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af4e14667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_Config_v3" sheetId="1" r:id="R0754d331a3894b3c"/>
    <x:sheet xmlns:r="http://schemas.openxmlformats.org/officeDocument/2006/relationships" name="Prediksi_Utama_v3" sheetId="2" r:id="R5d5718a5774c4641"/>
    <x:sheet xmlns:r="http://schemas.openxmlformats.org/officeDocument/2006/relationships" name="Ringkasan_v3" sheetId="3" r:id="R361522f5f0244460"/>
    <x:sheet xmlns:r="http://schemas.openxmlformats.org/officeDocument/2006/relationships" name="Audit_Elite_v3" sheetId="4" r:id="Rcfe154995e2e495b"/>
    <x:sheet xmlns:r="http://schemas.openxmlformats.org/officeDocument/2006/relationships" name="Metodologi_v3" sheetId="5" r:id="R2c1e44945c1146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9"/>
      <x:color rgb="FFFFFFFF"/>
      <x:name val="Carlito"/>
    </x:font>
    <x:font>
      <x:b/>
      <x:sz val="17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F6B9A"/>
      </x:patternFill>
    </x:fill>
    <x:fill>
      <x:patternFill patternType="solid">
        <x:fgColor rgb="FF2E7D75"/>
      </x:patternFill>
    </x:fill>
    <x:fill>
      <x:patternFill patternType="solid">
        <x:fgColor rgb="FF17324D"/>
      </x:patternFill>
    </x:fill>
    <x:fill>
      <x:patternFill patternType="solid">
        <x:fgColor rgb="FFFFF7DF"/>
      </x:patternFill>
    </x:fill>
    <x:fill>
      <x:patternFill patternType="solid">
        <x:fgColor rgb="FF17324D"/>
      </x:patternFill>
    </x:fill>
    <x:fill>
      <x:patternFill patternType="solid">
        <x:fgColor rgb="FF2F6B9A"/>
      </x:patternFill>
    </x:fill>
    <x:fill>
      <x:patternFill patternType="solid">
        <x:fgColor rgb="FF2E7D75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1413ed0a84048" /><Relationship Type="http://schemas.openxmlformats.org/officeDocument/2006/relationships/theme" Target="/xl/theme/theme1.xml" Id="R009ea87bb72745a6" /><Relationship Type="http://schemas.openxmlformats.org/officeDocument/2006/relationships/sharedStrings" Target="/xl/sharedStrings.xml" Id="R990aed9146d14f2a" /><Relationship Type="http://schemas.openxmlformats.org/officeDocument/2006/relationships/worksheet" Target="/xl/worksheets/sheet1.xml" Id="R0754d331a3894b3c" /><Relationship Type="http://schemas.openxmlformats.org/officeDocument/2006/relationships/worksheet" Target="/xl/worksheets/sheet2.xml" Id="R5d5718a5774c4641" /><Relationship Type="http://schemas.openxmlformats.org/officeDocument/2006/relationships/worksheet" Target="/xl/worksheets/sheet3.xml" Id="R361522f5f0244460" /><Relationship Type="http://schemas.openxmlformats.org/officeDocument/2006/relationships/worksheet" Target="/xl/worksheets/sheet4.xml" Id="Rcfe154995e2e495b" /><Relationship Type="http://schemas.openxmlformats.org/officeDocument/2006/relationships/worksheet" Target="/xl/worksheets/sheet5.xml" Id="R2c1e44945c1146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690868de214b1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Distribusi Target Skor v3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'Ringkasan_v3'!$D$4:$D$9</c:f>
              <c:strCache>
                <c:ptCount val="0"/>
              </c:strCache>
            </c:strRef>
          </c:cat>
          <c:val>
            <c:numRef>
              <c:f>'Ringkasan_v3'!$E$4:$E$9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690868de214b1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ediksiV3Table" displayName="PrediksiV3Table" ref="A3:AB4981" headerRowCount="1" totalsRowCount="0" totalsRowShown="0">
  <x:tableColumns count="28">
    <x:tableColumn id="1" name="No"/>
    <x:tableColumn id="2" name="Kategori"/>
    <x:tableColumn id="3" name="Nama PTN"/>
    <x:tableColumn id="4" name="Program Studi"/>
    <x:tableColumn id="5" name="Jenjang"/>
    <x:tableColumn id="6" name="Daya Tampung 2025"/>
    <x:tableColumn id="7" name="Peminat 2024"/>
    <x:tableColumn id="8" name="Rasio"/>
    <x:tableColumn id="9" name="Prediksi Target v3"/>
    <x:tableColumn id="10" name="Target Aman v3"/>
    <x:tableColumn id="11" name="Indeks Selektivitas"/>
    <x:tableColumn id="12" name="Kelas Selektivitas"/>
    <x:tableColumn id="13" name="Confidence"/>
    <x:tableColumn id="14" name="Tier Kampus"/>
    <x:tableColumn id="15" name="Rumpun"/>
    <x:tableColumn id="16" name="Kelas Prodi v3"/>
    <x:tableColumn id="17" name="Floor Kampus"/>
    <x:tableColumn id="18" name="Floor Prodi v3"/>
    <x:tableColumn id="19" name="Skor Rasio Dasar"/>
    <x:tableColumn id="20" name="Skor dari Indeks"/>
    <x:tableColumn id="21" name="Target v2.1 Legacy"/>
    <x:tableColumn id="22" name="LBI Efektif Saintek"/>
    <x:tableColumn id="23" name="LBI Efektif Soshum"/>
    <x:tableColumn id="24" name="LBI Efektif Personal"/>
    <x:tableColumn id="25" name="Status Data"/>
    <x:tableColumn id="26" name="Sumber Resmi"/>
    <x:tableColumn id="27" name="Portofolio"/>
    <x:tableColumn id="28" name="Catatan Mod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492b6785424f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113b52db3f104812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Parameter</x:v>
      </x:c>
      <x:c r="B1" s="3" t="str">
        <x:v>Nilai</x:v>
      </x:c>
      <x:c r="D1" s="3" t="str">
        <x:v>Komponen Indeks</x:v>
      </x:c>
      <x:c r="E1" s="3" t="str">
        <x:v>Bobot</x:v>
      </x:c>
      <x:c r="G1" s="3" t="str">
        <x:v>Rumpun</x:v>
      </x:c>
      <x:c r="H1" s="3" t="str">
        <x:v>PU</x:v>
      </x:c>
      <x:c r="I1" s="3" t="str">
        <x:v>PPU</x:v>
      </x:c>
      <x:c r="J1" s="3" t="str">
        <x:v>PBM</x:v>
      </x:c>
      <x:c r="K1" s="3" t="str">
        <x:v>PK</x:v>
      </x:c>
      <x:c r="L1" s="3" t="str">
        <x:v>LBI</x:v>
      </x:c>
      <x:c r="M1" s="3" t="str">
        <x:v>LBE</x:v>
      </x:c>
      <x:c r="N1" s="3" t="str">
        <x:v>PM</x:v>
      </x:c>
      <x:c r="P1" s="3" t="str">
        <x:v>Rumpun</x:v>
      </x:c>
      <x:c r="Q1" s="3" t="str">
        <x:v>LBI Saintek</x:v>
      </x:c>
      <x:c r="R1" s="3" t="str">
        <x:v>LBI Soshum</x:v>
      </x:c>
      <x:c r="S1" s="3" t="str">
        <x:v>LBI Personal</x:v>
      </x:c>
    </x:row>
    <x:row r="2">
      <x:c r="A2" t="str">
        <x:v>Base Score Index</x:v>
      </x:c>
      <x:c r="B2" t="n">
        <x:v>560</x:v>
      </x:c>
      <x:c r="D2" t="str">
        <x:v>Campus</x:v>
      </x:c>
      <x:c r="E2" t="n">
        <x:v>0.35</x:v>
      </x:c>
      <x:c r="G2" t="str">
        <x:v>SAINTEK</x:v>
      </x:c>
      <x:c r="H2" t="n">
        <x:v>12</x:v>
      </x:c>
      <x:c r="I2" t="n">
        <x:v>8</x:v>
      </x:c>
      <x:c r="J2" t="n">
        <x:v>8</x:v>
      </x:c>
      <x:c r="K2" t="n">
        <x:v>18</x:v>
      </x:c>
      <x:c r="L2" t="n">
        <x:v>20</x:v>
      </x:c>
      <x:c r="M2" t="n">
        <x:v>10</x:v>
      </x:c>
      <x:c r="N2" t="n">
        <x:v>24</x:v>
      </x:c>
      <x:c r="P2" t="str">
        <x:v>SAINTEK</x:v>
      </x:c>
      <x:c r="Q2" t="n">
        <x:v>0.6</x:v>
      </x:c>
      <x:c r="R2" t="n">
        <x:v>0.25</x:v>
      </x:c>
      <x:c r="S2" t="n">
        <x:v>0.15</x:v>
      </x:c>
    </x:row>
    <x:row r="3">
      <x:c r="A3" t="str">
        <x:v>Slope Index</x:v>
      </x:c>
      <x:c r="B3" t="n">
        <x:v>2</x:v>
      </x:c>
      <x:c r="D3" t="str">
        <x:v>Ratio</x:v>
      </x:c>
      <x:c r="E3" t="n">
        <x:v>0.25</x:v>
      </x:c>
      <x:c r="G3" t="str">
        <x:v>SOSHUM</x:v>
      </x:c>
      <x:c r="H3" t="n">
        <x:v>16</x:v>
      </x:c>
      <x:c r="I3" t="n">
        <x:v>12</x:v>
      </x:c>
      <x:c r="J3" t="n">
        <x:v>14</x:v>
      </x:c>
      <x:c r="K3" t="n">
        <x:v>8</x:v>
      </x:c>
      <x:c r="L3" t="n">
        <x:v>22</x:v>
      </x:c>
      <x:c r="M3" t="n">
        <x:v>15</x:v>
      </x:c>
      <x:c r="N3" t="n">
        <x:v>13</x:v>
      </x:c>
      <x:c r="P3" t="str">
        <x:v>SOSHUM</x:v>
      </x:c>
      <x:c r="Q3" t="n">
        <x:v>0.2</x:v>
      </x:c>
      <x:c r="R3" t="n">
        <x:v>0.65</x:v>
      </x:c>
      <x:c r="S3" t="n">
        <x:v>0.15</x:v>
      </x:c>
    </x:row>
    <x:row r="4">
      <x:c r="A4" t="str">
        <x:v>Bobot Rasio Final</x:v>
      </x:c>
      <x:c r="B4" t="n">
        <x:v>0.3</x:v>
      </x:c>
      <x:c r="D4" t="str">
        <x:v>Prodi</x:v>
      </x:c>
      <x:c r="E4" t="n">
        <x:v>0.2</x:v>
      </x:c>
      <x:c r="G4" t="str">
        <x:v>CAMPURAN</x:v>
      </x:c>
      <x:c r="H4" t="n">
        <x:v>14</x:v>
      </x:c>
      <x:c r="I4" t="n">
        <x:v>10</x:v>
      </x:c>
      <x:c r="J4" t="n">
        <x:v>11</x:v>
      </x:c>
      <x:c r="K4" t="n">
        <x:v>12</x:v>
      </x:c>
      <x:c r="L4" t="n">
        <x:v>22</x:v>
      </x:c>
      <x:c r="M4" t="n">
        <x:v>13</x:v>
      </x:c>
      <x:c r="N4" t="n">
        <x:v>18</x:v>
      </x:c>
      <x:c r="P4" t="str">
        <x:v>CAMPURAN</x:v>
      </x:c>
      <x:c r="Q4" t="n">
        <x:v>0.4</x:v>
      </x:c>
      <x:c r="R4" t="n">
        <x:v>0.45</x:v>
      </x:c>
      <x:c r="S4" t="n">
        <x:v>0.15</x:v>
      </x:c>
    </x:row>
    <x:row r="5">
      <x:c r="A5" t="str">
        <x:v>Bobot Index Final</x:v>
      </x:c>
      <x:c r="B5" t="n">
        <x:v>0.7</x:v>
      </x:c>
      <x:c r="D5" t="str">
        <x:v>Demand Relatif</x:v>
      </x:c>
      <x:c r="E5" t="n">
        <x:v>0.1</x:v>
      </x:c>
      <x:c r="G5" t="str">
        <x:v>SENI/OLAHRAGA</x:v>
      </x:c>
      <x:c r="H5" t="n">
        <x:v>14</x:v>
      </x:c>
      <x:c r="I5" t="n">
        <x:v>10</x:v>
      </x:c>
      <x:c r="J5" t="n">
        <x:v>12</x:v>
      </x:c>
      <x:c r="K5" t="n">
        <x:v>10</x:v>
      </x:c>
      <x:c r="L5" t="n">
        <x:v>22</x:v>
      </x:c>
      <x:c r="M5" t="n">
        <x:v>14</x:v>
      </x:c>
      <x:c r="N5" t="n">
        <x:v>18</x:v>
      </x:c>
      <x:c r="P5" t="str">
        <x:v>SENI/OLAHRAGA</x:v>
      </x:c>
      <x:c r="Q5" t="n">
        <x:v>0.2</x:v>
      </x:c>
      <x:c r="R5" t="n">
        <x:v>0.45</x:v>
      </x:c>
      <x:c r="S5" t="n">
        <x:v>0.35</x:v>
      </x:c>
    </x:row>
    <x:row r="6">
      <x:c r="A6" t="str">
        <x:v>Maks Skor</x:v>
      </x:c>
      <x:c r="B6" t="n">
        <x:v>800</x:v>
      </x:c>
      <x:c r="D6" t="str">
        <x:v>Capacity</x:v>
      </x:c>
      <x:c r="E6" t="n">
        <x:v>0.1</x:v>
      </x:c>
    </x:row>
    <x:row r="7">
      <x:c r="A7" t="str">
        <x:v>Buffer Aman</x:v>
      </x:c>
      <x:c r="B7" t="n">
        <x:v>20</x:v>
      </x:c>
      <x:c r="D7" t="str">
        <x:v>Trend 5 Tahun (cadangan)</x:v>
      </x:c>
      <x:c r="E7" t="n">
        <x:v>0</x:v>
      </x:c>
    </x:row>
    <x:row r="8">
      <x:c r="A8" t="str">
        <x:v>Rasio Normalisasi</x:v>
      </x:c>
      <x:c r="B8" t="n">
        <x:v>50</x:v>
      </x:c>
    </x:row>
    <x:row r="9">
      <x:c r="A9" t="str">
        <x:v>Kapasitas Referensi</x:v>
      </x:c>
      <x:c r="B9" t="n">
        <x:v>120</x:v>
      </x:c>
    </x:row>
    <x:row r="12">
      <x:c r="A12" s="7" t="str">
        <x:v>CATATAN</x:v>
      </x:c>
      <x:c r="B12" s="7" t="str"/>
      <x:c r="C12" s="7" t="str"/>
      <x:c r="D12" s="7" t="str"/>
      <x:c r="E12" s="7" t="str"/>
      <x:c r="F12" s="7" t="str"/>
      <x:c r="G12" s="7" t="str"/>
      <x:c r="H12" s="7" t="str"/>
      <x:c r="I12" s="7" t="str"/>
      <x:c r="J12" s="7" t="str"/>
      <x:c r="K12" s="7" t="str"/>
      <x:c r="L12" s="7" t="str"/>
      <x:c r="M12" s="7" t="str"/>
      <x:c r="N12" s="7" t="str"/>
      <x:c r="O12" s="7" t="str"/>
      <x:c r="P12" s="7" t="str"/>
      <x:c r="Q12" s="7" t="str"/>
      <x:c r="R12" s="7" t="str"/>
      <x:c r="S12" s="7" t="str"/>
    </x:row>
    <x:row r="13">
      <x:c r="A13" t="str">
        <x:v>Bobot rumpun/LBI konteks adalah HEURISTIK internal, bukan bobot resmi SNPMB.</x:v>
      </x:c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  <x:c r="N13" t="str"/>
      <x:c r="O13" t="str"/>
      <x:c r="P13" t="str"/>
      <x:c r="Q13" t="str"/>
      <x:c r="R13" t="str"/>
      <x:c r="S13" t="str"/>
    </x:row>
    <x:row r="14">
      <x:c r="A14" t="str">
        <x:v>LBI resmi tetap satu subtes; teks resmi dapat berkonteks saintek, sosial-humaniora, dan personal.</x:v>
      </x:c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  <x:c r="N14" t="str"/>
      <x:c r="O14" t="str"/>
      <x:c r="P14" t="str"/>
      <x:c r="Q14" t="str"/>
      <x:c r="R14" t="str"/>
      <x:c r="S14" t="str"/>
    </x:row>
    <x:row r="15">
      <x:c r="A15" t="str">
        <x:v>Sumber: https://snpmb.id/utbk-snbt/informasi-umum | https://snpmb.id/fr/ | https://snpmb.id/utbk-snbt/daya-tampung-snbt</x:v>
      </x:c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  <x:c r="N15" t="str"/>
      <x:c r="O15" t="str"/>
      <x:c r="P15" t="str"/>
      <x:c r="Q15" t="str"/>
      <x:c r="R15" t="str"/>
      <x:c r="S1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31" hidden="0" customWidth="1"/>
    <x:col min="4" max="4" width="38" hidden="0" customWidth="1"/>
    <x:col min="5" max="5" width="12" hidden="0" customWidth="1"/>
    <x:col min="6" max="6" width="16" hidden="0" customWidth="1"/>
    <x:col min="7" max="7" width="14" hidden="0" customWidth="1"/>
    <x:col min="8" max="8" width="11" hidden="0" customWidth="1"/>
    <x:col min="9" max="9" width="16" hidden="0" customWidth="1"/>
    <x:col min="10" max="10" width="14" hidden="0" customWidth="1"/>
    <x:col min="11" max="11" width="15" hidden="0" customWidth="1"/>
    <x:col min="12" max="12" width="17" hidden="0" customWidth="1"/>
    <x:col min="13" max="13" width="14" hidden="0" customWidth="1"/>
    <x:col min="14" max="14" width="12" hidden="0" customWidth="1"/>
    <x:col min="15" max="15" width="14" hidden="0" customWidth="1"/>
    <x:col min="16" max="16" width="34" hidden="0" customWidth="1"/>
    <x:col min="17" max="17" width="12" hidden="0" customWidth="1"/>
    <x:col min="18" max="18" width="13" hidden="0" customWidth="1"/>
    <x:col min="19" max="19" width="14" hidden="0" customWidth="1"/>
    <x:col min="20" max="20" width="14" hidden="0" customWidth="1"/>
    <x:col min="21" max="21" width="15" hidden="0" customWidth="1"/>
    <x:col min="22" max="22" width="16" hidden="0" customWidth="1"/>
    <x:col min="23" max="23" width="16" hidden="0" customWidth="1"/>
    <x:col min="24" max="24" width="16" hidden="0" customWidth="1"/>
    <x:col min="25" max="25" width="20" hidden="0" customWidth="1"/>
    <x:col min="26" max="26" width="43" hidden="0" customWidth="1"/>
    <x:col min="27" max="27" width="24" hidden="0" customWidth="1"/>
    <x:col min="28" max="28" width="46" hidden="0" customWidth="1"/>
  </x:cols>
  <x:sheetData>
    <x:row r="1">
      <x:c r="A1" s="11" t="str">
        <x:v>Prediksi SNBT per Prodi — Model Selektivitas v3.0</x:v>
      </x:c>
      <x:c r="B1" s="11" t="str"/>
      <x:c r="C1" s="11" t="str"/>
      <x:c r="D1" s="11" t="str"/>
      <x:c r="E1" s="11" t="str"/>
      <x:c r="F1" s="11" t="str"/>
      <x:c r="G1" s="11" t="str"/>
      <x:c r="H1" s="11" t="str"/>
      <x:c r="I1" s="11" t="str"/>
      <x:c r="J1" s="11" t="str"/>
      <x:c r="K1" s="11" t="str"/>
      <x:c r="L1" s="11" t="str"/>
      <x:c r="M1" s="11" t="str"/>
      <x:c r="N1" s="11" t="str"/>
      <x:c r="O1" s="11" t="str"/>
      <x:c r="P1" s="11" t="str"/>
      <x:c r="Q1" s="11" t="str"/>
      <x:c r="R1" s="11" t="str"/>
      <x:c r="S1" s="11" t="str"/>
      <x:c r="T1" s="11" t="str"/>
      <x:c r="U1" s="11" t="str"/>
      <x:c r="V1" s="11" t="str"/>
      <x:c r="W1" s="11" t="str"/>
      <x:c r="X1" s="11" t="str"/>
      <x:c r="Y1" s="11" t="str"/>
      <x:c r="Z1" s="11" t="str"/>
      <x:c r="AA1" s="11" t="str"/>
      <x:c r="AB1" s="11" t="str"/>
    </x:row>
    <x:row r="2">
      <x:c r="A2" s="14" t="str">
        <x:v>Gunakan kolom I–J. Model menggabungkan rasio, reputasi kampus, kelas prodi, demand relatif, dan kapasitas.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  <x:c r="T2" s="14" t="str"/>
      <x:c r="U2" s="14" t="str"/>
      <x:c r="V2" s="14" t="str"/>
      <x:c r="W2" s="14" t="str"/>
      <x:c r="X2" s="14" t="str"/>
      <x:c r="Y2" s="14" t="str"/>
      <x:c r="Z2" s="14" t="str"/>
      <x:c r="AA2" s="14" t="str"/>
      <x:c r="AB2" s="14" t="str"/>
    </x:row>
    <x:row r="3" ht="38" customHeight="1">
      <x:c r="A3" s="16" t="str">
        <x:v>No</x:v>
      </x:c>
      <x:c r="B3" s="16" t="str">
        <x:v>Kategori</x:v>
      </x:c>
      <x:c r="C3" s="16" t="str">
        <x:v>Nama PTN</x:v>
      </x:c>
      <x:c r="D3" s="16" t="str">
        <x:v>Program Studi</x:v>
      </x:c>
      <x:c r="E3" s="16" t="str">
        <x:v>Jenjang</x:v>
      </x:c>
      <x:c r="F3" s="16" t="str">
        <x:v>Daya Tampung 2025</x:v>
      </x:c>
      <x:c r="G3" s="16" t="str">
        <x:v>Peminat 2024</x:v>
      </x:c>
      <x:c r="H3" s="16" t="str">
        <x:v>Rasio</x:v>
      </x:c>
      <x:c r="I3" s="16" t="str">
        <x:v>Prediksi Target v3</x:v>
      </x:c>
      <x:c r="J3" s="16" t="str">
        <x:v>Target Aman v3</x:v>
      </x:c>
      <x:c r="K3" s="16" t="str">
        <x:v>Indeks Selektivitas</x:v>
      </x:c>
      <x:c r="L3" s="16" t="str">
        <x:v>Kelas Selektivitas</x:v>
      </x:c>
      <x:c r="M3" s="16" t="str">
        <x:v>Confidence</x:v>
      </x:c>
      <x:c r="N3" s="16" t="str">
        <x:v>Tier Kampus</x:v>
      </x:c>
      <x:c r="O3" s="16" t="str">
        <x:v>Rumpun</x:v>
      </x:c>
      <x:c r="P3" s="16" t="str">
        <x:v>Kelas Prodi v3</x:v>
      </x:c>
      <x:c r="Q3" s="16" t="str">
        <x:v>Floor Kampus</x:v>
      </x:c>
      <x:c r="R3" s="16" t="str">
        <x:v>Floor Prodi v3</x:v>
      </x:c>
      <x:c r="S3" s="16" t="str">
        <x:v>Skor Rasio Dasar</x:v>
      </x:c>
      <x:c r="T3" s="16" t="str">
        <x:v>Skor dari Indeks</x:v>
      </x:c>
      <x:c r="U3" s="16" t="str">
        <x:v>Target v2.1 Legacy</x:v>
      </x:c>
      <x:c r="V3" s="16" t="str">
        <x:v>LBI Efektif Saintek</x:v>
      </x:c>
      <x:c r="W3" s="16" t="str">
        <x:v>LBI Efektif Soshum</x:v>
      </x:c>
      <x:c r="X3" s="16" t="str">
        <x:v>LBI Efektif Personal</x:v>
      </x:c>
      <x:c r="Y3" s="16" t="str">
        <x:v>Status Data</x:v>
      </x:c>
      <x:c r="Z3" s="16" t="str">
        <x:v>Sumber Resmi</x:v>
      </x:c>
      <x:c r="AA3" s="16" t="str">
        <x:v>Portofolio</x:v>
      </x:c>
      <x:c r="AB3" s="16" t="str">
        <x:v>Catatan Model</x:v>
      </x:c>
    </x:row>
    <x:row r="4">
      <x:c r="A4" t="n">
        <x:v>1</x:v>
      </x:c>
      <x:c r="B4" t="str">
        <x:v>PTN Akademik</x:v>
      </x:c>
      <x:c r="C4" t="str">
        <x:v>UNIVERSITAS SYIAH KUALA</x:v>
      </x:c>
      <x:c r="D4" t="str">
        <x:v>PENDIDIKAN DOKTER HEWAN</x:v>
      </x:c>
      <x:c r="E4" t="str">
        <x:v>Sarjana</x:v>
      </x:c>
      <x:c r="F4" s="18" t="n">
        <x:v>84</x:v>
      </x:c>
      <x:c r="G4" s="18" t="n">
        <x:v>411</x:v>
      </x:c>
      <x:c r="H4" s="19" t="n">
        <x:v>4.892857142857143</x:v>
      </x:c>
      <x:c r="I4" s="18" t="n">
        <x:f>ROUND(MIN(Model_Config_v3!$B$6,MAX(Q4,R4,S4*Model_Config_v3!$B$4+T4*Model_Config_v3!$B$5)),0)</x:f>
        <x:v>650</x:v>
      </x:c>
      <x:c r="J4" s="18" t="n">
        <x:f>MIN(Model_Config_v3!$B$6,I4+Model_Config_v3!$B$7)</x:f>
        <x:v>670</x:v>
      </x:c>
      <x:c r="K4" s="20" t="n">
        <x:v>55.4</x:v>
      </x:c>
      <x:c r="L4" t="str">
        <x:v>KETAT</x:v>
      </x:c>
      <x:c r="M4" t="str">
        <x:v>SEDANG+</x:v>
      </x:c>
      <x:c r="N4" t="str">
        <x:v>ELITE-3</x:v>
      </x:c>
      <x:c r="O4" t="str">
        <x:v>SAINTEK</x:v>
      </x:c>
      <x:c r="P4" t="str">
        <x:v>VETERINER</x:v>
      </x:c>
      <x:c r="Q4" s="18" t="n">
        <x:v>615</x:v>
      </x:c>
      <x:c r="R4" s="18" t="n">
        <x:v>650</x:v>
      </x:c>
      <x:c r="S4" s="18" t="n">
        <x:v>595.8518789395606</x:v>
      </x:c>
      <x:c r="T4" s="18" t="n">
        <x:v>671</x:v>
      </x:c>
      <x:c r="U4" s="18" t="n">
        <x:v>700</x:v>
      </x:c>
      <x:c r="V4" s="20" t="n">
        <x:v>12</x:v>
      </x:c>
      <x:c r="W4" s="20" t="n">
        <x:v>5</x:v>
      </x:c>
      <x:c r="X4" s="20" t="n">
        <x:v>3</x:v>
      </x:c>
      <x:c r="Y4" t="str">
        <x:v>Basis arsip 2025/2024</x:v>
      </x:c>
      <x:c r="Z4" t="str">
        <x:v>https://snpmb.id/utbk-snbt/daya-tampung-snbt</x:v>
      </x:c>
      <x:c r="AA4" t="str">
        <x:v>Tidak Ada</x:v>
      </x:c>
      <x:c r="AB4" t="str">
        <x:v>Campus=80; Ratio=40.6; Prodi=60; RelDemand=22.1; Capacity=30.0</x:v>
      </x:c>
    </x:row>
    <x:row r="5">
      <x:c r="A5" t="n">
        <x:v>2</x:v>
      </x:c>
      <x:c r="B5" t="str">
        <x:v>PTN Akademik</x:v>
      </x:c>
      <x:c r="C5" t="str">
        <x:v>UNIVERSITAS SYIAH KUALA</x:v>
      </x:c>
      <x:c r="D5" t="str">
        <x:v>TEKNIK SIPIL</x:v>
      </x:c>
      <x:c r="E5" t="str">
        <x:v>Sarjana</x:v>
      </x:c>
      <x:c r="F5" s="18" t="n">
        <x:v>98</x:v>
      </x:c>
      <x:c r="G5" s="18" t="n">
        <x:v>606</x:v>
      </x:c>
      <x:c r="H5" s="19" t="n">
        <x:v>6.183673469387755</x:v>
      </x:c>
      <x:c r="I5" s="18" t="n">
        <x:f>ROUND(MIN(Model_Config_v3!$B$6,MAX(Q5,R5,S5*Model_Config_v3!$B$4+T5*Model_Config_v3!$B$5)),0)</x:f>
        <x:v>653</x:v>
      </x:c>
      <x:c r="J5" s="18" t="n">
        <x:f>MIN(Model_Config_v3!$B$6,I5+Model_Config_v3!$B$7)</x:f>
        <x:v>673</x:v>
      </x:c>
      <x:c r="K5" s="20" t="n">
        <x:v>56.3</x:v>
      </x:c>
      <x:c r="L5" t="str">
        <x:v>KETAT</x:v>
      </x:c>
      <x:c r="M5" t="str">
        <x:v>SEDANG+</x:v>
      </x:c>
      <x:c r="N5" t="str">
        <x:v>ELITE-3</x:v>
      </x:c>
      <x:c r="O5" t="str">
        <x:v>SAINTEK</x:v>
      </x:c>
      <x:c r="P5" t="str">
        <x:v>TEKNIK/ARSITEKTUR/STATISTIKA/AKTUARIA</x:v>
      </x:c>
      <x:c r="Q5" s="18" t="n">
        <x:v>615</x:v>
      </x:c>
      <x:c r="R5" s="18" t="n">
        <x:v>0</x:v>
      </x:c>
      <x:c r="S5" s="18" t="n">
        <x:v>607.0371203321171</x:v>
      </x:c>
      <x:c r="T5" s="18" t="n">
        <x:v>673</x:v>
      </x:c>
      <x:c r="U5" s="18" t="n">
        <x:v>617.0371203321171</x:v>
      </x:c>
      <x:c r="V5" s="20" t="n">
        <x:v>12</x:v>
      </x:c>
      <x:c r="W5" s="20" t="n">
        <x:v>5</x:v>
      </x:c>
      <x:c r="X5" s="20" t="n">
        <x:v>3</x:v>
      </x:c>
      <x:c r="Y5" t="str">
        <x:v>Basis arsip 2025/2024</x:v>
      </x:c>
      <x:c r="Z5" t="str">
        <x:v>https://snpmb.id/utbk-snbt/daya-tampung-snbt</x:v>
      </x:c>
      <x:c r="AA5" t="str">
        <x:v>Tidak Ada</x:v>
      </x:c>
      <x:c r="AB5" t="str">
        <x:v>Campus=80; Ratio=46.6; Prodi=60; RelDemand=28.0; Capacity=18.3</x:v>
      </x:c>
    </x:row>
    <x:row r="6">
      <x:c r="A6" t="n">
        <x:v>3</x:v>
      </x:c>
      <x:c r="B6" t="str">
        <x:v>PTN Akademik</x:v>
      </x:c>
      <x:c r="C6" t="str">
        <x:v>UNIVERSITAS SYIAH KUALA</x:v>
      </x:c>
      <x:c r="D6" t="str">
        <x:v>TEKNIK MESIN</x:v>
      </x:c>
      <x:c r="E6" t="str">
        <x:v>Sarjana</x:v>
      </x:c>
      <x:c r="F6" s="18" t="n">
        <x:v>42</x:v>
      </x:c>
      <x:c r="G6" s="18" t="n">
        <x:v>220</x:v>
      </x:c>
      <x:c r="H6" s="19" t="n">
        <x:v>5.238095238095238</x:v>
      </x:c>
      <x:c r="I6" s="18" t="n">
        <x:f>ROUND(MIN(Model_Config_v3!$B$6,MAX(Q6,R6,S6*Model_Config_v3!$B$4+T6*Model_Config_v3!$B$5)),0)</x:f>
        <x:v>655</x:v>
      </x:c>
      <x:c r="J6" s="18" t="n">
        <x:f>MIN(Model_Config_v3!$B$6,I6+Model_Config_v3!$B$7)</x:f>
        <x:v>675</x:v>
      </x:c>
      <x:c r="K6" s="20" t="n">
        <x:v>59.5</x:v>
      </x:c>
      <x:c r="L6" t="str">
        <x:v>KETAT</x:v>
      </x:c>
      <x:c r="M6" t="str">
        <x:v>SEDANG+</x:v>
      </x:c>
      <x:c r="N6" t="str">
        <x:v>ELITE-3</x:v>
      </x:c>
      <x:c r="O6" t="str">
        <x:v>SAINTEK</x:v>
      </x:c>
      <x:c r="P6" t="str">
        <x:v>TEKNIK/ARSITEKTUR/STATISTIKA/AKTUARIA</x:v>
      </x:c>
      <x:c r="Q6" s="18" t="n">
        <x:v>615</x:v>
      </x:c>
      <x:c r="R6" s="18" t="n">
        <x:v>0</x:v>
      </x:c>
      <x:c r="S6" s="18" t="n">
        <x:v>599.1090729466737</x:v>
      </x:c>
      <x:c r="T6" s="18" t="n">
        <x:v>679</x:v>
      </x:c>
      <x:c r="U6" s="18" t="n">
        <x:v>615</x:v>
      </x:c>
      <x:c r="V6" s="20" t="n">
        <x:v>12</x:v>
      </x:c>
      <x:c r="W6" s="20" t="n">
        <x:v>5</x:v>
      </x:c>
      <x:c r="X6" s="20" t="n">
        <x:v>3</x:v>
      </x:c>
      <x:c r="Y6" t="str">
        <x:v>Basis arsip 2025/2024</x:v>
      </x:c>
      <x:c r="Z6" t="str">
        <x:v>https://snpmb.id/utbk-snbt/daya-tampung-snbt</x:v>
      </x:c>
      <x:c r="AA6" t="str">
        <x:v>Tidak Ada</x:v>
      </x:c>
      <x:c r="AB6" t="str">
        <x:v>Campus=80; Ratio=42.3; Prodi=60; RelDemand=23.7; Capacity=65.0</x:v>
      </x:c>
    </x:row>
    <x:row r="7">
      <x:c r="A7" t="n">
        <x:v>4</x:v>
      </x:c>
      <x:c r="B7" t="str">
        <x:v>PTN Akademik</x:v>
      </x:c>
      <x:c r="C7" t="str">
        <x:v>UNIVERSITAS SYIAH KUALA</x:v>
      </x:c>
      <x:c r="D7" t="str">
        <x:v>TEKNIK KIMIA</x:v>
      </x:c>
      <x:c r="E7" t="str">
        <x:v>Sarjana</x:v>
      </x:c>
      <x:c r="F7" s="18" t="n">
        <x:v>63</x:v>
      </x:c>
      <x:c r="G7" s="18" t="n">
        <x:v>160</x:v>
      </x:c>
      <x:c r="H7" s="19" t="n">
        <x:v>2.5396825396825395</x:v>
      </x:c>
      <x:c r="I7" s="18" t="n">
        <x:f>ROUND(MIN(Model_Config_v3!$B$6,MAX(Q7,R7,S7*Model_Config_v3!$B$4+T7*Model_Config_v3!$B$5)),0)</x:f>
        <x:v>634</x:v>
      </x:c>
      <x:c r="J7" s="18" t="n">
        <x:f>MIN(Model_Config_v3!$B$6,I7+Model_Config_v3!$B$7)</x:f>
        <x:v>654</x:v>
      </x:c>
      <x:c r="K7" s="20" t="n">
        <x:v>51.9</x:v>
      </x:c>
      <x:c r="L7" t="str">
        <x:v>MENENGAH</x:v>
      </x:c>
      <x:c r="M7" t="str">
        <x:v>SEDANG+</x:v>
      </x:c>
      <x:c r="N7" t="str">
        <x:v>ELITE-3</x:v>
      </x:c>
      <x:c r="O7" t="str">
        <x:v>SAINTEK</x:v>
      </x:c>
      <x:c r="P7" t="str">
        <x:v>TEKNIK/ARSITEKTUR/STATISTIKA/AKTUARIA</x:v>
      </x:c>
      <x:c r="Q7" s="18" t="n">
        <x:v>615</x:v>
      </x:c>
      <x:c r="R7" s="18" t="n">
        <x:v>0</x:v>
      </x:c>
      <x:c r="S7" s="18" t="n">
        <x:v>564.5257376522577</x:v>
      </x:c>
      <x:c r="T7" s="18" t="n">
        <x:v>664</x:v>
      </x:c>
      <x:c r="U7" s="18" t="n">
        <x:v>615</x:v>
      </x:c>
      <x:c r="V7" s="20" t="n">
        <x:v>12</x:v>
      </x:c>
      <x:c r="W7" s="20" t="n">
        <x:v>5</x:v>
      </x:c>
      <x:c r="X7" s="20" t="n">
        <x:v>3</x:v>
      </x:c>
      <x:c r="Y7" t="str">
        <x:v>Basis arsip 2025/2024</x:v>
      </x:c>
      <x:c r="Z7" t="str">
        <x:v>https://snpmb.id/utbk-snbt/daya-tampung-snbt</x:v>
      </x:c>
      <x:c r="AA7" t="str">
        <x:v>Tidak Ada</x:v>
      </x:c>
      <x:c r="AB7" t="str">
        <x:v>Campus=80; Ratio=23.8; Prodi=60; RelDemand=11.5; Capacity=47.5</x:v>
      </x:c>
    </x:row>
    <x:row r="8">
      <x:c r="A8" t="n">
        <x:v>5</x:v>
      </x:c>
      <x:c r="B8" t="str">
        <x:v>PTN Akademik</x:v>
      </x:c>
      <x:c r="C8" t="str">
        <x:v>UNIVERSITAS SYIAH KUALA</x:v>
      </x:c>
      <x:c r="D8" t="str">
        <x:v>ARSITEKTUR</x:v>
      </x:c>
      <x:c r="E8" t="str">
        <x:v>Sarjana</x:v>
      </x:c>
      <x:c r="F8" s="18" t="n">
        <x:v>56</x:v>
      </x:c>
      <x:c r="G8" s="18" t="n">
        <x:v>294</x:v>
      </x:c>
      <x:c r="H8" s="19" t="n">
        <x:v>5.25</x:v>
      </x:c>
      <x:c r="I8" s="18" t="n">
        <x:f>ROUND(MIN(Model_Config_v3!$B$6,MAX(Q8,R8,S8*Model_Config_v3!$B$4+T8*Model_Config_v3!$B$5)),0)</x:f>
        <x:v>654</x:v>
      </x:c>
      <x:c r="J8" s="18" t="n">
        <x:f>MIN(Model_Config_v3!$B$6,I8+Model_Config_v3!$B$7)</x:f>
        <x:v>674</x:v>
      </x:c>
      <x:c r="K8" s="20" t="n">
        <x:v>58.3</x:v>
      </x:c>
      <x:c r="L8" t="str">
        <x:v>KETAT</x:v>
      </x:c>
      <x:c r="M8" t="str">
        <x:v>SEDANG+</x:v>
      </x:c>
      <x:c r="N8" t="str">
        <x:v>ELITE-3</x:v>
      </x:c>
      <x:c r="O8" t="str">
        <x:v>SAINTEK</x:v>
      </x:c>
      <x:c r="P8" t="str">
        <x:v>TEKNIK/ARSITEKTUR/STATISTIKA/AKTUARIA</x:v>
      </x:c>
      <x:c r="Q8" s="18" t="n">
        <x:v>615</x:v>
      </x:c>
      <x:c r="R8" s="18" t="n">
        <x:v>0</x:v>
      </x:c>
      <x:c r="S8" s="18" t="n">
        <x:v>599.2175233746552</x:v>
      </x:c>
      <x:c r="T8" s="18" t="n">
        <x:v>677</x:v>
      </x:c>
      <x:c r="U8" s="18" t="n">
        <x:v>615</x:v>
      </x:c>
      <x:c r="V8" s="20" t="n">
        <x:v>12</x:v>
      </x:c>
      <x:c r="W8" s="20" t="n">
        <x:v>5</x:v>
      </x:c>
      <x:c r="X8" s="20" t="n">
        <x:v>3</x:v>
      </x:c>
      <x:c r="Y8" t="str">
        <x:v>Basis arsip 2025/2024</x:v>
      </x:c>
      <x:c r="Z8" t="str">
        <x:v>https://snpmb.id/utbk-snbt/daya-tampung-snbt</x:v>
      </x:c>
      <x:c r="AA8" t="str">
        <x:v>Tidak Ada</x:v>
      </x:c>
      <x:c r="AB8" t="str">
        <x:v>Campus=80; Ratio=42.4; Prodi=60; RelDemand=23.7; Capacity=53.3</x:v>
      </x:c>
    </x:row>
    <x:row r="9">
      <x:c r="A9" t="n">
        <x:v>6</x:v>
      </x:c>
      <x:c r="B9" t="str">
        <x:v>PTN Akademik</x:v>
      </x:c>
      <x:c r="C9" t="str">
        <x:v>UNIVERSITAS SYIAH KUALA</x:v>
      </x:c>
      <x:c r="D9" t="str">
        <x:v>TEKNIK ELEKTRO</x:v>
      </x:c>
      <x:c r="E9" t="str">
        <x:v>Sarjana</x:v>
      </x:c>
      <x:c r="F9" s="18" t="n">
        <x:v>56</x:v>
      </x:c>
      <x:c r="G9" s="18" t="n">
        <x:v>221</x:v>
      </x:c>
      <x:c r="H9" s="19" t="n">
        <x:v>3.9464285714285716</x:v>
      </x:c>
      <x:c r="I9" s="18" t="n">
        <x:f>ROUND(MIN(Model_Config_v3!$B$6,MAX(Q9,R9,S9*Model_Config_v3!$B$4+T9*Model_Config_v3!$B$5)),0)</x:f>
        <x:v>646</x:v>
      </x:c>
      <x:c r="J9" s="18" t="n">
        <x:f>MIN(Model_Config_v3!$B$6,I9+Model_Config_v3!$B$7)</x:f>
        <x:v>666</x:v>
      </x:c>
      <x:c r="K9" s="20" t="n">
        <x:v>55.9</x:v>
      </x:c>
      <x:c r="L9" t="str">
        <x:v>KETAT</x:v>
      </x:c>
      <x:c r="M9" t="str">
        <x:v>SEDANG+</x:v>
      </x:c>
      <x:c r="N9" t="str">
        <x:v>ELITE-3</x:v>
      </x:c>
      <x:c r="O9" t="str">
        <x:v>SAINTEK</x:v>
      </x:c>
      <x:c r="P9" t="str">
        <x:v>TEKNIK/ARSITEKTUR/STATISTIKA/AKTUARIA</x:v>
      </x:c>
      <x:c r="Q9" s="18" t="n">
        <x:v>615</x:v>
      </x:c>
      <x:c r="R9" s="18" t="n">
        <x:v>0</x:v>
      </x:c>
      <x:c r="S9" s="18" t="n">
        <x:v>585.5824671346801</x:v>
      </x:c>
      <x:c r="T9" s="18" t="n">
        <x:v>672</x:v>
      </x:c>
      <x:c r="U9" s="18" t="n">
        <x:v>615</x:v>
      </x:c>
      <x:c r="V9" s="20" t="n">
        <x:v>12</x:v>
      </x:c>
      <x:c r="W9" s="20" t="n">
        <x:v>5</x:v>
      </x:c>
      <x:c r="X9" s="20" t="n">
        <x:v>3</x:v>
      </x:c>
      <x:c r="Y9" t="str">
        <x:v>Basis arsip 2025/2024</x:v>
      </x:c>
      <x:c r="Z9" t="str">
        <x:v>https://snpmb.id/utbk-snbt/daya-tampung-snbt</x:v>
      </x:c>
      <x:c r="AA9" t="str">
        <x:v>Tidak Ada</x:v>
      </x:c>
      <x:c r="AB9" t="str">
        <x:v>Campus=80; Ratio=35.1; Prodi=60; RelDemand=17.8; Capacity=53.3</x:v>
      </x:c>
    </x:row>
    <x:row r="10">
      <x:c r="A10" t="n">
        <x:v>7</x:v>
      </x:c>
      <x:c r="B10" t="str">
        <x:v>PTN Akademik</x:v>
      </x:c>
      <x:c r="C10" t="str">
        <x:v>UNIVERSITAS SYIAH KUALA</x:v>
      </x:c>
      <x:c r="D10" t="str">
        <x:v>AGROTEKNOLOGI</x:v>
      </x:c>
      <x:c r="E10" t="str">
        <x:v>Sarjana</x:v>
      </x:c>
      <x:c r="F10" s="18" t="n">
        <x:v>42</x:v>
      </x:c>
      <x:c r="G10" s="18" t="n">
        <x:v>183</x:v>
      </x:c>
      <x:c r="H10" s="19" t="n">
        <x:v>4.357142857142857</x:v>
      </x:c>
      <x:c r="I10" s="18" t="n">
        <x:f>ROUND(MIN(Model_Config_v3!$B$6,MAX(Q10,R10,S10*Model_Config_v3!$B$4+T10*Model_Config_v3!$B$5)),0)</x:f>
        <x:v>645</x:v>
      </x:c>
      <x:c r="J10" s="18" t="n">
        <x:f>MIN(Model_Config_v3!$B$6,I10+Model_Config_v3!$B$7)</x:f>
        <x:v>665</x:v>
      </x:c>
      <x:c r="K10" s="20" t="n">
        <x:v>53.9</x:v>
      </x:c>
      <x:c r="L10" t="str">
        <x:v>MENENGAH</x:v>
      </x:c>
      <x:c r="M10" t="str">
        <x:v>SEDANG+</x:v>
      </x:c>
      <x:c r="N10" t="str">
        <x:v>ELITE-3</x:v>
      </x:c>
      <x:c r="O10" t="str">
        <x:v>SAINTEK</x:v>
      </x:c>
      <x:c r="P10" t="str">
        <x:v>UMUM</x:v>
      </x:c>
      <x:c r="Q10" s="18" t="n">
        <x:v>615</x:v>
      </x:c>
      <x:c r="R10" s="18" t="n">
        <x:v>0</x:v>
      </x:c>
      <x:c r="S10" s="18" t="n">
        <x:v>590.3121979265782</x:v>
      </x:c>
      <x:c r="T10" s="18" t="n">
        <x:v>668</x:v>
      </x:c>
      <x:c r="U10" s="18" t="n">
        <x:v>615</x:v>
      </x:c>
      <x:c r="V10" s="20" t="n">
        <x:v>12</x:v>
      </x:c>
      <x:c r="W10" s="20" t="n">
        <x:v>5</x:v>
      </x:c>
      <x:c r="X10" s="20" t="n">
        <x:v>3</x:v>
      </x:c>
      <x:c r="Y10" t="str">
        <x:v>Basis arsip 2025/2024</x:v>
      </x:c>
      <x:c r="Z10" t="str">
        <x:v>https://snpmb.id/utbk-snbt/daya-tampung-snbt</x:v>
      </x:c>
      <x:c r="AA10" t="str">
        <x:v>Tidak Ada</x:v>
      </x:c>
      <x:c r="AB10" t="str">
        <x:v>Campus=80; Ratio=37.6; Prodi=40; RelDemand=19.7; Capacity=65.0</x:v>
      </x:c>
    </x:row>
    <x:row r="11">
      <x:c r="A11" t="n">
        <x:v>8</x:v>
      </x:c>
      <x:c r="B11" t="str">
        <x:v>PTN Akademik</x:v>
      </x:c>
      <x:c r="C11" t="str">
        <x:v>UNIVERSITAS SYIAH KUALA</x:v>
      </x:c>
      <x:c r="D11" t="str">
        <x:v>AGRIBISNIS</x:v>
      </x:c>
      <x:c r="E11" t="str">
        <x:v>Sarjana</x:v>
      </x:c>
      <x:c r="F11" s="18" t="n">
        <x:v>56</x:v>
      </x:c>
      <x:c r="G11" s="18" t="n">
        <x:v>299</x:v>
      </x:c>
      <x:c r="H11" s="19" t="n">
        <x:v>5.339285714285714</x:v>
      </x:c>
      <x:c r="I11" s="18" t="n">
        <x:f>ROUND(MIN(Model_Config_v3!$B$6,MAX(Q11,R11,S11*Model_Config_v3!$B$4+T11*Model_Config_v3!$B$5)),0)</x:f>
        <x:v>655</x:v>
      </x:c>
      <x:c r="J11" s="18" t="n">
        <x:f>MIN(Model_Config_v3!$B$6,I11+Model_Config_v3!$B$7)</x:f>
        <x:v>675</x:v>
      </x:c>
      <x:c r="K11" s="20" t="n">
        <x:v>59.5</x:v>
      </x:c>
      <x:c r="L11" t="str">
        <x:v>KETAT</x:v>
      </x:c>
      <x:c r="M11" t="str">
        <x:v>SEDANG+</x:v>
      </x:c>
      <x:c r="N11" t="str">
        <x:v>ELITE-3</x:v>
      </x:c>
      <x:c r="O11" t="str">
        <x:v>SOSHUM</x:v>
      </x:c>
      <x:c r="P11" t="str">
        <x:v>BISNIS/EKONOMI/AKUNTANSI</x:v>
      </x:c>
      <x:c r="Q11" s="18" t="n">
        <x:v>615</x:v>
      </x:c>
      <x:c r="R11" s="18" t="n">
        <x:v>0</x:v>
      </x:c>
      <x:c r="S11" s="18" t="n">
        <x:v>600.0231477450052</x:v>
      </x:c>
      <x:c r="T11" s="18" t="n">
        <x:v>679</x:v>
      </x:c>
      <x:c r="U11" s="18" t="n">
        <x:v>615.0231477450052</x:v>
      </x:c>
      <x:c r="V11" s="20" t="n">
        <x:v>4.4</x:v>
      </x:c>
      <x:c r="W11" s="20" t="n">
        <x:v>14.3</x:v>
      </x:c>
      <x:c r="X11" s="20" t="n">
        <x:v>3.3</x:v>
      </x:c>
      <x:c r="Y11" t="str">
        <x:v>Basis arsip 2025/2024</x:v>
      </x:c>
      <x:c r="Z11" t="str">
        <x:v>https://snpmb.id/utbk-snbt/daya-tampung-snbt</x:v>
      </x:c>
      <x:c r="AA11" t="str">
        <x:v>Tidak Ada</x:v>
      </x:c>
      <x:c r="AB11" t="str">
        <x:v>Campus=80; Ratio=42.8; Prodi=65; RelDemand=24.1; Capacity=53.3</x:v>
      </x:c>
    </x:row>
    <x:row r="12">
      <x:c r="A12" t="n">
        <x:v>9</x:v>
      </x:c>
      <x:c r="B12" t="str">
        <x:v>PTN Akademik</x:v>
      </x:c>
      <x:c r="C12" t="str">
        <x:v>UNIVERSITAS SYIAH KUALA</x:v>
      </x:c>
      <x:c r="D12" t="str">
        <x:v>PETERNAKAN</x:v>
      </x:c>
      <x:c r="E12" t="str">
        <x:v>Sarjana</x:v>
      </x:c>
      <x:c r="F12" s="18" t="n">
        <x:v>46</x:v>
      </x:c>
      <x:c r="G12" s="18" t="n">
        <x:v>117</x:v>
      </x:c>
      <x:c r="H12" s="19" t="n">
        <x:v>2.5434782608695654</x:v>
      </x:c>
      <x:c r="I12" s="18" t="n">
        <x:f>ROUND(MIN(Model_Config_v3!$B$6,MAX(Q12,R12,S12*Model_Config_v3!$B$4+T12*Model_Config_v3!$B$5)),0)</x:f>
        <x:v>631</x:v>
      </x:c>
      <x:c r="J12" s="18" t="n">
        <x:f>MIN(Model_Config_v3!$B$6,I12+Model_Config_v3!$B$7)</x:f>
        <x:v>651</x:v>
      </x:c>
      <x:c r="K12" s="20" t="n">
        <x:v>49.3</x:v>
      </x:c>
      <x:c r="L12" t="str">
        <x:v>MENENGAH</x:v>
      </x:c>
      <x:c r="M12" t="str">
        <x:v>SEDANG+</x:v>
      </x:c>
      <x:c r="N12" t="str">
        <x:v>ELITE-3</x:v>
      </x:c>
      <x:c r="O12" t="str">
        <x:v>SAINTEK</x:v>
      </x:c>
      <x:c r="P12" t="str">
        <x:v>UMUM</x:v>
      </x:c>
      <x:c r="Q12" s="18" t="n">
        <x:v>615</x:v>
      </x:c>
      <x:c r="R12" s="18" t="n">
        <x:v>0</x:v>
      </x:c>
      <x:c r="S12" s="18" t="n">
        <x:v>564.5970833071046</x:v>
      </x:c>
      <x:c r="T12" s="18" t="n">
        <x:v>659</x:v>
      </x:c>
      <x:c r="U12" s="18" t="n">
        <x:v>615</x:v>
      </x:c>
      <x:c r="V12" s="20" t="n">
        <x:v>12</x:v>
      </x:c>
      <x:c r="W12" s="20" t="n">
        <x:v>5</x:v>
      </x:c>
      <x:c r="X12" s="20" t="n">
        <x:v>3</x:v>
      </x:c>
      <x:c r="Y12" t="str">
        <x:v>Basis arsip 2025/2024</x:v>
      </x:c>
      <x:c r="Z12" t="str">
        <x:v>https://snpmb.id/utbk-snbt/daya-tampung-snbt</x:v>
      </x:c>
      <x:c r="AA12" t="str">
        <x:v>Tidak Ada</x:v>
      </x:c>
      <x:c r="AB12" t="str">
        <x:v>Campus=80; Ratio=23.9; Prodi=40; RelDemand=11.5; Capacity=61.7</x:v>
      </x:c>
    </x:row>
    <x:row r="13">
      <x:c r="A13" t="n">
        <x:v>10</x:v>
      </x:c>
      <x:c r="B13" t="str">
        <x:v>PTN Akademik</x:v>
      </x:c>
      <x:c r="C13" t="str">
        <x:v>UNIVERSITAS SYIAH KUALA</x:v>
      </x:c>
      <x:c r="D13" t="str">
        <x:v>TEKNOLOGI HASIL PERTANIAN</x:v>
      </x:c>
      <x:c r="E13" t="str">
        <x:v>Sarjana</x:v>
      </x:c>
      <x:c r="F13" s="18" t="n">
        <x:v>56</x:v>
      </x:c>
      <x:c r="G13" s="18" t="n">
        <x:v>109</x:v>
      </x:c>
      <x:c r="H13" s="19" t="n">
        <x:v>1.9464285714285714</x:v>
      </x:c>
      <x:c r="I13" s="18" t="n">
        <x:f>ROUND(MIN(Model_Config_v3!$B$6,MAX(Q13,R13,S13*Model_Config_v3!$B$4+T13*Model_Config_v3!$B$5)),0)</x:f>
        <x:v>623</x:v>
      </x:c>
      <x:c r="J13" s="18" t="n">
        <x:f>MIN(Model_Config_v3!$B$6,I13+Model_Config_v3!$B$7)</x:f>
        <x:v>643</x:v>
      </x:c>
      <x:c r="K13" s="20" t="n">
        <x:v>46.5</x:v>
      </x:c>
      <x:c r="L13" t="str">
        <x:v>MENENGAH</x:v>
      </x:c>
      <x:c r="M13" t="str">
        <x:v>SEDANG+</x:v>
      </x:c>
      <x:c r="N13" t="str">
        <x:v>ELITE-3</x:v>
      </x:c>
      <x:c r="O13" t="str">
        <x:v>SAINTEK</x:v>
      </x:c>
      <x:c r="P13" t="str">
        <x:v>UMUM</x:v>
      </x:c>
      <x:c r="Q13" s="18" t="n">
        <x:v>615</x:v>
      </x:c>
      <x:c r="R13" s="18" t="n">
        <x:v>0</x:v>
      </x:c>
      <x:c r="S13" s="18" t="n">
        <x:v>551.8162318027865</x:v>
      </x:c>
      <x:c r="T13" s="18" t="n">
        <x:v>653</x:v>
      </x:c>
      <x:c r="U13" s="18" t="n">
        <x:v>615</x:v>
      </x:c>
      <x:c r="V13" s="20" t="n">
        <x:v>12</x:v>
      </x:c>
      <x:c r="W13" s="20" t="n">
        <x:v>5</x:v>
      </x:c>
      <x:c r="X13" s="20" t="n">
        <x:v>3</x:v>
      </x:c>
      <x:c r="Y13" t="str">
        <x:v>Basis arsip 2025/2024</x:v>
      </x:c>
      <x:c r="Z13" t="str">
        <x:v>https://snpmb.id/utbk-snbt/daya-tampung-snbt</x:v>
      </x:c>
      <x:c r="AA13" t="str">
        <x:v>Tidak Ada</x:v>
      </x:c>
      <x:c r="AB13" t="str">
        <x:v>Campus=80; Ratio=17.0; Prodi=40; RelDemand=8.8; Capacity=53.3</x:v>
      </x:c>
    </x:row>
    <x:row r="14">
      <x:c r="A14" t="n">
        <x:v>11</x:v>
      </x:c>
      <x:c r="B14" t="str">
        <x:v>PTN Akademik</x:v>
      </x:c>
      <x:c r="C14" t="str">
        <x:v>UNIVERSITAS SYIAH KUALA</x:v>
      </x:c>
      <x:c r="D14" t="str">
        <x:v>TEKNIK PERTANIAN</x:v>
      </x:c>
      <x:c r="E14" t="str">
        <x:v>Sarjana</x:v>
      </x:c>
      <x:c r="F14" s="18" t="n">
        <x:v>56</x:v>
      </x:c>
      <x:c r="G14" s="18" t="n">
        <x:v>171</x:v>
      </x:c>
      <x:c r="H14" s="19" t="n">
        <x:v>3.0535714285714284</x:v>
      </x:c>
      <x:c r="I14" s="18" t="n">
        <x:f>ROUND(MIN(Model_Config_v3!$B$6,MAX(Q14,R14,S14*Model_Config_v3!$B$4+T14*Model_Config_v3!$B$5)),0)</x:f>
        <x:v>640</x:v>
      </x:c>
      <x:c r="J14" s="18" t="n">
        <x:f>MIN(Model_Config_v3!$B$6,I14+Model_Config_v3!$B$7)</x:f>
        <x:v>660</x:v>
      </x:c>
      <x:c r="K14" s="20" t="n">
        <x:v>53.8</x:v>
      </x:c>
      <x:c r="L14" t="str">
        <x:v>MENENGAH</x:v>
      </x:c>
      <x:c r="M14" t="str">
        <x:v>SEDANG+</x:v>
      </x:c>
      <x:c r="N14" t="str">
        <x:v>ELITE-3</x:v>
      </x:c>
      <x:c r="O14" t="str">
        <x:v>SAINTEK</x:v>
      </x:c>
      <x:c r="P14" t="str">
        <x:v>TEKNIK/ARSITEKTUR/STATISTIKA/AKTUARIA</x:v>
      </x:c>
      <x:c r="Q14" s="18" t="n">
        <x:v>615</x:v>
      </x:c>
      <x:c r="R14" s="18" t="n">
        <x:v>0</x:v>
      </x:c>
      <x:c r="S14" s="18" t="n">
        <x:v>573.3288891724549</x:v>
      </x:c>
      <x:c r="T14" s="18" t="n">
        <x:v>668</x:v>
      </x:c>
      <x:c r="U14" s="18" t="n">
        <x:v>615</x:v>
      </x:c>
      <x:c r="V14" s="20" t="n">
        <x:v>12</x:v>
      </x:c>
      <x:c r="W14" s="20" t="n">
        <x:v>5</x:v>
      </x:c>
      <x:c r="X14" s="20" t="n">
        <x:v>3</x:v>
      </x:c>
      <x:c r="Y14" t="str">
        <x:v>Basis arsip 2025/2024</x:v>
      </x:c>
      <x:c r="Z14" t="str">
        <x:v>https://snpmb.id/utbk-snbt/daya-tampung-snbt</x:v>
      </x:c>
      <x:c r="AA14" t="str">
        <x:v>Tidak Ada</x:v>
      </x:c>
      <x:c r="AB14" t="str">
        <x:v>Campus=80; Ratio=28.5; Prodi=60; RelDemand=13.8; Capacity=53.3</x:v>
      </x:c>
    </x:row>
    <x:row r="15">
      <x:c r="A15" t="n">
        <x:v>12</x:v>
      </x:c>
      <x:c r="B15" t="str">
        <x:v>PTN Akademik</x:v>
      </x:c>
      <x:c r="C15" t="str">
        <x:v>UNIVERSITAS SYIAH KUALA</x:v>
      </x:c>
      <x:c r="D15" t="str">
        <x:v>PENDIDIKAN BIOLOGI</x:v>
      </x:c>
      <x:c r="E15" t="str">
        <x:v>Sarjana</x:v>
      </x:c>
      <x:c r="F15" s="18" t="n">
        <x:v>42</x:v>
      </x:c>
      <x:c r="G15" s="18" t="n">
        <x:v>194</x:v>
      </x:c>
      <x:c r="H15" s="19" t="n">
        <x:v>4.619047619047619</x:v>
      </x:c>
      <x:c r="I15" s="18" t="n">
        <x:f>ROUND(MIN(Model_Config_v3!$B$6,MAX(Q15,R15,S15*Model_Config_v3!$B$4+T15*Model_Config_v3!$B$5)),0)</x:f>
        <x:v>648</x:v>
      </x:c>
      <x:c r="J15" s="18" t="n">
        <x:f>MIN(Model_Config_v3!$B$6,I15+Model_Config_v3!$B$7)</x:f>
        <x:v>668</x:v>
      </x:c>
      <x:c r="K15" s="20" t="n">
        <x:v>55.4</x:v>
      </x:c>
      <x:c r="L15" t="str">
        <x:v>KETAT</x:v>
      </x:c>
      <x:c r="M15" t="str">
        <x:v>SEDANG+</x:v>
      </x:c>
      <x:c r="N15" t="str">
        <x:v>ELITE-3</x:v>
      </x:c>
      <x:c r="O15" t="str">
        <x:v>SAINTEK</x:v>
      </x:c>
      <x:c r="P15" t="str">
        <x:v>PENDIDIKAN</x:v>
      </x:c>
      <x:c r="Q15" s="18" t="n">
        <x:v>615</x:v>
      </x:c>
      <x:c r="R15" s="18" t="n">
        <x:v>0</x:v>
      </x:c>
      <x:c r="S15" s="18" t="n">
        <x:v>593.1007683485558</x:v>
      </x:c>
      <x:c r="T15" s="18" t="n">
        <x:v>671</x:v>
      </x:c>
      <x:c r="U15" s="18" t="n">
        <x:v>615</x:v>
      </x:c>
      <x:c r="V15" s="20" t="n">
        <x:v>12</x:v>
      </x:c>
      <x:c r="W15" s="20" t="n">
        <x:v>5</x:v>
      </x:c>
      <x:c r="X15" s="20" t="n">
        <x:v>3</x:v>
      </x:c>
      <x:c r="Y15" t="str">
        <x:v>Basis arsip 2025/2024</x:v>
      </x:c>
      <x:c r="Z15" t="str">
        <x:v>https://snpmb.id/utbk-snbt/daya-tampung-snbt</x:v>
      </x:c>
      <x:c r="AA15" t="str">
        <x:v>Tidak Ada</x:v>
      </x:c>
      <x:c r="AB15" t="str">
        <x:v>Campus=80; Ratio=39.1; Prodi=45; RelDemand=20.9; Capacity=65.0</x:v>
      </x:c>
    </x:row>
    <x:row r="16">
      <x:c r="A16" t="n">
        <x:v>13</x:v>
      </x:c>
      <x:c r="B16" t="str">
        <x:v>PTN Akademik</x:v>
      </x:c>
      <x:c r="C16" t="str">
        <x:v>UNIVERSITAS SYIAH KUALA</x:v>
      </x:c>
      <x:c r="D16" t="str">
        <x:v>PENDIDIKAN MATEMATIKA</x:v>
      </x:c>
      <x:c r="E16" t="str">
        <x:v>Sarjana</x:v>
      </x:c>
      <x:c r="F16" s="18" t="n">
        <x:v>42</x:v>
      </x:c>
      <x:c r="G16" s="18" t="n">
        <x:v>173</x:v>
      </x:c>
      <x:c r="H16" s="19" t="n">
        <x:v>4.119047619047619</x:v>
      </x:c>
      <x:c r="I16" s="18" t="n">
        <x:f>ROUND(MIN(Model_Config_v3!$B$6,MAX(Q16,R16,S16*Model_Config_v3!$B$4+T16*Model_Config_v3!$B$5)),0)</x:f>
        <x:v>645</x:v>
      </x:c>
      <x:c r="J16" s="18" t="n">
        <x:f>MIN(Model_Config_v3!$B$6,I16+Model_Config_v3!$B$7)</x:f>
        <x:v>665</x:v>
      </x:c>
      <x:c r="K16" s="20" t="n">
        <x:v>54.4</x:v>
      </x:c>
      <x:c r="L16" t="str">
        <x:v>MENENGAH</x:v>
      </x:c>
      <x:c r="M16" t="str">
        <x:v>SEDANG+</x:v>
      </x:c>
      <x:c r="N16" t="str">
        <x:v>ELITE-3</x:v>
      </x:c>
      <x:c r="O16" t="str">
        <x:v>SAINTEK</x:v>
      </x:c>
      <x:c r="P16" t="str">
        <x:v>PENDIDIKAN</x:v>
      </x:c>
      <x:c r="Q16" s="18" t="n">
        <x:v>615</x:v>
      </x:c>
      <x:c r="R16" s="18" t="n">
        <x:v>0</x:v>
      </x:c>
      <x:c r="S16" s="18" t="n">
        <x:v>587.6276494003985</x:v>
      </x:c>
      <x:c r="T16" s="18" t="n">
        <x:v>669</x:v>
      </x:c>
      <x:c r="U16" s="18" t="n">
        <x:v>615</x:v>
      </x:c>
      <x:c r="V16" s="20" t="n">
        <x:v>12</x:v>
      </x:c>
      <x:c r="W16" s="20" t="n">
        <x:v>5</x:v>
      </x:c>
      <x:c r="X16" s="20" t="n">
        <x:v>3</x:v>
      </x:c>
      <x:c r="Y16" t="str">
        <x:v>Basis arsip 2025/2024</x:v>
      </x:c>
      <x:c r="Z16" t="str">
        <x:v>https://snpmb.id/utbk-snbt/daya-tampung-snbt</x:v>
      </x:c>
      <x:c r="AA16" t="str">
        <x:v>Tidak Ada</x:v>
      </x:c>
      <x:c r="AB16" t="str">
        <x:v>Campus=80; Ratio=36.2; Prodi=45; RelDemand=18.6; Capacity=65.0</x:v>
      </x:c>
    </x:row>
    <x:row r="17">
      <x:c r="A17" t="n">
        <x:v>14</x:v>
      </x:c>
      <x:c r="B17" t="str">
        <x:v>PTN Akademik</x:v>
      </x:c>
      <x:c r="C17" t="str">
        <x:v>UNIVERSITAS SYIAH KUALA</x:v>
      </x:c>
      <x:c r="D17" t="str">
        <x:v>PENDIDIKAN FISIKA</x:v>
      </x:c>
      <x:c r="E17" t="str">
        <x:v>Sarjana</x:v>
      </x:c>
      <x:c r="F17" s="18" t="n">
        <x:v>42</x:v>
      </x:c>
      <x:c r="G17" s="18" t="n">
        <x:v>59</x:v>
      </x:c>
      <x:c r="H17" s="19" t="n">
        <x:v>1.4047619047619047</x:v>
      </x:c>
      <x:c r="I17" s="18" t="n">
        <x:f>ROUND(MIN(Model_Config_v3!$B$6,MAX(Q17,R17,S17*Model_Config_v3!$B$4+T17*Model_Config_v3!$B$5)),0)</x:f>
        <x:v>618</x:v>
      </x:c>
      <x:c r="J17" s="18" t="n">
        <x:f>MIN(Model_Config_v3!$B$6,I17+Model_Config_v3!$B$7)</x:f>
        <x:v>638</x:v>
      </x:c>
      <x:c r="K17" s="20" t="n">
        <x:v>46.3</x:v>
      </x:c>
      <x:c r="L17" t="str">
        <x:v>MENENGAH</x:v>
      </x:c>
      <x:c r="M17" t="str">
        <x:v>SEDANG+</x:v>
      </x:c>
      <x:c r="N17" t="str">
        <x:v>ELITE-3</x:v>
      </x:c>
      <x:c r="O17" t="str">
        <x:v>SAINTEK</x:v>
      </x:c>
      <x:c r="P17" t="str">
        <x:v>PENDIDIKAN</x:v>
      </x:c>
      <x:c r="Q17" s="18" t="n">
        <x:v>615</x:v>
      </x:c>
      <x:c r="R17" s="18" t="n">
        <x:v>0</x:v>
      </x:c>
      <x:c r="S17" s="18" t="n">
        <x:v>536.2362993368668</x:v>
      </x:c>
      <x:c r="T17" s="18" t="n">
        <x:v>653</x:v>
      </x:c>
      <x:c r="U17" s="18" t="n">
        <x:v>615</x:v>
      </x:c>
      <x:c r="V17" s="20" t="n">
        <x:v>12</x:v>
      </x:c>
      <x:c r="W17" s="20" t="n">
        <x:v>5</x:v>
      </x:c>
      <x:c r="X17" s="20" t="n">
        <x:v>3</x:v>
      </x:c>
      <x:c r="Y17" t="str">
        <x:v>Basis arsip 2025/2024</x:v>
      </x:c>
      <x:c r="Z17" t="str">
        <x:v>https://snpmb.id/utbk-snbt/daya-tampung-snbt</x:v>
      </x:c>
      <x:c r="AA17" t="str">
        <x:v>Tidak Ada</x:v>
      </x:c>
      <x:c r="AB17" t="str">
        <x:v>Campus=80; Ratio=8.7; Prodi=45; RelDemand=6.3; Capacity=65.0</x:v>
      </x:c>
    </x:row>
    <x:row r="18">
      <x:c r="A18" t="n">
        <x:v>15</x:v>
      </x:c>
      <x:c r="B18" t="str">
        <x:v>PTN Akademik</x:v>
      </x:c>
      <x:c r="C18" t="str">
        <x:v>UNIVERSITAS SYIAH KUALA</x:v>
      </x:c>
      <x:c r="D18" t="str">
        <x:v>PENDIDIKAN KIMIA</x:v>
      </x:c>
      <x:c r="E18" t="str">
        <x:v>Sarjana</x:v>
      </x:c>
      <x:c r="F18" s="18" t="n">
        <x:v>42</x:v>
      </x:c>
      <x:c r="G18" s="18" t="n">
        <x:v>55</x:v>
      </x:c>
      <x:c r="H18" s="19" t="n">
        <x:v>1.3095238095238095</x:v>
      </x:c>
      <x:c r="I18" s="18" t="n">
        <x:f>ROUND(MIN(Model_Config_v3!$B$6,MAX(Q18,R18,S18*Model_Config_v3!$B$4+T18*Model_Config_v3!$B$5)),0)</x:f>
        <x:v>616</x:v>
      </x:c>
      <x:c r="J18" s="18" t="n">
        <x:f>MIN(Model_Config_v3!$B$6,I18+Model_Config_v3!$B$7)</x:f>
        <x:v>636</x:v>
      </x:c>
      <x:c r="K18" s="20" t="n">
        <x:v>45.8</x:v>
      </x:c>
      <x:c r="L18" t="str">
        <x:v>MENENGAH</x:v>
      </x:c>
      <x:c r="M18" t="str">
        <x:v>SEDANG+</x:v>
      </x:c>
      <x:c r="N18" t="str">
        <x:v>ELITE-3</x:v>
      </x:c>
      <x:c r="O18" t="str">
        <x:v>SAINTEK</x:v>
      </x:c>
      <x:c r="P18" t="str">
        <x:v>PENDIDIKAN</x:v>
      </x:c>
      <x:c r="Q18" s="18" t="n">
        <x:v>615</x:v>
      </x:c>
      <x:c r="R18" s="18" t="n">
        <x:v>0</x:v>
      </x:c>
      <x:c r="S18" s="18" t="n">
        <x:v>532.8824739005978</x:v>
      </x:c>
      <x:c r="T18" s="18" t="n">
        <x:v>652</x:v>
      </x:c>
      <x:c r="U18" s="18" t="n">
        <x:v>615</x:v>
      </x:c>
      <x:c r="V18" s="20" t="n">
        <x:v>12</x:v>
      </x:c>
      <x:c r="W18" s="20" t="n">
        <x:v>5</x:v>
      </x:c>
      <x:c r="X18" s="20" t="n">
        <x:v>3</x:v>
      </x:c>
      <x:c r="Y18" t="str">
        <x:v>Basis arsip 2025/2024</x:v>
      </x:c>
      <x:c r="Z18" t="str">
        <x:v>https://snpmb.id/utbk-snbt/daya-tampung-snbt</x:v>
      </x:c>
      <x:c r="AA18" t="str">
        <x:v>Tidak Ada</x:v>
      </x:c>
      <x:c r="AB18" t="str">
        <x:v>Campus=80; Ratio=6.9; Prodi=45; RelDemand=5.9; Capacity=65.0</x:v>
      </x:c>
    </x:row>
    <x:row r="19">
      <x:c r="A19" t="n">
        <x:v>16</x:v>
      </x:c>
      <x:c r="B19" t="str">
        <x:v>PTN Akademik</x:v>
      </x:c>
      <x:c r="C19" t="str">
        <x:v>UNIVERSITAS SYIAH KUALA</x:v>
      </x:c>
      <x:c r="D19" t="str">
        <x:v>PENDIDIKAN DOKTER</x:v>
      </x:c>
      <x:c r="E19" t="str">
        <x:v>Sarjana</x:v>
      </x:c>
      <x:c r="F19" s="18" t="n">
        <x:v>88</x:v>
      </x:c>
      <x:c r="G19" s="18" t="n">
        <x:v>1859</x:v>
      </x:c>
      <x:c r="H19" s="19" t="n">
        <x:v>21.125</x:v>
      </x:c>
      <x:c r="I19" s="18" t="n">
        <x:f>ROUND(MIN(Model_Config_v3!$B$6,MAX(Q19,R19,S19*Model_Config_v3!$B$4+T19*Model_Config_v3!$B$5)),0)</x:f>
        <x:v>703</x:v>
      </x:c>
      <x:c r="J19" s="18" t="n">
        <x:f>MIN(Model_Config_v3!$B$6,I19+Model_Config_v3!$B$7)</x:f>
        <x:v>723</x:v>
      </x:c>
      <x:c r="K19" s="20" t="n">
        <x:v>79.7</x:v>
      </x:c>
      <x:c r="L19" t="str">
        <x:v>ELITE</x:v>
      </x:c>
      <x:c r="M19" t="str">
        <x:v>SEDANG+</x:v>
      </x:c>
      <x:c r="N19" t="str">
        <x:v>ELITE-3</x:v>
      </x:c>
      <x:c r="O19" t="str">
        <x:v>SAINTEK</x:v>
      </x:c>
      <x:c r="P19" t="str">
        <x:v>KEDOKTERAN</x:v>
      </x:c>
      <x:c r="Q19" s="18" t="n">
        <x:v>615</x:v>
      </x:c>
      <x:c r="R19" s="18" t="n">
        <x:v>700</x:v>
      </x:c>
      <x:c r="S19" s="18" t="n">
        <x:v>665.7276389383903</x:v>
      </x:c>
      <x:c r="T19" s="18" t="n">
        <x:v>719</x:v>
      </x:c>
      <x:c r="U19" s="18" t="n">
        <x:v>705.7276389383903</x:v>
      </x:c>
      <x:c r="V19" s="20" t="n">
        <x:v>12</x:v>
      </x:c>
      <x:c r="W19" s="20" t="n">
        <x:v>5</x:v>
      </x:c>
      <x:c r="X19" s="20" t="n">
        <x:v>3</x:v>
      </x:c>
      <x:c r="Y19" t="str">
        <x:v>Basis arsip 2025/2024</x:v>
      </x:c>
      <x:c r="Z19" t="str">
        <x:v>https://snpmb.id/utbk-snbt/daya-tampung-snbt</x:v>
      </x:c>
      <x:c r="AA19" t="str">
        <x:v>Tidak Ada</x:v>
      </x:c>
      <x:c r="AB19" t="str">
        <x:v>Campus=80; Ratio=78.0; Prodi=100; RelDemand=95.5; Capacity=26.7</x:v>
      </x:c>
    </x:row>
    <x:row r="20">
      <x:c r="A20" t="n">
        <x:v>17</x:v>
      </x:c>
      <x:c r="B20" t="str">
        <x:v>PTN Akademik</x:v>
      </x:c>
      <x:c r="C20" t="str">
        <x:v>UNIVERSITAS SYIAH KUALA</x:v>
      </x:c>
      <x:c r="D20" t="str">
        <x:v>ILMU KEPERAWATAN</x:v>
      </x:c>
      <x:c r="E20" t="str">
        <x:v>Sarjana</x:v>
      </x:c>
      <x:c r="F20" s="18" t="n">
        <x:v>126</x:v>
      </x:c>
      <x:c r="G20" s="18" t="n">
        <x:v>1313</x:v>
      </x:c>
      <x:c r="H20" s="19" t="n">
        <x:v>10.420634920634921</x:v>
      </x:c>
      <x:c r="I20" s="18" t="n">
        <x:f>ROUND(MIN(Model_Config_v3!$B$6,MAX(Q20,R20,S20*Model_Config_v3!$B$4+T20*Model_Config_v3!$B$5)),0)</x:f>
        <x:v>663</x:v>
      </x:c>
      <x:c r="J20" s="18" t="n">
        <x:f>MIN(Model_Config_v3!$B$6,I20+Model_Config_v3!$B$7)</x:f>
        <x:v>683</x:v>
      </x:c>
      <x:c r="K20" s="20" t="n">
        <x:v>58.7</x:v>
      </x:c>
      <x:c r="L20" t="str">
        <x:v>KETAT</x:v>
      </x:c>
      <x:c r="M20" t="str">
        <x:v>SEDANG+</x:v>
      </x:c>
      <x:c r="N20" t="str">
        <x:v>ELITE-3</x:v>
      </x:c>
      <x:c r="O20" t="str">
        <x:v>SAINTEK</x:v>
      </x:c>
      <x:c r="P20" t="str">
        <x:v>KESEHAT/GIZI/KEPERAWATAN</x:v>
      </x:c>
      <x:c r="Q20" s="18" t="n">
        <x:v>615</x:v>
      </x:c>
      <x:c r="R20" s="18" t="n">
        <x:v>0</x:v>
      </x:c>
      <x:c r="S20" s="18" t="n">
        <x:v>631.9683599069108</x:v>
      </x:c>
      <x:c r="T20" s="18" t="n">
        <x:v>677</x:v>
      </x:c>
      <x:c r="U20" s="18" t="n">
        <x:v>631.9683599069108</x:v>
      </x:c>
      <x:c r="V20" s="20" t="n">
        <x:v>12</x:v>
      </x:c>
      <x:c r="W20" s="20" t="n">
        <x:v>5</x:v>
      </x:c>
      <x:c r="X20" s="20" t="n">
        <x:v>3</x:v>
      </x:c>
      <x:c r="Y20" t="str">
        <x:v>Basis arsip 2025/2024</x:v>
      </x:c>
      <x:c r="Z20" t="str">
        <x:v>https://snpmb.id/utbk-snbt/daya-tampung-snbt</x:v>
      </x:c>
      <x:c r="AA20" t="str">
        <x:v>Tidak Ada</x:v>
      </x:c>
      <x:c r="AB20" t="str">
        <x:v>Campus=80; Ratio=59.9; Prodi=55; RelDemand=47.1; Capacity=0.0</x:v>
      </x:c>
    </x:row>
    <x:row r="21">
      <x:c r="A21" t="n">
        <x:v>18</x:v>
      </x:c>
      <x:c r="B21" t="str">
        <x:v>PTN Akademik</x:v>
      </x:c>
      <x:c r="C21" t="str">
        <x:v>UNIVERSITAS SYIAH KUALA</x:v>
      </x:c>
      <x:c r="D21" t="str">
        <x:v>PENDIDIKAN DOKTER GIGI</x:v>
      </x:c>
      <x:c r="E21" t="str">
        <x:v>Sarjana</x:v>
      </x:c>
      <x:c r="F21" s="18" t="n">
        <x:v>35</x:v>
      </x:c>
      <x:c r="G21" s="18" t="n">
        <x:v>858</x:v>
      </x:c>
      <x:c r="H21" s="19" t="n">
        <x:v>24.514285714285716</x:v>
      </x:c>
      <x:c r="I21" s="18" t="n">
        <x:f>ROUND(MIN(Model_Config_v3!$B$6,MAX(Q21,R21,S21*Model_Config_v3!$B$4+T21*Model_Config_v3!$B$5)),0)</x:f>
        <x:v>711</x:v>
      </x:c>
      <x:c r="J21" s="18" t="n">
        <x:f>MIN(Model_Config_v3!$B$6,I21+Model_Config_v3!$B$7)</x:f>
        <x:v>731</x:v>
      </x:c>
      <x:c r="K21" s="20" t="n">
        <x:v>83.5</x:v>
      </x:c>
      <x:c r="L21" t="str">
        <x:v>ELITE</x:v>
      </x:c>
      <x:c r="M21" t="str">
        <x:v>SEDANG+</x:v>
      </x:c>
      <x:c r="N21" t="str">
        <x:v>ELITE-3</x:v>
      </x:c>
      <x:c r="O21" t="str">
        <x:v>SAINTEK</x:v>
      </x:c>
      <x:c r="P21" t="str">
        <x:v>KEDOKTERAN GIGI</x:v>
      </x:c>
      <x:c r="Q21" s="18" t="n">
        <x:v>615</x:v>
      </x:c>
      <x:c r="R21" s="18" t="n">
        <x:v>680</x:v>
      </x:c>
      <x:c r="S21" s="18" t="n">
        <x:v>672.8361167848273</x:v>
      </x:c>
      <x:c r="T21" s="18" t="n">
        <x:v>727</x:v>
      </x:c>
      <x:c r="U21" s="18" t="n">
        <x:v>702.8361167848273</x:v>
      </x:c>
      <x:c r="V21" s="20" t="n">
        <x:v>12</x:v>
      </x:c>
      <x:c r="W21" s="20" t="n">
        <x:v>5</x:v>
      </x:c>
      <x:c r="X21" s="20" t="n">
        <x:v>3</x:v>
      </x:c>
      <x:c r="Y21" t="str">
        <x:v>Basis arsip 2025/2024</x:v>
      </x:c>
      <x:c r="Z21" t="str">
        <x:v>https://snpmb.id/utbk-snbt/daya-tampung-snbt</x:v>
      </x:c>
      <x:c r="AA21" t="str">
        <x:v>Tidak Ada</x:v>
      </x:c>
      <x:c r="AB21" t="str">
        <x:v>Campus=80; Ratio=81.8; Prodi=90; RelDemand=100.0; Capacity=70.8</x:v>
      </x:c>
    </x:row>
    <x:row r="22">
      <x:c r="A22" t="n">
        <x:v>19</x:v>
      </x:c>
      <x:c r="B22" t="str">
        <x:v>PTN Akademik</x:v>
      </x:c>
      <x:c r="C22" t="str">
        <x:v>UNIVERSITAS SYIAH KUALA</x:v>
      </x:c>
      <x:c r="D22" t="str">
        <x:v>MATEMATIKA</x:v>
      </x:c>
      <x:c r="E22" t="str">
        <x:v>Sarjana</x:v>
      </x:c>
      <x:c r="F22" s="18" t="n">
        <x:v>28</x:v>
      </x:c>
      <x:c r="G22" s="18" t="n">
        <x:v>50</x:v>
      </x:c>
      <x:c r="H22" s="19" t="n">
        <x:v>1.7857142857142858</x:v>
      </x:c>
      <x:c r="I22" s="18" t="n">
        <x:f>ROUND(MIN(Model_Config_v3!$B$6,MAX(Q22,R22,S22*Model_Config_v3!$B$4+T22*Model_Config_v3!$B$5)),0)</x:f>
        <x:v>626</x:v>
      </x:c>
      <x:c r="J22" s="18" t="n">
        <x:f>MIN(Model_Config_v3!$B$6,I22+Model_Config_v3!$B$7)</x:f>
        <x:v>646</x:v>
      </x:c>
      <x:c r="K22" s="20" t="n">
        <x:v>50.2</x:v>
      </x:c>
      <x:c r="L22" t="str">
        <x:v>MENENGAH</x:v>
      </x:c>
      <x:c r="M22" t="str">
        <x:v>SEDANG+</x:v>
      </x:c>
      <x:c r="N22" t="str">
        <x:v>ELITE-3</x:v>
      </x:c>
      <x:c r="O22" t="str">
        <x:v>SAINTEK</x:v>
      </x:c>
      <x:c r="P22" t="str">
        <x:v>SAINS DASAR</x:v>
      </x:c>
      <x:c r="Q22" s="18" t="n">
        <x:v>615</x:v>
      </x:c>
      <x:c r="R22" s="18" t="n">
        <x:v>0</x:v>
      </x:c>
      <x:c r="S22" s="18" t="n">
        <x:v>547.699317029318</x:v>
      </x:c>
      <x:c r="T22" s="18" t="n">
        <x:v>660</x:v>
      </x:c>
      <x:c r="U22" s="18" t="n">
        <x:v>615</x:v>
      </x:c>
      <x:c r="V22" s="20" t="n">
        <x:v>12</x:v>
      </x:c>
      <x:c r="W22" s="20" t="n">
        <x:v>5</x:v>
      </x:c>
      <x:c r="X22" s="20" t="n">
        <x:v>3</x:v>
      </x:c>
      <x:c r="Y22" t="str">
        <x:v>Basis arsip 2025/2024</x:v>
      </x:c>
      <x:c r="Z22" t="str">
        <x:v>https://snpmb.id/utbk-snbt/daya-tampung-snbt</x:v>
      </x:c>
      <x:c r="AA22" t="str">
        <x:v>Tidak Ada</x:v>
      </x:c>
      <x:c r="AB22" t="str">
        <x:v>Campus=80; Ratio=14.8; Prodi=50; RelDemand=8.1; Capacity=76.7</x:v>
      </x:c>
    </x:row>
    <x:row r="23">
      <x:c r="A23" t="n">
        <x:v>20</x:v>
      </x:c>
      <x:c r="B23" t="str">
        <x:v>PTN Akademik</x:v>
      </x:c>
      <x:c r="C23" t="str">
        <x:v>UNIVERSITAS SYIAH KUALA</x:v>
      </x:c>
      <x:c r="D23" t="str">
        <x:v>FISIKA</x:v>
      </x:c>
      <x:c r="E23" t="str">
        <x:v>Sarjana</x:v>
      </x:c>
      <x:c r="F23" s="18" t="n">
        <x:v>28</x:v>
      </x:c>
      <x:c r="G23" s="18" t="n">
        <x:v>14</x:v>
      </x:c>
      <x:c r="H23" s="19" t="n">
        <x:v>0.5</x:v>
      </x:c>
      <x:c r="I23" s="18" t="n">
        <x:f>ROUND(MIN(Model_Config_v3!$B$6,MAX(Q23,R23,S23*Model_Config_v3!$B$4+T23*Model_Config_v3!$B$5)),0)</x:f>
        <x:v>615</x:v>
      </x:c>
      <x:c r="J23" s="18" t="n">
        <x:f>MIN(Model_Config_v3!$B$6,I23+Model_Config_v3!$B$7)</x:f>
        <x:v>635</x:v>
      </x:c>
      <x:c r="K23" s="20" t="n">
        <x:v>45.9</x:v>
      </x:c>
      <x:c r="L23" t="str">
        <x:v>MENENGAH</x:v>
      </x:c>
      <x:c r="M23" t="str">
        <x:v>SEDANG+</x:v>
      </x:c>
      <x:c r="N23" t="str">
        <x:v>ELITE-3</x:v>
      </x:c>
      <x:c r="O23" t="str">
        <x:v>SAINTEK</x:v>
      </x:c>
      <x:c r="P23" t="str">
        <x:v>SAINS DASAR</x:v>
      </x:c>
      <x:c r="Q23" s="18" t="n">
        <x:v>615</x:v>
      </x:c>
      <x:c r="R23" s="18" t="n">
        <x:v>0</x:v>
      </x:c>
      <x:c r="S23" s="18" t="n">
        <x:v>520</x:v>
      </x:c>
      <x:c r="T23" s="18" t="n">
        <x:v>652</x:v>
      </x:c>
      <x:c r="U23" s="18" t="n">
        <x:v>615</x:v>
      </x:c>
      <x:c r="V23" s="20" t="n">
        <x:v>12</x:v>
      </x:c>
      <x:c r="W23" s="20" t="n">
        <x:v>5</x:v>
      </x:c>
      <x:c r="X23" s="20" t="n">
        <x:v>3</x:v>
      </x:c>
      <x:c r="Y23" t="str">
        <x:v>Basis arsip 2025/2024</x:v>
      </x:c>
      <x:c r="Z23" t="str">
        <x:v>https://snpmb.id/utbk-snbt/daya-tampung-snbt</x:v>
      </x:c>
      <x:c r="AA23" t="str">
        <x:v>Tidak Ada</x:v>
      </x:c>
      <x:c r="AB23" t="str">
        <x:v>Campus=80; Ratio=0.0; Prodi=50; RelDemand=2.3; Capacity=76.7</x:v>
      </x:c>
    </x:row>
    <x:row r="24">
      <x:c r="A24" t="n">
        <x:v>21</x:v>
      </x:c>
      <x:c r="B24" t="str">
        <x:v>PTN Akademik</x:v>
      </x:c>
      <x:c r="C24" t="str">
        <x:v>UNIVERSITAS SYIAH KUALA</x:v>
      </x:c>
      <x:c r="D24" t="str">
        <x:v>KIMIA</x:v>
      </x:c>
      <x:c r="E24" t="str">
        <x:v>Sarjana</x:v>
      </x:c>
      <x:c r="F24" s="18" t="n">
        <x:v>28</x:v>
      </x:c>
      <x:c r="G24" s="18" t="n">
        <x:v>58</x:v>
      </x:c>
      <x:c r="H24" s="19" t="n">
        <x:v>2.0714285714285716</x:v>
      </x:c>
      <x:c r="I24" s="18" t="n">
        <x:f>ROUND(MIN(Model_Config_v3!$B$6,MAX(Q24,R24,S24*Model_Config_v3!$B$4+T24*Model_Config_v3!$B$5)),0)</x:f>
        <x:v>631</x:v>
      </x:c>
      <x:c r="J24" s="18" t="n">
        <x:f>MIN(Model_Config_v3!$B$6,I24+Model_Config_v3!$B$7)</x:f>
        <x:v>651</x:v>
      </x:c>
      <x:c r="K24" s="20" t="n">
        <x:v>51.3</x:v>
      </x:c>
      <x:c r="L24" t="str">
        <x:v>MENENGAH</x:v>
      </x:c>
      <x:c r="M24" t="str">
        <x:v>SEDANG+</x:v>
      </x:c>
      <x:c r="N24" t="str">
        <x:v>ELITE-3</x:v>
      </x:c>
      <x:c r="O24" t="str">
        <x:v>SAINTEK</x:v>
      </x:c>
      <x:c r="P24" t="str">
        <x:v>SAINS DASAR</x:v>
      </x:c>
      <x:c r="Q24" s="18" t="n">
        <x:v>615</x:v>
      </x:c>
      <x:c r="R24" s="18" t="n">
        <x:v>0</x:v>
      </x:c>
      <x:c r="S24" s="18" t="n">
        <x:v>554.789695844279</x:v>
      </x:c>
      <x:c r="T24" s="18" t="n">
        <x:v>663</x:v>
      </x:c>
      <x:c r="U24" s="18" t="n">
        <x:v>615</x:v>
      </x:c>
      <x:c r="V24" s="20" t="n">
        <x:v>12</x:v>
      </x:c>
      <x:c r="W24" s="20" t="n">
        <x:v>5</x:v>
      </x:c>
      <x:c r="X24" s="20" t="n">
        <x:v>3</x:v>
      </x:c>
      <x:c r="Y24" t="str">
        <x:v>Basis arsip 2025/2024</x:v>
      </x:c>
      <x:c r="Z24" t="str">
        <x:v>https://snpmb.id/utbk-snbt/daya-tampung-snbt</x:v>
      </x:c>
      <x:c r="AA24" t="str">
        <x:v>Tidak Ada</x:v>
      </x:c>
      <x:c r="AB24" t="str">
        <x:v>Campus=80; Ratio=18.6; Prodi=50; RelDemand=9.4; Capacity=76.7</x:v>
      </x:c>
    </x:row>
    <x:row r="25">
      <x:c r="A25" t="n">
        <x:v>22</x:v>
      </x:c>
      <x:c r="B25" t="str">
        <x:v>PTN Akademik</x:v>
      </x:c>
      <x:c r="C25" t="str">
        <x:v>UNIVERSITAS SYIAH KUALA</x:v>
      </x:c>
      <x:c r="D25" t="str">
        <x:v>BIOLOGI</x:v>
      </x:c>
      <x:c r="E25" t="str">
        <x:v>Sarjana</x:v>
      </x:c>
      <x:c r="F25" s="18" t="n">
        <x:v>42</x:v>
      </x:c>
      <x:c r="G25" s="18" t="n">
        <x:v>120</x:v>
      </x:c>
      <x:c r="H25" s="19" t="n">
        <x:v>2.857142857142857</x:v>
      </x:c>
      <x:c r="I25" s="18" t="n">
        <x:f>ROUND(MIN(Model_Config_v3!$B$6,MAX(Q25,R25,S25*Model_Config_v3!$B$4+T25*Model_Config_v3!$B$5)),0)</x:f>
        <x:v>637</x:v>
      </x:c>
      <x:c r="J25" s="18" t="n">
        <x:f>MIN(Model_Config_v3!$B$6,I25+Model_Config_v3!$B$7)</x:f>
        <x:v>657</x:v>
      </x:c>
      <x:c r="K25" s="20" t="n">
        <x:v>52.5</x:v>
      </x:c>
      <x:c r="L25" t="str">
        <x:v>MENENGAH</x:v>
      </x:c>
      <x:c r="M25" t="str">
        <x:v>SEDANG+</x:v>
      </x:c>
      <x:c r="N25" t="str">
        <x:v>ELITE-3</x:v>
      </x:c>
      <x:c r="O25" t="str">
        <x:v>SAINTEK</x:v>
      </x:c>
      <x:c r="P25" t="str">
        <x:v>SAINS DASAR</x:v>
      </x:c>
      <x:c r="Q25" s="18" t="n">
        <x:v>615</x:v>
      </x:c>
      <x:c r="R25" s="18" t="n">
        <x:v>0</x:v>
      </x:c>
      <x:c r="S25" s="18" t="n">
        <x:v>570.1525151214697</x:v>
      </x:c>
      <x:c r="T25" s="18" t="n">
        <x:v>665</x:v>
      </x:c>
      <x:c r="U25" s="18" t="n">
        <x:v>615</x:v>
      </x:c>
      <x:c r="V25" s="20" t="n">
        <x:v>12</x:v>
      </x:c>
      <x:c r="W25" s="20" t="n">
        <x:v>5</x:v>
      </x:c>
      <x:c r="X25" s="20" t="n">
        <x:v>3</x:v>
      </x:c>
      <x:c r="Y25" t="str">
        <x:v>Basis arsip 2025/2024</x:v>
      </x:c>
      <x:c r="Z25" t="str">
        <x:v>https://snpmb.id/utbk-snbt/daya-tampung-snbt</x:v>
      </x:c>
      <x:c r="AA25" t="str">
        <x:v>Tidak Ada</x:v>
      </x:c>
      <x:c r="AB25" t="str">
        <x:v>Campus=80; Ratio=26.8; Prodi=50; RelDemand=12.9; Capacity=65.0</x:v>
      </x:c>
    </x:row>
    <x:row r="26">
      <x:c r="A26" t="n">
        <x:v>23</x:v>
      </x:c>
      <x:c r="B26" t="str">
        <x:v>PTN Akademik</x:v>
      </x:c>
      <x:c r="C26" t="str">
        <x:v>UNIVERSITAS SYIAH KUALA</x:v>
      </x:c>
      <x:c r="D26" t="str">
        <x:v>ILMU KELAUTAN</x:v>
      </x:c>
      <x:c r="E26" t="str">
        <x:v>Sarjana</x:v>
      </x:c>
      <x:c r="F26" s="18" t="n">
        <x:v>56</x:v>
      </x:c>
      <x:c r="G26" s="18" t="n">
        <x:v>132</x:v>
      </x:c>
      <x:c r="H26" s="19" t="n">
        <x:v>2.357142857142857</x:v>
      </x:c>
      <x:c r="I26" s="18" t="n">
        <x:f>ROUND(MIN(Model_Config_v3!$B$6,MAX(Q26,R26,S26*Model_Config_v3!$B$4+T26*Model_Config_v3!$B$5)),0)</x:f>
        <x:v>627</x:v>
      </x:c>
      <x:c r="J26" s="18" t="n">
        <x:f>MIN(Model_Config_v3!$B$6,I26+Model_Config_v3!$B$7)</x:f>
        <x:v>647</x:v>
      </x:c>
      <x:c r="K26" s="20" t="n">
        <x:v>47.9</x:v>
      </x:c>
      <x:c r="L26" t="str">
        <x:v>MENENGAH</x:v>
      </x:c>
      <x:c r="M26" t="str">
        <x:v>SEDANG+</x:v>
      </x:c>
      <x:c r="N26" t="str">
        <x:v>ELITE-3</x:v>
      </x:c>
      <x:c r="O26" t="str">
        <x:v>SAINTEK</x:v>
      </x:c>
      <x:c r="P26" t="str">
        <x:v>UMUM</x:v>
      </x:c>
      <x:c r="Q26" s="18" t="n">
        <x:v>615</x:v>
      </x:c>
      <x:c r="R26" s="18" t="n">
        <x:v>0</x:v>
      </x:c>
      <x:c r="S26" s="18" t="n">
        <x:v>560.9624494619615</x:v>
      </x:c>
      <x:c r="T26" s="18" t="n">
        <x:v>656</x:v>
      </x:c>
      <x:c r="U26" s="18" t="n">
        <x:v>615</x:v>
      </x:c>
      <x:c r="V26" s="20" t="n">
        <x:v>12</x:v>
      </x:c>
      <x:c r="W26" s="20" t="n">
        <x:v>5</x:v>
      </x:c>
      <x:c r="X26" s="20" t="n">
        <x:v>3</x:v>
      </x:c>
      <x:c r="Y26" t="str">
        <x:v>Basis arsip 2025/2024</x:v>
      </x:c>
      <x:c r="Z26" t="str">
        <x:v>https://snpmb.id/utbk-snbt/daya-tampung-snbt</x:v>
      </x:c>
      <x:c r="AA26" t="str">
        <x:v>Tidak Ada</x:v>
      </x:c>
      <x:c r="AB26" t="str">
        <x:v>Campus=80; Ratio=21.9; Prodi=40; RelDemand=10.7; Capacity=53.3</x:v>
      </x:c>
    </x:row>
    <x:row r="27">
      <x:c r="A27" t="n">
        <x:v>24</x:v>
      </x:c>
      <x:c r="B27" t="str">
        <x:v>PTN Akademik</x:v>
      </x:c>
      <x:c r="C27" t="str">
        <x:v>UNIVERSITAS SYIAH KUALA</x:v>
      </x:c>
      <x:c r="D27" t="str">
        <x:v>BUDIDAYA PERAIRAN</x:v>
      </x:c>
      <x:c r="E27" t="str">
        <x:v>Sarjana</x:v>
      </x:c>
      <x:c r="F27" s="18" t="n">
        <x:v>56</x:v>
      </x:c>
      <x:c r="G27" s="18" t="n">
        <x:v>71</x:v>
      </x:c>
      <x:c r="H27" s="19" t="n">
        <x:v>1.2678571428571428</x:v>
      </x:c>
      <x:c r="I27" s="18" t="n">
        <x:f>ROUND(MIN(Model_Config_v3!$B$6,MAX(Q27,R27,S27*Model_Config_v3!$B$4+T27*Model_Config_v3!$B$5)),0)</x:f>
        <x:v>615</x:v>
      </x:c>
      <x:c r="J27" s="18" t="n">
        <x:f>MIN(Model_Config_v3!$B$6,I27+Model_Config_v3!$B$7)</x:f>
        <x:v>635</x:v>
      </x:c>
      <x:c r="K27" s="20" t="n">
        <x:v>43.4</x:v>
      </x:c>
      <x:c r="L27" t="str">
        <x:v>RELATIF LONGGAR</x:v>
      </x:c>
      <x:c r="M27" t="str">
        <x:v>SEDANG+</x:v>
      </x:c>
      <x:c r="N27" t="str">
        <x:v>ELITE-3</x:v>
      </x:c>
      <x:c r="O27" t="str">
        <x:v>CAMPURAN</x:v>
      </x:c>
      <x:c r="P27" t="str">
        <x:v>UMUM</x:v>
      </x:c>
      <x:c r="Q27" s="18" t="n">
        <x:v>615</x:v>
      </x:c>
      <x:c r="R27" s="18" t="n">
        <x:v>0</x:v>
      </x:c>
      <x:c r="S27" s="18" t="n">
        <x:v>531.3377353884163</x:v>
      </x:c>
      <x:c r="T27" s="18" t="n">
        <x:v>647</x:v>
      </x:c>
      <x:c r="U27" s="18" t="n">
        <x:v>615</x:v>
      </x:c>
      <x:c r="V27" s="20" t="n">
        <x:v>8.8</x:v>
      </x:c>
      <x:c r="W27" s="20" t="n">
        <x:v>9.9</x:v>
      </x:c>
      <x:c r="X27" s="20" t="n">
        <x:v>3.3</x:v>
      </x:c>
      <x:c r="Y27" t="str">
        <x:v>Basis arsip 2025/2024</x:v>
      </x:c>
      <x:c r="Z27" t="str">
        <x:v>https://snpmb.id/utbk-snbt/daya-tampung-snbt</x:v>
      </x:c>
      <x:c r="AA27" t="str">
        <x:v>Tidak Ada</x:v>
      </x:c>
      <x:c r="AB27" t="str">
        <x:v>Campus=80; Ratio=6.1; Prodi=40; RelDemand=5.7; Capacity=53.3</x:v>
      </x:c>
    </x:row>
    <x:row r="28">
      <x:c r="A28" t="n">
        <x:v>25</x:v>
      </x:c>
      <x:c r="B28" t="str">
        <x:v>PTN Akademik</x:v>
      </x:c>
      <x:c r="C28" t="str">
        <x:v>UNIVERSITAS SYIAH KUALA</x:v>
      </x:c>
      <x:c r="D28" t="str">
        <x:v>TEKNIK INDUSTRI</x:v>
      </x:c>
      <x:c r="E28" t="str">
        <x:v>Sarjana</x:v>
      </x:c>
      <x:c r="F28" s="18" t="n">
        <x:v>42</x:v>
      </x:c>
      <x:c r="G28" s="18" t="n">
        <x:v>445</x:v>
      </x:c>
      <x:c r="H28" s="19" t="n">
        <x:v>10.595238095238095</x:v>
      </x:c>
      <x:c r="I28" s="18" t="n">
        <x:f>ROUND(MIN(Model_Config_v3!$B$6,MAX(Q28,R28,S28*Model_Config_v3!$B$4+T28*Model_Config_v3!$B$5)),0)</x:f>
        <x:v>675</x:v>
      </x:c>
      <x:c r="J28" s="18" t="n">
        <x:f>MIN(Model_Config_v3!$B$6,I28+Model_Config_v3!$B$7)</x:f>
        <x:v>695</x:v>
      </x:c>
      <x:c r="K28" s="20" t="n">
        <x:v>66.4</x:v>
      </x:c>
      <x:c r="L28" t="str">
        <x:v>SANGAT KETAT</x:v>
      </x:c>
      <x:c r="M28" t="str">
        <x:v>SEDANG+</x:v>
      </x:c>
      <x:c r="N28" t="str">
        <x:v>ELITE-3</x:v>
      </x:c>
      <x:c r="O28" t="str">
        <x:v>SAINTEK</x:v>
      </x:c>
      <x:c r="P28" t="str">
        <x:v>TEKNIK/ARSITEKTUR/STATISTIKA/AKTUARIA</x:v>
      </x:c>
      <x:c r="Q28" s="18" t="n">
        <x:v>615</x:v>
      </x:c>
      <x:c r="R28" s="18" t="n">
        <x:v>0</x:v>
      </x:c>
      <x:c r="S28" s="18" t="n">
        <x:v>632.7621792641335</x:v>
      </x:c>
      <x:c r="T28" s="18" t="n">
        <x:v>693</x:v>
      </x:c>
      <x:c r="U28" s="18" t="n">
        <x:v>642.7621792641335</x:v>
      </x:c>
      <x:c r="V28" s="20" t="n">
        <x:v>12</x:v>
      </x:c>
      <x:c r="W28" s="20" t="n">
        <x:v>5</x:v>
      </x:c>
      <x:c r="X28" s="20" t="n">
        <x:v>3</x:v>
      </x:c>
      <x:c r="Y28" t="str">
        <x:v>Basis arsip 2025/2024</x:v>
      </x:c>
      <x:c r="Z28" t="str">
        <x:v>https://snpmb.id/utbk-snbt/daya-tampung-snbt</x:v>
      </x:c>
      <x:c r="AA28" t="str">
        <x:v>Tidak Ada</x:v>
      </x:c>
      <x:c r="AB28" t="str">
        <x:v>Campus=80; Ratio=60.3; Prodi=60; RelDemand=47.9; Capacity=65.0</x:v>
      </x:c>
    </x:row>
    <x:row r="29">
      <x:c r="A29" t="n">
        <x:v>26</x:v>
      </x:c>
      <x:c r="B29" t="str">
        <x:v>PTN Akademik</x:v>
      </x:c>
      <x:c r="C29" t="str">
        <x:v>UNIVERSITAS SYIAH KUALA</x:v>
      </x:c>
      <x:c r="D29" t="str">
        <x:v>INFORMATIKA</x:v>
      </x:c>
      <x:c r="E29" t="str">
        <x:v>Sarjana</x:v>
      </x:c>
      <x:c r="F29" s="18" t="n">
        <x:v>42</x:v>
      </x:c>
      <x:c r="G29" s="18" t="n">
        <x:v>1219</x:v>
      </x:c>
      <x:c r="H29" s="19" t="n">
        <x:v>29.023809523809526</x:v>
      </x:c>
      <x:c r="I29" s="18" t="n">
        <x:f>ROUND(MIN(Model_Config_v3!$B$6,MAX(Q29,R29,S29*Model_Config_v3!$B$4+T29*Model_Config_v3!$B$5)),0)</x:f>
        <x:v>712</x:v>
      </x:c>
      <x:c r="J29" s="18" t="n">
        <x:f>MIN(Model_Config_v3!$B$6,I29+Model_Config_v3!$B$7)</x:f>
        <x:v>732</x:v>
      </x:c>
      <x:c r="K29" s="20" t="n">
        <x:v>83</x:v>
      </x:c>
      <x:c r="L29" t="str">
        <x:v>ELITE</x:v>
      </x:c>
      <x:c r="M29" t="str">
        <x:v>SEDANG+</x:v>
      </x:c>
      <x:c r="N29" t="str">
        <x:v>ELITE-3</x:v>
      </x:c>
      <x:c r="O29" t="str">
        <x:v>SAINTEK</x:v>
      </x:c>
      <x:c r="P29" t="str">
        <x:v>KOMPUTER/INFORMATIKA</x:v>
      </x:c>
      <x:c r="Q29" s="18" t="n">
        <x:v>615</x:v>
      </x:c>
      <x:c r="R29" s="18" t="n">
        <x:v>675</x:v>
      </x:c>
      <x:c r="S29" s="18" t="n">
        <x:v>680.9029856742529</x:v>
      </x:c>
      <x:c r="T29" s="18" t="n">
        <x:v>726</x:v>
      </x:c>
      <x:c r="U29" s="18" t="n">
        <x:v>705.9029856742529</x:v>
      </x:c>
      <x:c r="V29" s="20" t="n">
        <x:v>12</x:v>
      </x:c>
      <x:c r="W29" s="20" t="n">
        <x:v>5</x:v>
      </x:c>
      <x:c r="X29" s="20" t="n">
        <x:v>3</x:v>
      </x:c>
      <x:c r="Y29" t="str">
        <x:v>Basis arsip 2025/2024</x:v>
      </x:c>
      <x:c r="Z29" t="str">
        <x:v>https://snpmb.id/utbk-snbt/daya-tampung-snbt</x:v>
      </x:c>
      <x:c r="AA29" t="str">
        <x:v>Tidak Ada</x:v>
      </x:c>
      <x:c r="AB29" t="str">
        <x:v>Campus=80; Ratio=86.1; Prodi=85; RelDemand=100.0; Capacity=65.0</x:v>
      </x:c>
    </x:row>
    <x:row r="30">
      <x:c r="A30" t="n">
        <x:v>27</x:v>
      </x:c>
      <x:c r="B30" t="str">
        <x:v>PTN Akademik</x:v>
      </x:c>
      <x:c r="C30" t="str">
        <x:v>UNIVERSITAS SYIAH KUALA</x:v>
      </x:c>
      <x:c r="D30" t="str">
        <x:v>FARMASI</x:v>
      </x:c>
      <x:c r="E30" t="str">
        <x:v>Sarjana</x:v>
      </x:c>
      <x:c r="F30" s="18" t="n">
        <x:v>28</x:v>
      </x:c>
      <x:c r="G30" s="18" t="n">
        <x:v>1576</x:v>
      </x:c>
      <x:c r="H30" s="19" t="n">
        <x:v>56.285714285714285</x:v>
      </x:c>
      <x:c r="I30" s="18" t="n">
        <x:f>ROUND(MIN(Model_Config_v3!$B$6,MAX(Q30,R30,S30*Model_Config_v3!$B$4+T30*Model_Config_v3!$B$5)),0)</x:f>
        <x:v>725</x:v>
      </x:c>
      <x:c r="J30" s="18" t="n">
        <x:f>MIN(Model_Config_v3!$B$6,I30+Model_Config_v3!$B$7)</x:f>
        <x:v>745</x:v>
      </x:c>
      <x:c r="K30" s="20" t="n">
        <x:v>85.7</x:v>
      </x:c>
      <x:c r="L30" t="str">
        <x:v>ULTRA ELITE</x:v>
      </x:c>
      <x:c r="M30" t="str">
        <x:v>SEDANG+</x:v>
      </x:c>
      <x:c r="N30" t="str">
        <x:v>ELITE-3</x:v>
      </x:c>
      <x:c r="O30" t="str">
        <x:v>SAINTEK</x:v>
      </x:c>
      <x:c r="P30" t="str">
        <x:v>FARMASI</x:v>
      </x:c>
      <x:c r="Q30" s="18" t="n">
        <x:v>615</x:v>
      </x:c>
      <x:c r="R30" s="18" t="n">
        <x:v>660</x:v>
      </x:c>
      <x:c r="S30" s="18" t="n">
        <x:v>712.5437999992448</x:v>
      </x:c>
      <x:c r="T30" s="18" t="n">
        <x:v>731</x:v>
      </x:c>
      <x:c r="U30" s="18" t="n">
        <x:v>732.5437999992448</x:v>
      </x:c>
      <x:c r="V30" s="20" t="n">
        <x:v>12</x:v>
      </x:c>
      <x:c r="W30" s="20" t="n">
        <x:v>5</x:v>
      </x:c>
      <x:c r="X30" s="20" t="n">
        <x:v>3</x:v>
      </x:c>
      <x:c r="Y30" t="str">
        <x:v>Basis arsip 2025/2024</x:v>
      </x:c>
      <x:c r="Z30" t="str">
        <x:v>https://snpmb.id/utbk-snbt/daya-tampung-snbt</x:v>
      </x:c>
      <x:c r="AA30" t="str">
        <x:v>Tidak Ada</x:v>
      </x:c>
      <x:c r="AB30" t="str">
        <x:v>Campus=80; Ratio=100.0; Prodi=75; RelDemand=100.0; Capacity=76.7</x:v>
      </x:c>
    </x:row>
    <x:row r="31">
      <x:c r="A31" t="n">
        <x:v>28</x:v>
      </x:c>
      <x:c r="B31" t="str">
        <x:v>PTN Akademik</x:v>
      </x:c>
      <x:c r="C31" t="str">
        <x:v>UNIVERSITAS SYIAH KUALA</x:v>
      </x:c>
      <x:c r="D31" t="str">
        <x:v>TEKNIK GEOFISIKA</x:v>
      </x:c>
      <x:c r="E31" t="str">
        <x:v>Sarjana</x:v>
      </x:c>
      <x:c r="F31" s="18" t="n">
        <x:v>28</x:v>
      </x:c>
      <x:c r="G31" s="18" t="n">
        <x:v>85</x:v>
      </x:c>
      <x:c r="H31" s="19" t="n">
        <x:v>3.0357142857142856</x:v>
      </x:c>
      <x:c r="I31" s="18" t="n">
        <x:f>ROUND(MIN(Model_Config_v3!$B$6,MAX(Q31,R31,S31*Model_Config_v3!$B$4+T31*Model_Config_v3!$B$5)),0)</x:f>
        <x:v>642</x:v>
      </x:c>
      <x:c r="J31" s="18" t="n">
        <x:f>MIN(Model_Config_v3!$B$6,I31+Model_Config_v3!$B$7)</x:f>
        <x:v>662</x:v>
      </x:c>
      <x:c r="K31" s="20" t="n">
        <x:v>56.1</x:v>
      </x:c>
      <x:c r="L31" t="str">
        <x:v>KETAT</x:v>
      </x:c>
      <x:c r="M31" t="str">
        <x:v>SEDANG+</x:v>
      </x:c>
      <x:c r="N31" t="str">
        <x:v>ELITE-3</x:v>
      </x:c>
      <x:c r="O31" t="str">
        <x:v>SAINTEK</x:v>
      </x:c>
      <x:c r="P31" t="str">
        <x:v>TEKNIK/ARSITEKTUR/STATISTIKA/AKTUARIA</x:v>
      </x:c>
      <x:c r="Q31" s="18" t="n">
        <x:v>615</x:v>
      </x:c>
      <x:c r="R31" s="18" t="n">
        <x:v>0</x:v>
      </x:c>
      <x:c r="S31" s="18" t="n">
        <x:v>573.048698380928</x:v>
      </x:c>
      <x:c r="T31" s="18" t="n">
        <x:v>672</x:v>
      </x:c>
      <x:c r="U31" s="18" t="n">
        <x:v>615</x:v>
      </x:c>
      <x:c r="V31" s="20" t="n">
        <x:v>12</x:v>
      </x:c>
      <x:c r="W31" s="20" t="n">
        <x:v>5</x:v>
      </x:c>
      <x:c r="X31" s="20" t="n">
        <x:v>3</x:v>
      </x:c>
      <x:c r="Y31" t="str">
        <x:v>Basis arsip 2025/2024</x:v>
      </x:c>
      <x:c r="Z31" t="str">
        <x:v>https://snpmb.id/utbk-snbt/daya-tampung-snbt</x:v>
      </x:c>
      <x:c r="AA31" t="str">
        <x:v>Tidak Ada</x:v>
      </x:c>
      <x:c r="AB31" t="str">
        <x:v>Campus=80; Ratio=28.4; Prodi=60; RelDemand=13.7; Capacity=76.7</x:v>
      </x:c>
    </x:row>
    <x:row r="32">
      <x:c r="A32" t="n">
        <x:v>29</x:v>
      </x:c>
      <x:c r="B32" t="str">
        <x:v>PTN Akademik</x:v>
      </x:c>
      <x:c r="C32" t="str">
        <x:v>UNIVERSITAS SYIAH KUALA</x:v>
      </x:c>
      <x:c r="D32" t="str">
        <x:v>TEKNIK PERTAMBANGAN</x:v>
      </x:c>
      <x:c r="E32" t="str">
        <x:v>Sarjana</x:v>
      </x:c>
      <x:c r="F32" s="18" t="n">
        <x:v>42</x:v>
      </x:c>
      <x:c r="G32" s="18" t="n">
        <x:v>864</x:v>
      </x:c>
      <x:c r="H32" s="19" t="n">
        <x:v>20.571428571428573</x:v>
      </x:c>
      <x:c r="I32" s="18" t="n">
        <x:f>ROUND(MIN(Model_Config_v3!$B$6,MAX(Q32,R32,S32*Model_Config_v3!$B$4+T32*Model_Config_v3!$B$5)),0)</x:f>
        <x:v>696</x:v>
      </x:c>
      <x:c r="J32" s="18" t="n">
        <x:f>MIN(Model_Config_v3!$B$6,I32+Model_Config_v3!$B$7)</x:f>
        <x:v>716</x:v>
      </x:c>
      <x:c r="K32" s="20" t="n">
        <x:v>75.1</x:v>
      </x:c>
      <x:c r="L32" t="str">
        <x:v>ELITE</x:v>
      </x:c>
      <x:c r="M32" t="str">
        <x:v>SEDANG+</x:v>
      </x:c>
      <x:c r="N32" t="str">
        <x:v>ELITE-3</x:v>
      </x:c>
      <x:c r="O32" t="str">
        <x:v>SAINTEK</x:v>
      </x:c>
      <x:c r="P32" t="str">
        <x:v>TEKNIK/ARSITEKTUR/STATISTIKA/AKTUARIA</x:v>
      </x:c>
      <x:c r="Q32" s="18" t="n">
        <x:v>615</x:v>
      </x:c>
      <x:c r="R32" s="18" t="n">
        <x:v>0</x:v>
      </x:c>
      <x:c r="S32" s="18" t="n">
        <x:v>664.4590897289092</x:v>
      </x:c>
      <x:c r="T32" s="18" t="n">
        <x:v>710</x:v>
      </x:c>
      <x:c r="U32" s="18" t="n">
        <x:v>674.4590897289092</x:v>
      </x:c>
      <x:c r="V32" s="20" t="n">
        <x:v>12</x:v>
      </x:c>
      <x:c r="W32" s="20" t="n">
        <x:v>5</x:v>
      </x:c>
      <x:c r="X32" s="20" t="n">
        <x:v>3</x:v>
      </x:c>
      <x:c r="Y32" t="str">
        <x:v>Basis arsip 2025/2024</x:v>
      </x:c>
      <x:c r="Z32" t="str">
        <x:v>https://snpmb.id/utbk-snbt/daya-tampung-snbt</x:v>
      </x:c>
      <x:c r="AA32" t="str">
        <x:v>Tidak Ada</x:v>
      </x:c>
      <x:c r="AB32" t="str">
        <x:v>Campus=80; Ratio=77.3; Prodi=60; RelDemand=93.0; Capacity=65.0</x:v>
      </x:c>
    </x:row>
    <x:row r="33">
      <x:c r="A33" t="n">
        <x:v>30</x:v>
      </x:c>
      <x:c r="B33" t="str">
        <x:v>PTN Akademik</x:v>
      </x:c>
      <x:c r="C33" t="str">
        <x:v>UNIVERSITAS SYIAH KUALA</x:v>
      </x:c>
      <x:c r="D33" t="str">
        <x:v>STATISTIKA</x:v>
      </x:c>
      <x:c r="E33" t="str">
        <x:v>Sarjana</x:v>
      </x:c>
      <x:c r="F33" s="18" t="n">
        <x:v>42</x:v>
      </x:c>
      <x:c r="G33" s="18" t="n">
        <x:v>218</x:v>
      </x:c>
      <x:c r="H33" s="19" t="n">
        <x:v>5.190476190476191</x:v>
      </x:c>
      <x:c r="I33" s="18" t="n">
        <x:f>ROUND(MIN(Model_Config_v3!$B$6,MAX(Q33,R33,S33*Model_Config_v3!$B$4+T33*Model_Config_v3!$B$5)),0)</x:f>
        <x:v>655</x:v>
      </x:c>
      <x:c r="J33" s="18" t="n">
        <x:f>MIN(Model_Config_v3!$B$6,I33+Model_Config_v3!$B$7)</x:f>
        <x:v>675</x:v>
      </x:c>
      <x:c r="K33" s="20" t="n">
        <x:v>59.4</x:v>
      </x:c>
      <x:c r="L33" t="str">
        <x:v>KETAT</x:v>
      </x:c>
      <x:c r="M33" t="str">
        <x:v>SEDANG+</x:v>
      </x:c>
      <x:c r="N33" t="str">
        <x:v>ELITE-3</x:v>
      </x:c>
      <x:c r="O33" t="str">
        <x:v>SAINTEK</x:v>
      </x:c>
      <x:c r="P33" t="str">
        <x:v>TEKNIK/ARSITEKTUR/STATISTIKA/AKTUARIA</x:v>
      </x:c>
      <x:c r="Q33" s="18" t="n">
        <x:v>615</x:v>
      </x:c>
      <x:c r="R33" s="18" t="n">
        <x:v>0</x:v>
      </x:c>
      <x:c r="S33" s="18" t="n">
        <x:v>598.6727923527375</x:v>
      </x:c>
      <x:c r="T33" s="18" t="n">
        <x:v>679</x:v>
      </x:c>
      <x:c r="U33" s="18" t="n">
        <x:v>615</x:v>
      </x:c>
      <x:c r="V33" s="20" t="n">
        <x:v>12</x:v>
      </x:c>
      <x:c r="W33" s="20" t="n">
        <x:v>5</x:v>
      </x:c>
      <x:c r="X33" s="20" t="n">
        <x:v>3</x:v>
      </x:c>
      <x:c r="Y33" t="str">
        <x:v>Basis arsip 2025/2024</x:v>
      </x:c>
      <x:c r="Z33" t="str">
        <x:v>https://snpmb.id/utbk-snbt/daya-tampung-snbt</x:v>
      </x:c>
      <x:c r="AA33" t="str">
        <x:v>Tidak Ada</x:v>
      </x:c>
      <x:c r="AB33" t="str">
        <x:v>Campus=80; Ratio=42.1; Prodi=60; RelDemand=23.5; Capacity=65.0</x:v>
      </x:c>
    </x:row>
    <x:row r="34">
      <x:c r="A34" t="n">
        <x:v>31</x:v>
      </x:c>
      <x:c r="B34" t="str">
        <x:v>PTN Akademik</x:v>
      </x:c>
      <x:c r="C34" t="str">
        <x:v>UNIVERSITAS SYIAH KUALA</x:v>
      </x:c>
      <x:c r="D34" t="str">
        <x:v>PEMANFAATAN SUMBERDAYA PERIKANAN</x:v>
      </x:c>
      <x:c r="E34" t="str">
        <x:v>Sarjana</x:v>
      </x:c>
      <x:c r="F34" s="18" t="n">
        <x:v>42</x:v>
      </x:c>
      <x:c r="G34" s="18" t="n">
        <x:v>66</x:v>
      </x:c>
      <x:c r="H34" s="19" t="n">
        <x:v>1.5714285714285714</x:v>
      </x:c>
      <x:c r="I34" s="18" t="n">
        <x:f>ROUND(MIN(Model_Config_v3!$B$6,MAX(Q34,R34,S34*Model_Config_v3!$B$4+T34*Model_Config_v3!$B$5)),0)</x:f>
        <x:v>619</x:v>
      </x:c>
      <x:c r="J34" s="18" t="n">
        <x:f>MIN(Model_Config_v3!$B$6,I34+Model_Config_v3!$B$7)</x:f>
        <x:v>639</x:v>
      </x:c>
      <x:c r="K34" s="20" t="n">
        <x:v>46.1</x:v>
      </x:c>
      <x:c r="L34" t="str">
        <x:v>MENENGAH</x:v>
      </x:c>
      <x:c r="M34" t="str">
        <x:v>SEDANG+</x:v>
      </x:c>
      <x:c r="N34" t="str">
        <x:v>ELITE-3</x:v>
      </x:c>
      <x:c r="O34" t="str">
        <x:v>SAINTEK</x:v>
      </x:c>
      <x:c r="P34" t="str">
        <x:v>UMUM</x:v>
      </x:c>
      <x:c r="Q34" s="18" t="n">
        <x:v>615</x:v>
      </x:c>
      <x:c r="R34" s="18" t="n">
        <x:v>0</x:v>
      </x:c>
      <x:c r="S34" s="18" t="n">
        <x:v>541.5924109658365</x:v>
      </x:c>
      <x:c r="T34" s="18" t="n">
        <x:v>652</x:v>
      </x:c>
      <x:c r="U34" s="18" t="n">
        <x:v>615</x:v>
      </x:c>
      <x:c r="V34" s="20" t="n">
        <x:v>12</x:v>
      </x:c>
      <x:c r="W34" s="20" t="n">
        <x:v>5</x:v>
      </x:c>
      <x:c r="X34" s="20" t="n">
        <x:v>3</x:v>
      </x:c>
      <x:c r="Y34" t="str">
        <x:v>Basis arsip 2025/2024</x:v>
      </x:c>
      <x:c r="Z34" t="str">
        <x:v>https://snpmb.id/utbk-snbt/daya-tampung-snbt</x:v>
      </x:c>
      <x:c r="AA34" t="str">
        <x:v>Tidak Ada</x:v>
      </x:c>
      <x:c r="AB34" t="str">
        <x:v>Campus=80; Ratio=11.6; Prodi=40; RelDemand=7.1; Capacity=65.0</x:v>
      </x:c>
    </x:row>
    <x:row r="35">
      <x:c r="A35" t="n">
        <x:v>32</x:v>
      </x:c>
      <x:c r="B35" t="str">
        <x:v>PTN Akademik</x:v>
      </x:c>
      <x:c r="C35" t="str">
        <x:v>UNIVERSITAS SYIAH KUALA</x:v>
      </x:c>
      <x:c r="D35" t="str">
        <x:v>ILMU TANAH</x:v>
      </x:c>
      <x:c r="E35" t="str">
        <x:v>Sarjana</x:v>
      </x:c>
      <x:c r="F35" s="18" t="n">
        <x:v>42</x:v>
      </x:c>
      <x:c r="G35" s="18" t="n">
        <x:v>85</x:v>
      </x:c>
      <x:c r="H35" s="19" t="n">
        <x:v>2.0238095238095237</x:v>
      </x:c>
      <x:c r="I35" s="18" t="n">
        <x:f>ROUND(MIN(Model_Config_v3!$B$6,MAX(Q35,R35,S35*Model_Config_v3!$B$4+T35*Model_Config_v3!$B$5)),0)</x:f>
        <x:v>625</x:v>
      </x:c>
      <x:c r="J35" s="18" t="n">
        <x:f>MIN(Model_Config_v3!$B$6,I35+Model_Config_v3!$B$7)</x:f>
        <x:v>645</x:v>
      </x:c>
      <x:c r="K35" s="20" t="n">
        <x:v>47.9</x:v>
      </x:c>
      <x:c r="L35" t="str">
        <x:v>MENENGAH</x:v>
      </x:c>
      <x:c r="M35" t="str">
        <x:v>SEDANG+</x:v>
      </x:c>
      <x:c r="N35" t="str">
        <x:v>ELITE-3</x:v>
      </x:c>
      <x:c r="O35" t="str">
        <x:v>CAMPURAN</x:v>
      </x:c>
      <x:c r="P35" t="str">
        <x:v>UMUM</x:v>
      </x:c>
      <x:c r="Q35" s="18" t="n">
        <x:v>615</x:v>
      </x:c>
      <x:c r="R35" s="18" t="n">
        <x:v>0</x:v>
      </x:c>
      <x:c r="S35" s="18" t="n">
        <x:v>553.6786598848031</x:v>
      </x:c>
      <x:c r="T35" s="18" t="n">
        <x:v>656</x:v>
      </x:c>
      <x:c r="U35" s="18" t="n">
        <x:v>615</x:v>
      </x:c>
      <x:c r="V35" s="20" t="n">
        <x:v>8.8</x:v>
      </x:c>
      <x:c r="W35" s="20" t="n">
        <x:v>9.9</x:v>
      </x:c>
      <x:c r="X35" s="20" t="n">
        <x:v>3.3</x:v>
      </x:c>
      <x:c r="Y35" t="str">
        <x:v>Basis arsip 2025/2024</x:v>
      </x:c>
      <x:c r="Z35" t="str">
        <x:v>https://snpmb.id/utbk-snbt/daya-tampung-snbt</x:v>
      </x:c>
      <x:c r="AA35" t="str">
        <x:v>Tidak Ada</x:v>
      </x:c>
      <x:c r="AB35" t="str">
        <x:v>Campus=80; Ratio=18.0; Prodi=40; RelDemand=9.1; Capacity=65.0</x:v>
      </x:c>
    </x:row>
    <x:row r="36">
      <x:c r="A36" t="n">
        <x:v>33</x:v>
      </x:c>
      <x:c r="B36" t="str">
        <x:v>PTN Akademik</x:v>
      </x:c>
      <x:c r="C36" t="str">
        <x:v>UNIVERSITAS SYIAH KUALA</x:v>
      </x:c>
      <x:c r="D36" t="str">
        <x:v>TEKNIK GEOLOGI</x:v>
      </x:c>
      <x:c r="E36" t="str">
        <x:v>Sarjana</x:v>
      </x:c>
      <x:c r="F36" s="18" t="n">
        <x:v>28</x:v>
      </x:c>
      <x:c r="G36" s="18" t="n">
        <x:v>219</x:v>
      </x:c>
      <x:c r="H36" s="19" t="n">
        <x:v>7.821428571428571</x:v>
      </x:c>
      <x:c r="I36" s="18" t="n">
        <x:f>ROUND(MIN(Model_Config_v3!$B$6,MAX(Q36,R36,S36*Model_Config_v3!$B$4+T36*Model_Config_v3!$B$5)),0)</x:f>
        <x:v>668</x:v>
      </x:c>
      <x:c r="J36" s="18" t="n">
        <x:f>MIN(Model_Config_v3!$B$6,I36+Model_Config_v3!$B$7)</x:f>
        <x:v>688</x:v>
      </x:c>
      <x:c r="K36" s="20" t="n">
        <x:v>64.3</x:v>
      </x:c>
      <x:c r="L36" t="str">
        <x:v>KETAT</x:v>
      </x:c>
      <x:c r="M36" t="str">
        <x:v>SEDANG+</x:v>
      </x:c>
      <x:c r="N36" t="str">
        <x:v>ELITE-3</x:v>
      </x:c>
      <x:c r="O36" t="str">
        <x:v>SAINTEK</x:v>
      </x:c>
      <x:c r="P36" t="str">
        <x:v>TEKNIK/ARSITEKTUR/STATISTIKA/AKTUARIA</x:v>
      </x:c>
      <x:c r="Q36" s="18" t="n">
        <x:v>615</x:v>
      </x:c>
      <x:c r="R36" s="18" t="n">
        <x:v>0</x:v>
      </x:c>
      <x:c r="S36" s="18" t="n">
        <x:v>618.2614691847689</x:v>
      </x:c>
      <x:c r="T36" s="18" t="n">
        <x:v>689</x:v>
      </x:c>
      <x:c r="U36" s="18" t="n">
        <x:v>628.2614691847689</x:v>
      </x:c>
      <x:c r="V36" s="20" t="n">
        <x:v>12</x:v>
      </x:c>
      <x:c r="W36" s="20" t="n">
        <x:v>5</x:v>
      </x:c>
      <x:c r="X36" s="20" t="n">
        <x:v>3</x:v>
      </x:c>
      <x:c r="Y36" t="str">
        <x:v>Basis arsip 2025/2024</x:v>
      </x:c>
      <x:c r="Z36" t="str">
        <x:v>https://snpmb.id/utbk-snbt/daya-tampung-snbt</x:v>
      </x:c>
      <x:c r="AA36" t="str">
        <x:v>Tidak Ada</x:v>
      </x:c>
      <x:c r="AB36" t="str">
        <x:v>Campus=80; Ratio=52.6; Prodi=60; RelDemand=35.4; Capacity=76.7</x:v>
      </x:c>
    </x:row>
    <x:row r="37">
      <x:c r="A37" t="n">
        <x:v>34</x:v>
      </x:c>
      <x:c r="B37" t="str">
        <x:v>PTN Akademik</x:v>
      </x:c>
      <x:c r="C37" t="str">
        <x:v>UNIVERSITAS SYIAH KUALA</x:v>
      </x:c>
      <x:c r="D37" t="str">
        <x:v>AGROTEKNOLOGI (PSDKU GAYO LUES)</x:v>
      </x:c>
      <x:c r="E37" t="str">
        <x:v>Sarjana</x:v>
      </x:c>
      <x:c r="F37" s="18" t="n">
        <x:v>14</x:v>
      </x:c>
      <x:c r="G37" s="18" t="n">
        <x:v>20</x:v>
      </x:c>
      <x:c r="H37" s="19" t="n">
        <x:v>1.4285714285714286</x:v>
      </x:c>
      <x:c r="I37" s="18" t="n">
        <x:f>ROUND(MIN(Model_Config_v3!$B$6,MAX(Q37,R37,S37*Model_Config_v3!$B$4+T37*Model_Config_v3!$B$5)),0)</x:f>
        <x:v>620</x:v>
      </x:c>
      <x:c r="J37" s="18" t="n">
        <x:f>MIN(Model_Config_v3!$B$6,I37+Model_Config_v3!$B$7)</x:f>
        <x:v>640</x:v>
      </x:c>
      <x:c r="K37" s="20" t="n">
        <x:v>47.8</x:v>
      </x:c>
      <x:c r="L37" t="str">
        <x:v>MENENGAH</x:v>
      </x:c>
      <x:c r="M37" t="str">
        <x:v>SEDANG+</x:v>
      </x:c>
      <x:c r="N37" t="str">
        <x:v>ELITE-3</x:v>
      </x:c>
      <x:c r="O37" t="str">
        <x:v>SAINTEK</x:v>
      </x:c>
      <x:c r="P37" t="str">
        <x:v>UMUM</x:v>
      </x:c>
      <x:c r="Q37" s="18" t="n">
        <x:v>615</x:v>
      </x:c>
      <x:c r="R37" s="18" t="n">
        <x:v>0</x:v>
      </x:c>
      <x:c r="S37" s="18" t="n">
        <x:v>537.0392155984317</x:v>
      </x:c>
      <x:c r="T37" s="18" t="n">
        <x:v>656</x:v>
      </x:c>
      <x:c r="U37" s="18" t="n">
        <x:v>615</x:v>
      </x:c>
      <x:c r="V37" s="20" t="n">
        <x:v>12</x:v>
      </x:c>
      <x:c r="W37" s="20" t="n">
        <x:v>5</x:v>
      </x:c>
      <x:c r="X37" s="20" t="n">
        <x:v>3</x:v>
      </x:c>
      <x:c r="Y37" t="str">
        <x:v>Basis arsip 2025/2024</x:v>
      </x:c>
      <x:c r="Z37" t="str">
        <x:v>https://snpmb.id/utbk-snbt/daya-tampung-snbt</x:v>
      </x:c>
      <x:c r="AA37" t="str">
        <x:v>Tidak Ada</x:v>
      </x:c>
      <x:c r="AB37" t="str">
        <x:v>Campus=80; Ratio=9.1; Prodi=40; RelDemand=6.5; Capacity=88.3</x:v>
      </x:c>
    </x:row>
    <x:row r="38">
      <x:c r="A38" t="n">
        <x:v>35</x:v>
      </x:c>
      <x:c r="B38" t="str">
        <x:v>PTN Akademik</x:v>
      </x:c>
      <x:c r="C38" t="str">
        <x:v>UNIVERSITAS SYIAH KUALA</x:v>
      </x:c>
      <x:c r="D38" t="str">
        <x:v>PENDIDIKAN BIOLOGI (PDSKU GAYO LUES)</x:v>
      </x:c>
      <x:c r="E38" t="str">
        <x:v>Sarjana</x:v>
      </x:c>
      <x:c r="F38" s="18" t="n">
        <x:v>14</x:v>
      </x:c>
      <x:c r="G38" s="18" t="n">
        <x:v>22</x:v>
      </x:c>
      <x:c r="H38" s="19" t="n">
        <x:v>1.5714285714285714</x:v>
      </x:c>
      <x:c r="I38" s="18" t="n">
        <x:f>ROUND(MIN(Model_Config_v3!$B$6,MAX(Q38,R38,S38*Model_Config_v3!$B$4+T38*Model_Config_v3!$B$5)),0)</x:f>
        <x:v>624</x:v>
      </x:c>
      <x:c r="J38" s="18" t="n">
        <x:f>MIN(Model_Config_v3!$B$6,I38+Model_Config_v3!$B$7)</x:f>
        <x:v>644</x:v>
      </x:c>
      <x:c r="K38" s="20" t="n">
        <x:v>49.4</x:v>
      </x:c>
      <x:c r="L38" t="str">
        <x:v>MENENGAH</x:v>
      </x:c>
      <x:c r="M38" t="str">
        <x:v>SEDANG+</x:v>
      </x:c>
      <x:c r="N38" t="str">
        <x:v>ELITE-3</x:v>
      </x:c>
      <x:c r="O38" t="str">
        <x:v>SAINTEK</x:v>
      </x:c>
      <x:c r="P38" t="str">
        <x:v>PENDIDIKAN</x:v>
      </x:c>
      <x:c r="Q38" s="18" t="n">
        <x:v>615</x:v>
      </x:c>
      <x:c r="R38" s="18" t="n">
        <x:v>0</x:v>
      </x:c>
      <x:c r="S38" s="18" t="n">
        <x:v>541.5924109658365</x:v>
      </x:c>
      <x:c r="T38" s="18" t="n">
        <x:v>659</x:v>
      </x:c>
      <x:c r="U38" s="18" t="n">
        <x:v>615</x:v>
      </x:c>
      <x:c r="V38" s="20" t="n">
        <x:v>12</x:v>
      </x:c>
      <x:c r="W38" s="20" t="n">
        <x:v>5</x:v>
      </x:c>
      <x:c r="X38" s="20" t="n">
        <x:v>3</x:v>
      </x:c>
      <x:c r="Y38" t="str">
        <x:v>Basis arsip 2025/2024</x:v>
      </x:c>
      <x:c r="Z38" t="str">
        <x:v>https://snpmb.id/utbk-snbt/daya-tampung-snbt</x:v>
      </x:c>
      <x:c r="AA38" t="str">
        <x:v>Tidak Ada</x:v>
      </x:c>
      <x:c r="AB38" t="str">
        <x:v>Campus=80; Ratio=11.6; Prodi=45; RelDemand=7.1; Capacity=88.3</x:v>
      </x:c>
    </x:row>
    <x:row r="39">
      <x:c r="A39" t="n">
        <x:v>36</x:v>
      </x:c>
      <x:c r="B39" t="str">
        <x:v>PTN Akademik</x:v>
      </x:c>
      <x:c r="C39" t="str">
        <x:v>UNIVERSITAS SYIAH KUALA</x:v>
      </x:c>
      <x:c r="D39" t="str">
        <x:v>KEHUTANAN (PSDKU GAYO LUES)</x:v>
      </x:c>
      <x:c r="E39" t="str">
        <x:v>Sarjana</x:v>
      </x:c>
      <x:c r="F39" s="18" t="n">
        <x:v>21</x:v>
      </x:c>
      <x:c r="G39" s="18" t="n">
        <x:v>15</x:v>
      </x:c>
      <x:c r="H39" s="19" t="n">
        <x:v>0.7142857142857143</x:v>
      </x:c>
      <x:c r="I39" s="18" t="n">
        <x:f>ROUND(MIN(Model_Config_v3!$B$6,MAX(Q39,R39,S39*Model_Config_v3!$B$4+T39*Model_Config_v3!$B$5)),0)</x:f>
        <x:v>615</x:v>
      </x:c>
      <x:c r="J39" s="18" t="n">
        <x:f>MIN(Model_Config_v3!$B$6,I39+Model_Config_v3!$B$7)</x:f>
        <x:v>635</x:v>
      </x:c>
      <x:c r="K39" s="20" t="n">
        <x:v>44.6</x:v>
      </x:c>
      <x:c r="L39" t="str">
        <x:v>RELATIF LONGGAR</x:v>
      </x:c>
      <x:c r="M39" t="str">
        <x:v>SEDANG+</x:v>
      </x:c>
      <x:c r="N39" t="str">
        <x:v>ELITE-3</x:v>
      </x:c>
      <x:c r="O39" t="str">
        <x:v>CAMPURAN</x:v>
      </x:c>
      <x:c r="P39" t="str">
        <x:v>UMUM</x:v>
      </x:c>
      <x:c r="Q39" s="18" t="n">
        <x:v>615</x:v>
      </x:c>
      <x:c r="R39" s="18" t="n">
        <x:v>0</x:v>
      </x:c>
      <x:c r="S39" s="18" t="n">
        <x:v>520</x:v>
      </x:c>
      <x:c r="T39" s="18" t="n">
        <x:v>649</x:v>
      </x:c>
      <x:c r="U39" s="18" t="n">
        <x:v>615</x:v>
      </x:c>
      <x:c r="V39" s="20" t="n">
        <x:v>8.8</x:v>
      </x:c>
      <x:c r="W39" s="20" t="n">
        <x:v>9.9</x:v>
      </x:c>
      <x:c r="X39" s="20" t="n">
        <x:v>3.3</x:v>
      </x:c>
      <x:c r="Y39" t="str">
        <x:v>Basis arsip 2025/2024</x:v>
      </x:c>
      <x:c r="Z39" t="str">
        <x:v>https://snpmb.id/utbk-snbt/daya-tampung-snbt</x:v>
      </x:c>
      <x:c r="AA39" t="str">
        <x:v>Tidak Ada</x:v>
      </x:c>
      <x:c r="AB39" t="str">
        <x:v>Campus=80; Ratio=0.0; Prodi=40; RelDemand=3.2; Capacity=82.5</x:v>
      </x:c>
    </x:row>
    <x:row r="40">
      <x:c r="A40" t="n">
        <x:v>37</x:v>
      </x:c>
      <x:c r="B40" t="str">
        <x:v>PTN Akademik</x:v>
      </x:c>
      <x:c r="C40" t="str">
        <x:v>UNIVERSITAS SYIAH KUALA</x:v>
      </x:c>
      <x:c r="D40" t="str">
        <x:v>PROTEKSI TANAMAN</x:v>
      </x:c>
      <x:c r="E40" t="str">
        <x:v>Sarjana</x:v>
      </x:c>
      <x:c r="F40" s="18" t="n">
        <x:v>28</x:v>
      </x:c>
      <x:c r="G40" s="18" t="n">
        <x:v>30</x:v>
      </x:c>
      <x:c r="H40" s="19" t="n">
        <x:v>1.0714285714285714</x:v>
      </x:c>
      <x:c r="I40" s="18" t="n">
        <x:f>ROUND(MIN(Model_Config_v3!$B$6,MAX(Q40,R40,S40*Model_Config_v3!$B$4+T40*Model_Config_v3!$B$5)),0)</x:f>
        <x:v>615</x:v>
      </x:c>
      <x:c r="J40" s="18" t="n">
        <x:f>MIN(Model_Config_v3!$B$6,I40+Model_Config_v3!$B$7)</x:f>
        <x:v>635</x:v>
      </x:c>
      <x:c r="K40" s="20" t="n">
        <x:v>44.6</x:v>
      </x:c>
      <x:c r="L40" t="str">
        <x:v>RELATIF LONGGAR</x:v>
      </x:c>
      <x:c r="M40" t="str">
        <x:v>SEDANG+</x:v>
      </x:c>
      <x:c r="N40" t="str">
        <x:v>ELITE-3</x:v>
      </x:c>
      <x:c r="O40" t="str">
        <x:v>CAMPURAN</x:v>
      </x:c>
      <x:c r="P40" t="str">
        <x:v>UMUM</x:v>
      </x:c>
      <x:c r="Q40" s="18" t="n">
        <x:v>615</x:v>
      </x:c>
      <x:c r="R40" s="18" t="n">
        <x:v>0</x:v>
      </x:c>
      <x:c r="S40" s="18" t="n">
        <x:v>523.2959545715188</x:v>
      </x:c>
      <x:c r="T40" s="18" t="n">
        <x:v>649</x:v>
      </x:c>
      <x:c r="U40" s="18" t="n">
        <x:v>615</x:v>
      </x:c>
      <x:c r="V40" s="20" t="n">
        <x:v>8.8</x:v>
      </x:c>
      <x:c r="W40" s="20" t="n">
        <x:v>9.9</x:v>
      </x:c>
      <x:c r="X40" s="20" t="n">
        <x:v>3.3</x:v>
      </x:c>
      <x:c r="Y40" t="str">
        <x:v>Basis arsip 2025/2024</x:v>
      </x:c>
      <x:c r="Z40" t="str">
        <x:v>https://snpmb.id/utbk-snbt/daya-tampung-snbt</x:v>
      </x:c>
      <x:c r="AA40" t="str">
        <x:v>Tidak Ada</x:v>
      </x:c>
      <x:c r="AB40" t="str">
        <x:v>Campus=80; Ratio=1.8; Prodi=40; RelDemand=4.8; Capacity=76.7</x:v>
      </x:c>
    </x:row>
    <x:row r="41">
      <x:c r="A41" t="n">
        <x:v>38</x:v>
      </x:c>
      <x:c r="B41" t="str">
        <x:v>PTN Akademik</x:v>
      </x:c>
      <x:c r="C41" t="str">
        <x:v>UNIVERSITAS SYIAH KUALA</x:v>
      </x:c>
      <x:c r="D41" t="str">
        <x:v>PERENCANAAN WILAYAH DAN KOTA</x:v>
      </x:c>
      <x:c r="E41" t="str">
        <x:v>Sarjana</x:v>
      </x:c>
      <x:c r="F41" s="18" t="n">
        <x:v>42</x:v>
      </x:c>
      <x:c r="G41" s="18" t="n">
        <x:v>291</x:v>
      </x:c>
      <x:c r="H41" s="19" t="n">
        <x:v>6.928571428571429</x:v>
      </x:c>
      <x:c r="I41" s="18" t="n">
        <x:f>ROUND(MIN(Model_Config_v3!$B$6,MAX(Q41,R41,S41*Model_Config_v3!$B$4+T41*Model_Config_v3!$B$5)),0)</x:f>
        <x:v>657</x:v>
      </x:c>
      <x:c r="J41" s="18" t="n">
        <x:f>MIN(Model_Config_v3!$B$6,I41+Model_Config_v3!$B$7)</x:f>
        <x:v>677</x:v>
      </x:c>
      <x:c r="K41" s="20" t="n">
        <x:v>58</x:v>
      </x:c>
      <x:c r="L41" t="str">
        <x:v>KETAT</x:v>
      </x:c>
      <x:c r="M41" t="str">
        <x:v>SEDANG+</x:v>
      </x:c>
      <x:c r="N41" t="str">
        <x:v>ELITE-3</x:v>
      </x:c>
      <x:c r="O41" t="str">
        <x:v>CAMPURAN</x:v>
      </x:c>
      <x:c r="P41" t="str">
        <x:v>UMUM</x:v>
      </x:c>
      <x:c r="Q41" s="18" t="n">
        <x:v>615</x:v>
      </x:c>
      <x:c r="R41" s="18" t="n">
        <x:v>0</x:v>
      </x:c>
      <x:c r="S41" s="18" t="n">
        <x:v>612.4708068446807</x:v>
      </x:c>
      <x:c r="T41" s="18" t="n">
        <x:v>676</x:v>
      </x:c>
      <x:c r="U41" s="18" t="n">
        <x:v>615</x:v>
      </x:c>
      <x:c r="V41" s="20" t="n">
        <x:v>8.8</x:v>
      </x:c>
      <x:c r="W41" s="20" t="n">
        <x:v>9.9</x:v>
      </x:c>
      <x:c r="X41" s="20" t="n">
        <x:v>3.3</x:v>
      </x:c>
      <x:c r="Y41" t="str">
        <x:v>Basis arsip 2025/2024</x:v>
      </x:c>
      <x:c r="Z41" t="str">
        <x:v>https://snpmb.id/utbk-snbt/daya-tampung-snbt</x:v>
      </x:c>
      <x:c r="AA41" t="str">
        <x:v>Tidak Ada</x:v>
      </x:c>
      <x:c r="AB41" t="str">
        <x:v>Campus=80; Ratio=49.5; Prodi=40; RelDemand=31.3; Capacity=65.0</x:v>
      </x:c>
    </x:row>
    <x:row r="42">
      <x:c r="A42" t="n">
        <x:v>39</x:v>
      </x:c>
      <x:c r="B42" t="str">
        <x:v>PTN Akademik</x:v>
      </x:c>
      <x:c r="C42" t="str">
        <x:v>UNIVERSITAS SYIAH KUALA</x:v>
      </x:c>
      <x:c r="D42" t="str">
        <x:v>KEHUTANAN</x:v>
      </x:c>
      <x:c r="E42" t="str">
        <x:v>Sarjana</x:v>
      </x:c>
      <x:c r="F42" s="18" t="n">
        <x:v>42</x:v>
      </x:c>
      <x:c r="G42" s="18" t="n">
        <x:v>146</x:v>
      </x:c>
      <x:c r="H42" s="19" t="n">
        <x:v>3.4761904761904763</x:v>
      </x:c>
      <x:c r="I42" s="18" t="n">
        <x:f>ROUND(MIN(Model_Config_v3!$B$6,MAX(Q42,R42,S42*Model_Config_v3!$B$4+T42*Model_Config_v3!$B$5)),0)</x:f>
        <x:v>639</x:v>
      </x:c>
      <x:c r="J42" s="18" t="n">
        <x:f>MIN(Model_Config_v3!$B$6,I42+Model_Config_v3!$B$7)</x:f>
        <x:v>659</x:v>
      </x:c>
      <x:c r="K42" s="20" t="n">
        <x:v>52</x:v>
      </x:c>
      <x:c r="L42" t="str">
        <x:v>MENENGAH</x:v>
      </x:c>
      <x:c r="M42" t="str">
        <x:v>SEDANG+</x:v>
      </x:c>
      <x:c r="N42" t="str">
        <x:v>ELITE-3</x:v>
      </x:c>
      <x:c r="O42" t="str">
        <x:v>CAMPURAN</x:v>
      </x:c>
      <x:c r="P42" t="str">
        <x:v>UMUM</x:v>
      </x:c>
      <x:c r="Q42" s="18" t="n">
        <x:v>615</x:v>
      </x:c>
      <x:c r="R42" s="18" t="n">
        <x:v>0</x:v>
      </x:c>
      <x:c r="S42" s="18" t="n">
        <x:v>579.521392192519</x:v>
      </x:c>
      <x:c r="T42" s="18" t="n">
        <x:v>664</x:v>
      </x:c>
      <x:c r="U42" s="18" t="n">
        <x:v>615</x:v>
      </x:c>
      <x:c r="V42" s="20" t="n">
        <x:v>8.8</x:v>
      </x:c>
      <x:c r="W42" s="20" t="n">
        <x:v>9.9</x:v>
      </x:c>
      <x:c r="X42" s="20" t="n">
        <x:v>3.3</x:v>
      </x:c>
      <x:c r="Y42" t="str">
        <x:v>Basis arsip 2025/2024</x:v>
      </x:c>
      <x:c r="Z42" t="str">
        <x:v>https://snpmb.id/utbk-snbt/daya-tampung-snbt</x:v>
      </x:c>
      <x:c r="AA42" t="str">
        <x:v>Tidak Ada</x:v>
      </x:c>
      <x:c r="AB42" t="str">
        <x:v>Campus=80; Ratio=31.8; Prodi=40; RelDemand=15.7; Capacity=65.0</x:v>
      </x:c>
    </x:row>
    <x:row r="43">
      <x:c r="A43" t="n">
        <x:v>40</x:v>
      </x:c>
      <x:c r="B43" t="str">
        <x:v>PTN Akademik</x:v>
      </x:c>
      <x:c r="C43" t="str">
        <x:v>UNIVERSITAS SYIAH KUALA</x:v>
      </x:c>
      <x:c r="D43" t="str">
        <x:v>TEKNIK KOMPUTER</x:v>
      </x:c>
      <x:c r="E43" t="str">
        <x:v>Sarjana</x:v>
      </x:c>
      <x:c r="F43" s="18" t="n">
        <x:v>56</x:v>
      </x:c>
      <x:c r="G43" s="18" t="n">
        <x:v>822</x:v>
      </x:c>
      <x:c r="H43" s="19" t="n">
        <x:v>14.678571428571429</x:v>
      </x:c>
      <x:c r="I43" s="18" t="n">
        <x:f>ROUND(MIN(Model_Config_v3!$B$6,MAX(Q43,R43,S43*Model_Config_v3!$B$4+T43*Model_Config_v3!$B$5)),0)</x:f>
        <x:v>690</x:v>
      </x:c>
      <x:c r="J43" s="18" t="n">
        <x:f>MIN(Model_Config_v3!$B$6,I43+Model_Config_v3!$B$7)</x:f>
        <x:v>710</x:v>
      </x:c>
      <x:c r="K43" s="20" t="n">
        <x:v>74.1</x:v>
      </x:c>
      <x:c r="L43" t="str">
        <x:v>SANGAT KETAT</x:v>
      </x:c>
      <x:c r="M43" t="str">
        <x:v>SEDANG+</x:v>
      </x:c>
      <x:c r="N43" t="str">
        <x:v>ELITE-3</x:v>
      </x:c>
      <x:c r="O43" t="str">
        <x:v>SAINTEK</x:v>
      </x:c>
      <x:c r="P43" t="str">
        <x:v>KOMPUTER/INFORMATIKA</x:v>
      </x:c>
      <x:c r="Q43" s="18" t="n">
        <x:v>615</x:v>
      </x:c>
      <x:c r="R43" s="18" t="n">
        <x:v>675</x:v>
      </x:c>
      <x:c r="S43" s="18" t="n">
        <x:v>648.3352169587235</x:v>
      </x:c>
      <x:c r="T43" s="18" t="n">
        <x:v>708</x:v>
      </x:c>
      <x:c r="U43" s="18" t="n">
        <x:v>675</x:v>
      </x:c>
      <x:c r="V43" s="20" t="n">
        <x:v>12</x:v>
      </x:c>
      <x:c r="W43" s="20" t="n">
        <x:v>5</x:v>
      </x:c>
      <x:c r="X43" s="20" t="n">
        <x:v>3</x:v>
      </x:c>
      <x:c r="Y43" t="str">
        <x:v>Basis arsip 2025/2024</x:v>
      </x:c>
      <x:c r="Z43" t="str">
        <x:v>https://snpmb.id/utbk-snbt/daya-tampung-snbt</x:v>
      </x:c>
      <x:c r="AA43" t="str">
        <x:v>Tidak Ada</x:v>
      </x:c>
      <x:c r="AB43" t="str">
        <x:v>Campus=80; Ratio=68.7; Prodi=85; RelDemand=66.4; Capacity=53.3</x:v>
      </x:c>
    </x:row>
    <x:row r="44">
      <x:c r="A44" t="n">
        <x:v>41</x:v>
      </x:c>
      <x:c r="B44" t="str">
        <x:v>PTN Akademik</x:v>
      </x:c>
      <x:c r="C44" t="str">
        <x:v>UNIVERSITAS SYIAH KUALA</x:v>
      </x:c>
      <x:c r="D44" t="str">
        <x:v>EKONOMI PEMBANGUNAN</x:v>
      </x:c>
      <x:c r="E44" t="str">
        <x:v>Sarjana</x:v>
      </x:c>
      <x:c r="F44" s="18" t="n">
        <x:v>56</x:v>
      </x:c>
      <x:c r="G44" s="18" t="n">
        <x:v>360</x:v>
      </x:c>
      <x:c r="H44" s="19" t="n">
        <x:v>6.428571428571429</x:v>
      </x:c>
      <x:c r="I44" s="18" t="n">
        <x:f>ROUND(MIN(Model_Config_v3!$B$6,MAX(Q44,R44,S44*Model_Config_v3!$B$4+T44*Model_Config_v3!$B$5)),0)</x:f>
        <x:v>660</x:v>
      </x:c>
      <x:c r="J44" s="18" t="n">
        <x:f>MIN(Model_Config_v3!$B$6,I44+Model_Config_v3!$B$7)</x:f>
        <x:v>680</x:v>
      </x:c>
      <x:c r="K44" s="20" t="n">
        <x:v>61.1</x:v>
      </x:c>
      <x:c r="L44" t="str">
        <x:v>KETAT</x:v>
      </x:c>
      <x:c r="M44" t="str">
        <x:v>SEDANG+</x:v>
      </x:c>
      <x:c r="N44" t="str">
        <x:v>ELITE-3</x:v>
      </x:c>
      <x:c r="O44" t="str">
        <x:v>SOSHUM</x:v>
      </x:c>
      <x:c r="P44" t="str">
        <x:v>BISNIS/EKONOMI/AKUNTANSI</x:v>
      </x:c>
      <x:c r="Q44" s="18" t="n">
        <x:v>615</x:v>
      </x:c>
      <x:c r="R44" s="18" t="n">
        <x:v>0</x:v>
      </x:c>
      <x:c r="S44" s="18" t="n">
        <x:v>608.8925921137195</x:v>
      </x:c>
      <x:c r="T44" s="18" t="n">
        <x:v>682</x:v>
      </x:c>
      <x:c r="U44" s="18" t="n">
        <x:v>615</x:v>
      </x:c>
      <x:c r="V44" s="20" t="n">
        <x:v>4.4</x:v>
      </x:c>
      <x:c r="W44" s="20" t="n">
        <x:v>14.3</x:v>
      </x:c>
      <x:c r="X44" s="20" t="n">
        <x:v>3.3</x:v>
      </x:c>
      <x:c r="Y44" t="str">
        <x:v>Basis arsip 2025/2024</x:v>
      </x:c>
      <x:c r="Z44" t="str">
        <x:v>https://snpmb.id/utbk-snbt/daya-tampung-snbt</x:v>
      </x:c>
      <x:c r="AA44" t="str">
        <x:v>Tidak Ada</x:v>
      </x:c>
      <x:c r="AB44" t="str">
        <x:v>Campus=80; Ratio=47.6; Prodi=65; RelDemand=29.1; Capacity=53.3</x:v>
      </x:c>
    </x:row>
    <x:row r="45">
      <x:c r="A45" t="n">
        <x:v>42</x:v>
      </x:c>
      <x:c r="B45" t="str">
        <x:v>PTN Akademik</x:v>
      </x:c>
      <x:c r="C45" t="str">
        <x:v>UNIVERSITAS SYIAH KUALA</x:v>
      </x:c>
      <x:c r="D45" t="str">
        <x:v>MANAJEMEN</x:v>
      </x:c>
      <x:c r="E45" t="str">
        <x:v>Sarjana</x:v>
      </x:c>
      <x:c r="F45" s="18" t="n">
        <x:v>70</x:v>
      </x:c>
      <x:c r="G45" s="18" t="n">
        <x:v>1345</x:v>
      </x:c>
      <x:c r="H45" s="19" t="n">
        <x:v>19.214285714285715</x:v>
      </x:c>
      <x:c r="I45" s="18" t="n">
        <x:f>ROUND(MIN(Model_Config_v3!$B$6,MAX(Q45,R45,S45*Model_Config_v3!$B$4+T45*Model_Config_v3!$B$5)),0)</x:f>
        <x:v>692</x:v>
      </x:c>
      <x:c r="J45" s="18" t="n">
        <x:f>MIN(Model_Config_v3!$B$6,I45+Model_Config_v3!$B$7)</x:f>
        <x:v>712</x:v>
      </x:c>
      <x:c r="K45" s="20" t="n">
        <x:v>72.7</x:v>
      </x:c>
      <x:c r="L45" t="str">
        <x:v>SANGAT KETAT</x:v>
      </x:c>
      <x:c r="M45" t="str">
        <x:v>SEDANG+</x:v>
      </x:c>
      <x:c r="N45" t="str">
        <x:v>ELITE-3</x:v>
      </x:c>
      <x:c r="O45" t="str">
        <x:v>SOSHUM</x:v>
      </x:c>
      <x:c r="P45" t="str">
        <x:v>BISNIS/EKONOMI/AKUNTANSI</x:v>
      </x:c>
      <x:c r="Q45" s="18" t="n">
        <x:v>615</x:v>
      </x:c>
      <x:c r="R45" s="18" t="n">
        <x:v>0</x:v>
      </x:c>
      <x:c r="S45" s="18" t="n">
        <x:v>661.1986668756587</x:v>
      </x:c>
      <x:c r="T45" s="18" t="n">
        <x:v>705</x:v>
      </x:c>
      <x:c r="U45" s="18" t="n">
        <x:v>676.1986668756587</x:v>
      </x:c>
      <x:c r="V45" s="20" t="n">
        <x:v>4.4</x:v>
      </x:c>
      <x:c r="W45" s="20" t="n">
        <x:v>14.3</x:v>
      </x:c>
      <x:c r="X45" s="20" t="n">
        <x:v>3.3</x:v>
      </x:c>
      <x:c r="Y45" t="str">
        <x:v>Basis arsip 2025/2024</x:v>
      </x:c>
      <x:c r="Z45" t="str">
        <x:v>https://snpmb.id/utbk-snbt/daya-tampung-snbt</x:v>
      </x:c>
      <x:c r="AA45" t="str">
        <x:v>Tidak Ada</x:v>
      </x:c>
      <x:c r="AB45" t="str">
        <x:v>Campus=80; Ratio=75.6; Prodi=65; RelDemand=86.9; Capacity=41.7</x:v>
      </x:c>
    </x:row>
    <x:row r="46">
      <x:c r="A46" t="n">
        <x:v>43</x:v>
      </x:c>
      <x:c r="B46" t="str">
        <x:v>PTN Akademik</x:v>
      </x:c>
      <x:c r="C46" t="str">
        <x:v>UNIVERSITAS SYIAH KUALA</x:v>
      </x:c>
      <x:c r="D46" t="str">
        <x:v>AKUNTANSI</x:v>
      </x:c>
      <x:c r="E46" t="str">
        <x:v>Sarjana</x:v>
      </x:c>
      <x:c r="F46" s="18" t="n">
        <x:v>70</x:v>
      </x:c>
      <x:c r="G46" s="18" t="n">
        <x:v>784</x:v>
      </x:c>
      <x:c r="H46" s="19" t="n">
        <x:v>11.2</x:v>
      </x:c>
      <x:c r="I46" s="18" t="n">
        <x:f>ROUND(MIN(Model_Config_v3!$B$6,MAX(Q46,R46,S46*Model_Config_v3!$B$4+T46*Model_Config_v3!$B$5)),0)</x:f>
        <x:v>674</x:v>
      </x:c>
      <x:c r="J46" s="18" t="n">
        <x:f>MIN(Model_Config_v3!$B$6,I46+Model_Config_v3!$B$7)</x:f>
        <x:v>694</x:v>
      </x:c>
      <x:c r="K46" s="20" t="n">
        <x:v>65.7</x:v>
      </x:c>
      <x:c r="L46" t="str">
        <x:v>SANGAT KETAT</x:v>
      </x:c>
      <x:c r="M46" t="str">
        <x:v>SEDANG+</x:v>
      </x:c>
      <x:c r="N46" t="str">
        <x:v>ELITE-3</x:v>
      </x:c>
      <x:c r="O46" t="str">
        <x:v>SOSHUM</x:v>
      </x:c>
      <x:c r="P46" t="str">
        <x:v>BISNIS/EKONOMI/AKUNTANSI</x:v>
      </x:c>
      <x:c r="Q46" s="18" t="n">
        <x:v>615</x:v>
      </x:c>
      <x:c r="R46" s="18" t="n">
        <x:v>0</x:v>
      </x:c>
      <x:c r="S46" s="18" t="n">
        <x:v>635.4139824937199</x:v>
      </x:c>
      <x:c r="T46" s="18" t="n">
        <x:v>691</x:v>
      </x:c>
      <x:c r="U46" s="18" t="n">
        <x:v>635.4139824937199</x:v>
      </x:c>
      <x:c r="V46" s="20" t="n">
        <x:v>4.4</x:v>
      </x:c>
      <x:c r="W46" s="20" t="n">
        <x:v>14.3</x:v>
      </x:c>
      <x:c r="X46" s="20" t="n">
        <x:v>3.3</x:v>
      </x:c>
      <x:c r="Y46" t="str">
        <x:v>Basis arsip 2025/2024</x:v>
      </x:c>
      <x:c r="Z46" t="str">
        <x:v>https://snpmb.id/utbk-snbt/daya-tampung-snbt</x:v>
      </x:c>
      <x:c r="AA46" t="str">
        <x:v>Tidak Ada</x:v>
      </x:c>
      <x:c r="AB46" t="str">
        <x:v>Campus=80; Ratio=61.8; Prodi=65; RelDemand=50.6; Capacity=41.7</x:v>
      </x:c>
    </x:row>
    <x:row r="47">
      <x:c r="A47" t="n">
        <x:v>44</x:v>
      </x:c>
      <x:c r="B47" t="str">
        <x:v>PTN Akademik</x:v>
      </x:c>
      <x:c r="C47" t="str">
        <x:v>UNIVERSITAS SYIAH KUALA</x:v>
      </x:c>
      <x:c r="D47" t="str">
        <x:v>ILMU HUKUM</x:v>
      </x:c>
      <x:c r="E47" t="str">
        <x:v>Sarjana</x:v>
      </x:c>
      <x:c r="F47" s="18" t="n">
        <x:v>196</x:v>
      </x:c>
      <x:c r="G47" s="18" t="n">
        <x:v>1476</x:v>
      </x:c>
      <x:c r="H47" s="19" t="n">
        <x:v>7.530612244897959</x:v>
      </x:c>
      <x:c r="I47" s="18" t="n">
        <x:f>ROUND(MIN(Model_Config_v3!$B$6,MAX(Q47,R47,S47*Model_Config_v3!$B$4+T47*Model_Config_v3!$B$5)),0)</x:f>
        <x:v>657</x:v>
      </x:c>
      <x:c r="J47" s="18" t="n">
        <x:f>MIN(Model_Config_v3!$B$6,I47+Model_Config_v3!$B$7)</x:f>
        <x:v>677</x:v>
      </x:c>
      <x:c r="K47" s="20" t="n">
        <x:v>57.3</x:v>
      </x:c>
      <x:c r="L47" t="str">
        <x:v>KETAT</x:v>
      </x:c>
      <x:c r="M47" t="str">
        <x:v>SEDANG+</x:v>
      </x:c>
      <x:c r="N47" t="str">
        <x:v>ELITE-3</x:v>
      </x:c>
      <x:c r="O47" t="str">
        <x:v>SOSHUM</x:v>
      </x:c>
      <x:c r="P47" t="str">
        <x:v>HUKUM</x:v>
      </x:c>
      <x:c r="Q47" s="18" t="n">
        <x:v>615</x:v>
      </x:c>
      <x:c r="R47" s="18" t="n">
        <x:v>0</x:v>
      </x:c>
      <x:c r="S47" s="18" t="n">
        <x:v>616.4513314743601</x:v>
      </x:c>
      <x:c r="T47" s="18" t="n">
        <x:v>675</x:v>
      </x:c>
      <x:c r="U47" s="18" t="n">
        <x:v>631.4513314743601</x:v>
      </x:c>
      <x:c r="V47" s="20" t="n">
        <x:v>4.4</x:v>
      </x:c>
      <x:c r="W47" s="20" t="n">
        <x:v>14.3</x:v>
      </x:c>
      <x:c r="X47" s="20" t="n">
        <x:v>3.3</x:v>
      </x:c>
      <x:c r="Y47" t="str">
        <x:v>Basis arsip 2025/2024</x:v>
      </x:c>
      <x:c r="Z47" t="str">
        <x:v>https://snpmb.id/utbk-snbt/daya-tampung-snbt</x:v>
      </x:c>
      <x:c r="AA47" t="str">
        <x:v>Tidak Ada</x:v>
      </x:c>
      <x:c r="AB47" t="str">
        <x:v>Campus=80; Ratio=51.6; Prodi=65; RelDemand=34.0; Capacity=0.0</x:v>
      </x:c>
    </x:row>
    <x:row r="48">
      <x:c r="A48" t="n">
        <x:v>45</x:v>
      </x:c>
      <x:c r="B48" t="str">
        <x:v>PTN Akademik</x:v>
      </x:c>
      <x:c r="C48" t="str">
        <x:v>UNIVERSITAS SYIAH KUALA</x:v>
      </x:c>
      <x:c r="D48" t="str">
        <x:v>PENDIDIKAN PANCASILA DAN KEWARGANEGARAAN</x:v>
      </x:c>
      <x:c r="E48" t="str">
        <x:v>Sarjana</x:v>
      </x:c>
      <x:c r="F48" s="18" t="n">
        <x:v>49</x:v>
      </x:c>
      <x:c r="G48" s="18" t="n">
        <x:v>279</x:v>
      </x:c>
      <x:c r="H48" s="19" t="n">
        <x:v>5.6938775510204085</x:v>
      </x:c>
      <x:c r="I48" s="18" t="n">
        <x:f>ROUND(MIN(Model_Config_v3!$B$6,MAX(Q48,R48,S48*Model_Config_v3!$B$4+T48*Model_Config_v3!$B$5)),0)</x:f>
        <x:v>652</x:v>
      </x:c>
      <x:c r="J48" s="18" t="n">
        <x:f>MIN(Model_Config_v3!$B$6,I48+Model_Config_v3!$B$7)</x:f>
        <x:v>672</x:v>
      </x:c>
      <x:c r="K48" s="20" t="n">
        <x:v>56.6</x:v>
      </x:c>
      <x:c r="L48" t="str">
        <x:v>KETAT</x:v>
      </x:c>
      <x:c r="M48" t="str">
        <x:v>SEDANG+</x:v>
      </x:c>
      <x:c r="N48" t="str">
        <x:v>ELITE-3</x:v>
      </x:c>
      <x:c r="O48" t="str">
        <x:v>CAMPURAN</x:v>
      </x:c>
      <x:c r="P48" t="str">
        <x:v>PENDIDIKAN</x:v>
      </x:c>
      <x:c r="Q48" s="18" t="n">
        <x:v>615</x:v>
      </x:c>
      <x:c r="R48" s="18" t="n">
        <x:v>0</x:v>
      </x:c>
      <x:c r="S48" s="18" t="n">
        <x:v>603.0948935569593</x:v>
      </x:c>
      <x:c r="T48" s="18" t="n">
        <x:v>673</x:v>
      </x:c>
      <x:c r="U48" s="18" t="n">
        <x:v>615</x:v>
      </x:c>
      <x:c r="V48" s="20" t="n">
        <x:v>8.8</x:v>
      </x:c>
      <x:c r="W48" s="20" t="n">
        <x:v>9.9</x:v>
      </x:c>
      <x:c r="X48" s="20" t="n">
        <x:v>3.3</x:v>
      </x:c>
      <x:c r="Y48" t="str">
        <x:v>Basis arsip 2025/2024</x:v>
      </x:c>
      <x:c r="Z48" t="str">
        <x:v>https://snpmb.id/utbk-snbt/daya-tampung-snbt</x:v>
      </x:c>
      <x:c r="AA48" t="str">
        <x:v>Tidak Ada</x:v>
      </x:c>
      <x:c r="AB48" t="str">
        <x:v>Campus=80; Ratio=44.5; Prodi=45; RelDemand=25.7; Capacity=59.2</x:v>
      </x:c>
    </x:row>
    <x:row r="49">
      <x:c r="A49" t="n">
        <x:v>46</x:v>
      </x:c>
      <x:c r="B49" t="str">
        <x:v>PTN Akademik</x:v>
      </x:c>
      <x:c r="C49" t="str">
        <x:v>UNIVERSITAS SYIAH KUALA</x:v>
      </x:c>
      <x:c r="D49" t="str">
        <x:v>PENDIDIKAN SEJARAH</x:v>
      </x:c>
      <x:c r="E49" t="str">
        <x:v>Sarjana</x:v>
      </x:c>
      <x:c r="F49" s="18" t="n">
        <x:v>42</x:v>
      </x:c>
      <x:c r="G49" s="18" t="n">
        <x:v>237</x:v>
      </x:c>
      <x:c r="H49" s="19" t="n">
        <x:v>5.642857142857143</x:v>
      </x:c>
      <x:c r="I49" s="18" t="n">
        <x:f>ROUND(MIN(Model_Config_v3!$B$6,MAX(Q49,R49,S49*Model_Config_v3!$B$4+T49*Model_Config_v3!$B$5)),0)</x:f>
        <x:v>653</x:v>
      </x:c>
      <x:c r="J49" s="18" t="n">
        <x:f>MIN(Model_Config_v3!$B$6,I49+Model_Config_v3!$B$7)</x:f>
        <x:v>673</x:v>
      </x:c>
      <x:c r="K49" s="20" t="n">
        <x:v>57.1</x:v>
      </x:c>
      <x:c r="L49" t="str">
        <x:v>KETAT</x:v>
      </x:c>
      <x:c r="M49" t="str">
        <x:v>SEDANG+</x:v>
      </x:c>
      <x:c r="N49" t="str">
        <x:v>ELITE-3</x:v>
      </x:c>
      <x:c r="O49" t="str">
        <x:v>SOSHUM</x:v>
      </x:c>
      <x:c r="P49" t="str">
        <x:v>PENDIDIKAN</x:v>
      </x:c>
      <x:c r="Q49" s="18" t="n">
        <x:v>615</x:v>
      </x:c>
      <x:c r="R49" s="18" t="n">
        <x:v>0</x:v>
      </x:c>
      <x:c r="S49" s="18" t="n">
        <x:v>602.6648961173423</x:v>
      </x:c>
      <x:c r="T49" s="18" t="n">
        <x:v>674</x:v>
      </x:c>
      <x:c r="U49" s="18" t="n">
        <x:v>615</x:v>
      </x:c>
      <x:c r="V49" s="20" t="n">
        <x:v>4.4</x:v>
      </x:c>
      <x:c r="W49" s="20" t="n">
        <x:v>14.3</x:v>
      </x:c>
      <x:c r="X49" s="20" t="n">
        <x:v>3.3</x:v>
      </x:c>
      <x:c r="Y49" t="str">
        <x:v>Basis arsip 2025/2024</x:v>
      </x:c>
      <x:c r="Z49" t="str">
        <x:v>https://snpmb.id/utbk-snbt/daya-tampung-snbt</x:v>
      </x:c>
      <x:c r="AA49" t="str">
        <x:v>Tidak Ada</x:v>
      </x:c>
      <x:c r="AB49" t="str">
        <x:v>Campus=80; Ratio=44.2; Prodi=45; RelDemand=25.5; Capacity=65.0</x:v>
      </x:c>
    </x:row>
    <x:row r="50">
      <x:c r="A50" t="n">
        <x:v>47</x:v>
      </x:c>
      <x:c r="B50" t="str">
        <x:v>PTN Akademik</x:v>
      </x:c>
      <x:c r="C50" t="str">
        <x:v>UNIVERSITAS SYIAH KUALA</x:v>
      </x:c>
      <x:c r="D50" t="str">
        <x:v>PENDIDIKAN EKONOMI</x:v>
      </x:c>
      <x:c r="E50" t="str">
        <x:v>Sarjana</x:v>
      </x:c>
      <x:c r="F50" s="18" t="n">
        <x:v>56</x:v>
      </x:c>
      <x:c r="G50" s="18" t="n">
        <x:v>144</x:v>
      </x:c>
      <x:c r="H50" s="19" t="n">
        <x:v>2.5714285714285716</x:v>
      </x:c>
      <x:c r="I50" s="18" t="n">
        <x:f>ROUND(MIN(Model_Config_v3!$B$6,MAX(Q50,R50,S50*Model_Config_v3!$B$4+T50*Model_Config_v3!$B$5)),0)</x:f>
        <x:v>631</x:v>
      </x:c>
      <x:c r="J50" s="18" t="n">
        <x:f>MIN(Model_Config_v3!$B$6,I50+Model_Config_v3!$B$7)</x:f>
        <x:v>651</x:v>
      </x:c>
      <x:c r="K50" s="20" t="n">
        <x:v>49.5</x:v>
      </x:c>
      <x:c r="L50" t="str">
        <x:v>MENENGAH</x:v>
      </x:c>
      <x:c r="M50" t="str">
        <x:v>SEDANG+</x:v>
      </x:c>
      <x:c r="N50" t="str">
        <x:v>ELITE-3</x:v>
      </x:c>
      <x:c r="O50" t="str">
        <x:v>SOSHUM</x:v>
      </x:c>
      <x:c r="P50" t="str">
        <x:v>PENDIDIKAN</x:v>
      </x:c>
      <x:c r="Q50" s="18" t="n">
        <x:v>615</x:v>
      </x:c>
      <x:c r="R50" s="18" t="n">
        <x:v>0</x:v>
      </x:c>
      <x:c r="S50" s="18" t="n">
        <x:v>565.1191911597954</x:v>
      </x:c>
      <x:c r="T50" s="18" t="n">
        <x:v>659</x:v>
      </x:c>
      <x:c r="U50" s="18" t="n">
        <x:v>615</x:v>
      </x:c>
      <x:c r="V50" s="20" t="n">
        <x:v>4.4</x:v>
      </x:c>
      <x:c r="W50" s="20" t="n">
        <x:v>14.3</x:v>
      </x:c>
      <x:c r="X50" s="20" t="n">
        <x:v>3.3</x:v>
      </x:c>
      <x:c r="Y50" t="str">
        <x:v>Basis arsip 2025/2024</x:v>
      </x:c>
      <x:c r="Z50" t="str">
        <x:v>https://snpmb.id/utbk-snbt/daya-tampung-snbt</x:v>
      </x:c>
      <x:c r="AA50" t="str">
        <x:v>Tidak Ada</x:v>
      </x:c>
      <x:c r="AB50" t="str">
        <x:v>Campus=80; Ratio=24.1; Prodi=45; RelDemand=11.6; Capacity=53.3</x:v>
      </x:c>
    </x:row>
    <x:row r="51">
      <x:c r="A51" t="n">
        <x:v>48</x:v>
      </x:c>
      <x:c r="B51" t="str">
        <x:v>PTN Akademik</x:v>
      </x:c>
      <x:c r="C51" t="str">
        <x:v>UNIVERSITAS SYIAH KUALA</x:v>
      </x:c>
      <x:c r="D51" t="str">
        <x:v>PENDIDIKAN GEOGRAFI</x:v>
      </x:c>
      <x:c r="E51" t="str">
        <x:v>Sarjana</x:v>
      </x:c>
      <x:c r="F51" s="18" t="n">
        <x:v>56</x:v>
      </x:c>
      <x:c r="G51" s="18" t="n">
        <x:v>104</x:v>
      </x:c>
      <x:c r="H51" s="19" t="n">
        <x:v>1.8571428571428572</x:v>
      </x:c>
      <x:c r="I51" s="18" t="n">
        <x:f>ROUND(MIN(Model_Config_v3!$B$6,MAX(Q51,R51,S51*Model_Config_v3!$B$4+T51*Model_Config_v3!$B$5)),0)</x:f>
        <x:v>623</x:v>
      </x:c>
      <x:c r="J51" s="18" t="n">
        <x:f>MIN(Model_Config_v3!$B$6,I51+Model_Config_v3!$B$7)</x:f>
        <x:v>643</x:v>
      </x:c>
      <x:c r="K51" s="20" t="n">
        <x:v>47.1</x:v>
      </x:c>
      <x:c r="L51" t="str">
        <x:v>MENENGAH</x:v>
      </x:c>
      <x:c r="M51" t="str">
        <x:v>SEDANG+</x:v>
      </x:c>
      <x:c r="N51" t="str">
        <x:v>ELITE-3</x:v>
      </x:c>
      <x:c r="O51" t="str">
        <x:v>CAMPURAN</x:v>
      </x:c>
      <x:c r="P51" t="str">
        <x:v>PENDIDIKAN</x:v>
      </x:c>
      <x:c r="Q51" s="18" t="n">
        <x:v>615</x:v>
      </x:c>
      <x:c r="R51" s="18" t="n">
        <x:v>0</x:v>
      </x:c>
      <x:c r="S51" s="18" t="n">
        <x:v>549.5729843521838</x:v>
      </x:c>
      <x:c r="T51" s="18" t="n">
        <x:v>654</x:v>
      </x:c>
      <x:c r="U51" s="18" t="n">
        <x:v>615</x:v>
      </x:c>
      <x:c r="V51" s="20" t="n">
        <x:v>8.8</x:v>
      </x:c>
      <x:c r="W51" s="20" t="n">
        <x:v>9.9</x:v>
      </x:c>
      <x:c r="X51" s="20" t="n">
        <x:v>3.3</x:v>
      </x:c>
      <x:c r="Y51" t="str">
        <x:v>Basis arsip 2025/2024</x:v>
      </x:c>
      <x:c r="Z51" t="str">
        <x:v>https://snpmb.id/utbk-snbt/daya-tampung-snbt</x:v>
      </x:c>
      <x:c r="AA51" t="str">
        <x:v>Tidak Ada</x:v>
      </x:c>
      <x:c r="AB51" t="str">
        <x:v>Campus=80; Ratio=15.8; Prodi=45; RelDemand=8.4; Capacity=53.3</x:v>
      </x:c>
    </x:row>
    <x:row r="52">
      <x:c r="A52" t="n">
        <x:v>49</x:v>
      </x:c>
      <x:c r="B52" t="str">
        <x:v>PTN Akademik</x:v>
      </x:c>
      <x:c r="C52" t="str">
        <x:v>UNIVERSITAS SYIAH KUALA</x:v>
      </x:c>
      <x:c r="D52" t="str">
        <x:v>PENDIDIKAN BAHASA INDONESIA</x:v>
      </x:c>
      <x:c r="E52" t="str">
        <x:v>Sarjana</x:v>
      </x:c>
      <x:c r="F52" s="18" t="n">
        <x:v>56</x:v>
      </x:c>
      <x:c r="G52" s="18" t="n">
        <x:v>385</x:v>
      </x:c>
      <x:c r="H52" s="19" t="n">
        <x:v>6.875</x:v>
      </x:c>
      <x:c r="I52" s="18" t="n">
        <x:f>ROUND(MIN(Model_Config_v3!$B$6,MAX(Q52,R52,S52*Model_Config_v3!$B$4+T52*Model_Config_v3!$B$5)),0)</x:f>
        <x:v>657</x:v>
      </x:c>
      <x:c r="J52" s="18" t="n">
        <x:f>MIN(Model_Config_v3!$B$6,I52+Model_Config_v3!$B$7)</x:f>
        <x:v>677</x:v>
      </x:c>
      <x:c r="K52" s="20" t="n">
        <x:v>57.8</x:v>
      </x:c>
      <x:c r="L52" t="str">
        <x:v>KETAT</x:v>
      </x:c>
      <x:c r="M52" t="str">
        <x:v>SEDANG+</x:v>
      </x:c>
      <x:c r="N52" t="str">
        <x:v>ELITE-3</x:v>
      </x:c>
      <x:c r="O52" t="str">
        <x:v>SOSHUM</x:v>
      </x:c>
      <x:c r="P52" t="str">
        <x:v>PENDIDIKAN</x:v>
      </x:c>
      <x:c r="Q52" s="18" t="n">
        <x:v>615</x:v>
      </x:c>
      <x:c r="R52" s="18" t="n">
        <x:v>0</x:v>
      </x:c>
      <x:c r="S52" s="18" t="n">
        <x:v>612.099997275253</x:v>
      </x:c>
      <x:c r="T52" s="18" t="n">
        <x:v>676</x:v>
      </x:c>
      <x:c r="U52" s="18" t="n">
        <x:v>615</x:v>
      </x:c>
      <x:c r="V52" s="20" t="n">
        <x:v>4.4</x:v>
      </x:c>
      <x:c r="W52" s="20" t="n">
        <x:v>14.3</x:v>
      </x:c>
      <x:c r="X52" s="20" t="n">
        <x:v>3.3</x:v>
      </x:c>
      <x:c r="Y52" t="str">
        <x:v>Basis arsip 2025/2024</x:v>
      </x:c>
      <x:c r="Z52" t="str">
        <x:v>https://snpmb.id/utbk-snbt/daya-tampung-snbt</x:v>
      </x:c>
      <x:c r="AA52" t="str">
        <x:v>Tidak Ada</x:v>
      </x:c>
      <x:c r="AB52" t="str">
        <x:v>Campus=80; Ratio=49.3; Prodi=45; RelDemand=31.1; Capacity=53.3</x:v>
      </x:c>
    </x:row>
    <x:row r="53">
      <x:c r="A53" t="n">
        <x:v>50</x:v>
      </x:c>
      <x:c r="B53" t="str">
        <x:v>PTN Akademik</x:v>
      </x:c>
      <x:c r="C53" t="str">
        <x:v>UNIVERSITAS SYIAH KUALA</x:v>
      </x:c>
      <x:c r="D53" t="str">
        <x:v>PENDIDIKAN BAHASA INGGRIS</x:v>
      </x:c>
      <x:c r="E53" t="str">
        <x:v>Sarjana</x:v>
      </x:c>
      <x:c r="F53" s="18" t="n">
        <x:v>56</x:v>
      </x:c>
      <x:c r="G53" s="18" t="n">
        <x:v>358</x:v>
      </x:c>
      <x:c r="H53" s="19" t="n">
        <x:v>6.392857142857143</x:v>
      </x:c>
      <x:c r="I53" s="18" t="n">
        <x:f>ROUND(MIN(Model_Config_v3!$B$6,MAX(Q53,R53,S53*Model_Config_v3!$B$4+T53*Model_Config_v3!$B$5)),0)</x:f>
        <x:v>654</x:v>
      </x:c>
      <x:c r="J53" s="18" t="n">
        <x:f>MIN(Model_Config_v3!$B$6,I53+Model_Config_v3!$B$7)</x:f>
        <x:v>674</x:v>
      </x:c>
      <x:c r="K53" s="20" t="n">
        <x:v>57.1</x:v>
      </x:c>
      <x:c r="L53" t="str">
        <x:v>KETAT</x:v>
      </x:c>
      <x:c r="M53" t="str">
        <x:v>SEDANG+</x:v>
      </x:c>
      <x:c r="N53" t="str">
        <x:v>ELITE-3</x:v>
      </x:c>
      <x:c r="O53" t="str">
        <x:v>SOSHUM</x:v>
      </x:c>
      <x:c r="P53" t="str">
        <x:v>PENDIDIKAN</x:v>
      </x:c>
      <x:c r="Q53" s="18" t="n">
        <x:v>615</x:v>
      </x:c>
      <x:c r="R53" s="18" t="n">
        <x:v>0</x:v>
      </x:c>
      <x:c r="S53" s="18" t="n">
        <x:v>608.6264499601441</x:v>
      </x:c>
      <x:c r="T53" s="18" t="n">
        <x:v>674</x:v>
      </x:c>
      <x:c r="U53" s="18" t="n">
        <x:v>615</x:v>
      </x:c>
      <x:c r="V53" s="20" t="n">
        <x:v>4.4</x:v>
      </x:c>
      <x:c r="W53" s="20" t="n">
        <x:v>14.3</x:v>
      </x:c>
      <x:c r="X53" s="20" t="n">
        <x:v>3.3</x:v>
      </x:c>
      <x:c r="Y53" t="str">
        <x:v>Basis arsip 2025/2024</x:v>
      </x:c>
      <x:c r="Z53" t="str">
        <x:v>https://snpmb.id/utbk-snbt/daya-tampung-snbt</x:v>
      </x:c>
      <x:c r="AA53" t="str">
        <x:v>Tidak Ada</x:v>
      </x:c>
      <x:c r="AB53" t="str">
        <x:v>Campus=80; Ratio=47.4; Prodi=45; RelDemand=28.9; Capacity=53.3</x:v>
      </x:c>
    </x:row>
    <x:row r="54">
      <x:c r="A54" t="n">
        <x:v>51</x:v>
      </x:c>
      <x:c r="B54" t="str">
        <x:v>PTN Akademik</x:v>
      </x:c>
      <x:c r="C54" t="str">
        <x:v>UNIVERSITAS SYIAH KUALA</x:v>
      </x:c>
      <x:c r="D54" t="str">
        <x:v>PENDIDIKAN SENI DRAMA TARI DAN MUSIK</x:v>
      </x:c>
      <x:c r="E54" t="str">
        <x:v>Sarjana</x:v>
      </x:c>
      <x:c r="F54" s="18" t="n">
        <x:v>42</x:v>
      </x:c>
      <x:c r="G54" s="18" t="n">
        <x:v>65</x:v>
      </x:c>
      <x:c r="H54" s="19" t="n">
        <x:v>1.5476190476190477</x:v>
      </x:c>
      <x:c r="I54" s="18" t="n">
        <x:f>ROUND(MIN(Model_Config_v3!$B$6,MAX(Q54,R54,S54*Model_Config_v3!$B$4+T54*Model_Config_v3!$B$5)),0)</x:f>
        <x:v>620</x:v>
      </x:c>
      <x:c r="J54" s="18" t="n">
        <x:f>MIN(Model_Config_v3!$B$6,I54+Model_Config_v3!$B$7)</x:f>
        <x:v>640</x:v>
      </x:c>
      <x:c r="K54" s="20" t="n">
        <x:v>47</x:v>
      </x:c>
      <x:c r="L54" t="str">
        <x:v>MENENGAH</x:v>
      </x:c>
      <x:c r="M54" t="str">
        <x:v>PORTOFOLIO</x:v>
      </x:c>
      <x:c r="N54" t="str">
        <x:v>ELITE-3</x:v>
      </x:c>
      <x:c r="O54" t="str">
        <x:v>SENI/OLAHRAGA</x:v>
      </x:c>
      <x:c r="P54" t="str">
        <x:v>SENI/OLAHRAGA</x:v>
      </x:c>
      <x:c r="Q54" s="18" t="n">
        <x:v>615</x:v>
      </x:c>
      <x:c r="R54" s="18" t="n">
        <x:v>0</x:v>
      </x:c>
      <x:c r="S54" s="18" t="n">
        <x:v>540.8630472869451</x:v>
      </x:c>
      <x:c r="T54" s="18" t="n">
        <x:v>654</x:v>
      </x:c>
      <x:c r="U54" s="18" t="n">
        <x:v>615</x:v>
      </x:c>
      <x:c r="V54" s="20" t="n">
        <x:v>4.4</x:v>
      </x:c>
      <x:c r="W54" s="20" t="n">
        <x:v>9.9</x:v>
      </x:c>
      <x:c r="X54" s="20" t="n">
        <x:v>7.7</x:v>
      </x:c>
      <x:c r="Y54" t="str">
        <x:v>Basis arsip 2025/2024</x:v>
      </x:c>
      <x:c r="Z54" t="str">
        <x:v>https://snpmb.id/utbk-snbt/daya-tampung-snbt</x:v>
      </x:c>
      <x:c r="AA54" t="str">
        <x:v>Sendratasik</x:v>
      </x:c>
      <x:c r="AB54" t="str">
        <x:v>Campus=80; Ratio=11.2; Prodi=45; RelDemand=7.0; Capacity=65.0</x:v>
      </x:c>
    </x:row>
    <x:row r="55">
      <x:c r="A55" t="n">
        <x:v>52</x:v>
      </x:c>
      <x:c r="B55" t="str">
        <x:v>PTN Akademik</x:v>
      </x:c>
      <x:c r="C55" t="str">
        <x:v>UNIVERSITAS SYIAH KUALA</x:v>
      </x:c>
      <x:c r="D55" t="str">
        <x:v>PENDIDIKAN KESEJAHTERAAN KELUARGA</x:v>
      </x:c>
      <x:c r="E55" t="str">
        <x:v>Sarjana</x:v>
      </x:c>
      <x:c r="F55" s="18" t="n">
        <x:v>56</x:v>
      </x:c>
      <x:c r="G55" s="18" t="n">
        <x:v>359</x:v>
      </x:c>
      <x:c r="H55" s="19" t="n">
        <x:v>6.410714285714286</x:v>
      </x:c>
      <x:c r="I55" s="18" t="n">
        <x:f>ROUND(MIN(Model_Config_v3!$B$6,MAX(Q55,R55,S55*Model_Config_v3!$B$4+T55*Model_Config_v3!$B$5)),0)</x:f>
        <x:v>654</x:v>
      </x:c>
      <x:c r="J55" s="18" t="n">
        <x:f>MIN(Model_Config_v3!$B$6,I55+Model_Config_v3!$B$7)</x:f>
        <x:v>674</x:v>
      </x:c>
      <x:c r="K55" s="20" t="n">
        <x:v>57.1</x:v>
      </x:c>
      <x:c r="L55" t="str">
        <x:v>KETAT</x:v>
      </x:c>
      <x:c r="M55" t="str">
        <x:v>SEDANG+</x:v>
      </x:c>
      <x:c r="N55" t="str">
        <x:v>ELITE-3</x:v>
      </x:c>
      <x:c r="O55" t="str">
        <x:v>CAMPURAN</x:v>
      </x:c>
      <x:c r="P55" t="str">
        <x:v>PENDIDIKAN</x:v>
      </x:c>
      <x:c r="Q55" s="18" t="n">
        <x:v>615</x:v>
      </x:c>
      <x:c r="R55" s="18" t="n">
        <x:v>0</x:v>
      </x:c>
      <x:c r="S55" s="18" t="n">
        <x:v>608.759706372933</x:v>
      </x:c>
      <x:c r="T55" s="18" t="n">
        <x:v>674</x:v>
      </x:c>
      <x:c r="U55" s="18" t="n">
        <x:v>615</x:v>
      </x:c>
      <x:c r="V55" s="20" t="n">
        <x:v>8.8</x:v>
      </x:c>
      <x:c r="W55" s="20" t="n">
        <x:v>9.9</x:v>
      </x:c>
      <x:c r="X55" s="20" t="n">
        <x:v>3.3</x:v>
      </x:c>
      <x:c r="Y55" t="str">
        <x:v>Basis arsip 2025/2024</x:v>
      </x:c>
      <x:c r="Z55" t="str">
        <x:v>https://snpmb.id/utbk-snbt/daya-tampung-snbt</x:v>
      </x:c>
      <x:c r="AA55" t="str">
        <x:v>Tidak Ada</x:v>
      </x:c>
      <x:c r="AB55" t="str">
        <x:v>Campus=80; Ratio=47.5; Prodi=45; RelDemand=29.0; Capacity=53.3</x:v>
      </x:c>
    </x:row>
    <x:row r="56">
      <x:c r="A56" t="n">
        <x:v>53</x:v>
      </x:c>
      <x:c r="B56" t="str">
        <x:v>PTN Akademik</x:v>
      </x:c>
      <x:c r="C56" t="str">
        <x:v>UNIVERSITAS SYIAH KUALA</x:v>
      </x:c>
      <x:c r="D56" t="str">
        <x:v>PEND. JASMANI KESEHATAN DAN REKREASI</x:v>
      </x:c>
      <x:c r="E56" t="str">
        <x:v>Sarjana</x:v>
      </x:c>
      <x:c r="F56" s="18" t="n">
        <x:v>70</x:v>
      </x:c>
      <x:c r="G56" s="18" t="n">
        <x:v>188</x:v>
      </x:c>
      <x:c r="H56" s="19" t="n">
        <x:v>2.6857142857142855</x:v>
      </x:c>
      <x:c r="I56" s="18" t="n">
        <x:f>ROUND(MIN(Model_Config_v3!$B$6,MAX(Q56,R56,S56*Model_Config_v3!$B$4+T56*Model_Config_v3!$B$5)),0)</x:f>
        <x:v>630</x:v>
      </x:c>
      <x:c r="J56" s="18" t="n">
        <x:f>MIN(Model_Config_v3!$B$6,I56+Model_Config_v3!$B$7)</x:f>
        <x:v>650</x:v>
      </x:c>
      <x:c r="K56" s="20" t="n">
        <x:v>48.7</x:v>
      </x:c>
      <x:c r="L56" t="str">
        <x:v>MENENGAH</x:v>
      </x:c>
      <x:c r="M56" t="str">
        <x:v>PORTOFOLIO</x:v>
      </x:c>
      <x:c r="N56" t="str">
        <x:v>ELITE-3</x:v>
      </x:c>
      <x:c r="O56" t="str">
        <x:v>SENI/OLAHRAGA</x:v>
      </x:c>
      <x:c r="P56" t="str">
        <x:v>SENI/OLAHRAGA</x:v>
      </x:c>
      <x:c r="Q56" s="18" t="n">
        <x:v>615</x:v>
      </x:c>
      <x:c r="R56" s="18" t="n">
        <x:v>0</x:v>
      </x:c>
      <x:c r="S56" s="18" t="n">
        <x:v>567.1965790174365</x:v>
      </x:c>
      <x:c r="T56" s="18" t="n">
        <x:v>657</x:v>
      </x:c>
      <x:c r="U56" s="18" t="n">
        <x:v>615</x:v>
      </x:c>
      <x:c r="V56" s="20" t="n">
        <x:v>4.4</x:v>
      </x:c>
      <x:c r="W56" s="20" t="n">
        <x:v>9.9</x:v>
      </x:c>
      <x:c r="X56" s="20" t="n">
        <x:v>7.7</x:v>
      </x:c>
      <x:c r="Y56" t="str">
        <x:v>Basis arsip 2025/2024</x:v>
      </x:c>
      <x:c r="Z56" t="str">
        <x:v>https://snpmb.id/utbk-snbt/daya-tampung-snbt</x:v>
      </x:c>
      <x:c r="AA56" t="str">
        <x:v>Olahraga</x:v>
      </x:c>
      <x:c r="AB56" t="str">
        <x:v>Campus=80; Ratio=25.3; Prodi=45; RelDemand=12.1; Capacity=41.7</x:v>
      </x:c>
    </x:row>
    <x:row r="57">
      <x:c r="A57" t="n">
        <x:v>54</x:v>
      </x:c>
      <x:c r="B57" t="str">
        <x:v>PTN Akademik</x:v>
      </x:c>
      <x:c r="C57" t="str">
        <x:v>UNIVERSITAS SYIAH KUALA</x:v>
      </x:c>
      <x:c r="D57" t="str">
        <x:v>BIMBINGAN KONSELING</x:v>
      </x:c>
      <x:c r="E57" t="str">
        <x:v>Sarjana</x:v>
      </x:c>
      <x:c r="F57" s="18" t="n">
        <x:v>53</x:v>
      </x:c>
      <x:c r="G57" s="18" t="n">
        <x:v>712</x:v>
      </x:c>
      <x:c r="H57" s="19" t="n">
        <x:v>13.433962264150944</x:v>
      </x:c>
      <x:c r="I57" s="18" t="n">
        <x:f>ROUND(MIN(Model_Config_v3!$B$6,MAX(Q57,R57,S57*Model_Config_v3!$B$4+T57*Model_Config_v3!$B$5)),0)</x:f>
        <x:v>676</x:v>
      </x:c>
      <x:c r="J57" s="18" t="n">
        <x:f>MIN(Model_Config_v3!$B$6,I57+Model_Config_v3!$B$7)</x:f>
        <x:v>696</x:v>
      </x:c>
      <x:c r="K57" s="20" t="n">
        <x:v>64.3</x:v>
      </x:c>
      <x:c r="L57" t="str">
        <x:v>KETAT</x:v>
      </x:c>
      <x:c r="M57" t="str">
        <x:v>SEDANG+</x:v>
      </x:c>
      <x:c r="N57" t="str">
        <x:v>ELITE-3</x:v>
      </x:c>
      <x:c r="O57" t="str">
        <x:v>CAMPURAN</x:v>
      </x:c>
      <x:c r="P57" t="str">
        <x:v>UMUM</x:v>
      </x:c>
      <x:c r="Q57" s="18" t="n">
        <x:v>615</x:v>
      </x:c>
      <x:c r="R57" s="18" t="n">
        <x:v>0</x:v>
      </x:c>
      <x:c r="S57" s="18" t="n">
        <x:v>644.1024536439674</x:v>
      </x:c>
      <x:c r="T57" s="18" t="n">
        <x:v>689</x:v>
      </x:c>
      <x:c r="U57" s="18" t="n">
        <x:v>644.1024536439674</x:v>
      </x:c>
      <x:c r="V57" s="20" t="n">
        <x:v>8.8</x:v>
      </x:c>
      <x:c r="W57" s="20" t="n">
        <x:v>9.9</x:v>
      </x:c>
      <x:c r="X57" s="20" t="n">
        <x:v>3.3</x:v>
      </x:c>
      <x:c r="Y57" t="str">
        <x:v>Basis arsip 2025/2024</x:v>
      </x:c>
      <x:c r="Z57" t="str">
        <x:v>https://snpmb.id/utbk-snbt/daya-tampung-snbt</x:v>
      </x:c>
      <x:c r="AA57" t="str">
        <x:v>Tidak Ada</x:v>
      </x:c>
      <x:c r="AB57" t="str">
        <x:v>Campus=80; Ratio=66.4; Prodi=40; RelDemand=60.7; Capacity=55.8</x:v>
      </x:c>
    </x:row>
    <x:row r="58">
      <x:c r="A58" t="n">
        <x:v>55</x:v>
      </x:c>
      <x:c r="B58" t="str">
        <x:v>PTN Akademik</x:v>
      </x:c>
      <x:c r="C58" t="str">
        <x:v>UNIVERSITAS SYIAH KUALA</x:v>
      </x:c>
      <x:c r="D58" t="str">
        <x:v>PENDIDIKAN GURU SEKOLAH DASAR</x:v>
      </x:c>
      <x:c r="E58" t="str">
        <x:v>Sarjana</x:v>
      </x:c>
      <x:c r="F58" s="18" t="n">
        <x:v>81</x:v>
      </x:c>
      <x:c r="G58" s="18" t="n">
        <x:v>950</x:v>
      </x:c>
      <x:c r="H58" s="19" t="n">
        <x:v>11.728395061728396</x:v>
      </x:c>
      <x:c r="I58" s="18" t="n">
        <x:f>ROUND(MIN(Model_Config_v3!$B$6,MAX(Q58,R58,S58*Model_Config_v3!$B$4+T58*Model_Config_v3!$B$5)),0)</x:f>
        <x:v>669</x:v>
      </x:c>
      <x:c r="J58" s="18" t="n">
        <x:f>MIN(Model_Config_v3!$B$6,I58+Model_Config_v3!$B$7)</x:f>
        <x:v>689</x:v>
      </x:c>
      <x:c r="K58" s="20" t="n">
        <x:v>61.3</x:v>
      </x:c>
      <x:c r="L58" t="str">
        <x:v>KETAT</x:v>
      </x:c>
      <x:c r="M58" t="str">
        <x:v>SEDANG+</x:v>
      </x:c>
      <x:c r="N58" t="str">
        <x:v>ELITE-3</x:v>
      </x:c>
      <x:c r="O58" t="str">
        <x:v>CAMPURAN</x:v>
      </x:c>
      <x:c r="P58" t="str">
        <x:v>PENDIDIKAN</x:v>
      </x:c>
      <x:c r="Q58" s="18" t="n">
        <x:v>615</x:v>
      </x:c>
      <x:c r="R58" s="18" t="n">
        <x:v>0</x:v>
      </x:c>
      <x:c r="S58" s="18" t="n">
        <x:v>637.6162445051218</x:v>
      </x:c>
      <x:c r="T58" s="18" t="n">
        <x:v>683</x:v>
      </x:c>
      <x:c r="U58" s="18" t="n">
        <x:v>637.6162445051218</x:v>
      </x:c>
      <x:c r="V58" s="20" t="n">
        <x:v>8.8</x:v>
      </x:c>
      <x:c r="W58" s="20" t="n">
        <x:v>9.9</x:v>
      </x:c>
      <x:c r="X58" s="20" t="n">
        <x:v>3.3</x:v>
      </x:c>
      <x:c r="Y58" t="str">
        <x:v>Basis arsip 2025/2024</x:v>
      </x:c>
      <x:c r="Z58" t="str">
        <x:v>https://snpmb.id/utbk-snbt/daya-tampung-snbt</x:v>
      </x:c>
      <x:c r="AA58" t="str">
        <x:v>Tidak Ada</x:v>
      </x:c>
      <x:c r="AB58" t="str">
        <x:v>Campus=80; Ratio=62.9; Prodi=45; RelDemand=53.0; Capacity=32.5</x:v>
      </x:c>
    </x:row>
    <x:row r="59">
      <x:c r="A59" t="n">
        <x:v>56</x:v>
      </x:c>
      <x:c r="B59" t="str">
        <x:v>PTN Akademik</x:v>
      </x:c>
      <x:c r="C59" t="str">
        <x:v>UNIVERSITAS SYIAH KUALA</x:v>
      </x:c>
      <x:c r="D59" t="str">
        <x:v>PSIKOLOGI</x:v>
      </x:c>
      <x:c r="E59" t="str">
        <x:v>Sarjana</x:v>
      </x:c>
      <x:c r="F59" s="18" t="n">
        <x:v>28</x:v>
      </x:c>
      <x:c r="G59" s="18" t="n">
        <x:v>665</x:v>
      </x:c>
      <x:c r="H59" s="19" t="n">
        <x:v>23.75</x:v>
      </x:c>
      <x:c r="I59" s="18" t="n">
        <x:f>ROUND(MIN(Model_Config_v3!$B$6,MAX(Q59,R59,S59*Model_Config_v3!$B$4+T59*Model_Config_v3!$B$5)),0)</x:f>
        <x:v>708</x:v>
      </x:c>
      <x:c r="J59" s="18" t="n">
        <x:f>MIN(Model_Config_v3!$B$6,I59+Model_Config_v3!$B$7)</x:f>
        <x:v>728</x:v>
      </x:c>
      <x:c r="K59" s="20" t="n">
        <x:v>81.9</x:v>
      </x:c>
      <x:c r="L59" t="str">
        <x:v>ELITE</x:v>
      </x:c>
      <x:c r="M59" t="str">
        <x:v>SEDANG+</x:v>
      </x:c>
      <x:c r="N59" t="str">
        <x:v>ELITE-3</x:v>
      </x:c>
      <x:c r="O59" t="str">
        <x:v>SOSHUM</x:v>
      </x:c>
      <x:c r="P59" t="str">
        <x:v>PSIKOLOGI</x:v>
      </x:c>
      <x:c r="Q59" s="18" t="n">
        <x:v>615</x:v>
      </x:c>
      <x:c r="R59" s="18" t="n">
        <x:v>670</x:v>
      </x:c>
      <x:c r="S59" s="18" t="n">
        <x:v>671.3229975356974</x:v>
      </x:c>
      <x:c r="T59" s="18" t="n">
        <x:v>724</x:v>
      </x:c>
      <x:c r="U59" s="18" t="n">
        <x:v>696.3229975356974</x:v>
      </x:c>
      <x:c r="V59" s="20" t="n">
        <x:v>4.4</x:v>
      </x:c>
      <x:c r="W59" s="20" t="n">
        <x:v>14.3</x:v>
      </x:c>
      <x:c r="X59" s="20" t="n">
        <x:v>3.3</x:v>
      </x:c>
      <x:c r="Y59" t="str">
        <x:v>Basis arsip 2025/2024</x:v>
      </x:c>
      <x:c r="Z59" t="str">
        <x:v>https://snpmb.id/utbk-snbt/daya-tampung-snbt</x:v>
      </x:c>
      <x:c r="AA59" t="str">
        <x:v>Tidak Ada</x:v>
      </x:c>
      <x:c r="AB59" t="str">
        <x:v>Campus=80; Ratio=81.0; Prodi=80; RelDemand=100.0; Capacity=76.7</x:v>
      </x:c>
    </x:row>
    <x:row r="60">
      <x:c r="A60" t="n">
        <x:v>57</x:v>
      </x:c>
      <x:c r="B60" t="str">
        <x:v>PTN Akademik</x:v>
      </x:c>
      <x:c r="C60" t="str">
        <x:v>UNIVERSITAS SYIAH KUALA</x:v>
      </x:c>
      <x:c r="D60" t="str">
        <x:v>ILMU POLITIK</x:v>
      </x:c>
      <x:c r="E60" t="str">
        <x:v>Sarjana</x:v>
      </x:c>
      <x:c r="F60" s="18" t="n">
        <x:v>56</x:v>
      </x:c>
      <x:c r="G60" s="18" t="n">
        <x:v>179</x:v>
      </x:c>
      <x:c r="H60" s="19" t="n">
        <x:v>3.1964285714285716</x:v>
      </x:c>
      <x:c r="I60" s="18" t="n">
        <x:f>ROUND(MIN(Model_Config_v3!$B$6,MAX(Q60,R60,S60*Model_Config_v3!$B$4+T60*Model_Config_v3!$B$5)),0)</x:f>
        <x:v>635</x:v>
      </x:c>
      <x:c r="J60" s="18" t="n">
        <x:f>MIN(Model_Config_v3!$B$6,I60+Model_Config_v3!$B$7)</x:f>
        <x:v>655</x:v>
      </x:c>
      <x:c r="K60" s="20" t="n">
        <x:v>50.2</x:v>
      </x:c>
      <x:c r="L60" t="str">
        <x:v>MENENGAH</x:v>
      </x:c>
      <x:c r="M60" t="str">
        <x:v>SEDANG+</x:v>
      </x:c>
      <x:c r="N60" t="str">
        <x:v>ELITE-3</x:v>
      </x:c>
      <x:c r="O60" t="str">
        <x:v>SOSHUM</x:v>
      </x:c>
      <x:c r="P60" t="str">
        <x:v>UMUM</x:v>
      </x:c>
      <x:c r="Q60" s="18" t="n">
        <x:v>615</x:v>
      </x:c>
      <x:c r="R60" s="18" t="n">
        <x:v>0</x:v>
      </x:c>
      <x:c r="S60" s="18" t="n">
        <x:v>575.5131504371062</x:v>
      </x:c>
      <x:c r="T60" s="18" t="n">
        <x:v>660</x:v>
      </x:c>
      <x:c r="U60" s="18" t="n">
        <x:v>615</x:v>
      </x:c>
      <x:c r="V60" s="20" t="n">
        <x:v>4.4</x:v>
      </x:c>
      <x:c r="W60" s="20" t="n">
        <x:v>14.3</x:v>
      </x:c>
      <x:c r="X60" s="20" t="n">
        <x:v>3.3</x:v>
      </x:c>
      <x:c r="Y60" t="str">
        <x:v>Basis arsip 2025/2024</x:v>
      </x:c>
      <x:c r="Z60" t="str">
        <x:v>https://snpmb.id/utbk-snbt/daya-tampung-snbt</x:v>
      </x:c>
      <x:c r="AA60" t="str">
        <x:v>Tidak Ada</x:v>
      </x:c>
      <x:c r="AB60" t="str">
        <x:v>Campus=80; Ratio=29.7; Prodi=40; RelDemand=14.4; Capacity=53.3</x:v>
      </x:c>
    </x:row>
    <x:row r="61">
      <x:c r="A61" t="n">
        <x:v>58</x:v>
      </x:c>
      <x:c r="B61" t="str">
        <x:v>PTN Akademik</x:v>
      </x:c>
      <x:c r="C61" t="str">
        <x:v>UNIVERSITAS SYIAH KUALA</x:v>
      </x:c>
      <x:c r="D61" t="str">
        <x:v>SOSIOLOGI</x:v>
      </x:c>
      <x:c r="E61" t="str">
        <x:v>Sarjana</x:v>
      </x:c>
      <x:c r="F61" s="18" t="n">
        <x:v>42</x:v>
      </x:c>
      <x:c r="G61" s="18" t="n">
        <x:v>143</x:v>
      </x:c>
      <x:c r="H61" s="19" t="n">
        <x:v>3.4047619047619047</x:v>
      </x:c>
      <x:c r="I61" s="18" t="n">
        <x:f>ROUND(MIN(Model_Config_v3!$B$6,MAX(Q61,R61,S61*Model_Config_v3!$B$4+T61*Model_Config_v3!$B$5)),0)</x:f>
        <x:v>638</x:v>
      </x:c>
      <x:c r="J61" s="18" t="n">
        <x:f>MIN(Model_Config_v3!$B$6,I61+Model_Config_v3!$B$7)</x:f>
        <x:v>658</x:v>
      </x:c>
      <x:c r="K61" s="20" t="n">
        <x:v>51.9</x:v>
      </x:c>
      <x:c r="L61" t="str">
        <x:v>MENENGAH</x:v>
      </x:c>
      <x:c r="M61" t="str">
        <x:v>SEDANG+</x:v>
      </x:c>
      <x:c r="N61" t="str">
        <x:v>ELITE-3</x:v>
      </x:c>
      <x:c r="O61" t="str">
        <x:v>SOSHUM</x:v>
      </x:c>
      <x:c r="P61" t="str">
        <x:v>UMUM</x:v>
      </x:c>
      <x:c r="Q61" s="18" t="n">
        <x:v>615</x:v>
      </x:c>
      <x:c r="R61" s="18" t="n">
        <x:v>0</x:v>
      </x:c>
      <x:c r="S61" s="18" t="n">
        <x:v>578.5295421773877</x:v>
      </x:c>
      <x:c r="T61" s="18" t="n">
        <x:v>664</x:v>
      </x:c>
      <x:c r="U61" s="18" t="n">
        <x:v>615</x:v>
      </x:c>
      <x:c r="V61" s="20" t="n">
        <x:v>4.4</x:v>
      </x:c>
      <x:c r="W61" s="20" t="n">
        <x:v>14.3</x:v>
      </x:c>
      <x:c r="X61" s="20" t="n">
        <x:v>3.3</x:v>
      </x:c>
      <x:c r="Y61" t="str">
        <x:v>Basis arsip 2025/2024</x:v>
      </x:c>
      <x:c r="Z61" t="str">
        <x:v>https://snpmb.id/utbk-snbt/daya-tampung-snbt</x:v>
      </x:c>
      <x:c r="AA61" t="str">
        <x:v>Tidak Ada</x:v>
      </x:c>
      <x:c r="AB61" t="str">
        <x:v>Campus=80; Ratio=31.3; Prodi=40; RelDemand=15.4; Capacity=65.0</x:v>
      </x:c>
    </x:row>
    <x:row r="62">
      <x:c r="A62" t="n">
        <x:v>59</x:v>
      </x:c>
      <x:c r="B62" t="str">
        <x:v>PTN Akademik</x:v>
      </x:c>
      <x:c r="C62" t="str">
        <x:v>UNIVERSITAS SYIAH KUALA</x:v>
      </x:c>
      <x:c r="D62" t="str">
        <x:v>ILMU KOMUNIKASI</x:v>
      </x:c>
      <x:c r="E62" t="str">
        <x:v>Sarjana</x:v>
      </x:c>
      <x:c r="F62" s="18" t="n">
        <x:v>63</x:v>
      </x:c>
      <x:c r="G62" s="18" t="n">
        <x:v>712</x:v>
      </x:c>
      <x:c r="H62" s="19" t="n">
        <x:v>11.301587301587302</x:v>
      </x:c>
      <x:c r="I62" s="18" t="n">
        <x:f>ROUND(MIN(Model_Config_v3!$B$6,MAX(Q62,R62,S62*Model_Config_v3!$B$4+T62*Model_Config_v3!$B$5)),0)</x:f>
        <x:v>669</x:v>
      </x:c>
      <x:c r="J62" s="18" t="n">
        <x:f>MIN(Model_Config_v3!$B$6,I62+Model_Config_v3!$B$7)</x:f>
        <x:v>689</x:v>
      </x:c>
      <x:c r="K62" s="20" t="n">
        <x:v>61.4</x:v>
      </x:c>
      <x:c r="L62" t="str">
        <x:v>KETAT</x:v>
      </x:c>
      <x:c r="M62" t="str">
        <x:v>SEDANG+</x:v>
      </x:c>
      <x:c r="N62" t="str">
        <x:v>ELITE-3</x:v>
      </x:c>
      <x:c r="O62" t="str">
        <x:v>SOSHUM</x:v>
      </x:c>
      <x:c r="P62" t="str">
        <x:v>UMUM</x:v>
      </x:c>
      <x:c r="Q62" s="18" t="n">
        <x:v>615</x:v>
      </x:c>
      <x:c r="R62" s="18" t="n">
        <x:v>0</x:v>
      </x:c>
      <x:c r="S62" s="18" t="n">
        <x:v>635.8453388601602</x:v>
      </x:c>
      <x:c r="T62" s="18" t="n">
        <x:v>683</x:v>
      </x:c>
      <x:c r="U62" s="18" t="n">
        <x:v>635.8453388601602</x:v>
      </x:c>
      <x:c r="V62" s="20" t="n">
        <x:v>4.4</x:v>
      </x:c>
      <x:c r="W62" s="20" t="n">
        <x:v>14.3</x:v>
      </x:c>
      <x:c r="X62" s="20" t="n">
        <x:v>3.3</x:v>
      </x:c>
      <x:c r="Y62" t="str">
        <x:v>Basis arsip 2025/2024</x:v>
      </x:c>
      <x:c r="Z62" t="str">
        <x:v>https://snpmb.id/utbk-snbt/daya-tampung-snbt</x:v>
      </x:c>
      <x:c r="AA62" t="str">
        <x:v>Tidak Ada</x:v>
      </x:c>
      <x:c r="AB62" t="str">
        <x:v>Campus=80; Ratio=62.0; Prodi=40; RelDemand=51.1; Capacity=47.5</x:v>
      </x:c>
    </x:row>
    <x:row r="63">
      <x:c r="A63" t="n">
        <x:v>60</x:v>
      </x:c>
      <x:c r="B63" t="str">
        <x:v>PTN Akademik</x:v>
      </x:c>
      <x:c r="C63" t="str">
        <x:v>UNIVERSITAS SYIAH KUALA</x:v>
      </x:c>
      <x:c r="D63" t="str">
        <x:v>PENDIDIKAN GURU PAUD</x:v>
      </x:c>
      <x:c r="E63" t="str">
        <x:v>Sarjana</x:v>
      </x:c>
      <x:c r="F63" s="18" t="n">
        <x:v>49</x:v>
      </x:c>
      <x:c r="G63" s="18" t="n">
        <x:v>311</x:v>
      </x:c>
      <x:c r="H63" s="19" t="n">
        <x:v>6.346938775510204</x:v>
      </x:c>
      <x:c r="I63" s="18" t="n">
        <x:f>ROUND(MIN(Model_Config_v3!$B$6,MAX(Q63,R63,S63*Model_Config_v3!$B$4+T63*Model_Config_v3!$B$5)),0)</x:f>
        <x:v>655</x:v>
      </x:c>
      <x:c r="J63" s="18" t="n">
        <x:f>MIN(Model_Config_v3!$B$6,I63+Model_Config_v3!$B$7)</x:f>
        <x:v>675</x:v>
      </x:c>
      <x:c r="K63" s="20" t="n">
        <x:v>57.6</x:v>
      </x:c>
      <x:c r="L63" t="str">
        <x:v>KETAT</x:v>
      </x:c>
      <x:c r="M63" t="str">
        <x:v>SEDANG+</x:v>
      </x:c>
      <x:c r="N63" t="str">
        <x:v>ELITE-3</x:v>
      </x:c>
      <x:c r="O63" t="str">
        <x:v>CAMPURAN</x:v>
      </x:c>
      <x:c r="P63" t="str">
        <x:v>PENDIDIKAN</x:v>
      </x:c>
      <x:c r="Q63" s="18" t="n">
        <x:v>615</x:v>
      </x:c>
      <x:c r="R63" s="18" t="n">
        <x:v>0</x:v>
      </x:c>
      <x:c r="S63" s="18" t="n">
        <x:v>608.2820739898157</x:v>
      </x:c>
      <x:c r="T63" s="18" t="n">
        <x:v>675</x:v>
      </x:c>
      <x:c r="U63" s="18" t="n">
        <x:v>615</x:v>
      </x:c>
      <x:c r="V63" s="20" t="n">
        <x:v>8.8</x:v>
      </x:c>
      <x:c r="W63" s="20" t="n">
        <x:v>9.9</x:v>
      </x:c>
      <x:c r="X63" s="20" t="n">
        <x:v>3.3</x:v>
      </x:c>
      <x:c r="Y63" t="str">
        <x:v>Basis arsip 2025/2024</x:v>
      </x:c>
      <x:c r="Z63" t="str">
        <x:v>https://snpmb.id/utbk-snbt/daya-tampung-snbt</x:v>
      </x:c>
      <x:c r="AA63" t="str">
        <x:v>Tidak Ada</x:v>
      </x:c>
      <x:c r="AB63" t="str">
        <x:v>Campus=80; Ratio=47.2; Prodi=45; RelDemand=28.7; Capacity=59.2</x:v>
      </x:c>
    </x:row>
    <x:row r="64">
      <x:c r="A64" t="n">
        <x:v>61</x:v>
      </x:c>
      <x:c r="B64" t="str">
        <x:v>PTN Akademik</x:v>
      </x:c>
      <x:c r="C64" t="str">
        <x:v>UNIVERSITAS SYIAH KUALA</x:v>
      </x:c>
      <x:c r="D64" t="str">
        <x:v>ILMU PEMERINTAHAN</x:v>
      </x:c>
      <x:c r="E64" t="str">
        <x:v>Sarjana</x:v>
      </x:c>
      <x:c r="F64" s="18" t="n">
        <x:v>63</x:v>
      </x:c>
      <x:c r="G64" s="18" t="n">
        <x:v>365</x:v>
      </x:c>
      <x:c r="H64" s="19" t="n">
        <x:v>5.7936507936507935</x:v>
      </x:c>
      <x:c r="I64" s="18" t="n">
        <x:f>ROUND(MIN(Model_Config_v3!$B$6,MAX(Q64,R64,S64*Model_Config_v3!$B$4+T64*Model_Config_v3!$B$5)),0)</x:f>
        <x:v>649</x:v>
      </x:c>
      <x:c r="J64" s="18" t="n">
        <x:f>MIN(Model_Config_v3!$B$6,I64+Model_Config_v3!$B$7)</x:f>
        <x:v>669</x:v>
      </x:c>
      <x:c r="K64" s="20" t="n">
        <x:v>54.6</x:v>
      </x:c>
      <x:c r="L64" t="str">
        <x:v>MENENGAH</x:v>
      </x:c>
      <x:c r="M64" t="str">
        <x:v>SEDANG+</x:v>
      </x:c>
      <x:c r="N64" t="str">
        <x:v>ELITE-3</x:v>
      </x:c>
      <x:c r="O64" t="str">
        <x:v>CAMPURAN</x:v>
      </x:c>
      <x:c r="P64" t="str">
        <x:v>UMUM</x:v>
      </x:c>
      <x:c r="Q64" s="18" t="n">
        <x:v>615</x:v>
      </x:c>
      <x:c r="R64" s="18" t="n">
        <x:v>0</x:v>
      </x:c>
      <x:c r="S64" s="18" t="n">
        <x:v>603.9247546503182</x:v>
      </x:c>
      <x:c r="T64" s="18" t="n">
        <x:v>669</x:v>
      </x:c>
      <x:c r="U64" s="18" t="n">
        <x:v>615</x:v>
      </x:c>
      <x:c r="V64" s="20" t="n">
        <x:v>8.8</x:v>
      </x:c>
      <x:c r="W64" s="20" t="n">
        <x:v>9.9</x:v>
      </x:c>
      <x:c r="X64" s="20" t="n">
        <x:v>3.3</x:v>
      </x:c>
      <x:c r="Y64" t="str">
        <x:v>Basis arsip 2025/2024</x:v>
      </x:c>
      <x:c r="Z64" t="str">
        <x:v>https://snpmb.id/utbk-snbt/daya-tampung-snbt</x:v>
      </x:c>
      <x:c r="AA64" t="str">
        <x:v>Tidak Ada</x:v>
      </x:c>
      <x:c r="AB64" t="str">
        <x:v>Campus=80; Ratio=44.9; Prodi=40; RelDemand=26.2; Capacity=47.5</x:v>
      </x:c>
    </x:row>
    <x:row r="65">
      <x:c r="A65" t="n">
        <x:v>62</x:v>
      </x:c>
      <x:c r="B65" t="str">
        <x:v>PTN Akademik</x:v>
      </x:c>
      <x:c r="C65" t="str">
        <x:v>UNIVERSITAS SYIAH KUALA</x:v>
      </x:c>
      <x:c r="D65" t="str">
        <x:v>EKONOMI ISLAM</x:v>
      </x:c>
      <x:c r="E65" t="str">
        <x:v>Sarjana</x:v>
      </x:c>
      <x:c r="F65" s="18" t="n">
        <x:v>56</x:v>
      </x:c>
      <x:c r="G65" s="18" t="n">
        <x:v>321</x:v>
      </x:c>
      <x:c r="H65" s="19" t="n">
        <x:v>5.732142857142857</x:v>
      </x:c>
      <x:c r="I65" s="18" t="n">
        <x:f>ROUND(MIN(Model_Config_v3!$B$6,MAX(Q65,R65,S65*Model_Config_v3!$B$4+T65*Model_Config_v3!$B$5)),0)</x:f>
        <x:v>650</x:v>
      </x:c>
      <x:c r="J65" s="18" t="n">
        <x:f>MIN(Model_Config_v3!$B$6,I65+Model_Config_v3!$B$7)</x:f>
        <x:v>670</x:v>
      </x:c>
      <x:c r="K65" s="20" t="n">
        <x:v>55.1</x:v>
      </x:c>
      <x:c r="L65" t="str">
        <x:v>KETAT</x:v>
      </x:c>
      <x:c r="M65" t="str">
        <x:v>SEDANG+</x:v>
      </x:c>
      <x:c r="N65" t="str">
        <x:v>ELITE-3</x:v>
      </x:c>
      <x:c r="O65" t="str">
        <x:v>SOSHUM</x:v>
      </x:c>
      <x:c r="P65" t="str">
        <x:v>UMUM</x:v>
      </x:c>
      <x:c r="Q65" s="18" t="n">
        <x:v>615</x:v>
      </x:c>
      <x:c r="R65" s="18" t="n">
        <x:v>0</x:v>
      </x:c>
      <x:c r="S65" s="18" t="n">
        <x:v>603.4148705938538</x:v>
      </x:c>
      <x:c r="T65" s="18" t="n">
        <x:v>670</x:v>
      </x:c>
      <x:c r="U65" s="18" t="n">
        <x:v>615</x:v>
      </x:c>
      <x:c r="V65" s="20" t="n">
        <x:v>4.4</x:v>
      </x:c>
      <x:c r="W65" s="20" t="n">
        <x:v>14.3</x:v>
      </x:c>
      <x:c r="X65" s="20" t="n">
        <x:v>3.3</x:v>
      </x:c>
      <x:c r="Y65" t="str">
        <x:v>Basis arsip 2025/2024</x:v>
      </x:c>
      <x:c r="Z65" t="str">
        <x:v>https://snpmb.id/utbk-snbt/daya-tampung-snbt</x:v>
      </x:c>
      <x:c r="AA65" t="str">
        <x:v>Tidak Ada</x:v>
      </x:c>
      <x:c r="AB65" t="str">
        <x:v>Campus=80; Ratio=44.6; Prodi=40; RelDemand=25.9; Capacity=53.3</x:v>
      </x:c>
    </x:row>
    <x:row r="66">
      <x:c r="A66" t="n">
        <x:v>63</x:v>
      </x:c>
      <x:c r="B66" t="str">
        <x:v>PTN Akademik</x:v>
      </x:c>
      <x:c r="C66" t="str">
        <x:v>UNIVERSITAS SYIAH KUALA</x:v>
      </x:c>
      <x:c r="D66" t="str">
        <x:v>MANAJEMEN (PSDKU GAYO LUES)</x:v>
      </x:c>
      <x:c r="E66" t="str">
        <x:v>Sarjana</x:v>
      </x:c>
      <x:c r="F66" s="18" t="n">
        <x:v>28</x:v>
      </x:c>
      <x:c r="G66" s="18" t="n">
        <x:v>30</x:v>
      </x:c>
      <x:c r="H66" s="19" t="n">
        <x:v>1.0714285714285714</x:v>
      </x:c>
      <x:c r="I66" s="18" t="n">
        <x:f>ROUND(MIN(Model_Config_v3!$B$6,MAX(Q66,R66,S66*Model_Config_v3!$B$4+T66*Model_Config_v3!$B$5)),0)</x:f>
        <x:v>618</x:v>
      </x:c>
      <x:c r="J66" s="18" t="n">
        <x:f>MIN(Model_Config_v3!$B$6,I66+Model_Config_v3!$B$7)</x:f>
        <x:v>638</x:v>
      </x:c>
      <x:c r="K66" s="20" t="n">
        <x:v>49.6</x:v>
      </x:c>
      <x:c r="L66" t="str">
        <x:v>MENENGAH</x:v>
      </x:c>
      <x:c r="M66" t="str">
        <x:v>SEDANG+</x:v>
      </x:c>
      <x:c r="N66" t="str">
        <x:v>ELITE-3</x:v>
      </x:c>
      <x:c r="O66" t="str">
        <x:v>SOSHUM</x:v>
      </x:c>
      <x:c r="P66" t="str">
        <x:v>BISNIS/EKONOMI/AKUNTANSI</x:v>
      </x:c>
      <x:c r="Q66" s="18" t="n">
        <x:v>615</x:v>
      </x:c>
      <x:c r="R66" s="18" t="n">
        <x:v>0</x:v>
      </x:c>
      <x:c r="S66" s="18" t="n">
        <x:v>523.2959545715188</x:v>
      </x:c>
      <x:c r="T66" s="18" t="n">
        <x:v>659</x:v>
      </x:c>
      <x:c r="U66" s="18" t="n">
        <x:v>615</x:v>
      </x:c>
      <x:c r="V66" s="20" t="n">
        <x:v>4.4</x:v>
      </x:c>
      <x:c r="W66" s="20" t="n">
        <x:v>14.3</x:v>
      </x:c>
      <x:c r="X66" s="20" t="n">
        <x:v>3.3</x:v>
      </x:c>
      <x:c r="Y66" t="str">
        <x:v>Basis arsip 2025/2024</x:v>
      </x:c>
      <x:c r="Z66" t="str">
        <x:v>https://snpmb.id/utbk-snbt/daya-tampung-snbt</x:v>
      </x:c>
      <x:c r="AA66" t="str">
        <x:v>Tidak Ada</x:v>
      </x:c>
      <x:c r="AB66" t="str">
        <x:v>Campus=80; Ratio=1.8; Prodi=65; RelDemand=4.8; Capacity=76.7</x:v>
      </x:c>
    </x:row>
    <x:row r="67">
      <x:c r="A67" t="n">
        <x:v>64</x:v>
      </x:c>
      <x:c r="B67" t="str">
        <x:v>PTN Akademik</x:v>
      </x:c>
      <x:c r="C67" t="str">
        <x:v>UNIVERSITAS SYIAH KUALA</x:v>
      </x:c>
      <x:c r="D67" t="str">
        <x:v>TEKNOLOGI INDUSTRI HASIL PERIKANAN</x:v>
      </x:c>
      <x:c r="E67" t="str">
        <x:v>Sarjana</x:v>
      </x:c>
      <x:c r="F67" s="18" t="n">
        <x:v>18</x:v>
      </x:c>
      <x:c r="G67" s="18"/>
      <x:c r="H67" s="19" t="n">
        <x:v>0</x:v>
      </x:c>
      <x:c r="I67" s="18" t="n">
        <x:f>ROUND(MIN(Model_Config_v3!$B$6,MAX(Q67,R67,S67*Model_Config_v3!$B$4+T67*Model_Config_v3!$B$5)),0)</x:f>
        <x:v>615</x:v>
      </x:c>
      <x:c r="J67" s="18" t="n">
        <x:f>MIN(Model_Config_v3!$B$6,I67+Model_Config_v3!$B$7)</x:f>
        <x:v>635</x:v>
      </x:c>
      <x:c r="K67" s="20" t="n">
        <x:v>44.5</x:v>
      </x:c>
      <x:c r="L67" t="str">
        <x:v>RELATIF LONGGAR</x:v>
      </x:c>
      <x:c r="M67" t="str">
        <x:v>RENDAH</x:v>
      </x:c>
      <x:c r="N67" t="str">
        <x:v>ELITE-3</x:v>
      </x:c>
      <x:c r="O67" t="str">
        <x:v>SAINTEK</x:v>
      </x:c>
      <x:c r="P67" t="str">
        <x:v>UMUM</x:v>
      </x:c>
      <x:c r="Q67" s="18" t="n">
        <x:v>615</x:v>
      </x:c>
      <x:c r="R67" s="18" t="n">
        <x:v>0</x:v>
      </x:c>
      <x:c r="S67" s="18" t="n">
        <x:v>520</x:v>
      </x:c>
      <x:c r="T67" s="18" t="n">
        <x:v>649</x:v>
      </x:c>
      <x:c r="U67" s="18" t="n">
        <x:v>615</x:v>
      </x:c>
      <x:c r="V67" s="20" t="n">
        <x:v>12</x:v>
      </x:c>
      <x:c r="W67" s="20" t="n">
        <x:v>5</x:v>
      </x:c>
      <x:c r="X67" s="20" t="n">
        <x:v>3</x:v>
      </x:c>
      <x:c r="Y67" t="str">
        <x:v>Basis arsip 2025/2024</x:v>
      </x:c>
      <x:c r="Z67" t="str">
        <x:v>https://snpmb.id/utbk-snbt/daya-tampung-snbt</x:v>
      </x:c>
      <x:c r="AA67" t="str">
        <x:v>Tidak Ada</x:v>
      </x:c>
      <x:c r="AB67" t="str">
        <x:v>Campus=80; Ratio=0.0; Prodi=40; RelDemand=0.0; Capacity=85.0</x:v>
      </x:c>
    </x:row>
    <x:row r="68">
      <x:c r="A68" t="n">
        <x:v>65</x:v>
      </x:c>
      <x:c r="B68" t="str">
        <x:v>PTN Akademik</x:v>
      </x:c>
      <x:c r="C68" t="str">
        <x:v>UNIVERSITAS SYIAH KUALA</x:v>
      </x:c>
      <x:c r="D68" t="str">
        <x:v>AKUNTANSI PERPAJAKAN</x:v>
      </x:c>
      <x:c r="E68" t="str">
        <x:v>Sarjana Terapan</x:v>
      </x:c>
      <x:c r="F68" s="18" t="n">
        <x:v>28</x:v>
      </x:c>
      <x:c r="G68" s="18" t="n">
        <x:v>1645</x:v>
      </x:c>
      <x:c r="H68" s="19" t="n">
        <x:v>58.75</x:v>
      </x:c>
      <x:c r="I68" s="18" t="n">
        <x:f>ROUND(MIN(Model_Config_v3!$B$6,MAX(Q68,R68,S68*Model_Config_v3!$B$4+T68*Model_Config_v3!$B$5)),0)</x:f>
        <x:v>723</x:v>
      </x:c>
      <x:c r="J68" s="18" t="n">
        <x:f>MIN(Model_Config_v3!$B$6,I68+Model_Config_v3!$B$7)</x:f>
        <x:v>743</x:v>
      </x:c>
      <x:c r="K68" s="20" t="n">
        <x:v>83.7</x:v>
      </x:c>
      <x:c r="L68" t="str">
        <x:v>ELITE</x:v>
      </x:c>
      <x:c r="M68" t="str">
        <x:v>SEDANG+</x:v>
      </x:c>
      <x:c r="N68" t="str">
        <x:v>ELITE-3</x:v>
      </x:c>
      <x:c r="O68" t="str">
        <x:v>SOSHUM</x:v>
      </x:c>
      <x:c r="P68" t="str">
        <x:v>BISNIS/EKONOMI/AKUNTANSI</x:v>
      </x:c>
      <x:c r="Q68" s="18" t="n">
        <x:v>615</x:v>
      </x:c>
      <x:c r="R68" s="18" t="n">
        <x:v>0</x:v>
      </x:c>
      <x:c r="S68" s="18" t="n">
        <x:v>714.5908658038151</x:v>
      </x:c>
      <x:c r="T68" s="18" t="n">
        <x:v>727</x:v>
      </x:c>
      <x:c r="U68" s="18" t="n">
        <x:v>714.5908658038151</x:v>
      </x:c>
      <x:c r="V68" s="20" t="n">
        <x:v>4.4</x:v>
      </x:c>
      <x:c r="W68" s="20" t="n">
        <x:v>14.3</x:v>
      </x:c>
      <x:c r="X68" s="20" t="n">
        <x:v>3.3</x:v>
      </x:c>
      <x:c r="Y68" t="str">
        <x:v>Basis arsip 2025/2024</x:v>
      </x:c>
      <x:c r="Z68" t="str">
        <x:v>https://snpmb.id/utbk-snbt/daya-tampung-snbt</x:v>
      </x:c>
      <x:c r="AA68" t="str">
        <x:v>Tidak Ada</x:v>
      </x:c>
      <x:c r="AB68" t="str">
        <x:v>Campus=80; Ratio=100.0; Prodi=65; RelDemand=100.0; Capacity=76.7</x:v>
      </x:c>
    </x:row>
    <x:row r="69">
      <x:c r="A69" t="n">
        <x:v>66</x:v>
      </x:c>
      <x:c r="B69" t="str">
        <x:v>PTN Akademik</x:v>
      </x:c>
      <x:c r="C69" t="str">
        <x:v>UNIVERSITAS SYIAH KUALA</x:v>
      </x:c>
      <x:c r="D69" t="str">
        <x:v>KESEHATAN HEWAN</x:v>
      </x:c>
      <x:c r="E69" t="str">
        <x:v>Diploma Tiga</x:v>
      </x:c>
      <x:c r="F69" s="18" t="n">
        <x:v>11</x:v>
      </x:c>
      <x:c r="G69" s="18" t="n">
        <x:v>383</x:v>
      </x:c>
      <x:c r="H69" s="19" t="n">
        <x:v>34.81818181818182</x:v>
      </x:c>
      <x:c r="I69" s="18" t="n">
        <x:f>ROUND(MIN(Model_Config_v3!$B$6,MAX(Q69,R69,S69*Model_Config_v3!$B$4+T69*Model_Config_v3!$B$5)),0)</x:f>
        <x:v>712</x:v>
      </x:c>
      <x:c r="J69" s="18" t="n">
        <x:f>MIN(Model_Config_v3!$B$6,I69+Model_Config_v3!$B$7)</x:f>
        <x:v>732</x:v>
      </x:c>
      <x:c r="K69" s="20" t="n">
        <x:v>80.8</x:v>
      </x:c>
      <x:c r="L69" t="str">
        <x:v>ELITE</x:v>
      </x:c>
      <x:c r="M69" t="str">
        <x:v>SEDANG+</x:v>
      </x:c>
      <x:c r="N69" t="str">
        <x:v>ELITE-3</x:v>
      </x:c>
      <x:c r="O69" t="str">
        <x:v>SAINTEK</x:v>
      </x:c>
      <x:c r="P69" t="str">
        <x:v>KESEHAT/GIZI/KEPERAWATAN</x:v>
      </x:c>
      <x:c r="Q69" s="18" t="n">
        <x:v>615</x:v>
      </x:c>
      <x:c r="R69" s="18" t="n">
        <x:v>0</x:v>
      </x:c>
      <x:c r="S69" s="18" t="n">
        <x:v>689.5986697691437</x:v>
      </x:c>
      <x:c r="T69" s="18" t="n">
        <x:v>722</x:v>
      </x:c>
      <x:c r="U69" s="18" t="n">
        <x:v>689.5986697691437</x:v>
      </x:c>
      <x:c r="V69" s="20" t="n">
        <x:v>12</x:v>
      </x:c>
      <x:c r="W69" s="20" t="n">
        <x:v>5</x:v>
      </x:c>
      <x:c r="X69" s="20" t="n">
        <x:v>3</x:v>
      </x:c>
      <x:c r="Y69" t="str">
        <x:v>Basis arsip 2025/2024</x:v>
      </x:c>
      <x:c r="Z69" t="str">
        <x:v>https://snpmb.id/utbk-snbt/daya-tampung-snbt</x:v>
      </x:c>
      <x:c r="AA69" t="str">
        <x:v>Tidak Ada</x:v>
      </x:c>
      <x:c r="AB69" t="str">
        <x:v>Campus=80; Ratio=90.7; Prodi=55; RelDemand=100.0; Capacity=90.8</x:v>
      </x:c>
    </x:row>
    <x:row r="70">
      <x:c r="A70" t="n">
        <x:v>67</x:v>
      </x:c>
      <x:c r="B70" t="str">
        <x:v>PTN Akademik</x:v>
      </x:c>
      <x:c r="C70" t="str">
        <x:v>UNIVERSITAS SYIAH KUALA</x:v>
      </x:c>
      <x:c r="D70" t="str">
        <x:v>MANAJEMEN AGRIBISNIS</x:v>
      </x:c>
      <x:c r="E70" t="str">
        <x:v>Diploma Tiga</x:v>
      </x:c>
      <x:c r="F70" s="18" t="n">
        <x:v>35</x:v>
      </x:c>
      <x:c r="G70" s="18" t="n">
        <x:v>598</x:v>
      </x:c>
      <x:c r="H70" s="19" t="n">
        <x:v>17.085714285714285</x:v>
      </x:c>
      <x:c r="I70" s="18" t="n">
        <x:f>ROUND(MIN(Model_Config_v3!$B$6,MAX(Q70,R70,S70*Model_Config_v3!$B$4+T70*Model_Config_v3!$B$5)),0)</x:f>
        <x:v>692</x:v>
      </x:c>
      <x:c r="J70" s="18" t="n">
        <x:f>MIN(Model_Config_v3!$B$6,I70+Model_Config_v3!$B$7)</x:f>
        <x:v>712</x:v>
      </x:c>
      <x:c r="K70" s="20" t="n">
        <x:v>73.9</x:v>
      </x:c>
      <x:c r="L70" t="str">
        <x:v>SANGAT KETAT</x:v>
      </x:c>
      <x:c r="M70" t="str">
        <x:v>SEDANG+</x:v>
      </x:c>
      <x:c r="N70" t="str">
        <x:v>ELITE-3</x:v>
      </x:c>
      <x:c r="O70" t="str">
        <x:v>SOSHUM</x:v>
      </x:c>
      <x:c r="P70" t="str">
        <x:v>BISNIS/EKONOMI/AKUNTANSI</x:v>
      </x:c>
      <x:c r="Q70" s="18" t="n">
        <x:v>615</x:v>
      </x:c>
      <x:c r="R70" s="18" t="n">
        <x:v>0</x:v>
      </x:c>
      <x:c r="S70" s="18" t="n">
        <x:v>655.5896453601948</x:v>
      </x:c>
      <x:c r="T70" s="18" t="n">
        <x:v>708</x:v>
      </x:c>
      <x:c r="U70" s="18" t="n">
        <x:v>670.5896453601948</x:v>
      </x:c>
      <x:c r="V70" s="20" t="n">
        <x:v>4.4</x:v>
      </x:c>
      <x:c r="W70" s="20" t="n">
        <x:v>14.3</x:v>
      </x:c>
      <x:c r="X70" s="20" t="n">
        <x:v>3.3</x:v>
      </x:c>
      <x:c r="Y70" t="str">
        <x:v>Basis arsip 2025/2024</x:v>
      </x:c>
      <x:c r="Z70" t="str">
        <x:v>https://snpmb.id/utbk-snbt/daya-tampung-snbt</x:v>
      </x:c>
      <x:c r="AA70" t="str">
        <x:v>Tidak Ada</x:v>
      </x:c>
      <x:c r="AB70" t="str">
        <x:v>Campus=80; Ratio=72.6; Prodi=65; RelDemand=77.2; Capacity=70.8</x:v>
      </x:c>
    </x:row>
    <x:row r="71">
      <x:c r="A71" t="n">
        <x:v>68</x:v>
      </x:c>
      <x:c r="B71" t="str">
        <x:v>PTN Akademik</x:v>
      </x:c>
      <x:c r="C71" t="str">
        <x:v>UNIVERSITAS SYIAH KUALA</x:v>
      </x:c>
      <x:c r="D71" t="str">
        <x:v>TEKNIK LISTRIK</x:v>
      </x:c>
      <x:c r="E71" t="str">
        <x:v>Diploma Tiga</x:v>
      </x:c>
      <x:c r="F71" s="18" t="n">
        <x:v>14</x:v>
      </x:c>
      <x:c r="G71" s="18" t="n">
        <x:v>189</x:v>
      </x:c>
      <x:c r="H71" s="19" t="n">
        <x:v>13.5</x:v>
      </x:c>
      <x:c r="I71" s="18" t="n">
        <x:f>ROUND(MIN(Model_Config_v3!$B$6,MAX(Q71,R71,S71*Model_Config_v3!$B$4+T71*Model_Config_v3!$B$5)),0)</x:f>
        <x:v>685</x:v>
      </x:c>
      <x:c r="J71" s="18" t="n">
        <x:f>MIN(Model_Config_v3!$B$6,I71+Model_Config_v3!$B$7)</x:f>
        <x:v>705</x:v>
      </x:c>
      <x:c r="K71" s="20" t="n">
        <x:v>71.6</x:v>
      </x:c>
      <x:c r="L71" t="str">
        <x:v>SANGAT KETAT</x:v>
      </x:c>
      <x:c r="M71" t="str">
        <x:v>SEDANG+</x:v>
      </x:c>
      <x:c r="N71" t="str">
        <x:v>ELITE-3</x:v>
      </x:c>
      <x:c r="O71" t="str">
        <x:v>SAINTEK</x:v>
      </x:c>
      <x:c r="P71" t="str">
        <x:v>TEKNIK/ARSITEKTUR/STATISTIKA/AKTUARIA</x:v>
      </x:c>
      <x:c r="Q71" s="18" t="n">
        <x:v>615</x:v>
      </x:c>
      <x:c r="R71" s="18" t="n">
        <x:v>0</x:v>
      </x:c>
      <x:c r="S71" s="18" t="n">
        <x:v>644.3367145344506</x:v>
      </x:c>
      <x:c r="T71" s="18" t="n">
        <x:v>703</x:v>
      </x:c>
      <x:c r="U71" s="18" t="n">
        <x:v>654.3367145344506</x:v>
      </x:c>
      <x:c r="V71" s="20" t="n">
        <x:v>12</x:v>
      </x:c>
      <x:c r="W71" s="20" t="n">
        <x:v>5</x:v>
      </x:c>
      <x:c r="X71" s="20" t="n">
        <x:v>3</x:v>
      </x:c>
      <x:c r="Y71" t="str">
        <x:v>Basis arsip 2025/2024</x:v>
      </x:c>
      <x:c r="Z71" t="str">
        <x:v>https://snpmb.id/utbk-snbt/daya-tampung-snbt</x:v>
      </x:c>
      <x:c r="AA71" t="str">
        <x:v>Tidak Ada</x:v>
      </x:c>
      <x:c r="AB71" t="str">
        <x:v>Campus=80; Ratio=66.5; Prodi=60; RelDemand=61.0; Capacity=88.3</x:v>
      </x:c>
    </x:row>
    <x:row r="72">
      <x:c r="A72" t="n">
        <x:v>69</x:v>
      </x:c>
      <x:c r="B72" t="str">
        <x:v>PTN Akademik</x:v>
      </x:c>
      <x:c r="C72" t="str">
        <x:v>UNIVERSITAS SYIAH KUALA</x:v>
      </x:c>
      <x:c r="D72" t="str">
        <x:v>BUDIDAYA PETERNAKAN</x:v>
      </x:c>
      <x:c r="E72" t="str">
        <x:v>Diploma Tiga</x:v>
      </x:c>
      <x:c r="F72" s="18" t="n">
        <x:v>21</x:v>
      </x:c>
      <x:c r="G72" s="18" t="n">
        <x:v>282</x:v>
      </x:c>
      <x:c r="H72" s="19" t="n">
        <x:v>13.428571428571429</x:v>
      </x:c>
      <x:c r="I72" s="18" t="n">
        <x:f>ROUND(MIN(Model_Config_v3!$B$6,MAX(Q72,R72,S72*Model_Config_v3!$B$4+T72*Model_Config_v3!$B$5)),0)</x:f>
        <x:v>679</x:v>
      </x:c>
      <x:c r="J72" s="18" t="n">
        <x:f>MIN(Model_Config_v3!$B$6,I72+Model_Config_v3!$B$7)</x:f>
        <x:v>699</x:v>
      </x:c>
      <x:c r="K72" s="20" t="n">
        <x:v>66.9</x:v>
      </x:c>
      <x:c r="L72" t="str">
        <x:v>SANGAT KETAT</x:v>
      </x:c>
      <x:c r="M72" t="str">
        <x:v>SEDANG+</x:v>
      </x:c>
      <x:c r="N72" t="str">
        <x:v>ELITE-3</x:v>
      </x:c>
      <x:c r="O72" t="str">
        <x:v>SAINTEK</x:v>
      </x:c>
      <x:c r="P72" t="str">
        <x:v>UMUM</x:v>
      </x:c>
      <x:c r="Q72" s="18" t="n">
        <x:v>615</x:v>
      </x:c>
      <x:c r="R72" s="18" t="n">
        <x:v>0</x:v>
      </x:c>
      <x:c r="S72" s="18" t="n">
        <x:v>644.0832794943987</x:v>
      </x:c>
      <x:c r="T72" s="18" t="n">
        <x:v>694</x:v>
      </x:c>
      <x:c r="U72" s="18" t="n">
        <x:v>644.0832794943987</x:v>
      </x:c>
      <x:c r="V72" s="20" t="n">
        <x:v>12</x:v>
      </x:c>
      <x:c r="W72" s="20" t="n">
        <x:v>5</x:v>
      </x:c>
      <x:c r="X72" s="20" t="n">
        <x:v>3</x:v>
      </x:c>
      <x:c r="Y72" t="str">
        <x:v>Basis arsip 2025/2024</x:v>
      </x:c>
      <x:c r="Z72" t="str">
        <x:v>https://snpmb.id/utbk-snbt/daya-tampung-snbt</x:v>
      </x:c>
      <x:c r="AA72" t="str">
        <x:v>Tidak Ada</x:v>
      </x:c>
      <x:c r="AB72" t="str">
        <x:v>Campus=80; Ratio=66.4; Prodi=40; RelDemand=60.7; Capacity=82.5</x:v>
      </x:c>
    </x:row>
    <x:row r="73">
      <x:c r="A73" t="n">
        <x:v>70</x:v>
      </x:c>
      <x:c r="B73" t="str">
        <x:v>PTN Akademik</x:v>
      </x:c>
      <x:c r="C73" t="str">
        <x:v>UNIVERSITAS SYIAH KUALA</x:v>
      </x:c>
      <x:c r="D73" t="str">
        <x:v>TEKNIK MESIN</x:v>
      </x:c>
      <x:c r="E73" t="str">
        <x:v>Diploma Tiga</x:v>
      </x:c>
      <x:c r="F73" s="18" t="n">
        <x:v>14</x:v>
      </x:c>
      <x:c r="G73" s="18" t="n">
        <x:v>264</x:v>
      </x:c>
      <x:c r="H73" s="19" t="n">
        <x:v>18.857142857142858</x:v>
      </x:c>
      <x:c r="I73" s="18" t="n">
        <x:f>ROUND(MIN(Model_Config_v3!$B$6,MAX(Q73,R73,S73*Model_Config_v3!$B$4+T73*Model_Config_v3!$B$5)),0)</x:f>
        <x:v>696</x:v>
      </x:c>
      <x:c r="J73" s="18" t="n">
        <x:f>MIN(Model_Config_v3!$B$6,I73+Model_Config_v3!$B$7)</x:f>
        <x:v>716</x:v>
      </x:c>
      <x:c r="K73" s="20" t="n">
        <x:v>76.1</x:v>
      </x:c>
      <x:c r="L73" t="str">
        <x:v>ELITE</x:v>
      </x:c>
      <x:c r="M73" t="str">
        <x:v>SEDANG+</x:v>
      </x:c>
      <x:c r="N73" t="str">
        <x:v>ELITE-3</x:v>
      </x:c>
      <x:c r="O73" t="str">
        <x:v>SAINTEK</x:v>
      </x:c>
      <x:c r="P73" t="str">
        <x:v>TEKNIK/ARSITEKTUR/STATISTIKA/AKTUARIA</x:v>
      </x:c>
      <x:c r="Q73" s="18" t="n">
        <x:v>615</x:v>
      </x:c>
      <x:c r="R73" s="18" t="n">
        <x:v>0</x:v>
      </x:c>
      <x:c r="S73" s="18" t="n">
        <x:v>660.3023480310752</x:v>
      </x:c>
      <x:c r="T73" s="18" t="n">
        <x:v>712</x:v>
      </x:c>
      <x:c r="U73" s="18" t="n">
        <x:v>670.3023480310752</x:v>
      </x:c>
      <x:c r="V73" s="20" t="n">
        <x:v>12</x:v>
      </x:c>
      <x:c r="W73" s="20" t="n">
        <x:v>5</x:v>
      </x:c>
      <x:c r="X73" s="20" t="n">
        <x:v>3</x:v>
      </x:c>
      <x:c r="Y73" t="str">
        <x:v>Basis arsip 2025/2024</x:v>
      </x:c>
      <x:c r="Z73" t="str">
        <x:v>https://snpmb.id/utbk-snbt/daya-tampung-snbt</x:v>
      </x:c>
      <x:c r="AA73" t="str">
        <x:v>Tidak Ada</x:v>
      </x:c>
      <x:c r="AB73" t="str">
        <x:v>Campus=80; Ratio=75.1; Prodi=60; RelDemand=85.2; Capacity=88.3</x:v>
      </x:c>
    </x:row>
    <x:row r="74">
      <x:c r="A74" t="n">
        <x:v>71</x:v>
      </x:c>
      <x:c r="B74" t="str">
        <x:v>PTN Akademik</x:v>
      </x:c>
      <x:c r="C74" t="str">
        <x:v>UNIVERSITAS SYIAH KUALA</x:v>
      </x:c>
      <x:c r="D74" t="str">
        <x:v>TEKNIK SIPIL</x:v>
      </x:c>
      <x:c r="E74" t="str">
        <x:v>Diploma Tiga</x:v>
      </x:c>
      <x:c r="F74" s="18" t="n">
        <x:v>28</x:v>
      </x:c>
      <x:c r="G74" s="18" t="n">
        <x:v>710</x:v>
      </x:c>
      <x:c r="H74" s="19" t="n">
        <x:v>25.357142857142858</x:v>
      </x:c>
      <x:c r="I74" s="18" t="n">
        <x:f>ROUND(MIN(Model_Config_v3!$B$6,MAX(Q74,R74,S74*Model_Config_v3!$B$4+T74*Model_Config_v3!$B$5)),0)</x:f>
        <x:v>704</x:v>
      </x:c>
      <x:c r="J74" s="18" t="n">
        <x:f>MIN(Model_Config_v3!$B$6,I74+Model_Config_v3!$B$7)</x:f>
        <x:v>724</x:v>
      </x:c>
      <x:c r="K74" s="20" t="n">
        <x:v>78.3</x:v>
      </x:c>
      <x:c r="L74" t="str">
        <x:v>ELITE</x:v>
      </x:c>
      <x:c r="M74" t="str">
        <x:v>SEDANG+</x:v>
      </x:c>
      <x:c r="N74" t="str">
        <x:v>ELITE-3</x:v>
      </x:c>
      <x:c r="O74" t="str">
        <x:v>SAINTEK</x:v>
      </x:c>
      <x:c r="P74" t="str">
        <x:v>TEKNIK/ARSITEKTUR/STATISTIKA/AKTUARIA</x:v>
      </x:c>
      <x:c r="Q74" s="18" t="n">
        <x:v>615</x:v>
      </x:c>
      <x:c r="R74" s="18" t="n">
        <x:v>0</x:v>
      </x:c>
      <x:c r="S74" s="18" t="n">
        <x:v>674.4510349114541</x:v>
      </x:c>
      <x:c r="T74" s="18" t="n">
        <x:v>717</x:v>
      </x:c>
      <x:c r="U74" s="18" t="n">
        <x:v>684.4510349114541</x:v>
      </x:c>
      <x:c r="V74" s="20" t="n">
        <x:v>12</x:v>
      </x:c>
      <x:c r="W74" s="20" t="n">
        <x:v>5</x:v>
      </x:c>
      <x:c r="X74" s="20" t="n">
        <x:v>3</x:v>
      </x:c>
      <x:c r="Y74" t="str">
        <x:v>Basis arsip 2025/2024</x:v>
      </x:c>
      <x:c r="Z74" t="str">
        <x:v>https://snpmb.id/utbk-snbt/daya-tampung-snbt</x:v>
      </x:c>
      <x:c r="AA74" t="str">
        <x:v>Tidak Ada</x:v>
      </x:c>
      <x:c r="AB74" t="str">
        <x:v>Campus=80; Ratio=82.6; Prodi=60; RelDemand=100.0; Capacity=76.7</x:v>
      </x:c>
    </x:row>
    <x:row r="75">
      <x:c r="A75" t="n">
        <x:v>72</x:v>
      </x:c>
      <x:c r="B75" t="str">
        <x:v>PTN Akademik</x:v>
      </x:c>
      <x:c r="C75" t="str">
        <x:v>UNIVERSITAS SYIAH KUALA</x:v>
      </x:c>
      <x:c r="D75" t="str">
        <x:v>SEKRETARI</x:v>
      </x:c>
      <x:c r="E75" t="str">
        <x:v>Diploma Tiga</x:v>
      </x:c>
      <x:c r="F75" s="18" t="n">
        <x:v>14</x:v>
      </x:c>
      <x:c r="G75" s="18" t="n">
        <x:v>320</x:v>
      </x:c>
      <x:c r="H75" s="19" t="n">
        <x:v>22.857142857142858</x:v>
      </x:c>
      <x:c r="I75" s="18" t="n">
        <x:f>ROUND(MIN(Model_Config_v3!$B$6,MAX(Q75,R75,S75*Model_Config_v3!$B$4+T75*Model_Config_v3!$B$5)),0)</x:f>
        <x:v>698</x:v>
      </x:c>
      <x:c r="J75" s="18" t="n">
        <x:f>MIN(Model_Config_v3!$B$6,I75+Model_Config_v3!$B$7)</x:f>
        <x:v>718</x:v>
      </x:c>
      <x:c r="K75" s="20" t="n">
        <x:v>74.8</x:v>
      </x:c>
      <x:c r="L75" t="str">
        <x:v>SANGAT KETAT</x:v>
      </x:c>
      <x:c r="M75" t="str">
        <x:v>SEDANG+</x:v>
      </x:c>
      <x:c r="N75" t="str">
        <x:v>ELITE-3</x:v>
      </x:c>
      <x:c r="O75" t="str">
        <x:v>CAMPURAN</x:v>
      </x:c>
      <x:c r="P75" t="str">
        <x:v>UMUM</x:v>
      </x:c>
      <x:c r="Q75" s="18" t="n">
        <x:v>615</x:v>
      </x:c>
      <x:c r="R75" s="18" t="n">
        <x:v>0</x:v>
      </x:c>
      <x:c r="S75" s="18" t="n">
        <x:v>669.4924136905835</x:v>
      </x:c>
      <x:c r="T75" s="18" t="n">
        <x:v>710</x:v>
      </x:c>
      <x:c r="U75" s="18" t="n">
        <x:v>669.4924136905835</x:v>
      </x:c>
      <x:c r="V75" s="20" t="n">
        <x:v>8.8</x:v>
      </x:c>
      <x:c r="W75" s="20" t="n">
        <x:v>9.9</x:v>
      </x:c>
      <x:c r="X75" s="20" t="n">
        <x:v>3.3</x:v>
      </x:c>
      <x:c r="Y75" t="str">
        <x:v>Basis arsip 2025/2024</x:v>
      </x:c>
      <x:c r="Z75" t="str">
        <x:v>https://snpmb.id/utbk-snbt/daya-tampung-snbt</x:v>
      </x:c>
      <x:c r="AA75" t="str">
        <x:v>Tidak Ada</x:v>
      </x:c>
      <x:c r="AB75" t="str">
        <x:v>Campus=80; Ratio=80.0; Prodi=40; RelDemand=100.0; Capacity=88.3</x:v>
      </x:c>
    </x:row>
    <x:row r="76">
      <x:c r="A76" t="n">
        <x:v>73</x:v>
      </x:c>
      <x:c r="B76" t="str">
        <x:v>PTN Akademik</x:v>
      </x:c>
      <x:c r="C76" t="str">
        <x:v>UNIVERSITAS SYIAH KUALA</x:v>
      </x:c>
      <x:c r="D76" t="str">
        <x:v>MANAJEMEN PERUSAHAAN</x:v>
      </x:c>
      <x:c r="E76" t="str">
        <x:v>Diploma Tiga</x:v>
      </x:c>
      <x:c r="F76" s="18" t="n">
        <x:v>14</x:v>
      </x:c>
      <x:c r="G76" s="18" t="n">
        <x:v>814</x:v>
      </x:c>
      <x:c r="H76" s="19" t="n">
        <x:v>58.142857142857146</x:v>
      </x:c>
      <x:c r="I76" s="18" t="n">
        <x:f>ROUND(MIN(Model_Config_v3!$B$6,MAX(Q76,R76,S76*Model_Config_v3!$B$4+T76*Model_Config_v3!$B$5)),0)</x:f>
        <x:v>725</x:v>
      </x:c>
      <x:c r="J76" s="18" t="n">
        <x:f>MIN(Model_Config_v3!$B$6,I76+Model_Config_v3!$B$7)</x:f>
        <x:v>745</x:v>
      </x:c>
      <x:c r="K76" s="20" t="n">
        <x:v>84.8</x:v>
      </x:c>
      <x:c r="L76" t="str">
        <x:v>ELITE</x:v>
      </x:c>
      <x:c r="M76" t="str">
        <x:v>SEDANG+</x:v>
      </x:c>
      <x:c r="N76" t="str">
        <x:v>ELITE-3</x:v>
      </x:c>
      <x:c r="O76" t="str">
        <x:v>SOSHUM</x:v>
      </x:c>
      <x:c r="P76" t="str">
        <x:v>BISNIS/EKONOMI/AKUNTANSI</x:v>
      </x:c>
      <x:c r="Q76" s="18" t="n">
        <x:v>615</x:v>
      </x:c>
      <x:c r="R76" s="18" t="n">
        <x:v>0</x:v>
      </x:c>
      <x:c r="S76" s="18" t="n">
        <x:v>714.094600613206</x:v>
      </x:c>
      <x:c r="T76" s="18" t="n">
        <x:v>730</x:v>
      </x:c>
      <x:c r="U76" s="18" t="n">
        <x:v>729.094600613206</x:v>
      </x:c>
      <x:c r="V76" s="20" t="n">
        <x:v>4.4</x:v>
      </x:c>
      <x:c r="W76" s="20" t="n">
        <x:v>14.3</x:v>
      </x:c>
      <x:c r="X76" s="20" t="n">
        <x:v>3.3</x:v>
      </x:c>
      <x:c r="Y76" t="str">
        <x:v>Basis arsip 2025/2024</x:v>
      </x:c>
      <x:c r="Z76" t="str">
        <x:v>https://snpmb.id/utbk-snbt/daya-tampung-snbt</x:v>
      </x:c>
      <x:c r="AA76" t="str">
        <x:v>Tidak Ada</x:v>
      </x:c>
      <x:c r="AB76" t="str">
        <x:v>Campus=80; Ratio=100.0; Prodi=65; RelDemand=100.0; Capacity=88.3</x:v>
      </x:c>
    </x:row>
    <x:row r="77">
      <x:c r="A77" t="n">
        <x:v>74</x:v>
      </x:c>
      <x:c r="B77" t="str">
        <x:v>PTN Akademik</x:v>
      </x:c>
      <x:c r="C77" t="str">
        <x:v>UNIVERSITAS SYIAH KUALA</x:v>
      </x:c>
      <x:c r="D77" t="str">
        <x:v>AKUNTANSI</x:v>
      </x:c>
      <x:c r="E77" t="str">
        <x:v>Diploma Tiga</x:v>
      </x:c>
      <x:c r="F77" s="18" t="n">
        <x:v>28</x:v>
      </x:c>
      <x:c r="G77" s="18" t="n">
        <x:v>913</x:v>
      </x:c>
      <x:c r="H77" s="19" t="n">
        <x:v>32.607142857142854</x:v>
      </x:c>
      <x:c r="I77" s="18" t="n">
        <x:f>ROUND(MIN(Model_Config_v3!$B$6,MAX(Q77,R77,S77*Model_Config_v3!$B$4+T77*Model_Config_v3!$B$5)),0)</x:f>
        <x:v>711</x:v>
      </x:c>
      <x:c r="J77" s="18" t="n">
        <x:f>MIN(Model_Config_v3!$B$6,I77+Model_Config_v3!$B$7)</x:f>
        <x:v>731</x:v>
      </x:c>
      <x:c r="K77" s="20" t="n">
        <x:v>80.9</x:v>
      </x:c>
      <x:c r="L77" t="str">
        <x:v>ELITE</x:v>
      </x:c>
      <x:c r="M77" t="str">
        <x:v>SEDANG+</x:v>
      </x:c>
      <x:c r="N77" t="str">
        <x:v>ELITE-3</x:v>
      </x:c>
      <x:c r="O77" t="str">
        <x:v>SOSHUM</x:v>
      </x:c>
      <x:c r="P77" t="str">
        <x:v>BISNIS/EKONOMI/AKUNTANSI</x:v>
      </x:c>
      <x:c r="Q77" s="18" t="n">
        <x:v>615</x:v>
      </x:c>
      <x:c r="R77" s="18" t="n">
        <x:v>0</x:v>
      </x:c>
      <x:c r="S77" s="18" t="n">
        <x:v>686.4644020811288</x:v>
      </x:c>
      <x:c r="T77" s="18" t="n">
        <x:v>722</x:v>
      </x:c>
      <x:c r="U77" s="18" t="n">
        <x:v>686.4644020811288</x:v>
      </x:c>
      <x:c r="V77" s="20" t="n">
        <x:v>4.4</x:v>
      </x:c>
      <x:c r="W77" s="20" t="n">
        <x:v>14.3</x:v>
      </x:c>
      <x:c r="X77" s="20" t="n">
        <x:v>3.3</x:v>
      </x:c>
      <x:c r="Y77" t="str">
        <x:v>Basis arsip 2025/2024</x:v>
      </x:c>
      <x:c r="Z77" t="str">
        <x:v>https://snpmb.id/utbk-snbt/daya-tampung-snbt</x:v>
      </x:c>
      <x:c r="AA77" t="str">
        <x:v>Tidak Ada</x:v>
      </x:c>
      <x:c r="AB77" t="str">
        <x:v>Campus=80; Ratio=89.1; Prodi=65; RelDemand=100.0; Capacity=76.7</x:v>
      </x:c>
    </x:row>
    <x:row r="78">
      <x:c r="A78" t="n">
        <x:v>75</x:v>
      </x:c>
      <x:c r="B78" t="str">
        <x:v>PTN Akademik</x:v>
      </x:c>
      <x:c r="C78" t="str">
        <x:v>UNIVERSITAS SYIAH KUALA</x:v>
      </x:c>
      <x:c r="D78" t="str">
        <x:v>KEUANGAN DAN PERBANKAN</x:v>
      </x:c>
      <x:c r="E78" t="str">
        <x:v>Diploma Tiga</x:v>
      </x:c>
      <x:c r="F78" s="18" t="n">
        <x:v>28</x:v>
      </x:c>
      <x:c r="G78" s="18" t="n">
        <x:v>1106</x:v>
      </x:c>
      <x:c r="H78" s="19" t="n">
        <x:v>39.5</x:v>
      </x:c>
      <x:c r="I78" s="18" t="n">
        <x:f>ROUND(MIN(Model_Config_v3!$B$6,MAX(Q78,R78,S78*Model_Config_v3!$B$4+T78*Model_Config_v3!$B$5)),0)</x:f>
        <x:v>708</x:v>
      </x:c>
      <x:c r="J78" s="18" t="n">
        <x:f>MIN(Model_Config_v3!$B$6,I78+Model_Config_v3!$B$7)</x:f>
        <x:v>728</x:v>
      </x:c>
      <x:c r="K78" s="20" t="n">
        <x:v>77.2</x:v>
      </x:c>
      <x:c r="L78" t="str">
        <x:v>ELITE</x:v>
      </x:c>
      <x:c r="M78" t="str">
        <x:v>SEDANG+</x:v>
      </x:c>
      <x:c r="N78" t="str">
        <x:v>ELITE-3</x:v>
      </x:c>
      <x:c r="O78" t="str">
        <x:v>CAMPURAN</x:v>
      </x:c>
      <x:c r="P78" t="str">
        <x:v>UMUM</x:v>
      </x:c>
      <x:c r="Q78" s="18" t="n">
        <x:v>615</x:v>
      </x:c>
      <x:c r="R78" s="18" t="n">
        <x:v>0</x:v>
      </x:c>
      <x:c r="S78" s="18" t="n">
        <x:v>695.6256805189106</x:v>
      </x:c>
      <x:c r="T78" s="18" t="n">
        <x:v>714</x:v>
      </x:c>
      <x:c r="U78" s="18" t="n">
        <x:v>695.6256805189106</x:v>
      </x:c>
      <x:c r="V78" s="20" t="n">
        <x:v>8.8</x:v>
      </x:c>
      <x:c r="W78" s="20" t="n">
        <x:v>9.9</x:v>
      </x:c>
      <x:c r="X78" s="20" t="n">
        <x:v>3.3</x:v>
      </x:c>
      <x:c r="Y78" t="str">
        <x:v>Basis arsip 2025/2024</x:v>
      </x:c>
      <x:c r="Z78" t="str">
        <x:v>https://snpmb.id/utbk-snbt/daya-tampung-snbt</x:v>
      </x:c>
      <x:c r="AA78" t="str">
        <x:v>Tidak Ada</x:v>
      </x:c>
      <x:c r="AB78" t="str">
        <x:v>Campus=80; Ratio=94.0; Prodi=40; RelDemand=100.0; Capacity=76.7</x:v>
      </x:c>
    </x:row>
    <x:row r="79">
      <x:c r="A79" t="n">
        <x:v>76</x:v>
      </x:c>
      <x:c r="B79" t="str">
        <x:v>PTN Akademik</x:v>
      </x:c>
      <x:c r="C79" t="str">
        <x:v>UNIVERSITAS SYIAH KUALA</x:v>
      </x:c>
      <x:c r="D79" t="str">
        <x:v>MANAJEMEN INFORMATIKA</x:v>
      </x:c>
      <x:c r="E79" t="str">
        <x:v>Diploma Tiga</x:v>
      </x:c>
      <x:c r="F79" s="18" t="n">
        <x:v>28</x:v>
      </x:c>
      <x:c r="G79" s="18" t="n">
        <x:v>1297</x:v>
      </x:c>
      <x:c r="H79" s="19" t="n">
        <x:v>46.32142857142857</x:v>
      </x:c>
      <x:c r="I79" s="18" t="n">
        <x:f>ROUND(MIN(Model_Config_v3!$B$6,MAX(Q79,R79,S79*Model_Config_v3!$B$4+T79*Model_Config_v3!$B$5)),0)</x:f>
        <x:v>725</x:v>
      </x:c>
      <x:c r="J79" s="18" t="n">
        <x:f>MIN(Model_Config_v3!$B$6,I79+Model_Config_v3!$B$7)</x:f>
        <x:v>745</x:v>
      </x:c>
      <x:c r="K79" s="20" t="n">
        <x:v>87.2</x:v>
      </x:c>
      <x:c r="L79" t="str">
        <x:v>ULTRA ELITE</x:v>
      </x:c>
      <x:c r="M79" t="str">
        <x:v>SEDANG+</x:v>
      </x:c>
      <x:c r="N79" t="str">
        <x:v>ELITE-3</x:v>
      </x:c>
      <x:c r="O79" t="str">
        <x:v>SAINTEK</x:v>
      </x:c>
      <x:c r="P79" t="str">
        <x:v>KOMPUTER/INFORMATIKA</x:v>
      </x:c>
      <x:c r="Q79" s="18" t="n">
        <x:v>615</x:v>
      </x:c>
      <x:c r="R79" s="18" t="n">
        <x:v>675</x:v>
      </x:c>
      <x:c r="S79" s="18" t="n">
        <x:v>703.2360139216047</x:v>
      </x:c>
      <x:c r="T79" s="18" t="n">
        <x:v>734</x:v>
      </x:c>
      <x:c r="U79" s="18" t="n">
        <x:v>728.2360139216047</x:v>
      </x:c>
      <x:c r="V79" s="20" t="n">
        <x:v>12</x:v>
      </x:c>
      <x:c r="W79" s="20" t="n">
        <x:v>5</x:v>
      </x:c>
      <x:c r="X79" s="20" t="n">
        <x:v>3</x:v>
      </x:c>
      <x:c r="Y79" t="str">
        <x:v>Basis arsip 2025/2024</x:v>
      </x:c>
      <x:c r="Z79" t="str">
        <x:v>https://snpmb.id/utbk-snbt/daya-tampung-snbt</x:v>
      </x:c>
      <x:c r="AA79" t="str">
        <x:v>Tidak Ada</x:v>
      </x:c>
      <x:c r="AB79" t="str">
        <x:v>Campus=80; Ratio=98.0; Prodi=85; RelDemand=100.0; Capacity=76.7</x:v>
      </x:c>
    </x:row>
    <x:row r="80">
      <x:c r="A80" t="n">
        <x:v>77</x:v>
      </x:c>
      <x:c r="B80" t="str">
        <x:v>PTN Akademik</x:v>
      </x:c>
      <x:c r="C80" t="str">
        <x:v>UNIVERSITAS MALIKUSSALEH</x:v>
      </x:c>
      <x:c r="D80" t="str">
        <x:v>TEKNIK SIPIL</x:v>
      </x:c>
      <x:c r="E80" t="str">
        <x:v>Sarjana</x:v>
      </x:c>
      <x:c r="F80" s="18" t="n">
        <x:v>132</x:v>
      </x:c>
      <x:c r="G80" s="18" t="n">
        <x:v>194</x:v>
      </x:c>
      <x:c r="H80" s="19" t="n">
        <x:v>1.4696969696969697</x:v>
      </x:c>
      <x:c r="I80" s="18" t="n">
        <x:f>ROUND(MIN(Model_Config_v3!$B$6,MAX(Q80,R80,S80*Model_Config_v3!$B$4+T80*Model_Config_v3!$B$5)),0)</x:f>
        <x:v>605</x:v>
      </x:c>
      <x:c r="J80" s="18" t="n">
        <x:f>MIN(Model_Config_v3!$B$6,I80+Model_Config_v3!$B$7)</x:f>
        <x:v>625</x:v>
      </x:c>
      <x:c r="K80" s="20" t="n">
        <x:v>36.5</x:v>
      </x:c>
      <x:c r="L80" t="str">
        <x:v>RELATIF LONGGAR</x:v>
      </x:c>
      <x:c r="M80" t="str">
        <x:v>SEDANG+</x:v>
      </x:c>
      <x:c r="N80" t="str">
        <x:v>REGULER</x:v>
      </x:c>
      <x:c r="O80" t="str">
        <x:v>SAINTEK</x:v>
      </x:c>
      <x:c r="P80" t="str">
        <x:v>TEKNIK/ARSITEKTUR/STATISTIKA/AKTUARIA</x:v>
      </x:c>
      <x:c r="Q80" s="18" t="n">
        <x:v>0</x:v>
      </x:c>
      <x:c r="R80" s="18" t="n">
        <x:v>0</x:v>
      </x:c>
      <x:c r="S80" s="18" t="n">
        <x:v>538.3950578596814</x:v>
      </x:c>
      <x:c r="T80" s="18" t="n">
        <x:v>633</x:v>
      </x:c>
      <x:c r="U80" s="18" t="n">
        <x:v>548.3950578596814</x:v>
      </x:c>
      <x:c r="V80" s="20" t="n">
        <x:v>12</x:v>
      </x:c>
      <x:c r="W80" s="20" t="n">
        <x:v>5</x:v>
      </x:c>
      <x:c r="X80" s="20" t="n">
        <x:v>3</x:v>
      </x:c>
      <x:c r="Y80" t="str">
        <x:v>Basis arsip 2025/2024</x:v>
      </x:c>
      <x:c r="Z80" t="str">
        <x:v>https://snpmb.id/utbk-snbt/daya-tampung-snbt</x:v>
      </x:c>
      <x:c r="AA80" t="str">
        <x:v>Tidak Ada</x:v>
      </x:c>
      <x:c r="AB80" t="str">
        <x:v>Campus=55; Ratio=9.8; Prodi=60; RelDemand=27.9; Capacity=0.0</x:v>
      </x:c>
    </x:row>
    <x:row r="81">
      <x:c r="A81" t="n">
        <x:v>78</x:v>
      </x:c>
      <x:c r="B81" t="str">
        <x:v>PTN Akademik</x:v>
      </x:c>
      <x:c r="C81" t="str">
        <x:v>UNIVERSITAS MALIKUSSALEH</x:v>
      </x:c>
      <x:c r="D81" t="str">
        <x:v>TEKNIK MESIN</x:v>
      </x:c>
      <x:c r="E81" t="str">
        <x:v>Sarjana</x:v>
      </x:c>
      <x:c r="F81" s="18" t="n">
        <x:v>120</x:v>
      </x:c>
      <x:c r="G81" s="18" t="n">
        <x:v>155</x:v>
      </x:c>
      <x:c r="H81" s="19" t="n">
        <x:v>1.2916666666666667</x:v>
      </x:c>
      <x:c r="I81" s="18" t="n">
        <x:f>ROUND(MIN(Model_Config_v3!$B$6,MAX(Q81,R81,S81*Model_Config_v3!$B$4+T81*Model_Config_v3!$B$5)),0)</x:f>
        <x:v>601</x:v>
      </x:c>
      <x:c r="J81" s="18" t="n">
        <x:f>MIN(Model_Config_v3!$B$6,I81+Model_Config_v3!$B$7)</x:f>
        <x:v>621</x:v>
      </x:c>
      <x:c r="K81" s="20" t="n">
        <x:v>35.3</x:v>
      </x:c>
      <x:c r="L81" t="str">
        <x:v>RELATIF LONGGAR</x:v>
      </x:c>
      <x:c r="M81" t="str">
        <x:v>SEDANG+</x:v>
      </x:c>
      <x:c r="N81" t="str">
        <x:v>REGULER</x:v>
      </x:c>
      <x:c r="O81" t="str">
        <x:v>SAINTEK</x:v>
      </x:c>
      <x:c r="P81" t="str">
        <x:v>TEKNIK/ARSITEKTUR/STATISTIKA/AKTUARIA</x:v>
      </x:c>
      <x:c r="Q81" s="18" t="n">
        <x:v>0</x:v>
      </x:c>
      <x:c r="R81" s="18" t="n">
        <x:v>0</x:v>
      </x:c>
      <x:c r="S81" s="18" t="n">
        <x:v>532.2265497334934</x:v>
      </x:c>
      <x:c r="T81" s="18" t="n">
        <x:v>631</x:v>
      </x:c>
      <x:c r="U81" s="18" t="n">
        <x:v>542.2265497334934</x:v>
      </x:c>
      <x:c r="V81" s="20" t="n">
        <x:v>12</x:v>
      </x:c>
      <x:c r="W81" s="20" t="n">
        <x:v>5</x:v>
      </x:c>
      <x:c r="X81" s="20" t="n">
        <x:v>3</x:v>
      </x:c>
      <x:c r="Y81" t="str">
        <x:v>Basis arsip 2025/2024</x:v>
      </x:c>
      <x:c r="Z81" t="str">
        <x:v>https://snpmb.id/utbk-snbt/daya-tampung-snbt</x:v>
      </x:c>
      <x:c r="AA81" t="str">
        <x:v>Tidak Ada</x:v>
      </x:c>
      <x:c r="AB81" t="str">
        <x:v>Campus=55; Ratio=6.5; Prodi=60; RelDemand=24.5; Capacity=0.0</x:v>
      </x:c>
    </x:row>
    <x:row r="82">
      <x:c r="A82" t="n">
        <x:v>79</x:v>
      </x:c>
      <x:c r="B82" t="str">
        <x:v>PTN Akademik</x:v>
      </x:c>
      <x:c r="C82" t="str">
        <x:v>UNIVERSITAS MALIKUSSALEH</x:v>
      </x:c>
      <x:c r="D82" t="str">
        <x:v>TEKNIK KIMIA</x:v>
      </x:c>
      <x:c r="E82" t="str">
        <x:v>Sarjana</x:v>
      </x:c>
      <x:c r="F82" s="18" t="n">
        <x:v>100</x:v>
      </x:c>
      <x:c r="G82" s="18" t="n">
        <x:v>110</x:v>
      </x:c>
      <x:c r="H82" s="19" t="n">
        <x:v>1.1</x:v>
      </x:c>
      <x:c r="I82" s="18" t="n">
        <x:f>ROUND(MIN(Model_Config_v3!$B$6,MAX(Q82,R82,S82*Model_Config_v3!$B$4+T82*Model_Config_v3!$B$5)),0)</x:f>
        <x:v>599</x:v>
      </x:c>
      <x:c r="J82" s="18" t="n">
        <x:f>MIN(Model_Config_v3!$B$6,I82+Model_Config_v3!$B$7)</x:f>
        <x:v>619</x:v>
      </x:c>
      <x:c r="K82" s="20" t="n">
        <x:v>35.6</x:v>
      </x:c>
      <x:c r="L82" t="str">
        <x:v>RELATIF LONGGAR</x:v>
      </x:c>
      <x:c r="M82" t="str">
        <x:v>SEDANG+</x:v>
      </x:c>
      <x:c r="N82" t="str">
        <x:v>REGULER</x:v>
      </x:c>
      <x:c r="O82" t="str">
        <x:v>SAINTEK</x:v>
      </x:c>
      <x:c r="P82" t="str">
        <x:v>TEKNIK/ARSITEKTUR/STATISTIKA/AKTUARIA</x:v>
      </x:c>
      <x:c r="Q82" s="18" t="n">
        <x:v>0</x:v>
      </x:c>
      <x:c r="R82" s="18" t="n">
        <x:v>0</x:v>
      </x:c>
      <x:c r="S82" s="18" t="n">
        <x:v>524.5531953674048</x:v>
      </x:c>
      <x:c r="T82" s="18" t="n">
        <x:v>631</x:v>
      </x:c>
      <x:c r="U82" s="18" t="n">
        <x:v>534.5531953674048</x:v>
      </x:c>
      <x:c r="V82" s="20" t="n">
        <x:v>12</x:v>
      </x:c>
      <x:c r="W82" s="20" t="n">
        <x:v>5</x:v>
      </x:c>
      <x:c r="X82" s="20" t="n">
        <x:v>3</x:v>
      </x:c>
      <x:c r="Y82" t="str">
        <x:v>Basis arsip 2025/2024</x:v>
      </x:c>
      <x:c r="Z82" t="str">
        <x:v>https://snpmb.id/utbk-snbt/daya-tampung-snbt</x:v>
      </x:c>
      <x:c r="AA82" t="str">
        <x:v>Tidak Ada</x:v>
      </x:c>
      <x:c r="AB82" t="str">
        <x:v>Campus=55; Ratio=2.4; Prodi=60; RelDemand=20.9; Capacity=16.7</x:v>
      </x:c>
    </x:row>
    <x:row r="83">
      <x:c r="A83" t="n">
        <x:v>80</x:v>
      </x:c>
      <x:c r="B83" t="str">
        <x:v>PTN Akademik</x:v>
      </x:c>
      <x:c r="C83" t="str">
        <x:v>UNIVERSITAS MALIKUSSALEH</x:v>
      </x:c>
      <x:c r="D83" t="str">
        <x:v>TEKNIK ELEKTRO</x:v>
      </x:c>
      <x:c r="E83" t="str">
        <x:v>Sarjana</x:v>
      </x:c>
      <x:c r="F83" s="18" t="n">
        <x:v>80</x:v>
      </x:c>
      <x:c r="G83" s="18" t="n">
        <x:v>148</x:v>
      </x:c>
      <x:c r="H83" s="19" t="n">
        <x:v>1.85</x:v>
      </x:c>
      <x:c r="I83" s="18" t="n">
        <x:f>ROUND(MIN(Model_Config_v3!$B$6,MAX(Q83,R83,S83*Model_Config_v3!$B$4+T83*Model_Config_v3!$B$5)),0)</x:f>
        <x:v>616</x:v>
      </x:c>
      <x:c r="J83" s="18" t="n">
        <x:f>MIN(Model_Config_v3!$B$6,I83+Model_Config_v3!$B$7)</x:f>
        <x:v>636</x:v>
      </x:c>
      <x:c r="K83" s="20" t="n">
        <x:v>42</x:v>
      </x:c>
      <x:c r="L83" t="str">
        <x:v>RELATIF LONGGAR</x:v>
      </x:c>
      <x:c r="M83" t="str">
        <x:v>SEDANG+</x:v>
      </x:c>
      <x:c r="N83" t="str">
        <x:v>REGULER</x:v>
      </x:c>
      <x:c r="O83" t="str">
        <x:v>SAINTEK</x:v>
      </x:c>
      <x:c r="P83" t="str">
        <x:v>TEKNIK/ARSITEKTUR/STATISTIKA/AKTUARIA</x:v>
      </x:c>
      <x:c r="Q83" s="18" t="n">
        <x:v>0</x:v>
      </x:c>
      <x:c r="R83" s="18" t="n">
        <x:v>0</x:v>
      </x:c>
      <x:c r="S83" s="18" t="n">
        <x:v>549.3888901243315</x:v>
      </x:c>
      <x:c r="T83" s="18" t="n">
        <x:v>644</x:v>
      </x:c>
      <x:c r="U83" s="18" t="n">
        <x:v>559.3888901243315</x:v>
      </x:c>
      <x:c r="V83" s="20" t="n">
        <x:v>12</x:v>
      </x:c>
      <x:c r="W83" s="20" t="n">
        <x:v>5</x:v>
      </x:c>
      <x:c r="X83" s="20" t="n">
        <x:v>3</x:v>
      </x:c>
      <x:c r="Y83" t="str">
        <x:v>Basis arsip 2025/2024</x:v>
      </x:c>
      <x:c r="Z83" t="str">
        <x:v>https://snpmb.id/utbk-snbt/daya-tampung-snbt</x:v>
      </x:c>
      <x:c r="AA83" t="str">
        <x:v>Tidak Ada</x:v>
      </x:c>
      <x:c r="AB83" t="str">
        <x:v>Campus=55; Ratio=15.7; Prodi=60; RelDemand=35.1; Capacity=33.3</x:v>
      </x:c>
    </x:row>
    <x:row r="84">
      <x:c r="A84" t="n">
        <x:v>81</x:v>
      </x:c>
      <x:c r="B84" t="str">
        <x:v>PTN Akademik</x:v>
      </x:c>
      <x:c r="C84" t="str">
        <x:v>UNIVERSITAS MALIKUSSALEH</x:v>
      </x:c>
      <x:c r="D84" t="str">
        <x:v>TEKNIK INDUSTRI</x:v>
      </x:c>
      <x:c r="E84" t="str">
        <x:v>Sarjana</x:v>
      </x:c>
      <x:c r="F84" s="18" t="n">
        <x:v>100</x:v>
      </x:c>
      <x:c r="G84" s="18" t="n">
        <x:v>274</x:v>
      </x:c>
      <x:c r="H84" s="19" t="n">
        <x:v>2.74</x:v>
      </x:c>
      <x:c r="I84" s="18" t="n">
        <x:f>ROUND(MIN(Model_Config_v3!$B$6,MAX(Q84,R84,S84*Model_Config_v3!$B$4+T84*Model_Config_v3!$B$5)),0)</x:f>
        <x:v>625</x:v>
      </x:c>
      <x:c r="J84" s="18" t="n">
        <x:f>MIN(Model_Config_v3!$B$6,I84+Model_Config_v3!$B$7)</x:f>
        <x:v>645</x:v>
      </x:c>
      <x:c r="K84" s="20" t="n">
        <x:v>44.6</x:v>
      </x:c>
      <x:c r="L84" t="str">
        <x:v>RELATIF LONGGAR</x:v>
      </x:c>
      <x:c r="M84" t="str">
        <x:v>SEDANG+</x:v>
      </x:c>
      <x:c r="N84" t="str">
        <x:v>REGULER</x:v>
      </x:c>
      <x:c r="O84" t="str">
        <x:v>SAINTEK</x:v>
      </x:c>
      <x:c r="P84" t="str">
        <x:v>TEKNIK/ARSITEKTUR/STATISTIKA/AKTUARIA</x:v>
      </x:c>
      <x:c r="Q84" s="18" t="n">
        <x:v>0</x:v>
      </x:c>
      <x:c r="R84" s="18" t="n">
        <x:v>0</x:v>
      </x:c>
      <x:c r="S84" s="18" t="n">
        <x:v>568.1525619102426</x:v>
      </x:c>
      <x:c r="T84" s="18" t="n">
        <x:v>649</x:v>
      </x:c>
      <x:c r="U84" s="18" t="n">
        <x:v>578.1525619102426</x:v>
      </x:c>
      <x:c r="V84" s="20" t="n">
        <x:v>12</x:v>
      </x:c>
      <x:c r="W84" s="20" t="n">
        <x:v>5</x:v>
      </x:c>
      <x:c r="X84" s="20" t="n">
        <x:v>3</x:v>
      </x:c>
      <x:c r="Y84" t="str">
        <x:v>Basis arsip 2025/2024</x:v>
      </x:c>
      <x:c r="Z84" t="str">
        <x:v>https://snpmb.id/utbk-snbt/daya-tampung-snbt</x:v>
      </x:c>
      <x:c r="AA84" t="str">
        <x:v>Tidak Ada</x:v>
      </x:c>
      <x:c r="AB84" t="str">
        <x:v>Campus=55; Ratio=25.8; Prodi=60; RelDemand=52.0; Capacity=16.7</x:v>
      </x:c>
    </x:row>
    <x:row r="85">
      <x:c r="A85" t="n">
        <x:v>82</x:v>
      </x:c>
      <x:c r="B85" t="str">
        <x:v>PTN Akademik</x:v>
      </x:c>
      <x:c r="C85" t="str">
        <x:v>UNIVERSITAS MALIKUSSALEH</x:v>
      </x:c>
      <x:c r="D85" t="str">
        <x:v>TEKNIK INFORMATIKA</x:v>
      </x:c>
      <x:c r="E85" t="str">
        <x:v>Sarjana</x:v>
      </x:c>
      <x:c r="F85" s="18" t="n">
        <x:v>118</x:v>
      </x:c>
      <x:c r="G85" s="18" t="n">
        <x:v>506</x:v>
      </x:c>
      <x:c r="H85" s="19" t="n">
        <x:v>4.288135593220339</x:v>
      </x:c>
      <x:c r="I85" s="18" t="n">
        <x:f>ROUND(MIN(Model_Config_v3!$B$6,MAX(Q85,R85,S85*Model_Config_v3!$B$4+T85*Model_Config_v3!$B$5)),0)</x:f>
        <x:v>644</x:v>
      </x:c>
      <x:c r="J85" s="18" t="n">
        <x:f>MIN(Model_Config_v3!$B$6,I85+Model_Config_v3!$B$7)</x:f>
        <x:v>664</x:v>
      </x:c>
      <x:c r="K85" s="20" t="n">
        <x:v>53.9</x:v>
      </x:c>
      <x:c r="L85" t="str">
        <x:v>MENENGAH</x:v>
      </x:c>
      <x:c r="M85" t="str">
        <x:v>SEDANG+</x:v>
      </x:c>
      <x:c r="N85" t="str">
        <x:v>REGULER</x:v>
      </x:c>
      <x:c r="O85" t="str">
        <x:v>SAINTEK</x:v>
      </x:c>
      <x:c r="P85" t="str">
        <x:v>KOMPUTER/INFORMATIKA</x:v>
      </x:c>
      <x:c r="Q85" s="18" t="n">
        <x:v>0</x:v>
      </x:c>
      <x:c r="R85" s="18" t="n">
        <x:v>0</x:v>
      </x:c>
      <x:c r="S85" s="18" t="n">
        <x:v>589.5495360487041</x:v>
      </x:c>
      <x:c r="T85" s="18" t="n">
        <x:v>668</x:v>
      </x:c>
      <x:c r="U85" s="18" t="n">
        <x:v>614.5495360487041</x:v>
      </x:c>
      <x:c r="V85" s="20" t="n">
        <x:v>12</x:v>
      </x:c>
      <x:c r="W85" s="20" t="n">
        <x:v>5</x:v>
      </x:c>
      <x:c r="X85" s="20" t="n">
        <x:v>3</x:v>
      </x:c>
      <x:c r="Y85" t="str">
        <x:v>Basis arsip 2025/2024</x:v>
      </x:c>
      <x:c r="Z85" t="str">
        <x:v>https://snpmb.id/utbk-snbt/daya-tampung-snbt</x:v>
      </x:c>
      <x:c r="AA85" t="str">
        <x:v>Tidak Ada</x:v>
      </x:c>
      <x:c r="AB85" t="str">
        <x:v>Campus=55; Ratio=37.2; Prodi=85; RelDemand=81.3; Capacity=1.7</x:v>
      </x:c>
    </x:row>
    <x:row r="86">
      <x:c r="A86" t="n">
        <x:v>83</x:v>
      </x:c>
      <x:c r="B86" t="str">
        <x:v>PTN Akademik</x:v>
      </x:c>
      <x:c r="C86" t="str">
        <x:v>UNIVERSITAS MALIKUSSALEH</x:v>
      </x:c>
      <x:c r="D86" t="str">
        <x:v>TEKNIK ARSITEKTUR</x:v>
      </x:c>
      <x:c r="E86" t="str">
        <x:v>Sarjana</x:v>
      </x:c>
      <x:c r="F86" s="18" t="n">
        <x:v>60</x:v>
      </x:c>
      <x:c r="G86" s="18" t="n">
        <x:v>64</x:v>
      </x:c>
      <x:c r="H86" s="19" t="n">
        <x:v>1.0666666666666667</x:v>
      </x:c>
      <x:c r="I86" s="18" t="n">
        <x:f>ROUND(MIN(Model_Config_v3!$B$6,MAX(Q86,R86,S86*Model_Config_v3!$B$4+T86*Model_Config_v3!$B$5)),0)</x:f>
        <x:v>603</x:v>
      </x:c>
      <x:c r="J86" s="18" t="n">
        <x:f>MIN(Model_Config_v3!$B$6,I86+Model_Config_v3!$B$7)</x:f>
        <x:v>623</x:v>
      </x:c>
      <x:c r="K86" s="20" t="n">
        <x:v>38.7</x:v>
      </x:c>
      <x:c r="L86" t="str">
        <x:v>RELATIF LONGGAR</x:v>
      </x:c>
      <x:c r="M86" t="str">
        <x:v>SEDANG+</x:v>
      </x:c>
      <x:c r="N86" t="str">
        <x:v>REGULER</x:v>
      </x:c>
      <x:c r="O86" t="str">
        <x:v>SAINTEK</x:v>
      </x:c>
      <x:c r="P86" t="str">
        <x:v>TEKNIK/ARSITEKTUR/STATISTIKA/AKTUARIA</x:v>
      </x:c>
      <x:c r="Q86" s="18" t="n">
        <x:v>0</x:v>
      </x:c>
      <x:c r="R86" s="18" t="n">
        <x:v>0</x:v>
      </x:c>
      <x:c r="S86" s="18" t="n">
        <x:v>523.0831595960268</x:v>
      </x:c>
      <x:c r="T86" s="18" t="n">
        <x:v>637</x:v>
      </x:c>
      <x:c r="U86" s="18" t="n">
        <x:v>533.0831595960268</x:v>
      </x:c>
      <x:c r="V86" s="20" t="n">
        <x:v>12</x:v>
      </x:c>
      <x:c r="W86" s="20" t="n">
        <x:v>5</x:v>
      </x:c>
      <x:c r="X86" s="20" t="n">
        <x:v>3</x:v>
      </x:c>
      <x:c r="Y86" t="str">
        <x:v>Basis arsip 2025/2024</x:v>
      </x:c>
      <x:c r="Z86" t="str">
        <x:v>https://snpmb.id/utbk-snbt/daya-tampung-snbt</x:v>
      </x:c>
      <x:c r="AA86" t="str">
        <x:v>Tidak Ada</x:v>
      </x:c>
      <x:c r="AB86" t="str">
        <x:v>Campus=55; Ratio=1.6; Prodi=60; RelDemand=20.2; Capacity=50.0</x:v>
      </x:c>
    </x:row>
    <x:row r="87">
      <x:c r="A87" t="n">
        <x:v>84</x:v>
      </x:c>
      <x:c r="B87" t="str">
        <x:v>PTN Akademik</x:v>
      </x:c>
      <x:c r="C87" t="str">
        <x:v>UNIVERSITAS MALIKUSSALEH</x:v>
      </x:c>
      <x:c r="D87" t="str">
        <x:v>AGROEKOTEKNOLOGI</x:v>
      </x:c>
      <x:c r="E87" t="str">
        <x:v>Sarjana</x:v>
      </x:c>
      <x:c r="F87" s="18" t="n">
        <x:v>120</x:v>
      </x:c>
      <x:c r="G87" s="18" t="n">
        <x:v>171</x:v>
      </x:c>
      <x:c r="H87" s="19" t="n">
        <x:v>1.425</x:v>
      </x:c>
      <x:c r="I87" s="18" t="n">
        <x:f>ROUND(MIN(Model_Config_v3!$B$6,MAX(Q87,R87,S87*Model_Config_v3!$B$4+T87*Model_Config_v3!$B$5)),0)</x:f>
        <x:v>598</x:v>
      </x:c>
      <x:c r="J87" s="18" t="n">
        <x:f>MIN(Model_Config_v3!$B$6,I87+Model_Config_v3!$B$7)</x:f>
        <x:v>618</x:v>
      </x:c>
      <x:c r="K87" s="20" t="n">
        <x:v>32.2</x:v>
      </x:c>
      <x:c r="L87" t="str">
        <x:v>RELATIF LONGGAR</x:v>
      </x:c>
      <x:c r="M87" t="str">
        <x:v>SEDANG</x:v>
      </x:c>
      <x:c r="N87" t="str">
        <x:v>REGULER</x:v>
      </x:c>
      <x:c r="O87" t="str">
        <x:v>SAINTEK</x:v>
      </x:c>
      <x:c r="P87" t="str">
        <x:v>UMUM</x:v>
      </x:c>
      <x:c r="Q87" s="18" t="n">
        <x:v>0</x:v>
      </x:c>
      <x:c r="R87" s="18" t="n">
        <x:v>0</x:v>
      </x:c>
      <x:c r="S87" s="18" t="n">
        <x:v>536.9196350778982</x:v>
      </x:c>
      <x:c r="T87" s="18" t="n">
        <x:v>624</x:v>
      </x:c>
      <x:c r="U87" s="18" t="n">
        <x:v>536.9196350778982</x:v>
      </x:c>
      <x:c r="V87" s="20" t="n">
        <x:v>12</x:v>
      </x:c>
      <x:c r="W87" s="20" t="n">
        <x:v>5</x:v>
      </x:c>
      <x:c r="X87" s="20" t="n">
        <x:v>3</x:v>
      </x:c>
      <x:c r="Y87" t="str">
        <x:v>Basis arsip 2025/2024</x:v>
      </x:c>
      <x:c r="Z87" t="str">
        <x:v>https://snpmb.id/utbk-snbt/daya-tampung-snbt</x:v>
      </x:c>
      <x:c r="AA87" t="str">
        <x:v>Tidak Ada</x:v>
      </x:c>
      <x:c r="AB87" t="str">
        <x:v>Campus=55; Ratio=9.1; Prodi=40; RelDemand=27.0; Capacity=0.0</x:v>
      </x:c>
    </x:row>
    <x:row r="88">
      <x:c r="A88" t="n">
        <x:v>85</x:v>
      </x:c>
      <x:c r="B88" t="str">
        <x:v>PTN Akademik</x:v>
      </x:c>
      <x:c r="C88" t="str">
        <x:v>UNIVERSITAS MALIKUSSALEH</x:v>
      </x:c>
      <x:c r="D88" t="str">
        <x:v>AGRIBISNIS</x:v>
      </x:c>
      <x:c r="E88" t="str">
        <x:v>Sarjana</x:v>
      </x:c>
      <x:c r="F88" s="18" t="n">
        <x:v>100</x:v>
      </x:c>
      <x:c r="G88" s="18" t="n">
        <x:v>142</x:v>
      </x:c>
      <x:c r="H88" s="19" t="n">
        <x:v>1.42</x:v>
      </x:c>
      <x:c r="I88" s="18" t="n">
        <x:f>ROUND(MIN(Model_Config_v3!$B$6,MAX(Q88,R88,S88*Model_Config_v3!$B$4+T88*Model_Config_v3!$B$5)),0)</x:f>
        <x:v>608</x:v>
      </x:c>
      <x:c r="J88" s="18" t="n">
        <x:f>MIN(Model_Config_v3!$B$6,I88+Model_Config_v3!$B$7)</x:f>
        <x:v>628</x:v>
      </x:c>
      <x:c r="K88" s="20" t="n">
        <x:v>38.9</x:v>
      </x:c>
      <x:c r="L88" t="str">
        <x:v>RELATIF LONGGAR</x:v>
      </x:c>
      <x:c r="M88" t="str">
        <x:v>SEDANG+</x:v>
      </x:c>
      <x:c r="N88" t="str">
        <x:v>REGULER</x:v>
      </x:c>
      <x:c r="O88" t="str">
        <x:v>SOSHUM</x:v>
      </x:c>
      <x:c r="P88" t="str">
        <x:v>BISNIS/EKONOMI/AKUNTANSI</x:v>
      </x:c>
      <x:c r="Q88" s="18" t="n">
        <x:v>0</x:v>
      </x:c>
      <x:c r="R88" s="18" t="n">
        <x:v>0</x:v>
      </x:c>
      <x:c r="S88" s="18" t="n">
        <x:v>536.7517178821362</x:v>
      </x:c>
      <x:c r="T88" s="18" t="n">
        <x:v>638</x:v>
      </x:c>
      <x:c r="U88" s="18" t="n">
        <x:v>551.7517178821362</x:v>
      </x:c>
      <x:c r="V88" s="20" t="n">
        <x:v>4.4</x:v>
      </x:c>
      <x:c r="W88" s="20" t="n">
        <x:v>14.3</x:v>
      </x:c>
      <x:c r="X88" s="20" t="n">
        <x:v>3.3</x:v>
      </x:c>
      <x:c r="Y88" t="str">
        <x:v>Basis arsip 2025/2024</x:v>
      </x:c>
      <x:c r="Z88" t="str">
        <x:v>https://snpmb.id/utbk-snbt/daya-tampung-snbt</x:v>
      </x:c>
      <x:c r="AA88" t="str">
        <x:v>Tidak Ada</x:v>
      </x:c>
      <x:c r="AB88" t="str">
        <x:v>Campus=55; Ratio=9.0; Prodi=65; RelDemand=26.9; Capacity=16.7</x:v>
      </x:c>
    </x:row>
    <x:row r="89">
      <x:c r="A89" t="n">
        <x:v>86</x:v>
      </x:c>
      <x:c r="B89" t="str">
        <x:v>PTN Akademik</x:v>
      </x:c>
      <x:c r="C89" t="str">
        <x:v>UNIVERSITAS MALIKUSSALEH</x:v>
      </x:c>
      <x:c r="D89" t="str">
        <x:v>AKUAKULTUR</x:v>
      </x:c>
      <x:c r="E89" t="str">
        <x:v>Sarjana</x:v>
      </x:c>
      <x:c r="F89" s="18" t="n">
        <x:v>40</x:v>
      </x:c>
      <x:c r="G89" s="18" t="n">
        <x:v>15</x:v>
      </x:c>
      <x:c r="H89" s="19" t="n">
        <x:v>0.375</x:v>
      </x:c>
      <x:c r="I89" s="18" t="n">
        <x:f>ROUND(MIN(Model_Config_v3!$B$6,MAX(Q89,R89,S89*Model_Config_v3!$B$4+T89*Model_Config_v3!$B$5)),0)</x:f>
        <x:v>596</x:v>
      </x:c>
      <x:c r="J89" s="18" t="n">
        <x:f>MIN(Model_Config_v3!$B$6,I89+Model_Config_v3!$B$7)</x:f>
        <x:v>616</x:v>
      </x:c>
      <x:c r="K89" s="20" t="n">
        <x:v>34.6</x:v>
      </x:c>
      <x:c r="L89" t="str">
        <x:v>RELATIF LONGGAR</x:v>
      </x:c>
      <x:c r="M89" t="str">
        <x:v>SEDANG</x:v>
      </x:c>
      <x:c r="N89" t="str">
        <x:v>REGULER</x:v>
      </x:c>
      <x:c r="O89" t="str">
        <x:v>CAMPURAN</x:v>
      </x:c>
      <x:c r="P89" t="str">
        <x:v>UMUM</x:v>
      </x:c>
      <x:c r="Q89" s="18" t="n">
        <x:v>0</x:v>
      </x:c>
      <x:c r="R89" s="18" t="n">
        <x:v>0</x:v>
      </x:c>
      <x:c r="S89" s="18" t="n">
        <x:v>520</x:v>
      </x:c>
      <x:c r="T89" s="18" t="n">
        <x:v>629</x:v>
      </x:c>
      <x:c r="U89" s="18" t="n">
        <x:v>520</x:v>
      </x:c>
      <x:c r="V89" s="20" t="n">
        <x:v>8.8</x:v>
      </x:c>
      <x:c r="W89" s="20" t="n">
        <x:v>9.9</x:v>
      </x:c>
      <x:c r="X89" s="20" t="n">
        <x:v>3.3</x:v>
      </x:c>
      <x:c r="Y89" t="str">
        <x:v>Basis arsip 2025/2024</x:v>
      </x:c>
      <x:c r="Z89" t="str">
        <x:v>https://snpmb.id/utbk-snbt/daya-tampung-snbt</x:v>
      </x:c>
      <x:c r="AA89" t="str">
        <x:v>Tidak Ada</x:v>
      </x:c>
      <x:c r="AB89" t="str">
        <x:v>Campus=55; Ratio=0.0; Prodi=40; RelDemand=7.1; Capacity=66.7</x:v>
      </x:c>
    </x:row>
    <x:row r="90">
      <x:c r="A90" t="n">
        <x:v>87</x:v>
      </x:c>
      <x:c r="B90" t="str">
        <x:v>PTN Akademik</x:v>
      </x:c>
      <x:c r="C90" t="str">
        <x:v>UNIVERSITAS MALIKUSSALEH</x:v>
      </x:c>
      <x:c r="D90" t="str">
        <x:v>KEDOKTERAN</x:v>
      </x:c>
      <x:c r="E90" t="str">
        <x:v>Sarjana</x:v>
      </x:c>
      <x:c r="F90" s="18" t="n">
        <x:v>60</x:v>
      </x:c>
      <x:c r="G90" s="18" t="n">
        <x:v>1296</x:v>
      </x:c>
      <x:c r="H90" s="19" t="n">
        <x:v>21.6</x:v>
      </x:c>
      <x:c r="I90" s="18" t="n">
        <x:f>ROUND(MIN(Model_Config_v3!$B$6,MAX(Q90,R90,S90*Model_Config_v3!$B$4+T90*Model_Config_v3!$B$5)),0)</x:f>
        <x:v>696</x:v>
      </x:c>
      <x:c r="J90" s="18" t="n">
        <x:f>MIN(Model_Config_v3!$B$6,I90+Model_Config_v3!$B$7)</x:f>
        <x:v>716</x:v>
      </x:c>
      <x:c r="K90" s="20" t="n">
        <x:v>73.9</x:v>
      </x:c>
      <x:c r="L90" t="str">
        <x:v>SANGAT KETAT</x:v>
      </x:c>
      <x:c r="M90" t="str">
        <x:v>SEDANG+</x:v>
      </x:c>
      <x:c r="N90" t="str">
        <x:v>REGULER</x:v>
      </x:c>
      <x:c r="O90" t="str">
        <x:v>SAINTEK</x:v>
      </x:c>
      <x:c r="P90" t="str">
        <x:v>KEDOKTERAN</x:v>
      </x:c>
      <x:c r="Q90" s="18" t="n">
        <x:v>0</x:v>
      </x:c>
      <x:c r="R90" s="18" t="n">
        <x:v>680</x:v>
      </x:c>
      <x:c r="S90" s="18" t="n">
        <x:v>666.7899126266024</x:v>
      </x:c>
      <x:c r="T90" s="18" t="n">
        <x:v>708</x:v>
      </x:c>
      <x:c r="U90" s="18" t="n">
        <x:v>706.7899126266024</x:v>
      </x:c>
      <x:c r="V90" s="20" t="n">
        <x:v>12</x:v>
      </x:c>
      <x:c r="W90" s="20" t="n">
        <x:v>5</x:v>
      </x:c>
      <x:c r="X90" s="20" t="n">
        <x:v>3</x:v>
      </x:c>
      <x:c r="Y90" t="str">
        <x:v>Basis arsip 2025/2024</x:v>
      </x:c>
      <x:c r="Z90" t="str">
        <x:v>https://snpmb.id/utbk-snbt/daya-tampung-snbt</x:v>
      </x:c>
      <x:c r="AA90" t="str">
        <x:v>Tidak Ada</x:v>
      </x:c>
      <x:c r="AB90" t="str">
        <x:v>Campus=55; Ratio=78.5; Prodi=100; RelDemand=100.0; Capacity=50.0</x:v>
      </x:c>
    </x:row>
    <x:row r="91">
      <x:c r="A91" t="n">
        <x:v>88</x:v>
      </x:c>
      <x:c r="B91" t="str">
        <x:v>PTN Akademik</x:v>
      </x:c>
      <x:c r="C91" t="str">
        <x:v>UNIVERSITAS MALIKUSSALEH</x:v>
      </x:c>
      <x:c r="D91" t="str">
        <x:v>PENDIDIKAN FISIKA</x:v>
      </x:c>
      <x:c r="E91" t="str">
        <x:v>Sarjana</x:v>
      </x:c>
      <x:c r="F91" s="18" t="n">
        <x:v>48</x:v>
      </x:c>
      <x:c r="G91" s="18" t="n">
        <x:v>22</x:v>
      </x:c>
      <x:c r="H91" s="19" t="n">
        <x:v>0.4583333333333333</x:v>
      </x:c>
      <x:c r="I91" s="18" t="n">
        <x:f>ROUND(MIN(Model_Config_v3!$B$6,MAX(Q91,R91,S91*Model_Config_v3!$B$4+T91*Model_Config_v3!$B$5)),0)</x:f>
        <x:v>597</x:v>
      </x:c>
      <x:c r="J91" s="18" t="n">
        <x:f>MIN(Model_Config_v3!$B$6,I91+Model_Config_v3!$B$7)</x:f>
        <x:v>617</x:v>
      </x:c>
      <x:c r="K91" s="20" t="n">
        <x:v>35.1</x:v>
      </x:c>
      <x:c r="L91" t="str">
        <x:v>RELATIF LONGGAR</x:v>
      </x:c>
      <x:c r="M91" t="str">
        <x:v>SEDANG+</x:v>
      </x:c>
      <x:c r="N91" t="str">
        <x:v>REGULER</x:v>
      </x:c>
      <x:c r="O91" t="str">
        <x:v>SAINTEK</x:v>
      </x:c>
      <x:c r="P91" t="str">
        <x:v>PENDIDIKAN</x:v>
      </x:c>
      <x:c r="Q91" s="18" t="n">
        <x:v>0</x:v>
      </x:c>
      <x:c r="R91" s="18" t="n">
        <x:v>0</x:v>
      </x:c>
      <x:c r="S91" s="18" t="n">
        <x:v>520</x:v>
      </x:c>
      <x:c r="T91" s="18" t="n">
        <x:v>630</x:v>
      </x:c>
      <x:c r="U91" s="18" t="n">
        <x:v>520</x:v>
      </x:c>
      <x:c r="V91" s="20" t="n">
        <x:v>12</x:v>
      </x:c>
      <x:c r="W91" s="20" t="n">
        <x:v>5</x:v>
      </x:c>
      <x:c r="X91" s="20" t="n">
        <x:v>3</x:v>
      </x:c>
      <x:c r="Y91" t="str">
        <x:v>Basis arsip 2025/2024</x:v>
      </x:c>
      <x:c r="Z91" t="str">
        <x:v>https://snpmb.id/utbk-snbt/daya-tampung-snbt</x:v>
      </x:c>
      <x:c r="AA91" t="str">
        <x:v>Tidak Ada</x:v>
      </x:c>
      <x:c r="AB91" t="str">
        <x:v>Campus=55; Ratio=0.0; Prodi=45; RelDemand=8.7; Capacity=60.0</x:v>
      </x:c>
    </x:row>
    <x:row r="92">
      <x:c r="A92" t="n">
        <x:v>89</x:v>
      </x:c>
      <x:c r="B92" t="str">
        <x:v>PTN Akademik</x:v>
      </x:c>
      <x:c r="C92" t="str">
        <x:v>UNIVERSITAS MALIKUSSALEH</x:v>
      </x:c>
      <x:c r="D92" t="str">
        <x:v>PENDIDIKAN KIMIA</x:v>
      </x:c>
      <x:c r="E92" t="str">
        <x:v>Sarjana</x:v>
      </x:c>
      <x:c r="F92" s="18" t="n">
        <x:v>48</x:v>
      </x:c>
      <x:c r="G92" s="18" t="n">
        <x:v>25</x:v>
      </x:c>
      <x:c r="H92" s="19" t="n">
        <x:v>0.5208333333333334</x:v>
      </x:c>
      <x:c r="I92" s="18" t="n">
        <x:f>ROUND(MIN(Model_Config_v3!$B$6,MAX(Q92,R92,S92*Model_Config_v3!$B$4+T92*Model_Config_v3!$B$5)),0)</x:f>
        <x:v>597</x:v>
      </x:c>
      <x:c r="J92" s="18" t="n">
        <x:f>MIN(Model_Config_v3!$B$6,I92+Model_Config_v3!$B$7)</x:f>
        <x:v>617</x:v>
      </x:c>
      <x:c r="K92" s="20" t="n">
        <x:v>35.2</x:v>
      </x:c>
      <x:c r="L92" t="str">
        <x:v>RELATIF LONGGAR</x:v>
      </x:c>
      <x:c r="M92" t="str">
        <x:v>SEDANG+</x:v>
      </x:c>
      <x:c r="N92" t="str">
        <x:v>REGULER</x:v>
      </x:c>
      <x:c r="O92" t="str">
        <x:v>SAINTEK</x:v>
      </x:c>
      <x:c r="P92" t="str">
        <x:v>PENDIDIKAN</x:v>
      </x:c>
      <x:c r="Q92" s="18" t="n">
        <x:v>0</x:v>
      </x:c>
      <x:c r="R92" s="18" t="n">
        <x:v>0</x:v>
      </x:c>
      <x:c r="S92" s="18" t="n">
        <x:v>520</x:v>
      </x:c>
      <x:c r="T92" s="18" t="n">
        <x:v>630</x:v>
      </x:c>
      <x:c r="U92" s="18" t="n">
        <x:v>520</x:v>
      </x:c>
      <x:c r="V92" s="20" t="n">
        <x:v>12</x:v>
      </x:c>
      <x:c r="W92" s="20" t="n">
        <x:v>5</x:v>
      </x:c>
      <x:c r="X92" s="20" t="n">
        <x:v>3</x:v>
      </x:c>
      <x:c r="Y92" t="str">
        <x:v>Basis arsip 2025/2024</x:v>
      </x:c>
      <x:c r="Z92" t="str">
        <x:v>https://snpmb.id/utbk-snbt/daya-tampung-snbt</x:v>
      </x:c>
      <x:c r="AA92" t="str">
        <x:v>Tidak Ada</x:v>
      </x:c>
      <x:c r="AB92" t="str">
        <x:v>Campus=55; Ratio=0.0; Prodi=45; RelDemand=9.9; Capacity=60.0</x:v>
      </x:c>
    </x:row>
    <x:row r="93">
      <x:c r="A93" t="n">
        <x:v>90</x:v>
      </x:c>
      <x:c r="B93" t="str">
        <x:v>PTN Akademik</x:v>
      </x:c>
      <x:c r="C93" t="str">
        <x:v>UNIVERSITAS MALIKUSSALEH</x:v>
      </x:c>
      <x:c r="D93" t="str">
        <x:v>PENDIDIKAN MATEMATIKA</x:v>
      </x:c>
      <x:c r="E93" t="str">
        <x:v>Sarjana</x:v>
      </x:c>
      <x:c r="F93" s="18" t="n">
        <x:v>48</x:v>
      </x:c>
      <x:c r="G93" s="18" t="n">
        <x:v>45</x:v>
      </x:c>
      <x:c r="H93" s="19" t="n">
        <x:v>0.9375</x:v>
      </x:c>
      <x:c r="I93" s="18" t="n">
        <x:f>ROUND(MIN(Model_Config_v3!$B$6,MAX(Q93,R93,S93*Model_Config_v3!$B$4+T93*Model_Config_v3!$B$5)),0)</x:f>
        <x:v>598</x:v>
      </x:c>
      <x:c r="J93" s="18" t="n">
        <x:f>MIN(Model_Config_v3!$B$6,I93+Model_Config_v3!$B$7)</x:f>
        <x:v>618</x:v>
      </x:c>
      <x:c r="K93" s="20" t="n">
        <x:v>36</x:v>
      </x:c>
      <x:c r="L93" t="str">
        <x:v>RELATIF LONGGAR</x:v>
      </x:c>
      <x:c r="M93" t="str">
        <x:v>SEDANG+</x:v>
      </x:c>
      <x:c r="N93" t="str">
        <x:v>REGULER</x:v>
      </x:c>
      <x:c r="O93" t="str">
        <x:v>SAINTEK</x:v>
      </x:c>
      <x:c r="P93" t="str">
        <x:v>PENDIDIKAN</x:v>
      </x:c>
      <x:c r="Q93" s="18" t="n">
        <x:v>0</x:v>
      </x:c>
      <x:c r="R93" s="18" t="n">
        <x:v>0</x:v>
      </x:c>
      <x:c r="S93" s="18" t="n">
        <x:v>520</x:v>
      </x:c>
      <x:c r="T93" s="18" t="n">
        <x:v>632</x:v>
      </x:c>
      <x:c r="U93" s="18" t="n">
        <x:v>520</x:v>
      </x:c>
      <x:c r="V93" s="20" t="n">
        <x:v>12</x:v>
      </x:c>
      <x:c r="W93" s="20" t="n">
        <x:v>5</x:v>
      </x:c>
      <x:c r="X93" s="20" t="n">
        <x:v>3</x:v>
      </x:c>
      <x:c r="Y93" t="str">
        <x:v>Basis arsip 2025/2024</x:v>
      </x:c>
      <x:c r="Z93" t="str">
        <x:v>https://snpmb.id/utbk-snbt/daya-tampung-snbt</x:v>
      </x:c>
      <x:c r="AA93" t="str">
        <x:v>Tidak Ada</x:v>
      </x:c>
      <x:c r="AB93" t="str">
        <x:v>Campus=55; Ratio=0.0; Prodi=45; RelDemand=17.8; Capacity=60.0</x:v>
      </x:c>
    </x:row>
    <x:row r="94">
      <x:c r="A94" t="n">
        <x:v>91</x:v>
      </x:c>
      <x:c r="B94" t="str">
        <x:v>PTN Akademik</x:v>
      </x:c>
      <x:c r="C94" t="str">
        <x:v>UNIVERSITAS MALIKUSSALEH</x:v>
      </x:c>
      <x:c r="D94" t="str">
        <x:v>PENDIDIKAN VOKASIONAL TEKNIK MESIN</x:v>
      </x:c>
      <x:c r="E94" t="str">
        <x:v>Sarjana</x:v>
      </x:c>
      <x:c r="F94" s="18" t="n">
        <x:v>24</x:v>
      </x:c>
      <x:c r="G94" s="18" t="n">
        <x:v>18</x:v>
      </x:c>
      <x:c r="H94" s="19" t="n">
        <x:v>0.75</x:v>
      </x:c>
      <x:c r="I94" s="18" t="n">
        <x:f>ROUND(MIN(Model_Config_v3!$B$6,MAX(Q94,R94,S94*Model_Config_v3!$B$4+T94*Model_Config_v3!$B$5)),0)</x:f>
        <x:v>601</x:v>
      </x:c>
      <x:c r="J94" s="18" t="n">
        <x:f>MIN(Model_Config_v3!$B$6,I94+Model_Config_v3!$B$7)</x:f>
        <x:v>621</x:v>
      </x:c>
      <x:c r="K94" s="20" t="n">
        <x:v>37.7</x:v>
      </x:c>
      <x:c r="L94" t="str">
        <x:v>RELATIF LONGGAR</x:v>
      </x:c>
      <x:c r="M94" t="str">
        <x:v>SEDANG+</x:v>
      </x:c>
      <x:c r="N94" t="str">
        <x:v>REGULER</x:v>
      </x:c>
      <x:c r="O94" t="str">
        <x:v>SAINTEK</x:v>
      </x:c>
      <x:c r="P94" t="str">
        <x:v>PENDIDIKAN</x:v>
      </x:c>
      <x:c r="Q94" s="18" t="n">
        <x:v>0</x:v>
      </x:c>
      <x:c r="R94" s="18" t="n">
        <x:v>0</x:v>
      </x:c>
      <x:c r="S94" s="18" t="n">
        <x:v>520</x:v>
      </x:c>
      <x:c r="T94" s="18" t="n">
        <x:v>635</x:v>
      </x:c>
      <x:c r="U94" s="18" t="n">
        <x:v>530</x:v>
      </x:c>
      <x:c r="V94" s="20" t="n">
        <x:v>12</x:v>
      </x:c>
      <x:c r="W94" s="20" t="n">
        <x:v>5</x:v>
      </x:c>
      <x:c r="X94" s="20" t="n">
        <x:v>3</x:v>
      </x:c>
      <x:c r="Y94" t="str">
        <x:v>Basis arsip 2025/2024</x:v>
      </x:c>
      <x:c r="Z94" t="str">
        <x:v>https://snpmb.id/utbk-snbt/daya-tampung-snbt</x:v>
      </x:c>
      <x:c r="AA94" t="str">
        <x:v>Tidak Ada</x:v>
      </x:c>
      <x:c r="AB94" t="str">
        <x:v>Campus=55; Ratio=0.0; Prodi=45; RelDemand=14.2; Capacity=80.0</x:v>
      </x:c>
    </x:row>
    <x:row r="95">
      <x:c r="A95" t="n">
        <x:v>92</x:v>
      </x:c>
      <x:c r="B95" t="str">
        <x:v>PTN Akademik</x:v>
      </x:c>
      <x:c r="C95" t="str">
        <x:v>UNIVERSITAS MALIKUSSALEH</x:v>
      </x:c>
      <x:c r="D95" t="str">
        <x:v>SISTEM INFORMASI</x:v>
      </x:c>
      <x:c r="E95" t="str">
        <x:v>Sarjana</x:v>
      </x:c>
      <x:c r="F95" s="18" t="n">
        <x:v>80</x:v>
      </x:c>
      <x:c r="G95" s="18" t="n">
        <x:v>224</x:v>
      </x:c>
      <x:c r="H95" s="19" t="n">
        <x:v>2.8</x:v>
      </x:c>
      <x:c r="I95" s="18" t="n">
        <x:f>ROUND(MIN(Model_Config_v3!$B$6,MAX(Q95,R95,S95*Model_Config_v3!$B$4+T95*Model_Config_v3!$B$5)),0)</x:f>
        <x:v>635</x:v>
      </x:c>
      <x:c r="J95" s="18" t="n">
        <x:f>MIN(Model_Config_v3!$B$6,I95+Model_Config_v3!$B$7)</x:f>
        <x:v>655</x:v>
      </x:c>
      <x:c r="K95" s="20" t="n">
        <x:v>51.5</x:v>
      </x:c>
      <x:c r="L95" t="str">
        <x:v>MENENGAH</x:v>
      </x:c>
      <x:c r="M95" t="str">
        <x:v>SEDANG+</x:v>
      </x:c>
      <x:c r="N95" t="str">
        <x:v>REGULER</x:v>
      </x:c>
      <x:c r="O95" t="str">
        <x:v>CAMPURAN</x:v>
      </x:c>
      <x:c r="P95" t="str">
        <x:v>KOMPUTER/INFORMATIKA</x:v>
      </x:c>
      <x:c r="Q95" s="18" t="n">
        <x:v>0</x:v>
      </x:c>
      <x:c r="R95" s="18" t="n">
        <x:v>0</x:v>
      </x:c>
      <x:c r="S95" s="18" t="n">
        <x:v>569.1873834476442</x:v>
      </x:c>
      <x:c r="T95" s="18" t="n">
        <x:v>663</x:v>
      </x:c>
      <x:c r="U95" s="18" t="n">
        <x:v>594.1873834476442</x:v>
      </x:c>
      <x:c r="V95" s="20" t="n">
        <x:v>8.8</x:v>
      </x:c>
      <x:c r="W95" s="20" t="n">
        <x:v>9.9</x:v>
      </x:c>
      <x:c r="X95" s="20" t="n">
        <x:v>3.3</x:v>
      </x:c>
      <x:c r="Y95" t="str">
        <x:v>Basis arsip 2025/2024</x:v>
      </x:c>
      <x:c r="Z95" t="str">
        <x:v>https://snpmb.id/utbk-snbt/daya-tampung-snbt</x:v>
      </x:c>
      <x:c r="AA95" t="str">
        <x:v>Tidak Ada</x:v>
      </x:c>
      <x:c r="AB95" t="str">
        <x:v>Campus=55; Ratio=26.3; Prodi=85; RelDemand=53.1; Capacity=33.3</x:v>
      </x:c>
    </x:row>
    <x:row r="96">
      <x:c r="A96" t="n">
        <x:v>93</x:v>
      </x:c>
      <x:c r="B96" t="str">
        <x:v>PTN Akademik</x:v>
      </x:c>
      <x:c r="C96" t="str">
        <x:v>UNIVERSITAS MALIKUSSALEH</x:v>
      </x:c>
      <x:c r="D96" t="str">
        <x:v>ILMU KELAUTAN</x:v>
      </x:c>
      <x:c r="E96" t="str">
        <x:v>Sarjana</x:v>
      </x:c>
      <x:c r="F96" s="18" t="n">
        <x:v>40</x:v>
      </x:c>
      <x:c r="G96" s="18" t="n">
        <x:v>33</x:v>
      </x:c>
      <x:c r="H96" s="19" t="n">
        <x:v>0.825</x:v>
      </x:c>
      <x:c r="I96" s="18" t="n">
        <x:f>ROUND(MIN(Model_Config_v3!$B$6,MAX(Q96,R96,S96*Model_Config_v3!$B$4+T96*Model_Config_v3!$B$5)),0)</x:f>
        <x:v>598</x:v>
      </x:c>
      <x:c r="J96" s="18" t="n">
        <x:f>MIN(Model_Config_v3!$B$6,I96+Model_Config_v3!$B$7)</x:f>
        <x:v>618</x:v>
      </x:c>
      <x:c r="K96" s="20" t="n">
        <x:v>35.5</x:v>
      </x:c>
      <x:c r="L96" t="str">
        <x:v>RELATIF LONGGAR</x:v>
      </x:c>
      <x:c r="M96" t="str">
        <x:v>SEDANG</x:v>
      </x:c>
      <x:c r="N96" t="str">
        <x:v>REGULER</x:v>
      </x:c>
      <x:c r="O96" t="str">
        <x:v>SAINTEK</x:v>
      </x:c>
      <x:c r="P96" t="str">
        <x:v>UMUM</x:v>
      </x:c>
      <x:c r="Q96" s="18" t="n">
        <x:v>0</x:v>
      </x:c>
      <x:c r="R96" s="18" t="n">
        <x:v>0</x:v>
      </x:c>
      <x:c r="S96" s="18" t="n">
        <x:v>520</x:v>
      </x:c>
      <x:c r="T96" s="18" t="n">
        <x:v>631</x:v>
      </x:c>
      <x:c r="U96" s="18" t="n">
        <x:v>520</x:v>
      </x:c>
      <x:c r="V96" s="20" t="n">
        <x:v>12</x:v>
      </x:c>
      <x:c r="W96" s="20" t="n">
        <x:v>5</x:v>
      </x:c>
      <x:c r="X96" s="20" t="n">
        <x:v>3</x:v>
      </x:c>
      <x:c r="Y96" t="str">
        <x:v>Basis arsip 2025/2024</x:v>
      </x:c>
      <x:c r="Z96" t="str">
        <x:v>https://snpmb.id/utbk-snbt/daya-tampung-snbt</x:v>
      </x:c>
      <x:c r="AA96" t="str">
        <x:v>Tidak Ada</x:v>
      </x:c>
      <x:c r="AB96" t="str">
        <x:v>Campus=55; Ratio=0.0; Prodi=40; RelDemand=15.6; Capacity=66.7</x:v>
      </x:c>
    </x:row>
    <x:row r="97">
      <x:c r="A97" t="n">
        <x:v>94</x:v>
      </x:c>
      <x:c r="B97" t="str">
        <x:v>PTN Akademik</x:v>
      </x:c>
      <x:c r="C97" t="str">
        <x:v>UNIVERSITAS MALIKUSSALEH</x:v>
      </x:c>
      <x:c r="D97" t="str">
        <x:v>TEKNIK MATERIAL</x:v>
      </x:c>
      <x:c r="E97" t="str">
        <x:v>Sarjana</x:v>
      </x:c>
      <x:c r="F97" s="18" t="n">
        <x:v>40</x:v>
      </x:c>
      <x:c r="G97" s="18" t="n">
        <x:v>26</x:v>
      </x:c>
      <x:c r="H97" s="19" t="n">
        <x:v>0.65</x:v>
      </x:c>
      <x:c r="I97" s="18" t="n">
        <x:f>ROUND(MIN(Model_Config_v3!$B$6,MAX(Q97,R97,S97*Model_Config_v3!$B$4+T97*Model_Config_v3!$B$5)),0)</x:f>
        <x:v>603</x:v>
      </x:c>
      <x:c r="J97" s="18" t="n">
        <x:f>MIN(Model_Config_v3!$B$6,I97+Model_Config_v3!$B$7)</x:f>
        <x:v>623</x:v>
      </x:c>
      <x:c r="K97" s="20" t="n">
        <x:v>39.1</x:v>
      </x:c>
      <x:c r="L97" t="str">
        <x:v>RELATIF LONGGAR</x:v>
      </x:c>
      <x:c r="M97" t="str">
        <x:v>SEDANG+</x:v>
      </x:c>
      <x:c r="N97" t="str">
        <x:v>REGULER</x:v>
      </x:c>
      <x:c r="O97" t="str">
        <x:v>SAINTEK</x:v>
      </x:c>
      <x:c r="P97" t="str">
        <x:v>TEKNIK/ARSITEKTUR/STATISTIKA/AKTUARIA</x:v>
      </x:c>
      <x:c r="Q97" s="18" t="n">
        <x:v>0</x:v>
      </x:c>
      <x:c r="R97" s="18" t="n">
        <x:v>0</x:v>
      </x:c>
      <x:c r="S97" s="18" t="n">
        <x:v>520</x:v>
      </x:c>
      <x:c r="T97" s="18" t="n">
        <x:v>638</x:v>
      </x:c>
      <x:c r="U97" s="18" t="n">
        <x:v>530</x:v>
      </x:c>
      <x:c r="V97" s="20" t="n">
        <x:v>12</x:v>
      </x:c>
      <x:c r="W97" s="20" t="n">
        <x:v>5</x:v>
      </x:c>
      <x:c r="X97" s="20" t="n">
        <x:v>3</x:v>
      </x:c>
      <x:c r="Y97" t="str">
        <x:v>Basis arsip 2025/2024</x:v>
      </x:c>
      <x:c r="Z97" t="str">
        <x:v>https://snpmb.id/utbk-snbt/daya-tampung-snbt</x:v>
      </x:c>
      <x:c r="AA97" t="str">
        <x:v>Tidak Ada</x:v>
      </x:c>
      <x:c r="AB97" t="str">
        <x:v>Campus=55; Ratio=0.0; Prodi=60; RelDemand=12.3; Capacity=66.7</x:v>
      </x:c>
    </x:row>
    <x:row r="98">
      <x:c r="A98" t="n">
        <x:v>95</x:v>
      </x:c>
      <x:c r="B98" t="str">
        <x:v>PTN Akademik</x:v>
      </x:c>
      <x:c r="C98" t="str">
        <x:v>UNIVERSITAS MALIKUSSALEH</x:v>
      </x:c>
      <x:c r="D98" t="str">
        <x:v>TEKNIK LOGISTIK</x:v>
      </x:c>
      <x:c r="E98" t="str">
        <x:v>Sarjana</x:v>
      </x:c>
      <x:c r="F98" s="18" t="n">
        <x:v>40</x:v>
      </x:c>
      <x:c r="G98" s="18" t="n">
        <x:v>31</x:v>
      </x:c>
      <x:c r="H98" s="19" t="n">
        <x:v>0.775</x:v>
      </x:c>
      <x:c r="I98" s="18" t="n">
        <x:f>ROUND(MIN(Model_Config_v3!$B$6,MAX(Q98,R98,S98*Model_Config_v3!$B$4+T98*Model_Config_v3!$B$5)),0)</x:f>
        <x:v>603</x:v>
      </x:c>
      <x:c r="J98" s="18" t="n">
        <x:f>MIN(Model_Config_v3!$B$6,I98+Model_Config_v3!$B$7)</x:f>
        <x:v>623</x:v>
      </x:c>
      <x:c r="K98" s="20" t="n">
        <x:v>39.4</x:v>
      </x:c>
      <x:c r="L98" t="str">
        <x:v>RELATIF LONGGAR</x:v>
      </x:c>
      <x:c r="M98" t="str">
        <x:v>SEDANG+</x:v>
      </x:c>
      <x:c r="N98" t="str">
        <x:v>REGULER</x:v>
      </x:c>
      <x:c r="O98" t="str">
        <x:v>SAINTEK</x:v>
      </x:c>
      <x:c r="P98" t="str">
        <x:v>TEKNIK/ARSITEKTUR/STATISTIKA/AKTUARIA</x:v>
      </x:c>
      <x:c r="Q98" s="18" t="n">
        <x:v>0</x:v>
      </x:c>
      <x:c r="R98" s="18" t="n">
        <x:v>0</x:v>
      </x:c>
      <x:c r="S98" s="18" t="n">
        <x:v>520</x:v>
      </x:c>
      <x:c r="T98" s="18" t="n">
        <x:v>639</x:v>
      </x:c>
      <x:c r="U98" s="18" t="n">
        <x:v>530</x:v>
      </x:c>
      <x:c r="V98" s="20" t="n">
        <x:v>12</x:v>
      </x:c>
      <x:c r="W98" s="20" t="n">
        <x:v>5</x:v>
      </x:c>
      <x:c r="X98" s="20" t="n">
        <x:v>3</x:v>
      </x:c>
      <x:c r="Y98" t="str">
        <x:v>Basis arsip 2025/2024</x:v>
      </x:c>
      <x:c r="Z98" t="str">
        <x:v>https://snpmb.id/utbk-snbt/daya-tampung-snbt</x:v>
      </x:c>
      <x:c r="AA98" t="str">
        <x:v>Tidak Ada</x:v>
      </x:c>
      <x:c r="AB98" t="str">
        <x:v>Campus=55; Ratio=0.0; Prodi=60; RelDemand=14.7; Capacity=66.7</x:v>
      </x:c>
    </x:row>
    <x:row r="99">
      <x:c r="A99" t="n">
        <x:v>96</x:v>
      </x:c>
      <x:c r="B99" t="str">
        <x:v>PTN Akademik</x:v>
      </x:c>
      <x:c r="C99" t="str">
        <x:v>UNIVERSITAS MALIKUSSALEH</x:v>
      </x:c>
      <x:c r="D99" t="str">
        <x:v>MANAJEMEN</x:v>
      </x:c>
      <x:c r="E99" t="str">
        <x:v>Sarjana</x:v>
      </x:c>
      <x:c r="F99" s="18" t="n">
        <x:v>160</x:v>
      </x:c>
      <x:c r="G99" s="18" t="n">
        <x:v>459</x:v>
      </x:c>
      <x:c r="H99" s="19" t="n">
        <x:v>2.86875</x:v>
      </x:c>
      <x:c r="I99" s="18" t="n">
        <x:f>ROUND(MIN(Model_Config_v3!$B$6,MAX(Q99,R99,S99*Model_Config_v3!$B$4+T99*Model_Config_v3!$B$5)),0)</x:f>
        <x:v>625</x:v>
      </x:c>
      <x:c r="J99" s="18" t="n">
        <x:f>MIN(Model_Config_v3!$B$6,I99+Model_Config_v3!$B$7)</x:f>
        <x:v>645</x:v>
      </x:c>
      <x:c r="K99" s="20" t="n">
        <x:v>44.4</x:v>
      </x:c>
      <x:c r="L99" t="str">
        <x:v>RELATIF LONGGAR</x:v>
      </x:c>
      <x:c r="M99" t="str">
        <x:v>SEDANG+</x:v>
      </x:c>
      <x:c r="N99" t="str">
        <x:v>REGULER</x:v>
      </x:c>
      <x:c r="O99" t="str">
        <x:v>SOSHUM</x:v>
      </x:c>
      <x:c r="P99" t="str">
        <x:v>BISNIS/EKONOMI/AKUNTANSI</x:v>
      </x:c>
      <x:c r="Q99" s="18" t="n">
        <x:v>0</x:v>
      </x:c>
      <x:c r="R99" s="18" t="n">
        <x:v>0</x:v>
      </x:c>
      <x:c r="S99" s="18" t="n">
        <x:v>570.346197316947</x:v>
      </x:c>
      <x:c r="T99" s="18" t="n">
        <x:v>649</x:v>
      </x:c>
      <x:c r="U99" s="18" t="n">
        <x:v>585.346197316947</x:v>
      </x:c>
      <x:c r="V99" s="20" t="n">
        <x:v>4.4</x:v>
      </x:c>
      <x:c r="W99" s="20" t="n">
        <x:v>14.3</x:v>
      </x:c>
      <x:c r="X99" s="20" t="n">
        <x:v>3.3</x:v>
      </x:c>
      <x:c r="Y99" t="str">
        <x:v>Basis arsip 2025/2024</x:v>
      </x:c>
      <x:c r="Z99" t="str">
        <x:v>https://snpmb.id/utbk-snbt/daya-tampung-snbt</x:v>
      </x:c>
      <x:c r="AA99" t="str">
        <x:v>Tidak Ada</x:v>
      </x:c>
      <x:c r="AB99" t="str">
        <x:v>Campus=55; Ratio=26.9; Prodi=65; RelDemand=54.4; Capacity=0.0</x:v>
      </x:c>
    </x:row>
    <x:row r="100">
      <x:c r="A100" t="n">
        <x:v>97</x:v>
      </x:c>
      <x:c r="B100" t="str">
        <x:v>PTN Akademik</x:v>
      </x:c>
      <x:c r="C100" t="str">
        <x:v>UNIVERSITAS MALIKUSSALEH</x:v>
      </x:c>
      <x:c r="D100" t="str">
        <x:v>AKUNTANSI</x:v>
      </x:c>
      <x:c r="E100" t="str">
        <x:v>Sarjana</x:v>
      </x:c>
      <x:c r="F100" s="18" t="n">
        <x:v>124</x:v>
      </x:c>
      <x:c r="G100" s="18" t="n">
        <x:v>236</x:v>
      </x:c>
      <x:c r="H100" s="19" t="n">
        <x:v>1.903225806451613</x:v>
      </x:c>
      <x:c r="I100" s="18" t="n">
        <x:f>ROUND(MIN(Model_Config_v3!$B$6,MAX(Q100,R100,S100*Model_Config_v3!$B$4+T100*Model_Config_v3!$B$5)),0)</x:f>
        <x:v>613</x:v>
      </x:c>
      <x:c r="J100" s="18" t="n">
        <x:f>MIN(Model_Config_v3!$B$6,I100+Model_Config_v3!$B$7)</x:f>
        <x:v>633</x:v>
      </x:c>
      <x:c r="K100" s="20" t="n">
        <x:v>40</x:v>
      </x:c>
      <x:c r="L100" t="str">
        <x:v>RELATIF LONGGAR</x:v>
      </x:c>
      <x:c r="M100" t="str">
        <x:v>SEDANG+</x:v>
      </x:c>
      <x:c r="N100" t="str">
        <x:v>REGULER</x:v>
      </x:c>
      <x:c r="O100" t="str">
        <x:v>SOSHUM</x:v>
      </x:c>
      <x:c r="P100" t="str">
        <x:v>BISNIS/EKONOMI/AKUNTANSI</x:v>
      </x:c>
      <x:c r="Q100" s="18" t="n">
        <x:v>0</x:v>
      </x:c>
      <x:c r="R100" s="18" t="n">
        <x:v>0</x:v>
      </x:c>
      <x:c r="S100" s="18" t="n">
        <x:v>550.7439349588659</x:v>
      </x:c>
      <x:c r="T100" s="18" t="n">
        <x:v>640</x:v>
      </x:c>
      <x:c r="U100" s="18" t="n">
        <x:v>550.7439349588659</x:v>
      </x:c>
      <x:c r="V100" s="20" t="n">
        <x:v>4.4</x:v>
      </x:c>
      <x:c r="W100" s="20" t="n">
        <x:v>14.3</x:v>
      </x:c>
      <x:c r="X100" s="20" t="n">
        <x:v>3.3</x:v>
      </x:c>
      <x:c r="Y100" t="str">
        <x:v>Basis arsip 2025/2024</x:v>
      </x:c>
      <x:c r="Z100" t="str">
        <x:v>https://snpmb.id/utbk-snbt/daya-tampung-snbt</x:v>
      </x:c>
      <x:c r="AA100" t="str">
        <x:v>Tidak Ada</x:v>
      </x:c>
      <x:c r="AB100" t="str">
        <x:v>Campus=55; Ratio=16.5; Prodi=65; RelDemand=36.1; Capacity=0.0</x:v>
      </x:c>
    </x:row>
    <x:row r="101">
      <x:c r="A101" t="n">
        <x:v>98</x:v>
      </x:c>
      <x:c r="B101" t="str">
        <x:v>PTN Akademik</x:v>
      </x:c>
      <x:c r="C101" t="str">
        <x:v>UNIVERSITAS MALIKUSSALEH</x:v>
      </x:c>
      <x:c r="D101" t="str">
        <x:v>ILMU EKONOMI &amp; STUDI PEMBANGUNAN</x:v>
      </x:c>
      <x:c r="E101" t="str">
        <x:v>Sarjana</x:v>
      </x:c>
      <x:c r="F101" s="18" t="n">
        <x:v>112</x:v>
      </x:c>
      <x:c r="G101" s="18" t="n">
        <x:v>72</x:v>
      </x:c>
      <x:c r="H101" s="19" t="n">
        <x:v>0.6428571428571429</x:v>
      </x:c>
      <x:c r="I101" s="18" t="n">
        <x:f>ROUND(MIN(Model_Config_v3!$B$6,MAX(Q101,R101,S101*Model_Config_v3!$B$4+T101*Model_Config_v3!$B$5)),0)</x:f>
        <x:v>596</x:v>
      </x:c>
      <x:c r="J101" s="18" t="n">
        <x:f>MIN(Model_Config_v3!$B$6,I101+Model_Config_v3!$B$7)</x:f>
        <x:v>616</x:v>
      </x:c>
      <x:c r="K101" s="20" t="n">
        <x:v>34.1</x:v>
      </x:c>
      <x:c r="L101" t="str">
        <x:v>RELATIF LONGGAR</x:v>
      </x:c>
      <x:c r="M101" t="str">
        <x:v>SEDANG+</x:v>
      </x:c>
      <x:c r="N101" t="str">
        <x:v>REGULER</x:v>
      </x:c>
      <x:c r="O101" t="str">
        <x:v>SOSHUM</x:v>
      </x:c>
      <x:c r="P101" t="str">
        <x:v>BISNIS/EKONOMI/AKUNTANSI</x:v>
      </x:c>
      <x:c r="Q101" s="18" t="n">
        <x:v>0</x:v>
      </x:c>
      <x:c r="R101" s="18" t="n">
        <x:v>0</x:v>
      </x:c>
      <x:c r="S101" s="18" t="n">
        <x:v>520</x:v>
      </x:c>
      <x:c r="T101" s="18" t="n">
        <x:v>628</x:v>
      </x:c>
      <x:c r="U101" s="18" t="n">
        <x:v>520</x:v>
      </x:c>
      <x:c r="V101" s="20" t="n">
        <x:v>4.4</x:v>
      </x:c>
      <x:c r="W101" s="20" t="n">
        <x:v>14.3</x:v>
      </x:c>
      <x:c r="X101" s="20" t="n">
        <x:v>3.3</x:v>
      </x:c>
      <x:c r="Y101" t="str">
        <x:v>Basis arsip 2025/2024</x:v>
      </x:c>
      <x:c r="Z101" t="str">
        <x:v>https://snpmb.id/utbk-snbt/daya-tampung-snbt</x:v>
      </x:c>
      <x:c r="AA101" t="str">
        <x:v>Tidak Ada</x:v>
      </x:c>
      <x:c r="AB101" t="str">
        <x:v>Campus=55; Ratio=0.0; Prodi=65; RelDemand=12.2; Capacity=6.7</x:v>
      </x:c>
    </x:row>
    <x:row r="102">
      <x:c r="A102" t="n">
        <x:v>99</x:v>
      </x:c>
      <x:c r="B102" t="str">
        <x:v>PTN Akademik</x:v>
      </x:c>
      <x:c r="C102" t="str">
        <x:v>UNIVERSITAS MALIKUSSALEH</x:v>
      </x:c>
      <x:c r="D102" t="str">
        <x:v>ADMINISTRASI PUBLIK</x:v>
      </x:c>
      <x:c r="E102" t="str">
        <x:v>Sarjana</x:v>
      </x:c>
      <x:c r="F102" s="18" t="n">
        <x:v>140</x:v>
      </x:c>
      <x:c r="G102" s="18" t="n">
        <x:v>183</x:v>
      </x:c>
      <x:c r="H102" s="19" t="n">
        <x:v>1.3071428571428572</x:v>
      </x:c>
      <x:c r="I102" s="18" t="n">
        <x:f>ROUND(MIN(Model_Config_v3!$B$6,MAX(Q102,R102,S102*Model_Config_v3!$B$4+T102*Model_Config_v3!$B$5)),0)</x:f>
        <x:v>596</x:v>
      </x:c>
      <x:c r="J102" s="18" t="n">
        <x:f>MIN(Model_Config_v3!$B$6,I102+Model_Config_v3!$B$7)</x:f>
        <x:v>616</x:v>
      </x:c>
      <x:c r="K102" s="20" t="n">
        <x:v>31.4</x:v>
      </x:c>
      <x:c r="L102" t="str">
        <x:v>RELATIF LONGGAR</x:v>
      </x:c>
      <x:c r="M102" t="str">
        <x:v>SEDANG</x:v>
      </x:c>
      <x:c r="N102" t="str">
        <x:v>REGULER</x:v>
      </x:c>
      <x:c r="O102" t="str">
        <x:v>SOSHUM</x:v>
      </x:c>
      <x:c r="P102" t="str">
        <x:v>UMUM</x:v>
      </x:c>
      <x:c r="Q102" s="18" t="n">
        <x:v>0</x:v>
      </x:c>
      <x:c r="R102" s="18" t="n">
        <x:v>0</x:v>
      </x:c>
      <x:c r="S102" s="18" t="n">
        <x:v>532.7955359457411</x:v>
      </x:c>
      <x:c r="T102" s="18" t="n">
        <x:v>623</x:v>
      </x:c>
      <x:c r="U102" s="18" t="n">
        <x:v>532.7955359457411</x:v>
      </x:c>
      <x:c r="V102" s="20" t="n">
        <x:v>4.4</x:v>
      </x:c>
      <x:c r="W102" s="20" t="n">
        <x:v>14.3</x:v>
      </x:c>
      <x:c r="X102" s="20" t="n">
        <x:v>3.3</x:v>
      </x:c>
      <x:c r="Y102" t="str">
        <x:v>Basis arsip 2025/2024</x:v>
      </x:c>
      <x:c r="Z102" t="str">
        <x:v>https://snpmb.id/utbk-snbt/daya-tampung-snbt</x:v>
      </x:c>
      <x:c r="AA102" t="str">
        <x:v>Tidak Ada</x:v>
      </x:c>
      <x:c r="AB102" t="str">
        <x:v>Campus=55; Ratio=6.8; Prodi=40; RelDemand=24.8; Capacity=0.0</x:v>
      </x:c>
    </x:row>
    <x:row r="103">
      <x:c r="A103" t="n">
        <x:v>100</x:v>
      </x:c>
      <x:c r="B103" t="str">
        <x:v>PTN Akademik</x:v>
      </x:c>
      <x:c r="C103" t="str">
        <x:v>UNIVERSITAS MALIKUSSALEH</x:v>
      </x:c>
      <x:c r="D103" t="str">
        <x:v>SOSIOLOGI</x:v>
      </x:c>
      <x:c r="E103" t="str">
        <x:v>Sarjana</x:v>
      </x:c>
      <x:c r="F103" s="18" t="n">
        <x:v>82</x:v>
      </x:c>
      <x:c r="G103" s="18" t="n">
        <x:v>67</x:v>
      </x:c>
      <x:c r="H103" s="19" t="n">
        <x:v>0.8170731707317073</x:v>
      </x:c>
      <x:c r="I103" s="18" t="n">
        <x:f>ROUND(MIN(Model_Config_v3!$B$6,MAX(Q103,R103,S103*Model_Config_v3!$B$4+T103*Model_Config_v3!$B$5)),0)</x:f>
        <x:v>593</x:v>
      </x:c>
      <x:c r="J103" s="18" t="n">
        <x:f>MIN(Model_Config_v3!$B$6,I103+Model_Config_v3!$B$7)</x:f>
        <x:v>613</x:v>
      </x:c>
      <x:c r="K103" s="20" t="n">
        <x:v>32</x:v>
      </x:c>
      <x:c r="L103" t="str">
        <x:v>RELATIF LONGGAR</x:v>
      </x:c>
      <x:c r="M103" t="str">
        <x:v>SEDANG</x:v>
      </x:c>
      <x:c r="N103" t="str">
        <x:v>REGULER</x:v>
      </x:c>
      <x:c r="O103" t="str">
        <x:v>SOSHUM</x:v>
      </x:c>
      <x:c r="P103" t="str">
        <x:v>UMUM</x:v>
      </x:c>
      <x:c r="Q103" s="18" t="n">
        <x:v>0</x:v>
      </x:c>
      <x:c r="R103" s="18" t="n">
        <x:v>0</x:v>
      </x:c>
      <x:c r="S103" s="18" t="n">
        <x:v>520</x:v>
      </x:c>
      <x:c r="T103" s="18" t="n">
        <x:v>624</x:v>
      </x:c>
      <x:c r="U103" s="18" t="n">
        <x:v>520</x:v>
      </x:c>
      <x:c r="V103" s="20" t="n">
        <x:v>4.4</x:v>
      </x:c>
      <x:c r="W103" s="20" t="n">
        <x:v>14.3</x:v>
      </x:c>
      <x:c r="X103" s="20" t="n">
        <x:v>3.3</x:v>
      </x:c>
      <x:c r="Y103" t="str">
        <x:v>Basis arsip 2025/2024</x:v>
      </x:c>
      <x:c r="Z103" t="str">
        <x:v>https://snpmb.id/utbk-snbt/daya-tampung-snbt</x:v>
      </x:c>
      <x:c r="AA103" t="str">
        <x:v>Tidak Ada</x:v>
      </x:c>
      <x:c r="AB103" t="str">
        <x:v>Campus=55; Ratio=0.0; Prodi=40; RelDemand=15.5; Capacity=31.7</x:v>
      </x:c>
    </x:row>
    <x:row r="104">
      <x:c r="A104" t="n">
        <x:v>101</x:v>
      </x:c>
      <x:c r="B104" t="str">
        <x:v>PTN Akademik</x:v>
      </x:c>
      <x:c r="C104" t="str">
        <x:v>UNIVERSITAS MALIKUSSALEH</x:v>
      </x:c>
      <x:c r="D104" t="str">
        <x:v>ILMU POLITIK</x:v>
      </x:c>
      <x:c r="E104" t="str">
        <x:v>Sarjana</x:v>
      </x:c>
      <x:c r="F104" s="18" t="n">
        <x:v>80</x:v>
      </x:c>
      <x:c r="G104" s="18" t="n">
        <x:v>43</x:v>
      </x:c>
      <x:c r="H104" s="19" t="n">
        <x:v>0.5375</x:v>
      </x:c>
      <x:c r="I104" s="18" t="n">
        <x:f>ROUND(MIN(Model_Config_v3!$B$6,MAX(Q104,R104,S104*Model_Config_v3!$B$4+T104*Model_Config_v3!$B$5)),0)</x:f>
        <x:v>592</x:v>
      </x:c>
      <x:c r="J104" s="18" t="n">
        <x:f>MIN(Model_Config_v3!$B$6,I104+Model_Config_v3!$B$7)</x:f>
        <x:v>612</x:v>
      </x:c>
      <x:c r="K104" s="20" t="n">
        <x:v>31.6</x:v>
      </x:c>
      <x:c r="L104" t="str">
        <x:v>RELATIF LONGGAR</x:v>
      </x:c>
      <x:c r="M104" t="str">
        <x:v>SEDANG</x:v>
      </x:c>
      <x:c r="N104" t="str">
        <x:v>REGULER</x:v>
      </x:c>
      <x:c r="O104" t="str">
        <x:v>SOSHUM</x:v>
      </x:c>
      <x:c r="P104" t="str">
        <x:v>UMUM</x:v>
      </x:c>
      <x:c r="Q104" s="18" t="n">
        <x:v>0</x:v>
      </x:c>
      <x:c r="R104" s="18" t="n">
        <x:v>0</x:v>
      </x:c>
      <x:c r="S104" s="18" t="n">
        <x:v>520</x:v>
      </x:c>
      <x:c r="T104" s="18" t="n">
        <x:v>623</x:v>
      </x:c>
      <x:c r="U104" s="18" t="n">
        <x:v>520</x:v>
      </x:c>
      <x:c r="V104" s="20" t="n">
        <x:v>4.4</x:v>
      </x:c>
      <x:c r="W104" s="20" t="n">
        <x:v>14.3</x:v>
      </x:c>
      <x:c r="X104" s="20" t="n">
        <x:v>3.3</x:v>
      </x:c>
      <x:c r="Y104" t="str">
        <x:v>Basis arsip 2025/2024</x:v>
      </x:c>
      <x:c r="Z104" t="str">
        <x:v>https://snpmb.id/utbk-snbt/daya-tampung-snbt</x:v>
      </x:c>
      <x:c r="AA104" t="str">
        <x:v>Tidak Ada</x:v>
      </x:c>
      <x:c r="AB104" t="str">
        <x:v>Campus=55; Ratio=0.0; Prodi=40; RelDemand=10.2; Capacity=33.3</x:v>
      </x:c>
    </x:row>
    <x:row r="105">
      <x:c r="A105" t="n">
        <x:v>102</x:v>
      </x:c>
      <x:c r="B105" t="str">
        <x:v>PTN Akademik</x:v>
      </x:c>
      <x:c r="C105" t="str">
        <x:v>UNIVERSITAS MALIKUSSALEH</x:v>
      </x:c>
      <x:c r="D105" t="str">
        <x:v>ANTROPOLOGI</x:v>
      </x:c>
      <x:c r="E105" t="str">
        <x:v>Sarjana</x:v>
      </x:c>
      <x:c r="F105" s="18" t="n">
        <x:v>40</x:v>
      </x:c>
      <x:c r="G105" s="18" t="n">
        <x:v>30</x:v>
      </x:c>
      <x:c r="H105" s="19" t="n">
        <x:v>0.75</x:v>
      </x:c>
      <x:c r="I105" s="18" t="n">
        <x:f>ROUND(MIN(Model_Config_v3!$B$6,MAX(Q105,R105,S105*Model_Config_v3!$B$4+T105*Model_Config_v3!$B$5)),0)</x:f>
        <x:v>598</x:v>
      </x:c>
      <x:c r="J105" s="18" t="n">
        <x:f>MIN(Model_Config_v3!$B$6,I105+Model_Config_v3!$B$7)</x:f>
        <x:v>618</x:v>
      </x:c>
      <x:c r="K105" s="20" t="n">
        <x:v>35.3</x:v>
      </x:c>
      <x:c r="L105" t="str">
        <x:v>RELATIF LONGGAR</x:v>
      </x:c>
      <x:c r="M105" t="str">
        <x:v>SEDANG</x:v>
      </x:c>
      <x:c r="N105" t="str">
        <x:v>REGULER</x:v>
      </x:c>
      <x:c r="O105" t="str">
        <x:v>SOSHUM</x:v>
      </x:c>
      <x:c r="P105" t="str">
        <x:v>UMUM</x:v>
      </x:c>
      <x:c r="Q105" s="18" t="n">
        <x:v>0</x:v>
      </x:c>
      <x:c r="R105" s="18" t="n">
        <x:v>0</x:v>
      </x:c>
      <x:c r="S105" s="18" t="n">
        <x:v>520</x:v>
      </x:c>
      <x:c r="T105" s="18" t="n">
        <x:v>631</x:v>
      </x:c>
      <x:c r="U105" s="18" t="n">
        <x:v>520</x:v>
      </x:c>
      <x:c r="V105" s="20" t="n">
        <x:v>4.4</x:v>
      </x:c>
      <x:c r="W105" s="20" t="n">
        <x:v>14.3</x:v>
      </x:c>
      <x:c r="X105" s="20" t="n">
        <x:v>3.3</x:v>
      </x:c>
      <x:c r="Y105" t="str">
        <x:v>Basis arsip 2025/2024</x:v>
      </x:c>
      <x:c r="Z105" t="str">
        <x:v>https://snpmb.id/utbk-snbt/daya-tampung-snbt</x:v>
      </x:c>
      <x:c r="AA105" t="str">
        <x:v>Tidak Ada</x:v>
      </x:c>
      <x:c r="AB105" t="str">
        <x:v>Campus=55; Ratio=0.0; Prodi=40; RelDemand=14.2; Capacity=66.7</x:v>
      </x:c>
    </x:row>
    <x:row r="106">
      <x:c r="A106" t="n">
        <x:v>103</x:v>
      </x:c>
      <x:c r="B106" t="str">
        <x:v>PTN Akademik</x:v>
      </x:c>
      <x:c r="C106" t="str">
        <x:v>UNIVERSITAS MALIKUSSALEH</x:v>
      </x:c>
      <x:c r="D106" t="str">
        <x:v>ILMU KOMUNIKASI</x:v>
      </x:c>
      <x:c r="E106" t="str">
        <x:v>Sarjana</x:v>
      </x:c>
      <x:c r="F106" s="18" t="n">
        <x:v>140</x:v>
      </x:c>
      <x:c r="G106" s="18" t="n">
        <x:v>309</x:v>
      </x:c>
      <x:c r="H106" s="19" t="n">
        <x:v>2.2071428571428573</x:v>
      </x:c>
      <x:c r="I106" s="18" t="n">
        <x:f>ROUND(MIN(Model_Config_v3!$B$6,MAX(Q106,R106,S106*Model_Config_v3!$B$4+T106*Model_Config_v3!$B$5)),0)</x:f>
        <x:v>610</x:v>
      </x:c>
      <x:c r="J106" s="18" t="n">
        <x:f>MIN(Model_Config_v3!$B$6,I106+Model_Config_v3!$B$7)</x:f>
        <x:v>630</x:v>
      </x:c>
      <x:c r="K106" s="20" t="n">
        <x:v>36.5</x:v>
      </x:c>
      <x:c r="L106" t="str">
        <x:v>RELATIF LONGGAR</x:v>
      </x:c>
      <x:c r="M106" t="str">
        <x:v>SEDANG</x:v>
      </x:c>
      <x:c r="N106" t="str">
        <x:v>REGULER</x:v>
      </x:c>
      <x:c r="O106" t="str">
        <x:v>SOSHUM</x:v>
      </x:c>
      <x:c r="P106" t="str">
        <x:v>UMUM</x:v>
      </x:c>
      <x:c r="Q106" s="18" t="n">
        <x:v>0</x:v>
      </x:c>
      <x:c r="R106" s="18" t="n">
        <x:v>0</x:v>
      </x:c>
      <x:c r="S106" s="18" t="n">
        <x:v>557.8213488121256</x:v>
      </x:c>
      <x:c r="T106" s="18" t="n">
        <x:v>633</x:v>
      </x:c>
      <x:c r="U106" s="18" t="n">
        <x:v>557.8213488121256</x:v>
      </x:c>
      <x:c r="V106" s="20" t="n">
        <x:v>4.4</x:v>
      </x:c>
      <x:c r="W106" s="20" t="n">
        <x:v>14.3</x:v>
      </x:c>
      <x:c r="X106" s="20" t="n">
        <x:v>3.3</x:v>
      </x:c>
      <x:c r="Y106" t="str">
        <x:v>Basis arsip 2025/2024</x:v>
      </x:c>
      <x:c r="Z106" t="str">
        <x:v>https://snpmb.id/utbk-snbt/daya-tampung-snbt</x:v>
      </x:c>
      <x:c r="AA106" t="str">
        <x:v>Tidak Ada</x:v>
      </x:c>
      <x:c r="AB106" t="str">
        <x:v>Campus=55; Ratio=20.2; Prodi=40; RelDemand=41.9; Capacity=0.0</x:v>
      </x:c>
    </x:row>
    <x:row r="107">
      <x:c r="A107" t="n">
        <x:v>104</x:v>
      </x:c>
      <x:c r="B107" t="str">
        <x:v>PTN Akademik</x:v>
      </x:c>
      <x:c r="C107" t="str">
        <x:v>UNIVERSITAS MALIKUSSALEH</x:v>
      </x:c>
      <x:c r="D107" t="str">
        <x:v>HUKUM</x:v>
      </x:c>
      <x:c r="E107" t="str">
        <x:v>Sarjana</x:v>
      </x:c>
      <x:c r="F107" s="18" t="n">
        <x:v>220</x:v>
      </x:c>
      <x:c r="G107" s="18" t="n">
        <x:v>322</x:v>
      </x:c>
      <x:c r="H107" s="19" t="n">
        <x:v>1.4636363636363636</x:v>
      </x:c>
      <x:c r="I107" s="18" t="n">
        <x:f>ROUND(MIN(Model_Config_v3!$B$6,MAX(Q107,R107,S107*Model_Config_v3!$B$4+T107*Model_Config_v3!$B$5)),0)</x:f>
        <x:v>606</x:v>
      </x:c>
      <x:c r="J107" s="18" t="n">
        <x:f>MIN(Model_Config_v3!$B$6,I107+Model_Config_v3!$B$7)</x:f>
        <x:v>626</x:v>
      </x:c>
      <x:c r="K107" s="20" t="n">
        <x:v>37.5</x:v>
      </x:c>
      <x:c r="L107" t="str">
        <x:v>RELATIF LONGGAR</x:v>
      </x:c>
      <x:c r="M107" t="str">
        <x:v>SEDANG+</x:v>
      </x:c>
      <x:c r="N107" t="str">
        <x:v>REGULER</x:v>
      </x:c>
      <x:c r="O107" t="str">
        <x:v>SOSHUM</x:v>
      </x:c>
      <x:c r="P107" t="str">
        <x:v>HUKUM</x:v>
      </x:c>
      <x:c r="Q107" s="18" t="n">
        <x:v>0</x:v>
      </x:c>
      <x:c r="R107" s="18" t="n">
        <x:v>0</x:v>
      </x:c>
      <x:c r="S107" s="18" t="n">
        <x:v>538.1976509960987</x:v>
      </x:c>
      <x:c r="T107" s="18" t="n">
        <x:v>635</x:v>
      </x:c>
      <x:c r="U107" s="18" t="n">
        <x:v>553.1976509960987</x:v>
      </x:c>
      <x:c r="V107" s="20" t="n">
        <x:v>4.4</x:v>
      </x:c>
      <x:c r="W107" s="20" t="n">
        <x:v>14.3</x:v>
      </x:c>
      <x:c r="X107" s="20" t="n">
        <x:v>3.3</x:v>
      </x:c>
      <x:c r="Y107" t="str">
        <x:v>Basis arsip 2025/2024</x:v>
      </x:c>
      <x:c r="Z107" t="str">
        <x:v>https://snpmb.id/utbk-snbt/daya-tampung-snbt</x:v>
      </x:c>
      <x:c r="AA107" t="str">
        <x:v>Tidak Ada</x:v>
      </x:c>
      <x:c r="AB107" t="str">
        <x:v>Campus=55; Ratio=9.7; Prodi=65; RelDemand=27.8; Capacity=0.0</x:v>
      </x:c>
    </x:row>
    <x:row r="108">
      <x:c r="A108" t="n">
        <x:v>105</x:v>
      </x:c>
      <x:c r="B108" t="str">
        <x:v>PTN Akademik</x:v>
      </x:c>
      <x:c r="C108" t="str">
        <x:v>UNIVERSITAS MALIKUSSALEH</x:v>
      </x:c>
      <x:c r="D108" t="str">
        <x:v>EKONOMI SYARIAH</x:v>
      </x:c>
      <x:c r="E108" t="str">
        <x:v>Sarjana</x:v>
      </x:c>
      <x:c r="F108" s="18" t="n">
        <x:v>82</x:v>
      </x:c>
      <x:c r="G108" s="18" t="n">
        <x:v>130</x:v>
      </x:c>
      <x:c r="H108" s="19" t="n">
        <x:v>1.5853658536585367</x:v>
      </x:c>
      <x:c r="I108" s="18" t="n">
        <x:f>ROUND(MIN(Model_Config_v3!$B$6,MAX(Q108,R108,S108*Model_Config_v3!$B$4+T108*Model_Config_v3!$B$5)),0)</x:f>
        <x:v>606</x:v>
      </x:c>
      <x:c r="J108" s="18" t="n">
        <x:f>MIN(Model_Config_v3!$B$6,I108+Model_Config_v3!$B$7)</x:f>
        <x:v>626</x:v>
      </x:c>
      <x:c r="K108" s="20" t="n">
        <x:v>36.4</x:v>
      </x:c>
      <x:c r="L108" t="str">
        <x:v>RELATIF LONGGAR</x:v>
      </x:c>
      <x:c r="M108" t="str">
        <x:v>SEDANG</x:v>
      </x:c>
      <x:c r="N108" t="str">
        <x:v>REGULER</x:v>
      </x:c>
      <x:c r="O108" t="str">
        <x:v>SOSHUM</x:v>
      </x:c>
      <x:c r="P108" t="str">
        <x:v>UMUM</x:v>
      </x:c>
      <x:c r="Q108" s="18" t="n">
        <x:v>0</x:v>
      </x:c>
      <x:c r="R108" s="18" t="n">
        <x:v>0</x:v>
      </x:c>
      <x:c r="S108" s="18" t="n">
        <x:v>542.0142449915433</x:v>
      </x:c>
      <x:c r="T108" s="18" t="n">
        <x:v>633</x:v>
      </x:c>
      <x:c r="U108" s="18" t="n">
        <x:v>542.0142449915433</x:v>
      </x:c>
      <x:c r="V108" s="20" t="n">
        <x:v>4.4</x:v>
      </x:c>
      <x:c r="W108" s="20" t="n">
        <x:v>14.3</x:v>
      </x:c>
      <x:c r="X108" s="20" t="n">
        <x:v>3.3</x:v>
      </x:c>
      <x:c r="Y108" t="str">
        <x:v>Basis arsip 2025/2024</x:v>
      </x:c>
      <x:c r="Z108" t="str">
        <x:v>https://snpmb.id/utbk-snbt/daya-tampung-snbt</x:v>
      </x:c>
      <x:c r="AA108" t="str">
        <x:v>Tidak Ada</x:v>
      </x:c>
      <x:c r="AB108" t="str">
        <x:v>Campus=55; Ratio=11.8; Prodi=40; RelDemand=30.1; Capacity=31.7</x:v>
      </x:c>
    </x:row>
    <x:row r="109">
      <x:c r="A109" t="n">
        <x:v>106</x:v>
      </x:c>
      <x:c r="B109" t="str">
        <x:v>PTN Akademik</x:v>
      </x:c>
      <x:c r="C109" t="str">
        <x:v>UNIVERSITAS MALIKUSSALEH</x:v>
      </x:c>
      <x:c r="D109" t="str">
        <x:v>PSIKOLOGI</x:v>
      </x:c>
      <x:c r="E109" t="str">
        <x:v>Sarjana</x:v>
      </x:c>
      <x:c r="F109" s="18" t="n">
        <x:v>78</x:v>
      </x:c>
      <x:c r="G109" s="18" t="n">
        <x:v>329</x:v>
      </x:c>
      <x:c r="H109" s="19" t="n">
        <x:v>4.217948717948718</x:v>
      </x:c>
      <x:c r="I109" s="18" t="n">
        <x:f>ROUND(MIN(Model_Config_v3!$B$6,MAX(Q109,R109,S109*Model_Config_v3!$B$4+T109*Model_Config_v3!$B$5)),0)</x:f>
        <x:v>647</x:v>
      </x:c>
      <x:c r="J109" s="18" t="n">
        <x:f>MIN(Model_Config_v3!$B$6,I109+Model_Config_v3!$B$7)</x:f>
        <x:v>667</x:v>
      </x:c>
      <x:c r="K109" s="20" t="n">
        <x:v>55.9</x:v>
      </x:c>
      <x:c r="L109" t="str">
        <x:v>KETAT</x:v>
      </x:c>
      <x:c r="M109" t="str">
        <x:v>SEDANG+</x:v>
      </x:c>
      <x:c r="N109" t="str">
        <x:v>REGULER</x:v>
      </x:c>
      <x:c r="O109" t="str">
        <x:v>SOSHUM</x:v>
      </x:c>
      <x:c r="P109" t="str">
        <x:v>PSIKOLOGI</x:v>
      </x:c>
      <x:c r="Q109" s="18" t="n">
        <x:v>0</x:v>
      </x:c>
      <x:c r="R109" s="18" t="n">
        <x:v>0</x:v>
      </x:c>
      <x:c r="S109" s="18" t="n">
        <x:v>588.7611424785443</x:v>
      </x:c>
      <x:c r="T109" s="18" t="n">
        <x:v>672</x:v>
      </x:c>
      <x:c r="U109" s="18" t="n">
        <x:v>613.7611424785443</x:v>
      </x:c>
      <x:c r="V109" s="20" t="n">
        <x:v>4.4</x:v>
      </x:c>
      <x:c r="W109" s="20" t="n">
        <x:v>14.3</x:v>
      </x:c>
      <x:c r="X109" s="20" t="n">
        <x:v>3.3</x:v>
      </x:c>
      <x:c r="Y109" t="str">
        <x:v>Basis arsip 2025/2024</x:v>
      </x:c>
      <x:c r="Z109" t="str">
        <x:v>https://snpmb.id/utbk-snbt/daya-tampung-snbt</x:v>
      </x:c>
      <x:c r="AA109" t="str">
        <x:v>Tidak Ada</x:v>
      </x:c>
      <x:c r="AB109" t="str">
        <x:v>Campus=55; Ratio=36.8; Prodi=80; RelDemand=80.0; Capacity=35.0</x:v>
      </x:c>
    </x:row>
    <x:row r="110">
      <x:c r="A110" t="n">
        <x:v>107</x:v>
      </x:c>
      <x:c r="B110" t="str">
        <x:v>PTN Akademik</x:v>
      </x:c>
      <x:c r="C110" t="str">
        <x:v>UNIVERSITAS MALIKUSSALEH</x:v>
      </x:c>
      <x:c r="D110" t="str">
        <x:v>PENDIDIKAN BAHASA INDONESIA</x:v>
      </x:c>
      <x:c r="E110" t="str">
        <x:v>Sarjana</x:v>
      </x:c>
      <x:c r="F110" s="18" t="n">
        <x:v>72</x:v>
      </x:c>
      <x:c r="G110" s="18" t="n">
        <x:v>193</x:v>
      </x:c>
      <x:c r="H110" s="19" t="n">
        <x:v>2.6805555555555554</x:v>
      </x:c>
      <x:c r="I110" s="18" t="n">
        <x:f>ROUND(MIN(Model_Config_v3!$B$6,MAX(Q110,R110,S110*Model_Config_v3!$B$4+T110*Model_Config_v3!$B$5)),0)</x:f>
        <x:v>623</x:v>
      </x:c>
      <x:c r="J110" s="18" t="n">
        <x:f>MIN(Model_Config_v3!$B$6,I110+Model_Config_v3!$B$7)</x:f>
        <x:v>643</x:v>
      </x:c>
      <x:c r="K110" s="20" t="n">
        <x:v>43.6</x:v>
      </x:c>
      <x:c r="L110" t="str">
        <x:v>RELATIF LONGGAR</x:v>
      </x:c>
      <x:c r="M110" t="str">
        <x:v>SEDANG+</x:v>
      </x:c>
      <x:c r="N110" t="str">
        <x:v>REGULER</x:v>
      </x:c>
      <x:c r="O110" t="str">
        <x:v>SOSHUM</x:v>
      </x:c>
      <x:c r="P110" t="str">
        <x:v>PENDIDIKAN</x:v>
      </x:c>
      <x:c r="Q110" s="18" t="n">
        <x:v>0</x:v>
      </x:c>
      <x:c r="R110" s="18" t="n">
        <x:v>0</x:v>
      </x:c>
      <x:c r="S110" s="18" t="n">
        <x:v>567.1047293834156</x:v>
      </x:c>
      <x:c r="T110" s="18" t="n">
        <x:v>647</x:v>
      </x:c>
      <x:c r="U110" s="18" t="n">
        <x:v>567.1047293834156</x:v>
      </x:c>
      <x:c r="V110" s="20" t="n">
        <x:v>4.4</x:v>
      </x:c>
      <x:c r="W110" s="20" t="n">
        <x:v>14.3</x:v>
      </x:c>
      <x:c r="X110" s="20" t="n">
        <x:v>3.3</x:v>
      </x:c>
      <x:c r="Y110" t="str">
        <x:v>Basis arsip 2025/2024</x:v>
      </x:c>
      <x:c r="Z110" t="str">
        <x:v>https://snpmb.id/utbk-snbt/daya-tampung-snbt</x:v>
      </x:c>
      <x:c r="AA110" t="str">
        <x:v>Tidak Ada</x:v>
      </x:c>
      <x:c r="AB110" t="str">
        <x:v>Campus=55; Ratio=25.2; Prodi=45; RelDemand=50.8; Capacity=40.0</x:v>
      </x:c>
    </x:row>
    <x:row r="111">
      <x:c r="A111" t="n">
        <x:v>108</x:v>
      </x:c>
      <x:c r="B111" t="str">
        <x:v>PTN Akademik</x:v>
      </x:c>
      <x:c r="C111" t="str">
        <x:v>UNIVERSITAS MALIKUSSALEH</x:v>
      </x:c>
      <x:c r="D111" t="str">
        <x:v>ADMINISTRASI BISNIS</x:v>
      </x:c>
      <x:c r="E111" t="str">
        <x:v>Sarjana</x:v>
      </x:c>
      <x:c r="F111" s="18" t="n">
        <x:v>60</x:v>
      </x:c>
      <x:c r="G111" s="18" t="n">
        <x:v>184</x:v>
      </x:c>
      <x:c r="H111" s="19" t="n">
        <x:v>3.066666666666667</x:v>
      </x:c>
      <x:c r="I111" s="18" t="n">
        <x:f>ROUND(MIN(Model_Config_v3!$B$6,MAX(Q111,R111,S111*Model_Config_v3!$B$4+T111*Model_Config_v3!$B$5)),0)</x:f>
        <x:v>634</x:v>
      </x:c>
      <x:c r="J111" s="18" t="n">
        <x:f>MIN(Model_Config_v3!$B$6,I111+Model_Config_v3!$B$7)</x:f>
        <x:v>654</x:v>
      </x:c>
      <x:c r="K111" s="20" t="n">
        <x:v>50.2</x:v>
      </x:c>
      <x:c r="L111" t="str">
        <x:v>MENENGAH</x:v>
      </x:c>
      <x:c r="M111" t="str">
        <x:v>SEDANG+</x:v>
      </x:c>
      <x:c r="N111" t="str">
        <x:v>REGULER</x:v>
      </x:c>
      <x:c r="O111" t="str">
        <x:v>SOSHUM</x:v>
      </x:c>
      <x:c r="P111" t="str">
        <x:v>BISNIS/EKONOMI/AKUNTANSI</x:v>
      </x:c>
      <x:c r="Q111" s="18" t="n">
        <x:v>0</x:v>
      </x:c>
      <x:c r="R111" s="18" t="n">
        <x:v>0</x:v>
      </x:c>
      <x:c r="S111" s="18" t="n">
        <x:v>573.5333229888482</x:v>
      </x:c>
      <x:c r="T111" s="18" t="n">
        <x:v>660</x:v>
      </x:c>
      <x:c r="U111" s="18" t="n">
        <x:v>588.5333229888482</x:v>
      </x:c>
      <x:c r="V111" s="20" t="n">
        <x:v>4.4</x:v>
      </x:c>
      <x:c r="W111" s="20" t="n">
        <x:v>14.3</x:v>
      </x:c>
      <x:c r="X111" s="20" t="n">
        <x:v>3.3</x:v>
      </x:c>
      <x:c r="Y111" t="str">
        <x:v>Basis arsip 2025/2024</x:v>
      </x:c>
      <x:c r="Z111" t="str">
        <x:v>https://snpmb.id/utbk-snbt/daya-tampung-snbt</x:v>
      </x:c>
      <x:c r="AA111" t="str">
        <x:v>Tidak Ada</x:v>
      </x:c>
      <x:c r="AB111" t="str">
        <x:v>Campus=55; Ratio=28.6; Prodi=65; RelDemand=58.2; Capacity=50.0</x:v>
      </x:c>
    </x:row>
    <x:row r="112">
      <x:c r="A112" t="n">
        <x:v>109</x:v>
      </x:c>
      <x:c r="B112" t="str">
        <x:v>PTN Akademik</x:v>
      </x:c>
      <x:c r="C112" t="str">
        <x:v>UNIVERSITAS MALIKUSSALEH</x:v>
      </x:c>
      <x:c r="D112" t="str">
        <x:v>KEWIRUSAHAAN</x:v>
      </x:c>
      <x:c r="E112" t="str">
        <x:v>Sarjana</x:v>
      </x:c>
      <x:c r="F112" s="18" t="n">
        <x:v>48</x:v>
      </x:c>
      <x:c r="G112" s="18" t="n">
        <x:v>51</x:v>
      </x:c>
      <x:c r="H112" s="19" t="n">
        <x:v>1.0625</x:v>
      </x:c>
      <x:c r="I112" s="18" t="n">
        <x:f>ROUND(MIN(Model_Config_v3!$B$6,MAX(Q112,R112,S112*Model_Config_v3!$B$4+T112*Model_Config_v3!$B$5)),0)</x:f>
        <x:v>599</x:v>
      </x:c>
      <x:c r="J112" s="18" t="n">
        <x:f>MIN(Model_Config_v3!$B$6,I112+Model_Config_v3!$B$7)</x:f>
        <x:v>619</x:v>
      </x:c>
      <x:c r="K112" s="20" t="n">
        <x:v>35.7</x:v>
      </x:c>
      <x:c r="L112" t="str">
        <x:v>RELATIF LONGGAR</x:v>
      </x:c>
      <x:c r="M112" t="str">
        <x:v>SEDANG</x:v>
      </x:c>
      <x:c r="N112" t="str">
        <x:v>REGULER</x:v>
      </x:c>
      <x:c r="O112" t="str">
        <x:v>CAMPURAN</x:v>
      </x:c>
      <x:c r="P112" t="str">
        <x:v>UMUM</x:v>
      </x:c>
      <x:c r="Q112" s="18" t="n">
        <x:v>0</x:v>
      </x:c>
      <x:c r="R112" s="18" t="n">
        <x:v>0</x:v>
      </x:c>
      <x:c r="S112" s="18" t="n">
        <x:v>522.8961832594584</x:v>
      </x:c>
      <x:c r="T112" s="18" t="n">
        <x:v>631</x:v>
      </x:c>
      <x:c r="U112" s="18" t="n">
        <x:v>522.8961832594584</x:v>
      </x:c>
      <x:c r="V112" s="20" t="n">
        <x:v>8.8</x:v>
      </x:c>
      <x:c r="W112" s="20" t="n">
        <x:v>9.9</x:v>
      </x:c>
      <x:c r="X112" s="20" t="n">
        <x:v>3.3</x:v>
      </x:c>
      <x:c r="Y112" t="str">
        <x:v>Basis arsip 2025/2024</x:v>
      </x:c>
      <x:c r="Z112" t="str">
        <x:v>https://snpmb.id/utbk-snbt/daya-tampung-snbt</x:v>
      </x:c>
      <x:c r="AA112" t="str">
        <x:v>Tidak Ada</x:v>
      </x:c>
      <x:c r="AB112" t="str">
        <x:v>Campus=55; Ratio=1.5; Prodi=40; RelDemand=20.2; Capacity=60.0</x:v>
      </x:c>
    </x:row>
    <x:row r="113">
      <x:c r="A113" t="n">
        <x:v>110</x:v>
      </x:c>
      <x:c r="B113" t="str">
        <x:v>PTN Akademik</x:v>
      </x:c>
      <x:c r="C113" t="str">
        <x:v>UNIVERSITAS MALIKUSSALEH</x:v>
      </x:c>
      <x:c r="D113" t="str">
        <x:v>KEPERAWATAN</x:v>
      </x:c>
      <x:c r="E113" t="str">
        <x:v>Diploma Tiga</x:v>
      </x:c>
      <x:c r="F113" s="18" t="n">
        <x:v>40</x:v>
      </x:c>
      <x:c r="G113" s="18" t="n">
        <x:v>727</x:v>
      </x:c>
      <x:c r="H113" s="19" t="n">
        <x:v>18.175</x:v>
      </x:c>
      <x:c r="I113" s="18" t="n">
        <x:f>ROUND(MIN(Model_Config_v3!$B$6,MAX(Q113,R113,S113*Model_Config_v3!$B$4+T113*Model_Config_v3!$B$5)),0)</x:f>
        <x:v>681</x:v>
      </x:c>
      <x:c r="J113" s="18" t="n">
        <x:f>MIN(Model_Config_v3!$B$6,I113+Model_Config_v3!$B$7)</x:f>
        <x:v>701</x:v>
      </x:c>
      <x:c r="K113" s="20" t="n">
        <x:v>65.4</x:v>
      </x:c>
      <x:c r="L113" t="str">
        <x:v>SANGAT KETAT</x:v>
      </x:c>
      <x:c r="M113" t="str">
        <x:v>SEDANG+</x:v>
      </x:c>
      <x:c r="N113" t="str">
        <x:v>REGULER</x:v>
      </x:c>
      <x:c r="O113" t="str">
        <x:v>SAINTEK</x:v>
      </x:c>
      <x:c r="P113" t="str">
        <x:v>KESEHAT/GIZI/KEPERAWATAN</x:v>
      </x:c>
      <x:c r="Q113" s="18" t="n">
        <x:v>0</x:v>
      </x:c>
      <x:c r="R113" s="18" t="n">
        <x:v>0</x:v>
      </x:c>
      <x:c r="S113" s="18" t="n">
        <x:v>658.5421861484183</x:v>
      </x:c>
      <x:c r="T113" s="18" t="n">
        <x:v>691</x:v>
      </x:c>
      <x:c r="U113" s="18" t="n">
        <x:v>658.5421861484183</x:v>
      </x:c>
      <x:c r="V113" s="20" t="n">
        <x:v>12</x:v>
      </x:c>
      <x:c r="W113" s="20" t="n">
        <x:v>5</x:v>
      </x:c>
      <x:c r="X113" s="20" t="n">
        <x:v>3</x:v>
      </x:c>
      <x:c r="Y113" t="str">
        <x:v>Basis arsip 2025/2024</x:v>
      </x:c>
      <x:c r="Z113" t="str">
        <x:v>https://snpmb.id/utbk-snbt/daya-tampung-snbt</x:v>
      </x:c>
      <x:c r="AA113" t="str">
        <x:v>Tidak Ada</x:v>
      </x:c>
      <x:c r="AB113" t="str">
        <x:v>Campus=55; Ratio=74.1; Prodi=55; RelDemand=100.0; Capacity=66.7</x:v>
      </x:c>
    </x:row>
    <x:row r="114">
      <x:c r="A114" t="n">
        <x:v>111</x:v>
      </x:c>
      <x:c r="B114" t="str">
        <x:v>PTN Akademik</x:v>
      </x:c>
      <x:c r="C114" t="str">
        <x:v>UNIVERSITAS TEUKU UMAR</x:v>
      </x:c>
      <x:c r="D114" t="str">
        <x:v>TEKNIK SIPIL</x:v>
      </x:c>
      <x:c r="E114" t="str">
        <x:v>Sarjana</x:v>
      </x:c>
      <x:c r="F114" s="18" t="n">
        <x:v>75</x:v>
      </x:c>
      <x:c r="G114" s="18" t="n">
        <x:v>77</x:v>
      </x:c>
      <x:c r="H114" s="19" t="n">
        <x:v>1.0266666666666666</x:v>
      </x:c>
      <x:c r="I114" s="18" t="n">
        <x:f>ROUND(MIN(Model_Config_v3!$B$6,MAX(Q114,R114,S114*Model_Config_v3!$B$4+T114*Model_Config_v3!$B$5)),0)</x:f>
        <x:v>603</x:v>
      </x:c>
      <x:c r="J114" s="18" t="n">
        <x:f>MIN(Model_Config_v3!$B$6,I114+Model_Config_v3!$B$7)</x:f>
        <x:v>623</x:v>
      </x:c>
      <x:c r="K114" s="20" t="n">
        <x:v>38.8</x:v>
      </x:c>
      <x:c r="L114" t="str">
        <x:v>RELATIF LONGGAR</x:v>
      </x:c>
      <x:c r="M114" t="str">
        <x:v>SEDANG+</x:v>
      </x:c>
      <x:c r="N114" t="str">
        <x:v>REGULER</x:v>
      </x:c>
      <x:c r="O114" t="str">
        <x:v>SAINTEK</x:v>
      </x:c>
      <x:c r="P114" t="str">
        <x:v>TEKNIK/ARSITEKTUR/STATISTIKA/AKTUARIA</x:v>
      </x:c>
      <x:c r="Q114" s="18" t="n">
        <x:v>0</x:v>
      </x:c>
      <x:c r="R114" s="18" t="n">
        <x:v>0</x:v>
      </x:c>
      <x:c r="S114" s="18" t="n">
        <x:v>521.257240795886</x:v>
      </x:c>
      <x:c r="T114" s="18" t="n">
        <x:v>638</x:v>
      </x:c>
      <x:c r="U114" s="18" t="n">
        <x:v>531.257240795886</x:v>
      </x:c>
      <x:c r="V114" s="20" t="n">
        <x:v>12</x:v>
      </x:c>
      <x:c r="W114" s="20" t="n">
        <x:v>5</x:v>
      </x:c>
      <x:c r="X114" s="20" t="n">
        <x:v>3</x:v>
      </x:c>
      <x:c r="Y114" t="str">
        <x:v>Basis arsip 2025/2024</x:v>
      </x:c>
      <x:c r="Z114" t="str">
        <x:v>https://snpmb.id/utbk-snbt/daya-tampung-snbt</x:v>
      </x:c>
      <x:c r="AA114" t="str">
        <x:v>Tidak Ada</x:v>
      </x:c>
      <x:c r="AB114" t="str">
        <x:v>Campus=55; Ratio=0.7; Prodi=60; RelDemand=36.7; Capacity=37.5</x:v>
      </x:c>
    </x:row>
    <x:row r="115">
      <x:c r="A115" t="n">
        <x:v>112</x:v>
      </x:c>
      <x:c r="B115" t="str">
        <x:v>PTN Akademik</x:v>
      </x:c>
      <x:c r="C115" t="str">
        <x:v>UNIVERSITAS TEUKU UMAR</x:v>
      </x:c>
      <x:c r="D115" t="str">
        <x:v>TEKNIK MESIN</x:v>
      </x:c>
      <x:c r="E115" t="str">
        <x:v>Sarjana</x:v>
      </x:c>
      <x:c r="F115" s="18" t="n">
        <x:v>80</x:v>
      </x:c>
      <x:c r="G115" s="18" t="n">
        <x:v>69</x:v>
      </x:c>
      <x:c r="H115" s="19" t="n">
        <x:v>0.8625</x:v>
      </x:c>
      <x:c r="I115" s="18" t="n">
        <x:f>ROUND(MIN(Model_Config_v3!$B$6,MAX(Q115,R115,S115*Model_Config_v3!$B$4+T115*Model_Config_v3!$B$5)),0)</x:f>
        <x:v>601</x:v>
      </x:c>
      <x:c r="J115" s="18" t="n">
        <x:f>MIN(Model_Config_v3!$B$6,I115+Model_Config_v3!$B$7)</x:f>
        <x:v>621</x:v>
      </x:c>
      <x:c r="K115" s="20" t="n">
        <x:v>37.7</x:v>
      </x:c>
      <x:c r="L115" t="str">
        <x:v>RELATIF LONGGAR</x:v>
      </x:c>
      <x:c r="M115" t="str">
        <x:v>SEDANG+</x:v>
      </x:c>
      <x:c r="N115" t="str">
        <x:v>REGULER</x:v>
      </x:c>
      <x:c r="O115" t="str">
        <x:v>SAINTEK</x:v>
      </x:c>
      <x:c r="P115" t="str">
        <x:v>TEKNIK/ARSITEKTUR/STATISTIKA/AKTUARIA</x:v>
      </x:c>
      <x:c r="Q115" s="18" t="n">
        <x:v>0</x:v>
      </x:c>
      <x:c r="R115" s="18" t="n">
        <x:v>0</x:v>
      </x:c>
      <x:c r="S115" s="18" t="n">
        <x:v>520</x:v>
      </x:c>
      <x:c r="T115" s="18" t="n">
        <x:v>635</x:v>
      </x:c>
      <x:c r="U115" s="18" t="n">
        <x:v>530</x:v>
      </x:c>
      <x:c r="V115" s="20" t="n">
        <x:v>12</x:v>
      </x:c>
      <x:c r="W115" s="20" t="n">
        <x:v>5</x:v>
      </x:c>
      <x:c r="X115" s="20" t="n">
        <x:v>3</x:v>
      </x:c>
      <x:c r="Y115" t="str">
        <x:v>Basis arsip 2025/2024</x:v>
      </x:c>
      <x:c r="Z115" t="str">
        <x:v>https://snpmb.id/utbk-snbt/daya-tampung-snbt</x:v>
      </x:c>
      <x:c r="AA115" t="str">
        <x:v>Tidak Ada</x:v>
      </x:c>
      <x:c r="AB115" t="str">
        <x:v>Campus=55; Ratio=0.0; Prodi=60; RelDemand=30.8; Capacity=33.3</x:v>
      </x:c>
    </x:row>
    <x:row r="116">
      <x:c r="A116" t="n">
        <x:v>113</x:v>
      </x:c>
      <x:c r="B116" t="str">
        <x:v>PTN Akademik</x:v>
      </x:c>
      <x:c r="C116" t="str">
        <x:v>UNIVERSITAS TEUKU UMAR</x:v>
      </x:c>
      <x:c r="D116" t="str">
        <x:v>TEKNIK INDUSTRI</x:v>
      </x:c>
      <x:c r="E116" t="str">
        <x:v>Sarjana</x:v>
      </x:c>
      <x:c r="F116" s="18" t="n">
        <x:v>60</x:v>
      </x:c>
      <x:c r="G116" s="18" t="n">
        <x:v>101</x:v>
      </x:c>
      <x:c r="H116" s="19" t="n">
        <x:v>1.6833333333333333</x:v>
      </x:c>
      <x:c r="I116" s="18" t="n">
        <x:f>ROUND(MIN(Model_Config_v3!$B$6,MAX(Q116,R116,S116*Model_Config_v3!$B$4+T116*Model_Config_v3!$B$5)),0)</x:f>
        <x:v>619</x:v>
      </x:c>
      <x:c r="J116" s="18" t="n">
        <x:f>MIN(Model_Config_v3!$B$6,I116+Model_Config_v3!$B$7)</x:f>
        <x:v>639</x:v>
      </x:c>
      <x:c r="K116" s="20" t="n">
        <x:v>45.6</x:v>
      </x:c>
      <x:c r="L116" t="str">
        <x:v>MENENGAH</x:v>
      </x:c>
      <x:c r="M116" t="str">
        <x:v>SEDANG+</x:v>
      </x:c>
      <x:c r="N116" t="str">
        <x:v>REGULER</x:v>
      </x:c>
      <x:c r="O116" t="str">
        <x:v>SAINTEK</x:v>
      </x:c>
      <x:c r="P116" t="str">
        <x:v>TEKNIK/ARSITEKTUR/STATISTIKA/AKTUARIA</x:v>
      </x:c>
      <x:c r="Q116" s="18" t="n">
        <x:v>0</x:v>
      </x:c>
      <x:c r="R116" s="18" t="n">
        <x:v>0</x:v>
      </x:c>
      <x:c r="S116" s="18" t="n">
        <x:v>544.8787135738899</x:v>
      </x:c>
      <x:c r="T116" s="18" t="n">
        <x:v>651</x:v>
      </x:c>
      <x:c r="U116" s="18" t="n">
        <x:v>554.8787135738899</x:v>
      </x:c>
      <x:c r="V116" s="20" t="n">
        <x:v>12</x:v>
      </x:c>
      <x:c r="W116" s="20" t="n">
        <x:v>5</x:v>
      </x:c>
      <x:c r="X116" s="20" t="n">
        <x:v>3</x:v>
      </x:c>
      <x:c r="Y116" t="str">
        <x:v>Basis arsip 2025/2024</x:v>
      </x:c>
      <x:c r="Z116" t="str">
        <x:v>https://snpmb.id/utbk-snbt/daya-tampung-snbt</x:v>
      </x:c>
      <x:c r="AA116" t="str">
        <x:v>Tidak Ada</x:v>
      </x:c>
      <x:c r="AB116" t="str">
        <x:v>Campus=55; Ratio=13.3; Prodi=60; RelDemand=60.2; Capacity=50.0</x:v>
      </x:c>
    </x:row>
    <x:row r="117">
      <x:c r="A117" t="n">
        <x:v>114</x:v>
      </x:c>
      <x:c r="B117" t="str">
        <x:v>PTN Akademik</x:v>
      </x:c>
      <x:c r="C117" t="str">
        <x:v>UNIVERSITAS TEUKU UMAR</x:v>
      </x:c>
      <x:c r="D117" t="str">
        <x:v>AGRIBISNIS</x:v>
      </x:c>
      <x:c r="E117" t="str">
        <x:v>Sarjana</x:v>
      </x:c>
      <x:c r="F117" s="18" t="n">
        <x:v>60</x:v>
      </x:c>
      <x:c r="G117" s="18" t="n">
        <x:v>55</x:v>
      </x:c>
      <x:c r="H117" s="19" t="n">
        <x:v>0.9166666666666666</x:v>
      </x:c>
      <x:c r="I117" s="18" t="n">
        <x:f>ROUND(MIN(Model_Config_v3!$B$6,MAX(Q117,R117,S117*Model_Config_v3!$B$4+T117*Model_Config_v3!$B$5)),0)</x:f>
        <x:v>605</x:v>
      </x:c>
      <x:c r="J117" s="18" t="n">
        <x:f>MIN(Model_Config_v3!$B$6,I117+Model_Config_v3!$B$7)</x:f>
        <x:v>625</x:v>
      </x:c>
      <x:c r="K117" s="20" t="n">
        <x:v>40.5</x:v>
      </x:c>
      <x:c r="L117" t="str">
        <x:v>RELATIF LONGGAR</x:v>
      </x:c>
      <x:c r="M117" t="str">
        <x:v>SEDANG+</x:v>
      </x:c>
      <x:c r="N117" t="str">
        <x:v>REGULER</x:v>
      </x:c>
      <x:c r="O117" t="str">
        <x:v>SOSHUM</x:v>
      </x:c>
      <x:c r="P117" t="str">
        <x:v>BISNIS/EKONOMI/AKUNTANSI</x:v>
      </x:c>
      <x:c r="Q117" s="18" t="n">
        <x:v>0</x:v>
      </x:c>
      <x:c r="R117" s="18" t="n">
        <x:v>0</x:v>
      </x:c>
      <x:c r="S117" s="18" t="n">
        <x:v>520</x:v>
      </x:c>
      <x:c r="T117" s="18" t="n">
        <x:v>641</x:v>
      </x:c>
      <x:c r="U117" s="18" t="n">
        <x:v>535</x:v>
      </x:c>
      <x:c r="V117" s="20" t="n">
        <x:v>4.4</x:v>
      </x:c>
      <x:c r="W117" s="20" t="n">
        <x:v>14.3</x:v>
      </x:c>
      <x:c r="X117" s="20" t="n">
        <x:v>3.3</x:v>
      </x:c>
      <x:c r="Y117" t="str">
        <x:v>Basis arsip 2025/2024</x:v>
      </x:c>
      <x:c r="Z117" t="str">
        <x:v>https://snpmb.id/utbk-snbt/daya-tampung-snbt</x:v>
      </x:c>
      <x:c r="AA117" t="str">
        <x:v>Tidak Ada</x:v>
      </x:c>
      <x:c r="AB117" t="str">
        <x:v>Campus=55; Ratio=0.0; Prodi=65; RelDemand=32.8; Capacity=50.0</x:v>
      </x:c>
    </x:row>
    <x:row r="118">
      <x:c r="A118" t="n">
        <x:v>115</x:v>
      </x:c>
      <x:c r="B118" t="str">
        <x:v>PTN Akademik</x:v>
      </x:c>
      <x:c r="C118" t="str">
        <x:v>UNIVERSITAS TEUKU UMAR</x:v>
      </x:c>
      <x:c r="D118" t="str">
        <x:v>AGROTEKNOLOGI</x:v>
      </x:c>
      <x:c r="E118" t="str">
        <x:v>Sarjana</x:v>
      </x:c>
      <x:c r="F118" s="18" t="n">
        <x:v>50</x:v>
      </x:c>
      <x:c r="G118" s="18" t="n">
        <x:v>28</x:v>
      </x:c>
      <x:c r="H118" s="19" t="n">
        <x:v>0.56</x:v>
      </x:c>
      <x:c r="I118" s="18" t="n">
        <x:f>ROUND(MIN(Model_Config_v3!$B$6,MAX(Q118,R118,S118*Model_Config_v3!$B$4+T118*Model_Config_v3!$B$5)),0)</x:f>
        <x:v>597</x:v>
      </x:c>
      <x:c r="J118" s="18" t="n">
        <x:f>MIN(Model_Config_v3!$B$6,I118+Model_Config_v3!$B$7)</x:f>
        <x:v>617</x:v>
      </x:c>
      <x:c r="K118" s="20" t="n">
        <x:v>35.1</x:v>
      </x:c>
      <x:c r="L118" t="str">
        <x:v>RELATIF LONGGAR</x:v>
      </x:c>
      <x:c r="M118" t="str">
        <x:v>SEDANG</x:v>
      </x:c>
      <x:c r="N118" t="str">
        <x:v>REGULER</x:v>
      </x:c>
      <x:c r="O118" t="str">
        <x:v>SAINTEK</x:v>
      </x:c>
      <x:c r="P118" t="str">
        <x:v>UMUM</x:v>
      </x:c>
      <x:c r="Q118" s="18" t="n">
        <x:v>0</x:v>
      </x:c>
      <x:c r="R118" s="18" t="n">
        <x:v>0</x:v>
      </x:c>
      <x:c r="S118" s="18" t="n">
        <x:v>520</x:v>
      </x:c>
      <x:c r="T118" s="18" t="n">
        <x:v>630</x:v>
      </x:c>
      <x:c r="U118" s="18" t="n">
        <x:v>520</x:v>
      </x:c>
      <x:c r="V118" s="20" t="n">
        <x:v>12</x:v>
      </x:c>
      <x:c r="W118" s="20" t="n">
        <x:v>5</x:v>
      </x:c>
      <x:c r="X118" s="20" t="n">
        <x:v>3</x:v>
      </x:c>
      <x:c r="Y118" t="str">
        <x:v>Basis arsip 2025/2024</x:v>
      </x:c>
      <x:c r="Z118" t="str">
        <x:v>https://snpmb.id/utbk-snbt/daya-tampung-snbt</x:v>
      </x:c>
      <x:c r="AA118" t="str">
        <x:v>Tidak Ada</x:v>
      </x:c>
      <x:c r="AB118" t="str">
        <x:v>Campus=55; Ratio=0.0; Prodi=40; RelDemand=20.0; Capacity=58.3</x:v>
      </x:c>
    </x:row>
    <x:row r="119">
      <x:c r="A119" t="n">
        <x:v>116</x:v>
      </x:c>
      <x:c r="B119" t="str">
        <x:v>PTN Akademik</x:v>
      </x:c>
      <x:c r="C119" t="str">
        <x:v>UNIVERSITAS TEUKU UMAR</x:v>
      </x:c>
      <x:c r="D119" t="str">
        <x:v>PERIKANAN</x:v>
      </x:c>
      <x:c r="E119" t="str">
        <x:v>Sarjana</x:v>
      </x:c>
      <x:c r="F119" s="18" t="n">
        <x:v>30</x:v>
      </x:c>
      <x:c r="G119" s="18" t="n">
        <x:v>27</x:v>
      </x:c>
      <x:c r="H119" s="19" t="n">
        <x:v>0.9</x:v>
      </x:c>
      <x:c r="I119" s="18" t="n">
        <x:f>ROUND(MIN(Model_Config_v3!$B$6,MAX(Q119,R119,S119*Model_Config_v3!$B$4+T119*Model_Config_v3!$B$5)),0)</x:f>
        <x:v>601</x:v>
      </x:c>
      <x:c r="J119" s="18" t="n">
        <x:f>MIN(Model_Config_v3!$B$6,I119+Model_Config_v3!$B$7)</x:f>
        <x:v>621</x:v>
      </x:c>
      <x:c r="K119" s="20" t="n">
        <x:v>38</x:v>
      </x:c>
      <x:c r="L119" t="str">
        <x:v>RELATIF LONGGAR</x:v>
      </x:c>
      <x:c r="M119" t="str">
        <x:v>SEDANG</x:v>
      </x:c>
      <x:c r="N119" t="str">
        <x:v>REGULER</x:v>
      </x:c>
      <x:c r="O119" t="str">
        <x:v>SAINTEK</x:v>
      </x:c>
      <x:c r="P119" t="str">
        <x:v>UMUM</x:v>
      </x:c>
      <x:c r="Q119" s="18" t="n">
        <x:v>0</x:v>
      </x:c>
      <x:c r="R119" s="18" t="n">
        <x:v>0</x:v>
      </x:c>
      <x:c r="S119" s="18" t="n">
        <x:v>520</x:v>
      </x:c>
      <x:c r="T119" s="18" t="n">
        <x:v>636</x:v>
      </x:c>
      <x:c r="U119" s="18" t="n">
        <x:v>520</x:v>
      </x:c>
      <x:c r="V119" s="20" t="n">
        <x:v>12</x:v>
      </x:c>
      <x:c r="W119" s="20" t="n">
        <x:v>5</x:v>
      </x:c>
      <x:c r="X119" s="20" t="n">
        <x:v>3</x:v>
      </x:c>
      <x:c r="Y119" t="str">
        <x:v>Basis arsip 2025/2024</x:v>
      </x:c>
      <x:c r="Z119" t="str">
        <x:v>https://snpmb.id/utbk-snbt/daya-tampung-snbt</x:v>
      </x:c>
      <x:c r="AA119" t="str">
        <x:v>Tidak Ada</x:v>
      </x:c>
      <x:c r="AB119" t="str">
        <x:v>Campus=55; Ratio=0.0; Prodi=40; RelDemand=32.2; Capacity=75.0</x:v>
      </x:c>
    </x:row>
    <x:row r="120">
      <x:c r="A120" t="n">
        <x:v>117</x:v>
      </x:c>
      <x:c r="B120" t="str">
        <x:v>PTN Akademik</x:v>
      </x:c>
      <x:c r="C120" t="str">
        <x:v>UNIVERSITAS TEUKU UMAR</x:v>
      </x:c>
      <x:c r="D120" t="str">
        <x:v>KESEHATAN MASYARAKAT</x:v>
      </x:c>
      <x:c r="E120" t="str">
        <x:v>Sarjana</x:v>
      </x:c>
      <x:c r="F120" s="18" t="n">
        <x:v>80</x:v>
      </x:c>
      <x:c r="G120" s="18" t="n">
        <x:v>295</x:v>
      </x:c>
      <x:c r="H120" s="19" t="n">
        <x:v>3.6875</x:v>
      </x:c>
      <x:c r="I120" s="18" t="n">
        <x:f>ROUND(MIN(Model_Config_v3!$B$6,MAX(Q120,R120,S120*Model_Config_v3!$B$4+T120*Model_Config_v3!$B$5)),0)</x:f>
        <x:v>640</x:v>
      </x:c>
      <x:c r="J120" s="18" t="n">
        <x:f>MIN(Model_Config_v3!$B$6,I120+Model_Config_v3!$B$7)</x:f>
        <x:v>660</x:v>
      </x:c>
      <x:c r="K120" s="20" t="n">
        <x:v>51.9</x:v>
      </x:c>
      <x:c r="L120" t="str">
        <x:v>MENENGAH</x:v>
      </x:c>
      <x:c r="M120" t="str">
        <x:v>SEDANG+</x:v>
      </x:c>
      <x:c r="N120" t="str">
        <x:v>REGULER</x:v>
      </x:c>
      <x:c r="O120" t="str">
        <x:v>SAINTEK</x:v>
      </x:c>
      <x:c r="P120" t="str">
        <x:v>KESEHAT/GIZI/KEPERAWATAN</x:v>
      </x:c>
      <x:c r="Q120" s="18" t="n">
        <x:v>0</x:v>
      </x:c>
      <x:c r="R120" s="18" t="n">
        <x:v>0</x:v>
      </x:c>
      <x:c r="S120" s="18" t="n">
        <x:v>582.3405231884841</x:v>
      </x:c>
      <x:c r="T120" s="18" t="n">
        <x:v>664</x:v>
      </x:c>
      <x:c r="U120" s="18" t="n">
        <x:v>582.3405231884841</x:v>
      </x:c>
      <x:c r="V120" s="20" t="n">
        <x:v>12</x:v>
      </x:c>
      <x:c r="W120" s="20" t="n">
        <x:v>5</x:v>
      </x:c>
      <x:c r="X120" s="20" t="n">
        <x:v>3</x:v>
      </x:c>
      <x:c r="Y120" t="str">
        <x:v>Basis arsip 2025/2024</x:v>
      </x:c>
      <x:c r="Z120" t="str">
        <x:v>https://snpmb.id/utbk-snbt/daya-tampung-snbt</x:v>
      </x:c>
      <x:c r="AA120" t="str">
        <x:v>Tidak Ada</x:v>
      </x:c>
      <x:c r="AB120" t="str">
        <x:v>Campus=55; Ratio=33.4; Prodi=55; RelDemand=100.0; Capacity=33.3</x:v>
      </x:c>
    </x:row>
    <x:row r="121">
      <x:c r="A121" t="n">
        <x:v>118</x:v>
      </x:c>
      <x:c r="B121" t="str">
        <x:v>PTN Akademik</x:v>
      </x:c>
      <x:c r="C121" t="str">
        <x:v>UNIVERSITAS TEUKU UMAR</x:v>
      </x:c>
      <x:c r="D121" t="str">
        <x:v>AKUAKULTUR</x:v>
      </x:c>
      <x:c r="E121" t="str">
        <x:v>Sarjana</x:v>
      </x:c>
      <x:c r="F121" s="18" t="n">
        <x:v>20</x:v>
      </x:c>
      <x:c r="G121" s="18" t="n">
        <x:v>8</x:v>
      </x:c>
      <x:c r="H121" s="19" t="n">
        <x:v>0.4</x:v>
      </x:c>
      <x:c r="I121" s="18" t="n">
        <x:f>ROUND(MIN(Model_Config_v3!$B$6,MAX(Q121,R121,S121*Model_Config_v3!$B$4+T121*Model_Config_v3!$B$5)),0)</x:f>
        <x:v>600</x:v>
      </x:c>
      <x:c r="J121" s="18" t="n">
        <x:f>MIN(Model_Config_v3!$B$6,I121+Model_Config_v3!$B$7)</x:f>
        <x:v>620</x:v>
      </x:c>
      <x:c r="K121" s="20" t="n">
        <x:v>37</x:v>
      </x:c>
      <x:c r="L121" t="str">
        <x:v>RELATIF LONGGAR</x:v>
      </x:c>
      <x:c r="M121" t="str">
        <x:v>SEDANG</x:v>
      </x:c>
      <x:c r="N121" t="str">
        <x:v>REGULER</x:v>
      </x:c>
      <x:c r="O121" t="str">
        <x:v>CAMPURAN</x:v>
      </x:c>
      <x:c r="P121" t="str">
        <x:v>UMUM</x:v>
      </x:c>
      <x:c r="Q121" s="18" t="n">
        <x:v>0</x:v>
      </x:c>
      <x:c r="R121" s="18" t="n">
        <x:v>0</x:v>
      </x:c>
      <x:c r="S121" s="18" t="n">
        <x:v>520</x:v>
      </x:c>
      <x:c r="T121" s="18" t="n">
        <x:v>634</x:v>
      </x:c>
      <x:c r="U121" s="18" t="n">
        <x:v>520</x:v>
      </x:c>
      <x:c r="V121" s="20" t="n">
        <x:v>8.8</x:v>
      </x:c>
      <x:c r="W121" s="20" t="n">
        <x:v>9.9</x:v>
      </x:c>
      <x:c r="X121" s="20" t="n">
        <x:v>3.3</x:v>
      </x:c>
      <x:c r="Y121" t="str">
        <x:v>Basis arsip 2025/2024</x:v>
      </x:c>
      <x:c r="Z121" t="str">
        <x:v>https://snpmb.id/utbk-snbt/daya-tampung-snbt</x:v>
      </x:c>
      <x:c r="AA121" t="str">
        <x:v>Tidak Ada</x:v>
      </x:c>
      <x:c r="AB121" t="str">
        <x:v>Campus=55; Ratio=0.0; Prodi=40; RelDemand=14.3; Capacity=83.3</x:v>
      </x:c>
    </x:row>
    <x:row r="122">
      <x:c r="A122" t="n">
        <x:v>119</x:v>
      </x:c>
      <x:c r="B122" t="str">
        <x:v>PTN Akademik</x:v>
      </x:c>
      <x:c r="C122" t="str">
        <x:v>UNIVERSITAS TEUKU UMAR</x:v>
      </x:c>
      <x:c r="D122" t="str">
        <x:v>SUMBER DAYA AKUATIK</x:v>
      </x:c>
      <x:c r="E122" t="str">
        <x:v>Sarjana</x:v>
      </x:c>
      <x:c r="F122" s="18" t="n">
        <x:v>20</x:v>
      </x:c>
      <x:c r="G122" s="18" t="n">
        <x:v>3</x:v>
      </x:c>
      <x:c r="H122" s="19" t="n">
        <x:v>0.15</x:v>
      </x:c>
      <x:c r="I122" s="18" t="n">
        <x:f>ROUND(MIN(Model_Config_v3!$B$6,MAX(Q122,R122,S122*Model_Config_v3!$B$4+T122*Model_Config_v3!$B$5)),0)</x:f>
        <x:v>598</x:v>
      </x:c>
      <x:c r="J122" s="18" t="n">
        <x:f>MIN(Model_Config_v3!$B$6,I122+Model_Config_v3!$B$7)</x:f>
        <x:v>618</x:v>
      </x:c>
      <x:c r="K122" s="20" t="n">
        <x:v>36.1</x:v>
      </x:c>
      <x:c r="L122" t="str">
        <x:v>RELATIF LONGGAR</x:v>
      </x:c>
      <x:c r="M122" t="str">
        <x:v>SEDANG</x:v>
      </x:c>
      <x:c r="N122" t="str">
        <x:v>REGULER</x:v>
      </x:c>
      <x:c r="O122" t="str">
        <x:v>CAMPURAN</x:v>
      </x:c>
      <x:c r="P122" t="str">
        <x:v>UMUM</x:v>
      </x:c>
      <x:c r="Q122" s="18" t="n">
        <x:v>0</x:v>
      </x:c>
      <x:c r="R122" s="18" t="n">
        <x:v>0</x:v>
      </x:c>
      <x:c r="S122" s="18" t="n">
        <x:v>520</x:v>
      </x:c>
      <x:c r="T122" s="18" t="n">
        <x:v>632</x:v>
      </x:c>
      <x:c r="U122" s="18" t="n">
        <x:v>520</x:v>
      </x:c>
      <x:c r="V122" s="20" t="n">
        <x:v>8.8</x:v>
      </x:c>
      <x:c r="W122" s="20" t="n">
        <x:v>9.9</x:v>
      </x:c>
      <x:c r="X122" s="20" t="n">
        <x:v>3.3</x:v>
      </x:c>
      <x:c r="Y122" t="str">
        <x:v>Basis arsip 2025/2024</x:v>
      </x:c>
      <x:c r="Z122" t="str">
        <x:v>https://snpmb.id/utbk-snbt/daya-tampung-snbt</x:v>
      </x:c>
      <x:c r="AA122" t="str">
        <x:v>Tidak Ada</x:v>
      </x:c>
      <x:c r="AB122" t="str">
        <x:v>Campus=55; Ratio=0.0; Prodi=40; RelDemand=5.4; Capacity=83.3</x:v>
      </x:c>
    </x:row>
    <x:row r="123">
      <x:c r="A123" t="n">
        <x:v>120</x:v>
      </x:c>
      <x:c r="B123" t="str">
        <x:v>PTN Akademik</x:v>
      </x:c>
      <x:c r="C123" t="str">
        <x:v>UNIVERSITAS TEUKU UMAR</x:v>
      </x:c>
      <x:c r="D123" t="str">
        <x:v>TEKNOLOGI HASIL PERTANIAN</x:v>
      </x:c>
      <x:c r="E123" t="str">
        <x:v>Sarjana</x:v>
      </x:c>
      <x:c r="F123" s="18" t="n">
        <x:v>60</x:v>
      </x:c>
      <x:c r="G123" s="18" t="n">
        <x:v>29</x:v>
      </x:c>
      <x:c r="H123" s="19" t="n">
        <x:v>0.48333333333333334</x:v>
      </x:c>
      <x:c r="I123" s="18" t="n">
        <x:f>ROUND(MIN(Model_Config_v3!$B$6,MAX(Q123,R123,S123*Model_Config_v3!$B$4+T123*Model_Config_v3!$B$5)),0)</x:f>
        <x:v>596</x:v>
      </x:c>
      <x:c r="J123" s="18" t="n">
        <x:f>MIN(Model_Config_v3!$B$6,I123+Model_Config_v3!$B$7)</x:f>
        <x:v>616</x:v>
      </x:c>
      <x:c r="K123" s="20" t="n">
        <x:v>34</x:v>
      </x:c>
      <x:c r="L123" t="str">
        <x:v>RELATIF LONGGAR</x:v>
      </x:c>
      <x:c r="M123" t="str">
        <x:v>SEDANG</x:v>
      </x:c>
      <x:c r="N123" t="str">
        <x:v>REGULER</x:v>
      </x:c>
      <x:c r="O123" t="str">
        <x:v>SAINTEK</x:v>
      </x:c>
      <x:c r="P123" t="str">
        <x:v>UMUM</x:v>
      </x:c>
      <x:c r="Q123" s="18" t="n">
        <x:v>0</x:v>
      </x:c>
      <x:c r="R123" s="18" t="n">
        <x:v>0</x:v>
      </x:c>
      <x:c r="S123" s="18" t="n">
        <x:v>520</x:v>
      </x:c>
      <x:c r="T123" s="18" t="n">
        <x:v>628</x:v>
      </x:c>
      <x:c r="U123" s="18" t="n">
        <x:v>520</x:v>
      </x:c>
      <x:c r="V123" s="20" t="n">
        <x:v>12</x:v>
      </x:c>
      <x:c r="W123" s="20" t="n">
        <x:v>5</x:v>
      </x:c>
      <x:c r="X123" s="20" t="n">
        <x:v>3</x:v>
      </x:c>
      <x:c r="Y123" t="str">
        <x:v>Basis arsip 2025/2024</x:v>
      </x:c>
      <x:c r="Z123" t="str">
        <x:v>https://snpmb.id/utbk-snbt/daya-tampung-snbt</x:v>
      </x:c>
      <x:c r="AA123" t="str">
        <x:v>Tidak Ada</x:v>
      </x:c>
      <x:c r="AB123" t="str">
        <x:v>Campus=55; Ratio=0.0; Prodi=40; RelDemand=17.3; Capacity=50.0</x:v>
      </x:c>
    </x:row>
    <x:row r="124">
      <x:c r="A124" t="n">
        <x:v>121</x:v>
      </x:c>
      <x:c r="B124" t="str">
        <x:v>PTN Akademik</x:v>
      </x:c>
      <x:c r="C124" t="str">
        <x:v>UNIVERSITAS TEUKU UMAR</x:v>
      </x:c>
      <x:c r="D124" t="str">
        <x:v>ILMU KELAUTAN</x:v>
      </x:c>
      <x:c r="E124" t="str">
        <x:v>Sarjana</x:v>
      </x:c>
      <x:c r="F124" s="18" t="n">
        <x:v>20</x:v>
      </x:c>
      <x:c r="G124" s="18" t="n">
        <x:v>21</x:v>
      </x:c>
      <x:c r="H124" s="19" t="n">
        <x:v>1.05</x:v>
      </x:c>
      <x:c r="I124" s="18" t="n">
        <x:f>ROUND(MIN(Model_Config_v3!$B$6,MAX(Q124,R124,S124*Model_Config_v3!$B$4+T124*Model_Config_v3!$B$5)),0)</x:f>
        <x:v>604</x:v>
      </x:c>
      <x:c r="J124" s="18" t="n">
        <x:f>MIN(Model_Config_v3!$B$6,I124+Model_Config_v3!$B$7)</x:f>
        <x:v>624</x:v>
      </x:c>
      <x:c r="K124" s="20" t="n">
        <x:v>39.6</x:v>
      </x:c>
      <x:c r="L124" t="str">
        <x:v>RELATIF LONGGAR</x:v>
      </x:c>
      <x:c r="M124" t="str">
        <x:v>SEDANG</x:v>
      </x:c>
      <x:c r="N124" t="str">
        <x:v>REGULER</x:v>
      </x:c>
      <x:c r="O124" t="str">
        <x:v>SAINTEK</x:v>
      </x:c>
      <x:c r="P124" t="str">
        <x:v>UMUM</x:v>
      </x:c>
      <x:c r="Q124" s="18" t="n">
        <x:v>0</x:v>
      </x:c>
      <x:c r="R124" s="18" t="n">
        <x:v>0</x:v>
      </x:c>
      <x:c r="S124" s="18" t="n">
        <x:v>522.3308228976932</x:v>
      </x:c>
      <x:c r="T124" s="18" t="n">
        <x:v>639</x:v>
      </x:c>
      <x:c r="U124" s="18" t="n">
        <x:v>522.3308228976932</x:v>
      </x:c>
      <x:c r="V124" s="20" t="n">
        <x:v>12</x:v>
      </x:c>
      <x:c r="W124" s="20" t="n">
        <x:v>5</x:v>
      </x:c>
      <x:c r="X124" s="20" t="n">
        <x:v>3</x:v>
      </x:c>
      <x:c r="Y124" t="str">
        <x:v>Basis arsip 2025/2024</x:v>
      </x:c>
      <x:c r="Z124" t="str">
        <x:v>https://snpmb.id/utbk-snbt/daya-tampung-snbt</x:v>
      </x:c>
      <x:c r="AA124" t="str">
        <x:v>Tidak Ada</x:v>
      </x:c>
      <x:c r="AB124" t="str">
        <x:v>Campus=55; Ratio=1.2; Prodi=40; RelDemand=37.5; Capacity=83.3</x:v>
      </x:c>
    </x:row>
    <x:row r="125">
      <x:c r="A125" t="n">
        <x:v>122</x:v>
      </x:c>
      <x:c r="B125" t="str">
        <x:v>PTN Akademik</x:v>
      </x:c>
      <x:c r="C125" t="str">
        <x:v>UNIVERSITAS TEUKU UMAR</x:v>
      </x:c>
      <x:c r="D125" t="str">
        <x:v>TEKNOLOGI INFORMASI</x:v>
      </x:c>
      <x:c r="E125" t="str">
        <x:v>Sarjana</x:v>
      </x:c>
      <x:c r="F125" s="18" t="n">
        <x:v>60</x:v>
      </x:c>
      <x:c r="G125" s="18" t="n">
        <x:v>179</x:v>
      </x:c>
      <x:c r="H125" s="19" t="n">
        <x:v>2.9833333333333334</x:v>
      </x:c>
      <x:c r="I125" s="18" t="n">
        <x:f>ROUND(MIN(Model_Config_v3!$B$6,MAX(Q125,R125,S125*Model_Config_v3!$B$4+T125*Model_Config_v3!$B$5)),0)</x:f>
        <x:v>632</x:v>
      </x:c>
      <x:c r="J125" s="18" t="n">
        <x:f>MIN(Model_Config_v3!$B$6,I125+Model_Config_v3!$B$7)</x:f>
        <x:v>652</x:v>
      </x:c>
      <x:c r="K125" s="20" t="n">
        <x:v>49.2</x:v>
      </x:c>
      <x:c r="L125" t="str">
        <x:v>MENENGAH</x:v>
      </x:c>
      <x:c r="M125" t="str">
        <x:v>SEDANG</x:v>
      </x:c>
      <x:c r="N125" t="str">
        <x:v>REGULER</x:v>
      </x:c>
      <x:c r="O125" t="str">
        <x:v>SAINTEK</x:v>
      </x:c>
      <x:c r="P125" t="str">
        <x:v>UMUM</x:v>
      </x:c>
      <x:c r="Q125" s="18" t="n">
        <x:v>0</x:v>
      </x:c>
      <x:c r="R125" s="18" t="n">
        <x:v>0</x:v>
      </x:c>
      <x:c r="S125" s="18" t="n">
        <x:v>572.2171958655874</x:v>
      </x:c>
      <x:c r="T125" s="18" t="n">
        <x:v>658</x:v>
      </x:c>
      <x:c r="U125" s="18" t="n">
        <x:v>572.2171958655874</x:v>
      </x:c>
      <x:c r="V125" s="20" t="n">
        <x:v>12</x:v>
      </x:c>
      <x:c r="W125" s="20" t="n">
        <x:v>5</x:v>
      </x:c>
      <x:c r="X125" s="20" t="n">
        <x:v>3</x:v>
      </x:c>
      <x:c r="Y125" t="str">
        <x:v>Basis arsip 2025/2024</x:v>
      </x:c>
      <x:c r="Z125" t="str">
        <x:v>https://snpmb.id/utbk-snbt/daya-tampung-snbt</x:v>
      </x:c>
      <x:c r="AA125" t="str">
        <x:v>Tidak Ada</x:v>
      </x:c>
      <x:c r="AB125" t="str">
        <x:v>Campus=55; Ratio=27.9; Prodi=40; RelDemand=100.0; Capacity=50.0</x:v>
      </x:c>
    </x:row>
    <x:row r="126">
      <x:c r="A126" t="n">
        <x:v>123</x:v>
      </x:c>
      <x:c r="B126" t="str">
        <x:v>PTN Akademik</x:v>
      </x:c>
      <x:c r="C126" t="str">
        <x:v>UNIVERSITAS TEUKU UMAR</x:v>
      </x:c>
      <x:c r="D126" t="str">
        <x:v>GIZI</x:v>
      </x:c>
      <x:c r="E126" t="str">
        <x:v>Sarjana</x:v>
      </x:c>
      <x:c r="F126" s="18" t="n">
        <x:v>80</x:v>
      </x:c>
      <x:c r="G126" s="18" t="n">
        <x:v>312</x:v>
      </x:c>
      <x:c r="H126" s="19" t="n">
        <x:v>3.9</x:v>
      </x:c>
      <x:c r="I126" s="18" t="n">
        <x:f>ROUND(MIN(Model_Config_v3!$B$6,MAX(Q126,R126,S126*Model_Config_v3!$B$4+T126*Model_Config_v3!$B$5)),0)</x:f>
        <x:v>641</x:v>
      </x:c>
      <x:c r="J126" s="18" t="n">
        <x:f>MIN(Model_Config_v3!$B$6,I126+Model_Config_v3!$B$7)</x:f>
        <x:v>661</x:v>
      </x:c>
      <x:c r="K126" s="20" t="n">
        <x:v>52.3</x:v>
      </x:c>
      <x:c r="L126" t="str">
        <x:v>MENENGAH</x:v>
      </x:c>
      <x:c r="M126" t="str">
        <x:v>SEDANG+</x:v>
      </x:c>
      <x:c r="N126" t="str">
        <x:v>REGULER</x:v>
      </x:c>
      <x:c r="O126" t="str">
        <x:v>SAINTEK</x:v>
      </x:c>
      <x:c r="P126" t="str">
        <x:v>KESEHAT/GIZI/KEPERAWATAN</x:v>
      </x:c>
      <x:c r="Q126" s="18" t="n">
        <x:v>0</x:v>
      </x:c>
      <x:c r="R126" s="18" t="n">
        <x:v>0</x:v>
      </x:c>
      <x:c r="S126" s="18" t="n">
        <x:v>585.0171067729149</x:v>
      </x:c>
      <x:c r="T126" s="18" t="n">
        <x:v>665</x:v>
      </x:c>
      <x:c r="U126" s="18" t="n">
        <x:v>585.0171067729149</x:v>
      </x:c>
      <x:c r="V126" s="20" t="n">
        <x:v>12</x:v>
      </x:c>
      <x:c r="W126" s="20" t="n">
        <x:v>5</x:v>
      </x:c>
      <x:c r="X126" s="20" t="n">
        <x:v>3</x:v>
      </x:c>
      <x:c r="Y126" t="str">
        <x:v>Basis arsip 2025/2024</x:v>
      </x:c>
      <x:c r="Z126" t="str">
        <x:v>https://snpmb.id/utbk-snbt/daya-tampung-snbt</x:v>
      </x:c>
      <x:c r="AA126" t="str">
        <x:v>Tidak Ada</x:v>
      </x:c>
      <x:c r="AB126" t="str">
        <x:v>Campus=55; Ratio=34.8; Prodi=55; RelDemand=100.0; Capacity=33.3</x:v>
      </x:c>
    </x:row>
    <x:row r="127">
      <x:c r="A127" t="n">
        <x:v>124</x:v>
      </x:c>
      <x:c r="B127" t="str">
        <x:v>PTN Akademik</x:v>
      </x:c>
      <x:c r="C127" t="str">
        <x:v>UNIVERSITAS TEUKU UMAR</x:v>
      </x:c>
      <x:c r="D127" t="str">
        <x:v>EKONOMI PEMBANGUNAN</x:v>
      </x:c>
      <x:c r="E127" t="str">
        <x:v>Sarjana</x:v>
      </x:c>
      <x:c r="F127" s="18" t="n">
        <x:v>35</x:v>
      </x:c>
      <x:c r="G127" s="18" t="n">
        <x:v>29</x:v>
      </x:c>
      <x:c r="H127" s="19" t="n">
        <x:v>0.8285714285714286</x:v>
      </x:c>
      <x:c r="I127" s="18" t="n">
        <x:f>ROUND(MIN(Model_Config_v3!$B$6,MAX(Q127,R127,S127*Model_Config_v3!$B$4+T127*Model_Config_v3!$B$5)),0)</x:f>
        <x:v>608</x:v>
      </x:c>
      <x:c r="J127" s="18" t="n">
        <x:f>MIN(Model_Config_v3!$B$6,I127+Model_Config_v3!$B$7)</x:f>
        <x:v>628</x:v>
      </x:c>
      <x:c r="K127" s="20" t="n">
        <x:v>42.3</x:v>
      </x:c>
      <x:c r="L127" t="str">
        <x:v>RELATIF LONGGAR</x:v>
      </x:c>
      <x:c r="M127" t="str">
        <x:v>SEDANG+</x:v>
      </x:c>
      <x:c r="N127" t="str">
        <x:v>REGULER</x:v>
      </x:c>
      <x:c r="O127" t="str">
        <x:v>SOSHUM</x:v>
      </x:c>
      <x:c r="P127" t="str">
        <x:v>BISNIS/EKONOMI/AKUNTANSI</x:v>
      </x:c>
      <x:c r="Q127" s="18" t="n">
        <x:v>0</x:v>
      </x:c>
      <x:c r="R127" s="18" t="n">
        <x:v>0</x:v>
      </x:c>
      <x:c r="S127" s="18" t="n">
        <x:v>520</x:v>
      </x:c>
      <x:c r="T127" s="18" t="n">
        <x:v>645</x:v>
      </x:c>
      <x:c r="U127" s="18" t="n">
        <x:v>520</x:v>
      </x:c>
      <x:c r="V127" s="20" t="n">
        <x:v>4.4</x:v>
      </x:c>
      <x:c r="W127" s="20" t="n">
        <x:v>14.3</x:v>
      </x:c>
      <x:c r="X127" s="20" t="n">
        <x:v>3.3</x:v>
      </x:c>
      <x:c r="Y127" t="str">
        <x:v>Basis arsip 2025/2024</x:v>
      </x:c>
      <x:c r="Z127" t="str">
        <x:v>https://snpmb.id/utbk-snbt/daya-tampung-snbt</x:v>
      </x:c>
      <x:c r="AA127" t="str">
        <x:v>Tidak Ada</x:v>
      </x:c>
      <x:c r="AB127" t="str">
        <x:v>Campus=55; Ratio=0.0; Prodi=65; RelDemand=29.6; Capacity=70.8</x:v>
      </x:c>
    </x:row>
    <x:row r="128">
      <x:c r="A128" t="n">
        <x:v>125</x:v>
      </x:c>
      <x:c r="B128" t="str">
        <x:v>PTN Akademik</x:v>
      </x:c>
      <x:c r="C128" t="str">
        <x:v>UNIVERSITAS TEUKU UMAR</x:v>
      </x:c>
      <x:c r="D128" t="str">
        <x:v>ILMU ADMINISTRASI NEGARA</x:v>
      </x:c>
      <x:c r="E128" t="str">
        <x:v>Sarjana</x:v>
      </x:c>
      <x:c r="F128" s="18" t="n">
        <x:v>90</x:v>
      </x:c>
      <x:c r="G128" s="18" t="n">
        <x:v>154</x:v>
      </x:c>
      <x:c r="H128" s="19" t="n">
        <x:v>1.711111111111111</x:v>
      </x:c>
      <x:c r="I128" s="18" t="n">
        <x:f>ROUND(MIN(Model_Config_v3!$B$6,MAX(Q128,R128,S128*Model_Config_v3!$B$4+T128*Model_Config_v3!$B$5)),0)</x:f>
        <x:v>611</x:v>
      </x:c>
      <x:c r="J128" s="18" t="n">
        <x:f>MIN(Model_Config_v3!$B$6,I128+Model_Config_v3!$B$7)</x:f>
        <x:v>631</x:v>
      </x:c>
      <x:c r="K128" s="20" t="n">
        <x:v>39.3</x:v>
      </x:c>
      <x:c r="L128" t="str">
        <x:v>RELATIF LONGGAR</x:v>
      </x:c>
      <x:c r="M128" t="str">
        <x:v>SEDANG</x:v>
      </x:c>
      <x:c r="N128" t="str">
        <x:v>REGULER</x:v>
      </x:c>
      <x:c r="O128" t="str">
        <x:v>SOSHUM</x:v>
      </x:c>
      <x:c r="P128" t="str">
        <x:v>UMUM</x:v>
      </x:c>
      <x:c r="Q128" s="18" t="n">
        <x:v>0</x:v>
      </x:c>
      <x:c r="R128" s="18" t="n">
        <x:v>0</x:v>
      </x:c>
      <x:c r="S128" s="18" t="n">
        <x:v>545.6606032536852</x:v>
      </x:c>
      <x:c r="T128" s="18" t="n">
        <x:v>639</x:v>
      </x:c>
      <x:c r="U128" s="18" t="n">
        <x:v>545.6606032536852</x:v>
      </x:c>
      <x:c r="V128" s="20" t="n">
        <x:v>4.4</x:v>
      </x:c>
      <x:c r="W128" s="20" t="n">
        <x:v>14.3</x:v>
      </x:c>
      <x:c r="X128" s="20" t="n">
        <x:v>3.3</x:v>
      </x:c>
      <x:c r="Y128" t="str">
        <x:v>Basis arsip 2025/2024</x:v>
      </x:c>
      <x:c r="Z128" t="str">
        <x:v>https://snpmb.id/utbk-snbt/daya-tampung-snbt</x:v>
      </x:c>
      <x:c r="AA128" t="str">
        <x:v>Tidak Ada</x:v>
      </x:c>
      <x:c r="AB128" t="str">
        <x:v>Campus=55; Ratio=13.7; Prodi=40; RelDemand=61.2; Capacity=25.0</x:v>
      </x:c>
    </x:row>
    <x:row r="129">
      <x:c r="A129" t="n">
        <x:v>126</x:v>
      </x:c>
      <x:c r="B129" t="str">
        <x:v>PTN Akademik</x:v>
      </x:c>
      <x:c r="C129" t="str">
        <x:v>UNIVERSITAS TEUKU UMAR</x:v>
      </x:c>
      <x:c r="D129" t="str">
        <x:v>SOSIOLOGI</x:v>
      </x:c>
      <x:c r="E129" t="str">
        <x:v>Sarjana</x:v>
      </x:c>
      <x:c r="F129" s="18" t="n">
        <x:v>60</x:v>
      </x:c>
      <x:c r="G129" s="18" t="n">
        <x:v>75</x:v>
      </x:c>
      <x:c r="H129" s="19" t="n">
        <x:v>1.25</x:v>
      </x:c>
      <x:c r="I129" s="18" t="n">
        <x:f>ROUND(MIN(Model_Config_v3!$B$6,MAX(Q129,R129,S129*Model_Config_v3!$B$4+T129*Model_Config_v3!$B$5)),0)</x:f>
        <x:v>604</x:v>
      </x:c>
      <x:c r="J129" s="18" t="n">
        <x:f>MIN(Model_Config_v3!$B$6,I129+Model_Config_v3!$B$7)</x:f>
        <x:v>624</x:v>
      </x:c>
      <x:c r="K129" s="20" t="n">
        <x:v>38.1</x:v>
      </x:c>
      <x:c r="L129" t="str">
        <x:v>RELATIF LONGGAR</x:v>
      </x:c>
      <x:c r="M129" t="str">
        <x:v>SEDANG</x:v>
      </x:c>
      <x:c r="N129" t="str">
        <x:v>REGULER</x:v>
      </x:c>
      <x:c r="O129" t="str">
        <x:v>SOSHUM</x:v>
      </x:c>
      <x:c r="P129" t="str">
        <x:v>UMUM</x:v>
      </x:c>
      <x:c r="Q129" s="18" t="n">
        <x:v>0</x:v>
      </x:c>
      <x:c r="R129" s="18" t="n">
        <x:v>0</x:v>
      </x:c>
      <x:c r="S129" s="18" t="n">
        <x:v>530.6601014308862</x:v>
      </x:c>
      <x:c r="T129" s="18" t="n">
        <x:v>636</x:v>
      </x:c>
      <x:c r="U129" s="18" t="n">
        <x:v>530.6601014308862</x:v>
      </x:c>
      <x:c r="V129" s="20" t="n">
        <x:v>4.4</x:v>
      </x:c>
      <x:c r="W129" s="20" t="n">
        <x:v>14.3</x:v>
      </x:c>
      <x:c r="X129" s="20" t="n">
        <x:v>3.3</x:v>
      </x:c>
      <x:c r="Y129" t="str">
        <x:v>Basis arsip 2025/2024</x:v>
      </x:c>
      <x:c r="Z129" t="str">
        <x:v>https://snpmb.id/utbk-snbt/daya-tampung-snbt</x:v>
      </x:c>
      <x:c r="AA129" t="str">
        <x:v>Tidak Ada</x:v>
      </x:c>
      <x:c r="AB129" t="str">
        <x:v>Campus=55; Ratio=5.7; Prodi=40; RelDemand=44.7; Capacity=50.0</x:v>
      </x:c>
    </x:row>
    <x:row r="130">
      <x:c r="A130" t="n">
        <x:v>127</x:v>
      </x:c>
      <x:c r="B130" t="str">
        <x:v>PTN Akademik</x:v>
      </x:c>
      <x:c r="C130" t="str">
        <x:v>UNIVERSITAS TEUKU UMAR</x:v>
      </x:c>
      <x:c r="D130" t="str">
        <x:v>ILMU KOMUNIKASI</x:v>
      </x:c>
      <x:c r="E130" t="str">
        <x:v>Sarjana</x:v>
      </x:c>
      <x:c r="F130" s="18" t="n">
        <x:v>90</x:v>
      </x:c>
      <x:c r="G130" s="18" t="n">
        <x:v>117</x:v>
      </x:c>
      <x:c r="H130" s="19" t="n">
        <x:v>1.3</x:v>
      </x:c>
      <x:c r="I130" s="18" t="n">
        <x:f>ROUND(MIN(Model_Config_v3!$B$6,MAX(Q130,R130,S130*Model_Config_v3!$B$4+T130*Model_Config_v3!$B$5)),0)</x:f>
        <x:v>602</x:v>
      </x:c>
      <x:c r="J130" s="18" t="n">
        <x:f>MIN(Model_Config_v3!$B$6,I130+Model_Config_v3!$B$7)</x:f>
        <x:v>622</x:v>
      </x:c>
      <x:c r="K130" s="20" t="n">
        <x:v>36.1</x:v>
      </x:c>
      <x:c r="L130" t="str">
        <x:v>RELATIF LONGGAR</x:v>
      </x:c>
      <x:c r="M130" t="str">
        <x:v>SEDANG</x:v>
      </x:c>
      <x:c r="N130" t="str">
        <x:v>REGULER</x:v>
      </x:c>
      <x:c r="O130" t="str">
        <x:v>SOSHUM</x:v>
      </x:c>
      <x:c r="P130" t="str">
        <x:v>UMUM</x:v>
      </x:c>
      <x:c r="Q130" s="18" t="n">
        <x:v>0</x:v>
      </x:c>
      <x:c r="R130" s="18" t="n">
        <x:v>0</x:v>
      </x:c>
      <x:c r="S130" s="18" t="n">
        <x:v>532.533768753752</x:v>
      </x:c>
      <x:c r="T130" s="18" t="n">
        <x:v>632</x:v>
      </x:c>
      <x:c r="U130" s="18" t="n">
        <x:v>532.533768753752</x:v>
      </x:c>
      <x:c r="V130" s="20" t="n">
        <x:v>4.4</x:v>
      </x:c>
      <x:c r="W130" s="20" t="n">
        <x:v>14.3</x:v>
      </x:c>
      <x:c r="X130" s="20" t="n">
        <x:v>3.3</x:v>
      </x:c>
      <x:c r="Y130" t="str">
        <x:v>Basis arsip 2025/2024</x:v>
      </x:c>
      <x:c r="Z130" t="str">
        <x:v>https://snpmb.id/utbk-snbt/daya-tampung-snbt</x:v>
      </x:c>
      <x:c r="AA130" t="str">
        <x:v>Tidak Ada</x:v>
      </x:c>
      <x:c r="AB130" t="str">
        <x:v>Campus=55; Ratio=6.7; Prodi=40; RelDemand=46.5; Capacity=25.0</x:v>
      </x:c>
    </x:row>
    <x:row r="131">
      <x:c r="A131" t="n">
        <x:v>128</x:v>
      </x:c>
      <x:c r="B131" t="str">
        <x:v>PTN Akademik</x:v>
      </x:c>
      <x:c r="C131" t="str">
        <x:v>UNIVERSITAS TEUKU UMAR</x:v>
      </x:c>
      <x:c r="D131" t="str">
        <x:v>MANAJEMEN</x:v>
      </x:c>
      <x:c r="E131" t="str">
        <x:v>Sarjana</x:v>
      </x:c>
      <x:c r="F131" s="18" t="n">
        <x:v>90</x:v>
      </x:c>
      <x:c r="G131" s="18" t="n">
        <x:v>205</x:v>
      </x:c>
      <x:c r="H131" s="19" t="n">
        <x:v>2.2777777777777777</x:v>
      </x:c>
      <x:c r="I131" s="18" t="n">
        <x:f>ROUND(MIN(Model_Config_v3!$B$6,MAX(Q131,R131,S131*Model_Config_v3!$B$4+T131*Model_Config_v3!$B$5)),0)</x:f>
        <x:v>627</x:v>
      </x:c>
      <x:c r="J131" s="18" t="n">
        <x:f>MIN(Model_Config_v3!$B$6,I131+Model_Config_v3!$B$7)</x:f>
        <x:v>647</x:v>
      </x:c>
      <x:c r="K131" s="20" t="n">
        <x:v>48.2</x:v>
      </x:c>
      <x:c r="L131" t="str">
        <x:v>MENENGAH</x:v>
      </x:c>
      <x:c r="M131" t="str">
        <x:v>SEDANG+</x:v>
      </x:c>
      <x:c r="N131" t="str">
        <x:v>REGULER</x:v>
      </x:c>
      <x:c r="O131" t="str">
        <x:v>SOSHUM</x:v>
      </x:c>
      <x:c r="P131" t="str">
        <x:v>BISNIS/EKONOMI/AKUNTANSI</x:v>
      </x:c>
      <x:c r="Q131" s="18" t="n">
        <x:v>0</x:v>
      </x:c>
      <x:c r="R131" s="18" t="n">
        <x:v>0</x:v>
      </x:c>
      <x:c r="S131" s="18" t="n">
        <x:v>559.3262486778073</x:v>
      </x:c>
      <x:c r="T131" s="18" t="n">
        <x:v>656</x:v>
      </x:c>
      <x:c r="U131" s="18" t="n">
        <x:v>574.3262486778073</x:v>
      </x:c>
      <x:c r="V131" s="20" t="n">
        <x:v>4.4</x:v>
      </x:c>
      <x:c r="W131" s="20" t="n">
        <x:v>14.3</x:v>
      </x:c>
      <x:c r="X131" s="20" t="n">
        <x:v>3.3</x:v>
      </x:c>
      <x:c r="Y131" t="str">
        <x:v>Basis arsip 2025/2024</x:v>
      </x:c>
      <x:c r="Z131" t="str">
        <x:v>https://snpmb.id/utbk-snbt/daya-tampung-snbt</x:v>
      </x:c>
      <x:c r="AA131" t="str">
        <x:v>Tidak Ada</x:v>
      </x:c>
      <x:c r="AB131" t="str">
        <x:v>Campus=55; Ratio=21.0; Prodi=65; RelDemand=81.4; Capacity=25.0</x:v>
      </x:c>
    </x:row>
    <x:row r="132">
      <x:c r="A132" t="n">
        <x:v>129</x:v>
      </x:c>
      <x:c r="B132" t="str">
        <x:v>PTN Akademik</x:v>
      </x:c>
      <x:c r="C132" t="str">
        <x:v>UNIVERSITAS TEUKU UMAR</x:v>
      </x:c>
      <x:c r="D132" t="str">
        <x:v>AKUNTANSI</x:v>
      </x:c>
      <x:c r="E132" t="str">
        <x:v>Sarjana</x:v>
      </x:c>
      <x:c r="F132" s="18" t="n">
        <x:v>90</x:v>
      </x:c>
      <x:c r="G132" s="18" t="n">
        <x:v>96</x:v>
      </x:c>
      <x:c r="H132" s="19" t="n">
        <x:v>1.0666666666666667</x:v>
      </x:c>
      <x:c r="I132" s="18" t="n">
        <x:f>ROUND(MIN(Model_Config_v3!$B$6,MAX(Q132,R132,S132*Model_Config_v3!$B$4+T132*Model_Config_v3!$B$5)),0)</x:f>
        <x:v>604</x:v>
      </x:c>
      <x:c r="J132" s="18" t="n">
        <x:f>MIN(Model_Config_v3!$B$6,I132+Model_Config_v3!$B$7)</x:f>
        <x:v>624</x:v>
      </x:c>
      <x:c r="K132" s="20" t="n">
        <x:v>39</x:v>
      </x:c>
      <x:c r="L132" t="str">
        <x:v>RELATIF LONGGAR</x:v>
      </x:c>
      <x:c r="M132" t="str">
        <x:v>SEDANG+</x:v>
      </x:c>
      <x:c r="N132" t="str">
        <x:v>REGULER</x:v>
      </x:c>
      <x:c r="O132" t="str">
        <x:v>SOSHUM</x:v>
      </x:c>
      <x:c r="P132" t="str">
        <x:v>BISNIS/EKONOMI/AKUNTANSI</x:v>
      </x:c>
      <x:c r="Q132" s="18" t="n">
        <x:v>0</x:v>
      </x:c>
      <x:c r="R132" s="18" t="n">
        <x:v>0</x:v>
      </x:c>
      <x:c r="S132" s="18" t="n">
        <x:v>523.0831595960268</x:v>
      </x:c>
      <x:c r="T132" s="18" t="n">
        <x:v>638</x:v>
      </x:c>
      <x:c r="U132" s="18" t="n">
        <x:v>523.0831595960268</x:v>
      </x:c>
      <x:c r="V132" s="20" t="n">
        <x:v>4.4</x:v>
      </x:c>
      <x:c r="W132" s="20" t="n">
        <x:v>14.3</x:v>
      </x:c>
      <x:c r="X132" s="20" t="n">
        <x:v>3.3</x:v>
      </x:c>
      <x:c r="Y132" t="str">
        <x:v>Basis arsip 2025/2024</x:v>
      </x:c>
      <x:c r="Z132" t="str">
        <x:v>https://snpmb.id/utbk-snbt/daya-tampung-snbt</x:v>
      </x:c>
      <x:c r="AA132" t="str">
        <x:v>Tidak Ada</x:v>
      </x:c>
      <x:c r="AB132" t="str">
        <x:v>Campus=55; Ratio=1.6; Prodi=65; RelDemand=38.1; Capacity=25.0</x:v>
      </x:c>
    </x:row>
    <x:row r="133">
      <x:c r="A133" t="n">
        <x:v>130</x:v>
      </x:c>
      <x:c r="B133" t="str">
        <x:v>PTN Akademik</x:v>
      </x:c>
      <x:c r="C133" t="str">
        <x:v>UNIVERSITAS TEUKU UMAR</x:v>
      </x:c>
      <x:c r="D133" t="str">
        <x:v>ILMU HUKUM</x:v>
      </x:c>
      <x:c r="E133" t="str">
        <x:v>Sarjana</x:v>
      </x:c>
      <x:c r="F133" s="18" t="n">
        <x:v>90</x:v>
      </x:c>
      <x:c r="G133" s="18" t="n">
        <x:v>116</x:v>
      </x:c>
      <x:c r="H133" s="19" t="n">
        <x:v>1.288888888888889</x:v>
      </x:c>
      <x:c r="I133" s="18" t="n">
        <x:f>ROUND(MIN(Model_Config_v3!$B$6,MAX(Q133,R133,S133*Model_Config_v3!$B$4+T133*Model_Config_v3!$B$5)),0)</x:f>
        <x:v>609</x:v>
      </x:c>
      <x:c r="J133" s="18" t="n">
        <x:f>MIN(Model_Config_v3!$B$6,I133+Model_Config_v3!$B$7)</x:f>
        <x:v>629</x:v>
      </x:c>
      <x:c r="K133" s="20" t="n">
        <x:v>41</x:v>
      </x:c>
      <x:c r="L133" t="str">
        <x:v>RELATIF LONGGAR</x:v>
      </x:c>
      <x:c r="M133" t="str">
        <x:v>SEDANG+</x:v>
      </x:c>
      <x:c r="N133" t="str">
        <x:v>REGULER</x:v>
      </x:c>
      <x:c r="O133" t="str">
        <x:v>SOSHUM</x:v>
      </x:c>
      <x:c r="P133" t="str">
        <x:v>HUKUM</x:v>
      </x:c>
      <x:c r="Q133" s="18" t="n">
        <x:v>0</x:v>
      </x:c>
      <x:c r="R133" s="18" t="n">
        <x:v>0</x:v>
      </x:c>
      <x:c r="S133" s="18" t="n">
        <x:v>532.1237027766354</x:v>
      </x:c>
      <x:c r="T133" s="18" t="n">
        <x:v>642</x:v>
      </x:c>
      <x:c r="U133" s="18" t="n">
        <x:v>547.1237027766354</x:v>
      </x:c>
      <x:c r="V133" s="20" t="n">
        <x:v>4.4</x:v>
      </x:c>
      <x:c r="W133" s="20" t="n">
        <x:v>14.3</x:v>
      </x:c>
      <x:c r="X133" s="20" t="n">
        <x:v>3.3</x:v>
      </x:c>
      <x:c r="Y133" t="str">
        <x:v>Basis arsip 2025/2024</x:v>
      </x:c>
      <x:c r="Z133" t="str">
        <x:v>https://snpmb.id/utbk-snbt/daya-tampung-snbt</x:v>
      </x:c>
      <x:c r="AA133" t="str">
        <x:v>Tidak Ada</x:v>
      </x:c>
      <x:c r="AB133" t="str">
        <x:v>Campus=55; Ratio=6.5; Prodi=65; RelDemand=46.1; Capacity=25.0</x:v>
      </x:c>
    </x:row>
    <x:row r="134">
      <x:c r="A134" t="n">
        <x:v>131</x:v>
      </x:c>
      <x:c r="B134" t="str">
        <x:v>PTN Akademik</x:v>
      </x:c>
      <x:c r="C134" t="str">
        <x:v>UNIVERSITAS TEUKU UMAR</x:v>
      </x:c>
      <x:c r="D134" t="str">
        <x:v>PETERNAKAN</x:v>
      </x:c>
      <x:c r="E134" t="str">
        <x:v>Sarjana</x:v>
      </x:c>
      <x:c r="F134" s="18" t="n">
        <x:v>30</x:v>
      </x:c>
      <x:c r="G134" s="18" t="n">
        <x:v>22</x:v>
      </x:c>
      <x:c r="H134" s="19" t="n">
        <x:v>0.7333333333333333</x:v>
      </x:c>
      <x:c r="I134" s="18" t="n">
        <x:f>ROUND(MIN(Model_Config_v3!$B$6,MAX(Q134,R134,S134*Model_Config_v3!$B$4+T134*Model_Config_v3!$B$5)),0)</x:f>
        <x:v>601</x:v>
      </x:c>
      <x:c r="J134" s="18" t="n">
        <x:f>MIN(Model_Config_v3!$B$6,I134+Model_Config_v3!$B$7)</x:f>
        <x:v>621</x:v>
      </x:c>
      <x:c r="K134" s="20" t="n">
        <x:v>37.4</x:v>
      </x:c>
      <x:c r="L134" t="str">
        <x:v>RELATIF LONGGAR</x:v>
      </x:c>
      <x:c r="M134" t="str">
        <x:v>SEDANG</x:v>
      </x:c>
      <x:c r="N134" t="str">
        <x:v>REGULER</x:v>
      </x:c>
      <x:c r="O134" t="str">
        <x:v>SAINTEK</x:v>
      </x:c>
      <x:c r="P134" t="str">
        <x:v>UMUM</x:v>
      </x:c>
      <x:c r="Q134" s="18" t="n">
        <x:v>0</x:v>
      </x:c>
      <x:c r="R134" s="18" t="n">
        <x:v>0</x:v>
      </x:c>
      <x:c r="S134" s="18" t="n">
        <x:v>520</x:v>
      </x:c>
      <x:c r="T134" s="18" t="n">
        <x:v>635</x:v>
      </x:c>
      <x:c r="U134" s="18" t="n">
        <x:v>520</x:v>
      </x:c>
      <x:c r="V134" s="20" t="n">
        <x:v>12</x:v>
      </x:c>
      <x:c r="W134" s="20" t="n">
        <x:v>5</x:v>
      </x:c>
      <x:c r="X134" s="20" t="n">
        <x:v>3</x:v>
      </x:c>
      <x:c r="Y134" t="str">
        <x:v>Basis arsip 2025/2024</x:v>
      </x:c>
      <x:c r="Z134" t="str">
        <x:v>https://snpmb.id/utbk-snbt/daya-tampung-snbt</x:v>
      </x:c>
      <x:c r="AA134" t="str">
        <x:v>Tidak Ada</x:v>
      </x:c>
      <x:c r="AB134" t="str">
        <x:v>Campus=55; Ratio=0.0; Prodi=40; RelDemand=26.2; Capacity=75.0</x:v>
      </x:c>
    </x:row>
    <x:row r="135">
      <x:c r="A135" t="n">
        <x:v>132</x:v>
      </x:c>
      <x:c r="B135" t="str">
        <x:v>PTN Akademik</x:v>
      </x:c>
      <x:c r="C135" t="str">
        <x:v>UNIVERSITAS TEUKU UMAR</x:v>
      </x:c>
      <x:c r="D135" t="str">
        <x:v>BISNIS DIGITAL</x:v>
      </x:c>
      <x:c r="E135" t="str">
        <x:v>Sarjana</x:v>
      </x:c>
      <x:c r="F135" s="18" t="n">
        <x:v>40</x:v>
      </x:c>
      <x:c r="G135" s="18" t="n">
        <x:v>80</x:v>
      </x:c>
      <x:c r="H135" s="19" t="n">
        <x:v>2</x:v>
      </x:c>
      <x:c r="I135" s="18" t="n">
        <x:f>ROUND(MIN(Model_Config_v3!$B$6,MAX(Q135,R135,S135*Model_Config_v3!$B$4+T135*Model_Config_v3!$B$5)),0)</x:f>
        <x:v>629</x:v>
      </x:c>
      <x:c r="J135" s="18" t="n">
        <x:f>MIN(Model_Config_v3!$B$6,I135+Model_Config_v3!$B$7)</x:f>
        <x:v>649</x:v>
      </x:c>
      <x:c r="K135" s="20" t="n">
        <x:v>50.5</x:v>
      </x:c>
      <x:c r="L135" t="str">
        <x:v>MENENGAH</x:v>
      </x:c>
      <x:c r="M135" t="str">
        <x:v>SEDANG+</x:v>
      </x:c>
      <x:c r="N135" t="str">
        <x:v>REGULER</x:v>
      </x:c>
      <x:c r="O135" t="str">
        <x:v>SOSHUM</x:v>
      </x:c>
      <x:c r="P135" t="str">
        <x:v>BISNIS/EKONOMI/AKUNTANSI</x:v>
      </x:c>
      <x:c r="Q135" s="18" t="n">
        <x:v>0</x:v>
      </x:c>
      <x:c r="R135" s="18" t="n">
        <x:v>0</x:v>
      </x:c>
      <x:c r="S135" s="18" t="n">
        <x:v>553.1132995230379</x:v>
      </x:c>
      <x:c r="T135" s="18" t="n">
        <x:v>661</x:v>
      </x:c>
      <x:c r="U135" s="18" t="n">
        <x:v>568.1132995230379</x:v>
      </x:c>
      <x:c r="V135" s="20" t="n">
        <x:v>4.4</x:v>
      </x:c>
      <x:c r="W135" s="20" t="n">
        <x:v>14.3</x:v>
      </x:c>
      <x:c r="X135" s="20" t="n">
        <x:v>3.3</x:v>
      </x:c>
      <x:c r="Y135" t="str">
        <x:v>Basis arsip 2025/2024</x:v>
      </x:c>
      <x:c r="Z135" t="str">
        <x:v>https://snpmb.id/utbk-snbt/daya-tampung-snbt</x:v>
      </x:c>
      <x:c r="AA135" t="str">
        <x:v>Tidak Ada</x:v>
      </x:c>
      <x:c r="AB135" t="str">
        <x:v>Campus=55; Ratio=17.7; Prodi=65; RelDemand=71.5; Capacity=66.7</x:v>
      </x:c>
    </x:row>
    <x:row r="136">
      <x:c r="A136" t="n">
        <x:v>133</x:v>
      </x:c>
      <x:c r="B136" t="str">
        <x:v>PTN Akademik</x:v>
      </x:c>
      <x:c r="C136" t="str">
        <x:v>UNIVERSITAS TEUKU UMAR</x:v>
      </x:c>
      <x:c r="D136" t="str">
        <x:v>KESELAMATAN DAN KESEHATAN KERJA</x:v>
      </x:c>
      <x:c r="E136" t="str">
        <x:v>Sarjana</x:v>
      </x:c>
      <x:c r="F136" s="18" t="n">
        <x:v>40</x:v>
      </x:c>
      <x:c r="G136" s="18" t="n">
        <x:v>100</x:v>
      </x:c>
      <x:c r="H136" s="19" t="n">
        <x:v>2.5</x:v>
      </x:c>
      <x:c r="I136" s="18" t="n">
        <x:f>ROUND(MIN(Model_Config_v3!$B$6,MAX(Q136,R136,S136*Model_Config_v3!$B$4+T136*Model_Config_v3!$B$5)),0)</x:f>
        <x:v>633</x:v>
      </x:c>
      <x:c r="J136" s="18" t="n">
        <x:f>MIN(Model_Config_v3!$B$6,I136+Model_Config_v3!$B$7)</x:f>
        <x:v>653</x:v>
      </x:c>
      <x:c r="K136" s="20" t="n">
        <x:v>51.7</x:v>
      </x:c>
      <x:c r="L136" t="str">
        <x:v>MENENGAH</x:v>
      </x:c>
      <x:c r="M136" t="str">
        <x:v>SEDANG+</x:v>
      </x:c>
      <x:c r="N136" t="str">
        <x:v>REGULER</x:v>
      </x:c>
      <x:c r="O136" t="str">
        <x:v>SAINTEK</x:v>
      </x:c>
      <x:c r="P136" t="str">
        <x:v>KESEHAT/GIZI/KEPERAWATAN</x:v>
      </x:c>
      <x:c r="Q136" s="18" t="n">
        <x:v>0</x:v>
      </x:c>
      <x:c r="R136" s="18" t="n">
        <x:v>0</x:v>
      </x:c>
      <x:c r="S136" s="18" t="n">
        <x:v>563.7734009539241</x:v>
      </x:c>
      <x:c r="T136" s="18" t="n">
        <x:v>663</x:v>
      </x:c>
      <x:c r="U136" s="18" t="n">
        <x:v>563.7734009539241</x:v>
      </x:c>
      <x:c r="V136" s="20" t="n">
        <x:v>12</x:v>
      </x:c>
      <x:c r="W136" s="20" t="n">
        <x:v>5</x:v>
      </x:c>
      <x:c r="X136" s="20" t="n">
        <x:v>3</x:v>
      </x:c>
      <x:c r="Y136" t="str">
        <x:v>Basis arsip 2025/2024</x:v>
      </x:c>
      <x:c r="Z136" t="str">
        <x:v>https://snpmb.id/utbk-snbt/daya-tampung-snbt</x:v>
      </x:c>
      <x:c r="AA136" t="str">
        <x:v>Tidak Ada</x:v>
      </x:c>
      <x:c r="AB136" t="str">
        <x:v>Campus=55; Ratio=23.4; Prodi=55; RelDemand=89.4; Capacity=66.7</x:v>
      </x:c>
    </x:row>
    <x:row r="137">
      <x:c r="A137" t="n">
        <x:v>134</x:v>
      </x:c>
      <x:c r="B137" t="str">
        <x:v>PTN Akademik</x:v>
      </x:c>
      <x:c r="C137" t="str">
        <x:v>UNIVERSITAS TEUKU UMAR</x:v>
      </x:c>
      <x:c r="D137" t="str">
        <x:v>BAHASA DAN KEBUDAYAAN INGGRIS</x:v>
      </x:c>
      <x:c r="E137" t="str">
        <x:v>Sarjana</x:v>
      </x:c>
      <x:c r="F137" s="18" t="n">
        <x:v>30</x:v>
      </x:c>
      <x:c r="G137" s="18"/>
      <x:c r="H137" s="19" t="n">
        <x:v>0</x:v>
      </x:c>
      <x:c r="I137" s="18" t="n">
        <x:f>ROUND(MIN(Model_Config_v3!$B$6,MAX(Q137,R137,S137*Model_Config_v3!$B$4+T137*Model_Config_v3!$B$5)),0)</x:f>
        <x:v>597</x:v>
      </x:c>
      <x:c r="J137" s="18" t="n">
        <x:f>MIN(Model_Config_v3!$B$6,I137+Model_Config_v3!$B$7)</x:f>
        <x:v>617</x:v>
      </x:c>
      <x:c r="K137" s="20" t="n">
        <x:v>34.8</x:v>
      </x:c>
      <x:c r="L137" t="str">
        <x:v>RELATIF LONGGAR</x:v>
      </x:c>
      <x:c r="M137" t="str">
        <x:v>RENDAH</x:v>
      </x:c>
      <x:c r="N137" t="str">
        <x:v>REGULER</x:v>
      </x:c>
      <x:c r="O137" t="str">
        <x:v>SOSHUM</x:v>
      </x:c>
      <x:c r="P137" t="str">
        <x:v>UMUM</x:v>
      </x:c>
      <x:c r="Q137" s="18" t="n">
        <x:v>0</x:v>
      </x:c>
      <x:c r="R137" s="18" t="n">
        <x:v>0</x:v>
      </x:c>
      <x:c r="S137" s="18" t="n">
        <x:v>520</x:v>
      </x:c>
      <x:c r="T137" s="18" t="n">
        <x:v>630</x:v>
      </x:c>
      <x:c r="U137" s="18" t="n">
        <x:v>520</x:v>
      </x:c>
      <x:c r="V137" s="20" t="n">
        <x:v>4.4</x:v>
      </x:c>
      <x:c r="W137" s="20" t="n">
        <x:v>14.3</x:v>
      </x:c>
      <x:c r="X137" s="20" t="n">
        <x:v>3.3</x:v>
      </x:c>
      <x:c r="Y137" t="str">
        <x:v>Basis arsip 2025/2024</x:v>
      </x:c>
      <x:c r="Z137" t="str">
        <x:v>https://snpmb.id/utbk-snbt/daya-tampung-snbt</x:v>
      </x:c>
      <x:c r="AA137" t="str">
        <x:v>Tidak Ada</x:v>
      </x:c>
      <x:c r="AB137" t="str">
        <x:v>Campus=55; Ratio=0.0; Prodi=40; RelDemand=0.0; Capacity=75.0</x:v>
      </x:c>
    </x:row>
    <x:row r="138">
      <x:c r="A138" t="n">
        <x:v>135</x:v>
      </x:c>
      <x:c r="B138" t="str">
        <x:v>PTN Akademik</x:v>
      </x:c>
      <x:c r="C138" t="str">
        <x:v>UNIVERSITAS SAMUDRA</x:v>
      </x:c>
      <x:c r="D138" t="str">
        <x:v>AGROTEKNOLOGI</x:v>
      </x:c>
      <x:c r="E138" t="str">
        <x:v>Sarjana</x:v>
      </x:c>
      <x:c r="F138" s="18" t="n">
        <x:v>48</x:v>
      </x:c>
      <x:c r="G138" s="18" t="n">
        <x:v>68</x:v>
      </x:c>
      <x:c r="H138" s="19" t="n">
        <x:v>1.4166666666666667</x:v>
      </x:c>
      <x:c r="I138" s="18" t="n">
        <x:f>ROUND(MIN(Model_Config_v3!$B$6,MAX(Q138,R138,S138*Model_Config_v3!$B$4+T138*Model_Config_v3!$B$5)),0)</x:f>
        <x:v>610</x:v>
      </x:c>
      <x:c r="J138" s="18" t="n">
        <x:f>MIN(Model_Config_v3!$B$6,I138+Model_Config_v3!$B$7)</x:f>
        <x:v>630</x:v>
      </x:c>
      <x:c r="K138" s="20" t="n">
        <x:v>40.3</x:v>
      </x:c>
      <x:c r="L138" t="str">
        <x:v>RELATIF LONGGAR</x:v>
      </x:c>
      <x:c r="M138" t="str">
        <x:v>SEDANG</x:v>
      </x:c>
      <x:c r="N138" t="str">
        <x:v>REGULER</x:v>
      </x:c>
      <x:c r="O138" t="str">
        <x:v>SAINTEK</x:v>
      </x:c>
      <x:c r="P138" t="str">
        <x:v>UMUM</x:v>
      </x:c>
      <x:c r="Q138" s="18" t="n">
        <x:v>0</x:v>
      </x:c>
      <x:c r="R138" s="18" t="n">
        <x:v>0</x:v>
      </x:c>
      <x:c r="S138" s="18" t="n">
        <x:v>536.6394442863714</x:v>
      </x:c>
      <x:c r="T138" s="18" t="n">
        <x:v>641</x:v>
      </x:c>
      <x:c r="U138" s="18" t="n">
        <x:v>536.6394442863714</x:v>
      </x:c>
      <x:c r="V138" s="20" t="n">
        <x:v>12</x:v>
      </x:c>
      <x:c r="W138" s="20" t="n">
        <x:v>5</x:v>
      </x:c>
      <x:c r="X138" s="20" t="n">
        <x:v>3</x:v>
      </x:c>
      <x:c r="Y138" t="str">
        <x:v>Basis arsip 2025/2024</x:v>
      </x:c>
      <x:c r="Z138" t="str">
        <x:v>https://snpmb.id/utbk-snbt/daya-tampung-snbt</x:v>
      </x:c>
      <x:c r="AA138" t="str">
        <x:v>Tidak Ada</x:v>
      </x:c>
      <x:c r="AB138" t="str">
        <x:v>Campus=55; Ratio=8.9; Prodi=40; RelDemand=47.8; Capacity=60.0</x:v>
      </x:c>
    </x:row>
    <x:row r="139">
      <x:c r="A139" t="n">
        <x:v>136</x:v>
      </x:c>
      <x:c r="B139" t="str">
        <x:v>PTN Akademik</x:v>
      </x:c>
      <x:c r="C139" t="str">
        <x:v>UNIVERSITAS SAMUDRA</x:v>
      </x:c>
      <x:c r="D139" t="str">
        <x:v>AGRIBISNIS</x:v>
      </x:c>
      <x:c r="E139" t="str">
        <x:v>Sarjana</x:v>
      </x:c>
      <x:c r="F139" s="18" t="n">
        <x:v>60</x:v>
      </x:c>
      <x:c r="G139" s="18" t="n">
        <x:v>109</x:v>
      </x:c>
      <x:c r="H139" s="19" t="n">
        <x:v>1.8166666666666667</x:v>
      </x:c>
      <x:c r="I139" s="18" t="n">
        <x:f>ROUND(MIN(Model_Config_v3!$B$6,MAX(Q139,R139,S139*Model_Config_v3!$B$4+T139*Model_Config_v3!$B$5)),0)</x:f>
        <x:v>622</x:v>
      </x:c>
      <x:c r="J139" s="18" t="n">
        <x:f>MIN(Model_Config_v3!$B$6,I139+Model_Config_v3!$B$7)</x:f>
        <x:v>642</x:v>
      </x:c>
      <x:c r="K139" s="20" t="n">
        <x:v>47.2</x:v>
      </x:c>
      <x:c r="L139" t="str">
        <x:v>MENENGAH</x:v>
      </x:c>
      <x:c r="M139" t="str">
        <x:v>SEDANG+</x:v>
      </x:c>
      <x:c r="N139" t="str">
        <x:v>REGULER</x:v>
      </x:c>
      <x:c r="O139" t="str">
        <x:v>SOSHUM</x:v>
      </x:c>
      <x:c r="P139" t="str">
        <x:v>BISNIS/EKONOMI/AKUNTANSI</x:v>
      </x:c>
      <x:c r="Q139" s="18" t="n">
        <x:v>0</x:v>
      </x:c>
      <x:c r="R139" s="18" t="n">
        <x:v>0</x:v>
      </x:c>
      <x:c r="S139" s="18" t="n">
        <x:v>548.5202772312678</x:v>
      </x:c>
      <x:c r="T139" s="18" t="n">
        <x:v>654</x:v>
      </x:c>
      <x:c r="U139" s="18" t="n">
        <x:v>563.5202772312678</x:v>
      </x:c>
      <x:c r="V139" s="20" t="n">
        <x:v>4.4</x:v>
      </x:c>
      <x:c r="W139" s="20" t="n">
        <x:v>14.3</x:v>
      </x:c>
      <x:c r="X139" s="20" t="n">
        <x:v>3.3</x:v>
      </x:c>
      <x:c r="Y139" t="str">
        <x:v>Basis arsip 2025/2024</x:v>
      </x:c>
      <x:c r="Z139" t="str">
        <x:v>https://snpmb.id/utbk-snbt/daya-tampung-snbt</x:v>
      </x:c>
      <x:c r="AA139" t="str">
        <x:v>Tidak Ada</x:v>
      </x:c>
      <x:c r="AB139" t="str">
        <x:v>Campus=55; Ratio=15.3; Prodi=65; RelDemand=61.3; Capacity=50.0</x:v>
      </x:c>
    </x:row>
    <x:row r="140">
      <x:c r="A140" t="n">
        <x:v>137</x:v>
      </x:c>
      <x:c r="B140" t="str">
        <x:v>PTN Akademik</x:v>
      </x:c>
      <x:c r="C140" t="str">
        <x:v>UNIVERSITAS SAMUDRA</x:v>
      </x:c>
      <x:c r="D140" t="str">
        <x:v>AKUAKULTUR</x:v>
      </x:c>
      <x:c r="E140" t="str">
        <x:v>Sarjana</x:v>
      </x:c>
      <x:c r="F140" s="18" t="n">
        <x:v>24</x:v>
      </x:c>
      <x:c r="G140" s="18" t="n">
        <x:v>17</x:v>
      </x:c>
      <x:c r="H140" s="19" t="n">
        <x:v>0.7083333333333334</x:v>
      </x:c>
      <x:c r="I140" s="18" t="n">
        <x:f>ROUND(MIN(Model_Config_v3!$B$6,MAX(Q140,R140,S140*Model_Config_v3!$B$4+T140*Model_Config_v3!$B$5)),0)</x:f>
        <x:v>601</x:v>
      </x:c>
      <x:c r="J140" s="18" t="n">
        <x:f>MIN(Model_Config_v3!$B$6,I140+Model_Config_v3!$B$7)</x:f>
        <x:v>621</x:v>
      </x:c>
      <x:c r="K140" s="20" t="n">
        <x:v>37.6</x:v>
      </x:c>
      <x:c r="L140" t="str">
        <x:v>RELATIF LONGGAR</x:v>
      </x:c>
      <x:c r="M140" t="str">
        <x:v>SEDANG</x:v>
      </x:c>
      <x:c r="N140" t="str">
        <x:v>REGULER</x:v>
      </x:c>
      <x:c r="O140" t="str">
        <x:v>CAMPURAN</x:v>
      </x:c>
      <x:c r="P140" t="str">
        <x:v>UMUM</x:v>
      </x:c>
      <x:c r="Q140" s="18" t="n">
        <x:v>0</x:v>
      </x:c>
      <x:c r="R140" s="18" t="n">
        <x:v>0</x:v>
      </x:c>
      <x:c r="S140" s="18" t="n">
        <x:v>520</x:v>
      </x:c>
      <x:c r="T140" s="18" t="n">
        <x:v>635</x:v>
      </x:c>
      <x:c r="U140" s="18" t="n">
        <x:v>520</x:v>
      </x:c>
      <x:c r="V140" s="20" t="n">
        <x:v>8.8</x:v>
      </x:c>
      <x:c r="W140" s="20" t="n">
        <x:v>9.9</x:v>
      </x:c>
      <x:c r="X140" s="20" t="n">
        <x:v>3.3</x:v>
      </x:c>
      <x:c r="Y140" t="str">
        <x:v>Basis arsip 2025/2024</x:v>
      </x:c>
      <x:c r="Z140" t="str">
        <x:v>https://snpmb.id/utbk-snbt/daya-tampung-snbt</x:v>
      </x:c>
      <x:c r="AA140" t="str">
        <x:v>Tidak Ada</x:v>
      </x:c>
      <x:c r="AB140" t="str">
        <x:v>Campus=55; Ratio=0.0; Prodi=40; RelDemand=23.9; Capacity=80.0</x:v>
      </x:c>
    </x:row>
    <x:row r="141">
      <x:c r="A141" t="n">
        <x:v>138</x:v>
      </x:c>
      <x:c r="B141" t="str">
        <x:v>PTN Akademik</x:v>
      </x:c>
      <x:c r="C141" t="str">
        <x:v>UNIVERSITAS SAMUDRA</x:v>
      </x:c>
      <x:c r="D141" t="str">
        <x:v>PENDIDIKAN MATEMATIKA</x:v>
      </x:c>
      <x:c r="E141" t="str">
        <x:v>Sarjana</x:v>
      </x:c>
      <x:c r="F141" s="18" t="n">
        <x:v>12</x:v>
      </x:c>
      <x:c r="G141" s="18" t="n">
        <x:v>29</x:v>
      </x:c>
      <x:c r="H141" s="19" t="n">
        <x:v>2.4166666666666665</x:v>
      </x:c>
      <x:c r="I141" s="18" t="n">
        <x:f>ROUND(MIN(Model_Config_v3!$B$6,MAX(Q141,R141,S141*Model_Config_v3!$B$4+T141*Model_Config_v3!$B$5)),0)</x:f>
        <x:v>632</x:v>
      </x:c>
      <x:c r="J141" s="18" t="n">
        <x:f>MIN(Model_Config_v3!$B$6,I141+Model_Config_v3!$B$7)</x:f>
        <x:v>652</x:v>
      </x:c>
      <x:c r="K141" s="20" t="n">
        <x:v>51</x:v>
      </x:c>
      <x:c r="L141" t="str">
        <x:v>MENENGAH</x:v>
      </x:c>
      <x:c r="M141" t="str">
        <x:v>SEDANG+</x:v>
      </x:c>
      <x:c r="N141" t="str">
        <x:v>REGULER</x:v>
      </x:c>
      <x:c r="O141" t="str">
        <x:v>SAINTEK</x:v>
      </x:c>
      <x:c r="P141" t="str">
        <x:v>PENDIDIKAN</x:v>
      </x:c>
      <x:c r="Q141" s="18" t="n">
        <x:v>0</x:v>
      </x:c>
      <x:c r="R141" s="18" t="n">
        <x:v>0</x:v>
      </x:c>
      <x:c r="S141" s="18" t="n">
        <x:v>562.1538427036464</x:v>
      </x:c>
      <x:c r="T141" s="18" t="n">
        <x:v>662</x:v>
      </x:c>
      <x:c r="U141" s="18" t="n">
        <x:v>562.1538427036464</x:v>
      </x:c>
      <x:c r="V141" s="20" t="n">
        <x:v>12</x:v>
      </x:c>
      <x:c r="W141" s="20" t="n">
        <x:v>5</x:v>
      </x:c>
      <x:c r="X141" s="20" t="n">
        <x:v>3</x:v>
      </x:c>
      <x:c r="Y141" t="str">
        <x:v>Basis arsip 2025/2024</x:v>
      </x:c>
      <x:c r="Z141" t="str">
        <x:v>https://snpmb.id/utbk-snbt/daya-tampung-snbt</x:v>
      </x:c>
      <x:c r="AA141" t="str">
        <x:v>Tidak Ada</x:v>
      </x:c>
      <x:c r="AB141" t="str">
        <x:v>Campus=55; Ratio=22.6; Prodi=45; RelDemand=81.6; Capacity=90.0</x:v>
      </x:c>
    </x:row>
    <x:row r="142">
      <x:c r="A142" t="n">
        <x:v>139</x:v>
      </x:c>
      <x:c r="B142" t="str">
        <x:v>PTN Akademik</x:v>
      </x:c>
      <x:c r="C142" t="str">
        <x:v>UNIVERSITAS SAMUDRA</x:v>
      </x:c>
      <x:c r="D142" t="str">
        <x:v>PENDIDIKAN FISIKA</x:v>
      </x:c>
      <x:c r="E142" t="str">
        <x:v>Sarjana</x:v>
      </x:c>
      <x:c r="F142" s="18" t="n">
        <x:v>12</x:v>
      </x:c>
      <x:c r="G142" s="18" t="n">
        <x:v>16</x:v>
      </x:c>
      <x:c r="H142" s="19" t="n">
        <x:v>1.3333333333333333</x:v>
      </x:c>
      <x:c r="I142" s="18" t="n">
        <x:f>ROUND(MIN(Model_Config_v3!$B$6,MAX(Q142,R142,S142*Model_Config_v3!$B$4+T142*Model_Config_v3!$B$5)),0)</x:f>
        <x:v>613</x:v>
      </x:c>
      <x:c r="J142" s="18" t="n">
        <x:f>MIN(Model_Config_v3!$B$6,I142+Model_Config_v3!$B$7)</x:f>
        <x:v>633</x:v>
      </x:c>
      <x:c r="K142" s="20" t="n">
        <x:v>43.6</x:v>
      </x:c>
      <x:c r="L142" t="str">
        <x:v>RELATIF LONGGAR</x:v>
      </x:c>
      <x:c r="M142" t="str">
        <x:v>SEDANG+</x:v>
      </x:c>
      <x:c r="N142" t="str">
        <x:v>REGULER</x:v>
      </x:c>
      <x:c r="O142" t="str">
        <x:v>SAINTEK</x:v>
      </x:c>
      <x:c r="P142" t="str">
        <x:v>PENDIDIKAN</x:v>
      </x:c>
      <x:c r="Q142" s="18" t="n">
        <x:v>0</x:v>
      </x:c>
      <x:c r="R142" s="18" t="n">
        <x:v>0</x:v>
      </x:c>
      <x:c r="S142" s="18" t="n">
        <x:v>533.7432610269129</x:v>
      </x:c>
      <x:c r="T142" s="18" t="n">
        <x:v>647</x:v>
      </x:c>
      <x:c r="U142" s="18" t="n">
        <x:v>533.7432610269129</x:v>
      </x:c>
      <x:c r="V142" s="20" t="n">
        <x:v>12</x:v>
      </x:c>
      <x:c r="W142" s="20" t="n">
        <x:v>5</x:v>
      </x:c>
      <x:c r="X142" s="20" t="n">
        <x:v>3</x:v>
      </x:c>
      <x:c r="Y142" t="str">
        <x:v>Basis arsip 2025/2024</x:v>
      </x:c>
      <x:c r="Z142" t="str">
        <x:v>https://snpmb.id/utbk-snbt/daya-tampung-snbt</x:v>
      </x:c>
      <x:c r="AA142" t="str">
        <x:v>Tidak Ada</x:v>
      </x:c>
      <x:c r="AB142" t="str">
        <x:v>Campus=55; Ratio=7.4; Prodi=45; RelDemand=45.0; Capacity=90.0</x:v>
      </x:c>
    </x:row>
    <x:row r="143">
      <x:c r="A143" t="n">
        <x:v>140</x:v>
      </x:c>
      <x:c r="B143" t="str">
        <x:v>PTN Akademik</x:v>
      </x:c>
      <x:c r="C143" t="str">
        <x:v>UNIVERSITAS SAMUDRA</x:v>
      </x:c>
      <x:c r="D143" t="str">
        <x:v>PENDIDIKAN KIMIA</x:v>
      </x:c>
      <x:c r="E143" t="str">
        <x:v>Sarjana</x:v>
      </x:c>
      <x:c r="F143" s="18" t="n">
        <x:v>12</x:v>
      </x:c>
      <x:c r="G143" s="18" t="n">
        <x:v>12</x:v>
      </x:c>
      <x:c r="H143" s="19" t="n">
        <x:v>1</x:v>
      </x:c>
      <x:c r="I143" s="18" t="n">
        <x:f>ROUND(MIN(Model_Config_v3!$B$6,MAX(Q143,R143,S143*Model_Config_v3!$B$4+T143*Model_Config_v3!$B$5)),0)</x:f>
        <x:v>605</x:v>
      </x:c>
      <x:c r="J143" s="18" t="n">
        <x:f>MIN(Model_Config_v3!$B$6,I143+Model_Config_v3!$B$7)</x:f>
        <x:v>625</x:v>
      </x:c>
      <x:c r="K143" s="20" t="n">
        <x:v>40.6</x:v>
      </x:c>
      <x:c r="L143" t="str">
        <x:v>RELATIF LONGGAR</x:v>
      </x:c>
      <x:c r="M143" t="str">
        <x:v>SEDANG+</x:v>
      </x:c>
      <x:c r="N143" t="str">
        <x:v>REGULER</x:v>
      </x:c>
      <x:c r="O143" t="str">
        <x:v>SAINTEK</x:v>
      </x:c>
      <x:c r="P143" t="str">
        <x:v>PENDIDIKAN</x:v>
      </x:c>
      <x:c r="Q143" s="18" t="n">
        <x:v>0</x:v>
      </x:c>
      <x:c r="R143" s="18" t="n">
        <x:v>0</x:v>
      </x:c>
      <x:c r="S143" s="18" t="n">
        <x:v>520</x:v>
      </x:c>
      <x:c r="T143" s="18" t="n">
        <x:v>641</x:v>
      </x:c>
      <x:c r="U143" s="18" t="n">
        <x:v>520</x:v>
      </x:c>
      <x:c r="V143" s="20" t="n">
        <x:v>12</x:v>
      </x:c>
      <x:c r="W143" s="20" t="n">
        <x:v>5</x:v>
      </x:c>
      <x:c r="X143" s="20" t="n">
        <x:v>3</x:v>
      </x:c>
      <x:c r="Y143" t="str">
        <x:v>Basis arsip 2025/2024</x:v>
      </x:c>
      <x:c r="Z143" t="str">
        <x:v>https://snpmb.id/utbk-snbt/daya-tampung-snbt</x:v>
      </x:c>
      <x:c r="AA143" t="str">
        <x:v>Tidak Ada</x:v>
      </x:c>
      <x:c r="AB143" t="str">
        <x:v>Campus=55; Ratio=0.0; Prodi=45; RelDemand=33.8; Capacity=90.0</x:v>
      </x:c>
    </x:row>
    <x:row r="144">
      <x:c r="A144" t="n">
        <x:v>141</x:v>
      </x:c>
      <x:c r="B144" t="str">
        <x:v>PTN Akademik</x:v>
      </x:c>
      <x:c r="C144" t="str">
        <x:v>UNIVERSITAS SAMUDRA</x:v>
      </x:c>
      <x:c r="D144" t="str">
        <x:v>PENDIDIKAN BIOLOGI</x:v>
      </x:c>
      <x:c r="E144" t="str">
        <x:v>Sarjana</x:v>
      </x:c>
      <x:c r="F144" s="18" t="n">
        <x:v>36</x:v>
      </x:c>
      <x:c r="G144" s="18" t="n">
        <x:v>62</x:v>
      </x:c>
      <x:c r="H144" s="19" t="n">
        <x:v>1.7222222222222223</x:v>
      </x:c>
      <x:c r="I144" s="18" t="n">
        <x:f>ROUND(MIN(Model_Config_v3!$B$6,MAX(Q144,R144,S144*Model_Config_v3!$B$4+T144*Model_Config_v3!$B$5)),0)</x:f>
        <x:v>618</x:v>
      </x:c>
      <x:c r="J144" s="18" t="n">
        <x:f>MIN(Model_Config_v3!$B$6,I144+Model_Config_v3!$B$7)</x:f>
        <x:v>638</x:v>
      </x:c>
      <x:c r="K144" s="20" t="n">
        <x:v>44.5</x:v>
      </x:c>
      <x:c r="L144" t="str">
        <x:v>RELATIF LONGGAR</x:v>
      </x:c>
      <x:c r="M144" t="str">
        <x:v>SEDANG+</x:v>
      </x:c>
      <x:c r="N144" t="str">
        <x:v>REGULER</x:v>
      </x:c>
      <x:c r="O144" t="str">
        <x:v>SAINTEK</x:v>
      </x:c>
      <x:c r="P144" t="str">
        <x:v>PENDIDIKAN</x:v>
      </x:c>
      <x:c r="Q144" s="18" t="n">
        <x:v>0</x:v>
      </x:c>
      <x:c r="R144" s="18" t="n">
        <x:v>0</x:v>
      </x:c>
      <x:c r="S144" s="18" t="n">
        <x:v>545.9698107604063</x:v>
      </x:c>
      <x:c r="T144" s="18" t="n">
        <x:v>649</x:v>
      </x:c>
      <x:c r="U144" s="18" t="n">
        <x:v>545.9698107604063</x:v>
      </x:c>
      <x:c r="V144" s="20" t="n">
        <x:v>12</x:v>
      </x:c>
      <x:c r="W144" s="20" t="n">
        <x:v>5</x:v>
      </x:c>
      <x:c r="X144" s="20" t="n">
        <x:v>3</x:v>
      </x:c>
      <x:c r="Y144" t="str">
        <x:v>Basis arsip 2025/2024</x:v>
      </x:c>
      <x:c r="Z144" t="str">
        <x:v>https://snpmb.id/utbk-snbt/daya-tampung-snbt</x:v>
      </x:c>
      <x:c r="AA144" t="str">
        <x:v>Tidak Ada</x:v>
      </x:c>
      <x:c r="AB144" t="str">
        <x:v>Campus=55; Ratio=13.9; Prodi=45; RelDemand=58.1; Capacity=70.0</x:v>
      </x:c>
    </x:row>
    <x:row r="145">
      <x:c r="A145" t="n">
        <x:v>142</x:v>
      </x:c>
      <x:c r="B145" t="str">
        <x:v>PTN Akademik</x:v>
      </x:c>
      <x:c r="C145" t="str">
        <x:v>UNIVERSITAS SAMUDRA</x:v>
      </x:c>
      <x:c r="D145" t="str">
        <x:v>TEKNIK MESIN</x:v>
      </x:c>
      <x:c r="E145" t="str">
        <x:v>Sarjana</x:v>
      </x:c>
      <x:c r="F145" s="18" t="n">
        <x:v>44</x:v>
      </x:c>
      <x:c r="G145" s="18" t="n">
        <x:v>47</x:v>
      </x:c>
      <x:c r="H145" s="19" t="n">
        <x:v>1.0681818181818181</x:v>
      </x:c>
      <x:c r="I145" s="18" t="n">
        <x:f>ROUND(MIN(Model_Config_v3!$B$6,MAX(Q145,R145,S145*Model_Config_v3!$B$4+T145*Model_Config_v3!$B$5)),0)</x:f>
        <x:v>607</x:v>
      </x:c>
      <x:c r="J145" s="18" t="n">
        <x:f>MIN(Model_Config_v3!$B$6,I145+Model_Config_v3!$B$7)</x:f>
        <x:v>627</x:v>
      </x:c>
      <x:c r="K145" s="20" t="n">
        <x:v>41.6</x:v>
      </x:c>
      <x:c r="L145" t="str">
        <x:v>RELATIF LONGGAR</x:v>
      </x:c>
      <x:c r="M145" t="str">
        <x:v>SEDANG+</x:v>
      </x:c>
      <x:c r="N145" t="str">
        <x:v>REGULER</x:v>
      </x:c>
      <x:c r="O145" t="str">
        <x:v>SAINTEK</x:v>
      </x:c>
      <x:c r="P145" t="str">
        <x:v>TEKNIK/ARSITEKTUR/STATISTIKA/AKTUARIA</x:v>
      </x:c>
      <x:c r="Q145" s="18" t="n">
        <x:v>0</x:v>
      </x:c>
      <x:c r="R145" s="18" t="n">
        <x:v>0</x:v>
      </x:c>
      <x:c r="S145" s="18" t="n">
        <x:v>523.1509699594483</x:v>
      </x:c>
      <x:c r="T145" s="18" t="n">
        <x:v>643</x:v>
      </x:c>
      <x:c r="U145" s="18" t="n">
        <x:v>533.1509699594483</x:v>
      </x:c>
      <x:c r="V145" s="20" t="n">
        <x:v>12</x:v>
      </x:c>
      <x:c r="W145" s="20" t="n">
        <x:v>5</x:v>
      </x:c>
      <x:c r="X145" s="20" t="n">
        <x:v>3</x:v>
      </x:c>
      <x:c r="Y145" t="str">
        <x:v>Basis arsip 2025/2024</x:v>
      </x:c>
      <x:c r="Z145" t="str">
        <x:v>https://snpmb.id/utbk-snbt/daya-tampung-snbt</x:v>
      </x:c>
      <x:c r="AA145" t="str">
        <x:v>Tidak Ada</x:v>
      </x:c>
      <x:c r="AB145" t="str">
        <x:v>Campus=55; Ratio=1.7; Prodi=60; RelDemand=36.1; Capacity=63.3</x:v>
      </x:c>
    </x:row>
    <x:row r="146">
      <x:c r="A146" t="n">
        <x:v>143</x:v>
      </x:c>
      <x:c r="B146" t="str">
        <x:v>PTN Akademik</x:v>
      </x:c>
      <x:c r="C146" t="str">
        <x:v>UNIVERSITAS SAMUDRA</x:v>
      </x:c>
      <x:c r="D146" t="str">
        <x:v>TEKNIK SIPIL</x:v>
      </x:c>
      <x:c r="E146" t="str">
        <x:v>Sarjana</x:v>
      </x:c>
      <x:c r="F146" s="18" t="n">
        <x:v>60</x:v>
      </x:c>
      <x:c r="G146" s="18" t="n">
        <x:v>77</x:v>
      </x:c>
      <x:c r="H146" s="19" t="n">
        <x:v>1.2833333333333334</x:v>
      </x:c>
      <x:c r="I146" s="18" t="n">
        <x:f>ROUND(MIN(Model_Config_v3!$B$6,MAX(Q146,R146,S146*Model_Config_v3!$B$4+T146*Model_Config_v3!$B$5)),0)</x:f>
        <x:v>610</x:v>
      </x:c>
      <x:c r="J146" s="18" t="n">
        <x:f>MIN(Model_Config_v3!$B$6,I146+Model_Config_v3!$B$7)</x:f>
        <x:v>630</x:v>
      </x:c>
      <x:c r="K146" s="20" t="n">
        <x:v>42.2</x:v>
      </x:c>
      <x:c r="L146" t="str">
        <x:v>RELATIF LONGGAR</x:v>
      </x:c>
      <x:c r="M146" t="str">
        <x:v>SEDANG+</x:v>
      </x:c>
      <x:c r="N146" t="str">
        <x:v>REGULER</x:v>
      </x:c>
      <x:c r="O146" t="str">
        <x:v>SAINTEK</x:v>
      </x:c>
      <x:c r="P146" t="str">
        <x:v>TEKNIK/ARSITEKTUR/STATISTIKA/AKTUARIA</x:v>
      </x:c>
      <x:c r="Q146" s="18" t="n">
        <x:v>0</x:v>
      </x:c>
      <x:c r="R146" s="18" t="n">
        <x:v>0</x:v>
      </x:c>
      <x:c r="S146" s="18" t="n">
        <x:v>531.9173422267722</x:v>
      </x:c>
      <x:c r="T146" s="18" t="n">
        <x:v>644</x:v>
      </x:c>
      <x:c r="U146" s="18" t="n">
        <x:v>541.9173422267722</x:v>
      </x:c>
      <x:c r="V146" s="20" t="n">
        <x:v>12</x:v>
      </x:c>
      <x:c r="W146" s="20" t="n">
        <x:v>5</x:v>
      </x:c>
      <x:c r="X146" s="20" t="n">
        <x:v>3</x:v>
      </x:c>
      <x:c r="Y146" t="str">
        <x:v>Basis arsip 2025/2024</x:v>
      </x:c>
      <x:c r="Z146" t="str">
        <x:v>https://snpmb.id/utbk-snbt/daya-tampung-snbt</x:v>
      </x:c>
      <x:c r="AA146" t="str">
        <x:v>Tidak Ada</x:v>
      </x:c>
      <x:c r="AB146" t="str">
        <x:v>Campus=55; Ratio=6.4; Prodi=60; RelDemand=43.3; Capacity=50.0</x:v>
      </x:c>
    </x:row>
    <x:row r="147">
      <x:c r="A147" t="n">
        <x:v>144</x:v>
      </x:c>
      <x:c r="B147" t="str">
        <x:v>PTN Akademik</x:v>
      </x:c>
      <x:c r="C147" t="str">
        <x:v>UNIVERSITAS SAMUDRA</x:v>
      </x:c>
      <x:c r="D147" t="str">
        <x:v>TEKNIK INDUSTRI</x:v>
      </x:c>
      <x:c r="E147" t="str">
        <x:v>Sarjana</x:v>
      </x:c>
      <x:c r="F147" s="18" t="n">
        <x:v>48</x:v>
      </x:c>
      <x:c r="G147" s="18" t="n">
        <x:v>75</x:v>
      </x:c>
      <x:c r="H147" s="19" t="n">
        <x:v>1.5625</x:v>
      </x:c>
      <x:c r="I147" s="18" t="n">
        <x:f>ROUND(MIN(Model_Config_v3!$B$6,MAX(Q147,R147,S147*Model_Config_v3!$B$4+T147*Model_Config_v3!$B$5)),0)</x:f>
        <x:v>618</x:v>
      </x:c>
      <x:c r="J147" s="18" t="n">
        <x:f>MIN(Model_Config_v3!$B$6,I147+Model_Config_v3!$B$7)</x:f>
        <x:v>638</x:v>
      </x:c>
      <x:c r="K147" s="20" t="n">
        <x:v>45.4</x:v>
      </x:c>
      <x:c r="L147" t="str">
        <x:v>MENENGAH</x:v>
      </x:c>
      <x:c r="M147" t="str">
        <x:v>SEDANG+</x:v>
      </x:c>
      <x:c r="N147" t="str">
        <x:v>REGULER</x:v>
      </x:c>
      <x:c r="O147" t="str">
        <x:v>SAINTEK</x:v>
      </x:c>
      <x:c r="P147" t="str">
        <x:v>TEKNIK/ARSITEKTUR/STATISTIKA/AKTUARIA</x:v>
      </x:c>
      <x:c r="Q147" s="18" t="n">
        <x:v>0</x:v>
      </x:c>
      <x:c r="R147" s="18" t="n">
        <x:v>0</x:v>
      </x:c>
      <x:c r="S147" s="18" t="n">
        <x:v>541.3202028617724</x:v>
      </x:c>
      <x:c r="T147" s="18" t="n">
        <x:v>651</x:v>
      </x:c>
      <x:c r="U147" s="18" t="n">
        <x:v>551.3202028617724</x:v>
      </x:c>
      <x:c r="V147" s="20" t="n">
        <x:v>12</x:v>
      </x:c>
      <x:c r="W147" s="20" t="n">
        <x:v>5</x:v>
      </x:c>
      <x:c r="X147" s="20" t="n">
        <x:v>3</x:v>
      </x:c>
      <x:c r="Y147" t="str">
        <x:v>Basis arsip 2025/2024</x:v>
      </x:c>
      <x:c r="Z147" t="str">
        <x:v>https://snpmb.id/utbk-snbt/daya-tampung-snbt</x:v>
      </x:c>
      <x:c r="AA147" t="str">
        <x:v>Tidak Ada</x:v>
      </x:c>
      <x:c r="AB147" t="str">
        <x:v>Campus=55; Ratio=11.4; Prodi=60; RelDemand=52.8; Capacity=60.0</x:v>
      </x:c>
    </x:row>
    <x:row r="148">
      <x:c r="A148" t="n">
        <x:v>145</x:v>
      </x:c>
      <x:c r="B148" t="str">
        <x:v>PTN Akademik</x:v>
      </x:c>
      <x:c r="C148" t="str">
        <x:v>UNIVERSITAS SAMUDRA</x:v>
      </x:c>
      <x:c r="D148" t="str">
        <x:v>INFORMATIKA</x:v>
      </x:c>
      <x:c r="E148" t="str">
        <x:v>Sarjana</x:v>
      </x:c>
      <x:c r="F148" s="18" t="n">
        <x:v>72</x:v>
      </x:c>
      <x:c r="G148" s="18" t="n">
        <x:v>224</x:v>
      </x:c>
      <x:c r="H148" s="19" t="n">
        <x:v>3.111111111111111</x:v>
      </x:c>
      <x:c r="I148" s="18" t="n">
        <x:f>ROUND(MIN(Model_Config_v3!$B$6,MAX(Q148,R148,S148*Model_Config_v3!$B$4+T148*Model_Config_v3!$B$5)),0)</x:f>
        <x:v>645</x:v>
      </x:c>
      <x:c r="J148" s="18" t="n">
        <x:f>MIN(Model_Config_v3!$B$6,I148+Model_Config_v3!$B$7)</x:f>
        <x:v>665</x:v>
      </x:c>
      <x:c r="K148" s="20" t="n">
        <x:v>57.5</x:v>
      </x:c>
      <x:c r="L148" t="str">
        <x:v>KETAT</x:v>
      </x:c>
      <x:c r="M148" t="str">
        <x:v>SEDANG+</x:v>
      </x:c>
      <x:c r="N148" t="str">
        <x:v>REGULER</x:v>
      </x:c>
      <x:c r="O148" t="str">
        <x:v>SAINTEK</x:v>
      </x:c>
      <x:c r="P148" t="str">
        <x:v>KOMPUTER/INFORMATIKA</x:v>
      </x:c>
      <x:c r="Q148" s="18" t="n">
        <x:v>0</x:v>
      </x:c>
      <x:c r="R148" s="18" t="n">
        <x:v>0</x:v>
      </x:c>
      <x:c r="S148" s="18" t="n">
        <x:v>574.2207074093184</x:v>
      </x:c>
      <x:c r="T148" s="18" t="n">
        <x:v>675</x:v>
      </x:c>
      <x:c r="U148" s="18" t="n">
        <x:v>599.2207074093184</x:v>
      </x:c>
      <x:c r="V148" s="20" t="n">
        <x:v>12</x:v>
      </x:c>
      <x:c r="W148" s="20" t="n">
        <x:v>5</x:v>
      </x:c>
      <x:c r="X148" s="20" t="n">
        <x:v>3</x:v>
      </x:c>
      <x:c r="Y148" t="str">
        <x:v>Basis arsip 2025/2024</x:v>
      </x:c>
      <x:c r="Z148" t="str">
        <x:v>https://snpmb.id/utbk-snbt/daya-tampung-snbt</x:v>
      </x:c>
      <x:c r="AA148" t="str">
        <x:v>Tidak Ada</x:v>
      </x:c>
      <x:c r="AB148" t="str">
        <x:v>Campus=55; Ratio=29.0; Prodi=85; RelDemand=100.0; Capacity=40.0</x:v>
      </x:c>
    </x:row>
    <x:row r="149">
      <x:c r="A149" t="n">
        <x:v>146</x:v>
      </x:c>
      <x:c r="B149" t="str">
        <x:v>PTN Akademik</x:v>
      </x:c>
      <x:c r="C149" t="str">
        <x:v>UNIVERSITAS SAMUDRA</x:v>
      </x:c>
      <x:c r="D149" t="str">
        <x:v>MATEMATIKA</x:v>
      </x:c>
      <x:c r="E149" t="str">
        <x:v>Sarjana</x:v>
      </x:c>
      <x:c r="F149" s="18" t="n">
        <x:v>12</x:v>
      </x:c>
      <x:c r="G149" s="18" t="n">
        <x:v>13</x:v>
      </x:c>
      <x:c r="H149" s="19" t="n">
        <x:v>1.0833333333333333</x:v>
      </x:c>
      <x:c r="I149" s="18" t="n">
        <x:f>ROUND(MIN(Model_Config_v3!$B$6,MAX(Q149,R149,S149*Model_Config_v3!$B$4+T149*Model_Config_v3!$B$5)),0)</x:f>
        <x:v>609</x:v>
      </x:c>
      <x:c r="J149" s="18" t="n">
        <x:f>MIN(Model_Config_v3!$B$6,I149+Model_Config_v3!$B$7)</x:f>
        <x:v>629</x:v>
      </x:c>
      <x:c r="K149" s="20" t="n">
        <x:v>42.4</x:v>
      </x:c>
      <x:c r="L149" t="str">
        <x:v>RELATIF LONGGAR</x:v>
      </x:c>
      <x:c r="M149" t="str">
        <x:v>SEDANG+</x:v>
      </x:c>
      <x:c r="N149" t="str">
        <x:v>REGULER</x:v>
      </x:c>
      <x:c r="O149" t="str">
        <x:v>SAINTEK</x:v>
      </x:c>
      <x:c r="P149" t="str">
        <x:v>SAINS DASAR</x:v>
      </x:c>
      <x:c r="Q149" s="18" t="n">
        <x:v>0</x:v>
      </x:c>
      <x:c r="R149" s="18" t="n">
        <x:v>0</x:v>
      </x:c>
      <x:c r="S149" s="18" t="n">
        <x:v>523.8238316885133</x:v>
      </x:c>
      <x:c r="T149" s="18" t="n">
        <x:v>645</x:v>
      </x:c>
      <x:c r="U149" s="18" t="n">
        <x:v>523.8238316885133</x:v>
      </x:c>
      <x:c r="V149" s="20" t="n">
        <x:v>12</x:v>
      </x:c>
      <x:c r="W149" s="20" t="n">
        <x:v>5</x:v>
      </x:c>
      <x:c r="X149" s="20" t="n">
        <x:v>3</x:v>
      </x:c>
      <x:c r="Y149" t="str">
        <x:v>Basis arsip 2025/2024</x:v>
      </x:c>
      <x:c r="Z149" t="str">
        <x:v>https://snpmb.id/utbk-snbt/daya-tampung-snbt</x:v>
      </x:c>
      <x:c r="AA149" t="str">
        <x:v>Tidak Ada</x:v>
      </x:c>
      <x:c r="AB149" t="str">
        <x:v>Campus=55; Ratio=2.0; Prodi=50; RelDemand=36.6; Capacity=90.0</x:v>
      </x:c>
    </x:row>
    <x:row r="150">
      <x:c r="A150" t="n">
        <x:v>147</x:v>
      </x:c>
      <x:c r="B150" t="str">
        <x:v>PTN Akademik</x:v>
      </x:c>
      <x:c r="C150" t="str">
        <x:v>UNIVERSITAS SAMUDRA</x:v>
      </x:c>
      <x:c r="D150" t="str">
        <x:v>FISIKA</x:v>
      </x:c>
      <x:c r="E150" t="str">
        <x:v>Sarjana</x:v>
      </x:c>
      <x:c r="F150" s="18" t="n">
        <x:v>12</x:v>
      </x:c>
      <x:c r="G150" s="18" t="n">
        <x:v>5</x:v>
      </x:c>
      <x:c r="H150" s="19" t="n">
        <x:v>0.4166666666666667</x:v>
      </x:c>
      <x:c r="I150" s="18" t="n">
        <x:f>ROUND(MIN(Model_Config_v3!$B$6,MAX(Q150,R150,S150*Model_Config_v3!$B$4+T150*Model_Config_v3!$B$5)),0)</x:f>
        <x:v>603</x:v>
      </x:c>
      <x:c r="J150" s="18" t="n">
        <x:f>MIN(Model_Config_v3!$B$6,I150+Model_Config_v3!$B$7)</x:f>
        <x:v>623</x:v>
      </x:c>
      <x:c r="K150" s="20" t="n">
        <x:v>39.7</x:v>
      </x:c>
      <x:c r="L150" t="str">
        <x:v>RELATIF LONGGAR</x:v>
      </x:c>
      <x:c r="M150" t="str">
        <x:v>SEDANG+</x:v>
      </x:c>
      <x:c r="N150" t="str">
        <x:v>REGULER</x:v>
      </x:c>
      <x:c r="O150" t="str">
        <x:v>SAINTEK</x:v>
      </x:c>
      <x:c r="P150" t="str">
        <x:v>SAINS DASAR</x:v>
      </x:c>
      <x:c r="Q150" s="18" t="n">
        <x:v>0</x:v>
      </x:c>
      <x:c r="R150" s="18" t="n">
        <x:v>0</x:v>
      </x:c>
      <x:c r="S150" s="18" t="n">
        <x:v>520</x:v>
      </x:c>
      <x:c r="T150" s="18" t="n">
        <x:v>639</x:v>
      </x:c>
      <x:c r="U150" s="18" t="n">
        <x:v>520</x:v>
      </x:c>
      <x:c r="V150" s="20" t="n">
        <x:v>12</x:v>
      </x:c>
      <x:c r="W150" s="20" t="n">
        <x:v>5</x:v>
      </x:c>
      <x:c r="X150" s="20" t="n">
        <x:v>3</x:v>
      </x:c>
      <x:c r="Y150" t="str">
        <x:v>Basis arsip 2025/2024</x:v>
      </x:c>
      <x:c r="Z150" t="str">
        <x:v>https://snpmb.id/utbk-snbt/daya-tampung-snbt</x:v>
      </x:c>
      <x:c r="AA150" t="str">
        <x:v>Tidak Ada</x:v>
      </x:c>
      <x:c r="AB150" t="str">
        <x:v>Campus=55; Ratio=0.0; Prodi=50; RelDemand=14.1; Capacity=90.0</x:v>
      </x:c>
    </x:row>
    <x:row r="151">
      <x:c r="A151" t="n">
        <x:v>148</x:v>
      </x:c>
      <x:c r="B151" t="str">
        <x:v>PTN Akademik</x:v>
      </x:c>
      <x:c r="C151" t="str">
        <x:v>UNIVERSITAS SAMUDRA</x:v>
      </x:c>
      <x:c r="D151" t="str">
        <x:v>KIMIA</x:v>
      </x:c>
      <x:c r="E151" t="str">
        <x:v>Sarjana</x:v>
      </x:c>
      <x:c r="F151" s="18" t="n">
        <x:v>12</x:v>
      </x:c>
      <x:c r="G151" s="18" t="n">
        <x:v>15</x:v>
      </x:c>
      <x:c r="H151" s="19" t="n">
        <x:v>1.25</x:v>
      </x:c>
      <x:c r="I151" s="18" t="n">
        <x:f>ROUND(MIN(Model_Config_v3!$B$6,MAX(Q151,R151,S151*Model_Config_v3!$B$4+T151*Model_Config_v3!$B$5)),0)</x:f>
        <x:v>613</x:v>
      </x:c>
      <x:c r="J151" s="18" t="n">
        <x:f>MIN(Model_Config_v3!$B$6,I151+Model_Config_v3!$B$7)</x:f>
        <x:v>633</x:v>
      </x:c>
      <x:c r="K151" s="20" t="n">
        <x:v>43.9</x:v>
      </x:c>
      <x:c r="L151" t="str">
        <x:v>RELATIF LONGGAR</x:v>
      </x:c>
      <x:c r="M151" t="str">
        <x:v>SEDANG+</x:v>
      </x:c>
      <x:c r="N151" t="str">
        <x:v>REGULER</x:v>
      </x:c>
      <x:c r="O151" t="str">
        <x:v>SAINTEK</x:v>
      </x:c>
      <x:c r="P151" t="str">
        <x:v>SAINS DASAR</x:v>
      </x:c>
      <x:c r="Q151" s="18" t="n">
        <x:v>0</x:v>
      </x:c>
      <x:c r="R151" s="18" t="n">
        <x:v>0</x:v>
      </x:c>
      <x:c r="S151" s="18" t="n">
        <x:v>530.6601014308862</x:v>
      </x:c>
      <x:c r="T151" s="18" t="n">
        <x:v>648</x:v>
      </x:c>
      <x:c r="U151" s="18" t="n">
        <x:v>530.6601014308862</x:v>
      </x:c>
      <x:c r="V151" s="20" t="n">
        <x:v>12</x:v>
      </x:c>
      <x:c r="W151" s="20" t="n">
        <x:v>5</x:v>
      </x:c>
      <x:c r="X151" s="20" t="n">
        <x:v>3</x:v>
      </x:c>
      <x:c r="Y151" t="str">
        <x:v>Basis arsip 2025/2024</x:v>
      </x:c>
      <x:c r="Z151" t="str">
        <x:v>https://snpmb.id/utbk-snbt/daya-tampung-snbt</x:v>
      </x:c>
      <x:c r="AA151" t="str">
        <x:v>Tidak Ada</x:v>
      </x:c>
      <x:c r="AB151" t="str">
        <x:v>Campus=55; Ratio=5.7; Prodi=50; RelDemand=42.2; Capacity=90.0</x:v>
      </x:c>
    </x:row>
    <x:row r="152">
      <x:c r="A152" t="n">
        <x:v>149</x:v>
      </x:c>
      <x:c r="B152" t="str">
        <x:v>PTN Akademik</x:v>
      </x:c>
      <x:c r="C152" t="str">
        <x:v>UNIVERSITAS SAMUDRA</x:v>
      </x:c>
      <x:c r="D152" t="str">
        <x:v>BIOLOGI</x:v>
      </x:c>
      <x:c r="E152" t="str">
        <x:v>Sarjana</x:v>
      </x:c>
      <x:c r="F152" s="18" t="n">
        <x:v>12</x:v>
      </x:c>
      <x:c r="G152" s="18" t="n">
        <x:v>19</x:v>
      </x:c>
      <x:c r="H152" s="19" t="n">
        <x:v>1.5833333333333333</x:v>
      </x:c>
      <x:c r="I152" s="18" t="n">
        <x:f>ROUND(MIN(Model_Config_v3!$B$6,MAX(Q152,R152,S152*Model_Config_v3!$B$4+T152*Model_Config_v3!$B$5)),0)</x:f>
        <x:v>620</x:v>
      </x:c>
      <x:c r="J152" s="18" t="n">
        <x:f>MIN(Model_Config_v3!$B$6,I152+Model_Config_v3!$B$7)</x:f>
        <x:v>640</x:v>
      </x:c>
      <x:c r="K152" s="20" t="n">
        <x:v>46.5</x:v>
      </x:c>
      <x:c r="L152" t="str">
        <x:v>MENENGAH</x:v>
      </x:c>
      <x:c r="M152" t="str">
        <x:v>SEDANG+</x:v>
      </x:c>
      <x:c r="N152" t="str">
        <x:v>REGULER</x:v>
      </x:c>
      <x:c r="O152" t="str">
        <x:v>SAINTEK</x:v>
      </x:c>
      <x:c r="P152" t="str">
        <x:v>SAINS DASAR</x:v>
      </x:c>
      <x:c r="Q152" s="18" t="n">
        <x:v>0</x:v>
      </x:c>
      <x:c r="R152" s="18" t="n">
        <x:v>0</x:v>
      </x:c>
      <x:c r="S152" s="18" t="n">
        <x:v>541.9529590395724</x:v>
      </x:c>
      <x:c r="T152" s="18" t="n">
        <x:v>653</x:v>
      </x:c>
      <x:c r="U152" s="18" t="n">
        <x:v>541.9529590395724</x:v>
      </x:c>
      <x:c r="V152" s="20" t="n">
        <x:v>12</x:v>
      </x:c>
      <x:c r="W152" s="20" t="n">
        <x:v>5</x:v>
      </x:c>
      <x:c r="X152" s="20" t="n">
        <x:v>3</x:v>
      </x:c>
      <x:c r="Y152" t="str">
        <x:v>Basis arsip 2025/2024</x:v>
      </x:c>
      <x:c r="Z152" t="str">
        <x:v>https://snpmb.id/utbk-snbt/daya-tampung-snbt</x:v>
      </x:c>
      <x:c r="AA152" t="str">
        <x:v>Tidak Ada</x:v>
      </x:c>
      <x:c r="AB152" t="str">
        <x:v>Campus=55; Ratio=11.7; Prodi=50; RelDemand=53.5; Capacity=90.0</x:v>
      </x:c>
    </x:row>
    <x:row r="153">
      <x:c r="A153" t="n">
        <x:v>150</x:v>
      </x:c>
      <x:c r="B153" t="str">
        <x:v>PTN Akademik</x:v>
      </x:c>
      <x:c r="C153" t="str">
        <x:v>UNIVERSITAS SAMUDRA</x:v>
      </x:c>
      <x:c r="D153" t="str">
        <x:v>HUKUM</x:v>
      </x:c>
      <x:c r="E153" t="str">
        <x:v>Sarjana</x:v>
      </x:c>
      <x:c r="F153" s="18" t="n">
        <x:v>96</x:v>
      </x:c>
      <x:c r="G153" s="18" t="n">
        <x:v>169</x:v>
      </x:c>
      <x:c r="H153" s="19" t="n">
        <x:v>1.7604166666666667</x:v>
      </x:c>
      <x:c r="I153" s="18" t="n">
        <x:f>ROUND(MIN(Model_Config_v3!$B$6,MAX(Q153,R153,S153*Model_Config_v3!$B$4+T153*Model_Config_v3!$B$5)),0)</x:f>
        <x:v>618</x:v>
      </x:c>
      <x:c r="J153" s="18" t="n">
        <x:f>MIN(Model_Config_v3!$B$6,I153+Model_Config_v3!$B$7)</x:f>
        <x:v>638</x:v>
      </x:c>
      <x:c r="K153" s="20" t="n">
        <x:v>43.8</x:v>
      </x:c>
      <x:c r="L153" t="str">
        <x:v>RELATIF LONGGAR</x:v>
      </x:c>
      <x:c r="M153" t="str">
        <x:v>SEDANG+</x:v>
      </x:c>
      <x:c r="N153" t="str">
        <x:v>REGULER</x:v>
      </x:c>
      <x:c r="O153" t="str">
        <x:v>SOSHUM</x:v>
      </x:c>
      <x:c r="P153" t="str">
        <x:v>HUKUM</x:v>
      </x:c>
      <x:c r="Q153" s="18" t="n">
        <x:v>0</x:v>
      </x:c>
      <x:c r="R153" s="18" t="n">
        <x:v>0</x:v>
      </x:c>
      <x:c r="S153" s="18" t="n">
        <x:v>547.0177018731515</x:v>
      </x:c>
      <x:c r="T153" s="18" t="n">
        <x:v>648</x:v>
      </x:c>
      <x:c r="U153" s="18" t="n">
        <x:v>562.0177018731515</x:v>
      </x:c>
      <x:c r="V153" s="20" t="n">
        <x:v>4.4</x:v>
      </x:c>
      <x:c r="W153" s="20" t="n">
        <x:v>14.3</x:v>
      </x:c>
      <x:c r="X153" s="20" t="n">
        <x:v>3.3</x:v>
      </x:c>
      <x:c r="Y153" t="str">
        <x:v>Basis arsip 2025/2024</x:v>
      </x:c>
      <x:c r="Z153" t="str">
        <x:v>https://snpmb.id/utbk-snbt/daya-tampung-snbt</x:v>
      </x:c>
      <x:c r="AA153" t="str">
        <x:v>Tidak Ada</x:v>
      </x:c>
      <x:c r="AB153" t="str">
        <x:v>Campus=55; Ratio=14.5; Prodi=65; RelDemand=59.4; Capacity=20.0</x:v>
      </x:c>
    </x:row>
    <x:row r="154">
      <x:c r="A154" t="n">
        <x:v>151</x:v>
      </x:c>
      <x:c r="B154" t="str">
        <x:v>PTN Akademik</x:v>
      </x:c>
      <x:c r="C154" t="str">
        <x:v>UNIVERSITAS SAMUDRA</x:v>
      </x:c>
      <x:c r="D154" t="str">
        <x:v>EKONOMI MANAJEMEN</x:v>
      </x:c>
      <x:c r="E154" t="str">
        <x:v>Sarjana</x:v>
      </x:c>
      <x:c r="F154" s="18" t="n">
        <x:v>96</x:v>
      </x:c>
      <x:c r="G154" s="18" t="n">
        <x:v>250</x:v>
      </x:c>
      <x:c r="H154" s="19" t="n">
        <x:v>2.6041666666666665</x:v>
      </x:c>
      <x:c r="I154" s="18" t="n">
        <x:f>ROUND(MIN(Model_Config_v3!$B$6,MAX(Q154,R154,S154*Model_Config_v3!$B$4+T154*Model_Config_v3!$B$5)),0)</x:f>
        <x:v>630</x:v>
      </x:c>
      <x:c r="J154" s="18" t="n">
        <x:f>MIN(Model_Config_v3!$B$6,I154+Model_Config_v3!$B$7)</x:f>
        <x:v>650</x:v>
      </x:c>
      <x:c r="K154" s="20" t="n">
        <x:v>49.2</x:v>
      </x:c>
      <x:c r="L154" t="str">
        <x:v>MENENGAH</x:v>
      </x:c>
      <x:c r="M154" t="str">
        <x:v>SEDANG+</x:v>
      </x:c>
      <x:c r="N154" t="str">
        <x:v>REGULER</x:v>
      </x:c>
      <x:c r="O154" t="str">
        <x:v>SOSHUM</x:v>
      </x:c>
      <x:c r="P154" t="str">
        <x:v>BISNIS/EKONOMI/AKUNTANSI</x:v>
      </x:c>
      <x:c r="Q154" s="18" t="n">
        <x:v>0</x:v>
      </x:c>
      <x:c r="R154" s="18" t="n">
        <x:v>0</x:v>
      </x:c>
      <x:c r="S154" s="18" t="n">
        <x:v>565.7235653195717</x:v>
      </x:c>
      <x:c r="T154" s="18" t="n">
        <x:v>658</x:v>
      </x:c>
      <x:c r="U154" s="18" t="n">
        <x:v>580.7235653195717</x:v>
      </x:c>
      <x:c r="V154" s="20" t="n">
        <x:v>4.4</x:v>
      </x:c>
      <x:c r="W154" s="20" t="n">
        <x:v>14.3</x:v>
      </x:c>
      <x:c r="X154" s="20" t="n">
        <x:v>3.3</x:v>
      </x:c>
      <x:c r="Y154" t="str">
        <x:v>Basis arsip 2025/2024</x:v>
      </x:c>
      <x:c r="Z154" t="str">
        <x:v>https://snpmb.id/utbk-snbt/daya-tampung-snbt</x:v>
      </x:c>
      <x:c r="AA154" t="str">
        <x:v>Tidak Ada</x:v>
      </x:c>
      <x:c r="AB154" t="str">
        <x:v>Campus=55; Ratio=24.5; Prodi=65; RelDemand=87.9; Capacity=20.0</x:v>
      </x:c>
    </x:row>
    <x:row r="155">
      <x:c r="A155" t="n">
        <x:v>152</x:v>
      </x:c>
      <x:c r="B155" t="str">
        <x:v>PTN Akademik</x:v>
      </x:c>
      <x:c r="C155" t="str">
        <x:v>UNIVERSITAS SAMUDRA</x:v>
      </x:c>
      <x:c r="D155" t="str">
        <x:v>EKONOMI PEMBANGUNAN</x:v>
      </x:c>
      <x:c r="E155" t="str">
        <x:v>Sarjana</x:v>
      </x:c>
      <x:c r="F155" s="18" t="n">
        <x:v>32</x:v>
      </x:c>
      <x:c r="G155" s="18" t="n">
        <x:v>52</x:v>
      </x:c>
      <x:c r="H155" s="19" t="n">
        <x:v>1.625</x:v>
      </x:c>
      <x:c r="I155" s="18" t="n">
        <x:f>ROUND(MIN(Model_Config_v3!$B$6,MAX(Q155,R155,S155*Model_Config_v3!$B$4+T155*Model_Config_v3!$B$5)),0)</x:f>
        <x:v>622</x:v>
      </x:c>
      <x:c r="J155" s="18" t="n">
        <x:f>MIN(Model_Config_v3!$B$6,I155+Model_Config_v3!$B$7)</x:f>
        <x:v>642</x:v>
      </x:c>
      <x:c r="K155" s="20" t="n">
        <x:v>48.2</x:v>
      </x:c>
      <x:c r="L155" t="str">
        <x:v>MENENGAH</x:v>
      </x:c>
      <x:c r="M155" t="str">
        <x:v>SEDANG+</x:v>
      </x:c>
      <x:c r="N155" t="str">
        <x:v>REGULER</x:v>
      </x:c>
      <x:c r="O155" t="str">
        <x:v>SOSHUM</x:v>
      </x:c>
      <x:c r="P155" t="str">
        <x:v>BISNIS/EKONOMI/AKUNTANSI</x:v>
      </x:c>
      <x:c r="Q155" s="18" t="n">
        <x:v>0</x:v>
      </x:c>
      <x:c r="R155" s="18" t="n">
        <x:v>0</x:v>
      </x:c>
      <x:c r="S155" s="18" t="n">
        <x:v>543.1938701846383</x:v>
      </x:c>
      <x:c r="T155" s="18" t="n">
        <x:v>656</x:v>
      </x:c>
      <x:c r="U155" s="18" t="n">
        <x:v>543.1938701846383</x:v>
      </x:c>
      <x:c r="V155" s="20" t="n">
        <x:v>4.4</x:v>
      </x:c>
      <x:c r="W155" s="20" t="n">
        <x:v>14.3</x:v>
      </x:c>
      <x:c r="X155" s="20" t="n">
        <x:v>3.3</x:v>
      </x:c>
      <x:c r="Y155" t="str">
        <x:v>Basis arsip 2025/2024</x:v>
      </x:c>
      <x:c r="Z155" t="str">
        <x:v>https://snpmb.id/utbk-snbt/daya-tampung-snbt</x:v>
      </x:c>
      <x:c r="AA155" t="str">
        <x:v>Tidak Ada</x:v>
      </x:c>
      <x:c r="AB155" t="str">
        <x:v>Campus=55; Ratio=12.4; Prodi=65; RelDemand=54.9; Capacity=73.3</x:v>
      </x:c>
    </x:row>
    <x:row r="156">
      <x:c r="A156" t="n">
        <x:v>153</x:v>
      </x:c>
      <x:c r="B156" t="str">
        <x:v>PTN Akademik</x:v>
      </x:c>
      <x:c r="C156" t="str">
        <x:v>UNIVERSITAS SAMUDRA</x:v>
      </x:c>
      <x:c r="D156" t="str">
        <x:v>PENDIDIKAN SEJARAH</x:v>
      </x:c>
      <x:c r="E156" t="str">
        <x:v>Sarjana</x:v>
      </x:c>
      <x:c r="F156" s="18" t="n">
        <x:v>32</x:v>
      </x:c>
      <x:c r="G156" s="18" t="n">
        <x:v>67</x:v>
      </x:c>
      <x:c r="H156" s="19" t="n">
        <x:v>2.09375</x:v>
      </x:c>
      <x:c r="I156" s="18" t="n">
        <x:f>ROUND(MIN(Model_Config_v3!$B$6,MAX(Q156,R156,S156*Model_Config_v3!$B$4+T156*Model_Config_v3!$B$5)),0)</x:f>
        <x:v>625</x:v>
      </x:c>
      <x:c r="J156" s="18" t="n">
        <x:f>MIN(Model_Config_v3!$B$6,I156+Model_Config_v3!$B$7)</x:f>
        <x:v>645</x:v>
      </x:c>
      <x:c r="K156" s="20" t="n">
        <x:v>47.4</x:v>
      </x:c>
      <x:c r="L156" t="str">
        <x:v>MENENGAH</x:v>
      </x:c>
      <x:c r="M156" t="str">
        <x:v>SEDANG+</x:v>
      </x:c>
      <x:c r="N156" t="str">
        <x:v>REGULER</x:v>
      </x:c>
      <x:c r="O156" t="str">
        <x:v>SOSHUM</x:v>
      </x:c>
      <x:c r="P156" t="str">
        <x:v>PENDIDIKAN</x:v>
      </x:c>
      <x:c r="Q156" s="18" t="n">
        <x:v>0</x:v>
      </x:c>
      <x:c r="R156" s="18" t="n">
        <x:v>0</x:v>
      </x:c>
      <x:c r="S156" s="18" t="n">
        <x:v>555.3017306819013</x:v>
      </x:c>
      <x:c r="T156" s="18" t="n">
        <x:v>655</x:v>
      </x:c>
      <x:c r="U156" s="18" t="n">
        <x:v>555.3017306819013</x:v>
      </x:c>
      <x:c r="V156" s="20" t="n">
        <x:v>4.4</x:v>
      </x:c>
      <x:c r="W156" s="20" t="n">
        <x:v>14.3</x:v>
      </x:c>
      <x:c r="X156" s="20" t="n">
        <x:v>3.3</x:v>
      </x:c>
      <x:c r="Y156" t="str">
        <x:v>Basis arsip 2025/2024</x:v>
      </x:c>
      <x:c r="Z156" t="str">
        <x:v>https://snpmb.id/utbk-snbt/daya-tampung-snbt</x:v>
      </x:c>
      <x:c r="AA156" t="str">
        <x:v>Tidak Ada</x:v>
      </x:c>
      <x:c r="AB156" t="str">
        <x:v>Campus=55; Ratio=18.9; Prodi=45; RelDemand=70.7; Capacity=73.3</x:v>
      </x:c>
    </x:row>
    <x:row r="157">
      <x:c r="A157" t="n">
        <x:v>154</x:v>
      </x:c>
      <x:c r="B157" t="str">
        <x:v>PTN Akademik</x:v>
      </x:c>
      <x:c r="C157" t="str">
        <x:v>UNIVERSITAS SAMUDRA</x:v>
      </x:c>
      <x:c r="D157" t="str">
        <x:v>PENDIDIKAN GEOGRAFI</x:v>
      </x:c>
      <x:c r="E157" t="str">
        <x:v>Sarjana</x:v>
      </x:c>
      <x:c r="F157" s="18" t="n">
        <x:v>48</x:v>
      </x:c>
      <x:c r="G157" s="18" t="n">
        <x:v>57</x:v>
      </x:c>
      <x:c r="H157" s="19" t="n">
        <x:v>1.1875</x:v>
      </x:c>
      <x:c r="I157" s="18" t="n">
        <x:f>ROUND(MIN(Model_Config_v3!$B$6,MAX(Q157,R157,S157*Model_Config_v3!$B$4+T157*Model_Config_v3!$B$5)),0)</x:f>
        <x:v>606</x:v>
      </x:c>
      <x:c r="J157" s="18" t="n">
        <x:f>MIN(Model_Config_v3!$B$6,I157+Model_Config_v3!$B$7)</x:f>
        <x:v>626</x:v>
      </x:c>
      <x:c r="K157" s="20" t="n">
        <x:v>39.4</x:v>
      </x:c>
      <x:c r="L157" t="str">
        <x:v>RELATIF LONGGAR</x:v>
      </x:c>
      <x:c r="M157" t="str">
        <x:v>SEDANG+</x:v>
      </x:c>
      <x:c r="N157" t="str">
        <x:v>REGULER</x:v>
      </x:c>
      <x:c r="O157" t="str">
        <x:v>CAMPURAN</x:v>
      </x:c>
      <x:c r="P157" t="str">
        <x:v>PENDIDIKAN</x:v>
      </x:c>
      <x:c r="Q157" s="18" t="n">
        <x:v>0</x:v>
      </x:c>
      <x:c r="R157" s="18" t="n">
        <x:v>0</x:v>
      </x:c>
      <x:c r="S157" s="18" t="n">
        <x:v>528.2096980126595</x:v>
      </x:c>
      <x:c r="T157" s="18" t="n">
        <x:v>639</x:v>
      </x:c>
      <x:c r="U157" s="18" t="n">
        <x:v>528.2096980126595</x:v>
      </x:c>
      <x:c r="V157" s="20" t="n">
        <x:v>8.8</x:v>
      </x:c>
      <x:c r="W157" s="20" t="n">
        <x:v>9.9</x:v>
      </x:c>
      <x:c r="X157" s="20" t="n">
        <x:v>3.3</x:v>
      </x:c>
      <x:c r="Y157" t="str">
        <x:v>Basis arsip 2025/2024</x:v>
      </x:c>
      <x:c r="Z157" t="str">
        <x:v>https://snpmb.id/utbk-snbt/daya-tampung-snbt</x:v>
      </x:c>
      <x:c r="AA157" t="str">
        <x:v>Tidak Ada</x:v>
      </x:c>
      <x:c r="AB157" t="str">
        <x:v>Campus=55; Ratio=4.4; Prodi=45; RelDemand=40.1; Capacity=60.0</x:v>
      </x:c>
    </x:row>
    <x:row r="158">
      <x:c r="A158" t="n">
        <x:v>155</x:v>
      </x:c>
      <x:c r="B158" t="str">
        <x:v>PTN Akademik</x:v>
      </x:c>
      <x:c r="C158" t="str">
        <x:v>UNIVERSITAS SAMUDRA</x:v>
      </x:c>
      <x:c r="D158" t="str">
        <x:v>PENDIDIKAN JASMANI</x:v>
      </x:c>
      <x:c r="E158" t="str">
        <x:v>Sarjana</x:v>
      </x:c>
      <x:c r="F158" s="18" t="n">
        <x:v>48</x:v>
      </x:c>
      <x:c r="G158" s="18" t="n">
        <x:v>57</x:v>
      </x:c>
      <x:c r="H158" s="19" t="n">
        <x:v>1.1875</x:v>
      </x:c>
      <x:c r="I158" s="18" t="n">
        <x:f>ROUND(MIN(Model_Config_v3!$B$6,MAX(Q158,R158,S158*Model_Config_v3!$B$4+T158*Model_Config_v3!$B$5)),0)</x:f>
        <x:v>606</x:v>
      </x:c>
      <x:c r="J158" s="18" t="n">
        <x:f>MIN(Model_Config_v3!$B$6,I158+Model_Config_v3!$B$7)</x:f>
        <x:v>626</x:v>
      </x:c>
      <x:c r="K158" s="20" t="n">
        <x:v>39.4</x:v>
      </x:c>
      <x:c r="L158" t="str">
        <x:v>RELATIF LONGGAR</x:v>
      </x:c>
      <x:c r="M158" t="str">
        <x:v>PORTOFOLIO</x:v>
      </x:c>
      <x:c r="N158" t="str">
        <x:v>REGULER</x:v>
      </x:c>
      <x:c r="O158" t="str">
        <x:v>SENI/OLAHRAGA</x:v>
      </x:c>
      <x:c r="P158" t="str">
        <x:v>SENI/OLAHRAGA</x:v>
      </x:c>
      <x:c r="Q158" s="18" t="n">
        <x:v>0</x:v>
      </x:c>
      <x:c r="R158" s="18" t="n">
        <x:v>0</x:v>
      </x:c>
      <x:c r="S158" s="18" t="n">
        <x:v>528.2096980126595</x:v>
      </x:c>
      <x:c r="T158" s="18" t="n">
        <x:v>639</x:v>
      </x:c>
      <x:c r="U158" s="18" t="n">
        <x:v>528.2096980126595</x:v>
      </x:c>
      <x:c r="V158" s="20" t="n">
        <x:v>4.4</x:v>
      </x:c>
      <x:c r="W158" s="20" t="n">
        <x:v>9.9</x:v>
      </x:c>
      <x:c r="X158" s="20" t="n">
        <x:v>7.7</x:v>
      </x:c>
      <x:c r="Y158" t="str">
        <x:v>Basis arsip 2025/2024</x:v>
      </x:c>
      <x:c r="Z158" t="str">
        <x:v>https://snpmb.id/utbk-snbt/daya-tampung-snbt</x:v>
      </x:c>
      <x:c r="AA158" t="str">
        <x:v>Olahraga</x:v>
      </x:c>
      <x:c r="AB158" t="str">
        <x:v>Campus=55; Ratio=4.4; Prodi=45; RelDemand=40.1; Capacity=60.0</x:v>
      </x:c>
    </x:row>
    <x:row r="159">
      <x:c r="A159" t="n">
        <x:v>156</x:v>
      </x:c>
      <x:c r="B159" t="str">
        <x:v>PTN Akademik</x:v>
      </x:c>
      <x:c r="C159" t="str">
        <x:v>UNIVERSITAS SAMUDRA</x:v>
      </x:c>
      <x:c r="D159" t="str">
        <x:v>PENDIDIKAN GURU SEKOLAH DASAR</x:v>
      </x:c>
      <x:c r="E159" t="str">
        <x:v>Sarjana</x:v>
      </x:c>
      <x:c r="F159" s="18" t="n">
        <x:v>124</x:v>
      </x:c>
      <x:c r="G159" s="18" t="n">
        <x:v>480</x:v>
      </x:c>
      <x:c r="H159" s="19" t="n">
        <x:v>3.870967741935484</x:v>
      </x:c>
      <x:c r="I159" s="18" t="n">
        <x:f>ROUND(MIN(Model_Config_v3!$B$6,MAX(Q159,R159,S159*Model_Config_v3!$B$4+T159*Model_Config_v3!$B$5)),0)</x:f>
        <x:v>633</x:v>
      </x:c>
      <x:c r="J159" s="18" t="n">
        <x:f>MIN(Model_Config_v3!$B$6,I159+Model_Config_v3!$B$7)</x:f>
        <x:v>653</x:v>
      </x:c>
      <x:c r="K159" s="20" t="n">
        <x:v>46.9</x:v>
      </x:c>
      <x:c r="L159" t="str">
        <x:v>MENENGAH</x:v>
      </x:c>
      <x:c r="M159" t="str">
        <x:v>SEDANG+</x:v>
      </x:c>
      <x:c r="N159" t="str">
        <x:v>REGULER</x:v>
      </x:c>
      <x:c r="O159" t="str">
        <x:v>CAMPURAN</x:v>
      </x:c>
      <x:c r="P159" t="str">
        <x:v>PENDIDIKAN</x:v>
      </x:c>
      <x:c r="Q159" s="18" t="n">
        <x:v>0</x:v>
      </x:c>
      <x:c r="R159" s="18" t="n">
        <x:v>0</x:v>
      </x:c>
      <x:c r="S159" s="18" t="n">
        <x:v>584.6601507434688</x:v>
      </x:c>
      <x:c r="T159" s="18" t="n">
        <x:v>654</x:v>
      </x:c>
      <x:c r="U159" s="18" t="n">
        <x:v>584.6601507434688</x:v>
      </x:c>
      <x:c r="V159" s="20" t="n">
        <x:v>8.8</x:v>
      </x:c>
      <x:c r="W159" s="20" t="n">
        <x:v>9.9</x:v>
      </x:c>
      <x:c r="X159" s="20" t="n">
        <x:v>3.3</x:v>
      </x:c>
      <x:c r="Y159" t="str">
        <x:v>Basis arsip 2025/2024</x:v>
      </x:c>
      <x:c r="Z159" t="str">
        <x:v>https://snpmb.id/utbk-snbt/daya-tampung-snbt</x:v>
      </x:c>
      <x:c r="AA159" t="str">
        <x:v>Tidak Ada</x:v>
      </x:c>
      <x:c r="AB159" t="str">
        <x:v>Campus=55; Ratio=34.6; Prodi=45; RelDemand=100.0; Capacity=0.0</x:v>
      </x:c>
    </x:row>
    <x:row r="160">
      <x:c r="A160" t="n">
        <x:v>157</x:v>
      </x:c>
      <x:c r="B160" t="str">
        <x:v>PTN Akademik</x:v>
      </x:c>
      <x:c r="C160" t="str">
        <x:v>UNIVERSITAS SAMUDRA</x:v>
      </x:c>
      <x:c r="D160" t="str">
        <x:v>PENDIDIKAN BAHASA INGGRIS</x:v>
      </x:c>
      <x:c r="E160" t="str">
        <x:v>Sarjana</x:v>
      </x:c>
      <x:c r="F160" s="18" t="n">
        <x:v>32</x:v>
      </x:c>
      <x:c r="G160" s="18" t="n">
        <x:v>59</x:v>
      </x:c>
      <x:c r="H160" s="19" t="n">
        <x:v>1.84375</x:v>
      </x:c>
      <x:c r="I160" s="18" t="n">
        <x:f>ROUND(MIN(Model_Config_v3!$B$6,MAX(Q160,R160,S160*Model_Config_v3!$B$4+T160*Model_Config_v3!$B$5)),0)</x:f>
        <x:v>620</x:v>
      </x:c>
      <x:c r="J160" s="18" t="n">
        <x:f>MIN(Model_Config_v3!$B$6,I160+Model_Config_v3!$B$7)</x:f>
        <x:v>640</x:v>
      </x:c>
      <x:c r="K160" s="20" t="n">
        <x:v>45.7</x:v>
      </x:c>
      <x:c r="L160" t="str">
        <x:v>MENENGAH</x:v>
      </x:c>
      <x:c r="M160" t="str">
        <x:v>SEDANG+</x:v>
      </x:c>
      <x:c r="N160" t="str">
        <x:v>REGULER</x:v>
      </x:c>
      <x:c r="O160" t="str">
        <x:v>SOSHUM</x:v>
      </x:c>
      <x:c r="P160" t="str">
        <x:v>PENDIDIKAN</x:v>
      </x:c>
      <x:c r="Q160" s="18" t="n">
        <x:v>0</x:v>
      </x:c>
      <x:c r="R160" s="18" t="n">
        <x:v>0</x:v>
      </x:c>
      <x:c r="S160" s="18" t="n">
        <x:v>549.2272236654462</x:v>
      </x:c>
      <x:c r="T160" s="18" t="n">
        <x:v>651</x:v>
      </x:c>
      <x:c r="U160" s="18" t="n">
        <x:v>549.2272236654462</x:v>
      </x:c>
      <x:c r="V160" s="20" t="n">
        <x:v>4.4</x:v>
      </x:c>
      <x:c r="W160" s="20" t="n">
        <x:v>14.3</x:v>
      </x:c>
      <x:c r="X160" s="20" t="n">
        <x:v>3.3</x:v>
      </x:c>
      <x:c r="Y160" t="str">
        <x:v>Basis arsip 2025/2024</x:v>
      </x:c>
      <x:c r="Z160" t="str">
        <x:v>https://snpmb.id/utbk-snbt/daya-tampung-snbt</x:v>
      </x:c>
      <x:c r="AA160" t="str">
        <x:v>Tidak Ada</x:v>
      </x:c>
      <x:c r="AB160" t="str">
        <x:v>Campus=55; Ratio=15.6; Prodi=45; RelDemand=62.3; Capacity=73.3</x:v>
      </x:c>
    </x:row>
    <x:row r="161">
      <x:c r="A161" t="n">
        <x:v>158</x:v>
      </x:c>
      <x:c r="B161" t="str">
        <x:v>PTN Akademik</x:v>
      </x:c>
      <x:c r="C161" t="str">
        <x:v>UNIVERSITAS SAMUDRA</x:v>
      </x:c>
      <x:c r="D161" t="str">
        <x:v>PENDIDIKAN BAHASA INDONESIA</x:v>
      </x:c>
      <x:c r="E161" t="str">
        <x:v>Sarjana</x:v>
      </x:c>
      <x:c r="F161" s="18" t="n">
        <x:v>48</x:v>
      </x:c>
      <x:c r="G161" s="18" t="n">
        <x:v>111</x:v>
      </x:c>
      <x:c r="H161" s="19" t="n">
        <x:v>2.3125</x:v>
      </x:c>
      <x:c r="I161" s="18" t="n">
        <x:f>ROUND(MIN(Model_Config_v3!$B$6,MAX(Q161,R161,S161*Model_Config_v3!$B$4+T161*Model_Config_v3!$B$5)),0)</x:f>
        <x:v>627</x:v>
      </x:c>
      <x:c r="J161" s="18" t="n">
        <x:f>MIN(Model_Config_v3!$B$6,I161+Model_Config_v3!$B$7)</x:f>
        <x:v>647</x:v>
      </x:c>
      <x:c r="K161" s="20" t="n">
        <x:v>47.4</x:v>
      </x:c>
      <x:c r="L161" t="str">
        <x:v>MENENGAH</x:v>
      </x:c>
      <x:c r="M161" t="str">
        <x:v>SEDANG+</x:v>
      </x:c>
      <x:c r="N161" t="str">
        <x:v>REGULER</x:v>
      </x:c>
      <x:c r="O161" t="str">
        <x:v>SOSHUM</x:v>
      </x:c>
      <x:c r="P161" t="str">
        <x:v>PENDIDIKAN</x:v>
      </x:c>
      <x:c r="Q161" s="18" t="n">
        <x:v>0</x:v>
      </x:c>
      <x:c r="R161" s="18" t="n">
        <x:v>0</x:v>
      </x:c>
      <x:c r="S161" s="18" t="n">
        <x:v>560.0489915552178</x:v>
      </x:c>
      <x:c r="T161" s="18" t="n">
        <x:v>655</x:v>
      </x:c>
      <x:c r="U161" s="18" t="n">
        <x:v>560.0489915552178</x:v>
      </x:c>
      <x:c r="V161" s="20" t="n">
        <x:v>4.4</x:v>
      </x:c>
      <x:c r="W161" s="20" t="n">
        <x:v>14.3</x:v>
      </x:c>
      <x:c r="X161" s="20" t="n">
        <x:v>3.3</x:v>
      </x:c>
      <x:c r="Y161" t="str">
        <x:v>Basis arsip 2025/2024</x:v>
      </x:c>
      <x:c r="Z161" t="str">
        <x:v>https://snpmb.id/utbk-snbt/daya-tampung-snbt</x:v>
      </x:c>
      <x:c r="AA161" t="str">
        <x:v>Tidak Ada</x:v>
      </x:c>
      <x:c r="AB161" t="str">
        <x:v>Campus=55; Ratio=21.4; Prodi=45; RelDemand=78.1; Capacity=60.0</x:v>
      </x:c>
    </x:row>
    <x:row r="162">
      <x:c r="A162" t="n">
        <x:v>159</x:v>
      </x:c>
      <x:c r="B162" t="str">
        <x:v>PTN Akademik</x:v>
      </x:c>
      <x:c r="C162" t="str">
        <x:v>UNIVERSITAS SAMUDRA</x:v>
      </x:c>
      <x:c r="D162" t="str">
        <x:v>AKUNTANSI</x:v>
      </x:c>
      <x:c r="E162" t="str">
        <x:v>Sarjana</x:v>
      </x:c>
      <x:c r="F162" s="18" t="n">
        <x:v>48</x:v>
      </x:c>
      <x:c r="G162" s="18" t="n">
        <x:v>101</x:v>
      </x:c>
      <x:c r="H162" s="19" t="n">
        <x:v>2.1041666666666665</x:v>
      </x:c>
      <x:c r="I162" s="18" t="n">
        <x:f>ROUND(MIN(Model_Config_v3!$B$6,MAX(Q162,R162,S162*Model_Config_v3!$B$4+T162*Model_Config_v3!$B$5)),0)</x:f>
        <x:v>629</x:v>
      </x:c>
      <x:c r="J162" s="18" t="n">
        <x:f>MIN(Model_Config_v3!$B$6,I162+Model_Config_v3!$B$7)</x:f>
        <x:v>649</x:v>
      </x:c>
      <x:c r="K162" s="20" t="n">
        <x:v>50.1</x:v>
      </x:c>
      <x:c r="L162" t="str">
        <x:v>MENENGAH</x:v>
      </x:c>
      <x:c r="M162" t="str">
        <x:v>SEDANG+</x:v>
      </x:c>
      <x:c r="N162" t="str">
        <x:v>REGULER</x:v>
      </x:c>
      <x:c r="O162" t="str">
        <x:v>SOSHUM</x:v>
      </x:c>
      <x:c r="P162" t="str">
        <x:v>BISNIS/EKONOMI/AKUNTANSI</x:v>
      </x:c>
      <x:c r="Q162" s="18" t="n">
        <x:v>0</x:v>
      </x:c>
      <x:c r="R162" s="18" t="n">
        <x:v>0</x:v>
      </x:c>
      <x:c r="S162" s="18" t="n">
        <x:v>555.5388150047761</x:v>
      </x:c>
      <x:c r="T162" s="18" t="n">
        <x:v>660</x:v>
      </x:c>
      <x:c r="U162" s="18" t="n">
        <x:v>555.5388150047761</x:v>
      </x:c>
      <x:c r="V162" s="20" t="n">
        <x:v>4.4</x:v>
      </x:c>
      <x:c r="W162" s="20" t="n">
        <x:v>14.3</x:v>
      </x:c>
      <x:c r="X162" s="20" t="n">
        <x:v>3.3</x:v>
      </x:c>
      <x:c r="Y162" t="str">
        <x:v>Basis arsip 2025/2024</x:v>
      </x:c>
      <x:c r="Z162" t="str">
        <x:v>https://snpmb.id/utbk-snbt/daya-tampung-snbt</x:v>
      </x:c>
      <x:c r="AA162" t="str">
        <x:v>Tidak Ada</x:v>
      </x:c>
      <x:c r="AB162" t="str">
        <x:v>Campus=55; Ratio=19.0; Prodi=65; RelDemand=71.0; Capacity=60.0</x:v>
      </x:c>
    </x:row>
    <x:row r="163">
      <x:c r="A163" t="n">
        <x:v>160</x:v>
      </x:c>
      <x:c r="B163" t="str">
        <x:v>PTN Akademik</x:v>
      </x:c>
      <x:c r="C163" t="str">
        <x:v>UNIVERSITAS SAMUDRA</x:v>
      </x:c>
      <x:c r="D163" t="str">
        <x:v>GEOFISIKA</x:v>
      </x:c>
      <x:c r="E163" t="str">
        <x:v>Sarjana</x:v>
      </x:c>
      <x:c r="F163" s="18" t="n">
        <x:v>12</x:v>
      </x:c>
      <x:c r="G163" s="18" t="n">
        <x:v>7</x:v>
      </x:c>
      <x:c r="H163" s="19" t="n">
        <x:v>0.5833333333333334</x:v>
      </x:c>
      <x:c r="I163" s="18" t="n">
        <x:f>ROUND(MIN(Model_Config_v3!$B$6,MAX(Q163,R163,S163*Model_Config_v3!$B$4+T163*Model_Config_v3!$B$5)),0)</x:f>
        <x:v>604</x:v>
      </x:c>
      <x:c r="J163" s="18" t="n">
        <x:f>MIN(Model_Config_v3!$B$6,I163+Model_Config_v3!$B$7)</x:f>
        <x:v>624</x:v>
      </x:c>
      <x:c r="K163" s="20" t="n">
        <x:v>40.2</x:v>
      </x:c>
      <x:c r="L163" t="str">
        <x:v>RELATIF LONGGAR</x:v>
      </x:c>
      <x:c r="M163" t="str">
        <x:v>SEDANG+</x:v>
      </x:c>
      <x:c r="N163" t="str">
        <x:v>REGULER</x:v>
      </x:c>
      <x:c r="O163" t="str">
        <x:v>SAINTEK</x:v>
      </x:c>
      <x:c r="P163" t="str">
        <x:v>SAINS DASAR</x:v>
      </x:c>
      <x:c r="Q163" s="18" t="n">
        <x:v>0</x:v>
      </x:c>
      <x:c r="R163" s="18" t="n">
        <x:v>0</x:v>
      </x:c>
      <x:c r="S163" s="18" t="n">
        <x:v>520</x:v>
      </x:c>
      <x:c r="T163" s="18" t="n">
        <x:v>640</x:v>
      </x:c>
      <x:c r="U163" s="18" t="n">
        <x:v>520</x:v>
      </x:c>
      <x:c r="V163" s="20" t="n">
        <x:v>12</x:v>
      </x:c>
      <x:c r="W163" s="20" t="n">
        <x:v>5</x:v>
      </x:c>
      <x:c r="X163" s="20" t="n">
        <x:v>3</x:v>
      </x:c>
      <x:c r="Y163" t="str">
        <x:v>Basis arsip 2025/2024</x:v>
      </x:c>
      <x:c r="Z163" t="str">
        <x:v>https://snpmb.id/utbk-snbt/daya-tampung-snbt</x:v>
      </x:c>
      <x:c r="AA163" t="str">
        <x:v>Tidak Ada</x:v>
      </x:c>
      <x:c r="AB163" t="str">
        <x:v>Campus=55; Ratio=0.0; Prodi=50; RelDemand=19.7; Capacity=90.0</x:v>
      </x:c>
    </x:row>
    <x:row r="164">
      <x:c r="A164" t="n">
        <x:v>161</x:v>
      </x:c>
      <x:c r="B164" t="str">
        <x:v>PTN Akademik</x:v>
      </x:c>
      <x:c r="C164" t="str">
        <x:v>UNIVERSITAS SAMUDRA</x:v>
      </x:c>
      <x:c r="D164" t="str">
        <x:v>PENDIDIKAN ILMU PENGETAHUAN ALAM</x:v>
      </x:c>
      <x:c r="E164" t="str">
        <x:v>Sarjana</x:v>
      </x:c>
      <x:c r="F164" s="18" t="n">
        <x:v>12</x:v>
      </x:c>
      <x:c r="G164" s="18"/>
      <x:c r="H164" s="19" t="n">
        <x:v>0</x:v>
      </x:c>
      <x:c r="I164" s="18" t="n">
        <x:f>ROUND(MIN(Model_Config_v3!$B$6,MAX(Q164,R164,S164*Model_Config_v3!$B$4+T164*Model_Config_v3!$B$5)),0)</x:f>
        <x:v>600</x:v>
      </x:c>
      <x:c r="J164" s="18" t="n">
        <x:f>MIN(Model_Config_v3!$B$6,I164+Model_Config_v3!$B$7)</x:f>
        <x:v>620</x:v>
      </x:c>
      <x:c r="K164" s="20" t="n">
        <x:v>37.2</x:v>
      </x:c>
      <x:c r="L164" t="str">
        <x:v>RELATIF LONGGAR</x:v>
      </x:c>
      <x:c r="M164" t="str">
        <x:v>RENDAH</x:v>
      </x:c>
      <x:c r="N164" t="str">
        <x:v>REGULER</x:v>
      </x:c>
      <x:c r="O164" t="str">
        <x:v>CAMPURAN</x:v>
      </x:c>
      <x:c r="P164" t="str">
        <x:v>PENDIDIKAN</x:v>
      </x:c>
      <x:c r="Q164" s="18" t="n">
        <x:v>0</x:v>
      </x:c>
      <x:c r="R164" s="18" t="n">
        <x:v>0</x:v>
      </x:c>
      <x:c r="S164" s="18" t="n">
        <x:v>520</x:v>
      </x:c>
      <x:c r="T164" s="18" t="n">
        <x:v>634</x:v>
      </x:c>
      <x:c r="U164" s="18" t="n">
        <x:v>520</x:v>
      </x:c>
      <x:c r="V164" s="20" t="n">
        <x:v>8.8</x:v>
      </x:c>
      <x:c r="W164" s="20" t="n">
        <x:v>9.9</x:v>
      </x:c>
      <x:c r="X164" s="20" t="n">
        <x:v>3.3</x:v>
      </x:c>
      <x:c r="Y164" t="str">
        <x:v>Basis arsip 2025/2024</x:v>
      </x:c>
      <x:c r="Z164" t="str">
        <x:v>https://snpmb.id/utbk-snbt/daya-tampung-snbt</x:v>
      </x:c>
      <x:c r="AA164" t="str">
        <x:v>Tidak Ada</x:v>
      </x:c>
      <x:c r="AB164" t="str">
        <x:v>Campus=55; Ratio=0.0; Prodi=45; RelDemand=0.0; Capacity=90.0</x:v>
      </x:c>
    </x:row>
    <x:row r="165">
      <x:c r="A165" t="n">
        <x:v>162</x:v>
      </x:c>
      <x:c r="B165" t="str">
        <x:v>PTN Akademik</x:v>
      </x:c>
      <x:c r="C165" t="str">
        <x:v>UNIVERSITAS SAMUDRA</x:v>
      </x:c>
      <x:c r="D165" t="str">
        <x:v>PENDIDIKAN PANCASILA DAN KEWARGANEGARAAN</x:v>
      </x:c>
      <x:c r="E165" t="str">
        <x:v>Sarjana</x:v>
      </x:c>
      <x:c r="F165" s="18" t="n">
        <x:v>12</x:v>
      </x:c>
      <x:c r="G165" s="18"/>
      <x:c r="H165" s="19" t="n">
        <x:v>0</x:v>
      </x:c>
      <x:c r="I165" s="18" t="n">
        <x:f>ROUND(MIN(Model_Config_v3!$B$6,MAX(Q165,R165,S165*Model_Config_v3!$B$4+T165*Model_Config_v3!$B$5)),0)</x:f>
        <x:v>600</x:v>
      </x:c>
      <x:c r="J165" s="18" t="n">
        <x:f>MIN(Model_Config_v3!$B$6,I165+Model_Config_v3!$B$7)</x:f>
        <x:v>620</x:v>
      </x:c>
      <x:c r="K165" s="20" t="n">
        <x:v>37.2</x:v>
      </x:c>
      <x:c r="L165" t="str">
        <x:v>RELATIF LONGGAR</x:v>
      </x:c>
      <x:c r="M165" t="str">
        <x:v>RENDAH</x:v>
      </x:c>
      <x:c r="N165" t="str">
        <x:v>REGULER</x:v>
      </x:c>
      <x:c r="O165" t="str">
        <x:v>CAMPURAN</x:v>
      </x:c>
      <x:c r="P165" t="str">
        <x:v>PENDIDIKAN</x:v>
      </x:c>
      <x:c r="Q165" s="18" t="n">
        <x:v>0</x:v>
      </x:c>
      <x:c r="R165" s="18" t="n">
        <x:v>0</x:v>
      </x:c>
      <x:c r="S165" s="18" t="n">
        <x:v>520</x:v>
      </x:c>
      <x:c r="T165" s="18" t="n">
        <x:v>634</x:v>
      </x:c>
      <x:c r="U165" s="18" t="n">
        <x:v>520</x:v>
      </x:c>
      <x:c r="V165" s="20" t="n">
        <x:v>8.8</x:v>
      </x:c>
      <x:c r="W165" s="20" t="n">
        <x:v>9.9</x:v>
      </x:c>
      <x:c r="X165" s="20" t="n">
        <x:v>3.3</x:v>
      </x:c>
      <x:c r="Y165" t="str">
        <x:v>Basis arsip 2025/2024</x:v>
      </x:c>
      <x:c r="Z165" t="str">
        <x:v>https://snpmb.id/utbk-snbt/daya-tampung-snbt</x:v>
      </x:c>
      <x:c r="AA165" t="str">
        <x:v>Tidak Ada</x:v>
      </x:c>
      <x:c r="AB165" t="str">
        <x:v>Campus=55; Ratio=0.0; Prodi=45; RelDemand=0.0; Capacity=90.0</x:v>
      </x:c>
    </x:row>
    <x:row r="166">
      <x:c r="A166" t="n">
        <x:v>163</x:v>
      </x:c>
      <x:c r="B166" t="str">
        <x:v>PTN Akademik</x:v>
      </x:c>
      <x:c r="C166" t="str">
        <x:v>UNIVERSITAS SAMUDRA</x:v>
      </x:c>
      <x:c r="D166" t="str">
        <x:v>PENDIDIKAN VOKASIONAL SENI KULINER</x:v>
      </x:c>
      <x:c r="E166" t="str">
        <x:v>Sarjana</x:v>
      </x:c>
      <x:c r="F166" s="18" t="n">
        <x:v>12</x:v>
      </x:c>
      <x:c r="G166" s="18"/>
      <x:c r="H166" s="19" t="n">
        <x:v>0</x:v>
      </x:c>
      <x:c r="I166" s="18" t="n">
        <x:f>ROUND(MIN(Model_Config_v3!$B$6,MAX(Q166,R166,S166*Model_Config_v3!$B$4+T166*Model_Config_v3!$B$5)),0)</x:f>
        <x:v>600</x:v>
      </x:c>
      <x:c r="J166" s="18" t="n">
        <x:f>MIN(Model_Config_v3!$B$6,I166+Model_Config_v3!$B$7)</x:f>
        <x:v>620</x:v>
      </x:c>
      <x:c r="K166" s="20" t="n">
        <x:v>37.2</x:v>
      </x:c>
      <x:c r="L166" t="str">
        <x:v>RELATIF LONGGAR</x:v>
      </x:c>
      <x:c r="M166" t="str">
        <x:v>RENDAH</x:v>
      </x:c>
      <x:c r="N166" t="str">
        <x:v>REGULER</x:v>
      </x:c>
      <x:c r="O166" t="str">
        <x:v>CAMPURAN</x:v>
      </x:c>
      <x:c r="P166" t="str">
        <x:v>PENDIDIKAN</x:v>
      </x:c>
      <x:c r="Q166" s="18" t="n">
        <x:v>0</x:v>
      </x:c>
      <x:c r="R166" s="18" t="n">
        <x:v>0</x:v>
      </x:c>
      <x:c r="S166" s="18" t="n">
        <x:v>520</x:v>
      </x:c>
      <x:c r="T166" s="18" t="n">
        <x:v>634</x:v>
      </x:c>
      <x:c r="U166" s="18" t="n">
        <x:v>520</x:v>
      </x:c>
      <x:c r="V166" s="20" t="n">
        <x:v>8.8</x:v>
      </x:c>
      <x:c r="W166" s="20" t="n">
        <x:v>9.9</x:v>
      </x:c>
      <x:c r="X166" s="20" t="n">
        <x:v>3.3</x:v>
      </x:c>
      <x:c r="Y166" t="str">
        <x:v>Basis arsip 2025/2024</x:v>
      </x:c>
      <x:c r="Z166" t="str">
        <x:v>https://snpmb.id/utbk-snbt/daya-tampung-snbt</x:v>
      </x:c>
      <x:c r="AA166" t="str">
        <x:v>Tidak Ada</x:v>
      </x:c>
      <x:c r="AB166" t="str">
        <x:v>Campus=55; Ratio=0.0; Prodi=45; RelDemand=0.0; Capacity=90.0</x:v>
      </x:c>
    </x:row>
    <x:row r="167">
      <x:c r="A167" t="n">
        <x:v>164</x:v>
      </x:c>
      <x:c r="B167" t="str">
        <x:v>PTN Akademik</x:v>
      </x:c>
      <x:c r="C167" t="str">
        <x:v>ISBI ACEH</x:v>
      </x:c>
      <x:c r="D167" t="str">
        <x:v>SENI KARAWITAN</x:v>
      </x:c>
      <x:c r="E167" t="str">
        <x:v>Sarjana</x:v>
      </x:c>
      <x:c r="F167" s="18" t="n">
        <x:v>24</x:v>
      </x:c>
      <x:c r="G167" s="18" t="n">
        <x:v>4</x:v>
      </x:c>
      <x:c r="H167" s="19" t="n">
        <x:v>0.16666666666666666</x:v>
      </x:c>
      <x:c r="I167" s="18" t="n">
        <x:f>ROUND(MIN(Model_Config_v3!$B$6,MAX(Q167,R167,S167*Model_Config_v3!$B$4+T167*Model_Config_v3!$B$5)),0)</x:f>
        <x:v>603</x:v>
      </x:c>
      <x:c r="J167" s="18" t="n">
        <x:f>MIN(Model_Config_v3!$B$6,I167+Model_Config_v3!$B$7)</x:f>
        <x:v>623</x:v>
      </x:c>
      <x:c r="K167" s="20" t="n">
        <x:v>38.8</x:v>
      </x:c>
      <x:c r="L167" t="str">
        <x:v>RELATIF LONGGAR</x:v>
      </x:c>
      <x:c r="M167" t="str">
        <x:v>SEDANG</x:v>
      </x:c>
      <x:c r="N167" t="str">
        <x:v>REGULER</x:v>
      </x:c>
      <x:c r="O167" t="str">
        <x:v>CAMPURAN</x:v>
      </x:c>
      <x:c r="P167" t="str">
        <x:v>UMUM</x:v>
      </x:c>
      <x:c r="Q167" s="18" t="n">
        <x:v>0</x:v>
      </x:c>
      <x:c r="R167" s="18" t="n">
        <x:v>0</x:v>
      </x:c>
      <x:c r="S167" s="18" t="n">
        <x:v>520</x:v>
      </x:c>
      <x:c r="T167" s="18" t="n">
        <x:v>638</x:v>
      </x:c>
      <x:c r="U167" s="18" t="n">
        <x:v>520</x:v>
      </x:c>
      <x:c r="V167" s="20" t="n">
        <x:v>8.8</x:v>
      </x:c>
      <x:c r="W167" s="20" t="n">
        <x:v>9.9</x:v>
      </x:c>
      <x:c r="X167" s="20" t="n">
        <x:v>3.3</x:v>
      </x:c>
      <x:c r="Y167" t="str">
        <x:v>Basis arsip 2025/2024</x:v>
      </x:c>
      <x:c r="Z167" t="str">
        <x:v>https://snpmb.id/utbk-snbt/daya-tampung-snbt</x:v>
      </x:c>
      <x:c r="AA167" t="str">
        <x:v>Tidak Ada</x:v>
      </x:c>
      <x:c r="AB167" t="str">
        <x:v>Campus=55; Ratio=0.0; Prodi=40; RelDemand=35.1; Capacity=80.0</x:v>
      </x:c>
    </x:row>
    <x:row r="168">
      <x:c r="A168" t="n">
        <x:v>165</x:v>
      </x:c>
      <x:c r="B168" t="str">
        <x:v>PTN Akademik</x:v>
      </x:c>
      <x:c r="C168" t="str">
        <x:v>ISBI ACEH</x:v>
      </x:c>
      <x:c r="D168" t="str">
        <x:v>SENI TARI</x:v>
      </x:c>
      <x:c r="E168" t="str">
        <x:v>Sarjana</x:v>
      </x:c>
      <x:c r="F168" s="18" t="n">
        <x:v>24</x:v>
      </x:c>
      <x:c r="G168" s="18" t="n">
        <x:v>8</x:v>
      </x:c>
      <x:c r="H168" s="19" t="n">
        <x:v>0.3333333333333333</x:v>
      </x:c>
      <x:c r="I168" s="18" t="n">
        <x:f>ROUND(MIN(Model_Config_v3!$B$6,MAX(Q168,R168,S168*Model_Config_v3!$B$4+T168*Model_Config_v3!$B$5)),0)</x:f>
        <x:v>608</x:v>
      </x:c>
      <x:c r="J168" s="18" t="n">
        <x:f>MIN(Model_Config_v3!$B$6,I168+Model_Config_v3!$B$7)</x:f>
        <x:v>628</x:v>
      </x:c>
      <x:c r="K168" s="20" t="n">
        <x:v>42.3</x:v>
      </x:c>
      <x:c r="L168" t="str">
        <x:v>RELATIF LONGGAR</x:v>
      </x:c>
      <x:c r="M168" t="str">
        <x:v>SEDANG</x:v>
      </x:c>
      <x:c r="N168" t="str">
        <x:v>REGULER</x:v>
      </x:c>
      <x:c r="O168" t="str">
        <x:v>CAMPURAN</x:v>
      </x:c>
      <x:c r="P168" t="str">
        <x:v>UMUM</x:v>
      </x:c>
      <x:c r="Q168" s="18" t="n">
        <x:v>0</x:v>
      </x:c>
      <x:c r="R168" s="18" t="n">
        <x:v>0</x:v>
      </x:c>
      <x:c r="S168" s="18" t="n">
        <x:v>520</x:v>
      </x:c>
      <x:c r="T168" s="18" t="n">
        <x:v>645</x:v>
      </x:c>
      <x:c r="U168" s="18" t="n">
        <x:v>520</x:v>
      </x:c>
      <x:c r="V168" s="20" t="n">
        <x:v>8.8</x:v>
      </x:c>
      <x:c r="W168" s="20" t="n">
        <x:v>9.9</x:v>
      </x:c>
      <x:c r="X168" s="20" t="n">
        <x:v>3.3</x:v>
      </x:c>
      <x:c r="Y168" t="str">
        <x:v>Basis arsip 2025/2024</x:v>
      </x:c>
      <x:c r="Z168" t="str">
        <x:v>https://snpmb.id/utbk-snbt/daya-tampung-snbt</x:v>
      </x:c>
      <x:c r="AA168" t="str">
        <x:v>Tidak Ada</x:v>
      </x:c>
      <x:c r="AB168" t="str">
        <x:v>Campus=55; Ratio=0.0; Prodi=40; RelDemand=70.2; Capacity=80.0</x:v>
      </x:c>
    </x:row>
    <x:row r="169">
      <x:c r="A169" t="n">
        <x:v>166</x:v>
      </x:c>
      <x:c r="B169" t="str">
        <x:v>PTN Akademik</x:v>
      </x:c>
      <x:c r="C169" t="str">
        <x:v>ISBI ACEH</x:v>
      </x:c>
      <x:c r="D169" t="str">
        <x:v>SENI TEATER</x:v>
      </x:c>
      <x:c r="E169" t="str">
        <x:v>Sarjana</x:v>
      </x:c>
      <x:c r="F169" s="18" t="n">
        <x:v>16</x:v>
      </x:c>
      <x:c r="G169" s="18"/>
      <x:c r="H169" s="19" t="n">
        <x:v>0</x:v>
      </x:c>
      <x:c r="I169" s="18" t="n">
        <x:f>ROUND(MIN(Model_Config_v3!$B$6,MAX(Q169,R169,S169*Model_Config_v3!$B$4+T169*Model_Config_v3!$B$5)),0)</x:f>
        <x:v>598</x:v>
      </x:c>
      <x:c r="J169" s="18" t="n">
        <x:f>MIN(Model_Config_v3!$B$6,I169+Model_Config_v3!$B$7)</x:f>
        <x:v>618</x:v>
      </x:c>
      <x:c r="K169" s="20" t="n">
        <x:v>35.9</x:v>
      </x:c>
      <x:c r="L169" t="str">
        <x:v>RELATIF LONGGAR</x:v>
      </x:c>
      <x:c r="M169" t="str">
        <x:v>RENDAH</x:v>
      </x:c>
      <x:c r="N169" t="str">
        <x:v>REGULER</x:v>
      </x:c>
      <x:c r="O169" t="str">
        <x:v>CAMPURAN</x:v>
      </x:c>
      <x:c r="P169" t="str">
        <x:v>UMUM</x:v>
      </x:c>
      <x:c r="Q169" s="18" t="n">
        <x:v>0</x:v>
      </x:c>
      <x:c r="R169" s="18" t="n">
        <x:v>0</x:v>
      </x:c>
      <x:c r="S169" s="18" t="n">
        <x:v>520</x:v>
      </x:c>
      <x:c r="T169" s="18" t="n">
        <x:v>632</x:v>
      </x:c>
      <x:c r="U169" s="18" t="n">
        <x:v>520</x:v>
      </x:c>
      <x:c r="V169" s="20" t="n">
        <x:v>8.8</x:v>
      </x:c>
      <x:c r="W169" s="20" t="n">
        <x:v>9.9</x:v>
      </x:c>
      <x:c r="X169" s="20" t="n">
        <x:v>3.3</x:v>
      </x:c>
      <x:c r="Y169" t="str">
        <x:v>Basis arsip 2025/2024</x:v>
      </x:c>
      <x:c r="Z169" t="str">
        <x:v>https://snpmb.id/utbk-snbt/daya-tampung-snbt</x:v>
      </x:c>
      <x:c r="AA169" t="str">
        <x:v>Tidak Ada</x:v>
      </x:c>
      <x:c r="AB169" t="str">
        <x:v>Campus=55; Ratio=0.0; Prodi=40; RelDemand=0.0; Capacity=86.7</x:v>
      </x:c>
    </x:row>
    <x:row r="170">
      <x:c r="A170" t="n">
        <x:v>167</x:v>
      </x:c>
      <x:c r="B170" t="str">
        <x:v>PTN Akademik</x:v>
      </x:c>
      <x:c r="C170" t="str">
        <x:v>ISBI ACEH</x:v>
      </x:c>
      <x:c r="D170" t="str">
        <x:v>SENI RUPA MURNI</x:v>
      </x:c>
      <x:c r="E170" t="str">
        <x:v>Sarjana</x:v>
      </x:c>
      <x:c r="F170" s="18" t="n">
        <x:v>24</x:v>
      </x:c>
      <x:c r="G170" s="18" t="n">
        <x:v>3</x:v>
      </x:c>
      <x:c r="H170" s="19" t="n">
        <x:v>0.125</x:v>
      </x:c>
      <x:c r="I170" s="18" t="n">
        <x:f>ROUND(MIN(Model_Config_v3!$B$6,MAX(Q170,R170,S170*Model_Config_v3!$B$4+T170*Model_Config_v3!$B$5)),0)</x:f>
        <x:v>601</x:v>
      </x:c>
      <x:c r="J170" s="18" t="n">
        <x:f>MIN(Model_Config_v3!$B$6,I170+Model_Config_v3!$B$7)</x:f>
        <x:v>621</x:v>
      </x:c>
      <x:c r="K170" s="20" t="n">
        <x:v>37.9</x:v>
      </x:c>
      <x:c r="L170" t="str">
        <x:v>RELATIF LONGGAR</x:v>
      </x:c>
      <x:c r="M170" t="str">
        <x:v>SEDANG</x:v>
      </x:c>
      <x:c r="N170" t="str">
        <x:v>REGULER</x:v>
      </x:c>
      <x:c r="O170" t="str">
        <x:v>CAMPURAN</x:v>
      </x:c>
      <x:c r="P170" t="str">
        <x:v>UMUM</x:v>
      </x:c>
      <x:c r="Q170" s="18" t="n">
        <x:v>0</x:v>
      </x:c>
      <x:c r="R170" s="18" t="n">
        <x:v>0</x:v>
      </x:c>
      <x:c r="S170" s="18" t="n">
        <x:v>520</x:v>
      </x:c>
      <x:c r="T170" s="18" t="n">
        <x:v>636</x:v>
      </x:c>
      <x:c r="U170" s="18" t="n">
        <x:v>520</x:v>
      </x:c>
      <x:c r="V170" s="20" t="n">
        <x:v>8.8</x:v>
      </x:c>
      <x:c r="W170" s="20" t="n">
        <x:v>9.9</x:v>
      </x:c>
      <x:c r="X170" s="20" t="n">
        <x:v>3.3</x:v>
      </x:c>
      <x:c r="Y170" t="str">
        <x:v>Basis arsip 2025/2024</x:v>
      </x:c>
      <x:c r="Z170" t="str">
        <x:v>https://snpmb.id/utbk-snbt/daya-tampung-snbt</x:v>
      </x:c>
      <x:c r="AA170" t="str">
        <x:v>Tidak Ada</x:v>
      </x:c>
      <x:c r="AB170" t="str">
        <x:v>Campus=55; Ratio=0.0; Prodi=40; RelDemand=26.3; Capacity=80.0</x:v>
      </x:c>
    </x:row>
    <x:row r="171">
      <x:c r="A171" t="n">
        <x:v>168</x:v>
      </x:c>
      <x:c r="B171" t="str">
        <x:v>PTN Akademik</x:v>
      </x:c>
      <x:c r="C171" t="str">
        <x:v>ISBI ACEH</x:v>
      </x:c>
      <x:c r="D171" t="str">
        <x:v>KRIYA SENI</x:v>
      </x:c>
      <x:c r="E171" t="str">
        <x:v>Sarjana</x:v>
      </x:c>
      <x:c r="F171" s="18" t="n">
        <x:v>24</x:v>
      </x:c>
      <x:c r="G171" s="18" t="n">
        <x:v>4</x:v>
      </x:c>
      <x:c r="H171" s="19" t="n">
        <x:v>0.16666666666666666</x:v>
      </x:c>
      <x:c r="I171" s="18" t="n">
        <x:f>ROUND(MIN(Model_Config_v3!$B$6,MAX(Q171,R171,S171*Model_Config_v3!$B$4+T171*Model_Config_v3!$B$5)),0)</x:f>
        <x:v>603</x:v>
      </x:c>
      <x:c r="J171" s="18" t="n">
        <x:f>MIN(Model_Config_v3!$B$6,I171+Model_Config_v3!$B$7)</x:f>
        <x:v>623</x:v>
      </x:c>
      <x:c r="K171" s="20" t="n">
        <x:v>38.8</x:v>
      </x:c>
      <x:c r="L171" t="str">
        <x:v>RELATIF LONGGAR</x:v>
      </x:c>
      <x:c r="M171" t="str">
        <x:v>SEDANG</x:v>
      </x:c>
      <x:c r="N171" t="str">
        <x:v>REGULER</x:v>
      </x:c>
      <x:c r="O171" t="str">
        <x:v>CAMPURAN</x:v>
      </x:c>
      <x:c r="P171" t="str">
        <x:v>UMUM</x:v>
      </x:c>
      <x:c r="Q171" s="18" t="n">
        <x:v>0</x:v>
      </x:c>
      <x:c r="R171" s="18" t="n">
        <x:v>0</x:v>
      </x:c>
      <x:c r="S171" s="18" t="n">
        <x:v>520</x:v>
      </x:c>
      <x:c r="T171" s="18" t="n">
        <x:v>638</x:v>
      </x:c>
      <x:c r="U171" s="18" t="n">
        <x:v>520</x:v>
      </x:c>
      <x:c r="V171" s="20" t="n">
        <x:v>8.8</x:v>
      </x:c>
      <x:c r="W171" s="20" t="n">
        <x:v>9.9</x:v>
      </x:c>
      <x:c r="X171" s="20" t="n">
        <x:v>3.3</x:v>
      </x:c>
      <x:c r="Y171" t="str">
        <x:v>Basis arsip 2025/2024</x:v>
      </x:c>
      <x:c r="Z171" t="str">
        <x:v>https://snpmb.id/utbk-snbt/daya-tampung-snbt</x:v>
      </x:c>
      <x:c r="AA171" t="str">
        <x:v>Tidak Ada</x:v>
      </x:c>
      <x:c r="AB171" t="str">
        <x:v>Campus=55; Ratio=0.0; Prodi=40; RelDemand=35.1; Capacity=80.0</x:v>
      </x:c>
    </x:row>
    <x:row r="172">
      <x:c r="A172" t="n">
        <x:v>169</x:v>
      </x:c>
      <x:c r="B172" t="str">
        <x:v>PTN Akademik</x:v>
      </x:c>
      <x:c r="C172" t="str">
        <x:v>ISBI ACEH</x:v>
      </x:c>
      <x:c r="D172" t="str">
        <x:v>DESAIN KOMUNIKASI VISUAL</x:v>
      </x:c>
      <x:c r="E172" t="str">
        <x:v>Sarjana</x:v>
      </x:c>
      <x:c r="F172" s="18" t="n">
        <x:v>32</x:v>
      </x:c>
      <x:c r="G172" s="18" t="n">
        <x:v>12</x:v>
      </x:c>
      <x:c r="H172" s="19" t="n">
        <x:v>0.375</x:v>
      </x:c>
      <x:c r="I172" s="18" t="n">
        <x:f>ROUND(MIN(Model_Config_v3!$B$6,MAX(Q172,R172,S172*Model_Config_v3!$B$4+T172*Model_Config_v3!$B$5)),0)</x:f>
        <x:v>608</x:v>
      </x:c>
      <x:c r="J172" s="18" t="n">
        <x:f>MIN(Model_Config_v3!$B$6,I172+Model_Config_v3!$B$7)</x:f>
        <x:v>628</x:v>
      </x:c>
      <x:c r="K172" s="20" t="n">
        <x:v>42.5</x:v>
      </x:c>
      <x:c r="L172" t="str">
        <x:v>RELATIF LONGGAR</x:v>
      </x:c>
      <x:c r="M172" t="str">
        <x:v>SEDANG</x:v>
      </x:c>
      <x:c r="N172" t="str">
        <x:v>REGULER</x:v>
      </x:c>
      <x:c r="O172" t="str">
        <x:v>SOSHUM</x:v>
      </x:c>
      <x:c r="P172" t="str">
        <x:v>UMUM</x:v>
      </x:c>
      <x:c r="Q172" s="18" t="n">
        <x:v>0</x:v>
      </x:c>
      <x:c r="R172" s="18" t="n">
        <x:v>0</x:v>
      </x:c>
      <x:c r="S172" s="18" t="n">
        <x:v>520</x:v>
      </x:c>
      <x:c r="T172" s="18" t="n">
        <x:v>645</x:v>
      </x:c>
      <x:c r="U172" s="18" t="n">
        <x:v>520</x:v>
      </x:c>
      <x:c r="V172" s="20" t="n">
        <x:v>4.4</x:v>
      </x:c>
      <x:c r="W172" s="20" t="n">
        <x:v>14.3</x:v>
      </x:c>
      <x:c r="X172" s="20" t="n">
        <x:v>3.3</x:v>
      </x:c>
      <x:c r="Y172" t="str">
        <x:v>Basis arsip 2025/2024</x:v>
      </x:c>
      <x:c r="Z172" t="str">
        <x:v>https://snpmb.id/utbk-snbt/daya-tampung-snbt</x:v>
      </x:c>
      <x:c r="AA172" t="str">
        <x:v>Tidak Ada</x:v>
      </x:c>
      <x:c r="AB172" t="str">
        <x:v>Campus=55; Ratio=0.0; Prodi=40; RelDemand=79.0; Capacity=73.3</x:v>
      </x:c>
    </x:row>
    <x:row r="173">
      <x:c r="A173" t="n">
        <x:v>170</x:v>
      </x:c>
      <x:c r="B173" t="str">
        <x:v>PTN Akademik</x:v>
      </x:c>
      <x:c r="C173" t="str">
        <x:v>ISBI ACEH</x:v>
      </x:c>
      <x:c r="D173" t="str">
        <x:v>KAJIAN SASTRA BUDAYA</x:v>
      </x:c>
      <x:c r="E173" t="str">
        <x:v>Sarjana</x:v>
      </x:c>
      <x:c r="F173" s="18" t="n">
        <x:v>16</x:v>
      </x:c>
      <x:c r="G173" s="18" t="n">
        <x:v>3</x:v>
      </x:c>
      <x:c r="H173" s="19" t="n">
        <x:v>0.1875</x:v>
      </x:c>
      <x:c r="I173" s="18" t="n">
        <x:f>ROUND(MIN(Model_Config_v3!$B$6,MAX(Q173,R173,S173*Model_Config_v3!$B$4+T173*Model_Config_v3!$B$5)),0)</x:f>
        <x:v>604</x:v>
      </x:c>
      <x:c r="J173" s="18" t="n">
        <x:f>MIN(Model_Config_v3!$B$6,I173+Model_Config_v3!$B$7)</x:f>
        <x:v>624</x:v>
      </x:c>
      <x:c r="K173" s="20" t="n">
        <x:v>39.9</x:v>
      </x:c>
      <x:c r="L173" t="str">
        <x:v>RELATIF LONGGAR</x:v>
      </x:c>
      <x:c r="M173" t="str">
        <x:v>SEDANG</x:v>
      </x:c>
      <x:c r="N173" t="str">
        <x:v>REGULER</x:v>
      </x:c>
      <x:c r="O173" t="str">
        <x:v>SOSHUM</x:v>
      </x:c>
      <x:c r="P173" t="str">
        <x:v>UMUM</x:v>
      </x:c>
      <x:c r="Q173" s="18" t="n">
        <x:v>0</x:v>
      </x:c>
      <x:c r="R173" s="18" t="n">
        <x:v>0</x:v>
      </x:c>
      <x:c r="S173" s="18" t="n">
        <x:v>520</x:v>
      </x:c>
      <x:c r="T173" s="18" t="n">
        <x:v>640</x:v>
      </x:c>
      <x:c r="U173" s="18" t="n">
        <x:v>520</x:v>
      </x:c>
      <x:c r="V173" s="20" t="n">
        <x:v>4.4</x:v>
      </x:c>
      <x:c r="W173" s="20" t="n">
        <x:v>14.3</x:v>
      </x:c>
      <x:c r="X173" s="20" t="n">
        <x:v>3.3</x:v>
      </x:c>
      <x:c r="Y173" t="str">
        <x:v>Basis arsip 2025/2024</x:v>
      </x:c>
      <x:c r="Z173" t="str">
        <x:v>https://snpmb.id/utbk-snbt/daya-tampung-snbt</x:v>
      </x:c>
      <x:c r="AA173" t="str">
        <x:v>Tidak Ada</x:v>
      </x:c>
      <x:c r="AB173" t="str">
        <x:v>Campus=55; Ratio=0.0; Prodi=40; RelDemand=39.5; Capacity=86.7</x:v>
      </x:c>
    </x:row>
    <x:row r="174">
      <x:c r="A174" t="n">
        <x:v>171</x:v>
      </x:c>
      <x:c r="B174" t="str">
        <x:v>PTN Akademik</x:v>
      </x:c>
      <x:c r="C174" t="str">
        <x:v>ISBI ACEH</x:v>
      </x:c>
      <x:c r="D174" t="str">
        <x:v>BAHASA ACEH</x:v>
      </x:c>
      <x:c r="E174" t="str">
        <x:v>Sarjana</x:v>
      </x:c>
      <x:c r="F174" s="18" t="n">
        <x:v>16</x:v>
      </x:c>
      <x:c r="G174" s="18" t="n">
        <x:v>7</x:v>
      </x:c>
      <x:c r="H174" s="19" t="n">
        <x:v>0.4375</x:v>
      </x:c>
      <x:c r="I174" s="18" t="n">
        <x:f>ROUND(MIN(Model_Config_v3!$B$6,MAX(Q174,R174,S174*Model_Config_v3!$B$4+T174*Model_Config_v3!$B$5)),0)</x:f>
        <x:v>611</x:v>
      </x:c>
      <x:c r="J174" s="18" t="n">
        <x:f>MIN(Model_Config_v3!$B$6,I174+Model_Config_v3!$B$7)</x:f>
        <x:v>631</x:v>
      </x:c>
      <x:c r="K174" s="20" t="n">
        <x:v>45.1</x:v>
      </x:c>
      <x:c r="L174" t="str">
        <x:v>MENENGAH</x:v>
      </x:c>
      <x:c r="M174" t="str">
        <x:v>SEDANG</x:v>
      </x:c>
      <x:c r="N174" t="str">
        <x:v>REGULER</x:v>
      </x:c>
      <x:c r="O174" t="str">
        <x:v>SOSHUM</x:v>
      </x:c>
      <x:c r="P174" t="str">
        <x:v>UMUM</x:v>
      </x:c>
      <x:c r="Q174" s="18" t="n">
        <x:v>0</x:v>
      </x:c>
      <x:c r="R174" s="18" t="n">
        <x:v>0</x:v>
      </x:c>
      <x:c r="S174" s="18" t="n">
        <x:v>520</x:v>
      </x:c>
      <x:c r="T174" s="18" t="n">
        <x:v>650</x:v>
      </x:c>
      <x:c r="U174" s="18" t="n">
        <x:v>520</x:v>
      </x:c>
      <x:c r="V174" s="20" t="n">
        <x:v>4.4</x:v>
      </x:c>
      <x:c r="W174" s="20" t="n">
        <x:v>14.3</x:v>
      </x:c>
      <x:c r="X174" s="20" t="n">
        <x:v>3.3</x:v>
      </x:c>
      <x:c r="Y174" t="str">
        <x:v>Basis arsip 2025/2024</x:v>
      </x:c>
      <x:c r="Z174" t="str">
        <x:v>https://snpmb.id/utbk-snbt/daya-tampung-snbt</x:v>
      </x:c>
      <x:c r="AA174" t="str">
        <x:v>Tidak Ada</x:v>
      </x:c>
      <x:c r="AB174" t="str">
        <x:v>Campus=55; Ratio=0.0; Prodi=40; RelDemand=92.2; Capacity=86.7</x:v>
      </x:c>
    </x:row>
    <x:row r="175">
      <x:c r="A175" t="n">
        <x:v>172</x:v>
      </x:c>
      <x:c r="B175" t="str">
        <x:v>PTN Akademik</x:v>
      </x:c>
      <x:c r="C175" t="str">
        <x:v>ISBI ACEH</x:v>
      </x:c>
      <x:c r="D175" t="str">
        <x:v>DESAIN INTERIOR</x:v>
      </x:c>
      <x:c r="E175" t="str">
        <x:v>Sarjana</x:v>
      </x:c>
      <x:c r="F175" s="18" t="n">
        <x:v>32</x:v>
      </x:c>
      <x:c r="G175" s="18" t="n">
        <x:v>11</x:v>
      </x:c>
      <x:c r="H175" s="19" t="n">
        <x:v>0.34375</x:v>
      </x:c>
      <x:c r="I175" s="18" t="n">
        <x:f>ROUND(MIN(Model_Config_v3!$B$6,MAX(Q175,R175,S175*Model_Config_v3!$B$4+T175*Model_Config_v3!$B$5)),0)</x:f>
        <x:v>607</x:v>
      </x:c>
      <x:c r="J175" s="18" t="n">
        <x:f>MIN(Model_Config_v3!$B$6,I175+Model_Config_v3!$B$7)</x:f>
        <x:v>627</x:v>
      </x:c>
      <x:c r="K175" s="20" t="n">
        <x:v>41.8</x:v>
      </x:c>
      <x:c r="L175" t="str">
        <x:v>RELATIF LONGGAR</x:v>
      </x:c>
      <x:c r="M175" t="str">
        <x:v>SEDANG</x:v>
      </x:c>
      <x:c r="N175" t="str">
        <x:v>REGULER</x:v>
      </x:c>
      <x:c r="O175" t="str">
        <x:v>CAMPURAN</x:v>
      </x:c>
      <x:c r="P175" t="str">
        <x:v>UMUM</x:v>
      </x:c>
      <x:c r="Q175" s="18" t="n">
        <x:v>0</x:v>
      </x:c>
      <x:c r="R175" s="18" t="n">
        <x:v>0</x:v>
      </x:c>
      <x:c r="S175" s="18" t="n">
        <x:v>520</x:v>
      </x:c>
      <x:c r="T175" s="18" t="n">
        <x:v>644</x:v>
      </x:c>
      <x:c r="U175" s="18" t="n">
        <x:v>520</x:v>
      </x:c>
      <x:c r="V175" s="20" t="n">
        <x:v>8.8</x:v>
      </x:c>
      <x:c r="W175" s="20" t="n">
        <x:v>9.9</x:v>
      </x:c>
      <x:c r="X175" s="20" t="n">
        <x:v>3.3</x:v>
      </x:c>
      <x:c r="Y175" t="str">
        <x:v>Basis arsip 2025/2024</x:v>
      </x:c>
      <x:c r="Z175" t="str">
        <x:v>https://snpmb.id/utbk-snbt/daya-tampung-snbt</x:v>
      </x:c>
      <x:c r="AA175" t="str">
        <x:v>Tidak Ada</x:v>
      </x:c>
      <x:c r="AB175" t="str">
        <x:v>Campus=55; Ratio=0.0; Prodi=40; RelDemand=72.4; Capacity=73.3</x:v>
      </x:c>
    </x:row>
    <x:row r="176">
      <x:c r="A176" t="n">
        <x:v>173</x:v>
      </x:c>
      <x:c r="B176" t="str">
        <x:v>PTN Akademik</x:v>
      </x:c>
      <x:c r="C176" t="str">
        <x:v>UNIVERSITAS SUMATERA UTARA</x:v>
      </x:c>
      <x:c r="D176" t="str">
        <x:v>PENDIDIKAN DOKTER</x:v>
      </x:c>
      <x:c r="E176" t="str">
        <x:v>Sarjana</x:v>
      </x:c>
      <x:c r="F176" s="18" t="n">
        <x:v>80</x:v>
      </x:c>
      <x:c r="G176" s="18" t="n">
        <x:v>2041</x:v>
      </x:c>
      <x:c r="H176" s="19" t="n">
        <x:v>25.5125</x:v>
      </x:c>
      <x:c r="I176" s="18" t="n">
        <x:f>ROUND(MIN(Model_Config_v3!$B$6,MAX(Q176,R176,S176*Model_Config_v3!$B$4+T176*Model_Config_v3!$B$5)),0)</x:f>
        <x:v>704</x:v>
      </x:c>
      <x:c r="J176" s="18" t="n">
        <x:f>MIN(Model_Config_v3!$B$6,I176+Model_Config_v3!$B$7)</x:f>
        <x:v>724</x:v>
      </x:c>
      <x:c r="K176" s="20" t="n">
        <x:v>77.9</x:v>
      </x:c>
      <x:c r="L176" t="str">
        <x:v>ELITE</x:v>
      </x:c>
      <x:c r="M176" t="str">
        <x:v>SEDANG+</x:v>
      </x:c>
      <x:c r="N176" t="str">
        <x:v>ELITE-3</x:v>
      </x:c>
      <x:c r="O176" t="str">
        <x:v>SAINTEK</x:v>
      </x:c>
      <x:c r="P176" t="str">
        <x:v>KEDOKTERAN</x:v>
      </x:c>
      <x:c r="Q176" s="18" t="n">
        <x:v>635</x:v>
      </x:c>
      <x:c r="R176" s="18" t="n">
        <x:v>700</x:v>
      </x:c>
      <x:c r="S176" s="18" t="n">
        <x:v>674.7428319496539</x:v>
      </x:c>
      <x:c r="T176" s="18" t="n">
        <x:v>716</x:v>
      </x:c>
      <x:c r="U176" s="18" t="n">
        <x:v>714.7428319496539</x:v>
      </x:c>
      <x:c r="V176" s="20" t="n">
        <x:v>12</x:v>
      </x:c>
      <x:c r="W176" s="20" t="n">
        <x:v>5</x:v>
      </x:c>
      <x:c r="X176" s="20" t="n">
        <x:v>3</x:v>
      </x:c>
      <x:c r="Y176" t="str">
        <x:v>Basis arsip 2025/2024</x:v>
      </x:c>
      <x:c r="Z176" t="str">
        <x:v>https://snpmb.id/utbk-snbt/daya-tampung-snbt</x:v>
      </x:c>
      <x:c r="AA176" t="str">
        <x:v>Tidak Ada</x:v>
      </x:c>
      <x:c r="AB176" t="str">
        <x:v>Campus=80; Ratio=82.8; Prodi=100; RelDemand=59.1; Capacity=33.3</x:v>
      </x:c>
    </x:row>
    <x:row r="177">
      <x:c r="A177" t="n">
        <x:v>174</x:v>
      </x:c>
      <x:c r="B177" t="str">
        <x:v>PTN Akademik</x:v>
      </x:c>
      <x:c r="C177" t="str">
        <x:v>UNIVERSITAS SUMATERA UTARA</x:v>
      </x:c>
      <x:c r="D177" t="str">
        <x:v>TEKNIK SIPIL</x:v>
      </x:c>
      <x:c r="E177" t="str">
        <x:v>Sarjana</x:v>
      </x:c>
      <x:c r="F177" s="18" t="n">
        <x:v>48</x:v>
      </x:c>
      <x:c r="G177" s="18" t="n">
        <x:v>971</x:v>
      </x:c>
      <x:c r="H177" s="19" t="n">
        <x:v>20.229166666666668</x:v>
      </x:c>
      <x:c r="I177" s="18" t="n">
        <x:f>ROUND(MIN(Model_Config_v3!$B$6,MAX(Q177,R177,S177*Model_Config_v3!$B$4+T177*Model_Config_v3!$B$5)),0)</x:f>
        <x:v>689</x:v>
      </x:c>
      <x:c r="J177" s="18" t="n">
        <x:f>MIN(Model_Config_v3!$B$6,I177+Model_Config_v3!$B$7)</x:f>
        <x:v>709</x:v>
      </x:c>
      <x:c r="K177" s="20" t="n">
        <x:v>69.9</x:v>
      </x:c>
      <x:c r="L177" t="str">
        <x:v>SANGAT KETAT</x:v>
      </x:c>
      <x:c r="M177" t="str">
        <x:v>SEDANG+</x:v>
      </x:c>
      <x:c r="N177" t="str">
        <x:v>ELITE-3</x:v>
      </x:c>
      <x:c r="O177" t="str">
        <x:v>SAINTEK</x:v>
      </x:c>
      <x:c r="P177" t="str">
        <x:v>TEKNIK/ARSITEKTUR/STATISTIKA/AKTUARIA</x:v>
      </x:c>
      <x:c r="Q177" s="18" t="n">
        <x:v>635</x:v>
      </x:c>
      <x:c r="R177" s="18" t="n">
        <x:v>0</x:v>
      </x:c>
      <x:c r="S177" s="18" t="n">
        <x:v>663.6575791785659</x:v>
      </x:c>
      <x:c r="T177" s="18" t="n">
        <x:v>700</x:v>
      </x:c>
      <x:c r="U177" s="18" t="n">
        <x:v>673.6575791785659</x:v>
      </x:c>
      <x:c r="V177" s="20" t="n">
        <x:v>12</x:v>
      </x:c>
      <x:c r="W177" s="20" t="n">
        <x:v>5</x:v>
      </x:c>
      <x:c r="X177" s="20" t="n">
        <x:v>3</x:v>
      </x:c>
      <x:c r="Y177" t="str">
        <x:v>Basis arsip 2025/2024</x:v>
      </x:c>
      <x:c r="Z177" t="str">
        <x:v>https://snpmb.id/utbk-snbt/daya-tampung-snbt</x:v>
      </x:c>
      <x:c r="AA177" t="str">
        <x:v>Tidak Ada</x:v>
      </x:c>
      <x:c r="AB177" t="str">
        <x:v>Campus=80; Ratio=76.9; Prodi=60; RelDemand=46.9; Capacity=60.0</x:v>
      </x:c>
    </x:row>
    <x:row r="178">
      <x:c r="A178" t="n">
        <x:v>175</x:v>
      </x:c>
      <x:c r="B178" t="str">
        <x:v>PTN Akademik</x:v>
      </x:c>
      <x:c r="C178" t="str">
        <x:v>UNIVERSITAS SUMATERA UTARA</x:v>
      </x:c>
      <x:c r="D178" t="str">
        <x:v>TEKNIK MESIN</x:v>
      </x:c>
      <x:c r="E178" t="str">
        <x:v>Sarjana</x:v>
      </x:c>
      <x:c r="F178" s="18" t="n">
        <x:v>48</x:v>
      </x:c>
      <x:c r="G178" s="18" t="n">
        <x:v>706</x:v>
      </x:c>
      <x:c r="H178" s="19" t="n">
        <x:v>14.708333333333334</x:v>
      </x:c>
      <x:c r="I178" s="18" t="n">
        <x:f>ROUND(MIN(Model_Config_v3!$B$6,MAX(Q178,R178,S178*Model_Config_v3!$B$4+T178*Model_Config_v3!$B$5)),0)</x:f>
        <x:v>680</x:v>
      </x:c>
      <x:c r="J178" s="18" t="n">
        <x:f>MIN(Model_Config_v3!$B$6,I178+Model_Config_v3!$B$7)</x:f>
        <x:v>700</x:v>
      </x:c>
      <x:c r="K178" s="20" t="n">
        <x:v>66.6</x:v>
      </x:c>
      <x:c r="L178" t="str">
        <x:v>SANGAT KETAT</x:v>
      </x:c>
      <x:c r="M178" t="str">
        <x:v>SEDANG+</x:v>
      </x:c>
      <x:c r="N178" t="str">
        <x:v>ELITE-3</x:v>
      </x:c>
      <x:c r="O178" t="str">
        <x:v>SAINTEK</x:v>
      </x:c>
      <x:c r="P178" t="str">
        <x:v>TEKNIK/ARSITEKTUR/STATISTIKA/AKTUARIA</x:v>
      </x:c>
      <x:c r="Q178" s="18" t="n">
        <x:v>635</x:v>
      </x:c>
      <x:c r="R178" s="18" t="n">
        <x:v>0</x:v>
      </x:c>
      <x:c r="S178" s="18" t="n">
        <x:v>648.4319810043838</x:v>
      </x:c>
      <x:c r="T178" s="18" t="n">
        <x:v>693</x:v>
      </x:c>
      <x:c r="U178" s="18" t="n">
        <x:v>658.4319810043838</x:v>
      </x:c>
      <x:c r="V178" s="20" t="n">
        <x:v>12</x:v>
      </x:c>
      <x:c r="W178" s="20" t="n">
        <x:v>5</x:v>
      </x:c>
      <x:c r="X178" s="20" t="n">
        <x:v>3</x:v>
      </x:c>
      <x:c r="Y178" t="str">
        <x:v>Basis arsip 2025/2024</x:v>
      </x:c>
      <x:c r="Z178" t="str">
        <x:v>https://snpmb.id/utbk-snbt/daya-tampung-snbt</x:v>
      </x:c>
      <x:c r="AA178" t="str">
        <x:v>Tidak Ada</x:v>
      </x:c>
      <x:c r="AB178" t="str">
        <x:v>Campus=80; Ratio=68.7; Prodi=60; RelDemand=34.1; Capacity=60.0</x:v>
      </x:c>
    </x:row>
    <x:row r="179">
      <x:c r="A179" t="n">
        <x:v>176</x:v>
      </x:c>
      <x:c r="B179" t="str">
        <x:v>PTN Akademik</x:v>
      </x:c>
      <x:c r="C179" t="str">
        <x:v>UNIVERSITAS SUMATERA UTARA</x:v>
      </x:c>
      <x:c r="D179" t="str">
        <x:v>TEKNIK ELEKTRO</x:v>
      </x:c>
      <x:c r="E179" t="str">
        <x:v>Sarjana</x:v>
      </x:c>
      <x:c r="F179" s="18" t="n">
        <x:v>40</x:v>
      </x:c>
      <x:c r="G179" s="18" t="n">
        <x:v>623</x:v>
      </x:c>
      <x:c r="H179" s="19" t="n">
        <x:v>15.575</x:v>
      </x:c>
      <x:c r="I179" s="18" t="n">
        <x:f>ROUND(MIN(Model_Config_v3!$B$6,MAX(Q179,R179,S179*Model_Config_v3!$B$4+T179*Model_Config_v3!$B$5)),0)</x:f>
        <x:v>683</x:v>
      </x:c>
      <x:c r="J179" s="18" t="n">
        <x:f>MIN(Model_Config_v3!$B$6,I179+Model_Config_v3!$B$7)</x:f>
        <x:v>703</x:v>
      </x:c>
      <x:c r="K179" s="20" t="n">
        <x:v>67.8</x:v>
      </x:c>
      <x:c r="L179" t="str">
        <x:v>SANGAT KETAT</x:v>
      </x:c>
      <x:c r="M179" t="str">
        <x:v>SEDANG+</x:v>
      </x:c>
      <x:c r="N179" t="str">
        <x:v>ELITE-3</x:v>
      </x:c>
      <x:c r="O179" t="str">
        <x:v>SAINTEK</x:v>
      </x:c>
      <x:c r="P179" t="str">
        <x:v>TEKNIK/ARSITEKTUR/STATISTIKA/AKTUARIA</x:v>
      </x:c>
      <x:c r="Q179" s="18" t="n">
        <x:v>635</x:v>
      </x:c>
      <x:c r="R179" s="18" t="n">
        <x:v>0</x:v>
      </x:c>
      <x:c r="S179" s="18" t="n">
        <x:v>651.1670860864328</x:v>
      </x:c>
      <x:c r="T179" s="18" t="n">
        <x:v>696</x:v>
      </x:c>
      <x:c r="U179" s="18" t="n">
        <x:v>661.1670860864328</x:v>
      </x:c>
      <x:c r="V179" s="20" t="n">
        <x:v>12</x:v>
      </x:c>
      <x:c r="W179" s="20" t="n">
        <x:v>5</x:v>
      </x:c>
      <x:c r="X179" s="20" t="n">
        <x:v>3</x:v>
      </x:c>
      <x:c r="Y179" t="str">
        <x:v>Basis arsip 2025/2024</x:v>
      </x:c>
      <x:c r="Z179" t="str">
        <x:v>https://snpmb.id/utbk-snbt/daya-tampung-snbt</x:v>
      </x:c>
      <x:c r="AA179" t="str">
        <x:v>Tidak Ada</x:v>
      </x:c>
      <x:c r="AB179" t="str">
        <x:v>Campus=80; Ratio=70.2; Prodi=60; RelDemand=36.1; Capacity=66.7</x:v>
      </x:c>
    </x:row>
    <x:row r="180">
      <x:c r="A180" t="n">
        <x:v>177</x:v>
      </x:c>
      <x:c r="B180" t="str">
        <x:v>PTN Akademik</x:v>
      </x:c>
      <x:c r="C180" t="str">
        <x:v>UNIVERSITAS SUMATERA UTARA</x:v>
      </x:c>
      <x:c r="D180" t="str">
        <x:v>TEKNIK INDUSTRI</x:v>
      </x:c>
      <x:c r="E180" t="str">
        <x:v>Sarjana</x:v>
      </x:c>
      <x:c r="F180" s="18" t="n">
        <x:v>52</x:v>
      </x:c>
      <x:c r="G180" s="18" t="n">
        <x:v>1287</x:v>
      </x:c>
      <x:c r="H180" s="19" t="n">
        <x:v>24.75</x:v>
      </x:c>
      <x:c r="I180" s="18" t="n">
        <x:f>ROUND(MIN(Model_Config_v3!$B$6,MAX(Q180,R180,S180*Model_Config_v3!$B$4+T180*Model_Config_v3!$B$5)),0)</x:f>
        <x:v>695</x:v>
      </x:c>
      <x:c r="J180" s="18" t="n">
        <x:f>MIN(Model_Config_v3!$B$6,I180+Model_Config_v3!$B$7)</x:f>
        <x:v>715</x:v>
      </x:c>
      <x:c r="K180" s="20" t="n">
        <x:v>71.9</x:v>
      </x:c>
      <x:c r="L180" t="str">
        <x:v>SANGAT KETAT</x:v>
      </x:c>
      <x:c r="M180" t="str">
        <x:v>SEDANG+</x:v>
      </x:c>
      <x:c r="N180" t="str">
        <x:v>ELITE-3</x:v>
      </x:c>
      <x:c r="O180" t="str">
        <x:v>SAINTEK</x:v>
      </x:c>
      <x:c r="P180" t="str">
        <x:v>TEKNIK/ARSITEKTUR/STATISTIKA/AKTUARIA</x:v>
      </x:c>
      <x:c r="Q180" s="18" t="n">
        <x:v>635</x:v>
      </x:c>
      <x:c r="R180" s="18" t="n">
        <x:v>0</x:v>
      </x:c>
      <x:c r="S180" s="18" t="n">
        <x:v>673.2932723596546</x:v>
      </x:c>
      <x:c r="T180" s="18" t="n">
        <x:v>704</x:v>
      </x:c>
      <x:c r="U180" s="18" t="n">
        <x:v>683.2932723596546</x:v>
      </x:c>
      <x:c r="V180" s="20" t="n">
        <x:v>12</x:v>
      </x:c>
      <x:c r="W180" s="20" t="n">
        <x:v>5</x:v>
      </x:c>
      <x:c r="X180" s="20" t="n">
        <x:v>3</x:v>
      </x:c>
      <x:c r="Y180" t="str">
        <x:v>Basis arsip 2025/2024</x:v>
      </x:c>
      <x:c r="Z180" t="str">
        <x:v>https://snpmb.id/utbk-snbt/daya-tampung-snbt</x:v>
      </x:c>
      <x:c r="AA180" t="str">
        <x:v>Tidak Ada</x:v>
      </x:c>
      <x:c r="AB180" t="str">
        <x:v>Campus=80; Ratio=82.0; Prodi=60; RelDemand=57.4; Capacity=56.7</x:v>
      </x:c>
    </x:row>
    <x:row r="181">
      <x:c r="A181" t="n">
        <x:v>178</x:v>
      </x:c>
      <x:c r="B181" t="str">
        <x:v>PTN Akademik</x:v>
      </x:c>
      <x:c r="C181" t="str">
        <x:v>UNIVERSITAS SUMATERA UTARA</x:v>
      </x:c>
      <x:c r="D181" t="str">
        <x:v>TEKNIK KIMIA</x:v>
      </x:c>
      <x:c r="E181" t="str">
        <x:v>Sarjana</x:v>
      </x:c>
      <x:c r="F181" s="18" t="n">
        <x:v>39</x:v>
      </x:c>
      <x:c r="G181" s="18" t="n">
        <x:v>488</x:v>
      </x:c>
      <x:c r="H181" s="19" t="n">
        <x:v>12.512820512820513</x:v>
      </x:c>
      <x:c r="I181" s="18" t="n">
        <x:f>ROUND(MIN(Model_Config_v3!$B$6,MAX(Q181,R181,S181*Model_Config_v3!$B$4+T181*Model_Config_v3!$B$5)),0)</x:f>
        <x:v>677</x:v>
      </x:c>
      <x:c r="J181" s="18" t="n">
        <x:f>MIN(Model_Config_v3!$B$6,I181+Model_Config_v3!$B$7)</x:f>
        <x:v>697</x:v>
      </x:c>
      <x:c r="K181" s="20" t="n">
        <x:v>65.8</x:v>
      </x:c>
      <x:c r="L181" t="str">
        <x:v>SANGAT KETAT</x:v>
      </x:c>
      <x:c r="M181" t="str">
        <x:v>SEDANG+</x:v>
      </x:c>
      <x:c r="N181" t="str">
        <x:v>ELITE-3</x:v>
      </x:c>
      <x:c r="O181" t="str">
        <x:v>SAINTEK</x:v>
      </x:c>
      <x:c r="P181" t="str">
        <x:v>TEKNIK/ARSITEKTUR/STATISTIKA/AKTUARIA</x:v>
      </x:c>
      <x:c r="Q181" s="18" t="n">
        <x:v>635</x:v>
      </x:c>
      <x:c r="R181" s="18" t="n">
        <x:v>0</x:v>
      </x:c>
      <x:c r="S181" s="18" t="n">
        <x:v>640.7090736473832</x:v>
      </x:c>
      <x:c r="T181" s="18" t="n">
        <x:v>692</x:v>
      </x:c>
      <x:c r="U181" s="18" t="n">
        <x:v>650.7090736473832</x:v>
      </x:c>
      <x:c r="V181" s="20" t="n">
        <x:v>12</x:v>
      </x:c>
      <x:c r="W181" s="20" t="n">
        <x:v>5</x:v>
      </x:c>
      <x:c r="X181" s="20" t="n">
        <x:v>3</x:v>
      </x:c>
      <x:c r="Y181" t="str">
        <x:v>Basis arsip 2025/2024</x:v>
      </x:c>
      <x:c r="Z181" t="str">
        <x:v>https://snpmb.id/utbk-snbt/daya-tampung-snbt</x:v>
      </x:c>
      <x:c r="AA181" t="str">
        <x:v>Tidak Ada</x:v>
      </x:c>
      <x:c r="AB181" t="str">
        <x:v>Campus=80; Ratio=64.6; Prodi=60; RelDemand=29.0; Capacity=67.5</x:v>
      </x:c>
    </x:row>
    <x:row r="182">
      <x:c r="A182" t="n">
        <x:v>179</x:v>
      </x:c>
      <x:c r="B182" t="str">
        <x:v>PTN Akademik</x:v>
      </x:c>
      <x:c r="C182" t="str">
        <x:v>UNIVERSITAS SUMATERA UTARA</x:v>
      </x:c>
      <x:c r="D182" t="str">
        <x:v>PENDIDIKAN DOKTER GIGI</x:v>
      </x:c>
      <x:c r="E182" t="str">
        <x:v>Sarjana</x:v>
      </x:c>
      <x:c r="F182" s="18" t="n">
        <x:v>48</x:v>
      </x:c>
      <x:c r="G182" s="18" t="n">
        <x:v>1159</x:v>
      </x:c>
      <x:c r="H182" s="19" t="n">
        <x:v>24.145833333333332</x:v>
      </x:c>
      <x:c r="I182" s="18" t="n">
        <x:f>ROUND(MIN(Model_Config_v3!$B$6,MAX(Q182,R182,S182*Model_Config_v3!$B$4+T182*Model_Config_v3!$B$5)),0)</x:f>
        <x:v>703</x:v>
      </x:c>
      <x:c r="J182" s="18" t="n">
        <x:f>MIN(Model_Config_v3!$B$6,I182+Model_Config_v3!$B$7)</x:f>
        <x:v>723</x:v>
      </x:c>
      <x:c r="K182" s="20" t="n">
        <x:v>77.9</x:v>
      </x:c>
      <x:c r="L182" t="str">
        <x:v>ELITE</x:v>
      </x:c>
      <x:c r="M182" t="str">
        <x:v>SEDANG+</x:v>
      </x:c>
      <x:c r="N182" t="str">
        <x:v>ELITE-3</x:v>
      </x:c>
      <x:c r="O182" t="str">
        <x:v>SAINTEK</x:v>
      </x:c>
      <x:c r="P182" t="str">
        <x:v>KEDOKTERAN GIGI</x:v>
      </x:c>
      <x:c r="Q182" s="18" t="n">
        <x:v>635</x:v>
      </x:c>
      <x:c r="R182" s="18" t="n">
        <x:v>680</x:v>
      </x:c>
      <x:c r="S182" s="18" t="n">
        <x:v>672.112641844681</x:v>
      </x:c>
      <x:c r="T182" s="18" t="n">
        <x:v>716</x:v>
      </x:c>
      <x:c r="U182" s="18" t="n">
        <x:v>702.112641844681</x:v>
      </x:c>
      <x:c r="V182" s="20" t="n">
        <x:v>12</x:v>
      </x:c>
      <x:c r="W182" s="20" t="n">
        <x:v>5</x:v>
      </x:c>
      <x:c r="X182" s="20" t="n">
        <x:v>3</x:v>
      </x:c>
      <x:c r="Y182" t="str">
        <x:v>Basis arsip 2025/2024</x:v>
      </x:c>
      <x:c r="Z182" t="str">
        <x:v>https://snpmb.id/utbk-snbt/daya-tampung-snbt</x:v>
      </x:c>
      <x:c r="AA182" t="str">
        <x:v>Tidak Ada</x:v>
      </x:c>
      <x:c r="AB182" t="str">
        <x:v>Campus=80; Ratio=81.4; Prodi=90; RelDemand=56.0; Capacity=60.0</x:v>
      </x:c>
    </x:row>
    <x:row r="183">
      <x:c r="A183" t="n">
        <x:v>180</x:v>
      </x:c>
      <x:c r="B183" t="str">
        <x:v>PTN Akademik</x:v>
      </x:c>
      <x:c r="C183" t="str">
        <x:v>UNIVERSITAS SUMATERA UTARA</x:v>
      </x:c>
      <x:c r="D183" t="str">
        <x:v>MATEMATIKA</x:v>
      </x:c>
      <x:c r="E183" t="str">
        <x:v>Sarjana</x:v>
      </x:c>
      <x:c r="F183" s="18" t="n">
        <x:v>32</x:v>
      </x:c>
      <x:c r="G183" s="18" t="n">
        <x:v>270</x:v>
      </x:c>
      <x:c r="H183" s="19" t="n">
        <x:v>8.4375</x:v>
      </x:c>
      <x:c r="I183" s="18" t="n">
        <x:f>ROUND(MIN(Model_Config_v3!$B$6,MAX(Q183,R183,S183*Model_Config_v3!$B$4+T183*Model_Config_v3!$B$5)),0)</x:f>
        <x:v>664</x:v>
      </x:c>
      <x:c r="J183" s="18" t="n">
        <x:f>MIN(Model_Config_v3!$B$6,I183+Model_Config_v3!$B$7)</x:f>
        <x:v>684</x:v>
      </x:c>
      <x:c r="K183" s="20" t="n">
        <x:v>60.9</x:v>
      </x:c>
      <x:c r="L183" t="str">
        <x:v>KETAT</x:v>
      </x:c>
      <x:c r="M183" t="str">
        <x:v>SEDANG+</x:v>
      </x:c>
      <x:c r="N183" t="str">
        <x:v>ELITE-3</x:v>
      </x:c>
      <x:c r="O183" t="str">
        <x:v>SAINTEK</x:v>
      </x:c>
      <x:c r="P183" t="str">
        <x:v>SAINS DASAR</x:v>
      </x:c>
      <x:c r="Q183" s="18" t="n">
        <x:v>635</x:v>
      </x:c>
      <x:c r="R183" s="18" t="n">
        <x:v>0</x:v>
      </x:c>
      <x:c r="S183" s="18" t="n">
        <x:v>621.883516442299</x:v>
      </x:c>
      <x:c r="T183" s="18" t="n">
        <x:v>682</x:v>
      </x:c>
      <x:c r="U183" s="18" t="n">
        <x:v>635</x:v>
      </x:c>
      <x:c r="V183" s="20" t="n">
        <x:v>12</x:v>
      </x:c>
      <x:c r="W183" s="20" t="n">
        <x:v>5</x:v>
      </x:c>
      <x:c r="X183" s="20" t="n">
        <x:v>3</x:v>
      </x:c>
      <x:c r="Y183" t="str">
        <x:v>Basis arsip 2025/2024</x:v>
      </x:c>
      <x:c r="Z183" t="str">
        <x:v>https://snpmb.id/utbk-snbt/daya-tampung-snbt</x:v>
      </x:c>
      <x:c r="AA183" t="str">
        <x:v>Tidak Ada</x:v>
      </x:c>
      <x:c r="AB183" t="str">
        <x:v>Campus=80; Ratio=54.5; Prodi=50; RelDemand=19.6; Capacity=73.3</x:v>
      </x:c>
    </x:row>
    <x:row r="184">
      <x:c r="A184" t="n">
        <x:v>181</x:v>
      </x:c>
      <x:c r="B184" t="str">
        <x:v>PTN Akademik</x:v>
      </x:c>
      <x:c r="C184" t="str">
        <x:v>UNIVERSITAS SUMATERA UTARA</x:v>
      </x:c>
      <x:c r="D184" t="str">
        <x:v>KIMIA</x:v>
      </x:c>
      <x:c r="E184" t="str">
        <x:v>Sarjana</x:v>
      </x:c>
      <x:c r="F184" s="18" t="n">
        <x:v>32</x:v>
      </x:c>
      <x:c r="G184" s="18" t="n">
        <x:v>193</x:v>
      </x:c>
      <x:c r="H184" s="19" t="n">
        <x:v>6.03125</x:v>
      </x:c>
      <x:c r="I184" s="18" t="n">
        <x:f>ROUND(MIN(Model_Config_v3!$B$6,MAX(Q184,R184,S184*Model_Config_v3!$B$4+T184*Model_Config_v3!$B$5)),0)</x:f>
        <x:v>655</x:v>
      </x:c>
      <x:c r="J184" s="18" t="n">
        <x:f>MIN(Model_Config_v3!$B$6,I184+Model_Config_v3!$B$7)</x:f>
        <x:v>675</x:v>
      </x:c>
      <x:c r="K184" s="20" t="n">
        <x:v>58.2</x:v>
      </x:c>
      <x:c r="L184" t="str">
        <x:v>KETAT</x:v>
      </x:c>
      <x:c r="M184" t="str">
        <x:v>SEDANG+</x:v>
      </x:c>
      <x:c r="N184" t="str">
        <x:v>ELITE-3</x:v>
      </x:c>
      <x:c r="O184" t="str">
        <x:v>SAINTEK</x:v>
      </x:c>
      <x:c r="P184" t="str">
        <x:v>SAINS DASAR</x:v>
      </x:c>
      <x:c r="Q184" s="18" t="n">
        <x:v>635</x:v>
      </x:c>
      <x:c r="R184" s="18" t="n">
        <x:v>0</x:v>
      </x:c>
      <x:c r="S184" s="18" t="n">
        <x:v>605.8448063756655</x:v>
      </x:c>
      <x:c r="T184" s="18" t="n">
        <x:v>676</x:v>
      </x:c>
      <x:c r="U184" s="18" t="n">
        <x:v>635</x:v>
      </x:c>
      <x:c r="V184" s="20" t="n">
        <x:v>12</x:v>
      </x:c>
      <x:c r="W184" s="20" t="n">
        <x:v>5</x:v>
      </x:c>
      <x:c r="X184" s="20" t="n">
        <x:v>3</x:v>
      </x:c>
      <x:c r="Y184" t="str">
        <x:v>Basis arsip 2025/2024</x:v>
      </x:c>
      <x:c r="Z184" t="str">
        <x:v>https://snpmb.id/utbk-snbt/daya-tampung-snbt</x:v>
      </x:c>
      <x:c r="AA184" t="str">
        <x:v>Tidak Ada</x:v>
      </x:c>
      <x:c r="AB184" t="str">
        <x:v>Campus=80; Ratio=45.9; Prodi=50; RelDemand=14.0; Capacity=73.3</x:v>
      </x:c>
    </x:row>
    <x:row r="185">
      <x:c r="A185" t="n">
        <x:v>182</x:v>
      </x:c>
      <x:c r="B185" t="str">
        <x:v>PTN Akademik</x:v>
      </x:c>
      <x:c r="C185" t="str">
        <x:v>UNIVERSITAS SUMATERA UTARA</x:v>
      </x:c>
      <x:c r="D185" t="str">
        <x:v>FARMASI</x:v>
      </x:c>
      <x:c r="E185" t="str">
        <x:v>Sarjana</x:v>
      </x:c>
      <x:c r="F185" s="18" t="n">
        <x:v>64</x:v>
      </x:c>
      <x:c r="G185" s="18" t="n">
        <x:v>1912</x:v>
      </x:c>
      <x:c r="H185" s="19" t="n">
        <x:v>29.875</x:v>
      </x:c>
      <x:c r="I185" s="18" t="n">
        <x:f>ROUND(MIN(Model_Config_v3!$B$6,MAX(Q185,R185,S185*Model_Config_v3!$B$4+T185*Model_Config_v3!$B$5)),0)</x:f>
        <x:v>704</x:v>
      </x:c>
      <x:c r="J185" s="18" t="n">
        <x:f>MIN(Model_Config_v3!$B$6,I185+Model_Config_v3!$B$7)</x:f>
        <x:v>724</x:v>
      </x:c>
      <x:c r="K185" s="20" t="n">
        <x:v>76.3</x:v>
      </x:c>
      <x:c r="L185" t="str">
        <x:v>ELITE</x:v>
      </x:c>
      <x:c r="M185" t="str">
        <x:v>SEDANG+</x:v>
      </x:c>
      <x:c r="N185" t="str">
        <x:v>ELITE-3</x:v>
      </x:c>
      <x:c r="O185" t="str">
        <x:v>SAINTEK</x:v>
      </x:c>
      <x:c r="P185" t="str">
        <x:v>FARMASI</x:v>
      </x:c>
      <x:c r="Q185" s="18" t="n">
        <x:v>635</x:v>
      </x:c>
      <x:c r="R185" s="18" t="n">
        <x:v>660</x:v>
      </x:c>
      <x:c r="S185" s="18" t="n">
        <x:v>682.2838705351813</x:v>
      </x:c>
      <x:c r="T185" s="18" t="n">
        <x:v>713</x:v>
      </x:c>
      <x:c r="U185" s="18" t="n">
        <x:v>702.2838705351813</x:v>
      </x:c>
      <x:c r="V185" s="20" t="n">
        <x:v>12</x:v>
      </x:c>
      <x:c r="W185" s="20" t="n">
        <x:v>5</x:v>
      </x:c>
      <x:c r="X185" s="20" t="n">
        <x:v>3</x:v>
      </x:c>
      <x:c r="Y185" t="str">
        <x:v>Basis arsip 2025/2024</x:v>
      </x:c>
      <x:c r="Z185" t="str">
        <x:v>https://snpmb.id/utbk-snbt/daya-tampung-snbt</x:v>
      </x:c>
      <x:c r="AA185" t="str">
        <x:v>Tidak Ada</x:v>
      </x:c>
      <x:c r="AB185" t="str">
        <x:v>Campus=80; Ratio=86.8; Prodi=75; RelDemand=69.3; Capacity=46.7</x:v>
      </x:c>
    </x:row>
    <x:row r="186">
      <x:c r="A186" t="n">
        <x:v>183</x:v>
      </x:c>
      <x:c r="B186" t="str">
        <x:v>PTN Akademik</x:v>
      </x:c>
      <x:c r="C186" t="str">
        <x:v>UNIVERSITAS SUMATERA UTARA</x:v>
      </x:c>
      <x:c r="D186" t="str">
        <x:v>FISIKA</x:v>
      </x:c>
      <x:c r="E186" t="str">
        <x:v>Sarjana</x:v>
      </x:c>
      <x:c r="F186" s="18" t="n">
        <x:v>32</x:v>
      </x:c>
      <x:c r="G186" s="18" t="n">
        <x:v>97</x:v>
      </x:c>
      <x:c r="H186" s="19" t="n">
        <x:v>3.03125</x:v>
      </x:c>
      <x:c r="I186" s="18" t="n">
        <x:f>ROUND(MIN(Model_Config_v3!$B$6,MAX(Q186,R186,S186*Model_Config_v3!$B$4+T186*Model_Config_v3!$B$5)),0)</x:f>
        <x:v>638</x:v>
      </x:c>
      <x:c r="J186" s="18" t="n">
        <x:f>MIN(Model_Config_v3!$B$6,I186+Model_Config_v3!$B$7)</x:f>
        <x:v>658</x:v>
      </x:c>
      <x:c r="K186" s="20" t="n">
        <x:v>53.1</x:v>
      </x:c>
      <x:c r="L186" t="str">
        <x:v>MENENGAH</x:v>
      </x:c>
      <x:c r="M186" t="str">
        <x:v>SEDANG+</x:v>
      </x:c>
      <x:c r="N186" t="str">
        <x:v>ELITE-3</x:v>
      </x:c>
      <x:c r="O186" t="str">
        <x:v>SAINTEK</x:v>
      </x:c>
      <x:c r="P186" t="str">
        <x:v>SAINS DASAR</x:v>
      </x:c>
      <x:c r="Q186" s="18" t="n">
        <x:v>635</x:v>
      </x:c>
      <x:c r="R186" s="18" t="n">
        <x:v>0</x:v>
      </x:c>
      <x:c r="S186" s="18" t="n">
        <x:v>572.9783931540973</x:v>
      </x:c>
      <x:c r="T186" s="18" t="n">
        <x:v>666</x:v>
      </x:c>
      <x:c r="U186" s="18" t="n">
        <x:v>635</x:v>
      </x:c>
      <x:c r="V186" s="20" t="n">
        <x:v>12</x:v>
      </x:c>
      <x:c r="W186" s="20" t="n">
        <x:v>5</x:v>
      </x:c>
      <x:c r="X186" s="20" t="n">
        <x:v>3</x:v>
      </x:c>
      <x:c r="Y186" t="str">
        <x:v>Basis arsip 2025/2024</x:v>
      </x:c>
      <x:c r="Z186" t="str">
        <x:v>https://snpmb.id/utbk-snbt/daya-tampung-snbt</x:v>
      </x:c>
      <x:c r="AA186" t="str">
        <x:v>Tidak Ada</x:v>
      </x:c>
      <x:c r="AB186" t="str">
        <x:v>Campus=80; Ratio=28.3; Prodi=50; RelDemand=7.0; Capacity=73.3</x:v>
      </x:c>
    </x:row>
    <x:row r="187">
      <x:c r="A187" t="n">
        <x:v>184</x:v>
      </x:c>
      <x:c r="B187" t="str">
        <x:v>PTN Akademik</x:v>
      </x:c>
      <x:c r="C187" t="str">
        <x:v>UNIVERSITAS SUMATERA UTARA</x:v>
      </x:c>
      <x:c r="D187" t="str">
        <x:v>ILMU KESEHATAN MASYARAKAT</x:v>
      </x:c>
      <x:c r="E187" t="str">
        <x:v>Sarjana</x:v>
      </x:c>
      <x:c r="F187" s="18" t="n">
        <x:v>128</x:v>
      </x:c>
      <x:c r="G187" s="18" t="n">
        <x:v>1853</x:v>
      </x:c>
      <x:c r="H187" s="19" t="n">
        <x:v>14.4765625</x:v>
      </x:c>
      <x:c r="I187" s="18" t="n">
        <x:f>ROUND(MIN(Model_Config_v3!$B$6,MAX(Q187,R187,S187*Model_Config_v3!$B$4+T187*Model_Config_v3!$B$5)),0)</x:f>
        <x:v>670</x:v>
      </x:c>
      <x:c r="J187" s="18" t="n">
        <x:f>MIN(Model_Config_v3!$B$6,I187+Model_Config_v3!$B$7)</x:f>
        <x:v>690</x:v>
      </x:c>
      <x:c r="K187" s="20" t="n">
        <x:v>59.4</x:v>
      </x:c>
      <x:c r="L187" t="str">
        <x:v>KETAT</x:v>
      </x:c>
      <x:c r="M187" t="str">
        <x:v>SEDANG+</x:v>
      </x:c>
      <x:c r="N187" t="str">
        <x:v>ELITE-3</x:v>
      </x:c>
      <x:c r="O187" t="str">
        <x:v>SAINTEK</x:v>
      </x:c>
      <x:c r="P187" t="str">
        <x:v>KESEHAT/GIZI/KEPERAWATAN</x:v>
      </x:c>
      <x:c r="Q187" s="18" t="n">
        <x:v>635</x:v>
      </x:c>
      <x:c r="R187" s="18" t="n">
        <x:v>0</x:v>
      </x:c>
      <x:c r="S187" s="18" t="n">
        <x:v>647.6731994638133</x:v>
      </x:c>
      <x:c r="T187" s="18" t="n">
        <x:v>679</x:v>
      </x:c>
      <x:c r="U187" s="18" t="n">
        <x:v>647.6731994638133</x:v>
      </x:c>
      <x:c r="V187" s="20" t="n">
        <x:v>12</x:v>
      </x:c>
      <x:c r="W187" s="20" t="n">
        <x:v>5</x:v>
      </x:c>
      <x:c r="X187" s="20" t="n">
        <x:v>3</x:v>
      </x:c>
      <x:c r="Y187" t="str">
        <x:v>Basis arsip 2025/2024</x:v>
      </x:c>
      <x:c r="Z187" t="str">
        <x:v>https://snpmb.id/utbk-snbt/daya-tampung-snbt</x:v>
      </x:c>
      <x:c r="AA187" t="str">
        <x:v>Tidak Ada</x:v>
      </x:c>
      <x:c r="AB187" t="str">
        <x:v>Campus=80; Ratio=68.3; Prodi=55; RelDemand=33.6; Capacity=0.0</x:v>
      </x:c>
    </x:row>
    <x:row r="188">
      <x:c r="A188" t="n">
        <x:v>185</x:v>
      </x:c>
      <x:c r="B188" t="str">
        <x:v>PTN Akademik</x:v>
      </x:c>
      <x:c r="C188" t="str">
        <x:v>UNIVERSITAS SUMATERA UTARA</x:v>
      </x:c>
      <x:c r="D188" t="str">
        <x:v>AGROEKOTEKNOLOGI</x:v>
      </x:c>
      <x:c r="E188" t="str">
        <x:v>Sarjana</x:v>
      </x:c>
      <x:c r="F188" s="18" t="n">
        <x:v>96</x:v>
      </x:c>
      <x:c r="G188" s="18" t="n">
        <x:v>862</x:v>
      </x:c>
      <x:c r="H188" s="19" t="n">
        <x:v>8.979166666666666</x:v>
      </x:c>
      <x:c r="I188" s="18" t="n">
        <x:f>ROUND(MIN(Model_Config_v3!$B$6,MAX(Q188,R188,S188*Model_Config_v3!$B$4+T188*Model_Config_v3!$B$5)),0)</x:f>
        <x:v>655</x:v>
      </x:c>
      <x:c r="J188" s="18" t="n">
        <x:f>MIN(Model_Config_v3!$B$6,I188+Model_Config_v3!$B$7)</x:f>
        <x:v>675</x:v>
      </x:c>
      <x:c r="K188" s="20" t="n">
        <x:v>54.1</x:v>
      </x:c>
      <x:c r="L188" t="str">
        <x:v>MENENGAH</x:v>
      </x:c>
      <x:c r="M188" t="str">
        <x:v>SEDANG+</x:v>
      </x:c>
      <x:c r="N188" t="str">
        <x:v>ELITE-3</x:v>
      </x:c>
      <x:c r="O188" t="str">
        <x:v>SAINTEK</x:v>
      </x:c>
      <x:c r="P188" t="str">
        <x:v>UMUM</x:v>
      </x:c>
      <x:c r="Q188" s="18" t="n">
        <x:v>635</x:v>
      </x:c>
      <x:c r="R188" s="18" t="n">
        <x:v>0</x:v>
      </x:c>
      <x:c r="S188" s="18" t="n">
        <x:v>624.8559636063659</x:v>
      </x:c>
      <x:c r="T188" s="18" t="n">
        <x:v>668</x:v>
      </x:c>
      <x:c r="U188" s="18" t="n">
        <x:v>635</x:v>
      </x:c>
      <x:c r="V188" s="20" t="n">
        <x:v>12</x:v>
      </x:c>
      <x:c r="W188" s="20" t="n">
        <x:v>5</x:v>
      </x:c>
      <x:c r="X188" s="20" t="n">
        <x:v>3</x:v>
      </x:c>
      <x:c r="Y188" t="str">
        <x:v>Basis arsip 2025/2024</x:v>
      </x:c>
      <x:c r="Z188" t="str">
        <x:v>https://snpmb.id/utbk-snbt/daya-tampung-snbt</x:v>
      </x:c>
      <x:c r="AA188" t="str">
        <x:v>Tidak Ada</x:v>
      </x:c>
      <x:c r="AB188" t="str">
        <x:v>Campus=80; Ratio=56.1; Prodi=40; RelDemand=20.8; Capacity=20.0</x:v>
      </x:c>
    </x:row>
    <x:row r="189">
      <x:c r="A189" t="n">
        <x:v>186</x:v>
      </x:c>
      <x:c r="B189" t="str">
        <x:v>PTN Akademik</x:v>
      </x:c>
      <x:c r="C189" t="str">
        <x:v>UNIVERSITAS SUMATERA UTARA</x:v>
      </x:c>
      <x:c r="D189" t="str">
        <x:v>KETEKNIKAN PERTANIAN</x:v>
      </x:c>
      <x:c r="E189" t="str">
        <x:v>Sarjana</x:v>
      </x:c>
      <x:c r="F189" s="18" t="n">
        <x:v>32</x:v>
      </x:c>
      <x:c r="G189" s="18" t="n">
        <x:v>489</x:v>
      </x:c>
      <x:c r="H189" s="19" t="n">
        <x:v>15.28125</x:v>
      </x:c>
      <x:c r="I189" s="18" t="n">
        <x:f>ROUND(MIN(Model_Config_v3!$B$6,MAX(Q189,R189,S189*Model_Config_v3!$B$4+T189*Model_Config_v3!$B$5)),0)</x:f>
        <x:v>683</x:v>
      </x:c>
      <x:c r="J189" s="18" t="n">
        <x:f>MIN(Model_Config_v3!$B$6,I189+Model_Config_v3!$B$7)</x:f>
        <x:v>703</x:v>
      </x:c>
      <x:c r="K189" s="20" t="n">
        <x:v>68.3</x:v>
      </x:c>
      <x:c r="L189" t="str">
        <x:v>SANGAT KETAT</x:v>
      </x:c>
      <x:c r="M189" t="str">
        <x:v>SEDANG+</x:v>
      </x:c>
      <x:c r="N189" t="str">
        <x:v>ELITE-3</x:v>
      </x:c>
      <x:c r="O189" t="str">
        <x:v>SAINTEK</x:v>
      </x:c>
      <x:c r="P189" t="str">
        <x:v>TEKNIK/ARSITEKTUR/STATISTIKA/AKTUARIA</x:v>
      </x:c>
      <x:c r="Q189" s="18" t="n">
        <x:v>635</x:v>
      </x:c>
      <x:c r="R189" s="18" t="n">
        <x:v>0</x:v>
      </x:c>
      <x:c r="S189" s="18" t="n">
        <x:v>650.2574768884085</x:v>
      </x:c>
      <x:c r="T189" s="18" t="n">
        <x:v>697</x:v>
      </x:c>
      <x:c r="U189" s="18" t="n">
        <x:v>660.2574768884085</x:v>
      </x:c>
      <x:c r="V189" s="20" t="n">
        <x:v>12</x:v>
      </x:c>
      <x:c r="W189" s="20" t="n">
        <x:v>5</x:v>
      </x:c>
      <x:c r="X189" s="20" t="n">
        <x:v>3</x:v>
      </x:c>
      <x:c r="Y189" t="str">
        <x:v>Basis arsip 2025/2024</x:v>
      </x:c>
      <x:c r="Z189" t="str">
        <x:v>https://snpmb.id/utbk-snbt/daya-tampung-snbt</x:v>
      </x:c>
      <x:c r="AA189" t="str">
        <x:v>Tidak Ada</x:v>
      </x:c>
      <x:c r="AB189" t="str">
        <x:v>Campus=80; Ratio=69.7; Prodi=60; RelDemand=35.4; Capacity=73.3</x:v>
      </x:c>
    </x:row>
    <x:row r="190">
      <x:c r="A190" t="n">
        <x:v>187</x:v>
      </x:c>
      <x:c r="B190" t="str">
        <x:v>PTN Akademik</x:v>
      </x:c>
      <x:c r="C190" t="str">
        <x:v>UNIVERSITAS SUMATERA UTARA</x:v>
      </x:c>
      <x:c r="D190" t="str">
        <x:v>BIOLOGI</x:v>
      </x:c>
      <x:c r="E190" t="str">
        <x:v>Sarjana</x:v>
      </x:c>
      <x:c r="F190" s="18" t="n">
        <x:v>32</x:v>
      </x:c>
      <x:c r="G190" s="18" t="n">
        <x:v>234</x:v>
      </x:c>
      <x:c r="H190" s="19" t="n">
        <x:v>7.3125</x:v>
      </x:c>
      <x:c r="I190" s="18" t="n">
        <x:f>ROUND(MIN(Model_Config_v3!$B$6,MAX(Q190,R190,S190*Model_Config_v3!$B$4+T190*Model_Config_v3!$B$5)),0)</x:f>
        <x:v>660</x:v>
      </x:c>
      <x:c r="J190" s="18" t="n">
        <x:f>MIN(Model_Config_v3!$B$6,I190+Model_Config_v3!$B$7)</x:f>
        <x:v>680</x:v>
      </x:c>
      <x:c r="K190" s="20" t="n">
        <x:v>59.7</x:v>
      </x:c>
      <x:c r="L190" t="str">
        <x:v>KETAT</x:v>
      </x:c>
      <x:c r="M190" t="str">
        <x:v>SEDANG+</x:v>
      </x:c>
      <x:c r="N190" t="str">
        <x:v>ELITE-3</x:v>
      </x:c>
      <x:c r="O190" t="str">
        <x:v>SAINTEK</x:v>
      </x:c>
      <x:c r="P190" t="str">
        <x:v>SAINS DASAR</x:v>
      </x:c>
      <x:c r="Q190" s="18" t="n">
        <x:v>635</x:v>
      </x:c>
      <x:c r="R190" s="18" t="n">
        <x:v>0</x:v>
      </x:c>
      <x:c r="S190" s="18" t="n">
        <x:v>615.0472466999261</x:v>
      </x:c>
      <x:c r="T190" s="18" t="n">
        <x:v>679</x:v>
      </x:c>
      <x:c r="U190" s="18" t="n">
        <x:v>635</x:v>
      </x:c>
      <x:c r="V190" s="20" t="n">
        <x:v>12</x:v>
      </x:c>
      <x:c r="W190" s="20" t="n">
        <x:v>5</x:v>
      </x:c>
      <x:c r="X190" s="20" t="n">
        <x:v>3</x:v>
      </x:c>
      <x:c r="Y190" t="str">
        <x:v>Basis arsip 2025/2024</x:v>
      </x:c>
      <x:c r="Z190" t="str">
        <x:v>https://snpmb.id/utbk-snbt/daya-tampung-snbt</x:v>
      </x:c>
      <x:c r="AA190" t="str">
        <x:v>Tidak Ada</x:v>
      </x:c>
      <x:c r="AB190" t="str">
        <x:v>Campus=80; Ratio=50.9; Prodi=50; RelDemand=17.0; Capacity=73.3</x:v>
      </x:c>
    </x:row>
    <x:row r="191">
      <x:c r="A191" t="n">
        <x:v>188</x:v>
      </x:c>
      <x:c r="B191" t="str">
        <x:v>PTN Akademik</x:v>
      </x:c>
      <x:c r="C191" t="str">
        <x:v>UNIVERSITAS SUMATERA UTARA</x:v>
      </x:c>
      <x:c r="D191" t="str">
        <x:v>AGRIBISNIS</x:v>
      </x:c>
      <x:c r="E191" t="str">
        <x:v>Sarjana</x:v>
      </x:c>
      <x:c r="F191" s="18" t="n">
        <x:v>64</x:v>
      </x:c>
      <x:c r="G191" s="18" t="n">
        <x:v>970</x:v>
      </x:c>
      <x:c r="H191" s="19" t="n">
        <x:v>15.15625</x:v>
      </x:c>
      <x:c r="I191" s="18" t="n">
        <x:f>ROUND(MIN(Model_Config_v3!$B$6,MAX(Q191,R191,S191*Model_Config_v3!$B$4+T191*Model_Config_v3!$B$5)),0)</x:f>
        <x:v>680</x:v>
      </x:c>
      <x:c r="J191" s="18" t="n">
        <x:f>MIN(Model_Config_v3!$B$6,I191+Model_Config_v3!$B$7)</x:f>
        <x:v>700</x:v>
      </x:c>
      <x:c r="K191" s="20" t="n">
        <x:v>66.6</x:v>
      </x:c>
      <x:c r="L191" t="str">
        <x:v>SANGAT KETAT</x:v>
      </x:c>
      <x:c r="M191" t="str">
        <x:v>SEDANG+</x:v>
      </x:c>
      <x:c r="N191" t="str">
        <x:v>ELITE-3</x:v>
      </x:c>
      <x:c r="O191" t="str">
        <x:v>SOSHUM</x:v>
      </x:c>
      <x:c r="P191" t="str">
        <x:v>BISNIS/EKONOMI/AKUNTANSI</x:v>
      </x:c>
      <x:c r="Q191" s="18" t="n">
        <x:v>635</x:v>
      </x:c>
      <x:c r="R191" s="18" t="n">
        <x:v>0</x:v>
      </x:c>
      <x:c r="S191" s="18" t="n">
        <x:v>649.8650936310594</x:v>
      </x:c>
      <x:c r="T191" s="18" t="n">
        <x:v>693</x:v>
      </x:c>
      <x:c r="U191" s="18" t="n">
        <x:v>664.8650936310594</x:v>
      </x:c>
      <x:c r="V191" s="20" t="n">
        <x:v>4.4</x:v>
      </x:c>
      <x:c r="W191" s="20" t="n">
        <x:v>14.3</x:v>
      </x:c>
      <x:c r="X191" s="20" t="n">
        <x:v>3.3</x:v>
      </x:c>
      <x:c r="Y191" t="str">
        <x:v>Basis arsip 2025/2024</x:v>
      </x:c>
      <x:c r="Z191" t="str">
        <x:v>https://snpmb.id/utbk-snbt/daya-tampung-snbt</x:v>
      </x:c>
      <x:c r="AA191" t="str">
        <x:v>Tidak Ada</x:v>
      </x:c>
      <x:c r="AB191" t="str">
        <x:v>Campus=80; Ratio=69.5; Prodi=65; RelDemand=35.1; Capacity=46.7</x:v>
      </x:c>
    </x:row>
    <x:row r="192">
      <x:c r="A192" t="n">
        <x:v>189</x:v>
      </x:c>
      <x:c r="B192" t="str">
        <x:v>PTN Akademik</x:v>
      </x:c>
      <x:c r="C192" t="str">
        <x:v>UNIVERSITAS SUMATERA UTARA</x:v>
      </x:c>
      <x:c r="D192" t="str">
        <x:v>ILMU DAN TEKNOLOGI PANGAN</x:v>
      </x:c>
      <x:c r="E192" t="str">
        <x:v>Sarjana</x:v>
      </x:c>
      <x:c r="F192" s="18" t="n">
        <x:v>32</x:v>
      </x:c>
      <x:c r="G192" s="18" t="n">
        <x:v>619</x:v>
      </x:c>
      <x:c r="H192" s="19" t="n">
        <x:v>19.34375</x:v>
      </x:c>
      <x:c r="I192" s="18" t="n">
        <x:f>ROUND(MIN(Model_Config_v3!$B$6,MAX(Q192,R192,S192*Model_Config_v3!$B$4+T192*Model_Config_v3!$B$5)),0)</x:f>
        <x:v>684</x:v>
      </x:c>
      <x:c r="J192" s="18" t="n">
        <x:f>MIN(Model_Config_v3!$B$6,I192+Model_Config_v3!$B$7)</x:f>
        <x:v>704</x:v>
      </x:c>
      <x:c r="K192" s="20" t="n">
        <x:v>66.7</x:v>
      </x:c>
      <x:c r="L192" t="str">
        <x:v>SANGAT KETAT</x:v>
      </x:c>
      <x:c r="M192" t="str">
        <x:v>SEDANG+</x:v>
      </x:c>
      <x:c r="N192" t="str">
        <x:v>ELITE-3</x:v>
      </x:c>
      <x:c r="O192" t="str">
        <x:v>SAINTEK</x:v>
      </x:c>
      <x:c r="P192" t="str">
        <x:v>UMUM</x:v>
      </x:c>
      <x:c r="Q192" s="18" t="n">
        <x:v>635</x:v>
      </x:c>
      <x:c r="R192" s="18" t="n">
        <x:v>0</x:v>
      </x:c>
      <x:c r="S192" s="18" t="n">
        <x:v>661.5194737770233</x:v>
      </x:c>
      <x:c r="T192" s="18" t="n">
        <x:v>693</x:v>
      </x:c>
      <x:c r="U192" s="18" t="n">
        <x:v>661.5194737770233</x:v>
      </x:c>
      <x:c r="V192" s="20" t="n">
        <x:v>12</x:v>
      </x:c>
      <x:c r="W192" s="20" t="n">
        <x:v>5</x:v>
      </x:c>
      <x:c r="X192" s="20" t="n">
        <x:v>3</x:v>
      </x:c>
      <x:c r="Y192" t="str">
        <x:v>Basis arsip 2025/2024</x:v>
      </x:c>
      <x:c r="Z192" t="str">
        <x:v>https://snpmb.id/utbk-snbt/daya-tampung-snbt</x:v>
      </x:c>
      <x:c r="AA192" t="str">
        <x:v>Tidak Ada</x:v>
      </x:c>
      <x:c r="AB192" t="str">
        <x:v>Campus=80; Ratio=75.7; Prodi=40; RelDemand=44.8; Capacity=73.3</x:v>
      </x:c>
    </x:row>
    <x:row r="193">
      <x:c r="A193" t="n">
        <x:v>190</x:v>
      </x:c>
      <x:c r="B193" t="str">
        <x:v>PTN Akademik</x:v>
      </x:c>
      <x:c r="C193" t="str">
        <x:v>UNIVERSITAS SUMATERA UTARA</x:v>
      </x:c>
      <x:c r="D193" t="str">
        <x:v>PETERNAKAN</x:v>
      </x:c>
      <x:c r="E193" t="str">
        <x:v>Sarjana</x:v>
      </x:c>
      <x:c r="F193" s="18" t="n">
        <x:v>58</x:v>
      </x:c>
      <x:c r="G193" s="18" t="n">
        <x:v>318</x:v>
      </x:c>
      <x:c r="H193" s="19" t="n">
        <x:v>5.482758620689655</x:v>
      </x:c>
      <x:c r="I193" s="18" t="n">
        <x:f>ROUND(MIN(Model_Config_v3!$B$6,MAX(Q193,R193,S193*Model_Config_v3!$B$4+T193*Model_Config_v3!$B$5)),0)</x:f>
        <x:v>647</x:v>
      </x:c>
      <x:c r="J193" s="18" t="n">
        <x:f>MIN(Model_Config_v3!$B$6,I193+Model_Config_v3!$B$7)</x:f>
        <x:v>667</x:v>
      </x:c>
      <x:c r="K193" s="20" t="n">
        <x:v>53.3</x:v>
      </x:c>
      <x:c r="L193" t="str">
        <x:v>MENENGAH</x:v>
      </x:c>
      <x:c r="M193" t="str">
        <x:v>SEDANG+</x:v>
      </x:c>
      <x:c r="N193" t="str">
        <x:v>ELITE-3</x:v>
      </x:c>
      <x:c r="O193" t="str">
        <x:v>SAINTEK</x:v>
      </x:c>
      <x:c r="P193" t="str">
        <x:v>UMUM</x:v>
      </x:c>
      <x:c r="Q193" s="18" t="n">
        <x:v>635</x:v>
      </x:c>
      <x:c r="R193" s="18" t="n">
        <x:v>0</x:v>
      </x:c>
      <x:c r="S193" s="18" t="n">
        <x:v>601.2899039063644</x:v>
      </x:c>
      <x:c r="T193" s="18" t="n">
        <x:v>667</x:v>
      </x:c>
      <x:c r="U193" s="18" t="n">
        <x:v>635</x:v>
      </x:c>
      <x:c r="V193" s="20" t="n">
        <x:v>12</x:v>
      </x:c>
      <x:c r="W193" s="20" t="n">
        <x:v>5</x:v>
      </x:c>
      <x:c r="X193" s="20" t="n">
        <x:v>3</x:v>
      </x:c>
      <x:c r="Y193" t="str">
        <x:v>Basis arsip 2025/2024</x:v>
      </x:c>
      <x:c r="Z193" t="str">
        <x:v>https://snpmb.id/utbk-snbt/daya-tampung-snbt</x:v>
      </x:c>
      <x:c r="AA193" t="str">
        <x:v>Tidak Ada</x:v>
      </x:c>
      <x:c r="AB193" t="str">
        <x:v>Campus=80; Ratio=43.5; Prodi=40; RelDemand=12.7; Capacity=51.7</x:v>
      </x:c>
    </x:row>
    <x:row r="194">
      <x:c r="A194" t="n">
        <x:v>191</x:v>
      </x:c>
      <x:c r="B194" t="str">
        <x:v>PTN Akademik</x:v>
      </x:c>
      <x:c r="C194" t="str">
        <x:v>UNIVERSITAS SUMATERA UTARA</x:v>
      </x:c>
      <x:c r="D194" t="str">
        <x:v>ARSITEKTUR</x:v>
      </x:c>
      <x:c r="E194" t="str">
        <x:v>Sarjana</x:v>
      </x:c>
      <x:c r="F194" s="18" t="n">
        <x:v>32</x:v>
      </x:c>
      <x:c r="G194" s="18" t="n">
        <x:v>495</x:v>
      </x:c>
      <x:c r="H194" s="19" t="n">
        <x:v>15.46875</x:v>
      </x:c>
      <x:c r="I194" s="18" t="n">
        <x:f>ROUND(MIN(Model_Config_v3!$B$6,MAX(Q194,R194,S194*Model_Config_v3!$B$4+T194*Model_Config_v3!$B$5)),0)</x:f>
        <x:v>683</x:v>
      </x:c>
      <x:c r="J194" s="18" t="n">
        <x:f>MIN(Model_Config_v3!$B$6,I194+Model_Config_v3!$B$7)</x:f>
        <x:v>703</x:v>
      </x:c>
      <x:c r="K194" s="20" t="n">
        <x:v>68.4</x:v>
      </x:c>
      <x:c r="L194" t="str">
        <x:v>SANGAT KETAT</x:v>
      </x:c>
      <x:c r="M194" t="str">
        <x:v>SEDANG+</x:v>
      </x:c>
      <x:c r="N194" t="str">
        <x:v>ELITE-3</x:v>
      </x:c>
      <x:c r="O194" t="str">
        <x:v>SAINTEK</x:v>
      </x:c>
      <x:c r="P194" t="str">
        <x:v>TEKNIK/ARSITEKTUR/STATISTIKA/AKTUARIA</x:v>
      </x:c>
      <x:c r="Q194" s="18" t="n">
        <x:v>635</x:v>
      </x:c>
      <x:c r="R194" s="18" t="n">
        <x:v>0</x:v>
      </x:c>
      <x:c r="S194" s="18" t="n">
        <x:v>650.8400742675029</x:v>
      </x:c>
      <x:c r="T194" s="18" t="n">
        <x:v>697</x:v>
      </x:c>
      <x:c r="U194" s="18" t="n">
        <x:v>650.8400742675029</x:v>
      </x:c>
      <x:c r="V194" s="20" t="n">
        <x:v>12</x:v>
      </x:c>
      <x:c r="W194" s="20" t="n">
        <x:v>5</x:v>
      </x:c>
      <x:c r="X194" s="20" t="n">
        <x:v>3</x:v>
      </x:c>
      <x:c r="Y194" t="str">
        <x:v>Basis arsip 2025/2024</x:v>
      </x:c>
      <x:c r="Z194" t="str">
        <x:v>https://snpmb.id/utbk-snbt/daya-tampung-snbt</x:v>
      </x:c>
      <x:c r="AA194" t="str">
        <x:v>Tidak Ada</x:v>
      </x:c>
      <x:c r="AB194" t="str">
        <x:v>Campus=80; Ratio=70.0; Prodi=60; RelDemand=35.9; Capacity=73.3</x:v>
      </x:c>
    </x:row>
    <x:row r="195">
      <x:c r="A195" t="n">
        <x:v>192</x:v>
      </x:c>
      <x:c r="B195" t="str">
        <x:v>PTN Akademik</x:v>
      </x:c>
      <x:c r="C195" t="str">
        <x:v>UNIVERSITAS SUMATERA UTARA</x:v>
      </x:c>
      <x:c r="D195" t="str">
        <x:v>ILMU KEPERAWATAN</x:v>
      </x:c>
      <x:c r="E195" t="str">
        <x:v>Sarjana</x:v>
      </x:c>
      <x:c r="F195" s="18" t="n">
        <x:v>77</x:v>
      </x:c>
      <x:c r="G195" s="18" t="n">
        <x:v>1190</x:v>
      </x:c>
      <x:c r="H195" s="19" t="n">
        <x:v>15.454545454545455</x:v>
      </x:c>
      <x:c r="I195" s="18" t="n">
        <x:f>ROUND(MIN(Model_Config_v3!$B$6,MAX(Q195,R195,S195*Model_Config_v3!$B$4+T195*Model_Config_v3!$B$5)),0)</x:f>
        <x:v>676</x:v>
      </x:c>
      <x:c r="J195" s="18" t="n">
        <x:f>MIN(Model_Config_v3!$B$6,I195+Model_Config_v3!$B$7)</x:f>
        <x:v>696</x:v>
      </x:c>
      <x:c r="K195" s="20" t="n">
        <x:v>63.7</x:v>
      </x:c>
      <x:c r="L195" t="str">
        <x:v>KETAT</x:v>
      </x:c>
      <x:c r="M195" t="str">
        <x:v>SEDANG+</x:v>
      </x:c>
      <x:c r="N195" t="str">
        <x:v>ELITE-3</x:v>
      </x:c>
      <x:c r="O195" t="str">
        <x:v>SAINTEK</x:v>
      </x:c>
      <x:c r="P195" t="str">
        <x:v>KESEHAT/GIZI/KEPERAWATAN</x:v>
      </x:c>
      <x:c r="Q195" s="18" t="n">
        <x:v>635</x:v>
      </x:c>
      <x:c r="R195" s="18" t="n">
        <x:v>0</x:v>
      </x:c>
      <x:c r="S195" s="18" t="n">
        <x:v>650.7961859842053</x:v>
      </x:c>
      <x:c r="T195" s="18" t="n">
        <x:v>687</x:v>
      </x:c>
      <x:c r="U195" s="18" t="n">
        <x:v>650.7961859842053</x:v>
      </x:c>
      <x:c r="V195" s="20" t="n">
        <x:v>12</x:v>
      </x:c>
      <x:c r="W195" s="20" t="n">
        <x:v>5</x:v>
      </x:c>
      <x:c r="X195" s="20" t="n">
        <x:v>3</x:v>
      </x:c>
      <x:c r="Y195" t="str">
        <x:v>Basis arsip 2025/2024</x:v>
      </x:c>
      <x:c r="Z195" t="str">
        <x:v>https://snpmb.id/utbk-snbt/daya-tampung-snbt</x:v>
      </x:c>
      <x:c r="AA195" t="str">
        <x:v>Tidak Ada</x:v>
      </x:c>
      <x:c r="AB195" t="str">
        <x:v>Campus=80; Ratio=70.0; Prodi=55; RelDemand=35.8; Capacity=35.8</x:v>
      </x:c>
    </x:row>
    <x:row r="196">
      <x:c r="A196" t="n">
        <x:v>193</x:v>
      </x:c>
      <x:c r="B196" t="str">
        <x:v>PTN Akademik</x:v>
      </x:c>
      <x:c r="C196" t="str">
        <x:v>UNIVERSITAS SUMATERA UTARA</x:v>
      </x:c>
      <x:c r="D196" t="str">
        <x:v>KEHUTANAN</x:v>
      </x:c>
      <x:c r="E196" t="str">
        <x:v>Sarjana</x:v>
      </x:c>
      <x:c r="F196" s="18" t="n">
        <x:v>64</x:v>
      </x:c>
      <x:c r="G196" s="18" t="n">
        <x:v>745</x:v>
      </x:c>
      <x:c r="H196" s="19" t="n">
        <x:v>11.640625</x:v>
      </x:c>
      <x:c r="I196" s="18" t="n">
        <x:f>ROUND(MIN(Model_Config_v3!$B$6,MAX(Q196,R196,S196*Model_Config_v3!$B$4+T196*Model_Config_v3!$B$5)),0)</x:f>
        <x:v>666</x:v>
      </x:c>
      <x:c r="J196" s="18" t="n">
        <x:f>MIN(Model_Config_v3!$B$6,I196+Model_Config_v3!$B$7)</x:f>
        <x:v>686</x:v>
      </x:c>
      <x:c r="K196" s="20" t="n">
        <x:v>59.1</x:v>
      </x:c>
      <x:c r="L196" t="str">
        <x:v>KETAT</x:v>
      </x:c>
      <x:c r="M196" t="str">
        <x:v>SEDANG+</x:v>
      </x:c>
      <x:c r="N196" t="str">
        <x:v>ELITE-3</x:v>
      </x:c>
      <x:c r="O196" t="str">
        <x:v>CAMPURAN</x:v>
      </x:c>
      <x:c r="P196" t="str">
        <x:v>UMUM</x:v>
      </x:c>
      <x:c r="Q196" s="18" t="n">
        <x:v>635</x:v>
      </x:c>
      <x:c r="R196" s="18" t="n">
        <x:v>0</x:v>
      </x:c>
      <x:c r="S196" s="18" t="n">
        <x:v>637.2573928640846</x:v>
      </x:c>
      <x:c r="T196" s="18" t="n">
        <x:v>678</x:v>
      </x:c>
      <x:c r="U196" s="18" t="n">
        <x:v>637.2573928640846</x:v>
      </x:c>
      <x:c r="V196" s="20" t="n">
        <x:v>8.8</x:v>
      </x:c>
      <x:c r="W196" s="20" t="n">
        <x:v>9.9</x:v>
      </x:c>
      <x:c r="X196" s="20" t="n">
        <x:v>3.3</x:v>
      </x:c>
      <x:c r="Y196" t="str">
        <x:v>Basis arsip 2025/2024</x:v>
      </x:c>
      <x:c r="Z196" t="str">
        <x:v>https://snpmb.id/utbk-snbt/daya-tampung-snbt</x:v>
      </x:c>
      <x:c r="AA196" t="str">
        <x:v>Tidak Ada</x:v>
      </x:c>
      <x:c r="AB196" t="str">
        <x:v>Campus=80; Ratio=62.7; Prodi=40; RelDemand=27.0; Capacity=46.7</x:v>
      </x:c>
    </x:row>
    <x:row r="197">
      <x:c r="A197" t="n">
        <x:v>194</x:v>
      </x:c>
      <x:c r="B197" t="str">
        <x:v>PTN Akademik</x:v>
      </x:c>
      <x:c r="C197" t="str">
        <x:v>UNIVERSITAS SUMATERA UTARA</x:v>
      </x:c>
      <x:c r="D197" t="str">
        <x:v>ILMU KOMPUTER</x:v>
      </x:c>
      <x:c r="E197" t="str">
        <x:v>Sarjana</x:v>
      </x:c>
      <x:c r="F197" s="18" t="n">
        <x:v>48</x:v>
      </x:c>
      <x:c r="G197" s="18" t="n">
        <x:v>1696</x:v>
      </x:c>
      <x:c r="H197" s="19" t="n">
        <x:v>35.333333333333336</x:v>
      </x:c>
      <x:c r="I197" s="18" t="n">
        <x:f>ROUND(MIN(Model_Config_v3!$B$6,MAX(Q197,R197,S197*Model_Config_v3!$B$4+T197*Model_Config_v3!$B$5)),0)</x:f>
        <x:v>714</x:v>
      </x:c>
      <x:c r="J197" s="18" t="n">
        <x:f>MIN(Model_Config_v3!$B$6,I197+Model_Config_v3!$B$7)</x:f>
        <x:v>734</x:v>
      </x:c>
      <x:c r="K197" s="20" t="n">
        <x:v>82</x:v>
      </x:c>
      <x:c r="L197" t="str">
        <x:v>ELITE</x:v>
      </x:c>
      <x:c r="M197" t="str">
        <x:v>SEDANG+</x:v>
      </x:c>
      <x:c r="N197" t="str">
        <x:v>ELITE-3</x:v>
      </x:c>
      <x:c r="O197" t="str">
        <x:v>SAINTEK</x:v>
      </x:c>
      <x:c r="P197" t="str">
        <x:v>KOMPUTER/INFORMATIKA</x:v>
      </x:c>
      <x:c r="Q197" s="18" t="n">
        <x:v>635</x:v>
      </x:c>
      <x:c r="R197" s="18" t="n">
        <x:v>675</x:v>
      </x:c>
      <x:c r="S197" s="18" t="n">
        <x:v>690.3003071599619</x:v>
      </x:c>
      <x:c r="T197" s="18" t="n">
        <x:v>724</x:v>
      </x:c>
      <x:c r="U197" s="18" t="n">
        <x:v>715.3003071599619</x:v>
      </x:c>
      <x:c r="V197" s="20" t="n">
        <x:v>12</x:v>
      </x:c>
      <x:c r="W197" s="20" t="n">
        <x:v>5</x:v>
      </x:c>
      <x:c r="X197" s="20" t="n">
        <x:v>3</x:v>
      </x:c>
      <x:c r="Y197" t="str">
        <x:v>Basis arsip 2025/2024</x:v>
      </x:c>
      <x:c r="Z197" t="str">
        <x:v>https://snpmb.id/utbk-snbt/daya-tampung-snbt</x:v>
      </x:c>
      <x:c r="AA197" t="str">
        <x:v>Tidak Ada</x:v>
      </x:c>
      <x:c r="AB197" t="str">
        <x:v>Campus=80; Ratio=91.1; Prodi=85; RelDemand=81.9; Capacity=60.0</x:v>
      </x:c>
    </x:row>
    <x:row r="198">
      <x:c r="A198" t="n">
        <x:v>195</x:v>
      </x:c>
      <x:c r="B198" t="str">
        <x:v>PTN Akademik</x:v>
      </x:c>
      <x:c r="C198" t="str">
        <x:v>UNIVERSITAS SUMATERA UTARA</x:v>
      </x:c>
      <x:c r="D198" t="str">
        <x:v>TEKNOLOGI INFORMASI</x:v>
      </x:c>
      <x:c r="E198" t="str">
        <x:v>Sarjana</x:v>
      </x:c>
      <x:c r="F198" s="18" t="n">
        <x:v>48</x:v>
      </x:c>
      <x:c r="G198" s="18" t="n">
        <x:v>1534</x:v>
      </x:c>
      <x:c r="H198" s="19" t="n">
        <x:v>31.958333333333332</x:v>
      </x:c>
      <x:c r="I198" s="18" t="n">
        <x:f>ROUND(MIN(Model_Config_v3!$B$6,MAX(Q198,R198,S198*Model_Config_v3!$B$4+T198*Model_Config_v3!$B$5)),0)</x:f>
        <x:v>698</x:v>
      </x:c>
      <x:c r="J198" s="18" t="n">
        <x:f>MIN(Model_Config_v3!$B$6,I198+Model_Config_v3!$B$7)</x:f>
        <x:v>718</x:v>
      </x:c>
      <x:c r="K198" s="20" t="n">
        <x:v>71.5</x:v>
      </x:c>
      <x:c r="L198" t="str">
        <x:v>SANGAT KETAT</x:v>
      </x:c>
      <x:c r="M198" t="str">
        <x:v>SEDANG+</x:v>
      </x:c>
      <x:c r="N198" t="str">
        <x:v>ELITE-3</x:v>
      </x:c>
      <x:c r="O198" t="str">
        <x:v>SAINTEK</x:v>
      </x:c>
      <x:c r="P198" t="str">
        <x:v>UMUM</x:v>
      </x:c>
      <x:c r="Q198" s="18" t="n">
        <x:v>635</x:v>
      </x:c>
      <x:c r="R198" s="18" t="n">
        <x:v>0</x:v>
      </x:c>
      <x:c r="S198" s="18" t="n">
        <x:v>685.5042534461112</x:v>
      </x:c>
      <x:c r="T198" s="18" t="n">
        <x:v>703</x:v>
      </x:c>
      <x:c r="U198" s="18" t="n">
        <x:v>685.5042534461112</x:v>
      </x:c>
      <x:c r="V198" s="20" t="n">
        <x:v>12</x:v>
      </x:c>
      <x:c r="W198" s="20" t="n">
        <x:v>5</x:v>
      </x:c>
      <x:c r="X198" s="20" t="n">
        <x:v>3</x:v>
      </x:c>
      <x:c r="Y198" t="str">
        <x:v>Basis arsip 2025/2024</x:v>
      </x:c>
      <x:c r="Z198" t="str">
        <x:v>https://snpmb.id/utbk-snbt/daya-tampung-snbt</x:v>
      </x:c>
      <x:c r="AA198" t="str">
        <x:v>Tidak Ada</x:v>
      </x:c>
      <x:c r="AB198" t="str">
        <x:v>Campus=80; Ratio=88.6; Prodi=40; RelDemand=74.1; Capacity=60.0</x:v>
      </x:c>
    </x:row>
    <x:row r="199">
      <x:c r="A199" t="n">
        <x:v>196</x:v>
      </x:c>
      <x:c r="B199" t="str">
        <x:v>PTN Akademik</x:v>
      </x:c>
      <x:c r="C199" t="str">
        <x:v>UNIVERSITAS SUMATERA UTARA</x:v>
      </x:c>
      <x:c r="D199" t="str">
        <x:v>MANAJEMEN SUMBER DAYA PERAIRAN</x:v>
      </x:c>
      <x:c r="E199" t="str">
        <x:v>Sarjana</x:v>
      </x:c>
      <x:c r="F199" s="18" t="n">
        <x:v>32</x:v>
      </x:c>
      <x:c r="G199" s="18" t="n">
        <x:v>271</x:v>
      </x:c>
      <x:c r="H199" s="19" t="n">
        <x:v>8.46875</x:v>
      </x:c>
      <x:c r="I199" s="18" t="n">
        <x:f>ROUND(MIN(Model_Config_v3!$B$6,MAX(Q199,R199,S199*Model_Config_v3!$B$4+T199*Model_Config_v3!$B$5)),0)</x:f>
        <x:v>668</x:v>
      </x:c>
      <x:c r="J199" s="18" t="n">
        <x:f>MIN(Model_Config_v3!$B$6,I199+Model_Config_v3!$B$7)</x:f>
        <x:v>688</x:v>
      </x:c>
      <x:c r="K199" s="20" t="n">
        <x:v>63.9</x:v>
      </x:c>
      <x:c r="L199" t="str">
        <x:v>KETAT</x:v>
      </x:c>
      <x:c r="M199" t="str">
        <x:v>SEDANG+</x:v>
      </x:c>
      <x:c r="N199" t="str">
        <x:v>ELITE-3</x:v>
      </x:c>
      <x:c r="O199" t="str">
        <x:v>SOSHUM</x:v>
      </x:c>
      <x:c r="P199" t="str">
        <x:v>BISNIS/EKONOMI/AKUNTANSI</x:v>
      </x:c>
      <x:c r="Q199" s="18" t="n">
        <x:v>635</x:v>
      </x:c>
      <x:c r="R199" s="18" t="n">
        <x:v>0</x:v>
      </x:c>
      <x:c r="S199" s="18" t="n">
        <x:v>622.0601243809949</x:v>
      </x:c>
      <x:c r="T199" s="18" t="n">
        <x:v>688</x:v>
      </x:c>
      <x:c r="U199" s="18" t="n">
        <x:v>637.0601243809949</x:v>
      </x:c>
      <x:c r="V199" s="20" t="n">
        <x:v>4.4</x:v>
      </x:c>
      <x:c r="W199" s="20" t="n">
        <x:v>14.3</x:v>
      </x:c>
      <x:c r="X199" s="20" t="n">
        <x:v>3.3</x:v>
      </x:c>
      <x:c r="Y199" t="str">
        <x:v>Basis arsip 2025/2024</x:v>
      </x:c>
      <x:c r="Z199" t="str">
        <x:v>https://snpmb.id/utbk-snbt/daya-tampung-snbt</x:v>
      </x:c>
      <x:c r="AA199" t="str">
        <x:v>Tidak Ada</x:v>
      </x:c>
      <x:c r="AB199" t="str">
        <x:v>Campus=80; Ratio=54.6; Prodi=65; RelDemand=19.6; Capacity=73.3</x:v>
      </x:c>
    </x:row>
    <x:row r="200">
      <x:c r="A200" t="n">
        <x:v>197</x:v>
      </x:c>
      <x:c r="B200" t="str">
        <x:v>PTN Akademik</x:v>
      </x:c>
      <x:c r="C200" t="str">
        <x:v>UNIVERSITAS SUMATERA UTARA</x:v>
      </x:c>
      <x:c r="D200" t="str">
        <x:v>TEKNIK LINGKUNGAN</x:v>
      </x:c>
      <x:c r="E200" t="str">
        <x:v>Sarjana</x:v>
      </x:c>
      <x:c r="F200" s="18" t="n">
        <x:v>22</x:v>
      </x:c>
      <x:c r="G200" s="18" t="n">
        <x:v>433</x:v>
      </x:c>
      <x:c r="H200" s="19" t="n">
        <x:v>19.681818181818183</x:v>
      </x:c>
      <x:c r="I200" s="18" t="n">
        <x:f>ROUND(MIN(Model_Config_v3!$B$6,MAX(Q200,R200,S200*Model_Config_v3!$B$4+T200*Model_Config_v3!$B$5)),0)</x:f>
        <x:v>692</x:v>
      </x:c>
      <x:c r="J200" s="18" t="n">
        <x:f>MIN(Model_Config_v3!$B$6,I200+Model_Config_v3!$B$7)</x:f>
        <x:v>712</x:v>
      </x:c>
      <x:c r="K200" s="20" t="n">
        <x:v>71.8</x:v>
      </x:c>
      <x:c r="L200" t="str">
        <x:v>SANGAT KETAT</x:v>
      </x:c>
      <x:c r="M200" t="str">
        <x:v>SEDANG+</x:v>
      </x:c>
      <x:c r="N200" t="str">
        <x:v>ELITE-3</x:v>
      </x:c>
      <x:c r="O200" t="str">
        <x:v>SAINTEK</x:v>
      </x:c>
      <x:c r="P200" t="str">
        <x:v>TEKNIK/ARSITEKTUR/STATISTIKA/AKTUARIA</x:v>
      </x:c>
      <x:c r="Q200" s="18" t="n">
        <x:v>635</x:v>
      </x:c>
      <x:c r="R200" s="18" t="n">
        <x:v>0</x:v>
      </x:c>
      <x:c r="S200" s="18" t="n">
        <x:v>662.3471737084275</x:v>
      </x:c>
      <x:c r="T200" s="18" t="n">
        <x:v>704</x:v>
      </x:c>
      <x:c r="U200" s="18" t="n">
        <x:v>672.3471737084275</x:v>
      </x:c>
      <x:c r="V200" s="20" t="n">
        <x:v>12</x:v>
      </x:c>
      <x:c r="W200" s="20" t="n">
        <x:v>5</x:v>
      </x:c>
      <x:c r="X200" s="20" t="n">
        <x:v>3</x:v>
      </x:c>
      <x:c r="Y200" t="str">
        <x:v>Basis arsip 2025/2024</x:v>
      </x:c>
      <x:c r="Z200" t="str">
        <x:v>https://snpmb.id/utbk-snbt/daya-tampung-snbt</x:v>
      </x:c>
      <x:c r="AA200" t="str">
        <x:v>Tidak Ada</x:v>
      </x:c>
      <x:c r="AB200" t="str">
        <x:v>Campus=80; Ratio=76.2; Prodi=60; RelDemand=45.6; Capacity=81.7</x:v>
      </x:c>
    </x:row>
    <x:row r="201">
      <x:c r="A201" t="n">
        <x:v>198</x:v>
      </x:c>
      <x:c r="B201" t="str">
        <x:v>PTN Akademik</x:v>
      </x:c>
      <x:c r="C201" t="str">
        <x:v>UNIVERSITAS SUMATERA UTARA</x:v>
      </x:c>
      <x:c r="D201" t="str">
        <x:v>GIZI</x:v>
      </x:c>
      <x:c r="E201" t="str">
        <x:v>Sarjana</x:v>
      </x:c>
      <x:c r="F201" s="18" t="n">
        <x:v>32</x:v>
      </x:c>
      <x:c r="G201" s="18" t="n">
        <x:v>600</x:v>
      </x:c>
      <x:c r="H201" s="19" t="n">
        <x:v>18.75</x:v>
      </x:c>
      <x:c r="I201" s="18" t="n">
        <x:f>ROUND(MIN(Model_Config_v3!$B$6,MAX(Q201,R201,S201*Model_Config_v3!$B$4+T201*Model_Config_v3!$B$5)),0)</x:f>
        <x:v>687</x:v>
      </x:c>
      <x:c r="J201" s="18" t="n">
        <x:f>MIN(Model_Config_v3!$B$6,I201+Model_Config_v3!$B$7)</x:f>
        <x:v>707</x:v>
      </x:c>
      <x:c r="K201" s="20" t="n">
        <x:v>69.4</x:v>
      </x:c>
      <x:c r="L201" t="str">
        <x:v>SANGAT KETAT</x:v>
      </x:c>
      <x:c r="M201" t="str">
        <x:v>SEDANG+</x:v>
      </x:c>
      <x:c r="N201" t="str">
        <x:v>ELITE-3</x:v>
      </x:c>
      <x:c r="O201" t="str">
        <x:v>SAINTEK</x:v>
      </x:c>
      <x:c r="P201" t="str">
        <x:v>KESEHAT/GIZI/KEPERAWATAN</x:v>
      </x:c>
      <x:c r="Q201" s="18" t="n">
        <x:v>635</x:v>
      </x:c>
      <x:c r="R201" s="18" t="n">
        <x:v>0</x:v>
      </x:c>
      <x:c r="S201" s="18" t="n">
        <x:v>660.0301399270111</x:v>
      </x:c>
      <x:c r="T201" s="18" t="n">
        <x:v>699</x:v>
      </x:c>
      <x:c r="U201" s="18" t="n">
        <x:v>660.0301399270111</x:v>
      </x:c>
      <x:c r="V201" s="20" t="n">
        <x:v>12</x:v>
      </x:c>
      <x:c r="W201" s="20" t="n">
        <x:v>5</x:v>
      </x:c>
      <x:c r="X201" s="20" t="n">
        <x:v>3</x:v>
      </x:c>
      <x:c r="Y201" t="str">
        <x:v>Basis arsip 2025/2024</x:v>
      </x:c>
      <x:c r="Z201" t="str">
        <x:v>https://snpmb.id/utbk-snbt/daya-tampung-snbt</x:v>
      </x:c>
      <x:c r="AA201" t="str">
        <x:v>Tidak Ada</x:v>
      </x:c>
      <x:c r="AB201" t="str">
        <x:v>Campus=80; Ratio=74.9; Prodi=55; RelDemand=43.5; Capacity=73.3</x:v>
      </x:c>
    </x:row>
    <x:row r="202">
      <x:c r="A202" t="n">
        <x:v>199</x:v>
      </x:c>
      <x:c r="B202" t="str">
        <x:v>PTN Akademik</x:v>
      </x:c>
      <x:c r="C202" t="str">
        <x:v>UNIVERSITAS SUMATERA UTARA</x:v>
      </x:c>
      <x:c r="D202" t="str">
        <x:v>ILMU HUKUM</x:v>
      </x:c>
      <x:c r="E202" t="str">
        <x:v>Sarjana</x:v>
      </x:c>
      <x:c r="F202" s="18" t="n">
        <x:v>192</x:v>
      </x:c>
      <x:c r="G202" s="18" t="n">
        <x:v>3134</x:v>
      </x:c>
      <x:c r="H202" s="19" t="n">
        <x:v>16.322916666666668</x:v>
      </x:c>
      <x:c r="I202" s="18" t="n">
        <x:f>ROUND(MIN(Model_Config_v3!$B$6,MAX(Q202,R202,S202*Model_Config_v3!$B$4+T202*Model_Config_v3!$B$5)),0)</x:f>
        <x:v>676</x:v>
      </x:c>
      <x:c r="J202" s="18" t="n">
        <x:f>MIN(Model_Config_v3!$B$6,I202+Model_Config_v3!$B$7)</x:f>
        <x:v>696</x:v>
      </x:c>
      <x:c r="K202" s="20" t="n">
        <x:v>62.6</x:v>
      </x:c>
      <x:c r="L202" t="str">
        <x:v>KETAT</x:v>
      </x:c>
      <x:c r="M202" t="str">
        <x:v>SEDANG+</x:v>
      </x:c>
      <x:c r="N202" t="str">
        <x:v>ELITE-3</x:v>
      </x:c>
      <x:c r="O202" t="str">
        <x:v>SOSHUM</x:v>
      </x:c>
      <x:c r="P202" t="str">
        <x:v>HUKUM</x:v>
      </x:c>
      <x:c r="Q202" s="18" t="n">
        <x:v>635</x:v>
      </x:c>
      <x:c r="R202" s="18" t="n">
        <x:v>0</x:v>
      </x:c>
      <x:c r="S202" s="18" t="n">
        <x:v>653.4077539771924</x:v>
      </x:c>
      <x:c r="T202" s="18" t="n">
        <x:v>685</x:v>
      </x:c>
      <x:c r="U202" s="18" t="n">
        <x:v>668.4077539771924</x:v>
      </x:c>
      <x:c r="V202" s="20" t="n">
        <x:v>4.4</x:v>
      </x:c>
      <x:c r="W202" s="20" t="n">
        <x:v>14.3</x:v>
      </x:c>
      <x:c r="X202" s="20" t="n">
        <x:v>3.3</x:v>
      </x:c>
      <x:c r="Y202" t="str">
        <x:v>Basis arsip 2025/2024</x:v>
      </x:c>
      <x:c r="Z202" t="str">
        <x:v>https://snpmb.id/utbk-snbt/daya-tampung-snbt</x:v>
      </x:c>
      <x:c r="AA202" t="str">
        <x:v>Tidak Ada</x:v>
      </x:c>
      <x:c r="AB202" t="str">
        <x:v>Campus=80; Ratio=71.4; Prodi=65; RelDemand=37.8; Capacity=0.0</x:v>
      </x:c>
    </x:row>
    <x:row r="203">
      <x:c r="A203" t="n">
        <x:v>200</x:v>
      </x:c>
      <x:c r="B203" t="str">
        <x:v>PTN Akademik</x:v>
      </x:c>
      <x:c r="C203" t="str">
        <x:v>UNIVERSITAS SUMATERA UTARA</x:v>
      </x:c>
      <x:c r="D203" t="str">
        <x:v>ILMU SEJARAH</x:v>
      </x:c>
      <x:c r="E203" t="str">
        <x:v>Sarjana</x:v>
      </x:c>
      <x:c r="F203" s="18" t="n">
        <x:v>39</x:v>
      </x:c>
      <x:c r="G203" s="18" t="n">
        <x:v>152</x:v>
      </x:c>
      <x:c r="H203" s="19" t="n">
        <x:v>3.8974358974358974</x:v>
      </x:c>
      <x:c r="I203" s="18" t="n">
        <x:f>ROUND(MIN(Model_Config_v3!$B$6,MAX(Q203,R203,S203*Model_Config_v3!$B$4+T203*Model_Config_v3!$B$5)),0)</x:f>
        <x:v>641</x:v>
      </x:c>
      <x:c r="J203" s="18" t="n">
        <x:f>MIN(Model_Config_v3!$B$6,I203+Model_Config_v3!$B$7)</x:f>
        <x:v>661</x:v>
      </x:c>
      <x:c r="K203" s="20" t="n">
        <x:v>52.3</x:v>
      </x:c>
      <x:c r="L203" t="str">
        <x:v>MENENGAH</x:v>
      </x:c>
      <x:c r="M203" t="str">
        <x:v>SEDANG+</x:v>
      </x:c>
      <x:c r="N203" t="str">
        <x:v>ELITE-3</x:v>
      </x:c>
      <x:c r="O203" t="str">
        <x:v>SOSHUM</x:v>
      </x:c>
      <x:c r="P203" t="str">
        <x:v>UMUM</x:v>
      </x:c>
      <x:c r="Q203" s="18" t="n">
        <x:v>635</x:v>
      </x:c>
      <x:c r="R203" s="18" t="n">
        <x:v>0</x:v>
      </x:c>
      <x:c r="S203" s="18" t="n">
        <x:v>584.9856879010101</x:v>
      </x:c>
      <x:c r="T203" s="18" t="n">
        <x:v>665</x:v>
      </x:c>
      <x:c r="U203" s="18" t="n">
        <x:v>635</x:v>
      </x:c>
      <x:c r="V203" s="20" t="n">
        <x:v>4.4</x:v>
      </x:c>
      <x:c r="W203" s="20" t="n">
        <x:v>14.3</x:v>
      </x:c>
      <x:c r="X203" s="20" t="n">
        <x:v>3.3</x:v>
      </x:c>
      <x:c r="Y203" t="str">
        <x:v>Basis arsip 2025/2024</x:v>
      </x:c>
      <x:c r="Z203" t="str">
        <x:v>https://snpmb.id/utbk-snbt/daya-tampung-snbt</x:v>
      </x:c>
      <x:c r="AA203" t="str">
        <x:v>Tidak Ada</x:v>
      </x:c>
      <x:c r="AB203" t="str">
        <x:v>Campus=80; Ratio=34.8; Prodi=40; RelDemand=9.0; Capacity=67.5</x:v>
      </x:c>
    </x:row>
    <x:row r="204">
      <x:c r="A204" t="n">
        <x:v>201</x:v>
      </x:c>
      <x:c r="B204" t="str">
        <x:v>PTN Akademik</x:v>
      </x:c>
      <x:c r="C204" t="str">
        <x:v>UNIVERSITAS SUMATERA UTARA</x:v>
      </x:c>
      <x:c r="D204" t="str">
        <x:v>ANTROPOLOGI SOSIAL</x:v>
      </x:c>
      <x:c r="E204" t="str">
        <x:v>Sarjana</x:v>
      </x:c>
      <x:c r="F204" s="18" t="n">
        <x:v>39</x:v>
      </x:c>
      <x:c r="G204" s="18" t="n">
        <x:v>297</x:v>
      </x:c>
      <x:c r="H204" s="19" t="n">
        <x:v>7.615384615384615</x:v>
      </x:c>
      <x:c r="I204" s="18" t="n">
        <x:f>ROUND(MIN(Model_Config_v3!$B$6,MAX(Q204,R204,S204*Model_Config_v3!$B$4+T204*Model_Config_v3!$B$5)),0)</x:f>
        <x:v>658</x:v>
      </x:c>
      <x:c r="J204" s="18" t="n">
        <x:f>MIN(Model_Config_v3!$B$6,I204+Model_Config_v3!$B$7)</x:f>
        <x:v>678</x:v>
      </x:c>
      <x:c r="K204" s="20" t="n">
        <x:v>57.5</x:v>
      </x:c>
      <x:c r="L204" t="str">
        <x:v>KETAT</x:v>
      </x:c>
      <x:c r="M204" t="str">
        <x:v>SEDANG+</x:v>
      </x:c>
      <x:c r="N204" t="str">
        <x:v>ELITE-3</x:v>
      </x:c>
      <x:c r="O204" t="str">
        <x:v>SOSHUM</x:v>
      </x:c>
      <x:c r="P204" t="str">
        <x:v>UMUM</x:v>
      </x:c>
      <x:c r="Q204" s="18" t="n">
        <x:v>635</x:v>
      </x:c>
      <x:c r="R204" s="18" t="n">
        <x:v>0</x:v>
      </x:c>
      <x:c r="S204" s="18" t="n">
        <x:v>616.9861026519784</x:v>
      </x:c>
      <x:c r="T204" s="18" t="n">
        <x:v>675</x:v>
      </x:c>
      <x:c r="U204" s="18" t="n">
        <x:v>635</x:v>
      </x:c>
      <x:c r="V204" s="20" t="n">
        <x:v>4.4</x:v>
      </x:c>
      <x:c r="W204" s="20" t="n">
        <x:v>14.3</x:v>
      </x:c>
      <x:c r="X204" s="20" t="n">
        <x:v>3.3</x:v>
      </x:c>
      <x:c r="Y204" t="str">
        <x:v>Basis arsip 2025/2024</x:v>
      </x:c>
      <x:c r="Z204" t="str">
        <x:v>https://snpmb.id/utbk-snbt/daya-tampung-snbt</x:v>
      </x:c>
      <x:c r="AA204" t="str">
        <x:v>Tidak Ada</x:v>
      </x:c>
      <x:c r="AB204" t="str">
        <x:v>Campus=80; Ratio=51.9; Prodi=40; RelDemand=17.7; Capacity=67.5</x:v>
      </x:c>
    </x:row>
    <x:row r="205">
      <x:c r="A205" t="n">
        <x:v>202</x:v>
      </x:c>
      <x:c r="B205" t="str">
        <x:v>PTN Akademik</x:v>
      </x:c>
      <x:c r="C205" t="str">
        <x:v>UNIVERSITAS SUMATERA UTARA</x:v>
      </x:c>
      <x:c r="D205" t="str">
        <x:v>AKUNTANSI</x:v>
      </x:c>
      <x:c r="E205" t="str">
        <x:v>Sarjana</x:v>
      </x:c>
      <x:c r="F205" s="18" t="n">
        <x:v>80</x:v>
      </x:c>
      <x:c r="G205" s="18" t="n">
        <x:v>1956</x:v>
      </x:c>
      <x:c r="H205" s="19" t="n">
        <x:v>24.45</x:v>
      </x:c>
      <x:c r="I205" s="18" t="n">
        <x:f>ROUND(MIN(Model_Config_v3!$B$6,MAX(Q205,R205,S205*Model_Config_v3!$B$4+T205*Model_Config_v3!$B$5)),0)</x:f>
        <x:v>693</x:v>
      </x:c>
      <x:c r="J205" s="18" t="n">
        <x:f>MIN(Model_Config_v3!$B$6,I205+Model_Config_v3!$B$7)</x:f>
        <x:v>713</x:v>
      </x:c>
      <x:c r="K205" s="20" t="n">
        <x:v>70.4</x:v>
      </x:c>
      <x:c r="L205" t="str">
        <x:v>SANGAT KETAT</x:v>
      </x:c>
      <x:c r="M205" t="str">
        <x:v>SEDANG+</x:v>
      </x:c>
      <x:c r="N205" t="str">
        <x:v>ELITE-3</x:v>
      </x:c>
      <x:c r="O205" t="str">
        <x:v>SOSHUM</x:v>
      </x:c>
      <x:c r="P205" t="str">
        <x:v>BISNIS/EKONOMI/AKUNTANSI</x:v>
      </x:c>
      <x:c r="Q205" s="18" t="n">
        <x:v>635</x:v>
      </x:c>
      <x:c r="R205" s="18" t="n">
        <x:v>0</x:v>
      </x:c>
      <x:c r="S205" s="18" t="n">
        <x:v>672.7106749805603</x:v>
      </x:c>
      <x:c r="T205" s="18" t="n">
        <x:v>701</x:v>
      </x:c>
      <x:c r="U205" s="18" t="n">
        <x:v>672.7106749805603</x:v>
      </x:c>
      <x:c r="V205" s="20" t="n">
        <x:v>4.4</x:v>
      </x:c>
      <x:c r="W205" s="20" t="n">
        <x:v>14.3</x:v>
      </x:c>
      <x:c r="X205" s="20" t="n">
        <x:v>3.3</x:v>
      </x:c>
      <x:c r="Y205" t="str">
        <x:v>Basis arsip 2025/2024</x:v>
      </x:c>
      <x:c r="Z205" t="str">
        <x:v>https://snpmb.id/utbk-snbt/daya-tampung-snbt</x:v>
      </x:c>
      <x:c r="AA205" t="str">
        <x:v>Tidak Ada</x:v>
      </x:c>
      <x:c r="AB205" t="str">
        <x:v>Campus=80; Ratio=81.7; Prodi=65; RelDemand=56.7; Capacity=33.3</x:v>
      </x:c>
    </x:row>
    <x:row r="206">
      <x:c r="A206" t="n">
        <x:v>203</x:v>
      </x:c>
      <x:c r="B206" t="str">
        <x:v>PTN Akademik</x:v>
      </x:c>
      <x:c r="C206" t="str">
        <x:v>UNIVERSITAS SUMATERA UTARA</x:v>
      </x:c>
      <x:c r="D206" t="str">
        <x:v>SOSIOLOGI</x:v>
      </x:c>
      <x:c r="E206" t="str">
        <x:v>Sarjana</x:v>
      </x:c>
      <x:c r="F206" s="18" t="n">
        <x:v>39</x:v>
      </x:c>
      <x:c r="G206" s="18" t="n">
        <x:v>319</x:v>
      </x:c>
      <x:c r="H206" s="19" t="n">
        <x:v>8.179487179487179</x:v>
      </x:c>
      <x:c r="I206" s="18" t="n">
        <x:f>ROUND(MIN(Model_Config_v3!$B$6,MAX(Q206,R206,S206*Model_Config_v3!$B$4+T206*Model_Config_v3!$B$5)),0)</x:f>
        <x:v>659</x:v>
      </x:c>
      <x:c r="J206" s="18" t="n">
        <x:f>MIN(Model_Config_v3!$B$6,I206+Model_Config_v3!$B$7)</x:f>
        <x:v>679</x:v>
      </x:c>
      <x:c r="K206" s="20" t="n">
        <x:v>58.1</x:v>
      </x:c>
      <x:c r="L206" t="str">
        <x:v>KETAT</x:v>
      </x:c>
      <x:c r="M206" t="str">
        <x:v>SEDANG+</x:v>
      </x:c>
      <x:c r="N206" t="str">
        <x:v>ELITE-3</x:v>
      </x:c>
      <x:c r="O206" t="str">
        <x:v>SOSHUM</x:v>
      </x:c>
      <x:c r="P206" t="str">
        <x:v>UMUM</x:v>
      </x:c>
      <x:c r="Q206" s="18" t="n">
        <x:v>635</x:v>
      </x:c>
      <x:c r="R206" s="18" t="n">
        <x:v>0</x:v>
      </x:c>
      <x:c r="S206" s="18" t="n">
        <x:v>620.3998683633749</x:v>
      </x:c>
      <x:c r="T206" s="18" t="n">
        <x:v>676</x:v>
      </x:c>
      <x:c r="U206" s="18" t="n">
        <x:v>635</x:v>
      </x:c>
      <x:c r="V206" s="20" t="n">
        <x:v>4.4</x:v>
      </x:c>
      <x:c r="W206" s="20" t="n">
        <x:v>14.3</x:v>
      </x:c>
      <x:c r="X206" s="20" t="n">
        <x:v>3.3</x:v>
      </x:c>
      <x:c r="Y206" t="str">
        <x:v>Basis arsip 2025/2024</x:v>
      </x:c>
      <x:c r="Z206" t="str">
        <x:v>https://snpmb.id/utbk-snbt/daya-tampung-snbt</x:v>
      </x:c>
      <x:c r="AA206" t="str">
        <x:v>Tidak Ada</x:v>
      </x:c>
      <x:c r="AB206" t="str">
        <x:v>Campus=80; Ratio=53.7; Prodi=40; RelDemand=19.0; Capacity=67.5</x:v>
      </x:c>
    </x:row>
    <x:row r="207">
      <x:c r="A207" t="n">
        <x:v>204</x:v>
      </x:c>
      <x:c r="B207" t="str">
        <x:v>PTN Akademik</x:v>
      </x:c>
      <x:c r="C207" t="str">
        <x:v>UNIVERSITAS SUMATERA UTARA</x:v>
      </x:c>
      <x:c r="D207" t="str">
        <x:v>ILMU KESEJAHTERAAN SOSIAL</x:v>
      </x:c>
      <x:c r="E207" t="str">
        <x:v>Sarjana</x:v>
      </x:c>
      <x:c r="F207" s="18" t="n">
        <x:v>39</x:v>
      </x:c>
      <x:c r="G207" s="18" t="n">
        <x:v>452</x:v>
      </x:c>
      <x:c r="H207" s="19" t="n">
        <x:v>11.58974358974359</x:v>
      </x:c>
      <x:c r="I207" s="18" t="n">
        <x:f>ROUND(MIN(Model_Config_v3!$B$6,MAX(Q207,R207,S207*Model_Config_v3!$B$4+T207*Model_Config_v3!$B$5)),0)</x:f>
        <x:v>669</x:v>
      </x:c>
      <x:c r="J207" s="18" t="n">
        <x:f>MIN(Model_Config_v3!$B$6,I207+Model_Config_v3!$B$7)</x:f>
        <x:v>689</x:v>
      </x:c>
      <x:c r="K207" s="20" t="n">
        <x:v>61.1</x:v>
      </x:c>
      <x:c r="L207" t="str">
        <x:v>KETAT</x:v>
      </x:c>
      <x:c r="M207" t="str">
        <x:v>SEDANG+</x:v>
      </x:c>
      <x:c r="N207" t="str">
        <x:v>ELITE-3</x:v>
      </x:c>
      <x:c r="O207" t="str">
        <x:v>CAMPURAN</x:v>
      </x:c>
      <x:c r="P207" t="str">
        <x:v>UMUM</x:v>
      </x:c>
      <x:c r="Q207" s="18" t="n">
        <x:v>635</x:v>
      </x:c>
      <x:c r="R207" s="18" t="n">
        <x:v>0</x:v>
      </x:c>
      <x:c r="S207" s="18" t="n">
        <x:v>637.0481210563371</x:v>
      </x:c>
      <x:c r="T207" s="18" t="n">
        <x:v>682</x:v>
      </x:c>
      <x:c r="U207" s="18" t="n">
        <x:v>637.0481210563371</x:v>
      </x:c>
      <x:c r="V207" s="20" t="n">
        <x:v>8.8</x:v>
      </x:c>
      <x:c r="W207" s="20" t="n">
        <x:v>9.9</x:v>
      </x:c>
      <x:c r="X207" s="20" t="n">
        <x:v>3.3</x:v>
      </x:c>
      <x:c r="Y207" t="str">
        <x:v>Basis arsip 2025/2024</x:v>
      </x:c>
      <x:c r="Z207" t="str">
        <x:v>https://snpmb.id/utbk-snbt/daya-tampung-snbt</x:v>
      </x:c>
      <x:c r="AA207" t="str">
        <x:v>Tidak Ada</x:v>
      </x:c>
      <x:c r="AB207" t="str">
        <x:v>Campus=80; Ratio=62.6; Prodi=40; RelDemand=26.9; Capacity=67.5</x:v>
      </x:c>
    </x:row>
    <x:row r="208">
      <x:c r="A208" t="n">
        <x:v>205</x:v>
      </x:c>
      <x:c r="B208" t="str">
        <x:v>PTN Akademik</x:v>
      </x:c>
      <x:c r="C208" t="str">
        <x:v>UNIVERSITAS SUMATERA UTARA</x:v>
      </x:c>
      <x:c r="D208" t="str">
        <x:v>ILMU ADMINISTRASI NEGARA</x:v>
      </x:c>
      <x:c r="E208" t="str">
        <x:v>Sarjana</x:v>
      </x:c>
      <x:c r="F208" s="18" t="n">
        <x:v>38</x:v>
      </x:c>
      <x:c r="G208" s="18" t="n">
        <x:v>946</x:v>
      </x:c>
      <x:c r="H208" s="19" t="n">
        <x:v>24.894736842105264</x:v>
      </x:c>
      <x:c r="I208" s="18" t="n">
        <x:f>ROUND(MIN(Model_Config_v3!$B$6,MAX(Q208,R208,S208*Model_Config_v3!$B$4+T208*Model_Config_v3!$B$5)),0)</x:f>
        <x:v>691</x:v>
      </x:c>
      <x:c r="J208" s="18" t="n">
        <x:f>MIN(Model_Config_v3!$B$6,I208+Model_Config_v3!$B$7)</x:f>
        <x:v>711</x:v>
      </x:c>
      <x:c r="K208" s="20" t="n">
        <x:v>69.1</x:v>
      </x:c>
      <x:c r="L208" t="str">
        <x:v>SANGAT KETAT</x:v>
      </x:c>
      <x:c r="M208" t="str">
        <x:v>SEDANG+</x:v>
      </x:c>
      <x:c r="N208" t="str">
        <x:v>ELITE-3</x:v>
      </x:c>
      <x:c r="O208" t="str">
        <x:v>SOSHUM</x:v>
      </x:c>
      <x:c r="P208" t="str">
        <x:v>UMUM</x:v>
      </x:c>
      <x:c r="Q208" s="18" t="n">
        <x:v>635</x:v>
      </x:c>
      <x:c r="R208" s="18" t="n">
        <x:v>0</x:v>
      </x:c>
      <x:c r="S208" s="18" t="n">
        <x:v>673.5718293763481</x:v>
      </x:c>
      <x:c r="T208" s="18" t="n">
        <x:v>698</x:v>
      </x:c>
      <x:c r="U208" s="18" t="n">
        <x:v>673.5718293763481</x:v>
      </x:c>
      <x:c r="V208" s="20" t="n">
        <x:v>4.4</x:v>
      </x:c>
      <x:c r="W208" s="20" t="n">
        <x:v>14.3</x:v>
      </x:c>
      <x:c r="X208" s="20" t="n">
        <x:v>3.3</x:v>
      </x:c>
      <x:c r="Y208" t="str">
        <x:v>Basis arsip 2025/2024</x:v>
      </x:c>
      <x:c r="Z208" t="str">
        <x:v>https://snpmb.id/utbk-snbt/daya-tampung-snbt</x:v>
      </x:c>
      <x:c r="AA208" t="str">
        <x:v>Tidak Ada</x:v>
      </x:c>
      <x:c r="AB208" t="str">
        <x:v>Campus=80; Ratio=82.2; Prodi=40; RelDemand=57.7; Capacity=68.3</x:v>
      </x:c>
    </x:row>
    <x:row r="209">
      <x:c r="A209" t="n">
        <x:v>206</x:v>
      </x:c>
      <x:c r="B209" t="str">
        <x:v>PTN Akademik</x:v>
      </x:c>
      <x:c r="C209" t="str">
        <x:v>UNIVERSITAS SUMATERA UTARA</x:v>
      </x:c>
      <x:c r="D209" t="str">
        <x:v>ILMU KOMUNIKASI</x:v>
      </x:c>
      <x:c r="E209" t="str">
        <x:v>Sarjana</x:v>
      </x:c>
      <x:c r="F209" s="18" t="n">
        <x:v>38</x:v>
      </x:c>
      <x:c r="G209" s="18" t="n">
        <x:v>1608</x:v>
      </x:c>
      <x:c r="H209" s="19" t="n">
        <x:v>42.31578947368421</x:v>
      </x:c>
      <x:c r="I209" s="18" t="n">
        <x:f>ROUND(MIN(Model_Config_v3!$B$6,MAX(Q209,R209,S209*Model_Config_v3!$B$4+T209*Model_Config_v3!$B$5)),0)</x:f>
        <x:v>709</x:v>
      </x:c>
      <x:c r="J209" s="18" t="n">
        <x:f>MIN(Model_Config_v3!$B$6,I209+Model_Config_v3!$B$7)</x:f>
        <x:v>729</x:v>
      </x:c>
      <x:c r="K209" s="20" t="n">
        <x:v>76.6</x:v>
      </x:c>
      <x:c r="L209" t="str">
        <x:v>ELITE</x:v>
      </x:c>
      <x:c r="M209" t="str">
        <x:v>SEDANG+</x:v>
      </x:c>
      <x:c r="N209" t="str">
        <x:v>ELITE-3</x:v>
      </x:c>
      <x:c r="O209" t="str">
        <x:v>SOSHUM</x:v>
      </x:c>
      <x:c r="P209" t="str">
        <x:v>UMUM</x:v>
      </x:c>
      <x:c r="Q209" s="18" t="n">
        <x:v>635</x:v>
      </x:c>
      <x:c r="R209" s="18" t="n">
        <x:v>0</x:v>
      </x:c>
      <x:c r="S209" s="18" t="n">
        <x:v>698.9152692575184</x:v>
      </x:c>
      <x:c r="T209" s="18" t="n">
        <x:v>713</x:v>
      </x:c>
      <x:c r="U209" s="18" t="n">
        <x:v>698.9152692575184</x:v>
      </x:c>
      <x:c r="V209" s="20" t="n">
        <x:v>4.4</x:v>
      </x:c>
      <x:c r="W209" s="20" t="n">
        <x:v>14.3</x:v>
      </x:c>
      <x:c r="X209" s="20" t="n">
        <x:v>3.3</x:v>
      </x:c>
      <x:c r="Y209" t="str">
        <x:v>Basis arsip 2025/2024</x:v>
      </x:c>
      <x:c r="Z209" t="str">
        <x:v>https://snpmb.id/utbk-snbt/daya-tampung-snbt</x:v>
      </x:c>
      <x:c r="AA209" t="str">
        <x:v>Tidak Ada</x:v>
      </x:c>
      <x:c r="AB209" t="str">
        <x:v>Campus=80; Ratio=95.7; Prodi=40; RelDemand=98.1; Capacity=68.3</x:v>
      </x:c>
    </x:row>
    <x:row r="210">
      <x:c r="A210" t="n">
        <x:v>207</x:v>
      </x:c>
      <x:c r="B210" t="str">
        <x:v>PTN Akademik</x:v>
      </x:c>
      <x:c r="C210" t="str">
        <x:v>UNIVERSITAS SUMATERA UTARA</x:v>
      </x:c>
      <x:c r="D210" t="str">
        <x:v>MANAJEMEN</x:v>
      </x:c>
      <x:c r="E210" t="str">
        <x:v>Sarjana</x:v>
      </x:c>
      <x:c r="F210" s="18" t="n">
        <x:v>80</x:v>
      </x:c>
      <x:c r="G210" s="18" t="n">
        <x:v>2335</x:v>
      </x:c>
      <x:c r="H210" s="19" t="n">
        <x:v>29.1875</x:v>
      </x:c>
      <x:c r="I210" s="18" t="n">
        <x:f>ROUND(MIN(Model_Config_v3!$B$6,MAX(Q210,R210,S210*Model_Config_v3!$B$4+T210*Model_Config_v3!$B$5)),0)</x:f>
        <x:v>698</x:v>
      </x:c>
      <x:c r="J210" s="18" t="n">
        <x:f>MIN(Model_Config_v3!$B$6,I210+Model_Config_v3!$B$7)</x:f>
        <x:v>718</x:v>
      </x:c>
      <x:c r="K210" s="20" t="n">
        <x:v>72.7</x:v>
      </x:c>
      <x:c r="L210" t="str">
        <x:v>SANGAT KETAT</x:v>
      </x:c>
      <x:c r="M210" t="str">
        <x:v>SEDANG+</x:v>
      </x:c>
      <x:c r="N210" t="str">
        <x:v>ELITE-3</x:v>
      </x:c>
      <x:c r="O210" t="str">
        <x:v>SOSHUM</x:v>
      </x:c>
      <x:c r="P210" t="str">
        <x:v>BISNIS/EKONOMI/AKUNTANSI</x:v>
      </x:c>
      <x:c r="Q210" s="18" t="n">
        <x:v>635</x:v>
      </x:c>
      <x:c r="R210" s="18" t="n">
        <x:v>0</x:v>
      </x:c>
      <x:c r="S210" s="18" t="n">
        <x:v>681.1716587701205</x:v>
      </x:c>
      <x:c r="T210" s="18" t="n">
        <x:v>705</x:v>
      </x:c>
      <x:c r="U210" s="18" t="n">
        <x:v>696.1716587701205</x:v>
      </x:c>
      <x:c r="V210" s="20" t="n">
        <x:v>4.4</x:v>
      </x:c>
      <x:c r="W210" s="20" t="n">
        <x:v>14.3</x:v>
      </x:c>
      <x:c r="X210" s="20" t="n">
        <x:v>3.3</x:v>
      </x:c>
      <x:c r="Y210" t="str">
        <x:v>Basis arsip 2025/2024</x:v>
      </x:c>
      <x:c r="Z210" t="str">
        <x:v>https://snpmb.id/utbk-snbt/daya-tampung-snbt</x:v>
      </x:c>
      <x:c r="AA210" t="str">
        <x:v>Tidak Ada</x:v>
      </x:c>
      <x:c r="AB210" t="str">
        <x:v>Campus=80; Ratio=86.2; Prodi=65; RelDemand=67.7; Capacity=33.3</x:v>
      </x:c>
    </x:row>
    <x:row r="211">
      <x:c r="A211" t="n">
        <x:v>208</x:v>
      </x:c>
      <x:c r="B211" t="str">
        <x:v>PTN Akademik</x:v>
      </x:c>
      <x:c r="C211" t="str">
        <x:v>UNIVERSITAS SUMATERA UTARA</x:v>
      </x:c>
      <x:c r="D211" t="str">
        <x:v>EKONOMI PEMBANGUNAN</x:v>
      </x:c>
      <x:c r="E211" t="str">
        <x:v>Sarjana</x:v>
      </x:c>
      <x:c r="F211" s="18" t="n">
        <x:v>56</x:v>
      </x:c>
      <x:c r="G211" s="18" t="n">
        <x:v>775</x:v>
      </x:c>
      <x:c r="H211" s="19" t="n">
        <x:v>13.839285714285714</x:v>
      </x:c>
      <x:c r="I211" s="18" t="n">
        <x:f>ROUND(MIN(Model_Config_v3!$B$6,MAX(Q211,R211,S211*Model_Config_v3!$B$4+T211*Model_Config_v3!$B$5)),0)</x:f>
        <x:v>679</x:v>
      </x:c>
      <x:c r="J211" s="18" t="n">
        <x:f>MIN(Model_Config_v3!$B$6,I211+Model_Config_v3!$B$7)</x:f>
        <x:v>699</x:v>
      </x:c>
      <x:c r="K211" s="20" t="n">
        <x:v>66.3</x:v>
      </x:c>
      <x:c r="L211" t="str">
        <x:v>SANGAT KETAT</x:v>
      </x:c>
      <x:c r="M211" t="str">
        <x:v>SEDANG+</x:v>
      </x:c>
      <x:c r="N211" t="str">
        <x:v>ELITE-3</x:v>
      </x:c>
      <x:c r="O211" t="str">
        <x:v>SOSHUM</x:v>
      </x:c>
      <x:c r="P211" t="str">
        <x:v>BISNIS/EKONOMI/AKUNTANSI</x:v>
      </x:c>
      <x:c r="Q211" s="18" t="n">
        <x:v>635</x:v>
      </x:c>
      <x:c r="R211" s="18" t="n">
        <x:v>0</x:v>
      </x:c>
      <x:c r="S211" s="18" t="n">
        <x:v>645.522504305012</x:v>
      </x:c>
      <x:c r="T211" s="18" t="n">
        <x:v>693</x:v>
      </x:c>
      <x:c r="U211" s="18" t="n">
        <x:v>645.522504305012</x:v>
      </x:c>
      <x:c r="V211" s="20" t="n">
        <x:v>4.4</x:v>
      </x:c>
      <x:c r="W211" s="20" t="n">
        <x:v>14.3</x:v>
      </x:c>
      <x:c r="X211" s="20" t="n">
        <x:v>3.3</x:v>
      </x:c>
      <x:c r="Y211" t="str">
        <x:v>Basis arsip 2025/2024</x:v>
      </x:c>
      <x:c r="Z211" t="str">
        <x:v>https://snpmb.id/utbk-snbt/daya-tampung-snbt</x:v>
      </x:c>
      <x:c r="AA211" t="str">
        <x:v>Tidak Ada</x:v>
      </x:c>
      <x:c r="AB211" t="str">
        <x:v>Campus=80; Ratio=67.2; Prodi=65; RelDemand=32.1; Capacity=53.3</x:v>
      </x:c>
    </x:row>
    <x:row r="212">
      <x:c r="A212" t="n">
        <x:v>209</x:v>
      </x:c>
      <x:c r="B212" t="str">
        <x:v>PTN Akademik</x:v>
      </x:c>
      <x:c r="C212" t="str">
        <x:v>UNIVERSITAS SUMATERA UTARA</x:v>
      </x:c>
      <x:c r="D212" t="str">
        <x:v>ILMU POLITIK</x:v>
      </x:c>
      <x:c r="E212" t="str">
        <x:v>Sarjana</x:v>
      </x:c>
      <x:c r="F212" s="18" t="n">
        <x:v>39</x:v>
      </x:c>
      <x:c r="G212" s="18" t="n">
        <x:v>506</x:v>
      </x:c>
      <x:c r="H212" s="19" t="n">
        <x:v>12.974358974358974</x:v>
      </x:c>
      <x:c r="I212" s="18" t="n">
        <x:f>ROUND(MIN(Model_Config_v3!$B$6,MAX(Q212,R212,S212*Model_Config_v3!$B$4+T212*Model_Config_v3!$B$5)),0)</x:f>
        <x:v>672</x:v>
      </x:c>
      <x:c r="J212" s="18" t="n">
        <x:f>MIN(Model_Config_v3!$B$6,I212+Model_Config_v3!$B$7)</x:f>
        <x:v>692</x:v>
      </x:c>
      <x:c r="K212" s="20" t="n">
        <x:v>62.1</x:v>
      </x:c>
      <x:c r="L212" t="str">
        <x:v>KETAT</x:v>
      </x:c>
      <x:c r="M212" t="str">
        <x:v>SEDANG+</x:v>
      </x:c>
      <x:c r="N212" t="str">
        <x:v>ELITE-3</x:v>
      </x:c>
      <x:c r="O212" t="str">
        <x:v>SOSHUM</x:v>
      </x:c>
      <x:c r="P212" t="str">
        <x:v>UMUM</x:v>
      </x:c>
      <x:c r="Q212" s="18" t="n">
        <x:v>635</x:v>
      </x:c>
      <x:c r="R212" s="18" t="n">
        <x:v>0</x:v>
      </x:c>
      <x:c r="S212" s="18" t="n">
        <x:v>642.439450079463</x:v>
      </x:c>
      <x:c r="T212" s="18" t="n">
        <x:v>684</x:v>
      </x:c>
      <x:c r="U212" s="18" t="n">
        <x:v>642.439450079463</x:v>
      </x:c>
      <x:c r="V212" s="20" t="n">
        <x:v>4.4</x:v>
      </x:c>
      <x:c r="W212" s="20" t="n">
        <x:v>14.3</x:v>
      </x:c>
      <x:c r="X212" s="20" t="n">
        <x:v>3.3</x:v>
      </x:c>
      <x:c r="Y212" t="str">
        <x:v>Basis arsip 2025/2024</x:v>
      </x:c>
      <x:c r="Z212" t="str">
        <x:v>https://snpmb.id/utbk-snbt/daya-tampung-snbt</x:v>
      </x:c>
      <x:c r="AA212" t="str">
        <x:v>Tidak Ada</x:v>
      </x:c>
      <x:c r="AB212" t="str">
        <x:v>Campus=80; Ratio=65.5; Prodi=40; RelDemand=30.1; Capacity=67.5</x:v>
      </x:c>
    </x:row>
    <x:row r="213">
      <x:c r="A213" t="n">
        <x:v>210</x:v>
      </x:c>
      <x:c r="B213" t="str">
        <x:v>PTN Akademik</x:v>
      </x:c>
      <x:c r="C213" t="str">
        <x:v>UNIVERSITAS SUMATERA UTARA</x:v>
      </x:c>
      <x:c r="D213" t="str">
        <x:v>SASTRA INDONESIA</x:v>
      </x:c>
      <x:c r="E213" t="str">
        <x:v>Sarjana</x:v>
      </x:c>
      <x:c r="F213" s="18" t="n">
        <x:v>48</x:v>
      </x:c>
      <x:c r="G213" s="18" t="n">
        <x:v>258</x:v>
      </x:c>
      <x:c r="H213" s="19" t="n">
        <x:v>5.375</x:v>
      </x:c>
      <x:c r="I213" s="18" t="n">
        <x:f>ROUND(MIN(Model_Config_v3!$B$6,MAX(Q213,R213,S213*Model_Config_v3!$B$4+T213*Model_Config_v3!$B$5)),0)</x:f>
        <x:v>648</x:v>
      </x:c>
      <x:c r="J213" s="18" t="n">
        <x:f>MIN(Model_Config_v3!$B$6,I213+Model_Config_v3!$B$7)</x:f>
        <x:v>668</x:v>
      </x:c>
      <x:c r="K213" s="20" t="n">
        <x:v>54</x:v>
      </x:c>
      <x:c r="L213" t="str">
        <x:v>MENENGAH</x:v>
      </x:c>
      <x:c r="M213" t="str">
        <x:v>SEDANG+</x:v>
      </x:c>
      <x:c r="N213" t="str">
        <x:v>ELITE-3</x:v>
      </x:c>
      <x:c r="O213" t="str">
        <x:v>SOSHUM</x:v>
      </x:c>
      <x:c r="P213" t="str">
        <x:v>UMUM</x:v>
      </x:c>
      <x:c r="Q213" s="18" t="n">
        <x:v>635</x:v>
      </x:c>
      <x:c r="R213" s="18" t="n">
        <x:v>0</x:v>
      </x:c>
      <x:c r="S213" s="18" t="n">
        <x:v>600.3416315446407</x:v>
      </x:c>
      <x:c r="T213" s="18" t="n">
        <x:v>668</x:v>
      </x:c>
      <x:c r="U213" s="18" t="n">
        <x:v>635</x:v>
      </x:c>
      <x:c r="V213" s="20" t="n">
        <x:v>4.4</x:v>
      </x:c>
      <x:c r="W213" s="20" t="n">
        <x:v>14.3</x:v>
      </x:c>
      <x:c r="X213" s="20" t="n">
        <x:v>3.3</x:v>
      </x:c>
      <x:c r="Y213" t="str">
        <x:v>Basis arsip 2025/2024</x:v>
      </x:c>
      <x:c r="Z213" t="str">
        <x:v>https://snpmb.id/utbk-snbt/daya-tampung-snbt</x:v>
      </x:c>
      <x:c r="AA213" t="str">
        <x:v>Tidak Ada</x:v>
      </x:c>
      <x:c r="AB213" t="str">
        <x:v>Campus=80; Ratio=43.0; Prodi=40; RelDemand=12.5; Capacity=60.0</x:v>
      </x:c>
    </x:row>
    <x:row r="214">
      <x:c r="A214" t="n">
        <x:v>211</x:v>
      </x:c>
      <x:c r="B214" t="str">
        <x:v>PTN Akademik</x:v>
      </x:c>
      <x:c r="C214" t="str">
        <x:v>UNIVERSITAS SUMATERA UTARA</x:v>
      </x:c>
      <x:c r="D214" t="str">
        <x:v>SASTRA DAERAH UNTUK SASTRA MELAYU</x:v>
      </x:c>
      <x:c r="E214" t="str">
        <x:v>Sarjana</x:v>
      </x:c>
      <x:c r="F214" s="18" t="n">
        <x:v>26</x:v>
      </x:c>
      <x:c r="G214" s="18" t="n">
        <x:v>14</x:v>
      </x:c>
      <x:c r="H214" s="19" t="n">
        <x:v>0.5384615384615384</x:v>
      </x:c>
      <x:c r="I214" s="18" t="n">
        <x:f>ROUND(MIN(Model_Config_v3!$B$6,MAX(Q214,R214,S214*Model_Config_v3!$B$4+T214*Model_Config_v3!$B$5)),0)</x:f>
        <x:v>635</x:v>
      </x:c>
      <x:c r="J214" s="18" t="n">
        <x:f>MIN(Model_Config_v3!$B$6,I214+Model_Config_v3!$B$7)</x:f>
        <x:v>655</x:v>
      </x:c>
      <x:c r="K214" s="20" t="n">
        <x:v>44</x:v>
      </x:c>
      <x:c r="L214" t="str">
        <x:v>RELATIF LONGGAR</x:v>
      </x:c>
      <x:c r="M214" t="str">
        <x:v>SEDANG+</x:v>
      </x:c>
      <x:c r="N214" t="str">
        <x:v>ELITE-3</x:v>
      </x:c>
      <x:c r="O214" t="str">
        <x:v>SOSHUM</x:v>
      </x:c>
      <x:c r="P214" t="str">
        <x:v>UMUM</x:v>
      </x:c>
      <x:c r="Q214" s="18" t="n">
        <x:v>635</x:v>
      </x:c>
      <x:c r="R214" s="18" t="n">
        <x:v>0</x:v>
      </x:c>
      <x:c r="S214" s="18" t="n">
        <x:v>520</x:v>
      </x:c>
      <x:c r="T214" s="18" t="n">
        <x:v>648</x:v>
      </x:c>
      <x:c r="U214" s="18" t="n">
        <x:v>635</x:v>
      </x:c>
      <x:c r="V214" s="20" t="n">
        <x:v>4.4</x:v>
      </x:c>
      <x:c r="W214" s="20" t="n">
        <x:v>14.3</x:v>
      </x:c>
      <x:c r="X214" s="20" t="n">
        <x:v>3.3</x:v>
      </x:c>
      <x:c r="Y214" t="str">
        <x:v>Basis arsip 2025/2024</x:v>
      </x:c>
      <x:c r="Z214" t="str">
        <x:v>https://snpmb.id/utbk-snbt/daya-tampung-snbt</x:v>
      </x:c>
      <x:c r="AA214" t="str">
        <x:v>Tidak Ada</x:v>
      </x:c>
      <x:c r="AB214" t="str">
        <x:v>Campus=80; Ratio=0.0; Prodi=40; RelDemand=1.2; Capacity=78.3</x:v>
      </x:c>
    </x:row>
    <x:row r="215">
      <x:c r="A215" t="n">
        <x:v>212</x:v>
      </x:c>
      <x:c r="B215" t="str">
        <x:v>PTN Akademik</x:v>
      </x:c>
      <x:c r="C215" t="str">
        <x:v>UNIVERSITAS SUMATERA UTARA</x:v>
      </x:c>
      <x:c r="D215" t="str">
        <x:v>SASTRA INGGRIS</x:v>
      </x:c>
      <x:c r="E215" t="str">
        <x:v>Sarjana</x:v>
      </x:c>
      <x:c r="F215" s="18" t="n">
        <x:v>75</x:v>
      </x:c>
      <x:c r="G215" s="18" t="n">
        <x:v>643</x:v>
      </x:c>
      <x:c r="H215" s="19" t="n">
        <x:v>8.573333333333334</x:v>
      </x:c>
      <x:c r="I215" s="18" t="n">
        <x:f>ROUND(MIN(Model_Config_v3!$B$6,MAX(Q215,R215,S215*Model_Config_v3!$B$4+T215*Model_Config_v3!$B$5)),0)</x:f>
        <x:v>656</x:v>
      </x:c>
      <x:c r="J215" s="18" t="n">
        <x:f>MIN(Model_Config_v3!$B$6,I215+Model_Config_v3!$B$7)</x:f>
        <x:v>676</x:v>
      </x:c>
      <x:c r="K215" s="20" t="n">
        <x:v>55.5</x:v>
      </x:c>
      <x:c r="L215" t="str">
        <x:v>KETAT</x:v>
      </x:c>
      <x:c r="M215" t="str">
        <x:v>SEDANG+</x:v>
      </x:c>
      <x:c r="N215" t="str">
        <x:v>ELITE-3</x:v>
      </x:c>
      <x:c r="O215" t="str">
        <x:v>SOSHUM</x:v>
      </x:c>
      <x:c r="P215" t="str">
        <x:v>UMUM</x:v>
      </x:c>
      <x:c r="Q215" s="18" t="n">
        <x:v>635</x:v>
      </x:c>
      <x:c r="R215" s="18" t="n">
        <x:v>0</x:v>
      </x:c>
      <x:c r="S215" s="18" t="n">
        <x:v>622.6464680485774</x:v>
      </x:c>
      <x:c r="T215" s="18" t="n">
        <x:v>671</x:v>
      </x:c>
      <x:c r="U215" s="18" t="n">
        <x:v>635</x:v>
      </x:c>
      <x:c r="V215" s="20" t="n">
        <x:v>4.4</x:v>
      </x:c>
      <x:c r="W215" s="20" t="n">
        <x:v>14.3</x:v>
      </x:c>
      <x:c r="X215" s="20" t="n">
        <x:v>3.3</x:v>
      </x:c>
      <x:c r="Y215" t="str">
        <x:v>Basis arsip 2025/2024</x:v>
      </x:c>
      <x:c r="Z215" t="str">
        <x:v>https://snpmb.id/utbk-snbt/daya-tampung-snbt</x:v>
      </x:c>
      <x:c r="AA215" t="str">
        <x:v>Tidak Ada</x:v>
      </x:c>
      <x:c r="AB215" t="str">
        <x:v>Campus=80; Ratio=54.9; Prodi=40; RelDemand=19.9; Capacity=37.5</x:v>
      </x:c>
    </x:row>
    <x:row r="216">
      <x:c r="A216" t="n">
        <x:v>213</x:v>
      </x:c>
      <x:c r="B216" t="str">
        <x:v>PTN Akademik</x:v>
      </x:c>
      <x:c r="C216" t="str">
        <x:v>UNIVERSITAS SUMATERA UTARA</x:v>
      </x:c>
      <x:c r="D216" t="str">
        <x:v>SASTRA DAERAH UNTUK SASTRA BATAK</x:v>
      </x:c>
      <x:c r="E216" t="str">
        <x:v>Sarjana</x:v>
      </x:c>
      <x:c r="F216" s="18" t="n">
        <x:v>32</x:v>
      </x:c>
      <x:c r="G216" s="18" t="n">
        <x:v>30</x:v>
      </x:c>
      <x:c r="H216" s="19" t="n">
        <x:v>0.9375</x:v>
      </x:c>
      <x:c r="I216" s="18" t="n">
        <x:f>ROUND(MIN(Model_Config_v3!$B$6,MAX(Q216,R216,S216*Model_Config_v3!$B$4+T216*Model_Config_v3!$B$5)),0)</x:f>
        <x:v>635</x:v>
      </x:c>
      <x:c r="J216" s="18" t="n">
        <x:f>MIN(Model_Config_v3!$B$6,I216+Model_Config_v3!$B$7)</x:f>
        <x:v>655</x:v>
      </x:c>
      <x:c r="K216" s="20" t="n">
        <x:v>43.6</x:v>
      </x:c>
      <x:c r="L216" t="str">
        <x:v>RELATIF LONGGAR</x:v>
      </x:c>
      <x:c r="M216" t="str">
        <x:v>SEDANG+</x:v>
      </x:c>
      <x:c r="N216" t="str">
        <x:v>ELITE-3</x:v>
      </x:c>
      <x:c r="O216" t="str">
        <x:v>SOSHUM</x:v>
      </x:c>
      <x:c r="P216" t="str">
        <x:v>UMUM</x:v>
      </x:c>
      <x:c r="Q216" s="18" t="n">
        <x:v>635</x:v>
      </x:c>
      <x:c r="R216" s="18" t="n">
        <x:v>0</x:v>
      </x:c>
      <x:c r="S216" s="18" t="n">
        <x:v>520</x:v>
      </x:c>
      <x:c r="T216" s="18" t="n">
        <x:v>647</x:v>
      </x:c>
      <x:c r="U216" s="18" t="n">
        <x:v>635</x:v>
      </x:c>
      <x:c r="V216" s="20" t="n">
        <x:v>4.4</x:v>
      </x:c>
      <x:c r="W216" s="20" t="n">
        <x:v>14.3</x:v>
      </x:c>
      <x:c r="X216" s="20" t="n">
        <x:v>3.3</x:v>
      </x:c>
      <x:c r="Y216" t="str">
        <x:v>Basis arsip 2025/2024</x:v>
      </x:c>
      <x:c r="Z216" t="str">
        <x:v>https://snpmb.id/utbk-snbt/daya-tampung-snbt</x:v>
      </x:c>
      <x:c r="AA216" t="str">
        <x:v>Tidak Ada</x:v>
      </x:c>
      <x:c r="AB216" t="str">
        <x:v>Campus=80; Ratio=0.0; Prodi=40; RelDemand=2.2; Capacity=73.3</x:v>
      </x:c>
    </x:row>
    <x:row r="217">
      <x:c r="A217" t="n">
        <x:v>214</x:v>
      </x:c>
      <x:c r="B217" t="str">
        <x:v>PTN Akademik</x:v>
      </x:c>
      <x:c r="C217" t="str">
        <x:v>UNIVERSITAS SUMATERA UTARA</x:v>
      </x:c>
      <x:c r="D217" t="str">
        <x:v>SASTRA ARAB</x:v>
      </x:c>
      <x:c r="E217" t="str">
        <x:v>Sarjana</x:v>
      </x:c>
      <x:c r="F217" s="18" t="n">
        <x:v>43</x:v>
      </x:c>
      <x:c r="G217" s="18" t="n">
        <x:v>91</x:v>
      </x:c>
      <x:c r="H217" s="19" t="n">
        <x:v>2.116279069767442</x:v>
      </x:c>
      <x:c r="I217" s="18" t="n">
        <x:f>ROUND(MIN(Model_Config_v3!$B$6,MAX(Q217,R217,S217*Model_Config_v3!$B$4+T217*Model_Config_v3!$B$5)),0)</x:f>
        <x:v>635</x:v>
      </x:c>
      <x:c r="J217" s="18" t="n">
        <x:f>MIN(Model_Config_v3!$B$6,I217+Model_Config_v3!$B$7)</x:f>
        <x:v>655</x:v>
      </x:c>
      <x:c r="K217" s="20" t="n">
        <x:v>47.7</x:v>
      </x:c>
      <x:c r="L217" t="str">
        <x:v>MENENGAH</x:v>
      </x:c>
      <x:c r="M217" t="str">
        <x:v>SEDANG+</x:v>
      </x:c>
      <x:c r="N217" t="str">
        <x:v>ELITE-3</x:v>
      </x:c>
      <x:c r="O217" t="str">
        <x:v>SOSHUM</x:v>
      </x:c>
      <x:c r="P217" t="str">
        <x:v>UMUM</x:v>
      </x:c>
      <x:c r="Q217" s="18" t="n">
        <x:v>635</x:v>
      </x:c>
      <x:c r="R217" s="18" t="n">
        <x:v>0</x:v>
      </x:c>
      <x:c r="S217" s="18" t="n">
        <x:v>555.8130230415658</x:v>
      </x:c>
      <x:c r="T217" s="18" t="n">
        <x:v>655</x:v>
      </x:c>
      <x:c r="U217" s="18" t="n">
        <x:v>635</x:v>
      </x:c>
      <x:c r="V217" s="20" t="n">
        <x:v>4.4</x:v>
      </x:c>
      <x:c r="W217" s="20" t="n">
        <x:v>14.3</x:v>
      </x:c>
      <x:c r="X217" s="20" t="n">
        <x:v>3.3</x:v>
      </x:c>
      <x:c r="Y217" t="str">
        <x:v>Basis arsip 2025/2024</x:v>
      </x:c>
      <x:c r="Z217" t="str">
        <x:v>https://snpmb.id/utbk-snbt/daya-tampung-snbt</x:v>
      </x:c>
      <x:c r="AA217" t="str">
        <x:v>Tidak Ada</x:v>
      </x:c>
      <x:c r="AB217" t="str">
        <x:v>Campus=80; Ratio=19.2; Prodi=40; RelDemand=4.9; Capacity=64.2</x:v>
      </x:c>
    </x:row>
    <x:row r="218">
      <x:c r="A218" t="n">
        <x:v>215</x:v>
      </x:c>
      <x:c r="B218" t="str">
        <x:v>PTN Akademik</x:v>
      </x:c>
      <x:c r="C218" t="str">
        <x:v>UNIVERSITAS SUMATERA UTARA</x:v>
      </x:c>
      <x:c r="D218" t="str">
        <x:v>ETNO MUSIKOLOGI</x:v>
      </x:c>
      <x:c r="E218" t="str">
        <x:v>Sarjana</x:v>
      </x:c>
      <x:c r="F218" s="18" t="n">
        <x:v>32</x:v>
      </x:c>
      <x:c r="G218" s="18" t="n">
        <x:v>47</x:v>
      </x:c>
      <x:c r="H218" s="19" t="n">
        <x:v>1.46875</x:v>
      </x:c>
      <x:c r="I218" s="18" t="n">
        <x:f>ROUND(MIN(Model_Config_v3!$B$6,MAX(Q218,R218,S218*Model_Config_v3!$B$4+T218*Model_Config_v3!$B$5)),0)</x:f>
        <x:v>635</x:v>
      </x:c>
      <x:c r="J218" s="18" t="n">
        <x:f>MIN(Model_Config_v3!$B$6,I218+Model_Config_v3!$B$7)</x:f>
        <x:v>655</x:v>
      </x:c>
      <x:c r="K218" s="20" t="n">
        <x:v>47.1</x:v>
      </x:c>
      <x:c r="L218" t="str">
        <x:v>MENENGAH</x:v>
      </x:c>
      <x:c r="M218" t="str">
        <x:v>PORTOFOLIO</x:v>
      </x:c>
      <x:c r="N218" t="str">
        <x:v>ELITE-3</x:v>
      </x:c>
      <x:c r="O218" t="str">
        <x:v>SENI/OLAHRAGA</x:v>
      </x:c>
      <x:c r="P218" t="str">
        <x:v>SENI/OLAHRAGA</x:v>
      </x:c>
      <x:c r="Q218" s="18" t="n">
        <x:v>635</x:v>
      </x:c>
      <x:c r="R218" s="18" t="n">
        <x:v>0</x:v>
      </x:c>
      <x:c r="S218" s="18" t="n">
        <x:v>538.3642667577393</x:v>
      </x:c>
      <x:c r="T218" s="18" t="n">
        <x:v>654</x:v>
      </x:c>
      <x:c r="U218" s="18" t="n">
        <x:v>635</x:v>
      </x:c>
      <x:c r="V218" s="20" t="n">
        <x:v>4.4</x:v>
      </x:c>
      <x:c r="W218" s="20" t="n">
        <x:v>9.9</x:v>
      </x:c>
      <x:c r="X218" s="20" t="n">
        <x:v>7.7</x:v>
      </x:c>
      <x:c r="Y218" t="str">
        <x:v>Basis arsip 2025/2024</x:v>
      </x:c>
      <x:c r="Z218" t="str">
        <x:v>https://snpmb.id/utbk-snbt/daya-tampung-snbt</x:v>
      </x:c>
      <x:c r="AA218" t="str">
        <x:v>Etnomusikologi</x:v>
      </x:c>
      <x:c r="AB218" t="str">
        <x:v>Campus=80; Ratio=9.8; Prodi=45; RelDemand=3.4; Capacity=73.3</x:v>
      </x:c>
    </x:row>
    <x:row r="219">
      <x:c r="A219" t="n">
        <x:v>216</x:v>
      </x:c>
      <x:c r="B219" t="str">
        <x:v>PTN Akademik</x:v>
      </x:c>
      <x:c r="C219" t="str">
        <x:v>UNIVERSITAS SUMATERA UTARA</x:v>
      </x:c>
      <x:c r="D219" t="str">
        <x:v>SASTRA JEPANG</x:v>
      </x:c>
      <x:c r="E219" t="str">
        <x:v>Sarjana</x:v>
      </x:c>
      <x:c r="F219" s="18" t="n">
        <x:v>16</x:v>
      </x:c>
      <x:c r="G219" s="18" t="n">
        <x:v>234</x:v>
      </x:c>
      <x:c r="H219" s="19" t="n">
        <x:v>14.625</x:v>
      </x:c>
      <x:c r="I219" s="18" t="n">
        <x:f>ROUND(MIN(Model_Config_v3!$B$6,MAX(Q219,R219,S219*Model_Config_v3!$B$4+T219*Model_Config_v3!$B$5)),0)</x:f>
        <x:v>677</x:v>
      </x:c>
      <x:c r="J219" s="18" t="n">
        <x:f>MIN(Model_Config_v3!$B$6,I219+Model_Config_v3!$B$7)</x:f>
        <x:v>697</x:v>
      </x:c>
      <x:c r="K219" s="20" t="n">
        <x:v>65.2</x:v>
      </x:c>
      <x:c r="L219" t="str">
        <x:v>SANGAT KETAT</x:v>
      </x:c>
      <x:c r="M219" t="str">
        <x:v>SEDANG+</x:v>
      </x:c>
      <x:c r="N219" t="str">
        <x:v>ELITE-3</x:v>
      </x:c>
      <x:c r="O219" t="str">
        <x:v>SOSHUM</x:v>
      </x:c>
      <x:c r="P219" t="str">
        <x:v>UMUM</x:v>
      </x:c>
      <x:c r="Q219" s="18" t="n">
        <x:v>635</x:v>
      </x:c>
      <x:c r="R219" s="18" t="n">
        <x:v>0</x:v>
      </x:c>
      <x:c r="S219" s="18" t="n">
        <x:v>648.160546222964</x:v>
      </x:c>
      <x:c r="T219" s="18" t="n">
        <x:v>690</x:v>
      </x:c>
      <x:c r="U219" s="18" t="n">
        <x:v>648.160546222964</x:v>
      </x:c>
      <x:c r="V219" s="20" t="n">
        <x:v>4.4</x:v>
      </x:c>
      <x:c r="W219" s="20" t="n">
        <x:v>14.3</x:v>
      </x:c>
      <x:c r="X219" s="20" t="n">
        <x:v>3.3</x:v>
      </x:c>
      <x:c r="Y219" t="str">
        <x:v>Basis arsip 2025/2024</x:v>
      </x:c>
      <x:c r="Z219" t="str">
        <x:v>https://snpmb.id/utbk-snbt/daya-tampung-snbt</x:v>
      </x:c>
      <x:c r="AA219" t="str">
        <x:v>Tidak Ada</x:v>
      </x:c>
      <x:c r="AB219" t="str">
        <x:v>Campus=80; Ratio=68.6; Prodi=40; RelDemand=33.9; Capacity=86.7</x:v>
      </x:c>
    </x:row>
    <x:row r="220">
      <x:c r="A220" t="n">
        <x:v>217</x:v>
      </x:c>
      <x:c r="B220" t="str">
        <x:v>PTN Akademik</x:v>
      </x:c>
      <x:c r="C220" t="str">
        <x:v>UNIVERSITAS SUMATERA UTARA</x:v>
      </x:c>
      <x:c r="D220" t="str">
        <x:v>ILMU PERPUSTAKAAN</x:v>
      </x:c>
      <x:c r="E220" t="str">
        <x:v>Sarjana</x:v>
      </x:c>
      <x:c r="F220" s="18" t="n">
        <x:v>32</x:v>
      </x:c>
      <x:c r="G220" s="18" t="n">
        <x:v>339</x:v>
      </x:c>
      <x:c r="H220" s="19" t="n">
        <x:v>10.59375</x:v>
      </x:c>
      <x:c r="I220" s="18" t="n">
        <x:f>ROUND(MIN(Model_Config_v3!$B$6,MAX(Q220,R220,S220*Model_Config_v3!$B$4+T220*Model_Config_v3!$B$5)),0)</x:f>
        <x:v>667</x:v>
      </x:c>
      <x:c r="J220" s="18" t="n">
        <x:f>MIN(Model_Config_v3!$B$6,I220+Model_Config_v3!$B$7)</x:f>
        <x:v>687</x:v>
      </x:c>
      <x:c r="K220" s="20" t="n">
        <x:v>60.9</x:v>
      </x:c>
      <x:c r="L220" t="str">
        <x:v>KETAT</x:v>
      </x:c>
      <x:c r="M220" t="str">
        <x:v>SEDANG+</x:v>
      </x:c>
      <x:c r="N220" t="str">
        <x:v>ELITE-3</x:v>
      </x:c>
      <x:c r="O220" t="str">
        <x:v>CAMPURAN</x:v>
      </x:c>
      <x:c r="P220" t="str">
        <x:v>UMUM</x:v>
      </x:c>
      <x:c r="Q220" s="18" t="n">
        <x:v>635</x:v>
      </x:c>
      <x:c r="R220" s="18" t="n">
        <x:v>0</x:v>
      </x:c>
      <x:c r="S220" s="18" t="n">
        <x:v>632.7554691871494</x:v>
      </x:c>
      <x:c r="T220" s="18" t="n">
        <x:v>682</x:v>
      </x:c>
      <x:c r="U220" s="18" t="n">
        <x:v>635</x:v>
      </x:c>
      <x:c r="V220" s="20" t="n">
        <x:v>8.8</x:v>
      </x:c>
      <x:c r="W220" s="20" t="n">
        <x:v>9.9</x:v>
      </x:c>
      <x:c r="X220" s="20" t="n">
        <x:v>3.3</x:v>
      </x:c>
      <x:c r="Y220" t="str">
        <x:v>Basis arsip 2025/2024</x:v>
      </x:c>
      <x:c r="Z220" t="str">
        <x:v>https://snpmb.id/utbk-snbt/daya-tampung-snbt</x:v>
      </x:c>
      <x:c r="AA220" t="str">
        <x:v>Tidak Ada</x:v>
      </x:c>
      <x:c r="AB220" t="str">
        <x:v>Campus=80; Ratio=60.3; Prodi=40; RelDemand=24.6; Capacity=73.3</x:v>
      </x:c>
    </x:row>
    <x:row r="221">
      <x:c r="A221" t="n">
        <x:v>218</x:v>
      </x:c>
      <x:c r="B221" t="str">
        <x:v>PTN Akademik</x:v>
      </x:c>
      <x:c r="C221" t="str">
        <x:v>UNIVERSITAS SUMATERA UTARA</x:v>
      </x:c>
      <x:c r="D221" t="str">
        <x:v>SASTRA CINA</x:v>
      </x:c>
      <x:c r="E221" t="str">
        <x:v>Sarjana</x:v>
      </x:c>
      <x:c r="F221" s="18" t="n">
        <x:v>16</x:v>
      </x:c>
      <x:c r="G221" s="18" t="n">
        <x:v>81</x:v>
      </x:c>
      <x:c r="H221" s="19" t="n">
        <x:v>5.0625</x:v>
      </x:c>
      <x:c r="I221" s="18" t="n">
        <x:f>ROUND(MIN(Model_Config_v3!$B$6,MAX(Q221,R221,S221*Model_Config_v3!$B$4+T221*Model_Config_v3!$B$5)),0)</x:f>
        <x:v>650</x:v>
      </x:c>
      <x:c r="J221" s="18" t="n">
        <x:f>MIN(Model_Config_v3!$B$6,I221+Model_Config_v3!$B$7)</x:f>
        <x:v>670</x:v>
      </x:c>
      <x:c r="K221" s="20" t="n">
        <x:v>56.2</x:v>
      </x:c>
      <x:c r="L221" t="str">
        <x:v>KETAT</x:v>
      </x:c>
      <x:c r="M221" t="str">
        <x:v>SEDANG+</x:v>
      </x:c>
      <x:c r="N221" t="str">
        <x:v>ELITE-3</x:v>
      </x:c>
      <x:c r="O221" t="str">
        <x:v>SOSHUM</x:v>
      </x:c>
      <x:c r="P221" t="str">
        <x:v>UMUM</x:v>
      </x:c>
      <x:c r="Q221" s="18" t="n">
        <x:v>635</x:v>
      </x:c>
      <x:c r="R221" s="18" t="n">
        <x:v>0</x:v>
      </x:c>
      <x:c r="S221" s="18" t="n">
        <x:v>597.4801539844998</x:v>
      </x:c>
      <x:c r="T221" s="18" t="n">
        <x:v>672</x:v>
      </x:c>
      <x:c r="U221" s="18" t="n">
        <x:v>635</x:v>
      </x:c>
      <x:c r="V221" s="20" t="n">
        <x:v>4.4</x:v>
      </x:c>
      <x:c r="W221" s="20" t="n">
        <x:v>14.3</x:v>
      </x:c>
      <x:c r="X221" s="20" t="n">
        <x:v>3.3</x:v>
      </x:c>
      <x:c r="Y221" t="str">
        <x:v>Basis arsip 2025/2024</x:v>
      </x:c>
      <x:c r="Z221" t="str">
        <x:v>https://snpmb.id/utbk-snbt/daya-tampung-snbt</x:v>
      </x:c>
      <x:c r="AA221" t="str">
        <x:v>Tidak Ada</x:v>
      </x:c>
      <x:c r="AB221" t="str">
        <x:v>Campus=80; Ratio=41.5; Prodi=40; RelDemand=11.7; Capacity=86.7</x:v>
      </x:c>
    </x:row>
    <x:row r="222">
      <x:c r="A222" t="n">
        <x:v>219</x:v>
      </x:c>
      <x:c r="B222" t="str">
        <x:v>PTN Akademik</x:v>
      </x:c>
      <x:c r="C222" t="str">
        <x:v>UNIVERSITAS SUMATERA UTARA</x:v>
      </x:c>
      <x:c r="D222" t="str">
        <x:v>ILMU ADMINISTRASI NIAGA/BISNIS</x:v>
      </x:c>
      <x:c r="E222" t="str">
        <x:v>Sarjana</x:v>
      </x:c>
      <x:c r="F222" s="18" t="n">
        <x:v>38</x:v>
      </x:c>
      <x:c r="G222" s="18" t="n">
        <x:v>1304</x:v>
      </x:c>
      <x:c r="H222" s="19" t="n">
        <x:v>34.31578947368421</x:v>
      </x:c>
      <x:c r="I222" s="18" t="n">
        <x:f>ROUND(MIN(Model_Config_v3!$B$6,MAX(Q222,R222,S222*Model_Config_v3!$B$4+T222*Model_Config_v3!$B$5)),0)</x:f>
        <x:v>709</x:v>
      </x:c>
      <x:c r="J222" s="18" t="n">
        <x:f>MIN(Model_Config_v3!$B$6,I222+Model_Config_v3!$B$7)</x:f>
        <x:v>729</x:v>
      </x:c>
      <x:c r="K222" s="20" t="n">
        <x:v>78.4</x:v>
      </x:c>
      <x:c r="L222" t="str">
        <x:v>ELITE</x:v>
      </x:c>
      <x:c r="M222" t="str">
        <x:v>SEDANG+</x:v>
      </x:c>
      <x:c r="N222" t="str">
        <x:v>ELITE-3</x:v>
      </x:c>
      <x:c r="O222" t="str">
        <x:v>SOSHUM</x:v>
      </x:c>
      <x:c r="P222" t="str">
        <x:v>BISNIS/EKONOMI/AKUNTANSI</x:v>
      </x:c>
      <x:c r="Q222" s="18" t="n">
        <x:v>635</x:v>
      </x:c>
      <x:c r="R222" s="18" t="n">
        <x:v>0</x:v>
      </x:c>
      <x:c r="S222" s="18" t="n">
        <x:v>688.9043394257001</x:v>
      </x:c>
      <x:c r="T222" s="18" t="n">
        <x:v>717</x:v>
      </x:c>
      <x:c r="U222" s="18" t="n">
        <x:v>703.9043394257001</x:v>
      </x:c>
      <x:c r="V222" s="20" t="n">
        <x:v>4.4</x:v>
      </x:c>
      <x:c r="W222" s="20" t="n">
        <x:v>14.3</x:v>
      </x:c>
      <x:c r="X222" s="20" t="n">
        <x:v>3.3</x:v>
      </x:c>
      <x:c r="Y222" t="str">
        <x:v>Basis arsip 2025/2024</x:v>
      </x:c>
      <x:c r="Z222" t="str">
        <x:v>https://snpmb.id/utbk-snbt/daya-tampung-snbt</x:v>
      </x:c>
      <x:c r="AA222" t="str">
        <x:v>Tidak Ada</x:v>
      </x:c>
      <x:c r="AB222" t="str">
        <x:v>Campus=80; Ratio=90.4; Prodi=65; RelDemand=79.5; Capacity=68.3</x:v>
      </x:c>
    </x:row>
    <x:row r="223">
      <x:c r="A223" t="n">
        <x:v>220</x:v>
      </x:c>
      <x:c r="B223" t="str">
        <x:v>PTN Akademik</x:v>
      </x:c>
      <x:c r="C223" t="str">
        <x:v>UNIVERSITAS SUMATERA UTARA</x:v>
      </x:c>
      <x:c r="D223" t="str">
        <x:v>PSIKOLOGI</x:v>
      </x:c>
      <x:c r="E223" t="str">
        <x:v>Sarjana</x:v>
      </x:c>
      <x:c r="F223" s="18" t="n">
        <x:v>80</x:v>
      </x:c>
      <x:c r="G223" s="18" t="n">
        <x:v>2037</x:v>
      </x:c>
      <x:c r="H223" s="19" t="n">
        <x:v>25.4625</x:v>
      </x:c>
      <x:c r="I223" s="18" t="n">
        <x:f>ROUND(MIN(Model_Config_v3!$B$6,MAX(Q223,R223,S223*Model_Config_v3!$B$4+T223*Model_Config_v3!$B$5)),0)</x:f>
        <x:v>698</x:v>
      </x:c>
      <x:c r="J223" s="18" t="n">
        <x:f>MIN(Model_Config_v3!$B$6,I223+Model_Config_v3!$B$7)</x:f>
        <x:v>718</x:v>
      </x:c>
      <x:c r="K223" s="20" t="n">
        <x:v>73.9</x:v>
      </x:c>
      <x:c r="L223" t="str">
        <x:v>SANGAT KETAT</x:v>
      </x:c>
      <x:c r="M223" t="str">
        <x:v>SEDANG+</x:v>
      </x:c>
      <x:c r="N223" t="str">
        <x:v>ELITE-3</x:v>
      </x:c>
      <x:c r="O223" t="str">
        <x:v>SOSHUM</x:v>
      </x:c>
      <x:c r="P223" t="str">
        <x:v>PSIKOLOGI</x:v>
      </x:c>
      <x:c r="Q223" s="18" t="n">
        <x:v>635</x:v>
      </x:c>
      <x:c r="R223" s="18" t="n">
        <x:v>670</x:v>
      </x:c>
      <x:c r="S223" s="18" t="n">
        <x:v>674.6491146209042</x:v>
      </x:c>
      <x:c r="T223" s="18" t="n">
        <x:v>708</x:v>
      </x:c>
      <x:c r="U223" s="18" t="n">
        <x:v>699.6491146209042</x:v>
      </x:c>
      <x:c r="V223" s="20" t="n">
        <x:v>4.4</x:v>
      </x:c>
      <x:c r="W223" s="20" t="n">
        <x:v>14.3</x:v>
      </x:c>
      <x:c r="X223" s="20" t="n">
        <x:v>3.3</x:v>
      </x:c>
      <x:c r="Y223" t="str">
        <x:v>Basis arsip 2025/2024</x:v>
      </x:c>
      <x:c r="Z223" t="str">
        <x:v>https://snpmb.id/utbk-snbt/daya-tampung-snbt</x:v>
      </x:c>
      <x:c r="AA223" t="str">
        <x:v>Tidak Ada</x:v>
      </x:c>
      <x:c r="AB223" t="str">
        <x:v>Campus=80; Ratio=82.8; Prodi=80; RelDemand=59.0; Capacity=33.3</x:v>
      </x:c>
    </x:row>
    <x:row r="224">
      <x:c r="A224" t="n">
        <x:v>221</x:v>
      </x:c>
      <x:c r="B224" t="str">
        <x:v>PTN Akademik</x:v>
      </x:c>
      <x:c r="C224" t="str">
        <x:v>UNIVERSITAS SUMATERA UTARA</x:v>
      </x:c>
      <x:c r="D224" t="str">
        <x:v>KEWIRAUSAHAAN</x:v>
      </x:c>
      <x:c r="E224" t="str">
        <x:v>Sarjana</x:v>
      </x:c>
      <x:c r="F224" s="18" t="n">
        <x:v>19</x:v>
      </x:c>
      <x:c r="G224" s="18" t="n">
        <x:v>451</x:v>
      </x:c>
      <x:c r="H224" s="19" t="n">
        <x:v>23.736842105263158</x:v>
      </x:c>
      <x:c r="I224" s="18" t="n">
        <x:f>ROUND(MIN(Model_Config_v3!$B$6,MAX(Q224,R224,S224*Model_Config_v3!$B$4+T224*Model_Config_v3!$B$5)),0)</x:f>
        <x:v>691</x:v>
      </x:c>
      <x:c r="J224" s="18" t="n">
        <x:f>MIN(Model_Config_v3!$B$6,I224+Model_Config_v3!$B$7)</x:f>
        <x:v>711</x:v>
      </x:c>
      <x:c r="K224" s="20" t="n">
        <x:v>70.2</x:v>
      </x:c>
      <x:c r="L224" t="str">
        <x:v>SANGAT KETAT</x:v>
      </x:c>
      <x:c r="M224" t="str">
        <x:v>SEDANG+</x:v>
      </x:c>
      <x:c r="N224" t="str">
        <x:v>ELITE-3</x:v>
      </x:c>
      <x:c r="O224" t="str">
        <x:v>CAMPURAN</x:v>
      </x:c>
      <x:c r="P224" t="str">
        <x:v>UMUM</x:v>
      </x:c>
      <x:c r="Q224" s="18" t="n">
        <x:v>635</x:v>
      </x:c>
      <x:c r="R224" s="18" t="n">
        <x:v>0</x:v>
      </x:c>
      <x:c r="S224" s="18" t="n">
        <x:v>671.2965235017645</x:v>
      </x:c>
      <x:c r="T224" s="18" t="n">
        <x:v>700</x:v>
      </x:c>
      <x:c r="U224" s="18" t="n">
        <x:v>671.2965235017645</x:v>
      </x:c>
      <x:c r="V224" s="20" t="n">
        <x:v>8.8</x:v>
      </x:c>
      <x:c r="W224" s="20" t="n">
        <x:v>9.9</x:v>
      </x:c>
      <x:c r="X224" s="20" t="n">
        <x:v>3.3</x:v>
      </x:c>
      <x:c r="Y224" t="str">
        <x:v>Basis arsip 2025/2024</x:v>
      </x:c>
      <x:c r="Z224" t="str">
        <x:v>https://snpmb.id/utbk-snbt/daya-tampung-snbt</x:v>
      </x:c>
      <x:c r="AA224" t="str">
        <x:v>Tidak Ada</x:v>
      </x:c>
      <x:c r="AB224" t="str">
        <x:v>Campus=80; Ratio=81.0; Prodi=40; RelDemand=55.0; Capacity=84.2</x:v>
      </x:c>
    </x:row>
    <x:row r="225">
      <x:c r="A225" t="n">
        <x:v>222</x:v>
      </x:c>
      <x:c r="B225" t="str">
        <x:v>PTN Akademik</x:v>
      </x:c>
      <x:c r="C225" t="str">
        <x:v>UNIVERSITAS SUMATERA UTARA</x:v>
      </x:c>
      <x:c r="D225" t="str">
        <x:v>PERBANKAN DAN KEUANGAN</x:v>
      </x:c>
      <x:c r="E225" t="str">
        <x:v>Sarjana Terapan</x:v>
      </x:c>
      <x:c r="F225" s="18" t="n">
        <x:v>40</x:v>
      </x:c>
      <x:c r="G225" s="18" t="n">
        <x:v>3287</x:v>
      </x:c>
      <x:c r="H225" s="19" t="n">
        <x:v>82.175</x:v>
      </x:c>
      <x:c r="I225" s="18" t="n">
        <x:f>ROUND(MIN(Model_Config_v3!$B$6,MAX(Q225,R225,S225*Model_Config_v3!$B$4+T225*Model_Config_v3!$B$5)),0)</x:f>
        <x:v>720</x:v>
      </x:c>
      <x:c r="J225" s="18" t="n">
        <x:f>MIN(Model_Config_v3!$B$6,I225+Model_Config_v3!$B$7)</x:f>
        <x:v>740</x:v>
      </x:c>
      <x:c r="K225" s="20" t="n">
        <x:v>77.7</x:v>
      </x:c>
      <x:c r="L225" t="str">
        <x:v>ELITE</x:v>
      </x:c>
      <x:c r="M225" t="str">
        <x:v>SEDANG+</x:v>
      </x:c>
      <x:c r="N225" t="str">
        <x:v>ELITE-3</x:v>
      </x:c>
      <x:c r="O225" t="str">
        <x:v>CAMPURAN</x:v>
      </x:c>
      <x:c r="P225" t="str">
        <x:v>UMUM</x:v>
      </x:c>
      <x:c r="Q225" s="18" t="n">
        <x:v>635</x:v>
      </x:c>
      <x:c r="R225" s="18" t="n">
        <x:v>0</x:v>
      </x:c>
      <x:c r="S225" s="18" t="n">
        <x:v>730.6213684029028</x:v>
      </x:c>
      <x:c r="T225" s="18" t="n">
        <x:v>715</x:v>
      </x:c>
      <x:c r="U225" s="18" t="n">
        <x:v>730.6213684029028</x:v>
      </x:c>
      <x:c r="V225" s="20" t="n">
        <x:v>8.8</x:v>
      </x:c>
      <x:c r="W225" s="20" t="n">
        <x:v>9.9</x:v>
      </x:c>
      <x:c r="X225" s="20" t="n">
        <x:v>3.3</x:v>
      </x:c>
      <x:c r="Y225" t="str">
        <x:v>Basis arsip 2025/2024</x:v>
      </x:c>
      <x:c r="Z225" t="str">
        <x:v>https://snpmb.id/utbk-snbt/daya-tampung-snbt</x:v>
      </x:c>
      <x:c r="AA225" t="str">
        <x:v>Tidak Ada</x:v>
      </x:c>
      <x:c r="AB225" t="str">
        <x:v>Campus=80; Ratio=100.0; Prodi=40; RelDemand=100.0; Capacity=66.7</x:v>
      </x:c>
    </x:row>
    <x:row r="226">
      <x:c r="A226" t="n">
        <x:v>223</x:v>
      </x:c>
      <x:c r="B226" t="str">
        <x:v>PTN Akademik</x:v>
      </x:c>
      <x:c r="C226" t="str">
        <x:v>UNIVERSITAS SUMATERA UTARA</x:v>
      </x:c>
      <x:c r="D226" t="str">
        <x:v>ADMINISTRASI PERKANTORAN DIGITAL</x:v>
      </x:c>
      <x:c r="E226" t="str">
        <x:v>Sarjana Terapan</x:v>
      </x:c>
      <x:c r="F226" s="18" t="n">
        <x:v>32</x:v>
      </x:c>
      <x:c r="G226" s="18" t="n">
        <x:v>1624</x:v>
      </x:c>
      <x:c r="H226" s="19" t="n">
        <x:v>50.75</x:v>
      </x:c>
      <x:c r="I226" s="18" t="n">
        <x:f>ROUND(MIN(Model_Config_v3!$B$6,MAX(Q226,R226,S226*Model_Config_v3!$B$4+T226*Model_Config_v3!$B$5)),0)</x:f>
        <x:v>714</x:v>
      </x:c>
      <x:c r="J226" s="18" t="n">
        <x:f>MIN(Model_Config_v3!$B$6,I226+Model_Config_v3!$B$7)</x:f>
        <x:v>734</x:v>
      </x:c>
      <x:c r="K226" s="20" t="n">
        <x:v>78.3</x:v>
      </x:c>
      <x:c r="L226" t="str">
        <x:v>ELITE</x:v>
      </x:c>
      <x:c r="M226" t="str">
        <x:v>SEDANG+</x:v>
      </x:c>
      <x:c r="N226" t="str">
        <x:v>ELITE-3</x:v>
      </x:c>
      <x:c r="O226" t="str">
        <x:v>SOSHUM</x:v>
      </x:c>
      <x:c r="P226" t="str">
        <x:v>UMUM</x:v>
      </x:c>
      <x:c r="Q226" s="18" t="n">
        <x:v>635</x:v>
      </x:c>
      <x:c r="R226" s="18" t="n">
        <x:v>0</x:v>
      </x:c>
      <x:c r="S226" s="18" t="n">
        <x:v>707.5979651243775</x:v>
      </x:c>
      <x:c r="T226" s="18" t="n">
        <x:v>717</x:v>
      </x:c>
      <x:c r="U226" s="18" t="n">
        <x:v>707.5979651243775</x:v>
      </x:c>
      <x:c r="V226" s="20" t="n">
        <x:v>4.4</x:v>
      </x:c>
      <x:c r="W226" s="20" t="n">
        <x:v>14.3</x:v>
      </x:c>
      <x:c r="X226" s="20" t="n">
        <x:v>3.3</x:v>
      </x:c>
      <x:c r="Y226" t="str">
        <x:v>Basis arsip 2025/2024</x:v>
      </x:c>
      <x:c r="Z226" t="str">
        <x:v>https://snpmb.id/utbk-snbt/daya-tampung-snbt</x:v>
      </x:c>
      <x:c r="AA226" t="str">
        <x:v>Tidak Ada</x:v>
      </x:c>
      <x:c r="AB226" t="str">
        <x:v>Campus=80; Ratio=100.0; Prodi=40; RelDemand=100.0; Capacity=73.3</x:v>
      </x:c>
    </x:row>
    <x:row r="227">
      <x:c r="A227" t="n">
        <x:v>224</x:v>
      </x:c>
      <x:c r="B227" t="str">
        <x:v>PTN Akademik</x:v>
      </x:c>
      <x:c r="C227" t="str">
        <x:v>UNIVERSITAS SUMATERA UTARA</x:v>
      </x:c>
      <x:c r="D227" t="str">
        <x:v>AKUNTANSI SEKTOR PUBLIK</x:v>
      </x:c>
      <x:c r="E227" t="str">
        <x:v>Sarjana Terapan</x:v>
      </x:c>
      <x:c r="F227" s="18" t="n">
        <x:v>44</x:v>
      </x:c>
      <x:c r="G227" s="18"/>
      <x:c r="H227" s="19" t="n">
        <x:v>0</x:v>
      </x:c>
      <x:c r="I227" s="18" t="n">
        <x:f>ROUND(MIN(Model_Config_v3!$B$6,MAX(Q227,R227,S227*Model_Config_v3!$B$4+T227*Model_Config_v3!$B$5)),0)</x:f>
        <x:v>635</x:v>
      </x:c>
      <x:c r="J227" s="18" t="n">
        <x:f>MIN(Model_Config_v3!$B$6,I227+Model_Config_v3!$B$7)</x:f>
        <x:v>655</x:v>
      </x:c>
      <x:c r="K227" s="20" t="n">
        <x:v>47.3</x:v>
      </x:c>
      <x:c r="L227" t="str">
        <x:v>MENENGAH</x:v>
      </x:c>
      <x:c r="M227" t="str">
        <x:v>RENDAH</x:v>
      </x:c>
      <x:c r="N227" t="str">
        <x:v>ELITE-3</x:v>
      </x:c>
      <x:c r="O227" t="str">
        <x:v>SOSHUM</x:v>
      </x:c>
      <x:c r="P227" t="str">
        <x:v>BISNIS/EKONOMI/AKUNTANSI</x:v>
      </x:c>
      <x:c r="Q227" s="18" t="n">
        <x:v>635</x:v>
      </x:c>
      <x:c r="R227" s="18" t="n">
        <x:v>0</x:v>
      </x:c>
      <x:c r="S227" s="18" t="n">
        <x:v>520</x:v>
      </x:c>
      <x:c r="T227" s="18" t="n">
        <x:v>655</x:v>
      </x:c>
      <x:c r="U227" s="18" t="n">
        <x:v>635</x:v>
      </x:c>
      <x:c r="V227" s="20" t="n">
        <x:v>4.4</x:v>
      </x:c>
      <x:c r="W227" s="20" t="n">
        <x:v>14.3</x:v>
      </x:c>
      <x:c r="X227" s="20" t="n">
        <x:v>3.3</x:v>
      </x:c>
      <x:c r="Y227" t="str">
        <x:v>Basis arsip 2025/2024</x:v>
      </x:c>
      <x:c r="Z227" t="str">
        <x:v>https://snpmb.id/utbk-snbt/daya-tampung-snbt</x:v>
      </x:c>
      <x:c r="AA227" t="str">
        <x:v>Tidak Ada</x:v>
      </x:c>
      <x:c r="AB227" t="str">
        <x:v>Campus=80; Ratio=0.0; Prodi=65; RelDemand=0.0; Capacity=63.3</x:v>
      </x:c>
    </x:row>
    <x:row r="228">
      <x:c r="A228" t="n">
        <x:v>225</x:v>
      </x:c>
      <x:c r="B228" t="str">
        <x:v>PTN Akademik</x:v>
      </x:c>
      <x:c r="C228" t="str">
        <x:v>UNIVERSITAS SUMATERA UTARA</x:v>
      </x:c>
      <x:c r="D228" t="str">
        <x:v>STATISTIKA</x:v>
      </x:c>
      <x:c r="E228" t="str">
        <x:v>Sarjana Terapan</x:v>
      </x:c>
      <x:c r="F228" s="18" t="n">
        <x:v>40</x:v>
      </x:c>
      <x:c r="G228" s="18" t="n">
        <x:v>1079</x:v>
      </x:c>
      <x:c r="H228" s="19" t="n">
        <x:v>26.975</x:v>
      </x:c>
      <x:c r="I228" s="18" t="n">
        <x:f>ROUND(MIN(Model_Config_v3!$B$6,MAX(Q228,R228,S228*Model_Config_v3!$B$4+T228*Model_Config_v3!$B$5)),0)</x:f>
        <x:v>699</x:v>
      </x:c>
      <x:c r="J228" s="18" t="n">
        <x:f>MIN(Model_Config_v3!$B$6,I228+Model_Config_v3!$B$7)</x:f>
        <x:v>719</x:v>
      </x:c>
      <x:c r="K228" s="20" t="n">
        <x:v>74</x:v>
      </x:c>
      <x:c r="L228" t="str">
        <x:v>SANGAT KETAT</x:v>
      </x:c>
      <x:c r="M228" t="str">
        <x:v>SEDANG+</x:v>
      </x:c>
      <x:c r="N228" t="str">
        <x:v>ELITE-3</x:v>
      </x:c>
      <x:c r="O228" t="str">
        <x:v>SAINTEK</x:v>
      </x:c>
      <x:c r="P228" t="str">
        <x:v>TEKNIK/ARSITEKTUR/STATISTIKA/AKTUARIA</x:v>
      </x:c>
      <x:c r="Q228" s="18" t="n">
        <x:v>635</x:v>
      </x:c>
      <x:c r="R228" s="18" t="n">
        <x:v>0</x:v>
      </x:c>
      <x:c r="S228" s="18" t="n">
        <x:v>677.4057598690442</x:v>
      </x:c>
      <x:c r="T228" s="18" t="n">
        <x:v>708</x:v>
      </x:c>
      <x:c r="U228" s="18" t="n">
        <x:v>687.4057598690442</x:v>
      </x:c>
      <x:c r="V228" s="20" t="n">
        <x:v>12</x:v>
      </x:c>
      <x:c r="W228" s="20" t="n">
        <x:v>5</x:v>
      </x:c>
      <x:c r="X228" s="20" t="n">
        <x:v>3</x:v>
      </x:c>
      <x:c r="Y228" t="str">
        <x:v>Basis arsip 2025/2024</x:v>
      </x:c>
      <x:c r="Z228" t="str">
        <x:v>https://snpmb.id/utbk-snbt/daya-tampung-snbt</x:v>
      </x:c>
      <x:c r="AA228" t="str">
        <x:v>Tidak Ada</x:v>
      </x:c>
      <x:c r="AB228" t="str">
        <x:v>Campus=80; Ratio=84.2; Prodi=60; RelDemand=62.5; Capacity=66.7</x:v>
      </x:c>
    </x:row>
    <x:row r="229">
      <x:c r="A229" t="n">
        <x:v>226</x:v>
      </x:c>
      <x:c r="B229" t="str">
        <x:v>PTN Akademik</x:v>
      </x:c>
      <x:c r="C229" t="str">
        <x:v>UNIVERSITAS SUMATERA UTARA</x:v>
      </x:c>
      <x:c r="D229" t="str">
        <x:v>KIMIA TERAPAN</x:v>
      </x:c>
      <x:c r="E229" t="str">
        <x:v>Sarjana Terapan</x:v>
      </x:c>
      <x:c r="F229" s="18" t="n">
        <x:v>32</x:v>
      </x:c>
      <x:c r="G229" s="18" t="n">
        <x:v>333</x:v>
      </x:c>
      <x:c r="H229" s="19" t="n">
        <x:v>10.40625</x:v>
      </x:c>
      <x:c r="I229" s="18" t="n">
        <x:f>ROUND(MIN(Model_Config_v3!$B$6,MAX(Q229,R229,S229*Model_Config_v3!$B$4+T229*Model_Config_v3!$B$5)),0)</x:f>
        <x:v>669</x:v>
      </x:c>
      <x:c r="J229" s="18" t="n">
        <x:f>MIN(Model_Config_v3!$B$6,I229+Model_Config_v3!$B$7)</x:f>
        <x:v>689</x:v>
      </x:c>
      <x:c r="K229" s="20" t="n">
        <x:v>62.7</x:v>
      </x:c>
      <x:c r="L229" t="str">
        <x:v>KETAT</x:v>
      </x:c>
      <x:c r="M229" t="str">
        <x:v>SEDANG+</x:v>
      </x:c>
      <x:c r="N229" t="str">
        <x:v>ELITE-3</x:v>
      </x:c>
      <x:c r="O229" t="str">
        <x:v>SAINTEK</x:v>
      </x:c>
      <x:c r="P229" t="str">
        <x:v>SAINS DASAR</x:v>
      </x:c>
      <x:c r="Q229" s="18" t="n">
        <x:v>635</x:v>
      </x:c>
      <x:c r="R229" s="18" t="n">
        <x:v>0</x:v>
      </x:c>
      <x:c r="S229" s="18" t="n">
        <x:v>631.9023680705055</x:v>
      </x:c>
      <x:c r="T229" s="18" t="n">
        <x:v>685</x:v>
      </x:c>
      <x:c r="U229" s="18" t="n">
        <x:v>635</x:v>
      </x:c>
      <x:c r="V229" s="20" t="n">
        <x:v>12</x:v>
      </x:c>
      <x:c r="W229" s="20" t="n">
        <x:v>5</x:v>
      </x:c>
      <x:c r="X229" s="20" t="n">
        <x:v>3</x:v>
      </x:c>
      <x:c r="Y229" t="str">
        <x:v>Basis arsip 2025/2024</x:v>
      </x:c>
      <x:c r="Z229" t="str">
        <x:v>https://snpmb.id/utbk-snbt/daya-tampung-snbt</x:v>
      </x:c>
      <x:c r="AA229" t="str">
        <x:v>Tidak Ada</x:v>
      </x:c>
      <x:c r="AB229" t="str">
        <x:v>Campus=80; Ratio=59.9; Prodi=50; RelDemand=24.1; Capacity=73.3</x:v>
      </x:c>
    </x:row>
    <x:row r="230">
      <x:c r="A230" t="n">
        <x:v>227</x:v>
      </x:c>
      <x:c r="B230" t="str">
        <x:v>PTN Akademik</x:v>
      </x:c>
      <x:c r="C230" t="str">
        <x:v>UNIVERSITAS SUMATERA UTARA</x:v>
      </x:c>
      <x:c r="D230" t="str">
        <x:v>MANAJEMEN BISNIS PARIWISATA</x:v>
      </x:c>
      <x:c r="E230" t="str">
        <x:v>Sarjana Terapan</x:v>
      </x:c>
      <x:c r="F230" s="18" t="n">
        <x:v>40</x:v>
      </x:c>
      <x:c r="G230" s="18" t="n">
        <x:v>1501</x:v>
      </x:c>
      <x:c r="H230" s="19" t="n">
        <x:v>37.525</x:v>
      </x:c>
      <x:c r="I230" s="18" t="n">
        <x:f>ROUND(MIN(Model_Config_v3!$B$6,MAX(Q230,R230,S230*Model_Config_v3!$B$4+T230*Model_Config_v3!$B$5)),0)</x:f>
        <x:v>711</x:v>
      </x:c>
      <x:c r="J230" s="18" t="n">
        <x:f>MIN(Model_Config_v3!$B$6,I230+Model_Config_v3!$B$7)</x:f>
        <x:v>731</x:v>
      </x:c>
      <x:c r="K230" s="20" t="n">
        <x:v>79.5</x:v>
      </x:c>
      <x:c r="L230" t="str">
        <x:v>ELITE</x:v>
      </x:c>
      <x:c r="M230" t="str">
        <x:v>SEDANG+</x:v>
      </x:c>
      <x:c r="N230" t="str">
        <x:v>ELITE-3</x:v>
      </x:c>
      <x:c r="O230" t="str">
        <x:v>SOSHUM</x:v>
      </x:c>
      <x:c r="P230" t="str">
        <x:v>BISNIS/EKONOMI/AKUNTANSI</x:v>
      </x:c>
      <x:c r="Q230" s="18" t="n">
        <x:v>635</x:v>
      </x:c>
      <x:c r="R230" s="18" t="n">
        <x:v>0</x:v>
      </x:c>
      <x:c r="S230" s="18" t="n">
        <x:v>693.1752771006838</x:v>
      </x:c>
      <x:c r="T230" s="18" t="n">
        <x:v>719</x:v>
      </x:c>
      <x:c r="U230" s="18" t="n">
        <x:v>708.1752771006838</x:v>
      </x:c>
      <x:c r="V230" s="20" t="n">
        <x:v>4.4</x:v>
      </x:c>
      <x:c r="W230" s="20" t="n">
        <x:v>14.3</x:v>
      </x:c>
      <x:c r="X230" s="20" t="n">
        <x:v>3.3</x:v>
      </x:c>
      <x:c r="Y230" t="str">
        <x:v>Basis arsip 2025/2024</x:v>
      </x:c>
      <x:c r="Z230" t="str">
        <x:v>https://snpmb.id/utbk-snbt/daya-tampung-snbt</x:v>
      </x:c>
      <x:c r="AA230" t="str">
        <x:v>Tidak Ada</x:v>
      </x:c>
      <x:c r="AB230" t="str">
        <x:v>Campus=80; Ratio=92.7; Prodi=65; RelDemand=87.0; Capacity=66.7</x:v>
      </x:c>
    </x:row>
    <x:row r="231">
      <x:c r="A231" t="n">
        <x:v>228</x:v>
      </x:c>
      <x:c r="B231" t="str">
        <x:v>PTN Akademik</x:v>
      </x:c>
      <x:c r="C231" t="str">
        <x:v>UNIVERSITAS SUMATERA UTARA</x:v>
      </x:c>
      <x:c r="D231" t="str">
        <x:v>TEKNOLOGI REKAYASA INSTRUMENTASI</x:v>
      </x:c>
      <x:c r="E231" t="str">
        <x:v>Sarjana Terapan</x:v>
      </x:c>
      <x:c r="F231" s="18" t="n">
        <x:v>40</x:v>
      </x:c>
      <x:c r="G231" s="18"/>
      <x:c r="H231" s="19" t="n">
        <x:v>0</x:v>
      </x:c>
      <x:c r="I231" s="18" t="n">
        <x:f>ROUND(MIN(Model_Config_v3!$B$6,MAX(Q231,R231,S231*Model_Config_v3!$B$4+T231*Model_Config_v3!$B$5)),0)</x:f>
        <x:v>635</x:v>
      </x:c>
      <x:c r="J231" s="18" t="n">
        <x:f>MIN(Model_Config_v3!$B$6,I231+Model_Config_v3!$B$7)</x:f>
        <x:v>655</x:v>
      </x:c>
      <x:c r="K231" s="20" t="n">
        <x:v>42.7</x:v>
      </x:c>
      <x:c r="L231" t="str">
        <x:v>RELATIF LONGGAR</x:v>
      </x:c>
      <x:c r="M231" t="str">
        <x:v>RENDAH</x:v>
      </x:c>
      <x:c r="N231" t="str">
        <x:v>ELITE-3</x:v>
      </x:c>
      <x:c r="O231" t="str">
        <x:v>SAINTEK</x:v>
      </x:c>
      <x:c r="P231" t="str">
        <x:v>UMUM</x:v>
      </x:c>
      <x:c r="Q231" s="18" t="n">
        <x:v>635</x:v>
      </x:c>
      <x:c r="R231" s="18" t="n">
        <x:v>0</x:v>
      </x:c>
      <x:c r="S231" s="18" t="n">
        <x:v>520</x:v>
      </x:c>
      <x:c r="T231" s="18" t="n">
        <x:v>645</x:v>
      </x:c>
      <x:c r="U231" s="18" t="n">
        <x:v>635</x:v>
      </x:c>
      <x:c r="V231" s="20" t="n">
        <x:v>12</x:v>
      </x:c>
      <x:c r="W231" s="20" t="n">
        <x:v>5</x:v>
      </x:c>
      <x:c r="X231" s="20" t="n">
        <x:v>3</x:v>
      </x:c>
      <x:c r="Y231" t="str">
        <x:v>Basis arsip 2025/2024</x:v>
      </x:c>
      <x:c r="Z231" t="str">
        <x:v>https://snpmb.id/utbk-snbt/daya-tampung-snbt</x:v>
      </x:c>
      <x:c r="AA231" t="str">
        <x:v>Tidak Ada</x:v>
      </x:c>
      <x:c r="AB231" t="str">
        <x:v>Campus=80; Ratio=0.0; Prodi=40; RelDemand=0.0; Capacity=66.7</x:v>
      </x:c>
    </x:row>
    <x:row r="232">
      <x:c r="A232" t="n">
        <x:v>229</x:v>
      </x:c>
      <x:c r="B232" t="str">
        <x:v>PTN Akademik</x:v>
      </x:c>
      <x:c r="C232" t="str">
        <x:v>UNIVERSITAS SUMATERA UTARA</x:v>
      </x:c>
      <x:c r="D232" t="str">
        <x:v>METROLOGI DAN INSTRUMENTASI</x:v>
      </x:c>
      <x:c r="E232" t="str">
        <x:v>Diploma Tiga</x:v>
      </x:c>
      <x:c r="F232" s="18" t="n">
        <x:v>34</x:v>
      </x:c>
      <x:c r="G232" s="18" t="n">
        <x:v>388</x:v>
      </x:c>
      <x:c r="H232" s="19" t="n">
        <x:v>11.411764705882353</x:v>
      </x:c>
      <x:c r="I232" s="18" t="n">
        <x:f>ROUND(MIN(Model_Config_v3!$B$6,MAX(Q232,R232,S232*Model_Config_v3!$B$4+T232*Model_Config_v3!$B$5)),0)</x:f>
        <x:v>669</x:v>
      </x:c>
      <x:c r="J232" s="18" t="n">
        <x:f>MIN(Model_Config_v3!$B$6,I232+Model_Config_v3!$B$7)</x:f>
        <x:v>689</x:v>
      </x:c>
      <x:c r="K232" s="20" t="n">
        <x:v>61.4</x:v>
      </x:c>
      <x:c r="L232" t="str">
        <x:v>KETAT</x:v>
      </x:c>
      <x:c r="M232" t="str">
        <x:v>SEDANG+</x:v>
      </x:c>
      <x:c r="N232" t="str">
        <x:v>ELITE-3</x:v>
      </x:c>
      <x:c r="O232" t="str">
        <x:v>CAMPURAN</x:v>
      </x:c>
      <x:c r="P232" t="str">
        <x:v>UMUM</x:v>
      </x:c>
      <x:c r="Q232" s="18" t="n">
        <x:v>635</x:v>
      </x:c>
      <x:c r="R232" s="18" t="n">
        <x:v>0</x:v>
      </x:c>
      <x:c r="S232" s="18" t="n">
        <x:v>636.3088089407147</x:v>
      </x:c>
      <x:c r="T232" s="18" t="n">
        <x:v>683</x:v>
      </x:c>
      <x:c r="U232" s="18" t="n">
        <x:v>636.3088089407147</x:v>
      </x:c>
      <x:c r="V232" s="20" t="n">
        <x:v>8.8</x:v>
      </x:c>
      <x:c r="W232" s="20" t="n">
        <x:v>9.9</x:v>
      </x:c>
      <x:c r="X232" s="20" t="n">
        <x:v>3.3</x:v>
      </x:c>
      <x:c r="Y232" t="str">
        <x:v>Basis arsip 2025/2024</x:v>
      </x:c>
      <x:c r="Z232" t="str">
        <x:v>https://snpmb.id/utbk-snbt/daya-tampung-snbt</x:v>
      </x:c>
      <x:c r="AA232" t="str">
        <x:v>Tidak Ada</x:v>
      </x:c>
      <x:c r="AB232" t="str">
        <x:v>Campus=80; Ratio=62.2; Prodi=40; RelDemand=26.5; Capacity=71.7</x:v>
      </x:c>
    </x:row>
    <x:row r="233">
      <x:c r="A233" t="n">
        <x:v>230</x:v>
      </x:c>
      <x:c r="B233" t="str">
        <x:v>PTN Akademik</x:v>
      </x:c>
      <x:c r="C233" t="str">
        <x:v>UNIVERSITAS SUMATERA UTARA</x:v>
      </x:c>
      <x:c r="D233" t="str">
        <x:v>ADMINISTRASI PERPAJAKAN</x:v>
      </x:c>
      <x:c r="E233" t="str">
        <x:v>Diploma Tiga</x:v>
      </x:c>
      <x:c r="F233" s="18" t="n">
        <x:v>40</x:v>
      </x:c>
      <x:c r="G233" s="18" t="n">
        <x:v>4284</x:v>
      </x:c>
      <x:c r="H233" s="19" t="n">
        <x:v>107.1</x:v>
      </x:c>
      <x:c r="I233" s="18" t="n">
        <x:f>ROUND(MIN(Model_Config_v3!$B$6,MAX(Q233,R233,S233*Model_Config_v3!$B$4+T233*Model_Config_v3!$B$5)),0)</x:f>
        <x:v>723</x:v>
      </x:c>
      <x:c r="J233" s="18" t="n">
        <x:f>MIN(Model_Config_v3!$B$6,I233+Model_Config_v3!$B$7)</x:f>
        <x:v>743</x:v>
      </x:c>
      <x:c r="K233" s="20" t="n">
        <x:v>77.7</x:v>
      </x:c>
      <x:c r="L233" t="str">
        <x:v>ELITE</x:v>
      </x:c>
      <x:c r="M233" t="str">
        <x:v>SEDANG+</x:v>
      </x:c>
      <x:c r="N233" t="str">
        <x:v>ELITE-3</x:v>
      </x:c>
      <x:c r="O233" t="str">
        <x:v>SOSHUM</x:v>
      </x:c>
      <x:c r="P233" t="str">
        <x:v>UMUM</x:v>
      </x:c>
      <x:c r="Q233" s="18" t="n">
        <x:v>635</x:v>
      </x:c>
      <x:c r="R233" s="18" t="n">
        <x:v>0</x:v>
      </x:c>
      <x:c r="S233" s="18" t="n">
        <x:v>743.2768417915041</x:v>
      </x:c>
      <x:c r="T233" s="18" t="n">
        <x:v>715</x:v>
      </x:c>
      <x:c r="U233" s="18" t="n">
        <x:v>743.2768417915041</x:v>
      </x:c>
      <x:c r="V233" s="20" t="n">
        <x:v>4.4</x:v>
      </x:c>
      <x:c r="W233" s="20" t="n">
        <x:v>14.3</x:v>
      </x:c>
      <x:c r="X233" s="20" t="n">
        <x:v>3.3</x:v>
      </x:c>
      <x:c r="Y233" t="str">
        <x:v>Basis arsip 2025/2024</x:v>
      </x:c>
      <x:c r="Z233" t="str">
        <x:v>https://snpmb.id/utbk-snbt/daya-tampung-snbt</x:v>
      </x:c>
      <x:c r="AA233" t="str">
        <x:v>Tidak Ada</x:v>
      </x:c>
      <x:c r="AB233" t="str">
        <x:v>Campus=80; Ratio=100.0; Prodi=40; RelDemand=100.0; Capacity=66.7</x:v>
      </x:c>
    </x:row>
    <x:row r="234">
      <x:c r="A234" t="n">
        <x:v>231</x:v>
      </x:c>
      <x:c r="B234" t="str">
        <x:v>PTN Akademik</x:v>
      </x:c>
      <x:c r="C234" t="str">
        <x:v>UNIVERSITAS SUMATERA UTARA</x:v>
      </x:c>
      <x:c r="D234" t="str">
        <x:v>BAHASA JEPANG</x:v>
      </x:c>
      <x:c r="E234" t="str">
        <x:v>Diploma Tiga</x:v>
      </x:c>
      <x:c r="F234" s="18" t="n">
        <x:v>20</x:v>
      </x:c>
      <x:c r="G234" s="18" t="n">
        <x:v>397</x:v>
      </x:c>
      <x:c r="H234" s="19" t="n">
        <x:v>19.85</x:v>
      </x:c>
      <x:c r="I234" s="18" t="n">
        <x:f>ROUND(MIN(Model_Config_v3!$B$6,MAX(Q234,R234,S234*Model_Config_v3!$B$4+T234*Model_Config_v3!$B$5)),0)</x:f>
        <x:v>686</x:v>
      </x:c>
      <x:c r="J234" s="18" t="n">
        <x:f>MIN(Model_Config_v3!$B$6,I234+Model_Config_v3!$B$7)</x:f>
        <x:v>706</x:v>
      </x:c>
      <x:c r="K234" s="20" t="n">
        <x:v>68</x:v>
      </x:c>
      <x:c r="L234" t="str">
        <x:v>SANGAT KETAT</x:v>
      </x:c>
      <x:c r="M234" t="str">
        <x:v>SEDANG+</x:v>
      </x:c>
      <x:c r="N234" t="str">
        <x:v>ELITE-3</x:v>
      </x:c>
      <x:c r="O234" t="str">
        <x:v>SOSHUM</x:v>
      </x:c>
      <x:c r="P234" t="str">
        <x:v>UMUM</x:v>
      </x:c>
      <x:c r="Q234" s="18" t="n">
        <x:v>635</x:v>
      </x:c>
      <x:c r="R234" s="18" t="n">
        <x:v>0</x:v>
      </x:c>
      <x:c r="S234" s="18" t="n">
        <x:v>662.7536562209048</x:v>
      </x:c>
      <x:c r="T234" s="18" t="n">
        <x:v>696</x:v>
      </x:c>
      <x:c r="U234" s="18" t="n">
        <x:v>662.7536562209048</x:v>
      </x:c>
      <x:c r="V234" s="20" t="n">
        <x:v>4.4</x:v>
      </x:c>
      <x:c r="W234" s="20" t="n">
        <x:v>14.3</x:v>
      </x:c>
      <x:c r="X234" s="20" t="n">
        <x:v>3.3</x:v>
      </x:c>
      <x:c r="Y234" t="str">
        <x:v>Basis arsip 2025/2024</x:v>
      </x:c>
      <x:c r="Z234" t="str">
        <x:v>https://snpmb.id/utbk-snbt/daya-tampung-snbt</x:v>
      </x:c>
      <x:c r="AA234" t="str">
        <x:v>Tidak Ada</x:v>
      </x:c>
      <x:c r="AB234" t="str">
        <x:v>Campus=80; Ratio=76.4; Prodi=40; RelDemand=46.0; Capacity=83.3</x:v>
      </x:c>
    </x:row>
    <x:row r="235">
      <x:c r="A235" t="n">
        <x:v>232</x:v>
      </x:c>
      <x:c r="B235" t="str">
        <x:v>PTN Akademik</x:v>
      </x:c>
      <x:c r="C235" t="str">
        <x:v>UNIVERSITAS SUMATERA UTARA</x:v>
      </x:c>
      <x:c r="D235" t="str">
        <x:v>ANALIS FARMASI DAN MAKANAN</x:v>
      </x:c>
      <x:c r="E235" t="str">
        <x:v>Diploma Tiga</x:v>
      </x:c>
      <x:c r="F235" s="18" t="n">
        <x:v>24</x:v>
      </x:c>
      <x:c r="G235" s="18" t="n">
        <x:v>2912</x:v>
      </x:c>
      <x:c r="H235" s="19" t="n">
        <x:v>121.33333333333333</x:v>
      </x:c>
      <x:c r="I235" s="18" t="n">
        <x:f>ROUND(MIN(Model_Config_v3!$B$6,MAX(Q235,R235,S235*Model_Config_v3!$B$4+T235*Model_Config_v3!$B$5)),0)</x:f>
        <x:v>737</x:v>
      </x:c>
      <x:c r="J235" s="18" t="n">
        <x:f>MIN(Model_Config_v3!$B$6,I235+Model_Config_v3!$B$7)</x:f>
        <x:v>757</x:v>
      </x:c>
      <x:c r="K235" s="20" t="n">
        <x:v>86</x:v>
      </x:c>
      <x:c r="L235" t="str">
        <x:v>ULTRA ELITE</x:v>
      </x:c>
      <x:c r="M235" t="str">
        <x:v>SEDANG+</x:v>
      </x:c>
      <x:c r="N235" t="str">
        <x:v>ELITE-3</x:v>
      </x:c>
      <x:c r="O235" t="str">
        <x:v>SAINTEK</x:v>
      </x:c>
      <x:c r="P235" t="str">
        <x:v>FARMASI</x:v>
      </x:c>
      <x:c r="Q235" s="18" t="n">
        <x:v>635</x:v>
      </x:c>
      <x:c r="R235" s="18" t="n">
        <x:v>660</x:v>
      </x:c>
      <x:c r="S235" s="18" t="n">
        <x:v>749.2378141822333</x:v>
      </x:c>
      <x:c r="T235" s="18" t="n">
        <x:v>732</x:v>
      </x:c>
      <x:c r="U235" s="18" t="n">
        <x:v>769.2378141822333</x:v>
      </x:c>
      <x:c r="V235" s="20" t="n">
        <x:v>12</x:v>
      </x:c>
      <x:c r="W235" s="20" t="n">
        <x:v>5</x:v>
      </x:c>
      <x:c r="X235" s="20" t="n">
        <x:v>3</x:v>
      </x:c>
      <x:c r="Y235" t="str">
        <x:v>Basis arsip 2025/2024</x:v>
      </x:c>
      <x:c r="Z235" t="str">
        <x:v>https://snpmb.id/utbk-snbt/daya-tampung-snbt</x:v>
      </x:c>
      <x:c r="AA235" t="str">
        <x:v>Tidak Ada</x:v>
      </x:c>
      <x:c r="AB235" t="str">
        <x:v>Campus=80; Ratio=100.0; Prodi=75; RelDemand=100.0; Capacity=80.0</x:v>
      </x:c>
    </x:row>
    <x:row r="236">
      <x:c r="A236" t="n">
        <x:v>233</x:v>
      </x:c>
      <x:c r="B236" t="str">
        <x:v>PTN Akademik</x:v>
      </x:c>
      <x:c r="C236" t="str">
        <x:v>UNIVERSITAS SUMATERA UTARA</x:v>
      </x:c>
      <x:c r="D236" t="str">
        <x:v>BAHASA INGGRIS</x:v>
      </x:c>
      <x:c r="E236" t="str">
        <x:v>Diploma Tiga</x:v>
      </x:c>
      <x:c r="F236" s="18" t="n">
        <x:v>40</x:v>
      </x:c>
      <x:c r="G236" s="18" t="n">
        <x:v>1078</x:v>
      </x:c>
      <x:c r="H236" s="19" t="n">
        <x:v>26.95</x:v>
      </x:c>
      <x:c r="I236" s="18" t="n">
        <x:f>ROUND(MIN(Model_Config_v3!$B$6,MAX(Q236,R236,S236*Model_Config_v3!$B$4+T236*Model_Config_v3!$B$5)),0)</x:f>
        <x:v>693</x:v>
      </x:c>
      <x:c r="J236" s="18" t="n">
        <x:f>MIN(Model_Config_v3!$B$6,I236+Model_Config_v3!$B$7)</x:f>
        <x:v>713</x:v>
      </x:c>
      <x:c r="K236" s="20" t="n">
        <x:v>70</x:v>
      </x:c>
      <x:c r="L236" t="str">
        <x:v>SANGAT KETAT</x:v>
      </x:c>
      <x:c r="M236" t="str">
        <x:v>SEDANG+</x:v>
      </x:c>
      <x:c r="N236" t="str">
        <x:v>ELITE-3</x:v>
      </x:c>
      <x:c r="O236" t="str">
        <x:v>SOSHUM</x:v>
      </x:c>
      <x:c r="P236" t="str">
        <x:v>UMUM</x:v>
      </x:c>
      <x:c r="Q236" s="18" t="n">
        <x:v>635</x:v>
      </x:c>
      <x:c r="R236" s="18" t="n">
        <x:v>0</x:v>
      </x:c>
      <x:c r="S236" s="18" t="n">
        <x:v>677.3614646475033</x:v>
      </x:c>
      <x:c r="T236" s="18" t="n">
        <x:v>700</x:v>
      </x:c>
      <x:c r="U236" s="18" t="n">
        <x:v>677.3614646475033</x:v>
      </x:c>
      <x:c r="V236" s="20" t="n">
        <x:v>4.4</x:v>
      </x:c>
      <x:c r="W236" s="20" t="n">
        <x:v>14.3</x:v>
      </x:c>
      <x:c r="X236" s="20" t="n">
        <x:v>3.3</x:v>
      </x:c>
      <x:c r="Y236" t="str">
        <x:v>Basis arsip 2025/2024</x:v>
      </x:c>
      <x:c r="Z236" t="str">
        <x:v>https://snpmb.id/utbk-snbt/daya-tampung-snbt</x:v>
      </x:c>
      <x:c r="AA236" t="str">
        <x:v>Tidak Ada</x:v>
      </x:c>
      <x:c r="AB236" t="str">
        <x:v>Campus=80; Ratio=84.2; Prodi=40; RelDemand=62.5; Capacity=66.7</x:v>
      </x:c>
    </x:row>
    <x:row r="237">
      <x:c r="A237" t="n">
        <x:v>234</x:v>
      </x:c>
      <x:c r="B237" t="str">
        <x:v>PTN Akademik</x:v>
      </x:c>
      <x:c r="C237" t="str">
        <x:v>UNIVERSITAS SUMATERA UTARA</x:v>
      </x:c>
      <x:c r="D237" t="str">
        <x:v>TEKNIK INFORMATIKA</x:v>
      </x:c>
      <x:c r="E237" t="str">
        <x:v>Diploma Tiga</x:v>
      </x:c>
      <x:c r="F237" s="18" t="n">
        <x:v>40</x:v>
      </x:c>
      <x:c r="G237" s="18" t="n">
        <x:v>3485</x:v>
      </x:c>
      <x:c r="H237" s="19" t="n">
        <x:v>87.125</x:v>
      </x:c>
      <x:c r="I237" s="18" t="n">
        <x:f>ROUND(MIN(Model_Config_v3!$B$6,MAX(Q237,R237,S237*Model_Config_v3!$B$4+T237*Model_Config_v3!$B$5)),0)</x:f>
        <x:v>733</x:v>
      </x:c>
      <x:c r="J237" s="18" t="n">
        <x:f>MIN(Model_Config_v3!$B$6,I237+Model_Config_v3!$B$7)</x:f>
        <x:v>753</x:v>
      </x:c>
      <x:c r="K237" s="20" t="n">
        <x:v>86.7</x:v>
      </x:c>
      <x:c r="L237" t="str">
        <x:v>ULTRA ELITE</x:v>
      </x:c>
      <x:c r="M237" t="str">
        <x:v>SEDANG+</x:v>
      </x:c>
      <x:c r="N237" t="str">
        <x:v>ELITE-3</x:v>
      </x:c>
      <x:c r="O237" t="str">
        <x:v>SAINTEK</x:v>
      </x:c>
      <x:c r="P237" t="str">
        <x:v>KOMPUTER/INFORMATIKA</x:v>
      </x:c>
      <x:c r="Q237" s="18" t="n">
        <x:v>635</x:v>
      </x:c>
      <x:c r="R237" s="18" t="n">
        <x:v>675</x:v>
      </x:c>
      <x:c r="S237" s="18" t="n">
        <x:v>733.4157070216672</x:v>
      </x:c>
      <x:c r="T237" s="18" t="n">
        <x:v>733</x:v>
      </x:c>
      <x:c r="U237" s="18" t="n">
        <x:v>758.4157070216672</x:v>
      </x:c>
      <x:c r="V237" s="20" t="n">
        <x:v>12</x:v>
      </x:c>
      <x:c r="W237" s="20" t="n">
        <x:v>5</x:v>
      </x:c>
      <x:c r="X237" s="20" t="n">
        <x:v>3</x:v>
      </x:c>
      <x:c r="Y237" t="str">
        <x:v>Basis arsip 2025/2024</x:v>
      </x:c>
      <x:c r="Z237" t="str">
        <x:v>https://snpmb.id/utbk-snbt/daya-tampung-snbt</x:v>
      </x:c>
      <x:c r="AA237" t="str">
        <x:v>Tidak Ada</x:v>
      </x:c>
      <x:c r="AB237" t="str">
        <x:v>Campus=80; Ratio=100.0; Prodi=85; RelDemand=100.0; Capacity=66.7</x:v>
      </x:c>
    </x:row>
    <x:row r="238">
      <x:c r="A238" t="n">
        <x:v>235</x:v>
      </x:c>
      <x:c r="B238" t="str">
        <x:v>PTN Akademik</x:v>
      </x:c>
      <x:c r="C238" t="str">
        <x:v>UNIVERSITAS NEGERI MEDAN</x:v>
      </x:c>
      <x:c r="D238" t="str">
        <x:v>PENDIDIKAN MATEMATIKA</x:v>
      </x:c>
      <x:c r="E238" t="str">
        <x:v>Sarjana</x:v>
      </x:c>
      <x:c r="F238" s="18" t="n">
        <x:v>126</x:v>
      </x:c>
      <x:c r="G238" s="18" t="n">
        <x:v>517</x:v>
      </x:c>
      <x:c r="H238" s="19" t="n">
        <x:v>4.103174603174603</x:v>
      </x:c>
      <x:c r="I238" s="18" t="n">
        <x:f>ROUND(MIN(Model_Config_v3!$B$6,MAX(Q238,R238,S238*Model_Config_v3!$B$4+T238*Model_Config_v3!$B$5)),0)</x:f>
        <x:v>628</x:v>
      </x:c>
      <x:c r="J238" s="18" t="n">
        <x:f>MIN(Model_Config_v3!$B$6,I238+Model_Config_v3!$B$7)</x:f>
        <x:v>648</x:v>
      </x:c>
      <x:c r="K238" s="20" t="n">
        <x:v>42.7</x:v>
      </x:c>
      <x:c r="L238" t="str">
        <x:v>RELATIF LONGGAR</x:v>
      </x:c>
      <x:c r="M238" t="str">
        <x:v>SEDANG+</x:v>
      </x:c>
      <x:c r="N238" t="str">
        <x:v>REGULER</x:v>
      </x:c>
      <x:c r="O238" t="str">
        <x:v>SAINTEK</x:v>
      </x:c>
      <x:c r="P238" t="str">
        <x:v>PENDIDIKAN</x:v>
      </x:c>
      <x:c r="Q238" s="18" t="n">
        <x:v>0</x:v>
      </x:c>
      <x:c r="R238" s="18" t="n">
        <x:v>0</x:v>
      </x:c>
      <x:c r="S238" s="18" t="n">
        <x:v>587.4431997774018</x:v>
      </x:c>
      <x:c r="T238" s="18" t="n">
        <x:v>645</x:v>
      </x:c>
      <x:c r="U238" s="18" t="n">
        <x:v>587.4431997774018</x:v>
      </x:c>
      <x:c r="V238" s="20" t="n">
        <x:v>12</x:v>
      </x:c>
      <x:c r="W238" s="20" t="n">
        <x:v>5</x:v>
      </x:c>
      <x:c r="X238" s="20" t="n">
        <x:v>3</x:v>
      </x:c>
      <x:c r="Y238" t="str">
        <x:v>Basis arsip 2025/2024</x:v>
      </x:c>
      <x:c r="Z238" t="str">
        <x:v>https://snpmb.id/utbk-snbt/daya-tampung-snbt</x:v>
      </x:c>
      <x:c r="AA238" t="str">
        <x:v>Tidak Ada</x:v>
      </x:c>
      <x:c r="AB238" t="str">
        <x:v>Campus=55; Ratio=36.1; Prodi=45; RelDemand=53.8; Capacity=0.0</x:v>
      </x:c>
    </x:row>
    <x:row r="239">
      <x:c r="A239" t="n">
        <x:v>236</x:v>
      </x:c>
      <x:c r="B239" t="str">
        <x:v>PTN Akademik</x:v>
      </x:c>
      <x:c r="C239" t="str">
        <x:v>UNIVERSITAS NEGERI MEDAN</x:v>
      </x:c>
      <x:c r="D239" t="str">
        <x:v>PENDIDIKAN BIOLOGI</x:v>
      </x:c>
      <x:c r="E239" t="str">
        <x:v>Sarjana</x:v>
      </x:c>
      <x:c r="F239" s="18" t="n">
        <x:v>138</x:v>
      </x:c>
      <x:c r="G239" s="18" t="n">
        <x:v>493</x:v>
      </x:c>
      <x:c r="H239" s="19" t="n">
        <x:v>3.572463768115942</x:v>
      </x:c>
      <x:c r="I239" s="18" t="n">
        <x:f>ROUND(MIN(Model_Config_v3!$B$6,MAX(Q239,R239,S239*Model_Config_v3!$B$4+T239*Model_Config_v3!$B$5)),0)</x:f>
        <x:v>624</x:v>
      </x:c>
      <x:c r="J239" s="18" t="n">
        <x:f>MIN(Model_Config_v3!$B$6,I239+Model_Config_v3!$B$7)</x:f>
        <x:v>644</x:v>
      </x:c>
      <x:c r="K239" s="20" t="n">
        <x:v>41.1</x:v>
      </x:c>
      <x:c r="L239" t="str">
        <x:v>RELATIF LONGGAR</x:v>
      </x:c>
      <x:c r="M239" t="str">
        <x:v>SEDANG+</x:v>
      </x:c>
      <x:c r="N239" t="str">
        <x:v>REGULER</x:v>
      </x:c>
      <x:c r="O239" t="str">
        <x:v>SAINTEK</x:v>
      </x:c>
      <x:c r="P239" t="str">
        <x:v>PENDIDIKAN</x:v>
      </x:c>
      <x:c r="Q239" s="18" t="n">
        <x:v>0</x:v>
      </x:c>
      <x:c r="R239" s="18" t="n">
        <x:v>0</x:v>
      </x:c>
      <x:c r="S239" s="18" t="n">
        <x:v>580.8264616163593</x:v>
      </x:c>
      <x:c r="T239" s="18" t="n">
        <x:v>642</x:v>
      </x:c>
      <x:c r="U239" s="18" t="n">
        <x:v>580.8264616163593</x:v>
      </x:c>
      <x:c r="V239" s="20" t="n">
        <x:v>12</x:v>
      </x:c>
      <x:c r="W239" s="20" t="n">
        <x:v>5</x:v>
      </x:c>
      <x:c r="X239" s="20" t="n">
        <x:v>3</x:v>
      </x:c>
      <x:c r="Y239" t="str">
        <x:v>Basis arsip 2025/2024</x:v>
      </x:c>
      <x:c r="Z239" t="str">
        <x:v>https://snpmb.id/utbk-snbt/daya-tampung-snbt</x:v>
      </x:c>
      <x:c r="AA239" t="str">
        <x:v>Tidak Ada</x:v>
      </x:c>
      <x:c r="AB239" t="str">
        <x:v>Campus=55; Ratio=32.5; Prodi=45; RelDemand=46.9; Capacity=0.0</x:v>
      </x:c>
    </x:row>
    <x:row r="240">
      <x:c r="A240" t="n">
        <x:v>237</x:v>
      </x:c>
      <x:c r="B240" t="str">
        <x:v>PTN Akademik</x:v>
      </x:c>
      <x:c r="C240" t="str">
        <x:v>UNIVERSITAS NEGERI MEDAN</x:v>
      </x:c>
      <x:c r="D240" t="str">
        <x:v>PENDIDIKAN FISIKA</x:v>
      </x:c>
      <x:c r="E240" t="str">
        <x:v>Sarjana</x:v>
      </x:c>
      <x:c r="F240" s="18" t="n">
        <x:v>138</x:v>
      </x:c>
      <x:c r="G240" s="18" t="n">
        <x:v>153</x:v>
      </x:c>
      <x:c r="H240" s="19" t="n">
        <x:v>1.108695652173913</x:v>
      </x:c>
      <x:c r="I240" s="18" t="n">
        <x:f>ROUND(MIN(Model_Config_v3!$B$6,MAX(Q240,R240,S240*Model_Config_v3!$B$4+T240*Model_Config_v3!$B$5)),0)</x:f>
        <x:v>592</x:v>
      </x:c>
      <x:c r="J240" s="18" t="n">
        <x:f>MIN(Model_Config_v3!$B$6,I240+Model_Config_v3!$B$7)</x:f>
        <x:v>612</x:v>
      </x:c>
      <x:c r="K240" s="20" t="n">
        <x:v>30.4</x:v>
      </x:c>
      <x:c r="L240" t="str">
        <x:v>RELATIF LONGGAR</x:v>
      </x:c>
      <x:c r="M240" t="str">
        <x:v>SEDANG+</x:v>
      </x:c>
      <x:c r="N240" t="str">
        <x:v>REGULER</x:v>
      </x:c>
      <x:c r="O240" t="str">
        <x:v>SAINTEK</x:v>
      </x:c>
      <x:c r="P240" t="str">
        <x:v>PENDIDIKAN</x:v>
      </x:c>
      <x:c r="Q240" s="18" t="n">
        <x:v>0</x:v>
      </x:c>
      <x:c r="R240" s="18" t="n">
        <x:v>0</x:v>
      </x:c>
      <x:c r="S240" s="18" t="n">
        <x:v>524.9293578857998</x:v>
      </x:c>
      <x:c r="T240" s="18" t="n">
        <x:v>621</x:v>
      </x:c>
      <x:c r="U240" s="18" t="n">
        <x:v>524.9293578857998</x:v>
      </x:c>
      <x:c r="V240" s="20" t="n">
        <x:v>12</x:v>
      </x:c>
      <x:c r="W240" s="20" t="n">
        <x:v>5</x:v>
      </x:c>
      <x:c r="X240" s="20" t="n">
        <x:v>3</x:v>
      </x:c>
      <x:c r="Y240" t="str">
        <x:v>Basis arsip 2025/2024</x:v>
      </x:c>
      <x:c r="Z240" t="str">
        <x:v>https://snpmb.id/utbk-snbt/daya-tampung-snbt</x:v>
      </x:c>
      <x:c r="AA240" t="str">
        <x:v>Tidak Ada</x:v>
      </x:c>
      <x:c r="AB240" t="str">
        <x:v>Campus=55; Ratio=2.6; Prodi=45; RelDemand=14.5; Capacity=0.0</x:v>
      </x:c>
    </x:row>
    <x:row r="241">
      <x:c r="A241" t="n">
        <x:v>238</x:v>
      </x:c>
      <x:c r="B241" t="str">
        <x:v>PTN Akademik</x:v>
      </x:c>
      <x:c r="C241" t="str">
        <x:v>UNIVERSITAS NEGERI MEDAN</x:v>
      </x:c>
      <x:c r="D241" t="str">
        <x:v>PENDIDIKAN KIMIA</x:v>
      </x:c>
      <x:c r="E241" t="str">
        <x:v>Sarjana</x:v>
      </x:c>
      <x:c r="F241" s="18" t="n">
        <x:v>180</x:v>
      </x:c>
      <x:c r="G241" s="18" t="n">
        <x:v>216</x:v>
      </x:c>
      <x:c r="H241" s="19" t="n">
        <x:v>1.2</x:v>
      </x:c>
      <x:c r="I241" s="18" t="n">
        <x:f>ROUND(MIN(Model_Config_v3!$B$6,MAX(Q241,R241,S241*Model_Config_v3!$B$4+T241*Model_Config_v3!$B$5)),0)</x:f>
        <x:v>594</x:v>
      </x:c>
      <x:c r="J241" s="18" t="n">
        <x:f>MIN(Model_Config_v3!$B$6,I241+Model_Config_v3!$B$7)</x:f>
        <x:v>614</x:v>
      </x:c>
      <x:c r="K241" s="20" t="n">
        <x:v>31</x:v>
      </x:c>
      <x:c r="L241" t="str">
        <x:v>RELATIF LONGGAR</x:v>
      </x:c>
      <x:c r="M241" t="str">
        <x:v>SEDANG+</x:v>
      </x:c>
      <x:c r="N241" t="str">
        <x:v>REGULER</x:v>
      </x:c>
      <x:c r="O241" t="str">
        <x:v>SAINTEK</x:v>
      </x:c>
      <x:c r="P241" t="str">
        <x:v>PENDIDIKAN</x:v>
      </x:c>
      <x:c r="Q241" s="18" t="n">
        <x:v>0</x:v>
      </x:c>
      <x:c r="R241" s="18" t="n">
        <x:v>0</x:v>
      </x:c>
      <x:c r="S241" s="18" t="n">
        <x:v>528.7099370652387</x:v>
      </x:c>
      <x:c r="T241" s="18" t="n">
        <x:v>622</x:v>
      </x:c>
      <x:c r="U241" s="18" t="n">
        <x:v>528.7099370652387</x:v>
      </x:c>
      <x:c r="V241" s="20" t="n">
        <x:v>12</x:v>
      </x:c>
      <x:c r="W241" s="20" t="n">
        <x:v>5</x:v>
      </x:c>
      <x:c r="X241" s="20" t="n">
        <x:v>3</x:v>
      </x:c>
      <x:c r="Y241" t="str">
        <x:v>Basis arsip 2025/2024</x:v>
      </x:c>
      <x:c r="Z241" t="str">
        <x:v>https://snpmb.id/utbk-snbt/daya-tampung-snbt</x:v>
      </x:c>
      <x:c r="AA241" t="str">
        <x:v>Tidak Ada</x:v>
      </x:c>
      <x:c r="AB241" t="str">
        <x:v>Campus=55; Ratio=4.7; Prodi=45; RelDemand=15.7; Capacity=0.0</x:v>
      </x:c>
    </x:row>
    <x:row r="242">
      <x:c r="A242" t="n">
        <x:v>239</x:v>
      </x:c>
      <x:c r="B242" t="str">
        <x:v>PTN Akademik</x:v>
      </x:c>
      <x:c r="C242" t="str">
        <x:v>UNIVERSITAS NEGERI MEDAN</x:v>
      </x:c>
      <x:c r="D242" t="str">
        <x:v>PENDIDIKAN TEKNIK BANGUNAN</x:v>
      </x:c>
      <x:c r="E242" t="str">
        <x:v>Sarjana</x:v>
      </x:c>
      <x:c r="F242" s="18" t="n">
        <x:v>95</x:v>
      </x:c>
      <x:c r="G242" s="18" t="n">
        <x:v>112</x:v>
      </x:c>
      <x:c r="H242" s="19" t="n">
        <x:v>1.1789473684210525</x:v>
      </x:c>
      <x:c r="I242" s="18" t="n">
        <x:f>ROUND(MIN(Model_Config_v3!$B$6,MAX(Q242,R242,S242*Model_Config_v3!$B$4+T242*Model_Config_v3!$B$5)),0)</x:f>
        <x:v>597</x:v>
      </x:c>
      <x:c r="J242" s="18" t="n">
        <x:f>MIN(Model_Config_v3!$B$6,I242+Model_Config_v3!$B$7)</x:f>
        <x:v>617</x:v>
      </x:c>
      <x:c r="K242" s="20" t="n">
        <x:v>32.9</x:v>
      </x:c>
      <x:c r="L242" t="str">
        <x:v>RELATIF LONGGAR</x:v>
      </x:c>
      <x:c r="M242" t="str">
        <x:v>SEDANG+</x:v>
      </x:c>
      <x:c r="N242" t="str">
        <x:v>REGULER</x:v>
      </x:c>
      <x:c r="O242" t="str">
        <x:v>SAINTEK</x:v>
      </x:c>
      <x:c r="P242" t="str">
        <x:v>PENDIDIKAN</x:v>
      </x:c>
      <x:c r="Q242" s="18" t="n">
        <x:v>0</x:v>
      </x:c>
      <x:c r="R242" s="18" t="n">
        <x:v>0</x:v>
      </x:c>
      <x:c r="S242" s="18" t="n">
        <x:v>527.8643859119467</x:v>
      </x:c>
      <x:c r="T242" s="18" t="n">
        <x:v>626</x:v>
      </x:c>
      <x:c r="U242" s="18" t="n">
        <x:v>537.8643859119467</x:v>
      </x:c>
      <x:c r="V242" s="20" t="n">
        <x:v>12</x:v>
      </x:c>
      <x:c r="W242" s="20" t="n">
        <x:v>5</x:v>
      </x:c>
      <x:c r="X242" s="20" t="n">
        <x:v>3</x:v>
      </x:c>
      <x:c r="Y242" t="str">
        <x:v>Basis arsip 2025/2024</x:v>
      </x:c>
      <x:c r="Z242" t="str">
        <x:v>https://snpmb.id/utbk-snbt/daya-tampung-snbt</x:v>
      </x:c>
      <x:c r="AA242" t="str">
        <x:v>Tidak Ada</x:v>
      </x:c>
      <x:c r="AB242" t="str">
        <x:v>Campus=55; Ratio=4.2; Prodi=45; RelDemand=15.5; Capacity=20.8</x:v>
      </x:c>
    </x:row>
    <x:row r="243">
      <x:c r="A243" t="n">
        <x:v>240</x:v>
      </x:c>
      <x:c r="B243" t="str">
        <x:v>PTN Akademik</x:v>
      </x:c>
      <x:c r="C243" t="str">
        <x:v>UNIVERSITAS NEGERI MEDAN</x:v>
      </x:c>
      <x:c r="D243" t="str">
        <x:v>PENDIDIKAN TEKNIK MESIN</x:v>
      </x:c>
      <x:c r="E243" t="str">
        <x:v>Sarjana</x:v>
      </x:c>
      <x:c r="F243" s="18" t="n">
        <x:v>95</x:v>
      </x:c>
      <x:c r="G243" s="18" t="n">
        <x:v>190</x:v>
      </x:c>
      <x:c r="H243" s="19" t="n">
        <x:v>2</x:v>
      </x:c>
      <x:c r="I243" s="18" t="n">
        <x:f>ROUND(MIN(Model_Config_v3!$B$6,MAX(Q243,R243,S243*Model_Config_v3!$B$4+T243*Model_Config_v3!$B$5)),0)</x:f>
        <x:v>610</x:v>
      </x:c>
      <x:c r="J243" s="18" t="n">
        <x:f>MIN(Model_Config_v3!$B$6,I243+Model_Config_v3!$B$7)</x:f>
        <x:v>630</x:v>
      </x:c>
      <x:c r="K243" s="20" t="n">
        <x:v>37.4</x:v>
      </x:c>
      <x:c r="L243" t="str">
        <x:v>RELATIF LONGGAR</x:v>
      </x:c>
      <x:c r="M243" t="str">
        <x:v>SEDANG+</x:v>
      </x:c>
      <x:c r="N243" t="str">
        <x:v>REGULER</x:v>
      </x:c>
      <x:c r="O243" t="str">
        <x:v>SAINTEK</x:v>
      </x:c>
      <x:c r="P243" t="str">
        <x:v>PENDIDIKAN</x:v>
      </x:c>
      <x:c r="Q243" s="18" t="n">
        <x:v>0</x:v>
      </x:c>
      <x:c r="R243" s="18" t="n">
        <x:v>0</x:v>
      </x:c>
      <x:c r="S243" s="18" t="n">
        <x:v>553.1132995230379</x:v>
      </x:c>
      <x:c r="T243" s="18" t="n">
        <x:v>635</x:v>
      </x:c>
      <x:c r="U243" s="18" t="n">
        <x:v>563.1132995230379</x:v>
      </x:c>
      <x:c r="V243" s="20" t="n">
        <x:v>12</x:v>
      </x:c>
      <x:c r="W243" s="20" t="n">
        <x:v>5</x:v>
      </x:c>
      <x:c r="X243" s="20" t="n">
        <x:v>3</x:v>
      </x:c>
      <x:c r="Y243" t="str">
        <x:v>Basis arsip 2025/2024</x:v>
      </x:c>
      <x:c r="Z243" t="str">
        <x:v>https://snpmb.id/utbk-snbt/daya-tampung-snbt</x:v>
      </x:c>
      <x:c r="AA243" t="str">
        <x:v>Tidak Ada</x:v>
      </x:c>
      <x:c r="AB243" t="str">
        <x:v>Campus=55; Ratio=17.7; Prodi=45; RelDemand=26.2; Capacity=20.8</x:v>
      </x:c>
    </x:row>
    <x:row r="244">
      <x:c r="A244" t="n">
        <x:v>241</x:v>
      </x:c>
      <x:c r="B244" t="str">
        <x:v>PTN Akademik</x:v>
      </x:c>
      <x:c r="C244" t="str">
        <x:v>UNIVERSITAS NEGERI MEDAN</x:v>
      </x:c>
      <x:c r="D244" t="str">
        <x:v>PENDIDIKAN TEKNIK ELEKTRO</x:v>
      </x:c>
      <x:c r="E244" t="str">
        <x:v>Sarjana</x:v>
      </x:c>
      <x:c r="F244" s="18" t="n">
        <x:v>84</x:v>
      </x:c>
      <x:c r="G244" s="18" t="n">
        <x:v>86</x:v>
      </x:c>
      <x:c r="H244" s="19" t="n">
        <x:v>1.0238095238095237</x:v>
      </x:c>
      <x:c r="I244" s="18" t="n">
        <x:f>ROUND(MIN(Model_Config_v3!$B$6,MAX(Q244,R244,S244*Model_Config_v3!$B$4+T244*Model_Config_v3!$B$5)),0)</x:f>
        <x:v>594</x:v>
      </x:c>
      <x:c r="J244" s="18" t="n">
        <x:f>MIN(Model_Config_v3!$B$6,I244+Model_Config_v3!$B$7)</x:f>
        <x:v>614</x:v>
      </x:c>
      <x:c r="K244" s="20" t="n">
        <x:v>32.7</x:v>
      </x:c>
      <x:c r="L244" t="str">
        <x:v>RELATIF LONGGAR</x:v>
      </x:c>
      <x:c r="M244" t="str">
        <x:v>SEDANG+</x:v>
      </x:c>
      <x:c r="N244" t="str">
        <x:v>REGULER</x:v>
      </x:c>
      <x:c r="O244" t="str">
        <x:v>SAINTEK</x:v>
      </x:c>
      <x:c r="P244" t="str">
        <x:v>PENDIDIKAN</x:v>
      </x:c>
      <x:c r="Q244" s="18" t="n">
        <x:v>0</x:v>
      </x:c>
      <x:c r="R244" s="18" t="n">
        <x:v>0</x:v>
      </x:c>
      <x:c r="S244" s="18" t="n">
        <x:v>521.1241081699854</x:v>
      </x:c>
      <x:c r="T244" s="18" t="n">
        <x:v>625</x:v>
      </x:c>
      <x:c r="U244" s="18" t="n">
        <x:v>531.1241081699854</x:v>
      </x:c>
      <x:c r="V244" s="20" t="n">
        <x:v>12</x:v>
      </x:c>
      <x:c r="W244" s="20" t="n">
        <x:v>5</x:v>
      </x:c>
      <x:c r="X244" s="20" t="n">
        <x:v>3</x:v>
      </x:c>
      <x:c r="Y244" t="str">
        <x:v>Basis arsip 2025/2024</x:v>
      </x:c>
      <x:c r="Z244" t="str">
        <x:v>https://snpmb.id/utbk-snbt/daya-tampung-snbt</x:v>
      </x:c>
      <x:c r="AA244" t="str">
        <x:v>Tidak Ada</x:v>
      </x:c>
      <x:c r="AB244" t="str">
        <x:v>Campus=55; Ratio=0.6; Prodi=45; RelDemand=13.4; Capacity=30.0</x:v>
      </x:c>
    </x:row>
    <x:row r="245">
      <x:c r="A245" t="n">
        <x:v>242</x:v>
      </x:c>
      <x:c r="B245" t="str">
        <x:v>PTN Akademik</x:v>
      </x:c>
      <x:c r="C245" t="str">
        <x:v>UNIVERSITAS NEGERI MEDAN</x:v>
      </x:c>
      <x:c r="D245" t="str">
        <x:v>KIMIA</x:v>
      </x:c>
      <x:c r="E245" t="str">
        <x:v>Sarjana</x:v>
      </x:c>
      <x:c r="F245" s="18" t="n">
        <x:v>79</x:v>
      </x:c>
      <x:c r="G245" s="18" t="n">
        <x:v>125</x:v>
      </x:c>
      <x:c r="H245" s="19" t="n">
        <x:v>1.5822784810126582</x:v>
      </x:c>
      <x:c r="I245" s="18" t="n">
        <x:f>ROUND(MIN(Model_Config_v3!$B$6,MAX(Q245,R245,S245*Model_Config_v3!$B$4+T245*Model_Config_v3!$B$5)),0)</x:f>
        <x:v>607</x:v>
      </x:c>
      <x:c r="J245" s="18" t="n">
        <x:f>MIN(Model_Config_v3!$B$6,I245+Model_Config_v3!$B$7)</x:f>
        <x:v>627</x:v>
      </x:c>
      <x:c r="K245" s="20" t="n">
        <x:v>37.7</x:v>
      </x:c>
      <x:c r="L245" t="str">
        <x:v>RELATIF LONGGAR</x:v>
      </x:c>
      <x:c r="M245" t="str">
        <x:v>SEDANG+</x:v>
      </x:c>
      <x:c r="N245" t="str">
        <x:v>REGULER</x:v>
      </x:c>
      <x:c r="O245" t="str">
        <x:v>SAINTEK</x:v>
      </x:c>
      <x:c r="P245" t="str">
        <x:v>SAINS DASAR</x:v>
      </x:c>
      <x:c r="Q245" s="18" t="n">
        <x:v>0</x:v>
      </x:c>
      <x:c r="R245" s="18" t="n">
        <x:v>0</x:v>
      </x:c>
      <x:c r="S245" s="18" t="n">
        <x:v>541.9211213889376</x:v>
      </x:c>
      <x:c r="T245" s="18" t="n">
        <x:v>635</x:v>
      </x:c>
      <x:c r="U245" s="18" t="n">
        <x:v>541.9211213889376</x:v>
      </x:c>
      <x:c r="V245" s="20" t="n">
        <x:v>12</x:v>
      </x:c>
      <x:c r="W245" s="20" t="n">
        <x:v>5</x:v>
      </x:c>
      <x:c r="X245" s="20" t="n">
        <x:v>3</x:v>
      </x:c>
      <x:c r="Y245" t="str">
        <x:v>Basis arsip 2025/2024</x:v>
      </x:c>
      <x:c r="Z245" t="str">
        <x:v>https://snpmb.id/utbk-snbt/daya-tampung-snbt</x:v>
      </x:c>
      <x:c r="AA245" t="str">
        <x:v>Tidak Ada</x:v>
      </x:c>
      <x:c r="AB245" t="str">
        <x:v>Campus=55; Ratio=11.7; Prodi=50; RelDemand=20.8; Capacity=34.2</x:v>
      </x:c>
    </x:row>
    <x:row r="246">
      <x:c r="A246" t="n">
        <x:v>243</x:v>
      </x:c>
      <x:c r="B246" t="str">
        <x:v>PTN Akademik</x:v>
      </x:c>
      <x:c r="C246" t="str">
        <x:v>UNIVERSITAS NEGERI MEDAN</x:v>
      </x:c>
      <x:c r="D246" t="str">
        <x:v>BIOLOGI</x:v>
      </x:c>
      <x:c r="E246" t="str">
        <x:v>Sarjana</x:v>
      </x:c>
      <x:c r="F246" s="18" t="n">
        <x:v>110</x:v>
      </x:c>
      <x:c r="G246" s="18" t="n">
        <x:v>210</x:v>
      </x:c>
      <x:c r="H246" s="19" t="n">
        <x:v>1.9090909090909092</x:v>
      </x:c>
      <x:c r="I246" s="18" t="n">
        <x:f>ROUND(MIN(Model_Config_v3!$B$6,MAX(Q246,R246,S246*Model_Config_v3!$B$4+T246*Model_Config_v3!$B$5)),0)</x:f>
        <x:v>608</x:v>
      </x:c>
      <x:c r="J246" s="18" t="n">
        <x:f>MIN(Model_Config_v3!$B$6,I246+Model_Config_v3!$B$7)</x:f>
        <x:v>628</x:v>
      </x:c>
      <x:c r="K246" s="20" t="n">
        <x:v>36.7</x:v>
      </x:c>
      <x:c r="L246" t="str">
        <x:v>RELATIF LONGGAR</x:v>
      </x:c>
      <x:c r="M246" t="str">
        <x:v>SEDANG+</x:v>
      </x:c>
      <x:c r="N246" t="str">
        <x:v>REGULER</x:v>
      </x:c>
      <x:c r="O246" t="str">
        <x:v>SAINTEK</x:v>
      </x:c>
      <x:c r="P246" t="str">
        <x:v>SAINS DASAR</x:v>
      </x:c>
      <x:c r="Q246" s="18" t="n">
        <x:v>0</x:v>
      </x:c>
      <x:c r="R246" s="18" t="n">
        <x:v>0</x:v>
      </x:c>
      <x:c r="S246" s="18" t="n">
        <x:v>550.8909270533263</x:v>
      </x:c>
      <x:c r="T246" s="18" t="n">
        <x:v>633</x:v>
      </x:c>
      <x:c r="U246" s="18" t="n">
        <x:v>550.8909270533263</x:v>
      </x:c>
      <x:c r="V246" s="20" t="n">
        <x:v>12</x:v>
      </x:c>
      <x:c r="W246" s="20" t="n">
        <x:v>5</x:v>
      </x:c>
      <x:c r="X246" s="20" t="n">
        <x:v>3</x:v>
      </x:c>
      <x:c r="Y246" t="str">
        <x:v>Basis arsip 2025/2024</x:v>
      </x:c>
      <x:c r="Z246" t="str">
        <x:v>https://snpmb.id/utbk-snbt/daya-tampung-snbt</x:v>
      </x:c>
      <x:c r="AA246" t="str">
        <x:v>Tidak Ada</x:v>
      </x:c>
      <x:c r="AB246" t="str">
        <x:v>Campus=55; Ratio=16.5; Prodi=50; RelDemand=25.1; Capacity=8.3</x:v>
      </x:c>
    </x:row>
    <x:row r="247">
      <x:c r="A247" t="n">
        <x:v>244</x:v>
      </x:c>
      <x:c r="B247" t="str">
        <x:v>PTN Akademik</x:v>
      </x:c>
      <x:c r="C247" t="str">
        <x:v>UNIVERSITAS NEGERI MEDAN</x:v>
      </x:c>
      <x:c r="D247" t="str">
        <x:v>ILMU KEOLAHRAGAAN</x:v>
      </x:c>
      <x:c r="E247" t="str">
        <x:v>Sarjana</x:v>
      </x:c>
      <x:c r="F247" s="18" t="n">
        <x:v>155</x:v>
      </x:c>
      <x:c r="G247" s="18" t="n">
        <x:v>142</x:v>
      </x:c>
      <x:c r="H247" s="19" t="n">
        <x:v>0.9161290322580645</x:v>
      </x:c>
      <x:c r="I247" s="18" t="n">
        <x:f>ROUND(MIN(Model_Config_v3!$B$6,MAX(Q247,R247,S247*Model_Config_v3!$B$4+T247*Model_Config_v3!$B$5)),0)</x:f>
        <x:v>589</x:v>
      </x:c>
      <x:c r="J247" s="18" t="n">
        <x:f>MIN(Model_Config_v3!$B$6,I247+Model_Config_v3!$B$7)</x:f>
        <x:v>609</x:v>
      </x:c>
      <x:c r="K247" s="20" t="n">
        <x:v>29.5</x:v>
      </x:c>
      <x:c r="L247" t="str">
        <x:v>RELATIF LONGGAR</x:v>
      </x:c>
      <x:c r="M247" t="str">
        <x:v>PORTOFOLIO</x:v>
      </x:c>
      <x:c r="N247" t="str">
        <x:v>REGULER</x:v>
      </x:c>
      <x:c r="O247" t="str">
        <x:v>SENI/OLAHRAGA</x:v>
      </x:c>
      <x:c r="P247" t="str">
        <x:v>SENI/OLAHRAGA</x:v>
      </x:c>
      <x:c r="Q247" s="18" t="n">
        <x:v>0</x:v>
      </x:c>
      <x:c r="R247" s="18" t="n">
        <x:v>0</x:v>
      </x:c>
      <x:c r="S247" s="18" t="n">
        <x:v>520</x:v>
      </x:c>
      <x:c r="T247" s="18" t="n">
        <x:v>619</x:v>
      </x:c>
      <x:c r="U247" s="18" t="n">
        <x:v>520</x:v>
      </x:c>
      <x:c r="V247" s="20" t="n">
        <x:v>4.4</x:v>
      </x:c>
      <x:c r="W247" s="20" t="n">
        <x:v>9.9</x:v>
      </x:c>
      <x:c r="X247" s="20" t="n">
        <x:v>7.7</x:v>
      </x:c>
      <x:c r="Y247" t="str">
        <x:v>Basis arsip 2025/2024</x:v>
      </x:c>
      <x:c r="Z247" t="str">
        <x:v>https://snpmb.id/utbk-snbt/daya-tampung-snbt</x:v>
      </x:c>
      <x:c r="AA247" t="str">
        <x:v>Olahraga</x:v>
      </x:c>
      <x:c r="AB247" t="str">
        <x:v>Campus=55; Ratio=0.0; Prodi=45; RelDemand=12.0; Capacity=0.0</x:v>
      </x:c>
    </x:row>
    <x:row r="248">
      <x:c r="A248" t="n">
        <x:v>245</x:v>
      </x:c>
      <x:c r="B248" t="str">
        <x:v>PTN Akademik</x:v>
      </x:c>
      <x:c r="C248" t="str">
        <x:v>UNIVERSITAS NEGERI MEDAN</x:v>
      </x:c>
      <x:c r="D248" t="str">
        <x:v>MATEMATIKA</x:v>
      </x:c>
      <x:c r="E248" t="str">
        <x:v>Sarjana</x:v>
      </x:c>
      <x:c r="F248" s="18" t="n">
        <x:v>84</x:v>
      </x:c>
      <x:c r="G248" s="18" t="n">
        <x:v>139</x:v>
      </x:c>
      <x:c r="H248" s="19" t="n">
        <x:v>1.6547619047619047</x:v>
      </x:c>
      <x:c r="I248" s="18" t="n">
        <x:f>ROUND(MIN(Model_Config_v3!$B$6,MAX(Q248,R248,S248*Model_Config_v3!$B$4+T248*Model_Config_v3!$B$5)),0)</x:f>
        <x:v>608</x:v>
      </x:c>
      <x:c r="J248" s="18" t="n">
        <x:f>MIN(Model_Config_v3!$B$6,I248+Model_Config_v3!$B$7)</x:f>
        <x:v>628</x:v>
      </x:c>
      <x:c r="K248" s="20" t="n">
        <x:v>37.6</x:v>
      </x:c>
      <x:c r="L248" t="str">
        <x:v>RELATIF LONGGAR</x:v>
      </x:c>
      <x:c r="M248" t="str">
        <x:v>SEDANG+</x:v>
      </x:c>
      <x:c r="N248" t="str">
        <x:v>REGULER</x:v>
      </x:c>
      <x:c r="O248" t="str">
        <x:v>SAINTEK</x:v>
      </x:c>
      <x:c r="P248" t="str">
        <x:v>SAINS DASAR</x:v>
      </x:c>
      <x:c r="Q248" s="18" t="n">
        <x:v>0</x:v>
      </x:c>
      <x:c r="R248" s="18" t="n">
        <x:v>0</x:v>
      </x:c>
      <x:c r="S248" s="18" t="n">
        <x:v>544.0609065611435</x:v>
      </x:c>
      <x:c r="T248" s="18" t="n">
        <x:v>635</x:v>
      </x:c>
      <x:c r="U248" s="18" t="n">
        <x:v>544.0609065611435</x:v>
      </x:c>
      <x:c r="V248" s="20" t="n">
        <x:v>12</x:v>
      </x:c>
      <x:c r="W248" s="20" t="n">
        <x:v>5</x:v>
      </x:c>
      <x:c r="X248" s="20" t="n">
        <x:v>3</x:v>
      </x:c>
      <x:c r="Y248" t="str">
        <x:v>Basis arsip 2025/2024</x:v>
      </x:c>
      <x:c r="Z248" t="str">
        <x:v>https://snpmb.id/utbk-snbt/daya-tampung-snbt</x:v>
      </x:c>
      <x:c r="AA248" t="str">
        <x:v>Tidak Ada</x:v>
      </x:c>
      <x:c r="AB248" t="str">
        <x:v>Campus=55; Ratio=12.9; Prodi=50; RelDemand=21.7; Capacity=30.0</x:v>
      </x:c>
    </x:row>
    <x:row r="249">
      <x:c r="A249" t="n">
        <x:v>246</x:v>
      </x:c>
      <x:c r="B249" t="str">
        <x:v>PTN Akademik</x:v>
      </x:c>
      <x:c r="C249" t="str">
        <x:v>UNIVERSITAS NEGERI MEDAN</x:v>
      </x:c>
      <x:c r="D249" t="str">
        <x:v>FISIKA</x:v>
      </x:c>
      <x:c r="E249" t="str">
        <x:v>Sarjana</x:v>
      </x:c>
      <x:c r="F249" s="18" t="n">
        <x:v>58</x:v>
      </x:c>
      <x:c r="G249" s="18" t="n">
        <x:v>55</x:v>
      </x:c>
      <x:c r="H249" s="19" t="n">
        <x:v>0.9482758620689655</x:v>
      </x:c>
      <x:c r="I249" s="18" t="n">
        <x:f>ROUND(MIN(Model_Config_v3!$B$6,MAX(Q249,R249,S249*Model_Config_v3!$B$4+T249*Model_Config_v3!$B$5)),0)</x:f>
        <x:v>598</x:v>
      </x:c>
      <x:c r="J249" s="18" t="n">
        <x:f>MIN(Model_Config_v3!$B$6,I249+Model_Config_v3!$B$7)</x:f>
        <x:v>618</x:v>
      </x:c>
      <x:c r="K249" s="20" t="n">
        <x:v>35.7</x:v>
      </x:c>
      <x:c r="L249" t="str">
        <x:v>RELATIF LONGGAR</x:v>
      </x:c>
      <x:c r="M249" t="str">
        <x:v>SEDANG+</x:v>
      </x:c>
      <x:c r="N249" t="str">
        <x:v>REGULER</x:v>
      </x:c>
      <x:c r="O249" t="str">
        <x:v>SAINTEK</x:v>
      </x:c>
      <x:c r="P249" t="str">
        <x:v>SAINS DASAR</x:v>
      </x:c>
      <x:c r="Q249" s="18" t="n">
        <x:v>0</x:v>
      </x:c>
      <x:c r="R249" s="18" t="n">
        <x:v>0</x:v>
      </x:c>
      <x:c r="S249" s="18" t="n">
        <x:v>520</x:v>
      </x:c>
      <x:c r="T249" s="18" t="n">
        <x:v>631</x:v>
      </x:c>
      <x:c r="U249" s="18" t="n">
        <x:v>520</x:v>
      </x:c>
      <x:c r="V249" s="20" t="n">
        <x:v>12</x:v>
      </x:c>
      <x:c r="W249" s="20" t="n">
        <x:v>5</x:v>
      </x:c>
      <x:c r="X249" s="20" t="n">
        <x:v>3</x:v>
      </x:c>
      <x:c r="Y249" t="str">
        <x:v>Basis arsip 2025/2024</x:v>
      </x:c>
      <x:c r="Z249" t="str">
        <x:v>https://snpmb.id/utbk-snbt/daya-tampung-snbt</x:v>
      </x:c>
      <x:c r="AA249" t="str">
        <x:v>Tidak Ada</x:v>
      </x:c>
      <x:c r="AB249" t="str">
        <x:v>Campus=55; Ratio=0.0; Prodi=50; RelDemand=12.4; Capacity=51.7</x:v>
      </x:c>
    </x:row>
    <x:row r="250">
      <x:c r="A250" t="n">
        <x:v>247</x:v>
      </x:c>
      <x:c r="B250" t="str">
        <x:v>PTN Akademik</x:v>
      </x:c>
      <x:c r="C250" t="str">
        <x:v>UNIVERSITAS NEGERI MEDAN</x:v>
      </x:c>
      <x:c r="D250" t="str">
        <x:v>PENDIDIKAN TEKNIK OTOMOTIF</x:v>
      </x:c>
      <x:c r="E250" t="str">
        <x:v>Sarjana</x:v>
      </x:c>
      <x:c r="F250" s="18" t="n">
        <x:v>95</x:v>
      </x:c>
      <x:c r="G250" s="18" t="n">
        <x:v>111</x:v>
      </x:c>
      <x:c r="H250" s="19" t="n">
        <x:v>1.168421052631579</x:v>
      </x:c>
      <x:c r="I250" s="18" t="n">
        <x:f>ROUND(MIN(Model_Config_v3!$B$6,MAX(Q250,R250,S250*Model_Config_v3!$B$4+T250*Model_Config_v3!$B$5)),0)</x:f>
        <x:v>596</x:v>
      </x:c>
      <x:c r="J250" s="18" t="n">
        <x:f>MIN(Model_Config_v3!$B$6,I250+Model_Config_v3!$B$7)</x:f>
        <x:v>616</x:v>
      </x:c>
      <x:c r="K250" s="20" t="n">
        <x:v>32.9</x:v>
      </x:c>
      <x:c r="L250" t="str">
        <x:v>RELATIF LONGGAR</x:v>
      </x:c>
      <x:c r="M250" t="str">
        <x:v>SEDANG+</x:v>
      </x:c>
      <x:c r="N250" t="str">
        <x:v>REGULER</x:v>
      </x:c>
      <x:c r="O250" t="str">
        <x:v>SAINTEK</x:v>
      </x:c>
      <x:c r="P250" t="str">
        <x:v>PENDIDIKAN</x:v>
      </x:c>
      <x:c r="Q250" s="18" t="n">
        <x:v>0</x:v>
      </x:c>
      <x:c r="R250" s="18" t="n">
        <x:v>0</x:v>
      </x:c>
      <x:c r="S250" s="18" t="n">
        <x:v>527.4359310847591</x:v>
      </x:c>
      <x:c r="T250" s="18" t="n">
        <x:v>626</x:v>
      </x:c>
      <x:c r="U250" s="18" t="n">
        <x:v>537.4359310847591</x:v>
      </x:c>
      <x:c r="V250" s="20" t="n">
        <x:v>12</x:v>
      </x:c>
      <x:c r="W250" s="20" t="n">
        <x:v>5</x:v>
      </x:c>
      <x:c r="X250" s="20" t="n">
        <x:v>3</x:v>
      </x:c>
      <x:c r="Y250" t="str">
        <x:v>Basis arsip 2025/2024</x:v>
      </x:c>
      <x:c r="Z250" t="str">
        <x:v>https://snpmb.id/utbk-snbt/daya-tampung-snbt</x:v>
      </x:c>
      <x:c r="AA250" t="str">
        <x:v>Tidak Ada</x:v>
      </x:c>
      <x:c r="AB250" t="str">
        <x:v>Campus=55; Ratio=4.0; Prodi=45; RelDemand=15.3; Capacity=20.8</x:v>
      </x:c>
    </x:row>
    <x:row r="251">
      <x:c r="A251" t="n">
        <x:v>248</x:v>
      </x:c>
      <x:c r="B251" t="str">
        <x:v>PTN Akademik</x:v>
      </x:c>
      <x:c r="C251" t="str">
        <x:v>UNIVERSITAS NEGERI MEDAN</x:v>
      </x:c>
      <x:c r="D251" t="str">
        <x:v>GIZI</x:v>
      </x:c>
      <x:c r="E251" t="str">
        <x:v>Sarjana</x:v>
      </x:c>
      <x:c r="F251" s="18" t="n">
        <x:v>100</x:v>
      </x:c>
      <x:c r="G251" s="18" t="n">
        <x:v>815</x:v>
      </x:c>
      <x:c r="H251" s="19" t="n">
        <x:v>8.15</x:v>
      </x:c>
      <x:c r="I251" s="18" t="n">
        <x:f>ROUND(MIN(Model_Config_v3!$B$6,MAX(Q251,R251,S251*Model_Config_v3!$B$4+T251*Model_Config_v3!$B$5)),0)</x:f>
        <x:v>656</x:v>
      </x:c>
      <x:c r="J251" s="18" t="n">
        <x:f>MIN(Model_Config_v3!$B$6,I251+Model_Config_v3!$B$7)</x:f>
        <x:v>676</x:v>
      </x:c>
      <x:c r="K251" s="20" t="n">
        <x:v>55.3</x:v>
      </x:c>
      <x:c r="L251" t="str">
        <x:v>KETAT</x:v>
      </x:c>
      <x:c r="M251" t="str">
        <x:v>SEDANG+</x:v>
      </x:c>
      <x:c r="N251" t="str">
        <x:v>REGULER</x:v>
      </x:c>
      <x:c r="O251" t="str">
        <x:v>SAINTEK</x:v>
      </x:c>
      <x:c r="P251" t="str">
        <x:v>KESEHAT/GIZI/KEPERAWATAN</x:v>
      </x:c>
      <x:c r="Q251" s="18" t="n">
        <x:v>0</x:v>
      </x:c>
      <x:c r="R251" s="18" t="n">
        <x:v>0</x:v>
      </x:c>
      <x:c r="S251" s="18" t="n">
        <x:v>620.2273369613974</x:v>
      </x:c>
      <x:c r="T251" s="18" t="n">
        <x:v>671</x:v>
      </x:c>
      <x:c r="U251" s="18" t="n">
        <x:v>620.2273369613974</x:v>
      </x:c>
      <x:c r="V251" s="20" t="n">
        <x:v>12</x:v>
      </x:c>
      <x:c r="W251" s="20" t="n">
        <x:v>5</x:v>
      </x:c>
      <x:c r="X251" s="20" t="n">
        <x:v>3</x:v>
      </x:c>
      <x:c r="Y251" t="str">
        <x:v>Basis arsip 2025/2024</x:v>
      </x:c>
      <x:c r="Z251" t="str">
        <x:v>https://snpmb.id/utbk-snbt/daya-tampung-snbt</x:v>
      </x:c>
      <x:c r="AA251" t="str">
        <x:v>Tidak Ada</x:v>
      </x:c>
      <x:c r="AB251" t="str">
        <x:v>Campus=55; Ratio=53.6; Prodi=55; RelDemand=100.0; Capacity=16.7</x:v>
      </x:c>
    </x:row>
    <x:row r="252">
      <x:c r="A252" t="n">
        <x:v>249</x:v>
      </x:c>
      <x:c r="B252" t="str">
        <x:v>PTN Akademik</x:v>
      </x:c>
      <x:c r="C252" t="str">
        <x:v>UNIVERSITAS NEGERI MEDAN</x:v>
      </x:c>
      <x:c r="D252" t="str">
        <x:v>TEKNIK ELEKTRO</x:v>
      </x:c>
      <x:c r="E252" t="str">
        <x:v>Sarjana</x:v>
      </x:c>
      <x:c r="F252" s="18" t="n">
        <x:v>84</x:v>
      </x:c>
      <x:c r="G252" s="18" t="n">
        <x:v>360</x:v>
      </x:c>
      <x:c r="H252" s="19" t="n">
        <x:v>4.285714285714286</x:v>
      </x:c>
      <x:c r="I252" s="18" t="n">
        <x:f>ROUND(MIN(Model_Config_v3!$B$6,MAX(Q252,R252,S252*Model_Config_v3!$B$4+T252*Model_Config_v3!$B$5)),0)</x:f>
        <x:v>637</x:v>
      </x:c>
      <x:c r="J252" s="18" t="n">
        <x:f>MIN(Model_Config_v3!$B$6,I252+Model_Config_v3!$B$7)</x:f>
        <x:v>657</x:v>
      </x:c>
      <x:c r="K252" s="20" t="n">
        <x:v>49.2</x:v>
      </x:c>
      <x:c r="L252" t="str">
        <x:v>MENENGAH</x:v>
      </x:c>
      <x:c r="M252" t="str">
        <x:v>SEDANG+</x:v>
      </x:c>
      <x:c r="N252" t="str">
        <x:v>REGULER</x:v>
      </x:c>
      <x:c r="O252" t="str">
        <x:v>SAINTEK</x:v>
      </x:c>
      <x:c r="P252" t="str">
        <x:v>TEKNIK/ARSITEKTUR/STATISTIKA/AKTUARIA</x:v>
      </x:c>
      <x:c r="Q252" s="18" t="n">
        <x:v>0</x:v>
      </x:c>
      <x:c r="R252" s="18" t="n">
        <x:v>0</x:v>
      </x:c>
      <x:c r="S252" s="18" t="n">
        <x:v>589.5225536175947</x:v>
      </x:c>
      <x:c r="T252" s="18" t="n">
        <x:v>658</x:v>
      </x:c>
      <x:c r="U252" s="18" t="n">
        <x:v>599.5225536175947</x:v>
      </x:c>
      <x:c r="V252" s="20" t="n">
        <x:v>12</x:v>
      </x:c>
      <x:c r="W252" s="20" t="n">
        <x:v>5</x:v>
      </x:c>
      <x:c r="X252" s="20" t="n">
        <x:v>3</x:v>
      </x:c>
      <x:c r="Y252" t="str">
        <x:v>Basis arsip 2025/2024</x:v>
      </x:c>
      <x:c r="Z252" t="str">
        <x:v>https://snpmb.id/utbk-snbt/daya-tampung-snbt</x:v>
      </x:c>
      <x:c r="AA252" t="str">
        <x:v>Tidak Ada</x:v>
      </x:c>
      <x:c r="AB252" t="str">
        <x:v>Campus=55; Ratio=37.2; Prodi=60; RelDemand=56.2; Capacity=30.0</x:v>
      </x:c>
    </x:row>
    <x:row r="253">
      <x:c r="A253" t="n">
        <x:v>250</x:v>
      </x:c>
      <x:c r="B253" t="str">
        <x:v>PTN Akademik</x:v>
      </x:c>
      <x:c r="C253" t="str">
        <x:v>UNIVERSITAS NEGERI MEDAN</x:v>
      </x:c>
      <x:c r="D253" t="str">
        <x:v>TEKNIK SIPIL</x:v>
      </x:c>
      <x:c r="E253" t="str">
        <x:v>Sarjana</x:v>
      </x:c>
      <x:c r="F253" s="18" t="n">
        <x:v>95</x:v>
      </x:c>
      <x:c r="G253" s="18" t="n">
        <x:v>542</x:v>
      </x:c>
      <x:c r="H253" s="19" t="n">
        <x:v>5.705263157894737</x:v>
      </x:c>
      <x:c r="I253" s="18" t="n">
        <x:f>ROUND(MIN(Model_Config_v3!$B$6,MAX(Q253,R253,S253*Model_Config_v3!$B$4+T253*Model_Config_v3!$B$5)),0)</x:f>
        <x:v>646</x:v>
      </x:c>
      <x:c r="J253" s="18" t="n">
        <x:f>MIN(Model_Config_v3!$B$6,I253+Model_Config_v3!$B$7)</x:f>
        <x:v>666</x:v>
      </x:c>
      <x:c r="K253" s="20" t="n">
        <x:v>51.9</x:v>
      </x:c>
      <x:c r="L253" t="str">
        <x:v>MENENGAH</x:v>
      </x:c>
      <x:c r="M253" t="str">
        <x:v>SEDANG+</x:v>
      </x:c>
      <x:c r="N253" t="str">
        <x:v>REGULER</x:v>
      </x:c>
      <x:c r="O253" t="str">
        <x:v>SAINTEK</x:v>
      </x:c>
      <x:c r="P253" t="str">
        <x:v>TEKNIK/ARSITEKTUR/STATISTIKA/AKTUARIA</x:v>
      </x:c>
      <x:c r="Q253" s="18" t="n">
        <x:v>0</x:v>
      </x:c>
      <x:c r="R253" s="18" t="n">
        <x:v>0</x:v>
      </x:c>
      <x:c r="S253" s="18" t="n">
        <x:v>603.1903249374493</x:v>
      </x:c>
      <x:c r="T253" s="18" t="n">
        <x:v>664</x:v>
      </x:c>
      <x:c r="U253" s="18" t="n">
        <x:v>613.1903249374493</x:v>
      </x:c>
      <x:c r="V253" s="20" t="n">
        <x:v>12</x:v>
      </x:c>
      <x:c r="W253" s="20" t="n">
        <x:v>5</x:v>
      </x:c>
      <x:c r="X253" s="20" t="n">
        <x:v>3</x:v>
      </x:c>
      <x:c r="Y253" t="str">
        <x:v>Basis arsip 2025/2024</x:v>
      </x:c>
      <x:c r="Z253" t="str">
        <x:v>https://snpmb.id/utbk-snbt/daya-tampung-snbt</x:v>
      </x:c>
      <x:c r="AA253" t="str">
        <x:v>Tidak Ada</x:v>
      </x:c>
      <x:c r="AB253" t="str">
        <x:v>Campus=55; Ratio=44.5; Prodi=60; RelDemand=74.9; Capacity=20.8</x:v>
      </x:c>
    </x:row>
    <x:row r="254">
      <x:c r="A254" t="n">
        <x:v>251</x:v>
      </x:c>
      <x:c r="B254" t="str">
        <x:v>PTN Akademik</x:v>
      </x:c>
      <x:c r="C254" t="str">
        <x:v>UNIVERSITAS NEGERI MEDAN</x:v>
      </x:c>
      <x:c r="D254" t="str">
        <x:v>PENDIDIKAN TEKNOLOGI INFORMATIKA DAN KOMPUTER</x:v>
      </x:c>
      <x:c r="E254" t="str">
        <x:v>Sarjana</x:v>
      </x:c>
      <x:c r="F254" s="18" t="n">
        <x:v>95</x:v>
      </x:c>
      <x:c r="G254" s="18" t="n">
        <x:v>558</x:v>
      </x:c>
      <x:c r="H254" s="19" t="n">
        <x:v>5.873684210526315</x:v>
      </x:c>
      <x:c r="I254" s="18" t="n">
        <x:f>ROUND(MIN(Model_Config_v3!$B$6,MAX(Q254,R254,S254*Model_Config_v3!$B$4+T254*Model_Config_v3!$B$5)),0)</x:f>
        <x:v>654</x:v>
      </x:c>
      <x:c r="J254" s="18" t="n">
        <x:f>MIN(Model_Config_v3!$B$6,I254+Model_Config_v3!$B$7)</x:f>
        <x:v>674</x:v>
      </x:c>
      <x:c r="K254" s="20" t="n">
        <x:v>57.4</x:v>
      </x:c>
      <x:c r="L254" t="str">
        <x:v>KETAT</x:v>
      </x:c>
      <x:c r="M254" t="str">
        <x:v>SEDANG+</x:v>
      </x:c>
      <x:c r="N254" t="str">
        <x:v>REGULER</x:v>
      </x:c>
      <x:c r="O254" t="str">
        <x:v>SAINTEK</x:v>
      </x:c>
      <x:c r="P254" t="str">
        <x:v>KOMPUTER/INFORMATIKA</x:v>
      </x:c>
      <x:c r="Q254" s="18" t="n">
        <x:v>0</x:v>
      </x:c>
      <x:c r="R254" s="18" t="n">
        <x:v>0</x:v>
      </x:c>
      <x:c r="S254" s="18" t="n">
        <x:v>604.5801653013604</x:v>
      </x:c>
      <x:c r="T254" s="18" t="n">
        <x:v>675</x:v>
      </x:c>
      <x:c r="U254" s="18" t="n">
        <x:v>629.5801653013604</x:v>
      </x:c>
      <x:c r="V254" s="20" t="n">
        <x:v>12</x:v>
      </x:c>
      <x:c r="W254" s="20" t="n">
        <x:v>5</x:v>
      </x:c>
      <x:c r="X254" s="20" t="n">
        <x:v>3</x:v>
      </x:c>
      <x:c r="Y254" t="str">
        <x:v>Basis arsip 2025/2024</x:v>
      </x:c>
      <x:c r="Z254" t="str">
        <x:v>https://snpmb.id/utbk-snbt/daya-tampung-snbt</x:v>
      </x:c>
      <x:c r="AA254" t="str">
        <x:v>Tidak Ada</x:v>
      </x:c>
      <x:c r="AB254" t="str">
        <x:v>Campus=55; Ratio=45.3; Prodi=85; RelDemand=77.1; Capacity=20.8</x:v>
      </x:c>
    </x:row>
    <x:row r="255">
      <x:c r="A255" t="n">
        <x:v>252</x:v>
      </x:c>
      <x:c r="B255" t="str">
        <x:v>PTN Akademik</x:v>
      </x:c>
      <x:c r="C255" t="str">
        <x:v>UNIVERSITAS NEGERI MEDAN</x:v>
      </x:c>
      <x:c r="D255" t="str">
        <x:v>ILMU KOMPUTER</x:v>
      </x:c>
      <x:c r="E255" t="str">
        <x:v>Sarjana</x:v>
      </x:c>
      <x:c r="F255" s="18" t="n">
        <x:v>89</x:v>
      </x:c>
      <x:c r="G255" s="18" t="n">
        <x:v>1041</x:v>
      </x:c>
      <x:c r="H255" s="19" t="n">
        <x:v>11.696629213483146</x:v>
      </x:c>
      <x:c r="I255" s="18" t="n">
        <x:f>ROUND(MIN(Model_Config_v3!$B$6,MAX(Q255,R255,S255*Model_Config_v3!$B$4+T255*Model_Config_v3!$B$5)),0)</x:f>
        <x:v>674</x:v>
      </x:c>
      <x:c r="J255" s="18" t="n">
        <x:f>MIN(Model_Config_v3!$B$6,I255+Model_Config_v3!$B$7)</x:f>
        <x:v>694</x:v>
      </x:c>
      <x:c r="K255" s="20" t="n">
        <x:v>64.5</x:v>
      </x:c>
      <x:c r="L255" t="str">
        <x:v>KETAT</x:v>
      </x:c>
      <x:c r="M255" t="str">
        <x:v>SEDANG+</x:v>
      </x:c>
      <x:c r="N255" t="str">
        <x:v>REGULER</x:v>
      </x:c>
      <x:c r="O255" t="str">
        <x:v>SAINTEK</x:v>
      </x:c>
      <x:c r="P255" t="str">
        <x:v>KOMPUTER/INFORMATIKA</x:v>
      </x:c>
      <x:c r="Q255" s="18" t="n">
        <x:v>0</x:v>
      </x:c>
      <x:c r="R255" s="18" t="n">
        <x:v>0</x:v>
      </x:c>
      <x:c r="S255" s="18" t="n">
        <x:v>637.4866795152186</x:v>
      </x:c>
      <x:c r="T255" s="18" t="n">
        <x:v>689</x:v>
      </x:c>
      <x:c r="U255" s="18" t="n">
        <x:v>662.4866795152186</x:v>
      </x:c>
      <x:c r="V255" s="20" t="n">
        <x:v>12</x:v>
      </x:c>
      <x:c r="W255" s="20" t="n">
        <x:v>5</x:v>
      </x:c>
      <x:c r="X255" s="20" t="n">
        <x:v>3</x:v>
      </x:c>
      <x:c r="Y255" t="str">
        <x:v>Basis arsip 2025/2024</x:v>
      </x:c>
      <x:c r="Z255" t="str">
        <x:v>https://snpmb.id/utbk-snbt/daya-tampung-snbt</x:v>
      </x:c>
      <x:c r="AA255" t="str">
        <x:v>Tidak Ada</x:v>
      </x:c>
      <x:c r="AB255" t="str">
        <x:v>Campus=55; Ratio=62.9; Prodi=85; RelDemand=100.0; Capacity=25.8</x:v>
      </x:c>
    </x:row>
    <x:row r="256">
      <x:c r="A256" t="n">
        <x:v>253</x:v>
      </x:c>
      <x:c r="B256" t="str">
        <x:v>PTN Akademik</x:v>
      </x:c>
      <x:c r="C256" t="str">
        <x:v>UNIVERSITAS NEGERI MEDAN</x:v>
      </x:c>
      <x:c r="D256" t="str">
        <x:v>PENDIDIKAN IPA</x:v>
      </x:c>
      <x:c r="E256" t="str">
        <x:v>Sarjana</x:v>
      </x:c>
      <x:c r="F256" s="18" t="n">
        <x:v>79</x:v>
      </x:c>
      <x:c r="G256" s="18" t="n">
        <x:v>245</x:v>
      </x:c>
      <x:c r="H256" s="19" t="n">
        <x:v>3.1012658227848102</x:v>
      </x:c>
      <x:c r="I256" s="18" t="n">
        <x:f>ROUND(MIN(Model_Config_v3!$B$6,MAX(Q256,R256,S256*Model_Config_v3!$B$4+T256*Model_Config_v3!$B$5)),0)</x:f>
        <x:v>624</x:v>
      </x:c>
      <x:c r="J256" s="18" t="n">
        <x:f>MIN(Model_Config_v3!$B$6,I256+Model_Config_v3!$B$7)</x:f>
        <x:v>644</x:v>
      </x:c>
      <x:c r="K256" s="20" t="n">
        <x:v>43</x:v>
      </x:c>
      <x:c r="L256" t="str">
        <x:v>RELATIF LONGGAR</x:v>
      </x:c>
      <x:c r="M256" t="str">
        <x:v>SEDANG+</x:v>
      </x:c>
      <x:c r="N256" t="str">
        <x:v>REGULER</x:v>
      </x:c>
      <x:c r="O256" t="str">
        <x:v>CAMPURAN</x:v>
      </x:c>
      <x:c r="P256" t="str">
        <x:v>PENDIDIKAN</x:v>
      </x:c>
      <x:c r="Q256" s="18" t="n">
        <x:v>0</x:v>
      </x:c>
      <x:c r="R256" s="18" t="n">
        <x:v>0</x:v>
      </x:c>
      <x:c r="S256" s="18" t="n">
        <x:v>574.06928923815</x:v>
      </x:c>
      <x:c r="T256" s="18" t="n">
        <x:v>646</x:v>
      </x:c>
      <x:c r="U256" s="18" t="n">
        <x:v>574.06928923815</x:v>
      </x:c>
      <x:c r="V256" s="20" t="n">
        <x:v>8.8</x:v>
      </x:c>
      <x:c r="W256" s="20" t="n">
        <x:v>9.9</x:v>
      </x:c>
      <x:c r="X256" s="20" t="n">
        <x:v>3.3</x:v>
      </x:c>
      <x:c r="Y256" t="str">
        <x:v>Basis arsip 2025/2024</x:v>
      </x:c>
      <x:c r="Z256" t="str">
        <x:v>https://snpmb.id/utbk-snbt/daya-tampung-snbt</x:v>
      </x:c>
      <x:c r="AA256" t="str">
        <x:v>Tidak Ada</x:v>
      </x:c>
      <x:c r="AB256" t="str">
        <x:v>Campus=55; Ratio=28.9; Prodi=45; RelDemand=40.7; Capacity=34.2</x:v>
      </x:c>
    </x:row>
    <x:row r="257">
      <x:c r="A257" t="n">
        <x:v>254</x:v>
      </x:c>
      <x:c r="B257" t="str">
        <x:v>PTN Akademik</x:v>
      </x:c>
      <x:c r="C257" t="str">
        <x:v>UNIVERSITAS NEGERI MEDAN</x:v>
      </x:c>
      <x:c r="D257" t="str">
        <x:v>PENDIDIKAN SEJARAH</x:v>
      </x:c>
      <x:c r="E257" t="str">
        <x:v>Sarjana</x:v>
      </x:c>
      <x:c r="F257" s="18" t="n">
        <x:v>115</x:v>
      </x:c>
      <x:c r="G257" s="18" t="n">
        <x:v>333</x:v>
      </x:c>
      <x:c r="H257" s="19" t="n">
        <x:v>2.8956521739130436</x:v>
      </x:c>
      <x:c r="I257" s="18" t="n">
        <x:f>ROUND(MIN(Model_Config_v3!$B$6,MAX(Q257,R257,S257*Model_Config_v3!$B$4+T257*Model_Config_v3!$B$5)),0)</x:f>
        <x:v>619</x:v>
      </x:c>
      <x:c r="J257" s="18" t="n">
        <x:f>MIN(Model_Config_v3!$B$6,I257+Model_Config_v3!$B$7)</x:f>
        <x:v>639</x:v>
      </x:c>
      <x:c r="K257" s="20" t="n">
        <x:v>39.3</x:v>
      </x:c>
      <x:c r="L257" t="str">
        <x:v>RELATIF LONGGAR</x:v>
      </x:c>
      <x:c r="M257" t="str">
        <x:v>SEDANG+</x:v>
      </x:c>
      <x:c r="N257" t="str">
        <x:v>REGULER</x:v>
      </x:c>
      <x:c r="O257" t="str">
        <x:v>SOSHUM</x:v>
      </x:c>
      <x:c r="P257" t="str">
        <x:v>PENDIDIKAN</x:v>
      </x:c>
      <x:c r="Q257" s="18" t="n">
        <x:v>0</x:v>
      </x:c>
      <x:c r="R257" s="18" t="n">
        <x:v>0</x:v>
      </x:c>
      <x:c r="S257" s="18" t="n">
        <x:v>570.7921032467979</x:v>
      </x:c>
      <x:c r="T257" s="18" t="n">
        <x:v>639</x:v>
      </x:c>
      <x:c r="U257" s="18" t="n">
        <x:v>570.7921032467979</x:v>
      </x:c>
      <x:c r="V257" s="20" t="n">
        <x:v>4.4</x:v>
      </x:c>
      <x:c r="W257" s="20" t="n">
        <x:v>14.3</x:v>
      </x:c>
      <x:c r="X257" s="20" t="n">
        <x:v>3.3</x:v>
      </x:c>
      <x:c r="Y257" t="str">
        <x:v>Basis arsip 2025/2024</x:v>
      </x:c>
      <x:c r="Z257" t="str">
        <x:v>https://snpmb.id/utbk-snbt/daya-tampung-snbt</x:v>
      </x:c>
      <x:c r="AA257" t="str">
        <x:v>Tidak Ada</x:v>
      </x:c>
      <x:c r="AB257" t="str">
        <x:v>Campus=55; Ratio=27.2; Prodi=45; RelDemand=38.0; Capacity=4.2</x:v>
      </x:c>
    </x:row>
    <x:row r="258">
      <x:c r="A258" t="n">
        <x:v>255</x:v>
      </x:c>
      <x:c r="B258" t="str">
        <x:v>PTN Akademik</x:v>
      </x:c>
      <x:c r="C258" t="str">
        <x:v>UNIVERSITAS NEGERI MEDAN</x:v>
      </x:c>
      <x:c r="D258" t="str">
        <x:v>PEND. PANCASILA &amp; KEWARGANEGARAAN (PPKN)</x:v>
      </x:c>
      <x:c r="E258" t="str">
        <x:v>Sarjana</x:v>
      </x:c>
      <x:c r="F258" s="18" t="n">
        <x:v>115</x:v>
      </x:c>
      <x:c r="G258" s="18" t="n">
        <x:v>504</x:v>
      </x:c>
      <x:c r="H258" s="19" t="n">
        <x:v>4.3826086956521735</x:v>
      </x:c>
      <x:c r="I258" s="18" t="n">
        <x:f>ROUND(MIN(Model_Config_v3!$B$6,MAX(Q258,R258,S258*Model_Config_v3!$B$4+T258*Model_Config_v3!$B$5)),0)</x:f>
        <x:v>631</x:v>
      </x:c>
      <x:c r="J258" s="18" t="n">
        <x:f>MIN(Model_Config_v3!$B$6,I258+Model_Config_v3!$B$7)</x:f>
        <x:v>651</x:v>
      </x:c>
      <x:c r="K258" s="20" t="n">
        <x:v>43.9</x:v>
      </x:c>
      <x:c r="L258" t="str">
        <x:v>RELATIF LONGGAR</x:v>
      </x:c>
      <x:c r="M258" t="str">
        <x:v>SEDANG+</x:v>
      </x:c>
      <x:c r="N258" t="str">
        <x:v>REGULER</x:v>
      </x:c>
      <x:c r="O258" t="str">
        <x:v>CAMPURAN</x:v>
      </x:c>
      <x:c r="P258" t="str">
        <x:v>PENDIDIKAN</x:v>
      </x:c>
      <x:c r="Q258" s="18" t="n">
        <x:v>0</x:v>
      </x:c>
      <x:c r="R258" s="18" t="n">
        <x:v>0</x:v>
      </x:c>
      <x:c r="S258" s="18" t="n">
        <x:v>590.5905965701105</x:v>
      </x:c>
      <x:c r="T258" s="18" t="n">
        <x:v>648</x:v>
      </x:c>
      <x:c r="U258" s="18" t="n">
        <x:v>590.5905965701105</x:v>
      </x:c>
      <x:c r="V258" s="20" t="n">
        <x:v>8.8</x:v>
      </x:c>
      <x:c r="W258" s="20" t="n">
        <x:v>9.9</x:v>
      </x:c>
      <x:c r="X258" s="20" t="n">
        <x:v>3.3</x:v>
      </x:c>
      <x:c r="Y258" t="str">
        <x:v>Basis arsip 2025/2024</x:v>
      </x:c>
      <x:c r="Z258" t="str">
        <x:v>https://snpmb.id/utbk-snbt/daya-tampung-snbt</x:v>
      </x:c>
      <x:c r="AA258" t="str">
        <x:v>Tidak Ada</x:v>
      </x:c>
      <x:c r="AB258" t="str">
        <x:v>Campus=55; Ratio=37.8; Prodi=45; RelDemand=57.5; Capacity=4.2</x:v>
      </x:c>
    </x:row>
    <x:row r="259">
      <x:c r="A259" t="n">
        <x:v>256</x:v>
      </x:c>
      <x:c r="B259" t="str">
        <x:v>PTN Akademik</x:v>
      </x:c>
      <x:c r="C259" t="str">
        <x:v>UNIVERSITAS NEGERI MEDAN</x:v>
      </x:c>
      <x:c r="D259" t="str">
        <x:v>PENDIDIKAN GEOGRAFI</x:v>
      </x:c>
      <x:c r="E259" t="str">
        <x:v>Sarjana</x:v>
      </x:c>
      <x:c r="F259" s="18" t="n">
        <x:v>115</x:v>
      </x:c>
      <x:c r="G259" s="18" t="n">
        <x:v>327</x:v>
      </x:c>
      <x:c r="H259" s="19" t="n">
        <x:v>2.8434782608695652</x:v>
      </x:c>
      <x:c r="I259" s="18" t="n">
        <x:f>ROUND(MIN(Model_Config_v3!$B$6,MAX(Q259,R259,S259*Model_Config_v3!$B$4+T259*Model_Config_v3!$B$5)),0)</x:f>
        <x:v>618</x:v>
      </x:c>
      <x:c r="J259" s="18" t="n">
        <x:f>MIN(Model_Config_v3!$B$6,I259+Model_Config_v3!$B$7)</x:f>
        <x:v>638</x:v>
      </x:c>
      <x:c r="K259" s="20" t="n">
        <x:v>39.1</x:v>
      </x:c>
      <x:c r="L259" t="str">
        <x:v>RELATIF LONGGAR</x:v>
      </x:c>
      <x:c r="M259" t="str">
        <x:v>SEDANG+</x:v>
      </x:c>
      <x:c r="N259" t="str">
        <x:v>REGULER</x:v>
      </x:c>
      <x:c r="O259" t="str">
        <x:v>CAMPURAN</x:v>
      </x:c>
      <x:c r="P259" t="str">
        <x:v>PENDIDIKAN</x:v>
      </x:c>
      <x:c r="Q259" s="18" t="n">
        <x:v>0</x:v>
      </x:c>
      <x:c r="R259" s="18" t="n">
        <x:v>0</x:v>
      </x:c>
      <x:c r="S259" s="18" t="n">
        <x:v>569.9234903537342</x:v>
      </x:c>
      <x:c r="T259" s="18" t="n">
        <x:v>638</x:v>
      </x:c>
      <x:c r="U259" s="18" t="n">
        <x:v>569.9234903537342</x:v>
      </x:c>
      <x:c r="V259" s="20" t="n">
        <x:v>8.8</x:v>
      </x:c>
      <x:c r="W259" s="20" t="n">
        <x:v>9.9</x:v>
      </x:c>
      <x:c r="X259" s="20" t="n">
        <x:v>3.3</x:v>
      </x:c>
      <x:c r="Y259" t="str">
        <x:v>Basis arsip 2025/2024</x:v>
      </x:c>
      <x:c r="Z259" t="str">
        <x:v>https://snpmb.id/utbk-snbt/daya-tampung-snbt</x:v>
      </x:c>
      <x:c r="AA259" t="str">
        <x:v>Tidak Ada</x:v>
      </x:c>
      <x:c r="AB259" t="str">
        <x:v>Campus=55; Ratio=26.7; Prodi=45; RelDemand=37.3; Capacity=4.2</x:v>
      </x:c>
    </x:row>
    <x:row r="260">
      <x:c r="A260" t="n">
        <x:v>257</x:v>
      </x:c>
      <x:c r="B260" t="str">
        <x:v>PTN Akademik</x:v>
      </x:c>
      <x:c r="C260" t="str">
        <x:v>UNIVERSITAS NEGERI MEDAN</x:v>
      </x:c>
      <x:c r="D260" t="str">
        <x:v>PEND. JASMANI, KESEHATAN &amp; REKREASI</x:v>
      </x:c>
      <x:c r="E260" t="str">
        <x:v>Sarjana</x:v>
      </x:c>
      <x:c r="F260" s="18" t="n">
        <x:v>227</x:v>
      </x:c>
      <x:c r="G260" s="18" t="n">
        <x:v>489</x:v>
      </x:c>
      <x:c r="H260" s="19" t="n">
        <x:v>2.154185022026432</x:v>
      </x:c>
      <x:c r="I260" s="18" t="n">
        <x:f>ROUND(MIN(Model_Config_v3!$B$6,MAX(Q260,R260,S260*Model_Config_v3!$B$4+T260*Model_Config_v3!$B$5)),0)</x:f>
        <x:v>609</x:v>
      </x:c>
      <x:c r="J260" s="18" t="n">
        <x:f>MIN(Model_Config_v3!$B$6,I260+Model_Config_v3!$B$7)</x:f>
        <x:v>629</x:v>
      </x:c>
      <x:c r="K260" s="20" t="n">
        <x:v>36</x:v>
      </x:c>
      <x:c r="L260" t="str">
        <x:v>RELATIF LONGGAR</x:v>
      </x:c>
      <x:c r="M260" t="str">
        <x:v>PORTOFOLIO</x:v>
      </x:c>
      <x:c r="N260" t="str">
        <x:v>REGULER</x:v>
      </x:c>
      <x:c r="O260" t="str">
        <x:v>SENI/OLAHRAGA</x:v>
      </x:c>
      <x:c r="P260" t="str">
        <x:v>SENI/OLAHRAGA</x:v>
      </x:c>
      <x:c r="Q260" s="18" t="n">
        <x:v>0</x:v>
      </x:c>
      <x:c r="R260" s="18" t="n">
        <x:v>0</x:v>
      </x:c>
      <x:c r="S260" s="18" t="n">
        <x:v>556.6611302123547</x:v>
      </x:c>
      <x:c r="T260" s="18" t="n">
        <x:v>632</x:v>
      </x:c>
      <x:c r="U260" s="18" t="n">
        <x:v>556.6611302123547</x:v>
      </x:c>
      <x:c r="V260" s="20" t="n">
        <x:v>4.4</x:v>
      </x:c>
      <x:c r="W260" s="20" t="n">
        <x:v>9.9</x:v>
      </x:c>
      <x:c r="X260" s="20" t="n">
        <x:v>7.7</x:v>
      </x:c>
      <x:c r="Y260" t="str">
        <x:v>Basis arsip 2025/2024</x:v>
      </x:c>
      <x:c r="Z260" t="str">
        <x:v>https://snpmb.id/utbk-snbt/daya-tampung-snbt</x:v>
      </x:c>
      <x:c r="AA260" t="str">
        <x:v>Olahraga</x:v>
      </x:c>
      <x:c r="AB260" t="str">
        <x:v>Campus=55; Ratio=19.6; Prodi=45; RelDemand=28.3; Capacity=0.0</x:v>
      </x:c>
    </x:row>
    <x:row r="261">
      <x:c r="A261" t="n">
        <x:v>258</x:v>
      </x:c>
      <x:c r="B261" t="str">
        <x:v>PTN Akademik</x:v>
      </x:c>
      <x:c r="C261" t="str">
        <x:v>UNIVERSITAS NEGERI MEDAN</x:v>
      </x:c>
      <x:c r="D261" t="str">
        <x:v>PENDIDIKAN KEPELATIHAN OLAHRAGA (PKO)</x:v>
      </x:c>
      <x:c r="E261" t="str">
        <x:v>Sarjana</x:v>
      </x:c>
      <x:c r="F261" s="18" t="n">
        <x:v>227</x:v>
      </x:c>
      <x:c r="G261" s="18" t="n">
        <x:v>353</x:v>
      </x:c>
      <x:c r="H261" s="19" t="n">
        <x:v>1.5550660792951543</x:v>
      </x:c>
      <x:c r="I261" s="18" t="n">
        <x:f>ROUND(MIN(Model_Config_v3!$B$6,MAX(Q261,R261,S261*Model_Config_v3!$B$4+T261*Model_Config_v3!$B$5)),0)</x:f>
        <x:v>601</x:v>
      </x:c>
      <x:c r="J261" s="18" t="n">
        <x:f>MIN(Model_Config_v3!$B$6,I261+Model_Config_v3!$B$7)</x:f>
        <x:v>621</x:v>
      </x:c>
      <x:c r="K261" s="20" t="n">
        <x:v>33.1</x:v>
      </x:c>
      <x:c r="L261" t="str">
        <x:v>RELATIF LONGGAR</x:v>
      </x:c>
      <x:c r="M261" t="str">
        <x:v>PORTOFOLIO</x:v>
      </x:c>
      <x:c r="N261" t="str">
        <x:v>REGULER</x:v>
      </x:c>
      <x:c r="O261" t="str">
        <x:v>SENI/OLAHRAGA</x:v>
      </x:c>
      <x:c r="P261" t="str">
        <x:v>SENI/OLAHRAGA</x:v>
      </x:c>
      <x:c r="Q261" s="18" t="n">
        <x:v>0</x:v>
      </x:c>
      <x:c r="R261" s="18" t="n">
        <x:v>0</x:v>
      </x:c>
      <x:c r="S261" s="18" t="n">
        <x:v>541.092373301417</x:v>
      </x:c>
      <x:c r="T261" s="18" t="n">
        <x:v>626</x:v>
      </x:c>
      <x:c r="U261" s="18" t="n">
        <x:v>541.092373301417</x:v>
      </x:c>
      <x:c r="V261" s="20" t="n">
        <x:v>4.4</x:v>
      </x:c>
      <x:c r="W261" s="20" t="n">
        <x:v>9.9</x:v>
      </x:c>
      <x:c r="X261" s="20" t="n">
        <x:v>7.7</x:v>
      </x:c>
      <x:c r="Y261" t="str">
        <x:v>Basis arsip 2025/2024</x:v>
      </x:c>
      <x:c r="Z261" t="str">
        <x:v>https://snpmb.id/utbk-snbt/daya-tampung-snbt</x:v>
      </x:c>
      <x:c r="AA261" t="str">
        <x:v>Olahraga</x:v>
      </x:c>
      <x:c r="AB261" t="str">
        <x:v>Campus=55; Ratio=11.3; Prodi=45; RelDemand=20.4; Capacity=0.0</x:v>
      </x:c>
    </x:row>
    <x:row r="262">
      <x:c r="A262" t="n">
        <x:v>259</x:v>
      </x:c>
      <x:c r="B262" t="str">
        <x:v>PTN Akademik</x:v>
      </x:c>
      <x:c r="C262" t="str">
        <x:v>UNIVERSITAS NEGERI MEDAN</x:v>
      </x:c>
      <x:c r="D262" t="str">
        <x:v>PENDIDIKAN LUAR SEKOLAH (PLS)</x:v>
      </x:c>
      <x:c r="E262" t="str">
        <x:v>Sarjana</x:v>
      </x:c>
      <x:c r="F262" s="18" t="n">
        <x:v>75</x:v>
      </x:c>
      <x:c r="G262" s="18" t="n">
        <x:v>61</x:v>
      </x:c>
      <x:c r="H262" s="19" t="n">
        <x:v>0.8133333333333334</x:v>
      </x:c>
      <x:c r="I262" s="18" t="n">
        <x:f>ROUND(MIN(Model_Config_v3!$B$6,MAX(Q262,R262,S262*Model_Config_v3!$B$4+T262*Model_Config_v3!$B$5)),0)</x:f>
        <x:v>594</x:v>
      </x:c>
      <x:c r="J262" s="18" t="n">
        <x:f>MIN(Model_Config_v3!$B$6,I262+Model_Config_v3!$B$7)</x:f>
        <x:v>614</x:v>
      </x:c>
      <x:c r="K262" s="20" t="n">
        <x:v>33.1</x:v>
      </x:c>
      <x:c r="L262" t="str">
        <x:v>RELATIF LONGGAR</x:v>
      </x:c>
      <x:c r="M262" t="str">
        <x:v>SEDANG+</x:v>
      </x:c>
      <x:c r="N262" t="str">
        <x:v>REGULER</x:v>
      </x:c>
      <x:c r="O262" t="str">
        <x:v>CAMPURAN</x:v>
      </x:c>
      <x:c r="P262" t="str">
        <x:v>PENDIDIKAN</x:v>
      </x:c>
      <x:c r="Q262" s="18" t="n">
        <x:v>0</x:v>
      </x:c>
      <x:c r="R262" s="18" t="n">
        <x:v>0</x:v>
      </x:c>
      <x:c r="S262" s="18" t="n">
        <x:v>520</x:v>
      </x:c>
      <x:c r="T262" s="18" t="n">
        <x:v>626</x:v>
      </x:c>
      <x:c r="U262" s="18" t="n">
        <x:v>520</x:v>
      </x:c>
      <x:c r="V262" s="20" t="n">
        <x:v>8.8</x:v>
      </x:c>
      <x:c r="W262" s="20" t="n">
        <x:v>9.9</x:v>
      </x:c>
      <x:c r="X262" s="20" t="n">
        <x:v>3.3</x:v>
      </x:c>
      <x:c r="Y262" t="str">
        <x:v>Basis arsip 2025/2024</x:v>
      </x:c>
      <x:c r="Z262" t="str">
        <x:v>https://snpmb.id/utbk-snbt/daya-tampung-snbt</x:v>
      </x:c>
      <x:c r="AA262" t="str">
        <x:v>Tidak Ada</x:v>
      </x:c>
      <x:c r="AB262" t="str">
        <x:v>Campus=55; Ratio=0.0; Prodi=45; RelDemand=10.7; Capacity=37.5</x:v>
      </x:c>
    </x:row>
    <x:row r="263">
      <x:c r="A263" t="n">
        <x:v>260</x:v>
      </x:c>
      <x:c r="B263" t="str">
        <x:v>PTN Akademik</x:v>
      </x:c>
      <x:c r="C263" t="str">
        <x:v>UNIVERSITAS NEGERI MEDAN</x:v>
      </x:c>
      <x:c r="D263" t="str">
        <x:v>PENDIDIKAN EKONOMI</x:v>
      </x:c>
      <x:c r="E263" t="str">
        <x:v>Sarjana</x:v>
      </x:c>
      <x:c r="F263" s="18" t="n">
        <x:v>70</x:v>
      </x:c>
      <x:c r="G263" s="18" t="n">
        <x:v>229</x:v>
      </x:c>
      <x:c r="H263" s="19" t="n">
        <x:v>3.2714285714285714</x:v>
      </x:c>
      <x:c r="I263" s="18" t="n">
        <x:f>ROUND(MIN(Model_Config_v3!$B$6,MAX(Q263,R263,S263*Model_Config_v3!$B$4+T263*Model_Config_v3!$B$5)),0)</x:f>
        <x:v>627</x:v>
      </x:c>
      <x:c r="J263" s="18" t="n">
        <x:f>MIN(Model_Config_v3!$B$6,I263+Model_Config_v3!$B$7)</x:f>
        <x:v>647</x:v>
      </x:c>
      <x:c r="K263" s="20" t="n">
        <x:v>44.3</x:v>
      </x:c>
      <x:c r="L263" t="str">
        <x:v>RELATIF LONGGAR</x:v>
      </x:c>
      <x:c r="M263" t="str">
        <x:v>SEDANG+</x:v>
      </x:c>
      <x:c r="N263" t="str">
        <x:v>REGULER</x:v>
      </x:c>
      <x:c r="O263" t="str">
        <x:v>SOSHUM</x:v>
      </x:c>
      <x:c r="P263" t="str">
        <x:v>PENDIDIKAN</x:v>
      </x:c>
      <x:c r="Q263" s="18" t="n">
        <x:v>0</x:v>
      </x:c>
      <x:c r="R263" s="18" t="n">
        <x:v>0</x:v>
      </x:c>
      <x:c r="S263" s="18" t="n">
        <x:v>576.6211186558194</x:v>
      </x:c>
      <x:c r="T263" s="18" t="n">
        <x:v>649</x:v>
      </x:c>
      <x:c r="U263" s="18" t="n">
        <x:v>576.6211186558194</x:v>
      </x:c>
      <x:c r="V263" s="20" t="n">
        <x:v>4.4</x:v>
      </x:c>
      <x:c r="W263" s="20" t="n">
        <x:v>14.3</x:v>
      </x:c>
      <x:c r="X263" s="20" t="n">
        <x:v>3.3</x:v>
      </x:c>
      <x:c r="Y263" t="str">
        <x:v>Basis arsip 2025/2024</x:v>
      </x:c>
      <x:c r="Z263" t="str">
        <x:v>https://snpmb.id/utbk-snbt/daya-tampung-snbt</x:v>
      </x:c>
      <x:c r="AA263" t="str">
        <x:v>Tidak Ada</x:v>
      </x:c>
      <x:c r="AB263" t="str">
        <x:v>Campus=55; Ratio=30.3; Prodi=45; RelDemand=42.9; Capacity=41.7</x:v>
      </x:c>
    </x:row>
    <x:row r="264">
      <x:c r="A264" t="n">
        <x:v>261</x:v>
      </x:c>
      <x:c r="B264" t="str">
        <x:v>PTN Akademik</x:v>
      </x:c>
      <x:c r="C264" t="str">
        <x:v>UNIVERSITAS NEGERI MEDAN</x:v>
      </x:c>
      <x:c r="D264" t="str">
        <x:v>MANAJEMEN</x:v>
      </x:c>
      <x:c r="E264" t="str">
        <x:v>Sarjana</x:v>
      </x:c>
      <x:c r="F264" s="18" t="n">
        <x:v>95</x:v>
      </x:c>
      <x:c r="G264" s="18" t="n">
        <x:v>1316</x:v>
      </x:c>
      <x:c r="H264" s="19" t="n">
        <x:v>13.852631578947369</x:v>
      </x:c>
      <x:c r="I264" s="18" t="n">
        <x:f>ROUND(MIN(Model_Config_v3!$B$6,MAX(Q264,R264,S264*Model_Config_v3!$B$4+T264*Model_Config_v3!$B$5)),0)</x:f>
        <x:v>671</x:v>
      </x:c>
      <x:c r="J264" s="18" t="n">
        <x:f>MIN(Model_Config_v3!$B$6,I264+Model_Config_v3!$B$7)</x:f>
        <x:v>691</x:v>
      </x:c>
      <x:c r="K264" s="20" t="n">
        <x:v>61.1</x:v>
      </x:c>
      <x:c r="L264" t="str">
        <x:v>KETAT</x:v>
      </x:c>
      <x:c r="M264" t="str">
        <x:v>SEDANG+</x:v>
      </x:c>
      <x:c r="N264" t="str">
        <x:v>REGULER</x:v>
      </x:c>
      <x:c r="O264" t="str">
        <x:v>SOSHUM</x:v>
      </x:c>
      <x:c r="P264" t="str">
        <x:v>BISNIS/EKONOMI/AKUNTANSI</x:v>
      </x:c>
      <x:c r="Q264" s="18" t="n">
        <x:v>0</x:v>
      </x:c>
      <x:c r="R264" s="18" t="n">
        <x:v>0</x:v>
      </x:c>
      <x:c r="S264" s="18" t="n">
        <x:v>645.5685512387997</x:v>
      </x:c>
      <x:c r="T264" s="18" t="n">
        <x:v>682</x:v>
      </x:c>
      <x:c r="U264" s="18" t="n">
        <x:v>660.5685512387997</x:v>
      </x:c>
      <x:c r="V264" s="20" t="n">
        <x:v>4.4</x:v>
      </x:c>
      <x:c r="W264" s="20" t="n">
        <x:v>14.3</x:v>
      </x:c>
      <x:c r="X264" s="20" t="n">
        <x:v>3.3</x:v>
      </x:c>
      <x:c r="Y264" t="str">
        <x:v>Basis arsip 2025/2024</x:v>
      </x:c>
      <x:c r="Z264" t="str">
        <x:v>https://snpmb.id/utbk-snbt/daya-tampung-snbt</x:v>
      </x:c>
      <x:c r="AA264" t="str">
        <x:v>Tidak Ada</x:v>
      </x:c>
      <x:c r="AB264" t="str">
        <x:v>Campus=55; Ratio=67.2; Prodi=65; RelDemand=100.0; Capacity=20.8</x:v>
      </x:c>
    </x:row>
    <x:row r="265">
      <x:c r="A265" t="n">
        <x:v>262</x:v>
      </x:c>
      <x:c r="B265" t="str">
        <x:v>PTN Akademik</x:v>
      </x:c>
      <x:c r="C265" t="str">
        <x:v>UNIVERSITAS NEGERI MEDAN</x:v>
      </x:c>
      <x:c r="D265" t="str">
        <x:v>AKUNTANSI</x:v>
      </x:c>
      <x:c r="E265" t="str">
        <x:v>Sarjana</x:v>
      </x:c>
      <x:c r="F265" s="18" t="n">
        <x:v>84</x:v>
      </x:c>
      <x:c r="G265" s="18" t="n">
        <x:v>883</x:v>
      </x:c>
      <x:c r="H265" s="19" t="n">
        <x:v>10.511904761904763</x:v>
      </x:c>
      <x:c r="I265" s="18" t="n">
        <x:f>ROUND(MIN(Model_Config_v3!$B$6,MAX(Q265,R265,S265*Model_Config_v3!$B$4+T265*Model_Config_v3!$B$5)),0)</x:f>
        <x:v>666</x:v>
      </x:c>
      <x:c r="J265" s="18" t="n">
        <x:f>MIN(Model_Config_v3!$B$6,I265+Model_Config_v3!$B$7)</x:f>
        <x:v>686</x:v>
      </x:c>
      <x:c r="K265" s="20" t="n">
        <x:v>60.3</x:v>
      </x:c>
      <x:c r="L265" t="str">
        <x:v>KETAT</x:v>
      </x:c>
      <x:c r="M265" t="str">
        <x:v>SEDANG+</x:v>
      </x:c>
      <x:c r="N265" t="str">
        <x:v>REGULER</x:v>
      </x:c>
      <x:c r="O265" t="str">
        <x:v>SOSHUM</x:v>
      </x:c>
      <x:c r="P265" t="str">
        <x:v>BISNIS/EKONOMI/AKUNTANSI</x:v>
      </x:c>
      <x:c r="Q265" s="18" t="n">
        <x:v>0</x:v>
      </x:c>
      <x:c r="R265" s="18" t="n">
        <x:v>0</x:v>
      </x:c>
      <x:c r="S265" s="18" t="n">
        <x:v>632.3849559267255</x:v>
      </x:c>
      <x:c r="T265" s="18" t="n">
        <x:v>681</x:v>
      </x:c>
      <x:c r="U265" s="18" t="n">
        <x:v>632.3849559267255</x:v>
      </x:c>
      <x:c r="V265" s="20" t="n">
        <x:v>4.4</x:v>
      </x:c>
      <x:c r="W265" s="20" t="n">
        <x:v>14.3</x:v>
      </x:c>
      <x:c r="X265" s="20" t="n">
        <x:v>3.3</x:v>
      </x:c>
      <x:c r="Y265" t="str">
        <x:v>Basis arsip 2025/2024</x:v>
      </x:c>
      <x:c r="Z265" t="str">
        <x:v>https://snpmb.id/utbk-snbt/daya-tampung-snbt</x:v>
      </x:c>
      <x:c r="AA265" t="str">
        <x:v>Tidak Ada</x:v>
      </x:c>
      <x:c r="AB265" t="str">
        <x:v>Campus=55; Ratio=60.1; Prodi=65; RelDemand=100.0; Capacity=30.0</x:v>
      </x:c>
    </x:row>
    <x:row r="266">
      <x:c r="A266" t="n">
        <x:v>263</x:v>
      </x:c>
      <x:c r="B266" t="str">
        <x:v>PTN Akademik</x:v>
      </x:c>
      <x:c r="C266" t="str">
        <x:v>UNIVERSITAS NEGERI MEDAN</x:v>
      </x:c>
      <x:c r="D266" t="str">
        <x:v>PENDIDIKAN BAHASA DAN SASTRA INDONESIA</x:v>
      </x:c>
      <x:c r="E266" t="str">
        <x:v>Sarjana</x:v>
      </x:c>
      <x:c r="F266" s="18" t="n">
        <x:v>162</x:v>
      </x:c>
      <x:c r="G266" s="18" t="n">
        <x:v>825</x:v>
      </x:c>
      <x:c r="H266" s="19" t="n">
        <x:v>5.092592592592593</x:v>
      </x:c>
      <x:c r="I266" s="18" t="n">
        <x:f>ROUND(MIN(Model_Config_v3!$B$6,MAX(Q266,R266,S266*Model_Config_v3!$B$4+T266*Model_Config_v3!$B$5)),0)</x:f>
        <x:v>635</x:v>
      </x:c>
      <x:c r="J266" s="18" t="n">
        <x:f>MIN(Model_Config_v3!$B$6,I266+Model_Config_v3!$B$7)</x:f>
        <x:v>655</x:v>
      </x:c>
      <x:c r="K266" s="20" t="n">
        <x:v>45.3</x:v>
      </x:c>
      <x:c r="L266" t="str">
        <x:v>MENENGAH</x:v>
      </x:c>
      <x:c r="M266" t="str">
        <x:v>SEDANG+</x:v>
      </x:c>
      <x:c r="N266" t="str">
        <x:v>REGULER</x:v>
      </x:c>
      <x:c r="O266" t="str">
        <x:v>SOSHUM</x:v>
      </x:c>
      <x:c r="P266" t="str">
        <x:v>PENDIDIKAN</x:v>
      </x:c>
      <x:c r="Q266" s="18" t="n">
        <x:v>0</x:v>
      </x:c>
      <x:c r="R266" s="18" t="n">
        <x:v>0</x:v>
      </x:c>
      <x:c r="S266" s="18" t="n">
        <x:v>597.7632827408023</x:v>
      </x:c>
      <x:c r="T266" s="18" t="n">
        <x:v>651</x:v>
      </x:c>
      <x:c r="U266" s="18" t="n">
        <x:v>597.7632827408023</x:v>
      </x:c>
      <x:c r="V266" s="20" t="n">
        <x:v>4.4</x:v>
      </x:c>
      <x:c r="W266" s="20" t="n">
        <x:v>14.3</x:v>
      </x:c>
      <x:c r="X266" s="20" t="n">
        <x:v>3.3</x:v>
      </x:c>
      <x:c r="Y266" t="str">
        <x:v>Basis arsip 2025/2024</x:v>
      </x:c>
      <x:c r="Z266" t="str">
        <x:v>https://snpmb.id/utbk-snbt/daya-tampung-snbt</x:v>
      </x:c>
      <x:c r="AA266" t="str">
        <x:v>Tidak Ada</x:v>
      </x:c>
      <x:c r="AB266" t="str">
        <x:v>Campus=55; Ratio=41.6; Prodi=45; RelDemand=66.8; Capacity=0.0</x:v>
      </x:c>
    </x:row>
    <x:row r="267">
      <x:c r="A267" t="n">
        <x:v>264</x:v>
      </x:c>
      <x:c r="B267" t="str">
        <x:v>PTN Akademik</x:v>
      </x:c>
      <x:c r="C267" t="str">
        <x:v>UNIVERSITAS NEGERI MEDAN</x:v>
      </x:c>
      <x:c r="D267" t="str">
        <x:v>PENDIDIKAN BAHASA INGGRIS</x:v>
      </x:c>
      <x:c r="E267" t="str">
        <x:v>Sarjana</x:v>
      </x:c>
      <x:c r="F267" s="18" t="n">
        <x:v>164</x:v>
      </x:c>
      <x:c r="G267" s="18" t="n">
        <x:v>704</x:v>
      </x:c>
      <x:c r="H267" s="19" t="n">
        <x:v>4.2926829268292686</x:v>
      </x:c>
      <x:c r="I267" s="18" t="n">
        <x:f>ROUND(MIN(Model_Config_v3!$B$6,MAX(Q267,R267,S267*Model_Config_v3!$B$4+T267*Model_Config_v3!$B$5)),0)</x:f>
        <x:v>629</x:v>
      </x:c>
      <x:c r="J267" s="18" t="n">
        <x:f>MIN(Model_Config_v3!$B$6,I267+Model_Config_v3!$B$7)</x:f>
        <x:v>649</x:v>
      </x:c>
      <x:c r="K267" s="20" t="n">
        <x:v>43.2</x:v>
      </x:c>
      <x:c r="L267" t="str">
        <x:v>RELATIF LONGGAR</x:v>
      </x:c>
      <x:c r="M267" t="str">
        <x:v>SEDANG+</x:v>
      </x:c>
      <x:c r="N267" t="str">
        <x:v>REGULER</x:v>
      </x:c>
      <x:c r="O267" t="str">
        <x:v>SOSHUM</x:v>
      </x:c>
      <x:c r="P267" t="str">
        <x:v>PENDIDIKAN</x:v>
      </x:c>
      <x:c r="Q267" s="18" t="n">
        <x:v>0</x:v>
      </x:c>
      <x:c r="R267" s="18" t="n">
        <x:v>0</x:v>
      </x:c>
      <x:c r="S267" s="18" t="n">
        <x:v>589.6001692203856</x:v>
      </x:c>
      <x:c r="T267" s="18" t="n">
        <x:v>646</x:v>
      </x:c>
      <x:c r="U267" s="18" t="n">
        <x:v>589.6001692203856</x:v>
      </x:c>
      <x:c r="V267" s="20" t="n">
        <x:v>4.4</x:v>
      </x:c>
      <x:c r="W267" s="20" t="n">
        <x:v>14.3</x:v>
      </x:c>
      <x:c r="X267" s="20" t="n">
        <x:v>3.3</x:v>
      </x:c>
      <x:c r="Y267" t="str">
        <x:v>Basis arsip 2025/2024</x:v>
      </x:c>
      <x:c r="Z267" t="str">
        <x:v>https://snpmb.id/utbk-snbt/daya-tampung-snbt</x:v>
      </x:c>
      <x:c r="AA267" t="str">
        <x:v>Tidak Ada</x:v>
      </x:c>
      <x:c r="AB267" t="str">
        <x:v>Campus=55; Ratio=37.2; Prodi=45; RelDemand=56.3; Capacity=0.0</x:v>
      </x:c>
    </x:row>
    <x:row r="268">
      <x:c r="A268" t="n">
        <x:v>265</x:v>
      </x:c>
      <x:c r="B268" t="str">
        <x:v>PTN Akademik</x:v>
      </x:c>
      <x:c r="C268" t="str">
        <x:v>UNIVERSITAS NEGERI MEDAN</x:v>
      </x:c>
      <x:c r="D268" t="str">
        <x:v>PENDIDIKAN BAHASA PERANCIS</x:v>
      </x:c>
      <x:c r="E268" t="str">
        <x:v>Sarjana</x:v>
      </x:c>
      <x:c r="F268" s="18" t="n">
        <x:v>85</x:v>
      </x:c>
      <x:c r="G268" s="18" t="n">
        <x:v>51</x:v>
      </x:c>
      <x:c r="H268" s="19" t="n">
        <x:v>0.6</x:v>
      </x:c>
      <x:c r="I268" s="18" t="n">
        <x:f>ROUND(MIN(Model_Config_v3!$B$6,MAX(Q268,R268,S268*Model_Config_v3!$B$4+T268*Model_Config_v3!$B$5)),0)</x:f>
        <x:v>593</x:v>
      </x:c>
      <x:c r="J268" s="18" t="n">
        <x:f>MIN(Model_Config_v3!$B$6,I268+Model_Config_v3!$B$7)</x:f>
        <x:v>613</x:v>
      </x:c>
      <x:c r="K268" s="20" t="n">
        <x:v>32</x:v>
      </x:c>
      <x:c r="L268" t="str">
        <x:v>RELATIF LONGGAR</x:v>
      </x:c>
      <x:c r="M268" t="str">
        <x:v>SEDANG+</x:v>
      </x:c>
      <x:c r="N268" t="str">
        <x:v>REGULER</x:v>
      </x:c>
      <x:c r="O268" t="str">
        <x:v>SOSHUM</x:v>
      </x:c>
      <x:c r="P268" t="str">
        <x:v>PENDIDIKAN</x:v>
      </x:c>
      <x:c r="Q268" s="18" t="n">
        <x:v>0</x:v>
      </x:c>
      <x:c r="R268" s="18" t="n">
        <x:v>0</x:v>
      </x:c>
      <x:c r="S268" s="18" t="n">
        <x:v>520</x:v>
      </x:c>
      <x:c r="T268" s="18" t="n">
        <x:v>624</x:v>
      </x:c>
      <x:c r="U268" s="18" t="n">
        <x:v>520</x:v>
      </x:c>
      <x:c r="V268" s="20" t="n">
        <x:v>4.4</x:v>
      </x:c>
      <x:c r="W268" s="20" t="n">
        <x:v>14.3</x:v>
      </x:c>
      <x:c r="X268" s="20" t="n">
        <x:v>3.3</x:v>
      </x:c>
      <x:c r="Y268" t="str">
        <x:v>Basis arsip 2025/2024</x:v>
      </x:c>
      <x:c r="Z268" t="str">
        <x:v>https://snpmb.id/utbk-snbt/daya-tampung-snbt</x:v>
      </x:c>
      <x:c r="AA268" t="str">
        <x:v>Tidak Ada</x:v>
      </x:c>
      <x:c r="AB268" t="str">
        <x:v>Campus=55; Ratio=0.0; Prodi=45; RelDemand=7.9; Capacity=29.2</x:v>
      </x:c>
    </x:row>
    <x:row r="269">
      <x:c r="A269" t="n">
        <x:v>266</x:v>
      </x:c>
      <x:c r="B269" t="str">
        <x:v>PTN Akademik</x:v>
      </x:c>
      <x:c r="C269" t="str">
        <x:v>UNIVERSITAS NEGERI MEDAN</x:v>
      </x:c>
      <x:c r="D269" t="str">
        <x:v>PENDIDIKAN BAHASA JERMAN</x:v>
      </x:c>
      <x:c r="E269" t="str">
        <x:v>Sarjana</x:v>
      </x:c>
      <x:c r="F269" s="18" t="n">
        <x:v>85</x:v>
      </x:c>
      <x:c r="G269" s="18" t="n">
        <x:v>70</x:v>
      </x:c>
      <x:c r="H269" s="19" t="n">
        <x:v>0.8235294117647058</x:v>
      </x:c>
      <x:c r="I269" s="18" t="n">
        <x:f>ROUND(MIN(Model_Config_v3!$B$6,MAX(Q269,R269,S269*Model_Config_v3!$B$4+T269*Model_Config_v3!$B$5)),0)</x:f>
        <x:v>593</x:v>
      </x:c>
      <x:c r="J269" s="18" t="n">
        <x:f>MIN(Model_Config_v3!$B$6,I269+Model_Config_v3!$B$7)</x:f>
        <x:v>613</x:v>
      </x:c>
      <x:c r="K269" s="20" t="n">
        <x:v>32.2</x:v>
      </x:c>
      <x:c r="L269" t="str">
        <x:v>RELATIF LONGGAR</x:v>
      </x:c>
      <x:c r="M269" t="str">
        <x:v>SEDANG+</x:v>
      </x:c>
      <x:c r="N269" t="str">
        <x:v>REGULER</x:v>
      </x:c>
      <x:c r="O269" t="str">
        <x:v>SOSHUM</x:v>
      </x:c>
      <x:c r="P269" t="str">
        <x:v>PENDIDIKAN</x:v>
      </x:c>
      <x:c r="Q269" s="18" t="n">
        <x:v>0</x:v>
      </x:c>
      <x:c r="R269" s="18" t="n">
        <x:v>0</x:v>
      </x:c>
      <x:c r="S269" s="18" t="n">
        <x:v>520</x:v>
      </x:c>
      <x:c r="T269" s="18" t="n">
        <x:v>624</x:v>
      </x:c>
      <x:c r="U269" s="18" t="n">
        <x:v>520</x:v>
      </x:c>
      <x:c r="V269" s="20" t="n">
        <x:v>4.4</x:v>
      </x:c>
      <x:c r="W269" s="20" t="n">
        <x:v>14.3</x:v>
      </x:c>
      <x:c r="X269" s="20" t="n">
        <x:v>3.3</x:v>
      </x:c>
      <x:c r="Y269" t="str">
        <x:v>Basis arsip 2025/2024</x:v>
      </x:c>
      <x:c r="Z269" t="str">
        <x:v>https://snpmb.id/utbk-snbt/daya-tampung-snbt</x:v>
      </x:c>
      <x:c r="AA269" t="str">
        <x:v>Tidak Ada</x:v>
      </x:c>
      <x:c r="AB269" t="str">
        <x:v>Campus=55; Ratio=0.0; Prodi=45; RelDemand=10.8; Capacity=29.2</x:v>
      </x:c>
    </x:row>
    <x:row r="270">
      <x:c r="A270" t="n">
        <x:v>267</x:v>
      </x:c>
      <x:c r="B270" t="str">
        <x:v>PTN Akademik</x:v>
      </x:c>
      <x:c r="C270" t="str">
        <x:v>UNIVERSITAS NEGERI MEDAN</x:v>
      </x:c>
      <x:c r="D270" t="str">
        <x:v>PENDIDIKAN SENI RUPA</x:v>
      </x:c>
      <x:c r="E270" t="str">
        <x:v>Sarjana</x:v>
      </x:c>
      <x:c r="F270" s="18" t="n">
        <x:v>79</x:v>
      </x:c>
      <x:c r="G270" s="18" t="n">
        <x:v>57</x:v>
      </x:c>
      <x:c r="H270" s="19" t="n">
        <x:v>0.7215189873417721</x:v>
      </x:c>
      <x:c r="I270" s="18" t="n">
        <x:f>ROUND(MIN(Model_Config_v3!$B$6,MAX(Q270,R270,S270*Model_Config_v3!$B$4+T270*Model_Config_v3!$B$5)),0)</x:f>
        <x:v>594</x:v>
      </x:c>
      <x:c r="J270" s="18" t="n">
        <x:f>MIN(Model_Config_v3!$B$6,I270+Model_Config_v3!$B$7)</x:f>
        <x:v>614</x:v>
      </x:c>
      <x:c r="K270" s="20" t="n">
        <x:v>32.6</x:v>
      </x:c>
      <x:c r="L270" t="str">
        <x:v>RELATIF LONGGAR</x:v>
      </x:c>
      <x:c r="M270" t="str">
        <x:v>PORTOFOLIO</x:v>
      </x:c>
      <x:c r="N270" t="str">
        <x:v>REGULER</x:v>
      </x:c>
      <x:c r="O270" t="str">
        <x:v>SENI/OLAHRAGA</x:v>
      </x:c>
      <x:c r="P270" t="str">
        <x:v>SENI/OLAHRAGA</x:v>
      </x:c>
      <x:c r="Q270" s="18" t="n">
        <x:v>0</x:v>
      </x:c>
      <x:c r="R270" s="18" t="n">
        <x:v>0</x:v>
      </x:c>
      <x:c r="S270" s="18" t="n">
        <x:v>520</x:v>
      </x:c>
      <x:c r="T270" s="18" t="n">
        <x:v>625</x:v>
      </x:c>
      <x:c r="U270" s="18" t="n">
        <x:v>520</x:v>
      </x:c>
      <x:c r="V270" s="20" t="n">
        <x:v>4.4</x:v>
      </x:c>
      <x:c r="W270" s="20" t="n">
        <x:v>9.9</x:v>
      </x:c>
      <x:c r="X270" s="20" t="n">
        <x:v>7.7</x:v>
      </x:c>
      <x:c r="Y270" t="str">
        <x:v>Basis arsip 2025/2024</x:v>
      </x:c>
      <x:c r="Z270" t="str">
        <x:v>https://snpmb.id/utbk-snbt/daya-tampung-snbt</x:v>
      </x:c>
      <x:c r="AA270" t="str">
        <x:v>Seni Rupa, Desain, dan Kriya</x:v>
      </x:c>
      <x:c r="AB270" t="str">
        <x:v>Campus=55; Ratio=0.0; Prodi=45; RelDemand=9.5; Capacity=34.2</x:v>
      </x:c>
    </x:row>
    <x:row r="271">
      <x:c r="A271" t="n">
        <x:v>268</x:v>
      </x:c>
      <x:c r="B271" t="str">
        <x:v>PTN Akademik</x:v>
      </x:c>
      <x:c r="C271" t="str">
        <x:v>UNIVERSITAS NEGERI MEDAN</x:v>
      </x:c>
      <x:c r="D271" t="str">
        <x:v>SASTRA INDONESIA</x:v>
      </x:c>
      <x:c r="E271" t="str">
        <x:v>Sarjana</x:v>
      </x:c>
      <x:c r="F271" s="18" t="n">
        <x:v>95</x:v>
      </x:c>
      <x:c r="G271" s="18" t="n">
        <x:v>152</x:v>
      </x:c>
      <x:c r="H271" s="19" t="n">
        <x:v>1.6</x:v>
      </x:c>
      <x:c r="I271" s="18" t="n">
        <x:f>ROUND(MIN(Model_Config_v3!$B$6,MAX(Q271,R271,S271*Model_Config_v3!$B$4+T271*Model_Config_v3!$B$5)),0)</x:f>
        <x:v>603</x:v>
      </x:c>
      <x:c r="J271" s="18" t="n">
        <x:f>MIN(Model_Config_v3!$B$6,I271+Model_Config_v3!$B$7)</x:f>
        <x:v>623</x:v>
      </x:c>
      <x:c r="K271" s="20" t="n">
        <x:v>34.4</x:v>
      </x:c>
      <x:c r="L271" t="str">
        <x:v>RELATIF LONGGAR</x:v>
      </x:c>
      <x:c r="M271" t="str">
        <x:v>SEDANG</x:v>
      </x:c>
      <x:c r="N271" t="str">
        <x:v>REGULER</x:v>
      </x:c>
      <x:c r="O271" t="str">
        <x:v>SOSHUM</x:v>
      </x:c>
      <x:c r="P271" t="str">
        <x:v>UMUM</x:v>
      </x:c>
      <x:c r="Q271" s="18" t="n">
        <x:v>0</x:v>
      </x:c>
      <x:c r="R271" s="18" t="n">
        <x:v>0</x:v>
      </x:c>
      <x:c r="S271" s="18" t="n">
        <x:v>542.4531980921518</x:v>
      </x:c>
      <x:c r="T271" s="18" t="n">
        <x:v>629</x:v>
      </x:c>
      <x:c r="U271" s="18" t="n">
        <x:v>542.4531980921518</x:v>
      </x:c>
      <x:c r="V271" s="20" t="n">
        <x:v>4.4</x:v>
      </x:c>
      <x:c r="W271" s="20" t="n">
        <x:v>14.3</x:v>
      </x:c>
      <x:c r="X271" s="20" t="n">
        <x:v>3.3</x:v>
      </x:c>
      <x:c r="Y271" t="str">
        <x:v>Basis arsip 2025/2024</x:v>
      </x:c>
      <x:c r="Z271" t="str">
        <x:v>https://snpmb.id/utbk-snbt/daya-tampung-snbt</x:v>
      </x:c>
      <x:c r="AA271" t="str">
        <x:v>Tidak Ada</x:v>
      </x:c>
      <x:c r="AB271" t="str">
        <x:v>Campus=55; Ratio=12.0; Prodi=40; RelDemand=21.0; Capacity=20.8</x:v>
      </x:c>
    </x:row>
    <x:row r="272">
      <x:c r="A272" t="n">
        <x:v>269</x:v>
      </x:c>
      <x:c r="B272" t="str">
        <x:v>PTN Akademik</x:v>
      </x:c>
      <x:c r="C272" t="str">
        <x:v>UNIVERSITAS NEGERI MEDAN</x:v>
      </x:c>
      <x:c r="D272" t="str">
        <x:v>SASTRA INGGRIS</x:v>
      </x:c>
      <x:c r="E272" t="str">
        <x:v>Sarjana</x:v>
      </x:c>
      <x:c r="F272" s="18" t="n">
        <x:v>95</x:v>
      </x:c>
      <x:c r="G272" s="18" t="n">
        <x:v>365</x:v>
      </x:c>
      <x:c r="H272" s="19" t="n">
        <x:v>3.8421052631578947</x:v>
      </x:c>
      <x:c r="I272" s="18" t="n">
        <x:f>ROUND(MIN(Model_Config_v3!$B$6,MAX(Q272,R272,S272*Model_Config_v3!$B$4+T272*Model_Config_v3!$B$5)),0)</x:f>
        <x:v>627</x:v>
      </x:c>
      <x:c r="J272" s="18" t="n">
        <x:f>MIN(Model_Config_v3!$B$6,I272+Model_Config_v3!$B$7)</x:f>
        <x:v>647</x:v>
      </x:c>
      <x:c r="K272" s="20" t="n">
        <x:v>43</x:v>
      </x:c>
      <x:c r="L272" t="str">
        <x:v>RELATIF LONGGAR</x:v>
      </x:c>
      <x:c r="M272" t="str">
        <x:v>SEDANG</x:v>
      </x:c>
      <x:c r="N272" t="str">
        <x:v>REGULER</x:v>
      </x:c>
      <x:c r="O272" t="str">
        <x:v>SOSHUM</x:v>
      </x:c>
      <x:c r="P272" t="str">
        <x:v>UMUM</x:v>
      </x:c>
      <x:c r="Q272" s="18" t="n">
        <x:v>0</x:v>
      </x:c>
      <x:c r="R272" s="18" t="n">
        <x:v>0</x:v>
      </x:c>
      <x:c r="S272" s="18" t="n">
        <x:v>584.302618508439</x:v>
      </x:c>
      <x:c r="T272" s="18" t="n">
        <x:v>646</x:v>
      </x:c>
      <x:c r="U272" s="18" t="n">
        <x:v>584.302618508439</x:v>
      </x:c>
      <x:c r="V272" s="20" t="n">
        <x:v>4.4</x:v>
      </x:c>
      <x:c r="W272" s="20" t="n">
        <x:v>14.3</x:v>
      </x:c>
      <x:c r="X272" s="20" t="n">
        <x:v>3.3</x:v>
      </x:c>
      <x:c r="Y272" t="str">
        <x:v>Basis arsip 2025/2024</x:v>
      </x:c>
      <x:c r="Z272" t="str">
        <x:v>https://snpmb.id/utbk-snbt/daya-tampung-snbt</x:v>
      </x:c>
      <x:c r="AA272" t="str">
        <x:v>Tidak Ada</x:v>
      </x:c>
      <x:c r="AB272" t="str">
        <x:v>Campus=55; Ratio=34.4; Prodi=40; RelDemand=50.4; Capacity=20.8</x:v>
      </x:c>
    </x:row>
    <x:row r="273">
      <x:c r="A273" t="n">
        <x:v>270</x:v>
      </x:c>
      <x:c r="B273" t="str">
        <x:v>PTN Akademik</x:v>
      </x:c>
      <x:c r="C273" t="str">
        <x:v>UNIVERSITAS NEGERI MEDAN</x:v>
      </x:c>
      <x:c r="D273" t="str">
        <x:v>PENDIDIKAN GURU SEKOLAH DASAR (PGSD)</x:v>
      </x:c>
      <x:c r="E273" t="str">
        <x:v>Sarjana</x:v>
      </x:c>
      <x:c r="F273" s="18" t="n">
        <x:v>280</x:v>
      </x:c>
      <x:c r="G273" s="18" t="n">
        <x:v>2610</x:v>
      </x:c>
      <x:c r="H273" s="19" t="n">
        <x:v>9.321428571428571</x:v>
      </x:c>
      <x:c r="I273" s="18" t="n">
        <x:f>ROUND(MIN(Model_Config_v3!$B$6,MAX(Q273,R273,S273*Model_Config_v3!$B$4+T273*Model_Config_v3!$B$5)),0)</x:f>
        <x:v>653</x:v>
      </x:c>
      <x:c r="J273" s="18" t="n">
        <x:f>MIN(Model_Config_v3!$B$6,I273+Model_Config_v3!$B$7)</x:f>
        <x:v>673</x:v>
      </x:c>
      <x:c r="K273" s="20" t="n">
        <x:v>52.5</x:v>
      </x:c>
      <x:c r="L273" t="str">
        <x:v>MENENGAH</x:v>
      </x:c>
      <x:c r="M273" t="str">
        <x:v>SEDANG+</x:v>
      </x:c>
      <x:c r="N273" t="str">
        <x:v>REGULER</x:v>
      </x:c>
      <x:c r="O273" t="str">
        <x:v>CAMPURAN</x:v>
      </x:c>
      <x:c r="P273" t="str">
        <x:v>PENDIDIKAN</x:v>
      </x:c>
      <x:c r="Q273" s="18" t="n">
        <x:v>0</x:v>
      </x:c>
      <x:c r="R273" s="18" t="n">
        <x:v>0</x:v>
      </x:c>
      <x:c r="S273" s="18" t="n">
        <x:v>626.6430723595668</x:v>
      </x:c>
      <x:c r="T273" s="18" t="n">
        <x:v>665</x:v>
      </x:c>
      <x:c r="U273" s="18" t="n">
        <x:v>626.6430723595668</x:v>
      </x:c>
      <x:c r="V273" s="20" t="n">
        <x:v>8.8</x:v>
      </x:c>
      <x:c r="W273" s="20" t="n">
        <x:v>9.9</x:v>
      </x:c>
      <x:c r="X273" s="20" t="n">
        <x:v>3.3</x:v>
      </x:c>
      <x:c r="Y273" t="str">
        <x:v>Basis arsip 2025/2024</x:v>
      </x:c>
      <x:c r="Z273" t="str">
        <x:v>https://snpmb.id/utbk-snbt/daya-tampung-snbt</x:v>
      </x:c>
      <x:c r="AA273" t="str">
        <x:v>Tidak Ada</x:v>
      </x:c>
      <x:c r="AB273" t="str">
        <x:v>Campus=55; Ratio=57.1; Prodi=45; RelDemand=100.0; Capacity=0.0</x:v>
      </x:c>
    </x:row>
    <x:row r="274">
      <x:c r="A274" t="n">
        <x:v>271</x:v>
      </x:c>
      <x:c r="B274" t="str">
        <x:v>PTN Akademik</x:v>
      </x:c>
      <x:c r="C274" t="str">
        <x:v>UNIVERSITAS NEGERI MEDAN</x:v>
      </x:c>
      <x:c r="D274" t="str">
        <x:v>PENDIDIKAN TATA BOGA</x:v>
      </x:c>
      <x:c r="E274" t="str">
        <x:v>Sarjana</x:v>
      </x:c>
      <x:c r="F274" s="18" t="n">
        <x:v>84</x:v>
      </x:c>
      <x:c r="G274" s="18" t="n">
        <x:v>422</x:v>
      </x:c>
      <x:c r="H274" s="19" t="n">
        <x:v>5.023809523809524</x:v>
      </x:c>
      <x:c r="I274" s="18" t="n">
        <x:f>ROUND(MIN(Model_Config_v3!$B$6,MAX(Q274,R274,S274*Model_Config_v3!$B$4+T274*Model_Config_v3!$B$5)),0)</x:f>
        <x:v>638</x:v>
      </x:c>
      <x:c r="J274" s="18" t="n">
        <x:f>MIN(Model_Config_v3!$B$6,I274+Model_Config_v3!$B$7)</x:f>
        <x:v>658</x:v>
      </x:c>
      <x:c r="K274" s="20" t="n">
        <x:v>48.2</x:v>
      </x:c>
      <x:c r="L274" t="str">
        <x:v>MENENGAH</x:v>
      </x:c>
      <x:c r="M274" t="str">
        <x:v>SEDANG+</x:v>
      </x:c>
      <x:c r="N274" t="str">
        <x:v>REGULER</x:v>
      </x:c>
      <x:c r="O274" t="str">
        <x:v>CAMPURAN</x:v>
      </x:c>
      <x:c r="P274" t="str">
        <x:v>PENDIDIKAN</x:v>
      </x:c>
      <x:c r="Q274" s="18" t="n">
        <x:v>0</x:v>
      </x:c>
      <x:c r="R274" s="18" t="n">
        <x:v>0</x:v>
      </x:c>
      <x:c r="S274" s="18" t="n">
        <x:v>597.1136481389772</x:v>
      </x:c>
      <x:c r="T274" s="18" t="n">
        <x:v>656</x:v>
      </x:c>
      <x:c r="U274" s="18" t="n">
        <x:v>597.1136481389772</x:v>
      </x:c>
      <x:c r="V274" s="20" t="n">
        <x:v>8.8</x:v>
      </x:c>
      <x:c r="W274" s="20" t="n">
        <x:v>9.9</x:v>
      </x:c>
      <x:c r="X274" s="20" t="n">
        <x:v>3.3</x:v>
      </x:c>
      <x:c r="Y274" t="str">
        <x:v>Basis arsip 2025/2024</x:v>
      </x:c>
      <x:c r="Z274" t="str">
        <x:v>https://snpmb.id/utbk-snbt/daya-tampung-snbt</x:v>
      </x:c>
      <x:c r="AA274" t="str">
        <x:v>Tidak Ada</x:v>
      </x:c>
      <x:c r="AB274" t="str">
        <x:v>Campus=55; Ratio=41.3; Prodi=45; RelDemand=65.9; Capacity=30.0</x:v>
      </x:c>
    </x:row>
    <x:row r="275">
      <x:c r="A275" t="n">
        <x:v>272</x:v>
      </x:c>
      <x:c r="B275" t="str">
        <x:v>PTN Akademik</x:v>
      </x:c>
      <x:c r="C275" t="str">
        <x:v>UNIVERSITAS NEGERI MEDAN</x:v>
      </x:c>
      <x:c r="D275" t="str">
        <x:v>PENDIDIKAN TATA RIAS</x:v>
      </x:c>
      <x:c r="E275" t="str">
        <x:v>Sarjana</x:v>
      </x:c>
      <x:c r="F275" s="18" t="n">
        <x:v>95</x:v>
      </x:c>
      <x:c r="G275" s="18" t="n">
        <x:v>374</x:v>
      </x:c>
      <x:c r="H275" s="19" t="n">
        <x:v>3.9368421052631577</x:v>
      </x:c>
      <x:c r="I275" s="18" t="n">
        <x:f>ROUND(MIN(Model_Config_v3!$B$6,MAX(Q275,R275,S275*Model_Config_v3!$B$4+T275*Model_Config_v3!$B$5)),0)</x:f>
        <x:v>630</x:v>
      </x:c>
      <x:c r="J275" s="18" t="n">
        <x:f>MIN(Model_Config_v3!$B$6,I275+Model_Config_v3!$B$7)</x:f>
        <x:v>650</x:v>
      </x:c>
      <x:c r="K275" s="20" t="n">
        <x:v>44.3</x:v>
      </x:c>
      <x:c r="L275" t="str">
        <x:v>RELATIF LONGGAR</x:v>
      </x:c>
      <x:c r="M275" t="str">
        <x:v>SEDANG+</x:v>
      </x:c>
      <x:c r="N275" t="str">
        <x:v>REGULER</x:v>
      </x:c>
      <x:c r="O275" t="str">
        <x:v>CAMPURAN</x:v>
      </x:c>
      <x:c r="P275" t="str">
        <x:v>PENDIDIKAN</x:v>
      </x:c>
      <x:c r="Q275" s="18" t="n">
        <x:v>0</x:v>
      </x:c>
      <x:c r="R275" s="18" t="n">
        <x:v>0</x:v>
      </x:c>
      <x:c r="S275" s="18" t="n">
        <x:v>585.4662796602795</x:v>
      </x:c>
      <x:c r="T275" s="18" t="n">
        <x:v>649</x:v>
      </x:c>
      <x:c r="U275" s="18" t="n">
        <x:v>585.4662796602795</x:v>
      </x:c>
      <x:c r="V275" s="20" t="n">
        <x:v>8.8</x:v>
      </x:c>
      <x:c r="W275" s="20" t="n">
        <x:v>9.9</x:v>
      </x:c>
      <x:c r="X275" s="20" t="n">
        <x:v>3.3</x:v>
      </x:c>
      <x:c r="Y275" t="str">
        <x:v>Basis arsip 2025/2024</x:v>
      </x:c>
      <x:c r="Z275" t="str">
        <x:v>https://snpmb.id/utbk-snbt/daya-tampung-snbt</x:v>
      </x:c>
      <x:c r="AA275" t="str">
        <x:v>Tidak Ada</x:v>
      </x:c>
      <x:c r="AB275" t="str">
        <x:v>Campus=55; Ratio=35.0; Prodi=45; RelDemand=51.7; Capacity=20.8</x:v>
      </x:c>
    </x:row>
    <x:row r="276">
      <x:c r="A276" t="n">
        <x:v>273</x:v>
      </x:c>
      <x:c r="B276" t="str">
        <x:v>PTN Akademik</x:v>
      </x:c>
      <x:c r="C276" t="str">
        <x:v>UNIVERSITAS NEGERI MEDAN</x:v>
      </x:c>
      <x:c r="D276" t="str">
        <x:v>PENDIDIKAN ANTROPOLOGI</x:v>
      </x:c>
      <x:c r="E276" t="str">
        <x:v>Sarjana</x:v>
      </x:c>
      <x:c r="F276" s="18" t="n">
        <x:v>115</x:v>
      </x:c>
      <x:c r="G276" s="18" t="n">
        <x:v>244</x:v>
      </x:c>
      <x:c r="H276" s="19" t="n">
        <x:v>2.121739130434783</x:v>
      </x:c>
      <x:c r="I276" s="18" t="n">
        <x:f>ROUND(MIN(Model_Config_v3!$B$6,MAX(Q276,R276,S276*Model_Config_v3!$B$4+T276*Model_Config_v3!$B$5)),0)</x:f>
        <x:v>610</x:v>
      </x:c>
      <x:c r="J276" s="18" t="n">
        <x:f>MIN(Model_Config_v3!$B$6,I276+Model_Config_v3!$B$7)</x:f>
        <x:v>630</x:v>
      </x:c>
      <x:c r="K276" s="20" t="n">
        <x:v>36.3</x:v>
      </x:c>
      <x:c r="L276" t="str">
        <x:v>RELATIF LONGGAR</x:v>
      </x:c>
      <x:c r="M276" t="str">
        <x:v>SEDANG+</x:v>
      </x:c>
      <x:c r="N276" t="str">
        <x:v>REGULER</x:v>
      </x:c>
      <x:c r="O276" t="str">
        <x:v>SOSHUM</x:v>
      </x:c>
      <x:c r="P276" t="str">
        <x:v>PENDIDIKAN</x:v>
      </x:c>
      <x:c r="Q276" s="18" t="n">
        <x:v>0</x:v>
      </x:c>
      <x:c r="R276" s="18" t="n">
        <x:v>0</x:v>
      </x:c>
      <x:c r="S276" s="18" t="n">
        <x:v>555.9361184583629</x:v>
      </x:c>
      <x:c r="T276" s="18" t="n">
        <x:v>633</x:v>
      </x:c>
      <x:c r="U276" s="18" t="n">
        <x:v>555.9361184583629</x:v>
      </x:c>
      <x:c r="V276" s="20" t="n">
        <x:v>4.4</x:v>
      </x:c>
      <x:c r="W276" s="20" t="n">
        <x:v>14.3</x:v>
      </x:c>
      <x:c r="X276" s="20" t="n">
        <x:v>3.3</x:v>
      </x:c>
      <x:c r="Y276" t="str">
        <x:v>Basis arsip 2025/2024</x:v>
      </x:c>
      <x:c r="Z276" t="str">
        <x:v>https://snpmb.id/utbk-snbt/daya-tampung-snbt</x:v>
      </x:c>
      <x:c r="AA276" t="str">
        <x:v>Tidak Ada</x:v>
      </x:c>
      <x:c r="AB276" t="str">
        <x:v>Campus=55; Ratio=19.2; Prodi=45; RelDemand=27.8; Capacity=4.2</x:v>
      </x:c>
    </x:row>
    <x:row r="277">
      <x:c r="A277" t="n">
        <x:v>274</x:v>
      </x:c>
      <x:c r="B277" t="str">
        <x:v>PTN Akademik</x:v>
      </x:c>
      <x:c r="C277" t="str">
        <x:v>UNIVERSITAS NEGERI MEDAN</x:v>
      </x:c>
      <x:c r="D277" t="str">
        <x:v>PEND. GURU PENDIDIKAN ANAK USIA DINI</x:v>
      </x:c>
      <x:c r="E277" t="str">
        <x:v>Sarjana</x:v>
      </x:c>
      <x:c r="F277" s="18" t="n">
        <x:v>138</x:v>
      </x:c>
      <x:c r="G277" s="18" t="n">
        <x:v>359</x:v>
      </x:c>
      <x:c r="H277" s="19" t="n">
        <x:v>2.601449275362319</x:v>
      </x:c>
      <x:c r="I277" s="18" t="n">
        <x:f>ROUND(MIN(Model_Config_v3!$B$6,MAX(Q277,R277,S277*Model_Config_v3!$B$4+T277*Model_Config_v3!$B$5)),0)</x:f>
        <x:v>615</x:v>
      </x:c>
      <x:c r="J277" s="18" t="n">
        <x:f>MIN(Model_Config_v3!$B$6,I277+Model_Config_v3!$B$7)</x:f>
        <x:v>635</x:v>
      </x:c>
      <x:c r="K277" s="20" t="n">
        <x:v>37.8</x:v>
      </x:c>
      <x:c r="L277" t="str">
        <x:v>RELATIF LONGGAR</x:v>
      </x:c>
      <x:c r="M277" t="str">
        <x:v>SEDANG+</x:v>
      </x:c>
      <x:c r="N277" t="str">
        <x:v>REGULER</x:v>
      </x:c>
      <x:c r="O277" t="str">
        <x:v>CAMPURAN</x:v>
      </x:c>
      <x:c r="P277" t="str">
        <x:v>PENDIDIKAN</x:v>
      </x:c>
      <x:c r="Q277" s="18" t="n">
        <x:v>0</x:v>
      </x:c>
      <x:c r="R277" s="18" t="n">
        <x:v>0</x:v>
      </x:c>
      <x:c r="S277" s="18" t="n">
        <x:v>565.673689839479</x:v>
      </x:c>
      <x:c r="T277" s="18" t="n">
        <x:v>636</x:v>
      </x:c>
      <x:c r="U277" s="18" t="n">
        <x:v>565.673689839479</x:v>
      </x:c>
      <x:c r="V277" s="20" t="n">
        <x:v>8.8</x:v>
      </x:c>
      <x:c r="W277" s="20" t="n">
        <x:v>9.9</x:v>
      </x:c>
      <x:c r="X277" s="20" t="n">
        <x:v>3.3</x:v>
      </x:c>
      <x:c r="Y277" t="str">
        <x:v>Basis arsip 2025/2024</x:v>
      </x:c>
      <x:c r="Z277" t="str">
        <x:v>https://snpmb.id/utbk-snbt/daya-tampung-snbt</x:v>
      </x:c>
      <x:c r="AA277" t="str">
        <x:v>Tidak Ada</x:v>
      </x:c>
      <x:c r="AB277" t="str">
        <x:v>Campus=55; Ratio=24.4; Prodi=45; RelDemand=34.1; Capacity=0.0</x:v>
      </x:c>
    </x:row>
    <x:row r="278">
      <x:c r="A278" t="n">
        <x:v>275</x:v>
      </x:c>
      <x:c r="B278" t="str">
        <x:v>PTN Akademik</x:v>
      </x:c>
      <x:c r="C278" t="str">
        <x:v>UNIVERSITAS NEGERI MEDAN</x:v>
      </x:c>
      <x:c r="D278" t="str">
        <x:v>PENDIDIKAN BIMBINGAN DAN KONSELING</x:v>
      </x:c>
      <x:c r="E278" t="str">
        <x:v>Sarjana</x:v>
      </x:c>
      <x:c r="F278" s="18" t="n">
        <x:v>138</x:v>
      </x:c>
      <x:c r="G278" s="18" t="n">
        <x:v>863</x:v>
      </x:c>
      <x:c r="H278" s="19" t="n">
        <x:v>6.253623188405797</x:v>
      </x:c>
      <x:c r="I278" s="18" t="n">
        <x:f>ROUND(MIN(Model_Config_v3!$B$6,MAX(Q278,R278,S278*Model_Config_v3!$B$4+T278*Model_Config_v3!$B$5)),0)</x:f>
        <x:v>641</x:v>
      </x:c>
      <x:c r="J278" s="18" t="n">
        <x:f>MIN(Model_Config_v3!$B$6,I278+Model_Config_v3!$B$7)</x:f>
        <x:v>661</x:v>
      </x:c>
      <x:c r="K278" s="20" t="n">
        <x:v>48.2</x:v>
      </x:c>
      <x:c r="L278" t="str">
        <x:v>MENENGAH</x:v>
      </x:c>
      <x:c r="M278" t="str">
        <x:v>SEDANG+</x:v>
      </x:c>
      <x:c r="N278" t="str">
        <x:v>REGULER</x:v>
      </x:c>
      <x:c r="O278" t="str">
        <x:v>CAMPURAN</x:v>
      </x:c>
      <x:c r="P278" t="str">
        <x:v>PENDIDIKAN</x:v>
      </x:c>
      <x:c r="Q278" s="18" t="n">
        <x:v>0</x:v>
      </x:c>
      <x:c r="R278" s="18" t="n">
        <x:v>0</x:v>
      </x:c>
      <x:c r="S278" s="18" t="n">
        <x:v>607.574488024537</x:v>
      </x:c>
      <x:c r="T278" s="18" t="n">
        <x:v>656</x:v>
      </x:c>
      <x:c r="U278" s="18" t="n">
        <x:v>607.574488024537</x:v>
      </x:c>
      <x:c r="V278" s="20" t="n">
        <x:v>8.8</x:v>
      </x:c>
      <x:c r="W278" s="20" t="n">
        <x:v>9.9</x:v>
      </x:c>
      <x:c r="X278" s="20" t="n">
        <x:v>3.3</x:v>
      </x:c>
      <x:c r="Y278" t="str">
        <x:v>Basis arsip 2025/2024</x:v>
      </x:c>
      <x:c r="Z278" t="str">
        <x:v>https://snpmb.id/utbk-snbt/daya-tampung-snbt</x:v>
      </x:c>
      <x:c r="AA278" t="str">
        <x:v>Tidak Ada</x:v>
      </x:c>
      <x:c r="AB278" t="str">
        <x:v>Campus=55; Ratio=46.9; Prodi=45; RelDemand=82.1; Capacity=0.0</x:v>
      </x:c>
    </x:row>
    <x:row r="279">
      <x:c r="A279" t="n">
        <x:v>276</x:v>
      </x:c>
      <x:c r="B279" t="str">
        <x:v>PTN Akademik</x:v>
      </x:c>
      <x:c r="C279" t="str">
        <x:v>UNIVERSITAS NEGERI MEDAN</x:v>
      </x:c>
      <x:c r="D279" t="str">
        <x:v>PENDIDIKAN AKUNTANSI</x:v>
      </x:c>
      <x:c r="E279" t="str">
        <x:v>Sarjana</x:v>
      </x:c>
      <x:c r="F279" s="18" t="n">
        <x:v>70</x:v>
      </x:c>
      <x:c r="G279" s="18" t="n">
        <x:v>175</x:v>
      </x:c>
      <x:c r="H279" s="19" t="n">
        <x:v>2.5</x:v>
      </x:c>
      <x:c r="I279" s="18" t="n">
        <x:f>ROUND(MIN(Model_Config_v3!$B$6,MAX(Q279,R279,S279*Model_Config_v3!$B$4+T279*Model_Config_v3!$B$5)),0)</x:f>
        <x:v>625</x:v>
      </x:c>
      <x:c r="J279" s="18" t="n">
        <x:f>MIN(Model_Config_v3!$B$6,I279+Model_Config_v3!$B$7)</x:f>
        <x:v>645</x:v>
      </x:c>
      <x:c r="K279" s="20" t="n">
        <x:v>45.6</x:v>
      </x:c>
      <x:c r="L279" t="str">
        <x:v>MENENGAH</x:v>
      </x:c>
      <x:c r="M279" t="str">
        <x:v>SEDANG+</x:v>
      </x:c>
      <x:c r="N279" t="str">
        <x:v>REGULER</x:v>
      </x:c>
      <x:c r="O279" t="str">
        <x:v>SOSHUM</x:v>
      </x:c>
      <x:c r="P279" t="str">
        <x:v>BISNIS/EKONOMI/AKUNTANSI</x:v>
      </x:c>
      <x:c r="Q279" s="18" t="n">
        <x:v>0</x:v>
      </x:c>
      <x:c r="R279" s="18" t="n">
        <x:v>0</x:v>
      </x:c>
      <x:c r="S279" s="18" t="n">
        <x:v>563.7734009539241</x:v>
      </x:c>
      <x:c r="T279" s="18" t="n">
        <x:v>651</x:v>
      </x:c>
      <x:c r="U279" s="18" t="n">
        <x:v>563.7734009539241</x:v>
      </x:c>
      <x:c r="V279" s="20" t="n">
        <x:v>4.4</x:v>
      </x:c>
      <x:c r="W279" s="20" t="n">
        <x:v>14.3</x:v>
      </x:c>
      <x:c r="X279" s="20" t="n">
        <x:v>3.3</x:v>
      </x:c>
      <x:c r="Y279" t="str">
        <x:v>Basis arsip 2025/2024</x:v>
      </x:c>
      <x:c r="Z279" t="str">
        <x:v>https://snpmb.id/utbk-snbt/daya-tampung-snbt</x:v>
      </x:c>
      <x:c r="AA279" t="str">
        <x:v>Tidak Ada</x:v>
      </x:c>
      <x:c r="AB279" t="str">
        <x:v>Campus=55; Ratio=23.4; Prodi=65; RelDemand=32.8; Capacity=41.7</x:v>
      </x:c>
    </x:row>
    <x:row r="280">
      <x:c r="A280" t="n">
        <x:v>277</x:v>
      </x:c>
      <x:c r="B280" t="str">
        <x:v>PTN Akademik</x:v>
      </x:c>
      <x:c r="C280" t="str">
        <x:v>UNIVERSITAS NEGERI MEDAN</x:v>
      </x:c>
      <x:c r="D280" t="str">
        <x:v>PENDIDIKAN ADMINISTRASI PERKANTORAN</x:v>
      </x:c>
      <x:c r="E280" t="str">
        <x:v>Sarjana</x:v>
      </x:c>
      <x:c r="F280" s="18" t="n">
        <x:v>70</x:v>
      </x:c>
      <x:c r="G280" s="18" t="n">
        <x:v>405</x:v>
      </x:c>
      <x:c r="H280" s="19" t="n">
        <x:v>5.785714285714286</x:v>
      </x:c>
      <x:c r="I280" s="18" t="n">
        <x:f>ROUND(MIN(Model_Config_v3!$B$6,MAX(Q280,R280,S280*Model_Config_v3!$B$4+T280*Model_Config_v3!$B$5)),0)</x:f>
        <x:v>645</x:v>
      </x:c>
      <x:c r="J280" s="18" t="n">
        <x:f>MIN(Model_Config_v3!$B$6,I280+Model_Config_v3!$B$7)</x:f>
        <x:v>665</x:v>
      </x:c>
      <x:c r="K280" s="20" t="n">
        <x:v>51.2</x:v>
      </x:c>
      <x:c r="L280" t="str">
        <x:v>MENENGAH</x:v>
      </x:c>
      <x:c r="M280" t="str">
        <x:v>SEDANG+</x:v>
      </x:c>
      <x:c r="N280" t="str">
        <x:v>REGULER</x:v>
      </x:c>
      <x:c r="O280" t="str">
        <x:v>SOSHUM</x:v>
      </x:c>
      <x:c r="P280" t="str">
        <x:v>PENDIDIKAN</x:v>
      </x:c>
      <x:c r="Q280" s="18" t="n">
        <x:v>0</x:v>
      </x:c>
      <x:c r="R280" s="18" t="n">
        <x:v>0</x:v>
      </x:c>
      <x:c r="S280" s="18" t="n">
        <x:v>603.8592681520453</x:v>
      </x:c>
      <x:c r="T280" s="18" t="n">
        <x:v>662</x:v>
      </x:c>
      <x:c r="U280" s="18" t="n">
        <x:v>603.8592681520453</x:v>
      </x:c>
      <x:c r="V280" s="20" t="n">
        <x:v>4.4</x:v>
      </x:c>
      <x:c r="W280" s="20" t="n">
        <x:v>14.3</x:v>
      </x:c>
      <x:c r="X280" s="20" t="n">
        <x:v>3.3</x:v>
      </x:c>
      <x:c r="Y280" t="str">
        <x:v>Basis arsip 2025/2024</x:v>
      </x:c>
      <x:c r="Z280" t="str">
        <x:v>https://snpmb.id/utbk-snbt/daya-tampung-snbt</x:v>
      </x:c>
      <x:c r="AA280" t="str">
        <x:v>Tidak Ada</x:v>
      </x:c>
      <x:c r="AB280" t="str">
        <x:v>Campus=55; Ratio=44.9; Prodi=45; RelDemand=75.9; Capacity=41.7</x:v>
      </x:c>
    </x:row>
    <x:row r="281">
      <x:c r="A281" t="n">
        <x:v>278</x:v>
      </x:c>
      <x:c r="B281" t="str">
        <x:v>PTN Akademik</x:v>
      </x:c>
      <x:c r="C281" t="str">
        <x:v>UNIVERSITAS NEGERI MEDAN</x:v>
      </x:c>
      <x:c r="D281" t="str">
        <x:v>PENDIDIKAN BISNIS</x:v>
      </x:c>
      <x:c r="E281" t="str">
        <x:v>Sarjana</x:v>
      </x:c>
      <x:c r="F281" s="18" t="n">
        <x:v>70</x:v>
      </x:c>
      <x:c r="G281" s="18" t="n">
        <x:v>202</x:v>
      </x:c>
      <x:c r="H281" s="19" t="n">
        <x:v>2.8857142857142857</x:v>
      </x:c>
      <x:c r="I281" s="18" t="n">
        <x:f>ROUND(MIN(Model_Config_v3!$B$6,MAX(Q281,R281,S281*Model_Config_v3!$B$4+T281*Model_Config_v3!$B$5)),0)</x:f>
        <x:v>629</x:v>
      </x:c>
      <x:c r="J281" s="18" t="n">
        <x:f>MIN(Model_Config_v3!$B$6,I281+Model_Config_v3!$B$7)</x:f>
        <x:v>649</x:v>
      </x:c>
      <x:c r="K281" s="20" t="n">
        <x:v>47</x:v>
      </x:c>
      <x:c r="L281" t="str">
        <x:v>MENENGAH</x:v>
      </x:c>
      <x:c r="M281" t="str">
        <x:v>SEDANG+</x:v>
      </x:c>
      <x:c r="N281" t="str">
        <x:v>REGULER</x:v>
      </x:c>
      <x:c r="O281" t="str">
        <x:v>SOSHUM</x:v>
      </x:c>
      <x:c r="P281" t="str">
        <x:v>BISNIS/EKONOMI/AKUNTANSI</x:v>
      </x:c>
      <x:c r="Q281" s="18" t="n">
        <x:v>0</x:v>
      </x:c>
      <x:c r="R281" s="18" t="n">
        <x:v>0</x:v>
      </x:c>
      <x:c r="S281" s="18" t="n">
        <x:v>570.6278662375604</x:v>
      </x:c>
      <x:c r="T281" s="18" t="n">
        <x:v>654</x:v>
      </x:c>
      <x:c r="U281" s="18" t="n">
        <x:v>585.6278662375604</x:v>
      </x:c>
      <x:c r="V281" s="20" t="n">
        <x:v>4.4</x:v>
      </x:c>
      <x:c r="W281" s="20" t="n">
        <x:v>14.3</x:v>
      </x:c>
      <x:c r="X281" s="20" t="n">
        <x:v>3.3</x:v>
      </x:c>
      <x:c r="Y281" t="str">
        <x:v>Basis arsip 2025/2024</x:v>
      </x:c>
      <x:c r="Z281" t="str">
        <x:v>https://snpmb.id/utbk-snbt/daya-tampung-snbt</x:v>
      </x:c>
      <x:c r="AA281" t="str">
        <x:v>Tidak Ada</x:v>
      </x:c>
      <x:c r="AB281" t="str">
        <x:v>Campus=55; Ratio=27.1; Prodi=65; RelDemand=37.9; Capacity=41.7</x:v>
      </x:c>
    </x:row>
    <x:row r="282">
      <x:c r="A282" t="n">
        <x:v>279</x:v>
      </x:c>
      <x:c r="B282" t="str">
        <x:v>PTN Akademik</x:v>
      </x:c>
      <x:c r="C282" t="str">
        <x:v>UNIVERSITAS NEGERI MEDAN</x:v>
      </x:c>
      <x:c r="D282" t="str">
        <x:v>PENDIDIKAN TARI</x:v>
      </x:c>
      <x:c r="E282" t="str">
        <x:v>Sarjana</x:v>
      </x:c>
      <x:c r="F282" s="18" t="n">
        <x:v>110</x:v>
      </x:c>
      <x:c r="G282" s="18" t="n">
        <x:v>98</x:v>
      </x:c>
      <x:c r="H282" s="19" t="n">
        <x:v>0.8909090909090909</x:v>
      </x:c>
      <x:c r="I282" s="18" t="n">
        <x:f>ROUND(MIN(Model_Config_v3!$B$6,MAX(Q282,R282,S282*Model_Config_v3!$B$4+T282*Model_Config_v3!$B$5)),0)</x:f>
        <x:v>591</x:v>
      </x:c>
      <x:c r="J282" s="18" t="n">
        <x:f>MIN(Model_Config_v3!$B$6,I282+Model_Config_v3!$B$7)</x:f>
        <x:v>611</x:v>
      </x:c>
      <x:c r="K282" s="20" t="n">
        <x:v>30.3</x:v>
      </x:c>
      <x:c r="L282" t="str">
        <x:v>RELATIF LONGGAR</x:v>
      </x:c>
      <x:c r="M282" t="str">
        <x:v>PORTOFOLIO</x:v>
      </x:c>
      <x:c r="N282" t="str">
        <x:v>REGULER</x:v>
      </x:c>
      <x:c r="O282" t="str">
        <x:v>SENI/OLAHRAGA</x:v>
      </x:c>
      <x:c r="P282" t="str">
        <x:v>SENI/OLAHRAGA</x:v>
      </x:c>
      <x:c r="Q282" s="18" t="n">
        <x:v>0</x:v>
      </x:c>
      <x:c r="R282" s="18" t="n">
        <x:v>0</x:v>
      </x:c>
      <x:c r="S282" s="18" t="n">
        <x:v>520</x:v>
      </x:c>
      <x:c r="T282" s="18" t="n">
        <x:v>621</x:v>
      </x:c>
      <x:c r="U282" s="18" t="n">
        <x:v>520</x:v>
      </x:c>
      <x:c r="V282" s="20" t="n">
        <x:v>4.4</x:v>
      </x:c>
      <x:c r="W282" s="20" t="n">
        <x:v>9.9</x:v>
      </x:c>
      <x:c r="X282" s="20" t="n">
        <x:v>7.7</x:v>
      </x:c>
      <x:c r="Y282" t="str">
        <x:v>Basis arsip 2025/2024</x:v>
      </x:c>
      <x:c r="Z282" t="str">
        <x:v>https://snpmb.id/utbk-snbt/daya-tampung-snbt</x:v>
      </x:c>
      <x:c r="AA282" t="str">
        <x:v>Tari</x:v>
      </x:c>
      <x:c r="AB282" t="str">
        <x:v>Campus=55; Ratio=0.0; Prodi=45; RelDemand=11.7; Capacity=8.3</x:v>
      </x:c>
    </x:row>
    <x:row r="283">
      <x:c r="A283" t="n">
        <x:v>280</x:v>
      </x:c>
      <x:c r="B283" t="str">
        <x:v>PTN Akademik</x:v>
      </x:c>
      <x:c r="C283" t="str">
        <x:v>UNIVERSITAS NEGERI MEDAN</x:v>
      </x:c>
      <x:c r="D283" t="str">
        <x:v>PENDIDIKAN MUSIK</x:v>
      </x:c>
      <x:c r="E283" t="str">
        <x:v>Sarjana</x:v>
      </x:c>
      <x:c r="F283" s="18" t="n">
        <x:v>110</x:v>
      </x:c>
      <x:c r="G283" s="18" t="n">
        <x:v>140</x:v>
      </x:c>
      <x:c r="H283" s="19" t="n">
        <x:v>1.2727272727272727</x:v>
      </x:c>
      <x:c r="I283" s="18" t="n">
        <x:f>ROUND(MIN(Model_Config_v3!$B$6,MAX(Q283,R283,S283*Model_Config_v3!$B$4+T283*Model_Config_v3!$B$5)),0)</x:f>
        <x:v>597</x:v>
      </x:c>
      <x:c r="J283" s="18" t="n">
        <x:f>MIN(Model_Config_v3!$B$6,I283+Model_Config_v3!$B$7)</x:f>
        <x:v>617</x:v>
      </x:c>
      <x:c r="K283" s="20" t="n">
        <x:v>32.3</x:v>
      </x:c>
      <x:c r="L283" t="str">
        <x:v>RELATIF LONGGAR</x:v>
      </x:c>
      <x:c r="M283" t="str">
        <x:v>PORTOFOLIO</x:v>
      </x:c>
      <x:c r="N283" t="str">
        <x:v>REGULER</x:v>
      </x:c>
      <x:c r="O283" t="str">
        <x:v>SENI/OLAHRAGA</x:v>
      </x:c>
      <x:c r="P283" t="str">
        <x:v>SENI/OLAHRAGA</x:v>
      </x:c>
      <x:c r="Q283" s="18" t="n">
        <x:v>0</x:v>
      </x:c>
      <x:c r="R283" s="18" t="n">
        <x:v>0</x:v>
      </x:c>
      <x:c r="S283" s="18" t="n">
        <x:v>531.5208885572014</x:v>
      </x:c>
      <x:c r="T283" s="18" t="n">
        <x:v>625</x:v>
      </x:c>
      <x:c r="U283" s="18" t="n">
        <x:v>531.5208885572014</x:v>
      </x:c>
      <x:c r="V283" s="20" t="n">
        <x:v>4.4</x:v>
      </x:c>
      <x:c r="W283" s="20" t="n">
        <x:v>9.9</x:v>
      </x:c>
      <x:c r="X283" s="20" t="n">
        <x:v>7.7</x:v>
      </x:c>
      <x:c r="Y283" t="str">
        <x:v>Basis arsip 2025/2024</x:v>
      </x:c>
      <x:c r="Z283" t="str">
        <x:v>https://snpmb.id/utbk-snbt/daya-tampung-snbt</x:v>
      </x:c>
      <x:c r="AA283" t="str">
        <x:v>Musik</x:v>
      </x:c>
      <x:c r="AB283" t="str">
        <x:v>Campus=55; Ratio=6.2; Prodi=45; RelDemand=16.7; Capacity=8.3</x:v>
      </x:c>
    </x:row>
    <x:row r="284">
      <x:c r="A284" t="n">
        <x:v>281</x:v>
      </x:c>
      <x:c r="B284" t="str">
        <x:v>PTN Akademik</x:v>
      </x:c>
      <x:c r="C284" t="str">
        <x:v>UNIVERSITAS NEGERI MEDAN</x:v>
      </x:c>
      <x:c r="D284" t="str">
        <x:v>PENDIDIKAN TATA BUSANA</x:v>
      </x:c>
      <x:c r="E284" t="str">
        <x:v>Sarjana</x:v>
      </x:c>
      <x:c r="F284" s="18" t="n">
        <x:v>84</x:v>
      </x:c>
      <x:c r="G284" s="18" t="n">
        <x:v>439</x:v>
      </x:c>
      <x:c r="H284" s="19" t="n">
        <x:v>5.226190476190476</x:v>
      </x:c>
      <x:c r="I284" s="18" t="n">
        <x:f>ROUND(MIN(Model_Config_v3!$B$6,MAX(Q284,R284,S284*Model_Config_v3!$B$4+T284*Model_Config_v3!$B$5)),0)</x:f>
        <x:v>640</x:v>
      </x:c>
      <x:c r="J284" s="18" t="n">
        <x:f>MIN(Model_Config_v3!$B$6,I284+Model_Config_v3!$B$7)</x:f>
        <x:v>660</x:v>
      </x:c>
      <x:c r="K284" s="20" t="n">
        <x:v>48.7</x:v>
      </x:c>
      <x:c r="L284" t="str">
        <x:v>MENENGAH</x:v>
      </x:c>
      <x:c r="M284" t="str">
        <x:v>SEDANG+</x:v>
      </x:c>
      <x:c r="N284" t="str">
        <x:v>REGULER</x:v>
      </x:c>
      <x:c r="O284" t="str">
        <x:v>CAMPURAN</x:v>
      </x:c>
      <x:c r="P284" t="str">
        <x:v>PENDIDIKAN</x:v>
      </x:c>
      <x:c r="Q284" s="18" t="n">
        <x:v>0</x:v>
      </x:c>
      <x:c r="R284" s="18" t="n">
        <x:v>0</x:v>
      </x:c>
      <x:c r="S284" s="18" t="n">
        <x:v>599.0003757598264</x:v>
      </x:c>
      <x:c r="T284" s="18" t="n">
        <x:v>657</x:v>
      </x:c>
      <x:c r="U284" s="18" t="n">
        <x:v>599.0003757598264</x:v>
      </x:c>
      <x:c r="V284" s="20" t="n">
        <x:v>8.8</x:v>
      </x:c>
      <x:c r="W284" s="20" t="n">
        <x:v>9.9</x:v>
      </x:c>
      <x:c r="X284" s="20" t="n">
        <x:v>3.3</x:v>
      </x:c>
      <x:c r="Y284" t="str">
        <x:v>Basis arsip 2025/2024</x:v>
      </x:c>
      <x:c r="Z284" t="str">
        <x:v>https://snpmb.id/utbk-snbt/daya-tampung-snbt</x:v>
      </x:c>
      <x:c r="AA284" t="str">
        <x:v>Tidak Ada</x:v>
      </x:c>
      <x:c r="AB284" t="str">
        <x:v>Campus=55; Ratio=42.3; Prodi=45; RelDemand=68.6; Capacity=30.0</x:v>
      </x:c>
    </x:row>
    <x:row r="285">
      <x:c r="A285" t="n">
        <x:v>282</x:v>
      </x:c>
      <x:c r="B285" t="str">
        <x:v>PTN Akademik</x:v>
      </x:c>
      <x:c r="C285" t="str">
        <x:v>UNIVERSITAS NEGERI MEDAN</x:v>
      </x:c>
      <x:c r="D285" t="str">
        <x:v>SENI PERTUNJUKAN</x:v>
      </x:c>
      <x:c r="E285" t="str">
        <x:v>Sarjana</x:v>
      </x:c>
      <x:c r="F285" s="18" t="n">
        <x:v>43</x:v>
      </x:c>
      <x:c r="G285" s="18" t="n">
        <x:v>12</x:v>
      </x:c>
      <x:c r="H285" s="19" t="n">
        <x:v>0.27906976744186046</x:v>
      </x:c>
      <x:c r="I285" s="18" t="n">
        <x:f>ROUND(MIN(Model_Config_v3!$B$6,MAX(Q285,R285,S285*Model_Config_v3!$B$4+T285*Model_Config_v3!$B$5)),0)</x:f>
        <x:v>597</x:v>
      </x:c>
      <x:c r="J285" s="18" t="n">
        <x:f>MIN(Model_Config_v3!$B$6,I285+Model_Config_v3!$B$7)</x:f>
        <x:v>617</x:v>
      </x:c>
      <x:c r="K285" s="20" t="n">
        <x:v>35</x:v>
      </x:c>
      <x:c r="L285" t="str">
        <x:v>RELATIF LONGGAR</x:v>
      </x:c>
      <x:c r="M285" t="str">
        <x:v>PORTOFOLIO</x:v>
      </x:c>
      <x:c r="N285" t="str">
        <x:v>REGULER</x:v>
      </x:c>
      <x:c r="O285" t="str">
        <x:v>SENI/OLAHRAGA</x:v>
      </x:c>
      <x:c r="P285" t="str">
        <x:v>SENI/OLAHRAGA</x:v>
      </x:c>
      <x:c r="Q285" s="18" t="n">
        <x:v>0</x:v>
      </x:c>
      <x:c r="R285" s="18" t="n">
        <x:v>0</x:v>
      </x:c>
      <x:c r="S285" s="18" t="n">
        <x:v>520</x:v>
      </x:c>
      <x:c r="T285" s="18" t="n">
        <x:v>630</x:v>
      </x:c>
      <x:c r="U285" s="18" t="n">
        <x:v>520</x:v>
      </x:c>
      <x:c r="V285" s="20" t="n">
        <x:v>4.4</x:v>
      </x:c>
      <x:c r="W285" s="20" t="n">
        <x:v>9.9</x:v>
      </x:c>
      <x:c r="X285" s="20" t="n">
        <x:v>7.7</x:v>
      </x:c>
      <x:c r="Y285" t="str">
        <x:v>Basis arsip 2025/2024</x:v>
      </x:c>
      <x:c r="Z285" t="str">
        <x:v>https://snpmb.id/utbk-snbt/daya-tampung-snbt</x:v>
      </x:c>
      <x:c r="AA285" t="str">
        <x:v>Sendratasik</x:v>
      </x:c>
      <x:c r="AB285" t="str">
        <x:v>Campus=55; Ratio=0.0; Prodi=45; RelDemand=3.7; Capacity=64.2</x:v>
      </x:c>
    </x:row>
    <x:row r="286">
      <x:c r="A286" t="n">
        <x:v>283</x:v>
      </x:c>
      <x:c r="B286" t="str">
        <x:v>PTN Akademik</x:v>
      </x:c>
      <x:c r="C286" t="str">
        <x:v>UNIVERSITAS NEGERI MEDAN</x:v>
      </x:c>
      <x:c r="D286" t="str">
        <x:v>ILMU EKONOMI</x:v>
      </x:c>
      <x:c r="E286" t="str">
        <x:v>Sarjana</x:v>
      </x:c>
      <x:c r="F286" s="18" t="n">
        <x:v>70</x:v>
      </x:c>
      <x:c r="G286" s="18" t="n">
        <x:v>404</x:v>
      </x:c>
      <x:c r="H286" s="19" t="n">
        <x:v>5.771428571428571</x:v>
      </x:c>
      <x:c r="I286" s="18" t="n">
        <x:f>ROUND(MIN(Model_Config_v3!$B$6,MAX(Q286,R286,S286*Model_Config_v3!$B$4+T286*Model_Config_v3!$B$5)),0)</x:f>
        <x:v>650</x:v>
      </x:c>
      <x:c r="J286" s="18" t="n">
        <x:f>MIN(Model_Config_v3!$B$6,I286+Model_Config_v3!$B$7)</x:f>
        <x:v>670</x:v>
      </x:c>
      <x:c r="K286" s="20" t="n">
        <x:v>55.2</x:v>
      </x:c>
      <x:c r="L286" t="str">
        <x:v>KETAT</x:v>
      </x:c>
      <x:c r="M286" t="str">
        <x:v>SEDANG+</x:v>
      </x:c>
      <x:c r="N286" t="str">
        <x:v>REGULER</x:v>
      </x:c>
      <x:c r="O286" t="str">
        <x:v>SOSHUM</x:v>
      </x:c>
      <x:c r="P286" t="str">
        <x:v>BISNIS/EKONOMI/AKUNTANSI</x:v>
      </x:c>
      <x:c r="Q286" s="18" t="n">
        <x:v>0</x:v>
      </x:c>
      <x:c r="R286" s="18" t="n">
        <x:v>0</x:v>
      </x:c>
      <x:c r="S286" s="18" t="n">
        <x:v>603.7411657605983</x:v>
      </x:c>
      <x:c r="T286" s="18" t="n">
        <x:v>670</x:v>
      </x:c>
      <x:c r="U286" s="18" t="n">
        <x:v>603.7411657605983</x:v>
      </x:c>
      <x:c r="V286" s="20" t="n">
        <x:v>4.4</x:v>
      </x:c>
      <x:c r="W286" s="20" t="n">
        <x:v>14.3</x:v>
      </x:c>
      <x:c r="X286" s="20" t="n">
        <x:v>3.3</x:v>
      </x:c>
      <x:c r="Y286" t="str">
        <x:v>Basis arsip 2025/2024</x:v>
      </x:c>
      <x:c r="Z286" t="str">
        <x:v>https://snpmb.id/utbk-snbt/daya-tampung-snbt</x:v>
      </x:c>
      <x:c r="AA286" t="str">
        <x:v>Tidak Ada</x:v>
      </x:c>
      <x:c r="AB286" t="str">
        <x:v>Campus=55; Ratio=44.8; Prodi=65; RelDemand=75.7; Capacity=41.7</x:v>
      </x:c>
    </x:row>
    <x:row r="287">
      <x:c r="A287" t="n">
        <x:v>284</x:v>
      </x:c>
      <x:c r="B287" t="str">
        <x:v>PTN Akademik</x:v>
      </x:c>
      <x:c r="C287" t="str">
        <x:v>UNIVERSITAS NEGERI MEDAN</x:v>
      </x:c>
      <x:c r="D287" t="str">
        <x:v>BISNIS DIGITAL</x:v>
      </x:c>
      <x:c r="E287" t="str">
        <x:v>Sarjana</x:v>
      </x:c>
      <x:c r="F287" s="18" t="n">
        <x:v>71</x:v>
      </x:c>
      <x:c r="G287" s="18" t="n">
        <x:v>591</x:v>
      </x:c>
      <x:c r="H287" s="19" t="n">
        <x:v>8.32394366197183</x:v>
      </x:c>
      <x:c r="I287" s="18" t="n">
        <x:f>ROUND(MIN(Model_Config_v3!$B$6,MAX(Q287,R287,S287*Model_Config_v3!$B$4+T287*Model_Config_v3!$B$5)),0)</x:f>
        <x:v>662</x:v>
      </x:c>
      <x:c r="J287" s="18" t="n">
        <x:f>MIN(Model_Config_v3!$B$6,I287+Model_Config_v3!$B$7)</x:f>
        <x:v>682</x:v>
      </x:c>
      <x:c r="K287" s="20" t="n">
        <x:v>59.9</x:v>
      </x:c>
      <x:c r="L287" t="str">
        <x:v>KETAT</x:v>
      </x:c>
      <x:c r="M287" t="str">
        <x:v>SEDANG+</x:v>
      </x:c>
      <x:c r="N287" t="str">
        <x:v>REGULER</x:v>
      </x:c>
      <x:c r="O287" t="str">
        <x:v>SOSHUM</x:v>
      </x:c>
      <x:c r="P287" t="str">
        <x:v>BISNIS/EKONOMI/AKUNTANSI</x:v>
      </x:c>
      <x:c r="Q287" s="18" t="n">
        <x:v>0</x:v>
      </x:c>
      <x:c r="R287" s="18" t="n">
        <x:v>0</x:v>
      </x:c>
      <x:c r="S287" s="18" t="n">
        <x:v>621.2362045378397</x:v>
      </x:c>
      <x:c r="T287" s="18" t="n">
        <x:v>680</x:v>
      </x:c>
      <x:c r="U287" s="18" t="n">
        <x:v>636.2362045378397</x:v>
      </x:c>
      <x:c r="V287" s="20" t="n">
        <x:v>4.4</x:v>
      </x:c>
      <x:c r="W287" s="20" t="n">
        <x:v>14.3</x:v>
      </x:c>
      <x:c r="X287" s="20" t="n">
        <x:v>3.3</x:v>
      </x:c>
      <x:c r="Y287" t="str">
        <x:v>Basis arsip 2025/2024</x:v>
      </x:c>
      <x:c r="Z287" t="str">
        <x:v>https://snpmb.id/utbk-snbt/daya-tampung-snbt</x:v>
      </x:c>
      <x:c r="AA287" t="str">
        <x:v>Tidak Ada</x:v>
      </x:c>
      <x:c r="AB287" t="str">
        <x:v>Campus=55; Ratio=54.2; Prodi=65; RelDemand=100.0; Capacity=40.8</x:v>
      </x:c>
    </x:row>
    <x:row r="288">
      <x:c r="A288" t="n">
        <x:v>285</x:v>
      </x:c>
      <x:c r="B288" t="str">
        <x:v>PTN Akademik</x:v>
      </x:c>
      <x:c r="C288" t="str">
        <x:v>UNIVERSITAS NEGERI MEDAN</x:v>
      </x:c>
      <x:c r="D288" t="str">
        <x:v>KEWIRAUSAHAAN</x:v>
      </x:c>
      <x:c r="E288" t="str">
        <x:v>Sarjana</x:v>
      </x:c>
      <x:c r="F288" s="18" t="n">
        <x:v>70</x:v>
      </x:c>
      <x:c r="G288" s="18" t="n">
        <x:v>301</x:v>
      </x:c>
      <x:c r="H288" s="19" t="n">
        <x:v>4.3</x:v>
      </x:c>
      <x:c r="I288" s="18" t="n">
        <x:f>ROUND(MIN(Model_Config_v3!$B$6,MAX(Q288,R288,S288*Model_Config_v3!$B$4+T288*Model_Config_v3!$B$5)),0)</x:f>
        <x:v>634</x:v>
      </x:c>
      <x:c r="J288" s="18" t="n">
        <x:f>MIN(Model_Config_v3!$B$6,I288+Model_Config_v3!$B$7)</x:f>
        <x:v>654</x:v>
      </x:c>
      <x:c r="K288" s="20" t="n">
        <x:v>46.4</x:v>
      </x:c>
      <x:c r="L288" t="str">
        <x:v>MENENGAH</x:v>
      </x:c>
      <x:c r="M288" t="str">
        <x:v>SEDANG</x:v>
      </x:c>
      <x:c r="N288" t="str">
        <x:v>REGULER</x:v>
      </x:c>
      <x:c r="O288" t="str">
        <x:v>CAMPURAN</x:v>
      </x:c>
      <x:c r="P288" t="str">
        <x:v>UMUM</x:v>
      </x:c>
      <x:c r="Q288" s="18" t="n">
        <x:v>0</x:v>
      </x:c>
      <x:c r="R288" s="18" t="n">
        <x:v>0</x:v>
      </x:c>
      <x:c r="S288" s="18" t="n">
        <x:v>589.6815301137545</x:v>
      </x:c>
      <x:c r="T288" s="18" t="n">
        <x:v>653</x:v>
      </x:c>
      <x:c r="U288" s="18" t="n">
        <x:v>589.6815301137545</x:v>
      </x:c>
      <x:c r="V288" s="20" t="n">
        <x:v>8.8</x:v>
      </x:c>
      <x:c r="W288" s="20" t="n">
        <x:v>9.9</x:v>
      </x:c>
      <x:c r="X288" s="20" t="n">
        <x:v>3.3</x:v>
      </x:c>
      <x:c r="Y288" t="str">
        <x:v>Basis arsip 2025/2024</x:v>
      </x:c>
      <x:c r="Z288" t="str">
        <x:v>https://snpmb.id/utbk-snbt/daya-tampung-snbt</x:v>
      </x:c>
      <x:c r="AA288" t="str">
        <x:v>Tidak Ada</x:v>
      </x:c>
      <x:c r="AB288" t="str">
        <x:v>Campus=55; Ratio=37.3; Prodi=40; RelDemand=56.4; Capacity=41.7</x:v>
      </x:c>
    </x:row>
    <x:row r="289">
      <x:c r="A289" t="n">
        <x:v>286</x:v>
      </x:c>
      <x:c r="B289" t="str">
        <x:v>PTN Akademik</x:v>
      </x:c>
      <x:c r="C289" t="str">
        <x:v>UNIVERSITAS NEGERI MEDAN</x:v>
      </x:c>
      <x:c r="D289" t="str">
        <x:v>ARSITEKTUR</x:v>
      </x:c>
      <x:c r="E289" t="str">
        <x:v>Sarjana</x:v>
      </x:c>
      <x:c r="F289" s="18" t="n">
        <x:v>74</x:v>
      </x:c>
      <x:c r="G289" s="18" t="n">
        <x:v>233</x:v>
      </x:c>
      <x:c r="H289" s="19" t="n">
        <x:v>3.1486486486486487</x:v>
      </x:c>
      <x:c r="I289" s="18" t="n">
        <x:f>ROUND(MIN(Model_Config_v3!$B$6,MAX(Q289,R289,S289*Model_Config_v3!$B$4+T289*Model_Config_v3!$B$5)),0)</x:f>
        <x:v>630</x:v>
      </x:c>
      <x:c r="J289" s="18" t="n">
        <x:f>MIN(Model_Config_v3!$B$6,I289+Model_Config_v3!$B$7)</x:f>
        <x:v>650</x:v>
      </x:c>
      <x:c r="K289" s="20" t="n">
        <x:v>46.5</x:v>
      </x:c>
      <x:c r="L289" t="str">
        <x:v>MENENGAH</x:v>
      </x:c>
      <x:c r="M289" t="str">
        <x:v>SEDANG+</x:v>
      </x:c>
      <x:c r="N289" t="str">
        <x:v>REGULER</x:v>
      </x:c>
      <x:c r="O289" t="str">
        <x:v>SAINTEK</x:v>
      </x:c>
      <x:c r="P289" t="str">
        <x:v>TEKNIK/ARSITEKTUR/STATISTIKA/AKTUARIA</x:v>
      </x:c>
      <x:c r="Q289" s="18" t="n">
        <x:v>0</x:v>
      </x:c>
      <x:c r="R289" s="18" t="n">
        <x:v>0</x:v>
      </x:c>
      <x:c r="S289" s="18" t="n">
        <x:v>574.7936621424547</x:v>
      </x:c>
      <x:c r="T289" s="18" t="n">
        <x:v>653</x:v>
      </x:c>
      <x:c r="U289" s="18" t="n">
        <x:v>574.7936621424547</x:v>
      </x:c>
      <x:c r="V289" s="20" t="n">
        <x:v>12</x:v>
      </x:c>
      <x:c r="W289" s="20" t="n">
        <x:v>5</x:v>
      </x:c>
      <x:c r="X289" s="20" t="n">
        <x:v>3</x:v>
      </x:c>
      <x:c r="Y289" t="str">
        <x:v>Basis arsip 2025/2024</x:v>
      </x:c>
      <x:c r="Z289" t="str">
        <x:v>https://snpmb.id/utbk-snbt/daya-tampung-snbt</x:v>
      </x:c>
      <x:c r="AA289" t="str">
        <x:v>Tidak Ada</x:v>
      </x:c>
      <x:c r="AB289" t="str">
        <x:v>Campus=55; Ratio=29.3; Prodi=60; RelDemand=41.3; Capacity=38.3</x:v>
      </x:c>
    </x:row>
    <x:row r="290">
      <x:c r="A290" t="n">
        <x:v>287</x:v>
      </x:c>
      <x:c r="B290" t="str">
        <x:v>PTN Akademik</x:v>
      </x:c>
      <x:c r="C290" t="str">
        <x:v>UNIVERSITAS NEGERI MEDAN</x:v>
      </x:c>
      <x:c r="D290" t="str">
        <x:v>STATISTIKA</x:v>
      </x:c>
      <x:c r="E290" t="str">
        <x:v>Sarjana</x:v>
      </x:c>
      <x:c r="F290" s="18" t="n">
        <x:v>74</x:v>
      </x:c>
      <x:c r="G290" s="18" t="n">
        <x:v>203</x:v>
      </x:c>
      <x:c r="H290" s="19" t="n">
        <x:v>2.7432432432432434</x:v>
      </x:c>
      <x:c r="I290" s="18" t="n">
        <x:f>ROUND(MIN(Model_Config_v3!$B$6,MAX(Q290,R290,S290*Model_Config_v3!$B$4+T290*Model_Config_v3!$B$5)),0)</x:f>
        <x:v>625</x:v>
      </x:c>
      <x:c r="J290" s="18" t="n">
        <x:f>MIN(Model_Config_v3!$B$6,I290+Model_Config_v3!$B$7)</x:f>
        <x:v>645</x:v>
      </x:c>
      <x:c r="K290" s="20" t="n">
        <x:v>45.1</x:v>
      </x:c>
      <x:c r="L290" t="str">
        <x:v>MENENGAH</x:v>
      </x:c>
      <x:c r="M290" t="str">
        <x:v>SEDANG+</x:v>
      </x:c>
      <x:c r="N290" t="str">
        <x:v>REGULER</x:v>
      </x:c>
      <x:c r="O290" t="str">
        <x:v>SAINTEK</x:v>
      </x:c>
      <x:c r="P290" t="str">
        <x:v>TEKNIK/ARSITEKTUR/STATISTIKA/AKTUARIA</x:v>
      </x:c>
      <x:c r="Q290" s="18" t="n">
        <x:v>0</x:v>
      </x:c>
      <x:c r="R290" s="18" t="n">
        <x:v>0</x:v>
      </x:c>
      <x:c r="S290" s="18" t="n">
        <x:v>568.209075000046</x:v>
      </x:c>
      <x:c r="T290" s="18" t="n">
        <x:v>650</x:v>
      </x:c>
      <x:c r="U290" s="18" t="n">
        <x:v>578.209075000046</x:v>
      </x:c>
      <x:c r="V290" s="20" t="n">
        <x:v>12</x:v>
      </x:c>
      <x:c r="W290" s="20" t="n">
        <x:v>5</x:v>
      </x:c>
      <x:c r="X290" s="20" t="n">
        <x:v>3</x:v>
      </x:c>
      <x:c r="Y290" t="str">
        <x:v>Basis arsip 2025/2024</x:v>
      </x:c>
      <x:c r="Z290" t="str">
        <x:v>https://snpmb.id/utbk-snbt/daya-tampung-snbt</x:v>
      </x:c>
      <x:c r="AA290" t="str">
        <x:v>Tidak Ada</x:v>
      </x:c>
      <x:c r="AB290" t="str">
        <x:v>Campus=55; Ratio=25.8; Prodi=60; RelDemand=36.0; Capacity=38.3</x:v>
      </x:c>
    </x:row>
    <x:row r="291">
      <x:c r="A291" t="n">
        <x:v>288</x:v>
      </x:c>
      <x:c r="B291" t="str">
        <x:v>PTN Akademik</x:v>
      </x:c>
      <x:c r="C291" t="str">
        <x:v>UNIVERSITAS NEGERI MEDAN</x:v>
      </x:c>
      <x:c r="D291" t="str">
        <x:v>SAINS INFORMASI GEOGRAFI</x:v>
      </x:c>
      <x:c r="E291" t="str">
        <x:v>Sarjana</x:v>
      </x:c>
      <x:c r="F291" s="18" t="n">
        <x:v>30</x:v>
      </x:c>
      <x:c r="G291" s="18"/>
      <x:c r="H291" s="19" t="n">
        <x:v>0</x:v>
      </x:c>
      <x:c r="I291" s="18" t="n">
        <x:f>ROUND(MIN(Model_Config_v3!$B$6,MAX(Q291,R291,S291*Model_Config_v3!$B$4+T291*Model_Config_v3!$B$5)),0)</x:f>
        <x:v>597</x:v>
      </x:c>
      <x:c r="J291" s="18" t="n">
        <x:f>MIN(Model_Config_v3!$B$6,I291+Model_Config_v3!$B$7)</x:f>
        <x:v>617</x:v>
      </x:c>
      <x:c r="K291" s="20" t="n">
        <x:v>34.8</x:v>
      </x:c>
      <x:c r="L291" t="str">
        <x:v>RELATIF LONGGAR</x:v>
      </x:c>
      <x:c r="M291" t="str">
        <x:v>RENDAH</x:v>
      </x:c>
      <x:c r="N291" t="str">
        <x:v>REGULER</x:v>
      </x:c>
      <x:c r="O291" t="str">
        <x:v>CAMPURAN</x:v>
      </x:c>
      <x:c r="P291" t="str">
        <x:v>UMUM</x:v>
      </x:c>
      <x:c r="Q291" s="18" t="n">
        <x:v>0</x:v>
      </x:c>
      <x:c r="R291" s="18" t="n">
        <x:v>0</x:v>
      </x:c>
      <x:c r="S291" s="18" t="n">
        <x:v>520</x:v>
      </x:c>
      <x:c r="T291" s="18" t="n">
        <x:v>630</x:v>
      </x:c>
      <x:c r="U291" s="18" t="n">
        <x:v>520</x:v>
      </x:c>
      <x:c r="V291" s="20" t="n">
        <x:v>8.8</x:v>
      </x:c>
      <x:c r="W291" s="20" t="n">
        <x:v>9.9</x:v>
      </x:c>
      <x:c r="X291" s="20" t="n">
        <x:v>3.3</x:v>
      </x:c>
      <x:c r="Y291" t="str">
        <x:v>Basis arsip 2025/2024</x:v>
      </x:c>
      <x:c r="Z291" t="str">
        <x:v>https://snpmb.id/utbk-snbt/daya-tampung-snbt</x:v>
      </x:c>
      <x:c r="AA291" t="str">
        <x:v>Tidak Ada</x:v>
      </x:c>
      <x:c r="AB291" t="str">
        <x:v>Campus=55; Ratio=0.0; Prodi=40; RelDemand=0.0; Capacity=75.0</x:v>
      </x:c>
    </x:row>
    <x:row r="292">
      <x:c r="A292" t="n">
        <x:v>289</x:v>
      </x:c>
      <x:c r="B292" t="str">
        <x:v>PTN Akademik</x:v>
      </x:c>
      <x:c r="C292" t="str">
        <x:v>UNIVERSITAS NEGERI MEDAN</x:v>
      </x:c>
      <x:c r="D292" t="str">
        <x:v>HUKUM BISNIS</x:v>
      </x:c>
      <x:c r="E292" t="str">
        <x:v>Sarjana</x:v>
      </x:c>
      <x:c r="F292" s="18" t="n">
        <x:v>30</x:v>
      </x:c>
      <x:c r="G292" s="18"/>
      <x:c r="H292" s="19" t="n">
        <x:v>0</x:v>
      </x:c>
      <x:c r="I292" s="18" t="n">
        <x:f>ROUND(MIN(Model_Config_v3!$B$6,MAX(Q292,R292,S292*Model_Config_v3!$B$4+T292*Model_Config_v3!$B$5)),0)</x:f>
        <x:v>604</x:v>
      </x:c>
      <x:c r="J292" s="18" t="n">
        <x:f>MIN(Model_Config_v3!$B$6,I292+Model_Config_v3!$B$7)</x:f>
        <x:v>624</x:v>
      </x:c>
      <x:c r="K292" s="20" t="n">
        <x:v>39.8</x:v>
      </x:c>
      <x:c r="L292" t="str">
        <x:v>RELATIF LONGGAR</x:v>
      </x:c>
      <x:c r="M292" t="str">
        <x:v>RENDAH</x:v>
      </x:c>
      <x:c r="N292" t="str">
        <x:v>REGULER</x:v>
      </x:c>
      <x:c r="O292" t="str">
        <x:v>SOSHUM</x:v>
      </x:c>
      <x:c r="P292" t="str">
        <x:v>HUKUM</x:v>
      </x:c>
      <x:c r="Q292" s="18" t="n">
        <x:v>0</x:v>
      </x:c>
      <x:c r="R292" s="18" t="n">
        <x:v>0</x:v>
      </x:c>
      <x:c r="S292" s="18" t="n">
        <x:v>520</x:v>
      </x:c>
      <x:c r="T292" s="18" t="n">
        <x:v>640</x:v>
      </x:c>
      <x:c r="U292" s="18" t="n">
        <x:v>535</x:v>
      </x:c>
      <x:c r="V292" s="20" t="n">
        <x:v>4.4</x:v>
      </x:c>
      <x:c r="W292" s="20" t="n">
        <x:v>14.3</x:v>
      </x:c>
      <x:c r="X292" s="20" t="n">
        <x:v>3.3</x:v>
      </x:c>
      <x:c r="Y292" t="str">
        <x:v>Basis arsip 2025/2024</x:v>
      </x:c>
      <x:c r="Z292" t="str">
        <x:v>https://snpmb.id/utbk-snbt/daya-tampung-snbt</x:v>
      </x:c>
      <x:c r="AA292" t="str">
        <x:v>Tidak Ada</x:v>
      </x:c>
      <x:c r="AB292" t="str">
        <x:v>Campus=55; Ratio=0.0; Prodi=65; RelDemand=0.0; Capacity=75.0</x:v>
      </x:c>
    </x:row>
    <x:row r="293">
      <x:c r="A293" t="n">
        <x:v>290</x:v>
      </x:c>
      <x:c r="B293" t="str">
        <x:v>PTN Akademik</x:v>
      </x:c>
      <x:c r="C293" t="str">
        <x:v>UNIVERSITAS NEGERI MEDAN</x:v>
      </x:c>
      <x:c r="D293" t="str">
        <x:v>MANAJEMEN KONSTRUKSI</x:v>
      </x:c>
      <x:c r="E293" t="str">
        <x:v>Sarjana Terapan</x:v>
      </x:c>
      <x:c r="F293" s="18" t="n">
        <x:v>95</x:v>
      </x:c>
      <x:c r="G293" s="18" t="n">
        <x:v>1149</x:v>
      </x:c>
      <x:c r="H293" s="19" t="n">
        <x:v>12.094736842105263</x:v>
      </x:c>
      <x:c r="I293" s="18" t="n">
        <x:f>ROUND(MIN(Model_Config_v3!$B$6,MAX(Q293,R293,S293*Model_Config_v3!$B$4+T293*Model_Config_v3!$B$5)),0)</x:f>
        <x:v>668</x:v>
      </x:c>
      <x:c r="J293" s="18" t="n">
        <x:f>MIN(Model_Config_v3!$B$6,I293+Model_Config_v3!$B$7)</x:f>
        <x:v>688</x:v>
      </x:c>
      <x:c r="K293" s="20" t="n">
        <x:v>60.3</x:v>
      </x:c>
      <x:c r="L293" t="str">
        <x:v>KETAT</x:v>
      </x:c>
      <x:c r="M293" t="str">
        <x:v>SEDANG+</x:v>
      </x:c>
      <x:c r="N293" t="str">
        <x:v>REGULER</x:v>
      </x:c>
      <x:c r="O293" t="str">
        <x:v>SOSHUM</x:v>
      </x:c>
      <x:c r="P293" t="str">
        <x:v>BISNIS/EKONOMI/AKUNTANSI</x:v>
      </x:c>
      <x:c r="Q293" s="18" t="n">
        <x:v>0</x:v>
      </x:c>
      <x:c r="R293" s="18" t="n">
        <x:v>0</x:v>
      </x:c>
      <x:c r="S293" s="18" t="n">
        <x:v>639.0856065739381</x:v>
      </x:c>
      <x:c r="T293" s="18" t="n">
        <x:v>681</x:v>
      </x:c>
      <x:c r="U293" s="18" t="n">
        <x:v>654.0856065739381</x:v>
      </x:c>
      <x:c r="V293" s="20" t="n">
        <x:v>4.4</x:v>
      </x:c>
      <x:c r="W293" s="20" t="n">
        <x:v>14.3</x:v>
      </x:c>
      <x:c r="X293" s="20" t="n">
        <x:v>3.3</x:v>
      </x:c>
      <x:c r="Y293" t="str">
        <x:v>Basis arsip 2025/2024</x:v>
      </x:c>
      <x:c r="Z293" t="str">
        <x:v>https://snpmb.id/utbk-snbt/daya-tampung-snbt</x:v>
      </x:c>
      <x:c r="AA293" t="str">
        <x:v>Tidak Ada</x:v>
      </x:c>
      <x:c r="AB293" t="str">
        <x:v>Campus=55; Ratio=63.7; Prodi=65; RelDemand=100.0; Capacity=20.8</x:v>
      </x:c>
    </x:row>
    <x:row r="294">
      <x:c r="A294" t="n">
        <x:v>291</x:v>
      </x:c>
      <x:c r="B294" t="str">
        <x:v>PTN Akademik</x:v>
      </x:c>
      <x:c r="C294" t="str">
        <x:v>UNIVERSITAS NEGERI MEDAN</x:v>
      </x:c>
      <x:c r="D294" t="str">
        <x:v>TEKNIK MESIN</x:v>
      </x:c>
      <x:c r="E294" t="str">
        <x:v>Diploma Tiga</x:v>
      </x:c>
      <x:c r="F294" s="18" t="n">
        <x:v>74</x:v>
      </x:c>
      <x:c r="G294" s="18" t="n">
        <x:v>909</x:v>
      </x:c>
      <x:c r="H294" s="19" t="n">
        <x:v>12.283783783783784</x:v>
      </x:c>
      <x:c r="I294" s="18" t="n">
        <x:f>ROUND(MIN(Model_Config_v3!$B$6,MAX(Q294,R294,S294*Model_Config_v3!$B$4+T294*Model_Config_v3!$B$5)),0)</x:f>
        <x:v>669</x:v>
      </x:c>
      <x:c r="J294" s="18" t="n">
        <x:f>MIN(Model_Config_v3!$B$6,I294+Model_Config_v3!$B$7)</x:f>
        <x:v>689</x:v>
      </x:c>
      <x:c r="K294" s="20" t="n">
        <x:v>61.1</x:v>
      </x:c>
      <x:c r="L294" t="str">
        <x:v>KETAT</x:v>
      </x:c>
      <x:c r="M294" t="str">
        <x:v>SEDANG+</x:v>
      </x:c>
      <x:c r="N294" t="str">
        <x:v>REGULER</x:v>
      </x:c>
      <x:c r="O294" t="str">
        <x:v>SAINTEK</x:v>
      </x:c>
      <x:c r="P294" t="str">
        <x:v>TEKNIK/ARSITEKTUR/STATISTIKA/AKTUARIA</x:v>
      </x:c>
      <x:c r="Q294" s="18" t="n">
        <x:v>0</x:v>
      </x:c>
      <x:c r="R294" s="18" t="n">
        <x:v>0</x:v>
      </x:c>
      <x:c r="S294" s="18" t="n">
        <x:v>639.8265379840091</x:v>
      </x:c>
      <x:c r="T294" s="18" t="n">
        <x:v>682</x:v>
      </x:c>
      <x:c r="U294" s="18" t="n">
        <x:v>649.8265379840091</x:v>
      </x:c>
      <x:c r="V294" s="20" t="n">
        <x:v>12</x:v>
      </x:c>
      <x:c r="W294" s="20" t="n">
        <x:v>5</x:v>
      </x:c>
      <x:c r="X294" s="20" t="n">
        <x:v>3</x:v>
      </x:c>
      <x:c r="Y294" t="str">
        <x:v>Basis arsip 2025/2024</x:v>
      </x:c>
      <x:c r="Z294" t="str">
        <x:v>https://snpmb.id/utbk-snbt/daya-tampung-snbt</x:v>
      </x:c>
      <x:c r="AA294" t="str">
        <x:v>Tidak Ada</x:v>
      </x:c>
      <x:c r="AB294" t="str">
        <x:v>Campus=55; Ratio=64.1; Prodi=60; RelDemand=100.0; Capacity=38.3</x:v>
      </x:c>
    </x:row>
    <x:row r="295">
      <x:c r="A295" t="n">
        <x:v>292</x:v>
      </x:c>
      <x:c r="B295" t="str">
        <x:v>PTN Akademik</x:v>
      </x:c>
      <x:c r="C295" t="str">
        <x:v>UNIVERSITAS RIAU</x:v>
      </x:c>
      <x:c r="D295" t="str">
        <x:v>FISIKA</x:v>
      </x:c>
      <x:c r="E295" t="str">
        <x:v>Sarjana</x:v>
      </x:c>
      <x:c r="F295" s="18" t="n">
        <x:v>48</x:v>
      </x:c>
      <x:c r="G295" s="18" t="n">
        <x:v>65</x:v>
      </x:c>
      <x:c r="H295" s="19" t="n">
        <x:v>1.3541666666666667</x:v>
      </x:c>
      <x:c r="I295" s="18" t="n">
        <x:f>ROUND(MIN(Model_Config_v3!$B$6,MAX(Q295,R295,S295*Model_Config_v3!$B$4+T295*Model_Config_v3!$B$5)),0)</x:f>
        <x:v>617</x:v>
      </x:c>
      <x:c r="J295" s="18" t="n">
        <x:f>MIN(Model_Config_v3!$B$6,I295+Model_Config_v3!$B$7)</x:f>
        <x:v>637</x:v>
      </x:c>
      <x:c r="K295" s="20" t="n">
        <x:v>46.5</x:v>
      </x:c>
      <x:c r="L295" t="str">
        <x:v>MENENGAH</x:v>
      </x:c>
      <x:c r="M295" t="str">
        <x:v>SEDANG+</x:v>
      </x:c>
      <x:c r="N295" t="str">
        <x:v>ELITE-3</x:v>
      </x:c>
      <x:c r="O295" t="str">
        <x:v>SAINTEK</x:v>
      </x:c>
      <x:c r="P295" t="str">
        <x:v>SAINS DASAR</x:v>
      </x:c>
      <x:c r="Q295" s="18" t="n">
        <x:v>615</x:v>
      </x:c>
      <x:c r="R295" s="18" t="n">
        <x:v>0</x:v>
      </x:c>
      <x:c r="S295" s="18" t="n">
        <x:v>534.4839331193995</x:v>
      </x:c>
      <x:c r="T295" s="18" t="n">
        <x:v>653</x:v>
      </x:c>
      <x:c r="U295" s="18" t="n">
        <x:v>615</x:v>
      </x:c>
      <x:c r="V295" s="20" t="n">
        <x:v>12</x:v>
      </x:c>
      <x:c r="W295" s="20" t="n">
        <x:v>5</x:v>
      </x:c>
      <x:c r="X295" s="20" t="n">
        <x:v>3</x:v>
      </x:c>
      <x:c r="Y295" t="str">
        <x:v>Basis arsip 2025/2024</x:v>
      </x:c>
      <x:c r="Z295" t="str">
        <x:v>https://snpmb.id/utbk-snbt/daya-tampung-snbt</x:v>
      </x:c>
      <x:c r="AA295" t="str">
        <x:v>Tidak Ada</x:v>
      </x:c>
      <x:c r="AB295" t="str">
        <x:v>Campus=80; Ratio=7.8; Prodi=50; RelDemand=5.6; Capacity=60.0</x:v>
      </x:c>
    </x:row>
    <x:row r="296">
      <x:c r="A296" t="n">
        <x:v>293</x:v>
      </x:c>
      <x:c r="B296" t="str">
        <x:v>PTN Akademik</x:v>
      </x:c>
      <x:c r="C296" t="str">
        <x:v>UNIVERSITAS RIAU</x:v>
      </x:c>
      <x:c r="D296" t="str">
        <x:v>KIMIA</x:v>
      </x:c>
      <x:c r="E296" t="str">
        <x:v>Sarjana</x:v>
      </x:c>
      <x:c r="F296" s="18" t="n">
        <x:v>48</x:v>
      </x:c>
      <x:c r="G296" s="18" t="n">
        <x:v>158</x:v>
      </x:c>
      <x:c r="H296" s="19" t="n">
        <x:v>3.2916666666666665</x:v>
      </x:c>
      <x:c r="I296" s="18" t="n">
        <x:f>ROUND(MIN(Model_Config_v3!$B$6,MAX(Q296,R296,S296*Model_Config_v3!$B$4+T296*Model_Config_v3!$B$5)),0)</x:f>
        <x:v>639</x:v>
      </x:c>
      <x:c r="J296" s="18" t="n">
        <x:f>MIN(Model_Config_v3!$B$6,I296+Model_Config_v3!$B$7)</x:f>
        <x:v>659</x:v>
      </x:c>
      <x:c r="K296" s="20" t="n">
        <x:v>53</x:v>
      </x:c>
      <x:c r="L296" t="str">
        <x:v>MENENGAH</x:v>
      </x:c>
      <x:c r="M296" t="str">
        <x:v>SEDANG+</x:v>
      </x:c>
      <x:c r="N296" t="str">
        <x:v>ELITE-3</x:v>
      </x:c>
      <x:c r="O296" t="str">
        <x:v>SAINTEK</x:v>
      </x:c>
      <x:c r="P296" t="str">
        <x:v>SAINS DASAR</x:v>
      </x:c>
      <x:c r="Q296" s="18" t="n">
        <x:v>615</x:v>
      </x:c>
      <x:c r="R296" s="18" t="n">
        <x:v>0</x:v>
      </x:c>
      <x:c r="S296" s="18" t="n">
        <x:v>576.9157434536719</x:v>
      </x:c>
      <x:c r="T296" s="18" t="n">
        <x:v>666</x:v>
      </x:c>
      <x:c r="U296" s="18" t="n">
        <x:v>615</x:v>
      </x:c>
      <x:c r="V296" s="20" t="n">
        <x:v>12</x:v>
      </x:c>
      <x:c r="W296" s="20" t="n">
        <x:v>5</x:v>
      </x:c>
      <x:c r="X296" s="20" t="n">
        <x:v>3</x:v>
      </x:c>
      <x:c r="Y296" t="str">
        <x:v>Basis arsip 2025/2024</x:v>
      </x:c>
      <x:c r="Z296" t="str">
        <x:v>https://snpmb.id/utbk-snbt/daya-tampung-snbt</x:v>
      </x:c>
      <x:c r="AA296" t="str">
        <x:v>Tidak Ada</x:v>
      </x:c>
      <x:c r="AB296" t="str">
        <x:v>Campus=80; Ratio=30.5; Prodi=50; RelDemand=13.7; Capacity=60.0</x:v>
      </x:c>
    </x:row>
    <x:row r="297">
      <x:c r="A297" t="n">
        <x:v>294</x:v>
      </x:c>
      <x:c r="B297" t="str">
        <x:v>PTN Akademik</x:v>
      </x:c>
      <x:c r="C297" t="str">
        <x:v>UNIVERSITAS RIAU</x:v>
      </x:c>
      <x:c r="D297" t="str">
        <x:v>MATEMATIKA</x:v>
      </x:c>
      <x:c r="E297" t="str">
        <x:v>Sarjana</x:v>
      </x:c>
      <x:c r="F297" s="18" t="n">
        <x:v>36</x:v>
      </x:c>
      <x:c r="G297" s="18" t="n">
        <x:v>124</x:v>
      </x:c>
      <x:c r="H297" s="19" t="n">
        <x:v>3.4444444444444446</x:v>
      </x:c>
      <x:c r="I297" s="18" t="n">
        <x:f>ROUND(MIN(Model_Config_v3!$B$6,MAX(Q297,R297,S297*Model_Config_v3!$B$4+T297*Model_Config_v3!$B$5)),0)</x:f>
        <x:v>642</x:v>
      </x:c>
      <x:c r="J297" s="18" t="n">
        <x:f>MIN(Model_Config_v3!$B$6,I297+Model_Config_v3!$B$7)</x:f>
        <x:v>662</x:v>
      </x:c>
      <x:c r="K297" s="20" t="n">
        <x:v>54.3</x:v>
      </x:c>
      <x:c r="L297" t="str">
        <x:v>MENENGAH</x:v>
      </x:c>
      <x:c r="M297" t="str">
        <x:v>SEDANG+</x:v>
      </x:c>
      <x:c r="N297" t="str">
        <x:v>ELITE-3</x:v>
      </x:c>
      <x:c r="O297" t="str">
        <x:v>SAINTEK</x:v>
      </x:c>
      <x:c r="P297" t="str">
        <x:v>SAINS DASAR</x:v>
      </x:c>
      <x:c r="Q297" s="18" t="n">
        <x:v>615</x:v>
      </x:c>
      <x:c r="R297" s="18" t="n">
        <x:v>0</x:v>
      </x:c>
      <x:c r="S297" s="18" t="n">
        <x:v>579.0831102834443</x:v>
      </x:c>
      <x:c r="T297" s="18" t="n">
        <x:v>669</x:v>
      </x:c>
      <x:c r="U297" s="18" t="n">
        <x:v>615</x:v>
      </x:c>
      <x:c r="V297" s="20" t="n">
        <x:v>12</x:v>
      </x:c>
      <x:c r="W297" s="20" t="n">
        <x:v>5</x:v>
      </x:c>
      <x:c r="X297" s="20" t="n">
        <x:v>3</x:v>
      </x:c>
      <x:c r="Y297" t="str">
        <x:v>Basis arsip 2025/2024</x:v>
      </x:c>
      <x:c r="Z297" t="str">
        <x:v>https://snpmb.id/utbk-snbt/daya-tampung-snbt</x:v>
      </x:c>
      <x:c r="AA297" t="str">
        <x:v>Tidak Ada</x:v>
      </x:c>
      <x:c r="AB297" t="str">
        <x:v>Campus=80; Ratio=31.6; Prodi=50; RelDemand=14.3; Capacity=70.0</x:v>
      </x:c>
    </x:row>
    <x:row r="298">
      <x:c r="A298" t="n">
        <x:v>295</x:v>
      </x:c>
      <x:c r="B298" t="str">
        <x:v>PTN Akademik</x:v>
      </x:c>
      <x:c r="C298" t="str">
        <x:v>UNIVERSITAS RIAU</x:v>
      </x:c>
      <x:c r="D298" t="str">
        <x:v>BIOLOGI</x:v>
      </x:c>
      <x:c r="E298" t="str">
        <x:v>Sarjana</x:v>
      </x:c>
      <x:c r="F298" s="18" t="n">
        <x:v>48</x:v>
      </x:c>
      <x:c r="G298" s="18" t="n">
        <x:v>179</x:v>
      </x:c>
      <x:c r="H298" s="19" t="n">
        <x:v>3.7291666666666665</x:v>
      </x:c>
      <x:c r="I298" s="18" t="n">
        <x:f>ROUND(MIN(Model_Config_v3!$B$6,MAX(Q298,R298,S298*Model_Config_v3!$B$4+T298*Model_Config_v3!$B$5)),0)</x:f>
        <x:v>642</x:v>
      </x:c>
      <x:c r="J298" s="18" t="n">
        <x:f>MIN(Model_Config_v3!$B$6,I298+Model_Config_v3!$B$7)</x:f>
        <x:v>662</x:v>
      </x:c>
      <x:c r="K298" s="20" t="n">
        <x:v>54</x:v>
      </x:c>
      <x:c r="L298" t="str">
        <x:v>MENENGAH</x:v>
      </x:c>
      <x:c r="M298" t="str">
        <x:v>SEDANG+</x:v>
      </x:c>
      <x:c r="N298" t="str">
        <x:v>ELITE-3</x:v>
      </x:c>
      <x:c r="O298" t="str">
        <x:v>SAINTEK</x:v>
      </x:c>
      <x:c r="P298" t="str">
        <x:v>SAINS DASAR</x:v>
      </x:c>
      <x:c r="Q298" s="18" t="n">
        <x:v>615</x:v>
      </x:c>
      <x:c r="R298" s="18" t="n">
        <x:v>0</x:v>
      </x:c>
      <x:c r="S298" s="18" t="n">
        <x:v>582.8772972964737</x:v>
      </x:c>
      <x:c r="T298" s="18" t="n">
        <x:v>668</x:v>
      </x:c>
      <x:c r="U298" s="18" t="n">
        <x:v>615</x:v>
      </x:c>
      <x:c r="V298" s="20" t="n">
        <x:v>12</x:v>
      </x:c>
      <x:c r="W298" s="20" t="n">
        <x:v>5</x:v>
      </x:c>
      <x:c r="X298" s="20" t="n">
        <x:v>3</x:v>
      </x:c>
      <x:c r="Y298" t="str">
        <x:v>Basis arsip 2025/2024</x:v>
      </x:c>
      <x:c r="Z298" t="str">
        <x:v>https://snpmb.id/utbk-snbt/daya-tampung-snbt</x:v>
      </x:c>
      <x:c r="AA298" t="str">
        <x:v>Tidak Ada</x:v>
      </x:c>
      <x:c r="AB298" t="str">
        <x:v>Campus=80; Ratio=33.6; Prodi=50; RelDemand=15.5; Capacity=60.0</x:v>
      </x:c>
    </x:row>
    <x:row r="299">
      <x:c r="A299" t="n">
        <x:v>296</x:v>
      </x:c>
      <x:c r="B299" t="str">
        <x:v>PTN Akademik</x:v>
      </x:c>
      <x:c r="C299" t="str">
        <x:v>UNIVERSITAS RIAU</x:v>
      </x:c>
      <x:c r="D299" t="str">
        <x:v>MANAJEMEN SUMBERDAYA PERAIRAN</x:v>
      </x:c>
      <x:c r="E299" t="str">
        <x:v>Sarjana</x:v>
      </x:c>
      <x:c r="F299" s="18" t="n">
        <x:v>52</x:v>
      </x:c>
      <x:c r="G299" s="18" t="n">
        <x:v>99</x:v>
      </x:c>
      <x:c r="H299" s="19" t="n">
        <x:v>1.9038461538461537</x:v>
      </x:c>
      <x:c r="I299" s="18" t="n">
        <x:f>ROUND(MIN(Model_Config_v3!$B$6,MAX(Q299,R299,S299*Model_Config_v3!$B$4+T299*Model_Config_v3!$B$5)),0)</x:f>
        <x:v>629</x:v>
      </x:c>
      <x:c r="J299" s="18" t="n">
        <x:f>MIN(Model_Config_v3!$B$6,I299+Model_Config_v3!$B$7)</x:f>
        <x:v>649</x:v>
      </x:c>
      <x:c r="K299" s="20" t="n">
        <x:v>51.6</x:v>
      </x:c>
      <x:c r="L299" t="str">
        <x:v>MENENGAH</x:v>
      </x:c>
      <x:c r="M299" t="str">
        <x:v>SEDANG+</x:v>
      </x:c>
      <x:c r="N299" t="str">
        <x:v>ELITE-3</x:v>
      </x:c>
      <x:c r="O299" t="str">
        <x:v>SOSHUM</x:v>
      </x:c>
      <x:c r="P299" t="str">
        <x:v>BISNIS/EKONOMI/AKUNTANSI</x:v>
      </x:c>
      <x:c r="Q299" s="18" t="n">
        <x:v>615</x:v>
      </x:c>
      <x:c r="R299" s="18" t="n">
        <x:v>0</x:v>
      </x:c>
      <x:c r="S299" s="18" t="n">
        <x:v>550.7595036059025</x:v>
      </x:c>
      <x:c r="T299" s="18" t="n">
        <x:v>663</x:v>
      </x:c>
      <x:c r="U299" s="18" t="n">
        <x:v>615</x:v>
      </x:c>
      <x:c r="V299" s="20" t="n">
        <x:v>4.4</x:v>
      </x:c>
      <x:c r="W299" s="20" t="n">
        <x:v>14.3</x:v>
      </x:c>
      <x:c r="X299" s="20" t="n">
        <x:v>3.3</x:v>
      </x:c>
      <x:c r="Y299" t="str">
        <x:v>Basis arsip 2025/2024</x:v>
      </x:c>
      <x:c r="Z299" t="str">
        <x:v>https://snpmb.id/utbk-snbt/daya-tampung-snbt</x:v>
      </x:c>
      <x:c r="AA299" t="str">
        <x:v>Tidak Ada</x:v>
      </x:c>
      <x:c r="AB299" t="str">
        <x:v>Campus=80; Ratio=16.5; Prodi=65; RelDemand=7.9; Capacity=56.7</x:v>
      </x:c>
    </x:row>
    <x:row r="300">
      <x:c r="A300" t="n">
        <x:v>297</x:v>
      </x:c>
      <x:c r="B300" t="str">
        <x:v>PTN Akademik</x:v>
      </x:c>
      <x:c r="C300" t="str">
        <x:v>UNIVERSITAS RIAU</x:v>
      </x:c>
      <x:c r="D300" t="str">
        <x:v>BUDIDAYA PERAIRAN</x:v>
      </x:c>
      <x:c r="E300" t="str">
        <x:v>Sarjana</x:v>
      </x:c>
      <x:c r="F300" s="18" t="n">
        <x:v>64</x:v>
      </x:c>
      <x:c r="G300" s="18" t="n">
        <x:v>93</x:v>
      </x:c>
      <x:c r="H300" s="19" t="n">
        <x:v>1.453125</x:v>
      </x:c>
      <x:c r="I300" s="18" t="n">
        <x:f>ROUND(MIN(Model_Config_v3!$B$6,MAX(Q300,R300,S300*Model_Config_v3!$B$4+T300*Model_Config_v3!$B$5)),0)</x:f>
        <x:v>615</x:v>
      </x:c>
      <x:c r="J300" s="18" t="n">
        <x:f>MIN(Model_Config_v3!$B$6,I300+Model_Config_v3!$B$7)</x:f>
        <x:v>635</x:v>
      </x:c>
      <x:c r="K300" s="20" t="n">
        <x:v>43.7</x:v>
      </x:c>
      <x:c r="L300" t="str">
        <x:v>RELATIF LONGGAR</x:v>
      </x:c>
      <x:c r="M300" t="str">
        <x:v>SEDANG+</x:v>
      </x:c>
      <x:c r="N300" t="str">
        <x:v>ELITE-3</x:v>
      </x:c>
      <x:c r="O300" t="str">
        <x:v>CAMPURAN</x:v>
      </x:c>
      <x:c r="P300" t="str">
        <x:v>UMUM</x:v>
      </x:c>
      <x:c r="Q300" s="18" t="n">
        <x:v>615</x:v>
      </x:c>
      <x:c r="R300" s="18" t="n">
        <x:v>0</x:v>
      </x:c>
      <x:c r="S300" s="18" t="n">
        <x:v>537.8533272027053</x:v>
      </x:c>
      <x:c r="T300" s="18" t="n">
        <x:v>647</x:v>
      </x:c>
      <x:c r="U300" s="18" t="n">
        <x:v>615</x:v>
      </x:c>
      <x:c r="V300" s="20" t="n">
        <x:v>8.8</x:v>
      </x:c>
      <x:c r="W300" s="20" t="n">
        <x:v>9.9</x:v>
      </x:c>
      <x:c r="X300" s="20" t="n">
        <x:v>3.3</x:v>
      </x:c>
      <x:c r="Y300" t="str">
        <x:v>Basis arsip 2025/2024</x:v>
      </x:c>
      <x:c r="Z300" t="str">
        <x:v>https://snpmb.id/utbk-snbt/daya-tampung-snbt</x:v>
      </x:c>
      <x:c r="AA300" t="str">
        <x:v>Tidak Ada</x:v>
      </x:c>
      <x:c r="AB300" t="str">
        <x:v>Campus=80; Ratio=9.6; Prodi=40; RelDemand=6.0; Capacity=46.7</x:v>
      </x:c>
    </x:row>
    <x:row r="301">
      <x:c r="A301" t="n">
        <x:v>298</x:v>
      </x:c>
      <x:c r="B301" t="str">
        <x:v>PTN Akademik</x:v>
      </x:c>
      <x:c r="C301" t="str">
        <x:v>UNIVERSITAS RIAU</x:v>
      </x:c>
      <x:c r="D301" t="str">
        <x:v>ILMU KELAUTAN</x:v>
      </x:c>
      <x:c r="E301" t="str">
        <x:v>Sarjana</x:v>
      </x:c>
      <x:c r="F301" s="18" t="n">
        <x:v>56</x:v>
      </x:c>
      <x:c r="G301" s="18" t="n">
        <x:v>173</x:v>
      </x:c>
      <x:c r="H301" s="19" t="n">
        <x:v>3.0892857142857144</x:v>
      </x:c>
      <x:c r="I301" s="18" t="n">
        <x:f>ROUND(MIN(Model_Config_v3!$B$6,MAX(Q301,R301,S301*Model_Config_v3!$B$4+T301*Model_Config_v3!$B$5)),0)</x:f>
        <x:v>634</x:v>
      </x:c>
      <x:c r="J301" s="18" t="n">
        <x:f>MIN(Model_Config_v3!$B$6,I301+Model_Config_v3!$B$7)</x:f>
        <x:v>654</x:v>
      </x:c>
      <x:c r="K301" s="20" t="n">
        <x:v>49.8</x:v>
      </x:c>
      <x:c r="L301" t="str">
        <x:v>MENENGAH</x:v>
      </x:c>
      <x:c r="M301" t="str">
        <x:v>SEDANG+</x:v>
      </x:c>
      <x:c r="N301" t="str">
        <x:v>ELITE-3</x:v>
      </x:c>
      <x:c r="O301" t="str">
        <x:v>SAINTEK</x:v>
      </x:c>
      <x:c r="P301" t="str">
        <x:v>UMUM</x:v>
      </x:c>
      <x:c r="Q301" s="18" t="n">
        <x:v>615</x:v>
      </x:c>
      <x:c r="R301" s="18" t="n">
        <x:v>0</x:v>
      </x:c>
      <x:c r="S301" s="18" t="n">
        <x:v>573.8843883734854</x:v>
      </x:c>
      <x:c r="T301" s="18" t="n">
        <x:v>660</x:v>
      </x:c>
      <x:c r="U301" s="18" t="n">
        <x:v>615</x:v>
      </x:c>
      <x:c r="V301" s="20" t="n">
        <x:v>12</x:v>
      </x:c>
      <x:c r="W301" s="20" t="n">
        <x:v>5</x:v>
      </x:c>
      <x:c r="X301" s="20" t="n">
        <x:v>3</x:v>
      </x:c>
      <x:c r="Y301" t="str">
        <x:v>Basis arsip 2025/2024</x:v>
      </x:c>
      <x:c r="Z301" t="str">
        <x:v>https://snpmb.id/utbk-snbt/daya-tampung-snbt</x:v>
      </x:c>
      <x:c r="AA301" t="str">
        <x:v>Tidak Ada</x:v>
      </x:c>
      <x:c r="AB301" t="str">
        <x:v>Campus=80; Ratio=28.8; Prodi=40; RelDemand=12.8; Capacity=53.3</x:v>
      </x:c>
    </x:row>
    <x:row r="302">
      <x:c r="A302" t="n">
        <x:v>299</x:v>
      </x:c>
      <x:c r="B302" t="str">
        <x:v>PTN Akademik</x:v>
      </x:c>
      <x:c r="C302" t="str">
        <x:v>UNIVERSITAS RIAU</x:v>
      </x:c>
      <x:c r="D302" t="str">
        <x:v>TEKNOLOGI HASIL PERIKANAN</x:v>
      </x:c>
      <x:c r="E302" t="str">
        <x:v>Sarjana</x:v>
      </x:c>
      <x:c r="F302" s="18" t="n">
        <x:v>52</x:v>
      </x:c>
      <x:c r="G302" s="18" t="n">
        <x:v>77</x:v>
      </x:c>
      <x:c r="H302" s="19" t="n">
        <x:v>1.4807692307692308</x:v>
      </x:c>
      <x:c r="I302" s="18" t="n">
        <x:f>ROUND(MIN(Model_Config_v3!$B$6,MAX(Q302,R302,S302*Model_Config_v3!$B$4+T302*Model_Config_v3!$B$5)),0)</x:f>
        <x:v>617</x:v>
      </x:c>
      <x:c r="J302" s="18" t="n">
        <x:f>MIN(Model_Config_v3!$B$6,I302+Model_Config_v3!$B$7)</x:f>
        <x:v>637</x:v>
      </x:c>
      <x:c r="K302" s="20" t="n">
        <x:v>44.8</x:v>
      </x:c>
      <x:c r="L302" t="str">
        <x:v>RELATIF LONGGAR</x:v>
      </x:c>
      <x:c r="M302" t="str">
        <x:v>SEDANG+</x:v>
      </x:c>
      <x:c r="N302" t="str">
        <x:v>ELITE-3</x:v>
      </x:c>
      <x:c r="O302" t="str">
        <x:v>SAINTEK</x:v>
      </x:c>
      <x:c r="P302" t="str">
        <x:v>UMUM</x:v>
      </x:c>
      <x:c r="Q302" s="18" t="n">
        <x:v>615</x:v>
      </x:c>
      <x:c r="R302" s="18" t="n">
        <x:v>0</x:v>
      </x:c>
      <x:c r="S302" s="18" t="n">
        <x:v>538.7536119691451</x:v>
      </x:c>
      <x:c r="T302" s="18" t="n">
        <x:v>650</x:v>
      </x:c>
      <x:c r="U302" s="18" t="n">
        <x:v>615</x:v>
      </x:c>
      <x:c r="V302" s="20" t="n">
        <x:v>12</x:v>
      </x:c>
      <x:c r="W302" s="20" t="n">
        <x:v>5</x:v>
      </x:c>
      <x:c r="X302" s="20" t="n">
        <x:v>3</x:v>
      </x:c>
      <x:c r="Y302" t="str">
        <x:v>Basis arsip 2025/2024</x:v>
      </x:c>
      <x:c r="Z302" t="str">
        <x:v>https://snpmb.id/utbk-snbt/daya-tampung-snbt</x:v>
      </x:c>
      <x:c r="AA302" t="str">
        <x:v>Tidak Ada</x:v>
      </x:c>
      <x:c r="AB302" t="str">
        <x:v>Campus=80; Ratio=10.0; Prodi=40; RelDemand=6.1; Capacity=56.7</x:v>
      </x:c>
    </x:row>
    <x:row r="303">
      <x:c r="A303" t="n">
        <x:v>300</x:v>
      </x:c>
      <x:c r="B303" t="str">
        <x:v>PTN Akademik</x:v>
      </x:c>
      <x:c r="C303" t="str">
        <x:v>UNIVERSITAS RIAU</x:v>
      </x:c>
      <x:c r="D303" t="str">
        <x:v>PEMANFAATAN SUMBERDAYA PERIKANAN</x:v>
      </x:c>
      <x:c r="E303" t="str">
        <x:v>Sarjana</x:v>
      </x:c>
      <x:c r="F303" s="18" t="n">
        <x:v>44</x:v>
      </x:c>
      <x:c r="G303" s="18" t="n">
        <x:v>76</x:v>
      </x:c>
      <x:c r="H303" s="19" t="n">
        <x:v>1.7272727272727273</x:v>
      </x:c>
      <x:c r="I303" s="18" t="n">
        <x:f>ROUND(MIN(Model_Config_v3!$B$6,MAX(Q303,R303,S303*Model_Config_v3!$B$4+T303*Model_Config_v3!$B$5)),0)</x:f>
        <x:v>621</x:v>
      </x:c>
      <x:c r="J303" s="18" t="n">
        <x:f>MIN(Model_Config_v3!$B$6,I303+Model_Config_v3!$B$7)</x:f>
        <x:v>641</x:v>
      </x:c>
      <x:c r="K303" s="20" t="n">
        <x:v>46.5</x:v>
      </x:c>
      <x:c r="L303" t="str">
        <x:v>MENENGAH</x:v>
      </x:c>
      <x:c r="M303" t="str">
        <x:v>SEDANG+</x:v>
      </x:c>
      <x:c r="N303" t="str">
        <x:v>ELITE-3</x:v>
      </x:c>
      <x:c r="O303" t="str">
        <x:v>SAINTEK</x:v>
      </x:c>
      <x:c r="P303" t="str">
        <x:v>UMUM</x:v>
      </x:c>
      <x:c r="Q303" s="18" t="n">
        <x:v>615</x:v>
      </x:c>
      <x:c r="R303" s="18" t="n">
        <x:v>0</x:v>
      </x:c>
      <x:c r="S303" s="18" t="n">
        <x:v>546.1097007374065</x:v>
      </x:c>
      <x:c r="T303" s="18" t="n">
        <x:v>653</x:v>
      </x:c>
      <x:c r="U303" s="18" t="n">
        <x:v>615</x:v>
      </x:c>
      <x:c r="V303" s="20" t="n">
        <x:v>12</x:v>
      </x:c>
      <x:c r="W303" s="20" t="n">
        <x:v>5</x:v>
      </x:c>
      <x:c r="X303" s="20" t="n">
        <x:v>3</x:v>
      </x:c>
      <x:c r="Y303" t="str">
        <x:v>Basis arsip 2025/2024</x:v>
      </x:c>
      <x:c r="Z303" t="str">
        <x:v>https://snpmb.id/utbk-snbt/daya-tampung-snbt</x:v>
      </x:c>
      <x:c r="AA303" t="str">
        <x:v>Tidak Ada</x:v>
      </x:c>
      <x:c r="AB303" t="str">
        <x:v>Campus=80; Ratio=14.0; Prodi=40; RelDemand=7.2; Capacity=63.3</x:v>
      </x:c>
    </x:row>
    <x:row r="304">
      <x:c r="A304" t="n">
        <x:v>301</x:v>
      </x:c>
      <x:c r="B304" t="str">
        <x:v>PTN Akademik</x:v>
      </x:c>
      <x:c r="C304" t="str">
        <x:v>UNIVERSITAS RIAU</x:v>
      </x:c>
      <x:c r="D304" t="str">
        <x:v>AGROBISNIS PERIKANAN</x:v>
      </x:c>
      <x:c r="E304" t="str">
        <x:v>Sarjana</x:v>
      </x:c>
      <x:c r="F304" s="18" t="n">
        <x:v>40</x:v>
      </x:c>
      <x:c r="G304" s="18" t="n">
        <x:v>53</x:v>
      </x:c>
      <x:c r="H304" s="19" t="n">
        <x:v>1.325</x:v>
      </x:c>
      <x:c r="I304" s="18" t="n">
        <x:f>ROUND(MIN(Model_Config_v3!$B$6,MAX(Q304,R304,S304*Model_Config_v3!$B$4+T304*Model_Config_v3!$B$5)),0)</x:f>
        <x:v>622</x:v>
      </x:c>
      <x:c r="J304" s="18" t="n">
        <x:f>MIN(Model_Config_v3!$B$6,I304+Model_Config_v3!$B$7)</x:f>
        <x:v>642</x:v>
      </x:c>
      <x:c r="K304" s="20" t="n">
        <x:v>50</x:v>
      </x:c>
      <x:c r="L304" t="str">
        <x:v>MENENGAH</x:v>
      </x:c>
      <x:c r="M304" t="str">
        <x:v>SEDANG+</x:v>
      </x:c>
      <x:c r="N304" t="str">
        <x:v>ELITE-3</x:v>
      </x:c>
      <x:c r="O304" t="str">
        <x:v>SAINTEK</x:v>
      </x:c>
      <x:c r="P304" t="str">
        <x:v>BISNIS/EKONOMI/AKUNTANSI</x:v>
      </x:c>
      <x:c r="Q304" s="18" t="n">
        <x:v>615</x:v>
      </x:c>
      <x:c r="R304" s="18" t="n">
        <x:v>0</x:v>
      </x:c>
      <x:c r="S304" s="18" t="n">
        <x:v>533.443746610011</x:v>
      </x:c>
      <x:c r="T304" s="18" t="n">
        <x:v>660</x:v>
      </x:c>
      <x:c r="U304" s="18" t="n">
        <x:v>615</x:v>
      </x:c>
      <x:c r="V304" s="20" t="n">
        <x:v>12</x:v>
      </x:c>
      <x:c r="W304" s="20" t="n">
        <x:v>5</x:v>
      </x:c>
      <x:c r="X304" s="20" t="n">
        <x:v>3</x:v>
      </x:c>
      <x:c r="Y304" t="str">
        <x:v>Basis arsip 2025/2024</x:v>
      </x:c>
      <x:c r="Z304" t="str">
        <x:v>https://snpmb.id/utbk-snbt/daya-tampung-snbt</x:v>
      </x:c>
      <x:c r="AA304" t="str">
        <x:v>Tidak Ada</x:v>
      </x:c>
      <x:c r="AB304" t="str">
        <x:v>Campus=80; Ratio=7.2; Prodi=65; RelDemand=5.5; Capacity=66.7</x:v>
      </x:c>
    </x:row>
    <x:row r="305">
      <x:c r="A305" t="n">
        <x:v>302</x:v>
      </x:c>
      <x:c r="B305" t="str">
        <x:v>PTN Akademik</x:v>
      </x:c>
      <x:c r="C305" t="str">
        <x:v>UNIVERSITAS RIAU</x:v>
      </x:c>
      <x:c r="D305" t="str">
        <x:v>AGROTEKNOLOGI</x:v>
      </x:c>
      <x:c r="E305" t="str">
        <x:v>Sarjana</x:v>
      </x:c>
      <x:c r="F305" s="18" t="n">
        <x:v>80</x:v>
      </x:c>
      <x:c r="G305" s="18" t="n">
        <x:v>583</x:v>
      </x:c>
      <x:c r="H305" s="19" t="n">
        <x:v>7.2875</x:v>
      </x:c>
      <x:c r="I305" s="18" t="n">
        <x:f>ROUND(MIN(Model_Config_v3!$B$6,MAX(Q305,R305,S305*Model_Config_v3!$B$4+T305*Model_Config_v3!$B$5)),0)</x:f>
        <x:v>653</x:v>
      </x:c>
      <x:c r="J305" s="18" t="n">
        <x:f>MIN(Model_Config_v3!$B$6,I305+Model_Config_v3!$B$7)</x:f>
        <x:v>673</x:v>
      </x:c>
      <x:c r="K305" s="20" t="n">
        <x:v>55.1</x:v>
      </x:c>
      <x:c r="L305" t="str">
        <x:v>KETAT</x:v>
      </x:c>
      <x:c r="M305" t="str">
        <x:v>SEDANG+</x:v>
      </x:c>
      <x:c r="N305" t="str">
        <x:v>ELITE-3</x:v>
      </x:c>
      <x:c r="O305" t="str">
        <x:v>SAINTEK</x:v>
      </x:c>
      <x:c r="P305" t="str">
        <x:v>UMUM</x:v>
      </x:c>
      <x:c r="Q305" s="18" t="n">
        <x:v>615</x:v>
      </x:c>
      <x:c r="R305" s="18" t="n">
        <x:v>0</x:v>
      </x:c>
      <x:c r="S305" s="18" t="n">
        <x:v>614.8836424543778</x:v>
      </x:c>
      <x:c r="T305" s="18" t="n">
        <x:v>670</x:v>
      </x:c>
      <x:c r="U305" s="18" t="n">
        <x:v>615</x:v>
      </x:c>
      <x:c r="V305" s="20" t="n">
        <x:v>12</x:v>
      </x:c>
      <x:c r="W305" s="20" t="n">
        <x:v>5</x:v>
      </x:c>
      <x:c r="X305" s="20" t="n">
        <x:v>3</x:v>
      </x:c>
      <x:c r="Y305" t="str">
        <x:v>Basis arsip 2025/2024</x:v>
      </x:c>
      <x:c r="Z305" t="str">
        <x:v>https://snpmb.id/utbk-snbt/daya-tampung-snbt</x:v>
      </x:c>
      <x:c r="AA305" t="str">
        <x:v>Tidak Ada</x:v>
      </x:c>
      <x:c r="AB305" t="str">
        <x:v>Campus=80; Ratio=50.8; Prodi=40; RelDemand=30.3; Capacity=33.3</x:v>
      </x:c>
    </x:row>
    <x:row r="306">
      <x:c r="A306" t="n">
        <x:v>303</x:v>
      </x:c>
      <x:c r="B306" t="str">
        <x:v>PTN Akademik</x:v>
      </x:c>
      <x:c r="C306" t="str">
        <x:v>UNIVERSITAS RIAU</x:v>
      </x:c>
      <x:c r="D306" t="str">
        <x:v>AGRIBISNIS</x:v>
      </x:c>
      <x:c r="E306" t="str">
        <x:v>Sarjana</x:v>
      </x:c>
      <x:c r="F306" s="18" t="n">
        <x:v>48</x:v>
      </x:c>
      <x:c r="G306" s="18" t="n">
        <x:v>450</x:v>
      </x:c>
      <x:c r="H306" s="19" t="n">
        <x:v>9.375</x:v>
      </x:c>
      <x:c r="I306" s="18" t="n">
        <x:f>ROUND(MIN(Model_Config_v3!$B$6,MAX(Q306,R306,S306*Model_Config_v3!$B$4+T306*Model_Config_v3!$B$5)),0)</x:f>
        <x:v>671</x:v>
      </x:c>
      <x:c r="J306" s="18" t="n">
        <x:f>MIN(Model_Config_v3!$B$6,I306+Model_Config_v3!$B$7)</x:f>
        <x:v>691</x:v>
      </x:c>
      <x:c r="K306" s="20" t="n">
        <x:v>65.2</x:v>
      </x:c>
      <x:c r="L306" t="str">
        <x:v>SANGAT KETAT</x:v>
      </x:c>
      <x:c r="M306" t="str">
        <x:v>SEDANG+</x:v>
      </x:c>
      <x:c r="N306" t="str">
        <x:v>ELITE-3</x:v>
      </x:c>
      <x:c r="O306" t="str">
        <x:v>SOSHUM</x:v>
      </x:c>
      <x:c r="P306" t="str">
        <x:v>BISNIS/EKONOMI/AKUNTANSI</x:v>
      </x:c>
      <x:c r="Q306" s="18" t="n">
        <x:v>615</x:v>
      </x:c>
      <x:c r="R306" s="18" t="n">
        <x:v>0</x:v>
      </x:c>
      <x:c r="S306" s="18" t="n">
        <x:v>626.9168404039732</x:v>
      </x:c>
      <x:c r="T306" s="18" t="n">
        <x:v>690</x:v>
      </x:c>
      <x:c r="U306" s="18" t="n">
        <x:v>641.9168404039732</x:v>
      </x:c>
      <x:c r="V306" s="20" t="n">
        <x:v>4.4</x:v>
      </x:c>
      <x:c r="W306" s="20" t="n">
        <x:v>14.3</x:v>
      </x:c>
      <x:c r="X306" s="20" t="n">
        <x:v>3.3</x:v>
      </x:c>
      <x:c r="Y306" t="str">
        <x:v>Basis arsip 2025/2024</x:v>
      </x:c>
      <x:c r="Z306" t="str">
        <x:v>https://snpmb.id/utbk-snbt/daya-tampung-snbt</x:v>
      </x:c>
      <x:c r="AA306" t="str">
        <x:v>Tidak Ada</x:v>
      </x:c>
      <x:c r="AB306" t="str">
        <x:v>Campus=80; Ratio=57.2; Prodi=65; RelDemand=38.9; Capacity=60.0</x:v>
      </x:c>
    </x:row>
    <x:row r="307">
      <x:c r="A307" t="n">
        <x:v>304</x:v>
      </x:c>
      <x:c r="B307" t="str">
        <x:v>PTN Akademik</x:v>
      </x:c>
      <x:c r="C307" t="str">
        <x:v>UNIVERSITAS RIAU</x:v>
      </x:c>
      <x:c r="D307" t="str">
        <x:v>TEKNOLOGI HASIL PERTANIAN</x:v>
      </x:c>
      <x:c r="E307" t="str">
        <x:v>Sarjana</x:v>
      </x:c>
      <x:c r="F307" s="18" t="n">
        <x:v>32</x:v>
      </x:c>
      <x:c r="G307" s="18" t="n">
        <x:v>209</x:v>
      </x:c>
      <x:c r="H307" s="19" t="n">
        <x:v>6.53125</x:v>
      </x:c>
      <x:c r="I307" s="18" t="n">
        <x:f>ROUND(MIN(Model_Config_v3!$B$6,MAX(Q307,R307,S307*Model_Config_v3!$B$4+T307*Model_Config_v3!$B$5)),0)</x:f>
        <x:v>656</x:v>
      </x:c>
      <x:c r="J307" s="18" t="n">
        <x:f>MIN(Model_Config_v3!$B$6,I307+Model_Config_v3!$B$7)</x:f>
        <x:v>676</x:v>
      </x:c>
      <x:c r="K307" s="20" t="n">
        <x:v>58</x:v>
      </x:c>
      <x:c r="L307" t="str">
        <x:v>KETAT</x:v>
      </x:c>
      <x:c r="M307" t="str">
        <x:v>SEDANG+</x:v>
      </x:c>
      <x:c r="N307" t="str">
        <x:v>ELITE-3</x:v>
      </x:c>
      <x:c r="O307" t="str">
        <x:v>SAINTEK</x:v>
      </x:c>
      <x:c r="P307" t="str">
        <x:v>UMUM</x:v>
      </x:c>
      <x:c r="Q307" s="18" t="n">
        <x:v>615</x:v>
      </x:c>
      <x:c r="R307" s="18" t="n">
        <x:v>0</x:v>
      </x:c>
      <x:c r="S307" s="18" t="n">
        <x:v>609.6495938570263</x:v>
      </x:c>
      <x:c r="T307" s="18" t="n">
        <x:v>676</x:v>
      </x:c>
      <x:c r="U307" s="18" t="n">
        <x:v>615</x:v>
      </x:c>
      <x:c r="V307" s="20" t="n">
        <x:v>12</x:v>
      </x:c>
      <x:c r="W307" s="20" t="n">
        <x:v>5</x:v>
      </x:c>
      <x:c r="X307" s="20" t="n">
        <x:v>3</x:v>
      </x:c>
      <x:c r="Y307" t="str">
        <x:v>Basis arsip 2025/2024</x:v>
      </x:c>
      <x:c r="Z307" t="str">
        <x:v>https://snpmb.id/utbk-snbt/daya-tampung-snbt</x:v>
      </x:c>
      <x:c r="AA307" t="str">
        <x:v>Tidak Ada</x:v>
      </x:c>
      <x:c r="AB307" t="str">
        <x:v>Campus=80; Ratio=48.0; Prodi=40; RelDemand=27.1; Capacity=73.3</x:v>
      </x:c>
    </x:row>
    <x:row r="308">
      <x:c r="A308" t="n">
        <x:v>305</x:v>
      </x:c>
      <x:c r="B308" t="str">
        <x:v>PTN Akademik</x:v>
      </x:c>
      <x:c r="C308" t="str">
        <x:v>UNIVERSITAS RIAU</x:v>
      </x:c>
      <x:c r="D308" t="str">
        <x:v>KEHUTANAN</x:v>
      </x:c>
      <x:c r="E308" t="str">
        <x:v>Sarjana</x:v>
      </x:c>
      <x:c r="F308" s="18" t="n">
        <x:v>48</x:v>
      </x:c>
      <x:c r="G308" s="18" t="n">
        <x:v>391</x:v>
      </x:c>
      <x:c r="H308" s="19" t="n">
        <x:v>8.145833333333334</x:v>
      </x:c>
      <x:c r="I308" s="18" t="n">
        <x:f>ROUND(MIN(Model_Config_v3!$B$6,MAX(Q308,R308,S308*Model_Config_v3!$B$4+T308*Model_Config_v3!$B$5)),0)</x:f>
        <x:v>661</x:v>
      </x:c>
      <x:c r="J308" s="18" t="n">
        <x:f>MIN(Model_Config_v3!$B$6,I308+Model_Config_v3!$B$7)</x:f>
        <x:v>681</x:v>
      </x:c>
      <x:c r="K308" s="20" t="n">
        <x:v>58.8</x:v>
      </x:c>
      <x:c r="L308" t="str">
        <x:v>KETAT</x:v>
      </x:c>
      <x:c r="M308" t="str">
        <x:v>SEDANG+</x:v>
      </x:c>
      <x:c r="N308" t="str">
        <x:v>ELITE-3</x:v>
      </x:c>
      <x:c r="O308" t="str">
        <x:v>CAMPURAN</x:v>
      </x:c>
      <x:c r="P308" t="str">
        <x:v>UMUM</x:v>
      </x:c>
      <x:c r="Q308" s="18" t="n">
        <x:v>615</x:v>
      </x:c>
      <x:c r="R308" s="18" t="n">
        <x:v>0</x:v>
      </x:c>
      <x:c r="S308" s="18" t="n">
        <x:v>620.2029072022308</x:v>
      </x:c>
      <x:c r="T308" s="18" t="n">
        <x:v>678</x:v>
      </x:c>
      <x:c r="U308" s="18" t="n">
        <x:v>620.2029072022308</x:v>
      </x:c>
      <x:c r="V308" s="20" t="n">
        <x:v>8.8</x:v>
      </x:c>
      <x:c r="W308" s="20" t="n">
        <x:v>9.9</x:v>
      </x:c>
      <x:c r="X308" s="20" t="n">
        <x:v>3.3</x:v>
      </x:c>
      <x:c r="Y308" t="str">
        <x:v>Basis arsip 2025/2024</x:v>
      </x:c>
      <x:c r="Z308" t="str">
        <x:v>https://snpmb.id/utbk-snbt/daya-tampung-snbt</x:v>
      </x:c>
      <x:c r="AA308" t="str">
        <x:v>Tidak Ada</x:v>
      </x:c>
      <x:c r="AB308" t="str">
        <x:v>Campus=80; Ratio=53.6; Prodi=40; RelDemand=33.8; Capacity=60.0</x:v>
      </x:c>
    </x:row>
    <x:row r="309">
      <x:c r="A309" t="n">
        <x:v>306</x:v>
      </x:c>
      <x:c r="B309" t="str">
        <x:v>PTN Akademik</x:v>
      </x:c>
      <x:c r="C309" t="str">
        <x:v>UNIVERSITAS RIAU</x:v>
      </x:c>
      <x:c r="D309" t="str">
        <x:v>TEKNIK SIPIL</x:v>
      </x:c>
      <x:c r="E309" t="str">
        <x:v>Sarjana</x:v>
      </x:c>
      <x:c r="F309" s="18" t="n">
        <x:v>48</x:v>
      </x:c>
      <x:c r="G309" s="18" t="n">
        <x:v>824</x:v>
      </x:c>
      <x:c r="H309" s="19" t="n">
        <x:v>17.166666666666668</x:v>
      </x:c>
      <x:c r="I309" s="18" t="n">
        <x:f>ROUND(MIN(Model_Config_v3!$B$6,MAX(Q309,R309,S309*Model_Config_v3!$B$4+T309*Model_Config_v3!$B$5)),0)</x:f>
        <x:v>689</x:v>
      </x:c>
      <x:c r="J309" s="18" t="n">
        <x:f>MIN(Model_Config_v3!$B$6,I309+Model_Config_v3!$B$7)</x:f>
        <x:v>709</x:v>
      </x:c>
      <x:c r="K309" s="20" t="n">
        <x:v>71.3</x:v>
      </x:c>
      <x:c r="L309" t="str">
        <x:v>SANGAT KETAT</x:v>
      </x:c>
      <x:c r="M309" t="str">
        <x:v>SEDANG+</x:v>
      </x:c>
      <x:c r="N309" t="str">
        <x:v>ELITE-3</x:v>
      </x:c>
      <x:c r="O309" t="str">
        <x:v>SAINTEK</x:v>
      </x:c>
      <x:c r="P309" t="str">
        <x:v>TEKNIK/ARSITEKTUR/STATISTIKA/AKTUARIA</x:v>
      </x:c>
      <x:c r="Q309" s="18" t="n">
        <x:v>615</x:v>
      </x:c>
      <x:c r="R309" s="18" t="n">
        <x:v>0</x:v>
      </x:c>
      <x:c r="S309" s="18" t="n">
        <x:v>655.8154571753681</x:v>
      </x:c>
      <x:c r="T309" s="18" t="n">
        <x:v>703</x:v>
      </x:c>
      <x:c r="U309" s="18" t="n">
        <x:v>665.8154571753681</x:v>
      </x:c>
      <x:c r="V309" s="20" t="n">
        <x:v>12</x:v>
      </x:c>
      <x:c r="W309" s="20" t="n">
        <x:v>5</x:v>
      </x:c>
      <x:c r="X309" s="20" t="n">
        <x:v>3</x:v>
      </x:c>
      <x:c r="Y309" t="str">
        <x:v>Basis arsip 2025/2024</x:v>
      </x:c>
      <x:c r="Z309" t="str">
        <x:v>https://snpmb.id/utbk-snbt/daya-tampung-snbt</x:v>
      </x:c>
      <x:c r="AA309" t="str">
        <x:v>Tidak Ada</x:v>
      </x:c>
      <x:c r="AB309" t="str">
        <x:v>Campus=80; Ratio=72.7; Prodi=60; RelDemand=71.3; Capacity=60.0</x:v>
      </x:c>
    </x:row>
    <x:row r="310">
      <x:c r="A310" t="n">
        <x:v>307</x:v>
      </x:c>
      <x:c r="B310" t="str">
        <x:v>PTN Akademik</x:v>
      </x:c>
      <x:c r="C310" t="str">
        <x:v>UNIVERSITAS RIAU</x:v>
      </x:c>
      <x:c r="D310" t="str">
        <x:v>TEKNIK KIMIA</x:v>
      </x:c>
      <x:c r="E310" t="str">
        <x:v>Sarjana</x:v>
      </x:c>
      <x:c r="F310" s="18" t="n">
        <x:v>36</x:v>
      </x:c>
      <x:c r="G310" s="18" t="n">
        <x:v>437</x:v>
      </x:c>
      <x:c r="H310" s="19" t="n">
        <x:v>12.13888888888889</x:v>
      </x:c>
      <x:c r="I310" s="18" t="n">
        <x:f>ROUND(MIN(Model_Config_v3!$B$6,MAX(Q310,R310,S310*Model_Config_v3!$B$4+T310*Model_Config_v3!$B$5)),0)</x:f>
        <x:v>679</x:v>
      </x:c>
      <x:c r="J310" s="18" t="n">
        <x:f>MIN(Model_Config_v3!$B$6,I310+Model_Config_v3!$B$7)</x:f>
        <x:v>699</x:v>
      </x:c>
      <x:c r="K310" s="20" t="n">
        <x:v>68</x:v>
      </x:c>
      <x:c r="L310" t="str">
        <x:v>SANGAT KETAT</x:v>
      </x:c>
      <x:c r="M310" t="str">
        <x:v>SEDANG+</x:v>
      </x:c>
      <x:c r="N310" t="str">
        <x:v>ELITE-3</x:v>
      </x:c>
      <x:c r="O310" t="str">
        <x:v>SAINTEK</x:v>
      </x:c>
      <x:c r="P310" t="str">
        <x:v>TEKNIK/ARSITEKTUR/STATISTIKA/AKTUARIA</x:v>
      </x:c>
      <x:c r="Q310" s="18" t="n">
        <x:v>615</x:v>
      </x:c>
      <x:c r="R310" s="18" t="n">
        <x:v>0</x:v>
      </x:c>
      <x:c r="S310" s="18" t="n">
        <x:v>639.2596829823448</x:v>
      </x:c>
      <x:c r="T310" s="18" t="n">
        <x:v>696</x:v>
      </x:c>
      <x:c r="U310" s="18" t="n">
        <x:v>649.2596829823448</x:v>
      </x:c>
      <x:c r="V310" s="20" t="n">
        <x:v>12</x:v>
      </x:c>
      <x:c r="W310" s="20" t="n">
        <x:v>5</x:v>
      </x:c>
      <x:c r="X310" s="20" t="n">
        <x:v>3</x:v>
      </x:c>
      <x:c r="Y310" t="str">
        <x:v>Basis arsip 2025/2024</x:v>
      </x:c>
      <x:c r="Z310" t="str">
        <x:v>https://snpmb.id/utbk-snbt/daya-tampung-snbt</x:v>
      </x:c>
      <x:c r="AA310" t="str">
        <x:v>Tidak Ada</x:v>
      </x:c>
      <x:c r="AB310" t="str">
        <x:v>Campus=80; Ratio=63.8; Prodi=60; RelDemand=50.4; Capacity=70.0</x:v>
      </x:c>
    </x:row>
    <x:row r="311">
      <x:c r="A311" t="n">
        <x:v>308</x:v>
      </x:c>
      <x:c r="B311" t="str">
        <x:v>PTN Akademik</x:v>
      </x:c>
      <x:c r="C311" t="str">
        <x:v>UNIVERSITAS RIAU</x:v>
      </x:c>
      <x:c r="D311" t="str">
        <x:v>TEKNIK MESIN</x:v>
      </x:c>
      <x:c r="E311" t="str">
        <x:v>Sarjana</x:v>
      </x:c>
      <x:c r="F311" s="18" t="n">
        <x:v>40</x:v>
      </x:c>
      <x:c r="G311" s="18" t="n">
        <x:v>539</x:v>
      </x:c>
      <x:c r="H311" s="19" t="n">
        <x:v>13.475</x:v>
      </x:c>
      <x:c r="I311" s="18" t="n">
        <x:f>ROUND(MIN(Model_Config_v3!$B$6,MAX(Q311,R311,S311*Model_Config_v3!$B$4+T311*Model_Config_v3!$B$5)),0)</x:f>
        <x:v>682</x:v>
      </x:c>
      <x:c r="J311" s="18" t="n">
        <x:f>MIN(Model_Config_v3!$B$6,I311+Model_Config_v3!$B$7)</x:f>
        <x:v>702</x:v>
      </x:c>
      <x:c r="K311" s="20" t="n">
        <x:v>68.9</x:v>
      </x:c>
      <x:c r="L311" t="str">
        <x:v>SANGAT KETAT</x:v>
      </x:c>
      <x:c r="M311" t="str">
        <x:v>SEDANG+</x:v>
      </x:c>
      <x:c r="N311" t="str">
        <x:v>ELITE-3</x:v>
      </x:c>
      <x:c r="O311" t="str">
        <x:v>SAINTEK</x:v>
      </x:c>
      <x:c r="P311" t="str">
        <x:v>TEKNIK/ARSITEKTUR/STATISTIKA/AKTUARIA</x:v>
      </x:c>
      <x:c r="Q311" s="18" t="n">
        <x:v>615</x:v>
      </x:c>
      <x:c r="R311" s="18" t="n">
        <x:v>0</x:v>
      </x:c>
      <x:c r="S311" s="18" t="n">
        <x:v>644.2481651244653</x:v>
      </x:c>
      <x:c r="T311" s="18" t="n">
        <x:v>698</x:v>
      </x:c>
      <x:c r="U311" s="18" t="n">
        <x:v>654.2481651244653</x:v>
      </x:c>
      <x:c r="V311" s="20" t="n">
        <x:v>12</x:v>
      </x:c>
      <x:c r="W311" s="20" t="n">
        <x:v>5</x:v>
      </x:c>
      <x:c r="X311" s="20" t="n">
        <x:v>3</x:v>
      </x:c>
      <x:c r="Y311" t="str">
        <x:v>Basis arsip 2025/2024</x:v>
      </x:c>
      <x:c r="Z311" t="str">
        <x:v>https://snpmb.id/utbk-snbt/daya-tampung-snbt</x:v>
      </x:c>
      <x:c r="AA311" t="str">
        <x:v>Tidak Ada</x:v>
      </x:c>
      <x:c r="AB311" t="str">
        <x:v>Campus=80; Ratio=66.5; Prodi=60; RelDemand=55.9; Capacity=66.7</x:v>
      </x:c>
    </x:row>
    <x:row r="312">
      <x:c r="A312" t="n">
        <x:v>309</x:v>
      </x:c>
      <x:c r="B312" t="str">
        <x:v>PTN Akademik</x:v>
      </x:c>
      <x:c r="C312" t="str">
        <x:v>UNIVERSITAS RIAU</x:v>
      </x:c>
      <x:c r="D312" t="str">
        <x:v>TEKNIK ELEKTRO</x:v>
      </x:c>
      <x:c r="E312" t="str">
        <x:v>Sarjana</x:v>
      </x:c>
      <x:c r="F312" s="18" t="n">
        <x:v>48</x:v>
      </x:c>
      <x:c r="G312" s="18" t="n">
        <x:v>477</x:v>
      </x:c>
      <x:c r="H312" s="19" t="n">
        <x:v>9.9375</x:v>
      </x:c>
      <x:c r="I312" s="18" t="n">
        <x:f>ROUND(MIN(Model_Config_v3!$B$6,MAX(Q312,R312,S312*Model_Config_v3!$B$4+T312*Model_Config_v3!$B$5)),0)</x:f>
        <x:v>672</x:v>
      </x:c>
      <x:c r="J312" s="18" t="n">
        <x:f>MIN(Model_Config_v3!$B$6,I312+Model_Config_v3!$B$7)</x:f>
        <x:v>692</x:v>
      </x:c>
      <x:c r="K312" s="20" t="n">
        <x:v>64.8</x:v>
      </x:c>
      <x:c r="L312" t="str">
        <x:v>KETAT</x:v>
      </x:c>
      <x:c r="M312" t="str">
        <x:v>SEDANG+</x:v>
      </x:c>
      <x:c r="N312" t="str">
        <x:v>ELITE-3</x:v>
      </x:c>
      <x:c r="O312" t="str">
        <x:v>SAINTEK</x:v>
      </x:c>
      <x:c r="P312" t="str">
        <x:v>TEKNIK/ARSITEKTUR/STATISTIKA/AKTUARIA</x:v>
      </x:c>
      <x:c r="Q312" s="18" t="n">
        <x:v>615</x:v>
      </x:c>
      <x:c r="R312" s="18" t="n">
        <x:v>0</x:v>
      </x:c>
      <x:c r="S312" s="18" t="n">
        <x:v>629.7004855830979</x:v>
      </x:c>
      <x:c r="T312" s="18" t="n">
        <x:v>690</x:v>
      </x:c>
      <x:c r="U312" s="18" t="n">
        <x:v>639.7004855830979</x:v>
      </x:c>
      <x:c r="V312" s="20" t="n">
        <x:v>12</x:v>
      </x:c>
      <x:c r="W312" s="20" t="n">
        <x:v>5</x:v>
      </x:c>
      <x:c r="X312" s="20" t="n">
        <x:v>3</x:v>
      </x:c>
      <x:c r="Y312" t="str">
        <x:v>Basis arsip 2025/2024</x:v>
      </x:c>
      <x:c r="Z312" t="str">
        <x:v>https://snpmb.id/utbk-snbt/daya-tampung-snbt</x:v>
      </x:c>
      <x:c r="AA312" t="str">
        <x:v>Tidak Ada</x:v>
      </x:c>
      <x:c r="AB312" t="str">
        <x:v>Campus=80; Ratio=58.7; Prodi=60; RelDemand=41.3; Capacity=60.0</x:v>
      </x:c>
    </x:row>
    <x:row r="313">
      <x:c r="A313" t="n">
        <x:v>310</x:v>
      </x:c>
      <x:c r="B313" t="str">
        <x:v>PTN Akademik</x:v>
      </x:c>
      <x:c r="C313" t="str">
        <x:v>UNIVERSITAS RIAU</x:v>
      </x:c>
      <x:c r="D313" t="str">
        <x:v>KEDOKTERAN</x:v>
      </x:c>
      <x:c r="E313" t="str">
        <x:v>Sarjana</x:v>
      </x:c>
      <x:c r="F313" s="18" t="n">
        <x:v>72</x:v>
      </x:c>
      <x:c r="G313" s="18" t="n">
        <x:v>1640</x:v>
      </x:c>
      <x:c r="H313" s="19" t="n">
        <x:v>22.77777777777778</x:v>
      </x:c>
      <x:c r="I313" s="18" t="n">
        <x:f>ROUND(MIN(Model_Config_v3!$B$6,MAX(Q313,R313,S313*Model_Config_v3!$B$4+T313*Model_Config_v3!$B$5)),0)</x:f>
        <x:v>707</x:v>
      </x:c>
      <x:c r="J313" s="18" t="n">
        <x:f>MIN(Model_Config_v3!$B$6,I313+Model_Config_v3!$B$7)</x:f>
        <x:v>727</x:v>
      </x:c>
      <x:c r="K313" s="20" t="n">
        <x:v>81.4</x:v>
      </x:c>
      <x:c r="L313" t="str">
        <x:v>ELITE</x:v>
      </x:c>
      <x:c r="M313" t="str">
        <x:v>SEDANG+</x:v>
      </x:c>
      <x:c r="N313" t="str">
        <x:v>ELITE-3</x:v>
      </x:c>
      <x:c r="O313" t="str">
        <x:v>SAINTEK</x:v>
      </x:c>
      <x:c r="P313" t="str">
        <x:v>KEDOKTERAN</x:v>
      </x:c>
      <x:c r="Q313" s="18" t="n">
        <x:v>615</x:v>
      </x:c>
      <x:c r="R313" s="18" t="n">
        <x:v>700</x:v>
      </x:c>
      <x:c r="S313" s="18" t="n">
        <x:v>669.3262486778073</x:v>
      </x:c>
      <x:c r="T313" s="18" t="n">
        <x:v>723</x:v>
      </x:c>
      <x:c r="U313" s="18" t="n">
        <x:v>709.3262486778073</x:v>
      </x:c>
      <x:c r="V313" s="20" t="n">
        <x:v>12</x:v>
      </x:c>
      <x:c r="W313" s="20" t="n">
        <x:v>5</x:v>
      </x:c>
      <x:c r="X313" s="20" t="n">
        <x:v>3</x:v>
      </x:c>
      <x:c r="Y313" t="str">
        <x:v>Basis arsip 2025/2024</x:v>
      </x:c>
      <x:c r="Z313" t="str">
        <x:v>https://snpmb.id/utbk-snbt/daya-tampung-snbt</x:v>
      </x:c>
      <x:c r="AA313" t="str">
        <x:v>Tidak Ada</x:v>
      </x:c>
      <x:c r="AB313" t="str">
        <x:v>Campus=80; Ratio=79.9; Prodi=100; RelDemand=94.6; Capacity=40.0</x:v>
      </x:c>
    </x:row>
    <x:row r="314">
      <x:c r="A314" t="n">
        <x:v>311</x:v>
      </x:c>
      <x:c r="B314" t="str">
        <x:v>PTN Akademik</x:v>
      </x:c>
      <x:c r="C314" t="str">
        <x:v>UNIVERSITAS RIAU</x:v>
      </x:c>
      <x:c r="D314" t="str">
        <x:v>ILMU KEPERAWATAN</x:v>
      </x:c>
      <x:c r="E314" t="str">
        <x:v>Sarjana</x:v>
      </x:c>
      <x:c r="F314" s="18" t="n">
        <x:v>92</x:v>
      </x:c>
      <x:c r="G314" s="18" t="n">
        <x:v>1484</x:v>
      </x:c>
      <x:c r="H314" s="19" t="n">
        <x:v>16.130434782608695</x:v>
      </x:c>
      <x:c r="I314" s="18" t="n">
        <x:f>ROUND(MIN(Model_Config_v3!$B$6,MAX(Q314,R314,S314*Model_Config_v3!$B$4+T314*Model_Config_v3!$B$5)),0)</x:f>
        <x:v>680</x:v>
      </x:c>
      <x:c r="J314" s="18" t="n">
        <x:f>MIN(Model_Config_v3!$B$6,I314+Model_Config_v3!$B$7)</x:f>
        <x:v>700</x:v>
      </x:c>
      <x:c r="K314" s="20" t="n">
        <x:v>65.8</x:v>
      </x:c>
      <x:c r="L314" t="str">
        <x:v>SANGAT KETAT</x:v>
      </x:c>
      <x:c r="M314" t="str">
        <x:v>SEDANG+</x:v>
      </x:c>
      <x:c r="N314" t="str">
        <x:v>ELITE-3</x:v>
      </x:c>
      <x:c r="O314" t="str">
        <x:v>SAINTEK</x:v>
      </x:c>
      <x:c r="P314" t="str">
        <x:v>KESEHAT/GIZI/KEPERAWATAN</x:v>
      </x:c>
      <x:c r="Q314" s="18" t="n">
        <x:v>615</x:v>
      </x:c>
      <x:c r="R314" s="18" t="n">
        <x:v>0</x:v>
      </x:c>
      <x:c r="S314" s="18" t="n">
        <x:v>652.8410680957198</x:v>
      </x:c>
      <x:c r="T314" s="18" t="n">
        <x:v>692</x:v>
      </x:c>
      <x:c r="U314" s="18" t="n">
        <x:v>652.8410680957198</x:v>
      </x:c>
      <x:c r="V314" s="20" t="n">
        <x:v>12</x:v>
      </x:c>
      <x:c r="W314" s="20" t="n">
        <x:v>5</x:v>
      </x:c>
      <x:c r="X314" s="20" t="n">
        <x:v>3</x:v>
      </x:c>
      <x:c r="Y314" t="str">
        <x:v>Basis arsip 2025/2024</x:v>
      </x:c>
      <x:c r="Z314" t="str">
        <x:v>https://snpmb.id/utbk-snbt/daya-tampung-snbt</x:v>
      </x:c>
      <x:c r="AA314" t="str">
        <x:v>Tidak Ada</x:v>
      </x:c>
      <x:c r="AB314" t="str">
        <x:v>Campus=80; Ratio=71.1; Prodi=55; RelDemand=67.0; Capacity=23.3</x:v>
      </x:c>
    </x:row>
    <x:row r="315">
      <x:c r="A315" t="n">
        <x:v>312</x:v>
      </x:c>
      <x:c r="B315" t="str">
        <x:v>PTN Akademik</x:v>
      </x:c>
      <x:c r="C315" t="str">
        <x:v>UNIVERSITAS RIAU</x:v>
      </x:c>
      <x:c r="D315" t="str">
        <x:v>PENDIDIKAN MATEMATIKA</x:v>
      </x:c>
      <x:c r="E315" t="str">
        <x:v>Sarjana</x:v>
      </x:c>
      <x:c r="F315" s="18" t="n">
        <x:v>48</x:v>
      </x:c>
      <x:c r="G315" s="18" t="n">
        <x:v>322</x:v>
      </x:c>
      <x:c r="H315" s="19" t="n">
        <x:v>6.708333333333333</x:v>
      </x:c>
      <x:c r="I315" s="18" t="n">
        <x:f>ROUND(MIN(Model_Config_v3!$B$6,MAX(Q315,R315,S315*Model_Config_v3!$B$4+T315*Model_Config_v3!$B$5)),0)</x:f>
        <x:v>656</x:v>
      </x:c>
      <x:c r="J315" s="18" t="n">
        <x:f>MIN(Model_Config_v3!$B$6,I315+Model_Config_v3!$B$7)</x:f>
        <x:v>676</x:v>
      </x:c>
      <x:c r="K315" s="20" t="n">
        <x:v>57.9</x:v>
      </x:c>
      <x:c r="L315" t="str">
        <x:v>KETAT</x:v>
      </x:c>
      <x:c r="M315" t="str">
        <x:v>SEDANG+</x:v>
      </x:c>
      <x:c r="N315" t="str">
        <x:v>ELITE-3</x:v>
      </x:c>
      <x:c r="O315" t="str">
        <x:v>SAINTEK</x:v>
      </x:c>
      <x:c r="P315" t="str">
        <x:v>PENDIDIKAN</x:v>
      </x:c>
      <x:c r="Q315" s="18" t="n">
        <x:v>615</x:v>
      </x:c>
      <x:c r="R315" s="18" t="n">
        <x:v>0</x:v>
      </x:c>
      <x:c r="S315" s="18" t="n">
        <x:v>610.9276097752268</x:v>
      </x:c>
      <x:c r="T315" s="18" t="n">
        <x:v>676</x:v>
      </x:c>
      <x:c r="U315" s="18" t="n">
        <x:v>615</x:v>
      </x:c>
      <x:c r="V315" s="20" t="n">
        <x:v>12</x:v>
      </x:c>
      <x:c r="W315" s="20" t="n">
        <x:v>5</x:v>
      </x:c>
      <x:c r="X315" s="20" t="n">
        <x:v>3</x:v>
      </x:c>
      <x:c r="Y315" t="str">
        <x:v>Basis arsip 2025/2024</x:v>
      </x:c>
      <x:c r="Z315" t="str">
        <x:v>https://snpmb.id/utbk-snbt/daya-tampung-snbt</x:v>
      </x:c>
      <x:c r="AA315" t="str">
        <x:v>Tidak Ada</x:v>
      </x:c>
      <x:c r="AB315" t="str">
        <x:v>Campus=80; Ratio=48.7; Prodi=45; RelDemand=27.9; Capacity=60.0</x:v>
      </x:c>
    </x:row>
    <x:row r="316">
      <x:c r="A316" t="n">
        <x:v>313</x:v>
      </x:c>
      <x:c r="B316" t="str">
        <x:v>PTN Akademik</x:v>
      </x:c>
      <x:c r="C316" t="str">
        <x:v>UNIVERSITAS RIAU</x:v>
      </x:c>
      <x:c r="D316" t="str">
        <x:v>PENDIDIKAN BIOLOGI</x:v>
      </x:c>
      <x:c r="E316" t="str">
        <x:v>Sarjana</x:v>
      </x:c>
      <x:c r="F316" s="18" t="n">
        <x:v>32</x:v>
      </x:c>
      <x:c r="G316" s="18" t="n">
        <x:v>335</x:v>
      </x:c>
      <x:c r="H316" s="19" t="n">
        <x:v>10.46875</x:v>
      </x:c>
      <x:c r="I316" s="18" t="n">
        <x:f>ROUND(MIN(Model_Config_v3!$B$6,MAX(Q316,R316,S316*Model_Config_v3!$B$4+T316*Model_Config_v3!$B$5)),0)</x:f>
        <x:v>671</x:v>
      </x:c>
      <x:c r="J316" s="18" t="n">
        <x:f>MIN(Model_Config_v3!$B$6,I316+Model_Config_v3!$B$7)</x:f>
        <x:v>691</x:v>
      </x:c>
      <x:c r="K316" s="20" t="n">
        <x:v>63.7</x:v>
      </x:c>
      <x:c r="L316" t="str">
        <x:v>KETAT</x:v>
      </x:c>
      <x:c r="M316" t="str">
        <x:v>SEDANG+</x:v>
      </x:c>
      <x:c r="N316" t="str">
        <x:v>ELITE-3</x:v>
      </x:c>
      <x:c r="O316" t="str">
        <x:v>SAINTEK</x:v>
      </x:c>
      <x:c r="P316" t="str">
        <x:v>PENDIDIKAN</x:v>
      </x:c>
      <x:c r="Q316" s="18" t="n">
        <x:v>615</x:v>
      </x:c>
      <x:c r="R316" s="18" t="n">
        <x:v>0</x:v>
      </x:c>
      <x:c r="S316" s="18" t="n">
        <x:v>632.1884311588633</x:v>
      </x:c>
      <x:c r="T316" s="18" t="n">
        <x:v>687</x:v>
      </x:c>
      <x:c r="U316" s="18" t="n">
        <x:v>632.1884311588633</x:v>
      </x:c>
      <x:c r="V316" s="20" t="n">
        <x:v>12</x:v>
      </x:c>
      <x:c r="W316" s="20" t="n">
        <x:v>5</x:v>
      </x:c>
      <x:c r="X316" s="20" t="n">
        <x:v>3</x:v>
      </x:c>
      <x:c r="Y316" t="str">
        <x:v>Basis arsip 2025/2024</x:v>
      </x:c>
      <x:c r="Z316" t="str">
        <x:v>https://snpmb.id/utbk-snbt/daya-tampung-snbt</x:v>
      </x:c>
      <x:c r="AA316" t="str">
        <x:v>Tidak Ada</x:v>
      </x:c>
      <x:c r="AB316" t="str">
        <x:v>Campus=80; Ratio=60.0; Prodi=45; RelDemand=43.5; Capacity=73.3</x:v>
      </x:c>
    </x:row>
    <x:row r="317">
      <x:c r="A317" t="n">
        <x:v>314</x:v>
      </x:c>
      <x:c r="B317" t="str">
        <x:v>PTN Akademik</x:v>
      </x:c>
      <x:c r="C317" t="str">
        <x:v>UNIVERSITAS RIAU</x:v>
      </x:c>
      <x:c r="D317" t="str">
        <x:v>PENDIDIKAN FISIKA</x:v>
      </x:c>
      <x:c r="E317" t="str">
        <x:v>Sarjana</x:v>
      </x:c>
      <x:c r="F317" s="18" t="n">
        <x:v>32</x:v>
      </x:c>
      <x:c r="G317" s="18" t="n">
        <x:v>109</x:v>
      </x:c>
      <x:c r="H317" s="19" t="n">
        <x:v>3.40625</x:v>
      </x:c>
      <x:c r="I317" s="18" t="n">
        <x:f>ROUND(MIN(Model_Config_v3!$B$6,MAX(Q317,R317,S317*Model_Config_v3!$B$4+T317*Model_Config_v3!$B$5)),0)</x:f>
        <x:v>640</x:v>
      </x:c>
      <x:c r="J317" s="18" t="n">
        <x:f>MIN(Model_Config_v3!$B$6,I317+Model_Config_v3!$B$7)</x:f>
        <x:v>660</x:v>
      </x:c>
      <x:c r="K317" s="20" t="n">
        <x:v>53.6</x:v>
      </x:c>
      <x:c r="L317" t="str">
        <x:v>MENENGAH</x:v>
      </x:c>
      <x:c r="M317" t="str">
        <x:v>SEDANG+</x:v>
      </x:c>
      <x:c r="N317" t="str">
        <x:v>ELITE-3</x:v>
      </x:c>
      <x:c r="O317" t="str">
        <x:v>SAINTEK</x:v>
      </x:c>
      <x:c r="P317" t="str">
        <x:v>PENDIDIKAN</x:v>
      </x:c>
      <x:c r="Q317" s="18" t="n">
        <x:v>615</x:v>
      </x:c>
      <x:c r="R317" s="18" t="n">
        <x:v>0</x:v>
      </x:c>
      <x:c r="S317" s="18" t="n">
        <x:v>578.550417158279</x:v>
      </x:c>
      <x:c r="T317" s="18" t="n">
        <x:v>667</x:v>
      </x:c>
      <x:c r="U317" s="18" t="n">
        <x:v>615</x:v>
      </x:c>
      <x:c r="V317" s="20" t="n">
        <x:v>12</x:v>
      </x:c>
      <x:c r="W317" s="20" t="n">
        <x:v>5</x:v>
      </x:c>
      <x:c r="X317" s="20" t="n">
        <x:v>3</x:v>
      </x:c>
      <x:c r="Y317" t="str">
        <x:v>Basis arsip 2025/2024</x:v>
      </x:c>
      <x:c r="Z317" t="str">
        <x:v>https://snpmb.id/utbk-snbt/daya-tampung-snbt</x:v>
      </x:c>
      <x:c r="AA317" t="str">
        <x:v>Tidak Ada</x:v>
      </x:c>
      <x:c r="AB317" t="str">
        <x:v>Campus=80; Ratio=31.3; Prodi=45; RelDemand=14.1; Capacity=73.3</x:v>
      </x:c>
    </x:row>
    <x:row r="318">
      <x:c r="A318" t="n">
        <x:v>315</x:v>
      </x:c>
      <x:c r="B318" t="str">
        <x:v>PTN Akademik</x:v>
      </x:c>
      <x:c r="C318" t="str">
        <x:v>UNIVERSITAS RIAU</x:v>
      </x:c>
      <x:c r="D318" t="str">
        <x:v>PENDIDIKAN KIMIA</x:v>
      </x:c>
      <x:c r="E318" t="str">
        <x:v>Sarjana</x:v>
      </x:c>
      <x:c r="F318" s="18" t="n">
        <x:v>32</x:v>
      </x:c>
      <x:c r="G318" s="18" t="n">
        <x:v>136</x:v>
      </x:c>
      <x:c r="H318" s="19" t="n">
        <x:v>4.25</x:v>
      </x:c>
      <x:c r="I318" s="18" t="n">
        <x:f>ROUND(MIN(Model_Config_v3!$B$6,MAX(Q318,R318,S318*Model_Config_v3!$B$4+T318*Model_Config_v3!$B$5)),0)</x:f>
        <x:v>646</x:v>
      </x:c>
      <x:c r="J318" s="18" t="n">
        <x:f>MIN(Model_Config_v3!$B$6,I318+Model_Config_v3!$B$7)</x:f>
        <x:v>666</x:v>
      </x:c>
      <x:c r="K318" s="20" t="n">
        <x:v>55.3</x:v>
      </x:c>
      <x:c r="L318" t="str">
        <x:v>KETAT</x:v>
      </x:c>
      <x:c r="M318" t="str">
        <x:v>SEDANG+</x:v>
      </x:c>
      <x:c r="N318" t="str">
        <x:v>ELITE-3</x:v>
      </x:c>
      <x:c r="O318" t="str">
        <x:v>SAINTEK</x:v>
      </x:c>
      <x:c r="P318" t="str">
        <x:v>PENDIDIKAN</x:v>
      </x:c>
      <x:c r="Q318" s="18" t="n">
        <x:v>615</x:v>
      </x:c>
      <x:c r="R318" s="18" t="n">
        <x:v>0</x:v>
      </x:c>
      <x:c r="S318" s="18" t="n">
        <x:v>589.1227823055342</x:v>
      </x:c>
      <x:c r="T318" s="18" t="n">
        <x:v>671</x:v>
      </x:c>
      <x:c r="U318" s="18" t="n">
        <x:v>615</x:v>
      </x:c>
      <x:c r="V318" s="20" t="n">
        <x:v>12</x:v>
      </x:c>
      <x:c r="W318" s="20" t="n">
        <x:v>5</x:v>
      </x:c>
      <x:c r="X318" s="20" t="n">
        <x:v>3</x:v>
      </x:c>
      <x:c r="Y318" t="str">
        <x:v>Basis arsip 2025/2024</x:v>
      </x:c>
      <x:c r="Z318" t="str">
        <x:v>https://snpmb.id/utbk-snbt/daya-tampung-snbt</x:v>
      </x:c>
      <x:c r="AA318" t="str">
        <x:v>Tidak Ada</x:v>
      </x:c>
      <x:c r="AB318" t="str">
        <x:v>Campus=80; Ratio=37.0; Prodi=45; RelDemand=17.6; Capacity=73.3</x:v>
      </x:c>
    </x:row>
    <x:row r="319">
      <x:c r="A319" t="n">
        <x:v>316</x:v>
      </x:c>
      <x:c r="B319" t="str">
        <x:v>PTN Akademik</x:v>
      </x:c>
      <x:c r="C319" t="str">
        <x:v>UNIVERSITAS RIAU</x:v>
      </x:c>
      <x:c r="D319" t="str">
        <x:v>TEKNIK LINGKUNGAN</x:v>
      </x:c>
      <x:c r="E319" t="str">
        <x:v>Sarjana</x:v>
      </x:c>
      <x:c r="F319" s="18" t="n">
        <x:v>36</x:v>
      </x:c>
      <x:c r="G319" s="18" t="n">
        <x:v>594</x:v>
      </x:c>
      <x:c r="H319" s="19" t="n">
        <x:v>16.5</x:v>
      </x:c>
      <x:c r="I319" s="18" t="n">
        <x:f>ROUND(MIN(Model_Config_v3!$B$6,MAX(Q319,R319,S319*Model_Config_v3!$B$4+T319*Model_Config_v3!$B$5)),0)</x:f>
        <x:v>689</x:v>
      </x:c>
      <x:c r="J319" s="18" t="n">
        <x:f>MIN(Model_Config_v3!$B$6,I319+Model_Config_v3!$B$7)</x:f>
        <x:v>709</x:v>
      </x:c>
      <x:c r="K319" s="20" t="n">
        <x:v>71.8</x:v>
      </x:c>
      <x:c r="L319" t="str">
        <x:v>SANGAT KETAT</x:v>
      </x:c>
      <x:c r="M319" t="str">
        <x:v>SEDANG+</x:v>
      </x:c>
      <x:c r="N319" t="str">
        <x:v>ELITE-3</x:v>
      </x:c>
      <x:c r="O319" t="str">
        <x:v>SAINTEK</x:v>
      </x:c>
      <x:c r="P319" t="str">
        <x:v>TEKNIK/ARSITEKTUR/STATISTIKA/AKTUARIA</x:v>
      </x:c>
      <x:c r="Q319" s="18" t="n">
        <x:v>615</x:v>
      </x:c>
      <x:c r="R319" s="18" t="n">
        <x:v>0</x:v>
      </x:c>
      <x:c r="S319" s="18" t="n">
        <x:v>653.9232338635297</x:v>
      </x:c>
      <x:c r="T319" s="18" t="n">
        <x:v>704</x:v>
      </x:c>
      <x:c r="U319" s="18" t="n">
        <x:v>663.9232338635297</x:v>
      </x:c>
      <x:c r="V319" s="20" t="n">
        <x:v>12</x:v>
      </x:c>
      <x:c r="W319" s="20" t="n">
        <x:v>5</x:v>
      </x:c>
      <x:c r="X319" s="20" t="n">
        <x:v>3</x:v>
      </x:c>
      <x:c r="Y319" t="str">
        <x:v>Basis arsip 2025/2024</x:v>
      </x:c>
      <x:c r="Z319" t="str">
        <x:v>https://snpmb.id/utbk-snbt/daya-tampung-snbt</x:v>
      </x:c>
      <x:c r="AA319" t="str">
        <x:v>Tidak Ada</x:v>
      </x:c>
      <x:c r="AB319" t="str">
        <x:v>Campus=80; Ratio=71.7; Prodi=60; RelDemand=68.5; Capacity=70.0</x:v>
      </x:c>
    </x:row>
    <x:row r="320">
      <x:c r="A320" t="n">
        <x:v>317</x:v>
      </x:c>
      <x:c r="B320" t="str">
        <x:v>PTN Akademik</x:v>
      </x:c>
      <x:c r="C320" t="str">
        <x:v>UNIVERSITAS RIAU</x:v>
      </x:c>
      <x:c r="D320" t="str">
        <x:v>ARSITEKTUR</x:v>
      </x:c>
      <x:c r="E320" t="str">
        <x:v>Sarjana</x:v>
      </x:c>
      <x:c r="F320" s="18" t="n">
        <x:v>32</x:v>
      </x:c>
      <x:c r="G320" s="18" t="n">
        <x:v>302</x:v>
      </x:c>
      <x:c r="H320" s="19" t="n">
        <x:v>9.4375</x:v>
      </x:c>
      <x:c r="I320" s="18" t="n">
        <x:f>ROUND(MIN(Model_Config_v3!$B$6,MAX(Q320,R320,S320*Model_Config_v3!$B$4+T320*Model_Config_v3!$B$5)),0)</x:f>
        <x:v>672</x:v>
      </x:c>
      <x:c r="J320" s="18" t="n">
        <x:f>MIN(Model_Config_v3!$B$6,I320+Model_Config_v3!$B$7)</x:f>
        <x:v>692</x:v>
      </x:c>
      <x:c r="K320" s="20" t="n">
        <x:v>65.6</x:v>
      </x:c>
      <x:c r="L320" t="str">
        <x:v>SANGAT KETAT</x:v>
      </x:c>
      <x:c r="M320" t="str">
        <x:v>SEDANG+</x:v>
      </x:c>
      <x:c r="N320" t="str">
        <x:v>ELITE-3</x:v>
      </x:c>
      <x:c r="O320" t="str">
        <x:v>SAINTEK</x:v>
      </x:c>
      <x:c r="P320" t="str">
        <x:v>TEKNIK/ARSITEKTUR/STATISTIKA/AKTUARIA</x:v>
      </x:c>
      <x:c r="Q320" s="18" t="n">
        <x:v>615</x:v>
      </x:c>
      <x:c r="R320" s="18" t="n">
        <x:v>0</x:v>
      </x:c>
      <x:c r="S320" s="18" t="n">
        <x:v>627.2342661100969</x:v>
      </x:c>
      <x:c r="T320" s="18" t="n">
        <x:v>691</x:v>
      </x:c>
      <x:c r="U320" s="18" t="n">
        <x:v>627.2342661100969</x:v>
      </x:c>
      <x:c r="V320" s="20" t="n">
        <x:v>12</x:v>
      </x:c>
      <x:c r="W320" s="20" t="n">
        <x:v>5</x:v>
      </x:c>
      <x:c r="X320" s="20" t="n">
        <x:v>3</x:v>
      </x:c>
      <x:c r="Y320" t="str">
        <x:v>Basis arsip 2025/2024</x:v>
      </x:c>
      <x:c r="Z320" t="str">
        <x:v>https://snpmb.id/utbk-snbt/daya-tampung-snbt</x:v>
      </x:c>
      <x:c r="AA320" t="str">
        <x:v>Tidak Ada</x:v>
      </x:c>
      <x:c r="AB320" t="str">
        <x:v>Campus=80; Ratio=57.4; Prodi=60; RelDemand=39.2; Capacity=73.3</x:v>
      </x:c>
    </x:row>
    <x:row r="321">
      <x:c r="A321" t="n">
        <x:v>318</x:v>
      </x:c>
      <x:c r="B321" t="str">
        <x:v>PTN Akademik</x:v>
      </x:c>
      <x:c r="C321" t="str">
        <x:v>UNIVERSITAS RIAU</x:v>
      </x:c>
      <x:c r="D321" t="str">
        <x:v>SISTEM INFORMASI</x:v>
      </x:c>
      <x:c r="E321" t="str">
        <x:v>Sarjana</x:v>
      </x:c>
      <x:c r="F321" s="18" t="n">
        <x:v>64</x:v>
      </x:c>
      <x:c r="G321" s="18" t="n">
        <x:v>1055</x:v>
      </x:c>
      <x:c r="H321" s="19" t="n">
        <x:v>16.484375</x:v>
      </x:c>
      <x:c r="I321" s="18" t="n">
        <x:f>ROUND(MIN(Model_Config_v3!$B$6,MAX(Q321,R321,S321*Model_Config_v3!$B$4+T321*Model_Config_v3!$B$5)),0)</x:f>
        <x:v>692</x:v>
      </x:c>
      <x:c r="J321" s="18" t="n">
        <x:f>MIN(Model_Config_v3!$B$6,I321+Model_Config_v3!$B$7)</x:f>
        <x:v>712</x:v>
      </x:c>
      <x:c r="K321" s="20" t="n">
        <x:v>74.4</x:v>
      </x:c>
      <x:c r="L321" t="str">
        <x:v>SANGAT KETAT</x:v>
      </x:c>
      <x:c r="M321" t="str">
        <x:v>SEDANG+</x:v>
      </x:c>
      <x:c r="N321" t="str">
        <x:v>ELITE-3</x:v>
      </x:c>
      <x:c r="O321" t="str">
        <x:v>CAMPURAN</x:v>
      </x:c>
      <x:c r="P321" t="str">
        <x:v>KOMPUTER/INFORMATIKA</x:v>
      </x:c>
      <x:c r="Q321" s="18" t="n">
        <x:v>615</x:v>
      </x:c>
      <x:c r="R321" s="18" t="n">
        <x:v>675</x:v>
      </x:c>
      <x:c r="S321" s="18" t="n">
        <x:v>653.8779734214806</x:v>
      </x:c>
      <x:c r="T321" s="18" t="n">
        <x:v>709</x:v>
      </x:c>
      <x:c r="U321" s="18" t="n">
        <x:v>678.8779734214806</x:v>
      </x:c>
      <x:c r="V321" s="20" t="n">
        <x:v>8.8</x:v>
      </x:c>
      <x:c r="W321" s="20" t="n">
        <x:v>9.9</x:v>
      </x:c>
      <x:c r="X321" s="20" t="n">
        <x:v>3.3</x:v>
      </x:c>
      <x:c r="Y321" t="str">
        <x:v>Basis arsip 2025/2024</x:v>
      </x:c>
      <x:c r="Z321" t="str">
        <x:v>https://snpmb.id/utbk-snbt/daya-tampung-snbt</x:v>
      </x:c>
      <x:c r="AA321" t="str">
        <x:v>Tidak Ada</x:v>
      </x:c>
      <x:c r="AB321" t="str">
        <x:v>Campus=80; Ratio=71.6; Prodi=85; RelDemand=68.4; Capacity=46.7</x:v>
      </x:c>
    </x:row>
    <x:row r="322">
      <x:c r="A322" t="n">
        <x:v>319</x:v>
      </x:c>
      <x:c r="B322" t="str">
        <x:v>PTN Akademik</x:v>
      </x:c>
      <x:c r="C322" t="str">
        <x:v>UNIVERSITAS RIAU</x:v>
      </x:c>
      <x:c r="D322" t="str">
        <x:v>TEKNIK INFORMATIKA</x:v>
      </x:c>
      <x:c r="E322" t="str">
        <x:v>Sarjana</x:v>
      </x:c>
      <x:c r="F322" s="18" t="n">
        <x:v>48</x:v>
      </x:c>
      <x:c r="G322" s="18" t="n">
        <x:v>1499</x:v>
      </x:c>
      <x:c r="H322" s="19" t="n">
        <x:v>31.229166666666668</x:v>
      </x:c>
      <x:c r="I322" s="18" t="n">
        <x:f>ROUND(MIN(Model_Config_v3!$B$6,MAX(Q322,R322,S322*Model_Config_v3!$B$4+T322*Model_Config_v3!$B$5)),0)</x:f>
        <x:v>714</x:v>
      </x:c>
      <x:c r="J322" s="18" t="n">
        <x:f>MIN(Model_Config_v3!$B$6,I322+Model_Config_v3!$B$7)</x:f>
        <x:v>734</x:v>
      </x:c>
      <x:c r="K322" s="20" t="n">
        <x:v>83</x:v>
      </x:c>
      <x:c r="L322" t="str">
        <x:v>ELITE</x:v>
      </x:c>
      <x:c r="M322" t="str">
        <x:v>SEDANG+</x:v>
      </x:c>
      <x:c r="N322" t="str">
        <x:v>ELITE-3</x:v>
      </x:c>
      <x:c r="O322" t="str">
        <x:v>SAINTEK</x:v>
      </x:c>
      <x:c r="P322" t="str">
        <x:v>KOMPUTER/INFORMATIKA</x:v>
      </x:c>
      <x:c r="Q322" s="18" t="n">
        <x:v>615</x:v>
      </x:c>
      <x:c r="R322" s="18" t="n">
        <x:v>675</x:v>
      </x:c>
      <x:c r="S322" s="18" t="n">
        <x:v>684.4016435019962</x:v>
      </x:c>
      <x:c r="T322" s="18" t="n">
        <x:v>726</x:v>
      </x:c>
      <x:c r="U322" s="18" t="n">
        <x:v>709.4016435019962</x:v>
      </x:c>
      <x:c r="V322" s="20" t="n">
        <x:v>12</x:v>
      </x:c>
      <x:c r="W322" s="20" t="n">
        <x:v>5</x:v>
      </x:c>
      <x:c r="X322" s="20" t="n">
        <x:v>3</x:v>
      </x:c>
      <x:c r="Y322" t="str">
        <x:v>Basis arsip 2025/2024</x:v>
      </x:c>
      <x:c r="Z322" t="str">
        <x:v>https://snpmb.id/utbk-snbt/daya-tampung-snbt</x:v>
      </x:c>
      <x:c r="AA322" t="str">
        <x:v>Tidak Ada</x:v>
      </x:c>
      <x:c r="AB322" t="str">
        <x:v>Campus=80; Ratio=88.0; Prodi=85; RelDemand=100.0; Capacity=60.0</x:v>
      </x:c>
    </x:row>
    <x:row r="323">
      <x:c r="A323" t="n">
        <x:v>320</x:v>
      </x:c>
      <x:c r="B323" t="str">
        <x:v>PTN Akademik</x:v>
      </x:c>
      <x:c r="C323" t="str">
        <x:v>UNIVERSITAS RIAU</x:v>
      </x:c>
      <x:c r="D323" t="str">
        <x:v>TEKNOLOGI INDUSTRI PERTANIAN</x:v>
      </x:c>
      <x:c r="E323" t="str">
        <x:v>Sarjana</x:v>
      </x:c>
      <x:c r="F323" s="18" t="n">
        <x:v>32</x:v>
      </x:c>
      <x:c r="G323" s="18" t="n">
        <x:v>316</x:v>
      </x:c>
      <x:c r="H323" s="19" t="n">
        <x:v>9.875</x:v>
      </x:c>
      <x:c r="I323" s="18" t="n">
        <x:f>ROUND(MIN(Model_Config_v3!$B$6,MAX(Q323,R323,S323*Model_Config_v3!$B$4+T323*Model_Config_v3!$B$5)),0)</x:f>
        <x:v>668</x:v>
      </x:c>
      <x:c r="J323" s="18" t="n">
        <x:f>MIN(Model_Config_v3!$B$6,I323+Model_Config_v3!$B$7)</x:f>
        <x:v>688</x:v>
      </x:c>
      <x:c r="K323" s="20" t="n">
        <x:v>62.1</x:v>
      </x:c>
      <x:c r="L323" t="str">
        <x:v>KETAT</x:v>
      </x:c>
      <x:c r="M323" t="str">
        <x:v>SEDANG+</x:v>
      </x:c>
      <x:c r="N323" t="str">
        <x:v>ELITE-3</x:v>
      </x:c>
      <x:c r="O323" t="str">
        <x:v>SAINTEK</x:v>
      </x:c>
      <x:c r="P323" t="str">
        <x:v>UMUM</x:v>
      </x:c>
      <x:c r="Q323" s="18" t="n">
        <x:v>615</x:v>
      </x:c>
      <x:c r="R323" s="18" t="n">
        <x:v>0</x:v>
      </x:c>
      <x:c r="S323" s="18" t="n">
        <x:v>629.3990814728347</x:v>
      </x:c>
      <x:c r="T323" s="18" t="n">
        <x:v>684</x:v>
      </x:c>
      <x:c r="U323" s="18" t="n">
        <x:v>629.3990814728347</x:v>
      </x:c>
      <x:c r="V323" s="20" t="n">
        <x:v>12</x:v>
      </x:c>
      <x:c r="W323" s="20" t="n">
        <x:v>5</x:v>
      </x:c>
      <x:c r="X323" s="20" t="n">
        <x:v>3</x:v>
      </x:c>
      <x:c r="Y323" t="str">
        <x:v>Basis arsip 2025/2024</x:v>
      </x:c>
      <x:c r="Z323" t="str">
        <x:v>https://snpmb.id/utbk-snbt/daya-tampung-snbt</x:v>
      </x:c>
      <x:c r="AA323" t="str">
        <x:v>Tidak Ada</x:v>
      </x:c>
      <x:c r="AB323" t="str">
        <x:v>Campus=80; Ratio=58.5; Prodi=40; RelDemand=41.0; Capacity=73.3</x:v>
      </x:c>
    </x:row>
    <x:row r="324">
      <x:c r="A324" t="n">
        <x:v>321</x:v>
      </x:c>
      <x:c r="B324" t="str">
        <x:v>PTN Akademik</x:v>
      </x:c>
      <x:c r="C324" t="str">
        <x:v>UNIVERSITAS RIAU</x:v>
      </x:c>
      <x:c r="D324" t="str">
        <x:v>STATISTIKA</x:v>
      </x:c>
      <x:c r="E324" t="str">
        <x:v>Sarjana</x:v>
      </x:c>
      <x:c r="F324" s="18" t="n">
        <x:v>36</x:v>
      </x:c>
      <x:c r="G324" s="18" t="n">
        <x:v>224</x:v>
      </x:c>
      <x:c r="H324" s="19" t="n">
        <x:v>6.222222222222222</x:v>
      </x:c>
      <x:c r="I324" s="18" t="n">
        <x:f>ROUND(MIN(Model_Config_v3!$B$6,MAX(Q324,R324,S324*Model_Config_v3!$B$4+T324*Model_Config_v3!$B$5)),0)</x:f>
        <x:v>660</x:v>
      </x:c>
      <x:c r="J324" s="18" t="n">
        <x:f>MIN(Model_Config_v3!$B$6,I324+Model_Config_v3!$B$7)</x:f>
        <x:v>680</x:v>
      </x:c>
      <x:c r="K324" s="20" t="n">
        <x:v>61.3</x:v>
      </x:c>
      <x:c r="L324" t="str">
        <x:v>KETAT</x:v>
      </x:c>
      <x:c r="M324" t="str">
        <x:v>SEDANG+</x:v>
      </x:c>
      <x:c r="N324" t="str">
        <x:v>ELITE-3</x:v>
      </x:c>
      <x:c r="O324" t="str">
        <x:v>SAINTEK</x:v>
      </x:c>
      <x:c r="P324" t="str">
        <x:v>TEKNIK/ARSITEKTUR/STATISTIKA/AKTUARIA</x:v>
      </x:c>
      <x:c r="Q324" s="18" t="n">
        <x:v>615</x:v>
      </x:c>
      <x:c r="R324" s="18" t="n">
        <x:v>0</x:v>
      </x:c>
      <x:c r="S324" s="18" t="n">
        <x:v>607.3340069323563</x:v>
      </x:c>
      <x:c r="T324" s="18" t="n">
        <x:v>683</x:v>
      </x:c>
      <x:c r="U324" s="18" t="n">
        <x:v>617.3340069323563</x:v>
      </x:c>
      <x:c r="V324" s="20" t="n">
        <x:v>12</x:v>
      </x:c>
      <x:c r="W324" s="20" t="n">
        <x:v>5</x:v>
      </x:c>
      <x:c r="X324" s="20" t="n">
        <x:v>3</x:v>
      </x:c>
      <x:c r="Y324" t="str">
        <x:v>Basis arsip 2025/2024</x:v>
      </x:c>
      <x:c r="Z324" t="str">
        <x:v>https://snpmb.id/utbk-snbt/daya-tampung-snbt</x:v>
      </x:c>
      <x:c r="AA324" t="str">
        <x:v>Tidak Ada</x:v>
      </x:c>
      <x:c r="AB324" t="str">
        <x:v>Campus=80; Ratio=46.7; Prodi=60; RelDemand=25.8; Capacity=70.0</x:v>
      </x:c>
    </x:row>
    <x:row r="325">
      <x:c r="A325" t="n">
        <x:v>322</x:v>
      </x:c>
      <x:c r="B325" t="str">
        <x:v>PTN Akademik</x:v>
      </x:c>
      <x:c r="C325" t="str">
        <x:v>UNIVERSITAS RIAU</x:v>
      </x:c>
      <x:c r="D325" t="str">
        <x:v>HUBUNGAN INTERNASIONAL</x:v>
      </x:c>
      <x:c r="E325" t="str">
        <x:v>Sarjana</x:v>
      </x:c>
      <x:c r="F325" s="18" t="n">
        <x:v>72</x:v>
      </x:c>
      <x:c r="G325" s="18" t="n">
        <x:v>603</x:v>
      </x:c>
      <x:c r="H325" s="19" t="n">
        <x:v>8.375</x:v>
      </x:c>
      <x:c r="I325" s="18" t="n">
        <x:f>ROUND(MIN(Model_Config_v3!$B$6,MAX(Q325,R325,S325*Model_Config_v3!$B$4+T325*Model_Config_v3!$B$5)),0)</x:f>
        <x:v>658</x:v>
      </x:c>
      <x:c r="J325" s="18" t="n">
        <x:f>MIN(Model_Config_v3!$B$6,I325+Model_Config_v3!$B$7)</x:f>
        <x:v>678</x:v>
      </x:c>
      <x:c r="K325" s="20" t="n">
        <x:v>57.1</x:v>
      </x:c>
      <x:c r="L325" t="str">
        <x:v>KETAT</x:v>
      </x:c>
      <x:c r="M325" t="str">
        <x:v>SEDANG+</x:v>
      </x:c>
      <x:c r="N325" t="str">
        <x:v>ELITE-3</x:v>
      </x:c>
      <x:c r="O325" t="str">
        <x:v>SOSHUM</x:v>
      </x:c>
      <x:c r="P325" t="str">
        <x:v>UMUM</x:v>
      </x:c>
      <x:c r="Q325" s="18" t="n">
        <x:v>615</x:v>
      </x:c>
      <x:c r="R325" s="18" t="n">
        <x:v>0</x:v>
      </x:c>
      <x:c r="S325" s="18" t="n">
        <x:v>621.528329727977</x:v>
      </x:c>
      <x:c r="T325" s="18" t="n">
        <x:v>674</x:v>
      </x:c>
      <x:c r="U325" s="18" t="n">
        <x:v>621.528329727977</x:v>
      </x:c>
      <x:c r="V325" s="20" t="n">
        <x:v>4.4</x:v>
      </x:c>
      <x:c r="W325" s="20" t="n">
        <x:v>14.3</x:v>
      </x:c>
      <x:c r="X325" s="20" t="n">
        <x:v>3.3</x:v>
      </x:c>
      <x:c r="Y325" t="str">
        <x:v>Basis arsip 2025/2024</x:v>
      </x:c>
      <x:c r="Z325" t="str">
        <x:v>https://snpmb.id/utbk-snbt/daya-tampung-snbt</x:v>
      </x:c>
      <x:c r="AA325" t="str">
        <x:v>Tidak Ada</x:v>
      </x:c>
      <x:c r="AB325" t="str">
        <x:v>Campus=80; Ratio=54.3; Prodi=40; RelDemand=34.8; Capacity=40.0</x:v>
      </x:c>
    </x:row>
    <x:row r="326">
      <x:c r="A326" t="n">
        <x:v>323</x:v>
      </x:c>
      <x:c r="B326" t="str">
        <x:v>PTN Akademik</x:v>
      </x:c>
      <x:c r="C326" t="str">
        <x:v>UNIVERSITAS RIAU</x:v>
      </x:c>
      <x:c r="D326" t="str">
        <x:v>ILMU PEMERINTAHAN</x:v>
      </x:c>
      <x:c r="E326" t="str">
        <x:v>Sarjana</x:v>
      </x:c>
      <x:c r="F326" s="18" t="n">
        <x:v>80</x:v>
      </x:c>
      <x:c r="G326" s="18" t="n">
        <x:v>645</x:v>
      </x:c>
      <x:c r="H326" s="19" t="n">
        <x:v>8.0625</x:v>
      </x:c>
      <x:c r="I326" s="18" t="n">
        <x:f>ROUND(MIN(Model_Config_v3!$B$6,MAX(Q326,R326,S326*Model_Config_v3!$B$4+T326*Model_Config_v3!$B$5)),0)</x:f>
        <x:v>656</x:v>
      </x:c>
      <x:c r="J326" s="18" t="n">
        <x:f>MIN(Model_Config_v3!$B$6,I326+Model_Config_v3!$B$7)</x:f>
        <x:v>676</x:v>
      </x:c>
      <x:c r="K326" s="20" t="n">
        <x:v>56</x:v>
      </x:c>
      <x:c r="L326" t="str">
        <x:v>KETAT</x:v>
      </x:c>
      <x:c r="M326" t="str">
        <x:v>SEDANG+</x:v>
      </x:c>
      <x:c r="N326" t="str">
        <x:v>ELITE-3</x:v>
      </x:c>
      <x:c r="O326" t="str">
        <x:v>CAMPURAN</x:v>
      </x:c>
      <x:c r="P326" t="str">
        <x:v>UMUM</x:v>
      </x:c>
      <x:c r="Q326" s="18" t="n">
        <x:v>615</x:v>
      </x:c>
      <x:c r="R326" s="18" t="n">
        <x:v>0</x:v>
      </x:c>
      <x:c r="S326" s="18" t="n">
        <x:v>619.7116700407656</x:v>
      </x:c>
      <x:c r="T326" s="18" t="n">
        <x:v>672</x:v>
      </x:c>
      <x:c r="U326" s="18" t="n">
        <x:v>619.7116700407656</x:v>
      </x:c>
      <x:c r="V326" s="20" t="n">
        <x:v>8.8</x:v>
      </x:c>
      <x:c r="W326" s="20" t="n">
        <x:v>9.9</x:v>
      </x:c>
      <x:c r="X326" s="20" t="n">
        <x:v>3.3</x:v>
      </x:c>
      <x:c r="Y326" t="str">
        <x:v>Basis arsip 2025/2024</x:v>
      </x:c>
      <x:c r="Z326" t="str">
        <x:v>https://snpmb.id/utbk-snbt/daya-tampung-snbt</x:v>
      </x:c>
      <x:c r="AA326" t="str">
        <x:v>Tidak Ada</x:v>
      </x:c>
      <x:c r="AB326" t="str">
        <x:v>Campus=80; Ratio=53.4; Prodi=40; RelDemand=33.5; Capacity=33.3</x:v>
      </x:c>
    </x:row>
    <x:row r="327">
      <x:c r="A327" t="n">
        <x:v>324</x:v>
      </x:c>
      <x:c r="B327" t="str">
        <x:v>PTN Akademik</x:v>
      </x:c>
      <x:c r="C327" t="str">
        <x:v>UNIVERSITAS RIAU</x:v>
      </x:c>
      <x:c r="D327" t="str">
        <x:v>ILMU ADMINISTRASI PUBLIK</x:v>
      </x:c>
      <x:c r="E327" t="str">
        <x:v>Sarjana</x:v>
      </x:c>
      <x:c r="F327" s="18" t="n">
        <x:v>60</x:v>
      </x:c>
      <x:c r="G327" s="18" t="n">
        <x:v>870</x:v>
      </x:c>
      <x:c r="H327" s="19" t="n">
        <x:v>14.5</x:v>
      </x:c>
      <x:c r="I327" s="18" t="n">
        <x:f>ROUND(MIN(Model_Config_v3!$B$6,MAX(Q327,R327,S327*Model_Config_v3!$B$4+T327*Model_Config_v3!$B$5)),0)</x:f>
        <x:v>676</x:v>
      </x:c>
      <x:c r="J327" s="18" t="n">
        <x:f>MIN(Model_Config_v3!$B$6,I327+Model_Config_v3!$B$7)</x:f>
        <x:v>696</x:v>
      </x:c>
      <x:c r="K327" s="20" t="n">
        <x:v>64.1</x:v>
      </x:c>
      <x:c r="L327" t="str">
        <x:v>KETAT</x:v>
      </x:c>
      <x:c r="M327" t="str">
        <x:v>SEDANG+</x:v>
      </x:c>
      <x:c r="N327" t="str">
        <x:v>ELITE-3</x:v>
      </x:c>
      <x:c r="O327" t="str">
        <x:v>SOSHUM</x:v>
      </x:c>
      <x:c r="P327" t="str">
        <x:v>UMUM</x:v>
      </x:c>
      <x:c r="Q327" s="18" t="n">
        <x:v>615</x:v>
      </x:c>
      <x:c r="R327" s="18" t="n">
        <x:v>0</x:v>
      </x:c>
      <x:c r="S327" s="18" t="n">
        <x:v>647.7504802458473</x:v>
      </x:c>
      <x:c r="T327" s="18" t="n">
        <x:v>688</x:v>
      </x:c>
      <x:c r="U327" s="18" t="n">
        <x:v>647.7504802458473</x:v>
      </x:c>
      <x:c r="V327" s="20" t="n">
        <x:v>4.4</x:v>
      </x:c>
      <x:c r="W327" s="20" t="n">
        <x:v>14.3</x:v>
      </x:c>
      <x:c r="X327" s="20" t="n">
        <x:v>3.3</x:v>
      </x:c>
      <x:c r="Y327" t="str">
        <x:v>Basis arsip 2025/2024</x:v>
      </x:c>
      <x:c r="Z327" t="str">
        <x:v>https://snpmb.id/utbk-snbt/daya-tampung-snbt</x:v>
      </x:c>
      <x:c r="AA327" t="str">
        <x:v>Tidak Ada</x:v>
      </x:c>
      <x:c r="AB327" t="str">
        <x:v>Campus=80; Ratio=68.4; Prodi=40; RelDemand=60.2; Capacity=50.0</x:v>
      </x:c>
    </x:row>
    <x:row r="328">
      <x:c r="A328" t="n">
        <x:v>325</x:v>
      </x:c>
      <x:c r="B328" t="str">
        <x:v>PTN Akademik</x:v>
      </x:c>
      <x:c r="C328" t="str">
        <x:v>UNIVERSITAS RIAU</x:v>
      </x:c>
      <x:c r="D328" t="str">
        <x:v>ILMU ADMINISTRASI BISNIS</x:v>
      </x:c>
      <x:c r="E328" t="str">
        <x:v>Sarjana</x:v>
      </x:c>
      <x:c r="F328" s="18" t="n">
        <x:v>64</x:v>
      </x:c>
      <x:c r="G328" s="18" t="n">
        <x:v>857</x:v>
      </x:c>
      <x:c r="H328" s="19" t="n">
        <x:v>13.390625</x:v>
      </x:c>
      <x:c r="I328" s="18" t="n">
        <x:f>ROUND(MIN(Model_Config_v3!$B$6,MAX(Q328,R328,S328*Model_Config_v3!$B$4+T328*Model_Config_v3!$B$5)),0)</x:f>
        <x:v>680</x:v>
      </x:c>
      <x:c r="J328" s="18" t="n">
        <x:f>MIN(Model_Config_v3!$B$6,I328+Model_Config_v3!$B$7)</x:f>
        <x:v>700</x:v>
      </x:c>
      <x:c r="K328" s="20" t="n">
        <x:v>67.8</x:v>
      </x:c>
      <x:c r="L328" t="str">
        <x:v>SANGAT KETAT</x:v>
      </x:c>
      <x:c r="M328" t="str">
        <x:v>SEDANG+</x:v>
      </x:c>
      <x:c r="N328" t="str">
        <x:v>ELITE-3</x:v>
      </x:c>
      <x:c r="O328" t="str">
        <x:v>SOSHUM</x:v>
      </x:c>
      <x:c r="P328" t="str">
        <x:v>BISNIS/EKONOMI/AKUNTANSI</x:v>
      </x:c>
      <x:c r="Q328" s="18" t="n">
        <x:v>615</x:v>
      </x:c>
      <x:c r="R328" s="18" t="n">
        <x:v>0</x:v>
      </x:c>
      <x:c r="S328" s="18" t="n">
        <x:v>643.9480932733243</x:v>
      </x:c>
      <x:c r="T328" s="18" t="n">
        <x:v>696</x:v>
      </x:c>
      <x:c r="U328" s="18" t="n">
        <x:v>658.9480932733243</x:v>
      </x:c>
      <x:c r="V328" s="20" t="n">
        <x:v>4.4</x:v>
      </x:c>
      <x:c r="W328" s="20" t="n">
        <x:v>14.3</x:v>
      </x:c>
      <x:c r="X328" s="20" t="n">
        <x:v>3.3</x:v>
      </x:c>
      <x:c r="Y328" t="str">
        <x:v>Basis arsip 2025/2024</x:v>
      </x:c>
      <x:c r="Z328" t="str">
        <x:v>https://snpmb.id/utbk-snbt/daya-tampung-snbt</x:v>
      </x:c>
      <x:c r="AA328" t="str">
        <x:v>Tidak Ada</x:v>
      </x:c>
      <x:c r="AB328" t="str">
        <x:v>Campus=80; Ratio=66.3; Prodi=65; RelDemand=55.6; Capacity=46.7</x:v>
      </x:c>
    </x:row>
    <x:row r="329">
      <x:c r="A329" t="n">
        <x:v>326</x:v>
      </x:c>
      <x:c r="B329" t="str">
        <x:v>PTN Akademik</x:v>
      </x:c>
      <x:c r="C329" t="str">
        <x:v>UNIVERSITAS RIAU</x:v>
      </x:c>
      <x:c r="D329" t="str">
        <x:v>SOSIOLOGI</x:v>
      </x:c>
      <x:c r="E329" t="str">
        <x:v>Sarjana</x:v>
      </x:c>
      <x:c r="F329" s="18" t="n">
        <x:v>72</x:v>
      </x:c>
      <x:c r="G329" s="18" t="n">
        <x:v>351</x:v>
      </x:c>
      <x:c r="H329" s="19" t="n">
        <x:v>4.875</x:v>
      </x:c>
      <x:c r="I329" s="18" t="n">
        <x:f>ROUND(MIN(Model_Config_v3!$B$6,MAX(Q329,R329,S329*Model_Config_v3!$B$4+T329*Model_Config_v3!$B$5)),0)</x:f>
        <x:v>644</x:v>
      </x:c>
      <x:c r="J329" s="18" t="n">
        <x:f>MIN(Model_Config_v3!$B$6,I329+Model_Config_v3!$B$7)</x:f>
        <x:v>664</x:v>
      </x:c>
      <x:c r="K329" s="20" t="n">
        <x:v>52.1</x:v>
      </x:c>
      <x:c r="L329" t="str">
        <x:v>MENENGAH</x:v>
      </x:c>
      <x:c r="M329" t="str">
        <x:v>SEDANG+</x:v>
      </x:c>
      <x:c r="N329" t="str">
        <x:v>ELITE-3</x:v>
      </x:c>
      <x:c r="O329" t="str">
        <x:v>SOSHUM</x:v>
      </x:c>
      <x:c r="P329" t="str">
        <x:v>UMUM</x:v>
      </x:c>
      <x:c r="Q329" s="18" t="n">
        <x:v>615</x:v>
      </x:c>
      <x:c r="R329" s="18" t="n">
        <x:v>0</x:v>
      </x:c>
      <x:c r="S329" s="18" t="n">
        <x:v>595.6772082038011</x:v>
      </x:c>
      <x:c r="T329" s="18" t="n">
        <x:v>664</x:v>
      </x:c>
      <x:c r="U329" s="18" t="n">
        <x:v>615</x:v>
      </x:c>
      <x:c r="V329" s="20" t="n">
        <x:v>4.4</x:v>
      </x:c>
      <x:c r="W329" s="20" t="n">
        <x:v>14.3</x:v>
      </x:c>
      <x:c r="X329" s="20" t="n">
        <x:v>3.3</x:v>
      </x:c>
      <x:c r="Y329" t="str">
        <x:v>Basis arsip 2025/2024</x:v>
      </x:c>
      <x:c r="Z329" t="str">
        <x:v>https://snpmb.id/utbk-snbt/daya-tampung-snbt</x:v>
      </x:c>
      <x:c r="AA329" t="str">
        <x:v>Tidak Ada</x:v>
      </x:c>
      <x:c r="AB329" t="str">
        <x:v>Campus=80; Ratio=40.5; Prodi=40; RelDemand=20.2; Capacity=40.0</x:v>
      </x:c>
    </x:row>
    <x:row r="330">
      <x:c r="A330" t="n">
        <x:v>327</x:v>
      </x:c>
      <x:c r="B330" t="str">
        <x:v>PTN Akademik</x:v>
      </x:c>
      <x:c r="C330" t="str">
        <x:v>UNIVERSITAS RIAU</x:v>
      </x:c>
      <x:c r="D330" t="str">
        <x:v>ILMU KOMUNIKASI</x:v>
      </x:c>
      <x:c r="E330" t="str">
        <x:v>Sarjana</x:v>
      </x:c>
      <x:c r="F330" s="18" t="n">
        <x:v>80</x:v>
      </x:c>
      <x:c r="G330" s="18" t="n">
        <x:v>1422</x:v>
      </x:c>
      <x:c r="H330" s="19" t="n">
        <x:v>17.775</x:v>
      </x:c>
      <x:c r="I330" s="18" t="n">
        <x:f>ROUND(MIN(Model_Config_v3!$B$6,MAX(Q330,R330,S330*Model_Config_v3!$B$4+T330*Model_Config_v3!$B$5)),0)</x:f>
        <x:v>680</x:v>
      </x:c>
      <x:c r="J330" s="18" t="n">
        <x:f>MIN(Model_Config_v3!$B$6,I330+Model_Config_v3!$B$7)</x:f>
        <x:v>700</x:v>
      </x:c>
      <x:c r="K330" s="20" t="n">
        <x:v>65.1</x:v>
      </x:c>
      <x:c r="L330" t="str">
        <x:v>SANGAT KETAT</x:v>
      </x:c>
      <x:c r="M330" t="str">
        <x:v>SEDANG+</x:v>
      </x:c>
      <x:c r="N330" t="str">
        <x:v>ELITE-3</x:v>
      </x:c>
      <x:c r="O330" t="str">
        <x:v>SOSHUM</x:v>
      </x:c>
      <x:c r="P330" t="str">
        <x:v>UMUM</x:v>
      </x:c>
      <x:c r="Q330" s="18" t="n">
        <x:v>615</x:v>
      </x:c>
      <x:c r="R330" s="18" t="n">
        <x:v>0</x:v>
      </x:c>
      <x:c r="S330" s="18" t="n">
        <x:v>657.4790570341984</x:v>
      </x:c>
      <x:c r="T330" s="18" t="n">
        <x:v>690</x:v>
      </x:c>
      <x:c r="U330" s="18" t="n">
        <x:v>657.4790570341984</x:v>
      </x:c>
      <x:c r="V330" s="20" t="n">
        <x:v>4.4</x:v>
      </x:c>
      <x:c r="W330" s="20" t="n">
        <x:v>14.3</x:v>
      </x:c>
      <x:c r="X330" s="20" t="n">
        <x:v>3.3</x:v>
      </x:c>
      <x:c r="Y330" t="str">
        <x:v>Basis arsip 2025/2024</x:v>
      </x:c>
      <x:c r="Z330" t="str">
        <x:v>https://snpmb.id/utbk-snbt/daya-tampung-snbt</x:v>
      </x:c>
      <x:c r="AA330" t="str">
        <x:v>Tidak Ada</x:v>
      </x:c>
      <x:c r="AB330" t="str">
        <x:v>Campus=80; Ratio=73.6; Prodi=40; RelDemand=73.8; Capacity=33.3</x:v>
      </x:c>
    </x:row>
    <x:row r="331">
      <x:c r="A331" t="n">
        <x:v>328</x:v>
      </x:c>
      <x:c r="B331" t="str">
        <x:v>PTN Akademik</x:v>
      </x:c>
      <x:c r="C331" t="str">
        <x:v>UNIVERSITAS RIAU</x:v>
      </x:c>
      <x:c r="D331" t="str">
        <x:v>EKONOMI PEMBANGUNAN</x:v>
      </x:c>
      <x:c r="E331" t="str">
        <x:v>Sarjana</x:v>
      </x:c>
      <x:c r="F331" s="18" t="n">
        <x:v>64</x:v>
      </x:c>
      <x:c r="G331" s="18" t="n">
        <x:v>382</x:v>
      </x:c>
      <x:c r="H331" s="19" t="n">
        <x:v>5.96875</x:v>
      </x:c>
      <x:c r="I331" s="18" t="n">
        <x:f>ROUND(MIN(Model_Config_v3!$B$6,MAX(Q331,R331,S331*Model_Config_v3!$B$4+T331*Model_Config_v3!$B$5)),0)</x:f>
        <x:v>657</x:v>
      </x:c>
      <x:c r="J331" s="18" t="n">
        <x:f>MIN(Model_Config_v3!$B$6,I331+Model_Config_v3!$B$7)</x:f>
        <x:v>677</x:v>
      </x:c>
      <x:c r="K331" s="20" t="n">
        <x:v>59.6</x:v>
      </x:c>
      <x:c r="L331" t="str">
        <x:v>KETAT</x:v>
      </x:c>
      <x:c r="M331" t="str">
        <x:v>SEDANG+</x:v>
      </x:c>
      <x:c r="N331" t="str">
        <x:v>ELITE-3</x:v>
      </x:c>
      <x:c r="O331" t="str">
        <x:v>SOSHUM</x:v>
      </x:c>
      <x:c r="P331" t="str">
        <x:v>BISNIS/EKONOMI/AKUNTANSI</x:v>
      </x:c>
      <x:c r="Q331" s="18" t="n">
        <x:v>615</x:v>
      </x:c>
      <x:c r="R331" s="18" t="n">
        <x:v>0</x:v>
      </x:c>
      <x:c r="S331" s="18" t="n">
        <x:v>605.3471727820604</x:v>
      </x:c>
      <x:c r="T331" s="18" t="n">
        <x:v>679</x:v>
      </x:c>
      <x:c r="U331" s="18" t="n">
        <x:v>615</x:v>
      </x:c>
      <x:c r="V331" s="20" t="n">
        <x:v>4.4</x:v>
      </x:c>
      <x:c r="W331" s="20" t="n">
        <x:v>14.3</x:v>
      </x:c>
      <x:c r="X331" s="20" t="n">
        <x:v>3.3</x:v>
      </x:c>
      <x:c r="Y331" t="str">
        <x:v>Basis arsip 2025/2024</x:v>
      </x:c>
      <x:c r="Z331" t="str">
        <x:v>https://snpmb.id/utbk-snbt/daya-tampung-snbt</x:v>
      </x:c>
      <x:c r="AA331" t="str">
        <x:v>Tidak Ada</x:v>
      </x:c>
      <x:c r="AB331" t="str">
        <x:v>Campus=80; Ratio=45.7; Prodi=65; RelDemand=24.8; Capacity=46.7</x:v>
      </x:c>
    </x:row>
    <x:row r="332">
      <x:c r="A332" t="n">
        <x:v>329</x:v>
      </x:c>
      <x:c r="B332" t="str">
        <x:v>PTN Akademik</x:v>
      </x:c>
      <x:c r="C332" t="str">
        <x:v>UNIVERSITAS RIAU</x:v>
      </x:c>
      <x:c r="D332" t="str">
        <x:v>MANAJEMEN</x:v>
      </x:c>
      <x:c r="E332" t="str">
        <x:v>Sarjana</x:v>
      </x:c>
      <x:c r="F332" s="18" t="n">
        <x:v>144</x:v>
      </x:c>
      <x:c r="G332" s="18" t="n">
        <x:v>2069</x:v>
      </x:c>
      <x:c r="H332" s="19" t="n">
        <x:v>14.368055555555555</x:v>
      </x:c>
      <x:c r="I332" s="18" t="n">
        <x:f>ROUND(MIN(Model_Config_v3!$B$6,MAX(Q332,R332,S332*Model_Config_v3!$B$4+T332*Model_Config_v3!$B$5)),0)</x:f>
        <x:v>676</x:v>
      </x:c>
      <x:c r="J332" s="18" t="n">
        <x:f>MIN(Model_Config_v3!$B$6,I332+Model_Config_v3!$B$7)</x:f>
        <x:v>696</x:v>
      </x:c>
      <x:c r="K332" s="20" t="n">
        <x:v>64</x:v>
      </x:c>
      <x:c r="L332" t="str">
        <x:v>KETAT</x:v>
      </x:c>
      <x:c r="M332" t="str">
        <x:v>SEDANG+</x:v>
      </x:c>
      <x:c r="N332" t="str">
        <x:v>ELITE-3</x:v>
      </x:c>
      <x:c r="O332" t="str">
        <x:v>SOSHUM</x:v>
      </x:c>
      <x:c r="P332" t="str">
        <x:v>BISNIS/EKONOMI/AKUNTANSI</x:v>
      </x:c>
      <x:c r="Q332" s="18" t="n">
        <x:v>615</x:v>
      </x:c>
      <x:c r="R332" s="18" t="n">
        <x:v>0</x:v>
      </x:c>
      <x:c r="S332" s="18" t="n">
        <x:v>647.3137798427533</x:v>
      </x:c>
      <x:c r="T332" s="18" t="n">
        <x:v>688</x:v>
      </x:c>
      <x:c r="U332" s="18" t="n">
        <x:v>662.3137798427533</x:v>
      </x:c>
      <x:c r="V332" s="20" t="n">
        <x:v>4.4</x:v>
      </x:c>
      <x:c r="W332" s="20" t="n">
        <x:v>14.3</x:v>
      </x:c>
      <x:c r="X332" s="20" t="n">
        <x:v>3.3</x:v>
      </x:c>
      <x:c r="Y332" t="str">
        <x:v>Basis arsip 2025/2024</x:v>
      </x:c>
      <x:c r="Z332" t="str">
        <x:v>https://snpmb.id/utbk-snbt/daya-tampung-snbt</x:v>
      </x:c>
      <x:c r="AA332" t="str">
        <x:v>Tidak Ada</x:v>
      </x:c>
      <x:c r="AB332" t="str">
        <x:v>Campus=80; Ratio=68.1; Prodi=65; RelDemand=59.7; Capacity=0.0</x:v>
      </x:c>
    </x:row>
    <x:row r="333">
      <x:c r="A333" t="n">
        <x:v>330</x:v>
      </x:c>
      <x:c r="B333" t="str">
        <x:v>PTN Akademik</x:v>
      </x:c>
      <x:c r="C333" t="str">
        <x:v>UNIVERSITAS RIAU</x:v>
      </x:c>
      <x:c r="D333" t="str">
        <x:v>AKUNTANSI</x:v>
      </x:c>
      <x:c r="E333" t="str">
        <x:v>Sarjana</x:v>
      </x:c>
      <x:c r="F333" s="18" t="n">
        <x:v>124</x:v>
      </x:c>
      <x:c r="G333" s="18" t="n">
        <x:v>1236</x:v>
      </x:c>
      <x:c r="H333" s="19" t="n">
        <x:v>9.96774193548387</x:v>
      </x:c>
      <x:c r="I333" s="18" t="n">
        <x:f>ROUND(MIN(Model_Config_v3!$B$6,MAX(Q333,R333,S333*Model_Config_v3!$B$4+T333*Model_Config_v3!$B$5)),0)</x:f>
        <x:v>665</x:v>
      </x:c>
      <x:c r="J333" s="18" t="n">
        <x:f>MIN(Model_Config_v3!$B$6,I333+Model_Config_v3!$B$7)</x:f>
        <x:v>685</x:v>
      </x:c>
      <x:c r="K333" s="20" t="n">
        <x:v>59.8</x:v>
      </x:c>
      <x:c r="L333" t="str">
        <x:v>KETAT</x:v>
      </x:c>
      <x:c r="M333" t="str">
        <x:v>SEDANG+</x:v>
      </x:c>
      <x:c r="N333" t="str">
        <x:v>ELITE-3</x:v>
      </x:c>
      <x:c r="O333" t="str">
        <x:v>SOSHUM</x:v>
      </x:c>
      <x:c r="P333" t="str">
        <x:v>BISNIS/EKONOMI/AKUNTANSI</x:v>
      </x:c>
      <x:c r="Q333" s="18" t="n">
        <x:v>615</x:v>
      </x:c>
      <x:c r="R333" s="18" t="n">
        <x:v>0</x:v>
      </x:c>
      <x:c r="S333" s="18" t="n">
        <x:v>629.8456464149618</x:v>
      </x:c>
      <x:c r="T333" s="18" t="n">
        <x:v>680</x:v>
      </x:c>
      <x:c r="U333" s="18" t="n">
        <x:v>629.8456464149618</x:v>
      </x:c>
      <x:c r="V333" s="20" t="n">
        <x:v>4.4</x:v>
      </x:c>
      <x:c r="W333" s="20" t="n">
        <x:v>14.3</x:v>
      </x:c>
      <x:c r="X333" s="20" t="n">
        <x:v>3.3</x:v>
      </x:c>
      <x:c r="Y333" t="str">
        <x:v>Basis arsip 2025/2024</x:v>
      </x:c>
      <x:c r="Z333" t="str">
        <x:v>https://snpmb.id/utbk-snbt/daya-tampung-snbt</x:v>
      </x:c>
      <x:c r="AA333" t="str">
        <x:v>Tidak Ada</x:v>
      </x:c>
      <x:c r="AB333" t="str">
        <x:v>Campus=80; Ratio=58.8; Prodi=65; RelDemand=41.4; Capacity=0.0</x:v>
      </x:c>
    </x:row>
    <x:row r="334">
      <x:c r="A334" t="n">
        <x:v>331</x:v>
      </x:c>
      <x:c r="B334" t="str">
        <x:v>PTN Akademik</x:v>
      </x:c>
      <x:c r="C334" t="str">
        <x:v>UNIVERSITAS RIAU</x:v>
      </x:c>
      <x:c r="D334" t="str">
        <x:v>ILMU HUKUM</x:v>
      </x:c>
      <x:c r="E334" t="str">
        <x:v>Sarjana</x:v>
      </x:c>
      <x:c r="F334" s="18" t="n">
        <x:v>160</x:v>
      </x:c>
      <x:c r="G334" s="18" t="n">
        <x:v>1359</x:v>
      </x:c>
      <x:c r="H334" s="19" t="n">
        <x:v>8.49375</x:v>
      </x:c>
      <x:c r="I334" s="18" t="n">
        <x:f>ROUND(MIN(Model_Config_v3!$B$6,MAX(Q334,R334,S334*Model_Config_v3!$B$4+T334*Model_Config_v3!$B$5)),0)</x:f>
        <x:v>660</x:v>
      </x:c>
      <x:c r="J334" s="18" t="n">
        <x:f>MIN(Model_Config_v3!$B$6,I334+Model_Config_v3!$B$7)</x:f>
        <x:v>680</x:v>
      </x:c>
      <x:c r="K334" s="20" t="n">
        <x:v>58.2</x:v>
      </x:c>
      <x:c r="L334" t="str">
        <x:v>KETAT</x:v>
      </x:c>
      <x:c r="M334" t="str">
        <x:v>SEDANG+</x:v>
      </x:c>
      <x:c r="N334" t="str">
        <x:v>ELITE-3</x:v>
      </x:c>
      <x:c r="O334" t="str">
        <x:v>SOSHUM</x:v>
      </x:c>
      <x:c r="P334" t="str">
        <x:v>HUKUM</x:v>
      </x:c>
      <x:c r="Q334" s="18" t="n">
        <x:v>615</x:v>
      </x:c>
      <x:c r="R334" s="18" t="n">
        <x:v>0</x:v>
      </x:c>
      <x:c r="S334" s="18" t="n">
        <x:v>622.2009421484227</x:v>
      </x:c>
      <x:c r="T334" s="18" t="n">
        <x:v>676</x:v>
      </x:c>
      <x:c r="U334" s="18" t="n">
        <x:v>637.2009421484227</x:v>
      </x:c>
      <x:c r="V334" s="20" t="n">
        <x:v>4.4</x:v>
      </x:c>
      <x:c r="W334" s="20" t="n">
        <x:v>14.3</x:v>
      </x:c>
      <x:c r="X334" s="20" t="n">
        <x:v>3.3</x:v>
      </x:c>
      <x:c r="Y334" t="str">
        <x:v>Basis arsip 2025/2024</x:v>
      </x:c>
      <x:c r="Z334" t="str">
        <x:v>https://snpmb.id/utbk-snbt/daya-tampung-snbt</x:v>
      </x:c>
      <x:c r="AA334" t="str">
        <x:v>Tidak Ada</x:v>
      </x:c>
      <x:c r="AB334" t="str">
        <x:v>Campus=80; Ratio=54.7; Prodi=65; RelDemand=35.3; Capacity=0.0</x:v>
      </x:c>
    </x:row>
    <x:row r="335">
      <x:c r="A335" t="n">
        <x:v>332</x:v>
      </x:c>
      <x:c r="B335" t="str">
        <x:v>PTN Akademik</x:v>
      </x:c>
      <x:c r="C335" t="str">
        <x:v>UNIVERSITAS RIAU</x:v>
      </x:c>
      <x:c r="D335" t="str">
        <x:v>PENDIDIKAN EKONOMI</x:v>
      </x:c>
      <x:c r="E335" t="str">
        <x:v>Sarjana</x:v>
      </x:c>
      <x:c r="F335" s="18" t="n">
        <x:v>48</x:v>
      </x:c>
      <x:c r="G335" s="18" t="n">
        <x:v>265</x:v>
      </x:c>
      <x:c r="H335" s="19" t="n">
        <x:v>5.520833333333333</x:v>
      </x:c>
      <x:c r="I335" s="18" t="n">
        <x:f>ROUND(MIN(Model_Config_v3!$B$6,MAX(Q335,R335,S335*Model_Config_v3!$B$4+T335*Model_Config_v3!$B$5)),0)</x:f>
        <x:v>651</x:v>
      </x:c>
      <x:c r="J335" s="18" t="n">
        <x:f>MIN(Model_Config_v3!$B$6,I335+Model_Config_v3!$B$7)</x:f>
        <x:v>671</x:v>
      </x:c>
      <x:c r="K335" s="20" t="n">
        <x:v>56.2</x:v>
      </x:c>
      <x:c r="L335" t="str">
        <x:v>KETAT</x:v>
      </x:c>
      <x:c r="M335" t="str">
        <x:v>SEDANG+</x:v>
      </x:c>
      <x:c r="N335" t="str">
        <x:v>ELITE-3</x:v>
      </x:c>
      <x:c r="O335" t="str">
        <x:v>SOSHUM</x:v>
      </x:c>
      <x:c r="P335" t="str">
        <x:v>PENDIDIKAN</x:v>
      </x:c>
      <x:c r="Q335" s="18" t="n">
        <x:v>615</x:v>
      </x:c>
      <x:c r="R335" s="18" t="n">
        <x:v>0</x:v>
      </x:c>
      <x:c r="S335" s="18" t="n">
        <x:v>601.6205100217343</x:v>
      </x:c>
      <x:c r="T335" s="18" t="n">
        <x:v>672</x:v>
      </x:c>
      <x:c r="U335" s="18" t="n">
        <x:v>615</x:v>
      </x:c>
      <x:c r="V335" s="20" t="n">
        <x:v>4.4</x:v>
      </x:c>
      <x:c r="W335" s="20" t="n">
        <x:v>14.3</x:v>
      </x:c>
      <x:c r="X335" s="20" t="n">
        <x:v>3.3</x:v>
      </x:c>
      <x:c r="Y335" t="str">
        <x:v>Basis arsip 2025/2024</x:v>
      </x:c>
      <x:c r="Z335" t="str">
        <x:v>https://snpmb.id/utbk-snbt/daya-tampung-snbt</x:v>
      </x:c>
      <x:c r="AA335" t="str">
        <x:v>Tidak Ada</x:v>
      </x:c>
      <x:c r="AB335" t="str">
        <x:v>Campus=80; Ratio=43.7; Prodi=45; RelDemand=22.9; Capacity=60.0</x:v>
      </x:c>
    </x:row>
    <x:row r="336">
      <x:c r="A336" t="n">
        <x:v>333</x:v>
      </x:c>
      <x:c r="B336" t="str">
        <x:v>PTN Akademik</x:v>
      </x:c>
      <x:c r="C336" t="str">
        <x:v>UNIVERSITAS RIAU</x:v>
      </x:c>
      <x:c r="D336" t="str">
        <x:v>PENDIDIKAN PANCASILA DAN KEWARGANEGARAAN</x:v>
      </x:c>
      <x:c r="E336" t="str">
        <x:v>Sarjana</x:v>
      </x:c>
      <x:c r="F336" s="18" t="n">
        <x:v>32</x:v>
      </x:c>
      <x:c r="G336" s="18" t="n">
        <x:v>370</x:v>
      </x:c>
      <x:c r="H336" s="19" t="n">
        <x:v>11.5625</x:v>
      </x:c>
      <x:c r="I336" s="18" t="n">
        <x:f>ROUND(MIN(Model_Config_v3!$B$6,MAX(Q336,R336,S336*Model_Config_v3!$B$4+T336*Model_Config_v3!$B$5)),0)</x:f>
        <x:v>674</x:v>
      </x:c>
      <x:c r="J336" s="18" t="n">
        <x:f>MIN(Model_Config_v3!$B$6,I336+Model_Config_v3!$B$7)</x:f>
        <x:v>694</x:v>
      </x:c>
      <x:c r="K336" s="20" t="n">
        <x:v>64.8</x:v>
      </x:c>
      <x:c r="L336" t="str">
        <x:v>KETAT</x:v>
      </x:c>
      <x:c r="M336" t="str">
        <x:v>SEDANG+</x:v>
      </x:c>
      <x:c r="N336" t="str">
        <x:v>ELITE-3</x:v>
      </x:c>
      <x:c r="O336" t="str">
        <x:v>CAMPURAN</x:v>
      </x:c>
      <x:c r="P336" t="str">
        <x:v>PENDIDIKAN</x:v>
      </x:c>
      <x:c r="Q336" s="18" t="n">
        <x:v>615</x:v>
      </x:c>
      <x:c r="R336" s="18" t="n">
        <x:v>0</x:v>
      </x:c>
      <x:c r="S336" s="18" t="n">
        <x:v>636.9356920321798</x:v>
      </x:c>
      <x:c r="T336" s="18" t="n">
        <x:v>690</x:v>
      </x:c>
      <x:c r="U336" s="18" t="n">
        <x:v>636.9356920321798</x:v>
      </x:c>
      <x:c r="V336" s="20" t="n">
        <x:v>8.8</x:v>
      </x:c>
      <x:c r="W336" s="20" t="n">
        <x:v>9.9</x:v>
      </x:c>
      <x:c r="X336" s="20" t="n">
        <x:v>3.3</x:v>
      </x:c>
      <x:c r="Y336" t="str">
        <x:v>Basis arsip 2025/2024</x:v>
      </x:c>
      <x:c r="Z336" t="str">
        <x:v>https://snpmb.id/utbk-snbt/daya-tampung-snbt</x:v>
      </x:c>
      <x:c r="AA336" t="str">
        <x:v>Tidak Ada</x:v>
      </x:c>
      <x:c r="AB336" t="str">
        <x:v>Campus=80; Ratio=62.6; Prodi=45; RelDemand=48.0; Capacity=73.3</x:v>
      </x:c>
    </x:row>
    <x:row r="337">
      <x:c r="A337" t="n">
        <x:v>334</x:v>
      </x:c>
      <x:c r="B337" t="str">
        <x:v>PTN Akademik</x:v>
      </x:c>
      <x:c r="C337" t="str">
        <x:v>UNIVERSITAS RIAU</x:v>
      </x:c>
      <x:c r="D337" t="str">
        <x:v>PENDIDIKAN SEJARAH</x:v>
      </x:c>
      <x:c r="E337" t="str">
        <x:v>Sarjana</x:v>
      </x:c>
      <x:c r="F337" s="18" t="n">
        <x:v>32</x:v>
      </x:c>
      <x:c r="G337" s="18" t="n">
        <x:v>248</x:v>
      </x:c>
      <x:c r="H337" s="19" t="n">
        <x:v>7.75</x:v>
      </x:c>
      <x:c r="I337" s="18" t="n">
        <x:f>ROUND(MIN(Model_Config_v3!$B$6,MAX(Q337,R337,S337*Model_Config_v3!$B$4+T337*Model_Config_v3!$B$5)),0)</x:f>
        <x:v>662</x:v>
      </x:c>
      <x:c r="J337" s="18" t="n">
        <x:f>MIN(Model_Config_v3!$B$6,I337+Model_Config_v3!$B$7)</x:f>
        <x:v>682</x:v>
      </x:c>
      <x:c r="K337" s="20" t="n">
        <x:v>60.6</x:v>
      </x:c>
      <x:c r="L337" t="str">
        <x:v>KETAT</x:v>
      </x:c>
      <x:c r="M337" t="str">
        <x:v>SEDANG+</x:v>
      </x:c>
      <x:c r="N337" t="str">
        <x:v>ELITE-3</x:v>
      </x:c>
      <x:c r="O337" t="str">
        <x:v>SOSHUM</x:v>
      </x:c>
      <x:c r="P337" t="str">
        <x:v>PENDIDIKAN</x:v>
      </x:c>
      <x:c r="Q337" s="18" t="n">
        <x:v>615</x:v>
      </x:c>
      <x:c r="R337" s="18" t="n">
        <x:v>0</x:v>
      </x:c>
      <x:c r="S337" s="18" t="n">
        <x:v>617.8231872756941</x:v>
      </x:c>
      <x:c r="T337" s="18" t="n">
        <x:v>681</x:v>
      </x:c>
      <x:c r="U337" s="18" t="n">
        <x:v>617.8231872756941</x:v>
      </x:c>
      <x:c r="V337" s="20" t="n">
        <x:v>4.4</x:v>
      </x:c>
      <x:c r="W337" s="20" t="n">
        <x:v>14.3</x:v>
      </x:c>
      <x:c r="X337" s="20" t="n">
        <x:v>3.3</x:v>
      </x:c>
      <x:c r="Y337" t="str">
        <x:v>Basis arsip 2025/2024</x:v>
      </x:c>
      <x:c r="Z337" t="str">
        <x:v>https://snpmb.id/utbk-snbt/daya-tampung-snbt</x:v>
      </x:c>
      <x:c r="AA337" t="str">
        <x:v>Tidak Ada</x:v>
      </x:c>
      <x:c r="AB337" t="str">
        <x:v>Campus=80; Ratio=52.3; Prodi=45; RelDemand=32.2; Capacity=73.3</x:v>
      </x:c>
    </x:row>
    <x:row r="338">
      <x:c r="A338" t="n">
        <x:v>335</x:v>
      </x:c>
      <x:c r="B338" t="str">
        <x:v>PTN Akademik</x:v>
      </x:c>
      <x:c r="C338" t="str">
        <x:v>UNIVERSITAS RIAU</x:v>
      </x:c>
      <x:c r="D338" t="str">
        <x:v>PENDIDIKAN BAHASA DAN SASTRA INDONESIA</x:v>
      </x:c>
      <x:c r="E338" t="str">
        <x:v>Sarjana</x:v>
      </x:c>
      <x:c r="F338" s="18" t="n">
        <x:v>48</x:v>
      </x:c>
      <x:c r="G338" s="18" t="n">
        <x:v>582</x:v>
      </x:c>
      <x:c r="H338" s="19" t="n">
        <x:v>12.125</x:v>
      </x:c>
      <x:c r="I338" s="18" t="n">
        <x:f>ROUND(MIN(Model_Config_v3!$B$6,MAX(Q338,R338,S338*Model_Config_v3!$B$4+T338*Model_Config_v3!$B$5)),0)</x:f>
        <x:v>673</x:v>
      </x:c>
      <x:c r="J338" s="18" t="n">
        <x:f>MIN(Model_Config_v3!$B$6,I338+Model_Config_v3!$B$7)</x:f>
        <x:v>693</x:v>
      </x:c>
      <x:c r="K338" s="20" t="n">
        <x:v>64</x:v>
      </x:c>
      <x:c r="L338" t="str">
        <x:v>KETAT</x:v>
      </x:c>
      <x:c r="M338" t="str">
        <x:v>SEDANG+</x:v>
      </x:c>
      <x:c r="N338" t="str">
        <x:v>ELITE-3</x:v>
      </x:c>
      <x:c r="O338" t="str">
        <x:v>SOSHUM</x:v>
      </x:c>
      <x:c r="P338" t="str">
        <x:v>PENDIDIKAN</x:v>
      </x:c>
      <x:c r="Q338" s="18" t="n">
        <x:v>615</x:v>
      </x:c>
      <x:c r="R338" s="18" t="n">
        <x:v>0</x:v>
      </x:c>
      <x:c r="S338" s="18" t="n">
        <x:v>639.2049922001731</x:v>
      </x:c>
      <x:c r="T338" s="18" t="n">
        <x:v>688</x:v>
      </x:c>
      <x:c r="U338" s="18" t="n">
        <x:v>639.2049922001731</x:v>
      </x:c>
      <x:c r="V338" s="20" t="n">
        <x:v>4.4</x:v>
      </x:c>
      <x:c r="W338" s="20" t="n">
        <x:v>14.3</x:v>
      </x:c>
      <x:c r="X338" s="20" t="n">
        <x:v>3.3</x:v>
      </x:c>
      <x:c r="Y338" t="str">
        <x:v>Basis arsip 2025/2024</x:v>
      </x:c>
      <x:c r="Z338" t="str">
        <x:v>https://snpmb.id/utbk-snbt/daya-tampung-snbt</x:v>
      </x:c>
      <x:c r="AA338" t="str">
        <x:v>Tidak Ada</x:v>
      </x:c>
      <x:c r="AB338" t="str">
        <x:v>Campus=80; Ratio=63.8; Prodi=45; RelDemand=50.3; Capacity=60.0</x:v>
      </x:c>
    </x:row>
    <x:row r="339">
      <x:c r="A339" t="n">
        <x:v>336</x:v>
      </x:c>
      <x:c r="B339" t="str">
        <x:v>PTN Akademik</x:v>
      </x:c>
      <x:c r="C339" t="str">
        <x:v>UNIVERSITAS RIAU</x:v>
      </x:c>
      <x:c r="D339" t="str">
        <x:v>PENDIDIKAN BAHASA INGGRIS</x:v>
      </x:c>
      <x:c r="E339" t="str">
        <x:v>Sarjana</x:v>
      </x:c>
      <x:c r="F339" s="18" t="n">
        <x:v>48</x:v>
      </x:c>
      <x:c r="G339" s="18" t="n">
        <x:v>445</x:v>
      </x:c>
      <x:c r="H339" s="19" t="n">
        <x:v>9.270833333333334</x:v>
      </x:c>
      <x:c r="I339" s="18" t="n">
        <x:f>ROUND(MIN(Model_Config_v3!$B$6,MAX(Q339,R339,S339*Model_Config_v3!$B$4+T339*Model_Config_v3!$B$5)),0)</x:f>
        <x:v>665</x:v>
      </x:c>
      <x:c r="J339" s="18" t="n">
        <x:f>MIN(Model_Config_v3!$B$6,I339+Model_Config_v3!$B$7)</x:f>
        <x:v>685</x:v>
      </x:c>
      <x:c r="K339" s="20" t="n">
        <x:v>61.1</x:v>
      </x:c>
      <x:c r="L339" t="str">
        <x:v>KETAT</x:v>
      </x:c>
      <x:c r="M339" t="str">
        <x:v>SEDANG+</x:v>
      </x:c>
      <x:c r="N339" t="str">
        <x:v>ELITE-3</x:v>
      </x:c>
      <x:c r="O339" t="str">
        <x:v>SOSHUM</x:v>
      </x:c>
      <x:c r="P339" t="str">
        <x:v>PENDIDIKAN</x:v>
      </x:c>
      <x:c r="Q339" s="18" t="n">
        <x:v>615</x:v>
      </x:c>
      <x:c r="R339" s="18" t="n">
        <x:v>0</x:v>
      </x:c>
      <x:c r="S339" s="18" t="n">
        <x:v>626.3830650965879</x:v>
      </x:c>
      <x:c r="T339" s="18" t="n">
        <x:v>682</x:v>
      </x:c>
      <x:c r="U339" s="18" t="n">
        <x:v>626.3830650965879</x:v>
      </x:c>
      <x:c r="V339" s="20" t="n">
        <x:v>4.4</x:v>
      </x:c>
      <x:c r="W339" s="20" t="n">
        <x:v>14.3</x:v>
      </x:c>
      <x:c r="X339" s="20" t="n">
        <x:v>3.3</x:v>
      </x:c>
      <x:c r="Y339" t="str">
        <x:v>Basis arsip 2025/2024</x:v>
      </x:c>
      <x:c r="Z339" t="str">
        <x:v>https://snpmb.id/utbk-snbt/daya-tampung-snbt</x:v>
      </x:c>
      <x:c r="AA339" t="str">
        <x:v>Tidak Ada</x:v>
      </x:c>
      <x:c r="AB339" t="str">
        <x:v>Campus=80; Ratio=56.9; Prodi=45; RelDemand=38.5; Capacity=60.0</x:v>
      </x:c>
    </x:row>
    <x:row r="340">
      <x:c r="A340" t="n">
        <x:v>337</x:v>
      </x:c>
      <x:c r="B340" t="str">
        <x:v>PTN Akademik</x:v>
      </x:c>
      <x:c r="C340" t="str">
        <x:v>UNIVERSITAS RIAU</x:v>
      </x:c>
      <x:c r="D340" t="str">
        <x:v>PENDIDIKAN BAHASA JEPANG</x:v>
      </x:c>
      <x:c r="E340" t="str">
        <x:v>Sarjana</x:v>
      </x:c>
      <x:c r="F340" s="18" t="n">
        <x:v>32</x:v>
      </x:c>
      <x:c r="G340" s="18" t="n">
        <x:v>79</x:v>
      </x:c>
      <x:c r="H340" s="19" t="n">
        <x:v>2.46875</x:v>
      </x:c>
      <x:c r="I340" s="18" t="n">
        <x:f>ROUND(MIN(Model_Config_v3!$B$6,MAX(Q340,R340,S340*Model_Config_v3!$B$4+T340*Model_Config_v3!$B$5)),0)</x:f>
        <x:v>632</x:v>
      </x:c>
      <x:c r="J340" s="18" t="n">
        <x:f>MIN(Model_Config_v3!$B$6,I340+Model_Config_v3!$B$7)</x:f>
        <x:v>652</x:v>
      </x:c>
      <x:c r="K340" s="20" t="n">
        <x:v>51.1</x:v>
      </x:c>
      <x:c r="L340" t="str">
        <x:v>MENENGAH</x:v>
      </x:c>
      <x:c r="M340" t="str">
        <x:v>SEDANG+</x:v>
      </x:c>
      <x:c r="N340" t="str">
        <x:v>ELITE-3</x:v>
      </x:c>
      <x:c r="O340" t="str">
        <x:v>SOSHUM</x:v>
      </x:c>
      <x:c r="P340" t="str">
        <x:v>PENDIDIKAN</x:v>
      </x:c>
      <x:c r="Q340" s="18" t="n">
        <x:v>615</x:v>
      </x:c>
      <x:c r="R340" s="18" t="n">
        <x:v>0</x:v>
      </x:c>
      <x:c r="S340" s="18" t="n">
        <x:v>563.1724824267588</x:v>
      </x:c>
      <x:c r="T340" s="18" t="n">
        <x:v>662</x:v>
      </x:c>
      <x:c r="U340" s="18" t="n">
        <x:v>615</x:v>
      </x:c>
      <x:c r="V340" s="20" t="n">
        <x:v>4.4</x:v>
      </x:c>
      <x:c r="W340" s="20" t="n">
        <x:v>14.3</x:v>
      </x:c>
      <x:c r="X340" s="20" t="n">
        <x:v>3.3</x:v>
      </x:c>
      <x:c r="Y340" t="str">
        <x:v>Basis arsip 2025/2024</x:v>
      </x:c>
      <x:c r="Z340" t="str">
        <x:v>https://snpmb.id/utbk-snbt/daya-tampung-snbt</x:v>
      </x:c>
      <x:c r="AA340" t="str">
        <x:v>Tidak Ada</x:v>
      </x:c>
      <x:c r="AB340" t="str">
        <x:v>Campus=80; Ratio=23.1; Prodi=45; RelDemand=10.3; Capacity=73.3</x:v>
      </x:c>
    </x:row>
    <x:row r="341">
      <x:c r="A341" t="n">
        <x:v>338</x:v>
      </x:c>
      <x:c r="B341" t="str">
        <x:v>PTN Akademik</x:v>
      </x:c>
      <x:c r="C341" t="str">
        <x:v>UNIVERSITAS RIAU</x:v>
      </x:c>
      <x:c r="D341" t="str">
        <x:v>PENDIDIKAN MASYARAKAT</x:v>
      </x:c>
      <x:c r="E341" t="str">
        <x:v>Sarjana</x:v>
      </x:c>
      <x:c r="F341" s="18" t="n">
        <x:v>32</x:v>
      </x:c>
      <x:c r="G341" s="18" t="n">
        <x:v>81</x:v>
      </x:c>
      <x:c r="H341" s="19" t="n">
        <x:v>2.53125</x:v>
      </x:c>
      <x:c r="I341" s="18" t="n">
        <x:f>ROUND(MIN(Model_Config_v3!$B$6,MAX(Q341,R341,S341*Model_Config_v3!$B$4+T341*Model_Config_v3!$B$5)),0)</x:f>
        <x:v>633</x:v>
      </x:c>
      <x:c r="J341" s="18" t="n">
        <x:f>MIN(Model_Config_v3!$B$6,I341+Model_Config_v3!$B$7)</x:f>
        <x:v>653</x:v>
      </x:c>
      <x:c r="K341" s="20" t="n">
        <x:v>51.3</x:v>
      </x:c>
      <x:c r="L341" t="str">
        <x:v>MENENGAH</x:v>
      </x:c>
      <x:c r="M341" t="str">
        <x:v>SEDANG+</x:v>
      </x:c>
      <x:c r="N341" t="str">
        <x:v>ELITE-3</x:v>
      </x:c>
      <x:c r="O341" t="str">
        <x:v>CAMPURAN</x:v>
      </x:c>
      <x:c r="P341" t="str">
        <x:v>PENDIDIKAN</x:v>
      </x:c>
      <x:c r="Q341" s="18" t="n">
        <x:v>615</x:v>
      </x:c>
      <x:c r="R341" s="18" t="n">
        <x:v>0</x:v>
      </x:c>
      <x:c r="S341" s="18" t="n">
        <x:v>564.3668544614618</x:v>
      </x:c>
      <x:c r="T341" s="18" t="n">
        <x:v>663</x:v>
      </x:c>
      <x:c r="U341" s="18" t="n">
        <x:v>615</x:v>
      </x:c>
      <x:c r="V341" s="20" t="n">
        <x:v>8.8</x:v>
      </x:c>
      <x:c r="W341" s="20" t="n">
        <x:v>9.9</x:v>
      </x:c>
      <x:c r="X341" s="20" t="n">
        <x:v>3.3</x:v>
      </x:c>
      <x:c r="Y341" t="str">
        <x:v>Basis arsip 2025/2024</x:v>
      </x:c>
      <x:c r="Z341" t="str">
        <x:v>https://snpmb.id/utbk-snbt/daya-tampung-snbt</x:v>
      </x:c>
      <x:c r="AA341" t="str">
        <x:v>Tidak Ada</x:v>
      </x:c>
      <x:c r="AB341" t="str">
        <x:v>Campus=80; Ratio=23.7; Prodi=45; RelDemand=10.5; Capacity=73.3</x:v>
      </x:c>
    </x:row>
    <x:row r="342">
      <x:c r="A342" t="n">
        <x:v>339</x:v>
      </x:c>
      <x:c r="B342" t="str">
        <x:v>PTN Akademik</x:v>
      </x:c>
      <x:c r="C342" t="str">
        <x:v>UNIVERSITAS RIAU</x:v>
      </x:c>
      <x:c r="D342" t="str">
        <x:v>BIMBINGAN KONSELING</x:v>
      </x:c>
      <x:c r="E342" t="str">
        <x:v>Sarjana</x:v>
      </x:c>
      <x:c r="F342" s="18" t="n">
        <x:v>32</x:v>
      </x:c>
      <x:c r="G342" s="18" t="n">
        <x:v>677</x:v>
      </x:c>
      <x:c r="H342" s="19" t="n">
        <x:v>21.15625</x:v>
      </x:c>
      <x:c r="I342" s="18" t="n">
        <x:f>ROUND(MIN(Model_Config_v3!$B$6,MAX(Q342,R342,S342*Model_Config_v3!$B$4+T342*Model_Config_v3!$B$5)),0)</x:f>
        <x:v>692</x:v>
      </x:c>
      <x:c r="J342" s="18" t="n">
        <x:f>MIN(Model_Config_v3!$B$6,I342+Model_Config_v3!$B$7)</x:f>
        <x:v>712</x:v>
      </x:c>
      <x:c r="K342" s="20" t="n">
        <x:v>71.6</x:v>
      </x:c>
      <x:c r="L342" t="str">
        <x:v>SANGAT KETAT</x:v>
      </x:c>
      <x:c r="M342" t="str">
        <x:v>SEDANG+</x:v>
      </x:c>
      <x:c r="N342" t="str">
        <x:v>ELITE-3</x:v>
      </x:c>
      <x:c r="O342" t="str">
        <x:v>CAMPURAN</x:v>
      </x:c>
      <x:c r="P342" t="str">
        <x:v>UMUM</x:v>
      </x:c>
      <x:c r="Q342" s="18" t="n">
        <x:v>615</x:v>
      </x:c>
      <x:c r="R342" s="18" t="n">
        <x:v>0</x:v>
      </x:c>
      <x:c r="S342" s="18" t="n">
        <x:v>665.7982559401762</x:v>
      </x:c>
      <x:c r="T342" s="18" t="n">
        <x:v>703</x:v>
      </x:c>
      <x:c r="U342" s="18" t="n">
        <x:v>665.7982559401762</x:v>
      </x:c>
      <x:c r="V342" s="20" t="n">
        <x:v>8.8</x:v>
      </x:c>
      <x:c r="W342" s="20" t="n">
        <x:v>9.9</x:v>
      </x:c>
      <x:c r="X342" s="20" t="n">
        <x:v>3.3</x:v>
      </x:c>
      <x:c r="Y342" t="str">
        <x:v>Basis arsip 2025/2024</x:v>
      </x:c>
      <x:c r="Z342" t="str">
        <x:v>https://snpmb.id/utbk-snbt/daya-tampung-snbt</x:v>
      </x:c>
      <x:c r="AA342" t="str">
        <x:v>Tidak Ada</x:v>
      </x:c>
      <x:c r="AB342" t="str">
        <x:v>Campus=80; Ratio=78.0; Prodi=40; RelDemand=87.8; Capacity=73.3</x:v>
      </x:c>
    </x:row>
    <x:row r="343">
      <x:c r="A343" t="n">
        <x:v>340</x:v>
      </x:c>
      <x:c r="B343" t="str">
        <x:v>PTN Akademik</x:v>
      </x:c>
      <x:c r="C343" t="str">
        <x:v>UNIVERSITAS RIAU</x:v>
      </x:c>
      <x:c r="D343" t="str">
        <x:v>PENDIDIKAN JASMANI KESEHATAN DAN REKREASI</x:v>
      </x:c>
      <x:c r="E343" t="str">
        <x:v>Sarjana</x:v>
      </x:c>
      <x:c r="F343" s="18" t="n">
        <x:v>32</x:v>
      </x:c>
      <x:c r="G343" s="18" t="n">
        <x:v>204</x:v>
      </x:c>
      <x:c r="H343" s="19" t="n">
        <x:v>6.375</x:v>
      </x:c>
      <x:c r="I343" s="18" t="n">
        <x:f>ROUND(MIN(Model_Config_v3!$B$6,MAX(Q343,R343,S343*Model_Config_v3!$B$4+T343*Model_Config_v3!$B$5)),0)</x:f>
        <x:v>657</x:v>
      </x:c>
      <x:c r="J343" s="18" t="n">
        <x:f>MIN(Model_Config_v3!$B$6,I343+Model_Config_v3!$B$7)</x:f>
        <x:v>677</x:v>
      </x:c>
      <x:c r="K343" s="20" t="n">
        <x:v>58.8</x:v>
      </x:c>
      <x:c r="L343" t="str">
        <x:v>KETAT</x:v>
      </x:c>
      <x:c r="M343" t="str">
        <x:v>PORTOFOLIO</x:v>
      </x:c>
      <x:c r="N343" t="str">
        <x:v>ELITE-3</x:v>
      </x:c>
      <x:c r="O343" t="str">
        <x:v>SENI/OLAHRAGA</x:v>
      </x:c>
      <x:c r="P343" t="str">
        <x:v>SENI/OLAHRAGA</x:v>
      </x:c>
      <x:c r="Q343" s="18" t="n">
        <x:v>615</x:v>
      </x:c>
      <x:c r="R343" s="18" t="n">
        <x:v>0</x:v>
      </x:c>
      <x:c r="S343" s="18" t="n">
        <x:v>608.4928208016591</x:v>
      </x:c>
      <x:c r="T343" s="18" t="n">
        <x:v>678</x:v>
      </x:c>
      <x:c r="U343" s="18" t="n">
        <x:v>615</x:v>
      </x:c>
      <x:c r="V343" s="20" t="n">
        <x:v>4.4</x:v>
      </x:c>
      <x:c r="W343" s="20" t="n">
        <x:v>9.9</x:v>
      </x:c>
      <x:c r="X343" s="20" t="n">
        <x:v>7.7</x:v>
      </x:c>
      <x:c r="Y343" t="str">
        <x:v>Basis arsip 2025/2024</x:v>
      </x:c>
      <x:c r="Z343" t="str">
        <x:v>https://snpmb.id/utbk-snbt/daya-tampung-snbt</x:v>
      </x:c>
      <x:c r="AA343" t="str">
        <x:v>Olahraga</x:v>
      </x:c>
      <x:c r="AB343" t="str">
        <x:v>Campus=80; Ratio=47.4; Prodi=45; RelDemand=26.5; Capacity=73.3</x:v>
      </x:c>
    </x:row>
    <x:row r="344">
      <x:c r="A344" t="n">
        <x:v>341</x:v>
      </x:c>
      <x:c r="B344" t="str">
        <x:v>PTN Akademik</x:v>
      </x:c>
      <x:c r="C344" t="str">
        <x:v>UNIVERSITAS RIAU</x:v>
      </x:c>
      <x:c r="D344" t="str">
        <x:v>PENDIDIKAN KEPELATIHAN OLAHRAGA</x:v>
      </x:c>
      <x:c r="E344" t="str">
        <x:v>Sarjana</x:v>
      </x:c>
      <x:c r="F344" s="18" t="n">
        <x:v>32</x:v>
      </x:c>
      <x:c r="G344" s="18" t="n">
        <x:v>129</x:v>
      </x:c>
      <x:c r="H344" s="19" t="n">
        <x:v>4.03125</x:v>
      </x:c>
      <x:c r="I344" s="18" t="n">
        <x:f>ROUND(MIN(Model_Config_v3!$B$6,MAX(Q344,R344,S344*Model_Config_v3!$B$4+T344*Model_Config_v3!$B$5)),0)</x:f>
        <x:v>645</x:v>
      </x:c>
      <x:c r="J344" s="18" t="n">
        <x:f>MIN(Model_Config_v3!$B$6,I344+Model_Config_v3!$B$7)</x:f>
        <x:v>665</x:v>
      </x:c>
      <x:c r="K344" s="20" t="n">
        <x:v>54.9</x:v>
      </x:c>
      <x:c r="L344" t="str">
        <x:v>MENENGAH</x:v>
      </x:c>
      <x:c r="M344" t="str">
        <x:v>PORTOFOLIO</x:v>
      </x:c>
      <x:c r="N344" t="str">
        <x:v>ELITE-3</x:v>
      </x:c>
      <x:c r="O344" t="str">
        <x:v>SENI/OLAHRAGA</x:v>
      </x:c>
      <x:c r="P344" t="str">
        <x:v>SENI/OLAHRAGA</x:v>
      </x:c>
      <x:c r="Q344" s="18" t="n">
        <x:v>615</x:v>
      </x:c>
      <x:c r="R344" s="18" t="n">
        <x:v>0</x:v>
      </x:c>
      <x:c r="S344" s="18" t="n">
        <x:v>586.5983705177277</x:v>
      </x:c>
      <x:c r="T344" s="18" t="n">
        <x:v>670</x:v>
      </x:c>
      <x:c r="U344" s="18" t="n">
        <x:v>615</x:v>
      </x:c>
      <x:c r="V344" s="20" t="n">
        <x:v>4.4</x:v>
      </x:c>
      <x:c r="W344" s="20" t="n">
        <x:v>9.9</x:v>
      </x:c>
      <x:c r="X344" s="20" t="n">
        <x:v>7.7</x:v>
      </x:c>
      <x:c r="Y344" t="str">
        <x:v>Basis arsip 2025/2024</x:v>
      </x:c>
      <x:c r="Z344" t="str">
        <x:v>https://snpmb.id/utbk-snbt/daya-tampung-snbt</x:v>
      </x:c>
      <x:c r="AA344" t="str">
        <x:v>Olahraga</x:v>
      </x:c>
      <x:c r="AB344" t="str">
        <x:v>Campus=80; Ratio=35.6; Prodi=45; RelDemand=16.7; Capacity=73.3</x:v>
      </x:c>
    </x:row>
    <x:row r="345">
      <x:c r="A345" t="n">
        <x:v>342</x:v>
      </x:c>
      <x:c r="B345" t="str">
        <x:v>PTN Akademik</x:v>
      </x:c>
      <x:c r="C345" t="str">
        <x:v>UNIVERSITAS RIAU</x:v>
      </x:c>
      <x:c r="D345" t="str">
        <x:v>PENDIDIKAN GURU SEKOLAH DASAR</x:v>
      </x:c>
      <x:c r="E345" t="str">
        <x:v>Sarjana</x:v>
      </x:c>
      <x:c r="F345" s="18" t="n">
        <x:v>48</x:v>
      </x:c>
      <x:c r="G345" s="18" t="n">
        <x:v>1710</x:v>
      </x:c>
      <x:c r="H345" s="19" t="n">
        <x:v>35.625</x:v>
      </x:c>
      <x:c r="I345" s="18" t="n">
        <x:f>ROUND(MIN(Model_Config_v3!$B$6,MAX(Q345,R345,S345*Model_Config_v3!$B$4+T345*Model_Config_v3!$B$5)),0)</x:f>
        <x:v>706</x:v>
      </x:c>
      <x:c r="J345" s="18" t="n">
        <x:f>MIN(Model_Config_v3!$B$6,I345+Model_Config_v3!$B$7)</x:f>
        <x:v>726</x:v>
      </x:c>
      <x:c r="K345" s="20" t="n">
        <x:v>75.8</x:v>
      </x:c>
      <x:c r="L345" t="str">
        <x:v>ELITE</x:v>
      </x:c>
      <x:c r="M345" t="str">
        <x:v>SEDANG+</x:v>
      </x:c>
      <x:c r="N345" t="str">
        <x:v>ELITE-3</x:v>
      </x:c>
      <x:c r="O345" t="str">
        <x:v>CAMPURAN</x:v>
      </x:c>
      <x:c r="P345" t="str">
        <x:v>PENDIDIKAN</x:v>
      </x:c>
      <x:c r="Q345" s="18" t="n">
        <x:v>615</x:v>
      </x:c>
      <x:c r="R345" s="18" t="n">
        <x:v>0</x:v>
      </x:c>
      <x:c r="S345" s="18" t="n">
        <x:v>690.6930360318223</x:v>
      </x:c>
      <x:c r="T345" s="18" t="n">
        <x:v>712</x:v>
      </x:c>
      <x:c r="U345" s="18" t="n">
        <x:v>690.6930360318223</x:v>
      </x:c>
      <x:c r="V345" s="20" t="n">
        <x:v>8.8</x:v>
      </x:c>
      <x:c r="W345" s="20" t="n">
        <x:v>9.9</x:v>
      </x:c>
      <x:c r="X345" s="20" t="n">
        <x:v>3.3</x:v>
      </x:c>
      <x:c r="Y345" t="str">
        <x:v>Basis arsip 2025/2024</x:v>
      </x:c>
      <x:c r="Z345" t="str">
        <x:v>https://snpmb.id/utbk-snbt/daya-tampung-snbt</x:v>
      </x:c>
      <x:c r="AA345" t="str">
        <x:v>Tidak Ada</x:v>
      </x:c>
      <x:c r="AB345" t="str">
        <x:v>Campus=80; Ratio=91.3; Prodi=45; RelDemand=100.0; Capacity=60.0</x:v>
      </x:c>
    </x:row>
    <x:row r="346">
      <x:c r="A346" t="n">
        <x:v>343</x:v>
      </x:c>
      <x:c r="B346" t="str">
        <x:v>PTN Akademik</x:v>
      </x:c>
      <x:c r="C346" t="str">
        <x:v>UNIVERSITAS RIAU</x:v>
      </x:c>
      <x:c r="D346" t="str">
        <x:v>PENDIDIKAN ANAK USIA DINI</x:v>
      </x:c>
      <x:c r="E346" t="str">
        <x:v>Sarjana</x:v>
      </x:c>
      <x:c r="F346" s="18" t="n">
        <x:v>32</x:v>
      </x:c>
      <x:c r="G346" s="18" t="n">
        <x:v>191</x:v>
      </x:c>
      <x:c r="H346" s="19" t="n">
        <x:v>5.96875</x:v>
      </x:c>
      <x:c r="I346" s="18" t="n">
        <x:f>ROUND(MIN(Model_Config_v3!$B$6,MAX(Q346,R346,S346*Model_Config_v3!$B$4+T346*Model_Config_v3!$B$5)),0)</x:f>
        <x:v>655</x:v>
      </x:c>
      <x:c r="J346" s="18" t="n">
        <x:f>MIN(Model_Config_v3!$B$6,I346+Model_Config_v3!$B$7)</x:f>
        <x:v>675</x:v>
      </x:c>
      <x:c r="K346" s="20" t="n">
        <x:v>58.2</x:v>
      </x:c>
      <x:c r="L346" t="str">
        <x:v>KETAT</x:v>
      </x:c>
      <x:c r="M346" t="str">
        <x:v>SEDANG+</x:v>
      </x:c>
      <x:c r="N346" t="str">
        <x:v>ELITE-3</x:v>
      </x:c>
      <x:c r="O346" t="str">
        <x:v>CAMPURAN</x:v>
      </x:c>
      <x:c r="P346" t="str">
        <x:v>PENDIDIKAN</x:v>
      </x:c>
      <x:c r="Q346" s="18" t="n">
        <x:v>615</x:v>
      </x:c>
      <x:c r="R346" s="18" t="n">
        <x:v>0</x:v>
      </x:c>
      <x:c r="S346" s="18" t="n">
        <x:v>605.3471727820604</x:v>
      </x:c>
      <x:c r="T346" s="18" t="n">
        <x:v>676</x:v>
      </x:c>
      <x:c r="U346" s="18" t="n">
        <x:v>615</x:v>
      </x:c>
      <x:c r="V346" s="20" t="n">
        <x:v>8.8</x:v>
      </x:c>
      <x:c r="W346" s="20" t="n">
        <x:v>9.9</x:v>
      </x:c>
      <x:c r="X346" s="20" t="n">
        <x:v>3.3</x:v>
      </x:c>
      <x:c r="Y346" t="str">
        <x:v>Basis arsip 2025/2024</x:v>
      </x:c>
      <x:c r="Z346" t="str">
        <x:v>https://snpmb.id/utbk-snbt/daya-tampung-snbt</x:v>
      </x:c>
      <x:c r="AA346" t="str">
        <x:v>Tidak Ada</x:v>
      </x:c>
      <x:c r="AB346" t="str">
        <x:v>Campus=80; Ratio=45.7; Prodi=45; RelDemand=24.8; Capacity=73.3</x:v>
      </x:c>
    </x:row>
    <x:row r="347">
      <x:c r="A347" t="n">
        <x:v>344</x:v>
      </x:c>
      <x:c r="B347" t="str">
        <x:v>PTN Akademik</x:v>
      </x:c>
      <x:c r="C347" t="str">
        <x:v>UNIVERSITAS RIAU</x:v>
      </x:c>
      <x:c r="D347" t="str">
        <x:v>KEDOKTERAN HEWAN</x:v>
      </x:c>
      <x:c r="E347" t="str">
        <x:v>Sarjana</x:v>
      </x:c>
      <x:c r="F347" s="18" t="n">
        <x:v>32</x:v>
      </x:c>
      <x:c r="G347" s="18" t="n">
        <x:v>248</x:v>
      </x:c>
      <x:c r="H347" s="19" t="n">
        <x:v>7.75</x:v>
      </x:c>
      <x:c r="I347" s="18" t="n">
        <x:f>ROUND(MIN(Model_Config_v3!$B$6,MAX(Q347,R347,S347*Model_Config_v3!$B$4+T347*Model_Config_v3!$B$5)),0)</x:f>
        <x:v>666</x:v>
      </x:c>
      <x:c r="J347" s="18" t="n">
        <x:f>MIN(Model_Config_v3!$B$6,I347+Model_Config_v3!$B$7)</x:f>
        <x:v>686</x:v>
      </x:c>
      <x:c r="K347" s="20" t="n">
        <x:v>63.6</x:v>
      </x:c>
      <x:c r="L347" t="str">
        <x:v>KETAT</x:v>
      </x:c>
      <x:c r="M347" t="str">
        <x:v>SEDANG+</x:v>
      </x:c>
      <x:c r="N347" t="str">
        <x:v>ELITE-3</x:v>
      </x:c>
      <x:c r="O347" t="str">
        <x:v>SAINTEK</x:v>
      </x:c>
      <x:c r="P347" t="str">
        <x:v>VETERINER</x:v>
      </x:c>
      <x:c r="Q347" s="18" t="n">
        <x:v>615</x:v>
      </x:c>
      <x:c r="R347" s="18" t="n">
        <x:v>650</x:v>
      </x:c>
      <x:c r="S347" s="18" t="n">
        <x:v>617.8231872756941</x:v>
      </x:c>
      <x:c r="T347" s="18" t="n">
        <x:v>687</x:v>
      </x:c>
      <x:c r="U347" s="18" t="n">
        <x:v>617.8231872756941</x:v>
      </x:c>
      <x:c r="V347" s="20" t="n">
        <x:v>12</x:v>
      </x:c>
      <x:c r="W347" s="20" t="n">
        <x:v>5</x:v>
      </x:c>
      <x:c r="X347" s="20" t="n">
        <x:v>3</x:v>
      </x:c>
      <x:c r="Y347" t="str">
        <x:v>Basis arsip 2025/2024</x:v>
      </x:c>
      <x:c r="Z347" t="str">
        <x:v>https://snpmb.id/utbk-snbt/daya-tampung-snbt</x:v>
      </x:c>
      <x:c r="AA347" t="str">
        <x:v>Tidak Ada</x:v>
      </x:c>
      <x:c r="AB347" t="str">
        <x:v>Campus=80; Ratio=52.3; Prodi=60; RelDemand=32.2; Capacity=73.3</x:v>
      </x:c>
    </x:row>
    <x:row r="348">
      <x:c r="A348" t="n">
        <x:v>345</x:v>
      </x:c>
      <x:c r="B348" t="str">
        <x:v>PTN Akademik</x:v>
      </x:c>
      <x:c r="C348" t="str">
        <x:v>UNIVERSITAS RIAU</x:v>
      </x:c>
      <x:c r="D348" t="str">
        <x:v>ILMU TANAH</x:v>
      </x:c>
      <x:c r="E348" t="str">
        <x:v>Sarjana</x:v>
      </x:c>
      <x:c r="F348" s="18" t="n">
        <x:v>16</x:v>
      </x:c>
      <x:c r="G348" s="18" t="n">
        <x:v>59</x:v>
      </x:c>
      <x:c r="H348" s="19" t="n">
        <x:v>3.6875</x:v>
      </x:c>
      <x:c r="I348" s="18" t="n">
        <x:f>ROUND(MIN(Model_Config_v3!$B$6,MAX(Q348,R348,S348*Model_Config_v3!$B$4+T348*Model_Config_v3!$B$5)),0)</x:f>
        <x:v>643</x:v>
      </x:c>
      <x:c r="J348" s="18" t="n">
        <x:f>MIN(Model_Config_v3!$B$6,I348+Model_Config_v3!$B$7)</x:f>
        <x:v>663</x:v>
      </x:c>
      <x:c r="K348" s="20" t="n">
        <x:v>54.5</x:v>
      </x:c>
      <x:c r="L348" t="str">
        <x:v>MENENGAH</x:v>
      </x:c>
      <x:c r="M348" t="str">
        <x:v>SEDANG+</x:v>
      </x:c>
      <x:c r="N348" t="str">
        <x:v>ELITE-3</x:v>
      </x:c>
      <x:c r="O348" t="str">
        <x:v>CAMPURAN</x:v>
      </x:c>
      <x:c r="P348" t="str">
        <x:v>UMUM</x:v>
      </x:c>
      <x:c r="Q348" s="18" t="n">
        <x:v>615</x:v>
      </x:c>
      <x:c r="R348" s="18" t="n">
        <x:v>0</x:v>
      </x:c>
      <x:c r="S348" s="18" t="n">
        <x:v>582.3405231884841</x:v>
      </x:c>
      <x:c r="T348" s="18" t="n">
        <x:v>669</x:v>
      </x:c>
      <x:c r="U348" s="18" t="n">
        <x:v>615</x:v>
      </x:c>
      <x:c r="V348" s="20" t="n">
        <x:v>8.8</x:v>
      </x:c>
      <x:c r="W348" s="20" t="n">
        <x:v>9.9</x:v>
      </x:c>
      <x:c r="X348" s="20" t="n">
        <x:v>3.3</x:v>
      </x:c>
      <x:c r="Y348" t="str">
        <x:v>Basis arsip 2025/2024</x:v>
      </x:c>
      <x:c r="Z348" t="str">
        <x:v>https://snpmb.id/utbk-snbt/daya-tampung-snbt</x:v>
      </x:c>
      <x:c r="AA348" t="str">
        <x:v>Tidak Ada</x:v>
      </x:c>
      <x:c r="AB348" t="str">
        <x:v>Campus=80; Ratio=33.4; Prodi=40; RelDemand=15.3; Capacity=86.7</x:v>
      </x:c>
    </x:row>
    <x:row r="349">
      <x:c r="A349" t="n">
        <x:v>346</x:v>
      </x:c>
      <x:c r="B349" t="str">
        <x:v>PTN Akademik</x:v>
      </x:c>
      <x:c r="C349" t="str">
        <x:v>UNIVERSITAS RIAU</x:v>
      </x:c>
      <x:c r="D349" t="str">
        <x:v>PROTEKSI TANAMAN</x:v>
      </x:c>
      <x:c r="E349" t="str">
        <x:v>Sarjana</x:v>
      </x:c>
      <x:c r="F349" s="18" t="n">
        <x:v>16</x:v>
      </x:c>
      <x:c r="G349" s="18" t="n">
        <x:v>46</x:v>
      </x:c>
      <x:c r="H349" s="19" t="n">
        <x:v>2.875</x:v>
      </x:c>
      <x:c r="I349" s="18" t="n">
        <x:f>ROUND(MIN(Model_Config_v3!$B$6,MAX(Q349,R349,S349*Model_Config_v3!$B$4+T349*Model_Config_v3!$B$5)),0)</x:f>
        <x:v>637</x:v>
      </x:c>
      <x:c r="J349" s="18" t="n">
        <x:f>MIN(Model_Config_v3!$B$6,I349+Model_Config_v3!$B$7)</x:f>
        <x:v>657</x:v>
      </x:c>
      <x:c r="K349" s="20" t="n">
        <x:v>52.6</x:v>
      </x:c>
      <x:c r="L349" t="str">
        <x:v>MENENGAH</x:v>
      </x:c>
      <x:c r="M349" t="str">
        <x:v>SEDANG+</x:v>
      </x:c>
      <x:c r="N349" t="str">
        <x:v>ELITE-3</x:v>
      </x:c>
      <x:c r="O349" t="str">
        <x:v>CAMPURAN</x:v>
      </x:c>
      <x:c r="P349" t="str">
        <x:v>UMUM</x:v>
      </x:c>
      <x:c r="Q349" s="18" t="n">
        <x:v>615</x:v>
      </x:c>
      <x:c r="R349" s="18" t="n">
        <x:v>0</x:v>
      </x:c>
      <x:c r="S349" s="18" t="n">
        <x:v>570.4501633928214</x:v>
      </x:c>
      <x:c r="T349" s="18" t="n">
        <x:v>665</x:v>
      </x:c>
      <x:c r="U349" s="18" t="n">
        <x:v>615</x:v>
      </x:c>
      <x:c r="V349" s="20" t="n">
        <x:v>8.8</x:v>
      </x:c>
      <x:c r="W349" s="20" t="n">
        <x:v>9.9</x:v>
      </x:c>
      <x:c r="X349" s="20" t="n">
        <x:v>3.3</x:v>
      </x:c>
      <x:c r="Y349" t="str">
        <x:v>Basis arsip 2025/2024</x:v>
      </x:c>
      <x:c r="Z349" t="str">
        <x:v>https://snpmb.id/utbk-snbt/daya-tampung-snbt</x:v>
      </x:c>
      <x:c r="AA349" t="str">
        <x:v>Tidak Ada</x:v>
      </x:c>
      <x:c r="AB349" t="str">
        <x:v>Campus=80; Ratio=27.0; Prodi=40; RelDemand=11.9; Capacity=86.7</x:v>
      </x:c>
    </x:row>
    <x:row r="350">
      <x:c r="A350" t="n">
        <x:v>347</x:v>
      </x:c>
      <x:c r="B350" t="str">
        <x:v>PTN Akademik</x:v>
      </x:c>
      <x:c r="C350" t="str">
        <x:v>UNIVERSITAS RIAU</x:v>
      </x:c>
      <x:c r="D350" t="str">
        <x:v>PENYULUHAN PERTANIAN</x:v>
      </x:c>
      <x:c r="E350" t="str">
        <x:v>Sarjana</x:v>
      </x:c>
      <x:c r="F350" s="18" t="n">
        <x:v>16</x:v>
      </x:c>
      <x:c r="G350" s="18"/>
      <x:c r="H350" s="19" t="n">
        <x:v>0</x:v>
      </x:c>
      <x:c r="I350" s="18" t="n">
        <x:f>ROUND(MIN(Model_Config_v3!$B$6,MAX(Q350,R350,S350*Model_Config_v3!$B$4+T350*Model_Config_v3!$B$5)),0)</x:f>
        <x:v>615</x:v>
      </x:c>
      <x:c r="J350" s="18" t="n">
        <x:f>MIN(Model_Config_v3!$B$6,I350+Model_Config_v3!$B$7)</x:f>
        <x:v>635</x:v>
      </x:c>
      <x:c r="K350" s="20" t="n">
        <x:v>44.7</x:v>
      </x:c>
      <x:c r="L350" t="str">
        <x:v>RELATIF LONGGAR</x:v>
      </x:c>
      <x:c r="M350" t="str">
        <x:v>RENDAH</x:v>
      </x:c>
      <x:c r="N350" t="str">
        <x:v>ELITE-3</x:v>
      </x:c>
      <x:c r="O350" t="str">
        <x:v>SAINTEK</x:v>
      </x:c>
      <x:c r="P350" t="str">
        <x:v>UMUM</x:v>
      </x:c>
      <x:c r="Q350" s="18" t="n">
        <x:v>615</x:v>
      </x:c>
      <x:c r="R350" s="18" t="n">
        <x:v>0</x:v>
      </x:c>
      <x:c r="S350" s="18" t="n">
        <x:v>520</x:v>
      </x:c>
      <x:c r="T350" s="18" t="n">
        <x:v>649</x:v>
      </x:c>
      <x:c r="U350" s="18" t="n">
        <x:v>615</x:v>
      </x:c>
      <x:c r="V350" s="20" t="n">
        <x:v>12</x:v>
      </x:c>
      <x:c r="W350" s="20" t="n">
        <x:v>5</x:v>
      </x:c>
      <x:c r="X350" s="20" t="n">
        <x:v>3</x:v>
      </x:c>
      <x:c r="Y350" t="str">
        <x:v>Basis arsip 2025/2024</x:v>
      </x:c>
      <x:c r="Z350" t="str">
        <x:v>https://snpmb.id/utbk-snbt/daya-tampung-snbt</x:v>
      </x:c>
      <x:c r="AA350" t="str">
        <x:v>Tidak Ada</x:v>
      </x:c>
      <x:c r="AB350" t="str">
        <x:v>Campus=80; Ratio=0.0; Prodi=40; RelDemand=0.0; Capacity=86.7</x:v>
      </x:c>
    </x:row>
    <x:row r="351">
      <x:c r="A351" t="n">
        <x:v>348</x:v>
      </x:c>
      <x:c r="B351" t="str">
        <x:v>PTN Akademik</x:v>
      </x:c>
      <x:c r="C351" t="str">
        <x:v>UNIVERSITAS RIAU</x:v>
      </x:c>
      <x:c r="D351" t="str">
        <x:v>USAHA PERJALANAN WISATA</x:v>
      </x:c>
      <x:c r="E351" t="str">
        <x:v>Sarjana Terapan</x:v>
      </x:c>
      <x:c r="F351" s="18" t="n">
        <x:v>52</x:v>
      </x:c>
      <x:c r="G351" s="18" t="n">
        <x:v>1366</x:v>
      </x:c>
      <x:c r="H351" s="19" t="n">
        <x:v>26.26923076923077</x:v>
      </x:c>
      <x:c r="I351" s="18" t="n">
        <x:f>ROUND(MIN(Model_Config_v3!$B$6,MAX(Q351,R351,S351*Model_Config_v3!$B$4+T351*Model_Config_v3!$B$5)),0)</x:f>
        <x:v>696</x:v>
      </x:c>
      <x:c r="J351" s="18" t="n">
        <x:f>MIN(Model_Config_v3!$B$6,I351+Model_Config_v3!$B$7)</x:f>
        <x:v>716</x:v>
      </x:c>
      <x:c r="K351" s="20" t="n">
        <x:v>72.6</x:v>
      </x:c>
      <x:c r="L351" t="str">
        <x:v>SANGAT KETAT</x:v>
      </x:c>
      <x:c r="M351" t="str">
        <x:v>SEDANG+</x:v>
      </x:c>
      <x:c r="N351" t="str">
        <x:v>ELITE-3</x:v>
      </x:c>
      <x:c r="O351" t="str">
        <x:v>CAMPURAN</x:v>
      </x:c>
      <x:c r="P351" t="str">
        <x:v>UMUM</x:v>
      </x:c>
      <x:c r="Q351" s="18" t="n">
        <x:v>615</x:v>
      </x:c>
      <x:c r="R351" s="18" t="n">
        <x:v>0</x:v>
      </x:c>
      <x:c r="S351" s="18" t="n">
        <x:v>676.1392091281785</x:v>
      </x:c>
      <x:c r="T351" s="18" t="n">
        <x:v>705</x:v>
      </x:c>
      <x:c r="U351" s="18" t="n">
        <x:v>676.1392091281785</x:v>
      </x:c>
      <x:c r="V351" s="20" t="n">
        <x:v>8.8</x:v>
      </x:c>
      <x:c r="W351" s="20" t="n">
        <x:v>9.9</x:v>
      </x:c>
      <x:c r="X351" s="20" t="n">
        <x:v>3.3</x:v>
      </x:c>
      <x:c r="Y351" t="str">
        <x:v>Basis arsip 2025/2024</x:v>
      </x:c>
      <x:c r="Z351" t="str">
        <x:v>https://snpmb.id/utbk-snbt/daya-tampung-snbt</x:v>
      </x:c>
      <x:c r="AA351" t="str">
        <x:v>Tidak Ada</x:v>
      </x:c>
      <x:c r="AB351" t="str">
        <x:v>Campus=80; Ratio=83.5; Prodi=40; RelDemand=100.0; Capacity=56.7</x:v>
      </x:c>
    </x:row>
    <x:row r="352">
      <x:c r="A352" t="n">
        <x:v>349</x:v>
      </x:c>
      <x:c r="B352" t="str">
        <x:v>PTN Akademik</x:v>
      </x:c>
      <x:c r="C352" t="str">
        <x:v>UNIVERSITAS RIAU</x:v>
      </x:c>
      <x:c r="D352" t="str">
        <x:v>PERPAJAKAN</x:v>
      </x:c>
      <x:c r="E352" t="str">
        <x:v>Diploma Tiga</x:v>
      </x:c>
      <x:c r="F352" s="18" t="n">
        <x:v>48</x:v>
      </x:c>
      <x:c r="G352" s="18" t="n">
        <x:v>2011</x:v>
      </x:c>
      <x:c r="H352" s="19" t="n">
        <x:v>41.895833333333336</x:v>
      </x:c>
      <x:c r="I352" s="18" t="n">
        <x:f>ROUND(MIN(Model_Config_v3!$B$6,MAX(Q352,R352,S352*Model_Config_v3!$B$4+T352*Model_Config_v3!$B$5)),0)</x:f>
        <x:v>708</x:v>
      </x:c>
      <x:c r="J352" s="18" t="n">
        <x:f>MIN(Model_Config_v3!$B$6,I352+Model_Config_v3!$B$7)</x:f>
        <x:v>728</x:v>
      </x:c>
      <x:c r="K352" s="20" t="n">
        <x:v>75.9</x:v>
      </x:c>
      <x:c r="L352" t="str">
        <x:v>ELITE</x:v>
      </x:c>
      <x:c r="M352" t="str">
        <x:v>SEDANG+</x:v>
      </x:c>
      <x:c r="N352" t="str">
        <x:v>ELITE-3</x:v>
      </x:c>
      <x:c r="O352" t="str">
        <x:v>CAMPURAN</x:v>
      </x:c>
      <x:c r="P352" t="str">
        <x:v>UMUM</x:v>
      </x:c>
      <x:c r="Q352" s="18" t="n">
        <x:v>615</x:v>
      </x:c>
      <x:c r="R352" s="18" t="n">
        <x:v>0</x:v>
      </x:c>
      <x:c r="S352" s="18" t="n">
        <x:v>698.438791654327</x:v>
      </x:c>
      <x:c r="T352" s="18" t="n">
        <x:v>712</x:v>
      </x:c>
      <x:c r="U352" s="18" t="n">
        <x:v>698.438791654327</x:v>
      </x:c>
      <x:c r="V352" s="20" t="n">
        <x:v>8.8</x:v>
      </x:c>
      <x:c r="W352" s="20" t="n">
        <x:v>9.9</x:v>
      </x:c>
      <x:c r="X352" s="20" t="n">
        <x:v>3.3</x:v>
      </x:c>
      <x:c r="Y352" t="str">
        <x:v>Basis arsip 2025/2024</x:v>
      </x:c>
      <x:c r="Z352" t="str">
        <x:v>https://snpmb.id/utbk-snbt/daya-tampung-snbt</x:v>
      </x:c>
      <x:c r="AA352" t="str">
        <x:v>Tidak Ada</x:v>
      </x:c>
      <x:c r="AB352" t="str">
        <x:v>Campus=80; Ratio=95.5; Prodi=40; RelDemand=100.0; Capacity=60.0</x:v>
      </x:c>
    </x:row>
    <x:row r="353">
      <x:c r="A353" t="n">
        <x:v>350</x:v>
      </x:c>
      <x:c r="B353" t="str">
        <x:v>PTN Akademik</x:v>
      </x:c>
      <x:c r="C353" t="str">
        <x:v>UNIVERSITAS RIAU</x:v>
      </x:c>
      <x:c r="D353" t="str">
        <x:v>TEKNIK KIMIA</x:v>
      </x:c>
      <x:c r="E353" t="str">
        <x:v>Diploma Tiga</x:v>
      </x:c>
      <x:c r="F353" s="18" t="n">
        <x:v>36</x:v>
      </x:c>
      <x:c r="G353" s="18" t="n">
        <x:v>615</x:v>
      </x:c>
      <x:c r="H353" s="19" t="n">
        <x:v>17.083333333333332</x:v>
      </x:c>
      <x:c r="I353" s="18" t="n">
        <x:f>ROUND(MIN(Model_Config_v3!$B$6,MAX(Q353,R353,S353*Model_Config_v3!$B$4+T353*Model_Config_v3!$B$5)),0)</x:f>
        <x:v>689</x:v>
      </x:c>
      <x:c r="J353" s="18" t="n">
        <x:f>MIN(Model_Config_v3!$B$6,I353+Model_Config_v3!$B$7)</x:f>
        <x:v>709</x:v>
      </x:c>
      <x:c r="K353" s="20" t="n">
        <x:v>72.2</x:v>
      </x:c>
      <x:c r="L353" t="str">
        <x:v>SANGAT KETAT</x:v>
      </x:c>
      <x:c r="M353" t="str">
        <x:v>SEDANG+</x:v>
      </x:c>
      <x:c r="N353" t="str">
        <x:v>ELITE-3</x:v>
      </x:c>
      <x:c r="O353" t="str">
        <x:v>SAINTEK</x:v>
      </x:c>
      <x:c r="P353" t="str">
        <x:v>TEKNIK/ARSITEKTUR/STATISTIKA/AKTUARIA</x:v>
      </x:c>
      <x:c r="Q353" s="18" t="n">
        <x:v>615</x:v>
      </x:c>
      <x:c r="R353" s="18" t="n">
        <x:v>0</x:v>
      </x:c>
      <x:c r="S353" s="18" t="n">
        <x:v>655.5829876508942</x:v>
      </x:c>
      <x:c r="T353" s="18" t="n">
        <x:v>704</x:v>
      </x:c>
      <x:c r="U353" s="18" t="n">
        <x:v>665.5829876508942</x:v>
      </x:c>
      <x:c r="V353" s="20" t="n">
        <x:v>12</x:v>
      </x:c>
      <x:c r="W353" s="20" t="n">
        <x:v>5</x:v>
      </x:c>
      <x:c r="X353" s="20" t="n">
        <x:v>3</x:v>
      </x:c>
      <x:c r="Y353" t="str">
        <x:v>Basis arsip 2025/2024</x:v>
      </x:c>
      <x:c r="Z353" t="str">
        <x:v>https://snpmb.id/utbk-snbt/daya-tampung-snbt</x:v>
      </x:c>
      <x:c r="AA353" t="str">
        <x:v>Tidak Ada</x:v>
      </x:c>
      <x:c r="AB353" t="str">
        <x:v>Campus=80; Ratio=72.5; Prodi=60; RelDemand=70.9; Capacity=70.0</x:v>
      </x:c>
    </x:row>
    <x:row r="354">
      <x:c r="A354" t="n">
        <x:v>351</x:v>
      </x:c>
      <x:c r="B354" t="str">
        <x:v>PTN Akademik</x:v>
      </x:c>
      <x:c r="C354" t="str">
        <x:v>UNIVERSITAS RIAU</x:v>
      </x:c>
      <x:c r="D354" t="str">
        <x:v>AKUNTANSI</x:v>
      </x:c>
      <x:c r="E354" t="str">
        <x:v>Diploma Tiga</x:v>
      </x:c>
      <x:c r="F354" s="18" t="n">
        <x:v>48</x:v>
      </x:c>
      <x:c r="G354" s="18" t="n">
        <x:v>1504</x:v>
      </x:c>
      <x:c r="H354" s="19" t="n">
        <x:v>31.333333333333332</x:v>
      </x:c>
      <x:c r="I354" s="18" t="n">
        <x:f>ROUND(MIN(Model_Config_v3!$B$6,MAX(Q354,R354,S354*Model_Config_v3!$B$4+T354*Model_Config_v3!$B$5)),0)</x:f>
        <x:v>708</x:v>
      </x:c>
      <x:c r="J354" s="18" t="n">
        <x:f>MIN(Model_Config_v3!$B$6,I354+Model_Config_v3!$B$7)</x:f>
        <x:v>728</x:v>
      </x:c>
      <x:c r="K354" s="20" t="n">
        <x:v>79</x:v>
      </x:c>
      <x:c r="L354" t="str">
        <x:v>ELITE</x:v>
      </x:c>
      <x:c r="M354" t="str">
        <x:v>SEDANG+</x:v>
      </x:c>
      <x:c r="N354" t="str">
        <x:v>ELITE-3</x:v>
      </x:c>
      <x:c r="O354" t="str">
        <x:v>SOSHUM</x:v>
      </x:c>
      <x:c r="P354" t="str">
        <x:v>BISNIS/EKONOMI/AKUNTANSI</x:v>
      </x:c>
      <x:c r="Q354" s="18" t="n">
        <x:v>615</x:v>
      </x:c>
      <x:c r="R354" s="18" t="n">
        <x:v>0</x:v>
      </x:c>
      <x:c r="S354" s="18" t="n">
        <x:v>684.560725876804</x:v>
      </x:c>
      <x:c r="T354" s="18" t="n">
        <x:v>718</x:v>
      </x:c>
      <x:c r="U354" s="18" t="n">
        <x:v>684.560725876804</x:v>
      </x:c>
      <x:c r="V354" s="20" t="n">
        <x:v>4.4</x:v>
      </x:c>
      <x:c r="W354" s="20" t="n">
        <x:v>14.3</x:v>
      </x:c>
      <x:c r="X354" s="20" t="n">
        <x:v>3.3</x:v>
      </x:c>
      <x:c r="Y354" t="str">
        <x:v>Basis arsip 2025/2024</x:v>
      </x:c>
      <x:c r="Z354" t="str">
        <x:v>https://snpmb.id/utbk-snbt/daya-tampung-snbt</x:v>
      </x:c>
      <x:c r="AA354" t="str">
        <x:v>Tidak Ada</x:v>
      </x:c>
      <x:c r="AB354" t="str">
        <x:v>Campus=80; Ratio=88.1; Prodi=65; RelDemand=100.0; Capacity=60.0</x:v>
      </x:c>
    </x:row>
    <x:row r="355">
      <x:c r="A355" t="n">
        <x:v>352</x:v>
      </x:c>
      <x:c r="B355" t="str">
        <x:v>PTN Akademik</x:v>
      </x:c>
      <x:c r="C355" t="str">
        <x:v>UNIVERSITAS RIAU</x:v>
      </x:c>
      <x:c r="D355" t="str">
        <x:v>TEKNIK ELEKTRO</x:v>
      </x:c>
      <x:c r="E355" t="str">
        <x:v>Diploma Tiga</x:v>
      </x:c>
      <x:c r="F355" s="18" t="n">
        <x:v>24</x:v>
      </x:c>
      <x:c r="G355" s="18" t="n">
        <x:v>497</x:v>
      </x:c>
      <x:c r="H355" s="19" t="n">
        <x:v>20.708333333333332</x:v>
      </x:c>
      <x:c r="I355" s="18" t="n">
        <x:f>ROUND(MIN(Model_Config_v3!$B$6,MAX(Q355,R355,S355*Model_Config_v3!$B$4+T355*Model_Config_v3!$B$5)),0)</x:f>
        <x:v>698</x:v>
      </x:c>
      <x:c r="J355" s="18" t="n">
        <x:f>MIN(Model_Config_v3!$B$6,I355+Model_Config_v3!$B$7)</x:f>
        <x:v>718</x:v>
      </x:c>
      <x:c r="K355" s="20" t="n">
        <x:v>76</x:v>
      </x:c>
      <x:c r="L355" t="str">
        <x:v>ELITE</x:v>
      </x:c>
      <x:c r="M355" t="str">
        <x:v>SEDANG+</x:v>
      </x:c>
      <x:c r="N355" t="str">
        <x:v>ELITE-3</x:v>
      </x:c>
      <x:c r="O355" t="str">
        <x:v>SAINTEK</x:v>
      </x:c>
      <x:c r="P355" t="str">
        <x:v>TEKNIK/ARSITEKTUR/STATISTIKA/AKTUARIA</x:v>
      </x:c>
      <x:c r="Q355" s="18" t="n">
        <x:v>615</x:v>
      </x:c>
      <x:c r="R355" s="18" t="n">
        <x:v>0</x:v>
      </x:c>
      <x:c r="S355" s="18" t="n">
        <x:v>664.7759661723899</x:v>
      </x:c>
      <x:c r="T355" s="18" t="n">
        <x:v>712</x:v>
      </x:c>
      <x:c r="U355" s="18" t="n">
        <x:v>674.7759661723899</x:v>
      </x:c>
      <x:c r="V355" s="20" t="n">
        <x:v>12</x:v>
      </x:c>
      <x:c r="W355" s="20" t="n">
        <x:v>5</x:v>
      </x:c>
      <x:c r="X355" s="20" t="n">
        <x:v>3</x:v>
      </x:c>
      <x:c r="Y355" t="str">
        <x:v>Basis arsip 2025/2024</x:v>
      </x:c>
      <x:c r="Z355" t="str">
        <x:v>https://snpmb.id/utbk-snbt/daya-tampung-snbt</x:v>
      </x:c>
      <x:c r="AA355" t="str">
        <x:v>Tidak Ada</x:v>
      </x:c>
      <x:c r="AB355" t="str">
        <x:v>Campus=80; Ratio=77.5; Prodi=60; RelDemand=86.0; Capacity=80.0</x:v>
      </x:c>
    </x:row>
    <x:row r="356">
      <x:c r="A356" t="n">
        <x:v>353</x:v>
      </x:c>
      <x:c r="B356" t="str">
        <x:v>PTN Akademik</x:v>
      </x:c>
      <x:c r="C356" t="str">
        <x:v>UNIVERSITAS RIAU</x:v>
      </x:c>
      <x:c r="D356" t="str">
        <x:v>TEKNIK MESIN</x:v>
      </x:c>
      <x:c r="E356" t="str">
        <x:v>Diploma Tiga</x:v>
      </x:c>
      <x:c r="F356" s="18" t="n">
        <x:v>32</x:v>
      </x:c>
      <x:c r="G356" s="18" t="n">
        <x:v>504</x:v>
      </x:c>
      <x:c r="H356" s="19" t="n">
        <x:v>15.75</x:v>
      </x:c>
      <x:c r="I356" s="18" t="n">
        <x:f>ROUND(MIN(Model_Config_v3!$B$6,MAX(Q356,R356,S356*Model_Config_v3!$B$4+T356*Model_Config_v3!$B$5)),0)</x:f>
        <x:v>688</x:v>
      </x:c>
      <x:c r="J356" s="18" t="n">
        <x:f>MIN(Model_Config_v3!$B$6,I356+Model_Config_v3!$B$7)</x:f>
        <x:v>708</x:v>
      </x:c>
      <x:c r="K356" s="20" t="n">
        <x:v>71.5</x:v>
      </x:c>
      <x:c r="L356" t="str">
        <x:v>SANGAT KETAT</x:v>
      </x:c>
      <x:c r="M356" t="str">
        <x:v>SEDANG+</x:v>
      </x:c>
      <x:c r="N356" t="str">
        <x:v>ELITE-3</x:v>
      </x:c>
      <x:c r="O356" t="str">
        <x:v>SAINTEK</x:v>
      </x:c>
      <x:c r="P356" t="str">
        <x:v>TEKNIK/ARSITEKTUR/STATISTIKA/AKTUARIA</x:v>
      </x:c>
      <x:c r="Q356" s="18" t="n">
        <x:v>615</x:v>
      </x:c>
      <x:c r="R356" s="18" t="n">
        <x:v>0</x:v>
      </x:c>
      <x:c r="S356" s="18" t="n">
        <x:v>651.7008613938181</x:v>
      </x:c>
      <x:c r="T356" s="18" t="n">
        <x:v>703</x:v>
      </x:c>
      <x:c r="U356" s="18" t="n">
        <x:v>661.7008613938181</x:v>
      </x:c>
      <x:c r="V356" s="20" t="n">
        <x:v>12</x:v>
      </x:c>
      <x:c r="W356" s="20" t="n">
        <x:v>5</x:v>
      </x:c>
      <x:c r="X356" s="20" t="n">
        <x:v>3</x:v>
      </x:c>
      <x:c r="Y356" t="str">
        <x:v>Basis arsip 2025/2024</x:v>
      </x:c>
      <x:c r="Z356" t="str">
        <x:v>https://snpmb.id/utbk-snbt/daya-tampung-snbt</x:v>
      </x:c>
      <x:c r="AA356" t="str">
        <x:v>Tidak Ada</x:v>
      </x:c>
      <x:c r="AB356" t="str">
        <x:v>Campus=80; Ratio=70.5; Prodi=60; RelDemand=65.4; Capacity=73.3</x:v>
      </x:c>
    </x:row>
    <x:row r="357">
      <x:c r="A357" t="n">
        <x:v>354</x:v>
      </x:c>
      <x:c r="B357" t="str">
        <x:v>PTN Akademik</x:v>
      </x:c>
      <x:c r="C357" t="str">
        <x:v>UNIVERSITAS RIAU</x:v>
      </x:c>
      <x:c r="D357" t="str">
        <x:v>TEKNOLOGI PULP DAN KERTAS</x:v>
      </x:c>
      <x:c r="E357" t="str">
        <x:v>Diploma Tiga</x:v>
      </x:c>
      <x:c r="F357" s="18" t="n">
        <x:v>24</x:v>
      </x:c>
      <x:c r="G357" s="18" t="n">
        <x:v>1056</x:v>
      </x:c>
      <x:c r="H357" s="19" t="n">
        <x:v>44</x:v>
      </x:c>
      <x:c r="I357" s="18" t="n">
        <x:f>ROUND(MIN(Model_Config_v3!$B$6,MAX(Q357,R357,S357*Model_Config_v3!$B$4+T357*Model_Config_v3!$B$5)),0)</x:f>
        <x:v>711</x:v>
      </x:c>
      <x:c r="J357" s="18" t="n">
        <x:f>MIN(Model_Config_v3!$B$6,I357+Model_Config_v3!$B$7)</x:f>
        <x:v>731</x:v>
      </x:c>
      <x:c r="K357" s="20" t="n">
        <x:v>78.2</x:v>
      </x:c>
      <x:c r="L357" t="str">
        <x:v>ELITE</x:v>
      </x:c>
      <x:c r="M357" t="str">
        <x:v>SEDANG+</x:v>
      </x:c>
      <x:c r="N357" t="str">
        <x:v>ELITE-3</x:v>
      </x:c>
      <x:c r="O357" t="str">
        <x:v>SAINTEK</x:v>
      </x:c>
      <x:c r="P357" t="str">
        <x:v>UMUM</x:v>
      </x:c>
      <x:c r="Q357" s="18" t="n">
        <x:v>615</x:v>
      </x:c>
      <x:c r="R357" s="18" t="n">
        <x:v>0</x:v>
      </x:c>
      <x:c r="S357" s="18" t="n">
        <x:v>700.7797944134807</x:v>
      </x:c>
      <x:c r="T357" s="18" t="n">
        <x:v>716</x:v>
      </x:c>
      <x:c r="U357" s="18" t="n">
        <x:v>700.7797944134807</x:v>
      </x:c>
      <x:c r="V357" s="20" t="n">
        <x:v>12</x:v>
      </x:c>
      <x:c r="W357" s="20" t="n">
        <x:v>5</x:v>
      </x:c>
      <x:c r="X357" s="20" t="n">
        <x:v>3</x:v>
      </x:c>
      <x:c r="Y357" t="str">
        <x:v>Basis arsip 2025/2024</x:v>
      </x:c>
      <x:c r="Z357" t="str">
        <x:v>https://snpmb.id/utbk-snbt/daya-tampung-snbt</x:v>
      </x:c>
      <x:c r="AA357" t="str">
        <x:v>Tidak Ada</x:v>
      </x:c>
      <x:c r="AB357" t="str">
        <x:v>Campus=80; Ratio=96.7; Prodi=40; RelDemand=100.0; Capacity=80.0</x:v>
      </x:c>
    </x:row>
    <x:row r="358">
      <x:c r="A358" t="n">
        <x:v>355</x:v>
      </x:c>
      <x:c r="B358" t="str">
        <x:v>PTN Akademik</x:v>
      </x:c>
      <x:c r="C358" t="str">
        <x:v>UNIVERSITAS RIAU</x:v>
      </x:c>
      <x:c r="D358" t="str">
        <x:v>TEKNIK SIPIL</x:v>
      </x:c>
      <x:c r="E358" t="str">
        <x:v>Diploma Tiga</x:v>
      </x:c>
      <x:c r="F358" s="18" t="n">
        <x:v>36</x:v>
      </x:c>
      <x:c r="G358" s="18" t="n">
        <x:v>1034</x:v>
      </x:c>
      <x:c r="H358" s="19" t="n">
        <x:v>28.72222222222222</x:v>
      </x:c>
      <x:c r="I358" s="18" t="n">
        <x:f>ROUND(MIN(Model_Config_v3!$B$6,MAX(Q358,R358,S358*Model_Config_v3!$B$4+T358*Model_Config_v3!$B$5)),0)</x:f>
        <x:v>706</x:v>
      </x:c>
      <x:c r="J358" s="18" t="n">
        <x:f>MIN(Model_Config_v3!$B$6,I358+Model_Config_v3!$B$7)</x:f>
        <x:v>726</x:v>
      </x:c>
      <x:c r="K358" s="20" t="n">
        <x:v>78.5</x:v>
      </x:c>
      <x:c r="L358" t="str">
        <x:v>ELITE</x:v>
      </x:c>
      <x:c r="M358" t="str">
        <x:v>SEDANG+</x:v>
      </x:c>
      <x:c r="N358" t="str">
        <x:v>ELITE-3</x:v>
      </x:c>
      <x:c r="O358" t="str">
        <x:v>SAINTEK</x:v>
      </x:c>
      <x:c r="P358" t="str">
        <x:v>TEKNIK/ARSITEKTUR/STATISTIKA/AKTUARIA</x:v>
      </x:c>
      <x:c r="Q358" s="18" t="n">
        <x:v>615</x:v>
      </x:c>
      <x:c r="R358" s="18" t="n">
        <x:v>0</x:v>
      </x:c>
      <x:c r="S358" s="18" t="n">
        <x:v>680.40398417897</x:v>
      </x:c>
      <x:c r="T358" s="18" t="n">
        <x:v>717</x:v>
      </x:c>
      <x:c r="U358" s="18" t="n">
        <x:v>690.40398417897</x:v>
      </x:c>
      <x:c r="V358" s="20" t="n">
        <x:v>12</x:v>
      </x:c>
      <x:c r="W358" s="20" t="n">
        <x:v>5</x:v>
      </x:c>
      <x:c r="X358" s="20" t="n">
        <x:v>3</x:v>
      </x:c>
      <x:c r="Y358" t="str">
        <x:v>Basis arsip 2025/2024</x:v>
      </x:c>
      <x:c r="Z358" t="str">
        <x:v>https://snpmb.id/utbk-snbt/daya-tampung-snbt</x:v>
      </x:c>
      <x:c r="AA358" t="str">
        <x:v>Tidak Ada</x:v>
      </x:c>
      <x:c r="AB358" t="str">
        <x:v>Campus=80; Ratio=85.8; Prodi=60; RelDemand=100.0; Capacity=70.0</x:v>
      </x:c>
    </x:row>
    <x:row r="359">
      <x:c r="A359" t="n">
        <x:v>356</x:v>
      </x:c>
      <x:c r="B359" t="str">
        <x:v>PTN Akademik</x:v>
      </x:c>
      <x:c r="C359" t="str">
        <x:v>UNIVERSITAS RIAU</x:v>
      </x:c>
      <x:c r="D359" t="str">
        <x:v>MANAJEMEN INFORMATIKA</x:v>
      </x:c>
      <x:c r="E359" t="str">
        <x:v>Diploma Tiga</x:v>
      </x:c>
      <x:c r="F359" s="18" t="n">
        <x:v>32</x:v>
      </x:c>
      <x:c r="G359" s="18" t="n">
        <x:v>1669</x:v>
      </x:c>
      <x:c r="H359" s="19" t="n">
        <x:v>52.15625</x:v>
      </x:c>
      <x:c r="I359" s="18" t="n">
        <x:f>ROUND(MIN(Model_Config_v3!$B$6,MAX(Q359,R359,S359*Model_Config_v3!$B$4+T359*Model_Config_v3!$B$5)),0)</x:f>
        <x:v>727</x:v>
      </x:c>
      <x:c r="J359" s="18" t="n">
        <x:f>MIN(Model_Config_v3!$B$6,I359+Model_Config_v3!$B$7)</x:f>
        <x:v>747</x:v>
      </x:c>
      <x:c r="K359" s="20" t="n">
        <x:v>87.3</x:v>
      </x:c>
      <x:c r="L359" t="str">
        <x:v>ULTRA ELITE</x:v>
      </x:c>
      <x:c r="M359" t="str">
        <x:v>SEDANG+</x:v>
      </x:c>
      <x:c r="N359" t="str">
        <x:v>ELITE-3</x:v>
      </x:c>
      <x:c r="O359" t="str">
        <x:v>SAINTEK</x:v>
      </x:c>
      <x:c r="P359" t="str">
        <x:v>KOMPUTER/INFORMATIKA</x:v>
      </x:c>
      <x:c r="Q359" s="18" t="n">
        <x:v>615</x:v>
      </x:c>
      <x:c r="R359" s="18" t="n">
        <x:v>675</x:v>
      </x:c>
      <x:c r="S359" s="18" t="n">
        <x:v>708.9036994195275</x:v>
      </x:c>
      <x:c r="T359" s="18" t="n">
        <x:v>735</x:v>
      </x:c>
      <x:c r="U359" s="18" t="n">
        <x:v>733.9036994195275</x:v>
      </x:c>
      <x:c r="V359" s="20" t="n">
        <x:v>12</x:v>
      </x:c>
      <x:c r="W359" s="20" t="n">
        <x:v>5</x:v>
      </x:c>
      <x:c r="X359" s="20" t="n">
        <x:v>3</x:v>
      </x:c>
      <x:c r="Y359" t="str">
        <x:v>Basis arsip 2025/2024</x:v>
      </x:c>
      <x:c r="Z359" t="str">
        <x:v>https://snpmb.id/utbk-snbt/daya-tampung-snbt</x:v>
      </x:c>
      <x:c r="AA359" t="str">
        <x:v>Tidak Ada</x:v>
      </x:c>
      <x:c r="AB359" t="str">
        <x:v>Campus=80; Ratio=100.0; Prodi=85; RelDemand=100.0; Capacity=73.3</x:v>
      </x:c>
    </x:row>
    <x:row r="360">
      <x:c r="A360" t="n">
        <x:v>357</x:v>
      </x:c>
      <x:c r="B360" t="str">
        <x:v>PTN Akademik</x:v>
      </x:c>
      <x:c r="C360" t="str">
        <x:v>UNIVERSITAS MARITIM RAJA ALI HAJI</x:v>
      </x:c>
      <x:c r="D360" t="str">
        <x:v>TEKNIK ELEKTRO</x:v>
      </x:c>
      <x:c r="E360" t="str">
        <x:v>Sarjana</x:v>
      </x:c>
      <x:c r="F360" s="18" t="n">
        <x:v>48</x:v>
      </x:c>
      <x:c r="G360" s="18" t="n">
        <x:v>87</x:v>
      </x:c>
      <x:c r="H360" s="19" t="n">
        <x:v>1.8125</x:v>
      </x:c>
      <x:c r="I360" s="18" t="n">
        <x:f>ROUND(MIN(Model_Config_v3!$B$6,MAX(Q360,R360,S360*Model_Config_v3!$B$4+T360*Model_Config_v3!$B$5)),0)</x:f>
        <x:v>622</x:v>
      </x:c>
      <x:c r="J360" s="18" t="n">
        <x:f>MIN(Model_Config_v3!$B$6,I360+Model_Config_v3!$B$7)</x:f>
        <x:v>642</x:v>
      </x:c>
      <x:c r="K360" s="20" t="n">
        <x:v>46.5</x:v>
      </x:c>
      <x:c r="L360" t="str">
        <x:v>MENENGAH</x:v>
      </x:c>
      <x:c r="M360" t="str">
        <x:v>SEDANG+</x:v>
      </x:c>
      <x:c r="N360" t="str">
        <x:v>REGULER</x:v>
      </x:c>
      <x:c r="O360" t="str">
        <x:v>SAINTEK</x:v>
      </x:c>
      <x:c r="P360" t="str">
        <x:v>TEKNIK/ARSITEKTUR/STATISTIKA/AKTUARIA</x:v>
      </x:c>
      <x:c r="Q360" s="18" t="n">
        <x:v>0</x:v>
      </x:c>
      <x:c r="R360" s="18" t="n">
        <x:v>0</x:v>
      </x:c>
      <x:c r="S360" s="18" t="n">
        <x:v>548.4105816767335</x:v>
      </x:c>
      <x:c r="T360" s="18" t="n">
        <x:v>653</x:v>
      </x:c>
      <x:c r="U360" s="18" t="n">
        <x:v>558.4105816767335</x:v>
      </x:c>
      <x:c r="V360" s="20" t="n">
        <x:v>12</x:v>
      </x:c>
      <x:c r="W360" s="20" t="n">
        <x:v>5</x:v>
      </x:c>
      <x:c r="X360" s="20" t="n">
        <x:v>3</x:v>
      </x:c>
      <x:c r="Y360" t="str">
        <x:v>Basis arsip 2025/2024</x:v>
      </x:c>
      <x:c r="Z360" t="str">
        <x:v>https://snpmb.id/utbk-snbt/daya-tampung-snbt</x:v>
      </x:c>
      <x:c r="AA360" t="str">
        <x:v>Tidak Ada</x:v>
      </x:c>
      <x:c r="AB360" t="str">
        <x:v>Campus=55; Ratio=15.2; Prodi=60; RelDemand=55.0; Capacity=60.0</x:v>
      </x:c>
    </x:row>
    <x:row r="361">
      <x:c r="A361" t="n">
        <x:v>358</x:v>
      </x:c>
      <x:c r="B361" t="str">
        <x:v>PTN Akademik</x:v>
      </x:c>
      <x:c r="C361" t="str">
        <x:v>UNIVERSITAS MARITIM RAJA ALI HAJI</x:v>
      </x:c>
      <x:c r="D361" t="str">
        <x:v>TEKNIK INFORMATIKA</x:v>
      </x:c>
      <x:c r="E361" t="str">
        <x:v>Sarjana</x:v>
      </x:c>
      <x:c r="F361" s="18" t="n">
        <x:v>64</x:v>
      </x:c>
      <x:c r="G361" s="18" t="n">
        <x:v>240</x:v>
      </x:c>
      <x:c r="H361" s="19" t="n">
        <x:v>3.75</x:v>
      </x:c>
      <x:c r="I361" s="18" t="n">
        <x:f>ROUND(MIN(Model_Config_v3!$B$6,MAX(Q361,R361,S361*Model_Config_v3!$B$4+T361*Model_Config_v3!$B$5)),0)</x:f>
        <x:v>650</x:v>
      </x:c>
      <x:c r="J361" s="18" t="n">
        <x:f>MIN(Model_Config_v3!$B$6,I361+Model_Config_v3!$B$7)</x:f>
        <x:v>670</x:v>
      </x:c>
      <x:c r="K361" s="20" t="n">
        <x:v>59.4</x:v>
      </x:c>
      <x:c r="L361" t="str">
        <x:v>KETAT</x:v>
      </x:c>
      <x:c r="M361" t="str">
        <x:v>SEDANG+</x:v>
      </x:c>
      <x:c r="N361" t="str">
        <x:v>REGULER</x:v>
      </x:c>
      <x:c r="O361" t="str">
        <x:v>SAINTEK</x:v>
      </x:c>
      <x:c r="P361" t="str">
        <x:v>KOMPUTER/INFORMATIKA</x:v>
      </x:c>
      <x:c r="Q361" s="18" t="n">
        <x:v>0</x:v>
      </x:c>
      <x:c r="R361" s="18" t="n">
        <x:v>0</x:v>
      </x:c>
      <x:c r="S361" s="18" t="n">
        <x:v>583.1434394500491</x:v>
      </x:c>
      <x:c r="T361" s="18" t="n">
        <x:v>679</x:v>
      </x:c>
      <x:c r="U361" s="18" t="n">
        <x:v>608.1434394500491</x:v>
      </x:c>
      <x:c r="V361" s="20" t="n">
        <x:v>12</x:v>
      </x:c>
      <x:c r="W361" s="20" t="n">
        <x:v>5</x:v>
      </x:c>
      <x:c r="X361" s="20" t="n">
        <x:v>3</x:v>
      </x:c>
      <x:c r="Y361" t="str">
        <x:v>Basis arsip 2025/2024</x:v>
      </x:c>
      <x:c r="Z361" t="str">
        <x:v>https://snpmb.id/utbk-snbt/daya-tampung-snbt</x:v>
      </x:c>
      <x:c r="AA361" t="str">
        <x:v>Tidak Ada</x:v>
      </x:c>
      <x:c r="AB361" t="str">
        <x:v>Campus=55; Ratio=33.8; Prodi=85; RelDemand=100.0; Capacity=46.7</x:v>
      </x:c>
    </x:row>
    <x:row r="362">
      <x:c r="A362" t="n">
        <x:v>359</x:v>
      </x:c>
      <x:c r="B362" t="str">
        <x:v>PTN Akademik</x:v>
      </x:c>
      <x:c r="C362" t="str">
        <x:v>UNIVERSITAS MARITIM RAJA ALI HAJI</x:v>
      </x:c>
      <x:c r="D362" t="str">
        <x:v>ILMU KELAUTAN</x:v>
      </x:c>
      <x:c r="E362" t="str">
        <x:v>Sarjana</x:v>
      </x:c>
      <x:c r="F362" s="18" t="n">
        <x:v>32</x:v>
      </x:c>
      <x:c r="G362" s="18" t="n">
        <x:v>30</x:v>
      </x:c>
      <x:c r="H362" s="19" t="n">
        <x:v>0.9375</x:v>
      </x:c>
      <x:c r="I362" s="18" t="n">
        <x:f>ROUND(MIN(Model_Config_v3!$B$6,MAX(Q362,R362,S362*Model_Config_v3!$B$4+T362*Model_Config_v3!$B$5)),0)</x:f>
        <x:v>601</x:v>
      </x:c>
      <x:c r="J362" s="18" t="n">
        <x:f>MIN(Model_Config_v3!$B$6,I362+Model_Config_v3!$B$7)</x:f>
        <x:v>621</x:v>
      </x:c>
      <x:c r="K362" s="20" t="n">
        <x:v>37.4</x:v>
      </x:c>
      <x:c r="L362" t="str">
        <x:v>RELATIF LONGGAR</x:v>
      </x:c>
      <x:c r="M362" t="str">
        <x:v>SEDANG</x:v>
      </x:c>
      <x:c r="N362" t="str">
        <x:v>REGULER</x:v>
      </x:c>
      <x:c r="O362" t="str">
        <x:v>SAINTEK</x:v>
      </x:c>
      <x:c r="P362" t="str">
        <x:v>UMUM</x:v>
      </x:c>
      <x:c r="Q362" s="18" t="n">
        <x:v>0</x:v>
      </x:c>
      <x:c r="R362" s="18" t="n">
        <x:v>0</x:v>
      </x:c>
      <x:c r="S362" s="18" t="n">
        <x:v>520</x:v>
      </x:c>
      <x:c r="T362" s="18" t="n">
        <x:v>635</x:v>
      </x:c>
      <x:c r="U362" s="18" t="n">
        <x:v>520</x:v>
      </x:c>
      <x:c r="V362" s="20" t="n">
        <x:v>12</x:v>
      </x:c>
      <x:c r="W362" s="20" t="n">
        <x:v>5</x:v>
      </x:c>
      <x:c r="X362" s="20" t="n">
        <x:v>3</x:v>
      </x:c>
      <x:c r="Y362" t="str">
        <x:v>Basis arsip 2025/2024</x:v>
      </x:c>
      <x:c r="Z362" t="str">
        <x:v>https://snpmb.id/utbk-snbt/daya-tampung-snbt</x:v>
      </x:c>
      <x:c r="AA362" t="str">
        <x:v>Tidak Ada</x:v>
      </x:c>
      <x:c r="AB362" t="str">
        <x:v>Campus=55; Ratio=0.0; Prodi=40; RelDemand=28.4; Capacity=73.3</x:v>
      </x:c>
    </x:row>
    <x:row r="363">
      <x:c r="A363" t="n">
        <x:v>360</x:v>
      </x:c>
      <x:c r="B363" t="str">
        <x:v>PTN Akademik</x:v>
      </x:c>
      <x:c r="C363" t="str">
        <x:v>UNIVERSITAS MARITIM RAJA ALI HAJI</x:v>
      </x:c>
      <x:c r="D363" t="str">
        <x:v>MANAJEMEN SUMBERDAYA PERAIRAN</x:v>
      </x:c>
      <x:c r="E363" t="str">
        <x:v>Sarjana</x:v>
      </x:c>
      <x:c r="F363" s="18" t="n">
        <x:v>40</x:v>
      </x:c>
      <x:c r="G363" s="18" t="n">
        <x:v>24</x:v>
      </x:c>
      <x:c r="H363" s="19" t="n">
        <x:v>0.6</x:v>
      </x:c>
      <x:c r="I363" s="18" t="n">
        <x:f>ROUND(MIN(Model_Config_v3!$B$6,MAX(Q363,R363,S363*Model_Config_v3!$B$4+T363*Model_Config_v3!$B$5)),0)</x:f>
        <x:v>605</x:v>
      </x:c>
      <x:c r="J363" s="18" t="n">
        <x:f>MIN(Model_Config_v3!$B$6,I363+Model_Config_v3!$B$7)</x:f>
        <x:v>625</x:v>
      </x:c>
      <x:c r="K363" s="20" t="n">
        <x:v>40.7</x:v>
      </x:c>
      <x:c r="L363" t="str">
        <x:v>RELATIF LONGGAR</x:v>
      </x:c>
      <x:c r="M363" t="str">
        <x:v>SEDANG+</x:v>
      </x:c>
      <x:c r="N363" t="str">
        <x:v>REGULER</x:v>
      </x:c>
      <x:c r="O363" t="str">
        <x:v>SOSHUM</x:v>
      </x:c>
      <x:c r="P363" t="str">
        <x:v>BISNIS/EKONOMI/AKUNTANSI</x:v>
      </x:c>
      <x:c r="Q363" s="18" t="n">
        <x:v>0</x:v>
      </x:c>
      <x:c r="R363" s="18" t="n">
        <x:v>0</x:v>
      </x:c>
      <x:c r="S363" s="18" t="n">
        <x:v>520</x:v>
      </x:c>
      <x:c r="T363" s="18" t="n">
        <x:v>641</x:v>
      </x:c>
      <x:c r="U363" s="18" t="n">
        <x:v>535</x:v>
      </x:c>
      <x:c r="V363" s="20" t="n">
        <x:v>4.4</x:v>
      </x:c>
      <x:c r="W363" s="20" t="n">
        <x:v>14.3</x:v>
      </x:c>
      <x:c r="X363" s="20" t="n">
        <x:v>3.3</x:v>
      </x:c>
      <x:c r="Y363" t="str">
        <x:v>Basis arsip 2025/2024</x:v>
      </x:c>
      <x:c r="Z363" t="str">
        <x:v>https://snpmb.id/utbk-snbt/daya-tampung-snbt</x:v>
      </x:c>
      <x:c r="AA363" t="str">
        <x:v>Tidak Ada</x:v>
      </x:c>
      <x:c r="AB363" t="str">
        <x:v>Campus=55; Ratio=0.0; Prodi=65; RelDemand=18.2; Capacity=66.7</x:v>
      </x:c>
    </x:row>
    <x:row r="364">
      <x:c r="A364" t="n">
        <x:v>361</x:v>
      </x:c>
      <x:c r="B364" t="str">
        <x:v>PTN Akademik</x:v>
      </x:c>
      <x:c r="C364" t="str">
        <x:v>UNIVERSITAS MARITIM RAJA ALI HAJI</x:v>
      </x:c>
      <x:c r="D364" t="str">
        <x:v>PENDIDIKAN MATEMATIKA</x:v>
      </x:c>
      <x:c r="E364" t="str">
        <x:v>Sarjana</x:v>
      </x:c>
      <x:c r="F364" s="18" t="n">
        <x:v>48</x:v>
      </x:c>
      <x:c r="G364" s="18" t="n">
        <x:v>31</x:v>
      </x:c>
      <x:c r="H364" s="19" t="n">
        <x:v>0.6458333333333334</x:v>
      </x:c>
      <x:c r="I364" s="18" t="n">
        <x:f>ROUND(MIN(Model_Config_v3!$B$6,MAX(Q364,R364,S364*Model_Config_v3!$B$4+T364*Model_Config_v3!$B$5)),0)</x:f>
        <x:v>598</x:v>
      </x:c>
      <x:c r="J364" s="18" t="n">
        <x:f>MIN(Model_Config_v3!$B$6,I364+Model_Config_v3!$B$7)</x:f>
        <x:v>618</x:v>
      </x:c>
      <x:c r="K364" s="20" t="n">
        <x:v>36.2</x:v>
      </x:c>
      <x:c r="L364" t="str">
        <x:v>RELATIF LONGGAR</x:v>
      </x:c>
      <x:c r="M364" t="str">
        <x:v>SEDANG+</x:v>
      </x:c>
      <x:c r="N364" t="str">
        <x:v>REGULER</x:v>
      </x:c>
      <x:c r="O364" t="str">
        <x:v>SAINTEK</x:v>
      </x:c>
      <x:c r="P364" t="str">
        <x:v>PENDIDIKAN</x:v>
      </x:c>
      <x:c r="Q364" s="18" t="n">
        <x:v>0</x:v>
      </x:c>
      <x:c r="R364" s="18" t="n">
        <x:v>0</x:v>
      </x:c>
      <x:c r="S364" s="18" t="n">
        <x:v>520</x:v>
      </x:c>
      <x:c r="T364" s="18" t="n">
        <x:v>632</x:v>
      </x:c>
      <x:c r="U364" s="18" t="n">
        <x:v>520</x:v>
      </x:c>
      <x:c r="V364" s="20" t="n">
        <x:v>12</x:v>
      </x:c>
      <x:c r="W364" s="20" t="n">
        <x:v>5</x:v>
      </x:c>
      <x:c r="X364" s="20" t="n">
        <x:v>3</x:v>
      </x:c>
      <x:c r="Y364" t="str">
        <x:v>Basis arsip 2025/2024</x:v>
      </x:c>
      <x:c r="Z364" t="str">
        <x:v>https://snpmb.id/utbk-snbt/daya-tampung-snbt</x:v>
      </x:c>
      <x:c r="AA364" t="str">
        <x:v>Tidak Ada</x:v>
      </x:c>
      <x:c r="AB364" t="str">
        <x:v>Campus=55; Ratio=0.0; Prodi=45; RelDemand=19.6; Capacity=60.0</x:v>
      </x:c>
    </x:row>
    <x:row r="365">
      <x:c r="A365" t="n">
        <x:v>362</x:v>
      </x:c>
      <x:c r="B365" t="str">
        <x:v>PTN Akademik</x:v>
      </x:c>
      <x:c r="C365" t="str">
        <x:v>UNIVERSITAS MARITIM RAJA ALI HAJI</x:v>
      </x:c>
      <x:c r="D365" t="str">
        <x:v>PENDIDIKAN BIOLOGI</x:v>
      </x:c>
      <x:c r="E365" t="str">
        <x:v>Sarjana</x:v>
      </x:c>
      <x:c r="F365" s="18" t="n">
        <x:v>48</x:v>
      </x:c>
      <x:c r="G365" s="18" t="n">
        <x:v>44</x:v>
      </x:c>
      <x:c r="H365" s="19" t="n">
        <x:v>0.9166666666666666</x:v>
      </x:c>
      <x:c r="I365" s="18" t="n">
        <x:f>ROUND(MIN(Model_Config_v3!$B$6,MAX(Q365,R365,S365*Model_Config_v3!$B$4+T365*Model_Config_v3!$B$5)),0)</x:f>
        <x:v>600</x:v>
      </x:c>
      <x:c r="J365" s="18" t="n">
        <x:f>MIN(Model_Config_v3!$B$6,I365+Model_Config_v3!$B$7)</x:f>
        <x:v>620</x:v>
      </x:c>
      <x:c r="K365" s="20" t="n">
        <x:v>37</x:v>
      </x:c>
      <x:c r="L365" t="str">
        <x:v>RELATIF LONGGAR</x:v>
      </x:c>
      <x:c r="M365" t="str">
        <x:v>SEDANG+</x:v>
      </x:c>
      <x:c r="N365" t="str">
        <x:v>REGULER</x:v>
      </x:c>
      <x:c r="O365" t="str">
        <x:v>SAINTEK</x:v>
      </x:c>
      <x:c r="P365" t="str">
        <x:v>PENDIDIKAN</x:v>
      </x:c>
      <x:c r="Q365" s="18" t="n">
        <x:v>0</x:v>
      </x:c>
      <x:c r="R365" s="18" t="n">
        <x:v>0</x:v>
      </x:c>
      <x:c r="S365" s="18" t="n">
        <x:v>520</x:v>
      </x:c>
      <x:c r="T365" s="18" t="n">
        <x:v>634</x:v>
      </x:c>
      <x:c r="U365" s="18" t="n">
        <x:v>520</x:v>
      </x:c>
      <x:c r="V365" s="20" t="n">
        <x:v>12</x:v>
      </x:c>
      <x:c r="W365" s="20" t="n">
        <x:v>5</x:v>
      </x:c>
      <x:c r="X365" s="20" t="n">
        <x:v>3</x:v>
      </x:c>
      <x:c r="Y365" t="str">
        <x:v>Basis arsip 2025/2024</x:v>
      </x:c>
      <x:c r="Z365" t="str">
        <x:v>https://snpmb.id/utbk-snbt/daya-tampung-snbt</x:v>
      </x:c>
      <x:c r="AA365" t="str">
        <x:v>Tidak Ada</x:v>
      </x:c>
      <x:c r="AB365" t="str">
        <x:v>Campus=55; Ratio=0.0; Prodi=45; RelDemand=27.8; Capacity=60.0</x:v>
      </x:c>
    </x:row>
    <x:row r="366">
      <x:c r="A366" t="n">
        <x:v>363</x:v>
      </x:c>
      <x:c r="B366" t="str">
        <x:v>PTN Akademik</x:v>
      </x:c>
      <x:c r="C366" t="str">
        <x:v>UNIVERSITAS MARITIM RAJA ALI HAJI</x:v>
      </x:c>
      <x:c r="D366" t="str">
        <x:v>PENDIDIKAN KIMIA</x:v>
      </x:c>
      <x:c r="E366" t="str">
        <x:v>Sarjana</x:v>
      </x:c>
      <x:c r="F366" s="18" t="n">
        <x:v>32</x:v>
      </x:c>
      <x:c r="G366" s="18" t="n">
        <x:v>15</x:v>
      </x:c>
      <x:c r="H366" s="19" t="n">
        <x:v>0.46875</x:v>
      </x:c>
      <x:c r="I366" s="18" t="n">
        <x:f>ROUND(MIN(Model_Config_v3!$B$6,MAX(Q366,R366,S366*Model_Config_v3!$B$4+T366*Model_Config_v3!$B$5)),0)</x:f>
        <x:v>600</x:v>
      </x:c>
      <x:c r="J366" s="18" t="n">
        <x:f>MIN(Model_Config_v3!$B$6,I366+Model_Config_v3!$B$7)</x:f>
        <x:v>620</x:v>
      </x:c>
      <x:c r="K366" s="20" t="n">
        <x:v>37</x:v>
      </x:c>
      <x:c r="L366" t="str">
        <x:v>RELATIF LONGGAR</x:v>
      </x:c>
      <x:c r="M366" t="str">
        <x:v>SEDANG+</x:v>
      </x:c>
      <x:c r="N366" t="str">
        <x:v>REGULER</x:v>
      </x:c>
      <x:c r="O366" t="str">
        <x:v>SAINTEK</x:v>
      </x:c>
      <x:c r="P366" t="str">
        <x:v>PENDIDIKAN</x:v>
      </x:c>
      <x:c r="Q366" s="18" t="n">
        <x:v>0</x:v>
      </x:c>
      <x:c r="R366" s="18" t="n">
        <x:v>0</x:v>
      </x:c>
      <x:c r="S366" s="18" t="n">
        <x:v>520</x:v>
      </x:c>
      <x:c r="T366" s="18" t="n">
        <x:v>634</x:v>
      </x:c>
      <x:c r="U366" s="18" t="n">
        <x:v>520</x:v>
      </x:c>
      <x:c r="V366" s="20" t="n">
        <x:v>12</x:v>
      </x:c>
      <x:c r="W366" s="20" t="n">
        <x:v>5</x:v>
      </x:c>
      <x:c r="X366" s="20" t="n">
        <x:v>3</x:v>
      </x:c>
      <x:c r="Y366" t="str">
        <x:v>Basis arsip 2025/2024</x:v>
      </x:c>
      <x:c r="Z366" t="str">
        <x:v>https://snpmb.id/utbk-snbt/daya-tampung-snbt</x:v>
      </x:c>
      <x:c r="AA366" t="str">
        <x:v>Tidak Ada</x:v>
      </x:c>
      <x:c r="AB366" t="str">
        <x:v>Campus=55; Ratio=0.0; Prodi=45; RelDemand=14.2; Capacity=73.3</x:v>
      </x:c>
    </x:row>
    <x:row r="367">
      <x:c r="A367" t="n">
        <x:v>364</x:v>
      </x:c>
      <x:c r="B367" t="str">
        <x:v>PTN Akademik</x:v>
      </x:c>
      <x:c r="C367" t="str">
        <x:v>UNIVERSITAS MARITIM RAJA ALI HAJI</x:v>
      </x:c>
      <x:c r="D367" t="str">
        <x:v>BUDI DAYA PERAIRAN</x:v>
      </x:c>
      <x:c r="E367" t="str">
        <x:v>Sarjana</x:v>
      </x:c>
      <x:c r="F367" s="18" t="n">
        <x:v>40</x:v>
      </x:c>
      <x:c r="G367" s="18" t="n">
        <x:v>13</x:v>
      </x:c>
      <x:c r="H367" s="19" t="n">
        <x:v>0.325</x:v>
      </x:c>
      <x:c r="I367" s="18" t="n">
        <x:f>ROUND(MIN(Model_Config_v3!$B$6,MAX(Q367,R367,S367*Model_Config_v3!$B$4+T367*Model_Config_v3!$B$5)),0)</x:f>
        <x:v>597</x:v>
      </x:c>
      <x:c r="J367" s="18" t="n">
        <x:f>MIN(Model_Config_v3!$B$6,I367+Model_Config_v3!$B$7)</x:f>
        <x:v>617</x:v>
      </x:c>
      <x:c r="K367" s="20" t="n">
        <x:v>34.9</x:v>
      </x:c>
      <x:c r="L367" t="str">
        <x:v>RELATIF LONGGAR</x:v>
      </x:c>
      <x:c r="M367" t="str">
        <x:v>SEDANG</x:v>
      </x:c>
      <x:c r="N367" t="str">
        <x:v>REGULER</x:v>
      </x:c>
      <x:c r="O367" t="str">
        <x:v>CAMPURAN</x:v>
      </x:c>
      <x:c r="P367" t="str">
        <x:v>UMUM</x:v>
      </x:c>
      <x:c r="Q367" s="18" t="n">
        <x:v>0</x:v>
      </x:c>
      <x:c r="R367" s="18" t="n">
        <x:v>0</x:v>
      </x:c>
      <x:c r="S367" s="18" t="n">
        <x:v>520</x:v>
      </x:c>
      <x:c r="T367" s="18" t="n">
        <x:v>630</x:v>
      </x:c>
      <x:c r="U367" s="18" t="n">
        <x:v>520</x:v>
      </x:c>
      <x:c r="V367" s="20" t="n">
        <x:v>8.8</x:v>
      </x:c>
      <x:c r="W367" s="20" t="n">
        <x:v>9.9</x:v>
      </x:c>
      <x:c r="X367" s="20" t="n">
        <x:v>3.3</x:v>
      </x:c>
      <x:c r="Y367" t="str">
        <x:v>Basis arsip 2025/2024</x:v>
      </x:c>
      <x:c r="Z367" t="str">
        <x:v>https://snpmb.id/utbk-snbt/daya-tampung-snbt</x:v>
      </x:c>
      <x:c r="AA367" t="str">
        <x:v>Tidak Ada</x:v>
      </x:c>
      <x:c r="AB367" t="str">
        <x:v>Campus=55; Ratio=0.0; Prodi=40; RelDemand=9.9; Capacity=66.7</x:v>
      </x:c>
    </x:row>
    <x:row r="368">
      <x:c r="A368" t="n">
        <x:v>365</x:v>
      </x:c>
      <x:c r="B368" t="str">
        <x:v>PTN Akademik</x:v>
      </x:c>
      <x:c r="C368" t="str">
        <x:v>UNIVERSITAS MARITIM RAJA ALI HAJI</x:v>
      </x:c>
      <x:c r="D368" t="str">
        <x:v>TEKNOLOGI HASIL PERIKANAN</x:v>
      </x:c>
      <x:c r="E368" t="str">
        <x:v>Sarjana</x:v>
      </x:c>
      <x:c r="F368" s="18" t="n">
        <x:v>40</x:v>
      </x:c>
      <x:c r="G368" s="18" t="n">
        <x:v>15</x:v>
      </x:c>
      <x:c r="H368" s="19" t="n">
        <x:v>0.375</x:v>
      </x:c>
      <x:c r="I368" s="18" t="n">
        <x:f>ROUND(MIN(Model_Config_v3!$B$6,MAX(Q368,R368,S368*Model_Config_v3!$B$4+T368*Model_Config_v3!$B$5)),0)</x:f>
        <x:v>597</x:v>
      </x:c>
      <x:c r="J368" s="18" t="n">
        <x:f>MIN(Model_Config_v3!$B$6,I368+Model_Config_v3!$B$7)</x:f>
        <x:v>617</x:v>
      </x:c>
      <x:c r="K368" s="20" t="n">
        <x:v>35.1</x:v>
      </x:c>
      <x:c r="L368" t="str">
        <x:v>RELATIF LONGGAR</x:v>
      </x:c>
      <x:c r="M368" t="str">
        <x:v>SEDANG</x:v>
      </x:c>
      <x:c r="N368" t="str">
        <x:v>REGULER</x:v>
      </x:c>
      <x:c r="O368" t="str">
        <x:v>SAINTEK</x:v>
      </x:c>
      <x:c r="P368" t="str">
        <x:v>UMUM</x:v>
      </x:c>
      <x:c r="Q368" s="18" t="n">
        <x:v>0</x:v>
      </x:c>
      <x:c r="R368" s="18" t="n">
        <x:v>0</x:v>
      </x:c>
      <x:c r="S368" s="18" t="n">
        <x:v>520</x:v>
      </x:c>
      <x:c r="T368" s="18" t="n">
        <x:v>630</x:v>
      </x:c>
      <x:c r="U368" s="18" t="n">
        <x:v>520</x:v>
      </x:c>
      <x:c r="V368" s="20" t="n">
        <x:v>12</x:v>
      </x:c>
      <x:c r="W368" s="20" t="n">
        <x:v>5</x:v>
      </x:c>
      <x:c r="X368" s="20" t="n">
        <x:v>3</x:v>
      </x:c>
      <x:c r="Y368" t="str">
        <x:v>Basis arsip 2025/2024</x:v>
      </x:c>
      <x:c r="Z368" t="str">
        <x:v>https://snpmb.id/utbk-snbt/daya-tampung-snbt</x:v>
      </x:c>
      <x:c r="AA368" t="str">
        <x:v>Tidak Ada</x:v>
      </x:c>
      <x:c r="AB368" t="str">
        <x:v>Campus=55; Ratio=0.0; Prodi=40; RelDemand=11.4; Capacity=66.7</x:v>
      </x:c>
    </x:row>
    <x:row r="369">
      <x:c r="A369" t="n">
        <x:v>366</x:v>
      </x:c>
      <x:c r="B369" t="str">
        <x:v>PTN Akademik</x:v>
      </x:c>
      <x:c r="C369" t="str">
        <x:v>UNIVERSITAS MARITIM RAJA ALI HAJI</x:v>
      </x:c>
      <x:c r="D369" t="str">
        <x:v>SOSIAL EKONOMI PERIKANAN</x:v>
      </x:c>
      <x:c r="E369" t="str">
        <x:v>Sarjana</x:v>
      </x:c>
      <x:c r="F369" s="18" t="n">
        <x:v>40</x:v>
      </x:c>
      <x:c r="G369" s="18" t="n">
        <x:v>8</x:v>
      </x:c>
      <x:c r="H369" s="19" t="n">
        <x:v>0.2</x:v>
      </x:c>
      <x:c r="I369" s="18" t="n">
        <x:f>ROUND(MIN(Model_Config_v3!$B$6,MAX(Q369,R369,S369*Model_Config_v3!$B$4+T369*Model_Config_v3!$B$5)),0)</x:f>
        <x:v>596</x:v>
      </x:c>
      <x:c r="J369" s="18" t="n">
        <x:f>MIN(Model_Config_v3!$B$6,I369+Model_Config_v3!$B$7)</x:f>
        <x:v>616</x:v>
      </x:c>
      <x:c r="K369" s="20" t="n">
        <x:v>34.5</x:v>
      </x:c>
      <x:c r="L369" t="str">
        <x:v>RELATIF LONGGAR</x:v>
      </x:c>
      <x:c r="M369" t="str">
        <x:v>SEDANG</x:v>
      </x:c>
      <x:c r="N369" t="str">
        <x:v>REGULER</x:v>
      </x:c>
      <x:c r="O369" t="str">
        <x:v>SAINTEK</x:v>
      </x:c>
      <x:c r="P369" t="str">
        <x:v>UMUM</x:v>
      </x:c>
      <x:c r="Q369" s="18" t="n">
        <x:v>0</x:v>
      </x:c>
      <x:c r="R369" s="18" t="n">
        <x:v>0</x:v>
      </x:c>
      <x:c r="S369" s="18" t="n">
        <x:v>520</x:v>
      </x:c>
      <x:c r="T369" s="18" t="n">
        <x:v>629</x:v>
      </x:c>
      <x:c r="U369" s="18" t="n">
        <x:v>520</x:v>
      </x:c>
      <x:c r="V369" s="20" t="n">
        <x:v>12</x:v>
      </x:c>
      <x:c r="W369" s="20" t="n">
        <x:v>5</x:v>
      </x:c>
      <x:c r="X369" s="20" t="n">
        <x:v>3</x:v>
      </x:c>
      <x:c r="Y369" t="str">
        <x:v>Basis arsip 2025/2024</x:v>
      </x:c>
      <x:c r="Z369" t="str">
        <x:v>https://snpmb.id/utbk-snbt/daya-tampung-snbt</x:v>
      </x:c>
      <x:c r="AA369" t="str">
        <x:v>Tidak Ada</x:v>
      </x:c>
      <x:c r="AB369" t="str">
        <x:v>Campus=55; Ratio=0.0; Prodi=40; RelDemand=6.1; Capacity=66.7</x:v>
      </x:c>
    </x:row>
    <x:row r="370">
      <x:c r="A370" t="n">
        <x:v>367</x:v>
      </x:c>
      <x:c r="B370" t="str">
        <x:v>PTN Akademik</x:v>
      </x:c>
      <x:c r="C370" t="str">
        <x:v>UNIVERSITAS MARITIM RAJA ALI HAJI</x:v>
      </x:c>
      <x:c r="D370" t="str">
        <x:v>TEKNIK PERKAPALAN</x:v>
      </x:c>
      <x:c r="E370" t="str">
        <x:v>Sarjana</x:v>
      </x:c>
      <x:c r="F370" s="18" t="n">
        <x:v>32</x:v>
      </x:c>
      <x:c r="G370" s="18" t="n">
        <x:v>93</x:v>
      </x:c>
      <x:c r="H370" s="19" t="n">
        <x:v>2.90625</x:v>
      </x:c>
      <x:c r="I370" s="18" t="n">
        <x:f>ROUND(MIN(Model_Config_v3!$B$6,MAX(Q370,R370,S370*Model_Config_v3!$B$4+T370*Model_Config_v3!$B$5)),0)</x:f>
        <x:v>639</x:v>
      </x:c>
      <x:c r="J370" s="18" t="n">
        <x:f>MIN(Model_Config_v3!$B$6,I370+Model_Config_v3!$B$7)</x:f>
        <x:v>659</x:v>
      </x:c>
      <x:c r="K370" s="20" t="n">
        <x:v>54.2</x:v>
      </x:c>
      <x:c r="L370" t="str">
        <x:v>MENENGAH</x:v>
      </x:c>
      <x:c r="M370" t="str">
        <x:v>SEDANG+</x:v>
      </x:c>
      <x:c r="N370" t="str">
        <x:v>REGULER</x:v>
      </x:c>
      <x:c r="O370" t="str">
        <x:v>SAINTEK</x:v>
      </x:c>
      <x:c r="P370" t="str">
        <x:v>TEKNIK/ARSITEKTUR/STATISTIKA/AKTUARIA</x:v>
      </x:c>
      <x:c r="Q370" s="18" t="n">
        <x:v>0</x:v>
      </x:c>
      <x:c r="R370" s="18" t="n">
        <x:v>0</x:v>
      </x:c>
      <x:c r="S370" s="18" t="n">
        <x:v>570.9666267257431</x:v>
      </x:c>
      <x:c r="T370" s="18" t="n">
        <x:v>668</x:v>
      </x:c>
      <x:c r="U370" s="18" t="n">
        <x:v>580.9666267257431</x:v>
      </x:c>
      <x:c r="V370" s="20" t="n">
        <x:v>12</x:v>
      </x:c>
      <x:c r="W370" s="20" t="n">
        <x:v>5</x:v>
      </x:c>
      <x:c r="X370" s="20" t="n">
        <x:v>3</x:v>
      </x:c>
      <x:c r="Y370" t="str">
        <x:v>Basis arsip 2025/2024</x:v>
      </x:c>
      <x:c r="Z370" t="str">
        <x:v>https://snpmb.id/utbk-snbt/daya-tampung-snbt</x:v>
      </x:c>
      <x:c r="AA370" t="str">
        <x:v>Tidak Ada</x:v>
      </x:c>
      <x:c r="AB370" t="str">
        <x:v>Campus=55; Ratio=27.3; Prodi=60; RelDemand=88.1; Capacity=73.3</x:v>
      </x:c>
    </x:row>
    <x:row r="371">
      <x:c r="A371" t="n">
        <x:v>368</x:v>
      </x:c>
      <x:c r="B371" t="str">
        <x:v>PTN Akademik</x:v>
      </x:c>
      <x:c r="C371" t="str">
        <x:v>UNIVERSITAS MARITIM RAJA ALI HAJI</x:v>
      </x:c>
      <x:c r="D371" t="str">
        <x:v>PENDIDIKAN BAHASA INDONESIA</x:v>
      </x:c>
      <x:c r="E371" t="str">
        <x:v>Sarjana</x:v>
      </x:c>
      <x:c r="F371" s="18" t="n">
        <x:v>100</x:v>
      </x:c>
      <x:c r="G371" s="18" t="n">
        <x:v>66</x:v>
      </x:c>
      <x:c r="H371" s="19" t="n">
        <x:v>0.66</x:v>
      </x:c>
      <x:c r="I371" s="18" t="n">
        <x:f>ROUND(MIN(Model_Config_v3!$B$6,MAX(Q371,R371,S371*Model_Config_v3!$B$4+T371*Model_Config_v3!$B$5)),0)</x:f>
        <x:v>593</x:v>
      </x:c>
      <x:c r="J371" s="18" t="n">
        <x:f>MIN(Model_Config_v3!$B$6,I371+Model_Config_v3!$B$7)</x:f>
        <x:v>613</x:v>
      </x:c>
      <x:c r="K371" s="20" t="n">
        <x:v>31.9</x:v>
      </x:c>
      <x:c r="L371" t="str">
        <x:v>RELATIF LONGGAR</x:v>
      </x:c>
      <x:c r="M371" t="str">
        <x:v>SEDANG+</x:v>
      </x:c>
      <x:c r="N371" t="str">
        <x:v>REGULER</x:v>
      </x:c>
      <x:c r="O371" t="str">
        <x:v>SOSHUM</x:v>
      </x:c>
      <x:c r="P371" t="str">
        <x:v>PENDIDIKAN</x:v>
      </x:c>
      <x:c r="Q371" s="18" t="n">
        <x:v>0</x:v>
      </x:c>
      <x:c r="R371" s="18" t="n">
        <x:v>0</x:v>
      </x:c>
      <x:c r="S371" s="18" t="n">
        <x:v>520</x:v>
      </x:c>
      <x:c r="T371" s="18" t="n">
        <x:v>624</x:v>
      </x:c>
      <x:c r="U371" s="18" t="n">
        <x:v>520</x:v>
      </x:c>
      <x:c r="V371" s="20" t="n">
        <x:v>4.4</x:v>
      </x:c>
      <x:c r="W371" s="20" t="n">
        <x:v>14.3</x:v>
      </x:c>
      <x:c r="X371" s="20" t="n">
        <x:v>3.3</x:v>
      </x:c>
      <x:c r="Y371" t="str">
        <x:v>Basis arsip 2025/2024</x:v>
      </x:c>
      <x:c r="Z371" t="str">
        <x:v>https://snpmb.id/utbk-snbt/daya-tampung-snbt</x:v>
      </x:c>
      <x:c r="AA371" t="str">
        <x:v>Tidak Ada</x:v>
      </x:c>
      <x:c r="AB371" t="str">
        <x:v>Campus=55; Ratio=0.0; Prodi=45; RelDemand=20.0; Capacity=16.7</x:v>
      </x:c>
    </x:row>
    <x:row r="372">
      <x:c r="A372" t="n">
        <x:v>369</x:v>
      </x:c>
      <x:c r="B372" t="str">
        <x:v>PTN Akademik</x:v>
      </x:c>
      <x:c r="C372" t="str">
        <x:v>UNIVERSITAS MARITIM RAJA ALI HAJI</x:v>
      </x:c>
      <x:c r="D372" t="str">
        <x:v>AKUNTANSI</x:v>
      </x:c>
      <x:c r="E372" t="str">
        <x:v>Sarjana</x:v>
      </x:c>
      <x:c r="F372" s="18" t="n">
        <x:v>118</x:v>
      </x:c>
      <x:c r="G372" s="18" t="n">
        <x:v>153</x:v>
      </x:c>
      <x:c r="H372" s="19" t="n">
        <x:v>1.2966101694915255</x:v>
      </x:c>
      <x:c r="I372" s="18" t="n">
        <x:f>ROUND(MIN(Model_Config_v3!$B$6,MAX(Q372,R372,S372*Model_Config_v3!$B$4+T372*Model_Config_v3!$B$5)),0)</x:f>
        <x:v>605</x:v>
      </x:c>
      <x:c r="J372" s="18" t="n">
        <x:f>MIN(Model_Config_v3!$B$6,I372+Model_Config_v3!$B$7)</x:f>
        <x:v>625</x:v>
      </x:c>
      <x:c r="K372" s="20" t="n">
        <x:v>38</x:v>
      </x:c>
      <x:c r="L372" t="str">
        <x:v>RELATIF LONGGAR</x:v>
      </x:c>
      <x:c r="M372" t="str">
        <x:v>SEDANG+</x:v>
      </x:c>
      <x:c r="N372" t="str">
        <x:v>REGULER</x:v>
      </x:c>
      <x:c r="O372" t="str">
        <x:v>SOSHUM</x:v>
      </x:c>
      <x:c r="P372" t="str">
        <x:v>BISNIS/EKONOMI/AKUNTANSI</x:v>
      </x:c>
      <x:c r="Q372" s="18" t="n">
        <x:v>0</x:v>
      </x:c>
      <x:c r="R372" s="18" t="n">
        <x:v>0</x:v>
      </x:c>
      <x:c r="S372" s="18" t="n">
        <x:v>532.4090365862621</x:v>
      </x:c>
      <x:c r="T372" s="18" t="n">
        <x:v>636</x:v>
      </x:c>
      <x:c r="U372" s="18" t="n">
        <x:v>532.4090365862621</x:v>
      </x:c>
      <x:c r="V372" s="20" t="n">
        <x:v>4.4</x:v>
      </x:c>
      <x:c r="W372" s="20" t="n">
        <x:v>14.3</x:v>
      </x:c>
      <x:c r="X372" s="20" t="n">
        <x:v>3.3</x:v>
      </x:c>
      <x:c r="Y372" t="str">
        <x:v>Basis arsip 2025/2024</x:v>
      </x:c>
      <x:c r="Z372" t="str">
        <x:v>https://snpmb.id/utbk-snbt/daya-tampung-snbt</x:v>
      </x:c>
      <x:c r="AA372" t="str">
        <x:v>Tidak Ada</x:v>
      </x:c>
      <x:c r="AB372" t="str">
        <x:v>Campus=55; Ratio=6.6; Prodi=65; RelDemand=39.3; Capacity=1.7</x:v>
      </x:c>
    </x:row>
    <x:row r="373">
      <x:c r="A373" t="n">
        <x:v>370</x:v>
      </x:c>
      <x:c r="B373" t="str">
        <x:v>PTN Akademik</x:v>
      </x:c>
      <x:c r="C373" t="str">
        <x:v>UNIVERSITAS MARITIM RAJA ALI HAJI</x:v>
      </x:c>
      <x:c r="D373" t="str">
        <x:v>ILMU ADMINISTRASI NEGARA</x:v>
      </x:c>
      <x:c r="E373" t="str">
        <x:v>Sarjana</x:v>
      </x:c>
      <x:c r="F373" s="18" t="n">
        <x:v>80</x:v>
      </x:c>
      <x:c r="G373" s="18" t="n">
        <x:v>111</x:v>
      </x:c>
      <x:c r="H373" s="19" t="n">
        <x:v>1.3875</x:v>
      </x:c>
      <x:c r="I373" s="18" t="n">
        <x:f>ROUND(MIN(Model_Config_v3!$B$6,MAX(Q373,R373,S373*Model_Config_v3!$B$4+T373*Model_Config_v3!$B$5)),0)</x:f>
        <x:v>604</x:v>
      </x:c>
      <x:c r="J373" s="18" t="n">
        <x:f>MIN(Model_Config_v3!$B$6,I373+Model_Config_v3!$B$7)</x:f>
        <x:v>624</x:v>
      </x:c>
      <x:c r="K373" s="20" t="n">
        <x:v>36.9</x:v>
      </x:c>
      <x:c r="L373" t="str">
        <x:v>RELATIF LONGGAR</x:v>
      </x:c>
      <x:c r="M373" t="str">
        <x:v>SEDANG</x:v>
      </x:c>
      <x:c r="N373" t="str">
        <x:v>REGULER</x:v>
      </x:c>
      <x:c r="O373" t="str">
        <x:v>SOSHUM</x:v>
      </x:c>
      <x:c r="P373" t="str">
        <x:v>UMUM</x:v>
      </x:c>
      <x:c r="Q373" s="18" t="n">
        <x:v>0</x:v>
      </x:c>
      <x:c r="R373" s="18" t="n">
        <x:v>0</x:v>
      </x:c>
      <x:c r="S373" s="18" t="n">
        <x:v>535.6456290974186</x:v>
      </x:c>
      <x:c r="T373" s="18" t="n">
        <x:v>634</x:v>
      </x:c>
      <x:c r="U373" s="18" t="n">
        <x:v>535.6456290974186</x:v>
      </x:c>
      <x:c r="V373" s="20" t="n">
        <x:v>4.4</x:v>
      </x:c>
      <x:c r="W373" s="20" t="n">
        <x:v>14.3</x:v>
      </x:c>
      <x:c r="X373" s="20" t="n">
        <x:v>3.3</x:v>
      </x:c>
      <x:c r="Y373" t="str">
        <x:v>Basis arsip 2025/2024</x:v>
      </x:c>
      <x:c r="Z373" t="str">
        <x:v>https://snpmb.id/utbk-snbt/daya-tampung-snbt</x:v>
      </x:c>
      <x:c r="AA373" t="str">
        <x:v>Tidak Ada</x:v>
      </x:c>
      <x:c r="AB373" t="str">
        <x:v>Campus=55; Ratio=8.4; Prodi=40; RelDemand=42.1; Capacity=33.3</x:v>
      </x:c>
    </x:row>
    <x:row r="374">
      <x:c r="A374" t="n">
        <x:v>371</x:v>
      </x:c>
      <x:c r="B374" t="str">
        <x:v>PTN Akademik</x:v>
      </x:c>
      <x:c r="C374" t="str">
        <x:v>UNIVERSITAS MARITIM RAJA ALI HAJI</x:v>
      </x:c>
      <x:c r="D374" t="str">
        <x:v>ILMU PEMERINTAHAN</x:v>
      </x:c>
      <x:c r="E374" t="str">
        <x:v>Sarjana</x:v>
      </x:c>
      <x:c r="F374" s="18" t="n">
        <x:v>60</x:v>
      </x:c>
      <x:c r="G374" s="18" t="n">
        <x:v>74</x:v>
      </x:c>
      <x:c r="H374" s="19" t="n">
        <x:v>1.2333333333333334</x:v>
      </x:c>
      <x:c r="I374" s="18" t="n">
        <x:f>ROUND(MIN(Model_Config_v3!$B$6,MAX(Q374,R374,S374*Model_Config_v3!$B$4+T374*Model_Config_v3!$B$5)),0)</x:f>
        <x:v>604</x:v>
      </x:c>
      <x:c r="J374" s="18" t="n">
        <x:f>MIN(Model_Config_v3!$B$6,I374+Model_Config_v3!$B$7)</x:f>
        <x:v>624</x:v>
      </x:c>
      <x:c r="K374" s="20" t="n">
        <x:v>37.3</x:v>
      </x:c>
      <x:c r="L374" t="str">
        <x:v>RELATIF LONGGAR</x:v>
      </x:c>
      <x:c r="M374" t="str">
        <x:v>SEDANG</x:v>
      </x:c>
      <x:c r="N374" t="str">
        <x:v>REGULER</x:v>
      </x:c>
      <x:c r="O374" t="str">
        <x:v>CAMPURAN</x:v>
      </x:c>
      <x:c r="P374" t="str">
        <x:v>UMUM</x:v>
      </x:c>
      <x:c r="Q374" s="18" t="n">
        <x:v>0</x:v>
      </x:c>
      <x:c r="R374" s="18" t="n">
        <x:v>0</x:v>
      </x:c>
      <x:c r="S374" s="18" t="n">
        <x:v>530.0188516282066</x:v>
      </x:c>
      <x:c r="T374" s="18" t="n">
        <x:v>635</x:v>
      </x:c>
      <x:c r="U374" s="18" t="n">
        <x:v>530.0188516282066</x:v>
      </x:c>
      <x:c r="V374" s="20" t="n">
        <x:v>8.8</x:v>
      </x:c>
      <x:c r="W374" s="20" t="n">
        <x:v>9.9</x:v>
      </x:c>
      <x:c r="X374" s="20" t="n">
        <x:v>3.3</x:v>
      </x:c>
      <x:c r="Y374" t="str">
        <x:v>Basis arsip 2025/2024</x:v>
      </x:c>
      <x:c r="Z374" t="str">
        <x:v>https://snpmb.id/utbk-snbt/daya-tampung-snbt</x:v>
      </x:c>
      <x:c r="AA374" t="str">
        <x:v>Tidak Ada</x:v>
      </x:c>
      <x:c r="AB374" t="str">
        <x:v>Campus=55; Ratio=5.4; Prodi=40; RelDemand=37.4; Capacity=50.0</x:v>
      </x:c>
    </x:row>
    <x:row r="375">
      <x:c r="A375" t="n">
        <x:v>372</x:v>
      </x:c>
      <x:c r="B375" t="str">
        <x:v>PTN Akademik</x:v>
      </x:c>
      <x:c r="C375" t="str">
        <x:v>UNIVERSITAS MARITIM RAJA ALI HAJI</x:v>
      </x:c>
      <x:c r="D375" t="str">
        <x:v>SOSIOLOGI</x:v>
      </x:c>
      <x:c r="E375" t="str">
        <x:v>Sarjana</x:v>
      </x:c>
      <x:c r="F375" s="18" t="n">
        <x:v>40</x:v>
      </x:c>
      <x:c r="G375" s="18" t="n">
        <x:v>34</x:v>
      </x:c>
      <x:c r="H375" s="19" t="n">
        <x:v>0.85</x:v>
      </x:c>
      <x:c r="I375" s="18" t="n">
        <x:f>ROUND(MIN(Model_Config_v3!$B$6,MAX(Q375,R375,S375*Model_Config_v3!$B$4+T375*Model_Config_v3!$B$5)),0)</x:f>
        <x:v>599</x:v>
      </x:c>
      <x:c r="J375" s="18" t="n">
        <x:f>MIN(Model_Config_v3!$B$6,I375+Model_Config_v3!$B$7)</x:f>
        <x:v>619</x:v>
      </x:c>
      <x:c r="K375" s="20" t="n">
        <x:v>36.5</x:v>
      </x:c>
      <x:c r="L375" t="str">
        <x:v>RELATIF LONGGAR</x:v>
      </x:c>
      <x:c r="M375" t="str">
        <x:v>SEDANG</x:v>
      </x:c>
      <x:c r="N375" t="str">
        <x:v>REGULER</x:v>
      </x:c>
      <x:c r="O375" t="str">
        <x:v>SOSHUM</x:v>
      </x:c>
      <x:c r="P375" t="str">
        <x:v>UMUM</x:v>
      </x:c>
      <x:c r="Q375" s="18" t="n">
        <x:v>0</x:v>
      </x:c>
      <x:c r="R375" s="18" t="n">
        <x:v>0</x:v>
      </x:c>
      <x:c r="S375" s="18" t="n">
        <x:v>520</x:v>
      </x:c>
      <x:c r="T375" s="18" t="n">
        <x:v>633</x:v>
      </x:c>
      <x:c r="U375" s="18" t="n">
        <x:v>520</x:v>
      </x:c>
      <x:c r="V375" s="20" t="n">
        <x:v>4.4</x:v>
      </x:c>
      <x:c r="W375" s="20" t="n">
        <x:v>14.3</x:v>
      </x:c>
      <x:c r="X375" s="20" t="n">
        <x:v>3.3</x:v>
      </x:c>
      <x:c r="Y375" t="str">
        <x:v>Basis arsip 2025/2024</x:v>
      </x:c>
      <x:c r="Z375" t="str">
        <x:v>https://snpmb.id/utbk-snbt/daya-tampung-snbt</x:v>
      </x:c>
      <x:c r="AA375" t="str">
        <x:v>Tidak Ada</x:v>
      </x:c>
      <x:c r="AB375" t="str">
        <x:v>Campus=55; Ratio=0.0; Prodi=40; RelDemand=25.8; Capacity=66.7</x:v>
      </x:c>
    </x:row>
    <x:row r="376">
      <x:c r="A376" t="n">
        <x:v>373</x:v>
      </x:c>
      <x:c r="B376" t="str">
        <x:v>PTN Akademik</x:v>
      </x:c>
      <x:c r="C376" t="str">
        <x:v>UNIVERSITAS MARITIM RAJA ALI HAJI</x:v>
      </x:c>
      <x:c r="D376" t="str">
        <x:v>PENDIDIKAN BAHASA INGGRIS</x:v>
      </x:c>
      <x:c r="E376" t="str">
        <x:v>Sarjana</x:v>
      </x:c>
      <x:c r="F376" s="18" t="n">
        <x:v>90</x:v>
      </x:c>
      <x:c r="G376" s="18" t="n">
        <x:v>57</x:v>
      </x:c>
      <x:c r="H376" s="19" t="n">
        <x:v>0.6333333333333333</x:v>
      </x:c>
      <x:c r="I376" s="18" t="n">
        <x:f>ROUND(MIN(Model_Config_v3!$B$6,MAX(Q376,R376,S376*Model_Config_v3!$B$4+T376*Model_Config_v3!$B$5)),0)</x:f>
        <x:v>594</x:v>
      </x:c>
      <x:c r="J376" s="18" t="n">
        <x:f>MIN(Model_Config_v3!$B$6,I376+Model_Config_v3!$B$7)</x:f>
        <x:v>614</x:v>
      </x:c>
      <x:c r="K376" s="20" t="n">
        <x:v>32.7</x:v>
      </x:c>
      <x:c r="L376" t="str">
        <x:v>RELATIF LONGGAR</x:v>
      </x:c>
      <x:c r="M376" t="str">
        <x:v>SEDANG+</x:v>
      </x:c>
      <x:c r="N376" t="str">
        <x:v>REGULER</x:v>
      </x:c>
      <x:c r="O376" t="str">
        <x:v>SOSHUM</x:v>
      </x:c>
      <x:c r="P376" t="str">
        <x:v>PENDIDIKAN</x:v>
      </x:c>
      <x:c r="Q376" s="18" t="n">
        <x:v>0</x:v>
      </x:c>
      <x:c r="R376" s="18" t="n">
        <x:v>0</x:v>
      </x:c>
      <x:c r="S376" s="18" t="n">
        <x:v>520</x:v>
      </x:c>
      <x:c r="T376" s="18" t="n">
        <x:v>625</x:v>
      </x:c>
      <x:c r="U376" s="18" t="n">
        <x:v>520</x:v>
      </x:c>
      <x:c r="V376" s="20" t="n">
        <x:v>4.4</x:v>
      </x:c>
      <x:c r="W376" s="20" t="n">
        <x:v>14.3</x:v>
      </x:c>
      <x:c r="X376" s="20" t="n">
        <x:v>3.3</x:v>
      </x:c>
      <x:c r="Y376" t="str">
        <x:v>Basis arsip 2025/2024</x:v>
      </x:c>
      <x:c r="Z376" t="str">
        <x:v>https://snpmb.id/utbk-snbt/daya-tampung-snbt</x:v>
      </x:c>
      <x:c r="AA376" t="str">
        <x:v>Tidak Ada</x:v>
      </x:c>
      <x:c r="AB376" t="str">
        <x:v>Campus=55; Ratio=0.0; Prodi=45; RelDemand=19.2; Capacity=25.0</x:v>
      </x:c>
    </x:row>
    <x:row r="377">
      <x:c r="A377" t="n">
        <x:v>374</x:v>
      </x:c>
      <x:c r="B377" t="str">
        <x:v>PTN Akademik</x:v>
      </x:c>
      <x:c r="C377" t="str">
        <x:v>UNIVERSITAS MARITIM RAJA ALI HAJI</x:v>
      </x:c>
      <x:c r="D377" t="str">
        <x:v>MANAJEMEN</x:v>
      </x:c>
      <x:c r="E377" t="str">
        <x:v>Sarjana</x:v>
      </x:c>
      <x:c r="F377" s="18" t="n">
        <x:v>118</x:v>
      </x:c>
      <x:c r="G377" s="18" t="n">
        <x:v>270</x:v>
      </x:c>
      <x:c r="H377" s="19" t="n">
        <x:v>2.288135593220339</x:v>
      </x:c>
      <x:c r="I377" s="18" t="n">
        <x:f>ROUND(MIN(Model_Config_v3!$B$6,MAX(Q377,R377,S377*Model_Config_v3!$B$4+T377*Model_Config_v3!$B$5)),0)</x:f>
        <x:v>622</x:v>
      </x:c>
      <x:c r="J377" s="18" t="n">
        <x:f>MIN(Model_Config_v3!$B$6,I377+Model_Config_v3!$B$7)</x:f>
        <x:v>642</x:v>
      </x:c>
      <x:c r="K377" s="20" t="n">
        <x:v>44.6</x:v>
      </x:c>
      <x:c r="L377" t="str">
        <x:v>RELATIF LONGGAR</x:v>
      </x:c>
      <x:c r="M377" t="str">
        <x:v>SEDANG+</x:v>
      </x:c>
      <x:c r="N377" t="str">
        <x:v>REGULER</x:v>
      </x:c>
      <x:c r="O377" t="str">
        <x:v>SOSHUM</x:v>
      </x:c>
      <x:c r="P377" t="str">
        <x:v>BISNIS/EKONOMI/AKUNTANSI</x:v>
      </x:c>
      <x:c r="Q377" s="18" t="n">
        <x:v>0</x:v>
      </x:c>
      <x:c r="R377" s="18" t="n">
        <x:v>0</x:v>
      </x:c>
      <x:c r="S377" s="18" t="n">
        <x:v>559.5429932538148</x:v>
      </x:c>
      <x:c r="T377" s="18" t="n">
        <x:v>649</x:v>
      </x:c>
      <x:c r="U377" s="18" t="n">
        <x:v>574.5429932538148</x:v>
      </x:c>
      <x:c r="V377" s="20" t="n">
        <x:v>4.4</x:v>
      </x:c>
      <x:c r="W377" s="20" t="n">
        <x:v>14.3</x:v>
      </x:c>
      <x:c r="X377" s="20" t="n">
        <x:v>3.3</x:v>
      </x:c>
      <x:c r="Y377" t="str">
        <x:v>Basis arsip 2025/2024</x:v>
      </x:c>
      <x:c r="Z377" t="str">
        <x:v>https://snpmb.id/utbk-snbt/daya-tampung-snbt</x:v>
      </x:c>
      <x:c r="AA377" t="str">
        <x:v>Tidak Ada</x:v>
      </x:c>
      <x:c r="AB377" t="str">
        <x:v>Campus=55; Ratio=21.2; Prodi=65; RelDemand=69.4; Capacity=1.7</x:v>
      </x:c>
    </x:row>
    <x:row r="378">
      <x:c r="A378" t="n">
        <x:v>375</x:v>
      </x:c>
      <x:c r="B378" t="str">
        <x:v>PTN Akademik</x:v>
      </x:c>
      <x:c r="C378" t="str">
        <x:v>UNIVERSITAS MARITIM RAJA ALI HAJI</x:v>
      </x:c>
      <x:c r="D378" t="str">
        <x:v>ILMU HUKUM</x:v>
      </x:c>
      <x:c r="E378" t="str">
        <x:v>Sarjana</x:v>
      </x:c>
      <x:c r="F378" s="18" t="n">
        <x:v>100</x:v>
      </x:c>
      <x:c r="G378" s="18" t="n">
        <x:v>142</x:v>
      </x:c>
      <x:c r="H378" s="19" t="n">
        <x:v>1.42</x:v>
      </x:c>
      <x:c r="I378" s="18" t="n">
        <x:f>ROUND(MIN(Model_Config_v3!$B$6,MAX(Q378,R378,S378*Model_Config_v3!$B$4+T378*Model_Config_v3!$B$5)),0)</x:f>
        <x:v>610</x:v>
      </x:c>
      <x:c r="J378" s="18" t="n">
        <x:f>MIN(Model_Config_v3!$B$6,I378+Model_Config_v3!$B$7)</x:f>
        <x:v>630</x:v>
      </x:c>
      <x:c r="K378" s="20" t="n">
        <x:v>40.5</x:v>
      </x:c>
      <x:c r="L378" t="str">
        <x:v>RELATIF LONGGAR</x:v>
      </x:c>
      <x:c r="M378" t="str">
        <x:v>SEDANG+</x:v>
      </x:c>
      <x:c r="N378" t="str">
        <x:v>REGULER</x:v>
      </x:c>
      <x:c r="O378" t="str">
        <x:v>SOSHUM</x:v>
      </x:c>
      <x:c r="P378" t="str">
        <x:v>HUKUM</x:v>
      </x:c>
      <x:c r="Q378" s="18" t="n">
        <x:v>0</x:v>
      </x:c>
      <x:c r="R378" s="18" t="n">
        <x:v>0</x:v>
      </x:c>
      <x:c r="S378" s="18" t="n">
        <x:v>536.7517178821362</x:v>
      </x:c>
      <x:c r="T378" s="18" t="n">
        <x:v>641</x:v>
      </x:c>
      <x:c r="U378" s="18" t="n">
        <x:v>551.7517178821362</x:v>
      </x:c>
      <x:c r="V378" s="20" t="n">
        <x:v>4.4</x:v>
      </x:c>
      <x:c r="W378" s="20" t="n">
        <x:v>14.3</x:v>
      </x:c>
      <x:c r="X378" s="20" t="n">
        <x:v>3.3</x:v>
      </x:c>
      <x:c r="Y378" t="str">
        <x:v>Basis arsip 2025/2024</x:v>
      </x:c>
      <x:c r="Z378" t="str">
        <x:v>https://snpmb.id/utbk-snbt/daya-tampung-snbt</x:v>
      </x:c>
      <x:c r="AA378" t="str">
        <x:v>Tidak Ada</x:v>
      </x:c>
      <x:c r="AB378" t="str">
        <x:v>Campus=55; Ratio=9.0; Prodi=65; RelDemand=43.1; Capacity=16.7</x:v>
      </x:c>
    </x:row>
    <x:row r="379">
      <x:c r="A379" t="n">
        <x:v>376</x:v>
      </x:c>
      <x:c r="B379" t="str">
        <x:v>PTN Akademik</x:v>
      </x:c>
      <x:c r="C379" t="str">
        <x:v>UNIVERSITAS MARITIM RAJA ALI HAJI</x:v>
      </x:c>
      <x:c r="D379" t="str">
        <x:v>ILMU HUBUNGAN INTERNASIONAL</x:v>
      </x:c>
      <x:c r="E379" t="str">
        <x:v>Sarjana</x:v>
      </x:c>
      <x:c r="F379" s="18" t="n">
        <x:v>40</x:v>
      </x:c>
      <x:c r="G379" s="18" t="n">
        <x:v>76</x:v>
      </x:c>
      <x:c r="H379" s="19" t="n">
        <x:v>1.9</x:v>
      </x:c>
      <x:c r="I379" s="18" t="n">
        <x:f>ROUND(MIN(Model_Config_v3!$B$6,MAX(Q379,R379,S379*Model_Config_v3!$B$4+T379*Model_Config_v3!$B$5)),0)</x:f>
        <x:v>619</x:v>
      </x:c>
      <x:c r="J379" s="18" t="n">
        <x:f>MIN(Model_Config_v3!$B$6,I379+Model_Config_v3!$B$7)</x:f>
        <x:v>639</x:v>
      </x:c>
      <x:c r="K379" s="20" t="n">
        <x:v>43.8</x:v>
      </x:c>
      <x:c r="L379" t="str">
        <x:v>RELATIF LONGGAR</x:v>
      </x:c>
      <x:c r="M379" t="str">
        <x:v>SEDANG</x:v>
      </x:c>
      <x:c r="N379" t="str">
        <x:v>REGULER</x:v>
      </x:c>
      <x:c r="O379" t="str">
        <x:v>SOSHUM</x:v>
      </x:c>
      <x:c r="P379" t="str">
        <x:v>UMUM</x:v>
      </x:c>
      <x:c r="Q379" s="18" t="n">
        <x:v>0</x:v>
      </x:c>
      <x:c r="R379" s="18" t="n">
        <x:v>0</x:v>
      </x:c>
      <x:c r="S379" s="18" t="n">
        <x:v>550.6628961048111</x:v>
      </x:c>
      <x:c r="T379" s="18" t="n">
        <x:v>648</x:v>
      </x:c>
      <x:c r="U379" s="18" t="n">
        <x:v>550.6628961048111</x:v>
      </x:c>
      <x:c r="V379" s="20" t="n">
        <x:v>4.4</x:v>
      </x:c>
      <x:c r="W379" s="20" t="n">
        <x:v>14.3</x:v>
      </x:c>
      <x:c r="X379" s="20" t="n">
        <x:v>3.3</x:v>
      </x:c>
      <x:c r="Y379" t="str">
        <x:v>Basis arsip 2025/2024</x:v>
      </x:c>
      <x:c r="Z379" t="str">
        <x:v>https://snpmb.id/utbk-snbt/daya-tampung-snbt</x:v>
      </x:c>
      <x:c r="AA379" t="str">
        <x:v>Tidak Ada</x:v>
      </x:c>
      <x:c r="AB379" t="str">
        <x:v>Campus=55; Ratio=16.4; Prodi=40; RelDemand=57.6; Capacity=66.7</x:v>
      </x:c>
    </x:row>
    <x:row r="380">
      <x:c r="A380" t="n">
        <x:v>377</x:v>
      </x:c>
      <x:c r="B380" t="str">
        <x:v>PTN Akademik</x:v>
      </x:c>
      <x:c r="C380" t="str">
        <x:v>UNIVERSITAS MARITIM RAJA ALI HAJI</x:v>
      </x:c>
      <x:c r="D380" t="str">
        <x:v>KEDOKTERAN</x:v>
      </x:c>
      <x:c r="E380" t="str">
        <x:v>Sarjana</x:v>
      </x:c>
      <x:c r="F380" s="18" t="n">
        <x:v>20</x:v>
      </x:c>
      <x:c r="G380" s="18" t="n">
        <x:v>240</x:v>
      </x:c>
      <x:c r="H380" s="19" t="n">
        <x:v>12</x:v>
      </x:c>
      <x:c r="I380" s="18" t="n">
        <x:f>ROUND(MIN(Model_Config_v3!$B$6,MAX(Q380,R380,S380*Model_Config_v3!$B$4+T380*Model_Config_v3!$B$5)),0)</x:f>
        <x:v>687</x:v>
      </x:c>
      <x:c r="J380" s="18" t="n">
        <x:f>MIN(Model_Config_v3!$B$6,I380+Model_Config_v3!$B$7)</x:f>
        <x:v>707</x:v>
      </x:c>
      <x:c r="K380" s="20" t="n">
        <x:v>73.5</x:v>
      </x:c>
      <x:c r="L380" t="str">
        <x:v>SANGAT KETAT</x:v>
      </x:c>
      <x:c r="M380" t="str">
        <x:v>SEDANG+</x:v>
      </x:c>
      <x:c r="N380" t="str">
        <x:v>REGULER</x:v>
      </x:c>
      <x:c r="O380" t="str">
        <x:v>SAINTEK</x:v>
      </x:c>
      <x:c r="P380" t="str">
        <x:v>KEDOKTERAN</x:v>
      </x:c>
      <x:c r="Q380" s="18" t="n">
        <x:v>0</x:v>
      </x:c>
      <x:c r="R380" s="18" t="n">
        <x:v>680</x:v>
      </x:c>
      <x:c r="S380" s="18" t="n">
        <x:v>638.7099370652387</x:v>
      </x:c>
      <x:c r="T380" s="18" t="n">
        <x:v>707</x:v>
      </x:c>
      <x:c r="U380" s="18" t="n">
        <x:v>680</x:v>
      </x:c>
      <x:c r="V380" s="20" t="n">
        <x:v>12</x:v>
      </x:c>
      <x:c r="W380" s="20" t="n">
        <x:v>5</x:v>
      </x:c>
      <x:c r="X380" s="20" t="n">
        <x:v>3</x:v>
      </x:c>
      <x:c r="Y380" t="str">
        <x:v>Basis arsip 2025/2024</x:v>
      </x:c>
      <x:c r="Z380" t="str">
        <x:v>https://snpmb.id/utbk-snbt/daya-tampung-snbt</x:v>
      </x:c>
      <x:c r="AA380" t="str">
        <x:v>Tidak Ada</x:v>
      </x:c>
      <x:c r="AB380" t="str">
        <x:v>Campus=55; Ratio=63.5; Prodi=100; RelDemand=100.0; Capacity=83.3</x:v>
      </x:c>
    </x:row>
    <x:row r="381">
      <x:c r="A381" t="n">
        <x:v>378</x:v>
      </x:c>
      <x:c r="B381" t="str">
        <x:v>PTN Akademik</x:v>
      </x:c>
      <x:c r="C381" t="str">
        <x:v>UNIVERSITAS MARITIM RAJA ALI HAJI</x:v>
      </x:c>
      <x:c r="D381" t="str">
        <x:v>TEKNIK INDUSTRI</x:v>
      </x:c>
      <x:c r="E381" t="str">
        <x:v>Sarjana</x:v>
      </x:c>
      <x:c r="F381" s="18" t="n">
        <x:v>32</x:v>
      </x:c>
      <x:c r="G381" s="18" t="n">
        <x:v>92</x:v>
      </x:c>
      <x:c r="H381" s="19" t="n">
        <x:v>2.875</x:v>
      </x:c>
      <x:c r="I381" s="18" t="n">
        <x:f>ROUND(MIN(Model_Config_v3!$B$6,MAX(Q381,R381,S381*Model_Config_v3!$B$4+T381*Model_Config_v3!$B$5)),0)</x:f>
        <x:v>639</x:v>
      </x:c>
      <x:c r="J381" s="18" t="n">
        <x:f>MIN(Model_Config_v3!$B$6,I381+Model_Config_v3!$B$7)</x:f>
        <x:v>659</x:v>
      </x:c>
      <x:c r="K381" s="20" t="n">
        <x:v>54.1</x:v>
      </x:c>
      <x:c r="L381" t="str">
        <x:v>MENENGAH</x:v>
      </x:c>
      <x:c r="M381" t="str">
        <x:v>SEDANG+</x:v>
      </x:c>
      <x:c r="N381" t="str">
        <x:v>REGULER</x:v>
      </x:c>
      <x:c r="O381" t="str">
        <x:v>SAINTEK</x:v>
      </x:c>
      <x:c r="P381" t="str">
        <x:v>TEKNIK/ARSITEKTUR/STATISTIKA/AKTUARIA</x:v>
      </x:c>
      <x:c r="Q381" s="18" t="n">
        <x:v>0</x:v>
      </x:c>
      <x:c r="R381" s="18" t="n">
        <x:v>0</x:v>
      </x:c>
      <x:c r="S381" s="18" t="n">
        <x:v>570.4501633928214</x:v>
      </x:c>
      <x:c r="T381" s="18" t="n">
        <x:v>668</x:v>
      </x:c>
      <x:c r="U381" s="18" t="n">
        <x:v>580.4501633928214</x:v>
      </x:c>
      <x:c r="V381" s="20" t="n">
        <x:v>12</x:v>
      </x:c>
      <x:c r="W381" s="20" t="n">
        <x:v>5</x:v>
      </x:c>
      <x:c r="X381" s="20" t="n">
        <x:v>3</x:v>
      </x:c>
      <x:c r="Y381" t="str">
        <x:v>Basis arsip 2025/2024</x:v>
      </x:c>
      <x:c r="Z381" t="str">
        <x:v>https://snpmb.id/utbk-snbt/daya-tampung-snbt</x:v>
      </x:c>
      <x:c r="AA381" t="str">
        <x:v>Tidak Ada</x:v>
      </x:c>
      <x:c r="AB381" t="str">
        <x:v>Campus=55; Ratio=27.0; Prodi=60; RelDemand=87.2; Capacity=73.3</x:v>
      </x:c>
    </x:row>
    <x:row r="382">
      <x:c r="A382" t="n">
        <x:v>379</x:v>
      </x:c>
      <x:c r="B382" t="str">
        <x:v>PTN Akademik</x:v>
      </x:c>
      <x:c r="C382" t="str">
        <x:v>UNIVERSITAS MARITIM RAJA ALI HAJI</x:v>
      </x:c>
      <x:c r="D382" t="str">
        <x:v>KIMIA</x:v>
      </x:c>
      <x:c r="E382" t="str">
        <x:v>Sarjana</x:v>
      </x:c>
      <x:c r="F382" s="18" t="n">
        <x:v>32</x:v>
      </x:c>
      <x:c r="G382" s="18" t="n">
        <x:v>9</x:v>
      </x:c>
      <x:c r="H382" s="19" t="n">
        <x:v>0.28125</x:v>
      </x:c>
      <x:c r="I382" s="18" t="n">
        <x:f>ROUND(MIN(Model_Config_v3!$B$6,MAX(Q382,R382,S382*Model_Config_v3!$B$4+T382*Model_Config_v3!$B$5)),0)</x:f>
        <x:v>601</x:v>
      </x:c>
      <x:c r="J382" s="18" t="n">
        <x:f>MIN(Model_Config_v3!$B$6,I382+Model_Config_v3!$B$7)</x:f>
        <x:v>621</x:v>
      </x:c>
      <x:c r="K382" s="20" t="n">
        <x:v>37.4</x:v>
      </x:c>
      <x:c r="L382" t="str">
        <x:v>RELATIF LONGGAR</x:v>
      </x:c>
      <x:c r="M382" t="str">
        <x:v>SEDANG+</x:v>
      </x:c>
      <x:c r="N382" t="str">
        <x:v>REGULER</x:v>
      </x:c>
      <x:c r="O382" t="str">
        <x:v>SAINTEK</x:v>
      </x:c>
      <x:c r="P382" t="str">
        <x:v>SAINS DASAR</x:v>
      </x:c>
      <x:c r="Q382" s="18" t="n">
        <x:v>0</x:v>
      </x:c>
      <x:c r="R382" s="18" t="n">
        <x:v>0</x:v>
      </x:c>
      <x:c r="S382" s="18" t="n">
        <x:v>520</x:v>
      </x:c>
      <x:c r="T382" s="18" t="n">
        <x:v>635</x:v>
      </x:c>
      <x:c r="U382" s="18" t="n">
        <x:v>520</x:v>
      </x:c>
      <x:c r="V382" s="20" t="n">
        <x:v>12</x:v>
      </x:c>
      <x:c r="W382" s="20" t="n">
        <x:v>5</x:v>
      </x:c>
      <x:c r="X382" s="20" t="n">
        <x:v>3</x:v>
      </x:c>
      <x:c r="Y382" t="str">
        <x:v>Basis arsip 2025/2024</x:v>
      </x:c>
      <x:c r="Z382" t="str">
        <x:v>https://snpmb.id/utbk-snbt/daya-tampung-snbt</x:v>
      </x:c>
      <x:c r="AA382" t="str">
        <x:v>Tidak Ada</x:v>
      </x:c>
      <x:c r="AB382" t="str">
        <x:v>Campus=55; Ratio=0.0; Prodi=50; RelDemand=8.5; Capacity=73.3</x:v>
      </x:c>
    </x:row>
    <x:row r="383">
      <x:c r="A383" t="n">
        <x:v>380</x:v>
      </x:c>
      <x:c r="B383" t="str">
        <x:v>PTN Akademik</x:v>
      </x:c>
      <x:c r="C383" t="str">
        <x:v>UNIVERSITAS MARITIM RAJA ALI HAJI</x:v>
      </x:c>
      <x:c r="D383" t="str">
        <x:v>BISNIS DIGITAL</x:v>
      </x:c>
      <x:c r="E383" t="str">
        <x:v>Sarjana</x:v>
      </x:c>
      <x:c r="F383" s="18" t="n">
        <x:v>60</x:v>
      </x:c>
      <x:c r="G383" s="18" t="n">
        <x:v>63</x:v>
      </x:c>
      <x:c r="H383" s="19" t="n">
        <x:v>1.05</x:v>
      </x:c>
      <x:c r="I383" s="18" t="n">
        <x:f>ROUND(MIN(Model_Config_v3!$B$6,MAX(Q383,R383,S383*Model_Config_v3!$B$4+T383*Model_Config_v3!$B$5)),0)</x:f>
        <x:v>605</x:v>
      </x:c>
      <x:c r="J383" s="18" t="n">
        <x:f>MIN(Model_Config_v3!$B$6,I383+Model_Config_v3!$B$7)</x:f>
        <x:v>625</x:v>
      </x:c>
      <x:c r="K383" s="20" t="n">
        <x:v>40.7</x:v>
      </x:c>
      <x:c r="L383" t="str">
        <x:v>RELATIF LONGGAR</x:v>
      </x:c>
      <x:c r="M383" t="str">
        <x:v>SEDANG+</x:v>
      </x:c>
      <x:c r="N383" t="str">
        <x:v>REGULER</x:v>
      </x:c>
      <x:c r="O383" t="str">
        <x:v>SOSHUM</x:v>
      </x:c>
      <x:c r="P383" t="str">
        <x:v>BISNIS/EKONOMI/AKUNTANSI</x:v>
      </x:c>
      <x:c r="Q383" s="18" t="n">
        <x:v>0</x:v>
      </x:c>
      <x:c r="R383" s="18" t="n">
        <x:v>0</x:v>
      </x:c>
      <x:c r="S383" s="18" t="n">
        <x:v>522.3308228976932</x:v>
      </x:c>
      <x:c r="T383" s="18" t="n">
        <x:v>641</x:v>
      </x:c>
      <x:c r="U383" s="18" t="n">
        <x:v>537.3308228976932</x:v>
      </x:c>
      <x:c r="V383" s="20" t="n">
        <x:v>4.4</x:v>
      </x:c>
      <x:c r="W383" s="20" t="n">
        <x:v>14.3</x:v>
      </x:c>
      <x:c r="X383" s="20" t="n">
        <x:v>3.3</x:v>
      </x:c>
      <x:c r="Y383" t="str">
        <x:v>Basis arsip 2025/2024</x:v>
      </x:c>
      <x:c r="Z383" t="str">
        <x:v>https://snpmb.id/utbk-snbt/daya-tampung-snbt</x:v>
      </x:c>
      <x:c r="AA383" t="str">
        <x:v>Tidak Ada</x:v>
      </x:c>
      <x:c r="AB383" t="str">
        <x:v>Campus=55; Ratio=1.2; Prodi=65; RelDemand=31.8; Capacity=50.0</x:v>
      </x:c>
    </x:row>
    <x:row r="384">
      <x:c r="A384" t="n">
        <x:v>381</x:v>
      </x:c>
      <x:c r="B384" t="str">
        <x:v>PTN Akademik</x:v>
      </x:c>
      <x:c r="C384" t="str">
        <x:v>UNIVERSITAS MARITIM RAJA ALI HAJI</x:v>
      </x:c>
      <x:c r="D384" t="str">
        <x:v>KEWIRAUSAHAAN</x:v>
      </x:c>
      <x:c r="E384" t="str">
        <x:v>Sarjana</x:v>
      </x:c>
      <x:c r="F384" s="18" t="n">
        <x:v>20</x:v>
      </x:c>
      <x:c r="G384" s="18" t="n">
        <x:v>29</x:v>
      </x:c>
      <x:c r="H384" s="19" t="n">
        <x:v>1.45</x:v>
      </x:c>
      <x:c r="I384" s="18" t="n">
        <x:f>ROUND(MIN(Model_Config_v3!$B$6,MAX(Q384,R384,S384*Model_Config_v3!$B$4+T384*Model_Config_v3!$B$5)),0)</x:f>
        <x:v>613</x:v>
      </x:c>
      <x:c r="J384" s="18" t="n">
        <x:f>MIN(Model_Config_v3!$B$6,I384+Model_Config_v3!$B$7)</x:f>
        <x:v>633</x:v>
      </x:c>
      <x:c r="K384" s="20" t="n">
        <x:v>42.4</x:v>
      </x:c>
      <x:c r="L384" t="str">
        <x:v>RELATIF LONGGAR</x:v>
      </x:c>
      <x:c r="M384" t="str">
        <x:v>SEDANG</x:v>
      </x:c>
      <x:c r="N384" t="str">
        <x:v>REGULER</x:v>
      </x:c>
      <x:c r="O384" t="str">
        <x:v>CAMPURAN</x:v>
      </x:c>
      <x:c r="P384" t="str">
        <x:v>UMUM</x:v>
      </x:c>
      <x:c r="Q384" s="18" t="n">
        <x:v>0</x:v>
      </x:c>
      <x:c r="R384" s="18" t="n">
        <x:v>0</x:v>
      </x:c>
      <x:c r="S384" s="18" t="n">
        <x:v>537.7504802458473</x:v>
      </x:c>
      <x:c r="T384" s="18" t="n">
        <x:v>645</x:v>
      </x:c>
      <x:c r="U384" s="18" t="n">
        <x:v>537.7504802458473</x:v>
      </x:c>
      <x:c r="V384" s="20" t="n">
        <x:v>8.8</x:v>
      </x:c>
      <x:c r="W384" s="20" t="n">
        <x:v>9.9</x:v>
      </x:c>
      <x:c r="X384" s="20" t="n">
        <x:v>3.3</x:v>
      </x:c>
      <x:c r="Y384" t="str">
        <x:v>Basis arsip 2025/2024</x:v>
      </x:c>
      <x:c r="Z384" t="str">
        <x:v>https://snpmb.id/utbk-snbt/daya-tampung-snbt</x:v>
      </x:c>
      <x:c r="AA384" t="str">
        <x:v>Tidak Ada</x:v>
      </x:c>
      <x:c r="AB384" t="str">
        <x:v>Campus=55; Ratio=9.5; Prodi=40; RelDemand=44.0; Capacity=83.3</x:v>
      </x:c>
    </x:row>
    <x:row r="385">
      <x:c r="A385" t="n">
        <x:v>382</x:v>
      </x:c>
      <x:c r="B385" t="str">
        <x:v>PTN Akademik</x:v>
      </x:c>
      <x:c r="C385" t="str">
        <x:v>UNIVERSITAS MARITIM RAJA ALI HAJI</x:v>
      </x:c>
      <x:c r="D385" t="str">
        <x:v>KAJIAN FILM, TELEVISI, DAN MEDIA</x:v>
      </x:c>
      <x:c r="E385" t="str">
        <x:v>Sarjana</x:v>
      </x:c>
      <x:c r="F385" s="18" t="n">
        <x:v>40</x:v>
      </x:c>
      <x:c r="G385" s="18" t="n">
        <x:v>24</x:v>
      </x:c>
      <x:c r="H385" s="19" t="n">
        <x:v>0.6</x:v>
      </x:c>
      <x:c r="I385" s="18" t="n">
        <x:f>ROUND(MIN(Model_Config_v3!$B$6,MAX(Q385,R385,S385*Model_Config_v3!$B$4+T385*Model_Config_v3!$B$5)),0)</x:f>
        <x:v>598</x:v>
      </x:c>
      <x:c r="J385" s="18" t="n">
        <x:f>MIN(Model_Config_v3!$B$6,I385+Model_Config_v3!$B$7)</x:f>
        <x:v>618</x:v>
      </x:c>
      <x:c r="K385" s="20" t="n">
        <x:v>35.7</x:v>
      </x:c>
      <x:c r="L385" t="str">
        <x:v>RELATIF LONGGAR</x:v>
      </x:c>
      <x:c r="M385" t="str">
        <x:v>SEDANG</x:v>
      </x:c>
      <x:c r="N385" t="str">
        <x:v>REGULER</x:v>
      </x:c>
      <x:c r="O385" t="str">
        <x:v>CAMPURAN</x:v>
      </x:c>
      <x:c r="P385" t="str">
        <x:v>UMUM</x:v>
      </x:c>
      <x:c r="Q385" s="18" t="n">
        <x:v>0</x:v>
      </x:c>
      <x:c r="R385" s="18" t="n">
        <x:v>0</x:v>
      </x:c>
      <x:c r="S385" s="18" t="n">
        <x:v>520</x:v>
      </x:c>
      <x:c r="T385" s="18" t="n">
        <x:v>631</x:v>
      </x:c>
      <x:c r="U385" s="18" t="n">
        <x:v>520</x:v>
      </x:c>
      <x:c r="V385" s="20" t="n">
        <x:v>8.8</x:v>
      </x:c>
      <x:c r="W385" s="20" t="n">
        <x:v>9.9</x:v>
      </x:c>
      <x:c r="X385" s="20" t="n">
        <x:v>3.3</x:v>
      </x:c>
      <x:c r="Y385" t="str">
        <x:v>Basis arsip 2025/2024</x:v>
      </x:c>
      <x:c r="Z385" t="str">
        <x:v>https://snpmb.id/utbk-snbt/daya-tampung-snbt</x:v>
      </x:c>
      <x:c r="AA385" t="str">
        <x:v>Tidak Ada</x:v>
      </x:c>
      <x:c r="AB385" t="str">
        <x:v>Campus=55; Ratio=0.0; Prodi=40; RelDemand=18.2; Capacity=66.7</x:v>
      </x:c>
    </x:row>
    <x:row r="386">
      <x:c r="A386" t="n">
        <x:v>383</x:v>
      </x:c>
      <x:c r="B386" t="str">
        <x:v>PTN Akademik</x:v>
      </x:c>
      <x:c r="C386" t="str">
        <x:v>UNIVERSITAS ANDALAS</x:v>
      </x:c>
      <x:c r="D386" t="str">
        <x:v>AGRIBISNIS</x:v>
      </x:c>
      <x:c r="E386" t="str">
        <x:v>Sarjana</x:v>
      </x:c>
      <x:c r="F386" s="18" t="n">
        <x:v>75</x:v>
      </x:c>
      <x:c r="G386" s="18" t="n">
        <x:v>584</x:v>
      </x:c>
      <x:c r="H386" s="19" t="n">
        <x:v>7.786666666666667</x:v>
      </x:c>
      <x:c r="I386" s="18" t="n">
        <x:f>ROUND(MIN(Model_Config_v3!$B$6,MAX(Q386,R386,S386*Model_Config_v3!$B$4+T386*Model_Config_v3!$B$5)),0)</x:f>
        <x:v>663</x:v>
      </x:c>
      <x:c r="J386" s="18" t="n">
        <x:f>MIN(Model_Config_v3!$B$6,I386+Model_Config_v3!$B$7)</x:f>
        <x:v>683</x:v>
      </x:c>
      <x:c r="K386" s="20" t="n">
        <x:v>60.8</x:v>
      </x:c>
      <x:c r="L386" t="str">
        <x:v>KETAT</x:v>
      </x:c>
      <x:c r="M386" t="str">
        <x:v>SEDANG+</x:v>
      </x:c>
      <x:c r="N386" t="str">
        <x:v>ELITE-3</x:v>
      </x:c>
      <x:c r="O386" t="str">
        <x:v>SOSHUM</x:v>
      </x:c>
      <x:c r="P386" t="str">
        <x:v>BISNIS/EKONOMI/AKUNTANSI</x:v>
      </x:c>
      <x:c r="Q386" s="18" t="n">
        <x:v>635</x:v>
      </x:c>
      <x:c r="R386" s="18" t="n">
        <x:v>0</x:v>
      </x:c>
      <x:c r="S386" s="18" t="n">
        <x:v>618.0486742092769</x:v>
      </x:c>
      <x:c r="T386" s="18" t="n">
        <x:v>682</x:v>
      </x:c>
      <x:c r="U386" s="18" t="n">
        <x:v>635</x:v>
      </x:c>
      <x:c r="V386" s="20" t="n">
        <x:v>4.4</x:v>
      </x:c>
      <x:c r="W386" s="20" t="n">
        <x:v>14.3</x:v>
      </x:c>
      <x:c r="X386" s="20" t="n">
        <x:v>3.3</x:v>
      </x:c>
      <x:c r="Y386" t="str">
        <x:v>Basis arsip 2025/2024</x:v>
      </x:c>
      <x:c r="Z386" t="str">
        <x:v>https://snpmb.id/utbk-snbt/daya-tampung-snbt</x:v>
      </x:c>
      <x:c r="AA386" t="str">
        <x:v>Tidak Ada</x:v>
      </x:c>
      <x:c r="AB386" t="str">
        <x:v>Campus=80; Ratio=52.5; Prodi=65; RelDemand=28.9; Capacity=37.5</x:v>
      </x:c>
    </x:row>
    <x:row r="387">
      <x:c r="A387" t="n">
        <x:v>384</x:v>
      </x:c>
      <x:c r="B387" t="str">
        <x:v>PTN Akademik</x:v>
      </x:c>
      <x:c r="C387" t="str">
        <x:v>UNIVERSITAS ANDALAS</x:v>
      </x:c>
      <x:c r="D387" t="str">
        <x:v>AGROTEKNOLOGI</x:v>
      </x:c>
      <x:c r="E387" t="str">
        <x:v>Sarjana</x:v>
      </x:c>
      <x:c r="F387" s="18" t="n">
        <x:v>100</x:v>
      </x:c>
      <x:c r="G387" s="18" t="n">
        <x:v>390</x:v>
      </x:c>
      <x:c r="H387" s="19" t="n">
        <x:v>3.9</x:v>
      </x:c>
      <x:c r="I387" s="18" t="n">
        <x:f>ROUND(MIN(Model_Config_v3!$B$6,MAX(Q387,R387,S387*Model_Config_v3!$B$4+T387*Model_Config_v3!$B$5)),0)</x:f>
        <x:v>635</x:v>
      </x:c>
      <x:c r="J387" s="18" t="n">
        <x:f>MIN(Model_Config_v3!$B$6,I387+Model_Config_v3!$B$7)</x:f>
        <x:v>655</x:v>
      </x:c>
      <x:c r="K387" s="20" t="n">
        <x:v>47.8</x:v>
      </x:c>
      <x:c r="L387" t="str">
        <x:v>MENENGAH</x:v>
      </x:c>
      <x:c r="M387" t="str">
        <x:v>SEDANG+</x:v>
      </x:c>
      <x:c r="N387" t="str">
        <x:v>ELITE-3</x:v>
      </x:c>
      <x:c r="O387" t="str">
        <x:v>SAINTEK</x:v>
      </x:c>
      <x:c r="P387" t="str">
        <x:v>UMUM</x:v>
      </x:c>
      <x:c r="Q387" s="18" t="n">
        <x:v>635</x:v>
      </x:c>
      <x:c r="R387" s="18" t="n">
        <x:v>0</x:v>
      </x:c>
      <x:c r="S387" s="18" t="n">
        <x:v>585.0171067729149</x:v>
      </x:c>
      <x:c r="T387" s="18" t="n">
        <x:v>656</x:v>
      </x:c>
      <x:c r="U387" s="18" t="n">
        <x:v>635</x:v>
      </x:c>
      <x:c r="V387" s="20" t="n">
        <x:v>12</x:v>
      </x:c>
      <x:c r="W387" s="20" t="n">
        <x:v>5</x:v>
      </x:c>
      <x:c r="X387" s="20" t="n">
        <x:v>3</x:v>
      </x:c>
      <x:c r="Y387" t="str">
        <x:v>Basis arsip 2025/2024</x:v>
      </x:c>
      <x:c r="Z387" t="str">
        <x:v>https://snpmb.id/utbk-snbt/daya-tampung-snbt</x:v>
      </x:c>
      <x:c r="AA387" t="str">
        <x:v>Tidak Ada</x:v>
      </x:c>
      <x:c r="AB387" t="str">
        <x:v>Campus=80; Ratio=34.8; Prodi=40; RelDemand=14.5; Capacity=16.7</x:v>
      </x:c>
    </x:row>
    <x:row r="388">
      <x:c r="A388" t="n">
        <x:v>385</x:v>
      </x:c>
      <x:c r="B388" t="str">
        <x:v>PTN Akademik</x:v>
      </x:c>
      <x:c r="C388" t="str">
        <x:v>UNIVERSITAS ANDALAS</x:v>
      </x:c>
      <x:c r="D388" t="str">
        <x:v>KEDOKTERAN</x:v>
      </x:c>
      <x:c r="E388" t="str">
        <x:v>Sarjana</x:v>
      </x:c>
      <x:c r="F388" s="18" t="n">
        <x:v>88</x:v>
      </x:c>
      <x:c r="G388" s="18" t="n">
        <x:v>2164</x:v>
      </x:c>
      <x:c r="H388" s="19" t="n">
        <x:v>24.59090909090909</x:v>
      </x:c>
      <x:c r="I388" s="18" t="n">
        <x:f>ROUND(MIN(Model_Config_v3!$B$6,MAX(Q388,R388,S388*Model_Config_v3!$B$4+T388*Model_Config_v3!$B$5)),0)</x:f>
        <x:v>707</x:v>
      </x:c>
      <x:c r="J388" s="18" t="n">
        <x:f>MIN(Model_Config_v3!$B$6,I388+Model_Config_v3!$B$7)</x:f>
        <x:v>727</x:v>
      </x:c>
      <x:c r="K388" s="20" t="n">
        <x:v>80.3</x:v>
      </x:c>
      <x:c r="L388" t="str">
        <x:v>ELITE</x:v>
      </x:c>
      <x:c r="M388" t="str">
        <x:v>SEDANG+</x:v>
      </x:c>
      <x:c r="N388" t="str">
        <x:v>ELITE-3</x:v>
      </x:c>
      <x:c r="O388" t="str">
        <x:v>SAINTEK</x:v>
      </x:c>
      <x:c r="P388" t="str">
        <x:v>KEDOKTERAN</x:v>
      </x:c>
      <x:c r="Q388" s="18" t="n">
        <x:v>635</x:v>
      </x:c>
      <x:c r="R388" s="18" t="n">
        <x:v>700</x:v>
      </x:c>
      <x:c r="S388" s="18" t="n">
        <x:v>672.9852042712799</x:v>
      </x:c>
      <x:c r="T388" s="18" t="n">
        <x:v>721</x:v>
      </x:c>
      <x:c r="U388" s="18" t="n">
        <x:v>712.9852042712799</x:v>
      </x:c>
      <x:c r="V388" s="20" t="n">
        <x:v>12</x:v>
      </x:c>
      <x:c r="W388" s="20" t="n">
        <x:v>5</x:v>
      </x:c>
      <x:c r="X388" s="20" t="n">
        <x:v>3</x:v>
      </x:c>
      <x:c r="Y388" t="str">
        <x:v>Basis arsip 2025/2024</x:v>
      </x:c>
      <x:c r="Z388" t="str">
        <x:v>https://snpmb.id/utbk-snbt/daya-tampung-snbt</x:v>
      </x:c>
      <x:c r="AA388" t="str">
        <x:v>Tidak Ada</x:v>
      </x:c>
      <x:c r="AB388" t="str">
        <x:v>Campus=80; Ratio=81.9; Prodi=100; RelDemand=91.3; Capacity=26.7</x:v>
      </x:c>
    </x:row>
    <x:row r="389">
      <x:c r="A389" t="n">
        <x:v>386</x:v>
      </x:c>
      <x:c r="B389" t="str">
        <x:v>PTN Akademik</x:v>
      </x:c>
      <x:c r="C389" t="str">
        <x:v>UNIVERSITAS ANDALAS</x:v>
      </x:c>
      <x:c r="D389" t="str">
        <x:v>KEPERAWATAN</x:v>
      </x:c>
      <x:c r="E389" t="str">
        <x:v>Sarjana</x:v>
      </x:c>
      <x:c r="F389" s="18" t="n">
        <x:v>63</x:v>
      </x:c>
      <x:c r="G389" s="18" t="n">
        <x:v>1248</x:v>
      </x:c>
      <x:c r="H389" s="19" t="n">
        <x:v>19.80952380952381</x:v>
      </x:c>
      <x:c r="I389" s="18" t="n">
        <x:f>ROUND(MIN(Model_Config_v3!$B$6,MAX(Q389,R389,S389*Model_Config_v3!$B$4+T389*Model_Config_v3!$B$5)),0)</x:f>
        <x:v>689</x:v>
      </x:c>
      <x:c r="J389" s="18" t="n">
        <x:f>MIN(Model_Config_v3!$B$6,I389+Model_Config_v3!$B$7)</x:f>
        <x:v>709</x:v>
      </x:c>
      <x:c r="K389" s="20" t="n">
        <x:v>70.2</x:v>
      </x:c>
      <x:c r="L389" t="str">
        <x:v>SANGAT KETAT</x:v>
      </x:c>
      <x:c r="M389" t="str">
        <x:v>SEDANG+</x:v>
      </x:c>
      <x:c r="N389" t="str">
        <x:v>ELITE-3</x:v>
      </x:c>
      <x:c r="O389" t="str">
        <x:v>SAINTEK</x:v>
      </x:c>
      <x:c r="P389" t="str">
        <x:v>KESEHAT/GIZI/KEPERAWATAN</x:v>
      </x:c>
      <x:c r="Q389" s="18" t="n">
        <x:v>635</x:v>
      </x:c>
      <x:c r="R389" s="18" t="n">
        <x:v>0</x:v>
      </x:c>
      <x:c r="S389" s="18" t="n">
        <x:v>662.6561439482106</x:v>
      </x:c>
      <x:c r="T389" s="18" t="n">
        <x:v>700</x:v>
      </x:c>
      <x:c r="U389" s="18" t="n">
        <x:v>662.6561439482106</x:v>
      </x:c>
      <x:c r="V389" s="20" t="n">
        <x:v>12</x:v>
      </x:c>
      <x:c r="W389" s="20" t="n">
        <x:v>5</x:v>
      </x:c>
      <x:c r="X389" s="20" t="n">
        <x:v>3</x:v>
      </x:c>
      <x:c r="Y389" t="str">
        <x:v>Basis arsip 2025/2024</x:v>
      </x:c>
      <x:c r="Z389" t="str">
        <x:v>https://snpmb.id/utbk-snbt/daya-tampung-snbt</x:v>
      </x:c>
      <x:c r="AA389" t="str">
        <x:v>Tidak Ada</x:v>
      </x:c>
      <x:c r="AB389" t="str">
        <x:v>Campus=80; Ratio=76.3; Prodi=55; RelDemand=73.6; Capacity=47.5</x:v>
      </x:c>
    </x:row>
    <x:row r="390">
      <x:c r="A390" t="n">
        <x:v>387</x:v>
      </x:c>
      <x:c r="B390" t="str">
        <x:v>PTN Akademik</x:v>
      </x:c>
      <x:c r="C390" t="str">
        <x:v>UNIVERSITAS ANDALAS</x:v>
      </x:c>
      <x:c r="D390" t="str">
        <x:v>KESEHATAN MASYARAKAT</x:v>
      </x:c>
      <x:c r="E390" t="str">
        <x:v>Sarjana</x:v>
      </x:c>
      <x:c r="F390" s="18" t="n">
        <x:v>70</x:v>
      </x:c>
      <x:c r="G390" s="18" t="n">
        <x:v>1493</x:v>
      </x:c>
      <x:c r="H390" s="19" t="n">
        <x:v>21.32857142857143</x:v>
      </x:c>
      <x:c r="I390" s="18" t="n">
        <x:f>ROUND(MIN(Model_Config_v3!$B$6,MAX(Q390,R390,S390*Model_Config_v3!$B$4+T390*Model_Config_v3!$B$5)),0)</x:f>
        <x:v>691</x:v>
      </x:c>
      <x:c r="J390" s="18" t="n">
        <x:f>MIN(Model_Config_v3!$B$6,I390+Model_Config_v3!$B$7)</x:f>
        <x:v>711</x:v>
      </x:c>
      <x:c r="K390" s="20" t="n">
        <x:v>70.6</x:v>
      </x:c>
      <x:c r="L390" t="str">
        <x:v>SANGAT KETAT</x:v>
      </x:c>
      <x:c r="M390" t="str">
        <x:v>SEDANG+</x:v>
      </x:c>
      <x:c r="N390" t="str">
        <x:v>ELITE-3</x:v>
      </x:c>
      <x:c r="O390" t="str">
        <x:v>SAINTEK</x:v>
      </x:c>
      <x:c r="P390" t="str">
        <x:v>KESEHAT/GIZI/KEPERAWATAN</x:v>
      </x:c>
      <x:c r="Q390" s="18" t="n">
        <x:v>635</x:v>
      </x:c>
      <x:c r="R390" s="18" t="n">
        <x:v>0</x:v>
      </x:c>
      <x:c r="S390" s="18" t="n">
        <x:v>666.1857944481845</x:v>
      </x:c>
      <x:c r="T390" s="18" t="n">
        <x:v>701</x:v>
      </x:c>
      <x:c r="U390" s="18" t="n">
        <x:v>666.1857944481845</x:v>
      </x:c>
      <x:c r="V390" s="20" t="n">
        <x:v>12</x:v>
      </x:c>
      <x:c r="W390" s="20" t="n">
        <x:v>5</x:v>
      </x:c>
      <x:c r="X390" s="20" t="n">
        <x:v>3</x:v>
      </x:c>
      <x:c r="Y390" t="str">
        <x:v>Basis arsip 2025/2024</x:v>
      </x:c>
      <x:c r="Z390" t="str">
        <x:v>https://snpmb.id/utbk-snbt/daya-tampung-snbt</x:v>
      </x:c>
      <x:c r="AA390" t="str">
        <x:v>Tidak Ada</x:v>
      </x:c>
      <x:c r="AB390" t="str">
        <x:v>Campus=80; Ratio=78.2; Prodi=55; RelDemand=79.2; Capacity=41.7</x:v>
      </x:c>
    </x:row>
    <x:row r="391">
      <x:c r="A391" t="n">
        <x:v>388</x:v>
      </x:c>
      <x:c r="B391" t="str">
        <x:v>PTN Akademik</x:v>
      </x:c>
      <x:c r="C391" t="str">
        <x:v>UNIVERSITAS ANDALAS</x:v>
      </x:c>
      <x:c r="D391" t="str">
        <x:v>KEDOKTERAN GIGI</x:v>
      </x:c>
      <x:c r="E391" t="str">
        <x:v>Sarjana</x:v>
      </x:c>
      <x:c r="F391" s="18" t="n">
        <x:v>35</x:v>
      </x:c>
      <x:c r="G391" s="18" t="n">
        <x:v>929</x:v>
      </x:c>
      <x:c r="H391" s="19" t="n">
        <x:v>26.542857142857144</x:v>
      </x:c>
      <x:c r="I391" s="18" t="n">
        <x:f>ROUND(MIN(Model_Config_v3!$B$6,MAX(Q391,R391,S391*Model_Config_v3!$B$4+T391*Model_Config_v3!$B$5)),0)</x:f>
        <x:v>713</x:v>
      </x:c>
      <x:c r="J391" s="18" t="n">
        <x:f>MIN(Model_Config_v3!$B$6,I391+Model_Config_v3!$B$7)</x:f>
        <x:v>733</x:v>
      </x:c>
      <x:c r="K391" s="20" t="n">
        <x:v>83.9</x:v>
      </x:c>
      <x:c r="L391" t="str">
        <x:v>ELITE</x:v>
      </x:c>
      <x:c r="M391" t="str">
        <x:v>SEDANG+</x:v>
      </x:c>
      <x:c r="N391" t="str">
        <x:v>ELITE-3</x:v>
      </x:c>
      <x:c r="O391" t="str">
        <x:v>SAINTEK</x:v>
      </x:c>
      <x:c r="P391" t="str">
        <x:v>KEDOKTERAN GIGI</x:v>
      </x:c>
      <x:c r="Q391" s="18" t="n">
        <x:v>635</x:v>
      </x:c>
      <x:c r="R391" s="18" t="n">
        <x:v>680</x:v>
      </x:c>
      <x:c r="S391" s="18" t="n">
        <x:v>676.6342436607703</x:v>
      </x:c>
      <x:c r="T391" s="18" t="n">
        <x:v>728</x:v>
      </x:c>
      <x:c r="U391" s="18" t="n">
        <x:v>706.6342436607703</x:v>
      </x:c>
      <x:c r="V391" s="20" t="n">
        <x:v>12</x:v>
      </x:c>
      <x:c r="W391" s="20" t="n">
        <x:v>5</x:v>
      </x:c>
      <x:c r="X391" s="20" t="n">
        <x:v>3</x:v>
      </x:c>
      <x:c r="Y391" t="str">
        <x:v>Basis arsip 2025/2024</x:v>
      </x:c>
      <x:c r="Z391" t="str">
        <x:v>https://snpmb.id/utbk-snbt/daya-tampung-snbt</x:v>
      </x:c>
      <x:c r="AA391" t="str">
        <x:v>Tidak Ada</x:v>
      </x:c>
      <x:c r="AB391" t="str">
        <x:v>Campus=80; Ratio=83.8; Prodi=90; RelDemand=98.6; Capacity=70.8</x:v>
      </x:c>
    </x:row>
    <x:row r="392">
      <x:c r="A392" t="n">
        <x:v>389</x:v>
      </x:c>
      <x:c r="B392" t="str">
        <x:v>PTN Akademik</x:v>
      </x:c>
      <x:c r="C392" t="str">
        <x:v>UNIVERSITAS ANDALAS</x:v>
      </x:c>
      <x:c r="D392" t="str">
        <x:v>KIMIA</x:v>
      </x:c>
      <x:c r="E392" t="str">
        <x:v>Sarjana</x:v>
      </x:c>
      <x:c r="F392" s="18" t="n">
        <x:v>50</x:v>
      </x:c>
      <x:c r="G392" s="18" t="n">
        <x:v>191</x:v>
      </x:c>
      <x:c r="H392" s="19" t="n">
        <x:v>3.82</x:v>
      </x:c>
      <x:c r="I392" s="18" t="n">
        <x:f>ROUND(MIN(Model_Config_v3!$B$6,MAX(Q392,R392,S392*Model_Config_v3!$B$4+T392*Model_Config_v3!$B$5)),0)</x:f>
        <x:v>643</x:v>
      </x:c>
      <x:c r="J392" s="18" t="n">
        <x:f>MIN(Model_Config_v3!$B$6,I392+Model_Config_v3!$B$7)</x:f>
        <x:v>663</x:v>
      </x:c>
      <x:c r="K392" s="20" t="n">
        <x:v>53.8</x:v>
      </x:c>
      <x:c r="L392" t="str">
        <x:v>MENENGAH</x:v>
      </x:c>
      <x:c r="M392" t="str">
        <x:v>SEDANG+</x:v>
      </x:c>
      <x:c r="N392" t="str">
        <x:v>ELITE-3</x:v>
      </x:c>
      <x:c r="O392" t="str">
        <x:v>SAINTEK</x:v>
      </x:c>
      <x:c r="P392" t="str">
        <x:v>SAINS DASAR</x:v>
      </x:c>
      <x:c r="Q392" s="18" t="n">
        <x:v>635</x:v>
      </x:c>
      <x:c r="R392" s="18" t="n">
        <x:v>0</x:v>
      </x:c>
      <x:c r="S392" s="18" t="n">
        <x:v>584.0269699202879</x:v>
      </x:c>
      <x:c r="T392" s="18" t="n">
        <x:v>668</x:v>
      </x:c>
      <x:c r="U392" s="18" t="n">
        <x:v>635</x:v>
      </x:c>
      <x:c r="V392" s="20" t="n">
        <x:v>12</x:v>
      </x:c>
      <x:c r="W392" s="20" t="n">
        <x:v>5</x:v>
      </x:c>
      <x:c r="X392" s="20" t="n">
        <x:v>3</x:v>
      </x:c>
      <x:c r="Y392" t="str">
        <x:v>Basis arsip 2025/2024</x:v>
      </x:c>
      <x:c r="Z392" t="str">
        <x:v>https://snpmb.id/utbk-snbt/daya-tampung-snbt</x:v>
      </x:c>
      <x:c r="AA392" t="str">
        <x:v>Tidak Ada</x:v>
      </x:c>
      <x:c r="AB392" t="str">
        <x:v>Campus=80; Ratio=34.3; Prodi=50; RelDemand=14.2; Capacity=58.3</x:v>
      </x:c>
    </x:row>
    <x:row r="393">
      <x:c r="A393" t="n">
        <x:v>390</x:v>
      </x:c>
      <x:c r="B393" t="str">
        <x:v>PTN Akademik</x:v>
      </x:c>
      <x:c r="C393" t="str">
        <x:v>UNIVERSITAS ANDALAS</x:v>
      </x:c>
      <x:c r="D393" t="str">
        <x:v>BIOLOGI</x:v>
      </x:c>
      <x:c r="E393" t="str">
        <x:v>Sarjana</x:v>
      </x:c>
      <x:c r="F393" s="18" t="n">
        <x:v>50</x:v>
      </x:c>
      <x:c r="G393" s="18" t="n">
        <x:v>136</x:v>
      </x:c>
      <x:c r="H393" s="19" t="n">
        <x:v>2.72</x:v>
      </x:c>
      <x:c r="I393" s="18" t="n">
        <x:f>ROUND(MIN(Model_Config_v3!$B$6,MAX(Q393,R393,S393*Model_Config_v3!$B$4+T393*Model_Config_v3!$B$5)),0)</x:f>
        <x:v>635</x:v>
      </x:c>
      <x:c r="J393" s="18" t="n">
        <x:f>MIN(Model_Config_v3!$B$6,I393+Model_Config_v3!$B$7)</x:f>
        <x:v>655</x:v>
      </x:c>
      <x:c r="K393" s="20" t="n">
        <x:v>51.2</x:v>
      </x:c>
      <x:c r="L393" t="str">
        <x:v>MENENGAH</x:v>
      </x:c>
      <x:c r="M393" t="str">
        <x:v>SEDANG+</x:v>
      </x:c>
      <x:c r="N393" t="str">
        <x:v>ELITE-3</x:v>
      </x:c>
      <x:c r="O393" t="str">
        <x:v>SAINTEK</x:v>
      </x:c>
      <x:c r="P393" t="str">
        <x:v>SAINS DASAR</x:v>
      </x:c>
      <x:c r="Q393" s="18" t="n">
        <x:v>635</x:v>
      </x:c>
      <x:c r="R393" s="18" t="n">
        <x:v>0</x:v>
      </x:c>
      <x:c r="S393" s="18" t="n">
        <x:v>567.8025794437618</x:v>
      </x:c>
      <x:c r="T393" s="18" t="n">
        <x:v>662</x:v>
      </x:c>
      <x:c r="U393" s="18" t="n">
        <x:v>635</x:v>
      </x:c>
      <x:c r="V393" s="20" t="n">
        <x:v>12</x:v>
      </x:c>
      <x:c r="W393" s="20" t="n">
        <x:v>5</x:v>
      </x:c>
      <x:c r="X393" s="20" t="n">
        <x:v>3</x:v>
      </x:c>
      <x:c r="Y393" t="str">
        <x:v>Basis arsip 2025/2024</x:v>
      </x:c>
      <x:c r="Z393" t="str">
        <x:v>https://snpmb.id/utbk-snbt/daya-tampung-snbt</x:v>
      </x:c>
      <x:c r="AA393" t="str">
        <x:v>Tidak Ada</x:v>
      </x:c>
      <x:c r="AB393" t="str">
        <x:v>Campus=80; Ratio=25.6; Prodi=50; RelDemand=10.1; Capacity=58.3</x:v>
      </x:c>
    </x:row>
    <x:row r="394">
      <x:c r="A394" t="n">
        <x:v>391</x:v>
      </x:c>
      <x:c r="B394" t="str">
        <x:v>PTN Akademik</x:v>
      </x:c>
      <x:c r="C394" t="str">
        <x:v>UNIVERSITAS ANDALAS</x:v>
      </x:c>
      <x:c r="D394" t="str">
        <x:v>MATEMATIKA</x:v>
      </x:c>
      <x:c r="E394" t="str">
        <x:v>Sarjana</x:v>
      </x:c>
      <x:c r="F394" s="18" t="n">
        <x:v>50</x:v>
      </x:c>
      <x:c r="G394" s="18" t="n">
        <x:v>116</x:v>
      </x:c>
      <x:c r="H394" s="19" t="n">
        <x:v>2.32</x:v>
      </x:c>
      <x:c r="I394" s="18" t="n">
        <x:f>ROUND(MIN(Model_Config_v3!$B$6,MAX(Q394,R394,S394*Model_Config_v3!$B$4+T394*Model_Config_v3!$B$5)),0)</x:f>
        <x:v>635</x:v>
      </x:c>
      <x:c r="J394" s="18" t="n">
        <x:f>MIN(Model_Config_v3!$B$6,I394+Model_Config_v3!$B$7)</x:f>
        <x:v>655</x:v>
      </x:c>
      <x:c r="K394" s="20" t="n">
        <x:v>50.1</x:v>
      </x:c>
      <x:c r="L394" t="str">
        <x:v>MENENGAH</x:v>
      </x:c>
      <x:c r="M394" t="str">
        <x:v>SEDANG+</x:v>
      </x:c>
      <x:c r="N394" t="str">
        <x:v>ELITE-3</x:v>
      </x:c>
      <x:c r="O394" t="str">
        <x:v>SAINTEK</x:v>
      </x:c>
      <x:c r="P394" t="str">
        <x:v>SAINS DASAR</x:v>
      </x:c>
      <x:c r="Q394" s="18" t="n">
        <x:v>635</x:v>
      </x:c>
      <x:c r="R394" s="18" t="n">
        <x:v>0</x:v>
      </x:c>
      <x:c r="S394" s="18" t="n">
        <x:v>560.203678337999</x:v>
      </x:c>
      <x:c r="T394" s="18" t="n">
        <x:v>660</x:v>
      </x:c>
      <x:c r="U394" s="18" t="n">
        <x:v>635</x:v>
      </x:c>
      <x:c r="V394" s="20" t="n">
        <x:v>12</x:v>
      </x:c>
      <x:c r="W394" s="20" t="n">
        <x:v>5</x:v>
      </x:c>
      <x:c r="X394" s="20" t="n">
        <x:v>3</x:v>
      </x:c>
      <x:c r="Y394" t="str">
        <x:v>Basis arsip 2025/2024</x:v>
      </x:c>
      <x:c r="Z394" t="str">
        <x:v>https://snpmb.id/utbk-snbt/daya-tampung-snbt</x:v>
      </x:c>
      <x:c r="AA394" t="str">
        <x:v>Tidak Ada</x:v>
      </x:c>
      <x:c r="AB394" t="str">
        <x:v>Campus=80; Ratio=21.5; Prodi=50; RelDemand=8.6; Capacity=58.3</x:v>
      </x:c>
    </x:row>
    <x:row r="395">
      <x:c r="A395" t="n">
        <x:v>392</x:v>
      </x:c>
      <x:c r="B395" t="str">
        <x:v>PTN Akademik</x:v>
      </x:c>
      <x:c r="C395" t="str">
        <x:v>UNIVERSITAS ANDALAS</x:v>
      </x:c>
      <x:c r="D395" t="str">
        <x:v>FISIKA</x:v>
      </x:c>
      <x:c r="E395" t="str">
        <x:v>Sarjana</x:v>
      </x:c>
      <x:c r="F395" s="18" t="n">
        <x:v>50</x:v>
      </x:c>
      <x:c r="G395" s="18" t="n">
        <x:v>57</x:v>
      </x:c>
      <x:c r="H395" s="19" t="n">
        <x:v>1.14</x:v>
      </x:c>
      <x:c r="I395" s="18" t="n">
        <x:f>ROUND(MIN(Model_Config_v3!$B$6,MAX(Q395,R395,S395*Model_Config_v3!$B$4+T395*Model_Config_v3!$B$5)),0)</x:f>
        <x:v>635</x:v>
      </x:c>
      <x:c r="J395" s="18" t="n">
        <x:f>MIN(Model_Config_v3!$B$6,I395+Model_Config_v3!$B$7)</x:f>
        <x:v>655</x:v>
      </x:c>
      <x:c r="K395" s="20" t="n">
        <x:v>45.1</x:v>
      </x:c>
      <x:c r="L395" t="str">
        <x:v>MENENGAH</x:v>
      </x:c>
      <x:c r="M395" t="str">
        <x:v>SEDANG+</x:v>
      </x:c>
      <x:c r="N395" t="str">
        <x:v>ELITE-3</x:v>
      </x:c>
      <x:c r="O395" t="str">
        <x:v>SAINTEK</x:v>
      </x:c>
      <x:c r="P395" t="str">
        <x:v>SAINS DASAR</x:v>
      </x:c>
      <x:c r="Q395" s="18" t="n">
        <x:v>635</x:v>
      </x:c>
      <x:c r="R395" s="18" t="n">
        <x:v>0</x:v>
      </x:c>
      <x:c r="S395" s="18" t="n">
        <x:v>526.259533647012</x:v>
      </x:c>
      <x:c r="T395" s="18" t="n">
        <x:v>650</x:v>
      </x:c>
      <x:c r="U395" s="18" t="n">
        <x:v>635</x:v>
      </x:c>
      <x:c r="V395" s="20" t="n">
        <x:v>12</x:v>
      </x:c>
      <x:c r="W395" s="20" t="n">
        <x:v>5</x:v>
      </x:c>
      <x:c r="X395" s="20" t="n">
        <x:v>3</x:v>
      </x:c>
      <x:c r="Y395" t="str">
        <x:v>Basis arsip 2025/2024</x:v>
      </x:c>
      <x:c r="Z395" t="str">
        <x:v>https://snpmb.id/utbk-snbt/daya-tampung-snbt</x:v>
      </x:c>
      <x:c r="AA395" t="str">
        <x:v>Tidak Ada</x:v>
      </x:c>
      <x:c r="AB395" t="str">
        <x:v>Campus=80; Ratio=3.3; Prodi=50; RelDemand=4.2; Capacity=58.3</x:v>
      </x:c>
    </x:row>
    <x:row r="396">
      <x:c r="A396" t="n">
        <x:v>393</x:v>
      </x:c>
      <x:c r="B396" t="str">
        <x:v>PTN Akademik</x:v>
      </x:c>
      <x:c r="C396" t="str">
        <x:v>UNIVERSITAS ANDALAS</x:v>
      </x:c>
      <x:c r="D396" t="str">
        <x:v>TEKNIK KOMPUTER</x:v>
      </x:c>
      <x:c r="E396" t="str">
        <x:v>Sarjana</x:v>
      </x:c>
      <x:c r="F396" s="18" t="n">
        <x:v>50</x:v>
      </x:c>
      <x:c r="G396" s="18" t="n">
        <x:v>645</x:v>
      </x:c>
      <x:c r="H396" s="19" t="n">
        <x:v>12.9</x:v>
      </x:c>
      <x:c r="I396" s="18" t="n">
        <x:f>ROUND(MIN(Model_Config_v3!$B$6,MAX(Q396,R396,S396*Model_Config_v3!$B$4+T396*Model_Config_v3!$B$5)),0)</x:f>
        <x:v>685</x:v>
      </x:c>
      <x:c r="J396" s="18" t="n">
        <x:f>MIN(Model_Config_v3!$B$6,I396+Model_Config_v3!$B$7)</x:f>
        <x:v>705</x:v>
      </x:c>
      <x:c r="K396" s="20" t="n">
        <x:v>72</x:v>
      </x:c>
      <x:c r="L396" t="str">
        <x:v>SANGAT KETAT</x:v>
      </x:c>
      <x:c r="M396" t="str">
        <x:v>SEDANG+</x:v>
      </x:c>
      <x:c r="N396" t="str">
        <x:v>ELITE-3</x:v>
      </x:c>
      <x:c r="O396" t="str">
        <x:v>SAINTEK</x:v>
      </x:c>
      <x:c r="P396" t="str">
        <x:v>KOMPUTER/INFORMATIKA</x:v>
      </x:c>
      <x:c r="Q396" s="18" t="n">
        <x:v>635</x:v>
      </x:c>
      <x:c r="R396" s="18" t="n">
        <x:v>675</x:v>
      </x:c>
      <x:c r="S396" s="18" t="n">
        <x:v>642.1648681329174</x:v>
      </x:c>
      <x:c r="T396" s="18" t="n">
        <x:v>704</x:v>
      </x:c>
      <x:c r="U396" s="18" t="n">
        <x:v>675</x:v>
      </x:c>
      <x:c r="V396" s="20" t="n">
        <x:v>12</x:v>
      </x:c>
      <x:c r="W396" s="20" t="n">
        <x:v>5</x:v>
      </x:c>
      <x:c r="X396" s="20" t="n">
        <x:v>3</x:v>
      </x:c>
      <x:c r="Y396" t="str">
        <x:v>Basis arsip 2025/2024</x:v>
      </x:c>
      <x:c r="Z396" t="str">
        <x:v>https://snpmb.id/utbk-snbt/daya-tampung-snbt</x:v>
      </x:c>
      <x:c r="AA396" t="str">
        <x:v>Tidak Ada</x:v>
      </x:c>
      <x:c r="AB396" t="str">
        <x:v>Campus=80; Ratio=65.4; Prodi=85; RelDemand=47.9; Capacity=58.3</x:v>
      </x:c>
    </x:row>
    <x:row r="397">
      <x:c r="A397" t="n">
        <x:v>394</x:v>
      </x:c>
      <x:c r="B397" t="str">
        <x:v>PTN Akademik</x:v>
      </x:c>
      <x:c r="C397" t="str">
        <x:v>UNIVERSITAS ANDALAS</x:v>
      </x:c>
      <x:c r="D397" t="str">
        <x:v>PETERNAKAN</x:v>
      </x:c>
      <x:c r="E397" t="str">
        <x:v>Sarjana</x:v>
      </x:c>
      <x:c r="F397" s="18" t="n">
        <x:v>160</x:v>
      </x:c>
      <x:c r="G397" s="18" t="n">
        <x:v>464</x:v>
      </x:c>
      <x:c r="H397" s="19" t="n">
        <x:v>2.9</x:v>
      </x:c>
      <x:c r="I397" s="18" t="n">
        <x:f>ROUND(MIN(Model_Config_v3!$B$6,MAX(Q397,R397,S397*Model_Config_v3!$B$4+T397*Model_Config_v3!$B$5)),0)</x:f>
        <x:v>635</x:v>
      </x:c>
      <x:c r="J397" s="18" t="n">
        <x:f>MIN(Model_Config_v3!$B$6,I397+Model_Config_v3!$B$7)</x:f>
        <x:v>655</x:v>
      </x:c>
      <x:c r="K397" s="20" t="n">
        <x:v>43.9</x:v>
      </x:c>
      <x:c r="L397" t="str">
        <x:v>RELATIF LONGGAR</x:v>
      </x:c>
      <x:c r="M397" t="str">
        <x:v>SEDANG+</x:v>
      </x:c>
      <x:c r="N397" t="str">
        <x:v>ELITE-3</x:v>
      </x:c>
      <x:c r="O397" t="str">
        <x:v>SAINTEK</x:v>
      </x:c>
      <x:c r="P397" t="str">
        <x:v>UMUM</x:v>
      </x:c>
      <x:c r="Q397" s="18" t="n">
        <x:v>635</x:v>
      </x:c>
      <x:c r="R397" s="18" t="n">
        <x:v>0</x:v>
      </x:c>
      <x:c r="S397" s="18" t="n">
        <x:v>570.8637797688851</x:v>
      </x:c>
      <x:c r="T397" s="18" t="n">
        <x:v>648</x:v>
      </x:c>
      <x:c r="U397" s="18" t="n">
        <x:v>635</x:v>
      </x:c>
      <x:c r="V397" s="20" t="n">
        <x:v>12</x:v>
      </x:c>
      <x:c r="W397" s="20" t="n">
        <x:v>5</x:v>
      </x:c>
      <x:c r="X397" s="20" t="n">
        <x:v>3</x:v>
      </x:c>
      <x:c r="Y397" t="str">
        <x:v>Basis arsip 2025/2024</x:v>
      </x:c>
      <x:c r="Z397" t="str">
        <x:v>https://snpmb.id/utbk-snbt/daya-tampung-snbt</x:v>
      </x:c>
      <x:c r="AA397" t="str">
        <x:v>Tidak Ada</x:v>
      </x:c>
      <x:c r="AB397" t="str">
        <x:v>Campus=80; Ratio=27.2; Prodi=40; RelDemand=10.8; Capacity=0.0</x:v>
      </x:c>
    </x:row>
    <x:row r="398">
      <x:c r="A398" t="n">
        <x:v>395</x:v>
      </x:c>
      <x:c r="B398" t="str">
        <x:v>PTN Akademik</x:v>
      </x:c>
      <x:c r="C398" t="str">
        <x:v>UNIVERSITAS ANDALAS</x:v>
      </x:c>
      <x:c r="D398" t="str">
        <x:v>TEKNIK MESIN</x:v>
      </x:c>
      <x:c r="E398" t="str">
        <x:v>Sarjana</x:v>
      </x:c>
      <x:c r="F398" s="18" t="n">
        <x:v>60</x:v>
      </x:c>
      <x:c r="G398" s="18" t="n">
        <x:v>732</x:v>
      </x:c>
      <x:c r="H398" s="19" t="n">
        <x:v>12.2</x:v>
      </x:c>
      <x:c r="I398" s="18" t="n">
        <x:f>ROUND(MIN(Model_Config_v3!$B$6,MAX(Q398,R398,S398*Model_Config_v3!$B$4+T398*Model_Config_v3!$B$5)),0)</x:f>
        <x:v>676</x:v>
      </x:c>
      <x:c r="J398" s="18" t="n">
        <x:f>MIN(Model_Config_v3!$B$6,I398+Model_Config_v3!$B$7)</x:f>
        <x:v>696</x:v>
      </x:c>
      <x:c r="K398" s="20" t="n">
        <x:v>65.5</x:v>
      </x:c>
      <x:c r="L398" t="str">
        <x:v>SANGAT KETAT</x:v>
      </x:c>
      <x:c r="M398" t="str">
        <x:v>SEDANG+</x:v>
      </x:c>
      <x:c r="N398" t="str">
        <x:v>ELITE-3</x:v>
      </x:c>
      <x:c r="O398" t="str">
        <x:v>SAINTEK</x:v>
      </x:c>
      <x:c r="P398" t="str">
        <x:v>TEKNIK/ARSITEKTUR/STATISTIKA/AKTUARIA</x:v>
      </x:c>
      <x:c r="Q398" s="18" t="n">
        <x:v>635</x:v>
      </x:c>
      <x:c r="R398" s="18" t="n">
        <x:v>0</x:v>
      </x:c>
      <x:c r="S398" s="18" t="n">
        <x:v>639.4995813742223</x:v>
      </x:c>
      <x:c r="T398" s="18" t="n">
        <x:v>691</x:v>
      </x:c>
      <x:c r="U398" s="18" t="n">
        <x:v>649.4995813742223</x:v>
      </x:c>
      <x:c r="V398" s="20" t="n">
        <x:v>12</x:v>
      </x:c>
      <x:c r="W398" s="20" t="n">
        <x:v>5</x:v>
      </x:c>
      <x:c r="X398" s="20" t="n">
        <x:v>3</x:v>
      </x:c>
      <x:c r="Y398" t="str">
        <x:v>Basis arsip 2025/2024</x:v>
      </x:c>
      <x:c r="Z398" t="str">
        <x:v>https://snpmb.id/utbk-snbt/daya-tampung-snbt</x:v>
      </x:c>
      <x:c r="AA398" t="str">
        <x:v>Tidak Ada</x:v>
      </x:c>
      <x:c r="AB398" t="str">
        <x:v>Campus=80; Ratio=63.9; Prodi=60; RelDemand=45.3; Capacity=50.0</x:v>
      </x:c>
    </x:row>
    <x:row r="399">
      <x:c r="A399" t="n">
        <x:v>396</x:v>
      </x:c>
      <x:c r="B399" t="str">
        <x:v>PTN Akademik</x:v>
      </x:c>
      <x:c r="C399" t="str">
        <x:v>UNIVERSITAS ANDALAS</x:v>
      </x:c>
      <x:c r="D399" t="str">
        <x:v>TEKNIK SIPIL</x:v>
      </x:c>
      <x:c r="E399" t="str">
        <x:v>Sarjana</x:v>
      </x:c>
      <x:c r="F399" s="18" t="n">
        <x:v>65</x:v>
      </x:c>
      <x:c r="G399" s="18" t="n">
        <x:v>1094</x:v>
      </x:c>
      <x:c r="H399" s="19" t="n">
        <x:v>16.83076923076923</x:v>
      </x:c>
      <x:c r="I399" s="18" t="n">
        <x:f>ROUND(MIN(Model_Config_v3!$B$6,MAX(Q399,R399,S399*Model_Config_v3!$B$4+T399*Model_Config_v3!$B$5)),0)</x:f>
        <x:v>685</x:v>
      </x:c>
      <x:c r="J399" s="18" t="n">
        <x:f>MIN(Model_Config_v3!$B$6,I399+Model_Config_v3!$B$7)</x:f>
        <x:v>705</x:v>
      </x:c>
      <x:c r="K399" s="20" t="n">
        <x:v>68.9</x:v>
      </x:c>
      <x:c r="L399" t="str">
        <x:v>SANGAT KETAT</x:v>
      </x:c>
      <x:c r="M399" t="str">
        <x:v>SEDANG+</x:v>
      </x:c>
      <x:c r="N399" t="str">
        <x:v>ELITE-3</x:v>
      </x:c>
      <x:c r="O399" t="str">
        <x:v>SAINTEK</x:v>
      </x:c>
      <x:c r="P399" t="str">
        <x:v>TEKNIK/ARSITEKTUR/STATISTIKA/AKTUARIA</x:v>
      </x:c>
      <x:c r="Q399" s="18" t="n">
        <x:v>635</x:v>
      </x:c>
      <x:c r="R399" s="18" t="n">
        <x:v>0</x:v>
      </x:c>
      <x:c r="S399" s="18" t="n">
        <x:v>654.8714361890012</x:v>
      </x:c>
      <x:c r="T399" s="18" t="n">
        <x:v>698</x:v>
      </x:c>
      <x:c r="U399" s="18" t="n">
        <x:v>664.8714361890012</x:v>
      </x:c>
      <x:c r="V399" s="20" t="n">
        <x:v>12</x:v>
      </x:c>
      <x:c r="W399" s="20" t="n">
        <x:v>5</x:v>
      </x:c>
      <x:c r="X399" s="20" t="n">
        <x:v>3</x:v>
      </x:c>
      <x:c r="Y399" t="str">
        <x:v>Basis arsip 2025/2024</x:v>
      </x:c>
      <x:c r="Z399" t="str">
        <x:v>https://snpmb.id/utbk-snbt/daya-tampung-snbt</x:v>
      </x:c>
      <x:c r="AA399" t="str">
        <x:v>Tidak Ada</x:v>
      </x:c>
      <x:c r="AB399" t="str">
        <x:v>Campus=80; Ratio=72.2; Prodi=60; RelDemand=62.5; Capacity=45.8</x:v>
      </x:c>
    </x:row>
    <x:row r="400">
      <x:c r="A400" t="n">
        <x:v>397</x:v>
      </x:c>
      <x:c r="B400" t="str">
        <x:v>PTN Akademik</x:v>
      </x:c>
      <x:c r="C400" t="str">
        <x:v>UNIVERSITAS ANDALAS</x:v>
      </x:c>
      <x:c r="D400" t="str">
        <x:v>TEKNIK INDUSTRI</x:v>
      </x:c>
      <x:c r="E400" t="str">
        <x:v>Sarjana</x:v>
      </x:c>
      <x:c r="F400" s="18" t="n">
        <x:v>50</x:v>
      </x:c>
      <x:c r="G400" s="18" t="n">
        <x:v>1113</x:v>
      </x:c>
      <x:c r="H400" s="19" t="n">
        <x:v>22.26</x:v>
      </x:c>
      <x:c r="I400" s="18" t="n">
        <x:f>ROUND(MIN(Model_Config_v3!$B$6,MAX(Q400,R400,S400*Model_Config_v3!$B$4+T400*Model_Config_v3!$B$5)),0)</x:f>
        <x:v>696</x:v>
      </x:c>
      <x:c r="J400" s="18" t="n">
        <x:f>MIN(Model_Config_v3!$B$6,I400+Model_Config_v3!$B$7)</x:f>
        <x:v>716</x:v>
      </x:c>
      <x:c r="K400" s="20" t="n">
        <x:v>73.9</x:v>
      </x:c>
      <x:c r="L400" t="str">
        <x:v>SANGAT KETAT</x:v>
      </x:c>
      <x:c r="M400" t="str">
        <x:v>SEDANG+</x:v>
      </x:c>
      <x:c r="N400" t="str">
        <x:v>ELITE-3</x:v>
      </x:c>
      <x:c r="O400" t="str">
        <x:v>SAINTEK</x:v>
      </x:c>
      <x:c r="P400" t="str">
        <x:v>TEKNIK/ARSITEKTUR/STATISTIKA/AKTUARIA</x:v>
      </x:c>
      <x:c r="Q400" s="18" t="n">
        <x:v>635</x:v>
      </x:c>
      <x:c r="R400" s="18" t="n">
        <x:v>0</x:v>
      </x:c>
      <x:c r="S400" s="18" t="n">
        <x:v>668.2277675998558</x:v>
      </x:c>
      <x:c r="T400" s="18" t="n">
        <x:v>708</x:v>
      </x:c>
      <x:c r="U400" s="18" t="n">
        <x:v>678.2277675998558</x:v>
      </x:c>
      <x:c r="V400" s="20" t="n">
        <x:v>12</x:v>
      </x:c>
      <x:c r="W400" s="20" t="n">
        <x:v>5</x:v>
      </x:c>
      <x:c r="X400" s="20" t="n">
        <x:v>3</x:v>
      </x:c>
      <x:c r="Y400" t="str">
        <x:v>Basis arsip 2025/2024</x:v>
      </x:c>
      <x:c r="Z400" t="str">
        <x:v>https://snpmb.id/utbk-snbt/daya-tampung-snbt</x:v>
      </x:c>
      <x:c r="AA400" t="str">
        <x:v>Tidak Ada</x:v>
      </x:c>
      <x:c r="AB400" t="str">
        <x:v>Campus=80; Ratio=79.3; Prodi=60; RelDemand=82.7; Capacity=58.3</x:v>
      </x:c>
    </x:row>
    <x:row r="401">
      <x:c r="A401" t="n">
        <x:v>398</x:v>
      </x:c>
      <x:c r="B401" t="str">
        <x:v>PTN Akademik</x:v>
      </x:c>
      <x:c r="C401" t="str">
        <x:v>UNIVERSITAS ANDALAS</x:v>
      </x:c>
      <x:c r="D401" t="str">
        <x:v>TEKNIK LINGKUNGAN</x:v>
      </x:c>
      <x:c r="E401" t="str">
        <x:v>Sarjana</x:v>
      </x:c>
      <x:c r="F401" s="18" t="n">
        <x:v>64</x:v>
      </x:c>
      <x:c r="G401" s="18" t="n">
        <x:v>613</x:v>
      </x:c>
      <x:c r="H401" s="19" t="n">
        <x:v>9.578125</x:v>
      </x:c>
      <x:c r="I401" s="18" t="n">
        <x:f>ROUND(MIN(Model_Config_v3!$B$6,MAX(Q401,R401,S401*Model_Config_v3!$B$4+T401*Model_Config_v3!$B$5)),0)</x:f>
        <x:v>668</x:v>
      </x:c>
      <x:c r="J401" s="18" t="n">
        <x:f>MIN(Model_Config_v3!$B$6,I401+Model_Config_v3!$B$7)</x:f>
        <x:v>688</x:v>
      </x:c>
      <x:c r="K401" s="20" t="n">
        <x:v>62.7</x:v>
      </x:c>
      <x:c r="L401" t="str">
        <x:v>KETAT</x:v>
      </x:c>
      <x:c r="M401" t="str">
        <x:v>SEDANG+</x:v>
      </x:c>
      <x:c r="N401" t="str">
        <x:v>ELITE-3</x:v>
      </x:c>
      <x:c r="O401" t="str">
        <x:v>SAINTEK</x:v>
      </x:c>
      <x:c r="P401" t="str">
        <x:v>TEKNIK/ARSITEKTUR/STATISTIKA/AKTUARIA</x:v>
      </x:c>
      <x:c r="Q401" s="18" t="n">
        <x:v>635</x:v>
      </x:c>
      <x:c r="R401" s="18" t="n">
        <x:v>0</x:v>
      </x:c>
      <x:c r="S401" s="18" t="n">
        <x:v>627.9408550587981</x:v>
      </x:c>
      <x:c r="T401" s="18" t="n">
        <x:v>685</x:v>
      </x:c>
      <x:c r="U401" s="18" t="n">
        <x:v>637.9408550587981</x:v>
      </x:c>
      <x:c r="V401" s="20" t="n">
        <x:v>12</x:v>
      </x:c>
      <x:c r="W401" s="20" t="n">
        <x:v>5</x:v>
      </x:c>
      <x:c r="X401" s="20" t="n">
        <x:v>3</x:v>
      </x:c>
      <x:c r="Y401" t="str">
        <x:v>Basis arsip 2025/2024</x:v>
      </x:c>
      <x:c r="Z401" t="str">
        <x:v>https://snpmb.id/utbk-snbt/daya-tampung-snbt</x:v>
      </x:c>
      <x:c r="AA401" t="str">
        <x:v>Tidak Ada</x:v>
      </x:c>
      <x:c r="AB401" t="str">
        <x:v>Campus=80; Ratio=57.8; Prodi=60; RelDemand=35.6; Capacity=46.7</x:v>
      </x:c>
    </x:row>
    <x:row r="402">
      <x:c r="A402" t="n">
        <x:v>399</x:v>
      </x:c>
      <x:c r="B402" t="str">
        <x:v>PTN Akademik</x:v>
      </x:c>
      <x:c r="C402" t="str">
        <x:v>UNIVERSITAS ANDALAS</x:v>
      </x:c>
      <x:c r="D402" t="str">
        <x:v>TEKNIK ELEKTRO</x:v>
      </x:c>
      <x:c r="E402" t="str">
        <x:v>Sarjana</x:v>
      </x:c>
      <x:c r="F402" s="18" t="n">
        <x:v>70</x:v>
      </x:c>
      <x:c r="G402" s="18" t="n">
        <x:v>633</x:v>
      </x:c>
      <x:c r="H402" s="19" t="n">
        <x:v>9.042857142857143</x:v>
      </x:c>
      <x:c r="I402" s="18" t="n">
        <x:f>ROUND(MIN(Model_Config_v3!$B$6,MAX(Q402,R402,S402*Model_Config_v3!$B$4+T402*Model_Config_v3!$B$5)),0)</x:f>
        <x:v>666</x:v>
      </x:c>
      <x:c r="J402" s="18" t="n">
        <x:f>MIN(Model_Config_v3!$B$6,I402+Model_Config_v3!$B$7)</x:f>
        <x:v>686</x:v>
      </x:c>
      <x:c r="K402" s="20" t="n">
        <x:v>61.6</x:v>
      </x:c>
      <x:c r="L402" t="str">
        <x:v>KETAT</x:v>
      </x:c>
      <x:c r="M402" t="str">
        <x:v>SEDANG+</x:v>
      </x:c>
      <x:c r="N402" t="str">
        <x:v>ELITE-3</x:v>
      </x:c>
      <x:c r="O402" t="str">
        <x:v>SAINTEK</x:v>
      </x:c>
      <x:c r="P402" t="str">
        <x:v>TEKNIK/ARSITEKTUR/STATISTIKA/AKTUARIA</x:v>
      </x:c>
      <x:c r="Q402" s="18" t="n">
        <x:v>635</x:v>
      </x:c>
      <x:c r="R402" s="18" t="n">
        <x:v>0</x:v>
      </x:c>
      <x:c r="S402" s="18" t="n">
        <x:v>625.1936237003408</x:v>
      </x:c>
      <x:c r="T402" s="18" t="n">
        <x:v>683</x:v>
      </x:c>
      <x:c r="U402" s="18" t="n">
        <x:v>635.1936237003408</x:v>
      </x:c>
      <x:c r="V402" s="20" t="n">
        <x:v>12</x:v>
      </x:c>
      <x:c r="W402" s="20" t="n">
        <x:v>5</x:v>
      </x:c>
      <x:c r="X402" s="20" t="n">
        <x:v>3</x:v>
      </x:c>
      <x:c r="Y402" t="str">
        <x:v>Basis arsip 2025/2024</x:v>
      </x:c>
      <x:c r="Z402" t="str">
        <x:v>https://snpmb.id/utbk-snbt/daya-tampung-snbt</x:v>
      </x:c>
      <x:c r="AA402" t="str">
        <x:v>Tidak Ada</x:v>
      </x:c>
      <x:c r="AB402" t="str">
        <x:v>Campus=80; Ratio=56.3; Prodi=60; RelDemand=33.6; Capacity=41.7</x:v>
      </x:c>
    </x:row>
    <x:row r="403">
      <x:c r="A403" t="n">
        <x:v>400</x:v>
      </x:c>
      <x:c r="B403" t="str">
        <x:v>PTN Akademik</x:v>
      </x:c>
      <x:c r="C403" t="str">
        <x:v>UNIVERSITAS ANDALAS</x:v>
      </x:c>
      <x:c r="D403" t="str">
        <x:v>FARMASI</x:v>
      </x:c>
      <x:c r="E403" t="str">
        <x:v>Sarjana</x:v>
      </x:c>
      <x:c r="F403" s="18" t="n">
        <x:v>63</x:v>
      </x:c>
      <x:c r="G403" s="18" t="n">
        <x:v>2196</x:v>
      </x:c>
      <x:c r="H403" s="19" t="n">
        <x:v>34.857142857142854</x:v>
      </x:c>
      <x:c r="I403" s="18" t="n">
        <x:f>ROUND(MIN(Model_Config_v3!$B$6,MAX(Q403,R403,S403*Model_Config_v3!$B$4+T403*Model_Config_v3!$B$5)),0)</x:f>
        <x:v>712</x:v>
      </x:c>
      <x:c r="J403" s="18" t="n">
        <x:f>MIN(Model_Config_v3!$B$6,I403+Model_Config_v3!$B$7)</x:f>
        <x:v>732</x:v>
      </x:c>
      <x:c r="K403" s="20" t="n">
        <x:v>80.4</x:v>
      </x:c>
      <x:c r="L403" t="str">
        <x:v>ELITE</x:v>
      </x:c>
      <x:c r="M403" t="str">
        <x:v>SEDANG+</x:v>
      </x:c>
      <x:c r="N403" t="str">
        <x:v>ELITE-3</x:v>
      </x:c>
      <x:c r="O403" t="str">
        <x:v>SAINTEK</x:v>
      </x:c>
      <x:c r="P403" t="str">
        <x:v>FARMASI</x:v>
      </x:c>
      <x:c r="Q403" s="18" t="n">
        <x:v>635</x:v>
      </x:c>
      <x:c r="R403" s="18" t="n">
        <x:v>660</x:v>
      </x:c>
      <x:c r="S403" s="18" t="n">
        <x:v>689.6520964956919</x:v>
      </x:c>
      <x:c r="T403" s="18" t="n">
        <x:v>721</x:v>
      </x:c>
      <x:c r="U403" s="18" t="n">
        <x:v>709.6520964956919</x:v>
      </x:c>
      <x:c r="V403" s="20" t="n">
        <x:v>12</x:v>
      </x:c>
      <x:c r="W403" s="20" t="n">
        <x:v>5</x:v>
      </x:c>
      <x:c r="X403" s="20" t="n">
        <x:v>3</x:v>
      </x:c>
      <x:c r="Y403" t="str">
        <x:v>Basis arsip 2025/2024</x:v>
      </x:c>
      <x:c r="Z403" t="str">
        <x:v>https://snpmb.id/utbk-snbt/daya-tampung-snbt</x:v>
      </x:c>
      <x:c r="AA403" t="str">
        <x:v>Tidak Ada</x:v>
      </x:c>
      <x:c r="AB403" t="str">
        <x:v>Campus=80; Ratio=90.8; Prodi=75; RelDemand=100.0; Capacity=47.5</x:v>
      </x:c>
    </x:row>
    <x:row r="404">
      <x:c r="A404" t="n">
        <x:v>401</x:v>
      </x:c>
      <x:c r="B404" t="str">
        <x:v>PTN Akademik</x:v>
      </x:c>
      <x:c r="C404" t="str">
        <x:v>UNIVERSITAS ANDALAS</x:v>
      </x:c>
      <x:c r="D404" t="str">
        <x:v>TEKNIK PERTANIAN DAN BIOSISTEM</x:v>
      </x:c>
      <x:c r="E404" t="str">
        <x:v>Sarjana</x:v>
      </x:c>
      <x:c r="F404" s="18" t="n">
        <x:v>56</x:v>
      </x:c>
      <x:c r="G404" s="18" t="n">
        <x:v>227</x:v>
      </x:c>
      <x:c r="H404" s="19" t="n">
        <x:v>4.053571428571429</x:v>
      </x:c>
      <x:c r="I404" s="18" t="n">
        <x:f>ROUND(MIN(Model_Config_v3!$B$6,MAX(Q404,R404,S404*Model_Config_v3!$B$4+T404*Model_Config_v3!$B$5)),0)</x:f>
        <x:v>646</x:v>
      </x:c>
      <x:c r="J404" s="18" t="n">
        <x:f>MIN(Model_Config_v3!$B$6,I404+Model_Config_v3!$B$7)</x:f>
        <x:v>666</x:v>
      </x:c>
      <x:c r="K404" s="20" t="n">
        <x:v>55.8</x:v>
      </x:c>
      <x:c r="L404" t="str">
        <x:v>KETAT</x:v>
      </x:c>
      <x:c r="M404" t="str">
        <x:v>SEDANG+</x:v>
      </x:c>
      <x:c r="N404" t="str">
        <x:v>ELITE-3</x:v>
      </x:c>
      <x:c r="O404" t="str">
        <x:v>SAINTEK</x:v>
      </x:c>
      <x:c r="P404" t="str">
        <x:v>TEKNIK/ARSITEKTUR/STATISTIKA/AKTUARIA</x:v>
      </x:c>
      <x:c r="Q404" s="18" t="n">
        <x:v>635</x:v>
      </x:c>
      <x:c r="R404" s="18" t="n">
        <x:v>0</x:v>
      </x:c>
      <x:c r="S404" s="18" t="n">
        <x:v>586.8621613205614</x:v>
      </x:c>
      <x:c r="T404" s="18" t="n">
        <x:v>672</x:v>
      </x:c>
      <x:c r="U404" s="18" t="n">
        <x:v>635</x:v>
      </x:c>
      <x:c r="V404" s="20" t="n">
        <x:v>12</x:v>
      </x:c>
      <x:c r="W404" s="20" t="n">
        <x:v>5</x:v>
      </x:c>
      <x:c r="X404" s="20" t="n">
        <x:v>3</x:v>
      </x:c>
      <x:c r="Y404" t="str">
        <x:v>Basis arsip 2025/2024</x:v>
      </x:c>
      <x:c r="Z404" t="str">
        <x:v>https://snpmb.id/utbk-snbt/daya-tampung-snbt</x:v>
      </x:c>
      <x:c r="AA404" t="str">
        <x:v>Tidak Ada</x:v>
      </x:c>
      <x:c r="AB404" t="str">
        <x:v>Campus=80; Ratio=35.8; Prodi=60; RelDemand=15.1; Capacity=53.3</x:v>
      </x:c>
    </x:row>
    <x:row r="405">
      <x:c r="A405" t="n">
        <x:v>402</x:v>
      </x:c>
      <x:c r="B405" t="str">
        <x:v>PTN Akademik</x:v>
      </x:c>
      <x:c r="C405" t="str">
        <x:v>UNIVERSITAS ANDALAS</x:v>
      </x:c>
      <x:c r="D405" t="str">
        <x:v>TEKNOLOGI PANGAN DAN HASIL PERTANIAN</x:v>
      </x:c>
      <x:c r="E405" t="str">
        <x:v>Sarjana</x:v>
      </x:c>
      <x:c r="F405" s="18" t="n">
        <x:v>49</x:v>
      </x:c>
      <x:c r="G405" s="18" t="n">
        <x:v>209</x:v>
      </x:c>
      <x:c r="H405" s="19" t="n">
        <x:v>4.26530612244898</x:v>
      </x:c>
      <x:c r="I405" s="18" t="n">
        <x:f>ROUND(MIN(Model_Config_v3!$B$6,MAX(Q405,R405,S405*Model_Config_v3!$B$4+T405*Model_Config_v3!$B$5)),0)</x:f>
        <x:v>643</x:v>
      </x:c>
      <x:c r="J405" s="18" t="n">
        <x:f>MIN(Model_Config_v3!$B$6,I405+Model_Config_v3!$B$7)</x:f>
        <x:v>663</x:v>
      </x:c>
      <x:c r="K405" s="20" t="n">
        <x:v>52.8</x:v>
      </x:c>
      <x:c r="L405" t="str">
        <x:v>MENENGAH</x:v>
      </x:c>
      <x:c r="M405" t="str">
        <x:v>SEDANG+</x:v>
      </x:c>
      <x:c r="N405" t="str">
        <x:v>ELITE-3</x:v>
      </x:c>
      <x:c r="O405" t="str">
        <x:v>SAINTEK</x:v>
      </x:c>
      <x:c r="P405" t="str">
        <x:v>UMUM</x:v>
      </x:c>
      <x:c r="Q405" s="18" t="n">
        <x:v>635</x:v>
      </x:c>
      <x:c r="R405" s="18" t="n">
        <x:v>0</x:v>
      </x:c>
      <x:c r="S405" s="18" t="n">
        <x:v>589.2945226690795</x:v>
      </x:c>
      <x:c r="T405" s="18" t="n">
        <x:v>666</x:v>
      </x:c>
      <x:c r="U405" s="18" t="n">
        <x:v>635</x:v>
      </x:c>
      <x:c r="V405" s="20" t="n">
        <x:v>12</x:v>
      </x:c>
      <x:c r="W405" s="20" t="n">
        <x:v>5</x:v>
      </x:c>
      <x:c r="X405" s="20" t="n">
        <x:v>3</x:v>
      </x:c>
      <x:c r="Y405" t="str">
        <x:v>Basis arsip 2025/2024</x:v>
      </x:c>
      <x:c r="Z405" t="str">
        <x:v>https://snpmb.id/utbk-snbt/daya-tampung-snbt</x:v>
      </x:c>
      <x:c r="AA405" t="str">
        <x:v>Tidak Ada</x:v>
      </x:c>
      <x:c r="AB405" t="str">
        <x:v>Campus=80; Ratio=37.1; Prodi=40; RelDemand=15.8; Capacity=59.2</x:v>
      </x:c>
    </x:row>
    <x:row r="406">
      <x:c r="A406" t="n">
        <x:v>403</x:v>
      </x:c>
      <x:c r="B406" t="str">
        <x:v>PTN Akademik</x:v>
      </x:c>
      <x:c r="C406" t="str">
        <x:v>UNIVERSITAS ANDALAS</x:v>
      </x:c>
      <x:c r="D406" t="str">
        <x:v>SISTEM INFORMASI</x:v>
      </x:c>
      <x:c r="E406" t="str">
        <x:v>Sarjana</x:v>
      </x:c>
      <x:c r="F406" s="18" t="n">
        <x:v>50</x:v>
      </x:c>
      <x:c r="G406" s="18" t="n">
        <x:v>1170</x:v>
      </x:c>
      <x:c r="H406" s="19" t="n">
        <x:v>23.4</x:v>
      </x:c>
      <x:c r="I406" s="18" t="n">
        <x:f>ROUND(MIN(Model_Config_v3!$B$6,MAX(Q406,R406,S406*Model_Config_v3!$B$4+T406*Model_Config_v3!$B$5)),0)</x:f>
        <x:v>704</x:v>
      </x:c>
      <x:c r="J406" s="18" t="n">
        <x:f>MIN(Model_Config_v3!$B$6,I406+Model_Config_v3!$B$7)</x:f>
        <x:v>724</x:v>
      </x:c>
      <x:c r="K406" s="20" t="n">
        <x:v>79.7</x:v>
      </x:c>
      <x:c r="L406" t="str">
        <x:v>ELITE</x:v>
      </x:c>
      <x:c r="M406" t="str">
        <x:v>SEDANG+</x:v>
      </x:c>
      <x:c r="N406" t="str">
        <x:v>ELITE-3</x:v>
      </x:c>
      <x:c r="O406" t="str">
        <x:v>CAMPURAN</x:v>
      </x:c>
      <x:c r="P406" t="str">
        <x:v>KOMPUTER/INFORMATIKA</x:v>
      </x:c>
      <x:c r="Q406" s="18" t="n">
        <x:v>635</x:v>
      </x:c>
      <x:c r="R406" s="18" t="n">
        <x:v>675</x:v>
      </x:c>
      <x:c r="S406" s="18" t="n">
        <x:v>670.6137443151157</x:v>
      </x:c>
      <x:c r="T406" s="18" t="n">
        <x:v>719</x:v>
      </x:c>
      <x:c r="U406" s="18" t="n">
        <x:v>695.6137443151157</x:v>
      </x:c>
      <x:c r="V406" s="20" t="n">
        <x:v>8.8</x:v>
      </x:c>
      <x:c r="W406" s="20" t="n">
        <x:v>9.9</x:v>
      </x:c>
      <x:c r="X406" s="20" t="n">
        <x:v>3.3</x:v>
      </x:c>
      <x:c r="Y406" t="str">
        <x:v>Basis arsip 2025/2024</x:v>
      </x:c>
      <x:c r="Z406" t="str">
        <x:v>https://snpmb.id/utbk-snbt/daya-tampung-snbt</x:v>
      </x:c>
      <x:c r="AA406" t="str">
        <x:v>Tidak Ada</x:v>
      </x:c>
      <x:c r="AB406" t="str">
        <x:v>Campus=80; Ratio=80.6; Prodi=85; RelDemand=86.9; Capacity=58.3</x:v>
      </x:c>
    </x:row>
    <x:row r="407">
      <x:c r="A407" t="n">
        <x:v>404</x:v>
      </x:c>
      <x:c r="B407" t="str">
        <x:v>PTN Akademik</x:v>
      </x:c>
      <x:c r="C407" t="str">
        <x:v>UNIVERSITAS ANDALAS</x:v>
      </x:c>
      <x:c r="D407" t="str">
        <x:v>PSIKOLOGI</x:v>
      </x:c>
      <x:c r="E407" t="str">
        <x:v>Sarjana</x:v>
      </x:c>
      <x:c r="F407" s="18" t="n">
        <x:v>52</x:v>
      </x:c>
      <x:c r="G407" s="18" t="n">
        <x:v>1163</x:v>
      </x:c>
      <x:c r="H407" s="19" t="n">
        <x:v>22.365384615384617</x:v>
      </x:c>
      <x:c r="I407" s="18" t="n">
        <x:f>ROUND(MIN(Model_Config_v3!$B$6,MAX(Q407,R407,S407*Model_Config_v3!$B$4+T407*Model_Config_v3!$B$5)),0)</x:f>
        <x:v>702</x:v>
      </x:c>
      <x:c r="J407" s="18" t="n">
        <x:f>MIN(Model_Config_v3!$B$6,I407+Model_Config_v3!$B$7)</x:f>
        <x:v>722</x:v>
      </x:c>
      <x:c r="K407" s="20" t="n">
        <x:v>77.8</x:v>
      </x:c>
      <x:c r="L407" t="str">
        <x:v>ELITE</x:v>
      </x:c>
      <x:c r="M407" t="str">
        <x:v>SEDANG+</x:v>
      </x:c>
      <x:c r="N407" t="str">
        <x:v>ELITE-3</x:v>
      </x:c>
      <x:c r="O407" t="str">
        <x:v>SOSHUM</x:v>
      </x:c>
      <x:c r="P407" t="str">
        <x:v>PSIKOLOGI</x:v>
      </x:c>
      <x:c r="Q407" s="18" t="n">
        <x:v>635</x:v>
      </x:c>
      <x:c r="R407" s="18" t="n">
        <x:v>670</x:v>
      </x:c>
      <x:c r="S407" s="18" t="n">
        <x:v>668.4534008203013</x:v>
      </x:c>
      <x:c r="T407" s="18" t="n">
        <x:v>716</x:v>
      </x:c>
      <x:c r="U407" s="18" t="n">
        <x:v>693.4534008203013</x:v>
      </x:c>
      <x:c r="V407" s="20" t="n">
        <x:v>4.4</x:v>
      </x:c>
      <x:c r="W407" s="20" t="n">
        <x:v>14.3</x:v>
      </x:c>
      <x:c r="X407" s="20" t="n">
        <x:v>3.3</x:v>
      </x:c>
      <x:c r="Y407" t="str">
        <x:v>Basis arsip 2025/2024</x:v>
      </x:c>
      <x:c r="Z407" t="str">
        <x:v>https://snpmb.id/utbk-snbt/daya-tampung-snbt</x:v>
      </x:c>
      <x:c r="AA407" t="str">
        <x:v>Tidak Ada</x:v>
      </x:c>
      <x:c r="AB407" t="str">
        <x:v>Campus=80; Ratio=79.4; Prodi=80; RelDemand=83.1; Capacity=56.7</x:v>
      </x:c>
    </x:row>
    <x:row r="408">
      <x:c r="A408" t="n">
        <x:v>405</x:v>
      </x:c>
      <x:c r="B408" t="str">
        <x:v>PTN Akademik</x:v>
      </x:c>
      <x:c r="C408" t="str">
        <x:v>UNIVERSITAS ANDALAS</x:v>
      </x:c>
      <x:c r="D408" t="str">
        <x:v>ILMU TANAH</x:v>
      </x:c>
      <x:c r="E408" t="str">
        <x:v>Sarjana</x:v>
      </x:c>
      <x:c r="F408" s="18" t="n">
        <x:v>55</x:v>
      </x:c>
      <x:c r="G408" s="18" t="n">
        <x:v>204</x:v>
      </x:c>
      <x:c r="H408" s="19" t="n">
        <x:v>3.709090909090909</x:v>
      </x:c>
      <x:c r="I408" s="18" t="n">
        <x:f>ROUND(MIN(Model_Config_v3!$B$6,MAX(Q408,R408,S408*Model_Config_v3!$B$4+T408*Model_Config_v3!$B$5)),0)</x:f>
        <x:v>638</x:v>
      </x:c>
      <x:c r="J408" s="18" t="n">
        <x:f>MIN(Model_Config_v3!$B$6,I408+Model_Config_v3!$B$7)</x:f>
        <x:v>658</x:v>
      </x:c>
      <x:c r="K408" s="20" t="n">
        <x:v>51.2</x:v>
      </x:c>
      <x:c r="L408" t="str">
        <x:v>MENENGAH</x:v>
      </x:c>
      <x:c r="M408" t="str">
        <x:v>SEDANG+</x:v>
      </x:c>
      <x:c r="N408" t="str">
        <x:v>ELITE-3</x:v>
      </x:c>
      <x:c r="O408" t="str">
        <x:v>CAMPURAN</x:v>
      </x:c>
      <x:c r="P408" t="str">
        <x:v>UMUM</x:v>
      </x:c>
      <x:c r="Q408" s="18" t="n">
        <x:v>635</x:v>
      </x:c>
      <x:c r="R408" s="18" t="n">
        <x:v>0</x:v>
      </x:c>
      <x:c r="S408" s="18" t="n">
        <x:v>582.619422572482</x:v>
      </x:c>
      <x:c r="T408" s="18" t="n">
        <x:v>662</x:v>
      </x:c>
      <x:c r="U408" s="18" t="n">
        <x:v>635</x:v>
      </x:c>
      <x:c r="V408" s="20" t="n">
        <x:v>8.8</x:v>
      </x:c>
      <x:c r="W408" s="20" t="n">
        <x:v>9.9</x:v>
      </x:c>
      <x:c r="X408" s="20" t="n">
        <x:v>3.3</x:v>
      </x:c>
      <x:c r="Y408" t="str">
        <x:v>Basis arsip 2025/2024</x:v>
      </x:c>
      <x:c r="Z408" t="str">
        <x:v>https://snpmb.id/utbk-snbt/daya-tampung-snbt</x:v>
      </x:c>
      <x:c r="AA408" t="str">
        <x:v>Tidak Ada</x:v>
      </x:c>
      <x:c r="AB408" t="str">
        <x:v>Campus=80; Ratio=33.5; Prodi=40; RelDemand=13.8; Capacity=54.2</x:v>
      </x:c>
    </x:row>
    <x:row r="409">
      <x:c r="A409" t="n">
        <x:v>406</x:v>
      </x:c>
      <x:c r="B409" t="str">
        <x:v>PTN Akademik</x:v>
      </x:c>
      <x:c r="C409" t="str">
        <x:v>UNIVERSITAS ANDALAS</x:v>
      </x:c>
      <x:c r="D409" t="str">
        <x:v>AGROEKOTEKNOLOGI</x:v>
      </x:c>
      <x:c r="E409" t="str">
        <x:v>Sarjana</x:v>
      </x:c>
      <x:c r="F409" s="18" t="n">
        <x:v>60</x:v>
      </x:c>
      <x:c r="G409" s="18" t="n">
        <x:v>151</x:v>
      </x:c>
      <x:c r="H409" s="19" t="n">
        <x:v>2.5166666666666666</x:v>
      </x:c>
      <x:c r="I409" s="18" t="n">
        <x:f>ROUND(MIN(Model_Config_v3!$B$6,MAX(Q409,R409,S409*Model_Config_v3!$B$4+T409*Model_Config_v3!$B$5)),0)</x:f>
        <x:v>635</x:v>
      </x:c>
      <x:c r="J409" s="18" t="n">
        <x:f>MIN(Model_Config_v3!$B$6,I409+Model_Config_v3!$B$7)</x:f>
        <x:v>655</x:v>
      </x:c>
      <x:c r="K409" s="20" t="n">
        <x:v>47.8</x:v>
      </x:c>
      <x:c r="L409" t="str">
        <x:v>MENENGAH</x:v>
      </x:c>
      <x:c r="M409" t="str">
        <x:v>SEDANG+</x:v>
      </x:c>
      <x:c r="N409" t="str">
        <x:v>ELITE-3</x:v>
      </x:c>
      <x:c r="O409" t="str">
        <x:v>SAINTEK</x:v>
      </x:c>
      <x:c r="P409" t="str">
        <x:v>UMUM</x:v>
      </x:c>
      <x:c r="Q409" s="18" t="n">
        <x:v>635</x:v>
      </x:c>
      <x:c r="R409" s="18" t="n">
        <x:v>0</x:v>
      </x:c>
      <x:c r="S409" s="18" t="n">
        <x:v>564.0908266600478</x:v>
      </x:c>
      <x:c r="T409" s="18" t="n">
        <x:v>656</x:v>
      </x:c>
      <x:c r="U409" s="18" t="n">
        <x:v>635</x:v>
      </x:c>
      <x:c r="V409" s="20" t="n">
        <x:v>12</x:v>
      </x:c>
      <x:c r="W409" s="20" t="n">
        <x:v>5</x:v>
      </x:c>
      <x:c r="X409" s="20" t="n">
        <x:v>3</x:v>
      </x:c>
      <x:c r="Y409" t="str">
        <x:v>Basis arsip 2025/2024</x:v>
      </x:c>
      <x:c r="Z409" t="str">
        <x:v>https://snpmb.id/utbk-snbt/daya-tampung-snbt</x:v>
      </x:c>
      <x:c r="AA409" t="str">
        <x:v>Tidak Ada</x:v>
      </x:c>
      <x:c r="AB409" t="str">
        <x:v>Campus=80; Ratio=23.6; Prodi=40; RelDemand=9.3; Capacity=50.0</x:v>
      </x:c>
    </x:row>
    <x:row r="410">
      <x:c r="A410" t="n">
        <x:v>407</x:v>
      </x:c>
      <x:c r="B410" t="str">
        <x:v>PTN Akademik</x:v>
      </x:c>
      <x:c r="C410" t="str">
        <x:v>UNIVERSITAS ANDALAS</x:v>
      </x:c>
      <x:c r="D410" t="str">
        <x:v>PETERNAKAN ( KAMPUS II PAYAKUMBUH)</x:v>
      </x:c>
      <x:c r="E410" t="str">
        <x:v>Sarjana</x:v>
      </x:c>
      <x:c r="F410" s="18" t="n">
        <x:v>55</x:v>
      </x:c>
      <x:c r="G410" s="18" t="n">
        <x:v>97</x:v>
      </x:c>
      <x:c r="H410" s="19" t="n">
        <x:v>1.7636363636363637</x:v>
      </x:c>
      <x:c r="I410" s="18" t="n">
        <x:f>ROUND(MIN(Model_Config_v3!$B$6,MAX(Q410,R410,S410*Model_Config_v3!$B$4+T410*Model_Config_v3!$B$5)),0)</x:f>
        <x:v>635</x:v>
      </x:c>
      <x:c r="J410" s="18" t="n">
        <x:f>MIN(Model_Config_v3!$B$6,I410+Model_Config_v3!$B$7)</x:f>
        <x:v>655</x:v>
      </x:c>
      <x:c r="K410" s="20" t="n">
        <x:v>45.7</x:v>
      </x:c>
      <x:c r="L410" t="str">
        <x:v>MENENGAH</x:v>
      </x:c>
      <x:c r="M410" t="str">
        <x:v>SEDANG+</x:v>
      </x:c>
      <x:c r="N410" t="str">
        <x:v>ELITE-3</x:v>
      </x:c>
      <x:c r="O410" t="str">
        <x:v>SAINTEK</x:v>
      </x:c>
      <x:c r="P410" t="str">
        <x:v>UMUM</x:v>
      </x:c>
      <x:c r="Q410" s="18" t="n">
        <x:v>635</x:v>
      </x:c>
      <x:c r="R410" s="18" t="n">
        <x:v>0</x:v>
      </x:c>
      <x:c r="S410" s="18" t="n">
        <x:v>547.1049949249201</x:v>
      </x:c>
      <x:c r="T410" s="18" t="n">
        <x:v>651</x:v>
      </x:c>
      <x:c r="U410" s="18" t="n">
        <x:v>635</x:v>
      </x:c>
      <x:c r="V410" s="20" t="n">
        <x:v>12</x:v>
      </x:c>
      <x:c r="W410" s="20" t="n">
        <x:v>5</x:v>
      </x:c>
      <x:c r="X410" s="20" t="n">
        <x:v>3</x:v>
      </x:c>
      <x:c r="Y410" t="str">
        <x:v>Basis arsip 2025/2024</x:v>
      </x:c>
      <x:c r="Z410" t="str">
        <x:v>https://snpmb.id/utbk-snbt/daya-tampung-snbt</x:v>
      </x:c>
      <x:c r="AA410" t="str">
        <x:v>Tidak Ada</x:v>
      </x:c>
      <x:c r="AB410" t="str">
        <x:v>Campus=80; Ratio=14.5; Prodi=40; RelDemand=6.6; Capacity=54.2</x:v>
      </x:c>
    </x:row>
    <x:row r="411">
      <x:c r="A411" t="n">
        <x:v>408</x:v>
      </x:c>
      <x:c r="B411" t="str">
        <x:v>PTN Akademik</x:v>
      </x:c>
      <x:c r="C411" t="str">
        <x:v>UNIVERSITAS ANDALAS</x:v>
      </x:c>
      <x:c r="D411" t="str">
        <x:v>KEBIDANAN</x:v>
      </x:c>
      <x:c r="E411" t="str">
        <x:v>Sarjana</x:v>
      </x:c>
      <x:c r="F411" s="18" t="n">
        <x:v>35</x:v>
      </x:c>
      <x:c r="G411" s="18" t="n">
        <x:v>608</x:v>
      </x:c>
      <x:c r="H411" s="19" t="n">
        <x:v>17.37142857142857</x:v>
      </x:c>
      <x:c r="I411" s="18" t="n">
        <x:f>ROUND(MIN(Model_Config_v3!$B$6,MAX(Q411,R411,S411*Model_Config_v3!$B$4+T411*Model_Config_v3!$B$5)),0)</x:f>
        <x:v>688</x:v>
      </x:c>
      <x:c r="J411" s="18" t="n">
        <x:f>MIN(Model_Config_v3!$B$6,I411+Model_Config_v3!$B$7)</x:f>
        <x:v>708</x:v>
      </x:c>
      <x:c r="K411" s="20" t="n">
        <x:v>70.8</x:v>
      </x:c>
      <x:c r="L411" t="str">
        <x:v>SANGAT KETAT</x:v>
      </x:c>
      <x:c r="M411" t="str">
        <x:v>SEDANG+</x:v>
      </x:c>
      <x:c r="N411" t="str">
        <x:v>ELITE-3</x:v>
      </x:c>
      <x:c r="O411" t="str">
        <x:v>SAINTEK</x:v>
      </x:c>
      <x:c r="P411" t="str">
        <x:v>KESEHAT/GIZI/KEPERAWATAN</x:v>
      </x:c>
      <x:c r="Q411" s="18" t="n">
        <x:v>635</x:v>
      </x:c>
      <x:c r="R411" s="18" t="n">
        <x:v>0</x:v>
      </x:c>
      <x:c r="S411" s="18" t="n">
        <x:v>656.3819088414705</x:v>
      </x:c>
      <x:c r="T411" s="18" t="n">
        <x:v>702</x:v>
      </x:c>
      <x:c r="U411" s="18" t="n">
        <x:v>656.3819088414705</x:v>
      </x:c>
      <x:c r="V411" s="20" t="n">
        <x:v>12</x:v>
      </x:c>
      <x:c r="W411" s="20" t="n">
        <x:v>5</x:v>
      </x:c>
      <x:c r="X411" s="20" t="n">
        <x:v>3</x:v>
      </x:c>
      <x:c r="Y411" t="str">
        <x:v>Basis arsip 2025/2024</x:v>
      </x:c>
      <x:c r="Z411" t="str">
        <x:v>https://snpmb.id/utbk-snbt/daya-tampung-snbt</x:v>
      </x:c>
      <x:c r="AA411" t="str">
        <x:v>Tidak Ada</x:v>
      </x:c>
      <x:c r="AB411" t="str">
        <x:v>Campus=80; Ratio=73.0; Prodi=55; RelDemand=64.5; Capacity=70.8</x:v>
      </x:c>
    </x:row>
    <x:row r="412">
      <x:c r="A412" t="n">
        <x:v>409</x:v>
      </x:c>
      <x:c r="B412" t="str">
        <x:v>PTN Akademik</x:v>
      </x:c>
      <x:c r="C412" t="str">
        <x:v>UNIVERSITAS ANDALAS</x:v>
      </x:c>
      <x:c r="D412" t="str">
        <x:v>GIZI</x:v>
      </x:c>
      <x:c r="E412" t="str">
        <x:v>Sarjana</x:v>
      </x:c>
      <x:c r="F412" s="18" t="n">
        <x:v>52</x:v>
      </x:c>
      <x:c r="G412" s="18" t="n">
        <x:v>861</x:v>
      </x:c>
      <x:c r="H412" s="19" t="n">
        <x:v>16.557692307692307</x:v>
      </x:c>
      <x:c r="I412" s="18" t="n">
        <x:f>ROUND(MIN(Model_Config_v3!$B$6,MAX(Q412,R412,S412*Model_Config_v3!$B$4+T412*Model_Config_v3!$B$5)),0)</x:f>
        <x:v>685</x:v>
      </x:c>
      <x:c r="J412" s="18" t="n">
        <x:f>MIN(Model_Config_v3!$B$6,I412+Model_Config_v3!$B$7)</x:f>
        <x:v>705</x:v>
      </x:c>
      <x:c r="K412" s="20" t="n">
        <x:v>68.8</x:v>
      </x:c>
      <x:c r="L412" t="str">
        <x:v>SANGAT KETAT</x:v>
      </x:c>
      <x:c r="M412" t="str">
        <x:v>SEDANG+</x:v>
      </x:c>
      <x:c r="N412" t="str">
        <x:v>ELITE-3</x:v>
      </x:c>
      <x:c r="O412" t="str">
        <x:v>SAINTEK</x:v>
      </x:c>
      <x:c r="P412" t="str">
        <x:v>KESEHAT/GIZI/KEPERAWATAN</x:v>
      </x:c>
      <x:c r="Q412" s="18" t="n">
        <x:v>635</x:v>
      </x:c>
      <x:c r="R412" s="18" t="n">
        <x:v>0</x:v>
      </x:c>
      <x:c r="S412" s="18" t="n">
        <x:v>654.0899788600741</x:v>
      </x:c>
      <x:c r="T412" s="18" t="n">
        <x:v>698</x:v>
      </x:c>
      <x:c r="U412" s="18" t="n">
        <x:v>654.0899788600741</x:v>
      </x:c>
      <x:c r="V412" s="20" t="n">
        <x:v>12</x:v>
      </x:c>
      <x:c r="W412" s="20" t="n">
        <x:v>5</x:v>
      </x:c>
      <x:c r="X412" s="20" t="n">
        <x:v>3</x:v>
      </x:c>
      <x:c r="Y412" t="str">
        <x:v>Basis arsip 2025/2024</x:v>
      </x:c>
      <x:c r="Z412" t="str">
        <x:v>https://snpmb.id/utbk-snbt/daya-tampung-snbt</x:v>
      </x:c>
      <x:c r="AA412" t="str">
        <x:v>Tidak Ada</x:v>
      </x:c>
      <x:c r="AB412" t="str">
        <x:v>Campus=80; Ratio=71.7; Prodi=55; RelDemand=61.5; Capacity=56.7</x:v>
      </x:c>
    </x:row>
    <x:row r="413">
      <x:c r="A413" t="n">
        <x:v>410</x:v>
      </x:c>
      <x:c r="B413" t="str">
        <x:v>PTN Akademik</x:v>
      </x:c>
      <x:c r="C413" t="str">
        <x:v>UNIVERSITAS ANDALAS</x:v>
      </x:c>
      <x:c r="D413" t="str">
        <x:v>PROTEKSI TANAMAN</x:v>
      </x:c>
      <x:c r="E413" t="str">
        <x:v>Sarjana</x:v>
      </x:c>
      <x:c r="F413" s="18" t="n">
        <x:v>75</x:v>
      </x:c>
      <x:c r="G413" s="18" t="n">
        <x:v>158</x:v>
      </x:c>
      <x:c r="H413" s="19" t="n">
        <x:v>2.1066666666666665</x:v>
      </x:c>
      <x:c r="I413" s="18" t="n">
        <x:f>ROUND(MIN(Model_Config_v3!$B$6,MAX(Q413,R413,S413*Model_Config_v3!$B$4+T413*Model_Config_v3!$B$5)),0)</x:f>
        <x:v>635</x:v>
      </x:c>
      <x:c r="J413" s="18" t="n">
        <x:f>MIN(Model_Config_v3!$B$6,I413+Model_Config_v3!$B$7)</x:f>
        <x:v>655</x:v>
      </x:c>
      <x:c r="K413" s="20" t="n">
        <x:v>45.3</x:v>
      </x:c>
      <x:c r="L413" t="str">
        <x:v>MENENGAH</x:v>
      </x:c>
      <x:c r="M413" t="str">
        <x:v>SEDANG+</x:v>
      </x:c>
      <x:c r="N413" t="str">
        <x:v>ELITE-3</x:v>
      </x:c>
      <x:c r="O413" t="str">
        <x:v>CAMPURAN</x:v>
      </x:c>
      <x:c r="P413" t="str">
        <x:v>UMUM</x:v>
      </x:c>
      <x:c r="Q413" s="18" t="n">
        <x:v>635</x:v>
      </x:c>
      <x:c r="R413" s="18" t="n">
        <x:v>0</x:v>
      </x:c>
      <x:c r="S413" s="18" t="n">
        <x:v>555.5955405918995</x:v>
      </x:c>
      <x:c r="T413" s="18" t="n">
        <x:v>651</x:v>
      </x:c>
      <x:c r="U413" s="18" t="n">
        <x:v>635</x:v>
      </x:c>
      <x:c r="V413" s="20" t="n">
        <x:v>8.8</x:v>
      </x:c>
      <x:c r="W413" s="20" t="n">
        <x:v>9.9</x:v>
      </x:c>
      <x:c r="X413" s="20" t="n">
        <x:v>3.3</x:v>
      </x:c>
      <x:c r="Y413" t="str">
        <x:v>Basis arsip 2025/2024</x:v>
      </x:c>
      <x:c r="Z413" t="str">
        <x:v>https://snpmb.id/utbk-snbt/daya-tampung-snbt</x:v>
      </x:c>
      <x:c r="AA413" t="str">
        <x:v>Tidak Ada</x:v>
      </x:c>
      <x:c r="AB413" t="str">
        <x:v>Campus=80; Ratio=19.0; Prodi=40; RelDemand=7.8; Capacity=37.5</x:v>
      </x:c>
    </x:row>
    <x:row r="414">
      <x:c r="A414" t="n">
        <x:v>411</x:v>
      </x:c>
      <x:c r="B414" t="str">
        <x:v>PTN Akademik</x:v>
      </x:c>
      <x:c r="C414" t="str">
        <x:v>UNIVERSITAS ANDALAS</x:v>
      </x:c>
      <x:c r="D414" t="str">
        <x:v>PENYULUHAN PERTANIAN</x:v>
      </x:c>
      <x:c r="E414" t="str">
        <x:v>Sarjana</x:v>
      </x:c>
      <x:c r="F414" s="18" t="n">
        <x:v>22</x:v>
      </x:c>
      <x:c r="G414" s="18" t="n">
        <x:v>145</x:v>
      </x:c>
      <x:c r="H414" s="19" t="n">
        <x:v>6.590909090909091</x:v>
      </x:c>
      <x:c r="I414" s="18" t="n">
        <x:f>ROUND(MIN(Model_Config_v3!$B$6,MAX(Q414,R414,S414*Model_Config_v3!$B$4+T414*Model_Config_v3!$B$5)),0)</x:f>
        <x:v>657</x:v>
      </x:c>
      <x:c r="J414" s="18" t="n">
        <x:f>MIN(Model_Config_v3!$B$6,I414+Model_Config_v3!$B$7)</x:f>
        <x:v>677</x:v>
      </x:c>
      <x:c r="K414" s="20" t="n">
        <x:v>58.7</x:v>
      </x:c>
      <x:c r="L414" t="str">
        <x:v>KETAT</x:v>
      </x:c>
      <x:c r="M414" t="str">
        <x:v>SEDANG+</x:v>
      </x:c>
      <x:c r="N414" t="str">
        <x:v>ELITE-3</x:v>
      </x:c>
      <x:c r="O414" t="str">
        <x:v>SAINTEK</x:v>
      </x:c>
      <x:c r="P414" t="str">
        <x:v>UMUM</x:v>
      </x:c>
      <x:c r="Q414" s="18" t="n">
        <x:v>635</x:v>
      </x:c>
      <x:c r="R414" s="18" t="n">
        <x:v>0</x:v>
      </x:c>
      <x:c r="S414" s="18" t="n">
        <x:v>610.0839853554046</x:v>
      </x:c>
      <x:c r="T414" s="18" t="n">
        <x:v>677</x:v>
      </x:c>
      <x:c r="U414" s="18" t="n">
        <x:v>635</x:v>
      </x:c>
      <x:c r="V414" s="20" t="n">
        <x:v>12</x:v>
      </x:c>
      <x:c r="W414" s="20" t="n">
        <x:v>5</x:v>
      </x:c>
      <x:c r="X414" s="20" t="n">
        <x:v>3</x:v>
      </x:c>
      <x:c r="Y414" t="str">
        <x:v>Basis arsip 2025/2024</x:v>
      </x:c>
      <x:c r="Z414" t="str">
        <x:v>https://snpmb.id/utbk-snbt/daya-tampung-snbt</x:v>
      </x:c>
      <x:c r="AA414" t="str">
        <x:v>Tidak Ada</x:v>
      </x:c>
      <x:c r="AB414" t="str">
        <x:v>Campus=80; Ratio=48.2; Prodi=40; RelDemand=24.5; Capacity=81.7</x:v>
      </x:c>
    </x:row>
    <x:row r="415">
      <x:c r="A415" t="n">
        <x:v>412</x:v>
      </x:c>
      <x:c r="B415" t="str">
        <x:v>PTN Akademik</x:v>
      </x:c>
      <x:c r="C415" t="str">
        <x:v>UNIVERSITAS ANDALAS</x:v>
      </x:c>
      <x:c r="D415" t="str">
        <x:v>TEKNOLOGI INDUSTRI PERTANIAN</x:v>
      </x:c>
      <x:c r="E415" t="str">
        <x:v>Sarjana</x:v>
      </x:c>
      <x:c r="F415" s="18" t="n">
        <x:v>40</x:v>
      </x:c>
      <x:c r="G415" s="18" t="n">
        <x:v>202</x:v>
      </x:c>
      <x:c r="H415" s="19" t="n">
        <x:v>5.05</x:v>
      </x:c>
      <x:c r="I415" s="18" t="n">
        <x:f>ROUND(MIN(Model_Config_v3!$B$6,MAX(Q415,R415,S415*Model_Config_v3!$B$4+T415*Model_Config_v3!$B$5)),0)</x:f>
        <x:v>648</x:v>
      </x:c>
      <x:c r="J415" s="18" t="n">
        <x:f>MIN(Model_Config_v3!$B$6,I415+Model_Config_v3!$B$7)</x:f>
        <x:v>668</x:v>
      </x:c>
      <x:c r="K415" s="20" t="n">
        <x:v>54.9</x:v>
      </x:c>
      <x:c r="L415" t="str">
        <x:v>MENENGAH</x:v>
      </x:c>
      <x:c r="M415" t="str">
        <x:v>SEDANG+</x:v>
      </x:c>
      <x:c r="N415" t="str">
        <x:v>ELITE-3</x:v>
      </x:c>
      <x:c r="O415" t="str">
        <x:v>SAINTEK</x:v>
      </x:c>
      <x:c r="P415" t="str">
        <x:v>UMUM</x:v>
      </x:c>
      <x:c r="Q415" s="18" t="n">
        <x:v>635</x:v>
      </x:c>
      <x:c r="R415" s="18" t="n">
        <x:v>0</x:v>
      </x:c>
      <x:c r="S415" s="18" t="n">
        <x:v>597.3620515930527</x:v>
      </x:c>
      <x:c r="T415" s="18" t="n">
        <x:v>670</x:v>
      </x:c>
      <x:c r="U415" s="18" t="n">
        <x:v>635</x:v>
      </x:c>
      <x:c r="V415" s="20" t="n">
        <x:v>12</x:v>
      </x:c>
      <x:c r="W415" s="20" t="n">
        <x:v>5</x:v>
      </x:c>
      <x:c r="X415" s="20" t="n">
        <x:v>3</x:v>
      </x:c>
      <x:c r="Y415" t="str">
        <x:v>Basis arsip 2025/2024</x:v>
      </x:c>
      <x:c r="Z415" t="str">
        <x:v>https://snpmb.id/utbk-snbt/daya-tampung-snbt</x:v>
      </x:c>
      <x:c r="AA415" t="str">
        <x:v>Tidak Ada</x:v>
      </x:c>
      <x:c r="AB415" t="str">
        <x:v>Campus=80; Ratio=41.4; Prodi=40; RelDemand=18.8; Capacity=66.7</x:v>
      </x:c>
    </x:row>
    <x:row r="416">
      <x:c r="A416" t="n">
        <x:v>413</x:v>
      </x:c>
      <x:c r="B416" t="str">
        <x:v>PTN Akademik</x:v>
      </x:c>
      <x:c r="C416" t="str">
        <x:v>UNIVERSITAS ANDALAS</x:v>
      </x:c>
      <x:c r="D416" t="str">
        <x:v>ILMU BIOMEDIS</x:v>
      </x:c>
      <x:c r="E416" t="str">
        <x:v>Sarjana</x:v>
      </x:c>
      <x:c r="F416" s="18" t="n">
        <x:v>20</x:v>
      </x:c>
      <x:c r="G416" s="18" t="n">
        <x:v>341</x:v>
      </x:c>
      <x:c r="H416" s="19" t="n">
        <x:v>17.05</x:v>
      </x:c>
      <x:c r="I416" s="18" t="n">
        <x:f>ROUND(MIN(Model_Config_v3!$B$6,MAX(Q416,R416,S416*Model_Config_v3!$B$4+T416*Model_Config_v3!$B$5)),0)</x:f>
        <x:v>685</x:v>
      </x:c>
      <x:c r="J416" s="18" t="n">
        <x:f>MIN(Model_Config_v3!$B$6,I416+Model_Config_v3!$B$7)</x:f>
        <x:v>705</x:v>
      </x:c>
      <x:c r="K416" s="20" t="n">
        <x:v>68.8</x:v>
      </x:c>
      <x:c r="L416" t="str">
        <x:v>SANGAT KETAT</x:v>
      </x:c>
      <x:c r="M416" t="str">
        <x:v>SEDANG+</x:v>
      </x:c>
      <x:c r="N416" t="str">
        <x:v>ELITE-3</x:v>
      </x:c>
      <x:c r="O416" t="str">
        <x:v>CAMPURAN</x:v>
      </x:c>
      <x:c r="P416" t="str">
        <x:v>UMUM</x:v>
      </x:c>
      <x:c r="Q416" s="18" t="n">
        <x:v>635</x:v>
      </x:c>
      <x:c r="R416" s="18" t="n">
        <x:v>0</x:v>
      </x:c>
      <x:c r="S416" s="18" t="n">
        <x:v>655.4896821661368</x:v>
      </x:c>
      <x:c r="T416" s="18" t="n">
        <x:v>698</x:v>
      </x:c>
      <x:c r="U416" s="18" t="n">
        <x:v>655.4896821661368</x:v>
      </x:c>
      <x:c r="V416" s="20" t="n">
        <x:v>8.8</x:v>
      </x:c>
      <x:c r="W416" s="20" t="n">
        <x:v>9.9</x:v>
      </x:c>
      <x:c r="X416" s="20" t="n">
        <x:v>3.3</x:v>
      </x:c>
      <x:c r="Y416" t="str">
        <x:v>Basis arsip 2025/2024</x:v>
      </x:c>
      <x:c r="Z416" t="str">
        <x:v>https://snpmb.id/utbk-snbt/daya-tampung-snbt</x:v>
      </x:c>
      <x:c r="AA416" t="str">
        <x:v>Tidak Ada</x:v>
      </x:c>
      <x:c r="AB416" t="str">
        <x:v>Campus=80; Ratio=72.5; Prodi=40; RelDemand=63.3; Capacity=83.3</x:v>
      </x:c>
    </x:row>
    <x:row r="417">
      <x:c r="A417" t="n">
        <x:v>414</x:v>
      </x:c>
      <x:c r="B417" t="str">
        <x:v>PTN Akademik</x:v>
      </x:c>
      <x:c r="C417" t="str">
        <x:v>UNIVERSITAS ANDALAS</x:v>
      </x:c>
      <x:c r="D417" t="str">
        <x:v>EKONOMI</x:v>
      </x:c>
      <x:c r="E417" t="str">
        <x:v>Sarjana</x:v>
      </x:c>
      <x:c r="F417" s="18" t="n">
        <x:v>65</x:v>
      </x:c>
      <x:c r="G417" s="18" t="n">
        <x:v>516</x:v>
      </x:c>
      <x:c r="H417" s="19" t="n">
        <x:v>7.938461538461539</x:v>
      </x:c>
      <x:c r="I417" s="18" t="n">
        <x:f>ROUND(MIN(Model_Config_v3!$B$6,MAX(Q417,R417,S417*Model_Config_v3!$B$4+T417*Model_Config_v3!$B$5)),0)</x:f>
        <x:v>657</x:v>
      </x:c>
      <x:c r="J417" s="18" t="n">
        <x:f>MIN(Model_Config_v3!$B$6,I417+Model_Config_v3!$B$7)</x:f>
        <x:v>677</x:v>
      </x:c>
      <x:c r="K417" s="20" t="n">
        <x:v>56.8</x:v>
      </x:c>
      <x:c r="L417" t="str">
        <x:v>KETAT</x:v>
      </x:c>
      <x:c r="M417" t="str">
        <x:v>SEDANG+</x:v>
      </x:c>
      <x:c r="N417" t="str">
        <x:v>ELITE-3</x:v>
      </x:c>
      <x:c r="O417" t="str">
        <x:v>SOSHUM</x:v>
      </x:c>
      <x:c r="P417" t="str">
        <x:v>UMUM</x:v>
      </x:c>
      <x:c r="Q417" s="18" t="n">
        <x:v>635</x:v>
      </x:c>
      <x:c r="R417" s="18" t="n">
        <x:v>0</x:v>
      </x:c>
      <x:c r="S417" s="18" t="n">
        <x:v>618.9709979482791</x:v>
      </x:c>
      <x:c r="T417" s="18" t="n">
        <x:v>674</x:v>
      </x:c>
      <x:c r="U417" s="18" t="n">
        <x:v>635</x:v>
      </x:c>
      <x:c r="V417" s="20" t="n">
        <x:v>4.4</x:v>
      </x:c>
      <x:c r="W417" s="20" t="n">
        <x:v>14.3</x:v>
      </x:c>
      <x:c r="X417" s="20" t="n">
        <x:v>3.3</x:v>
      </x:c>
      <x:c r="Y417" t="str">
        <x:v>Basis arsip 2025/2024</x:v>
      </x:c>
      <x:c r="Z417" t="str">
        <x:v>https://snpmb.id/utbk-snbt/daya-tampung-snbt</x:v>
      </x:c>
      <x:c r="AA417" t="str">
        <x:v>Tidak Ada</x:v>
      </x:c>
      <x:c r="AB417" t="str">
        <x:v>Campus=80; Ratio=53.0; Prodi=40; RelDemand=29.5; Capacity=45.8</x:v>
      </x:c>
    </x:row>
    <x:row r="418">
      <x:c r="A418" t="n">
        <x:v>415</x:v>
      </x:c>
      <x:c r="B418" t="str">
        <x:v>PTN Akademik</x:v>
      </x:c>
      <x:c r="C418" t="str">
        <x:v>UNIVERSITAS ANDALAS</x:v>
      </x:c>
      <x:c r="D418" t="str">
        <x:v>HUKUM</x:v>
      </x:c>
      <x:c r="E418" t="str">
        <x:v>Sarjana</x:v>
      </x:c>
      <x:c r="F418" s="18" t="n">
        <x:v>220</x:v>
      </x:c>
      <x:c r="G418" s="18" t="n">
        <x:v>2175</x:v>
      </x:c>
      <x:c r="H418" s="19" t="n">
        <x:v>9.886363636363637</x:v>
      </x:c>
      <x:c r="I418" s="18" t="n">
        <x:f>ROUND(MIN(Model_Config_v3!$B$6,MAX(Q418,R418,S418*Model_Config_v3!$B$4+T418*Model_Config_v3!$B$5)),0)</x:f>
        <x:v>664</x:v>
      </x:c>
      <x:c r="J418" s="18" t="n">
        <x:f>MIN(Model_Config_v3!$B$6,I418+Model_Config_v3!$B$7)</x:f>
        <x:v>684</x:v>
      </x:c>
      <x:c r="K418" s="20" t="n">
        <x:v>59.3</x:v>
      </x:c>
      <x:c r="L418" t="str">
        <x:v>KETAT</x:v>
      </x:c>
      <x:c r="M418" t="str">
        <x:v>SEDANG+</x:v>
      </x:c>
      <x:c r="N418" t="str">
        <x:v>ELITE-3</x:v>
      </x:c>
      <x:c r="O418" t="str">
        <x:v>SOSHUM</x:v>
      </x:c>
      <x:c r="P418" t="str">
        <x:v>HUKUM</x:v>
      </x:c>
      <x:c r="Q418" s="18" t="n">
        <x:v>635</x:v>
      </x:c>
      <x:c r="R418" s="18" t="n">
        <x:v>0</x:v>
      </x:c>
      <x:c r="S418" s="18" t="n">
        <x:v>629.4540238515294</x:v>
      </x:c>
      <x:c r="T418" s="18" t="n">
        <x:v>679</x:v>
      </x:c>
      <x:c r="U418" s="18" t="n">
        <x:v>644.4540238515294</x:v>
      </x:c>
      <x:c r="V418" s="20" t="n">
        <x:v>4.4</x:v>
      </x:c>
      <x:c r="W418" s="20" t="n">
        <x:v>14.3</x:v>
      </x:c>
      <x:c r="X418" s="20" t="n">
        <x:v>3.3</x:v>
      </x:c>
      <x:c r="Y418" t="str">
        <x:v>Basis arsip 2025/2024</x:v>
      </x:c>
      <x:c r="Z418" t="str">
        <x:v>https://snpmb.id/utbk-snbt/daya-tampung-snbt</x:v>
      </x:c>
      <x:c r="AA418" t="str">
        <x:v>Tidak Ada</x:v>
      </x:c>
      <x:c r="AB418" t="str">
        <x:v>Campus=80; Ratio=58.6; Prodi=65; RelDemand=36.7; Capacity=0.0</x:v>
      </x:c>
    </x:row>
    <x:row r="419">
      <x:c r="A419" t="n">
        <x:v>416</x:v>
      </x:c>
      <x:c r="B419" t="str">
        <x:v>PTN Akademik</x:v>
      </x:c>
      <x:c r="C419" t="str">
        <x:v>UNIVERSITAS ANDALAS</x:v>
      </x:c>
      <x:c r="D419" t="str">
        <x:v>SEJARAH</x:v>
      </x:c>
      <x:c r="E419" t="str">
        <x:v>Sarjana</x:v>
      </x:c>
      <x:c r="F419" s="18" t="n">
        <x:v>48</x:v>
      </x:c>
      <x:c r="G419" s="18" t="n">
        <x:v>100</x:v>
      </x:c>
      <x:c r="H419" s="19" t="n">
        <x:v>2.0833333333333335</x:v>
      </x:c>
      <x:c r="I419" s="18" t="n">
        <x:f>ROUND(MIN(Model_Config_v3!$B$6,MAX(Q419,R419,S419*Model_Config_v3!$B$4+T419*Model_Config_v3!$B$5)),0)</x:f>
        <x:v>635</x:v>
      </x:c>
      <x:c r="J419" s="18" t="n">
        <x:f>MIN(Model_Config_v3!$B$6,I419+Model_Config_v3!$B$7)</x:f>
        <x:v>655</x:v>
      </x:c>
      <x:c r="K419" s="20" t="n">
        <x:v>47.5</x:v>
      </x:c>
      <x:c r="L419" t="str">
        <x:v>MENENGAH</x:v>
      </x:c>
      <x:c r="M419" t="str">
        <x:v>SEDANG+</x:v>
      </x:c>
      <x:c r="N419" t="str">
        <x:v>ELITE-3</x:v>
      </x:c>
      <x:c r="O419" t="str">
        <x:v>SOSHUM</x:v>
      </x:c>
      <x:c r="P419" t="str">
        <x:v>UMUM</x:v>
      </x:c>
      <x:c r="Q419" s="18" t="n">
        <x:v>635</x:v>
      </x:c>
      <x:c r="R419" s="18" t="n">
        <x:v>0</x:v>
      </x:c>
      <x:c r="S419" s="18" t="n">
        <x:v>555.0634638886854</x:v>
      </x:c>
      <x:c r="T419" s="18" t="n">
        <x:v>655</x:v>
      </x:c>
      <x:c r="U419" s="18" t="n">
        <x:v>635</x:v>
      </x:c>
      <x:c r="V419" s="20" t="n">
        <x:v>4.4</x:v>
      </x:c>
      <x:c r="W419" s="20" t="n">
        <x:v>14.3</x:v>
      </x:c>
      <x:c r="X419" s="20" t="n">
        <x:v>3.3</x:v>
      </x:c>
      <x:c r="Y419" t="str">
        <x:v>Basis arsip 2025/2024</x:v>
      </x:c>
      <x:c r="Z419" t="str">
        <x:v>https://snpmb.id/utbk-snbt/daya-tampung-snbt</x:v>
      </x:c>
      <x:c r="AA419" t="str">
        <x:v>Tidak Ada</x:v>
      </x:c>
      <x:c r="AB419" t="str">
        <x:v>Campus=80; Ratio=18.8; Prodi=40; RelDemand=7.7; Capacity=60.0</x:v>
      </x:c>
    </x:row>
    <x:row r="420">
      <x:c r="A420" t="n">
        <x:v>417</x:v>
      </x:c>
      <x:c r="B420" t="str">
        <x:v>PTN Akademik</x:v>
      </x:c>
      <x:c r="C420" t="str">
        <x:v>UNIVERSITAS ANDALAS</x:v>
      </x:c>
      <x:c r="D420" t="str">
        <x:v>SOSIOLOGI</x:v>
      </x:c>
      <x:c r="E420" t="str">
        <x:v>Sarjana</x:v>
      </x:c>
      <x:c r="F420" s="18" t="n">
        <x:v>45</x:v>
      </x:c>
      <x:c r="G420" s="18" t="n">
        <x:v>228</x:v>
      </x:c>
      <x:c r="H420" s="19" t="n">
        <x:v>5.066666666666666</x:v>
      </x:c>
      <x:c r="I420" s="18" t="n">
        <x:f>ROUND(MIN(Model_Config_v3!$B$6,MAX(Q420,R420,S420*Model_Config_v3!$B$4+T420*Model_Config_v3!$B$5)),0)</x:f>
        <x:v>648</x:v>
      </x:c>
      <x:c r="J420" s="18" t="n">
        <x:f>MIN(Model_Config_v3!$B$6,I420+Model_Config_v3!$B$7)</x:f>
        <x:v>668</x:v>
      </x:c>
      <x:c r="K420" s="20" t="n">
        <x:v>54.5</x:v>
      </x:c>
      <x:c r="L420" t="str">
        <x:v>MENENGAH</x:v>
      </x:c>
      <x:c r="M420" t="str">
        <x:v>SEDANG+</x:v>
      </x:c>
      <x:c r="N420" t="str">
        <x:v>ELITE-3</x:v>
      </x:c>
      <x:c r="O420" t="str">
        <x:v>SOSHUM</x:v>
      </x:c>
      <x:c r="P420" t="str">
        <x:v>UMUM</x:v>
      </x:c>
      <x:c r="Q420" s="18" t="n">
        <x:v>635</x:v>
      </x:c>
      <x:c r="R420" s="18" t="n">
        <x:v>0</x:v>
      </x:c>
      <x:c r="S420" s="18" t="n">
        <x:v>597.519456654762</x:v>
      </x:c>
      <x:c r="T420" s="18" t="n">
        <x:v>669</x:v>
      </x:c>
      <x:c r="U420" s="18" t="n">
        <x:v>635</x:v>
      </x:c>
      <x:c r="V420" s="20" t="n">
        <x:v>4.4</x:v>
      </x:c>
      <x:c r="W420" s="20" t="n">
        <x:v>14.3</x:v>
      </x:c>
      <x:c r="X420" s="20" t="n">
        <x:v>3.3</x:v>
      </x:c>
      <x:c r="Y420" t="str">
        <x:v>Basis arsip 2025/2024</x:v>
      </x:c>
      <x:c r="Z420" t="str">
        <x:v>https://snpmb.id/utbk-snbt/daya-tampung-snbt</x:v>
      </x:c>
      <x:c r="AA420" t="str">
        <x:v>Tidak Ada</x:v>
      </x:c>
      <x:c r="AB420" t="str">
        <x:v>Campus=80; Ratio=41.5; Prodi=40; RelDemand=18.8; Capacity=62.5</x:v>
      </x:c>
    </x:row>
    <x:row r="421">
      <x:c r="A421" t="n">
        <x:v>418</x:v>
      </x:c>
      <x:c r="B421" t="str">
        <x:v>PTN Akademik</x:v>
      </x:c>
      <x:c r="C421" t="str">
        <x:v>UNIVERSITAS ANDALAS</x:v>
      </x:c>
      <x:c r="D421" t="str">
        <x:v>ANTROPOLOGI SOSIAL</x:v>
      </x:c>
      <x:c r="E421" t="str">
        <x:v>Sarjana</x:v>
      </x:c>
      <x:c r="F421" s="18" t="n">
        <x:v>40</x:v>
      </x:c>
      <x:c r="G421" s="18" t="n">
        <x:v>246</x:v>
      </x:c>
      <x:c r="H421" s="19" t="n">
        <x:v>6.15</x:v>
      </x:c>
      <x:c r="I421" s="18" t="n">
        <x:f>ROUND(MIN(Model_Config_v3!$B$6,MAX(Q421,R421,S421*Model_Config_v3!$B$4+T421*Model_Config_v3!$B$5)),0)</x:f>
        <x:v>653</x:v>
      </x:c>
      <x:c r="J421" s="18" t="n">
        <x:f>MIN(Model_Config_v3!$B$6,I421+Model_Config_v3!$B$7)</x:f>
        <x:v>673</x:v>
      </x:c>
      <x:c r="K421" s="20" t="n">
        <x:v>56.6</x:v>
      </x:c>
      <x:c r="L421" t="str">
        <x:v>KETAT</x:v>
      </x:c>
      <x:c r="M421" t="str">
        <x:v>SEDANG+</x:v>
      </x:c>
      <x:c r="N421" t="str">
        <x:v>ELITE-3</x:v>
      </x:c>
      <x:c r="O421" t="str">
        <x:v>SOSHUM</x:v>
      </x:c>
      <x:c r="P421" t="str">
        <x:v>UMUM</x:v>
      </x:c>
      <x:c r="Q421" s="18" t="n">
        <x:v>635</x:v>
      </x:c>
      <x:c r="R421" s="18" t="n">
        <x:v>0</x:v>
      </x:c>
      <x:c r="S421" s="18" t="n">
        <x:v>606.7762627352959</x:v>
      </x:c>
      <x:c r="T421" s="18" t="n">
        <x:v>673</x:v>
      </x:c>
      <x:c r="U421" s="18" t="n">
        <x:v>635</x:v>
      </x:c>
      <x:c r="V421" s="20" t="n">
        <x:v>4.4</x:v>
      </x:c>
      <x:c r="W421" s="20" t="n">
        <x:v>14.3</x:v>
      </x:c>
      <x:c r="X421" s="20" t="n">
        <x:v>3.3</x:v>
      </x:c>
      <x:c r="Y421" t="str">
        <x:v>Basis arsip 2025/2024</x:v>
      </x:c>
      <x:c r="Z421" t="str">
        <x:v>https://snpmb.id/utbk-snbt/daya-tampung-snbt</x:v>
      </x:c>
      <x:c r="AA421" t="str">
        <x:v>Tidak Ada</x:v>
      </x:c>
      <x:c r="AB421" t="str">
        <x:v>Campus=80; Ratio=46.4; Prodi=40; RelDemand=22.8; Capacity=66.7</x:v>
      </x:c>
    </x:row>
    <x:row r="422">
      <x:c r="A422" t="n">
        <x:v>419</x:v>
      </x:c>
      <x:c r="B422" t="str">
        <x:v>PTN Akademik</x:v>
      </x:c>
      <x:c r="C422" t="str">
        <x:v>UNIVERSITAS ANDALAS</x:v>
      </x:c>
      <x:c r="D422" t="str">
        <x:v>MANAJEMEN</x:v>
      </x:c>
      <x:c r="E422" t="str">
        <x:v>Sarjana</x:v>
      </x:c>
      <x:c r="F422" s="18" t="n">
        <x:v>90</x:v>
      </x:c>
      <x:c r="G422" s="18" t="n">
        <x:v>1746</x:v>
      </x:c>
      <x:c r="H422" s="19" t="n">
        <x:v>19.4</x:v>
      </x:c>
      <x:c r="I422" s="18" t="n">
        <x:f>ROUND(MIN(Model_Config_v3!$B$6,MAX(Q422,R422,S422*Model_Config_v3!$B$4+T422*Model_Config_v3!$B$5)),0)</x:f>
        <x:v>688</x:v>
      </x:c>
      <x:c r="J422" s="18" t="n">
        <x:f>MIN(Model_Config_v3!$B$6,I422+Model_Config_v3!$B$7)</x:f>
        <x:v>708</x:v>
      </x:c>
      <x:c r="K422" s="20" t="n">
        <x:v>69.7</x:v>
      </x:c>
      <x:c r="L422" t="str">
        <x:v>SANGAT KETAT</x:v>
      </x:c>
      <x:c r="M422" t="str">
        <x:v>SEDANG+</x:v>
      </x:c>
      <x:c r="N422" t="str">
        <x:v>ELITE-3</x:v>
      </x:c>
      <x:c r="O422" t="str">
        <x:v>SOSHUM</x:v>
      </x:c>
      <x:c r="P422" t="str">
        <x:v>BISNIS/EKONOMI/AKUNTANSI</x:v>
      </x:c>
      <x:c r="Q422" s="18" t="n">
        <x:v>635</x:v>
      </x:c>
      <x:c r="R422" s="18" t="n">
        <x:v>0</x:v>
      </x:c>
      <x:c r="S422" s="18" t="n">
        <x:v>661.6581902923249</x:v>
      </x:c>
      <x:c r="T422" s="18" t="n">
        <x:v>699</x:v>
      </x:c>
      <x:c r="U422" s="18" t="n">
        <x:v>676.6581902923249</x:v>
      </x:c>
      <x:c r="V422" s="20" t="n">
        <x:v>4.4</x:v>
      </x:c>
      <x:c r="W422" s="20" t="n">
        <x:v>14.3</x:v>
      </x:c>
      <x:c r="X422" s="20" t="n">
        <x:v>3.3</x:v>
      </x:c>
      <x:c r="Y422" t="str">
        <x:v>Basis arsip 2025/2024</x:v>
      </x:c>
      <x:c r="Z422" t="str">
        <x:v>https://snpmb.id/utbk-snbt/daya-tampung-snbt</x:v>
      </x:c>
      <x:c r="AA422" t="str">
        <x:v>Tidak Ada</x:v>
      </x:c>
      <x:c r="AB422" t="str">
        <x:v>Campus=80; Ratio=75.8; Prodi=65; RelDemand=72.1; Capacity=25.0</x:v>
      </x:c>
    </x:row>
    <x:row r="423">
      <x:c r="A423" t="n">
        <x:v>420</x:v>
      </x:c>
      <x:c r="B423" t="str">
        <x:v>PTN Akademik</x:v>
      </x:c>
      <x:c r="C423" t="str">
        <x:v>UNIVERSITAS ANDALAS</x:v>
      </x:c>
      <x:c r="D423" t="str">
        <x:v>AKUNTANSI</x:v>
      </x:c>
      <x:c r="E423" t="str">
        <x:v>Sarjana</x:v>
      </x:c>
      <x:c r="F423" s="18" t="n">
        <x:v>90</x:v>
      </x:c>
      <x:c r="G423" s="18" t="n">
        <x:v>1197</x:v>
      </x:c>
      <x:c r="H423" s="19" t="n">
        <x:v>13.3</x:v>
      </x:c>
      <x:c r="I423" s="18" t="n">
        <x:f>ROUND(MIN(Model_Config_v3!$B$6,MAX(Q423,R423,S423*Model_Config_v3!$B$4+T423*Model_Config_v3!$B$5)),0)</x:f>
        <x:v>676</x:v>
      </x:c>
      <x:c r="J423" s="18" t="n">
        <x:f>MIN(Model_Config_v3!$B$6,I423+Model_Config_v3!$B$7)</x:f>
        <x:v>696</x:v>
      </x:c>
      <x:c r="K423" s="20" t="n">
        <x:v>65</x:v>
      </x:c>
      <x:c r="L423" t="str">
        <x:v>SANGAT KETAT</x:v>
      </x:c>
      <x:c r="M423" t="str">
        <x:v>SEDANG+</x:v>
      </x:c>
      <x:c r="N423" t="str">
        <x:v>ELITE-3</x:v>
      </x:c>
      <x:c r="O423" t="str">
        <x:v>SOSHUM</x:v>
      </x:c>
      <x:c r="P423" t="str">
        <x:v>BISNIS/EKONOMI/AKUNTANSI</x:v>
      </x:c>
      <x:c r="Q423" s="18" t="n">
        <x:v>635</x:v>
      </x:c>
      <x:c r="R423" s="18" t="n">
        <x:v>0</x:v>
      </x:c>
      <x:c r="S423" s="18" t="n">
        <x:v>643.6236805063794</x:v>
      </x:c>
      <x:c r="T423" s="18" t="n">
        <x:v>690</x:v>
      </x:c>
      <x:c r="U423" s="18" t="n">
        <x:v>643.6236805063794</x:v>
      </x:c>
      <x:c r="V423" s="20" t="n">
        <x:v>4.4</x:v>
      </x:c>
      <x:c r="W423" s="20" t="n">
        <x:v>14.3</x:v>
      </x:c>
      <x:c r="X423" s="20" t="n">
        <x:v>3.3</x:v>
      </x:c>
      <x:c r="Y423" t="str">
        <x:v>Basis arsip 2025/2024</x:v>
      </x:c>
      <x:c r="Z423" t="str">
        <x:v>https://snpmb.id/utbk-snbt/daya-tampung-snbt</x:v>
      </x:c>
      <x:c r="AA423" t="str">
        <x:v>Tidak Ada</x:v>
      </x:c>
      <x:c r="AB423" t="str">
        <x:v>Campus=80; Ratio=66.1; Prodi=65; RelDemand=49.4; Capacity=25.0</x:v>
      </x:c>
    </x:row>
    <x:row r="424">
      <x:c r="A424" t="n">
        <x:v>421</x:v>
      </x:c>
      <x:c r="B424" t="str">
        <x:v>PTN Akademik</x:v>
      </x:c>
      <x:c r="C424" t="str">
        <x:v>UNIVERSITAS ANDALAS</x:v>
      </x:c>
      <x:c r="D424" t="str">
        <x:v>ILMU POLITIK</x:v>
      </x:c>
      <x:c r="E424" t="str">
        <x:v>Sarjana</x:v>
      </x:c>
      <x:c r="F424" s="18" t="n">
        <x:v>35</x:v>
      </x:c>
      <x:c r="G424" s="18" t="n">
        <x:v>225</x:v>
      </x:c>
      <x:c r="H424" s="19" t="n">
        <x:v>6.428571428571429</x:v>
      </x:c>
      <x:c r="I424" s="18" t="n">
        <x:f>ROUND(MIN(Model_Config_v3!$B$6,MAX(Q424,R424,S424*Model_Config_v3!$B$4+T424*Model_Config_v3!$B$5)),0)</x:f>
        <x:v>655</x:v>
      </x:c>
      <x:c r="J424" s="18" t="n">
        <x:f>MIN(Model_Config_v3!$B$6,I424+Model_Config_v3!$B$7)</x:f>
        <x:v>675</x:v>
      </x:c>
      <x:c r="K424" s="20" t="n">
        <x:v>57.4</x:v>
      </x:c>
      <x:c r="L424" t="str">
        <x:v>KETAT</x:v>
      </x:c>
      <x:c r="M424" t="str">
        <x:v>SEDANG+</x:v>
      </x:c>
      <x:c r="N424" t="str">
        <x:v>ELITE-3</x:v>
      </x:c>
      <x:c r="O424" t="str">
        <x:v>SOSHUM</x:v>
      </x:c>
      <x:c r="P424" t="str">
        <x:v>UMUM</x:v>
      </x:c>
      <x:c r="Q424" s="18" t="n">
        <x:v>635</x:v>
      </x:c>
      <x:c r="R424" s="18" t="n">
        <x:v>0</x:v>
      </x:c>
      <x:c r="S424" s="18" t="n">
        <x:v>608.8925921137195</x:v>
      </x:c>
      <x:c r="T424" s="18" t="n">
        <x:v>675</x:v>
      </x:c>
      <x:c r="U424" s="18" t="n">
        <x:v>635</x:v>
      </x:c>
      <x:c r="V424" s="20" t="n">
        <x:v>4.4</x:v>
      </x:c>
      <x:c r="W424" s="20" t="n">
        <x:v>14.3</x:v>
      </x:c>
      <x:c r="X424" s="20" t="n">
        <x:v>3.3</x:v>
      </x:c>
      <x:c r="Y424" t="str">
        <x:v>Basis arsip 2025/2024</x:v>
      </x:c>
      <x:c r="Z424" t="str">
        <x:v>https://snpmb.id/utbk-snbt/daya-tampung-snbt</x:v>
      </x:c>
      <x:c r="AA424" t="str">
        <x:v>Tidak Ada</x:v>
      </x:c>
      <x:c r="AB424" t="str">
        <x:v>Campus=80; Ratio=47.6; Prodi=40; RelDemand=23.9; Capacity=70.8</x:v>
      </x:c>
    </x:row>
    <x:row r="425">
      <x:c r="A425" t="n">
        <x:v>422</x:v>
      </x:c>
      <x:c r="B425" t="str">
        <x:v>PTN Akademik</x:v>
      </x:c>
      <x:c r="C425" t="str">
        <x:v>UNIVERSITAS ANDALAS</x:v>
      </x:c>
      <x:c r="D425" t="str">
        <x:v>ADMINISTRASI PUBLIK</x:v>
      </x:c>
      <x:c r="E425" t="str">
        <x:v>Sarjana</x:v>
      </x:c>
      <x:c r="F425" s="18" t="n">
        <x:v>40</x:v>
      </x:c>
      <x:c r="G425" s="18" t="n">
        <x:v>806</x:v>
      </x:c>
      <x:c r="H425" s="19" t="n">
        <x:v>20.15</x:v>
      </x:c>
      <x:c r="I425" s="18" t="n">
        <x:f>ROUND(MIN(Model_Config_v3!$B$6,MAX(Q425,R425,S425*Model_Config_v3!$B$4+T425*Model_Config_v3!$B$5)),0)</x:f>
        <x:v>688</x:v>
      </x:c>
      <x:c r="J425" s="18" t="n">
        <x:f>MIN(Model_Config_v3!$B$6,I425+Model_Config_v3!$B$7)</x:f>
        <x:v>708</x:v>
      </x:c>
      <x:c r="K425" s="20" t="n">
        <x:v>69.3</x:v>
      </x:c>
      <x:c r="L425" t="str">
        <x:v>SANGAT KETAT</x:v>
      </x:c>
      <x:c r="M425" t="str">
        <x:v>SEDANG+</x:v>
      </x:c>
      <x:c r="N425" t="str">
        <x:v>ELITE-3</x:v>
      </x:c>
      <x:c r="O425" t="str">
        <x:v>SOSHUM</x:v>
      </x:c>
      <x:c r="P425" t="str">
        <x:v>UMUM</x:v>
      </x:c>
      <x:c r="Q425" s="18" t="n">
        <x:v>635</x:v>
      </x:c>
      <x:c r="R425" s="18" t="n">
        <x:v>0</x:v>
      </x:c>
      <x:c r="S425" s="18" t="n">
        <x:v>663.4702555524841</x:v>
      </x:c>
      <x:c r="T425" s="18" t="n">
        <x:v>699</x:v>
      </x:c>
      <x:c r="U425" s="18" t="n">
        <x:v>663.4702555524841</x:v>
      </x:c>
      <x:c r="V425" s="20" t="n">
        <x:v>4.4</x:v>
      </x:c>
      <x:c r="W425" s="20" t="n">
        <x:v>14.3</x:v>
      </x:c>
      <x:c r="X425" s="20" t="n">
        <x:v>3.3</x:v>
      </x:c>
      <x:c r="Y425" t="str">
        <x:v>Basis arsip 2025/2024</x:v>
      </x:c>
      <x:c r="Z425" t="str">
        <x:v>https://snpmb.id/utbk-snbt/daya-tampung-snbt</x:v>
      </x:c>
      <x:c r="AA425" t="str">
        <x:v>Tidak Ada</x:v>
      </x:c>
      <x:c r="AB425" t="str">
        <x:v>Campus=80; Ratio=76.8; Prodi=40; RelDemand=74.8; Capacity=66.7</x:v>
      </x:c>
    </x:row>
    <x:row r="426">
      <x:c r="A426" t="n">
        <x:v>423</x:v>
      </x:c>
      <x:c r="B426" t="str">
        <x:v>PTN Akademik</x:v>
      </x:c>
      <x:c r="C426" t="str">
        <x:v>UNIVERSITAS ANDALAS</x:v>
      </x:c>
      <x:c r="D426" t="str">
        <x:v>SASTRA INDONESIA</x:v>
      </x:c>
      <x:c r="E426" t="str">
        <x:v>Sarjana</x:v>
      </x:c>
      <x:c r="F426" s="18" t="n">
        <x:v>48</x:v>
      </x:c>
      <x:c r="G426" s="18" t="n">
        <x:v>139</x:v>
      </x:c>
      <x:c r="H426" s="19" t="n">
        <x:v>2.8958333333333335</x:v>
      </x:c>
      <x:c r="I426" s="18" t="n">
        <x:f>ROUND(MIN(Model_Config_v3!$B$6,MAX(Q426,R426,S426*Model_Config_v3!$B$4+T426*Model_Config_v3!$B$5)),0)</x:f>
        <x:v>635</x:v>
      </x:c>
      <x:c r="J426" s="18" t="n">
        <x:f>MIN(Model_Config_v3!$B$6,I426+Model_Config_v3!$B$7)</x:f>
        <x:v>655</x:v>
      </x:c>
      <x:c r="K426" s="20" t="n">
        <x:v>49.9</x:v>
      </x:c>
      <x:c r="L426" t="str">
        <x:v>MENENGAH</x:v>
      </x:c>
      <x:c r="M426" t="str">
        <x:v>SEDANG+</x:v>
      </x:c>
      <x:c r="N426" t="str">
        <x:v>ELITE-3</x:v>
      </x:c>
      <x:c r="O426" t="str">
        <x:v>SOSHUM</x:v>
      </x:c>
      <x:c r="P426" t="str">
        <x:v>UMUM</x:v>
      </x:c>
      <x:c r="Q426" s="18" t="n">
        <x:v>635</x:v>
      </x:c>
      <x:c r="R426" s="18" t="n">
        <x:v>0</x:v>
      </x:c>
      <x:c r="S426" s="18" t="n">
        <x:v>570.7950919166359</x:v>
      </x:c>
      <x:c r="T426" s="18" t="n">
        <x:v>660</x:v>
      </x:c>
      <x:c r="U426" s="18" t="n">
        <x:v>635</x:v>
      </x:c>
      <x:c r="V426" s="20" t="n">
        <x:v>4.4</x:v>
      </x:c>
      <x:c r="W426" s="20" t="n">
        <x:v>14.3</x:v>
      </x:c>
      <x:c r="X426" s="20" t="n">
        <x:v>3.3</x:v>
      </x:c>
      <x:c r="Y426" t="str">
        <x:v>Basis arsip 2025/2024</x:v>
      </x:c>
      <x:c r="Z426" t="str">
        <x:v>https://snpmb.id/utbk-snbt/daya-tampung-snbt</x:v>
      </x:c>
      <x:c r="AA426" t="str">
        <x:v>Tidak Ada</x:v>
      </x:c>
      <x:c r="AB426" t="str">
        <x:v>Campus=80; Ratio=27.2; Prodi=40; RelDemand=10.8; Capacity=60.0</x:v>
      </x:c>
    </x:row>
    <x:row r="427">
      <x:c r="A427" t="n">
        <x:v>424</x:v>
      </x:c>
      <x:c r="B427" t="str">
        <x:v>PTN Akademik</x:v>
      </x:c>
      <x:c r="C427" t="str">
        <x:v>UNIVERSITAS ANDALAS</x:v>
      </x:c>
      <x:c r="D427" t="str">
        <x:v>SASTRA INGGRIS</x:v>
      </x:c>
      <x:c r="E427" t="str">
        <x:v>Sarjana</x:v>
      </x:c>
      <x:c r="F427" s="18" t="n">
        <x:v>60</x:v>
      </x:c>
      <x:c r="G427" s="18" t="n">
        <x:v>302</x:v>
      </x:c>
      <x:c r="H427" s="19" t="n">
        <x:v>5.033333333333333</x:v>
      </x:c>
      <x:c r="I427" s="18" t="n">
        <x:f>ROUND(MIN(Model_Config_v3!$B$6,MAX(Q427,R427,S427*Model_Config_v3!$B$4+T427*Model_Config_v3!$B$5)),0)</x:f>
        <x:v>645</x:v>
      </x:c>
      <x:c r="J427" s="18" t="n">
        <x:f>MIN(Model_Config_v3!$B$6,I427+Model_Config_v3!$B$7)</x:f>
        <x:v>665</x:v>
      </x:c>
      <x:c r="K427" s="20" t="n">
        <x:v>53.2</x:v>
      </x:c>
      <x:c r="L427" t="str">
        <x:v>MENENGAH</x:v>
      </x:c>
      <x:c r="M427" t="str">
        <x:v>SEDANG+</x:v>
      </x:c>
      <x:c r="N427" t="str">
        <x:v>ELITE-3</x:v>
      </x:c>
      <x:c r="O427" t="str">
        <x:v>SOSHUM</x:v>
      </x:c>
      <x:c r="P427" t="str">
        <x:v>UMUM</x:v>
      </x:c>
      <x:c r="Q427" s="18" t="n">
        <x:v>635</x:v>
      </x:c>
      <x:c r="R427" s="18" t="n">
        <x:v>0</x:v>
      </x:c>
      <x:c r="S427" s="18" t="n">
        <x:v>597.2041261830858</x:v>
      </x:c>
      <x:c r="T427" s="18" t="n">
        <x:v>666</x:v>
      </x:c>
      <x:c r="U427" s="18" t="n">
        <x:v>635</x:v>
      </x:c>
      <x:c r="V427" s="20" t="n">
        <x:v>4.4</x:v>
      </x:c>
      <x:c r="W427" s="20" t="n">
        <x:v>14.3</x:v>
      </x:c>
      <x:c r="X427" s="20" t="n">
        <x:v>3.3</x:v>
      </x:c>
      <x:c r="Y427" t="str">
        <x:v>Basis arsip 2025/2024</x:v>
      </x:c>
      <x:c r="Z427" t="str">
        <x:v>https://snpmb.id/utbk-snbt/daya-tampung-snbt</x:v>
      </x:c>
      <x:c r="AA427" t="str">
        <x:v>Tidak Ada</x:v>
      </x:c>
      <x:c r="AB427" t="str">
        <x:v>Campus=80; Ratio=41.3; Prodi=40; RelDemand=18.7; Capacity=50.0</x:v>
      </x:c>
    </x:row>
    <x:row r="428">
      <x:c r="A428" t="n">
        <x:v>425</x:v>
      </x:c>
      <x:c r="B428" t="str">
        <x:v>PTN Akademik</x:v>
      </x:c>
      <x:c r="C428" t="str">
        <x:v>UNIVERSITAS ANDALAS</x:v>
      </x:c>
      <x:c r="D428" t="str">
        <x:v>SASTRA MINANGKABAU</x:v>
      </x:c>
      <x:c r="E428" t="str">
        <x:v>Sarjana</x:v>
      </x:c>
      <x:c r="F428" s="18" t="n">
        <x:v>45</x:v>
      </x:c>
      <x:c r="G428" s="18" t="n">
        <x:v>61</x:v>
      </x:c>
      <x:c r="H428" s="19" t="n">
        <x:v>1.3555555555555556</x:v>
      </x:c>
      <x:c r="I428" s="18" t="n">
        <x:f>ROUND(MIN(Model_Config_v3!$B$6,MAX(Q428,R428,S428*Model_Config_v3!$B$4+T428*Model_Config_v3!$B$5)),0)</x:f>
        <x:v>635</x:v>
      </x:c>
      <x:c r="J428" s="18" t="n">
        <x:f>MIN(Model_Config_v3!$B$6,I428+Model_Config_v3!$B$7)</x:f>
        <x:v>655</x:v>
      </x:c>
      <x:c r="K428" s="20" t="n">
        <x:v>44.7</x:v>
      </x:c>
      <x:c r="L428" t="str">
        <x:v>RELATIF LONGGAR</x:v>
      </x:c>
      <x:c r="M428" t="str">
        <x:v>SEDANG+</x:v>
      </x:c>
      <x:c r="N428" t="str">
        <x:v>ELITE-3</x:v>
      </x:c>
      <x:c r="O428" t="str">
        <x:v>SOSHUM</x:v>
      </x:c>
      <x:c r="P428" t="str">
        <x:v>UMUM</x:v>
      </x:c>
      <x:c r="Q428" s="18" t="n">
        <x:v>635</x:v>
      </x:c>
      <x:c r="R428" s="18" t="n">
        <x:v>0</x:v>
      </x:c>
      <x:c r="S428" s="18" t="n">
        <x:v>534.5329053358965</x:v>
      </x:c>
      <x:c r="T428" s="18" t="n">
        <x:v>649</x:v>
      </x:c>
      <x:c r="U428" s="18" t="n">
        <x:v>635</x:v>
      </x:c>
      <x:c r="V428" s="20" t="n">
        <x:v>4.4</x:v>
      </x:c>
      <x:c r="W428" s="20" t="n">
        <x:v>14.3</x:v>
      </x:c>
      <x:c r="X428" s="20" t="n">
        <x:v>3.3</x:v>
      </x:c>
      <x:c r="Y428" t="str">
        <x:v>Basis arsip 2025/2024</x:v>
      </x:c>
      <x:c r="Z428" t="str">
        <x:v>https://snpmb.id/utbk-snbt/daya-tampung-snbt</x:v>
      </x:c>
      <x:c r="AA428" t="str">
        <x:v>Tidak Ada</x:v>
      </x:c>
      <x:c r="AB428" t="str">
        <x:v>Campus=80; Ratio=7.8; Prodi=40; RelDemand=5.0; Capacity=62.5</x:v>
      </x:c>
    </x:row>
    <x:row r="429">
      <x:c r="A429" t="n">
        <x:v>426</x:v>
      </x:c>
      <x:c r="B429" t="str">
        <x:v>PTN Akademik</x:v>
      </x:c>
      <x:c r="C429" t="str">
        <x:v>UNIVERSITAS ANDALAS</x:v>
      </x:c>
      <x:c r="D429" t="str">
        <x:v>SASTRA JEPANG</x:v>
      </x:c>
      <x:c r="E429" t="str">
        <x:v>Sarjana</x:v>
      </x:c>
      <x:c r="F429" s="18" t="n">
        <x:v>45</x:v>
      </x:c>
      <x:c r="G429" s="18" t="n">
        <x:v>172</x:v>
      </x:c>
      <x:c r="H429" s="19" t="n">
        <x:v>3.8222222222222224</x:v>
      </x:c>
      <x:c r="I429" s="18" t="n">
        <x:f>ROUND(MIN(Model_Config_v3!$B$6,MAX(Q429,R429,S429*Model_Config_v3!$B$4+T429*Model_Config_v3!$B$5)),0)</x:f>
        <x:v>640</x:v>
      </x:c>
      <x:c r="J429" s="18" t="n">
        <x:f>MIN(Model_Config_v3!$B$6,I429+Model_Config_v3!$B$7)</x:f>
        <x:v>660</x:v>
      </x:c>
      <x:c r="K429" s="20" t="n">
        <x:v>52.2</x:v>
      </x:c>
      <x:c r="L429" t="str">
        <x:v>MENENGAH</x:v>
      </x:c>
      <x:c r="M429" t="str">
        <x:v>SEDANG+</x:v>
      </x:c>
      <x:c r="N429" t="str">
        <x:v>ELITE-3</x:v>
      </x:c>
      <x:c r="O429" t="str">
        <x:v>SOSHUM</x:v>
      </x:c>
      <x:c r="P429" t="str">
        <x:v>UMUM</x:v>
      </x:c>
      <x:c r="Q429" s="18" t="n">
        <x:v>635</x:v>
      </x:c>
      <x:c r="R429" s="18" t="n">
        <x:v>0</x:v>
      </x:c>
      <x:c r="S429" s="18" t="n">
        <x:v>584.0547526445425</x:v>
      </x:c>
      <x:c r="T429" s="18" t="n">
        <x:v>664</x:v>
      </x:c>
      <x:c r="U429" s="18" t="n">
        <x:v>635</x:v>
      </x:c>
      <x:c r="V429" s="20" t="n">
        <x:v>4.4</x:v>
      </x:c>
      <x:c r="W429" s="20" t="n">
        <x:v>14.3</x:v>
      </x:c>
      <x:c r="X429" s="20" t="n">
        <x:v>3.3</x:v>
      </x:c>
      <x:c r="Y429" t="str">
        <x:v>Basis arsip 2025/2024</x:v>
      </x:c>
      <x:c r="Z429" t="str">
        <x:v>https://snpmb.id/utbk-snbt/daya-tampung-snbt</x:v>
      </x:c>
      <x:c r="AA429" t="str">
        <x:v>Tidak Ada</x:v>
      </x:c>
      <x:c r="AB429" t="str">
        <x:v>Campus=80; Ratio=34.3; Prodi=40; RelDemand=14.2; Capacity=62.5</x:v>
      </x:c>
    </x:row>
    <x:row r="430">
      <x:c r="A430" t="n">
        <x:v>427</x:v>
      </x:c>
      <x:c r="B430" t="str">
        <x:v>PTN Akademik</x:v>
      </x:c>
      <x:c r="C430" t="str">
        <x:v>UNIVERSITAS ANDALAS</x:v>
      </x:c>
      <x:c r="D430" t="str">
        <x:v>HUBUNGAN INTERNASIONAL</x:v>
      </x:c>
      <x:c r="E430" t="str">
        <x:v>Sarjana</x:v>
      </x:c>
      <x:c r="F430" s="18" t="n">
        <x:v>45</x:v>
      </x:c>
      <x:c r="G430" s="18" t="n">
        <x:v>584</x:v>
      </x:c>
      <x:c r="H430" s="19" t="n">
        <x:v>12.977777777777778</x:v>
      </x:c>
      <x:c r="I430" s="18" t="n">
        <x:f>ROUND(MIN(Model_Config_v3!$B$6,MAX(Q430,R430,S430*Model_Config_v3!$B$4+T430*Model_Config_v3!$B$5)),0)</x:f>
        <x:v>674</x:v>
      </x:c>
      <x:c r="J430" s="18" t="n">
        <x:f>MIN(Model_Config_v3!$B$6,I430+Model_Config_v3!$B$7)</x:f>
        <x:v>694</x:v>
      </x:c>
      <x:c r="K430" s="20" t="n">
        <x:v>63.5</x:v>
      </x:c>
      <x:c r="L430" t="str">
        <x:v>KETAT</x:v>
      </x:c>
      <x:c r="M430" t="str">
        <x:v>SEDANG+</x:v>
      </x:c>
      <x:c r="N430" t="str">
        <x:v>ELITE-3</x:v>
      </x:c>
      <x:c r="O430" t="str">
        <x:v>SOSHUM</x:v>
      </x:c>
      <x:c r="P430" t="str">
        <x:v>UMUM</x:v>
      </x:c>
      <x:c r="Q430" s="18" t="n">
        <x:v>635</x:v>
      </x:c>
      <x:c r="R430" s="18" t="n">
        <x:v>0</x:v>
      </x:c>
      <x:c r="S430" s="18" t="n">
        <x:v>642.4520366670761</x:v>
      </x:c>
      <x:c r="T430" s="18" t="n">
        <x:v>687</x:v>
      </x:c>
      <x:c r="U430" s="18" t="n">
        <x:v>642.4520366670761</x:v>
      </x:c>
      <x:c r="V430" s="20" t="n">
        <x:v>4.4</x:v>
      </x:c>
      <x:c r="W430" s="20" t="n">
        <x:v>14.3</x:v>
      </x:c>
      <x:c r="X430" s="20" t="n">
        <x:v>3.3</x:v>
      </x:c>
      <x:c r="Y430" t="str">
        <x:v>Basis arsip 2025/2024</x:v>
      </x:c>
      <x:c r="Z430" t="str">
        <x:v>https://snpmb.id/utbk-snbt/daya-tampung-snbt</x:v>
      </x:c>
      <x:c r="AA430" t="str">
        <x:v>Tidak Ada</x:v>
      </x:c>
      <x:c r="AB430" t="str">
        <x:v>Campus=80; Ratio=65.5; Prodi=40; RelDemand=48.2; Capacity=62.5</x:v>
      </x:c>
    </x:row>
    <x:row r="431">
      <x:c r="A431" t="n">
        <x:v>428</x:v>
      </x:c>
      <x:c r="B431" t="str">
        <x:v>PTN Akademik</x:v>
      </x:c>
      <x:c r="C431" t="str">
        <x:v>UNIVERSITAS ANDALAS</x:v>
      </x:c>
      <x:c r="D431" t="str">
        <x:v>ILMU KOMUNIKASI</x:v>
      </x:c>
      <x:c r="E431" t="str">
        <x:v>Sarjana</x:v>
      </x:c>
      <x:c r="F431" s="18" t="n">
        <x:v>60</x:v>
      </x:c>
      <x:c r="G431" s="18" t="n">
        <x:v>1098</x:v>
      </x:c>
      <x:c r="H431" s="19" t="n">
        <x:v>18.3</x:v>
      </x:c>
      <x:c r="I431" s="18" t="n">
        <x:f>ROUND(MIN(Model_Config_v3!$B$6,MAX(Q431,R431,S431*Model_Config_v3!$B$4+T431*Model_Config_v3!$B$5)),0)</x:f>
        <x:v>683</x:v>
      </x:c>
      <x:c r="J431" s="18" t="n">
        <x:f>MIN(Model_Config_v3!$B$6,I431+Model_Config_v3!$B$7)</x:f>
        <x:v>703</x:v>
      </x:c>
      <x:c r="K431" s="20" t="n">
        <x:v>66.4</x:v>
      </x:c>
      <x:c r="L431" t="str">
        <x:v>SANGAT KETAT</x:v>
      </x:c>
      <x:c r="M431" t="str">
        <x:v>SEDANG+</x:v>
      </x:c>
      <x:c r="N431" t="str">
        <x:v>ELITE-3</x:v>
      </x:c>
      <x:c r="O431" t="str">
        <x:v>SOSHUM</x:v>
      </x:c>
      <x:c r="P431" t="str">
        <x:v>UMUM</x:v>
      </x:c>
      <x:c r="Q431" s="18" t="n">
        <x:v>635</x:v>
      </x:c>
      <x:c r="R431" s="18" t="n">
        <x:v>0</x:v>
      </x:c>
      <x:c r="S431" s="18" t="n">
        <x:v>658.8696198703473</x:v>
      </x:c>
      <x:c r="T431" s="18" t="n">
        <x:v>693</x:v>
      </x:c>
      <x:c r="U431" s="18" t="n">
        <x:v>658.8696198703473</x:v>
      </x:c>
      <x:c r="V431" s="20" t="n">
        <x:v>4.4</x:v>
      </x:c>
      <x:c r="W431" s="20" t="n">
        <x:v>14.3</x:v>
      </x:c>
      <x:c r="X431" s="20" t="n">
        <x:v>3.3</x:v>
      </x:c>
      <x:c r="Y431" t="str">
        <x:v>Basis arsip 2025/2024</x:v>
      </x:c>
      <x:c r="Z431" t="str">
        <x:v>https://snpmb.id/utbk-snbt/daya-tampung-snbt</x:v>
      </x:c>
      <x:c r="AA431" t="str">
        <x:v>Tidak Ada</x:v>
      </x:c>
      <x:c r="AB431" t="str">
        <x:v>Campus=80; Ratio=74.3; Prodi=40; RelDemand=68.0; Capacity=50.0</x:v>
      </x:c>
    </x:row>
    <x:row r="432">
      <x:c r="A432" t="n">
        <x:v>429</x:v>
      </x:c>
      <x:c r="B432" t="str">
        <x:v>PTN Akademik</x:v>
      </x:c>
      <x:c r="C432" t="str">
        <x:v>UNIVERSITAS ANDALAS</x:v>
      </x:c>
      <x:c r="D432" t="str">
        <x:v>MANAJEMEN (KAMPUS 2 PAYAKUMBUH)</x:v>
      </x:c>
      <x:c r="E432" t="str">
        <x:v>Sarjana</x:v>
      </x:c>
      <x:c r="F432" s="18" t="n">
        <x:v>47</x:v>
      </x:c>
      <x:c r="G432" s="18" t="n">
        <x:v>220</x:v>
      </x:c>
      <x:c r="H432" s="19" t="n">
        <x:v>4.680851063829787</x:v>
      </x:c>
      <x:c r="I432" s="18" t="n">
        <x:f>ROUND(MIN(Model_Config_v3!$B$6,MAX(Q432,R432,S432*Model_Config_v3!$B$4+T432*Model_Config_v3!$B$5)),0)</x:f>
        <x:v>652</x:v>
      </x:c>
      <x:c r="J432" s="18" t="n">
        <x:f>MIN(Model_Config_v3!$B$6,I432+Model_Config_v3!$B$7)</x:f>
        <x:v>672</x:v>
      </x:c>
      <x:c r="K432" s="20" t="n">
        <x:v>58.7</x:v>
      </x:c>
      <x:c r="L432" t="str">
        <x:v>KETAT</x:v>
      </x:c>
      <x:c r="M432" t="str">
        <x:v>SEDANG+</x:v>
      </x:c>
      <x:c r="N432" t="str">
        <x:v>ELITE-3</x:v>
      </x:c>
      <x:c r="O432" t="str">
        <x:v>SOSHUM</x:v>
      </x:c>
      <x:c r="P432" t="str">
        <x:v>BISNIS/EKONOMI/AKUNTANSI</x:v>
      </x:c>
      <x:c r="Q432" s="18" t="n">
        <x:v>635</x:v>
      </x:c>
      <x:c r="R432" s="18" t="n">
        <x:v>0</x:v>
      </x:c>
      <x:c r="S432" s="18" t="n">
        <x:v>593.7357305175137</x:v>
      </x:c>
      <x:c r="T432" s="18" t="n">
        <x:v>677</x:v>
      </x:c>
      <x:c r="U432" s="18" t="n">
        <x:v>635</x:v>
      </x:c>
      <x:c r="V432" s="20" t="n">
        <x:v>4.4</x:v>
      </x:c>
      <x:c r="W432" s="20" t="n">
        <x:v>14.3</x:v>
      </x:c>
      <x:c r="X432" s="20" t="n">
        <x:v>3.3</x:v>
      </x:c>
      <x:c r="Y432" t="str">
        <x:v>Basis arsip 2025/2024</x:v>
      </x:c>
      <x:c r="Z432" t="str">
        <x:v>https://snpmb.id/utbk-snbt/daya-tampung-snbt</x:v>
      </x:c>
      <x:c r="AA432" t="str">
        <x:v>Tidak Ada</x:v>
      </x:c>
      <x:c r="AB432" t="str">
        <x:v>Campus=80; Ratio=39.5; Prodi=65; RelDemand=17.4; Capacity=60.8</x:v>
      </x:c>
    </x:row>
    <x:row r="433">
      <x:c r="A433" t="n">
        <x:v>430</x:v>
      </x:c>
      <x:c r="B433" t="str">
        <x:v>PTN Akademik</x:v>
      </x:c>
      <x:c r="C433" t="str">
        <x:v>UNIVERSITAS ANDALAS</x:v>
      </x:c>
      <x:c r="D433" t="str">
        <x:v>EKONOMI PEMBANGUNAN (KAMPUS PAYAKUMBUH)</x:v>
      </x:c>
      <x:c r="E433" t="str">
        <x:v>Sarjana</x:v>
      </x:c>
      <x:c r="F433" s="18" t="n">
        <x:v>41</x:v>
      </x:c>
      <x:c r="G433" s="18" t="n">
        <x:v>138</x:v>
      </x:c>
      <x:c r="H433" s="19" t="n">
        <x:v>3.3658536585365852</x:v>
      </x:c>
      <x:c r="I433" s="18" t="n">
        <x:f>ROUND(MIN(Model_Config_v3!$B$6,MAX(Q433,R433,S433*Model_Config_v3!$B$4+T433*Model_Config_v3!$B$5)),0)</x:f>
        <x:v>644</x:v>
      </x:c>
      <x:c r="J433" s="18" t="n">
        <x:f>MIN(Model_Config_v3!$B$6,I433+Model_Config_v3!$B$7)</x:f>
        <x:v>664</x:v>
      </x:c>
      <x:c r="K433" s="20" t="n">
        <x:v>56.6</x:v>
      </x:c>
      <x:c r="L433" t="str">
        <x:v>KETAT</x:v>
      </x:c>
      <x:c r="M433" t="str">
        <x:v>SEDANG+</x:v>
      </x:c>
      <x:c r="N433" t="str">
        <x:v>ELITE-3</x:v>
      </x:c>
      <x:c r="O433" t="str">
        <x:v>SOSHUM</x:v>
      </x:c>
      <x:c r="P433" t="str">
        <x:v>BISNIS/EKONOMI/AKUNTANSI</x:v>
      </x:c>
      <x:c r="Q433" s="18" t="n">
        <x:v>635</x:v>
      </x:c>
      <x:c r="R433" s="18" t="n">
        <x:v>0</x:v>
      </x:c>
      <x:c r="S433" s="18" t="n">
        <x:v>577.9804752649651</x:v>
      </x:c>
      <x:c r="T433" s="18" t="n">
        <x:v>673</x:v>
      </x:c>
      <x:c r="U433" s="18" t="n">
        <x:v>635</x:v>
      </x:c>
      <x:c r="V433" s="20" t="n">
        <x:v>4.4</x:v>
      </x:c>
      <x:c r="W433" s="20" t="n">
        <x:v>14.3</x:v>
      </x:c>
      <x:c r="X433" s="20" t="n">
        <x:v>3.3</x:v>
      </x:c>
      <x:c r="Y433" t="str">
        <x:v>Basis arsip 2025/2024</x:v>
      </x:c>
      <x:c r="Z433" t="str">
        <x:v>https://snpmb.id/utbk-snbt/daya-tampung-snbt</x:v>
      </x:c>
      <x:c r="AA433" t="str">
        <x:v>Tidak Ada</x:v>
      </x:c>
      <x:c r="AB433" t="str">
        <x:v>Campus=80; Ratio=31.0; Prodi=65; RelDemand=12.5; Capacity=65.8</x:v>
      </x:c>
    </x:row>
    <x:row r="434">
      <x:c r="A434" t="n">
        <x:v>431</x:v>
      </x:c>
      <x:c r="B434" t="str">
        <x:v>PTN Akademik</x:v>
      </x:c>
      <x:c r="C434" t="str">
        <x:v>UNIVERSITAS ANDALAS</x:v>
      </x:c>
      <x:c r="D434" t="str">
        <x:v>INFORMATIKA</x:v>
      </x:c>
      <x:c r="E434" t="str">
        <x:v>Sarjana</x:v>
      </x:c>
      <x:c r="F434" s="18" t="n">
        <x:v>30</x:v>
      </x:c>
      <x:c r="G434" s="18" t="n">
        <x:v>812</x:v>
      </x:c>
      <x:c r="H434" s="19" t="n">
        <x:v>27.066666666666666</x:v>
      </x:c>
      <x:c r="I434" s="18" t="n">
        <x:f>ROUND(MIN(Model_Config_v3!$B$6,MAX(Q434,R434,S434*Model_Config_v3!$B$4+T434*Model_Config_v3!$B$5)),0)</x:f>
        <x:v>712</x:v>
      </x:c>
      <x:c r="J434" s="18" t="n">
        <x:f>MIN(Model_Config_v3!$B$6,I434+Model_Config_v3!$B$7)</x:f>
        <x:v>732</x:v>
      </x:c>
      <x:c r="K434" s="20" t="n">
        <x:v>83.6</x:v>
      </x:c>
      <x:c r="L434" t="str">
        <x:v>ELITE</x:v>
      </x:c>
      <x:c r="M434" t="str">
        <x:v>SEDANG+</x:v>
      </x:c>
      <x:c r="N434" t="str">
        <x:v>ELITE-3</x:v>
      </x:c>
      <x:c r="O434" t="str">
        <x:v>SAINTEK</x:v>
      </x:c>
      <x:c r="P434" t="str">
        <x:v>KOMPUTER/INFORMATIKA</x:v>
      </x:c>
      <x:c r="Q434" s="18" t="n">
        <x:v>635</x:v>
      </x:c>
      <x:c r="R434" s="18" t="n">
        <x:v>675</x:v>
      </x:c>
      <x:c r="S434" s="18" t="n">
        <x:v>677.5678251973663</x:v>
      </x:c>
      <x:c r="T434" s="18" t="n">
        <x:v>727</x:v>
      </x:c>
      <x:c r="U434" s="18" t="n">
        <x:v>702.5678251973663</x:v>
      </x:c>
      <x:c r="V434" s="20" t="n">
        <x:v>12</x:v>
      </x:c>
      <x:c r="W434" s="20" t="n">
        <x:v>5</x:v>
      </x:c>
      <x:c r="X434" s="20" t="n">
        <x:v>3</x:v>
      </x:c>
      <x:c r="Y434" t="str">
        <x:v>Basis arsip 2025/2024</x:v>
      </x:c>
      <x:c r="Z434" t="str">
        <x:v>https://snpmb.id/utbk-snbt/daya-tampung-snbt</x:v>
      </x:c>
      <x:c r="AA434" t="str">
        <x:v>Tidak Ada</x:v>
      </x:c>
      <x:c r="AB434" t="str">
        <x:v>Campus=80; Ratio=84.3; Prodi=85; RelDemand=100.0; Capacity=75.0</x:v>
      </x:c>
    </x:row>
    <x:row r="435">
      <x:c r="A435" t="n">
        <x:v>432</x:v>
      </x:c>
      <x:c r="B435" t="str">
        <x:v>PTN Akademik</x:v>
      </x:c>
      <x:c r="C435" t="str">
        <x:v>UNIVERSITAS ANDALAS</x:v>
      </x:c>
      <x:c r="D435" t="str">
        <x:v>ARSITEKTUR</x:v>
      </x:c>
      <x:c r="E435" t="str">
        <x:v>Sarjana</x:v>
      </x:c>
      <x:c r="F435" s="18" t="n">
        <x:v>14</x:v>
      </x:c>
      <x:c r="G435" s="18" t="n">
        <x:v>266</x:v>
      </x:c>
      <x:c r="H435" s="19" t="n">
        <x:v>19</x:v>
      </x:c>
      <x:c r="I435" s="18" t="n">
        <x:f>ROUND(MIN(Model_Config_v3!$B$6,MAX(Q435,R435,S435*Model_Config_v3!$B$4+T435*Model_Config_v3!$B$5)),0)</x:f>
        <x:v>694</x:v>
      </x:c>
      <x:c r="J435" s="18" t="n">
        <x:f>MIN(Model_Config_v3!$B$6,I435+Model_Config_v3!$B$7)</x:f>
        <x:v>714</x:v>
      </x:c>
      <x:c r="K435" s="20" t="n">
        <x:v>74.7</x:v>
      </x:c>
      <x:c r="L435" t="str">
        <x:v>SANGAT KETAT</x:v>
      </x:c>
      <x:c r="M435" t="str">
        <x:v>SEDANG+</x:v>
      </x:c>
      <x:c r="N435" t="str">
        <x:v>ELITE-3</x:v>
      </x:c>
      <x:c r="O435" t="str">
        <x:v>SAINTEK</x:v>
      </x:c>
      <x:c r="P435" t="str">
        <x:v>TEKNIK/ARSITEKTUR/STATISTIKA/AKTUARIA</x:v>
      </x:c>
      <x:c r="Q435" s="18" t="n">
        <x:v>635</x:v>
      </x:c>
      <x:c r="R435" s="18" t="n">
        <x:v>0</x:v>
      </x:c>
      <x:c r="S435" s="18" t="n">
        <x:v>660.6628961048111</x:v>
      </x:c>
      <x:c r="T435" s="18" t="n">
        <x:v>709</x:v>
      </x:c>
      <x:c r="U435" s="18" t="n">
        <x:v>660.6628961048111</x:v>
      </x:c>
      <x:c r="V435" s="20" t="n">
        <x:v>12</x:v>
      </x:c>
      <x:c r="W435" s="20" t="n">
        <x:v>5</x:v>
      </x:c>
      <x:c r="X435" s="20" t="n">
        <x:v>3</x:v>
      </x:c>
      <x:c r="Y435" t="str">
        <x:v>Basis arsip 2025/2024</x:v>
      </x:c>
      <x:c r="Z435" t="str">
        <x:v>https://snpmb.id/utbk-snbt/daya-tampung-snbt</x:v>
      </x:c>
      <x:c r="AA435" t="str">
        <x:v>Tidak Ada</x:v>
      </x:c>
      <x:c r="AB435" t="str">
        <x:v>Campus=80; Ratio=75.3; Prodi=60; RelDemand=70.6; Capacity=88.3</x:v>
      </x:c>
    </x:row>
    <x:row r="436">
      <x:c r="A436" t="n">
        <x:v>433</x:v>
      </x:c>
      <x:c r="B436" t="str">
        <x:v>PTN Akademik</x:v>
      </x:c>
      <x:c r="C436" t="str">
        <x:v>UNIVERSITAS ANDALAS</x:v>
      </x:c>
      <x:c r="D436" t="str">
        <x:v>EKONOMI ISLAM</x:v>
      </x:c>
      <x:c r="E436" t="str">
        <x:v>Sarjana</x:v>
      </x:c>
      <x:c r="F436" s="18" t="n">
        <x:v>20</x:v>
      </x:c>
      <x:c r="G436" s="18" t="n">
        <x:v>116</x:v>
      </x:c>
      <x:c r="H436" s="19" t="n">
        <x:v>5.8</x:v>
      </x:c>
      <x:c r="I436" s="18" t="n">
        <x:f>ROUND(MIN(Model_Config_v3!$B$6,MAX(Q436,R436,S436*Model_Config_v3!$B$4+T436*Model_Config_v3!$B$5)),0)</x:f>
        <x:v>654</x:v>
      </x:c>
      <x:c r="J436" s="18" t="n">
        <x:f>MIN(Model_Config_v3!$B$6,I436+Model_Config_v3!$B$7)</x:f>
        <x:v>674</x:v>
      </x:c>
      <x:c r="K436" s="20" t="n">
        <x:v>57.7</x:v>
      </x:c>
      <x:c r="L436" t="str">
        <x:v>KETAT</x:v>
      </x:c>
      <x:c r="M436" t="str">
        <x:v>SEDANG+</x:v>
      </x:c>
      <x:c r="N436" t="str">
        <x:v>ELITE-3</x:v>
      </x:c>
      <x:c r="O436" t="str">
        <x:v>SOSHUM</x:v>
      </x:c>
      <x:c r="P436" t="str">
        <x:v>UMUM</x:v>
      </x:c>
      <x:c r="Q436" s="18" t="n">
        <x:v>635</x:v>
      </x:c>
      <x:c r="R436" s="18" t="n">
        <x:v>0</x:v>
      </x:c>
      <x:c r="S436" s="18" t="n">
        <x:v>603.9770792919231</x:v>
      </x:c>
      <x:c r="T436" s="18" t="n">
        <x:v>675</x:v>
      </x:c>
      <x:c r="U436" s="18" t="n">
        <x:v>635</x:v>
      </x:c>
      <x:c r="V436" s="20" t="n">
        <x:v>4.4</x:v>
      </x:c>
      <x:c r="W436" s="20" t="n">
        <x:v>14.3</x:v>
      </x:c>
      <x:c r="X436" s="20" t="n">
        <x:v>3.3</x:v>
      </x:c>
      <x:c r="Y436" t="str">
        <x:v>Basis arsip 2025/2024</x:v>
      </x:c>
      <x:c r="Z436" t="str">
        <x:v>https://snpmb.id/utbk-snbt/daya-tampung-snbt</x:v>
      </x:c>
      <x:c r="AA436" t="str">
        <x:v>Tidak Ada</x:v>
      </x:c>
      <x:c r="AB436" t="str">
        <x:v>Campus=80; Ratio=44.9; Prodi=40; RelDemand=21.5; Capacity=83.3</x:v>
      </x:c>
    </x:row>
    <x:row r="437">
      <x:c r="A437" t="n">
        <x:v>434</x:v>
      </x:c>
      <x:c r="B437" t="str">
        <x:v>PTN Akademik</x:v>
      </x:c>
      <x:c r="C437" t="str">
        <x:v>UNIVERSITAS ANDALAS</x:v>
      </x:c>
      <x:c r="D437" t="str">
        <x:v>KEWIRAUSAHAAN</x:v>
      </x:c>
      <x:c r="E437" t="str">
        <x:v>Sarjana</x:v>
      </x:c>
      <x:c r="F437" s="18" t="n">
        <x:v>20</x:v>
      </x:c>
      <x:c r="G437" s="18" t="n">
        <x:v>225</x:v>
      </x:c>
      <x:c r="H437" s="19" t="n">
        <x:v>11.25</x:v>
      </x:c>
      <x:c r="I437" s="18" t="n">
        <x:f>ROUND(MIN(Model_Config_v3!$B$6,MAX(Q437,R437,S437*Model_Config_v3!$B$4+T437*Model_Config_v3!$B$5)),0)</x:f>
        <x:v>672</x:v>
      </x:c>
      <x:c r="J437" s="18" t="n">
        <x:f>MIN(Model_Config_v3!$B$6,I437+Model_Config_v3!$B$7)</x:f>
        <x:v>692</x:v>
      </x:c>
      <x:c r="K437" s="20" t="n">
        <x:v>64</x:v>
      </x:c>
      <x:c r="L437" t="str">
        <x:v>KETAT</x:v>
      </x:c>
      <x:c r="M437" t="str">
        <x:v>SEDANG+</x:v>
      </x:c>
      <x:c r="N437" t="str">
        <x:v>ELITE-3</x:v>
      </x:c>
      <x:c r="O437" t="str">
        <x:v>CAMPURAN</x:v>
      </x:c>
      <x:c r="P437" t="str">
        <x:v>UMUM</x:v>
      </x:c>
      <x:c r="Q437" s="18" t="n">
        <x:v>635</x:v>
      </x:c>
      <x:c r="R437" s="18" t="n">
        <x:v>0</x:v>
      </x:c>
      <x:c r="S437" s="18" t="n">
        <x:v>635.6267774692119</x:v>
      </x:c>
      <x:c r="T437" s="18" t="n">
        <x:v>688</x:v>
      </x:c>
      <x:c r="U437" s="18" t="n">
        <x:v>635.6267774692119</x:v>
      </x:c>
      <x:c r="V437" s="20" t="n">
        <x:v>8.8</x:v>
      </x:c>
      <x:c r="W437" s="20" t="n">
        <x:v>9.9</x:v>
      </x:c>
      <x:c r="X437" s="20" t="n">
        <x:v>3.3</x:v>
      </x:c>
      <x:c r="Y437" t="str">
        <x:v>Basis arsip 2025/2024</x:v>
      </x:c>
      <x:c r="Z437" t="str">
        <x:v>https://snpmb.id/utbk-snbt/daya-tampung-snbt</x:v>
      </x:c>
      <x:c r="AA437" t="str">
        <x:v>Tidak Ada</x:v>
      </x:c>
      <x:c r="AB437" t="str">
        <x:v>Campus=80; Ratio=61.9; Prodi=40; RelDemand=41.8; Capacity=83.3</x:v>
      </x:c>
    </x:row>
    <x:row r="438">
      <x:c r="A438" t="n">
        <x:v>435</x:v>
      </x:c>
      <x:c r="B438" t="str">
        <x:v>PTN Akademik</x:v>
      </x:c>
      <x:c r="C438" t="str">
        <x:v>UNIVERSITAS ANDALAS</x:v>
      </x:c>
      <x:c r="D438" t="str">
        <x:v>STATISTIKA DAN SAINS DATA</x:v>
      </x:c>
      <x:c r="E438" t="str">
        <x:v>Sarjana</x:v>
      </x:c>
      <x:c r="F438" s="18" t="n">
        <x:v>20</x:v>
      </x:c>
      <x:c r="G438" s="18"/>
      <x:c r="H438" s="19" t="n">
        <x:v>0</x:v>
      </x:c>
      <x:c r="I438" s="18" t="n">
        <x:f>ROUND(MIN(Model_Config_v3!$B$6,MAX(Q438,R438,S438*Model_Config_v3!$B$4+T438*Model_Config_v3!$B$5)),0)</x:f>
        <x:v>635</x:v>
      </x:c>
      <x:c r="J438" s="18" t="n">
        <x:f>MIN(Model_Config_v3!$B$6,I438+Model_Config_v3!$B$7)</x:f>
        <x:v>655</x:v>
      </x:c>
      <x:c r="K438" s="20" t="n">
        <x:v>48.3</x:v>
      </x:c>
      <x:c r="L438" t="str">
        <x:v>MENENGAH</x:v>
      </x:c>
      <x:c r="M438" t="str">
        <x:v>RENDAH</x:v>
      </x:c>
      <x:c r="N438" t="str">
        <x:v>ELITE-3</x:v>
      </x:c>
      <x:c r="O438" t="str">
        <x:v>SAINTEK</x:v>
      </x:c>
      <x:c r="P438" t="str">
        <x:v>TEKNIK/ARSITEKTUR/STATISTIKA/AKTUARIA</x:v>
      </x:c>
      <x:c r="Q438" s="18" t="n">
        <x:v>635</x:v>
      </x:c>
      <x:c r="R438" s="18" t="n">
        <x:v>0</x:v>
      </x:c>
      <x:c r="S438" s="18" t="n">
        <x:v>520</x:v>
      </x:c>
      <x:c r="T438" s="18" t="n">
        <x:v>657</x:v>
      </x:c>
      <x:c r="U438" s="18" t="n">
        <x:v>635</x:v>
      </x:c>
      <x:c r="V438" s="20" t="n">
        <x:v>12</x:v>
      </x:c>
      <x:c r="W438" s="20" t="n">
        <x:v>5</x:v>
      </x:c>
      <x:c r="X438" s="20" t="n">
        <x:v>3</x:v>
      </x:c>
      <x:c r="Y438" t="str">
        <x:v>Basis arsip 2025/2024</x:v>
      </x:c>
      <x:c r="Z438" t="str">
        <x:v>https://snpmb.id/utbk-snbt/daya-tampung-snbt</x:v>
      </x:c>
      <x:c r="AA438" t="str">
        <x:v>Tidak Ada</x:v>
      </x:c>
      <x:c r="AB438" t="str">
        <x:v>Campus=80; Ratio=0.0; Prodi=60; RelDemand=0.0; Capacity=83.3</x:v>
      </x:c>
    </x:row>
    <x:row r="439">
      <x:c r="A439" t="n">
        <x:v>436</x:v>
      </x:c>
      <x:c r="B439" t="str">
        <x:v>PTN Akademik</x:v>
      </x:c>
      <x:c r="C439" t="str">
        <x:v>UNIVERSITAS ANDALAS</x:v>
      </x:c>
      <x:c r="D439" t="str">
        <x:v>AKUNTANSI</x:v>
      </x:c>
      <x:c r="E439" t="str">
        <x:v>Diploma Tiga</x:v>
      </x:c>
      <x:c r="F439" s="18" t="n">
        <x:v>47</x:v>
      </x:c>
      <x:c r="G439" s="18" t="n">
        <x:v>1534</x:v>
      </x:c>
      <x:c r="H439" s="19" t="n">
        <x:v>32.638297872340424</x:v>
      </x:c>
      <x:c r="I439" s="18" t="n">
        <x:f>ROUND(MIN(Model_Config_v3!$B$6,MAX(Q439,R439,S439*Model_Config_v3!$B$4+T439*Model_Config_v3!$B$5)),0)</x:f>
        <x:v>709</x:v>
      </x:c>
      <x:c r="J439" s="18" t="n">
        <x:f>MIN(Model_Config_v3!$B$6,I439+Model_Config_v3!$B$7)</x:f>
        <x:v>729</x:v>
      </x:c>
      <x:c r="K439" s="20" t="n">
        <x:v>79.4</x:v>
      </x:c>
      <x:c r="L439" t="str">
        <x:v>ELITE</x:v>
      </x:c>
      <x:c r="M439" t="str">
        <x:v>SEDANG+</x:v>
      </x:c>
      <x:c r="N439" t="str">
        <x:v>ELITE-3</x:v>
      </x:c>
      <x:c r="O439" t="str">
        <x:v>SOSHUM</x:v>
      </x:c>
      <x:c r="P439" t="str">
        <x:v>BISNIS/EKONOMI/AKUNTANSI</x:v>
      </x:c>
      <x:c r="Q439" s="18" t="n">
        <x:v>635</x:v>
      </x:c>
      <x:c r="R439" s="18" t="n">
        <x:v>0</x:v>
      </x:c>
      <x:c r="S439" s="18" t="n">
        <x:v>686.510025184497</x:v>
      </x:c>
      <x:c r="T439" s="18" t="n">
        <x:v>719</x:v>
      </x:c>
      <x:c r="U439" s="18" t="n">
        <x:v>686.510025184497</x:v>
      </x:c>
      <x:c r="V439" s="20" t="n">
        <x:v>4.4</x:v>
      </x:c>
      <x:c r="W439" s="20" t="n">
        <x:v>14.3</x:v>
      </x:c>
      <x:c r="X439" s="20" t="n">
        <x:v>3.3</x:v>
      </x:c>
      <x:c r="Y439" t="str">
        <x:v>Basis arsip 2025/2024</x:v>
      </x:c>
      <x:c r="Z439" t="str">
        <x:v>https://snpmb.id/utbk-snbt/daya-tampung-snbt</x:v>
      </x:c>
      <x:c r="AA439" t="str">
        <x:v>Tidak Ada</x:v>
      </x:c>
      <x:c r="AB439" t="str">
        <x:v>Campus=80; Ratio=89.1; Prodi=65; RelDemand=100.0; Capacity=60.8</x:v>
      </x:c>
    </x:row>
    <x:row r="440">
      <x:c r="A440" t="n">
        <x:v>437</x:v>
      </x:c>
      <x:c r="B440" t="str">
        <x:v>PTN Akademik</x:v>
      </x:c>
      <x:c r="C440" t="str">
        <x:v>UNIVERSITAS ANDALAS</x:v>
      </x:c>
      <x:c r="D440" t="str">
        <x:v>ADMINISTRASI PERKANTORAN</x:v>
      </x:c>
      <x:c r="E440" t="str">
        <x:v>Diploma Tiga</x:v>
      </x:c>
      <x:c r="F440" s="18" t="n">
        <x:v>25</x:v>
      </x:c>
      <x:c r="G440" s="18" t="n">
        <x:v>2273</x:v>
      </x:c>
      <x:c r="H440" s="19" t="n">
        <x:v>90.92</x:v>
      </x:c>
      <x:c r="I440" s="18" t="n">
        <x:f>ROUND(MIN(Model_Config_v3!$B$6,MAX(Q440,R440,S440*Model_Config_v3!$B$4+T440*Model_Config_v3!$B$5)),0)</x:f>
        <x:v>723</x:v>
      </x:c>
      <x:c r="J440" s="18" t="n">
        <x:f>MIN(Model_Config_v3!$B$6,I440+Model_Config_v3!$B$7)</x:f>
        <x:v>743</x:v>
      </x:c>
      <x:c r="K440" s="20" t="n">
        <x:v>78.9</x:v>
      </x:c>
      <x:c r="L440" t="str">
        <x:v>ELITE</x:v>
      </x:c>
      <x:c r="M440" t="str">
        <x:v>SEDANG+</x:v>
      </x:c>
      <x:c r="N440" t="str">
        <x:v>ELITE-3</x:v>
      </x:c>
      <x:c r="O440" t="str">
        <x:v>SOSHUM</x:v>
      </x:c>
      <x:c r="P440" t="str">
        <x:v>UMUM</x:v>
      </x:c>
      <x:c r="Q440" s="18" t="n">
        <x:v>635</x:v>
      </x:c>
      <x:c r="R440" s="18" t="n">
        <x:v>0</x:v>
      </x:c>
      <x:c r="S440" s="18" t="n">
        <x:v>735.4525369758227</x:v>
      </x:c>
      <x:c r="T440" s="18" t="n">
        <x:v>718</x:v>
      </x:c>
      <x:c r="U440" s="18" t="n">
        <x:v>735.4525369758227</x:v>
      </x:c>
      <x:c r="V440" s="20" t="n">
        <x:v>4.4</x:v>
      </x:c>
      <x:c r="W440" s="20" t="n">
        <x:v>14.3</x:v>
      </x:c>
      <x:c r="X440" s="20" t="n">
        <x:v>3.3</x:v>
      </x:c>
      <x:c r="Y440" t="str">
        <x:v>Basis arsip 2025/2024</x:v>
      </x:c>
      <x:c r="Z440" t="str">
        <x:v>https://snpmb.id/utbk-snbt/daya-tampung-snbt</x:v>
      </x:c>
      <x:c r="AA440" t="str">
        <x:v>Tidak Ada</x:v>
      </x:c>
      <x:c r="AB440" t="str">
        <x:v>Campus=80; Ratio=100.0; Prodi=40; RelDemand=100.0; Capacity=79.2</x:v>
      </x:c>
    </x:row>
    <x:row r="441">
      <x:c r="A441" t="n">
        <x:v>438</x:v>
      </x:c>
      <x:c r="B441" t="str">
        <x:v>PTN Akademik</x:v>
      </x:c>
      <x:c r="C441" t="str">
        <x:v>UNIVERSITAS ANDALAS</x:v>
      </x:c>
      <x:c r="D441" t="str">
        <x:v>PERBANKAN DAN KEUANGAN</x:v>
      </x:c>
      <x:c r="E441" t="str">
        <x:v>Diploma Tiga</x:v>
      </x:c>
      <x:c r="F441" s="18" t="n">
        <x:v>45</x:v>
      </x:c>
      <x:c r="G441" s="18" t="n">
        <x:v>1822</x:v>
      </x:c>
      <x:c r="H441" s="19" t="n">
        <x:v>40.48888888888889</x:v>
      </x:c>
      <x:c r="I441" s="18" t="n">
        <x:f>ROUND(MIN(Model_Config_v3!$B$6,MAX(Q441,R441,S441*Model_Config_v3!$B$4+T441*Model_Config_v3!$B$5)),0)</x:f>
        <x:v>707</x:v>
      </x:c>
      <x:c r="J441" s="18" t="n">
        <x:f>MIN(Model_Config_v3!$B$6,I441+Model_Config_v3!$B$7)</x:f>
        <x:v>727</x:v>
      </x:c>
      <x:c r="K441" s="20" t="n">
        <x:v>75.9</x:v>
      </x:c>
      <x:c r="L441" t="str">
        <x:v>ELITE</x:v>
      </x:c>
      <x:c r="M441" t="str">
        <x:v>SEDANG+</x:v>
      </x:c>
      <x:c r="N441" t="str">
        <x:v>ELITE-3</x:v>
      </x:c>
      <x:c r="O441" t="str">
        <x:v>CAMPURAN</x:v>
      </x:c>
      <x:c r="P441" t="str">
        <x:v>UMUM</x:v>
      </x:c>
      <x:c r="Q441" s="18" t="n">
        <x:v>635</x:v>
      </x:c>
      <x:c r="R441" s="18" t="n">
        <x:v>0</x:v>
      </x:c>
      <x:c r="S441" s="18" t="n">
        <x:v>696.8069444747799</x:v>
      </x:c>
      <x:c r="T441" s="18" t="n">
        <x:v>712</x:v>
      </x:c>
      <x:c r="U441" s="18" t="n">
        <x:v>696.8069444747799</x:v>
      </x:c>
      <x:c r="V441" s="20" t="n">
        <x:v>8.8</x:v>
      </x:c>
      <x:c r="W441" s="20" t="n">
        <x:v>9.9</x:v>
      </x:c>
      <x:c r="X441" s="20" t="n">
        <x:v>3.3</x:v>
      </x:c>
      <x:c r="Y441" t="str">
        <x:v>Basis arsip 2025/2024</x:v>
      </x:c>
      <x:c r="Z441" t="str">
        <x:v>https://snpmb.id/utbk-snbt/daya-tampung-snbt</x:v>
      </x:c>
      <x:c r="AA441" t="str">
        <x:v>Tidak Ada</x:v>
      </x:c>
      <x:c r="AB441" t="str">
        <x:v>Campus=80; Ratio=94.6; Prodi=40; RelDemand=100.0; Capacity=62.5</x:v>
      </x:c>
    </x:row>
    <x:row r="442">
      <x:c r="A442" t="n">
        <x:v>439</x:v>
      </x:c>
      <x:c r="B442" t="str">
        <x:v>PTN Akademik</x:v>
      </x:c>
      <x:c r="C442" t="str">
        <x:v>UNIVERSITAS ANDALAS</x:v>
      </x:c>
      <x:c r="D442" t="str">
        <x:v>MANAJEMEN PEMASARAN</x:v>
      </x:c>
      <x:c r="E442" t="str">
        <x:v>Diploma Tiga</x:v>
      </x:c>
      <x:c r="F442" s="18" t="n">
        <x:v>33</x:v>
      </x:c>
      <x:c r="G442" s="18" t="n">
        <x:v>1188</x:v>
      </x:c>
      <x:c r="H442" s="19" t="n">
        <x:v>36</x:v>
      </x:c>
      <x:c r="I442" s="18" t="n">
        <x:f>ROUND(MIN(Model_Config_v3!$B$6,MAX(Q442,R442,S442*Model_Config_v3!$B$4+T442*Model_Config_v3!$B$5)),0)</x:f>
        <x:v>713</x:v>
      </x:c>
      <x:c r="J442" s="18" t="n">
        <x:f>MIN(Model_Config_v3!$B$6,I442+Model_Config_v3!$B$7)</x:f>
        <x:v>733</x:v>
      </x:c>
      <x:c r="K442" s="20" t="n">
        <x:v>81.2</x:v>
      </x:c>
      <x:c r="L442" t="str">
        <x:v>ELITE</x:v>
      </x:c>
      <x:c r="M442" t="str">
        <x:v>SEDANG+</x:v>
      </x:c>
      <x:c r="N442" t="str">
        <x:v>ELITE-3</x:v>
      </x:c>
      <x:c r="O442" t="str">
        <x:v>SOSHUM</x:v>
      </x:c>
      <x:c r="P442" t="str">
        <x:v>BISNIS/EKONOMI/AKUNTANSI</x:v>
      </x:c>
      <x:c r="Q442" s="18" t="n">
        <x:v>635</x:v>
      </x:c>
      <x:c r="R442" s="18" t="n">
        <x:v>0</x:v>
      </x:c>
      <x:c r="S442" s="18" t="n">
        <x:v>691.1932750844015</x:v>
      </x:c>
      <x:c r="T442" s="18" t="n">
        <x:v>722</x:v>
      </x:c>
      <x:c r="U442" s="18" t="n">
        <x:v>706.1932750844015</x:v>
      </x:c>
      <x:c r="V442" s="20" t="n">
        <x:v>4.4</x:v>
      </x:c>
      <x:c r="W442" s="20" t="n">
        <x:v>14.3</x:v>
      </x:c>
      <x:c r="X442" s="20" t="n">
        <x:v>3.3</x:v>
      </x:c>
      <x:c r="Y442" t="str">
        <x:v>Basis arsip 2025/2024</x:v>
      </x:c>
      <x:c r="Z442" t="str">
        <x:v>https://snpmb.id/utbk-snbt/daya-tampung-snbt</x:v>
      </x:c>
      <x:c r="AA442" t="str">
        <x:v>Tidak Ada</x:v>
      </x:c>
      <x:c r="AB442" t="str">
        <x:v>Campus=80; Ratio=91.6; Prodi=65; RelDemand=100.0; Capacity=72.5</x:v>
      </x:c>
    </x:row>
    <x:row r="443">
      <x:c r="A443" t="n">
        <x:v>440</x:v>
      </x:c>
      <x:c r="B443" t="str">
        <x:v>PTN Akademik</x:v>
      </x:c>
      <x:c r="C443" t="str">
        <x:v>UNIVERSITAS NEGERI PADANG</x:v>
      </x:c>
      <x:c r="D443" t="str">
        <x:v>PENDIDIKAN MATEMATIKA</x:v>
      </x:c>
      <x:c r="E443" t="str">
        <x:v>Sarjana</x:v>
      </x:c>
      <x:c r="F443" s="18" t="n">
        <x:v>64</x:v>
      </x:c>
      <x:c r="G443" s="18" t="n">
        <x:v>361</x:v>
      </x:c>
      <x:c r="H443" s="19" t="n">
        <x:v>5.640625</x:v>
      </x:c>
      <x:c r="I443" s="18" t="n">
        <x:f>ROUND(MIN(Model_Config_v3!$B$6,MAX(Q443,R443,S443*Model_Config_v3!$B$4+T443*Model_Config_v3!$B$5)),0)</x:f>
        <x:v>638</x:v>
      </x:c>
      <x:c r="J443" s="18" t="n">
        <x:f>MIN(Model_Config_v3!$B$6,I443+Model_Config_v3!$B$7)</x:f>
        <x:v>658</x:v>
      </x:c>
      <x:c r="K443" s="20" t="n">
        <x:v>46.5</x:v>
      </x:c>
      <x:c r="L443" t="str">
        <x:v>MENENGAH</x:v>
      </x:c>
      <x:c r="M443" t="str">
        <x:v>SEDANG+</x:v>
      </x:c>
      <x:c r="N443" t="str">
        <x:v>REGULER</x:v>
      </x:c>
      <x:c r="O443" t="str">
        <x:v>SAINTEK</x:v>
      </x:c>
      <x:c r="P443" t="str">
        <x:v>PENDIDIKAN</x:v>
      </x:c>
      <x:c r="Q443" s="18" t="n">
        <x:v>0</x:v>
      </x:c>
      <x:c r="R443" s="18" t="n">
        <x:v>0</x:v>
      </x:c>
      <x:c r="S443" s="18" t="n">
        <x:v>602.6459950713947</x:v>
      </x:c>
      <x:c r="T443" s="18" t="n">
        <x:v>653</x:v>
      </x:c>
      <x:c r="U443" s="18" t="n">
        <x:v>602.6459950713947</x:v>
      </x:c>
      <x:c r="V443" s="20" t="n">
        <x:v>12</x:v>
      </x:c>
      <x:c r="W443" s="20" t="n">
        <x:v>5</x:v>
      </x:c>
      <x:c r="X443" s="20" t="n">
        <x:v>3</x:v>
      </x:c>
      <x:c r="Y443" t="str">
        <x:v>Basis arsip 2025/2024</x:v>
      </x:c>
      <x:c r="Z443" t="str">
        <x:v>https://snpmb.id/utbk-snbt/daya-tampung-snbt</x:v>
      </x:c>
      <x:c r="AA443" t="str">
        <x:v>Tidak Ada</x:v>
      </x:c>
      <x:c r="AB443" t="str">
        <x:v>Campus=55; Ratio=44.2; Prodi=45; RelDemand=25.4; Capacity=46.7</x:v>
      </x:c>
    </x:row>
    <x:row r="444">
      <x:c r="A444" t="n">
        <x:v>441</x:v>
      </x:c>
      <x:c r="B444" t="str">
        <x:v>PTN Akademik</x:v>
      </x:c>
      <x:c r="C444" t="str">
        <x:v>UNIVERSITAS NEGERI PADANG</x:v>
      </x:c>
      <x:c r="D444" t="str">
        <x:v>MATEMATIKA (NK)</x:v>
      </x:c>
      <x:c r="E444" t="str">
        <x:v>Sarjana</x:v>
      </x:c>
      <x:c r="F444" s="18" t="n">
        <x:v>40</x:v>
      </x:c>
      <x:c r="G444" s="18" t="n">
        <x:v>89</x:v>
      </x:c>
      <x:c r="H444" s="19" t="n">
        <x:v>2.225</x:v>
      </x:c>
      <x:c r="I444" s="18" t="n">
        <x:f>ROUND(MIN(Model_Config_v3!$B$6,MAX(Q444,R444,S444*Model_Config_v3!$B$4+T444*Model_Config_v3!$B$5)),0)</x:f>
        <x:v>618</x:v>
      </x:c>
      <x:c r="J444" s="18" t="n">
        <x:f>MIN(Model_Config_v3!$B$6,I444+Model_Config_v3!$B$7)</x:f>
        <x:v>638</x:v>
      </x:c>
      <x:c r="K444" s="20" t="n">
        <x:v>42</x:v>
      </x:c>
      <x:c r="L444" t="str">
        <x:v>RELATIF LONGGAR</x:v>
      </x:c>
      <x:c r="M444" t="str">
        <x:v>SEDANG+</x:v>
      </x:c>
      <x:c r="N444" t="str">
        <x:v>REGULER</x:v>
      </x:c>
      <x:c r="O444" t="str">
        <x:v>SAINTEK</x:v>
      </x:c>
      <x:c r="P444" t="str">
        <x:v>SAINS DASAR</x:v>
      </x:c>
      <x:c r="Q444" s="18" t="n">
        <x:v>0</x:v>
      </x:c>
      <x:c r="R444" s="18" t="n">
        <x:v>0</x:v>
      </x:c>
      <x:c r="S444" s="18" t="n">
        <x:v>558.2063016848646</x:v>
      </x:c>
      <x:c r="T444" s="18" t="n">
        <x:v>644</x:v>
      </x:c>
      <x:c r="U444" s="18" t="n">
        <x:v>558.2063016848646</x:v>
      </x:c>
      <x:c r="V444" s="20" t="n">
        <x:v>12</x:v>
      </x:c>
      <x:c r="W444" s="20" t="n">
        <x:v>5</x:v>
      </x:c>
      <x:c r="X444" s="20" t="n">
        <x:v>3</x:v>
      </x:c>
      <x:c r="Y444" t="str">
        <x:v>Basis arsip 2025/2024</x:v>
      </x:c>
      <x:c r="Z444" t="str">
        <x:v>https://snpmb.id/utbk-snbt/daya-tampung-snbt</x:v>
      </x:c>
      <x:c r="AA444" t="str">
        <x:v>Tidak Ada</x:v>
      </x:c>
      <x:c r="AB444" t="str">
        <x:v>Campus=55; Ratio=20.4; Prodi=50; RelDemand=10.0; Capacity=66.7</x:v>
      </x:c>
    </x:row>
    <x:row r="445">
      <x:c r="A445" t="n">
        <x:v>442</x:v>
      </x:c>
      <x:c r="B445" t="str">
        <x:v>PTN Akademik</x:v>
      </x:c>
      <x:c r="C445" t="str">
        <x:v>UNIVERSITAS NEGERI PADANG</x:v>
      </x:c>
      <x:c r="D445" t="str">
        <x:v>PENDIDIKAN BIOLOGI</x:v>
      </x:c>
      <x:c r="E445" t="str">
        <x:v>Sarjana</x:v>
      </x:c>
      <x:c r="F445" s="18" t="n">
        <x:v>60</x:v>
      </x:c>
      <x:c r="G445" s="18" t="n">
        <x:v>317</x:v>
      </x:c>
      <x:c r="H445" s="19" t="n">
        <x:v>5.283333333333333</x:v>
      </x:c>
      <x:c r="I445" s="18" t="n">
        <x:f>ROUND(MIN(Model_Config_v3!$B$6,MAX(Q445,R445,S445*Model_Config_v3!$B$4+T445*Model_Config_v3!$B$5)),0)</x:f>
        <x:v>637</x:v>
      </x:c>
      <x:c r="J445" s="18" t="n">
        <x:f>MIN(Model_Config_v3!$B$6,I445+Model_Config_v3!$B$7)</x:f>
        <x:v>657</x:v>
      </x:c>
      <x:c r="K445" s="20" t="n">
        <x:v>46.3</x:v>
      </x:c>
      <x:c r="L445" t="str">
        <x:v>MENENGAH</x:v>
      </x:c>
      <x:c r="M445" t="str">
        <x:v>SEDANG+</x:v>
      </x:c>
      <x:c r="N445" t="str">
        <x:v>REGULER</x:v>
      </x:c>
      <x:c r="O445" t="str">
        <x:v>SAINTEK</x:v>
      </x:c>
      <x:c r="P445" t="str">
        <x:v>PENDIDIKAN</x:v>
      </x:c>
      <x:c r="Q445" s="18" t="n">
        <x:v>0</x:v>
      </x:c>
      <x:c r="R445" s="18" t="n">
        <x:v>0</x:v>
      </x:c>
      <x:c r="S445" s="18" t="n">
        <x:v>599.5198813017519</x:v>
      </x:c>
      <x:c r="T445" s="18" t="n">
        <x:v>653</x:v>
      </x:c>
      <x:c r="U445" s="18" t="n">
        <x:v>599.5198813017519</x:v>
      </x:c>
      <x:c r="V445" s="20" t="n">
        <x:v>12</x:v>
      </x:c>
      <x:c r="W445" s="20" t="n">
        <x:v>5</x:v>
      </x:c>
      <x:c r="X445" s="20" t="n">
        <x:v>3</x:v>
      </x:c>
      <x:c r="Y445" t="str">
        <x:v>Basis arsip 2025/2024</x:v>
      </x:c>
      <x:c r="Z445" t="str">
        <x:v>https://snpmb.id/utbk-snbt/daya-tampung-snbt</x:v>
      </x:c>
      <x:c r="AA445" t="str">
        <x:v>Tidak Ada</x:v>
      </x:c>
      <x:c r="AB445" t="str">
        <x:v>Campus=55; Ratio=42.5; Prodi=45; RelDemand=23.8; Capacity=50.0</x:v>
      </x:c>
    </x:row>
    <x:row r="446">
      <x:c r="A446" t="n">
        <x:v>443</x:v>
      </x:c>
      <x:c r="B446" t="str">
        <x:v>PTN Akademik</x:v>
      </x:c>
      <x:c r="C446" t="str">
        <x:v>UNIVERSITAS NEGERI PADANG</x:v>
      </x:c>
      <x:c r="D446" t="str">
        <x:v>BIOLOGI (NK)</x:v>
      </x:c>
      <x:c r="E446" t="str">
        <x:v>Sarjana</x:v>
      </x:c>
      <x:c r="F446" s="18" t="n">
        <x:v>60</x:v>
      </x:c>
      <x:c r="G446" s="18" t="n">
        <x:v>105</x:v>
      </x:c>
      <x:c r="H446" s="19" t="n">
        <x:v>1.75</x:v>
      </x:c>
      <x:c r="I446" s="18" t="n">
        <x:f>ROUND(MIN(Model_Config_v3!$B$6,MAX(Q446,R446,S446*Model_Config_v3!$B$4+T446*Model_Config_v3!$B$5)),0)</x:f>
        <x:v>610</x:v>
      </x:c>
      <x:c r="J446" s="18" t="n">
        <x:f>MIN(Model_Config_v3!$B$6,I446+Model_Config_v3!$B$7)</x:f>
        <x:v>630</x:v>
      </x:c>
      <x:c r="K446" s="20" t="n">
        <x:v>38.6</x:v>
      </x:c>
      <x:c r="L446" t="str">
        <x:v>RELATIF LONGGAR</x:v>
      </x:c>
      <x:c r="M446" t="str">
        <x:v>SEDANG+</x:v>
      </x:c>
      <x:c r="N446" t="str">
        <x:v>REGULER</x:v>
      </x:c>
      <x:c r="O446" t="str">
        <x:v>SAINTEK</x:v>
      </x:c>
      <x:c r="P446" t="str">
        <x:v>SAINS DASAR</x:v>
      </x:c>
      <x:c r="Q446" s="18" t="n">
        <x:v>0</x:v>
      </x:c>
      <x:c r="R446" s="18" t="n">
        <x:v>0</x:v>
      </x:c>
      <x:c r="S446" s="18" t="n">
        <x:v>546.7341853554924</x:v>
      </x:c>
      <x:c r="T446" s="18" t="n">
        <x:v>637</x:v>
      </x:c>
      <x:c r="U446" s="18" t="n">
        <x:v>546.7341853554924</x:v>
      </x:c>
      <x:c r="V446" s="20" t="n">
        <x:v>12</x:v>
      </x:c>
      <x:c r="W446" s="20" t="n">
        <x:v>5</x:v>
      </x:c>
      <x:c r="X446" s="20" t="n">
        <x:v>3</x:v>
      </x:c>
      <x:c r="Y446" t="str">
        <x:v>Basis arsip 2025/2024</x:v>
      </x:c>
      <x:c r="Z446" t="str">
        <x:v>https://snpmb.id/utbk-snbt/daya-tampung-snbt</x:v>
      </x:c>
      <x:c r="AA446" t="str">
        <x:v>Tidak Ada</x:v>
      </x:c>
      <x:c r="AB446" t="str">
        <x:v>Campus=55; Ratio=14.3; Prodi=50; RelDemand=7.9; Capacity=50.0</x:v>
      </x:c>
    </x:row>
    <x:row r="447">
      <x:c r="A447" t="n">
        <x:v>444</x:v>
      </x:c>
      <x:c r="B447" t="str">
        <x:v>PTN Akademik</x:v>
      </x:c>
      <x:c r="C447" t="str">
        <x:v>UNIVERSITAS NEGERI PADANG</x:v>
      </x:c>
      <x:c r="D447" t="str">
        <x:v>PENDIDIKAN FISIKA</x:v>
      </x:c>
      <x:c r="E447" t="str">
        <x:v>Sarjana</x:v>
      </x:c>
      <x:c r="F447" s="18" t="n">
        <x:v>64</x:v>
      </x:c>
      <x:c r="G447" s="18" t="n">
        <x:v>123</x:v>
      </x:c>
      <x:c r="H447" s="19" t="n">
        <x:v>1.921875</x:v>
      </x:c>
      <x:c r="I447" s="18" t="n">
        <x:f>ROUND(MIN(Model_Config_v3!$B$6,MAX(Q447,R447,S447*Model_Config_v3!$B$4+T447*Model_Config_v3!$B$5)),0)</x:f>
        <x:v>611</x:v>
      </x:c>
      <x:c r="J447" s="18" t="n">
        <x:f>MIN(Model_Config_v3!$B$6,I447+Model_Config_v3!$B$7)</x:f>
        <x:v>631</x:v>
      </x:c>
      <x:c r="K447" s="20" t="n">
        <x:v>38</x:v>
      </x:c>
      <x:c r="L447" t="str">
        <x:v>RELATIF LONGGAR</x:v>
      </x:c>
      <x:c r="M447" t="str">
        <x:v>SEDANG+</x:v>
      </x:c>
      <x:c r="N447" t="str">
        <x:v>REGULER</x:v>
      </x:c>
      <x:c r="O447" t="str">
        <x:v>SAINTEK</x:v>
      </x:c>
      <x:c r="P447" t="str">
        <x:v>PENDIDIKAN</x:v>
      </x:c>
      <x:c r="Q447" s="18" t="n">
        <x:v>0</x:v>
      </x:c>
      <x:c r="R447" s="18" t="n">
        <x:v>0</x:v>
      </x:c>
      <x:c r="S447" s="18" t="n">
        <x:v>551.2097651201062</x:v>
      </x:c>
      <x:c r="T447" s="18" t="n">
        <x:v>636</x:v>
      </x:c>
      <x:c r="U447" s="18" t="n">
        <x:v>551.2097651201062</x:v>
      </x:c>
      <x:c r="V447" s="20" t="n">
        <x:v>12</x:v>
      </x:c>
      <x:c r="W447" s="20" t="n">
        <x:v>5</x:v>
      </x:c>
      <x:c r="X447" s="20" t="n">
        <x:v>3</x:v>
      </x:c>
      <x:c r="Y447" t="str">
        <x:v>Basis arsip 2025/2024</x:v>
      </x:c>
      <x:c r="Z447" t="str">
        <x:v>https://snpmb.id/utbk-snbt/daya-tampung-snbt</x:v>
      </x:c>
      <x:c r="AA447" t="str">
        <x:v>Tidak Ada</x:v>
      </x:c>
      <x:c r="AB447" t="str">
        <x:v>Campus=55; Ratio=16.7; Prodi=45; RelDemand=8.6; Capacity=46.7</x:v>
      </x:c>
    </x:row>
    <x:row r="448">
      <x:c r="A448" t="n">
        <x:v>445</x:v>
      </x:c>
      <x:c r="B448" t="str">
        <x:v>PTN Akademik</x:v>
      </x:c>
      <x:c r="C448" t="str">
        <x:v>UNIVERSITAS NEGERI PADANG</x:v>
      </x:c>
      <x:c r="D448" t="str">
        <x:v>FISIKA (NK)</x:v>
      </x:c>
      <x:c r="E448" t="str">
        <x:v>Sarjana</x:v>
      </x:c>
      <x:c r="F448" s="18" t="n">
        <x:v>48</x:v>
      </x:c>
      <x:c r="G448" s="18" t="n">
        <x:v>37</x:v>
      </x:c>
      <x:c r="H448" s="19" t="n">
        <x:v>0.7708333333333334</x:v>
      </x:c>
      <x:c r="I448" s="18" t="n">
        <x:f>ROUND(MIN(Model_Config_v3!$B$6,MAX(Q448,R448,S448*Model_Config_v3!$B$4+T448*Model_Config_v3!$B$5)),0)</x:f>
        <x:v>598</x:v>
      </x:c>
      <x:c r="J448" s="18" t="n">
        <x:f>MIN(Model_Config_v3!$B$6,I448+Model_Config_v3!$B$7)</x:f>
        <x:v>618</x:v>
      </x:c>
      <x:c r="K448" s="20" t="n">
        <x:v>35.6</x:v>
      </x:c>
      <x:c r="L448" t="str">
        <x:v>RELATIF LONGGAR</x:v>
      </x:c>
      <x:c r="M448" t="str">
        <x:v>SEDANG+</x:v>
      </x:c>
      <x:c r="N448" t="str">
        <x:v>REGULER</x:v>
      </x:c>
      <x:c r="O448" t="str">
        <x:v>SAINTEK</x:v>
      </x:c>
      <x:c r="P448" t="str">
        <x:v>SAINS DASAR</x:v>
      </x:c>
      <x:c r="Q448" s="18" t="n">
        <x:v>0</x:v>
      </x:c>
      <x:c r="R448" s="18" t="n">
        <x:v>0</x:v>
      </x:c>
      <x:c r="S448" s="18" t="n">
        <x:v>520</x:v>
      </x:c>
      <x:c r="T448" s="18" t="n">
        <x:v>631</x:v>
      </x:c>
      <x:c r="U448" s="18" t="n">
        <x:v>520</x:v>
      </x:c>
      <x:c r="V448" s="20" t="n">
        <x:v>12</x:v>
      </x:c>
      <x:c r="W448" s="20" t="n">
        <x:v>5</x:v>
      </x:c>
      <x:c r="X448" s="20" t="n">
        <x:v>3</x:v>
      </x:c>
      <x:c r="Y448" t="str">
        <x:v>Basis arsip 2025/2024</x:v>
      </x:c>
      <x:c r="Z448" t="str">
        <x:v>https://snpmb.id/utbk-snbt/daya-tampung-snbt</x:v>
      </x:c>
      <x:c r="AA448" t="str">
        <x:v>Tidak Ada</x:v>
      </x:c>
      <x:c r="AB448" t="str">
        <x:v>Campus=55; Ratio=0.0; Prodi=50; RelDemand=3.5; Capacity=60.0</x:v>
      </x:c>
    </x:row>
    <x:row r="449">
      <x:c r="A449" t="n">
        <x:v>446</x:v>
      </x:c>
      <x:c r="B449" t="str">
        <x:v>PTN Akademik</x:v>
      </x:c>
      <x:c r="C449" t="str">
        <x:v>UNIVERSITAS NEGERI PADANG</x:v>
      </x:c>
      <x:c r="D449" t="str">
        <x:v>PENDIDIKAN KIMIA</x:v>
      </x:c>
      <x:c r="E449" t="str">
        <x:v>Sarjana</x:v>
      </x:c>
      <x:c r="F449" s="18" t="n">
        <x:v>60</x:v>
      </x:c>
      <x:c r="G449" s="18" t="n">
        <x:v>152</x:v>
      </x:c>
      <x:c r="H449" s="19" t="n">
        <x:v>2.533333333333333</x:v>
      </x:c>
      <x:c r="I449" s="18" t="n">
        <x:f>ROUND(MIN(Model_Config_v3!$B$6,MAX(Q449,R449,S449*Model_Config_v3!$B$4+T449*Model_Config_v3!$B$5)),0)</x:f>
        <x:v>618</x:v>
      </x:c>
      <x:c r="J449" s="18" t="n">
        <x:f>MIN(Model_Config_v3!$B$6,I449+Model_Config_v3!$B$7)</x:f>
        <x:v>638</x:v>
      </x:c>
      <x:c r="K449" s="20" t="n">
        <x:v>40.3</x:v>
      </x:c>
      <x:c r="L449" t="str">
        <x:v>RELATIF LONGGAR</x:v>
      </x:c>
      <x:c r="M449" t="str">
        <x:v>SEDANG+</x:v>
      </x:c>
      <x:c r="N449" t="str">
        <x:v>REGULER</x:v>
      </x:c>
      <x:c r="O449" t="str">
        <x:v>SAINTEK</x:v>
      </x:c>
      <x:c r="P449" t="str">
        <x:v>PENDIDIKAN</x:v>
      </x:c>
      <x:c r="Q449" s="18" t="n">
        <x:v>0</x:v>
      </x:c>
      <x:c r="R449" s="18" t="n">
        <x:v>0</x:v>
      </x:c>
      <x:c r="S449" s="18" t="n">
        <x:v>564.4061571317242</x:v>
      </x:c>
      <x:c r="T449" s="18" t="n">
        <x:v>641</x:v>
      </x:c>
      <x:c r="U449" s="18" t="n">
        <x:v>564.4061571317242</x:v>
      </x:c>
      <x:c r="V449" s="20" t="n">
        <x:v>12</x:v>
      </x:c>
      <x:c r="W449" s="20" t="n">
        <x:v>5</x:v>
      </x:c>
      <x:c r="X449" s="20" t="n">
        <x:v>3</x:v>
      </x:c>
      <x:c r="Y449" t="str">
        <x:v>Basis arsip 2025/2024</x:v>
      </x:c>
      <x:c r="Z449" t="str">
        <x:v>https://snpmb.id/utbk-snbt/daya-tampung-snbt</x:v>
      </x:c>
      <x:c r="AA449" t="str">
        <x:v>Tidak Ada</x:v>
      </x:c>
      <x:c r="AB449" t="str">
        <x:v>Campus=55; Ratio=23.8; Prodi=45; RelDemand=11.4; Capacity=50.0</x:v>
      </x:c>
    </x:row>
    <x:row r="450">
      <x:c r="A450" t="n">
        <x:v>447</x:v>
      </x:c>
      <x:c r="B450" t="str">
        <x:v>PTN Akademik</x:v>
      </x:c>
      <x:c r="C450" t="str">
        <x:v>UNIVERSITAS NEGERI PADANG</x:v>
      </x:c>
      <x:c r="D450" t="str">
        <x:v>KIMIA (NK)</x:v>
      </x:c>
      <x:c r="E450" t="str">
        <x:v>Sarjana</x:v>
      </x:c>
      <x:c r="F450" s="18" t="n">
        <x:v>60</x:v>
      </x:c>
      <x:c r="G450" s="18" t="n">
        <x:v>142</x:v>
      </x:c>
      <x:c r="H450" s="19" t="n">
        <x:v>2.3666666666666667</x:v>
      </x:c>
      <x:c r="I450" s="18" t="n">
        <x:f>ROUND(MIN(Model_Config_v3!$B$6,MAX(Q450,R450,S450*Model_Config_v3!$B$4+T450*Model_Config_v3!$B$5)),0)</x:f>
        <x:v>618</x:v>
      </x:c>
      <x:c r="J450" s="18" t="n">
        <x:f>MIN(Model_Config_v3!$B$6,I450+Model_Config_v3!$B$7)</x:f>
        <x:v>638</x:v>
      </x:c>
      <x:c r="K450" s="20" t="n">
        <x:v>40.8</x:v>
      </x:c>
      <x:c r="L450" t="str">
        <x:v>RELATIF LONGGAR</x:v>
      </x:c>
      <x:c r="M450" t="str">
        <x:v>SEDANG+</x:v>
      </x:c>
      <x:c r="N450" t="str">
        <x:v>REGULER</x:v>
      </x:c>
      <x:c r="O450" t="str">
        <x:v>SAINTEK</x:v>
      </x:c>
      <x:c r="P450" t="str">
        <x:v>SAINS DASAR</x:v>
      </x:c>
      <x:c r="Q450" s="18" t="n">
        <x:v>0</x:v>
      </x:c>
      <x:c r="R450" s="18" t="n">
        <x:v>0</x:v>
      </x:c>
      <x:c r="S450" s="18" t="n">
        <x:v>561.1550803399355</x:v>
      </x:c>
      <x:c r="T450" s="18" t="n">
        <x:v>642</x:v>
      </x:c>
      <x:c r="U450" s="18" t="n">
        <x:v>561.1550803399355</x:v>
      </x:c>
      <x:c r="V450" s="20" t="n">
        <x:v>12</x:v>
      </x:c>
      <x:c r="W450" s="20" t="n">
        <x:v>5</x:v>
      </x:c>
      <x:c r="X450" s="20" t="n">
        <x:v>3</x:v>
      </x:c>
      <x:c r="Y450" t="str">
        <x:v>Basis arsip 2025/2024</x:v>
      </x:c>
      <x:c r="Z450" t="str">
        <x:v>https://snpmb.id/utbk-snbt/daya-tampung-snbt</x:v>
      </x:c>
      <x:c r="AA450" t="str">
        <x:v>Tidak Ada</x:v>
      </x:c>
      <x:c r="AB450" t="str">
        <x:v>Campus=55; Ratio=22.0; Prodi=50; RelDemand=10.6; Capacity=50.0</x:v>
      </x:c>
    </x:row>
    <x:row r="451">
      <x:c r="A451" t="n">
        <x:v>448</x:v>
      </x:c>
      <x:c r="B451" t="str">
        <x:v>PTN Akademik</x:v>
      </x:c>
      <x:c r="C451" t="str">
        <x:v>UNIVERSITAS NEGERI PADANG</x:v>
      </x:c>
      <x:c r="D451" t="str">
        <x:v>PENDIDIKAN TEKNIK BANGUNAN</x:v>
      </x:c>
      <x:c r="E451" t="str">
        <x:v>Sarjana</x:v>
      </x:c>
      <x:c r="F451" s="18" t="n">
        <x:v>28</x:v>
      </x:c>
      <x:c r="G451" s="18" t="n">
        <x:v>84</x:v>
      </x:c>
      <x:c r="H451" s="19" t="n">
        <x:v>3</x:v>
      </x:c>
      <x:c r="I451" s="18" t="n">
        <x:f>ROUND(MIN(Model_Config_v3!$B$6,MAX(Q451,R451,S451*Model_Config_v3!$B$4+T451*Model_Config_v3!$B$5)),0)</x:f>
        <x:v>626</x:v>
      </x:c>
      <x:c r="J451" s="18" t="n">
        <x:f>MIN(Model_Config_v3!$B$6,I451+Model_Config_v3!$B$7)</x:f>
        <x:v>646</x:v>
      </x:c>
      <x:c r="K451" s="20" t="n">
        <x:v>44.3</x:v>
      </x:c>
      <x:c r="L451" t="str">
        <x:v>RELATIF LONGGAR</x:v>
      </x:c>
      <x:c r="M451" t="str">
        <x:v>SEDANG+</x:v>
      </x:c>
      <x:c r="N451" t="str">
        <x:v>REGULER</x:v>
      </x:c>
      <x:c r="O451" t="str">
        <x:v>SAINTEK</x:v>
      </x:c>
      <x:c r="P451" t="str">
        <x:v>PENDIDIKAN</x:v>
      </x:c>
      <x:c r="Q451" s="18" t="n">
        <x:v>0</x:v>
      </x:c>
      <x:c r="R451" s="18" t="n">
        <x:v>0</x:v>
      </x:c>
      <x:c r="S451" s="18" t="n">
        <x:v>572.4833380191628</x:v>
      </x:c>
      <x:c r="T451" s="18" t="n">
        <x:v>649</x:v>
      </x:c>
      <x:c r="U451" s="18" t="n">
        <x:v>582.4833380191628</x:v>
      </x:c>
      <x:c r="V451" s="20" t="n">
        <x:v>12</x:v>
      </x:c>
      <x:c r="W451" s="20" t="n">
        <x:v>5</x:v>
      </x:c>
      <x:c r="X451" s="20" t="n">
        <x:v>3</x:v>
      </x:c>
      <x:c r="Y451" t="str">
        <x:v>Basis arsip 2025/2024</x:v>
      </x:c>
      <x:c r="Z451" t="str">
        <x:v>https://snpmb.id/utbk-snbt/daya-tampung-snbt</x:v>
      </x:c>
      <x:c r="AA451" t="str">
        <x:v>Tidak Ada</x:v>
      </x:c>
      <x:c r="AB451" t="str">
        <x:v>Campus=55; Ratio=28.1; Prodi=45; RelDemand=13.5; Capacity=76.7</x:v>
      </x:c>
    </x:row>
    <x:row r="452">
      <x:c r="A452" t="n">
        <x:v>449</x:v>
      </x:c>
      <x:c r="B452" t="str">
        <x:v>PTN Akademik</x:v>
      </x:c>
      <x:c r="C452" t="str">
        <x:v>UNIVERSITAS NEGERI PADANG</x:v>
      </x:c>
      <x:c r="D452" t="str">
        <x:v>PENDIDIKAN TEKNIK ELEKTRO</x:v>
      </x:c>
      <x:c r="E452" t="str">
        <x:v>Sarjana</x:v>
      </x:c>
      <x:c r="F452" s="18" t="n">
        <x:v>44</x:v>
      </x:c>
      <x:c r="G452" s="18" t="n">
        <x:v>119</x:v>
      </x:c>
      <x:c r="H452" s="19" t="n">
        <x:v>2.7045454545454546</x:v>
      </x:c>
      <x:c r="I452" s="18" t="n">
        <x:f>ROUND(MIN(Model_Config_v3!$B$6,MAX(Q452,R452,S452*Model_Config_v3!$B$4+T452*Model_Config_v3!$B$5)),0)</x:f>
        <x:v>621</x:v>
      </x:c>
      <x:c r="J452" s="18" t="n">
        <x:f>MIN(Model_Config_v3!$B$6,I452+Model_Config_v3!$B$7)</x:f>
        <x:v>641</x:v>
      </x:c>
      <x:c r="K452" s="20" t="n">
        <x:v>42.2</x:v>
      </x:c>
      <x:c r="L452" t="str">
        <x:v>RELATIF LONGGAR</x:v>
      </x:c>
      <x:c r="M452" t="str">
        <x:v>SEDANG+</x:v>
      </x:c>
      <x:c r="N452" t="str">
        <x:v>REGULER</x:v>
      </x:c>
      <x:c r="O452" t="str">
        <x:v>SAINTEK</x:v>
      </x:c>
      <x:c r="P452" t="str">
        <x:v>PENDIDIKAN</x:v>
      </x:c>
      <x:c r="Q452" s="18" t="n">
        <x:v>0</x:v>
      </x:c>
      <x:c r="R452" s="18" t="n">
        <x:v>0</x:v>
      </x:c>
      <x:c r="S452" s="18" t="n">
        <x:v>567.5303713396978</x:v>
      </x:c>
      <x:c r="T452" s="18" t="n">
        <x:v>644</x:v>
      </x:c>
      <x:c r="U452" s="18" t="n">
        <x:v>577.5303713396978</x:v>
      </x:c>
      <x:c r="V452" s="20" t="n">
        <x:v>12</x:v>
      </x:c>
      <x:c r="W452" s="20" t="n">
        <x:v>5</x:v>
      </x:c>
      <x:c r="X452" s="20" t="n">
        <x:v>3</x:v>
      </x:c>
      <x:c r="Y452" t="str">
        <x:v>Basis arsip 2025/2024</x:v>
      </x:c>
      <x:c r="Z452" t="str">
        <x:v>https://snpmb.id/utbk-snbt/daya-tampung-snbt</x:v>
      </x:c>
      <x:c r="AA452" t="str">
        <x:v>Tidak Ada</x:v>
      </x:c>
      <x:c r="AB452" t="str">
        <x:v>Campus=55; Ratio=25.4; Prodi=45; RelDemand=12.2; Capacity=63.3</x:v>
      </x:c>
    </x:row>
    <x:row r="453">
      <x:c r="A453" t="n">
        <x:v>450</x:v>
      </x:c>
      <x:c r="B453" t="str">
        <x:v>PTN Akademik</x:v>
      </x:c>
      <x:c r="C453" t="str">
        <x:v>UNIVERSITAS NEGERI PADANG</x:v>
      </x:c>
      <x:c r="D453" t="str">
        <x:v>PENDIDIKAN TEKNIK ELEKTRONIKA</x:v>
      </x:c>
      <x:c r="E453" t="str">
        <x:v>Sarjana</x:v>
      </x:c>
      <x:c r="F453" s="18" t="n">
        <x:v>32</x:v>
      </x:c>
      <x:c r="G453" s="18" t="n">
        <x:v>62</x:v>
      </x:c>
      <x:c r="H453" s="19" t="n">
        <x:v>1.9375</x:v>
      </x:c>
      <x:c r="I453" s="18" t="n">
        <x:f>ROUND(MIN(Model_Config_v3!$B$6,MAX(Q453,R453,S453*Model_Config_v3!$B$4+T453*Model_Config_v3!$B$5)),0)</x:f>
        <x:v>614</x:v>
      </x:c>
      <x:c r="J453" s="18" t="n">
        <x:f>MIN(Model_Config_v3!$B$6,I453+Model_Config_v3!$B$7)</x:f>
        <x:v>634</x:v>
      </x:c>
      <x:c r="K453" s="20" t="n">
        <x:v>40.7</x:v>
      </x:c>
      <x:c r="L453" t="str">
        <x:v>RELATIF LONGGAR</x:v>
      </x:c>
      <x:c r="M453" t="str">
        <x:v>SEDANG+</x:v>
      </x:c>
      <x:c r="N453" t="str">
        <x:v>REGULER</x:v>
      </x:c>
      <x:c r="O453" t="str">
        <x:v>SAINTEK</x:v>
      </x:c>
      <x:c r="P453" t="str">
        <x:v>PENDIDIKAN</x:v>
      </x:c>
      <x:c r="Q453" s="18" t="n">
        <x:v>0</x:v>
      </x:c>
      <x:c r="R453" s="18" t="n">
        <x:v>0</x:v>
      </x:c>
      <x:c r="S453" s="18" t="n">
        <x:v>551.5965882296183</x:v>
      </x:c>
      <x:c r="T453" s="18" t="n">
        <x:v>641</x:v>
      </x:c>
      <x:c r="U453" s="18" t="n">
        <x:v>561.5965882296183</x:v>
      </x:c>
      <x:c r="V453" s="20" t="n">
        <x:v>12</x:v>
      </x:c>
      <x:c r="W453" s="20" t="n">
        <x:v>5</x:v>
      </x:c>
      <x:c r="X453" s="20" t="n">
        <x:v>3</x:v>
      </x:c>
      <x:c r="Y453" t="str">
        <x:v>Basis arsip 2025/2024</x:v>
      </x:c>
      <x:c r="Z453" t="str">
        <x:v>https://snpmb.id/utbk-snbt/daya-tampung-snbt</x:v>
      </x:c>
      <x:c r="AA453" t="str">
        <x:v>Tidak Ada</x:v>
      </x:c>
      <x:c r="AB453" t="str">
        <x:v>Campus=55; Ratio=16.9; Prodi=45; RelDemand=8.7; Capacity=73.3</x:v>
      </x:c>
    </x:row>
    <x:row r="454">
      <x:c r="A454" t="n">
        <x:v>451</x:v>
      </x:c>
      <x:c r="B454" t="str">
        <x:v>PTN Akademik</x:v>
      </x:c>
      <x:c r="C454" t="str">
        <x:v>UNIVERSITAS NEGERI PADANG</x:v>
      </x:c>
      <x:c r="D454" t="str">
        <x:v>PENDIDIKAN TEKNIK MESIN</x:v>
      </x:c>
      <x:c r="E454" t="str">
        <x:v>Sarjana</x:v>
      </x:c>
      <x:c r="F454" s="18" t="n">
        <x:v>40</x:v>
      </x:c>
      <x:c r="G454" s="18" t="n">
        <x:v>121</x:v>
      </x:c>
      <x:c r="H454" s="19" t="n">
        <x:v>3.025</x:v>
      </x:c>
      <x:c r="I454" s="18" t="n">
        <x:f>ROUND(MIN(Model_Config_v3!$B$6,MAX(Q454,R454,S454*Model_Config_v3!$B$4+T454*Model_Config_v3!$B$5)),0)</x:f>
        <x:v>625</x:v>
      </x:c>
      <x:c r="J454" s="18" t="n">
        <x:f>MIN(Model_Config_v3!$B$6,I454+Model_Config_v3!$B$7)</x:f>
        <x:v>645</x:v>
      </x:c>
      <x:c r="K454" s="20" t="n">
        <x:v>43.4</x:v>
      </x:c>
      <x:c r="L454" t="str">
        <x:v>RELATIF LONGGAR</x:v>
      </x:c>
      <x:c r="M454" t="str">
        <x:v>SEDANG+</x:v>
      </x:c>
      <x:c r="N454" t="str">
        <x:v>REGULER</x:v>
      </x:c>
      <x:c r="O454" t="str">
        <x:v>SAINTEK</x:v>
      </x:c>
      <x:c r="P454" t="str">
        <x:v>PENDIDIKAN</x:v>
      </x:c>
      <x:c r="Q454" s="18" t="n">
        <x:v>0</x:v>
      </x:c>
      <x:c r="R454" s="18" t="n">
        <x:v>0</x:v>
      </x:c>
      <x:c r="S454" s="18" t="n">
        <x:v>572.8797916887337</x:v>
      </x:c>
      <x:c r="T454" s="18" t="n">
        <x:v>647</x:v>
      </x:c>
      <x:c r="U454" s="18" t="n">
        <x:v>582.8797916887337</x:v>
      </x:c>
      <x:c r="V454" s="20" t="n">
        <x:v>12</x:v>
      </x:c>
      <x:c r="W454" s="20" t="n">
        <x:v>5</x:v>
      </x:c>
      <x:c r="X454" s="20" t="n">
        <x:v>3</x:v>
      </x:c>
      <x:c r="Y454" t="str">
        <x:v>Basis arsip 2025/2024</x:v>
      </x:c>
      <x:c r="Z454" t="str">
        <x:v>https://snpmb.id/utbk-snbt/daya-tampung-snbt</x:v>
      </x:c>
      <x:c r="AA454" t="str">
        <x:v>Tidak Ada</x:v>
      </x:c>
      <x:c r="AB454" t="str">
        <x:v>Campus=55; Ratio=28.3; Prodi=45; RelDemand=13.6; Capacity=66.7</x:v>
      </x:c>
    </x:row>
    <x:row r="455">
      <x:c r="A455" t="n">
        <x:v>452</x:v>
      </x:c>
      <x:c r="B455" t="str">
        <x:v>PTN Akademik</x:v>
      </x:c>
      <x:c r="C455" t="str">
        <x:v>UNIVERSITAS NEGERI PADANG</x:v>
      </x:c>
      <x:c r="D455" t="str">
        <x:v>PENDIDIKAN TEKNIK OTOMOTIF</x:v>
      </x:c>
      <x:c r="E455" t="str">
        <x:v>Sarjana</x:v>
      </x:c>
      <x:c r="F455" s="18" t="n">
        <x:v>44</x:v>
      </x:c>
      <x:c r="G455" s="18" t="n">
        <x:v>183</x:v>
      </x:c>
      <x:c r="H455" s="19" t="n">
        <x:v>4.159090909090909</x:v>
      </x:c>
      <x:c r="I455" s="18" t="n">
        <x:f>ROUND(MIN(Model_Config_v3!$B$6,MAX(Q455,R455,S455*Model_Config_v3!$B$4+T455*Model_Config_v3!$B$5)),0)</x:f>
        <x:v>632</x:v>
      </x:c>
      <x:c r="J455" s="18" t="n">
        <x:f>MIN(Model_Config_v3!$B$6,I455+Model_Config_v3!$B$7)</x:f>
        <x:v>652</x:v>
      </x:c>
      <x:c r="K455" s="20" t="n">
        <x:v>45.6</x:v>
      </x:c>
      <x:c r="L455" t="str">
        <x:v>MENENGAH</x:v>
      </x:c>
      <x:c r="M455" t="str">
        <x:v>SEDANG+</x:v>
      </x:c>
      <x:c r="N455" t="str">
        <x:v>REGULER</x:v>
      </x:c>
      <x:c r="O455" t="str">
        <x:v>SAINTEK</x:v>
      </x:c>
      <x:c r="P455" t="str">
        <x:v>PENDIDIKAN</x:v>
      </x:c>
      <x:c r="Q455" s="18" t="n">
        <x:v>0</x:v>
      </x:c>
      <x:c r="R455" s="18" t="n">
        <x:v>0</x:v>
      </x:c>
      <x:c r="S455" s="18" t="n">
        <x:v>588.0898254568666</x:v>
      </x:c>
      <x:c r="T455" s="18" t="n">
        <x:v>651</x:v>
      </x:c>
      <x:c r="U455" s="18" t="n">
        <x:v>598.0898254568666</x:v>
      </x:c>
      <x:c r="V455" s="20" t="n">
        <x:v>12</x:v>
      </x:c>
      <x:c r="W455" s="20" t="n">
        <x:v>5</x:v>
      </x:c>
      <x:c r="X455" s="20" t="n">
        <x:v>3</x:v>
      </x:c>
      <x:c r="Y455" t="str">
        <x:v>Basis arsip 2025/2024</x:v>
      </x:c>
      <x:c r="Z455" t="str">
        <x:v>https://snpmb.id/utbk-snbt/daya-tampung-snbt</x:v>
      </x:c>
      <x:c r="AA455" t="str">
        <x:v>Tidak Ada</x:v>
      </x:c>
      <x:c r="AB455" t="str">
        <x:v>Campus=55; Ratio=36.4; Prodi=45; RelDemand=18.7; Capacity=63.3</x:v>
      </x:c>
    </x:row>
    <x:row r="456">
      <x:c r="A456" t="n">
        <x:v>453</x:v>
      </x:c>
      <x:c r="B456" t="str">
        <x:v>PTN Akademik</x:v>
      </x:c>
      <x:c r="C456" t="str">
        <x:v>UNIVERSITAS NEGERI PADANG</x:v>
      </x:c>
      <x:c r="D456" t="str">
        <x:v>PENDIDIKAN TEKNIK INFORMATIKA</x:v>
      </x:c>
      <x:c r="E456" t="str">
        <x:v>Sarjana</x:v>
      </x:c>
      <x:c r="F456" s="18" t="n">
        <x:v>40</x:v>
      </x:c>
      <x:c r="G456" s="18" t="n">
        <x:v>482</x:v>
      </x:c>
      <x:c r="H456" s="19" t="n">
        <x:v>12.05</x:v>
      </x:c>
      <x:c r="I456" s="18" t="n">
        <x:f>ROUND(MIN(Model_Config_v3!$B$6,MAX(Q456,R456,S456*Model_Config_v3!$B$4+T456*Model_Config_v3!$B$5)),0)</x:f>
        <x:v>673</x:v>
      </x:c>
      <x:c r="J456" s="18" t="n">
        <x:f>MIN(Model_Config_v3!$B$6,I456+Model_Config_v3!$B$7)</x:f>
        <x:v>693</x:v>
      </x:c>
      <x:c r="K456" s="20" t="n">
        <x:v>64.2</x:v>
      </x:c>
      <x:c r="L456" t="str">
        <x:v>KETAT</x:v>
      </x:c>
      <x:c r="M456" t="str">
        <x:v>SEDANG+</x:v>
      </x:c>
      <x:c r="N456" t="str">
        <x:v>REGULER</x:v>
      </x:c>
      <x:c r="O456" t="str">
        <x:v>SAINTEK</x:v>
      </x:c>
      <x:c r="P456" t="str">
        <x:v>KOMPUTER/INFORMATIKA</x:v>
      </x:c>
      <x:c r="Q456" s="18" t="n">
        <x:v>0</x:v>
      </x:c>
      <x:c r="R456" s="18" t="n">
        <x:v>0</x:v>
      </x:c>
      <x:c r="S456" s="18" t="n">
        <x:v>638.9085751601976</x:v>
      </x:c>
      <x:c r="T456" s="18" t="n">
        <x:v>688</x:v>
      </x:c>
      <x:c r="U456" s="18" t="n">
        <x:v>663.9085751601976</x:v>
      </x:c>
      <x:c r="V456" s="20" t="n">
        <x:v>12</x:v>
      </x:c>
      <x:c r="W456" s="20" t="n">
        <x:v>5</x:v>
      </x:c>
      <x:c r="X456" s="20" t="n">
        <x:v>3</x:v>
      </x:c>
      <x:c r="Y456" t="str">
        <x:v>Basis arsip 2025/2024</x:v>
      </x:c>
      <x:c r="Z456" t="str">
        <x:v>https://snpmb.id/utbk-snbt/daya-tampung-snbt</x:v>
      </x:c>
      <x:c r="AA456" t="str">
        <x:v>Tidak Ada</x:v>
      </x:c>
      <x:c r="AB456" t="str">
        <x:v>Campus=55; Ratio=63.6; Prodi=85; RelDemand=54.2; Capacity=66.7</x:v>
      </x:c>
    </x:row>
    <x:row r="457">
      <x:c r="A457" t="n">
        <x:v>454</x:v>
      </x:c>
      <x:c r="B457" t="str">
        <x:v>PTN Akademik</x:v>
      </x:c>
      <x:c r="C457" t="str">
        <x:v>UNIVERSITAS NEGERI PADANG</x:v>
      </x:c>
      <x:c r="D457" t="str">
        <x:v>ILMU KEOLAHRAGAAN (NK)</x:v>
      </x:c>
      <x:c r="E457" t="str">
        <x:v>Sarjana</x:v>
      </x:c>
      <x:c r="F457" s="18" t="n">
        <x:v>72</x:v>
      </x:c>
      <x:c r="G457" s="18" t="n">
        <x:v>123</x:v>
      </x:c>
      <x:c r="H457" s="19" t="n">
        <x:v>1.7083333333333333</x:v>
      </x:c>
      <x:c r="I457" s="18" t="n">
        <x:f>ROUND(MIN(Model_Config_v3!$B$6,MAX(Q457,R457,S457*Model_Config_v3!$B$4+T457*Model_Config_v3!$B$5)),0)</x:f>
        <x:v>607</x:v>
      </x:c>
      <x:c r="J457" s="18" t="n">
        <x:f>MIN(Model_Config_v3!$B$6,I457+Model_Config_v3!$B$7)</x:f>
        <x:v>627</x:v>
      </x:c>
      <x:c r="K457" s="20" t="n">
        <x:v>36.4</x:v>
      </x:c>
      <x:c r="L457" t="str">
        <x:v>RELATIF LONGGAR</x:v>
      </x:c>
      <x:c r="M457" t="str">
        <x:v>PORTOFOLIO</x:v>
      </x:c>
      <x:c r="N457" t="str">
        <x:v>REGULER</x:v>
      </x:c>
      <x:c r="O457" t="str">
        <x:v>SENI/OLAHRAGA</x:v>
      </x:c>
      <x:c r="P457" t="str">
        <x:v>SENI/OLAHRAGA</x:v>
      </x:c>
      <x:c r="Q457" s="18" t="n">
        <x:v>0</x:v>
      </x:c>
      <x:c r="R457" s="18" t="n">
        <x:v>0</x:v>
      </x:c>
      <x:c r="S457" s="18" t="n">
        <x:v>545.5829876508942</x:v>
      </x:c>
      <x:c r="T457" s="18" t="n">
        <x:v>633</x:v>
      </x:c>
      <x:c r="U457" s="18" t="n">
        <x:v>545.5829876508942</x:v>
      </x:c>
      <x:c r="V457" s="20" t="n">
        <x:v>4.4</x:v>
      </x:c>
      <x:c r="W457" s="20" t="n">
        <x:v>9.9</x:v>
      </x:c>
      <x:c r="X457" s="20" t="n">
        <x:v>7.7</x:v>
      </x:c>
      <x:c r="Y457" t="str">
        <x:v>Basis arsip 2025/2024</x:v>
      </x:c>
      <x:c r="Z457" t="str">
        <x:v>https://snpmb.id/utbk-snbt/daya-tampung-snbt</x:v>
      </x:c>
      <x:c r="AA457" t="str">
        <x:v>Olahraga</x:v>
      </x:c>
      <x:c r="AB457" t="str">
        <x:v>Campus=55; Ratio=13.7; Prodi=45; RelDemand=7.7; Capacity=40.0</x:v>
      </x:c>
    </x:row>
    <x:row r="458">
      <x:c r="A458" t="n">
        <x:v>455</x:v>
      </x:c>
      <x:c r="B458" t="str">
        <x:v>PTN Akademik</x:v>
      </x:c>
      <x:c r="C458" t="str">
        <x:v>UNIVERSITAS NEGERI PADANG</x:v>
      </x:c>
      <x:c r="D458" t="str">
        <x:v>TEKNIK PERTAMBANGAN (NK)</x:v>
      </x:c>
      <x:c r="E458" t="str">
        <x:v>Sarjana</x:v>
      </x:c>
      <x:c r="F458" s="18" t="n">
        <x:v>33</x:v>
      </x:c>
      <x:c r="G458" s="18" t="n">
        <x:v>1635</x:v>
      </x:c>
      <x:c r="H458" s="19" t="n">
        <x:v>49.54545454545455</x:v>
      </x:c>
      <x:c r="I458" s="18" t="n">
        <x:f>ROUND(MIN(Model_Config_v3!$B$6,MAX(Q458,R458,S458*Model_Config_v3!$B$4+T458*Model_Config_v3!$B$5)),0)</x:f>
        <x:v>707</x:v>
      </x:c>
      <x:c r="J458" s="18" t="n">
        <x:f>MIN(Model_Config_v3!$B$6,I458+Model_Config_v3!$B$7)</x:f>
        <x:v>727</x:v>
      </x:c>
      <x:c r="K458" s="20" t="n">
        <x:v>73.4</x:v>
      </x:c>
      <x:c r="L458" t="str">
        <x:v>SANGAT KETAT</x:v>
      </x:c>
      <x:c r="M458" t="str">
        <x:v>SEDANG+</x:v>
      </x:c>
      <x:c r="N458" t="str">
        <x:v>REGULER</x:v>
      </x:c>
      <x:c r="O458" t="str">
        <x:v>SAINTEK</x:v>
      </x:c>
      <x:c r="P458" t="str">
        <x:v>TEKNIK/ARSITEKTUR/STATISTIKA/AKTUARIA</x:v>
      </x:c>
      <x:c r="Q458" s="18" t="n">
        <x:v>0</x:v>
      </x:c>
      <x:c r="R458" s="18" t="n">
        <x:v>0</x:v>
      </x:c>
      <x:c r="S458" s="18" t="n">
        <x:v>706.4504198830259</x:v>
      </x:c>
      <x:c r="T458" s="18" t="n">
        <x:v>707</x:v>
      </x:c>
      <x:c r="U458" s="18" t="n">
        <x:v>716.4504198830259</x:v>
      </x:c>
      <x:c r="V458" s="20" t="n">
        <x:v>12</x:v>
      </x:c>
      <x:c r="W458" s="20" t="n">
        <x:v>5</x:v>
      </x:c>
      <x:c r="X458" s="20" t="n">
        <x:v>3</x:v>
      </x:c>
      <x:c r="Y458" t="str">
        <x:v>Basis arsip 2025/2024</x:v>
      </x:c>
      <x:c r="Z458" t="str">
        <x:v>https://snpmb.id/utbk-snbt/daya-tampung-snbt</x:v>
      </x:c>
      <x:c r="AA458" t="str">
        <x:v>Tidak Ada</x:v>
      </x:c>
      <x:c r="AB458" t="str">
        <x:v>Campus=55; Ratio=99.8; Prodi=60; RelDemand=100.0; Capacity=72.5</x:v>
      </x:c>
    </x:row>
    <x:row r="459">
      <x:c r="A459" t="n">
        <x:v>456</x:v>
      </x:c>
      <x:c r="B459" t="str">
        <x:v>PTN Akademik</x:v>
      </x:c>
      <x:c r="C459" t="str">
        <x:v>UNIVERSITAS NEGERI PADANG</x:v>
      </x:c>
      <x:c r="D459" t="str">
        <x:v>PENDIDIKAN ILMU PENGETAHUAN ALAM</x:v>
      </x:c>
      <x:c r="E459" t="str">
        <x:v>Sarjana</x:v>
      </x:c>
      <x:c r="F459" s="18" t="n">
        <x:v>60</x:v>
      </x:c>
      <x:c r="G459" s="18" t="n">
        <x:v>235</x:v>
      </x:c>
      <x:c r="H459" s="19" t="n">
        <x:v>3.9166666666666665</x:v>
      </x:c>
      <x:c r="I459" s="18" t="n">
        <x:f>ROUND(MIN(Model_Config_v3!$B$6,MAX(Q459,R459,S459*Model_Config_v3!$B$4+T459*Model_Config_v3!$B$5)),0)</x:f>
        <x:v>628</x:v>
      </x:c>
      <x:c r="J459" s="18" t="n">
        <x:f>MIN(Model_Config_v3!$B$6,I459+Model_Config_v3!$B$7)</x:f>
        <x:v>648</x:v>
      </x:c>
      <x:c r="K459" s="20" t="n">
        <x:v>43.7</x:v>
      </x:c>
      <x:c r="L459" t="str">
        <x:v>RELATIF LONGGAR</x:v>
      </x:c>
      <x:c r="M459" t="str">
        <x:v>SEDANG+</x:v>
      </x:c>
      <x:c r="N459" t="str">
        <x:v>REGULER</x:v>
      </x:c>
      <x:c r="O459" t="str">
        <x:v>CAMPURAN</x:v>
      </x:c>
      <x:c r="P459" t="str">
        <x:v>PENDIDIKAN</x:v>
      </x:c>
      <x:c r="Q459" s="18" t="n">
        <x:v>0</x:v>
      </x:c>
      <x:c r="R459" s="18" t="n">
        <x:v>0</x:v>
      </x:c>
      <x:c r="S459" s="18" t="n">
        <x:v>585.2208273076902</x:v>
      </x:c>
      <x:c r="T459" s="18" t="n">
        <x:v>647</x:v>
      </x:c>
      <x:c r="U459" s="18" t="n">
        <x:v>585.2208273076902</x:v>
      </x:c>
      <x:c r="V459" s="20" t="n">
        <x:v>8.8</x:v>
      </x:c>
      <x:c r="W459" s="20" t="n">
        <x:v>9.9</x:v>
      </x:c>
      <x:c r="X459" s="20" t="n">
        <x:v>3.3</x:v>
      </x:c>
      <x:c r="Y459" t="str">
        <x:v>Basis arsip 2025/2024</x:v>
      </x:c>
      <x:c r="Z459" t="str">
        <x:v>https://snpmb.id/utbk-snbt/daya-tampung-snbt</x:v>
      </x:c>
      <x:c r="AA459" t="str">
        <x:v>Tidak Ada</x:v>
      </x:c>
      <x:c r="AB459" t="str">
        <x:v>Campus=55; Ratio=34.9; Prodi=45; RelDemand=17.6; Capacity=50.0</x:v>
      </x:c>
    </x:row>
    <x:row r="460">
      <x:c r="A460" t="n">
        <x:v>457</x:v>
      </x:c>
      <x:c r="B460" t="str">
        <x:v>PTN Akademik</x:v>
      </x:c>
      <x:c r="C460" t="str">
        <x:v>UNIVERSITAS NEGERI PADANG</x:v>
      </x:c>
      <x:c r="D460" t="str">
        <x:v>TEKNIK SIPIL</x:v>
      </x:c>
      <x:c r="E460" t="str">
        <x:v>Sarjana</x:v>
      </x:c>
      <x:c r="F460" s="18" t="n">
        <x:v>56</x:v>
      </x:c>
      <x:c r="G460" s="18" t="n">
        <x:v>1008</x:v>
      </x:c>
      <x:c r="H460" s="19" t="n">
        <x:v>18</x:v>
      </x:c>
      <x:c r="I460" s="18" t="n">
        <x:f>ROUND(MIN(Model_Config_v3!$B$6,MAX(Q460,R460,S460*Model_Config_v3!$B$4+T460*Model_Config_v3!$B$5)),0)</x:f>
        <x:v>678</x:v>
      </x:c>
      <x:c r="J460" s="18" t="n">
        <x:f>MIN(Model_Config_v3!$B$6,I460+Model_Config_v3!$B$7)</x:f>
        <x:v>698</x:v>
      </x:c>
      <x:c r="K460" s="20" t="n">
        <x:v>63.2</x:v>
      </x:c>
      <x:c r="L460" t="str">
        <x:v>KETAT</x:v>
      </x:c>
      <x:c r="M460" t="str">
        <x:v>SEDANG+</x:v>
      </x:c>
      <x:c r="N460" t="str">
        <x:v>REGULER</x:v>
      </x:c>
      <x:c r="O460" t="str">
        <x:v>SAINTEK</x:v>
      </x:c>
      <x:c r="P460" t="str">
        <x:v>TEKNIK/ARSITEKTUR/STATISTIKA/AKTUARIA</x:v>
      </x:c>
      <x:c r="Q460" s="18" t="n">
        <x:v>0</x:v>
      </x:c>
      <x:c r="R460" s="18" t="n">
        <x:v>0</x:v>
      </x:c>
      <x:c r="S460" s="18" t="n">
        <x:v>658.0799755613637</x:v>
      </x:c>
      <x:c r="T460" s="18" t="n">
        <x:v>686</x:v>
      </x:c>
      <x:c r="U460" s="18" t="n">
        <x:v>668.0799755613637</x:v>
      </x:c>
      <x:c r="V460" s="20" t="n">
        <x:v>12</x:v>
      </x:c>
      <x:c r="W460" s="20" t="n">
        <x:v>5</x:v>
      </x:c>
      <x:c r="X460" s="20" t="n">
        <x:v>3</x:v>
      </x:c>
      <x:c r="Y460" t="str">
        <x:v>Basis arsip 2025/2024</x:v>
      </x:c>
      <x:c r="Z460" t="str">
        <x:v>https://snpmb.id/utbk-snbt/daya-tampung-snbt</x:v>
      </x:c>
      <x:c r="AA460" t="str">
        <x:v>Tidak Ada</x:v>
      </x:c>
      <x:c r="AB460" t="str">
        <x:v>Campus=55; Ratio=73.9; Prodi=60; RelDemand=81.0; Capacity=53.3</x:v>
      </x:c>
    </x:row>
    <x:row r="461">
      <x:c r="A461" t="n">
        <x:v>458</x:v>
      </x:c>
      <x:c r="B461" t="str">
        <x:v>PTN Akademik</x:v>
      </x:c>
      <x:c r="C461" t="str">
        <x:v>UNIVERSITAS NEGERI PADANG</x:v>
      </x:c>
      <x:c r="D461" t="str">
        <x:v>STATISTIKA (NK)</x:v>
      </x:c>
      <x:c r="E461" t="str">
        <x:v>Sarjana</x:v>
      </x:c>
      <x:c r="F461" s="18" t="n">
        <x:v>36</x:v>
      </x:c>
      <x:c r="G461" s="18" t="n">
        <x:v>266</x:v>
      </x:c>
      <x:c r="H461" s="19" t="n">
        <x:v>7.388888888888889</x:v>
      </x:c>
      <x:c r="I461" s="18" t="n">
        <x:f>ROUND(MIN(Model_Config_v3!$B$6,MAX(Q461,R461,S461*Model_Config_v3!$B$4+T461*Model_Config_v3!$B$5)),0)</x:f>
        <x:v>653</x:v>
      </x:c>
      <x:c r="J461" s="18" t="n">
        <x:f>MIN(Model_Config_v3!$B$6,I461+Model_Config_v3!$B$7)</x:f>
        <x:v>673</x:v>
      </x:c>
      <x:c r="K461" s="20" t="n">
        <x:v>54.4</x:v>
      </x:c>
      <x:c r="L461" t="str">
        <x:v>MENENGAH</x:v>
      </x:c>
      <x:c r="M461" t="str">
        <x:v>SEDANG+</x:v>
      </x:c>
      <x:c r="N461" t="str">
        <x:v>REGULER</x:v>
      </x:c>
      <x:c r="O461" t="str">
        <x:v>SAINTEK</x:v>
      </x:c>
      <x:c r="P461" t="str">
        <x:v>TEKNIK/ARSITEKTUR/STATISTIKA/AKTUARIA</x:v>
      </x:c>
      <x:c r="Q461" s="18" t="n">
        <x:v>0</x:v>
      </x:c>
      <x:c r="R461" s="18" t="n">
        <x:v>0</x:v>
      </x:c>
      <x:c r="S461" s="18" t="n">
        <x:v>615.5437049450157</x:v>
      </x:c>
      <x:c r="T461" s="18" t="n">
        <x:v>669</x:v>
      </x:c>
      <x:c r="U461" s="18" t="n">
        <x:v>625.5437049450157</x:v>
      </x:c>
      <x:c r="V461" s="20" t="n">
        <x:v>12</x:v>
      </x:c>
      <x:c r="W461" s="20" t="n">
        <x:v>5</x:v>
      </x:c>
      <x:c r="X461" s="20" t="n">
        <x:v>3</x:v>
      </x:c>
      <x:c r="Y461" t="str">
        <x:v>Basis arsip 2025/2024</x:v>
      </x:c>
      <x:c r="Z461" t="str">
        <x:v>https://snpmb.id/utbk-snbt/daya-tampung-snbt</x:v>
      </x:c>
      <x:c r="AA461" t="str">
        <x:v>Tidak Ada</x:v>
      </x:c>
      <x:c r="AB461" t="str">
        <x:v>Campus=55; Ratio=51.1; Prodi=60; RelDemand=33.2; Capacity=70.0</x:v>
      </x:c>
    </x:row>
    <x:row r="462">
      <x:c r="A462" t="n">
        <x:v>459</x:v>
      </x:c>
      <x:c r="B462" t="str">
        <x:v>PTN Akademik</x:v>
      </x:c>
      <x:c r="C462" t="str">
        <x:v>UNIVERSITAS NEGERI PADANG</x:v>
      </x:c>
      <x:c r="D462" t="str">
        <x:v>TEKNIK MESIN (NK)</x:v>
      </x:c>
      <x:c r="E462" t="str">
        <x:v>Sarjana</x:v>
      </x:c>
      <x:c r="F462" s="18" t="n">
        <x:v>40</x:v>
      </x:c>
      <x:c r="G462" s="18" t="n">
        <x:v>556</x:v>
      </x:c>
      <x:c r="H462" s="19" t="n">
        <x:v>13.9</x:v>
      </x:c>
      <x:c r="I462" s="18" t="n">
        <x:f>ROUND(MIN(Model_Config_v3!$B$6,MAX(Q462,R462,S462*Model_Config_v3!$B$4+T462*Model_Config_v3!$B$5)),0)</x:f>
        <x:v>671</x:v>
      </x:c>
      <x:c r="J462" s="18" t="n">
        <x:f>MIN(Model_Config_v3!$B$6,I462+Model_Config_v3!$B$7)</x:f>
        <x:v>691</x:v>
      </x:c>
      <x:c r="K462" s="20" t="n">
        <x:v>61</x:v>
      </x:c>
      <x:c r="L462" t="str">
        <x:v>KETAT</x:v>
      </x:c>
      <x:c r="M462" t="str">
        <x:v>SEDANG+</x:v>
      </x:c>
      <x:c r="N462" t="str">
        <x:v>REGULER</x:v>
      </x:c>
      <x:c r="O462" t="str">
        <x:v>SAINTEK</x:v>
      </x:c>
      <x:c r="P462" t="str">
        <x:v>TEKNIK/ARSITEKTUR/STATISTIKA/AKTUARIA</x:v>
      </x:c>
      <x:c r="Q462" s="18" t="n">
        <x:v>0</x:v>
      </x:c>
      <x:c r="R462" s="18" t="n">
        <x:v>0</x:v>
      </x:c>
      <x:c r="S462" s="18" t="n">
        <x:v>645.7316280279505</x:v>
      </x:c>
      <x:c r="T462" s="18" t="n">
        <x:v>682</x:v>
      </x:c>
      <x:c r="U462" s="18" t="n">
        <x:v>655.7316280279505</x:v>
      </x:c>
      <x:c r="V462" s="20" t="n">
        <x:v>12</x:v>
      </x:c>
      <x:c r="W462" s="20" t="n">
        <x:v>5</x:v>
      </x:c>
      <x:c r="X462" s="20" t="n">
        <x:v>3</x:v>
      </x:c>
      <x:c r="Y462" t="str">
        <x:v>Basis arsip 2025/2024</x:v>
      </x:c>
      <x:c r="Z462" t="str">
        <x:v>https://snpmb.id/utbk-snbt/daya-tampung-snbt</x:v>
      </x:c>
      <x:c r="AA462" t="str">
        <x:v>Tidak Ada</x:v>
      </x:c>
      <x:c r="AB462" t="str">
        <x:v>Campus=55; Ratio=67.3; Prodi=60; RelDemand=62.5; Capacity=66.7</x:v>
      </x:c>
    </x:row>
    <x:row r="463">
      <x:c r="A463" t="n">
        <x:v>460</x:v>
      </x:c>
      <x:c r="B463" t="str">
        <x:v>PTN Akademik</x:v>
      </x:c>
      <x:c r="C463" t="str">
        <x:v>UNIVERSITAS NEGERI PADANG</x:v>
      </x:c>
      <x:c r="D463" t="str">
        <x:v>INFORMATIKA</x:v>
      </x:c>
      <x:c r="E463" t="str">
        <x:v>Sarjana</x:v>
      </x:c>
      <x:c r="F463" s="18" t="n">
        <x:v>48</x:v>
      </x:c>
      <x:c r="G463" s="18" t="n">
        <x:v>1290</x:v>
      </x:c>
      <x:c r="H463" s="19" t="n">
        <x:v>26.875</x:v>
      </x:c>
      <x:c r="I463" s="18" t="n">
        <x:f>ROUND(MIN(Model_Config_v3!$B$6,MAX(Q463,R463,S463*Model_Config_v3!$B$4+T463*Model_Config_v3!$B$5)),0)</x:f>
        <x:v>698</x:v>
      </x:c>
      <x:c r="J463" s="18" t="n">
        <x:f>MIN(Model_Config_v3!$B$6,I463+Model_Config_v3!$B$7)</x:f>
        <x:v>718</x:v>
      </x:c>
      <x:c r="K463" s="20" t="n">
        <x:v>73.3</x:v>
      </x:c>
      <x:c r="L463" t="str">
        <x:v>SANGAT KETAT</x:v>
      </x:c>
      <x:c r="M463" t="str">
        <x:v>SEDANG+</x:v>
      </x:c>
      <x:c r="N463" t="str">
        <x:v>REGULER</x:v>
      </x:c>
      <x:c r="O463" t="str">
        <x:v>SAINTEK</x:v>
      </x:c>
      <x:c r="P463" t="str">
        <x:v>KOMPUTER/INFORMATIKA</x:v>
      </x:c>
      <x:c r="Q463" s="18" t="n">
        <x:v>0</x:v>
      </x:c>
      <x:c r="R463" s="18" t="n">
        <x:v>0</x:v>
      </x:c>
      <x:c r="S463" s="18" t="n">
        <x:v>677.2283320216028</x:v>
      </x:c>
      <x:c r="T463" s="18" t="n">
        <x:v>707</x:v>
      </x:c>
      <x:c r="U463" s="18" t="n">
        <x:v>702.2283320216028</x:v>
      </x:c>
      <x:c r="V463" s="20" t="n">
        <x:v>12</x:v>
      </x:c>
      <x:c r="W463" s="20" t="n">
        <x:v>5</x:v>
      </x:c>
      <x:c r="X463" s="20" t="n">
        <x:v>3</x:v>
      </x:c>
      <x:c r="Y463" t="str">
        <x:v>Basis arsip 2025/2024</x:v>
      </x:c>
      <x:c r="Z463" t="str">
        <x:v>https://snpmb.id/utbk-snbt/daya-tampung-snbt</x:v>
      </x:c>
      <x:c r="AA463" t="str">
        <x:v>Tidak Ada</x:v>
      </x:c>
      <x:c r="AB463" t="str">
        <x:v>Campus=55; Ratio=84.1; Prodi=85; RelDemand=100.0; Capacity=60.0</x:v>
      </x:c>
    </x:row>
    <x:row r="464">
      <x:c r="A464" t="n">
        <x:v>461</x:v>
      </x:c>
      <x:c r="B464" t="str">
        <x:v>PTN Akademik</x:v>
      </x:c>
      <x:c r="C464" t="str">
        <x:v>UNIVERSITAS NEGERI PADANG</x:v>
      </x:c>
      <x:c r="D464" t="str">
        <x:v>ADMINISTRASI PENDIDIKAN</x:v>
      </x:c>
      <x:c r="E464" t="str">
        <x:v>Sarjana</x:v>
      </x:c>
      <x:c r="F464" s="18" t="n">
        <x:v>96</x:v>
      </x:c>
      <x:c r="G464" s="18" t="n">
        <x:v>604</x:v>
      </x:c>
      <x:c r="H464" s="19" t="n">
        <x:v>6.291666666666667</x:v>
      </x:c>
      <x:c r="I464" s="18" t="n">
        <x:f>ROUND(MIN(Model_Config_v3!$B$6,MAX(Q464,R464,S464*Model_Config_v3!$B$4+T464*Model_Config_v3!$B$5)),0)</x:f>
        <x:v>636</x:v>
      </x:c>
      <x:c r="J464" s="18" t="n">
        <x:f>MIN(Model_Config_v3!$B$6,I464+Model_Config_v3!$B$7)</x:f>
        <x:v>656</x:v>
      </x:c>
      <x:c r="K464" s="20" t="n">
        <x:v>43.8</x:v>
      </x:c>
      <x:c r="L464" t="str">
        <x:v>RELATIF LONGGAR</x:v>
      </x:c>
      <x:c r="M464" t="str">
        <x:v>SEDANG</x:v>
      </x:c>
      <x:c r="N464" t="str">
        <x:v>REGULER</x:v>
      </x:c>
      <x:c r="O464" t="str">
        <x:v>SOSHUM</x:v>
      </x:c>
      <x:c r="P464" t="str">
        <x:v>UMUM</x:v>
      </x:c>
      <x:c r="Q464" s="18" t="n">
        <x:v>0</x:v>
      </x:c>
      <x:c r="R464" s="18" t="n">
        <x:v>0</x:v>
      </x:c>
      <x:c r="S464" s="18" t="n">
        <x:v>607.8642276139719</x:v>
      </x:c>
      <x:c r="T464" s="18" t="n">
        <x:v>648</x:v>
      </x:c>
      <x:c r="U464" s="18" t="n">
        <x:v>607.8642276139719</x:v>
      </x:c>
      <x:c r="V464" s="20" t="n">
        <x:v>4.4</x:v>
      </x:c>
      <x:c r="W464" s="20" t="n">
        <x:v>14.3</x:v>
      </x:c>
      <x:c r="X464" s="20" t="n">
        <x:v>3.3</x:v>
      </x:c>
      <x:c r="Y464" t="str">
        <x:v>Basis arsip 2025/2024</x:v>
      </x:c>
      <x:c r="Z464" t="str">
        <x:v>https://snpmb.id/utbk-snbt/daya-tampung-snbt</x:v>
      </x:c>
      <x:c r="AA464" t="str">
        <x:v>Tidak Ada</x:v>
      </x:c>
      <x:c r="AB464" t="str">
        <x:v>Campus=55; Ratio=47.0; Prodi=40; RelDemand=28.3; Capacity=20.0</x:v>
      </x:c>
    </x:row>
    <x:row r="465">
      <x:c r="A465" t="n">
        <x:v>462</x:v>
      </x:c>
      <x:c r="B465" t="str">
        <x:v>PTN Akademik</x:v>
      </x:c>
      <x:c r="C465" t="str">
        <x:v>UNIVERSITAS NEGERI PADANG</x:v>
      </x:c>
      <x:c r="D465" t="str">
        <x:v>PENDIDIKAN LUAR BIASA</x:v>
      </x:c>
      <x:c r="E465" t="str">
        <x:v>Sarjana</x:v>
      </x:c>
      <x:c r="F465" s="18" t="n">
        <x:v>88</x:v>
      </x:c>
      <x:c r="G465" s="18" t="n">
        <x:v>263</x:v>
      </x:c>
      <x:c r="H465" s="19" t="n">
        <x:v>2.9886363636363638</x:v>
      </x:c>
      <x:c r="I465" s="18" t="n">
        <x:f>ROUND(MIN(Model_Config_v3!$B$6,MAX(Q465,R465,S465*Model_Config_v3!$B$4+T465*Model_Config_v3!$B$5)),0)</x:f>
        <x:v>619</x:v>
      </x:c>
      <x:c r="J465" s="18" t="n">
        <x:f>MIN(Model_Config_v3!$B$6,I465+Model_Config_v3!$B$7)</x:f>
        <x:v>639</x:v>
      </x:c>
      <x:c r="K465" s="20" t="n">
        <x:v>39.3</x:v>
      </x:c>
      <x:c r="L465" t="str">
        <x:v>RELATIF LONGGAR</x:v>
      </x:c>
      <x:c r="M465" t="str">
        <x:v>SEDANG+</x:v>
      </x:c>
      <x:c r="N465" t="str">
        <x:v>REGULER</x:v>
      </x:c>
      <x:c r="O465" t="str">
        <x:v>CAMPURAN</x:v>
      </x:c>
      <x:c r="P465" t="str">
        <x:v>PENDIDIKAN</x:v>
      </x:c>
      <x:c r="Q465" s="18" t="n">
        <x:v>0</x:v>
      </x:c>
      <x:c r="R465" s="18" t="n">
        <x:v>0</x:v>
      </x:c>
      <x:c r="S465" s="18" t="n">
        <x:v>572.3020383973549</x:v>
      </x:c>
      <x:c r="T465" s="18" t="n">
        <x:v>639</x:v>
      </x:c>
      <x:c r="U465" s="18" t="n">
        <x:v>572.3020383973549</x:v>
      </x:c>
      <x:c r="V465" s="20" t="n">
        <x:v>8.8</x:v>
      </x:c>
      <x:c r="W465" s="20" t="n">
        <x:v>9.9</x:v>
      </x:c>
      <x:c r="X465" s="20" t="n">
        <x:v>3.3</x:v>
      </x:c>
      <x:c r="Y465" t="str">
        <x:v>Basis arsip 2025/2024</x:v>
      </x:c>
      <x:c r="Z465" t="str">
        <x:v>https://snpmb.id/utbk-snbt/daya-tampung-snbt</x:v>
      </x:c>
      <x:c r="AA465" t="str">
        <x:v>Tidak Ada</x:v>
      </x:c>
      <x:c r="AB465" t="str">
        <x:v>Campus=55; Ratio=28.0; Prodi=45; RelDemand=13.4; Capacity=26.7</x:v>
      </x:c>
    </x:row>
    <x:row r="466">
      <x:c r="A466" t="n">
        <x:v>463</x:v>
      </x:c>
      <x:c r="B466" t="str">
        <x:v>PTN Akademik</x:v>
      </x:c>
      <x:c r="C466" t="str">
        <x:v>UNIVERSITAS NEGERI PADANG</x:v>
      </x:c>
      <x:c r="D466" t="str">
        <x:v>TEKNOLOGI PENDIDIKAN</x:v>
      </x:c>
      <x:c r="E466" t="str">
        <x:v>Sarjana</x:v>
      </x:c>
      <x:c r="F466" s="18" t="n">
        <x:v>51</x:v>
      </x:c>
      <x:c r="G466" s="18" t="n">
        <x:v>206</x:v>
      </x:c>
      <x:c r="H466" s="19" t="n">
        <x:v>4.03921568627451</x:v>
      </x:c>
      <x:c r="I466" s="18" t="n">
        <x:f>ROUND(MIN(Model_Config_v3!$B$6,MAX(Q466,R466,S466*Model_Config_v3!$B$4+T466*Model_Config_v3!$B$5)),0)</x:f>
        <x:v>629</x:v>
      </x:c>
      <x:c r="J466" s="18" t="n">
        <x:f>MIN(Model_Config_v3!$B$6,I466+Model_Config_v3!$B$7)</x:f>
        <x:v>649</x:v>
      </x:c>
      <x:c r="K466" s="20" t="n">
        <x:v>43.7</x:v>
      </x:c>
      <x:c r="L466" t="str">
        <x:v>RELATIF LONGGAR</x:v>
      </x:c>
      <x:c r="M466" t="str">
        <x:v>SEDANG</x:v>
      </x:c>
      <x:c r="N466" t="str">
        <x:v>REGULER</x:v>
      </x:c>
      <x:c r="O466" t="str">
        <x:v>SAINTEK</x:v>
      </x:c>
      <x:c r="P466" t="str">
        <x:v>UMUM</x:v>
      </x:c>
      <x:c r="Q466" s="18" t="n">
        <x:v>0</x:v>
      </x:c>
      <x:c r="R466" s="18" t="n">
        <x:v>0</x:v>
      </x:c>
      <x:c r="S466" s="18" t="n">
        <x:v>586.6926748698338</x:v>
      </x:c>
      <x:c r="T466" s="18" t="n">
        <x:v>647</x:v>
      </x:c>
      <x:c r="U466" s="18" t="n">
        <x:v>586.6926748698338</x:v>
      </x:c>
      <x:c r="V466" s="20" t="n">
        <x:v>12</x:v>
      </x:c>
      <x:c r="W466" s="20" t="n">
        <x:v>5</x:v>
      </x:c>
      <x:c r="X466" s="20" t="n">
        <x:v>3</x:v>
      </x:c>
      <x:c r="Y466" t="str">
        <x:v>Basis arsip 2025/2024</x:v>
      </x:c>
      <x:c r="Z466" t="str">
        <x:v>https://snpmb.id/utbk-snbt/daya-tampung-snbt</x:v>
      </x:c>
      <x:c r="AA466" t="str">
        <x:v>Tidak Ada</x:v>
      </x:c>
      <x:c r="AB466" t="str">
        <x:v>Campus=55; Ratio=35.7; Prodi=40; RelDemand=18.2; Capacity=57.5</x:v>
      </x:c>
    </x:row>
    <x:row r="467">
      <x:c r="A467" t="n">
        <x:v>464</x:v>
      </x:c>
      <x:c r="B467" t="str">
        <x:v>PTN Akademik</x:v>
      </x:c>
      <x:c r="C467" t="str">
        <x:v>UNIVERSITAS NEGERI PADANG</x:v>
      </x:c>
      <x:c r="D467" t="str">
        <x:v>PENDIDIKAN NON FORMAL</x:v>
      </x:c>
      <x:c r="E467" t="str">
        <x:v>Sarjana</x:v>
      </x:c>
      <x:c r="F467" s="18" t="n">
        <x:v>64</x:v>
      </x:c>
      <x:c r="G467" s="18" t="n">
        <x:v>72</x:v>
      </x:c>
      <x:c r="H467" s="19" t="n">
        <x:v>1.125</x:v>
      </x:c>
      <x:c r="I467" s="18" t="n">
        <x:f>ROUND(MIN(Model_Config_v3!$B$6,MAX(Q467,R467,S467*Model_Config_v3!$B$4+T467*Model_Config_v3!$B$5)),0)</x:f>
        <x:v>597</x:v>
      </x:c>
      <x:c r="J467" s="18" t="n">
        <x:f>MIN(Model_Config_v3!$B$6,I467+Model_Config_v3!$B$7)</x:f>
        <x:v>617</x:v>
      </x:c>
      <x:c r="K467" s="20" t="n">
        <x:v>34.2</x:v>
      </x:c>
      <x:c r="L467" t="str">
        <x:v>RELATIF LONGGAR</x:v>
      </x:c>
      <x:c r="M467" t="str">
        <x:v>SEDANG+</x:v>
      </x:c>
      <x:c r="N467" t="str">
        <x:v>REGULER</x:v>
      </x:c>
      <x:c r="O467" t="str">
        <x:v>CAMPURAN</x:v>
      </x:c>
      <x:c r="P467" t="str">
        <x:v>PENDIDIKAN</x:v>
      </x:c>
      <x:c r="Q467" s="18" t="n">
        <x:v>0</x:v>
      </x:c>
      <x:c r="R467" s="18" t="n">
        <x:v>0</x:v>
      </x:c>
      <x:c r="S467" s="18" t="n">
        <x:v>525.6267774692119</x:v>
      </x:c>
      <x:c r="T467" s="18" t="n">
        <x:v>628</x:v>
      </x:c>
      <x:c r="U467" s="18" t="n">
        <x:v>525.6267774692119</x:v>
      </x:c>
      <x:c r="V467" s="20" t="n">
        <x:v>8.8</x:v>
      </x:c>
      <x:c r="W467" s="20" t="n">
        <x:v>9.9</x:v>
      </x:c>
      <x:c r="X467" s="20" t="n">
        <x:v>3.3</x:v>
      </x:c>
      <x:c r="Y467" t="str">
        <x:v>Basis arsip 2025/2024</x:v>
      </x:c>
      <x:c r="Z467" t="str">
        <x:v>https://snpmb.id/utbk-snbt/daya-tampung-snbt</x:v>
      </x:c>
      <x:c r="AA467" t="str">
        <x:v>Tidak Ada</x:v>
      </x:c>
      <x:c r="AB467" t="str">
        <x:v>Campus=55; Ratio=3.0; Prodi=45; RelDemand=5.1; Capacity=46.7</x:v>
      </x:c>
    </x:row>
    <x:row r="468">
      <x:c r="A468" t="n">
        <x:v>465</x:v>
      </x:c>
      <x:c r="B468" t="str">
        <x:v>PTN Akademik</x:v>
      </x:c>
      <x:c r="C468" t="str">
        <x:v>UNIVERSITAS NEGERI PADANG</x:v>
      </x:c>
      <x:c r="D468" t="str">
        <x:v>BIMBINGAN DAN KONSELING</x:v>
      </x:c>
      <x:c r="E468" t="str">
        <x:v>Sarjana</x:v>
      </x:c>
      <x:c r="F468" s="18" t="n">
        <x:v>88</x:v>
      </x:c>
      <x:c r="G468" s="18" t="n">
        <x:v>784</x:v>
      </x:c>
      <x:c r="H468" s="19" t="n">
        <x:v>8.909090909090908</x:v>
      </x:c>
      <x:c r="I468" s="18" t="n">
        <x:f>ROUND(MIN(Model_Config_v3!$B$6,MAX(Q468,R468,S468*Model_Config_v3!$B$4+T468*Model_Config_v3!$B$5)),0)</x:f>
        <x:v>647</x:v>
      </x:c>
      <x:c r="J468" s="18" t="n">
        <x:f>MIN(Model_Config_v3!$B$6,I468+Model_Config_v3!$B$7)</x:f>
        <x:v>667</x:v>
      </x:c>
      <x:c r="K468" s="20" t="n">
        <x:v>47.9</x:v>
      </x:c>
      <x:c r="L468" t="str">
        <x:v>MENENGAH</x:v>
      </x:c>
      <x:c r="M468" t="str">
        <x:v>SEDANG</x:v>
      </x:c>
      <x:c r="N468" t="str">
        <x:v>REGULER</x:v>
      </x:c>
      <x:c r="O468" t="str">
        <x:v>CAMPURAN</x:v>
      </x:c>
      <x:c r="P468" t="str">
        <x:v>UMUM</x:v>
      </x:c>
      <x:c r="Q468" s="18" t="n">
        <x:v>0</x:v>
      </x:c>
      <x:c r="R468" s="18" t="n">
        <x:v>0</x:v>
      </x:c>
      <x:c r="S468" s="18" t="n">
        <x:v>624.4816729587696</x:v>
      </x:c>
      <x:c r="T468" s="18" t="n">
        <x:v>656</x:v>
      </x:c>
      <x:c r="U468" s="18" t="n">
        <x:v>624.4816729587696</x:v>
      </x:c>
      <x:c r="V468" s="20" t="n">
        <x:v>8.8</x:v>
      </x:c>
      <x:c r="W468" s="20" t="n">
        <x:v>9.9</x:v>
      </x:c>
      <x:c r="X468" s="20" t="n">
        <x:v>3.3</x:v>
      </x:c>
      <x:c r="Y468" t="str">
        <x:v>Basis arsip 2025/2024</x:v>
      </x:c>
      <x:c r="Z468" t="str">
        <x:v>https://snpmb.id/utbk-snbt/daya-tampung-snbt</x:v>
      </x:c>
      <x:c r="AA468" t="str">
        <x:v>Tidak Ada</x:v>
      </x:c>
      <x:c r="AB468" t="str">
        <x:v>Campus=55; Ratio=55.9; Prodi=40; RelDemand=40.1; Capacity=26.7</x:v>
      </x:c>
    </x:row>
    <x:row r="469">
      <x:c r="A469" t="n">
        <x:v>466</x:v>
      </x:c>
      <x:c r="B469" t="str">
        <x:v>PTN Akademik</x:v>
      </x:c>
      <x:c r="C469" t="str">
        <x:v>UNIVERSITAS NEGERI PADANG</x:v>
      </x:c>
      <x:c r="D469" t="str">
        <x:v>PSIKOLOGI</x:v>
      </x:c>
      <x:c r="E469" t="str">
        <x:v>Sarjana</x:v>
      </x:c>
      <x:c r="F469" s="18" t="n">
        <x:v>84</x:v>
      </x:c>
      <x:c r="G469" s="18" t="n">
        <x:v>1479</x:v>
      </x:c>
      <x:c r="H469" s="19" t="n">
        <x:v>17.607142857142858</x:v>
      </x:c>
      <x:c r="I469" s="18" t="n">
        <x:f>ROUND(MIN(Model_Config_v3!$B$6,MAX(Q469,R469,S469*Model_Config_v3!$B$4+T469*Model_Config_v3!$B$5)),0)</x:f>
        <x:v>679</x:v>
      </x:c>
      <x:c r="J469" s="18" t="n">
        <x:f>MIN(Model_Config_v3!$B$6,I469+Model_Config_v3!$B$7)</x:f>
        <x:v>699</x:v>
      </x:c>
      <x:c r="K469" s="20" t="n">
        <x:v>64.5</x:v>
      </x:c>
      <x:c r="L469" t="str">
        <x:v>KETAT</x:v>
      </x:c>
      <x:c r="M469" t="str">
        <x:v>SEDANG+</x:v>
      </x:c>
      <x:c r="N469" t="str">
        <x:v>REGULER</x:v>
      </x:c>
      <x:c r="O469" t="str">
        <x:v>SOSHUM</x:v>
      </x:c>
      <x:c r="P469" t="str">
        <x:v>PSIKOLOGI</x:v>
      </x:c>
      <x:c r="Q469" s="18" t="n">
        <x:v>0</x:v>
      </x:c>
      <x:c r="R469" s="18" t="n">
        <x:v>0</x:v>
      </x:c>
      <x:c r="S469" s="18" t="n">
        <x:v>657.0257776728512</x:v>
      </x:c>
      <x:c r="T469" s="18" t="n">
        <x:v>689</x:v>
      </x:c>
      <x:c r="U469" s="18" t="n">
        <x:v>682.0257776728512</x:v>
      </x:c>
      <x:c r="V469" s="20" t="n">
        <x:v>4.4</x:v>
      </x:c>
      <x:c r="W469" s="20" t="n">
        <x:v>14.3</x:v>
      </x:c>
      <x:c r="X469" s="20" t="n">
        <x:v>3.3</x:v>
      </x:c>
      <x:c r="Y469" t="str">
        <x:v>Basis arsip 2025/2024</x:v>
      </x:c>
      <x:c r="Z469" t="str">
        <x:v>https://snpmb.id/utbk-snbt/daya-tampung-snbt</x:v>
      </x:c>
      <x:c r="AA469" t="str">
        <x:v>Tidak Ada</x:v>
      </x:c>
      <x:c r="AB469" t="str">
        <x:v>Campus=55; Ratio=73.3; Prodi=80; RelDemand=79.2; Capacity=30.0</x:v>
      </x:c>
    </x:row>
    <x:row r="470">
      <x:c r="A470" t="n">
        <x:v>467</x:v>
      </x:c>
      <x:c r="B470" t="str">
        <x:v>PTN Akademik</x:v>
      </x:c>
      <x:c r="C470" t="str">
        <x:v>UNIVERSITAS NEGERI PADANG</x:v>
      </x:c>
      <x:c r="D470" t="str">
        <x:v>PGSD (PENDIDIKAN GURU SEKOLAH DASAR)</x:v>
      </x:c>
      <x:c r="E470" t="str">
        <x:v>Sarjana</x:v>
      </x:c>
      <x:c r="F470" s="18" t="n">
        <x:v>138</x:v>
      </x:c>
      <x:c r="G470" s="18" t="n">
        <x:v>3411</x:v>
      </x:c>
      <x:c r="H470" s="19" t="n">
        <x:v>24.717391304347824</x:v>
      </x:c>
      <x:c r="I470" s="18" t="n">
        <x:f>ROUND(MIN(Model_Config_v3!$B$6,MAX(Q470,R470,S470*Model_Config_v3!$B$4+T470*Model_Config_v3!$B$5)),0)</x:f>
        <x:v>676</x:v>
      </x:c>
      <x:c r="J470" s="18" t="n">
        <x:f>MIN(Model_Config_v3!$B$6,I470+Model_Config_v3!$B$7)</x:f>
        <x:v>696</x:v>
      </x:c>
      <x:c r="K470" s="20" t="n">
        <x:v>58.7</x:v>
      </x:c>
      <x:c r="L470" t="str">
        <x:v>KETAT</x:v>
      </x:c>
      <x:c r="M470" t="str">
        <x:v>SEDANG+</x:v>
      </x:c>
      <x:c r="N470" t="str">
        <x:v>REGULER</x:v>
      </x:c>
      <x:c r="O470" t="str">
        <x:v>CAMPURAN</x:v>
      </x:c>
      <x:c r="P470" t="str">
        <x:v>PENDIDIKAN</x:v>
      </x:c>
      <x:c r="Q470" s="18" t="n">
        <x:v>0</x:v>
      </x:c>
      <x:c r="R470" s="18" t="n">
        <x:v>0</x:v>
      </x:c>
      <x:c r="S470" s="18" t="n">
        <x:v>673.2302896306776</x:v>
      </x:c>
      <x:c r="T470" s="18" t="n">
        <x:v>677</x:v>
      </x:c>
      <x:c r="U470" s="18" t="n">
        <x:v>673.2302896306776</x:v>
      </x:c>
      <x:c r="V470" s="20" t="n">
        <x:v>8.8</x:v>
      </x:c>
      <x:c r="W470" s="20" t="n">
        <x:v>9.9</x:v>
      </x:c>
      <x:c r="X470" s="20" t="n">
        <x:v>3.3</x:v>
      </x:c>
      <x:c r="Y470" t="str">
        <x:v>Basis arsip 2025/2024</x:v>
      </x:c>
      <x:c r="Z470" t="str">
        <x:v>https://snpmb.id/utbk-snbt/daya-tampung-snbt</x:v>
      </x:c>
      <x:c r="AA470" t="str">
        <x:v>Tidak Ada</x:v>
      </x:c>
      <x:c r="AB470" t="str">
        <x:v>Campus=55; Ratio=82.0; Prodi=45; RelDemand=100.0; Capacity=0.0</x:v>
      </x:c>
    </x:row>
    <x:row r="471">
      <x:c r="A471" t="n">
        <x:v>468</x:v>
      </x:c>
      <x:c r="B471" t="str">
        <x:v>PTN Akademik</x:v>
      </x:c>
      <x:c r="C471" t="str">
        <x:v>UNIVERSITAS NEGERI PADANG</x:v>
      </x:c>
      <x:c r="D471" t="str">
        <x:v>PEND. GURU PENDIDIKAN ANAK USIA DINI</x:v>
      </x:c>
      <x:c r="E471" t="str">
        <x:v>Sarjana</x:v>
      </x:c>
      <x:c r="F471" s="18" t="n">
        <x:v>76</x:v>
      </x:c>
      <x:c r="G471" s="18" t="n">
        <x:v>434</x:v>
      </x:c>
      <x:c r="H471" s="19" t="n">
        <x:v>5.7105263157894735</x:v>
      </x:c>
      <x:c r="I471" s="18" t="n">
        <x:f>ROUND(MIN(Model_Config_v3!$B$6,MAX(Q471,R471,S471*Model_Config_v3!$B$4+T471*Model_Config_v3!$B$5)),0)</x:f>
        <x:v>637</x:v>
      </x:c>
      <x:c r="J471" s="18" t="n">
        <x:f>MIN(Model_Config_v3!$B$6,I471+Model_Config_v3!$B$7)</x:f>
        <x:v>657</x:v>
      </x:c>
      <x:c r="K471" s="20" t="n">
        <x:v>45.6</x:v>
      </x:c>
      <x:c r="L471" t="str">
        <x:v>MENENGAH</x:v>
      </x:c>
      <x:c r="M471" t="str">
        <x:v>SEDANG+</x:v>
      </x:c>
      <x:c r="N471" t="str">
        <x:v>REGULER</x:v>
      </x:c>
      <x:c r="O471" t="str">
        <x:v>CAMPURAN</x:v>
      </x:c>
      <x:c r="P471" t="str">
        <x:v>PENDIDIKAN</x:v>
      </x:c>
      <x:c r="Q471" s="18" t="n">
        <x:v>0</x:v>
      </x:c>
      <x:c r="R471" s="18" t="n">
        <x:v>0</x:v>
      </x:c>
      <x:c r="S471" s="18" t="n">
        <x:v>603.2343750954891</x:v>
      </x:c>
      <x:c r="T471" s="18" t="n">
        <x:v>651</x:v>
      </x:c>
      <x:c r="U471" s="18" t="n">
        <x:v>603.2343750954891</x:v>
      </x:c>
      <x:c r="V471" s="20" t="n">
        <x:v>8.8</x:v>
      </x:c>
      <x:c r="W471" s="20" t="n">
        <x:v>9.9</x:v>
      </x:c>
      <x:c r="X471" s="20" t="n">
        <x:v>3.3</x:v>
      </x:c>
      <x:c r="Y471" t="str">
        <x:v>Basis arsip 2025/2024</x:v>
      </x:c>
      <x:c r="Z471" t="str">
        <x:v>https://snpmb.id/utbk-snbt/daya-tampung-snbt</x:v>
      </x:c>
      <x:c r="AA471" t="str">
        <x:v>Tidak Ada</x:v>
      </x:c>
      <x:c r="AB471" t="str">
        <x:v>Campus=55; Ratio=44.5; Prodi=45; RelDemand=25.7; Capacity=36.7</x:v>
      </x:c>
    </x:row>
    <x:row r="472">
      <x:c r="A472" t="n">
        <x:v>469</x:v>
      </x:c>
      <x:c r="B472" t="str">
        <x:v>PTN Akademik</x:v>
      </x:c>
      <x:c r="C472" t="str">
        <x:v>UNIVERSITAS NEGERI PADANG</x:v>
      </x:c>
      <x:c r="D472" t="str">
        <x:v>PENDIDIKAN BAHASA DAN SASTRA INDONESIA</x:v>
      </x:c>
      <x:c r="E472" t="str">
        <x:v>Sarjana</x:v>
      </x:c>
      <x:c r="F472" s="18" t="n">
        <x:v>104</x:v>
      </x:c>
      <x:c r="G472" s="18" t="n">
        <x:v>685</x:v>
      </x:c>
      <x:c r="H472" s="19" t="n">
        <x:v>6.586538461538462</x:v>
      </x:c>
      <x:c r="I472" s="18" t="n">
        <x:f>ROUND(MIN(Model_Config_v3!$B$6,MAX(Q472,R472,S472*Model_Config_v3!$B$4+T472*Model_Config_v3!$B$5)),0)</x:f>
        <x:v>637</x:v>
      </x:c>
      <x:c r="J472" s="18" t="n">
        <x:f>MIN(Model_Config_v3!$B$6,I472+Model_Config_v3!$B$7)</x:f>
        <x:v>657</x:v>
      </x:c>
      <x:c r="K472" s="20" t="n">
        <x:v>44.6</x:v>
      </x:c>
      <x:c r="L472" t="str">
        <x:v>RELATIF LONGGAR</x:v>
      </x:c>
      <x:c r="M472" t="str">
        <x:v>SEDANG+</x:v>
      </x:c>
      <x:c r="N472" t="str">
        <x:v>REGULER</x:v>
      </x:c>
      <x:c r="O472" t="str">
        <x:v>SOSHUM</x:v>
      </x:c>
      <x:c r="P472" t="str">
        <x:v>PENDIDIKAN</x:v>
      </x:c>
      <x:c r="Q472" s="18" t="n">
        <x:v>0</x:v>
      </x:c>
      <x:c r="R472" s="18" t="n">
        <x:v>0</x:v>
      </x:c>
      <x:c r="S472" s="18" t="n">
        <x:v>610.052295541301</x:v>
      </x:c>
      <x:c r="T472" s="18" t="n">
        <x:v>649</x:v>
      </x:c>
      <x:c r="U472" s="18" t="n">
        <x:v>610.052295541301</x:v>
      </x:c>
      <x:c r="V472" s="20" t="n">
        <x:v>4.4</x:v>
      </x:c>
      <x:c r="W472" s="20" t="n">
        <x:v>14.3</x:v>
      </x:c>
      <x:c r="X472" s="20" t="n">
        <x:v>3.3</x:v>
      </x:c>
      <x:c r="Y472" t="str">
        <x:v>Basis arsip 2025/2024</x:v>
      </x:c>
      <x:c r="Z472" t="str">
        <x:v>https://snpmb.id/utbk-snbt/daya-tampung-snbt</x:v>
      </x:c>
      <x:c r="AA472" t="str">
        <x:v>Tidak Ada</x:v>
      </x:c>
      <x:c r="AB472" t="str">
        <x:v>Campus=55; Ratio=48.2; Prodi=45; RelDemand=29.6; Capacity=13.3</x:v>
      </x:c>
    </x:row>
    <x:row r="473">
      <x:c r="A473" t="n">
        <x:v>470</x:v>
      </x:c>
      <x:c r="B473" t="str">
        <x:v>PTN Akademik</x:v>
      </x:c>
      <x:c r="C473" t="str">
        <x:v>UNIVERSITAS NEGERI PADANG</x:v>
      </x:c>
      <x:c r="D473" t="str">
        <x:v>SASTRA INDONESIA</x:v>
      </x:c>
      <x:c r="E473" t="str">
        <x:v>Sarjana</x:v>
      </x:c>
      <x:c r="F473" s="18" t="n">
        <x:v>48</x:v>
      </x:c>
      <x:c r="G473" s="18" t="n">
        <x:v>123</x:v>
      </x:c>
      <x:c r="H473" s="19" t="n">
        <x:v>2.5625</x:v>
      </x:c>
      <x:c r="I473" s="18" t="n">
        <x:f>ROUND(MIN(Model_Config_v3!$B$6,MAX(Q473,R473,S473*Model_Config_v3!$B$4+T473*Model_Config_v3!$B$5)),0)</x:f>
        <x:v>618</x:v>
      </x:c>
      <x:c r="J473" s="18" t="n">
        <x:f>MIN(Model_Config_v3!$B$6,I473+Model_Config_v3!$B$7)</x:f>
        <x:v>638</x:v>
      </x:c>
      <x:c r="K473" s="20" t="n">
        <x:v>40.4</x:v>
      </x:c>
      <x:c r="L473" t="str">
        <x:v>RELATIF LONGGAR</x:v>
      </x:c>
      <x:c r="M473" t="str">
        <x:v>SEDANG</x:v>
      </x:c>
      <x:c r="N473" t="str">
        <x:v>REGULER</x:v>
      </x:c>
      <x:c r="O473" t="str">
        <x:v>SOSHUM</x:v>
      </x:c>
      <x:c r="P473" t="str">
        <x:v>UMUM</x:v>
      </x:c>
      <x:c r="Q473" s="18" t="n">
        <x:v>0</x:v>
      </x:c>
      <x:c r="R473" s="18" t="n">
        <x:v>0</x:v>
      </x:c>
      <x:c r="S473" s="18" t="n">
        <x:v>564.9530261470192</x:v>
      </x:c>
      <x:c r="T473" s="18" t="n">
        <x:v>641</x:v>
      </x:c>
      <x:c r="U473" s="18" t="n">
        <x:v>564.9530261470192</x:v>
      </x:c>
      <x:c r="V473" s="20" t="n">
        <x:v>4.4</x:v>
      </x:c>
      <x:c r="W473" s="20" t="n">
        <x:v>14.3</x:v>
      </x:c>
      <x:c r="X473" s="20" t="n">
        <x:v>3.3</x:v>
      </x:c>
      <x:c r="Y473" t="str">
        <x:v>Basis arsip 2025/2024</x:v>
      </x:c>
      <x:c r="Z473" t="str">
        <x:v>https://snpmb.id/utbk-snbt/daya-tampung-snbt</x:v>
      </x:c>
      <x:c r="AA473" t="str">
        <x:v>Tidak Ada</x:v>
      </x:c>
      <x:c r="AB473" t="str">
        <x:v>Campus=55; Ratio=24.1; Prodi=40; RelDemand=11.5; Capacity=60.0</x:v>
      </x:c>
    </x:row>
    <x:row r="474">
      <x:c r="A474" t="n">
        <x:v>471</x:v>
      </x:c>
      <x:c r="B474" t="str">
        <x:v>PTN Akademik</x:v>
      </x:c>
      <x:c r="C474" t="str">
        <x:v>UNIVERSITAS NEGERI PADANG</x:v>
      </x:c>
      <x:c r="D474" t="str">
        <x:v>PENDD. BHS INGGRIS</x:v>
      </x:c>
      <x:c r="E474" t="str">
        <x:v>Sarjana</x:v>
      </x:c>
      <x:c r="F474" s="18" t="n">
        <x:v>80</x:v>
      </x:c>
      <x:c r="G474" s="18" t="n">
        <x:v>402</x:v>
      </x:c>
      <x:c r="H474" s="19" t="n">
        <x:v>5.025</x:v>
      </x:c>
      <x:c r="I474" s="18" t="n">
        <x:f>ROUND(MIN(Model_Config_v3!$B$6,MAX(Q474,R474,S474*Model_Config_v3!$B$4+T474*Model_Config_v3!$B$5)),0)</x:f>
        <x:v>631</x:v>
      </x:c>
      <x:c r="J474" s="18" t="n">
        <x:f>MIN(Model_Config_v3!$B$6,I474+Model_Config_v3!$B$7)</x:f>
        <x:v>651</x:v>
      </x:c>
      <x:c r="K474" s="20" t="n">
        <x:v>43.2</x:v>
      </x:c>
      <x:c r="L474" t="str">
        <x:v>RELATIF LONGGAR</x:v>
      </x:c>
      <x:c r="M474" t="str">
        <x:v>SEDANG</x:v>
      </x:c>
      <x:c r="N474" t="str">
        <x:v>REGULER</x:v>
      </x:c>
      <x:c r="O474" t="str">
        <x:v>CAMPURAN</x:v>
      </x:c>
      <x:c r="P474" t="str">
        <x:v>UMUM</x:v>
      </x:c>
      <x:c r="Q474" s="18" t="n">
        <x:v>0</x:v>
      </x:c>
      <x:c r="R474" s="18" t="n">
        <x:v>0</x:v>
      </x:c>
      <x:c r="S474" s="18" t="n">
        <x:v>597.1249672701779</x:v>
      </x:c>
      <x:c r="T474" s="18" t="n">
        <x:v>646</x:v>
      </x:c>
      <x:c r="U474" s="18" t="n">
        <x:v>597.1249672701779</x:v>
      </x:c>
      <x:c r="V474" s="20" t="n">
        <x:v>8.8</x:v>
      </x:c>
      <x:c r="W474" s="20" t="n">
        <x:v>9.9</x:v>
      </x:c>
      <x:c r="X474" s="20" t="n">
        <x:v>3.3</x:v>
      </x:c>
      <x:c r="Y474" t="str">
        <x:v>Basis arsip 2025/2024</x:v>
      </x:c>
      <x:c r="Z474" t="str">
        <x:v>https://snpmb.id/utbk-snbt/daya-tampung-snbt</x:v>
      </x:c>
      <x:c r="AA474" t="str">
        <x:v>Tidak Ada</x:v>
      </x:c>
      <x:c r="AB474" t="str">
        <x:v>Campus=55; Ratio=41.3; Prodi=40; RelDemand=22.6; Capacity=33.3</x:v>
      </x:c>
    </x:row>
    <x:row r="475">
      <x:c r="A475" t="n">
        <x:v>472</x:v>
      </x:c>
      <x:c r="B475" t="str">
        <x:v>PTN Akademik</x:v>
      </x:c>
      <x:c r="C475" t="str">
        <x:v>UNIVERSITAS NEGERI PADANG</x:v>
      </x:c>
      <x:c r="D475" t="str">
        <x:v>SASTRA INGGRIS</x:v>
      </x:c>
      <x:c r="E475" t="str">
        <x:v>Sarjana</x:v>
      </x:c>
      <x:c r="F475" s="18" t="n">
        <x:v>48</x:v>
      </x:c>
      <x:c r="G475" s="18" t="n">
        <x:v>234</x:v>
      </x:c>
      <x:c r="H475" s="19" t="n">
        <x:v>4.875</x:v>
      </x:c>
      <x:c r="I475" s="18" t="n">
        <x:f>ROUND(MIN(Model_Config_v3!$B$6,MAX(Q475,R475,S475*Model_Config_v3!$B$4+T475*Model_Config_v3!$B$5)),0)</x:f>
        <x:v>634</x:v>
      </x:c>
      <x:c r="J475" s="18" t="n">
        <x:f>MIN(Model_Config_v3!$B$6,I475+Model_Config_v3!$B$7)</x:f>
        <x:v>654</x:v>
      </x:c>
      <x:c r="K475" s="20" t="n">
        <x:v>45.6</x:v>
      </x:c>
      <x:c r="L475" t="str">
        <x:v>MENENGAH</x:v>
      </x:c>
      <x:c r="M475" t="str">
        <x:v>SEDANG</x:v>
      </x:c>
      <x:c r="N475" t="str">
        <x:v>REGULER</x:v>
      </x:c>
      <x:c r="O475" t="str">
        <x:v>SOSHUM</x:v>
      </x:c>
      <x:c r="P475" t="str">
        <x:v>UMUM</x:v>
      </x:c>
      <x:c r="Q475" s="18" t="n">
        <x:v>0</x:v>
      </x:c>
      <x:c r="R475" s="18" t="n">
        <x:v>0</x:v>
      </x:c>
      <x:c r="S475" s="18" t="n">
        <x:v>595.6772082038011</x:v>
      </x:c>
      <x:c r="T475" s="18" t="n">
        <x:v>651</x:v>
      </x:c>
      <x:c r="U475" s="18" t="n">
        <x:v>595.6772082038011</x:v>
      </x:c>
      <x:c r="V475" s="20" t="n">
        <x:v>4.4</x:v>
      </x:c>
      <x:c r="W475" s="20" t="n">
        <x:v>14.3</x:v>
      </x:c>
      <x:c r="X475" s="20" t="n">
        <x:v>3.3</x:v>
      </x:c>
      <x:c r="Y475" t="str">
        <x:v>Basis arsip 2025/2024</x:v>
      </x:c>
      <x:c r="Z475" t="str">
        <x:v>https://snpmb.id/utbk-snbt/daya-tampung-snbt</x:v>
      </x:c>
      <x:c r="AA475" t="str">
        <x:v>Tidak Ada</x:v>
      </x:c>
      <x:c r="AB475" t="str">
        <x:v>Campus=55; Ratio=40.5; Prodi=40; RelDemand=21.9; Capacity=60.0</x:v>
      </x:c>
    </x:row>
    <x:row r="476">
      <x:c r="A476" t="n">
        <x:v>473</x:v>
      </x:c>
      <x:c r="B476" t="str">
        <x:v>PTN Akademik</x:v>
      </x:c>
      <x:c r="C476" t="str">
        <x:v>UNIVERSITAS NEGERI PADANG</x:v>
      </x:c>
      <x:c r="D476" t="str">
        <x:v>PENDIDIKAN SENI RUPA</x:v>
      </x:c>
      <x:c r="E476" t="str">
        <x:v>Sarjana</x:v>
      </x:c>
      <x:c r="F476" s="18" t="n">
        <x:v>52</x:v>
      </x:c>
      <x:c r="G476" s="18" t="n">
        <x:v>51</x:v>
      </x:c>
      <x:c r="H476" s="19" t="n">
        <x:v>0.9807692307692307</x:v>
      </x:c>
      <x:c r="I476" s="18" t="n">
        <x:f>ROUND(MIN(Model_Config_v3!$B$6,MAX(Q476,R476,S476*Model_Config_v3!$B$4+T476*Model_Config_v3!$B$5)),0)</x:f>
        <x:v>596</x:v>
      </x:c>
      <x:c r="J476" s="18" t="n">
        <x:f>MIN(Model_Config_v3!$B$6,I476+Model_Config_v3!$B$7)</x:f>
        <x:v>616</x:v>
      </x:c>
      <x:c r="K476" s="20" t="n">
        <x:v>34.4</x:v>
      </x:c>
      <x:c r="L476" t="str">
        <x:v>RELATIF LONGGAR</x:v>
      </x:c>
      <x:c r="M476" t="str">
        <x:v>PORTOFOLIO</x:v>
      </x:c>
      <x:c r="N476" t="str">
        <x:v>REGULER</x:v>
      </x:c>
      <x:c r="O476" t="str">
        <x:v>SENI/OLAHRAGA</x:v>
      </x:c>
      <x:c r="P476" t="str">
        <x:v>SENI/OLAHRAGA</x:v>
      </x:c>
      <x:c r="Q476" s="18" t="n">
        <x:v>0</x:v>
      </x:c>
      <x:c r="R476" s="18" t="n">
        <x:v>0</x:v>
      </x:c>
      <x:c r="S476" s="18" t="n">
        <x:v>520</x:v>
      </x:c>
      <x:c r="T476" s="18" t="n">
        <x:v>629</x:v>
      </x:c>
      <x:c r="U476" s="18" t="n">
        <x:v>520</x:v>
      </x:c>
      <x:c r="V476" s="20" t="n">
        <x:v>4.4</x:v>
      </x:c>
      <x:c r="W476" s="20" t="n">
        <x:v>9.9</x:v>
      </x:c>
      <x:c r="X476" s="20" t="n">
        <x:v>7.7</x:v>
      </x:c>
      <x:c r="Y476" t="str">
        <x:v>Basis arsip 2025/2024</x:v>
      </x:c>
      <x:c r="Z476" t="str">
        <x:v>https://snpmb.id/utbk-snbt/daya-tampung-snbt</x:v>
      </x:c>
      <x:c r="AA476" t="str">
        <x:v>Seni Rupa, Desain, dan Kriya</x:v>
      </x:c>
      <x:c r="AB476" t="str">
        <x:v>Campus=55; Ratio=0.0; Prodi=45; RelDemand=4.4; Capacity=56.7</x:v>
      </x:c>
    </x:row>
    <x:row r="477">
      <x:c r="A477" t="n">
        <x:v>474</x:v>
      </x:c>
      <x:c r="B477" t="str">
        <x:v>PTN Akademik</x:v>
      </x:c>
      <x:c r="C477" t="str">
        <x:v>UNIVERSITAS NEGERI PADANG</x:v>
      </x:c>
      <x:c r="D477" t="str">
        <x:v>PENDIDIKAN SENDRATASIK</x:v>
      </x:c>
      <x:c r="E477" t="str">
        <x:v>Sarjana</x:v>
      </x:c>
      <x:c r="F477" s="18" t="n">
        <x:v>60</x:v>
      </x:c>
      <x:c r="G477" s="18" t="n">
        <x:v>84</x:v>
      </x:c>
      <x:c r="H477" s="19" t="n">
        <x:v>1.4</x:v>
      </x:c>
      <x:c r="I477" s="18" t="n">
        <x:f>ROUND(MIN(Model_Config_v3!$B$6,MAX(Q477,R477,S477*Model_Config_v3!$B$4+T477*Model_Config_v3!$B$5)),0)</x:f>
        <x:v>603</x:v>
      </x:c>
      <x:c r="J477" s="18" t="n">
        <x:f>MIN(Model_Config_v3!$B$6,I477+Model_Config_v3!$B$7)</x:f>
        <x:v>623</x:v>
      </x:c>
      <x:c r="K477" s="20" t="n">
        <x:v>36</x:v>
      </x:c>
      <x:c r="L477" t="str">
        <x:v>RELATIF LONGGAR</x:v>
      </x:c>
      <x:c r="M477" t="str">
        <x:v>PORTOFOLIO</x:v>
      </x:c>
      <x:c r="N477" t="str">
        <x:v>REGULER</x:v>
      </x:c>
      <x:c r="O477" t="str">
        <x:v>SENI/OLAHRAGA</x:v>
      </x:c>
      <x:c r="P477" t="str">
        <x:v>SENI/OLAHRAGA</x:v>
      </x:c>
      <x:c r="Q477" s="18" t="n">
        <x:v>0</x:v>
      </x:c>
      <x:c r="R477" s="18" t="n">
        <x:v>0</x:v>
      </x:c>
      <x:c r="S477" s="18" t="n">
        <x:v>536.0740839246062</x:v>
      </x:c>
      <x:c r="T477" s="18" t="n">
        <x:v>632</x:v>
      </x:c>
      <x:c r="U477" s="18" t="n">
        <x:v>536.0740839246062</x:v>
      </x:c>
      <x:c r="V477" s="20" t="n">
        <x:v>4.4</x:v>
      </x:c>
      <x:c r="W477" s="20" t="n">
        <x:v>9.9</x:v>
      </x:c>
      <x:c r="X477" s="20" t="n">
        <x:v>7.7</x:v>
      </x:c>
      <x:c r="Y477" t="str">
        <x:v>Basis arsip 2025/2024</x:v>
      </x:c>
      <x:c r="Z477" t="str">
        <x:v>https://snpmb.id/utbk-snbt/daya-tampung-snbt</x:v>
      </x:c>
      <x:c r="AA477" t="str">
        <x:v>Sendratasik</x:v>
      </x:c>
      <x:c r="AB477" t="str">
        <x:v>Campus=55; Ratio=8.6; Prodi=45; RelDemand=6.3; Capacity=50.0</x:v>
      </x:c>
    </x:row>
    <x:row r="478">
      <x:c r="A478" t="n">
        <x:v>475</x:v>
      </x:c>
      <x:c r="B478" t="str">
        <x:v>PTN Akademik</x:v>
      </x:c>
      <x:c r="C478" t="str">
        <x:v>UNIVERSITAS NEGERI PADANG</x:v>
      </x:c>
      <x:c r="D478" t="str">
        <x:v>PENDIDIKAN GEOGRAFI</x:v>
      </x:c>
      <x:c r="E478" t="str">
        <x:v>Sarjana</x:v>
      </x:c>
      <x:c r="F478" s="18" t="n">
        <x:v>48</x:v>
      </x:c>
      <x:c r="G478" s="18" t="n">
        <x:v>208</x:v>
      </x:c>
      <x:c r="H478" s="19" t="n">
        <x:v>4.333333333333333</x:v>
      </x:c>
      <x:c r="I478" s="18" t="n">
        <x:f>ROUND(MIN(Model_Config_v3!$B$6,MAX(Q478,R478,S478*Model_Config_v3!$B$4+T478*Model_Config_v3!$B$5)),0)</x:f>
        <x:v>633</x:v>
      </x:c>
      <x:c r="J478" s="18" t="n">
        <x:f>MIN(Model_Config_v3!$B$6,I478+Model_Config_v3!$B$7)</x:f>
        <x:v>653</x:v>
      </x:c>
      <x:c r="K478" s="20" t="n">
        <x:v>45.6</x:v>
      </x:c>
      <x:c r="L478" t="str">
        <x:v>MENENGAH</x:v>
      </x:c>
      <x:c r="M478" t="str">
        <x:v>SEDANG+</x:v>
      </x:c>
      <x:c r="N478" t="str">
        <x:v>REGULER</x:v>
      </x:c>
      <x:c r="O478" t="str">
        <x:v>CAMPURAN</x:v>
      </x:c>
      <x:c r="P478" t="str">
        <x:v>PENDIDIKAN</x:v>
      </x:c>
      <x:c r="Q478" s="18" t="n">
        <x:v>0</x:v>
      </x:c>
      <x:c r="R478" s="18" t="n">
        <x:v>0</x:v>
      </x:c>
      <x:c r="S478" s="18" t="n">
        <x:v>590.0504307345892</x:v>
      </x:c>
      <x:c r="T478" s="18" t="n">
        <x:v>651</x:v>
      </x:c>
      <x:c r="U478" s="18" t="n">
        <x:v>590.0504307345892</x:v>
      </x:c>
      <x:c r="V478" s="20" t="n">
        <x:v>8.8</x:v>
      </x:c>
      <x:c r="W478" s="20" t="n">
        <x:v>9.9</x:v>
      </x:c>
      <x:c r="X478" s="20" t="n">
        <x:v>3.3</x:v>
      </x:c>
      <x:c r="Y478" t="str">
        <x:v>Basis arsip 2025/2024</x:v>
      </x:c>
      <x:c r="Z478" t="str">
        <x:v>https://snpmb.id/utbk-snbt/daya-tampung-snbt</x:v>
      </x:c>
      <x:c r="AA478" t="str">
        <x:v>Tidak Ada</x:v>
      </x:c>
      <x:c r="AB478" t="str">
        <x:v>Campus=55; Ratio=37.5; Prodi=45; RelDemand=19.5; Capacity=60.0</x:v>
      </x:c>
    </x:row>
    <x:row r="479">
      <x:c r="A479" t="n">
        <x:v>476</x:v>
      </x:c>
      <x:c r="B479" t="str">
        <x:v>PTN Akademik</x:v>
      </x:c>
      <x:c r="C479" t="str">
        <x:v>UNIVERSITAS NEGERI PADANG</x:v>
      </x:c>
      <x:c r="D479" t="str">
        <x:v>PENDIDIKAN SEJARAH</x:v>
      </x:c>
      <x:c r="E479" t="str">
        <x:v>Sarjana</x:v>
      </x:c>
      <x:c r="F479" s="18" t="n">
        <x:v>56</x:v>
      </x:c>
      <x:c r="G479" s="18" t="n">
        <x:v>282</x:v>
      </x:c>
      <x:c r="H479" s="19" t="n">
        <x:v>5.035714285714286</x:v>
      </x:c>
      <x:c r="I479" s="18" t="n">
        <x:f>ROUND(MIN(Model_Config_v3!$B$6,MAX(Q479,R479,S479*Model_Config_v3!$B$4+T479*Model_Config_v3!$B$5)),0)</x:f>
        <x:v>636</x:v>
      </x:c>
      <x:c r="J479" s="18" t="n">
        <x:f>MIN(Model_Config_v3!$B$6,I479+Model_Config_v3!$B$7)</x:f>
        <x:v>656</x:v>
      </x:c>
      <x:c r="K479" s="20" t="n">
        <x:v>46.2</x:v>
      </x:c>
      <x:c r="L479" t="str">
        <x:v>MENENGAH</x:v>
      </x:c>
      <x:c r="M479" t="str">
        <x:v>SEDANG+</x:v>
      </x:c>
      <x:c r="N479" t="str">
        <x:v>REGULER</x:v>
      </x:c>
      <x:c r="O479" t="str">
        <x:v>SOSHUM</x:v>
      </x:c>
      <x:c r="P479" t="str">
        <x:v>PENDIDIKAN</x:v>
      </x:c>
      <x:c r="Q479" s="18" t="n">
        <x:v>0</x:v>
      </x:c>
      <x:c r="R479" s="18" t="n">
        <x:v>0</x:v>
      </x:c>
      <x:c r="S479" s="18" t="n">
        <x:v>597.2267189444476</x:v>
      </x:c>
      <x:c r="T479" s="18" t="n">
        <x:v>652</x:v>
      </x:c>
      <x:c r="U479" s="18" t="n">
        <x:v>597.2267189444476</x:v>
      </x:c>
      <x:c r="V479" s="20" t="n">
        <x:v>4.4</x:v>
      </x:c>
      <x:c r="W479" s="20" t="n">
        <x:v>14.3</x:v>
      </x:c>
      <x:c r="X479" s="20" t="n">
        <x:v>3.3</x:v>
      </x:c>
      <x:c r="Y479" t="str">
        <x:v>Basis arsip 2025/2024</x:v>
      </x:c>
      <x:c r="Z479" t="str">
        <x:v>https://snpmb.id/utbk-snbt/daya-tampung-snbt</x:v>
      </x:c>
      <x:c r="AA479" t="str">
        <x:v>Tidak Ada</x:v>
      </x:c>
      <x:c r="AB479" t="str">
        <x:v>Campus=55; Ratio=41.3; Prodi=45; RelDemand=22.7; Capacity=53.3</x:v>
      </x:c>
    </x:row>
    <x:row r="480">
      <x:c r="A480" t="n">
        <x:v>477</x:v>
      </x:c>
      <x:c r="B480" t="str">
        <x:v>PTN Akademik</x:v>
      </x:c>
      <x:c r="C480" t="str">
        <x:v>UNIVERSITAS NEGERI PADANG</x:v>
      </x:c>
      <x:c r="D480" t="str">
        <x:v>PENDIDIKAN SOSIOLOGI</x:v>
      </x:c>
      <x:c r="E480" t="str">
        <x:v>Sarjana</x:v>
      </x:c>
      <x:c r="F480" s="18" t="n">
        <x:v>80</x:v>
      </x:c>
      <x:c r="G480" s="18" t="n">
        <x:v>414</x:v>
      </x:c>
      <x:c r="H480" s="19" t="n">
        <x:v>5.175</x:v>
      </x:c>
      <x:c r="I480" s="18" t="n">
        <x:f>ROUND(MIN(Model_Config_v3!$B$6,MAX(Q480,R480,S480*Model_Config_v3!$B$4+T480*Model_Config_v3!$B$5)),0)</x:f>
        <x:v>634</x:v>
      </x:c>
      <x:c r="J480" s="18" t="n">
        <x:f>MIN(Model_Config_v3!$B$6,I480+Model_Config_v3!$B$7)</x:f>
        <x:v>654</x:v>
      </x:c>
      <x:c r="K480" s="20" t="n">
        <x:v>44.4</x:v>
      </x:c>
      <x:c r="L480" t="str">
        <x:v>RELATIF LONGGAR</x:v>
      </x:c>
      <x:c r="M480" t="str">
        <x:v>SEDANG+</x:v>
      </x:c>
      <x:c r="N480" t="str">
        <x:v>REGULER</x:v>
      </x:c>
      <x:c r="O480" t="str">
        <x:v>SOSHUM</x:v>
      </x:c>
      <x:c r="P480" t="str">
        <x:v>PENDIDIKAN</x:v>
      </x:c>
      <x:c r="Q480" s="18" t="n">
        <x:v>0</x:v>
      </x:c>
      <x:c r="R480" s="18" t="n">
        <x:v>0</x:v>
      </x:c>
      <x:c r="S480" s="18" t="n">
        <x:v>598.5301389541851</x:v>
      </x:c>
      <x:c r="T480" s="18" t="n">
        <x:v>649</x:v>
      </x:c>
      <x:c r="U480" s="18" t="n">
        <x:v>598.5301389541851</x:v>
      </x:c>
      <x:c r="V480" s="20" t="n">
        <x:v>4.4</x:v>
      </x:c>
      <x:c r="W480" s="20" t="n">
        <x:v>14.3</x:v>
      </x:c>
      <x:c r="X480" s="20" t="n">
        <x:v>3.3</x:v>
      </x:c>
      <x:c r="Y480" t="str">
        <x:v>Basis arsip 2025/2024</x:v>
      </x:c>
      <x:c r="Z480" t="str">
        <x:v>https://snpmb.id/utbk-snbt/daya-tampung-snbt</x:v>
      </x:c>
      <x:c r="AA480" t="str">
        <x:v>Tidak Ada</x:v>
      </x:c>
      <x:c r="AB480" t="str">
        <x:v>Campus=55; Ratio=42.0; Prodi=45; RelDemand=23.3; Capacity=33.3</x:v>
      </x:c>
    </x:row>
    <x:row r="481">
      <x:c r="A481" t="n">
        <x:v>478</x:v>
      </x:c>
      <x:c r="B481" t="str">
        <x:v>PTN Akademik</x:v>
      </x:c>
      <x:c r="C481" t="str">
        <x:v>UNIVERSITAS NEGERI PADANG</x:v>
      </x:c>
      <x:c r="D481" t="str">
        <x:v>PEND. PANCASILA &amp; KEWARGANEGARAAN (PPKN)</x:v>
      </x:c>
      <x:c r="E481" t="str">
        <x:v>Sarjana</x:v>
      </x:c>
      <x:c r="F481" s="18" t="n">
        <x:v>56</x:v>
      </x:c>
      <x:c r="G481" s="18" t="n">
        <x:v>460</x:v>
      </x:c>
      <x:c r="H481" s="19" t="n">
        <x:v>8.214285714285714</x:v>
      </x:c>
      <x:c r="I481" s="18" t="n">
        <x:f>ROUND(MIN(Model_Config_v3!$B$6,MAX(Q481,R481,S481*Model_Config_v3!$B$4+T481*Model_Config_v3!$B$5)),0)</x:f>
        <x:v>649</x:v>
      </x:c>
      <x:c r="J481" s="18" t="n">
        <x:f>MIN(Model_Config_v3!$B$6,I481+Model_Config_v3!$B$7)</x:f>
        <x:v>669</x:v>
      </x:c>
      <x:c r="K481" s="20" t="n">
        <x:v>50.7</x:v>
      </x:c>
      <x:c r="L481" t="str">
        <x:v>MENENGAH</x:v>
      </x:c>
      <x:c r="M481" t="str">
        <x:v>SEDANG+</x:v>
      </x:c>
      <x:c r="N481" t="str">
        <x:v>REGULER</x:v>
      </x:c>
      <x:c r="O481" t="str">
        <x:v>CAMPURAN</x:v>
      </x:c>
      <x:c r="P481" t="str">
        <x:v>PENDIDIKAN</x:v>
      </x:c>
      <x:c r="Q481" s="18" t="n">
        <x:v>0</x:v>
      </x:c>
      <x:c r="R481" s="18" t="n">
        <x:v>0</x:v>
      </x:c>
      <x:c r="S481" s="18" t="n">
        <x:v>620.602678514291</x:v>
      </x:c>
      <x:c r="T481" s="18" t="n">
        <x:v>661</x:v>
      </x:c>
      <x:c r="U481" s="18" t="n">
        <x:v>620.602678514291</x:v>
      </x:c>
      <x:c r="V481" s="20" t="n">
        <x:v>8.8</x:v>
      </x:c>
      <x:c r="W481" s="20" t="n">
        <x:v>9.9</x:v>
      </x:c>
      <x:c r="X481" s="20" t="n">
        <x:v>3.3</x:v>
      </x:c>
      <x:c r="Y481" t="str">
        <x:v>Basis arsip 2025/2024</x:v>
      </x:c>
      <x:c r="Z481" t="str">
        <x:v>https://snpmb.id/utbk-snbt/daya-tampung-snbt</x:v>
      </x:c>
      <x:c r="AA481" t="str">
        <x:v>Tidak Ada</x:v>
      </x:c>
      <x:c r="AB481" t="str">
        <x:v>Campus=55; Ratio=53.8; Prodi=45; RelDemand=37.0; Capacity=53.3</x:v>
      </x:c>
    </x:row>
    <x:row r="482">
      <x:c r="A482" t="n">
        <x:v>479</x:v>
      </x:c>
      <x:c r="B482" t="str">
        <x:v>PTN Akademik</x:v>
      </x:c>
      <x:c r="C482" t="str">
        <x:v>UNIVERSITAS NEGERI PADANG</x:v>
      </x:c>
      <x:c r="D482" t="str">
        <x:v>ILMU ADMINISTRASI NEGARA (NK)</x:v>
      </x:c>
      <x:c r="E482" t="str">
        <x:v>Sarjana</x:v>
      </x:c>
      <x:c r="F482" s="18" t="n">
        <x:v>100</x:v>
      </x:c>
      <x:c r="G482" s="18" t="n">
        <x:v>1293</x:v>
      </x:c>
      <x:c r="H482" s="19" t="n">
        <x:v>12.93</x:v>
      </x:c>
      <x:c r="I482" s="18" t="n">
        <x:f>ROUND(MIN(Model_Config_v3!$B$6,MAX(Q482,R482,S482*Model_Config_v3!$B$4+T482*Model_Config_v3!$B$5)),0)</x:f>
        <x:v>656</x:v>
      </x:c>
      <x:c r="J482" s="18" t="n">
        <x:f>MIN(Model_Config_v3!$B$6,I482+Model_Config_v3!$B$7)</x:f>
        <x:v>676</x:v>
      </x:c>
      <x:c r="K482" s="20" t="n">
        <x:v>51.1</x:v>
      </x:c>
      <x:c r="L482" t="str">
        <x:v>MENENGAH</x:v>
      </x:c>
      <x:c r="M482" t="str">
        <x:v>SEDANG</x:v>
      </x:c>
      <x:c r="N482" t="str">
        <x:v>REGULER</x:v>
      </x:c>
      <x:c r="O482" t="str">
        <x:v>SOSHUM</x:v>
      </x:c>
      <x:c r="P482" t="str">
        <x:v>UMUM</x:v>
      </x:c>
      <x:c r="Q482" s="18" t="n">
        <x:v>0</x:v>
      </x:c>
      <x:c r="R482" s="18" t="n">
        <x:v>0</x:v>
      </x:c>
      <x:c r="S482" s="18" t="n">
        <x:v>642.2758377368433</x:v>
      </x:c>
      <x:c r="T482" s="18" t="n">
        <x:v>662</x:v>
      </x:c>
      <x:c r="U482" s="18" t="n">
        <x:v>642.2758377368433</x:v>
      </x:c>
      <x:c r="V482" s="20" t="n">
        <x:v>4.4</x:v>
      </x:c>
      <x:c r="W482" s="20" t="n">
        <x:v>14.3</x:v>
      </x:c>
      <x:c r="X482" s="20" t="n">
        <x:v>3.3</x:v>
      </x:c>
      <x:c r="Y482" t="str">
        <x:v>Basis arsip 2025/2024</x:v>
      </x:c>
      <x:c r="Z482" t="str">
        <x:v>https://snpmb.id/utbk-snbt/daya-tampung-snbt</x:v>
      </x:c>
      <x:c r="AA482" t="str">
        <x:v>Tidak Ada</x:v>
      </x:c>
      <x:c r="AB482" t="str">
        <x:v>Campus=55; Ratio=65.4; Prodi=40; RelDemand=58.2; Capacity=16.7</x:v>
      </x:c>
    </x:row>
    <x:row r="483">
      <x:c r="A483" t="n">
        <x:v>480</x:v>
      </x:c>
      <x:c r="B483" t="str">
        <x:v>PTN Akademik</x:v>
      </x:c>
      <x:c r="C483" t="str">
        <x:v>UNIVERSITAS NEGERI PADANG</x:v>
      </x:c>
      <x:c r="D483" t="str">
        <x:v>PENDIDIKAN EKONOMI</x:v>
      </x:c>
      <x:c r="E483" t="str">
        <x:v>Sarjana</x:v>
      </x:c>
      <x:c r="F483" s="18" t="n">
        <x:v>72</x:v>
      </x:c>
      <x:c r="G483" s="18" t="n">
        <x:v>273</x:v>
      </x:c>
      <x:c r="H483" s="19" t="n">
        <x:v>3.7916666666666665</x:v>
      </x:c>
      <x:c r="I483" s="18" t="n">
        <x:f>ROUND(MIN(Model_Config_v3!$B$6,MAX(Q483,R483,S483*Model_Config_v3!$B$4+T483*Model_Config_v3!$B$5)),0)</x:f>
        <x:v>627</x:v>
      </x:c>
      <x:c r="J483" s="18" t="n">
        <x:f>MIN(Model_Config_v3!$B$6,I483+Model_Config_v3!$B$7)</x:f>
        <x:v>647</x:v>
      </x:c>
      <x:c r="K483" s="20" t="n">
        <x:v>42.5</x:v>
      </x:c>
      <x:c r="L483" t="str">
        <x:v>RELATIF LONGGAR</x:v>
      </x:c>
      <x:c r="M483" t="str">
        <x:v>SEDANG+</x:v>
      </x:c>
      <x:c r="N483" t="str">
        <x:v>REGULER</x:v>
      </x:c>
      <x:c r="O483" t="str">
        <x:v>SOSHUM</x:v>
      </x:c>
      <x:c r="P483" t="str">
        <x:v>PENDIDIKAN</x:v>
      </x:c>
      <x:c r="Q483" s="18" t="n">
        <x:v>0</x:v>
      </x:c>
      <x:c r="R483" s="18" t="n">
        <x:v>0</x:v>
      </x:c>
      <x:c r="S483" s="18" t="n">
        <x:v>583.6713165670436</x:v>
      </x:c>
      <x:c r="T483" s="18" t="n">
        <x:v>645</x:v>
      </x:c>
      <x:c r="U483" s="18" t="n">
        <x:v>583.6713165670436</x:v>
      </x:c>
      <x:c r="V483" s="20" t="n">
        <x:v>4.4</x:v>
      </x:c>
      <x:c r="W483" s="20" t="n">
        <x:v>14.3</x:v>
      </x:c>
      <x:c r="X483" s="20" t="n">
        <x:v>3.3</x:v>
      </x:c>
      <x:c r="Y483" t="str">
        <x:v>Basis arsip 2025/2024</x:v>
      </x:c>
      <x:c r="Z483" t="str">
        <x:v>https://snpmb.id/utbk-snbt/daya-tampung-snbt</x:v>
      </x:c>
      <x:c r="AA483" t="str">
        <x:v>Tidak Ada</x:v>
      </x:c>
      <x:c r="AB483" t="str">
        <x:v>Campus=55; Ratio=34.1; Prodi=45; RelDemand=17.1; Capacity=40.0</x:v>
      </x:c>
    </x:row>
    <x:row r="484">
      <x:c r="A484" t="n">
        <x:v>481</x:v>
      </x:c>
      <x:c r="B484" t="str">
        <x:v>PTN Akademik</x:v>
      </x:c>
      <x:c r="C484" t="str">
        <x:v>UNIVERSITAS NEGERI PADANG</x:v>
      </x:c>
      <x:c r="D484" t="str">
        <x:v>MANAJEMEN (NK)</x:v>
      </x:c>
      <x:c r="E484" t="str">
        <x:v>Sarjana</x:v>
      </x:c>
      <x:c r="F484" s="18" t="n">
        <x:v>60</x:v>
      </x:c>
      <x:c r="G484" s="18" t="n">
        <x:v>1890</x:v>
      </x:c>
      <x:c r="H484" s="19" t="n">
        <x:v>31.5</x:v>
      </x:c>
      <x:c r="I484" s="18" t="n">
        <x:f>ROUND(MIN(Model_Config_v3!$B$6,MAX(Q484,R484,S484*Model_Config_v3!$B$4+T484*Model_Config_v3!$B$5)),0)</x:f>
        <x:v>695</x:v>
      </x:c>
      <x:c r="J484" s="18" t="n">
        <x:f>MIN(Model_Config_v3!$B$6,I484+Model_Config_v3!$B$7)</x:f>
        <x:v>715</x:v>
      </x:c>
      <x:c r="K484" s="20" t="n">
        <x:v>69.3</x:v>
      </x:c>
      <x:c r="L484" t="str">
        <x:v>SANGAT KETAT</x:v>
      </x:c>
      <x:c r="M484" t="str">
        <x:v>SEDANG+</x:v>
      </x:c>
      <x:c r="N484" t="str">
        <x:v>REGULER</x:v>
      </x:c>
      <x:c r="O484" t="str">
        <x:v>SOSHUM</x:v>
      </x:c>
      <x:c r="P484" t="str">
        <x:v>BISNIS/EKONOMI/AKUNTANSI</x:v>
      </x:c>
      <x:c r="Q484" s="18" t="n">
        <x:v>0</x:v>
      </x:c>
      <x:c r="R484" s="18" t="n">
        <x:v>0</x:v>
      </x:c>
      <x:c r="S484" s="18" t="n">
        <x:v>684.814160916856</x:v>
      </x:c>
      <x:c r="T484" s="18" t="n">
        <x:v>699</x:v>
      </x:c>
      <x:c r="U484" s="18" t="n">
        <x:v>699.814160916856</x:v>
      </x:c>
      <x:c r="V484" s="20" t="n">
        <x:v>4.4</x:v>
      </x:c>
      <x:c r="W484" s="20" t="n">
        <x:v>14.3</x:v>
      </x:c>
      <x:c r="X484" s="20" t="n">
        <x:v>3.3</x:v>
      </x:c>
      <x:c r="Y484" t="str">
        <x:v>Basis arsip 2025/2024</x:v>
      </x:c>
      <x:c r="Z484" t="str">
        <x:v>https://snpmb.id/utbk-snbt/daya-tampung-snbt</x:v>
      </x:c>
      <x:c r="AA484" t="str">
        <x:v>Tidak Ada</x:v>
      </x:c>
      <x:c r="AB484" t="str">
        <x:v>Campus=55; Ratio=88.2; Prodi=65; RelDemand=100.0; Capacity=50.0</x:v>
      </x:c>
    </x:row>
    <x:row r="485">
      <x:c r="A485" t="n">
        <x:v>482</x:v>
      </x:c>
      <x:c r="B485" t="str">
        <x:v>PTN Akademik</x:v>
      </x:c>
      <x:c r="C485" t="str">
        <x:v>UNIVERSITAS NEGERI PADANG</x:v>
      </x:c>
      <x:c r="D485" t="str">
        <x:v>AKUNTANSI (NK)</x:v>
      </x:c>
      <x:c r="E485" t="str">
        <x:v>Sarjana</x:v>
      </x:c>
      <x:c r="F485" s="18" t="n">
        <x:v>45</x:v>
      </x:c>
      <x:c r="G485" s="18" t="n">
        <x:v>1079</x:v>
      </x:c>
      <x:c r="H485" s="19" t="n">
        <x:v>23.977777777777778</x:v>
      </x:c>
      <x:c r="I485" s="18" t="n">
        <x:f>ROUND(MIN(Model_Config_v3!$B$6,MAX(Q485,R485,S485*Model_Config_v3!$B$4+T485*Model_Config_v3!$B$5)),0)</x:f>
        <x:v>690</x:v>
      </x:c>
      <x:c r="J485" s="18" t="n">
        <x:f>MIN(Model_Config_v3!$B$6,I485+Model_Config_v3!$B$7)</x:f>
        <x:v>710</x:v>
      </x:c>
      <x:c r="K485" s="20" t="n">
        <x:v>68.8</x:v>
      </x:c>
      <x:c r="L485" t="str">
        <x:v>SANGAT KETAT</x:v>
      </x:c>
      <x:c r="M485" t="str">
        <x:v>SEDANG+</x:v>
      </x:c>
      <x:c r="N485" t="str">
        <x:v>REGULER</x:v>
      </x:c>
      <x:c r="O485" t="str">
        <x:v>SOSHUM</x:v>
      </x:c>
      <x:c r="P485" t="str">
        <x:v>BISNIS/EKONOMI/AKUNTANSI</x:v>
      </x:c>
      <x:c r="Q485" s="18" t="n">
        <x:v>0</x:v>
      </x:c>
      <x:c r="R485" s="18" t="n">
        <x:v>0</x:v>
      </x:c>
      <x:c r="S485" s="18" t="n">
        <x:v>671.7789823998323</x:v>
      </x:c>
      <x:c r="T485" s="18" t="n">
        <x:v>698</x:v>
      </x:c>
      <x:c r="U485" s="18" t="n">
        <x:v>671.7789823998323</x:v>
      </x:c>
      <x:c r="V485" s="20" t="n">
        <x:v>4.4</x:v>
      </x:c>
      <x:c r="W485" s="20" t="n">
        <x:v>14.3</x:v>
      </x:c>
      <x:c r="X485" s="20" t="n">
        <x:v>3.3</x:v>
      </x:c>
      <x:c r="Y485" t="str">
        <x:v>Basis arsip 2025/2024</x:v>
      </x:c>
      <x:c r="Z485" t="str">
        <x:v>https://snpmb.id/utbk-snbt/daya-tampung-snbt</x:v>
      </x:c>
      <x:c r="AA485" t="str">
        <x:v>Tidak Ada</x:v>
      </x:c>
      <x:c r="AB485" t="str">
        <x:v>Campus=55; Ratio=81.2; Prodi=65; RelDemand=100.0; Capacity=62.5</x:v>
      </x:c>
    </x:row>
    <x:row r="486">
      <x:c r="A486" t="n">
        <x:v>483</x:v>
      </x:c>
      <x:c r="B486" t="str">
        <x:v>PTN Akademik</x:v>
      </x:c>
      <x:c r="C486" t="str">
        <x:v>UNIVERSITAS NEGERI PADANG</x:v>
      </x:c>
      <x:c r="D486" t="str">
        <x:v>EKONOMI PEMBANGUNAN (NK)</x:v>
      </x:c>
      <x:c r="E486" t="str">
        <x:v>Sarjana</x:v>
      </x:c>
      <x:c r="F486" s="18" t="n">
        <x:v>64</x:v>
      </x:c>
      <x:c r="G486" s="18" t="n">
        <x:v>491</x:v>
      </x:c>
      <x:c r="H486" s="19" t="n">
        <x:v>7.671875</x:v>
      </x:c>
      <x:c r="I486" s="18" t="n">
        <x:f>ROUND(MIN(Model_Config_v3!$B$6,MAX(Q486,R486,S486*Model_Config_v3!$B$4+T486*Model_Config_v3!$B$5)),0)</x:f>
        <x:v>652</x:v>
      </x:c>
      <x:c r="J486" s="18" t="n">
        <x:f>MIN(Model_Config_v3!$B$6,I486+Model_Config_v3!$B$7)</x:f>
        <x:v>672</x:v>
      </x:c>
      <x:c r="K486" s="20" t="n">
        <x:v>53.4</x:v>
      </x:c>
      <x:c r="L486" t="str">
        <x:v>MENENGAH</x:v>
      </x:c>
      <x:c r="M486" t="str">
        <x:v>SEDANG+</x:v>
      </x:c>
      <x:c r="N486" t="str">
        <x:v>REGULER</x:v>
      </x:c>
      <x:c r="O486" t="str">
        <x:v>SOSHUM</x:v>
      </x:c>
      <x:c r="P486" t="str">
        <x:v>BISNIS/EKONOMI/AKUNTANSI</x:v>
      </x:c>
      <x:c r="Q486" s="18" t="n">
        <x:v>0</x:v>
      </x:c>
      <x:c r="R486" s="18" t="n">
        <x:v>0</x:v>
      </x:c>
      <x:c r="S486" s="18" t="n">
        <x:v>617.3391669952989</x:v>
      </x:c>
      <x:c r="T486" s="18" t="n">
        <x:v>667</x:v>
      </x:c>
      <x:c r="U486" s="18" t="n">
        <x:v>617.3391669952989</x:v>
      </x:c>
      <x:c r="V486" s="20" t="n">
        <x:v>4.4</x:v>
      </x:c>
      <x:c r="W486" s="20" t="n">
        <x:v>14.3</x:v>
      </x:c>
      <x:c r="X486" s="20" t="n">
        <x:v>3.3</x:v>
      </x:c>
      <x:c r="Y486" t="str">
        <x:v>Basis arsip 2025/2024</x:v>
      </x:c>
      <x:c r="Z486" t="str">
        <x:v>https://snpmb.id/utbk-snbt/daya-tampung-snbt</x:v>
      </x:c>
      <x:c r="AA486" t="str">
        <x:v>Tidak Ada</x:v>
      </x:c>
      <x:c r="AB486" t="str">
        <x:v>Campus=55; Ratio=52.1; Prodi=65; RelDemand=34.5; Capacity=46.7</x:v>
      </x:c>
    </x:row>
    <x:row r="487">
      <x:c r="A487" t="n">
        <x:v>484</x:v>
      </x:c>
      <x:c r="B487" t="str">
        <x:v>PTN Akademik</x:v>
      </x:c>
      <x:c r="C487" t="str">
        <x:v>UNIVERSITAS NEGERI PADANG</x:v>
      </x:c>
      <x:c r="D487" t="str">
        <x:v>PENDD. KESEJAHTERAAN KELUARGA</x:v>
      </x:c>
      <x:c r="E487" t="str">
        <x:v>Sarjana</x:v>
      </x:c>
      <x:c r="F487" s="18" t="n">
        <x:v>48</x:v>
      </x:c>
      <x:c r="G487" s="18" t="n">
        <x:v>275</x:v>
      </x:c>
      <x:c r="H487" s="19" t="n">
        <x:v>5.729166666666667</x:v>
      </x:c>
      <x:c r="I487" s="18" t="n">
        <x:f>ROUND(MIN(Model_Config_v3!$B$6,MAX(Q487,R487,S487*Model_Config_v3!$B$4+T487*Model_Config_v3!$B$5)),0)</x:f>
        <x:v>639</x:v>
      </x:c>
      <x:c r="J487" s="18" t="n">
        <x:f>MIN(Model_Config_v3!$B$6,I487+Model_Config_v3!$B$7)</x:f>
        <x:v>659</x:v>
      </x:c>
      <x:c r="K487" s="20" t="n">
        <x:v>47</x:v>
      </x:c>
      <x:c r="L487" t="str">
        <x:v>MENENGAH</x:v>
      </x:c>
      <x:c r="M487" t="str">
        <x:v>SEDANG</x:v>
      </x:c>
      <x:c r="N487" t="str">
        <x:v>REGULER</x:v>
      </x:c>
      <x:c r="O487" t="str">
        <x:v>CAMPURAN</x:v>
      </x:c>
      <x:c r="P487" t="str">
        <x:v>UMUM</x:v>
      </x:c>
      <x:c r="Q487" s="18" t="n">
        <x:v>0</x:v>
      </x:c>
      <x:c r="R487" s="18" t="n">
        <x:v>0</x:v>
      </x:c>
      <x:c r="S487" s="18" t="n">
        <x:v>603.3900602100143</x:v>
      </x:c>
      <x:c r="T487" s="18" t="n">
        <x:v>654</x:v>
      </x:c>
      <x:c r="U487" s="18" t="n">
        <x:v>603.3900602100143</x:v>
      </x:c>
      <x:c r="V487" s="20" t="n">
        <x:v>8.8</x:v>
      </x:c>
      <x:c r="W487" s="20" t="n">
        <x:v>9.9</x:v>
      </x:c>
      <x:c r="X487" s="20" t="n">
        <x:v>3.3</x:v>
      </x:c>
      <x:c r="Y487" t="str">
        <x:v>Basis arsip 2025/2024</x:v>
      </x:c>
      <x:c r="Z487" t="str">
        <x:v>https://snpmb.id/utbk-snbt/daya-tampung-snbt</x:v>
      </x:c>
      <x:c r="AA487" t="str">
        <x:v>Tidak Ada</x:v>
      </x:c>
      <x:c r="AB487" t="str">
        <x:v>Campus=55; Ratio=44.6; Prodi=40; RelDemand=25.8; Capacity=60.0</x:v>
      </x:c>
    </x:row>
    <x:row r="488">
      <x:c r="A488" t="n">
        <x:v>485</x:v>
      </x:c>
      <x:c r="B488" t="str">
        <x:v>PTN Akademik</x:v>
      </x:c>
      <x:c r="C488" t="str">
        <x:v>UNIVERSITAS NEGERI PADANG</x:v>
      </x:c>
      <x:c r="D488" t="str">
        <x:v>PENDIDIKAN JASMANI, KESEHATAN, DAN REKREASI</x:v>
      </x:c>
      <x:c r="E488" t="str">
        <x:v>Sarjana</x:v>
      </x:c>
      <x:c r="F488" s="18" t="n">
        <x:v>160</x:v>
      </x:c>
      <x:c r="G488" s="18" t="n">
        <x:v>573</x:v>
      </x:c>
      <x:c r="H488" s="19" t="n">
        <x:v>3.58125</x:v>
      </x:c>
      <x:c r="I488" s="18" t="n">
        <x:f>ROUND(MIN(Model_Config_v3!$B$6,MAX(Q488,R488,S488*Model_Config_v3!$B$4+T488*Model_Config_v3!$B$5)),0)</x:f>
        <x:v>619</x:v>
      </x:c>
      <x:c r="J488" s="18" t="n">
        <x:f>MIN(Model_Config_v3!$B$6,I488+Model_Config_v3!$B$7)</x:f>
        <x:v>639</x:v>
      </x:c>
      <x:c r="K488" s="20" t="n">
        <x:v>38</x:v>
      </x:c>
      <x:c r="L488" t="str">
        <x:v>RELATIF LONGGAR</x:v>
      </x:c>
      <x:c r="M488" t="str">
        <x:v>PORTOFOLIO</x:v>
      </x:c>
      <x:c r="N488" t="str">
        <x:v>REGULER</x:v>
      </x:c>
      <x:c r="O488" t="str">
        <x:v>SENI/OLAHRAGA</x:v>
      </x:c>
      <x:c r="P488" t="str">
        <x:v>SENI/OLAHRAGA</x:v>
      </x:c>
      <x:c r="Q488" s="18" t="n">
        <x:v>0</x:v>
      </x:c>
      <x:c r="R488" s="18" t="n">
        <x:v>0</x:v>
      </x:c>
      <x:c r="S488" s="18" t="n">
        <x:v>580.9438103242612</x:v>
      </x:c>
      <x:c r="T488" s="18" t="n">
        <x:v>636</x:v>
      </x:c>
      <x:c r="U488" s="18" t="n">
        <x:v>580.9438103242612</x:v>
      </x:c>
      <x:c r="V488" s="20" t="n">
        <x:v>4.4</x:v>
      </x:c>
      <x:c r="W488" s="20" t="n">
        <x:v>9.9</x:v>
      </x:c>
      <x:c r="X488" s="20" t="n">
        <x:v>7.7</x:v>
      </x:c>
      <x:c r="Y488" t="str">
        <x:v>Basis arsip 2025/2024</x:v>
      </x:c>
      <x:c r="Z488" t="str">
        <x:v>https://snpmb.id/utbk-snbt/daya-tampung-snbt</x:v>
      </x:c>
      <x:c r="AA488" t="str">
        <x:v>Olahraga</x:v>
      </x:c>
      <x:c r="AB488" t="str">
        <x:v>Campus=55; Ratio=32.6; Prodi=45; RelDemand=16.1; Capacity=0.0</x:v>
      </x:c>
    </x:row>
    <x:row r="489">
      <x:c r="A489" t="n">
        <x:v>486</x:v>
      </x:c>
      <x:c r="B489" t="str">
        <x:v>PTN Akademik</x:v>
      </x:c>
      <x:c r="C489" t="str">
        <x:v>UNIVERSITAS NEGERI PADANG</x:v>
      </x:c>
      <x:c r="D489" t="str">
        <x:v>PENDD. KEPELATIHAN OLAHRAGA</x:v>
      </x:c>
      <x:c r="E489" t="str">
        <x:v>Sarjana</x:v>
      </x:c>
      <x:c r="F489" s="18" t="n">
        <x:v>128</x:v>
      </x:c>
      <x:c r="G489" s="18" t="n">
        <x:v>415</x:v>
      </x:c>
      <x:c r="H489" s="19" t="n">
        <x:v>3.2421875</x:v>
      </x:c>
      <x:c r="I489" s="18" t="n">
        <x:f>ROUND(MIN(Model_Config_v3!$B$6,MAX(Q489,R489,S489*Model_Config_v3!$B$4+T489*Model_Config_v3!$B$5)),0)</x:f>
        <x:v>617</x:v>
      </x:c>
      <x:c r="J489" s="18" t="n">
        <x:f>MIN(Model_Config_v3!$B$6,I489+Model_Config_v3!$B$7)</x:f>
        <x:v>637</x:v>
      </x:c>
      <x:c r="K489" s="20" t="n">
        <x:v>37.2</x:v>
      </x:c>
      <x:c r="L489" t="str">
        <x:v>RELATIF LONGGAR</x:v>
      </x:c>
      <x:c r="M489" t="str">
        <x:v>PORTOFOLIO</x:v>
      </x:c>
      <x:c r="N489" t="str">
        <x:v>REGULER</x:v>
      </x:c>
      <x:c r="O489" t="str">
        <x:v>SENI/OLAHRAGA</x:v>
      </x:c>
      <x:c r="P489" t="str">
        <x:v>SENI/OLAHRAGA</x:v>
      </x:c>
      <x:c r="Q489" s="18" t="n">
        <x:v>0</x:v>
      </x:c>
      <x:c r="R489" s="18" t="n">
        <x:v>0</x:v>
      </x:c>
      <x:c r="S489" s="18" t="n">
        <x:v>576.1921939770647</x:v>
      </x:c>
      <x:c r="T489" s="18" t="n">
        <x:v>634</x:v>
      </x:c>
      <x:c r="U489" s="18" t="n">
        <x:v>576.1921939770647</x:v>
      </x:c>
      <x:c r="V489" s="20" t="n">
        <x:v>4.4</x:v>
      </x:c>
      <x:c r="W489" s="20" t="n">
        <x:v>9.9</x:v>
      </x:c>
      <x:c r="X489" s="20" t="n">
        <x:v>7.7</x:v>
      </x:c>
      <x:c r="Y489" t="str">
        <x:v>Basis arsip 2025/2024</x:v>
      </x:c>
      <x:c r="Z489" t="str">
        <x:v>https://snpmb.id/utbk-snbt/daya-tampung-snbt</x:v>
      </x:c>
      <x:c r="AA489" t="str">
        <x:v>Olahraga</x:v>
      </x:c>
      <x:c r="AB489" t="str">
        <x:v>Campus=55; Ratio=30.1; Prodi=45; RelDemand=14.6; Capacity=0.0</x:v>
      </x:c>
    </x:row>
    <x:row r="490">
      <x:c r="A490" t="n">
        <x:v>487</x:v>
      </x:c>
      <x:c r="B490" t="str">
        <x:v>PTN Akademik</x:v>
      </x:c>
      <x:c r="C490" t="str">
        <x:v>UNIVERSITAS NEGERI PADANG</x:v>
      </x:c>
      <x:c r="D490" t="str">
        <x:v>GEOGRAFI (NK)</x:v>
      </x:c>
      <x:c r="E490" t="str">
        <x:v>Sarjana</x:v>
      </x:c>
      <x:c r="F490" s="18" t="n">
        <x:v>48</x:v>
      </x:c>
      <x:c r="G490" s="18" t="n">
        <x:v>193</x:v>
      </x:c>
      <x:c r="H490" s="19" t="n">
        <x:v>4.020833333333333</x:v>
      </x:c>
      <x:c r="I490" s="18" t="n">
        <x:f>ROUND(MIN(Model_Config_v3!$B$6,MAX(Q490,R490,S490*Model_Config_v3!$B$4+T490*Model_Config_v3!$B$5)),0)</x:f>
        <x:v>630</x:v>
      </x:c>
      <x:c r="J490" s="18" t="n">
        <x:f>MIN(Model_Config_v3!$B$6,I490+Model_Config_v3!$B$7)</x:f>
        <x:v>650</x:v>
      </x:c>
      <x:c r="K490" s="20" t="n">
        <x:v>44</x:v>
      </x:c>
      <x:c r="L490" t="str">
        <x:v>RELATIF LONGGAR</x:v>
      </x:c>
      <x:c r="M490" t="str">
        <x:v>SEDANG</x:v>
      </x:c>
      <x:c r="N490" t="str">
        <x:v>REGULER</x:v>
      </x:c>
      <x:c r="O490" t="str">
        <x:v>CAMPURAN</x:v>
      </x:c>
      <x:c r="P490" t="str">
        <x:v>UMUM</x:v>
      </x:c>
      <x:c r="Q490" s="18" t="n">
        <x:v>0</x:v>
      </x:c>
      <x:c r="R490" s="18" t="n">
        <x:v>0</x:v>
      </x:c>
      <x:c r="S490" s="18" t="n">
        <x:v>586.4747678795405</x:v>
      </x:c>
      <x:c r="T490" s="18" t="n">
        <x:v>648</x:v>
      </x:c>
      <x:c r="U490" s="18" t="n">
        <x:v>586.4747678795405</x:v>
      </x:c>
      <x:c r="V490" s="20" t="n">
        <x:v>8.8</x:v>
      </x:c>
      <x:c r="W490" s="20" t="n">
        <x:v>9.9</x:v>
      </x:c>
      <x:c r="X490" s="20" t="n">
        <x:v>3.3</x:v>
      </x:c>
      <x:c r="Y490" t="str">
        <x:v>Basis arsip 2025/2024</x:v>
      </x:c>
      <x:c r="Z490" t="str">
        <x:v>https://snpmb.id/utbk-snbt/daya-tampung-snbt</x:v>
      </x:c>
      <x:c r="AA490" t="str">
        <x:v>Tidak Ada</x:v>
      </x:c>
      <x:c r="AB490" t="str">
        <x:v>Campus=55; Ratio=35.6; Prodi=40; RelDemand=18.1; Capacity=60.0</x:v>
      </x:c>
    </x:row>
    <x:row r="491">
      <x:c r="A491" t="n">
        <x:v>488</x:v>
      </x:c>
      <x:c r="B491" t="str">
        <x:v>PTN Akademik</x:v>
      </x:c>
      <x:c r="C491" t="str">
        <x:v>UNIVERSITAS NEGERI PADANG</x:v>
      </x:c>
      <x:c r="D491" t="str">
        <x:v>DESAIN KOMUNIKASI VISUAL</x:v>
      </x:c>
      <x:c r="E491" t="str">
        <x:v>Sarjana</x:v>
      </x:c>
      <x:c r="F491" s="18" t="n">
        <x:v>64</x:v>
      </x:c>
      <x:c r="G491" s="18" t="n">
        <x:v>275</x:v>
      </x:c>
      <x:c r="H491" s="19" t="n">
        <x:v>4.296875</x:v>
      </x:c>
      <x:c r="I491" s="18" t="n">
        <x:f>ROUND(MIN(Model_Config_v3!$B$6,MAX(Q491,R491,S491*Model_Config_v3!$B$4+T491*Model_Config_v3!$B$5)),0)</x:f>
        <x:v>630</x:v>
      </x:c>
      <x:c r="J491" s="18" t="n">
        <x:f>MIN(Model_Config_v3!$B$6,I491+Model_Config_v3!$B$7)</x:f>
        <x:v>650</x:v>
      </x:c>
      <x:c r="K491" s="20" t="n">
        <x:v>44.2</x:v>
      </x:c>
      <x:c r="L491" t="str">
        <x:v>RELATIF LONGGAR</x:v>
      </x:c>
      <x:c r="M491" t="str">
        <x:v>PORTOFOLIO</x:v>
      </x:c>
      <x:c r="N491" t="str">
        <x:v>REGULER</x:v>
      </x:c>
      <x:c r="O491" t="str">
        <x:v>SENI/OLAHRAGA</x:v>
      </x:c>
      <x:c r="P491" t="str">
        <x:v>SENI/OLAHRAGA</x:v>
      </x:c>
      <x:c r="Q491" s="18" t="n">
        <x:v>0</x:v>
      </x:c>
      <x:c r="R491" s="18" t="n">
        <x:v>0</x:v>
      </x:c>
      <x:c r="S491" s="18" t="n">
        <x:v>589.6467991831013</x:v>
      </x:c>
      <x:c r="T491" s="18" t="n">
        <x:v>648</x:v>
      </x:c>
      <x:c r="U491" s="18" t="n">
        <x:v>589.6467991831013</x:v>
      </x:c>
      <x:c r="V491" s="20" t="n">
        <x:v>4.4</x:v>
      </x:c>
      <x:c r="W491" s="20" t="n">
        <x:v>9.9</x:v>
      </x:c>
      <x:c r="X491" s="20" t="n">
        <x:v>7.7</x:v>
      </x:c>
      <x:c r="Y491" t="str">
        <x:v>Basis arsip 2025/2024</x:v>
      </x:c>
      <x:c r="Z491" t="str">
        <x:v>https://snpmb.id/utbk-snbt/daya-tampung-snbt</x:v>
      </x:c>
      <x:c r="AA491" t="str">
        <x:v>Seni Rupa, Desain, dan Kriya</x:v>
      </x:c>
      <x:c r="AB491" t="str">
        <x:v>Campus=55; Ratio=37.3; Prodi=45; RelDemand=19.3; Capacity=46.7</x:v>
      </x:c>
    </x:row>
    <x:row r="492">
      <x:c r="A492" t="n">
        <x:v>489</x:v>
      </x:c>
      <x:c r="B492" t="str">
        <x:v>PTN Akademik</x:v>
      </x:c>
      <x:c r="C492" t="str">
        <x:v>UNIVERSITAS NEGERI PADANG</x:v>
      </x:c>
      <x:c r="D492" t="str">
        <x:v>PENDIDIKAN BAHASA JEPANG</x:v>
      </x:c>
      <x:c r="E492" t="str">
        <x:v>Sarjana</x:v>
      </x:c>
      <x:c r="F492" s="18" t="n">
        <x:v>36</x:v>
      </x:c>
      <x:c r="G492" s="18" t="n">
        <x:v>117</x:v>
      </x:c>
      <x:c r="H492" s="19" t="n">
        <x:v>3.25</x:v>
      </x:c>
      <x:c r="I492" s="18" t="n">
        <x:f>ROUND(MIN(Model_Config_v3!$B$6,MAX(Q492,R492,S492*Model_Config_v3!$B$4+T492*Model_Config_v3!$B$5)),0)</x:f>
        <x:v>626</x:v>
      </x:c>
      <x:c r="J492" s="18" t="n">
        <x:f>MIN(Model_Config_v3!$B$6,I492+Model_Config_v3!$B$7)</x:f>
        <x:v>646</x:v>
      </x:c>
      <x:c r="K492" s="20" t="n">
        <x:v>44.2</x:v>
      </x:c>
      <x:c r="L492" t="str">
        <x:v>RELATIF LONGGAR</x:v>
      </x:c>
      <x:c r="M492" t="str">
        <x:v>SEDANG+</x:v>
      </x:c>
      <x:c r="N492" t="str">
        <x:v>REGULER</x:v>
      </x:c>
      <x:c r="O492" t="str">
        <x:v>SOSHUM</x:v>
      </x:c>
      <x:c r="P492" t="str">
        <x:v>PENDIDIKAN</x:v>
      </x:c>
      <x:c r="Q492" s="18" t="n">
        <x:v>0</x:v>
      </x:c>
      <x:c r="R492" s="18" t="n">
        <x:v>0</x:v>
      </x:c>
      <x:c r="S492" s="18" t="n">
        <x:v>576.3071697076762</x:v>
      </x:c>
      <x:c r="T492" s="18" t="n">
        <x:v>648</x:v>
      </x:c>
      <x:c r="U492" s="18" t="n">
        <x:v>576.3071697076762</x:v>
      </x:c>
      <x:c r="V492" s="20" t="n">
        <x:v>4.4</x:v>
      </x:c>
      <x:c r="W492" s="20" t="n">
        <x:v>14.3</x:v>
      </x:c>
      <x:c r="X492" s="20" t="n">
        <x:v>3.3</x:v>
      </x:c>
      <x:c r="Y492" t="str">
        <x:v>Basis arsip 2025/2024</x:v>
      </x:c>
      <x:c r="Z492" t="str">
        <x:v>https://snpmb.id/utbk-snbt/daya-tampung-snbt</x:v>
      </x:c>
      <x:c r="AA492" t="str">
        <x:v>Tidak Ada</x:v>
      </x:c>
      <x:c r="AB492" t="str">
        <x:v>Campus=55; Ratio=30.1; Prodi=45; RelDemand=14.6; Capacity=70.0</x:v>
      </x:c>
    </x:row>
    <x:row r="493">
      <x:c r="A493" t="n">
        <x:v>490</x:v>
      </x:c>
      <x:c r="B493" t="str">
        <x:v>PTN Akademik</x:v>
      </x:c>
      <x:c r="C493" t="str">
        <x:v>UNIVERSITAS NEGERI PADANG</x:v>
      </x:c>
      <x:c r="D493" t="str">
        <x:v>PENDIDIKAN MUSIK</x:v>
      </x:c>
      <x:c r="E493" t="str">
        <x:v>Sarjana</x:v>
      </x:c>
      <x:c r="F493" s="18" t="n">
        <x:v>28</x:v>
      </x:c>
      <x:c r="G493" s="18" t="n">
        <x:v>30</x:v>
      </x:c>
      <x:c r="H493" s="19" t="n">
        <x:v>1.0714285714285714</x:v>
      </x:c>
      <x:c r="I493" s="18" t="n">
        <x:f>ROUND(MIN(Model_Config_v3!$B$6,MAX(Q493,R493,S493*Model_Config_v3!$B$4+T493*Model_Config_v3!$B$5)),0)</x:f>
        <x:v>601</x:v>
      </x:c>
      <x:c r="J493" s="18" t="n">
        <x:f>MIN(Model_Config_v3!$B$6,I493+Model_Config_v3!$B$7)</x:f>
        <x:v>621</x:v>
      </x:c>
      <x:c r="K493" s="20" t="n">
        <x:v>36.8</x:v>
      </x:c>
      <x:c r="L493" t="str">
        <x:v>RELATIF LONGGAR</x:v>
      </x:c>
      <x:c r="M493" t="str">
        <x:v>PORTOFOLIO</x:v>
      </x:c>
      <x:c r="N493" t="str">
        <x:v>REGULER</x:v>
      </x:c>
      <x:c r="O493" t="str">
        <x:v>SENI/OLAHRAGA</x:v>
      </x:c>
      <x:c r="P493" t="str">
        <x:v>SENI/OLAHRAGA</x:v>
      </x:c>
      <x:c r="Q493" s="18" t="n">
        <x:v>0</x:v>
      </x:c>
      <x:c r="R493" s="18" t="n">
        <x:v>0</x:v>
      </x:c>
      <x:c r="S493" s="18" t="n">
        <x:v>523.2959545715188</x:v>
      </x:c>
      <x:c r="T493" s="18" t="n">
        <x:v>634</x:v>
      </x:c>
      <x:c r="U493" s="18" t="n">
        <x:v>523.2959545715188</x:v>
      </x:c>
      <x:c r="V493" s="20" t="n">
        <x:v>4.4</x:v>
      </x:c>
      <x:c r="W493" s="20" t="n">
        <x:v>9.9</x:v>
      </x:c>
      <x:c r="X493" s="20" t="n">
        <x:v>7.7</x:v>
      </x:c>
      <x:c r="Y493" t="str">
        <x:v>Basis arsip 2025/2024</x:v>
      </x:c>
      <x:c r="Z493" t="str">
        <x:v>https://snpmb.id/utbk-snbt/daya-tampung-snbt</x:v>
      </x:c>
      <x:c r="AA493" t="str">
        <x:v>Musik</x:v>
      </x:c>
      <x:c r="AB493" t="str">
        <x:v>Campus=55; Ratio=1.8; Prodi=45; RelDemand=4.8; Capacity=76.7</x:v>
      </x:c>
    </x:row>
    <x:row r="494">
      <x:c r="A494" t="n">
        <x:v>491</x:v>
      </x:c>
      <x:c r="B494" t="str">
        <x:v>PTN Akademik</x:v>
      </x:c>
      <x:c r="C494" t="str">
        <x:v>UNIVERSITAS NEGERI PADANG</x:v>
      </x:c>
      <x:c r="D494" t="str">
        <x:v>PENDIDIKAN AGAMA ISLAM</x:v>
      </x:c>
      <x:c r="E494" t="str">
        <x:v>Sarjana</x:v>
      </x:c>
      <x:c r="F494" s="18" t="n">
        <x:v>56</x:v>
      </x:c>
      <x:c r="G494" s="18" t="n">
        <x:v>676</x:v>
      </x:c>
      <x:c r="H494" s="19" t="n">
        <x:v>12.071428571428571</x:v>
      </x:c>
      <x:c r="I494" s="18" t="n">
        <x:f>ROUND(MIN(Model_Config_v3!$B$6,MAX(Q494,R494,S494*Model_Config_v3!$B$4+T494*Model_Config_v3!$B$5)),0)</x:f>
        <x:v>661</x:v>
      </x:c>
      <x:c r="J494" s="18" t="n">
        <x:f>MIN(Model_Config_v3!$B$6,I494+Model_Config_v3!$B$7)</x:f>
        <x:v>681</x:v>
      </x:c>
      <x:c r="K494" s="20" t="n">
        <x:v>54.9</x:v>
      </x:c>
      <x:c r="L494" t="str">
        <x:v>MENENGAH</x:v>
      </x:c>
      <x:c r="M494" t="str">
        <x:v>SEDANG+</x:v>
      </x:c>
      <x:c r="N494" t="str">
        <x:v>REGULER</x:v>
      </x:c>
      <x:c r="O494" t="str">
        <x:v>CAMPURAN</x:v>
      </x:c>
      <x:c r="P494" t="str">
        <x:v>PENDIDIKAN</x:v>
      </x:c>
      <x:c r="Q494" s="18" t="n">
        <x:v>0</x:v>
      </x:c>
      <x:c r="R494" s="18" t="n">
        <x:v>0</x:v>
      </x:c>
      <x:c r="S494" s="18" t="n">
        <x:v>638.9934535828979</x:v>
      </x:c>
      <x:c r="T494" s="18" t="n">
        <x:v>670</x:v>
      </x:c>
      <x:c r="U494" s="18" t="n">
        <x:v>638.9934535828979</x:v>
      </x:c>
      <x:c r="V494" s="20" t="n">
        <x:v>8.8</x:v>
      </x:c>
      <x:c r="W494" s="20" t="n">
        <x:v>9.9</x:v>
      </x:c>
      <x:c r="X494" s="20" t="n">
        <x:v>3.3</x:v>
      </x:c>
      <x:c r="Y494" t="str">
        <x:v>Basis arsip 2025/2024</x:v>
      </x:c>
      <x:c r="Z494" t="str">
        <x:v>https://snpmb.id/utbk-snbt/daya-tampung-snbt</x:v>
      </x:c>
      <x:c r="AA494" t="str">
        <x:v>Tidak Ada</x:v>
      </x:c>
      <x:c r="AB494" t="str">
        <x:v>Campus=55; Ratio=63.7; Prodi=45; RelDemand=54.3; Capacity=53.3</x:v>
      </x:c>
    </x:row>
    <x:row r="495">
      <x:c r="A495" t="n">
        <x:v>492</x:v>
      </x:c>
      <x:c r="B495" t="str">
        <x:v>PTN Akademik</x:v>
      </x:c>
      <x:c r="C495" t="str">
        <x:v>UNIVERSITAS NEGERI PADANG</x:v>
      </x:c>
      <x:c r="D495" t="str">
        <x:v>PERPUSTAKAAN DAN ILMU INFORMASI</x:v>
      </x:c>
      <x:c r="E495" t="str">
        <x:v>Sarjana</x:v>
      </x:c>
      <x:c r="F495" s="18" t="n">
        <x:v>44</x:v>
      </x:c>
      <x:c r="G495" s="18" t="n">
        <x:v>427</x:v>
      </x:c>
      <x:c r="H495" s="19" t="n">
        <x:v>9.704545454545455</x:v>
      </x:c>
      <x:c r="I495" s="18" t="n">
        <x:f>ROUND(MIN(Model_Config_v3!$B$6,MAX(Q495,R495,S495*Model_Config_v3!$B$4+T495*Model_Config_v3!$B$5)),0)</x:f>
        <x:v>654</x:v>
      </x:c>
      <x:c r="J495" s="18" t="n">
        <x:f>MIN(Model_Config_v3!$B$6,I495+Model_Config_v3!$B$7)</x:f>
        <x:v>674</x:v>
      </x:c>
      <x:c r="K495" s="20" t="n">
        <x:v>52.5</x:v>
      </x:c>
      <x:c r="L495" t="str">
        <x:v>MENENGAH</x:v>
      </x:c>
      <x:c r="M495" t="str">
        <x:v>SEDANG</x:v>
      </x:c>
      <x:c r="N495" t="str">
        <x:v>REGULER</x:v>
      </x:c>
      <x:c r="O495" t="str">
        <x:v>CAMPURAN</x:v>
      </x:c>
      <x:c r="P495" t="str">
        <x:v>UMUM</x:v>
      </x:c>
      <x:c r="Q495" s="18" t="n">
        <x:v>0</x:v>
      </x:c>
      <x:c r="R495" s="18" t="n">
        <x:v>0</x:v>
      </x:c>
      <x:c r="S495" s="18" t="n">
        <x:v>628.567271839272</x:v>
      </x:c>
      <x:c r="T495" s="18" t="n">
        <x:v>665</x:v>
      </x:c>
      <x:c r="U495" s="18" t="n">
        <x:v>628.567271839272</x:v>
      </x:c>
      <x:c r="V495" s="20" t="n">
        <x:v>8.8</x:v>
      </x:c>
      <x:c r="W495" s="20" t="n">
        <x:v>9.9</x:v>
      </x:c>
      <x:c r="X495" s="20" t="n">
        <x:v>3.3</x:v>
      </x:c>
      <x:c r="Y495" t="str">
        <x:v>Basis arsip 2025/2024</x:v>
      </x:c>
      <x:c r="Z495" t="str">
        <x:v>https://snpmb.id/utbk-snbt/daya-tampung-snbt</x:v>
      </x:c>
      <x:c r="AA495" t="str">
        <x:v>Tidak Ada</x:v>
      </x:c>
      <x:c r="AB495" t="str">
        <x:v>Campus=55; Ratio=58.1; Prodi=40; RelDemand=43.7; Capacity=63.3</x:v>
      </x:c>
    </x:row>
    <x:row r="496">
      <x:c r="A496" t="n">
        <x:v>493</x:v>
      </x:c>
      <x:c r="B496" t="str">
        <x:v>PTN Akademik</x:v>
      </x:c>
      <x:c r="C496" t="str">
        <x:v>UNIVERSITAS NEGERI PADANG</x:v>
      </x:c>
      <x:c r="D496" t="str">
        <x:v>PENDIDIKAN TARI</x:v>
      </x:c>
      <x:c r="E496" t="str">
        <x:v>Sarjana</x:v>
      </x:c>
      <x:c r="F496" s="18" t="n">
        <x:v>30</x:v>
      </x:c>
      <x:c r="G496" s="18" t="n">
        <x:v>67</x:v>
      </x:c>
      <x:c r="H496" s="19" t="n">
        <x:v>2.2333333333333334</x:v>
      </x:c>
      <x:c r="I496" s="18" t="n">
        <x:f>ROUND(MIN(Model_Config_v3!$B$6,MAX(Q496,R496,S496*Model_Config_v3!$B$4+T496*Model_Config_v3!$B$5)),0)</x:f>
        <x:v>618</x:v>
      </x:c>
      <x:c r="J496" s="18" t="n">
        <x:f>MIN(Model_Config_v3!$B$6,I496+Model_Config_v3!$B$7)</x:f>
        <x:v>638</x:v>
      </x:c>
      <x:c r="K496" s="20" t="n">
        <x:v>41.9</x:v>
      </x:c>
      <x:c r="L496" t="str">
        <x:v>RELATIF LONGGAR</x:v>
      </x:c>
      <x:c r="M496" t="str">
        <x:v>PORTOFOLIO</x:v>
      </x:c>
      <x:c r="N496" t="str">
        <x:v>REGULER</x:v>
      </x:c>
      <x:c r="O496" t="str">
        <x:v>SENI/OLAHRAGA</x:v>
      </x:c>
      <x:c r="P496" t="str">
        <x:v>SENI/OLAHRAGA</x:v>
      </x:c>
      <x:c r="Q496" s="18" t="n">
        <x:v>0</x:v>
      </x:c>
      <x:c r="R496" s="18" t="n">
        <x:v>0</x:v>
      </x:c>
      <x:c r="S496" s="18" t="n">
        <x:v>558.384890277928</x:v>
      </x:c>
      <x:c r="T496" s="18" t="n">
        <x:v>644</x:v>
      </x:c>
      <x:c r="U496" s="18" t="n">
        <x:v>558.384890277928</x:v>
      </x:c>
      <x:c r="V496" s="20" t="n">
        <x:v>4.4</x:v>
      </x:c>
      <x:c r="W496" s="20" t="n">
        <x:v>9.9</x:v>
      </x:c>
      <x:c r="X496" s="20" t="n">
        <x:v>7.7</x:v>
      </x:c>
      <x:c r="Y496" t="str">
        <x:v>Basis arsip 2025/2024</x:v>
      </x:c>
      <x:c r="Z496" t="str">
        <x:v>https://snpmb.id/utbk-snbt/daya-tampung-snbt</x:v>
      </x:c>
      <x:c r="AA496" t="str">
        <x:v>Tari</x:v>
      </x:c>
      <x:c r="AB496" t="str">
        <x:v>Campus=55; Ratio=20.5; Prodi=45; RelDemand=10.0; Capacity=75.0</x:v>
      </x:c>
    </x:row>
    <x:row r="497">
      <x:c r="A497" t="n">
        <x:v>494</x:v>
      </x:c>
      <x:c r="B497" t="str">
        <x:v>PTN Akademik</x:v>
      </x:c>
      <x:c r="C497" t="str">
        <x:v>UNIVERSITAS NEGERI PADANG</x:v>
      </x:c>
      <x:c r="D497" t="str">
        <x:v>AGRIBISNIS (KAMPUS KABUPATEN SIJUNJUNG)</x:v>
      </x:c>
      <x:c r="E497" t="str">
        <x:v>Sarjana</x:v>
      </x:c>
      <x:c r="F497" s="18" t="n">
        <x:v>40</x:v>
      </x:c>
      <x:c r="G497" s="18" t="n">
        <x:v>89</x:v>
      </x:c>
      <x:c r="H497" s="19" t="n">
        <x:v>2.225</x:v>
      </x:c>
      <x:c r="I497" s="18" t="n">
        <x:f>ROUND(MIN(Model_Config_v3!$B$6,MAX(Q497,R497,S497*Model_Config_v3!$B$4+T497*Model_Config_v3!$B$5)),0)</x:f>
        <x:v>622</x:v>
      </x:c>
      <x:c r="J497" s="18" t="n">
        <x:f>MIN(Model_Config_v3!$B$6,I497+Model_Config_v3!$B$7)</x:f>
        <x:v>642</x:v>
      </x:c>
      <x:c r="K497" s="20" t="n">
        <x:v>45</x:v>
      </x:c>
      <x:c r="L497" t="str">
        <x:v>MENENGAH</x:v>
      </x:c>
      <x:c r="M497" t="str">
        <x:v>SEDANG+</x:v>
      </x:c>
      <x:c r="N497" t="str">
        <x:v>REGULER</x:v>
      </x:c>
      <x:c r="O497" t="str">
        <x:v>SOSHUM</x:v>
      </x:c>
      <x:c r="P497" t="str">
        <x:v>BISNIS/EKONOMI/AKUNTANSI</x:v>
      </x:c>
      <x:c r="Q497" s="18" t="n">
        <x:v>0</x:v>
      </x:c>
      <x:c r="R497" s="18" t="n">
        <x:v>0</x:v>
      </x:c>
      <x:c r="S497" s="18" t="n">
        <x:v>558.2063016848646</x:v>
      </x:c>
      <x:c r="T497" s="18" t="n">
        <x:v>650</x:v>
      </x:c>
      <x:c r="U497" s="18" t="n">
        <x:v>573.2063016848646</x:v>
      </x:c>
      <x:c r="V497" s="20" t="n">
        <x:v>4.4</x:v>
      </x:c>
      <x:c r="W497" s="20" t="n">
        <x:v>14.3</x:v>
      </x:c>
      <x:c r="X497" s="20" t="n">
        <x:v>3.3</x:v>
      </x:c>
      <x:c r="Y497" t="str">
        <x:v>Basis arsip 2025/2024</x:v>
      </x:c>
      <x:c r="Z497" t="str">
        <x:v>https://snpmb.id/utbk-snbt/daya-tampung-snbt</x:v>
      </x:c>
      <x:c r="AA497" t="str">
        <x:v>Tidak Ada</x:v>
      </x:c>
      <x:c r="AB497" t="str">
        <x:v>Campus=55; Ratio=20.4; Prodi=65; RelDemand=10.0; Capacity=66.7</x:v>
      </x:c>
    </x:row>
    <x:row r="498">
      <x:c r="A498" t="n">
        <x:v>495</x:v>
      </x:c>
      <x:c r="B498" t="str">
        <x:v>PTN Akademik</x:v>
      </x:c>
      <x:c r="C498" t="str">
        <x:v>UNIVERSITAS NEGERI PADANG</x:v>
      </x:c>
      <x:c r="D498" t="str">
        <x:v>AGROTEKNOLOGI (KAMPUS KABUPATEN SIJUNJUNG)</x:v>
      </x:c>
      <x:c r="E498" t="str">
        <x:v>Sarjana</x:v>
      </x:c>
      <x:c r="F498" s="18" t="n">
        <x:v>40</x:v>
      </x:c>
      <x:c r="G498" s="18" t="n">
        <x:v>68</x:v>
      </x:c>
      <x:c r="H498" s="19" t="n">
        <x:v>1.7</x:v>
      </x:c>
      <x:c r="I498" s="18" t="n">
        <x:f>ROUND(MIN(Model_Config_v3!$B$6,MAX(Q498,R498,S498*Model_Config_v3!$B$4+T498*Model_Config_v3!$B$5)),0)</x:f>
        <x:v>609</x:v>
      </x:c>
      <x:c r="J498" s="18" t="n">
        <x:f>MIN(Model_Config_v3!$B$6,I498+Model_Config_v3!$B$7)</x:f>
        <x:v>629</x:v>
      </x:c>
      <x:c r="K498" s="20" t="n">
        <x:v>38.1</x:v>
      </x:c>
      <x:c r="L498" t="str">
        <x:v>RELATIF LONGGAR</x:v>
      </x:c>
      <x:c r="M498" t="str">
        <x:v>SEDANG</x:v>
      </x:c>
      <x:c r="N498" t="str">
        <x:v>REGULER</x:v>
      </x:c>
      <x:c r="O498" t="str">
        <x:v>SAINTEK</x:v>
      </x:c>
      <x:c r="P498" t="str">
        <x:v>UMUM</x:v>
      </x:c>
      <x:c r="Q498" s="18" t="n">
        <x:v>0</x:v>
      </x:c>
      <x:c r="R498" s="18" t="n">
        <x:v>0</x:v>
      </x:c>
      <x:c r="S498" s="18" t="n">
        <x:v>545.3493813516101</x:v>
      </x:c>
      <x:c r="T498" s="18" t="n">
        <x:v>636</x:v>
      </x:c>
      <x:c r="U498" s="18" t="n">
        <x:v>545.3493813516101</x:v>
      </x:c>
      <x:c r="V498" s="20" t="n">
        <x:v>12</x:v>
      </x:c>
      <x:c r="W498" s="20" t="n">
        <x:v>5</x:v>
      </x:c>
      <x:c r="X498" s="20" t="n">
        <x:v>3</x:v>
      </x:c>
      <x:c r="Y498" t="str">
        <x:v>Basis arsip 2025/2024</x:v>
      </x:c>
      <x:c r="Z498" t="str">
        <x:v>https://snpmb.id/utbk-snbt/daya-tampung-snbt</x:v>
      </x:c>
      <x:c r="AA498" t="str">
        <x:v>Tidak Ada</x:v>
      </x:c>
      <x:c r="AB498" t="str">
        <x:v>Campus=55; Ratio=13.6; Prodi=40; RelDemand=7.6; Capacity=66.7</x:v>
      </x:c>
    </x:row>
    <x:row r="499">
      <x:c r="A499" t="n">
        <x:v>496</x:v>
      </x:c>
      <x:c r="B499" t="str">
        <x:v>PTN Akademik</x:v>
      </x:c>
      <x:c r="C499" t="str">
        <x:v>UNIVERSITAS NEGERI PADANG</x:v>
      </x:c>
      <x:c r="D499" t="str">
        <x:v>PETERNAKAN (KAMPUS KABUPATEN SIJUNJUNG)</x:v>
      </x:c>
      <x:c r="E499" t="str">
        <x:v>Sarjana</x:v>
      </x:c>
      <x:c r="F499" s="18" t="n">
        <x:v>20</x:v>
      </x:c>
      <x:c r="G499" s="18" t="n">
        <x:v>46</x:v>
      </x:c>
      <x:c r="H499" s="19" t="n">
        <x:v>2.3</x:v>
      </x:c>
      <x:c r="I499" s="18" t="n">
        <x:f>ROUND(MIN(Model_Config_v3!$B$6,MAX(Q499,R499,S499*Model_Config_v3!$B$4+T499*Model_Config_v3!$B$5)),0)</x:f>
        <x:v>619</x:v>
      </x:c>
      <x:c r="J499" s="18" t="n">
        <x:f>MIN(Model_Config_v3!$B$6,I499+Model_Config_v3!$B$7)</x:f>
        <x:v>639</x:v>
      </x:c>
      <x:c r="K499" s="20" t="n">
        <x:v>41.9</x:v>
      </x:c>
      <x:c r="L499" t="str">
        <x:v>RELATIF LONGGAR</x:v>
      </x:c>
      <x:c r="M499" t="str">
        <x:v>SEDANG</x:v>
      </x:c>
      <x:c r="N499" t="str">
        <x:v>REGULER</x:v>
      </x:c>
      <x:c r="O499" t="str">
        <x:v>SAINTEK</x:v>
      </x:c>
      <x:c r="P499" t="str">
        <x:v>UMUM</x:v>
      </x:c>
      <x:c r="Q499" s="18" t="n">
        <x:v>0</x:v>
      </x:c>
      <x:c r="R499" s="18" t="n">
        <x:v>0</x:v>
      </x:c>
      <x:c r="S499" s="18" t="n">
        <x:v>559.7900619619352</x:v>
      </x:c>
      <x:c r="T499" s="18" t="n">
        <x:v>644</x:v>
      </x:c>
      <x:c r="U499" s="18" t="n">
        <x:v>559.7900619619352</x:v>
      </x:c>
      <x:c r="V499" s="20" t="n">
        <x:v>12</x:v>
      </x:c>
      <x:c r="W499" s="20" t="n">
        <x:v>5</x:v>
      </x:c>
      <x:c r="X499" s="20" t="n">
        <x:v>3</x:v>
      </x:c>
      <x:c r="Y499" t="str">
        <x:v>Basis arsip 2025/2024</x:v>
      </x:c>
      <x:c r="Z499" t="str">
        <x:v>https://snpmb.id/utbk-snbt/daya-tampung-snbt</x:v>
      </x:c>
      <x:c r="AA499" t="str">
        <x:v>Tidak Ada</x:v>
      </x:c>
      <x:c r="AB499" t="str">
        <x:v>Campus=55; Ratio=21.3; Prodi=40; RelDemand=10.3; Capacity=83.3</x:v>
      </x:c>
    </x:row>
    <x:row r="500">
      <x:c r="A500" t="n">
        <x:v>497</x:v>
      </x:c>
      <x:c r="B500" t="str">
        <x:v>PTN Akademik</x:v>
      </x:c>
      <x:c r="C500" t="str">
        <x:v>UNIVERSITAS NEGERI PADANG</x:v>
      </x:c>
      <x:c r="D500" t="str">
        <x:v>ILMU HUKUM</x:v>
      </x:c>
      <x:c r="E500" t="str">
        <x:v>Sarjana</x:v>
      </x:c>
      <x:c r="F500" s="18" t="n">
        <x:v>56</x:v>
      </x:c>
      <x:c r="G500" s="18" t="n">
        <x:v>969</x:v>
      </x:c>
      <x:c r="H500" s="19" t="n">
        <x:v>17.303571428571427</x:v>
      </x:c>
      <x:c r="I500" s="18" t="n">
        <x:f>ROUND(MIN(Model_Config_v3!$B$6,MAX(Q500,R500,S500*Model_Config_v3!$B$4+T500*Model_Config_v3!$B$5)),0)</x:f>
        <x:v>678</x:v>
      </x:c>
      <x:c r="J500" s="18" t="n">
        <x:f>MIN(Model_Config_v3!$B$6,I500+Model_Config_v3!$B$7)</x:f>
        <x:v>698</x:v>
      </x:c>
      <x:c r="K500" s="20" t="n">
        <x:v>63.6</x:v>
      </x:c>
      <x:c r="L500" t="str">
        <x:v>KETAT</x:v>
      </x:c>
      <x:c r="M500" t="str">
        <x:v>SEDANG+</x:v>
      </x:c>
      <x:c r="N500" t="str">
        <x:v>REGULER</x:v>
      </x:c>
      <x:c r="O500" t="str">
        <x:v>SOSHUM</x:v>
      </x:c>
      <x:c r="P500" t="str">
        <x:v>HUKUM</x:v>
      </x:c>
      <x:c r="Q500" s="18" t="n">
        <x:v>0</x:v>
      </x:c>
      <x:c r="R500" s="18" t="n">
        <x:v>0</x:v>
      </x:c>
      <x:c r="S500" s="18" t="n">
        <x:v>656.1949325049021</x:v>
      </x:c>
      <x:c r="T500" s="18" t="n">
        <x:v>687</x:v>
      </x:c>
      <x:c r="U500" s="18" t="n">
        <x:v>671.1949325049021</x:v>
      </x:c>
      <x:c r="V500" s="20" t="n">
        <x:v>4.4</x:v>
      </x:c>
      <x:c r="W500" s="20" t="n">
        <x:v>14.3</x:v>
      </x:c>
      <x:c r="X500" s="20" t="n">
        <x:v>3.3</x:v>
      </x:c>
      <x:c r="Y500" t="str">
        <x:v>Basis arsip 2025/2024</x:v>
      </x:c>
      <x:c r="Z500" t="str">
        <x:v>https://snpmb.id/utbk-snbt/daya-tampung-snbt</x:v>
      </x:c>
      <x:c r="AA500" t="str">
        <x:v>Tidak Ada</x:v>
      </x:c>
      <x:c r="AB500" t="str">
        <x:v>Campus=55; Ratio=72.9; Prodi=65; RelDemand=77.8; Capacity=53.3</x:v>
      </x:c>
    </x:row>
    <x:row r="501">
      <x:c r="A501" t="n">
        <x:v>498</x:v>
      </x:c>
      <x:c r="B501" t="str">
        <x:v>PTN Akademik</x:v>
      </x:c>
      <x:c r="C501" t="str">
        <x:v>UNIVERSITAS NEGERI PADANG</x:v>
      </x:c>
      <x:c r="D501" t="str">
        <x:v>ILMU KOMUNIKASI</x:v>
      </x:c>
      <x:c r="E501" t="str">
        <x:v>Sarjana</x:v>
      </x:c>
      <x:c r="F501" s="18" t="n">
        <x:v>56</x:v>
      </x:c>
      <x:c r="G501" s="18" t="n">
        <x:v>1194</x:v>
      </x:c>
      <x:c r="H501" s="19" t="n">
        <x:v>21.321428571428573</x:v>
      </x:c>
      <x:c r="I501" s="18" t="n">
        <x:f>ROUND(MIN(Model_Config_v3!$B$6,MAX(Q501,R501,S501*Model_Config_v3!$B$4+T501*Model_Config_v3!$B$5)),0)</x:f>
        <x:v>678</x:v>
      </x:c>
      <x:c r="J501" s="18" t="n">
        <x:f>MIN(Model_Config_v3!$B$6,I501+Model_Config_v3!$B$7)</x:f>
        <x:v>698</x:v>
      </x:c>
      <x:c r="K501" s="20" t="n">
        <x:v>61.7</x:v>
      </x:c>
      <x:c r="L501" t="str">
        <x:v>KETAT</x:v>
      </x:c>
      <x:c r="M501" t="str">
        <x:v>SEDANG</x:v>
      </x:c>
      <x:c r="N501" t="str">
        <x:v>REGULER</x:v>
      </x:c>
      <x:c r="O501" t="str">
        <x:v>SOSHUM</x:v>
      </x:c>
      <x:c r="P501" t="str">
        <x:v>UMUM</x:v>
      </x:c>
      <x:c r="Q501" s="18" t="n">
        <x:v>0</x:v>
      </x:c>
      <x:c r="R501" s="18" t="n">
        <x:v>0</x:v>
      </x:c>
      <x:c r="S501" s="18" t="n">
        <x:v>666.1697929765865</x:v>
      </x:c>
      <x:c r="T501" s="18" t="n">
        <x:v>683</x:v>
      </x:c>
      <x:c r="U501" s="18" t="n">
        <x:v>666.1697929765865</x:v>
      </x:c>
      <x:c r="V501" s="20" t="n">
        <x:v>4.4</x:v>
      </x:c>
      <x:c r="W501" s="20" t="n">
        <x:v>14.3</x:v>
      </x:c>
      <x:c r="X501" s="20" t="n">
        <x:v>3.3</x:v>
      </x:c>
      <x:c r="Y501" t="str">
        <x:v>Basis arsip 2025/2024</x:v>
      </x:c>
      <x:c r="Z501" t="str">
        <x:v>https://snpmb.id/utbk-snbt/daya-tampung-snbt</x:v>
      </x:c>
      <x:c r="AA501" t="str">
        <x:v>Tidak Ada</x:v>
      </x:c>
      <x:c r="AB501" t="str">
        <x:v>Campus=55; Ratio=78.2; Prodi=40; RelDemand=95.9; Capacity=53.3</x:v>
      </x:c>
    </x:row>
    <x:row r="502">
      <x:c r="A502" t="n">
        <x:v>499</x:v>
      </x:c>
      <x:c r="B502" t="str">
        <x:v>PTN Akademik</x:v>
      </x:c>
      <x:c r="C502" t="str">
        <x:v>UNIVERSITAS NEGERI PADANG</x:v>
      </x:c>
      <x:c r="D502" t="str">
        <x:v>TEKNIK GEOLOGI</x:v>
      </x:c>
      <x:c r="E502" t="str">
        <x:v>Sarjana</x:v>
      </x:c>
      <x:c r="F502" s="18" t="n">
        <x:v>32</x:v>
      </x:c>
      <x:c r="G502" s="18" t="n">
        <x:v>306</x:v>
      </x:c>
      <x:c r="H502" s="19" t="n">
        <x:v>9.5625</x:v>
      </x:c>
      <x:c r="I502" s="18" t="n">
        <x:f>ROUND(MIN(Model_Config_v3!$B$6,MAX(Q502,R502,S502*Model_Config_v3!$B$4+T502*Model_Config_v3!$B$5)),0)</x:f>
        <x:v>661</x:v>
      </x:c>
      <x:c r="J502" s="18" t="n">
        <x:f>MIN(Model_Config_v3!$B$6,I502+Model_Config_v3!$B$7)</x:f>
        <x:v>681</x:v>
      </x:c>
      <x:c r="K502" s="20" t="n">
        <x:v>57.3</x:v>
      </x:c>
      <x:c r="L502" t="str">
        <x:v>KETAT</x:v>
      </x:c>
      <x:c r="M502" t="str">
        <x:v>SEDANG+</x:v>
      </x:c>
      <x:c r="N502" t="str">
        <x:v>REGULER</x:v>
      </x:c>
      <x:c r="O502" t="str">
        <x:v>SAINTEK</x:v>
      </x:c>
      <x:c r="P502" t="str">
        <x:v>TEKNIK/ARSITEKTUR/STATISTIKA/AKTUARIA</x:v>
      </x:c>
      <x:c r="Q502" s="18" t="n">
        <x:v>0</x:v>
      </x:c>
      <x:c r="R502" s="18" t="n">
        <x:v>0</x:v>
      </x:c>
      <x:c r="S502" s="18" t="n">
        <x:v>627.8628592977841</x:v>
      </x:c>
      <x:c r="T502" s="18" t="n">
        <x:v>675</x:v>
      </x:c>
      <x:c r="U502" s="18" t="n">
        <x:v>637.8628592977841</x:v>
      </x:c>
      <x:c r="V502" s="20" t="n">
        <x:v>12</x:v>
      </x:c>
      <x:c r="W502" s="20" t="n">
        <x:v>5</x:v>
      </x:c>
      <x:c r="X502" s="20" t="n">
        <x:v>3</x:v>
      </x:c>
      <x:c r="Y502" t="str">
        <x:v>Basis arsip 2025/2024</x:v>
      </x:c>
      <x:c r="Z502" t="str">
        <x:v>https://snpmb.id/utbk-snbt/daya-tampung-snbt</x:v>
      </x:c>
      <x:c r="AA502" t="str">
        <x:v>Tidak Ada</x:v>
      </x:c>
      <x:c r="AB502" t="str">
        <x:v>Campus=55; Ratio=57.7; Prodi=60; RelDemand=43.0; Capacity=73.3</x:v>
      </x:c>
    </x:row>
    <x:row r="503">
      <x:c r="A503" t="n">
        <x:v>500</x:v>
      </x:c>
      <x:c r="B503" t="str">
        <x:v>PTN Akademik</x:v>
      </x:c>
      <x:c r="C503" t="str">
        <x:v>UNIVERSITAS NEGERI PADANG</x:v>
      </x:c>
      <x:c r="D503" t="str">
        <x:v>PARIWISATA</x:v>
      </x:c>
      <x:c r="E503" t="str">
        <x:v>Sarjana</x:v>
      </x:c>
      <x:c r="F503" s="18" t="n">
        <x:v>32</x:v>
      </x:c>
      <x:c r="G503" s="18" t="n">
        <x:v>623</x:v>
      </x:c>
      <x:c r="H503" s="19" t="n">
        <x:v>19.46875</x:v>
      </x:c>
      <x:c r="I503" s="18" t="n">
        <x:f>ROUND(MIN(Model_Config_v3!$B$6,MAX(Q503,R503,S503*Model_Config_v3!$B$4+T503*Model_Config_v3!$B$5)),0)</x:f>
        <x:v>678</x:v>
      </x:c>
      <x:c r="J503" s="18" t="n">
        <x:f>MIN(Model_Config_v3!$B$6,I503+Model_Config_v3!$B$7)</x:f>
        <x:v>698</x:v>
      </x:c>
      <x:c r="K503" s="20" t="n">
        <x:v>62.3</x:v>
      </x:c>
      <x:c r="L503" t="str">
        <x:v>KETAT</x:v>
      </x:c>
      <x:c r="M503" t="str">
        <x:v>SEDANG</x:v>
      </x:c>
      <x:c r="N503" t="str">
        <x:v>REGULER</x:v>
      </x:c>
      <x:c r="O503" t="str">
        <x:v>CAMPURAN</x:v>
      </x:c>
      <x:c r="P503" t="str">
        <x:v>UMUM</x:v>
      </x:c>
      <x:c r="Q503" s="18" t="n">
        <x:v>0</x:v>
      </x:c>
      <x:c r="R503" s="18" t="n">
        <x:v>0</x:v>
      </x:c>
      <x:c r="S503" s="18" t="n">
        <x:v>661.827187517319</x:v>
      </x:c>
      <x:c r="T503" s="18" t="n">
        <x:v>685</x:v>
      </x:c>
      <x:c r="U503" s="18" t="n">
        <x:v>661.827187517319</x:v>
      </x:c>
      <x:c r="V503" s="20" t="n">
        <x:v>8.8</x:v>
      </x:c>
      <x:c r="W503" s="20" t="n">
        <x:v>9.9</x:v>
      </x:c>
      <x:c r="X503" s="20" t="n">
        <x:v>3.3</x:v>
      </x:c>
      <x:c r="Y503" t="str">
        <x:v>Basis arsip 2025/2024</x:v>
      </x:c>
      <x:c r="Z503" t="str">
        <x:v>https://snpmb.id/utbk-snbt/daya-tampung-snbt</x:v>
      </x:c>
      <x:c r="AA503" t="str">
        <x:v>Tidak Ada</x:v>
      </x:c>
      <x:c r="AB503" t="str">
        <x:v>Campus=55; Ratio=75.9; Prodi=40; RelDemand=87.6; Capacity=73.3</x:v>
      </x:c>
    </x:row>
    <x:row r="504">
      <x:c r="A504" t="n">
        <x:v>501</x:v>
      </x:c>
      <x:c r="B504" t="str">
        <x:v>PTN Akademik</x:v>
      </x:c>
      <x:c r="C504" t="str">
        <x:v>UNIVERSITAS NEGERI PADANG</x:v>
      </x:c>
      <x:c r="D504" t="str">
        <x:v>TEKNIK ELEKTRO</x:v>
      </x:c>
      <x:c r="E504" t="str">
        <x:v>Sarjana</x:v>
      </x:c>
      <x:c r="F504" s="18" t="n">
        <x:v>28</x:v>
      </x:c>
      <x:c r="G504" s="18" t="n">
        <x:v>418</x:v>
      </x:c>
      <x:c r="H504" s="19" t="n">
        <x:v>14.928571428571429</x:v>
      </x:c>
      <x:c r="I504" s="18" t="n">
        <x:f>ROUND(MIN(Model_Config_v3!$B$6,MAX(Q504,R504,S504*Model_Config_v3!$B$4+T504*Model_Config_v3!$B$5)),0)</x:f>
        <x:v>675</x:v>
      </x:c>
      <x:c r="J504" s="18" t="n">
        <x:f>MIN(Model_Config_v3!$B$6,I504+Model_Config_v3!$B$7)</x:f>
        <x:v>695</x:v>
      </x:c>
      <x:c r="K504" s="20" t="n">
        <x:v>62.9</x:v>
      </x:c>
      <x:c r="L504" t="str">
        <x:v>KETAT</x:v>
      </x:c>
      <x:c r="M504" t="str">
        <x:v>SEDANG+</x:v>
      </x:c>
      <x:c r="N504" t="str">
        <x:v>REGULER</x:v>
      </x:c>
      <x:c r="O504" t="str">
        <x:v>SAINTEK</x:v>
      </x:c>
      <x:c r="P504" t="str">
        <x:v>TEKNIK/ARSITEKTUR/STATISTIKA/AKTUARIA</x:v>
      </x:c>
      <x:c r="Q504" s="18" t="n">
        <x:v>0</x:v>
      </x:c>
      <x:c r="R504" s="18" t="n">
        <x:v>0</x:v>
      </x:c>
      <x:c r="S504" s="18" t="n">
        <x:v>649.1420075476098</x:v>
      </x:c>
      <x:c r="T504" s="18" t="n">
        <x:v>686</x:v>
      </x:c>
      <x:c r="U504" s="18" t="n">
        <x:v>659.1420075476098</x:v>
      </x:c>
      <x:c r="V504" s="20" t="n">
        <x:v>12</x:v>
      </x:c>
      <x:c r="W504" s="20" t="n">
        <x:v>5</x:v>
      </x:c>
      <x:c r="X504" s="20" t="n">
        <x:v>3</x:v>
      </x:c>
      <x:c r="Y504" t="str">
        <x:v>Basis arsip 2025/2024</x:v>
      </x:c>
      <x:c r="Z504" t="str">
        <x:v>https://snpmb.id/utbk-snbt/daya-tampung-snbt</x:v>
      </x:c>
      <x:c r="AA504" t="str">
        <x:v>Tidak Ada</x:v>
      </x:c>
      <x:c r="AB504" t="str">
        <x:v>Campus=55; Ratio=69.1; Prodi=60; RelDemand=67.2; Capacity=76.7</x:v>
      </x:c>
    </x:row>
    <x:row r="505">
      <x:c r="A505" t="n">
        <x:v>502</x:v>
      </x:c>
      <x:c r="B505" t="str">
        <x:v>PTN Akademik</x:v>
      </x:c>
      <x:c r="C505" t="str">
        <x:v>UNIVERSITAS NEGERI PADANG</x:v>
      </x:c>
      <x:c r="D505" t="str">
        <x:v>BISNIS DIGITAL</x:v>
      </x:c>
      <x:c r="E505" t="str">
        <x:v>Sarjana</x:v>
      </x:c>
      <x:c r="F505" s="18" t="n">
        <x:v>56</x:v>
      </x:c>
      <x:c r="G505" s="18" t="n">
        <x:v>751</x:v>
      </x:c>
      <x:c r="H505" s="19" t="n">
        <x:v>13.410714285714286</x:v>
      </x:c>
      <x:c r="I505" s="18" t="n">
        <x:f>ROUND(MIN(Model_Config_v3!$B$6,MAX(Q505,R505,S505*Model_Config_v3!$B$4+T505*Model_Config_v3!$B$5)),0)</x:f>
        <x:v>669</x:v>
      </x:c>
      <x:c r="J505" s="18" t="n">
        <x:f>MIN(Model_Config_v3!$B$6,I505+Model_Config_v3!$B$7)</x:f>
        <x:v>689</x:v>
      </x:c>
      <x:c r="K505" s="20" t="n">
        <x:v>60.2</x:v>
      </x:c>
      <x:c r="L505" t="str">
        <x:v>KETAT</x:v>
      </x:c>
      <x:c r="M505" t="str">
        <x:v>SEDANG+</x:v>
      </x:c>
      <x:c r="N505" t="str">
        <x:v>REGULER</x:v>
      </x:c>
      <x:c r="O505" t="str">
        <x:v>SOSHUM</x:v>
      </x:c>
      <x:c r="P505" t="str">
        <x:v>BISNIS/EKONOMI/AKUNTANSI</x:v>
      </x:c>
      <x:c r="Q505" s="18" t="n">
        <x:v>0</x:v>
      </x:c>
      <x:c r="R505" s="18" t="n">
        <x:v>0</x:v>
      </x:c>
      <x:c r="S505" s="18" t="n">
        <x:v>644.0197100997765</x:v>
      </x:c>
      <x:c r="T505" s="18" t="n">
        <x:v>680</x:v>
      </x:c>
      <x:c r="U505" s="18" t="n">
        <x:v>659.0197100997765</x:v>
      </x:c>
      <x:c r="V505" s="20" t="n">
        <x:v>4.4</x:v>
      </x:c>
      <x:c r="W505" s="20" t="n">
        <x:v>14.3</x:v>
      </x:c>
      <x:c r="X505" s="20" t="n">
        <x:v>3.3</x:v>
      </x:c>
      <x:c r="Y505" t="str">
        <x:v>Basis arsip 2025/2024</x:v>
      </x:c>
      <x:c r="Z505" t="str">
        <x:v>https://snpmb.id/utbk-snbt/daya-tampung-snbt</x:v>
      </x:c>
      <x:c r="AA505" t="str">
        <x:v>Tidak Ada</x:v>
      </x:c>
      <x:c r="AB505" t="str">
        <x:v>Campus=55; Ratio=66.4; Prodi=65; RelDemand=60.3; Capacity=53.3</x:v>
      </x:c>
    </x:row>
    <x:row r="506">
      <x:c r="A506" t="n">
        <x:v>503</x:v>
      </x:c>
      <x:c r="B506" t="str">
        <x:v>PTN Akademik</x:v>
      </x:c>
      <x:c r="C506" t="str">
        <x:v>UNIVERSITAS NEGERI PADANG</x:v>
      </x:c>
      <x:c r="D506" t="str">
        <x:v>KEPERAWATAN</x:v>
      </x:c>
      <x:c r="E506" t="str">
        <x:v>Sarjana</x:v>
      </x:c>
      <x:c r="F506" s="18" t="n">
        <x:v>44</x:v>
      </x:c>
      <x:c r="G506" s="18" t="n">
        <x:v>986</x:v>
      </x:c>
      <x:c r="H506" s="19" t="n">
        <x:v>22.40909090909091</x:v>
      </x:c>
      <x:c r="I506" s="18" t="n">
        <x:f>ROUND(MIN(Model_Config_v3!$B$6,MAX(Q506,R506,S506*Model_Config_v3!$B$4+T506*Model_Config_v3!$B$5)),0)</x:f>
        <x:v>686</x:v>
      </x:c>
      <x:c r="J506" s="18" t="n">
        <x:f>MIN(Model_Config_v3!$B$6,I506+Model_Config_v3!$B$7)</x:f>
        <x:v>706</x:v>
      </x:c>
      <x:c r="K506" s="20" t="n">
        <x:v>66.5</x:v>
      </x:c>
      <x:c r="L506" t="str">
        <x:v>SANGAT KETAT</x:v>
      </x:c>
      <x:c r="M506" t="str">
        <x:v>SEDANG+</x:v>
      </x:c>
      <x:c r="N506" t="str">
        <x:v>REGULER</x:v>
      </x:c>
      <x:c r="O506" t="str">
        <x:v>SAINTEK</x:v>
      </x:c>
      <x:c r="P506" t="str">
        <x:v>KESEHAT/GIZI/KEPERAWATAN</x:v>
      </x:c>
      <x:c r="Q506" s="18" t="n">
        <x:v>0</x:v>
      </x:c>
      <x:c r="R506" s="18" t="n">
        <x:v>0</x:v>
      </x:c>
      <x:c r="S506" s="18" t="n">
        <x:v>668.5466662300526</x:v>
      </x:c>
      <x:c r="T506" s="18" t="n">
        <x:v>693</x:v>
      </x:c>
      <x:c r="U506" s="18" t="n">
        <x:v>668.5466662300526</x:v>
      </x:c>
      <x:c r="V506" s="20" t="n">
        <x:v>12</x:v>
      </x:c>
      <x:c r="W506" s="20" t="n">
        <x:v>5</x:v>
      </x:c>
      <x:c r="X506" s="20" t="n">
        <x:v>3</x:v>
      </x:c>
      <x:c r="Y506" t="str">
        <x:v>Basis arsip 2025/2024</x:v>
      </x:c>
      <x:c r="Z506" t="str">
        <x:v>https://snpmb.id/utbk-snbt/daya-tampung-snbt</x:v>
      </x:c>
      <x:c r="AA506" t="str">
        <x:v>Tidak Ada</x:v>
      </x:c>
      <x:c r="AB506" t="str">
        <x:v>Campus=55; Ratio=79.5; Prodi=55; RelDemand=100.0; Capacity=63.3</x:v>
      </x:c>
    </x:row>
    <x:row r="507">
      <x:c r="A507" t="n">
        <x:v>504</x:v>
      </x:c>
      <x:c r="B507" t="str">
        <x:v>PTN Akademik</x:v>
      </x:c>
      <x:c r="C507" t="str">
        <x:v>UNIVERSITAS NEGERI PADANG</x:v>
      </x:c>
      <x:c r="D507" t="str">
        <x:v>KEDOKTERAN</x:v>
      </x:c>
      <x:c r="E507" t="str">
        <x:v>Sarjana</x:v>
      </x:c>
      <x:c r="F507" s="18" t="n">
        <x:v>15</x:v>
      </x:c>
      <x:c r="G507" s="18" t="n">
        <x:v>1115</x:v>
      </x:c>
      <x:c r="H507" s="19" t="n">
        <x:v>74.33333333333333</x:v>
      </x:c>
      <x:c r="I507" s="18" t="n">
        <x:f>ROUND(MIN(Model_Config_v3!$B$6,MAX(Q507,R507,S507*Model_Config_v3!$B$4+T507*Model_Config_v3!$B$5)),0)</x:f>
        <x:v>726</x:v>
      </x:c>
      <x:c r="J507" s="18" t="n">
        <x:f>MIN(Model_Config_v3!$B$6,I507+Model_Config_v3!$B$7)</x:f>
        <x:v>746</x:v>
      </x:c>
      <x:c r="K507" s="20" t="n">
        <x:v>83</x:v>
      </x:c>
      <x:c r="L507" t="str">
        <x:v>ELITE</x:v>
      </x:c>
      <x:c r="M507" t="str">
        <x:v>SEDANG+</x:v>
      </x:c>
      <x:c r="N507" t="str">
        <x:v>REGULER</x:v>
      </x:c>
      <x:c r="O507" t="str">
        <x:v>SAINTEK</x:v>
      </x:c>
      <x:c r="P507" t="str">
        <x:v>KEDOKTERAN</x:v>
      </x:c>
      <x:c r="Q507" s="18" t="n">
        <x:v>0</x:v>
      </x:c>
      <x:c r="R507" s="18" t="n">
        <x:v>680</x:v>
      </x:c>
      <x:c r="S507" s="18" t="n">
        <x:v>725.8301969161348</x:v>
      </x:c>
      <x:c r="T507" s="18" t="n">
        <x:v>726</x:v>
      </x:c>
      <x:c r="U507" s="18" t="n">
        <x:v>765.8301969161348</x:v>
      </x:c>
      <x:c r="V507" s="20" t="n">
        <x:v>12</x:v>
      </x:c>
      <x:c r="W507" s="20" t="n">
        <x:v>5</x:v>
      </x:c>
      <x:c r="X507" s="20" t="n">
        <x:v>3</x:v>
      </x:c>
      <x:c r="Y507" t="str">
        <x:v>Basis arsip 2025/2024</x:v>
      </x:c>
      <x:c r="Z507" t="str">
        <x:v>https://snpmb.id/utbk-snbt/daya-tampung-snbt</x:v>
      </x:c>
      <x:c r="AA507" t="str">
        <x:v>Tidak Ada</x:v>
      </x:c>
      <x:c r="AB507" t="str">
        <x:v>Campus=55; Ratio=100.0; Prodi=100; RelDemand=100.0; Capacity=87.5</x:v>
      </x:c>
    </x:row>
    <x:row r="508">
      <x:c r="A508" t="n">
        <x:v>505</x:v>
      </x:c>
      <x:c r="B508" t="str">
        <x:v>PTN Akademik</x:v>
      </x:c>
      <x:c r="C508" t="str">
        <x:v>UNIVERSITAS NEGERI PADANG</x:v>
      </x:c>
      <x:c r="D508" t="str">
        <x:v>PENDIDIKAN ILMU PENGETAHUAN SOSIAL (PIPS)</x:v>
      </x:c>
      <x:c r="E508" t="str">
        <x:v>Sarjana</x:v>
      </x:c>
      <x:c r="F508" s="18" t="n">
        <x:v>60</x:v>
      </x:c>
      <x:c r="G508" s="18" t="n">
        <x:v>226</x:v>
      </x:c>
      <x:c r="H508" s="19" t="n">
        <x:v>3.7666666666666666</x:v>
      </x:c>
      <x:c r="I508" s="18" t="n">
        <x:f>ROUND(MIN(Model_Config_v3!$B$6,MAX(Q508,R508,S508*Model_Config_v3!$B$4+T508*Model_Config_v3!$B$5)),0)</x:f>
        <x:v>628</x:v>
      </x:c>
      <x:c r="J508" s="18" t="n">
        <x:f>MIN(Model_Config_v3!$B$6,I508+Model_Config_v3!$B$7)</x:f>
        <x:v>648</x:v>
      </x:c>
      <x:c r="K508" s="20" t="n">
        <x:v>43.4</x:v>
      </x:c>
      <x:c r="L508" t="str">
        <x:v>RELATIF LONGGAR</x:v>
      </x:c>
      <x:c r="M508" t="str">
        <x:v>SEDANG+</x:v>
      </x:c>
      <x:c r="N508" t="str">
        <x:v>REGULER</x:v>
      </x:c>
      <x:c r="O508" t="str">
        <x:v>CAMPURAN</x:v>
      </x:c>
      <x:c r="P508" t="str">
        <x:v>PENDIDIKAN</x:v>
      </x:c>
      <x:c r="Q508" s="18" t="n">
        <x:v>0</x:v>
      </x:c>
      <x:c r="R508" s="18" t="n">
        <x:v>0</x:v>
      </x:c>
      <x:c r="S508" s="18" t="n">
        <x:v>583.3552907640133</x:v>
      </x:c>
      <x:c r="T508" s="18" t="n">
        <x:v>647</x:v>
      </x:c>
      <x:c r="U508" s="18" t="n">
        <x:v>583.3552907640133</x:v>
      </x:c>
      <x:c r="V508" s="20" t="n">
        <x:v>8.8</x:v>
      </x:c>
      <x:c r="W508" s="20" t="n">
        <x:v>9.9</x:v>
      </x:c>
      <x:c r="X508" s="20" t="n">
        <x:v>3.3</x:v>
      </x:c>
      <x:c r="Y508" t="str">
        <x:v>Basis arsip 2025/2024</x:v>
      </x:c>
      <x:c r="Z508" t="str">
        <x:v>https://snpmb.id/utbk-snbt/daya-tampung-snbt</x:v>
      </x:c>
      <x:c r="AA508" t="str">
        <x:v>Tidak Ada</x:v>
      </x:c>
      <x:c r="AB508" t="str">
        <x:v>Campus=55; Ratio=33.9; Prodi=45; RelDemand=16.9; Capacity=50.0</x:v>
      </x:c>
    </x:row>
    <x:row r="509">
      <x:c r="A509" t="n">
        <x:v>506</x:v>
      </x:c>
      <x:c r="B509" t="str">
        <x:v>PTN Akademik</x:v>
      </x:c>
      <x:c r="C509" t="str">
        <x:v>UNIVERSITAS NEGERI PADANG</x:v>
      </x:c>
      <x:c r="D509" t="str">
        <x:v>PENDIDIKAN GURU SEKOLAH DASAR - PSDKU SAWAHLUNTO</x:v>
      </x:c>
      <x:c r="E509" t="str">
        <x:v>Sarjana</x:v>
      </x:c>
      <x:c r="F509" s="18" t="n">
        <x:v>26</x:v>
      </x:c>
      <x:c r="G509" s="18" t="n">
        <x:v>188</x:v>
      </x:c>
      <x:c r="H509" s="19" t="n">
        <x:v>7.230769230769231</x:v>
      </x:c>
      <x:c r="I509" s="18" t="n">
        <x:f>ROUND(MIN(Model_Config_v3!$B$6,MAX(Q509,R509,S509*Model_Config_v3!$B$4+T509*Model_Config_v3!$B$5)),0)</x:f>
        <x:v>649</x:v>
      </x:c>
      <x:c r="J509" s="18" t="n">
        <x:f>MIN(Model_Config_v3!$B$6,I509+Model_Config_v3!$B$7)</x:f>
        <x:v>669</x:v>
      </x:c>
      <x:c r="K509" s="20" t="n">
        <x:v>52</x:v>
      </x:c>
      <x:c r="L509" t="str">
        <x:v>MENENGAH</x:v>
      </x:c>
      <x:c r="M509" t="str">
        <x:v>SEDANG+</x:v>
      </x:c>
      <x:c r="N509" t="str">
        <x:v>REGULER</x:v>
      </x:c>
      <x:c r="O509" t="str">
        <x:v>CAMPURAN</x:v>
      </x:c>
      <x:c r="P509" t="str">
        <x:v>PENDIDIKAN</x:v>
      </x:c>
      <x:c r="Q509" s="18" t="n">
        <x:v>0</x:v>
      </x:c>
      <x:c r="R509" s="18" t="n">
        <x:v>0</x:v>
      </x:c>
      <x:c r="S509" s="18" t="n">
        <x:v>614.5102951422148</x:v>
      </x:c>
      <x:c r="T509" s="18" t="n">
        <x:v>664</x:v>
      </x:c>
      <x:c r="U509" s="18" t="n">
        <x:v>614.5102951422148</x:v>
      </x:c>
      <x:c r="V509" s="20" t="n">
        <x:v>8.8</x:v>
      </x:c>
      <x:c r="W509" s="20" t="n">
        <x:v>9.9</x:v>
      </x:c>
      <x:c r="X509" s="20" t="n">
        <x:v>3.3</x:v>
      </x:c>
      <x:c r="Y509" t="str">
        <x:v>Basis arsip 2025/2024</x:v>
      </x:c>
      <x:c r="Z509" t="str">
        <x:v>https://snpmb.id/utbk-snbt/daya-tampung-snbt</x:v>
      </x:c>
      <x:c r="AA509" t="str">
        <x:v>Tidak Ada</x:v>
      </x:c>
      <x:c r="AB509" t="str">
        <x:v>Campus=55; Ratio=50.6; Prodi=45; RelDemand=32.5; Capacity=78.3</x:v>
      </x:c>
    </x:row>
    <x:row r="510">
      <x:c r="A510" t="n">
        <x:v>507</x:v>
      </x:c>
      <x:c r="B510" t="str">
        <x:v>PTN Akademik</x:v>
      </x:c>
      <x:c r="C510" t="str">
        <x:v>UNIVERSITAS NEGERI PADANG</x:v>
      </x:c>
      <x:c r="D510" t="str">
        <x:v>PENDIDIKAN GURU PENDIDIKAN ANAK USIA DINI - PSDKU SAWAHLUNTO</x:v>
      </x:c>
      <x:c r="E510" t="str">
        <x:v>Sarjana</x:v>
      </x:c>
      <x:c r="F510" s="18" t="n">
        <x:v>20</x:v>
      </x:c>
      <x:c r="G510" s="18" t="n">
        <x:v>23</x:v>
      </x:c>
      <x:c r="H510" s="19" t="n">
        <x:v>1.15</x:v>
      </x:c>
      <x:c r="I510" s="18" t="n">
        <x:f>ROUND(MIN(Model_Config_v3!$B$6,MAX(Q510,R510,S510*Model_Config_v3!$B$4+T510*Model_Config_v3!$B$5)),0)</x:f>
        <x:v>603</x:v>
      </x:c>
      <x:c r="J510" s="18" t="n">
        <x:f>MIN(Model_Config_v3!$B$6,I510+Model_Config_v3!$B$7)</x:f>
        <x:v>623</x:v>
      </x:c>
      <x:c r="K510" s="20" t="n">
        <x:v>38</x:v>
      </x:c>
      <x:c r="L510" t="str">
        <x:v>RELATIF LONGGAR</x:v>
      </x:c>
      <x:c r="M510" t="str">
        <x:v>SEDANG+</x:v>
      </x:c>
      <x:c r="N510" t="str">
        <x:v>REGULER</x:v>
      </x:c>
      <x:c r="O510" t="str">
        <x:v>CAMPURAN</x:v>
      </x:c>
      <x:c r="P510" t="str">
        <x:v>PENDIDIKAN</x:v>
      </x:c>
      <x:c r="Q510" s="18" t="n">
        <x:v>0</x:v>
      </x:c>
      <x:c r="R510" s="18" t="n">
        <x:v>0</x:v>
      </x:c>
      <x:c r="S510" s="18" t="n">
        <x:v>526.6767624388973</x:v>
      </x:c>
      <x:c r="T510" s="18" t="n">
        <x:v>636</x:v>
      </x:c>
      <x:c r="U510" s="18" t="n">
        <x:v>526.6767624388973</x:v>
      </x:c>
      <x:c r="V510" s="20" t="n">
        <x:v>8.8</x:v>
      </x:c>
      <x:c r="W510" s="20" t="n">
        <x:v>9.9</x:v>
      </x:c>
      <x:c r="X510" s="20" t="n">
        <x:v>3.3</x:v>
      </x:c>
      <x:c r="Y510" t="str">
        <x:v>Basis arsip 2025/2024</x:v>
      </x:c>
      <x:c r="Z510" t="str">
        <x:v>https://snpmb.id/utbk-snbt/daya-tampung-snbt</x:v>
      </x:c>
      <x:c r="AA510" t="str">
        <x:v>Tidak Ada</x:v>
      </x:c>
      <x:c r="AB510" t="str">
        <x:v>Campus=55; Ratio=3.6; Prodi=45; RelDemand=5.2; Capacity=83.3</x:v>
      </x:c>
    </x:row>
    <x:row r="511">
      <x:c r="A511" t="n">
        <x:v>508</x:v>
      </x:c>
      <x:c r="B511" t="str">
        <x:v>PTN Akademik</x:v>
      </x:c>
      <x:c r="C511" t="str">
        <x:v>UNIVERSITAS NEGERI PADANG</x:v>
      </x:c>
      <x:c r="D511" t="str">
        <x:v>KEDOKTERAN HEWAN</x:v>
      </x:c>
      <x:c r="E511" t="str">
        <x:v>Sarjana</x:v>
      </x:c>
      <x:c r="F511" s="18" t="n">
        <x:v>27</x:v>
      </x:c>
      <x:c r="G511" s="18" t="n">
        <x:v>304</x:v>
      </x:c>
      <x:c r="H511" s="19" t="n">
        <x:v>11.25925925925926</x:v>
      </x:c>
      <x:c r="I511" s="18" t="n">
        <x:f>ROUND(MIN(Model_Config_v3!$B$6,MAX(Q511,R511,S511*Model_Config_v3!$B$4+T511*Model_Config_v3!$B$5)),0)</x:f>
        <x:v>666</x:v>
      </x:c>
      <x:c r="J511" s="18" t="n">
        <x:f>MIN(Model_Config_v3!$B$6,I511+Model_Config_v3!$B$7)</x:f>
        <x:v>686</x:v>
      </x:c>
      <x:c r="K511" s="20" t="n">
        <x:v>59.5</x:v>
      </x:c>
      <x:c r="L511" t="str">
        <x:v>KETAT</x:v>
      </x:c>
      <x:c r="M511" t="str">
        <x:v>SEDANG+</x:v>
      </x:c>
      <x:c r="N511" t="str">
        <x:v>REGULER</x:v>
      </x:c>
      <x:c r="O511" t="str">
        <x:v>SAINTEK</x:v>
      </x:c>
      <x:c r="P511" t="str">
        <x:v>VETERINER</x:v>
      </x:c>
      <x:c r="Q511" s="18" t="n">
        <x:v>0</x:v>
      </x:c>
      <x:c r="R511" s="18" t="n">
        <x:v>630</x:v>
      </x:c>
      <x:c r="S511" s="18" t="n">
        <x:v>635.6660801394743</x:v>
      </x:c>
      <x:c r="T511" s="18" t="n">
        <x:v>679</x:v>
      </x:c>
      <x:c r="U511" s="18" t="n">
        <x:v>635.6660801394743</x:v>
      </x:c>
      <x:c r="V511" s="20" t="n">
        <x:v>12</x:v>
      </x:c>
      <x:c r="W511" s="20" t="n">
        <x:v>5</x:v>
      </x:c>
      <x:c r="X511" s="20" t="n">
        <x:v>3</x:v>
      </x:c>
      <x:c r="Y511" t="str">
        <x:v>Basis arsip 2025/2024</x:v>
      </x:c>
      <x:c r="Z511" t="str">
        <x:v>https://snpmb.id/utbk-snbt/daya-tampung-snbt</x:v>
      </x:c>
      <x:c r="AA511" t="str">
        <x:v>Tidak Ada</x:v>
      </x:c>
      <x:c r="AB511" t="str">
        <x:v>Campus=55; Ratio=61.9; Prodi=60; RelDemand=50.6; Capacity=77.5</x:v>
      </x:c>
    </x:row>
    <x:row r="512">
      <x:c r="A512" t="n">
        <x:v>509</x:v>
      </x:c>
      <x:c r="B512" t="str">
        <x:v>PTN Akademik</x:v>
      </x:c>
      <x:c r="C512" t="str">
        <x:v>UNIVERSITAS NEGERI PADANG</x:v>
      </x:c>
      <x:c r="D512" t="str">
        <x:v>PENDIDIKAN VOKASIONAL SENI KULINER</x:v>
      </x:c>
      <x:c r="E512" t="str">
        <x:v>Sarjana</x:v>
      </x:c>
      <x:c r="F512" s="18" t="n">
        <x:v>32</x:v>
      </x:c>
      <x:c r="G512" s="18" t="n">
        <x:v>83</x:v>
      </x:c>
      <x:c r="H512" s="19" t="n">
        <x:v>2.59375</x:v>
      </x:c>
      <x:c r="I512" s="18" t="n">
        <x:f>ROUND(MIN(Model_Config_v3!$B$6,MAX(Q512,R512,S512*Model_Config_v3!$B$4+T512*Model_Config_v3!$B$5)),0)</x:f>
        <x:v>622</x:v>
      </x:c>
      <x:c r="J512" s="18" t="n">
        <x:f>MIN(Model_Config_v3!$B$6,I512+Model_Config_v3!$B$7)</x:f>
        <x:v>642</x:v>
      </x:c>
      <x:c r="K512" s="20" t="n">
        <x:v>42.8</x:v>
      </x:c>
      <x:c r="L512" t="str">
        <x:v>RELATIF LONGGAR</x:v>
      </x:c>
      <x:c r="M512" t="str">
        <x:v>SEDANG+</x:v>
      </x:c>
      <x:c r="N512" t="str">
        <x:v>REGULER</x:v>
      </x:c>
      <x:c r="O512" t="str">
        <x:v>CAMPURAN</x:v>
      </x:c>
      <x:c r="P512" t="str">
        <x:v>PENDIDIKAN</x:v>
      </x:c>
      <x:c r="Q512" s="18" t="n">
        <x:v>0</x:v>
      </x:c>
      <x:c r="R512" s="18" t="n">
        <x:v>0</x:v>
      </x:c>
      <x:c r="S512" s="18" t="n">
        <x:v>565.5320925461784</x:v>
      </x:c>
      <x:c r="T512" s="18" t="n">
        <x:v>646</x:v>
      </x:c>
      <x:c r="U512" s="18" t="n">
        <x:v>565.5320925461784</x:v>
      </x:c>
      <x:c r="V512" s="20" t="n">
        <x:v>8.8</x:v>
      </x:c>
      <x:c r="W512" s="20" t="n">
        <x:v>9.9</x:v>
      </x:c>
      <x:c r="X512" s="20" t="n">
        <x:v>3.3</x:v>
      </x:c>
      <x:c r="Y512" t="str">
        <x:v>Basis arsip 2025/2024</x:v>
      </x:c>
      <x:c r="Z512" t="str">
        <x:v>https://snpmb.id/utbk-snbt/daya-tampung-snbt</x:v>
      </x:c>
      <x:c r="AA512" t="str">
        <x:v>Tidak Ada</x:v>
      </x:c>
      <x:c r="AB512" t="str">
        <x:v>Campus=55; Ratio=24.4; Prodi=45; RelDemand=11.7; Capacity=73.3</x:v>
      </x:c>
    </x:row>
    <x:row r="513">
      <x:c r="A513" t="n">
        <x:v>510</x:v>
      </x:c>
      <x:c r="B513" t="str">
        <x:v>PTN Akademik</x:v>
      </x:c>
      <x:c r="C513" t="str">
        <x:v>UNIVERSITAS NEGERI PADANG</x:v>
      </x:c>
      <x:c r="D513" t="str">
        <x:v>PENDIDIKAN VOKASIONAL DESAIN FASHION</x:v>
      </x:c>
      <x:c r="E513" t="str">
        <x:v>Sarjana</x:v>
      </x:c>
      <x:c r="F513" s="18" t="n">
        <x:v>32</x:v>
      </x:c>
      <x:c r="G513" s="18" t="n">
        <x:v>95</x:v>
      </x:c>
      <x:c r="H513" s="19" t="n">
        <x:v>2.96875</x:v>
      </x:c>
      <x:c r="I513" s="18" t="n">
        <x:f>ROUND(MIN(Model_Config_v3!$B$6,MAX(Q513,R513,S513*Model_Config_v3!$B$4+T513*Model_Config_v3!$B$5)),0)</x:f>
        <x:v>625</x:v>
      </x:c>
      <x:c r="J513" s="18" t="n">
        <x:f>MIN(Model_Config_v3!$B$6,I513+Model_Config_v3!$B$7)</x:f>
        <x:v>645</x:v>
      </x:c>
      <x:c r="K513" s="20" t="n">
        <x:v>43.9</x:v>
      </x:c>
      <x:c r="L513" t="str">
        <x:v>RELATIF LONGGAR</x:v>
      </x:c>
      <x:c r="M513" t="str">
        <x:v>SEDANG+</x:v>
      </x:c>
      <x:c r="N513" t="str">
        <x:v>REGULER</x:v>
      </x:c>
      <x:c r="O513" t="str">
        <x:v>CAMPURAN</x:v>
      </x:c>
      <x:c r="P513" t="str">
        <x:v>PENDIDIKAN</x:v>
      </x:c>
      <x:c r="Q513" s="18" t="n">
        <x:v>0</x:v>
      </x:c>
      <x:c r="R513" s="18" t="n">
        <x:v>0</x:v>
      </x:c>
      <x:c r="S513" s="18" t="n">
        <x:v>571.9830989665836</x:v>
      </x:c>
      <x:c r="T513" s="18" t="n">
        <x:v>648</x:v>
      </x:c>
      <x:c r="U513" s="18" t="n">
        <x:v>571.9830989665836</x:v>
      </x:c>
      <x:c r="V513" s="20" t="n">
        <x:v>8.8</x:v>
      </x:c>
      <x:c r="W513" s="20" t="n">
        <x:v>9.9</x:v>
      </x:c>
      <x:c r="X513" s="20" t="n">
        <x:v>3.3</x:v>
      </x:c>
      <x:c r="Y513" t="str">
        <x:v>Basis arsip 2025/2024</x:v>
      </x:c>
      <x:c r="Z513" t="str">
        <x:v>https://snpmb.id/utbk-snbt/daya-tampung-snbt</x:v>
      </x:c>
      <x:c r="AA513" t="str">
        <x:v>Tidak Ada</x:v>
      </x:c>
      <x:c r="AB513" t="str">
        <x:v>Campus=55; Ratio=27.8; Prodi=45; RelDemand=13.4; Capacity=73.3</x:v>
      </x:c>
    </x:row>
    <x:row r="514">
      <x:c r="A514" t="n">
        <x:v>511</x:v>
      </x:c>
      <x:c r="B514" t="str">
        <x:v>PTN Akademik</x:v>
      </x:c>
      <x:c r="C514" t="str">
        <x:v>UNIVERSITAS NEGERI PADANG</x:v>
      </x:c>
      <x:c r="D514" t="str">
        <x:v>ILMU LINGKUNGAN</x:v>
      </x:c>
      <x:c r="E514" t="str">
        <x:v>Sarjana</x:v>
      </x:c>
      <x:c r="F514" s="18" t="n">
        <x:v>32</x:v>
      </x:c>
      <x:c r="G514" s="18"/>
      <x:c r="H514" s="19" t="n">
        <x:v>0</x:v>
      </x:c>
      <x:c r="I514" s="18" t="n">
        <x:f>ROUND(MIN(Model_Config_v3!$B$6,MAX(Q514,R514,S514*Model_Config_v3!$B$4+T514*Model_Config_v3!$B$5)),0)</x:f>
        <x:v>596</x:v>
      </x:c>
      <x:c r="J514" s="18" t="n">
        <x:f>MIN(Model_Config_v3!$B$6,I514+Model_Config_v3!$B$7)</x:f>
        <x:v>616</x:v>
      </x:c>
      <x:c r="K514" s="20" t="n">
        <x:v>34.6</x:v>
      </x:c>
      <x:c r="L514" t="str">
        <x:v>RELATIF LONGGAR</x:v>
      </x:c>
      <x:c r="M514" t="str">
        <x:v>RENDAH</x:v>
      </x:c>
      <x:c r="N514" t="str">
        <x:v>REGULER</x:v>
      </x:c>
      <x:c r="O514" t="str">
        <x:v>CAMPURAN</x:v>
      </x:c>
      <x:c r="P514" t="str">
        <x:v>UMUM</x:v>
      </x:c>
      <x:c r="Q514" s="18" t="n">
        <x:v>0</x:v>
      </x:c>
      <x:c r="R514" s="18" t="n">
        <x:v>0</x:v>
      </x:c>
      <x:c r="S514" s="18" t="n">
        <x:v>520</x:v>
      </x:c>
      <x:c r="T514" s="18" t="n">
        <x:v>629</x:v>
      </x:c>
      <x:c r="U514" s="18" t="n">
        <x:v>520</x:v>
      </x:c>
      <x:c r="V514" s="20" t="n">
        <x:v>8.8</x:v>
      </x:c>
      <x:c r="W514" s="20" t="n">
        <x:v>9.9</x:v>
      </x:c>
      <x:c r="X514" s="20" t="n">
        <x:v>3.3</x:v>
      </x:c>
      <x:c r="Y514" t="str">
        <x:v>Basis arsip 2025/2024</x:v>
      </x:c>
      <x:c r="Z514" t="str">
        <x:v>https://snpmb.id/utbk-snbt/daya-tampung-snbt</x:v>
      </x:c>
      <x:c r="AA514" t="str">
        <x:v>Tidak Ada</x:v>
      </x:c>
      <x:c r="AB514" t="str">
        <x:v>Campus=55; Ratio=0.0; Prodi=40; RelDemand=0.0; Capacity=73.3</x:v>
      </x:c>
    </x:row>
    <x:row r="515">
      <x:c r="A515" t="n">
        <x:v>512</x:v>
      </x:c>
      <x:c r="B515" t="str">
        <x:v>PTN Akademik</x:v>
      </x:c>
      <x:c r="C515" t="str">
        <x:v>UNIVERSITAS NEGERI PADANG</x:v>
      </x:c>
      <x:c r="D515" t="str">
        <x:v>ILMU AKTUARIA</x:v>
      </x:c>
      <x:c r="E515" t="str">
        <x:v>Sarjana</x:v>
      </x:c>
      <x:c r="F515" s="18" t="n">
        <x:v>28</x:v>
      </x:c>
      <x:c r="G515" s="18"/>
      <x:c r="H515" s="19" t="n">
        <x:v>0</x:v>
      </x:c>
      <x:c r="I515" s="18" t="n">
        <x:f>ROUND(MIN(Model_Config_v3!$B$6,MAX(Q515,R515,S515*Model_Config_v3!$B$4+T515*Model_Config_v3!$B$5)),0)</x:f>
        <x:v>603</x:v>
      </x:c>
      <x:c r="J515" s="18" t="n">
        <x:f>MIN(Model_Config_v3!$B$6,I515+Model_Config_v3!$B$7)</x:f>
        <x:v>623</x:v>
      </x:c>
      <x:c r="K515" s="20" t="n">
        <x:v>38.9</x:v>
      </x:c>
      <x:c r="L515" t="str">
        <x:v>RELATIF LONGGAR</x:v>
      </x:c>
      <x:c r="M515" t="str">
        <x:v>RENDAH</x:v>
      </x:c>
      <x:c r="N515" t="str">
        <x:v>REGULER</x:v>
      </x:c>
      <x:c r="O515" t="str">
        <x:v>SAINTEK</x:v>
      </x:c>
      <x:c r="P515" t="str">
        <x:v>TEKNIK/ARSITEKTUR/STATISTIKA/AKTUARIA</x:v>
      </x:c>
      <x:c r="Q515" s="18" t="n">
        <x:v>0</x:v>
      </x:c>
      <x:c r="R515" s="18" t="n">
        <x:v>0</x:v>
      </x:c>
      <x:c r="S515" s="18" t="n">
        <x:v>520</x:v>
      </x:c>
      <x:c r="T515" s="18" t="n">
        <x:v>638</x:v>
      </x:c>
      <x:c r="U515" s="18" t="n">
        <x:v>530</x:v>
      </x:c>
      <x:c r="V515" s="20" t="n">
        <x:v>12</x:v>
      </x:c>
      <x:c r="W515" s="20" t="n">
        <x:v>5</x:v>
      </x:c>
      <x:c r="X515" s="20" t="n">
        <x:v>3</x:v>
      </x:c>
      <x:c r="Y515" t="str">
        <x:v>Basis arsip 2025/2024</x:v>
      </x:c>
      <x:c r="Z515" t="str">
        <x:v>https://snpmb.id/utbk-snbt/daya-tampung-snbt</x:v>
      </x:c>
      <x:c r="AA515" t="str">
        <x:v>Tidak Ada</x:v>
      </x:c>
      <x:c r="AB515" t="str">
        <x:v>Campus=55; Ratio=0.0; Prodi=60; RelDemand=0.0; Capacity=76.7</x:v>
      </x:c>
    </x:row>
    <x:row r="516">
      <x:c r="A516" t="n">
        <x:v>513</x:v>
      </x:c>
      <x:c r="B516" t="str">
        <x:v>PTN Akademik</x:v>
      </x:c>
      <x:c r="C516" t="str">
        <x:v>UNIVERSITAS NEGERI PADANG</x:v>
      </x:c>
      <x:c r="D516" t="str">
        <x:v>MANAJEMEN BISNIS SYARIAH</x:v>
      </x:c>
      <x:c r="E516" t="str">
        <x:v>Sarjana</x:v>
      </x:c>
      <x:c r="F516" s="18" t="n">
        <x:v>36</x:v>
      </x:c>
      <x:c r="G516" s="18"/>
      <x:c r="H516" s="19" t="n">
        <x:v>0</x:v>
      </x:c>
      <x:c r="I516" s="18" t="n">
        <x:f>ROUND(MIN(Model_Config_v3!$B$6,MAX(Q516,R516,S516*Model_Config_v3!$B$4+T516*Model_Config_v3!$B$5)),0)</x:f>
        <x:v>603</x:v>
      </x:c>
      <x:c r="J516" s="18" t="n">
        <x:f>MIN(Model_Config_v3!$B$6,I516+Model_Config_v3!$B$7)</x:f>
        <x:v>623</x:v>
      </x:c>
      <x:c r="K516" s="20" t="n">
        <x:v>39.2</x:v>
      </x:c>
      <x:c r="L516" t="str">
        <x:v>RELATIF LONGGAR</x:v>
      </x:c>
      <x:c r="M516" t="str">
        <x:v>RENDAH</x:v>
      </x:c>
      <x:c r="N516" t="str">
        <x:v>REGULER</x:v>
      </x:c>
      <x:c r="O516" t="str">
        <x:v>SOSHUM</x:v>
      </x:c>
      <x:c r="P516" t="str">
        <x:v>BISNIS/EKONOMI/AKUNTANSI</x:v>
      </x:c>
      <x:c r="Q516" s="18" t="n">
        <x:v>0</x:v>
      </x:c>
      <x:c r="R516" s="18" t="n">
        <x:v>0</x:v>
      </x:c>
      <x:c r="S516" s="18" t="n">
        <x:v>520</x:v>
      </x:c>
      <x:c r="T516" s="18" t="n">
        <x:v>638</x:v>
      </x:c>
      <x:c r="U516" s="18" t="n">
        <x:v>535</x:v>
      </x:c>
      <x:c r="V516" s="20" t="n">
        <x:v>4.4</x:v>
      </x:c>
      <x:c r="W516" s="20" t="n">
        <x:v>14.3</x:v>
      </x:c>
      <x:c r="X516" s="20" t="n">
        <x:v>3.3</x:v>
      </x:c>
      <x:c r="Y516" t="str">
        <x:v>Basis arsip 2025/2024</x:v>
      </x:c>
      <x:c r="Z516" t="str">
        <x:v>https://snpmb.id/utbk-snbt/daya-tampung-snbt</x:v>
      </x:c>
      <x:c r="AA516" t="str">
        <x:v>Tidak Ada</x:v>
      </x:c>
      <x:c r="AB516" t="str">
        <x:v>Campus=55; Ratio=0.0; Prodi=65; RelDemand=0.0; Capacity=70.0</x:v>
      </x:c>
    </x:row>
    <x:row r="517">
      <x:c r="A517" t="n">
        <x:v>514</x:v>
      </x:c>
      <x:c r="B517" t="str">
        <x:v>PTN Akademik</x:v>
      </x:c>
      <x:c r="C517" t="str">
        <x:v>UNIVERSITAS NEGERI PADANG</x:v>
      </x:c>
      <x:c r="D517" t="str">
        <x:v>EKONOMI DAN KEUANGAN ISLAM</x:v>
      </x:c>
      <x:c r="E517" t="str">
        <x:v>Sarjana</x:v>
      </x:c>
      <x:c r="F517" s="18" t="n">
        <x:v>28</x:v>
      </x:c>
      <x:c r="G517" s="18"/>
      <x:c r="H517" s="19" t="n">
        <x:v>0</x:v>
      </x:c>
      <x:c r="I517" s="18" t="n">
        <x:f>ROUND(MIN(Model_Config_v3!$B$6,MAX(Q517,R517,S517*Model_Config_v3!$B$4+T517*Model_Config_v3!$B$5)),0)</x:f>
        <x:v>597</x:v>
      </x:c>
      <x:c r="J517" s="18" t="n">
        <x:f>MIN(Model_Config_v3!$B$6,I517+Model_Config_v3!$B$7)</x:f>
        <x:v>617</x:v>
      </x:c>
      <x:c r="K517" s="20" t="n">
        <x:v>34.9</x:v>
      </x:c>
      <x:c r="L517" t="str">
        <x:v>RELATIF LONGGAR</x:v>
      </x:c>
      <x:c r="M517" t="str">
        <x:v>RENDAH</x:v>
      </x:c>
      <x:c r="N517" t="str">
        <x:v>REGULER</x:v>
      </x:c>
      <x:c r="O517" t="str">
        <x:v>SOSHUM</x:v>
      </x:c>
      <x:c r="P517" t="str">
        <x:v>UMUM</x:v>
      </x:c>
      <x:c r="Q517" s="18" t="n">
        <x:v>0</x:v>
      </x:c>
      <x:c r="R517" s="18" t="n">
        <x:v>0</x:v>
      </x:c>
      <x:c r="S517" s="18" t="n">
        <x:v>520</x:v>
      </x:c>
      <x:c r="T517" s="18" t="n">
        <x:v>630</x:v>
      </x:c>
      <x:c r="U517" s="18" t="n">
        <x:v>520</x:v>
      </x:c>
      <x:c r="V517" s="20" t="n">
        <x:v>4.4</x:v>
      </x:c>
      <x:c r="W517" s="20" t="n">
        <x:v>14.3</x:v>
      </x:c>
      <x:c r="X517" s="20" t="n">
        <x:v>3.3</x:v>
      </x:c>
      <x:c r="Y517" t="str">
        <x:v>Basis arsip 2025/2024</x:v>
      </x:c>
      <x:c r="Z517" t="str">
        <x:v>https://snpmb.id/utbk-snbt/daya-tampung-snbt</x:v>
      </x:c>
      <x:c r="AA517" t="str">
        <x:v>Tidak Ada</x:v>
      </x:c>
      <x:c r="AB517" t="str">
        <x:v>Campus=55; Ratio=0.0; Prodi=40; RelDemand=0.0; Capacity=76.7</x:v>
      </x:c>
    </x:row>
    <x:row r="518">
      <x:c r="A518" t="n">
        <x:v>515</x:v>
      </x:c>
      <x:c r="B518" t="str">
        <x:v>PTN Akademik</x:v>
      </x:c>
      <x:c r="C518" t="str">
        <x:v>UNIVERSITAS NEGERI PADANG</x:v>
      </x:c>
      <x:c r="D518" t="str">
        <x:v>ANTROPOLOGI</x:v>
      </x:c>
      <x:c r="E518" t="str">
        <x:v>Sarjana</x:v>
      </x:c>
      <x:c r="F518" s="18" t="n">
        <x:v>28</x:v>
      </x:c>
      <x:c r="G518" s="18"/>
      <x:c r="H518" s="19" t="n">
        <x:v>0</x:v>
      </x:c>
      <x:c r="I518" s="18" t="n">
        <x:f>ROUND(MIN(Model_Config_v3!$B$6,MAX(Q518,R518,S518*Model_Config_v3!$B$4+T518*Model_Config_v3!$B$5)),0)</x:f>
        <x:v>597</x:v>
      </x:c>
      <x:c r="J518" s="18" t="n">
        <x:f>MIN(Model_Config_v3!$B$6,I518+Model_Config_v3!$B$7)</x:f>
        <x:v>617</x:v>
      </x:c>
      <x:c r="K518" s="20" t="n">
        <x:v>34.9</x:v>
      </x:c>
      <x:c r="L518" t="str">
        <x:v>RELATIF LONGGAR</x:v>
      </x:c>
      <x:c r="M518" t="str">
        <x:v>RENDAH</x:v>
      </x:c>
      <x:c r="N518" t="str">
        <x:v>REGULER</x:v>
      </x:c>
      <x:c r="O518" t="str">
        <x:v>SOSHUM</x:v>
      </x:c>
      <x:c r="P518" t="str">
        <x:v>UMUM</x:v>
      </x:c>
      <x:c r="Q518" s="18" t="n">
        <x:v>0</x:v>
      </x:c>
      <x:c r="R518" s="18" t="n">
        <x:v>0</x:v>
      </x:c>
      <x:c r="S518" s="18" t="n">
        <x:v>520</x:v>
      </x:c>
      <x:c r="T518" s="18" t="n">
        <x:v>630</x:v>
      </x:c>
      <x:c r="U518" s="18" t="n">
        <x:v>520</x:v>
      </x:c>
      <x:c r="V518" s="20" t="n">
        <x:v>4.4</x:v>
      </x:c>
      <x:c r="W518" s="20" t="n">
        <x:v>14.3</x:v>
      </x:c>
      <x:c r="X518" s="20" t="n">
        <x:v>3.3</x:v>
      </x:c>
      <x:c r="Y518" t="str">
        <x:v>Basis arsip 2025/2024</x:v>
      </x:c>
      <x:c r="Z518" t="str">
        <x:v>https://snpmb.id/utbk-snbt/daya-tampung-snbt</x:v>
      </x:c>
      <x:c r="AA518" t="str">
        <x:v>Tidak Ada</x:v>
      </x:c>
      <x:c r="AB518" t="str">
        <x:v>Campus=55; Ratio=0.0; Prodi=40; RelDemand=0.0; Capacity=76.7</x:v>
      </x:c>
    </x:row>
    <x:row r="519">
      <x:c r="A519" t="n">
        <x:v>516</x:v>
      </x:c>
      <x:c r="B519" t="str">
        <x:v>PTN Akademik</x:v>
      </x:c>
      <x:c r="C519" t="str">
        <x:v>UNIVERSITAS NEGERI PADANG</x:v>
      </x:c>
      <x:c r="D519" t="str">
        <x:v>TEKNIK ELEKTRO INDUSTRI (NK)</x:v>
      </x:c>
      <x:c r="E519" t="str">
        <x:v>Sarjana Terapan</x:v>
      </x:c>
      <x:c r="F519" s="18" t="n">
        <x:v>40</x:v>
      </x:c>
      <x:c r="G519" s="18" t="n">
        <x:v>700</x:v>
      </x:c>
      <x:c r="H519" s="19" t="n">
        <x:v>17.5</x:v>
      </x:c>
      <x:c r="I519" s="18" t="n">
        <x:f>ROUND(MIN(Model_Config_v3!$B$6,MAX(Q519,R519,S519*Model_Config_v3!$B$4+T519*Model_Config_v3!$B$5)),0)</x:f>
        <x:v>679</x:v>
      </x:c>
      <x:c r="J519" s="18" t="n">
        <x:f>MIN(Model_Config_v3!$B$6,I519+Model_Config_v3!$B$7)</x:f>
        <x:v>699</x:v>
      </x:c>
      <x:c r="K519" s="20" t="n">
        <x:v>64.1</x:v>
      </x:c>
      <x:c r="L519" t="str">
        <x:v>KETAT</x:v>
      </x:c>
      <x:c r="M519" t="str">
        <x:v>SEDANG+</x:v>
      </x:c>
      <x:c r="N519" t="str">
        <x:v>REGULER</x:v>
      </x:c>
      <x:c r="O519" t="str">
        <x:v>SAINTEK</x:v>
      </x:c>
      <x:c r="P519" t="str">
        <x:v>TEKNIK/ARSITEKTUR/STATISTIKA/AKTUARIA</x:v>
      </x:c>
      <x:c r="Q519" s="18" t="n">
        <x:v>0</x:v>
      </x:c>
      <x:c r="R519" s="18" t="n">
        <x:v>0</x:v>
      </x:c>
      <x:c r="S519" s="18" t="n">
        <x:v>656.7341853554924</x:v>
      </x:c>
      <x:c r="T519" s="18" t="n">
        <x:v>688</x:v>
      </x:c>
      <x:c r="U519" s="18" t="n">
        <x:v>666.7341853554924</x:v>
      </x:c>
      <x:c r="V519" s="20" t="n">
        <x:v>12</x:v>
      </x:c>
      <x:c r="W519" s="20" t="n">
        <x:v>5</x:v>
      </x:c>
      <x:c r="X519" s="20" t="n">
        <x:v>3</x:v>
      </x:c>
      <x:c r="Y519" t="str">
        <x:v>Basis arsip 2025/2024</x:v>
      </x:c>
      <x:c r="Z519" t="str">
        <x:v>https://snpmb.id/utbk-snbt/daya-tampung-snbt</x:v>
      </x:c>
      <x:c r="AA519" t="str">
        <x:v>Tidak Ada</x:v>
      </x:c>
      <x:c r="AB519" t="str">
        <x:v>Campus=55; Ratio=73.2; Prodi=60; RelDemand=78.7; Capacity=66.7</x:v>
      </x:c>
    </x:row>
    <x:row r="520">
      <x:c r="A520" t="n">
        <x:v>517</x:v>
      </x:c>
      <x:c r="B520" t="str">
        <x:v>PTN Akademik</x:v>
      </x:c>
      <x:c r="C520" t="str">
        <x:v>UNIVERSITAS NEGERI PADANG</x:v>
      </x:c>
      <x:c r="D520" t="str">
        <x:v>ANIMASI</x:v>
      </x:c>
      <x:c r="E520" t="str">
        <x:v>Sarjana Terapan</x:v>
      </x:c>
      <x:c r="F520" s="18" t="n">
        <x:v>24</x:v>
      </x:c>
      <x:c r="G520" s="18" t="n">
        <x:v>356</x:v>
      </x:c>
      <x:c r="H520" s="19" t="n">
        <x:v>14.833333333333334</x:v>
      </x:c>
      <x:c r="I520" s="18" t="n">
        <x:f>ROUND(MIN(Model_Config_v3!$B$6,MAX(Q520,R520,S520*Model_Config_v3!$B$4+T520*Model_Config_v3!$B$5)),0)</x:f>
        <x:v>669</x:v>
      </x:c>
      <x:c r="J520" s="18" t="n">
        <x:f>MIN(Model_Config_v3!$B$6,I520+Model_Config_v3!$B$7)</x:f>
        <x:v>689</x:v>
      </x:c>
      <x:c r="K520" s="20" t="n">
        <x:v>59.2</x:v>
      </x:c>
      <x:c r="L520" t="str">
        <x:v>KETAT</x:v>
      </x:c>
      <x:c r="M520" t="str">
        <x:v>SEDANG</x:v>
      </x:c>
      <x:c r="N520" t="str">
        <x:v>REGULER</x:v>
      </x:c>
      <x:c r="O520" t="str">
        <x:v>CAMPURAN</x:v>
      </x:c>
      <x:c r="P520" t="str">
        <x:v>UMUM</x:v>
      </x:c>
      <x:c r="Q520" s="18" t="n">
        <x:v>0</x:v>
      </x:c>
      <x:c r="R520" s="18" t="n">
        <x:v>0</x:v>
      </x:c>
      <x:c r="S520" s="18" t="n">
        <x:v>648.8362631887396</x:v>
      </x:c>
      <x:c r="T520" s="18" t="n">
        <x:v>678</x:v>
      </x:c>
      <x:c r="U520" s="18" t="n">
        <x:v>648.8362631887396</x:v>
      </x:c>
      <x:c r="V520" s="20" t="n">
        <x:v>8.8</x:v>
      </x:c>
      <x:c r="W520" s="20" t="n">
        <x:v>9.9</x:v>
      </x:c>
      <x:c r="X520" s="20" t="n">
        <x:v>3.3</x:v>
      </x:c>
      <x:c r="Y520" t="str">
        <x:v>Basis arsip 2025/2024</x:v>
      </x:c>
      <x:c r="Z520" t="str">
        <x:v>https://snpmb.id/utbk-snbt/daya-tampung-snbt</x:v>
      </x:c>
      <x:c r="AA520" t="str">
        <x:v>Tidak Ada</x:v>
      </x:c>
      <x:c r="AB520" t="str">
        <x:v>Campus=55; Ratio=68.9; Prodi=40; RelDemand=66.7; Capacity=80.0</x:v>
      </x:c>
    </x:row>
    <x:row r="521">
      <x:c r="A521" t="n">
        <x:v>518</x:v>
      </x:c>
      <x:c r="B521" t="str">
        <x:v>PTN Akademik</x:v>
      </x:c>
      <x:c r="C521" t="str">
        <x:v>UNIVERSITAS NEGERI PADANG</x:v>
      </x:c>
      <x:c r="D521" t="str">
        <x:v>PENDIDIKAN TATA RIAS DAN KECANTIKAN</x:v>
      </x:c>
      <x:c r="E521" t="str">
        <x:v>Sarjana Terapan</x:v>
      </x:c>
      <x:c r="F521" s="18" t="n">
        <x:v>68</x:v>
      </x:c>
      <x:c r="G521" s="18" t="n">
        <x:v>946</x:v>
      </x:c>
      <x:c r="H521" s="19" t="n">
        <x:v>13.911764705882353</x:v>
      </x:c>
      <x:c r="I521" s="18" t="n">
        <x:f>ROUND(MIN(Model_Config_v3!$B$6,MAX(Q521,R521,S521*Model_Config_v3!$B$4+T521*Model_Config_v3!$B$5)),0)</x:f>
        <x:v>663</x:v>
      </x:c>
      <x:c r="J521" s="18" t="n">
        <x:f>MIN(Model_Config_v3!$B$6,I521+Model_Config_v3!$B$7)</x:f>
        <x:v>683</x:v>
      </x:c>
      <x:c r="K521" s="20" t="n">
        <x:v>55.7</x:v>
      </x:c>
      <x:c r="L521" t="str">
        <x:v>KETAT</x:v>
      </x:c>
      <x:c r="M521" t="str">
        <x:v>SEDANG+</x:v>
      </x:c>
      <x:c r="N521" t="str">
        <x:v>REGULER</x:v>
      </x:c>
      <x:c r="O521" t="str">
        <x:v>CAMPURAN</x:v>
      </x:c>
      <x:c r="P521" t="str">
        <x:v>PENDIDIKAN</x:v>
      </x:c>
      <x:c r="Q521" s="18" t="n">
        <x:v>0</x:v>
      </x:c>
      <x:c r="R521" s="18" t="n">
        <x:v>0</x:v>
      </x:c>
      <x:c r="S521" s="18" t="n">
        <x:v>645.7720446065111</x:v>
      </x:c>
      <x:c r="T521" s="18" t="n">
        <x:v>671</x:v>
      </x:c>
      <x:c r="U521" s="18" t="n">
        <x:v>645.7720446065111</x:v>
      </x:c>
      <x:c r="V521" s="20" t="n">
        <x:v>8.8</x:v>
      </x:c>
      <x:c r="W521" s="20" t="n">
        <x:v>9.9</x:v>
      </x:c>
      <x:c r="X521" s="20" t="n">
        <x:v>3.3</x:v>
      </x:c>
      <x:c r="Y521" t="str">
        <x:v>Basis arsip 2025/2024</x:v>
      </x:c>
      <x:c r="Z521" t="str">
        <x:v>https://snpmb.id/utbk-snbt/daya-tampung-snbt</x:v>
      </x:c>
      <x:c r="AA521" t="str">
        <x:v>Tidak Ada</x:v>
      </x:c>
      <x:c r="AB521" t="str">
        <x:v>Campus=55; Ratio=67.3; Prodi=45; RelDemand=62.6; Capacity=43.3</x:v>
      </x:c>
    </x:row>
    <x:row r="522">
      <x:c r="A522" t="n">
        <x:v>519</x:v>
      </x:c>
      <x:c r="B522" t="str">
        <x:v>PTN Akademik</x:v>
      </x:c>
      <x:c r="C522" t="str">
        <x:v>UNIVERSITAS NEGERI PADANG</x:v>
      </x:c>
      <x:c r="D522" t="str">
        <x:v>MANAJEMEN PERHOTELAN (NK)</x:v>
      </x:c>
      <x:c r="E522" t="str">
        <x:v>Sarjana Terapan</x:v>
      </x:c>
      <x:c r="F522" s="18" t="n">
        <x:v>88</x:v>
      </x:c>
      <x:c r="G522" s="18" t="n">
        <x:v>1531</x:v>
      </x:c>
      <x:c r="H522" s="19" t="n">
        <x:v>17.397727272727273</x:v>
      </x:c>
      <x:c r="I522" s="18" t="n">
        <x:f>ROUND(MIN(Model_Config_v3!$B$6,MAX(Q522,R522,S522*Model_Config_v3!$B$4+T522*Model_Config_v3!$B$5)),0)</x:f>
        <x:v>674</x:v>
      </x:c>
      <x:c r="J522" s="18" t="n">
        <x:f>MIN(Model_Config_v3!$B$6,I522+Model_Config_v3!$B$7)</x:f>
        <x:v>694</x:v>
      </x:c>
      <x:c r="K522" s="20" t="n">
        <x:v>61</x:v>
      </x:c>
      <x:c r="L522" t="str">
        <x:v>KETAT</x:v>
      </x:c>
      <x:c r="M522" t="str">
        <x:v>SEDANG+</x:v>
      </x:c>
      <x:c r="N522" t="str">
        <x:v>REGULER</x:v>
      </x:c>
      <x:c r="O522" t="str">
        <x:v>SOSHUM</x:v>
      </x:c>
      <x:c r="P522" t="str">
        <x:v>BISNIS/EKONOMI/AKUNTANSI</x:v>
      </x:c>
      <x:c r="Q522" s="18" t="n">
        <x:v>0</x:v>
      </x:c>
      <x:c r="R522" s="18" t="n">
        <x:v>0</x:v>
      </x:c>
      <x:c r="S522" s="18" t="n">
        <x:v>656.4541770402901</x:v>
      </x:c>
      <x:c r="T522" s="18" t="n">
        <x:v>682</x:v>
      </x:c>
      <x:c r="U522" s="18" t="n">
        <x:v>671.4541770402901</x:v>
      </x:c>
      <x:c r="V522" s="20" t="n">
        <x:v>4.4</x:v>
      </x:c>
      <x:c r="W522" s="20" t="n">
        <x:v>14.3</x:v>
      </x:c>
      <x:c r="X522" s="20" t="n">
        <x:v>3.3</x:v>
      </x:c>
      <x:c r="Y522" t="str">
        <x:v>Basis arsip 2025/2024</x:v>
      </x:c>
      <x:c r="Z522" t="str">
        <x:v>https://snpmb.id/utbk-snbt/daya-tampung-snbt</x:v>
      </x:c>
      <x:c r="AA522" t="str">
        <x:v>Tidak Ada</x:v>
      </x:c>
      <x:c r="AB522" t="str">
        <x:v>Campus=55; Ratio=73.0; Prodi=65; RelDemand=78.3; Capacity=26.7</x:v>
      </x:c>
    </x:row>
    <x:row r="523">
      <x:c r="A523" t="n">
        <x:v>520</x:v>
      </x:c>
      <x:c r="B523" t="str">
        <x:v>PTN Akademik</x:v>
      </x:c>
      <x:c r="C523" t="str">
        <x:v>UNIVERSITAS NEGERI PADANG</x:v>
      </x:c>
      <x:c r="D523" t="str">
        <x:v>PENGINDERAAN JAUH DAN SISTEM INFORMASI GEOGRAFIS</x:v>
      </x:c>
      <x:c r="E523" t="str">
        <x:v>Sarjana Terapan</x:v>
      </x:c>
      <x:c r="F523" s="18" t="n">
        <x:v>32</x:v>
      </x:c>
      <x:c r="G523" s="18" t="n">
        <x:v>437</x:v>
      </x:c>
      <x:c r="H523" s="19" t="n">
        <x:v>13.65625</x:v>
      </x:c>
      <x:c r="I523" s="18" t="n">
        <x:f>ROUND(MIN(Model_Config_v3!$B$6,MAX(Q523,R523,S523*Model_Config_v3!$B$4+T523*Model_Config_v3!$B$5)),0)</x:f>
        <x:v>679</x:v>
      </x:c>
      <x:c r="J523" s="18" t="n">
        <x:f>MIN(Model_Config_v3!$B$6,I523+Model_Config_v3!$B$7)</x:f>
        <x:v>699</x:v>
      </x:c>
      <x:c r="K523" s="20" t="n">
        <x:v>66.4</x:v>
      </x:c>
      <x:c r="L523" t="str">
        <x:v>SANGAT KETAT</x:v>
      </x:c>
      <x:c r="M523" t="str">
        <x:v>SEDANG+</x:v>
      </x:c>
      <x:c r="N523" t="str">
        <x:v>REGULER</x:v>
      </x:c>
      <x:c r="O523" t="str">
        <x:v>CAMPURAN</x:v>
      </x:c>
      <x:c r="P523" t="str">
        <x:v>KOMPUTER/INFORMATIKA</x:v>
      </x:c>
      <x:c r="Q523" s="18" t="n">
        <x:v>0</x:v>
      </x:c>
      <x:c r="R523" s="18" t="n">
        <x:v>0</x:v>
      </x:c>
      <x:c r="S523" s="18" t="n">
        <x:v>644.8864604515568</x:v>
      </x:c>
      <x:c r="T523" s="18" t="n">
        <x:v>693</x:v>
      </x:c>
      <x:c r="U523" s="18" t="n">
        <x:v>669.8864604515568</x:v>
      </x:c>
      <x:c r="V523" s="20" t="n">
        <x:v>8.8</x:v>
      </x:c>
      <x:c r="W523" s="20" t="n">
        <x:v>9.9</x:v>
      </x:c>
      <x:c r="X523" s="20" t="n">
        <x:v>3.3</x:v>
      </x:c>
      <x:c r="Y523" t="str">
        <x:v>Basis arsip 2025/2024</x:v>
      </x:c>
      <x:c r="Z523" t="str">
        <x:v>https://snpmb.id/utbk-snbt/daya-tampung-snbt</x:v>
      </x:c>
      <x:c r="AA523" t="str">
        <x:v>Tidak Ada</x:v>
      </x:c>
      <x:c r="AB523" t="str">
        <x:v>Campus=55; Ratio=66.8; Prodi=85; RelDemand=61.4; Capacity=73.3</x:v>
      </x:c>
    </x:row>
    <x:row r="524">
      <x:c r="A524" t="n">
        <x:v>521</x:v>
      </x:c>
      <x:c r="B524" t="str">
        <x:v>PTN Akademik</x:v>
      </x:c>
      <x:c r="C524" t="str">
        <x:v>UNIVERSITAS NEGERI PADANG</x:v>
      </x:c>
      <x:c r="D524" t="str">
        <x:v>TEKNOLOGI REKAYASA SISTEM ELEKTRONIKA</x:v>
      </x:c>
      <x:c r="E524" t="str">
        <x:v>Sarjana Terapan</x:v>
      </x:c>
      <x:c r="F524" s="18" t="n">
        <x:v>32</x:v>
      </x:c>
      <x:c r="G524" s="18" t="n">
        <x:v>242</x:v>
      </x:c>
      <x:c r="H524" s="19" t="n">
        <x:v>7.5625</x:v>
      </x:c>
      <x:c r="I524" s="18" t="n">
        <x:f>ROUND(MIN(Model_Config_v3!$B$6,MAX(Q524,R524,S524*Model_Config_v3!$B$4+T524*Model_Config_v3!$B$5)),0)</x:f>
        <x:v>648</x:v>
      </x:c>
      <x:c r="J524" s="18" t="n">
        <x:f>MIN(Model_Config_v3!$B$6,I524+Model_Config_v3!$B$7)</x:f>
        <x:v>668</x:v>
      </x:c>
      <x:c r="K524" s="20" t="n">
        <x:v>50.9</x:v>
      </x:c>
      <x:c r="L524" t="str">
        <x:v>MENENGAH</x:v>
      </x:c>
      <x:c r="M524" t="str">
        <x:v>SEDANG</x:v>
      </x:c>
      <x:c r="N524" t="str">
        <x:v>REGULER</x:v>
      </x:c>
      <x:c r="O524" t="str">
        <x:v>SAINTEK</x:v>
      </x:c>
      <x:c r="P524" t="str">
        <x:v>UMUM</x:v>
      </x:c>
      <x:c r="Q524" s="18" t="n">
        <x:v>0</x:v>
      </x:c>
      <x:c r="R524" s="18" t="n">
        <x:v>0</x:v>
      </x:c>
      <x:c r="S524" s="18" t="n">
        <x:v>616.6531926426578</x:v>
      </x:c>
      <x:c r="T524" s="18" t="n">
        <x:v>662</x:v>
      </x:c>
      <x:c r="U524" s="18" t="n">
        <x:v>616.6531926426578</x:v>
      </x:c>
      <x:c r="V524" s="20" t="n">
        <x:v>12</x:v>
      </x:c>
      <x:c r="W524" s="20" t="n">
        <x:v>5</x:v>
      </x:c>
      <x:c r="X524" s="20" t="n">
        <x:v>3</x:v>
      </x:c>
      <x:c r="Y524" t="str">
        <x:v>Basis arsip 2025/2024</x:v>
      </x:c>
      <x:c r="Z524" t="str">
        <x:v>https://snpmb.id/utbk-snbt/daya-tampung-snbt</x:v>
      </x:c>
      <x:c r="AA524" t="str">
        <x:v>Tidak Ada</x:v>
      </x:c>
      <x:c r="AB524" t="str">
        <x:v>Campus=55; Ratio=51.7; Prodi=40; RelDemand=34.0; Capacity=73.3</x:v>
      </x:c>
    </x:row>
    <x:row r="525">
      <x:c r="A525" t="n">
        <x:v>522</x:v>
      </x:c>
      <x:c r="B525" t="str">
        <x:v>PTN Akademik</x:v>
      </x:c>
      <x:c r="C525" t="str">
        <x:v>UNIVERSITAS NEGERI PADANG</x:v>
      </x:c>
      <x:c r="D525" t="str">
        <x:v>MANAJEMEN PERHOTELAN PSDKU PAYAKUMBUH</x:v>
      </x:c>
      <x:c r="E525" t="str">
        <x:v>Sarjana Terapan</x:v>
      </x:c>
      <x:c r="F525" s="18" t="n">
        <x:v>24</x:v>
      </x:c>
      <x:c r="G525" s="18"/>
      <x:c r="H525" s="19" t="n">
        <x:v>0</x:v>
      </x:c>
      <x:c r="I525" s="18" t="n">
        <x:f>ROUND(MIN(Model_Config_v3!$B$6,MAX(Q525,R525,S525*Model_Config_v3!$B$4+T525*Model_Config_v3!$B$5)),0)</x:f>
        <x:v>604</x:v>
      </x:c>
      <x:c r="J525" s="18" t="n">
        <x:f>MIN(Model_Config_v3!$B$6,I525+Model_Config_v3!$B$7)</x:f>
        <x:v>624</x:v>
      </x:c>
      <x:c r="K525" s="20" t="n">
        <x:v>40.2</x:v>
      </x:c>
      <x:c r="L525" t="str">
        <x:v>RELATIF LONGGAR</x:v>
      </x:c>
      <x:c r="M525" t="str">
        <x:v>RENDAH</x:v>
      </x:c>
      <x:c r="N525" t="str">
        <x:v>REGULER</x:v>
      </x:c>
      <x:c r="O525" t="str">
        <x:v>SOSHUM</x:v>
      </x:c>
      <x:c r="P525" t="str">
        <x:v>BISNIS/EKONOMI/AKUNTANSI</x:v>
      </x:c>
      <x:c r="Q525" s="18" t="n">
        <x:v>0</x:v>
      </x:c>
      <x:c r="R525" s="18" t="n">
        <x:v>0</x:v>
      </x:c>
      <x:c r="S525" s="18" t="n">
        <x:v>520</x:v>
      </x:c>
      <x:c r="T525" s="18" t="n">
        <x:v>640</x:v>
      </x:c>
      <x:c r="U525" s="18" t="n">
        <x:v>535</x:v>
      </x:c>
      <x:c r="V525" s="20" t="n">
        <x:v>4.4</x:v>
      </x:c>
      <x:c r="W525" s="20" t="n">
        <x:v>14.3</x:v>
      </x:c>
      <x:c r="X525" s="20" t="n">
        <x:v>3.3</x:v>
      </x:c>
      <x:c r="Y525" t="str">
        <x:v>Basis arsip 2025/2024</x:v>
      </x:c>
      <x:c r="Z525" t="str">
        <x:v>https://snpmb.id/utbk-snbt/daya-tampung-snbt</x:v>
      </x:c>
      <x:c r="AA525" t="str">
        <x:v>Tidak Ada</x:v>
      </x:c>
      <x:c r="AB525" t="str">
        <x:v>Campus=55; Ratio=0.0; Prodi=65; RelDemand=0.0; Capacity=80.0</x:v>
      </x:c>
    </x:row>
    <x:row r="526">
      <x:c r="A526" t="n">
        <x:v>523</x:v>
      </x:c>
      <x:c r="B526" t="str">
        <x:v>PTN Akademik</x:v>
      </x:c>
      <x:c r="C526" t="str">
        <x:v>UNIVERSITAS NEGERI PADANG</x:v>
      </x:c>
      <x:c r="D526" t="str">
        <x:v>TEKNOLOGI KOSMETIK</x:v>
      </x:c>
      <x:c r="E526" t="str">
        <x:v>Sarjana Terapan</x:v>
      </x:c>
      <x:c r="F526" s="18" t="n">
        <x:v>12</x:v>
      </x:c>
      <x:c r="G526" s="18"/>
      <x:c r="H526" s="19" t="n">
        <x:v>0</x:v>
      </x:c>
      <x:c r="I526" s="18" t="n">
        <x:f>ROUND(MIN(Model_Config_v3!$B$6,MAX(Q526,R526,S526*Model_Config_v3!$B$4+T526*Model_Config_v3!$B$5)),0)</x:f>
        <x:v>598</x:v>
      </x:c>
      <x:c r="J526" s="18" t="n">
        <x:f>MIN(Model_Config_v3!$B$6,I526+Model_Config_v3!$B$7)</x:f>
        <x:v>618</x:v>
      </x:c>
      <x:c r="K526" s="20" t="n">
        <x:v>36.2</x:v>
      </x:c>
      <x:c r="L526" t="str">
        <x:v>RELATIF LONGGAR</x:v>
      </x:c>
      <x:c r="M526" t="str">
        <x:v>RENDAH</x:v>
      </x:c>
      <x:c r="N526" t="str">
        <x:v>REGULER</x:v>
      </x:c>
      <x:c r="O526" t="str">
        <x:v>SAINTEK</x:v>
      </x:c>
      <x:c r="P526" t="str">
        <x:v>UMUM</x:v>
      </x:c>
      <x:c r="Q526" s="18" t="n">
        <x:v>0</x:v>
      </x:c>
      <x:c r="R526" s="18" t="n">
        <x:v>0</x:v>
      </x:c>
      <x:c r="S526" s="18" t="n">
        <x:v>520</x:v>
      </x:c>
      <x:c r="T526" s="18" t="n">
        <x:v>632</x:v>
      </x:c>
      <x:c r="U526" s="18" t="n">
        <x:v>520</x:v>
      </x:c>
      <x:c r="V526" s="20" t="n">
        <x:v>12</x:v>
      </x:c>
      <x:c r="W526" s="20" t="n">
        <x:v>5</x:v>
      </x:c>
      <x:c r="X526" s="20" t="n">
        <x:v>3</x:v>
      </x:c>
      <x:c r="Y526" t="str">
        <x:v>Basis arsip 2025/2024</x:v>
      </x:c>
      <x:c r="Z526" t="str">
        <x:v>https://snpmb.id/utbk-snbt/daya-tampung-snbt</x:v>
      </x:c>
      <x:c r="AA526" t="str">
        <x:v>Tidak Ada</x:v>
      </x:c>
      <x:c r="AB526" t="str">
        <x:v>Campus=55; Ratio=0.0; Prodi=40; RelDemand=0.0; Capacity=90.0</x:v>
      </x:c>
    </x:row>
    <x:row r="527">
      <x:c r="A527" t="n">
        <x:v>524</x:v>
      </x:c>
      <x:c r="B527" t="str">
        <x:v>PTN Akademik</x:v>
      </x:c>
      <x:c r="C527" t="str">
        <x:v>UNIVERSITAS NEGERI PADANG</x:v>
      </x:c>
      <x:c r="D527" t="str">
        <x:v>TEKNIK SIPIL BANGUNAN GEDUNG</x:v>
      </x:c>
      <x:c r="E527" t="str">
        <x:v>Diploma Tiga</x:v>
      </x:c>
      <x:c r="F527" s="18" t="n">
        <x:v>28</x:v>
      </x:c>
      <x:c r="G527" s="18" t="n">
        <x:v>599</x:v>
      </x:c>
      <x:c r="H527" s="19" t="n">
        <x:v>21.392857142857142</x:v>
      </x:c>
      <x:c r="I527" s="18" t="n">
        <x:f>ROUND(MIN(Model_Config_v3!$B$6,MAX(Q527,R527,S527*Model_Config_v3!$B$4+T527*Model_Config_v3!$B$5)),0)</x:f>
        <x:v>687</x:v>
      </x:c>
      <x:c r="J527" s="18" t="n">
        <x:f>MIN(Model_Config_v3!$B$6,I527+Model_Config_v3!$B$7)</x:f>
        <x:v>707</x:v>
      </x:c>
      <x:c r="K527" s="20" t="n">
        <x:v>68.1</x:v>
      </x:c>
      <x:c r="L527" t="str">
        <x:v>SANGAT KETAT</x:v>
      </x:c>
      <x:c r="M527" t="str">
        <x:v>SEDANG+</x:v>
      </x:c>
      <x:c r="N527" t="str">
        <x:v>REGULER</x:v>
      </x:c>
      <x:c r="O527" t="str">
        <x:v>SAINTEK</x:v>
      </x:c>
      <x:c r="P527" t="str">
        <x:v>TEKNIK/ARSITEKTUR/STATISTIKA/AKTUARIA</x:v>
      </x:c>
      <x:c r="Q527" s="18" t="n">
        <x:v>0</x:v>
      </x:c>
      <x:c r="R527" s="18" t="n">
        <x:v>0</x:v>
      </x:c>
      <x:c r="S527" s="18" t="n">
        <x:v>666.3295670151801</x:v>
      </x:c>
      <x:c r="T527" s="18" t="n">
        <x:v>696</x:v>
      </x:c>
      <x:c r="U527" s="18" t="n">
        <x:v>676.3295670151801</x:v>
      </x:c>
      <x:c r="V527" s="20" t="n">
        <x:v>12</x:v>
      </x:c>
      <x:c r="W527" s="20" t="n">
        <x:v>5</x:v>
      </x:c>
      <x:c r="X527" s="20" t="n">
        <x:v>3</x:v>
      </x:c>
      <x:c r="Y527" t="str">
        <x:v>Basis arsip 2025/2024</x:v>
      </x:c>
      <x:c r="Z527" t="str">
        <x:v>https://snpmb.id/utbk-snbt/daya-tampung-snbt</x:v>
      </x:c>
      <x:c r="AA527" t="str">
        <x:v>Tidak Ada</x:v>
      </x:c>
      <x:c r="AB527" t="str">
        <x:v>Campus=55; Ratio=78.3; Prodi=60; RelDemand=96.2; Capacity=76.7</x:v>
      </x:c>
    </x:row>
    <x:row r="528">
      <x:c r="A528" t="n">
        <x:v>525</x:v>
      </x:c>
      <x:c r="B528" t="str">
        <x:v>PTN Akademik</x:v>
      </x:c>
      <x:c r="C528" t="str">
        <x:v>UNIVERSITAS NEGERI PADANG</x:v>
      </x:c>
      <x:c r="D528" t="str">
        <x:v>MANAJEMEN PAJAK</x:v>
      </x:c>
      <x:c r="E528" t="str">
        <x:v>Diploma Tiga</x:v>
      </x:c>
      <x:c r="F528" s="18" t="n">
        <x:v>48</x:v>
      </x:c>
      <x:c r="G528" s="18" t="n">
        <x:v>2306</x:v>
      </x:c>
      <x:c r="H528" s="19" t="n">
        <x:v>48.041666666666664</x:v>
      </x:c>
      <x:c r="I528" s="18" t="n">
        <x:f>ROUND(MIN(Model_Config_v3!$B$6,MAX(Q528,R528,S528*Model_Config_v3!$B$4+T528*Model_Config_v3!$B$5)),0)</x:f>
        <x:v>706</x:v>
      </x:c>
      <x:c r="J528" s="18" t="n">
        <x:f>MIN(Model_Config_v3!$B$6,I528+Model_Config_v3!$B$7)</x:f>
        <x:v>726</x:v>
      </x:c>
      <x:c r="K528" s="20" t="n">
        <x:v>73</x:v>
      </x:c>
      <x:c r="L528" t="str">
        <x:v>SANGAT KETAT</x:v>
      </x:c>
      <x:c r="M528" t="str">
        <x:v>SEDANG+</x:v>
      </x:c>
      <x:c r="N528" t="str">
        <x:v>REGULER</x:v>
      </x:c>
      <x:c r="O528" t="str">
        <x:v>SOSHUM</x:v>
      </x:c>
      <x:c r="P528" t="str">
        <x:v>BISNIS/EKONOMI/AKUNTANSI</x:v>
      </x:c>
      <x:c r="Q528" s="18" t="n">
        <x:v>0</x:v>
      </x:c>
      <x:c r="R528" s="18" t="n">
        <x:v>0</x:v>
      </x:c>
      <x:c r="S528" s="18" t="n">
        <x:v>704.9779872141402</x:v>
      </x:c>
      <x:c r="T528" s="18" t="n">
        <x:v>706</x:v>
      </x:c>
      <x:c r="U528" s="18" t="n">
        <x:v>719.9779872141402</x:v>
      </x:c>
      <x:c r="V528" s="20" t="n">
        <x:v>4.4</x:v>
      </x:c>
      <x:c r="W528" s="20" t="n">
        <x:v>14.3</x:v>
      </x:c>
      <x:c r="X528" s="20" t="n">
        <x:v>3.3</x:v>
      </x:c>
      <x:c r="Y528" t="str">
        <x:v>Basis arsip 2025/2024</x:v>
      </x:c>
      <x:c r="Z528" t="str">
        <x:v>https://snpmb.id/utbk-snbt/daya-tampung-snbt</x:v>
      </x:c>
      <x:c r="AA528" t="str">
        <x:v>Tidak Ada</x:v>
      </x:c>
      <x:c r="AB528" t="str">
        <x:v>Campus=55; Ratio=99.0; Prodi=65; RelDemand=100.0; Capacity=60.0</x:v>
      </x:c>
    </x:row>
    <x:row r="529">
      <x:c r="A529" t="n">
        <x:v>526</x:v>
      </x:c>
      <x:c r="B529" t="str">
        <x:v>PTN Akademik</x:v>
      </x:c>
      <x:c r="C529" t="str">
        <x:v>UNIVERSITAS NEGERI PADANG</x:v>
      </x:c>
      <x:c r="D529" t="str">
        <x:v>INFORMASI, PERPUSTAKAAN &amp; KEARSIPAN</x:v>
      </x:c>
      <x:c r="E529" t="str">
        <x:v>Diploma Tiga</x:v>
      </x:c>
      <x:c r="F529" s="18" t="n">
        <x:v>32</x:v>
      </x:c>
      <x:c r="G529" s="18" t="n">
        <x:v>1600</x:v>
      </x:c>
      <x:c r="H529" s="19" t="n">
        <x:v>50</x:v>
      </x:c>
      <x:c r="I529" s="18" t="n">
        <x:f>ROUND(MIN(Model_Config_v3!$B$6,MAX(Q529,R529,S529*Model_Config_v3!$B$4+T529*Model_Config_v3!$B$5)),0)</x:f>
        <x:v>701</x:v>
      </x:c>
      <x:c r="J529" s="18" t="n">
        <x:f>MIN(Model_Config_v3!$B$6,I529+Model_Config_v3!$B$7)</x:f>
        <x:v>721</x:v>
      </x:c>
      <x:c r="K529" s="20" t="n">
        <x:v>69.6</x:v>
      </x:c>
      <x:c r="L529" t="str">
        <x:v>SANGAT KETAT</x:v>
      </x:c>
      <x:c r="M529" t="str">
        <x:v>SEDANG</x:v>
      </x:c>
      <x:c r="N529" t="str">
        <x:v>REGULER</x:v>
      </x:c>
      <x:c r="O529" t="str">
        <x:v>CAMPURAN</x:v>
      </x:c>
      <x:c r="P529" t="str">
        <x:v>UMUM</x:v>
      </x:c>
      <x:c r="Q529" s="18" t="n">
        <x:v>0</x:v>
      </x:c>
      <x:c r="R529" s="18" t="n">
        <x:v>0</x:v>
      </x:c>
      <x:c r="S529" s="18" t="n">
        <x:v>706.886700476962</x:v>
      </x:c>
      <x:c r="T529" s="18" t="n">
        <x:v>699</x:v>
      </x:c>
      <x:c r="U529" s="18" t="n">
        <x:v>706.886700476962</x:v>
      </x:c>
      <x:c r="V529" s="20" t="n">
        <x:v>8.8</x:v>
      </x:c>
      <x:c r="W529" s="20" t="n">
        <x:v>9.9</x:v>
      </x:c>
      <x:c r="X529" s="20" t="n">
        <x:v>3.3</x:v>
      </x:c>
      <x:c r="Y529" t="str">
        <x:v>Basis arsip 2025/2024</x:v>
      </x:c>
      <x:c r="Z529" t="str">
        <x:v>https://snpmb.id/utbk-snbt/daya-tampung-snbt</x:v>
      </x:c>
      <x:c r="AA529" t="str">
        <x:v>Tidak Ada</x:v>
      </x:c>
      <x:c r="AB529" t="str">
        <x:v>Campus=55; Ratio=100.0; Prodi=40; RelDemand=100.0; Capacity=73.3</x:v>
      </x:c>
    </x:row>
    <x:row r="530">
      <x:c r="A530" t="n">
        <x:v>527</x:v>
      </x:c>
      <x:c r="B530" t="str">
        <x:v>PTN Akademik</x:v>
      </x:c>
      <x:c r="C530" t="str">
        <x:v>UNIVERSITAS NEGERI PADANG</x:v>
      </x:c>
      <x:c r="D530" t="str">
        <x:v>TEKNIK LISTRIK</x:v>
      </x:c>
      <x:c r="E530" t="str">
        <x:v>Diploma Tiga</x:v>
      </x:c>
      <x:c r="F530" s="18" t="n">
        <x:v>32</x:v>
      </x:c>
      <x:c r="G530" s="18" t="n">
        <x:v>243</x:v>
      </x:c>
      <x:c r="H530" s="19" t="n">
        <x:v>7.59375</x:v>
      </x:c>
      <x:c r="I530" s="18" t="n">
        <x:f>ROUND(MIN(Model_Config_v3!$B$6,MAX(Q530,R530,S530*Model_Config_v3!$B$4+T530*Model_Config_v3!$B$5)),0)</x:f>
        <x:v>654</x:v>
      </x:c>
      <x:c r="J530" s="18" t="n">
        <x:f>MIN(Model_Config_v3!$B$6,I530+Model_Config_v3!$B$7)</x:f>
        <x:v>674</x:v>
      </x:c>
      <x:c r="K530" s="20" t="n">
        <x:v>55</x:v>
      </x:c>
      <x:c r="L530" t="str">
        <x:v>KETAT</x:v>
      </x:c>
      <x:c r="M530" t="str">
        <x:v>SEDANG+</x:v>
      </x:c>
      <x:c r="N530" t="str">
        <x:v>REGULER</x:v>
      </x:c>
      <x:c r="O530" t="str">
        <x:v>SAINTEK</x:v>
      </x:c>
      <x:c r="P530" t="str">
        <x:v>TEKNIK/ARSITEKTUR/STATISTIKA/AKTUARIA</x:v>
      </x:c>
      <x:c r="Q530" s="18" t="n">
        <x:v>0</x:v>
      </x:c>
      <x:c r="R530" s="18" t="n">
        <x:v>0</x:v>
      </x:c>
      <x:c r="S530" s="18" t="n">
        <x:v>616.8501924806246</x:v>
      </x:c>
      <x:c r="T530" s="18" t="n">
        <x:v>670</x:v>
      </x:c>
      <x:c r="U530" s="18" t="n">
        <x:v>626.8501924806246</x:v>
      </x:c>
      <x:c r="V530" s="20" t="n">
        <x:v>12</x:v>
      </x:c>
      <x:c r="W530" s="20" t="n">
        <x:v>5</x:v>
      </x:c>
      <x:c r="X530" s="20" t="n">
        <x:v>3</x:v>
      </x:c>
      <x:c r="Y530" t="str">
        <x:v>Basis arsip 2025/2024</x:v>
      </x:c>
      <x:c r="Z530" t="str">
        <x:v>https://snpmb.id/utbk-snbt/daya-tampung-snbt</x:v>
      </x:c>
      <x:c r="AA530" t="str">
        <x:v>Tidak Ada</x:v>
      </x:c>
      <x:c r="AB530" t="str">
        <x:v>Campus=55; Ratio=51.8; Prodi=60; RelDemand=34.2; Capacity=73.3</x:v>
      </x:c>
    </x:row>
    <x:row r="531">
      <x:c r="A531" t="n">
        <x:v>528</x:v>
      </x:c>
      <x:c r="B531" t="str">
        <x:v>PTN Akademik</x:v>
      </x:c>
      <x:c r="C531" t="str">
        <x:v>UNIVERSITAS NEGERI PADANG</x:v>
      </x:c>
      <x:c r="D531" t="str">
        <x:v>TATA BOGA</x:v>
      </x:c>
      <x:c r="E531" t="str">
        <x:v>Diploma Tiga</x:v>
      </x:c>
      <x:c r="F531" s="18" t="n">
        <x:v>48</x:v>
      </x:c>
      <x:c r="G531" s="18" t="n">
        <x:v>1177</x:v>
      </x:c>
      <x:c r="H531" s="19" t="n">
        <x:v>24.520833333333332</x:v>
      </x:c>
      <x:c r="I531" s="18" t="n">
        <x:f>ROUND(MIN(Model_Config_v3!$B$6,MAX(Q531,R531,S531*Model_Config_v3!$B$4+T531*Model_Config_v3!$B$5)),0)</x:f>
        <x:v>683</x:v>
      </x:c>
      <x:c r="J531" s="18" t="n">
        <x:f>MIN(Model_Config_v3!$B$6,I531+Model_Config_v3!$B$7)</x:f>
        <x:v>703</x:v>
      </x:c>
      <x:c r="K531" s="20" t="n">
        <x:v>63.7</x:v>
      </x:c>
      <x:c r="L531" t="str">
        <x:v>KETAT</x:v>
      </x:c>
      <x:c r="M531" t="str">
        <x:v>SEDANG</x:v>
      </x:c>
      <x:c r="N531" t="str">
        <x:v>REGULER</x:v>
      </x:c>
      <x:c r="O531" t="str">
        <x:v>CAMPURAN</x:v>
      </x:c>
      <x:c r="P531" t="str">
        <x:v>UMUM</x:v>
      </x:c>
      <x:c r="Q531" s="18" t="n">
        <x:v>0</x:v>
      </x:c>
      <x:c r="R531" s="18" t="n">
        <x:v>0</x:v>
      </x:c>
      <x:c r="S531" s="18" t="n">
        <x:v>672.8488748014632</x:v>
      </x:c>
      <x:c r="T531" s="18" t="n">
        <x:v>687</x:v>
      </x:c>
      <x:c r="U531" s="18" t="n">
        <x:v>672.8488748014632</x:v>
      </x:c>
      <x:c r="V531" s="20" t="n">
        <x:v>8.8</x:v>
      </x:c>
      <x:c r="W531" s="20" t="n">
        <x:v>9.9</x:v>
      </x:c>
      <x:c r="X531" s="20" t="n">
        <x:v>3.3</x:v>
      </x:c>
      <x:c r="Y531" t="str">
        <x:v>Basis arsip 2025/2024</x:v>
      </x:c>
      <x:c r="Z531" t="str">
        <x:v>https://snpmb.id/utbk-snbt/daya-tampung-snbt</x:v>
      </x:c>
      <x:c r="AA531" t="str">
        <x:v>Tidak Ada</x:v>
      </x:c>
      <x:c r="AB531" t="str">
        <x:v>Campus=55; Ratio=81.8; Prodi=40; RelDemand=100.0; Capacity=60.0</x:v>
      </x:c>
    </x:row>
    <x:row r="532">
      <x:c r="A532" t="n">
        <x:v>529</x:v>
      </x:c>
      <x:c r="B532" t="str">
        <x:v>PTN Akademik</x:v>
      </x:c>
      <x:c r="C532" t="str">
        <x:v>UNIVERSITAS NEGERI PADANG</x:v>
      </x:c>
      <x:c r="D532" t="str">
        <x:v>TEKNIK OTOMOTIF (KAMPUS KABUPATEN SAWAHLUNTO)</x:v>
      </x:c>
      <x:c r="E532" t="str">
        <x:v>Diploma Tiga</x:v>
      </x:c>
      <x:c r="F532" s="18" t="n">
        <x:v>20</x:v>
      </x:c>
      <x:c r="G532" s="18" t="n">
        <x:v>13</x:v>
      </x:c>
      <x:c r="H532" s="19" t="n">
        <x:v>0.65</x:v>
      </x:c>
      <x:c r="I532" s="18" t="n">
        <x:f>ROUND(MIN(Model_Config_v3!$B$6,MAX(Q532,R532,S532*Model_Config_v3!$B$4+T532*Model_Config_v3!$B$5)),0)</x:f>
        <x:v>604</x:v>
      </x:c>
      <x:c r="J532" s="18" t="n">
        <x:f>MIN(Model_Config_v3!$B$6,I532+Model_Config_v3!$B$7)</x:f>
        <x:v>624</x:v>
      </x:c>
      <x:c r="K532" s="20" t="n">
        <x:v>39.9</x:v>
      </x:c>
      <x:c r="L532" t="str">
        <x:v>RELATIF LONGGAR</x:v>
      </x:c>
      <x:c r="M532" t="str">
        <x:v>SEDANG+</x:v>
      </x:c>
      <x:c r="N532" t="str">
        <x:v>REGULER</x:v>
      </x:c>
      <x:c r="O532" t="str">
        <x:v>SAINTEK</x:v>
      </x:c>
      <x:c r="P532" t="str">
        <x:v>TEKNIK/ARSITEKTUR/STATISTIKA/AKTUARIA</x:v>
      </x:c>
      <x:c r="Q532" s="18" t="n">
        <x:v>0</x:v>
      </x:c>
      <x:c r="R532" s="18" t="n">
        <x:v>0</x:v>
      </x:c>
      <x:c r="S532" s="18" t="n">
        <x:v>520</x:v>
      </x:c>
      <x:c r="T532" s="18" t="n">
        <x:v>640</x:v>
      </x:c>
      <x:c r="U532" s="18" t="n">
        <x:v>530</x:v>
      </x:c>
      <x:c r="V532" s="20" t="n">
        <x:v>12</x:v>
      </x:c>
      <x:c r="W532" s="20" t="n">
        <x:v>5</x:v>
      </x:c>
      <x:c r="X532" s="20" t="n">
        <x:v>3</x:v>
      </x:c>
      <x:c r="Y532" t="str">
        <x:v>Basis arsip 2025/2024</x:v>
      </x:c>
      <x:c r="Z532" t="str">
        <x:v>https://snpmb.id/utbk-snbt/daya-tampung-snbt</x:v>
      </x:c>
      <x:c r="AA532" t="str">
        <x:v>Tidak Ada</x:v>
      </x:c>
      <x:c r="AB532" t="str">
        <x:v>Campus=55; Ratio=0.0; Prodi=60; RelDemand=2.9; Capacity=83.3</x:v>
      </x:c>
    </x:row>
    <x:row r="533">
      <x:c r="A533" t="n">
        <x:v>530</x:v>
      </x:c>
      <x:c r="B533" t="str">
        <x:v>PTN Akademik</x:v>
      </x:c>
      <x:c r="C533" t="str">
        <x:v>UNIVERSITAS NEGERI PADANG</x:v>
      </x:c>
      <x:c r="D533" t="str">
        <x:v>KEPERAWATAN PSDKU PARIAMAN</x:v>
      </x:c>
      <x:c r="E533" t="str">
        <x:v>Diploma Tiga</x:v>
      </x:c>
      <x:c r="F533" s="18" t="n">
        <x:v>92</x:v>
      </x:c>
      <x:c r="G533" s="18" t="n">
        <x:v>1571</x:v>
      </x:c>
      <x:c r="H533" s="19" t="n">
        <x:v>17.07608695652174</x:v>
      </x:c>
      <x:c r="I533" s="18" t="n">
        <x:f>ROUND(MIN(Model_Config_v3!$B$6,MAX(Q533,R533,S533*Model_Config_v3!$B$4+T533*Model_Config_v3!$B$5)),0)</x:f>
        <x:v>671</x:v>
      </x:c>
      <x:c r="J533" s="18" t="n">
        <x:f>MIN(Model_Config_v3!$B$6,I533+Model_Config_v3!$B$7)</x:f>
        <x:v>691</x:v>
      </x:c>
      <x:c r="K533" s="20" t="n">
        <x:v>58.4</x:v>
      </x:c>
      <x:c r="L533" t="str">
        <x:v>KETAT</x:v>
      </x:c>
      <x:c r="M533" t="str">
        <x:v>SEDANG+</x:v>
      </x:c>
      <x:c r="N533" t="str">
        <x:v>REGULER</x:v>
      </x:c>
      <x:c r="O533" t="str">
        <x:v>SAINTEK</x:v>
      </x:c>
      <x:c r="P533" t="str">
        <x:v>KESEHAT/GIZI/KEPERAWATAN</x:v>
      </x:c>
      <x:c r="Q533" s="18" t="n">
        <x:v>0</x:v>
      </x:c>
      <x:c r="R533" s="18" t="n">
        <x:v>0</x:v>
      </x:c>
      <x:c r="S533" s="18" t="n">
        <x:v>655.562719346386</x:v>
      </x:c>
      <x:c r="T533" s="18" t="n">
        <x:v>677</x:v>
      </x:c>
      <x:c r="U533" s="18" t="n">
        <x:v>655.562719346386</x:v>
      </x:c>
      <x:c r="V533" s="20" t="n">
        <x:v>12</x:v>
      </x:c>
      <x:c r="W533" s="20" t="n">
        <x:v>5</x:v>
      </x:c>
      <x:c r="X533" s="20" t="n">
        <x:v>3</x:v>
      </x:c>
      <x:c r="Y533" t="str">
        <x:v>Basis arsip 2025/2024</x:v>
      </x:c>
      <x:c r="Z533" t="str">
        <x:v>https://snpmb.id/utbk-snbt/daya-tampung-snbt</x:v>
      </x:c>
      <x:c r="AA533" t="str">
        <x:v>Tidak Ada</x:v>
      </x:c>
      <x:c r="AB533" t="str">
        <x:v>Campus=55; Ratio=72.5; Prodi=55; RelDemand=76.8; Capacity=23.3</x:v>
      </x:c>
    </x:row>
    <x:row r="534">
      <x:c r="A534" t="n">
        <x:v>531</x:v>
      </x:c>
      <x:c r="B534" t="str">
        <x:v>PTN Akademik</x:v>
      </x:c>
      <x:c r="C534" t="str">
        <x:v>UNIVERSITAS NEGERI PADANG</x:v>
      </x:c>
      <x:c r="D534" t="str">
        <x:v>TEKNIK PERTAMBANGAN</x:v>
      </x:c>
      <x:c r="E534" t="str">
        <x:v>Diploma Tiga</x:v>
      </x:c>
      <x:c r="F534" s="18" t="n">
        <x:v>30</x:v>
      </x:c>
      <x:c r="G534" s="18" t="n">
        <x:v>2381</x:v>
      </x:c>
      <x:c r="H534" s="19" t="n">
        <x:v>79.36666666666666</x:v>
      </x:c>
      <x:c r="I534" s="18" t="n">
        <x:f>ROUND(MIN(Model_Config_v3!$B$6,MAX(Q534,R534,S534*Model_Config_v3!$B$4+T534*Model_Config_v3!$B$5)),0)</x:f>
        <x:v>714</x:v>
      </x:c>
      <x:c r="J534" s="18" t="n">
        <x:f>MIN(Model_Config_v3!$B$6,I534+Model_Config_v3!$B$7)</x:f>
        <x:v>734</x:v>
      </x:c>
      <x:c r="K534" s="20" t="n">
        <x:v>73.8</x:v>
      </x:c>
      <x:c r="L534" t="str">
        <x:v>SANGAT KETAT</x:v>
      </x:c>
      <x:c r="M534" t="str">
        <x:v>SEDANG+</x:v>
      </x:c>
      <x:c r="N534" t="str">
        <x:v>REGULER</x:v>
      </x:c>
      <x:c r="O534" t="str">
        <x:v>SAINTEK</x:v>
      </x:c>
      <x:c r="P534" t="str">
        <x:v>TEKNIK/ARSITEKTUR/STATISTIKA/AKTUARIA</x:v>
      </x:c>
      <x:c r="Q534" s="18" t="n">
        <x:v>0</x:v>
      </x:c>
      <x:c r="R534" s="18" t="n">
        <x:v>0</x:v>
      </x:c>
      <x:c r="S534" s="18" t="n">
        <x:v>728.9601954753739</x:v>
      </x:c>
      <x:c r="T534" s="18" t="n">
        <x:v>708</x:v>
      </x:c>
      <x:c r="U534" s="18" t="n">
        <x:v>738.9601954753739</x:v>
      </x:c>
      <x:c r="V534" s="20" t="n">
        <x:v>12</x:v>
      </x:c>
      <x:c r="W534" s="20" t="n">
        <x:v>5</x:v>
      </x:c>
      <x:c r="X534" s="20" t="n">
        <x:v>3</x:v>
      </x:c>
      <x:c r="Y534" t="str">
        <x:v>Basis arsip 2025/2024</x:v>
      </x:c>
      <x:c r="Z534" t="str">
        <x:v>https://snpmb.id/utbk-snbt/daya-tampung-snbt</x:v>
      </x:c>
      <x:c r="AA534" t="str">
        <x:v>Tidak Ada</x:v>
      </x:c>
      <x:c r="AB534" t="str">
        <x:v>Campus=55; Ratio=100.0; Prodi=60; RelDemand=100.0; Capacity=75.0</x:v>
      </x:c>
    </x:row>
    <x:row r="535">
      <x:c r="A535" t="n">
        <x:v>532</x:v>
      </x:c>
      <x:c r="B535" t="str">
        <x:v>PTN Akademik</x:v>
      </x:c>
      <x:c r="C535" t="str">
        <x:v>UNIVERSITAS NEGERI PADANG</x:v>
      </x:c>
      <x:c r="D535" t="str">
        <x:v>MANAJEMEN PERDAGANGAN</x:v>
      </x:c>
      <x:c r="E535" t="str">
        <x:v>Diploma Tiga</x:v>
      </x:c>
      <x:c r="F535" s="18" t="n">
        <x:v>48</x:v>
      </x:c>
      <x:c r="G535" s="18" t="n">
        <x:v>1182</x:v>
      </x:c>
      <x:c r="H535" s="19" t="n">
        <x:v>24.625</x:v>
      </x:c>
      <x:c r="I535" s="18" t="n">
        <x:f>ROUND(MIN(Model_Config_v3!$B$6,MAX(Q535,R535,S535*Model_Config_v3!$B$4+T535*Model_Config_v3!$B$5)),0)</x:f>
        <x:v>690</x:v>
      </x:c>
      <x:c r="J535" s="18" t="n">
        <x:f>MIN(Model_Config_v3!$B$6,I535+Model_Config_v3!$B$7)</x:f>
        <x:v>710</x:v>
      </x:c>
      <x:c r="K535" s="20" t="n">
        <x:v>68.7</x:v>
      </x:c>
      <x:c r="L535" t="str">
        <x:v>SANGAT KETAT</x:v>
      </x:c>
      <x:c r="M535" t="str">
        <x:v>SEDANG+</x:v>
      </x:c>
      <x:c r="N535" t="str">
        <x:v>REGULER</x:v>
      </x:c>
      <x:c r="O535" t="str">
        <x:v>SOSHUM</x:v>
      </x:c>
      <x:c r="P535" t="str">
        <x:v>BISNIS/EKONOMI/AKUNTANSI</x:v>
      </x:c>
      <x:c r="Q535" s="18" t="n">
        <x:v>0</x:v>
      </x:c>
      <x:c r="R535" s="18" t="n">
        <x:v>0</x:v>
      </x:c>
      <x:c r="S535" s="18" t="n">
        <x:v>673.0513863086614</x:v>
      </x:c>
      <x:c r="T535" s="18" t="n">
        <x:v>697</x:v>
      </x:c>
      <x:c r="U535" s="18" t="n">
        <x:v>688.0513863086614</x:v>
      </x:c>
      <x:c r="V535" s="20" t="n">
        <x:v>4.4</x:v>
      </x:c>
      <x:c r="W535" s="20" t="n">
        <x:v>14.3</x:v>
      </x:c>
      <x:c r="X535" s="20" t="n">
        <x:v>3.3</x:v>
      </x:c>
      <x:c r="Y535" t="str">
        <x:v>Basis arsip 2025/2024</x:v>
      </x:c>
      <x:c r="Z535" t="str">
        <x:v>https://snpmb.id/utbk-snbt/daya-tampung-snbt</x:v>
      </x:c>
      <x:c r="AA535" t="str">
        <x:v>Tidak Ada</x:v>
      </x:c>
      <x:c r="AB535" t="str">
        <x:v>Campus=55; Ratio=81.9; Prodi=65; RelDemand=100.0; Capacity=60.0</x:v>
      </x:c>
    </x:row>
    <x:row r="536">
      <x:c r="A536" t="n">
        <x:v>533</x:v>
      </x:c>
      <x:c r="B536" t="str">
        <x:v>PTN Akademik</x:v>
      </x:c>
      <x:c r="C536" t="str">
        <x:v>UNIVERSITAS NEGERI PADANG</x:v>
      </x:c>
      <x:c r="D536" t="str">
        <x:v>AKUNTANSI</x:v>
      </x:c>
      <x:c r="E536" t="str">
        <x:v>Diploma Tiga</x:v>
      </x:c>
      <x:c r="F536" s="18" t="n">
        <x:v>48</x:v>
      </x:c>
      <x:c r="G536" s="18" t="n">
        <x:v>1577</x:v>
      </x:c>
      <x:c r="H536" s="19" t="n">
        <x:v>32.854166666666664</x:v>
      </x:c>
      <x:c r="I536" s="18" t="n">
        <x:f>ROUND(MIN(Model_Config_v3!$B$6,MAX(Q536,R536,S536*Model_Config_v3!$B$4+T536*Model_Config_v3!$B$5)),0)</x:f>
        <x:v>697</x:v>
      </x:c>
      <x:c r="J536" s="18" t="n">
        <x:f>MIN(Model_Config_v3!$B$6,I536+Model_Config_v3!$B$7)</x:f>
        <x:v>717</x:v>
      </x:c>
      <x:c r="K536" s="20" t="n">
        <x:v>70.6</x:v>
      </x:c>
      <x:c r="L536" t="str">
        <x:v>SANGAT KETAT</x:v>
      </x:c>
      <x:c r="M536" t="str">
        <x:v>SEDANG+</x:v>
      </x:c>
      <x:c r="N536" t="str">
        <x:v>REGULER</x:v>
      </x:c>
      <x:c r="O536" t="str">
        <x:v>SOSHUM</x:v>
      </x:c>
      <x:c r="P536" t="str">
        <x:v>BISNIS/EKONOMI/AKUNTANSI</x:v>
      </x:c>
      <x:c r="Q536" s="18" t="n">
        <x:v>0</x:v>
      </x:c>
      <x:c r="R536" s="18" t="n">
        <x:v>0</x:v>
      </x:c>
      <x:c r="S536" s="18" t="n">
        <x:v>686.8249501548647</x:v>
      </x:c>
      <x:c r="T536" s="18" t="n">
        <x:v>701</x:v>
      </x:c>
      <x:c r="U536" s="18" t="n">
        <x:v>686.8249501548647</x:v>
      </x:c>
      <x:c r="V536" s="20" t="n">
        <x:v>4.4</x:v>
      </x:c>
      <x:c r="W536" s="20" t="n">
        <x:v>14.3</x:v>
      </x:c>
      <x:c r="X536" s="20" t="n">
        <x:v>3.3</x:v>
      </x:c>
      <x:c r="Y536" t="str">
        <x:v>Basis arsip 2025/2024</x:v>
      </x:c>
      <x:c r="Z536" t="str">
        <x:v>https://snpmb.id/utbk-snbt/daya-tampung-snbt</x:v>
      </x:c>
      <x:c r="AA536" t="str">
        <x:v>Tidak Ada</x:v>
      </x:c>
      <x:c r="AB536" t="str">
        <x:v>Campus=55; Ratio=89.3; Prodi=65; RelDemand=100.0; Capacity=60.0</x:v>
      </x:c>
    </x:row>
    <x:row r="537">
      <x:c r="A537" t="n">
        <x:v>534</x:v>
      </x:c>
      <x:c r="B537" t="str">
        <x:v>PTN Akademik</x:v>
      </x:c>
      <x:c r="C537" t="str">
        <x:v>UNIVERSITAS NEGERI PADANG</x:v>
      </x:c>
      <x:c r="D537" t="str">
        <x:v>TEKNIK OTOMOTIF</x:v>
      </x:c>
      <x:c r="E537" t="str">
        <x:v>Diploma Tiga</x:v>
      </x:c>
      <x:c r="F537" s="18" t="n">
        <x:v>32</x:v>
      </x:c>
      <x:c r="G537" s="18" t="n">
        <x:v>324</x:v>
      </x:c>
      <x:c r="H537" s="19" t="n">
        <x:v>10.125</x:v>
      </x:c>
      <x:c r="I537" s="18" t="n">
        <x:f>ROUND(MIN(Model_Config_v3!$B$6,MAX(Q537,R537,S537*Model_Config_v3!$B$4+T537*Model_Config_v3!$B$5)),0)</x:f>
        <x:v>662</x:v>
      </x:c>
      <x:c r="J537" s="18" t="n">
        <x:f>MIN(Model_Config_v3!$B$6,I537+Model_Config_v3!$B$7)</x:f>
        <x:v>682</x:v>
      </x:c>
      <x:c r="K537" s="20" t="n">
        <x:v>57.9</x:v>
      </x:c>
      <x:c r="L537" t="str">
        <x:v>KETAT</x:v>
      </x:c>
      <x:c r="M537" t="str">
        <x:v>SEDANG+</x:v>
      </x:c>
      <x:c r="N537" t="str">
        <x:v>REGULER</x:v>
      </x:c>
      <x:c r="O537" t="str">
        <x:v>SAINTEK</x:v>
      </x:c>
      <x:c r="P537" t="str">
        <x:v>TEKNIK/ARSITEKTUR/STATISTIKA/AKTUARIA</x:v>
      </x:c>
      <x:c r="Q537" s="18" t="n">
        <x:v>0</x:v>
      </x:c>
      <x:c r="R537" s="18" t="n">
        <x:v>0</x:v>
      </x:c>
      <x:c r="S537" s="18" t="n">
        <x:v>630.5934535075377</x:v>
      </x:c>
      <x:c r="T537" s="18" t="n">
        <x:v>676</x:v>
      </x:c>
      <x:c r="U537" s="18" t="n">
        <x:v>640.5934535075377</x:v>
      </x:c>
      <x:c r="V537" s="20" t="n">
        <x:v>12</x:v>
      </x:c>
      <x:c r="W537" s="20" t="n">
        <x:v>5</x:v>
      </x:c>
      <x:c r="X537" s="20" t="n">
        <x:v>3</x:v>
      </x:c>
      <x:c r="Y537" t="str">
        <x:v>Basis arsip 2025/2024</x:v>
      </x:c>
      <x:c r="Z537" t="str">
        <x:v>https://snpmb.id/utbk-snbt/daya-tampung-snbt</x:v>
      </x:c>
      <x:c r="AA537" t="str">
        <x:v>Tidak Ada</x:v>
      </x:c>
      <x:c r="AB537" t="str">
        <x:v>Campus=55; Ratio=59.2; Prodi=60; RelDemand=45.5; Capacity=73.3</x:v>
      </x:c>
    </x:row>
    <x:row r="538">
      <x:c r="A538" t="n">
        <x:v>535</x:v>
      </x:c>
      <x:c r="B538" t="str">
        <x:v>PTN Akademik</x:v>
      </x:c>
      <x:c r="C538" t="str">
        <x:v>UNIVERSITAS NEGERI PADANG</x:v>
      </x:c>
      <x:c r="D538" t="str">
        <x:v>TEKNIK MESIN</x:v>
      </x:c>
      <x:c r="E538" t="str">
        <x:v>Diploma Tiga</x:v>
      </x:c>
      <x:c r="F538" s="18" t="n">
        <x:v>36</x:v>
      </x:c>
      <x:c r="G538" s="18" t="n">
        <x:v>547</x:v>
      </x:c>
      <x:c r="H538" s="19" t="n">
        <x:v>15.194444444444445</x:v>
      </x:c>
      <x:c r="I538" s="18" t="n">
        <x:f>ROUND(MIN(Model_Config_v3!$B$6,MAX(Q538,R538,S538*Model_Config_v3!$B$4+T538*Model_Config_v3!$B$5)),0)</x:f>
        <x:v>674</x:v>
      </x:c>
      <x:c r="J538" s="18" t="n">
        <x:f>MIN(Model_Config_v3!$B$6,I538+Model_Config_v3!$B$7)</x:f>
        <x:v>694</x:v>
      </x:c>
      <x:c r="K538" s="20" t="n">
        <x:v>62.5</x:v>
      </x:c>
      <x:c r="L538" t="str">
        <x:v>KETAT</x:v>
      </x:c>
      <x:c r="M538" t="str">
        <x:v>SEDANG+</x:v>
      </x:c>
      <x:c r="N538" t="str">
        <x:v>REGULER</x:v>
      </x:c>
      <x:c r="O538" t="str">
        <x:v>SAINTEK</x:v>
      </x:c>
      <x:c r="P538" t="str">
        <x:v>TEKNIK/ARSITEKTUR/STATISTIKA/AKTUARIA</x:v>
      </x:c>
      <x:c r="Q538" s="18" t="n">
        <x:v>0</x:v>
      </x:c>
      <x:c r="R538" s="18" t="n">
        <x:v>0</x:v>
      </x:c>
      <x:c r="S538" s="18" t="n">
        <x:v>649.9853308122758</x:v>
      </x:c>
      <x:c r="T538" s="18" t="n">
        <x:v>685</x:v>
      </x:c>
      <x:c r="U538" s="18" t="n">
        <x:v>659.9853308122758</x:v>
      </x:c>
      <x:c r="V538" s="20" t="n">
        <x:v>12</x:v>
      </x:c>
      <x:c r="W538" s="20" t="n">
        <x:v>5</x:v>
      </x:c>
      <x:c r="X538" s="20" t="n">
        <x:v>3</x:v>
      </x:c>
      <x:c r="Y538" t="str">
        <x:v>Basis arsip 2025/2024</x:v>
      </x:c>
      <x:c r="Z538" t="str">
        <x:v>https://snpmb.id/utbk-snbt/daya-tampung-snbt</x:v>
      </x:c>
      <x:c r="AA538" t="str">
        <x:v>Tidak Ada</x:v>
      </x:c>
      <x:c r="AB538" t="str">
        <x:v>Campus=55; Ratio=69.6; Prodi=60; RelDemand=68.4; Capacity=70.0</x:v>
      </x:c>
    </x:row>
    <x:row r="539">
      <x:c r="A539" t="n">
        <x:v>536</x:v>
      </x:c>
      <x:c r="B539" t="str">
        <x:v>PTN Akademik</x:v>
      </x:c>
      <x:c r="C539" t="str">
        <x:v>UNIVERSITAS NEGERI PADANG</x:v>
      </x:c>
      <x:c r="D539" t="str">
        <x:v>STATISTIKA</x:v>
      </x:c>
      <x:c r="E539" t="str">
        <x:v>Diploma Tiga</x:v>
      </x:c>
      <x:c r="F539" s="18" t="n">
        <x:v>26</x:v>
      </x:c>
      <x:c r="G539" s="18" t="n">
        <x:v>653</x:v>
      </x:c>
      <x:c r="H539" s="19" t="n">
        <x:v>25.115384615384617</x:v>
      </x:c>
      <x:c r="I539" s="18" t="n">
        <x:f>ROUND(MIN(Model_Config_v3!$B$6,MAX(Q539,R539,S539*Model_Config_v3!$B$4+T539*Model_Config_v3!$B$5)),0)</x:f>
        <x:v>691</x:v>
      </x:c>
      <x:c r="J539" s="18" t="n">
        <x:f>MIN(Model_Config_v3!$B$6,I539+Model_Config_v3!$B$7)</x:f>
        <x:v>711</x:v>
      </x:c>
      <x:c r="K539" s="20" t="n">
        <x:v>69.7</x:v>
      </x:c>
      <x:c r="L539" t="str">
        <x:v>SANGAT KETAT</x:v>
      </x:c>
      <x:c r="M539" t="str">
        <x:v>SEDANG+</x:v>
      </x:c>
      <x:c r="N539" t="str">
        <x:v>REGULER</x:v>
      </x:c>
      <x:c r="O539" t="str">
        <x:v>SAINTEK</x:v>
      </x:c>
      <x:c r="P539" t="str">
        <x:v>TEKNIK/ARSITEKTUR/STATISTIKA/AKTUARIA</x:v>
      </x:c>
      <x:c r="Q539" s="18" t="n">
        <x:v>0</x:v>
      </x:c>
      <x:c r="R539" s="18" t="n">
        <x:v>0</x:v>
      </x:c>
      <x:c r="S539" s="18" t="n">
        <x:v>673.9933816634682</x:v>
      </x:c>
      <x:c r="T539" s="18" t="n">
        <x:v>699</x:v>
      </x:c>
      <x:c r="U539" s="18" t="n">
        <x:v>683.9933816634682</x:v>
      </x:c>
      <x:c r="V539" s="20" t="n">
        <x:v>12</x:v>
      </x:c>
      <x:c r="W539" s="20" t="n">
        <x:v>5</x:v>
      </x:c>
      <x:c r="X539" s="20" t="n">
        <x:v>3</x:v>
      </x:c>
      <x:c r="Y539" t="str">
        <x:v>Basis arsip 2025/2024</x:v>
      </x:c>
      <x:c r="Z539" t="str">
        <x:v>https://snpmb.id/utbk-snbt/daya-tampung-snbt</x:v>
      </x:c>
      <x:c r="AA539" t="str">
        <x:v>Tidak Ada</x:v>
      </x:c>
      <x:c r="AB539" t="str">
        <x:v>Campus=55; Ratio=82.4; Prodi=60; RelDemand=100.0; Capacity=78.3</x:v>
      </x:c>
    </x:row>
    <x:row r="540">
      <x:c r="A540" t="n">
        <x:v>537</x:v>
      </x:c>
      <x:c r="B540" t="str">
        <x:v>PTN Akademik</x:v>
      </x:c>
      <x:c r="C540" t="str">
        <x:v>UNIVERSITAS NEGERI PADANG</x:v>
      </x:c>
      <x:c r="D540" t="str">
        <x:v>TEKNIK PERTAMBANGAN (KAMPUS KABUPATEN SAWAHLUNTO)</x:v>
      </x:c>
      <x:c r="E540" t="str">
        <x:v>Diploma Tiga</x:v>
      </x:c>
      <x:c r="F540" s="18" t="n">
        <x:v>26</x:v>
      </x:c>
      <x:c r="G540" s="18" t="n">
        <x:v>232</x:v>
      </x:c>
      <x:c r="H540" s="19" t="n">
        <x:v>8.923076923076923</x:v>
      </x:c>
      <x:c r="I540" s="18" t="n">
        <x:f>ROUND(MIN(Model_Config_v3!$B$6,MAX(Q540,R540,S540*Model_Config_v3!$B$4+T540*Model_Config_v3!$B$5)),0)</x:f>
        <x:v>659</x:v>
      </x:c>
      <x:c r="J540" s="18" t="n">
        <x:f>MIN(Model_Config_v3!$B$6,I540+Model_Config_v3!$B$7)</x:f>
        <x:v>679</x:v>
      </x:c>
      <x:c r="K540" s="20" t="n">
        <x:v>57.1</x:v>
      </x:c>
      <x:c r="L540" t="str">
        <x:v>KETAT</x:v>
      </x:c>
      <x:c r="M540" t="str">
        <x:v>SEDANG+</x:v>
      </x:c>
      <x:c r="N540" t="str">
        <x:v>REGULER</x:v>
      </x:c>
      <x:c r="O540" t="str">
        <x:v>SAINTEK</x:v>
      </x:c>
      <x:c r="P540" t="str">
        <x:v>TEKNIK/ARSITEKTUR/STATISTIKA/AKTUARIA</x:v>
      </x:c>
      <x:c r="Q540" s="18" t="n">
        <x:v>0</x:v>
      </x:c>
      <x:c r="R540" s="18" t="n">
        <x:v>0</x:v>
      </x:c>
      <x:c r="S540" s="18" t="n">
        <x:v>624.556610061209</x:v>
      </x:c>
      <x:c r="T540" s="18" t="n">
        <x:v>674</x:v>
      </x:c>
      <x:c r="U540" s="18" t="n">
        <x:v>634.556610061209</x:v>
      </x:c>
      <x:c r="V540" s="20" t="n">
        <x:v>12</x:v>
      </x:c>
      <x:c r="W540" s="20" t="n">
        <x:v>5</x:v>
      </x:c>
      <x:c r="X540" s="20" t="n">
        <x:v>3</x:v>
      </x:c>
      <x:c r="Y540" t="str">
        <x:v>Basis arsip 2025/2024</x:v>
      </x:c>
      <x:c r="Z540" t="str">
        <x:v>https://snpmb.id/utbk-snbt/daya-tampung-snbt</x:v>
      </x:c>
      <x:c r="AA540" t="str">
        <x:v>Tidak Ada</x:v>
      </x:c>
      <x:c r="AB540" t="str">
        <x:v>Campus=55; Ratio=55.9; Prodi=60; RelDemand=40.1; Capacity=78.3</x:v>
      </x:c>
    </x:row>
    <x:row r="541">
      <x:c r="A541" t="n">
        <x:v>538</x:v>
      </x:c>
      <x:c r="B541" t="str">
        <x:v>PTN Akademik</x:v>
      </x:c>
      <x:c r="C541" t="str">
        <x:v>UNIVERSITAS NEGERI PADANG</x:v>
      </x:c>
      <x:c r="D541" t="str">
        <x:v>TATA BUSANA</x:v>
      </x:c>
      <x:c r="E541" t="str">
        <x:v>Diploma Tiga</x:v>
      </x:c>
      <x:c r="F541" s="18" t="n">
        <x:v>32</x:v>
      </x:c>
      <x:c r="G541" s="18" t="n">
        <x:v>572</x:v>
      </x:c>
      <x:c r="H541" s="19" t="n">
        <x:v>17.875</x:v>
      </x:c>
      <x:c r="I541" s="18" t="n">
        <x:f>ROUND(MIN(Model_Config_v3!$B$6,MAX(Q541,R541,S541*Model_Config_v3!$B$4+T541*Model_Config_v3!$B$5)),0)</x:f>
        <x:v>675</x:v>
      </x:c>
      <x:c r="J541" s="18" t="n">
        <x:f>MIN(Model_Config_v3!$B$6,I541+Model_Config_v3!$B$7)</x:f>
        <x:v>695</x:v>
      </x:c>
      <x:c r="K541" s="20" t="n">
        <x:v>61.1</x:v>
      </x:c>
      <x:c r="L541" t="str">
        <x:v>KETAT</x:v>
      </x:c>
      <x:c r="M541" t="str">
        <x:v>SEDANG</x:v>
      </x:c>
      <x:c r="N541" t="str">
        <x:v>REGULER</x:v>
      </x:c>
      <x:c r="O541" t="str">
        <x:v>CAMPURAN</x:v>
      </x:c>
      <x:c r="P541" t="str">
        <x:v>UMUM</x:v>
      </x:c>
      <x:c r="Q541" s="18" t="n">
        <x:v>0</x:v>
      </x:c>
      <x:c r="R541" s="18" t="n">
        <x:v>0</x:v>
      </x:c>
      <x:c r="S541" s="18" t="n">
        <x:v>657.747065552043</x:v>
      </x:c>
      <x:c r="T541" s="18" t="n">
        <x:v>682</x:v>
      </x:c>
      <x:c r="U541" s="18" t="n">
        <x:v>657.747065552043</x:v>
      </x:c>
      <x:c r="V541" s="20" t="n">
        <x:v>8.8</x:v>
      </x:c>
      <x:c r="W541" s="20" t="n">
        <x:v>9.9</x:v>
      </x:c>
      <x:c r="X541" s="20" t="n">
        <x:v>3.3</x:v>
      </x:c>
      <x:c r="Y541" t="str">
        <x:v>Basis arsip 2025/2024</x:v>
      </x:c>
      <x:c r="Z541" t="str">
        <x:v>https://snpmb.id/utbk-snbt/daya-tampung-snbt</x:v>
      </x:c>
      <x:c r="AA541" t="str">
        <x:v>Tidak Ada</x:v>
      </x:c>
      <x:c r="AB541" t="str">
        <x:v>Campus=55; Ratio=73.7; Prodi=40; RelDemand=80.4; Capacity=73.3</x:v>
      </x:c>
    </x:row>
    <x:row r="542">
      <x:c r="A542" t="n">
        <x:v>539</x:v>
      </x:c>
      <x:c r="B542" t="str">
        <x:v>PTN Akademik</x:v>
      </x:c>
      <x:c r="C542" t="str">
        <x:v>UNIVERSITAS NEGERI PADANG</x:v>
      </x:c>
      <x:c r="D542" t="str">
        <x:v>TATA BOGA PSDKU PAYAKUMBUH</x:v>
      </x:c>
      <x:c r="E542" t="str">
        <x:v>Diploma Tiga</x:v>
      </x:c>
      <x:c r="F542" s="18" t="n">
        <x:v>16</x:v>
      </x:c>
      <x:c r="G542" s="18"/>
      <x:c r="H542" s="19" t="n">
        <x:v>0</x:v>
      </x:c>
      <x:c r="I542" s="18" t="n">
        <x:f>ROUND(MIN(Model_Config_v3!$B$6,MAX(Q542,R542,S542*Model_Config_v3!$B$4+T542*Model_Config_v3!$B$5)),0)</x:f>
        <x:v>598</x:v>
      </x:c>
      <x:c r="J542" s="18" t="n">
        <x:f>MIN(Model_Config_v3!$B$6,I542+Model_Config_v3!$B$7)</x:f>
        <x:v>618</x:v>
      </x:c>
      <x:c r="K542" s="20" t="n">
        <x:v>35.9</x:v>
      </x:c>
      <x:c r="L542" t="str">
        <x:v>RELATIF LONGGAR</x:v>
      </x:c>
      <x:c r="M542" t="str">
        <x:v>RENDAH</x:v>
      </x:c>
      <x:c r="N542" t="str">
        <x:v>REGULER</x:v>
      </x:c>
      <x:c r="O542" t="str">
        <x:v>CAMPURAN</x:v>
      </x:c>
      <x:c r="P542" t="str">
        <x:v>UMUM</x:v>
      </x:c>
      <x:c r="Q542" s="18" t="n">
        <x:v>0</x:v>
      </x:c>
      <x:c r="R542" s="18" t="n">
        <x:v>0</x:v>
      </x:c>
      <x:c r="S542" s="18" t="n">
        <x:v>520</x:v>
      </x:c>
      <x:c r="T542" s="18" t="n">
        <x:v>632</x:v>
      </x:c>
      <x:c r="U542" s="18" t="n">
        <x:v>520</x:v>
      </x:c>
      <x:c r="V542" s="20" t="n">
        <x:v>8.8</x:v>
      </x:c>
      <x:c r="W542" s="20" t="n">
        <x:v>9.9</x:v>
      </x:c>
      <x:c r="X542" s="20" t="n">
        <x:v>3.3</x:v>
      </x:c>
      <x:c r="Y542" t="str">
        <x:v>Basis arsip 2025/2024</x:v>
      </x:c>
      <x:c r="Z542" t="str">
        <x:v>https://snpmb.id/utbk-snbt/daya-tampung-snbt</x:v>
      </x:c>
      <x:c r="AA542" t="str">
        <x:v>Tidak Ada</x:v>
      </x:c>
      <x:c r="AB542" t="str">
        <x:v>Campus=55; Ratio=0.0; Prodi=40; RelDemand=0.0; Capacity=86.7</x:v>
      </x:c>
    </x:row>
    <x:row r="543">
      <x:c r="A543" t="n">
        <x:v>540</x:v>
      </x:c>
      <x:c r="B543" t="str">
        <x:v>PTN Akademik</x:v>
      </x:c>
      <x:c r="C543" t="str">
        <x:v>ISI PADANG PANJANG</x:v>
      </x:c>
      <x:c r="D543" t="str">
        <x:v>SENI KARAWITAN</x:v>
      </x:c>
      <x:c r="E543" t="str">
        <x:v>Sarjana</x:v>
      </x:c>
      <x:c r="F543" s="18" t="n">
        <x:v>24</x:v>
      </x:c>
      <x:c r="G543" s="18" t="n">
        <x:v>29</x:v>
      </x:c>
      <x:c r="H543" s="19" t="n">
        <x:v>1.2083333333333333</x:v>
      </x:c>
      <x:c r="I543" s="18" t="n">
        <x:f>ROUND(MIN(Model_Config_v3!$B$6,MAX(Q543,R543,S543*Model_Config_v3!$B$4+T543*Model_Config_v3!$B$5)),0)</x:f>
        <x:v>606</x:v>
      </x:c>
      <x:c r="J543" s="18" t="n">
        <x:f>MIN(Model_Config_v3!$B$6,I543+Model_Config_v3!$B$7)</x:f>
        <x:v>626</x:v>
      </x:c>
      <x:c r="K543" s="20" t="n">
        <x:v>39.4</x:v>
      </x:c>
      <x:c r="L543" t="str">
        <x:v>RELATIF LONGGAR</x:v>
      </x:c>
      <x:c r="M543" t="str">
        <x:v>SEDANG</x:v>
      </x:c>
      <x:c r="N543" t="str">
        <x:v>REGULER</x:v>
      </x:c>
      <x:c r="O543" t="str">
        <x:v>CAMPURAN</x:v>
      </x:c>
      <x:c r="P543" t="str">
        <x:v>UMUM</x:v>
      </x:c>
      <x:c r="Q543" s="18" t="n">
        <x:v>0</x:v>
      </x:c>
      <x:c r="R543" s="18" t="n">
        <x:v>0</x:v>
      </x:c>
      <x:c r="S543" s="18" t="n">
        <x:v>529.0405431806086</x:v>
      </x:c>
      <x:c r="T543" s="18" t="n">
        <x:v>639</x:v>
      </x:c>
      <x:c r="U543" s="18" t="n">
        <x:v>529.0405431806086</x:v>
      </x:c>
      <x:c r="V543" s="20" t="n">
        <x:v>8.8</x:v>
      </x:c>
      <x:c r="W543" s="20" t="n">
        <x:v>9.9</x:v>
      </x:c>
      <x:c r="X543" s="20" t="n">
        <x:v>3.3</x:v>
      </x:c>
      <x:c r="Y543" t="str">
        <x:v>Basis arsip 2025/2024</x:v>
      </x:c>
      <x:c r="Z543" t="str">
        <x:v>https://snpmb.id/utbk-snbt/daya-tampung-snbt</x:v>
      </x:c>
      <x:c r="AA543" t="str">
        <x:v>Tidak Ada</x:v>
      </x:c>
      <x:c r="AB543" t="str">
        <x:v>Campus=55; Ratio=4.8; Prodi=40; RelDemand=29.4; Capacity=80.0</x:v>
      </x:c>
    </x:row>
    <x:row r="544">
      <x:c r="A544" t="n">
        <x:v>541</x:v>
      </x:c>
      <x:c r="B544" t="str">
        <x:v>PTN Akademik</x:v>
      </x:c>
      <x:c r="C544" t="str">
        <x:v>ISI PADANG PANJANG</x:v>
      </x:c>
      <x:c r="D544" t="str">
        <x:v>SENI TARI</x:v>
      </x:c>
      <x:c r="E544" t="str">
        <x:v>Sarjana</x:v>
      </x:c>
      <x:c r="F544" s="18" t="n">
        <x:v>40</x:v>
      </x:c>
      <x:c r="G544" s="18" t="n">
        <x:v>76</x:v>
      </x:c>
      <x:c r="H544" s="19" t="n">
        <x:v>1.9</x:v>
      </x:c>
      <x:c r="I544" s="18" t="n">
        <x:f>ROUND(MIN(Model_Config_v3!$B$6,MAX(Q544,R544,S544*Model_Config_v3!$B$4+T544*Model_Config_v3!$B$5)),0)</x:f>
        <x:v>617</x:v>
      </x:c>
      <x:c r="J544" s="18" t="n">
        <x:f>MIN(Model_Config_v3!$B$6,I544+Model_Config_v3!$B$7)</x:f>
        <x:v>637</x:v>
      </x:c>
      <x:c r="K544" s="20" t="n">
        <x:v>42.6</x:v>
      </x:c>
      <x:c r="L544" t="str">
        <x:v>RELATIF LONGGAR</x:v>
      </x:c>
      <x:c r="M544" t="str">
        <x:v>SEDANG</x:v>
      </x:c>
      <x:c r="N544" t="str">
        <x:v>REGULER</x:v>
      </x:c>
      <x:c r="O544" t="str">
        <x:v>CAMPURAN</x:v>
      </x:c>
      <x:c r="P544" t="str">
        <x:v>UMUM</x:v>
      </x:c>
      <x:c r="Q544" s="18" t="n">
        <x:v>0</x:v>
      </x:c>
      <x:c r="R544" s="18" t="n">
        <x:v>0</x:v>
      </x:c>
      <x:c r="S544" s="18" t="n">
        <x:v>550.6628961048111</x:v>
      </x:c>
      <x:c r="T544" s="18" t="n">
        <x:v>645</x:v>
      </x:c>
      <x:c r="U544" s="18" t="n">
        <x:v>550.6628961048111</x:v>
      </x:c>
      <x:c r="V544" s="20" t="n">
        <x:v>8.8</x:v>
      </x:c>
      <x:c r="W544" s="20" t="n">
        <x:v>9.9</x:v>
      </x:c>
      <x:c r="X544" s="20" t="n">
        <x:v>3.3</x:v>
      </x:c>
      <x:c r="Y544" t="str">
        <x:v>Basis arsip 2025/2024</x:v>
      </x:c>
      <x:c r="Z544" t="str">
        <x:v>https://snpmb.id/utbk-snbt/daya-tampung-snbt</x:v>
      </x:c>
      <x:c r="AA544" t="str">
        <x:v>Tidak Ada</x:v>
      </x:c>
      <x:c r="AB544" t="str">
        <x:v>Campus=55; Ratio=16.4; Prodi=40; RelDemand=46.2; Capacity=66.7</x:v>
      </x:c>
    </x:row>
    <x:row r="545">
      <x:c r="A545" t="n">
        <x:v>542</x:v>
      </x:c>
      <x:c r="B545" t="str">
        <x:v>PTN Akademik</x:v>
      </x:c>
      <x:c r="C545" t="str">
        <x:v>ISI PADANG PANJANG</x:v>
      </x:c>
      <x:c r="D545" t="str">
        <x:v>SENI MUSIK</x:v>
      </x:c>
      <x:c r="E545" t="str">
        <x:v>Sarjana</x:v>
      </x:c>
      <x:c r="F545" s="18" t="n">
        <x:v>32</x:v>
      </x:c>
      <x:c r="G545" s="18" t="n">
        <x:v>65</x:v>
      </x:c>
      <x:c r="H545" s="19" t="n">
        <x:v>2.03125</x:v>
      </x:c>
      <x:c r="I545" s="18" t="n">
        <x:f>ROUND(MIN(Model_Config_v3!$B$6,MAX(Q545,R545,S545*Model_Config_v3!$B$4+T545*Model_Config_v3!$B$5)),0)</x:f>
        <x:v>620</x:v>
      </x:c>
      <x:c r="J545" s="18" t="n">
        <x:f>MIN(Model_Config_v3!$B$6,I545+Model_Config_v3!$B$7)</x:f>
        <x:v>640</x:v>
      </x:c>
      <x:c r="K545" s="20" t="n">
        <x:v>44.1</x:v>
      </x:c>
      <x:c r="L545" t="str">
        <x:v>RELATIF LONGGAR</x:v>
      </x:c>
      <x:c r="M545" t="str">
        <x:v>SEDANG</x:v>
      </x:c>
      <x:c r="N545" t="str">
        <x:v>REGULER</x:v>
      </x:c>
      <x:c r="O545" t="str">
        <x:v>CAMPURAN</x:v>
      </x:c>
      <x:c r="P545" t="str">
        <x:v>UMUM</x:v>
      </x:c>
      <x:c r="Q545" s="18" t="n">
        <x:v>0</x:v>
      </x:c>
      <x:c r="R545" s="18" t="n">
        <x:v>0</x:v>
      </x:c>
      <x:c r="S545" s="18" t="n">
        <x:v>553.8539716155244</x:v>
      </x:c>
      <x:c r="T545" s="18" t="n">
        <x:v>648</x:v>
      </x:c>
      <x:c r="U545" s="18" t="n">
        <x:v>553.8539716155244</x:v>
      </x:c>
      <x:c r="V545" s="20" t="n">
        <x:v>8.8</x:v>
      </x:c>
      <x:c r="W545" s="20" t="n">
        <x:v>9.9</x:v>
      </x:c>
      <x:c r="X545" s="20" t="n">
        <x:v>3.3</x:v>
      </x:c>
      <x:c r="Y545" t="str">
        <x:v>Basis arsip 2025/2024</x:v>
      </x:c>
      <x:c r="Z545" t="str">
        <x:v>https://snpmb.id/utbk-snbt/daya-tampung-snbt</x:v>
      </x:c>
      <x:c r="AA545" t="str">
        <x:v>Tidak Ada</x:v>
      </x:c>
      <x:c r="AB545" t="str">
        <x:v>Campus=55; Ratio=18.1; Prodi=40; RelDemand=49.4; Capacity=73.3</x:v>
      </x:c>
    </x:row>
    <x:row r="546">
      <x:c r="A546" t="n">
        <x:v>543</x:v>
      </x:c>
      <x:c r="B546" t="str">
        <x:v>PTN Akademik</x:v>
      </x:c>
      <x:c r="C546" t="str">
        <x:v>ISI PADANG PANJANG</x:v>
      </x:c>
      <x:c r="D546" t="str">
        <x:v>SENI TEATER</x:v>
      </x:c>
      <x:c r="E546" t="str">
        <x:v>Sarjana</x:v>
      </x:c>
      <x:c r="F546" s="18" t="n">
        <x:v>12</x:v>
      </x:c>
      <x:c r="G546" s="18" t="n">
        <x:v>13</x:v>
      </x:c>
      <x:c r="H546" s="19" t="n">
        <x:v>1.0833333333333333</x:v>
      </x:c>
      <x:c r="I546" s="18" t="n">
        <x:f>ROUND(MIN(Model_Config_v3!$B$6,MAX(Q546,R546,S546*Model_Config_v3!$B$4+T546*Model_Config_v3!$B$5)),0)</x:f>
        <x:v>604</x:v>
      </x:c>
      <x:c r="J546" s="18" t="n">
        <x:f>MIN(Model_Config_v3!$B$6,I546+Model_Config_v3!$B$7)</x:f>
        <x:v>624</x:v>
      </x:c>
      <x:c r="K546" s="20" t="n">
        <x:v>39.4</x:v>
      </x:c>
      <x:c r="L546" t="str">
        <x:v>RELATIF LONGGAR</x:v>
      </x:c>
      <x:c r="M546" t="str">
        <x:v>SEDANG</x:v>
      </x:c>
      <x:c r="N546" t="str">
        <x:v>REGULER</x:v>
      </x:c>
      <x:c r="O546" t="str">
        <x:v>CAMPURAN</x:v>
      </x:c>
      <x:c r="P546" t="str">
        <x:v>UMUM</x:v>
      </x:c>
      <x:c r="Q546" s="18" t="n">
        <x:v>0</x:v>
      </x:c>
      <x:c r="R546" s="18" t="n">
        <x:v>0</x:v>
      </x:c>
      <x:c r="S546" s="18" t="n">
        <x:v>523.8238316885133</x:v>
      </x:c>
      <x:c r="T546" s="18" t="n">
        <x:v>639</x:v>
      </x:c>
      <x:c r="U546" s="18" t="n">
        <x:v>523.8238316885133</x:v>
      </x:c>
      <x:c r="V546" s="20" t="n">
        <x:v>8.8</x:v>
      </x:c>
      <x:c r="W546" s="20" t="n">
        <x:v>9.9</x:v>
      </x:c>
      <x:c r="X546" s="20" t="n">
        <x:v>3.3</x:v>
      </x:c>
      <x:c r="Y546" t="str">
        <x:v>Basis arsip 2025/2024</x:v>
      </x:c>
      <x:c r="Z546" t="str">
        <x:v>https://snpmb.id/utbk-snbt/daya-tampung-snbt</x:v>
      </x:c>
      <x:c r="AA546" t="str">
        <x:v>Tidak Ada</x:v>
      </x:c>
      <x:c r="AB546" t="str">
        <x:v>Campus=55; Ratio=2.0; Prodi=40; RelDemand=26.4; Capacity=90.0</x:v>
      </x:c>
    </x:row>
    <x:row r="547">
      <x:c r="A547" t="n">
        <x:v>544</x:v>
      </x:c>
      <x:c r="B547" t="str">
        <x:v>PTN Akademik</x:v>
      </x:c>
      <x:c r="C547" t="str">
        <x:v>ISI PADANG PANJANG</x:v>
      </x:c>
      <x:c r="D547" t="str">
        <x:v>SENI KRIYA</x:v>
      </x:c>
      <x:c r="E547" t="str">
        <x:v>Sarjana</x:v>
      </x:c>
      <x:c r="F547" s="18" t="n">
        <x:v>16</x:v>
      </x:c>
      <x:c r="G547" s="18" t="n">
        <x:v>6</x:v>
      </x:c>
      <x:c r="H547" s="19" t="n">
        <x:v>0.375</x:v>
      </x:c>
      <x:c r="I547" s="18" t="n">
        <x:f>ROUND(MIN(Model_Config_v3!$B$6,MAX(Q547,R547,S547*Model_Config_v3!$B$4+T547*Model_Config_v3!$B$5)),0)</x:f>
        <x:v>600</x:v>
      </x:c>
      <x:c r="J547" s="18" t="n">
        <x:f>MIN(Model_Config_v3!$B$6,I547+Model_Config_v3!$B$7)</x:f>
        <x:v>620</x:v>
      </x:c>
      <x:c r="K547" s="20" t="n">
        <x:v>36.8</x:v>
      </x:c>
      <x:c r="L547" t="str">
        <x:v>RELATIF LONGGAR</x:v>
      </x:c>
      <x:c r="M547" t="str">
        <x:v>SEDANG</x:v>
      </x:c>
      <x:c r="N547" t="str">
        <x:v>REGULER</x:v>
      </x:c>
      <x:c r="O547" t="str">
        <x:v>CAMPURAN</x:v>
      </x:c>
      <x:c r="P547" t="str">
        <x:v>UMUM</x:v>
      </x:c>
      <x:c r="Q547" s="18" t="n">
        <x:v>0</x:v>
      </x:c>
      <x:c r="R547" s="18" t="n">
        <x:v>0</x:v>
      </x:c>
      <x:c r="S547" s="18" t="n">
        <x:v>520</x:v>
      </x:c>
      <x:c r="T547" s="18" t="n">
        <x:v>634</x:v>
      </x:c>
      <x:c r="U547" s="18" t="n">
        <x:v>520</x:v>
      </x:c>
      <x:c r="V547" s="20" t="n">
        <x:v>8.8</x:v>
      </x:c>
      <x:c r="W547" s="20" t="n">
        <x:v>9.9</x:v>
      </x:c>
      <x:c r="X547" s="20" t="n">
        <x:v>3.3</x:v>
      </x:c>
      <x:c r="Y547" t="str">
        <x:v>Basis arsip 2025/2024</x:v>
      </x:c>
      <x:c r="Z547" t="str">
        <x:v>https://snpmb.id/utbk-snbt/daya-tampung-snbt</x:v>
      </x:c>
      <x:c r="AA547" t="str">
        <x:v>Tidak Ada</x:v>
      </x:c>
      <x:c r="AB547" t="str">
        <x:v>Campus=55; Ratio=0.0; Prodi=40; RelDemand=9.1; Capacity=86.7</x:v>
      </x:c>
    </x:row>
    <x:row r="548">
      <x:c r="A548" t="n">
        <x:v>545</x:v>
      </x:c>
      <x:c r="B548" t="str">
        <x:v>PTN Akademik</x:v>
      </x:c>
      <x:c r="C548" t="str">
        <x:v>ISI PADANG PANJANG</x:v>
      </x:c>
      <x:c r="D548" t="str">
        <x:v>TV DAN FILM</x:v>
      </x:c>
      <x:c r="E548" t="str">
        <x:v>Sarjana</x:v>
      </x:c>
      <x:c r="F548" s="18" t="n">
        <x:v>48</x:v>
      </x:c>
      <x:c r="G548" s="18" t="n">
        <x:v>50</x:v>
      </x:c>
      <x:c r="H548" s="19" t="n">
        <x:v>1.0416666666666667</x:v>
      </x:c>
      <x:c r="I548" s="18" t="n">
        <x:f>ROUND(MIN(Model_Config_v3!$B$6,MAX(Q548,R548,S548*Model_Config_v3!$B$4+T548*Model_Config_v3!$B$5)),0)</x:f>
        <x:v>599</x:v>
      </x:c>
      <x:c r="J548" s="18" t="n">
        <x:f>MIN(Model_Config_v3!$B$6,I548+Model_Config_v3!$B$7)</x:f>
        <x:v>619</x:v>
      </x:c>
      <x:c r="K548" s="20" t="n">
        <x:v>36</x:v>
      </x:c>
      <x:c r="L548" t="str">
        <x:v>RELATIF LONGGAR</x:v>
      </x:c>
      <x:c r="M548" t="str">
        <x:v>SEDANG</x:v>
      </x:c>
      <x:c r="N548" t="str">
        <x:v>REGULER</x:v>
      </x:c>
      <x:c r="O548" t="str">
        <x:v>CAMPURAN</x:v>
      </x:c>
      <x:c r="P548" t="str">
        <x:v>UMUM</x:v>
      </x:c>
      <x:c r="Q548" s="18" t="n">
        <x:v>0</x:v>
      </x:c>
      <x:c r="R548" s="18" t="n">
        <x:v>0</x:v>
      </x:c>
      <x:c r="S548" s="18" t="n">
        <x:v>521.9501643656474</x:v>
      </x:c>
      <x:c r="T548" s="18" t="n">
        <x:v>632</x:v>
      </x:c>
      <x:c r="U548" s="18" t="n">
        <x:v>521.9501643656474</x:v>
      </x:c>
      <x:c r="V548" s="20" t="n">
        <x:v>8.8</x:v>
      </x:c>
      <x:c r="W548" s="20" t="n">
        <x:v>9.9</x:v>
      </x:c>
      <x:c r="X548" s="20" t="n">
        <x:v>3.3</x:v>
      </x:c>
      <x:c r="Y548" t="str">
        <x:v>Basis arsip 2025/2024</x:v>
      </x:c>
      <x:c r="Z548" t="str">
        <x:v>https://snpmb.id/utbk-snbt/daya-tampung-snbt</x:v>
      </x:c>
      <x:c r="AA548" t="str">
        <x:v>Tidak Ada</x:v>
      </x:c>
      <x:c r="AB548" t="str">
        <x:v>Campus=55; Ratio=1.0; Prodi=40; RelDemand=25.3; Capacity=60.0</x:v>
      </x:c>
    </x:row>
    <x:row r="549">
      <x:c r="A549" t="n">
        <x:v>546</x:v>
      </x:c>
      <x:c r="B549" t="str">
        <x:v>PTN Akademik</x:v>
      </x:c>
      <x:c r="C549" t="str">
        <x:v>ISI PADANG PANJANG</x:v>
      </x:c>
      <x:c r="D549" t="str">
        <x:v>SENI MURNI</x:v>
      </x:c>
      <x:c r="E549" t="str">
        <x:v>Sarjana</x:v>
      </x:c>
      <x:c r="F549" s="18" t="n">
        <x:v>16</x:v>
      </x:c>
      <x:c r="G549" s="18" t="n">
        <x:v>20</x:v>
      </x:c>
      <x:c r="H549" s="19" t="n">
        <x:v>1.25</x:v>
      </x:c>
      <x:c r="I549" s="18" t="n">
        <x:f>ROUND(MIN(Model_Config_v3!$B$6,MAX(Q549,R549,S549*Model_Config_v3!$B$4+T549*Model_Config_v3!$B$5)),0)</x:f>
        <x:v>608</x:v>
      </x:c>
      <x:c r="J549" s="18" t="n">
        <x:f>MIN(Model_Config_v3!$B$6,I549+Model_Config_v3!$B$7)</x:f>
        <x:v>628</x:v>
      </x:c>
      <x:c r="K549" s="20" t="n">
        <x:v>40.4</x:v>
      </x:c>
      <x:c r="L549" t="str">
        <x:v>RELATIF LONGGAR</x:v>
      </x:c>
      <x:c r="M549" t="str">
        <x:v>SEDANG</x:v>
      </x:c>
      <x:c r="N549" t="str">
        <x:v>REGULER</x:v>
      </x:c>
      <x:c r="O549" t="str">
        <x:v>CAMPURAN</x:v>
      </x:c>
      <x:c r="P549" t="str">
        <x:v>UMUM</x:v>
      </x:c>
      <x:c r="Q549" s="18" t="n">
        <x:v>0</x:v>
      </x:c>
      <x:c r="R549" s="18" t="n">
        <x:v>0</x:v>
      </x:c>
      <x:c r="S549" s="18" t="n">
        <x:v>530.6601014308862</x:v>
      </x:c>
      <x:c r="T549" s="18" t="n">
        <x:v>641</x:v>
      </x:c>
      <x:c r="U549" s="18" t="n">
        <x:v>530.6601014308862</x:v>
      </x:c>
      <x:c r="V549" s="20" t="n">
        <x:v>8.8</x:v>
      </x:c>
      <x:c r="W549" s="20" t="n">
        <x:v>9.9</x:v>
      </x:c>
      <x:c r="X549" s="20" t="n">
        <x:v>3.3</x:v>
      </x:c>
      <x:c r="Y549" t="str">
        <x:v>Basis arsip 2025/2024</x:v>
      </x:c>
      <x:c r="Z549" t="str">
        <x:v>https://snpmb.id/utbk-snbt/daya-tampung-snbt</x:v>
      </x:c>
      <x:c r="AA549" t="str">
        <x:v>Tidak Ada</x:v>
      </x:c>
      <x:c r="AB549" t="str">
        <x:v>Campus=55; Ratio=5.7; Prodi=40; RelDemand=30.4; Capacity=86.7</x:v>
      </x:c>
    </x:row>
    <x:row r="550">
      <x:c r="A550" t="n">
        <x:v>547</x:v>
      </x:c>
      <x:c r="B550" t="str">
        <x:v>PTN Akademik</x:v>
      </x:c>
      <x:c r="C550" t="str">
        <x:v>ISI PADANG PANJANG</x:v>
      </x:c>
      <x:c r="D550" t="str">
        <x:v>FOTOGRAFI</x:v>
      </x:c>
      <x:c r="E550" t="str">
        <x:v>Sarjana</x:v>
      </x:c>
      <x:c r="F550" s="18" t="n">
        <x:v>36</x:v>
      </x:c>
      <x:c r="G550" s="18" t="n">
        <x:v>76</x:v>
      </x:c>
      <x:c r="H550" s="19" t="n">
        <x:v>2.111111111111111</x:v>
      </x:c>
      <x:c r="I550" s="18" t="n">
        <x:f>ROUND(MIN(Model_Config_v3!$B$6,MAX(Q550,R550,S550*Model_Config_v3!$B$4+T550*Model_Config_v3!$B$5)),0)</x:f>
        <x:v>620</x:v>
      </x:c>
      <x:c r="J550" s="18" t="n">
        <x:f>MIN(Model_Config_v3!$B$6,I550+Model_Config_v3!$B$7)</x:f>
        <x:v>640</x:v>
      </x:c>
      <x:c r="K550" s="20" t="n">
        <x:v>44.2</x:v>
      </x:c>
      <x:c r="L550" t="str">
        <x:v>RELATIF LONGGAR</x:v>
      </x:c>
      <x:c r="M550" t="str">
        <x:v>SEDANG</x:v>
      </x:c>
      <x:c r="N550" t="str">
        <x:v>REGULER</x:v>
      </x:c>
      <x:c r="O550" t="str">
        <x:v>CAMPURAN</x:v>
      </x:c>
      <x:c r="P550" t="str">
        <x:v>UMUM</x:v>
      </x:c>
      <x:c r="Q550" s="18" t="n">
        <x:v>0</x:v>
      </x:c>
      <x:c r="R550" s="18" t="n">
        <x:v>0</x:v>
      </x:c>
      <x:c r="S550" s="18" t="n">
        <x:v>555.6962200664855</x:v>
      </x:c>
      <x:c r="T550" s="18" t="n">
        <x:v>648</x:v>
      </x:c>
      <x:c r="U550" s="18" t="n">
        <x:v>555.6962200664855</x:v>
      </x:c>
      <x:c r="V550" s="20" t="n">
        <x:v>8.8</x:v>
      </x:c>
      <x:c r="W550" s="20" t="n">
        <x:v>9.9</x:v>
      </x:c>
      <x:c r="X550" s="20" t="n">
        <x:v>3.3</x:v>
      </x:c>
      <x:c r="Y550" t="str">
        <x:v>Basis arsip 2025/2024</x:v>
      </x:c>
      <x:c r="Z550" t="str">
        <x:v>https://snpmb.id/utbk-snbt/daya-tampung-snbt</x:v>
      </x:c>
      <x:c r="AA550" t="str">
        <x:v>Tidak Ada</x:v>
      </x:c>
      <x:c r="AB550" t="str">
        <x:v>Campus=55; Ratio=19.1; Prodi=40; RelDemand=51.4; Capacity=70.0</x:v>
      </x:c>
    </x:row>
    <x:row r="551">
      <x:c r="A551" t="n">
        <x:v>548</x:v>
      </x:c>
      <x:c r="B551" t="str">
        <x:v>PTN Akademik</x:v>
      </x:c>
      <x:c r="C551" t="str">
        <x:v>ISI PADANG PANJANG</x:v>
      </x:c>
      <x:c r="D551" t="str">
        <x:v>DESAIN DAN KOMUNIKASI VISUAL</x:v>
      </x:c>
      <x:c r="E551" t="str">
        <x:v>Sarjana</x:v>
      </x:c>
      <x:c r="F551" s="18" t="n">
        <x:v>64</x:v>
      </x:c>
      <x:c r="G551" s="18" t="n">
        <x:v>123</x:v>
      </x:c>
      <x:c r="H551" s="19" t="n">
        <x:v>1.921875</x:v>
      </x:c>
      <x:c r="I551" s="18" t="n">
        <x:f>ROUND(MIN(Model_Config_v3!$B$6,MAX(Q551,R551,S551*Model_Config_v3!$B$4+T551*Model_Config_v3!$B$5)),0)</x:f>
        <x:v>615</x:v>
      </x:c>
      <x:c r="J551" s="18" t="n">
        <x:f>MIN(Model_Config_v3!$B$6,I551+Model_Config_v3!$B$7)</x:f>
        <x:v>635</x:v>
      </x:c>
      <x:c r="K551" s="20" t="n">
        <x:v>40.8</x:v>
      </x:c>
      <x:c r="L551" t="str">
        <x:v>RELATIF LONGGAR</x:v>
      </x:c>
      <x:c r="M551" t="str">
        <x:v>SEDANG</x:v>
      </x:c>
      <x:c r="N551" t="str">
        <x:v>REGULER</x:v>
      </x:c>
      <x:c r="O551" t="str">
        <x:v>SOSHUM</x:v>
      </x:c>
      <x:c r="P551" t="str">
        <x:v>UMUM</x:v>
      </x:c>
      <x:c r="Q551" s="18" t="n">
        <x:v>0</x:v>
      </x:c>
      <x:c r="R551" s="18" t="n">
        <x:v>0</x:v>
      </x:c>
      <x:c r="S551" s="18" t="n">
        <x:v>551.2097651201062</x:v>
      </x:c>
      <x:c r="T551" s="18" t="n">
        <x:v>642</x:v>
      </x:c>
      <x:c r="U551" s="18" t="n">
        <x:v>551.2097651201062</x:v>
      </x:c>
      <x:c r="V551" s="20" t="n">
        <x:v>4.4</x:v>
      </x:c>
      <x:c r="W551" s="20" t="n">
        <x:v>14.3</x:v>
      </x:c>
      <x:c r="X551" s="20" t="n">
        <x:v>3.3</x:v>
      </x:c>
      <x:c r="Y551" t="str">
        <x:v>Basis arsip 2025/2024</x:v>
      </x:c>
      <x:c r="Z551" t="str">
        <x:v>https://snpmb.id/utbk-snbt/daya-tampung-snbt</x:v>
      </x:c>
      <x:c r="AA551" t="str">
        <x:v>Tidak Ada</x:v>
      </x:c>
      <x:c r="AB551" t="str">
        <x:v>Campus=55; Ratio=16.7; Prodi=40; RelDemand=46.8; Capacity=46.7</x:v>
      </x:c>
    </x:row>
    <x:row r="552">
      <x:c r="A552" t="n">
        <x:v>549</x:v>
      </x:c>
      <x:c r="B552" t="str">
        <x:v>PTN Akademik</x:v>
      </x:c>
      <x:c r="C552" t="str">
        <x:v>ISI PADANG PANJANG</x:v>
      </x:c>
      <x:c r="D552" t="str">
        <x:v>ANTROPOLOGI BUDAYA</x:v>
      </x:c>
      <x:c r="E552" t="str">
        <x:v>Sarjana</x:v>
      </x:c>
      <x:c r="F552" s="18" t="n">
        <x:v>24</x:v>
      </x:c>
      <x:c r="G552" s="18" t="n">
        <x:v>21</x:v>
      </x:c>
      <x:c r="H552" s="19" t="n">
        <x:v>0.875</x:v>
      </x:c>
      <x:c r="I552" s="18" t="n">
        <x:f>ROUND(MIN(Model_Config_v3!$B$6,MAX(Q552,R552,S552*Model_Config_v3!$B$4+T552*Model_Config_v3!$B$5)),0)</x:f>
        <x:v>601</x:v>
      </x:c>
      <x:c r="J552" s="18" t="n">
        <x:f>MIN(Model_Config_v3!$B$6,I552+Model_Config_v3!$B$7)</x:f>
        <x:v>621</x:v>
      </x:c>
      <x:c r="K552" s="20" t="n">
        <x:v>37.4</x:v>
      </x:c>
      <x:c r="L552" t="str">
        <x:v>RELATIF LONGGAR</x:v>
      </x:c>
      <x:c r="M552" t="str">
        <x:v>SEDANG</x:v>
      </x:c>
      <x:c r="N552" t="str">
        <x:v>REGULER</x:v>
      </x:c>
      <x:c r="O552" t="str">
        <x:v>SOSHUM</x:v>
      </x:c>
      <x:c r="P552" t="str">
        <x:v>UMUM</x:v>
      </x:c>
      <x:c r="Q552" s="18" t="n">
        <x:v>0</x:v>
      </x:c>
      <x:c r="R552" s="18" t="n">
        <x:v>0</x:v>
      </x:c>
      <x:c r="S552" s="18" t="n">
        <x:v>520</x:v>
      </x:c>
      <x:c r="T552" s="18" t="n">
        <x:v>635</x:v>
      </x:c>
      <x:c r="U552" s="18" t="n">
        <x:v>520</x:v>
      </x:c>
      <x:c r="V552" s="20" t="n">
        <x:v>4.4</x:v>
      </x:c>
      <x:c r="W552" s="20" t="n">
        <x:v>14.3</x:v>
      </x:c>
      <x:c r="X552" s="20" t="n">
        <x:v>3.3</x:v>
      </x:c>
      <x:c r="Y552" t="str">
        <x:v>Basis arsip 2025/2024</x:v>
      </x:c>
      <x:c r="Z552" t="str">
        <x:v>https://snpmb.id/utbk-snbt/daya-tampung-snbt</x:v>
      </x:c>
      <x:c r="AA552" t="str">
        <x:v>Tidak Ada</x:v>
      </x:c>
      <x:c r="AB552" t="str">
        <x:v>Campus=55; Ratio=0.0; Prodi=40; RelDemand=21.3; Capacity=80.0</x:v>
      </x:c>
    </x:row>
    <x:row r="553">
      <x:c r="A553" t="n">
        <x:v>550</x:v>
      </x:c>
      <x:c r="B553" t="str">
        <x:v>PTN Akademik</x:v>
      </x:c>
      <x:c r="C553" t="str">
        <x:v>ISI PADANG PANJANG</x:v>
      </x:c>
      <x:c r="D553" t="str">
        <x:v>PENDIDIKAN KRIYA</x:v>
      </x:c>
      <x:c r="E553" t="str">
        <x:v>Sarjana</x:v>
      </x:c>
      <x:c r="F553" s="18" t="n">
        <x:v>16</x:v>
      </x:c>
      <x:c r="G553" s="18" t="n">
        <x:v>12</x:v>
      </x:c>
      <x:c r="H553" s="19" t="n">
        <x:v>0.75</x:v>
      </x:c>
      <x:c r="I553" s="18" t="n">
        <x:f>ROUND(MIN(Model_Config_v3!$B$6,MAX(Q553,R553,S553*Model_Config_v3!$B$4+T553*Model_Config_v3!$B$5)),0)</x:f>
        <x:v>602</x:v>
      </x:c>
      <x:c r="J553" s="18" t="n">
        <x:f>MIN(Model_Config_v3!$B$6,I553+Model_Config_v3!$B$7)</x:f>
        <x:v>622</x:v>
      </x:c>
      <x:c r="K553" s="20" t="n">
        <x:v>38.7</x:v>
      </x:c>
      <x:c r="L553" t="str">
        <x:v>RELATIF LONGGAR</x:v>
      </x:c>
      <x:c r="M553" t="str">
        <x:v>SEDANG+</x:v>
      </x:c>
      <x:c r="N553" t="str">
        <x:v>REGULER</x:v>
      </x:c>
      <x:c r="O553" t="str">
        <x:v>CAMPURAN</x:v>
      </x:c>
      <x:c r="P553" t="str">
        <x:v>PENDIDIKAN</x:v>
      </x:c>
      <x:c r="Q553" s="18" t="n">
        <x:v>0</x:v>
      </x:c>
      <x:c r="R553" s="18" t="n">
        <x:v>0</x:v>
      </x:c>
      <x:c r="S553" s="18" t="n">
        <x:v>520</x:v>
      </x:c>
      <x:c r="T553" s="18" t="n">
        <x:v>637</x:v>
      </x:c>
      <x:c r="U553" s="18" t="n">
        <x:v>520</x:v>
      </x:c>
      <x:c r="V553" s="20" t="n">
        <x:v>8.8</x:v>
      </x:c>
      <x:c r="W553" s="20" t="n">
        <x:v>9.9</x:v>
      </x:c>
      <x:c r="X553" s="20" t="n">
        <x:v>3.3</x:v>
      </x:c>
      <x:c r="Y553" t="str">
        <x:v>Basis arsip 2025/2024</x:v>
      </x:c>
      <x:c r="Z553" t="str">
        <x:v>https://snpmb.id/utbk-snbt/daya-tampung-snbt</x:v>
      </x:c>
      <x:c r="AA553" t="str">
        <x:v>Tidak Ada</x:v>
      </x:c>
      <x:c r="AB553" t="str">
        <x:v>Campus=55; Ratio=0.0; Prodi=45; RelDemand=18.3; Capacity=86.7</x:v>
      </x:c>
    </x:row>
    <x:row r="554">
      <x:c r="A554" t="n">
        <x:v>551</x:v>
      </x:c>
      <x:c r="B554" t="str">
        <x:v>PTN Akademik</x:v>
      </x:c>
      <x:c r="C554" t="str">
        <x:v>ISI PADANG PANJANG</x:v>
      </x:c>
      <x:c r="D554" t="str">
        <x:v>DESAIN PRODUK</x:v>
      </x:c>
      <x:c r="E554" t="str">
        <x:v>Sarjana</x:v>
      </x:c>
      <x:c r="F554" s="18" t="n">
        <x:v>20</x:v>
      </x:c>
      <x:c r="G554" s="18" t="n">
        <x:v>26</x:v>
      </x:c>
      <x:c r="H554" s="19" t="n">
        <x:v>1.3</x:v>
      </x:c>
      <x:c r="I554" s="18" t="n">
        <x:f>ROUND(MIN(Model_Config_v3!$B$6,MAX(Q554,R554,S554*Model_Config_v3!$B$4+T554*Model_Config_v3!$B$5)),0)</x:f>
        <x:v>608</x:v>
      </x:c>
      <x:c r="J554" s="18" t="n">
        <x:f>MIN(Model_Config_v3!$B$6,I554+Model_Config_v3!$B$7)</x:f>
        <x:v>628</x:v>
      </x:c>
      <x:c r="K554" s="20" t="n">
        <x:v>40.4</x:v>
      </x:c>
      <x:c r="L554" t="str">
        <x:v>RELATIF LONGGAR</x:v>
      </x:c>
      <x:c r="M554" t="str">
        <x:v>SEDANG</x:v>
      </x:c>
      <x:c r="N554" t="str">
        <x:v>REGULER</x:v>
      </x:c>
      <x:c r="O554" t="str">
        <x:v>CAMPURAN</x:v>
      </x:c>
      <x:c r="P554" t="str">
        <x:v>UMUM</x:v>
      </x:c>
      <x:c r="Q554" s="18" t="n">
        <x:v>0</x:v>
      </x:c>
      <x:c r="R554" s="18" t="n">
        <x:v>0</x:v>
      </x:c>
      <x:c r="S554" s="18" t="n">
        <x:v>532.533768753752</x:v>
      </x:c>
      <x:c r="T554" s="18" t="n">
        <x:v>641</x:v>
      </x:c>
      <x:c r="U554" s="18" t="n">
        <x:v>532.533768753752</x:v>
      </x:c>
      <x:c r="V554" s="20" t="n">
        <x:v>8.8</x:v>
      </x:c>
      <x:c r="W554" s="20" t="n">
        <x:v>9.9</x:v>
      </x:c>
      <x:c r="X554" s="20" t="n">
        <x:v>3.3</x:v>
      </x:c>
      <x:c r="Y554" t="str">
        <x:v>Basis arsip 2025/2024</x:v>
      </x:c>
      <x:c r="Z554" t="str">
        <x:v>https://snpmb.id/utbk-snbt/daya-tampung-snbt</x:v>
      </x:c>
      <x:c r="AA554" t="str">
        <x:v>Tidak Ada</x:v>
      </x:c>
      <x:c r="AB554" t="str">
        <x:v>Campus=55; Ratio=6.7; Prodi=40; RelDemand=31.6; Capacity=83.3</x:v>
      </x:c>
    </x:row>
    <x:row r="555">
      <x:c r="A555" t="n">
        <x:v>552</x:v>
      </x:c>
      <x:c r="B555" t="str">
        <x:v>PTN Akademik</x:v>
      </x:c>
      <x:c r="C555" t="str">
        <x:v>ISI PADANG PANJANG</x:v>
      </x:c>
      <x:c r="D555" t="str">
        <x:v>PARIWISATA</x:v>
      </x:c>
      <x:c r="E555" t="str">
        <x:v>Sarjana</x:v>
      </x:c>
      <x:c r="F555" s="18" t="n">
        <x:v>48</x:v>
      </x:c>
      <x:c r="G555" s="18" t="n">
        <x:v>106</x:v>
      </x:c>
      <x:c r="H555" s="19" t="n">
        <x:v>2.2083333333333335</x:v>
      </x:c>
      <x:c r="I555" s="18" t="n">
        <x:f>ROUND(MIN(Model_Config_v3!$B$6,MAX(Q555,R555,S555*Model_Config_v3!$B$4+T555*Model_Config_v3!$B$5)),0)</x:f>
        <x:v>620</x:v>
      </x:c>
      <x:c r="J555" s="18" t="n">
        <x:f>MIN(Model_Config_v3!$B$6,I555+Model_Config_v3!$B$7)</x:f>
        <x:v>640</x:v>
      </x:c>
      <x:c r="K555" s="20" t="n">
        <x:v>43.7</x:v>
      </x:c>
      <x:c r="L555" t="str">
        <x:v>RELATIF LONGGAR</x:v>
      </x:c>
      <x:c r="M555" t="str">
        <x:v>SEDANG</x:v>
      </x:c>
      <x:c r="N555" t="str">
        <x:v>REGULER</x:v>
      </x:c>
      <x:c r="O555" t="str">
        <x:v>CAMPURAN</x:v>
      </x:c>
      <x:c r="P555" t="str">
        <x:v>UMUM</x:v>
      </x:c>
      <x:c r="Q555" s="18" t="n">
        <x:v>0</x:v>
      </x:c>
      <x:c r="R555" s="18" t="n">
        <x:v>0</x:v>
      </x:c>
      <x:c r="S555" s="18" t="n">
        <x:v>557.8471090678102</x:v>
      </x:c>
      <x:c r="T555" s="18" t="n">
        <x:v>647</x:v>
      </x:c>
      <x:c r="U555" s="18" t="n">
        <x:v>557.8471090678102</x:v>
      </x:c>
      <x:c r="V555" s="20" t="n">
        <x:v>8.8</x:v>
      </x:c>
      <x:c r="W555" s="20" t="n">
        <x:v>9.9</x:v>
      </x:c>
      <x:c r="X555" s="20" t="n">
        <x:v>3.3</x:v>
      </x:c>
      <x:c r="Y555" t="str">
        <x:v>Basis arsip 2025/2024</x:v>
      </x:c>
      <x:c r="Z555" t="str">
        <x:v>https://snpmb.id/utbk-snbt/daya-tampung-snbt</x:v>
      </x:c>
      <x:c r="AA555" t="str">
        <x:v>Tidak Ada</x:v>
      </x:c>
      <x:c r="AB555" t="str">
        <x:v>Campus=55; Ratio=20.3; Prodi=40; RelDemand=53.7; Capacity=60.0</x:v>
      </x:c>
    </x:row>
    <x:row r="556">
      <x:c r="A556" t="n">
        <x:v>553</x:v>
      </x:c>
      <x:c r="B556" t="str">
        <x:v>PTN Akademik</x:v>
      </x:c>
      <x:c r="C556" t="str">
        <x:v>ISI PADANG PANJANG</x:v>
      </x:c>
      <x:c r="D556" t="str">
        <x:v>HUMANITAS</x:v>
      </x:c>
      <x:c r="E556" t="str">
        <x:v>Sarjana</x:v>
      </x:c>
      <x:c r="F556" s="18" t="n">
        <x:v>12</x:v>
      </x:c>
      <x:c r="G556" s="18" t="n">
        <x:v>8</x:v>
      </x:c>
      <x:c r="H556" s="19" t="n">
        <x:v>0.6666666666666666</x:v>
      </x:c>
      <x:c r="I556" s="18" t="n">
        <x:f>ROUND(MIN(Model_Config_v3!$B$6,MAX(Q556,R556,S556*Model_Config_v3!$B$4+T556*Model_Config_v3!$B$5)),0)</x:f>
        <x:v>601</x:v>
      </x:c>
      <x:c r="J556" s="18" t="n">
        <x:f>MIN(Model_Config_v3!$B$6,I556+Model_Config_v3!$B$7)</x:f>
        <x:v>621</x:v>
      </x:c>
      <x:c r="K556" s="20" t="n">
        <x:v>37.9</x:v>
      </x:c>
      <x:c r="L556" t="str">
        <x:v>RELATIF LONGGAR</x:v>
      </x:c>
      <x:c r="M556" t="str">
        <x:v>SEDANG</x:v>
      </x:c>
      <x:c r="N556" t="str">
        <x:v>REGULER</x:v>
      </x:c>
      <x:c r="O556" t="str">
        <x:v>CAMPURAN</x:v>
      </x:c>
      <x:c r="P556" t="str">
        <x:v>UMUM</x:v>
      </x:c>
      <x:c r="Q556" s="18" t="n">
        <x:v>0</x:v>
      </x:c>
      <x:c r="R556" s="18" t="n">
        <x:v>0</x:v>
      </x:c>
      <x:c r="S556" s="18" t="n">
        <x:v>520</x:v>
      </x:c>
      <x:c r="T556" s="18" t="n">
        <x:v>636</x:v>
      </x:c>
      <x:c r="U556" s="18" t="n">
        <x:v>520</x:v>
      </x:c>
      <x:c r="V556" s="20" t="n">
        <x:v>8.8</x:v>
      </x:c>
      <x:c r="W556" s="20" t="n">
        <x:v>9.9</x:v>
      </x:c>
      <x:c r="X556" s="20" t="n">
        <x:v>3.3</x:v>
      </x:c>
      <x:c r="Y556" t="str">
        <x:v>Basis arsip 2025/2024</x:v>
      </x:c>
      <x:c r="Z556" t="str">
        <x:v>https://snpmb.id/utbk-snbt/daya-tampung-snbt</x:v>
      </x:c>
      <x:c r="AA556" t="str">
        <x:v>Tidak Ada</x:v>
      </x:c>
      <x:c r="AB556" t="str">
        <x:v>Campus=55; Ratio=0.0; Prodi=40; RelDemand=16.2; Capacity=90.0</x:v>
      </x:c>
    </x:row>
    <x:row r="557">
      <x:c r="A557" t="n">
        <x:v>554</x:v>
      </x:c>
      <x:c r="B557" t="str">
        <x:v>PTN Akademik</x:v>
      </x:c>
      <x:c r="C557" t="str">
        <x:v>ISI PADANG PANJANG</x:v>
      </x:c>
      <x:c r="D557" t="str">
        <x:v>PENDIDIKAN VOKASIONAL TATA RIAS</x:v>
      </x:c>
      <x:c r="E557" t="str">
        <x:v>Sarjana</x:v>
      </x:c>
      <x:c r="F557" s="18" t="n">
        <x:v>24</x:v>
      </x:c>
      <x:c r="G557" s="18" t="n">
        <x:v>72</x:v>
      </x:c>
      <x:c r="H557" s="19" t="n">
        <x:v>3</x:v>
      </x:c>
      <x:c r="I557" s="18" t="n">
        <x:f>ROUND(MIN(Model_Config_v3!$B$6,MAX(Q557,R557,S557*Model_Config_v3!$B$4+T557*Model_Config_v3!$B$5)),0)</x:f>
        <x:v>634</x:v>
      </x:c>
      <x:c r="J557" s="18" t="n">
        <x:f>MIN(Model_Config_v3!$B$6,I557+Model_Config_v3!$B$7)</x:f>
        <x:v>654</x:v>
      </x:c>
      <x:c r="K557" s="20" t="n">
        <x:v>50.6</x:v>
      </x:c>
      <x:c r="L557" t="str">
        <x:v>MENENGAH</x:v>
      </x:c>
      <x:c r="M557" t="str">
        <x:v>SEDANG+</x:v>
      </x:c>
      <x:c r="N557" t="str">
        <x:v>REGULER</x:v>
      </x:c>
      <x:c r="O557" t="str">
        <x:v>CAMPURAN</x:v>
      </x:c>
      <x:c r="P557" t="str">
        <x:v>PENDIDIKAN</x:v>
      </x:c>
      <x:c r="Q557" s="18" t="n">
        <x:v>0</x:v>
      </x:c>
      <x:c r="R557" s="18" t="n">
        <x:v>0</x:v>
      </x:c>
      <x:c r="S557" s="18" t="n">
        <x:v>572.4833380191628</x:v>
      </x:c>
      <x:c r="T557" s="18" t="n">
        <x:v>661</x:v>
      </x:c>
      <x:c r="U557" s="18" t="n">
        <x:v>572.4833380191628</x:v>
      </x:c>
      <x:c r="V557" s="20" t="n">
        <x:v>8.8</x:v>
      </x:c>
      <x:c r="W557" s="20" t="n">
        <x:v>9.9</x:v>
      </x:c>
      <x:c r="X557" s="20" t="n">
        <x:v>3.3</x:v>
      </x:c>
      <x:c r="Y557" t="str">
        <x:v>Basis arsip 2025/2024</x:v>
      </x:c>
      <x:c r="Z557" t="str">
        <x:v>https://snpmb.id/utbk-snbt/daya-tampung-snbt</x:v>
      </x:c>
      <x:c r="AA557" t="str">
        <x:v>Tidak Ada</x:v>
      </x:c>
      <x:c r="AB557" t="str">
        <x:v>Campus=55; Ratio=28.1; Prodi=45; RelDemand=73.0; Capacity=80.0</x:v>
      </x:c>
    </x:row>
    <x:row r="558">
      <x:c r="A558" t="n">
        <x:v>555</x:v>
      </x:c>
      <x:c r="B558" t="str">
        <x:v>PTN Akademik</x:v>
      </x:c>
      <x:c r="C558" t="str">
        <x:v>ISI PADANG PANJANG</x:v>
      </x:c>
      <x:c r="D558" t="str">
        <x:v>KEWIRAUSAHAAN</x:v>
      </x:c>
      <x:c r="E558" t="str">
        <x:v>Sarjana</x:v>
      </x:c>
      <x:c r="F558" s="18" t="n">
        <x:v>16</x:v>
      </x:c>
      <x:c r="G558" s="18" t="n">
        <x:v>41</x:v>
      </x:c>
      <x:c r="H558" s="19" t="n">
        <x:v>2.5625</x:v>
      </x:c>
      <x:c r="I558" s="18" t="n">
        <x:f>ROUND(MIN(Model_Config_v3!$B$6,MAX(Q558,R558,S558*Model_Config_v3!$B$4+T558*Model_Config_v3!$B$5)),0)</x:f>
        <x:v>629</x:v>
      </x:c>
      <x:c r="J558" s="18" t="n">
        <x:f>MIN(Model_Config_v3!$B$6,I558+Model_Config_v3!$B$7)</x:f>
        <x:v>649</x:v>
      </x:c>
      <x:c r="K558" s="20" t="n">
        <x:v>48.2</x:v>
      </x:c>
      <x:c r="L558" t="str">
        <x:v>MENENGAH</x:v>
      </x:c>
      <x:c r="M558" t="str">
        <x:v>SEDANG</x:v>
      </x:c>
      <x:c r="N558" t="str">
        <x:v>REGULER</x:v>
      </x:c>
      <x:c r="O558" t="str">
        <x:v>CAMPURAN</x:v>
      </x:c>
      <x:c r="P558" t="str">
        <x:v>UMUM</x:v>
      </x:c>
      <x:c r="Q558" s="18" t="n">
        <x:v>0</x:v>
      </x:c>
      <x:c r="R558" s="18" t="n">
        <x:v>0</x:v>
      </x:c>
      <x:c r="S558" s="18" t="n">
        <x:v>564.9530261470192</x:v>
      </x:c>
      <x:c r="T558" s="18" t="n">
        <x:v>656</x:v>
      </x:c>
      <x:c r="U558" s="18" t="n">
        <x:v>564.9530261470192</x:v>
      </x:c>
      <x:c r="V558" s="20" t="n">
        <x:v>8.8</x:v>
      </x:c>
      <x:c r="W558" s="20" t="n">
        <x:v>9.9</x:v>
      </x:c>
      <x:c r="X558" s="20" t="n">
        <x:v>3.3</x:v>
      </x:c>
      <x:c r="Y558" t="str">
        <x:v>Basis arsip 2025/2024</x:v>
      </x:c>
      <x:c r="Z558" t="str">
        <x:v>https://snpmb.id/utbk-snbt/daya-tampung-snbt</x:v>
      </x:c>
      <x:c r="AA558" t="str">
        <x:v>Tidak Ada</x:v>
      </x:c>
      <x:c r="AB558" t="str">
        <x:v>Campus=55; Ratio=24.1; Prodi=40; RelDemand=62.4; Capacity=86.7</x:v>
      </x:c>
    </x:row>
    <x:row r="559">
      <x:c r="A559" t="n">
        <x:v>556</x:v>
      </x:c>
      <x:c r="B559" t="str">
        <x:v>PTN Akademik</x:v>
      </x:c>
      <x:c r="C559" t="str">
        <x:v>ISI PADANG PANJANG</x:v>
      </x:c>
      <x:c r="D559" t="str">
        <x:v>DESAIN MODE</x:v>
      </x:c>
      <x:c r="E559" t="str">
        <x:v>Sarjana Terapan</x:v>
      </x:c>
      <x:c r="F559" s="18" t="n">
        <x:v>48</x:v>
      </x:c>
      <x:c r="G559" s="18" t="n">
        <x:v>118</x:v>
      </x:c>
      <x:c r="H559" s="19" t="n">
        <x:v>2.4583333333333335</x:v>
      </x:c>
      <x:c r="I559" s="18" t="n">
        <x:f>ROUND(MIN(Model_Config_v3!$B$6,MAX(Q559,R559,S559*Model_Config_v3!$B$4+T559*Model_Config_v3!$B$5)),0)</x:f>
        <x:v>624</x:v>
      </x:c>
      <x:c r="J559" s="18" t="n">
        <x:f>MIN(Model_Config_v3!$B$6,I559+Model_Config_v3!$B$7)</x:f>
        <x:v>644</x:v>
      </x:c>
      <x:c r="K559" s="20" t="n">
        <x:v>45</x:v>
      </x:c>
      <x:c r="L559" t="str">
        <x:v>MENENGAH</x:v>
      </x:c>
      <x:c r="M559" t="str">
        <x:v>SEDANG</x:v>
      </x:c>
      <x:c r="N559" t="str">
        <x:v>REGULER</x:v>
      </x:c>
      <x:c r="O559" t="str">
        <x:v>CAMPURAN</x:v>
      </x:c>
      <x:c r="P559" t="str">
        <x:v>UMUM</x:v>
      </x:c>
      <x:c r="Q559" s="18" t="n">
        <x:v>0</x:v>
      </x:c>
      <x:c r="R559" s="18" t="n">
        <x:v>0</x:v>
      </x:c>
      <x:c r="S559" s="18" t="n">
        <x:v>562.9704846923592</x:v>
      </x:c>
      <x:c r="T559" s="18" t="n">
        <x:v>650</x:v>
      </x:c>
      <x:c r="U559" s="18" t="n">
        <x:v>562.9704846923592</x:v>
      </x:c>
      <x:c r="V559" s="20" t="n">
        <x:v>8.8</x:v>
      </x:c>
      <x:c r="W559" s="20" t="n">
        <x:v>9.9</x:v>
      </x:c>
      <x:c r="X559" s="20" t="n">
        <x:v>3.3</x:v>
      </x:c>
      <x:c r="Y559" t="str">
        <x:v>Basis arsip 2025/2024</x:v>
      </x:c>
      <x:c r="Z559" t="str">
        <x:v>https://snpmb.id/utbk-snbt/daya-tampung-snbt</x:v>
      </x:c>
      <x:c r="AA559" t="str">
        <x:v>Tidak Ada</x:v>
      </x:c>
      <x:c r="AB559" t="str">
        <x:v>Campus=55; Ratio=23.0; Prodi=40; RelDemand=59.8; Capacity=60.0</x:v>
      </x:c>
    </x:row>
    <x:row r="560">
      <x:c r="A560" t="n">
        <x:v>557</x:v>
      </x:c>
      <x:c r="B560" t="str">
        <x:v>PTN Akademik</x:v>
      </x:c>
      <x:c r="C560" t="str">
        <x:v>ISI PADANG PANJANG</x:v>
      </x:c>
      <x:c r="D560" t="str">
        <x:v>MUSIK FILM</x:v>
      </x:c>
      <x:c r="E560" t="str">
        <x:v>Sarjana Terapan</x:v>
      </x:c>
      <x:c r="F560" s="18" t="n">
        <x:v>12</x:v>
      </x:c>
      <x:c r="G560" s="18" t="n">
        <x:v>52</x:v>
      </x:c>
      <x:c r="H560" s="19" t="n">
        <x:v>4.333333333333333</x:v>
      </x:c>
      <x:c r="I560" s="18" t="n">
        <x:f>ROUND(MIN(Model_Config_v3!$B$6,MAX(Q560,R560,S560*Model_Config_v3!$B$4+T560*Model_Config_v3!$B$5)),0)</x:f>
        <x:v>647</x:v>
      </x:c>
      <x:c r="J560" s="18" t="n">
        <x:f>MIN(Model_Config_v3!$B$6,I560+Model_Config_v3!$B$7)</x:f>
        <x:v>667</x:v>
      </x:c>
      <x:c r="K560" s="20" t="n">
        <x:v>55.6</x:v>
      </x:c>
      <x:c r="L560" t="str">
        <x:v>KETAT</x:v>
      </x:c>
      <x:c r="M560" t="str">
        <x:v>SEDANG</x:v>
      </x:c>
      <x:c r="N560" t="str">
        <x:v>REGULER</x:v>
      </x:c>
      <x:c r="O560" t="str">
        <x:v>CAMPURAN</x:v>
      </x:c>
      <x:c r="P560" t="str">
        <x:v>UMUM</x:v>
      </x:c>
      <x:c r="Q560" s="18" t="n">
        <x:v>0</x:v>
      </x:c>
      <x:c r="R560" s="18" t="n">
        <x:v>0</x:v>
      </x:c>
      <x:c r="S560" s="18" t="n">
        <x:v>590.0504307345892</x:v>
      </x:c>
      <x:c r="T560" s="18" t="n">
        <x:v>671</x:v>
      </x:c>
      <x:c r="U560" s="18" t="n">
        <x:v>590.0504307345892</x:v>
      </x:c>
      <x:c r="V560" s="20" t="n">
        <x:v>8.8</x:v>
      </x:c>
      <x:c r="W560" s="20" t="n">
        <x:v>9.9</x:v>
      </x:c>
      <x:c r="X560" s="20" t="n">
        <x:v>3.3</x:v>
      </x:c>
      <x:c r="Y560" t="str">
        <x:v>Basis arsip 2025/2024</x:v>
      </x:c>
      <x:c r="Z560" t="str">
        <x:v>https://snpmb.id/utbk-snbt/daya-tampung-snbt</x:v>
      </x:c>
      <x:c r="AA560" t="str">
        <x:v>Tidak Ada</x:v>
      </x:c>
      <x:c r="AB560" t="str">
        <x:v>Campus=55; Ratio=37.5; Prodi=40; RelDemand=100.0; Capacity=90.0</x:v>
      </x:c>
    </x:row>
    <x:row r="561">
      <x:c r="A561" t="n">
        <x:v>558</x:v>
      </x:c>
      <x:c r="B561" t="str">
        <x:v>PTN Akademik</x:v>
      </x:c>
      <x:c r="C561" t="str">
        <x:v>ISI PADANG PANJANG</x:v>
      </x:c>
      <x:c r="D561" t="str">
        <x:v>TARI MELAYU</x:v>
      </x:c>
      <x:c r="E561" t="str">
        <x:v>Sarjana Terapan</x:v>
      </x:c>
      <x:c r="F561" s="18" t="n">
        <x:v>8</x:v>
      </x:c>
      <x:c r="G561" s="18" t="n">
        <x:v>9</x:v>
      </x:c>
      <x:c r="H561" s="19" t="n">
        <x:v>1.125</x:v>
      </x:c>
      <x:c r="I561" s="18" t="n">
        <x:f>ROUND(MIN(Model_Config_v3!$B$6,MAX(Q561,R561,S561*Model_Config_v3!$B$4+T561*Model_Config_v3!$B$5)),0)</x:f>
        <x:v>606</x:v>
      </x:c>
      <x:c r="J561" s="18" t="n">
        <x:f>MIN(Model_Config_v3!$B$6,I561+Model_Config_v3!$B$7)</x:f>
        <x:v>626</x:v>
      </x:c>
      <x:c r="K561" s="20" t="n">
        <x:v>40.1</x:v>
      </x:c>
      <x:c r="L561" t="str">
        <x:v>RELATIF LONGGAR</x:v>
      </x:c>
      <x:c r="M561" t="str">
        <x:v>SEDANG</x:v>
      </x:c>
      <x:c r="N561" t="str">
        <x:v>REGULER</x:v>
      </x:c>
      <x:c r="O561" t="str">
        <x:v>CAMPURAN</x:v>
      </x:c>
      <x:c r="P561" t="str">
        <x:v>UMUM</x:v>
      </x:c>
      <x:c r="Q561" s="18" t="n">
        <x:v>0</x:v>
      </x:c>
      <x:c r="R561" s="18" t="n">
        <x:v>0</x:v>
      </x:c>
      <x:c r="S561" s="18" t="n">
        <x:v>525.6267774692119</x:v>
      </x:c>
      <x:c r="T561" s="18" t="n">
        <x:v>640</x:v>
      </x:c>
      <x:c r="U561" s="18" t="n">
        <x:v>525.6267774692119</x:v>
      </x:c>
      <x:c r="V561" s="20" t="n">
        <x:v>8.8</x:v>
      </x:c>
      <x:c r="W561" s="20" t="n">
        <x:v>9.9</x:v>
      </x:c>
      <x:c r="X561" s="20" t="n">
        <x:v>3.3</x:v>
      </x:c>
      <x:c r="Y561" t="str">
        <x:v>Basis arsip 2025/2024</x:v>
      </x:c>
      <x:c r="Z561" t="str">
        <x:v>https://snpmb.id/utbk-snbt/daya-tampung-snbt</x:v>
      </x:c>
      <x:c r="AA561" t="str">
        <x:v>Tidak Ada</x:v>
      </x:c>
      <x:c r="AB561" t="str">
        <x:v>Campus=55; Ratio=3.0; Prodi=40; RelDemand=27.4; Capacity=93.3</x:v>
      </x:c>
    </x:row>
    <x:row r="562">
      <x:c r="A562" t="n">
        <x:v>559</x:v>
      </x:c>
      <x:c r="B562" t="str">
        <x:v>PTN Akademik</x:v>
      </x:c>
      <x:c r="C562" t="str">
        <x:v>ISI PADANG PANJANG</x:v>
      </x:c>
      <x:c r="D562" t="str">
        <x:v>TARI MINANG</x:v>
      </x:c>
      <x:c r="E562" t="str">
        <x:v>Sarjana Terapan</x:v>
      </x:c>
      <x:c r="F562" s="18" t="n">
        <x:v>8</x:v>
      </x:c>
      <x:c r="G562" s="18" t="n">
        <x:v>32</x:v>
      </x:c>
      <x:c r="H562" s="19" t="n">
        <x:v>4</x:v>
      </x:c>
      <x:c r="I562" s="18" t="n">
        <x:f>ROUND(MIN(Model_Config_v3!$B$6,MAX(Q562,R562,S562*Model_Config_v3!$B$4+T562*Model_Config_v3!$B$5)),0)</x:f>
        <x:v>645</x:v>
      </x:c>
      <x:c r="J562" s="18" t="n">
        <x:f>MIN(Model_Config_v3!$B$6,I562+Model_Config_v3!$B$7)</x:f>
        <x:v>665</x:v>
      </x:c>
      <x:c r="K562" s="20" t="n">
        <x:v>55.2</x:v>
      </x:c>
      <x:c r="L562" t="str">
        <x:v>KETAT</x:v>
      </x:c>
      <x:c r="M562" t="str">
        <x:v>SEDANG</x:v>
      </x:c>
      <x:c r="N562" t="str">
        <x:v>REGULER</x:v>
      </x:c>
      <x:c r="O562" t="str">
        <x:v>CAMPURAN</x:v>
      </x:c>
      <x:c r="P562" t="str">
        <x:v>UMUM</x:v>
      </x:c>
      <x:c r="Q562" s="18" t="n">
        <x:v>0</x:v>
      </x:c>
      <x:c r="R562" s="18" t="n">
        <x:v>0</x:v>
      </x:c>
      <x:c r="S562" s="18" t="n">
        <x:v>586.2265990460759</x:v>
      </x:c>
      <x:c r="T562" s="18" t="n">
        <x:v>670</x:v>
      </x:c>
      <x:c r="U562" s="18" t="n">
        <x:v>586.2265990460759</x:v>
      </x:c>
      <x:c r="V562" s="20" t="n">
        <x:v>8.8</x:v>
      </x:c>
      <x:c r="W562" s="20" t="n">
        <x:v>9.9</x:v>
      </x:c>
      <x:c r="X562" s="20" t="n">
        <x:v>3.3</x:v>
      </x:c>
      <x:c r="Y562" t="str">
        <x:v>Basis arsip 2025/2024</x:v>
      </x:c>
      <x:c r="Z562" t="str">
        <x:v>https://snpmb.id/utbk-snbt/daya-tampung-snbt</x:v>
      </x:c>
      <x:c r="AA562" t="str">
        <x:v>Tidak Ada</x:v>
      </x:c>
      <x:c r="AB562" t="str">
        <x:v>Campus=55; Ratio=35.4; Prodi=40; RelDemand=97.3; Capacity=93.3</x:v>
      </x:c>
    </x:row>
    <x:row r="563">
      <x:c r="A563" t="n">
        <x:v>560</x:v>
      </x:c>
      <x:c r="B563" t="str">
        <x:v>PTN Akademik</x:v>
      </x:c>
      <x:c r="C563" t="str">
        <x:v>ISI PADANG PANJANG</x:v>
      </x:c>
      <x:c r="D563" t="str">
        <x:v>ANIMASI</x:v>
      </x:c>
      <x:c r="E563" t="str">
        <x:v>Sarjana Terapan</x:v>
      </x:c>
      <x:c r="F563" s="18" t="n">
        <x:v>24</x:v>
      </x:c>
      <x:c r="G563" s="18" t="n">
        <x:v>84</x:v>
      </x:c>
      <x:c r="H563" s="19" t="n">
        <x:v>3.5</x:v>
      </x:c>
      <x:c r="I563" s="18" t="n">
        <x:f>ROUND(MIN(Model_Config_v3!$B$6,MAX(Q563,R563,S563*Model_Config_v3!$B$4+T563*Model_Config_v3!$B$5)),0)</x:f>
        <x:v>639</x:v>
      </x:c>
      <x:c r="J563" s="18" t="n">
        <x:f>MIN(Model_Config_v3!$B$6,I563+Model_Config_v3!$B$7)</x:f>
        <x:v>659</x:v>
      </x:c>
      <x:c r="K563" s="20" t="n">
        <x:v>51.8</x:v>
      </x:c>
      <x:c r="L563" t="str">
        <x:v>MENENGAH</x:v>
      </x:c>
      <x:c r="M563" t="str">
        <x:v>SEDANG</x:v>
      </x:c>
      <x:c r="N563" t="str">
        <x:v>REGULER</x:v>
      </x:c>
      <x:c r="O563" t="str">
        <x:v>CAMPURAN</x:v>
      </x:c>
      <x:c r="P563" t="str">
        <x:v>UMUM</x:v>
      </x:c>
      <x:c r="Q563" s="18" t="n">
        <x:v>0</x:v>
      </x:c>
      <x:c r="R563" s="18" t="n">
        <x:v>0</x:v>
      </x:c>
      <x:c r="S563" s="18" t="n">
        <x:v>579.8474848785303</x:v>
      </x:c>
      <x:c r="T563" s="18" t="n">
        <x:v>664</x:v>
      </x:c>
      <x:c r="U563" s="18" t="n">
        <x:v>579.8474848785303</x:v>
      </x:c>
      <x:c r="V563" s="20" t="n">
        <x:v>8.8</x:v>
      </x:c>
      <x:c r="W563" s="20" t="n">
        <x:v>9.9</x:v>
      </x:c>
      <x:c r="X563" s="20" t="n">
        <x:v>3.3</x:v>
      </x:c>
      <x:c r="Y563" t="str">
        <x:v>Basis arsip 2025/2024</x:v>
      </x:c>
      <x:c r="Z563" t="str">
        <x:v>https://snpmb.id/utbk-snbt/daya-tampung-snbt</x:v>
      </x:c>
      <x:c r="AA563" t="str">
        <x:v>Tidak Ada</x:v>
      </x:c>
      <x:c r="AB563" t="str">
        <x:v>Campus=55; Ratio=32.0; Prodi=40; RelDemand=85.2; Capacity=80.0</x:v>
      </x:c>
    </x:row>
    <x:row r="564">
      <x:c r="A564" t="n">
        <x:v>561</x:v>
      </x:c>
      <x:c r="B564" t="str">
        <x:v>PTN Akademik</x:v>
      </x:c>
      <x:c r="C564" t="str">
        <x:v>ISI PADANG PANJANG</x:v>
      </x:c>
      <x:c r="D564" t="str">
        <x:v>PRODUKSI MEDIA</x:v>
      </x:c>
      <x:c r="E564" t="str">
        <x:v>Sarjana Terapan</x:v>
      </x:c>
      <x:c r="F564" s="18" t="n">
        <x:v>12</x:v>
      </x:c>
      <x:c r="G564" s="18" t="n">
        <x:v>66</x:v>
      </x:c>
      <x:c r="H564" s="19" t="n">
        <x:v>5.5</x:v>
      </x:c>
      <x:c r="I564" s="18" t="n">
        <x:f>ROUND(MIN(Model_Config_v3!$B$6,MAX(Q564,R564,S564*Model_Config_v3!$B$4+T564*Model_Config_v3!$B$5)),0)</x:f>
        <x:v>652</x:v>
      </x:c>
      <x:c r="J564" s="18" t="n">
        <x:f>MIN(Model_Config_v3!$B$6,I564+Model_Config_v3!$B$7)</x:f>
        <x:v>672</x:v>
      </x:c>
      <x:c r="K564" s="20" t="n">
        <x:v>57.1</x:v>
      </x:c>
      <x:c r="L564" t="str">
        <x:v>KETAT</x:v>
      </x:c>
      <x:c r="M564" t="str">
        <x:v>SEDANG</x:v>
      </x:c>
      <x:c r="N564" t="str">
        <x:v>REGULER</x:v>
      </x:c>
      <x:c r="O564" t="str">
        <x:v>CAMPURAN</x:v>
      </x:c>
      <x:c r="P564" t="str">
        <x:v>UMUM</x:v>
      </x:c>
      <x:c r="Q564" s="18" t="n">
        <x:v>0</x:v>
      </x:c>
      <x:c r="R564" s="18" t="n">
        <x:v>0</x:v>
      </x:c>
      <x:c r="S564" s="18" t="n">
        <x:v>601.4398958443668</x:v>
      </x:c>
      <x:c r="T564" s="18" t="n">
        <x:v>674</x:v>
      </x:c>
      <x:c r="U564" s="18" t="n">
        <x:v>601.4398958443668</x:v>
      </x:c>
      <x:c r="V564" s="20" t="n">
        <x:v>8.8</x:v>
      </x:c>
      <x:c r="W564" s="20" t="n">
        <x:v>9.9</x:v>
      </x:c>
      <x:c r="X564" s="20" t="n">
        <x:v>3.3</x:v>
      </x:c>
      <x:c r="Y564" t="str">
        <x:v>Basis arsip 2025/2024</x:v>
      </x:c>
      <x:c r="Z564" t="str">
        <x:v>https://snpmb.id/utbk-snbt/daya-tampung-snbt</x:v>
      </x:c>
      <x:c r="AA564" t="str">
        <x:v>Tidak Ada</x:v>
      </x:c>
      <x:c r="AB564" t="str">
        <x:v>Campus=55; Ratio=43.6; Prodi=40; RelDemand=100.0; Capacity=90.0</x:v>
      </x:c>
    </x:row>
    <x:row r="565">
      <x:c r="A565" t="n">
        <x:v>562</x:v>
      </x:c>
      <x:c r="B565" t="str">
        <x:v>PTN Akademik</x:v>
      </x:c>
      <x:c r="C565" t="str">
        <x:v>UNIVERSITAS JAMBI</x:v>
      </x:c>
      <x:c r="D565" t="str">
        <x:v>PEND. KIMIA</x:v>
      </x:c>
      <x:c r="E565" t="str">
        <x:v>Sarjana</x:v>
      </x:c>
      <x:c r="F565" s="18" t="n">
        <x:v>32</x:v>
      </x:c>
      <x:c r="G565" s="18" t="n">
        <x:v>36</x:v>
      </x:c>
      <x:c r="H565" s="19" t="n">
        <x:v>1.125</x:v>
      </x:c>
      <x:c r="I565" s="18" t="n">
        <x:f>ROUND(MIN(Model_Config_v3!$B$6,MAX(Q565,R565,S565*Model_Config_v3!$B$4+T565*Model_Config_v3!$B$5)),0)</x:f>
        <x:v>601</x:v>
      </x:c>
      <x:c r="J565" s="18" t="n">
        <x:f>MIN(Model_Config_v3!$B$6,I565+Model_Config_v3!$B$7)</x:f>
        <x:v>621</x:v>
      </x:c>
      <x:c r="K565" s="20" t="n">
        <x:v>37.2</x:v>
      </x:c>
      <x:c r="L565" t="str">
        <x:v>RELATIF LONGGAR</x:v>
      </x:c>
      <x:c r="M565" t="str">
        <x:v>SEDANG+</x:v>
      </x:c>
      <x:c r="N565" t="str">
        <x:v>REGULER</x:v>
      </x:c>
      <x:c r="O565" t="str">
        <x:v>SAINTEK</x:v>
      </x:c>
      <x:c r="P565" t="str">
        <x:v>PENDIDIKAN</x:v>
      </x:c>
      <x:c r="Q565" s="18" t="n">
        <x:v>0</x:v>
      </x:c>
      <x:c r="R565" s="18" t="n">
        <x:v>0</x:v>
      </x:c>
      <x:c r="S565" s="18" t="n">
        <x:v>525.6267774692119</x:v>
      </x:c>
      <x:c r="T565" s="18" t="n">
        <x:v>634</x:v>
      </x:c>
      <x:c r="U565" s="18" t="n">
        <x:v>525.6267774692119</x:v>
      </x:c>
      <x:c r="V565" s="20" t="n">
        <x:v>12</x:v>
      </x:c>
      <x:c r="W565" s="20" t="n">
        <x:v>5</x:v>
      </x:c>
      <x:c r="X565" s="20" t="n">
        <x:v>3</x:v>
      </x:c>
      <x:c r="Y565" t="str">
        <x:v>Basis arsip 2025/2024</x:v>
      </x:c>
      <x:c r="Z565" t="str">
        <x:v>https://snpmb.id/utbk-snbt/daya-tampung-snbt</x:v>
      </x:c>
      <x:c r="AA565" t="str">
        <x:v>Tidak Ada</x:v>
      </x:c>
      <x:c r="AB565" t="str">
        <x:v>Campus=55; Ratio=3.0; Prodi=45; RelDemand=8.8; Capacity=73.3</x:v>
      </x:c>
    </x:row>
    <x:row r="566">
      <x:c r="A566" t="n">
        <x:v>563</x:v>
      </x:c>
      <x:c r="B566" t="str">
        <x:v>PTN Akademik</x:v>
      </x:c>
      <x:c r="C566" t="str">
        <x:v>UNIVERSITAS JAMBI</x:v>
      </x:c>
      <x:c r="D566" t="str">
        <x:v>PEND. MATEMATIKA</x:v>
      </x:c>
      <x:c r="E566" t="str">
        <x:v>Sarjana</x:v>
      </x:c>
      <x:c r="F566" s="18" t="n">
        <x:v>63</x:v>
      </x:c>
      <x:c r="G566" s="18" t="n">
        <x:v>133</x:v>
      </x:c>
      <x:c r="H566" s="19" t="n">
        <x:v>2.111111111111111</x:v>
      </x:c>
      <x:c r="I566" s="18" t="n">
        <x:f>ROUND(MIN(Model_Config_v3!$B$6,MAX(Q566,R566,S566*Model_Config_v3!$B$4+T566*Model_Config_v3!$B$5)),0)</x:f>
        <x:v>614</x:v>
      </x:c>
      <x:c r="J566" s="18" t="n">
        <x:f>MIN(Model_Config_v3!$B$6,I566+Model_Config_v3!$B$7)</x:f>
        <x:v>634</x:v>
      </x:c>
      <x:c r="K566" s="20" t="n">
        <x:v>39.4</x:v>
      </x:c>
      <x:c r="L566" t="str">
        <x:v>RELATIF LONGGAR</x:v>
      </x:c>
      <x:c r="M566" t="str">
        <x:v>SEDANG+</x:v>
      </x:c>
      <x:c r="N566" t="str">
        <x:v>REGULER</x:v>
      </x:c>
      <x:c r="O566" t="str">
        <x:v>SAINTEK</x:v>
      </x:c>
      <x:c r="P566" t="str">
        <x:v>PENDIDIKAN</x:v>
      </x:c>
      <x:c r="Q566" s="18" t="n">
        <x:v>0</x:v>
      </x:c>
      <x:c r="R566" s="18" t="n">
        <x:v>0</x:v>
      </x:c>
      <x:c r="S566" s="18" t="n">
        <x:v>555.6962200664855</x:v>
      </x:c>
      <x:c r="T566" s="18" t="n">
        <x:v>639</x:v>
      </x:c>
      <x:c r="U566" s="18" t="n">
        <x:v>555.6962200664855</x:v>
      </x:c>
      <x:c r="V566" s="20" t="n">
        <x:v>12</x:v>
      </x:c>
      <x:c r="W566" s="20" t="n">
        <x:v>5</x:v>
      </x:c>
      <x:c r="X566" s="20" t="n">
        <x:v>3</x:v>
      </x:c>
      <x:c r="Y566" t="str">
        <x:v>Basis arsip 2025/2024</x:v>
      </x:c>
      <x:c r="Z566" t="str">
        <x:v>https://snpmb.id/utbk-snbt/daya-tampung-snbt</x:v>
      </x:c>
      <x:c r="AA566" t="str">
        <x:v>Tidak Ada</x:v>
      </x:c>
      <x:c r="AB566" t="str">
        <x:v>Campus=55; Ratio=19.1; Prodi=45; RelDemand=16.5; Capacity=47.5</x:v>
      </x:c>
    </x:row>
    <x:row r="567">
      <x:c r="A567" t="n">
        <x:v>564</x:v>
      </x:c>
      <x:c r="B567" t="str">
        <x:v>PTN Akademik</x:v>
      </x:c>
      <x:c r="C567" t="str">
        <x:v>UNIVERSITAS JAMBI</x:v>
      </x:c>
      <x:c r="D567" t="str">
        <x:v>PEND. FISIKA</x:v>
      </x:c>
      <x:c r="E567" t="str">
        <x:v>Sarjana</x:v>
      </x:c>
      <x:c r="F567" s="18" t="n">
        <x:v>32</x:v>
      </x:c>
      <x:c r="G567" s="18" t="n">
        <x:v>37</x:v>
      </x:c>
      <x:c r="H567" s="19" t="n">
        <x:v>1.15625</x:v>
      </x:c>
      <x:c r="I567" s="18" t="n">
        <x:f>ROUND(MIN(Model_Config_v3!$B$6,MAX(Q567,R567,S567*Model_Config_v3!$B$4+T567*Model_Config_v3!$B$5)),0)</x:f>
        <x:v>603</x:v>
      </x:c>
      <x:c r="J567" s="18" t="n">
        <x:f>MIN(Model_Config_v3!$B$6,I567+Model_Config_v3!$B$7)</x:f>
        <x:v>623</x:v>
      </x:c>
      <x:c r="K567" s="20" t="n">
        <x:v>37.4</x:v>
      </x:c>
      <x:c r="L567" t="str">
        <x:v>RELATIF LONGGAR</x:v>
      </x:c>
      <x:c r="M567" t="str">
        <x:v>SEDANG+</x:v>
      </x:c>
      <x:c r="N567" t="str">
        <x:v>REGULER</x:v>
      </x:c>
      <x:c r="O567" t="str">
        <x:v>SAINTEK</x:v>
      </x:c>
      <x:c r="P567" t="str">
        <x:v>PENDIDIKAN</x:v>
      </x:c>
      <x:c r="Q567" s="18" t="n">
        <x:v>0</x:v>
      </x:c>
      <x:c r="R567" s="18" t="n">
        <x:v>0</x:v>
      </x:c>
      <x:c r="S567" s="18" t="n">
        <x:v>526.9356920321798</x:v>
      </x:c>
      <x:c r="T567" s="18" t="n">
        <x:v>635</x:v>
      </x:c>
      <x:c r="U567" s="18" t="n">
        <x:v>526.9356920321798</x:v>
      </x:c>
      <x:c r="V567" s="20" t="n">
        <x:v>12</x:v>
      </x:c>
      <x:c r="W567" s="20" t="n">
        <x:v>5</x:v>
      </x:c>
      <x:c r="X567" s="20" t="n">
        <x:v>3</x:v>
      </x:c>
      <x:c r="Y567" t="str">
        <x:v>Basis arsip 2025/2024</x:v>
      </x:c>
      <x:c r="Z567" t="str">
        <x:v>https://snpmb.id/utbk-snbt/daya-tampung-snbt</x:v>
      </x:c>
      <x:c r="AA567" t="str">
        <x:v>Tidak Ada</x:v>
      </x:c>
      <x:c r="AB567" t="str">
        <x:v>Campus=55; Ratio=3.7; Prodi=45; RelDemand=9.1; Capacity=73.3</x:v>
      </x:c>
    </x:row>
    <x:row r="568">
      <x:c r="A568" t="n">
        <x:v>565</x:v>
      </x:c>
      <x:c r="B568" t="str">
        <x:v>PTN Akademik</x:v>
      </x:c>
      <x:c r="C568" t="str">
        <x:v>UNIVERSITAS JAMBI</x:v>
      </x:c>
      <x:c r="D568" t="str">
        <x:v>PEND. BIOLOGI</x:v>
      </x:c>
      <x:c r="E568" t="str">
        <x:v>Sarjana</x:v>
      </x:c>
      <x:c r="F568" s="18" t="n">
        <x:v>63</x:v>
      </x:c>
      <x:c r="G568" s="18" t="n">
        <x:v>141</x:v>
      </x:c>
      <x:c r="H568" s="19" t="n">
        <x:v>2.238095238095238</x:v>
      </x:c>
      <x:c r="I568" s="18" t="n">
        <x:f>ROUND(MIN(Model_Config_v3!$B$6,MAX(Q568,R568,S568*Model_Config_v3!$B$4+T568*Model_Config_v3!$B$5)),0)</x:f>
        <x:v>616</x:v>
      </x:c>
      <x:c r="J568" s="18" t="n">
        <x:f>MIN(Model_Config_v3!$B$6,I568+Model_Config_v3!$B$7)</x:f>
        <x:v>636</x:v>
      </x:c>
      <x:c r="K568" s="20" t="n">
        <x:v>39.9</x:v>
      </x:c>
      <x:c r="L568" t="str">
        <x:v>RELATIF LONGGAR</x:v>
      </x:c>
      <x:c r="M568" t="str">
        <x:v>SEDANG+</x:v>
      </x:c>
      <x:c r="N568" t="str">
        <x:v>REGULER</x:v>
      </x:c>
      <x:c r="O568" t="str">
        <x:v>SAINTEK</x:v>
      </x:c>
      <x:c r="P568" t="str">
        <x:v>PENDIDIKAN</x:v>
      </x:c>
      <x:c r="Q568" s="18" t="n">
        <x:v>0</x:v>
      </x:c>
      <x:c r="R568" s="18" t="n">
        <x:v>0</x:v>
      </x:c>
      <x:c r="S568" s="18" t="n">
        <x:v>558.4866419521978</x:v>
      </x:c>
      <x:c r="T568" s="18" t="n">
        <x:v>640</x:v>
      </x:c>
      <x:c r="U568" s="18" t="n">
        <x:v>558.4866419521978</x:v>
      </x:c>
      <x:c r="V568" s="20" t="n">
        <x:v>12</x:v>
      </x:c>
      <x:c r="W568" s="20" t="n">
        <x:v>5</x:v>
      </x:c>
      <x:c r="X568" s="20" t="n">
        <x:v>3</x:v>
      </x:c>
      <x:c r="Y568" t="str">
        <x:v>Basis arsip 2025/2024</x:v>
      </x:c>
      <x:c r="Z568" t="str">
        <x:v>https://snpmb.id/utbk-snbt/daya-tampung-snbt</x:v>
      </x:c>
      <x:c r="AA568" t="str">
        <x:v>Tidak Ada</x:v>
      </x:c>
      <x:c r="AB568" t="str">
        <x:v>Campus=55; Ratio=20.6; Prodi=45; RelDemand=17.5; Capacity=47.5</x:v>
      </x:c>
    </x:row>
    <x:row r="569">
      <x:c r="A569" t="n">
        <x:v>566</x:v>
      </x:c>
      <x:c r="B569" t="str">
        <x:v>PTN Akademik</x:v>
      </x:c>
      <x:c r="C569" t="str">
        <x:v>UNIVERSITAS JAMBI</x:v>
      </x:c>
      <x:c r="D569" t="str">
        <x:v>AGROEKOTEKNOLOGI</x:v>
      </x:c>
      <x:c r="E569" t="str">
        <x:v>Sarjana</x:v>
      </x:c>
      <x:c r="F569" s="18" t="n">
        <x:v>135</x:v>
      </x:c>
      <x:c r="G569" s="18" t="n">
        <x:v>224</x:v>
      </x:c>
      <x:c r="H569" s="19" t="n">
        <x:v>1.6592592592592592</x:v>
      </x:c>
      <x:c r="I569" s="18" t="n">
        <x:f>ROUND(MIN(Model_Config_v3!$B$6,MAX(Q569,R569,S569*Model_Config_v3!$B$4+T569*Model_Config_v3!$B$5)),0)</x:f>
        <x:v>600</x:v>
      </x:c>
      <x:c r="J569" s="18" t="n">
        <x:f>MIN(Model_Config_v3!$B$6,I569+Model_Config_v3!$B$7)</x:f>
        <x:v>620</x:v>
      </x:c>
      <x:c r="K569" s="20" t="n">
        <x:v>31.8</x:v>
      </x:c>
      <x:c r="L569" t="str">
        <x:v>RELATIF LONGGAR</x:v>
      </x:c>
      <x:c r="M569" t="str">
        <x:v>SEDANG</x:v>
      </x:c>
      <x:c r="N569" t="str">
        <x:v>REGULER</x:v>
      </x:c>
      <x:c r="O569" t="str">
        <x:v>SAINTEK</x:v>
      </x:c>
      <x:c r="P569" t="str">
        <x:v>UMUM</x:v>
      </x:c>
      <x:c r="Q569" s="18" t="n">
        <x:v>0</x:v>
      </x:c>
      <x:c r="R569" s="18" t="n">
        <x:v>0</x:v>
      </x:c>
      <x:c r="S569" s="18" t="n">
        <x:v>544.1905674823072</x:v>
      </x:c>
      <x:c r="T569" s="18" t="n">
        <x:v>624</x:v>
      </x:c>
      <x:c r="U569" s="18" t="n">
        <x:v>544.1905674823072</x:v>
      </x:c>
      <x:c r="V569" s="20" t="n">
        <x:v>12</x:v>
      </x:c>
      <x:c r="W569" s="20" t="n">
        <x:v>5</x:v>
      </x:c>
      <x:c r="X569" s="20" t="n">
        <x:v>3</x:v>
      </x:c>
      <x:c r="Y569" t="str">
        <x:v>Basis arsip 2025/2024</x:v>
      </x:c>
      <x:c r="Z569" t="str">
        <x:v>https://snpmb.id/utbk-snbt/daya-tampung-snbt</x:v>
      </x:c>
      <x:c r="AA569" t="str">
        <x:v>Tidak Ada</x:v>
      </x:c>
      <x:c r="AB569" t="str">
        <x:v>Campus=55; Ratio=12.9; Prodi=40; RelDemand=13.0; Capacity=0.0</x:v>
      </x:c>
    </x:row>
    <x:row r="570">
      <x:c r="A570" t="n">
        <x:v>567</x:v>
      </x:c>
      <x:c r="B570" t="str">
        <x:v>PTN Akademik</x:v>
      </x:c>
      <x:c r="C570" t="str">
        <x:v>UNIVERSITAS JAMBI</x:v>
      </x:c>
      <x:c r="D570" t="str">
        <x:v>AGRIBISNIS</x:v>
      </x:c>
      <x:c r="E570" t="str">
        <x:v>Sarjana</x:v>
      </x:c>
      <x:c r="F570" s="18" t="n">
        <x:v>125</x:v>
      </x:c>
      <x:c r="G570" s="18" t="n">
        <x:v>317</x:v>
      </x:c>
      <x:c r="H570" s="19" t="n">
        <x:v>2.536</x:v>
      </x:c>
      <x:c r="I570" s="18" t="n">
        <x:f>ROUND(MIN(Model_Config_v3!$B$6,MAX(Q570,R570,S570*Model_Config_v3!$B$4+T570*Model_Config_v3!$B$5)),0)</x:f>
        <x:v>617</x:v>
      </x:c>
      <x:c r="J570" s="18" t="n">
        <x:f>MIN(Model_Config_v3!$B$6,I570+Model_Config_v3!$B$7)</x:f>
        <x:v>637</x:v>
      </x:c>
      <x:c r="K570" s="20" t="n">
        <x:v>40.2</x:v>
      </x:c>
      <x:c r="L570" t="str">
        <x:v>RELATIF LONGGAR</x:v>
      </x:c>
      <x:c r="M570" t="str">
        <x:v>SEDANG+</x:v>
      </x:c>
      <x:c r="N570" t="str">
        <x:v>REGULER</x:v>
      </x:c>
      <x:c r="O570" t="str">
        <x:v>SOSHUM</x:v>
      </x:c>
      <x:c r="P570" t="str">
        <x:v>BISNIS/EKONOMI/AKUNTANSI</x:v>
      </x:c>
      <x:c r="Q570" s="18" t="n">
        <x:v>0</x:v>
      </x:c>
      <x:c r="R570" s="18" t="n">
        <x:v>0</x:v>
      </x:c>
      <x:c r="S570" s="18" t="n">
        <x:v>564.4564174130664</x:v>
      </x:c>
      <x:c r="T570" s="18" t="n">
        <x:v>640</x:v>
      </x:c>
      <x:c r="U570" s="18" t="n">
        <x:v>579.4564174130664</x:v>
      </x:c>
      <x:c r="V570" s="20" t="n">
        <x:v>4.4</x:v>
      </x:c>
      <x:c r="W570" s="20" t="n">
        <x:v>14.3</x:v>
      </x:c>
      <x:c r="X570" s="20" t="n">
        <x:v>3.3</x:v>
      </x:c>
      <x:c r="Y570" t="str">
        <x:v>Basis arsip 2025/2024</x:v>
      </x:c>
      <x:c r="Z570" t="str">
        <x:v>https://snpmb.id/utbk-snbt/daya-tampung-snbt</x:v>
      </x:c>
      <x:c r="AA570" t="str">
        <x:v>Tidak Ada</x:v>
      </x:c>
      <x:c r="AB570" t="str">
        <x:v>Campus=55; Ratio=23.8; Prodi=65; RelDemand=19.9; Capacity=0.0</x:v>
      </x:c>
    </x:row>
    <x:row r="571">
      <x:c r="A571" t="n">
        <x:v>568</x:v>
      </x:c>
      <x:c r="B571" t="str">
        <x:v>PTN Akademik</x:v>
      </x:c>
      <x:c r="C571" t="str">
        <x:v>UNIVERSITAS JAMBI</x:v>
      </x:c>
      <x:c r="D571" t="str">
        <x:v>TEKNOLOGI HASIL PERTANIAN</x:v>
      </x:c>
      <x:c r="E571" t="str">
        <x:v>Sarjana</x:v>
      </x:c>
      <x:c r="F571" s="18" t="n">
        <x:v>54</x:v>
      </x:c>
      <x:c r="G571" s="18" t="n">
        <x:v>96</x:v>
      </x:c>
      <x:c r="H571" s="19" t="n">
        <x:v>1.7777777777777777</x:v>
      </x:c>
      <x:c r="I571" s="18" t="n">
        <x:f>ROUND(MIN(Model_Config_v3!$B$6,MAX(Q571,R571,S571*Model_Config_v3!$B$4+T571*Model_Config_v3!$B$5)),0)</x:f>
        <x:v>609</x:v>
      </x:c>
      <x:c r="J571" s="18" t="n">
        <x:f>MIN(Model_Config_v3!$B$6,I571+Model_Config_v3!$B$7)</x:f>
        <x:v>629</x:v>
      </x:c>
      <x:c r="K571" s="20" t="n">
        <x:v>37.8</x:v>
      </x:c>
      <x:c r="L571" t="str">
        <x:v>RELATIF LONGGAR</x:v>
      </x:c>
      <x:c r="M571" t="str">
        <x:v>SEDANG</x:v>
      </x:c>
      <x:c r="N571" t="str">
        <x:v>REGULER</x:v>
      </x:c>
      <x:c r="O571" t="str">
        <x:v>SAINTEK</x:v>
      </x:c>
      <x:c r="P571" t="str">
        <x:v>UMUM</x:v>
      </x:c>
      <x:c r="Q571" s="18" t="n">
        <x:v>0</x:v>
      </x:c>
      <x:c r="R571" s="18" t="n">
        <x:v>0</x:v>
      </x:c>
      <x:c r="S571" s="18" t="n">
        <x:v>547.486522053826</x:v>
      </x:c>
      <x:c r="T571" s="18" t="n">
        <x:v>636</x:v>
      </x:c>
      <x:c r="U571" s="18" t="n">
        <x:v>547.486522053826</x:v>
      </x:c>
      <x:c r="V571" s="20" t="n">
        <x:v>12</x:v>
      </x:c>
      <x:c r="W571" s="20" t="n">
        <x:v>5</x:v>
      </x:c>
      <x:c r="X571" s="20" t="n">
        <x:v>3</x:v>
      </x:c>
      <x:c r="Y571" t="str">
        <x:v>Basis arsip 2025/2024</x:v>
      </x:c>
      <x:c r="Z571" t="str">
        <x:v>https://snpmb.id/utbk-snbt/daya-tampung-snbt</x:v>
      </x:c>
      <x:c r="AA571" t="str">
        <x:v>Tidak Ada</x:v>
      </x:c>
      <x:c r="AB571" t="str">
        <x:v>Campus=55; Ratio=14.7; Prodi=40; RelDemand=13.9; Capacity=55.0</x:v>
      </x:c>
    </x:row>
    <x:row r="572">
      <x:c r="A572" t="n">
        <x:v>569</x:v>
      </x:c>
      <x:c r="B572" t="str">
        <x:v>PTN Akademik</x:v>
      </x:c>
      <x:c r="C572" t="str">
        <x:v>UNIVERSITAS JAMBI</x:v>
      </x:c>
      <x:c r="D572" t="str">
        <x:v>PEND. OLAHRAGA &amp; KESEHATAN</x:v>
      </x:c>
      <x:c r="E572" t="str">
        <x:v>Sarjana</x:v>
      </x:c>
      <x:c r="F572" s="18" t="n">
        <x:v>81</x:v>
      </x:c>
      <x:c r="G572" s="18" t="n">
        <x:v>222</x:v>
      </x:c>
      <x:c r="H572" s="19" t="n">
        <x:v>2.740740740740741</x:v>
      </x:c>
      <x:c r="I572" s="18" t="n">
        <x:f>ROUND(MIN(Model_Config_v3!$B$6,MAX(Q572,R572,S572*Model_Config_v3!$B$4+T572*Model_Config_v3!$B$5)),0)</x:f>
        <x:v>618</x:v>
      </x:c>
      <x:c r="J572" s="18" t="n">
        <x:f>MIN(Model_Config_v3!$B$6,I572+Model_Config_v3!$B$7)</x:f>
        <x:v>638</x:v>
      </x:c>
      <x:c r="K572" s="20" t="n">
        <x:v>40.1</x:v>
      </x:c>
      <x:c r="L572" t="str">
        <x:v>RELATIF LONGGAR</x:v>
      </x:c>
      <x:c r="M572" t="str">
        <x:v>PORTOFOLIO</x:v>
      </x:c>
      <x:c r="N572" t="str">
        <x:v>REGULER</x:v>
      </x:c>
      <x:c r="O572" t="str">
        <x:v>SENI/OLAHRAGA</x:v>
      </x:c>
      <x:c r="P572" t="str">
        <x:v>SENI/OLAHRAGA</x:v>
      </x:c>
      <x:c r="Q572" s="18" t="n">
        <x:v>0</x:v>
      </x:c>
      <x:c r="R572" s="18" t="n">
        <x:v>0</x:v>
      </x:c>
      <x:c r="S572" s="18" t="n">
        <x:v>568.1654751129188</x:v>
      </x:c>
      <x:c r="T572" s="18" t="n">
        <x:v>640</x:v>
      </x:c>
      <x:c r="U572" s="18" t="n">
        <x:v>568.1654751129188</x:v>
      </x:c>
      <x:c r="V572" s="20" t="n">
        <x:v>4.4</x:v>
      </x:c>
      <x:c r="W572" s="20" t="n">
        <x:v>9.9</x:v>
      </x:c>
      <x:c r="X572" s="20" t="n">
        <x:v>7.7</x:v>
      </x:c>
      <x:c r="Y572" t="str">
        <x:v>Basis arsip 2025/2024</x:v>
      </x:c>
      <x:c r="Z572" t="str">
        <x:v>https://snpmb.id/utbk-snbt/daya-tampung-snbt</x:v>
      </x:c>
      <x:c r="AA572" t="str">
        <x:v>Olahraga</x:v>
      </x:c>
      <x:c r="AB572" t="str">
        <x:v>Campus=55; Ratio=25.8; Prodi=45; RelDemand=21.5; Capacity=32.5</x:v>
      </x:c>
    </x:row>
    <x:row r="573">
      <x:c r="A573" t="n">
        <x:v>570</x:v>
      </x:c>
      <x:c r="B573" t="str">
        <x:v>PTN Akademik</x:v>
      </x:c>
      <x:c r="C573" t="str">
        <x:v>UNIVERSITAS JAMBI</x:v>
      </x:c>
      <x:c r="D573" t="str">
        <x:v>KEHUTANAN</x:v>
      </x:c>
      <x:c r="E573" t="str">
        <x:v>Sarjana</x:v>
      </x:c>
      <x:c r="F573" s="18" t="n">
        <x:v>68</x:v>
      </x:c>
      <x:c r="G573" s="18" t="n">
        <x:v>268</x:v>
      </x:c>
      <x:c r="H573" s="19" t="n">
        <x:v>3.9411764705882355</x:v>
      </x:c>
      <x:c r="I573" s="18" t="n">
        <x:f>ROUND(MIN(Model_Config_v3!$B$6,MAX(Q573,R573,S573*Model_Config_v3!$B$4+T573*Model_Config_v3!$B$5)),0)</x:f>
        <x:v>629</x:v>
      </x:c>
      <x:c r="J573" s="18" t="n">
        <x:f>MIN(Model_Config_v3!$B$6,I573+Model_Config_v3!$B$7)</x:f>
        <x:v>649</x:v>
      </x:c>
      <x:c r="K573" s="20" t="n">
        <x:v>43.4</x:v>
      </x:c>
      <x:c r="L573" t="str">
        <x:v>RELATIF LONGGAR</x:v>
      </x:c>
      <x:c r="M573" t="str">
        <x:v>SEDANG</x:v>
      </x:c>
      <x:c r="N573" t="str">
        <x:v>REGULER</x:v>
      </x:c>
      <x:c r="O573" t="str">
        <x:v>CAMPURAN</x:v>
      </x:c>
      <x:c r="P573" t="str">
        <x:v>UMUM</x:v>
      </x:c>
      <x:c r="Q573" s="18" t="n">
        <x:v>0</x:v>
      </x:c>
      <x:c r="R573" s="18" t="n">
        <x:v>0</x:v>
      </x:c>
      <x:c r="S573" s="18" t="n">
        <x:v>585.5188469454807</x:v>
      </x:c>
      <x:c r="T573" s="18" t="n">
        <x:v>647</x:v>
      </x:c>
      <x:c r="U573" s="18" t="n">
        <x:v>585.5188469454807</x:v>
      </x:c>
      <x:c r="V573" s="20" t="n">
        <x:v>8.8</x:v>
      </x:c>
      <x:c r="W573" s="20" t="n">
        <x:v>9.9</x:v>
      </x:c>
      <x:c r="X573" s="20" t="n">
        <x:v>3.3</x:v>
      </x:c>
      <x:c r="Y573" t="str">
        <x:v>Basis arsip 2025/2024</x:v>
      </x:c>
      <x:c r="Z573" t="str">
        <x:v>https://snpmb.id/utbk-snbt/daya-tampung-snbt</x:v>
      </x:c>
      <x:c r="AA573" t="str">
        <x:v>Tidak Ada</x:v>
      </x:c>
      <x:c r="AB573" t="str">
        <x:v>Campus=55; Ratio=35.1; Prodi=40; RelDemand=30.9; Capacity=43.3</x:v>
      </x:c>
    </x:row>
    <x:row r="574">
      <x:c r="A574" t="n">
        <x:v>571</x:v>
      </x:c>
      <x:c r="B574" t="str">
        <x:v>PTN Akademik</x:v>
      </x:c>
      <x:c r="C574" t="str">
        <x:v>UNIVERSITAS JAMBI</x:v>
      </x:c>
      <x:c r="D574" t="str">
        <x:v>PETERNAKAN</x:v>
      </x:c>
      <x:c r="E574" t="str">
        <x:v>Sarjana</x:v>
      </x:c>
      <x:c r="F574" s="18" t="n">
        <x:v>126</x:v>
      </x:c>
      <x:c r="G574" s="18" t="n">
        <x:v>120</x:v>
      </x:c>
      <x:c r="H574" s="19" t="n">
        <x:v>0.9523809523809523</x:v>
      </x:c>
      <x:c r="I574" s="18" t="n">
        <x:f>ROUND(MIN(Model_Config_v3!$B$6,MAX(Q574,R574,S574*Model_Config_v3!$B$4+T574*Model_Config_v3!$B$5)),0)</x:f>
        <x:v>587</x:v>
      </x:c>
      <x:c r="J574" s="18" t="n">
        <x:f>MIN(Model_Config_v3!$B$6,I574+Model_Config_v3!$B$7)</x:f>
        <x:v>607</x:v>
      </x:c>
      <x:c r="K574" s="20" t="n">
        <x:v>28</x:v>
      </x:c>
      <x:c r="L574" t="str">
        <x:v>RELATIF LONGGAR</x:v>
      </x:c>
      <x:c r="M574" t="str">
        <x:v>SEDANG</x:v>
      </x:c>
      <x:c r="N574" t="str">
        <x:v>REGULER</x:v>
      </x:c>
      <x:c r="O574" t="str">
        <x:v>SAINTEK</x:v>
      </x:c>
      <x:c r="P574" t="str">
        <x:v>UMUM</x:v>
      </x:c>
      <x:c r="Q574" s="18" t="n">
        <x:v>0</x:v>
      </x:c>
      <x:c r="R574" s="18" t="n">
        <x:v>0</x:v>
      </x:c>
      <x:c r="S574" s="18" t="n">
        <x:v>520</x:v>
      </x:c>
      <x:c r="T574" s="18" t="n">
        <x:v>616</x:v>
      </x:c>
      <x:c r="U574" s="18" t="n">
        <x:v>520</x:v>
      </x:c>
      <x:c r="V574" s="20" t="n">
        <x:v>12</x:v>
      </x:c>
      <x:c r="W574" s="20" t="n">
        <x:v>5</x:v>
      </x:c>
      <x:c r="X574" s="20" t="n">
        <x:v>3</x:v>
      </x:c>
      <x:c r="Y574" t="str">
        <x:v>Basis arsip 2025/2024</x:v>
      </x:c>
      <x:c r="Z574" t="str">
        <x:v>https://snpmb.id/utbk-snbt/daya-tampung-snbt</x:v>
      </x:c>
      <x:c r="AA574" t="str">
        <x:v>Tidak Ada</x:v>
      </x:c>
      <x:c r="AB574" t="str">
        <x:v>Campus=55; Ratio=0.0; Prodi=40; RelDemand=7.5; Capacity=0.0</x:v>
      </x:c>
    </x:row>
    <x:row r="575">
      <x:c r="A575" t="n">
        <x:v>572</x:v>
      </x:c>
      <x:c r="B575" t="str">
        <x:v>PTN Akademik</x:v>
      </x:c>
      <x:c r="C575" t="str">
        <x:v>UNIVERSITAS JAMBI</x:v>
      </x:c>
      <x:c r="D575" t="str">
        <x:v>KEDOKTERAN</x:v>
      </x:c>
      <x:c r="E575" t="str">
        <x:v>Sarjana</x:v>
      </x:c>
      <x:c r="F575" s="18" t="n">
        <x:v>67</x:v>
      </x:c>
      <x:c r="G575" s="18" t="n">
        <x:v>1364</x:v>
      </x:c>
      <x:c r="H575" s="19" t="n">
        <x:v>20.35820895522388</x:v>
      </x:c>
      <x:c r="I575" s="18" t="n">
        <x:f>ROUND(MIN(Model_Config_v3!$B$6,MAX(Q575,R575,S575*Model_Config_v3!$B$4+T575*Model_Config_v3!$B$5)),0)</x:f>
        <x:v>693</x:v>
      </x:c>
      <x:c r="J575" s="18" t="n">
        <x:f>MIN(Model_Config_v3!$B$6,I575+Model_Config_v3!$B$7)</x:f>
        <x:v>713</x:v>
      </x:c>
      <x:c r="K575" s="20" t="n">
        <x:v>72.9</x:v>
      </x:c>
      <x:c r="L575" t="str">
        <x:v>SANGAT KETAT</x:v>
      </x:c>
      <x:c r="M575" t="str">
        <x:v>SEDANG+</x:v>
      </x:c>
      <x:c r="N575" t="str">
        <x:v>REGULER</x:v>
      </x:c>
      <x:c r="O575" t="str">
        <x:v>SAINTEK</x:v>
      </x:c>
      <x:c r="P575" t="str">
        <x:v>KEDOKTERAN</x:v>
      </x:c>
      <x:c r="Q575" s="18" t="n">
        <x:v>0</x:v>
      </x:c>
      <x:c r="R575" s="18" t="n">
        <x:v>680</x:v>
      </x:c>
      <x:c r="S575" s="18" t="n">
        <x:v>663.9613524381597</x:v>
      </x:c>
      <x:c r="T575" s="18" t="n">
        <x:v>706</x:v>
      </x:c>
      <x:c r="U575" s="18" t="n">
        <x:v>703.9613524381597</x:v>
      </x:c>
      <x:c r="V575" s="20" t="n">
        <x:v>12</x:v>
      </x:c>
      <x:c r="W575" s="20" t="n">
        <x:v>5</x:v>
      </x:c>
      <x:c r="X575" s="20" t="n">
        <x:v>3</x:v>
      </x:c>
      <x:c r="Y575" t="str">
        <x:v>Basis arsip 2025/2024</x:v>
      </x:c>
      <x:c r="Z575" t="str">
        <x:v>https://snpmb.id/utbk-snbt/daya-tampung-snbt</x:v>
      </x:c>
      <x:c r="AA575" t="str">
        <x:v>Tidak Ada</x:v>
      </x:c>
      <x:c r="AB575" t="str">
        <x:v>Campus=55; Ratio=77.0; Prodi=100; RelDemand=100.0; Capacity=44.2</x:v>
      </x:c>
    </x:row>
    <x:row r="576">
      <x:c r="A576" t="n">
        <x:v>573</x:v>
      </x:c>
      <x:c r="B576" t="str">
        <x:v>PTN Akademik</x:v>
      </x:c>
      <x:c r="C576" t="str">
        <x:v>UNIVERSITAS JAMBI</x:v>
      </x:c>
      <x:c r="D576" t="str">
        <x:v>KIMIA</x:v>
      </x:c>
      <x:c r="E576" t="str">
        <x:v>Sarjana</x:v>
      </x:c>
      <x:c r="F576" s="18" t="n">
        <x:v>41</x:v>
      </x:c>
      <x:c r="G576" s="18" t="n">
        <x:v>38</x:v>
      </x:c>
      <x:c r="H576" s="19" t="n">
        <x:v>0.926829268292683</x:v>
      </x:c>
      <x:c r="I576" s="18" t="n">
        <x:f>ROUND(MIN(Model_Config_v3!$B$6,MAX(Q576,R576,S576*Model_Config_v3!$B$4+T576*Model_Config_v3!$B$5)),0)</x:f>
        <x:v>599</x:v>
      </x:c>
      <x:c r="J576" s="18" t="n">
        <x:f>MIN(Model_Config_v3!$B$6,I576+Model_Config_v3!$B$7)</x:f>
        <x:v>619</x:v>
      </x:c>
      <x:c r="K576" s="20" t="n">
        <x:v>36.6</x:v>
      </x:c>
      <x:c r="L576" t="str">
        <x:v>RELATIF LONGGAR</x:v>
      </x:c>
      <x:c r="M576" t="str">
        <x:v>SEDANG+</x:v>
      </x:c>
      <x:c r="N576" t="str">
        <x:v>REGULER</x:v>
      </x:c>
      <x:c r="O576" t="str">
        <x:v>SAINTEK</x:v>
      </x:c>
      <x:c r="P576" t="str">
        <x:v>SAINS DASAR</x:v>
      </x:c>
      <x:c r="Q576" s="18" t="n">
        <x:v>0</x:v>
      </x:c>
      <x:c r="R576" s="18" t="n">
        <x:v>0</x:v>
      </x:c>
      <x:c r="S576" s="18" t="n">
        <x:v>520</x:v>
      </x:c>
      <x:c r="T576" s="18" t="n">
        <x:v>633</x:v>
      </x:c>
      <x:c r="U576" s="18" t="n">
        <x:v>520</x:v>
      </x:c>
      <x:c r="V576" s="20" t="n">
        <x:v>12</x:v>
      </x:c>
      <x:c r="W576" s="20" t="n">
        <x:v>5</x:v>
      </x:c>
      <x:c r="X576" s="20" t="n">
        <x:v>3</x:v>
      </x:c>
      <x:c r="Y576" t="str">
        <x:v>Basis arsip 2025/2024</x:v>
      </x:c>
      <x:c r="Z576" t="str">
        <x:v>https://snpmb.id/utbk-snbt/daya-tampung-snbt</x:v>
      </x:c>
      <x:c r="AA576" t="str">
        <x:v>Tidak Ada</x:v>
      </x:c>
      <x:c r="AB576" t="str">
        <x:v>Campus=55; Ratio=0.0; Prodi=50; RelDemand=7.3; Capacity=65.8</x:v>
      </x:c>
    </x:row>
    <x:row r="577">
      <x:c r="A577" t="n">
        <x:v>574</x:v>
      </x:c>
      <x:c r="B577" t="str">
        <x:v>PTN Akademik</x:v>
      </x:c>
      <x:c r="C577" t="str">
        <x:v>UNIVERSITAS JAMBI</x:v>
      </x:c>
      <x:c r="D577" t="str">
        <x:v>ILMU KEPERAWATAN</x:v>
      </x:c>
      <x:c r="E577" t="str">
        <x:v>Sarjana</x:v>
      </x:c>
      <x:c r="F577" s="18" t="n">
        <x:v>86</x:v>
      </x:c>
      <x:c r="G577" s="18" t="n">
        <x:v>487</x:v>
      </x:c>
      <x:c r="H577" s="19" t="n">
        <x:v>5.662790697674419</x:v>
      </x:c>
      <x:c r="I577" s="18" t="n">
        <x:f>ROUND(MIN(Model_Config_v3!$B$6,MAX(Q577,R577,S577*Model_Config_v3!$B$4+T577*Model_Config_v3!$B$5)),0)</x:f>
        <x:v>641</x:v>
      </x:c>
      <x:c r="J577" s="18" t="n">
        <x:f>MIN(Model_Config_v3!$B$6,I577+Model_Config_v3!$B$7)</x:f>
        <x:v>661</x:v>
      </x:c>
      <x:c r="K577" s="20" t="n">
        <x:v>48.6</x:v>
      </x:c>
      <x:c r="L577" t="str">
        <x:v>MENENGAH</x:v>
      </x:c>
      <x:c r="M577" t="str">
        <x:v>SEDANG+</x:v>
      </x:c>
      <x:c r="N577" t="str">
        <x:v>REGULER</x:v>
      </x:c>
      <x:c r="O577" t="str">
        <x:v>SAINTEK</x:v>
      </x:c>
      <x:c r="P577" t="str">
        <x:v>KESEHAT/GIZI/KEPERAWATAN</x:v>
      </x:c>
      <x:c r="Q577" s="18" t="n">
        <x:v>0</x:v>
      </x:c>
      <x:c r="R577" s="18" t="n">
        <x:v>0</x:v>
      </x:c>
      <x:c r="S577" s="18" t="n">
        <x:v>602.8333560968173</x:v>
      </x:c>
      <x:c r="T577" s="18" t="n">
        <x:v>657</x:v>
      </x:c>
      <x:c r="U577" s="18" t="n">
        <x:v>602.8333560968173</x:v>
      </x:c>
      <x:c r="V577" s="20" t="n">
        <x:v>12</x:v>
      </x:c>
      <x:c r="W577" s="20" t="n">
        <x:v>5</x:v>
      </x:c>
      <x:c r="X577" s="20" t="n">
        <x:v>3</x:v>
      </x:c>
      <x:c r="Y577" t="str">
        <x:v>Basis arsip 2025/2024</x:v>
      </x:c>
      <x:c r="Z577" t="str">
        <x:v>https://snpmb.id/utbk-snbt/daya-tampung-snbt</x:v>
      </x:c>
      <x:c r="AA577" t="str">
        <x:v>Tidak Ada</x:v>
      </x:c>
      <x:c r="AB577" t="str">
        <x:v>Campus=55; Ratio=44.3; Prodi=55; RelDemand=44.3; Capacity=28.3</x:v>
      </x:c>
    </x:row>
    <x:row r="578">
      <x:c r="A578" t="n">
        <x:v>575</x:v>
      </x:c>
      <x:c r="B578" t="str">
        <x:v>PTN Akademik</x:v>
      </x:c>
      <x:c r="C578" t="str">
        <x:v>UNIVERSITAS JAMBI</x:v>
      </x:c>
      <x:c r="D578" t="str">
        <x:v>FARMASI</x:v>
      </x:c>
      <x:c r="E578" t="str">
        <x:v>Sarjana</x:v>
      </x:c>
      <x:c r="F578" s="18" t="n">
        <x:v>42</x:v>
      </x:c>
      <x:c r="G578" s="18" t="n">
        <x:v>827</x:v>
      </x:c>
      <x:c r="H578" s="19" t="n">
        <x:v>19.69047619047619</x:v>
      </x:c>
      <x:c r="I578" s="18" t="n">
        <x:f>ROUND(MIN(Model_Config_v3!$B$6,MAX(Q578,R578,S578*Model_Config_v3!$B$4+T578*Model_Config_v3!$B$5)),0)</x:f>
        <x:v>689</x:v>
      </x:c>
      <x:c r="J578" s="18" t="n">
        <x:f>MIN(Model_Config_v3!$B$6,I578+Model_Config_v3!$B$7)</x:f>
        <x:v>709</x:v>
      </x:c>
      <x:c r="K578" s="20" t="n">
        <x:v>69.8</x:v>
      </x:c>
      <x:c r="L578" t="str">
        <x:v>SANGAT KETAT</x:v>
      </x:c>
      <x:c r="M578" t="str">
        <x:v>SEDANG+</x:v>
      </x:c>
      <x:c r="N578" t="str">
        <x:v>REGULER</x:v>
      </x:c>
      <x:c r="O578" t="str">
        <x:v>SAINTEK</x:v>
      </x:c>
      <x:c r="P578" t="str">
        <x:v>FARMASI</x:v>
      </x:c>
      <x:c r="Q578" s="18" t="n">
        <x:v>0</x:v>
      </x:c>
      <x:c r="R578" s="18" t="n">
        <x:v>0</x:v>
      </x:c>
      <x:c r="S578" s="18" t="n">
        <x:v>662.3681841070111</x:v>
      </x:c>
      <x:c r="T578" s="18" t="n">
        <x:v>700</x:v>
      </x:c>
      <x:c r="U578" s="18" t="n">
        <x:v>682.3681841070111</x:v>
      </x:c>
      <x:c r="V578" s="20" t="n">
        <x:v>12</x:v>
      </x:c>
      <x:c r="W578" s="20" t="n">
        <x:v>5</x:v>
      </x:c>
      <x:c r="X578" s="20" t="n">
        <x:v>3</x:v>
      </x:c>
      <x:c r="Y578" t="str">
        <x:v>Basis arsip 2025/2024</x:v>
      </x:c>
      <x:c r="Z578" t="str">
        <x:v>https://snpmb.id/utbk-snbt/daya-tampung-snbt</x:v>
      </x:c>
      <x:c r="AA578" t="str">
        <x:v>Tidak Ada</x:v>
      </x:c>
      <x:c r="AB578" t="str">
        <x:v>Campus=55; Ratio=76.2; Prodi=75; RelDemand=100.0; Capacity=65.0</x:v>
      </x:c>
    </x:row>
    <x:row r="579">
      <x:c r="A579" t="n">
        <x:v>576</x:v>
      </x:c>
      <x:c r="B579" t="str">
        <x:v>PTN Akademik</x:v>
      </x:c>
      <x:c r="C579" t="str">
        <x:v>UNIVERSITAS JAMBI</x:v>
      </x:c>
      <x:c r="D579" t="str">
        <x:v>PEMANFAATAN SUMBERDAYA PERIKANAN</x:v>
      </x:c>
      <x:c r="E579" t="str">
        <x:v>Sarjana</x:v>
      </x:c>
      <x:c r="F579" s="18" t="n">
        <x:v>67</x:v>
      </x:c>
      <x:c r="G579" s="18" t="n">
        <x:v>53</x:v>
      </x:c>
      <x:c r="H579" s="19" t="n">
        <x:v>0.7910447761194029</x:v>
      </x:c>
      <x:c r="I579" s="18" t="n">
        <x:f>ROUND(MIN(Model_Config_v3!$B$6,MAX(Q579,R579,S579*Model_Config_v3!$B$4+T579*Model_Config_v3!$B$5)),0)</x:f>
        <x:v>594</x:v>
      </x:c>
      <x:c r="J579" s="18" t="n">
        <x:f>MIN(Model_Config_v3!$B$6,I579+Model_Config_v3!$B$7)</x:f>
        <x:v>614</x:v>
      </x:c>
      <x:c r="K579" s="20" t="n">
        <x:v>32.3</x:v>
      </x:c>
      <x:c r="L579" t="str">
        <x:v>RELATIF LONGGAR</x:v>
      </x:c>
      <x:c r="M579" t="str">
        <x:v>SEDANG</x:v>
      </x:c>
      <x:c r="N579" t="str">
        <x:v>REGULER</x:v>
      </x:c>
      <x:c r="O579" t="str">
        <x:v>SAINTEK</x:v>
      </x:c>
      <x:c r="P579" t="str">
        <x:v>UMUM</x:v>
      </x:c>
      <x:c r="Q579" s="18" t="n">
        <x:v>0</x:v>
      </x:c>
      <x:c r="R579" s="18" t="n">
        <x:v>0</x:v>
      </x:c>
      <x:c r="S579" s="18" t="n">
        <x:v>520</x:v>
      </x:c>
      <x:c r="T579" s="18" t="n">
        <x:v>625</x:v>
      </x:c>
      <x:c r="U579" s="18" t="n">
        <x:v>520</x:v>
      </x:c>
      <x:c r="V579" s="20" t="n">
        <x:v>12</x:v>
      </x:c>
      <x:c r="W579" s="20" t="n">
        <x:v>5</x:v>
      </x:c>
      <x:c r="X579" s="20" t="n">
        <x:v>3</x:v>
      </x:c>
      <x:c r="Y579" t="str">
        <x:v>Basis arsip 2025/2024</x:v>
      </x:c>
      <x:c r="Z579" t="str">
        <x:v>https://snpmb.id/utbk-snbt/daya-tampung-snbt</x:v>
      </x:c>
      <x:c r="AA579" t="str">
        <x:v>Tidak Ada</x:v>
      </x:c>
      <x:c r="AB579" t="str">
        <x:v>Campus=55; Ratio=0.0; Prodi=40; RelDemand=6.2; Capacity=44.2</x:v>
      </x:c>
    </x:row>
    <x:row r="580">
      <x:c r="A580" t="n">
        <x:v>577</x:v>
      </x:c>
      <x:c r="B580" t="str">
        <x:v>PTN Akademik</x:v>
      </x:c>
      <x:c r="C580" t="str">
        <x:v>UNIVERSITAS JAMBI</x:v>
      </x:c>
      <x:c r="D580" t="str">
        <x:v>SISTEM INFORMASI</x:v>
      </x:c>
      <x:c r="E580" t="str">
        <x:v>Sarjana</x:v>
      </x:c>
      <x:c r="F580" s="18" t="n">
        <x:v>36</x:v>
      </x:c>
      <x:c r="G580" s="18" t="n">
        <x:v>835</x:v>
      </x:c>
      <x:c r="H580" s="19" t="n">
        <x:v>23.194444444444443</x:v>
      </x:c>
      <x:c r="I580" s="18" t="n">
        <x:f>ROUND(MIN(Model_Config_v3!$B$6,MAX(Q580,R580,S580*Model_Config_v3!$B$4+T580*Model_Config_v3!$B$5)),0)</x:f>
        <x:v>696</x:v>
      </x:c>
      <x:c r="J580" s="18" t="n">
        <x:f>MIN(Model_Config_v3!$B$6,I580+Model_Config_v3!$B$7)</x:f>
        <x:v>716</x:v>
      </x:c>
      <x:c r="K580" s="20" t="n">
        <x:v>73.3</x:v>
      </x:c>
      <x:c r="L580" t="str">
        <x:v>SANGAT KETAT</x:v>
      </x:c>
      <x:c r="M580" t="str">
        <x:v>SEDANG+</x:v>
      </x:c>
      <x:c r="N580" t="str">
        <x:v>REGULER</x:v>
      </x:c>
      <x:c r="O580" t="str">
        <x:v>CAMPURAN</x:v>
      </x:c>
      <x:c r="P580" t="str">
        <x:v>KOMPUTER/INFORMATIKA</x:v>
      </x:c>
      <x:c r="Q580" s="18" t="n">
        <x:v>0</x:v>
      </x:c>
      <x:c r="R580" s="18" t="n">
        <x:v>0</x:v>
      </x:c>
      <x:c r="S580" s="18" t="n">
        <x:v>670.1922372187946</x:v>
      </x:c>
      <x:c r="T580" s="18" t="n">
        <x:v>707</x:v>
      </x:c>
      <x:c r="U580" s="18" t="n">
        <x:v>695.1922372187946</x:v>
      </x:c>
      <x:c r="V580" s="20" t="n">
        <x:v>8.8</x:v>
      </x:c>
      <x:c r="W580" s="20" t="n">
        <x:v>9.9</x:v>
      </x:c>
      <x:c r="X580" s="20" t="n">
        <x:v>3.3</x:v>
      </x:c>
      <x:c r="Y580" t="str">
        <x:v>Basis arsip 2025/2024</x:v>
      </x:c>
      <x:c r="Z580" t="str">
        <x:v>https://snpmb.id/utbk-snbt/daya-tampung-snbt</x:v>
      </x:c>
      <x:c r="AA580" t="str">
        <x:v>Tidak Ada</x:v>
      </x:c>
      <x:c r="AB580" t="str">
        <x:v>Campus=55; Ratio=80.4; Prodi=85; RelDemand=100.0; Capacity=70.0</x:v>
      </x:c>
    </x:row>
    <x:row r="581">
      <x:c r="A581" t="n">
        <x:v>578</x:v>
      </x:c>
      <x:c r="B581" t="str">
        <x:v>PTN Akademik</x:v>
      </x:c>
      <x:c r="C581" t="str">
        <x:v>UNIVERSITAS JAMBI</x:v>
      </x:c>
      <x:c r="D581" t="str">
        <x:v>TEKNIK PERTAMBANGAN</x:v>
      </x:c>
      <x:c r="E581" t="str">
        <x:v>Sarjana</x:v>
      </x:c>
      <x:c r="F581" s="18" t="n">
        <x:v>36</x:v>
      </x:c>
      <x:c r="G581" s="18" t="n">
        <x:v>670</x:v>
      </x:c>
      <x:c r="H581" s="19" t="n">
        <x:v>18.61111111111111</x:v>
      </x:c>
      <x:c r="I581" s="18" t="n">
        <x:f>ROUND(MIN(Model_Config_v3!$B$6,MAX(Q581,R581,S581*Model_Config_v3!$B$4+T581*Model_Config_v3!$B$5)),0)</x:f>
        <x:v>684</x:v>
      </x:c>
      <x:c r="J581" s="18" t="n">
        <x:f>MIN(Model_Config_v3!$B$6,I581+Model_Config_v3!$B$7)</x:f>
        <x:v>704</x:v>
      </x:c>
      <x:c r="K581" s="20" t="n">
        <x:v>66.9</x:v>
      </x:c>
      <x:c r="L581" t="str">
        <x:v>SANGAT KETAT</x:v>
      </x:c>
      <x:c r="M581" t="str">
        <x:v>SEDANG+</x:v>
      </x:c>
      <x:c r="N581" t="str">
        <x:v>REGULER</x:v>
      </x:c>
      <x:c r="O581" t="str">
        <x:v>SAINTEK</x:v>
      </x:c>
      <x:c r="P581" t="str">
        <x:v>TEKNIK/ARSITEKTUR/STATISTIKA/AKTUARIA</x:v>
      </x:c>
      <x:c r="Q581" s="18" t="n">
        <x:v>0</x:v>
      </x:c>
      <x:c r="R581" s="18" t="n">
        <x:v>0</x:v>
      </x:c>
      <x:c r="S581" s="18" t="n">
        <x:v>659.6749532126893</x:v>
      </x:c>
      <x:c r="T581" s="18" t="n">
        <x:v>694</x:v>
      </x:c>
      <x:c r="U581" s="18" t="n">
        <x:v>669.6749532126893</x:v>
      </x:c>
      <x:c r="V581" s="20" t="n">
        <x:v>12</x:v>
      </x:c>
      <x:c r="W581" s="20" t="n">
        <x:v>5</x:v>
      </x:c>
      <x:c r="X581" s="20" t="n">
        <x:v>3</x:v>
      </x:c>
      <x:c r="Y581" t="str">
        <x:v>Basis arsip 2025/2024</x:v>
      </x:c>
      <x:c r="Z581" t="str">
        <x:v>https://snpmb.id/utbk-snbt/daya-tampung-snbt</x:v>
      </x:c>
      <x:c r="AA581" t="str">
        <x:v>Tidak Ada</x:v>
      </x:c>
      <x:c r="AB581" t="str">
        <x:v>Campus=55; Ratio=74.7; Prodi=60; RelDemand=100.0; Capacity=70.0</x:v>
      </x:c>
    </x:row>
    <x:row r="582">
      <x:c r="A582" t="n">
        <x:v>579</x:v>
      </x:c>
      <x:c r="B582" t="str">
        <x:v>PTN Akademik</x:v>
      </x:c>
      <x:c r="C582" t="str">
        <x:v>UNIVERSITAS JAMBI</x:v>
      </x:c>
      <x:c r="D582" t="str">
        <x:v>TEKNIK GEOLOGI</x:v>
      </x:c>
      <x:c r="E582" t="str">
        <x:v>Sarjana</x:v>
      </x:c>
      <x:c r="F582" s="18" t="n">
        <x:v>36</x:v>
      </x:c>
      <x:c r="G582" s="18" t="n">
        <x:v>191</x:v>
      </x:c>
      <x:c r="H582" s="19" t="n">
        <x:v>5.305555555555555</x:v>
      </x:c>
      <x:c r="I582" s="18" t="n">
        <x:f>ROUND(MIN(Model_Config_v3!$B$6,MAX(Q582,R582,S582*Model_Config_v3!$B$4+T582*Model_Config_v3!$B$5)),0)</x:f>
        <x:v>646</x:v>
      </x:c>
      <x:c r="J582" s="18" t="n">
        <x:f>MIN(Model_Config_v3!$B$6,I582+Model_Config_v3!$B$7)</x:f>
        <x:v>666</x:v>
      </x:c>
      <x:c r="K582" s="20" t="n">
        <x:v>53.1</x:v>
      </x:c>
      <x:c r="L582" t="str">
        <x:v>MENENGAH</x:v>
      </x:c>
      <x:c r="M582" t="str">
        <x:v>SEDANG+</x:v>
      </x:c>
      <x:c r="N582" t="str">
        <x:v>REGULER</x:v>
      </x:c>
      <x:c r="O582" t="str">
        <x:v>SAINTEK</x:v>
      </x:c>
      <x:c r="P582" t="str">
        <x:v>TEKNIK/ARSITEKTUR/STATISTIKA/AKTUARIA</x:v>
      </x:c>
      <x:c r="Q582" s="18" t="n">
        <x:v>0</x:v>
      </x:c>
      <x:c r="R582" s="18" t="n">
        <x:v>0</x:v>
      </x:c>
      <x:c r="S582" s="18" t="n">
        <x:v>599.7203953128484</x:v>
      </x:c>
      <x:c r="T582" s="18" t="n">
        <x:v>666</x:v>
      </x:c>
      <x:c r="U582" s="18" t="n">
        <x:v>609.7203953128484</x:v>
      </x:c>
      <x:c r="V582" s="20" t="n">
        <x:v>12</x:v>
      </x:c>
      <x:c r="W582" s="20" t="n">
        <x:v>5</x:v>
      </x:c>
      <x:c r="X582" s="20" t="n">
        <x:v>3</x:v>
      </x:c>
      <x:c r="Y582" t="str">
        <x:v>Basis arsip 2025/2024</x:v>
      </x:c>
      <x:c r="Z582" t="str">
        <x:v>https://snpmb.id/utbk-snbt/daya-tampung-snbt</x:v>
      </x:c>
      <x:c r="AA582" t="str">
        <x:v>Tidak Ada</x:v>
      </x:c>
      <x:c r="AB582" t="str">
        <x:v>Campus=55; Ratio=42.7; Prodi=60; RelDemand=41.5; Capacity=70.0</x:v>
      </x:c>
    </x:row>
    <x:row r="583">
      <x:c r="A583" t="n">
        <x:v>580</x:v>
      </x:c>
      <x:c r="B583" t="str">
        <x:v>PTN Akademik</x:v>
      </x:c>
      <x:c r="C583" t="str">
        <x:v>UNIVERSITAS JAMBI</x:v>
      </x:c>
      <x:c r="D583" t="str">
        <x:v>BIOLOGI</x:v>
      </x:c>
      <x:c r="E583" t="str">
        <x:v>Sarjana</x:v>
      </x:c>
      <x:c r="F583" s="18" t="n">
        <x:v>47</x:v>
      </x:c>
      <x:c r="G583" s="18" t="n">
        <x:v>63</x:v>
      </x:c>
      <x:c r="H583" s="19" t="n">
        <x:v>1.3404255319148937</x:v>
      </x:c>
      <x:c r="I583" s="18" t="n">
        <x:f>ROUND(MIN(Model_Config_v3!$B$6,MAX(Q583,R583,S583*Model_Config_v3!$B$4+T583*Model_Config_v3!$B$5)),0)</x:f>
        <x:v>606</x:v>
      </x:c>
      <x:c r="J583" s="18" t="n">
        <x:f>MIN(Model_Config_v3!$B$6,I583+Model_Config_v3!$B$7)</x:f>
        <x:v>626</x:v>
      </x:c>
      <x:c r="K583" s="20" t="n">
        <x:v>38.3</x:v>
      </x:c>
      <x:c r="L583" t="str">
        <x:v>RELATIF LONGGAR</x:v>
      </x:c>
      <x:c r="M583" t="str">
        <x:v>SEDANG+</x:v>
      </x:c>
      <x:c r="N583" t="str">
        <x:v>REGULER</x:v>
      </x:c>
      <x:c r="O583" t="str">
        <x:v>SAINTEK</x:v>
      </x:c>
      <x:c r="P583" t="str">
        <x:v>SAINS DASAR</x:v>
      </x:c>
      <x:c r="Q583" s="18" t="n">
        <x:v>0</x:v>
      </x:c>
      <x:c r="R583" s="18" t="n">
        <x:v>0</x:v>
      </x:c>
      <x:c r="S583" s="18" t="n">
        <x:v>533.9966960669651</x:v>
      </x:c>
      <x:c r="T583" s="18" t="n">
        <x:v>637</x:v>
      </x:c>
      <x:c r="U583" s="18" t="n">
        <x:v>533.9966960669651</x:v>
      </x:c>
      <x:c r="V583" s="20" t="n">
        <x:v>12</x:v>
      </x:c>
      <x:c r="W583" s="20" t="n">
        <x:v>5</x:v>
      </x:c>
      <x:c r="X583" s="20" t="n">
        <x:v>3</x:v>
      </x:c>
      <x:c r="Y583" t="str">
        <x:v>Basis arsip 2025/2024</x:v>
      </x:c>
      <x:c r="Z583" t="str">
        <x:v>https://snpmb.id/utbk-snbt/daya-tampung-snbt</x:v>
      </x:c>
      <x:c r="AA583" t="str">
        <x:v>Tidak Ada</x:v>
      </x:c>
      <x:c r="AB583" t="str">
        <x:v>Campus=55; Ratio=7.5; Prodi=50; RelDemand=10.5; Capacity=60.8</x:v>
      </x:c>
    </x:row>
    <x:row r="584">
      <x:c r="A584" t="n">
        <x:v>581</x:v>
      </x:c>
      <x:c r="B584" t="str">
        <x:v>PTN Akademik</x:v>
      </x:c>
      <x:c r="C584" t="str">
        <x:v>UNIVERSITAS JAMBI</x:v>
      </x:c>
      <x:c r="D584" t="str">
        <x:v>FISIKA</x:v>
      </x:c>
      <x:c r="E584" t="str">
        <x:v>Sarjana</x:v>
      </x:c>
      <x:c r="F584" s="18" t="n">
        <x:v>36</x:v>
      </x:c>
      <x:c r="G584" s="18" t="n">
        <x:v>26</x:v>
      </x:c>
      <x:c r="H584" s="19" t="n">
        <x:v>0.7222222222222222</x:v>
      </x:c>
      <x:c r="I584" s="18" t="n">
        <x:f>ROUND(MIN(Model_Config_v3!$B$6,MAX(Q584,R584,S584*Model_Config_v3!$B$4+T584*Model_Config_v3!$B$5)),0)</x:f>
        <x:v>600</x:v>
      </x:c>
      <x:c r="J584" s="18" t="n">
        <x:f>MIN(Model_Config_v3!$B$6,I584+Model_Config_v3!$B$7)</x:f>
        <x:v>620</x:v>
      </x:c>
      <x:c r="K584" s="20" t="n">
        <x:v>36.8</x:v>
      </x:c>
      <x:c r="L584" t="str">
        <x:v>RELATIF LONGGAR</x:v>
      </x:c>
      <x:c r="M584" t="str">
        <x:v>SEDANG+</x:v>
      </x:c>
      <x:c r="N584" t="str">
        <x:v>REGULER</x:v>
      </x:c>
      <x:c r="O584" t="str">
        <x:v>SAINTEK</x:v>
      </x:c>
      <x:c r="P584" t="str">
        <x:v>SAINS DASAR</x:v>
      </x:c>
      <x:c r="Q584" s="18" t="n">
        <x:v>0</x:v>
      </x:c>
      <x:c r="R584" s="18" t="n">
        <x:v>0</x:v>
      </x:c>
      <x:c r="S584" s="18" t="n">
        <x:v>520</x:v>
      </x:c>
      <x:c r="T584" s="18" t="n">
        <x:v>634</x:v>
      </x:c>
      <x:c r="U584" s="18" t="n">
        <x:v>520</x:v>
      </x:c>
      <x:c r="V584" s="20" t="n">
        <x:v>12</x:v>
      </x:c>
      <x:c r="W584" s="20" t="n">
        <x:v>5</x:v>
      </x:c>
      <x:c r="X584" s="20" t="n">
        <x:v>3</x:v>
      </x:c>
      <x:c r="Y584" t="str">
        <x:v>Basis arsip 2025/2024</x:v>
      </x:c>
      <x:c r="Z584" t="str">
        <x:v>https://snpmb.id/utbk-snbt/daya-tampung-snbt</x:v>
      </x:c>
      <x:c r="AA584" t="str">
        <x:v>Tidak Ada</x:v>
      </x:c>
      <x:c r="AB584" t="str">
        <x:v>Campus=55; Ratio=0.0; Prodi=50; RelDemand=5.7; Capacity=70.0</x:v>
      </x:c>
    </x:row>
    <x:row r="585">
      <x:c r="A585" t="n">
        <x:v>582</x:v>
      </x:c>
      <x:c r="B585" t="str">
        <x:v>PTN Akademik</x:v>
      </x:c>
      <x:c r="C585" t="str">
        <x:v>UNIVERSITAS JAMBI</x:v>
      </x:c>
      <x:c r="D585" t="str">
        <x:v>MATEMATIKA</x:v>
      </x:c>
      <x:c r="E585" t="str">
        <x:v>Sarjana</x:v>
      </x:c>
      <x:c r="F585" s="18" t="n">
        <x:v>47</x:v>
      </x:c>
      <x:c r="G585" s="18" t="n">
        <x:v>43</x:v>
      </x:c>
      <x:c r="H585" s="19" t="n">
        <x:v>0.9148936170212766</x:v>
      </x:c>
      <x:c r="I585" s="18" t="n">
        <x:f>ROUND(MIN(Model_Config_v3!$B$6,MAX(Q585,R585,S585*Model_Config_v3!$B$4+T585*Model_Config_v3!$B$5)),0)</x:f>
        <x:v>598</x:v>
      </x:c>
      <x:c r="J585" s="18" t="n">
        <x:f>MIN(Model_Config_v3!$B$6,I585+Model_Config_v3!$B$7)</x:f>
        <x:v>618</x:v>
      </x:c>
      <x:c r="K585" s="20" t="n">
        <x:v>36</x:v>
      </x:c>
      <x:c r="L585" t="str">
        <x:v>RELATIF LONGGAR</x:v>
      </x:c>
      <x:c r="M585" t="str">
        <x:v>SEDANG+</x:v>
      </x:c>
      <x:c r="N585" t="str">
        <x:v>REGULER</x:v>
      </x:c>
      <x:c r="O585" t="str">
        <x:v>SAINTEK</x:v>
      </x:c>
      <x:c r="P585" t="str">
        <x:v>SAINS DASAR</x:v>
      </x:c>
      <x:c r="Q585" s="18" t="n">
        <x:v>0</x:v>
      </x:c>
      <x:c r="R585" s="18" t="n">
        <x:v>0</x:v>
      </x:c>
      <x:c r="S585" s="18" t="n">
        <x:v>520</x:v>
      </x:c>
      <x:c r="T585" s="18" t="n">
        <x:v>632</x:v>
      </x:c>
      <x:c r="U585" s="18" t="n">
        <x:v>520</x:v>
      </x:c>
      <x:c r="V585" s="20" t="n">
        <x:v>12</x:v>
      </x:c>
      <x:c r="W585" s="20" t="n">
        <x:v>5</x:v>
      </x:c>
      <x:c r="X585" s="20" t="n">
        <x:v>3</x:v>
      </x:c>
      <x:c r="Y585" t="str">
        <x:v>Basis arsip 2025/2024</x:v>
      </x:c>
      <x:c r="Z585" t="str">
        <x:v>https://snpmb.id/utbk-snbt/daya-tampung-snbt</x:v>
      </x:c>
      <x:c r="AA585" t="str">
        <x:v>Tidak Ada</x:v>
      </x:c>
      <x:c r="AB585" t="str">
        <x:v>Campus=55; Ratio=0.0; Prodi=50; RelDemand=7.2; Capacity=60.8</x:v>
      </x:c>
    </x:row>
    <x:row r="586">
      <x:c r="A586" t="n">
        <x:v>583</x:v>
      </x:c>
      <x:c r="B586" t="str">
        <x:v>PTN Akademik</x:v>
      </x:c>
      <x:c r="C586" t="str">
        <x:v>UNIVERSITAS JAMBI</x:v>
      </x:c>
      <x:c r="D586" t="str">
        <x:v>ILMU KESEHATAN MASYARAKAT</x:v>
      </x:c>
      <x:c r="E586" t="str">
        <x:v>Sarjana</x:v>
      </x:c>
      <x:c r="F586" s="18" t="n">
        <x:v>149</x:v>
      </x:c>
      <x:c r="G586" s="18" t="n">
        <x:v>745</x:v>
      </x:c>
      <x:c r="H586" s="19" t="n">
        <x:v>5</x:v>
      </x:c>
      <x:c r="I586" s="18" t="n">
        <x:f>ROUND(MIN(Model_Config_v3!$B$6,MAX(Q586,R586,S586*Model_Config_v3!$B$4+T586*Model_Config_v3!$B$5)),0)</x:f>
        <x:v>633</x:v>
      </x:c>
      <x:c r="J586" s="18" t="n">
        <x:f>MIN(Model_Config_v3!$B$6,I586+Model_Config_v3!$B$7)</x:f>
        <x:v>653</x:v>
      </x:c>
      <x:c r="K586" s="20" t="n">
        <x:v>44.5</x:v>
      </x:c>
      <x:c r="L586" t="str">
        <x:v>RELATIF LONGGAR</x:v>
      </x:c>
      <x:c r="M586" t="str">
        <x:v>SEDANG+</x:v>
      </x:c>
      <x:c r="N586" t="str">
        <x:v>REGULER</x:v>
      </x:c>
      <x:c r="O586" t="str">
        <x:v>SAINTEK</x:v>
      </x:c>
      <x:c r="P586" t="str">
        <x:v>KESEHAT/GIZI/KEPERAWATAN</x:v>
      </x:c>
      <x:c r="Q586" s="18" t="n">
        <x:v>0</x:v>
      </x:c>
      <x:c r="R586" s="18" t="n">
        <x:v>0</x:v>
      </x:c>
      <x:c r="S586" s="18" t="n">
        <x:v>596.886700476962</x:v>
      </x:c>
      <x:c r="T586" s="18" t="n">
        <x:v>649</x:v>
      </x:c>
      <x:c r="U586" s="18" t="n">
        <x:v>596.886700476962</x:v>
      </x:c>
      <x:c r="V586" s="20" t="n">
        <x:v>12</x:v>
      </x:c>
      <x:c r="W586" s="20" t="n">
        <x:v>5</x:v>
      </x:c>
      <x:c r="X586" s="20" t="n">
        <x:v>3</x:v>
      </x:c>
      <x:c r="Y586" t="str">
        <x:v>Basis arsip 2025/2024</x:v>
      </x:c>
      <x:c r="Z586" t="str">
        <x:v>https://snpmb.id/utbk-snbt/daya-tampung-snbt</x:v>
      </x:c>
      <x:c r="AA586" t="str">
        <x:v>Tidak Ada</x:v>
      </x:c>
      <x:c r="AB586" t="str">
        <x:v>Campus=55; Ratio=41.1; Prodi=55; RelDemand=39.2; Capacity=0.0</x:v>
      </x:c>
    </x:row>
    <x:row r="587">
      <x:c r="A587" t="n">
        <x:v>584</x:v>
      </x:c>
      <x:c r="B587" t="str">
        <x:v>PTN Akademik</x:v>
      </x:c>
      <x:c r="C587" t="str">
        <x:v>UNIVERSITAS JAMBI</x:v>
      </x:c>
      <x:c r="D587" t="str">
        <x:v>TEKNIK LINGKUNGAN</x:v>
      </x:c>
      <x:c r="E587" t="str">
        <x:v>Sarjana</x:v>
      </x:c>
      <x:c r="F587" s="18" t="n">
        <x:v>47</x:v>
      </x:c>
      <x:c r="G587" s="18" t="n">
        <x:v>150</x:v>
      </x:c>
      <x:c r="H587" s="19" t="n">
        <x:v>3.1914893617021276</x:v>
      </x:c>
      <x:c r="I587" s="18" t="n">
        <x:f>ROUND(MIN(Model_Config_v3!$B$6,MAX(Q587,R587,S587*Model_Config_v3!$B$4+T587*Model_Config_v3!$B$5)),0)</x:f>
        <x:v>630</x:v>
      </x:c>
      <x:c r="J587" s="18" t="n">
        <x:f>MIN(Model_Config_v3!$B$6,I587+Model_Config_v3!$B$7)</x:f>
        <x:v>650</x:v>
      </x:c>
      <x:c r="K587" s="20" t="n">
        <x:v>47.2</x:v>
      </x:c>
      <x:c r="L587" t="str">
        <x:v>MENENGAH</x:v>
      </x:c>
      <x:c r="M587" t="str">
        <x:v>SEDANG+</x:v>
      </x:c>
      <x:c r="N587" t="str">
        <x:v>REGULER</x:v>
      </x:c>
      <x:c r="O587" t="str">
        <x:v>SAINTEK</x:v>
      </x:c>
      <x:c r="P587" t="str">
        <x:v>TEKNIK/ARSITEKTUR/STATISTIKA/AKTUARIA</x:v>
      </x:c>
      <x:c r="Q587" s="18" t="n">
        <x:v>0</x:v>
      </x:c>
      <x:c r="R587" s="18" t="n">
        <x:v>0</x:v>
      </x:c>
      <x:c r="S587" s="18" t="n">
        <x:v>575.439274123196</x:v>
      </x:c>
      <x:c r="T587" s="18" t="n">
        <x:v>654</x:v>
      </x:c>
      <x:c r="U587" s="18" t="n">
        <x:v>585.439274123196</x:v>
      </x:c>
      <x:c r="V587" s="20" t="n">
        <x:v>12</x:v>
      </x:c>
      <x:c r="W587" s="20" t="n">
        <x:v>5</x:v>
      </x:c>
      <x:c r="X587" s="20" t="n">
        <x:v>3</x:v>
      </x:c>
      <x:c r="Y587" t="str">
        <x:v>Basis arsip 2025/2024</x:v>
      </x:c>
      <x:c r="Z587" t="str">
        <x:v>https://snpmb.id/utbk-snbt/daya-tampung-snbt</x:v>
      </x:c>
      <x:c r="AA587" t="str">
        <x:v>Tidak Ada</x:v>
      </x:c>
      <x:c r="AB587" t="str">
        <x:v>Campus=55; Ratio=29.7; Prodi=60; RelDemand=25.0; Capacity=60.8</x:v>
      </x:c>
    </x:row>
    <x:row r="588">
      <x:c r="A588" t="n">
        <x:v>585</x:v>
      </x:c>
      <x:c r="B588" t="str">
        <x:v>PTN Akademik</x:v>
      </x:c>
      <x:c r="C588" t="str">
        <x:v>UNIVERSITAS JAMBI</x:v>
      </x:c>
      <x:c r="D588" t="str">
        <x:v>PENDIDIKAN KEPELATIHAN OLAHRAGA</x:v>
      </x:c>
      <x:c r="E588" t="str">
        <x:v>Sarjana</x:v>
      </x:c>
      <x:c r="F588" s="18" t="n">
        <x:v>36</x:v>
      </x:c>
      <x:c r="G588" s="18" t="n">
        <x:v>74</x:v>
      </x:c>
      <x:c r="H588" s="19" t="n">
        <x:v>2.0555555555555554</x:v>
      </x:c>
      <x:c r="I588" s="18" t="n">
        <x:f>ROUND(MIN(Model_Config_v3!$B$6,MAX(Q588,R588,S588*Model_Config_v3!$B$4+T588*Model_Config_v3!$B$5)),0)</x:f>
        <x:v>616</x:v>
      </x:c>
      <x:c r="J588" s="18" t="n">
        <x:f>MIN(Model_Config_v3!$B$6,I588+Model_Config_v3!$B$7)</x:f>
        <x:v>636</x:v>
      </x:c>
      <x:c r="K588" s="20" t="n">
        <x:v>41.5</x:v>
      </x:c>
      <x:c r="L588" t="str">
        <x:v>RELATIF LONGGAR</x:v>
      </x:c>
      <x:c r="M588" t="str">
        <x:v>PORTOFOLIO</x:v>
      </x:c>
      <x:c r="N588" t="str">
        <x:v>REGULER</x:v>
      </x:c>
      <x:c r="O588" t="str">
        <x:v>SENI/OLAHRAGA</x:v>
      </x:c>
      <x:c r="P588" t="str">
        <x:v>SENI/OLAHRAGA</x:v>
      </x:c>
      <x:c r="Q588" s="18" t="n">
        <x:v>0</x:v>
      </x:c>
      <x:c r="R588" s="18" t="n">
        <x:v>0</x:v>
      </x:c>
      <x:c r="S588" s="18" t="n">
        <x:v>554.4222140860057</x:v>
      </x:c>
      <x:c r="T588" s="18" t="n">
        <x:v>643</x:v>
      </x:c>
      <x:c r="U588" s="18" t="n">
        <x:v>554.4222140860057</x:v>
      </x:c>
      <x:c r="V588" s="20" t="n">
        <x:v>4.4</x:v>
      </x:c>
      <x:c r="W588" s="20" t="n">
        <x:v>9.9</x:v>
      </x:c>
      <x:c r="X588" s="20" t="n">
        <x:v>7.7</x:v>
      </x:c>
      <x:c r="Y588" t="str">
        <x:v>Basis arsip 2025/2024</x:v>
      </x:c>
      <x:c r="Z588" t="str">
        <x:v>https://snpmb.id/utbk-snbt/daya-tampung-snbt</x:v>
      </x:c>
      <x:c r="AA588" t="str">
        <x:v>Olahraga</x:v>
      </x:c>
      <x:c r="AB588" t="str">
        <x:v>Campus=55; Ratio=18.4; Prodi=45; RelDemand=16.1; Capacity=70.0</x:v>
      </x:c>
    </x:row>
    <x:row r="589">
      <x:c r="A589" t="n">
        <x:v>586</x:v>
      </x:c>
      <x:c r="B589" t="str">
        <x:v>PTN Akademik</x:v>
      </x:c>
      <x:c r="C589" t="str">
        <x:v>UNIVERSITAS JAMBI</x:v>
      </x:c>
      <x:c r="D589" t="str">
        <x:v>TEKNIK ELEKTRO</x:v>
      </x:c>
      <x:c r="E589" t="str">
        <x:v>Sarjana</x:v>
      </x:c>
      <x:c r="F589" s="18" t="n">
        <x:v>24</x:v>
      </x:c>
      <x:c r="G589" s="18" t="n">
        <x:v>125</x:v>
      </x:c>
      <x:c r="H589" s="19" t="n">
        <x:v>5.208333333333333</x:v>
      </x:c>
      <x:c r="I589" s="18" t="n">
        <x:f>ROUND(MIN(Model_Config_v3!$B$6,MAX(Q589,R589,S589*Model_Config_v3!$B$4+T589*Model_Config_v3!$B$5)),0)</x:f>
        <x:v>647</x:v>
      </x:c>
      <x:c r="J589" s="18" t="n">
        <x:f>MIN(Model_Config_v3!$B$6,I589+Model_Config_v3!$B$7)</x:f>
        <x:v>667</x:v>
      </x:c>
      <x:c r="K589" s="20" t="n">
        <x:v>53.9</x:v>
      </x:c>
      <x:c r="L589" t="str">
        <x:v>MENENGAH</x:v>
      </x:c>
      <x:c r="M589" t="str">
        <x:v>SEDANG+</x:v>
      </x:c>
      <x:c r="N589" t="str">
        <x:v>REGULER</x:v>
      </x:c>
      <x:c r="O589" t="str">
        <x:v>SAINTEK</x:v>
      </x:c>
      <x:c r="P589" t="str">
        <x:v>TEKNIK/ARSITEKTUR/STATISTIKA/AKTUARIA</x:v>
      </x:c>
      <x:c r="Q589" s="18" t="n">
        <x:v>0</x:v>
      </x:c>
      <x:c r="R589" s="18" t="n">
        <x:v>0</x:v>
      </x:c>
      <x:c r="S589" s="18" t="n">
        <x:v>598.8368648426095</x:v>
      </x:c>
      <x:c r="T589" s="18" t="n">
        <x:v>668</x:v>
      </x:c>
      <x:c r="U589" s="18" t="n">
        <x:v>608.8368648426095</x:v>
      </x:c>
      <x:c r="V589" s="20" t="n">
        <x:v>12</x:v>
      </x:c>
      <x:c r="W589" s="20" t="n">
        <x:v>5</x:v>
      </x:c>
      <x:c r="X589" s="20" t="n">
        <x:v>3</x:v>
      </x:c>
      <x:c r="Y589" t="str">
        <x:v>Basis arsip 2025/2024</x:v>
      </x:c>
      <x:c r="Z589" t="str">
        <x:v>https://snpmb.id/utbk-snbt/daya-tampung-snbt</x:v>
      </x:c>
      <x:c r="AA589" t="str">
        <x:v>Tidak Ada</x:v>
      </x:c>
      <x:c r="AB589" t="str">
        <x:v>Campus=55; Ratio=42.2; Prodi=60; RelDemand=40.8; Capacity=80.0</x:v>
      </x:c>
    </x:row>
    <x:row r="590">
      <x:c r="A590" t="n">
        <x:v>587</x:v>
      </x:c>
      <x:c r="B590" t="str">
        <x:v>PTN Akademik</x:v>
      </x:c>
      <x:c r="C590" t="str">
        <x:v>UNIVERSITAS JAMBI</x:v>
      </x:c>
      <x:c r="D590" t="str">
        <x:v>TEKNIK GEOFISIKA</x:v>
      </x:c>
      <x:c r="E590" t="str">
        <x:v>Sarjana</x:v>
      </x:c>
      <x:c r="F590" s="18" t="n">
        <x:v>21</x:v>
      </x:c>
      <x:c r="G590" s="18" t="n">
        <x:v>34</x:v>
      </x:c>
      <x:c r="H590" s="19" t="n">
        <x:v>1.619047619047619</x:v>
      </x:c>
      <x:c r="I590" s="18" t="n">
        <x:f>ROUND(MIN(Model_Config_v3!$B$6,MAX(Q590,R590,S590*Model_Config_v3!$B$4+T590*Model_Config_v3!$B$5)),0)</x:f>
        <x:v>617</x:v>
      </x:c>
      <x:c r="J590" s="18" t="n">
        <x:f>MIN(Model_Config_v3!$B$6,I590+Model_Config_v3!$B$7)</x:f>
        <x:v>637</x:v>
      </x:c>
      <x:c r="K590" s="20" t="n">
        <x:v>43.8</x:v>
      </x:c>
      <x:c r="L590" t="str">
        <x:v>RELATIF LONGGAR</x:v>
      </x:c>
      <x:c r="M590" t="str">
        <x:v>SEDANG+</x:v>
      </x:c>
      <x:c r="N590" t="str">
        <x:v>REGULER</x:v>
      </x:c>
      <x:c r="O590" t="str">
        <x:v>SAINTEK</x:v>
      </x:c>
      <x:c r="P590" t="str">
        <x:v>TEKNIK/ARSITEKTUR/STATISTIKA/AKTUARIA</x:v>
      </x:c>
      <x:c r="Q590" s="18" t="n">
        <x:v>0</x:v>
      </x:c>
      <x:c r="R590" s="18" t="n">
        <x:v>0</x:v>
      </x:c>
      <x:c r="S590" s="18" t="n">
        <x:v>543.018558453917</x:v>
      </x:c>
      <x:c r="T590" s="18" t="n">
        <x:v>648</x:v>
      </x:c>
      <x:c r="U590" s="18" t="n">
        <x:v>553.018558453917</x:v>
      </x:c>
      <x:c r="V590" s="20" t="n">
        <x:v>12</x:v>
      </x:c>
      <x:c r="W590" s="20" t="n">
        <x:v>5</x:v>
      </x:c>
      <x:c r="X590" s="20" t="n">
        <x:v>3</x:v>
      </x:c>
      <x:c r="Y590" t="str">
        <x:v>Basis arsip 2025/2024</x:v>
      </x:c>
      <x:c r="Z590" t="str">
        <x:v>https://snpmb.id/utbk-snbt/daya-tampung-snbt</x:v>
      </x:c>
      <x:c r="AA590" t="str">
        <x:v>Tidak Ada</x:v>
      </x:c>
      <x:c r="AB590" t="str">
        <x:v>Campus=55; Ratio=12.3; Prodi=60; RelDemand=12.7; Capacity=82.5</x:v>
      </x:c>
    </x:row>
    <x:row r="591">
      <x:c r="A591" t="n">
        <x:v>588</x:v>
      </x:c>
      <x:c r="B591" t="str">
        <x:v>PTN Akademik</x:v>
      </x:c>
      <x:c r="C591" t="str">
        <x:v>UNIVERSITAS JAMBI</x:v>
      </x:c>
      <x:c r="D591" t="str">
        <x:v>TEKNIK KIMIA</x:v>
      </x:c>
      <x:c r="E591" t="str">
        <x:v>Sarjana</x:v>
      </x:c>
      <x:c r="F591" s="18" t="n">
        <x:v>47</x:v>
      </x:c>
      <x:c r="G591" s="18" t="n">
        <x:v>89</x:v>
      </x:c>
      <x:c r="H591" s="19" t="n">
        <x:v>1.8936170212765957</x:v>
      </x:c>
      <x:c r="I591" s="18" t="n">
        <x:f>ROUND(MIN(Model_Config_v3!$B$6,MAX(Q591,R591,S591*Model_Config_v3!$B$4+T591*Model_Config_v3!$B$5)),0)</x:f>
        <x:v>617</x:v>
      </x:c>
      <x:c r="J591" s="18" t="n">
        <x:f>MIN(Model_Config_v3!$B$6,I591+Model_Config_v3!$B$7)</x:f>
        <x:v>637</x:v>
      </x:c>
      <x:c r="K591" s="20" t="n">
        <x:v>42.9</x:v>
      </x:c>
      <x:c r="L591" t="str">
        <x:v>RELATIF LONGGAR</x:v>
      </x:c>
      <x:c r="M591" t="str">
        <x:v>SEDANG+</x:v>
      </x:c>
      <x:c r="N591" t="str">
        <x:v>REGULER</x:v>
      </x:c>
      <x:c r="O591" t="str">
        <x:v>SAINTEK</x:v>
      </x:c>
      <x:c r="P591" t="str">
        <x:v>TEKNIK/ARSITEKTUR/STATISTIKA/AKTUARIA</x:v>
      </x:c>
      <x:c r="Q591" s="18" t="n">
        <x:v>0</x:v>
      </x:c>
      <x:c r="R591" s="18" t="n">
        <x:v>0</x:v>
      </x:c>
      <x:c r="S591" s="18" t="n">
        <x:v>550.5021363580115</x:v>
      </x:c>
      <x:c r="T591" s="18" t="n">
        <x:v>646</x:v>
      </x:c>
      <x:c r="U591" s="18" t="n">
        <x:v>560.5021363580115</x:v>
      </x:c>
      <x:c r="V591" s="20" t="n">
        <x:v>12</x:v>
      </x:c>
      <x:c r="W591" s="20" t="n">
        <x:v>5</x:v>
      </x:c>
      <x:c r="X591" s="20" t="n">
        <x:v>3</x:v>
      </x:c>
      <x:c r="Y591" t="str">
        <x:v>Basis arsip 2025/2024</x:v>
      </x:c>
      <x:c r="Z591" t="str">
        <x:v>https://snpmb.id/utbk-snbt/daya-tampung-snbt</x:v>
      </x:c>
      <x:c r="AA591" t="str">
        <x:v>Tidak Ada</x:v>
      </x:c>
      <x:c r="AB591" t="str">
        <x:v>Campus=55; Ratio=16.3; Prodi=60; RelDemand=14.8; Capacity=60.8</x:v>
      </x:c>
    </x:row>
    <x:row r="592">
      <x:c r="A592" t="n">
        <x:v>589</x:v>
      </x:c>
      <x:c r="B592" t="str">
        <x:v>PTN Akademik</x:v>
      </x:c>
      <x:c r="C592" t="str">
        <x:v>UNIVERSITAS JAMBI</x:v>
      </x:c>
      <x:c r="D592" t="str">
        <x:v>TEKNIK SIPIL</x:v>
      </x:c>
      <x:c r="E592" t="str">
        <x:v>Sarjana</x:v>
      </x:c>
      <x:c r="F592" s="18" t="n">
        <x:v>50</x:v>
      </x:c>
      <x:c r="G592" s="18" t="n">
        <x:v>296</x:v>
      </x:c>
      <x:c r="H592" s="19" t="n">
        <x:v>5.92</x:v>
      </x:c>
      <x:c r="I592" s="18" t="n">
        <x:f>ROUND(MIN(Model_Config_v3!$B$6,MAX(Q592,R592,S592*Model_Config_v3!$B$4+T592*Model_Config_v3!$B$5)),0)</x:f>
        <x:v>648</x:v>
      </x:c>
      <x:c r="J592" s="18" t="n">
        <x:f>MIN(Model_Config_v3!$B$6,I592+Model_Config_v3!$B$7)</x:f>
        <x:v>668</x:v>
      </x:c>
      <x:c r="K592" s="20" t="n">
        <x:v>53.1</x:v>
      </x:c>
      <x:c r="L592" t="str">
        <x:v>MENENGAH</x:v>
      </x:c>
      <x:c r="M592" t="str">
        <x:v>SEDANG+</x:v>
      </x:c>
      <x:c r="N592" t="str">
        <x:v>REGULER</x:v>
      </x:c>
      <x:c r="O592" t="str">
        <x:v>SAINTEK</x:v>
      </x:c>
      <x:c r="P592" t="str">
        <x:v>TEKNIK/ARSITEKTUR/STATISTIKA/AKTUARIA</x:v>
      </x:c>
      <x:c r="Q592" s="18" t="n">
        <x:v>0</x:v>
      </x:c>
      <x:c r="R592" s="18" t="n">
        <x:v>0</x:v>
      </x:c>
      <x:c r="S592" s="18" t="n">
        <x:v>604.9553877395211</x:v>
      </x:c>
      <x:c r="T592" s="18" t="n">
        <x:v>666</x:v>
      </x:c>
      <x:c r="U592" s="18" t="n">
        <x:v>614.9553877395211</x:v>
      </x:c>
      <x:c r="V592" s="20" t="n">
        <x:v>12</x:v>
      </x:c>
      <x:c r="W592" s="20" t="n">
        <x:v>5</x:v>
      </x:c>
      <x:c r="X592" s="20" t="n">
        <x:v>3</x:v>
      </x:c>
      <x:c r="Y592" t="str">
        <x:v>Basis arsip 2025/2024</x:v>
      </x:c>
      <x:c r="Z592" t="str">
        <x:v>https://snpmb.id/utbk-snbt/daya-tampung-snbt</x:v>
      </x:c>
      <x:c r="AA592" t="str">
        <x:v>Tidak Ada</x:v>
      </x:c>
      <x:c r="AB592" t="str">
        <x:v>Campus=55; Ratio=45.5; Prodi=60; RelDemand=46.4; Capacity=58.3</x:v>
      </x:c>
    </x:row>
    <x:row r="593">
      <x:c r="A593" t="n">
        <x:v>590</x:v>
      </x:c>
      <x:c r="B593" t="str">
        <x:v>PTN Akademik</x:v>
      </x:c>
      <x:c r="C593" t="str">
        <x:v>UNIVERSITAS JAMBI</x:v>
      </x:c>
      <x:c r="D593" t="str">
        <x:v>TEKNIK PERTANIAN</x:v>
      </x:c>
      <x:c r="E593" t="str">
        <x:v>Sarjana</x:v>
      </x:c>
      <x:c r="F593" s="18" t="n">
        <x:v>36</x:v>
      </x:c>
      <x:c r="G593" s="18" t="n">
        <x:v>151</x:v>
      </x:c>
      <x:c r="H593" s="19" t="n">
        <x:v>4.194444444444445</x:v>
      </x:c>
      <x:c r="I593" s="18" t="n">
        <x:f>ROUND(MIN(Model_Config_v3!$B$6,MAX(Q593,R593,S593*Model_Config_v3!$B$4+T593*Model_Config_v3!$B$5)),0)</x:f>
        <x:v>639</x:v>
      </x:c>
      <x:c r="J593" s="18" t="n">
        <x:f>MIN(Model_Config_v3!$B$6,I593+Model_Config_v3!$B$7)</x:f>
        <x:v>659</x:v>
      </x:c>
      <x:c r="K593" s="20" t="n">
        <x:v>50.7</x:v>
      </x:c>
      <x:c r="L593" t="str">
        <x:v>MENENGAH</x:v>
      </x:c>
      <x:c r="M593" t="str">
        <x:v>SEDANG+</x:v>
      </x:c>
      <x:c r="N593" t="str">
        <x:v>REGULER</x:v>
      </x:c>
      <x:c r="O593" t="str">
        <x:v>SAINTEK</x:v>
      </x:c>
      <x:c r="P593" t="str">
        <x:v>TEKNIK/ARSITEKTUR/STATISTIKA/AKTUARIA</x:v>
      </x:c>
      <x:c r="Q593" s="18" t="n">
        <x:v>0</x:v>
      </x:c>
      <x:c r="R593" s="18" t="n">
        <x:v>0</x:v>
      </x:c>
      <x:c r="S593" s="18" t="n">
        <x:v>588.494189117847</x:v>
      </x:c>
      <x:c r="T593" s="18" t="n">
        <x:v>661</x:v>
      </x:c>
      <x:c r="U593" s="18" t="n">
        <x:v>598.494189117847</x:v>
      </x:c>
      <x:c r="V593" s="20" t="n">
        <x:v>12</x:v>
      </x:c>
      <x:c r="W593" s="20" t="n">
        <x:v>5</x:v>
      </x:c>
      <x:c r="X593" s="20" t="n">
        <x:v>3</x:v>
      </x:c>
      <x:c r="Y593" t="str">
        <x:v>Basis arsip 2025/2024</x:v>
      </x:c>
      <x:c r="Z593" t="str">
        <x:v>https://snpmb.id/utbk-snbt/daya-tampung-snbt</x:v>
      </x:c>
      <x:c r="AA593" t="str">
        <x:v>Tidak Ada</x:v>
      </x:c>
      <x:c r="AB593" t="str">
        <x:v>Campus=55; Ratio=36.7; Prodi=60; RelDemand=32.8; Capacity=70.0</x:v>
      </x:c>
    </x:row>
    <x:row r="594">
      <x:c r="A594" t="n">
        <x:v>591</x:v>
      </x:c>
      <x:c r="B594" t="str">
        <x:v>PTN Akademik</x:v>
      </x:c>
      <x:c r="C594" t="str">
        <x:v>UNIVERSITAS JAMBI</x:v>
      </x:c>
      <x:c r="D594" t="str">
        <x:v>TEKNOLOGI INDUSTRI PERTANIAN</x:v>
      </x:c>
      <x:c r="E594" t="str">
        <x:v>Sarjana</x:v>
      </x:c>
      <x:c r="F594" s="18" t="n">
        <x:v>36</x:v>
      </x:c>
      <x:c r="G594" s="18" t="n">
        <x:v>93</x:v>
      </x:c>
      <x:c r="H594" s="19" t="n">
        <x:v>2.5833333333333335</x:v>
      </x:c>
      <x:c r="I594" s="18" t="n">
        <x:f>ROUND(MIN(Model_Config_v3!$B$6,MAX(Q594,R594,S594*Model_Config_v3!$B$4+T594*Model_Config_v3!$B$5)),0)</x:f>
        <x:v>621</x:v>
      </x:c>
      <x:c r="J594" s="18" t="n">
        <x:f>MIN(Model_Config_v3!$B$6,I594+Model_Config_v3!$B$7)</x:f>
        <x:v>641</x:v>
      </x:c>
      <x:c r="K594" s="20" t="n">
        <x:v>42.3</x:v>
      </x:c>
      <x:c r="L594" t="str">
        <x:v>RELATIF LONGGAR</x:v>
      </x:c>
      <x:c r="M594" t="str">
        <x:v>SEDANG</x:v>
      </x:c>
      <x:c r="N594" t="str">
        <x:v>REGULER</x:v>
      </x:c>
      <x:c r="O594" t="str">
        <x:v>SAINTEK</x:v>
      </x:c>
      <x:c r="P594" t="str">
        <x:v>UMUM</x:v>
      </x:c>
      <x:c r="Q594" s="18" t="n">
        <x:v>0</x:v>
      </x:c>
      <x:c r="R594" s="18" t="n">
        <x:v>0</x:v>
      </x:c>
      <x:c r="S594" s="18" t="n">
        <x:v>565.3398492565312</x:v>
      </x:c>
      <x:c r="T594" s="18" t="n">
        <x:v>645</x:v>
      </x:c>
      <x:c r="U594" s="18" t="n">
        <x:v>565.3398492565312</x:v>
      </x:c>
      <x:c r="V594" s="20" t="n">
        <x:v>12</x:v>
      </x:c>
      <x:c r="W594" s="20" t="n">
        <x:v>5</x:v>
      </x:c>
      <x:c r="X594" s="20" t="n">
        <x:v>3</x:v>
      </x:c>
      <x:c r="Y594" t="str">
        <x:v>Basis arsip 2025/2024</x:v>
      </x:c>
      <x:c r="Z594" t="str">
        <x:v>https://snpmb.id/utbk-snbt/daya-tampung-snbt</x:v>
      </x:c>
      <x:c r="AA594" t="str">
        <x:v>Tidak Ada</x:v>
      </x:c>
      <x:c r="AB594" t="str">
        <x:v>Campus=55; Ratio=24.3; Prodi=40; RelDemand=20.2; Capacity=70.0</x:v>
      </x:c>
    </x:row>
    <x:row r="595">
      <x:c r="A595" t="n">
        <x:v>592</x:v>
      </x:c>
      <x:c r="B595" t="str">
        <x:v>PTN Akademik</x:v>
      </x:c>
      <x:c r="C595" t="str">
        <x:v>UNIVERSITAS JAMBI</x:v>
      </x:c>
      <x:c r="D595" t="str">
        <x:v>PEND. EKONOMI</x:v>
      </x:c>
      <x:c r="E595" t="str">
        <x:v>Sarjana</x:v>
      </x:c>
      <x:c r="F595" s="18" t="n">
        <x:v>54</x:v>
      </x:c>
      <x:c r="G595" s="18" t="n">
        <x:v>154</x:v>
      </x:c>
      <x:c r="H595" s="19" t="n">
        <x:v>2.8518518518518516</x:v>
      </x:c>
      <x:c r="I595" s="18" t="n">
        <x:f>ROUND(MIN(Model_Config_v3!$B$6,MAX(Q595,R595,S595*Model_Config_v3!$B$4+T595*Model_Config_v3!$B$5)),0)</x:f>
        <x:v>623</x:v>
      </x:c>
      <x:c r="J595" s="18" t="n">
        <x:f>MIN(Model_Config_v3!$B$6,I595+Model_Config_v3!$B$7)</x:f>
        <x:v>643</x:v>
      </x:c>
      <x:c r="K595" s="20" t="n">
        <x:v>42.7</x:v>
      </x:c>
      <x:c r="L595" t="str">
        <x:v>RELATIF LONGGAR</x:v>
      </x:c>
      <x:c r="M595" t="str">
        <x:v>SEDANG+</x:v>
      </x:c>
      <x:c r="N595" t="str">
        <x:v>REGULER</x:v>
      </x:c>
      <x:c r="O595" t="str">
        <x:v>SOSHUM</x:v>
      </x:c>
      <x:c r="P595" t="str">
        <x:v>PENDIDIKAN</x:v>
      </x:c>
      <x:c r="Q595" s="18" t="n">
        <x:v>0</x:v>
      </x:c>
      <x:c r="R595" s="18" t="n">
        <x:v>0</x:v>
      </x:c>
      <x:c r="S595" s="18" t="n">
        <x:v>570.0639657114843</x:v>
      </x:c>
      <x:c r="T595" s="18" t="n">
        <x:v>645</x:v>
      </x:c>
      <x:c r="U595" s="18" t="n">
        <x:v>570.0639657114843</x:v>
      </x:c>
      <x:c r="V595" s="20" t="n">
        <x:v>4.4</x:v>
      </x:c>
      <x:c r="W595" s="20" t="n">
        <x:v>14.3</x:v>
      </x:c>
      <x:c r="X595" s="20" t="n">
        <x:v>3.3</x:v>
      </x:c>
      <x:c r="Y595" t="str">
        <x:v>Basis arsip 2025/2024</x:v>
      </x:c>
      <x:c r="Z595" t="str">
        <x:v>https://snpmb.id/utbk-snbt/daya-tampung-snbt</x:v>
      </x:c>
      <x:c r="AA595" t="str">
        <x:v>Tidak Ada</x:v>
      </x:c>
      <x:c r="AB595" t="str">
        <x:v>Campus=55; Ratio=26.8; Prodi=45; RelDemand=22.3; Capacity=55.0</x:v>
      </x:c>
    </x:row>
    <x:row r="596">
      <x:c r="A596" t="n">
        <x:v>593</x:v>
      </x:c>
      <x:c r="B596" t="str">
        <x:v>PTN Akademik</x:v>
      </x:c>
      <x:c r="C596" t="str">
        <x:v>UNIVERSITAS JAMBI</x:v>
      </x:c>
      <x:c r="D596" t="str">
        <x:v>PEND. BAHASA, SASTRA INDONESIA &amp; DAERAH</x:v>
      </x:c>
      <x:c r="E596" t="str">
        <x:v>Sarjana</x:v>
      </x:c>
      <x:c r="F596" s="18" t="n">
        <x:v>68</x:v>
      </x:c>
      <x:c r="G596" s="18" t="n">
        <x:v>250</x:v>
      </x:c>
      <x:c r="H596" s="19" t="n">
        <x:v>3.676470588235294</x:v>
      </x:c>
      <x:c r="I596" s="18" t="n">
        <x:f>ROUND(MIN(Model_Config_v3!$B$6,MAX(Q596,R596,S596*Model_Config_v3!$B$4+T596*Model_Config_v3!$B$5)),0)</x:f>
        <x:v>628</x:v>
      </x:c>
      <x:c r="J596" s="18" t="n">
        <x:f>MIN(Model_Config_v3!$B$6,I596+Model_Config_v3!$B$7)</x:f>
        <x:v>648</x:v>
      </x:c>
      <x:c r="K596" s="20" t="n">
        <x:v>43.8</x:v>
      </x:c>
      <x:c r="L596" t="str">
        <x:v>RELATIF LONGGAR</x:v>
      </x:c>
      <x:c r="M596" t="str">
        <x:v>SEDANG+</x:v>
      </x:c>
      <x:c r="N596" t="str">
        <x:v>REGULER</x:v>
      </x:c>
      <x:c r="O596" t="str">
        <x:v>SOSHUM</x:v>
      </x:c>
      <x:c r="P596" t="str">
        <x:v>PENDIDIKAN</x:v>
      </x:c>
      <x:c r="Q596" s="18" t="n">
        <x:v>0</x:v>
      </x:c>
      <x:c r="R596" s="18" t="n">
        <x:v>0</x:v>
      </x:c>
      <x:c r="S596" s="18" t="n">
        <x:v>582.1974205562382</x:v>
      </x:c>
      <x:c r="T596" s="18" t="n">
        <x:v>648</x:v>
      </x:c>
      <x:c r="U596" s="18" t="n">
        <x:v>582.1974205562382</x:v>
      </x:c>
      <x:c r="V596" s="20" t="n">
        <x:v>4.4</x:v>
      </x:c>
      <x:c r="W596" s="20" t="n">
        <x:v>14.3</x:v>
      </x:c>
      <x:c r="X596" s="20" t="n">
        <x:v>3.3</x:v>
      </x:c>
      <x:c r="Y596" t="str">
        <x:v>Basis arsip 2025/2024</x:v>
      </x:c>
      <x:c r="Z596" t="str">
        <x:v>https://snpmb.id/utbk-snbt/daya-tampung-snbt</x:v>
      </x:c>
      <x:c r="AA596" t="str">
        <x:v>Tidak Ada</x:v>
      </x:c>
      <x:c r="AB596" t="str">
        <x:v>Campus=55; Ratio=33.3; Prodi=45; RelDemand=28.8; Capacity=43.3</x:v>
      </x:c>
    </x:row>
    <x:row r="597">
      <x:c r="A597" t="n">
        <x:v>594</x:v>
      </x:c>
      <x:c r="B597" t="str">
        <x:v>PTN Akademik</x:v>
      </x:c>
      <x:c r="C597" t="str">
        <x:v>UNIVERSITAS JAMBI</x:v>
      </x:c>
      <x:c r="D597" t="str">
        <x:v>PEND. BAHASA INGGRIS</x:v>
      </x:c>
      <x:c r="E597" t="str">
        <x:v>Sarjana</x:v>
      </x:c>
      <x:c r="F597" s="18" t="n">
        <x:v>54</x:v>
      </x:c>
      <x:c r="G597" s="18" t="n">
        <x:v>274</x:v>
      </x:c>
      <x:c r="H597" s="19" t="n">
        <x:v>5.074074074074074</x:v>
      </x:c>
      <x:c r="I597" s="18" t="n">
        <x:f>ROUND(MIN(Model_Config_v3!$B$6,MAX(Q597,R597,S597*Model_Config_v3!$B$4+T597*Model_Config_v3!$B$5)),0)</x:f>
        <x:v>638</x:v>
      </x:c>
      <x:c r="J597" s="18" t="n">
        <x:f>MIN(Model_Config_v3!$B$6,I597+Model_Config_v3!$B$7)</x:f>
        <x:v>658</x:v>
      </x:c>
      <x:c r="K597" s="20" t="n">
        <x:v>48.1</x:v>
      </x:c>
      <x:c r="L597" t="str">
        <x:v>MENENGAH</x:v>
      </x:c>
      <x:c r="M597" t="str">
        <x:v>SEDANG+</x:v>
      </x:c>
      <x:c r="N597" t="str">
        <x:v>REGULER</x:v>
      </x:c>
      <x:c r="O597" t="str">
        <x:v>SOSHUM</x:v>
      </x:c>
      <x:c r="P597" t="str">
        <x:v>PENDIDIKAN</x:v>
      </x:c>
      <x:c r="Q597" s="18" t="n">
        <x:v>0</x:v>
      </x:c>
      <x:c r="R597" s="18" t="n">
        <x:v>0</x:v>
      </x:c>
      <x:c r="S597" s="18" t="n">
        <x:v>597.5892483297162</x:v>
      </x:c>
      <x:c r="T597" s="18" t="n">
        <x:v>656</x:v>
      </x:c>
      <x:c r="U597" s="18" t="n">
        <x:v>597.5892483297162</x:v>
      </x:c>
      <x:c r="V597" s="20" t="n">
        <x:v>4.4</x:v>
      </x:c>
      <x:c r="W597" s="20" t="n">
        <x:v>14.3</x:v>
      </x:c>
      <x:c r="X597" s="20" t="n">
        <x:v>3.3</x:v>
      </x:c>
      <x:c r="Y597" t="str">
        <x:v>Basis arsip 2025/2024</x:v>
      </x:c>
      <x:c r="Z597" t="str">
        <x:v>https://snpmb.id/utbk-snbt/daya-tampung-snbt</x:v>
      </x:c>
      <x:c r="AA597" t="str">
        <x:v>Tidak Ada</x:v>
      </x:c>
      <x:c r="AB597" t="str">
        <x:v>Campus=55; Ratio=41.5; Prodi=45; RelDemand=39.7; Capacity=55.0</x:v>
      </x:c>
    </x:row>
    <x:row r="598">
      <x:c r="A598" t="n">
        <x:v>595</x:v>
      </x:c>
      <x:c r="B598" t="str">
        <x:v>PTN Akademik</x:v>
      </x:c>
      <x:c r="C598" t="str">
        <x:v>UNIVERSITAS JAMBI</x:v>
      </x:c>
      <x:c r="D598" t="str">
        <x:v>ILMU HUKUM</x:v>
      </x:c>
      <x:c r="E598" t="str">
        <x:v>Sarjana</x:v>
      </x:c>
      <x:c r="F598" s="18" t="n">
        <x:v>239</x:v>
      </x:c>
      <x:c r="G598" s="18" t="n">
        <x:v>1000</x:v>
      </x:c>
      <x:c r="H598" s="19" t="n">
        <x:v>4.184100418410042</x:v>
      </x:c>
      <x:c r="I598" s="18" t="n">
        <x:f>ROUND(MIN(Model_Config_v3!$B$6,MAX(Q598,R598,S598*Model_Config_v3!$B$4+T598*Model_Config_v3!$B$5)),0)</x:f>
        <x:v>631</x:v>
      </x:c>
      <x:c r="J598" s="18" t="n">
        <x:f>MIN(Model_Config_v3!$B$6,I598+Model_Config_v3!$B$7)</x:f>
        <x:v>651</x:v>
      </x:c>
      <x:c r="K598" s="20" t="n">
        <x:v>44.7</x:v>
      </x:c>
      <x:c r="L598" t="str">
        <x:v>RELATIF LONGGAR</x:v>
      </x:c>
      <x:c r="M598" t="str">
        <x:v>SEDANG+</x:v>
      </x:c>
      <x:c r="N598" t="str">
        <x:v>REGULER</x:v>
      </x:c>
      <x:c r="O598" t="str">
        <x:v>SOSHUM</x:v>
      </x:c>
      <x:c r="P598" t="str">
        <x:v>HUKUM</x:v>
      </x:c>
      <x:c r="Q598" s="18" t="n">
        <x:v>0</x:v>
      </x:c>
      <x:c r="R598" s="18" t="n">
        <x:v>0</x:v>
      </x:c>
      <x:c r="S598" s="18" t="n">
        <x:v>588.3762308957048</x:v>
      </x:c>
      <x:c r="T598" s="18" t="n">
        <x:v>649</x:v>
      </x:c>
      <x:c r="U598" s="18" t="n">
        <x:v>603.3762308957048</x:v>
      </x:c>
      <x:c r="V598" s="20" t="n">
        <x:v>4.4</x:v>
      </x:c>
      <x:c r="W598" s="20" t="n">
        <x:v>14.3</x:v>
      </x:c>
      <x:c r="X598" s="20" t="n">
        <x:v>3.3</x:v>
      </x:c>
      <x:c r="Y598" t="str">
        <x:v>Basis arsip 2025/2024</x:v>
      </x:c>
      <x:c r="Z598" t="str">
        <x:v>https://snpmb.id/utbk-snbt/daya-tampung-snbt</x:v>
      </x:c>
      <x:c r="AA598" t="str">
        <x:v>Tidak Ada</x:v>
      </x:c>
      <x:c r="AB598" t="str">
        <x:v>Campus=55; Ratio=36.6; Prodi=65; RelDemand=32.8; Capacity=0.0</x:v>
      </x:c>
    </x:row>
    <x:row r="599">
      <x:c r="A599" t="n">
        <x:v>596</x:v>
      </x:c>
      <x:c r="B599" t="str">
        <x:v>PTN Akademik</x:v>
      </x:c>
      <x:c r="C599" t="str">
        <x:v>UNIVERSITAS JAMBI</x:v>
      </x:c>
      <x:c r="D599" t="str">
        <x:v>ILMU EKONOMI PEMBANGUNAN</x:v>
      </x:c>
      <x:c r="E599" t="str">
        <x:v>Sarjana</x:v>
      </x:c>
      <x:c r="F599" s="18" t="n">
        <x:v>99</x:v>
      </x:c>
      <x:c r="G599" s="18" t="n">
        <x:v>270</x:v>
      </x:c>
      <x:c r="H599" s="19" t="n">
        <x:v>2.727272727272727</x:v>
      </x:c>
      <x:c r="I599" s="18" t="n">
        <x:f>ROUND(MIN(Model_Config_v3!$B$6,MAX(Q599,R599,S599*Model_Config_v3!$B$4+T599*Model_Config_v3!$B$5)),0)</x:f>
        <x:v>622</x:v>
      </x:c>
      <x:c r="J599" s="18" t="n">
        <x:f>MIN(Model_Config_v3!$B$6,I599+Model_Config_v3!$B$7)</x:f>
        <x:v>642</x:v>
      </x:c>
      <x:c r="K599" s="20" t="n">
        <x:v>42.5</x:v>
      </x:c>
      <x:c r="L599" t="str">
        <x:v>RELATIF LONGGAR</x:v>
      </x:c>
      <x:c r="M599" t="str">
        <x:v>SEDANG+</x:v>
      </x:c>
      <x:c r="N599" t="str">
        <x:v>REGULER</x:v>
      </x:c>
      <x:c r="O599" t="str">
        <x:v>SOSHUM</x:v>
      </x:c>
      <x:c r="P599" t="str">
        <x:v>BISNIS/EKONOMI/AKUNTANSI</x:v>
      </x:c>
      <x:c r="Q599" s="18" t="n">
        <x:v>0</x:v>
      </x:c>
      <x:c r="R599" s="18" t="n">
        <x:v>0</x:v>
      </x:c>
      <x:c r="S599" s="18" t="n">
        <x:v>567.9301426517582</x:v>
      </x:c>
      <x:c r="T599" s="18" t="n">
        <x:v>645</x:v>
      </x:c>
      <x:c r="U599" s="18" t="n">
        <x:v>567.9301426517582</x:v>
      </x:c>
      <x:c r="V599" s="20" t="n">
        <x:v>4.4</x:v>
      </x:c>
      <x:c r="W599" s="20" t="n">
        <x:v>14.3</x:v>
      </x:c>
      <x:c r="X599" s="20" t="n">
        <x:v>3.3</x:v>
      </x:c>
      <x:c r="Y599" t="str">
        <x:v>Basis arsip 2025/2024</x:v>
      </x:c>
      <x:c r="Z599" t="str">
        <x:v>https://snpmb.id/utbk-snbt/daya-tampung-snbt</x:v>
      </x:c>
      <x:c r="AA599" t="str">
        <x:v>Tidak Ada</x:v>
      </x:c>
      <x:c r="AB599" t="str">
        <x:v>Campus=55; Ratio=25.6; Prodi=65; RelDemand=21.4; Capacity=17.5</x:v>
      </x:c>
    </x:row>
    <x:row r="600">
      <x:c r="A600" t="n">
        <x:v>597</x:v>
      </x:c>
      <x:c r="B600" t="str">
        <x:v>PTN Akademik</x:v>
      </x:c>
      <x:c r="C600" t="str">
        <x:v>UNIVERSITAS JAMBI</x:v>
      </x:c>
      <x:c r="D600" t="str">
        <x:v>MANAJEMEN</x:v>
      </x:c>
      <x:c r="E600" t="str">
        <x:v>Sarjana</x:v>
      </x:c>
      <x:c r="F600" s="18" t="n">
        <x:v>99</x:v>
      </x:c>
      <x:c r="G600" s="18" t="n">
        <x:v>893</x:v>
      </x:c>
      <x:c r="H600" s="19" t="n">
        <x:v>9.02020202020202</x:v>
      </x:c>
      <x:c r="I600" s="18" t="n">
        <x:f>ROUND(MIN(Model_Config_v3!$B$6,MAX(Q600,R600,S600*Model_Config_v3!$B$4+T600*Model_Config_v3!$B$5)),0)</x:f>
        <x:v>657</x:v>
      </x:c>
      <x:c r="J600" s="18" t="n">
        <x:f>MIN(Model_Config_v3!$B$6,I600+Model_Config_v3!$B$7)</x:f>
        <x:v>677</x:v>
      </x:c>
      <x:c r="K600" s="20" t="n">
        <x:v>55.1</x:v>
      </x:c>
      <x:c r="L600" t="str">
        <x:v>KETAT</x:v>
      </x:c>
      <x:c r="M600" t="str">
        <x:v>SEDANG+</x:v>
      </x:c>
      <x:c r="N600" t="str">
        <x:v>REGULER</x:v>
      </x:c>
      <x:c r="O600" t="str">
        <x:v>SOSHUM</x:v>
      </x:c>
      <x:c r="P600" t="str">
        <x:v>BISNIS/EKONOMI/AKUNTANSI</x:v>
      </x:c>
      <x:c r="Q600" s="18" t="n">
        <x:v>0</x:v>
      </x:c>
      <x:c r="R600" s="18" t="n">
        <x:v>0</x:v>
      </x:c>
      <x:c r="S600" s="18" t="n">
        <x:v>625.0737890720096</x:v>
      </x:c>
      <x:c r="T600" s="18" t="n">
        <x:v>670</x:v>
      </x:c>
      <x:c r="U600" s="18" t="n">
        <x:v>640.0737890720096</x:v>
      </x:c>
      <x:c r="V600" s="20" t="n">
        <x:v>4.4</x:v>
      </x:c>
      <x:c r="W600" s="20" t="n">
        <x:v>14.3</x:v>
      </x:c>
      <x:c r="X600" s="20" t="n">
        <x:v>3.3</x:v>
      </x:c>
      <x:c r="Y600" t="str">
        <x:v>Basis arsip 2025/2024</x:v>
      </x:c>
      <x:c r="Z600" t="str">
        <x:v>https://snpmb.id/utbk-snbt/daya-tampung-snbt</x:v>
      </x:c>
      <x:c r="AA600" t="str">
        <x:v>Tidak Ada</x:v>
      </x:c>
      <x:c r="AB600" t="str">
        <x:v>Campus=55; Ratio=56.2; Prodi=65; RelDemand=70.6; Capacity=17.5</x:v>
      </x:c>
    </x:row>
    <x:row r="601">
      <x:c r="A601" t="n">
        <x:v>598</x:v>
      </x:c>
      <x:c r="B601" t="str">
        <x:v>PTN Akademik</x:v>
      </x:c>
      <x:c r="C601" t="str">
        <x:v>UNIVERSITAS JAMBI</x:v>
      </x:c>
      <x:c r="D601" t="str">
        <x:v>AKUNTANSI</x:v>
      </x:c>
      <x:c r="E601" t="str">
        <x:v>Sarjana</x:v>
      </x:c>
      <x:c r="F601" s="18" t="n">
        <x:v>99</x:v>
      </x:c>
      <x:c r="G601" s="18" t="n">
        <x:v>622</x:v>
      </x:c>
      <x:c r="H601" s="19" t="n">
        <x:v>6.282828282828283</x:v>
      </x:c>
      <x:c r="I601" s="18" t="n">
        <x:f>ROUND(MIN(Model_Config_v3!$B$6,MAX(Q601,R601,S601*Model_Config_v3!$B$4+T601*Model_Config_v3!$B$5)),0)</x:f>
        <x:v>645</x:v>
      </x:c>
      <x:c r="J601" s="18" t="n">
        <x:f>MIN(Model_Config_v3!$B$6,I601+Model_Config_v3!$B$7)</x:f>
        <x:v>665</x:v>
      </x:c>
      <x:c r="K601" s="20" t="n">
        <x:v>50.7</x:v>
      </x:c>
      <x:c r="L601" t="str">
        <x:v>MENENGAH</x:v>
      </x:c>
      <x:c r="M601" t="str">
        <x:v>SEDANG+</x:v>
      </x:c>
      <x:c r="N601" t="str">
        <x:v>REGULER</x:v>
      </x:c>
      <x:c r="O601" t="str">
        <x:v>SOSHUM</x:v>
      </x:c>
      <x:c r="P601" t="str">
        <x:v>BISNIS/EKONOMI/AKUNTANSI</x:v>
      </x:c>
      <x:c r="Q601" s="18" t="n">
        <x:v>0</x:v>
      </x:c>
      <x:c r="R601" s="18" t="n">
        <x:v>0</x:v>
      </x:c>
      <x:c r="S601" s="18" t="n">
        <x:v>607.7970709102595</x:v>
      </x:c>
      <x:c r="T601" s="18" t="n">
        <x:v>661</x:v>
      </x:c>
      <x:c r="U601" s="18" t="n">
        <x:v>607.7970709102595</x:v>
      </x:c>
      <x:c r="V601" s="20" t="n">
        <x:v>4.4</x:v>
      </x:c>
      <x:c r="W601" s="20" t="n">
        <x:v>14.3</x:v>
      </x:c>
      <x:c r="X601" s="20" t="n">
        <x:v>3.3</x:v>
      </x:c>
      <x:c r="Y601" t="str">
        <x:v>Basis arsip 2025/2024</x:v>
      </x:c>
      <x:c r="Z601" t="str">
        <x:v>https://snpmb.id/utbk-snbt/daya-tampung-snbt</x:v>
      </x:c>
      <x:c r="AA601" t="str">
        <x:v>Tidak Ada</x:v>
      </x:c>
      <x:c r="AB601" t="str">
        <x:v>Campus=55; Ratio=47.0; Prodi=65; RelDemand=49.2; Capacity=17.5</x:v>
      </x:c>
    </x:row>
    <x:row r="602">
      <x:c r="A602" t="n">
        <x:v>599</x:v>
      </x:c>
      <x:c r="B602" t="str">
        <x:v>PTN Akademik</x:v>
      </x:c>
      <x:c r="C602" t="str">
        <x:v>UNIVERSITAS JAMBI</x:v>
      </x:c>
      <x:c r="D602" t="str">
        <x:v>PEND. GURU SEKOLAH DASAR</x:v>
      </x:c>
      <x:c r="E602" t="str">
        <x:v>Sarjana</x:v>
      </x:c>
      <x:c r="F602" s="18" t="n">
        <x:v>81</x:v>
      </x:c>
      <x:c r="G602" s="18" t="n">
        <x:v>910</x:v>
      </x:c>
      <x:c r="H602" s="19" t="n">
        <x:v>11.234567901234568</x:v>
      </x:c>
      <x:c r="I602" s="18" t="n">
        <x:f>ROUND(MIN(Model_Config_v3!$B$6,MAX(Q602,R602,S602*Model_Config_v3!$B$4+T602*Model_Config_v3!$B$5)),0)</x:f>
        <x:v>661</x:v>
      </x:c>
      <x:c r="J602" s="18" t="n">
        <x:f>MIN(Model_Config_v3!$B$6,I602+Model_Config_v3!$B$7)</x:f>
        <x:v>681</x:v>
      </x:c>
      <x:c r="K602" s="20" t="n">
        <x:v>55.8</x:v>
      </x:c>
      <x:c r="L602" t="str">
        <x:v>KETAT</x:v>
      </x:c>
      <x:c r="M602" t="str">
        <x:v>SEDANG+</x:v>
      </x:c>
      <x:c r="N602" t="str">
        <x:v>REGULER</x:v>
      </x:c>
      <x:c r="O602" t="str">
        <x:v>CAMPURAN</x:v>
      </x:c>
      <x:c r="P602" t="str">
        <x:v>PENDIDIKAN</x:v>
      </x:c>
      <x:c r="Q602" s="18" t="n">
        <x:v>0</x:v>
      </x:c>
      <x:c r="R602" s="18" t="n">
        <x:v>0</x:v>
      </x:c>
      <x:c r="S602" s="18" t="n">
        <x:v>635.5612010786688</x:v>
      </x:c>
      <x:c r="T602" s="18" t="n">
        <x:v>672</x:v>
      </x:c>
      <x:c r="U602" s="18" t="n">
        <x:v>635.5612010786688</x:v>
      </x:c>
      <x:c r="V602" s="20" t="n">
        <x:v>8.8</x:v>
      </x:c>
      <x:c r="W602" s="20" t="n">
        <x:v>9.9</x:v>
      </x:c>
      <x:c r="X602" s="20" t="n">
        <x:v>3.3</x:v>
      </x:c>
      <x:c r="Y602" t="str">
        <x:v>Basis arsip 2025/2024</x:v>
      </x:c>
      <x:c r="Z602" t="str">
        <x:v>https://snpmb.id/utbk-snbt/daya-tampung-snbt</x:v>
      </x:c>
      <x:c r="AA602" t="str">
        <x:v>Tidak Ada</x:v>
      </x:c>
      <x:c r="AB602" t="str">
        <x:v>Campus=55; Ratio=61.8; Prodi=45; RelDemand=88.0; Capacity=32.5</x:v>
      </x:c>
    </x:row>
    <x:row r="603">
      <x:c r="A603" t="n">
        <x:v>600</x:v>
      </x:c>
      <x:c r="B603" t="str">
        <x:v>PTN Akademik</x:v>
      </x:c>
      <x:c r="C603" t="str">
        <x:v>UNIVERSITAS JAMBI</x:v>
      </x:c>
      <x:c r="D603" t="str">
        <x:v>BIMBINGAN DAN KONSELING</x:v>
      </x:c>
      <x:c r="E603" t="str">
        <x:v>Sarjana</x:v>
      </x:c>
      <x:c r="F603" s="18" t="n">
        <x:v>54</x:v>
      </x:c>
      <x:c r="G603" s="18" t="n">
        <x:v>281</x:v>
      </x:c>
      <x:c r="H603" s="19" t="n">
        <x:v>5.203703703703703</x:v>
      </x:c>
      <x:c r="I603" s="18" t="n">
        <x:f>ROUND(MIN(Model_Config_v3!$B$6,MAX(Q603,R603,S603*Model_Config_v3!$B$4+T603*Model_Config_v3!$B$5)),0)</x:f>
        <x:v>638</x:v>
      </x:c>
      <x:c r="J603" s="18" t="n">
        <x:f>MIN(Model_Config_v3!$B$6,I603+Model_Config_v3!$B$7)</x:f>
        <x:v>658</x:v>
      </x:c>
      <x:c r="K603" s="20" t="n">
        <x:v>47.4</x:v>
      </x:c>
      <x:c r="L603" t="str">
        <x:v>MENENGAH</x:v>
      </x:c>
      <x:c r="M603" t="str">
        <x:v>SEDANG</x:v>
      </x:c>
      <x:c r="N603" t="str">
        <x:v>REGULER</x:v>
      </x:c>
      <x:c r="O603" t="str">
        <x:v>CAMPURAN</x:v>
      </x:c>
      <x:c r="P603" t="str">
        <x:v>UMUM</x:v>
      </x:c>
      <x:c r="Q603" s="18" t="n">
        <x:v>0</x:v>
      </x:c>
      <x:c r="R603" s="18" t="n">
        <x:v>0</x:v>
      </x:c>
      <x:c r="S603" s="18" t="n">
        <x:v>598.7943816090323</x:v>
      </x:c>
      <x:c r="T603" s="18" t="n">
        <x:v>655</x:v>
      </x:c>
      <x:c r="U603" s="18" t="n">
        <x:v>598.7943816090323</x:v>
      </x:c>
      <x:c r="V603" s="20" t="n">
        <x:v>8.8</x:v>
      </x:c>
      <x:c r="W603" s="20" t="n">
        <x:v>9.9</x:v>
      </x:c>
      <x:c r="X603" s="20" t="n">
        <x:v>3.3</x:v>
      </x:c>
      <x:c r="Y603" t="str">
        <x:v>Basis arsip 2025/2024</x:v>
      </x:c>
      <x:c r="Z603" t="str">
        <x:v>https://snpmb.id/utbk-snbt/daya-tampung-snbt</x:v>
      </x:c>
      <x:c r="AA603" t="str">
        <x:v>Tidak Ada</x:v>
      </x:c>
      <x:c r="AB603" t="str">
        <x:v>Campus=55; Ratio=42.2; Prodi=40; RelDemand=40.7; Capacity=55.0</x:v>
      </x:c>
    </x:row>
    <x:row r="604">
      <x:c r="A604" t="n">
        <x:v>601</x:v>
      </x:c>
      <x:c r="B604" t="str">
        <x:v>PTN Akademik</x:v>
      </x:c>
      <x:c r="C604" t="str">
        <x:v>UNIVERSITAS JAMBI</x:v>
      </x:c>
      <x:c r="D604" t="str">
        <x:v>PENDIDIKAN GURU PAUD</x:v>
      </x:c>
      <x:c r="E604" t="str">
        <x:v>Sarjana</x:v>
      </x:c>
      <x:c r="F604" s="18" t="n">
        <x:v>45</x:v>
      </x:c>
      <x:c r="G604" s="18" t="n">
        <x:v>109</x:v>
      </x:c>
      <x:c r="H604" s="19" t="n">
        <x:v>2.422222222222222</x:v>
      </x:c>
      <x:c r="I604" s="18" t="n">
        <x:f>ROUND(MIN(Model_Config_v3!$B$6,MAX(Q604,R604,S604*Model_Config_v3!$B$4+T604*Model_Config_v3!$B$5)),0)</x:f>
        <x:v>619</x:v>
      </x:c>
      <x:c r="J604" s="18" t="n">
        <x:f>MIN(Model_Config_v3!$B$6,I604+Model_Config_v3!$B$7)</x:f>
        <x:v>639</x:v>
      </x:c>
      <x:c r="K604" s="20" t="n">
        <x:v>42.1</x:v>
      </x:c>
      <x:c r="L604" t="str">
        <x:v>RELATIF LONGGAR</x:v>
      </x:c>
      <x:c r="M604" t="str">
        <x:v>SEDANG+</x:v>
      </x:c>
      <x:c r="N604" t="str">
        <x:v>REGULER</x:v>
      </x:c>
      <x:c r="O604" t="str">
        <x:v>CAMPURAN</x:v>
      </x:c>
      <x:c r="P604" t="str">
        <x:v>PENDIDIKAN</x:v>
      </x:c>
      <x:c r="Q604" s="18" t="n">
        <x:v>0</x:v>
      </x:c>
      <x:c r="R604" s="18" t="n">
        <x:v>0</x:v>
      </x:c>
      <x:c r="S604" s="18" t="n">
        <x:v>562.2635382581808</x:v>
      </x:c>
      <x:c r="T604" s="18" t="n">
        <x:v>644</x:v>
      </x:c>
      <x:c r="U604" s="18" t="n">
        <x:v>562.2635382581808</x:v>
      </x:c>
      <x:c r="V604" s="20" t="n">
        <x:v>8.8</x:v>
      </x:c>
      <x:c r="W604" s="20" t="n">
        <x:v>9.9</x:v>
      </x:c>
      <x:c r="X604" s="20" t="n">
        <x:v>3.3</x:v>
      </x:c>
      <x:c r="Y604" t="str">
        <x:v>Basis arsip 2025/2024</x:v>
      </x:c>
      <x:c r="Z604" t="str">
        <x:v>https://snpmb.id/utbk-snbt/daya-tampung-snbt</x:v>
      </x:c>
      <x:c r="AA604" t="str">
        <x:v>Tidak Ada</x:v>
      </x:c>
      <x:c r="AB604" t="str">
        <x:v>Campus=55; Ratio=22.6; Prodi=45; RelDemand=19.0; Capacity=62.5</x:v>
      </x:c>
    </x:row>
    <x:row r="605">
      <x:c r="A605" t="n">
        <x:v>602</x:v>
      </x:c>
      <x:c r="B605" t="str">
        <x:v>PTN Akademik</x:v>
      </x:c>
      <x:c r="C605" t="str">
        <x:v>UNIVERSITAS JAMBI</x:v>
      </x:c>
      <x:c r="D605" t="str">
        <x:v>PENDIDIKAN BAHASA ARAB</x:v>
      </x:c>
      <x:c r="E605" t="str">
        <x:v>Sarjana</x:v>
      </x:c>
      <x:c r="F605" s="18" t="n">
        <x:v>36</x:v>
      </x:c>
      <x:c r="G605" s="18" t="n">
        <x:v>34</x:v>
      </x:c>
      <x:c r="H605" s="19" t="n">
        <x:v>0.9444444444444444</x:v>
      </x:c>
      <x:c r="I605" s="18" t="n">
        <x:f>ROUND(MIN(Model_Config_v3!$B$6,MAX(Q605,R605,S605*Model_Config_v3!$B$4+T605*Model_Config_v3!$B$5)),0)</x:f>
        <x:v>598</x:v>
      </x:c>
      <x:c r="J605" s="18" t="n">
        <x:f>MIN(Model_Config_v3!$B$6,I605+Model_Config_v3!$B$7)</x:f>
        <x:v>618</x:v>
      </x:c>
      <x:c r="K605" s="20" t="n">
        <x:v>36</x:v>
      </x:c>
      <x:c r="L605" t="str">
        <x:v>RELATIF LONGGAR</x:v>
      </x:c>
      <x:c r="M605" t="str">
        <x:v>SEDANG+</x:v>
      </x:c>
      <x:c r="N605" t="str">
        <x:v>REGULER</x:v>
      </x:c>
      <x:c r="O605" t="str">
        <x:v>SOSHUM</x:v>
      </x:c>
      <x:c r="P605" t="str">
        <x:v>PENDIDIKAN</x:v>
      </x:c>
      <x:c r="Q605" s="18" t="n">
        <x:v>0</x:v>
      </x:c>
      <x:c r="R605" s="18" t="n">
        <x:v>0</x:v>
      </x:c>
      <x:c r="S605" s="18" t="n">
        <x:v>520</x:v>
      </x:c>
      <x:c r="T605" s="18" t="n">
        <x:v>632</x:v>
      </x:c>
      <x:c r="U605" s="18" t="n">
        <x:v>520</x:v>
      </x:c>
      <x:c r="V605" s="20" t="n">
        <x:v>4.4</x:v>
      </x:c>
      <x:c r="W605" s="20" t="n">
        <x:v>14.3</x:v>
      </x:c>
      <x:c r="X605" s="20" t="n">
        <x:v>3.3</x:v>
      </x:c>
      <x:c r="Y605" t="str">
        <x:v>Basis arsip 2025/2024</x:v>
      </x:c>
      <x:c r="Z605" t="str">
        <x:v>https://snpmb.id/utbk-snbt/daya-tampung-snbt</x:v>
      </x:c>
      <x:c r="AA605" t="str">
        <x:v>Tidak Ada</x:v>
      </x:c>
      <x:c r="AB605" t="str">
        <x:v>Campus=55; Ratio=0.0; Prodi=45; RelDemand=7.4; Capacity=70.0</x:v>
      </x:c>
    </x:row>
    <x:row r="606">
      <x:c r="A606" t="n">
        <x:v>603</x:v>
      </x:c>
      <x:c r="B606" t="str">
        <x:v>PTN Akademik</x:v>
      </x:c>
      <x:c r="C606" t="str">
        <x:v>UNIVERSITAS JAMBI</x:v>
      </x:c>
      <x:c r="D606" t="str">
        <x:v>PENDIDIKAN SEJARAH</x:v>
      </x:c>
      <x:c r="E606" t="str">
        <x:v>Sarjana</x:v>
      </x:c>
      <x:c r="F606" s="18" t="n">
        <x:v>45</x:v>
      </x:c>
      <x:c r="G606" s="18" t="n">
        <x:v>133</x:v>
      </x:c>
      <x:c r="H606" s="19" t="n">
        <x:v>2.9555555555555557</x:v>
      </x:c>
      <x:c r="I606" s="18" t="n">
        <x:f>ROUND(MIN(Model_Config_v3!$B$6,MAX(Q606,R606,S606*Model_Config_v3!$B$4+T606*Model_Config_v3!$B$5)),0)</x:f>
        <x:v>624</x:v>
      </x:c>
      <x:c r="J606" s="18" t="n">
        <x:f>MIN(Model_Config_v3!$B$6,I606+Model_Config_v3!$B$7)</x:f>
        <x:v>644</x:v>
      </x:c>
      <x:c r="K606" s="20" t="n">
        <x:v>43.7</x:v>
      </x:c>
      <x:c r="L606" t="str">
        <x:v>RELATIF LONGGAR</x:v>
      </x:c>
      <x:c r="M606" t="str">
        <x:v>SEDANG+</x:v>
      </x:c>
      <x:c r="N606" t="str">
        <x:v>REGULER</x:v>
      </x:c>
      <x:c r="O606" t="str">
        <x:v>SOSHUM</x:v>
      </x:c>
      <x:c r="P606" t="str">
        <x:v>PENDIDIKAN</x:v>
      </x:c>
      <x:c r="Q606" s="18" t="n">
        <x:v>0</x:v>
      </x:c>
      <x:c r="R606" s="18" t="n">
        <x:v>0</x:v>
      </x:c>
      <x:c r="S606" s="18" t="n">
        <x:v>571.7703039910916</x:v>
      </x:c>
      <x:c r="T606" s="18" t="n">
        <x:v>647</x:v>
      </x:c>
      <x:c r="U606" s="18" t="n">
        <x:v>571.7703039910916</x:v>
      </x:c>
      <x:c r="V606" s="20" t="n">
        <x:v>4.4</x:v>
      </x:c>
      <x:c r="W606" s="20" t="n">
        <x:v>14.3</x:v>
      </x:c>
      <x:c r="X606" s="20" t="n">
        <x:v>3.3</x:v>
      </x:c>
      <x:c r="Y606" t="str">
        <x:v>Basis arsip 2025/2024</x:v>
      </x:c>
      <x:c r="Z606" t="str">
        <x:v>https://snpmb.id/utbk-snbt/daya-tampung-snbt</x:v>
      </x:c>
      <x:c r="AA606" t="str">
        <x:v>Tidak Ada</x:v>
      </x:c>
      <x:c r="AB606" t="str">
        <x:v>Campus=55; Ratio=27.7; Prodi=45; RelDemand=23.1; Capacity=62.5</x:v>
      </x:c>
    </x:row>
    <x:row r="607">
      <x:c r="A607" t="n">
        <x:v>604</x:v>
      </x:c>
      <x:c r="B607" t="str">
        <x:v>PTN Akademik</x:v>
      </x:c>
      <x:c r="C607" t="str">
        <x:v>UNIVERSITAS JAMBI</x:v>
      </x:c>
      <x:c r="D607" t="str">
        <x:v>SASTRA INDONESIA</x:v>
      </x:c>
      <x:c r="E607" t="str">
        <x:v>Sarjana</x:v>
      </x:c>
      <x:c r="F607" s="18" t="n">
        <x:v>36</x:v>
      </x:c>
      <x:c r="G607" s="18" t="n">
        <x:v>58</x:v>
      </x:c>
      <x:c r="H607" s="19" t="n">
        <x:v>1.6111111111111112</x:v>
      </x:c>
      <x:c r="I607" s="18" t="n">
        <x:f>ROUND(MIN(Model_Config_v3!$B$6,MAX(Q607,R607,S607*Model_Config_v3!$B$4+T607*Model_Config_v3!$B$5)),0)</x:f>
        <x:v>609</x:v>
      </x:c>
      <x:c r="J607" s="18" t="n">
        <x:f>MIN(Model_Config_v3!$B$6,I607+Model_Config_v3!$B$7)</x:f>
        <x:v>629</x:v>
      </x:c>
      <x:c r="K607" s="20" t="n">
        <x:v>38.6</x:v>
      </x:c>
      <x:c r="L607" t="str">
        <x:v>RELATIF LONGGAR</x:v>
      </x:c>
      <x:c r="M607" t="str">
        <x:v>SEDANG</x:v>
      </x:c>
      <x:c r="N607" t="str">
        <x:v>REGULER</x:v>
      </x:c>
      <x:c r="O607" t="str">
        <x:v>SOSHUM</x:v>
      </x:c>
      <x:c r="P607" t="str">
        <x:v>UMUM</x:v>
      </x:c>
      <x:c r="Q607" s="18" t="n">
        <x:v>0</x:v>
      </x:c>
      <x:c r="R607" s="18" t="n">
        <x:v>0</x:v>
      </x:c>
      <x:c r="S607" s="18" t="n">
        <x:v>542.7838042075215</x:v>
      </x:c>
      <x:c r="T607" s="18" t="n">
        <x:v>637</x:v>
      </x:c>
      <x:c r="U607" s="18" t="n">
        <x:v>542.7838042075215</x:v>
      </x:c>
      <x:c r="V607" s="20" t="n">
        <x:v>4.4</x:v>
      </x:c>
      <x:c r="W607" s="20" t="n">
        <x:v>14.3</x:v>
      </x:c>
      <x:c r="X607" s="20" t="n">
        <x:v>3.3</x:v>
      </x:c>
      <x:c r="Y607" t="str">
        <x:v>Basis arsip 2025/2024</x:v>
      </x:c>
      <x:c r="Z607" t="str">
        <x:v>https://snpmb.id/utbk-snbt/daya-tampung-snbt</x:v>
      </x:c>
      <x:c r="AA607" t="str">
        <x:v>Tidak Ada</x:v>
      </x:c>
      <x:c r="AB607" t="str">
        <x:v>Campus=55; Ratio=12.2; Prodi=40; RelDemand=12.6; Capacity=70.0</x:v>
      </x:c>
    </x:row>
    <x:row r="608">
      <x:c r="A608" t="n">
        <x:v>605</x:v>
      </x:c>
      <x:c r="B608" t="str">
        <x:v>PTN Akademik</x:v>
      </x:c>
      <x:c r="C608" t="str">
        <x:v>UNIVERSITAS JAMBI</x:v>
      </x:c>
      <x:c r="D608" t="str">
        <x:v>PSIKOLOGI</x:v>
      </x:c>
      <x:c r="E608" t="str">
        <x:v>Sarjana</x:v>
      </x:c>
      <x:c r="F608" s="18" t="n">
        <x:v>67</x:v>
      </x:c>
      <x:c r="G608" s="18" t="n">
        <x:v>596</x:v>
      </x:c>
      <x:c r="H608" s="19" t="n">
        <x:v>8.895522388059701</x:v>
      </x:c>
      <x:c r="I608" s="18" t="n">
        <x:f>ROUND(MIN(Model_Config_v3!$B$6,MAX(Q608,R608,S608*Model_Config_v3!$B$4+T608*Model_Config_v3!$B$5)),0)</x:f>
        <x:v>664</x:v>
      </x:c>
      <x:c r="J608" s="18" t="n">
        <x:f>MIN(Model_Config_v3!$B$6,I608+Model_Config_v3!$B$7)</x:f>
        <x:v>684</x:v>
      </x:c>
      <x:c r="K608" s="20" t="n">
        <x:v>60.6</x:v>
      </x:c>
      <x:c r="L608" t="str">
        <x:v>KETAT</x:v>
      </x:c>
      <x:c r="M608" t="str">
        <x:v>SEDANG+</x:v>
      </x:c>
      <x:c r="N608" t="str">
        <x:v>REGULER</x:v>
      </x:c>
      <x:c r="O608" t="str">
        <x:v>SOSHUM</x:v>
      </x:c>
      <x:c r="P608" t="str">
        <x:v>PSIKOLOGI</x:v>
      </x:c>
      <x:c r="Q608" s="18" t="n">
        <x:v>0</x:v>
      </x:c>
      <x:c r="R608" s="18" t="n">
        <x:v>0</x:v>
      </x:c>
      <x:c r="S608" s="18" t="n">
        <x:v>624.4088602743351</x:v>
      </x:c>
      <x:c r="T608" s="18" t="n">
        <x:v>681</x:v>
      </x:c>
      <x:c r="U608" s="18" t="n">
        <x:v>649.4088602743351</x:v>
      </x:c>
      <x:c r="V608" s="20" t="n">
        <x:v>4.4</x:v>
      </x:c>
      <x:c r="W608" s="20" t="n">
        <x:v>14.3</x:v>
      </x:c>
      <x:c r="X608" s="20" t="n">
        <x:v>3.3</x:v>
      </x:c>
      <x:c r="Y608" t="str">
        <x:v>Basis arsip 2025/2024</x:v>
      </x:c>
      <x:c r="Z608" t="str">
        <x:v>https://snpmb.id/utbk-snbt/daya-tampung-snbt</x:v>
      </x:c>
      <x:c r="AA608" t="str">
        <x:v>Tidak Ada</x:v>
      </x:c>
      <x:c r="AB608" t="str">
        <x:v>Campus=55; Ratio=55.9; Prodi=80; RelDemand=69.7; Capacity=44.2</x:v>
      </x:c>
    </x:row>
    <x:row r="609">
      <x:c r="A609" t="n">
        <x:v>606</x:v>
      </x:c>
      <x:c r="B609" t="str">
        <x:v>PTN Akademik</x:v>
      </x:c>
      <x:c r="C609" t="str">
        <x:v>UNIVERSITAS JAMBI</x:v>
      </x:c>
      <x:c r="D609" t="str">
        <x:v>ILMU PEMERINTAHAN</x:v>
      </x:c>
      <x:c r="E609" t="str">
        <x:v>Sarjana</x:v>
      </x:c>
      <x:c r="F609" s="18" t="n">
        <x:v>68</x:v>
      </x:c>
      <x:c r="G609" s="18" t="n">
        <x:v>305</x:v>
      </x:c>
      <x:c r="H609" s="19" t="n">
        <x:v>4.485294117647059</x:v>
      </x:c>
      <x:c r="I609" s="18" t="n">
        <x:f>ROUND(MIN(Model_Config_v3!$B$6,MAX(Q609,R609,S609*Model_Config_v3!$B$4+T609*Model_Config_v3!$B$5)),0)</x:f>
        <x:v>632</x:v>
      </x:c>
      <x:c r="J609" s="18" t="n">
        <x:f>MIN(Model_Config_v3!$B$6,I609+Model_Config_v3!$B$7)</x:f>
        <x:v>652</x:v>
      </x:c>
      <x:c r="K609" s="20" t="n">
        <x:v>44.7</x:v>
      </x:c>
      <x:c r="L609" t="str">
        <x:v>RELATIF LONGGAR</x:v>
      </x:c>
      <x:c r="M609" t="str">
        <x:v>SEDANG</x:v>
      </x:c>
      <x:c r="N609" t="str">
        <x:v>REGULER</x:v>
      </x:c>
      <x:c r="O609" t="str">
        <x:v>CAMPURAN</x:v>
      </x:c>
      <x:c r="P609" t="str">
        <x:v>UMUM</x:v>
      </x:c>
      <x:c r="Q609" s="18" t="n">
        <x:v>0</x:v>
      </x:c>
      <x:c r="R609" s="18" t="n">
        <x:v>0</x:v>
      </x:c>
      <x:c r="S609" s="18" t="n">
        <x:v>591.6970019304605</x:v>
      </x:c>
      <x:c r="T609" s="18" t="n">
        <x:v>649</x:v>
      </x:c>
      <x:c r="U609" s="18" t="n">
        <x:v>591.6970019304605</x:v>
      </x:c>
      <x:c r="V609" s="20" t="n">
        <x:v>8.8</x:v>
      </x:c>
      <x:c r="W609" s="20" t="n">
        <x:v>9.9</x:v>
      </x:c>
      <x:c r="X609" s="20" t="n">
        <x:v>3.3</x:v>
      </x:c>
      <x:c r="Y609" t="str">
        <x:v>Basis arsip 2025/2024</x:v>
      </x:c>
      <x:c r="Z609" t="str">
        <x:v>https://snpmb.id/utbk-snbt/daya-tampung-snbt</x:v>
      </x:c>
      <x:c r="AA609" t="str">
        <x:v>Tidak Ada</x:v>
      </x:c>
      <x:c r="AB609" t="str">
        <x:v>Campus=55; Ratio=38.4; Prodi=40; RelDemand=35.1; Capacity=43.3</x:v>
      </x:c>
    </x:row>
    <x:row r="610">
      <x:c r="A610" t="n">
        <x:v>607</x:v>
      </x:c>
      <x:c r="B610" t="str">
        <x:v>PTN Akademik</x:v>
      </x:c>
      <x:c r="C610" t="str">
        <x:v>UNIVERSITAS JAMBI</x:v>
      </x:c>
      <x:c r="D610" t="str">
        <x:v>EKONOMI ISLAM</x:v>
      </x:c>
      <x:c r="E610" t="str">
        <x:v>Sarjana</x:v>
      </x:c>
      <x:c r="F610" s="18" t="n">
        <x:v>86</x:v>
      </x:c>
      <x:c r="G610" s="18" t="n">
        <x:v>106</x:v>
      </x:c>
      <x:c r="H610" s="19" t="n">
        <x:v>1.2325581395348837</x:v>
      </x:c>
      <x:c r="I610" s="18" t="n">
        <x:f>ROUND(MIN(Model_Config_v3!$B$6,MAX(Q610,R610,S610*Model_Config_v3!$B$4+T610*Model_Config_v3!$B$5)),0)</x:f>
        <x:v>596</x:v>
      </x:c>
      <x:c r="J610" s="18" t="n">
        <x:f>MIN(Model_Config_v3!$B$6,I610+Model_Config_v3!$B$7)</x:f>
        <x:v>616</x:v>
      </x:c>
      <x:c r="K610" s="20" t="n">
        <x:v>32.4</x:v>
      </x:c>
      <x:c r="L610" t="str">
        <x:v>RELATIF LONGGAR</x:v>
      </x:c>
      <x:c r="M610" t="str">
        <x:v>SEDANG</x:v>
      </x:c>
      <x:c r="N610" t="str">
        <x:v>REGULER</x:v>
      </x:c>
      <x:c r="O610" t="str">
        <x:v>SOSHUM</x:v>
      </x:c>
      <x:c r="P610" t="str">
        <x:v>UMUM</x:v>
      </x:c>
      <x:c r="Q610" s="18" t="n">
        <x:v>0</x:v>
      </x:c>
      <x:c r="R610" s="18" t="n">
        <x:v>0</x:v>
      </x:c>
      <x:c r="S610" s="18" t="n">
        <x:v>529.9888155423323</x:v>
      </x:c>
      <x:c r="T610" s="18" t="n">
        <x:v>625</x:v>
      </x:c>
      <x:c r="U610" s="18" t="n">
        <x:v>529.9888155423323</x:v>
      </x:c>
      <x:c r="V610" s="20" t="n">
        <x:v>4.4</x:v>
      </x:c>
      <x:c r="W610" s="20" t="n">
        <x:v>14.3</x:v>
      </x:c>
      <x:c r="X610" s="20" t="n">
        <x:v>3.3</x:v>
      </x:c>
      <x:c r="Y610" t="str">
        <x:v>Basis arsip 2025/2024</x:v>
      </x:c>
      <x:c r="Z610" t="str">
        <x:v>https://snpmb.id/utbk-snbt/daya-tampung-snbt</x:v>
      </x:c>
      <x:c r="AA610" t="str">
        <x:v>Tidak Ada</x:v>
      </x:c>
      <x:c r="AB610" t="str">
        <x:v>Campus=55; Ratio=5.3; Prodi=40; RelDemand=9.7; Capacity=28.3</x:v>
      </x:c>
    </x:row>
    <x:row r="611">
      <x:c r="A611" t="n">
        <x:v>608</x:v>
      </x:c>
      <x:c r="B611" t="str">
        <x:v>PTN Akademik</x:v>
      </x:c>
      <x:c r="C611" t="str">
        <x:v>UNIVERSITAS JAMBI</x:v>
      </x:c>
      <x:c r="D611" t="str">
        <x:v>ARKEOLOGI</x:v>
      </x:c>
      <x:c r="E611" t="str">
        <x:v>Sarjana</x:v>
      </x:c>
      <x:c r="F611" s="18" t="n">
        <x:v>27</x:v>
      </x:c>
      <x:c r="G611" s="18" t="n">
        <x:v>36</x:v>
      </x:c>
      <x:c r="H611" s="19" t="n">
        <x:v>1.3333333333333333</x:v>
      </x:c>
      <x:c r="I611" s="18" t="n">
        <x:f>ROUND(MIN(Model_Config_v3!$B$6,MAX(Q611,R611,S611*Model_Config_v3!$B$4+T611*Model_Config_v3!$B$5)),0)</x:f>
        <x:v>605</x:v>
      </x:c>
      <x:c r="J611" s="18" t="n">
        <x:f>MIN(Model_Config_v3!$B$6,I611+Model_Config_v3!$B$7)</x:f>
        <x:v>625</x:v>
      </x:c>
      <x:c r="K611" s="20" t="n">
        <x:v>37.9</x:v>
      </x:c>
      <x:c r="L611" t="str">
        <x:v>RELATIF LONGGAR</x:v>
      </x:c>
      <x:c r="M611" t="str">
        <x:v>SEDANG</x:v>
      </x:c>
      <x:c r="N611" t="str">
        <x:v>REGULER</x:v>
      </x:c>
      <x:c r="O611" t="str">
        <x:v>CAMPURAN</x:v>
      </x:c>
      <x:c r="P611" t="str">
        <x:v>UMUM</x:v>
      </x:c>
      <x:c r="Q611" s="18" t="n">
        <x:v>0</x:v>
      </x:c>
      <x:c r="R611" s="18" t="n">
        <x:v>0</x:v>
      </x:c>
      <x:c r="S611" s="18" t="n">
        <x:v>533.7432610269129</x:v>
      </x:c>
      <x:c r="T611" s="18" t="n">
        <x:v>636</x:v>
      </x:c>
      <x:c r="U611" s="18" t="n">
        <x:v>533.7432610269129</x:v>
      </x:c>
      <x:c r="V611" s="20" t="n">
        <x:v>8.8</x:v>
      </x:c>
      <x:c r="W611" s="20" t="n">
        <x:v>9.9</x:v>
      </x:c>
      <x:c r="X611" s="20" t="n">
        <x:v>3.3</x:v>
      </x:c>
      <x:c r="Y611" t="str">
        <x:v>Basis arsip 2025/2024</x:v>
      </x:c>
      <x:c r="Z611" t="str">
        <x:v>https://snpmb.id/utbk-snbt/daya-tampung-snbt</x:v>
      </x:c>
      <x:c r="AA611" t="str">
        <x:v>Tidak Ada</x:v>
      </x:c>
      <x:c r="AB611" t="str">
        <x:v>Campus=55; Ratio=7.4; Prodi=40; RelDemand=10.4; Capacity=77.5</x:v>
      </x:c>
    </x:row>
    <x:row r="612">
      <x:c r="A612" t="n">
        <x:v>609</x:v>
      </x:c>
      <x:c r="B612" t="str">
        <x:v>PTN Akademik</x:v>
      </x:c>
      <x:c r="C612" t="str">
        <x:v>UNIVERSITAS JAMBI</x:v>
      </x:c>
      <x:c r="D612" t="str">
        <x:v>PENDIDIKAN PANCASILA DAN KEWARGANEGARAAN</x:v>
      </x:c>
      <x:c r="E612" t="str">
        <x:v>Sarjana</x:v>
      </x:c>
      <x:c r="F612" s="18" t="n">
        <x:v>50</x:v>
      </x:c>
      <x:c r="G612" s="18" t="n">
        <x:v>206</x:v>
      </x:c>
      <x:c r="H612" s="19" t="n">
        <x:v>4.12</x:v>
      </x:c>
      <x:c r="I612" s="18" t="n">
        <x:f>ROUND(MIN(Model_Config_v3!$B$6,MAX(Q612,R612,S612*Model_Config_v3!$B$4+T612*Model_Config_v3!$B$5)),0)</x:f>
        <x:v>633</x:v>
      </x:c>
      <x:c r="J612" s="18" t="n">
        <x:f>MIN(Model_Config_v3!$B$6,I612+Model_Config_v3!$B$7)</x:f>
        <x:v>653</x:v>
      </x:c>
      <x:c r="K612" s="20" t="n">
        <x:v>46.4</x:v>
      </x:c>
      <x:c r="L612" t="str">
        <x:v>MENENGAH</x:v>
      </x:c>
      <x:c r="M612" t="str">
        <x:v>SEDANG+</x:v>
      </x:c>
      <x:c r="N612" t="str">
        <x:v>REGULER</x:v>
      </x:c>
      <x:c r="O612" t="str">
        <x:v>CAMPURAN</x:v>
      </x:c>
      <x:c r="P612" t="str">
        <x:v>PENDIDIKAN</x:v>
      </x:c>
      <x:c r="Q612" s="18" t="n">
        <x:v>0</x:v>
      </x:c>
      <x:c r="R612" s="18" t="n">
        <x:v>0</x:v>
      </x:c>
      <x:c r="S612" s="18" t="n">
        <x:v>587.6386937636448</x:v>
      </x:c>
      <x:c r="T612" s="18" t="n">
        <x:v>653</x:v>
      </x:c>
      <x:c r="U612" s="18" t="n">
        <x:v>587.6386937636448</x:v>
      </x:c>
      <x:c r="V612" s="20" t="n">
        <x:v>8.8</x:v>
      </x:c>
      <x:c r="W612" s="20" t="n">
        <x:v>9.9</x:v>
      </x:c>
      <x:c r="X612" s="20" t="n">
        <x:v>3.3</x:v>
      </x:c>
      <x:c r="Y612" t="str">
        <x:v>Basis arsip 2025/2024</x:v>
      </x:c>
      <x:c r="Z612" t="str">
        <x:v>https://snpmb.id/utbk-snbt/daya-tampung-snbt</x:v>
      </x:c>
      <x:c r="AA612" t="str">
        <x:v>Tidak Ada</x:v>
      </x:c>
      <x:c r="AB612" t="str">
        <x:v>Campus=55; Ratio=36.2; Prodi=45; RelDemand=32.3; Capacity=58.3</x:v>
      </x:c>
    </x:row>
    <x:row r="613">
      <x:c r="A613" t="n">
        <x:v>610</x:v>
      </x:c>
      <x:c r="B613" t="str">
        <x:v>PTN Akademik</x:v>
      </x:c>
      <x:c r="C613" t="str">
        <x:v>UNIVERSITAS JAMBI</x:v>
      </x:c>
      <x:c r="D613" t="str">
        <x:v>ILMU SEJARAH</x:v>
      </x:c>
      <x:c r="E613" t="str">
        <x:v>Sarjana</x:v>
      </x:c>
      <x:c r="F613" s="18" t="n">
        <x:v>36</x:v>
      </x:c>
      <x:c r="G613" s="18" t="n">
        <x:v>62</x:v>
      </x:c>
      <x:c r="H613" s="19" t="n">
        <x:v>1.7222222222222223</x:v>
      </x:c>
      <x:c r="I613" s="18" t="n">
        <x:f>ROUND(MIN(Model_Config_v3!$B$6,MAX(Q613,R613,S613*Model_Config_v3!$B$4+T613*Model_Config_v3!$B$5)),0)</x:f>
        <x:v>610</x:v>
      </x:c>
      <x:c r="J613" s="18" t="n">
        <x:f>MIN(Model_Config_v3!$B$6,I613+Model_Config_v3!$B$7)</x:f>
        <x:v>630</x:v>
      </x:c>
      <x:c r="K613" s="20" t="n">
        <x:v>39.1</x:v>
      </x:c>
      <x:c r="L613" t="str">
        <x:v>RELATIF LONGGAR</x:v>
      </x:c>
      <x:c r="M613" t="str">
        <x:v>SEDANG</x:v>
      </x:c>
      <x:c r="N613" t="str">
        <x:v>REGULER</x:v>
      </x:c>
      <x:c r="O613" t="str">
        <x:v>SOSHUM</x:v>
      </x:c>
      <x:c r="P613" t="str">
        <x:v>UMUM</x:v>
      </x:c>
      <x:c r="Q613" s="18" t="n">
        <x:v>0</x:v>
      </x:c>
      <x:c r="R613" s="18" t="n">
        <x:v>0</x:v>
      </x:c>
      <x:c r="S613" s="18" t="n">
        <x:v>545.9698107604063</x:v>
      </x:c>
      <x:c r="T613" s="18" t="n">
        <x:v>638</x:v>
      </x:c>
      <x:c r="U613" s="18" t="n">
        <x:v>545.9698107604063</x:v>
      </x:c>
      <x:c r="V613" s="20" t="n">
        <x:v>4.4</x:v>
      </x:c>
      <x:c r="W613" s="20" t="n">
        <x:v>14.3</x:v>
      </x:c>
      <x:c r="X613" s="20" t="n">
        <x:v>3.3</x:v>
      </x:c>
      <x:c r="Y613" t="str">
        <x:v>Basis arsip 2025/2024</x:v>
      </x:c>
      <x:c r="Z613" t="str">
        <x:v>https://snpmb.id/utbk-snbt/daya-tampung-snbt</x:v>
      </x:c>
      <x:c r="AA613" t="str">
        <x:v>Tidak Ada</x:v>
      </x:c>
      <x:c r="AB613" t="str">
        <x:v>Campus=55; Ratio=13.9; Prodi=40; RelDemand=13.5; Capacity=70.0</x:v>
      </x:c>
    </x:row>
    <x:row r="614">
      <x:c r="A614" t="n">
        <x:v>611</x:v>
      </x:c>
      <x:c r="B614" t="str">
        <x:v>PTN Akademik</x:v>
      </x:c>
      <x:c r="C614" t="str">
        <x:v>UNIVERSITAS JAMBI</x:v>
      </x:c>
      <x:c r="D614" t="str">
        <x:v>ADMINISTRASI PENDIDIKAN</x:v>
      </x:c>
      <x:c r="E614" t="str">
        <x:v>Sarjana</x:v>
      </x:c>
      <x:c r="F614" s="18" t="n">
        <x:v>45</x:v>
      </x:c>
      <x:c r="G614" s="18" t="n">
        <x:v>160</x:v>
      </x:c>
      <x:c r="H614" s="19" t="n">
        <x:v>3.5555555555555554</x:v>
      </x:c>
      <x:c r="I614" s="18" t="n">
        <x:f>ROUND(MIN(Model_Config_v3!$B$6,MAX(Q614,R614,S614*Model_Config_v3!$B$4+T614*Model_Config_v3!$B$5)),0)</x:f>
        <x:v>628</x:v>
      </x:c>
      <x:c r="J614" s="18" t="n">
        <x:f>MIN(Model_Config_v3!$B$6,I614+Model_Config_v3!$B$7)</x:f>
        <x:v>648</x:v>
      </x:c>
      <x:c r="K614" s="20" t="n">
        <x:v>44.4</x:v>
      </x:c>
      <x:c r="L614" t="str">
        <x:v>RELATIF LONGGAR</x:v>
      </x:c>
      <x:c r="M614" t="str">
        <x:v>SEDANG</x:v>
      </x:c>
      <x:c r="N614" t="str">
        <x:v>REGULER</x:v>
      </x:c>
      <x:c r="O614" t="str">
        <x:v>SOSHUM</x:v>
      </x:c>
      <x:c r="P614" t="str">
        <x:v>UMUM</x:v>
      </x:c>
      <x:c r="Q614" s="18" t="n">
        <x:v>0</x:v>
      </x:c>
      <x:c r="R614" s="18" t="n">
        <x:v>0</x:v>
      </x:c>
      <x:c r="S614" s="18" t="n">
        <x:v>580.5998215768639</x:v>
      </x:c>
      <x:c r="T614" s="18" t="n">
        <x:v>649</x:v>
      </x:c>
      <x:c r="U614" s="18" t="n">
        <x:v>580.5998215768639</x:v>
      </x:c>
      <x:c r="V614" s="20" t="n">
        <x:v>4.4</x:v>
      </x:c>
      <x:c r="W614" s="20" t="n">
        <x:v>14.3</x:v>
      </x:c>
      <x:c r="X614" s="20" t="n">
        <x:v>3.3</x:v>
      </x:c>
      <x:c r="Y614" t="str">
        <x:v>Basis arsip 2025/2024</x:v>
      </x:c>
      <x:c r="Z614" t="str">
        <x:v>https://snpmb.id/utbk-snbt/daya-tampung-snbt</x:v>
      </x:c>
      <x:c r="AA614" t="str">
        <x:v>Tidak Ada</x:v>
      </x:c>
      <x:c r="AB614" t="str">
        <x:v>Campus=55; Ratio=32.4; Prodi=40; RelDemand=27.8; Capacity=62.5</x:v>
      </x:c>
    </x:row>
    <x:row r="615">
      <x:c r="A615" t="n">
        <x:v>612</x:v>
      </x:c>
      <x:c r="B615" t="str">
        <x:v>PTN Akademik</x:v>
      </x:c>
      <x:c r="C615" t="str">
        <x:v>UNIVERSITAS JAMBI</x:v>
      </x:c>
      <x:c r="D615" t="str">
        <x:v>ILMU POLITIK</x:v>
      </x:c>
      <x:c r="E615" t="str">
        <x:v>Sarjana</x:v>
      </x:c>
      <x:c r="F615" s="18" t="n">
        <x:v>59</x:v>
      </x:c>
      <x:c r="G615" s="18" t="n">
        <x:v>121</x:v>
      </x:c>
      <x:c r="H615" s="19" t="n">
        <x:v>2.0508474576271185</x:v>
      </x:c>
      <x:c r="I615" s="18" t="n">
        <x:f>ROUND(MIN(Model_Config_v3!$B$6,MAX(Q615,R615,S615*Model_Config_v3!$B$4+T615*Model_Config_v3!$B$5)),0)</x:f>
        <x:v>612</x:v>
      </x:c>
      <x:c r="J615" s="18" t="n">
        <x:f>MIN(Model_Config_v3!$B$6,I615+Model_Config_v3!$B$7)</x:f>
        <x:v>632</x:v>
      </x:c>
      <x:c r="K615" s="20" t="n">
        <x:v>38.5</x:v>
      </x:c>
      <x:c r="L615" t="str">
        <x:v>RELATIF LONGGAR</x:v>
      </x:c>
      <x:c r="M615" t="str">
        <x:v>SEDANG</x:v>
      </x:c>
      <x:c r="N615" t="str">
        <x:v>REGULER</x:v>
      </x:c>
      <x:c r="O615" t="str">
        <x:v>SOSHUM</x:v>
      </x:c>
      <x:c r="P615" t="str">
        <x:v>UMUM</x:v>
      </x:c>
      <x:c r="Q615" s="18" t="n">
        <x:v>0</x:v>
      </x:c>
      <x:c r="R615" s="18" t="n">
        <x:v>0</x:v>
      </x:c>
      <x:c r="S615" s="18" t="n">
        <x:v>554.3126694541736</x:v>
      </x:c>
      <x:c r="T615" s="18" t="n">
        <x:v>637</x:v>
      </x:c>
      <x:c r="U615" s="18" t="n">
        <x:v>554.3126694541736</x:v>
      </x:c>
      <x:c r="V615" s="20" t="n">
        <x:v>4.4</x:v>
      </x:c>
      <x:c r="W615" s="20" t="n">
        <x:v>14.3</x:v>
      </x:c>
      <x:c r="X615" s="20" t="n">
        <x:v>3.3</x:v>
      </x:c>
      <x:c r="Y615" t="str">
        <x:v>Basis arsip 2025/2024</x:v>
      </x:c>
      <x:c r="Z615" t="str">
        <x:v>https://snpmb.id/utbk-snbt/daya-tampung-snbt</x:v>
      </x:c>
      <x:c r="AA615" t="str">
        <x:v>Tidak Ada</x:v>
      </x:c>
      <x:c r="AB615" t="str">
        <x:v>Campus=55; Ratio=18.4; Prodi=40; RelDemand=16.1; Capacity=50.8</x:v>
      </x:c>
    </x:row>
    <x:row r="616">
      <x:c r="A616" t="n">
        <x:v>613</x:v>
      </x:c>
      <x:c r="B616" t="str">
        <x:v>PTN Akademik</x:v>
      </x:c>
      <x:c r="C616" t="str">
        <x:v>UNIVERSITAS JAMBI</x:v>
      </x:c>
      <x:c r="D616" t="str">
        <x:v>SENI DRAMA TARI DAN MUSIK</x:v>
      </x:c>
      <x:c r="E616" t="str">
        <x:v>Sarjana</x:v>
      </x:c>
      <x:c r="F616" s="18" t="n">
        <x:v>23</x:v>
      </x:c>
      <x:c r="G616" s="18" t="n">
        <x:v>21</x:v>
      </x:c>
      <x:c r="H616" s="19" t="n">
        <x:v>0.9130434782608695</x:v>
      </x:c>
      <x:c r="I616" s="18" t="n">
        <x:f>ROUND(MIN(Model_Config_v3!$B$6,MAX(Q616,R616,S616*Model_Config_v3!$B$4+T616*Model_Config_v3!$B$5)),0)</x:f>
        <x:v>600</x:v>
      </x:c>
      <x:c r="J616" s="18" t="n">
        <x:f>MIN(Model_Config_v3!$B$6,I616+Model_Config_v3!$B$7)</x:f>
        <x:v>620</x:v>
      </x:c>
      <x:c r="K616" s="20" t="n">
        <x:v>37</x:v>
      </x:c>
      <x:c r="L616" t="str">
        <x:v>RELATIF LONGGAR</x:v>
      </x:c>
      <x:c r="M616" t="str">
        <x:v>PORTOFOLIO</x:v>
      </x:c>
      <x:c r="N616" t="str">
        <x:v>REGULER</x:v>
      </x:c>
      <x:c r="O616" t="str">
        <x:v>SENI/OLAHRAGA</x:v>
      </x:c>
      <x:c r="P616" t="str">
        <x:v>SENI/OLAHRAGA</x:v>
      </x:c>
      <x:c r="Q616" s="18" t="n">
        <x:v>0</x:v>
      </x:c>
      <x:c r="R616" s="18" t="n">
        <x:v>0</x:v>
      </x:c>
      <x:c r="S616" s="18" t="n">
        <x:v>520</x:v>
      </x:c>
      <x:c r="T616" s="18" t="n">
        <x:v>634</x:v>
      </x:c>
      <x:c r="U616" s="18" t="n">
        <x:v>520</x:v>
      </x:c>
      <x:c r="V616" s="20" t="n">
        <x:v>4.4</x:v>
      </x:c>
      <x:c r="W616" s="20" t="n">
        <x:v>9.9</x:v>
      </x:c>
      <x:c r="X616" s="20" t="n">
        <x:v>7.7</x:v>
      </x:c>
      <x:c r="Y616" t="str">
        <x:v>Basis arsip 2025/2024</x:v>
      </x:c>
      <x:c r="Z616" t="str">
        <x:v>https://snpmb.id/utbk-snbt/daya-tampung-snbt</x:v>
      </x:c>
      <x:c r="AA616" t="str">
        <x:v>Sendratasik</x:v>
      </x:c>
      <x:c r="AB616" t="str">
        <x:v>Campus=55; Ratio=0.0; Prodi=45; RelDemand=7.1; Capacity=80.8</x:v>
      </x:c>
    </x:row>
    <x:row r="617">
      <x:c r="A617" t="n">
        <x:v>614</x:v>
      </x:c>
      <x:c r="B617" t="str">
        <x:v>PTN Akademik</x:v>
      </x:c>
      <x:c r="C617" t="str">
        <x:v>UNIVERSITAS JAMBI</x:v>
      </x:c>
      <x:c r="D617" t="str">
        <x:v>BISNIS DIGITAL</x:v>
      </x:c>
      <x:c r="E617" t="str">
        <x:v>Sarjana</x:v>
      </x:c>
      <x:c r="F617" s="18" t="n">
        <x:v>41</x:v>
      </x:c>
      <x:c r="G617" s="18" t="n">
        <x:v>213</x:v>
      </x:c>
      <x:c r="H617" s="19" t="n">
        <x:v>5.195121951219512</x:v>
      </x:c>
      <x:c r="I617" s="18" t="n">
        <x:f>ROUND(MIN(Model_Config_v3!$B$6,MAX(Q617,R617,S617*Model_Config_v3!$B$4+T617*Model_Config_v3!$B$5)),0)</x:f>
        <x:v>647</x:v>
      </x:c>
      <x:c r="J617" s="18" t="n">
        <x:f>MIN(Model_Config_v3!$B$6,I617+Model_Config_v3!$B$7)</x:f>
        <x:v>667</x:v>
      </x:c>
      <x:c r="K617" s="20" t="n">
        <x:v>53.4</x:v>
      </x:c>
      <x:c r="L617" t="str">
        <x:v>MENENGAH</x:v>
      </x:c>
      <x:c r="M617" t="str">
        <x:v>SEDANG+</x:v>
      </x:c>
      <x:c r="N617" t="str">
        <x:v>REGULER</x:v>
      </x:c>
      <x:c r="O617" t="str">
        <x:v>SOSHUM</x:v>
      </x:c>
      <x:c r="P617" t="str">
        <x:v>BISNIS/EKONOMI/AKUNTANSI</x:v>
      </x:c>
      <x:c r="Q617" s="18" t="n">
        <x:v>0</x:v>
      </x:c>
      <x:c r="R617" s="18" t="n">
        <x:v>0</x:v>
      </x:c>
      <x:c r="S617" s="18" t="n">
        <x:v>598.7155321390902</x:v>
      </x:c>
      <x:c r="T617" s="18" t="n">
        <x:v>667</x:v>
      </x:c>
      <x:c r="U617" s="18" t="n">
        <x:v>613.7155321390902</x:v>
      </x:c>
      <x:c r="V617" s="20" t="n">
        <x:v>4.4</x:v>
      </x:c>
      <x:c r="W617" s="20" t="n">
        <x:v>14.3</x:v>
      </x:c>
      <x:c r="X617" s="20" t="n">
        <x:v>3.3</x:v>
      </x:c>
      <x:c r="Y617" t="str">
        <x:v>Basis arsip 2025/2024</x:v>
      </x:c>
      <x:c r="Z617" t="str">
        <x:v>https://snpmb.id/utbk-snbt/daya-tampung-snbt</x:v>
      </x:c>
      <x:c r="AA617" t="str">
        <x:v>Tidak Ada</x:v>
      </x:c>
      <x:c r="AB617" t="str">
        <x:v>Campus=55; Ratio=42.1; Prodi=65; RelDemand=40.7; Capacity=65.8</x:v>
      </x:c>
    </x:row>
    <x:row r="618">
      <x:c r="A618" t="n">
        <x:v>615</x:v>
      </x:c>
      <x:c r="B618" t="str">
        <x:v>PTN Akademik</x:v>
      </x:c>
      <x:c r="C618" t="str">
        <x:v>UNIVERSITAS JAMBI</x:v>
      </x:c>
      <x:c r="D618" t="str">
        <x:v>KEWIRAUSAHAAN</x:v>
      </x:c>
      <x:c r="E618" t="str">
        <x:v>Sarjana</x:v>
      </x:c>
      <x:c r="F618" s="18" t="n">
        <x:v>41</x:v>
      </x:c>
      <x:c r="G618" s="18" t="n">
        <x:v>127</x:v>
      </x:c>
      <x:c r="H618" s="19" t="n">
        <x:v>3.097560975609756</x:v>
      </x:c>
      <x:c r="I618" s="18" t="n">
        <x:f>ROUND(MIN(Model_Config_v3!$B$6,MAX(Q618,R618,S618*Model_Config_v3!$B$4+T618*Model_Config_v3!$B$5)),0)</x:f>
        <x:v>625</x:v>
      </x:c>
      <x:c r="J618" s="18" t="n">
        <x:f>MIN(Model_Config_v3!$B$6,I618+Model_Config_v3!$B$7)</x:f>
        <x:v>645</x:v>
      </x:c>
      <x:c r="K618" s="20" t="n">
        <x:v>43.5</x:v>
      </x:c>
      <x:c r="L618" t="str">
        <x:v>RELATIF LONGGAR</x:v>
      </x:c>
      <x:c r="M618" t="str">
        <x:v>SEDANG</x:v>
      </x:c>
      <x:c r="N618" t="str">
        <x:v>REGULER</x:v>
      </x:c>
      <x:c r="O618" t="str">
        <x:v>CAMPURAN</x:v>
      </x:c>
      <x:c r="P618" t="str">
        <x:v>UMUM</x:v>
      </x:c>
      <x:c r="Q618" s="18" t="n">
        <x:v>0</x:v>
      </x:c>
      <x:c r="R618" s="18" t="n">
        <x:v>0</x:v>
      </x:c>
      <x:c r="S618" s="18" t="n">
        <x:v>574.0121850659843</x:v>
      </x:c>
      <x:c r="T618" s="18" t="n">
        <x:v>647</x:v>
      </x:c>
      <x:c r="U618" s="18" t="n">
        <x:v>574.0121850659843</x:v>
      </x:c>
      <x:c r="V618" s="20" t="n">
        <x:v>8.8</x:v>
      </x:c>
      <x:c r="W618" s="20" t="n">
        <x:v>9.9</x:v>
      </x:c>
      <x:c r="X618" s="20" t="n">
        <x:v>3.3</x:v>
      </x:c>
      <x:c r="Y618" t="str">
        <x:v>Basis arsip 2025/2024</x:v>
      </x:c>
      <x:c r="Z618" t="str">
        <x:v>https://snpmb.id/utbk-snbt/daya-tampung-snbt</x:v>
      </x:c>
      <x:c r="AA618" t="str">
        <x:v>Tidak Ada</x:v>
      </x:c>
      <x:c r="AB618" t="str">
        <x:v>Campus=55; Ratio=28.9; Prodi=40; RelDemand=24.3; Capacity=65.8</x:v>
      </x:c>
    </x:row>
    <x:row r="619">
      <x:c r="A619" t="n">
        <x:v>616</x:v>
      </x:c>
      <x:c r="B619" t="str">
        <x:v>PTN Akademik</x:v>
      </x:c>
      <x:c r="C619" t="str">
        <x:v>UNIVERSITAS JAMBI</x:v>
      </x:c>
      <x:c r="D619" t="str">
        <x:v>INFORMATIKA</x:v>
      </x:c>
      <x:c r="E619" t="str">
        <x:v>Sarjana</x:v>
      </x:c>
      <x:c r="F619" s="18" t="n">
        <x:v>32</x:v>
      </x:c>
      <x:c r="G619" s="18" t="n">
        <x:v>387</x:v>
      </x:c>
      <x:c r="H619" s="19" t="n">
        <x:v>12.09375</x:v>
      </x:c>
      <x:c r="I619" s="18" t="n">
        <x:f>ROUND(MIN(Model_Config_v3!$B$6,MAX(Q619,R619,S619*Model_Config_v3!$B$4+T619*Model_Config_v3!$B$5)),0)</x:f>
        <x:v>680</x:v>
      </x:c>
      <x:c r="J619" s="18" t="n">
        <x:f>MIN(Model_Config_v3!$B$6,I619+Model_Config_v3!$B$7)</x:f>
        <x:v>700</x:v>
      </x:c>
      <x:c r="K619" s="20" t="n">
        <x:v>69</x:v>
      </x:c>
      <x:c r="L619" t="str">
        <x:v>SANGAT KETAT</x:v>
      </x:c>
      <x:c r="M619" t="str">
        <x:v>SEDANG+</x:v>
      </x:c>
      <x:c r="N619" t="str">
        <x:v>REGULER</x:v>
      </x:c>
      <x:c r="O619" t="str">
        <x:v>SAINTEK</x:v>
      </x:c>
      <x:c r="P619" t="str">
        <x:v>KOMPUTER/INFORMATIKA</x:v>
      </x:c>
      <x:c r="Q619" s="18" t="n">
        <x:v>0</x:v>
      </x:c>
      <x:c r="R619" s="18" t="n">
        <x:v>0</x:v>
      </x:c>
      <x:c r="S619" s="18" t="n">
        <x:v>639.0817085368906</x:v>
      </x:c>
      <x:c r="T619" s="18" t="n">
        <x:v>698</x:v>
      </x:c>
      <x:c r="U619" s="18" t="n">
        <x:v>664.0817085368906</x:v>
      </x:c>
      <x:c r="V619" s="20" t="n">
        <x:v>12</x:v>
      </x:c>
      <x:c r="W619" s="20" t="n">
        <x:v>5</x:v>
      </x:c>
      <x:c r="X619" s="20" t="n">
        <x:v>3</x:v>
      </x:c>
      <x:c r="Y619" t="str">
        <x:v>Basis arsip 2025/2024</x:v>
      </x:c>
      <x:c r="Z619" t="str">
        <x:v>https://snpmb.id/utbk-snbt/daya-tampung-snbt</x:v>
      </x:c>
      <x:c r="AA619" t="str">
        <x:v>Tidak Ada</x:v>
      </x:c>
      <x:c r="AB619" t="str">
        <x:v>Campus=55; Ratio=63.7; Prodi=85; RelDemand=94.7; Capacity=73.3</x:v>
      </x:c>
    </x:row>
    <x:row r="620">
      <x:c r="A620" t="n">
        <x:v>617</x:v>
      </x:c>
      <x:c r="B620" t="str">
        <x:v>PTN Akademik</x:v>
      </x:c>
      <x:c r="C620" t="str">
        <x:v>UNIVERSITAS JAMBI</x:v>
      </x:c>
      <x:c r="D620" t="str">
        <x:v>SENI KARAWITAN</x:v>
      </x:c>
      <x:c r="E620" t="str">
        <x:v>Sarjana</x:v>
      </x:c>
      <x:c r="F620" s="18" t="n">
        <x:v>9</x:v>
      </x:c>
      <x:c r="G620" s="18"/>
      <x:c r="H620" s="19" t="n">
        <x:v>0</x:v>
      </x:c>
      <x:c r="I620" s="18" t="n">
        <x:f>ROUND(MIN(Model_Config_v3!$B$6,MAX(Q620,R620,S620*Model_Config_v3!$B$4+T620*Model_Config_v3!$B$5)),0)</x:f>
        <x:v>601</x:v>
      </x:c>
      <x:c r="J620" s="18" t="n">
        <x:f>MIN(Model_Config_v3!$B$6,I620+Model_Config_v3!$B$7)</x:f>
        <x:v>621</x:v>
      </x:c>
      <x:c r="K620" s="20" t="n">
        <x:v>37.5</x:v>
      </x:c>
      <x:c r="L620" t="str">
        <x:v>RELATIF LONGGAR</x:v>
      </x:c>
      <x:c r="M620" t="str">
        <x:v>PORTOFOLIO</x:v>
      </x:c>
      <x:c r="N620" t="str">
        <x:v>REGULER</x:v>
      </x:c>
      <x:c r="O620" t="str">
        <x:v>SENI/OLAHRAGA</x:v>
      </x:c>
      <x:c r="P620" t="str">
        <x:v>SENI/OLAHRAGA</x:v>
      </x:c>
      <x:c r="Q620" s="18" t="n">
        <x:v>0</x:v>
      </x:c>
      <x:c r="R620" s="18" t="n">
        <x:v>0</x:v>
      </x:c>
      <x:c r="S620" s="18" t="n">
        <x:v>520</x:v>
      </x:c>
      <x:c r="T620" s="18" t="n">
        <x:v>635</x:v>
      </x:c>
      <x:c r="U620" s="18" t="n">
        <x:v>520</x:v>
      </x:c>
      <x:c r="V620" s="20" t="n">
        <x:v>4.4</x:v>
      </x:c>
      <x:c r="W620" s="20" t="n">
        <x:v>9.9</x:v>
      </x:c>
      <x:c r="X620" s="20" t="n">
        <x:v>7.7</x:v>
      </x:c>
      <x:c r="Y620" t="str">
        <x:v>Basis arsip 2025/2024</x:v>
      </x:c>
      <x:c r="Z620" t="str">
        <x:v>https://snpmb.id/utbk-snbt/daya-tampung-snbt</x:v>
      </x:c>
      <x:c r="AA620" t="str">
        <x:v>Seni Karawitan</x:v>
      </x:c>
      <x:c r="AB620" t="str">
        <x:v>Campus=55; Ratio=0.0; Prodi=45; RelDemand=0.0; Capacity=92.5</x:v>
      </x:c>
    </x:row>
    <x:row r="621">
      <x:c r="A621" t="n">
        <x:v>618</x:v>
      </x:c>
      <x:c r="B621" t="str">
        <x:v>PTN Akademik</x:v>
      </x:c>
      <x:c r="C621" t="str">
        <x:v>UNIVERSITAS JAMBI</x:v>
      </x:c>
      <x:c r="D621" t="str">
        <x:v>KEUANGAN DAERAH</x:v>
      </x:c>
      <x:c r="E621" t="str">
        <x:v>Sarjana Terapan</x:v>
      </x:c>
      <x:c r="F621" s="18" t="n">
        <x:v>27</x:v>
      </x:c>
      <x:c r="G621" s="18" t="n">
        <x:v>349</x:v>
      </x:c>
      <x:c r="H621" s="19" t="n">
        <x:v>12.925925925925926</x:v>
      </x:c>
      <x:c r="I621" s="18" t="n">
        <x:f>ROUND(MIN(Model_Config_v3!$B$6,MAX(Q621,R621,S621*Model_Config_v3!$B$4+T621*Model_Config_v3!$B$5)),0)</x:f>
        <x:v>671</x:v>
      </x:c>
      <x:c r="J621" s="18" t="n">
        <x:f>MIN(Model_Config_v3!$B$6,I621+Model_Config_v3!$B$7)</x:f>
        <x:v>691</x:v>
      </x:c>
      <x:c r="K621" s="20" t="n">
        <x:v>61.4</x:v>
      </x:c>
      <x:c r="L621" t="str">
        <x:v>KETAT</x:v>
      </x:c>
      <x:c r="M621" t="str">
        <x:v>SEDANG</x:v>
      </x:c>
      <x:c r="N621" t="str">
        <x:v>REGULER</x:v>
      </x:c>
      <x:c r="O621" t="str">
        <x:v>CAMPURAN</x:v>
      </x:c>
      <x:c r="P621" t="str">
        <x:v>UMUM</x:v>
      </x:c>
      <x:c r="Q621" s="18" t="n">
        <x:v>0</x:v>
      </x:c>
      <x:c r="R621" s="18" t="n">
        <x:v>0</x:v>
      </x:c>
      <x:c r="S621" s="18" t="n">
        <x:v>642.2607829080212</x:v>
      </x:c>
      <x:c r="T621" s="18" t="n">
        <x:v>683</x:v>
      </x:c>
      <x:c r="U621" s="18" t="n">
        <x:v>642.2607829080212</x:v>
      </x:c>
      <x:c r="V621" s="20" t="n">
        <x:v>8.8</x:v>
      </x:c>
      <x:c r="W621" s="20" t="n">
        <x:v>9.9</x:v>
      </x:c>
      <x:c r="X621" s="20" t="n">
        <x:v>3.3</x:v>
      </x:c>
      <x:c r="Y621" t="str">
        <x:v>Basis arsip 2025/2024</x:v>
      </x:c>
      <x:c r="Z621" t="str">
        <x:v>https://snpmb.id/utbk-snbt/daya-tampung-snbt</x:v>
      </x:c>
      <x:c r="AA621" t="str">
        <x:v>Tidak Ada</x:v>
      </x:c>
      <x:c r="AB621" t="str">
        <x:v>Campus=55; Ratio=65.4; Prodi=40; RelDemand=100.0; Capacity=77.5</x:v>
      </x:c>
    </x:row>
    <x:row r="622">
      <x:c r="A622" t="n">
        <x:v>619</x:v>
      </x:c>
      <x:c r="B622" t="str">
        <x:v>PTN Akademik</x:v>
      </x:c>
      <x:c r="C622" t="str">
        <x:v>UNIVERSITAS JAMBI</x:v>
      </x:c>
      <x:c r="D622" t="str">
        <x:v>MANAJEMEN PEMERINTAHAN</x:v>
      </x:c>
      <x:c r="E622" t="str">
        <x:v>Sarjana Terapan</x:v>
      </x:c>
      <x:c r="F622" s="18" t="n">
        <x:v>36</x:v>
      </x:c>
      <x:c r="G622" s="18" t="n">
        <x:v>1064</x:v>
      </x:c>
      <x:c r="H622" s="19" t="n">
        <x:v>29.555555555555557</x:v>
      </x:c>
      <x:c r="I622" s="18" t="n">
        <x:f>ROUND(MIN(Model_Config_v3!$B$6,MAX(Q622,R622,S622*Model_Config_v3!$B$4+T622*Model_Config_v3!$B$5)),0)</x:f>
        <x:v>696</x:v>
      </x:c>
      <x:c r="J622" s="18" t="n">
        <x:f>MIN(Model_Config_v3!$B$6,I622+Model_Config_v3!$B$7)</x:f>
        <x:v>716</x:v>
      </x:c>
      <x:c r="K622" s="20" t="n">
        <x:v>70.9</x:v>
      </x:c>
      <x:c r="L622" t="str">
        <x:v>SANGAT KETAT</x:v>
      </x:c>
      <x:c r="M622" t="str">
        <x:v>SEDANG+</x:v>
      </x:c>
      <x:c r="N622" t="str">
        <x:v>REGULER</x:v>
      </x:c>
      <x:c r="O622" t="str">
        <x:v>SOSHUM</x:v>
      </x:c>
      <x:c r="P622" t="str">
        <x:v>BISNIS/EKONOMI/AKUNTANSI</x:v>
      </x:c>
      <x:c r="Q622" s="18" t="n">
        <x:v>0</x:v>
      </x:c>
      <x:c r="R622" s="18" t="n">
        <x:v>0</x:v>
      </x:c>
      <x:c r="S622" s="18" t="n">
        <x:v>681.7703039910916</x:v>
      </x:c>
      <x:c r="T622" s="18" t="n">
        <x:v>702</x:v>
      </x:c>
      <x:c r="U622" s="18" t="n">
        <x:v>696.7703039910916</x:v>
      </x:c>
      <x:c r="V622" s="20" t="n">
        <x:v>4.4</x:v>
      </x:c>
      <x:c r="W622" s="20" t="n">
        <x:v>14.3</x:v>
      </x:c>
      <x:c r="X622" s="20" t="n">
        <x:v>3.3</x:v>
      </x:c>
      <x:c r="Y622" t="str">
        <x:v>Basis arsip 2025/2024</x:v>
      </x:c>
      <x:c r="Z622" t="str">
        <x:v>https://snpmb.id/utbk-snbt/daya-tampung-snbt</x:v>
      </x:c>
      <x:c r="AA622" t="str">
        <x:v>Tidak Ada</x:v>
      </x:c>
      <x:c r="AB622" t="str">
        <x:v>Campus=55; Ratio=86.6; Prodi=65; RelDemand=100.0; Capacity=70.0</x:v>
      </x:c>
    </x:row>
    <x:row r="623">
      <x:c r="A623" t="n">
        <x:v>620</x:v>
      </x:c>
      <x:c r="B623" t="str">
        <x:v>PTN Akademik</x:v>
      </x:c>
      <x:c r="C623" t="str">
        <x:v>UNIVERSITAS JAMBI</x:v>
      </x:c>
      <x:c r="D623" t="str">
        <x:v>AKUNTANSI</x:v>
      </x:c>
      <x:c r="E623" t="str">
        <x:v>Diploma Tiga</x:v>
      </x:c>
      <x:c r="F623" s="18" t="n">
        <x:v>36</x:v>
      </x:c>
      <x:c r="G623" s="18" t="n">
        <x:v>737</x:v>
      </x:c>
      <x:c r="H623" s="19" t="n">
        <x:v>20.47222222222222</x:v>
      </x:c>
      <x:c r="I623" s="18" t="n">
        <x:f>ROUND(MIN(Model_Config_v3!$B$6,MAX(Q623,R623,S623*Model_Config_v3!$B$4+T623*Model_Config_v3!$B$5)),0)</x:f>
        <x:v>687</x:v>
      </x:c>
      <x:c r="J623" s="18" t="n">
        <x:f>MIN(Model_Config_v3!$B$6,I623+Model_Config_v3!$B$7)</x:f>
        <x:v>707</x:v>
      </x:c>
      <x:c r="K623" s="20" t="n">
        <x:v>68.5</x:v>
      </x:c>
      <x:c r="L623" t="str">
        <x:v>SANGAT KETAT</x:v>
      </x:c>
      <x:c r="M623" t="str">
        <x:v>SEDANG+</x:v>
      </x:c>
      <x:c r="N623" t="str">
        <x:v>REGULER</x:v>
      </x:c>
      <x:c r="O623" t="str">
        <x:v>SOSHUM</x:v>
      </x:c>
      <x:c r="P623" t="str">
        <x:v>BISNIS/EKONOMI/AKUNTANSI</x:v>
      </x:c>
      <x:c r="Q623" s="18" t="n">
        <x:v>0</x:v>
      </x:c>
      <x:c r="R623" s="18" t="n">
        <x:v>0</x:v>
      </x:c>
      <x:c r="S623" s="18" t="n">
        <x:v>664.2281485800941</x:v>
      </x:c>
      <x:c r="T623" s="18" t="n">
        <x:v>697</x:v>
      </x:c>
      <x:c r="U623" s="18" t="n">
        <x:v>664.2281485800941</x:v>
      </x:c>
      <x:c r="V623" s="20" t="n">
        <x:v>4.4</x:v>
      </x:c>
      <x:c r="W623" s="20" t="n">
        <x:v>14.3</x:v>
      </x:c>
      <x:c r="X623" s="20" t="n">
        <x:v>3.3</x:v>
      </x:c>
      <x:c r="Y623" t="str">
        <x:v>Basis arsip 2025/2024</x:v>
      </x:c>
      <x:c r="Z623" t="str">
        <x:v>https://snpmb.id/utbk-snbt/daya-tampung-snbt</x:v>
      </x:c>
      <x:c r="AA623" t="str">
        <x:v>Tidak Ada</x:v>
      </x:c>
      <x:c r="AB623" t="str">
        <x:v>Campus=55; Ratio=77.2; Prodi=65; RelDemand=100.0; Capacity=70.0</x:v>
      </x:c>
    </x:row>
    <x:row r="624">
      <x:c r="A624" t="n">
        <x:v>621</x:v>
      </x:c>
      <x:c r="B624" t="str">
        <x:v>PTN Akademik</x:v>
      </x:c>
      <x:c r="C624" t="str">
        <x:v>UNIVERSITAS JAMBI</x:v>
      </x:c>
      <x:c r="D624" t="str">
        <x:v>AGROBISNIS</x:v>
      </x:c>
      <x:c r="E624" t="str">
        <x:v>Diploma Tiga</x:v>
      </x:c>
      <x:c r="F624" s="18" t="n">
        <x:v>18</x:v>
      </x:c>
      <x:c r="G624" s="18" t="n">
        <x:v>442</x:v>
      </x:c>
      <x:c r="H624" s="19" t="n">
        <x:v>24.555555555555557</x:v>
      </x:c>
      <x:c r="I624" s="18" t="n">
        <x:f>ROUND(MIN(Model_Config_v3!$B$6,MAX(Q624,R624,S624*Model_Config_v3!$B$4+T624*Model_Config_v3!$B$5)),0)</x:f>
        <x:v>693</x:v>
      </x:c>
      <x:c r="J624" s="18" t="n">
        <x:f>MIN(Model_Config_v3!$B$6,I624+Model_Config_v3!$B$7)</x:f>
        <x:v>713</x:v>
      </x:c>
      <x:c r="K624" s="20" t="n">
        <x:v>71.2</x:v>
      </x:c>
      <x:c r="L624" t="str">
        <x:v>SANGAT KETAT</x:v>
      </x:c>
      <x:c r="M624" t="str">
        <x:v>SEDANG+</x:v>
      </x:c>
      <x:c r="N624" t="str">
        <x:v>REGULER</x:v>
      </x:c>
      <x:c r="O624" t="str">
        <x:v>SOSHUM</x:v>
      </x:c>
      <x:c r="P624" t="str">
        <x:v>BISNIS/EKONOMI/AKUNTANSI</x:v>
      </x:c>
      <x:c r="Q624" s="18" t="n">
        <x:v>0</x:v>
      </x:c>
      <x:c r="R624" s="18" t="n">
        <x:v>0</x:v>
      </x:c>
      <x:c r="S624" s="18" t="n">
        <x:v>672.9164740670365</x:v>
      </x:c>
      <x:c r="T624" s="18" t="n">
        <x:v>702</x:v>
      </x:c>
      <x:c r="U624" s="18" t="n">
        <x:v>687.9164740670365</x:v>
      </x:c>
      <x:c r="V624" s="20" t="n">
        <x:v>4.4</x:v>
      </x:c>
      <x:c r="W624" s="20" t="n">
        <x:v>14.3</x:v>
      </x:c>
      <x:c r="X624" s="20" t="n">
        <x:v>3.3</x:v>
      </x:c>
      <x:c r="Y624" t="str">
        <x:v>Basis arsip 2025/2024</x:v>
      </x:c>
      <x:c r="Z624" t="str">
        <x:v>https://snpmb.id/utbk-snbt/daya-tampung-snbt</x:v>
      </x:c>
      <x:c r="AA624" t="str">
        <x:v>Tidak Ada</x:v>
      </x:c>
      <x:c r="AB624" t="str">
        <x:v>Campus=55; Ratio=81.8; Prodi=65; RelDemand=100.0; Capacity=85.0</x:v>
      </x:c>
    </x:row>
    <x:row r="625">
      <x:c r="A625" t="n">
        <x:v>622</x:v>
      </x:c>
      <x:c r="B625" t="str">
        <x:v>PTN Akademik</x:v>
      </x:c>
      <x:c r="C625" t="str">
        <x:v>UNIVERSITAS JAMBI</x:v>
      </x:c>
      <x:c r="D625" t="str">
        <x:v>TEKNOLOGI HASIL PERIKANAN</x:v>
      </x:c>
      <x:c r="E625" t="str">
        <x:v>Diploma Tiga</x:v>
      </x:c>
      <x:c r="F625" s="18" t="n">
        <x:v>14</x:v>
      </x:c>
      <x:c r="G625" s="18" t="n">
        <x:v>116</x:v>
      </x:c>
      <x:c r="H625" s="19" t="n">
        <x:v>8.285714285714286</x:v>
      </x:c>
      <x:c r="I625" s="18" t="n">
        <x:f>ROUND(MIN(Model_Config_v3!$B$6,MAX(Q625,R625,S625*Model_Config_v3!$B$4+T625*Model_Config_v3!$B$5)),0)</x:f>
        <x:v>657</x:v>
      </x:c>
      <x:c r="J625" s="18" t="n">
        <x:f>MIN(Model_Config_v3!$B$6,I625+Model_Config_v3!$B$7)</x:f>
        <x:v>677</x:v>
      </x:c>
      <x:c r="K625" s="20" t="n">
        <x:v>56.1</x:v>
      </x:c>
      <x:c r="L625" t="str">
        <x:v>KETAT</x:v>
      </x:c>
      <x:c r="M625" t="str">
        <x:v>SEDANG</x:v>
      </x:c>
      <x:c r="N625" t="str">
        <x:v>REGULER</x:v>
      </x:c>
      <x:c r="O625" t="str">
        <x:v>SAINTEK</x:v>
      </x:c>
      <x:c r="P625" t="str">
        <x:v>UMUM</x:v>
      </x:c>
      <x:c r="Q625" s="18" t="n">
        <x:v>0</x:v>
      </x:c>
      <x:c r="R625" s="18" t="n">
        <x:v>0</x:v>
      </x:c>
      <x:c r="S625" s="18" t="n">
        <x:v>621.0162948903549</x:v>
      </x:c>
      <x:c r="T625" s="18" t="n">
        <x:v>672</x:v>
      </x:c>
      <x:c r="U625" s="18" t="n">
        <x:v>621.0162948903549</x:v>
      </x:c>
      <x:c r="V625" s="20" t="n">
        <x:v>12</x:v>
      </x:c>
      <x:c r="W625" s="20" t="n">
        <x:v>5</x:v>
      </x:c>
      <x:c r="X625" s="20" t="n">
        <x:v>3</x:v>
      </x:c>
      <x:c r="Y625" t="str">
        <x:v>Basis arsip 2025/2024</x:v>
      </x:c>
      <x:c r="Z625" t="str">
        <x:v>https://snpmb.id/utbk-snbt/daya-tampung-snbt</x:v>
      </x:c>
      <x:c r="AA625" t="str">
        <x:v>Tidak Ada</x:v>
      </x:c>
      <x:c r="AB625" t="str">
        <x:v>Campus=55; Ratio=54.1; Prodi=40; RelDemand=64.9; Capacity=88.3</x:v>
      </x:c>
    </x:row>
    <x:row r="626">
      <x:c r="A626" t="n">
        <x:v>623</x:v>
      </x:c>
      <x:c r="B626" t="str">
        <x:v>PTN Akademik</x:v>
      </x:c>
      <x:c r="C626" t="str">
        <x:v>UNIVERSITAS JAMBI</x:v>
      </x:c>
      <x:c r="D626" t="str">
        <x:v>KESEHATAN HEWAN</x:v>
      </x:c>
      <x:c r="E626" t="str">
        <x:v>Diploma Tiga</x:v>
      </x:c>
      <x:c r="F626" s="18" t="n">
        <x:v>50</x:v>
      </x:c>
      <x:c r="G626" s="18" t="n">
        <x:v>363</x:v>
      </x:c>
      <x:c r="H626" s="19" t="n">
        <x:v>7.26</x:v>
      </x:c>
      <x:c r="I626" s="18" t="n">
        <x:f>ROUND(MIN(Model_Config_v3!$B$6,MAX(Q626,R626,S626*Model_Config_v3!$B$4+T626*Model_Config_v3!$B$5)),0)</x:f>
        <x:v>653</x:v>
      </x:c>
      <x:c r="J626" s="18" t="n">
        <x:f>MIN(Model_Config_v3!$B$6,I626+Model_Config_v3!$B$7)</x:f>
        <x:v>673</x:v>
      </x:c>
      <x:c r="K626" s="20" t="n">
        <x:v>54.4</x:v>
      </x:c>
      <x:c r="L626" t="str">
        <x:v>MENENGAH</x:v>
      </x:c>
      <x:c r="M626" t="str">
        <x:v>SEDANG+</x:v>
      </x:c>
      <x:c r="N626" t="str">
        <x:v>REGULER</x:v>
      </x:c>
      <x:c r="O626" t="str">
        <x:v>SAINTEK</x:v>
      </x:c>
      <x:c r="P626" t="str">
        <x:v>KESEHAT/GIZI/KEPERAWATAN</x:v>
      </x:c>
      <x:c r="Q626" s="18" t="n">
        <x:v>0</x:v>
      </x:c>
      <x:c r="R626" s="18" t="n">
        <x:v>0</x:v>
      </x:c>
      <x:c r="S626" s="18" t="n">
        <x:v>614.7030282770103</x:v>
      </x:c>
      <x:c r="T626" s="18" t="n">
        <x:v>669</x:v>
      </x:c>
      <x:c r="U626" s="18" t="n">
        <x:v>614.7030282770103</x:v>
      </x:c>
      <x:c r="V626" s="20" t="n">
        <x:v>12</x:v>
      </x:c>
      <x:c r="W626" s="20" t="n">
        <x:v>5</x:v>
      </x:c>
      <x:c r="X626" s="20" t="n">
        <x:v>3</x:v>
      </x:c>
      <x:c r="Y626" t="str">
        <x:v>Basis arsip 2025/2024</x:v>
      </x:c>
      <x:c r="Z626" t="str">
        <x:v>https://snpmb.id/utbk-snbt/daya-tampung-snbt</x:v>
      </x:c>
      <x:c r="AA626" t="str">
        <x:v>Tidak Ada</x:v>
      </x:c>
      <x:c r="AB626" t="str">
        <x:v>Campus=55; Ratio=50.7; Prodi=55; RelDemand=56.8; Capacity=58.3</x:v>
      </x:c>
    </x:row>
    <x:row r="627">
      <x:c r="A627" t="n">
        <x:v>624</x:v>
      </x:c>
      <x:c r="B627" t="str">
        <x:v>PTN Akademik</x:v>
      </x:c>
      <x:c r="C627" t="str">
        <x:v>UNIVERSITAS JAMBI</x:v>
      </x:c>
      <x:c r="D627" t="str">
        <x:v>ANALIS KIMIA</x:v>
      </x:c>
      <x:c r="E627" t="str">
        <x:v>Diploma Tiga</x:v>
      </x:c>
      <x:c r="F627" s="18" t="n">
        <x:v>19</x:v>
      </x:c>
      <x:c r="G627" s="18" t="n">
        <x:v>168</x:v>
      </x:c>
      <x:c r="H627" s="19" t="n">
        <x:v>8.842105263157896</x:v>
      </x:c>
      <x:c r="I627" s="18" t="n">
        <x:f>ROUND(MIN(Model_Config_v3!$B$6,MAX(Q627,R627,S627*Model_Config_v3!$B$4+T627*Model_Config_v3!$B$5)),0)</x:f>
        <x:v>661</x:v>
      </x:c>
      <x:c r="J627" s="18" t="n">
        <x:f>MIN(Model_Config_v3!$B$6,I627+Model_Config_v3!$B$7)</x:f>
        <x:v>681</x:v>
      </x:c>
      <x:c r="K627" s="20" t="n">
        <x:v>58.5</x:v>
      </x:c>
      <x:c r="L627" t="str">
        <x:v>KETAT</x:v>
      </x:c>
      <x:c r="M627" t="str">
        <x:v>SEDANG+</x:v>
      </x:c>
      <x:c r="N627" t="str">
        <x:v>REGULER</x:v>
      </x:c>
      <x:c r="O627" t="str">
        <x:v>SAINTEK</x:v>
      </x:c>
      <x:c r="P627" t="str">
        <x:v>SAINS DASAR</x:v>
      </x:c>
      <x:c r="Q627" s="18" t="n">
        <x:v>0</x:v>
      </x:c>
      <x:c r="R627" s="18" t="n">
        <x:v>0</x:v>
      </x:c>
      <x:c r="S627" s="18" t="n">
        <x:v>624.1211248850337</x:v>
      </x:c>
      <x:c r="T627" s="18" t="n">
        <x:v>677</x:v>
      </x:c>
      <x:c r="U627" s="18" t="n">
        <x:v>624.1211248850337</x:v>
      </x:c>
      <x:c r="V627" s="20" t="n">
        <x:v>12</x:v>
      </x:c>
      <x:c r="W627" s="20" t="n">
        <x:v>5</x:v>
      </x:c>
      <x:c r="X627" s="20" t="n">
        <x:v>3</x:v>
      </x:c>
      <x:c r="Y627" t="str">
        <x:v>Basis arsip 2025/2024</x:v>
      </x:c>
      <x:c r="Z627" t="str">
        <x:v>https://snpmb.id/utbk-snbt/daya-tampung-snbt</x:v>
      </x:c>
      <x:c r="AA627" t="str">
        <x:v>Tidak Ada</x:v>
      </x:c>
      <x:c r="AB627" t="str">
        <x:v>Campus=55; Ratio=55.7; Prodi=50; RelDemand=69.2; Capacity=84.2</x:v>
      </x:c>
    </x:row>
    <x:row r="628">
      <x:c r="A628" t="n">
        <x:v>625</x:v>
      </x:c>
      <x:c r="B628" t="str">
        <x:v>PTN Akademik</x:v>
      </x:c>
      <x:c r="C628" t="str">
        <x:v>UNIVERSITAS JAMBI</x:v>
      </x:c>
      <x:c r="D628" t="str">
        <x:v>PERPAJAKAN</x:v>
      </x:c>
      <x:c r="E628" t="str">
        <x:v>Diploma Tiga</x:v>
      </x:c>
      <x:c r="F628" s="18" t="n">
        <x:v>36</x:v>
      </x:c>
      <x:c r="G628" s="18" t="n">
        <x:v>958</x:v>
      </x:c>
      <x:c r="H628" s="19" t="n">
        <x:v>26.61111111111111</x:v>
      </x:c>
      <x:c r="I628" s="18" t="n">
        <x:f>ROUND(MIN(Model_Config_v3!$B$6,MAX(Q628,R628,S628*Model_Config_v3!$B$4+T628*Model_Config_v3!$B$5)),0)</x:f>
        <x:v>686</x:v>
      </x:c>
      <x:c r="J628" s="18" t="n">
        <x:f>MIN(Model_Config_v3!$B$6,I628+Model_Config_v3!$B$7)</x:f>
        <x:v>706</x:v>
      </x:c>
      <x:c r="K628" s="20" t="n">
        <x:v>65.2</x:v>
      </x:c>
      <x:c r="L628" t="str">
        <x:v>SANGAT KETAT</x:v>
      </x:c>
      <x:c r="M628" t="str">
        <x:v>SEDANG</x:v>
      </x:c>
      <x:c r="N628" t="str">
        <x:v>REGULER</x:v>
      </x:c>
      <x:c r="O628" t="str">
        <x:v>CAMPURAN</x:v>
      </x:c>
      <x:c r="P628" t="str">
        <x:v>UMUM</x:v>
      </x:c>
      <x:c r="Q628" s="18" t="n">
        <x:v>0</x:v>
      </x:c>
      <x:c r="R628" s="18" t="n">
        <x:v>0</x:v>
      </x:c>
      <x:c r="S628" s="18" t="n">
        <x:v>676.7569309142383</x:v>
      </x:c>
      <x:c r="T628" s="18" t="n">
        <x:v>690</x:v>
      </x:c>
      <x:c r="U628" s="18" t="n">
        <x:v>676.7569309142383</x:v>
      </x:c>
      <x:c r="V628" s="20" t="n">
        <x:v>8.8</x:v>
      </x:c>
      <x:c r="W628" s="20" t="n">
        <x:v>9.9</x:v>
      </x:c>
      <x:c r="X628" s="20" t="n">
        <x:v>3.3</x:v>
      </x:c>
      <x:c r="Y628" t="str">
        <x:v>Basis arsip 2025/2024</x:v>
      </x:c>
      <x:c r="Z628" t="str">
        <x:v>https://snpmb.id/utbk-snbt/daya-tampung-snbt</x:v>
      </x:c>
      <x:c r="AA628" t="str">
        <x:v>Tidak Ada</x:v>
      </x:c>
      <x:c r="AB628" t="str">
        <x:v>Campus=55; Ratio=83.9; Prodi=40; RelDemand=100.0; Capacity=70.0</x:v>
      </x:c>
    </x:row>
    <x:row r="629">
      <x:c r="A629" t="n">
        <x:v>626</x:v>
      </x:c>
      <x:c r="B629" t="str">
        <x:v>PTN Akademik</x:v>
      </x:c>
      <x:c r="C629" t="str">
        <x:v>UNIVERSITAS JAMBI</x:v>
      </x:c>
      <x:c r="D629" t="str">
        <x:v>MANAJEMEN PEMASARAN</x:v>
      </x:c>
      <x:c r="E629" t="str">
        <x:v>Diploma Tiga</x:v>
      </x:c>
      <x:c r="F629" s="18" t="n">
        <x:v>36</x:v>
      </x:c>
      <x:c r="G629" s="18" t="n">
        <x:v>612</x:v>
      </x:c>
      <x:c r="H629" s="19" t="n">
        <x:v>17</x:v>
      </x:c>
      <x:c r="I629" s="18" t="n">
        <x:f>ROUND(MIN(Model_Config_v3!$B$6,MAX(Q629,R629,S629*Model_Config_v3!$B$4+T629*Model_Config_v3!$B$5)),0)</x:f>
        <x:v>683</x:v>
      </x:c>
      <x:c r="J629" s="18" t="n">
        <x:f>MIN(Model_Config_v3!$B$6,I629+Model_Config_v3!$B$7)</x:f>
        <x:v>703</x:v>
      </x:c>
      <x:c r="K629" s="20" t="n">
        <x:v>67.4</x:v>
      </x:c>
      <x:c r="L629" t="str">
        <x:v>SANGAT KETAT</x:v>
      </x:c>
      <x:c r="M629" t="str">
        <x:v>SEDANG+</x:v>
      </x:c>
      <x:c r="N629" t="str">
        <x:v>REGULER</x:v>
      </x:c>
      <x:c r="O629" t="str">
        <x:v>SOSHUM</x:v>
      </x:c>
      <x:c r="P629" t="str">
        <x:v>BISNIS/EKONOMI/AKUNTANSI</x:v>
      </x:c>
      <x:c r="Q629" s="18" t="n">
        <x:v>0</x:v>
      </x:c>
      <x:c r="R629" s="18" t="n">
        <x:v>0</x:v>
      </x:c>
      <x:c r="S629" s="18" t="n">
        <x:v>655.3493813516102</x:v>
      </x:c>
      <x:c r="T629" s="18" t="n">
        <x:v>695</x:v>
      </x:c>
      <x:c r="U629" s="18" t="n">
        <x:v>670.3493813516102</x:v>
      </x:c>
      <x:c r="V629" s="20" t="n">
        <x:v>4.4</x:v>
      </x:c>
      <x:c r="W629" s="20" t="n">
        <x:v>14.3</x:v>
      </x:c>
      <x:c r="X629" s="20" t="n">
        <x:v>3.3</x:v>
      </x:c>
      <x:c r="Y629" t="str">
        <x:v>Basis arsip 2025/2024</x:v>
      </x:c>
      <x:c r="Z629" t="str">
        <x:v>https://snpmb.id/utbk-snbt/daya-tampung-snbt</x:v>
      </x:c>
      <x:c r="AA629" t="str">
        <x:v>Tidak Ada</x:v>
      </x:c>
      <x:c r="AB629" t="str">
        <x:v>Campus=55; Ratio=72.4; Prodi=65; RelDemand=100.0; Capacity=70.0</x:v>
      </x:c>
    </x:row>
    <x:row r="630">
      <x:c r="A630" t="n">
        <x:v>627</x:v>
      </x:c>
      <x:c r="B630" t="str">
        <x:v>PTN Akademik</x:v>
      </x:c>
      <x:c r="C630" t="str">
        <x:v>UNIVERSITAS JAMBI</x:v>
      </x:c>
      <x:c r="D630" t="str">
        <x:v>KIMIA INDUSTRI</x:v>
      </x:c>
      <x:c r="E630" t="str">
        <x:v>Diploma Tiga</x:v>
      </x:c>
      <x:c r="F630" s="18" t="n">
        <x:v>19</x:v>
      </x:c>
      <x:c r="G630" s="18" t="n">
        <x:v>183</x:v>
      </x:c>
      <x:c r="H630" s="19" t="n">
        <x:v>9.631578947368421</x:v>
      </x:c>
      <x:c r="I630" s="18" t="n">
        <x:f>ROUND(MIN(Model_Config_v3!$B$6,MAX(Q630,R630,S630*Model_Config_v3!$B$4+T630*Model_Config_v3!$B$5)),0)</x:f>
        <x:v>664</x:v>
      </x:c>
      <x:c r="J630" s="18" t="n">
        <x:f>MIN(Model_Config_v3!$B$6,I630+Model_Config_v3!$B$7)</x:f>
        <x:v>684</x:v>
      </x:c>
      <x:c r="K630" s="20" t="n">
        <x:v>59.7</x:v>
      </x:c>
      <x:c r="L630" t="str">
        <x:v>KETAT</x:v>
      </x:c>
      <x:c r="M630" t="str">
        <x:v>SEDANG+</x:v>
      </x:c>
      <x:c r="N630" t="str">
        <x:v>REGULER</x:v>
      </x:c>
      <x:c r="O630" t="str">
        <x:v>SAINTEK</x:v>
      </x:c>
      <x:c r="P630" t="str">
        <x:v>SAINS DASAR</x:v>
      </x:c>
      <x:c r="Q630" s="18" t="n">
        <x:v>0</x:v>
      </x:c>
      <x:c r="R630" s="18" t="n">
        <x:v>0</x:v>
      </x:c>
      <x:c r="S630" s="18" t="n">
        <x:v>628.206723765536</x:v>
      </x:c>
      <x:c r="T630" s="18" t="n">
        <x:v>679</x:v>
      </x:c>
      <x:c r="U630" s="18" t="n">
        <x:v>628.206723765536</x:v>
      </x:c>
      <x:c r="V630" s="20" t="n">
        <x:v>12</x:v>
      </x:c>
      <x:c r="W630" s="20" t="n">
        <x:v>5</x:v>
      </x:c>
      <x:c r="X630" s="20" t="n">
        <x:v>3</x:v>
      </x:c>
      <x:c r="Y630" t="str">
        <x:v>Basis arsip 2025/2024</x:v>
      </x:c>
      <x:c r="Z630" t="str">
        <x:v>https://snpmb.id/utbk-snbt/daya-tampung-snbt</x:v>
      </x:c>
      <x:c r="AA630" t="str">
        <x:v>Tidak Ada</x:v>
      </x:c>
      <x:c r="AB630" t="str">
        <x:v>Campus=55; Ratio=57.9; Prodi=50; RelDemand=75.4; Capacity=84.2</x:v>
      </x:c>
    </x:row>
    <x:row r="631">
      <x:c r="A631" t="n">
        <x:v>628</x:v>
      </x:c>
      <x:c r="B631" t="str">
        <x:v>PTN Akademik</x:v>
      </x:c>
      <x:c r="C631" t="str">
        <x:v>UNIVERSITAS BENGKULU</x:v>
      </x:c>
      <x:c r="D631" t="str">
        <x:v>AGROEKOTEKNOLOGI</x:v>
      </x:c>
      <x:c r="E631" t="str">
        <x:v>Sarjana</x:v>
      </x:c>
      <x:c r="F631" s="18" t="n">
        <x:v>60</x:v>
      </x:c>
      <x:c r="G631" s="18" t="n">
        <x:v>168</x:v>
      </x:c>
      <x:c r="H631" s="19" t="n">
        <x:v>2.8</x:v>
      </x:c>
      <x:c r="I631" s="18" t="n">
        <x:f>ROUND(MIN(Model_Config_v3!$B$6,MAX(Q631,R631,S631*Model_Config_v3!$B$4+T631*Model_Config_v3!$B$5)),0)</x:f>
        <x:v>620</x:v>
      </x:c>
      <x:c r="J631" s="18" t="n">
        <x:f>MIN(Model_Config_v3!$B$6,I631+Model_Config_v3!$B$7)</x:f>
        <x:v>640</x:v>
      </x:c>
      <x:c r="K631" s="20" t="n">
        <x:v>41</x:v>
      </x:c>
      <x:c r="L631" t="str">
        <x:v>RELATIF LONGGAR</x:v>
      </x:c>
      <x:c r="M631" t="str">
        <x:v>SEDANG</x:v>
      </x:c>
      <x:c r="N631" t="str">
        <x:v>REGULER</x:v>
      </x:c>
      <x:c r="O631" t="str">
        <x:v>SAINTEK</x:v>
      </x:c>
      <x:c r="P631" t="str">
        <x:v>UMUM</x:v>
      </x:c>
      <x:c r="Q631" s="18" t="n">
        <x:v>0</x:v>
      </x:c>
      <x:c r="R631" s="18" t="n">
        <x:v>0</x:v>
      </x:c>
      <x:c r="S631" s="18" t="n">
        <x:v>569.1873834476442</x:v>
      </x:c>
      <x:c r="T631" s="18" t="n">
        <x:v>642</x:v>
      </x:c>
      <x:c r="U631" s="18" t="n">
        <x:v>569.1873834476442</x:v>
      </x:c>
      <x:c r="V631" s="20" t="n">
        <x:v>12</x:v>
      </x:c>
      <x:c r="W631" s="20" t="n">
        <x:v>5</x:v>
      </x:c>
      <x:c r="X631" s="20" t="n">
        <x:v>3</x:v>
      </x:c>
      <x:c r="Y631" t="str">
        <x:v>Basis arsip 2025/2024</x:v>
      </x:c>
      <x:c r="Z631" t="str">
        <x:v>https://snpmb.id/utbk-snbt/daya-tampung-snbt</x:v>
      </x:c>
      <x:c r="AA631" t="str">
        <x:v>Tidak Ada</x:v>
      </x:c>
      <x:c r="AB631" t="str">
        <x:v>Campus=55; Ratio=26.3; Prodi=40; RelDemand=22.2; Capacity=50.0</x:v>
      </x:c>
    </x:row>
    <x:row r="632">
      <x:c r="A632" t="n">
        <x:v>629</x:v>
      </x:c>
      <x:c r="B632" t="str">
        <x:v>PTN Akademik</x:v>
      </x:c>
      <x:c r="C632" t="str">
        <x:v>UNIVERSITAS BENGKULU</x:v>
      </x:c>
      <x:c r="D632" t="str">
        <x:v>KEHUTANAN</x:v>
      </x:c>
      <x:c r="E632" t="str">
        <x:v>Sarjana</x:v>
      </x:c>
      <x:c r="F632" s="18" t="n">
        <x:v>50</x:v>
      </x:c>
      <x:c r="G632" s="18" t="n">
        <x:v>155</x:v>
      </x:c>
      <x:c r="H632" s="19" t="n">
        <x:v>3.1</x:v>
      </x:c>
      <x:c r="I632" s="18" t="n">
        <x:f>ROUND(MIN(Model_Config_v3!$B$6,MAX(Q632,R632,S632*Model_Config_v3!$B$4+T632*Model_Config_v3!$B$5)),0)</x:f>
        <x:v>624</x:v>
      </x:c>
      <x:c r="J632" s="18" t="n">
        <x:f>MIN(Model_Config_v3!$B$6,I632+Model_Config_v3!$B$7)</x:f>
        <x:v>644</x:v>
      </x:c>
      <x:c r="K632" s="20" t="n">
        <x:v>42.8</x:v>
      </x:c>
      <x:c r="L632" t="str">
        <x:v>RELATIF LONGGAR</x:v>
      </x:c>
      <x:c r="M632" t="str">
        <x:v>SEDANG</x:v>
      </x:c>
      <x:c r="N632" t="str">
        <x:v>REGULER</x:v>
      </x:c>
      <x:c r="O632" t="str">
        <x:v>CAMPURAN</x:v>
      </x:c>
      <x:c r="P632" t="str">
        <x:v>UMUM</x:v>
      </x:c>
      <x:c r="Q632" s="18" t="n">
        <x:v>0</x:v>
      </x:c>
      <x:c r="R632" s="18" t="n">
        <x:v>0</x:v>
      </x:c>
      <x:c r="S632" s="18" t="n">
        <x:v>574.04978632177</x:v>
      </x:c>
      <x:c r="T632" s="18" t="n">
        <x:v>646</x:v>
      </x:c>
      <x:c r="U632" s="18" t="n">
        <x:v>574.04978632177</x:v>
      </x:c>
      <x:c r="V632" s="20" t="n">
        <x:v>8.8</x:v>
      </x:c>
      <x:c r="W632" s="20" t="n">
        <x:v>9.9</x:v>
      </x:c>
      <x:c r="X632" s="20" t="n">
        <x:v>3.3</x:v>
      </x:c>
      <x:c r="Y632" t="str">
        <x:v>Basis arsip 2025/2024</x:v>
      </x:c>
      <x:c r="Z632" t="str">
        <x:v>https://snpmb.id/utbk-snbt/daya-tampung-snbt</x:v>
      </x:c>
      <x:c r="AA632" t="str">
        <x:v>Tidak Ada</x:v>
      </x:c>
      <x:c r="AB632" t="str">
        <x:v>Campus=55; Ratio=28.9; Prodi=40; RelDemand=24.5; Capacity=58.3</x:v>
      </x:c>
    </x:row>
    <x:row r="633">
      <x:c r="A633" t="n">
        <x:v>630</x:v>
      </x:c>
      <x:c r="B633" t="str">
        <x:v>PTN Akademik</x:v>
      </x:c>
      <x:c r="C633" t="str">
        <x:v>UNIVERSITAS BENGKULU</x:v>
      </x:c>
      <x:c r="D633" t="str">
        <x:v>PETERNAKAN</x:v>
      </x:c>
      <x:c r="E633" t="str">
        <x:v>Sarjana</x:v>
      </x:c>
      <x:c r="F633" s="18" t="n">
        <x:v>80</x:v>
      </x:c>
      <x:c r="G633" s="18" t="n">
        <x:v>97</x:v>
      </x:c>
      <x:c r="H633" s="19" t="n">
        <x:v>1.2125</x:v>
      </x:c>
      <x:c r="I633" s="18" t="n">
        <x:f>ROUND(MIN(Model_Config_v3!$B$6,MAX(Q633,R633,S633*Model_Config_v3!$B$4+T633*Model_Config_v3!$B$5)),0)</x:f>
        <x:v>597</x:v>
      </x:c>
      <x:c r="J633" s="18" t="n">
        <x:f>MIN(Model_Config_v3!$B$6,I633+Model_Config_v3!$B$7)</x:f>
        <x:v>617</x:v>
      </x:c>
      <x:c r="K633" s="20" t="n">
        <x:v>32.8</x:v>
      </x:c>
      <x:c r="L633" t="str">
        <x:v>RELATIF LONGGAR</x:v>
      </x:c>
      <x:c r="M633" t="str">
        <x:v>SEDANG</x:v>
      </x:c>
      <x:c r="N633" t="str">
        <x:v>REGULER</x:v>
      </x:c>
      <x:c r="O633" t="str">
        <x:v>SAINTEK</x:v>
      </x:c>
      <x:c r="P633" t="str">
        <x:v>UMUM</x:v>
      </x:c>
      <x:c r="Q633" s="18" t="n">
        <x:v>0</x:v>
      </x:c>
      <x:c r="R633" s="18" t="n">
        <x:v>0</x:v>
      </x:c>
      <x:c r="S633" s="18" t="n">
        <x:v>529.2049922001731</x:v>
      </x:c>
      <x:c r="T633" s="18" t="n">
        <x:v>626</x:v>
      </x:c>
      <x:c r="U633" s="18" t="n">
        <x:v>529.2049922001731</x:v>
      </x:c>
      <x:c r="V633" s="20" t="n">
        <x:v>12</x:v>
      </x:c>
      <x:c r="W633" s="20" t="n">
        <x:v>5</x:v>
      </x:c>
      <x:c r="X633" s="20" t="n">
        <x:v>3</x:v>
      </x:c>
      <x:c r="Y633" t="str">
        <x:v>Basis arsip 2025/2024</x:v>
      </x:c>
      <x:c r="Z633" t="str">
        <x:v>https://snpmb.id/utbk-snbt/daya-tampung-snbt</x:v>
      </x:c>
      <x:c r="AA633" t="str">
        <x:v>Tidak Ada</x:v>
      </x:c>
      <x:c r="AB633" t="str">
        <x:v>Campus=55; Ratio=4.9; Prodi=40; RelDemand=9.6; Capacity=33.3</x:v>
      </x:c>
    </x:row>
    <x:row r="634">
      <x:c r="A634" t="n">
        <x:v>631</x:v>
      </x:c>
      <x:c r="B634" t="str">
        <x:v>PTN Akademik</x:v>
      </x:c>
      <x:c r="C634" t="str">
        <x:v>UNIVERSITAS BENGKULU</x:v>
      </x:c>
      <x:c r="D634" t="str">
        <x:v>AGRIBISNIS</x:v>
      </x:c>
      <x:c r="E634" t="str">
        <x:v>Sarjana</x:v>
      </x:c>
      <x:c r="F634" s="18" t="n">
        <x:v>65</x:v>
      </x:c>
      <x:c r="G634" s="18" t="n">
        <x:v>254</x:v>
      </x:c>
      <x:c r="H634" s="19" t="n">
        <x:v>3.9076923076923076</x:v>
      </x:c>
      <x:c r="I634" s="18" t="n">
        <x:f>ROUND(MIN(Model_Config_v3!$B$6,MAX(Q634,R634,S634*Model_Config_v3!$B$4+T634*Model_Config_v3!$B$5)),0)</x:f>
        <x:v>635</x:v>
      </x:c>
      <x:c r="J634" s="18" t="n">
        <x:f>MIN(Model_Config_v3!$B$6,I634+Model_Config_v3!$B$7)</x:f>
        <x:v>655</x:v>
      </x:c>
      <x:c r="K634" s="20" t="n">
        <x:v>48.6</x:v>
      </x:c>
      <x:c r="L634" t="str">
        <x:v>MENENGAH</x:v>
      </x:c>
      <x:c r="M634" t="str">
        <x:v>SEDANG+</x:v>
      </x:c>
      <x:c r="N634" t="str">
        <x:v>REGULER</x:v>
      </x:c>
      <x:c r="O634" t="str">
        <x:v>SOSHUM</x:v>
      </x:c>
      <x:c r="P634" t="str">
        <x:v>BISNIS/EKONOMI/AKUNTANSI</x:v>
      </x:c>
      <x:c r="Q634" s="18" t="n">
        <x:v>0</x:v>
      </x:c>
      <x:c r="R634" s="18" t="n">
        <x:v>0</x:v>
      </x:c>
      <x:c r="S634" s="18" t="n">
        <x:v>585.1112395974791</x:v>
      </x:c>
      <x:c r="T634" s="18" t="n">
        <x:v>657</x:v>
      </x:c>
      <x:c r="U634" s="18" t="n">
        <x:v>600.1112395974791</x:v>
      </x:c>
      <x:c r="V634" s="20" t="n">
        <x:v>4.4</x:v>
      </x:c>
      <x:c r="W634" s="20" t="n">
        <x:v>14.3</x:v>
      </x:c>
      <x:c r="X634" s="20" t="n">
        <x:v>3.3</x:v>
      </x:c>
      <x:c r="Y634" t="str">
        <x:v>Basis arsip 2025/2024</x:v>
      </x:c>
      <x:c r="Z634" t="str">
        <x:v>https://snpmb.id/utbk-snbt/daya-tampung-snbt</x:v>
      </x:c>
      <x:c r="AA634" t="str">
        <x:v>Tidak Ada</x:v>
      </x:c>
      <x:c r="AB634" t="str">
        <x:v>Campus=55; Ratio=34.8; Prodi=65; RelDemand=30.9; Capacity=45.8</x:v>
      </x:c>
    </x:row>
    <x:row r="635">
      <x:c r="A635" t="n">
        <x:v>632</x:v>
      </x:c>
      <x:c r="B635" t="str">
        <x:v>PTN Akademik</x:v>
      </x:c>
      <x:c r="C635" t="str">
        <x:v>UNIVERSITAS BENGKULU</x:v>
      </x:c>
      <x:c r="D635" t="str">
        <x:v>TEKNOLOGI INDUSTRI PERTANIAN</x:v>
      </x:c>
      <x:c r="E635" t="str">
        <x:v>Sarjana</x:v>
      </x:c>
      <x:c r="F635" s="18" t="n">
        <x:v>60</x:v>
      </x:c>
      <x:c r="G635" s="18" t="n">
        <x:v>168</x:v>
      </x:c>
      <x:c r="H635" s="19" t="n">
        <x:v>2.8</x:v>
      </x:c>
      <x:c r="I635" s="18" t="n">
        <x:f>ROUND(MIN(Model_Config_v3!$B$6,MAX(Q635,R635,S635*Model_Config_v3!$B$4+T635*Model_Config_v3!$B$5)),0)</x:f>
        <x:v>620</x:v>
      </x:c>
      <x:c r="J635" s="18" t="n">
        <x:f>MIN(Model_Config_v3!$B$6,I635+Model_Config_v3!$B$7)</x:f>
        <x:v>640</x:v>
      </x:c>
      <x:c r="K635" s="20" t="n">
        <x:v>41</x:v>
      </x:c>
      <x:c r="L635" t="str">
        <x:v>RELATIF LONGGAR</x:v>
      </x:c>
      <x:c r="M635" t="str">
        <x:v>SEDANG</x:v>
      </x:c>
      <x:c r="N635" t="str">
        <x:v>REGULER</x:v>
      </x:c>
      <x:c r="O635" t="str">
        <x:v>SAINTEK</x:v>
      </x:c>
      <x:c r="P635" t="str">
        <x:v>UMUM</x:v>
      </x:c>
      <x:c r="Q635" s="18" t="n">
        <x:v>0</x:v>
      </x:c>
      <x:c r="R635" s="18" t="n">
        <x:v>0</x:v>
      </x:c>
      <x:c r="S635" s="18" t="n">
        <x:v>569.1873834476442</x:v>
      </x:c>
      <x:c r="T635" s="18" t="n">
        <x:v>642</x:v>
      </x:c>
      <x:c r="U635" s="18" t="n">
        <x:v>569.1873834476442</x:v>
      </x:c>
      <x:c r="V635" s="20" t="n">
        <x:v>12</x:v>
      </x:c>
      <x:c r="W635" s="20" t="n">
        <x:v>5</x:v>
      </x:c>
      <x:c r="X635" s="20" t="n">
        <x:v>3</x:v>
      </x:c>
      <x:c r="Y635" t="str">
        <x:v>Basis arsip 2025/2024</x:v>
      </x:c>
      <x:c r="Z635" t="str">
        <x:v>https://snpmb.id/utbk-snbt/daya-tampung-snbt</x:v>
      </x:c>
      <x:c r="AA635" t="str">
        <x:v>Tidak Ada</x:v>
      </x:c>
      <x:c r="AB635" t="str">
        <x:v>Campus=55; Ratio=26.3; Prodi=40; RelDemand=22.2; Capacity=50.0</x:v>
      </x:c>
    </x:row>
    <x:row r="636">
      <x:c r="A636" t="n">
        <x:v>633</x:v>
      </x:c>
      <x:c r="B636" t="str">
        <x:v>PTN Akademik</x:v>
      </x:c>
      <x:c r="C636" t="str">
        <x:v>UNIVERSITAS BENGKULU</x:v>
      </x:c>
      <x:c r="D636" t="str">
        <x:v>PENDIDIKAN FISIKA</x:v>
      </x:c>
      <x:c r="E636" t="str">
        <x:v>Sarjana</x:v>
      </x:c>
      <x:c r="F636" s="18" t="n">
        <x:v>44</x:v>
      </x:c>
      <x:c r="G636" s="18" t="n">
        <x:v>48</x:v>
      </x:c>
      <x:c r="H636" s="19" t="n">
        <x:v>1.0909090909090908</x:v>
      </x:c>
      <x:c r="I636" s="18" t="n">
        <x:f>ROUND(MIN(Model_Config_v3!$B$6,MAX(Q636,R636,S636*Model_Config_v3!$B$4+T636*Model_Config_v3!$B$5)),0)</x:f>
        <x:v>600</x:v>
      </x:c>
      <x:c r="J636" s="18" t="n">
        <x:f>MIN(Model_Config_v3!$B$6,I636+Model_Config_v3!$B$7)</x:f>
        <x:v>620</x:v>
      </x:c>
      <x:c r="K636" s="20" t="n">
        <x:v>36</x:v>
      </x:c>
      <x:c r="L636" t="str">
        <x:v>RELATIF LONGGAR</x:v>
      </x:c>
      <x:c r="M636" t="str">
        <x:v>SEDANG+</x:v>
      </x:c>
      <x:c r="N636" t="str">
        <x:v>REGULER</x:v>
      </x:c>
      <x:c r="O636" t="str">
        <x:v>SAINTEK</x:v>
      </x:c>
      <x:c r="P636" t="str">
        <x:v>PENDIDIKAN</x:v>
      </x:c>
      <x:c r="Q636" s="18" t="n">
        <x:v>0</x:v>
      </x:c>
      <x:c r="R636" s="18" t="n">
        <x:v>0</x:v>
      </x:c>
      <x:c r="S636" s="18" t="n">
        <x:v>524.1567416978339</x:v>
      </x:c>
      <x:c r="T636" s="18" t="n">
        <x:v>632</x:v>
      </x:c>
      <x:c r="U636" s="18" t="n">
        <x:v>524.1567416978339</x:v>
      </x:c>
      <x:c r="V636" s="20" t="n">
        <x:v>12</x:v>
      </x:c>
      <x:c r="W636" s="20" t="n">
        <x:v>5</x:v>
      </x:c>
      <x:c r="X636" s="20" t="n">
        <x:v>3</x:v>
      </x:c>
      <x:c r="Y636" t="str">
        <x:v>Basis arsip 2025/2024</x:v>
      </x:c>
      <x:c r="Z636" t="str">
        <x:v>https://snpmb.id/utbk-snbt/daya-tampung-snbt</x:v>
      </x:c>
      <x:c r="AA636" t="str">
        <x:v>Tidak Ada</x:v>
      </x:c>
      <x:c r="AB636" t="str">
        <x:v>Campus=55; Ratio=2.2; Prodi=45; RelDemand=8.6; Capacity=63.3</x:v>
      </x:c>
    </x:row>
    <x:row r="637">
      <x:c r="A637" t="n">
        <x:v>634</x:v>
      </x:c>
      <x:c r="B637" t="str">
        <x:v>PTN Akademik</x:v>
      </x:c>
      <x:c r="C637" t="str">
        <x:v>UNIVERSITAS BENGKULU</x:v>
      </x:c>
      <x:c r="D637" t="str">
        <x:v>PENDIDIKAN BIOLOGI</x:v>
      </x:c>
      <x:c r="E637" t="str">
        <x:v>Sarjana</x:v>
      </x:c>
      <x:c r="F637" s="18" t="n">
        <x:v>40</x:v>
      </x:c>
      <x:c r="G637" s="18" t="n">
        <x:v>140</x:v>
      </x:c>
      <x:c r="H637" s="19" t="n">
        <x:v>3.5</x:v>
      </x:c>
      <x:c r="I637" s="18" t="n">
        <x:f>ROUND(MIN(Model_Config_v3!$B$6,MAX(Q637,R637,S637*Model_Config_v3!$B$4+T637*Model_Config_v3!$B$5)),0)</x:f>
        <x:v>630</x:v>
      </x:c>
      <x:c r="J637" s="18" t="n">
        <x:f>MIN(Model_Config_v3!$B$6,I637+Model_Config_v3!$B$7)</x:f>
        <x:v>650</x:v>
      </x:c>
      <x:c r="K637" s="20" t="n">
        <x:v>45.7</x:v>
      </x:c>
      <x:c r="L637" t="str">
        <x:v>MENENGAH</x:v>
      </x:c>
      <x:c r="M637" t="str">
        <x:v>SEDANG+</x:v>
      </x:c>
      <x:c r="N637" t="str">
        <x:v>REGULER</x:v>
      </x:c>
      <x:c r="O637" t="str">
        <x:v>SAINTEK</x:v>
      </x:c>
      <x:c r="P637" t="str">
        <x:v>PENDIDIKAN</x:v>
      </x:c>
      <x:c r="Q637" s="18" t="n">
        <x:v>0</x:v>
      </x:c>
      <x:c r="R637" s="18" t="n">
        <x:v>0</x:v>
      </x:c>
      <x:c r="S637" s="18" t="n">
        <x:v>579.8474848785303</x:v>
      </x:c>
      <x:c r="T637" s="18" t="n">
        <x:v>651</x:v>
      </x:c>
      <x:c r="U637" s="18" t="n">
        <x:v>579.8474848785303</x:v>
      </x:c>
      <x:c r="V637" s="20" t="n">
        <x:v>12</x:v>
      </x:c>
      <x:c r="W637" s="20" t="n">
        <x:v>5</x:v>
      </x:c>
      <x:c r="X637" s="20" t="n">
        <x:v>3</x:v>
      </x:c>
      <x:c r="Y637" t="str">
        <x:v>Basis arsip 2025/2024</x:v>
      </x:c>
      <x:c r="Z637" t="str">
        <x:v>https://snpmb.id/utbk-snbt/daya-tampung-snbt</x:v>
      </x:c>
      <x:c r="AA637" t="str">
        <x:v>Tidak Ada</x:v>
      </x:c>
      <x:c r="AB637" t="str">
        <x:v>Campus=55; Ratio=32.0; Prodi=45; RelDemand=27.7; Capacity=66.7</x:v>
      </x:c>
    </x:row>
    <x:row r="638">
      <x:c r="A638" t="n">
        <x:v>635</x:v>
      </x:c>
      <x:c r="B638" t="str">
        <x:v>PTN Akademik</x:v>
      </x:c>
      <x:c r="C638" t="str">
        <x:v>UNIVERSITAS BENGKULU</x:v>
      </x:c>
      <x:c r="D638" t="str">
        <x:v>PENDIDIKAN KIMIA</x:v>
      </x:c>
      <x:c r="E638" t="str">
        <x:v>Sarjana</x:v>
      </x:c>
      <x:c r="F638" s="18" t="n">
        <x:v>44</x:v>
      </x:c>
      <x:c r="G638" s="18" t="n">
        <x:v>52</x:v>
      </x:c>
      <x:c r="H638" s="19" t="n">
        <x:v>1.1818181818181819</x:v>
      </x:c>
      <x:c r="I638" s="18" t="n">
        <x:f>ROUND(MIN(Model_Config_v3!$B$6,MAX(Q638,R638,S638*Model_Config_v3!$B$4+T638*Model_Config_v3!$B$5)),0)</x:f>
        <x:v>601</x:v>
      </x:c>
      <x:c r="J638" s="18" t="n">
        <x:f>MIN(Model_Config_v3!$B$6,I638+Model_Config_v3!$B$7)</x:f>
        <x:v>621</x:v>
      </x:c>
      <x:c r="K638" s="20" t="n">
        <x:v>36.6</x:v>
      </x:c>
      <x:c r="L638" t="str">
        <x:v>RELATIF LONGGAR</x:v>
      </x:c>
      <x:c r="M638" t="str">
        <x:v>SEDANG+</x:v>
      </x:c>
      <x:c r="N638" t="str">
        <x:v>REGULER</x:v>
      </x:c>
      <x:c r="O638" t="str">
        <x:v>SAINTEK</x:v>
      </x:c>
      <x:c r="P638" t="str">
        <x:v>PENDIDIKAN</x:v>
      </x:c>
      <x:c r="Q638" s="18" t="n">
        <x:v>0</x:v>
      </x:c>
      <x:c r="R638" s="18" t="n">
        <x:v>0</x:v>
      </x:c>
      <x:c r="S638" s="18" t="n">
        <x:v>527.9805733863473</x:v>
      </x:c>
      <x:c r="T638" s="18" t="n">
        <x:v>633</x:v>
      </x:c>
      <x:c r="U638" s="18" t="n">
        <x:v>527.9805733863473</x:v>
      </x:c>
      <x:c r="V638" s="20" t="n">
        <x:v>12</x:v>
      </x:c>
      <x:c r="W638" s="20" t="n">
        <x:v>5</x:v>
      </x:c>
      <x:c r="X638" s="20" t="n">
        <x:v>3</x:v>
      </x:c>
      <x:c r="Y638" t="str">
        <x:v>Basis arsip 2025/2024</x:v>
      </x:c>
      <x:c r="Z638" t="str">
        <x:v>https://snpmb.id/utbk-snbt/daya-tampung-snbt</x:v>
      </x:c>
      <x:c r="AA638" t="str">
        <x:v>Tidak Ada</x:v>
      </x:c>
      <x:c r="AB638" t="str">
        <x:v>Campus=55; Ratio=4.3; Prodi=45; RelDemand=9.4; Capacity=63.3</x:v>
      </x:c>
    </x:row>
    <x:row r="639">
      <x:c r="A639" t="n">
        <x:v>636</x:v>
      </x:c>
      <x:c r="B639" t="str">
        <x:v>PTN Akademik</x:v>
      </x:c>
      <x:c r="C639" t="str">
        <x:v>UNIVERSITAS BENGKULU</x:v>
      </x:c>
      <x:c r="D639" t="str">
        <x:v>PENDIDIKAN MATEMATIKA</x:v>
      </x:c>
      <x:c r="E639" t="str">
        <x:v>Sarjana</x:v>
      </x:c>
      <x:c r="F639" s="18" t="n">
        <x:v>50</x:v>
      </x:c>
      <x:c r="G639" s="18" t="n">
        <x:v>109</x:v>
      </x:c>
      <x:c r="H639" s="19" t="n">
        <x:v>2.18</x:v>
      </x:c>
      <x:c r="I639" s="18" t="n">
        <x:f>ROUND(MIN(Model_Config_v3!$B$6,MAX(Q639,R639,S639*Model_Config_v3!$B$4+T639*Model_Config_v3!$B$5)),0)</x:f>
        <x:v>617</x:v>
      </x:c>
      <x:c r="J639" s="18" t="n">
        <x:f>MIN(Model_Config_v3!$B$6,I639+Model_Config_v3!$B$7)</x:f>
        <x:v>637</x:v>
      </x:c>
      <x:c r="K639" s="20" t="n">
        <x:v>40.8</x:v>
      </x:c>
      <x:c r="L639" t="str">
        <x:v>RELATIF LONGGAR</x:v>
      </x:c>
      <x:c r="M639" t="str">
        <x:v>SEDANG+</x:v>
      </x:c>
      <x:c r="N639" t="str">
        <x:v>REGULER</x:v>
      </x:c>
      <x:c r="O639" t="str">
        <x:v>SAINTEK</x:v>
      </x:c>
      <x:c r="P639" t="str">
        <x:v>PENDIDIKAN</x:v>
      </x:c>
      <x:c r="Q639" s="18" t="n">
        <x:v>0</x:v>
      </x:c>
      <x:c r="R639" s="18" t="n">
        <x:v>0</x:v>
      </x:c>
      <x:c r="S639" s="18" t="n">
        <x:v>557.2302142965066</x:v>
      </x:c>
      <x:c r="T639" s="18" t="n">
        <x:v>642</x:v>
      </x:c>
      <x:c r="U639" s="18" t="n">
        <x:v>557.2302142965066</x:v>
      </x:c>
      <x:c r="V639" s="20" t="n">
        <x:v>12</x:v>
      </x:c>
      <x:c r="W639" s="20" t="n">
        <x:v>5</x:v>
      </x:c>
      <x:c r="X639" s="20" t="n">
        <x:v>3</x:v>
      </x:c>
      <x:c r="Y639" t="str">
        <x:v>Basis arsip 2025/2024</x:v>
      </x:c>
      <x:c r="Z639" t="str">
        <x:v>https://snpmb.id/utbk-snbt/daya-tampung-snbt</x:v>
      </x:c>
      <x:c r="AA639" t="str">
        <x:v>Tidak Ada</x:v>
      </x:c>
      <x:c r="AB639" t="str">
        <x:v>Campus=55; Ratio=19.9; Prodi=45; RelDemand=17.3; Capacity=58.3</x:v>
      </x:c>
    </x:row>
    <x:row r="640">
      <x:c r="A640" t="n">
        <x:v>637</x:v>
      </x:c>
      <x:c r="B640" t="str">
        <x:v>PTN Akademik</x:v>
      </x:c>
      <x:c r="C640" t="str">
        <x:v>UNIVERSITAS BENGKULU</x:v>
      </x:c>
      <x:c r="D640" t="str">
        <x:v>MATEMATIKA</x:v>
      </x:c>
      <x:c r="E640" t="str">
        <x:v>Sarjana</x:v>
      </x:c>
      <x:c r="F640" s="18" t="n">
        <x:v>40</x:v>
      </x:c>
      <x:c r="G640" s="18" t="n">
        <x:v>34</x:v>
      </x:c>
      <x:c r="H640" s="19" t="n">
        <x:v>0.85</x:v>
      </x:c>
      <x:c r="I640" s="18" t="n">
        <x:f>ROUND(MIN(Model_Config_v3!$B$6,MAX(Q640,R640,S640*Model_Config_v3!$B$4+T640*Model_Config_v3!$B$5)),0)</x:f>
        <x:v>599</x:v>
      </x:c>
      <x:c r="J640" s="18" t="n">
        <x:f>MIN(Model_Config_v3!$B$6,I640+Model_Config_v3!$B$7)</x:f>
        <x:v>619</x:v>
      </x:c>
      <x:c r="K640" s="20" t="n">
        <x:v>36.6</x:v>
      </x:c>
      <x:c r="L640" t="str">
        <x:v>RELATIF LONGGAR</x:v>
      </x:c>
      <x:c r="M640" t="str">
        <x:v>SEDANG+</x:v>
      </x:c>
      <x:c r="N640" t="str">
        <x:v>REGULER</x:v>
      </x:c>
      <x:c r="O640" t="str">
        <x:v>SAINTEK</x:v>
      </x:c>
      <x:c r="P640" t="str">
        <x:v>SAINS DASAR</x:v>
      </x:c>
      <x:c r="Q640" s="18" t="n">
        <x:v>0</x:v>
      </x:c>
      <x:c r="R640" s="18" t="n">
        <x:v>0</x:v>
      </x:c>
      <x:c r="S640" s="18" t="n">
        <x:v>520</x:v>
      </x:c>
      <x:c r="T640" s="18" t="n">
        <x:v>633</x:v>
      </x:c>
      <x:c r="U640" s="18" t="n">
        <x:v>520</x:v>
      </x:c>
      <x:c r="V640" s="20" t="n">
        <x:v>12</x:v>
      </x:c>
      <x:c r="W640" s="20" t="n">
        <x:v>5</x:v>
      </x:c>
      <x:c r="X640" s="20" t="n">
        <x:v>3</x:v>
      </x:c>
      <x:c r="Y640" t="str">
        <x:v>Basis arsip 2025/2024</x:v>
      </x:c>
      <x:c r="Z640" t="str">
        <x:v>https://snpmb.id/utbk-snbt/daya-tampung-snbt</x:v>
      </x:c>
      <x:c r="AA640" t="str">
        <x:v>Tidak Ada</x:v>
      </x:c>
      <x:c r="AB640" t="str">
        <x:v>Campus=55; Ratio=0.0; Prodi=50; RelDemand=6.7; Capacity=66.7</x:v>
      </x:c>
    </x:row>
    <x:row r="641">
      <x:c r="A641" t="n">
        <x:v>638</x:v>
      </x:c>
      <x:c r="B641" t="str">
        <x:v>PTN Akademik</x:v>
      </x:c>
      <x:c r="C641" t="str">
        <x:v>UNIVERSITAS BENGKULU</x:v>
      </x:c>
      <x:c r="D641" t="str">
        <x:v>FISIKA</x:v>
      </x:c>
      <x:c r="E641" t="str">
        <x:v>Sarjana</x:v>
      </x:c>
      <x:c r="F641" s="18" t="n">
        <x:v>40</x:v>
      </x:c>
      <x:c r="G641" s="18" t="n">
        <x:v>27</x:v>
      </x:c>
      <x:c r="H641" s="19" t="n">
        <x:v>0.675</x:v>
      </x:c>
      <x:c r="I641" s="18" t="n">
        <x:f>ROUND(MIN(Model_Config_v3!$B$6,MAX(Q641,R641,S641*Model_Config_v3!$B$4+T641*Model_Config_v3!$B$5)),0)</x:f>
        <x:v>599</x:v>
      </x:c>
      <x:c r="J641" s="18" t="n">
        <x:f>MIN(Model_Config_v3!$B$6,I641+Model_Config_v3!$B$7)</x:f>
        <x:v>619</x:v>
      </x:c>
      <x:c r="K641" s="20" t="n">
        <x:v>36.5</x:v>
      </x:c>
      <x:c r="L641" t="str">
        <x:v>RELATIF LONGGAR</x:v>
      </x:c>
      <x:c r="M641" t="str">
        <x:v>SEDANG+</x:v>
      </x:c>
      <x:c r="N641" t="str">
        <x:v>REGULER</x:v>
      </x:c>
      <x:c r="O641" t="str">
        <x:v>SAINTEK</x:v>
      </x:c>
      <x:c r="P641" t="str">
        <x:v>SAINS DASAR</x:v>
      </x:c>
      <x:c r="Q641" s="18" t="n">
        <x:v>0</x:v>
      </x:c>
      <x:c r="R641" s="18" t="n">
        <x:v>0</x:v>
      </x:c>
      <x:c r="S641" s="18" t="n">
        <x:v>520</x:v>
      </x:c>
      <x:c r="T641" s="18" t="n">
        <x:v>633</x:v>
      </x:c>
      <x:c r="U641" s="18" t="n">
        <x:v>520</x:v>
      </x:c>
      <x:c r="V641" s="20" t="n">
        <x:v>12</x:v>
      </x:c>
      <x:c r="W641" s="20" t="n">
        <x:v>5</x:v>
      </x:c>
      <x:c r="X641" s="20" t="n">
        <x:v>3</x:v>
      </x:c>
      <x:c r="Y641" t="str">
        <x:v>Basis arsip 2025/2024</x:v>
      </x:c>
      <x:c r="Z641" t="str">
        <x:v>https://snpmb.id/utbk-snbt/daya-tampung-snbt</x:v>
      </x:c>
      <x:c r="AA641" t="str">
        <x:v>Tidak Ada</x:v>
      </x:c>
      <x:c r="AB641" t="str">
        <x:v>Campus=55; Ratio=0.0; Prodi=50; RelDemand=5.3; Capacity=66.7</x:v>
      </x:c>
    </x:row>
    <x:row r="642">
      <x:c r="A642" t="n">
        <x:v>639</x:v>
      </x:c>
      <x:c r="B642" t="str">
        <x:v>PTN Akademik</x:v>
      </x:c>
      <x:c r="C642" t="str">
        <x:v>UNIVERSITAS BENGKULU</x:v>
      </x:c>
      <x:c r="D642" t="str">
        <x:v>BIOLOGI</x:v>
      </x:c>
      <x:c r="E642" t="str">
        <x:v>Sarjana</x:v>
      </x:c>
      <x:c r="F642" s="18" t="n">
        <x:v>40</x:v>
      </x:c>
      <x:c r="G642" s="18" t="n">
        <x:v>75</x:v>
      </x:c>
      <x:c r="H642" s="19" t="n">
        <x:v>1.875</x:v>
      </x:c>
      <x:c r="I642" s="18" t="n">
        <x:f>ROUND(MIN(Model_Config_v3!$B$6,MAX(Q642,R642,S642*Model_Config_v3!$B$4+T642*Model_Config_v3!$B$5)),0)</x:f>
        <x:v>615</x:v>
      </x:c>
      <x:c r="J642" s="18" t="n">
        <x:f>MIN(Model_Config_v3!$B$6,I642+Model_Config_v3!$B$7)</x:f>
        <x:v>635</x:v>
      </x:c>
      <x:c r="K642" s="20" t="n">
        <x:v>41.4</x:v>
      </x:c>
      <x:c r="L642" t="str">
        <x:v>RELATIF LONGGAR</x:v>
      </x:c>
      <x:c r="M642" t="str">
        <x:v>SEDANG+</x:v>
      </x:c>
      <x:c r="N642" t="str">
        <x:v>REGULER</x:v>
      </x:c>
      <x:c r="O642" t="str">
        <x:v>SAINTEK</x:v>
      </x:c>
      <x:c r="P642" t="str">
        <x:v>SAINS DASAR</x:v>
      </x:c>
      <x:c r="Q642" s="18" t="n">
        <x:v>0</x:v>
      </x:c>
      <x:c r="R642" s="18" t="n">
        <x:v>0</x:v>
      </x:c>
      <x:c r="S642" s="18" t="n">
        <x:v>550.0301399270111</x:v>
      </x:c>
      <x:c r="T642" s="18" t="n">
        <x:v>643</x:v>
      </x:c>
      <x:c r="U642" s="18" t="n">
        <x:v>550.0301399270111</x:v>
      </x:c>
      <x:c r="V642" s="20" t="n">
        <x:v>12</x:v>
      </x:c>
      <x:c r="W642" s="20" t="n">
        <x:v>5</x:v>
      </x:c>
      <x:c r="X642" s="20" t="n">
        <x:v>3</x:v>
      </x:c>
      <x:c r="Y642" t="str">
        <x:v>Basis arsip 2025/2024</x:v>
      </x:c>
      <x:c r="Z642" t="str">
        <x:v>https://snpmb.id/utbk-snbt/daya-tampung-snbt</x:v>
      </x:c>
      <x:c r="AA642" t="str">
        <x:v>Tidak Ada</x:v>
      </x:c>
      <x:c r="AB642" t="str">
        <x:v>Campus=55; Ratio=16.1; Prodi=50; RelDemand=14.8; Capacity=66.7</x:v>
      </x:c>
    </x:row>
    <x:row r="643">
      <x:c r="A643" t="n">
        <x:v>640</x:v>
      </x:c>
      <x:c r="B643" t="str">
        <x:v>PTN Akademik</x:v>
      </x:c>
      <x:c r="C643" t="str">
        <x:v>UNIVERSITAS BENGKULU</x:v>
      </x:c>
      <x:c r="D643" t="str">
        <x:v>KIMIA</x:v>
      </x:c>
      <x:c r="E643" t="str">
        <x:v>Sarjana</x:v>
      </x:c>
      <x:c r="F643" s="18" t="n">
        <x:v>40</x:v>
      </x:c>
      <x:c r="G643" s="18" t="n">
        <x:v>32</x:v>
      </x:c>
      <x:c r="H643" s="19" t="n">
        <x:v>0.8</x:v>
      </x:c>
      <x:c r="I643" s="18" t="n">
        <x:f>ROUND(MIN(Model_Config_v3!$B$6,MAX(Q643,R643,S643*Model_Config_v3!$B$4+T643*Model_Config_v3!$B$5)),0)</x:f>
        <x:v>599</x:v>
      </x:c>
      <x:c r="J643" s="18" t="n">
        <x:f>MIN(Model_Config_v3!$B$6,I643+Model_Config_v3!$B$7)</x:f>
        <x:v>619</x:v>
      </x:c>
      <x:c r="K643" s="20" t="n">
        <x:v>36.5</x:v>
      </x:c>
      <x:c r="L643" t="str">
        <x:v>RELATIF LONGGAR</x:v>
      </x:c>
      <x:c r="M643" t="str">
        <x:v>SEDANG+</x:v>
      </x:c>
      <x:c r="N643" t="str">
        <x:v>REGULER</x:v>
      </x:c>
      <x:c r="O643" t="str">
        <x:v>SAINTEK</x:v>
      </x:c>
      <x:c r="P643" t="str">
        <x:v>SAINS DASAR</x:v>
      </x:c>
      <x:c r="Q643" s="18" t="n">
        <x:v>0</x:v>
      </x:c>
      <x:c r="R643" s="18" t="n">
        <x:v>0</x:v>
      </x:c>
      <x:c r="S643" s="18" t="n">
        <x:v>520</x:v>
      </x:c>
      <x:c r="T643" s="18" t="n">
        <x:v>633</x:v>
      </x:c>
      <x:c r="U643" s="18" t="n">
        <x:v>520</x:v>
      </x:c>
      <x:c r="V643" s="20" t="n">
        <x:v>12</x:v>
      </x:c>
      <x:c r="W643" s="20" t="n">
        <x:v>5</x:v>
      </x:c>
      <x:c r="X643" s="20" t="n">
        <x:v>3</x:v>
      </x:c>
      <x:c r="Y643" t="str">
        <x:v>Basis arsip 2025/2024</x:v>
      </x:c>
      <x:c r="Z643" t="str">
        <x:v>https://snpmb.id/utbk-snbt/daya-tampung-snbt</x:v>
      </x:c>
      <x:c r="AA643" t="str">
        <x:v>Tidak Ada</x:v>
      </x:c>
      <x:c r="AB643" t="str">
        <x:v>Campus=55; Ratio=0.0; Prodi=50; RelDemand=6.3; Capacity=66.7</x:v>
      </x:c>
    </x:row>
    <x:row r="644">
      <x:c r="A644" t="n">
        <x:v>641</x:v>
      </x:c>
      <x:c r="B644" t="str">
        <x:v>PTN Akademik</x:v>
      </x:c>
      <x:c r="C644" t="str">
        <x:v>UNIVERSITAS BENGKULU</x:v>
      </x:c>
      <x:c r="D644" t="str">
        <x:v>INFORMATIKA</x:v>
      </x:c>
      <x:c r="E644" t="str">
        <x:v>Sarjana</x:v>
      </x:c>
      <x:c r="F644" s="18" t="n">
        <x:v>55</x:v>
      </x:c>
      <x:c r="G644" s="18" t="n">
        <x:v>659</x:v>
      </x:c>
      <x:c r="H644" s="19" t="n">
        <x:v>11.981818181818182</x:v>
      </x:c>
      <x:c r="I644" s="18" t="n">
        <x:f>ROUND(MIN(Model_Config_v3!$B$6,MAX(Q644,R644,S644*Model_Config_v3!$B$4+T644*Model_Config_v3!$B$5)),0)</x:f>
        <x:v>677</x:v>
      </x:c>
      <x:c r="J644" s="18" t="n">
        <x:f>MIN(Model_Config_v3!$B$6,I644+Model_Config_v3!$B$7)</x:f>
        <x:v>697</x:v>
      </x:c>
      <x:c r="K644" s="20" t="n">
        <x:v>67</x:v>
      </x:c>
      <x:c r="L644" t="str">
        <x:v>SANGAT KETAT</x:v>
      </x:c>
      <x:c r="M644" t="str">
        <x:v>SEDANG+</x:v>
      </x:c>
      <x:c r="N644" t="str">
        <x:v>REGULER</x:v>
      </x:c>
      <x:c r="O644" t="str">
        <x:v>SAINTEK</x:v>
      </x:c>
      <x:c r="P644" t="str">
        <x:v>KOMPUTER/INFORMATIKA</x:v>
      </x:c>
      <x:c r="Q644" s="18" t="n">
        <x:v>0</x:v>
      </x:c>
      <x:c r="R644" s="18" t="n">
        <x:v>0</x:v>
      </x:c>
      <x:c r="S644" s="18" t="n">
        <x:v>638.6374997609743</x:v>
      </x:c>
      <x:c r="T644" s="18" t="n">
        <x:v>694</x:v>
      </x:c>
      <x:c r="U644" s="18" t="n">
        <x:v>663.6374997609743</x:v>
      </x:c>
      <x:c r="V644" s="20" t="n">
        <x:v>12</x:v>
      </x:c>
      <x:c r="W644" s="20" t="n">
        <x:v>5</x:v>
      </x:c>
      <x:c r="X644" s="20" t="n">
        <x:v>3</x:v>
      </x:c>
      <x:c r="Y644" t="str">
        <x:v>Basis arsip 2025/2024</x:v>
      </x:c>
      <x:c r="Z644" t="str">
        <x:v>https://snpmb.id/utbk-snbt/daya-tampung-snbt</x:v>
      </x:c>
      <x:c r="AA644" t="str">
        <x:v>Tidak Ada</x:v>
      </x:c>
      <x:c r="AB644" t="str">
        <x:v>Campus=55; Ratio=63.5; Prodi=85; RelDemand=94.8; Capacity=54.2</x:v>
      </x:c>
    </x:row>
    <x:row r="645">
      <x:c r="A645" t="n">
        <x:v>642</x:v>
      </x:c>
      <x:c r="B645" t="str">
        <x:v>PTN Akademik</x:v>
      </x:c>
      <x:c r="C645" t="str">
        <x:v>UNIVERSITAS BENGKULU</x:v>
      </x:c>
      <x:c r="D645" t="str">
        <x:v>TEKNIK SIPIL</x:v>
      </x:c>
      <x:c r="E645" t="str">
        <x:v>Sarjana</x:v>
      </x:c>
      <x:c r="F645" s="18" t="n">
        <x:v>60</x:v>
      </x:c>
      <x:c r="G645" s="18" t="n">
        <x:v>319</x:v>
      </x:c>
      <x:c r="H645" s="19" t="n">
        <x:v>5.316666666666666</x:v>
      </x:c>
      <x:c r="I645" s="18" t="n">
        <x:f>ROUND(MIN(Model_Config_v3!$B$6,MAX(Q645,R645,S645*Model_Config_v3!$B$4+T645*Model_Config_v3!$B$5)),0)</x:f>
        <x:v>643</x:v>
      </x:c>
      <x:c r="J645" s="18" t="n">
        <x:f>MIN(Model_Config_v3!$B$6,I645+Model_Config_v3!$B$7)</x:f>
        <x:v>663</x:v>
      </x:c>
      <x:c r="K645" s="20" t="n">
        <x:v>51.1</x:v>
      </x:c>
      <x:c r="L645" t="str">
        <x:v>MENENGAH</x:v>
      </x:c>
      <x:c r="M645" t="str">
        <x:v>SEDANG+</x:v>
      </x:c>
      <x:c r="N645" t="str">
        <x:v>REGULER</x:v>
      </x:c>
      <x:c r="O645" t="str">
        <x:v>SAINTEK</x:v>
      </x:c>
      <x:c r="P645" t="str">
        <x:v>TEKNIK/ARSITEKTUR/STATISTIKA/AKTUARIA</x:v>
      </x:c>
      <x:c r="Q645" s="18" t="n">
        <x:v>0</x:v>
      </x:c>
      <x:c r="R645" s="18" t="n">
        <x:v>0</x:v>
      </x:c>
      <x:c r="S645" s="18" t="n">
        <x:v>599.8203375940891</x:v>
      </x:c>
      <x:c r="T645" s="18" t="n">
        <x:v>662</x:v>
      </x:c>
      <x:c r="U645" s="18" t="n">
        <x:v>609.8203375940891</x:v>
      </x:c>
      <x:c r="V645" s="20" t="n">
        <x:v>12</x:v>
      </x:c>
      <x:c r="W645" s="20" t="n">
        <x:v>5</x:v>
      </x:c>
      <x:c r="X645" s="20" t="n">
        <x:v>3</x:v>
      </x:c>
      <x:c r="Y645" t="str">
        <x:v>Basis arsip 2025/2024</x:v>
      </x:c>
      <x:c r="Z645" t="str">
        <x:v>https://snpmb.id/utbk-snbt/daya-tampung-snbt</x:v>
      </x:c>
      <x:c r="AA645" t="str">
        <x:v>Tidak Ada</x:v>
      </x:c>
      <x:c r="AB645" t="str">
        <x:v>Campus=55; Ratio=42.7; Prodi=60; RelDemand=42.1; Capacity=50.0</x:v>
      </x:c>
    </x:row>
    <x:row r="646">
      <x:c r="A646" t="n">
        <x:v>643</x:v>
      </x:c>
      <x:c r="B646" t="str">
        <x:v>PTN Akademik</x:v>
      </x:c>
      <x:c r="C646" t="str">
        <x:v>UNIVERSITAS BENGKULU</x:v>
      </x:c>
      <x:c r="D646" t="str">
        <x:v>TEKNIK MESIN</x:v>
      </x:c>
      <x:c r="E646" t="str">
        <x:v>Sarjana</x:v>
      </x:c>
      <x:c r="F646" s="18" t="n">
        <x:v>50</x:v>
      </x:c>
      <x:c r="G646" s="18" t="n">
        <x:v>143</x:v>
      </x:c>
      <x:c r="H646" s="19" t="n">
        <x:v>2.86</x:v>
      </x:c>
      <x:c r="I646" s="18" t="n">
        <x:f>ROUND(MIN(Model_Config_v3!$B$6,MAX(Q646,R646,S646*Model_Config_v3!$B$4+T646*Model_Config_v3!$B$5)),0)</x:f>
        <x:v>627</x:v>
      </x:c>
      <x:c r="J646" s="18" t="n">
        <x:f>MIN(Model_Config_v3!$B$6,I646+Model_Config_v3!$B$7)</x:f>
        <x:v>647</x:v>
      </x:c>
      <x:c r="K646" s="20" t="n">
        <x:v>46.1</x:v>
      </x:c>
      <x:c r="L646" t="str">
        <x:v>MENENGAH</x:v>
      </x:c>
      <x:c r="M646" t="str">
        <x:v>SEDANG+</x:v>
      </x:c>
      <x:c r="N646" t="str">
        <x:v>REGULER</x:v>
      </x:c>
      <x:c r="O646" t="str">
        <x:v>SAINTEK</x:v>
      </x:c>
      <x:c r="P646" t="str">
        <x:v>TEKNIK/ARSITEKTUR/STATISTIKA/AKTUARIA</x:v>
      </x:c>
      <x:c r="Q646" s="18" t="n">
        <x:v>0</x:v>
      </x:c>
      <x:c r="R646" s="18" t="n">
        <x:v>0</x:v>
      </x:c>
      <x:c r="S646" s="18" t="n">
        <x:v>570.2002636441947</x:v>
      </x:c>
      <x:c r="T646" s="18" t="n">
        <x:v>652</x:v>
      </x:c>
      <x:c r="U646" s="18" t="n">
        <x:v>580.2002636441947</x:v>
      </x:c>
      <x:c r="V646" s="20" t="n">
        <x:v>12</x:v>
      </x:c>
      <x:c r="W646" s="20" t="n">
        <x:v>5</x:v>
      </x:c>
      <x:c r="X646" s="20" t="n">
        <x:v>3</x:v>
      </x:c>
      <x:c r="Y646" t="str">
        <x:v>Basis arsip 2025/2024</x:v>
      </x:c>
      <x:c r="Z646" t="str">
        <x:v>https://snpmb.id/utbk-snbt/daya-tampung-snbt</x:v>
      </x:c>
      <x:c r="AA646" t="str">
        <x:v>Tidak Ada</x:v>
      </x:c>
      <x:c r="AB646" t="str">
        <x:v>Campus=55; Ratio=26.9; Prodi=60; RelDemand=22.6; Capacity=58.3</x:v>
      </x:c>
    </x:row>
    <x:row r="647">
      <x:c r="A647" t="n">
        <x:v>644</x:v>
      </x:c>
      <x:c r="B647" t="str">
        <x:v>PTN Akademik</x:v>
      </x:c>
      <x:c r="C647" t="str">
        <x:v>UNIVERSITAS BENGKULU</x:v>
      </x:c>
      <x:c r="D647" t="str">
        <x:v>TEKNIK ELEKTRO</x:v>
      </x:c>
      <x:c r="E647" t="str">
        <x:v>Sarjana</x:v>
      </x:c>
      <x:c r="F647" s="18" t="n">
        <x:v>50</x:v>
      </x:c>
      <x:c r="G647" s="18" t="n">
        <x:v>108</x:v>
      </x:c>
      <x:c r="H647" s="19" t="n">
        <x:v>2.16</x:v>
      </x:c>
      <x:c r="I647" s="18" t="n">
        <x:f>ROUND(MIN(Model_Config_v3!$B$6,MAX(Q647,R647,S647*Model_Config_v3!$B$4+T647*Model_Config_v3!$B$5)),0)</x:f>
        <x:v>620</x:v>
      </x:c>
      <x:c r="J647" s="18" t="n">
        <x:f>MIN(Model_Config_v3!$B$6,I647+Model_Config_v3!$B$7)</x:f>
        <x:v>640</x:v>
      </x:c>
      <x:c r="K647" s="20" t="n">
        <x:v>43.7</x:v>
      </x:c>
      <x:c r="L647" t="str">
        <x:v>RELATIF LONGGAR</x:v>
      </x:c>
      <x:c r="M647" t="str">
        <x:v>SEDANG+</x:v>
      </x:c>
      <x:c r="N647" t="str">
        <x:v>REGULER</x:v>
      </x:c>
      <x:c r="O647" t="str">
        <x:v>SAINTEK</x:v>
      </x:c>
      <x:c r="P647" t="str">
        <x:v>TEKNIK/ARSITEKTUR/STATISTIKA/AKTUARIA</x:v>
      </x:c>
      <x:c r="Q647" s="18" t="n">
        <x:v>0</x:v>
      </x:c>
      <x:c r="R647" s="18" t="n">
        <x:v>0</x:v>
      </x:c>
      <x:c r="S647" s="18" t="n">
        <x:v>556.7899126266024</x:v>
      </x:c>
      <x:c r="T647" s="18" t="n">
        <x:v>647</x:v>
      </x:c>
      <x:c r="U647" s="18" t="n">
        <x:v>566.7899126266024</x:v>
      </x:c>
      <x:c r="V647" s="20" t="n">
        <x:v>12</x:v>
      </x:c>
      <x:c r="W647" s="20" t="n">
        <x:v>5</x:v>
      </x:c>
      <x:c r="X647" s="20" t="n">
        <x:v>3</x:v>
      </x:c>
      <x:c r="Y647" t="str">
        <x:v>Basis arsip 2025/2024</x:v>
      </x:c>
      <x:c r="Z647" t="str">
        <x:v>https://snpmb.id/utbk-snbt/daya-tampung-snbt</x:v>
      </x:c>
      <x:c r="AA647" t="str">
        <x:v>Tidak Ada</x:v>
      </x:c>
      <x:c r="AB647" t="str">
        <x:v>Campus=55; Ratio=19.7; Prodi=60; RelDemand=17.1; Capacity=58.3</x:v>
      </x:c>
    </x:row>
    <x:row r="648">
      <x:c r="A648" t="n">
        <x:v>645</x:v>
      </x:c>
      <x:c r="B648" t="str">
        <x:v>PTN Akademik</x:v>
      </x:c>
      <x:c r="C648" t="str">
        <x:v>UNIVERSITAS BENGKULU</x:v>
      </x:c>
      <x:c r="D648" t="str">
        <x:v>ILMU KELAUTAN</x:v>
      </x:c>
      <x:c r="E648" t="str">
        <x:v>Sarjana</x:v>
      </x:c>
      <x:c r="F648" s="18" t="n">
        <x:v>40</x:v>
      </x:c>
      <x:c r="G648" s="18" t="n">
        <x:v>71</x:v>
      </x:c>
      <x:c r="H648" s="19" t="n">
        <x:v>1.775</x:v>
      </x:c>
      <x:c r="I648" s="18" t="n">
        <x:f>ROUND(MIN(Model_Config_v3!$B$6,MAX(Q648,R648,S648*Model_Config_v3!$B$4+T648*Model_Config_v3!$B$5)),0)</x:f>
        <x:v>611</x:v>
      </x:c>
      <x:c r="J648" s="18" t="n">
        <x:f>MIN(Model_Config_v3!$B$6,I648+Model_Config_v3!$B$7)</x:f>
        <x:v>631</x:v>
      </x:c>
      <x:c r="K648" s="20" t="n">
        <x:v>39</x:v>
      </x:c>
      <x:c r="L648" t="str">
        <x:v>RELATIF LONGGAR</x:v>
      </x:c>
      <x:c r="M648" t="str">
        <x:v>SEDANG</x:v>
      </x:c>
      <x:c r="N648" t="str">
        <x:v>REGULER</x:v>
      </x:c>
      <x:c r="O648" t="str">
        <x:v>SAINTEK</x:v>
      </x:c>
      <x:c r="P648" t="str">
        <x:v>UMUM</x:v>
      </x:c>
      <x:c r="Q648" s="18" t="n">
        <x:v>0</x:v>
      </x:c>
      <x:c r="R648" s="18" t="n">
        <x:v>0</x:v>
      </x:c>
      <x:c r="S648" s="18" t="n">
        <x:v>547.4118193130224</x:v>
      </x:c>
      <x:c r="T648" s="18" t="n">
        <x:v>638</x:v>
      </x:c>
      <x:c r="U648" s="18" t="n">
        <x:v>547.4118193130224</x:v>
      </x:c>
      <x:c r="V648" s="20" t="n">
        <x:v>12</x:v>
      </x:c>
      <x:c r="W648" s="20" t="n">
        <x:v>5</x:v>
      </x:c>
      <x:c r="X648" s="20" t="n">
        <x:v>3</x:v>
      </x:c>
      <x:c r="Y648" t="str">
        <x:v>Basis arsip 2025/2024</x:v>
      </x:c>
      <x:c r="Z648" t="str">
        <x:v>https://snpmb.id/utbk-snbt/daya-tampung-snbt</x:v>
      </x:c>
      <x:c r="AA648" t="str">
        <x:v>Tidak Ada</x:v>
      </x:c>
      <x:c r="AB648" t="str">
        <x:v>Campus=55; Ratio=14.7; Prodi=40; RelDemand=14.0; Capacity=66.7</x:v>
      </x:c>
    </x:row>
    <x:row r="649">
      <x:c r="A649" t="n">
        <x:v>646</x:v>
      </x:c>
      <x:c r="B649" t="str">
        <x:v>PTN Akademik</x:v>
      </x:c>
      <x:c r="C649" t="str">
        <x:v>UNIVERSITAS BENGKULU</x:v>
      </x:c>
      <x:c r="D649" t="str">
        <x:v>KEDOKTERAN</x:v>
      </x:c>
      <x:c r="E649" t="str">
        <x:v>Sarjana</x:v>
      </x:c>
      <x:c r="F649" s="18" t="n">
        <x:v>48</x:v>
      </x:c>
      <x:c r="G649" s="18" t="n">
        <x:v>719</x:v>
      </x:c>
      <x:c r="H649" s="19" t="n">
        <x:v>14.979166666666666</x:v>
      </x:c>
      <x:c r="I649" s="18" t="n">
        <x:f>ROUND(MIN(Model_Config_v3!$B$6,MAX(Q649,R649,S649*Model_Config_v3!$B$4+T649*Model_Config_v3!$B$5)),0)</x:f>
        <x:v>688</x:v>
      </x:c>
      <x:c r="J649" s="18" t="n">
        <x:f>MIN(Model_Config_v3!$B$6,I649+Model_Config_v3!$B$7)</x:f>
        <x:v>708</x:v>
      </x:c>
      <x:c r="K649" s="20" t="n">
        <x:v>72.5</x:v>
      </x:c>
      <x:c r="L649" t="str">
        <x:v>SANGAT KETAT</x:v>
      </x:c>
      <x:c r="M649" t="str">
        <x:v>SEDANG+</x:v>
      </x:c>
      <x:c r="N649" t="str">
        <x:v>REGULER</x:v>
      </x:c>
      <x:c r="O649" t="str">
        <x:v>SAINTEK</x:v>
      </x:c>
      <x:c r="P649" t="str">
        <x:v>KEDOKTERAN</x:v>
      </x:c>
      <x:c r="Q649" s="18" t="n">
        <x:v>0</x:v>
      </x:c>
      <x:c r="R649" s="18" t="n">
        <x:v>680</x:v>
      </x:c>
      <x:c r="S649" s="18" t="n">
        <x:v>649.3036418308025</x:v>
      </x:c>
      <x:c r="T649" s="18" t="n">
        <x:v>705</x:v>
      </x:c>
      <x:c r="U649" s="18" t="n">
        <x:v>689.3036418308025</x:v>
      </x:c>
      <x:c r="V649" s="20" t="n">
        <x:v>12</x:v>
      </x:c>
      <x:c r="W649" s="20" t="n">
        <x:v>5</x:v>
      </x:c>
      <x:c r="X649" s="20" t="n">
        <x:v>3</x:v>
      </x:c>
      <x:c r="Y649" t="str">
        <x:v>Basis arsip 2025/2024</x:v>
      </x:c>
      <x:c r="Z649" t="str">
        <x:v>https://snpmb.id/utbk-snbt/daya-tampung-snbt</x:v>
      </x:c>
      <x:c r="AA649" t="str">
        <x:v>Tidak Ada</x:v>
      </x:c>
      <x:c r="AB649" t="str">
        <x:v>Campus=55; Ratio=69.2; Prodi=100; RelDemand=100.0; Capacity=60.0</x:v>
      </x:c>
    </x:row>
    <x:row r="650">
      <x:c r="A650" t="n">
        <x:v>647</x:v>
      </x:c>
      <x:c r="B650" t="str">
        <x:v>PTN Akademik</x:v>
      </x:c>
      <x:c r="C650" t="str">
        <x:v>UNIVERSITAS BENGKULU</x:v>
      </x:c>
      <x:c r="D650" t="str">
        <x:v>ILMU TANAH</x:v>
      </x:c>
      <x:c r="E650" t="str">
        <x:v>Sarjana</x:v>
      </x:c>
      <x:c r="F650" s="18" t="n">
        <x:v>20</x:v>
      </x:c>
      <x:c r="G650" s="18" t="n">
        <x:v>37</x:v>
      </x:c>
      <x:c r="H650" s="19" t="n">
        <x:v>1.85</x:v>
      </x:c>
      <x:c r="I650" s="18" t="n">
        <x:f>ROUND(MIN(Model_Config_v3!$B$6,MAX(Q650,R650,S650*Model_Config_v3!$B$4+T650*Model_Config_v3!$B$5)),0)</x:f>
        <x:v>614</x:v>
      </x:c>
      <x:c r="J650" s="18" t="n">
        <x:f>MIN(Model_Config_v3!$B$6,I650+Model_Config_v3!$B$7)</x:f>
        <x:v>634</x:v>
      </x:c>
      <x:c r="K650" s="20" t="n">
        <x:v>41</x:v>
      </x:c>
      <x:c r="L650" t="str">
        <x:v>RELATIF LONGGAR</x:v>
      </x:c>
      <x:c r="M650" t="str">
        <x:v>SEDANG</x:v>
      </x:c>
      <x:c r="N650" t="str">
        <x:v>REGULER</x:v>
      </x:c>
      <x:c r="O650" t="str">
        <x:v>CAMPURAN</x:v>
      </x:c>
      <x:c r="P650" t="str">
        <x:v>UMUM</x:v>
      </x:c>
      <x:c r="Q650" s="18" t="n">
        <x:v>0</x:v>
      </x:c>
      <x:c r="R650" s="18" t="n">
        <x:v>0</x:v>
      </x:c>
      <x:c r="S650" s="18" t="n">
        <x:v>549.3888901243315</x:v>
      </x:c>
      <x:c r="T650" s="18" t="n">
        <x:v>642</x:v>
      </x:c>
      <x:c r="U650" s="18" t="n">
        <x:v>549.3888901243315</x:v>
      </x:c>
      <x:c r="V650" s="20" t="n">
        <x:v>8.8</x:v>
      </x:c>
      <x:c r="W650" s="20" t="n">
        <x:v>9.9</x:v>
      </x:c>
      <x:c r="X650" s="20" t="n">
        <x:v>3.3</x:v>
      </x:c>
      <x:c r="Y650" t="str">
        <x:v>Basis arsip 2025/2024</x:v>
      </x:c>
      <x:c r="Z650" t="str">
        <x:v>https://snpmb.id/utbk-snbt/daya-tampung-snbt</x:v>
      </x:c>
      <x:c r="AA650" t="str">
        <x:v>Tidak Ada</x:v>
      </x:c>
      <x:c r="AB650" t="str">
        <x:v>Campus=55; Ratio=15.7; Prodi=40; RelDemand=14.6; Capacity=83.3</x:v>
      </x:c>
    </x:row>
    <x:row r="651">
      <x:c r="A651" t="n">
        <x:v>648</x:v>
      </x:c>
      <x:c r="B651" t="str">
        <x:v>PTN Akademik</x:v>
      </x:c>
      <x:c r="C651" t="str">
        <x:v>UNIVERSITAS BENGKULU</x:v>
      </x:c>
      <x:c r="D651" t="str">
        <x:v>STATISTIKA</x:v>
      </x:c>
      <x:c r="E651" t="str">
        <x:v>Sarjana</x:v>
      </x:c>
      <x:c r="F651" s="18" t="n">
        <x:v>40</x:v>
      </x:c>
      <x:c r="G651" s="18" t="n">
        <x:v>76</x:v>
      </x:c>
      <x:c r="H651" s="19" t="n">
        <x:v>1.9</x:v>
      </x:c>
      <x:c r="I651" s="18" t="n">
        <x:f>ROUND(MIN(Model_Config_v3!$B$6,MAX(Q651,R651,S651*Model_Config_v3!$B$4+T651*Model_Config_v3!$B$5)),0)</x:f>
        <x:v>618</x:v>
      </x:c>
      <x:c r="J651" s="18" t="n">
        <x:f>MIN(Model_Config_v3!$B$6,I651+Model_Config_v3!$B$7)</x:f>
        <x:v>638</x:v>
      </x:c>
      <x:c r="K651" s="20" t="n">
        <x:v>43.5</x:v>
      </x:c>
      <x:c r="L651" t="str">
        <x:v>RELATIF LONGGAR</x:v>
      </x:c>
      <x:c r="M651" t="str">
        <x:v>SEDANG+</x:v>
      </x:c>
      <x:c r="N651" t="str">
        <x:v>REGULER</x:v>
      </x:c>
      <x:c r="O651" t="str">
        <x:v>SAINTEK</x:v>
      </x:c>
      <x:c r="P651" t="str">
        <x:v>TEKNIK/ARSITEKTUR/STATISTIKA/AKTUARIA</x:v>
      </x:c>
      <x:c r="Q651" s="18" t="n">
        <x:v>0</x:v>
      </x:c>
      <x:c r="R651" s="18" t="n">
        <x:v>0</x:v>
      </x:c>
      <x:c r="S651" s="18" t="n">
        <x:v>550.6628961048111</x:v>
      </x:c>
      <x:c r="T651" s="18" t="n">
        <x:v>647</x:v>
      </x:c>
      <x:c r="U651" s="18" t="n">
        <x:v>560.6628961048111</x:v>
      </x:c>
      <x:c r="V651" s="20" t="n">
        <x:v>12</x:v>
      </x:c>
      <x:c r="W651" s="20" t="n">
        <x:v>5</x:v>
      </x:c>
      <x:c r="X651" s="20" t="n">
        <x:v>3</x:v>
      </x:c>
      <x:c r="Y651" t="str">
        <x:v>Basis arsip 2025/2024</x:v>
      </x:c>
      <x:c r="Z651" t="str">
        <x:v>https://snpmb.id/utbk-snbt/daya-tampung-snbt</x:v>
      </x:c>
      <x:c r="AA651" t="str">
        <x:v>Tidak Ada</x:v>
      </x:c>
      <x:c r="AB651" t="str">
        <x:v>Campus=55; Ratio=16.4; Prodi=60; RelDemand=15.0; Capacity=66.7</x:v>
      </x:c>
    </x:row>
    <x:row r="652">
      <x:c r="A652" t="n">
        <x:v>649</x:v>
      </x:c>
      <x:c r="B652" t="str">
        <x:v>PTN Akademik</x:v>
      </x:c>
      <x:c r="C652" t="str">
        <x:v>UNIVERSITAS BENGKULU</x:v>
      </x:c>
      <x:c r="D652" t="str">
        <x:v>ARSITEKTUR</x:v>
      </x:c>
      <x:c r="E652" t="str">
        <x:v>Sarjana</x:v>
      </x:c>
      <x:c r="F652" s="18" t="n">
        <x:v>20</x:v>
      </x:c>
      <x:c r="G652" s="18" t="n">
        <x:v>90</x:v>
      </x:c>
      <x:c r="H652" s="19" t="n">
        <x:v>4.5</x:v>
      </x:c>
      <x:c r="I652" s="18" t="n">
        <x:f>ROUND(MIN(Model_Config_v3!$B$6,MAX(Q652,R652,S652*Model_Config_v3!$B$4+T652*Model_Config_v3!$B$5)),0)</x:f>
        <x:v>644</x:v>
      </x:c>
      <x:c r="J652" s="18" t="n">
        <x:f>MIN(Model_Config_v3!$B$6,I652+Model_Config_v3!$B$7)</x:f>
        <x:v>664</x:v>
      </x:c>
      <x:c r="K652" s="20" t="n">
        <x:v>52.8</x:v>
      </x:c>
      <x:c r="L652" t="str">
        <x:v>MENENGAH</x:v>
      </x:c>
      <x:c r="M652" t="str">
        <x:v>SEDANG+</x:v>
      </x:c>
      <x:c r="N652" t="str">
        <x:v>REGULER</x:v>
      </x:c>
      <x:c r="O652" t="str">
        <x:v>SAINTEK</x:v>
      </x:c>
      <x:c r="P652" t="str">
        <x:v>TEKNIK/ARSITEKTUR/STATISTIKA/AKTUARIA</x:v>
      </x:c>
      <x:c r="Q652" s="18" t="n">
        <x:v>0</x:v>
      </x:c>
      <x:c r="R652" s="18" t="n">
        <x:v>0</x:v>
      </x:c>
      <x:c r="S652" s="18" t="n">
        <x:v>591.8533765152878</x:v>
      </x:c>
      <x:c r="T652" s="18" t="n">
        <x:v>666</x:v>
      </x:c>
      <x:c r="U652" s="18" t="n">
        <x:v>591.8533765152878</x:v>
      </x:c>
      <x:c r="V652" s="20" t="n">
        <x:v>12</x:v>
      </x:c>
      <x:c r="W652" s="20" t="n">
        <x:v>5</x:v>
      </x:c>
      <x:c r="X652" s="20" t="n">
        <x:v>3</x:v>
      </x:c>
      <x:c r="Y652" t="str">
        <x:v>Basis arsip 2025/2024</x:v>
      </x:c>
      <x:c r="Z652" t="str">
        <x:v>https://snpmb.id/utbk-snbt/daya-tampung-snbt</x:v>
      </x:c>
      <x:c r="AA652" t="str">
        <x:v>Tidak Ada</x:v>
      </x:c>
      <x:c r="AB652" t="str">
        <x:v>Campus=55; Ratio=38.4; Prodi=60; RelDemand=35.6; Capacity=83.3</x:v>
      </x:c>
    </x:row>
    <x:row r="653">
      <x:c r="A653" t="n">
        <x:v>650</x:v>
      </x:c>
      <x:c r="B653" t="str">
        <x:v>PTN Akademik</x:v>
      </x:c>
      <x:c r="C653" t="str">
        <x:v>UNIVERSITAS BENGKULU</x:v>
      </x:c>
      <x:c r="D653" t="str">
        <x:v>SISTEM INFORMASI</x:v>
      </x:c>
      <x:c r="E653" t="str">
        <x:v>Sarjana</x:v>
      </x:c>
      <x:c r="F653" s="18" t="n">
        <x:v>40</x:v>
      </x:c>
      <x:c r="G653" s="18" t="n">
        <x:v>313</x:v>
      </x:c>
      <x:c r="H653" s="19" t="n">
        <x:v>7.825</x:v>
      </x:c>
      <x:c r="I653" s="18" t="n">
        <x:f>ROUND(MIN(Model_Config_v3!$B$6,MAX(Q653,R653,S653*Model_Config_v3!$B$4+T653*Model_Config_v3!$B$5)),0)</x:f>
        <x:v>665</x:v>
      </x:c>
      <x:c r="J653" s="18" t="n">
        <x:f>MIN(Model_Config_v3!$B$6,I653+Model_Config_v3!$B$7)</x:f>
        <x:v>685</x:v>
      </x:c>
      <x:c r="K653" s="20" t="n">
        <x:v>62.3</x:v>
      </x:c>
      <x:c r="L653" t="str">
        <x:v>KETAT</x:v>
      </x:c>
      <x:c r="M653" t="str">
        <x:v>SEDANG+</x:v>
      </x:c>
      <x:c r="N653" t="str">
        <x:v>REGULER</x:v>
      </x:c>
      <x:c r="O653" t="str">
        <x:v>CAMPURAN</x:v>
      </x:c>
      <x:c r="P653" t="str">
        <x:v>KOMPUTER/INFORMATIKA</x:v>
      </x:c>
      <x:c r="Q653" s="18" t="n">
        <x:v>0</x:v>
      </x:c>
      <x:c r="R653" s="18" t="n">
        <x:v>0</x:v>
      </x:c>
      <x:c r="S653" s="18" t="n">
        <x:v>618.2832780840334</x:v>
      </x:c>
      <x:c r="T653" s="18" t="n">
        <x:v>685</x:v>
      </x:c>
      <x:c r="U653" s="18" t="n">
        <x:v>643.2832780840334</x:v>
      </x:c>
      <x:c r="V653" s="20" t="n">
        <x:v>8.8</x:v>
      </x:c>
      <x:c r="W653" s="20" t="n">
        <x:v>9.9</x:v>
      </x:c>
      <x:c r="X653" s="20" t="n">
        <x:v>3.3</x:v>
      </x:c>
      <x:c r="Y653" t="str">
        <x:v>Basis arsip 2025/2024</x:v>
      </x:c>
      <x:c r="Z653" t="str">
        <x:v>https://snpmb.id/utbk-snbt/daya-tampung-snbt</x:v>
      </x:c>
      <x:c r="AA653" t="str">
        <x:v>Tidak Ada</x:v>
      </x:c>
      <x:c r="AB653" t="str">
        <x:v>Campus=55; Ratio=52.6; Prodi=85; RelDemand=61.9; Capacity=66.7</x:v>
      </x:c>
    </x:row>
    <x:row r="654">
      <x:c r="A654" t="n">
        <x:v>651</x:v>
      </x:c>
      <x:c r="B654" t="str">
        <x:v>PTN Akademik</x:v>
      </x:c>
      <x:c r="C654" t="str">
        <x:v>UNIVERSITAS BENGKULU</x:v>
      </x:c>
      <x:c r="D654" t="str">
        <x:v>PROTEKSI TANAMAN</x:v>
      </x:c>
      <x:c r="E654" t="str">
        <x:v>Sarjana</x:v>
      </x:c>
      <x:c r="F654" s="18" t="n">
        <x:v>25</x:v>
      </x:c>
      <x:c r="G654" s="18" t="n">
        <x:v>39</x:v>
      </x:c>
      <x:c r="H654" s="19" t="n">
        <x:v>1.56</x:v>
      </x:c>
      <x:c r="I654" s="18" t="n">
        <x:f>ROUND(MIN(Model_Config_v3!$B$6,MAX(Q654,R654,S654*Model_Config_v3!$B$4+T654*Model_Config_v3!$B$5)),0)</x:f>
        <x:v>609</x:v>
      </x:c>
      <x:c r="J654" s="18" t="n">
        <x:f>MIN(Model_Config_v3!$B$6,I654+Model_Config_v3!$B$7)</x:f>
        <x:v>629</x:v>
      </x:c>
      <x:c r="K654" s="20" t="n">
        <x:v>39.2</x:v>
      </x:c>
      <x:c r="L654" t="str">
        <x:v>RELATIF LONGGAR</x:v>
      </x:c>
      <x:c r="M654" t="str">
        <x:v>SEDANG</x:v>
      </x:c>
      <x:c r="N654" t="str">
        <x:v>REGULER</x:v>
      </x:c>
      <x:c r="O654" t="str">
        <x:v>CAMPURAN</x:v>
      </x:c>
      <x:c r="P654" t="str">
        <x:v>UMUM</x:v>
      </x:c>
      <x:c r="Q654" s="18" t="n">
        <x:v>0</x:v>
      </x:c>
      <x:c r="R654" s="18" t="n">
        <x:v>0</x:v>
      </x:c>
      <x:c r="S654" s="18" t="n">
        <x:v>541.2437058189907</x:v>
      </x:c>
      <x:c r="T654" s="18" t="n">
        <x:v>638</x:v>
      </x:c>
      <x:c r="U654" s="18" t="n">
        <x:v>541.2437058189907</x:v>
      </x:c>
      <x:c r="V654" s="20" t="n">
        <x:v>8.8</x:v>
      </x:c>
      <x:c r="W654" s="20" t="n">
        <x:v>9.9</x:v>
      </x:c>
      <x:c r="X654" s="20" t="n">
        <x:v>3.3</x:v>
      </x:c>
      <x:c r="Y654" t="str">
        <x:v>Basis arsip 2025/2024</x:v>
      </x:c>
      <x:c r="Z654" t="str">
        <x:v>https://snpmb.id/utbk-snbt/daya-tampung-snbt</x:v>
      </x:c>
      <x:c r="AA654" t="str">
        <x:v>Tidak Ada</x:v>
      </x:c>
      <x:c r="AB654" t="str">
        <x:v>Campus=55; Ratio=11.4; Prodi=40; RelDemand=12.3; Capacity=79.2</x:v>
      </x:c>
    </x:row>
    <x:row r="655">
      <x:c r="A655" t="n">
        <x:v>652</x:v>
      </x:c>
      <x:c r="B655" t="str">
        <x:v>PTN Akademik</x:v>
      </x:c>
      <x:c r="C655" t="str">
        <x:v>UNIVERSITAS BENGKULU</x:v>
      </x:c>
      <x:c r="D655" t="str">
        <x:v>FARMASI</x:v>
      </x:c>
      <x:c r="E655" t="str">
        <x:v>Sarjana</x:v>
      </x:c>
      <x:c r="F655" s="18" t="n">
        <x:v>40</x:v>
      </x:c>
      <x:c r="G655" s="18" t="n">
        <x:v>755</x:v>
      </x:c>
      <x:c r="H655" s="19" t="n">
        <x:v>18.875</x:v>
      </x:c>
      <x:c r="I655" s="18" t="n">
        <x:f>ROUND(MIN(Model_Config_v3!$B$6,MAX(Q655,R655,S655*Model_Config_v3!$B$4+T655*Model_Config_v3!$B$5)),0)</x:f>
        <x:v>687</x:v>
      </x:c>
      <x:c r="J655" s="18" t="n">
        <x:f>MIN(Model_Config_v3!$B$6,I655+Model_Config_v3!$B$7)</x:f>
        <x:v>707</x:v>
      </x:c>
      <x:c r="K655" s="20" t="n">
        <x:v>69.7</x:v>
      </x:c>
      <x:c r="L655" t="str">
        <x:v>SANGAT KETAT</x:v>
      </x:c>
      <x:c r="M655" t="str">
        <x:v>SEDANG+</x:v>
      </x:c>
      <x:c r="N655" t="str">
        <x:v>REGULER</x:v>
      </x:c>
      <x:c r="O655" t="str">
        <x:v>SAINTEK</x:v>
      </x:c>
      <x:c r="P655" t="str">
        <x:v>FARMASI</x:v>
      </x:c>
      <x:c r="Q655" s="18" t="n">
        <x:v>0</x:v>
      </x:c>
      <x:c r="R655" s="18" t="n">
        <x:v>0</x:v>
      </x:c>
      <x:c r="S655" s="18" t="n">
        <x:v>660.3475656331348</x:v>
      </x:c>
      <x:c r="T655" s="18" t="n">
        <x:v>699</x:v>
      </x:c>
      <x:c r="U655" s="18" t="n">
        <x:v>680.3475656331348</x:v>
      </x:c>
      <x:c r="V655" s="20" t="n">
        <x:v>12</x:v>
      </x:c>
      <x:c r="W655" s="20" t="n">
        <x:v>5</x:v>
      </x:c>
      <x:c r="X655" s="20" t="n">
        <x:v>3</x:v>
      </x:c>
      <x:c r="Y655" t="str">
        <x:v>Basis arsip 2025/2024</x:v>
      </x:c>
      <x:c r="Z655" t="str">
        <x:v>https://snpmb.id/utbk-snbt/daya-tampung-snbt</x:v>
      </x:c>
      <x:c r="AA655" t="str">
        <x:v>Tidak Ada</x:v>
      </x:c>
      <x:c r="AB655" t="str">
        <x:v>Campus=55; Ratio=75.1; Prodi=75; RelDemand=100.0; Capacity=66.7</x:v>
      </x:c>
    </x:row>
    <x:row r="656">
      <x:c r="A656" t="n">
        <x:v>653</x:v>
      </x:c>
      <x:c r="B656" t="str">
        <x:v>PTN Akademik</x:v>
      </x:c>
      <x:c r="C656" t="str">
        <x:v>UNIVERSITAS BENGKULU</x:v>
      </x:c>
      <x:c r="D656" t="str">
        <x:v>GEOFISIKA</x:v>
      </x:c>
      <x:c r="E656" t="str">
        <x:v>Sarjana</x:v>
      </x:c>
      <x:c r="F656" s="18" t="n">
        <x:v>44</x:v>
      </x:c>
      <x:c r="G656" s="18" t="n">
        <x:v>44</x:v>
      </x:c>
      <x:c r="H656" s="19" t="n">
        <x:v>1</x:v>
      </x:c>
      <x:c r="I656" s="18" t="n">
        <x:f>ROUND(MIN(Model_Config_v3!$B$6,MAX(Q656,R656,S656*Model_Config_v3!$B$4+T656*Model_Config_v3!$B$5)),0)</x:f>
        <x:v>599</x:v>
      </x:c>
      <x:c r="J656" s="18" t="n">
        <x:f>MIN(Model_Config_v3!$B$6,I656+Model_Config_v3!$B$7)</x:f>
        <x:v>619</x:v>
      </x:c>
      <x:c r="K656" s="20" t="n">
        <x:v>36.4</x:v>
      </x:c>
      <x:c r="L656" t="str">
        <x:v>RELATIF LONGGAR</x:v>
      </x:c>
      <x:c r="M656" t="str">
        <x:v>SEDANG+</x:v>
      </x:c>
      <x:c r="N656" t="str">
        <x:v>REGULER</x:v>
      </x:c>
      <x:c r="O656" t="str">
        <x:v>SAINTEK</x:v>
      </x:c>
      <x:c r="P656" t="str">
        <x:v>SAINS DASAR</x:v>
      </x:c>
      <x:c r="Q656" s="18" t="n">
        <x:v>0</x:v>
      </x:c>
      <x:c r="R656" s="18" t="n">
        <x:v>0</x:v>
      </x:c>
      <x:c r="S656" s="18" t="n">
        <x:v>520</x:v>
      </x:c>
      <x:c r="T656" s="18" t="n">
        <x:v>633</x:v>
      </x:c>
      <x:c r="U656" s="18" t="n">
        <x:v>520</x:v>
      </x:c>
      <x:c r="V656" s="20" t="n">
        <x:v>12</x:v>
      </x:c>
      <x:c r="W656" s="20" t="n">
        <x:v>5</x:v>
      </x:c>
      <x:c r="X656" s="20" t="n">
        <x:v>3</x:v>
      </x:c>
      <x:c r="Y656" t="str">
        <x:v>Basis arsip 2025/2024</x:v>
      </x:c>
      <x:c r="Z656" t="str">
        <x:v>https://snpmb.id/utbk-snbt/daya-tampung-snbt</x:v>
      </x:c>
      <x:c r="AA656" t="str">
        <x:v>Tidak Ada</x:v>
      </x:c>
      <x:c r="AB656" t="str">
        <x:v>Campus=55; Ratio=0.0; Prodi=50; RelDemand=7.9; Capacity=63.3</x:v>
      </x:c>
    </x:row>
    <x:row r="657">
      <x:c r="A657" t="n">
        <x:v>654</x:v>
      </x:c>
      <x:c r="B657" t="str">
        <x:v>PTN Akademik</x:v>
      </x:c>
      <x:c r="C657" t="str">
        <x:v>UNIVERSITAS BENGKULU</x:v>
      </x:c>
      <x:c r="D657" t="str">
        <x:v>PENDIDIKAN IPA</x:v>
      </x:c>
      <x:c r="E657" t="str">
        <x:v>Sarjana</x:v>
      </x:c>
      <x:c r="F657" s="18" t="n">
        <x:v>40</x:v>
      </x:c>
      <x:c r="G657" s="18" t="n">
        <x:v>128</x:v>
      </x:c>
      <x:c r="H657" s="19" t="n">
        <x:v>3.2</x:v>
      </x:c>
      <x:c r="I657" s="18" t="n">
        <x:f>ROUND(MIN(Model_Config_v3!$B$6,MAX(Q657,R657,S657*Model_Config_v3!$B$4+T657*Model_Config_v3!$B$5)),0)</x:f>
        <x:v>628</x:v>
      </x:c>
      <x:c r="J657" s="18" t="n">
        <x:f>MIN(Model_Config_v3!$B$6,I657+Model_Config_v3!$B$7)</x:f>
        <x:v>648</x:v>
      </x:c>
      <x:c r="K657" s="20" t="n">
        <x:v>44.9</x:v>
      </x:c>
      <x:c r="L657" t="str">
        <x:v>RELATIF LONGGAR</x:v>
      </x:c>
      <x:c r="M657" t="str">
        <x:v>SEDANG+</x:v>
      </x:c>
      <x:c r="N657" t="str">
        <x:v>REGULER</x:v>
      </x:c>
      <x:c r="O657" t="str">
        <x:v>CAMPURAN</x:v>
      </x:c>
      <x:c r="P657" t="str">
        <x:v>PENDIDIKAN</x:v>
      </x:c>
      <x:c r="Q657" s="18" t="n">
        <x:v>0</x:v>
      </x:c>
      <x:c r="R657" s="18" t="n">
        <x:v>0</x:v>
      </x:c>
      <x:c r="S657" s="18" t="n">
        <x:v>575.5664976151896</x:v>
      </x:c>
      <x:c r="T657" s="18" t="n">
        <x:v>650</x:v>
      </x:c>
      <x:c r="U657" s="18" t="n">
        <x:v>575.5664976151896</x:v>
      </x:c>
      <x:c r="V657" s="20" t="n">
        <x:v>8.8</x:v>
      </x:c>
      <x:c r="W657" s="20" t="n">
        <x:v>9.9</x:v>
      </x:c>
      <x:c r="X657" s="20" t="n">
        <x:v>3.3</x:v>
      </x:c>
      <x:c r="Y657" t="str">
        <x:v>Basis arsip 2025/2024</x:v>
      </x:c>
      <x:c r="Z657" t="str">
        <x:v>https://snpmb.id/utbk-snbt/daya-tampung-snbt</x:v>
      </x:c>
      <x:c r="AA657" t="str">
        <x:v>Tidak Ada</x:v>
      </x:c>
      <x:c r="AB657" t="str">
        <x:v>Campus=55; Ratio=29.7; Prodi=45; RelDemand=25.3; Capacity=66.7</x:v>
      </x:c>
    </x:row>
    <x:row r="658">
      <x:c r="A658" t="n">
        <x:v>655</x:v>
      </x:c>
      <x:c r="B658" t="str">
        <x:v>PTN Akademik</x:v>
      </x:c>
      <x:c r="C658" t="str">
        <x:v>UNIVERSITAS BENGKULU</x:v>
      </x:c>
      <x:c r="D658" t="str">
        <x:v>HUKUM</x:v>
      </x:c>
      <x:c r="E658" t="str">
        <x:v>Sarjana</x:v>
      </x:c>
      <x:c r="F658" s="18" t="n">
        <x:v>225</x:v>
      </x:c>
      <x:c r="G658" s="18" t="n">
        <x:v>1103</x:v>
      </x:c>
      <x:c r="H658" s="19" t="n">
        <x:v>4.902222222222222</x:v>
      </x:c>
      <x:c r="I658" s="18" t="n">
        <x:f>ROUND(MIN(Model_Config_v3!$B$6,MAX(Q658,R658,S658*Model_Config_v3!$B$4+T658*Model_Config_v3!$B$5)),0)</x:f>
        <x:v>636</x:v>
      </x:c>
      <x:c r="J658" s="18" t="n">
        <x:f>MIN(Model_Config_v3!$B$6,I658+Model_Config_v3!$B$7)</x:f>
        <x:v>656</x:v>
      </x:c>
      <x:c r="K658" s="20" t="n">
        <x:v>46.3</x:v>
      </x:c>
      <x:c r="L658" t="str">
        <x:v>MENENGAH</x:v>
      </x:c>
      <x:c r="M658" t="str">
        <x:v>SEDANG+</x:v>
      </x:c>
      <x:c r="N658" t="str">
        <x:v>REGULER</x:v>
      </x:c>
      <x:c r="O658" t="str">
        <x:v>SOSHUM</x:v>
      </x:c>
      <x:c r="P658" t="str">
        <x:v>HUKUM</x:v>
      </x:c>
      <x:c r="Q658" s="18" t="n">
        <x:v>0</x:v>
      </x:c>
      <x:c r="R658" s="18" t="n">
        <x:v>0</x:v>
      </x:c>
      <x:c r="S658" s="18" t="n">
        <x:v>595.9432293761711</x:v>
      </x:c>
      <x:c r="T658" s="18" t="n">
        <x:v>653</x:v>
      </x:c>
      <x:c r="U658" s="18" t="n">
        <x:v>610.9432293761711</x:v>
      </x:c>
      <x:c r="V658" s="20" t="n">
        <x:v>4.4</x:v>
      </x:c>
      <x:c r="W658" s="20" t="n">
        <x:v>14.3</x:v>
      </x:c>
      <x:c r="X658" s="20" t="n">
        <x:v>3.3</x:v>
      </x:c>
      <x:c r="Y658" t="str">
        <x:v>Basis arsip 2025/2024</x:v>
      </x:c>
      <x:c r="Z658" t="str">
        <x:v>https://snpmb.id/utbk-snbt/daya-tampung-snbt</x:v>
      </x:c>
      <x:c r="AA658" t="str">
        <x:v>Tidak Ada</x:v>
      </x:c>
      <x:c r="AB658" t="str">
        <x:v>Campus=55; Ratio=40.6; Prodi=65; RelDemand=38.8; Capacity=0.0</x:v>
      </x:c>
    </x:row>
    <x:row r="659">
      <x:c r="A659" t="n">
        <x:v>656</x:v>
      </x:c>
      <x:c r="B659" t="str">
        <x:v>PTN Akademik</x:v>
      </x:c>
      <x:c r="C659" t="str">
        <x:v>UNIVERSITAS BENGKULU</x:v>
      </x:c>
      <x:c r="D659" t="str">
        <x:v>KESEJAHTERAAN SOSIAL</x:v>
      </x:c>
      <x:c r="E659" t="str">
        <x:v>Sarjana</x:v>
      </x:c>
      <x:c r="F659" s="18" t="n">
        <x:v>35</x:v>
      </x:c>
      <x:c r="G659" s="18" t="n">
        <x:v>120</x:v>
      </x:c>
      <x:c r="H659" s="19" t="n">
        <x:v>3.4285714285714284</x:v>
      </x:c>
      <x:c r="I659" s="18" t="n">
        <x:f>ROUND(MIN(Model_Config_v3!$B$6,MAX(Q659,R659,S659*Model_Config_v3!$B$4+T659*Model_Config_v3!$B$5)),0)</x:f>
        <x:v>629</x:v>
      </x:c>
      <x:c r="J659" s="18" t="n">
        <x:f>MIN(Model_Config_v3!$B$6,I659+Model_Config_v3!$B$7)</x:f>
        <x:v>649</x:v>
      </x:c>
      <x:c r="K659" s="20" t="n">
        <x:v>44.9</x:v>
      </x:c>
      <x:c r="L659" t="str">
        <x:v>RELATIF LONGGAR</x:v>
      </x:c>
      <x:c r="M659" t="str">
        <x:v>SEDANG</x:v>
      </x:c>
      <x:c r="N659" t="str">
        <x:v>REGULER</x:v>
      </x:c>
      <x:c r="O659" t="str">
        <x:v>CAMPURAN</x:v>
      </x:c>
      <x:c r="P659" t="str">
        <x:v>UMUM</x:v>
      </x:c>
      <x:c r="Q659" s="18" t="n">
        <x:v>0</x:v>
      </x:c>
      <x:c r="R659" s="18" t="n">
        <x:v>0</x:v>
      </x:c>
      <x:c r="S659" s="18" t="n">
        <x:v>578.8624521867084</x:v>
      </x:c>
      <x:c r="T659" s="18" t="n">
        <x:v>650</x:v>
      </x:c>
      <x:c r="U659" s="18" t="n">
        <x:v>578.8624521867084</x:v>
      </x:c>
      <x:c r="V659" s="20" t="n">
        <x:v>8.8</x:v>
      </x:c>
      <x:c r="W659" s="20" t="n">
        <x:v>9.9</x:v>
      </x:c>
      <x:c r="X659" s="20" t="n">
        <x:v>3.3</x:v>
      </x:c>
      <x:c r="Y659" t="str">
        <x:v>Basis arsip 2025/2024</x:v>
      </x:c>
      <x:c r="Z659" t="str">
        <x:v>https://snpmb.id/utbk-snbt/daya-tampung-snbt</x:v>
      </x:c>
      <x:c r="AA659" t="str">
        <x:v>Tidak Ada</x:v>
      </x:c>
      <x:c r="AB659" t="str">
        <x:v>Campus=55; Ratio=31.5; Prodi=40; RelDemand=27.1; Capacity=70.8</x:v>
      </x:c>
    </x:row>
    <x:row r="660">
      <x:c r="A660" t="n">
        <x:v>657</x:v>
      </x:c>
      <x:c r="B660" t="str">
        <x:v>PTN Akademik</x:v>
      </x:c>
      <x:c r="C660" t="str">
        <x:v>UNIVERSITAS BENGKULU</x:v>
      </x:c>
      <x:c r="D660" t="str">
        <x:v>EKONOMI PEMBANGUNAN</x:v>
      </x:c>
      <x:c r="E660" t="str">
        <x:v>Sarjana</x:v>
      </x:c>
      <x:c r="F660" s="18" t="n">
        <x:v>60</x:v>
      </x:c>
      <x:c r="G660" s="18" t="n">
        <x:v>159</x:v>
      </x:c>
      <x:c r="H660" s="19" t="n">
        <x:v>2.65</x:v>
      </x:c>
      <x:c r="I660" s="18" t="n">
        <x:f>ROUND(MIN(Model_Config_v3!$B$6,MAX(Q660,R660,S660*Model_Config_v3!$B$4+T660*Model_Config_v3!$B$5)),0)</x:f>
        <x:v>626</x:v>
      </x:c>
      <x:c r="J660" s="18" t="n">
        <x:f>MIN(Model_Config_v3!$B$6,I660+Model_Config_v3!$B$7)</x:f>
        <x:v>646</x:v>
      </x:c>
      <x:c r="K660" s="20" t="n">
        <x:v>45.6</x:v>
      </x:c>
      <x:c r="L660" t="str">
        <x:v>MENENGAH</x:v>
      </x:c>
      <x:c r="M660" t="str">
        <x:v>SEDANG+</x:v>
      </x:c>
      <x:c r="N660" t="str">
        <x:v>REGULER</x:v>
      </x:c>
      <x:c r="O660" t="str">
        <x:v>SOSHUM</x:v>
      </x:c>
      <x:c r="P660" t="str">
        <x:v>BISNIS/EKONOMI/AKUNTANSI</x:v>
      </x:c>
      <x:c r="Q660" s="18" t="n">
        <x:v>0</x:v>
      </x:c>
      <x:c r="R660" s="18" t="n">
        <x:v>0</x:v>
      </x:c>
      <x:c r="S660" s="18" t="n">
        <x:v>566.5570461330489</x:v>
      </x:c>
      <x:c r="T660" s="18" t="n">
        <x:v>651</x:v>
      </x:c>
      <x:c r="U660" s="18" t="n">
        <x:v>566.5570461330489</x:v>
      </x:c>
      <x:c r="V660" s="20" t="n">
        <x:v>4.4</x:v>
      </x:c>
      <x:c r="W660" s="20" t="n">
        <x:v>14.3</x:v>
      </x:c>
      <x:c r="X660" s="20" t="n">
        <x:v>3.3</x:v>
      </x:c>
      <x:c r="Y660" t="str">
        <x:v>Basis arsip 2025/2024</x:v>
      </x:c>
      <x:c r="Z660" t="str">
        <x:v>https://snpmb.id/utbk-snbt/daya-tampung-snbt</x:v>
      </x:c>
      <x:c r="AA660" t="str">
        <x:v>Tidak Ada</x:v>
      </x:c>
      <x:c r="AB660" t="str">
        <x:v>Campus=55; Ratio=24.9; Prodi=65; RelDemand=21.0; Capacity=50.0</x:v>
      </x:c>
    </x:row>
    <x:row r="661">
      <x:c r="A661" t="n">
        <x:v>658</x:v>
      </x:c>
      <x:c r="B661" t="str">
        <x:v>PTN Akademik</x:v>
      </x:c>
      <x:c r="C661" t="str">
        <x:v>UNIVERSITAS BENGKULU</x:v>
      </x:c>
      <x:c r="D661" t="str">
        <x:v>MANAJEMEN</x:v>
      </x:c>
      <x:c r="E661" t="str">
        <x:v>Sarjana</x:v>
      </x:c>
      <x:c r="F661" s="18" t="n">
        <x:v>100</x:v>
      </x:c>
      <x:c r="G661" s="18" t="n">
        <x:v>928</x:v>
      </x:c>
      <x:c r="H661" s="19" t="n">
        <x:v>9.28</x:v>
      </x:c>
      <x:c r="I661" s="18" t="n">
        <x:f>ROUND(MIN(Model_Config_v3!$B$6,MAX(Q661,R661,S661*Model_Config_v3!$B$4+T661*Model_Config_v3!$B$5)),0)</x:f>
        <x:v>658</x:v>
      </x:c>
      <x:c r="J661" s="18" t="n">
        <x:f>MIN(Model_Config_v3!$B$6,I661+Model_Config_v3!$B$7)</x:f>
        <x:v>678</x:v>
      </x:c>
      <x:c r="K661" s="20" t="n">
        <x:v>55.5</x:v>
      </x:c>
      <x:c r="L661" t="str">
        <x:v>KETAT</x:v>
      </x:c>
      <x:c r="M661" t="str">
        <x:v>SEDANG+</x:v>
      </x:c>
      <x:c r="N661" t="str">
        <x:v>REGULER</x:v>
      </x:c>
      <x:c r="O661" t="str">
        <x:v>SOSHUM</x:v>
      </x:c>
      <x:c r="P661" t="str">
        <x:v>BISNIS/EKONOMI/AKUNTANSI</x:v>
      </x:c>
      <x:c r="Q661" s="18" t="n">
        <x:v>0</x:v>
      </x:c>
      <x:c r="R661" s="18" t="n">
        <x:v>0</x:v>
      </x:c>
      <x:c r="S661" s="18" t="n">
        <x:v>626.4302773840748</x:v>
      </x:c>
      <x:c r="T661" s="18" t="n">
        <x:v>671</x:v>
      </x:c>
      <x:c r="U661" s="18" t="n">
        <x:v>641.4302773840748</x:v>
      </x:c>
      <x:c r="V661" s="20" t="n">
        <x:v>4.4</x:v>
      </x:c>
      <x:c r="W661" s="20" t="n">
        <x:v>14.3</x:v>
      </x:c>
      <x:c r="X661" s="20" t="n">
        <x:v>3.3</x:v>
      </x:c>
      <x:c r="Y661" t="str">
        <x:v>Basis arsip 2025/2024</x:v>
      </x:c>
      <x:c r="Z661" t="str">
        <x:v>https://snpmb.id/utbk-snbt/daya-tampung-snbt</x:v>
      </x:c>
      <x:c r="AA661" t="str">
        <x:v>Tidak Ada</x:v>
      </x:c>
      <x:c r="AB661" t="str">
        <x:v>Campus=55; Ratio=56.9; Prodi=65; RelDemand=73.4; Capacity=16.7</x:v>
      </x:c>
    </x:row>
    <x:row r="662">
      <x:c r="A662" t="n">
        <x:v>659</x:v>
      </x:c>
      <x:c r="B662" t="str">
        <x:v>PTN Akademik</x:v>
      </x:c>
      <x:c r="C662" t="str">
        <x:v>UNIVERSITAS BENGKULU</x:v>
      </x:c>
      <x:c r="D662" t="str">
        <x:v>ADMINISTRASI PUBLIK</x:v>
      </x:c>
      <x:c r="E662" t="str">
        <x:v>Sarjana</x:v>
      </x:c>
      <x:c r="F662" s="18" t="n">
        <x:v>55</x:v>
      </x:c>
      <x:c r="G662" s="18" t="n">
        <x:v>409</x:v>
      </x:c>
      <x:c r="H662" s="19" t="n">
        <x:v>7.4363636363636365</x:v>
      </x:c>
      <x:c r="I662" s="18" t="n">
        <x:f>ROUND(MIN(Model_Config_v3!$B$6,MAX(Q662,R662,S662*Model_Config_v3!$B$4+T662*Model_Config_v3!$B$5)),0)</x:f>
        <x:v>649</x:v>
      </x:c>
      <x:c r="J662" s="18" t="n">
        <x:f>MIN(Model_Config_v3!$B$6,I662+Model_Config_v3!$B$7)</x:f>
        <x:v>669</x:v>
      </x:c>
      <x:c r="K662" s="20" t="n">
        <x:v>51.4</x:v>
      </x:c>
      <x:c r="L662" t="str">
        <x:v>MENENGAH</x:v>
      </x:c>
      <x:c r="M662" t="str">
        <x:v>SEDANG</x:v>
      </x:c>
      <x:c r="N662" t="str">
        <x:v>REGULER</x:v>
      </x:c>
      <x:c r="O662" t="str">
        <x:v>SOSHUM</x:v>
      </x:c>
      <x:c r="P662" t="str">
        <x:v>UMUM</x:v>
      </x:c>
      <x:c r="Q662" s="18" t="n">
        <x:v>0</x:v>
      </x:c>
      <x:c r="R662" s="18" t="n">
        <x:v>0</x:v>
      </x:c>
      <x:c r="S662" s="18" t="n">
        <x:v>615.8496680364408</x:v>
      </x:c>
      <x:c r="T662" s="18" t="n">
        <x:v>663</x:v>
      </x:c>
      <x:c r="U662" s="18" t="n">
        <x:v>615.8496680364408</x:v>
      </x:c>
      <x:c r="V662" s="20" t="n">
        <x:v>4.4</x:v>
      </x:c>
      <x:c r="W662" s="20" t="n">
        <x:v>14.3</x:v>
      </x:c>
      <x:c r="X662" s="20" t="n">
        <x:v>3.3</x:v>
      </x:c>
      <x:c r="Y662" t="str">
        <x:v>Basis arsip 2025/2024</x:v>
      </x:c>
      <x:c r="Z662" t="str">
        <x:v>https://snpmb.id/utbk-snbt/daya-tampung-snbt</x:v>
      </x:c>
      <x:c r="AA662" t="str">
        <x:v>Tidak Ada</x:v>
      </x:c>
      <x:c r="AB662" t="str">
        <x:v>Campus=55; Ratio=51.3; Prodi=40; RelDemand=58.8; Capacity=54.2</x:v>
      </x:c>
    </x:row>
    <x:row r="663">
      <x:c r="A663" t="n">
        <x:v>660</x:v>
      </x:c>
      <x:c r="B663" t="str">
        <x:v>PTN Akademik</x:v>
      </x:c>
      <x:c r="C663" t="str">
        <x:v>UNIVERSITAS BENGKULU</x:v>
      </x:c>
      <x:c r="D663" t="str">
        <x:v>SOSIOLOGI</x:v>
      </x:c>
      <x:c r="E663" t="str">
        <x:v>Sarjana</x:v>
      </x:c>
      <x:c r="F663" s="18" t="n">
        <x:v>50</x:v>
      </x:c>
      <x:c r="G663" s="18" t="n">
        <x:v>146</x:v>
      </x:c>
      <x:c r="H663" s="19" t="n">
        <x:v>2.92</x:v>
      </x:c>
      <x:c r="I663" s="18" t="n">
        <x:f>ROUND(MIN(Model_Config_v3!$B$6,MAX(Q663,R663,S663*Model_Config_v3!$B$4+T663*Model_Config_v3!$B$5)),0)</x:f>
        <x:v>622</x:v>
      </x:c>
      <x:c r="J663" s="18" t="n">
        <x:f>MIN(Model_Config_v3!$B$6,I663+Model_Config_v3!$B$7)</x:f>
        <x:v>642</x:v>
      </x:c>
      <x:c r="K663" s="20" t="n">
        <x:v>42.2</x:v>
      </x:c>
      <x:c r="L663" t="str">
        <x:v>RELATIF LONGGAR</x:v>
      </x:c>
      <x:c r="M663" t="str">
        <x:v>SEDANG</x:v>
      </x:c>
      <x:c r="N663" t="str">
        <x:v>REGULER</x:v>
      </x:c>
      <x:c r="O663" t="str">
        <x:v>SOSHUM</x:v>
      </x:c>
      <x:c r="P663" t="str">
        <x:v>UMUM</x:v>
      </x:c>
      <x:c r="Q663" s="18" t="n">
        <x:v>0</x:v>
      </x:c>
      <x:c r="R663" s="18" t="n">
        <x:v>0</x:v>
      </x:c>
      <x:c r="S663" s="18" t="n">
        <x:v>571.192113659326</x:v>
      </x:c>
      <x:c r="T663" s="18" t="n">
        <x:v>644</x:v>
      </x:c>
      <x:c r="U663" s="18" t="n">
        <x:v>571.192113659326</x:v>
      </x:c>
      <x:c r="V663" s="20" t="n">
        <x:v>4.4</x:v>
      </x:c>
      <x:c r="W663" s="20" t="n">
        <x:v>14.3</x:v>
      </x:c>
      <x:c r="X663" s="20" t="n">
        <x:v>3.3</x:v>
      </x:c>
      <x:c r="Y663" t="str">
        <x:v>Basis arsip 2025/2024</x:v>
      </x:c>
      <x:c r="Z663" t="str">
        <x:v>https://snpmb.id/utbk-snbt/daya-tampung-snbt</x:v>
      </x:c>
      <x:c r="AA663" t="str">
        <x:v>Tidak Ada</x:v>
      </x:c>
      <x:c r="AB663" t="str">
        <x:v>Campus=55; Ratio=27.4; Prodi=40; RelDemand=23.1; Capacity=58.3</x:v>
      </x:c>
    </x:row>
    <x:row r="664">
      <x:c r="A664" t="n">
        <x:v>661</x:v>
      </x:c>
      <x:c r="B664" t="str">
        <x:v>PTN Akademik</x:v>
      </x:c>
      <x:c r="C664" t="str">
        <x:v>UNIVERSITAS BENGKULU</x:v>
      </x:c>
      <x:c r="D664" t="str">
        <x:v>ILMU KOMUNIKASI</x:v>
      </x:c>
      <x:c r="E664" t="str">
        <x:v>Sarjana</x:v>
      </x:c>
      <x:c r="F664" s="18" t="n">
        <x:v>60</x:v>
      </x:c>
      <x:c r="G664" s="18" t="n">
        <x:v>611</x:v>
      </x:c>
      <x:c r="H664" s="19" t="n">
        <x:v>10.183333333333334</x:v>
      </x:c>
      <x:c r="I664" s="18" t="n">
        <x:f>ROUND(MIN(Model_Config_v3!$B$6,MAX(Q664,R664,S664*Model_Config_v3!$B$4+T664*Model_Config_v3!$B$5)),0)</x:f>
        <x:v>658</x:v>
      </x:c>
      <x:c r="J664" s="18" t="n">
        <x:f>MIN(Model_Config_v3!$B$6,I664+Model_Config_v3!$B$7)</x:f>
        <x:v>678</x:v>
      </x:c>
      <x:c r="K664" s="20" t="n">
        <x:v>55.1</x:v>
      </x:c>
      <x:c r="L664" t="str">
        <x:v>KETAT</x:v>
      </x:c>
      <x:c r="M664" t="str">
        <x:v>SEDANG</x:v>
      </x:c>
      <x:c r="N664" t="str">
        <x:v>REGULER</x:v>
      </x:c>
      <x:c r="O664" t="str">
        <x:v>SOSHUM</x:v>
      </x:c>
      <x:c r="P664" t="str">
        <x:v>UMUM</x:v>
      </x:c>
      <x:c r="Q664" s="18" t="n">
        <x:v>0</x:v>
      </x:c>
      <x:c r="R664" s="18" t="n">
        <x:v>0</x:v>
      </x:c>
      <x:c r="S664" s="18" t="n">
        <x:v>630.8678955844802</x:v>
      </x:c>
      <x:c r="T664" s="18" t="n">
        <x:v>670</x:v>
      </x:c>
      <x:c r="U664" s="18" t="n">
        <x:v>630.8678955844802</x:v>
      </x:c>
      <x:c r="V664" s="20" t="n">
        <x:v>4.4</x:v>
      </x:c>
      <x:c r="W664" s="20" t="n">
        <x:v>14.3</x:v>
      </x:c>
      <x:c r="X664" s="20" t="n">
        <x:v>3.3</x:v>
      </x:c>
      <x:c r="Y664" t="str">
        <x:v>Basis arsip 2025/2024</x:v>
      </x:c>
      <x:c r="Z664" t="str">
        <x:v>https://snpmb.id/utbk-snbt/daya-tampung-snbt</x:v>
      </x:c>
      <x:c r="AA664" t="str">
        <x:v>Tidak Ada</x:v>
      </x:c>
      <x:c r="AB664" t="str">
        <x:v>Campus=55; Ratio=59.3; Prodi=40; RelDemand=80.6; Capacity=50.0</x:v>
      </x:c>
    </x:row>
    <x:row r="665">
      <x:c r="A665" t="n">
        <x:v>662</x:v>
      </x:c>
      <x:c r="B665" t="str">
        <x:v>PTN Akademik</x:v>
      </x:c>
      <x:c r="C665" t="str">
        <x:v>UNIVERSITAS BENGKULU</x:v>
      </x:c>
      <x:c r="D665" t="str">
        <x:v>AKUNTANSI</x:v>
      </x:c>
      <x:c r="E665" t="str">
        <x:v>Sarjana</x:v>
      </x:c>
      <x:c r="F665" s="18" t="n">
        <x:v>100</x:v>
      </x:c>
      <x:c r="G665" s="18" t="n">
        <x:v>631</x:v>
      </x:c>
      <x:c r="H665" s="19" t="n">
        <x:v>6.31</x:v>
      </x:c>
      <x:c r="I665" s="18" t="n">
        <x:f>ROUND(MIN(Model_Config_v3!$B$6,MAX(Q665,R665,S665*Model_Config_v3!$B$4+T665*Model_Config_v3!$B$5)),0)</x:f>
        <x:v>645</x:v>
      </x:c>
      <x:c r="J665" s="18" t="n">
        <x:f>MIN(Model_Config_v3!$B$6,I665+Model_Config_v3!$B$7)</x:f>
        <x:v>665</x:v>
      </x:c>
      <x:c r="K665" s="20" t="n">
        <x:v>50.7</x:v>
      </x:c>
      <x:c r="L665" t="str">
        <x:v>MENENGAH</x:v>
      </x:c>
      <x:c r="M665" t="str">
        <x:v>SEDANG+</x:v>
      </x:c>
      <x:c r="N665" t="str">
        <x:v>REGULER</x:v>
      </x:c>
      <x:c r="O665" t="str">
        <x:v>SOSHUM</x:v>
      </x:c>
      <x:c r="P665" t="str">
        <x:v>BISNIS/EKONOMI/AKUNTANSI</x:v>
      </x:c>
      <x:c r="Q665" s="18" t="n">
        <x:v>0</x:v>
      </x:c>
      <x:c r="R665" s="18" t="n">
        <x:v>0</x:v>
      </x:c>
      <x:c r="S665" s="18" t="n">
        <x:v>608.0032295168547</x:v>
      </x:c>
      <x:c r="T665" s="18" t="n">
        <x:v>661</x:v>
      </x:c>
      <x:c r="U665" s="18" t="n">
        <x:v>608.0032295168547</x:v>
      </x:c>
      <x:c r="V665" s="20" t="n">
        <x:v>4.4</x:v>
      </x:c>
      <x:c r="W665" s="20" t="n">
        <x:v>14.3</x:v>
      </x:c>
      <x:c r="X665" s="20" t="n">
        <x:v>3.3</x:v>
      </x:c>
      <x:c r="Y665" t="str">
        <x:v>Basis arsip 2025/2024</x:v>
      </x:c>
      <x:c r="Z665" t="str">
        <x:v>https://snpmb.id/utbk-snbt/daya-tampung-snbt</x:v>
      </x:c>
      <x:c r="AA665" t="str">
        <x:v>Tidak Ada</x:v>
      </x:c>
      <x:c r="AB665" t="str">
        <x:v>Campus=55; Ratio=47.1; Prodi=65; RelDemand=49.9; Capacity=16.7</x:v>
      </x:c>
    </x:row>
    <x:row r="666">
      <x:c r="A666" t="n">
        <x:v>663</x:v>
      </x:c>
      <x:c r="B666" t="str">
        <x:v>PTN Akademik</x:v>
      </x:c>
      <x:c r="C666" t="str">
        <x:v>UNIVERSITAS BENGKULU</x:v>
      </x:c>
      <x:c r="D666" t="str">
        <x:v>PENDIDIKAN NONFORMAL</x:v>
      </x:c>
      <x:c r="E666" t="str">
        <x:v>Sarjana</x:v>
      </x:c>
      <x:c r="F666" s="18" t="n">
        <x:v>44</x:v>
      </x:c>
      <x:c r="G666" s="18" t="n">
        <x:v>37</x:v>
      </x:c>
      <x:c r="H666" s="19" t="n">
        <x:v>0.8409090909090909</x:v>
      </x:c>
      <x:c r="I666" s="18" t="n">
        <x:f>ROUND(MIN(Model_Config_v3!$B$6,MAX(Q666,R666,S666*Model_Config_v3!$B$4+T666*Model_Config_v3!$B$5)),0)</x:f>
        <x:v>597</x:v>
      </x:c>
      <x:c r="J666" s="18" t="n">
        <x:f>MIN(Model_Config_v3!$B$6,I666+Model_Config_v3!$B$7)</x:f>
        <x:v>617</x:v>
      </x:c>
      <x:c r="K666" s="20" t="n">
        <x:v>35.2</x:v>
      </x:c>
      <x:c r="L666" t="str">
        <x:v>RELATIF LONGGAR</x:v>
      </x:c>
      <x:c r="M666" t="str">
        <x:v>SEDANG+</x:v>
      </x:c>
      <x:c r="N666" t="str">
        <x:v>REGULER</x:v>
      </x:c>
      <x:c r="O666" t="str">
        <x:v>CAMPURAN</x:v>
      </x:c>
      <x:c r="P666" t="str">
        <x:v>PENDIDIKAN</x:v>
      </x:c>
      <x:c r="Q666" s="18" t="n">
        <x:v>0</x:v>
      </x:c>
      <x:c r="R666" s="18" t="n">
        <x:v>0</x:v>
      </x:c>
      <x:c r="S666" s="18" t="n">
        <x:v>520</x:v>
      </x:c>
      <x:c r="T666" s="18" t="n">
        <x:v>630</x:v>
      </x:c>
      <x:c r="U666" s="18" t="n">
        <x:v>520</x:v>
      </x:c>
      <x:c r="V666" s="20" t="n">
        <x:v>8.8</x:v>
      </x:c>
      <x:c r="W666" s="20" t="n">
        <x:v>9.9</x:v>
      </x:c>
      <x:c r="X666" s="20" t="n">
        <x:v>3.3</x:v>
      </x:c>
      <x:c r="Y666" t="str">
        <x:v>Basis arsip 2025/2024</x:v>
      </x:c>
      <x:c r="Z666" t="str">
        <x:v>https://snpmb.id/utbk-snbt/daya-tampung-snbt</x:v>
      </x:c>
      <x:c r="AA666" t="str">
        <x:v>Tidak Ada</x:v>
      </x:c>
      <x:c r="AB666" t="str">
        <x:v>Campus=55; Ratio=0.0; Prodi=45; RelDemand=6.7; Capacity=63.3</x:v>
      </x:c>
    </x:row>
    <x:row r="667">
      <x:c r="A667" t="n">
        <x:v>664</x:v>
      </x:c>
      <x:c r="B667" t="str">
        <x:v>PTN Akademik</x:v>
      </x:c>
      <x:c r="C667" t="str">
        <x:v>UNIVERSITAS BENGKULU</x:v>
      </x:c>
      <x:c r="D667" t="str">
        <x:v>PENDIDIKAN BAHASA INDONESIA</x:v>
      </x:c>
      <x:c r="E667" t="str">
        <x:v>Sarjana</x:v>
      </x:c>
      <x:c r="F667" s="18" t="n">
        <x:v>60</x:v>
      </x:c>
      <x:c r="G667" s="18" t="n">
        <x:v>370</x:v>
      </x:c>
      <x:c r="H667" s="19" t="n">
        <x:v>6.166666666666667</x:v>
      </x:c>
      <x:c r="I667" s="18" t="n">
        <x:f>ROUND(MIN(Model_Config_v3!$B$6,MAX(Q667,R667,S667*Model_Config_v3!$B$4+T667*Model_Config_v3!$B$5)),0)</x:f>
        <x:v>644</x:v>
      </x:c>
      <x:c r="J667" s="18" t="n">
        <x:f>MIN(Model_Config_v3!$B$6,I667+Model_Config_v3!$B$7)</x:f>
        <x:v>664</x:v>
      </x:c>
      <x:c r="K667" s="20" t="n">
        <x:v>49.8</x:v>
      </x:c>
      <x:c r="L667" t="str">
        <x:v>MENENGAH</x:v>
      </x:c>
      <x:c r="M667" t="str">
        <x:v>SEDANG+</x:v>
      </x:c>
      <x:c r="N667" t="str">
        <x:v>REGULER</x:v>
      </x:c>
      <x:c r="O667" t="str">
        <x:v>SOSHUM</x:v>
      </x:c>
      <x:c r="P667" t="str">
        <x:v>PENDIDIKAN</x:v>
      </x:c>
      <x:c r="Q667" s="18" t="n">
        <x:v>0</x:v>
      </x:c>
      <x:c r="R667" s="18" t="n">
        <x:v>0</x:v>
      </x:c>
      <x:c r="S667" s="18" t="n">
        <x:v>606.9055521051687</x:v>
      </x:c>
      <x:c r="T667" s="18" t="n">
        <x:v>660</x:v>
      </x:c>
      <x:c r="U667" s="18" t="n">
        <x:v>606.9055521051687</x:v>
      </x:c>
      <x:c r="V667" s="20" t="n">
        <x:v>4.4</x:v>
      </x:c>
      <x:c r="W667" s="20" t="n">
        <x:v>14.3</x:v>
      </x:c>
      <x:c r="X667" s="20" t="n">
        <x:v>3.3</x:v>
      </x:c>
      <x:c r="Y667" t="str">
        <x:v>Basis arsip 2025/2024</x:v>
      </x:c>
      <x:c r="Z667" t="str">
        <x:v>https://snpmb.id/utbk-snbt/daya-tampung-snbt</x:v>
      </x:c>
      <x:c r="AA667" t="str">
        <x:v>Tidak Ada</x:v>
      </x:c>
      <x:c r="AB667" t="str">
        <x:v>Campus=55; Ratio=46.5; Prodi=45; RelDemand=48.8; Capacity=50.0</x:v>
      </x:c>
    </x:row>
    <x:row r="668">
      <x:c r="A668" t="n">
        <x:v>665</x:v>
      </x:c>
      <x:c r="B668" t="str">
        <x:v>PTN Akademik</x:v>
      </x:c>
      <x:c r="C668" t="str">
        <x:v>UNIVERSITAS BENGKULU</x:v>
      </x:c>
      <x:c r="D668" t="str">
        <x:v>PENDIDIKAN BAHASA INGGRIS</x:v>
      </x:c>
      <x:c r="E668" t="str">
        <x:v>Sarjana</x:v>
      </x:c>
      <x:c r="F668" s="18" t="n">
        <x:v>80</x:v>
      </x:c>
      <x:c r="G668" s="18" t="n">
        <x:v>251</x:v>
      </x:c>
      <x:c r="H668" s="19" t="n">
        <x:v>3.1375</x:v>
      </x:c>
      <x:c r="I668" s="18" t="n">
        <x:f>ROUND(MIN(Model_Config_v3!$B$6,MAX(Q668,R668,S668*Model_Config_v3!$B$4+T668*Model_Config_v3!$B$5)),0)</x:f>
        <x:v>622</x:v>
      </x:c>
      <x:c r="J668" s="18" t="n">
        <x:f>MIN(Model_Config_v3!$B$6,I668+Model_Config_v3!$B$7)</x:f>
        <x:v>642</x:v>
      </x:c>
      <x:c r="K668" s="20" t="n">
        <x:v>41.4</x:v>
      </x:c>
      <x:c r="L668" t="str">
        <x:v>RELATIF LONGGAR</x:v>
      </x:c>
      <x:c r="M668" t="str">
        <x:v>SEDANG+</x:v>
      </x:c>
      <x:c r="N668" t="str">
        <x:v>REGULER</x:v>
      </x:c>
      <x:c r="O668" t="str">
        <x:v>SOSHUM</x:v>
      </x:c>
      <x:c r="P668" t="str">
        <x:v>PENDIDIKAN</x:v>
      </x:c>
      <x:c r="Q668" s="18" t="n">
        <x:v>0</x:v>
      </x:c>
      <x:c r="R668" s="18" t="n">
        <x:v>0</x:v>
      </x:c>
      <x:c r="S668" s="18" t="n">
        <x:v>574.6242107938004</x:v>
      </x:c>
      <x:c r="T668" s="18" t="n">
        <x:v>643</x:v>
      </x:c>
      <x:c r="U668" s="18" t="n">
        <x:v>574.6242107938004</x:v>
      </x:c>
      <x:c r="V668" s="20" t="n">
        <x:v>4.4</x:v>
      </x:c>
      <x:c r="W668" s="20" t="n">
        <x:v>14.3</x:v>
      </x:c>
      <x:c r="X668" s="20" t="n">
        <x:v>3.3</x:v>
      </x:c>
      <x:c r="Y668" t="str">
        <x:v>Basis arsip 2025/2024</x:v>
      </x:c>
      <x:c r="Z668" t="str">
        <x:v>https://snpmb.id/utbk-snbt/daya-tampung-snbt</x:v>
      </x:c>
      <x:c r="AA668" t="str">
        <x:v>Tidak Ada</x:v>
      </x:c>
      <x:c r="AB668" t="str">
        <x:v>Campus=55; Ratio=29.2; Prodi=45; RelDemand=24.8; Capacity=33.3</x:v>
      </x:c>
    </x:row>
    <x:row r="669">
      <x:c r="A669" t="n">
        <x:v>666</x:v>
      </x:c>
      <x:c r="B669" t="str">
        <x:v>PTN Akademik</x:v>
      </x:c>
      <x:c r="C669" t="str">
        <x:v>UNIVERSITAS BENGKULU</x:v>
      </x:c>
      <x:c r="D669" t="str">
        <x:v>PENDIDIKAN GURU SEKOLAH DASAR</x:v>
      </x:c>
      <x:c r="E669" t="str">
        <x:v>Sarjana</x:v>
      </x:c>
      <x:c r="F669" s="18" t="n">
        <x:v>80</x:v>
      </x:c>
      <x:c r="G669" s="18" t="n">
        <x:v>1095</x:v>
      </x:c>
      <x:c r="H669" s="19" t="n">
        <x:v>13.6875</x:v>
      </x:c>
      <x:c r="I669" s="18" t="n">
        <x:f>ROUND(MIN(Model_Config_v3!$B$6,MAX(Q669,R669,S669*Model_Config_v3!$B$4+T669*Model_Config_v3!$B$5)),0)</x:f>
        <x:v>667</x:v>
      </x:c>
      <x:c r="J669" s="18" t="n">
        <x:f>MIN(Model_Config_v3!$B$6,I669+Model_Config_v3!$B$7)</x:f>
        <x:v>687</x:v>
      </x:c>
      <x:c r="K669" s="20" t="n">
        <x:v>58.3</x:v>
      </x:c>
      <x:c r="L669" t="str">
        <x:v>KETAT</x:v>
      </x:c>
      <x:c r="M669" t="str">
        <x:v>SEDANG+</x:v>
      </x:c>
      <x:c r="N669" t="str">
        <x:v>REGULER</x:v>
      </x:c>
      <x:c r="O669" t="str">
        <x:v>CAMPURAN</x:v>
      </x:c>
      <x:c r="P669" t="str">
        <x:v>PENDIDIKAN</x:v>
      </x:c>
      <x:c r="Q669" s="18" t="n">
        <x:v>0</x:v>
      </x:c>
      <x:c r="R669" s="18" t="n">
        <x:v>0</x:v>
      </x:c>
      <x:c r="S669" s="18" t="n">
        <x:v>644.9956545402613</x:v>
      </x:c>
      <x:c r="T669" s="18" t="n">
        <x:v>677</x:v>
      </x:c>
      <x:c r="U669" s="18" t="n">
        <x:v>644.9956545402613</x:v>
      </x:c>
      <x:c r="V669" s="20" t="n">
        <x:v>8.8</x:v>
      </x:c>
      <x:c r="W669" s="20" t="n">
        <x:v>9.9</x:v>
      </x:c>
      <x:c r="X669" s="20" t="n">
        <x:v>3.3</x:v>
      </x:c>
      <x:c r="Y669" t="str">
        <x:v>Basis arsip 2025/2024</x:v>
      </x:c>
      <x:c r="Z669" t="str">
        <x:v>https://snpmb.id/utbk-snbt/daya-tampung-snbt</x:v>
      </x:c>
      <x:c r="AA669" t="str">
        <x:v>Tidak Ada</x:v>
      </x:c>
      <x:c r="AB669" t="str">
        <x:v>Campus=55; Ratio=66.9; Prodi=45; RelDemand=100.0; Capacity=33.3</x:v>
      </x:c>
    </x:row>
    <x:row r="670">
      <x:c r="A670" t="n">
        <x:v>667</x:v>
      </x:c>
      <x:c r="B670" t="str">
        <x:v>PTN Akademik</x:v>
      </x:c>
      <x:c r="C670" t="str">
        <x:v>UNIVERSITAS BENGKULU</x:v>
      </x:c>
      <x:c r="D670" t="str">
        <x:v>PENDIDIKAN GURU PENDIDIKAN ANAK USIA DINI</x:v>
      </x:c>
      <x:c r="E670" t="str">
        <x:v>Sarjana</x:v>
      </x:c>
      <x:c r="F670" s="18" t="n">
        <x:v>40</x:v>
      </x:c>
      <x:c r="G670" s="18" t="n">
        <x:v>158</x:v>
      </x:c>
      <x:c r="H670" s="19" t="n">
        <x:v>3.95</x:v>
      </x:c>
      <x:c r="I670" s="18" t="n">
        <x:f>ROUND(MIN(Model_Config_v3!$B$6,MAX(Q670,R670,S670*Model_Config_v3!$B$4+T670*Model_Config_v3!$B$5)),0)</x:f>
        <x:v>633</x:v>
      </x:c>
      <x:c r="J670" s="18" t="n">
        <x:f>MIN(Model_Config_v3!$B$6,I670+Model_Config_v3!$B$7)</x:f>
        <x:v>653</x:v>
      </x:c>
      <x:c r="K670" s="20" t="n">
        <x:v>46.8</x:v>
      </x:c>
      <x:c r="L670" t="str">
        <x:v>MENENGAH</x:v>
      </x:c>
      <x:c r="M670" t="str">
        <x:v>SEDANG+</x:v>
      </x:c>
      <x:c r="N670" t="str">
        <x:v>REGULER</x:v>
      </x:c>
      <x:c r="O670" t="str">
        <x:v>CAMPURAN</x:v>
      </x:c>
      <x:c r="P670" t="str">
        <x:v>PENDIDIKAN</x:v>
      </x:c>
      <x:c r="Q670" s="18" t="n">
        <x:v>0</x:v>
      </x:c>
      <x:c r="R670" s="18" t="n">
        <x:v>0</x:v>
      </x:c>
      <x:c r="S670" s="18" t="n">
        <x:v>585.6256805189106</x:v>
      </x:c>
      <x:c r="T670" s="18" t="n">
        <x:v>654</x:v>
      </x:c>
      <x:c r="U670" s="18" t="n">
        <x:v>585.6256805189106</x:v>
      </x:c>
      <x:c r="V670" s="20" t="n">
        <x:v>8.8</x:v>
      </x:c>
      <x:c r="W670" s="20" t="n">
        <x:v>9.9</x:v>
      </x:c>
      <x:c r="X670" s="20" t="n">
        <x:v>3.3</x:v>
      </x:c>
      <x:c r="Y670" t="str">
        <x:v>Basis arsip 2025/2024</x:v>
      </x:c>
      <x:c r="Z670" t="str">
        <x:v>https://snpmb.id/utbk-snbt/daya-tampung-snbt</x:v>
      </x:c>
      <x:c r="AA670" t="str">
        <x:v>Tidak Ada</x:v>
      </x:c>
      <x:c r="AB670" t="str">
        <x:v>Campus=55; Ratio=35.1; Prodi=45; RelDemand=31.3; Capacity=66.7</x:v>
      </x:c>
    </x:row>
    <x:row r="671">
      <x:c r="A671" t="n">
        <x:v>668</x:v>
      </x:c>
      <x:c r="B671" t="str">
        <x:v>PTN Akademik</x:v>
      </x:c>
      <x:c r="C671" t="str">
        <x:v>UNIVERSITAS BENGKULU</x:v>
      </x:c>
      <x:c r="D671" t="str">
        <x:v>PENDIDIKAN JASMANI</x:v>
      </x:c>
      <x:c r="E671" t="str">
        <x:v>Sarjana</x:v>
      </x:c>
      <x:c r="F671" s="18" t="n">
        <x:v>45</x:v>
      </x:c>
      <x:c r="G671" s="18" t="n">
        <x:v>222</x:v>
      </x:c>
      <x:c r="H671" s="19" t="n">
        <x:v>4.933333333333334</x:v>
      </x:c>
      <x:c r="I671" s="18" t="n">
        <x:f>ROUND(MIN(Model_Config_v3!$B$6,MAX(Q671,R671,S671*Model_Config_v3!$B$4+T671*Model_Config_v3!$B$5)),0)</x:f>
        <x:v>639</x:v>
      </x:c>
      <x:c r="J671" s="18" t="n">
        <x:f>MIN(Model_Config_v3!$B$6,I671+Model_Config_v3!$B$7)</x:f>
        <x:v>659</x:v>
      </x:c>
      <x:c r="K671" s="20" t="n">
        <x:v>48.6</x:v>
      </x:c>
      <x:c r="L671" t="str">
        <x:v>MENENGAH</x:v>
      </x:c>
      <x:c r="M671" t="str">
        <x:v>PORTOFOLIO</x:v>
      </x:c>
      <x:c r="N671" t="str">
        <x:v>REGULER</x:v>
      </x:c>
      <x:c r="O671" t="str">
        <x:v>SENI/OLAHRAGA</x:v>
      </x:c>
      <x:c r="P671" t="str">
        <x:v>SENI/OLAHRAGA</x:v>
      </x:c>
      <x:c r="Q671" s="18" t="n">
        <x:v>0</x:v>
      </x:c>
      <x:c r="R671" s="18" t="n">
        <x:v>0</x:v>
      </x:c>
      <x:c r="S671" s="18" t="n">
        <x:v>596.2454506742824</x:v>
      </x:c>
      <x:c r="T671" s="18" t="n">
        <x:v>657</x:v>
      </x:c>
      <x:c r="U671" s="18" t="n">
        <x:v>596.2454506742824</x:v>
      </x:c>
      <x:c r="V671" s="20" t="n">
        <x:v>4.4</x:v>
      </x:c>
      <x:c r="W671" s="20" t="n">
        <x:v>9.9</x:v>
      </x:c>
      <x:c r="X671" s="20" t="n">
        <x:v>7.7</x:v>
      </x:c>
      <x:c r="Y671" t="str">
        <x:v>Basis arsip 2025/2024</x:v>
      </x:c>
      <x:c r="Z671" t="str">
        <x:v>https://snpmb.id/utbk-snbt/daya-tampung-snbt</x:v>
      </x:c>
      <x:c r="AA671" t="str">
        <x:v>Olahraga</x:v>
      </x:c>
      <x:c r="AB671" t="str">
        <x:v>Campus=55; Ratio=40.8; Prodi=45; RelDemand=39.0; Capacity=62.5</x:v>
      </x:c>
    </x:row>
    <x:row r="672">
      <x:c r="A672" t="n">
        <x:v>669</x:v>
      </x:c>
      <x:c r="B672" t="str">
        <x:v>PTN Akademik</x:v>
      </x:c>
      <x:c r="C672" t="str">
        <x:v>UNIVERSITAS BENGKULU</x:v>
      </x:c>
      <x:c r="D672" t="str">
        <x:v>BIMBINGAN DAN KONSELING</x:v>
      </x:c>
      <x:c r="E672" t="str">
        <x:v>Sarjana</x:v>
      </x:c>
      <x:c r="F672" s="18" t="n">
        <x:v>40</x:v>
      </x:c>
      <x:c r="G672" s="18" t="n">
        <x:v>385</x:v>
      </x:c>
      <x:c r="H672" s="19" t="n">
        <x:v>9.625</x:v>
      </x:c>
      <x:c r="I672" s="18" t="n">
        <x:f>ROUND(MIN(Model_Config_v3!$B$6,MAX(Q672,R672,S672*Model_Config_v3!$B$4+T672*Model_Config_v3!$B$5)),0)</x:f>
        <x:v>659</x:v>
      </x:c>
      <x:c r="J672" s="18" t="n">
        <x:f>MIN(Model_Config_v3!$B$6,I672+Model_Config_v3!$B$7)</x:f>
        <x:v>679</x:v>
      </x:c>
      <x:c r="K672" s="20" t="n">
        <x:v>56</x:v>
      </x:c>
      <x:c r="L672" t="str">
        <x:v>KETAT</x:v>
      </x:c>
      <x:c r="M672" t="str">
        <x:v>SEDANG</x:v>
      </x:c>
      <x:c r="N672" t="str">
        <x:v>REGULER</x:v>
      </x:c>
      <x:c r="O672" t="str">
        <x:v>CAMPURAN</x:v>
      </x:c>
      <x:c r="P672" t="str">
        <x:v>UMUM</x:v>
      </x:c>
      <x:c r="Q672" s="18" t="n">
        <x:v>0</x:v>
      </x:c>
      <x:c r="R672" s="18" t="n">
        <x:v>0</x:v>
      </x:c>
      <x:c r="S672" s="18" t="n">
        <x:v>628.1740811998592</x:v>
      </x:c>
      <x:c r="T672" s="18" t="n">
        <x:v>672</x:v>
      </x:c>
      <x:c r="U672" s="18" t="n">
        <x:v>628.1740811998592</x:v>
      </x:c>
      <x:c r="V672" s="20" t="n">
        <x:v>8.8</x:v>
      </x:c>
      <x:c r="W672" s="20" t="n">
        <x:v>9.9</x:v>
      </x:c>
      <x:c r="X672" s="20" t="n">
        <x:v>3.3</x:v>
      </x:c>
      <x:c r="Y672" t="str">
        <x:v>Basis arsip 2025/2024</x:v>
      </x:c>
      <x:c r="Z672" t="str">
        <x:v>https://snpmb.id/utbk-snbt/daya-tampung-snbt</x:v>
      </x:c>
      <x:c r="AA672" t="str">
        <x:v>Tidak Ada</x:v>
      </x:c>
      <x:c r="AB672" t="str">
        <x:v>Campus=55; Ratio=57.9; Prodi=40; RelDemand=76.2; Capacity=66.7</x:v>
      </x:c>
    </x:row>
    <x:row r="673">
      <x:c r="A673" t="n">
        <x:v>670</x:v>
      </x:c>
      <x:c r="B673" t="str">
        <x:v>PTN Akademik</x:v>
      </x:c>
      <x:c r="C673" t="str">
        <x:v>UNIVERSITAS BENGKULU</x:v>
      </x:c>
      <x:c r="D673" t="str">
        <x:v>ILMU PERPUSTAKAAN</x:v>
      </x:c>
      <x:c r="E673" t="str">
        <x:v>Sarjana</x:v>
      </x:c>
      <x:c r="F673" s="18" t="n">
        <x:v>37</x:v>
      </x:c>
      <x:c r="G673" s="18" t="n">
        <x:v>112</x:v>
      </x:c>
      <x:c r="H673" s="19" t="n">
        <x:v>3.027027027027027</x:v>
      </x:c>
      <x:c r="I673" s="18" t="n">
        <x:f>ROUND(MIN(Model_Config_v3!$B$6,MAX(Q673,R673,S673*Model_Config_v3!$B$4+T673*Model_Config_v3!$B$5)),0)</x:f>
        <x:v>625</x:v>
      </x:c>
      <x:c r="J673" s="18" t="n">
        <x:f>MIN(Model_Config_v3!$B$6,I673+Model_Config_v3!$B$7)</x:f>
        <x:v>645</x:v>
      </x:c>
      <x:c r="K673" s="20" t="n">
        <x:v>43.6</x:v>
      </x:c>
      <x:c r="L673" t="str">
        <x:v>RELATIF LONGGAR</x:v>
      </x:c>
      <x:c r="M673" t="str">
        <x:v>SEDANG</x:v>
      </x:c>
      <x:c r="N673" t="str">
        <x:v>REGULER</x:v>
      </x:c>
      <x:c r="O673" t="str">
        <x:v>CAMPURAN</x:v>
      </x:c>
      <x:c r="P673" t="str">
        <x:v>UMUM</x:v>
      </x:c>
      <x:c r="Q673" s="18" t="n">
        <x:v>0</x:v>
      </x:c>
      <x:c r="R673" s="18" t="n">
        <x:v>0</x:v>
      </x:c>
      <x:c r="S673" s="18" t="n">
        <x:v>572.9117928463505</x:v>
      </x:c>
      <x:c r="T673" s="18" t="n">
        <x:v>647</x:v>
      </x:c>
      <x:c r="U673" s="18" t="n">
        <x:v>572.9117928463505</x:v>
      </x:c>
      <x:c r="V673" s="20" t="n">
        <x:v>8.8</x:v>
      </x:c>
      <x:c r="W673" s="20" t="n">
        <x:v>9.9</x:v>
      </x:c>
      <x:c r="X673" s="20" t="n">
        <x:v>3.3</x:v>
      </x:c>
      <x:c r="Y673" t="str">
        <x:v>Basis arsip 2025/2024</x:v>
      </x:c>
      <x:c r="Z673" t="str">
        <x:v>https://snpmb.id/utbk-snbt/daya-tampung-snbt</x:v>
      </x:c>
      <x:c r="AA673" t="str">
        <x:v>Tidak Ada</x:v>
      </x:c>
      <x:c r="AB673" t="str">
        <x:v>Campus=55; Ratio=28.3; Prodi=40; RelDemand=24.0; Capacity=69.2</x:v>
      </x:c>
    </x:row>
    <x:row r="674">
      <x:c r="A674" t="n">
        <x:v>671</x:v>
      </x:c>
      <x:c r="B674" t="str">
        <x:v>PTN Akademik</x:v>
      </x:c>
      <x:c r="C674" t="str">
        <x:v>UNIVERSITAS BENGKULU</x:v>
      </x:c>
      <x:c r="D674" t="str">
        <x:v>JURNALISTIK</x:v>
      </x:c>
      <x:c r="E674" t="str">
        <x:v>Sarjana</x:v>
      </x:c>
      <x:c r="F674" s="18" t="n">
        <x:v>40</x:v>
      </x:c>
      <x:c r="G674" s="18" t="n">
        <x:v>96</x:v>
      </x:c>
      <x:c r="H674" s="19" t="n">
        <x:v>2.4</x:v>
      </x:c>
      <x:c r="I674" s="18" t="n">
        <x:f>ROUND(MIN(Model_Config_v3!$B$6,MAX(Q674,R674,S674*Model_Config_v3!$B$4+T674*Model_Config_v3!$B$5)),0)</x:f>
        <x:v>619</x:v>
      </x:c>
      <x:c r="J674" s="18" t="n">
        <x:f>MIN(Model_Config_v3!$B$6,I674+Model_Config_v3!$B$7)</x:f>
        <x:v>639</x:v>
      </x:c>
      <x:c r="K674" s="20" t="n">
        <x:v>41.4</x:v>
      </x:c>
      <x:c r="L674" t="str">
        <x:v>RELATIF LONGGAR</x:v>
      </x:c>
      <x:c r="M674" t="str">
        <x:v>SEDANG</x:v>
      </x:c>
      <x:c r="N674" t="str">
        <x:v>REGULER</x:v>
      </x:c>
      <x:c r="O674" t="str">
        <x:v>CAMPURAN</x:v>
      </x:c>
      <x:c r="P674" t="str">
        <x:v>UMUM</x:v>
      </x:c>
      <x:c r="Q674" s="18" t="n">
        <x:v>0</x:v>
      </x:c>
      <x:c r="R674" s="18" t="n">
        <x:v>0</x:v>
      </x:c>
      <x:c r="S674" s="18" t="n">
        <x:v>561.8232365882767</x:v>
      </x:c>
      <x:c r="T674" s="18" t="n">
        <x:v>643</x:v>
      </x:c>
      <x:c r="U674" s="18" t="n">
        <x:v>561.8232365882767</x:v>
      </x:c>
      <x:c r="V674" s="20" t="n">
        <x:v>8.8</x:v>
      </x:c>
      <x:c r="W674" s="20" t="n">
        <x:v>9.9</x:v>
      </x:c>
      <x:c r="X674" s="20" t="n">
        <x:v>3.3</x:v>
      </x:c>
      <x:c r="Y674" t="str">
        <x:v>Basis arsip 2025/2024</x:v>
      </x:c>
      <x:c r="Z674" t="str">
        <x:v>https://snpmb.id/utbk-snbt/daya-tampung-snbt</x:v>
      </x:c>
      <x:c r="AA674" t="str">
        <x:v>Tidak Ada</x:v>
      </x:c>
      <x:c r="AB674" t="str">
        <x:v>Campus=55; Ratio=22.4; Prodi=40; RelDemand=19.0; Capacity=66.7</x:v>
      </x:c>
    </x:row>
    <x:row r="675">
      <x:c r="A675" t="n">
        <x:v>672</x:v>
      </x:c>
      <x:c r="B675" t="str">
        <x:v>PTN Akademik</x:v>
      </x:c>
      <x:c r="C675" t="str">
        <x:v>UNIVERSITAS BENGKULU</x:v>
      </x:c>
      <x:c r="D675" t="str">
        <x:v>ILMU LINGKUNGAAN</x:v>
      </x:c>
      <x:c r="E675" t="str">
        <x:v>Sarjana</x:v>
      </x:c>
      <x:c r="F675" s="18" t="n">
        <x:v>25</x:v>
      </x:c>
      <x:c r="G675" s="18" t="n">
        <x:v>49</x:v>
      </x:c>
      <x:c r="H675" s="19" t="n">
        <x:v>1.96</x:v>
      </x:c>
      <x:c r="I675" s="18" t="n">
        <x:f>ROUND(MIN(Model_Config_v3!$B$6,MAX(Q675,R675,S675*Model_Config_v3!$B$4+T675*Model_Config_v3!$B$5)),0)</x:f>
        <x:v>615</x:v>
      </x:c>
      <x:c r="J675" s="18" t="n">
        <x:f>MIN(Model_Config_v3!$B$6,I675+Model_Config_v3!$B$7)</x:f>
        <x:v>635</x:v>
      </x:c>
      <x:c r="K675" s="20" t="n">
        <x:v>41</x:v>
      </x:c>
      <x:c r="L675" t="str">
        <x:v>RELATIF LONGGAR</x:v>
      </x:c>
      <x:c r="M675" t="str">
        <x:v>SEDANG</x:v>
      </x:c>
      <x:c r="N675" t="str">
        <x:v>REGULER</x:v>
      </x:c>
      <x:c r="O675" t="str">
        <x:v>CAMPURAN</x:v>
      </x:c>
      <x:c r="P675" t="str">
        <x:v>UMUM</x:v>
      </x:c>
      <x:c r="Q675" s="18" t="n">
        <x:v>0</x:v>
      </x:c>
      <x:c r="R675" s="18" t="n">
        <x:v>0</x:v>
      </x:c>
      <x:c r="S675" s="18" t="n">
        <x:v>552.1481678492123</x:v>
      </x:c>
      <x:c r="T675" s="18" t="n">
        <x:v>642</x:v>
      </x:c>
      <x:c r="U675" s="18" t="n">
        <x:v>552.1481678492123</x:v>
      </x:c>
      <x:c r="V675" s="20" t="n">
        <x:v>8.8</x:v>
      </x:c>
      <x:c r="W675" s="20" t="n">
        <x:v>9.9</x:v>
      </x:c>
      <x:c r="X675" s="20" t="n">
        <x:v>3.3</x:v>
      </x:c>
      <x:c r="Y675" t="str">
        <x:v>Basis arsip 2025/2024</x:v>
      </x:c>
      <x:c r="Z675" t="str">
        <x:v>https://snpmb.id/utbk-snbt/daya-tampung-snbt</x:v>
      </x:c>
      <x:c r="AA675" t="str">
        <x:v>Tidak Ada</x:v>
      </x:c>
      <x:c r="AB675" t="str">
        <x:v>Campus=55; Ratio=17.2; Prodi=40; RelDemand=15.5; Capacity=79.2</x:v>
      </x:c>
    </x:row>
    <x:row r="676">
      <x:c r="A676" t="n">
        <x:v>673</x:v>
      </x:c>
      <x:c r="B676" t="str">
        <x:v>PTN Akademik</x:v>
      </x:c>
      <x:c r="C676" t="str">
        <x:v>UNIVERSITAS BENGKULU</x:v>
      </x:c>
      <x:c r="D676" t="str">
        <x:v>FARMASI</x:v>
      </x:c>
      <x:c r="E676" t="str">
        <x:v>Diploma Tiga</x:v>
      </x:c>
      <x:c r="F676" s="18" t="n">
        <x:v>45</x:v>
      </x:c>
      <x:c r="G676" s="18" t="n">
        <x:v>1560</x:v>
      </x:c>
      <x:c r="H676" s="19" t="n">
        <x:v>34.666666666666664</x:v>
      </x:c>
      <x:c r="I676" s="18" t="n">
        <x:f>ROUND(MIN(Model_Config_v3!$B$6,MAX(Q676,R676,S676*Model_Config_v3!$B$4+T676*Model_Config_v3!$B$5)),0)</x:f>
        <x:v>701</x:v>
      </x:c>
      <x:c r="J676" s="18" t="n">
        <x:f>MIN(Model_Config_v3!$B$6,I676+Model_Config_v3!$B$7)</x:f>
        <x:v>721</x:v>
      </x:c>
      <x:c r="K676" s="20" t="n">
        <x:v>73.2</x:v>
      </x:c>
      <x:c r="L676" t="str">
        <x:v>SANGAT KETAT</x:v>
      </x:c>
      <x:c r="M676" t="str">
        <x:v>SEDANG+</x:v>
      </x:c>
      <x:c r="N676" t="str">
        <x:v>REGULER</x:v>
      </x:c>
      <x:c r="O676" t="str">
        <x:v>SAINTEK</x:v>
      </x:c>
      <x:c r="P676" t="str">
        <x:v>FARMASI</x:v>
      </x:c>
      <x:c r="Q676" s="18" t="n">
        <x:v>0</x:v>
      </x:c>
      <x:c r="R676" s="18" t="n">
        <x:v>0</x:v>
      </x:c>
      <x:c r="S676" s="18" t="n">
        <x:v>689.390329303703</x:v>
      </x:c>
      <x:c r="T676" s="18" t="n">
        <x:v>706</x:v>
      </x:c>
      <x:c r="U676" s="18" t="n">
        <x:v>709.390329303703</x:v>
      </x:c>
      <x:c r="V676" s="20" t="n">
        <x:v>12</x:v>
      </x:c>
      <x:c r="W676" s="20" t="n">
        <x:v>5</x:v>
      </x:c>
      <x:c r="X676" s="20" t="n">
        <x:v>3</x:v>
      </x:c>
      <x:c r="Y676" t="str">
        <x:v>Basis arsip 2025/2024</x:v>
      </x:c>
      <x:c r="Z676" t="str">
        <x:v>https://snpmb.id/utbk-snbt/daya-tampung-snbt</x:v>
      </x:c>
      <x:c r="AA676" t="str">
        <x:v>Tidak Ada</x:v>
      </x:c>
      <x:c r="AB676" t="str">
        <x:v>Campus=55; Ratio=90.6; Prodi=75; RelDemand=100.0; Capacity=62.5</x:v>
      </x:c>
    </x:row>
    <x:row r="677">
      <x:c r="A677" t="n">
        <x:v>674</x:v>
      </x:c>
      <x:c r="B677" t="str">
        <x:v>PTN Akademik</x:v>
      </x:c>
      <x:c r="C677" t="str">
        <x:v>UNIVERSITAS BENGKULU</x:v>
      </x:c>
      <x:c r="D677" t="str">
        <x:v>LABORATORIUM SAINS</x:v>
      </x:c>
      <x:c r="E677" t="str">
        <x:v>Diploma Tiga</x:v>
      </x:c>
      <x:c r="F677" s="18" t="n">
        <x:v>40</x:v>
      </x:c>
      <x:c r="G677" s="18" t="n">
        <x:v>581</x:v>
      </x:c>
      <x:c r="H677" s="19" t="n">
        <x:v>14.525</x:v>
      </x:c>
      <x:c r="I677" s="18" t="n">
        <x:f>ROUND(MIN(Model_Config_v3!$B$6,MAX(Q677,R677,S677*Model_Config_v3!$B$4+T677*Model_Config_v3!$B$5)),0)</x:f>
        <x:v>672</x:v>
      </x:c>
      <x:c r="J677" s="18" t="n">
        <x:f>MIN(Model_Config_v3!$B$6,I677+Model_Config_v3!$B$7)</x:f>
        <x:v>692</x:v>
      </x:c>
      <x:c r="K677" s="20" t="n">
        <x:v>61</x:v>
      </x:c>
      <x:c r="L677" t="str">
        <x:v>KETAT</x:v>
      </x:c>
      <x:c r="M677" t="str">
        <x:v>SEDANG</x:v>
      </x:c>
      <x:c r="N677" t="str">
        <x:v>REGULER</x:v>
      </x:c>
      <x:c r="O677" t="str">
        <x:v>CAMPURAN</x:v>
      </x:c>
      <x:c r="P677" t="str">
        <x:v>UMUM</x:v>
      </x:c>
      <x:c r="Q677" s="18" t="n">
        <x:v>0</x:v>
      </x:c>
      <x:c r="R677" s="18" t="n">
        <x:v>0</x:v>
      </x:c>
      <x:c r="S677" s="18" t="n">
        <x:v>647.8327755168605</x:v>
      </x:c>
      <x:c r="T677" s="18" t="n">
        <x:v>682</x:v>
      </x:c>
      <x:c r="U677" s="18" t="n">
        <x:v>647.8327755168605</x:v>
      </x:c>
      <x:c r="V677" s="20" t="n">
        <x:v>8.8</x:v>
      </x:c>
      <x:c r="W677" s="20" t="n">
        <x:v>9.9</x:v>
      </x:c>
      <x:c r="X677" s="20" t="n">
        <x:v>3.3</x:v>
      </x:c>
      <x:c r="Y677" t="str">
        <x:v>Basis arsip 2025/2024</x:v>
      </x:c>
      <x:c r="Z677" t="str">
        <x:v>https://snpmb.id/utbk-snbt/daya-tampung-snbt</x:v>
      </x:c>
      <x:c r="AA677" t="str">
        <x:v>Tidak Ada</x:v>
      </x:c>
      <x:c r="AB677" t="str">
        <x:v>Campus=55; Ratio=68.4; Prodi=40; RelDemand=100.0; Capacity=66.7</x:v>
      </x:c>
    </x:row>
    <x:row r="678">
      <x:c r="A678" t="n">
        <x:v>675</x:v>
      </x:c>
      <x:c r="B678" t="str">
        <x:v>PTN Akademik</x:v>
      </x:c>
      <x:c r="C678" t="str">
        <x:v>UNIVERSITAS BENGKULU</x:v>
      </x:c>
      <x:c r="D678" t="str">
        <x:v>KEBIDANAN</x:v>
      </x:c>
      <x:c r="E678" t="str">
        <x:v>Diploma Tiga</x:v>
      </x:c>
      <x:c r="F678" s="18" t="n">
        <x:v>60</x:v>
      </x:c>
      <x:c r="G678" s="18" t="n">
        <x:v>873</x:v>
      </x:c>
      <x:c r="H678" s="19" t="n">
        <x:v>14.55</x:v>
      </x:c>
      <x:c r="I678" s="18" t="n">
        <x:f>ROUND(MIN(Model_Config_v3!$B$6,MAX(Q678,R678,S678*Model_Config_v3!$B$4+T678*Model_Config_v3!$B$5)),0)</x:f>
        <x:v>674</x:v>
      </x:c>
      <x:c r="J678" s="18" t="n">
        <x:f>MIN(Model_Config_v3!$B$6,I678+Model_Config_v3!$B$7)</x:f>
        <x:v>694</x:v>
      </x:c>
      <x:c r="K678" s="20" t="n">
        <x:v>62.4</x:v>
      </x:c>
      <x:c r="L678" t="str">
        <x:v>KETAT</x:v>
      </x:c>
      <x:c r="M678" t="str">
        <x:v>SEDANG+</x:v>
      </x:c>
      <x:c r="N678" t="str">
        <x:v>REGULER</x:v>
      </x:c>
      <x:c r="O678" t="str">
        <x:v>SAINTEK</x:v>
      </x:c>
      <x:c r="P678" t="str">
        <x:v>KESEHAT/GIZI/KEPERAWATAN</x:v>
      </x:c>
      <x:c r="Q678" s="18" t="n">
        <x:v>0</x:v>
      </x:c>
      <x:c r="R678" s="18" t="n">
        <x:v>0</x:v>
      </x:c>
      <x:c r="S678" s="18" t="n">
        <x:v>647.9149292654118</x:v>
      </x:c>
      <x:c r="T678" s="18" t="n">
        <x:v>685</x:v>
      </x:c>
      <x:c r="U678" s="18" t="n">
        <x:v>647.9149292654118</x:v>
      </x:c>
      <x:c r="V678" s="20" t="n">
        <x:v>12</x:v>
      </x:c>
      <x:c r="W678" s="20" t="n">
        <x:v>5</x:v>
      </x:c>
      <x:c r="X678" s="20" t="n">
        <x:v>3</x:v>
      </x:c>
      <x:c r="Y678" t="str">
        <x:v>Basis arsip 2025/2024</x:v>
      </x:c>
      <x:c r="Z678" t="str">
        <x:v>https://snpmb.id/utbk-snbt/daya-tampung-snbt</x:v>
      </x:c>
      <x:c r="AA678" t="str">
        <x:v>Tidak Ada</x:v>
      </x:c>
      <x:c r="AB678" t="str">
        <x:v>Campus=55; Ratio=68.4; Prodi=55; RelDemand=100.0; Capacity=50.0</x:v>
      </x:c>
    </x:row>
    <x:row r="679">
      <x:c r="A679" t="n">
        <x:v>676</x:v>
      </x:c>
      <x:c r="B679" t="str">
        <x:v>PTN Akademik</x:v>
      </x:c>
      <x:c r="C679" t="str">
        <x:v>UNIVERSITAS BENGKULU</x:v>
      </x:c>
      <x:c r="D679" t="str">
        <x:v>KEPERAWATAN</x:v>
      </x:c>
      <x:c r="E679" t="str">
        <x:v>Diploma Tiga</x:v>
      </x:c>
      <x:c r="F679" s="18" t="n">
        <x:v>60</x:v>
      </x:c>
      <x:c r="G679" s="18" t="n">
        <x:v>1441</x:v>
      </x:c>
      <x:c r="H679" s="19" t="n">
        <x:v>24.016666666666666</x:v>
      </x:c>
      <x:c r="I679" s="18" t="n">
        <x:f>ROUND(MIN(Model_Config_v3!$B$6,MAX(Q679,R679,S679*Model_Config_v3!$B$4+T679*Model_Config_v3!$B$5)),0)</x:f>
        <x:v>685</x:v>
      </x:c>
      <x:c r="J679" s="18" t="n">
        <x:f>MIN(Model_Config_v3!$B$6,I679+Model_Config_v3!$B$7)</x:f>
        <x:v>705</x:v>
      </x:c>
      <x:c r="K679" s="20" t="n">
        <x:v>65.6</x:v>
      </x:c>
      <x:c r="L679" t="str">
        <x:v>SANGAT KETAT</x:v>
      </x:c>
      <x:c r="M679" t="str">
        <x:v>SEDANG+</x:v>
      </x:c>
      <x:c r="N679" t="str">
        <x:v>REGULER</x:v>
      </x:c>
      <x:c r="O679" t="str">
        <x:v>SAINTEK</x:v>
      </x:c>
      <x:c r="P679" t="str">
        <x:v>KESEHAT/GIZI/KEPERAWATAN</x:v>
      </x:c>
      <x:c r="Q679" s="18" t="n">
        <x:v>0</x:v>
      </x:c>
      <x:c r="R679" s="18" t="n">
        <x:v>0</x:v>
      </x:c>
      <x:c r="S679" s="18" t="n">
        <x:v>671.856400347338</x:v>
      </x:c>
      <x:c r="T679" s="18" t="n">
        <x:v>691</x:v>
      </x:c>
      <x:c r="U679" s="18" t="n">
        <x:v>671.856400347338</x:v>
      </x:c>
      <x:c r="V679" s="20" t="n">
        <x:v>12</x:v>
      </x:c>
      <x:c r="W679" s="20" t="n">
        <x:v>5</x:v>
      </x:c>
      <x:c r="X679" s="20" t="n">
        <x:v>3</x:v>
      </x:c>
      <x:c r="Y679" t="str">
        <x:v>Basis arsip 2025/2024</x:v>
      </x:c>
      <x:c r="Z679" t="str">
        <x:v>https://snpmb.id/utbk-snbt/daya-tampung-snbt</x:v>
      </x:c>
      <x:c r="AA679" t="str">
        <x:v>Tidak Ada</x:v>
      </x:c>
      <x:c r="AB679" t="str">
        <x:v>Campus=55; Ratio=81.3; Prodi=55; RelDemand=100.0; Capacity=50.0</x:v>
      </x:c>
    </x:row>
    <x:row r="680">
      <x:c r="A680" t="n">
        <x:v>677</x:v>
      </x:c>
      <x:c r="B680" t="str">
        <x:v>PTN Akademik</x:v>
      </x:c>
      <x:c r="C680" t="str">
        <x:v>UNIVERSITAS BENGKULU</x:v>
      </x:c>
      <x:c r="D680" t="str">
        <x:v>AKUNTANSI</x:v>
      </x:c>
      <x:c r="E680" t="str">
        <x:v>Diploma Tiga</x:v>
      </x:c>
      <x:c r="F680" s="18" t="n">
        <x:v>45</x:v>
      </x:c>
      <x:c r="G680" s="18" t="n">
        <x:v>1150</x:v>
      </x:c>
      <x:c r="H680" s="19" t="n">
        <x:v>25.555555555555557</x:v>
      </x:c>
      <x:c r="I680" s="18" t="n">
        <x:f>ROUND(MIN(Model_Config_v3!$B$6,MAX(Q680,R680,S680*Model_Config_v3!$B$4+T680*Model_Config_v3!$B$5)),0)</x:f>
        <x:v>691</x:v>
      </x:c>
      <x:c r="J680" s="18" t="n">
        <x:f>MIN(Model_Config_v3!$B$6,I680+Model_Config_v3!$B$7)</x:f>
        <x:v>711</x:v>
      </x:c>
      <x:c r="K680" s="20" t="n">
        <x:v>69.2</x:v>
      </x:c>
      <x:c r="L680" t="str">
        <x:v>SANGAT KETAT</x:v>
      </x:c>
      <x:c r="M680" t="str">
        <x:v>SEDANG+</x:v>
      </x:c>
      <x:c r="N680" t="str">
        <x:v>REGULER</x:v>
      </x:c>
      <x:c r="O680" t="str">
        <x:v>SOSHUM</x:v>
      </x:c>
      <x:c r="P680" t="str">
        <x:v>BISNIS/EKONOMI/AKUNTANSI</x:v>
      </x:c>
      <x:c r="Q680" s="18" t="n">
        <x:v>0</x:v>
      </x:c>
      <x:c r="R680" s="18" t="n">
        <x:v>0</x:v>
      </x:c>
      <x:c r="S680" s="18" t="n">
        <x:v>674.8233859236095</x:v>
      </x:c>
      <x:c r="T680" s="18" t="n">
        <x:v>698</x:v>
      </x:c>
      <x:c r="U680" s="18" t="n">
        <x:v>674.8233859236095</x:v>
      </x:c>
      <x:c r="V680" s="20" t="n">
        <x:v>4.4</x:v>
      </x:c>
      <x:c r="W680" s="20" t="n">
        <x:v>14.3</x:v>
      </x:c>
      <x:c r="X680" s="20" t="n">
        <x:v>3.3</x:v>
      </x:c>
      <x:c r="Y680" t="str">
        <x:v>Basis arsip 2025/2024</x:v>
      </x:c>
      <x:c r="Z680" t="str">
        <x:v>https://snpmb.id/utbk-snbt/daya-tampung-snbt</x:v>
      </x:c>
      <x:c r="AA680" t="str">
        <x:v>Tidak Ada</x:v>
      </x:c>
      <x:c r="AB680" t="str">
        <x:v>Campus=55; Ratio=82.8; Prodi=65; RelDemand=100.0; Capacity=62.5</x:v>
      </x:c>
    </x:row>
    <x:row r="681">
      <x:c r="A681" t="n">
        <x:v>678</x:v>
      </x:c>
      <x:c r="B681" t="str">
        <x:v>PTN Akademik</x:v>
      </x:c>
      <x:c r="C681" t="str">
        <x:v>UNIVERSITAS SRIWIJAYA</x:v>
      </x:c>
      <x:c r="D681" t="str">
        <x:v>TEKNIK SIPIL</x:v>
      </x:c>
      <x:c r="E681" t="str">
        <x:v>Sarjana</x:v>
      </x:c>
      <x:c r="F681" s="18" t="n">
        <x:v>70</x:v>
      </x:c>
      <x:c r="G681" s="18" t="n">
        <x:v>996</x:v>
      </x:c>
      <x:c r="H681" s="19" t="n">
        <x:v>14.228571428571428</x:v>
      </x:c>
      <x:c r="I681" s="18" t="n">
        <x:f>ROUND(MIN(Model_Config_v3!$B$6,MAX(Q681,R681,S681*Model_Config_v3!$B$4+T681*Model_Config_v3!$B$5)),0)</x:f>
        <x:v>681</x:v>
      </x:c>
      <x:c r="J681" s="18" t="n">
        <x:f>MIN(Model_Config_v3!$B$6,I681+Model_Config_v3!$B$7)</x:f>
        <x:v>701</x:v>
      </x:c>
      <x:c r="K681" s="20" t="n">
        <x:v>68.2</x:v>
      </x:c>
      <x:c r="L681" t="str">
        <x:v>SANGAT KETAT</x:v>
      </x:c>
      <x:c r="M681" t="str">
        <x:v>SEDANG+</x:v>
      </x:c>
      <x:c r="N681" t="str">
        <x:v>ELITE-3</x:v>
      </x:c>
      <x:c r="O681" t="str">
        <x:v>SAINTEK</x:v>
      </x:c>
      <x:c r="P681" t="str">
        <x:v>TEKNIK/ARSITEKTUR/STATISTIKA/AKTUARIA</x:v>
      </x:c>
      <x:c r="Q681" s="18" t="n">
        <x:v>630</x:v>
      </x:c>
      <x:c r="R681" s="18" t="n">
        <x:v>0</x:v>
      </x:c>
      <x:c r="S681" s="18" t="n">
        <x:v>646.8477428250386</x:v>
      </x:c>
      <x:c r="T681" s="18" t="n">
        <x:v>696</x:v>
      </x:c>
      <x:c r="U681" s="18" t="n">
        <x:v>656.8477428250386</x:v>
      </x:c>
      <x:c r="V681" s="20" t="n">
        <x:v>12</x:v>
      </x:c>
      <x:c r="W681" s="20" t="n">
        <x:v>5</x:v>
      </x:c>
      <x:c r="X681" s="20" t="n">
        <x:v>3</x:v>
      </x:c>
      <x:c r="Y681" t="str">
        <x:v>Basis arsip 2025/2024</x:v>
      </x:c>
      <x:c r="Z681" t="str">
        <x:v>https://snpmb.id/utbk-snbt/daya-tampung-snbt</x:v>
      </x:c>
      <x:c r="AA681" t="str">
        <x:v>Tidak Ada</x:v>
      </x:c>
      <x:c r="AB681" t="str">
        <x:v>Campus=80; Ratio=67.9; Prodi=60; RelDemand=70.4; Capacity=41.7</x:v>
      </x:c>
    </x:row>
    <x:row r="682">
      <x:c r="A682" t="n">
        <x:v>679</x:v>
      </x:c>
      <x:c r="B682" t="str">
        <x:v>PTN Akademik</x:v>
      </x:c>
      <x:c r="C682" t="str">
        <x:v>UNIVERSITAS SRIWIJAYA</x:v>
      </x:c>
      <x:c r="D682" t="str">
        <x:v>TEKNIK PERTAMBANGAN</x:v>
      </x:c>
      <x:c r="E682" t="str">
        <x:v>Sarjana</x:v>
      </x:c>
      <x:c r="F682" s="18" t="n">
        <x:v>70</x:v>
      </x:c>
      <x:c r="G682" s="18" t="n">
        <x:v>1924</x:v>
      </x:c>
      <x:c r="H682" s="19" t="n">
        <x:v>27.485714285714284</x:v>
      </x:c>
      <x:c r="I682" s="18" t="n">
        <x:f>ROUND(MIN(Model_Config_v3!$B$6,MAX(Q682,R682,S682*Model_Config_v3!$B$4+T682*Model_Config_v3!$B$5)),0)</x:f>
        <x:v>701</x:v>
      </x:c>
      <x:c r="J682" s="18" t="n">
        <x:f>MIN(Model_Config_v3!$B$6,I682+Model_Config_v3!$B$7)</x:f>
        <x:v>721</x:v>
      </x:c>
      <x:c r="K682" s="20" t="n">
        <x:v>75.3</x:v>
      </x:c>
      <x:c r="L682" t="str">
        <x:v>ELITE</x:v>
      </x:c>
      <x:c r="M682" t="str">
        <x:v>SEDANG+</x:v>
      </x:c>
      <x:c r="N682" t="str">
        <x:v>ELITE-3</x:v>
      </x:c>
      <x:c r="O682" t="str">
        <x:v>SAINTEK</x:v>
      </x:c>
      <x:c r="P682" t="str">
        <x:v>TEKNIK/ARSITEKTUR/STATISTIKA/AKTUARIA</x:v>
      </x:c>
      <x:c r="Q682" s="18" t="n">
        <x:v>630</x:v>
      </x:c>
      <x:c r="R682" s="18" t="n">
        <x:v>0</x:v>
      </x:c>
      <x:c r="S682" s="18" t="n">
        <x:v>678.301773045629</x:v>
      </x:c>
      <x:c r="T682" s="18" t="n">
        <x:v>711</x:v>
      </x:c>
      <x:c r="U682" s="18" t="n">
        <x:v>688.301773045629</x:v>
      </x:c>
      <x:c r="V682" s="20" t="n">
        <x:v>12</x:v>
      </x:c>
      <x:c r="W682" s="20" t="n">
        <x:v>5</x:v>
      </x:c>
      <x:c r="X682" s="20" t="n">
        <x:v>3</x:v>
      </x:c>
      <x:c r="Y682" t="str">
        <x:v>Basis arsip 2025/2024</x:v>
      </x:c>
      <x:c r="Z682" t="str">
        <x:v>https://snpmb.id/utbk-snbt/daya-tampung-snbt</x:v>
      </x:c>
      <x:c r="AA682" t="str">
        <x:v>Tidak Ada</x:v>
      </x:c>
      <x:c r="AB682" t="str">
        <x:v>Campus=80; Ratio=84.7; Prodi=60; RelDemand=100.0; Capacity=41.7</x:v>
      </x:c>
    </x:row>
    <x:row r="683">
      <x:c r="A683" t="n">
        <x:v>680</x:v>
      </x:c>
      <x:c r="B683" t="str">
        <x:v>PTN Akademik</x:v>
      </x:c>
      <x:c r="C683" t="str">
        <x:v>UNIVERSITAS SRIWIJAYA</x:v>
      </x:c>
      <x:c r="D683" t="str">
        <x:v>TEKNIK KIMIA</x:v>
      </x:c>
      <x:c r="E683" t="str">
        <x:v>Sarjana</x:v>
      </x:c>
      <x:c r="F683" s="18" t="n">
        <x:v>70</x:v>
      </x:c>
      <x:c r="G683" s="18" t="n">
        <x:v>438</x:v>
      </x:c>
      <x:c r="H683" s="19" t="n">
        <x:v>6.257142857142857</x:v>
      </x:c>
      <x:c r="I683" s="18" t="n">
        <x:f>ROUND(MIN(Model_Config_v3!$B$6,MAX(Q683,R683,S683*Model_Config_v3!$B$4+T683*Model_Config_v3!$B$5)),0)</x:f>
        <x:v>657</x:v>
      </x:c>
      <x:c r="J683" s="18" t="n">
        <x:f>MIN(Model_Config_v3!$B$6,I683+Model_Config_v3!$B$7)</x:f>
        <x:v>677</x:v>
      </x:c>
      <x:c r="K683" s="20" t="n">
        <x:v>59</x:v>
      </x:c>
      <x:c r="L683" t="str">
        <x:v>KETAT</x:v>
      </x:c>
      <x:c r="M683" t="str">
        <x:v>SEDANG+</x:v>
      </x:c>
      <x:c r="N683" t="str">
        <x:v>ELITE-3</x:v>
      </x:c>
      <x:c r="O683" t="str">
        <x:v>SAINTEK</x:v>
      </x:c>
      <x:c r="P683" t="str">
        <x:v>TEKNIK/ARSITEKTUR/STATISTIKA/AKTUARIA</x:v>
      </x:c>
      <x:c r="Q683" s="18" t="n">
        <x:v>630</x:v>
      </x:c>
      <x:c r="R683" s="18" t="n">
        <x:v>0</x:v>
      </x:c>
      <x:c r="S683" s="18" t="n">
        <x:v>607.6013677538826</x:v>
      </x:c>
      <x:c r="T683" s="18" t="n">
        <x:v>678</x:v>
      </x:c>
      <x:c r="U683" s="18" t="n">
        <x:v>630</x:v>
      </x:c>
      <x:c r="V683" s="20" t="n">
        <x:v>12</x:v>
      </x:c>
      <x:c r="W683" s="20" t="n">
        <x:v>5</x:v>
      </x:c>
      <x:c r="X683" s="20" t="n">
        <x:v>3</x:v>
      </x:c>
      <x:c r="Y683" t="str">
        <x:v>Basis arsip 2025/2024</x:v>
      </x:c>
      <x:c r="Z683" t="str">
        <x:v>https://snpmb.id/utbk-snbt/daya-tampung-snbt</x:v>
      </x:c>
      <x:c r="AA683" t="str">
        <x:v>Tidak Ada</x:v>
      </x:c>
      <x:c r="AB683" t="str">
        <x:v>Campus=80; Ratio=46.9; Prodi=60; RelDemand=30.9; Capacity=41.7</x:v>
      </x:c>
    </x:row>
    <x:row r="684">
      <x:c r="A684" t="n">
        <x:v>681</x:v>
      </x:c>
      <x:c r="B684" t="str">
        <x:v>PTN Akademik</x:v>
      </x:c>
      <x:c r="C684" t="str">
        <x:v>UNIVERSITAS SRIWIJAYA</x:v>
      </x:c>
      <x:c r="D684" t="str">
        <x:v>TEKNIK MESIN</x:v>
      </x:c>
      <x:c r="E684" t="str">
        <x:v>Sarjana</x:v>
      </x:c>
      <x:c r="F684" s="18" t="n">
        <x:v>70</x:v>
      </x:c>
      <x:c r="G684" s="18" t="n">
        <x:v>672</x:v>
      </x:c>
      <x:c r="H684" s="19" t="n">
        <x:v>9.6</x:v>
      </x:c>
      <x:c r="I684" s="18" t="n">
        <x:f>ROUND(MIN(Model_Config_v3!$B$6,MAX(Q684,R684,S684*Model_Config_v3!$B$4+T684*Model_Config_v3!$B$5)),0)</x:f>
        <x:v>669</x:v>
      </x:c>
      <x:c r="J684" s="18" t="n">
        <x:f>MIN(Model_Config_v3!$B$6,I684+Model_Config_v3!$B$7)</x:f>
        <x:v>689</x:v>
      </x:c>
      <x:c r="K684" s="20" t="n">
        <x:v>63.4</x:v>
      </x:c>
      <x:c r="L684" t="str">
        <x:v>KETAT</x:v>
      </x:c>
      <x:c r="M684" t="str">
        <x:v>SEDANG+</x:v>
      </x:c>
      <x:c r="N684" t="str">
        <x:v>ELITE-3</x:v>
      </x:c>
      <x:c r="O684" t="str">
        <x:v>SAINTEK</x:v>
      </x:c>
      <x:c r="P684" t="str">
        <x:v>TEKNIK/ARSITEKTUR/STATISTIKA/AKTUARIA</x:v>
      </x:c>
      <x:c r="Q684" s="18" t="n">
        <x:v>630</x:v>
      </x:c>
      <x:c r="R684" s="18" t="n">
        <x:v>0</x:v>
      </x:c>
      <x:c r="S684" s="18" t="n">
        <x:v>628.0498356343526</x:v>
      </x:c>
      <x:c r="T684" s="18" t="n">
        <x:v>687</x:v>
      </x:c>
      <x:c r="U684" s="18" t="n">
        <x:v>638.0498356343526</x:v>
      </x:c>
      <x:c r="V684" s="20" t="n">
        <x:v>12</x:v>
      </x:c>
      <x:c r="W684" s="20" t="n">
        <x:v>5</x:v>
      </x:c>
      <x:c r="X684" s="20" t="n">
        <x:v>3</x:v>
      </x:c>
      <x:c r="Y684" t="str">
        <x:v>Basis arsip 2025/2024</x:v>
      </x:c>
      <x:c r="Z684" t="str">
        <x:v>https://snpmb.id/utbk-snbt/daya-tampung-snbt</x:v>
      </x:c>
      <x:c r="AA684" t="str">
        <x:v>Tidak Ada</x:v>
      </x:c>
      <x:c r="AB684" t="str">
        <x:v>Campus=80; Ratio=57.8; Prodi=60; RelDemand=47.5; Capacity=41.7</x:v>
      </x:c>
    </x:row>
    <x:row r="685">
      <x:c r="A685" t="n">
        <x:v>682</x:v>
      </x:c>
      <x:c r="B685" t="str">
        <x:v>PTN Akademik</x:v>
      </x:c>
      <x:c r="C685" t="str">
        <x:v>UNIVERSITAS SRIWIJAYA</x:v>
      </x:c>
      <x:c r="D685" t="str">
        <x:v>TEKNIK ELEKTRO</x:v>
      </x:c>
      <x:c r="E685" t="str">
        <x:v>Sarjana</x:v>
      </x:c>
      <x:c r="F685" s="18" t="n">
        <x:v>70</x:v>
      </x:c>
      <x:c r="G685" s="18" t="n">
        <x:v>673</x:v>
      </x:c>
      <x:c r="H685" s="19" t="n">
        <x:v>9.614285714285714</x:v>
      </x:c>
      <x:c r="I685" s="18" t="n">
        <x:f>ROUND(MIN(Model_Config_v3!$B$6,MAX(Q685,R685,S685*Model_Config_v3!$B$4+T685*Model_Config_v3!$B$5)),0)</x:f>
        <x:v>669</x:v>
      </x:c>
      <x:c r="J685" s="18" t="n">
        <x:f>MIN(Model_Config_v3!$B$6,I685+Model_Config_v3!$B$7)</x:f>
        <x:v>689</x:v>
      </x:c>
      <x:c r="K685" s="20" t="n">
        <x:v>63.4</x:v>
      </x:c>
      <x:c r="L685" t="str">
        <x:v>KETAT</x:v>
      </x:c>
      <x:c r="M685" t="str">
        <x:v>SEDANG+</x:v>
      </x:c>
      <x:c r="N685" t="str">
        <x:v>ELITE-3</x:v>
      </x:c>
      <x:c r="O685" t="str">
        <x:v>SAINTEK</x:v>
      </x:c>
      <x:c r="P685" t="str">
        <x:v>TEKNIK/ARSITEKTUR/STATISTIKA/AKTUARIA</x:v>
      </x:c>
      <x:c r="Q685" s="18" t="n">
        <x:v>630</x:v>
      </x:c>
      <x:c r="R685" s="18" t="n">
        <x:v>0</x:v>
      </x:c>
      <x:c r="S685" s="18" t="n">
        <x:v>628.1208726630692</x:v>
      </x:c>
      <x:c r="T685" s="18" t="n">
        <x:v>687</x:v>
      </x:c>
      <x:c r="U685" s="18" t="n">
        <x:v>638.1208726630692</x:v>
      </x:c>
      <x:c r="V685" s="20" t="n">
        <x:v>12</x:v>
      </x:c>
      <x:c r="W685" s="20" t="n">
        <x:v>5</x:v>
      </x:c>
      <x:c r="X685" s="20" t="n">
        <x:v>3</x:v>
      </x:c>
      <x:c r="Y685" t="str">
        <x:v>Basis arsip 2025/2024</x:v>
      </x:c>
      <x:c r="Z685" t="str">
        <x:v>https://snpmb.id/utbk-snbt/daya-tampung-snbt</x:v>
      </x:c>
      <x:c r="AA685" t="str">
        <x:v>Tidak Ada</x:v>
      </x:c>
      <x:c r="AB685" t="str">
        <x:v>Campus=80; Ratio=57.9; Prodi=60; RelDemand=47.5; Capacity=41.7</x:v>
      </x:c>
    </x:row>
    <x:row r="686">
      <x:c r="A686" t="n">
        <x:v>683</x:v>
      </x:c>
      <x:c r="B686" t="str">
        <x:v>PTN Akademik</x:v>
      </x:c>
      <x:c r="C686" t="str">
        <x:v>UNIVERSITAS SRIWIJAYA</x:v>
      </x:c>
      <x:c r="D686" t="str">
        <x:v>PENDIDIKAN DOKTER</x:v>
      </x:c>
      <x:c r="E686" t="str">
        <x:v>Sarjana</x:v>
      </x:c>
      <x:c r="F686" s="18" t="n">
        <x:v>125</x:v>
      </x:c>
      <x:c r="G686" s="18" t="n">
        <x:v>2256</x:v>
      </x:c>
      <x:c r="H686" s="19" t="n">
        <x:v>18.048</x:v>
      </x:c>
      <x:c r="I686" s="18" t="n">
        <x:f>ROUND(MIN(Model_Config_v3!$B$6,MAX(Q686,R686,S686*Model_Config_v3!$B$4+T686*Model_Config_v3!$B$5)),0)</x:f>
        <x:v>700</x:v>
      </x:c>
      <x:c r="J686" s="18" t="n">
        <x:f>MIN(Model_Config_v3!$B$6,I686+Model_Config_v3!$B$7)</x:f>
        <x:v>720</x:v>
      </x:c>
      <x:c r="K686" s="20" t="n">
        <x:v>75.4</x:v>
      </x:c>
      <x:c r="L686" t="str">
        <x:v>ELITE</x:v>
      </x:c>
      <x:c r="M686" t="str">
        <x:v>SEDANG+</x:v>
      </x:c>
      <x:c r="N686" t="str">
        <x:v>ELITE-3</x:v>
      </x:c>
      <x:c r="O686" t="str">
        <x:v>SAINTEK</x:v>
      </x:c>
      <x:c r="P686" t="str">
        <x:v>KEDOKTERAN</x:v>
      </x:c>
      <x:c r="Q686" s="18" t="n">
        <x:v>630</x:v>
      </x:c>
      <x:c r="R686" s="18" t="n">
        <x:v>700</x:v>
      </x:c>
      <x:c r="S686" s="18" t="n">
        <x:v>658.2071990533573</x:v>
      </x:c>
      <x:c r="T686" s="18" t="n">
        <x:v>711</x:v>
      </x:c>
      <x:c r="U686" s="18" t="n">
        <x:v>700</x:v>
      </x:c>
      <x:c r="V686" s="20" t="n">
        <x:v>12</x:v>
      </x:c>
      <x:c r="W686" s="20" t="n">
        <x:v>5</x:v>
      </x:c>
      <x:c r="X686" s="20" t="n">
        <x:v>3</x:v>
      </x:c>
      <x:c r="Y686" t="str">
        <x:v>Basis arsip 2025/2024</x:v>
      </x:c>
      <x:c r="Z686" t="str">
        <x:v>https://snpmb.id/utbk-snbt/daya-tampung-snbt</x:v>
      </x:c>
      <x:c r="AA686" t="str">
        <x:v>Tidak Ada</x:v>
      </x:c>
      <x:c r="AB686" t="str">
        <x:v>Campus=80; Ratio=74.0; Prodi=100; RelDemand=89.2; Capacity=0.0</x:v>
      </x:c>
    </x:row>
    <x:row r="687">
      <x:c r="A687" t="n">
        <x:v>684</x:v>
      </x:c>
      <x:c r="B687" t="str">
        <x:v>PTN Akademik</x:v>
      </x:c>
      <x:c r="C687" t="str">
        <x:v>UNIVERSITAS SRIWIJAYA</x:v>
      </x:c>
      <x:c r="D687" t="str">
        <x:v>PENDIDIKAN DOKTER GIGI</x:v>
      </x:c>
      <x:c r="E687" t="str">
        <x:v>Sarjana</x:v>
      </x:c>
      <x:c r="F687" s="18" t="n">
        <x:v>40</x:v>
      </x:c>
      <x:c r="G687" s="18" t="n">
        <x:v>1092</x:v>
      </x:c>
      <x:c r="H687" s="19" t="n">
        <x:v>27.3</x:v>
      </x:c>
      <x:c r="I687" s="18" t="n">
        <x:f>ROUND(MIN(Model_Config_v3!$B$6,MAX(Q687,R687,S687*Model_Config_v3!$B$4+T687*Model_Config_v3!$B$5)),0)</x:f>
        <x:v>713</x:v>
      </x:c>
      <x:c r="J687" s="18" t="n">
        <x:f>MIN(Model_Config_v3!$B$6,I687+Model_Config_v3!$B$7)</x:f>
        <x:v>733</x:v>
      </x:c>
      <x:c r="K687" s="20" t="n">
        <x:v>83.8</x:v>
      </x:c>
      <x:c r="L687" t="str">
        <x:v>ELITE</x:v>
      </x:c>
      <x:c r="M687" t="str">
        <x:v>SEDANG+</x:v>
      </x:c>
      <x:c r="N687" t="str">
        <x:v>ELITE-3</x:v>
      </x:c>
      <x:c r="O687" t="str">
        <x:v>SAINTEK</x:v>
      </x:c>
      <x:c r="P687" t="str">
        <x:v>KEDOKTERAN GIGI</x:v>
      </x:c>
      <x:c r="Q687" s="18" t="n">
        <x:v>630</x:v>
      </x:c>
      <x:c r="R687" s="18" t="n">
        <x:v>680</x:v>
      </x:c>
      <x:c r="S687" s="18" t="n">
        <x:v>677.9778911744831</x:v>
      </x:c>
      <x:c r="T687" s="18" t="n">
        <x:v>728</x:v>
      </x:c>
      <x:c r="U687" s="18" t="n">
        <x:v>707.9778911744831</x:v>
      </x:c>
      <x:c r="V687" s="20" t="n">
        <x:v>12</x:v>
      </x:c>
      <x:c r="W687" s="20" t="n">
        <x:v>5</x:v>
      </x:c>
      <x:c r="X687" s="20" t="n">
        <x:v>3</x:v>
      </x:c>
      <x:c r="Y687" t="str">
        <x:v>Basis arsip 2025/2024</x:v>
      </x:c>
      <x:c r="Z687" t="str">
        <x:v>https://snpmb.id/utbk-snbt/daya-tampung-snbt</x:v>
      </x:c>
      <x:c r="AA687" t="str">
        <x:v>Tidak Ada</x:v>
      </x:c>
      <x:c r="AB687" t="str">
        <x:v>Campus=80; Ratio=84.5; Prodi=90; RelDemand=100.0; Capacity=66.7</x:v>
      </x:c>
    </x:row>
    <x:row r="688">
      <x:c r="A688" t="n">
        <x:v>685</x:v>
      </x:c>
      <x:c r="B688" t="str">
        <x:v>PTN Akademik</x:v>
      </x:c>
      <x:c r="C688" t="str">
        <x:v>UNIVERSITAS SRIWIJAYA</x:v>
      </x:c>
      <x:c r="D688" t="str">
        <x:v>MATEMATIKA</x:v>
      </x:c>
      <x:c r="E688" t="str">
        <x:v>Sarjana</x:v>
      </x:c>
      <x:c r="F688" s="18" t="n">
        <x:v>54</x:v>
      </x:c>
      <x:c r="G688" s="18" t="n">
        <x:v>116</x:v>
      </x:c>
      <x:c r="H688" s="19" t="n">
        <x:v>2.1481481481481484</x:v>
      </x:c>
      <x:c r="I688" s="18" t="n">
        <x:f>ROUND(MIN(Model_Config_v3!$B$6,MAX(Q688,R688,S688*Model_Config_v3!$B$4+T688*Model_Config_v3!$B$5)),0)</x:f>
        <x:v>630</x:v>
      </x:c>
      <x:c r="J688" s="18" t="n">
        <x:f>MIN(Model_Config_v3!$B$6,I688+Model_Config_v3!$B$7)</x:f>
        <x:v>650</x:v>
      </x:c>
      <x:c r="K688" s="20" t="n">
        <x:v>49.4</x:v>
      </x:c>
      <x:c r="L688" t="str">
        <x:v>MENENGAH</x:v>
      </x:c>
      <x:c r="M688" t="str">
        <x:v>SEDANG+</x:v>
      </x:c>
      <x:c r="N688" t="str">
        <x:v>ELITE-3</x:v>
      </x:c>
      <x:c r="O688" t="str">
        <x:v>SAINTEK</x:v>
      </x:c>
      <x:c r="P688" t="str">
        <x:v>SAINS DASAR</x:v>
      </x:c>
      <x:c r="Q688" s="18" t="n">
        <x:v>630</x:v>
      </x:c>
      <x:c r="R688" s="18" t="n">
        <x:v>0</x:v>
      </x:c>
      <x:c r="S688" s="18" t="n">
        <x:v>556.5270652344345</x:v>
      </x:c>
      <x:c r="T688" s="18" t="n">
        <x:v>659</x:v>
      </x:c>
      <x:c r="U688" s="18" t="n">
        <x:v>630</x:v>
      </x:c>
      <x:c r="V688" s="20" t="n">
        <x:v>12</x:v>
      </x:c>
      <x:c r="W688" s="20" t="n">
        <x:v>5</x:v>
      </x:c>
      <x:c r="X688" s="20" t="n">
        <x:v>3</x:v>
      </x:c>
      <x:c r="Y688" t="str">
        <x:v>Basis arsip 2025/2024</x:v>
      </x:c>
      <x:c r="Z688" t="str">
        <x:v>https://snpmb.id/utbk-snbt/daya-tampung-snbt</x:v>
      </x:c>
      <x:c r="AA688" t="str">
        <x:v>Tidak Ada</x:v>
      </x:c>
      <x:c r="AB688" t="str">
        <x:v>Campus=80; Ratio=19.5; Prodi=50; RelDemand=10.6; Capacity=55.0</x:v>
      </x:c>
    </x:row>
    <x:row r="689">
      <x:c r="A689" t="n">
        <x:v>686</x:v>
      </x:c>
      <x:c r="B689" t="str">
        <x:v>PTN Akademik</x:v>
      </x:c>
      <x:c r="C689" t="str">
        <x:v>UNIVERSITAS SRIWIJAYA</x:v>
      </x:c>
      <x:c r="D689" t="str">
        <x:v>FISIKA</x:v>
      </x:c>
      <x:c r="E689" t="str">
        <x:v>Sarjana</x:v>
      </x:c>
      <x:c r="F689" s="18" t="n">
        <x:v>54</x:v>
      </x:c>
      <x:c r="G689" s="18" t="n">
        <x:v>67</x:v>
      </x:c>
      <x:c r="H689" s="19" t="n">
        <x:v>1.2407407407407407</x:v>
      </x:c>
      <x:c r="I689" s="18" t="n">
        <x:f>ROUND(MIN(Model_Config_v3!$B$6,MAX(Q689,R689,S689*Model_Config_v3!$B$4+T689*Model_Config_v3!$B$5)),0)</x:f>
        <x:v>630</x:v>
      </x:c>
      <x:c r="J689" s="18" t="n">
        <x:f>MIN(Model_Config_v3!$B$6,I689+Model_Config_v3!$B$7)</x:f>
        <x:v>650</x:v>
      </x:c>
      <x:c r="K689" s="20" t="n">
        <x:v>45.5</x:v>
      </x:c>
      <x:c r="L689" t="str">
        <x:v>MENENGAH</x:v>
      </x:c>
      <x:c r="M689" t="str">
        <x:v>SEDANG+</x:v>
      </x:c>
      <x:c r="N689" t="str">
        <x:v>ELITE-3</x:v>
      </x:c>
      <x:c r="O689" t="str">
        <x:v>SAINTEK</x:v>
      </x:c>
      <x:c r="P689" t="str">
        <x:v>SAINS DASAR</x:v>
      </x:c>
      <x:c r="Q689" s="18" t="n">
        <x:v>630</x:v>
      </x:c>
      <x:c r="R689" s="18" t="n">
        <x:v>0</x:v>
      </x:c>
      <x:c r="S689" s="18" t="n">
        <x:v>530.3049147165643</x:v>
      </x:c>
      <x:c r="T689" s="18" t="n">
        <x:v>651</x:v>
      </x:c>
      <x:c r="U689" s="18" t="n">
        <x:v>630</x:v>
      </x:c>
      <x:c r="V689" s="20" t="n">
        <x:v>12</x:v>
      </x:c>
      <x:c r="W689" s="20" t="n">
        <x:v>5</x:v>
      </x:c>
      <x:c r="X689" s="20" t="n">
        <x:v>3</x:v>
      </x:c>
      <x:c r="Y689" t="str">
        <x:v>Basis arsip 2025/2024</x:v>
      </x:c>
      <x:c r="Z689" t="str">
        <x:v>https://snpmb.id/utbk-snbt/daya-tampung-snbt</x:v>
      </x:c>
      <x:c r="AA689" t="str">
        <x:v>Tidak Ada</x:v>
      </x:c>
      <x:c r="AB689" t="str">
        <x:v>Campus=80; Ratio=5.5; Prodi=50; RelDemand=6.1; Capacity=55.0</x:v>
      </x:c>
    </x:row>
    <x:row r="690">
      <x:c r="A690" t="n">
        <x:v>687</x:v>
      </x:c>
      <x:c r="B690" t="str">
        <x:v>PTN Akademik</x:v>
      </x:c>
      <x:c r="C690" t="str">
        <x:v>UNIVERSITAS SRIWIJAYA</x:v>
      </x:c>
      <x:c r="D690" t="str">
        <x:v>KIMIA</x:v>
      </x:c>
      <x:c r="E690" t="str">
        <x:v>Sarjana</x:v>
      </x:c>
      <x:c r="F690" s="18" t="n">
        <x:v>54</x:v>
      </x:c>
      <x:c r="G690" s="18" t="n">
        <x:v>135</x:v>
      </x:c>
      <x:c r="H690" s="19" t="n">
        <x:v>2.5</x:v>
      </x:c>
      <x:c r="I690" s="18" t="n">
        <x:f>ROUND(MIN(Model_Config_v3!$B$6,MAX(Q690,R690,S690*Model_Config_v3!$B$4+T690*Model_Config_v3!$B$5)),0)</x:f>
        <x:v>632</x:v>
      </x:c>
      <x:c r="J690" s="18" t="n">
        <x:f>MIN(Model_Config_v3!$B$6,I690+Model_Config_v3!$B$7)</x:f>
        <x:v>652</x:v>
      </x:c>
      <x:c r="K690" s="20" t="n">
        <x:v>50.6</x:v>
      </x:c>
      <x:c r="L690" t="str">
        <x:v>MENENGAH</x:v>
      </x:c>
      <x:c r="M690" t="str">
        <x:v>SEDANG+</x:v>
      </x:c>
      <x:c r="N690" t="str">
        <x:v>ELITE-3</x:v>
      </x:c>
      <x:c r="O690" t="str">
        <x:v>SAINTEK</x:v>
      </x:c>
      <x:c r="P690" t="str">
        <x:v>SAINS DASAR</x:v>
      </x:c>
      <x:c r="Q690" s="18" t="n">
        <x:v>630</x:v>
      </x:c>
      <x:c r="R690" s="18" t="n">
        <x:v>0</x:v>
      </x:c>
      <x:c r="S690" s="18" t="n">
        <x:v>563.7734009539241</x:v>
      </x:c>
      <x:c r="T690" s="18" t="n">
        <x:v>661</x:v>
      </x:c>
      <x:c r="U690" s="18" t="n">
        <x:v>630</x:v>
      </x:c>
      <x:c r="V690" s="20" t="n">
        <x:v>12</x:v>
      </x:c>
      <x:c r="W690" s="20" t="n">
        <x:v>5</x:v>
      </x:c>
      <x:c r="X690" s="20" t="n">
        <x:v>3</x:v>
      </x:c>
      <x:c r="Y690" t="str">
        <x:v>Basis arsip 2025/2024</x:v>
      </x:c>
      <x:c r="Z690" t="str">
        <x:v>https://snpmb.id/utbk-snbt/daya-tampung-snbt</x:v>
      </x:c>
      <x:c r="AA690" t="str">
        <x:v>Tidak Ada</x:v>
      </x:c>
      <x:c r="AB690" t="str">
        <x:v>Campus=80; Ratio=23.4; Prodi=50; RelDemand=12.4; Capacity=55.0</x:v>
      </x:c>
    </x:row>
    <x:row r="691">
      <x:c r="A691" t="n">
        <x:v>688</x:v>
      </x:c>
      <x:c r="B691" t="str">
        <x:v>PTN Akademik</x:v>
      </x:c>
      <x:c r="C691" t="str">
        <x:v>UNIVERSITAS SRIWIJAYA</x:v>
      </x:c>
      <x:c r="D691" t="str">
        <x:v>BIOLOGI</x:v>
      </x:c>
      <x:c r="E691" t="str">
        <x:v>Sarjana</x:v>
      </x:c>
      <x:c r="F691" s="18" t="n">
        <x:v>54</x:v>
      </x:c>
      <x:c r="G691" s="18" t="n">
        <x:v>181</x:v>
      </x:c>
      <x:c r="H691" s="19" t="n">
        <x:v>3.3518518518518516</x:v>
      </x:c>
      <x:c r="I691" s="18" t="n">
        <x:f>ROUND(MIN(Model_Config_v3!$B$6,MAX(Q691,R691,S691*Model_Config_v3!$B$4+T691*Model_Config_v3!$B$5)),0)</x:f>
        <x:v>640</x:v>
      </x:c>
      <x:c r="J691" s="18" t="n">
        <x:f>MIN(Model_Config_v3!$B$6,I691+Model_Config_v3!$B$7)</x:f>
        <x:v>660</x:v>
      </x:c>
      <x:c r="K691" s="20" t="n">
        <x:v>52.9</x:v>
      </x:c>
      <x:c r="L691" t="str">
        <x:v>MENENGAH</x:v>
      </x:c>
      <x:c r="M691" t="str">
        <x:v>SEDANG+</x:v>
      </x:c>
      <x:c r="N691" t="str">
        <x:v>ELITE-3</x:v>
      </x:c>
      <x:c r="O691" t="str">
        <x:v>SAINTEK</x:v>
      </x:c>
      <x:c r="P691" t="str">
        <x:v>SAINS DASAR</x:v>
      </x:c>
      <x:c r="Q691" s="18" t="n">
        <x:v>630</x:v>
      </x:c>
      <x:c r="R691" s="18" t="n">
        <x:v>0</x:v>
      </x:c>
      <x:c r="S691" s="18" t="n">
        <x:v>577.7813296550837</x:v>
      </x:c>
      <x:c r="T691" s="18" t="n">
        <x:v>666</x:v>
      </x:c>
      <x:c r="U691" s="18" t="n">
        <x:v>630</x:v>
      </x:c>
      <x:c r="V691" s="20" t="n">
        <x:v>12</x:v>
      </x:c>
      <x:c r="W691" s="20" t="n">
        <x:v>5</x:v>
      </x:c>
      <x:c r="X691" s="20" t="n">
        <x:v>3</x:v>
      </x:c>
      <x:c r="Y691" t="str">
        <x:v>Basis arsip 2025/2024</x:v>
      </x:c>
      <x:c r="Z691" t="str">
        <x:v>https://snpmb.id/utbk-snbt/daya-tampung-snbt</x:v>
      </x:c>
      <x:c r="AA691" t="str">
        <x:v>Tidak Ada</x:v>
      </x:c>
      <x:c r="AB691" t="str">
        <x:v>Campus=80; Ratio=30.9; Prodi=50; RelDemand=16.6; Capacity=55.0</x:v>
      </x:c>
    </x:row>
    <x:row r="692">
      <x:c r="A692" t="n">
        <x:v>689</x:v>
      </x:c>
      <x:c r="B692" t="str">
        <x:v>PTN Akademik</x:v>
      </x:c>
      <x:c r="C692" t="str">
        <x:v>UNIVERSITAS SRIWIJAYA</x:v>
      </x:c>
      <x:c r="D692" t="str">
        <x:v>AGRIBISNIS</x:v>
      </x:c>
      <x:c r="E692" t="str">
        <x:v>Sarjana</x:v>
      </x:c>
      <x:c r="F692" s="18" t="n">
        <x:v>114</x:v>
      </x:c>
      <x:c r="G692" s="18" t="n">
        <x:v>641</x:v>
      </x:c>
      <x:c r="H692" s="19" t="n">
        <x:v>5.62280701754386</x:v>
      </x:c>
      <x:c r="I692" s="18" t="n">
        <x:f>ROUND(MIN(Model_Config_v3!$B$6,MAX(Q692,R692,S692*Model_Config_v3!$B$4+T692*Model_Config_v3!$B$5)),0)</x:f>
        <x:v>650</x:v>
      </x:c>
      <x:c r="J692" s="18" t="n">
        <x:f>MIN(Model_Config_v3!$B$6,I692+Model_Config_v3!$B$7)</x:f>
        <x:v>670</x:v>
      </x:c>
      <x:c r="K692" s="20" t="n">
        <x:v>55.3</x:v>
      </x:c>
      <x:c r="L692" t="str">
        <x:v>KETAT</x:v>
      </x:c>
      <x:c r="M692" t="str">
        <x:v>SEDANG+</x:v>
      </x:c>
      <x:c r="N692" t="str">
        <x:v>ELITE-3</x:v>
      </x:c>
      <x:c r="O692" t="str">
        <x:v>SOSHUM</x:v>
      </x:c>
      <x:c r="P692" t="str">
        <x:v>BISNIS/EKONOMI/AKUNTANSI</x:v>
      </x:c>
      <x:c r="Q692" s="18" t="n">
        <x:v>630</x:v>
      </x:c>
      <x:c r="R692" s="18" t="n">
        <x:v>0</x:v>
      </x:c>
      <x:c r="S692" s="18" t="n">
        <x:v>602.4948496000579</x:v>
      </x:c>
      <x:c r="T692" s="18" t="n">
        <x:v>671</x:v>
      </x:c>
      <x:c r="U692" s="18" t="n">
        <x:v>630</x:v>
      </x:c>
      <x:c r="V692" s="20" t="n">
        <x:v>4.4</x:v>
      </x:c>
      <x:c r="W692" s="20" t="n">
        <x:v>14.3</x:v>
      </x:c>
      <x:c r="X692" s="20" t="n">
        <x:v>3.3</x:v>
      </x:c>
      <x:c r="Y692" t="str">
        <x:v>Basis arsip 2025/2024</x:v>
      </x:c>
      <x:c r="Z692" t="str">
        <x:v>https://snpmb.id/utbk-snbt/daya-tampung-snbt</x:v>
      </x:c>
      <x:c r="AA692" t="str">
        <x:v>Tidak Ada</x:v>
      </x:c>
      <x:c r="AB692" t="str">
        <x:v>Campus=80; Ratio=44.1; Prodi=65; RelDemand=27.8; Capacity=5.0</x:v>
      </x:c>
    </x:row>
    <x:row r="693">
      <x:c r="A693" t="n">
        <x:v>690</x:v>
      </x:c>
      <x:c r="B693" t="str">
        <x:v>PTN Akademik</x:v>
      </x:c>
      <x:c r="C693" t="str">
        <x:v>UNIVERSITAS SRIWIJAYA</x:v>
      </x:c>
      <x:c r="D693" t="str">
        <x:v>TEKNOLOGI HASIL PERTANIAN</x:v>
      </x:c>
      <x:c r="E693" t="str">
        <x:v>Sarjana</x:v>
      </x:c>
      <x:c r="F693" s="18" t="n">
        <x:v>57</x:v>
      </x:c>
      <x:c r="G693" s="18" t="n">
        <x:v>182</x:v>
      </x:c>
      <x:c r="H693" s="19" t="n">
        <x:v>3.192982456140351</x:v>
      </x:c>
      <x:c r="I693" s="18" t="n">
        <x:f>ROUND(MIN(Model_Config_v3!$B$6,MAX(Q693,R693,S693*Model_Config_v3!$B$4+T693*Model_Config_v3!$B$5)),0)</x:f>
        <x:v>635</x:v>
      </x:c>
      <x:c r="J693" s="18" t="n">
        <x:f>MIN(Model_Config_v3!$B$6,I693+Model_Config_v3!$B$7)</x:f>
        <x:v>655</x:v>
      </x:c>
      <x:c r="K693" s="20" t="n">
        <x:v>50.2</x:v>
      </x:c>
      <x:c r="L693" t="str">
        <x:v>MENENGAH</x:v>
      </x:c>
      <x:c r="M693" t="str">
        <x:v>SEDANG+</x:v>
      </x:c>
      <x:c r="N693" t="str">
        <x:v>ELITE-3</x:v>
      </x:c>
      <x:c r="O693" t="str">
        <x:v>SAINTEK</x:v>
      </x:c>
      <x:c r="P693" t="str">
        <x:v>UMUM</x:v>
      </x:c>
      <x:c r="Q693" s="18" t="n">
        <x:v>630</x:v>
      </x:c>
      <x:c r="R693" s="18" t="n">
        <x:v>0</x:v>
      </x:c>
      <x:c r="S693" s="18" t="n">
        <x:v>575.4616185543841</x:v>
      </x:c>
      <x:c r="T693" s="18" t="n">
        <x:v>660</x:v>
      </x:c>
      <x:c r="U693" s="18" t="n">
        <x:v>630</x:v>
      </x:c>
      <x:c r="V693" s="20" t="n">
        <x:v>12</x:v>
      </x:c>
      <x:c r="W693" s="20" t="n">
        <x:v>5</x:v>
      </x:c>
      <x:c r="X693" s="20" t="n">
        <x:v>3</x:v>
      </x:c>
      <x:c r="Y693" t="str">
        <x:v>Basis arsip 2025/2024</x:v>
      </x:c>
      <x:c r="Z693" t="str">
        <x:v>https://snpmb.id/utbk-snbt/daya-tampung-snbt</x:v>
      </x:c>
      <x:c r="AA693" t="str">
        <x:v>Tidak Ada</x:v>
      </x:c>
      <x:c r="AB693" t="str">
        <x:v>Campus=80; Ratio=29.7; Prodi=40; RelDemand=15.8; Capacity=52.5</x:v>
      </x:c>
    </x:row>
    <x:row r="694">
      <x:c r="A694" t="n">
        <x:v>691</x:v>
      </x:c>
      <x:c r="B694" t="str">
        <x:v>PTN Akademik</x:v>
      </x:c>
      <x:c r="C694" t="str">
        <x:v>UNIVERSITAS SRIWIJAYA</x:v>
      </x:c>
      <x:c r="D694" t="str">
        <x:v>TEKNIK PERTANIAN</x:v>
      </x:c>
      <x:c r="E694" t="str">
        <x:v>Sarjana</x:v>
      </x:c>
      <x:c r="F694" s="18" t="n">
        <x:v>57</x:v>
      </x:c>
      <x:c r="G694" s="18" t="n">
        <x:v>363</x:v>
      </x:c>
      <x:c r="H694" s="19" t="n">
        <x:v>6.368421052631579</x:v>
      </x:c>
      <x:c r="I694" s="18" t="n">
        <x:f>ROUND(MIN(Model_Config_v3!$B$6,MAX(Q694,R694,S694*Model_Config_v3!$B$4+T694*Model_Config_v3!$B$5)),0)</x:f>
        <x:v>659</x:v>
      </x:c>
      <x:c r="J694" s="18" t="n">
        <x:f>MIN(Model_Config_v3!$B$6,I694+Model_Config_v3!$B$7)</x:f>
        <x:v>679</x:v>
      </x:c>
      <x:c r="K694" s="20" t="n">
        <x:v>60.2</x:v>
      </x:c>
      <x:c r="L694" t="str">
        <x:v>KETAT</x:v>
      </x:c>
      <x:c r="M694" t="str">
        <x:v>SEDANG+</x:v>
      </x:c>
      <x:c r="N694" t="str">
        <x:v>ELITE-3</x:v>
      </x:c>
      <x:c r="O694" t="str">
        <x:v>SAINTEK</x:v>
      </x:c>
      <x:c r="P694" t="str">
        <x:v>TEKNIK/ARSITEKTUR/STATISTIKA/AKTUARIA</x:v>
      </x:c>
      <x:c r="Q694" s="18" t="n">
        <x:v>630</x:v>
      </x:c>
      <x:c r="R694" s="18" t="n">
        <x:v>0</x:v>
      </x:c>
      <x:c r="S694" s="18" t="n">
        <x:v>608.4434946299983</x:v>
      </x:c>
      <x:c r="T694" s="18" t="n">
        <x:v>680</x:v>
      </x:c>
      <x:c r="U694" s="18" t="n">
        <x:v>630</x:v>
      </x:c>
      <x:c r="V694" s="20" t="n">
        <x:v>12</x:v>
      </x:c>
      <x:c r="W694" s="20" t="n">
        <x:v>5</x:v>
      </x:c>
      <x:c r="X694" s="20" t="n">
        <x:v>3</x:v>
      </x:c>
      <x:c r="Y694" t="str">
        <x:v>Basis arsip 2025/2024</x:v>
      </x:c>
      <x:c r="Z694" t="str">
        <x:v>https://snpmb.id/utbk-snbt/daya-tampung-snbt</x:v>
      </x:c>
      <x:c r="AA694" t="str">
        <x:v>Tidak Ada</x:v>
      </x:c>
      <x:c r="AB694" t="str">
        <x:v>Campus=80; Ratio=47.3; Prodi=60; RelDemand=31.5; Capacity=52.5</x:v>
      </x:c>
    </x:row>
    <x:row r="695">
      <x:c r="A695" t="n">
        <x:v>692</x:v>
      </x:c>
      <x:c r="B695" t="str">
        <x:v>PTN Akademik</x:v>
      </x:c>
      <x:c r="C695" t="str">
        <x:v>UNIVERSITAS SRIWIJAYA</x:v>
      </x:c>
      <x:c r="D695" t="str">
        <x:v>PEND. MATEMATIKA</x:v>
      </x:c>
      <x:c r="E695" t="str">
        <x:v>Sarjana</x:v>
      </x:c>
      <x:c r="F695" s="18" t="n">
        <x:v>44</x:v>
      </x:c>
      <x:c r="G695" s="18" t="n">
        <x:v>268</x:v>
      </x:c>
      <x:c r="H695" s="19" t="n">
        <x:v>6.090909090909091</x:v>
      </x:c>
      <x:c r="I695" s="18" t="n">
        <x:f>ROUND(MIN(Model_Config_v3!$B$6,MAX(Q695,R695,S695*Model_Config_v3!$B$4+T695*Model_Config_v3!$B$5)),0)</x:f>
        <x:v>655</x:v>
      </x:c>
      <x:c r="J695" s="18" t="n">
        <x:f>MIN(Model_Config_v3!$B$6,I695+Model_Config_v3!$B$7)</x:f>
        <x:v>675</x:v>
      </x:c>
      <x:c r="K695" s="20" t="n">
        <x:v>57.9</x:v>
      </x:c>
      <x:c r="L695" t="str">
        <x:v>KETAT</x:v>
      </x:c>
      <x:c r="M695" t="str">
        <x:v>SEDANG+</x:v>
      </x:c>
      <x:c r="N695" t="str">
        <x:v>ELITE-3</x:v>
      </x:c>
      <x:c r="O695" t="str">
        <x:v>SAINTEK</x:v>
      </x:c>
      <x:c r="P695" t="str">
        <x:v>PENDIDIKAN</x:v>
      </x:c>
      <x:c r="Q695" s="18" t="n">
        <x:v>630</x:v>
      </x:c>
      <x:c r="R695" s="18" t="n">
        <x:v>0</x:v>
      </x:c>
      <x:c r="S695" s="18" t="n">
        <x:v>606.3150329296861</x:v>
      </x:c>
      <x:c r="T695" s="18" t="n">
        <x:v>676</x:v>
      </x:c>
      <x:c r="U695" s="18" t="n">
        <x:v>630</x:v>
      </x:c>
      <x:c r="V695" s="20" t="n">
        <x:v>12</x:v>
      </x:c>
      <x:c r="W695" s="20" t="n">
        <x:v>5</x:v>
      </x:c>
      <x:c r="X695" s="20" t="n">
        <x:v>3</x:v>
      </x:c>
      <x:c r="Y695" t="str">
        <x:v>Basis arsip 2025/2024</x:v>
      </x:c>
      <x:c r="Z695" t="str">
        <x:v>https://snpmb.id/utbk-snbt/daya-tampung-snbt</x:v>
      </x:c>
      <x:c r="AA695" t="str">
        <x:v>Tidak Ada</x:v>
      </x:c>
      <x:c r="AB695" t="str">
        <x:v>Campus=80; Ratio=46.2; Prodi=45; RelDemand=30.1; Capacity=63.3</x:v>
      </x:c>
    </x:row>
    <x:row r="696">
      <x:c r="A696" t="n">
        <x:v>693</x:v>
      </x:c>
      <x:c r="B696" t="str">
        <x:v>PTN Akademik</x:v>
      </x:c>
      <x:c r="C696" t="str">
        <x:v>UNIVERSITAS SRIWIJAYA</x:v>
      </x:c>
      <x:c r="D696" t="str">
        <x:v>PEND BIOLOGI</x:v>
      </x:c>
      <x:c r="E696" t="str">
        <x:v>Sarjana</x:v>
      </x:c>
      <x:c r="F696" s="18" t="n">
        <x:v>40</x:v>
      </x:c>
      <x:c r="G696" s="18" t="n">
        <x:v>341</x:v>
      </x:c>
      <x:c r="H696" s="19" t="n">
        <x:v>8.525</x:v>
      </x:c>
      <x:c r="I696" s="18" t="n">
        <x:f>ROUND(MIN(Model_Config_v3!$B$6,MAX(Q696,R696,S696*Model_Config_v3!$B$4+T696*Model_Config_v3!$B$5)),0)</x:f>
        <x:v>666</x:v>
      </x:c>
      <x:c r="J696" s="18" t="n">
        <x:f>MIN(Model_Config_v3!$B$6,I696+Model_Config_v3!$B$7)</x:f>
        <x:v>686</x:v>
      </x:c>
      <x:c r="K696" s="20" t="n">
        <x:v>62.6</x:v>
      </x:c>
      <x:c r="L696" t="str">
        <x:v>KETAT</x:v>
      </x:c>
      <x:c r="M696" t="str">
        <x:v>SEDANG+</x:v>
      </x:c>
      <x:c r="N696" t="str">
        <x:v>ELITE-3</x:v>
      </x:c>
      <x:c r="O696" t="str">
        <x:v>SAINTEK</x:v>
      </x:c>
      <x:c r="P696" t="str">
        <x:v>SAINS DASAR</x:v>
      </x:c>
      <x:c r="Q696" s="18" t="n">
        <x:v>630</x:v>
      </x:c>
      <x:c r="R696" s="18" t="n">
        <x:v>0</x:v>
      </x:c>
      <x:c r="S696" s="18" t="n">
        <x:v>622.3763826430989</x:v>
      </x:c>
      <x:c r="T696" s="18" t="n">
        <x:v>685</x:v>
      </x:c>
      <x:c r="U696" s="18" t="n">
        <x:v>630</x:v>
      </x:c>
      <x:c r="V696" s="20" t="n">
        <x:v>12</x:v>
      </x:c>
      <x:c r="W696" s="20" t="n">
        <x:v>5</x:v>
      </x:c>
      <x:c r="X696" s="20" t="n">
        <x:v>3</x:v>
      </x:c>
      <x:c r="Y696" t="str">
        <x:v>Basis arsip 2025/2024</x:v>
      </x:c>
      <x:c r="Z696" t="str">
        <x:v>https://snpmb.id/utbk-snbt/daya-tampung-snbt</x:v>
      </x:c>
      <x:c r="AA696" t="str">
        <x:v>Tidak Ada</x:v>
      </x:c>
      <x:c r="AB696" t="str">
        <x:v>Campus=80; Ratio=54.8; Prodi=50; RelDemand=42.2; Capacity=66.7</x:v>
      </x:c>
    </x:row>
    <x:row r="697">
      <x:c r="A697" t="n">
        <x:v>694</x:v>
      </x:c>
      <x:c r="B697" t="str">
        <x:v>PTN Akademik</x:v>
      </x:c>
      <x:c r="C697" t="str">
        <x:v>UNIVERSITAS SRIWIJAYA</x:v>
      </x:c>
      <x:c r="D697" t="str">
        <x:v>PEND. KIMIA</x:v>
      </x:c>
      <x:c r="E697" t="str">
        <x:v>Sarjana</x:v>
      </x:c>
      <x:c r="F697" s="18" t="n">
        <x:v>40</x:v>
      </x:c>
      <x:c r="G697" s="18" t="n">
        <x:v>127</x:v>
      </x:c>
      <x:c r="H697" s="19" t="n">
        <x:v>3.175</x:v>
      </x:c>
      <x:c r="I697" s="18" t="n">
        <x:f>ROUND(MIN(Model_Config_v3!$B$6,MAX(Q697,R697,S697*Model_Config_v3!$B$4+T697*Model_Config_v3!$B$5)),0)</x:f>
        <x:v>638</x:v>
      </x:c>
      <x:c r="J697" s="18" t="n">
        <x:f>MIN(Model_Config_v3!$B$6,I697+Model_Config_v3!$B$7)</x:f>
        <x:v>658</x:v>
      </x:c>
      <x:c r="K697" s="20" t="n">
        <x:v>52.6</x:v>
      </x:c>
      <x:c r="L697" t="str">
        <x:v>MENENGAH</x:v>
      </x:c>
      <x:c r="M697" t="str">
        <x:v>SEDANG+</x:v>
      </x:c>
      <x:c r="N697" t="str">
        <x:v>ELITE-3</x:v>
      </x:c>
      <x:c r="O697" t="str">
        <x:v>SAINTEK</x:v>
      </x:c>
      <x:c r="P697" t="str">
        <x:v>PENDIDIKAN</x:v>
      </x:c>
      <x:c r="Q697" s="18" t="n">
        <x:v>630</x:v>
      </x:c>
      <x:c r="R697" s="18" t="n">
        <x:v>0</x:v>
      </x:c>
      <x:c r="S697" s="18" t="n">
        <x:v>575.1918102590794</x:v>
      </x:c>
      <x:c r="T697" s="18" t="n">
        <x:v>665</x:v>
      </x:c>
      <x:c r="U697" s="18" t="n">
        <x:v>630</x:v>
      </x:c>
      <x:c r="V697" s="20" t="n">
        <x:v>12</x:v>
      </x:c>
      <x:c r="W697" s="20" t="n">
        <x:v>5</x:v>
      </x:c>
      <x:c r="X697" s="20" t="n">
        <x:v>3</x:v>
      </x:c>
      <x:c r="Y697" t="str">
        <x:v>Basis arsip 2025/2024</x:v>
      </x:c>
      <x:c r="Z697" t="str">
        <x:v>https://snpmb.id/utbk-snbt/daya-tampung-snbt</x:v>
      </x:c>
      <x:c r="AA697" t="str">
        <x:v>Tidak Ada</x:v>
      </x:c>
      <x:c r="AB697" t="str">
        <x:v>Campus=80; Ratio=29.5; Prodi=45; RelDemand=15.7; Capacity=66.7</x:v>
      </x:c>
    </x:row>
    <x:row r="698">
      <x:c r="A698" t="n">
        <x:v>695</x:v>
      </x:c>
      <x:c r="B698" t="str">
        <x:v>PTN Akademik</x:v>
      </x:c>
      <x:c r="C698" t="str">
        <x:v>UNIVERSITAS SRIWIJAYA</x:v>
      </x:c>
      <x:c r="D698" t="str">
        <x:v>PEND FISIKA</x:v>
      </x:c>
      <x:c r="E698" t="str">
        <x:v>Sarjana</x:v>
      </x:c>
      <x:c r="F698" s="18" t="n">
        <x:v>40</x:v>
      </x:c>
      <x:c r="G698" s="18" t="n">
        <x:v>109</x:v>
      </x:c>
      <x:c r="H698" s="19" t="n">
        <x:v>2.725</x:v>
      </x:c>
      <x:c r="I698" s="18" t="n">
        <x:f>ROUND(MIN(Model_Config_v3!$B$6,MAX(Q698,R698,S698*Model_Config_v3!$B$4+T698*Model_Config_v3!$B$5)),0)</x:f>
        <x:v>636</x:v>
      </x:c>
      <x:c r="J698" s="18" t="n">
        <x:f>MIN(Model_Config_v3!$B$6,I698+Model_Config_v3!$B$7)</x:f>
        <x:v>656</x:v>
      </x:c>
      <x:c r="K698" s="20" t="n">
        <x:v>52.4</x:v>
      </x:c>
      <x:c r="L698" t="str">
        <x:v>MENENGAH</x:v>
      </x:c>
      <x:c r="M698" t="str">
        <x:v>SEDANG+</x:v>
      </x:c>
      <x:c r="N698" t="str">
        <x:v>ELITE-3</x:v>
      </x:c>
      <x:c r="O698" t="str">
        <x:v>SAINTEK</x:v>
      </x:c>
      <x:c r="P698" t="str">
        <x:v>SAINS DASAR</x:v>
      </x:c>
      <x:c r="Q698" s="18" t="n">
        <x:v>630</x:v>
      </x:c>
      <x:c r="R698" s="18" t="n">
        <x:v>0</x:v>
      </x:c>
      <x:c r="S698" s="18" t="n">
        <x:v>567.8903157273927</x:v>
      </x:c>
      <x:c r="T698" s="18" t="n">
        <x:v>665</x:v>
      </x:c>
      <x:c r="U698" s="18" t="n">
        <x:v>630</x:v>
      </x:c>
      <x:c r="V698" s="20" t="n">
        <x:v>12</x:v>
      </x:c>
      <x:c r="W698" s="20" t="n">
        <x:v>5</x:v>
      </x:c>
      <x:c r="X698" s="20" t="n">
        <x:v>3</x:v>
      </x:c>
      <x:c r="Y698" t="str">
        <x:v>Basis arsip 2025/2024</x:v>
      </x:c>
      <x:c r="Z698" t="str">
        <x:v>https://snpmb.id/utbk-snbt/daya-tampung-snbt</x:v>
      </x:c>
      <x:c r="AA698" t="str">
        <x:v>Tidak Ada</x:v>
      </x:c>
      <x:c r="AB698" t="str">
        <x:v>Campus=80; Ratio=25.6; Prodi=50; RelDemand=13.5; Capacity=66.7</x:v>
      </x:c>
    </x:row>
    <x:row r="699">
      <x:c r="A699" t="n">
        <x:v>696</x:v>
      </x:c>
      <x:c r="B699" t="str">
        <x:v>PTN Akademik</x:v>
      </x:c>
      <x:c r="C699" t="str">
        <x:v>UNIVERSITAS SRIWIJAYA</x:v>
      </x:c>
      <x:c r="D699" t="str">
        <x:v>ILMU KESEHATAN MASYARAKAT</x:v>
      </x:c>
      <x:c r="E699" t="str">
        <x:v>Sarjana</x:v>
      </x:c>
      <x:c r="F699" s="18" t="n">
        <x:v>150</x:v>
      </x:c>
      <x:c r="G699" s="18" t="n">
        <x:v>1305</x:v>
      </x:c>
      <x:c r="H699" s="19" t="n">
        <x:v>8.7</x:v>
      </x:c>
      <x:c r="I699" s="18" t="n">
        <x:f>ROUND(MIN(Model_Config_v3!$B$6,MAX(Q699,R699,S699*Model_Config_v3!$B$4+T699*Model_Config_v3!$B$5)),0)</x:f>
        <x:v>659</x:v>
      </x:c>
      <x:c r="J699" s="18" t="n">
        <x:f>MIN(Model_Config_v3!$B$6,I699+Model_Config_v3!$B$7)</x:f>
        <x:v>679</x:v>
      </x:c>
      <x:c r="K699" s="20" t="n">
        <x:v>57.1</x:v>
      </x:c>
      <x:c r="L699" t="str">
        <x:v>KETAT</x:v>
      </x:c>
      <x:c r="M699" t="str">
        <x:v>SEDANG+</x:v>
      </x:c>
      <x:c r="N699" t="str">
        <x:v>ELITE-3</x:v>
      </x:c>
      <x:c r="O699" t="str">
        <x:v>SAINTEK</x:v>
      </x:c>
      <x:c r="P699" t="str">
        <x:v>KESEHAT/GIZI/KEPERAWATAN</x:v>
      </x:c>
      <x:c r="Q699" s="18" t="n">
        <x:v>630</x:v>
      </x:c>
      <x:c r="R699" s="18" t="n">
        <x:v>0</x:v>
      </x:c>
      <x:c r="S699" s="18" t="n">
        <x:v>623.3471177880481</x:v>
      </x:c>
      <x:c r="T699" s="18" t="n">
        <x:v>674</x:v>
      </x:c>
      <x:c r="U699" s="18" t="n">
        <x:v>630</x:v>
      </x:c>
      <x:c r="V699" s="20" t="n">
        <x:v>12</x:v>
      </x:c>
      <x:c r="W699" s="20" t="n">
        <x:v>5</x:v>
      </x:c>
      <x:c r="X699" s="20" t="n">
        <x:v>3</x:v>
      </x:c>
      <x:c r="Y699" t="str">
        <x:v>Basis arsip 2025/2024</x:v>
      </x:c>
      <x:c r="Z699" t="str">
        <x:v>https://snpmb.id/utbk-snbt/daya-tampung-snbt</x:v>
      </x:c>
      <x:c r="AA699" t="str">
        <x:v>Tidak Ada</x:v>
      </x:c>
      <x:c r="AB699" t="str">
        <x:v>Campus=80; Ratio=55.3; Prodi=55; RelDemand=43.0; Capacity=0.0</x:v>
      </x:c>
    </x:row>
    <x:row r="700">
      <x:c r="A700" t="n">
        <x:v>697</x:v>
      </x:c>
      <x:c r="B700" t="str">
        <x:v>PTN Akademik</x:v>
      </x:c>
      <x:c r="C700" t="str">
        <x:v>UNIVERSITAS SRIWIJAYA</x:v>
      </x:c>
      <x:c r="D700" t="str">
        <x:v>ARSITEKTUR</x:v>
      </x:c>
      <x:c r="E700" t="str">
        <x:v>Sarjana</x:v>
      </x:c>
      <x:c r="F700" s="18" t="n">
        <x:v>44</x:v>
      </x:c>
      <x:c r="G700" s="18" t="n">
        <x:v>333</x:v>
      </x:c>
      <x:c r="H700" s="19" t="n">
        <x:v>7.568181818181818</x:v>
      </x:c>
      <x:c r="I700" s="18" t="n">
        <x:f>ROUND(MIN(Model_Config_v3!$B$6,MAX(Q700,R700,S700*Model_Config_v3!$B$4+T700*Model_Config_v3!$B$5)),0)</x:f>
        <x:v>665</x:v>
      </x:c>
      <x:c r="J700" s="18" t="n">
        <x:f>MIN(Model_Config_v3!$B$6,I700+Model_Config_v3!$B$7)</x:f>
        <x:v>685</x:v>
      </x:c>
      <x:c r="K700" s="20" t="n">
        <x:v>63</x:v>
      </x:c>
      <x:c r="L700" t="str">
        <x:v>KETAT</x:v>
      </x:c>
      <x:c r="M700" t="str">
        <x:v>SEDANG+</x:v>
      </x:c>
      <x:c r="N700" t="str">
        <x:v>ELITE-3</x:v>
      </x:c>
      <x:c r="O700" t="str">
        <x:v>SAINTEK</x:v>
      </x:c>
      <x:c r="P700" t="str">
        <x:v>TEKNIK/ARSITEKTUR/STATISTIKA/AKTUARIA</x:v>
      </x:c>
      <x:c r="Q700" s="18" t="n">
        <x:v>630</x:v>
      </x:c>
      <x:c r="R700" s="18" t="n">
        <x:v>0</x:v>
      </x:c>
      <x:c r="S700" s="18" t="n">
        <x:v>616.6890712722145</x:v>
      </x:c>
      <x:c r="T700" s="18" t="n">
        <x:v>686</x:v>
      </x:c>
      <x:c r="U700" s="18" t="n">
        <x:v>630</x:v>
      </x:c>
      <x:c r="V700" s="20" t="n">
        <x:v>12</x:v>
      </x:c>
      <x:c r="W700" s="20" t="n">
        <x:v>5</x:v>
      </x:c>
      <x:c r="X700" s="20" t="n">
        <x:v>3</x:v>
      </x:c>
      <x:c r="Y700" t="str">
        <x:v>Basis arsip 2025/2024</x:v>
      </x:c>
      <x:c r="Z700" t="str">
        <x:v>https://snpmb.id/utbk-snbt/daya-tampung-snbt</x:v>
      </x:c>
      <x:c r="AA700" t="str">
        <x:v>Tidak Ada</x:v>
      </x:c>
      <x:c r="AB700" t="str">
        <x:v>Campus=80; Ratio=51.7; Prodi=60; RelDemand=37.4; Capacity=63.3</x:v>
      </x:c>
    </x:row>
    <x:row r="701">
      <x:c r="A701" t="n">
        <x:v>698</x:v>
      </x:c>
      <x:c r="B701" t="str">
        <x:v>PTN Akademik</x:v>
      </x:c>
      <x:c r="C701" t="str">
        <x:v>UNIVERSITAS SRIWIJAYA</x:v>
      </x:c>
      <x:c r="D701" t="str">
        <x:v>ILMU KELAUTAN</x:v>
      </x:c>
      <x:c r="E701" t="str">
        <x:v>Sarjana</x:v>
      </x:c>
      <x:c r="F701" s="18" t="n">
        <x:v>54</x:v>
      </x:c>
      <x:c r="G701" s="18" t="n">
        <x:v>154</x:v>
      </x:c>
      <x:c r="H701" s="19" t="n">
        <x:v>2.8518518518518516</x:v>
      </x:c>
      <x:c r="I701" s="18" t="n">
        <x:f>ROUND(MIN(Model_Config_v3!$B$6,MAX(Q701,R701,S701*Model_Config_v3!$B$4+T701*Model_Config_v3!$B$5)),0)</x:f>
        <x:v>632</x:v>
      </x:c>
      <x:c r="J701" s="18" t="n">
        <x:f>MIN(Model_Config_v3!$B$6,I701+Model_Config_v3!$B$7)</x:f>
        <x:v>652</x:v>
      </x:c>
      <x:c r="K701" s="20" t="n">
        <x:v>49.6</x:v>
      </x:c>
      <x:c r="L701" t="str">
        <x:v>MENENGAH</x:v>
      </x:c>
      <x:c r="M701" t="str">
        <x:v>SEDANG+</x:v>
      </x:c>
      <x:c r="N701" t="str">
        <x:v>ELITE-3</x:v>
      </x:c>
      <x:c r="O701" t="str">
        <x:v>SAINTEK</x:v>
      </x:c>
      <x:c r="P701" t="str">
        <x:v>UMUM</x:v>
      </x:c>
      <x:c r="Q701" s="18" t="n">
        <x:v>630</x:v>
      </x:c>
      <x:c r="R701" s="18" t="n">
        <x:v>0</x:v>
      </x:c>
      <x:c r="S701" s="18" t="n">
        <x:v>570.0639657114843</x:v>
      </x:c>
      <x:c r="T701" s="18" t="n">
        <x:v>659</x:v>
      </x:c>
      <x:c r="U701" s="18" t="n">
        <x:v>630</x:v>
      </x:c>
      <x:c r="V701" s="20" t="n">
        <x:v>12</x:v>
      </x:c>
      <x:c r="W701" s="20" t="n">
        <x:v>5</x:v>
      </x:c>
      <x:c r="X701" s="20" t="n">
        <x:v>3</x:v>
      </x:c>
      <x:c r="Y701" t="str">
        <x:v>Basis arsip 2025/2024</x:v>
      </x:c>
      <x:c r="Z701" t="str">
        <x:v>https://snpmb.id/utbk-snbt/daya-tampung-snbt</x:v>
      </x:c>
      <x:c r="AA701" t="str">
        <x:v>Tidak Ada</x:v>
      </x:c>
      <x:c r="AB701" t="str">
        <x:v>Campus=80; Ratio=26.8; Prodi=40; RelDemand=14.1; Capacity=55.0</x:v>
      </x:c>
    </x:row>
    <x:row r="702">
      <x:c r="A702" t="n">
        <x:v>699</x:v>
      </x:c>
      <x:c r="B702" t="str">
        <x:v>PTN Akademik</x:v>
      </x:c>
      <x:c r="C702" t="str">
        <x:v>UNIVERSITAS SRIWIJAYA</x:v>
      </x:c>
      <x:c r="D702" t="str">
        <x:v>BUDIDAYA PERAIRAN</x:v>
      </x:c>
      <x:c r="E702" t="str">
        <x:v>Sarjana</x:v>
      </x:c>
      <x:c r="F702" s="18" t="n">
        <x:v>57</x:v>
      </x:c>
      <x:c r="G702" s="18" t="n">
        <x:v>88</x:v>
      </x:c>
      <x:c r="H702" s="19" t="n">
        <x:v>1.543859649122807</x:v>
      </x:c>
      <x:c r="I702" s="18" t="n">
        <x:f>ROUND(MIN(Model_Config_v3!$B$6,MAX(Q702,R702,S702*Model_Config_v3!$B$4+T702*Model_Config_v3!$B$5)),0)</x:f>
        <x:v>630</x:v>
      </x:c>
      <x:c r="J702" s="18" t="n">
        <x:f>MIN(Model_Config_v3!$B$6,I702+Model_Config_v3!$B$7)</x:f>
        <x:v>650</x:v>
      </x:c>
      <x:c r="K702" s="20" t="n">
        <x:v>44.8</x:v>
      </x:c>
      <x:c r="L702" t="str">
        <x:v>RELATIF LONGGAR</x:v>
      </x:c>
      <x:c r="M702" t="str">
        <x:v>SEDANG+</x:v>
      </x:c>
      <x:c r="N702" t="str">
        <x:v>ELITE-3</x:v>
      </x:c>
      <x:c r="O702" t="str">
        <x:v>CAMPURAN</x:v>
      </x:c>
      <x:c r="P702" t="str">
        <x:v>UMUM</x:v>
      </x:c>
      <x:c r="Q702" s="18" t="n">
        <x:v>630</x:v>
      </x:c>
      <x:c r="R702" s="18" t="n">
        <x:v>0</x:v>
      </x:c>
      <x:c r="S702" s="18" t="n">
        <x:v>540.7468598125445</x:v>
      </x:c>
      <x:c r="T702" s="18" t="n">
        <x:v>650</x:v>
      </x:c>
      <x:c r="U702" s="18" t="n">
        <x:v>630</x:v>
      </x:c>
      <x:c r="V702" s="20" t="n">
        <x:v>8.8</x:v>
      </x:c>
      <x:c r="W702" s="20" t="n">
        <x:v>9.9</x:v>
      </x:c>
      <x:c r="X702" s="20" t="n">
        <x:v>3.3</x:v>
      </x:c>
      <x:c r="Y702" t="str">
        <x:v>Basis arsip 2025/2024</x:v>
      </x:c>
      <x:c r="Z702" t="str">
        <x:v>https://snpmb.id/utbk-snbt/daya-tampung-snbt</x:v>
      </x:c>
      <x:c r="AA702" t="str">
        <x:v>Tidak Ada</x:v>
      </x:c>
      <x:c r="AB702" t="str">
        <x:v>Campus=80; Ratio=11.1; Prodi=40; RelDemand=7.6; Capacity=52.5</x:v>
      </x:c>
    </x:row>
    <x:row r="703">
      <x:c r="A703" t="n">
        <x:v>700</x:v>
      </x:c>
      <x:c r="B703" t="str">
        <x:v>PTN Akademik</x:v>
      </x:c>
      <x:c r="C703" t="str">
        <x:v>UNIVERSITAS SRIWIJAYA</x:v>
      </x:c>
      <x:c r="D703" t="str">
        <x:v>TEKNOLOGI HASIL PERIKANAN</x:v>
      </x:c>
      <x:c r="E703" t="str">
        <x:v>Sarjana</x:v>
      </x:c>
      <x:c r="F703" s="18" t="n">
        <x:v>57</x:v>
      </x:c>
      <x:c r="G703" s="18" t="n">
        <x:v>94</x:v>
      </x:c>
      <x:c r="H703" s="19" t="n">
        <x:v>1.6491228070175439</x:v>
      </x:c>
      <x:c r="I703" s="18" t="n">
        <x:f>ROUND(MIN(Model_Config_v3!$B$6,MAX(Q703,R703,S703*Model_Config_v3!$B$4+T703*Model_Config_v3!$B$5)),0)</x:f>
        <x:v>630</x:v>
      </x:c>
      <x:c r="J703" s="18" t="n">
        <x:f>MIN(Model_Config_v3!$B$6,I703+Model_Config_v3!$B$7)</x:f>
        <x:v>650</x:v>
      </x:c>
      <x:c r="K703" s="20" t="n">
        <x:v>45.3</x:v>
      </x:c>
      <x:c r="L703" t="str">
        <x:v>MENENGAH</x:v>
      </x:c>
      <x:c r="M703" t="str">
        <x:v>SEDANG+</x:v>
      </x:c>
      <x:c r="N703" t="str">
        <x:v>ELITE-3</x:v>
      </x:c>
      <x:c r="O703" t="str">
        <x:v>SAINTEK</x:v>
      </x:c>
      <x:c r="P703" t="str">
        <x:v>UMUM</x:v>
      </x:c>
      <x:c r="Q703" s="18" t="n">
        <x:v>630</x:v>
      </x:c>
      <x:c r="R703" s="18" t="n">
        <x:v>0</x:v>
      </x:c>
      <x:c r="S703" s="18" t="n">
        <x:v>543.8978297719927</x:v>
      </x:c>
      <x:c r="T703" s="18" t="n">
        <x:v>651</x:v>
      </x:c>
      <x:c r="U703" s="18" t="n">
        <x:v>630</x:v>
      </x:c>
      <x:c r="V703" s="20" t="n">
        <x:v>12</x:v>
      </x:c>
      <x:c r="W703" s="20" t="n">
        <x:v>5</x:v>
      </x:c>
      <x:c r="X703" s="20" t="n">
        <x:v>3</x:v>
      </x:c>
      <x:c r="Y703" t="str">
        <x:v>Basis arsip 2025/2024</x:v>
      </x:c>
      <x:c r="Z703" t="str">
        <x:v>https://snpmb.id/utbk-snbt/daya-tampung-snbt</x:v>
      </x:c>
      <x:c r="AA703" t="str">
        <x:v>Tidak Ada</x:v>
      </x:c>
      <x:c r="AB703" t="str">
        <x:v>Campus=80; Ratio=12.8; Prodi=40; RelDemand=8.2; Capacity=52.5</x:v>
      </x:c>
    </x:row>
    <x:row r="704">
      <x:c r="A704" t="n">
        <x:v>701</x:v>
      </x:c>
      <x:c r="B704" t="str">
        <x:v>PTN Akademik</x:v>
      </x:c>
      <x:c r="C704" t="str">
        <x:v>UNIVERSITAS SRIWIJAYA</x:v>
      </x:c>
      <x:c r="D704" t="str">
        <x:v>ILMU KEPERAWATAN</x:v>
      </x:c>
      <x:c r="E704" t="str">
        <x:v>Sarjana</x:v>
      </x:c>
      <x:c r="F704" s="18" t="n">
        <x:v>54</x:v>
      </x:c>
      <x:c r="G704" s="18" t="n">
        <x:v>1035</x:v>
      </x:c>
      <x:c r="H704" s="19" t="n">
        <x:v>19.166666666666668</x:v>
      </x:c>
      <x:c r="I704" s="18" t="n">
        <x:f>ROUND(MIN(Model_Config_v3!$B$6,MAX(Q704,R704,S704*Model_Config_v3!$B$4+T704*Model_Config_v3!$B$5)),0)</x:f>
        <x:v>693</x:v>
      </x:c>
      <x:c r="J704" s="18" t="n">
        <x:f>MIN(Model_Config_v3!$B$6,I704+Model_Config_v3!$B$7)</x:f>
        <x:v>713</x:v>
      </x:c>
      <x:c r="K704" s="20" t="n">
        <x:v>72.8</x:v>
      </x:c>
      <x:c r="L704" t="str">
        <x:v>SANGAT KETAT</x:v>
      </x:c>
      <x:c r="M704" t="str">
        <x:v>SEDANG+</x:v>
      </x:c>
      <x:c r="N704" t="str">
        <x:v>ELITE-3</x:v>
      </x:c>
      <x:c r="O704" t="str">
        <x:v>SAINTEK</x:v>
      </x:c>
      <x:c r="P704" t="str">
        <x:v>KESEHAT/GIZI/KEPERAWATAN</x:v>
      </x:c>
      <x:c r="Q704" s="18" t="n">
        <x:v>630</x:v>
      </x:c>
      <x:c r="R704" s="18" t="n">
        <x:v>0</x:v>
      </x:c>
      <x:c r="S704" s="18" t="n">
        <x:v>661.0801248966965</x:v>
      </x:c>
      <x:c r="T704" s="18" t="n">
        <x:v>706</x:v>
      </x:c>
      <x:c r="U704" s="18" t="n">
        <x:v>661.0801248966965</x:v>
      </x:c>
      <x:c r="V704" s="20" t="n">
        <x:v>12</x:v>
      </x:c>
      <x:c r="W704" s="20" t="n">
        <x:v>5</x:v>
      </x:c>
      <x:c r="X704" s="20" t="n">
        <x:v>3</x:v>
      </x:c>
      <x:c r="Y704" t="str">
        <x:v>Basis arsip 2025/2024</x:v>
      </x:c>
      <x:c r="Z704" t="str">
        <x:v>https://snpmb.id/utbk-snbt/daya-tampung-snbt</x:v>
      </x:c>
      <x:c r="AA704" t="str">
        <x:v>Tidak Ada</x:v>
      </x:c>
      <x:c r="AB704" t="str">
        <x:v>Campus=80; Ratio=75.5; Prodi=55; RelDemand=94.8; Capacity=55.0</x:v>
      </x:c>
    </x:row>
    <x:row r="705">
      <x:c r="A705" t="n">
        <x:v>702</x:v>
      </x:c>
      <x:c r="B705" t="str">
        <x:v>PTN Akademik</x:v>
      </x:c>
      <x:c r="C705" t="str">
        <x:v>UNIVERSITAS SRIWIJAYA</x:v>
      </x:c>
      <x:c r="D705" t="str">
        <x:v>PEND TEKNIK MESIN</x:v>
      </x:c>
      <x:c r="E705" t="str">
        <x:v>Sarjana</x:v>
      </x:c>
      <x:c r="F705" s="18" t="n">
        <x:v>40</x:v>
      </x:c>
      <x:c r="G705" s="18" t="n">
        <x:v>115</x:v>
      </x:c>
      <x:c r="H705" s="19" t="n">
        <x:v>2.875</x:v>
      </x:c>
      <x:c r="I705" s="18" t="n">
        <x:f>ROUND(MIN(Model_Config_v3!$B$6,MAX(Q705,R705,S705*Model_Config_v3!$B$4+T705*Model_Config_v3!$B$5)),0)</x:f>
        <x:v>640</x:v>
      </x:c>
      <x:c r="J705" s="18" t="n">
        <x:f>MIN(Model_Config_v3!$B$6,I705+Model_Config_v3!$B$7)</x:f>
        <x:v>660</x:v>
      </x:c>
      <x:c r="K705" s="20" t="n">
        <x:v>54.8</x:v>
      </x:c>
      <x:c r="L705" t="str">
        <x:v>MENENGAH</x:v>
      </x:c>
      <x:c r="M705" t="str">
        <x:v>SEDANG+</x:v>
      </x:c>
      <x:c r="N705" t="str">
        <x:v>ELITE-3</x:v>
      </x:c>
      <x:c r="O705" t="str">
        <x:v>SAINTEK</x:v>
      </x:c>
      <x:c r="P705" t="str">
        <x:v>TEKNIK/ARSITEKTUR/STATISTIKA/AKTUARIA</x:v>
      </x:c>
      <x:c r="Q705" s="18" t="n">
        <x:v>630</x:v>
      </x:c>
      <x:c r="R705" s="18" t="n">
        <x:v>0</x:v>
      </x:c>
      <x:c r="S705" s="18" t="n">
        <x:v>570.4501633928214</x:v>
      </x:c>
      <x:c r="T705" s="18" t="n">
        <x:v>670</x:v>
      </x:c>
      <x:c r="U705" s="18" t="n">
        <x:v>630</x:v>
      </x:c>
      <x:c r="V705" s="20" t="n">
        <x:v>12</x:v>
      </x:c>
      <x:c r="W705" s="20" t="n">
        <x:v>5</x:v>
      </x:c>
      <x:c r="X705" s="20" t="n">
        <x:v>3</x:v>
      </x:c>
      <x:c r="Y705" t="str">
        <x:v>Basis arsip 2025/2024</x:v>
      </x:c>
      <x:c r="Z705" t="str">
        <x:v>https://snpmb.id/utbk-snbt/daya-tampung-snbt</x:v>
      </x:c>
      <x:c r="AA705" t="str">
        <x:v>Tidak Ada</x:v>
      </x:c>
      <x:c r="AB705" t="str">
        <x:v>Campus=80; Ratio=27.0; Prodi=60; RelDemand=14.2; Capacity=66.7</x:v>
      </x:c>
    </x:row>
    <x:row r="706">
      <x:c r="A706" t="n">
        <x:v>703</x:v>
      </x:c>
      <x:c r="B706" t="str">
        <x:v>PTN Akademik</x:v>
      </x:c>
      <x:c r="C706" t="str">
        <x:v>UNIVERSITAS SRIWIJAYA</x:v>
      </x:c>
      <x:c r="D706" t="str">
        <x:v>SISTEM KOMPUTER</x:v>
      </x:c>
      <x:c r="E706" t="str">
        <x:v>Sarjana</x:v>
      </x:c>
      <x:c r="F706" s="18" t="n">
        <x:v>90</x:v>
      </x:c>
      <x:c r="G706" s="18" t="n">
        <x:v>685</x:v>
      </x:c>
      <x:c r="H706" s="19" t="n">
        <x:v>7.611111111111111</x:v>
      </x:c>
      <x:c r="I706" s="18" t="n">
        <x:f>ROUND(MIN(Model_Config_v3!$B$6,MAX(Q706,R706,S706*Model_Config_v3!$B$4+T706*Model_Config_v3!$B$5)),0)</x:f>
        <x:v>654</x:v>
      </x:c>
      <x:c r="J706" s="18" t="n">
        <x:f>MIN(Model_Config_v3!$B$6,I706+Model_Config_v3!$B$7)</x:f>
        <x:v>674</x:v>
      </x:c>
      <x:c r="K706" s="20" t="n">
        <x:v>55.2</x:v>
      </x:c>
      <x:c r="L706" t="str">
        <x:v>KETAT</x:v>
      </x:c>
      <x:c r="M706" t="str">
        <x:v>SEDANG+</x:v>
      </x:c>
      <x:c r="N706" t="str">
        <x:v>ELITE-3</x:v>
      </x:c>
      <x:c r="O706" t="str">
        <x:v>SAINTEK</x:v>
      </x:c>
      <x:c r="P706" t="str">
        <x:v>UMUM</x:v>
      </x:c>
      <x:c r="Q706" s="18" t="n">
        <x:v>630</x:v>
      </x:c>
      <x:c r="R706" s="18" t="n">
        <x:v>0</x:v>
      </x:c>
      <x:c r="S706" s="18" t="n">
        <x:v>616.9592868258411</x:v>
      </x:c>
      <x:c r="T706" s="18" t="n">
        <x:v>670</x:v>
      </x:c>
      <x:c r="U706" s="18" t="n">
        <x:v>630</x:v>
      </x:c>
      <x:c r="V706" s="20" t="n">
        <x:v>12</x:v>
      </x:c>
      <x:c r="W706" s="20" t="n">
        <x:v>5</x:v>
      </x:c>
      <x:c r="X706" s="20" t="n">
        <x:v>3</x:v>
      </x:c>
      <x:c r="Y706" t="str">
        <x:v>Basis arsip 2025/2024</x:v>
      </x:c>
      <x:c r="Z706" t="str">
        <x:v>https://snpmb.id/utbk-snbt/daya-tampung-snbt</x:v>
      </x:c>
      <x:c r="AA706" t="str">
        <x:v>Tidak Ada</x:v>
      </x:c>
      <x:c r="AB706" t="str">
        <x:v>Campus=80; Ratio=51.9; Prodi=40; RelDemand=37.6; Capacity=25.0</x:v>
      </x:c>
    </x:row>
    <x:row r="707">
      <x:c r="A707" t="n">
        <x:v>704</x:v>
      </x:c>
      <x:c r="B707" t="str">
        <x:v>PTN Akademik</x:v>
      </x:c>
      <x:c r="C707" t="str">
        <x:v>UNIVERSITAS SRIWIJAYA</x:v>
      </x:c>
      <x:c r="D707" t="str">
        <x:v>TEKNIK INFORMATIKA</x:v>
      </x:c>
      <x:c r="E707" t="str">
        <x:v>Sarjana</x:v>
      </x:c>
      <x:c r="F707" s="18" t="n">
        <x:v>90</x:v>
      </x:c>
      <x:c r="G707" s="18" t="n">
        <x:v>1323</x:v>
      </x:c>
      <x:c r="H707" s="19" t="n">
        <x:v>14.7</x:v>
      </x:c>
      <x:c r="I707" s="18" t="n">
        <x:f>ROUND(MIN(Model_Config_v3!$B$6,MAX(Q707,R707,S707*Model_Config_v3!$B$4+T707*Model_Config_v3!$B$5)),0)</x:f>
        <x:v>687</x:v>
      </x:c>
      <x:c r="J707" s="18" t="n">
        <x:f>MIN(Model_Config_v3!$B$6,I707+Model_Config_v3!$B$7)</x:f>
        <x:v>707</x:v>
      </x:c>
      <x:c r="K707" s="20" t="n">
        <x:v>71.9</x:v>
      </x:c>
      <x:c r="L707" t="str">
        <x:v>SANGAT KETAT</x:v>
      </x:c>
      <x:c r="M707" t="str">
        <x:v>SEDANG+</x:v>
      </x:c>
      <x:c r="N707" t="str">
        <x:v>ELITE-3</x:v>
      </x:c>
      <x:c r="O707" t="str">
        <x:v>SAINTEK</x:v>
      </x:c>
      <x:c r="P707" t="str">
        <x:v>KOMPUTER/INFORMATIKA</x:v>
      </x:c>
      <x:c r="Q707" s="18" t="n">
        <x:v>630</x:v>
      </x:c>
      <x:c r="R707" s="18" t="n">
        <x:v>675</x:v>
      </x:c>
      <x:c r="S707" s="18" t="n">
        <x:v>648.4049068222994</x:v>
      </x:c>
      <x:c r="T707" s="18" t="n">
        <x:v>704</x:v>
      </x:c>
      <x:c r="U707" s="18" t="n">
        <x:v>675</x:v>
      </x:c>
      <x:c r="V707" s="20" t="n">
        <x:v>12</x:v>
      </x:c>
      <x:c r="W707" s="20" t="n">
        <x:v>5</x:v>
      </x:c>
      <x:c r="X707" s="20" t="n">
        <x:v>3</x:v>
      </x:c>
      <x:c r="Y707" t="str">
        <x:v>Basis arsip 2025/2024</x:v>
      </x:c>
      <x:c r="Z707" t="str">
        <x:v>https://snpmb.id/utbk-snbt/daya-tampung-snbt</x:v>
      </x:c>
      <x:c r="AA707" t="str">
        <x:v>Tidak Ada</x:v>
      </x:c>
      <x:c r="AB707" t="str">
        <x:v>Campus=80; Ratio=68.7; Prodi=85; RelDemand=72.7; Capacity=25.0</x:v>
      </x:c>
    </x:row>
    <x:row r="708">
      <x:c r="A708" t="n">
        <x:v>705</x:v>
      </x:c>
      <x:c r="B708" t="str">
        <x:v>PTN Akademik</x:v>
      </x:c>
      <x:c r="C708" t="str">
        <x:v>UNIVERSITAS SRIWIJAYA</x:v>
      </x:c>
      <x:c r="D708" t="str">
        <x:v>SISTEM INFORMASI</x:v>
      </x:c>
      <x:c r="E708" t="str">
        <x:v>Sarjana</x:v>
      </x:c>
      <x:c r="F708" s="18" t="n">
        <x:v>90</x:v>
      </x:c>
      <x:c r="G708" s="18" t="n">
        <x:v>1205</x:v>
      </x:c>
      <x:c r="H708" s="19" t="n">
        <x:v>13.38888888888889</x:v>
      </x:c>
      <x:c r="I708" s="18" t="n">
        <x:f>ROUND(MIN(Model_Config_v3!$B$6,MAX(Q708,R708,S708*Model_Config_v3!$B$4+T708*Model_Config_v3!$B$5)),0)</x:f>
        <x:v>684</x:v>
      </x:c>
      <x:c r="J708" s="18" t="n">
        <x:f>MIN(Model_Config_v3!$B$6,I708+Model_Config_v3!$B$7)</x:f>
        <x:v>704</x:v>
      </x:c>
      <x:c r="K708" s="20" t="n">
        <x:v>70.7</x:v>
      </x:c>
      <x:c r="L708" t="str">
        <x:v>SANGAT KETAT</x:v>
      </x:c>
      <x:c r="M708" t="str">
        <x:v>SEDANG+</x:v>
      </x:c>
      <x:c r="N708" t="str">
        <x:v>ELITE-3</x:v>
      </x:c>
      <x:c r="O708" t="str">
        <x:v>CAMPURAN</x:v>
      </x:c>
      <x:c r="P708" t="str">
        <x:v>KOMPUTER/INFORMATIKA</x:v>
      </x:c>
      <x:c r="Q708" s="18" t="n">
        <x:v>630</x:v>
      </x:c>
      <x:c r="R708" s="18" t="n">
        <x:v>675</x:v>
      </x:c>
      <x:c r="S708" s="18" t="n">
        <x:v>643.9418991218719</x:v>
      </x:c>
      <x:c r="T708" s="18" t="n">
        <x:v>701</x:v>
      </x:c>
      <x:c r="U708" s="18" t="n">
        <x:v>675</x:v>
      </x:c>
      <x:c r="V708" s="20" t="n">
        <x:v>8.8</x:v>
      </x:c>
      <x:c r="W708" s="20" t="n">
        <x:v>9.9</x:v>
      </x:c>
      <x:c r="X708" s="20" t="n">
        <x:v>3.3</x:v>
      </x:c>
      <x:c r="Y708" t="str">
        <x:v>Basis arsip 2025/2024</x:v>
      </x:c>
      <x:c r="Z708" t="str">
        <x:v>https://snpmb.id/utbk-snbt/daya-tampung-snbt</x:v>
      </x:c>
      <x:c r="AA708" t="str">
        <x:v>Tidak Ada</x:v>
      </x:c>
      <x:c r="AB708" t="str">
        <x:v>Campus=80; Ratio=66.3; Prodi=85; RelDemand=66.2; Capacity=25.0</x:v>
      </x:c>
    </x:row>
    <x:row r="709">
      <x:c r="A709" t="n">
        <x:v>706</x:v>
      </x:c>
      <x:c r="B709" t="str">
        <x:v>PTN Akademik</x:v>
      </x:c>
      <x:c r="C709" t="str">
        <x:v>UNIVERSITAS SRIWIJAYA</x:v>
      </x:c>
      <x:c r="D709" t="str">
        <x:v>AGROEKOTEKNOLOGI</x:v>
      </x:c>
      <x:c r="E709" t="str">
        <x:v>Sarjana</x:v>
      </x:c>
      <x:c r="F709" s="18" t="n">
        <x:v>57</x:v>
      </x:c>
      <x:c r="G709" s="18" t="n">
        <x:v>236</x:v>
      </x:c>
      <x:c r="H709" s="19" t="n">
        <x:v>4.140350877192983</x:v>
      </x:c>
      <x:c r="I709" s="18" t="n">
        <x:f>ROUND(MIN(Model_Config_v3!$B$6,MAX(Q709,R709,S709*Model_Config_v3!$B$4+T709*Model_Config_v3!$B$5)),0)</x:f>
        <x:v>642</x:v>
      </x:c>
      <x:c r="J709" s="18" t="n">
        <x:f>MIN(Model_Config_v3!$B$6,I709+Model_Config_v3!$B$7)</x:f>
        <x:v>662</x:v>
      </x:c>
      <x:c r="K709" s="20" t="n">
        <x:v>52.4</x:v>
      </x:c>
      <x:c r="L709" t="str">
        <x:v>MENENGAH</x:v>
      </x:c>
      <x:c r="M709" t="str">
        <x:v>SEDANG+</x:v>
      </x:c>
      <x:c r="N709" t="str">
        <x:v>ELITE-3</x:v>
      </x:c>
      <x:c r="O709" t="str">
        <x:v>SAINTEK</x:v>
      </x:c>
      <x:c r="P709" t="str">
        <x:v>UMUM</x:v>
      </x:c>
      <x:c r="Q709" s="18" t="n">
        <x:v>630</x:v>
      </x:c>
      <x:c r="R709" s="18" t="n">
        <x:v>0</x:v>
      </x:c>
      <x:c r="S709" s="18" t="n">
        <x:v>587.8740862027377</x:v>
      </x:c>
      <x:c r="T709" s="18" t="n">
        <x:v>665</x:v>
      </x:c>
      <x:c r="U709" s="18" t="n">
        <x:v>630</x:v>
      </x:c>
      <x:c r="V709" s="20" t="n">
        <x:v>12</x:v>
      </x:c>
      <x:c r="W709" s="20" t="n">
        <x:v>5</x:v>
      </x:c>
      <x:c r="X709" s="20" t="n">
        <x:v>3</x:v>
      </x:c>
      <x:c r="Y709" t="str">
        <x:v>Basis arsip 2025/2024</x:v>
      </x:c>
      <x:c r="Z709" t="str">
        <x:v>https://snpmb.id/utbk-snbt/daya-tampung-snbt</x:v>
      </x:c>
      <x:c r="AA709" t="str">
        <x:v>Tidak Ada</x:v>
      </x:c>
      <x:c r="AB709" t="str">
        <x:v>Campus=80; Ratio=36.3; Prodi=40; RelDemand=20.5; Capacity=52.5</x:v>
      </x:c>
    </x:row>
    <x:row r="710">
      <x:c r="A710" t="n">
        <x:v>707</x:v>
      </x:c>
      <x:c r="B710" t="str">
        <x:v>PTN Akademik</x:v>
      </x:c>
      <x:c r="C710" t="str">
        <x:v>UNIVERSITAS SRIWIJAYA</x:v>
      </x:c>
      <x:c r="D710" t="str">
        <x:v>PETERNAKAN</x:v>
      </x:c>
      <x:c r="E710" t="str">
        <x:v>Sarjana</x:v>
      </x:c>
      <x:c r="F710" s="18" t="n">
        <x:v>57</x:v>
      </x:c>
      <x:c r="G710" s="18" t="n">
        <x:v>117</x:v>
      </x:c>
      <x:c r="H710" s="19" t="n">
        <x:v>2.0526315789473686</x:v>
      </x:c>
      <x:c r="I710" s="18" t="n">
        <x:f>ROUND(MIN(Model_Config_v3!$B$6,MAX(Q710,R710,S710*Model_Config_v3!$B$4+T710*Model_Config_v3!$B$5)),0)</x:f>
        <x:v>630</x:v>
      </x:c>
      <x:c r="J710" s="18" t="n">
        <x:f>MIN(Model_Config_v3!$B$6,I710+Model_Config_v3!$B$7)</x:f>
        <x:v>650</x:v>
      </x:c>
      <x:c r="K710" s="20" t="n">
        <x:v>46.9</x:v>
      </x:c>
      <x:c r="L710" t="str">
        <x:v>MENENGAH</x:v>
      </x:c>
      <x:c r="M710" t="str">
        <x:v>SEDANG+</x:v>
      </x:c>
      <x:c r="N710" t="str">
        <x:v>ELITE-3</x:v>
      </x:c>
      <x:c r="O710" t="str">
        <x:v>SAINTEK</x:v>
      </x:c>
      <x:c r="P710" t="str">
        <x:v>UMUM</x:v>
      </x:c>
      <x:c r="Q710" s="18" t="n">
        <x:v>630</x:v>
      </x:c>
      <x:c r="R710" s="18" t="n">
        <x:v>0</x:v>
      </x:c>
      <x:c r="S710" s="18" t="n">
        <x:v>554.3542106681037</x:v>
      </x:c>
      <x:c r="T710" s="18" t="n">
        <x:v>654</x:v>
      </x:c>
      <x:c r="U710" s="18" t="n">
        <x:v>630</x:v>
      </x:c>
      <x:c r="V710" s="20" t="n">
        <x:v>12</x:v>
      </x:c>
      <x:c r="W710" s="20" t="n">
        <x:v>5</x:v>
      </x:c>
      <x:c r="X710" s="20" t="n">
        <x:v>3</x:v>
      </x:c>
      <x:c r="Y710" t="str">
        <x:v>Basis arsip 2025/2024</x:v>
      </x:c>
      <x:c r="Z710" t="str">
        <x:v>https://snpmb.id/utbk-snbt/daya-tampung-snbt</x:v>
      </x:c>
      <x:c r="AA710" t="str">
        <x:v>Tidak Ada</x:v>
      </x:c>
      <x:c r="AB710" t="str">
        <x:v>Campus=80; Ratio=18.4; Prodi=40; RelDemand=10.1; Capacity=52.5</x:v>
      </x:c>
    </x:row>
    <x:row r="711">
      <x:c r="A711" t="n">
        <x:v>708</x:v>
      </x:c>
      <x:c r="B711" t="str">
        <x:v>PTN Akademik</x:v>
      </x:c>
      <x:c r="C711" t="str">
        <x:v>UNIVERSITAS SRIWIJAYA</x:v>
      </x:c>
      <x:c r="D711" t="str">
        <x:v>FARMASI</x:v>
      </x:c>
      <x:c r="E711" t="str">
        <x:v>Sarjana</x:v>
      </x:c>
      <x:c r="F711" s="18" t="n">
        <x:v>60</x:v>
      </x:c>
      <x:c r="G711" s="18" t="n">
        <x:v>1539</x:v>
      </x:c>
      <x:c r="H711" s="19" t="n">
        <x:v>25.65</x:v>
      </x:c>
      <x:c r="I711" s="18" t="n">
        <x:f>ROUND(MIN(Model_Config_v3!$B$6,MAX(Q711,R711,S711*Model_Config_v3!$B$4+T711*Model_Config_v3!$B$5)),0)</x:f>
        <x:v>704</x:v>
      </x:c>
      <x:c r="J711" s="18" t="n">
        <x:f>MIN(Model_Config_v3!$B$6,I711+Model_Config_v3!$B$7)</x:f>
        <x:v>724</x:v>
      </x:c>
      <x:c r="K711" s="20" t="n">
        <x:v>78.7</x:v>
      </x:c>
      <x:c r="L711" t="str">
        <x:v>ELITE</x:v>
      </x:c>
      <x:c r="M711" t="str">
        <x:v>SEDANG+</x:v>
      </x:c>
      <x:c r="N711" t="str">
        <x:v>ELITE-3</x:v>
      </x:c>
      <x:c r="O711" t="str">
        <x:v>SAINTEK</x:v>
      </x:c>
      <x:c r="P711" t="str">
        <x:v>FARMASI</x:v>
      </x:c>
      <x:c r="Q711" s="18" t="n">
        <x:v>630</x:v>
      </x:c>
      <x:c r="R711" s="18" t="n">
        <x:v>660</x:v>
      </x:c>
      <x:c r="S711" s="18" t="n">
        <x:v>674.9996106392618</x:v>
      </x:c>
      <x:c r="T711" s="18" t="n">
        <x:v>717</x:v>
      </x:c>
      <x:c r="U711" s="18" t="n">
        <x:v>694.9996106392618</x:v>
      </x:c>
      <x:c r="V711" s="20" t="n">
        <x:v>12</x:v>
      </x:c>
      <x:c r="W711" s="20" t="n">
        <x:v>5</x:v>
      </x:c>
      <x:c r="X711" s="20" t="n">
        <x:v>3</x:v>
      </x:c>
      <x:c r="Y711" t="str">
        <x:v>Basis arsip 2025/2024</x:v>
      </x:c>
      <x:c r="Z711" t="str">
        <x:v>https://snpmb.id/utbk-snbt/daya-tampung-snbt</x:v>
      </x:c>
      <x:c r="AA711" t="str">
        <x:v>Tidak Ada</x:v>
      </x:c>
      <x:c r="AB711" t="str">
        <x:v>Campus=80; Ratio=82.9; Prodi=75; RelDemand=100.0; Capacity=50.0</x:v>
      </x:c>
    </x:row>
    <x:row r="712">
      <x:c r="A712" t="n">
        <x:v>709</x:v>
      </x:c>
      <x:c r="B712" t="str">
        <x:v>PTN Akademik</x:v>
      </x:c>
      <x:c r="C712" t="str">
        <x:v>UNIVERSITAS SRIWIJAYA</x:v>
      </x:c>
      <x:c r="D712" t="str">
        <x:v>TEKNIK GEOLOGI</x:v>
      </x:c>
      <x:c r="E712" t="str">
        <x:v>Sarjana</x:v>
      </x:c>
      <x:c r="F712" s="18" t="n">
        <x:v>42</x:v>
      </x:c>
      <x:c r="G712" s="18" t="n">
        <x:v>596</x:v>
      </x:c>
      <x:c r="H712" s="19" t="n">
        <x:v>14.19047619047619</x:v>
      </x:c>
      <x:c r="I712" s="18" t="n">
        <x:f>ROUND(MIN(Model_Config_v3!$B$6,MAX(Q712,R712,S712*Model_Config_v3!$B$4+T712*Model_Config_v3!$B$5)),0)</x:f>
        <x:v>685</x:v>
      </x:c>
      <x:c r="J712" s="18" t="n">
        <x:f>MIN(Model_Config_v3!$B$6,I712+Model_Config_v3!$B$7)</x:f>
        <x:v>705</x:v>
      </x:c>
      <x:c r="K712" s="20" t="n">
        <x:v>70.5</x:v>
      </x:c>
      <x:c r="L712" t="str">
        <x:v>SANGAT KETAT</x:v>
      </x:c>
      <x:c r="M712" t="str">
        <x:v>SEDANG+</x:v>
      </x:c>
      <x:c r="N712" t="str">
        <x:v>ELITE-3</x:v>
      </x:c>
      <x:c r="O712" t="str">
        <x:v>SAINTEK</x:v>
      </x:c>
      <x:c r="P712" t="str">
        <x:v>TEKNIK/ARSITEKTUR/STATISTIKA/AKTUARIA</x:v>
      </x:c>
      <x:c r="Q712" s="18" t="n">
        <x:v>630</x:v>
      </x:c>
      <x:c r="R712" s="18" t="n">
        <x:v>0</x:v>
      </x:c>
      <x:c r="S712" s="18" t="n">
        <x:v>646.7196666276569</x:v>
      </x:c>
      <x:c r="T712" s="18" t="n">
        <x:v>701</x:v>
      </x:c>
      <x:c r="U712" s="18" t="n">
        <x:v>656.7196666276569</x:v>
      </x:c>
      <x:c r="V712" s="20" t="n">
        <x:v>12</x:v>
      </x:c>
      <x:c r="W712" s="20" t="n">
        <x:v>5</x:v>
      </x:c>
      <x:c r="X712" s="20" t="n">
        <x:v>3</x:v>
      </x:c>
      <x:c r="Y712" t="str">
        <x:v>Basis arsip 2025/2024</x:v>
      </x:c>
      <x:c r="Z712" t="str">
        <x:v>https://snpmb.id/utbk-snbt/daya-tampung-snbt</x:v>
      </x:c>
      <x:c r="AA712" t="str">
        <x:v>Tidak Ada</x:v>
      </x:c>
      <x:c r="AB712" t="str">
        <x:v>Campus=80; Ratio=67.8; Prodi=60; RelDemand=70.2; Capacity=65.0</x:v>
      </x:c>
    </x:row>
    <x:row r="713">
      <x:c r="A713" t="n">
        <x:v>710</x:v>
      </x:c>
      <x:c r="B713" t="str">
        <x:v>PTN Akademik</x:v>
      </x:c>
      <x:c r="C713" t="str">
        <x:v>UNIVERSITAS SRIWIJAYA</x:v>
      </x:c>
      <x:c r="D713" t="str">
        <x:v>PSIKOLOGI</x:v>
      </x:c>
      <x:c r="E713" t="str">
        <x:v>Sarjana</x:v>
      </x:c>
      <x:c r="F713" s="18" t="n">
        <x:v>36</x:v>
      </x:c>
      <x:c r="G713" s="18" t="n">
        <x:v>1002</x:v>
      </x:c>
      <x:c r="H713" s="19" t="n">
        <x:v>27.833333333333332</x:v>
      </x:c>
      <x:c r="I713" s="18" t="n">
        <x:f>ROUND(MIN(Model_Config_v3!$B$6,MAX(Q713,R713,S713*Model_Config_v3!$B$4+T713*Model_Config_v3!$B$5)),0)</x:f>
        <x:v>711</x:v>
      </x:c>
      <x:c r="J713" s="18" t="n">
        <x:f>MIN(Model_Config_v3!$B$6,I713+Model_Config_v3!$B$7)</x:f>
        <x:v>731</x:v>
      </x:c>
      <x:c r="K713" s="20" t="n">
        <x:v>82.3</x:v>
      </x:c>
      <x:c r="L713" t="str">
        <x:v>ELITE</x:v>
      </x:c>
      <x:c r="M713" t="str">
        <x:v>SEDANG+</x:v>
      </x:c>
      <x:c r="N713" t="str">
        <x:v>ELITE-3</x:v>
      </x:c>
      <x:c r="O713" t="str">
        <x:v>SOSHUM</x:v>
      </x:c>
      <x:c r="P713" t="str">
        <x:v>PSIKOLOGI</x:v>
      </x:c>
      <x:c r="Q713" s="18" t="n">
        <x:v>630</x:v>
      </x:c>
      <x:c r="R713" s="18" t="n">
        <x:v>670</x:v>
      </x:c>
      <x:c r="S713" s="18" t="n">
        <x:v>678.9021742840333</x:v>
      </x:c>
      <x:c r="T713" s="18" t="n">
        <x:v>725</x:v>
      </x:c>
      <x:c r="U713" s="18" t="n">
        <x:v>703.9021742840333</x:v>
      </x:c>
      <x:c r="V713" s="20" t="n">
        <x:v>4.4</x:v>
      </x:c>
      <x:c r="W713" s="20" t="n">
        <x:v>14.3</x:v>
      </x:c>
      <x:c r="X713" s="20" t="n">
        <x:v>3.3</x:v>
      </x:c>
      <x:c r="Y713" t="str">
        <x:v>Basis arsip 2025/2024</x:v>
      </x:c>
      <x:c r="Z713" t="str">
        <x:v>https://snpmb.id/utbk-snbt/daya-tampung-snbt</x:v>
      </x:c>
      <x:c r="AA713" t="str">
        <x:v>Tidak Ada</x:v>
      </x:c>
      <x:c r="AB713" t="str">
        <x:v>Campus=80; Ratio=85.0; Prodi=80; RelDemand=100.0; Capacity=70.0</x:v>
      </x:c>
    </x:row>
    <x:row r="714">
      <x:c r="A714" t="n">
        <x:v>711</x:v>
      </x:c>
      <x:c r="B714" t="str">
        <x:v>PTN Akademik</x:v>
      </x:c>
      <x:c r="C714" t="str">
        <x:v>UNIVERSITAS SRIWIJAYA</x:v>
      </x:c>
      <x:c r="D714" t="str">
        <x:v>ILMU TANAH</x:v>
      </x:c>
      <x:c r="E714" t="str">
        <x:v>Sarjana</x:v>
      </x:c>
      <x:c r="F714" s="18" t="n">
        <x:v>57</x:v>
      </x:c>
      <x:c r="G714" s="18" t="n">
        <x:v>176</x:v>
      </x:c>
      <x:c r="H714" s="19" t="n">
        <x:v>3.087719298245614</x:v>
      </x:c>
      <x:c r="I714" s="18" t="n">
        <x:f>ROUND(MIN(Model_Config_v3!$B$6,MAX(Q714,R714,S714*Model_Config_v3!$B$4+T714*Model_Config_v3!$B$5)),0)</x:f>
        <x:v>634</x:v>
      </x:c>
      <x:c r="J714" s="18" t="n">
        <x:f>MIN(Model_Config_v3!$B$6,I714+Model_Config_v3!$B$7)</x:f>
        <x:v>654</x:v>
      </x:c>
      <x:c r="K714" s="20" t="n">
        <x:v>50</x:v>
      </x:c>
      <x:c r="L714" t="str">
        <x:v>MENENGAH</x:v>
      </x:c>
      <x:c r="M714" t="str">
        <x:v>SEDANG+</x:v>
      </x:c>
      <x:c r="N714" t="str">
        <x:v>ELITE-3</x:v>
      </x:c>
      <x:c r="O714" t="str">
        <x:v>CAMPURAN</x:v>
      </x:c>
      <x:c r="P714" t="str">
        <x:v>UMUM</x:v>
      </x:c>
      <x:c r="Q714" s="18" t="n">
        <x:v>630</x:v>
      </x:c>
      <x:c r="R714" s="18" t="n">
        <x:v>0</x:v>
      </x:c>
      <x:c r="S714" s="18" t="n">
        <x:v>573.8601593355825</x:v>
      </x:c>
      <x:c r="T714" s="18" t="n">
        <x:v>660</x:v>
      </x:c>
      <x:c r="U714" s="18" t="n">
        <x:v>630</x:v>
      </x:c>
      <x:c r="V714" s="20" t="n">
        <x:v>8.8</x:v>
      </x:c>
      <x:c r="W714" s="20" t="n">
        <x:v>9.9</x:v>
      </x:c>
      <x:c r="X714" s="20" t="n">
        <x:v>3.3</x:v>
      </x:c>
      <x:c r="Y714" t="str">
        <x:v>Basis arsip 2025/2024</x:v>
      </x:c>
      <x:c r="Z714" t="str">
        <x:v>https://snpmb.id/utbk-snbt/daya-tampung-snbt</x:v>
      </x:c>
      <x:c r="AA714" t="str">
        <x:v>Tidak Ada</x:v>
      </x:c>
      <x:c r="AB714" t="str">
        <x:v>Campus=80; Ratio=28.8; Prodi=40; RelDemand=15.3; Capacity=52.5</x:v>
      </x:c>
    </x:row>
    <x:row r="715">
      <x:c r="A715" t="n">
        <x:v>712</x:v>
      </x:c>
      <x:c r="B715" t="str">
        <x:v>PTN Akademik</x:v>
      </x:c>
      <x:c r="C715" t="str">
        <x:v>UNIVERSITAS SRIWIJAYA</x:v>
      </x:c>
      <x:c r="D715" t="str">
        <x:v>AGRONOMI</x:v>
      </x:c>
      <x:c r="E715" t="str">
        <x:v>Sarjana</x:v>
      </x:c>
      <x:c r="F715" s="18" t="n">
        <x:v>57</x:v>
      </x:c>
      <x:c r="G715" s="18" t="n">
        <x:v>192</x:v>
      </x:c>
      <x:c r="H715" s="19" t="n">
        <x:v>3.3684210526315788</x:v>
      </x:c>
      <x:c r="I715" s="18" t="n">
        <x:f>ROUND(MIN(Model_Config_v3!$B$6,MAX(Q715,R715,S715*Model_Config_v3!$B$4+T715*Model_Config_v3!$B$5)),0)</x:f>
        <x:v>636</x:v>
      </x:c>
      <x:c r="J715" s="18" t="n">
        <x:f>MIN(Model_Config_v3!$B$6,I715+Model_Config_v3!$B$7)</x:f>
        <x:v>656</x:v>
      </x:c>
      <x:c r="K715" s="20" t="n">
        <x:v>50.7</x:v>
      </x:c>
      <x:c r="L715" t="str">
        <x:v>MENENGAH</x:v>
      </x:c>
      <x:c r="M715" t="str">
        <x:v>SEDANG+</x:v>
      </x:c>
      <x:c r="N715" t="str">
        <x:v>ELITE-3</x:v>
      </x:c>
      <x:c r="O715" t="str">
        <x:v>CAMPURAN</x:v>
      </x:c>
      <x:c r="P715" t="str">
        <x:v>UMUM</x:v>
      </x:c>
      <x:c r="Q715" s="18" t="n">
        <x:v>630</x:v>
      </x:c>
      <x:c r="R715" s="18" t="n">
        <x:v>0</x:v>
      </x:c>
      <x:c r="S715" s="18" t="n">
        <x:v>578.0169010334164</x:v>
      </x:c>
      <x:c r="T715" s="18" t="n">
        <x:v>661</x:v>
      </x:c>
      <x:c r="U715" s="18" t="n">
        <x:v>630</x:v>
      </x:c>
      <x:c r="V715" s="20" t="n">
        <x:v>8.8</x:v>
      </x:c>
      <x:c r="W715" s="20" t="n">
        <x:v>9.9</x:v>
      </x:c>
      <x:c r="X715" s="20" t="n">
        <x:v>3.3</x:v>
      </x:c>
      <x:c r="Y715" t="str">
        <x:v>Basis arsip 2025/2024</x:v>
      </x:c>
      <x:c r="Z715" t="str">
        <x:v>https://snpmb.id/utbk-snbt/daya-tampung-snbt</x:v>
      </x:c>
      <x:c r="AA715" t="str">
        <x:v>Tidak Ada</x:v>
      </x:c>
      <x:c r="AB715" t="str">
        <x:v>Campus=80; Ratio=31.0; Prodi=40; RelDemand=16.7; Capacity=52.5</x:v>
      </x:c>
    </x:row>
    <x:row r="716">
      <x:c r="A716" t="n">
        <x:v>713</x:v>
      </x:c>
      <x:c r="B716" t="str">
        <x:v>PTN Akademik</x:v>
      </x:c>
      <x:c r="C716" t="str">
        <x:v>UNIVERSITAS SRIWIJAYA</x:v>
      </x:c>
      <x:c r="D716" t="str">
        <x:v>PROTEKSI TANAMAN</x:v>
      </x:c>
      <x:c r="E716" t="str">
        <x:v>Sarjana</x:v>
      </x:c>
      <x:c r="F716" s="18" t="n">
        <x:v>57</x:v>
      </x:c>
      <x:c r="G716" s="18" t="n">
        <x:v>102</x:v>
      </x:c>
      <x:c r="H716" s="19" t="n">
        <x:v>1.7894736842105263</x:v>
      </x:c>
      <x:c r="I716" s="18" t="n">
        <x:f>ROUND(MIN(Model_Config_v3!$B$6,MAX(Q716,R716,S716*Model_Config_v3!$B$4+T716*Model_Config_v3!$B$5)),0)</x:f>
        <x:v>630</x:v>
      </x:c>
      <x:c r="J716" s="18" t="n">
        <x:f>MIN(Model_Config_v3!$B$6,I716+Model_Config_v3!$B$7)</x:f>
        <x:v>650</x:v>
      </x:c>
      <x:c r="K716" s="20" t="n">
        <x:v>45.9</x:v>
      </x:c>
      <x:c r="L716" t="str">
        <x:v>MENENGAH</x:v>
      </x:c>
      <x:c r="M716" t="str">
        <x:v>SEDANG+</x:v>
      </x:c>
      <x:c r="N716" t="str">
        <x:v>ELITE-3</x:v>
      </x:c>
      <x:c r="O716" t="str">
        <x:v>CAMPURAN</x:v>
      </x:c>
      <x:c r="P716" t="str">
        <x:v>UMUM</x:v>
      </x:c>
      <x:c r="Q716" s="18" t="n">
        <x:v>630</x:v>
      </x:c>
      <x:c r="R716" s="18" t="n">
        <x:v>0</x:v>
      </x:c>
      <x:c r="S716" s="18" t="n">
        <x:v>547.7997847698368</x:v>
      </x:c>
      <x:c r="T716" s="18" t="n">
        <x:v>652</x:v>
      </x:c>
      <x:c r="U716" s="18" t="n">
        <x:v>630</x:v>
      </x:c>
      <x:c r="V716" s="20" t="n">
        <x:v>8.8</x:v>
      </x:c>
      <x:c r="W716" s="20" t="n">
        <x:v>9.9</x:v>
      </x:c>
      <x:c r="X716" s="20" t="n">
        <x:v>3.3</x:v>
      </x:c>
      <x:c r="Y716" t="str">
        <x:v>Basis arsip 2025/2024</x:v>
      </x:c>
      <x:c r="Z716" t="str">
        <x:v>https://snpmb.id/utbk-snbt/daya-tampung-snbt</x:v>
      </x:c>
      <x:c r="AA716" t="str">
        <x:v>Tidak Ada</x:v>
      </x:c>
      <x:c r="AB716" t="str">
        <x:v>Campus=80; Ratio=14.9; Prodi=40; RelDemand=8.8; Capacity=52.5</x:v>
      </x:c>
    </x:row>
    <x:row r="717">
      <x:c r="A717" t="n">
        <x:v>714</x:v>
      </x:c>
      <x:c r="B717" t="str">
        <x:v>PTN Akademik</x:v>
      </x:c>
      <x:c r="C717" t="str">
        <x:v>UNIVERSITAS SRIWIJAYA</x:v>
      </x:c>
      <x:c r="D717" t="str">
        <x:v>GIZI</x:v>
      </x:c>
      <x:c r="E717" t="str">
        <x:v>Sarjana</x:v>
      </x:c>
      <x:c r="F717" s="18" t="n">
        <x:v>60</x:v>
      </x:c>
      <x:c r="G717" s="18" t="n">
        <x:v>895</x:v>
      </x:c>
      <x:c r="H717" s="19" t="n">
        <x:v>14.916666666666666</x:v>
      </x:c>
      <x:c r="I717" s="18" t="n">
        <x:f>ROUND(MIN(Model_Config_v3!$B$6,MAX(Q717,R717,S717*Model_Config_v3!$B$4+T717*Model_Config_v3!$B$5)),0)</x:f>
        <x:v>683</x:v>
      </x:c>
      <x:c r="J717" s="18" t="n">
        <x:f>MIN(Model_Config_v3!$B$6,I717+Model_Config_v3!$B$7)</x:f>
        <x:v>703</x:v>
      </x:c>
      <x:c r="K717" s="20" t="n">
        <x:v>68.6</x:v>
      </x:c>
      <x:c r="L717" t="str">
        <x:v>SANGAT KETAT</x:v>
      </x:c>
      <x:c r="M717" t="str">
        <x:v>SEDANG+</x:v>
      </x:c>
      <x:c r="N717" t="str">
        <x:v>ELITE-3</x:v>
      </x:c>
      <x:c r="O717" t="str">
        <x:v>SAINTEK</x:v>
      </x:c>
      <x:c r="P717" t="str">
        <x:v>KESEHAT/GIZI/KEPERAWATAN</x:v>
      </x:c>
      <x:c r="Q717" s="18" t="n">
        <x:v>630</x:v>
      </x:c>
      <x:c r="R717" s="18" t="n">
        <x:v>0</x:v>
      </x:c>
      <x:c r="S717" s="18" t="n">
        <x:v>649.1038963425494</x:v>
      </x:c>
      <x:c r="T717" s="18" t="n">
        <x:v>697</x:v>
      </x:c>
      <x:c r="U717" s="18" t="n">
        <x:v>649.1038963425494</x:v>
      </x:c>
      <x:c r="V717" s="20" t="n">
        <x:v>12</x:v>
      </x:c>
      <x:c r="W717" s="20" t="n">
        <x:v>5</x:v>
      </x:c>
      <x:c r="X717" s="20" t="n">
        <x:v>3</x:v>
      </x:c>
      <x:c r="Y717" t="str">
        <x:v>Basis arsip 2025/2024</x:v>
      </x:c>
      <x:c r="Z717" t="str">
        <x:v>https://snpmb.id/utbk-snbt/daya-tampung-snbt</x:v>
      </x:c>
      <x:c r="AA717" t="str">
        <x:v>Tidak Ada</x:v>
      </x:c>
      <x:c r="AB717" t="str">
        <x:v>Campus=80; Ratio=69.1; Prodi=55; RelDemand=73.8; Capacity=50.0</x:v>
      </x:c>
    </x:row>
    <x:row r="718">
      <x:c r="A718" t="n">
        <x:v>715</x:v>
      </x:c>
      <x:c r="B718" t="str">
        <x:v>PTN Akademik</x:v>
      </x:c>
      <x:c r="C718" t="str">
        <x:v>UNIVERSITAS SRIWIJAYA</x:v>
      </x:c>
      <x:c r="D718" t="str">
        <x:v>KESEHATAN LINGKUNGAN</x:v>
      </x:c>
      <x:c r="E718" t="str">
        <x:v>Sarjana</x:v>
      </x:c>
      <x:c r="F718" s="18" t="n">
        <x:v>60</x:v>
      </x:c>
      <x:c r="G718" s="18" t="n">
        <x:v>552</x:v>
      </x:c>
      <x:c r="H718" s="19" t="n">
        <x:v>9.2</x:v>
      </x:c>
      <x:c r="I718" s="18" t="n">
        <x:f>ROUND(MIN(Model_Config_v3!$B$6,MAX(Q718,R718,S718*Model_Config_v3!$B$4+T718*Model_Config_v3!$B$5)),0)</x:f>
        <x:v>667</x:v>
      </x:c>
      <x:c r="J718" s="18" t="n">
        <x:f>MIN(Model_Config_v3!$B$6,I718+Model_Config_v3!$B$7)</x:f>
        <x:v>687</x:v>
      </x:c>
      <x:c r="K718" s="20" t="n">
        <x:v>62.7</x:v>
      </x:c>
      <x:c r="L718" t="str">
        <x:v>KETAT</x:v>
      </x:c>
      <x:c r="M718" t="str">
        <x:v>SEDANG+</x:v>
      </x:c>
      <x:c r="N718" t="str">
        <x:v>ELITE-3</x:v>
      </x:c>
      <x:c r="O718" t="str">
        <x:v>SAINTEK</x:v>
      </x:c>
      <x:c r="P718" t="str">
        <x:v>KESEHAT/GIZI/KEPERAWATAN</x:v>
      </x:c>
      <x:c r="Q718" s="18" t="n">
        <x:v>630</x:v>
      </x:c>
      <x:c r="R718" s="18" t="n">
        <x:v>0</x:v>
      </x:c>
      <x:c r="S718" s="18" t="n">
        <x:v>626.016661008011</x:v>
      </x:c>
      <x:c r="T718" s="18" t="n">
        <x:v>685</x:v>
      </x:c>
      <x:c r="U718" s="18" t="n">
        <x:v>630</x:v>
      </x:c>
      <x:c r="V718" s="20" t="n">
        <x:v>12</x:v>
      </x:c>
      <x:c r="W718" s="20" t="n">
        <x:v>5</x:v>
      </x:c>
      <x:c r="X718" s="20" t="n">
        <x:v>3</x:v>
      </x:c>
      <x:c r="Y718" t="str">
        <x:v>Basis arsip 2025/2024</x:v>
      </x:c>
      <x:c r="Z718" t="str">
        <x:v>https://snpmb.id/utbk-snbt/daya-tampung-snbt</x:v>
      </x:c>
      <x:c r="AA718" t="str">
        <x:v>Tidak Ada</x:v>
      </x:c>
      <x:c r="AB718" t="str">
        <x:v>Campus=80; Ratio=56.7; Prodi=55; RelDemand=45.5; Capacity=50.0</x:v>
      </x:c>
    </x:row>
    <x:row r="719">
      <x:c r="A719" t="n">
        <x:v>716</x:v>
      </x:c>
      <x:c r="B719" t="str">
        <x:v>PTN Akademik</x:v>
      </x:c>
      <x:c r="C719" t="str">
        <x:v>UNIVERSITAS SRIWIJAYA</x:v>
      </x:c>
      <x:c r="D719" t="str">
        <x:v>EKONOMI PEMBANGUNAN</x:v>
      </x:c>
      <x:c r="E719" t="str">
        <x:v>Sarjana</x:v>
      </x:c>
      <x:c r="F719" s="18" t="n">
        <x:v>100</x:v>
      </x:c>
      <x:c r="G719" s="18" t="n">
        <x:v>484</x:v>
      </x:c>
      <x:c r="H719" s="19" t="n">
        <x:v>4.84</x:v>
      </x:c>
      <x:c r="I719" s="18" t="n">
        <x:f>ROUND(MIN(Model_Config_v3!$B$6,MAX(Q719,R719,S719*Model_Config_v3!$B$4+T719*Model_Config_v3!$B$5)),0)</x:f>
        <x:v>648</x:v>
      </x:c>
      <x:c r="J719" s="18" t="n">
        <x:f>MIN(Model_Config_v3!$B$6,I719+Model_Config_v3!$B$7)</x:f>
        <x:v>668</x:v>
      </x:c>
      <x:c r="K719" s="20" t="n">
        <x:v>55.1</x:v>
      </x:c>
      <x:c r="L719" t="str">
        <x:v>KETAT</x:v>
      </x:c>
      <x:c r="M719" t="str">
        <x:v>SEDANG+</x:v>
      </x:c>
      <x:c r="N719" t="str">
        <x:v>ELITE-3</x:v>
      </x:c>
      <x:c r="O719" t="str">
        <x:v>SOSHUM</x:v>
      </x:c>
      <x:c r="P719" t="str">
        <x:v>BISNIS/EKONOMI/AKUNTANSI</x:v>
      </x:c>
      <x:c r="Q719" s="18" t="n">
        <x:v>630</x:v>
      </x:c>
      <x:c r="R719" s="18" t="n">
        <x:v>0</x:v>
      </x:c>
      <x:c r="S719" s="18" t="n">
        <x:v>595.3329897808853</x:v>
      </x:c>
      <x:c r="T719" s="18" t="n">
        <x:v>670</x:v>
      </x:c>
      <x:c r="U719" s="18" t="n">
        <x:v>630</x:v>
      </x:c>
      <x:c r="V719" s="20" t="n">
        <x:v>4.4</x:v>
      </x:c>
      <x:c r="W719" s="20" t="n">
        <x:v>14.3</x:v>
      </x:c>
      <x:c r="X719" s="20" t="n">
        <x:v>3.3</x:v>
      </x:c>
      <x:c r="Y719" t="str">
        <x:v>Basis arsip 2025/2024</x:v>
      </x:c>
      <x:c r="Z719" t="str">
        <x:v>https://snpmb.id/utbk-snbt/daya-tampung-snbt</x:v>
      </x:c>
      <x:c r="AA719" t="str">
        <x:v>Tidak Ada</x:v>
      </x:c>
      <x:c r="AB719" t="str">
        <x:v>Campus=80; Ratio=40.3; Prodi=65; RelDemand=23.9; Capacity=16.7</x:v>
      </x:c>
    </x:row>
    <x:row r="720">
      <x:c r="A720" t="n">
        <x:v>717</x:v>
      </x:c>
      <x:c r="B720" t="str">
        <x:v>PTN Akademik</x:v>
      </x:c>
      <x:c r="C720" t="str">
        <x:v>UNIVERSITAS SRIWIJAYA</x:v>
      </x:c>
      <x:c r="D720" t="str">
        <x:v>ILMU HUKUM</x:v>
      </x:c>
      <x:c r="E720" t="str">
        <x:v>Sarjana</x:v>
      </x:c>
      <x:c r="F720" s="18" t="n">
        <x:v>250</x:v>
      </x:c>
      <x:c r="G720" s="18" t="n">
        <x:v>1859</x:v>
      </x:c>
      <x:c r="H720" s="19" t="n">
        <x:v>7.436</x:v>
      </x:c>
      <x:c r="I720" s="18" t="n">
        <x:f>ROUND(MIN(Model_Config_v3!$B$6,MAX(Q720,R720,S720*Model_Config_v3!$B$4+T720*Model_Config_v3!$B$5)),0)</x:f>
        <x:v>657</x:v>
      </x:c>
      <x:c r="J720" s="18" t="n">
        <x:f>MIN(Model_Config_v3!$B$6,I720+Model_Config_v3!$B$7)</x:f>
        <x:v>677</x:v>
      </x:c>
      <x:c r="K720" s="20" t="n">
        <x:v>57.5</x:v>
      </x:c>
      <x:c r="L720" t="str">
        <x:v>KETAT</x:v>
      </x:c>
      <x:c r="M720" t="str">
        <x:v>SEDANG+</x:v>
      </x:c>
      <x:c r="N720" t="str">
        <x:v>ELITE-3</x:v>
      </x:c>
      <x:c r="O720" t="str">
        <x:v>SOSHUM</x:v>
      </x:c>
      <x:c r="P720" t="str">
        <x:v>HUKUM</x:v>
      </x:c>
      <x:c r="Q720" s="18" t="n">
        <x:v>630</x:v>
      </x:c>
      <x:c r="R720" s="18" t="n">
        <x:v>0</x:v>
      </x:c>
      <x:c r="S720" s="18" t="n">
        <x:v>615.8473319209847</x:v>
      </x:c>
      <x:c r="T720" s="18" t="n">
        <x:v>675</x:v>
      </x:c>
      <x:c r="U720" s="18" t="n">
        <x:v>630.8473319209847</x:v>
      </x:c>
      <x:c r="V720" s="20" t="n">
        <x:v>4.4</x:v>
      </x:c>
      <x:c r="W720" s="20" t="n">
        <x:v>14.3</x:v>
      </x:c>
      <x:c r="X720" s="20" t="n">
        <x:v>3.3</x:v>
      </x:c>
      <x:c r="Y720" t="str">
        <x:v>Basis arsip 2025/2024</x:v>
      </x:c>
      <x:c r="Z720" t="str">
        <x:v>https://snpmb.id/utbk-snbt/daya-tampung-snbt</x:v>
      </x:c>
      <x:c r="AA720" t="str">
        <x:v>Tidak Ada</x:v>
      </x:c>
      <x:c r="AB720" t="str">
        <x:v>Campus=80; Ratio=51.3; Prodi=65; RelDemand=36.8; Capacity=0.0</x:v>
      </x:c>
    </x:row>
    <x:row r="721">
      <x:c r="A721" t="n">
        <x:v>718</x:v>
      </x:c>
      <x:c r="B721" t="str">
        <x:v>PTN Akademik</x:v>
      </x:c>
      <x:c r="C721" t="str">
        <x:v>UNIVERSITAS SRIWIJAYA</x:v>
      </x:c>
      <x:c r="D721" t="str">
        <x:v>MANAJEMEN</x:v>
      </x:c>
      <x:c r="E721" t="str">
        <x:v>Sarjana</x:v>
      </x:c>
      <x:c r="F721" s="18" t="n">
        <x:v>90</x:v>
      </x:c>
      <x:c r="G721" s="18" t="n">
        <x:v>1944</x:v>
      </x:c>
      <x:c r="H721" s="19" t="n">
        <x:v>21.6</x:v>
      </x:c>
      <x:c r="I721" s="18" t="n">
        <x:f>ROUND(MIN(Model_Config_v3!$B$6,MAX(Q721,R721,S721*Model_Config_v3!$B$4+T721*Model_Config_v3!$B$5)),0)</x:f>
        <x:v>694</x:v>
      </x:c>
      <x:c r="J721" s="18" t="n">
        <x:f>MIN(Model_Config_v3!$B$6,I721+Model_Config_v3!$B$7)</x:f>
        <x:v>714</x:v>
      </x:c>
      <x:c r="K721" s="20" t="n">
        <x:v>73.1</x:v>
      </x:c>
      <x:c r="L721" t="str">
        <x:v>SANGAT KETAT</x:v>
      </x:c>
      <x:c r="M721" t="str">
        <x:v>SEDANG+</x:v>
      </x:c>
      <x:c r="N721" t="str">
        <x:v>ELITE-3</x:v>
      </x:c>
      <x:c r="O721" t="str">
        <x:v>SOSHUM</x:v>
      </x:c>
      <x:c r="P721" t="str">
        <x:v>BISNIS/EKONOMI/AKUNTANSI</x:v>
      </x:c>
      <x:c r="Q721" s="18" t="n">
        <x:v>630</x:v>
      </x:c>
      <x:c r="R721" s="18" t="n">
        <x:v>0</x:v>
      </x:c>
      <x:c r="S721" s="18" t="n">
        <x:v>666.7899126266024</x:v>
      </x:c>
      <x:c r="T721" s="18" t="n">
        <x:v>706</x:v>
      </x:c>
      <x:c r="U721" s="18" t="n">
        <x:v>681.7899126266024</x:v>
      </x:c>
      <x:c r="V721" s="20" t="n">
        <x:v>4.4</x:v>
      </x:c>
      <x:c r="W721" s="20" t="n">
        <x:v>14.3</x:v>
      </x:c>
      <x:c r="X721" s="20" t="n">
        <x:v>3.3</x:v>
      </x:c>
      <x:c r="Y721" t="str">
        <x:v>Basis arsip 2025/2024</x:v>
      </x:c>
      <x:c r="Z721" t="str">
        <x:v>https://snpmb.id/utbk-snbt/daya-tampung-snbt</x:v>
      </x:c>
      <x:c r="AA721" t="str">
        <x:v>Tidak Ada</x:v>
      </x:c>
      <x:c r="AB721" t="str">
        <x:v>Campus=80; Ratio=78.5; Prodi=65; RelDemand=100.0; Capacity=25.0</x:v>
      </x:c>
    </x:row>
    <x:row r="722">
      <x:c r="A722" t="n">
        <x:v>719</x:v>
      </x:c>
      <x:c r="B722" t="str">
        <x:v>PTN Akademik</x:v>
      </x:c>
      <x:c r="C722" t="str">
        <x:v>UNIVERSITAS SRIWIJAYA</x:v>
      </x:c>
      <x:c r="D722" t="str">
        <x:v>AKUNTANSI</x:v>
      </x:c>
      <x:c r="E722" t="str">
        <x:v>Sarjana</x:v>
      </x:c>
      <x:c r="F722" s="18" t="n">
        <x:v>90</x:v>
      </x:c>
      <x:c r="G722" s="18" t="n">
        <x:v>1301</x:v>
      </x:c>
      <x:c r="H722" s="19" t="n">
        <x:v>14.455555555555556</x:v>
      </x:c>
      <x:c r="I722" s="18" t="n">
        <x:f>ROUND(MIN(Model_Config_v3!$B$6,MAX(Q722,R722,S722*Model_Config_v3!$B$4+T722*Model_Config_v3!$B$5)),0)</x:f>
        <x:v>681</x:v>
      </x:c>
      <x:c r="J722" s="18" t="n">
        <x:f>MIN(Model_Config_v3!$B$6,I722+Model_Config_v3!$B$7)</x:f>
        <x:v>701</x:v>
      </x:c>
      <x:c r="K722" s="20" t="n">
        <x:v>67.7</x:v>
      </x:c>
      <x:c r="L722" t="str">
        <x:v>SANGAT KETAT</x:v>
      </x:c>
      <x:c r="M722" t="str">
        <x:v>SEDANG+</x:v>
      </x:c>
      <x:c r="N722" t="str">
        <x:v>ELITE-3</x:v>
      </x:c>
      <x:c r="O722" t="str">
        <x:v>SOSHUM</x:v>
      </x:c>
      <x:c r="P722" t="str">
        <x:v>BISNIS/EKONOMI/AKUNTANSI</x:v>
      </x:c>
      <x:c r="Q722" s="18" t="n">
        <x:v>630</x:v>
      </x:c>
      <x:c r="R722" s="18" t="n">
        <x:v>0</x:v>
      </x:c>
      <x:c r="S722" s="18" t="n">
        <x:v>647.6038265834487</x:v>
      </x:c>
      <x:c r="T722" s="18" t="n">
        <x:v>695</x:v>
      </x:c>
      <x:c r="U722" s="18" t="n">
        <x:v>647.6038265834487</x:v>
      </x:c>
      <x:c r="V722" s="20" t="n">
        <x:v>4.4</x:v>
      </x:c>
      <x:c r="W722" s="20" t="n">
        <x:v>14.3</x:v>
      </x:c>
      <x:c r="X722" s="20" t="n">
        <x:v>3.3</x:v>
      </x:c>
      <x:c r="Y722" t="str">
        <x:v>Basis arsip 2025/2024</x:v>
      </x:c>
      <x:c r="Z722" t="str">
        <x:v>https://snpmb.id/utbk-snbt/daya-tampung-snbt</x:v>
      </x:c>
      <x:c r="AA722" t="str">
        <x:v>Tidak Ada</x:v>
      </x:c>
      <x:c r="AB722" t="str">
        <x:v>Campus=80; Ratio=68.3; Prodi=65; RelDemand=71.5; Capacity=25.0</x:v>
      </x:c>
    </x:row>
    <x:row r="723">
      <x:c r="A723" t="n">
        <x:v>720</x:v>
      </x:c>
      <x:c r="B723" t="str">
        <x:v>PTN Akademik</x:v>
      </x:c>
      <x:c r="C723" t="str">
        <x:v>UNIVERSITAS SRIWIJAYA</x:v>
      </x:c>
      <x:c r="D723" t="str">
        <x:v>ADMINISTRASI PUBLIK</x:v>
      </x:c>
      <x:c r="E723" t="str">
        <x:v>Sarjana</x:v>
      </x:c>
      <x:c r="F723" s="18" t="n">
        <x:v>90</x:v>
      </x:c>
      <x:c r="G723" s="18" t="n">
        <x:v>1167</x:v>
      </x:c>
      <x:c r="H723" s="19" t="n">
        <x:v>12.966666666666667</x:v>
      </x:c>
      <x:c r="I723" s="18" t="n">
        <x:f>ROUND(MIN(Model_Config_v3!$B$6,MAX(Q723,R723,S723*Model_Config_v3!$B$4+T723*Model_Config_v3!$B$5)),0)</x:f>
        <x:v>671</x:v>
      </x:c>
      <x:c r="J723" s="18" t="n">
        <x:f>MIN(Model_Config_v3!$B$6,I723+Model_Config_v3!$B$7)</x:f>
        <x:v>691</x:v>
      </x:c>
      <x:c r="K723" s="20" t="n">
        <x:v>61.3</x:v>
      </x:c>
      <x:c r="L723" t="str">
        <x:v>KETAT</x:v>
      </x:c>
      <x:c r="M723" t="str">
        <x:v>SEDANG+</x:v>
      </x:c>
      <x:c r="N723" t="str">
        <x:v>ELITE-3</x:v>
      </x:c>
      <x:c r="O723" t="str">
        <x:v>SOSHUM</x:v>
      </x:c>
      <x:c r="P723" t="str">
        <x:v>UMUM</x:v>
      </x:c>
      <x:c r="Q723" s="18" t="n">
        <x:v>630</x:v>
      </x:c>
      <x:c r="R723" s="18" t="n">
        <x:v>0</x:v>
      </x:c>
      <x:c r="S723" s="18" t="n">
        <x:v>642.411118126665</x:v>
      </x:c>
      <x:c r="T723" s="18" t="n">
        <x:v>683</x:v>
      </x:c>
      <x:c r="U723" s="18" t="n">
        <x:v>642.411118126665</x:v>
      </x:c>
      <x:c r="V723" s="20" t="n">
        <x:v>4.4</x:v>
      </x:c>
      <x:c r="W723" s="20" t="n">
        <x:v>14.3</x:v>
      </x:c>
      <x:c r="X723" s="20" t="n">
        <x:v>3.3</x:v>
      </x:c>
      <x:c r="Y723" t="str">
        <x:v>Basis arsip 2025/2024</x:v>
      </x:c>
      <x:c r="Z723" t="str">
        <x:v>https://snpmb.id/utbk-snbt/daya-tampung-snbt</x:v>
      </x:c>
      <x:c r="AA723" t="str">
        <x:v>Tidak Ada</x:v>
      </x:c>
      <x:c r="AB723" t="str">
        <x:v>Campus=80; Ratio=65.5; Prodi=40; RelDemand=64.1; Capacity=25.0</x:v>
      </x:c>
    </x:row>
    <x:row r="724">
      <x:c r="A724" t="n">
        <x:v>721</x:v>
      </x:c>
      <x:c r="B724" t="str">
        <x:v>PTN Akademik</x:v>
      </x:c>
      <x:c r="C724" t="str">
        <x:v>UNIVERSITAS SRIWIJAYA</x:v>
      </x:c>
      <x:c r="D724" t="str">
        <x:v>SOSIOLOGI</x:v>
      </x:c>
      <x:c r="E724" t="str">
        <x:v>Sarjana</x:v>
      </x:c>
      <x:c r="F724" s="18" t="n">
        <x:v>75</x:v>
      </x:c>
      <x:c r="G724" s="18" t="n">
        <x:v>298</x:v>
      </x:c>
      <x:c r="H724" s="19" t="n">
        <x:v>3.973333333333333</x:v>
      </x:c>
      <x:c r="I724" s="18" t="n">
        <x:f>ROUND(MIN(Model_Config_v3!$B$6,MAX(Q724,R724,S724*Model_Config_v3!$B$4+T724*Model_Config_v3!$B$5)),0)</x:f>
        <x:v>638</x:v>
      </x:c>
      <x:c r="J724" s="18" t="n">
        <x:f>MIN(Model_Config_v3!$B$6,I724+Model_Config_v3!$B$7)</x:f>
        <x:v>658</x:v>
      </x:c>
      <x:c r="K724" s="20" t="n">
        <x:v>50.5</x:v>
      </x:c>
      <x:c r="L724" t="str">
        <x:v>MENENGAH</x:v>
      </x:c>
      <x:c r="M724" t="str">
        <x:v>SEDANG+</x:v>
      </x:c>
      <x:c r="N724" t="str">
        <x:v>ELITE-3</x:v>
      </x:c>
      <x:c r="O724" t="str">
        <x:v>SOSHUM</x:v>
      </x:c>
      <x:c r="P724" t="str">
        <x:v>UMUM</x:v>
      </x:c>
      <x:c r="Q724" s="18" t="n">
        <x:v>630</x:v>
      </x:c>
      <x:c r="R724" s="18" t="n">
        <x:v>0</x:v>
      </x:c>
      <x:c r="S724" s="18" t="n">
        <x:v>585.9070500753011</x:v>
      </x:c>
      <x:c r="T724" s="18" t="n">
        <x:v>661</x:v>
      </x:c>
      <x:c r="U724" s="18" t="n">
        <x:v>630</x:v>
      </x:c>
      <x:c r="V724" s="20" t="n">
        <x:v>4.4</x:v>
      </x:c>
      <x:c r="W724" s="20" t="n">
        <x:v>14.3</x:v>
      </x:c>
      <x:c r="X724" s="20" t="n">
        <x:v>3.3</x:v>
      </x:c>
      <x:c r="Y724" t="str">
        <x:v>Basis arsip 2025/2024</x:v>
      </x:c>
      <x:c r="Z724" t="str">
        <x:v>https://snpmb.id/utbk-snbt/daya-tampung-snbt</x:v>
      </x:c>
      <x:c r="AA724" t="str">
        <x:v>Tidak Ada</x:v>
      </x:c>
      <x:c r="AB724" t="str">
        <x:v>Campus=80; Ratio=35.3; Prodi=40; RelDemand=19.6; Capacity=37.5</x:v>
      </x:c>
    </x:row>
    <x:row r="725">
      <x:c r="A725" t="n">
        <x:v>722</x:v>
      </x:c>
      <x:c r="B725" t="str">
        <x:v>PTN Akademik</x:v>
      </x:c>
      <x:c r="C725" t="str">
        <x:v>UNIVERSITAS SRIWIJAYA</x:v>
      </x:c>
      <x:c r="D725" t="str">
        <x:v>PPKN</x:v>
      </x:c>
      <x:c r="E725" t="str">
        <x:v>Sarjana</x:v>
      </x:c>
      <x:c r="F725" s="18" t="n">
        <x:v>40</x:v>
      </x:c>
      <x:c r="G725" s="18" t="n">
        <x:v>363</x:v>
      </x:c>
      <x:c r="H725" s="19" t="n">
        <x:v>9.075</x:v>
      </x:c>
      <x:c r="I725" s="18" t="n">
        <x:f>ROUND(MIN(Model_Config_v3!$B$6,MAX(Q725,R725,S725*Model_Config_v3!$B$4+T725*Model_Config_v3!$B$5)),0)</x:f>
        <x:v>665</x:v>
      </x:c>
      <x:c r="J725" s="18" t="n">
        <x:f>MIN(Model_Config_v3!$B$6,I725+Model_Config_v3!$B$7)</x:f>
        <x:v>685</x:v>
      </x:c>
      <x:c r="K725" s="20" t="n">
        <x:v>61.2</x:v>
      </x:c>
      <x:c r="L725" t="str">
        <x:v>KETAT</x:v>
      </x:c>
      <x:c r="M725" t="str">
        <x:v>SEDANG+</x:v>
      </x:c>
      <x:c r="N725" t="str">
        <x:v>ELITE-3</x:v>
      </x:c>
      <x:c r="O725" t="str">
        <x:v>CAMPURAN</x:v>
      </x:c>
      <x:c r="P725" t="str">
        <x:v>UMUM</x:v>
      </x:c>
      <x:c r="Q725" s="18" t="n">
        <x:v>630</x:v>
      </x:c>
      <x:c r="R725" s="18" t="n">
        <x:v>0</x:v>
      </x:c>
      <x:c r="S725" s="18" t="n">
        <x:v>625.3631297078965</x:v>
      </x:c>
      <x:c r="T725" s="18" t="n">
        <x:v>682</x:v>
      </x:c>
      <x:c r="U725" s="18" t="n">
        <x:v>630</x:v>
      </x:c>
      <x:c r="V725" s="20" t="n">
        <x:v>8.8</x:v>
      </x:c>
      <x:c r="W725" s="20" t="n">
        <x:v>9.9</x:v>
      </x:c>
      <x:c r="X725" s="20" t="n">
        <x:v>3.3</x:v>
      </x:c>
      <x:c r="Y725" t="str">
        <x:v>Basis arsip 2025/2024</x:v>
      </x:c>
      <x:c r="Z725" t="str">
        <x:v>https://snpmb.id/utbk-snbt/daya-tampung-snbt</x:v>
      </x:c>
      <x:c r="AA725" t="str">
        <x:v>Tidak Ada</x:v>
      </x:c>
      <x:c r="AB725" t="str">
        <x:v>Campus=80; Ratio=56.4; Prodi=40; RelDemand=44.9; Capacity=66.7</x:v>
      </x:c>
    </x:row>
    <x:row r="726">
      <x:c r="A726" t="n">
        <x:v>723</x:v>
      </x:c>
      <x:c r="B726" t="str">
        <x:v>PTN Akademik</x:v>
      </x:c>
      <x:c r="C726" t="str">
        <x:v>UNIVERSITAS SRIWIJAYA</x:v>
      </x:c>
      <x:c r="D726" t="str">
        <x:v>PEND SEJARAH</x:v>
      </x:c>
      <x:c r="E726" t="str">
        <x:v>Sarjana</x:v>
      </x:c>
      <x:c r="F726" s="18" t="n">
        <x:v>40</x:v>
      </x:c>
      <x:c r="G726" s="18" t="n">
        <x:v>230</x:v>
      </x:c>
      <x:c r="H726" s="19" t="n">
        <x:v>5.75</x:v>
      </x:c>
      <x:c r="I726" s="18" t="n">
        <x:f>ROUND(MIN(Model_Config_v3!$B$6,MAX(Q726,R726,S726*Model_Config_v3!$B$4+T726*Model_Config_v3!$B$5)),0)</x:f>
        <x:v>652</x:v>
      </x:c>
      <x:c r="J726" s="18" t="n">
        <x:f>MIN(Model_Config_v3!$B$6,I726+Model_Config_v3!$B$7)</x:f>
        <x:v>672</x:v>
      </x:c>
      <x:c r="K726" s="20" t="n">
        <x:v>56.7</x:v>
      </x:c>
      <x:c r="L726" t="str">
        <x:v>KETAT</x:v>
      </x:c>
      <x:c r="M726" t="str">
        <x:v>SEDANG+</x:v>
      </x:c>
      <x:c r="N726" t="str">
        <x:v>ELITE-3</x:v>
      </x:c>
      <x:c r="O726" t="str">
        <x:v>SOSHUM</x:v>
      </x:c>
      <x:c r="P726" t="str">
        <x:v>UMUM</x:v>
      </x:c>
      <x:c r="Q726" s="18" t="n">
        <x:v>630</x:v>
      </x:c>
      <x:c r="R726" s="18" t="n">
        <x:v>0</x:v>
      </x:c>
      <x:c r="S726" s="18" t="n">
        <x:v>603.5634629158593</x:v>
      </x:c>
      <x:c r="T726" s="18" t="n">
        <x:v>673</x:v>
      </x:c>
      <x:c r="U726" s="18" t="n">
        <x:v>630</x:v>
      </x:c>
      <x:c r="V726" s="20" t="n">
        <x:v>4.4</x:v>
      </x:c>
      <x:c r="W726" s="20" t="n">
        <x:v>14.3</x:v>
      </x:c>
      <x:c r="X726" s="20" t="n">
        <x:v>3.3</x:v>
      </x:c>
      <x:c r="Y726" t="str">
        <x:v>Basis arsip 2025/2024</x:v>
      </x:c>
      <x:c r="Z726" t="str">
        <x:v>https://snpmb.id/utbk-snbt/daya-tampung-snbt</x:v>
      </x:c>
      <x:c r="AA726" t="str">
        <x:v>Tidak Ada</x:v>
      </x:c>
      <x:c r="AB726" t="str">
        <x:v>Campus=80; Ratio=44.7; Prodi=40; RelDemand=28.4; Capacity=66.7</x:v>
      </x:c>
    </x:row>
    <x:row r="727">
      <x:c r="A727" t="n">
        <x:v>724</x:v>
      </x:c>
      <x:c r="B727" t="str">
        <x:v>PTN Akademik</x:v>
      </x:c>
      <x:c r="C727" t="str">
        <x:v>UNIVERSITAS SRIWIJAYA</x:v>
      </x:c>
      <x:c r="D727" t="str">
        <x:v>PEND EKONOMI</x:v>
      </x:c>
      <x:c r="E727" t="str">
        <x:v>Sarjana</x:v>
      </x:c>
      <x:c r="F727" s="18" t="n">
        <x:v>40</x:v>
      </x:c>
      <x:c r="G727" s="18" t="n">
        <x:v>242</x:v>
      </x:c>
      <x:c r="H727" s="19" t="n">
        <x:v>6.05</x:v>
      </x:c>
      <x:c r="I727" s="18" t="n">
        <x:f>ROUND(MIN(Model_Config_v3!$B$6,MAX(Q727,R727,S727*Model_Config_v3!$B$4+T727*Model_Config_v3!$B$5)),0)</x:f>
        <x:v>654</x:v>
      </x:c>
      <x:c r="J727" s="18" t="n">
        <x:f>MIN(Model_Config_v3!$B$6,I727+Model_Config_v3!$B$7)</x:f>
        <x:v>674</x:v>
      </x:c>
      <x:c r="K727" s="20" t="n">
        <x:v>57.2</x:v>
      </x:c>
      <x:c r="L727" t="str">
        <x:v>KETAT</x:v>
      </x:c>
      <x:c r="M727" t="str">
        <x:v>SEDANG+</x:v>
      </x:c>
      <x:c r="N727" t="str">
        <x:v>ELITE-3</x:v>
      </x:c>
      <x:c r="O727" t="str">
        <x:v>SOSHUM</x:v>
      </x:c>
      <x:c r="P727" t="str">
        <x:v>UMUM</x:v>
      </x:c>
      <x:c r="Q727" s="18" t="n">
        <x:v>630</x:v>
      </x:c>
      <x:c r="R727" s="18" t="n">
        <x:v>0</x:v>
      </x:c>
      <x:c r="S727" s="18" t="n">
        <x:v>605.9930912117716</x:v>
      </x:c>
      <x:c r="T727" s="18" t="n">
        <x:v>674</x:v>
      </x:c>
      <x:c r="U727" s="18" t="n">
        <x:v>630</x:v>
      </x:c>
      <x:c r="V727" s="20" t="n">
        <x:v>4.4</x:v>
      </x:c>
      <x:c r="W727" s="20" t="n">
        <x:v>14.3</x:v>
      </x:c>
      <x:c r="X727" s="20" t="n">
        <x:v>3.3</x:v>
      </x:c>
      <x:c r="Y727" t="str">
        <x:v>Basis arsip 2025/2024</x:v>
      </x:c>
      <x:c r="Z727" t="str">
        <x:v>https://snpmb.id/utbk-snbt/daya-tampung-snbt</x:v>
      </x:c>
      <x:c r="AA727" t="str">
        <x:v>Tidak Ada</x:v>
      </x:c>
      <x:c r="AB727" t="str">
        <x:v>Campus=80; Ratio=46.0; Prodi=40; RelDemand=29.9; Capacity=66.7</x:v>
      </x:c>
    </x:row>
    <x:row r="728">
      <x:c r="A728" t="n">
        <x:v>725</x:v>
      </x:c>
      <x:c r="B728" t="str">
        <x:v>PTN Akademik</x:v>
      </x:c>
      <x:c r="C728" t="str">
        <x:v>UNIVERSITAS SRIWIJAYA</x:v>
      </x:c>
      <x:c r="D728" t="str">
        <x:v>PEND BHS, SATRA IND &amp; DAERAH</x:v>
      </x:c>
      <x:c r="E728" t="str">
        <x:v>Sarjana</x:v>
      </x:c>
      <x:c r="F728" s="18" t="n">
        <x:v>40</x:v>
      </x:c>
      <x:c r="G728" s="18" t="n">
        <x:v>453</x:v>
      </x:c>
      <x:c r="H728" s="19" t="n">
        <x:v>11.325</x:v>
      </x:c>
      <x:c r="I728" s="18" t="n">
        <x:f>ROUND(MIN(Model_Config_v3!$B$6,MAX(Q728,R728,S728*Model_Config_v3!$B$4+T728*Model_Config_v3!$B$5)),0)</x:f>
        <x:v>672</x:v>
      </x:c>
      <x:c r="J728" s="18" t="n">
        <x:f>MIN(Model_Config_v3!$B$6,I728+Model_Config_v3!$B$7)</x:f>
        <x:v>692</x:v>
      </x:c>
      <x:c r="K728" s="20" t="n">
        <x:v>63.8</x:v>
      </x:c>
      <x:c r="L728" t="str">
        <x:v>KETAT</x:v>
      </x:c>
      <x:c r="M728" t="str">
        <x:v>SEDANG+</x:v>
      </x:c>
      <x:c r="N728" t="str">
        <x:v>ELITE-3</x:v>
      </x:c>
      <x:c r="O728" t="str">
        <x:v>CAMPURAN</x:v>
      </x:c>
      <x:c r="P728" t="str">
        <x:v>UMUM</x:v>
      </x:c>
      <x:c r="Q728" s="18" t="n">
        <x:v>630</x:v>
      </x:c>
      <x:c r="R728" s="18" t="n">
        <x:v>0</x:v>
      </x:c>
      <x:c r="S728" s="18" t="n">
        <x:v>635.9442031753356</x:v>
      </x:c>
      <x:c r="T728" s="18" t="n">
        <x:v>688</x:v>
      </x:c>
      <x:c r="U728" s="18" t="n">
        <x:v>635.9442031753356</x:v>
      </x:c>
      <x:c r="V728" s="20" t="n">
        <x:v>8.8</x:v>
      </x:c>
      <x:c r="W728" s="20" t="n">
        <x:v>9.9</x:v>
      </x:c>
      <x:c r="X728" s="20" t="n">
        <x:v>3.3</x:v>
      </x:c>
      <x:c r="Y728" t="str">
        <x:v>Basis arsip 2025/2024</x:v>
      </x:c>
      <x:c r="Z728" t="str">
        <x:v>https://snpmb.id/utbk-snbt/daya-tampung-snbt</x:v>
      </x:c>
      <x:c r="AA728" t="str">
        <x:v>Tidak Ada</x:v>
      </x:c>
      <x:c r="AB728" t="str">
        <x:v>Campus=80; Ratio=62.0; Prodi=40; RelDemand=56.0; Capacity=66.7</x:v>
      </x:c>
    </x:row>
    <x:row r="729">
      <x:c r="A729" t="n">
        <x:v>726</x:v>
      </x:c>
      <x:c r="B729" t="str">
        <x:v>PTN Akademik</x:v>
      </x:c>
      <x:c r="C729" t="str">
        <x:v>UNIVERSITAS SRIWIJAYA</x:v>
      </x:c>
      <x:c r="D729" t="str">
        <x:v>PEND BHS INGGRIS</x:v>
      </x:c>
      <x:c r="E729" t="str">
        <x:v>Sarjana</x:v>
      </x:c>
      <x:c r="F729" s="18" t="n">
        <x:v>40</x:v>
      </x:c>
      <x:c r="G729" s="18" t="n">
        <x:v>415</x:v>
      </x:c>
      <x:c r="H729" s="19" t="n">
        <x:v>10.375</x:v>
      </x:c>
      <x:c r="I729" s="18" t="n">
        <x:f>ROUND(MIN(Model_Config_v3!$B$6,MAX(Q729,R729,S729*Model_Config_v3!$B$4+T729*Model_Config_v3!$B$5)),0)</x:f>
        <x:v>669</x:v>
      </x:c>
      <x:c r="J729" s="18" t="n">
        <x:f>MIN(Model_Config_v3!$B$6,I729+Model_Config_v3!$B$7)</x:f>
        <x:v>689</x:v>
      </x:c>
      <x:c r="K729" s="20" t="n">
        <x:v>62.7</x:v>
      </x:c>
      <x:c r="L729" t="str">
        <x:v>KETAT</x:v>
      </x:c>
      <x:c r="M729" t="str">
        <x:v>SEDANG+</x:v>
      </x:c>
      <x:c r="N729" t="str">
        <x:v>ELITE-3</x:v>
      </x:c>
      <x:c r="O729" t="str">
        <x:v>CAMPURAN</x:v>
      </x:c>
      <x:c r="P729" t="str">
        <x:v>UMUM</x:v>
      </x:c>
      <x:c r="Q729" s="18" t="n">
        <x:v>630</x:v>
      </x:c>
      <x:c r="R729" s="18" t="n">
        <x:v>0</x:v>
      </x:c>
      <x:c r="S729" s="18" t="n">
        <x:v>631.7586915922543</x:v>
      </x:c>
      <x:c r="T729" s="18" t="n">
        <x:v>685</x:v>
      </x:c>
      <x:c r="U729" s="18" t="n">
        <x:v>631.7586915922543</x:v>
      </x:c>
      <x:c r="V729" s="20" t="n">
        <x:v>8.8</x:v>
      </x:c>
      <x:c r="W729" s="20" t="n">
        <x:v>9.9</x:v>
      </x:c>
      <x:c r="X729" s="20" t="n">
        <x:v>3.3</x:v>
      </x:c>
      <x:c r="Y729" t="str">
        <x:v>Basis arsip 2025/2024</x:v>
      </x:c>
      <x:c r="Z729" t="str">
        <x:v>https://snpmb.id/utbk-snbt/daya-tampung-snbt</x:v>
      </x:c>
      <x:c r="AA729" t="str">
        <x:v>Tidak Ada</x:v>
      </x:c>
      <x:c r="AB729" t="str">
        <x:v>Campus=80; Ratio=59.8; Prodi=40; RelDemand=51.3; Capacity=66.7</x:v>
      </x:c>
    </x:row>
    <x:row r="730">
      <x:c r="A730" t="n">
        <x:v>727</x:v>
      </x:c>
      <x:c r="B730" t="str">
        <x:v>PTN Akademik</x:v>
      </x:c>
      <x:c r="C730" t="str">
        <x:v>UNIVERSITAS SRIWIJAYA</x:v>
      </x:c>
      <x:c r="D730" t="str">
        <x:v>PENJASKES</x:v>
      </x:c>
      <x:c r="E730" t="str">
        <x:v>Sarjana</x:v>
      </x:c>
      <x:c r="F730" s="18" t="n">
        <x:v>33</x:v>
      </x:c>
      <x:c r="G730" s="18" t="n">
        <x:v>209</x:v>
      </x:c>
      <x:c r="H730" s="19" t="n">
        <x:v>6.333333333333333</x:v>
      </x:c>
      <x:c r="I730" s="18" t="n">
        <x:f>ROUND(MIN(Model_Config_v3!$B$6,MAX(Q730,R730,S730*Model_Config_v3!$B$4+T730*Model_Config_v3!$B$5)),0)</x:f>
        <x:v>657</x:v>
      </x:c>
      <x:c r="J730" s="18" t="n">
        <x:f>MIN(Model_Config_v3!$B$6,I730+Model_Config_v3!$B$7)</x:f>
        <x:v>677</x:v>
      </x:c>
      <x:c r="K730" s="20" t="n">
        <x:v>59.2</x:v>
      </x:c>
      <x:c r="L730" t="str">
        <x:v>KETAT</x:v>
      </x:c>
      <x:c r="M730" t="str">
        <x:v>PORTOFOLIO</x:v>
      </x:c>
      <x:c r="N730" t="str">
        <x:v>ELITE-3</x:v>
      </x:c>
      <x:c r="O730" t="str">
        <x:v>SENI/OLAHRAGA</x:v>
      </x:c>
      <x:c r="P730" t="str">
        <x:v>SENI/OLAHRAGA</x:v>
      </x:c>
      <x:c r="Q730" s="18" t="n">
        <x:v>630</x:v>
      </x:c>
      <x:c r="R730" s="18" t="n">
        <x:v>0</x:v>
      </x:c>
      <x:c r="S730" s="18" t="n">
        <x:v>608.1795580856483</x:v>
      </x:c>
      <x:c r="T730" s="18" t="n">
        <x:v>678</x:v>
      </x:c>
      <x:c r="U730" s="18" t="n">
        <x:v>630</x:v>
      </x:c>
      <x:c r="V730" s="20" t="n">
        <x:v>4.4</x:v>
      </x:c>
      <x:c r="W730" s="20" t="n">
        <x:v>9.9</x:v>
      </x:c>
      <x:c r="X730" s="20" t="n">
        <x:v>7.7</x:v>
      </x:c>
      <x:c r="Y730" t="str">
        <x:v>Basis arsip 2025/2024</x:v>
      </x:c>
      <x:c r="Z730" t="str">
        <x:v>https://snpmb.id/utbk-snbt/daya-tampung-snbt</x:v>
      </x:c>
      <x:c r="AA730" t="str">
        <x:v>Olahraga</x:v>
      </x:c>
      <x:c r="AB730" t="str">
        <x:v>Campus=80; Ratio=47.2; Prodi=45; RelDemand=31.3; Capacity=72.5</x:v>
      </x:c>
    </x:row>
    <x:row r="731">
      <x:c r="A731" t="n">
        <x:v>728</x:v>
      </x:c>
      <x:c r="B731" t="str">
        <x:v>PTN Akademik</x:v>
      </x:c>
      <x:c r="C731" t="str">
        <x:v>UNIVERSITAS SRIWIJAYA</x:v>
      </x:c>
      <x:c r="D731" t="str">
        <x:v>BIMB &amp; KONSELING</x:v>
      </x:c>
      <x:c r="E731" t="str">
        <x:v>Sarjana</x:v>
      </x:c>
      <x:c r="F731" s="18" t="n">
        <x:v>40</x:v>
      </x:c>
      <x:c r="G731" s="18" t="n">
        <x:v>581</x:v>
      </x:c>
      <x:c r="H731" s="19" t="n">
        <x:v>14.525</x:v>
      </x:c>
      <x:c r="I731" s="18" t="n">
        <x:f>ROUND(MIN(Model_Config_v3!$B$6,MAX(Q731,R731,S731*Model_Config_v3!$B$4+T731*Model_Config_v3!$B$5)),0)</x:f>
        <x:v>680</x:v>
      </x:c>
      <x:c r="J731" s="18" t="n">
        <x:f>MIN(Model_Config_v3!$B$6,I731+Model_Config_v3!$B$7)</x:f>
        <x:v>700</x:v>
      </x:c>
      <x:c r="K731" s="20" t="n">
        <x:v>66.9</x:v>
      </x:c>
      <x:c r="L731" t="str">
        <x:v>SANGAT KETAT</x:v>
      </x:c>
      <x:c r="M731" t="str">
        <x:v>SEDANG+</x:v>
      </x:c>
      <x:c r="N731" t="str">
        <x:v>ELITE-3</x:v>
      </x:c>
      <x:c r="O731" t="str">
        <x:v>CAMPURAN</x:v>
      </x:c>
      <x:c r="P731" t="str">
        <x:v>UMUM</x:v>
      </x:c>
      <x:c r="Q731" s="18" t="n">
        <x:v>630</x:v>
      </x:c>
      <x:c r="R731" s="18" t="n">
        <x:v>0</x:v>
      </x:c>
      <x:c r="S731" s="18" t="n">
        <x:v>647.8327755168605</x:v>
      </x:c>
      <x:c r="T731" s="18" t="n">
        <x:v>694</x:v>
      </x:c>
      <x:c r="U731" s="18" t="n">
        <x:v>647.8327755168605</x:v>
      </x:c>
      <x:c r="V731" s="20" t="n">
        <x:v>8.8</x:v>
      </x:c>
      <x:c r="W731" s="20" t="n">
        <x:v>9.9</x:v>
      </x:c>
      <x:c r="X731" s="20" t="n">
        <x:v>3.3</x:v>
      </x:c>
      <x:c r="Y731" t="str">
        <x:v>Basis arsip 2025/2024</x:v>
      </x:c>
      <x:c r="Z731" t="str">
        <x:v>https://snpmb.id/utbk-snbt/daya-tampung-snbt</x:v>
      </x:c>
      <x:c r="AA731" t="str">
        <x:v>Tidak Ada</x:v>
      </x:c>
      <x:c r="AB731" t="str">
        <x:v>Campus=80; Ratio=68.4; Prodi=40; RelDemand=71.8; Capacity=66.7</x:v>
      </x:c>
    </x:row>
    <x:row r="732">
      <x:c r="A732" t="n">
        <x:v>729</x:v>
      </x:c>
      <x:c r="B732" t="str">
        <x:v>PTN Akademik</x:v>
      </x:c>
      <x:c r="C732" t="str">
        <x:v>UNIVERSITAS SRIWIJAYA</x:v>
      </x:c>
      <x:c r="D732" t="str">
        <x:v>PGSD</x:v>
      </x:c>
      <x:c r="E732" t="str">
        <x:v>Sarjana</x:v>
      </x:c>
      <x:c r="F732" s="18" t="n">
        <x:v>48</x:v>
      </x:c>
      <x:c r="G732" s="18" t="n">
        <x:v>1536</x:v>
      </x:c>
      <x:c r="H732" s="19" t="n">
        <x:v>32</x:v>
      </x:c>
      <x:c r="I732" s="18" t="n">
        <x:f>ROUND(MIN(Model_Config_v3!$B$6,MAX(Q732,R732,S732*Model_Config_v3!$B$4+T732*Model_Config_v3!$B$5)),0)</x:f>
        <x:v>701</x:v>
      </x:c>
      <x:c r="J732" s="18" t="n">
        <x:f>MIN(Model_Config_v3!$B$6,I732+Model_Config_v3!$B$7)</x:f>
        <x:v>721</x:v>
      </x:c>
      <x:c r="K732" s="20" t="n">
        <x:v>74.1</x:v>
      </x:c>
      <x:c r="L732" t="str">
        <x:v>SANGAT KETAT</x:v>
      </x:c>
      <x:c r="M732" t="str">
        <x:v>SEDANG+</x:v>
      </x:c>
      <x:c r="N732" t="str">
        <x:v>ELITE-3</x:v>
      </x:c>
      <x:c r="O732" t="str">
        <x:v>CAMPURAN</x:v>
      </x:c>
      <x:c r="P732" t="str">
        <x:v>UMUM</x:v>
      </x:c>
      <x:c r="Q732" s="18" t="n">
        <x:v>630</x:v>
      </x:c>
      <x:c r="R732" s="18" t="n">
        <x:v>0</x:v>
      </x:c>
      <x:c r="S732" s="18" t="n">
        <x:v>685.5664976151896</x:v>
      </x:c>
      <x:c r="T732" s="18" t="n">
        <x:v>708</x:v>
      </x:c>
      <x:c r="U732" s="18" t="n">
        <x:v>685.5664976151896</x:v>
      </x:c>
      <x:c r="V732" s="20" t="n">
        <x:v>8.8</x:v>
      </x:c>
      <x:c r="W732" s="20" t="n">
        <x:v>9.9</x:v>
      </x:c>
      <x:c r="X732" s="20" t="n">
        <x:v>3.3</x:v>
      </x:c>
      <x:c r="Y732" t="str">
        <x:v>Basis arsip 2025/2024</x:v>
      </x:c>
      <x:c r="Z732" t="str">
        <x:v>https://snpmb.id/utbk-snbt/daya-tampung-snbt</x:v>
      </x:c>
      <x:c r="AA732" t="str">
        <x:v>Tidak Ada</x:v>
      </x:c>
      <x:c r="AB732" t="str">
        <x:v>Campus=80; Ratio=88.6; Prodi=40; RelDemand=100.0; Capacity=60.0</x:v>
      </x:c>
    </x:row>
    <x:row r="733">
      <x:c r="A733" t="n">
        <x:v>730</x:v>
      </x:c>
      <x:c r="B733" t="str">
        <x:v>PTN Akademik</x:v>
      </x:c>
      <x:c r="C733" t="str">
        <x:v>UNIVERSITAS SRIWIJAYA</x:v>
      </x:c>
      <x:c r="D733" t="str">
        <x:v>PAUD</x:v>
      </x:c>
      <x:c r="E733" t="str">
        <x:v>Sarjana</x:v>
      </x:c>
      <x:c r="F733" s="18" t="n">
        <x:v>40</x:v>
      </x:c>
      <x:c r="G733" s="18" t="n">
        <x:v>195</x:v>
      </x:c>
      <x:c r="H733" s="19" t="n">
        <x:v>4.875</x:v>
      </x:c>
      <x:c r="I733" s="18" t="n">
        <x:f>ROUND(MIN(Model_Config_v3!$B$6,MAX(Q733,R733,S733*Model_Config_v3!$B$4+T733*Model_Config_v3!$B$5)),0)</x:f>
        <x:v>648</x:v>
      </x:c>
      <x:c r="J733" s="18" t="n">
        <x:f>MIN(Model_Config_v3!$B$6,I733+Model_Config_v3!$B$7)</x:f>
        <x:v>668</x:v>
      </x:c>
      <x:c r="K733" s="20" t="n">
        <x:v>55.2</x:v>
      </x:c>
      <x:c r="L733" t="str">
        <x:v>KETAT</x:v>
      </x:c>
      <x:c r="M733" t="str">
        <x:v>SEDANG+</x:v>
      </x:c>
      <x:c r="N733" t="str">
        <x:v>ELITE-3</x:v>
      </x:c>
      <x:c r="O733" t="str">
        <x:v>CAMPURAN</x:v>
      </x:c>
      <x:c r="P733" t="str">
        <x:v>UMUM</x:v>
      </x:c>
      <x:c r="Q733" s="18" t="n">
        <x:v>630</x:v>
      </x:c>
      <x:c r="R733" s="18" t="n">
        <x:v>0</x:v>
      </x:c>
      <x:c r="S733" s="18" t="n">
        <x:v>595.6772082038011</x:v>
      </x:c>
      <x:c r="T733" s="18" t="n">
        <x:v>670</x:v>
      </x:c>
      <x:c r="U733" s="18" t="n">
        <x:v>630</x:v>
      </x:c>
      <x:c r="V733" s="20" t="n">
        <x:v>8.8</x:v>
      </x:c>
      <x:c r="W733" s="20" t="n">
        <x:v>9.9</x:v>
      </x:c>
      <x:c r="X733" s="20" t="n">
        <x:v>3.3</x:v>
      </x:c>
      <x:c r="Y733" t="str">
        <x:v>Basis arsip 2025/2024</x:v>
      </x:c>
      <x:c r="Z733" t="str">
        <x:v>https://snpmb.id/utbk-snbt/daya-tampung-snbt</x:v>
      </x:c>
      <x:c r="AA733" t="str">
        <x:v>Tidak Ada</x:v>
      </x:c>
      <x:c r="AB733" t="str">
        <x:v>Campus=80; Ratio=40.5; Prodi=40; RelDemand=24.1; Capacity=66.7</x:v>
      </x:c>
    </x:row>
    <x:row r="734">
      <x:c r="A734" t="n">
        <x:v>731</x:v>
      </x:c>
      <x:c r="B734" t="str">
        <x:v>PTN Akademik</x:v>
      </x:c>
      <x:c r="C734" t="str">
        <x:v>UNIVERSITAS SRIWIJAYA</x:v>
      </x:c>
      <x:c r="D734" t="str">
        <x:v>ILMU KOMUNIKASI</x:v>
      </x:c>
      <x:c r="E734" t="str">
        <x:v>Sarjana</x:v>
      </x:c>
      <x:c r="F734" s="18" t="n">
        <x:v>84</x:v>
      </x:c>
      <x:c r="G734" s="18" t="n">
        <x:v>1216</x:v>
      </x:c>
      <x:c r="H734" s="19" t="n">
        <x:v>14.476190476190476</x:v>
      </x:c>
      <x:c r="I734" s="18" t="n">
        <x:f>ROUND(MIN(Model_Config_v3!$B$6,MAX(Q734,R734,S734*Model_Config_v3!$B$4+T734*Model_Config_v3!$B$5)),0)</x:f>
        <x:v>675</x:v>
      </x:c>
      <x:c r="J734" s="18" t="n">
        <x:f>MIN(Model_Config_v3!$B$6,I734+Model_Config_v3!$B$7)</x:f>
        <x:v>695</x:v>
      </x:c>
      <x:c r="K734" s="20" t="n">
        <x:v>63.2</x:v>
      </x:c>
      <x:c r="L734" t="str">
        <x:v>KETAT</x:v>
      </x:c>
      <x:c r="M734" t="str">
        <x:v>SEDANG+</x:v>
      </x:c>
      <x:c r="N734" t="str">
        <x:v>ELITE-3</x:v>
      </x:c>
      <x:c r="O734" t="str">
        <x:v>SOSHUM</x:v>
      </x:c>
      <x:c r="P734" t="str">
        <x:v>UMUM</x:v>
      </x:c>
      <x:c r="Q734" s="18" t="n">
        <x:v>630</x:v>
      </x:c>
      <x:c r="R734" s="18" t="n">
        <x:v>0</x:v>
      </x:c>
      <x:c r="S734" s="18" t="n">
        <x:v>647.6719717762318</x:v>
      </x:c>
      <x:c r="T734" s="18" t="n">
        <x:v>686</x:v>
      </x:c>
      <x:c r="U734" s="18" t="n">
        <x:v>647.6719717762318</x:v>
      </x:c>
      <x:c r="V734" s="20" t="n">
        <x:v>4.4</x:v>
      </x:c>
      <x:c r="W734" s="20" t="n">
        <x:v>14.3</x:v>
      </x:c>
      <x:c r="X734" s="20" t="n">
        <x:v>3.3</x:v>
      </x:c>
      <x:c r="Y734" t="str">
        <x:v>Basis arsip 2025/2024</x:v>
      </x:c>
      <x:c r="Z734" t="str">
        <x:v>https://snpmb.id/utbk-snbt/daya-tampung-snbt</x:v>
      </x:c>
      <x:c r="AA734" t="str">
        <x:v>Tidak Ada</x:v>
      </x:c>
      <x:c r="AB734" t="str">
        <x:v>Campus=80; Ratio=68.3; Prodi=40; RelDemand=71.6; Capacity=30.0</x:v>
      </x:c>
    </x:row>
    <x:row r="735">
      <x:c r="A735" t="n">
        <x:v>732</x:v>
      </x:c>
      <x:c r="B735" t="str">
        <x:v>PTN Akademik</x:v>
      </x:c>
      <x:c r="C735" t="str">
        <x:v>UNIVERSITAS SRIWIJAYA</x:v>
      </x:c>
      <x:c r="D735" t="str">
        <x:v>PENDIDIKAN MASYARAKAT</x:v>
      </x:c>
      <x:c r="E735" t="str">
        <x:v>Sarjana</x:v>
      </x:c>
      <x:c r="F735" s="18" t="n">
        <x:v>40</x:v>
      </x:c>
      <x:c r="G735" s="18" t="n">
        <x:v>138</x:v>
      </x:c>
      <x:c r="H735" s="19" t="n">
        <x:v>3.45</x:v>
      </x:c>
      <x:c r="I735" s="18" t="n">
        <x:f>ROUND(MIN(Model_Config_v3!$B$6,MAX(Q735,R735,S735*Model_Config_v3!$B$4+T735*Model_Config_v3!$B$5)),0)</x:f>
        <x:v>641</x:v>
      </x:c>
      <x:c r="J735" s="18" t="n">
        <x:f>MIN(Model_Config_v3!$B$6,I735+Model_Config_v3!$B$7)</x:f>
        <x:v>661</x:v>
      </x:c>
      <x:c r="K735" s="20" t="n">
        <x:v>53.3</x:v>
      </x:c>
      <x:c r="L735" t="str">
        <x:v>MENENGAH</x:v>
      </x:c>
      <x:c r="M735" t="str">
        <x:v>SEDANG+</x:v>
      </x:c>
      <x:c r="N735" t="str">
        <x:v>ELITE-3</x:v>
      </x:c>
      <x:c r="O735" t="str">
        <x:v>CAMPURAN</x:v>
      </x:c>
      <x:c r="P735" t="str">
        <x:v>PENDIDIKAN</x:v>
      </x:c>
      <x:c r="Q735" s="18" t="n">
        <x:v>630</x:v>
      </x:c>
      <x:c r="R735" s="18" t="n">
        <x:v>0</x:v>
      </x:c>
      <x:c r="S735" s="18" t="n">
        <x:v>579.1601004580601</x:v>
      </x:c>
      <x:c r="T735" s="18" t="n">
        <x:v>667</x:v>
      </x:c>
      <x:c r="U735" s="18" t="n">
        <x:v>630</x:v>
      </x:c>
      <x:c r="V735" s="20" t="n">
        <x:v>8.8</x:v>
      </x:c>
      <x:c r="W735" s="20" t="n">
        <x:v>9.9</x:v>
      </x:c>
      <x:c r="X735" s="20" t="n">
        <x:v>3.3</x:v>
      </x:c>
      <x:c r="Y735" t="str">
        <x:v>Basis arsip 2025/2024</x:v>
      </x:c>
      <x:c r="Z735" t="str">
        <x:v>https://snpmb.id/utbk-snbt/daya-tampung-snbt</x:v>
      </x:c>
      <x:c r="AA735" t="str">
        <x:v>Tidak Ada</x:v>
      </x:c>
      <x:c r="AB735" t="str">
        <x:v>Campus=80; Ratio=31.7; Prodi=45; RelDemand=17.1; Capacity=66.7</x:v>
      </x:c>
    </x:row>
    <x:row r="736">
      <x:c r="A736" t="n">
        <x:v>733</x:v>
      </x:c>
      <x:c r="B736" t="str">
        <x:v>PTN Akademik</x:v>
      </x:c>
      <x:c r="C736" t="str">
        <x:v>UNIVERSITAS SRIWIJAYA</x:v>
      </x:c>
      <x:c r="D736" t="str">
        <x:v>ILMU HUBUNGAN INTERNASIONAL</x:v>
      </x:c>
      <x:c r="E736" t="str">
        <x:v>Sarjana</x:v>
      </x:c>
      <x:c r="F736" s="18" t="n">
        <x:v>100</x:v>
      </x:c>
      <x:c r="G736" s="18" t="n">
        <x:v>634</x:v>
      </x:c>
      <x:c r="H736" s="19" t="n">
        <x:v>6.34</x:v>
      </x:c>
      <x:c r="I736" s="18" t="n">
        <x:f>ROUND(MIN(Model_Config_v3!$B$6,MAX(Q736,R736,S736*Model_Config_v3!$B$4+T736*Model_Config_v3!$B$5)),0)</x:f>
        <x:v>648</x:v>
      </x:c>
      <x:c r="J736" s="18" t="n">
        <x:f>MIN(Model_Config_v3!$B$6,I736+Model_Config_v3!$B$7)</x:f>
        <x:v>668</x:v>
      </x:c>
      <x:c r="K736" s="20" t="n">
        <x:v>52.6</x:v>
      </x:c>
      <x:c r="L736" t="str">
        <x:v>MENENGAH</x:v>
      </x:c>
      <x:c r="M736" t="str">
        <x:v>SEDANG+</x:v>
      </x:c>
      <x:c r="N736" t="str">
        <x:v>ELITE-3</x:v>
      </x:c>
      <x:c r="O736" t="str">
        <x:v>SOSHUM</x:v>
      </x:c>
      <x:c r="P736" t="str">
        <x:v>UMUM</x:v>
      </x:c>
      <x:c r="Q736" s="18" t="n">
        <x:v>630</x:v>
      </x:c>
      <x:c r="R736" s="18" t="n">
        <x:v>0</x:v>
      </x:c>
      <x:c r="S736" s="18" t="n">
        <x:v>608.2298183669906</x:v>
      </x:c>
      <x:c r="T736" s="18" t="n">
        <x:v>665</x:v>
      </x:c>
      <x:c r="U736" s="18" t="n">
        <x:v>630</x:v>
      </x:c>
      <x:c r="V736" s="20" t="n">
        <x:v>4.4</x:v>
      </x:c>
      <x:c r="W736" s="20" t="n">
        <x:v>14.3</x:v>
      </x:c>
      <x:c r="X736" s="20" t="n">
        <x:v>3.3</x:v>
      </x:c>
      <x:c r="Y736" t="str">
        <x:v>Basis arsip 2025/2024</x:v>
      </x:c>
      <x:c r="Z736" t="str">
        <x:v>https://snpmb.id/utbk-snbt/daya-tampung-snbt</x:v>
      </x:c>
      <x:c r="AA736" t="str">
        <x:v>Tidak Ada</x:v>
      </x:c>
      <x:c r="AB736" t="str">
        <x:v>Campus=80; Ratio=47.2; Prodi=40; RelDemand=31.3; Capacity=16.7</x:v>
      </x:c>
    </x:row>
    <x:row r="737">
      <x:c r="A737" t="n">
        <x:v>734</x:v>
      </x:c>
      <x:c r="B737" t="str">
        <x:v>PTN Akademik</x:v>
      </x:c>
      <x:c r="C737" t="str">
        <x:v>UNIVERSITAS SRIWIJAYA</x:v>
      </x:c>
      <x:c r="D737" t="str">
        <x:v>AKUNTANSI</x:v>
      </x:c>
      <x:c r="E737" t="str">
        <x:v>Diploma Tiga</x:v>
      </x:c>
      <x:c r="F737" s="18" t="n">
        <x:v>94</x:v>
      </x:c>
      <x:c r="G737" s="18" t="n">
        <x:v>1452</x:v>
      </x:c>
      <x:c r="H737" s="19" t="n">
        <x:v>15.446808510638299</x:v>
      </x:c>
      <x:c r="I737" s="18" t="n">
        <x:f>ROUND(MIN(Model_Config_v3!$B$6,MAX(Q737,R737,S737*Model_Config_v3!$B$4+T737*Model_Config_v3!$B$5)),0)</x:f>
        <x:v>683</x:v>
      </x:c>
      <x:c r="J737" s="18" t="n">
        <x:f>MIN(Model_Config_v3!$B$6,I737+Model_Config_v3!$B$7)</x:f>
        <x:v>703</x:v>
      </x:c>
      <x:c r="K737" s="20" t="n">
        <x:v>68.3</x:v>
      </x:c>
      <x:c r="L737" t="str">
        <x:v>SANGAT KETAT</x:v>
      </x:c>
      <x:c r="M737" t="str">
        <x:v>SEDANG+</x:v>
      </x:c>
      <x:c r="N737" t="str">
        <x:v>ELITE-3</x:v>
      </x:c>
      <x:c r="O737" t="str">
        <x:v>SOSHUM</x:v>
      </x:c>
      <x:c r="P737" t="str">
        <x:v>BISNIS/EKONOMI/AKUNTANSI</x:v>
      </x:c>
      <x:c r="Q737" s="18" t="n">
        <x:v>630</x:v>
      </x:c>
      <x:c r="R737" s="18" t="n">
        <x:v>0</x:v>
      </x:c>
      <x:c r="S737" s="18" t="n">
        <x:v>650.7722639040813</x:v>
      </x:c>
      <x:c r="T737" s="18" t="n">
        <x:v>697</x:v>
      </x:c>
      <x:c r="U737" s="18" t="n">
        <x:v>650.7722639040813</x:v>
      </x:c>
      <x:c r="V737" s="20" t="n">
        <x:v>4.4</x:v>
      </x:c>
      <x:c r="W737" s="20" t="n">
        <x:v>14.3</x:v>
      </x:c>
      <x:c r="X737" s="20" t="n">
        <x:v>3.3</x:v>
      </x:c>
      <x:c r="Y737" t="str">
        <x:v>Basis arsip 2025/2024</x:v>
      </x:c>
      <x:c r="Z737" t="str">
        <x:v>https://snpmb.id/utbk-snbt/daya-tampung-snbt</x:v>
      </x:c>
      <x:c r="AA737" t="str">
        <x:v>Tidak Ada</x:v>
      </x:c>
      <x:c r="AB737" t="str">
        <x:v>Campus=80; Ratio=70.0; Prodi=65; RelDemand=76.4; Capacity=21.7</x:v>
      </x:c>
    </x:row>
    <x:row r="738">
      <x:c r="A738" t="n">
        <x:v>735</x:v>
      </x:c>
      <x:c r="B738" t="str">
        <x:v>PTN Akademik</x:v>
      </x:c>
      <x:c r="C738" t="str">
        <x:v>UNIVERSITAS SRIWIJAYA</x:v>
      </x:c>
      <x:c r="D738" t="str">
        <x:v>TEKNIK KOMPUTER</x:v>
      </x:c>
      <x:c r="E738" t="str">
        <x:v>Diploma Tiga</x:v>
      </x:c>
      <x:c r="F738" s="18" t="n">
        <x:v>54</x:v>
      </x:c>
      <x:c r="G738" s="18" t="n">
        <x:v>1423</x:v>
      </x:c>
      <x:c r="H738" s="19" t="n">
        <x:v>26.35185185185185</x:v>
      </x:c>
      <x:c r="I738" s="18" t="n">
        <x:f>ROUND(MIN(Model_Config_v3!$B$6,MAX(Q738,R738,S738*Model_Config_v3!$B$4+T738*Model_Config_v3!$B$5)),0)</x:f>
        <x:v>709</x:v>
      </x:c>
      <x:c r="J738" s="18" t="n">
        <x:f>MIN(Model_Config_v3!$B$6,I738+Model_Config_v3!$B$7)</x:f>
        <x:v>729</x:v>
      </x:c>
      <x:c r="K738" s="20" t="n">
        <x:v>81.4</x:v>
      </x:c>
      <x:c r="L738" t="str">
        <x:v>ELITE</x:v>
      </x:c>
      <x:c r="M738" t="str">
        <x:v>SEDANG+</x:v>
      </x:c>
      <x:c r="N738" t="str">
        <x:v>ELITE-3</x:v>
      </x:c>
      <x:c r="O738" t="str">
        <x:v>SAINTEK</x:v>
      </x:c>
      <x:c r="P738" t="str">
        <x:v>KOMPUTER/INFORMATIKA</x:v>
      </x:c>
      <x:c r="Q738" s="18" t="n">
        <x:v>630</x:v>
      </x:c>
      <x:c r="R738" s="18" t="n">
        <x:v>675</x:v>
      </x:c>
      <x:c r="S738" s="18" t="n">
        <x:v>676.2892254287448</x:v>
      </x:c>
      <x:c r="T738" s="18" t="n">
        <x:v>723</x:v>
      </x:c>
      <x:c r="U738" s="18" t="n">
        <x:v>701.2892254287448</x:v>
      </x:c>
      <x:c r="V738" s="20" t="n">
        <x:v>12</x:v>
      </x:c>
      <x:c r="W738" s="20" t="n">
        <x:v>5</x:v>
      </x:c>
      <x:c r="X738" s="20" t="n">
        <x:v>3</x:v>
      </x:c>
      <x:c r="Y738" t="str">
        <x:v>Basis arsip 2025/2024</x:v>
      </x:c>
      <x:c r="Z738" t="str">
        <x:v>https://snpmb.id/utbk-snbt/daya-tampung-snbt</x:v>
      </x:c>
      <x:c r="AA738" t="str">
        <x:v>Tidak Ada</x:v>
      </x:c>
      <x:c r="AB738" t="str">
        <x:v>Campus=80; Ratio=83.6; Prodi=85; RelDemand=100.0; Capacity=55.0</x:v>
      </x:c>
    </x:row>
    <x:row r="739">
      <x:c r="A739" t="n">
        <x:v>736</x:v>
      </x:c>
      <x:c r="B739" t="str">
        <x:v>PTN Akademik</x:v>
      </x:c>
      <x:c r="C739" t="str">
        <x:v>UNIVERSITAS SRIWIJAYA</x:v>
      </x:c>
      <x:c r="D739" t="str">
        <x:v>MANAJEMEN INFORMATIKA</x:v>
      </x:c>
      <x:c r="E739" t="str">
        <x:v>Diploma Tiga</x:v>
      </x:c>
      <x:c r="F739" s="18" t="n">
        <x:v>72</x:v>
      </x:c>
      <x:c r="G739" s="18" t="n">
        <x:v>1304</x:v>
      </x:c>
      <x:c r="H739" s="19" t="n">
        <x:v>18.11111111111111</x:v>
      </x:c>
      <x:c r="I739" s="18" t="n">
        <x:f>ROUND(MIN(Model_Config_v3!$B$6,MAX(Q739,R739,S739*Model_Config_v3!$B$4+T739*Model_Config_v3!$B$5)),0)</x:f>
        <x:v>697</x:v>
      </x:c>
      <x:c r="J739" s="18" t="n">
        <x:f>MIN(Model_Config_v3!$B$6,I739+Model_Config_v3!$B$7)</x:f>
        <x:v>717</x:v>
      </x:c>
      <x:c r="K739" s="20" t="n">
        <x:v>76.5</x:v>
      </x:c>
      <x:c r="L739" t="str">
        <x:v>ELITE</x:v>
      </x:c>
      <x:c r="M739" t="str">
        <x:v>SEDANG+</x:v>
      </x:c>
      <x:c r="N739" t="str">
        <x:v>ELITE-3</x:v>
      </x:c>
      <x:c r="O739" t="str">
        <x:v>SAINTEK</x:v>
      </x:c>
      <x:c r="P739" t="str">
        <x:v>KOMPUTER/INFORMATIKA</x:v>
      </x:c>
      <x:c r="Q739" s="18" t="n">
        <x:v>630</x:v>
      </x:c>
      <x:c r="R739" s="18" t="n">
        <x:v>675</x:v>
      </x:c>
      <x:c r="S739" s="18" t="n">
        <x:v>658.3739604461095</x:v>
      </x:c>
      <x:c r="T739" s="18" t="n">
        <x:v>713</x:v>
      </x:c>
      <x:c r="U739" s="18" t="n">
        <x:v>683.3739604461095</x:v>
      </x:c>
      <x:c r="V739" s="20" t="n">
        <x:v>12</x:v>
      </x:c>
      <x:c r="W739" s="20" t="n">
        <x:v>5</x:v>
      </x:c>
      <x:c r="X739" s="20" t="n">
        <x:v>3</x:v>
      </x:c>
      <x:c r="Y739" t="str">
        <x:v>Basis arsip 2025/2024</x:v>
      </x:c>
      <x:c r="Z739" t="str">
        <x:v>https://snpmb.id/utbk-snbt/daya-tampung-snbt</x:v>
      </x:c>
      <x:c r="AA739" t="str">
        <x:v>Tidak Ada</x:v>
      </x:c>
      <x:c r="AB739" t="str">
        <x:v>Campus=80; Ratio=74.0; Prodi=85; RelDemand=89.6; Capacity=40.0</x:v>
      </x:c>
    </x:row>
    <x:row r="740">
      <x:c r="A740" t="n">
        <x:v>737</x:v>
      </x:c>
      <x:c r="B740" t="str">
        <x:v>PTN Akademik</x:v>
      </x:c>
      <x:c r="C740" t="str">
        <x:v>UNIVERSITAS SRIWIJAYA</x:v>
      </x:c>
      <x:c r="D740" t="str">
        <x:v>KOMPUTERISASI AKUNTANSI</x:v>
      </x:c>
      <x:c r="E740" t="str">
        <x:v>Diploma Tiga</x:v>
      </x:c>
      <x:c r="F740" s="18" t="n">
        <x:v>48</x:v>
      </x:c>
      <x:c r="G740" s="18" t="n">
        <x:v>323</x:v>
      </x:c>
      <x:c r="H740" s="19" t="n">
        <x:v>6.729166666666667</x:v>
      </x:c>
      <x:c r="I740" s="18" t="n">
        <x:f>ROUND(MIN(Model_Config_v3!$B$6,MAX(Q740,R740,S740*Model_Config_v3!$B$4+T740*Model_Config_v3!$B$5)),0)</x:f>
        <x:v>663</x:v>
      </x:c>
      <x:c r="J740" s="18" t="n">
        <x:f>MIN(Model_Config_v3!$B$6,I740+Model_Config_v3!$B$7)</x:f>
        <x:v>683</x:v>
      </x:c>
      <x:c r="K740" s="20" t="n">
        <x:v>62.5</x:v>
      </x:c>
      <x:c r="L740" t="str">
        <x:v>KETAT</x:v>
      </x:c>
      <x:c r="M740" t="str">
        <x:v>SEDANG+</x:v>
      </x:c>
      <x:c r="N740" t="str">
        <x:v>ELITE-3</x:v>
      </x:c>
      <x:c r="O740" t="str">
        <x:v>SAINTEK</x:v>
      </x:c>
      <x:c r="P740" t="str">
        <x:v>BISNIS/EKONOMI/AKUNTANSI</x:v>
      </x:c>
      <x:c r="Q740" s="18" t="n">
        <x:v>630</x:v>
      </x:c>
      <x:c r="R740" s="18" t="n">
        <x:v>0</x:v>
      </x:c>
      <x:c r="S740" s="18" t="n">
        <x:v>611.0757413451067</x:v>
      </x:c>
      <x:c r="T740" s="18" t="n">
        <x:v>685</x:v>
      </x:c>
      <x:c r="U740" s="18" t="n">
        <x:v>630</x:v>
      </x:c>
      <x:c r="V740" s="20" t="n">
        <x:v>12</x:v>
      </x:c>
      <x:c r="W740" s="20" t="n">
        <x:v>5</x:v>
      </x:c>
      <x:c r="X740" s="20" t="n">
        <x:v>3</x:v>
      </x:c>
      <x:c r="Y740" t="str">
        <x:v>Basis arsip 2025/2024</x:v>
      </x:c>
      <x:c r="Z740" t="str">
        <x:v>https://snpmb.id/utbk-snbt/daya-tampung-snbt</x:v>
      </x:c>
      <x:c r="AA740" t="str">
        <x:v>Tidak Ada</x:v>
      </x:c>
      <x:c r="AB740" t="str">
        <x:v>Campus=80; Ratio=48.7; Prodi=65; RelDemand=33.3; Capacity=60.0</x:v>
      </x:c>
    </x:row>
    <x:row r="741">
      <x:c r="A741" t="n">
        <x:v>738</x:v>
      </x:c>
      <x:c r="B741" t="str">
        <x:v>PTN Akademik</x:v>
      </x:c>
      <x:c r="C741" t="str">
        <x:v>UNIVERSITAS SRIWIJAYA</x:v>
      </x:c>
      <x:c r="D741" t="str">
        <x:v>KESEKRETARIATAN</x:v>
      </x:c>
      <x:c r="E741" t="str">
        <x:v>Diploma Tiga</x:v>
      </x:c>
      <x:c r="F741" s="18" t="n">
        <x:v>42</x:v>
      </x:c>
      <x:c r="G741" s="18" t="n">
        <x:v>696</x:v>
      </x:c>
      <x:c r="H741" s="19" t="n">
        <x:v>16.571428571428573</x:v>
      </x:c>
      <x:c r="I741" s="18" t="n">
        <x:f>ROUND(MIN(Model_Config_v3!$B$6,MAX(Q741,R741,S741*Model_Config_v3!$B$4+T741*Model_Config_v3!$B$5)),0)</x:f>
        <x:v>684</x:v>
      </x:c>
      <x:c r="J741" s="18" t="n">
        <x:f>MIN(Model_Config_v3!$B$6,I741+Model_Config_v3!$B$7)</x:f>
        <x:v>704</x:v>
      </x:c>
      <x:c r="K741" s="20" t="n">
        <x:v>68.6</x:v>
      </x:c>
      <x:c r="L741" t="str">
        <x:v>SANGAT KETAT</x:v>
      </x:c>
      <x:c r="M741" t="str">
        <x:v>SEDANG+</x:v>
      </x:c>
      <x:c r="N741" t="str">
        <x:v>ELITE-3</x:v>
      </x:c>
      <x:c r="O741" t="str">
        <x:v>CAMPURAN</x:v>
      </x:c>
      <x:c r="P741" t="str">
        <x:v>UMUM</x:v>
      </x:c>
      <x:c r="Q741" s="18" t="n">
        <x:v>630</x:v>
      </x:c>
      <x:c r="R741" s="18" t="n">
        <x:v>0</x:v>
      </x:c>
      <x:c r="S741" s="18" t="n">
        <x:v>654.1295944133929</x:v>
      </x:c>
      <x:c r="T741" s="18" t="n">
        <x:v>697</x:v>
      </x:c>
      <x:c r="U741" s="18" t="n">
        <x:v>654.1295944133929</x:v>
      </x:c>
      <x:c r="V741" s="20" t="n">
        <x:v>8.8</x:v>
      </x:c>
      <x:c r="W741" s="20" t="n">
        <x:v>9.9</x:v>
      </x:c>
      <x:c r="X741" s="20" t="n">
        <x:v>3.3</x:v>
      </x:c>
      <x:c r="Y741" t="str">
        <x:v>Basis arsip 2025/2024</x:v>
      </x:c>
      <x:c r="Z741" t="str">
        <x:v>https://snpmb.id/utbk-snbt/daya-tampung-snbt</x:v>
      </x:c>
      <x:c r="AA741" t="str">
        <x:v>Tidak Ada</x:v>
      </x:c>
      <x:c r="AB741" t="str">
        <x:v>Campus=80; Ratio=71.8; Prodi=40; RelDemand=81.9; Capacity=65.0</x:v>
      </x:c>
    </x:row>
    <x:row r="742">
      <x:c r="A742" t="n">
        <x:v>739</x:v>
      </x:c>
      <x:c r="B742" t="str">
        <x:v>PTN Akademik</x:v>
      </x:c>
      <x:c r="C742" t="str">
        <x:v>UNIVERSITAS BANGKA BELITUNG</x:v>
      </x:c>
      <x:c r="D742" t="str">
        <x:v>TEKNIK MESIN</x:v>
      </x:c>
      <x:c r="E742" t="str">
        <x:v>Sarjana</x:v>
      </x:c>
      <x:c r="F742" s="18" t="n">
        <x:v>31</x:v>
      </x:c>
      <x:c r="G742" s="18" t="n">
        <x:v>45</x:v>
      </x:c>
      <x:c r="H742" s="19" t="n">
        <x:v>1.4516129032258065</x:v>
      </x:c>
      <x:c r="I742" s="18" t="n">
        <x:f>ROUND(MIN(Model_Config_v3!$B$6,MAX(Q742,R742,S742*Model_Config_v3!$B$4+T742*Model_Config_v3!$B$5)),0)</x:f>
        <x:v>614</x:v>
      </x:c>
      <x:c r="J742" s="18" t="n">
        <x:f>MIN(Model_Config_v3!$B$6,I742+Model_Config_v3!$B$7)</x:f>
        <x:v>634</x:v>
      </x:c>
      <x:c r="K742" s="20" t="n">
        <x:v>43.2</x:v>
      </x:c>
      <x:c r="L742" t="str">
        <x:v>RELATIF LONGGAR</x:v>
      </x:c>
      <x:c r="M742" t="str">
        <x:v>SEDANG+</x:v>
      </x:c>
      <x:c r="N742" t="str">
        <x:v>REGULER</x:v>
      </x:c>
      <x:c r="O742" t="str">
        <x:v>SAINTEK</x:v>
      </x:c>
      <x:c r="P742" t="str">
        <x:v>TEKNIK/ARSITEKTUR/STATISTIKA/AKTUARIA</x:v>
      </x:c>
      <x:c r="Q742" s="18" t="n">
        <x:v>0</x:v>
      </x:c>
      <x:c r="R742" s="18" t="n">
        <x:v>0</x:v>
      </x:c>
      <x:c r="S742" s="18" t="n">
        <x:v>537.8035901935178</x:v>
      </x:c>
      <x:c r="T742" s="18" t="n">
        <x:v>646</x:v>
      </x:c>
      <x:c r="U742" s="18" t="n">
        <x:v>547.8035901935178</x:v>
      </x:c>
      <x:c r="V742" s="20" t="n">
        <x:v>12</x:v>
      </x:c>
      <x:c r="W742" s="20" t="n">
        <x:v>5</x:v>
      </x:c>
      <x:c r="X742" s="20" t="n">
        <x:v>3</x:v>
      </x:c>
      <x:c r="Y742" t="str">
        <x:v>Basis arsip 2025/2024</x:v>
      </x:c>
      <x:c r="Z742" t="str">
        <x:v>https://snpmb.id/utbk-snbt/daya-tampung-snbt</x:v>
      </x:c>
      <x:c r="AA742" t="str">
        <x:v>Tidak Ada</x:v>
      </x:c>
      <x:c r="AB742" t="str">
        <x:v>Campus=55; Ratio=9.5; Prodi=60; RelDemand=21.9; Capacity=74.2</x:v>
      </x:c>
    </x:row>
    <x:row r="743">
      <x:c r="A743" t="n">
        <x:v>740</x:v>
      </x:c>
      <x:c r="B743" t="str">
        <x:v>PTN Akademik</x:v>
      </x:c>
      <x:c r="C743" t="str">
        <x:v>UNIVERSITAS BANGKA BELITUNG</x:v>
      </x:c>
      <x:c r="D743" t="str">
        <x:v>TEKNIK ELEKTRO</x:v>
      </x:c>
      <x:c r="E743" t="str">
        <x:v>Sarjana</x:v>
      </x:c>
      <x:c r="F743" s="18" t="n">
        <x:v>31</x:v>
      </x:c>
      <x:c r="G743" s="18" t="n">
        <x:v>65</x:v>
      </x:c>
      <x:c r="H743" s="19" t="n">
        <x:v>2.096774193548387</x:v>
      </x:c>
      <x:c r="I743" s="18" t="n">
        <x:f>ROUND(MIN(Model_Config_v3!$B$6,MAX(Q743,R743,S743*Model_Config_v3!$B$4+T743*Model_Config_v3!$B$5)),0)</x:f>
        <x:v>624</x:v>
      </x:c>
      <x:c r="J743" s="18" t="n">
        <x:f>MIN(Model_Config_v3!$B$6,I743+Model_Config_v3!$B$7)</x:f>
        <x:v>644</x:v>
      </x:c>
      <x:c r="K743" s="20" t="n">
        <x:v>46.6</x:v>
      </x:c>
      <x:c r="L743" t="str">
        <x:v>MENENGAH</x:v>
      </x:c>
      <x:c r="M743" t="str">
        <x:v>SEDANG+</x:v>
      </x:c>
      <x:c r="N743" t="str">
        <x:v>REGULER</x:v>
      </x:c>
      <x:c r="O743" t="str">
        <x:v>SAINTEK</x:v>
      </x:c>
      <x:c r="P743" t="str">
        <x:v>TEKNIK/ARSITEKTUR/STATISTIKA/AKTUARIA</x:v>
      </x:c>
      <x:c r="Q743" s="18" t="n">
        <x:v>0</x:v>
      </x:c>
      <x:c r="R743" s="18" t="n">
        <x:v>0</x:v>
      </x:c>
      <x:c r="S743" s="18" t="n">
        <x:v>555.3706829089441</x:v>
      </x:c>
      <x:c r="T743" s="18" t="n">
        <x:v>653</x:v>
      </x:c>
      <x:c r="U743" s="18" t="n">
        <x:v>565.3706829089441</x:v>
      </x:c>
      <x:c r="V743" s="20" t="n">
        <x:v>12</x:v>
      </x:c>
      <x:c r="W743" s="20" t="n">
        <x:v>5</x:v>
      </x:c>
      <x:c r="X743" s="20" t="n">
        <x:v>3</x:v>
      </x:c>
      <x:c r="Y743" t="str">
        <x:v>Basis arsip 2025/2024</x:v>
      </x:c>
      <x:c r="Z743" t="str">
        <x:v>https://snpmb.id/utbk-snbt/daya-tampung-snbt</x:v>
      </x:c>
      <x:c r="AA743" t="str">
        <x:v>Tidak Ada</x:v>
      </x:c>
      <x:c r="AB743" t="str">
        <x:v>Campus=55; Ratio=18.9; Prodi=60; RelDemand=31.7; Capacity=74.2</x:v>
      </x:c>
    </x:row>
    <x:row r="744">
      <x:c r="A744" t="n">
        <x:v>741</x:v>
      </x:c>
      <x:c r="B744" t="str">
        <x:v>PTN Akademik</x:v>
      </x:c>
      <x:c r="C744" t="str">
        <x:v>UNIVERSITAS BANGKA BELITUNG</x:v>
      </x:c>
      <x:c r="D744" t="str">
        <x:v>TEKNIK PERTAMBANGAN</x:v>
      </x:c>
      <x:c r="E744" t="str">
        <x:v>Sarjana</x:v>
      </x:c>
      <x:c r="F744" s="18" t="n">
        <x:v>32</x:v>
      </x:c>
      <x:c r="G744" s="18" t="n">
        <x:v>213</x:v>
      </x:c>
      <x:c r="H744" s="19" t="n">
        <x:v>6.65625</x:v>
      </x:c>
      <x:c r="I744" s="18" t="n">
        <x:f>ROUND(MIN(Model_Config_v3!$B$6,MAX(Q744,R744,S744*Model_Config_v3!$B$4+T744*Model_Config_v3!$B$5)),0)</x:f>
        <x:v>660</x:v>
      </x:c>
      <x:c r="J744" s="18" t="n">
        <x:f>MIN(Model_Config_v3!$B$6,I744+Model_Config_v3!$B$7)</x:f>
        <x:v>680</x:v>
      </x:c>
      <x:c r="K744" s="20" t="n">
        <x:v>60.7</x:v>
      </x:c>
      <x:c r="L744" t="str">
        <x:v>KETAT</x:v>
      </x:c>
      <x:c r="M744" t="str">
        <x:v>SEDANG+</x:v>
      </x:c>
      <x:c r="N744" t="str">
        <x:v>REGULER</x:v>
      </x:c>
      <x:c r="O744" t="str">
        <x:v>SAINTEK</x:v>
      </x:c>
      <x:c r="P744" t="str">
        <x:v>TEKNIK/ARSITEKTUR/STATISTIKA/AKTUARIA</x:v>
      </x:c>
      <x:c r="Q744" s="18" t="n">
        <x:v>0</x:v>
      </x:c>
      <x:c r="R744" s="18" t="n">
        <x:v>0</x:v>
      </x:c>
      <x:c r="S744" s="18" t="n">
        <x:v>610.5552587630715</x:v>
      </x:c>
      <x:c r="T744" s="18" t="n">
        <x:v>681</x:v>
      </x:c>
      <x:c r="U744" s="18" t="n">
        <x:v>620.5552587630715</x:v>
      </x:c>
      <x:c r="V744" s="20" t="n">
        <x:v>12</x:v>
      </x:c>
      <x:c r="W744" s="20" t="n">
        <x:v>5</x:v>
      </x:c>
      <x:c r="X744" s="20" t="n">
        <x:v>3</x:v>
      </x:c>
      <x:c r="Y744" t="str">
        <x:v>Basis arsip 2025/2024</x:v>
      </x:c>
      <x:c r="Z744" t="str">
        <x:v>https://snpmb.id/utbk-snbt/daya-tampung-snbt</x:v>
      </x:c>
      <x:c r="AA744" t="str">
        <x:v>Tidak Ada</x:v>
      </x:c>
      <x:c r="AB744" t="str">
        <x:v>Campus=55; Ratio=48.5; Prodi=60; RelDemand=100.0; Capacity=73.3</x:v>
      </x:c>
    </x:row>
    <x:row r="745">
      <x:c r="A745" t="n">
        <x:v>742</x:v>
      </x:c>
      <x:c r="B745" t="str">
        <x:v>PTN Akademik</x:v>
      </x:c>
      <x:c r="C745" t="str">
        <x:v>UNIVERSITAS BANGKA BELITUNG</x:v>
      </x:c>
      <x:c r="D745" t="str">
        <x:v>TEKNIK SIPIL</x:v>
      </x:c>
      <x:c r="E745" t="str">
        <x:v>Sarjana</x:v>
      </x:c>
      <x:c r="F745" s="18" t="n">
        <x:v>38</x:v>
      </x:c>
      <x:c r="G745" s="18" t="n">
        <x:v>129</x:v>
      </x:c>
      <x:c r="H745" s="19" t="n">
        <x:v>3.3947368421052633</x:v>
      </x:c>
      <x:c r="I745" s="18" t="n">
        <x:f>ROUND(MIN(Model_Config_v3!$B$6,MAX(Q745,R745,S745*Model_Config_v3!$B$4+T745*Model_Config_v3!$B$5)),0)</x:f>
        <x:v>637</x:v>
      </x:c>
      <x:c r="J745" s="18" t="n">
        <x:f>MIN(Model_Config_v3!$B$6,I745+Model_Config_v3!$B$7)</x:f>
        <x:v>657</x:v>
      </x:c>
      <x:c r="K745" s="20" t="n">
        <x:v>51</x:v>
      </x:c>
      <x:c r="L745" t="str">
        <x:v>MENENGAH</x:v>
      </x:c>
      <x:c r="M745" t="str">
        <x:v>SEDANG+</x:v>
      </x:c>
      <x:c r="N745" t="str">
        <x:v>REGULER</x:v>
      </x:c>
      <x:c r="O745" t="str">
        <x:v>SAINTEK</x:v>
      </x:c>
      <x:c r="P745" t="str">
        <x:v>TEKNIK/ARSITEKTUR/STATISTIKA/AKTUARIA</x:v>
      </x:c>
      <x:c r="Q745" s="18" t="n">
        <x:v>0</x:v>
      </x:c>
      <x:c r="R745" s="18" t="n">
        <x:v>0</x:v>
      </x:c>
      <x:c r="S745" s="18" t="n">
        <x:v>578.3886725050683</x:v>
      </x:c>
      <x:c r="T745" s="18" t="n">
        <x:v>662</x:v>
      </x:c>
      <x:c r="U745" s="18" t="n">
        <x:v>588.3886725050683</x:v>
      </x:c>
      <x:c r="V745" s="20" t="n">
        <x:v>12</x:v>
      </x:c>
      <x:c r="W745" s="20" t="n">
        <x:v>5</x:v>
      </x:c>
      <x:c r="X745" s="20" t="n">
        <x:v>3</x:v>
      </x:c>
      <x:c r="Y745" t="str">
        <x:v>Basis arsip 2025/2024</x:v>
      </x:c>
      <x:c r="Z745" t="str">
        <x:v>https://snpmb.id/utbk-snbt/daya-tampung-snbt</x:v>
      </x:c>
      <x:c r="AA745" t="str">
        <x:v>Tidak Ada</x:v>
      </x:c>
      <x:c r="AB745" t="str">
        <x:v>Campus=55; Ratio=31.2; Prodi=60; RelDemand=51.3; Capacity=68.3</x:v>
      </x:c>
    </x:row>
    <x:row r="746">
      <x:c r="A746" t="n">
        <x:v>743</x:v>
      </x:c>
      <x:c r="B746" t="str">
        <x:v>PTN Akademik</x:v>
      </x:c>
      <x:c r="C746" t="str">
        <x:v>UNIVERSITAS BANGKA BELITUNG</x:v>
      </x:c>
      <x:c r="D746" t="str">
        <x:v>AGROTEKNOLOGI</x:v>
      </x:c>
      <x:c r="E746" t="str">
        <x:v>Sarjana</x:v>
      </x:c>
      <x:c r="F746" s="18" t="n">
        <x:v>45</x:v>
      </x:c>
      <x:c r="G746" s="18" t="n">
        <x:v>90</x:v>
      </x:c>
      <x:c r="H746" s="19" t="n">
        <x:v>2</x:v>
      </x:c>
      <x:c r="I746" s="18" t="n">
        <x:f>ROUND(MIN(Model_Config_v3!$B$6,MAX(Q746,R746,S746*Model_Config_v3!$B$4+T746*Model_Config_v3!$B$5)),0)</x:f>
        <x:v>615</x:v>
      </x:c>
      <x:c r="J746" s="18" t="n">
        <x:f>MIN(Model_Config_v3!$B$6,I746+Model_Config_v3!$B$7)</x:f>
        <x:v>635</x:v>
      </x:c>
      <x:c r="K746" s="20" t="n">
        <x:v>41</x:v>
      </x:c>
      <x:c r="L746" t="str">
        <x:v>RELATIF LONGGAR</x:v>
      </x:c>
      <x:c r="M746" t="str">
        <x:v>SEDANG</x:v>
      </x:c>
      <x:c r="N746" t="str">
        <x:v>REGULER</x:v>
      </x:c>
      <x:c r="O746" t="str">
        <x:v>SAINTEK</x:v>
      </x:c>
      <x:c r="P746" t="str">
        <x:v>UMUM</x:v>
      </x:c>
      <x:c r="Q746" s="18" t="n">
        <x:v>0</x:v>
      </x:c>
      <x:c r="R746" s="18" t="n">
        <x:v>0</x:v>
      </x:c>
      <x:c r="S746" s="18" t="n">
        <x:v>553.1132995230379</x:v>
      </x:c>
      <x:c r="T746" s="18" t="n">
        <x:v>642</x:v>
      </x:c>
      <x:c r="U746" s="18" t="n">
        <x:v>553.1132995230379</x:v>
      </x:c>
      <x:c r="V746" s="20" t="n">
        <x:v>12</x:v>
      </x:c>
      <x:c r="W746" s="20" t="n">
        <x:v>5</x:v>
      </x:c>
      <x:c r="X746" s="20" t="n">
        <x:v>3</x:v>
      </x:c>
      <x:c r="Y746" t="str">
        <x:v>Basis arsip 2025/2024</x:v>
      </x:c>
      <x:c r="Z746" t="str">
        <x:v>https://snpmb.id/utbk-snbt/daya-tampung-snbt</x:v>
      </x:c>
      <x:c r="AA746" t="str">
        <x:v>Tidak Ada</x:v>
      </x:c>
      <x:c r="AB746" t="str">
        <x:v>Campus=55; Ratio=17.7; Prodi=40; RelDemand=30.2; Capacity=62.5</x:v>
      </x:c>
    </x:row>
    <x:row r="747">
      <x:c r="A747" t="n">
        <x:v>744</x:v>
      </x:c>
      <x:c r="B747" t="str">
        <x:v>PTN Akademik</x:v>
      </x:c>
      <x:c r="C747" t="str">
        <x:v>UNIVERSITAS BANGKA BELITUNG</x:v>
      </x:c>
      <x:c r="D747" t="str">
        <x:v>MANAJEMEN SUMBERDAYA PERAIRAN</x:v>
      </x:c>
      <x:c r="E747" t="str">
        <x:v>Sarjana</x:v>
      </x:c>
      <x:c r="F747" s="18" t="n">
        <x:v>30</x:v>
      </x:c>
      <x:c r="G747" s="18" t="n">
        <x:v>48</x:v>
      </x:c>
      <x:c r="H747" s="19" t="n">
        <x:v>1.6</x:v>
      </x:c>
      <x:c r="I747" s="18" t="n">
        <x:f>ROUND(MIN(Model_Config_v3!$B$6,MAX(Q747,R747,S747*Model_Config_v3!$B$4+T747*Model_Config_v3!$B$5)),0)</x:f>
        <x:v>618</x:v>
      </x:c>
      <x:c r="J747" s="18" t="n">
        <x:f>MIN(Model_Config_v3!$B$6,I747+Model_Config_v3!$B$7)</x:f>
        <x:v>638</x:v>
      </x:c>
      <x:c r="K747" s="20" t="n">
        <x:v>45.2</x:v>
      </x:c>
      <x:c r="L747" t="str">
        <x:v>MENENGAH</x:v>
      </x:c>
      <x:c r="M747" t="str">
        <x:v>SEDANG+</x:v>
      </x:c>
      <x:c r="N747" t="str">
        <x:v>REGULER</x:v>
      </x:c>
      <x:c r="O747" t="str">
        <x:v>SOSHUM</x:v>
      </x:c>
      <x:c r="P747" t="str">
        <x:v>BISNIS/EKONOMI/AKUNTANSI</x:v>
      </x:c>
      <x:c r="Q747" s="18" t="n">
        <x:v>0</x:v>
      </x:c>
      <x:c r="R747" s="18" t="n">
        <x:v>0</x:v>
      </x:c>
      <x:c r="S747" s="18" t="n">
        <x:v>542.4531980921518</x:v>
      </x:c>
      <x:c r="T747" s="18" t="n">
        <x:v>650</x:v>
      </x:c>
      <x:c r="U747" s="18" t="n">
        <x:v>557.4531980921518</x:v>
      </x:c>
      <x:c r="V747" s="20" t="n">
        <x:v>4.4</x:v>
      </x:c>
      <x:c r="W747" s="20" t="n">
        <x:v>14.3</x:v>
      </x:c>
      <x:c r="X747" s="20" t="n">
        <x:v>3.3</x:v>
      </x:c>
      <x:c r="Y747" t="str">
        <x:v>Basis arsip 2025/2024</x:v>
      </x:c>
      <x:c r="Z747" t="str">
        <x:v>https://snpmb.id/utbk-snbt/daya-tampung-snbt</x:v>
      </x:c>
      <x:c r="AA747" t="str">
        <x:v>Tidak Ada</x:v>
      </x:c>
      <x:c r="AB747" t="str">
        <x:v>Campus=55; Ratio=12.0; Prodi=65; RelDemand=24.2; Capacity=75.0</x:v>
      </x:c>
    </x:row>
    <x:row r="748">
      <x:c r="A748" t="n">
        <x:v>745</x:v>
      </x:c>
      <x:c r="B748" t="str">
        <x:v>PTN Akademik</x:v>
      </x:c>
      <x:c r="C748" t="str">
        <x:v>UNIVERSITAS BANGKA BELITUNG</x:v>
      </x:c>
      <x:c r="D748" t="str">
        <x:v>BIOLOGI</x:v>
      </x:c>
      <x:c r="E748" t="str">
        <x:v>Sarjana</x:v>
      </x:c>
      <x:c r="F748" s="18" t="n">
        <x:v>31</x:v>
      </x:c>
      <x:c r="G748" s="18" t="n">
        <x:v>56</x:v>
      </x:c>
      <x:c r="H748" s="19" t="n">
        <x:v>1.8064516129032258</x:v>
      </x:c>
      <x:c r="I748" s="18" t="n">
        <x:f>ROUND(MIN(Model_Config_v3!$B$6,MAX(Q748,R748,S748*Model_Config_v3!$B$4+T748*Model_Config_v3!$B$5)),0)</x:f>
        <x:v>617</x:v>
      </x:c>
      <x:c r="J748" s="18" t="n">
        <x:f>MIN(Model_Config_v3!$B$6,I748+Model_Config_v3!$B$7)</x:f>
        <x:v>637</x:v>
      </x:c>
      <x:c r="K748" s="20" t="n">
        <x:v>43.2</x:v>
      </x:c>
      <x:c r="L748" t="str">
        <x:v>RELATIF LONGGAR</x:v>
      </x:c>
      <x:c r="M748" t="str">
        <x:v>SEDANG+</x:v>
      </x:c>
      <x:c r="N748" t="str">
        <x:v>REGULER</x:v>
      </x:c>
      <x:c r="O748" t="str">
        <x:v>SAINTEK</x:v>
      </x:c>
      <x:c r="P748" t="str">
        <x:v>SAINS DASAR</x:v>
      </x:c>
      <x:c r="Q748" s="18" t="n">
        <x:v>0</x:v>
      </x:c>
      <x:c r="R748" s="18" t="n">
        <x:v>0</x:v>
      </x:c>
      <x:c r="S748" s="18" t="n">
        <x:v>548.2508966489121</x:v>
      </x:c>
      <x:c r="T748" s="18" t="n">
        <x:v>646</x:v>
      </x:c>
      <x:c r="U748" s="18" t="n">
        <x:v>548.2508966489121</x:v>
      </x:c>
      <x:c r="V748" s="20" t="n">
        <x:v>12</x:v>
      </x:c>
      <x:c r="W748" s="20" t="n">
        <x:v>5</x:v>
      </x:c>
      <x:c r="X748" s="20" t="n">
        <x:v>3</x:v>
      </x:c>
      <x:c r="Y748" t="str">
        <x:v>Basis arsip 2025/2024</x:v>
      </x:c>
      <x:c r="Z748" t="str">
        <x:v>https://snpmb.id/utbk-snbt/daya-tampung-snbt</x:v>
      </x:c>
      <x:c r="AA748" t="str">
        <x:v>Tidak Ada</x:v>
      </x:c>
      <x:c r="AB748" t="str">
        <x:v>Campus=55; Ratio=15.1; Prodi=50; RelDemand=27.3; Capacity=74.2</x:v>
      </x:c>
    </x:row>
    <x:row r="749">
      <x:c r="A749" t="n">
        <x:v>746</x:v>
      </x:c>
      <x:c r="B749" t="str">
        <x:v>PTN Akademik</x:v>
      </x:c>
      <x:c r="C749" t="str">
        <x:v>UNIVERSITAS BANGKA BELITUNG</x:v>
      </x:c>
      <x:c r="D749" t="str">
        <x:v>AGRIBISNIS</x:v>
      </x:c>
      <x:c r="E749" t="str">
        <x:v>Sarjana</x:v>
      </x:c>
      <x:c r="F749" s="18" t="n">
        <x:v>66</x:v>
      </x:c>
      <x:c r="G749" s="18" t="n">
        <x:v>112</x:v>
      </x:c>
      <x:c r="H749" s="19" t="n">
        <x:v>1.696969696969697</x:v>
      </x:c>
      <x:c r="I749" s="18" t="n">
        <x:f>ROUND(MIN(Model_Config_v3!$B$6,MAX(Q749,R749,S749*Model_Config_v3!$B$4+T749*Model_Config_v3!$B$5)),0)</x:f>
        <x:v>615</x:v>
      </x:c>
      <x:c r="J749" s="18" t="n">
        <x:f>MIN(Model_Config_v3!$B$6,I749+Model_Config_v3!$B$7)</x:f>
        <x:v>635</x:v>
      </x:c>
      <x:c r="K749" s="20" t="n">
        <x:v>42.7</x:v>
      </x:c>
      <x:c r="L749" t="str">
        <x:v>RELATIF LONGGAR</x:v>
      </x:c>
      <x:c r="M749" t="str">
        <x:v>SEDANG+</x:v>
      </x:c>
      <x:c r="N749" t="str">
        <x:v>REGULER</x:v>
      </x:c>
      <x:c r="O749" t="str">
        <x:v>SOSHUM</x:v>
      </x:c>
      <x:c r="P749" t="str">
        <x:v>BISNIS/EKONOMI/AKUNTANSI</x:v>
      </x:c>
      <x:c r="Q749" s="18" t="n">
        <x:v>0</x:v>
      </x:c>
      <x:c r="R749" s="18" t="n">
        <x:v>0</x:v>
      </x:c>
      <x:c r="S749" s="18" t="n">
        <x:v>545.2641495841144</x:v>
      </x:c>
      <x:c r="T749" s="18" t="n">
        <x:v>645</x:v>
      </x:c>
      <x:c r="U749" s="18" t="n">
        <x:v>560.2641495841144</x:v>
      </x:c>
      <x:c r="V749" s="20" t="n">
        <x:v>4.4</x:v>
      </x:c>
      <x:c r="W749" s="20" t="n">
        <x:v>14.3</x:v>
      </x:c>
      <x:c r="X749" s="20" t="n">
        <x:v>3.3</x:v>
      </x:c>
      <x:c r="Y749" t="str">
        <x:v>Basis arsip 2025/2024</x:v>
      </x:c>
      <x:c r="Z749" t="str">
        <x:v>https://snpmb.id/utbk-snbt/daya-tampung-snbt</x:v>
      </x:c>
      <x:c r="AA749" t="str">
        <x:v>Tidak Ada</x:v>
      </x:c>
      <x:c r="AB749" t="str">
        <x:v>Campus=55; Ratio=13.5; Prodi=65; RelDemand=25.6; Capacity=45.0</x:v>
      </x:c>
    </x:row>
    <x:row r="750">
      <x:c r="A750" t="n">
        <x:v>747</x:v>
      </x:c>
      <x:c r="B750" t="str">
        <x:v>PTN Akademik</x:v>
      </x:c>
      <x:c r="C750" t="str">
        <x:v>UNIVERSITAS BANGKA BELITUNG</x:v>
      </x:c>
      <x:c r="D750" t="str">
        <x:v>AKUAKULTUR</x:v>
      </x:c>
      <x:c r="E750" t="str">
        <x:v>Sarjana</x:v>
      </x:c>
      <x:c r="F750" s="18" t="n">
        <x:v>36</x:v>
      </x:c>
      <x:c r="G750" s="18" t="n">
        <x:v>37</x:v>
      </x:c>
      <x:c r="H750" s="19" t="n">
        <x:v>1.0277777777777777</x:v>
      </x:c>
      <x:c r="I750" s="18" t="n">
        <x:f>ROUND(MIN(Model_Config_v3!$B$6,MAX(Q750,R750,S750*Model_Config_v3!$B$4+T750*Model_Config_v3!$B$5)),0)</x:f>
        <x:v>599</x:v>
      </x:c>
      <x:c r="J750" s="18" t="n">
        <x:f>MIN(Model_Config_v3!$B$6,I750+Model_Config_v3!$B$7)</x:f>
        <x:v>619</x:v>
      </x:c>
      <x:c r="K750" s="20" t="n">
        <x:v>36</x:v>
      </x:c>
      <x:c r="L750" t="str">
        <x:v>RELATIF LONGGAR</x:v>
      </x:c>
      <x:c r="M750" t="str">
        <x:v>SEDANG</x:v>
      </x:c>
      <x:c r="N750" t="str">
        <x:v>REGULER</x:v>
      </x:c>
      <x:c r="O750" t="str">
        <x:v>CAMPURAN</x:v>
      </x:c>
      <x:c r="P750" t="str">
        <x:v>UMUM</x:v>
      </x:c>
      <x:c r="Q750" s="18" t="n">
        <x:v>0</x:v>
      </x:c>
      <x:c r="R750" s="18" t="n">
        <x:v>0</x:v>
      </x:c>
      <x:c r="S750" s="18" t="n">
        <x:v>521.3089145629679</x:v>
      </x:c>
      <x:c r="T750" s="18" t="n">
        <x:v>632</x:v>
      </x:c>
      <x:c r="U750" s="18" t="n">
        <x:v>521.3089145629679</x:v>
      </x:c>
      <x:c r="V750" s="20" t="n">
        <x:v>8.8</x:v>
      </x:c>
      <x:c r="W750" s="20" t="n">
        <x:v>9.9</x:v>
      </x:c>
      <x:c r="X750" s="20" t="n">
        <x:v>3.3</x:v>
      </x:c>
      <x:c r="Y750" t="str">
        <x:v>Basis arsip 2025/2024</x:v>
      </x:c>
      <x:c r="Z750" t="str">
        <x:v>https://snpmb.id/utbk-snbt/daya-tampung-snbt</x:v>
      </x:c>
      <x:c r="AA750" t="str">
        <x:v>Tidak Ada</x:v>
      </x:c>
      <x:c r="AB750" t="str">
        <x:v>Campus=55; Ratio=0.7; Prodi=40; RelDemand=15.5; Capacity=70.0</x:v>
      </x:c>
    </x:row>
    <x:row r="751">
      <x:c r="A751" t="n">
        <x:v>748</x:v>
      </x:c>
      <x:c r="B751" t="str">
        <x:v>PTN Akademik</x:v>
      </x:c>
      <x:c r="C751" t="str">
        <x:v>UNIVERSITAS BANGKA BELITUNG</x:v>
      </x:c>
      <x:c r="D751" t="str">
        <x:v>ILMU KELAUTAN</x:v>
      </x:c>
      <x:c r="E751" t="str">
        <x:v>Sarjana</x:v>
      </x:c>
      <x:c r="F751" s="18" t="n">
        <x:v>28</x:v>
      </x:c>
      <x:c r="G751" s="18" t="n">
        <x:v>38</x:v>
      </x:c>
      <x:c r="H751" s="19" t="n">
        <x:v>1.3571428571428572</x:v>
      </x:c>
      <x:c r="I751" s="18" t="n">
        <x:f>ROUND(MIN(Model_Config_v3!$B$6,MAX(Q751,R751,S751*Model_Config_v3!$B$4+T751*Model_Config_v3!$B$5)),0)</x:f>
        <x:v>607</x:v>
      </x:c>
      <x:c r="J751" s="18" t="n">
        <x:f>MIN(Model_Config_v3!$B$6,I751+Model_Config_v3!$B$7)</x:f>
        <x:v>627</x:v>
      </x:c>
      <x:c r="K751" s="20" t="n">
        <x:v>38.9</x:v>
      </x:c>
      <x:c r="L751" t="str">
        <x:v>RELATIF LONGGAR</x:v>
      </x:c>
      <x:c r="M751" t="str">
        <x:v>SEDANG</x:v>
      </x:c>
      <x:c r="N751" t="str">
        <x:v>REGULER</x:v>
      </x:c>
      <x:c r="O751" t="str">
        <x:v>SAINTEK</x:v>
      </x:c>
      <x:c r="P751" t="str">
        <x:v>UMUM</x:v>
      </x:c>
      <x:c r="Q751" s="18" t="n">
        <x:v>0</x:v>
      </x:c>
      <x:c r="R751" s="18" t="n">
        <x:v>0</x:v>
      </x:c>
      <x:c r="S751" s="18" t="n">
        <x:v>534.588812180205</x:v>
      </x:c>
      <x:c r="T751" s="18" t="n">
        <x:v>638</x:v>
      </x:c>
      <x:c r="U751" s="18" t="n">
        <x:v>534.588812180205</x:v>
      </x:c>
      <x:c r="V751" s="20" t="n">
        <x:v>12</x:v>
      </x:c>
      <x:c r="W751" s="20" t="n">
        <x:v>5</x:v>
      </x:c>
      <x:c r="X751" s="20" t="n">
        <x:v>3</x:v>
      </x:c>
      <x:c r="Y751" t="str">
        <x:v>Basis arsip 2025/2024</x:v>
      </x:c>
      <x:c r="Z751" t="str">
        <x:v>https://snpmb.id/utbk-snbt/daya-tampung-snbt</x:v>
      </x:c>
      <x:c r="AA751" t="str">
        <x:v>Tidak Ada</x:v>
      </x:c>
      <x:c r="AB751" t="str">
        <x:v>Campus=55; Ratio=7.8; Prodi=40; RelDemand=20.5; Capacity=76.7</x:v>
      </x:c>
    </x:row>
    <x:row r="752">
      <x:c r="A752" t="n">
        <x:v>749</x:v>
      </x:c>
      <x:c r="B752" t="str">
        <x:v>PTN Akademik</x:v>
      </x:c>
      <x:c r="C752" t="str">
        <x:v>UNIVERSITAS BANGKA BELITUNG</x:v>
      </x:c>
      <x:c r="D752" t="str">
        <x:v>KIMIA</x:v>
      </x:c>
      <x:c r="E752" t="str">
        <x:v>Sarjana</x:v>
      </x:c>
      <x:c r="F752" s="18" t="n">
        <x:v>23</x:v>
      </x:c>
      <x:c r="G752" s="18" t="n">
        <x:v>35</x:v>
      </x:c>
      <x:c r="H752" s="19" t="n">
        <x:v>1.5217391304347827</x:v>
      </x:c>
      <x:c r="I752" s="18" t="n">
        <x:f>ROUND(MIN(Model_Config_v3!$B$6,MAX(Q752,R752,S752*Model_Config_v3!$B$4+T752*Model_Config_v3!$B$5)),0)</x:f>
        <x:v>614</x:v>
      </x:c>
      <x:c r="J752" s="18" t="n">
        <x:f>MIN(Model_Config_v3!$B$6,I752+Model_Config_v3!$B$7)</x:f>
        <x:v>634</x:v>
      </x:c>
      <x:c r="K752" s="20" t="n">
        <x:v>42.3</x:v>
      </x:c>
      <x:c r="L752" t="str">
        <x:v>RELATIF LONGGAR</x:v>
      </x:c>
      <x:c r="M752" t="str">
        <x:v>SEDANG+</x:v>
      </x:c>
      <x:c r="N752" t="str">
        <x:v>REGULER</x:v>
      </x:c>
      <x:c r="O752" t="str">
        <x:v>SAINTEK</x:v>
      </x:c>
      <x:c r="P752" t="str">
        <x:v>SAINS DASAR</x:v>
      </x:c>
      <x:c r="Q752" s="18" t="n">
        <x:v>0</x:v>
      </x:c>
      <x:c r="R752" s="18" t="n">
        <x:v>0</x:v>
      </x:c>
      <x:c r="S752" s="18" t="n">
        <x:v>540.0574229165951</x:v>
      </x:c>
      <x:c r="T752" s="18" t="n">
        <x:v>645</x:v>
      </x:c>
      <x:c r="U752" s="18" t="n">
        <x:v>540.0574229165951</x:v>
      </x:c>
      <x:c r="V752" s="20" t="n">
        <x:v>12</x:v>
      </x:c>
      <x:c r="W752" s="20" t="n">
        <x:v>5</x:v>
      </x:c>
      <x:c r="X752" s="20" t="n">
        <x:v>3</x:v>
      </x:c>
      <x:c r="Y752" t="str">
        <x:v>Basis arsip 2025/2024</x:v>
      </x:c>
      <x:c r="Z752" t="str">
        <x:v>https://snpmb.id/utbk-snbt/daya-tampung-snbt</x:v>
      </x:c>
      <x:c r="AA752" t="str">
        <x:v>Tidak Ada</x:v>
      </x:c>
      <x:c r="AB752" t="str">
        <x:v>Campus=55; Ratio=10.7; Prodi=50; RelDemand=23.0; Capacity=80.8</x:v>
      </x:c>
    </x:row>
    <x:row r="753">
      <x:c r="A753" t="n">
        <x:v>750</x:v>
      </x:c>
      <x:c r="B753" t="str">
        <x:v>PTN Akademik</x:v>
      </x:c>
      <x:c r="C753" t="str">
        <x:v>UNIVERSITAS BANGKA BELITUNG</x:v>
      </x:c>
      <x:c r="D753" t="str">
        <x:v>FISIKA</x:v>
      </x:c>
      <x:c r="E753" t="str">
        <x:v>Sarjana</x:v>
      </x:c>
      <x:c r="F753" s="18" t="n">
        <x:v>10</x:v>
      </x:c>
      <x:c r="G753" s="18" t="n">
        <x:v>5</x:v>
      </x:c>
      <x:c r="H753" s="19" t="n">
        <x:v>0.5</x:v>
      </x:c>
      <x:c r="I753" s="18" t="n">
        <x:f>ROUND(MIN(Model_Config_v3!$B$6,MAX(Q753,R753,S753*Model_Config_v3!$B$4+T753*Model_Config_v3!$B$5)),0)</x:f>
        <x:v>603</x:v>
      </x:c>
      <x:c r="J753" s="18" t="n">
        <x:f>MIN(Model_Config_v3!$B$6,I753+Model_Config_v3!$B$7)</x:f>
        <x:v>623</x:v>
      </x:c>
      <x:c r="K753" s="20" t="n">
        <x:v>39.2</x:v>
      </x:c>
      <x:c r="L753" t="str">
        <x:v>RELATIF LONGGAR</x:v>
      </x:c>
      <x:c r="M753" t="str">
        <x:v>SEDANG+</x:v>
      </x:c>
      <x:c r="N753" t="str">
        <x:v>REGULER</x:v>
      </x:c>
      <x:c r="O753" t="str">
        <x:v>SAINTEK</x:v>
      </x:c>
      <x:c r="P753" t="str">
        <x:v>SAINS DASAR</x:v>
      </x:c>
      <x:c r="Q753" s="18" t="n">
        <x:v>0</x:v>
      </x:c>
      <x:c r="R753" s="18" t="n">
        <x:v>0</x:v>
      </x:c>
      <x:c r="S753" s="18" t="n">
        <x:v>520</x:v>
      </x:c>
      <x:c r="T753" s="18" t="n">
        <x:v>638</x:v>
      </x:c>
      <x:c r="U753" s="18" t="n">
        <x:v>520</x:v>
      </x:c>
      <x:c r="V753" s="20" t="n">
        <x:v>12</x:v>
      </x:c>
      <x:c r="W753" s="20" t="n">
        <x:v>5</x:v>
      </x:c>
      <x:c r="X753" s="20" t="n">
        <x:v>3</x:v>
      </x:c>
      <x:c r="Y753" t="str">
        <x:v>Basis arsip 2025/2024</x:v>
      </x:c>
      <x:c r="Z753" t="str">
        <x:v>https://snpmb.id/utbk-snbt/daya-tampung-snbt</x:v>
      </x:c>
      <x:c r="AA753" t="str">
        <x:v>Tidak Ada</x:v>
      </x:c>
      <x:c r="AB753" t="str">
        <x:v>Campus=55; Ratio=0.0; Prodi=50; RelDemand=7.6; Capacity=91.7</x:v>
      </x:c>
    </x:row>
    <x:row r="754">
      <x:c r="A754" t="n">
        <x:v>751</x:v>
      </x:c>
      <x:c r="B754" t="str">
        <x:v>PTN Akademik</x:v>
      </x:c>
      <x:c r="C754" t="str">
        <x:v>UNIVERSITAS BANGKA BELITUNG</x:v>
      </x:c>
      <x:c r="D754" t="str">
        <x:v>MATEMATIKA</x:v>
      </x:c>
      <x:c r="E754" t="str">
        <x:v>Sarjana</x:v>
      </x:c>
      <x:c r="F754" s="18" t="n">
        <x:v>36</x:v>
      </x:c>
      <x:c r="G754" s="18" t="n">
        <x:v>26</x:v>
      </x:c>
      <x:c r="H754" s="19" t="n">
        <x:v>0.7222222222222222</x:v>
      </x:c>
      <x:c r="I754" s="18" t="n">
        <x:f>ROUND(MIN(Model_Config_v3!$B$6,MAX(Q754,R754,S754*Model_Config_v3!$B$4+T754*Model_Config_v3!$B$5)),0)</x:f>
        <x:v>601</x:v>
      </x:c>
      <x:c r="J754" s="18" t="n">
        <x:f>MIN(Model_Config_v3!$B$6,I754+Model_Config_v3!$B$7)</x:f>
        <x:v>621</x:v>
      </x:c>
      <x:c r="K754" s="20" t="n">
        <x:v>37.3</x:v>
      </x:c>
      <x:c r="L754" t="str">
        <x:v>RELATIF LONGGAR</x:v>
      </x:c>
      <x:c r="M754" t="str">
        <x:v>SEDANG+</x:v>
      </x:c>
      <x:c r="N754" t="str">
        <x:v>REGULER</x:v>
      </x:c>
      <x:c r="O754" t="str">
        <x:v>SAINTEK</x:v>
      </x:c>
      <x:c r="P754" t="str">
        <x:v>SAINS DASAR</x:v>
      </x:c>
      <x:c r="Q754" s="18" t="n">
        <x:v>0</x:v>
      </x:c>
      <x:c r="R754" s="18" t="n">
        <x:v>0</x:v>
      </x:c>
      <x:c r="S754" s="18" t="n">
        <x:v>520</x:v>
      </x:c>
      <x:c r="T754" s="18" t="n">
        <x:v>635</x:v>
      </x:c>
      <x:c r="U754" s="18" t="n">
        <x:v>520</x:v>
      </x:c>
      <x:c r="V754" s="20" t="n">
        <x:v>12</x:v>
      </x:c>
      <x:c r="W754" s="20" t="n">
        <x:v>5</x:v>
      </x:c>
      <x:c r="X754" s="20" t="n">
        <x:v>3</x:v>
      </x:c>
      <x:c r="Y754" t="str">
        <x:v>Basis arsip 2025/2024</x:v>
      </x:c>
      <x:c r="Z754" t="str">
        <x:v>https://snpmb.id/utbk-snbt/daya-tampung-snbt</x:v>
      </x:c>
      <x:c r="AA754" t="str">
        <x:v>Tidak Ada</x:v>
      </x:c>
      <x:c r="AB754" t="str">
        <x:v>Campus=55; Ratio=0.0; Prodi=50; RelDemand=10.9; Capacity=70.0</x:v>
      </x:c>
    </x:row>
    <x:row r="755">
      <x:c r="A755" t="n">
        <x:v>752</x:v>
      </x:c>
      <x:c r="B755" t="str">
        <x:v>PTN Akademik</x:v>
      </x:c>
      <x:c r="C755" t="str">
        <x:v>UNIVERSITAS BANGKA BELITUNG</x:v>
      </x:c>
      <x:c r="D755" t="str">
        <x:v>AKUNTANSI</x:v>
      </x:c>
      <x:c r="E755" t="str">
        <x:v>Sarjana</x:v>
      </x:c>
      <x:c r="F755" s="18" t="n">
        <x:v>112</x:v>
      </x:c>
      <x:c r="G755" s="18" t="n">
        <x:v>168</x:v>
      </x:c>
      <x:c r="H755" s="19" t="n">
        <x:v>1.5</x:v>
      </x:c>
      <x:c r="I755" s="18" t="n">
        <x:f>ROUND(MIN(Model_Config_v3!$B$6,MAX(Q755,R755,S755*Model_Config_v3!$B$4+T755*Model_Config_v3!$B$5)),0)</x:f>
        <x:v>607</x:v>
      </x:c>
      <x:c r="J755" s="18" t="n">
        <x:f>MIN(Model_Config_v3!$B$6,I755+Model_Config_v3!$B$7)</x:f>
        <x:v>627</x:v>
      </x:c>
      <x:c r="K755" s="20" t="n">
        <x:v>37.8</x:v>
      </x:c>
      <x:c r="L755" t="str">
        <x:v>RELATIF LONGGAR</x:v>
      </x:c>
      <x:c r="M755" t="str">
        <x:v>SEDANG+</x:v>
      </x:c>
      <x:c r="N755" t="str">
        <x:v>REGULER</x:v>
      </x:c>
      <x:c r="O755" t="str">
        <x:v>SOSHUM</x:v>
      </x:c>
      <x:c r="P755" t="str">
        <x:v>BISNIS/EKONOMI/AKUNTANSI</x:v>
      </x:c>
      <x:c r="Q755" s="18" t="n">
        <x:v>0</x:v>
      </x:c>
      <x:c r="R755" s="18" t="n">
        <x:v>0</x:v>
      </x:c>
      <x:c r="S755" s="18" t="n">
        <x:v>539.370038496125</x:v>
      </x:c>
      <x:c r="T755" s="18" t="n">
        <x:v>636</x:v>
      </x:c>
      <x:c r="U755" s="18" t="n">
        <x:v>539.370038496125</x:v>
      </x:c>
      <x:c r="V755" s="20" t="n">
        <x:v>4.4</x:v>
      </x:c>
      <x:c r="W755" s="20" t="n">
        <x:v>14.3</x:v>
      </x:c>
      <x:c r="X755" s="20" t="n">
        <x:v>3.3</x:v>
      </x:c>
      <x:c r="Y755" t="str">
        <x:v>Basis arsip 2025/2024</x:v>
      </x:c>
      <x:c r="Z755" t="str">
        <x:v>https://snpmb.id/utbk-snbt/daya-tampung-snbt</x:v>
      </x:c>
      <x:c r="AA755" t="str">
        <x:v>Tidak Ada</x:v>
      </x:c>
      <x:c r="AB755" t="str">
        <x:v>Campus=55; Ratio=10.4; Prodi=65; RelDemand=22.7; Capacity=6.7</x:v>
      </x:c>
    </x:row>
    <x:row r="756">
      <x:c r="A756" t="n">
        <x:v>753</x:v>
      </x:c>
      <x:c r="B756" t="str">
        <x:v>PTN Akademik</x:v>
      </x:c>
      <x:c r="C756" t="str">
        <x:v>UNIVERSITAS BANGKA BELITUNG</x:v>
      </x:c>
      <x:c r="D756" t="str">
        <x:v>MANAJEMEN</x:v>
      </x:c>
      <x:c r="E756" t="str">
        <x:v>Sarjana</x:v>
      </x:c>
      <x:c r="F756" s="18" t="n">
        <x:v>112</x:v>
      </x:c>
      <x:c r="G756" s="18" t="n">
        <x:v>374</x:v>
      </x:c>
      <x:c r="H756" s="19" t="n">
        <x:v>3.3392857142857144</x:v>
      </x:c>
      <x:c r="I756" s="18" t="n">
        <x:f>ROUND(MIN(Model_Config_v3!$B$6,MAX(Q756,R756,S756*Model_Config_v3!$B$4+T756*Model_Config_v3!$B$5)),0)</x:f>
        <x:v>629</x:v>
      </x:c>
      <x:c r="J756" s="18" t="n">
        <x:f>MIN(Model_Config_v3!$B$6,I756+Model_Config_v3!$B$7)</x:f>
        <x:v>649</x:v>
      </x:c>
      <x:c r="K756" s="20" t="n">
        <x:v>45.7</x:v>
      </x:c>
      <x:c r="L756" t="str">
        <x:v>MENENGAH</x:v>
      </x:c>
      <x:c r="M756" t="str">
        <x:v>SEDANG+</x:v>
      </x:c>
      <x:c r="N756" t="str">
        <x:v>REGULER</x:v>
      </x:c>
      <x:c r="O756" t="str">
        <x:v>SOSHUM</x:v>
      </x:c>
      <x:c r="P756" t="str">
        <x:v>BISNIS/EKONOMI/AKUNTANSI</x:v>
      </x:c>
      <x:c r="Q756" s="18" t="n">
        <x:v>0</x:v>
      </x:c>
      <x:c r="R756" s="18" t="n">
        <x:v>0</x:v>
      </x:c>
      <x:c r="S756" s="18" t="n">
        <x:v>577.6018937483328</x:v>
      </x:c>
      <x:c r="T756" s="18" t="n">
        <x:v>651</x:v>
      </x:c>
      <x:c r="U756" s="18" t="n">
        <x:v>592.6018937483328</x:v>
      </x:c>
      <x:c r="V756" s="20" t="n">
        <x:v>4.4</x:v>
      </x:c>
      <x:c r="W756" s="20" t="n">
        <x:v>14.3</x:v>
      </x:c>
      <x:c r="X756" s="20" t="n">
        <x:v>3.3</x:v>
      </x:c>
      <x:c r="Y756" t="str">
        <x:v>Basis arsip 2025/2024</x:v>
      </x:c>
      <x:c r="Z756" t="str">
        <x:v>https://snpmb.id/utbk-snbt/daya-tampung-snbt</x:v>
      </x:c>
      <x:c r="AA756" t="str">
        <x:v>Tidak Ada</x:v>
      </x:c>
      <x:c r="AB756" t="str">
        <x:v>Campus=55; Ratio=30.8; Prodi=65; RelDemand=50.5; Capacity=6.7</x:v>
      </x:c>
    </x:row>
    <x:row r="757">
      <x:c r="A757" t="n">
        <x:v>754</x:v>
      </x:c>
      <x:c r="B757" t="str">
        <x:v>PTN Akademik</x:v>
      </x:c>
      <x:c r="C757" t="str">
        <x:v>UNIVERSITAS BANGKA BELITUNG</x:v>
      </x:c>
      <x:c r="D757" t="str">
        <x:v>HUKUM</x:v>
      </x:c>
      <x:c r="E757" t="str">
        <x:v>Sarjana</x:v>
      </x:c>
      <x:c r="F757" s="18" t="n">
        <x:v>116</x:v>
      </x:c>
      <x:c r="G757" s="18" t="n">
        <x:v>239</x:v>
      </x:c>
      <x:c r="H757" s="19" t="n">
        <x:v>2.060344827586207</x:v>
      </x:c>
      <x:c r="I757" s="18" t="n">
        <x:f>ROUND(MIN(Model_Config_v3!$B$6,MAX(Q757,R757,S757*Model_Config_v3!$B$4+T757*Model_Config_v3!$B$5)),0)</x:f>
        <x:v>615</x:v>
      </x:c>
      <x:c r="J757" s="18" t="n">
        <x:f>MIN(Model_Config_v3!$B$6,I757+Model_Config_v3!$B$7)</x:f>
        <x:v>635</x:v>
      </x:c>
      <x:c r="K757" s="20" t="n">
        <x:v>40.3</x:v>
      </x:c>
      <x:c r="L757" t="str">
        <x:v>RELATIF LONGGAR</x:v>
      </x:c>
      <x:c r="M757" t="str">
        <x:v>SEDANG+</x:v>
      </x:c>
      <x:c r="N757" t="str">
        <x:v>REGULER</x:v>
      </x:c>
      <x:c r="O757" t="str">
        <x:v>SOSHUM</x:v>
      </x:c>
      <x:c r="P757" t="str">
        <x:v>HUKUM</x:v>
      </x:c>
      <x:c r="Q757" s="18" t="n">
        <x:v>0</x:v>
      </x:c>
      <x:c r="R757" s="18" t="n">
        <x:v>0</x:v>
      </x:c>
      <x:c r="S757" s="18" t="n">
        <x:v>554.5333902893341</x:v>
      </x:c>
      <x:c r="T757" s="18" t="n">
        <x:v>641</x:v>
      </x:c>
      <x:c r="U757" s="18" t="n">
        <x:v>569.5333902893341</x:v>
      </x:c>
      <x:c r="V757" s="20" t="n">
        <x:v>4.4</x:v>
      </x:c>
      <x:c r="W757" s="20" t="n">
        <x:v>14.3</x:v>
      </x:c>
      <x:c r="X757" s="20" t="n">
        <x:v>3.3</x:v>
      </x:c>
      <x:c r="Y757" t="str">
        <x:v>Basis arsip 2025/2024</x:v>
      </x:c>
      <x:c r="Z757" t="str">
        <x:v>https://snpmb.id/utbk-snbt/daya-tampung-snbt</x:v>
      </x:c>
      <x:c r="AA757" t="str">
        <x:v>Tidak Ada</x:v>
      </x:c>
      <x:c r="AB757" t="str">
        <x:v>Campus=55; Ratio=18.5; Prodi=65; RelDemand=31.1; Capacity=3.3</x:v>
      </x:c>
    </x:row>
    <x:row r="758">
      <x:c r="A758" t="n">
        <x:v>755</x:v>
      </x:c>
      <x:c r="B758" t="str">
        <x:v>PTN Akademik</x:v>
      </x:c>
      <x:c r="C758" t="str">
        <x:v>UNIVERSITAS BANGKA BELITUNG</x:v>
      </x:c>
      <x:c r="D758" t="str">
        <x:v>SOSIOLOGI</x:v>
      </x:c>
      <x:c r="E758" t="str">
        <x:v>Sarjana</x:v>
      </x:c>
      <x:c r="F758" s="18" t="n">
        <x:v>56</x:v>
      </x:c>
      <x:c r="G758" s="18" t="n">
        <x:v>103</x:v>
      </x:c>
      <x:c r="H758" s="19" t="n">
        <x:v>1.8392857142857142</x:v>
      </x:c>
      <x:c r="I758" s="18" t="n">
        <x:f>ROUND(MIN(Model_Config_v3!$B$6,MAX(Q758,R758,S758*Model_Config_v3!$B$4+T758*Model_Config_v3!$B$5)),0)</x:f>
        <x:v>612</x:v>
      </x:c>
      <x:c r="J758" s="18" t="n">
        <x:f>MIN(Model_Config_v3!$B$6,I758+Model_Config_v3!$B$7)</x:f>
        <x:v>632</x:v>
      </x:c>
      <x:c r="K758" s="20" t="n">
        <x:v>39.3</x:v>
      </x:c>
      <x:c r="L758" t="str">
        <x:v>RELATIF LONGGAR</x:v>
      </x:c>
      <x:c r="M758" t="str">
        <x:v>SEDANG</x:v>
      </x:c>
      <x:c r="N758" t="str">
        <x:v>REGULER</x:v>
      </x:c>
      <x:c r="O758" t="str">
        <x:v>SOSHUM</x:v>
      </x:c>
      <x:c r="P758" t="str">
        <x:v>UMUM</x:v>
      </x:c>
      <x:c r="Q758" s="18" t="n">
        <x:v>0</x:v>
      </x:c>
      <x:c r="R758" s="18" t="n">
        <x:v>0</x:v>
      </x:c>
      <x:c r="S758" s="18" t="n">
        <x:v>549.1114117468869</x:v>
      </x:c>
      <x:c r="T758" s="18" t="n">
        <x:v>639</x:v>
      </x:c>
      <x:c r="U758" s="18" t="n">
        <x:v>549.1114117468869</x:v>
      </x:c>
      <x:c r="V758" s="20" t="n">
        <x:v>4.4</x:v>
      </x:c>
      <x:c r="W758" s="20" t="n">
        <x:v>14.3</x:v>
      </x:c>
      <x:c r="X758" s="20" t="n">
        <x:v>3.3</x:v>
      </x:c>
      <x:c r="Y758" t="str">
        <x:v>Basis arsip 2025/2024</x:v>
      </x:c>
      <x:c r="Z758" t="str">
        <x:v>https://snpmb.id/utbk-snbt/daya-tampung-snbt</x:v>
      </x:c>
      <x:c r="AA758" t="str">
        <x:v>Tidak Ada</x:v>
      </x:c>
      <x:c r="AB758" t="str">
        <x:v>Campus=55; Ratio=15.6; Prodi=40; RelDemand=27.8; Capacity=53.3</x:v>
      </x:c>
    </x:row>
    <x:row r="759">
      <x:c r="A759" t="n">
        <x:v>756</x:v>
      </x:c>
      <x:c r="B759" t="str">
        <x:v>PTN Akademik</x:v>
      </x:c>
      <x:c r="C759" t="str">
        <x:v>UNIVERSITAS BANGKA BELITUNG</x:v>
      </x:c>
      <x:c r="D759" t="str">
        <x:v>SASTRA INGGRIS</x:v>
      </x:c>
      <x:c r="E759" t="str">
        <x:v>Sarjana</x:v>
      </x:c>
      <x:c r="F759" s="18" t="n">
        <x:v>53</x:v>
      </x:c>
      <x:c r="G759" s="18" t="n">
        <x:v>60</x:v>
      </x:c>
      <x:c r="H759" s="19" t="n">
        <x:v>1.1320754716981132</x:v>
      </x:c>
      <x:c r="I759" s="18" t="n">
        <x:f>ROUND(MIN(Model_Config_v3!$B$6,MAX(Q759,R759,S759*Model_Config_v3!$B$4+T759*Model_Config_v3!$B$5)),0)</x:f>
        <x:v>599</x:v>
      </x:c>
      <x:c r="J759" s="18" t="n">
        <x:f>MIN(Model_Config_v3!$B$6,I759+Model_Config_v3!$B$7)</x:f>
        <x:v>619</x:v>
      </x:c>
      <x:c r="K759" s="20" t="n">
        <x:v>35.3</x:v>
      </x:c>
      <x:c r="L759" t="str">
        <x:v>RELATIF LONGGAR</x:v>
      </x:c>
      <x:c r="M759" t="str">
        <x:v>SEDANG</x:v>
      </x:c>
      <x:c r="N759" t="str">
        <x:v>REGULER</x:v>
      </x:c>
      <x:c r="O759" t="str">
        <x:v>SOSHUM</x:v>
      </x:c>
      <x:c r="P759" t="str">
        <x:v>UMUM</x:v>
      </x:c>
      <x:c r="Q759" s="18" t="n">
        <x:v>0</x:v>
      </x:c>
      <x:c r="R759" s="18" t="n">
        <x:v>0</x:v>
      </x:c>
      <x:c r="S759" s="18" t="n">
        <x:v>525.926291886114</x:v>
      </x:c>
      <x:c r="T759" s="18" t="n">
        <x:v>631</x:v>
      </x:c>
      <x:c r="U759" s="18" t="n">
        <x:v>525.926291886114</x:v>
      </x:c>
      <x:c r="V759" s="20" t="n">
        <x:v>4.4</x:v>
      </x:c>
      <x:c r="W759" s="20" t="n">
        <x:v>14.3</x:v>
      </x:c>
      <x:c r="X759" s="20" t="n">
        <x:v>3.3</x:v>
      </x:c>
      <x:c r="Y759" t="str">
        <x:v>Basis arsip 2025/2024</x:v>
      </x:c>
      <x:c r="Z759" t="str">
        <x:v>https://snpmb.id/utbk-snbt/daya-tampung-snbt</x:v>
      </x:c>
      <x:c r="AA759" t="str">
        <x:v>Tidak Ada</x:v>
      </x:c>
      <x:c r="AB759" t="str">
        <x:v>Campus=55; Ratio=3.2; Prodi=40; RelDemand=17.1; Capacity=55.8</x:v>
      </x:c>
    </x:row>
    <x:row r="760">
      <x:c r="A760" t="n">
        <x:v>757</x:v>
      </x:c>
      <x:c r="B760" t="str">
        <x:v>PTN Akademik</x:v>
      </x:c>
      <x:c r="C760" t="str">
        <x:v>UNIVERSITAS BANGKA BELITUNG</x:v>
      </x:c>
      <x:c r="D760" t="str">
        <x:v>ILMU POLITIK</x:v>
      </x:c>
      <x:c r="E760" t="str">
        <x:v>Sarjana</x:v>
      </x:c>
      <x:c r="F760" s="18" t="n">
        <x:v>53</x:v>
      </x:c>
      <x:c r="G760" s="18" t="n">
        <x:v>57</x:v>
      </x:c>
      <x:c r="H760" s="19" t="n">
        <x:v>1.0754716981132075</x:v>
      </x:c>
      <x:c r="I760" s="18" t="n">
        <x:f>ROUND(MIN(Model_Config_v3!$B$6,MAX(Q760,R760,S760*Model_Config_v3!$B$4+T760*Model_Config_v3!$B$5)),0)</x:f>
        <x:v>598</x:v>
      </x:c>
      <x:c r="J760" s="18" t="n">
        <x:f>MIN(Model_Config_v3!$B$6,I760+Model_Config_v3!$B$7)</x:f>
        <x:v>618</x:v>
      </x:c>
      <x:c r="K760" s="20" t="n">
        <x:v>34.9</x:v>
      </x:c>
      <x:c r="L760" t="str">
        <x:v>RELATIF LONGGAR</x:v>
      </x:c>
      <x:c r="M760" t="str">
        <x:v>SEDANG</x:v>
      </x:c>
      <x:c r="N760" t="str">
        <x:v>REGULER</x:v>
      </x:c>
      <x:c r="O760" t="str">
        <x:v>SOSHUM</x:v>
      </x:c>
      <x:c r="P760" t="str">
        <x:v>UMUM</x:v>
      </x:c>
      <x:c r="Q760" s="18" t="n">
        <x:v>0</x:v>
      </x:c>
      <x:c r="R760" s="18" t="n">
        <x:v>0</x:v>
      </x:c>
      <x:c r="S760" s="18" t="n">
        <x:v>523.4758884678872</x:v>
      </x:c>
      <x:c r="T760" s="18" t="n">
        <x:v>630</x:v>
      </x:c>
      <x:c r="U760" s="18" t="n">
        <x:v>523.4758884678872</x:v>
      </x:c>
      <x:c r="V760" s="20" t="n">
        <x:v>4.4</x:v>
      </x:c>
      <x:c r="W760" s="20" t="n">
        <x:v>14.3</x:v>
      </x:c>
      <x:c r="X760" s="20" t="n">
        <x:v>3.3</x:v>
      </x:c>
      <x:c r="Y760" t="str">
        <x:v>Basis arsip 2025/2024</x:v>
      </x:c>
      <x:c r="Z760" t="str">
        <x:v>https://snpmb.id/utbk-snbt/daya-tampung-snbt</x:v>
      </x:c>
      <x:c r="AA760" t="str">
        <x:v>Tidak Ada</x:v>
      </x:c>
      <x:c r="AB760" t="str">
        <x:v>Campus=55; Ratio=1.9; Prodi=40; RelDemand=16.3; Capacity=55.8</x:v>
      </x:c>
    </x:row>
    <x:row r="761">
      <x:c r="A761" t="n">
        <x:v>758</x:v>
      </x:c>
      <x:c r="B761" t="str">
        <x:v>PTN Akademik</x:v>
      </x:c>
      <x:c r="C761" t="str">
        <x:v>UNIVERSITAS BANGKA BELITUNG</x:v>
      </x:c>
      <x:c r="D761" t="str">
        <x:v>EKONOMI</x:v>
      </x:c>
      <x:c r="E761" t="str">
        <x:v>Sarjana</x:v>
      </x:c>
      <x:c r="F761" s="18" t="n">
        <x:v>54</x:v>
      </x:c>
      <x:c r="G761" s="18" t="n">
        <x:v>124</x:v>
      </x:c>
      <x:c r="H761" s="19" t="n">
        <x:v>2.2962962962962963</x:v>
      </x:c>
      <x:c r="I761" s="18" t="n">
        <x:f>ROUND(MIN(Model_Config_v3!$B$6,MAX(Q761,R761,S761*Model_Config_v3!$B$4+T761*Model_Config_v3!$B$5)),0)</x:f>
        <x:v>618</x:v>
      </x:c>
      <x:c r="J761" s="18" t="n">
        <x:f>MIN(Model_Config_v3!$B$6,I761+Model_Config_v3!$B$7)</x:f>
        <x:v>638</x:v>
      </x:c>
      <x:c r="K761" s="20" t="n">
        <x:v>41.5</x:v>
      </x:c>
      <x:c r="L761" t="str">
        <x:v>RELATIF LONGGAR</x:v>
      </x:c>
      <x:c r="M761" t="str">
        <x:v>SEDANG</x:v>
      </x:c>
      <x:c r="N761" t="str">
        <x:v>REGULER</x:v>
      </x:c>
      <x:c r="O761" t="str">
        <x:v>SOSHUM</x:v>
      </x:c>
      <x:c r="P761" t="str">
        <x:v>UMUM</x:v>
      </x:c>
      <x:c r="Q761" s="18" t="n">
        <x:v>0</x:v>
      </x:c>
      <x:c r="R761" s="18" t="n">
        <x:v>0</x:v>
      </x:c>
      <x:c r="S761" s="18" t="n">
        <x:v>559.7130717873193</x:v>
      </x:c>
      <x:c r="T761" s="18" t="n">
        <x:v>643</x:v>
      </x:c>
      <x:c r="U761" s="18" t="n">
        <x:v>559.7130717873193</x:v>
      </x:c>
      <x:c r="V761" s="20" t="n">
        <x:v>4.4</x:v>
      </x:c>
      <x:c r="W761" s="20" t="n">
        <x:v>14.3</x:v>
      </x:c>
      <x:c r="X761" s="20" t="n">
        <x:v>3.3</x:v>
      </x:c>
      <x:c r="Y761" t="str">
        <x:v>Basis arsip 2025/2024</x:v>
      </x:c>
      <x:c r="Z761" t="str">
        <x:v>https://snpmb.id/utbk-snbt/daya-tampung-snbt</x:v>
      </x:c>
      <x:c r="AA761" t="str">
        <x:v>Tidak Ada</x:v>
      </x:c>
      <x:c r="AB761" t="str">
        <x:v>Campus=55; Ratio=21.2; Prodi=40; RelDemand=34.7; Capacity=55.0</x:v>
      </x:c>
    </x:row>
    <x:row r="762">
      <x:c r="A762" t="n">
        <x:v>759</x:v>
      </x:c>
      <x:c r="B762" t="str">
        <x:v>PTN Akademik</x:v>
      </x:c>
      <x:c r="C762" t="str">
        <x:v>UNIVERSITAS BANGKA BELITUNG</x:v>
      </x:c>
      <x:c r="D762" t="str">
        <x:v>PERENCANAAN WILAYAH DAN KOTA</x:v>
      </x:c>
      <x:c r="E762" t="str">
        <x:v>Sarjana</x:v>
      </x:c>
      <x:c r="F762" s="18" t="n">
        <x:v>28</x:v>
      </x:c>
      <x:c r="G762" s="18" t="n">
        <x:v>100</x:v>
      </x:c>
      <x:c r="H762" s="19" t="n">
        <x:v>3.5714285714285716</x:v>
      </x:c>
      <x:c r="I762" s="18" t="n">
        <x:f>ROUND(MIN(Model_Config_v3!$B$6,MAX(Q762,R762,S762*Model_Config_v3!$B$4+T762*Model_Config_v3!$B$5)),0)</x:f>
        <x:v>634</x:v>
      </x:c>
      <x:c r="J762" s="18" t="n">
        <x:f>MIN(Model_Config_v3!$B$6,I762+Model_Config_v3!$B$7)</x:f>
        <x:v>654</x:v>
      </x:c>
      <x:c r="K762" s="20" t="n">
        <x:v>48.4</x:v>
      </x:c>
      <x:c r="L762" t="str">
        <x:v>MENENGAH</x:v>
      </x:c>
      <x:c r="M762" t="str">
        <x:v>SEDANG</x:v>
      </x:c>
      <x:c r="N762" t="str">
        <x:v>REGULER</x:v>
      </x:c>
      <x:c r="O762" t="str">
        <x:v>CAMPURAN</x:v>
      </x:c>
      <x:c r="P762" t="str">
        <x:v>UMUM</x:v>
      </x:c>
      <x:c r="Q762" s="18" t="n">
        <x:v>0</x:v>
      </x:c>
      <x:c r="R762" s="18" t="n">
        <x:v>0</x:v>
      </x:c>
      <x:c r="S762" s="18" t="n">
        <x:v>580.8126165523558</x:v>
      </x:c>
      <x:c r="T762" s="18" t="n">
        <x:v>657</x:v>
      </x:c>
      <x:c r="U762" s="18" t="n">
        <x:v>580.8126165523558</x:v>
      </x:c>
      <x:c r="V762" s="20" t="n">
        <x:v>8.8</x:v>
      </x:c>
      <x:c r="W762" s="20" t="n">
        <x:v>9.9</x:v>
      </x:c>
      <x:c r="X762" s="20" t="n">
        <x:v>3.3</x:v>
      </x:c>
      <x:c r="Y762" t="str">
        <x:v>Basis arsip 2025/2024</x:v>
      </x:c>
      <x:c r="Z762" t="str">
        <x:v>https://snpmb.id/utbk-snbt/daya-tampung-snbt</x:v>
      </x:c>
      <x:c r="AA762" t="str">
        <x:v>Tidak Ada</x:v>
      </x:c>
      <x:c r="AB762" t="str">
        <x:v>Campus=55; Ratio=32.5; Prodi=40; RelDemand=54.0; Capacity=76.7</x:v>
      </x:c>
    </x:row>
    <x:row r="763">
      <x:c r="A763" t="n">
        <x:v>760</x:v>
      </x:c>
      <x:c r="B763" t="str">
        <x:v>PTN Akademik</x:v>
      </x:c>
      <x:c r="C763" t="str">
        <x:v>UNIVERSITAS BANGKA BELITUNG</x:v>
      </x:c>
      <x:c r="D763" t="str">
        <x:v>PERIKANAN TANGKAP</x:v>
      </x:c>
      <x:c r="E763" t="str">
        <x:v>Sarjana</x:v>
      </x:c>
      <x:c r="F763" s="18" t="n">
        <x:v>14</x:v>
      </x:c>
      <x:c r="G763" s="18" t="n">
        <x:v>15</x:v>
      </x:c>
      <x:c r="H763" s="19" t="n">
        <x:v>1.0714285714285714</x:v>
      </x:c>
      <x:c r="I763" s="18" t="n">
        <x:f>ROUND(MIN(Model_Config_v3!$B$6,MAX(Q763,R763,S763*Model_Config_v3!$B$4+T763*Model_Config_v3!$B$5)),0)</x:f>
        <x:v>602</x:v>
      </x:c>
      <x:c r="J763" s="18" t="n">
        <x:f>MIN(Model_Config_v3!$B$6,I763+Model_Config_v3!$B$7)</x:f>
        <x:v>622</x:v>
      </x:c>
      <x:c r="K763" s="20" t="n">
        <x:v>38.1</x:v>
      </x:c>
      <x:c r="L763" t="str">
        <x:v>RELATIF LONGGAR</x:v>
      </x:c>
      <x:c r="M763" t="str">
        <x:v>SEDANG</x:v>
      </x:c>
      <x:c r="N763" t="str">
        <x:v>REGULER</x:v>
      </x:c>
      <x:c r="O763" t="str">
        <x:v>SAINTEK</x:v>
      </x:c>
      <x:c r="P763" t="str">
        <x:v>UMUM</x:v>
      </x:c>
      <x:c r="Q763" s="18" t="n">
        <x:v>0</x:v>
      </x:c>
      <x:c r="R763" s="18" t="n">
        <x:v>0</x:v>
      </x:c>
      <x:c r="S763" s="18" t="n">
        <x:v>523.2959545715188</x:v>
      </x:c>
      <x:c r="T763" s="18" t="n">
        <x:v>636</x:v>
      </x:c>
      <x:c r="U763" s="18" t="n">
        <x:v>523.2959545715188</x:v>
      </x:c>
      <x:c r="V763" s="20" t="n">
        <x:v>12</x:v>
      </x:c>
      <x:c r="W763" s="20" t="n">
        <x:v>5</x:v>
      </x:c>
      <x:c r="X763" s="20" t="n">
        <x:v>3</x:v>
      </x:c>
      <x:c r="Y763" t="str">
        <x:v>Basis arsip 2025/2024</x:v>
      </x:c>
      <x:c r="Z763" t="str">
        <x:v>https://snpmb.id/utbk-snbt/daya-tampung-snbt</x:v>
      </x:c>
      <x:c r="AA763" t="str">
        <x:v>Tidak Ada</x:v>
      </x:c>
      <x:c r="AB763" t="str">
        <x:v>Campus=55; Ratio=1.8; Prodi=40; RelDemand=16.2; Capacity=88.3</x:v>
      </x:c>
    </x:row>
    <x:row r="764">
      <x:c r="A764" t="n">
        <x:v>761</x:v>
      </x:c>
      <x:c r="B764" t="str">
        <x:v>PTN Akademik</x:v>
      </x:c>
      <x:c r="C764" t="str">
        <x:v>UNIVERSITAS BANGKA BELITUNG</x:v>
      </x:c>
      <x:c r="D764" t="str">
        <x:v>TEKNOLOGI INFORMASI</x:v>
      </x:c>
      <x:c r="E764" t="str">
        <x:v>Sarjana</x:v>
      </x:c>
      <x:c r="F764" s="18" t="n">
        <x:v>45</x:v>
      </x:c>
      <x:c r="G764" s="18" t="n">
        <x:v>290</x:v>
      </x:c>
      <x:c r="H764" s="19" t="n">
        <x:v>6.444444444444445</x:v>
      </x:c>
      <x:c r="I764" s="18" t="n">
        <x:f>ROUND(MIN(Model_Config_v3!$B$6,MAX(Q764,R764,S764*Model_Config_v3!$B$4+T764*Model_Config_v3!$B$5)),0)</x:f>
        <x:v>652</x:v>
      </x:c>
      <x:c r="J764" s="18" t="n">
        <x:f>MIN(Model_Config_v3!$B$6,I764+Model_Config_v3!$B$7)</x:f>
        <x:v>672</x:v>
      </x:c>
      <x:c r="K764" s="20" t="n">
        <x:v>55.1</x:v>
      </x:c>
      <x:c r="L764" t="str">
        <x:v>KETAT</x:v>
      </x:c>
      <x:c r="M764" t="str">
        <x:v>SEDANG</x:v>
      </x:c>
      <x:c r="N764" t="str">
        <x:v>REGULER</x:v>
      </x:c>
      <x:c r="O764" t="str">
        <x:v>SAINTEK</x:v>
      </x:c>
      <x:c r="P764" t="str">
        <x:v>UMUM</x:v>
      </x:c>
      <x:c r="Q764" s="18" t="n">
        <x:v>0</x:v>
      </x:c>
      <x:c r="R764" s="18" t="n">
        <x:v>0</x:v>
      </x:c>
      <x:c r="S764" s="18" t="n">
        <x:v>609.0104032535974</x:v>
      </x:c>
      <x:c r="T764" s="18" t="n">
        <x:v>670</x:v>
      </x:c>
      <x:c r="U764" s="18" t="n">
        <x:v>609.0104032535974</x:v>
      </x:c>
      <x:c r="V764" s="20" t="n">
        <x:v>12</x:v>
      </x:c>
      <x:c r="W764" s="20" t="n">
        <x:v>5</x:v>
      </x:c>
      <x:c r="X764" s="20" t="n">
        <x:v>3</x:v>
      </x:c>
      <x:c r="Y764" t="str">
        <x:v>Basis arsip 2025/2024</x:v>
      </x:c>
      <x:c r="Z764" t="str">
        <x:v>https://snpmb.id/utbk-snbt/daya-tampung-snbt</x:v>
      </x:c>
      <x:c r="AA764" t="str">
        <x:v>Tidak Ada</x:v>
      </x:c>
      <x:c r="AB764" t="str">
        <x:v>Campus=55; Ratio=47.6; Prodi=40; RelDemand=97.4; Capacity=62.5</x:v>
      </x:c>
    </x:row>
    <x:row r="765">
      <x:c r="A765" t="n">
        <x:v>762</x:v>
      </x:c>
      <x:c r="B765" t="str">
        <x:v>PTN Akademik</x:v>
      </x:c>
      <x:c r="C765" t="str">
        <x:v>UNIVERSITAS BANGKA BELITUNG</x:v>
      </x:c>
      <x:c r="D765" t="str">
        <x:v>ARSITEKTUR</x:v>
      </x:c>
      <x:c r="E765" t="str">
        <x:v>Sarjana</x:v>
      </x:c>
      <x:c r="F765" s="18" t="n">
        <x:v>30</x:v>
      </x:c>
      <x:c r="G765" s="18" t="n">
        <x:v>63</x:v>
      </x:c>
      <x:c r="H765" s="19" t="n">
        <x:v>2.1</x:v>
      </x:c>
      <x:c r="I765" s="18" t="n">
        <x:f>ROUND(MIN(Model_Config_v3!$B$6,MAX(Q765,R765,S765*Model_Config_v3!$B$4+T765*Model_Config_v3!$B$5)),0)</x:f>
        <x:v>624</x:v>
      </x:c>
      <x:c r="J765" s="18" t="n">
        <x:f>MIN(Model_Config_v3!$B$6,I765+Model_Config_v3!$B$7)</x:f>
        <x:v>644</x:v>
      </x:c>
      <x:c r="K765" s="20" t="n">
        <x:v>46.7</x:v>
      </x:c>
      <x:c r="L765" t="str">
        <x:v>MENENGAH</x:v>
      </x:c>
      <x:c r="M765" t="str">
        <x:v>SEDANG+</x:v>
      </x:c>
      <x:c r="N765" t="str">
        <x:v>REGULER</x:v>
      </x:c>
      <x:c r="O765" t="str">
        <x:v>SAINTEK</x:v>
      </x:c>
      <x:c r="P765" t="str">
        <x:v>TEKNIK/ARSITEKTUR/STATISTIKA/AKTUARIA</x:v>
      </x:c>
      <x:c r="Q765" s="18" t="n">
        <x:v>0</x:v>
      </x:c>
      <x:c r="R765" s="18" t="n">
        <x:v>0</x:v>
      </x:c>
      <x:c r="S765" s="18" t="n">
        <x:v>555.4441224207311</x:v>
      </x:c>
      <x:c r="T765" s="18" t="n">
        <x:v>653</x:v>
      </x:c>
      <x:c r="U765" s="18" t="n">
        <x:v>555.4441224207311</x:v>
      </x:c>
      <x:c r="V765" s="20" t="n">
        <x:v>12</x:v>
      </x:c>
      <x:c r="W765" s="20" t="n">
        <x:v>5</x:v>
      </x:c>
      <x:c r="X765" s="20" t="n">
        <x:v>3</x:v>
      </x:c>
      <x:c r="Y765" t="str">
        <x:v>Basis arsip 2025/2024</x:v>
      </x:c>
      <x:c r="Z765" t="str">
        <x:v>https://snpmb.id/utbk-snbt/daya-tampung-snbt</x:v>
      </x:c>
      <x:c r="AA765" t="str">
        <x:v>Tidak Ada</x:v>
      </x:c>
      <x:c r="AB765" t="str">
        <x:v>Campus=55; Ratio=19.0; Prodi=60; RelDemand=31.7; Capacity=75.0</x:v>
      </x:c>
    </x:row>
    <x:row r="766">
      <x:c r="A766" t="n">
        <x:v>763</x:v>
      </x:c>
      <x:c r="B766" t="str">
        <x:v>PTN Akademik</x:v>
      </x:c>
      <x:c r="C766" t="str">
        <x:v>UNIVERSITAS BANGKA BELITUNG</x:v>
      </x:c>
      <x:c r="D766" t="str">
        <x:v>BISNIS DIGITAL</x:v>
      </x:c>
      <x:c r="E766" t="str">
        <x:v>Sarjana</x:v>
      </x:c>
      <x:c r="F766" s="18" t="n">
        <x:v>54</x:v>
      </x:c>
      <x:c r="G766" s="18" t="n">
        <x:v>269</x:v>
      </x:c>
      <x:c r="H766" s="19" t="n">
        <x:v>4.981481481481482</x:v>
      </x:c>
      <x:c r="I766" s="18" t="n">
        <x:f>ROUND(MIN(Model_Config_v3!$B$6,MAX(Q766,R766,S766*Model_Config_v3!$B$4+T766*Model_Config_v3!$B$5)),0)</x:f>
        <x:v>649</x:v>
      </x:c>
      <x:c r="J766" s="18" t="n">
        <x:f>MIN(Model_Config_v3!$B$6,I766+Model_Config_v3!$B$7)</x:f>
        <x:v>669</x:v>
      </x:c>
      <x:c r="K766" s="20" t="n">
        <x:v>55.5</x:v>
      </x:c>
      <x:c r="L766" t="str">
        <x:v>KETAT</x:v>
      </x:c>
      <x:c r="M766" t="str">
        <x:v>SEDANG+</x:v>
      </x:c>
      <x:c r="N766" t="str">
        <x:v>REGULER</x:v>
      </x:c>
      <x:c r="O766" t="str">
        <x:v>SOSHUM</x:v>
      </x:c>
      <x:c r="P766" t="str">
        <x:v>BISNIS/EKONOMI/AKUNTANSI</x:v>
      </x:c>
      <x:c r="Q766" s="18" t="n">
        <x:v>0</x:v>
      </x:c>
      <x:c r="R766" s="18" t="n">
        <x:v>0</x:v>
      </x:c>
      <x:c r="S766" s="18" t="n">
        <x:v>596.7094372197383</x:v>
      </x:c>
      <x:c r="T766" s="18" t="n">
        <x:v>671</x:v>
      </x:c>
      <x:c r="U766" s="18" t="n">
        <x:v>611.7094372197383</x:v>
      </x:c>
      <x:c r="V766" s="20" t="n">
        <x:v>4.4</x:v>
      </x:c>
      <x:c r="W766" s="20" t="n">
        <x:v>14.3</x:v>
      </x:c>
      <x:c r="X766" s="20" t="n">
        <x:v>3.3</x:v>
      </x:c>
      <x:c r="Y766" t="str">
        <x:v>Basis arsip 2025/2024</x:v>
      </x:c>
      <x:c r="Z766" t="str">
        <x:v>https://snpmb.id/utbk-snbt/daya-tampung-snbt</x:v>
      </x:c>
      <x:c r="AA766" t="str">
        <x:v>Tidak Ada</x:v>
      </x:c>
      <x:c r="AB766" t="str">
        <x:v>Campus=55; Ratio=41.0; Prodi=65; RelDemand=75.3; Capacity=55.0</x:v>
      </x:c>
    </x:row>
    <x:row r="767">
      <x:c r="A767" t="n">
        <x:v>764</x:v>
      </x:c>
      <x:c r="B767" t="str">
        <x:v>PTN Akademik</x:v>
      </x:c>
      <x:c r="C767" t="str">
        <x:v>UNIVERSITAS BANGKA BELITUNG</x:v>
      </x:c>
      <x:c r="D767" t="str">
        <x:v>KEDOKTERAN</x:v>
      </x:c>
      <x:c r="E767" t="str">
        <x:v>Sarjana</x:v>
      </x:c>
      <x:c r="F767" s="18" t="n">
        <x:v>20</x:v>
      </x:c>
      <x:c r="G767" s="18" t="n">
        <x:v>366</x:v>
      </x:c>
      <x:c r="H767" s="19" t="n">
        <x:v>18.3</x:v>
      </x:c>
      <x:c r="I767" s="18" t="n">
        <x:f>ROUND(MIN(Model_Config_v3!$B$6,MAX(Q767,R767,S767*Model_Config_v3!$B$4+T767*Model_Config_v3!$B$5)),0)</x:f>
        <x:v>696</x:v>
      </x:c>
      <x:c r="J767" s="18" t="n">
        <x:f>MIN(Model_Config_v3!$B$6,I767+Model_Config_v3!$B$7)</x:f>
        <x:v>716</x:v>
      </x:c>
      <x:c r="K767" s="20" t="n">
        <x:v>76.2</x:v>
      </x:c>
      <x:c r="L767" t="str">
        <x:v>ELITE</x:v>
      </x:c>
      <x:c r="M767" t="str">
        <x:v>SEDANG+</x:v>
      </x:c>
      <x:c r="N767" t="str">
        <x:v>REGULER</x:v>
      </x:c>
      <x:c r="O767" t="str">
        <x:v>SAINTEK</x:v>
      </x:c>
      <x:c r="P767" t="str">
        <x:v>KEDOKTERAN</x:v>
      </x:c>
      <x:c r="Q767" s="18" t="n">
        <x:v>0</x:v>
      </x:c>
      <x:c r="R767" s="18" t="n">
        <x:v>680</x:v>
      </x:c>
      <x:c r="S767" s="18" t="n">
        <x:v>658.8696198703473</x:v>
      </x:c>
      <x:c r="T767" s="18" t="n">
        <x:v>712</x:v>
      </x:c>
      <x:c r="U767" s="18" t="n">
        <x:v>698.8696198703473</x:v>
      </x:c>
      <x:c r="V767" s="20" t="n">
        <x:v>12</x:v>
      </x:c>
      <x:c r="W767" s="20" t="n">
        <x:v>5</x:v>
      </x:c>
      <x:c r="X767" s="20" t="n">
        <x:v>3</x:v>
      </x:c>
      <x:c r="Y767" t="str">
        <x:v>Basis arsip 2025/2024</x:v>
      </x:c>
      <x:c r="Z767" t="str">
        <x:v>https://snpmb.id/utbk-snbt/daya-tampung-snbt</x:v>
      </x:c>
      <x:c r="AA767" t="str">
        <x:v>Tidak Ada</x:v>
      </x:c>
      <x:c r="AB767" t="str">
        <x:v>Campus=55; Ratio=74.3; Prodi=100; RelDemand=100.0; Capacity=83.3</x:v>
      </x:c>
    </x:row>
    <x:row r="768">
      <x:c r="A768" t="n">
        <x:v>765</x:v>
      </x:c>
      <x:c r="B768" t="str">
        <x:v>PTN Akademik</x:v>
      </x:c>
      <x:c r="C768" t="str">
        <x:v>UNIVERSITAS BANGKA BELITUNG</x:v>
      </x:c>
      <x:c r="D768" t="str">
        <x:v>KEPERAWATAN</x:v>
      </x:c>
      <x:c r="E768" t="str">
        <x:v>Diploma Tiga</x:v>
      </x:c>
      <x:c r="F768" s="18" t="n">
        <x:v>36</x:v>
      </x:c>
      <x:c r="G768" s="18" t="n">
        <x:v>496</x:v>
      </x:c>
      <x:c r="H768" s="19" t="n">
        <x:v>13.777777777777779</x:v>
      </x:c>
      <x:c r="I768" s="18" t="n">
        <x:f>ROUND(MIN(Model_Config_v3!$B$6,MAX(Q768,R768,S768*Model_Config_v3!$B$4+T768*Model_Config_v3!$B$5)),0)</x:f>
        <x:v>675</x:v>
      </x:c>
      <x:c r="J768" s="18" t="n">
        <x:f>MIN(Model_Config_v3!$B$6,I768+Model_Config_v3!$B$7)</x:f>
        <x:v>695</x:v>
      </x:c>
      <x:c r="K768" s="20" t="n">
        <x:v>64</x:v>
      </x:c>
      <x:c r="L768" t="str">
        <x:v>KETAT</x:v>
      </x:c>
      <x:c r="M768" t="str">
        <x:v>SEDANG+</x:v>
      </x:c>
      <x:c r="N768" t="str">
        <x:v>REGULER</x:v>
      </x:c>
      <x:c r="O768" t="str">
        <x:v>SAINTEK</x:v>
      </x:c>
      <x:c r="P768" t="str">
        <x:v>KESEHAT/GIZI/KEPERAWATAN</x:v>
      </x:c>
      <x:c r="Q768" s="18" t="n">
        <x:v>0</x:v>
      </x:c>
      <x:c r="R768" s="18" t="n">
        <x:v>0</x:v>
      </x:c>
      <x:c r="S768" s="18" t="n">
        <x:v>645.3097093295202</x:v>
      </x:c>
      <x:c r="T768" s="18" t="n">
        <x:v>688</x:v>
      </x:c>
      <x:c r="U768" s="18" t="n">
        <x:v>645.3097093295202</x:v>
      </x:c>
      <x:c r="V768" s="20" t="n">
        <x:v>12</x:v>
      </x:c>
      <x:c r="W768" s="20" t="n">
        <x:v>5</x:v>
      </x:c>
      <x:c r="X768" s="20" t="n">
        <x:v>3</x:v>
      </x:c>
      <x:c r="Y768" t="str">
        <x:v>Basis arsip 2025/2024</x:v>
      </x:c>
      <x:c r="Z768" t="str">
        <x:v>https://snpmb.id/utbk-snbt/daya-tampung-snbt</x:v>
      </x:c>
      <x:c r="AA768" t="str">
        <x:v>Tidak Ada</x:v>
      </x:c>
      <x:c r="AB768" t="str">
        <x:v>Campus=55; Ratio=67.1; Prodi=55; RelDemand=100.0; Capacity=70.0</x:v>
      </x:c>
    </x:row>
    <x:row r="769">
      <x:c r="A769" t="n">
        <x:v>766</x:v>
      </x:c>
      <x:c r="B769" t="str">
        <x:v>PTN Akademik</x:v>
      </x:c>
      <x:c r="C769" t="str">
        <x:v>UNIVERSITAS LAMPUNG</x:v>
      </x:c>
      <x:c r="D769" t="str">
        <x:v>AGROTEKNOLOGI</x:v>
      </x:c>
      <x:c r="E769" t="str">
        <x:v>Sarjana</x:v>
      </x:c>
      <x:c r="F769" s="18" t="n">
        <x:v>78</x:v>
      </x:c>
      <x:c r="G769" s="18" t="n">
        <x:v>231</x:v>
      </x:c>
      <x:c r="H769" s="19" t="n">
        <x:v>2.9615384615384617</x:v>
      </x:c>
      <x:c r="I769" s="18" t="n">
        <x:f>ROUND(MIN(Model_Config_v3!$B$6,MAX(Q769,R769,S769*Model_Config_v3!$B$4+T769*Model_Config_v3!$B$5)),0)</x:f>
        <x:v>631</x:v>
      </x:c>
      <x:c r="J769" s="18" t="n">
        <x:f>MIN(Model_Config_v3!$B$6,I769+Model_Config_v3!$B$7)</x:f>
        <x:v>651</x:v>
      </x:c>
      <x:c r="K769" s="20" t="n">
        <x:v>48.3</x:v>
      </x:c>
      <x:c r="L769" t="str">
        <x:v>MENENGAH</x:v>
      </x:c>
      <x:c r="M769" t="str">
        <x:v>SEDANG+</x:v>
      </x:c>
      <x:c r="N769" t="str">
        <x:v>ELITE-3</x:v>
      </x:c>
      <x:c r="O769" t="str">
        <x:v>SAINTEK</x:v>
      </x:c>
      <x:c r="P769" t="str">
        <x:v>UMUM</x:v>
      </x:c>
      <x:c r="Q769" s="18" t="n">
        <x:v>615</x:v>
      </x:c>
      <x:c r="R769" s="18" t="n">
        <x:v>0</x:v>
      </x:c>
      <x:c r="S769" s="18" t="n">
        <x:v>571.866911492183</x:v>
      </x:c>
      <x:c r="T769" s="18" t="n">
        <x:v>657</x:v>
      </x:c>
      <x:c r="U769" s="18" t="n">
        <x:v>615</x:v>
      </x:c>
      <x:c r="V769" s="20" t="n">
        <x:v>12</x:v>
      </x:c>
      <x:c r="W769" s="20" t="n">
        <x:v>5</x:v>
      </x:c>
      <x:c r="X769" s="20" t="n">
        <x:v>3</x:v>
      </x:c>
      <x:c r="Y769" t="str">
        <x:v>Basis arsip 2025/2024</x:v>
      </x:c>
      <x:c r="Z769" t="str">
        <x:v>https://snpmb.id/utbk-snbt/daya-tampung-snbt</x:v>
      </x:c>
      <x:c r="AA769" t="str">
        <x:v>Tidak Ada</x:v>
      </x:c>
      <x:c r="AB769" t="str">
        <x:v>Campus=80; Ratio=27.8; Prodi=40; RelDemand=18.4; Capacity=35.0</x:v>
      </x:c>
    </x:row>
    <x:row r="770">
      <x:c r="A770" t="n">
        <x:v>767</x:v>
      </x:c>
      <x:c r="B770" t="str">
        <x:v>PTN Akademik</x:v>
      </x:c>
      <x:c r="C770" t="str">
        <x:v>UNIVERSITAS LAMPUNG</x:v>
      </x:c>
      <x:c r="D770" t="str">
        <x:v>AGRIBISNIS</x:v>
      </x:c>
      <x:c r="E770" t="str">
        <x:v>Sarjana</x:v>
      </x:c>
      <x:c r="F770" s="18" t="n">
        <x:v>78</x:v>
      </x:c>
      <x:c r="G770" s="18" t="n">
        <x:v>426</x:v>
      </x:c>
      <x:c r="H770" s="19" t="n">
        <x:v>5.461538461538462</x:v>
      </x:c>
      <x:c r="I770" s="18" t="n">
        <x:f>ROUND(MIN(Model_Config_v3!$B$6,MAX(Q770,R770,S770*Model_Config_v3!$B$4+T770*Model_Config_v3!$B$5)),0)</x:f>
        <x:v>654</x:v>
      </x:c>
      <x:c r="J770" s="18" t="n">
        <x:f>MIN(Model_Config_v3!$B$6,I770+Model_Config_v3!$B$7)</x:f>
        <x:v>674</x:v>
      </x:c>
      <x:c r="K770" s="20" t="n">
        <x:v>58.7</x:v>
      </x:c>
      <x:c r="L770" t="str">
        <x:v>KETAT</x:v>
      </x:c>
      <x:c r="M770" t="str">
        <x:v>SEDANG+</x:v>
      </x:c>
      <x:c r="N770" t="str">
        <x:v>ELITE-3</x:v>
      </x:c>
      <x:c r="O770" t="str">
        <x:v>SOSHUM</x:v>
      </x:c>
      <x:c r="P770" t="str">
        <x:v>BISNIS/EKONOMI/AKUNTANSI</x:v>
      </x:c>
      <x:c r="Q770" s="18" t="n">
        <x:v>615</x:v>
      </x:c>
      <x:c r="R770" s="18" t="n">
        <x:v>0</x:v>
      </x:c>
      <x:c r="S770" s="18" t="n">
        <x:v>601.1046496053463</x:v>
      </x:c>
      <x:c r="T770" s="18" t="n">
        <x:v>677</x:v>
      </x:c>
      <x:c r="U770" s="18" t="n">
        <x:v>616.1046496053463</x:v>
      </x:c>
      <x:c r="V770" s="20" t="n">
        <x:v>4.4</x:v>
      </x:c>
      <x:c r="W770" s="20" t="n">
        <x:v>14.3</x:v>
      </x:c>
      <x:c r="X770" s="20" t="n">
        <x:v>3.3</x:v>
      </x:c>
      <x:c r="Y770" t="str">
        <x:v>Basis arsip 2025/2024</x:v>
      </x:c>
      <x:c r="Z770" t="str">
        <x:v>https://snpmb.id/utbk-snbt/daya-tampung-snbt</x:v>
      </x:c>
      <x:c r="AA770" t="str">
        <x:v>Tidak Ada</x:v>
      </x:c>
      <x:c r="AB770" t="str">
        <x:v>Campus=80; Ratio=43.4; Prodi=65; RelDemand=34.0; Capacity=35.0</x:v>
      </x:c>
    </x:row>
    <x:row r="771">
      <x:c r="A771" t="n">
        <x:v>768</x:v>
      </x:c>
      <x:c r="B771" t="str">
        <x:v>PTN Akademik</x:v>
      </x:c>
      <x:c r="C771" t="str">
        <x:v>UNIVERSITAS LAMPUNG</x:v>
      </x:c>
      <x:c r="D771" t="str">
        <x:v>TEKNIK GEOFISIKA</x:v>
      </x:c>
      <x:c r="E771" t="str">
        <x:v>Sarjana</x:v>
      </x:c>
      <x:c r="F771" s="18" t="n">
        <x:v>72</x:v>
      </x:c>
      <x:c r="G771" s="18" t="n">
        <x:v>91</x:v>
      </x:c>
      <x:c r="H771" s="19" t="n">
        <x:v>1.2638888888888888</x:v>
      </x:c>
      <x:c r="I771" s="18" t="n">
        <x:f>ROUND(MIN(Model_Config_v3!$B$6,MAX(Q771,R771,S771*Model_Config_v3!$B$4+T771*Model_Config_v3!$B$5)),0)</x:f>
        <x:v>616</x:v>
      </x:c>
      <x:c r="J771" s="18" t="n">
        <x:f>MIN(Model_Config_v3!$B$6,I771+Model_Config_v3!$B$7)</x:f>
        <x:v>636</x:v>
      </x:c>
      <x:c r="K771" s="20" t="n">
        <x:v>46.3</x:v>
      </x:c>
      <x:c r="L771" t="str">
        <x:v>MENENGAH</x:v>
      </x:c>
      <x:c r="M771" t="str">
        <x:v>SEDANG+</x:v>
      </x:c>
      <x:c r="N771" t="str">
        <x:v>ELITE-3</x:v>
      </x:c>
      <x:c r="O771" t="str">
        <x:v>SAINTEK</x:v>
      </x:c>
      <x:c r="P771" t="str">
        <x:v>TEKNIK/ARSITEKTUR/STATISTIKA/AKTUARIA</x:v>
      </x:c>
      <x:c r="Q771" s="18" t="n">
        <x:v>615</x:v>
      </x:c>
      <x:c r="R771" s="18" t="n">
        <x:v>0</x:v>
      </x:c>
      <x:c r="S771" s="18" t="n">
        <x:v>531.1879785478808</x:v>
      </x:c>
      <x:c r="T771" s="18" t="n">
        <x:v>653</x:v>
      </x:c>
      <x:c r="U771" s="18" t="n">
        <x:v>615</x:v>
      </x:c>
      <x:c r="V771" s="20" t="n">
        <x:v>12</x:v>
      </x:c>
      <x:c r="W771" s="20" t="n">
        <x:v>5</x:v>
      </x:c>
      <x:c r="X771" s="20" t="n">
        <x:v>3</x:v>
      </x:c>
      <x:c r="Y771" t="str">
        <x:v>Basis arsip 2025/2024</x:v>
      </x:c>
      <x:c r="Z771" t="str">
        <x:v>https://snpmb.id/utbk-snbt/daya-tampung-snbt</x:v>
      </x:c>
      <x:c r="AA771" t="str">
        <x:v>Tidak Ada</x:v>
      </x:c>
      <x:c r="AB771" t="str">
        <x:v>Campus=80; Ratio=6.0; Prodi=60; RelDemand=7.9; Capacity=40.0</x:v>
      </x:c>
    </x:row>
    <x:row r="772">
      <x:c r="A772" t="n">
        <x:v>769</x:v>
      </x:c>
      <x:c r="B772" t="str">
        <x:v>PTN Akademik</x:v>
      </x:c>
      <x:c r="C772" t="str">
        <x:v>UNIVERSITAS LAMPUNG</x:v>
      </x:c>
      <x:c r="D772" t="str">
        <x:v>TEKNIK SIPIL</x:v>
      </x:c>
      <x:c r="E772" t="str">
        <x:v>Sarjana</x:v>
      </x:c>
      <x:c r="F772" s="18" t="n">
        <x:v>108</x:v>
      </x:c>
      <x:c r="G772" s="18" t="n">
        <x:v>525</x:v>
      </x:c>
      <x:c r="H772" s="19" t="n">
        <x:v>4.861111111111111</x:v>
      </x:c>
      <x:c r="I772" s="18" t="n">
        <x:f>ROUND(MIN(Model_Config_v3!$B$6,MAX(Q772,R772,S772*Model_Config_v3!$B$4+T772*Model_Config_v3!$B$5)),0)</x:f>
        <x:v>646</x:v>
      </x:c>
      <x:c r="J772" s="18" t="n">
        <x:f>MIN(Model_Config_v3!$B$6,I772+Model_Config_v3!$B$7)</x:f>
        <x:v>666</x:v>
      </x:c>
      <x:c r="K772" s="20" t="n">
        <x:v>54.1</x:v>
      </x:c>
      <x:c r="L772" t="str">
        <x:v>MENENGAH</x:v>
      </x:c>
      <x:c r="M772" t="str">
        <x:v>SEDANG+</x:v>
      </x:c>
      <x:c r="N772" t="str">
        <x:v>ELITE-3</x:v>
      </x:c>
      <x:c r="O772" t="str">
        <x:v>SAINTEK</x:v>
      </x:c>
      <x:c r="P772" t="str">
        <x:v>TEKNIK/ARSITEKTUR/STATISTIKA/AKTUARIA</x:v>
      </x:c>
      <x:c r="Q772" s="18" t="n">
        <x:v>615</x:v>
      </x:c>
      <x:c r="R772" s="18" t="n">
        <x:v>0</x:v>
      </x:c>
      <x:c r="S772" s="18" t="n">
        <x:v>595.5409102710908</x:v>
      </x:c>
      <x:c r="T772" s="18" t="n">
        <x:v>668</x:v>
      </x:c>
      <x:c r="U772" s="18" t="n">
        <x:v>615</x:v>
      </x:c>
      <x:c r="V772" s="20" t="n">
        <x:v>12</x:v>
      </x:c>
      <x:c r="W772" s="20" t="n">
        <x:v>5</x:v>
      </x:c>
      <x:c r="X772" s="20" t="n">
        <x:v>3</x:v>
      </x:c>
      <x:c r="Y772" t="str">
        <x:v>Basis arsip 2025/2024</x:v>
      </x:c>
      <x:c r="Z772" t="str">
        <x:v>https://snpmb.id/utbk-snbt/daya-tampung-snbt</x:v>
      </x:c>
      <x:c r="AA772" t="str">
        <x:v>Tidak Ada</x:v>
      </x:c>
      <x:c r="AB772" t="str">
        <x:v>Campus=80; Ratio=40.4; Prodi=60; RelDemand=30.2; Capacity=10.0</x:v>
      </x:c>
    </x:row>
    <x:row r="773">
      <x:c r="A773" t="n">
        <x:v>770</x:v>
      </x:c>
      <x:c r="B773" t="str">
        <x:v>PTN Akademik</x:v>
      </x:c>
      <x:c r="C773" t="str">
        <x:v>UNIVERSITAS LAMPUNG</x:v>
      </x:c>
      <x:c r="D773" t="str">
        <x:v>KIMIA</x:v>
      </x:c>
      <x:c r="E773" t="str">
        <x:v>Sarjana</x:v>
      </x:c>
      <x:c r="F773" s="18" t="n">
        <x:v>81</x:v>
      </x:c>
      <x:c r="G773" s="18" t="n">
        <x:v>116</x:v>
      </x:c>
      <x:c r="H773" s="19" t="n">
        <x:v>1.4320987654320987</x:v>
      </x:c>
      <x:c r="I773" s="18" t="n">
        <x:f>ROUND(MIN(Model_Config_v3!$B$6,MAX(Q773,R773,S773*Model_Config_v3!$B$4+T773*Model_Config_v3!$B$5)),0)</x:f>
        <x:v>615</x:v>
      </x:c>
      <x:c r="J773" s="18" t="n">
        <x:f>MIN(Model_Config_v3!$B$6,I773+Model_Config_v3!$B$7)</x:f>
        <x:v>635</x:v>
      </x:c>
      <x:c r="K773" s="20" t="n">
        <x:v>44.4</x:v>
      </x:c>
      <x:c r="L773" t="str">
        <x:v>RELATIF LONGGAR</x:v>
      </x:c>
      <x:c r="M773" t="str">
        <x:v>SEDANG+</x:v>
      </x:c>
      <x:c r="N773" t="str">
        <x:v>ELITE-3</x:v>
      </x:c>
      <x:c r="O773" t="str">
        <x:v>SAINTEK</x:v>
      </x:c>
      <x:c r="P773" t="str">
        <x:v>SAINS DASAR</x:v>
      </x:c>
      <x:c r="Q773" s="18" t="n">
        <x:v>615</x:v>
      </x:c>
      <x:c r="R773" s="18" t="n">
        <x:v>0</x:v>
      </x:c>
      <x:c r="S773" s="18" t="n">
        <x:v>537.1570267383096</x:v>
      </x:c>
      <x:c r="T773" s="18" t="n">
        <x:v>649</x:v>
      </x:c>
      <x:c r="U773" s="18" t="n">
        <x:v>615</x:v>
      </x:c>
      <x:c r="V773" s="20" t="n">
        <x:v>12</x:v>
      </x:c>
      <x:c r="W773" s="20" t="n">
        <x:v>5</x:v>
      </x:c>
      <x:c r="X773" s="20" t="n">
        <x:v>3</x:v>
      </x:c>
      <x:c r="Y773" t="str">
        <x:v>Basis arsip 2025/2024</x:v>
      </x:c>
      <x:c r="Z773" t="str">
        <x:v>https://snpmb.id/utbk-snbt/daya-tampung-snbt</x:v>
      </x:c>
      <x:c r="AA773" t="str">
        <x:v>Tidak Ada</x:v>
      </x:c>
      <x:c r="AB773" t="str">
        <x:v>Campus=80; Ratio=9.2; Prodi=50; RelDemand=8.9; Capacity=32.5</x:v>
      </x:c>
    </x:row>
    <x:row r="774">
      <x:c r="A774" t="n">
        <x:v>771</x:v>
      </x:c>
      <x:c r="B774" t="str">
        <x:v>PTN Akademik</x:v>
      </x:c>
      <x:c r="C774" t="str">
        <x:v>UNIVERSITAS LAMPUNG</x:v>
      </x:c>
      <x:c r="D774" t="str">
        <x:v>BIOLOGI</x:v>
      </x:c>
      <x:c r="E774" t="str">
        <x:v>Sarjana</x:v>
      </x:c>
      <x:c r="F774" s="18" t="n">
        <x:v>75</x:v>
      </x:c>
      <x:c r="G774" s="18" t="n">
        <x:v>177</x:v>
      </x:c>
      <x:c r="H774" s="19" t="n">
        <x:v>2.36</x:v>
      </x:c>
      <x:c r="I774" s="18" t="n">
        <x:f>ROUND(MIN(Model_Config_v3!$B$6,MAX(Q774,R774,S774*Model_Config_v3!$B$4+T774*Model_Config_v3!$B$5)),0)</x:f>
        <x:v>628</x:v>
      </x:c>
      <x:c r="J774" s="18" t="n">
        <x:f>MIN(Model_Config_v3!$B$6,I774+Model_Config_v3!$B$7)</x:f>
        <x:v>648</x:v>
      </x:c>
      <x:c r="K774" s="20" t="n">
        <x:v>48.7</x:v>
      </x:c>
      <x:c r="L774" t="str">
        <x:v>MENENGAH</x:v>
      </x:c>
      <x:c r="M774" t="str">
        <x:v>SEDANG+</x:v>
      </x:c>
      <x:c r="N774" t="str">
        <x:v>ELITE-3</x:v>
      </x:c>
      <x:c r="O774" t="str">
        <x:v>SAINTEK</x:v>
      </x:c>
      <x:c r="P774" t="str">
        <x:v>SAINS DASAR</x:v>
      </x:c>
      <x:c r="Q774" s="18" t="n">
        <x:v>615</x:v>
      </x:c>
      <x:c r="R774" s="18" t="n">
        <x:v>0</x:v>
      </x:c>
      <x:c r="S774" s="18" t="n">
        <x:v>561.0203203267117</x:v>
      </x:c>
      <x:c r="T774" s="18" t="n">
        <x:v>657</x:v>
      </x:c>
      <x:c r="U774" s="18" t="n">
        <x:v>615</x:v>
      </x:c>
      <x:c r="V774" s="20" t="n">
        <x:v>12</x:v>
      </x:c>
      <x:c r="W774" s="20" t="n">
        <x:v>5</x:v>
      </x:c>
      <x:c r="X774" s="20" t="n">
        <x:v>3</x:v>
      </x:c>
      <x:c r="Y774" t="str">
        <x:v>Basis arsip 2025/2024</x:v>
      </x:c>
      <x:c r="Z774" t="str">
        <x:v>https://snpmb.id/utbk-snbt/daya-tampung-snbt</x:v>
      </x:c>
      <x:c r="AA774" t="str">
        <x:v>Tidak Ada</x:v>
      </x:c>
      <x:c r="AB774" t="str">
        <x:v>Campus=80; Ratio=21.9; Prodi=50; RelDemand=14.7; Capacity=37.5</x:v>
      </x:c>
    </x:row>
    <x:row r="775">
      <x:c r="A775" t="n">
        <x:v>772</x:v>
      </x:c>
      <x:c r="B775" t="str">
        <x:v>PTN Akademik</x:v>
      </x:c>
      <x:c r="C775" t="str">
        <x:v>UNIVERSITAS LAMPUNG</x:v>
      </x:c>
      <x:c r="D775" t="str">
        <x:v>TEKNOLOGI HASIL PERTANIAN</x:v>
      </x:c>
      <x:c r="E775" t="str">
        <x:v>Sarjana</x:v>
      </x:c>
      <x:c r="F775" s="18" t="n">
        <x:v>45</x:v>
      </x:c>
      <x:c r="G775" s="18" t="n">
        <x:v>196</x:v>
      </x:c>
      <x:c r="H775" s="19" t="n">
        <x:v>4.355555555555555</x:v>
      </x:c>
      <x:c r="I775" s="18" t="n">
        <x:f>ROUND(MIN(Model_Config_v3!$B$6,MAX(Q775,R775,S775*Model_Config_v3!$B$4+T775*Model_Config_v3!$B$5)),0)</x:f>
        <x:v>645</x:v>
      </x:c>
      <x:c r="J775" s="18" t="n">
        <x:f>MIN(Model_Config_v3!$B$6,I775+Model_Config_v3!$B$7)</x:f>
        <x:v>665</x:v>
      </x:c>
      <x:c r="K775" s="20" t="n">
        <x:v>54.4</x:v>
      </x:c>
      <x:c r="L775" t="str">
        <x:v>MENENGAH</x:v>
      </x:c>
      <x:c r="M775" t="str">
        <x:v>SEDANG+</x:v>
      </x:c>
      <x:c r="N775" t="str">
        <x:v>ELITE-3</x:v>
      </x:c>
      <x:c r="O775" t="str">
        <x:v>SAINTEK</x:v>
      </x:c>
      <x:c r="P775" t="str">
        <x:v>UMUM</x:v>
      </x:c>
      <x:c r="Q775" s="18" t="n">
        <x:v>615</x:v>
      </x:c>
      <x:c r="R775" s="18" t="n">
        <x:v>0</x:v>
      </x:c>
      <x:c r="S775" s="18" t="n">
        <x:v>590.2947913339245</x:v>
      </x:c>
      <x:c r="T775" s="18" t="n">
        <x:v>669</x:v>
      </x:c>
      <x:c r="U775" s="18" t="n">
        <x:v>615</x:v>
      </x:c>
      <x:c r="V775" s="20" t="n">
        <x:v>12</x:v>
      </x:c>
      <x:c r="W775" s="20" t="n">
        <x:v>5</x:v>
      </x:c>
      <x:c r="X775" s="20" t="n">
        <x:v>3</x:v>
      </x:c>
      <x:c r="Y775" t="str">
        <x:v>Basis arsip 2025/2024</x:v>
      </x:c>
      <x:c r="Z775" t="str">
        <x:v>https://snpmb.id/utbk-snbt/daya-tampung-snbt</x:v>
      </x:c>
      <x:c r="AA775" t="str">
        <x:v>Tidak Ada</x:v>
      </x:c>
      <x:c r="AB775" t="str">
        <x:v>Campus=80; Ratio=37.6; Prodi=40; RelDemand=27.1; Capacity=62.5</x:v>
      </x:c>
    </x:row>
    <x:row r="776">
      <x:c r="A776" t="n">
        <x:v>773</x:v>
      </x:c>
      <x:c r="B776" t="str">
        <x:v>PTN Akademik</x:v>
      </x:c>
      <x:c r="C776" t="str">
        <x:v>UNIVERSITAS LAMPUNG</x:v>
      </x:c>
      <x:c r="D776" t="str">
        <x:v>PETERNAKAN</x:v>
      </x:c>
      <x:c r="E776" t="str">
        <x:v>Sarjana</x:v>
      </x:c>
      <x:c r="F776" s="18" t="n">
        <x:v>65</x:v>
      </x:c>
      <x:c r="G776" s="18" t="n">
        <x:v>213</x:v>
      </x:c>
      <x:c r="H776" s="19" t="n">
        <x:v>3.276923076923077</x:v>
      </x:c>
      <x:c r="I776" s="18" t="n">
        <x:f>ROUND(MIN(Model_Config_v3!$B$6,MAX(Q776,R776,S776*Model_Config_v3!$B$4+T776*Model_Config_v3!$B$5)),0)</x:f>
        <x:v>635</x:v>
      </x:c>
      <x:c r="J776" s="18" t="n">
        <x:f>MIN(Model_Config_v3!$B$6,I776+Model_Config_v3!$B$7)</x:f>
        <x:v>655</x:v>
      </x:c>
      <x:c r="K776" s="20" t="n">
        <x:v>50.2</x:v>
      </x:c>
      <x:c r="L776" t="str">
        <x:v>MENENGAH</x:v>
      </x:c>
      <x:c r="M776" t="str">
        <x:v>SEDANG+</x:v>
      </x:c>
      <x:c r="N776" t="str">
        <x:v>ELITE-3</x:v>
      </x:c>
      <x:c r="O776" t="str">
        <x:v>SAINTEK</x:v>
      </x:c>
      <x:c r="P776" t="str">
        <x:v>UMUM</x:v>
      </x:c>
      <x:c r="Q776" s="18" t="n">
        <x:v>615</x:v>
      </x:c>
      <x:c r="R776" s="18" t="n">
        <x:v>0</x:v>
      </x:c>
      <x:c r="S776" s="18" t="n">
        <x:v>576.7012871475471</x:v>
      </x:c>
      <x:c r="T776" s="18" t="n">
        <x:v>660</x:v>
      </x:c>
      <x:c r="U776" s="18" t="n">
        <x:v>615</x:v>
      </x:c>
      <x:c r="V776" s="20" t="n">
        <x:v>12</x:v>
      </x:c>
      <x:c r="W776" s="20" t="n">
        <x:v>5</x:v>
      </x:c>
      <x:c r="X776" s="20" t="n">
        <x:v>3</x:v>
      </x:c>
      <x:c r="Y776" t="str">
        <x:v>Basis arsip 2025/2024</x:v>
      </x:c>
      <x:c r="Z776" t="str">
        <x:v>https://snpmb.id/utbk-snbt/daya-tampung-snbt</x:v>
      </x:c>
      <x:c r="AA776" t="str">
        <x:v>Tidak Ada</x:v>
      </x:c>
      <x:c r="AB776" t="str">
        <x:v>Campus=80; Ratio=30.3; Prodi=40; RelDemand=20.4; Capacity=45.8</x:v>
      </x:c>
    </x:row>
    <x:row r="777">
      <x:c r="A777" t="n">
        <x:v>774</x:v>
      </x:c>
      <x:c r="B777" t="str">
        <x:v>PTN Akademik</x:v>
      </x:c>
      <x:c r="C777" t="str">
        <x:v>UNIVERSITAS LAMPUNG</x:v>
      </x:c>
      <x:c r="D777" t="str">
        <x:v>KEHUTANAN</x:v>
      </x:c>
      <x:c r="E777" t="str">
        <x:v>Sarjana</x:v>
      </x:c>
      <x:c r="F777" s="18" t="n">
        <x:v>94</x:v>
      </x:c>
      <x:c r="G777" s="18" t="n">
        <x:v>291</x:v>
      </x:c>
      <x:c r="H777" s="19" t="n">
        <x:v>3.095744680851064</x:v>
      </x:c>
      <x:c r="I777" s="18" t="n">
        <x:f>ROUND(MIN(Model_Config_v3!$B$6,MAX(Q777,R777,S777*Model_Config_v3!$B$4+T777*Model_Config_v3!$B$5)),0)</x:f>
        <x:v>631</x:v>
      </x:c>
      <x:c r="J777" s="18" t="n">
        <x:f>MIN(Model_Config_v3!$B$6,I777+Model_Config_v3!$B$7)</x:f>
        <x:v>651</x:v>
      </x:c>
      <x:c r="K777" s="20" t="n">
        <x:v>47.3</x:v>
      </x:c>
      <x:c r="L777" t="str">
        <x:v>MENENGAH</x:v>
      </x:c>
      <x:c r="M777" t="str">
        <x:v>SEDANG+</x:v>
      </x:c>
      <x:c r="N777" t="str">
        <x:v>ELITE-3</x:v>
      </x:c>
      <x:c r="O777" t="str">
        <x:v>CAMPURAN</x:v>
      </x:c>
      <x:c r="P777" t="str">
        <x:v>UMUM</x:v>
      </x:c>
      <x:c r="Q777" s="18" t="n">
        <x:v>615</x:v>
      </x:c>
      <x:c r="R777" s="18" t="n">
        <x:v>0</x:v>
      </x:c>
      <x:c r="S777" s="18" t="n">
        <x:v>573.9841648924829</x:v>
      </x:c>
      <x:c r="T777" s="18" t="n">
        <x:v>655</x:v>
      </x:c>
      <x:c r="U777" s="18" t="n">
        <x:v>615</x:v>
      </x:c>
      <x:c r="V777" s="20" t="n">
        <x:v>8.8</x:v>
      </x:c>
      <x:c r="W777" s="20" t="n">
        <x:v>9.9</x:v>
      </x:c>
      <x:c r="X777" s="20" t="n">
        <x:v>3.3</x:v>
      </x:c>
      <x:c r="Y777" t="str">
        <x:v>Basis arsip 2025/2024</x:v>
      </x:c>
      <x:c r="Z777" t="str">
        <x:v>https://snpmb.id/utbk-snbt/daya-tampung-snbt</x:v>
      </x:c>
      <x:c r="AA777" t="str">
        <x:v>Tidak Ada</x:v>
      </x:c>
      <x:c r="AB777" t="str">
        <x:v>Campus=80; Ratio=28.9; Prodi=40; RelDemand=19.2; Capacity=21.7</x:v>
      </x:c>
    </x:row>
    <x:row r="778">
      <x:c r="A778" t="n">
        <x:v>775</x:v>
      </x:c>
      <x:c r="B778" t="str">
        <x:v>PTN Akademik</x:v>
      </x:c>
      <x:c r="C778" t="str">
        <x:v>UNIVERSITAS LAMPUNG</x:v>
      </x:c>
      <x:c r="D778" t="str">
        <x:v>TEKNIK PERTANIAN</x:v>
      </x:c>
      <x:c r="E778" t="str">
        <x:v>Sarjana</x:v>
      </x:c>
      <x:c r="F778" s="18" t="n">
        <x:v>60</x:v>
      </x:c>
      <x:c r="G778" s="18" t="n">
        <x:v>218</x:v>
      </x:c>
      <x:c r="H778" s="19" t="n">
        <x:v>3.6333333333333333</x:v>
      </x:c>
      <x:c r="I778" s="18" t="n">
        <x:f>ROUND(MIN(Model_Config_v3!$B$6,MAX(Q778,R778,S778*Model_Config_v3!$B$4+T778*Model_Config_v3!$B$5)),0)</x:f>
        <x:v>644</x:v>
      </x:c>
      <x:c r="J778" s="18" t="n">
        <x:f>MIN(Model_Config_v3!$B$6,I778+Model_Config_v3!$B$7)</x:f>
        <x:v>664</x:v>
      </x:c>
      <x:c r="K778" s="20" t="n">
        <x:v>55.5</x:v>
      </x:c>
      <x:c r="L778" t="str">
        <x:v>KETAT</x:v>
      </x:c>
      <x:c r="M778" t="str">
        <x:v>SEDANG+</x:v>
      </x:c>
      <x:c r="N778" t="str">
        <x:v>ELITE-3</x:v>
      </x:c>
      <x:c r="O778" t="str">
        <x:v>SAINTEK</x:v>
      </x:c>
      <x:c r="P778" t="str">
        <x:v>TEKNIK/ARSITEKTUR/STATISTIKA/AKTUARIA</x:v>
      </x:c>
      <x:c r="Q778" s="18" t="n">
        <x:v>615</x:v>
      </x:c>
      <x:c r="R778" s="18" t="n">
        <x:v>0</x:v>
      </x:c>
      <x:c r="S778" s="18" t="n">
        <x:v>581.6335767543058</x:v>
      </x:c>
      <x:c r="T778" s="18" t="n">
        <x:v>671</x:v>
      </x:c>
      <x:c r="U778" s="18" t="n">
        <x:v>615</x:v>
      </x:c>
      <x:c r="V778" s="20" t="n">
        <x:v>12</x:v>
      </x:c>
      <x:c r="W778" s="20" t="n">
        <x:v>5</x:v>
      </x:c>
      <x:c r="X778" s="20" t="n">
        <x:v>3</x:v>
      </x:c>
      <x:c r="Y778" t="str">
        <x:v>Basis arsip 2025/2024</x:v>
      </x:c>
      <x:c r="Z778" t="str">
        <x:v>https://snpmb.id/utbk-snbt/daya-tampung-snbt</x:v>
      </x:c>
      <x:c r="AA778" t="str">
        <x:v>Tidak Ada</x:v>
      </x:c>
      <x:c r="AB778" t="str">
        <x:v>Campus=80; Ratio=33.0; Prodi=60; RelDemand=22.6; Capacity=50.0</x:v>
      </x:c>
    </x:row>
    <x:row r="779">
      <x:c r="A779" t="n">
        <x:v>776</x:v>
      </x:c>
      <x:c r="B779" t="str">
        <x:v>PTN Akademik</x:v>
      </x:c>
      <x:c r="C779" t="str">
        <x:v>UNIVERSITAS LAMPUNG</x:v>
      </x:c>
      <x:c r="D779" t="str">
        <x:v>MATEMATIKA</x:v>
      </x:c>
      <x:c r="E779" t="str">
        <x:v>Sarjana</x:v>
      </x:c>
      <x:c r="F779" s="18" t="n">
        <x:v>89</x:v>
      </x:c>
      <x:c r="G779" s="18" t="n">
        <x:v>112</x:v>
      </x:c>
      <x:c r="H779" s="19" t="n">
        <x:v>1.2584269662921348</x:v>
      </x:c>
      <x:c r="I779" s="18" t="n">
        <x:f>ROUND(MIN(Model_Config_v3!$B$6,MAX(Q779,R779,S779*Model_Config_v3!$B$4+T779*Model_Config_v3!$B$5)),0)</x:f>
        <x:v>615</x:v>
      </x:c>
      <x:c r="J779" s="18" t="n">
        <x:f>MIN(Model_Config_v3!$B$6,I779+Model_Config_v3!$B$7)</x:f>
        <x:v>635</x:v>
      </x:c>
      <x:c r="K779" s="20" t="n">
        <x:v>42.8</x:v>
      </x:c>
      <x:c r="L779" t="str">
        <x:v>RELATIF LONGGAR</x:v>
      </x:c>
      <x:c r="M779" t="str">
        <x:v>SEDANG+</x:v>
      </x:c>
      <x:c r="N779" t="str">
        <x:v>ELITE-3</x:v>
      </x:c>
      <x:c r="O779" t="str">
        <x:v>SAINTEK</x:v>
      </x:c>
      <x:c r="P779" t="str">
        <x:v>SAINS DASAR</x:v>
      </x:c>
      <x:c r="Q779" s="18" t="n">
        <x:v>615</x:v>
      </x:c>
      <x:c r="R779" s="18" t="n">
        <x:v>0</x:v>
      </x:c>
      <x:c r="S779" s="18" t="n">
        <x:v>530.9810817627796</x:v>
      </x:c>
      <x:c r="T779" s="18" t="n">
        <x:v>646</x:v>
      </x:c>
      <x:c r="U779" s="18" t="n">
        <x:v>615</x:v>
      </x:c>
      <x:c r="V779" s="20" t="n">
        <x:v>12</x:v>
      </x:c>
      <x:c r="W779" s="20" t="n">
        <x:v>5</x:v>
      </x:c>
      <x:c r="X779" s="20" t="n">
        <x:v>3</x:v>
      </x:c>
      <x:c r="Y779" t="str">
        <x:v>Basis arsip 2025/2024</x:v>
      </x:c>
      <x:c r="Z779" t="str">
        <x:v>https://snpmb.id/utbk-snbt/daya-tampung-snbt</x:v>
      </x:c>
      <x:c r="AA779" t="str">
        <x:v>Tidak Ada</x:v>
      </x:c>
      <x:c r="AB779" t="str">
        <x:v>Campus=80; Ratio=5.9; Prodi=50; RelDemand=7.8; Capacity=25.8</x:v>
      </x:c>
    </x:row>
    <x:row r="780">
      <x:c r="A780" t="n">
        <x:v>777</x:v>
      </x:c>
      <x:c r="B780" t="str">
        <x:v>PTN Akademik</x:v>
      </x:c>
      <x:c r="C780" t="str">
        <x:v>UNIVERSITAS LAMPUNG</x:v>
      </x:c>
      <x:c r="D780" t="str">
        <x:v>FISIKA</x:v>
      </x:c>
      <x:c r="E780" t="str">
        <x:v>Sarjana</x:v>
      </x:c>
      <x:c r="F780" s="18" t="n">
        <x:v>52</x:v>
      </x:c>
      <x:c r="G780" s="18" t="n">
        <x:v>27</x:v>
      </x:c>
      <x:c r="H780" s="19" t="n">
        <x:v>0.5192307692307693</x:v>
      </x:c>
      <x:c r="I780" s="18" t="n">
        <x:f>ROUND(MIN(Model_Config_v3!$B$6,MAX(Q780,R780,S780*Model_Config_v3!$B$4+T780*Model_Config_v3!$B$5)),0)</x:f>
        <x:v>615</x:v>
      </x:c>
      <x:c r="J780" s="18" t="n">
        <x:f>MIN(Model_Config_v3!$B$6,I780+Model_Config_v3!$B$7)</x:f>
        <x:v>635</x:v>
      </x:c>
      <x:c r="K780" s="20" t="n">
        <x:v>44</x:v>
      </x:c>
      <x:c r="L780" t="str">
        <x:v>RELATIF LONGGAR</x:v>
      </x:c>
      <x:c r="M780" t="str">
        <x:v>SEDANG+</x:v>
      </x:c>
      <x:c r="N780" t="str">
        <x:v>ELITE-3</x:v>
      </x:c>
      <x:c r="O780" t="str">
        <x:v>SAINTEK</x:v>
      </x:c>
      <x:c r="P780" t="str">
        <x:v>SAINS DASAR</x:v>
      </x:c>
      <x:c r="Q780" s="18" t="n">
        <x:v>615</x:v>
      </x:c>
      <x:c r="R780" s="18" t="n">
        <x:v>0</x:v>
      </x:c>
      <x:c r="S780" s="18" t="n">
        <x:v>520</x:v>
      </x:c>
      <x:c r="T780" s="18" t="n">
        <x:v>648</x:v>
      </x:c>
      <x:c r="U780" s="18" t="n">
        <x:v>615</x:v>
      </x:c>
      <x:c r="V780" s="20" t="n">
        <x:v>12</x:v>
      </x:c>
      <x:c r="W780" s="20" t="n">
        <x:v>5</x:v>
      </x:c>
      <x:c r="X780" s="20" t="n">
        <x:v>3</x:v>
      </x:c>
      <x:c r="Y780" t="str">
        <x:v>Basis arsip 2025/2024</x:v>
      </x:c>
      <x:c r="Z780" t="str">
        <x:v>https://snpmb.id/utbk-snbt/daya-tampung-snbt</x:v>
      </x:c>
      <x:c r="AA780" t="str">
        <x:v>Tidak Ada</x:v>
      </x:c>
      <x:c r="AB780" t="str">
        <x:v>Campus=80; Ratio=0.0; Prodi=50; RelDemand=3.2; Capacity=56.7</x:v>
      </x:c>
    </x:row>
    <x:row r="781">
      <x:c r="A781" t="n">
        <x:v>778</x:v>
      </x:c>
      <x:c r="B781" t="str">
        <x:v>PTN Akademik</x:v>
      </x:c>
      <x:c r="C781" t="str">
        <x:v>UNIVERSITAS LAMPUNG</x:v>
      </x:c>
      <x:c r="D781" t="str">
        <x:v>TEKNIK MESIN</x:v>
      </x:c>
      <x:c r="E781" t="str">
        <x:v>Sarjana</x:v>
      </x:c>
      <x:c r="F781" s="18" t="n">
        <x:v>84</x:v>
      </x:c>
      <x:c r="G781" s="18" t="n">
        <x:v>241</x:v>
      </x:c>
      <x:c r="H781" s="19" t="n">
        <x:v>2.869047619047619</x:v>
      </x:c>
      <x:c r="I781" s="18" t="n">
        <x:f>ROUND(MIN(Model_Config_v3!$B$6,MAX(Q781,R781,S781*Model_Config_v3!$B$4+T781*Model_Config_v3!$B$5)),0)</x:f>
        <x:v>635</x:v>
      </x:c>
      <x:c r="J781" s="18" t="n">
        <x:f>MIN(Model_Config_v3!$B$6,I781+Model_Config_v3!$B$7)</x:f>
        <x:v>655</x:v>
      </x:c>
      <x:c r="K781" s="20" t="n">
        <x:v>51.5</x:v>
      </x:c>
      <x:c r="L781" t="str">
        <x:v>MENENGAH</x:v>
      </x:c>
      <x:c r="M781" t="str">
        <x:v>SEDANG+</x:v>
      </x:c>
      <x:c r="N781" t="str">
        <x:v>ELITE-3</x:v>
      </x:c>
      <x:c r="O781" t="str">
        <x:v>SAINTEK</x:v>
      </x:c>
      <x:c r="P781" t="str">
        <x:v>TEKNIK/ARSITEKTUR/STATISTIKA/AKTUARIA</x:v>
      </x:c>
      <x:c r="Q781" s="18" t="n">
        <x:v>615</x:v>
      </x:c>
      <x:c r="R781" s="18" t="n">
        <x:v>0</x:v>
      </x:c>
      <x:c r="S781" s="18" t="n">
        <x:v>570.3511532164285</x:v>
      </x:c>
      <x:c r="T781" s="18" t="n">
        <x:v>663</x:v>
      </x:c>
      <x:c r="U781" s="18" t="n">
        <x:v>615</x:v>
      </x:c>
      <x:c r="V781" s="20" t="n">
        <x:v>12</x:v>
      </x:c>
      <x:c r="W781" s="20" t="n">
        <x:v>5</x:v>
      </x:c>
      <x:c r="X781" s="20" t="n">
        <x:v>3</x:v>
      </x:c>
      <x:c r="Y781" t="str">
        <x:v>Basis arsip 2025/2024</x:v>
      </x:c>
      <x:c r="Z781" t="str">
        <x:v>https://snpmb.id/utbk-snbt/daya-tampung-snbt</x:v>
      </x:c>
      <x:c r="AA781" t="str">
        <x:v>Tidak Ada</x:v>
      </x:c>
      <x:c r="AB781" t="str">
        <x:v>Campus=80; Ratio=26.9; Prodi=60; RelDemand=17.8; Capacity=30.0</x:v>
      </x:c>
    </x:row>
    <x:row r="782">
      <x:c r="A782" t="n">
        <x:v>779</x:v>
      </x:c>
      <x:c r="B782" t="str">
        <x:v>PTN Akademik</x:v>
      </x:c>
      <x:c r="C782" t="str">
        <x:v>UNIVERSITAS LAMPUNG</x:v>
      </x:c>
      <x:c r="D782" t="str">
        <x:v>TEKNIK ELEKTRO</x:v>
      </x:c>
      <x:c r="E782" t="str">
        <x:v>Sarjana</x:v>
      </x:c>
      <x:c r="F782" s="18" t="n">
        <x:v>108</x:v>
      </x:c>
      <x:c r="G782" s="18" t="n">
        <x:v>337</x:v>
      </x:c>
      <x:c r="H782" s="19" t="n">
        <x:v>3.1203703703703702</x:v>
      </x:c>
      <x:c r="I782" s="18" t="n">
        <x:f>ROUND(MIN(Model_Config_v3!$B$6,MAX(Q782,R782,S782*Model_Config_v3!$B$4+T782*Model_Config_v3!$B$5)),0)</x:f>
        <x:v>634</x:v>
      </x:c>
      <x:c r="J782" s="18" t="n">
        <x:f>MIN(Model_Config_v3!$B$6,I782+Model_Config_v3!$B$7)</x:f>
        <x:v>654</x:v>
      </x:c>
      <x:c r="K782" s="20" t="n">
        <x:v>50.2</x:v>
      </x:c>
      <x:c r="L782" t="str">
        <x:v>MENENGAH</x:v>
      </x:c>
      <x:c r="M782" t="str">
        <x:v>SEDANG+</x:v>
      </x:c>
      <x:c r="N782" t="str">
        <x:v>ELITE-3</x:v>
      </x:c>
      <x:c r="O782" t="str">
        <x:v>SAINTEK</x:v>
      </x:c>
      <x:c r="P782" t="str">
        <x:v>TEKNIK/ARSITEKTUR/STATISTIKA/AKTUARIA</x:v>
      </x:c>
      <x:c r="Q782" s="18" t="n">
        <x:v>615</x:v>
      </x:c>
      <x:c r="R782" s="18" t="n">
        <x:v>0</x:v>
      </x:c>
      <x:c r="S782" s="18" t="n">
        <x:v>574.3626759922828</x:v>
      </x:c>
      <x:c r="T782" s="18" t="n">
        <x:v>660</x:v>
      </x:c>
      <x:c r="U782" s="18" t="n">
        <x:v>615</x:v>
      </x:c>
      <x:c r="V782" s="20" t="n">
        <x:v>12</x:v>
      </x:c>
      <x:c r="W782" s="20" t="n">
        <x:v>5</x:v>
      </x:c>
      <x:c r="X782" s="20" t="n">
        <x:v>3</x:v>
      </x:c>
      <x:c r="Y782" t="str">
        <x:v>Basis arsip 2025/2024</x:v>
      </x:c>
      <x:c r="Z782" t="str">
        <x:v>https://snpmb.id/utbk-snbt/daya-tampung-snbt</x:v>
      </x:c>
      <x:c r="AA782" t="str">
        <x:v>Tidak Ada</x:v>
      </x:c>
      <x:c r="AB782" t="str">
        <x:v>Campus=80; Ratio=29.1; Prodi=60; RelDemand=19.4; Capacity=10.0</x:v>
      </x:c>
    </x:row>
    <x:row r="783">
      <x:c r="A783" t="n">
        <x:v>780</x:v>
      </x:c>
      <x:c r="B783" t="str">
        <x:v>PTN Akademik</x:v>
      </x:c>
      <x:c r="C783" t="str">
        <x:v>UNIVERSITAS LAMPUNG</x:v>
      </x:c>
      <x:c r="D783" t="str">
        <x:v>PEND. MATEMATIKA</x:v>
      </x:c>
      <x:c r="E783" t="str">
        <x:v>Sarjana</x:v>
      </x:c>
      <x:c r="F783" s="18" t="n">
        <x:v>65</x:v>
      </x:c>
      <x:c r="G783" s="18" t="n">
        <x:v>280</x:v>
      </x:c>
      <x:c r="H783" s="19" t="n">
        <x:v>4.3076923076923075</x:v>
      </x:c>
      <x:c r="I783" s="18" t="n">
        <x:f>ROUND(MIN(Model_Config_v3!$B$6,MAX(Q783,R783,S783*Model_Config_v3!$B$4+T783*Model_Config_v3!$B$5)),0)</x:f>
        <x:v>644</x:v>
      </x:c>
      <x:c r="J783" s="18" t="n">
        <x:f>MIN(Model_Config_v3!$B$6,I783+Model_Config_v3!$B$7)</x:f>
        <x:v>664</x:v>
      </x:c>
      <x:c r="K783" s="20" t="n">
        <x:v>53.6</x:v>
      </x:c>
      <x:c r="L783" t="str">
        <x:v>MENENGAH</x:v>
      </x:c>
      <x:c r="M783" t="str">
        <x:v>SEDANG+</x:v>
      </x:c>
      <x:c r="N783" t="str">
        <x:v>ELITE-3</x:v>
      </x:c>
      <x:c r="O783" t="str">
        <x:v>SAINTEK</x:v>
      </x:c>
      <x:c r="P783" t="str">
        <x:v>PENDIDIKAN</x:v>
      </x:c>
      <x:c r="Q783" s="18" t="n">
        <x:v>615</x:v>
      </x:c>
      <x:c r="R783" s="18" t="n">
        <x:v>0</x:v>
      </x:c>
      <x:c r="S783" s="18" t="n">
        <x:v>589.76691421693</x:v>
      </x:c>
      <x:c r="T783" s="18" t="n">
        <x:v>667</x:v>
      </x:c>
      <x:c r="U783" s="18" t="n">
        <x:v>615</x:v>
      </x:c>
      <x:c r="V783" s="20" t="n">
        <x:v>12</x:v>
      </x:c>
      <x:c r="W783" s="20" t="n">
        <x:v>5</x:v>
      </x:c>
      <x:c r="X783" s="20" t="n">
        <x:v>3</x:v>
      </x:c>
      <x:c r="Y783" t="str">
        <x:v>Basis arsip 2025/2024</x:v>
      </x:c>
      <x:c r="Z783" t="str">
        <x:v>https://snpmb.id/utbk-snbt/daya-tampung-snbt</x:v>
      </x:c>
      <x:c r="AA783" t="str">
        <x:v>Tidak Ada</x:v>
      </x:c>
      <x:c r="AB783" t="str">
        <x:v>Campus=80; Ratio=37.3; Prodi=45; RelDemand=26.8; Capacity=45.8</x:v>
      </x:c>
    </x:row>
    <x:row r="784">
      <x:c r="A784" t="n">
        <x:v>781</x:v>
      </x:c>
      <x:c r="B784" t="str">
        <x:v>PTN Akademik</x:v>
      </x:c>
      <x:c r="C784" t="str">
        <x:v>UNIVERSITAS LAMPUNG</x:v>
      </x:c>
      <x:c r="D784" t="str">
        <x:v>PEND. FISIKA</x:v>
      </x:c>
      <x:c r="E784" t="str">
        <x:v>Sarjana</x:v>
      </x:c>
      <x:c r="F784" s="18" t="n">
        <x:v>65</x:v>
      </x:c>
      <x:c r="G784" s="18" t="n">
        <x:v>126</x:v>
      </x:c>
      <x:c r="H784" s="19" t="n">
        <x:v>1.9384615384615385</x:v>
      </x:c>
      <x:c r="I784" s="18" t="n">
        <x:f>ROUND(MIN(Model_Config_v3!$B$6,MAX(Q784,R784,S784*Model_Config_v3!$B$4+T784*Model_Config_v3!$B$5)),0)</x:f>
        <x:v>623</x:v>
      </x:c>
      <x:c r="J784" s="18" t="n">
        <x:f>MIN(Model_Config_v3!$B$6,I784+Model_Config_v3!$B$7)</x:f>
        <x:v>643</x:v>
      </x:c>
      <x:c r="K784" s="20" t="n">
        <x:v>47</x:v>
      </x:c>
      <x:c r="L784" t="str">
        <x:v>MENENGAH</x:v>
      </x:c>
      <x:c r="M784" t="str">
        <x:v>SEDANG+</x:v>
      </x:c>
      <x:c r="N784" t="str">
        <x:v>ELITE-3</x:v>
      </x:c>
      <x:c r="O784" t="str">
        <x:v>SAINTEK</x:v>
      </x:c>
      <x:c r="P784" t="str">
        <x:v>PENDIDIKAN</x:v>
      </x:c>
      <x:c r="Q784" s="18" t="n">
        <x:v>615</x:v>
      </x:c>
      <x:c r="R784" s="18" t="n">
        <x:v>0</x:v>
      </x:c>
      <x:c r="S784" s="18" t="n">
        <x:v>551.6202907322178</x:v>
      </x:c>
      <x:c r="T784" s="18" t="n">
        <x:v>654</x:v>
      </x:c>
      <x:c r="U784" s="18" t="n">
        <x:v>615</x:v>
      </x:c>
      <x:c r="V784" s="20" t="n">
        <x:v>12</x:v>
      </x:c>
      <x:c r="W784" s="20" t="n">
        <x:v>5</x:v>
      </x:c>
      <x:c r="X784" s="20" t="n">
        <x:v>3</x:v>
      </x:c>
      <x:c r="Y784" t="str">
        <x:v>Basis arsip 2025/2024</x:v>
      </x:c>
      <x:c r="Z784" t="str">
        <x:v>https://snpmb.id/utbk-snbt/daya-tampung-snbt</x:v>
      </x:c>
      <x:c r="AA784" t="str">
        <x:v>Tidak Ada</x:v>
      </x:c>
      <x:c r="AB784" t="str">
        <x:v>Campus=80; Ratio=16.9; Prodi=45; RelDemand=12.1; Capacity=45.8</x:v>
      </x:c>
    </x:row>
    <x:row r="785">
      <x:c r="A785" t="n">
        <x:v>782</x:v>
      </x:c>
      <x:c r="B785" t="str">
        <x:v>PTN Akademik</x:v>
      </x:c>
      <x:c r="C785" t="str">
        <x:v>UNIVERSITAS LAMPUNG</x:v>
      </x:c>
      <x:c r="D785" t="str">
        <x:v>PEND. KIMIA</x:v>
      </x:c>
      <x:c r="E785" t="str">
        <x:v>Sarjana</x:v>
      </x:c>
      <x:c r="F785" s="18" t="n">
        <x:v>50</x:v>
      </x:c>
      <x:c r="G785" s="18" t="n">
        <x:v>114</x:v>
      </x:c>
      <x:c r="H785" s="19" t="n">
        <x:v>2.28</x:v>
      </x:c>
      <x:c r="I785" s="18" t="n">
        <x:f>ROUND(MIN(Model_Config_v3!$B$6,MAX(Q785,R785,S785*Model_Config_v3!$B$4+T785*Model_Config_v3!$B$5)),0)</x:f>
        <x:v>629</x:v>
      </x:c>
      <x:c r="J785" s="18" t="n">
        <x:f>MIN(Model_Config_v3!$B$6,I785+Model_Config_v3!$B$7)</x:f>
        <x:v>649</x:v>
      </x:c>
      <x:c r="K785" s="20" t="n">
        <x:v>49.5</x:v>
      </x:c>
      <x:c r="L785" t="str">
        <x:v>MENENGAH</x:v>
      </x:c>
      <x:c r="M785" t="str">
        <x:v>SEDANG+</x:v>
      </x:c>
      <x:c r="N785" t="str">
        <x:v>ELITE-3</x:v>
      </x:c>
      <x:c r="O785" t="str">
        <x:v>SAINTEK</x:v>
      </x:c>
      <x:c r="P785" t="str">
        <x:v>PENDIDIKAN</x:v>
      </x:c>
      <x:c r="Q785" s="18" t="n">
        <x:v>615</x:v>
      </x:c>
      <x:c r="R785" s="18" t="n">
        <x:v>0</x:v>
      </x:c>
      <x:c r="S785" s="18" t="n">
        <x:v>559.37283317005</x:v>
      </x:c>
      <x:c r="T785" s="18" t="n">
        <x:v>659</x:v>
      </x:c>
      <x:c r="U785" s="18" t="n">
        <x:v>615</x:v>
      </x:c>
      <x:c r="V785" s="20" t="n">
        <x:v>12</x:v>
      </x:c>
      <x:c r="W785" s="20" t="n">
        <x:v>5</x:v>
      </x:c>
      <x:c r="X785" s="20" t="n">
        <x:v>3</x:v>
      </x:c>
      <x:c r="Y785" t="str">
        <x:v>Basis arsip 2025/2024</x:v>
      </x:c>
      <x:c r="Z785" t="str">
        <x:v>https://snpmb.id/utbk-snbt/daya-tampung-snbt</x:v>
      </x:c>
      <x:c r="AA785" t="str">
        <x:v>Tidak Ada</x:v>
      </x:c>
      <x:c r="AB785" t="str">
        <x:v>Campus=80; Ratio=21.1; Prodi=45; RelDemand=14.2; Capacity=58.3</x:v>
      </x:c>
    </x:row>
    <x:row r="786">
      <x:c r="A786" t="n">
        <x:v>783</x:v>
      </x:c>
      <x:c r="B786" t="str">
        <x:v>PTN Akademik</x:v>
      </x:c>
      <x:c r="C786" t="str">
        <x:v>UNIVERSITAS LAMPUNG</x:v>
      </x:c>
      <x:c r="D786" t="str">
        <x:v>PEND. BIOLOGI</x:v>
      </x:c>
      <x:c r="E786" t="str">
        <x:v>Sarjana</x:v>
      </x:c>
      <x:c r="F786" s="18" t="n">
        <x:v>60</x:v>
      </x:c>
      <x:c r="G786" s="18" t="n">
        <x:v>360</x:v>
      </x:c>
      <x:c r="H786" s="19" t="n">
        <x:v>6</x:v>
      </x:c>
      <x:c r="I786" s="18" t="n">
        <x:f>ROUND(MIN(Model_Config_v3!$B$6,MAX(Q786,R786,S786*Model_Config_v3!$B$4+T786*Model_Config_v3!$B$5)),0)</x:f>
        <x:v>653</x:v>
      </x:c>
      <x:c r="J786" s="18" t="n">
        <x:f>MIN(Model_Config_v3!$B$6,I786+Model_Config_v3!$B$7)</x:f>
        <x:v>673</x:v>
      </x:c>
      <x:c r="K786" s="20" t="n">
        <x:v>57.2</x:v>
      </x:c>
      <x:c r="L786" t="str">
        <x:v>KETAT</x:v>
      </x:c>
      <x:c r="M786" t="str">
        <x:v>SEDANG+</x:v>
      </x:c>
      <x:c r="N786" t="str">
        <x:v>ELITE-3</x:v>
      </x:c>
      <x:c r="O786" t="str">
        <x:v>SAINTEK</x:v>
      </x:c>
      <x:c r="P786" t="str">
        <x:v>PENDIDIKAN</x:v>
      </x:c>
      <x:c r="Q786" s="18" t="n">
        <x:v>615</x:v>
      </x:c>
      <x:c r="R786" s="18" t="n">
        <x:v>0</x:v>
      </x:c>
      <x:c r="S786" s="18" t="n">
        <x:v>605.5966375422008</x:v>
      </x:c>
      <x:c r="T786" s="18" t="n">
        <x:v>674</x:v>
      </x:c>
      <x:c r="U786" s="18" t="n">
        <x:v>615</x:v>
      </x:c>
      <x:c r="V786" s="20" t="n">
        <x:v>12</x:v>
      </x:c>
      <x:c r="W786" s="20" t="n">
        <x:v>5</x:v>
      </x:c>
      <x:c r="X786" s="20" t="n">
        <x:v>3</x:v>
      </x:c>
      <x:c r="Y786" t="str">
        <x:v>Basis arsip 2025/2024</x:v>
      </x:c>
      <x:c r="Z786" t="str">
        <x:v>https://snpmb.id/utbk-snbt/daya-tampung-snbt</x:v>
      </x:c>
      <x:c r="AA786" t="str">
        <x:v>Tidak Ada</x:v>
      </x:c>
      <x:c r="AB786" t="str">
        <x:v>Campus=80; Ratio=45.8; Prodi=45; RelDemand=37.3; Capacity=50.0</x:v>
      </x:c>
    </x:row>
    <x:row r="787">
      <x:c r="A787" t="n">
        <x:v>784</x:v>
      </x:c>
      <x:c r="B787" t="str">
        <x:v>PTN Akademik</x:v>
      </x:c>
      <x:c r="C787" t="str">
        <x:v>UNIVERSITAS LAMPUNG</x:v>
      </x:c>
      <x:c r="D787" t="str">
        <x:v>TEKNIK KIMIA</x:v>
      </x:c>
      <x:c r="E787" t="str">
        <x:v>Sarjana</x:v>
      </x:c>
      <x:c r="F787" s="18" t="n">
        <x:v>78</x:v>
      </x:c>
      <x:c r="G787" s="18" t="n">
        <x:v>136</x:v>
      </x:c>
      <x:c r="H787" s="19" t="n">
        <x:v>1.7435897435897436</x:v>
      </x:c>
      <x:c r="I787" s="18" t="n">
        <x:f>ROUND(MIN(Model_Config_v3!$B$6,MAX(Q787,R787,S787*Model_Config_v3!$B$4+T787*Model_Config_v3!$B$5)),0)</x:f>
        <x:v>623</x:v>
      </x:c>
      <x:c r="J787" s="18" t="n">
        <x:f>MIN(Model_Config_v3!$B$6,I787+Model_Config_v3!$B$7)</x:f>
        <x:v>643</x:v>
      </x:c>
      <x:c r="K787" s="20" t="n">
        <x:v>48.1</x:v>
      </x:c>
      <x:c r="L787" t="str">
        <x:v>MENENGAH</x:v>
      </x:c>
      <x:c r="M787" t="str">
        <x:v>SEDANG+</x:v>
      </x:c>
      <x:c r="N787" t="str">
        <x:v>ELITE-3</x:v>
      </x:c>
      <x:c r="O787" t="str">
        <x:v>SAINTEK</x:v>
      </x:c>
      <x:c r="P787" t="str">
        <x:v>TEKNIK/ARSITEKTUR/STATISTIKA/AKTUARIA</x:v>
      </x:c>
      <x:c r="Q787" s="18" t="n">
        <x:v>615</x:v>
      </x:c>
      <x:c r="R787" s="18" t="n">
        <x:v>0</x:v>
      </x:c>
      <x:c r="S787" s="18" t="n">
        <x:v>546.5588736247711</x:v>
      </x:c>
      <x:c r="T787" s="18" t="n">
        <x:v>656</x:v>
      </x:c>
      <x:c r="U787" s="18" t="n">
        <x:v>615</x:v>
      </x:c>
      <x:c r="V787" s="20" t="n">
        <x:v>12</x:v>
      </x:c>
      <x:c r="W787" s="20" t="n">
        <x:v>5</x:v>
      </x:c>
      <x:c r="X787" s="20" t="n">
        <x:v>3</x:v>
      </x:c>
      <x:c r="Y787" t="str">
        <x:v>Basis arsip 2025/2024</x:v>
      </x:c>
      <x:c r="Z787" t="str">
        <x:v>https://snpmb.id/utbk-snbt/daya-tampung-snbt</x:v>
      </x:c>
      <x:c r="AA787" t="str">
        <x:v>Tidak Ada</x:v>
      </x:c>
      <x:c r="AB787" t="str">
        <x:v>Campus=80; Ratio=14.2; Prodi=60; RelDemand=10.8; Capacity=35.0</x:v>
      </x:c>
    </x:row>
    <x:row r="788">
      <x:c r="A788" t="n">
        <x:v>785</x:v>
      </x:c>
      <x:c r="B788" t="str">
        <x:v>PTN Akademik</x:v>
      </x:c>
      <x:c r="C788" t="str">
        <x:v>UNIVERSITAS LAMPUNG</x:v>
      </x:c>
      <x:c r="D788" t="str">
        <x:v>PEND. KEDOKTERAN</x:v>
      </x:c>
      <x:c r="E788" t="str">
        <x:v>Sarjana</x:v>
      </x:c>
      <x:c r="F788" s="18" t="n">
        <x:v>100</x:v>
      </x:c>
      <x:c r="G788" s="18" t="n">
        <x:v>2155</x:v>
      </x:c>
      <x:c r="H788" s="19" t="n">
        <x:v>21.55</x:v>
      </x:c>
      <x:c r="I788" s="18" t="n">
        <x:f>ROUND(MIN(Model_Config_v3!$B$6,MAX(Q788,R788,S788*Model_Config_v3!$B$4+T788*Model_Config_v3!$B$5)),0)</x:f>
        <x:v>703</x:v>
      </x:c>
      <x:c r="J788" s="18" t="n">
        <x:f>MIN(Model_Config_v3!$B$6,I788+Model_Config_v3!$B$7)</x:f>
        <x:v>723</x:v>
      </x:c>
      <x:c r="K788" s="20" t="n">
        <x:v>79.3</x:v>
      </x:c>
      <x:c r="L788" t="str">
        <x:v>ELITE</x:v>
      </x:c>
      <x:c r="M788" t="str">
        <x:v>SEDANG+</x:v>
      </x:c>
      <x:c r="N788" t="str">
        <x:v>ELITE-3</x:v>
      </x:c>
      <x:c r="O788" t="str">
        <x:v>SAINTEK</x:v>
      </x:c>
      <x:c r="P788" t="str">
        <x:v>KEDOKTERAN</x:v>
      </x:c>
      <x:c r="Q788" s="18" t="n">
        <x:v>615</x:v>
      </x:c>
      <x:c r="R788" s="18" t="n">
        <x:v>700</x:v>
      </x:c>
      <x:c r="S788" s="18" t="n">
        <x:v>666.6792001946426</x:v>
      </x:c>
      <x:c r="T788" s="18" t="n">
        <x:v>719</x:v>
      </x:c>
      <x:c r="U788" s="18" t="n">
        <x:v>706.6792001946426</x:v>
      </x:c>
      <x:c r="V788" s="20" t="n">
        <x:v>12</x:v>
      </x:c>
      <x:c r="W788" s="20" t="n">
        <x:v>5</x:v>
      </x:c>
      <x:c r="X788" s="20" t="n">
        <x:v>3</x:v>
      </x:c>
      <x:c r="Y788" t="str">
        <x:v>Basis arsip 2025/2024</x:v>
      </x:c>
      <x:c r="Z788" t="str">
        <x:v>https://snpmb.id/utbk-snbt/daya-tampung-snbt</x:v>
      </x:c>
      <x:c r="AA788" t="str">
        <x:v>Tidak Ada</x:v>
      </x:c>
      <x:c r="AB788" t="str">
        <x:v>Campus=80; Ratio=78.5; Prodi=100; RelDemand=100.0; Capacity=16.7</x:v>
      </x:c>
    </x:row>
    <x:row r="789">
      <x:c r="A789" t="n">
        <x:v>786</x:v>
      </x:c>
      <x:c r="B789" t="str">
        <x:v>PTN Akademik</x:v>
      </x:c>
      <x:c r="C789" t="str">
        <x:v>UNIVERSITAS LAMPUNG</x:v>
      </x:c>
      <x:c r="D789" t="str">
        <x:v>BUDIDAYA PERAIRAN</x:v>
      </x:c>
      <x:c r="E789" t="str">
        <x:v>Sarjana</x:v>
      </x:c>
      <x:c r="F789" s="18" t="n">
        <x:v>45</x:v>
      </x:c>
      <x:c r="G789" s="18" t="n">
        <x:v>51</x:v>
      </x:c>
      <x:c r="H789" s="19" t="n">
        <x:v>1.1333333333333333</x:v>
      </x:c>
      <x:c r="I789" s="18" t="n">
        <x:f>ROUND(MIN(Model_Config_v3!$B$6,MAX(Q789,R789,S789*Model_Config_v3!$B$4+T789*Model_Config_v3!$B$5)),0)</x:f>
        <x:v>615</x:v>
      </x:c>
      <x:c r="J789" s="18" t="n">
        <x:f>MIN(Model_Config_v3!$B$6,I789+Model_Config_v3!$B$7)</x:f>
        <x:v>635</x:v>
      </x:c>
      <x:c r="K789" s="20" t="n">
        <x:v>43.8</x:v>
      </x:c>
      <x:c r="L789" t="str">
        <x:v>RELATIF LONGGAR</x:v>
      </x:c>
      <x:c r="M789" t="str">
        <x:v>SEDANG+</x:v>
      </x:c>
      <x:c r="N789" t="str">
        <x:v>ELITE-3</x:v>
      </x:c>
      <x:c r="O789" t="str">
        <x:v>CAMPURAN</x:v>
      </x:c>
      <x:c r="P789" t="str">
        <x:v>UMUM</x:v>
      </x:c>
      <x:c r="Q789" s="18" t="n">
        <x:v>615</x:v>
      </x:c>
      <x:c r="R789" s="18" t="n">
        <x:v>0</x:v>
      </x:c>
      <x:c r="S789" s="18" t="n">
        <x:v>525.9793428554852</x:v>
      </x:c>
      <x:c r="T789" s="18" t="n">
        <x:v>648</x:v>
      </x:c>
      <x:c r="U789" s="18" t="n">
        <x:v>615</x:v>
      </x:c>
      <x:c r="V789" s="20" t="n">
        <x:v>8.8</x:v>
      </x:c>
      <x:c r="W789" s="20" t="n">
        <x:v>9.9</x:v>
      </x:c>
      <x:c r="X789" s="20" t="n">
        <x:v>3.3</x:v>
      </x:c>
      <x:c r="Y789" t="str">
        <x:v>Basis arsip 2025/2024</x:v>
      </x:c>
      <x:c r="Z789" t="str">
        <x:v>https://snpmb.id/utbk-snbt/daya-tampung-snbt</x:v>
      </x:c>
      <x:c r="AA789" t="str">
        <x:v>Tidak Ada</x:v>
      </x:c>
      <x:c r="AB789" t="str">
        <x:v>Campus=80; Ratio=3.2; Prodi=40; RelDemand=7.0; Capacity=62.5</x:v>
      </x:c>
    </x:row>
    <x:row r="790">
      <x:c r="A790" t="n">
        <x:v>787</x:v>
      </x:c>
      <x:c r="B790" t="str">
        <x:v>PTN Akademik</x:v>
      </x:c>
      <x:c r="C790" t="str">
        <x:v>UNIVERSITAS LAMPUNG</x:v>
      </x:c>
      <x:c r="D790" t="str">
        <x:v>ILMU KOMPUTER</x:v>
      </x:c>
      <x:c r="E790" t="str">
        <x:v>Sarjana</x:v>
      </x:c>
      <x:c r="F790" s="18" t="n">
        <x:v>60</x:v>
      </x:c>
      <x:c r="G790" s="18" t="n">
        <x:v>756</x:v>
      </x:c>
      <x:c r="H790" s="19" t="n">
        <x:v>12.6</x:v>
      </x:c>
      <x:c r="I790" s="18" t="n">
        <x:f>ROUND(MIN(Model_Config_v3!$B$6,MAX(Q790,R790,S790*Model_Config_v3!$B$4+T790*Model_Config_v3!$B$5)),0)</x:f>
        <x:v>688</x:v>
      </x:c>
      <x:c r="J790" s="18" t="n">
        <x:f>MIN(Model_Config_v3!$B$6,I790+Model_Config_v3!$B$7)</x:f>
        <x:v>708</x:v>
      </x:c>
      <x:c r="K790" s="20" t="n">
        <x:v>74</x:v>
      </x:c>
      <x:c r="L790" t="str">
        <x:v>SANGAT KETAT</x:v>
      </x:c>
      <x:c r="M790" t="str">
        <x:v>SEDANG+</x:v>
      </x:c>
      <x:c r="N790" t="str">
        <x:v>ELITE-3</x:v>
      </x:c>
      <x:c r="O790" t="str">
        <x:v>SAINTEK</x:v>
      </x:c>
      <x:c r="P790" t="str">
        <x:v>KOMPUTER/INFORMATIKA</x:v>
      </x:c>
      <x:c r="Q790" s="18" t="n">
        <x:v>615</x:v>
      </x:c>
      <x:c r="R790" s="18" t="n">
        <x:v>675</x:v>
      </x:c>
      <x:c r="S790" s="18" t="n">
        <x:v>641.0407599629319</x:v>
      </x:c>
      <x:c r="T790" s="18" t="n">
        <x:v>708</x:v>
      </x:c>
      <x:c r="U790" s="18" t="n">
        <x:v>675</x:v>
      </x:c>
      <x:c r="V790" s="20" t="n">
        <x:v>12</x:v>
      </x:c>
      <x:c r="W790" s="20" t="n">
        <x:v>5</x:v>
      </x:c>
      <x:c r="X790" s="20" t="n">
        <x:v>3</x:v>
      </x:c>
      <x:c r="Y790" t="str">
        <x:v>Basis arsip 2025/2024</x:v>
      </x:c>
      <x:c r="Z790" t="str">
        <x:v>https://snpmb.id/utbk-snbt/daya-tampung-snbt</x:v>
      </x:c>
      <x:c r="AA790" t="str">
        <x:v>Tidak Ada</x:v>
      </x:c>
      <x:c r="AB790" t="str">
        <x:v>Campus=80; Ratio=64.8; Prodi=85; RelDemand=78.3; Capacity=50.0</x:v>
      </x:c>
    </x:row>
    <x:row r="791">
      <x:c r="A791" t="n">
        <x:v>788</x:v>
      </x:c>
      <x:c r="B791" t="str">
        <x:v>PTN Akademik</x:v>
      </x:c>
      <x:c r="C791" t="str">
        <x:v>UNIVERSITAS LAMPUNG</x:v>
      </x:c>
      <x:c r="D791" t="str">
        <x:v>ARSITEKTUR</x:v>
      </x:c>
      <x:c r="E791" t="str">
        <x:v>Sarjana</x:v>
      </x:c>
      <x:c r="F791" s="18" t="n">
        <x:v>60</x:v>
      </x:c>
      <x:c r="G791" s="18" t="n">
        <x:v>189</x:v>
      </x:c>
      <x:c r="H791" s="19" t="n">
        <x:v>3.15</x:v>
      </x:c>
      <x:c r="I791" s="18" t="n">
        <x:f>ROUND(MIN(Model_Config_v3!$B$6,MAX(Q791,R791,S791*Model_Config_v3!$B$4+T791*Model_Config_v3!$B$5)),0)</x:f>
        <x:v>641</x:v>
      </x:c>
      <x:c r="J791" s="18" t="n">
        <x:f>MIN(Model_Config_v3!$B$6,I791+Model_Config_v3!$B$7)</x:f>
        <x:v>661</x:v>
      </x:c>
      <x:c r="K791" s="20" t="n">
        <x:v>54.3</x:v>
      </x:c>
      <x:c r="L791" t="str">
        <x:v>MENENGAH</x:v>
      </x:c>
      <x:c r="M791" t="str">
        <x:v>SEDANG+</x:v>
      </x:c>
      <x:c r="N791" t="str">
        <x:v>ELITE-3</x:v>
      </x:c>
      <x:c r="O791" t="str">
        <x:v>SAINTEK</x:v>
      </x:c>
      <x:c r="P791" t="str">
        <x:v>TEKNIK/ARSITEKTUR/STATISTIKA/AKTUARIA</x:v>
      </x:c>
      <x:c r="Q791" s="18" t="n">
        <x:v>615</x:v>
      </x:c>
      <x:c r="R791" s="18" t="n">
        <x:v>0</x:v>
      </x:c>
      <x:c r="S791" s="18" t="n">
        <x:v>574.814160916856</x:v>
      </x:c>
      <x:c r="T791" s="18" t="n">
        <x:v>669</x:v>
      </x:c>
      <x:c r="U791" s="18" t="n">
        <x:v>615</x:v>
      </x:c>
      <x:c r="V791" s="20" t="n">
        <x:v>12</x:v>
      </x:c>
      <x:c r="W791" s="20" t="n">
        <x:v>5</x:v>
      </x:c>
      <x:c r="X791" s="20" t="n">
        <x:v>3</x:v>
      </x:c>
      <x:c r="Y791" t="str">
        <x:v>Basis arsip 2025/2024</x:v>
      </x:c>
      <x:c r="Z791" t="str">
        <x:v>https://snpmb.id/utbk-snbt/daya-tampung-snbt</x:v>
      </x:c>
      <x:c r="AA791" t="str">
        <x:v>Tidak Ada</x:v>
      </x:c>
      <x:c r="AB791" t="str">
        <x:v>Campus=80; Ratio=29.3; Prodi=60; RelDemand=19.6; Capacity=50.0</x:v>
      </x:c>
    </x:row>
    <x:row r="792">
      <x:c r="A792" t="n">
        <x:v>789</x:v>
      </x:c>
      <x:c r="B792" t="str">
        <x:v>PTN Akademik</x:v>
      </x:c>
      <x:c r="C792" t="str">
        <x:v>UNIVERSITAS LAMPUNG</x:v>
      </x:c>
      <x:c r="D792" t="str">
        <x:v>TEKNIK GEODESI</x:v>
      </x:c>
      <x:c r="E792" t="str">
        <x:v>Sarjana</x:v>
      </x:c>
      <x:c r="F792" s="18" t="n">
        <x:v>60</x:v>
      </x:c>
      <x:c r="G792" s="18" t="n">
        <x:v>136</x:v>
      </x:c>
      <x:c r="H792" s="19" t="n">
        <x:v>2.2666666666666666</x:v>
      </x:c>
      <x:c r="I792" s="18" t="n">
        <x:f>ROUND(MIN(Model_Config_v3!$B$6,MAX(Q792,R792,S792*Model_Config_v3!$B$4+T792*Model_Config_v3!$B$5)),0)</x:f>
        <x:v>632</x:v>
      </x:c>
      <x:c r="J792" s="18" t="n">
        <x:f>MIN(Model_Config_v3!$B$6,I792+Model_Config_v3!$B$7)</x:f>
        <x:v>652</x:v>
      </x:c>
      <x:c r="K792" s="20" t="n">
        <x:v>51.6</x:v>
      </x:c>
      <x:c r="L792" t="str">
        <x:v>MENENGAH</x:v>
      </x:c>
      <x:c r="M792" t="str">
        <x:v>SEDANG+</x:v>
      </x:c>
      <x:c r="N792" t="str">
        <x:v>ELITE-3</x:v>
      </x:c>
      <x:c r="O792" t="str">
        <x:v>SAINTEK</x:v>
      </x:c>
      <x:c r="P792" t="str">
        <x:v>TEKNIK/ARSITEKTUR/STATISTIKA/AKTUARIA</x:v>
      </x:c>
      <x:c r="Q792" s="18" t="n">
        <x:v>615</x:v>
      </x:c>
      <x:c r="R792" s="18" t="n">
        <x:v>0</x:v>
      </x:c>
      <x:c r="S792" s="18" t="n">
        <x:v>559.0926423785231</x:v>
      </x:c>
      <x:c r="T792" s="18" t="n">
        <x:v>663</x:v>
      </x:c>
      <x:c r="U792" s="18" t="n">
        <x:v>615</x:v>
      </x:c>
      <x:c r="V792" s="20" t="n">
        <x:v>12</x:v>
      </x:c>
      <x:c r="W792" s="20" t="n">
        <x:v>5</x:v>
      </x:c>
      <x:c r="X792" s="20" t="n">
        <x:v>3</x:v>
      </x:c>
      <x:c r="Y792" t="str">
        <x:v>Basis arsip 2025/2024</x:v>
      </x:c>
      <x:c r="Z792" t="str">
        <x:v>https://snpmb.id/utbk-snbt/daya-tampung-snbt</x:v>
      </x:c>
      <x:c r="AA792" t="str">
        <x:v>Tidak Ada</x:v>
      </x:c>
      <x:c r="AB792" t="str">
        <x:v>Campus=80; Ratio=20.9; Prodi=60; RelDemand=14.1; Capacity=50.0</x:v>
      </x:c>
    </x:row>
    <x:row r="793">
      <x:c r="A793" t="n">
        <x:v>790</x:v>
      </x:c>
      <x:c r="B793" t="str">
        <x:v>PTN Akademik</x:v>
      </x:c>
      <x:c r="C793" t="str">
        <x:v>UNIVERSITAS LAMPUNG</x:v>
      </x:c>
      <x:c r="D793" t="str">
        <x:v>TEKNIK INFORMATIKA</x:v>
      </x:c>
      <x:c r="E793" t="str">
        <x:v>Sarjana</x:v>
      </x:c>
      <x:c r="F793" s="18" t="n">
        <x:v>90</x:v>
      </x:c>
      <x:c r="G793" s="18" t="n">
        <x:v>839</x:v>
      </x:c>
      <x:c r="H793" s="19" t="n">
        <x:v>9.322222222222223</x:v>
      </x:c>
      <x:c r="I793" s="18" t="n">
        <x:f>ROUND(MIN(Model_Config_v3!$B$6,MAX(Q793,R793,S793*Model_Config_v3!$B$4+T793*Model_Config_v3!$B$5)),0)</x:f>
        <x:v>675</x:v>
      </x:c>
      <x:c r="J793" s="18" t="n">
        <x:f>MIN(Model_Config_v3!$B$6,I793+Model_Config_v3!$B$7)</x:f>
        <x:v>695</x:v>
      </x:c>
      <x:c r="K793" s="20" t="n">
        <x:v>67.6</x:v>
      </x:c>
      <x:c r="L793" t="str">
        <x:v>SANGAT KETAT</x:v>
      </x:c>
      <x:c r="M793" t="str">
        <x:v>SEDANG+</x:v>
      </x:c>
      <x:c r="N793" t="str">
        <x:v>ELITE-3</x:v>
      </x:c>
      <x:c r="O793" t="str">
        <x:v>SAINTEK</x:v>
      </x:c>
      <x:c r="P793" t="str">
        <x:v>KOMPUTER/INFORMATIKA</x:v>
      </x:c>
      <x:c r="Q793" s="18" t="n">
        <x:v>615</x:v>
      </x:c>
      <x:c r="R793" s="18" t="n">
        <x:v>675</x:v>
      </x:c>
      <x:c r="S793" s="18" t="n">
        <x:v>626.6471396528312</x:v>
      </x:c>
      <x:c r="T793" s="18" t="n">
        <x:v>695</x:v>
      </x:c>
      <x:c r="U793" s="18" t="n">
        <x:v>675</x:v>
      </x:c>
      <x:c r="V793" s="20" t="n">
        <x:v>12</x:v>
      </x:c>
      <x:c r="W793" s="20" t="n">
        <x:v>5</x:v>
      </x:c>
      <x:c r="X793" s="20" t="n">
        <x:v>3</x:v>
      </x:c>
      <x:c r="Y793" t="str">
        <x:v>Basis arsip 2025/2024</x:v>
      </x:c>
      <x:c r="Z793" t="str">
        <x:v>https://snpmb.id/utbk-snbt/daya-tampung-snbt</x:v>
      </x:c>
      <x:c r="AA793" t="str">
        <x:v>Tidak Ada</x:v>
      </x:c>
      <x:c r="AB793" t="str">
        <x:v>Campus=80; Ratio=57.1; Prodi=85; RelDemand=58.0; Capacity=25.0</x:v>
      </x:c>
    </x:row>
    <x:row r="794">
      <x:c r="A794" t="n">
        <x:v>791</x:v>
      </x:c>
      <x:c r="B794" t="str">
        <x:v>PTN Akademik</x:v>
      </x:c>
      <x:c r="C794" t="str">
        <x:v>UNIVERSITAS LAMPUNG</x:v>
      </x:c>
      <x:c r="D794" t="str">
        <x:v>SUMBERDAYA AKUATIK</x:v>
      </x:c>
      <x:c r="E794" t="str">
        <x:v>Sarjana</x:v>
      </x:c>
      <x:c r="F794" s="18" t="n">
        <x:v>30</x:v>
      </x:c>
      <x:c r="G794" s="18" t="n">
        <x:v>35</x:v>
      </x:c>
      <x:c r="H794" s="19" t="n">
        <x:v>1.1666666666666667</x:v>
      </x:c>
      <x:c r="I794" s="18" t="n">
        <x:f>ROUND(MIN(Model_Config_v3!$B$6,MAX(Q794,R794,S794*Model_Config_v3!$B$4+T794*Model_Config_v3!$B$5)),0)</x:f>
        <x:v>615</x:v>
      </x:c>
      <x:c r="J794" s="18" t="n">
        <x:f>MIN(Model_Config_v3!$B$6,I794+Model_Config_v3!$B$7)</x:f>
        <x:v>635</x:v>
      </x:c>
      <x:c r="K794" s="20" t="n">
        <x:v>45.2</x:v>
      </x:c>
      <x:c r="L794" t="str">
        <x:v>MENENGAH</x:v>
      </x:c>
      <x:c r="M794" t="str">
        <x:v>SEDANG+</x:v>
      </x:c>
      <x:c r="N794" t="str">
        <x:v>ELITE-3</x:v>
      </x:c>
      <x:c r="O794" t="str">
        <x:v>CAMPURAN</x:v>
      </x:c>
      <x:c r="P794" t="str">
        <x:v>UMUM</x:v>
      </x:c>
      <x:c r="Q794" s="18" t="n">
        <x:v>615</x:v>
      </x:c>
      <x:c r="R794" s="18" t="n">
        <x:v>0</x:v>
      </x:c>
      <x:c r="S794" s="18" t="n">
        <x:v>527.3641468593675</x:v>
      </x:c>
      <x:c r="T794" s="18" t="n">
        <x:v>650</x:v>
      </x:c>
      <x:c r="U794" s="18" t="n">
        <x:v>615</x:v>
      </x:c>
      <x:c r="V794" s="20" t="n">
        <x:v>8.8</x:v>
      </x:c>
      <x:c r="W794" s="20" t="n">
        <x:v>9.9</x:v>
      </x:c>
      <x:c r="X794" s="20" t="n">
        <x:v>3.3</x:v>
      </x:c>
      <x:c r="Y794" t="str">
        <x:v>Basis arsip 2025/2024</x:v>
      </x:c>
      <x:c r="Z794" t="str">
        <x:v>https://snpmb.id/utbk-snbt/daya-tampung-snbt</x:v>
      </x:c>
      <x:c r="AA794" t="str">
        <x:v>Tidak Ada</x:v>
      </x:c>
      <x:c r="AB794" t="str">
        <x:v>Campus=80; Ratio=3.9; Prodi=40; RelDemand=7.3; Capacity=75.0</x:v>
      </x:c>
    </x:row>
    <x:row r="795">
      <x:c r="A795" t="n">
        <x:v>792</x:v>
      </x:c>
      <x:c r="B795" t="str">
        <x:v>PTN Akademik</x:v>
      </x:c>
      <x:c r="C795" t="str">
        <x:v>UNIVERSITAS LAMPUNG</x:v>
      </x:c>
      <x:c r="D795" t="str">
        <x:v>ILMU TANAH</x:v>
      </x:c>
      <x:c r="E795" t="str">
        <x:v>Sarjana</x:v>
      </x:c>
      <x:c r="F795" s="18" t="n">
        <x:v>55</x:v>
      </x:c>
      <x:c r="G795" s="18" t="n">
        <x:v>88</x:v>
      </x:c>
      <x:c r="H795" s="19" t="n">
        <x:v>1.6</x:v>
      </x:c>
      <x:c r="I795" s="18" t="n">
        <x:f>ROUND(MIN(Model_Config_v3!$B$6,MAX(Q795,R795,S795*Model_Config_v3!$B$4+T795*Model_Config_v3!$B$5)),0)</x:f>
        <x:v>618</x:v>
      </x:c>
      <x:c r="J795" s="18" t="n">
        <x:f>MIN(Model_Config_v3!$B$6,I795+Model_Config_v3!$B$7)</x:f>
        <x:v>638</x:v>
      </x:c>
      <x:c r="K795" s="20" t="n">
        <x:v>45.4</x:v>
      </x:c>
      <x:c r="L795" t="str">
        <x:v>MENENGAH</x:v>
      </x:c>
      <x:c r="M795" t="str">
        <x:v>SEDANG+</x:v>
      </x:c>
      <x:c r="N795" t="str">
        <x:v>ELITE-3</x:v>
      </x:c>
      <x:c r="O795" t="str">
        <x:v>CAMPURAN</x:v>
      </x:c>
      <x:c r="P795" t="str">
        <x:v>UMUM</x:v>
      </x:c>
      <x:c r="Q795" s="18" t="n">
        <x:v>615</x:v>
      </x:c>
      <x:c r="R795" s="18" t="n">
        <x:v>0</x:v>
      </x:c>
      <x:c r="S795" s="18" t="n">
        <x:v>542.4531980921518</x:v>
      </x:c>
      <x:c r="T795" s="18" t="n">
        <x:v>651</x:v>
      </x:c>
      <x:c r="U795" s="18" t="n">
        <x:v>615</x:v>
      </x:c>
      <x:c r="V795" s="20" t="n">
        <x:v>8.8</x:v>
      </x:c>
      <x:c r="W795" s="20" t="n">
        <x:v>9.9</x:v>
      </x:c>
      <x:c r="X795" s="20" t="n">
        <x:v>3.3</x:v>
      </x:c>
      <x:c r="Y795" t="str">
        <x:v>Basis arsip 2025/2024</x:v>
      </x:c>
      <x:c r="Z795" t="str">
        <x:v>https://snpmb.id/utbk-snbt/daya-tampung-snbt</x:v>
      </x:c>
      <x:c r="AA795" t="str">
        <x:v>Tidak Ada</x:v>
      </x:c>
      <x:c r="AB795" t="str">
        <x:v>Campus=80; Ratio=12.0; Prodi=40; RelDemand=9.9; Capacity=54.2</x:v>
      </x:c>
    </x:row>
    <x:row r="796">
      <x:c r="A796" t="n">
        <x:v>793</x:v>
      </x:c>
      <x:c r="B796" t="str">
        <x:v>PTN Akademik</x:v>
      </x:c>
      <x:c r="C796" t="str">
        <x:v>UNIVERSITAS LAMPUNG</x:v>
      </x:c>
      <x:c r="D796" t="str">
        <x:v>AGRONOMI</x:v>
      </x:c>
      <x:c r="E796" t="str">
        <x:v>Sarjana</x:v>
      </x:c>
      <x:c r="F796" s="18" t="n">
        <x:v>55</x:v>
      </x:c>
      <x:c r="G796" s="18" t="n">
        <x:v>129</x:v>
      </x:c>
      <x:c r="H796" s="19" t="n">
        <x:v>2.3454545454545452</x:v>
      </x:c>
      <x:c r="I796" s="18" t="n">
        <x:f>ROUND(MIN(Model_Config_v3!$B$6,MAX(Q796,R796,S796*Model_Config_v3!$B$4+T796*Model_Config_v3!$B$5)),0)</x:f>
        <x:v>628</x:v>
      </x:c>
      <x:c r="J796" s="18" t="n">
        <x:f>MIN(Model_Config_v3!$B$6,I796+Model_Config_v3!$B$7)</x:f>
        <x:v>648</x:v>
      </x:c>
      <x:c r="K796" s="20" t="n">
        <x:v>48.3</x:v>
      </x:c>
      <x:c r="L796" t="str">
        <x:v>MENENGAH</x:v>
      </x:c>
      <x:c r="M796" t="str">
        <x:v>SEDANG+</x:v>
      </x:c>
      <x:c r="N796" t="str">
        <x:v>ELITE-3</x:v>
      </x:c>
      <x:c r="O796" t="str">
        <x:v>CAMPURAN</x:v>
      </x:c>
      <x:c r="P796" t="str">
        <x:v>UMUM</x:v>
      </x:c>
      <x:c r="Q796" s="18" t="n">
        <x:v>615</x:v>
      </x:c>
      <x:c r="R796" s="18" t="n">
        <x:v>0</x:v>
      </x:c>
      <x:c r="S796" s="18" t="n">
        <x:v>560.7249722885506</x:v>
      </x:c>
      <x:c r="T796" s="18" t="n">
        <x:v>657</x:v>
      </x:c>
      <x:c r="U796" s="18" t="n">
        <x:v>615</x:v>
      </x:c>
      <x:c r="V796" s="20" t="n">
        <x:v>8.8</x:v>
      </x:c>
      <x:c r="W796" s="20" t="n">
        <x:v>9.9</x:v>
      </x:c>
      <x:c r="X796" s="20" t="n">
        <x:v>3.3</x:v>
      </x:c>
      <x:c r="Y796" t="str">
        <x:v>Basis arsip 2025/2024</x:v>
      </x:c>
      <x:c r="Z796" t="str">
        <x:v>https://snpmb.id/utbk-snbt/daya-tampung-snbt</x:v>
      </x:c>
      <x:c r="AA796" t="str">
        <x:v>Tidak Ada</x:v>
      </x:c>
      <x:c r="AB796" t="str">
        <x:v>Campus=80; Ratio=21.8; Prodi=40; RelDemand=14.6; Capacity=54.2</x:v>
      </x:c>
    </x:row>
    <x:row r="797">
      <x:c r="A797" t="n">
        <x:v>794</x:v>
      </x:c>
      <x:c r="B797" t="str">
        <x:v>PTN Akademik</x:v>
      </x:c>
      <x:c r="C797" t="str">
        <x:v>UNIVERSITAS LAMPUNG</x:v>
      </x:c>
      <x:c r="D797" t="str">
        <x:v>PROTEKSI TANAMAN</x:v>
      </x:c>
      <x:c r="E797" t="str">
        <x:v>Sarjana</x:v>
      </x:c>
      <x:c r="F797" s="18" t="n">
        <x:v>65</x:v>
      </x:c>
      <x:c r="G797" s="18" t="n">
        <x:v>114</x:v>
      </x:c>
      <x:c r="H797" s="19" t="n">
        <x:v>1.7538461538461538</x:v>
      </x:c>
      <x:c r="I797" s="18" t="n">
        <x:f>ROUND(MIN(Model_Config_v3!$B$6,MAX(Q797,R797,S797*Model_Config_v3!$B$4+T797*Model_Config_v3!$B$5)),0)</x:f>
        <x:v>620</x:v>
      </x:c>
      <x:c r="J797" s="18" t="n">
        <x:f>MIN(Model_Config_v3!$B$6,I797+Model_Config_v3!$B$7)</x:f>
        <x:v>640</x:v>
      </x:c>
      <x:c r="K797" s="20" t="n">
        <x:v>45.3</x:v>
      </x:c>
      <x:c r="L797" t="str">
        <x:v>MENENGAH</x:v>
      </x:c>
      <x:c r="M797" t="str">
        <x:v>SEDANG+</x:v>
      </x:c>
      <x:c r="N797" t="str">
        <x:v>ELITE-3</x:v>
      </x:c>
      <x:c r="O797" t="str">
        <x:v>CAMPURAN</x:v>
      </x:c>
      <x:c r="P797" t="str">
        <x:v>UMUM</x:v>
      </x:c>
      <x:c r="Q797" s="18" t="n">
        <x:v>615</x:v>
      </x:c>
      <x:c r="R797" s="18" t="n">
        <x:v>0</x:v>
      </x:c>
      <x:c r="S797" s="18" t="n">
        <x:v>546.8390644162979</x:v>
      </x:c>
      <x:c r="T797" s="18" t="n">
        <x:v>651</x:v>
      </x:c>
      <x:c r="U797" s="18" t="n">
        <x:v>615</x:v>
      </x:c>
      <x:c r="V797" s="20" t="n">
        <x:v>8.8</x:v>
      </x:c>
      <x:c r="W797" s="20" t="n">
        <x:v>9.9</x:v>
      </x:c>
      <x:c r="X797" s="20" t="n">
        <x:v>3.3</x:v>
      </x:c>
      <x:c r="Y797" t="str">
        <x:v>Basis arsip 2025/2024</x:v>
      </x:c>
      <x:c r="Z797" t="str">
        <x:v>https://snpmb.id/utbk-snbt/daya-tampung-snbt</x:v>
      </x:c>
      <x:c r="AA797" t="str">
        <x:v>Tidak Ada</x:v>
      </x:c>
      <x:c r="AB797" t="str">
        <x:v>Campus=80; Ratio=14.4; Prodi=40; RelDemand=10.9; Capacity=45.8</x:v>
      </x:c>
    </x:row>
    <x:row r="798">
      <x:c r="A798" t="n">
        <x:v>795</x:v>
      </x:c>
      <x:c r="B798" t="str">
        <x:v>PTN Akademik</x:v>
      </x:c>
      <x:c r="C798" t="str">
        <x:v>UNIVERSITAS LAMPUNG</x:v>
      </x:c>
      <x:c r="D798" t="str">
        <x:v>PENYULUHAN PERTANIAN</x:v>
      </x:c>
      <x:c r="E798" t="str">
        <x:v>Sarjana</x:v>
      </x:c>
      <x:c r="F798" s="18" t="n">
        <x:v>56</x:v>
      </x:c>
      <x:c r="G798" s="18" t="n">
        <x:v>84</x:v>
      </x:c>
      <x:c r="H798" s="19" t="n">
        <x:v>1.5</x:v>
      </x:c>
      <x:c r="I798" s="18" t="n">
        <x:f>ROUND(MIN(Model_Config_v3!$B$6,MAX(Q798,R798,S798*Model_Config_v3!$B$4+T798*Model_Config_v3!$B$5)),0)</x:f>
        <x:v>617</x:v>
      </x:c>
      <x:c r="J798" s="18" t="n">
        <x:f>MIN(Model_Config_v3!$B$6,I798+Model_Config_v3!$B$7)</x:f>
        <x:v>637</x:v>
      </x:c>
      <x:c r="K798" s="20" t="n">
        <x:v>44.9</x:v>
      </x:c>
      <x:c r="L798" t="str">
        <x:v>RELATIF LONGGAR</x:v>
      </x:c>
      <x:c r="M798" t="str">
        <x:v>SEDANG+</x:v>
      </x:c>
      <x:c r="N798" t="str">
        <x:v>ELITE-3</x:v>
      </x:c>
      <x:c r="O798" t="str">
        <x:v>SAINTEK</x:v>
      </x:c>
      <x:c r="P798" t="str">
        <x:v>UMUM</x:v>
      </x:c>
      <x:c r="Q798" s="18" t="n">
        <x:v>615</x:v>
      </x:c>
      <x:c r="R798" s="18" t="n">
        <x:v>0</x:v>
      </x:c>
      <x:c r="S798" s="18" t="n">
        <x:v>539.370038496125</x:v>
      </x:c>
      <x:c r="T798" s="18" t="n">
        <x:v>650</x:v>
      </x:c>
      <x:c r="U798" s="18" t="n">
        <x:v>615</x:v>
      </x:c>
      <x:c r="V798" s="20" t="n">
        <x:v>12</x:v>
      </x:c>
      <x:c r="W798" s="20" t="n">
        <x:v>5</x:v>
      </x:c>
      <x:c r="X798" s="20" t="n">
        <x:v>3</x:v>
      </x:c>
      <x:c r="Y798" t="str">
        <x:v>Basis arsip 2025/2024</x:v>
      </x:c>
      <x:c r="Z798" t="str">
        <x:v>https://snpmb.id/utbk-snbt/daya-tampung-snbt</x:v>
      </x:c>
      <x:c r="AA798" t="str">
        <x:v>Tidak Ada</x:v>
      </x:c>
      <x:c r="AB798" t="str">
        <x:v>Campus=80; Ratio=10.4; Prodi=40; RelDemand=9.3; Capacity=53.3</x:v>
      </x:c>
    </x:row>
    <x:row r="799">
      <x:c r="A799" t="n">
        <x:v>796</x:v>
      </x:c>
      <x:c r="B799" t="str">
        <x:v>PTN Akademik</x:v>
      </x:c>
      <x:c r="C799" t="str">
        <x:v>UNIVERSITAS LAMPUNG</x:v>
      </x:c>
      <x:c r="D799" t="str">
        <x:v>ILMU KELAUTAN</x:v>
      </x:c>
      <x:c r="E799" t="str">
        <x:v>Sarjana</x:v>
      </x:c>
      <x:c r="F799" s="18" t="n">
        <x:v>42</x:v>
      </x:c>
      <x:c r="G799" s="18" t="n">
        <x:v>121</x:v>
      </x:c>
      <x:c r="H799" s="19" t="n">
        <x:v>2.880952380952381</x:v>
      </x:c>
      <x:c r="I799" s="18" t="n">
        <x:f>ROUND(MIN(Model_Config_v3!$B$6,MAX(Q799,R799,S799*Model_Config_v3!$B$4+T799*Model_Config_v3!$B$5)),0)</x:f>
        <x:v>635</x:v>
      </x:c>
      <x:c r="J799" s="18" t="n">
        <x:f>MIN(Model_Config_v3!$B$6,I799+Model_Config_v3!$B$7)</x:f>
        <x:v>655</x:v>
      </x:c>
      <x:c r="K799" s="20" t="n">
        <x:v>51.1</x:v>
      </x:c>
      <x:c r="L799" t="str">
        <x:v>MENENGAH</x:v>
      </x:c>
      <x:c r="M799" t="str">
        <x:v>SEDANG+</x:v>
      </x:c>
      <x:c r="N799" t="str">
        <x:v>ELITE-3</x:v>
      </x:c>
      <x:c r="O799" t="str">
        <x:v>SAINTEK</x:v>
      </x:c>
      <x:c r="P799" t="str">
        <x:v>UMUM</x:v>
      </x:c>
      <x:c r="Q799" s="18" t="n">
        <x:v>615</x:v>
      </x:c>
      <x:c r="R799" s="18" t="n">
        <x:v>0</x:v>
      </x:c>
      <x:c r="S799" s="18" t="n">
        <x:v>570.5489687910405</x:v>
      </x:c>
      <x:c r="T799" s="18" t="n">
        <x:v>662</x:v>
      </x:c>
      <x:c r="U799" s="18" t="n">
        <x:v>615</x:v>
      </x:c>
      <x:c r="V799" s="20" t="n">
        <x:v>12</x:v>
      </x:c>
      <x:c r="W799" s="20" t="n">
        <x:v>5</x:v>
      </x:c>
      <x:c r="X799" s="20" t="n">
        <x:v>3</x:v>
      </x:c>
      <x:c r="Y799" t="str">
        <x:v>Basis arsip 2025/2024</x:v>
      </x:c>
      <x:c r="Z799" t="str">
        <x:v>https://snpmb.id/utbk-snbt/daya-tampung-snbt</x:v>
      </x:c>
      <x:c r="AA799" t="str">
        <x:v>Tidak Ada</x:v>
      </x:c>
      <x:c r="AB799" t="str">
        <x:v>Campus=80; Ratio=27.0; Prodi=40; RelDemand=17.9; Capacity=65.0</x:v>
      </x:c>
    </x:row>
    <x:row r="800">
      <x:c r="A800" t="n">
        <x:v>797</x:v>
      </x:c>
      <x:c r="B800" t="str">
        <x:v>PTN Akademik</x:v>
      </x:c>
      <x:c r="C800" t="str">
        <x:v>UNIVERSITAS LAMPUNG</x:v>
      </x:c>
      <x:c r="D800" t="str">
        <x:v>TEKNOLOGI INDUSTRI PERTANIAN</x:v>
      </x:c>
      <x:c r="E800" t="str">
        <x:v>Sarjana</x:v>
      </x:c>
      <x:c r="F800" s="18" t="n">
        <x:v>40</x:v>
      </x:c>
      <x:c r="G800" s="18" t="n">
        <x:v>166</x:v>
      </x:c>
      <x:c r="H800" s="19" t="n">
        <x:v>4.15</x:v>
      </x:c>
      <x:c r="I800" s="18" t="n">
        <x:f>ROUND(MIN(Model_Config_v3!$B$6,MAX(Q800,R800,S800*Model_Config_v3!$B$4+T800*Model_Config_v3!$B$5)),0)</x:f>
        <x:v>645</x:v>
      </x:c>
      <x:c r="J800" s="18" t="n">
        <x:f>MIN(Model_Config_v3!$B$6,I800+Model_Config_v3!$B$7)</x:f>
        <x:v>665</x:v>
      </x:c>
      <x:c r="K800" s="20" t="n">
        <x:v>54.3</x:v>
      </x:c>
      <x:c r="L800" t="str">
        <x:v>MENENGAH</x:v>
      </x:c>
      <x:c r="M800" t="str">
        <x:v>SEDANG+</x:v>
      </x:c>
      <x:c r="N800" t="str">
        <x:v>ELITE-3</x:v>
      </x:c>
      <x:c r="O800" t="str">
        <x:v>SAINTEK</x:v>
      </x:c>
      <x:c r="P800" t="str">
        <x:v>UMUM</x:v>
      </x:c>
      <x:c r="Q800" s="18" t="n">
        <x:v>615</x:v>
      </x:c>
      <x:c r="R800" s="18" t="n">
        <x:v>0</x:v>
      </x:c>
      <x:c r="S800" s="18" t="n">
        <x:v>587.9852906383302</x:v>
      </x:c>
      <x:c r="T800" s="18" t="n">
        <x:v>669</x:v>
      </x:c>
      <x:c r="U800" s="18" t="n">
        <x:v>615</x:v>
      </x:c>
      <x:c r="V800" s="20" t="n">
        <x:v>12</x:v>
      </x:c>
      <x:c r="W800" s="20" t="n">
        <x:v>5</x:v>
      </x:c>
      <x:c r="X800" s="20" t="n">
        <x:v>3</x:v>
      </x:c>
      <x:c r="Y800" t="str">
        <x:v>Basis arsip 2025/2024</x:v>
      </x:c>
      <x:c r="Z800" t="str">
        <x:v>https://snpmb.id/utbk-snbt/daya-tampung-snbt</x:v>
      </x:c>
      <x:c r="AA800" t="str">
        <x:v>Tidak Ada</x:v>
      </x:c>
      <x:c r="AB800" t="str">
        <x:v>Campus=80; Ratio=36.4; Prodi=40; RelDemand=25.8; Capacity=66.7</x:v>
      </x:c>
    </x:row>
    <x:row r="801">
      <x:c r="A801" t="n">
        <x:v>798</x:v>
      </x:c>
      <x:c r="B801" t="str">
        <x:v>PTN Akademik</x:v>
      </x:c>
      <x:c r="C801" t="str">
        <x:v>UNIVERSITAS LAMPUNG</x:v>
      </x:c>
      <x:c r="D801" t="str">
        <x:v>NUTRISI DAN TEKNOLOGI PAKAN TERNAK</x:v>
      </x:c>
      <x:c r="E801" t="str">
        <x:v>Sarjana</x:v>
      </x:c>
      <x:c r="F801" s="18" t="n">
        <x:v>55</x:v>
      </x:c>
      <x:c r="G801" s="18" t="n">
        <x:v>92</x:v>
      </x:c>
      <x:c r="H801" s="19" t="n">
        <x:v>1.6727272727272726</x:v>
      </x:c>
      <x:c r="I801" s="18" t="n">
        <x:f>ROUND(MIN(Model_Config_v3!$B$6,MAX(Q801,R801,S801*Model_Config_v3!$B$4+T801*Model_Config_v3!$B$5)),0)</x:f>
        <x:v>619</x:v>
      </x:c>
      <x:c r="J801" s="18" t="n">
        <x:f>MIN(Model_Config_v3!$B$6,I801+Model_Config_v3!$B$7)</x:f>
        <x:v>639</x:v>
      </x:c>
      <x:c r="K801" s="20" t="n">
        <x:v>45.7</x:v>
      </x:c>
      <x:c r="L801" t="str">
        <x:v>MENENGAH</x:v>
      </x:c>
      <x:c r="M801" t="str">
        <x:v>SEDANG+</x:v>
      </x:c>
      <x:c r="N801" t="str">
        <x:v>ELITE-3</x:v>
      </x:c>
      <x:c r="O801" t="str">
        <x:v>SAINTEK</x:v>
      </x:c>
      <x:c r="P801" t="str">
        <x:v>UMUM</x:v>
      </x:c>
      <x:c r="Q801" s="18" t="n">
        <x:v>615</x:v>
      </x:c>
      <x:c r="R801" s="18" t="n">
        <x:v>0</x:v>
      </x:c>
      <x:c r="S801" s="18" t="n">
        <x:v>544.5767651636443</x:v>
      </x:c>
      <x:c r="T801" s="18" t="n">
        <x:v>651</x:v>
      </x:c>
      <x:c r="U801" s="18" t="n">
        <x:v>615</x:v>
      </x:c>
      <x:c r="V801" s="20" t="n">
        <x:v>12</x:v>
      </x:c>
      <x:c r="W801" s="20" t="n">
        <x:v>5</x:v>
      </x:c>
      <x:c r="X801" s="20" t="n">
        <x:v>3</x:v>
      </x:c>
      <x:c r="Y801" t="str">
        <x:v>Basis arsip 2025/2024</x:v>
      </x:c>
      <x:c r="Z801" t="str">
        <x:v>https://snpmb.id/utbk-snbt/daya-tampung-snbt</x:v>
      </x:c>
      <x:c r="AA801" t="str">
        <x:v>Tidak Ada</x:v>
      </x:c>
      <x:c r="AB801" t="str">
        <x:v>Campus=80; Ratio=13.2; Prodi=40; RelDemand=10.4; Capacity=54.2</x:v>
      </x:c>
    </x:row>
    <x:row r="802">
      <x:c r="A802" t="n">
        <x:v>799</x:v>
      </x:c>
      <x:c r="B802" t="str">
        <x:v>PTN Akademik</x:v>
      </x:c>
      <x:c r="C802" t="str">
        <x:v>UNIVERSITAS LAMPUNG</x:v>
      </x:c>
      <x:c r="D802" t="str">
        <x:v>PENDIDIKAN TEKNOLOGI INFORMASI</x:v>
      </x:c>
      <x:c r="E802" t="str">
        <x:v>Sarjana</x:v>
      </x:c>
      <x:c r="F802" s="18" t="n">
        <x:v>45</x:v>
      </x:c>
      <x:c r="G802" s="18" t="n">
        <x:v>194</x:v>
      </x:c>
      <x:c r="H802" s="19" t="n">
        <x:v>4.311111111111111</x:v>
      </x:c>
      <x:c r="I802" s="18" t="n">
        <x:f>ROUND(MIN(Model_Config_v3!$B$6,MAX(Q802,R802,S802*Model_Config_v3!$B$4+T802*Model_Config_v3!$B$5)),0)</x:f>
        <x:v>647</x:v>
      </x:c>
      <x:c r="J802" s="18" t="n">
        <x:f>MIN(Model_Config_v3!$B$6,I802+Model_Config_v3!$B$7)</x:f>
        <x:v>667</x:v>
      </x:c>
      <x:c r="K802" s="20" t="n">
        <x:v>55.3</x:v>
      </x:c>
      <x:c r="L802" t="str">
        <x:v>KETAT</x:v>
      </x:c>
      <x:c r="M802" t="str">
        <x:v>SEDANG+</x:v>
      </x:c>
      <x:c r="N802" t="str">
        <x:v>ELITE-3</x:v>
      </x:c>
      <x:c r="O802" t="str">
        <x:v>SAINTEK</x:v>
      </x:c>
      <x:c r="P802" t="str">
        <x:v>PENDIDIKAN</x:v>
      </x:c>
      <x:c r="Q802" s="18" t="n">
        <x:v>615</x:v>
      </x:c>
      <x:c r="R802" s="18" t="n">
        <x:v>0</x:v>
      </x:c>
      <x:c r="S802" s="18" t="n">
        <x:v>589.804813777037</x:v>
      </x:c>
      <x:c r="T802" s="18" t="n">
        <x:v>671</x:v>
      </x:c>
      <x:c r="U802" s="18" t="n">
        <x:v>615</x:v>
      </x:c>
      <x:c r="V802" s="20" t="n">
        <x:v>12</x:v>
      </x:c>
      <x:c r="W802" s="20" t="n">
        <x:v>5</x:v>
      </x:c>
      <x:c r="X802" s="20" t="n">
        <x:v>3</x:v>
      </x:c>
      <x:c r="Y802" t="str">
        <x:v>Basis arsip 2025/2024</x:v>
      </x:c>
      <x:c r="Z802" t="str">
        <x:v>https://snpmb.id/utbk-snbt/daya-tampung-snbt</x:v>
      </x:c>
      <x:c r="AA802" t="str">
        <x:v>Tidak Ada</x:v>
      </x:c>
      <x:c r="AB802" t="str">
        <x:v>Campus=80; Ratio=37.4; Prodi=45; RelDemand=26.8; Capacity=62.5</x:v>
      </x:c>
    </x:row>
    <x:row r="803">
      <x:c r="A803" t="n">
        <x:v>800</x:v>
      </x:c>
      <x:c r="B803" t="str">
        <x:v>PTN Akademik</x:v>
      </x:c>
      <x:c r="C803" t="str">
        <x:v>UNIVERSITAS LAMPUNG</x:v>
      </x:c>
      <x:c r="D803" t="str">
        <x:v>FARMASI</x:v>
      </x:c>
      <x:c r="E803" t="str">
        <x:v>Sarjana</x:v>
      </x:c>
      <x:c r="F803" s="18" t="n">
        <x:v>60</x:v>
      </x:c>
      <x:c r="G803" s="18" t="n">
        <x:v>1494</x:v>
      </x:c>
      <x:c r="H803" s="19" t="n">
        <x:v>24.9</x:v>
      </x:c>
      <x:c r="I803" s="18" t="n">
        <x:f>ROUND(MIN(Model_Config_v3!$B$6,MAX(Q803,R803,S803*Model_Config_v3!$B$4+T803*Model_Config_v3!$B$5)),0)</x:f>
        <x:v>704</x:v>
      </x:c>
      <x:c r="J803" s="18" t="n">
        <x:f>MIN(Model_Config_v3!$B$6,I803+Model_Config_v3!$B$7)</x:f>
        <x:v>724</x:v>
      </x:c>
      <x:c r="K803" s="20" t="n">
        <x:v>78.5</x:v>
      </x:c>
      <x:c r="L803" t="str">
        <x:v>ELITE</x:v>
      </x:c>
      <x:c r="M803" t="str">
        <x:v>SEDANG+</x:v>
      </x:c>
      <x:c r="N803" t="str">
        <x:v>ELITE-3</x:v>
      </x:c>
      <x:c r="O803" t="str">
        <x:v>SAINTEK</x:v>
      </x:c>
      <x:c r="P803" t="str">
        <x:v>FARMASI</x:v>
      </x:c>
      <x:c r="Q803" s="18" t="n">
        <x:v>615</x:v>
      </x:c>
      <x:c r="R803" s="18" t="n">
        <x:v>660</x:v>
      </x:c>
      <x:c r="S803" s="18" t="n">
        <x:v>673.581928180531</x:v>
      </x:c>
      <x:c r="T803" s="18" t="n">
        <x:v>717</x:v>
      </x:c>
      <x:c r="U803" s="18" t="n">
        <x:v>693.581928180531</x:v>
      </x:c>
      <x:c r="V803" s="20" t="n">
        <x:v>12</x:v>
      </x:c>
      <x:c r="W803" s="20" t="n">
        <x:v>5</x:v>
      </x:c>
      <x:c r="X803" s="20" t="n">
        <x:v>3</x:v>
      </x:c>
      <x:c r="Y803" t="str">
        <x:v>Basis arsip 2025/2024</x:v>
      </x:c>
      <x:c r="Z803" t="str">
        <x:v>https://snpmb.id/utbk-snbt/daya-tampung-snbt</x:v>
      </x:c>
      <x:c r="AA803" t="str">
        <x:v>Tidak Ada</x:v>
      </x:c>
      <x:c r="AB803" t="str">
        <x:v>Campus=80; Ratio=82.2; Prodi=75; RelDemand=100.0; Capacity=50.0</x:v>
      </x:c>
    </x:row>
    <x:row r="804">
      <x:c r="A804" t="n">
        <x:v>801</x:v>
      </x:c>
      <x:c r="B804" t="str">
        <x:v>PTN Akademik</x:v>
      </x:c>
      <x:c r="C804" t="str">
        <x:v>UNIVERSITAS LAMPUNG</x:v>
      </x:c>
      <x:c r="D804" t="str">
        <x:v>BIOLOGI TERAPAN</x:v>
      </x:c>
      <x:c r="E804" t="str">
        <x:v>Sarjana</x:v>
      </x:c>
      <x:c r="F804" s="18" t="n">
        <x:v>50</x:v>
      </x:c>
      <x:c r="G804" s="18" t="n">
        <x:v>76</x:v>
      </x:c>
      <x:c r="H804" s="19" t="n">
        <x:v>1.52</x:v>
      </x:c>
      <x:c r="I804" s="18" t="n">
        <x:f>ROUND(MIN(Model_Config_v3!$B$6,MAX(Q804,R804,S804*Model_Config_v3!$B$4+T804*Model_Config_v3!$B$5)),0)</x:f>
        <x:v>621</x:v>
      </x:c>
      <x:c r="J804" s="18" t="n">
        <x:f>MIN(Model_Config_v3!$B$6,I804+Model_Config_v3!$B$7)</x:f>
        <x:v>641</x:v>
      </x:c>
      <x:c r="K804" s="20" t="n">
        <x:v>47.5</x:v>
      </x:c>
      <x:c r="L804" t="str">
        <x:v>MENENGAH</x:v>
      </x:c>
      <x:c r="M804" t="str">
        <x:v>SEDANG+</x:v>
      </x:c>
      <x:c r="N804" t="str">
        <x:v>ELITE-3</x:v>
      </x:c>
      <x:c r="O804" t="str">
        <x:v>SAINTEK</x:v>
      </x:c>
      <x:c r="P804" t="str">
        <x:v>SAINS DASAR</x:v>
      </x:c>
      <x:c r="Q804" s="18" t="n">
        <x:v>615</x:v>
      </x:c>
      <x:c r="R804" s="18" t="n">
        <x:v>0</x:v>
      </x:c>
      <x:c r="S804" s="18" t="n">
        <x:v>540.002794673925</x:v>
      </x:c>
      <x:c r="T804" s="18" t="n">
        <x:v>655</x:v>
      </x:c>
      <x:c r="U804" s="18" t="n">
        <x:v>615</x:v>
      </x:c>
      <x:c r="V804" s="20" t="n">
        <x:v>12</x:v>
      </x:c>
      <x:c r="W804" s="20" t="n">
        <x:v>5</x:v>
      </x:c>
      <x:c r="X804" s="20" t="n">
        <x:v>3</x:v>
      </x:c>
      <x:c r="Y804" t="str">
        <x:v>Basis arsip 2025/2024</x:v>
      </x:c>
      <x:c r="Z804" t="str">
        <x:v>https://snpmb.id/utbk-snbt/daya-tampung-snbt</x:v>
      </x:c>
      <x:c r="AA804" t="str">
        <x:v>Tidak Ada</x:v>
      </x:c>
      <x:c r="AB804" t="str">
        <x:v>Campus=80; Ratio=10.7; Prodi=50; RelDemand=9.5; Capacity=58.3</x:v>
      </x:c>
    </x:row>
    <x:row r="805">
      <x:c r="A805" t="n">
        <x:v>802</x:v>
      </x:c>
      <x:c r="B805" t="str">
        <x:v>PTN Akademik</x:v>
      </x:c>
      <x:c r="C805" t="str">
        <x:v>UNIVERSITAS LAMPUNG</x:v>
      </x:c>
      <x:c r="D805" t="str">
        <x:v>TEKNIK LINGKUNGAN</x:v>
      </x:c>
      <x:c r="E805" t="str">
        <x:v>Sarjana</x:v>
      </x:c>
      <x:c r="F805" s="18" t="n">
        <x:v>54</x:v>
      </x:c>
      <x:c r="G805" s="18" t="n">
        <x:v>176</x:v>
      </x:c>
      <x:c r="H805" s="19" t="n">
        <x:v>3.259259259259259</x:v>
      </x:c>
      <x:c r="I805" s="18" t="n">
        <x:f>ROUND(MIN(Model_Config_v3!$B$6,MAX(Q805,R805,S805*Model_Config_v3!$B$4+T805*Model_Config_v3!$B$5)),0)</x:f>
        <x:v>642</x:v>
      </x:c>
      <x:c r="J805" s="18" t="n">
        <x:f>MIN(Model_Config_v3!$B$6,I805+Model_Config_v3!$B$7)</x:f>
        <x:v>662</x:v>
      </x:c>
      <x:c r="K805" s="20" t="n">
        <x:v>55.1</x:v>
      </x:c>
      <x:c r="L805" t="str">
        <x:v>KETAT</x:v>
      </x:c>
      <x:c r="M805" t="str">
        <x:v>SEDANG+</x:v>
      </x:c>
      <x:c r="N805" t="str">
        <x:v>ELITE-3</x:v>
      </x:c>
      <x:c r="O805" t="str">
        <x:v>SAINTEK</x:v>
      </x:c>
      <x:c r="P805" t="str">
        <x:v>TEKNIK/ARSITEKTUR/STATISTIKA/AKTUARIA</x:v>
      </x:c>
      <x:c r="Q805" s="18" t="n">
        <x:v>615</x:v>
      </x:c>
      <x:c r="R805" s="18" t="n">
        <x:v>0</x:v>
      </x:c>
      <x:c r="S805" s="18" t="n">
        <x:v>576.4430798790299</x:v>
      </x:c>
      <x:c r="T805" s="18" t="n">
        <x:v>670</x:v>
      </x:c>
      <x:c r="U805" s="18" t="n">
        <x:v>615</x:v>
      </x:c>
      <x:c r="V805" s="20" t="n">
        <x:v>12</x:v>
      </x:c>
      <x:c r="W805" s="20" t="n">
        <x:v>5</x:v>
      </x:c>
      <x:c r="X805" s="20" t="n">
        <x:v>3</x:v>
      </x:c>
      <x:c r="Y805" t="str">
        <x:v>Basis arsip 2025/2024</x:v>
      </x:c>
      <x:c r="Z805" t="str">
        <x:v>https://snpmb.id/utbk-snbt/daya-tampung-snbt</x:v>
      </x:c>
      <x:c r="AA805" t="str">
        <x:v>Tidak Ada</x:v>
      </x:c>
      <x:c r="AB805" t="str">
        <x:v>Campus=80; Ratio=30.2; Prodi=60; RelDemand=20.3; Capacity=55.0</x:v>
      </x:c>
    </x:row>
    <x:row r="806">
      <x:c r="A806" t="n">
        <x:v>803</x:v>
      </x:c>
      <x:c r="B806" t="str">
        <x:v>PTN Akademik</x:v>
      </x:c>
      <x:c r="C806" t="str">
        <x:v>UNIVERSITAS LAMPUNG</x:v>
      </x:c>
      <x:c r="D806" t="str">
        <x:v>HUKUM</x:v>
      </x:c>
      <x:c r="E806" t="str">
        <x:v>Sarjana</x:v>
      </x:c>
      <x:c r="F806" s="18" t="n">
        <x:v>300</x:v>
      </x:c>
      <x:c r="G806" s="18" t="n">
        <x:v>2135</x:v>
      </x:c>
      <x:c r="H806" s="19" t="n">
        <x:v>7.116666666666666</x:v>
      </x:c>
      <x:c r="I806" s="18" t="n">
        <x:f>ROUND(MIN(Model_Config_v3!$B$6,MAX(Q806,R806,S806*Model_Config_v3!$B$4+T806*Model_Config_v3!$B$5)),0)</x:f>
        <x:v>657</x:v>
      </x:c>
      <x:c r="J806" s="18" t="n">
        <x:f>MIN(Model_Config_v3!$B$6,I806+Model_Config_v3!$B$7)</x:f>
        <x:v>677</x:v>
      </x:c>
      <x:c r="K806" s="20" t="n">
        <x:v>58</x:v>
      </x:c>
      <x:c r="L806" t="str">
        <x:v>KETAT</x:v>
      </x:c>
      <x:c r="M806" t="str">
        <x:v>SEDANG+</x:v>
      </x:c>
      <x:c r="N806" t="str">
        <x:v>ELITE-3</x:v>
      </x:c>
      <x:c r="O806" t="str">
        <x:v>SOSHUM</x:v>
      </x:c>
      <x:c r="P806" t="str">
        <x:v>HUKUM</x:v>
      </x:c>
      <x:c r="Q806" s="18" t="n">
        <x:v>615</x:v>
      </x:c>
      <x:c r="R806" s="18" t="n">
        <x:v>0</x:v>
      </x:c>
      <x:c r="S806" s="18" t="n">
        <x:v>613.7504287105518</x:v>
      </x:c>
      <x:c r="T806" s="18" t="n">
        <x:v>676</x:v>
      </x:c>
      <x:c r="U806" s="18" t="n">
        <x:v>628.7504287105518</x:v>
      </x:c>
      <x:c r="V806" s="20" t="n">
        <x:v>4.4</x:v>
      </x:c>
      <x:c r="W806" s="20" t="n">
        <x:v>14.3</x:v>
      </x:c>
      <x:c r="X806" s="20" t="n">
        <x:v>3.3</x:v>
      </x:c>
      <x:c r="Y806" t="str">
        <x:v>Basis arsip 2025/2024</x:v>
      </x:c>
      <x:c r="Z806" t="str">
        <x:v>https://snpmb.id/utbk-snbt/daya-tampung-snbt</x:v>
      </x:c>
      <x:c r="AA806" t="str">
        <x:v>Tidak Ada</x:v>
      </x:c>
      <x:c r="AB806" t="str">
        <x:v>Campus=80; Ratio=50.2; Prodi=65; RelDemand=44.2; Capacity=0.0</x:v>
      </x:c>
    </x:row>
    <x:row r="807">
      <x:c r="A807" t="n">
        <x:v>804</x:v>
      </x:c>
      <x:c r="B807" t="str">
        <x:v>PTN Akademik</x:v>
      </x:c>
      <x:c r="C807" t="str">
        <x:v>UNIVERSITAS LAMPUNG</x:v>
      </x:c>
      <x:c r="D807" t="str">
        <x:v>SOSIOLOGI</x:v>
      </x:c>
      <x:c r="E807" t="str">
        <x:v>Sarjana</x:v>
      </x:c>
      <x:c r="F807" s="18" t="n">
        <x:v>103</x:v>
      </x:c>
      <x:c r="G807" s="18" t="n">
        <x:v>301</x:v>
      </x:c>
      <x:c r="H807" s="19" t="n">
        <x:v>2.9223300970873787</x:v>
      </x:c>
      <x:c r="I807" s="18" t="n">
        <x:f>ROUND(MIN(Model_Config_v3!$B$6,MAX(Q807,R807,S807*Model_Config_v3!$B$4+T807*Model_Config_v3!$B$5)),0)</x:f>
        <x:v>628</x:v>
      </x:c>
      <x:c r="J807" s="18" t="n">
        <x:f>MIN(Model_Config_v3!$B$6,I807+Model_Config_v3!$B$7)</x:f>
        <x:v>648</x:v>
      </x:c>
      <x:c r="K807" s="20" t="n">
        <x:v>46.1</x:v>
      </x:c>
      <x:c r="L807" t="str">
        <x:v>MENENGAH</x:v>
      </x:c>
      <x:c r="M807" t="str">
        <x:v>SEDANG+</x:v>
      </x:c>
      <x:c r="N807" t="str">
        <x:v>ELITE-3</x:v>
      </x:c>
      <x:c r="O807" t="str">
        <x:v>SOSHUM</x:v>
      </x:c>
      <x:c r="P807" t="str">
        <x:v>UMUM</x:v>
      </x:c>
      <x:c r="Q807" s="18" t="n">
        <x:v>615</x:v>
      </x:c>
      <x:c r="R807" s="18" t="n">
        <x:v>0</x:v>
      </x:c>
      <x:c r="S807" s="18" t="n">
        <x:v>571.2302197977538</x:v>
      </x:c>
      <x:c r="T807" s="18" t="n">
        <x:v>652</x:v>
      </x:c>
      <x:c r="U807" s="18" t="n">
        <x:v>615</x:v>
      </x:c>
      <x:c r="V807" s="20" t="n">
        <x:v>4.4</x:v>
      </x:c>
      <x:c r="W807" s="20" t="n">
        <x:v>14.3</x:v>
      </x:c>
      <x:c r="X807" s="20" t="n">
        <x:v>3.3</x:v>
      </x:c>
      <x:c r="Y807" t="str">
        <x:v>Basis arsip 2025/2024</x:v>
      </x:c>
      <x:c r="Z807" t="str">
        <x:v>https://snpmb.id/utbk-snbt/daya-tampung-snbt</x:v>
      </x:c>
      <x:c r="AA807" t="str">
        <x:v>Tidak Ada</x:v>
      </x:c>
      <x:c r="AB807" t="str">
        <x:v>Campus=80; Ratio=27.4; Prodi=40; RelDemand=18.2; Capacity=14.2</x:v>
      </x:c>
    </x:row>
    <x:row r="808">
      <x:c r="A808" t="n">
        <x:v>805</x:v>
      </x:c>
      <x:c r="B808" t="str">
        <x:v>PTN Akademik</x:v>
      </x:c>
      <x:c r="C808" t="str">
        <x:v>UNIVERSITAS LAMPUNG</x:v>
      </x:c>
      <x:c r="D808" t="str">
        <x:v>ILMU PEMERINTAHAN</x:v>
      </x:c>
      <x:c r="E808" t="str">
        <x:v>Sarjana</x:v>
      </x:c>
      <x:c r="F808" s="18" t="n">
        <x:v>100</x:v>
      </x:c>
      <x:c r="G808" s="18" t="n">
        <x:v>597</x:v>
      </x:c>
      <x:c r="H808" s="19" t="n">
        <x:v>5.97</x:v>
      </x:c>
      <x:c r="I808" s="18" t="n">
        <x:f>ROUND(MIN(Model_Config_v3!$B$6,MAX(Q808,R808,S808*Model_Config_v3!$B$4+T808*Model_Config_v3!$B$5)),0)</x:f>
        <x:v>648</x:v>
      </x:c>
      <x:c r="J808" s="18" t="n">
        <x:f>MIN(Model_Config_v3!$B$6,I808+Model_Config_v3!$B$7)</x:f>
        <x:v>668</x:v>
      </x:c>
      <x:c r="K808" s="20" t="n">
        <x:v>52.8</x:v>
      </x:c>
      <x:c r="L808" t="str">
        <x:v>MENENGAH</x:v>
      </x:c>
      <x:c r="M808" t="str">
        <x:v>SEDANG+</x:v>
      </x:c>
      <x:c r="N808" t="str">
        <x:v>ELITE-3</x:v>
      </x:c>
      <x:c r="O808" t="str">
        <x:v>CAMPURAN</x:v>
      </x:c>
      <x:c r="P808" t="str">
        <x:v>UMUM</x:v>
      </x:c>
      <x:c r="Q808" s="18" t="n">
        <x:v>615</x:v>
      </x:c>
      <x:c r="R808" s="18" t="n">
        <x:v>0</x:v>
      </x:c>
      <x:c r="S808" s="18" t="n">
        <x:v>605.3571764242306</x:v>
      </x:c>
      <x:c r="T808" s="18" t="n">
        <x:v>666</x:v>
      </x:c>
      <x:c r="U808" s="18" t="n">
        <x:v>615</x:v>
      </x:c>
      <x:c r="V808" s="20" t="n">
        <x:v>8.8</x:v>
      </x:c>
      <x:c r="W808" s="20" t="n">
        <x:v>9.9</x:v>
      </x:c>
      <x:c r="X808" s="20" t="n">
        <x:v>3.3</x:v>
      </x:c>
      <x:c r="Y808" t="str">
        <x:v>Basis arsip 2025/2024</x:v>
      </x:c>
      <x:c r="Z808" t="str">
        <x:v>https://snpmb.id/utbk-snbt/daya-tampung-snbt</x:v>
      </x:c>
      <x:c r="AA808" t="str">
        <x:v>Tidak Ada</x:v>
      </x:c>
      <x:c r="AB808" t="str">
        <x:v>Campus=80; Ratio=45.7; Prodi=40; RelDemand=37.1; Capacity=16.7</x:v>
      </x:c>
    </x:row>
    <x:row r="809">
      <x:c r="A809" t="n">
        <x:v>806</x:v>
      </x:c>
      <x:c r="B809" t="str">
        <x:v>PTN Akademik</x:v>
      </x:c>
      <x:c r="C809" t="str">
        <x:v>UNIVERSITAS LAMPUNG</x:v>
      </x:c>
      <x:c r="D809" t="str">
        <x:v>MANAJEMEN</x:v>
      </x:c>
      <x:c r="E809" t="str">
        <x:v>Sarjana</x:v>
      </x:c>
      <x:c r="F809" s="18" t="n">
        <x:v>110</x:v>
      </x:c>
      <x:c r="G809" s="18" t="n">
        <x:v>1646</x:v>
      </x:c>
      <x:c r="H809" s="19" t="n">
        <x:v>14.963636363636363</x:v>
      </x:c>
      <x:c r="I809" s="18" t="n">
        <x:f>ROUND(MIN(Model_Config_v3!$B$6,MAX(Q809,R809,S809*Model_Config_v3!$B$4+T809*Model_Config_v3!$B$5)),0)</x:f>
        <x:v>683</x:v>
      </x:c>
      <x:c r="J809" s="18" t="n">
        <x:f>MIN(Model_Config_v3!$B$6,I809+Model_Config_v3!$B$7)</x:f>
        <x:v>703</x:v>
      </x:c>
      <x:c r="K809" s="20" t="n">
        <x:v>68.4</x:v>
      </x:c>
      <x:c r="L809" t="str">
        <x:v>SANGAT KETAT</x:v>
      </x:c>
      <x:c r="M809" t="str">
        <x:v>SEDANG+</x:v>
      </x:c>
      <x:c r="N809" t="str">
        <x:v>ELITE-3</x:v>
      </x:c>
      <x:c r="O809" t="str">
        <x:v>SOSHUM</x:v>
      </x:c>
      <x:c r="P809" t="str">
        <x:v>BISNIS/EKONOMI/AKUNTANSI</x:v>
      </x:c>
      <x:c r="Q809" s="18" t="n">
        <x:v>615</x:v>
      </x:c>
      <x:c r="R809" s="18" t="n">
        <x:v>0</x:v>
      </x:c>
      <x:c r="S809" s="18" t="n">
        <x:v>649.2540860289829</x:v>
      </x:c>
      <x:c r="T809" s="18" t="n">
        <x:v>697</x:v>
      </x:c>
      <x:c r="U809" s="18" t="n">
        <x:v>664.2540860289829</x:v>
      </x:c>
      <x:c r="V809" s="20" t="n">
        <x:v>4.4</x:v>
      </x:c>
      <x:c r="W809" s="20" t="n">
        <x:v>14.3</x:v>
      </x:c>
      <x:c r="X809" s="20" t="n">
        <x:v>3.3</x:v>
      </x:c>
      <x:c r="Y809" t="str">
        <x:v>Basis arsip 2025/2024</x:v>
      </x:c>
      <x:c r="Z809" t="str">
        <x:v>https://snpmb.id/utbk-snbt/daya-tampung-snbt</x:v>
      </x:c>
      <x:c r="AA809" t="str">
        <x:v>Tidak Ada</x:v>
      </x:c>
      <x:c r="AB809" t="str">
        <x:v>Campus=80; Ratio=69.2; Prodi=65; RelDemand=93.0; Capacity=8.3</x:v>
      </x:c>
    </x:row>
    <x:row r="810">
      <x:c r="A810" t="n">
        <x:v>807</x:v>
      </x:c>
      <x:c r="B810" t="str">
        <x:v>PTN Akademik</x:v>
      </x:c>
      <x:c r="C810" t="str">
        <x:v>UNIVERSITAS LAMPUNG</x:v>
      </x:c>
      <x:c r="D810" t="str">
        <x:v>IESP</x:v>
      </x:c>
      <x:c r="E810" t="str">
        <x:v>Sarjana</x:v>
      </x:c>
      <x:c r="F810" s="18" t="n">
        <x:v>95</x:v>
      </x:c>
      <x:c r="G810" s="18" t="n">
        <x:v>417</x:v>
      </x:c>
      <x:c r="H810" s="19" t="n">
        <x:v>4.389473684210526</x:v>
      </x:c>
      <x:c r="I810" s="18" t="n">
        <x:f>ROUND(MIN(Model_Config_v3!$B$6,MAX(Q810,R810,S810*Model_Config_v3!$B$4+T810*Model_Config_v3!$B$5)),0)</x:f>
        <x:v>640</x:v>
      </x:c>
      <x:c r="J810" s="18" t="n">
        <x:f>MIN(Model_Config_v3!$B$6,I810+Model_Config_v3!$B$7)</x:f>
        <x:v>660</x:v>
      </x:c>
      <x:c r="K810" s="20" t="n">
        <x:v>50.3</x:v>
      </x:c>
      <x:c r="L810" t="str">
        <x:v>MENENGAH</x:v>
      </x:c>
      <x:c r="M810" t="str">
        <x:v>SEDANG+</x:v>
      </x:c>
      <x:c r="N810" t="str">
        <x:v>ELITE-3</x:v>
      </x:c>
      <x:c r="O810" t="str">
        <x:v>CAMPURAN</x:v>
      </x:c>
      <x:c r="P810" t="str">
        <x:v>UMUM</x:v>
      </x:c>
      <x:c r="Q810" s="18" t="n">
        <x:v>615</x:v>
      </x:c>
      <x:c r="R810" s="18" t="n">
        <x:v>0</x:v>
      </x:c>
      <x:c r="S810" s="18" t="n">
        <x:v>590.6653694653401</x:v>
      </x:c>
      <x:c r="T810" s="18" t="n">
        <x:v>661</x:v>
      </x:c>
      <x:c r="U810" s="18" t="n">
        <x:v>615</x:v>
      </x:c>
      <x:c r="V810" s="20" t="n">
        <x:v>8.8</x:v>
      </x:c>
      <x:c r="W810" s="20" t="n">
        <x:v>9.9</x:v>
      </x:c>
      <x:c r="X810" s="20" t="n">
        <x:v>3.3</x:v>
      </x:c>
      <x:c r="Y810" t="str">
        <x:v>Basis arsip 2025/2024</x:v>
      </x:c>
      <x:c r="Z810" t="str">
        <x:v>https://snpmb.id/utbk-snbt/daya-tampung-snbt</x:v>
      </x:c>
      <x:c r="AA810" t="str">
        <x:v>Tidak Ada</x:v>
      </x:c>
      <x:c r="AB810" t="str">
        <x:v>Campus=80; Ratio=37.8; Prodi=40; RelDemand=27.3; Capacity=20.8</x:v>
      </x:c>
    </x:row>
    <x:row r="811">
      <x:c r="A811" t="n">
        <x:v>808</x:v>
      </x:c>
      <x:c r="B811" t="str">
        <x:v>PTN Akademik</x:v>
      </x:c>
      <x:c r="C811" t="str">
        <x:v>UNIVERSITAS LAMPUNG</x:v>
      </x:c>
      <x:c r="D811" t="str">
        <x:v>AKUNTANSI</x:v>
      </x:c>
      <x:c r="E811" t="str">
        <x:v>Sarjana</x:v>
      </x:c>
      <x:c r="F811" s="18" t="n">
        <x:v>110</x:v>
      </x:c>
      <x:c r="G811" s="18" t="n">
        <x:v>1062</x:v>
      </x:c>
      <x:c r="H811" s="19" t="n">
        <x:v>9.654545454545454</x:v>
      </x:c>
      <x:c r="I811" s="18" t="n">
        <x:f>ROUND(MIN(Model_Config_v3!$B$6,MAX(Q811,R811,S811*Model_Config_v3!$B$4+T811*Model_Config_v3!$B$5)),0)</x:f>
        <x:v>668</x:v>
      </x:c>
      <x:c r="J811" s="18" t="n">
        <x:f>MIN(Model_Config_v3!$B$6,I811+Model_Config_v3!$B$7)</x:f>
        <x:v>688</x:v>
      </x:c>
      <x:c r="K811" s="20" t="n">
        <x:v>62.3</x:v>
      </x:c>
      <x:c r="L811" t="str">
        <x:v>KETAT</x:v>
      </x:c>
      <x:c r="M811" t="str">
        <x:v>SEDANG+</x:v>
      </x:c>
      <x:c r="N811" t="str">
        <x:v>ELITE-3</x:v>
      </x:c>
      <x:c r="O811" t="str">
        <x:v>SOSHUM</x:v>
      </x:c>
      <x:c r="P811" t="str">
        <x:v>BISNIS/EKONOMI/AKUNTANSI</x:v>
      </x:c>
      <x:c r="Q811" s="18" t="n">
        <x:v>615</x:v>
      </x:c>
      <x:c r="R811" s="18" t="n">
        <x:v>0</x:v>
      </x:c>
      <x:c r="S811" s="18" t="n">
        <x:v>628.3205014745947</x:v>
      </x:c>
      <x:c r="T811" s="18" t="n">
        <x:v>685</x:v>
      </x:c>
      <x:c r="U811" s="18" t="n">
        <x:v>628.3205014745947</x:v>
      </x:c>
      <x:c r="V811" s="20" t="n">
        <x:v>4.4</x:v>
      </x:c>
      <x:c r="W811" s="20" t="n">
        <x:v>14.3</x:v>
      </x:c>
      <x:c r="X811" s="20" t="n">
        <x:v>3.3</x:v>
      </x:c>
      <x:c r="Y811" t="str">
        <x:v>Basis arsip 2025/2024</x:v>
      </x:c>
      <x:c r="Z811" t="str">
        <x:v>https://snpmb.id/utbk-snbt/daya-tampung-snbt</x:v>
      </x:c>
      <x:c r="AA811" t="str">
        <x:v>Tidak Ada</x:v>
      </x:c>
      <x:c r="AB811" t="str">
        <x:v>Campus=80; Ratio=58.0; Prodi=65; RelDemand=60.0; Capacity=8.3</x:v>
      </x:c>
    </x:row>
    <x:row r="812">
      <x:c r="A812" t="n">
        <x:v>809</x:v>
      </x:c>
      <x:c r="B812" t="str">
        <x:v>PTN Akademik</x:v>
      </x:c>
      <x:c r="C812" t="str">
        <x:v>UNIVERSITAS LAMPUNG</x:v>
      </x:c>
      <x:c r="D812" t="str">
        <x:v>ILMU KOMUNIKASI</x:v>
      </x:c>
      <x:c r="E812" t="str">
        <x:v>Sarjana</x:v>
      </x:c>
      <x:c r="F812" s="18" t="n">
        <x:v>100</x:v>
      </x:c>
      <x:c r="G812" s="18" t="n">
        <x:v>1162</x:v>
      </x:c>
      <x:c r="H812" s="19" t="n">
        <x:v>11.62</x:v>
      </x:c>
      <x:c r="I812" s="18" t="n">
        <x:f>ROUND(MIN(Model_Config_v3!$B$6,MAX(Q812,R812,S812*Model_Config_v3!$B$4+T812*Model_Config_v3!$B$5)),0)</x:f>
        <x:v>668</x:v>
      </x:c>
      <x:c r="J812" s="18" t="n">
        <x:f>MIN(Model_Config_v3!$B$6,I812+Model_Config_v3!$B$7)</x:f>
        <x:v>688</x:v>
      </x:c>
      <x:c r="K812" s="20" t="n">
        <x:v>60.6</x:v>
      </x:c>
      <x:c r="L812" t="str">
        <x:v>KETAT</x:v>
      </x:c>
      <x:c r="M812" t="str">
        <x:v>SEDANG+</x:v>
      </x:c>
      <x:c r="N812" t="str">
        <x:v>ELITE-3</x:v>
      </x:c>
      <x:c r="O812" t="str">
        <x:v>SOSHUM</x:v>
      </x:c>
      <x:c r="P812" t="str">
        <x:v>UMUM</x:v>
      </x:c>
      <x:c r="Q812" s="18" t="n">
        <x:v>615</x:v>
      </x:c>
      <x:c r="R812" s="18" t="n">
        <x:v>0</x:v>
      </x:c>
      <x:c r="S812" s="18" t="n">
        <x:v>637.1726740859743</x:v>
      </x:c>
      <x:c r="T812" s="18" t="n">
        <x:v>681</x:v>
      </x:c>
      <x:c r="U812" s="18" t="n">
        <x:v>637.1726740859743</x:v>
      </x:c>
      <x:c r="V812" s="20" t="n">
        <x:v>4.4</x:v>
      </x:c>
      <x:c r="W812" s="20" t="n">
        <x:v>14.3</x:v>
      </x:c>
      <x:c r="X812" s="20" t="n">
        <x:v>3.3</x:v>
      </x:c>
      <x:c r="Y812" t="str">
        <x:v>Basis arsip 2025/2024</x:v>
      </x:c>
      <x:c r="Z812" t="str">
        <x:v>https://snpmb.id/utbk-snbt/daya-tampung-snbt</x:v>
      </x:c>
      <x:c r="AA812" t="str">
        <x:v>Tidak Ada</x:v>
      </x:c>
      <x:c r="AB812" t="str">
        <x:v>Campus=80; Ratio=62.7; Prodi=40; RelDemand=72.2; Capacity=16.7</x:v>
      </x:c>
    </x:row>
    <x:row r="813">
      <x:c r="A813" t="n">
        <x:v>810</x:v>
      </x:c>
      <x:c r="B813" t="str">
        <x:v>PTN Akademik</x:v>
      </x:c>
      <x:c r="C813" t="str">
        <x:v>UNIVERSITAS LAMPUNG</x:v>
      </x:c>
      <x:c r="D813" t="str">
        <x:v>ILMU ADM. NEGARA</x:v>
      </x:c>
      <x:c r="E813" t="str">
        <x:v>Sarjana</x:v>
      </x:c>
      <x:c r="F813" s="18" t="n">
        <x:v>100</x:v>
      </x:c>
      <x:c r="G813" s="18" t="n">
        <x:v>652</x:v>
      </x:c>
      <x:c r="H813" s="19" t="n">
        <x:v>6.52</x:v>
      </x:c>
      <x:c r="I813" s="18" t="n">
        <x:f>ROUND(MIN(Model_Config_v3!$B$6,MAX(Q813,R813,S813*Model_Config_v3!$B$4+T813*Model_Config_v3!$B$5)),0)</x:f>
        <x:v>650</x:v>
      </x:c>
      <x:c r="J813" s="18" t="n">
        <x:f>MIN(Model_Config_v3!$B$6,I813+Model_Config_v3!$B$7)</x:f>
        <x:v>670</x:v>
      </x:c>
      <x:c r="K813" s="20" t="n">
        <x:v>53.7</x:v>
      </x:c>
      <x:c r="L813" t="str">
        <x:v>MENENGAH</x:v>
      </x:c>
      <x:c r="M813" t="str">
        <x:v>SEDANG+</x:v>
      </x:c>
      <x:c r="N813" t="str">
        <x:v>ELITE-3</x:v>
      </x:c>
      <x:c r="O813" t="str">
        <x:v>CAMPURAN</x:v>
      </x:c>
      <x:c r="P813" t="str">
        <x:v>UMUM</x:v>
      </x:c>
      <x:c r="Q813" s="18" t="n">
        <x:v>615</x:v>
      </x:c>
      <x:c r="R813" s="18" t="n">
        <x:v>0</x:v>
      </x:c>
      <x:c r="S813" s="18" t="n">
        <x:v>609.5672355305112</x:v>
      </x:c>
      <x:c r="T813" s="18" t="n">
        <x:v>667</x:v>
      </x:c>
      <x:c r="U813" s="18" t="n">
        <x:v>615</x:v>
      </x:c>
      <x:c r="V813" s="20" t="n">
        <x:v>8.8</x:v>
      </x:c>
      <x:c r="W813" s="20" t="n">
        <x:v>9.9</x:v>
      </x:c>
      <x:c r="X813" s="20" t="n">
        <x:v>3.3</x:v>
      </x:c>
      <x:c r="Y813" t="str">
        <x:v>Basis arsip 2025/2024</x:v>
      </x:c>
      <x:c r="Z813" t="str">
        <x:v>https://snpmb.id/utbk-snbt/daya-tampung-snbt</x:v>
      </x:c>
      <x:c r="AA813" t="str">
        <x:v>Tidak Ada</x:v>
      </x:c>
      <x:c r="AB813" t="str">
        <x:v>Campus=80; Ratio=47.9; Prodi=40; RelDemand=40.5; Capacity=16.7</x:v>
      </x:c>
    </x:row>
    <x:row r="814">
      <x:c r="A814" t="n">
        <x:v>811</x:v>
      </x:c>
      <x:c r="B814" t="str">
        <x:v>PTN Akademik</x:v>
      </x:c>
      <x:c r="C814" t="str">
        <x:v>UNIVERSITAS LAMPUNG</x:v>
      </x:c>
      <x:c r="D814" t="str">
        <x:v>ILMU ADM. NIAGA/BISNIS</x:v>
      </x:c>
      <x:c r="E814" t="str">
        <x:v>Sarjana</x:v>
      </x:c>
      <x:c r="F814" s="18" t="n">
        <x:v>100</x:v>
      </x:c>
      <x:c r="G814" s="18" t="n">
        <x:v>999</x:v>
      </x:c>
      <x:c r="H814" s="19" t="n">
        <x:v>9.99</x:v>
      </x:c>
      <x:c r="I814" s="18" t="n">
        <x:f>ROUND(MIN(Model_Config_v3!$B$6,MAX(Q814,R814,S814*Model_Config_v3!$B$4+T814*Model_Config_v3!$B$5)),0)</x:f>
        <x:v>670</x:v>
      </x:c>
      <x:c r="J814" s="18" t="n">
        <x:f>MIN(Model_Config_v3!$B$6,I814+Model_Config_v3!$B$7)</x:f>
        <x:v>690</x:v>
      </x:c>
      <x:c r="K814" s="20" t="n">
        <x:v>63.6</x:v>
      </x:c>
      <x:c r="L814" t="str">
        <x:v>KETAT</x:v>
      </x:c>
      <x:c r="M814" t="str">
        <x:v>SEDANG+</x:v>
      </x:c>
      <x:c r="N814" t="str">
        <x:v>ELITE-3</x:v>
      </x:c>
      <x:c r="O814" t="str">
        <x:v>SOSHUM</x:v>
      </x:c>
      <x:c r="P814" t="str">
        <x:v>BISNIS/EKONOMI/AKUNTANSI</x:v>
      </x:c>
      <x:c r="Q814" s="18" t="n">
        <x:v>615</x:v>
      </x:c>
      <x:c r="R814" s="18" t="n">
        <x:v>0</x:v>
      </x:c>
      <x:c r="S814" s="18" t="n">
        <x:v>629.952203704858</x:v>
      </x:c>
      <x:c r="T814" s="18" t="n">
        <x:v>687</x:v>
      </x:c>
      <x:c r="U814" s="18" t="n">
        <x:v>644.952203704858</x:v>
      </x:c>
      <x:c r="V814" s="20" t="n">
        <x:v>4.4</x:v>
      </x:c>
      <x:c r="W814" s="20" t="n">
        <x:v>14.3</x:v>
      </x:c>
      <x:c r="X814" s="20" t="n">
        <x:v>3.3</x:v>
      </x:c>
      <x:c r="Y814" t="str">
        <x:v>Basis arsip 2025/2024</x:v>
      </x:c>
      <x:c r="Z814" t="str">
        <x:v>https://snpmb.id/utbk-snbt/daya-tampung-snbt</x:v>
      </x:c>
      <x:c r="AA814" t="str">
        <x:v>Tidak Ada</x:v>
      </x:c>
      <x:c r="AB814" t="str">
        <x:v>Campus=80; Ratio=58.8; Prodi=65; RelDemand=62.1; Capacity=16.7</x:v>
      </x:c>
    </x:row>
    <x:row r="815">
      <x:c r="A815" t="n">
        <x:v>812</x:v>
      </x:c>
      <x:c r="B815" t="str">
        <x:v>PTN Akademik</x:v>
      </x:c>
      <x:c r="C815" t="str">
        <x:v>UNIVERSITAS LAMPUNG</x:v>
      </x:c>
      <x:c r="D815" t="str">
        <x:v>PPKN</x:v>
      </x:c>
      <x:c r="E815" t="str">
        <x:v>Sarjana</x:v>
      </x:c>
      <x:c r="F815" s="18" t="n">
        <x:v>60</x:v>
      </x:c>
      <x:c r="G815" s="18" t="n">
        <x:v>395</x:v>
      </x:c>
      <x:c r="H815" s="19" t="n">
        <x:v>6.583333333333333</x:v>
      </x:c>
      <x:c r="I815" s="18" t="n">
        <x:f>ROUND(MIN(Model_Config_v3!$B$6,MAX(Q815,R815,S815*Model_Config_v3!$B$4+T815*Model_Config_v3!$B$5)),0)</x:f>
        <x:v>655</x:v>
      </x:c>
      <x:c r="J815" s="18" t="n">
        <x:f>MIN(Model_Config_v3!$B$6,I815+Model_Config_v3!$B$7)</x:f>
        <x:v>675</x:v>
      </x:c>
      <x:c r="K815" s="20" t="n">
        <x:v>57.1</x:v>
      </x:c>
      <x:c r="L815" t="str">
        <x:v>KETAT</x:v>
      </x:c>
      <x:c r="M815" t="str">
        <x:v>SEDANG+</x:v>
      </x:c>
      <x:c r="N815" t="str">
        <x:v>ELITE-3</x:v>
      </x:c>
      <x:c r="O815" t="str">
        <x:v>CAMPURAN</x:v>
      </x:c>
      <x:c r="P815" t="str">
        <x:v>UMUM</x:v>
      </x:c>
      <x:c r="Q815" s="18" t="n">
        <x:v>615</x:v>
      </x:c>
      <x:c r="R815" s="18" t="n">
        <x:v>0</x:v>
      </x:c>
      <x:c r="S815" s="18" t="n">
        <x:v>610.0290429767098</x:v>
      </x:c>
      <x:c r="T815" s="18" t="n">
        <x:v>674</x:v>
      </x:c>
      <x:c r="U815" s="18" t="n">
        <x:v>615</x:v>
      </x:c>
      <x:c r="V815" s="20" t="n">
        <x:v>8.8</x:v>
      </x:c>
      <x:c r="W815" s="20" t="n">
        <x:v>9.9</x:v>
      </x:c>
      <x:c r="X815" s="20" t="n">
        <x:v>3.3</x:v>
      </x:c>
      <x:c r="Y815" t="str">
        <x:v>Basis arsip 2025/2024</x:v>
      </x:c>
      <x:c r="Z815" t="str">
        <x:v>https://snpmb.id/utbk-snbt/daya-tampung-snbt</x:v>
      </x:c>
      <x:c r="AA815" t="str">
        <x:v>Tidak Ada</x:v>
      </x:c>
      <x:c r="AB815" t="str">
        <x:v>Campus=80; Ratio=48.2; Prodi=40; RelDemand=40.9; Capacity=50.0</x:v>
      </x:c>
    </x:row>
    <x:row r="816">
      <x:c r="A816" t="n">
        <x:v>813</x:v>
      </x:c>
      <x:c r="B816" t="str">
        <x:v>PTN Akademik</x:v>
      </x:c>
      <x:c r="C816" t="str">
        <x:v>UNIVERSITAS LAMPUNG</x:v>
      </x:c>
      <x:c r="D816" t="str">
        <x:v>PEND. SEJARAH</x:v>
      </x:c>
      <x:c r="E816" t="str">
        <x:v>Sarjana</x:v>
      </x:c>
      <x:c r="F816" s="18" t="n">
        <x:v>65</x:v>
      </x:c>
      <x:c r="G816" s="18" t="n">
        <x:v>222</x:v>
      </x:c>
      <x:c r="H816" s="19" t="n">
        <x:v>3.4153846153846152</x:v>
      </x:c>
      <x:c r="I816" s="18" t="n">
        <x:f>ROUND(MIN(Model_Config_v3!$B$6,MAX(Q816,R816,S816*Model_Config_v3!$B$4+T816*Model_Config_v3!$B$5)),0)</x:f>
        <x:v>638</x:v>
      </x:c>
      <x:c r="J816" s="18" t="n">
        <x:f>MIN(Model_Config_v3!$B$6,I816+Model_Config_v3!$B$7)</x:f>
        <x:v>658</x:v>
      </x:c>
      <x:c r="K816" s="20" t="n">
        <x:v>51.6</x:v>
      </x:c>
      <x:c r="L816" t="str">
        <x:v>MENENGAH</x:v>
      </x:c>
      <x:c r="M816" t="str">
        <x:v>SEDANG+</x:v>
      </x:c>
      <x:c r="N816" t="str">
        <x:v>ELITE-3</x:v>
      </x:c>
      <x:c r="O816" t="str">
        <x:v>SOSHUM</x:v>
      </x:c>
      <x:c r="P816" t="str">
        <x:v>PENDIDIKAN</x:v>
      </x:c>
      <x:c r="Q816" s="18" t="n">
        <x:v>615</x:v>
      </x:c>
      <x:c r="R816" s="18" t="n">
        <x:v>0</x:v>
      </x:c>
      <x:c r="S816" s="18" t="n">
        <x:v>578.6783579588562</x:v>
      </x:c>
      <x:c r="T816" s="18" t="n">
        <x:v>663</x:v>
      </x:c>
      <x:c r="U816" s="18" t="n">
        <x:v>615</x:v>
      </x:c>
      <x:c r="V816" s="20" t="n">
        <x:v>4.4</x:v>
      </x:c>
      <x:c r="W816" s="20" t="n">
        <x:v>14.3</x:v>
      </x:c>
      <x:c r="X816" s="20" t="n">
        <x:v>3.3</x:v>
      </x:c>
      <x:c r="Y816" t="str">
        <x:v>Basis arsip 2025/2024</x:v>
      </x:c>
      <x:c r="Z816" t="str">
        <x:v>https://snpmb.id/utbk-snbt/daya-tampung-snbt</x:v>
      </x:c>
      <x:c r="AA816" t="str">
        <x:v>Tidak Ada</x:v>
      </x:c>
      <x:c r="AB816" t="str">
        <x:v>Campus=80; Ratio=31.4; Prodi=45; RelDemand=21.2; Capacity=45.8</x:v>
      </x:c>
    </x:row>
    <x:row r="817">
      <x:c r="A817" t="n">
        <x:v>814</x:v>
      </x:c>
      <x:c r="B817" t="str">
        <x:v>PTN Akademik</x:v>
      </x:c>
      <x:c r="C817" t="str">
        <x:v>UNIVERSITAS LAMPUNG</x:v>
      </x:c>
      <x:c r="D817" t="str">
        <x:v>PEND. GEOGRAFI</x:v>
      </x:c>
      <x:c r="E817" t="str">
        <x:v>Sarjana</x:v>
      </x:c>
      <x:c r="F817" s="18" t="n">
        <x:v>55</x:v>
      </x:c>
      <x:c r="G817" s="18" t="n">
        <x:v>234</x:v>
      </x:c>
      <x:c r="H817" s="19" t="n">
        <x:v>4.254545454545455</x:v>
      </x:c>
      <x:c r="I817" s="18" t="n">
        <x:f>ROUND(MIN(Model_Config_v3!$B$6,MAX(Q817,R817,S817*Model_Config_v3!$B$4+T817*Model_Config_v3!$B$5)),0)</x:f>
        <x:v>645</x:v>
      </x:c>
      <x:c r="J817" s="18" t="n">
        <x:f>MIN(Model_Config_v3!$B$6,I817+Model_Config_v3!$B$7)</x:f>
        <x:v>665</x:v>
      </x:c>
      <x:c r="K817" s="20" t="n">
        <x:v>54.3</x:v>
      </x:c>
      <x:c r="L817" t="str">
        <x:v>MENENGAH</x:v>
      </x:c>
      <x:c r="M817" t="str">
        <x:v>SEDANG+</x:v>
      </x:c>
      <x:c r="N817" t="str">
        <x:v>ELITE-3</x:v>
      </x:c>
      <x:c r="O817" t="str">
        <x:v>CAMPURAN</x:v>
      </x:c>
      <x:c r="P817" t="str">
        <x:v>PENDIDIKAN</x:v>
      </x:c>
      <x:c r="Q817" s="18" t="n">
        <x:v>615</x:v>
      </x:c>
      <x:c r="R817" s="18" t="n">
        <x:v>0</x:v>
      </x:c>
      <x:c r="S817" s="18" t="n">
        <x:v>589.1738484707489</x:v>
      </x:c>
      <x:c r="T817" s="18" t="n">
        <x:v>669</x:v>
      </x:c>
      <x:c r="U817" s="18" t="n">
        <x:v>615</x:v>
      </x:c>
      <x:c r="V817" s="20" t="n">
        <x:v>8.8</x:v>
      </x:c>
      <x:c r="W817" s="20" t="n">
        <x:v>9.9</x:v>
      </x:c>
      <x:c r="X817" s="20" t="n">
        <x:v>3.3</x:v>
      </x:c>
      <x:c r="Y817" t="str">
        <x:v>Basis arsip 2025/2024</x:v>
      </x:c>
      <x:c r="Z817" t="str">
        <x:v>https://snpmb.id/utbk-snbt/daya-tampung-snbt</x:v>
      </x:c>
      <x:c r="AA817" t="str">
        <x:v>Tidak Ada</x:v>
      </x:c>
      <x:c r="AB817" t="str">
        <x:v>Campus=80; Ratio=37.0; Prodi=45; RelDemand=26.5; Capacity=54.2</x:v>
      </x:c>
    </x:row>
    <x:row r="818">
      <x:c r="A818" t="n">
        <x:v>815</x:v>
      </x:c>
      <x:c r="B818" t="str">
        <x:v>PTN Akademik</x:v>
      </x:c>
      <x:c r="C818" t="str">
        <x:v>UNIVERSITAS LAMPUNG</x:v>
      </x:c>
      <x:c r="D818" t="str">
        <x:v>PEND. EKONOMI</x:v>
      </x:c>
      <x:c r="E818" t="str">
        <x:v>Sarjana</x:v>
      </x:c>
      <x:c r="F818" s="18" t="n">
        <x:v>64</x:v>
      </x:c>
      <x:c r="G818" s="18" t="n">
        <x:v>279</x:v>
      </x:c>
      <x:c r="H818" s="19" t="n">
        <x:v>4.359375</x:v>
      </x:c>
      <x:c r="I818" s="18" t="n">
        <x:f>ROUND(MIN(Model_Config_v3!$B$6,MAX(Q818,R818,S818*Model_Config_v3!$B$4+T818*Model_Config_v3!$B$5)),0)</x:f>
        <x:v>645</x:v>
      </x:c>
      <x:c r="J818" s="18" t="n">
        <x:f>MIN(Model_Config_v3!$B$6,I818+Model_Config_v3!$B$7)</x:f>
        <x:v>665</x:v>
      </x:c>
      <x:c r="K818" s="20" t="n">
        <x:v>53.8</x:v>
      </x:c>
      <x:c r="L818" t="str">
        <x:v>MENENGAH</x:v>
      </x:c>
      <x:c r="M818" t="str">
        <x:v>SEDANG+</x:v>
      </x:c>
      <x:c r="N818" t="str">
        <x:v>ELITE-3</x:v>
      </x:c>
      <x:c r="O818" t="str">
        <x:v>SOSHUM</x:v>
      </x:c>
      <x:c r="P818" t="str">
        <x:v>PENDIDIKAN</x:v>
      </x:c>
      <x:c r="Q818" s="18" t="n">
        <x:v>615</x:v>
      </x:c>
      <x:c r="R818" s="18" t="n">
        <x:v>0</x:v>
      </x:c>
      <x:c r="S818" s="18" t="n">
        <x:v>590.3366652218681</x:v>
      </x:c>
      <x:c r="T818" s="18" t="n">
        <x:v>668</x:v>
      </x:c>
      <x:c r="U818" s="18" t="n">
        <x:v>615</x:v>
      </x:c>
      <x:c r="V818" s="20" t="n">
        <x:v>4.4</x:v>
      </x:c>
      <x:c r="W818" s="20" t="n">
        <x:v>14.3</x:v>
      </x:c>
      <x:c r="X818" s="20" t="n">
        <x:v>3.3</x:v>
      </x:c>
      <x:c r="Y818" t="str">
        <x:v>Basis arsip 2025/2024</x:v>
      </x:c>
      <x:c r="Z818" t="str">
        <x:v>https://snpmb.id/utbk-snbt/daya-tampung-snbt</x:v>
      </x:c>
      <x:c r="AA818" t="str">
        <x:v>Tidak Ada</x:v>
      </x:c>
      <x:c r="AB818" t="str">
        <x:v>Campus=80; Ratio=37.6; Prodi=45; RelDemand=27.1; Capacity=46.7</x:v>
      </x:c>
    </x:row>
    <x:row r="819">
      <x:c r="A819" t="n">
        <x:v>816</x:v>
      </x:c>
      <x:c r="B819" t="str">
        <x:v>PTN Akademik</x:v>
      </x:c>
      <x:c r="C819" t="str">
        <x:v>UNIVERSITAS LAMPUNG</x:v>
      </x:c>
      <x:c r="D819" t="str">
        <x:v>PENDIDIKAN JASMANI</x:v>
      </x:c>
      <x:c r="E819" t="str">
        <x:v>Sarjana</x:v>
      </x:c>
      <x:c r="F819" s="18" t="n">
        <x:v>65</x:v>
      </x:c>
      <x:c r="G819" s="18" t="n">
        <x:v>214</x:v>
      </x:c>
      <x:c r="H819" s="19" t="n">
        <x:v>3.292307692307692</x:v>
      </x:c>
      <x:c r="I819" s="18" t="n">
        <x:f>ROUND(MIN(Model_Config_v3!$B$6,MAX(Q819,R819,S819*Model_Config_v3!$B$4+T819*Model_Config_v3!$B$5)),0)</x:f>
        <x:v>636</x:v>
      </x:c>
      <x:c r="J819" s="18" t="n">
        <x:f>MIN(Model_Config_v3!$B$6,I819+Model_Config_v3!$B$7)</x:f>
        <x:v>656</x:v>
      </x:c>
      <x:c r="K819" s="20" t="n">
        <x:v>51.2</x:v>
      </x:c>
      <x:c r="L819" t="str">
        <x:v>MENENGAH</x:v>
      </x:c>
      <x:c r="M819" t="str">
        <x:v>PORTOFOLIO</x:v>
      </x:c>
      <x:c r="N819" t="str">
        <x:v>ELITE-3</x:v>
      </x:c>
      <x:c r="O819" t="str">
        <x:v>SENI/OLAHRAGA</x:v>
      </x:c>
      <x:c r="P819" t="str">
        <x:v>SENI/OLAHRAGA</x:v>
      </x:c>
      <x:c r="Q819" s="18" t="n">
        <x:v>615</x:v>
      </x:c>
      <x:c r="R819" s="18" t="n">
        <x:v>0</x:v>
      </x:c>
      <x:c r="S819" s="18" t="n">
        <x:v>576.9250458376969</x:v>
      </x:c>
      <x:c r="T819" s="18" t="n">
        <x:v>662</x:v>
      </x:c>
      <x:c r="U819" s="18" t="n">
        <x:v>615</x:v>
      </x:c>
      <x:c r="V819" s="20" t="n">
        <x:v>4.4</x:v>
      </x:c>
      <x:c r="W819" s="20" t="n">
        <x:v>9.9</x:v>
      </x:c>
      <x:c r="X819" s="20" t="n">
        <x:v>7.7</x:v>
      </x:c>
      <x:c r="Y819" t="str">
        <x:v>Basis arsip 2025/2024</x:v>
      </x:c>
      <x:c r="Z819" t="str">
        <x:v>https://snpmb.id/utbk-snbt/daya-tampung-snbt</x:v>
      </x:c>
      <x:c r="AA819" t="str">
        <x:v>Olahraga</x:v>
      </x:c>
      <x:c r="AB819" t="str">
        <x:v>Campus=80; Ratio=30.5; Prodi=45; RelDemand=20.5; Capacity=45.8</x:v>
      </x:c>
    </x:row>
    <x:row r="820">
      <x:c r="A820" t="n">
        <x:v>817</x:v>
      </x:c>
      <x:c r="B820" t="str">
        <x:v>PTN Akademik</x:v>
      </x:c>
      <x:c r="C820" t="str">
        <x:v>UNIVERSITAS LAMPUNG</x:v>
      </x:c>
      <x:c r="D820" t="str">
        <x:v>BIMB. KONSELING</x:v>
      </x:c>
      <x:c r="E820" t="str">
        <x:v>Sarjana</x:v>
      </x:c>
      <x:c r="F820" s="18" t="n">
        <x:v>65</x:v>
      </x:c>
      <x:c r="G820" s="18" t="n">
        <x:v>675</x:v>
      </x:c>
      <x:c r="H820" s="19" t="n">
        <x:v>10.384615384615385</x:v>
      </x:c>
      <x:c r="I820" s="18" t="n">
        <x:f>ROUND(MIN(Model_Config_v3!$B$6,MAX(Q820,R820,S820*Model_Config_v3!$B$4+T820*Model_Config_v3!$B$5)),0)</x:f>
        <x:v>668</x:v>
      </x:c>
      <x:c r="J820" s="18" t="n">
        <x:f>MIN(Model_Config_v3!$B$6,I820+Model_Config_v3!$B$7)</x:f>
        <x:v>688</x:v>
      </x:c>
      <x:c r="K820" s="20" t="n">
        <x:v>62</x:v>
      </x:c>
      <x:c r="L820" t="str">
        <x:v>KETAT</x:v>
      </x:c>
      <x:c r="M820" t="str">
        <x:v>SEDANG+</x:v>
      </x:c>
      <x:c r="N820" t="str">
        <x:v>ELITE-3</x:v>
      </x:c>
      <x:c r="O820" t="str">
        <x:v>CAMPURAN</x:v>
      </x:c>
      <x:c r="P820" t="str">
        <x:v>UMUM</x:v>
      </x:c>
      <x:c r="Q820" s="18" t="n">
        <x:v>615</x:v>
      </x:c>
      <x:c r="R820" s="18" t="n">
        <x:v>0</x:v>
      </x:c>
      <x:c r="S820" s="18" t="n">
        <x:v>631.8029457806987</x:v>
      </x:c>
      <x:c r="T820" s="18" t="n">
        <x:v>684</x:v>
      </x:c>
      <x:c r="U820" s="18" t="n">
        <x:v>631.8029457806987</x:v>
      </x:c>
      <x:c r="V820" s="20" t="n">
        <x:v>8.8</x:v>
      </x:c>
      <x:c r="W820" s="20" t="n">
        <x:v>9.9</x:v>
      </x:c>
      <x:c r="X820" s="20" t="n">
        <x:v>3.3</x:v>
      </x:c>
      <x:c r="Y820" t="str">
        <x:v>Basis arsip 2025/2024</x:v>
      </x:c>
      <x:c r="Z820" t="str">
        <x:v>https://snpmb.id/utbk-snbt/daya-tampung-snbt</x:v>
      </x:c>
      <x:c r="AA820" t="str">
        <x:v>Tidak Ada</x:v>
      </x:c>
      <x:c r="AB820" t="str">
        <x:v>Campus=80; Ratio=59.8; Prodi=40; RelDemand=64.6; Capacity=45.8</x:v>
      </x:c>
    </x:row>
    <x:row r="821">
      <x:c r="A821" t="n">
        <x:v>818</x:v>
      </x:c>
      <x:c r="B821" t="str">
        <x:v>PTN Akademik</x:v>
      </x:c>
      <x:c r="C821" t="str">
        <x:v>UNIVERSITAS LAMPUNG</x:v>
      </x:c>
      <x:c r="D821" t="str">
        <x:v>PEND. BAHASA INDONESIA</x:v>
      </x:c>
      <x:c r="E821" t="str">
        <x:v>Sarjana</x:v>
      </x:c>
      <x:c r="F821" s="18" t="n">
        <x:v>70</x:v>
      </x:c>
      <x:c r="G821" s="18" t="n">
        <x:v>546</x:v>
      </x:c>
      <x:c r="H821" s="19" t="n">
        <x:v>7.8</x:v>
      </x:c>
      <x:c r="I821" s="18" t="n">
        <x:f>ROUND(MIN(Model_Config_v3!$B$6,MAX(Q821,R821,S821*Model_Config_v3!$B$4+T821*Model_Config_v3!$B$5)),0)</x:f>
        <x:v>660</x:v>
      </x:c>
      <x:c r="J821" s="18" t="n">
        <x:f>MIN(Model_Config_v3!$B$6,I821+Model_Config_v3!$B$7)</x:f>
        <x:v>680</x:v>
      </x:c>
      <x:c r="K821" s="20" t="n">
        <x:v>59.1</x:v>
      </x:c>
      <x:c r="L821" t="str">
        <x:v>KETAT</x:v>
      </x:c>
      <x:c r="M821" t="str">
        <x:v>SEDANG+</x:v>
      </x:c>
      <x:c r="N821" t="str">
        <x:v>ELITE-3</x:v>
      </x:c>
      <x:c r="O821" t="str">
        <x:v>SOSHUM</x:v>
      </x:c>
      <x:c r="P821" t="str">
        <x:v>PENDIDIKAN</x:v>
      </x:c>
      <x:c r="Q821" s="18" t="n">
        <x:v>615</x:v>
      </x:c>
      <x:c r="R821" s="18" t="n">
        <x:v>0</x:v>
      </x:c>
      <x:c r="S821" s="18" t="n">
        <x:v>618.1304062959529</x:v>
      </x:c>
      <x:c r="T821" s="18" t="n">
        <x:v>678</x:v>
      </x:c>
      <x:c r="U821" s="18" t="n">
        <x:v>618.1304062959529</x:v>
      </x:c>
      <x:c r="V821" s="20" t="n">
        <x:v>4.4</x:v>
      </x:c>
      <x:c r="W821" s="20" t="n">
        <x:v>14.3</x:v>
      </x:c>
      <x:c r="X821" s="20" t="n">
        <x:v>3.3</x:v>
      </x:c>
      <x:c r="Y821" t="str">
        <x:v>Basis arsip 2025/2024</x:v>
      </x:c>
      <x:c r="Z821" t="str">
        <x:v>https://snpmb.id/utbk-snbt/daya-tampung-snbt</x:v>
      </x:c>
      <x:c r="AA821" t="str">
        <x:v>Tidak Ada</x:v>
      </x:c>
      <x:c r="AB821" t="str">
        <x:v>Campus=80; Ratio=52.5; Prodi=45; RelDemand=48.5; Capacity=41.7</x:v>
      </x:c>
    </x:row>
    <x:row r="822">
      <x:c r="A822" t="n">
        <x:v>819</x:v>
      </x:c>
      <x:c r="B822" t="str">
        <x:v>PTN Akademik</x:v>
      </x:c>
      <x:c r="C822" t="str">
        <x:v>UNIVERSITAS LAMPUNG</x:v>
      </x:c>
      <x:c r="D822" t="str">
        <x:v>PEND. B. INGGRIS</x:v>
      </x:c>
      <x:c r="E822" t="str">
        <x:v>Sarjana</x:v>
      </x:c>
      <x:c r="F822" s="18" t="n">
        <x:v>70</x:v>
      </x:c>
      <x:c r="G822" s="18" t="n">
        <x:v>450</x:v>
      </x:c>
      <x:c r="H822" s="19" t="n">
        <x:v>6.428571428571429</x:v>
      </x:c>
      <x:c r="I822" s="18" t="n">
        <x:f>ROUND(MIN(Model_Config_v3!$B$6,MAX(Q822,R822,S822*Model_Config_v3!$B$4+T822*Model_Config_v3!$B$5)),0)</x:f>
        <x:v>654</x:v>
      </x:c>
      <x:c r="J822" s="18" t="n">
        <x:f>MIN(Model_Config_v3!$B$6,I822+Model_Config_v3!$B$7)</x:f>
        <x:v>674</x:v>
      </x:c>
      <x:c r="K822" s="20" t="n">
        <x:v>57.1</x:v>
      </x:c>
      <x:c r="L822" t="str">
        <x:v>KETAT</x:v>
      </x:c>
      <x:c r="M822" t="str">
        <x:v>SEDANG+</x:v>
      </x:c>
      <x:c r="N822" t="str">
        <x:v>ELITE-3</x:v>
      </x:c>
      <x:c r="O822" t="str">
        <x:v>CAMPURAN</x:v>
      </x:c>
      <x:c r="P822" t="str">
        <x:v>PENDIDIKAN</x:v>
      </x:c>
      <x:c r="Q822" s="18" t="n">
        <x:v>615</x:v>
      </x:c>
      <x:c r="R822" s="18" t="n">
        <x:v>0</x:v>
      </x:c>
      <x:c r="S822" s="18" t="n">
        <x:v>608.8925921137195</x:v>
      </x:c>
      <x:c r="T822" s="18" t="n">
        <x:v>674</x:v>
      </x:c>
      <x:c r="U822" s="18" t="n">
        <x:v>615</x:v>
      </x:c>
      <x:c r="V822" s="20" t="n">
        <x:v>8.8</x:v>
      </x:c>
      <x:c r="W822" s="20" t="n">
        <x:v>9.9</x:v>
      </x:c>
      <x:c r="X822" s="20" t="n">
        <x:v>3.3</x:v>
      </x:c>
      <x:c r="Y822" t="str">
        <x:v>Basis arsip 2025/2024</x:v>
      </x:c>
      <x:c r="Z822" t="str">
        <x:v>https://snpmb.id/utbk-snbt/daya-tampung-snbt</x:v>
      </x:c>
      <x:c r="AA822" t="str">
        <x:v>Tidak Ada</x:v>
      </x:c>
      <x:c r="AB822" t="str">
        <x:v>Campus=80; Ratio=47.6; Prodi=45; RelDemand=40.0; Capacity=41.7</x:v>
      </x:c>
    </x:row>
    <x:row r="823">
      <x:c r="A823" t="n">
        <x:v>820</x:v>
      </x:c>
      <x:c r="B823" t="str">
        <x:v>PTN Akademik</x:v>
      </x:c>
      <x:c r="C823" t="str">
        <x:v>UNIVERSITAS LAMPUNG</x:v>
      </x:c>
      <x:c r="D823" t="str">
        <x:v>PGSD</x:v>
      </x:c>
      <x:c r="E823" t="str">
        <x:v>Sarjana</x:v>
      </x:c>
      <x:c r="F823" s="18" t="n">
        <x:v>150</x:v>
      </x:c>
      <x:c r="G823" s="18" t="n">
        <x:v>1337</x:v>
      </x:c>
      <x:c r="H823" s="19" t="n">
        <x:v>8.913333333333334</x:v>
      </x:c>
      <x:c r="I823" s="18" t="n">
        <x:f>ROUND(MIN(Model_Config_v3!$B$6,MAX(Q823,R823,S823*Model_Config_v3!$B$4+T823*Model_Config_v3!$B$5)),0)</x:f>
        <x:v>657</x:v>
      </x:c>
      <x:c r="J823" s="18" t="n">
        <x:f>MIN(Model_Config_v3!$B$6,I823+Model_Config_v3!$B$7)</x:f>
        <x:v>677</x:v>
      </x:c>
      <x:c r="K823" s="20" t="n">
        <x:v>55.5</x:v>
      </x:c>
      <x:c r="L823" t="str">
        <x:v>KETAT</x:v>
      </x:c>
      <x:c r="M823" t="str">
        <x:v>SEDANG+</x:v>
      </x:c>
      <x:c r="N823" t="str">
        <x:v>ELITE-3</x:v>
      </x:c>
      <x:c r="O823" t="str">
        <x:v>CAMPURAN</x:v>
      </x:c>
      <x:c r="P823" t="str">
        <x:v>UMUM</x:v>
      </x:c>
      <x:c r="Q823" s="18" t="n">
        <x:v>615</x:v>
      </x:c>
      <x:c r="R823" s="18" t="n">
        <x:v>0</x:v>
      </x:c>
      <x:c r="S823" s="18" t="n">
        <x:v>624.5044163026934</x:v>
      </x:c>
      <x:c r="T823" s="18" t="n">
        <x:v>671</x:v>
      </x:c>
      <x:c r="U823" s="18" t="n">
        <x:v>624.5044163026934</x:v>
      </x:c>
      <x:c r="V823" s="20" t="n">
        <x:v>8.8</x:v>
      </x:c>
      <x:c r="W823" s="20" t="n">
        <x:v>9.9</x:v>
      </x:c>
      <x:c r="X823" s="20" t="n">
        <x:v>3.3</x:v>
      </x:c>
      <x:c r="Y823" t="str">
        <x:v>Basis arsip 2025/2024</x:v>
      </x:c>
      <x:c r="Z823" t="str">
        <x:v>https://snpmb.id/utbk-snbt/daya-tampung-snbt</x:v>
      </x:c>
      <x:c r="AA823" t="str">
        <x:v>Tidak Ada</x:v>
      </x:c>
      <x:c r="AB823" t="str">
        <x:v>Campus=80; Ratio=55.9; Prodi=40; RelDemand=55.4; Capacity=0.0</x:v>
      </x:c>
    </x:row>
    <x:row r="824">
      <x:c r="A824" t="n">
        <x:v>821</x:v>
      </x:c>
      <x:c r="B824" t="str">
        <x:v>PTN Akademik</x:v>
      </x:c>
      <x:c r="C824" t="str">
        <x:v>UNIVERSITAS LAMPUNG</x:v>
      </x:c>
      <x:c r="D824" t="str">
        <x:v>PENDIDIKAN TARI</x:v>
      </x:c>
      <x:c r="E824" t="str">
        <x:v>Sarjana</x:v>
      </x:c>
      <x:c r="F824" s="18" t="n">
        <x:v>40</x:v>
      </x:c>
      <x:c r="G824" s="18" t="n">
        <x:v>67</x:v>
      </x:c>
      <x:c r="H824" s="19" t="n">
        <x:v>1.675</x:v>
      </x:c>
      <x:c r="I824" s="18" t="n">
        <x:f>ROUND(MIN(Model_Config_v3!$B$6,MAX(Q824,R824,S824*Model_Config_v3!$B$4+T824*Model_Config_v3!$B$5)),0)</x:f>
        <x:v>623</x:v>
      </x:c>
      <x:c r="J824" s="18" t="n">
        <x:f>MIN(Model_Config_v3!$B$6,I824+Model_Config_v3!$B$7)</x:f>
        <x:v>643</x:v>
      </x:c>
      <x:c r="K824" s="20" t="n">
        <x:v>48</x:v>
      </x:c>
      <x:c r="L824" t="str">
        <x:v>MENENGAH</x:v>
      </x:c>
      <x:c r="M824" t="str">
        <x:v>PORTOFOLIO</x:v>
      </x:c>
      <x:c r="N824" t="str">
        <x:v>ELITE-3</x:v>
      </x:c>
      <x:c r="O824" t="str">
        <x:v>SENI/OLAHRAGA</x:v>
      </x:c>
      <x:c r="P824" t="str">
        <x:v>SENI/OLAHRAGA</x:v>
      </x:c>
      <x:c r="Q824" s="18" t="n">
        <x:v>615</x:v>
      </x:c>
      <x:c r="R824" s="18" t="n">
        <x:v>0</x:v>
      </x:c>
      <x:c r="S824" s="18" t="n">
        <x:v>544.641629251015</x:v>
      </x:c>
      <x:c r="T824" s="18" t="n">
        <x:v>656</x:v>
      </x:c>
      <x:c r="U824" s="18" t="n">
        <x:v>615</x:v>
      </x:c>
      <x:c r="V824" s="20" t="n">
        <x:v>4.4</x:v>
      </x:c>
      <x:c r="W824" s="20" t="n">
        <x:v>9.9</x:v>
      </x:c>
      <x:c r="X824" s="20" t="n">
        <x:v>7.7</x:v>
      </x:c>
      <x:c r="Y824" t="str">
        <x:v>Basis arsip 2025/2024</x:v>
      </x:c>
      <x:c r="Z824" t="str">
        <x:v>https://snpmb.id/utbk-snbt/daya-tampung-snbt</x:v>
      </x:c>
      <x:c r="AA824" t="str">
        <x:v>Tari</x:v>
      </x:c>
      <x:c r="AB824" t="str">
        <x:v>Campus=80; Ratio=13.2; Prodi=45; RelDemand=10.4; Capacity=66.7</x:v>
      </x:c>
    </x:row>
    <x:row r="825">
      <x:c r="A825" t="n">
        <x:v>822</x:v>
      </x:c>
      <x:c r="B825" t="str">
        <x:v>PTN Akademik</x:v>
      </x:c>
      <x:c r="C825" t="str">
        <x:v>UNIVERSITAS LAMPUNG</x:v>
      </x:c>
      <x:c r="D825" t="str">
        <x:v>PENDIDIKAN ANAK USIA DINI</x:v>
      </x:c>
      <x:c r="E825" t="str">
        <x:v>Sarjana</x:v>
      </x:c>
      <x:c r="F825" s="18" t="n">
        <x:v>65</x:v>
      </x:c>
      <x:c r="G825" s="18" t="n">
        <x:v>178</x:v>
      </x:c>
      <x:c r="H825" s="19" t="n">
        <x:v>2.7384615384615385</x:v>
      </x:c>
      <x:c r="I825" s="18" t="n">
        <x:f>ROUND(MIN(Model_Config_v3!$B$6,MAX(Q825,R825,S825*Model_Config_v3!$B$4+T825*Model_Config_v3!$B$5)),0)</x:f>
        <x:v>632</x:v>
      </x:c>
      <x:c r="J825" s="18" t="n">
        <x:f>MIN(Model_Config_v3!$B$6,I825+Model_Config_v3!$B$7)</x:f>
        <x:v>652</x:v>
      </x:c>
      <x:c r="K825" s="20" t="n">
        <x:v>49.7</x:v>
      </x:c>
      <x:c r="L825" t="str">
        <x:v>MENENGAH</x:v>
      </x:c>
      <x:c r="M825" t="str">
        <x:v>SEDANG+</x:v>
      </x:c>
      <x:c r="N825" t="str">
        <x:v>ELITE-3</x:v>
      </x:c>
      <x:c r="O825" t="str">
        <x:v>CAMPURAN</x:v>
      </x:c>
      <x:c r="P825" t="str">
        <x:v>PENDIDIKAN</x:v>
      </x:c>
      <x:c r="Q825" s="18" t="n">
        <x:v>615</x:v>
      </x:c>
      <x:c r="R825" s="18" t="n">
        <x:v>0</x:v>
      </x:c>
      <x:c r="S825" s="18" t="n">
        <x:v>568.1257310232643</x:v>
      </x:c>
      <x:c r="T825" s="18" t="n">
        <x:v>659</x:v>
      </x:c>
      <x:c r="U825" s="18" t="n">
        <x:v>615</x:v>
      </x:c>
      <x:c r="V825" s="20" t="n">
        <x:v>8.8</x:v>
      </x:c>
      <x:c r="W825" s="20" t="n">
        <x:v>9.9</x:v>
      </x:c>
      <x:c r="X825" s="20" t="n">
        <x:v>3.3</x:v>
      </x:c>
      <x:c r="Y825" t="str">
        <x:v>Basis arsip 2025/2024</x:v>
      </x:c>
      <x:c r="Z825" t="str">
        <x:v>https://snpmb.id/utbk-snbt/daya-tampung-snbt</x:v>
      </x:c>
      <x:c r="AA825" t="str">
        <x:v>Tidak Ada</x:v>
      </x:c>
      <x:c r="AB825" t="str">
        <x:v>Campus=80; Ratio=25.8; Prodi=45; RelDemand=17.0; Capacity=45.8</x:v>
      </x:c>
    </x:row>
    <x:row r="826">
      <x:c r="A826" t="n">
        <x:v>823</x:v>
      </x:c>
      <x:c r="B826" t="str">
        <x:v>PTN Akademik</x:v>
      </x:c>
      <x:c r="C826" t="str">
        <x:v>UNIVERSITAS LAMPUNG</x:v>
      </x:c>
      <x:c r="D826" t="str">
        <x:v>HUBUNGAN INTERNASIONAL</x:v>
      </x:c>
      <x:c r="E826" t="str">
        <x:v>Sarjana</x:v>
      </x:c>
      <x:c r="F826" s="18" t="n">
        <x:v>100</x:v>
      </x:c>
      <x:c r="G826" s="18" t="n">
        <x:v>543</x:v>
      </x:c>
      <x:c r="H826" s="19" t="n">
        <x:v>5.43</x:v>
      </x:c>
      <x:c r="I826" s="18" t="n">
        <x:f>ROUND(MIN(Model_Config_v3!$B$6,MAX(Q826,R826,S826*Model_Config_v3!$B$4+T826*Model_Config_v3!$B$5)),0)</x:f>
        <x:v>645</x:v>
      </x:c>
      <x:c r="J826" s="18" t="n">
        <x:f>MIN(Model_Config_v3!$B$6,I826+Model_Config_v3!$B$7)</x:f>
        <x:v>665</x:v>
      </x:c>
      <x:c r="K826" s="20" t="n">
        <x:v>51.9</x:v>
      </x:c>
      <x:c r="L826" t="str">
        <x:v>MENENGAH</x:v>
      </x:c>
      <x:c r="M826" t="str">
        <x:v>SEDANG+</x:v>
      </x:c>
      <x:c r="N826" t="str">
        <x:v>ELITE-3</x:v>
      </x:c>
      <x:c r="O826" t="str">
        <x:v>SOSHUM</x:v>
      </x:c>
      <x:c r="P826" t="str">
        <x:v>UMUM</x:v>
      </x:c>
      <x:c r="Q826" s="18" t="n">
        <x:v>615</x:v>
      </x:c>
      <x:c r="R826" s="18" t="n">
        <x:v>0</x:v>
      </x:c>
      <x:c r="S826" s="18" t="n">
        <x:v>600.8279812547731</x:v>
      </x:c>
      <x:c r="T826" s="18" t="n">
        <x:v>664</x:v>
      </x:c>
      <x:c r="U826" s="18" t="n">
        <x:v>615</x:v>
      </x:c>
      <x:c r="V826" s="20" t="n">
        <x:v>4.4</x:v>
      </x:c>
      <x:c r="W826" s="20" t="n">
        <x:v>14.3</x:v>
      </x:c>
      <x:c r="X826" s="20" t="n">
        <x:v>3.3</x:v>
      </x:c>
      <x:c r="Y826" t="str">
        <x:v>Basis arsip 2025/2024</x:v>
      </x:c>
      <x:c r="Z826" t="str">
        <x:v>https://snpmb.id/utbk-snbt/daya-tampung-snbt</x:v>
      </x:c>
      <x:c r="AA826" t="str">
        <x:v>Tidak Ada</x:v>
      </x:c>
      <x:c r="AB826" t="str">
        <x:v>Campus=80; Ratio=43.2; Prodi=40; RelDemand=33.8; Capacity=16.7</x:v>
      </x:c>
    </x:row>
    <x:row r="827">
      <x:c r="A827" t="n">
        <x:v>824</x:v>
      </x:c>
      <x:c r="B827" t="str">
        <x:v>PTN Akademik</x:v>
      </x:c>
      <x:c r="C827" t="str">
        <x:v>UNIVERSITAS LAMPUNG</x:v>
      </x:c>
      <x:c r="D827" t="str">
        <x:v>BAHASA PERANCIS</x:v>
      </x:c>
      <x:c r="E827" t="str">
        <x:v>Sarjana</x:v>
      </x:c>
      <x:c r="F827" s="18" t="n">
        <x:v>60</x:v>
      </x:c>
      <x:c r="G827" s="18" t="n">
        <x:v>40</x:v>
      </x:c>
      <x:c r="H827" s="19" t="n">
        <x:v>0.6666666666666666</x:v>
      </x:c>
      <x:c r="I827" s="18" t="n">
        <x:f>ROUND(MIN(Model_Config_v3!$B$6,MAX(Q827,R827,S827*Model_Config_v3!$B$4+T827*Model_Config_v3!$B$5)),0)</x:f>
        <x:v>615</x:v>
      </x:c>
      <x:c r="J827" s="18" t="n">
        <x:f>MIN(Model_Config_v3!$B$6,I827+Model_Config_v3!$B$7)</x:f>
        <x:v>635</x:v>
      </x:c>
      <x:c r="K827" s="20" t="n">
        <x:v>41.4</x:v>
      </x:c>
      <x:c r="L827" t="str">
        <x:v>RELATIF LONGGAR</x:v>
      </x:c>
      <x:c r="M827" t="str">
        <x:v>SEDANG+</x:v>
      </x:c>
      <x:c r="N827" t="str">
        <x:v>ELITE-3</x:v>
      </x:c>
      <x:c r="O827" t="str">
        <x:v>SOSHUM</x:v>
      </x:c>
      <x:c r="P827" t="str">
        <x:v>UMUM</x:v>
      </x:c>
      <x:c r="Q827" s="18" t="n">
        <x:v>615</x:v>
      </x:c>
      <x:c r="R827" s="18" t="n">
        <x:v>0</x:v>
      </x:c>
      <x:c r="S827" s="18" t="n">
        <x:v>520</x:v>
      </x:c>
      <x:c r="T827" s="18" t="n">
        <x:v>643</x:v>
      </x:c>
      <x:c r="U827" s="18" t="n">
        <x:v>615</x:v>
      </x:c>
      <x:c r="V827" s="20" t="n">
        <x:v>4.4</x:v>
      </x:c>
      <x:c r="W827" s="20" t="n">
        <x:v>14.3</x:v>
      </x:c>
      <x:c r="X827" s="20" t="n">
        <x:v>3.3</x:v>
      </x:c>
      <x:c r="Y827" t="str">
        <x:v>Basis arsip 2025/2024</x:v>
      </x:c>
      <x:c r="Z827" t="str">
        <x:v>https://snpmb.id/utbk-snbt/daya-tampung-snbt</x:v>
      </x:c>
      <x:c r="AA827" t="str">
        <x:v>Tidak Ada</x:v>
      </x:c>
      <x:c r="AB827" t="str">
        <x:v>Campus=80; Ratio=0.0; Prodi=40; RelDemand=4.1; Capacity=50.0</x:v>
      </x:c>
    </x:row>
    <x:row r="828">
      <x:c r="A828" t="n">
        <x:v>825</x:v>
      </x:c>
      <x:c r="B828" t="str">
        <x:v>PTN Akademik</x:v>
      </x:c>
      <x:c r="C828" t="str">
        <x:v>UNIVERSITAS LAMPUNG</x:v>
      </x:c>
      <x:c r="D828" t="str">
        <x:v>PENDIDIKAN MUSIK</x:v>
      </x:c>
      <x:c r="E828" t="str">
        <x:v>Sarjana</x:v>
      </x:c>
      <x:c r="F828" s="18" t="n">
        <x:v>40</x:v>
      </x:c>
      <x:c r="G828" s="18" t="n">
        <x:v>20</x:v>
      </x:c>
      <x:c r="H828" s="19" t="n">
        <x:v>0.5</x:v>
      </x:c>
      <x:c r="I828" s="18" t="n">
        <x:f>ROUND(MIN(Model_Config_v3!$B$6,MAX(Q828,R828,S828*Model_Config_v3!$B$4+T828*Model_Config_v3!$B$5)),0)</x:f>
        <x:v>615</x:v>
      </x:c>
      <x:c r="J828" s="18" t="n">
        <x:f>MIN(Model_Config_v3!$B$6,I828+Model_Config_v3!$B$7)</x:f>
        <x:v>635</x:v>
      </x:c>
      <x:c r="K828" s="20" t="n">
        <x:v>44</x:v>
      </x:c>
      <x:c r="L828" t="str">
        <x:v>RELATIF LONGGAR</x:v>
      </x:c>
      <x:c r="M828" t="str">
        <x:v>PORTOFOLIO</x:v>
      </x:c>
      <x:c r="N828" t="str">
        <x:v>ELITE-3</x:v>
      </x:c>
      <x:c r="O828" t="str">
        <x:v>SENI/OLAHRAGA</x:v>
      </x:c>
      <x:c r="P828" t="str">
        <x:v>SENI/OLAHRAGA</x:v>
      </x:c>
      <x:c r="Q828" s="18" t="n">
        <x:v>615</x:v>
      </x:c>
      <x:c r="R828" s="18" t="n">
        <x:v>0</x:v>
      </x:c>
      <x:c r="S828" s="18" t="n">
        <x:v>520</x:v>
      </x:c>
      <x:c r="T828" s="18" t="n">
        <x:v>648</x:v>
      </x:c>
      <x:c r="U828" s="18" t="n">
        <x:v>615</x:v>
      </x:c>
      <x:c r="V828" s="20" t="n">
        <x:v>4.4</x:v>
      </x:c>
      <x:c r="W828" s="20" t="n">
        <x:v>9.9</x:v>
      </x:c>
      <x:c r="X828" s="20" t="n">
        <x:v>7.7</x:v>
      </x:c>
      <x:c r="Y828" t="str">
        <x:v>Basis arsip 2025/2024</x:v>
      </x:c>
      <x:c r="Z828" t="str">
        <x:v>https://snpmb.id/utbk-snbt/daya-tampung-snbt</x:v>
      </x:c>
      <x:c r="AA828" t="str">
        <x:v>Musik</x:v>
      </x:c>
      <x:c r="AB828" t="str">
        <x:v>Campus=80; Ratio=0.0; Prodi=45; RelDemand=3.1; Capacity=66.7</x:v>
      </x:c>
    </x:row>
    <x:row r="829">
      <x:c r="A829" t="n">
        <x:v>826</x:v>
      </x:c>
      <x:c r="B829" t="str">
        <x:v>PTN Akademik</x:v>
      </x:c>
      <x:c r="C829" t="str">
        <x:v>UNIVERSITAS LAMPUNG</x:v>
      </x:c>
      <x:c r="D829" t="str">
        <x:v>PENDIDIKAN BAHASA LAMPUNG</x:v>
      </x:c>
      <x:c r="E829" t="str">
        <x:v>Sarjana</x:v>
      </x:c>
      <x:c r="F829" s="18" t="n">
        <x:v>50</x:v>
      </x:c>
      <x:c r="G829" s="18" t="n">
        <x:v>215</x:v>
      </x:c>
      <x:c r="H829" s="19" t="n">
        <x:v>4.3</x:v>
      </x:c>
      <x:c r="I829" s="18" t="n">
        <x:f>ROUND(MIN(Model_Config_v3!$B$6,MAX(Q829,R829,S829*Model_Config_v3!$B$4+T829*Model_Config_v3!$B$5)),0)</x:f>
        <x:v>646</x:v>
      </x:c>
      <x:c r="J829" s="18" t="n">
        <x:f>MIN(Model_Config_v3!$B$6,I829+Model_Config_v3!$B$7)</x:f>
        <x:v>666</x:v>
      </x:c>
      <x:c r="K829" s="20" t="n">
        <x:v>54.8</x:v>
      </x:c>
      <x:c r="L829" t="str">
        <x:v>MENENGAH</x:v>
      </x:c>
      <x:c r="M829" t="str">
        <x:v>SEDANG+</x:v>
      </x:c>
      <x:c r="N829" t="str">
        <x:v>ELITE-3</x:v>
      </x:c>
      <x:c r="O829" t="str">
        <x:v>SOSHUM</x:v>
      </x:c>
      <x:c r="P829" t="str">
        <x:v>PENDIDIKAN</x:v>
      </x:c>
      <x:c r="Q829" s="18" t="n">
        <x:v>615</x:v>
      </x:c>
      <x:c r="R829" s="18" t="n">
        <x:v>0</x:v>
      </x:c>
      <x:c r="S829" s="18" t="n">
        <x:v>589.6815301137545</x:v>
      </x:c>
      <x:c r="T829" s="18" t="n">
        <x:v>670</x:v>
      </x:c>
      <x:c r="U829" s="18" t="n">
        <x:v>615</x:v>
      </x:c>
      <x:c r="V829" s="20" t="n">
        <x:v>4.4</x:v>
      </x:c>
      <x:c r="W829" s="20" t="n">
        <x:v>14.3</x:v>
      </x:c>
      <x:c r="X829" s="20" t="n">
        <x:v>3.3</x:v>
      </x:c>
      <x:c r="Y829" t="str">
        <x:v>Basis arsip 2025/2024</x:v>
      </x:c>
      <x:c r="Z829" t="str">
        <x:v>https://snpmb.id/utbk-snbt/daya-tampung-snbt</x:v>
      </x:c>
      <x:c r="AA829" t="str">
        <x:v>Tidak Ada</x:v>
      </x:c>
      <x:c r="AB829" t="str">
        <x:v>Campus=80; Ratio=37.3; Prodi=45; RelDemand=26.7; Capacity=58.3</x:v>
      </x:c>
    </x:row>
    <x:row r="830">
      <x:c r="A830" t="n">
        <x:v>827</x:v>
      </x:c>
      <x:c r="B830" t="str">
        <x:v>PTN Akademik</x:v>
      </x:c>
      <x:c r="C830" t="str">
        <x:v>UNIVERSITAS LAMPUNG</x:v>
      </x:c>
      <x:c r="D830" t="str">
        <x:v>BISNIS DIGITAL</x:v>
      </x:c>
      <x:c r="E830" t="str">
        <x:v>Sarjana</x:v>
      </x:c>
      <x:c r="F830" s="18" t="n">
        <x:v>65</x:v>
      </x:c>
      <x:c r="G830" s="18" t="n">
        <x:v>617</x:v>
      </x:c>
      <x:c r="H830" s="19" t="n">
        <x:v>9.492307692307692</x:v>
      </x:c>
      <x:c r="I830" s="18" t="n">
        <x:f>ROUND(MIN(Model_Config_v3!$B$6,MAX(Q830,R830,S830*Model_Config_v3!$B$4+T830*Model_Config_v3!$B$5)),0)</x:f>
        <x:v>673</x:v>
      </x:c>
      <x:c r="J830" s="18" t="n">
        <x:f>MIN(Model_Config_v3!$B$6,I830+Model_Config_v3!$B$7)</x:f>
        <x:v>693</x:v>
      </x:c>
      <x:c r="K830" s="20" t="n">
        <x:v>65.9</x:v>
      </x:c>
      <x:c r="L830" t="str">
        <x:v>SANGAT KETAT</x:v>
      </x:c>
      <x:c r="M830" t="str">
        <x:v>SEDANG+</x:v>
      </x:c>
      <x:c r="N830" t="str">
        <x:v>ELITE-3</x:v>
      </x:c>
      <x:c r="O830" t="str">
        <x:v>SOSHUM</x:v>
      </x:c>
      <x:c r="P830" t="str">
        <x:v>BISNIS/EKONOMI/AKUNTANSI</x:v>
      </x:c>
      <x:c r="Q830" s="18" t="n">
        <x:v>615</x:v>
      </x:c>
      <x:c r="R830" s="18" t="n">
        <x:v>0</x:v>
      </x:c>
      <x:c r="S830" s="18" t="n">
        <x:v>627.5108988129425</x:v>
      </x:c>
      <x:c r="T830" s="18" t="n">
        <x:v>692</x:v>
      </x:c>
      <x:c r="U830" s="18" t="n">
        <x:v>642.5108988129425</x:v>
      </x:c>
      <x:c r="V830" s="20" t="n">
        <x:v>4.4</x:v>
      </x:c>
      <x:c r="W830" s="20" t="n">
        <x:v>14.3</x:v>
      </x:c>
      <x:c r="X830" s="20" t="n">
        <x:v>3.3</x:v>
      </x:c>
      <x:c r="Y830" t="str">
        <x:v>Basis arsip 2025/2024</x:v>
      </x:c>
      <x:c r="Z830" t="str">
        <x:v>https://snpmb.id/utbk-snbt/daya-tampung-snbt</x:v>
      </x:c>
      <x:c r="AA830" t="str">
        <x:v>Tidak Ada</x:v>
      </x:c>
      <x:c r="AB830" t="str">
        <x:v>Campus=80; Ratio=57.5; Prodi=65; RelDemand=59.0; Capacity=45.8</x:v>
      </x:c>
    </x:row>
    <x:row r="831">
      <x:c r="A831" t="n">
        <x:v>828</x:v>
      </x:c>
      <x:c r="B831" t="str">
        <x:v>PTN Akademik</x:v>
      </x:c>
      <x:c r="C831" t="str">
        <x:v>UNIVERSITAS LAMPUNG</x:v>
      </x:c>
      <x:c r="D831" t="str">
        <x:v>SISTEM INFORMASI</x:v>
      </x:c>
      <x:c r="E831" t="str">
        <x:v>Sarjana</x:v>
      </x:c>
      <x:c r="F831" s="18" t="n">
        <x:v>52</x:v>
      </x:c>
      <x:c r="G831" s="18" t="n">
        <x:v>408</x:v>
      </x:c>
      <x:c r="H831" s="19" t="n">
        <x:v>7.846153846153846</x:v>
      </x:c>
      <x:c r="I831" s="18" t="n">
        <x:f>ROUND(MIN(Model_Config_v3!$B$6,MAX(Q831,R831,S831*Model_Config_v3!$B$4+T831*Model_Config_v3!$B$5)),0)</x:f>
        <x:v>675</x:v>
      </x:c>
      <x:c r="J831" s="18" t="n">
        <x:f>MIN(Model_Config_v3!$B$6,I831+Model_Config_v3!$B$7)</x:f>
        <x:v>695</x:v>
      </x:c>
      <x:c r="K831" s="20" t="n">
        <x:v>68.7</x:v>
      </x:c>
      <x:c r="L831" t="str">
        <x:v>SANGAT KETAT</x:v>
      </x:c>
      <x:c r="M831" t="str">
        <x:v>SEDANG+</x:v>
      </x:c>
      <x:c r="N831" t="str">
        <x:v>ELITE-3</x:v>
      </x:c>
      <x:c r="O831" t="str">
        <x:v>CAMPURAN</x:v>
      </x:c>
      <x:c r="P831" t="str">
        <x:v>KOMPUTER/INFORMATIKA</x:v>
      </x:c>
      <x:c r="Q831" s="18" t="n">
        <x:v>615</x:v>
      </x:c>
      <x:c r="R831" s="18" t="n">
        <x:v>675</x:v>
      </x:c>
      <x:c r="S831" s="18" t="n">
        <x:v>618.4122501400589</x:v>
      </x:c>
      <x:c r="T831" s="18" t="n">
        <x:v>697</x:v>
      </x:c>
      <x:c r="U831" s="18" t="n">
        <x:v>675</x:v>
      </x:c>
      <x:c r="V831" s="20" t="n">
        <x:v>8.8</x:v>
      </x:c>
      <x:c r="W831" s="20" t="n">
        <x:v>9.9</x:v>
      </x:c>
      <x:c r="X831" s="20" t="n">
        <x:v>3.3</x:v>
      </x:c>
      <x:c r="Y831" t="str">
        <x:v>Basis arsip 2025/2024</x:v>
      </x:c>
      <x:c r="Z831" t="str">
        <x:v>https://snpmb.id/utbk-snbt/daya-tampung-snbt</x:v>
      </x:c>
      <x:c r="AA831" t="str">
        <x:v>Tidak Ada</x:v>
      </x:c>
      <x:c r="AB831" t="str">
        <x:v>Campus=80; Ratio=52.7; Prodi=85; RelDemand=48.8; Capacity=56.7</x:v>
      </x:c>
    </x:row>
    <x:row r="832">
      <x:c r="A832" t="n">
        <x:v>829</x:v>
      </x:c>
      <x:c r="B832" t="str">
        <x:v>PTN Akademik</x:v>
      </x:c>
      <x:c r="C832" t="str">
        <x:v>UNIVERSITAS LAMPUNG</x:v>
      </x:c>
      <x:c r="D832" t="str">
        <x:v>TEKNIK GEOLOGI</x:v>
      </x:c>
      <x:c r="E832" t="str">
        <x:v>Sarjana</x:v>
      </x:c>
      <x:c r="F832" s="18" t="n">
        <x:v>42</x:v>
      </x:c>
      <x:c r="G832" s="18" t="n">
        <x:v>107</x:v>
      </x:c>
      <x:c r="H832" s="19" t="n">
        <x:v>2.5476190476190474</x:v>
      </x:c>
      <x:c r="I832" s="18" t="n">
        <x:f>ROUND(MIN(Model_Config_v3!$B$6,MAX(Q832,R832,S832*Model_Config_v3!$B$4+T832*Model_Config_v3!$B$5)),0)</x:f>
        <x:v>637</x:v>
      </x:c>
      <x:c r="J832" s="18" t="n">
        <x:f>MIN(Model_Config_v3!$B$6,I832+Model_Config_v3!$B$7)</x:f>
        <x:v>657</x:v>
      </x:c>
      <x:c r="K832" s="20" t="n">
        <x:v>54.1</x:v>
      </x:c>
      <x:c r="L832" t="str">
        <x:v>MENENGAH</x:v>
      </x:c>
      <x:c r="M832" t="str">
        <x:v>SEDANG+</x:v>
      </x:c>
      <x:c r="N832" t="str">
        <x:v>ELITE-3</x:v>
      </x:c>
      <x:c r="O832" t="str">
        <x:v>SAINTEK</x:v>
      </x:c>
      <x:c r="P832" t="str">
        <x:v>TEKNIK/ARSITEKTUR/STATISTIKA/AKTUARIA</x:v>
      </x:c>
      <x:c r="Q832" s="18" t="n">
        <x:v>615</x:v>
      </x:c>
      <x:c r="R832" s="18" t="n">
        <x:v>0</x:v>
      </x:c>
      <x:c r="S832" s="18" t="n">
        <x:v>564.674793601604</x:v>
      </x:c>
      <x:c r="T832" s="18" t="n">
        <x:v>668</x:v>
      </x:c>
      <x:c r="U832" s="18" t="n">
        <x:v>615</x:v>
      </x:c>
      <x:c r="V832" s="20" t="n">
        <x:v>12</x:v>
      </x:c>
      <x:c r="W832" s="20" t="n">
        <x:v>5</x:v>
      </x:c>
      <x:c r="X832" s="20" t="n">
        <x:v>3</x:v>
      </x:c>
      <x:c r="Y832" t="str">
        <x:v>Basis arsip 2025/2024</x:v>
      </x:c>
      <x:c r="Z832" t="str">
        <x:v>https://snpmb.id/utbk-snbt/daya-tampung-snbt</x:v>
      </x:c>
      <x:c r="AA832" t="str">
        <x:v>Tidak Ada</x:v>
      </x:c>
      <x:c r="AB832" t="str">
        <x:v>Campus=80; Ratio=23.9; Prodi=60; RelDemand=15.8; Capacity=65.0</x:v>
      </x:c>
    </x:row>
    <x:row r="833">
      <x:c r="A833" t="n">
        <x:v>830</x:v>
      </x:c>
      <x:c r="B833" t="str">
        <x:v>PTN Akademik</x:v>
      </x:c>
      <x:c r="C833" t="str">
        <x:v>UNIVERSITAS LAMPUNG</x:v>
      </x:c>
      <x:c r="D833" t="str">
        <x:v>ILMU KOMPUTER PSDKU WAY KANAN</x:v>
      </x:c>
      <x:c r="E833" t="str">
        <x:v>Sarjana</x:v>
      </x:c>
      <x:c r="F833" s="18" t="n">
        <x:v>25</x:v>
      </x:c>
      <x:c r="G833" s="18" t="n">
        <x:v>12</x:v>
      </x:c>
      <x:c r="H833" s="19" t="n">
        <x:v>0.48</x:v>
      </x:c>
      <x:c r="I833" s="18" t="n">
        <x:f>ROUND(MIN(Model_Config_v3!$B$6,MAX(Q833,R833,S833*Model_Config_v3!$B$4+T833*Model_Config_v3!$B$5)),0)</x:f>
        <x:v>675</x:v>
      </x:c>
      <x:c r="J833" s="18" t="n">
        <x:f>MIN(Model_Config_v3!$B$6,I833+Model_Config_v3!$B$7)</x:f>
        <x:v>695</x:v>
      </x:c>
      <x:c r="K833" s="20" t="n">
        <x:v>53.2</x:v>
      </x:c>
      <x:c r="L833" t="str">
        <x:v>MENENGAH</x:v>
      </x:c>
      <x:c r="M833" t="str">
        <x:v>SEDANG+</x:v>
      </x:c>
      <x:c r="N833" t="str">
        <x:v>ELITE-3</x:v>
      </x:c>
      <x:c r="O833" t="str">
        <x:v>SAINTEK</x:v>
      </x:c>
      <x:c r="P833" t="str">
        <x:v>KOMPUTER/INFORMATIKA</x:v>
      </x:c>
      <x:c r="Q833" s="18" t="n">
        <x:v>615</x:v>
      </x:c>
      <x:c r="R833" s="18" t="n">
        <x:v>675</x:v>
      </x:c>
      <x:c r="S833" s="18" t="n">
        <x:v>520</x:v>
      </x:c>
      <x:c r="T833" s="18" t="n">
        <x:v>666</x:v>
      </x:c>
      <x:c r="U833" s="18" t="n">
        <x:v>675</x:v>
      </x:c>
      <x:c r="V833" s="20" t="n">
        <x:v>12</x:v>
      </x:c>
      <x:c r="W833" s="20" t="n">
        <x:v>5</x:v>
      </x:c>
      <x:c r="X833" s="20" t="n">
        <x:v>3</x:v>
      </x:c>
      <x:c r="Y833" t="str">
        <x:v>Basis arsip 2025/2024</x:v>
      </x:c>
      <x:c r="Z833" t="str">
        <x:v>https://snpmb.id/utbk-snbt/daya-tampung-snbt</x:v>
      </x:c>
      <x:c r="AA833" t="str">
        <x:v>Tidak Ada</x:v>
      </x:c>
      <x:c r="AB833" t="str">
        <x:v>Campus=80; Ratio=0.0; Prodi=85; RelDemand=3.0; Capacity=79.2</x:v>
      </x:c>
    </x:row>
    <x:row r="834">
      <x:c r="A834" t="n">
        <x:v>831</x:v>
      </x:c>
      <x:c r="B834" t="str">
        <x:v>PTN Akademik</x:v>
      </x:c>
      <x:c r="C834" t="str">
        <x:v>UNIVERSITAS LAMPUNG</x:v>
      </x:c>
      <x:c r="D834" t="str">
        <x:v>GIZI</x:v>
      </x:c>
      <x:c r="E834" t="str">
        <x:v>Sarjana</x:v>
      </x:c>
      <x:c r="F834" s="18" t="n">
        <x:v>34</x:v>
      </x:c>
      <x:c r="G834" s="18"/>
      <x:c r="H834" s="19" t="n">
        <x:v>0</x:v>
      </x:c>
      <x:c r="I834" s="18" t="n">
        <x:f>ROUND(MIN(Model_Config_v3!$B$6,MAX(Q834,R834,S834*Model_Config_v3!$B$4+T834*Model_Config_v3!$B$5)),0)</x:f>
        <x:v>615</x:v>
      </x:c>
      <x:c r="J834" s="18" t="n">
        <x:f>MIN(Model_Config_v3!$B$6,I834+Model_Config_v3!$B$7)</x:f>
        <x:v>635</x:v>
      </x:c>
      <x:c r="K834" s="20" t="n">
        <x:v>46.2</x:v>
      </x:c>
      <x:c r="L834" t="str">
        <x:v>MENENGAH</x:v>
      </x:c>
      <x:c r="M834" t="str">
        <x:v>RENDAH</x:v>
      </x:c>
      <x:c r="N834" t="str">
        <x:v>ELITE-3</x:v>
      </x:c>
      <x:c r="O834" t="str">
        <x:v>SAINTEK</x:v>
      </x:c>
      <x:c r="P834" t="str">
        <x:v>KESEHAT/GIZI/KEPERAWATAN</x:v>
      </x:c>
      <x:c r="Q834" s="18" t="n">
        <x:v>615</x:v>
      </x:c>
      <x:c r="R834" s="18" t="n">
        <x:v>0</x:v>
      </x:c>
      <x:c r="S834" s="18" t="n">
        <x:v>520</x:v>
      </x:c>
      <x:c r="T834" s="18" t="n">
        <x:v>652</x:v>
      </x:c>
      <x:c r="U834" s="18" t="n">
        <x:v>615</x:v>
      </x:c>
      <x:c r="V834" s="20" t="n">
        <x:v>12</x:v>
      </x:c>
      <x:c r="W834" s="20" t="n">
        <x:v>5</x:v>
      </x:c>
      <x:c r="X834" s="20" t="n">
        <x:v>3</x:v>
      </x:c>
      <x:c r="Y834" t="str">
        <x:v>Basis arsip 2025/2024</x:v>
      </x:c>
      <x:c r="Z834" t="str">
        <x:v>https://snpmb.id/utbk-snbt/daya-tampung-snbt</x:v>
      </x:c>
      <x:c r="AA834" t="str">
        <x:v>Tidak Ada</x:v>
      </x:c>
      <x:c r="AB834" t="str">
        <x:v>Campus=80; Ratio=0.0; Prodi=55; RelDemand=0.0; Capacity=71.7</x:v>
      </x:c>
    </x:row>
    <x:row r="835">
      <x:c r="A835" t="n">
        <x:v>832</x:v>
      </x:c>
      <x:c r="B835" t="str">
        <x:v>PTN Akademik</x:v>
      </x:c>
      <x:c r="C835" t="str">
        <x:v>UNIVERSITAS LAMPUNG</x:v>
      </x:c>
      <x:c r="D835" t="str">
        <x:v>TEKNOLOGI REKAYASA OTOMOTIF</x:v>
      </x:c>
      <x:c r="E835" t="str">
        <x:v>Sarjana Terapan</x:v>
      </x:c>
      <x:c r="F835" s="18" t="n">
        <x:v>19</x:v>
      </x:c>
      <x:c r="G835" s="18" t="n">
        <x:v>189</x:v>
      </x:c>
      <x:c r="H835" s="19" t="n">
        <x:v>9.947368421052632</x:v>
      </x:c>
      <x:c r="I835" s="18" t="n">
        <x:f>ROUND(MIN(Model_Config_v3!$B$6,MAX(Q835,R835,S835*Model_Config_v3!$B$4+T835*Model_Config_v3!$B$5)),0)</x:f>
        <x:v>673</x:v>
      </x:c>
      <x:c r="J835" s="18" t="n">
        <x:f>MIN(Model_Config_v3!$B$6,I835+Model_Config_v3!$B$7)</x:f>
        <x:v>693</x:v>
      </x:c>
      <x:c r="K835" s="20" t="n">
        <x:v>65.3</x:v>
      </x:c>
      <x:c r="L835" t="str">
        <x:v>SANGAT KETAT</x:v>
      </x:c>
      <x:c r="M835" t="str">
        <x:v>SEDANG+</x:v>
      </x:c>
      <x:c r="N835" t="str">
        <x:v>ELITE-3</x:v>
      </x:c>
      <x:c r="O835" t="str">
        <x:v>SAINTEK</x:v>
      </x:c>
      <x:c r="P835" t="str">
        <x:v>UMUM</x:v>
      </x:c>
      <x:c r="Q835" s="18" t="n">
        <x:v>615</x:v>
      </x:c>
      <x:c r="R835" s="18" t="n">
        <x:v>0</x:v>
      </x:c>
      <x:c r="S835" s="18" t="n">
        <x:v>629.7479023542456</x:v>
      </x:c>
      <x:c r="T835" s="18" t="n">
        <x:v>691</x:v>
      </x:c>
      <x:c r="U835" s="18" t="n">
        <x:v>629.7479023542456</x:v>
      </x:c>
      <x:c r="V835" s="20" t="n">
        <x:v>12</x:v>
      </x:c>
      <x:c r="W835" s="20" t="n">
        <x:v>5</x:v>
      </x:c>
      <x:c r="X835" s="20" t="n">
        <x:v>3</x:v>
      </x:c>
      <x:c r="Y835" t="str">
        <x:v>Basis arsip 2025/2024</x:v>
      </x:c>
      <x:c r="Z835" t="str">
        <x:v>https://snpmb.id/utbk-snbt/daya-tampung-snbt</x:v>
      </x:c>
      <x:c r="AA835" t="str">
        <x:v>Tidak Ada</x:v>
      </x:c>
      <x:c r="AB835" t="str">
        <x:v>Campus=80; Ratio=58.7; Prodi=40; RelDemand=61.8; Capacity=84.2</x:v>
      </x:c>
    </x:row>
    <x:row r="836">
      <x:c r="A836" t="n">
        <x:v>833</x:v>
      </x:c>
      <x:c r="B836" t="str">
        <x:v>PTN Akademik</x:v>
      </x:c>
      <x:c r="C836" t="str">
        <x:v>UNIVERSITAS LAMPUNG</x:v>
      </x:c>
      <x:c r="D836" t="str">
        <x:v>MANAJEMEN PEMASARAN</x:v>
      </x:c>
      <x:c r="E836" t="str">
        <x:v>Diploma Tiga</x:v>
      </x:c>
      <x:c r="F836" s="18" t="n">
        <x:v>50</x:v>
      </x:c>
      <x:c r="G836" s="18" t="n">
        <x:v>960</x:v>
      </x:c>
      <x:c r="H836" s="19" t="n">
        <x:v>19.2</x:v>
      </x:c>
      <x:c r="I836" s="18" t="n">
        <x:f>ROUND(MIN(Model_Config_v3!$B$6,MAX(Q836,R836,S836*Model_Config_v3!$B$4+T836*Model_Config_v3!$B$5)),0)</x:f>
        <x:v>696</x:v>
      </x:c>
      <x:c r="J836" s="18" t="n">
        <x:f>MIN(Model_Config_v3!$B$6,I836+Model_Config_v3!$B$7)</x:f>
        <x:v>716</x:v>
      </x:c>
      <x:c r="K836" s="20" t="n">
        <x:v>75.7</x:v>
      </x:c>
      <x:c r="L836" t="str">
        <x:v>ELITE</x:v>
      </x:c>
      <x:c r="M836" t="str">
        <x:v>SEDANG+</x:v>
      </x:c>
      <x:c r="N836" t="str">
        <x:v>ELITE-3</x:v>
      </x:c>
      <x:c r="O836" t="str">
        <x:v>SOSHUM</x:v>
      </x:c>
      <x:c r="P836" t="str">
        <x:v>BISNIS/EKONOMI/AKUNTANSI</x:v>
      </x:c>
      <x:c r="Q836" s="18" t="n">
        <x:v>615</x:v>
      </x:c>
      <x:c r="R836" s="18" t="n">
        <x:v>0</x:v>
      </x:c>
      <x:c r="S836" s="18" t="n">
        <x:v>661.1631351573905</x:v>
      </x:c>
      <x:c r="T836" s="18" t="n">
        <x:v>711</x:v>
      </x:c>
      <x:c r="U836" s="18" t="n">
        <x:v>676.1631351573905</x:v>
      </x:c>
      <x:c r="V836" s="20" t="n">
        <x:v>4.4</x:v>
      </x:c>
      <x:c r="W836" s="20" t="n">
        <x:v>14.3</x:v>
      </x:c>
      <x:c r="X836" s="20" t="n">
        <x:v>3.3</x:v>
      </x:c>
      <x:c r="Y836" t="str">
        <x:v>Basis arsip 2025/2024</x:v>
      </x:c>
      <x:c r="Z836" t="str">
        <x:v>https://snpmb.id/utbk-snbt/daya-tampung-snbt</x:v>
      </x:c>
      <x:c r="AA836" t="str">
        <x:v>Tidak Ada</x:v>
      </x:c>
      <x:c r="AB836" t="str">
        <x:v>Campus=80; Ratio=75.5; Prodi=65; RelDemand=100.0; Capacity=58.3</x:v>
      </x:c>
    </x:row>
    <x:row r="837">
      <x:c r="A837" t="n">
        <x:v>834</x:v>
      </x:c>
      <x:c r="B837" t="str">
        <x:v>PTN Akademik</x:v>
      </x:c>
      <x:c r="C837" t="str">
        <x:v>UNIVERSITAS LAMPUNG</x:v>
      </x:c>
      <x:c r="D837" t="str">
        <x:v>ADMINISTRASI PERKANTORAN</x:v>
      </x:c>
      <x:c r="E837" t="str">
        <x:v>Diploma Tiga</x:v>
      </x:c>
      <x:c r="F837" s="18" t="n">
        <x:v>28</x:v>
      </x:c>
      <x:c r="G837" s="18" t="n">
        <x:v>1361</x:v>
      </x:c>
      <x:c r="H837" s="19" t="n">
        <x:v>48.607142857142854</x:v>
      </x:c>
      <x:c r="I837" s="18" t="n">
        <x:f>ROUND(MIN(Model_Config_v3!$B$6,MAX(Q837,R837,S837*Model_Config_v3!$B$4+T837*Model_Config_v3!$B$5)),0)</x:f>
        <x:v>714</x:v>
      </x:c>
      <x:c r="J837" s="18" t="n">
        <x:f>MIN(Model_Config_v3!$B$6,I837+Model_Config_v3!$B$7)</x:f>
        <x:v>734</x:v>
      </x:c>
      <x:c r="K837" s="20" t="n">
        <x:v>78.5</x:v>
      </x:c>
      <x:c r="L837" t="str">
        <x:v>ELITE</x:v>
      </x:c>
      <x:c r="M837" t="str">
        <x:v>SEDANG+</x:v>
      </x:c>
      <x:c r="N837" t="str">
        <x:v>ELITE-3</x:v>
      </x:c>
      <x:c r="O837" t="str">
        <x:v>SOSHUM</x:v>
      </x:c>
      <x:c r="P837" t="str">
        <x:v>UMUM</x:v>
      </x:c>
      <x:c r="Q837" s="18" t="n">
        <x:v>615</x:v>
      </x:c>
      <x:c r="R837" s="18" t="n">
        <x:v>0</x:v>
      </x:c>
      <x:c r="S837" s="18" t="n">
        <x:v>705.5370103247227</x:v>
      </x:c>
      <x:c r="T837" s="18" t="n">
        <x:v>717</x:v>
      </x:c>
      <x:c r="U837" s="18" t="n">
        <x:v>705.5370103247227</x:v>
      </x:c>
      <x:c r="V837" s="20" t="n">
        <x:v>4.4</x:v>
      </x:c>
      <x:c r="W837" s="20" t="n">
        <x:v>14.3</x:v>
      </x:c>
      <x:c r="X837" s="20" t="n">
        <x:v>3.3</x:v>
      </x:c>
      <x:c r="Y837" t="str">
        <x:v>Basis arsip 2025/2024</x:v>
      </x:c>
      <x:c r="Z837" t="str">
        <x:v>https://snpmb.id/utbk-snbt/daya-tampung-snbt</x:v>
      </x:c>
      <x:c r="AA837" t="str">
        <x:v>Tidak Ada</x:v>
      </x:c>
      <x:c r="AB837" t="str">
        <x:v>Campus=80; Ratio=99.3; Prodi=40; RelDemand=100.0; Capacity=76.7</x:v>
      </x:c>
    </x:row>
    <x:row r="838">
      <x:c r="A838" t="n">
        <x:v>835</x:v>
      </x:c>
      <x:c r="B838" t="str">
        <x:v>PTN Akademik</x:v>
      </x:c>
      <x:c r="C838" t="str">
        <x:v>UNIVERSITAS LAMPUNG</x:v>
      </x:c>
      <x:c r="D838" t="str">
        <x:v>PERPUSTAKAAN</x:v>
      </x:c>
      <x:c r="E838" t="str">
        <x:v>Diploma Tiga</x:v>
      </x:c>
      <x:c r="F838" s="18" t="n">
        <x:v>20</x:v>
      </x:c>
      <x:c r="G838" s="18" t="n">
        <x:v>435</x:v>
      </x:c>
      <x:c r="H838" s="19" t="n">
        <x:v>21.75</x:v>
      </x:c>
      <x:c r="I838" s="18" t="n">
        <x:f>ROUND(MIN(Model_Config_v3!$B$6,MAX(Q838,R838,S838*Model_Config_v3!$B$4+T838*Model_Config_v3!$B$5)),0)</x:f>
        <x:v>696</x:v>
      </x:c>
      <x:c r="J838" s="18" t="n">
        <x:f>MIN(Model_Config_v3!$B$6,I838+Model_Config_v3!$B$7)</x:f>
        <x:v>716</x:v>
      </x:c>
      <x:c r="K838" s="20" t="n">
        <x:v>74</x:v>
      </x:c>
      <x:c r="L838" t="str">
        <x:v>SANGAT KETAT</x:v>
      </x:c>
      <x:c r="M838" t="str">
        <x:v>SEDANG+</x:v>
      </x:c>
      <x:c r="N838" t="str">
        <x:v>ELITE-3</x:v>
      </x:c>
      <x:c r="O838" t="str">
        <x:v>CAMPURAN</x:v>
      </x:c>
      <x:c r="P838" t="str">
        <x:v>UMUM</x:v>
      </x:c>
      <x:c r="Q838" s="18" t="n">
        <x:v>615</x:v>
      </x:c>
      <x:c r="R838" s="18" t="n">
        <x:v>0</x:v>
      </x:c>
      <x:c r="S838" s="18" t="n">
        <x:v>667.1205187419721</x:v>
      </x:c>
      <x:c r="T838" s="18" t="n">
        <x:v>708</x:v>
      </x:c>
      <x:c r="U838" s="18" t="n">
        <x:v>667.1205187419721</x:v>
      </x:c>
      <x:c r="V838" s="20" t="n">
        <x:v>8.8</x:v>
      </x:c>
      <x:c r="W838" s="20" t="n">
        <x:v>9.9</x:v>
      </x:c>
      <x:c r="X838" s="20" t="n">
        <x:v>3.3</x:v>
      </x:c>
      <x:c r="Y838" t="str">
        <x:v>Basis arsip 2025/2024</x:v>
      </x:c>
      <x:c r="Z838" t="str">
        <x:v>https://snpmb.id/utbk-snbt/daya-tampung-snbt</x:v>
      </x:c>
      <x:c r="AA838" t="str">
        <x:v>Tidak Ada</x:v>
      </x:c>
      <x:c r="AB838" t="str">
        <x:v>Campus=80; Ratio=78.7; Prodi=40; RelDemand=100.0; Capacity=83.3</x:v>
      </x:c>
    </x:row>
    <x:row r="839">
      <x:c r="A839" t="n">
        <x:v>836</x:v>
      </x:c>
      <x:c r="B839" t="str">
        <x:v>PTN Akademik</x:v>
      </x:c>
      <x:c r="C839" t="str">
        <x:v>UNIVERSITAS LAMPUNG</x:v>
      </x:c>
      <x:c r="D839" t="str">
        <x:v>MANAJEMEN INFORMATIKA</x:v>
      </x:c>
      <x:c r="E839" t="str">
        <x:v>Diploma Tiga</x:v>
      </x:c>
      <x:c r="F839" s="18" t="n">
        <x:v>35</x:v>
      </x:c>
      <x:c r="G839" s="18" t="n">
        <x:v>1124</x:v>
      </x:c>
      <x:c r="H839" s="19" t="n">
        <x:v>32.114285714285714</x:v>
      </x:c>
      <x:c r="I839" s="18" t="n">
        <x:f>ROUND(MIN(Model_Config_v3!$B$6,MAX(Q839,R839,S839*Model_Config_v3!$B$4+T839*Model_Config_v3!$B$5)),0)</x:f>
        <x:v>716</x:v>
      </x:c>
      <x:c r="J839" s="18" t="n">
        <x:f>MIN(Model_Config_v3!$B$6,I839+Model_Config_v3!$B$7)</x:f>
        <x:v>736</x:v>
      </x:c>
      <x:c r="K839" s="20" t="n">
        <x:v>84.3</x:v>
      </x:c>
      <x:c r="L839" t="str">
        <x:v>ELITE</x:v>
      </x:c>
      <x:c r="M839" t="str">
        <x:v>SEDANG+</x:v>
      </x:c>
      <x:c r="N839" t="str">
        <x:v>ELITE-3</x:v>
      </x:c>
      <x:c r="O839" t="str">
        <x:v>SAINTEK</x:v>
      </x:c>
      <x:c r="P839" t="str">
        <x:v>KOMPUTER/INFORMATIKA</x:v>
      </x:c>
      <x:c r="Q839" s="18" t="n">
        <x:v>615</x:v>
      </x:c>
      <x:c r="R839" s="18" t="n">
        <x:v>675</x:v>
      </x:c>
      <x:c r="S839" s="18" t="n">
        <x:v>685.7368093571043</x:v>
      </x:c>
      <x:c r="T839" s="18" t="n">
        <x:v>729</x:v>
      </x:c>
      <x:c r="U839" s="18" t="n">
        <x:v>710.7368093571043</x:v>
      </x:c>
      <x:c r="V839" s="20" t="n">
        <x:v>12</x:v>
      </x:c>
      <x:c r="W839" s="20" t="n">
        <x:v>5</x:v>
      </x:c>
      <x:c r="X839" s="20" t="n">
        <x:v>3</x:v>
      </x:c>
      <x:c r="Y839" t="str">
        <x:v>Basis arsip 2025/2024</x:v>
      </x:c>
      <x:c r="Z839" t="str">
        <x:v>https://snpmb.id/utbk-snbt/daya-tampung-snbt</x:v>
      </x:c>
      <x:c r="AA839" t="str">
        <x:v>Tidak Ada</x:v>
      </x:c>
      <x:c r="AB839" t="str">
        <x:v>Campus=80; Ratio=88.7; Prodi=85; RelDemand=100.0; Capacity=70.8</x:v>
      </x:c>
    </x:row>
    <x:row r="840">
      <x:c r="A840" t="n">
        <x:v>837</x:v>
      </x:c>
      <x:c r="B840" t="str">
        <x:v>PTN Akademik</x:v>
      </x:c>
      <x:c r="C840" t="str">
        <x:v>UNIVERSITAS LAMPUNG</x:v>
      </x:c>
      <x:c r="D840" t="str">
        <x:v>TEKNIK MESIN</x:v>
      </x:c>
      <x:c r="E840" t="str">
        <x:v>Diploma Tiga</x:v>
      </x:c>
      <x:c r="F840" s="18" t="n">
        <x:v>26</x:v>
      </x:c>
      <x:c r="G840" s="18" t="n">
        <x:v>354</x:v>
      </x:c>
      <x:c r="H840" s="19" t="n">
        <x:v>13.615384615384615</x:v>
      </x:c>
      <x:c r="I840" s="18" t="n">
        <x:f>ROUND(MIN(Model_Config_v3!$B$6,MAX(Q840,R840,S840*Model_Config_v3!$B$4+T840*Model_Config_v3!$B$5)),0)</x:f>
        <x:v>688</x:v>
      </x:c>
      <x:c r="J840" s="18" t="n">
        <x:f>MIN(Model_Config_v3!$B$6,I840+Model_Config_v3!$B$7)</x:f>
        <x:v>708</x:v>
      </x:c>
      <x:c r="K840" s="20" t="n">
        <x:v>73</x:v>
      </x:c>
      <x:c r="L840" t="str">
        <x:v>SANGAT KETAT</x:v>
      </x:c>
      <x:c r="M840" t="str">
        <x:v>SEDANG+</x:v>
      </x:c>
      <x:c r="N840" t="str">
        <x:v>ELITE-3</x:v>
      </x:c>
      <x:c r="O840" t="str">
        <x:v>SAINTEK</x:v>
      </x:c>
      <x:c r="P840" t="str">
        <x:v>TEKNIK/ARSITEKTUR/STATISTIKA/AKTUARIA</x:v>
      </x:c>
      <x:c r="Q840" s="18" t="n">
        <x:v>615</x:v>
      </x:c>
      <x:c r="R840" s="18" t="n">
        <x:v>0</x:v>
      </x:c>
      <x:c r="S840" s="18" t="n">
        <x:v>644.7432905460466</x:v>
      </x:c>
      <x:c r="T840" s="18" t="n">
        <x:v>706</x:v>
      </x:c>
      <x:c r="U840" s="18" t="n">
        <x:v>654.7432905460466</x:v>
      </x:c>
      <x:c r="V840" s="20" t="n">
        <x:v>12</x:v>
      </x:c>
      <x:c r="W840" s="20" t="n">
        <x:v>5</x:v>
      </x:c>
      <x:c r="X840" s="20" t="n">
        <x:v>3</x:v>
      </x:c>
      <x:c r="Y840" t="str">
        <x:v>Basis arsip 2025/2024</x:v>
      </x:c>
      <x:c r="Z840" t="str">
        <x:v>https://snpmb.id/utbk-snbt/daya-tampung-snbt</x:v>
      </x:c>
      <x:c r="AA840" t="str">
        <x:v>Tidak Ada</x:v>
      </x:c>
      <x:c r="AB840" t="str">
        <x:v>Campus=80; Ratio=66.7; Prodi=60; RelDemand=84.7; Capacity=78.3</x:v>
      </x:c>
    </x:row>
    <x:row r="841">
      <x:c r="A841" t="n">
        <x:v>838</x:v>
      </x:c>
      <x:c r="B841" t="str">
        <x:v>PTN Akademik</x:v>
      </x:c>
      <x:c r="C841" t="str">
        <x:v>UNIVERSITAS LAMPUNG</x:v>
      </x:c>
      <x:c r="D841" t="str">
        <x:v>TEKNIK SURVEY DAN PEMETAAN</x:v>
      </x:c>
      <x:c r="E841" t="str">
        <x:v>Diploma Tiga</x:v>
      </x:c>
      <x:c r="F841" s="18" t="n">
        <x:v>26</x:v>
      </x:c>
      <x:c r="G841" s="18" t="n">
        <x:v>277</x:v>
      </x:c>
      <x:c r="H841" s="19" t="n">
        <x:v>10.653846153846153</x:v>
      </x:c>
      <x:c r="I841" s="18" t="n">
        <x:f>ROUND(MIN(Model_Config_v3!$B$6,MAX(Q841,R841,S841*Model_Config_v3!$B$4+T841*Model_Config_v3!$B$5)),0)</x:f>
        <x:v>679</x:v>
      </x:c>
      <x:c r="J841" s="18" t="n">
        <x:f>MIN(Model_Config_v3!$B$6,I841+Model_Config_v3!$B$7)</x:f>
        <x:v>699</x:v>
      </x:c>
      <x:c r="K841" s="20" t="n">
        <x:v>69.6</x:v>
      </x:c>
      <x:c r="L841" t="str">
        <x:v>SANGAT KETAT</x:v>
      </x:c>
      <x:c r="M841" t="str">
        <x:v>SEDANG+</x:v>
      </x:c>
      <x:c r="N841" t="str">
        <x:v>ELITE-3</x:v>
      </x:c>
      <x:c r="O841" t="str">
        <x:v>SAINTEK</x:v>
      </x:c>
      <x:c r="P841" t="str">
        <x:v>TEKNIK/ARSITEKTUR/STATISTIKA/AKTUARIA</x:v>
      </x:c>
      <x:c r="Q841" s="18" t="n">
        <x:v>615</x:v>
      </x:c>
      <x:c r="R841" s="18" t="n">
        <x:v>0</x:v>
      </x:c>
      <x:c r="S841" s="18" t="n">
        <x:v>633.0257063202994</x:v>
      </x:c>
      <x:c r="T841" s="18" t="n">
        <x:v>699</x:v>
      </x:c>
      <x:c r="U841" s="18" t="n">
        <x:v>643.0257063202994</x:v>
      </x:c>
      <x:c r="V841" s="20" t="n">
        <x:v>12</x:v>
      </x:c>
      <x:c r="W841" s="20" t="n">
        <x:v>5</x:v>
      </x:c>
      <x:c r="X841" s="20" t="n">
        <x:v>3</x:v>
      </x:c>
      <x:c r="Y841" t="str">
        <x:v>Basis arsip 2025/2024</x:v>
      </x:c>
      <x:c r="Z841" t="str">
        <x:v>https://snpmb.id/utbk-snbt/daya-tampung-snbt</x:v>
      </x:c>
      <x:c r="AA841" t="str">
        <x:v>Tidak Ada</x:v>
      </x:c>
      <x:c r="AB841" t="str">
        <x:v>Campus=80; Ratio=60.5; Prodi=60; RelDemand=66.2; Capacity=78.3</x:v>
      </x:c>
    </x:row>
    <x:row r="842">
      <x:c r="A842" t="n">
        <x:v>839</x:v>
      </x:c>
      <x:c r="B842" t="str">
        <x:v>PTN Akademik</x:v>
      </x:c>
      <x:c r="C842" t="str">
        <x:v>UNIVERSITAS LAMPUNG</x:v>
      </x:c>
      <x:c r="D842" t="str">
        <x:v>PERPAJAKAN</x:v>
      </x:c>
      <x:c r="E842" t="str">
        <x:v>Diploma Tiga</x:v>
      </x:c>
      <x:c r="F842" s="18" t="n">
        <x:v>55</x:v>
      </x:c>
      <x:c r="G842" s="18" t="n">
        <x:v>1700</x:v>
      </x:c>
      <x:c r="H842" s="19" t="n">
        <x:v>30.90909090909091</x:v>
      </x:c>
      <x:c r="I842" s="18" t="n">
        <x:f>ROUND(MIN(Model_Config_v3!$B$6,MAX(Q842,R842,S842*Model_Config_v3!$B$4+T842*Model_Config_v3!$B$5)),0)</x:f>
        <x:v>700</x:v>
      </x:c>
      <x:c r="J842" s="18" t="n">
        <x:f>MIN(Model_Config_v3!$B$6,I842+Model_Config_v3!$B$7)</x:f>
        <x:v>720</x:v>
      </x:c>
      <x:c r="K842" s="20" t="n">
        <x:v>73.3</x:v>
      </x:c>
      <x:c r="L842" t="str">
        <x:v>SANGAT KETAT</x:v>
      </x:c>
      <x:c r="M842" t="str">
        <x:v>SEDANG+</x:v>
      </x:c>
      <x:c r="N842" t="str">
        <x:v>ELITE-3</x:v>
      </x:c>
      <x:c r="O842" t="str">
        <x:v>CAMPURAN</x:v>
      </x:c>
      <x:c r="P842" t="str">
        <x:v>UMUM</x:v>
      </x:c>
      <x:c r="Q842" s="18" t="n">
        <x:v>615</x:v>
      </x:c>
      <x:c r="R842" s="18" t="n">
        <x:v>0</x:v>
      </x:c>
      <x:c r="S842" s="18" t="n">
        <x:v>683.9094855072433</x:v>
      </x:c>
      <x:c r="T842" s="18" t="n">
        <x:v>707</x:v>
      </x:c>
      <x:c r="U842" s="18" t="n">
        <x:v>683.9094855072433</x:v>
      </x:c>
      <x:c r="V842" s="20" t="n">
        <x:v>8.8</x:v>
      </x:c>
      <x:c r="W842" s="20" t="n">
        <x:v>9.9</x:v>
      </x:c>
      <x:c r="X842" s="20" t="n">
        <x:v>3.3</x:v>
      </x:c>
      <x:c r="Y842" t="str">
        <x:v>Basis arsip 2025/2024</x:v>
      </x:c>
      <x:c r="Z842" t="str">
        <x:v>https://snpmb.id/utbk-snbt/daya-tampung-snbt</x:v>
      </x:c>
      <x:c r="AA842" t="str">
        <x:v>Tidak Ada</x:v>
      </x:c>
      <x:c r="AB842" t="str">
        <x:v>Campus=80; Ratio=87.7; Prodi=40; RelDemand=100.0; Capacity=54.2</x:v>
      </x:c>
    </x:row>
    <x:row r="843">
      <x:c r="A843" t="n">
        <x:v>840</x:v>
      </x:c>
      <x:c r="B843" t="str">
        <x:v>PTN Akademik</x:v>
      </x:c>
      <x:c r="C843" t="str">
        <x:v>UNIVERSITAS LAMPUNG</x:v>
      </x:c>
      <x:c r="D843" t="str">
        <x:v>KEUANGAN DAN PERBANKAN</x:v>
      </x:c>
      <x:c r="E843" t="str">
        <x:v>Diploma Tiga</x:v>
      </x:c>
      <x:c r="F843" s="18" t="n">
        <x:v>50</x:v>
      </x:c>
      <x:c r="G843" s="18" t="n">
        <x:v>1250</x:v>
      </x:c>
      <x:c r="H843" s="19" t="n">
        <x:v>25</x:v>
      </x:c>
      <x:c r="I843" s="18" t="n">
        <x:f>ROUND(MIN(Model_Config_v3!$B$6,MAX(Q843,R843,S843*Model_Config_v3!$B$4+T843*Model_Config_v3!$B$5)),0)</x:f>
        <x:v>696</x:v>
      </x:c>
      <x:c r="J843" s="18" t="n">
        <x:f>MIN(Model_Config_v3!$B$6,I843+Model_Config_v3!$B$7)</x:f>
        <x:v>716</x:v>
      </x:c>
      <x:c r="K843" s="20" t="n">
        <x:v>72.4</x:v>
      </x:c>
      <x:c r="L843" t="str">
        <x:v>SANGAT KETAT</x:v>
      </x:c>
      <x:c r="M843" t="str">
        <x:v>SEDANG+</x:v>
      </x:c>
      <x:c r="N843" t="str">
        <x:v>ELITE-3</x:v>
      </x:c>
      <x:c r="O843" t="str">
        <x:v>CAMPURAN</x:v>
      </x:c>
      <x:c r="P843" t="str">
        <x:v>UMUM</x:v>
      </x:c>
      <x:c r="Q843" s="18" t="n">
        <x:v>615</x:v>
      </x:c>
      <x:c r="R843" s="18" t="n">
        <x:v>0</x:v>
      </x:c>
      <x:c r="S843" s="18" t="n">
        <x:v>673.7734009539241</x:v>
      </x:c>
      <x:c r="T843" s="18" t="n">
        <x:v>705</x:v>
      </x:c>
      <x:c r="U843" s="18" t="n">
        <x:v>673.7734009539241</x:v>
      </x:c>
      <x:c r="V843" s="20" t="n">
        <x:v>8.8</x:v>
      </x:c>
      <x:c r="W843" s="20" t="n">
        <x:v>9.9</x:v>
      </x:c>
      <x:c r="X843" s="20" t="n">
        <x:v>3.3</x:v>
      </x:c>
      <x:c r="Y843" t="str">
        <x:v>Basis arsip 2025/2024</x:v>
      </x:c>
      <x:c r="Z843" t="str">
        <x:v>https://snpmb.id/utbk-snbt/daya-tampung-snbt</x:v>
      </x:c>
      <x:c r="AA843" t="str">
        <x:v>Tidak Ada</x:v>
      </x:c>
      <x:c r="AB843" t="str">
        <x:v>Campus=80; Ratio=82.3; Prodi=40; RelDemand=100.0; Capacity=58.3</x:v>
      </x:c>
    </x:row>
    <x:row r="844">
      <x:c r="A844" t="n">
        <x:v>841</x:v>
      </x:c>
      <x:c r="B844" t="str">
        <x:v>PTN Akademik</x:v>
      </x:c>
      <x:c r="C844" t="str">
        <x:v>UNIVERSITAS LAMPUNG</x:v>
      </x:c>
      <x:c r="D844" t="str">
        <x:v>TEKNIK SIPIL</x:v>
      </x:c>
      <x:c r="E844" t="str">
        <x:v>Diploma Tiga</x:v>
      </x:c>
      <x:c r="F844" s="18" t="n">
        <x:v>19</x:v>
      </x:c>
      <x:c r="G844" s="18" t="n">
        <x:v>885</x:v>
      </x:c>
      <x:c r="H844" s="19" t="n">
        <x:v>46.578947368421055</x:v>
      </x:c>
      <x:c r="I844" s="18" t="n">
        <x:f>ROUND(MIN(Model_Config_v3!$B$6,MAX(Q844,R844,S844*Model_Config_v3!$B$4+T844*Model_Config_v3!$B$5)),0)</x:f>
        <x:v>719</x:v>
      </x:c>
      <x:c r="J844" s="18" t="n">
        <x:f>MIN(Model_Config_v3!$B$6,I844+Model_Config_v3!$B$7)</x:f>
        <x:v>739</x:v>
      </x:c>
      <x:c r="K844" s="20" t="n">
        <x:v>83</x:v>
      </x:c>
      <x:c r="L844" t="str">
        <x:v>ELITE</x:v>
      </x:c>
      <x:c r="M844" t="str">
        <x:v>SEDANG+</x:v>
      </x:c>
      <x:c r="N844" t="str">
        <x:v>ELITE-3</x:v>
      </x:c>
      <x:c r="O844" t="str">
        <x:v>SAINTEK</x:v>
      </x:c>
      <x:c r="P844" t="str">
        <x:v>TEKNIK/ARSITEKTUR/STATISTIKA/AKTUARIA</x:v>
      </x:c>
      <x:c r="Q844" s="18" t="n">
        <x:v>615</x:v>
      </x:c>
      <x:c r="R844" s="18" t="n">
        <x:v>0</x:v>
      </x:c>
      <x:c r="S844" s="18" t="n">
        <x:v>703.5008636719496</x:v>
      </x:c>
      <x:c r="T844" s="18" t="n">
        <x:v>726</x:v>
      </x:c>
      <x:c r="U844" s="18" t="n">
        <x:v>713.5008636719496</x:v>
      </x:c>
      <x:c r="V844" s="20" t="n">
        <x:v>12</x:v>
      </x:c>
      <x:c r="W844" s="20" t="n">
        <x:v>5</x:v>
      </x:c>
      <x:c r="X844" s="20" t="n">
        <x:v>3</x:v>
      </x:c>
      <x:c r="Y844" t="str">
        <x:v>Basis arsip 2025/2024</x:v>
      </x:c>
      <x:c r="Z844" t="str">
        <x:v>https://snpmb.id/utbk-snbt/daya-tampung-snbt</x:v>
      </x:c>
      <x:c r="AA844" t="str">
        <x:v>Tidak Ada</x:v>
      </x:c>
      <x:c r="AB844" t="str">
        <x:v>Campus=80; Ratio=98.2; Prodi=60; RelDemand=100.0; Capacity=84.2</x:v>
      </x:c>
    </x:row>
    <x:row r="845">
      <x:c r="A845" t="n">
        <x:v>842</x:v>
      </x:c>
      <x:c r="B845" t="str">
        <x:v>PTN Akademik</x:v>
      </x:c>
      <x:c r="C845" t="str">
        <x:v>UNIVERSITAS LAMPUNG</x:v>
      </x:c>
      <x:c r="D845" t="str">
        <x:v>HUBUNGAN MASYARAKAT</x:v>
      </x:c>
      <x:c r="E845" t="str">
        <x:v>Diploma Tiga</x:v>
      </x:c>
      <x:c r="F845" s="18" t="n">
        <x:v>28</x:v>
      </x:c>
      <x:c r="G845" s="18" t="n">
        <x:v>1055</x:v>
      </x:c>
      <x:c r="H845" s="19" t="n">
        <x:v>37.67857142857143</x:v>
      </x:c>
      <x:c r="I845" s="18" t="n">
        <x:f>ROUND(MIN(Model_Config_v3!$B$6,MAX(Q845,R845,S845*Model_Config_v3!$B$4+T845*Model_Config_v3!$B$5)),0)</x:f>
        <x:v>708</x:v>
      </x:c>
      <x:c r="J845" s="18" t="n">
        <x:f>MIN(Model_Config_v3!$B$6,I845+Model_Config_v3!$B$7)</x:f>
        <x:v>728</x:v>
      </x:c>
      <x:c r="K845" s="20" t="n">
        <x:v>76.9</x:v>
      </x:c>
      <x:c r="L845" t="str">
        <x:v>ELITE</x:v>
      </x:c>
      <x:c r="M845" t="str">
        <x:v>SEDANG+</x:v>
      </x:c>
      <x:c r="N845" t="str">
        <x:v>ELITE-3</x:v>
      </x:c>
      <x:c r="O845" t="str">
        <x:v>CAMPURAN</x:v>
      </x:c>
      <x:c r="P845" t="str">
        <x:v>UMUM</x:v>
      </x:c>
      <x:c r="Q845" s="18" t="n">
        <x:v>615</x:v>
      </x:c>
      <x:c r="R845" s="18" t="n">
        <x:v>0</x:v>
      </x:c>
      <x:c r="S845" s="18" t="n">
        <x:v>693.3703871120641</x:v>
      </x:c>
      <x:c r="T845" s="18" t="n">
        <x:v>714</x:v>
      </x:c>
      <x:c r="U845" s="18" t="n">
        <x:v>693.3703871120641</x:v>
      </x:c>
      <x:c r="V845" s="20" t="n">
        <x:v>8.8</x:v>
      </x:c>
      <x:c r="W845" s="20" t="n">
        <x:v>9.9</x:v>
      </x:c>
      <x:c r="X845" s="20" t="n">
        <x:v>3.3</x:v>
      </x:c>
      <x:c r="Y845" t="str">
        <x:v>Basis arsip 2025/2024</x:v>
      </x:c>
      <x:c r="Z845" t="str">
        <x:v>https://snpmb.id/utbk-snbt/daya-tampung-snbt</x:v>
      </x:c>
      <x:c r="AA845" t="str">
        <x:v>Tidak Ada</x:v>
      </x:c>
      <x:c r="AB845" t="str">
        <x:v>Campus=80; Ratio=92.8; Prodi=40; RelDemand=100.0; Capacity=76.7</x:v>
      </x:c>
    </x:row>
    <x:row r="846">
      <x:c r="A846" t="n">
        <x:v>843</x:v>
      </x:c>
      <x:c r="B846" t="str">
        <x:v>PTN Akademik</x:v>
      </x:c>
      <x:c r="C846" t="str">
        <x:v>UNIVERSITAS LAMPUNG</x:v>
      </x:c>
      <x:c r="D846" t="str">
        <x:v>AKUNTANSI</x:v>
      </x:c>
      <x:c r="E846" t="str">
        <x:v>Diploma Tiga</x:v>
      </x:c>
      <x:c r="F846" s="18" t="n">
        <x:v>55</x:v>
      </x:c>
      <x:c r="G846" s="18" t="n">
        <x:v>1316</x:v>
      </x:c>
      <x:c r="H846" s="19" t="n">
        <x:v>23.927272727272726</x:v>
      </x:c>
      <x:c r="I846" s="18" t="n">
        <x:f>ROUND(MIN(Model_Config_v3!$B$6,MAX(Q846,R846,S846*Model_Config_v3!$B$4+T846*Model_Config_v3!$B$5)),0)</x:f>
        <x:v>701</x:v>
      </x:c>
      <x:c r="J846" s="18" t="n">
        <x:f>MIN(Model_Config_v3!$B$6,I846+Model_Config_v3!$B$7)</x:f>
        <x:v>721</x:v>
      </x:c>
      <x:c r="K846" s="20" t="n">
        <x:v>76.7</x:v>
      </x:c>
      <x:c r="L846" t="str">
        <x:v>ELITE</x:v>
      </x:c>
      <x:c r="M846" t="str">
        <x:v>SEDANG+</x:v>
      </x:c>
      <x:c r="N846" t="str">
        <x:v>ELITE-3</x:v>
      </x:c>
      <x:c r="O846" t="str">
        <x:v>SOSHUM</x:v>
      </x:c>
      <x:c r="P846" t="str">
        <x:v>BISNIS/EKONOMI/AKUNTANSI</x:v>
      </x:c>
      <x:c r="Q846" s="18" t="n">
        <x:v>615</x:v>
      </x:c>
      <x:c r="R846" s="18" t="n">
        <x:v>0</x:v>
      </x:c>
      <x:c r="S846" s="18" t="n">
        <x:v>671.6782519762062</x:v>
      </x:c>
      <x:c r="T846" s="18" t="n">
        <x:v>713</x:v>
      </x:c>
      <x:c r="U846" s="18" t="n">
        <x:v>671.6782519762062</x:v>
      </x:c>
      <x:c r="V846" s="20" t="n">
        <x:v>4.4</x:v>
      </x:c>
      <x:c r="W846" s="20" t="n">
        <x:v>14.3</x:v>
      </x:c>
      <x:c r="X846" s="20" t="n">
        <x:v>3.3</x:v>
      </x:c>
      <x:c r="Y846" t="str">
        <x:v>Basis arsip 2025/2024</x:v>
      </x:c>
      <x:c r="Z846" t="str">
        <x:v>https://snpmb.id/utbk-snbt/daya-tampung-snbt</x:v>
      </x:c>
      <x:c r="AA846" t="str">
        <x:v>Tidak Ada</x:v>
      </x:c>
      <x:c r="AB846" t="str">
        <x:v>Campus=80; Ratio=81.2; Prodi=65; RelDemand=100.0; Capacity=54.2</x:v>
      </x:c>
    </x:row>
    <x:row r="847">
      <x:c r="A847" t="n">
        <x:v>844</x:v>
      </x:c>
      <x:c r="B847" t="str">
        <x:v>PTN Akademik</x:v>
      </x:c>
      <x:c r="C847" t="str">
        <x:v>UNIVERSITAS LAMPUNG</x:v>
      </x:c>
      <x:c r="D847" t="str">
        <x:v>AKUNTANSI PSDKU WAY KANAN</x:v>
      </x:c>
      <x:c r="E847" t="str">
        <x:v>Diploma Tiga</x:v>
      </x:c>
      <x:c r="F847" s="18" t="n">
        <x:v>55</x:v>
      </x:c>
      <x:c r="G847" s="18" t="n">
        <x:v>14</x:v>
      </x:c>
      <x:c r="H847" s="19" t="n">
        <x:v>0.2545454545454545</x:v>
      </x:c>
      <x:c r="I847" s="18" t="n">
        <x:f>ROUND(MIN(Model_Config_v3!$B$6,MAX(Q847,R847,S847*Model_Config_v3!$B$4+T847*Model_Config_v3!$B$5)),0)</x:f>
        <x:v>615</x:v>
      </x:c>
      <x:c r="J847" s="18" t="n">
        <x:f>MIN(Model_Config_v3!$B$6,I847+Model_Config_v3!$B$7)</x:f>
        <x:v>635</x:v>
      </x:c>
      <x:c r="K847" s="20" t="n">
        <x:v>46.6</x:v>
      </x:c>
      <x:c r="L847" t="str">
        <x:v>MENENGAH</x:v>
      </x:c>
      <x:c r="M847" t="str">
        <x:v>SEDANG+</x:v>
      </x:c>
      <x:c r="N847" t="str">
        <x:v>ELITE-3</x:v>
      </x:c>
      <x:c r="O847" t="str">
        <x:v>SOSHUM</x:v>
      </x:c>
      <x:c r="P847" t="str">
        <x:v>BISNIS/EKONOMI/AKUNTANSI</x:v>
      </x:c>
      <x:c r="Q847" s="18" t="n">
        <x:v>615</x:v>
      </x:c>
      <x:c r="R847" s="18" t="n">
        <x:v>0</x:v>
      </x:c>
      <x:c r="S847" s="18" t="n">
        <x:v>520</x:v>
      </x:c>
      <x:c r="T847" s="18" t="n">
        <x:v>653</x:v>
      </x:c>
      <x:c r="U847" s="18" t="n">
        <x:v>615</x:v>
      </x:c>
      <x:c r="V847" s="20" t="n">
        <x:v>4.4</x:v>
      </x:c>
      <x:c r="W847" s="20" t="n">
        <x:v>14.3</x:v>
      </x:c>
      <x:c r="X847" s="20" t="n">
        <x:v>3.3</x:v>
      </x:c>
      <x:c r="Y847" t="str">
        <x:v>Basis arsip 2025/2024</x:v>
      </x:c>
      <x:c r="Z847" t="str">
        <x:v>https://snpmb.id/utbk-snbt/daya-tampung-snbt</x:v>
      </x:c>
      <x:c r="AA847" t="str">
        <x:v>Tidak Ada</x:v>
      </x:c>
      <x:c r="AB847" t="str">
        <x:v>Campus=80; Ratio=0.0; Prodi=65; RelDemand=1.6; Capacity=54.2</x:v>
      </x:c>
    </x:row>
    <x:row r="848">
      <x:c r="A848" t="n">
        <x:v>845</x:v>
      </x:c>
      <x:c r="B848" t="str">
        <x:v>PTN Akademik</x:v>
      </x:c>
      <x:c r="C848" t="str">
        <x:v>UNIVERSITAS LAMPUNG</x:v>
      </x:c>
      <x:c r="D848" t="str">
        <x:v>PERBANKAN DAN KEUANGAN PSDKU LAMPUNG TENGAH</x:v>
      </x:c>
      <x:c r="E848" t="str">
        <x:v>Diploma Tiga</x:v>
      </x:c>
      <x:c r="F848" s="18" t="n">
        <x:v>55</x:v>
      </x:c>
      <x:c r="G848" s="18" t="n">
        <x:v>57</x:v>
      </x:c>
      <x:c r="H848" s="19" t="n">
        <x:v>1.0363636363636364</x:v>
      </x:c>
      <x:c r="I848" s="18" t="n">
        <x:f>ROUND(MIN(Model_Config_v3!$B$6,MAX(Q848,R848,S848*Model_Config_v3!$B$4+T848*Model_Config_v3!$B$5)),0)</x:f>
        <x:v>615</x:v>
      </x:c>
      <x:c r="J848" s="18" t="n">
        <x:f>MIN(Model_Config_v3!$B$6,I848+Model_Config_v3!$B$7)</x:f>
        <x:v>635</x:v>
      </x:c>
      <x:c r="K848" s="20" t="n">
        <x:v>42.3</x:v>
      </x:c>
      <x:c r="L848" t="str">
        <x:v>RELATIF LONGGAR</x:v>
      </x:c>
      <x:c r="M848" t="str">
        <x:v>SEDANG+</x:v>
      </x:c>
      <x:c r="N848" t="str">
        <x:v>ELITE-3</x:v>
      </x:c>
      <x:c r="O848" t="str">
        <x:v>CAMPURAN</x:v>
      </x:c>
      <x:c r="P848" t="str">
        <x:v>UMUM</x:v>
      </x:c>
      <x:c r="Q848" s="18" t="n">
        <x:v>615</x:v>
      </x:c>
      <x:c r="R848" s="18" t="n">
        <x:v>0</x:v>
      </x:c>
      <x:c r="S848" s="18" t="n">
        <x:v>521.7063382796073</x:v>
      </x:c>
      <x:c r="T848" s="18" t="n">
        <x:v>645</x:v>
      </x:c>
      <x:c r="U848" s="18" t="n">
        <x:v>615</x:v>
      </x:c>
      <x:c r="V848" s="20" t="n">
        <x:v>8.8</x:v>
      </x:c>
      <x:c r="W848" s="20" t="n">
        <x:v>9.9</x:v>
      </x:c>
      <x:c r="X848" s="20" t="n">
        <x:v>3.3</x:v>
      </x:c>
      <x:c r="Y848" t="str">
        <x:v>Basis arsip 2025/2024</x:v>
      </x:c>
      <x:c r="Z848" t="str">
        <x:v>https://snpmb.id/utbk-snbt/daya-tampung-snbt</x:v>
      </x:c>
      <x:c r="AA848" t="str">
        <x:v>Tidak Ada</x:v>
      </x:c>
      <x:c r="AB848" t="str">
        <x:v>Campus=80; Ratio=0.9; Prodi=40; RelDemand=6.4; Capacity=54.2</x:v>
      </x:c>
    </x:row>
    <x:row r="849">
      <x:c r="A849" t="n">
        <x:v>846</x:v>
      </x:c>
      <x:c r="B849" t="str">
        <x:v>PTN Akademik</x:v>
      </x:c>
      <x:c r="C849" t="str">
        <x:v>INSTITUT TEKNOLOGI SUMATERA</x:v>
      </x:c>
      <x:c r="D849" t="str">
        <x:v>TEKNIK GEOMATIKA</x:v>
      </x:c>
      <x:c r="E849" t="str">
        <x:v>Sarjana</x:v>
      </x:c>
      <x:c r="F849" s="18" t="n">
        <x:v>98</x:v>
      </x:c>
      <x:c r="G849" s="18" t="n">
        <x:v>117</x:v>
      </x:c>
      <x:c r="H849" s="19" t="n">
        <x:v>1.1938775510204083</x:v>
      </x:c>
      <x:c r="I849" s="18" t="n">
        <x:f>ROUND(MIN(Model_Config_v3!$B$6,MAX(Q849,R849,S849*Model_Config_v3!$B$4+T849*Model_Config_v3!$B$5)),0)</x:f>
        <x:v>602</x:v>
      </x:c>
      <x:c r="J849" s="18" t="n">
        <x:f>MIN(Model_Config_v3!$B$6,I849+Model_Config_v3!$B$7)</x:f>
        <x:v>622</x:v>
      </x:c>
      <x:c r="K849" s="20" t="n">
        <x:v>36.3</x:v>
      </x:c>
      <x:c r="L849" t="str">
        <x:v>RELATIF LONGGAR</x:v>
      </x:c>
      <x:c r="M849" t="str">
        <x:v>SEDANG+</x:v>
      </x:c>
      <x:c r="N849" t="str">
        <x:v>REGULER</x:v>
      </x:c>
      <x:c r="O849" t="str">
        <x:v>SAINTEK</x:v>
      </x:c>
      <x:c r="P849" t="str">
        <x:v>TEKNIK/ARSITEKTUR/STATISTIKA/AKTUARIA</x:v>
      </x:c>
      <x:c r="Q849" s="18" t="n">
        <x:v>0</x:v>
      </x:c>
      <x:c r="R849" s="18" t="n">
        <x:v>0</x:v>
      </x:c>
      <x:c r="S849" s="18" t="n">
        <x:v>528.4655764659034</x:v>
      </x:c>
      <x:c r="T849" s="18" t="n">
        <x:v>633</x:v>
      </x:c>
      <x:c r="U849" s="18" t="n">
        <x:v>538.4655764659034</x:v>
      </x:c>
      <x:c r="V849" s="20" t="n">
        <x:v>12</x:v>
      </x:c>
      <x:c r="W849" s="20" t="n">
        <x:v>5</x:v>
      </x:c>
      <x:c r="X849" s="20" t="n">
        <x:v>3</x:v>
      </x:c>
      <x:c r="Y849" t="str">
        <x:v>Basis arsip 2025/2024</x:v>
      </x:c>
      <x:c r="Z849" t="str">
        <x:v>https://snpmb.id/utbk-snbt/daya-tampung-snbt</x:v>
      </x:c>
      <x:c r="AA849" t="str">
        <x:v>Tidak Ada</x:v>
      </x:c>
      <x:c r="AB849" t="str">
        <x:v>Campus=55; Ratio=4.5; Prodi=60; RelDemand=21.1; Capacity=18.3</x:v>
      </x:c>
    </x:row>
    <x:row r="850">
      <x:c r="A850" t="n">
        <x:v>847</x:v>
      </x:c>
      <x:c r="B850" t="str">
        <x:v>PTN Akademik</x:v>
      </x:c>
      <x:c r="C850" t="str">
        <x:v>INSTITUT TEKNOLOGI SUMATERA</x:v>
      </x:c>
      <x:c r="D850" t="str">
        <x:v>TEKNIK ELEKTRO</x:v>
      </x:c>
      <x:c r="E850" t="str">
        <x:v>Sarjana</x:v>
      </x:c>
      <x:c r="F850" s="18" t="n">
        <x:v>111</x:v>
      </x:c>
      <x:c r="G850" s="18" t="n">
        <x:v>338</x:v>
      </x:c>
      <x:c r="H850" s="19" t="n">
        <x:v>3.045045045045045</x:v>
      </x:c>
      <x:c r="I850" s="18" t="n">
        <x:f>ROUND(MIN(Model_Config_v3!$B$6,MAX(Q850,R850,S850*Model_Config_v3!$B$4+T850*Model_Config_v3!$B$5)),0)</x:f>
        <x:v>626</x:v>
      </x:c>
      <x:c r="J850" s="18" t="n">
        <x:f>MIN(Model_Config_v3!$B$6,I850+Model_Config_v3!$B$7)</x:f>
        <x:v>646</x:v>
      </x:c>
      <x:c r="K850" s="20" t="n">
        <x:v>44.5</x:v>
      </x:c>
      <x:c r="L850" t="str">
        <x:v>RELATIF LONGGAR</x:v>
      </x:c>
      <x:c r="M850" t="str">
        <x:v>SEDANG+</x:v>
      </x:c>
      <x:c r="N850" t="str">
        <x:v>REGULER</x:v>
      </x:c>
      <x:c r="O850" t="str">
        <x:v>SAINTEK</x:v>
      </x:c>
      <x:c r="P850" t="str">
        <x:v>TEKNIK/ARSITEKTUR/STATISTIKA/AKTUARIA</x:v>
      </x:c>
      <x:c r="Q850" s="18" t="n">
        <x:v>0</x:v>
      </x:c>
      <x:c r="R850" s="18" t="n">
        <x:v>0</x:v>
      </x:c>
      <x:c r="S850" s="18" t="n">
        <x:v>573.1953093640097</x:v>
      </x:c>
      <x:c r="T850" s="18" t="n">
        <x:v>649</x:v>
      </x:c>
      <x:c r="U850" s="18" t="n">
        <x:v>583.1953093640097</x:v>
      </x:c>
      <x:c r="V850" s="20" t="n">
        <x:v>12</x:v>
      </x:c>
      <x:c r="W850" s="20" t="n">
        <x:v>5</x:v>
      </x:c>
      <x:c r="X850" s="20" t="n">
        <x:v>3</x:v>
      </x:c>
      <x:c r="Y850" t="str">
        <x:v>Basis arsip 2025/2024</x:v>
      </x:c>
      <x:c r="Z850" t="str">
        <x:v>https://snpmb.id/utbk-snbt/daya-tampung-snbt</x:v>
      </x:c>
      <x:c r="AA850" t="str">
        <x:v>Tidak Ada</x:v>
      </x:c>
      <x:c r="AB850" t="str">
        <x:v>Campus=55; Ratio=28.5; Prodi=60; RelDemand=53.9; Capacity=7.5</x:v>
      </x:c>
    </x:row>
    <x:row r="851">
      <x:c r="A851" t="n">
        <x:v>848</x:v>
      </x:c>
      <x:c r="B851" t="str">
        <x:v>PTN Akademik</x:v>
      </x:c>
      <x:c r="C851" t="str">
        <x:v>INSTITUT TEKNOLOGI SUMATERA</x:v>
      </x:c>
      <x:c r="D851" t="str">
        <x:v>PERENCANAAN WILAYAH DAN KOTA</x:v>
      </x:c>
      <x:c r="E851" t="str">
        <x:v>Sarjana</x:v>
      </x:c>
      <x:c r="F851" s="18" t="n">
        <x:v>137</x:v>
      </x:c>
      <x:c r="G851" s="18" t="n">
        <x:v>282</x:v>
      </x:c>
      <x:c r="H851" s="19" t="n">
        <x:v>2.0583941605839415</x:v>
      </x:c>
      <x:c r="I851" s="18" t="n">
        <x:f>ROUND(MIN(Model_Config_v3!$B$6,MAX(Q851,R851,S851*Model_Config_v3!$B$4+T851*Model_Config_v3!$B$5)),0)</x:f>
        <x:v>608</x:v>
      </x:c>
      <x:c r="J851" s="18" t="n">
        <x:f>MIN(Model_Config_v3!$B$6,I851+Model_Config_v3!$B$7)</x:f>
        <x:v>628</x:v>
      </x:c>
      <x:c r="K851" s="20" t="n">
        <x:v>35.5</x:v>
      </x:c>
      <x:c r="L851" t="str">
        <x:v>RELATIF LONGGAR</x:v>
      </x:c>
      <x:c r="M851" t="str">
        <x:v>SEDANG</x:v>
      </x:c>
      <x:c r="N851" t="str">
        <x:v>REGULER</x:v>
      </x:c>
      <x:c r="O851" t="str">
        <x:v>CAMPURAN</x:v>
      </x:c>
      <x:c r="P851" t="str">
        <x:v>UMUM</x:v>
      </x:c>
      <x:c r="Q851" s="18" t="n">
        <x:v>0</x:v>
      </x:c>
      <x:c r="R851" s="18" t="n">
        <x:v>0</x:v>
      </x:c>
      <x:c r="S851" s="18" t="n">
        <x:v>554.488139527925</x:v>
      </x:c>
      <x:c r="T851" s="18" t="n">
        <x:v>631</x:v>
      </x:c>
      <x:c r="U851" s="18" t="n">
        <x:v>554.488139527925</x:v>
      </x:c>
      <x:c r="V851" s="20" t="n">
        <x:v>8.8</x:v>
      </x:c>
      <x:c r="W851" s="20" t="n">
        <x:v>9.9</x:v>
      </x:c>
      <x:c r="X851" s="20" t="n">
        <x:v>3.3</x:v>
      </x:c>
      <x:c r="Y851" t="str">
        <x:v>Basis arsip 2025/2024</x:v>
      </x:c>
      <x:c r="Z851" t="str">
        <x:v>https://snpmb.id/utbk-snbt/daya-tampung-snbt</x:v>
      </x:c>
      <x:c r="AA851" t="str">
        <x:v>Tidak Ada</x:v>
      </x:c>
      <x:c r="AB851" t="str">
        <x:v>Campus=55; Ratio=18.5; Prodi=40; RelDemand=36.4; Capacity=0.0</x:v>
      </x:c>
    </x:row>
    <x:row r="852">
      <x:c r="A852" t="n">
        <x:v>849</x:v>
      </x:c>
      <x:c r="B852" t="str">
        <x:v>PTN Akademik</x:v>
      </x:c>
      <x:c r="C852" t="str">
        <x:v>INSTITUT TEKNOLOGI SUMATERA</x:v>
      </x:c>
      <x:c r="D852" t="str">
        <x:v>TEKNIK GEOFISIKA</x:v>
      </x:c>
      <x:c r="E852" t="str">
        <x:v>Sarjana</x:v>
      </x:c>
      <x:c r="F852" s="18" t="n">
        <x:v>130</x:v>
      </x:c>
      <x:c r="G852" s="18" t="n">
        <x:v>140</x:v>
      </x:c>
      <x:c r="H852" s="19" t="n">
        <x:v>1.0769230769230769</x:v>
      </x:c>
      <x:c r="I852" s="18" t="n">
        <x:f>ROUND(MIN(Model_Config_v3!$B$6,MAX(Q852,R852,S852*Model_Config_v3!$B$4+T852*Model_Config_v3!$B$5)),0)</x:f>
        <x:v>596</x:v>
      </x:c>
      <x:c r="J852" s="18" t="n">
        <x:f>MIN(Model_Config_v3!$B$6,I852+Model_Config_v3!$B$7)</x:f>
        <x:v>616</x:v>
      </x:c>
      <x:c r="K852" s="20" t="n">
        <x:v>33.6</x:v>
      </x:c>
      <x:c r="L852" t="str">
        <x:v>RELATIF LONGGAR</x:v>
      </x:c>
      <x:c r="M852" t="str">
        <x:v>SEDANG+</x:v>
      </x:c>
      <x:c r="N852" t="str">
        <x:v>REGULER</x:v>
      </x:c>
      <x:c r="O852" t="str">
        <x:v>SAINTEK</x:v>
      </x:c>
      <x:c r="P852" t="str">
        <x:v>TEKNIK/ARSITEKTUR/STATISTIKA/AKTUARIA</x:v>
      </x:c>
      <x:c r="Q852" s="18" t="n">
        <x:v>0</x:v>
      </x:c>
      <x:c r="R852" s="18" t="n">
        <x:v>0</x:v>
      </x:c>
      <x:c r="S852" s="18" t="n">
        <x:v>523.5403151708541</x:v>
      </x:c>
      <x:c r="T852" s="18" t="n">
        <x:v>627</x:v>
      </x:c>
      <x:c r="U852" s="18" t="n">
        <x:v>533.5403151708541</x:v>
      </x:c>
      <x:c r="V852" s="20" t="n">
        <x:v>12</x:v>
      </x:c>
      <x:c r="W852" s="20" t="n">
        <x:v>5</x:v>
      </x:c>
      <x:c r="X852" s="20" t="n">
        <x:v>3</x:v>
      </x:c>
      <x:c r="Y852" t="str">
        <x:v>Basis arsip 2025/2024</x:v>
      </x:c>
      <x:c r="Z852" t="str">
        <x:v>https://snpmb.id/utbk-snbt/daya-tampung-snbt</x:v>
      </x:c>
      <x:c r="AA852" t="str">
        <x:v>Tidak Ada</x:v>
      </x:c>
      <x:c r="AB852" t="str">
        <x:v>Campus=55; Ratio=1.9; Prodi=60; RelDemand=19.1; Capacity=0.0</x:v>
      </x:c>
    </x:row>
    <x:row r="853">
      <x:c r="A853" t="n">
        <x:v>850</x:v>
      </x:c>
      <x:c r="B853" t="str">
        <x:v>PTN Akademik</x:v>
      </x:c>
      <x:c r="C853" t="str">
        <x:v>INSTITUT TEKNOLOGI SUMATERA</x:v>
      </x:c>
      <x:c r="D853" t="str">
        <x:v>TEKNIK SIPIL</x:v>
      </x:c>
      <x:c r="E853" t="str">
        <x:v>Sarjana</x:v>
      </x:c>
      <x:c r="F853" s="18" t="n">
        <x:v>137</x:v>
      </x:c>
      <x:c r="G853" s="18" t="n">
        <x:v>492</x:v>
      </x:c>
      <x:c r="H853" s="19" t="n">
        <x:v>3.591240875912409</x:v>
      </x:c>
      <x:c r="I853" s="18" t="n">
        <x:f>ROUND(MIN(Model_Config_v3!$B$6,MAX(Q853,R853,S853*Model_Config_v3!$B$4+T853*Model_Config_v3!$B$5)),0)</x:f>
        <x:v>631</x:v>
      </x:c>
      <x:c r="J853" s="18" t="n">
        <x:f>MIN(Model_Config_v3!$B$6,I853+Model_Config_v3!$B$7)</x:f>
        <x:v>651</x:v>
      </x:c>
      <x:c r="K853" s="20" t="n">
        <x:v>45.8</x:v>
      </x:c>
      <x:c r="L853" t="str">
        <x:v>MENENGAH</x:v>
      </x:c>
      <x:c r="M853" t="str">
        <x:v>SEDANG+</x:v>
      </x:c>
      <x:c r="N853" t="str">
        <x:v>REGULER</x:v>
      </x:c>
      <x:c r="O853" t="str">
        <x:v>SAINTEK</x:v>
      </x:c>
      <x:c r="P853" t="str">
        <x:v>TEKNIK/ARSITEKTUR/STATISTIKA/AKTUARIA</x:v>
      </x:c>
      <x:c r="Q853" s="18" t="n">
        <x:v>0</x:v>
      </x:c>
      <x:c r="R853" s="18" t="n">
        <x:v>0</x:v>
      </x:c>
      <x:c r="S853" s="18" t="n">
        <x:v>581.0768989172049</x:v>
      </x:c>
      <x:c r="T853" s="18" t="n">
        <x:v>652</x:v>
      </x:c>
      <x:c r="U853" s="18" t="n">
        <x:v>591.0768989172049</x:v>
      </x:c>
      <x:c r="V853" s="20" t="n">
        <x:v>12</x:v>
      </x:c>
      <x:c r="W853" s="20" t="n">
        <x:v>5</x:v>
      </x:c>
      <x:c r="X853" s="20" t="n">
        <x:v>3</x:v>
      </x:c>
      <x:c r="Y853" t="str">
        <x:v>Basis arsip 2025/2024</x:v>
      </x:c>
      <x:c r="Z853" t="str">
        <x:v>https://snpmb.id/utbk-snbt/daya-tampung-snbt</x:v>
      </x:c>
      <x:c r="AA853" t="str">
        <x:v>Tidak Ada</x:v>
      </x:c>
      <x:c r="AB853" t="str">
        <x:v>Campus=55; Ratio=32.7; Prodi=60; RelDemand=63.5; Capacity=0.0</x:v>
      </x:c>
    </x:row>
    <x:row r="854">
      <x:c r="A854" t="n">
        <x:v>851</x:v>
      </x:c>
      <x:c r="B854" t="str">
        <x:v>PTN Akademik</x:v>
      </x:c>
      <x:c r="C854" t="str">
        <x:v>INSTITUT TEKNOLOGI SUMATERA</x:v>
      </x:c>
      <x:c r="D854" t="str">
        <x:v>TEKNIK INFORMATIKA</x:v>
      </x:c>
      <x:c r="E854" t="str">
        <x:v>Sarjana</x:v>
      </x:c>
      <x:c r="F854" s="18" t="n">
        <x:v>143</x:v>
      </x:c>
      <x:c r="G854" s="18" t="n">
        <x:v>961</x:v>
      </x:c>
      <x:c r="H854" s="19" t="n">
        <x:v>6.72027972027972</x:v>
      </x:c>
      <x:c r="I854" s="18" t="n">
        <x:f>ROUND(MIN(Model_Config_v3!$B$6,MAX(Q854,R854,S854*Model_Config_v3!$B$4+T854*Model_Config_v3!$B$5)),0)</x:f>
        <x:v>657</x:v>
      </x:c>
      <x:c r="J854" s="18" t="n">
        <x:f>MIN(Model_Config_v3!$B$6,I854+Model_Config_v3!$B$7)</x:f>
        <x:v>677</x:v>
      </x:c>
      <x:c r="K854" s="20" t="n">
        <x:v>58.4</x:v>
      </x:c>
      <x:c r="L854" t="str">
        <x:v>KETAT</x:v>
      </x:c>
      <x:c r="M854" t="str">
        <x:v>SEDANG+</x:v>
      </x:c>
      <x:c r="N854" t="str">
        <x:v>REGULER</x:v>
      </x:c>
      <x:c r="O854" t="str">
        <x:v>SAINTEK</x:v>
      </x:c>
      <x:c r="P854" t="str">
        <x:v>KOMPUTER/INFORMATIKA</x:v>
      </x:c>
      <x:c r="Q854" s="18" t="n">
        <x:v>0</x:v>
      </x:c>
      <x:c r="R854" s="18" t="n">
        <x:v>0</x:v>
      </x:c>
      <x:c r="S854" s="18" t="n">
        <x:v>611.0126085223832</x:v>
      </x:c>
      <x:c r="T854" s="18" t="n">
        <x:v>677</x:v>
      </x:c>
      <x:c r="U854" s="18" t="n">
        <x:v>636.0126085223832</x:v>
      </x:c>
      <x:c r="V854" s="20" t="n">
        <x:v>12</x:v>
      </x:c>
      <x:c r="W854" s="20" t="n">
        <x:v>5</x:v>
      </x:c>
      <x:c r="X854" s="20" t="n">
        <x:v>3</x:v>
      </x:c>
      <x:c r="Y854" t="str">
        <x:v>Basis arsip 2025/2024</x:v>
      </x:c>
      <x:c r="Z854" t="str">
        <x:v>https://snpmb.id/utbk-snbt/daya-tampung-snbt</x:v>
      </x:c>
      <x:c r="AA854" t="str">
        <x:v>Tidak Ada</x:v>
      </x:c>
      <x:c r="AB854" t="str">
        <x:v>Campus=55; Ratio=48.7; Prodi=85; RelDemand=100.0; Capacity=0.0</x:v>
      </x:c>
    </x:row>
    <x:row r="855">
      <x:c r="A855" t="n">
        <x:v>852</x:v>
      </x:c>
      <x:c r="B855" t="str">
        <x:v>PTN Akademik</x:v>
      </x:c>
      <x:c r="C855" t="str">
        <x:v>INSTITUT TEKNOLOGI SUMATERA</x:v>
      </x:c>
      <x:c r="D855" t="str">
        <x:v>FISIKA</x:v>
      </x:c>
      <x:c r="E855" t="str">
        <x:v>Sarjana</x:v>
      </x:c>
      <x:c r="F855" s="18" t="n">
        <x:v>49</x:v>
      </x:c>
      <x:c r="G855" s="18" t="n">
        <x:v>32</x:v>
      </x:c>
      <x:c r="H855" s="19" t="n">
        <x:v>0.6530612244897959</x:v>
      </x:c>
      <x:c r="I855" s="18" t="n">
        <x:f>ROUND(MIN(Model_Config_v3!$B$6,MAX(Q855,R855,S855*Model_Config_v3!$B$4+T855*Model_Config_v3!$B$5)),0)</x:f>
        <x:v>599</x:v>
      </x:c>
      <x:c r="J855" s="18" t="n">
        <x:f>MIN(Model_Config_v3!$B$6,I855+Model_Config_v3!$B$7)</x:f>
        <x:v>619</x:v>
      </x:c>
      <x:c r="K855" s="20" t="n">
        <x:v>36.3</x:v>
      </x:c>
      <x:c r="L855" t="str">
        <x:v>RELATIF LONGGAR</x:v>
      </x:c>
      <x:c r="M855" t="str">
        <x:v>SEDANG+</x:v>
      </x:c>
      <x:c r="N855" t="str">
        <x:v>REGULER</x:v>
      </x:c>
      <x:c r="O855" t="str">
        <x:v>SAINTEK</x:v>
      </x:c>
      <x:c r="P855" t="str">
        <x:v>SAINS DASAR</x:v>
      </x:c>
      <x:c r="Q855" s="18" t="n">
        <x:v>0</x:v>
      </x:c>
      <x:c r="R855" s="18" t="n">
        <x:v>0</x:v>
      </x:c>
      <x:c r="S855" s="18" t="n">
        <x:v>520</x:v>
      </x:c>
      <x:c r="T855" s="18" t="n">
        <x:v>633</x:v>
      </x:c>
      <x:c r="U855" s="18" t="n">
        <x:v>520</x:v>
      </x:c>
      <x:c r="V855" s="20" t="n">
        <x:v>12</x:v>
      </x:c>
      <x:c r="W855" s="20" t="n">
        <x:v>5</x:v>
      </x:c>
      <x:c r="X855" s="20" t="n">
        <x:v>3</x:v>
      </x:c>
      <x:c r="Y855" t="str">
        <x:v>Basis arsip 2025/2024</x:v>
      </x:c>
      <x:c r="Z855" t="str">
        <x:v>https://snpmb.id/utbk-snbt/daya-tampung-snbt</x:v>
      </x:c>
      <x:c r="AA855" t="str">
        <x:v>Tidak Ada</x:v>
      </x:c>
      <x:c r="AB855" t="str">
        <x:v>Campus=55; Ratio=0.0; Prodi=50; RelDemand=11.6; Capacity=59.2</x:v>
      </x:c>
    </x:row>
    <x:row r="856">
      <x:c r="A856" t="n">
        <x:v>853</x:v>
      </x:c>
      <x:c r="B856" t="str">
        <x:v>PTN Akademik</x:v>
      </x:c>
      <x:c r="C856" t="str">
        <x:v>INSTITUT TEKNOLOGI SUMATERA</x:v>
      </x:c>
      <x:c r="D856" t="str">
        <x:v>ARSITEKTUR</x:v>
      </x:c>
      <x:c r="E856" t="str">
        <x:v>Sarjana</x:v>
      </x:c>
      <x:c r="F856" s="18" t="n">
        <x:v>98</x:v>
      </x:c>
      <x:c r="G856" s="18" t="n">
        <x:v>82</x:v>
      </x:c>
      <x:c r="H856" s="19" t="n">
        <x:v>0.8367346938775511</x:v>
      </x:c>
      <x:c r="I856" s="18" t="n">
        <x:f>ROUND(MIN(Model_Config_v3!$B$6,MAX(Q856,R856,S856*Model_Config_v3!$B$4+T856*Model_Config_v3!$B$5)),0)</x:f>
        <x:v>596</x:v>
      </x:c>
      <x:c r="J856" s="18" t="n">
        <x:f>MIN(Model_Config_v3!$B$6,I856+Model_Config_v3!$B$7)</x:f>
        <x:v>616</x:v>
      </x:c>
      <x:c r="K856" s="20" t="n">
        <x:v>34.6</x:v>
      </x:c>
      <x:c r="L856" t="str">
        <x:v>RELATIF LONGGAR</x:v>
      </x:c>
      <x:c r="M856" t="str">
        <x:v>SEDANG+</x:v>
      </x:c>
      <x:c r="N856" t="str">
        <x:v>REGULER</x:v>
      </x:c>
      <x:c r="O856" t="str">
        <x:v>SAINTEK</x:v>
      </x:c>
      <x:c r="P856" t="str">
        <x:v>TEKNIK/ARSITEKTUR/STATISTIKA/AKTUARIA</x:v>
      </x:c>
      <x:c r="Q856" s="18" t="n">
        <x:v>0</x:v>
      </x:c>
      <x:c r="R856" s="18" t="n">
        <x:v>0</x:v>
      </x:c>
      <x:c r="S856" s="18" t="n">
        <x:v>520</x:v>
      </x:c>
      <x:c r="T856" s="18" t="n">
        <x:v>629</x:v>
      </x:c>
      <x:c r="U856" s="18" t="n">
        <x:v>520</x:v>
      </x:c>
      <x:c r="V856" s="20" t="n">
        <x:v>12</x:v>
      </x:c>
      <x:c r="W856" s="20" t="n">
        <x:v>5</x:v>
      </x:c>
      <x:c r="X856" s="20" t="n">
        <x:v>3</x:v>
      </x:c>
      <x:c r="Y856" t="str">
        <x:v>Basis arsip 2025/2024</x:v>
      </x:c>
      <x:c r="Z856" t="str">
        <x:v>https://snpmb.id/utbk-snbt/daya-tampung-snbt</x:v>
      </x:c>
      <x:c r="AA856" t="str">
        <x:v>Tidak Ada</x:v>
      </x:c>
      <x:c r="AB856" t="str">
        <x:v>Campus=55; Ratio=0.0; Prodi=60; RelDemand=14.8; Capacity=18.3</x:v>
      </x:c>
    </x:row>
    <x:row r="857">
      <x:c r="A857" t="n">
        <x:v>854</x:v>
      </x:c>
      <x:c r="B857" t="str">
        <x:v>PTN Akademik</x:v>
      </x:c>
      <x:c r="C857" t="str">
        <x:v>INSTITUT TEKNOLOGI SUMATERA</x:v>
      </x:c>
      <x:c r="D857" t="str">
        <x:v>TEKNIK LINGKUNGAN</x:v>
      </x:c>
      <x:c r="E857" t="str">
        <x:v>Sarjana</x:v>
      </x:c>
      <x:c r="F857" s="18" t="n">
        <x:v>98</x:v>
      </x:c>
      <x:c r="G857" s="18" t="n">
        <x:v>293</x:v>
      </x:c>
      <x:c r="H857" s="19" t="n">
        <x:v>2.989795918367347</x:v>
      </x:c>
      <x:c r="I857" s="18" t="n">
        <x:f>ROUND(MIN(Model_Config_v3!$B$6,MAX(Q857,R857,S857*Model_Config_v3!$B$4+T857*Model_Config_v3!$B$5)),0)</x:f>
        <x:v>627</x:v>
      </x:c>
      <x:c r="J857" s="18" t="n">
        <x:f>MIN(Model_Config_v3!$B$6,I857+Model_Config_v3!$B$7)</x:f>
        <x:v>647</x:v>
      </x:c>
      <x:c r="K857" s="20" t="n">
        <x:v>45.4</x:v>
      </x:c>
      <x:c r="L857" t="str">
        <x:v>MENENGAH</x:v>
      </x:c>
      <x:c r="M857" t="str">
        <x:v>SEDANG+</x:v>
      </x:c>
      <x:c r="N857" t="str">
        <x:v>REGULER</x:v>
      </x:c>
      <x:c r="O857" t="str">
        <x:v>SAINTEK</x:v>
      </x:c>
      <x:c r="P857" t="str">
        <x:v>TEKNIK/ARSITEKTUR/STATISTIKA/AKTUARIA</x:v>
      </x:c>
      <x:c r="Q857" s="18" t="n">
        <x:v>0</x:v>
      </x:c>
      <x:c r="R857" s="18" t="n">
        <x:v>0</x:v>
      </x:c>
      <x:c r="S857" s="18" t="n">
        <x:v>572.3205699127776</x:v>
      </x:c>
      <x:c r="T857" s="18" t="n">
        <x:v>651</x:v>
      </x:c>
      <x:c r="U857" s="18" t="n">
        <x:v>582.3205699127776</x:v>
      </x:c>
      <x:c r="V857" s="20" t="n">
        <x:v>12</x:v>
      </x:c>
      <x:c r="W857" s="20" t="n">
        <x:v>5</x:v>
      </x:c>
      <x:c r="X857" s="20" t="n">
        <x:v>3</x:v>
      </x:c>
      <x:c r="Y857" t="str">
        <x:v>Basis arsip 2025/2024</x:v>
      </x:c>
      <x:c r="Z857" t="str">
        <x:v>https://snpmb.id/utbk-snbt/daya-tampung-snbt</x:v>
      </x:c>
      <x:c r="AA857" t="str">
        <x:v>Tidak Ada</x:v>
      </x:c>
      <x:c r="AB857" t="str">
        <x:v>Campus=55; Ratio=28.0; Prodi=60; RelDemand=52.9; Capacity=18.3</x:v>
      </x:c>
    </x:row>
    <x:row r="858">
      <x:c r="A858" t="n">
        <x:v>855</x:v>
      </x:c>
      <x:c r="B858" t="str">
        <x:v>PTN Akademik</x:v>
      </x:c>
      <x:c r="C858" t="str">
        <x:v>INSTITUT TEKNOLOGI SUMATERA</x:v>
      </x:c>
      <x:c r="D858" t="str">
        <x:v>TEKNIK GEOLOGI</x:v>
      </x:c>
      <x:c r="E858" t="str">
        <x:v>Sarjana</x:v>
      </x:c>
      <x:c r="F858" s="18" t="n">
        <x:v>81</x:v>
      </x:c>
      <x:c r="G858" s="18" t="n">
        <x:v>360</x:v>
      </x:c>
      <x:c r="H858" s="19" t="n">
        <x:v>4.444444444444445</x:v>
      </x:c>
      <x:c r="I858" s="18" t="n">
        <x:f>ROUND(MIN(Model_Config_v3!$B$6,MAX(Q858,R858,S858*Model_Config_v3!$B$4+T858*Model_Config_v3!$B$5)),0)</x:f>
        <x:v>642</x:v>
      </x:c>
      <x:c r="J858" s="18" t="n">
        <x:f>MIN(Model_Config_v3!$B$6,I858+Model_Config_v3!$B$7)</x:f>
        <x:v>662</x:v>
      </x:c>
      <x:c r="K858" s="20" t="n">
        <x:v>51.9</x:v>
      </x:c>
      <x:c r="L858" t="str">
        <x:v>MENENGAH</x:v>
      </x:c>
      <x:c r="M858" t="str">
        <x:v>SEDANG+</x:v>
      </x:c>
      <x:c r="N858" t="str">
        <x:v>REGULER</x:v>
      </x:c>
      <x:c r="O858" t="str">
        <x:v>SAINTEK</x:v>
      </x:c>
      <x:c r="P858" t="str">
        <x:v>TEKNIK/ARSITEKTUR/STATISTIKA/AKTUARIA</x:v>
      </x:c>
      <x:c r="Q858" s="18" t="n">
        <x:v>0</x:v>
      </x:c>
      <x:c r="R858" s="18" t="n">
        <x:v>0</x:v>
      </x:c>
      <x:c r="S858" s="18" t="n">
        <x:v>591.2599230077501</x:v>
      </x:c>
      <x:c r="T858" s="18" t="n">
        <x:v>664</x:v>
      </x:c>
      <x:c r="U858" s="18" t="n">
        <x:v>601.2599230077501</x:v>
      </x:c>
      <x:c r="V858" s="20" t="n">
        <x:v>12</x:v>
      </x:c>
      <x:c r="W858" s="20" t="n">
        <x:v>5</x:v>
      </x:c>
      <x:c r="X858" s="20" t="n">
        <x:v>3</x:v>
      </x:c>
      <x:c r="Y858" t="str">
        <x:v>Basis arsip 2025/2024</x:v>
      </x:c>
      <x:c r="Z858" t="str">
        <x:v>https://snpmb.id/utbk-snbt/daya-tampung-snbt</x:v>
      </x:c>
      <x:c r="AA858" t="str">
        <x:v>Tidak Ada</x:v>
      </x:c>
      <x:c r="AB858" t="str">
        <x:v>Campus=55; Ratio=38.1; Prodi=60; RelDemand=78.6; Capacity=32.5</x:v>
      </x:c>
    </x:row>
    <x:row r="859">
      <x:c r="A859" t="n">
        <x:v>856</x:v>
      </x:c>
      <x:c r="B859" t="str">
        <x:v>PTN Akademik</x:v>
      </x:c>
      <x:c r="C859" t="str">
        <x:v>INSTITUT TEKNOLOGI SUMATERA</x:v>
      </x:c>
      <x:c r="D859" t="str">
        <x:v>MATEMATIKA</x:v>
      </x:c>
      <x:c r="E859" t="str">
        <x:v>Sarjana</x:v>
      </x:c>
      <x:c r="F859" s="18" t="n">
        <x:v>65</x:v>
      </x:c>
      <x:c r="G859" s="18" t="n">
        <x:v>81</x:v>
      </x:c>
      <x:c r="H859" s="19" t="n">
        <x:v>1.2461538461538462</x:v>
      </x:c>
      <x:c r="I859" s="18" t="n">
        <x:f>ROUND(MIN(Model_Config_v3!$B$6,MAX(Q859,R859,S859*Model_Config_v3!$B$4+T859*Model_Config_v3!$B$5)),0)</x:f>
        <x:v>604</x:v>
      </x:c>
      <x:c r="J859" s="18" t="n">
        <x:f>MIN(Model_Config_v3!$B$6,I859+Model_Config_v3!$B$7)</x:f>
        <x:v>624</x:v>
      </x:c>
      <x:c r="K859" s="20" t="n">
        <x:v>37.4</x:v>
      </x:c>
      <x:c r="L859" t="str">
        <x:v>RELATIF LONGGAR</x:v>
      </x:c>
      <x:c r="M859" t="str">
        <x:v>SEDANG+</x:v>
      </x:c>
      <x:c r="N859" t="str">
        <x:v>REGULER</x:v>
      </x:c>
      <x:c r="O859" t="str">
        <x:v>SAINTEK</x:v>
      </x:c>
      <x:c r="P859" t="str">
        <x:v>SAINS DASAR</x:v>
      </x:c>
      <x:c r="Q859" s="18" t="n">
        <x:v>0</x:v>
      </x:c>
      <x:c r="R859" s="18" t="n">
        <x:v>0</x:v>
      </x:c>
      <x:c r="S859" s="18" t="n">
        <x:v>530.5128828459374</x:v>
      </x:c>
      <x:c r="T859" s="18" t="n">
        <x:v>635</x:v>
      </x:c>
      <x:c r="U859" s="18" t="n">
        <x:v>530.5128828459374</x:v>
      </x:c>
      <x:c r="V859" s="20" t="n">
        <x:v>12</x:v>
      </x:c>
      <x:c r="W859" s="20" t="n">
        <x:v>5</x:v>
      </x:c>
      <x:c r="X859" s="20" t="n">
        <x:v>3</x:v>
      </x:c>
      <x:c r="Y859" t="str">
        <x:v>Basis arsip 2025/2024</x:v>
      </x:c>
      <x:c r="Z859" t="str">
        <x:v>https://snpmb.id/utbk-snbt/daya-tampung-snbt</x:v>
      </x:c>
      <x:c r="AA859" t="str">
        <x:v>Tidak Ada</x:v>
      </x:c>
      <x:c r="AB859" t="str">
        <x:v>Campus=55; Ratio=5.6; Prodi=50; RelDemand=22.1; Capacity=45.8</x:v>
      </x:c>
    </x:row>
    <x:row r="860">
      <x:c r="A860" t="n">
        <x:v>857</x:v>
      </x:c>
      <x:c r="B860" t="str">
        <x:v>PTN Akademik</x:v>
      </x:c>
      <x:c r="C860" t="str">
        <x:v>INSTITUT TEKNOLOGI SUMATERA</x:v>
      </x:c>
      <x:c r="D860" t="str">
        <x:v>TEKNIK MESIN</x:v>
      </x:c>
      <x:c r="E860" t="str">
        <x:v>Sarjana</x:v>
      </x:c>
      <x:c r="F860" s="18" t="n">
        <x:v>78</x:v>
      </x:c>
      <x:c r="G860" s="18" t="n">
        <x:v>353</x:v>
      </x:c>
      <x:c r="H860" s="19" t="n">
        <x:v>4.5256410256410255</x:v>
      </x:c>
      <x:c r="I860" s="18" t="n">
        <x:f>ROUND(MIN(Model_Config_v3!$B$6,MAX(Q860,R860,S860*Model_Config_v3!$B$4+T860*Model_Config_v3!$B$5)),0)</x:f>
        <x:v>643</x:v>
      </x:c>
      <x:c r="J860" s="18" t="n">
        <x:f>MIN(Model_Config_v3!$B$6,I860+Model_Config_v3!$B$7)</x:f>
        <x:v>663</x:v>
      </x:c>
      <x:c r="K860" s="20" t="n">
        <x:v>52.4</x:v>
      </x:c>
      <x:c r="L860" t="str">
        <x:v>MENENGAH</x:v>
      </x:c>
      <x:c r="M860" t="str">
        <x:v>SEDANG+</x:v>
      </x:c>
      <x:c r="N860" t="str">
        <x:v>REGULER</x:v>
      </x:c>
      <x:c r="O860" t="str">
        <x:v>SAINTEK</x:v>
      </x:c>
      <x:c r="P860" t="str">
        <x:v>TEKNIK/ARSITEKTUR/STATISTIKA/AKTUARIA</x:v>
      </x:c>
      <x:c r="Q860" s="18" t="n">
        <x:v>0</x:v>
      </x:c>
      <x:c r="R860" s="18" t="n">
        <x:v>0</x:v>
      </x:c>
      <x:c r="S860" s="18" t="n">
        <x:v>592.1248112967077</x:v>
      </x:c>
      <x:c r="T860" s="18" t="n">
        <x:v>665</x:v>
      </x:c>
      <x:c r="U860" s="18" t="n">
        <x:v>602.1248112967077</x:v>
      </x:c>
      <x:c r="V860" s="20" t="n">
        <x:v>12</x:v>
      </x:c>
      <x:c r="W860" s="20" t="n">
        <x:v>5</x:v>
      </x:c>
      <x:c r="X860" s="20" t="n">
        <x:v>3</x:v>
      </x:c>
      <x:c r="Y860" t="str">
        <x:v>Basis arsip 2025/2024</x:v>
      </x:c>
      <x:c r="Z860" t="str">
        <x:v>https://snpmb.id/utbk-snbt/daya-tampung-snbt</x:v>
      </x:c>
      <x:c r="AA860" t="str">
        <x:v>Tidak Ada</x:v>
      </x:c>
      <x:c r="AB860" t="str">
        <x:v>Campus=55; Ratio=38.6; Prodi=60; RelDemand=80.1; Capacity=35.0</x:v>
      </x:c>
    </x:row>
    <x:row r="861">
      <x:c r="A861" t="n">
        <x:v>858</x:v>
      </x:c>
      <x:c r="B861" t="str">
        <x:v>PTN Akademik</x:v>
      </x:c>
      <x:c r="C861" t="str">
        <x:v>INSTITUT TEKNOLOGI SUMATERA</x:v>
      </x:c>
      <x:c r="D861" t="str">
        <x:v>BIOLOGI</x:v>
      </x:c>
      <x:c r="E861" t="str">
        <x:v>Sarjana</x:v>
      </x:c>
      <x:c r="F861" s="18" t="n">
        <x:v>65</x:v>
      </x:c>
      <x:c r="G861" s="18" t="n">
        <x:v>98</x:v>
      </x:c>
      <x:c r="H861" s="19" t="n">
        <x:v>1.5076923076923077</x:v>
      </x:c>
      <x:c r="I861" s="18" t="n">
        <x:f>ROUND(MIN(Model_Config_v3!$B$6,MAX(Q861,R861,S861*Model_Config_v3!$B$4+T861*Model_Config_v3!$B$5)),0)</x:f>
        <x:v>608</x:v>
      </x:c>
      <x:c r="J861" s="18" t="n">
        <x:f>MIN(Model_Config_v3!$B$6,I861+Model_Config_v3!$B$7)</x:f>
        <x:v>628</x:v>
      </x:c>
      <x:c r="K861" s="20" t="n">
        <x:v>39.1</x:v>
      </x:c>
      <x:c r="L861" t="str">
        <x:v>RELATIF LONGGAR</x:v>
      </x:c>
      <x:c r="M861" t="str">
        <x:v>SEDANG+</x:v>
      </x:c>
      <x:c r="N861" t="str">
        <x:v>REGULER</x:v>
      </x:c>
      <x:c r="O861" t="str">
        <x:v>SAINTEK</x:v>
      </x:c>
      <x:c r="P861" t="str">
        <x:v>SAINS DASAR</x:v>
      </x:c>
      <x:c r="Q861" s="18" t="n">
        <x:v>0</x:v>
      </x:c>
      <x:c r="R861" s="18" t="n">
        <x:v>0</x:v>
      </x:c>
      <x:c r="S861" s="18" t="n">
        <x:v>539.6143990954603</x:v>
      </x:c>
      <x:c r="T861" s="18" t="n">
        <x:v>638</x:v>
      </x:c>
      <x:c r="U861" s="18" t="n">
        <x:v>539.6143990954603</x:v>
      </x:c>
      <x:c r="V861" s="20" t="n">
        <x:v>12</x:v>
      </x:c>
      <x:c r="W861" s="20" t="n">
        <x:v>5</x:v>
      </x:c>
      <x:c r="X861" s="20" t="n">
        <x:v>3</x:v>
      </x:c>
      <x:c r="Y861" t="str">
        <x:v>Basis arsip 2025/2024</x:v>
      </x:c>
      <x:c r="Z861" t="str">
        <x:v>https://snpmb.id/utbk-snbt/daya-tampung-snbt</x:v>
      </x:c>
      <x:c r="AA861" t="str">
        <x:v>Tidak Ada</x:v>
      </x:c>
      <x:c r="AB861" t="str">
        <x:v>Campus=55; Ratio=10.5; Prodi=50; RelDemand=26.7; Capacity=45.8</x:v>
      </x:c>
    </x:row>
    <x:row r="862">
      <x:c r="A862" t="n">
        <x:v>859</x:v>
      </x:c>
      <x:c r="B862" t="str">
        <x:v>PTN Akademik</x:v>
      </x:c>
      <x:c r="C862" t="str">
        <x:v>INSTITUT TEKNOLOGI SUMATERA</x:v>
      </x:c>
      <x:c r="D862" t="str">
        <x:v>TEKNIK INDUSTRI</x:v>
      </x:c>
      <x:c r="E862" t="str">
        <x:v>Sarjana</x:v>
      </x:c>
      <x:c r="F862" s="18" t="n">
        <x:v>104</x:v>
      </x:c>
      <x:c r="G862" s="18" t="n">
        <x:v>663</x:v>
      </x:c>
      <x:c r="H862" s="19" t="n">
        <x:v>6.375</x:v>
      </x:c>
      <x:c r="I862" s="18" t="n">
        <x:f>ROUND(MIN(Model_Config_v3!$B$6,MAX(Q862,R862,S862*Model_Config_v3!$B$4+T862*Model_Config_v3!$B$5)),0)</x:f>
        <x:v>651</x:v>
      </x:c>
      <x:c r="J862" s="18" t="n">
        <x:f>MIN(Model_Config_v3!$B$6,I862+Model_Config_v3!$B$7)</x:f>
        <x:v>671</x:v>
      </x:c>
      <x:c r="K862" s="20" t="n">
        <x:v>54.4</x:v>
      </x:c>
      <x:c r="L862" t="str">
        <x:v>MENENGAH</x:v>
      </x:c>
      <x:c r="M862" t="str">
        <x:v>SEDANG+</x:v>
      </x:c>
      <x:c r="N862" t="str">
        <x:v>REGULER</x:v>
      </x:c>
      <x:c r="O862" t="str">
        <x:v>SAINTEK</x:v>
      </x:c>
      <x:c r="P862" t="str">
        <x:v>TEKNIK/ARSITEKTUR/STATISTIKA/AKTUARIA</x:v>
      </x:c>
      <x:c r="Q862" s="18" t="n">
        <x:v>0</x:v>
      </x:c>
      <x:c r="R862" s="18" t="n">
        <x:v>0</x:v>
      </x:c>
      <x:c r="S862" s="18" t="n">
        <x:v>608.4928208016591</x:v>
      </x:c>
      <x:c r="T862" s="18" t="n">
        <x:v>669</x:v>
      </x:c>
      <x:c r="U862" s="18" t="n">
        <x:v>618.4928208016591</x:v>
      </x:c>
      <x:c r="V862" s="20" t="n">
        <x:v>12</x:v>
      </x:c>
      <x:c r="W862" s="20" t="n">
        <x:v>5</x:v>
      </x:c>
      <x:c r="X862" s="20" t="n">
        <x:v>3</x:v>
      </x:c>
      <x:c r="Y862" t="str">
        <x:v>Basis arsip 2025/2024</x:v>
      </x:c>
      <x:c r="Z862" t="str">
        <x:v>https://snpmb.id/utbk-snbt/daya-tampung-snbt</x:v>
      </x:c>
      <x:c r="AA862" t="str">
        <x:v>Tidak Ada</x:v>
      </x:c>
      <x:c r="AB862" t="str">
        <x:v>Campus=55; Ratio=47.4; Prodi=60; RelDemand=100.0; Capacity=13.3</x:v>
      </x:c>
    </x:row>
    <x:row r="863">
      <x:c r="A863" t="n">
        <x:v>860</x:v>
      </x:c>
      <x:c r="B863" t="str">
        <x:v>PTN Akademik</x:v>
      </x:c>
      <x:c r="C863" t="str">
        <x:v>INSTITUT TEKNOLOGI SUMATERA</x:v>
      </x:c>
      <x:c r="D863" t="str">
        <x:v>FARMASI</x:v>
      </x:c>
      <x:c r="E863" t="str">
        <x:v>Sarjana</x:v>
      </x:c>
      <x:c r="F863" s="18" t="n">
        <x:v>120</x:v>
      </x:c>
      <x:c r="G863" s="18" t="n">
        <x:v>1134</x:v>
      </x:c>
      <x:c r="H863" s="19" t="n">
        <x:v>9.45</x:v>
      </x:c>
      <x:c r="I863" s="18" t="n">
        <x:f>ROUND(MIN(Model_Config_v3!$B$6,MAX(Q863,R863,S863*Model_Config_v3!$B$4+T863*Model_Config_v3!$B$5)),0)</x:f>
        <x:v>662</x:v>
      </x:c>
      <x:c r="J863" s="18" t="n">
        <x:f>MIN(Model_Config_v3!$B$6,I863+Model_Config_v3!$B$7)</x:f>
        <x:v>682</x:v>
      </x:c>
      <x:c r="K863" s="20" t="n">
        <x:v>58.6</x:v>
      </x:c>
      <x:c r="L863" t="str">
        <x:v>KETAT</x:v>
      </x:c>
      <x:c r="M863" t="str">
        <x:v>SEDANG+</x:v>
      </x:c>
      <x:c r="N863" t="str">
        <x:v>REGULER</x:v>
      </x:c>
      <x:c r="O863" t="str">
        <x:v>SAINTEK</x:v>
      </x:c>
      <x:c r="P863" t="str">
        <x:v>FARMASI</x:v>
      </x:c>
      <x:c r="Q863" s="18" t="n">
        <x:v>0</x:v>
      </x:c>
      <x:c r="R863" s="18" t="n">
        <x:v>0</x:v>
      </x:c>
      <x:c r="S863" s="18" t="n">
        <x:v>627.2974989360189</x:v>
      </x:c>
      <x:c r="T863" s="18" t="n">
        <x:v>677</x:v>
      </x:c>
      <x:c r="U863" s="18" t="n">
        <x:v>647.2974989360189</x:v>
      </x:c>
      <x:c r="V863" s="20" t="n">
        <x:v>12</x:v>
      </x:c>
      <x:c r="W863" s="20" t="n">
        <x:v>5</x:v>
      </x:c>
      <x:c r="X863" s="20" t="n">
        <x:v>3</x:v>
      </x:c>
      <x:c r="Y863" t="str">
        <x:v>Basis arsip 2025/2024</x:v>
      </x:c>
      <x:c r="Z863" t="str">
        <x:v>https://snpmb.id/utbk-snbt/daya-tampung-snbt</x:v>
      </x:c>
      <x:c r="AA863" t="str">
        <x:v>Tidak Ada</x:v>
      </x:c>
      <x:c r="AB863" t="str">
        <x:v>Campus=55; Ratio=57.4; Prodi=75; RelDemand=100.0; Capacity=0.0</x:v>
      </x:c>
    </x:row>
    <x:row r="864">
      <x:c r="A864" t="n">
        <x:v>861</x:v>
      </x:c>
      <x:c r="B864" t="str">
        <x:v>PTN Akademik</x:v>
      </x:c>
      <x:c r="C864" t="str">
        <x:v>INSTITUT TEKNOLOGI SUMATERA</x:v>
      </x:c>
      <x:c r="D864" t="str">
        <x:v>TEKNIK KIMIA</x:v>
      </x:c>
      <x:c r="E864" t="str">
        <x:v>Sarjana</x:v>
      </x:c>
      <x:c r="F864" s="18" t="n">
        <x:v>101</x:v>
      </x:c>
      <x:c r="G864" s="18" t="n">
        <x:v>201</x:v>
      </x:c>
      <x:c r="H864" s="19" t="n">
        <x:v>1.99009900990099</x:v>
      </x:c>
      <x:c r="I864" s="18" t="n">
        <x:f>ROUND(MIN(Model_Config_v3!$B$6,MAX(Q864,R864,S864*Model_Config_v3!$B$4+T864*Model_Config_v3!$B$5)),0)</x:f>
        <x:v>615</x:v>
      </x:c>
      <x:c r="J864" s="18" t="n">
        <x:f>MIN(Model_Config_v3!$B$6,I864+Model_Config_v3!$B$7)</x:f>
        <x:v>635</x:v>
      </x:c>
      <x:c r="K864" s="20" t="n">
        <x:v>40.8</x:v>
      </x:c>
      <x:c r="L864" t="str">
        <x:v>RELATIF LONGGAR</x:v>
      </x:c>
      <x:c r="M864" t="str">
        <x:v>SEDANG+</x:v>
      </x:c>
      <x:c r="N864" t="str">
        <x:v>REGULER</x:v>
      </x:c>
      <x:c r="O864" t="str">
        <x:v>SAINTEK</x:v>
      </x:c>
      <x:c r="P864" t="str">
        <x:v>TEKNIK/ARSITEKTUR/STATISTIKA/AKTUARIA</x:v>
      </x:c>
      <x:c r="Q864" s="18" t="n">
        <x:v>0</x:v>
      </x:c>
      <x:c r="R864" s="18" t="n">
        <x:v>0</x:v>
      </x:c>
      <x:c r="S864" s="18" t="n">
        <x:v>552.8762152001631</x:v>
      </x:c>
      <x:c r="T864" s="18" t="n">
        <x:v>642</x:v>
      </x:c>
      <x:c r="U864" s="18" t="n">
        <x:v>562.8762152001631</x:v>
      </x:c>
      <x:c r="V864" s="20" t="n">
        <x:v>12</x:v>
      </x:c>
      <x:c r="W864" s="20" t="n">
        <x:v>5</x:v>
      </x:c>
      <x:c r="X864" s="20" t="n">
        <x:v>3</x:v>
      </x:c>
      <x:c r="Y864" t="str">
        <x:v>Basis arsip 2025/2024</x:v>
      </x:c>
      <x:c r="Z864" t="str">
        <x:v>https://snpmb.id/utbk-snbt/daya-tampung-snbt</x:v>
      </x:c>
      <x:c r="AA864" t="str">
        <x:v>Tidak Ada</x:v>
      </x:c>
      <x:c r="AB864" t="str">
        <x:v>Campus=55; Ratio=17.6; Prodi=60; RelDemand=35.2; Capacity=15.8</x:v>
      </x:c>
    </x:row>
    <x:row r="865">
      <x:c r="A865" t="n">
        <x:v>862</x:v>
      </x:c>
      <x:c r="B865" t="str">
        <x:v>PTN Akademik</x:v>
      </x:c>
      <x:c r="C865" t="str">
        <x:v>INSTITUT TEKNOLOGI SUMATERA</x:v>
      </x:c>
      <x:c r="D865" t="str">
        <x:v>KIMIA</x:v>
      </x:c>
      <x:c r="E865" t="str">
        <x:v>Sarjana</x:v>
      </x:c>
      <x:c r="F865" s="18" t="n">
        <x:v>65</x:v>
      </x:c>
      <x:c r="G865" s="18" t="n">
        <x:v>77</x:v>
      </x:c>
      <x:c r="H865" s="19" t="n">
        <x:v>1.1846153846153846</x:v>
      </x:c>
      <x:c r="I865" s="18" t="n">
        <x:f>ROUND(MIN(Model_Config_v3!$B$6,MAX(Q865,R865,S865*Model_Config_v3!$B$4+T865*Model_Config_v3!$B$5)),0)</x:f>
        <x:v>602</x:v>
      </x:c>
      <x:c r="J865" s="18" t="n">
        <x:f>MIN(Model_Config_v3!$B$6,I865+Model_Config_v3!$B$7)</x:f>
        <x:v>622</x:v>
      </x:c>
      <x:c r="K865" s="20" t="n">
        <x:v>37</x:v>
      </x:c>
      <x:c r="L865" t="str">
        <x:v>RELATIF LONGGAR</x:v>
      </x:c>
      <x:c r="M865" t="str">
        <x:v>SEDANG+</x:v>
      </x:c>
      <x:c r="N865" t="str">
        <x:v>REGULER</x:v>
      </x:c>
      <x:c r="O865" t="str">
        <x:v>SAINTEK</x:v>
      </x:c>
      <x:c r="P865" t="str">
        <x:v>SAINS DASAR</x:v>
      </x:c>
      <x:c r="Q865" s="18" t="n">
        <x:v>0</x:v>
      </x:c>
      <x:c r="R865" s="18" t="n">
        <x:v>0</x:v>
      </x:c>
      <x:c r="S865" s="18" t="n">
        <x:v>528.0935105382589</x:v>
      </x:c>
      <x:c r="T865" s="18" t="n">
        <x:v>634</x:v>
      </x:c>
      <x:c r="U865" s="18" t="n">
        <x:v>528.0935105382589</x:v>
      </x:c>
      <x:c r="V865" s="20" t="n">
        <x:v>12</x:v>
      </x:c>
      <x:c r="W865" s="20" t="n">
        <x:v>5</x:v>
      </x:c>
      <x:c r="X865" s="20" t="n">
        <x:v>3</x:v>
      </x:c>
      <x:c r="Y865" t="str">
        <x:v>Basis arsip 2025/2024</x:v>
      </x:c>
      <x:c r="Z865" t="str">
        <x:v>https://snpmb.id/utbk-snbt/daya-tampung-snbt</x:v>
      </x:c>
      <x:c r="AA865" t="str">
        <x:v>Tidak Ada</x:v>
      </x:c>
      <x:c r="AB865" t="str">
        <x:v>Campus=55; Ratio=4.3; Prodi=50; RelDemand=21.0; Capacity=45.8</x:v>
      </x:c>
    </x:row>
    <x:row r="866">
      <x:c r="A866" t="n">
        <x:v>863</x:v>
      </x:c>
      <x:c r="B866" t="str">
        <x:v>PTN Akademik</x:v>
      </x:c>
      <x:c r="C866" t="str">
        <x:v>INSTITUT TEKNOLOGI SUMATERA</x:v>
      </x:c>
      <x:c r="D866" t="str">
        <x:v>TEKNIK FISIKA</x:v>
      </x:c>
      <x:c r="E866" t="str">
        <x:v>Sarjana</x:v>
      </x:c>
      <x:c r="F866" s="18" t="n">
        <x:v>59</x:v>
      </x:c>
      <x:c r="G866" s="18" t="n">
        <x:v>20</x:v>
      </x:c>
      <x:c r="H866" s="19" t="n">
        <x:v>0.3389830508474576</x:v>
      </x:c>
      <x:c r="I866" s="18" t="n">
        <x:f>ROUND(MIN(Model_Config_v3!$B$6,MAX(Q866,R866,S866*Model_Config_v3!$B$4+T866*Model_Config_v3!$B$5)),0)</x:f>
        <x:v>600</x:v>
      </x:c>
      <x:c r="J866" s="18" t="n">
        <x:f>MIN(Model_Config_v3!$B$6,I866+Model_Config_v3!$B$7)</x:f>
        <x:v>620</x:v>
      </x:c>
      <x:c r="K866" s="20" t="n">
        <x:v>36.9</x:v>
      </x:c>
      <x:c r="L866" t="str">
        <x:v>RELATIF LONGGAR</x:v>
      </x:c>
      <x:c r="M866" t="str">
        <x:v>SEDANG+</x:v>
      </x:c>
      <x:c r="N866" t="str">
        <x:v>REGULER</x:v>
      </x:c>
      <x:c r="O866" t="str">
        <x:v>SAINTEK</x:v>
      </x:c>
      <x:c r="P866" t="str">
        <x:v>TEKNIK/ARSITEKTUR/STATISTIKA/AKTUARIA</x:v>
      </x:c>
      <x:c r="Q866" s="18" t="n">
        <x:v>0</x:v>
      </x:c>
      <x:c r="R866" s="18" t="n">
        <x:v>0</x:v>
      </x:c>
      <x:c r="S866" s="18" t="n">
        <x:v>520</x:v>
      </x:c>
      <x:c r="T866" s="18" t="n">
        <x:v>634</x:v>
      </x:c>
      <x:c r="U866" s="18" t="n">
        <x:v>530</x:v>
      </x:c>
      <x:c r="V866" s="20" t="n">
        <x:v>12</x:v>
      </x:c>
      <x:c r="W866" s="20" t="n">
        <x:v>5</x:v>
      </x:c>
      <x:c r="X866" s="20" t="n">
        <x:v>3</x:v>
      </x:c>
      <x:c r="Y866" t="str">
        <x:v>Basis arsip 2025/2024</x:v>
      </x:c>
      <x:c r="Z866" t="str">
        <x:v>https://snpmb.id/utbk-snbt/daya-tampung-snbt</x:v>
      </x:c>
      <x:c r="AA866" t="str">
        <x:v>Tidak Ada</x:v>
      </x:c>
      <x:c r="AB866" t="str">
        <x:v>Campus=55; Ratio=0.0; Prodi=60; RelDemand=6.0; Capacity=50.8</x:v>
      </x:c>
    </x:row>
    <x:row r="867">
      <x:c r="A867" t="n">
        <x:v>864</x:v>
      </x:c>
      <x:c r="B867" t="str">
        <x:v>PTN Akademik</x:v>
      </x:c>
      <x:c r="C867" t="str">
        <x:v>INSTITUT TEKNOLOGI SUMATERA</x:v>
      </x:c>
      <x:c r="D867" t="str">
        <x:v>TEKNIK KELAUTAN</x:v>
      </x:c>
      <x:c r="E867" t="str">
        <x:v>Sarjana</x:v>
      </x:c>
      <x:c r="F867" s="18" t="n">
        <x:v>65</x:v>
      </x:c>
      <x:c r="G867" s="18" t="n">
        <x:v>151</x:v>
      </x:c>
      <x:c r="H867" s="19" t="n">
        <x:v>2.3230769230769233</x:v>
      </x:c>
      <x:c r="I867" s="18" t="n">
        <x:f>ROUND(MIN(Model_Config_v3!$B$6,MAX(Q867,R867,S867*Model_Config_v3!$B$4+T867*Model_Config_v3!$B$5)),0)</x:f>
        <x:v>624</x:v>
      </x:c>
      <x:c r="J867" s="18" t="n">
        <x:f>MIN(Model_Config_v3!$B$6,I867+Model_Config_v3!$B$7)</x:f>
        <x:v>644</x:v>
      </x:c>
      <x:c r="K867" s="20" t="n">
        <x:v>45.3</x:v>
      </x:c>
      <x:c r="L867" t="str">
        <x:v>MENENGAH</x:v>
      </x:c>
      <x:c r="M867" t="str">
        <x:v>SEDANG+</x:v>
      </x:c>
      <x:c r="N867" t="str">
        <x:v>REGULER</x:v>
      </x:c>
      <x:c r="O867" t="str">
        <x:v>SAINTEK</x:v>
      </x:c>
      <x:c r="P867" t="str">
        <x:v>TEKNIK/ARSITEKTUR/STATISTIKA/AKTUARIA</x:v>
      </x:c>
      <x:c r="Q867" s="18" t="n">
        <x:v>0</x:v>
      </x:c>
      <x:c r="R867" s="18" t="n">
        <x:v>0</x:v>
      </x:c>
      <x:c r="S867" s="18" t="n">
        <x:v>560.2669949715345</x:v>
      </x:c>
      <x:c r="T867" s="18" t="n">
        <x:v>651</x:v>
      </x:c>
      <x:c r="U867" s="18" t="n">
        <x:v>570.2669949715345</x:v>
      </x:c>
      <x:c r="V867" s="20" t="n">
        <x:v>12</x:v>
      </x:c>
      <x:c r="W867" s="20" t="n">
        <x:v>5</x:v>
      </x:c>
      <x:c r="X867" s="20" t="n">
        <x:v>3</x:v>
      </x:c>
      <x:c r="Y867" t="str">
        <x:v>Basis arsip 2025/2024</x:v>
      </x:c>
      <x:c r="Z867" t="str">
        <x:v>https://snpmb.id/utbk-snbt/daya-tampung-snbt</x:v>
      </x:c>
      <x:c r="AA867" t="str">
        <x:v>Tidak Ada</x:v>
      </x:c>
      <x:c r="AB867" t="str">
        <x:v>Campus=55; Ratio=21.5; Prodi=60; RelDemand=41.1; Capacity=45.8</x:v>
      </x:c>
    </x:row>
    <x:row r="868">
      <x:c r="A868" t="n">
        <x:v>865</x:v>
      </x:c>
      <x:c r="B868" t="str">
        <x:v>PTN Akademik</x:v>
      </x:c>
      <x:c r="C868" t="str">
        <x:v>INSTITUT TEKNOLOGI SUMATERA</x:v>
      </x:c>
      <x:c r="D868" t="str">
        <x:v>SAINS ATMOSFIR DAN KEPLANETAN</x:v>
      </x:c>
      <x:c r="E868" t="str">
        <x:v>Sarjana</x:v>
      </x:c>
      <x:c r="F868" s="18" t="n">
        <x:v>65</x:v>
      </x:c>
      <x:c r="G868" s="18" t="n">
        <x:v>61</x:v>
      </x:c>
      <x:c r="H868" s="19" t="n">
        <x:v>0.9384615384615385</x:v>
      </x:c>
      <x:c r="I868" s="18" t="n">
        <x:f>ROUND(MIN(Model_Config_v3!$B$6,MAX(Q868,R868,S868*Model_Config_v3!$B$4+T868*Model_Config_v3!$B$5)),0)</x:f>
        <x:v>595</x:v>
      </x:c>
      <x:c r="J868" s="18" t="n">
        <x:f>MIN(Model_Config_v3!$B$6,I868+Model_Config_v3!$B$7)</x:f>
        <x:v>615</x:v>
      </x:c>
      <x:c r="K868" s="20" t="n">
        <x:v>33.5</x:v>
      </x:c>
      <x:c r="L868" t="str">
        <x:v>RELATIF LONGGAR</x:v>
      </x:c>
      <x:c r="M868" t="str">
        <x:v>SEDANG</x:v>
      </x:c>
      <x:c r="N868" t="str">
        <x:v>REGULER</x:v>
      </x:c>
      <x:c r="O868" t="str">
        <x:v>CAMPURAN</x:v>
      </x:c>
      <x:c r="P868" t="str">
        <x:v>UMUM</x:v>
      </x:c>
      <x:c r="Q868" s="18" t="n">
        <x:v>0</x:v>
      </x:c>
      <x:c r="R868" s="18" t="n">
        <x:v>0</x:v>
      </x:c>
      <x:c r="S868" s="18" t="n">
        <x:v>520</x:v>
      </x:c>
      <x:c r="T868" s="18" t="n">
        <x:v>627</x:v>
      </x:c>
      <x:c r="U868" s="18" t="n">
        <x:v>520</x:v>
      </x:c>
      <x:c r="V868" s="20" t="n">
        <x:v>8.8</x:v>
      </x:c>
      <x:c r="W868" s="20" t="n">
        <x:v>9.9</x:v>
      </x:c>
      <x:c r="X868" s="20" t="n">
        <x:v>3.3</x:v>
      </x:c>
      <x:c r="Y868" t="str">
        <x:v>Basis arsip 2025/2024</x:v>
      </x:c>
      <x:c r="Z868" t="str">
        <x:v>https://snpmb.id/utbk-snbt/daya-tampung-snbt</x:v>
      </x:c>
      <x:c r="AA868" t="str">
        <x:v>Tidak Ada</x:v>
      </x:c>
      <x:c r="AB868" t="str">
        <x:v>Campus=55; Ratio=0.0; Prodi=40; RelDemand=16.6; Capacity=45.8</x:v>
      </x:c>
    </x:row>
    <x:row r="869">
      <x:c r="A869" t="n">
        <x:v>866</x:v>
      </x:c>
      <x:c r="B869" t="str">
        <x:v>PTN Akademik</x:v>
      </x:c>
      <x:c r="C869" t="str">
        <x:v>INSTITUT TEKNOLOGI SUMATERA</x:v>
      </x:c>
      <x:c r="D869" t="str">
        <x:v>TEKNIK BIOSISTEM</x:v>
      </x:c>
      <x:c r="E869" t="str">
        <x:v>Sarjana</x:v>
      </x:c>
      <x:c r="F869" s="18" t="n">
        <x:v>72</x:v>
      </x:c>
      <x:c r="G869" s="18" t="n">
        <x:v>100</x:v>
      </x:c>
      <x:c r="H869" s="19" t="n">
        <x:v>1.3888888888888888</x:v>
      </x:c>
      <x:c r="I869" s="18" t="n">
        <x:f>ROUND(MIN(Model_Config_v3!$B$6,MAX(Q869,R869,S869*Model_Config_v3!$B$4+T869*Model_Config_v3!$B$5)),0)</x:f>
        <x:v>609</x:v>
      </x:c>
      <x:c r="J869" s="18" t="n">
        <x:f>MIN(Model_Config_v3!$B$6,I869+Model_Config_v3!$B$7)</x:f>
        <x:v>629</x:v>
      </x:c>
      <x:c r="K869" s="20" t="n">
        <x:v>39.8</x:v>
      </x:c>
      <x:c r="L869" t="str">
        <x:v>RELATIF LONGGAR</x:v>
      </x:c>
      <x:c r="M869" t="str">
        <x:v>SEDANG+</x:v>
      </x:c>
      <x:c r="N869" t="str">
        <x:v>REGULER</x:v>
      </x:c>
      <x:c r="O869" t="str">
        <x:v>SAINTEK</x:v>
      </x:c>
      <x:c r="P869" t="str">
        <x:v>TEKNIK/ARSITEKTUR/STATISTIKA/AKTUARIA</x:v>
      </x:c>
      <x:c r="Q869" s="18" t="n">
        <x:v>0</x:v>
      </x:c>
      <x:c r="R869" s="18" t="n">
        <x:v>0</x:v>
      </x:c>
      <x:c r="S869" s="18" t="n">
        <x:v>535.6934253925605</x:v>
      </x:c>
      <x:c r="T869" s="18" t="n">
        <x:v>640</x:v>
      </x:c>
      <x:c r="U869" s="18" t="n">
        <x:v>545.6934253925605</x:v>
      </x:c>
      <x:c r="V869" s="20" t="n">
        <x:v>12</x:v>
      </x:c>
      <x:c r="W869" s="20" t="n">
        <x:v>5</x:v>
      </x:c>
      <x:c r="X869" s="20" t="n">
        <x:v>3</x:v>
      </x:c>
      <x:c r="Y869" t="str">
        <x:v>Basis arsip 2025/2024</x:v>
      </x:c>
      <x:c r="Z869" t="str">
        <x:v>https://snpmb.id/utbk-snbt/daya-tampung-snbt</x:v>
      </x:c>
      <x:c r="AA869" t="str">
        <x:v>Tidak Ada</x:v>
      </x:c>
      <x:c r="AB869" t="str">
        <x:v>Campus=55; Ratio=8.4; Prodi=60; RelDemand=24.6; Capacity=40.0</x:v>
      </x:c>
    </x:row>
    <x:row r="870">
      <x:c r="A870" t="n">
        <x:v>867</x:v>
      </x:c>
      <x:c r="B870" t="str">
        <x:v>PTN Akademik</x:v>
      </x:c>
      <x:c r="C870" t="str">
        <x:v>INSTITUT TEKNOLOGI SUMATERA</x:v>
      </x:c>
      <x:c r="D870" t="str">
        <x:v>TEKNOLOGI INDUSTRI PERTANIAN</x:v>
      </x:c>
      <x:c r="E870" t="str">
        <x:v>Sarjana</x:v>
      </x:c>
      <x:c r="F870" s="18" t="n">
        <x:v>85</x:v>
      </x:c>
      <x:c r="G870" s="18" t="n">
        <x:v>229</x:v>
      </x:c>
      <x:c r="H870" s="19" t="n">
        <x:v>2.6941176470588237</x:v>
      </x:c>
      <x:c r="I870" s="18" t="n">
        <x:f>ROUND(MIN(Model_Config_v3!$B$6,MAX(Q870,R870,S870*Model_Config_v3!$B$4+T870*Model_Config_v3!$B$5)),0)</x:f>
        <x:v>620</x:v>
      </x:c>
      <x:c r="J870" s="18" t="n">
        <x:f>MIN(Model_Config_v3!$B$6,I870+Model_Config_v3!$B$7)</x:f>
        <x:v>640</x:v>
      </x:c>
      <x:c r="K870" s="20" t="n">
        <x:v>41.3</x:v>
      </x:c>
      <x:c r="L870" t="str">
        <x:v>RELATIF LONGGAR</x:v>
      </x:c>
      <x:c r="M870" t="str">
        <x:v>SEDANG</x:v>
      </x:c>
      <x:c r="N870" t="str">
        <x:v>REGULER</x:v>
      </x:c>
      <x:c r="O870" t="str">
        <x:v>SAINTEK</x:v>
      </x:c>
      <x:c r="P870" t="str">
        <x:v>UMUM</x:v>
      </x:c>
      <x:c r="Q870" s="18" t="n">
        <x:v>0</x:v>
      </x:c>
      <x:c r="R870" s="18" t="n">
        <x:v>0</x:v>
      </x:c>
      <x:c r="S870" s="18" t="n">
        <x:v>567.3458212288155</x:v>
      </x:c>
      <x:c r="T870" s="18" t="n">
        <x:v>643</x:v>
      </x:c>
      <x:c r="U870" s="18" t="n">
        <x:v>567.3458212288155</x:v>
      </x:c>
      <x:c r="V870" s="20" t="n">
        <x:v>12</x:v>
      </x:c>
      <x:c r="W870" s="20" t="n">
        <x:v>5</x:v>
      </x:c>
      <x:c r="X870" s="20" t="n">
        <x:v>3</x:v>
      </x:c>
      <x:c r="Y870" t="str">
        <x:v>Basis arsip 2025/2024</x:v>
      </x:c>
      <x:c r="Z870" t="str">
        <x:v>https://snpmb.id/utbk-snbt/daya-tampung-snbt</x:v>
      </x:c>
      <x:c r="AA870" t="str">
        <x:v>Tidak Ada</x:v>
      </x:c>
      <x:c r="AB870" t="str">
        <x:v>Campus=55; Ratio=25.3; Prodi=40; RelDemand=47.7; Capacity=29.2</x:v>
      </x:c>
    </x:row>
    <x:row r="871">
      <x:c r="A871" t="n">
        <x:v>868</x:v>
      </x:c>
      <x:c r="B871" t="str">
        <x:v>PTN Akademik</x:v>
      </x:c>
      <x:c r="C871" t="str">
        <x:v>INSTITUT TEKNOLOGI SUMATERA</x:v>
      </x:c>
      <x:c r="D871" t="str">
        <x:v>TEKNIK SISTEM ENERGI</x:v>
      </x:c>
      <x:c r="E871" t="str">
        <x:v>Sarjana</x:v>
      </x:c>
      <x:c r="F871" s="18" t="n">
        <x:v>65</x:v>
      </x:c>
      <x:c r="G871" s="18" t="n">
        <x:v>77</x:v>
      </x:c>
      <x:c r="H871" s="19" t="n">
        <x:v>1.1846153846153846</x:v>
      </x:c>
      <x:c r="I871" s="18" t="n">
        <x:f>ROUND(MIN(Model_Config_v3!$B$6,MAX(Q871,R871,S871*Model_Config_v3!$B$4+T871*Model_Config_v3!$B$5)),0)</x:f>
        <x:v>605</x:v>
      </x:c>
      <x:c r="J871" s="18" t="n">
        <x:f>MIN(Model_Config_v3!$B$6,I871+Model_Config_v3!$B$7)</x:f>
        <x:v>625</x:v>
      </x:c>
      <x:c r="K871" s="20" t="n">
        <x:v>39</x:v>
      </x:c>
      <x:c r="L871" t="str">
        <x:v>RELATIF LONGGAR</x:v>
      </x:c>
      <x:c r="M871" t="str">
        <x:v>SEDANG+</x:v>
      </x:c>
      <x:c r="N871" t="str">
        <x:v>REGULER</x:v>
      </x:c>
      <x:c r="O871" t="str">
        <x:v>SAINTEK</x:v>
      </x:c>
      <x:c r="P871" t="str">
        <x:v>TEKNIK/ARSITEKTUR/STATISTIKA/AKTUARIA</x:v>
      </x:c>
      <x:c r="Q871" s="18" t="n">
        <x:v>0</x:v>
      </x:c>
      <x:c r="R871" s="18" t="n">
        <x:v>0</x:v>
      </x:c>
      <x:c r="S871" s="18" t="n">
        <x:v>528.0935105382589</x:v>
      </x:c>
      <x:c r="T871" s="18" t="n">
        <x:v>638</x:v>
      </x:c>
      <x:c r="U871" s="18" t="n">
        <x:v>538.0935105382589</x:v>
      </x:c>
      <x:c r="V871" s="20" t="n">
        <x:v>12</x:v>
      </x:c>
      <x:c r="W871" s="20" t="n">
        <x:v>5</x:v>
      </x:c>
      <x:c r="X871" s="20" t="n">
        <x:v>3</x:v>
      </x:c>
      <x:c r="Y871" t="str">
        <x:v>Basis arsip 2025/2024</x:v>
      </x:c>
      <x:c r="Z871" t="str">
        <x:v>https://snpmb.id/utbk-snbt/daya-tampung-snbt</x:v>
      </x:c>
      <x:c r="AA871" t="str">
        <x:v>Tidak Ada</x:v>
      </x:c>
      <x:c r="AB871" t="str">
        <x:v>Campus=55; Ratio=4.3; Prodi=60; RelDemand=21.0; Capacity=45.8</x:v>
      </x:c>
    </x:row>
    <x:row r="872">
      <x:c r="A872" t="n">
        <x:v>869</x:v>
      </x:c>
      <x:c r="B872" t="str">
        <x:v>PTN Akademik</x:v>
      </x:c>
      <x:c r="C872" t="str">
        <x:v>INSTITUT TEKNOLOGI SUMATERA</x:v>
      </x:c>
      <x:c r="D872" t="str">
        <x:v>TEKNOLOGI PANGAN</x:v>
      </x:c>
      <x:c r="E872" t="str">
        <x:v>Sarjana</x:v>
      </x:c>
      <x:c r="F872" s="18" t="n">
        <x:v>98</x:v>
      </x:c>
      <x:c r="G872" s="18" t="n">
        <x:v>378</x:v>
      </x:c>
      <x:c r="H872" s="19" t="n">
        <x:v>3.857142857142857</x:v>
      </x:c>
      <x:c r="I872" s="18" t="n">
        <x:f>ROUND(MIN(Model_Config_v3!$B$6,MAX(Q872,R872,S872*Model_Config_v3!$B$4+T872*Model_Config_v3!$B$5)),0)</x:f>
        <x:v>630</x:v>
      </x:c>
      <x:c r="J872" s="18" t="n">
        <x:f>MIN(Model_Config_v3!$B$6,I872+Model_Config_v3!$B$7)</x:f>
        <x:v>650</x:v>
      </x:c>
      <x:c r="K872" s="20" t="n">
        <x:v>44.5</x:v>
      </x:c>
      <x:c r="L872" t="str">
        <x:v>RELATIF LONGGAR</x:v>
      </x:c>
      <x:c r="M872" t="str">
        <x:v>SEDANG</x:v>
      </x:c>
      <x:c r="N872" t="str">
        <x:v>REGULER</x:v>
      </x:c>
      <x:c r="O872" t="str">
        <x:v>SAINTEK</x:v>
      </x:c>
      <x:c r="P872" t="str">
        <x:v>UMUM</x:v>
      </x:c>
      <x:c r="Q872" s="18" t="n">
        <x:v>0</x:v>
      </x:c>
      <x:c r="R872" s="18" t="n">
        <x:v>0</x:v>
      </x:c>
      <x:c r="S872" s="18" t="n">
        <x:v>584.4892296559203</x:v>
      </x:c>
      <x:c r="T872" s="18" t="n">
        <x:v>649</x:v>
      </x:c>
      <x:c r="U872" s="18" t="n">
        <x:v>584.4892296559203</x:v>
      </x:c>
      <x:c r="V872" s="20" t="n">
        <x:v>12</x:v>
      </x:c>
      <x:c r="W872" s="20" t="n">
        <x:v>5</x:v>
      </x:c>
      <x:c r="X872" s="20" t="n">
        <x:v>3</x:v>
      </x:c>
      <x:c r="Y872" t="str">
        <x:v>Basis arsip 2025/2024</x:v>
      </x:c>
      <x:c r="Z872" t="str">
        <x:v>https://snpmb.id/utbk-snbt/daya-tampung-snbt</x:v>
      </x:c>
      <x:c r="AA872" t="str">
        <x:v>Tidak Ada</x:v>
      </x:c>
      <x:c r="AB872" t="str">
        <x:v>Campus=55; Ratio=34.5; Prodi=40; RelDemand=68.3; Capacity=18.3</x:v>
      </x:c>
    </x:row>
    <x:row r="873">
      <x:c r="A873" t="n">
        <x:v>870</x:v>
      </x:c>
      <x:c r="B873" t="str">
        <x:v>PTN Akademik</x:v>
      </x:c>
      <x:c r="C873" t="str">
        <x:v>INSTITUT TEKNOLOGI SUMATERA</x:v>
      </x:c>
      <x:c r="D873" t="str">
        <x:v>TEKNIK MATERIAL</x:v>
      </x:c>
      <x:c r="E873" t="str">
        <x:v>Sarjana</x:v>
      </x:c>
      <x:c r="F873" s="18" t="n">
        <x:v>81</x:v>
      </x:c>
      <x:c r="G873" s="18" t="n">
        <x:v>127</x:v>
      </x:c>
      <x:c r="H873" s="19" t="n">
        <x:v>1.5679012345679013</x:v>
      </x:c>
      <x:c r="I873" s="18" t="n">
        <x:f>ROUND(MIN(Model_Config_v3!$B$6,MAX(Q873,R873,S873*Model_Config_v3!$B$4+T873*Model_Config_v3!$B$5)),0)</x:f>
        <x:v>610</x:v>
      </x:c>
      <x:c r="J873" s="18" t="n">
        <x:f>MIN(Model_Config_v3!$B$6,I873+Model_Config_v3!$B$7)</x:f>
        <x:v>630</x:v>
      </x:c>
      <x:c r="K873" s="20" t="n">
        <x:v>40.1</x:v>
      </x:c>
      <x:c r="L873" t="str">
        <x:v>RELATIF LONGGAR</x:v>
      </x:c>
      <x:c r="M873" t="str">
        <x:v>SEDANG+</x:v>
      </x:c>
      <x:c r="N873" t="str">
        <x:v>REGULER</x:v>
      </x:c>
      <x:c r="O873" t="str">
        <x:v>SAINTEK</x:v>
      </x:c>
      <x:c r="P873" t="str">
        <x:v>TEKNIK/ARSITEKTUR/STATISTIKA/AKTUARIA</x:v>
      </x:c>
      <x:c r="Q873" s="18" t="n">
        <x:v>0</x:v>
      </x:c>
      <x:c r="R873" s="18" t="n">
        <x:v>0</x:v>
      </x:c>
      <x:c r="S873" s="18" t="n">
        <x:v>541.4850572285038</x:v>
      </x:c>
      <x:c r="T873" s="18" t="n">
        <x:v>640</x:v>
      </x:c>
      <x:c r="U873" s="18" t="n">
        <x:v>551.4850572285038</x:v>
      </x:c>
      <x:c r="V873" s="20" t="n">
        <x:v>12</x:v>
      </x:c>
      <x:c r="W873" s="20" t="n">
        <x:v>5</x:v>
      </x:c>
      <x:c r="X873" s="20" t="n">
        <x:v>3</x:v>
      </x:c>
      <x:c r="Y873" t="str">
        <x:v>Basis arsip 2025/2024</x:v>
      </x:c>
      <x:c r="Z873" t="str">
        <x:v>https://snpmb.id/utbk-snbt/daya-tampung-snbt</x:v>
      </x:c>
      <x:c r="AA873" t="str">
        <x:v>Tidak Ada</x:v>
      </x:c>
      <x:c r="AB873" t="str">
        <x:v>Campus=55; Ratio=11.5; Prodi=60; RelDemand=27.7; Capacity=32.5</x:v>
      </x:c>
    </x:row>
    <x:row r="874">
      <x:c r="A874" t="n">
        <x:v>871</x:v>
      </x:c>
      <x:c r="B874" t="str">
        <x:v>PTN Akademik</x:v>
      </x:c>
      <x:c r="C874" t="str">
        <x:v>INSTITUT TEKNOLOGI SUMATERA</x:v>
      </x:c>
      <x:c r="D874" t="str">
        <x:v>TEKNIK PERTAMBANGAN</x:v>
      </x:c>
      <x:c r="E874" t="str">
        <x:v>Sarjana</x:v>
      </x:c>
      <x:c r="F874" s="18" t="n">
        <x:v>124</x:v>
      </x:c>
      <x:c r="G874" s="18" t="n">
        <x:v>1083</x:v>
      </x:c>
      <x:c r="H874" s="19" t="n">
        <x:v>8.733870967741936</x:v>
      </x:c>
      <x:c r="I874" s="18" t="n">
        <x:f>ROUND(MIN(Model_Config_v3!$B$6,MAX(Q874,R874,S874*Model_Config_v3!$B$4+T874*Model_Config_v3!$B$5)),0)</x:f>
        <x:v>656</x:v>
      </x:c>
      <x:c r="J874" s="18" t="n">
        <x:f>MIN(Model_Config_v3!$B$6,I874+Model_Config_v3!$B$7)</x:f>
        <x:v>676</x:v>
      </x:c>
      <x:c r="K874" s="20" t="n">
        <x:v>55.1</x:v>
      </x:c>
      <x:c r="L874" t="str">
        <x:v>KETAT</x:v>
      </x:c>
      <x:c r="M874" t="str">
        <x:v>SEDANG+</x:v>
      </x:c>
      <x:c r="N874" t="str">
        <x:v>REGULER</x:v>
      </x:c>
      <x:c r="O874" t="str">
        <x:v>SAINTEK</x:v>
      </x:c>
      <x:c r="P874" t="str">
        <x:v>TEKNIK/ARSITEKTUR/STATISTIKA/AKTUARIA</x:v>
      </x:c>
      <x:c r="Q874" s="18" t="n">
        <x:v>0</x:v>
      </x:c>
      <x:c r="R874" s="18" t="n">
        <x:v>0</x:v>
      </x:c>
      <x:c r="S874" s="18" t="n">
        <x:v>623.5327448609394</x:v>
      </x:c>
      <x:c r="T874" s="18" t="n">
        <x:v>670</x:v>
      </x:c>
      <x:c r="U874" s="18" t="n">
        <x:v>633.5327448609394</x:v>
      </x:c>
      <x:c r="V874" s="20" t="n">
        <x:v>12</x:v>
      </x:c>
      <x:c r="W874" s="20" t="n">
        <x:v>5</x:v>
      </x:c>
      <x:c r="X874" s="20" t="n">
        <x:v>3</x:v>
      </x:c>
      <x:c r="Y874" t="str">
        <x:v>Basis arsip 2025/2024</x:v>
      </x:c>
      <x:c r="Z874" t="str">
        <x:v>https://snpmb.id/utbk-snbt/daya-tampung-snbt</x:v>
      </x:c>
      <x:c r="AA874" t="str">
        <x:v>Tidak Ada</x:v>
      </x:c>
      <x:c r="AB874" t="str">
        <x:v>Campus=55; Ratio=55.4; Prodi=60; RelDemand=100.0; Capacity=0.0</x:v>
      </x:c>
    </x:row>
    <x:row r="875">
      <x:c r="A875" t="n">
        <x:v>872</x:v>
      </x:c>
      <x:c r="B875" t="str">
        <x:v>PTN Akademik</x:v>
      </x:c>
      <x:c r="C875" t="str">
        <x:v>INSTITUT TEKNOLOGI SUMATERA</x:v>
      </x:c>
      <x:c r="D875" t="str">
        <x:v>ARSITEKTUR LANSKAP</x:v>
      </x:c>
      <x:c r="E875" t="str">
        <x:v>Sarjana</x:v>
      </x:c>
      <x:c r="F875" s="18" t="n">
        <x:v>65</x:v>
      </x:c>
      <x:c r="G875" s="18" t="n">
        <x:v>166</x:v>
      </x:c>
      <x:c r="H875" s="19" t="n">
        <x:v>2.5538461538461537</x:v>
      </x:c>
      <x:c r="I875" s="18" t="n">
        <x:f>ROUND(MIN(Model_Config_v3!$B$6,MAX(Q875,R875,S875*Model_Config_v3!$B$4+T875*Model_Config_v3!$B$5)),0)</x:f>
        <x:v>627</x:v>
      </x:c>
      <x:c r="J875" s="18" t="n">
        <x:f>MIN(Model_Config_v3!$B$6,I875+Model_Config_v3!$B$7)</x:f>
        <x:v>647</x:v>
      </x:c>
      <x:c r="K875" s="20" t="n">
        <x:v>46.3</x:v>
      </x:c>
      <x:c r="L875" t="str">
        <x:v>MENENGAH</x:v>
      </x:c>
      <x:c r="M875" t="str">
        <x:v>SEDANG+</x:v>
      </x:c>
      <x:c r="N875" t="str">
        <x:v>REGULER</x:v>
      </x:c>
      <x:c r="O875" t="str">
        <x:v>SAINTEK</x:v>
      </x:c>
      <x:c r="P875" t="str">
        <x:v>TEKNIK/ARSITEKTUR/STATISTIKA/AKTUARIA</x:v>
      </x:c>
      <x:c r="Q875" s="18" t="n">
        <x:v>0</x:v>
      </x:c>
      <x:c r="R875" s="18" t="n">
        <x:v>0</x:v>
      </x:c>
      <x:c r="S875" s="18" t="n">
        <x:v>564.7914204536919</x:v>
      </x:c>
      <x:c r="T875" s="18" t="n">
        <x:v>653</x:v>
      </x:c>
      <x:c r="U875" s="18" t="n">
        <x:v>564.7914204536919</x:v>
      </x:c>
      <x:c r="V875" s="20" t="n">
        <x:v>12</x:v>
      </x:c>
      <x:c r="W875" s="20" t="n">
        <x:v>5</x:v>
      </x:c>
      <x:c r="X875" s="20" t="n">
        <x:v>3</x:v>
      </x:c>
      <x:c r="Y875" t="str">
        <x:v>Basis arsip 2025/2024</x:v>
      </x:c>
      <x:c r="Z875" t="str">
        <x:v>https://snpmb.id/utbk-snbt/daya-tampung-snbt</x:v>
      </x:c>
      <x:c r="AA875" t="str">
        <x:v>Tidak Ada</x:v>
      </x:c>
      <x:c r="AB875" t="str">
        <x:v>Campus=55; Ratio=24.0; Prodi=60; RelDemand=45.2; Capacity=45.8</x:v>
      </x:c>
    </x:row>
    <x:row r="876">
      <x:c r="A876" t="n">
        <x:v>873</x:v>
      </x:c>
      <x:c r="B876" t="str">
        <x:v>PTN Akademik</x:v>
      </x:c>
      <x:c r="C876" t="str">
        <x:v>INSTITUT TEKNOLOGI SUMATERA</x:v>
      </x:c>
      <x:c r="D876" t="str">
        <x:v>DESAIN KOMUNIKASI VISUAL</x:v>
      </x:c>
      <x:c r="E876" t="str">
        <x:v>Sarjana</x:v>
      </x:c>
      <x:c r="F876" s="18" t="n">
        <x:v>85</x:v>
      </x:c>
      <x:c r="G876" s="18" t="n">
        <x:v>177</x:v>
      </x:c>
      <x:c r="H876" s="19" t="n">
        <x:v>2.0823529411764707</x:v>
      </x:c>
      <x:c r="I876" s="18" t="n">
        <x:f>ROUND(MIN(Model_Config_v3!$B$6,MAX(Q876,R876,S876*Model_Config_v3!$B$4+T876*Model_Config_v3!$B$5)),0)</x:f>
        <x:v>614</x:v>
      </x:c>
      <x:c r="J876" s="18" t="n">
        <x:f>MIN(Model_Config_v3!$B$6,I876+Model_Config_v3!$B$7)</x:f>
        <x:v>634</x:v>
      </x:c>
      <x:c r="K876" s="20" t="n">
        <x:v>39.5</x:v>
      </x:c>
      <x:c r="L876" t="str">
        <x:v>RELATIF LONGGAR</x:v>
      </x:c>
      <x:c r="M876" t="str">
        <x:v>PORTOFOLIO</x:v>
      </x:c>
      <x:c r="N876" t="str">
        <x:v>REGULER</x:v>
      </x:c>
      <x:c r="O876" t="str">
        <x:v>SENI/OLAHRAGA</x:v>
      </x:c>
      <x:c r="P876" t="str">
        <x:v>SENI/OLAHRAGA</x:v>
      </x:c>
      <x:c r="Q876" s="18" t="n">
        <x:v>0</x:v>
      </x:c>
      <x:c r="R876" s="18" t="n">
        <x:v>0</x:v>
      </x:c>
      <x:c r="S876" s="18" t="n">
        <x:v>555.0409774712265</x:v>
      </x:c>
      <x:c r="T876" s="18" t="n">
        <x:v>639</x:v>
      </x:c>
      <x:c r="U876" s="18" t="n">
        <x:v>555.0409774712265</x:v>
      </x:c>
      <x:c r="V876" s="20" t="n">
        <x:v>4.4</x:v>
      </x:c>
      <x:c r="W876" s="20" t="n">
        <x:v>9.9</x:v>
      </x:c>
      <x:c r="X876" s="20" t="n">
        <x:v>7.7</x:v>
      </x:c>
      <x:c r="Y876" t="str">
        <x:v>Basis arsip 2025/2024</x:v>
      </x:c>
      <x:c r="Z876" t="str">
        <x:v>https://snpmb.id/utbk-snbt/daya-tampung-snbt</x:v>
      </x:c>
      <x:c r="AA876" t="str">
        <x:v>Seni Rupa, Desain, dan Kriya</x:v>
      </x:c>
      <x:c r="AB876" t="str">
        <x:v>Campus=55; Ratio=18.7; Prodi=45; RelDemand=36.8; Capacity=29.2</x:v>
      </x:c>
    </x:row>
    <x:row r="877">
      <x:c r="A877" t="n">
        <x:v>874</x:v>
      </x:c>
      <x:c r="B877" t="str">
        <x:v>PTN Akademik</x:v>
      </x:c>
      <x:c r="C877" t="str">
        <x:v>INSTITUT TEKNOLOGI SUMATERA</x:v>
      </x:c>
      <x:c r="D877" t="str">
        <x:v>TEKNIK TELEKOMUNIKASI</x:v>
      </x:c>
      <x:c r="E877" t="str">
        <x:v>Sarjana</x:v>
      </x:c>
      <x:c r="F877" s="18" t="n">
        <x:v>68</x:v>
      </x:c>
      <x:c r="G877" s="18" t="n">
        <x:v>153</x:v>
      </x:c>
      <x:c r="H877" s="19" t="n">
        <x:v>2.25</x:v>
      </x:c>
      <x:c r="I877" s="18" t="n">
        <x:f>ROUND(MIN(Model_Config_v3!$B$6,MAX(Q877,R877,S877*Model_Config_v3!$B$4+T877*Model_Config_v3!$B$5)),0)</x:f>
        <x:v>622</x:v>
      </x:c>
      <x:c r="J877" s="18" t="n">
        <x:f>MIN(Model_Config_v3!$B$6,I877+Model_Config_v3!$B$7)</x:f>
        <x:v>642</x:v>
      </x:c>
      <x:c r="K877" s="20" t="n">
        <x:v>44.7</x:v>
      </x:c>
      <x:c r="L877" t="str">
        <x:v>RELATIF LONGGAR</x:v>
      </x:c>
      <x:c r="M877" t="str">
        <x:v>SEDANG+</x:v>
      </x:c>
      <x:c r="N877" t="str">
        <x:v>REGULER</x:v>
      </x:c>
      <x:c r="O877" t="str">
        <x:v>SAINTEK</x:v>
      </x:c>
      <x:c r="P877" t="str">
        <x:v>TEKNIK/ARSITEKTUR/STATISTIKA/AKTUARIA</x:v>
      </x:c>
      <x:c r="Q877" s="18" t="n">
        <x:v>0</x:v>
      </x:c>
      <x:c r="R877" s="18" t="n">
        <x:v>0</x:v>
      </x:c>
      <x:c r="S877" s="18" t="n">
        <x:v>558.7400769922499</x:v>
      </x:c>
      <x:c r="T877" s="18" t="n">
        <x:v>649</x:v>
      </x:c>
      <x:c r="U877" s="18" t="n">
        <x:v>568.7400769922499</x:v>
      </x:c>
      <x:c r="V877" s="20" t="n">
        <x:v>12</x:v>
      </x:c>
      <x:c r="W877" s="20" t="n">
        <x:v>5</x:v>
      </x:c>
      <x:c r="X877" s="20" t="n">
        <x:v>3</x:v>
      </x:c>
      <x:c r="Y877" t="str">
        <x:v>Basis arsip 2025/2024</x:v>
      </x:c>
      <x:c r="Z877" t="str">
        <x:v>https://snpmb.id/utbk-snbt/daya-tampung-snbt</x:v>
      </x:c>
      <x:c r="AA877" t="str">
        <x:v>Tidak Ada</x:v>
      </x:c>
      <x:c r="AB877" t="str">
        <x:v>Campus=55; Ratio=20.7; Prodi=60; RelDemand=39.8; Capacity=43.3</x:v>
      </x:c>
    </x:row>
    <x:row r="878">
      <x:c r="A878" t="n">
        <x:v>875</x:v>
      </x:c>
      <x:c r="B878" t="str">
        <x:v>PTN Akademik</x:v>
      </x:c>
      <x:c r="C878" t="str">
        <x:v>INSTITUT TEKNOLOGI SUMATERA</x:v>
      </x:c>
      <x:c r="D878" t="str">
        <x:v>SAINS AKTUARIA</x:v>
      </x:c>
      <x:c r="E878" t="str">
        <x:v>Sarjana</x:v>
      </x:c>
      <x:c r="F878" s="18" t="n">
        <x:v>85</x:v>
      </x:c>
      <x:c r="G878" s="18" t="n">
        <x:v>169</x:v>
      </x:c>
      <x:c r="H878" s="19" t="n">
        <x:v>1.988235294117647</x:v>
      </x:c>
      <x:c r="I878" s="18" t="n">
        <x:f>ROUND(MIN(Model_Config_v3!$B$6,MAX(Q878,R878,S878*Model_Config_v3!$B$4+T878*Model_Config_v3!$B$5)),0)</x:f>
        <x:v>617</x:v>
      </x:c>
      <x:c r="J878" s="18" t="n">
        <x:f>MIN(Model_Config_v3!$B$6,I878+Model_Config_v3!$B$7)</x:f>
        <x:v>637</x:v>
      </x:c>
      <x:c r="K878" s="20" t="n">
        <x:v>42.1</x:v>
      </x:c>
      <x:c r="L878" t="str">
        <x:v>RELATIF LONGGAR</x:v>
      </x:c>
      <x:c r="M878" t="str">
        <x:v>SEDANG+</x:v>
      </x:c>
      <x:c r="N878" t="str">
        <x:v>REGULER</x:v>
      </x:c>
      <x:c r="O878" t="str">
        <x:v>SAINTEK</x:v>
      </x:c>
      <x:c r="P878" t="str">
        <x:v>TEKNIK/ARSITEKTUR/STATISTIKA/AKTUARIA</x:v>
      </x:c>
      <x:c r="Q878" s="18" t="n">
        <x:v>0</x:v>
      </x:c>
      <x:c r="R878" s="18" t="n">
        <x:v>0</x:v>
      </x:c>
      <x:c r="S878" s="18" t="n">
        <x:v>552.8314556789319</x:v>
      </x:c>
      <x:c r="T878" s="18" t="n">
        <x:v>644</x:v>
      </x:c>
      <x:c r="U878" s="18" t="n">
        <x:v>562.8314556789319</x:v>
      </x:c>
      <x:c r="V878" s="20" t="n">
        <x:v>12</x:v>
      </x:c>
      <x:c r="W878" s="20" t="n">
        <x:v>5</x:v>
      </x:c>
      <x:c r="X878" s="20" t="n">
        <x:v>3</x:v>
      </x:c>
      <x:c r="Y878" t="str">
        <x:v>Basis arsip 2025/2024</x:v>
      </x:c>
      <x:c r="Z878" t="str">
        <x:v>https://snpmb.id/utbk-snbt/daya-tampung-snbt</x:v>
      </x:c>
      <x:c r="AA878" t="str">
        <x:v>Tidak Ada</x:v>
      </x:c>
      <x:c r="AB878" t="str">
        <x:v>Campus=55; Ratio=17.6; Prodi=60; RelDemand=35.2; Capacity=29.2</x:v>
      </x:c>
    </x:row>
    <x:row r="879">
      <x:c r="A879" t="n">
        <x:v>876</x:v>
      </x:c>
      <x:c r="B879" t="str">
        <x:v>PTN Akademik</x:v>
      </x:c>
      <x:c r="C879" t="str">
        <x:v>INSTITUT TEKNOLOGI SUMATERA</x:v>
      </x:c>
      <x:c r="D879" t="str">
        <x:v>REKAYASA KEHUTANAN</x:v>
      </x:c>
      <x:c r="E879" t="str">
        <x:v>Sarjana</x:v>
      </x:c>
      <x:c r="F879" s="18" t="n">
        <x:v>85</x:v>
      </x:c>
      <x:c r="G879" s="18" t="n">
        <x:v>127</x:v>
      </x:c>
      <x:c r="H879" s="19" t="n">
        <x:v>1.4941176470588236</x:v>
      </x:c>
      <x:c r="I879" s="18" t="n">
        <x:f>ROUND(MIN(Model_Config_v3!$B$6,MAX(Q879,R879,S879*Model_Config_v3!$B$4+T879*Model_Config_v3!$B$5)),0)</x:f>
        <x:v>603</x:v>
      </x:c>
      <x:c r="J879" s="18" t="n">
        <x:f>MIN(Model_Config_v3!$B$6,I879+Model_Config_v3!$B$7)</x:f>
        <x:v>623</x:v>
      </x:c>
      <x:c r="K879" s="20" t="n">
        <x:v>35.4</x:v>
      </x:c>
      <x:c r="L879" t="str">
        <x:v>RELATIF LONGGAR</x:v>
      </x:c>
      <x:c r="M879" t="str">
        <x:v>SEDANG</x:v>
      </x:c>
      <x:c r="N879" t="str">
        <x:v>REGULER</x:v>
      </x:c>
      <x:c r="O879" t="str">
        <x:v>CAMPURAN</x:v>
      </x:c>
      <x:c r="P879" t="str">
        <x:v>UMUM</x:v>
      </x:c>
      <x:c r="Q879" s="18" t="n">
        <x:v>0</x:v>
      </x:c>
      <x:c r="R879" s="18" t="n">
        <x:v>0</x:v>
      </x:c>
      <x:c r="S879" s="18" t="n">
        <x:v>539.182327476583</x:v>
      </x:c>
      <x:c r="T879" s="18" t="n">
        <x:v>631</x:v>
      </x:c>
      <x:c r="U879" s="18" t="n">
        <x:v>539.182327476583</x:v>
      </x:c>
      <x:c r="V879" s="20" t="n">
        <x:v>8.8</x:v>
      </x:c>
      <x:c r="W879" s="20" t="n">
        <x:v>9.9</x:v>
      </x:c>
      <x:c r="X879" s="20" t="n">
        <x:v>3.3</x:v>
      </x:c>
      <x:c r="Y879" t="str">
        <x:v>Basis arsip 2025/2024</x:v>
      </x:c>
      <x:c r="Z879" t="str">
        <x:v>https://snpmb.id/utbk-snbt/daya-tampung-snbt</x:v>
      </x:c>
      <x:c r="AA879" t="str">
        <x:v>Tidak Ada</x:v>
      </x:c>
      <x:c r="AB879" t="str">
        <x:v>Campus=55; Ratio=10.3; Prodi=40; RelDemand=26.4; Capacity=29.2</x:v>
      </x:c>
    </x:row>
    <x:row r="880">
      <x:c r="A880" t="n">
        <x:v>877</x:v>
      </x:c>
      <x:c r="B880" t="str">
        <x:v>PTN Akademik</x:v>
      </x:c>
      <x:c r="C880" t="str">
        <x:v>INSTITUT TEKNOLOGI SUMATERA</x:v>
      </x:c>
      <x:c r="D880" t="str">
        <x:v>TEKNIK BIOMEDIS</x:v>
      </x:c>
      <x:c r="E880" t="str">
        <x:v>Sarjana</x:v>
      </x:c>
      <x:c r="F880" s="18" t="n">
        <x:v>94</x:v>
      </x:c>
      <x:c r="G880" s="18" t="n">
        <x:v>417</x:v>
      </x:c>
      <x:c r="H880" s="19" t="n">
        <x:v>4.4361702127659575</x:v>
      </x:c>
      <x:c r="I880" s="18" t="n">
        <x:f>ROUND(MIN(Model_Config_v3!$B$6,MAX(Q880,R880,S880*Model_Config_v3!$B$4+T880*Model_Config_v3!$B$5)),0)</x:f>
        <x:v>641</x:v>
      </x:c>
      <x:c r="J880" s="18" t="n">
        <x:f>MIN(Model_Config_v3!$B$6,I880+Model_Config_v3!$B$7)</x:f>
        <x:v>661</x:v>
      </x:c>
      <x:c r="K880" s="20" t="n">
        <x:v>50.8</x:v>
      </x:c>
      <x:c r="L880" t="str">
        <x:v>MENENGAH</x:v>
      </x:c>
      <x:c r="M880" t="str">
        <x:v>SEDANG+</x:v>
      </x:c>
      <x:c r="N880" t="str">
        <x:v>REGULER</x:v>
      </x:c>
      <x:c r="O880" t="str">
        <x:v>SAINTEK</x:v>
      </x:c>
      <x:c r="P880" t="str">
        <x:v>TEKNIK/ARSITEKTUR/STATISTIKA/AKTUARIA</x:v>
      </x:c>
      <x:c r="Q880" s="18" t="n">
        <x:v>0</x:v>
      </x:c>
      <x:c r="R880" s="18" t="n">
        <x:v>0</x:v>
      </x:c>
      <x:c r="S880" s="18" t="n">
        <x:v>591.1709021511465</x:v>
      </x:c>
      <x:c r="T880" s="18" t="n">
        <x:v>662</x:v>
      </x:c>
      <x:c r="U880" s="18" t="n">
        <x:v>601.1709021511465</x:v>
      </x:c>
      <x:c r="V880" s="20" t="n">
        <x:v>12</x:v>
      </x:c>
      <x:c r="W880" s="20" t="n">
        <x:v>5</x:v>
      </x:c>
      <x:c r="X880" s="20" t="n">
        <x:v>3</x:v>
      </x:c>
      <x:c r="Y880" t="str">
        <x:v>Basis arsip 2025/2024</x:v>
      </x:c>
      <x:c r="Z880" t="str">
        <x:v>https://snpmb.id/utbk-snbt/daya-tampung-snbt</x:v>
      </x:c>
      <x:c r="AA880" t="str">
        <x:v>Tidak Ada</x:v>
      </x:c>
      <x:c r="AB880" t="str">
        <x:v>Campus=55; Ratio=38.1; Prodi=60; RelDemand=78.5; Capacity=21.7</x:v>
      </x:c>
    </x:row>
    <x:row r="881">
      <x:c r="A881" t="n">
        <x:v>878</x:v>
      </x:c>
      <x:c r="B881" t="str">
        <x:v>PTN Akademik</x:v>
      </x:c>
      <x:c r="C881" t="str">
        <x:v>INSTITUT TEKNOLOGI SUMATERA</x:v>
      </x:c>
      <x:c r="D881" t="str">
        <x:v>SAINS LINGKUNGAN KELAUTAN</x:v>
      </x:c>
      <x:c r="E881" t="str">
        <x:v>Sarjana</x:v>
      </x:c>
      <x:c r="F881" s="18" t="n">
        <x:v>39</x:v>
      </x:c>
      <x:c r="G881" s="18" t="n">
        <x:v>51</x:v>
      </x:c>
      <x:c r="H881" s="19" t="n">
        <x:v>1.3076923076923077</x:v>
      </x:c>
      <x:c r="I881" s="18" t="n">
        <x:f>ROUND(MIN(Model_Config_v3!$B$6,MAX(Q881,R881,S881*Model_Config_v3!$B$4+T881*Model_Config_v3!$B$5)),0)</x:f>
        <x:v>605</x:v>
      </x:c>
      <x:c r="J881" s="18" t="n">
        <x:f>MIN(Model_Config_v3!$B$6,I881+Model_Config_v3!$B$7)</x:f>
        <x:v>625</x:v>
      </x:c>
      <x:c r="K881" s="20" t="n">
        <x:v>38</x:v>
      </x:c>
      <x:c r="L881" t="str">
        <x:v>RELATIF LONGGAR</x:v>
      </x:c>
      <x:c r="M881" t="str">
        <x:v>SEDANG</x:v>
      </x:c>
      <x:c r="N881" t="str">
        <x:v>REGULER</x:v>
      </x:c>
      <x:c r="O881" t="str">
        <x:v>SAINTEK</x:v>
      </x:c>
      <x:c r="P881" t="str">
        <x:v>UMUM</x:v>
      </x:c>
      <x:c r="Q881" s="18" t="n">
        <x:v>0</x:v>
      </x:c>
      <x:c r="R881" s="18" t="n">
        <x:v>0</x:v>
      </x:c>
      <x:c r="S881" s="18" t="n">
        <x:v>532.815612597858</x:v>
      </x:c>
      <x:c r="T881" s="18" t="n">
        <x:v>636</x:v>
      </x:c>
      <x:c r="U881" s="18" t="n">
        <x:v>532.815612597858</x:v>
      </x:c>
      <x:c r="V881" s="20" t="n">
        <x:v>12</x:v>
      </x:c>
      <x:c r="W881" s="20" t="n">
        <x:v>5</x:v>
      </x:c>
      <x:c r="X881" s="20" t="n">
        <x:v>3</x:v>
      </x:c>
      <x:c r="Y881" t="str">
        <x:v>Basis arsip 2025/2024</x:v>
      </x:c>
      <x:c r="Z881" t="str">
        <x:v>https://snpmb.id/utbk-snbt/daya-tampung-snbt</x:v>
      </x:c>
      <x:c r="AA881" t="str">
        <x:v>Tidak Ada</x:v>
      </x:c>
      <x:c r="AB881" t="str">
        <x:v>Campus=55; Ratio=6.9; Prodi=40; RelDemand=23.1; Capacity=67.5</x:v>
      </x:c>
    </x:row>
    <x:row r="882">
      <x:c r="A882" t="n">
        <x:v>879</x:v>
      </x:c>
      <x:c r="B882" t="str">
        <x:v>PTN Akademik</x:v>
      </x:c>
      <x:c r="C882" t="str">
        <x:v>INSTITUT TEKNOLOGI SUMATERA</x:v>
      </x:c>
      <x:c r="D882" t="str">
        <x:v>SAINS DATA</x:v>
      </x:c>
      <x:c r="E882" t="str">
        <x:v>Sarjana</x:v>
      </x:c>
      <x:c r="F882" s="18" t="n">
        <x:v>85</x:v>
      </x:c>
      <x:c r="G882" s="18" t="n">
        <x:v>225</x:v>
      </x:c>
      <x:c r="H882" s="19" t="n">
        <x:v>2.6470588235294117</x:v>
      </x:c>
      <x:c r="I882" s="18" t="n">
        <x:f>ROUND(MIN(Model_Config_v3!$B$6,MAX(Q882,R882,S882*Model_Config_v3!$B$4+T882*Model_Config_v3!$B$5)),0)</x:f>
        <x:v>619</x:v>
      </x:c>
      <x:c r="J882" s="18" t="n">
        <x:f>MIN(Model_Config_v3!$B$6,I882+Model_Config_v3!$B$7)</x:f>
        <x:v>639</x:v>
      </x:c>
      <x:c r="K882" s="20" t="n">
        <x:v>41.1</x:v>
      </x:c>
      <x:c r="L882" t="str">
        <x:v>RELATIF LONGGAR</x:v>
      </x:c>
      <x:c r="M882" t="str">
        <x:v>SEDANG</x:v>
      </x:c>
      <x:c r="N882" t="str">
        <x:v>REGULER</x:v>
      </x:c>
      <x:c r="O882" t="str">
        <x:v>CAMPURAN</x:v>
      </x:c>
      <x:c r="P882" t="str">
        <x:v>UMUM</x:v>
      </x:c>
      <x:c r="Q882" s="18" t="n">
        <x:v>0</x:v>
      </x:c>
      <x:c r="R882" s="18" t="n">
        <x:v>0</x:v>
      </x:c>
      <x:c r="S882" s="18" t="n">
        <x:v>566.5039951636777</x:v>
      </x:c>
      <x:c r="T882" s="18" t="n">
        <x:v>642</x:v>
      </x:c>
      <x:c r="U882" s="18" t="n">
        <x:v>566.5039951636777</x:v>
      </x:c>
      <x:c r="V882" s="20" t="n">
        <x:v>8.8</x:v>
      </x:c>
      <x:c r="W882" s="20" t="n">
        <x:v>9.9</x:v>
      </x:c>
      <x:c r="X882" s="20" t="n">
        <x:v>3.3</x:v>
      </x:c>
      <x:c r="Y882" t="str">
        <x:v>Basis arsip 2025/2024</x:v>
      </x:c>
      <x:c r="Z882" t="str">
        <x:v>https://snpmb.id/utbk-snbt/daya-tampung-snbt</x:v>
      </x:c>
      <x:c r="AA882" t="str">
        <x:v>Tidak Ada</x:v>
      </x:c>
      <x:c r="AB882" t="str">
        <x:v>Campus=55; Ratio=24.9; Prodi=40; RelDemand=46.8; Capacity=29.2</x:v>
      </x:c>
    </x:row>
    <x:row r="883">
      <x:c r="A883" t="n">
        <x:v>880</x:v>
      </x:c>
      <x:c r="B883" t="str">
        <x:v>PTN Akademik</x:v>
      </x:c>
      <x:c r="C883" t="str">
        <x:v>INSTITUT TEKNOLOGI SUMATERA</x:v>
      </x:c>
      <x:c r="D883" t="str">
        <x:v>TEKNIK PERKERETAAPIAN</x:v>
      </x:c>
      <x:c r="E883" t="str">
        <x:v>Sarjana</x:v>
      </x:c>
      <x:c r="F883" s="18" t="n">
        <x:v>59</x:v>
      </x:c>
      <x:c r="G883" s="18" t="n">
        <x:v>335</x:v>
      </x:c>
      <x:c r="H883" s="19" t="n">
        <x:v>5.677966101694915</x:v>
      </x:c>
      <x:c r="I883" s="18" t="n">
        <x:f>ROUND(MIN(Model_Config_v3!$B$6,MAX(Q883,R883,S883*Model_Config_v3!$B$4+T883*Model_Config_v3!$B$5)),0)</x:f>
        <x:v>653</x:v>
      </x:c>
      <x:c r="J883" s="18" t="n">
        <x:f>MIN(Model_Config_v3!$B$6,I883+Model_Config_v3!$B$7)</x:f>
        <x:v>673</x:v>
      </x:c>
      <x:c r="K883" s="20" t="n">
        <x:v>57.4</x:v>
      </x:c>
      <x:c r="L883" t="str">
        <x:v>KETAT</x:v>
      </x:c>
      <x:c r="M883" t="str">
        <x:v>SEDANG+</x:v>
      </x:c>
      <x:c r="N883" t="str">
        <x:v>REGULER</x:v>
      </x:c>
      <x:c r="O883" t="str">
        <x:v>SAINTEK</x:v>
      </x:c>
      <x:c r="P883" t="str">
        <x:v>TEKNIK/ARSITEKTUR/STATISTIKA/AKTUARIA</x:v>
      </x:c>
      <x:c r="Q883" s="18" t="n">
        <x:v>0</x:v>
      </x:c>
      <x:c r="R883" s="18" t="n">
        <x:v>0</x:v>
      </x:c>
      <x:c r="S883" s="18" t="n">
        <x:v>602.9612074934171</x:v>
      </x:c>
      <x:c r="T883" s="18" t="n">
        <x:v>675</x:v>
      </x:c>
      <x:c r="U883" s="18" t="n">
        <x:v>612.9612074934171</x:v>
      </x:c>
      <x:c r="V883" s="20" t="n">
        <x:v>12</x:v>
      </x:c>
      <x:c r="W883" s="20" t="n">
        <x:v>5</x:v>
      </x:c>
      <x:c r="X883" s="20" t="n">
        <x:v>3</x:v>
      </x:c>
      <x:c r="Y883" t="str">
        <x:v>Basis arsip 2025/2024</x:v>
      </x:c>
      <x:c r="Z883" t="str">
        <x:v>https://snpmb.id/utbk-snbt/daya-tampung-snbt</x:v>
      </x:c>
      <x:c r="AA883" t="str">
        <x:v>Tidak Ada</x:v>
      </x:c>
      <x:c r="AB883" t="str">
        <x:v>Campus=55; Ratio=44.4; Prodi=60; RelDemand=100.0; Capacity=50.8</x:v>
      </x:c>
    </x:row>
    <x:row r="884">
      <x:c r="A884" t="n">
        <x:v>881</x:v>
      </x:c>
      <x:c r="B884" t="str">
        <x:v>PTN Akademik</x:v>
      </x:c>
      <x:c r="C884" t="str">
        <x:v>INSTITUT TEKNOLOGI SUMATERA</x:v>
      </x:c>
      <x:c r="D884" t="str">
        <x:v>REKAYASA TATA KELOLA AIR TERPADU</x:v>
      </x:c>
      <x:c r="E884" t="str">
        <x:v>Sarjana</x:v>
      </x:c>
      <x:c r="F884" s="18" t="n">
        <x:v>59</x:v>
      </x:c>
      <x:c r="G884" s="18" t="n">
        <x:v>41</x:v>
      </x:c>
      <x:c r="H884" s="19" t="n">
        <x:v>0.6949152542372882</x:v>
      </x:c>
      <x:c r="I884" s="18" t="n">
        <x:f>ROUND(MIN(Model_Config_v3!$B$6,MAX(Q884,R884,S884*Model_Config_v3!$B$4+T884*Model_Config_v3!$B$5)),0)</x:f>
        <x:v>595</x:v>
      </x:c>
      <x:c r="J884" s="18" t="n">
        <x:f>MIN(Model_Config_v3!$B$6,I884+Model_Config_v3!$B$7)</x:f>
        <x:v>615</x:v>
      </x:c>
      <x:c r="K884" s="20" t="n">
        <x:v>33.6</x:v>
      </x:c>
      <x:c r="L884" t="str">
        <x:v>RELATIF LONGGAR</x:v>
      </x:c>
      <x:c r="M884" t="str">
        <x:v>SEDANG</x:v>
      </x:c>
      <x:c r="N884" t="str">
        <x:v>REGULER</x:v>
      </x:c>
      <x:c r="O884" t="str">
        <x:v>CAMPURAN</x:v>
      </x:c>
      <x:c r="P884" t="str">
        <x:v>UMUM</x:v>
      </x:c>
      <x:c r="Q884" s="18" t="n">
        <x:v>0</x:v>
      </x:c>
      <x:c r="R884" s="18" t="n">
        <x:v>0</x:v>
      </x:c>
      <x:c r="S884" s="18" t="n">
        <x:v>520</x:v>
      </x:c>
      <x:c r="T884" s="18" t="n">
        <x:v>627</x:v>
      </x:c>
      <x:c r="U884" s="18" t="n">
        <x:v>520</x:v>
      </x:c>
      <x:c r="V884" s="20" t="n">
        <x:v>8.8</x:v>
      </x:c>
      <x:c r="W884" s="20" t="n">
        <x:v>9.9</x:v>
      </x:c>
      <x:c r="X884" s="20" t="n">
        <x:v>3.3</x:v>
      </x:c>
      <x:c r="Y884" t="str">
        <x:v>Basis arsip 2025/2024</x:v>
      </x:c>
      <x:c r="Z884" t="str">
        <x:v>https://snpmb.id/utbk-snbt/daya-tampung-snbt</x:v>
      </x:c>
      <x:c r="AA884" t="str">
        <x:v>Tidak Ada</x:v>
      </x:c>
      <x:c r="AB884" t="str">
        <x:v>Campus=55; Ratio=0.0; Prodi=40; RelDemand=12.3; Capacity=50.8</x:v>
      </x:c>
    </x:row>
    <x:row r="885">
      <x:c r="A885" t="n">
        <x:v>882</x:v>
      </x:c>
      <x:c r="B885" t="str">
        <x:v>PTN Akademik</x:v>
      </x:c>
      <x:c r="C885" t="str">
        <x:v>INSTITUT TEKNOLOGI SUMATERA</x:v>
      </x:c>
      <x:c r="D885" t="str">
        <x:v>REKAYASA INSTRUMENTASI DAN AUTOMASI</x:v>
      </x:c>
      <x:c r="E885" t="str">
        <x:v>Sarjana</x:v>
      </x:c>
      <x:c r="F885" s="18" t="n">
        <x:v>68</x:v>
      </x:c>
      <x:c r="G885" s="18" t="n">
        <x:v>72</x:v>
      </x:c>
      <x:c r="H885" s="19" t="n">
        <x:v>1.0588235294117647</x:v>
      </x:c>
      <x:c r="I885" s="18" t="n">
        <x:f>ROUND(MIN(Model_Config_v3!$B$6,MAX(Q885,R885,S885*Model_Config_v3!$B$4+T885*Model_Config_v3!$B$5)),0)</x:f>
        <x:v>596</x:v>
      </x:c>
      <x:c r="J885" s="18" t="n">
        <x:f>MIN(Model_Config_v3!$B$6,I885+Model_Config_v3!$B$7)</x:f>
        <x:v>616</x:v>
      </x:c>
      <x:c r="K885" s="20" t="n">
        <x:v>33.8</x:v>
      </x:c>
      <x:c r="L885" t="str">
        <x:v>RELATIF LONGGAR</x:v>
      </x:c>
      <x:c r="M885" t="str">
        <x:v>SEDANG</x:v>
      </x:c>
      <x:c r="N885" t="str">
        <x:v>REGULER</x:v>
      </x:c>
      <x:c r="O885" t="str">
        <x:v>CAMPURAN</x:v>
      </x:c>
      <x:c r="P885" t="str">
        <x:v>UMUM</x:v>
      </x:c>
      <x:c r="Q885" s="18" t="n">
        <x:v>0</x:v>
      </x:c>
      <x:c r="R885" s="18" t="n">
        <x:v>0</x:v>
      </x:c>
      <x:c r="S885" s="18" t="n">
        <x:v>522.7305942097536</x:v>
      </x:c>
      <x:c r="T885" s="18" t="n">
        <x:v>628</x:v>
      </x:c>
      <x:c r="U885" s="18" t="n">
        <x:v>522.7305942097536</x:v>
      </x:c>
      <x:c r="V885" s="20" t="n">
        <x:v>8.8</x:v>
      </x:c>
      <x:c r="W885" s="20" t="n">
        <x:v>9.9</x:v>
      </x:c>
      <x:c r="X885" s="20" t="n">
        <x:v>3.3</x:v>
      </x:c>
      <x:c r="Y885" t="str">
        <x:v>Basis arsip 2025/2024</x:v>
      </x:c>
      <x:c r="Z885" t="str">
        <x:v>https://snpmb.id/utbk-snbt/daya-tampung-snbt</x:v>
      </x:c>
      <x:c r="AA885" t="str">
        <x:v>Tidak Ada</x:v>
      </x:c>
      <x:c r="AB885" t="str">
        <x:v>Campus=55; Ratio=1.5; Prodi=40; RelDemand=18.7; Capacity=43.3</x:v>
      </x:c>
    </x:row>
    <x:row r="886">
      <x:c r="A886" t="n">
        <x:v>883</x:v>
      </x:c>
      <x:c r="B886" t="str">
        <x:v>PTN Akademik</x:v>
      </x:c>
      <x:c r="C886" t="str">
        <x:v>INSTITUT TEKNOLOGI SUMATERA</x:v>
      </x:c>
      <x:c r="D886" t="str">
        <x:v>REKAYASA MINYAK DAN GAS</x:v>
      </x:c>
      <x:c r="E886" t="str">
        <x:v>Sarjana</x:v>
      </x:c>
      <x:c r="F886" s="18" t="n">
        <x:v>62</x:v>
      </x:c>
      <x:c r="G886" s="18" t="n">
        <x:v>252</x:v>
      </x:c>
      <x:c r="H886" s="19" t="n">
        <x:v>4.064516129032258</x:v>
      </x:c>
      <x:c r="I886" s="18" t="n">
        <x:f>ROUND(MIN(Model_Config_v3!$B$6,MAX(Q886,R886,S886*Model_Config_v3!$B$4+T886*Model_Config_v3!$B$5)),0)</x:f>
        <x:v>635</x:v>
      </x:c>
      <x:c r="J886" s="18" t="n">
        <x:f>MIN(Model_Config_v3!$B$6,I886+Model_Config_v3!$B$7)</x:f>
        <x:v>655</x:v>
      </x:c>
      <x:c r="K886" s="20" t="n">
        <x:v>48.2</x:v>
      </x:c>
      <x:c r="L886" t="str">
        <x:v>MENENGAH</x:v>
      </x:c>
      <x:c r="M886" t="str">
        <x:v>SEDANG</x:v>
      </x:c>
      <x:c r="N886" t="str">
        <x:v>REGULER</x:v>
      </x:c>
      <x:c r="O886" t="str">
        <x:v>CAMPURAN</x:v>
      </x:c>
      <x:c r="P886" t="str">
        <x:v>UMUM</x:v>
      </x:c>
      <x:c r="Q886" s="18" t="n">
        <x:v>0</x:v>
      </x:c>
      <x:c r="R886" s="18" t="n">
        <x:v>0</x:v>
      </x:c>
      <x:c r="S886" s="18" t="n">
        <x:v>586.9909736411619</x:v>
      </x:c>
      <x:c r="T886" s="18" t="n">
        <x:v>656</x:v>
      </x:c>
      <x:c r="U886" s="18" t="n">
        <x:v>586.9909736411619</x:v>
      </x:c>
      <x:c r="V886" s="20" t="n">
        <x:v>8.8</x:v>
      </x:c>
      <x:c r="W886" s="20" t="n">
        <x:v>9.9</x:v>
      </x:c>
      <x:c r="X886" s="20" t="n">
        <x:v>3.3</x:v>
      </x:c>
      <x:c r="Y886" t="str">
        <x:v>Basis arsip 2025/2024</x:v>
      </x:c>
      <x:c r="Z886" t="str">
        <x:v>https://snpmb.id/utbk-snbt/daya-tampung-snbt</x:v>
      </x:c>
      <x:c r="AA886" t="str">
        <x:v>Tidak Ada</x:v>
      </x:c>
      <x:c r="AB886" t="str">
        <x:v>Campus=55; Ratio=35.8; Prodi=40; RelDemand=71.9; Capacity=48.3</x:v>
      </x:c>
    </x:row>
    <x:row r="887">
      <x:c r="A887" t="n">
        <x:v>884</x:v>
      </x:c>
      <x:c r="B887" t="str">
        <x:v>PTN Akademik</x:v>
      </x:c>
      <x:c r="C887" t="str">
        <x:v>INSTITUT TEKNOLOGI SUMATERA</x:v>
      </x:c>
      <x:c r="D887" t="str">
        <x:v>REKAYASA KOSMETIK</x:v>
      </x:c>
      <x:c r="E887" t="str">
        <x:v>Sarjana</x:v>
      </x:c>
      <x:c r="F887" s="18" t="n">
        <x:v>68</x:v>
      </x:c>
      <x:c r="G887" s="18" t="n">
        <x:v>274</x:v>
      </x:c>
      <x:c r="H887" s="19" t="n">
        <x:v>4.029411764705882</x:v>
      </x:c>
      <x:c r="I887" s="18" t="n">
        <x:f>ROUND(MIN(Model_Config_v3!$B$6,MAX(Q887,R887,S887*Model_Config_v3!$B$4+T887*Model_Config_v3!$B$5)),0)</x:f>
        <x:v>634</x:v>
      </x:c>
      <x:c r="J887" s="18" t="n">
        <x:f>MIN(Model_Config_v3!$B$6,I887+Model_Config_v3!$B$7)</x:f>
        <x:v>654</x:v>
      </x:c>
      <x:c r="K887" s="20" t="n">
        <x:v>47.6</x:v>
      </x:c>
      <x:c r="L887" t="str">
        <x:v>MENENGAH</x:v>
      </x:c>
      <x:c r="M887" t="str">
        <x:v>SEDANG</x:v>
      </x:c>
      <x:c r="N887" t="str">
        <x:v>REGULER</x:v>
      </x:c>
      <x:c r="O887" t="str">
        <x:v>CAMPURAN</x:v>
      </x:c>
      <x:c r="P887" t="str">
        <x:v>UMUM</x:v>
      </x:c>
      <x:c r="Q887" s="18" t="n">
        <x:v>0</x:v>
      </x:c>
      <x:c r="R887" s="18" t="n">
        <x:v>0</x:v>
      </x:c>
      <x:c r="S887" s="18" t="n">
        <x:v>586.5765815125567</x:v>
      </x:c>
      <x:c r="T887" s="18" t="n">
        <x:v>655</x:v>
      </x:c>
      <x:c r="U887" s="18" t="n">
        <x:v>586.5765815125567</x:v>
      </x:c>
      <x:c r="V887" s="20" t="n">
        <x:v>8.8</x:v>
      </x:c>
      <x:c r="W887" s="20" t="n">
        <x:v>9.9</x:v>
      </x:c>
      <x:c r="X887" s="20" t="n">
        <x:v>3.3</x:v>
      </x:c>
      <x:c r="Y887" t="str">
        <x:v>Basis arsip 2025/2024</x:v>
      </x:c>
      <x:c r="Z887" t="str">
        <x:v>https://snpmb.id/utbk-snbt/daya-tampung-snbt</x:v>
      </x:c>
      <x:c r="AA887" t="str">
        <x:v>Tidak Ada</x:v>
      </x:c>
      <x:c r="AB887" t="str">
        <x:v>Campus=55; Ratio=35.6; Prodi=40; RelDemand=71.3; Capacity=43.3</x:v>
      </x:c>
    </x:row>
    <x:row r="888">
      <x:c r="A888" t="n">
        <x:v>885</x:v>
      </x:c>
      <x:c r="B888" t="str">
        <x:v>PTN Akademik</x:v>
      </x:c>
      <x:c r="C888" t="str">
        <x:v>INSTITUT TEKNOLOGI SUMATERA</x:v>
      </x:c>
      <x:c r="D888" t="str">
        <x:v>PARIWISATA</x:v>
      </x:c>
      <x:c r="E888" t="str">
        <x:v>Sarjana</x:v>
      </x:c>
      <x:c r="F888" s="18" t="n">
        <x:v>52</x:v>
      </x:c>
      <x:c r="G888" s="18" t="n">
        <x:v>243</x:v>
      </x:c>
      <x:c r="H888" s="19" t="n">
        <x:v>4.673076923076923</x:v>
      </x:c>
      <x:c r="I888" s="18" t="n">
        <x:f>ROUND(MIN(Model_Config_v3!$B$6,MAX(Q888,R888,S888*Model_Config_v3!$B$4+T888*Model_Config_v3!$B$5)),0)</x:f>
        <x:v>641</x:v>
      </x:c>
      <x:c r="J888" s="18" t="n">
        <x:f>MIN(Model_Config_v3!$B$6,I888+Model_Config_v3!$B$7)</x:f>
        <x:v>661</x:v>
      </x:c>
      <x:c r="K888" s="20" t="n">
        <x:v>51</x:v>
      </x:c>
      <x:c r="L888" t="str">
        <x:v>MENENGAH</x:v>
      </x:c>
      <x:c r="M888" t="str">
        <x:v>SEDANG</x:v>
      </x:c>
      <x:c r="N888" t="str">
        <x:v>REGULER</x:v>
      </x:c>
      <x:c r="O888" t="str">
        <x:v>CAMPURAN</x:v>
      </x:c>
      <x:c r="P888" t="str">
        <x:v>UMUM</x:v>
      </x:c>
      <x:c r="Q888" s="18" t="n">
        <x:v>0</x:v>
      </x:c>
      <x:c r="R888" s="18" t="n">
        <x:v>0</x:v>
      </x:c>
      <x:c r="S888" s="18" t="n">
        <x:v>593.6563222959865</x:v>
      </x:c>
      <x:c r="T888" s="18" t="n">
        <x:v>662</x:v>
      </x:c>
      <x:c r="U888" s="18" t="n">
        <x:v>593.6563222959865</x:v>
      </x:c>
      <x:c r="V888" s="20" t="n">
        <x:v>8.8</x:v>
      </x:c>
      <x:c r="W888" s="20" t="n">
        <x:v>9.9</x:v>
      </x:c>
      <x:c r="X888" s="20" t="n">
        <x:v>3.3</x:v>
      </x:c>
      <x:c r="Y888" t="str">
        <x:v>Basis arsip 2025/2024</x:v>
      </x:c>
      <x:c r="Z888" t="str">
        <x:v>https://snpmb.id/utbk-snbt/daya-tampung-snbt</x:v>
      </x:c>
      <x:c r="AA888" t="str">
        <x:v>Tidak Ada</x:v>
      </x:c>
      <x:c r="AB888" t="str">
        <x:v>Campus=55; Ratio=39.4; Prodi=40; RelDemand=82.7; Capacity=56.7</x:v>
      </x:c>
    </x:row>
    <x:row r="889">
      <x:c r="A889" t="n">
        <x:v>886</x:v>
      </x:c>
      <x:c r="B889" t="str">
        <x:v>PTN Akademik</x:v>
      </x:c>
      <x:c r="C889" t="str">
        <x:v>INSTITUT TEKNOLOGI SUMATERA</x:v>
      </x:c>
      <x:c r="D889" t="str">
        <x:v>REKAYASA KEOLAHRAGAAN</x:v>
      </x:c>
      <x:c r="E889" t="str">
        <x:v>Sarjana</x:v>
      </x:c>
      <x:c r="F889" s="18" t="n">
        <x:v>46</x:v>
      </x:c>
      <x:c r="G889" s="18" t="n">
        <x:v>45</x:v>
      </x:c>
      <x:c r="H889" s="19" t="n">
        <x:v>0.9782608695652174</x:v>
      </x:c>
      <x:c r="I889" s="18" t="n">
        <x:f>ROUND(MIN(Model_Config_v3!$B$6,MAX(Q889,R889,S889*Model_Config_v3!$B$4+T889*Model_Config_v3!$B$5)),0)</x:f>
        <x:v>597</x:v>
      </x:c>
      <x:c r="J889" s="18" t="n">
        <x:f>MIN(Model_Config_v3!$B$6,I889+Model_Config_v3!$B$7)</x:f>
        <x:v>617</x:v>
      </x:c>
      <x:c r="K889" s="20" t="n">
        <x:v>35.1</x:v>
      </x:c>
      <x:c r="L889" t="str">
        <x:v>RELATIF LONGGAR</x:v>
      </x:c>
      <x:c r="M889" t="str">
        <x:v>SEDANG</x:v>
      </x:c>
      <x:c r="N889" t="str">
        <x:v>REGULER</x:v>
      </x:c>
      <x:c r="O889" t="str">
        <x:v>CAMPURAN</x:v>
      </x:c>
      <x:c r="P889" t="str">
        <x:v>UMUM</x:v>
      </x:c>
      <x:c r="Q889" s="18" t="n">
        <x:v>0</x:v>
      </x:c>
      <x:c r="R889" s="18" t="n">
        <x:v>0</x:v>
      </x:c>
      <x:c r="S889" s="18" t="n">
        <x:v>520</x:v>
      </x:c>
      <x:c r="T889" s="18" t="n">
        <x:v>630</x:v>
      </x:c>
      <x:c r="U889" s="18" t="n">
        <x:v>520</x:v>
      </x:c>
      <x:c r="V889" s="20" t="n">
        <x:v>8.8</x:v>
      </x:c>
      <x:c r="W889" s="20" t="n">
        <x:v>9.9</x:v>
      </x:c>
      <x:c r="X889" s="20" t="n">
        <x:v>3.3</x:v>
      </x:c>
      <x:c r="Y889" t="str">
        <x:v>Basis arsip 2025/2024</x:v>
      </x:c>
      <x:c r="Z889" t="str">
        <x:v>https://snpmb.id/utbk-snbt/daya-tampung-snbt</x:v>
      </x:c>
      <x:c r="AA889" t="str">
        <x:v>Tidak Ada</x:v>
      </x:c>
      <x:c r="AB889" t="str">
        <x:v>Campus=55; Ratio=0.0; Prodi=40; RelDemand=17.3; Capacity=61.7</x:v>
      </x:c>
    </x:row>
    <x:row r="890">
      <x:c r="A890" t="n">
        <x:v>887</x:v>
      </x:c>
      <x:c r="B890" t="str">
        <x:v>PTN Akademik</x:v>
      </x:c>
      <x:c r="C890" t="str">
        <x:v>UNIVERSITAS SULTAN AGENG TIRTAYASA</x:v>
      </x:c>
      <x:c r="D890" t="str">
        <x:v>TEKNIK MESIN</x:v>
      </x:c>
      <x:c r="E890" t="str">
        <x:v>Sarjana</x:v>
      </x:c>
      <x:c r="F890" s="18" t="n">
        <x:v>121</x:v>
      </x:c>
      <x:c r="G890" s="18" t="n">
        <x:v>380</x:v>
      </x:c>
      <x:c r="H890" s="19" t="n">
        <x:v>3.1404958677685952</x:v>
      </x:c>
      <x:c r="I890" s="18" t="n">
        <x:f>ROUND(MIN(Model_Config_v3!$B$6,MAX(Q890,R890,S890*Model_Config_v3!$B$4+T890*Model_Config_v3!$B$5)),0)</x:f>
        <x:v>635</x:v>
      </x:c>
      <x:c r="J890" s="18" t="n">
        <x:f>MIN(Model_Config_v3!$B$6,I890+Model_Config_v3!$B$7)</x:f>
        <x:v>655</x:v>
      </x:c>
      <x:c r="K890" s="20" t="n">
        <x:v>50.6</x:v>
      </x:c>
      <x:c r="L890" t="str">
        <x:v>MENENGAH</x:v>
      </x:c>
      <x:c r="M890" t="str">
        <x:v>SEDANG+</x:v>
      </x:c>
      <x:c r="N890" t="str">
        <x:v>ELITE-3</x:v>
      </x:c>
      <x:c r="O890" t="str">
        <x:v>SAINTEK</x:v>
      </x:c>
      <x:c r="P890" t="str">
        <x:v>TEKNIK/ARSITEKTUR/STATISTIKA/AKTUARIA</x:v>
      </x:c>
      <x:c r="Q890" s="18" t="n">
        <x:v>610</x:v>
      </x:c>
      <x:c r="R890" s="18" t="n">
        <x:v>0</x:v>
      </x:c>
      <x:c r="S890" s="18" t="n">
        <x:v>574.6698048930396</x:v>
      </x:c>
      <x:c r="T890" s="18" t="n">
        <x:v>661</x:v>
      </x:c>
      <x:c r="U890" s="18" t="n">
        <x:v>610</x:v>
      </x:c>
      <x:c r="V890" s="20" t="n">
        <x:v>12</x:v>
      </x:c>
      <x:c r="W890" s="20" t="n">
        <x:v>5</x:v>
      </x:c>
      <x:c r="X890" s="20" t="n">
        <x:v>3</x:v>
      </x:c>
      <x:c r="Y890" t="str">
        <x:v>Basis arsip 2025/2024</x:v>
      </x:c>
      <x:c r="Z890" t="str">
        <x:v>https://snpmb.id/utbk-snbt/daya-tampung-snbt</x:v>
      </x:c>
      <x:c r="AA890" t="str">
        <x:v>Tidak Ada</x:v>
      </x:c>
      <x:c r="AB890" t="str">
        <x:v>Campus=80; Ratio=29.3; Prodi=60; RelDemand=32.6; Capacity=0.0</x:v>
      </x:c>
    </x:row>
    <x:row r="891">
      <x:c r="A891" t="n">
        <x:v>888</x:v>
      </x:c>
      <x:c r="B891" t="str">
        <x:v>PTN Akademik</x:v>
      </x:c>
      <x:c r="C891" t="str">
        <x:v>UNIVERSITAS SULTAN AGENG TIRTAYASA</x:v>
      </x:c>
      <x:c r="D891" t="str">
        <x:v>TEKNIK ELEKTRO</x:v>
      </x:c>
      <x:c r="E891" t="str">
        <x:v>Sarjana</x:v>
      </x:c>
      <x:c r="F891" s="18" t="n">
        <x:v>121</x:v>
      </x:c>
      <x:c r="G891" s="18" t="n">
        <x:v>351</x:v>
      </x:c>
      <x:c r="H891" s="19" t="n">
        <x:v>2.9008264462809916</x:v>
      </x:c>
      <x:c r="I891" s="18" t="n">
        <x:f>ROUND(MIN(Model_Config_v3!$B$6,MAX(Q891,R891,S891*Model_Config_v3!$B$4+T891*Model_Config_v3!$B$5)),0)</x:f>
        <x:v>633</x:v>
      </x:c>
      <x:c r="J891" s="18" t="n">
        <x:f>MIN(Model_Config_v3!$B$6,I891+Model_Config_v3!$B$7)</x:f>
        <x:v>653</x:v>
      </x:c>
      <x:c r="K891" s="20" t="n">
        <x:v>49.8</x:v>
      </x:c>
      <x:c r="L891" t="str">
        <x:v>MENENGAH</x:v>
      </x:c>
      <x:c r="M891" t="str">
        <x:v>SEDANG+</x:v>
      </x:c>
      <x:c r="N891" t="str">
        <x:v>ELITE-3</x:v>
      </x:c>
      <x:c r="O891" t="str">
        <x:v>SAINTEK</x:v>
      </x:c>
      <x:c r="P891" t="str">
        <x:v>TEKNIK/ARSITEKTUR/STATISTIKA/AKTUARIA</x:v>
      </x:c>
      <x:c r="Q891" s="18" t="n">
        <x:v>610</x:v>
      </x:c>
      <x:c r="R891" s="18" t="n">
        <x:v>0</x:v>
      </x:c>
      <x:c r="S891" s="18" t="n">
        <x:v>570.8773920764311</x:v>
      </x:c>
      <x:c r="T891" s="18" t="n">
        <x:v>660</x:v>
      </x:c>
      <x:c r="U891" s="18" t="n">
        <x:v>610</x:v>
      </x:c>
      <x:c r="V891" s="20" t="n">
        <x:v>12</x:v>
      </x:c>
      <x:c r="W891" s="20" t="n">
        <x:v>5</x:v>
      </x:c>
      <x:c r="X891" s="20" t="n">
        <x:v>3</x:v>
      </x:c>
      <x:c r="Y891" t="str">
        <x:v>Basis arsip 2025/2024</x:v>
      </x:c>
      <x:c r="Z891" t="str">
        <x:v>https://snpmb.id/utbk-snbt/daya-tampung-snbt</x:v>
      </x:c>
      <x:c r="AA891" t="str">
        <x:v>Tidak Ada</x:v>
      </x:c>
      <x:c r="AB891" t="str">
        <x:v>Campus=80; Ratio=27.2; Prodi=60; RelDemand=30.1; Capacity=0.0</x:v>
      </x:c>
    </x:row>
    <x:row r="892">
      <x:c r="A892" t="n">
        <x:v>889</x:v>
      </x:c>
      <x:c r="B892" t="str">
        <x:v>PTN Akademik</x:v>
      </x:c>
      <x:c r="C892" t="str">
        <x:v>UNIVERSITAS SULTAN AGENG TIRTAYASA</x:v>
      </x:c>
      <x:c r="D892" t="str">
        <x:v>TEKNIK INDUSTRI</x:v>
      </x:c>
      <x:c r="E892" t="str">
        <x:v>Sarjana</x:v>
      </x:c>
      <x:c r="F892" s="18" t="n">
        <x:v>121</x:v>
      </x:c>
      <x:c r="G892" s="18" t="n">
        <x:v>846</x:v>
      </x:c>
      <x:c r="H892" s="19" t="n">
        <x:v>6.991735537190083</x:v>
      </x:c>
      <x:c r="I892" s="18" t="n">
        <x:f>ROUND(MIN(Model_Config_v3!$B$6,MAX(Q892,R892,S892*Model_Config_v3!$B$4+T892*Model_Config_v3!$B$5)),0)</x:f>
        <x:v>659</x:v>
      </x:c>
      <x:c r="J892" s="18" t="n">
        <x:f>MIN(Model_Config_v3!$B$6,I892+Model_Config_v3!$B$7)</x:f>
        <x:v>679</x:v>
      </x:c>
      <x:c r="K892" s="20" t="n">
        <x:v>59.7</x:v>
      </x:c>
      <x:c r="L892" t="str">
        <x:v>KETAT</x:v>
      </x:c>
      <x:c r="M892" t="str">
        <x:v>SEDANG+</x:v>
      </x:c>
      <x:c r="N892" t="str">
        <x:v>ELITE-3</x:v>
      </x:c>
      <x:c r="O892" t="str">
        <x:v>SAINTEK</x:v>
      </x:c>
      <x:c r="P892" t="str">
        <x:v>TEKNIK/ARSITEKTUR/STATISTIKA/AKTUARIA</x:v>
      </x:c>
      <x:c r="Q892" s="18" t="n">
        <x:v>610</x:v>
      </x:c>
      <x:c r="R892" s="18" t="n">
        <x:v>0</x:v>
      </x:c>
      <x:c r="S892" s="18" t="n">
        <x:v>612.904349199483</x:v>
      </x:c>
      <x:c r="T892" s="18" t="n">
        <x:v>679</x:v>
      </x:c>
      <x:c r="U892" s="18" t="n">
        <x:v>622.904349199483</x:v>
      </x:c>
      <x:c r="V892" s="20" t="n">
        <x:v>12</x:v>
      </x:c>
      <x:c r="W892" s="20" t="n">
        <x:v>5</x:v>
      </x:c>
      <x:c r="X892" s="20" t="n">
        <x:v>3</x:v>
      </x:c>
      <x:c r="Y892" t="str">
        <x:v>Basis arsip 2025/2024</x:v>
      </x:c>
      <x:c r="Z892" t="str">
        <x:v>https://snpmb.id/utbk-snbt/daya-tampung-snbt</x:v>
      </x:c>
      <x:c r="AA892" t="str">
        <x:v>Tidak Ada</x:v>
      </x:c>
      <x:c r="AB892" t="str">
        <x:v>Campus=80; Ratio=49.7; Prodi=60; RelDemand=72.6; Capacity=0.0</x:v>
      </x:c>
    </x:row>
    <x:row r="893">
      <x:c r="A893" t="n">
        <x:v>890</x:v>
      </x:c>
      <x:c r="B893" t="str">
        <x:v>PTN Akademik</x:v>
      </x:c>
      <x:c r="C893" t="str">
        <x:v>UNIVERSITAS SULTAN AGENG TIRTAYASA</x:v>
      </x:c>
      <x:c r="D893" t="str">
        <x:v>TEKNIK METALURGI</x:v>
      </x:c>
      <x:c r="E893" t="str">
        <x:v>Sarjana</x:v>
      </x:c>
      <x:c r="F893" s="18" t="n">
        <x:v>110</x:v>
      </x:c>
      <x:c r="G893" s="18" t="n">
        <x:v>352</x:v>
      </x:c>
      <x:c r="H893" s="19" t="n">
        <x:v>3.2</x:v>
      </x:c>
      <x:c r="I893" s="18" t="n">
        <x:f>ROUND(MIN(Model_Config_v3!$B$6,MAX(Q893,R893,S893*Model_Config_v3!$B$4+T893*Model_Config_v3!$B$5)),0)</x:f>
        <x:v>637</x:v>
      </x:c>
      <x:c r="J893" s="18" t="n">
        <x:f>MIN(Model_Config_v3!$B$6,I893+Model_Config_v3!$B$7)</x:f>
        <x:v>657</x:v>
      </x:c>
      <x:c r="K893" s="20" t="n">
        <x:v>51.6</x:v>
      </x:c>
      <x:c r="L893" t="str">
        <x:v>MENENGAH</x:v>
      </x:c>
      <x:c r="M893" t="str">
        <x:v>SEDANG+</x:v>
      </x:c>
      <x:c r="N893" t="str">
        <x:v>ELITE-3</x:v>
      </x:c>
      <x:c r="O893" t="str">
        <x:v>SAINTEK</x:v>
      </x:c>
      <x:c r="P893" t="str">
        <x:v>TEKNIK/ARSITEKTUR/STATISTIKA/AKTUARIA</x:v>
      </x:c>
      <x:c r="Q893" s="18" t="n">
        <x:v>610</x:v>
      </x:c>
      <x:c r="R893" s="18" t="n">
        <x:v>0</x:v>
      </x:c>
      <x:c r="S893" s="18" t="n">
        <x:v>575.5664976151896</x:v>
      </x:c>
      <x:c r="T893" s="18" t="n">
        <x:v>663</x:v>
      </x:c>
      <x:c r="U893" s="18" t="n">
        <x:v>610</x:v>
      </x:c>
      <x:c r="V893" s="20" t="n">
        <x:v>12</x:v>
      </x:c>
      <x:c r="W893" s="20" t="n">
        <x:v>5</x:v>
      </x:c>
      <x:c r="X893" s="20" t="n">
        <x:v>3</x:v>
      </x:c>
      <x:c r="Y893" t="str">
        <x:v>Basis arsip 2025/2024</x:v>
      </x:c>
      <x:c r="Z893" t="str">
        <x:v>https://snpmb.id/utbk-snbt/daya-tampung-snbt</x:v>
      </x:c>
      <x:c r="AA893" t="str">
        <x:v>Tidak Ada</x:v>
      </x:c>
      <x:c r="AB893" t="str">
        <x:v>Campus=80; Ratio=29.7; Prodi=60; RelDemand=33.2; Capacity=8.3</x:v>
      </x:c>
    </x:row>
    <x:row r="894">
      <x:c r="A894" t="n">
        <x:v>891</x:v>
      </x:c>
      <x:c r="B894" t="str">
        <x:v>PTN Akademik</x:v>
      </x:c>
      <x:c r="C894" t="str">
        <x:v>UNIVERSITAS SULTAN AGENG TIRTAYASA</x:v>
      </x:c>
      <x:c r="D894" t="str">
        <x:v>TEKNIK KIMIA</x:v>
      </x:c>
      <x:c r="E894" t="str">
        <x:v>Sarjana</x:v>
      </x:c>
      <x:c r="F894" s="18" t="n">
        <x:v>121</x:v>
      </x:c>
      <x:c r="G894" s="18" t="n">
        <x:v>370</x:v>
      </x:c>
      <x:c r="H894" s="19" t="n">
        <x:v>3.0578512396694215</x:v>
      </x:c>
      <x:c r="I894" s="18" t="n">
        <x:f>ROUND(MIN(Model_Config_v3!$B$6,MAX(Q894,R894,S894*Model_Config_v3!$B$4+T894*Model_Config_v3!$B$5)),0)</x:f>
        <x:v>635</x:v>
      </x:c>
      <x:c r="J894" s="18" t="n">
        <x:f>MIN(Model_Config_v3!$B$6,I894+Model_Config_v3!$B$7)</x:f>
        <x:v>655</x:v>
      </x:c>
      <x:c r="K894" s="20" t="n">
        <x:v>50.3</x:v>
      </x:c>
      <x:c r="L894" t="str">
        <x:v>MENENGAH</x:v>
      </x:c>
      <x:c r="M894" t="str">
        <x:v>SEDANG+</x:v>
      </x:c>
      <x:c r="N894" t="str">
        <x:v>ELITE-3</x:v>
      </x:c>
      <x:c r="O894" t="str">
        <x:v>SAINTEK</x:v>
      </x:c>
      <x:c r="P894" t="str">
        <x:v>TEKNIK/ARSITEKTUR/STATISTIKA/AKTUARIA</x:v>
      </x:c>
      <x:c r="Q894" s="18" t="n">
        <x:v>610</x:v>
      </x:c>
      <x:c r="R894" s="18" t="n">
        <x:v>0</x:v>
      </x:c>
      <x:c r="S894" s="18" t="n">
        <x:v>573.3957989125599</x:v>
      </x:c>
      <x:c r="T894" s="18" t="n">
        <x:v>661</x:v>
      </x:c>
      <x:c r="U894" s="18" t="n">
        <x:v>610</x:v>
      </x:c>
      <x:c r="V894" s="20" t="n">
        <x:v>12</x:v>
      </x:c>
      <x:c r="W894" s="20" t="n">
        <x:v>5</x:v>
      </x:c>
      <x:c r="X894" s="20" t="n">
        <x:v>3</x:v>
      </x:c>
      <x:c r="Y894" t="str">
        <x:v>Basis arsip 2025/2024</x:v>
      </x:c>
      <x:c r="Z894" t="str">
        <x:v>https://snpmb.id/utbk-snbt/daya-tampung-snbt</x:v>
      </x:c>
      <x:c r="AA894" t="str">
        <x:v>Tidak Ada</x:v>
      </x:c>
      <x:c r="AB894" t="str">
        <x:v>Campus=80; Ratio=28.6; Prodi=60; RelDemand=31.7; Capacity=0.0</x:v>
      </x:c>
    </x:row>
    <x:row r="895">
      <x:c r="A895" t="n">
        <x:v>892</x:v>
      </x:c>
      <x:c r="B895" t="str">
        <x:v>PTN Akademik</x:v>
      </x:c>
      <x:c r="C895" t="str">
        <x:v>UNIVERSITAS SULTAN AGENG TIRTAYASA</x:v>
      </x:c>
      <x:c r="D895" t="str">
        <x:v>TEKNIK SIPIL</x:v>
      </x:c>
      <x:c r="E895" t="str">
        <x:v>Sarjana</x:v>
      </x:c>
      <x:c r="F895" s="18" t="n">
        <x:v>121</x:v>
      </x:c>
      <x:c r="G895" s="18" t="n">
        <x:v>496</x:v>
      </x:c>
      <x:c r="H895" s="19" t="n">
        <x:v>4.099173553719008</x:v>
      </x:c>
      <x:c r="I895" s="18" t="n">
        <x:f>ROUND(MIN(Model_Config_v3!$B$6,MAX(Q895,R895,S895*Model_Config_v3!$B$4+T895*Model_Config_v3!$B$5)),0)</x:f>
        <x:v>643</x:v>
      </x:c>
      <x:c r="J895" s="18" t="n">
        <x:f>MIN(Model_Config_v3!$B$6,I895+Model_Config_v3!$B$7)</x:f>
        <x:v>663</x:v>
      </x:c>
      <x:c r="K895" s="20" t="n">
        <x:v>53.3</x:v>
      </x:c>
      <x:c r="L895" t="str">
        <x:v>MENENGAH</x:v>
      </x:c>
      <x:c r="M895" t="str">
        <x:v>SEDANG+</x:v>
      </x:c>
      <x:c r="N895" t="str">
        <x:v>ELITE-3</x:v>
      </x:c>
      <x:c r="O895" t="str">
        <x:v>SAINTEK</x:v>
      </x:c>
      <x:c r="P895" t="str">
        <x:v>TEKNIK/ARSITEKTUR/STATISTIKA/AKTUARIA</x:v>
      </x:c>
      <x:c r="Q895" s="18" t="n">
        <x:v>610</x:v>
      </x:c>
      <x:c r="R895" s="18" t="n">
        <x:v>0</x:v>
      </x:c>
      <x:c r="S895" s="18" t="n">
        <x:v>587.3965936791122</x:v>
      </x:c>
      <x:c r="T895" s="18" t="n">
        <x:v>667</x:v>
      </x:c>
      <x:c r="U895" s="18" t="n">
        <x:v>610</x:v>
      </x:c>
      <x:c r="V895" s="20" t="n">
        <x:v>12</x:v>
      </x:c>
      <x:c r="W895" s="20" t="n">
        <x:v>5</x:v>
      </x:c>
      <x:c r="X895" s="20" t="n">
        <x:v>3</x:v>
      </x:c>
      <x:c r="Y895" t="str">
        <x:v>Basis arsip 2025/2024</x:v>
      </x:c>
      <x:c r="Z895" t="str">
        <x:v>https://snpmb.id/utbk-snbt/daya-tampung-snbt</x:v>
      </x:c>
      <x:c r="AA895" t="str">
        <x:v>Tidak Ada</x:v>
      </x:c>
      <x:c r="AB895" t="str">
        <x:v>Campus=80; Ratio=36.1; Prodi=60; RelDemand=42.5; Capacity=0.0</x:v>
      </x:c>
    </x:row>
    <x:row r="896">
      <x:c r="A896" t="n">
        <x:v>893</x:v>
      </x:c>
      <x:c r="B896" t="str">
        <x:v>PTN Akademik</x:v>
      </x:c>
      <x:c r="C896" t="str">
        <x:v>UNIVERSITAS SULTAN AGENG TIRTAYASA</x:v>
      </x:c>
      <x:c r="D896" t="str">
        <x:v>AGRIBISNIS</x:v>
      </x:c>
      <x:c r="E896" t="str">
        <x:v>Sarjana</x:v>
      </x:c>
      <x:c r="F896" s="18" t="n">
        <x:v>179</x:v>
      </x:c>
      <x:c r="G896" s="18" t="n">
        <x:v>437</x:v>
      </x:c>
      <x:c r="H896" s="19" t="n">
        <x:v>2.441340782122905</x:v>
      </x:c>
      <x:c r="I896" s="18" t="n">
        <x:f>ROUND(MIN(Model_Config_v3!$B$6,MAX(Q896,R896,S896*Model_Config_v3!$B$4+T896*Model_Config_v3!$B$5)),0)</x:f>
        <x:v>629</x:v>
      </x:c>
      <x:c r="J896" s="18" t="n">
        <x:f>MIN(Model_Config_v3!$B$6,I896+Model_Config_v3!$B$7)</x:f>
        <x:v>649</x:v>
      </x:c>
      <x:c r="K896" s="20" t="n">
        <x:v>49.2</x:v>
      </x:c>
      <x:c r="L896" t="str">
        <x:v>MENENGAH</x:v>
      </x:c>
      <x:c r="M896" t="str">
        <x:v>SEDANG+</x:v>
      </x:c>
      <x:c r="N896" t="str">
        <x:v>ELITE-3</x:v>
      </x:c>
      <x:c r="O896" t="str">
        <x:v>SOSHUM</x:v>
      </x:c>
      <x:c r="P896" t="str">
        <x:v>BISNIS/EKONOMI/AKUNTANSI</x:v>
      </x:c>
      <x:c r="Q896" s="18" t="n">
        <x:v>610</x:v>
      </x:c>
      <x:c r="R896" s="18" t="n">
        <x:v>0</x:v>
      </x:c>
      <x:c r="S896" s="18" t="n">
        <x:v>562.6391246589582</x:v>
      </x:c>
      <x:c r="T896" s="18" t="n">
        <x:v>658</x:v>
      </x:c>
      <x:c r="U896" s="18" t="n">
        <x:v>610</x:v>
      </x:c>
      <x:c r="V896" s="20" t="n">
        <x:v>4.4</x:v>
      </x:c>
      <x:c r="W896" s="20" t="n">
        <x:v>14.3</x:v>
      </x:c>
      <x:c r="X896" s="20" t="n">
        <x:v>3.3</x:v>
      </x:c>
      <x:c r="Y896" t="str">
        <x:v>Basis arsip 2025/2024</x:v>
      </x:c>
      <x:c r="Z896" t="str">
        <x:v>https://snpmb.id/utbk-snbt/daya-tampung-snbt</x:v>
      </x:c>
      <x:c r="AA896" t="str">
        <x:v>Tidak Ada</x:v>
      </x:c>
      <x:c r="AB896" t="str">
        <x:v>Campus=80; Ratio=22.8; Prodi=65; RelDemand=25.3; Capacity=0.0</x:v>
      </x:c>
    </x:row>
    <x:row r="897">
      <x:c r="A897" t="n">
        <x:v>894</x:v>
      </x:c>
      <x:c r="B897" t="str">
        <x:v>PTN Akademik</x:v>
      </x:c>
      <x:c r="C897" t="str">
        <x:v>UNIVERSITAS SULTAN AGENG TIRTAYASA</x:v>
      </x:c>
      <x:c r="D897" t="str">
        <x:v>AGROEKOTEKNOLOGI</x:v>
      </x:c>
      <x:c r="E897" t="str">
        <x:v>Sarjana</x:v>
      </x:c>
      <x:c r="F897" s="18" t="n">
        <x:v>198</x:v>
      </x:c>
      <x:c r="G897" s="18" t="n">
        <x:v>313</x:v>
      </x:c>
      <x:c r="H897" s="19" t="n">
        <x:v>1.5808080808080809</x:v>
      </x:c>
      <x:c r="I897" s="18" t="n">
        <x:f>ROUND(MIN(Model_Config_v3!$B$6,MAX(Q897,R897,S897*Model_Config_v3!$B$4+T897*Model_Config_v3!$B$5)),0)</x:f>
        <x:v>611</x:v>
      </x:c>
      <x:c r="J897" s="18" t="n">
        <x:f>MIN(Model_Config_v3!$B$6,I897+Model_Config_v3!$B$7)</x:f>
        <x:v>631</x:v>
      </x:c>
      <x:c r="K897" s="20" t="n">
        <x:v>40.6</x:v>
      </x:c>
      <x:c r="L897" t="str">
        <x:v>RELATIF LONGGAR</x:v>
      </x:c>
      <x:c r="M897" t="str">
        <x:v>SEDANG+</x:v>
      </x:c>
      <x:c r="N897" t="str">
        <x:v>ELITE-3</x:v>
      </x:c>
      <x:c r="O897" t="str">
        <x:v>SAINTEK</x:v>
      </x:c>
      <x:c r="P897" t="str">
        <x:v>UMUM</x:v>
      </x:c>
      <x:c r="Q897" s="18" t="n">
        <x:v>610</x:v>
      </x:c>
      <x:c r="R897" s="18" t="n">
        <x:v>0</x:v>
      </x:c>
      <x:c r="S897" s="18" t="n">
        <x:v>541.8767062013409</x:v>
      </x:c>
      <x:c r="T897" s="18" t="n">
        <x:v>641</x:v>
      </x:c>
      <x:c r="U897" s="18" t="n">
        <x:v>610</x:v>
      </x:c>
      <x:c r="V897" s="20" t="n">
        <x:v>12</x:v>
      </x:c>
      <x:c r="W897" s="20" t="n">
        <x:v>5</x:v>
      </x:c>
      <x:c r="X897" s="20" t="n">
        <x:v>3</x:v>
      </x:c>
      <x:c r="Y897" t="str">
        <x:v>Basis arsip 2025/2024</x:v>
      </x:c>
      <x:c r="Z897" t="str">
        <x:v>https://snpmb.id/utbk-snbt/daya-tampung-snbt</x:v>
      </x:c>
      <x:c r="AA897" t="str">
        <x:v>Tidak Ada</x:v>
      </x:c>
      <x:c r="AB897" t="str">
        <x:v>Campus=80; Ratio=11.7; Prodi=40; RelDemand=16.4; Capacity=0.0</x:v>
      </x:c>
    </x:row>
    <x:row r="898">
      <x:c r="A898" t="n">
        <x:v>895</x:v>
      </x:c>
      <x:c r="B898" t="str">
        <x:v>PTN Akademik</x:v>
      </x:c>
      <x:c r="C898" t="str">
        <x:v>UNIVERSITAS SULTAN AGENG TIRTAYASA</x:v>
      </x:c>
      <x:c r="D898" t="str">
        <x:v>ILMU PERIKANAN</x:v>
      </x:c>
      <x:c r="E898" t="str">
        <x:v>Sarjana</x:v>
      </x:c>
      <x:c r="F898" s="18" t="n">
        <x:v>127</x:v>
      </x:c>
      <x:c r="G898" s="18" t="n">
        <x:v>150</x:v>
      </x:c>
      <x:c r="H898" s="19" t="n">
        <x:v>1.1811023622047243</x:v>
      </x:c>
      <x:c r="I898" s="18" t="n">
        <x:f>ROUND(MIN(Model_Config_v3!$B$6,MAX(Q898,R898,S898*Model_Config_v3!$B$4+T898*Model_Config_v3!$B$5)),0)</x:f>
        <x:v>610</x:v>
      </x:c>
      <x:c r="J898" s="18" t="n">
        <x:f>MIN(Model_Config_v3!$B$6,I898+Model_Config_v3!$B$7)</x:f>
        <x:v>630</x:v>
      </x:c>
      <x:c r="K898" s="20" t="n">
        <x:v>38.3</x:v>
      </x:c>
      <x:c r="L898" t="str">
        <x:v>RELATIF LONGGAR</x:v>
      </x:c>
      <x:c r="M898" t="str">
        <x:v>SEDANG+</x:v>
      </x:c>
      <x:c r="N898" t="str">
        <x:v>ELITE-3</x:v>
      </x:c>
      <x:c r="O898" t="str">
        <x:v>SAINTEK</x:v>
      </x:c>
      <x:c r="P898" t="str">
        <x:v>UMUM</x:v>
      </x:c>
      <x:c r="Q898" s="18" t="n">
        <x:v>610</x:v>
      </x:c>
      <x:c r="R898" s="18" t="n">
        <x:v>0</x:v>
      </x:c>
      <x:c r="S898" s="18" t="n">
        <x:v>527.9516291909697</x:v>
      </x:c>
      <x:c r="T898" s="18" t="n">
        <x:v>637</x:v>
      </x:c>
      <x:c r="U898" s="18" t="n">
        <x:v>610</x:v>
      </x:c>
      <x:c r="V898" s="20" t="n">
        <x:v>12</x:v>
      </x:c>
      <x:c r="W898" s="20" t="n">
        <x:v>5</x:v>
      </x:c>
      <x:c r="X898" s="20" t="n">
        <x:v>3</x:v>
      </x:c>
      <x:c r="Y898" t="str">
        <x:v>Basis arsip 2025/2024</x:v>
      </x:c>
      <x:c r="Z898" t="str">
        <x:v>https://snpmb.id/utbk-snbt/daya-tampung-snbt</x:v>
      </x:c>
      <x:c r="AA898" t="str">
        <x:v>Tidak Ada</x:v>
      </x:c>
      <x:c r="AB898" t="str">
        <x:v>Campus=80; Ratio=4.3; Prodi=40; RelDemand=12.3; Capacity=0.0</x:v>
      </x:c>
    </x:row>
    <x:row r="899">
      <x:c r="A899" t="n">
        <x:v>896</x:v>
      </x:c>
      <x:c r="B899" t="str">
        <x:v>PTN Akademik</x:v>
      </x:c>
      <x:c r="C899" t="str">
        <x:v>UNIVERSITAS SULTAN AGENG TIRTAYASA</x:v>
      </x:c>
      <x:c r="D899" t="str">
        <x:v>PENDIDIKAN BIOLOGI</x:v>
      </x:c>
      <x:c r="E899" t="str">
        <x:v>Sarjana</x:v>
      </x:c>
      <x:c r="F899" s="18" t="n">
        <x:v>110</x:v>
      </x:c>
      <x:c r="G899" s="18" t="n">
        <x:v>202</x:v>
      </x:c>
      <x:c r="H899" s="19" t="n">
        <x:v>1.8363636363636364</x:v>
      </x:c>
      <x:c r="I899" s="18" t="n">
        <x:f>ROUND(MIN(Model_Config_v3!$B$6,MAX(Q899,R899,S899*Model_Config_v3!$B$4+T899*Model_Config_v3!$B$5)),0)</x:f>
        <x:v>618</x:v>
      </x:c>
      <x:c r="J899" s="18" t="n">
        <x:f>MIN(Model_Config_v3!$B$6,I899+Model_Config_v3!$B$7)</x:f>
        <x:v>638</x:v>
      </x:c>
      <x:c r="K899" s="20" t="n">
        <x:v>43.6</x:v>
      </x:c>
      <x:c r="L899" t="str">
        <x:v>RELATIF LONGGAR</x:v>
      </x:c>
      <x:c r="M899" t="str">
        <x:v>SEDANG+</x:v>
      </x:c>
      <x:c r="N899" t="str">
        <x:v>ELITE-3</x:v>
      </x:c>
      <x:c r="O899" t="str">
        <x:v>SAINTEK</x:v>
      </x:c>
      <x:c r="P899" t="str">
        <x:v>PENDIDIKAN</x:v>
      </x:c>
      <x:c r="Q899" s="18" t="n">
        <x:v>610</x:v>
      </x:c>
      <x:c r="R899" s="18" t="n">
        <x:v>0</x:v>
      </x:c>
      <x:c r="S899" s="18" t="n">
        <x:v>549.0354552717239</x:v>
      </x:c>
      <x:c r="T899" s="18" t="n">
        <x:v>647</x:v>
      </x:c>
      <x:c r="U899" s="18" t="n">
        <x:v>610</x:v>
      </x:c>
      <x:c r="V899" s="20" t="n">
        <x:v>12</x:v>
      </x:c>
      <x:c r="W899" s="20" t="n">
        <x:v>5</x:v>
      </x:c>
      <x:c r="X899" s="20" t="n">
        <x:v>3</x:v>
      </x:c>
      <x:c r="Y899" t="str">
        <x:v>Basis arsip 2025/2024</x:v>
      </x:c>
      <x:c r="Z899" t="str">
        <x:v>https://snpmb.id/utbk-snbt/daya-tampung-snbt</x:v>
      </x:c>
      <x:c r="AA899" t="str">
        <x:v>Tidak Ada</x:v>
      </x:c>
      <x:c r="AB899" t="str">
        <x:v>Campus=80; Ratio=15.5; Prodi=45; RelDemand=19.1; Capacity=8.3</x:v>
      </x:c>
    </x:row>
    <x:row r="900">
      <x:c r="A900" t="n">
        <x:v>897</x:v>
      </x:c>
      <x:c r="B900" t="str">
        <x:v>PTN Akademik</x:v>
      </x:c>
      <x:c r="C900" t="str">
        <x:v>UNIVERSITAS SULTAN AGENG TIRTAYASA</x:v>
      </x:c>
      <x:c r="D900" t="str">
        <x:v>PENDIDIKAN MATEMATIKA</x:v>
      </x:c>
      <x:c r="E900" t="str">
        <x:v>Sarjana</x:v>
      </x:c>
      <x:c r="F900" s="18" t="n">
        <x:v>157</x:v>
      </x:c>
      <x:c r="G900" s="18" t="n">
        <x:v>168</x:v>
      </x:c>
      <x:c r="H900" s="19" t="n">
        <x:v>1.070063694267516</x:v>
      </x:c>
      <x:c r="I900" s="18" t="n">
        <x:f>ROUND(MIN(Model_Config_v3!$B$6,MAX(Q900,R900,S900*Model_Config_v3!$B$4+T900*Model_Config_v3!$B$5)),0)</x:f>
        <x:v>610</x:v>
      </x:c>
      <x:c r="J900" s="18" t="n">
        <x:f>MIN(Model_Config_v3!$B$6,I900+Model_Config_v3!$B$7)</x:f>
        <x:v>630</x:v>
      </x:c>
      <x:c r="K900" s="20" t="n">
        <x:v>38.5</x:v>
      </x:c>
      <x:c r="L900" t="str">
        <x:v>RELATIF LONGGAR</x:v>
      </x:c>
      <x:c r="M900" t="str">
        <x:v>SEDANG+</x:v>
      </x:c>
      <x:c r="N900" t="str">
        <x:v>ELITE-3</x:v>
      </x:c>
      <x:c r="O900" t="str">
        <x:v>SAINTEK</x:v>
      </x:c>
      <x:c r="P900" t="str">
        <x:v>PENDIDIKAN</x:v>
      </x:c>
      <x:c r="Q900" s="18" t="n">
        <x:v>610</x:v>
      </x:c>
      <x:c r="R900" s="18" t="n">
        <x:v>0</x:v>
      </x:c>
      <x:c r="S900" s="18" t="n">
        <x:v>523.2350592248292</x:v>
      </x:c>
      <x:c r="T900" s="18" t="n">
        <x:v>637</x:v>
      </x:c>
      <x:c r="U900" s="18" t="n">
        <x:v>610</x:v>
      </x:c>
      <x:c r="V900" s="20" t="n">
        <x:v>12</x:v>
      </x:c>
      <x:c r="W900" s="20" t="n">
        <x:v>5</x:v>
      </x:c>
      <x:c r="X900" s="20" t="n">
        <x:v>3</x:v>
      </x:c>
      <x:c r="Y900" t="str">
        <x:v>Basis arsip 2025/2024</x:v>
      </x:c>
      <x:c r="Z900" t="str">
        <x:v>https://snpmb.id/utbk-snbt/daya-tampung-snbt</x:v>
      </x:c>
      <x:c r="AA900" t="str">
        <x:v>Tidak Ada</x:v>
      </x:c>
      <x:c r="AB900" t="str">
        <x:v>Campus=80; Ratio=1.7; Prodi=45; RelDemand=11.1; Capacity=0.0</x:v>
      </x:c>
    </x:row>
    <x:row r="901">
      <x:c r="A901" t="n">
        <x:v>898</x:v>
      </x:c>
      <x:c r="B901" t="str">
        <x:v>PTN Akademik</x:v>
      </x:c>
      <x:c r="C901" t="str">
        <x:v>UNIVERSITAS SULTAN AGENG TIRTAYASA</x:v>
      </x:c>
      <x:c r="D901" t="str">
        <x:v>PENDIDIKAN VOKASIONAL TEKNIK ELEKTRO</x:v>
      </x:c>
      <x:c r="E901" t="str">
        <x:v>Sarjana</x:v>
      </x:c>
      <x:c r="F901" s="18" t="n">
        <x:v>66</x:v>
      </x:c>
      <x:c r="G901" s="18" t="n">
        <x:v>60</x:v>
      </x:c>
      <x:c r="H901" s="19" t="n">
        <x:v>0.9090909090909091</x:v>
      </x:c>
      <x:c r="I901" s="18" t="n">
        <x:f>ROUND(MIN(Model_Config_v3!$B$6,MAX(Q901,R901,S901*Model_Config_v3!$B$4+T901*Model_Config_v3!$B$5)),0)</x:f>
        <x:v>610</x:v>
      </x:c>
      <x:c r="J901" s="18" t="n">
        <x:f>MIN(Model_Config_v3!$B$6,I901+Model_Config_v3!$B$7)</x:f>
        <x:v>630</x:v>
      </x:c>
      <x:c r="K901" s="20" t="n">
        <x:v>42.4</x:v>
      </x:c>
      <x:c r="L901" t="str">
        <x:v>RELATIF LONGGAR</x:v>
      </x:c>
      <x:c r="M901" t="str">
        <x:v>SEDANG+</x:v>
      </x:c>
      <x:c r="N901" t="str">
        <x:v>ELITE-3</x:v>
      </x:c>
      <x:c r="O901" t="str">
        <x:v>SAINTEK</x:v>
      </x:c>
      <x:c r="P901" t="str">
        <x:v>PENDIDIKAN</x:v>
      </x:c>
      <x:c r="Q901" s="18" t="n">
        <x:v>610</x:v>
      </x:c>
      <x:c r="R901" s="18" t="n">
        <x:v>0</x:v>
      </x:c>
      <x:c r="S901" s="18" t="n">
        <x:v>520</x:v>
      </x:c>
      <x:c r="T901" s="18" t="n">
        <x:v>645</x:v>
      </x:c>
      <x:c r="U901" s="18" t="n">
        <x:v>610</x:v>
      </x:c>
      <x:c r="V901" s="20" t="n">
        <x:v>12</x:v>
      </x:c>
      <x:c r="W901" s="20" t="n">
        <x:v>5</x:v>
      </x:c>
      <x:c r="X901" s="20" t="n">
        <x:v>3</x:v>
      </x:c>
      <x:c r="Y901" t="str">
        <x:v>Basis arsip 2025/2024</x:v>
      </x:c>
      <x:c r="Z901" t="str">
        <x:v>https://snpmb.id/utbk-snbt/daya-tampung-snbt</x:v>
      </x:c>
      <x:c r="AA901" t="str">
        <x:v>Tidak Ada</x:v>
      </x:c>
      <x:c r="AB901" t="str">
        <x:v>Campus=80; Ratio=0.0; Prodi=45; RelDemand=9.4; Capacity=45.0</x:v>
      </x:c>
    </x:row>
    <x:row r="902">
      <x:c r="A902" t="n">
        <x:v>899</x:v>
      </x:c>
      <x:c r="B902" t="str">
        <x:v>PTN Akademik</x:v>
      </x:c>
      <x:c r="C902" t="str">
        <x:v>UNIVERSITAS SULTAN AGENG TIRTAYASA</x:v>
      </x:c>
      <x:c r="D902" t="str">
        <x:v>PENDIDIKAN VOKASIONAL TEKNIK MESIN</x:v>
      </x:c>
      <x:c r="E902" t="str">
        <x:v>Sarjana</x:v>
      </x:c>
      <x:c r="F902" s="18" t="n">
        <x:v>69</x:v>
      </x:c>
      <x:c r="G902" s="18" t="n">
        <x:v>73</x:v>
      </x:c>
      <x:c r="H902" s="19" t="n">
        <x:v>1.0579710144927537</x:v>
      </x:c>
      <x:c r="I902" s="18" t="n">
        <x:f>ROUND(MIN(Model_Config_v3!$B$6,MAX(Q902,R902,S902*Model_Config_v3!$B$4+T902*Model_Config_v3!$B$5)),0)</x:f>
        <x:v>610</x:v>
      </x:c>
      <x:c r="J902" s="18" t="n">
        <x:f>MIN(Model_Config_v3!$B$6,I902+Model_Config_v3!$B$7)</x:f>
        <x:v>630</x:v>
      </x:c>
      <x:c r="K902" s="20" t="n">
        <x:v>42.7</x:v>
      </x:c>
      <x:c r="L902" t="str">
        <x:v>RELATIF LONGGAR</x:v>
      </x:c>
      <x:c r="M902" t="str">
        <x:v>SEDANG+</x:v>
      </x:c>
      <x:c r="N902" t="str">
        <x:v>ELITE-3</x:v>
      </x:c>
      <x:c r="O902" t="str">
        <x:v>SAINTEK</x:v>
      </x:c>
      <x:c r="P902" t="str">
        <x:v>PENDIDIKAN</x:v>
      </x:c>
      <x:c r="Q902" s="18" t="n">
        <x:v>610</x:v>
      </x:c>
      <x:c r="R902" s="18" t="n">
        <x:v>0</x:v>
      </x:c>
      <x:c r="S902" s="18" t="n">
        <x:v>522.6921146321521</x:v>
      </x:c>
      <x:c r="T902" s="18" t="n">
        <x:v>645</x:v>
      </x:c>
      <x:c r="U902" s="18" t="n">
        <x:v>610</x:v>
      </x:c>
      <x:c r="V902" s="20" t="n">
        <x:v>12</x:v>
      </x:c>
      <x:c r="W902" s="20" t="n">
        <x:v>5</x:v>
      </x:c>
      <x:c r="X902" s="20" t="n">
        <x:v>3</x:v>
      </x:c>
      <x:c r="Y902" t="str">
        <x:v>Basis arsip 2025/2024</x:v>
      </x:c>
      <x:c r="Z902" t="str">
        <x:v>https://snpmb.id/utbk-snbt/daya-tampung-snbt</x:v>
      </x:c>
      <x:c r="AA902" t="str">
        <x:v>Tidak Ada</x:v>
      </x:c>
      <x:c r="AB902" t="str">
        <x:v>Campus=80; Ratio=1.4; Prodi=45; RelDemand=11.0; Capacity=42.5</x:v>
      </x:c>
    </x:row>
    <x:row r="903">
      <x:c r="A903" t="n">
        <x:v>900</x:v>
      </x:c>
      <x:c r="B903" t="str">
        <x:v>PTN Akademik</x:v>
      </x:c>
      <x:c r="C903" t="str">
        <x:v>UNIVERSITAS SULTAN AGENG TIRTAYASA</x:v>
      </x:c>
      <x:c r="D903" t="str">
        <x:v>PENDIDIKAN FISIKA</x:v>
      </x:c>
      <x:c r="E903" t="str">
        <x:v>Sarjana</x:v>
      </x:c>
      <x:c r="F903" s="18" t="n">
        <x:v>69</x:v>
      </x:c>
      <x:c r="G903" s="18" t="n">
        <x:v>72</x:v>
      </x:c>
      <x:c r="H903" s="19" t="n">
        <x:v>1.0434782608695652</x:v>
      </x:c>
      <x:c r="I903" s="18" t="n">
        <x:f>ROUND(MIN(Model_Config_v3!$B$6,MAX(Q903,R903,S903*Model_Config_v3!$B$4+T903*Model_Config_v3!$B$5)),0)</x:f>
        <x:v>610</x:v>
      </x:c>
      <x:c r="J903" s="18" t="n">
        <x:f>MIN(Model_Config_v3!$B$6,I903+Model_Config_v3!$B$7)</x:f>
        <x:v>630</x:v>
      </x:c>
      <x:c r="K903" s="20" t="n">
        <x:v>42.6</x:v>
      </x:c>
      <x:c r="L903" t="str">
        <x:v>RELATIF LONGGAR</x:v>
      </x:c>
      <x:c r="M903" t="str">
        <x:v>SEDANG+</x:v>
      </x:c>
      <x:c r="N903" t="str">
        <x:v>ELITE-3</x:v>
      </x:c>
      <x:c r="O903" t="str">
        <x:v>SAINTEK</x:v>
      </x:c>
      <x:c r="P903" t="str">
        <x:v>PENDIDIKAN</x:v>
      </x:c>
      <x:c r="Q903" s="18" t="n">
        <x:v>610</x:v>
      </x:c>
      <x:c r="R903" s="18" t="n">
        <x:v>0</x:v>
      </x:c>
      <x:c r="S903" s="18" t="n">
        <x:v>522.0331746263414</x:v>
      </x:c>
      <x:c r="T903" s="18" t="n">
        <x:v>645</x:v>
      </x:c>
      <x:c r="U903" s="18" t="n">
        <x:v>610</x:v>
      </x:c>
      <x:c r="V903" s="20" t="n">
        <x:v>12</x:v>
      </x:c>
      <x:c r="W903" s="20" t="n">
        <x:v>5</x:v>
      </x:c>
      <x:c r="X903" s="20" t="n">
        <x:v>3</x:v>
      </x:c>
      <x:c r="Y903" t="str">
        <x:v>Basis arsip 2025/2024</x:v>
      </x:c>
      <x:c r="Z903" t="str">
        <x:v>https://snpmb.id/utbk-snbt/daya-tampung-snbt</x:v>
      </x:c>
      <x:c r="AA903" t="str">
        <x:v>Tidak Ada</x:v>
      </x:c>
      <x:c r="AB903" t="str">
        <x:v>Campus=80; Ratio=1.1; Prodi=45; RelDemand=10.8; Capacity=42.5</x:v>
      </x:c>
    </x:row>
    <x:row r="904">
      <x:c r="A904" t="n">
        <x:v>901</x:v>
      </x:c>
      <x:c r="B904" t="str">
        <x:v>PTN Akademik</x:v>
      </x:c>
      <x:c r="C904" t="str">
        <x:v>UNIVERSITAS SULTAN AGENG TIRTAYASA</x:v>
      </x:c>
      <x:c r="D904" t="str">
        <x:v>PENDIDIKAN KIMIA</x:v>
      </x:c>
      <x:c r="E904" t="str">
        <x:v>Sarjana</x:v>
      </x:c>
      <x:c r="F904" s="18" t="n">
        <x:v>99</x:v>
      </x:c>
      <x:c r="G904" s="18" t="n">
        <x:v>126</x:v>
      </x:c>
      <x:c r="H904" s="19" t="n">
        <x:v>1.2727272727272727</x:v>
      </x:c>
      <x:c r="I904" s="18" t="n">
        <x:f>ROUND(MIN(Model_Config_v3!$B$6,MAX(Q904,R904,S904*Model_Config_v3!$B$4+T904*Model_Config_v3!$B$5)),0)</x:f>
        <x:v>610</x:v>
      </x:c>
      <x:c r="J904" s="18" t="n">
        <x:f>MIN(Model_Config_v3!$B$6,I904+Model_Config_v3!$B$7)</x:f>
        <x:v>630</x:v>
      </x:c>
      <x:c r="K904" s="20" t="n">
        <x:v>41.6</x:v>
      </x:c>
      <x:c r="L904" t="str">
        <x:v>RELATIF LONGGAR</x:v>
      </x:c>
      <x:c r="M904" t="str">
        <x:v>SEDANG+</x:v>
      </x:c>
      <x:c r="N904" t="str">
        <x:v>ELITE-3</x:v>
      </x:c>
      <x:c r="O904" t="str">
        <x:v>SAINTEK</x:v>
      </x:c>
      <x:c r="P904" t="str">
        <x:v>PENDIDIKAN</x:v>
      </x:c>
      <x:c r="Q904" s="18" t="n">
        <x:v>610</x:v>
      </x:c>
      <x:c r="R904" s="18" t="n">
        <x:v>0</x:v>
      </x:c>
      <x:c r="S904" s="18" t="n">
        <x:v>531.5208885572014</x:v>
      </x:c>
      <x:c r="T904" s="18" t="n">
        <x:v>643</x:v>
      </x:c>
      <x:c r="U904" s="18" t="n">
        <x:v>610</x:v>
      </x:c>
      <x:c r="V904" s="20" t="n">
        <x:v>12</x:v>
      </x:c>
      <x:c r="W904" s="20" t="n">
        <x:v>5</x:v>
      </x:c>
      <x:c r="X904" s="20" t="n">
        <x:v>3</x:v>
      </x:c>
      <x:c r="Y904" t="str">
        <x:v>Basis arsip 2025/2024</x:v>
      </x:c>
      <x:c r="Z904" t="str">
        <x:v>https://snpmb.id/utbk-snbt/daya-tampung-snbt</x:v>
      </x:c>
      <x:c r="AA904" t="str">
        <x:v>Tidak Ada</x:v>
      </x:c>
      <x:c r="AB904" t="str">
        <x:v>Campus=80; Ratio=6.2; Prodi=45; RelDemand=13.2; Capacity=17.5</x:v>
      </x:c>
    </x:row>
    <x:row r="905">
      <x:c r="A905" t="n">
        <x:v>902</x:v>
      </x:c>
      <x:c r="B905" t="str">
        <x:v>PTN Akademik</x:v>
      </x:c>
      <x:c r="C905" t="str">
        <x:v>UNIVERSITAS SULTAN AGENG TIRTAYASA</x:v>
      </x:c>
      <x:c r="D905" t="str">
        <x:v>PENDIDIKAN IPA</x:v>
      </x:c>
      <x:c r="E905" t="str">
        <x:v>Sarjana</x:v>
      </x:c>
      <x:c r="F905" s="18" t="n">
        <x:v>77</x:v>
      </x:c>
      <x:c r="G905" s="18" t="n">
        <x:v>121</x:v>
      </x:c>
      <x:c r="H905" s="19" t="n">
        <x:v>1.5714285714285714</x:v>
      </x:c>
      <x:c r="I905" s="18" t="n">
        <x:f>ROUND(MIN(Model_Config_v3!$B$6,MAX(Q905,R905,S905*Model_Config_v3!$B$4+T905*Model_Config_v3!$B$5)),0)</x:f>
        <x:v>617</x:v>
      </x:c>
      <x:c r="J905" s="18" t="n">
        <x:f>MIN(Model_Config_v3!$B$6,I905+Model_Config_v3!$B$7)</x:f>
        <x:v>637</x:v>
      </x:c>
      <x:c r="K905" s="20" t="n">
        <x:v>45.1</x:v>
      </x:c>
      <x:c r="L905" t="str">
        <x:v>MENENGAH</x:v>
      </x:c>
      <x:c r="M905" t="str">
        <x:v>SEDANG+</x:v>
      </x:c>
      <x:c r="N905" t="str">
        <x:v>ELITE-3</x:v>
      </x:c>
      <x:c r="O905" t="str">
        <x:v>CAMPURAN</x:v>
      </x:c>
      <x:c r="P905" t="str">
        <x:v>PENDIDIKAN</x:v>
      </x:c>
      <x:c r="Q905" s="18" t="n">
        <x:v>610</x:v>
      </x:c>
      <x:c r="R905" s="18" t="n">
        <x:v>0</x:v>
      </x:c>
      <x:c r="S905" s="18" t="n">
        <x:v>541.5924109658365</x:v>
      </x:c>
      <x:c r="T905" s="18" t="n">
        <x:v>650</x:v>
      </x:c>
      <x:c r="U905" s="18" t="n">
        <x:v>610</x:v>
      </x:c>
      <x:c r="V905" s="20" t="n">
        <x:v>8.8</x:v>
      </x:c>
      <x:c r="W905" s="20" t="n">
        <x:v>9.9</x:v>
      </x:c>
      <x:c r="X905" s="20" t="n">
        <x:v>3.3</x:v>
      </x:c>
      <x:c r="Y905" t="str">
        <x:v>Basis arsip 2025/2024</x:v>
      </x:c>
      <x:c r="Z905" t="str">
        <x:v>https://snpmb.id/utbk-snbt/daya-tampung-snbt</x:v>
      </x:c>
      <x:c r="AA905" t="str">
        <x:v>Tidak Ada</x:v>
      </x:c>
      <x:c r="AB905" t="str">
        <x:v>Campus=80; Ratio=11.6; Prodi=45; RelDemand=16.3; Capacity=35.8</x:v>
      </x:c>
    </x:row>
    <x:row r="906">
      <x:c r="A906" t="n">
        <x:v>903</x:v>
      </x:c>
      <x:c r="B906" t="str">
        <x:v>PTN Akademik</x:v>
      </x:c>
      <x:c r="C906" t="str">
        <x:v>UNIVERSITAS SULTAN AGENG TIRTAYASA</x:v>
      </x:c>
      <x:c r="D906" t="str">
        <x:v>TEKNOLOGI PANGAN</x:v>
      </x:c>
      <x:c r="E906" t="str">
        <x:v>Sarjana</x:v>
      </x:c>
      <x:c r="F906" s="18" t="n">
        <x:v>105</x:v>
      </x:c>
      <x:c r="G906" s="18" t="n">
        <x:v>496</x:v>
      </x:c>
      <x:c r="H906" s="19" t="n">
        <x:v>4.723809523809524</x:v>
      </x:c>
      <x:c r="I906" s="18" t="n">
        <x:f>ROUND(MIN(Model_Config_v3!$B$6,MAX(Q906,R906,S906*Model_Config_v3!$B$4+T906*Model_Config_v3!$B$5)),0)</x:f>
        <x:v>643</x:v>
      </x:c>
      <x:c r="J906" s="18" t="n">
        <x:f>MIN(Model_Config_v3!$B$6,I906+Model_Config_v3!$B$7)</x:f>
        <x:v>663</x:v>
      </x:c>
      <x:c r="K906" s="20" t="n">
        <x:v>52.1</x:v>
      </x:c>
      <x:c r="L906" t="str">
        <x:v>MENENGAH</x:v>
      </x:c>
      <x:c r="M906" t="str">
        <x:v>SEDANG+</x:v>
      </x:c>
      <x:c r="N906" t="str">
        <x:v>ELITE-3</x:v>
      </x:c>
      <x:c r="O906" t="str">
        <x:v>SAINTEK</x:v>
      </x:c>
      <x:c r="P906" t="str">
        <x:v>UMUM</x:v>
      </x:c>
      <x:c r="Q906" s="18" t="n">
        <x:v>610</x:v>
      </x:c>
      <x:c r="R906" s="18" t="n">
        <x:v>0</x:v>
      </x:c>
      <x:c r="S906" s="18" t="n">
        <x:v>594.1721615162285</x:v>
      </x:c>
      <x:c r="T906" s="18" t="n">
        <x:v>664</x:v>
      </x:c>
      <x:c r="U906" s="18" t="n">
        <x:v>610</x:v>
      </x:c>
      <x:c r="V906" s="20" t="n">
        <x:v>12</x:v>
      </x:c>
      <x:c r="W906" s="20" t="n">
        <x:v>5</x:v>
      </x:c>
      <x:c r="X906" s="20" t="n">
        <x:v>3</x:v>
      </x:c>
      <x:c r="Y906" t="str">
        <x:v>Basis arsip 2025/2024</x:v>
      </x:c>
      <x:c r="Z906" t="str">
        <x:v>https://snpmb.id/utbk-snbt/daya-tampung-snbt</x:v>
      </x:c>
      <x:c r="AA906" t="str">
        <x:v>Tidak Ada</x:v>
      </x:c>
      <x:c r="AB906" t="str">
        <x:v>Campus=80; Ratio=39.7; Prodi=40; RelDemand=49.0; Capacity=12.5</x:v>
      </x:c>
    </x:row>
    <x:row r="907">
      <x:c r="A907" t="n">
        <x:v>904</x:v>
      </x:c>
      <x:c r="B907" t="str">
        <x:v>PTN Akademik</x:v>
      </x:c>
      <x:c r="C907" t="str">
        <x:v>UNIVERSITAS SULTAN AGENG TIRTAYASA</x:v>
      </x:c>
      <x:c r="D907" t="str">
        <x:v>ILMU KEOLAHRAGAAN</x:v>
      </x:c>
      <x:c r="E907" t="str">
        <x:v>Sarjana</x:v>
      </x:c>
      <x:c r="F907" s="18" t="n">
        <x:v>44</x:v>
      </x:c>
      <x:c r="G907" s="18" t="n">
        <x:v>70</x:v>
      </x:c>
      <x:c r="H907" s="19" t="n">
        <x:v>1.5909090909090908</x:v>
      </x:c>
      <x:c r="I907" s="18" t="n">
        <x:f>ROUND(MIN(Model_Config_v3!$B$6,MAX(Q907,R907,S907*Model_Config_v3!$B$4+T907*Model_Config_v3!$B$5)),0)</x:f>
        <x:v>622</x:v>
      </x:c>
      <x:c r="J907" s="18" t="n">
        <x:f>MIN(Model_Config_v3!$B$6,I907+Model_Config_v3!$B$7)</x:f>
        <x:v>642</x:v>
      </x:c>
      <x:c r="K907" s="20" t="n">
        <x:v>48</x:v>
      </x:c>
      <x:c r="L907" t="str">
        <x:v>MENENGAH</x:v>
      </x:c>
      <x:c r="M907" t="str">
        <x:v>PORTOFOLIO</x:v>
      </x:c>
      <x:c r="N907" t="str">
        <x:v>ELITE-3</x:v>
      </x:c>
      <x:c r="O907" t="str">
        <x:v>SENI/OLAHRAGA</x:v>
      </x:c>
      <x:c r="P907" t="str">
        <x:v>SENI/OLAHRAGA</x:v>
      </x:c>
      <x:c r="Q907" s="18" t="n">
        <x:v>610</x:v>
      </x:c>
      <x:c r="R907" s="18" t="n">
        <x:v>0</x:v>
      </x:c>
      <x:c r="S907" s="18" t="n">
        <x:v>542.1809899880876</x:v>
      </x:c>
      <x:c r="T907" s="18" t="n">
        <x:v>656</x:v>
      </x:c>
      <x:c r="U907" s="18" t="n">
        <x:v>610</x:v>
      </x:c>
      <x:c r="V907" s="20" t="n">
        <x:v>4.4</x:v>
      </x:c>
      <x:c r="W907" s="20" t="n">
        <x:v>9.9</x:v>
      </x:c>
      <x:c r="X907" s="20" t="n">
        <x:v>7.7</x:v>
      </x:c>
      <x:c r="Y907" t="str">
        <x:v>Basis arsip 2025/2024</x:v>
      </x:c>
      <x:c r="Z907" t="str">
        <x:v>https://snpmb.id/utbk-snbt/daya-tampung-snbt</x:v>
      </x:c>
      <x:c r="AA907" t="str">
        <x:v>Olahraga</x:v>
      </x:c>
      <x:c r="AB907" t="str">
        <x:v>Campus=80; Ratio=11.9; Prodi=45; RelDemand=16.5; Capacity=63.3</x:v>
      </x:c>
    </x:row>
    <x:row r="908">
      <x:c r="A908" t="n">
        <x:v>905</x:v>
      </x:c>
      <x:c r="B908" t="str">
        <x:v>PTN Akademik</x:v>
      </x:c>
      <x:c r="C908" t="str">
        <x:v>UNIVERSITAS SULTAN AGENG TIRTAYASA</x:v>
      </x:c>
      <x:c r="D908" t="str">
        <x:v>GIZI</x:v>
      </x:c>
      <x:c r="E908" t="str">
        <x:v>Sarjana</x:v>
      </x:c>
      <x:c r="F908" s="18" t="n">
        <x:v>39</x:v>
      </x:c>
      <x:c r="G908" s="18" t="n">
        <x:v>459</x:v>
      </x:c>
      <x:c r="H908" s="19" t="n">
        <x:v>11.76923076923077</x:v>
      </x:c>
      <x:c r="I908" s="18" t="n">
        <x:f>ROUND(MIN(Model_Config_v3!$B$6,MAX(Q908,R908,S908*Model_Config_v3!$B$4+T908*Model_Config_v3!$B$5)),0)</x:f>
        <x:v>683</x:v>
      </x:c>
      <x:c r="J908" s="18" t="n">
        <x:f>MIN(Model_Config_v3!$B$6,I908+Model_Config_v3!$B$7)</x:f>
        <x:v>703</x:v>
      </x:c>
      <x:c r="K908" s="20" t="n">
        <x:v>71.5</x:v>
      </x:c>
      <x:c r="L908" t="str">
        <x:v>SANGAT KETAT</x:v>
      </x:c>
      <x:c r="M908" t="str">
        <x:v>SEDANG+</x:v>
      </x:c>
      <x:c r="N908" t="str">
        <x:v>ELITE-3</x:v>
      </x:c>
      <x:c r="O908" t="str">
        <x:v>SAINTEK</x:v>
      </x:c>
      <x:c r="P908" t="str">
        <x:v>KESEHAT/GIZI/KEPERAWATAN</x:v>
      </x:c>
      <x:c r="Q908" s="18" t="n">
        <x:v>610</x:v>
      </x:c>
      <x:c r="R908" s="18" t="n">
        <x:v>0</x:v>
      </x:c>
      <x:c r="S908" s="18" t="n">
        <x:v>637.7822886361838</x:v>
      </x:c>
      <x:c r="T908" s="18" t="n">
        <x:v>703</x:v>
      </x:c>
      <x:c r="U908" s="18" t="n">
        <x:v>637.7822886361838</x:v>
      </x:c>
      <x:c r="V908" s="20" t="n">
        <x:v>12</x:v>
      </x:c>
      <x:c r="W908" s="20" t="n">
        <x:v>5</x:v>
      </x:c>
      <x:c r="X908" s="20" t="n">
        <x:v>3</x:v>
      </x:c>
      <x:c r="Y908" t="str">
        <x:v>Basis arsip 2025/2024</x:v>
      </x:c>
      <x:c r="Z908" t="str">
        <x:v>https://snpmb.id/utbk-snbt/daya-tampung-snbt</x:v>
      </x:c>
      <x:c r="AA908" t="str">
        <x:v>Tidak Ada</x:v>
      </x:c>
      <x:c r="AB908" t="str">
        <x:v>Campus=80; Ratio=63.0; Prodi=55; RelDemand=100.0; Capacity=67.5</x:v>
      </x:c>
    </x:row>
    <x:row r="909">
      <x:c r="A909" t="n">
        <x:v>906</x:v>
      </x:c>
      <x:c r="B909" t="str">
        <x:v>PTN Akademik</x:v>
      </x:c>
      <x:c r="C909" t="str">
        <x:v>UNIVERSITAS SULTAN AGENG TIRTAYASA</x:v>
      </x:c>
      <x:c r="D909" t="str">
        <x:v>KEDOKTERAN</x:v>
      </x:c>
      <x:c r="E909" t="str">
        <x:v>Sarjana</x:v>
      </x:c>
      <x:c r="F909" s="18" t="n">
        <x:v>28</x:v>
      </x:c>
      <x:c r="G909" s="18" t="n">
        <x:v>757</x:v>
      </x:c>
      <x:c r="H909" s="19" t="n">
        <x:v>27.035714285714285</x:v>
      </x:c>
      <x:c r="I909" s="18" t="n">
        <x:f>ROUND(MIN(Model_Config_v3!$B$6,MAX(Q909,R909,S909*Model_Config_v3!$B$4+T909*Model_Config_v3!$B$5)),0)</x:f>
        <x:v>716</x:v>
      </x:c>
      <x:c r="J909" s="18" t="n">
        <x:f>MIN(Model_Config_v3!$B$6,I909+Model_Config_v3!$B$7)</x:f>
        <x:v>736</x:v>
      </x:c>
      <x:c r="K909" s="20" t="n">
        <x:v>86.7</x:v>
      </x:c>
      <x:c r="L909" t="str">
        <x:v>ULTRA ELITE</x:v>
      </x:c>
      <x:c r="M909" t="str">
        <x:v>SEDANG+</x:v>
      </x:c>
      <x:c r="N909" t="str">
        <x:v>ELITE-3</x:v>
      </x:c>
      <x:c r="O909" t="str">
        <x:v>SAINTEK</x:v>
      </x:c>
      <x:c r="P909" t="str">
        <x:v>KEDOKTERAN</x:v>
      </x:c>
      <x:c r="Q909" s="18" t="n">
        <x:v>610</x:v>
      </x:c>
      <x:c r="R909" s="18" t="n">
        <x:v>700</x:v>
      </x:c>
      <x:c r="S909" s="18" t="n">
        <x:v>677.5131632973639</x:v>
      </x:c>
      <x:c r="T909" s="18" t="n">
        <x:v>733</x:v>
      </x:c>
      <x:c r="U909" s="18" t="n">
        <x:v>717.5131632973639</x:v>
      </x:c>
      <x:c r="V909" s="20" t="n">
        <x:v>12</x:v>
      </x:c>
      <x:c r="W909" s="20" t="n">
        <x:v>5</x:v>
      </x:c>
      <x:c r="X909" s="20" t="n">
        <x:v>3</x:v>
      </x:c>
      <x:c r="Y909" t="str">
        <x:v>Basis arsip 2025/2024</x:v>
      </x:c>
      <x:c r="Z909" t="str">
        <x:v>https://snpmb.id/utbk-snbt/daya-tampung-snbt</x:v>
      </x:c>
      <x:c r="AA909" t="str">
        <x:v>Tidak Ada</x:v>
      </x:c>
      <x:c r="AB909" t="str">
        <x:v>Campus=80; Ratio=84.3; Prodi=100; RelDemand=100.0; Capacity=76.7</x:v>
      </x:c>
    </x:row>
    <x:row r="910">
      <x:c r="A910" t="n">
        <x:v>907</x:v>
      </x:c>
      <x:c r="B910" t="str">
        <x:v>PTN Akademik</x:v>
      </x:c>
      <x:c r="C910" t="str">
        <x:v>UNIVERSITAS SULTAN AGENG TIRTAYASA</x:v>
      </x:c>
      <x:c r="D910" t="str">
        <x:v>INFORMATIKA</x:v>
      </x:c>
      <x:c r="E910" t="str">
        <x:v>Sarjana</x:v>
      </x:c>
      <x:c r="F910" s="18" t="n">
        <x:v>110</x:v>
      </x:c>
      <x:c r="G910" s="18" t="n">
        <x:v>722</x:v>
      </x:c>
      <x:c r="H910" s="19" t="n">
        <x:v>6.5636363636363635</x:v>
      </x:c>
      <x:c r="I910" s="18" t="n">
        <x:f>ROUND(MIN(Model_Config_v3!$B$6,MAX(Q910,R910,S910*Model_Config_v3!$B$4+T910*Model_Config_v3!$B$5)),0)</x:f>
        <x:v>675</x:v>
      </x:c>
      <x:c r="J910" s="18" t="n">
        <x:f>MIN(Model_Config_v3!$B$6,I910+Model_Config_v3!$B$7)</x:f>
        <x:v>695</x:v>
      </x:c>
      <x:c r="K910" s="20" t="n">
        <x:v>64.7</x:v>
      </x:c>
      <x:c r="L910" t="str">
        <x:v>KETAT</x:v>
      </x:c>
      <x:c r="M910" t="str">
        <x:v>SEDANG+</x:v>
      </x:c>
      <x:c r="N910" t="str">
        <x:v>ELITE-3</x:v>
      </x:c>
      <x:c r="O910" t="str">
        <x:v>SAINTEK</x:v>
      </x:c>
      <x:c r="P910" t="str">
        <x:v>KOMPUTER/INFORMATIKA</x:v>
      </x:c>
      <x:c r="Q910" s="18" t="n">
        <x:v>610</x:v>
      </x:c>
      <x:c r="R910" s="18" t="n">
        <x:v>675</x:v>
      </x:c>
      <x:c r="S910" s="18" t="n">
        <x:v>609.8858963652556</x:v>
      </x:c>
      <x:c r="T910" s="18" t="n">
        <x:v>689</x:v>
      </x:c>
      <x:c r="U910" s="18" t="n">
        <x:v>675</x:v>
      </x:c>
      <x:c r="V910" s="20" t="n">
        <x:v>12</x:v>
      </x:c>
      <x:c r="W910" s="20" t="n">
        <x:v>5</x:v>
      </x:c>
      <x:c r="X910" s="20" t="n">
        <x:v>3</x:v>
      </x:c>
      <x:c r="Y910" t="str">
        <x:v>Basis arsip 2025/2024</x:v>
      </x:c>
      <x:c r="Z910" t="str">
        <x:v>https://snpmb.id/utbk-snbt/daya-tampung-snbt</x:v>
      </x:c>
      <x:c r="AA910" t="str">
        <x:v>Tidak Ada</x:v>
      </x:c>
      <x:c r="AB910" t="str">
        <x:v>Campus=80; Ratio=48.1; Prodi=85; RelDemand=68.1; Capacity=8.3</x:v>
      </x:c>
    </x:row>
    <x:row r="911">
      <x:c r="A911" t="n">
        <x:v>908</x:v>
      </x:c>
      <x:c r="B911" t="str">
        <x:v>PTN Akademik</x:v>
      </x:c>
      <x:c r="C911" t="str">
        <x:v>UNIVERSITAS SULTAN AGENG TIRTAYASA</x:v>
      </x:c>
      <x:c r="D911" t="str">
        <x:v>KEPERAWATAN</x:v>
      </x:c>
      <x:c r="E911" t="str">
        <x:v>Sarjana</x:v>
      </x:c>
      <x:c r="F911" s="18" t="n">
        <x:v>44</x:v>
      </x:c>
      <x:c r="G911" s="18" t="n">
        <x:v>770</x:v>
      </x:c>
      <x:c r="H911" s="19" t="n">
        <x:v>17.5</x:v>
      </x:c>
      <x:c r="I911" s="18" t="n">
        <x:f>ROUND(MIN(Model_Config_v3!$B$6,MAX(Q911,R911,S911*Model_Config_v3!$B$4+T911*Model_Config_v3!$B$5)),0)</x:f>
        <x:v>692</x:v>
      </x:c>
      <x:c r="J911" s="18" t="n">
        <x:f>MIN(Model_Config_v3!$B$6,I911+Model_Config_v3!$B$7)</x:f>
        <x:v>712</x:v>
      </x:c>
      <x:c r="K911" s="20" t="n">
        <x:v>73.6</x:v>
      </x:c>
      <x:c r="L911" t="str">
        <x:v>SANGAT KETAT</x:v>
      </x:c>
      <x:c r="M911" t="str">
        <x:v>SEDANG+</x:v>
      </x:c>
      <x:c r="N911" t="str">
        <x:v>ELITE-3</x:v>
      </x:c>
      <x:c r="O911" t="str">
        <x:v>SAINTEK</x:v>
      </x:c>
      <x:c r="P911" t="str">
        <x:v>KESEHAT/GIZI/KEPERAWATAN</x:v>
      </x:c>
      <x:c r="Q911" s="18" t="n">
        <x:v>610</x:v>
      </x:c>
      <x:c r="R911" s="18" t="n">
        <x:v>0</x:v>
      </x:c>
      <x:c r="S911" s="18" t="n">
        <x:v>656.7341853554924</x:v>
      </x:c>
      <x:c r="T911" s="18" t="n">
        <x:v>707</x:v>
      </x:c>
      <x:c r="U911" s="18" t="n">
        <x:v>656.7341853554924</x:v>
      </x:c>
      <x:c r="V911" s="20" t="n">
        <x:v>12</x:v>
      </x:c>
      <x:c r="W911" s="20" t="n">
        <x:v>5</x:v>
      </x:c>
      <x:c r="X911" s="20" t="n">
        <x:v>3</x:v>
      </x:c>
      <x:c r="Y911" t="str">
        <x:v>Basis arsip 2025/2024</x:v>
      </x:c>
      <x:c r="Z911" t="str">
        <x:v>https://snpmb.id/utbk-snbt/daya-tampung-snbt</x:v>
      </x:c>
      <x:c r="AA911" t="str">
        <x:v>Tidak Ada</x:v>
      </x:c>
      <x:c r="AB911" t="str">
        <x:v>Campus=80; Ratio=73.2; Prodi=55; RelDemand=100.0; Capacity=63.3</x:v>
      </x:c>
    </x:row>
    <x:row r="912">
      <x:c r="A912" t="n">
        <x:v>909</x:v>
      </x:c>
      <x:c r="B912" t="str">
        <x:v>PTN Akademik</x:v>
      </x:c>
      <x:c r="C912" t="str">
        <x:v>UNIVERSITAS SULTAN AGENG TIRTAYASA</x:v>
      </x:c>
      <x:c r="D912" t="str">
        <x:v>ILMU KELAUTAN</x:v>
      </x:c>
      <x:c r="E912" t="str">
        <x:v>Sarjana</x:v>
      </x:c>
      <x:c r="F912" s="18" t="n">
        <x:v>88</x:v>
      </x:c>
      <x:c r="G912" s="18" t="n">
        <x:v>179</x:v>
      </x:c>
      <x:c r="H912" s="19" t="n">
        <x:v>2.034090909090909</x:v>
      </x:c>
      <x:c r="I912" s="18" t="n">
        <x:f>ROUND(MIN(Model_Config_v3!$B$6,MAX(Q912,R912,S912*Model_Config_v3!$B$4+T912*Model_Config_v3!$B$5)),0)</x:f>
        <x:v>622</x:v>
      </x:c>
      <x:c r="J912" s="18" t="n">
        <x:f>MIN(Model_Config_v3!$B$6,I912+Model_Config_v3!$B$7)</x:f>
        <x:v>642</x:v>
      </x:c>
      <x:c r="K912" s="20" t="n">
        <x:v>45.3</x:v>
      </x:c>
      <x:c r="L912" t="str">
        <x:v>MENENGAH</x:v>
      </x:c>
      <x:c r="M912" t="str">
        <x:v>SEDANG+</x:v>
      </x:c>
      <x:c r="N912" t="str">
        <x:v>ELITE-3</x:v>
      </x:c>
      <x:c r="O912" t="str">
        <x:v>SAINTEK</x:v>
      </x:c>
      <x:c r="P912" t="str">
        <x:v>UMUM</x:v>
      </x:c>
      <x:c r="Q912" s="18" t="n">
        <x:v>610</x:v>
      </x:c>
      <x:c r="R912" s="18" t="n">
        <x:v>0</x:v>
      </x:c>
      <x:c r="S912" s="18" t="n">
        <x:v>553.9207394712697</x:v>
      </x:c>
      <x:c r="T912" s="18" t="n">
        <x:v>651</x:v>
      </x:c>
      <x:c r="U912" s="18" t="n">
        <x:v>610</x:v>
      </x:c>
      <x:c r="V912" s="20" t="n">
        <x:v>12</x:v>
      </x:c>
      <x:c r="W912" s="20" t="n">
        <x:v>5</x:v>
      </x:c>
      <x:c r="X912" s="20" t="n">
        <x:v>3</x:v>
      </x:c>
      <x:c r="Y912" t="str">
        <x:v>Basis arsip 2025/2024</x:v>
      </x:c>
      <x:c r="Z912" t="str">
        <x:v>https://snpmb.id/utbk-snbt/daya-tampung-snbt</x:v>
      </x:c>
      <x:c r="AA912" t="str">
        <x:v>Tidak Ada</x:v>
      </x:c>
      <x:c r="AB912" t="str">
        <x:v>Campus=80; Ratio=18.2; Prodi=40; RelDemand=21.1; Capacity=26.7</x:v>
      </x:c>
    </x:row>
    <x:row r="913">
      <x:c r="A913" t="n">
        <x:v>910</x:v>
      </x:c>
      <x:c r="B913" t="str">
        <x:v>PTN Akademik</x:v>
      </x:c>
      <x:c r="C913" t="str">
        <x:v>UNIVERSITAS SULTAN AGENG TIRTAYASA</x:v>
      </x:c>
      <x:c r="D913" t="str">
        <x:v>HUKUM</x:v>
      </x:c>
      <x:c r="E913" t="str">
        <x:v>Sarjana</x:v>
      </x:c>
      <x:c r="F913" s="18" t="n">
        <x:v>372</x:v>
      </x:c>
      <x:c r="G913" s="18" t="n">
        <x:v>1131</x:v>
      </x:c>
      <x:c r="H913" s="19" t="n">
        <x:v>3.0403225806451615</x:v>
      </x:c>
      <x:c r="I913" s="18" t="n">
        <x:f>ROUND(MIN(Model_Config_v3!$B$6,MAX(Q913,R913,S913*Model_Config_v3!$B$4+T913*Model_Config_v3!$B$5)),0)</x:f>
        <x:v>636</x:v>
      </x:c>
      <x:c r="J913" s="18" t="n">
        <x:f>MIN(Model_Config_v3!$B$6,I913+Model_Config_v3!$B$7)</x:f>
        <x:v>656</x:v>
      </x:c>
      <x:c r="K913" s="20" t="n">
        <x:v>51.3</x:v>
      </x:c>
      <x:c r="L913" t="str">
        <x:v>MENENGAH</x:v>
      </x:c>
      <x:c r="M913" t="str">
        <x:v>SEDANG+</x:v>
      </x:c>
      <x:c r="N913" t="str">
        <x:v>ELITE-3</x:v>
      </x:c>
      <x:c r="O913" t="str">
        <x:v>SOSHUM</x:v>
      </x:c>
      <x:c r="P913" t="str">
        <x:v>HUKUM</x:v>
      </x:c>
      <x:c r="Q913" s="18" t="n">
        <x:v>610</x:v>
      </x:c>
      <x:c r="R913" s="18" t="n">
        <x:v>0</x:v>
      </x:c>
      <x:c r="S913" s="18" t="n">
        <x:v>573.1211631547914</x:v>
      </x:c>
      <x:c r="T913" s="18" t="n">
        <x:v>663</x:v>
      </x:c>
      <x:c r="U913" s="18" t="n">
        <x:v>610</x:v>
      </x:c>
      <x:c r="V913" s="20" t="n">
        <x:v>4.4</x:v>
      </x:c>
      <x:c r="W913" s="20" t="n">
        <x:v>14.3</x:v>
      </x:c>
      <x:c r="X913" s="20" t="n">
        <x:v>3.3</x:v>
      </x:c>
      <x:c r="Y913" t="str">
        <x:v>Basis arsip 2025/2024</x:v>
      </x:c>
      <x:c r="Z913" t="str">
        <x:v>https://snpmb.id/utbk-snbt/daya-tampung-snbt</x:v>
      </x:c>
      <x:c r="AA913" t="str">
        <x:v>Tidak Ada</x:v>
      </x:c>
      <x:c r="AB913" t="str">
        <x:v>Campus=80; Ratio=28.4; Prodi=65; RelDemand=31.6; Capacity=0.0</x:v>
      </x:c>
    </x:row>
    <x:row r="914">
      <x:c r="A914" t="n">
        <x:v>911</x:v>
      </x:c>
      <x:c r="B914" t="str">
        <x:v>PTN Akademik</x:v>
      </x:c>
      <x:c r="C914" t="str">
        <x:v>UNIVERSITAS SULTAN AGENG TIRTAYASA</x:v>
      </x:c>
      <x:c r="D914" t="str">
        <x:v>MANAJEMEN</x:v>
      </x:c>
      <x:c r="E914" t="str">
        <x:v>Sarjana</x:v>
      </x:c>
      <x:c r="F914" s="18" t="n">
        <x:v>174</x:v>
      </x:c>
      <x:c r="G914" s="18" t="n">
        <x:v>1153</x:v>
      </x:c>
      <x:c r="H914" s="19" t="n">
        <x:v>6.626436781609195</x:v>
      </x:c>
      <x:c r="I914" s="18" t="n">
        <x:f>ROUND(MIN(Model_Config_v3!$B$6,MAX(Q914,R914,S914*Model_Config_v3!$B$4+T914*Model_Config_v3!$B$5)),0)</x:f>
        <x:v>659</x:v>
      </x:c>
      <x:c r="J914" s="18" t="n">
        <x:f>MIN(Model_Config_v3!$B$6,I914+Model_Config_v3!$B$7)</x:f>
        <x:v>679</x:v>
      </x:c>
      <x:c r="K914" s="20" t="n">
        <x:v>60</x:v>
      </x:c>
      <x:c r="L914" t="str">
        <x:v>KETAT</x:v>
      </x:c>
      <x:c r="M914" t="str">
        <x:v>SEDANG+</x:v>
      </x:c>
      <x:c r="N914" t="str">
        <x:v>ELITE-3</x:v>
      </x:c>
      <x:c r="O914" t="str">
        <x:v>SOSHUM</x:v>
      </x:c>
      <x:c r="P914" t="str">
        <x:v>BISNIS/EKONOMI/AKUNTANSI</x:v>
      </x:c>
      <x:c r="Q914" s="18" t="n">
        <x:v>610</x:v>
      </x:c>
      <x:c r="R914" s="18" t="n">
        <x:v>0</x:v>
      </x:c>
      <x:c r="S914" s="18" t="n">
        <x:v>610.3408064913309</x:v>
      </x:c>
      <x:c r="T914" s="18" t="n">
        <x:v>680</x:v>
      </x:c>
      <x:c r="U914" s="18" t="n">
        <x:v>625.3408064913309</x:v>
      </x:c>
      <x:c r="V914" s="20" t="n">
        <x:v>4.4</x:v>
      </x:c>
      <x:c r="W914" s="20" t="n">
        <x:v>14.3</x:v>
      </x:c>
      <x:c r="X914" s="20" t="n">
        <x:v>3.3</x:v>
      </x:c>
      <x:c r="Y914" t="str">
        <x:v>Basis arsip 2025/2024</x:v>
      </x:c>
      <x:c r="Z914" t="str">
        <x:v>https://snpmb.id/utbk-snbt/daya-tampung-snbt</x:v>
      </x:c>
      <x:c r="AA914" t="str">
        <x:v>Tidak Ada</x:v>
      </x:c>
      <x:c r="AB914" t="str">
        <x:v>Campus=80; Ratio=48.3; Prodi=65; RelDemand=68.8; Capacity=0.0</x:v>
      </x:c>
    </x:row>
    <x:row r="915">
      <x:c r="A915" t="n">
        <x:v>912</x:v>
      </x:c>
      <x:c r="B915" t="str">
        <x:v>PTN Akademik</x:v>
      </x:c>
      <x:c r="C915" t="str">
        <x:v>UNIVERSITAS SULTAN AGENG TIRTAYASA</x:v>
      </x:c>
      <x:c r="D915" t="str">
        <x:v>AKUNTANSI</x:v>
      </x:c>
      <x:c r="E915" t="str">
        <x:v>Sarjana</x:v>
      </x:c>
      <x:c r="F915" s="18" t="n">
        <x:v>174</x:v>
      </x:c>
      <x:c r="G915" s="18" t="n">
        <x:v>755</x:v>
      </x:c>
      <x:c r="H915" s="19" t="n">
        <x:v>4.339080459770115</x:v>
      </x:c>
      <x:c r="I915" s="18" t="n">
        <x:f>ROUND(MIN(Model_Config_v3!$B$6,MAX(Q915,R915,S915*Model_Config_v3!$B$4+T915*Model_Config_v3!$B$5)),0)</x:f>
        <x:v>646</x:v>
      </x:c>
      <x:c r="J915" s="18" t="n">
        <x:f>MIN(Model_Config_v3!$B$6,I915+Model_Config_v3!$B$7)</x:f>
        <x:v>666</x:v>
      </x:c>
      <x:c r="K915" s="20" t="n">
        <x:v>54.9</x:v>
      </x:c>
      <x:c r="L915" t="str">
        <x:v>MENENGAH</x:v>
      </x:c>
      <x:c r="M915" t="str">
        <x:v>SEDANG+</x:v>
      </x:c>
      <x:c r="N915" t="str">
        <x:v>ELITE-3</x:v>
      </x:c>
      <x:c r="O915" t="str">
        <x:v>SOSHUM</x:v>
      </x:c>
      <x:c r="P915" t="str">
        <x:v>BISNIS/EKONOMI/AKUNTANSI</x:v>
      </x:c>
      <x:c r="Q915" s="18" t="n">
        <x:v>610</x:v>
      </x:c>
      <x:c r="R915" s="18" t="n">
        <x:v>0</x:v>
      </x:c>
      <x:c r="S915" s="18" t="n">
        <x:v>590.1137473681247</x:v>
      </x:c>
      <x:c r="T915" s="18" t="n">
        <x:v>670</x:v>
      </x:c>
      <x:c r="U915" s="18" t="n">
        <x:v>610</x:v>
      </x:c>
      <x:c r="V915" s="20" t="n">
        <x:v>4.4</x:v>
      </x:c>
      <x:c r="W915" s="20" t="n">
        <x:v>14.3</x:v>
      </x:c>
      <x:c r="X915" s="20" t="n">
        <x:v>3.3</x:v>
      </x:c>
      <x:c r="Y915" t="str">
        <x:v>Basis arsip 2025/2024</x:v>
      </x:c>
      <x:c r="Z915" t="str">
        <x:v>https://snpmb.id/utbk-snbt/daya-tampung-snbt</x:v>
      </x:c>
      <x:c r="AA915" t="str">
        <x:v>Tidak Ada</x:v>
      </x:c>
      <x:c r="AB915" t="str">
        <x:v>Campus=80; Ratio=37.5; Prodi=65; RelDemand=45.0; Capacity=0.0</x:v>
      </x:c>
    </x:row>
    <x:row r="916">
      <x:c r="A916" t="n">
        <x:v>913</x:v>
      </x:c>
      <x:c r="B916" t="str">
        <x:v>PTN Akademik</x:v>
      </x:c>
      <x:c r="C916" t="str">
        <x:v>UNIVERSITAS SULTAN AGENG TIRTAYASA</x:v>
      </x:c>
      <x:c r="D916" t="str">
        <x:v>EKONOMI PEMBANGUNAN</x:v>
      </x:c>
      <x:c r="E916" t="str">
        <x:v>Sarjana</x:v>
      </x:c>
      <x:c r="F916" s="18" t="n">
        <x:v>138</x:v>
      </x:c>
      <x:c r="G916" s="18" t="n">
        <x:v>284</x:v>
      </x:c>
      <x:c r="H916" s="19" t="n">
        <x:v>2.0579710144927534</x:v>
      </x:c>
      <x:c r="I916" s="18" t="n">
        <x:f>ROUND(MIN(Model_Config_v3!$B$6,MAX(Q916,R916,S916*Model_Config_v3!$B$4+T916*Model_Config_v3!$B$5)),0)</x:f>
        <x:v>625</x:v>
      </x:c>
      <x:c r="J916" s="18" t="n">
        <x:f>MIN(Model_Config_v3!$B$6,I916+Model_Config_v3!$B$7)</x:f>
        <x:v>645</x:v>
      </x:c>
      <x:c r="K916" s="20" t="n">
        <x:v>47.7</x:v>
      </x:c>
      <x:c r="L916" t="str">
        <x:v>MENENGAH</x:v>
      </x:c>
      <x:c r="M916" t="str">
        <x:v>SEDANG+</x:v>
      </x:c>
      <x:c r="N916" t="str">
        <x:v>ELITE-3</x:v>
      </x:c>
      <x:c r="O916" t="str">
        <x:v>SOSHUM</x:v>
      </x:c>
      <x:c r="P916" t="str">
        <x:v>BISNIS/EKONOMI/AKUNTANSI</x:v>
      </x:c>
      <x:c r="Q916" s="18" t="n">
        <x:v>610</x:v>
      </x:c>
      <x:c r="R916" s="18" t="n">
        <x:v>0</x:v>
      </x:c>
      <x:c r="S916" s="18" t="n">
        <x:v>554.4783179010382</x:v>
      </x:c>
      <x:c r="T916" s="18" t="n">
        <x:v>655</x:v>
      </x:c>
      <x:c r="U916" s="18" t="n">
        <x:v>610</x:v>
      </x:c>
      <x:c r="V916" s="20" t="n">
        <x:v>4.4</x:v>
      </x:c>
      <x:c r="W916" s="20" t="n">
        <x:v>14.3</x:v>
      </x:c>
      <x:c r="X916" s="20" t="n">
        <x:v>3.3</x:v>
      </x:c>
      <x:c r="Y916" t="str">
        <x:v>Basis arsip 2025/2024</x:v>
      </x:c>
      <x:c r="Z916" t="str">
        <x:v>https://snpmb.id/utbk-snbt/daya-tampung-snbt</x:v>
      </x:c>
      <x:c r="AA916" t="str">
        <x:v>Tidak Ada</x:v>
      </x:c>
      <x:c r="AB916" t="str">
        <x:v>Campus=80; Ratio=18.4; Prodi=65; RelDemand=21.4; Capacity=0.0</x:v>
      </x:c>
    </x:row>
    <x:row r="917">
      <x:c r="A917" t="n">
        <x:v>914</x:v>
      </x:c>
      <x:c r="B917" t="str">
        <x:v>PTN Akademik</x:v>
      </x:c>
      <x:c r="C917" t="str">
        <x:v>UNIVERSITAS SULTAN AGENG TIRTAYASA</x:v>
      </x:c>
      <x:c r="D917" t="str">
        <x:v>ADMINISTRASI PUBLIK</x:v>
      </x:c>
      <x:c r="E917" t="str">
        <x:v>Sarjana</x:v>
      </x:c>
      <x:c r="F917" s="18" t="n">
        <x:v>154</x:v>
      </x:c>
      <x:c r="G917" s="18" t="n">
        <x:v>795</x:v>
      </x:c>
      <x:c r="H917" s="19" t="n">
        <x:v>5.162337662337662</x:v>
      </x:c>
      <x:c r="I917" s="18" t="n">
        <x:f>ROUND(MIN(Model_Config_v3!$B$6,MAX(Q917,R917,S917*Model_Config_v3!$B$4+T917*Model_Config_v3!$B$5)),0)</x:f>
        <x:v>644</x:v>
      </x:c>
      <x:c r="J917" s="18" t="n">
        <x:f>MIN(Model_Config_v3!$B$6,I917+Model_Config_v3!$B$7)</x:f>
        <x:v>664</x:v>
      </x:c>
      <x:c r="K917" s="20" t="n">
        <x:v>51.8</x:v>
      </x:c>
      <x:c r="L917" t="str">
        <x:v>MENENGAH</x:v>
      </x:c>
      <x:c r="M917" t="str">
        <x:v>SEDANG+</x:v>
      </x:c>
      <x:c r="N917" t="str">
        <x:v>ELITE-3</x:v>
      </x:c>
      <x:c r="O917" t="str">
        <x:v>SOSHUM</x:v>
      </x:c>
      <x:c r="P917" t="str">
        <x:v>UMUM</x:v>
      </x:c>
      <x:c r="Q917" s="18" t="n">
        <x:v>610</x:v>
      </x:c>
      <x:c r="R917" s="18" t="n">
        <x:v>0</x:v>
      </x:c>
      <x:c r="S917" s="18" t="n">
        <x:v>598.4131048602007</x:v>
      </x:c>
      <x:c r="T917" s="18" t="n">
        <x:v>664</x:v>
      </x:c>
      <x:c r="U917" s="18" t="n">
        <x:v>610</x:v>
      </x:c>
      <x:c r="V917" s="20" t="n">
        <x:v>4.4</x:v>
      </x:c>
      <x:c r="W917" s="20" t="n">
        <x:v>14.3</x:v>
      </x:c>
      <x:c r="X917" s="20" t="n">
        <x:v>3.3</x:v>
      </x:c>
      <x:c r="Y917" t="str">
        <x:v>Basis arsip 2025/2024</x:v>
      </x:c>
      <x:c r="Z917" t="str">
        <x:v>https://snpmb.id/utbk-snbt/daya-tampung-snbt</x:v>
      </x:c>
      <x:c r="AA917" t="str">
        <x:v>Tidak Ada</x:v>
      </x:c>
      <x:c r="AB917" t="str">
        <x:v>Campus=80; Ratio=42.0; Prodi=40; RelDemand=53.6; Capacity=0.0</x:v>
      </x:c>
    </x:row>
    <x:row r="918">
      <x:c r="A918" t="n">
        <x:v>915</x:v>
      </x:c>
      <x:c r="B918" t="str">
        <x:v>PTN Akademik</x:v>
      </x:c>
      <x:c r="C918" t="str">
        <x:v>UNIVERSITAS SULTAN AGENG TIRTAYASA</x:v>
      </x:c>
      <x:c r="D918" t="str">
        <x:v>ILMU KOMUNIKASI</x:v>
      </x:c>
      <x:c r="E918" t="str">
        <x:v>Sarjana</x:v>
      </x:c>
      <x:c r="F918" s="18" t="n">
        <x:v>187</x:v>
      </x:c>
      <x:c r="G918" s="18" t="n">
        <x:v>1165</x:v>
      </x:c>
      <x:c r="H918" s="19" t="n">
        <x:v>6.229946524064171</x:v>
      </x:c>
      <x:c r="I918" s="18" t="n">
        <x:f>ROUND(MIN(Model_Config_v3!$B$6,MAX(Q918,R918,S918*Model_Config_v3!$B$4+T918*Model_Config_v3!$B$5)),0)</x:f>
        <x:v>650</x:v>
      </x:c>
      <x:c r="J918" s="18" t="n">
        <x:f>MIN(Model_Config_v3!$B$6,I918+Model_Config_v3!$B$7)</x:f>
        <x:v>670</x:v>
      </x:c>
      <x:c r="K918" s="20" t="n">
        <x:v>54.2</x:v>
      </x:c>
      <x:c r="L918" t="str">
        <x:v>MENENGAH</x:v>
      </x:c>
      <x:c r="M918" t="str">
        <x:v>SEDANG+</x:v>
      </x:c>
      <x:c r="N918" t="str">
        <x:v>ELITE-3</x:v>
      </x:c>
      <x:c r="O918" t="str">
        <x:v>SOSHUM</x:v>
      </x:c>
      <x:c r="P918" t="str">
        <x:v>UMUM</x:v>
      </x:c>
      <x:c r="Q918" s="18" t="n">
        <x:v>610</x:v>
      </x:c>
      <x:c r="R918" s="18" t="n">
        <x:v>0</x:v>
      </x:c>
      <x:c r="S918" s="18" t="n">
        <x:v>607.3932750708093</x:v>
      </x:c>
      <x:c r="T918" s="18" t="n">
        <x:v>668</x:v>
      </x:c>
      <x:c r="U918" s="18" t="n">
        <x:v>610</x:v>
      </x:c>
      <x:c r="V918" s="20" t="n">
        <x:v>4.4</x:v>
      </x:c>
      <x:c r="W918" s="20" t="n">
        <x:v>14.3</x:v>
      </x:c>
      <x:c r="X918" s="20" t="n">
        <x:v>3.3</x:v>
      </x:c>
      <x:c r="Y918" t="str">
        <x:v>Basis arsip 2025/2024</x:v>
      </x:c>
      <x:c r="Z918" t="str">
        <x:v>https://snpmb.id/utbk-snbt/daya-tampung-snbt</x:v>
      </x:c>
      <x:c r="AA918" t="str">
        <x:v>Tidak Ada</x:v>
      </x:c>
      <x:c r="AB918" t="str">
        <x:v>Campus=80; Ratio=46.8; Prodi=40; RelDemand=64.7; Capacity=0.0</x:v>
      </x:c>
    </x:row>
    <x:row r="919">
      <x:c r="A919" t="n">
        <x:v>916</x:v>
      </x:c>
      <x:c r="B919" t="str">
        <x:v>PTN Akademik</x:v>
      </x:c>
      <x:c r="C919" t="str">
        <x:v>UNIVERSITAS SULTAN AGENG TIRTAYASA</x:v>
      </x:c>
      <x:c r="D919" t="str">
        <x:v>PENDIDIKAN NON FORMAL</x:v>
      </x:c>
      <x:c r="E919" t="str">
        <x:v>Sarjana</x:v>
      </x:c>
      <x:c r="F919" s="18" t="n">
        <x:v>82</x:v>
      </x:c>
      <x:c r="G919" s="18" t="n">
        <x:v>89</x:v>
      </x:c>
      <x:c r="H919" s="19" t="n">
        <x:v>1.0853658536585367</x:v>
      </x:c>
      <x:c r="I919" s="18" t="n">
        <x:f>ROUND(MIN(Model_Config_v3!$B$6,MAX(Q919,R919,S919*Model_Config_v3!$B$4+T919*Model_Config_v3!$B$5)),0)</x:f>
        <x:v>610</x:v>
      </x:c>
      <x:c r="J919" s="18" t="n">
        <x:f>MIN(Model_Config_v3!$B$6,I919+Model_Config_v3!$B$7)</x:f>
        <x:v>630</x:v>
      </x:c>
      <x:c r="K919" s="20" t="n">
        <x:v>41.8</x:v>
      </x:c>
      <x:c r="L919" t="str">
        <x:v>RELATIF LONGGAR</x:v>
      </x:c>
      <x:c r="M919" t="str">
        <x:v>SEDANG+</x:v>
      </x:c>
      <x:c r="N919" t="str">
        <x:v>ELITE-3</x:v>
      </x:c>
      <x:c r="O919" t="str">
        <x:v>CAMPURAN</x:v>
      </x:c>
      <x:c r="P919" t="str">
        <x:v>PENDIDIKAN</x:v>
      </x:c>
      <x:c r="Q919" s="18" t="n">
        <x:v>610</x:v>
      </x:c>
      <x:c r="R919" s="18" t="n">
        <x:v>0</x:v>
      </x:c>
      <x:c r="S919" s="18" t="n">
        <x:v>523.9133769687315</x:v>
      </x:c>
      <x:c r="T919" s="18" t="n">
        <x:v>644</x:v>
      </x:c>
      <x:c r="U919" s="18" t="n">
        <x:v>610</x:v>
      </x:c>
      <x:c r="V919" s="20" t="n">
        <x:v>8.8</x:v>
      </x:c>
      <x:c r="W919" s="20" t="n">
        <x:v>9.9</x:v>
      </x:c>
      <x:c r="X919" s="20" t="n">
        <x:v>3.3</x:v>
      </x:c>
      <x:c r="Y919" t="str">
        <x:v>Basis arsip 2025/2024</x:v>
      </x:c>
      <x:c r="Z919" t="str">
        <x:v>https://snpmb.id/utbk-snbt/daya-tampung-snbt</x:v>
      </x:c>
      <x:c r="AA919" t="str">
        <x:v>Tidak Ada</x:v>
      </x:c>
      <x:c r="AB919" t="str">
        <x:v>Campus=80; Ratio=2.1; Prodi=45; RelDemand=11.3; Capacity=31.7</x:v>
      </x:c>
    </x:row>
    <x:row r="920">
      <x:c r="A920" t="n">
        <x:v>917</x:v>
      </x:c>
      <x:c r="B920" t="str">
        <x:v>PTN Akademik</x:v>
      </x:c>
      <x:c r="C920" t="str">
        <x:v>UNIVERSITAS SULTAN AGENG TIRTAYASA</x:v>
      </x:c>
      <x:c r="D920" t="str">
        <x:v>PENDIDIKAN BAHASA INDONESIA</x:v>
      </x:c>
      <x:c r="E920" t="str">
        <x:v>Sarjana</x:v>
      </x:c>
      <x:c r="F920" s="18" t="n">
        <x:v>157</x:v>
      </x:c>
      <x:c r="G920" s="18" t="n">
        <x:v>327</x:v>
      </x:c>
      <x:c r="H920" s="19" t="n">
        <x:v>2.082802547770701</x:v>
      </x:c>
      <x:c r="I920" s="18" t="n">
        <x:f>ROUND(MIN(Model_Config_v3!$B$6,MAX(Q920,R920,S920*Model_Config_v3!$B$4+T920*Model_Config_v3!$B$5)),0)</x:f>
        <x:v>620</x:v>
      </x:c>
      <x:c r="J920" s="18" t="n">
        <x:f>MIN(Model_Config_v3!$B$6,I920+Model_Config_v3!$B$7)</x:f>
        <x:v>640</x:v>
      </x:c>
      <x:c r="K920" s="20" t="n">
        <x:v>43.9</x:v>
      </x:c>
      <x:c r="L920" t="str">
        <x:v>RELATIF LONGGAR</x:v>
      </x:c>
      <x:c r="M920" t="str">
        <x:v>SEDANG+</x:v>
      </x:c>
      <x:c r="N920" t="str">
        <x:v>ELITE-3</x:v>
      </x:c>
      <x:c r="O920" t="str">
        <x:v>SOSHUM</x:v>
      </x:c>
      <x:c r="P920" t="str">
        <x:v>PENDIDIKAN</x:v>
      </x:c>
      <x:c r="Q920" s="18" t="n">
        <x:v>610</x:v>
      </x:c>
      <x:c r="R920" s="18" t="n">
        <x:v>0</x:v>
      </x:c>
      <x:c r="S920" s="18" t="n">
        <x:v>555.0512910276158</x:v>
      </x:c>
      <x:c r="T920" s="18" t="n">
        <x:v>648</x:v>
      </x:c>
      <x:c r="U920" s="18" t="n">
        <x:v>610</x:v>
      </x:c>
      <x:c r="V920" s="20" t="n">
        <x:v>4.4</x:v>
      </x:c>
      <x:c r="W920" s="20" t="n">
        <x:v>14.3</x:v>
      </x:c>
      <x:c r="X920" s="20" t="n">
        <x:v>3.3</x:v>
      </x:c>
      <x:c r="Y920" t="str">
        <x:v>Basis arsip 2025/2024</x:v>
      </x:c>
      <x:c r="Z920" t="str">
        <x:v>https://snpmb.id/utbk-snbt/daya-tampung-snbt</x:v>
      </x:c>
      <x:c r="AA920" t="str">
        <x:v>Tidak Ada</x:v>
      </x:c>
      <x:c r="AB920" t="str">
        <x:v>Campus=80; Ratio=18.8; Prodi=45; RelDemand=21.6; Capacity=0.0</x:v>
      </x:c>
    </x:row>
    <x:row r="921">
      <x:c r="A921" t="n">
        <x:v>918</x:v>
      </x:c>
      <x:c r="B921" t="str">
        <x:v>PTN Akademik</x:v>
      </x:c>
      <x:c r="C921" t="str">
        <x:v>UNIVERSITAS SULTAN AGENG TIRTAYASA</x:v>
      </x:c>
      <x:c r="D921" t="str">
        <x:v>PENDIDIKAN BAHASA INGGRIS</x:v>
      </x:c>
      <x:c r="E921" t="str">
        <x:v>Sarjana</x:v>
      </x:c>
      <x:c r="F921" s="18" t="n">
        <x:v>143</x:v>
      </x:c>
      <x:c r="G921" s="18" t="n">
        <x:v>337</x:v>
      </x:c>
      <x:c r="H921" s="19" t="n">
        <x:v>2.3566433566433567</x:v>
      </x:c>
      <x:c r="I921" s="18" t="n">
        <x:f>ROUND(MIN(Model_Config_v3!$B$6,MAX(Q921,R921,S921*Model_Config_v3!$B$4+T921*Model_Config_v3!$B$5)),0)</x:f>
        <x:v>623</x:v>
      </x:c>
      <x:c r="J921" s="18" t="n">
        <x:f>MIN(Model_Config_v3!$B$6,I921+Model_Config_v3!$B$7)</x:f>
        <x:v>643</x:v>
      </x:c>
      <x:c r="K921" s="20" t="n">
        <x:v>44.9</x:v>
      </x:c>
      <x:c r="L921" t="str">
        <x:v>RELATIF LONGGAR</x:v>
      </x:c>
      <x:c r="M921" t="str">
        <x:v>SEDANG+</x:v>
      </x:c>
      <x:c r="N921" t="str">
        <x:v>ELITE-3</x:v>
      </x:c>
      <x:c r="O921" t="str">
        <x:v>SOSHUM</x:v>
      </x:c>
      <x:c r="P921" t="str">
        <x:v>PENDIDIKAN</x:v>
      </x:c>
      <x:c r="Q921" s="18" t="n">
        <x:v>610</x:v>
      </x:c>
      <x:c r="R921" s="18" t="n">
        <x:v>0</x:v>
      </x:c>
      <x:c r="S921" s="18" t="n">
        <x:v>560.9523249746904</x:v>
      </x:c>
      <x:c r="T921" s="18" t="n">
        <x:v>650</x:v>
      </x:c>
      <x:c r="U921" s="18" t="n">
        <x:v>610</x:v>
      </x:c>
      <x:c r="V921" s="20" t="n">
        <x:v>4.4</x:v>
      </x:c>
      <x:c r="W921" s="20" t="n">
        <x:v>14.3</x:v>
      </x:c>
      <x:c r="X921" s="20" t="n">
        <x:v>3.3</x:v>
      </x:c>
      <x:c r="Y921" t="str">
        <x:v>Basis arsip 2025/2024</x:v>
      </x:c>
      <x:c r="Z921" t="str">
        <x:v>https://snpmb.id/utbk-snbt/daya-tampung-snbt</x:v>
      </x:c>
      <x:c r="AA921" t="str">
        <x:v>Tidak Ada</x:v>
      </x:c>
      <x:c r="AB921" t="str">
        <x:v>Campus=80; Ratio=21.9; Prodi=45; RelDemand=24.5; Capacity=0.0</x:v>
      </x:c>
    </x:row>
    <x:row r="922">
      <x:c r="A922" t="n">
        <x:v>919</x:v>
      </x:c>
      <x:c r="B922" t="str">
        <x:v>PTN Akademik</x:v>
      </x:c>
      <x:c r="C922" t="str">
        <x:v>UNIVERSITAS SULTAN AGENG TIRTAYASA</x:v>
      </x:c>
      <x:c r="D922" t="str">
        <x:v>PENDIDIKAN GURU SEKOLAH DASAR</x:v>
      </x:c>
      <x:c r="E922" t="str">
        <x:v>Sarjana</x:v>
      </x:c>
      <x:c r="F922" s="18" t="n">
        <x:v>99</x:v>
      </x:c>
      <x:c r="G922" s="18" t="n">
        <x:v>643</x:v>
      </x:c>
      <x:c r="H922" s="19" t="n">
        <x:v>6.494949494949495</x:v>
      </x:c>
      <x:c r="I922" s="18" t="n">
        <x:f>ROUND(MIN(Model_Config_v3!$B$6,MAX(Q922,R922,S922*Model_Config_v3!$B$4+T922*Model_Config_v3!$B$5)),0)</x:f>
        <x:v>655</x:v>
      </x:c>
      <x:c r="J922" s="18" t="n">
        <x:f>MIN(Model_Config_v3!$B$6,I922+Model_Config_v3!$B$7)</x:f>
        <x:v>675</x:v>
      </x:c>
      <x:c r="K922" s="20" t="n">
        <x:v>57.4</x:v>
      </x:c>
      <x:c r="L922" t="str">
        <x:v>KETAT</x:v>
      </x:c>
      <x:c r="M922" t="str">
        <x:v>SEDANG+</x:v>
      </x:c>
      <x:c r="N922" t="str">
        <x:v>ELITE-3</x:v>
      </x:c>
      <x:c r="O922" t="str">
        <x:v>CAMPURAN</x:v>
      </x:c>
      <x:c r="P922" t="str">
        <x:v>PENDIDIKAN</x:v>
      </x:c>
      <x:c r="Q922" s="18" t="n">
        <x:v>610</x:v>
      </x:c>
      <x:c r="R922" s="18" t="n">
        <x:v>0</x:v>
      </x:c>
      <x:c r="S922" s="18" t="n">
        <x:v>609.3833356159339</x:v>
      </x:c>
      <x:c r="T922" s="18" t="n">
        <x:v>675</x:v>
      </x:c>
      <x:c r="U922" s="18" t="n">
        <x:v>610</x:v>
      </x:c>
      <x:c r="V922" s="20" t="n">
        <x:v>8.8</x:v>
      </x:c>
      <x:c r="W922" s="20" t="n">
        <x:v>9.9</x:v>
      </x:c>
      <x:c r="X922" s="20" t="n">
        <x:v>3.3</x:v>
      </x:c>
      <x:c r="Y922" t="str">
        <x:v>Basis arsip 2025/2024</x:v>
      </x:c>
      <x:c r="Z922" t="str">
        <x:v>https://snpmb.id/utbk-snbt/daya-tampung-snbt</x:v>
      </x:c>
      <x:c r="AA922" t="str">
        <x:v>Tidak Ada</x:v>
      </x:c>
      <x:c r="AB922" t="str">
        <x:v>Campus=80; Ratio=47.8; Prodi=45; RelDemand=67.4; Capacity=17.5</x:v>
      </x:c>
    </x:row>
    <x:row r="923">
      <x:c r="A923" t="n">
        <x:v>920</x:v>
      </x:c>
      <x:c r="B923" t="str">
        <x:v>PTN Akademik</x:v>
      </x:c>
      <x:c r="C923" t="str">
        <x:v>UNIVERSITAS SULTAN AGENG TIRTAYASA</x:v>
      </x:c>
      <x:c r="D923" t="str">
        <x:v>PENDIDIKAN GURU PENDIDIKAN ANAK USIA DINI</x:v>
      </x:c>
      <x:c r="E923" t="str">
        <x:v>Sarjana</x:v>
      </x:c>
      <x:c r="F923" s="18" t="n">
        <x:v>116</x:v>
      </x:c>
      <x:c r="G923" s="18" t="n">
        <x:v>141</x:v>
      </x:c>
      <x:c r="H923" s="19" t="n">
        <x:v>1.2155172413793103</x:v>
      </x:c>
      <x:c r="I923" s="18" t="n">
        <x:f>ROUND(MIN(Model_Config_v3!$B$6,MAX(Q923,R923,S923*Model_Config_v3!$B$4+T923*Model_Config_v3!$B$5)),0)</x:f>
        <x:v>610</x:v>
      </x:c>
      <x:c r="J923" s="18" t="n">
        <x:f>MIN(Model_Config_v3!$B$6,I923+Model_Config_v3!$B$7)</x:f>
        <x:v>630</x:v>
      </x:c>
      <x:c r="K923" s="20" t="n">
        <x:v>39.8</x:v>
      </x:c>
      <x:c r="L923" t="str">
        <x:v>RELATIF LONGGAR</x:v>
      </x:c>
      <x:c r="M923" t="str">
        <x:v>SEDANG+</x:v>
      </x:c>
      <x:c r="N923" t="str">
        <x:v>ELITE-3</x:v>
      </x:c>
      <x:c r="O923" t="str">
        <x:v>CAMPURAN</x:v>
      </x:c>
      <x:c r="P923" t="str">
        <x:v>PENDIDIKAN</x:v>
      </x:c>
      <x:c r="Q923" s="18" t="n">
        <x:v>610</x:v>
      </x:c>
      <x:c r="R923" s="18" t="n">
        <x:v>0</x:v>
      </x:c>
      <x:c r="S923" s="18" t="n">
        <x:v>529.3237235771307</x:v>
      </x:c>
      <x:c r="T923" s="18" t="n">
        <x:v>640</x:v>
      </x:c>
      <x:c r="U923" s="18" t="n">
        <x:v>610</x:v>
      </x:c>
      <x:c r="V923" s="20" t="n">
        <x:v>8.8</x:v>
      </x:c>
      <x:c r="W923" s="20" t="n">
        <x:v>9.9</x:v>
      </x:c>
      <x:c r="X923" s="20" t="n">
        <x:v>3.3</x:v>
      </x:c>
      <x:c r="Y923" t="str">
        <x:v>Basis arsip 2025/2024</x:v>
      </x:c>
      <x:c r="Z923" t="str">
        <x:v>https://snpmb.id/utbk-snbt/daya-tampung-snbt</x:v>
      </x:c>
      <x:c r="AA923" t="str">
        <x:v>Tidak Ada</x:v>
      </x:c>
      <x:c r="AB923" t="str">
        <x:v>Campus=80; Ratio=5.0; Prodi=45; RelDemand=12.6; Capacity=3.3</x:v>
      </x:c>
    </x:row>
    <x:row r="924">
      <x:c r="A924" t="n">
        <x:v>921</x:v>
      </x:c>
      <x:c r="B924" t="str">
        <x:v>PTN Akademik</x:v>
      </x:c>
      <x:c r="C924" t="str">
        <x:v>UNIVERSITAS SULTAN AGENG TIRTAYASA</x:v>
      </x:c>
      <x:c r="D924" t="str">
        <x:v>EKONOMI SYARIAH</x:v>
      </x:c>
      <x:c r="E924" t="str">
        <x:v>Sarjana</x:v>
      </x:c>
      <x:c r="F924" s="18" t="n">
        <x:v>138</x:v>
      </x:c>
      <x:c r="G924" s="18" t="n">
        <x:v>284</x:v>
      </x:c>
      <x:c r="H924" s="19" t="n">
        <x:v>2.0579710144927534</x:v>
      </x:c>
      <x:c r="I924" s="18" t="n">
        <x:f>ROUND(MIN(Model_Config_v3!$B$6,MAX(Q924,R924,S924*Model_Config_v3!$B$4+T924*Model_Config_v3!$B$5)),0)</x:f>
        <x:v>618</x:v>
      </x:c>
      <x:c r="J924" s="18" t="n">
        <x:f>MIN(Model_Config_v3!$B$6,I924+Model_Config_v3!$B$7)</x:f>
        <x:v>638</x:v>
      </x:c>
      <x:c r="K924" s="20" t="n">
        <x:v>42.7</x:v>
      </x:c>
      <x:c r="L924" t="str">
        <x:v>RELATIF LONGGAR</x:v>
      </x:c>
      <x:c r="M924" t="str">
        <x:v>SEDANG+</x:v>
      </x:c>
      <x:c r="N924" t="str">
        <x:v>ELITE-3</x:v>
      </x:c>
      <x:c r="O924" t="str">
        <x:v>SOSHUM</x:v>
      </x:c>
      <x:c r="P924" t="str">
        <x:v>UMUM</x:v>
      </x:c>
      <x:c r="Q924" s="18" t="n">
        <x:v>610</x:v>
      </x:c>
      <x:c r="R924" s="18" t="n">
        <x:v>0</x:v>
      </x:c>
      <x:c r="S924" s="18" t="n">
        <x:v>554.4783179010382</x:v>
      </x:c>
      <x:c r="T924" s="18" t="n">
        <x:v>645</x:v>
      </x:c>
      <x:c r="U924" s="18" t="n">
        <x:v>610</x:v>
      </x:c>
      <x:c r="V924" s="20" t="n">
        <x:v>4.4</x:v>
      </x:c>
      <x:c r="W924" s="20" t="n">
        <x:v>14.3</x:v>
      </x:c>
      <x:c r="X924" s="20" t="n">
        <x:v>3.3</x:v>
      </x:c>
      <x:c r="Y924" t="str">
        <x:v>Basis arsip 2025/2024</x:v>
      </x:c>
      <x:c r="Z924" t="str">
        <x:v>https://snpmb.id/utbk-snbt/daya-tampung-snbt</x:v>
      </x:c>
      <x:c r="AA924" t="str">
        <x:v>Tidak Ada</x:v>
      </x:c>
      <x:c r="AB924" t="str">
        <x:v>Campus=80; Ratio=18.4; Prodi=40; RelDemand=21.4; Capacity=0.0</x:v>
      </x:c>
    </x:row>
    <x:row r="925">
      <x:c r="A925" t="n">
        <x:v>922</x:v>
      </x:c>
      <x:c r="B925" t="str">
        <x:v>PTN Akademik</x:v>
      </x:c>
      <x:c r="C925" t="str">
        <x:v>UNIVERSITAS SULTAN AGENG TIRTAYASA</x:v>
      </x:c>
      <x:c r="D925" t="str">
        <x:v>PENDIDIKAN SOSIOLOGI</x:v>
      </x:c>
      <x:c r="E925" t="str">
        <x:v>Sarjana</x:v>
      </x:c>
      <x:c r="F925" s="18" t="n">
        <x:v>83</x:v>
      </x:c>
      <x:c r="G925" s="18" t="n">
        <x:v>192</x:v>
      </x:c>
      <x:c r="H925" s="19" t="n">
        <x:v>2.3132530120481927</x:v>
      </x:c>
      <x:c r="I925" s="18" t="n">
        <x:f>ROUND(MIN(Model_Config_v3!$B$6,MAX(Q925,R925,S925*Model_Config_v3!$B$4+T925*Model_Config_v3!$B$5)),0)</x:f>
        <x:v>627</x:v>
      </x:c>
      <x:c r="J925" s="18" t="n">
        <x:f>MIN(Model_Config_v3!$B$6,I925+Model_Config_v3!$B$7)</x:f>
        <x:v>647</x:v>
      </x:c>
      <x:c r="K925" s="20" t="n">
        <x:v>47.8</x:v>
      </x:c>
      <x:c r="L925" t="str">
        <x:v>MENENGAH</x:v>
      </x:c>
      <x:c r="M925" t="str">
        <x:v>SEDANG+</x:v>
      </x:c>
      <x:c r="N925" t="str">
        <x:v>ELITE-3</x:v>
      </x:c>
      <x:c r="O925" t="str">
        <x:v>SOSHUM</x:v>
      </x:c>
      <x:c r="P925" t="str">
        <x:v>PENDIDIKAN</x:v>
      </x:c>
      <x:c r="Q925" s="18" t="n">
        <x:v>610</x:v>
      </x:c>
      <x:c r="R925" s="18" t="n">
        <x:v>0</x:v>
      </x:c>
      <x:c r="S925" s="18" t="n">
        <x:v>560.0645449960223</x:v>
      </x:c>
      <x:c r="T925" s="18" t="n">
        <x:v>656</x:v>
      </x:c>
      <x:c r="U925" s="18" t="n">
        <x:v>610</x:v>
      </x:c>
      <x:c r="V925" s="20" t="n">
        <x:v>4.4</x:v>
      </x:c>
      <x:c r="W925" s="20" t="n">
        <x:v>14.3</x:v>
      </x:c>
      <x:c r="X925" s="20" t="n">
        <x:v>3.3</x:v>
      </x:c>
      <x:c r="Y925" t="str">
        <x:v>Basis arsip 2025/2024</x:v>
      </x:c>
      <x:c r="Z925" t="str">
        <x:v>https://snpmb.id/utbk-snbt/daya-tampung-snbt</x:v>
      </x:c>
      <x:c r="AA925" t="str">
        <x:v>Tidak Ada</x:v>
      </x:c>
      <x:c r="AB925" t="str">
        <x:v>Campus=80; Ratio=21.4; Prodi=45; RelDemand=24.0; Capacity=30.8</x:v>
      </x:c>
    </x:row>
    <x:row r="926">
      <x:c r="A926" t="n">
        <x:v>923</x:v>
      </x:c>
      <x:c r="B926" t="str">
        <x:v>PTN Akademik</x:v>
      </x:c>
      <x:c r="C926" t="str">
        <x:v>UNIVERSITAS SULTAN AGENG TIRTAYASA</x:v>
      </x:c>
      <x:c r="D926" t="str">
        <x:v>PENDIDIKAN SEJARAH</x:v>
      </x:c>
      <x:c r="E926" t="str">
        <x:v>Sarjana</x:v>
      </x:c>
      <x:c r="F926" s="18" t="n">
        <x:v>83</x:v>
      </x:c>
      <x:c r="G926" s="18" t="n">
        <x:v>155</x:v>
      </x:c>
      <x:c r="H926" s="19" t="n">
        <x:v>1.8674698795180722</x:v>
      </x:c>
      <x:c r="I926" s="18" t="n">
        <x:f>ROUND(MIN(Model_Config_v3!$B$6,MAX(Q926,R926,S926*Model_Config_v3!$B$4+T926*Model_Config_v3!$B$5)),0)</x:f>
        <x:v>621</x:v>
      </x:c>
      <x:c r="J926" s="18" t="n">
        <x:f>MIN(Model_Config_v3!$B$6,I926+Model_Config_v3!$B$7)</x:f>
        <x:v>641</x:v>
      </x:c>
      <x:c r="K926" s="20" t="n">
        <x:v>46</x:v>
      </x:c>
      <x:c r="L926" t="str">
        <x:v>MENENGAH</x:v>
      </x:c>
      <x:c r="M926" t="str">
        <x:v>SEDANG+</x:v>
      </x:c>
      <x:c r="N926" t="str">
        <x:v>ELITE-3</x:v>
      </x:c>
      <x:c r="O926" t="str">
        <x:v>SOSHUM</x:v>
      </x:c>
      <x:c r="P926" t="str">
        <x:v>PENDIDIKAN</x:v>
      </x:c>
      <x:c r="Q926" s="18" t="n">
        <x:v>610</x:v>
      </x:c>
      <x:c r="R926" s="18" t="n">
        <x:v>0</x:v>
      </x:c>
      <x:c r="S926" s="18" t="n">
        <x:v>549.8378966373639</x:v>
      </x:c>
      <x:c r="T926" s="18" t="n">
        <x:v>652</x:v>
      </x:c>
      <x:c r="U926" s="18" t="n">
        <x:v>610</x:v>
      </x:c>
      <x:c r="V926" s="20" t="n">
        <x:v>4.4</x:v>
      </x:c>
      <x:c r="W926" s="20" t="n">
        <x:v>14.3</x:v>
      </x:c>
      <x:c r="X926" s="20" t="n">
        <x:v>3.3</x:v>
      </x:c>
      <x:c r="Y926" t="str">
        <x:v>Basis arsip 2025/2024</x:v>
      </x:c>
      <x:c r="Z926" t="str">
        <x:v>https://snpmb.id/utbk-snbt/daya-tampung-snbt</x:v>
      </x:c>
      <x:c r="AA926" t="str">
        <x:v>Tidak Ada</x:v>
      </x:c>
      <x:c r="AB926" t="str">
        <x:v>Campus=80; Ratio=16.0; Prodi=45; RelDemand=19.4; Capacity=30.8</x:v>
      </x:c>
    </x:row>
    <x:row r="927">
      <x:c r="A927" t="n">
        <x:v>924</x:v>
      </x:c>
      <x:c r="B927" t="str">
        <x:v>PTN Akademik</x:v>
      </x:c>
      <x:c r="C927" t="str">
        <x:v>UNIVERSITAS SULTAN AGENG TIRTAYASA</x:v>
      </x:c>
      <x:c r="D927" t="str">
        <x:v>PENDIDIKAN PANCASILA DAN KEWARGANEGARAAN</x:v>
      </x:c>
      <x:c r="E927" t="str">
        <x:v>Sarjana</x:v>
      </x:c>
      <x:c r="F927" s="18" t="n">
        <x:v>83</x:v>
      </x:c>
      <x:c r="G927" s="18" t="n">
        <x:v>141</x:v>
      </x:c>
      <x:c r="H927" s="19" t="n">
        <x:v>1.6987951807228916</x:v>
      </x:c>
      <x:c r="I927" s="18" t="n">
        <x:f>ROUND(MIN(Model_Config_v3!$B$6,MAX(Q927,R927,S927*Model_Config_v3!$B$4+T927*Model_Config_v3!$B$5)),0)</x:f>
        <x:v>619</x:v>
      </x:c>
      <x:c r="J927" s="18" t="n">
        <x:f>MIN(Model_Config_v3!$B$6,I927+Model_Config_v3!$B$7)</x:f>
        <x:v>639</x:v>
      </x:c>
      <x:c r="K927" s="20" t="n">
        <x:v>45.2</x:v>
      </x:c>
      <x:c r="L927" t="str">
        <x:v>MENENGAH</x:v>
      </x:c>
      <x:c r="M927" t="str">
        <x:v>SEDANG+</x:v>
      </x:c>
      <x:c r="N927" t="str">
        <x:v>ELITE-3</x:v>
      </x:c>
      <x:c r="O927" t="str">
        <x:v>CAMPURAN</x:v>
      </x:c>
      <x:c r="P927" t="str">
        <x:v>PENDIDIKAN</x:v>
      </x:c>
      <x:c r="Q927" s="18" t="n">
        <x:v>610</x:v>
      </x:c>
      <x:c r="R927" s="18" t="n">
        <x:v>0</x:v>
      </x:c>
      <x:c r="S927" s="18" t="n">
        <x:v>545.3155122307237</x:v>
      </x:c>
      <x:c r="T927" s="18" t="n">
        <x:v>650</x:v>
      </x:c>
      <x:c r="U927" s="18" t="n">
        <x:v>610</x:v>
      </x:c>
      <x:c r="V927" s="20" t="n">
        <x:v>8.8</x:v>
      </x:c>
      <x:c r="W927" s="20" t="n">
        <x:v>9.9</x:v>
      </x:c>
      <x:c r="X927" s="20" t="n">
        <x:v>3.3</x:v>
      </x:c>
      <x:c r="Y927" t="str">
        <x:v>Basis arsip 2025/2024</x:v>
      </x:c>
      <x:c r="Z927" t="str">
        <x:v>https://snpmb.id/utbk-snbt/daya-tampung-snbt</x:v>
      </x:c>
      <x:c r="AA927" t="str">
        <x:v>Tidak Ada</x:v>
      </x:c>
      <x:c r="AB927" t="str">
        <x:v>Campus=80; Ratio=13.5; Prodi=45; RelDemand=17.6; Capacity=30.8</x:v>
      </x:c>
    </x:row>
    <x:row r="928">
      <x:c r="A928" t="n">
        <x:v>925</x:v>
      </x:c>
      <x:c r="B928" t="str">
        <x:v>PTN Akademik</x:v>
      </x:c>
      <x:c r="C928" t="str">
        <x:v>UNIVERSITAS SULTAN AGENG TIRTAYASA</x:v>
      </x:c>
      <x:c r="D928" t="str">
        <x:v>PENDIDIKAN SENI PERTUNJUKAN</x:v>
      </x:c>
      <x:c r="E928" t="str">
        <x:v>Sarjana</x:v>
      </x:c>
      <x:c r="F928" s="18" t="n">
        <x:v>66</x:v>
      </x:c>
      <x:c r="G928" s="18" t="n">
        <x:v>27</x:v>
      </x:c>
      <x:c r="H928" s="19" t="n">
        <x:v>0.4090909090909091</x:v>
      </x:c>
      <x:c r="I928" s="18" t="n">
        <x:f>ROUND(MIN(Model_Config_v3!$B$6,MAX(Q928,R928,S928*Model_Config_v3!$B$4+T928*Model_Config_v3!$B$5)),0)</x:f>
        <x:v>610</x:v>
      </x:c>
      <x:c r="J928" s="18" t="n">
        <x:f>MIN(Model_Config_v3!$B$6,I928+Model_Config_v3!$B$7)</x:f>
        <x:v>630</x:v>
      </x:c>
      <x:c r="K928" s="20" t="n">
        <x:v>41.9</x:v>
      </x:c>
      <x:c r="L928" t="str">
        <x:v>RELATIF LONGGAR</x:v>
      </x:c>
      <x:c r="M928" t="str">
        <x:v>PORTOFOLIO</x:v>
      </x:c>
      <x:c r="N928" t="str">
        <x:v>ELITE-3</x:v>
      </x:c>
      <x:c r="O928" t="str">
        <x:v>SENI/OLAHRAGA</x:v>
      </x:c>
      <x:c r="P928" t="str">
        <x:v>SENI/OLAHRAGA</x:v>
      </x:c>
      <x:c r="Q928" s="18" t="n">
        <x:v>610</x:v>
      </x:c>
      <x:c r="R928" s="18" t="n">
        <x:v>0</x:v>
      </x:c>
      <x:c r="S928" s="18" t="n">
        <x:v>520</x:v>
      </x:c>
      <x:c r="T928" s="18" t="n">
        <x:v>644</x:v>
      </x:c>
      <x:c r="U928" s="18" t="n">
        <x:v>610</x:v>
      </x:c>
      <x:c r="V928" s="20" t="n">
        <x:v>4.4</x:v>
      </x:c>
      <x:c r="W928" s="20" t="n">
        <x:v>9.9</x:v>
      </x:c>
      <x:c r="X928" s="20" t="n">
        <x:v>7.7</x:v>
      </x:c>
      <x:c r="Y928" t="str">
        <x:v>Basis arsip 2025/2024</x:v>
      </x:c>
      <x:c r="Z928" t="str">
        <x:v>https://snpmb.id/utbk-snbt/daya-tampung-snbt</x:v>
      </x:c>
      <x:c r="AA928" t="str">
        <x:v>Sendratasik</x:v>
      </x:c>
      <x:c r="AB928" t="str">
        <x:v>Campus=80; Ratio=0.0; Prodi=45; RelDemand=4.2; Capacity=45.0</x:v>
      </x:c>
    </x:row>
    <x:row r="929">
      <x:c r="A929" t="n">
        <x:v>926</x:v>
      </x:c>
      <x:c r="B929" t="str">
        <x:v>PTN Akademik</x:v>
      </x:c>
      <x:c r="C929" t="str">
        <x:v>UNIVERSITAS SULTAN AGENG TIRTAYASA</x:v>
      </x:c>
      <x:c r="D929" t="str">
        <x:v>BIMBINGAN DAN KONSELING</x:v>
      </x:c>
      <x:c r="E929" t="str">
        <x:v>Sarjana</x:v>
      </x:c>
      <x:c r="F929" s="18" t="n">
        <x:v>94</x:v>
      </x:c>
      <x:c r="G929" s="18" t="n">
        <x:v>479</x:v>
      </x:c>
      <x:c r="H929" s="19" t="n">
        <x:v>5.095744680851064</x:v>
      </x:c>
      <x:c r="I929" s="18" t="n">
        <x:f>ROUND(MIN(Model_Config_v3!$B$6,MAX(Q929,R929,S929*Model_Config_v3!$B$4+T929*Model_Config_v3!$B$5)),0)</x:f>
        <x:v>647</x:v>
      </x:c>
      <x:c r="J929" s="18" t="n">
        <x:f>MIN(Model_Config_v3!$B$6,I929+Model_Config_v3!$B$7)</x:f>
        <x:v>667</x:v>
      </x:c>
      <x:c r="K929" s="20" t="n">
        <x:v>53.9</x:v>
      </x:c>
      <x:c r="L929" t="str">
        <x:v>MENENGAH</x:v>
      </x:c>
      <x:c r="M929" t="str">
        <x:v>SEDANG+</x:v>
      </x:c>
      <x:c r="N929" t="str">
        <x:v>ELITE-3</x:v>
      </x:c>
      <x:c r="O929" t="str">
        <x:v>CAMPURAN</x:v>
      </x:c>
      <x:c r="P929" t="str">
        <x:v>UMUM</x:v>
      </x:c>
      <x:c r="Q929" s="18" t="n">
        <x:v>610</x:v>
      </x:c>
      <x:c r="R929" s="18" t="n">
        <x:v>0</x:v>
      </x:c>
      <x:c r="S929" s="18" t="n">
        <x:v>597.7928425796351</x:v>
      </x:c>
      <x:c r="T929" s="18" t="n">
        <x:v>668</x:v>
      </x:c>
      <x:c r="U929" s="18" t="n">
        <x:v>610</x:v>
      </x:c>
      <x:c r="V929" s="20" t="n">
        <x:v>8.8</x:v>
      </x:c>
      <x:c r="W929" s="20" t="n">
        <x:v>9.9</x:v>
      </x:c>
      <x:c r="X929" s="20" t="n">
        <x:v>3.3</x:v>
      </x:c>
      <x:c r="Y929" t="str">
        <x:v>Basis arsip 2025/2024</x:v>
      </x:c>
      <x:c r="Z929" t="str">
        <x:v>https://snpmb.id/utbk-snbt/daya-tampung-snbt</x:v>
      </x:c>
      <x:c r="AA929" t="str">
        <x:v>Tidak Ada</x:v>
      </x:c>
      <x:c r="AB929" t="str">
        <x:v>Campus=80; Ratio=41.6; Prodi=40; RelDemand=52.9; Capacity=21.7</x:v>
      </x:c>
    </x:row>
    <x:row r="930">
      <x:c r="A930" t="n">
        <x:v>927</x:v>
      </x:c>
      <x:c r="B930" t="str">
        <x:v>PTN Akademik</x:v>
      </x:c>
      <x:c r="C930" t="str">
        <x:v>UNIVERSITAS SULTAN AGENG TIRTAYASA</x:v>
      </x:c>
      <x:c r="D930" t="str">
        <x:v>PENDIDIKAN KHUSUS</x:v>
      </x:c>
      <x:c r="E930" t="str">
        <x:v>Sarjana</x:v>
      </x:c>
      <x:c r="F930" s="18" t="n">
        <x:v>72</x:v>
      </x:c>
      <x:c r="G930" s="18" t="n">
        <x:v>93</x:v>
      </x:c>
      <x:c r="H930" s="19" t="n">
        <x:v>1.2916666666666667</x:v>
      </x:c>
      <x:c r="I930" s="18" t="n">
        <x:f>ROUND(MIN(Model_Config_v3!$B$6,MAX(Q930,R930,S930*Model_Config_v3!$B$4+T930*Model_Config_v3!$B$5)),0)</x:f>
        <x:v>613</x:v>
      </x:c>
      <x:c r="J930" s="18" t="n">
        <x:f>MIN(Model_Config_v3!$B$6,I930+Model_Config_v3!$B$7)</x:f>
        <x:v>633</x:v>
      </x:c>
      <x:c r="K930" s="20" t="n">
        <x:v>44</x:v>
      </x:c>
      <x:c r="L930" t="str">
        <x:v>RELATIF LONGGAR</x:v>
      </x:c>
      <x:c r="M930" t="str">
        <x:v>SEDANG+</x:v>
      </x:c>
      <x:c r="N930" t="str">
        <x:v>ELITE-3</x:v>
      </x:c>
      <x:c r="O930" t="str">
        <x:v>CAMPURAN</x:v>
      </x:c>
      <x:c r="P930" t="str">
        <x:v>PENDIDIKAN</x:v>
      </x:c>
      <x:c r="Q930" s="18" t="n">
        <x:v>610</x:v>
      </x:c>
      <x:c r="R930" s="18" t="n">
        <x:v>0</x:v>
      </x:c>
      <x:c r="S930" s="18" t="n">
        <x:v>532.2265497334934</x:v>
      </x:c>
      <x:c r="T930" s="18" t="n">
        <x:v>648</x:v>
      </x:c>
      <x:c r="U930" s="18" t="n">
        <x:v>610</x:v>
      </x:c>
      <x:c r="V930" s="20" t="n">
        <x:v>8.8</x:v>
      </x:c>
      <x:c r="W930" s="20" t="n">
        <x:v>9.9</x:v>
      </x:c>
      <x:c r="X930" s="20" t="n">
        <x:v>3.3</x:v>
      </x:c>
      <x:c r="Y930" t="str">
        <x:v>Basis arsip 2025/2024</x:v>
      </x:c>
      <x:c r="Z930" t="str">
        <x:v>https://snpmb.id/utbk-snbt/daya-tampung-snbt</x:v>
      </x:c>
      <x:c r="AA930" t="str">
        <x:v>Tidak Ada</x:v>
      </x:c>
      <x:c r="AB930" t="str">
        <x:v>Campus=80; Ratio=6.5; Prodi=45; RelDemand=13.4; Capacity=40.0</x:v>
      </x:c>
    </x:row>
    <x:row r="931">
      <x:c r="A931" t="n">
        <x:v>928</x:v>
      </x:c>
      <x:c r="B931" t="str">
        <x:v>PTN Akademik</x:v>
      </x:c>
      <x:c r="C931" t="str">
        <x:v>UNIVERSITAS SULTAN AGENG TIRTAYASA</x:v>
      </x:c>
      <x:c r="D931" t="str">
        <x:v>ILMU PEMERINTAHAN</x:v>
      </x:c>
      <x:c r="E931" t="str">
        <x:v>Sarjana</x:v>
      </x:c>
      <x:c r="F931" s="18" t="n">
        <x:v>127</x:v>
      </x:c>
      <x:c r="G931" s="18" t="n">
        <x:v>513</x:v>
      </x:c>
      <x:c r="H931" s="19" t="n">
        <x:v>4.039370078740157</x:v>
      </x:c>
      <x:c r="I931" s="18" t="n">
        <x:f>ROUND(MIN(Model_Config_v3!$B$6,MAX(Q931,R931,S931*Model_Config_v3!$B$4+T931*Model_Config_v3!$B$5)),0)</x:f>
        <x:v>637</x:v>
      </x:c>
      <x:c r="J931" s="18" t="n">
        <x:f>MIN(Model_Config_v3!$B$6,I931+Model_Config_v3!$B$7)</x:f>
        <x:v>657</x:v>
      </x:c>
      <x:c r="K931" s="20" t="n">
        <x:v>49.1</x:v>
      </x:c>
      <x:c r="L931" t="str">
        <x:v>MENENGAH</x:v>
      </x:c>
      <x:c r="M931" t="str">
        <x:v>SEDANG+</x:v>
      </x:c>
      <x:c r="N931" t="str">
        <x:v>ELITE-3</x:v>
      </x:c>
      <x:c r="O931" t="str">
        <x:v>CAMPURAN</x:v>
      </x:c>
      <x:c r="P931" t="str">
        <x:v>UMUM</x:v>
      </x:c>
      <x:c r="Q931" s="18" t="n">
        <x:v>610</x:v>
      </x:c>
      <x:c r="R931" s="18" t="n">
        <x:v>0</x:v>
      </x:c>
      <x:c r="S931" s="18" t="n">
        <x:v>586.6945008571445</x:v>
      </x:c>
      <x:c r="T931" s="18" t="n">
        <x:v>658</x:v>
      </x:c>
      <x:c r="U931" s="18" t="n">
        <x:v>610</x:v>
      </x:c>
      <x:c r="V931" s="20" t="n">
        <x:v>8.8</x:v>
      </x:c>
      <x:c r="W931" s="20" t="n">
        <x:v>9.9</x:v>
      </x:c>
      <x:c r="X931" s="20" t="n">
        <x:v>3.3</x:v>
      </x:c>
      <x:c r="Y931" t="str">
        <x:v>Basis arsip 2025/2024</x:v>
      </x:c>
      <x:c r="Z931" t="str">
        <x:v>https://snpmb.id/utbk-snbt/daya-tampung-snbt</x:v>
      </x:c>
      <x:c r="AA931" t="str">
        <x:v>Tidak Ada</x:v>
      </x:c>
      <x:c r="AB931" t="str">
        <x:v>Campus=80; Ratio=35.7; Prodi=40; RelDemand=41.9; Capacity=0.0</x:v>
      </x:c>
    </x:row>
    <x:row r="932">
      <x:c r="A932" t="n">
        <x:v>929</x:v>
      </x:c>
      <x:c r="B932" t="str">
        <x:v>PTN Akademik</x:v>
      </x:c>
      <x:c r="C932" t="str">
        <x:v>UNIVERSITAS SULTAN AGENG TIRTAYASA</x:v>
      </x:c>
      <x:c r="D932" t="str">
        <x:v>PETERNAKAN</x:v>
      </x:c>
      <x:c r="E932" t="str">
        <x:v>Sarjana</x:v>
      </x:c>
      <x:c r="F932" s="18" t="n">
        <x:v>88</x:v>
      </x:c>
      <x:c r="G932" s="18" t="n">
        <x:v>114</x:v>
      </x:c>
      <x:c r="H932" s="19" t="n">
        <x:v>1.2954545454545454</x:v>
      </x:c>
      <x:c r="I932" s="18" t="n">
        <x:f>ROUND(MIN(Model_Config_v3!$B$6,MAX(Q932,R932,S932*Model_Config_v3!$B$4+T932*Model_Config_v3!$B$5)),0)</x:f>
        <x:v>610</x:v>
      </x:c>
      <x:c r="J932" s="18" t="n">
        <x:f>MIN(Model_Config_v3!$B$6,I932+Model_Config_v3!$B$7)</x:f>
        <x:v>630</x:v>
      </x:c>
      <x:c r="K932" s="20" t="n">
        <x:v>41.7</x:v>
      </x:c>
      <x:c r="L932" t="str">
        <x:v>RELATIF LONGGAR</x:v>
      </x:c>
      <x:c r="M932" t="str">
        <x:v>SEDANG+</x:v>
      </x:c>
      <x:c r="N932" t="str">
        <x:v>ELITE-3</x:v>
      </x:c>
      <x:c r="O932" t="str">
        <x:v>SAINTEK</x:v>
      </x:c>
      <x:c r="P932" t="str">
        <x:v>UMUM</x:v>
      </x:c>
      <x:c r="Q932" s="18" t="n">
        <x:v>610</x:v>
      </x:c>
      <x:c r="R932" s="18" t="n">
        <x:v>0</x:v>
      </x:c>
      <x:c r="S932" s="18" t="n">
        <x:v>532.3664397104934</x:v>
      </x:c>
      <x:c r="T932" s="18" t="n">
        <x:v>643</x:v>
      </x:c>
      <x:c r="U932" s="18" t="n">
        <x:v>610</x:v>
      </x:c>
      <x:c r="V932" s="20" t="n">
        <x:v>12</x:v>
      </x:c>
      <x:c r="W932" s="20" t="n">
        <x:v>5</x:v>
      </x:c>
      <x:c r="X932" s="20" t="n">
        <x:v>3</x:v>
      </x:c>
      <x:c r="Y932" t="str">
        <x:v>Basis arsip 2025/2024</x:v>
      </x:c>
      <x:c r="Z932" t="str">
        <x:v>https://snpmb.id/utbk-snbt/daya-tampung-snbt</x:v>
      </x:c>
      <x:c r="AA932" t="str">
        <x:v>Tidak Ada</x:v>
      </x:c>
      <x:c r="AB932" t="str">
        <x:v>Campus=80; Ratio=6.6; Prodi=40; RelDemand=13.4; Capacity=26.7</x:v>
      </x:c>
    </x:row>
    <x:row r="933">
      <x:c r="A933" t="n">
        <x:v>930</x:v>
      </x:c>
      <x:c r="B933" t="str">
        <x:v>PTN Akademik</x:v>
      </x:c>
      <x:c r="C933" t="str">
        <x:v>UNIVERSITAS SULTAN AGENG TIRTAYASA</x:v>
      </x:c>
      <x:c r="D933" t="str">
        <x:v>STATISTIKA</x:v>
      </x:c>
      <x:c r="E933" t="str">
        <x:v>Sarjana</x:v>
      </x:c>
      <x:c r="F933" s="18" t="n">
        <x:v>44</x:v>
      </x:c>
      <x:c r="G933" s="18" t="n">
        <x:v>84</x:v>
      </x:c>
      <x:c r="H933" s="19" t="n">
        <x:v>1.9090909090909092</x:v>
      </x:c>
      <x:c r="I933" s="18" t="n">
        <x:f>ROUND(MIN(Model_Config_v3!$B$6,MAX(Q933,R933,S933*Model_Config_v3!$B$4+T933*Model_Config_v3!$B$5)),0)</x:f>
        <x:v>631</x:v>
      </x:c>
      <x:c r="J933" s="18" t="n">
        <x:f>MIN(Model_Config_v3!$B$6,I933+Model_Config_v3!$B$7)</x:f>
        <x:v>651</x:v>
      </x:c>
      <x:c r="K933" s="20" t="n">
        <x:v>52.4</x:v>
      </x:c>
      <x:c r="L933" t="str">
        <x:v>MENENGAH</x:v>
      </x:c>
      <x:c r="M933" t="str">
        <x:v>SEDANG+</x:v>
      </x:c>
      <x:c r="N933" t="str">
        <x:v>ELITE-3</x:v>
      </x:c>
      <x:c r="O933" t="str">
        <x:v>SAINTEK</x:v>
      </x:c>
      <x:c r="P933" t="str">
        <x:v>TEKNIK/ARSITEKTUR/STATISTIKA/AKTUARIA</x:v>
      </x:c>
      <x:c r="Q933" s="18" t="n">
        <x:v>610</x:v>
      </x:c>
      <x:c r="R933" s="18" t="n">
        <x:v>0</x:v>
      </x:c>
      <x:c r="S933" s="18" t="n">
        <x:v>550.8909270533263</x:v>
      </x:c>
      <x:c r="T933" s="18" t="n">
        <x:v>665</x:v>
      </x:c>
      <x:c r="U933" s="18" t="n">
        <x:v>610</x:v>
      </x:c>
      <x:c r="V933" s="20" t="n">
        <x:v>12</x:v>
      </x:c>
      <x:c r="W933" s="20" t="n">
        <x:v>5</x:v>
      </x:c>
      <x:c r="X933" s="20" t="n">
        <x:v>3</x:v>
      </x:c>
      <x:c r="Y933" t="str">
        <x:v>Basis arsip 2025/2024</x:v>
      </x:c>
      <x:c r="Z933" t="str">
        <x:v>https://snpmb.id/utbk-snbt/daya-tampung-snbt</x:v>
      </x:c>
      <x:c r="AA933" t="str">
        <x:v>Tidak Ada</x:v>
      </x:c>
      <x:c r="AB933" t="str">
        <x:v>Campus=80; Ratio=16.5; Prodi=60; RelDemand=19.8; Capacity=63.3</x:v>
      </x:c>
    </x:row>
    <x:row r="934">
      <x:c r="A934" t="n">
        <x:v>931</x:v>
      </x:c>
      <x:c r="B934" t="str">
        <x:v>PTN Akademik</x:v>
      </x:c>
      <x:c r="C934" t="str">
        <x:v>UNIVERSITAS SULTAN AGENG TIRTAYASA</x:v>
      </x:c>
      <x:c r="D934" t="str">
        <x:v>AKUNTANSI</x:v>
      </x:c>
      <x:c r="E934" t="str">
        <x:v>Diploma Tiga</x:v>
      </x:c>
      <x:c r="F934" s="18" t="n">
        <x:v>83</x:v>
      </x:c>
      <x:c r="G934" s="18" t="n">
        <x:v>1290</x:v>
      </x:c>
      <x:c r="H934" s="19" t="n">
        <x:v>15.542168674698795</x:v>
      </x:c>
      <x:c r="I934" s="18" t="n">
        <x:f>ROUND(MIN(Model_Config_v3!$B$6,MAX(Q934,R934,S934*Model_Config_v3!$B$4+T934*Model_Config_v3!$B$5)),0)</x:f>
        <x:v>687</x:v>
      </x:c>
      <x:c r="J934" s="18" t="n">
        <x:f>MIN(Model_Config_v3!$B$6,I934+Model_Config_v3!$B$7)</x:f>
        <x:v>707</x:v>
      </x:c>
      <x:c r="K934" s="20" t="n">
        <x:v>71.6</x:v>
      </x:c>
      <x:c r="L934" t="str">
        <x:v>SANGAT KETAT</x:v>
      </x:c>
      <x:c r="M934" t="str">
        <x:v>SEDANG+</x:v>
      </x:c>
      <x:c r="N934" t="str">
        <x:v>ELITE-3</x:v>
      </x:c>
      <x:c r="O934" t="str">
        <x:v>SOSHUM</x:v>
      </x:c>
      <x:c r="P934" t="str">
        <x:v>BISNIS/EKONOMI/AKUNTANSI</x:v>
      </x:c>
      <x:c r="Q934" s="18" t="n">
        <x:v>610</x:v>
      </x:c>
      <x:c r="R934" s="18" t="n">
        <x:v>0</x:v>
      </x:c>
      <x:c r="S934" s="18" t="n">
        <x:v>651.0662779715492</x:v>
      </x:c>
      <x:c r="T934" s="18" t="n">
        <x:v>703</x:v>
      </x:c>
      <x:c r="U934" s="18" t="n">
        <x:v>651.0662779715492</x:v>
      </x:c>
      <x:c r="V934" s="20" t="n">
        <x:v>4.4</x:v>
      </x:c>
      <x:c r="W934" s="20" t="n">
        <x:v>14.3</x:v>
      </x:c>
      <x:c r="X934" s="20" t="n">
        <x:v>3.3</x:v>
      </x:c>
      <x:c r="Y934" t="str">
        <x:v>Basis arsip 2025/2024</x:v>
      </x:c>
      <x:c r="Z934" t="str">
        <x:v>https://snpmb.id/utbk-snbt/daya-tampung-snbt</x:v>
      </x:c>
      <x:c r="AA934" t="str">
        <x:v>Tidak Ada</x:v>
      </x:c>
      <x:c r="AB934" t="str">
        <x:v>Campus=80; Ratio=70.1; Prodi=65; RelDemand=100.0; Capacity=30.8</x:v>
      </x:c>
    </x:row>
    <x:row r="935">
      <x:c r="A935" t="n">
        <x:v>932</x:v>
      </x:c>
      <x:c r="B935" t="str">
        <x:v>PTN Akademik</x:v>
      </x:c>
      <x:c r="C935" t="str">
        <x:v>UNIVERSITAS SULTAN AGENG TIRTAYASA</x:v>
      </x:c>
      <x:c r="D935" t="str">
        <x:v>PERBANKAN DAN KEUANGAN</x:v>
      </x:c>
      <x:c r="E935" t="str">
        <x:v>Diploma Tiga</x:v>
      </x:c>
      <x:c r="F935" s="18" t="n">
        <x:v>83</x:v>
      </x:c>
      <x:c r="G935" s="18" t="n">
        <x:v>1182</x:v>
      </x:c>
      <x:c r="H935" s="19" t="n">
        <x:v>14.240963855421686</x:v>
      </x:c>
      <x:c r="I935" s="18" t="n">
        <x:f>ROUND(MIN(Model_Config_v3!$B$6,MAX(Q935,R935,S935*Model_Config_v3!$B$4+T935*Model_Config_v3!$B$5)),0)</x:f>
        <x:v>678</x:v>
      </x:c>
      <x:c r="J935" s="18" t="n">
        <x:f>MIN(Model_Config_v3!$B$6,I935+Model_Config_v3!$B$7)</x:f>
        <x:v>698</x:v>
      </x:c>
      <x:c r="K935" s="20" t="n">
        <x:v>66.1</x:v>
      </x:c>
      <x:c r="L935" t="str">
        <x:v>SANGAT KETAT</x:v>
      </x:c>
      <x:c r="M935" t="str">
        <x:v>SEDANG+</x:v>
      </x:c>
      <x:c r="N935" t="str">
        <x:v>ELITE-3</x:v>
      </x:c>
      <x:c r="O935" t="str">
        <x:v>CAMPURAN</x:v>
      </x:c>
      <x:c r="P935" t="str">
        <x:v>UMUM</x:v>
      </x:c>
      <x:c r="Q935" s="18" t="n">
        <x:v>610</x:v>
      </x:c>
      <x:c r="R935" s="18" t="n">
        <x:v>0</x:v>
      </x:c>
      <x:c r="S935" s="18" t="n">
        <x:v>646.8893322586079</x:v>
      </x:c>
      <x:c r="T935" s="18" t="n">
        <x:v>692</x:v>
      </x:c>
      <x:c r="U935" s="18" t="n">
        <x:v>646.8893322586079</x:v>
      </x:c>
      <x:c r="V935" s="20" t="n">
        <x:v>8.8</x:v>
      </x:c>
      <x:c r="W935" s="20" t="n">
        <x:v>9.9</x:v>
      </x:c>
      <x:c r="X935" s="20" t="n">
        <x:v>3.3</x:v>
      </x:c>
      <x:c r="Y935" t="str">
        <x:v>Basis arsip 2025/2024</x:v>
      </x:c>
      <x:c r="Z935" t="str">
        <x:v>https://snpmb.id/utbk-snbt/daya-tampung-snbt</x:v>
      </x:c>
      <x:c r="AA935" t="str">
        <x:v>Tidak Ada</x:v>
      </x:c>
      <x:c r="AB935" t="str">
        <x:v>Campus=80; Ratio=67.9; Prodi=40; RelDemand=100.0; Capacity=30.8</x:v>
      </x:c>
    </x:row>
    <x:row r="936">
      <x:c r="A936" t="n">
        <x:v>933</x:v>
      </x:c>
      <x:c r="B936" t="str">
        <x:v>PTN Akademik</x:v>
      </x:c>
      <x:c r="C936" t="str">
        <x:v>UNIVERSITAS SULTAN AGENG TIRTAYASA</x:v>
      </x:c>
      <x:c r="D936" t="str">
        <x:v>MANAJEMEN PEMASARAN</x:v>
      </x:c>
      <x:c r="E936" t="str">
        <x:v>Diploma Tiga</x:v>
      </x:c>
      <x:c r="F936" s="18" t="n">
        <x:v>83</x:v>
      </x:c>
      <x:c r="G936" s="18" t="n">
        <x:v>1348</x:v>
      </x:c>
      <x:c r="H936" s="19" t="n">
        <x:v>16.240963855421686</x:v>
      </x:c>
      <x:c r="I936" s="18" t="n">
        <x:f>ROUND(MIN(Model_Config_v3!$B$6,MAX(Q936,R936,S936*Model_Config_v3!$B$4+T936*Model_Config_v3!$B$5)),0)</x:f>
        <x:v>689</x:v>
      </x:c>
      <x:c r="J936" s="18" t="n">
        <x:f>MIN(Model_Config_v3!$B$6,I936+Model_Config_v3!$B$7)</x:f>
        <x:v>709</x:v>
      </x:c>
      <x:c r="K936" s="20" t="n">
        <x:v>71.9</x:v>
      </x:c>
      <x:c r="L936" t="str">
        <x:v>SANGAT KETAT</x:v>
      </x:c>
      <x:c r="M936" t="str">
        <x:v>SEDANG+</x:v>
      </x:c>
      <x:c r="N936" t="str">
        <x:v>ELITE-3</x:v>
      </x:c>
      <x:c r="O936" t="str">
        <x:v>SOSHUM</x:v>
      </x:c>
      <x:c r="P936" t="str">
        <x:v>BISNIS/EKONOMI/AKUNTANSI</x:v>
      </x:c>
      <x:c r="Q936" s="18" t="n">
        <x:v>610</x:v>
      </x:c>
      <x:c r="R936" s="18" t="n">
        <x:v>0</x:v>
      </x:c>
      <x:c r="S936" s="18" t="n">
        <x:v>653.167297980555</x:v>
      </x:c>
      <x:c r="T936" s="18" t="n">
        <x:v>704</x:v>
      </x:c>
      <x:c r="U936" s="18" t="n">
        <x:v>668.167297980555</x:v>
      </x:c>
      <x:c r="V936" s="20" t="n">
        <x:v>4.4</x:v>
      </x:c>
      <x:c r="W936" s="20" t="n">
        <x:v>14.3</x:v>
      </x:c>
      <x:c r="X936" s="20" t="n">
        <x:v>3.3</x:v>
      </x:c>
      <x:c r="Y936" t="str">
        <x:v>Basis arsip 2025/2024</x:v>
      </x:c>
      <x:c r="Z936" t="str">
        <x:v>https://snpmb.id/utbk-snbt/daya-tampung-snbt</x:v>
      </x:c>
      <x:c r="AA936" t="str">
        <x:v>Tidak Ada</x:v>
      </x:c>
      <x:c r="AB936" t="str">
        <x:v>Campus=80; Ratio=71.3; Prodi=65; RelDemand=100.0; Capacity=30.8</x:v>
      </x:c>
    </x:row>
    <x:row r="937">
      <x:c r="A937" t="n">
        <x:v>934</x:v>
      </x:c>
      <x:c r="B937" t="str">
        <x:v>PTN Akademik</x:v>
      </x:c>
      <x:c r="C937" t="str">
        <x:v>UNIVERSITAS SULTAN AGENG TIRTAYASA</x:v>
      </x:c>
      <x:c r="D937" t="str">
        <x:v>PERPAJAKAN</x:v>
      </x:c>
      <x:c r="E937" t="str">
        <x:v>Diploma Tiga</x:v>
      </x:c>
      <x:c r="F937" s="18" t="n">
        <x:v>83</x:v>
      </x:c>
      <x:c r="G937" s="18" t="n">
        <x:v>1159</x:v>
      </x:c>
      <x:c r="H937" s="19" t="n">
        <x:v>13.963855421686747</x:v>
      </x:c>
      <x:c r="I937" s="18" t="n">
        <x:f>ROUND(MIN(Model_Config_v3!$B$6,MAX(Q937,R937,S937*Model_Config_v3!$B$4+T937*Model_Config_v3!$B$5)),0)</x:f>
        <x:v>678</x:v>
      </x:c>
      <x:c r="J937" s="18" t="n">
        <x:f>MIN(Model_Config_v3!$B$6,I937+Model_Config_v3!$B$7)</x:f>
        <x:v>698</x:v>
      </x:c>
      <x:c r="K937" s="20" t="n">
        <x:v>65.9</x:v>
      </x:c>
      <x:c r="L937" t="str">
        <x:v>SANGAT KETAT</x:v>
      </x:c>
      <x:c r="M937" t="str">
        <x:v>SEDANG+</x:v>
      </x:c>
      <x:c r="N937" t="str">
        <x:v>ELITE-3</x:v>
      </x:c>
      <x:c r="O937" t="str">
        <x:v>CAMPURAN</x:v>
      </x:c>
      <x:c r="P937" t="str">
        <x:v>UMUM</x:v>
      </x:c>
      <x:c r="Q937" s="18" t="n">
        <x:v>610</x:v>
      </x:c>
      <x:c r="R937" s="18" t="n">
        <x:v>0</x:v>
      </x:c>
      <x:c r="S937" s="18" t="n">
        <x:v>645.9505877946274</x:v>
      </x:c>
      <x:c r="T937" s="18" t="n">
        <x:v>692</x:v>
      </x:c>
      <x:c r="U937" s="18" t="n">
        <x:v>645.9505877946274</x:v>
      </x:c>
      <x:c r="V937" s="20" t="n">
        <x:v>8.8</x:v>
      </x:c>
      <x:c r="W937" s="20" t="n">
        <x:v>9.9</x:v>
      </x:c>
      <x:c r="X937" s="20" t="n">
        <x:v>3.3</x:v>
      </x:c>
      <x:c r="Y937" t="str">
        <x:v>Basis arsip 2025/2024</x:v>
      </x:c>
      <x:c r="Z937" t="str">
        <x:v>https://snpmb.id/utbk-snbt/daya-tampung-snbt</x:v>
      </x:c>
      <x:c r="AA937" t="str">
        <x:v>Tidak Ada</x:v>
      </x:c>
      <x:c r="AB937" t="str">
        <x:v>Campus=80; Ratio=67.4; Prodi=40; RelDemand=100.0; Capacity=30.8</x:v>
      </x:c>
    </x:row>
    <x:row r="938">
      <x:c r="A938" t="n">
        <x:v>935</x:v>
      </x:c>
      <x:c r="B938" t="str">
        <x:v>PTN Akademik</x:v>
      </x:c>
      <x:c r="C938" t="str">
        <x:v>UNIVERSITAS INDONESIA</x:v>
      </x:c>
      <x:c r="D938" t="str">
        <x:v>PENDIDIKAN DOKTER</x:v>
      </x:c>
      <x:c r="E938" t="str">
        <x:v>Sarjana</x:v>
      </x:c>
      <x:c r="F938" s="18" t="n">
        <x:v>90</x:v>
      </x:c>
      <x:c r="G938" s="18" t="n">
        <x:v>3275</x:v>
      </x:c>
      <x:c r="H938" s="19" t="n">
        <x:v>36.388888888888886</x:v>
      </x:c>
      <x:c r="I938" s="18" t="n">
        <x:f>ROUND(MIN(Model_Config_v3!$B$6,MAX(Q938,R938,S938*Model_Config_v3!$B$4+T938*Model_Config_v3!$B$5)),0)</x:f>
        <x:v>745</x:v>
      </x:c>
      <x:c r="J938" s="18" t="n">
        <x:f>MIN(Model_Config_v3!$B$6,I938+Model_Config_v3!$B$7)</x:f>
        <x:v>765</x:v>
      </x:c>
      <x:c r="K938" s="20" t="n">
        <x:v>85.9</x:v>
      </x:c>
      <x:c r="L938" t="str">
        <x:v>ULTRA ELITE</x:v>
      </x:c>
      <x:c r="M938" t="str">
        <x:v>SEDANG+</x:v>
      </x:c>
      <x:c r="N938" t="str">
        <x:v>ELITE-1</x:v>
      </x:c>
      <x:c r="O938" t="str">
        <x:v>SAINTEK</x:v>
      </x:c>
      <x:c r="P938" t="str">
        <x:v>KEDOKTERAN</x:v>
      </x:c>
      <x:c r="Q938" s="18" t="n">
        <x:v>675</x:v>
      </x:c>
      <x:c r="R938" s="18" t="n">
        <x:v>745</x:v>
      </x:c>
      <x:c r="S938" s="18" t="n">
        <x:v>691.7065674377325</x:v>
      </x:c>
      <x:c r="T938" s="18" t="n">
        <x:v>732</x:v>
      </x:c>
      <x:c r="U938" s="18" t="n">
        <x:v>745</x:v>
      </x:c>
      <x:c r="V938" s="20" t="n">
        <x:v>12</x:v>
      </x:c>
      <x:c r="W938" s="20" t="n">
        <x:v>5</x:v>
      </x:c>
      <x:c r="X938" s="20" t="n">
        <x:v>3</x:v>
      </x:c>
      <x:c r="Y938" t="str">
        <x:v>Basis arsip 2025/2024</x:v>
      </x:c>
      <x:c r="Z938" t="str">
        <x:v>https://snpmb.id/utbk-snbt/daya-tampung-snbt</x:v>
      </x:c>
      <x:c r="AA938" t="str">
        <x:v>Tidak Ada</x:v>
      </x:c>
      <x:c r="AB938" t="str">
        <x:v>Campus=100; Ratio=91.9; Prodi=100; RelDemand=54.2; Capacity=25.0</x:v>
      </x:c>
    </x:row>
    <x:row r="939">
      <x:c r="A939" t="n">
        <x:v>936</x:v>
      </x:c>
      <x:c r="B939" t="str">
        <x:v>PTN Akademik</x:v>
      </x:c>
      <x:c r="C939" t="str">
        <x:v>UNIVERSITAS INDONESIA</x:v>
      </x:c>
      <x:c r="D939" t="str">
        <x:v>PENDIDIKAN DOKTER GIGI</x:v>
      </x:c>
      <x:c r="E939" t="str">
        <x:v>Sarjana</x:v>
      </x:c>
      <x:c r="F939" s="18" t="n">
        <x:v>54</x:v>
      </x:c>
      <x:c r="G939" s="18" t="n">
        <x:v>1104</x:v>
      </x:c>
      <x:c r="H939" s="19" t="n">
        <x:v>20.444444444444443</x:v>
      </x:c>
      <x:c r="I939" s="18" t="n">
        <x:f>ROUND(MIN(Model_Config_v3!$B$6,MAX(Q939,R939,S939*Model_Config_v3!$B$4+T939*Model_Config_v3!$B$5)),0)</x:f>
        <x:v>720</x:v>
      </x:c>
      <x:c r="J939" s="18" t="n">
        <x:f>MIN(Model_Config_v3!$B$6,I939+Model_Config_v3!$B$7)</x:f>
        <x:v>740</x:v>
      </x:c>
      <x:c r="K939" s="20" t="n">
        <x:v>80.8</x:v>
      </x:c>
      <x:c r="L939" t="str">
        <x:v>ELITE</x:v>
      </x:c>
      <x:c r="M939" t="str">
        <x:v>SEDANG+</x:v>
      </x:c>
      <x:c r="N939" t="str">
        <x:v>ELITE-1</x:v>
      </x:c>
      <x:c r="O939" t="str">
        <x:v>SAINTEK</x:v>
      </x:c>
      <x:c r="P939" t="str">
        <x:v>KEDOKTERAN GIGI</x:v>
      </x:c>
      <x:c r="Q939" s="18" t="n">
        <x:v>675</x:v>
      </x:c>
      <x:c r="R939" s="18" t="n">
        <x:v>720</x:v>
      </x:c>
      <x:c r="S939" s="18" t="n">
        <x:v>664.1632844927233</x:v>
      </x:c>
      <x:c r="T939" s="18" t="n">
        <x:v>722</x:v>
      </x:c>
      <x:c r="U939" s="18" t="n">
        <x:v>720</x:v>
      </x:c>
      <x:c r="V939" s="20" t="n">
        <x:v>12</x:v>
      </x:c>
      <x:c r="W939" s="20" t="n">
        <x:v>5</x:v>
      </x:c>
      <x:c r="X939" s="20" t="n">
        <x:v>3</x:v>
      </x:c>
      <x:c r="Y939" t="str">
        <x:v>Basis arsip 2025/2024</x:v>
      </x:c>
      <x:c r="Z939" t="str">
        <x:v>https://snpmb.id/utbk-snbt/daya-tampung-snbt</x:v>
      </x:c>
      <x:c r="AA939" t="str">
        <x:v>Tidak Ada</x:v>
      </x:c>
      <x:c r="AB939" t="str">
        <x:v>Campus=100; Ratio=77.1; Prodi=90; RelDemand=30.4; Capacity=55.0</x:v>
      </x:c>
    </x:row>
    <x:row r="940">
      <x:c r="A940" t="n">
        <x:v>937</x:v>
      </x:c>
      <x:c r="B940" t="str">
        <x:v>PTN Akademik</x:v>
      </x:c>
      <x:c r="C940" t="str">
        <x:v>UNIVERSITAS INDONESIA</x:v>
      </x:c>
      <x:c r="D940" t="str">
        <x:v>MATEMATIKA</x:v>
      </x:c>
      <x:c r="E940" t="str">
        <x:v>Sarjana</x:v>
      </x:c>
      <x:c r="F940" s="18" t="n">
        <x:v>30</x:v>
      </x:c>
      <x:c r="G940" s="18" t="n">
        <x:v>315</x:v>
      </x:c>
      <x:c r="H940" s="19" t="n">
        <x:v>10.5</x:v>
      </x:c>
      <x:c r="I940" s="18" t="n">
        <x:f>ROUND(MIN(Model_Config_v3!$B$6,MAX(Q940,R940,S940*Model_Config_v3!$B$4+T940*Model_Config_v3!$B$5)),0)</x:f>
        <x:v>678</x:v>
      </x:c>
      <x:c r="J940" s="18" t="n">
        <x:f>MIN(Model_Config_v3!$B$6,I940+Model_Config_v3!$B$7)</x:f>
        <x:v>698</x:v>
      </x:c>
      <x:c r="K940" s="20" t="n">
        <x:v>69.1</x:v>
      </x:c>
      <x:c r="L940" t="str">
        <x:v>SANGAT KETAT</x:v>
      </x:c>
      <x:c r="M940" t="str">
        <x:v>SEDANG+</x:v>
      </x:c>
      <x:c r="N940" t="str">
        <x:v>ELITE-1</x:v>
      </x:c>
      <x:c r="O940" t="str">
        <x:v>SAINTEK</x:v>
      </x:c>
      <x:c r="P940" t="str">
        <x:v>SAINS DASAR</x:v>
      </x:c>
      <x:c r="Q940" s="18" t="n">
        <x:v>675</x:v>
      </x:c>
      <x:c r="R940" s="18" t="n">
        <x:v>675</x:v>
      </x:c>
      <x:c r="S940" s="18" t="n">
        <x:v>632.3308228976932</x:v>
      </x:c>
      <x:c r="T940" s="18" t="n">
        <x:v>698</x:v>
      </x:c>
      <x:c r="U940" s="18" t="n">
        <x:v>675</x:v>
      </x:c>
      <x:c r="V940" s="20" t="n">
        <x:v>12</x:v>
      </x:c>
      <x:c r="W940" s="20" t="n">
        <x:v>5</x:v>
      </x:c>
      <x:c r="X940" s="20" t="n">
        <x:v>3</x:v>
      </x:c>
      <x:c r="Y940" t="str">
        <x:v>Basis arsip 2025/2024</x:v>
      </x:c>
      <x:c r="Z940" t="str">
        <x:v>https://snpmb.id/utbk-snbt/daya-tampung-snbt</x:v>
      </x:c>
      <x:c r="AA940" t="str">
        <x:v>Tidak Ada</x:v>
      </x:c>
      <x:c r="AB940" t="str">
        <x:v>Campus=100; Ratio=60.1; Prodi=50; RelDemand=15.6; Capacity=75.0</x:v>
      </x:c>
    </x:row>
    <x:row r="941">
      <x:c r="A941" t="n">
        <x:v>938</x:v>
      </x:c>
      <x:c r="B941" t="str">
        <x:v>PTN Akademik</x:v>
      </x:c>
      <x:c r="C941" t="str">
        <x:v>UNIVERSITAS INDONESIA</x:v>
      </x:c>
      <x:c r="D941" t="str">
        <x:v>FISIKA</x:v>
      </x:c>
      <x:c r="E941" t="str">
        <x:v>Sarjana</x:v>
      </x:c>
      <x:c r="F941" s="18" t="n">
        <x:v>42</x:v>
      </x:c>
      <x:c r="G941" s="18" t="n">
        <x:v>225</x:v>
      </x:c>
      <x:c r="H941" s="19" t="n">
        <x:v>5.357142857142857</x:v>
      </x:c>
      <x:c r="I941" s="18" t="n">
        <x:f>ROUND(MIN(Model_Config_v3!$B$6,MAX(Q941,R941,S941*Model_Config_v3!$B$4+T941*Model_Config_v3!$B$5)),0)</x:f>
        <x:v>675</x:v>
      </x:c>
      <x:c r="J941" s="18" t="n">
        <x:f>MIN(Model_Config_v3!$B$6,I941+Model_Config_v3!$B$7)</x:f>
        <x:v>695</x:v>
      </x:c>
      <x:c r="K941" s="20" t="n">
        <x:v>63</x:v>
      </x:c>
      <x:c r="L941" t="str">
        <x:v>KETAT</x:v>
      </x:c>
      <x:c r="M941" t="str">
        <x:v>SEDANG+</x:v>
      </x:c>
      <x:c r="N941" t="str">
        <x:v>ELITE-1</x:v>
      </x:c>
      <x:c r="O941" t="str">
        <x:v>SAINTEK</x:v>
      </x:c>
      <x:c r="P941" t="str">
        <x:v>SAINS DASAR</x:v>
      </x:c>
      <x:c r="Q941" s="18" t="n">
        <x:v>675</x:v>
      </x:c>
      <x:c r="R941" s="18" t="n">
        <x:v>675</x:v>
      </x:c>
      <x:c r="S941" s="18" t="n">
        <x:v>600.1826550484808</x:v>
      </x:c>
      <x:c r="T941" s="18" t="n">
        <x:v>686</x:v>
      </x:c>
      <x:c r="U941" s="18" t="n">
        <x:v>675</x:v>
      </x:c>
      <x:c r="V941" s="20" t="n">
        <x:v>12</x:v>
      </x:c>
      <x:c r="W941" s="20" t="n">
        <x:v>5</x:v>
      </x:c>
      <x:c r="X941" s="20" t="n">
        <x:v>3</x:v>
      </x:c>
      <x:c r="Y941" t="str">
        <x:v>Basis arsip 2025/2024</x:v>
      </x:c>
      <x:c r="Z941" t="str">
        <x:v>https://snpmb.id/utbk-snbt/daya-tampung-snbt</x:v>
      </x:c>
      <x:c r="AA941" t="str">
        <x:v>Tidak Ada</x:v>
      </x:c>
      <x:c r="AB941" t="str">
        <x:v>Campus=100; Ratio=42.9; Prodi=50; RelDemand=8.0; Capacity=65.0</x:v>
      </x:c>
    </x:row>
    <x:row r="942">
      <x:c r="A942" t="n">
        <x:v>939</x:v>
      </x:c>
      <x:c r="B942" t="str">
        <x:v>PTN Akademik</x:v>
      </x:c>
      <x:c r="C942" t="str">
        <x:v>UNIVERSITAS INDONESIA</x:v>
      </x:c>
      <x:c r="D942" t="str">
        <x:v>KIMIA</x:v>
      </x:c>
      <x:c r="E942" t="str">
        <x:v>Sarjana</x:v>
      </x:c>
      <x:c r="F942" s="18" t="n">
        <x:v>42</x:v>
      </x:c>
      <x:c r="G942" s="18" t="n">
        <x:v>309</x:v>
      </x:c>
      <x:c r="H942" s="19" t="n">
        <x:v>7.357142857142857</x:v>
      </x:c>
      <x:c r="I942" s="18" t="n">
        <x:f>ROUND(MIN(Model_Config_v3!$B$6,MAX(Q942,R942,S942*Model_Config_v3!$B$4+T942*Model_Config_v3!$B$5)),0)</x:f>
        <x:v>675</x:v>
      </x:c>
      <x:c r="J942" s="18" t="n">
        <x:f>MIN(Model_Config_v3!$B$6,I942+Model_Config_v3!$B$7)</x:f>
        <x:v>695</x:v>
      </x:c>
      <x:c r="K942" s="20" t="n">
        <x:v>65.3</x:v>
      </x:c>
      <x:c r="L942" t="str">
        <x:v>SANGAT KETAT</x:v>
      </x:c>
      <x:c r="M942" t="str">
        <x:v>SEDANG+</x:v>
      </x:c>
      <x:c r="N942" t="str">
        <x:v>ELITE-1</x:v>
      </x:c>
      <x:c r="O942" t="str">
        <x:v>SAINTEK</x:v>
      </x:c>
      <x:c r="P942" t="str">
        <x:v>SAINS DASAR</x:v>
      </x:c>
      <x:c r="Q942" s="18" t="n">
        <x:v>675</x:v>
      </x:c>
      <x:c r="R942" s="18" t="n">
        <x:v>675</x:v>
      </x:c>
      <x:c r="S942" s="18" t="n">
        <x:v>615.3380107929628</x:v>
      </x:c>
      <x:c r="T942" s="18" t="n">
        <x:v>691</x:v>
      </x:c>
      <x:c r="U942" s="18" t="n">
        <x:v>675</x:v>
      </x:c>
      <x:c r="V942" s="20" t="n">
        <x:v>12</x:v>
      </x:c>
      <x:c r="W942" s="20" t="n">
        <x:v>5</x:v>
      </x:c>
      <x:c r="X942" s="20" t="n">
        <x:v>3</x:v>
      </x:c>
      <x:c r="Y942" t="str">
        <x:v>Basis arsip 2025/2024</x:v>
      </x:c>
      <x:c r="Z942" t="str">
        <x:v>https://snpmb.id/utbk-snbt/daya-tampung-snbt</x:v>
      </x:c>
      <x:c r="AA942" t="str">
        <x:v>Tidak Ada</x:v>
      </x:c>
      <x:c r="AB942" t="str">
        <x:v>Campus=100; Ratio=51.0; Prodi=50; RelDemand=11.0; Capacity=65.0</x:v>
      </x:c>
    </x:row>
    <x:row r="943">
      <x:c r="A943" t="n">
        <x:v>940</x:v>
      </x:c>
      <x:c r="B943" t="str">
        <x:v>PTN Akademik</x:v>
      </x:c>
      <x:c r="C943" t="str">
        <x:v>UNIVERSITAS INDONESIA</x:v>
      </x:c>
      <x:c r="D943" t="str">
        <x:v>BIOLOGI</x:v>
      </x:c>
      <x:c r="E943" t="str">
        <x:v>Sarjana</x:v>
      </x:c>
      <x:c r="F943" s="18" t="n">
        <x:v>36</x:v>
      </x:c>
      <x:c r="G943" s="18" t="n">
        <x:v>398</x:v>
      </x:c>
      <x:c r="H943" s="19" t="n">
        <x:v>11.055555555555555</x:v>
      </x:c>
      <x:c r="I943" s="18" t="n">
        <x:f>ROUND(MIN(Model_Config_v3!$B$6,MAX(Q943,R943,S943*Model_Config_v3!$B$4+T943*Model_Config_v3!$B$5)),0)</x:f>
        <x:v>679</x:v>
      </x:c>
      <x:c r="J943" s="18" t="n">
        <x:f>MIN(Model_Config_v3!$B$6,I943+Model_Config_v3!$B$7)</x:f>
        <x:v>699</x:v>
      </x:c>
      <x:c r="K943" s="20" t="n">
        <x:v>69</x:v>
      </x:c>
      <x:c r="L943" t="str">
        <x:v>SANGAT KETAT</x:v>
      </x:c>
      <x:c r="M943" t="str">
        <x:v>SEDANG+</x:v>
      </x:c>
      <x:c r="N943" t="str">
        <x:v>ELITE-1</x:v>
      </x:c>
      <x:c r="O943" t="str">
        <x:v>SAINTEK</x:v>
      </x:c>
      <x:c r="P943" t="str">
        <x:v>SAINS DASAR</x:v>
      </x:c>
      <x:c r="Q943" s="18" t="n">
        <x:v>675</x:v>
      </x:c>
      <x:c r="R943" s="18" t="n">
        <x:v>675</x:v>
      </x:c>
      <x:c r="S943" s="18" t="n">
        <x:v>634.7938628437041</x:v>
      </x:c>
      <x:c r="T943" s="18" t="n">
        <x:v>698</x:v>
      </x:c>
      <x:c r="U943" s="18" t="n">
        <x:v>675</x:v>
      </x:c>
      <x:c r="V943" s="20" t="n">
        <x:v>12</x:v>
      </x:c>
      <x:c r="W943" s="20" t="n">
        <x:v>5</x:v>
      </x:c>
      <x:c r="X943" s="20" t="n">
        <x:v>3</x:v>
      </x:c>
      <x:c r="Y943" t="str">
        <x:v>Basis arsip 2025/2024</x:v>
      </x:c>
      <x:c r="Z943" t="str">
        <x:v>https://snpmb.id/utbk-snbt/daya-tampung-snbt</x:v>
      </x:c>
      <x:c r="AA943" t="str">
        <x:v>Tidak Ada</x:v>
      </x:c>
      <x:c r="AB943" t="str">
        <x:v>Campus=100; Ratio=61.4; Prodi=50; RelDemand=16.5; Capacity=70.0</x:v>
      </x:c>
    </x:row>
    <x:row r="944">
      <x:c r="A944" t="n">
        <x:v>941</x:v>
      </x:c>
      <x:c r="B944" t="str">
        <x:v>PTN Akademik</x:v>
      </x:c>
      <x:c r="C944" t="str">
        <x:v>UNIVERSITAS INDONESIA</x:v>
      </x:c>
      <x:c r="D944" t="str">
        <x:v>FARMASI</x:v>
      </x:c>
      <x:c r="E944" t="str">
        <x:v>Sarjana</x:v>
      </x:c>
      <x:c r="F944" s="18" t="n">
        <x:v>54</x:v>
      </x:c>
      <x:c r="G944" s="18" t="n">
        <x:v>1070</x:v>
      </x:c>
      <x:c r="H944" s="19" t="n">
        <x:v>19.814814814814813</x:v>
      </x:c>
      <x:c r="I944" s="18" t="n">
        <x:f>ROUND(MIN(Model_Config_v3!$B$6,MAX(Q944,R944,S944*Model_Config_v3!$B$4+T944*Model_Config_v3!$B$5)),0)</x:f>
        <x:v>700</x:v>
      </x:c>
      <x:c r="J944" s="18" t="n">
        <x:f>MIN(Model_Config_v3!$B$6,I944+Model_Config_v3!$B$7)</x:f>
        <x:v>720</x:v>
      </x:c>
      <x:c r="K944" s="20" t="n">
        <x:v>77.5</x:v>
      </x:c>
      <x:c r="L944" t="str">
        <x:v>ELITE</x:v>
      </x:c>
      <x:c r="M944" t="str">
        <x:v>SEDANG+</x:v>
      </x:c>
      <x:c r="N944" t="str">
        <x:v>ELITE-1</x:v>
      </x:c>
      <x:c r="O944" t="str">
        <x:v>SAINTEK</x:v>
      </x:c>
      <x:c r="P944" t="str">
        <x:v>FARMASI</x:v>
      </x:c>
      <x:c r="Q944" s="18" t="n">
        <x:v>675</x:v>
      </x:c>
      <x:c r="R944" s="18" t="n">
        <x:v>700</x:v>
      </x:c>
      <x:c r="S944" s="18" t="n">
        <x:v>662.6689019648466</x:v>
      </x:c>
      <x:c r="T944" s="18" t="n">
        <x:v>715</x:v>
      </x:c>
      <x:c r="U944" s="18" t="n">
        <x:v>700</x:v>
      </x:c>
      <x:c r="V944" s="20" t="n">
        <x:v>12</x:v>
      </x:c>
      <x:c r="W944" s="20" t="n">
        <x:v>5</x:v>
      </x:c>
      <x:c r="X944" s="20" t="n">
        <x:v>3</x:v>
      </x:c>
      <x:c r="Y944" t="str">
        <x:v>Basis arsip 2025/2024</x:v>
      </x:c>
      <x:c r="Z944" t="str">
        <x:v>https://snpmb.id/utbk-snbt/daya-tampung-snbt</x:v>
      </x:c>
      <x:c r="AA944" t="str">
        <x:v>Tidak Ada</x:v>
      </x:c>
      <x:c r="AB944" t="str">
        <x:v>Campus=100; Ratio=76.3; Prodi=75; RelDemand=29.5; Capacity=55.0</x:v>
      </x:c>
    </x:row>
    <x:row r="945">
      <x:c r="A945" t="n">
        <x:v>942</x:v>
      </x:c>
      <x:c r="B945" t="str">
        <x:v>PTN Akademik</x:v>
      </x:c>
      <x:c r="C945" t="str">
        <x:v>UNIVERSITAS INDONESIA</x:v>
      </x:c>
      <x:c r="D945" t="str">
        <x:v>GEOGRAFI</x:v>
      </x:c>
      <x:c r="E945" t="str">
        <x:v>Sarjana</x:v>
      </x:c>
      <x:c r="F945" s="18" t="n">
        <x:v>42</x:v>
      </x:c>
      <x:c r="G945" s="18" t="n">
        <x:v>322</x:v>
      </x:c>
      <x:c r="H945" s="19" t="n">
        <x:v>7.666666666666667</x:v>
      </x:c>
      <x:c r="I945" s="18" t="n">
        <x:f>ROUND(MIN(Model_Config_v3!$B$6,MAX(Q945,R945,S945*Model_Config_v3!$B$4+T945*Model_Config_v3!$B$5)),0)</x:f>
        <x:v>675</x:v>
      </x:c>
      <x:c r="J945" s="18" t="n">
        <x:f>MIN(Model_Config_v3!$B$6,I945+Model_Config_v3!$B$7)</x:f>
        <x:v>695</x:v>
      </x:c>
      <x:c r="K945" s="20" t="n">
        <x:v>63.7</x:v>
      </x:c>
      <x:c r="L945" t="str">
        <x:v>KETAT</x:v>
      </x:c>
      <x:c r="M945" t="str">
        <x:v>SEDANG+</x:v>
      </x:c>
      <x:c r="N945" t="str">
        <x:v>ELITE-1</x:v>
      </x:c>
      <x:c r="O945" t="str">
        <x:v>CAMPURAN</x:v>
      </x:c>
      <x:c r="P945" t="str">
        <x:v>UMUM</x:v>
      </x:c>
      <x:c r="Q945" s="18" t="n">
        <x:v>675</x:v>
      </x:c>
      <x:c r="R945" s="18" t="n">
        <x:v>0</x:v>
      </x:c>
      <x:c r="S945" s="18" t="n">
        <x:v>617.3067239427724</x:v>
      </x:c>
      <x:c r="T945" s="18" t="n">
        <x:v>687</x:v>
      </x:c>
      <x:c r="U945" s="18" t="n">
        <x:v>675</x:v>
      </x:c>
      <x:c r="V945" s="20" t="n">
        <x:v>8.8</x:v>
      </x:c>
      <x:c r="W945" s="20" t="n">
        <x:v>9.9</x:v>
      </x:c>
      <x:c r="X945" s="20" t="n">
        <x:v>3.3</x:v>
      </x:c>
      <x:c r="Y945" t="str">
        <x:v>Basis arsip 2025/2024</x:v>
      </x:c>
      <x:c r="Z945" t="str">
        <x:v>https://snpmb.id/utbk-snbt/daya-tampung-snbt</x:v>
      </x:c>
      <x:c r="AA945" t="str">
        <x:v>Tidak Ada</x:v>
      </x:c>
      <x:c r="AB945" t="str">
        <x:v>Campus=100; Ratio=52.1; Prodi=40; RelDemand=11.4; Capacity=65.0</x:v>
      </x:c>
    </x:row>
    <x:row r="946">
      <x:c r="A946" t="n">
        <x:v>943</x:v>
      </x:c>
      <x:c r="B946" t="str">
        <x:v>PTN Akademik</x:v>
      </x:c>
      <x:c r="C946" t="str">
        <x:v>UNIVERSITAS INDONESIA</x:v>
      </x:c>
      <x:c r="D946" t="str">
        <x:v>TEKNIK SIPIL</x:v>
      </x:c>
      <x:c r="E946" t="str">
        <x:v>Sarjana</x:v>
      </x:c>
      <x:c r="F946" s="18" t="n">
        <x:v>60</x:v>
      </x:c>
      <x:c r="G946" s="18" t="n">
        <x:v>919</x:v>
      </x:c>
      <x:c r="H946" s="19" t="n">
        <x:v>15.316666666666666</x:v>
      </x:c>
      <x:c r="I946" s="18" t="n">
        <x:f>ROUND(MIN(Model_Config_v3!$B$6,MAX(Q946,R946,S946*Model_Config_v3!$B$4+T946*Model_Config_v3!$B$5)),0)</x:f>
        <x:v>690</x:v>
      </x:c>
      <x:c r="J946" s="18" t="n">
        <x:f>MIN(Model_Config_v3!$B$6,I946+Model_Config_v3!$B$7)</x:f>
        <x:v>710</x:v>
      </x:c>
      <x:c r="K946" s="20" t="n">
        <x:v>71.7</x:v>
      </x:c>
      <x:c r="L946" t="str">
        <x:v>SANGAT KETAT</x:v>
      </x:c>
      <x:c r="M946" t="str">
        <x:v>SEDANG+</x:v>
      </x:c>
      <x:c r="N946" t="str">
        <x:v>ELITE-1</x:v>
      </x:c>
      <x:c r="O946" t="str">
        <x:v>SAINTEK</x:v>
      </x:c>
      <x:c r="P946" t="str">
        <x:v>TEKNIK/ARSITEKTUR/STATISTIKA/AKTUARIA</x:v>
      </x:c>
      <x:c r="Q946" s="18" t="n">
        <x:v>675</x:v>
      </x:c>
      <x:c r="R946" s="18" t="n">
        <x:v>690</x:v>
      </x:c>
      <x:c r="S946" s="18" t="n">
        <x:v>650.3680687102715</x:v>
      </x:c>
      <x:c r="T946" s="18" t="n">
        <x:v>703</x:v>
      </x:c>
      <x:c r="U946" s="18" t="n">
        <x:v>675</x:v>
      </x:c>
      <x:c r="V946" s="20" t="n">
        <x:v>12</x:v>
      </x:c>
      <x:c r="W946" s="20" t="n">
        <x:v>5</x:v>
      </x:c>
      <x:c r="X946" s="20" t="n">
        <x:v>3</x:v>
      </x:c>
      <x:c r="Y946" t="str">
        <x:v>Basis arsip 2025/2024</x:v>
      </x:c>
      <x:c r="Z946" t="str">
        <x:v>https://snpmb.id/utbk-snbt/daya-tampung-snbt</x:v>
      </x:c>
      <x:c r="AA946" t="str">
        <x:v>Tidak Ada</x:v>
      </x:c>
      <x:c r="AB946" t="str">
        <x:v>Campus=100; Ratio=69.8; Prodi=60; RelDemand=22.8; Capacity=50.0</x:v>
      </x:c>
    </x:row>
    <x:row r="947">
      <x:c r="A947" t="n">
        <x:v>944</x:v>
      </x:c>
      <x:c r="B947" t="str">
        <x:v>PTN Akademik</x:v>
      </x:c>
      <x:c r="C947" t="str">
        <x:v>UNIVERSITAS INDONESIA</x:v>
      </x:c>
      <x:c r="D947" t="str">
        <x:v>TEKNIK MESIN</x:v>
      </x:c>
      <x:c r="E947" t="str">
        <x:v>Sarjana</x:v>
      </x:c>
      <x:c r="F947" s="18" t="n">
        <x:v>60</x:v>
      </x:c>
      <x:c r="G947" s="18" t="n">
        <x:v>780</x:v>
      </x:c>
      <x:c r="H947" s="19" t="n">
        <x:v>13</x:v>
      </x:c>
      <x:c r="I947" s="18" t="n">
        <x:f>ROUND(MIN(Model_Config_v3!$B$6,MAX(Q947,R947,S947*Model_Config_v3!$B$4+T947*Model_Config_v3!$B$5)),0)</x:f>
        <x:v>690</x:v>
      </x:c>
      <x:c r="J947" s="18" t="n">
        <x:f>MIN(Model_Config_v3!$B$6,I947+Model_Config_v3!$B$7)</x:f>
        <x:v>710</x:v>
      </x:c>
      <x:c r="K947" s="20" t="n">
        <x:v>70.3</x:v>
      </x:c>
      <x:c r="L947" t="str">
        <x:v>SANGAT KETAT</x:v>
      </x:c>
      <x:c r="M947" t="str">
        <x:v>SEDANG+</x:v>
      </x:c>
      <x:c r="N947" t="str">
        <x:v>ELITE-1</x:v>
      </x:c>
      <x:c r="O947" t="str">
        <x:v>SAINTEK</x:v>
      </x:c>
      <x:c r="P947" t="str">
        <x:v>TEKNIK/ARSITEKTUR/STATISTIKA/AKTUARIA</x:v>
      </x:c>
      <x:c r="Q947" s="18" t="n">
        <x:v>675</x:v>
      </x:c>
      <x:c r="R947" s="18" t="n">
        <x:v>690</x:v>
      </x:c>
      <x:c r="S947" s="18" t="n">
        <x:v>642.533768753752</x:v>
      </x:c>
      <x:c r="T947" s="18" t="n">
        <x:v>701</x:v>
      </x:c>
      <x:c r="U947" s="18" t="n">
        <x:v>675</x:v>
      </x:c>
      <x:c r="V947" s="20" t="n">
        <x:v>12</x:v>
      </x:c>
      <x:c r="W947" s="20" t="n">
        <x:v>5</x:v>
      </x:c>
      <x:c r="X947" s="20" t="n">
        <x:v>3</x:v>
      </x:c>
      <x:c r="Y947" t="str">
        <x:v>Basis arsip 2025/2024</x:v>
      </x:c>
      <x:c r="Z947" t="str">
        <x:v>https://snpmb.id/utbk-snbt/daya-tampung-snbt</x:v>
      </x:c>
      <x:c r="AA947" t="str">
        <x:v>Tidak Ada</x:v>
      </x:c>
      <x:c r="AB947" t="str">
        <x:v>Campus=100; Ratio=65.6; Prodi=60; RelDemand=19.4; Capacity=50.0</x:v>
      </x:c>
    </x:row>
    <x:row r="948">
      <x:c r="A948" t="n">
        <x:v>945</x:v>
      </x:c>
      <x:c r="B948" t="str">
        <x:v>PTN Akademik</x:v>
      </x:c>
      <x:c r="C948" t="str">
        <x:v>UNIVERSITAS INDONESIA</x:v>
      </x:c>
      <x:c r="D948" t="str">
        <x:v>TEKNIK ELEKTRO</x:v>
      </x:c>
      <x:c r="E948" t="str">
        <x:v>Sarjana</x:v>
      </x:c>
      <x:c r="F948" s="18" t="n">
        <x:v>51</x:v>
      </x:c>
      <x:c r="G948" s="18" t="n">
        <x:v>877</x:v>
      </x:c>
      <x:c r="H948" s="19" t="n">
        <x:v>17.19607843137255</x:v>
      </x:c>
      <x:c r="I948" s="18" t="n">
        <x:f>ROUND(MIN(Model_Config_v3!$B$6,MAX(Q948,R948,S948*Model_Config_v3!$B$4+T948*Model_Config_v3!$B$5)),0)</x:f>
        <x:v>692</x:v>
      </x:c>
      <x:c r="J948" s="18" t="n">
        <x:f>MIN(Model_Config_v3!$B$6,I948+Model_Config_v3!$B$7)</x:f>
        <x:v>712</x:v>
      </x:c>
      <x:c r="K948" s="20" t="n">
        <x:v>73.5</x:v>
      </x:c>
      <x:c r="L948" t="str">
        <x:v>SANGAT KETAT</x:v>
      </x:c>
      <x:c r="M948" t="str">
        <x:v>SEDANG+</x:v>
      </x:c>
      <x:c r="N948" t="str">
        <x:v>ELITE-1</x:v>
      </x:c>
      <x:c r="O948" t="str">
        <x:v>SAINTEK</x:v>
      </x:c>
      <x:c r="P948" t="str">
        <x:v>TEKNIK/ARSITEKTUR/STATISTIKA/AKTUARIA</x:v>
      </x:c>
      <x:c r="Q948" s="18" t="n">
        <x:v>675</x:v>
      </x:c>
      <x:c r="R948" s="18" t="n">
        <x:v>690</x:v>
      </x:c>
      <x:c r="S948" s="18" t="n">
        <x:v>655.8972358994914</x:v>
      </x:c>
      <x:c r="T948" s="18" t="n">
        <x:v>707</x:v>
      </x:c>
      <x:c r="U948" s="18" t="n">
        <x:v>675</x:v>
      </x:c>
      <x:c r="V948" s="20" t="n">
        <x:v>12</x:v>
      </x:c>
      <x:c r="W948" s="20" t="n">
        <x:v>5</x:v>
      </x:c>
      <x:c r="X948" s="20" t="n">
        <x:v>3</x:v>
      </x:c>
      <x:c r="Y948" t="str">
        <x:v>Basis arsip 2025/2024</x:v>
      </x:c>
      <x:c r="Z948" t="str">
        <x:v>https://snpmb.id/utbk-snbt/daya-tampung-snbt</x:v>
      </x:c>
      <x:c r="AA948" t="str">
        <x:v>Tidak Ada</x:v>
      </x:c>
      <x:c r="AB948" t="str">
        <x:v>Campus=100; Ratio=72.7; Prodi=60; RelDemand=25.6; Capacity=57.5</x:v>
      </x:c>
    </x:row>
    <x:row r="949">
      <x:c r="A949" t="n">
        <x:v>946</x:v>
      </x:c>
      <x:c r="B949" t="str">
        <x:v>PTN Akademik</x:v>
      </x:c>
      <x:c r="C949" t="str">
        <x:v>UNIVERSITAS INDONESIA</x:v>
      </x:c>
      <x:c r="D949" t="str">
        <x:v>TEKNIK METALURGI &amp; MATERIAL</x:v>
      </x:c>
      <x:c r="E949" t="str">
        <x:v>Sarjana</x:v>
      </x:c>
      <x:c r="F949" s="18" t="n">
        <x:v>51</x:v>
      </x:c>
      <x:c r="G949" s="18" t="n">
        <x:v>756</x:v>
      </x:c>
      <x:c r="H949" s="19" t="n">
        <x:v>14.823529411764707</x:v>
      </x:c>
      <x:c r="I949" s="18" t="n">
        <x:f>ROUND(MIN(Model_Config_v3!$B$6,MAX(Q949,R949,S949*Model_Config_v3!$B$4+T949*Model_Config_v3!$B$5)),0)</x:f>
        <x:v>690</x:v>
      </x:c>
      <x:c r="J949" s="18" t="n">
        <x:f>MIN(Model_Config_v3!$B$6,I949+Model_Config_v3!$B$7)</x:f>
        <x:v>710</x:v>
      </x:c>
      <x:c r="K949" s="20" t="n">
        <x:v>72.2</x:v>
      </x:c>
      <x:c r="L949" t="str">
        <x:v>SANGAT KETAT</x:v>
      </x:c>
      <x:c r="M949" t="str">
        <x:v>SEDANG+</x:v>
      </x:c>
      <x:c r="N949" t="str">
        <x:v>ELITE-1</x:v>
      </x:c>
      <x:c r="O949" t="str">
        <x:v>SAINTEK</x:v>
      </x:c>
      <x:c r="P949" t="str">
        <x:v>TEKNIK/ARSITEKTUR/STATISTIKA/AKTUARIA</x:v>
      </x:c>
      <x:c r="Q949" s="18" t="n">
        <x:v>675</x:v>
      </x:c>
      <x:c r="R949" s="18" t="n">
        <x:v>690</x:v>
      </x:c>
      <x:c r="S949" s="18" t="n">
        <x:v>648.8046781343597</x:v>
      </x:c>
      <x:c r="T949" s="18" t="n">
        <x:v>704</x:v>
      </x:c>
      <x:c r="U949" s="18" t="n">
        <x:v>675</x:v>
      </x:c>
      <x:c r="V949" s="20" t="n">
        <x:v>12</x:v>
      </x:c>
      <x:c r="W949" s="20" t="n">
        <x:v>5</x:v>
      </x:c>
      <x:c r="X949" s="20" t="n">
        <x:v>3</x:v>
      </x:c>
      <x:c r="Y949" t="str">
        <x:v>Basis arsip 2025/2024</x:v>
      </x:c>
      <x:c r="Z949" t="str">
        <x:v>https://snpmb.id/utbk-snbt/daya-tampung-snbt</x:v>
      </x:c>
      <x:c r="AA949" t="str">
        <x:v>Tidak Ada</x:v>
      </x:c>
      <x:c r="AB949" t="str">
        <x:v>Campus=100; Ratio=68.9; Prodi=60; RelDemand=22.1; Capacity=57.5</x:v>
      </x:c>
    </x:row>
    <x:row r="950">
      <x:c r="A950" t="n">
        <x:v>947</x:v>
      </x:c>
      <x:c r="B950" t="str">
        <x:v>PTN Akademik</x:v>
      </x:c>
      <x:c r="C950" t="str">
        <x:v>UNIVERSITAS INDONESIA</x:v>
      </x:c>
      <x:c r="D950" t="str">
        <x:v>ARSITEKTUR</x:v>
      </x:c>
      <x:c r="E950" t="str">
        <x:v>Sarjana</x:v>
      </x:c>
      <x:c r="F950" s="18" t="n">
        <x:v>36</x:v>
      </x:c>
      <x:c r="G950" s="18" t="n">
        <x:v>819</x:v>
      </x:c>
      <x:c r="H950" s="19" t="n">
        <x:v>22.75</x:v>
      </x:c>
      <x:c r="I950" s="18" t="n">
        <x:f>ROUND(MIN(Model_Config_v3!$B$6,MAX(Q950,R950,S950*Model_Config_v3!$B$4+T950*Model_Config_v3!$B$5)),0)</x:f>
        <x:v>701</x:v>
      </x:c>
      <x:c r="J950" s="18" t="n">
        <x:f>MIN(Model_Config_v3!$B$6,I950+Model_Config_v3!$B$7)</x:f>
        <x:v>721</x:v>
      </x:c>
      <x:c r="K950" s="20" t="n">
        <x:v>77.4</x:v>
      </x:c>
      <x:c r="L950" t="str">
        <x:v>ELITE</x:v>
      </x:c>
      <x:c r="M950" t="str">
        <x:v>SEDANG+</x:v>
      </x:c>
      <x:c r="N950" t="str">
        <x:v>ELITE-1</x:v>
      </x:c>
      <x:c r="O950" t="str">
        <x:v>SAINTEK</x:v>
      </x:c>
      <x:c r="P950" t="str">
        <x:v>TEKNIK/ARSITEKTUR/STATISTIKA/AKTUARIA</x:v>
      </x:c>
      <x:c r="Q950" s="18" t="n">
        <x:v>675</x:v>
      </x:c>
      <x:c r="R950" s="18" t="n">
        <x:v>690</x:v>
      </x:c>
      <x:c r="S950" s="18" t="n">
        <x:v>669.2679541092444</x:v>
      </x:c>
      <x:c r="T950" s="18" t="n">
        <x:v>715</x:v>
      </x:c>
      <x:c r="U950" s="18" t="n">
        <x:v>675</x:v>
      </x:c>
      <x:c r="V950" s="20" t="n">
        <x:v>12</x:v>
      </x:c>
      <x:c r="W950" s="20" t="n">
        <x:v>5</x:v>
      </x:c>
      <x:c r="X950" s="20" t="n">
        <x:v>3</x:v>
      </x:c>
      <x:c r="Y950" t="str">
        <x:v>Basis arsip 2025/2024</x:v>
      </x:c>
      <x:c r="Z950" t="str">
        <x:v>https://snpmb.id/utbk-snbt/daya-tampung-snbt</x:v>
      </x:c>
      <x:c r="AA950" t="str">
        <x:v>Tidak Ada</x:v>
      </x:c>
      <x:c r="AB950" t="str">
        <x:v>Campus=100; Ratio=79.9; Prodi=60; RelDemand=33.9; Capacity=70.0</x:v>
      </x:c>
    </x:row>
    <x:row r="951">
      <x:c r="A951" t="n">
        <x:v>948</x:v>
      </x:c>
      <x:c r="B951" t="str">
        <x:v>PTN Akademik</x:v>
      </x:c>
      <x:c r="C951" t="str">
        <x:v>UNIVERSITAS INDONESIA</x:v>
      </x:c>
      <x:c r="D951" t="str">
        <x:v>TEKNIK KIMIA</x:v>
      </x:c>
      <x:c r="E951" t="str">
        <x:v>Sarjana</x:v>
      </x:c>
      <x:c r="F951" s="18" t="n">
        <x:v>51</x:v>
      </x:c>
      <x:c r="G951" s="18" t="n">
        <x:v>664</x:v>
      </x:c>
      <x:c r="H951" s="19" t="n">
        <x:v>13.019607843137255</x:v>
      </x:c>
      <x:c r="I951" s="18" t="n">
        <x:f>ROUND(MIN(Model_Config_v3!$B$6,MAX(Q951,R951,S951*Model_Config_v3!$B$4+T951*Model_Config_v3!$B$5)),0)</x:f>
        <x:v>690</x:v>
      </x:c>
      <x:c r="J951" s="18" t="n">
        <x:f>MIN(Model_Config_v3!$B$6,I951+Model_Config_v3!$B$7)</x:f>
        <x:v>710</x:v>
      </x:c>
      <x:c r="K951" s="20" t="n">
        <x:v>71.1</x:v>
      </x:c>
      <x:c r="L951" t="str">
        <x:v>SANGAT KETAT</x:v>
      </x:c>
      <x:c r="M951" t="str">
        <x:v>SEDANG+</x:v>
      </x:c>
      <x:c r="N951" t="str">
        <x:v>ELITE-1</x:v>
      </x:c>
      <x:c r="O951" t="str">
        <x:v>SAINTEK</x:v>
      </x:c>
      <x:c r="P951" t="str">
        <x:v>TEKNIK/ARSITEKTUR/STATISTIKA/AKTUARIA</x:v>
      </x:c>
      <x:c r="Q951" s="18" t="n">
        <x:v>675</x:v>
      </x:c>
      <x:c r="R951" s="18" t="n">
        <x:v>690</x:v>
      </x:c>
      <x:c r="S951" s="18" t="n">
        <x:v>642.6057693597089</x:v>
      </x:c>
      <x:c r="T951" s="18" t="n">
        <x:v>702</x:v>
      </x:c>
      <x:c r="U951" s="18" t="n">
        <x:v>675</x:v>
      </x:c>
      <x:c r="V951" s="20" t="n">
        <x:v>12</x:v>
      </x:c>
      <x:c r="W951" s="20" t="n">
        <x:v>5</x:v>
      </x:c>
      <x:c r="X951" s="20" t="n">
        <x:v>3</x:v>
      </x:c>
      <x:c r="Y951" t="str">
        <x:v>Basis arsip 2025/2024</x:v>
      </x:c>
      <x:c r="Z951" t="str">
        <x:v>https://snpmb.id/utbk-snbt/daya-tampung-snbt</x:v>
      </x:c>
      <x:c r="AA951" t="str">
        <x:v>Tidak Ada</x:v>
      </x:c>
      <x:c r="AB951" t="str">
        <x:v>Campus=100; Ratio=65.6; Prodi=60; RelDemand=19.4; Capacity=57.5</x:v>
      </x:c>
    </x:row>
    <x:row r="952">
      <x:c r="A952" t="n">
        <x:v>949</x:v>
      </x:c>
      <x:c r="B952" t="str">
        <x:v>PTN Akademik</x:v>
      </x:c>
      <x:c r="C952" t="str">
        <x:v>UNIVERSITAS INDONESIA</x:v>
      </x:c>
      <x:c r="D952" t="str">
        <x:v>ILMU KEPERAWATAN</x:v>
      </x:c>
      <x:c r="E952" t="str">
        <x:v>Sarjana</x:v>
      </x:c>
      <x:c r="F952" s="18" t="n">
        <x:v>73</x:v>
      </x:c>
      <x:c r="G952" s="18" t="n">
        <x:v>961</x:v>
      </x:c>
      <x:c r="H952" s="19" t="n">
        <x:v>13.164383561643836</x:v>
      </x:c>
      <x:c r="I952" s="18" t="n">
        <x:f>ROUND(MIN(Model_Config_v3!$B$6,MAX(Q952,R952,S952*Model_Config_v3!$B$4+T952*Model_Config_v3!$B$5)),0)</x:f>
        <x:v>681</x:v>
      </x:c>
      <x:c r="J952" s="18" t="n">
        <x:f>MIN(Model_Config_v3!$B$6,I952+Model_Config_v3!$B$7)</x:f>
        <x:v>701</x:v>
      </x:c>
      <x:c r="K952" s="20" t="n">
        <x:v>68.3</x:v>
      </x:c>
      <x:c r="L952" t="str">
        <x:v>SANGAT KETAT</x:v>
      </x:c>
      <x:c r="M952" t="str">
        <x:v>SEDANG+</x:v>
      </x:c>
      <x:c r="N952" t="str">
        <x:v>ELITE-1</x:v>
      </x:c>
      <x:c r="O952" t="str">
        <x:v>SAINTEK</x:v>
      </x:c>
      <x:c r="P952" t="str">
        <x:v>KESEHAT/GIZI/KEPERAWATAN</x:v>
      </x:c>
      <x:c r="Q952" s="18" t="n">
        <x:v>675</x:v>
      </x:c>
      <x:c r="R952" s="18" t="n">
        <x:v>680</x:v>
      </x:c>
      <x:c r="S952" s="18" t="n">
        <x:v>643.1340580302898</x:v>
      </x:c>
      <x:c r="T952" s="18" t="n">
        <x:v>697</x:v>
      </x:c>
      <x:c r="U952" s="18" t="n">
        <x:v>675</x:v>
      </x:c>
      <x:c r="V952" s="20" t="n">
        <x:v>12</x:v>
      </x:c>
      <x:c r="W952" s="20" t="n">
        <x:v>5</x:v>
      </x:c>
      <x:c r="X952" s="20" t="n">
        <x:v>3</x:v>
      </x:c>
      <x:c r="Y952" t="str">
        <x:v>Basis arsip 2025/2024</x:v>
      </x:c>
      <x:c r="Z952" t="str">
        <x:v>https://snpmb.id/utbk-snbt/daya-tampung-snbt</x:v>
      </x:c>
      <x:c r="AA952" t="str">
        <x:v>Tidak Ada</x:v>
      </x:c>
      <x:c r="AB952" t="str">
        <x:v>Campus=100; Ratio=65.9; Prodi=55; RelDemand=19.6; Capacity=39.2</x:v>
      </x:c>
    </x:row>
    <x:row r="953">
      <x:c r="A953" t="n">
        <x:v>950</x:v>
      </x:c>
      <x:c r="B953" t="str">
        <x:v>PTN Akademik</x:v>
      </x:c>
      <x:c r="C953" t="str">
        <x:v>UNIVERSITAS INDONESIA</x:v>
      </x:c>
      <x:c r="D953" t="str">
        <x:v>ILMU KOMPUTER</x:v>
      </x:c>
      <x:c r="E953" t="str">
        <x:v>Sarjana</x:v>
      </x:c>
      <x:c r="F953" s="18" t="n">
        <x:v>75</x:v>
      </x:c>
      <x:c r="G953" s="18" t="n">
        <x:v>1900</x:v>
      </x:c>
      <x:c r="H953" s="19" t="n">
        <x:v>25.333333333333332</x:v>
      </x:c>
      <x:c r="I953" s="18" t="n">
        <x:f>ROUND(MIN(Model_Config_v3!$B$6,MAX(Q953,R953,S953*Model_Config_v3!$B$4+T953*Model_Config_v3!$B$5)),0)</x:f>
        <x:v>715</x:v>
      </x:c>
      <x:c r="J953" s="18" t="n">
        <x:f>MIN(Model_Config_v3!$B$6,I953+Model_Config_v3!$B$7)</x:f>
        <x:v>735</x:v>
      </x:c>
      <x:c r="K953" s="20" t="n">
        <x:v>80.2</x:v>
      </x:c>
      <x:c r="L953" t="str">
        <x:v>ELITE</x:v>
      </x:c>
      <x:c r="M953" t="str">
        <x:v>SEDANG+</x:v>
      </x:c>
      <x:c r="N953" t="str">
        <x:v>ELITE-1</x:v>
      </x:c>
      <x:c r="O953" t="str">
        <x:v>SAINTEK</x:v>
      </x:c>
      <x:c r="P953" t="str">
        <x:v>KOMPUTER/INFORMATIKA</x:v>
      </x:c>
      <x:c r="Q953" s="18" t="n">
        <x:v>675</x:v>
      </x:c>
      <x:c r="R953" s="18" t="n">
        <x:v>715</x:v>
      </x:c>
      <x:c r="S953" s="18" t="n">
        <x:v>674.4061571317242</x:v>
      </x:c>
      <x:c r="T953" s="18" t="n">
        <x:v>720</x:v>
      </x:c>
      <x:c r="U953" s="18" t="n">
        <x:v>715</x:v>
      </x:c>
      <x:c r="V953" s="20" t="n">
        <x:v>12</x:v>
      </x:c>
      <x:c r="W953" s="20" t="n">
        <x:v>5</x:v>
      </x:c>
      <x:c r="X953" s="20" t="n">
        <x:v>3</x:v>
      </x:c>
      <x:c r="Y953" t="str">
        <x:v>Basis arsip 2025/2024</x:v>
      </x:c>
      <x:c r="Z953" t="str">
        <x:v>https://snpmb.id/utbk-snbt/daya-tampung-snbt</x:v>
      </x:c>
      <x:c r="AA953" t="str">
        <x:v>Tidak Ada</x:v>
      </x:c>
      <x:c r="AB953" t="str">
        <x:v>Campus=100; Ratio=82.6; Prodi=85; RelDemand=37.7; Capacity=37.5</x:v>
      </x:c>
    </x:row>
    <x:row r="954">
      <x:c r="A954" t="n">
        <x:v>951</x:v>
      </x:c>
      <x:c r="B954" t="str">
        <x:v>PTN Akademik</x:v>
      </x:c>
      <x:c r="C954" t="str">
        <x:v>UNIVERSITAS INDONESIA</x:v>
      </x:c>
      <x:c r="D954" t="str">
        <x:v>ILMU KESEHATAN MASYARAKAT</x:v>
      </x:c>
      <x:c r="E954" t="str">
        <x:v>Sarjana</x:v>
      </x:c>
      <x:c r="F954" s="18" t="n">
        <x:v>63</x:v>
      </x:c>
      <x:c r="G954" s="18" t="n">
        <x:v>1088</x:v>
      </x:c>
      <x:c r="H954" s="19" t="n">
        <x:v>17.26984126984127</x:v>
      </x:c>
      <x:c r="I954" s="18" t="n">
        <x:f>ROUND(MIN(Model_Config_v3!$B$6,MAX(Q954,R954,S954*Model_Config_v3!$B$4+T954*Model_Config_v3!$B$5)),0)</x:f>
        <x:v>689</x:v>
      </x:c>
      <x:c r="J954" s="18" t="n">
        <x:f>MIN(Model_Config_v3!$B$6,I954+Model_Config_v3!$B$7)</x:f>
        <x:v>709</x:v>
      </x:c>
      <x:c r="K954" s="20" t="n">
        <x:v>71.5</x:v>
      </x:c>
      <x:c r="L954" t="str">
        <x:v>SANGAT KETAT</x:v>
      </x:c>
      <x:c r="M954" t="str">
        <x:v>SEDANG+</x:v>
      </x:c>
      <x:c r="N954" t="str">
        <x:v>ELITE-1</x:v>
      </x:c>
      <x:c r="O954" t="str">
        <x:v>SAINTEK</x:v>
      </x:c>
      <x:c r="P954" t="str">
        <x:v>KESEHAT/GIZI/KEPERAWATAN</x:v>
      </x:c>
      <x:c r="Q954" s="18" t="n">
        <x:v>675</x:v>
      </x:c>
      <x:c r="R954" s="18" t="n">
        <x:v>680</x:v>
      </x:c>
      <x:c r="S954" s="18" t="n">
        <x:v>656.1017180499437</x:v>
      </x:c>
      <x:c r="T954" s="18" t="n">
        <x:v>703</x:v>
      </x:c>
      <x:c r="U954" s="18" t="n">
        <x:v>675</x:v>
      </x:c>
      <x:c r="V954" s="20" t="n">
        <x:v>12</x:v>
      </x:c>
      <x:c r="W954" s="20" t="n">
        <x:v>5</x:v>
      </x:c>
      <x:c r="X954" s="20" t="n">
        <x:v>3</x:v>
      </x:c>
      <x:c r="Y954" t="str">
        <x:v>Basis arsip 2025/2024</x:v>
      </x:c>
      <x:c r="Z954" t="str">
        <x:v>https://snpmb.id/utbk-snbt/daya-tampung-snbt</x:v>
      </x:c>
      <x:c r="AA954" t="str">
        <x:v>Tidak Ada</x:v>
      </x:c>
      <x:c r="AB954" t="str">
        <x:v>Campus=100; Ratio=72.8; Prodi=55; RelDemand=25.7; Capacity=47.5</x:v>
      </x:c>
    </x:row>
    <x:row r="955">
      <x:c r="A955" t="n">
        <x:v>952</x:v>
      </x:c>
      <x:c r="B955" t="str">
        <x:v>PTN Akademik</x:v>
      </x:c>
      <x:c r="C955" t="str">
        <x:v>UNIVERSITAS INDONESIA</x:v>
      </x:c>
      <x:c r="D955" t="str">
        <x:v>TEKNIK INDUSTRI</x:v>
      </x:c>
      <x:c r="E955" t="str">
        <x:v>Sarjana</x:v>
      </x:c>
      <x:c r="F955" s="18" t="n">
        <x:v>78</x:v>
      </x:c>
      <x:c r="G955" s="18" t="n">
        <x:v>1367</x:v>
      </x:c>
      <x:c r="H955" s="19" t="n">
        <x:v>17.525641025641026</x:v>
      </x:c>
      <x:c r="I955" s="18" t="n">
        <x:f>ROUND(MIN(Model_Config_v3!$B$6,MAX(Q955,R955,S955*Model_Config_v3!$B$4+T955*Model_Config_v3!$B$5)),0)</x:f>
        <x:v>690</x:v>
      </x:c>
      <x:c r="J955" s="18" t="n">
        <x:f>MIN(Model_Config_v3!$B$6,I955+Model_Config_v3!$B$7)</x:f>
        <x:v>710</x:v>
      </x:c>
      <x:c r="K955" s="20" t="n">
        <x:v>71.4</x:v>
      </x:c>
      <x:c r="L955" t="str">
        <x:v>SANGAT KETAT</x:v>
      </x:c>
      <x:c r="M955" t="str">
        <x:v>SEDANG+</x:v>
      </x:c>
      <x:c r="N955" t="str">
        <x:v>ELITE-1</x:v>
      </x:c>
      <x:c r="O955" t="str">
        <x:v>SAINTEK</x:v>
      </x:c>
      <x:c r="P955" t="str">
        <x:v>TEKNIK/ARSITEKTUR/STATISTIKA/AKTUARIA</x:v>
      </x:c>
      <x:c r="Q955" s="18" t="n">
        <x:v>675</x:v>
      </x:c>
      <x:c r="R955" s="18" t="n">
        <x:v>690</x:v>
      </x:c>
      <x:c r="S955" s="18" t="n">
        <x:v>656.8041303065077</x:v>
      </x:c>
      <x:c r="T955" s="18" t="n">
        <x:v>703</x:v>
      </x:c>
      <x:c r="U955" s="18" t="n">
        <x:v>675</x:v>
      </x:c>
      <x:c r="V955" s="20" t="n">
        <x:v>12</x:v>
      </x:c>
      <x:c r="W955" s="20" t="n">
        <x:v>5</x:v>
      </x:c>
      <x:c r="X955" s="20" t="n">
        <x:v>3</x:v>
      </x:c>
      <x:c r="Y955" t="str">
        <x:v>Basis arsip 2025/2024</x:v>
      </x:c>
      <x:c r="Z955" t="str">
        <x:v>https://snpmb.id/utbk-snbt/daya-tampung-snbt</x:v>
      </x:c>
      <x:c r="AA955" t="str">
        <x:v>Tidak Ada</x:v>
      </x:c>
      <x:c r="AB955" t="str">
        <x:v>Campus=100; Ratio=73.2; Prodi=60; RelDemand=26.1; Capacity=35.0</x:v>
      </x:c>
    </x:row>
    <x:row r="956">
      <x:c r="A956" t="n">
        <x:v>953</x:v>
      </x:c>
      <x:c r="B956" t="str">
        <x:v>PTN Akademik</x:v>
      </x:c>
      <x:c r="C956" t="str">
        <x:v>UNIVERSITAS INDONESIA</x:v>
      </x:c>
      <x:c r="D956" t="str">
        <x:v>TEKNIK PERKAPALAN</x:v>
      </x:c>
      <x:c r="E956" t="str">
        <x:v>Sarjana</x:v>
      </x:c>
      <x:c r="F956" s="18" t="n">
        <x:v>39</x:v>
      </x:c>
      <x:c r="G956" s="18" t="n">
        <x:v>477</x:v>
      </x:c>
      <x:c r="H956" s="19" t="n">
        <x:v>12.23076923076923</x:v>
      </x:c>
      <x:c r="I956" s="18" t="n">
        <x:f>ROUND(MIN(Model_Config_v3!$B$6,MAX(Q956,R956,S956*Model_Config_v3!$B$4+T956*Model_Config_v3!$B$5)),0)</x:f>
        <x:v>690</x:v>
      </x:c>
      <x:c r="J956" s="18" t="n">
        <x:f>MIN(Model_Config_v3!$B$6,I956+Model_Config_v3!$B$7)</x:f>
        <x:v>710</x:v>
      </x:c>
      <x:c r="K956" s="20" t="n">
        <x:v>71.6</x:v>
      </x:c>
      <x:c r="L956" t="str">
        <x:v>SANGAT KETAT</x:v>
      </x:c>
      <x:c r="M956" t="str">
        <x:v>SEDANG+</x:v>
      </x:c>
      <x:c r="N956" t="str">
        <x:v>ELITE-1</x:v>
      </x:c>
      <x:c r="O956" t="str">
        <x:v>SAINTEK</x:v>
      </x:c>
      <x:c r="P956" t="str">
        <x:v>TEKNIK/ARSITEKTUR/STATISTIKA/AKTUARIA</x:v>
      </x:c>
      <x:c r="Q956" s="18" t="n">
        <x:v>675</x:v>
      </x:c>
      <x:c r="R956" s="18" t="n">
        <x:v>690</x:v>
      </x:c>
      <x:c r="S956" s="18" t="n">
        <x:v>639.6199149214976</x:v>
      </x:c>
      <x:c r="T956" s="18" t="n">
        <x:v>703</x:v>
      </x:c>
      <x:c r="U956" s="18" t="n">
        <x:v>675</x:v>
      </x:c>
      <x:c r="V956" s="20" t="n">
        <x:v>12</x:v>
      </x:c>
      <x:c r="W956" s="20" t="n">
        <x:v>5</x:v>
      </x:c>
      <x:c r="X956" s="20" t="n">
        <x:v>3</x:v>
      </x:c>
      <x:c r="Y956" t="str">
        <x:v>Basis arsip 2025/2024</x:v>
      </x:c>
      <x:c r="Z956" t="str">
        <x:v>https://snpmb.id/utbk-snbt/daya-tampung-snbt</x:v>
      </x:c>
      <x:c r="AA956" t="str">
        <x:v>Tidak Ada</x:v>
      </x:c>
      <x:c r="AB956" t="str">
        <x:v>Campus=100; Ratio=64.0; Prodi=60; RelDemand=18.2; Capacity=67.5</x:v>
      </x:c>
    </x:row>
    <x:row r="957">
      <x:c r="A957" t="n">
        <x:v>954</x:v>
      </x:c>
      <x:c r="B957" t="str">
        <x:v>PTN Akademik</x:v>
      </x:c>
      <x:c r="C957" t="str">
        <x:v>UNIVERSITAS INDONESIA</x:v>
      </x:c>
      <x:c r="D957" t="str">
        <x:v>TEKNIK LINGKUNGAN</x:v>
      </x:c>
      <x:c r="E957" t="str">
        <x:v>Sarjana</x:v>
      </x:c>
      <x:c r="F957" s="18" t="n">
        <x:v>39</x:v>
      </x:c>
      <x:c r="G957" s="18" t="n">
        <x:v>689</x:v>
      </x:c>
      <x:c r="H957" s="19" t="n">
        <x:v>17.666666666666668</x:v>
      </x:c>
      <x:c r="I957" s="18" t="n">
        <x:f>ROUND(MIN(Model_Config_v3!$B$6,MAX(Q957,R957,S957*Model_Config_v3!$B$4+T957*Model_Config_v3!$B$5)),0)</x:f>
        <x:v>693</x:v>
      </x:c>
      <x:c r="J957" s="18" t="n">
        <x:f>MIN(Model_Config_v3!$B$6,I957+Model_Config_v3!$B$7)</x:f>
        <x:v>713</x:v>
      </x:c>
      <x:c r="K957" s="20" t="n">
        <x:v>74.7</x:v>
      </x:c>
      <x:c r="L957" t="str">
        <x:v>SANGAT KETAT</x:v>
      </x:c>
      <x:c r="M957" t="str">
        <x:v>SEDANG+</x:v>
      </x:c>
      <x:c r="N957" t="str">
        <x:v>ELITE-1</x:v>
      </x:c>
      <x:c r="O957" t="str">
        <x:v>SAINTEK</x:v>
      </x:c>
      <x:c r="P957" t="str">
        <x:v>TEKNIK/ARSITEKTUR/STATISTIKA/AKTUARIA</x:v>
      </x:c>
      <x:c r="Q957" s="18" t="n">
        <x:v>675</x:v>
      </x:c>
      <x:c r="R957" s="18" t="n">
        <x:v>690</x:v>
      </x:c>
      <x:c r="S957" s="18" t="n">
        <x:v>657.1870076369239</x:v>
      </x:c>
      <x:c r="T957" s="18" t="n">
        <x:v>709</x:v>
      </x:c>
      <x:c r="U957" s="18" t="n">
        <x:v>675</x:v>
      </x:c>
      <x:c r="V957" s="20" t="n">
        <x:v>12</x:v>
      </x:c>
      <x:c r="W957" s="20" t="n">
        <x:v>5</x:v>
      </x:c>
      <x:c r="X957" s="20" t="n">
        <x:v>3</x:v>
      </x:c>
      <x:c r="Y957" t="str">
        <x:v>Basis arsip 2025/2024</x:v>
      </x:c>
      <x:c r="Z957" t="str">
        <x:v>https://snpmb.id/utbk-snbt/daya-tampung-snbt</x:v>
      </x:c>
      <x:c r="AA957" t="str">
        <x:v>Tidak Ada</x:v>
      </x:c>
      <x:c r="AB957" t="str">
        <x:v>Campus=100; Ratio=73.4; Prodi=60; RelDemand=26.3; Capacity=67.5</x:v>
      </x:c>
    </x:row>
    <x:row r="958">
      <x:c r="A958" t="n">
        <x:v>955</x:v>
      </x:c>
      <x:c r="B958" t="str">
        <x:v>PTN Akademik</x:v>
      </x:c>
      <x:c r="C958" t="str">
        <x:v>UNIVERSITAS INDONESIA</x:v>
      </x:c>
      <x:c r="D958" t="str">
        <x:v>TEKNIK KOMPUTER</x:v>
      </x:c>
      <x:c r="E958" t="str">
        <x:v>Sarjana</x:v>
      </x:c>
      <x:c r="F958" s="18" t="n">
        <x:v>42</x:v>
      </x:c>
      <x:c r="G958" s="18" t="n">
        <x:v>909</x:v>
      </x:c>
      <x:c r="H958" s="19" t="n">
        <x:v>21.642857142857142</x:v>
      </x:c>
      <x:c r="I958" s="18" t="n">
        <x:f>ROUND(MIN(Model_Config_v3!$B$6,MAX(Q958,R958,S958*Model_Config_v3!$B$4+T958*Model_Config_v3!$B$5)),0)</x:f>
        <x:v>715</x:v>
      </x:c>
      <x:c r="J958" s="18" t="n">
        <x:f>MIN(Model_Config_v3!$B$6,I958+Model_Config_v3!$B$7)</x:f>
        <x:v>735</x:v>
      </x:c>
      <x:c r="K958" s="20" t="n">
        <x:v>81.4</x:v>
      </x:c>
      <x:c r="L958" t="str">
        <x:v>ELITE</x:v>
      </x:c>
      <x:c r="M958" t="str">
        <x:v>SEDANG+</x:v>
      </x:c>
      <x:c r="N958" t="str">
        <x:v>ELITE-1</x:v>
      </x:c>
      <x:c r="O958" t="str">
        <x:v>SAINTEK</x:v>
      </x:c>
      <x:c r="P958" t="str">
        <x:v>KOMPUTER/INFORMATIKA</x:v>
      </x:c>
      <x:c r="Q958" s="18" t="n">
        <x:v>675</x:v>
      </x:c>
      <x:c r="R958" s="18" t="n">
        <x:v>715</x:v>
      </x:c>
      <x:c r="S958" s="18" t="n">
        <x:v>666.8846052106474</x:v>
      </x:c>
      <x:c r="T958" s="18" t="n">
        <x:v>723</x:v>
      </x:c>
      <x:c r="U958" s="18" t="n">
        <x:v>715</x:v>
      </x:c>
      <x:c r="V958" s="20" t="n">
        <x:v>12</x:v>
      </x:c>
      <x:c r="W958" s="20" t="n">
        <x:v>5</x:v>
      </x:c>
      <x:c r="X958" s="20" t="n">
        <x:v>3</x:v>
      </x:c>
      <x:c r="Y958" t="str">
        <x:v>Basis arsip 2025/2024</x:v>
      </x:c>
      <x:c r="Z958" t="str">
        <x:v>https://snpmb.id/utbk-snbt/daya-tampung-snbt</x:v>
      </x:c>
      <x:c r="AA958" t="str">
        <x:v>Tidak Ada</x:v>
      </x:c>
      <x:c r="AB958" t="str">
        <x:v>Campus=100; Ratio=78.6; Prodi=85; RelDemand=32.2; Capacity=65.0</x:v>
      </x:c>
    </x:row>
    <x:row r="959">
      <x:c r="A959" t="n">
        <x:v>956</x:v>
      </x:c>
      <x:c r="B959" t="str">
        <x:v>PTN Akademik</x:v>
      </x:c>
      <x:c r="C959" t="str">
        <x:v>UNIVERSITAS INDONESIA</x:v>
      </x:c>
      <x:c r="D959" t="str">
        <x:v>SISTEM INFORMASI</x:v>
      </x:c>
      <x:c r="E959" t="str">
        <x:v>Sarjana</x:v>
      </x:c>
      <x:c r="F959" s="18" t="n">
        <x:v>75</x:v>
      </x:c>
      <x:c r="G959" s="18" t="n">
        <x:v>1954</x:v>
      </x:c>
      <x:c r="H959" s="19" t="n">
        <x:v>26.053333333333335</x:v>
      </x:c>
      <x:c r="I959" s="18" t="n">
        <x:f>ROUND(MIN(Model_Config_v3!$B$6,MAX(Q959,R959,S959*Model_Config_v3!$B$4+T959*Model_Config_v3!$B$5)),0)</x:f>
        <x:v>715</x:v>
      </x:c>
      <x:c r="J959" s="18" t="n">
        <x:f>MIN(Model_Config_v3!$B$6,I959+Model_Config_v3!$B$7)</x:f>
        <x:v>735</x:v>
      </x:c>
      <x:c r="K959" s="20" t="n">
        <x:v>80.5</x:v>
      </x:c>
      <x:c r="L959" t="str">
        <x:v>ELITE</x:v>
      </x:c>
      <x:c r="M959" t="str">
        <x:v>SEDANG+</x:v>
      </x:c>
      <x:c r="N959" t="str">
        <x:v>ELITE-1</x:v>
      </x:c>
      <x:c r="O959" t="str">
        <x:v>CAMPURAN</x:v>
      </x:c>
      <x:c r="P959" t="str">
        <x:v>KOMPUTER/INFORMATIKA</x:v>
      </x:c>
      <x:c r="Q959" s="18" t="n">
        <x:v>675</x:v>
      </x:c>
      <x:c r="R959" s="18" t="n">
        <x:v>715</x:v>
      </x:c>
      <x:c r="S959" s="18" t="n">
        <x:v>675.7449625590159</x:v>
      </x:c>
      <x:c r="T959" s="18" t="n">
        <x:v>721</x:v>
      </x:c>
      <x:c r="U959" s="18" t="n">
        <x:v>715</x:v>
      </x:c>
      <x:c r="V959" s="20" t="n">
        <x:v>8.8</x:v>
      </x:c>
      <x:c r="W959" s="20" t="n">
        <x:v>9.9</x:v>
      </x:c>
      <x:c r="X959" s="20" t="n">
        <x:v>3.3</x:v>
      </x:c>
      <x:c r="Y959" t="str">
        <x:v>Basis arsip 2025/2024</x:v>
      </x:c>
      <x:c r="Z959" t="str">
        <x:v>https://snpmb.id/utbk-snbt/daya-tampung-snbt</x:v>
      </x:c>
      <x:c r="AA959" t="str">
        <x:v>Tidak Ada</x:v>
      </x:c>
      <x:c r="AB959" t="str">
        <x:v>Campus=100; Ratio=83.3; Prodi=85; RelDemand=38.8; Capacity=37.5</x:v>
      </x:c>
    </x:row>
    <x:row r="960">
      <x:c r="A960" t="n">
        <x:v>957</x:v>
      </x:c>
      <x:c r="B960" t="str">
        <x:v>PTN Akademik</x:v>
      </x:c>
      <x:c r="C960" t="str">
        <x:v>UNIVERSITAS INDONESIA</x:v>
      </x:c>
      <x:c r="D960" t="str">
        <x:v>ARSITEKTUR INTERIOR</x:v>
      </x:c>
      <x:c r="E960" t="str">
        <x:v>Sarjana</x:v>
      </x:c>
      <x:c r="F960" s="18" t="n">
        <x:v>20</x:v>
      </x:c>
      <x:c r="G960" s="18" t="n">
        <x:v>431</x:v>
      </x:c>
      <x:c r="H960" s="19" t="n">
        <x:v>21.55</x:v>
      </x:c>
      <x:c r="I960" s="18" t="n">
        <x:f>ROUND(MIN(Model_Config_v3!$B$6,MAX(Q960,R960,S960*Model_Config_v3!$B$4+T960*Model_Config_v3!$B$5)),0)</x:f>
        <x:v>701</x:v>
      </x:c>
      <x:c r="J960" s="18" t="n">
        <x:f>MIN(Model_Config_v3!$B$6,I960+Model_Config_v3!$B$7)</x:f>
        <x:v>721</x:v>
      </x:c>
      <x:c r="K960" s="20" t="n">
        <x:v>78.2</x:v>
      </x:c>
      <x:c r="L960" t="str">
        <x:v>ELITE</x:v>
      </x:c>
      <x:c r="M960" t="str">
        <x:v>SEDANG+</x:v>
      </x:c>
      <x:c r="N960" t="str">
        <x:v>ELITE-1</x:v>
      </x:c>
      <x:c r="O960" t="str">
        <x:v>SAINTEK</x:v>
      </x:c>
      <x:c r="P960" t="str">
        <x:v>TEKNIK/ARSITEKTUR/STATISTIKA/AKTUARIA</x:v>
      </x:c>
      <x:c r="Q960" s="18" t="n">
        <x:v>675</x:v>
      </x:c>
      <x:c r="R960" s="18" t="n">
        <x:v>690</x:v>
      </x:c>
      <x:c r="S960" s="18" t="n">
        <x:v>666.6792001946426</x:v>
      </x:c>
      <x:c r="T960" s="18" t="n">
        <x:v>716</x:v>
      </x:c>
      <x:c r="U960" s="18" t="n">
        <x:v>675</x:v>
      </x:c>
      <x:c r="V960" s="20" t="n">
        <x:v>12</x:v>
      </x:c>
      <x:c r="W960" s="20" t="n">
        <x:v>5</x:v>
      </x:c>
      <x:c r="X960" s="20" t="n">
        <x:v>3</x:v>
      </x:c>
      <x:c r="Y960" t="str">
        <x:v>Basis arsip 2025/2024</x:v>
      </x:c>
      <x:c r="Z960" t="str">
        <x:v>https://snpmb.id/utbk-snbt/daya-tampung-snbt</x:v>
      </x:c>
      <x:c r="AA960" t="str">
        <x:v>Tidak Ada</x:v>
      </x:c>
      <x:c r="AB960" t="str">
        <x:v>Campus=100; Ratio=78.5; Prodi=60; RelDemand=32.1; Capacity=83.3</x:v>
      </x:c>
    </x:row>
    <x:row r="961">
      <x:c r="A961" t="n">
        <x:v>958</x:v>
      </x:c>
      <x:c r="B961" t="str">
        <x:v>PTN Akademik</x:v>
      </x:c>
      <x:c r="C961" t="str">
        <x:v>UNIVERSITAS INDONESIA</x:v>
      </x:c>
      <x:c r="D961" t="str">
        <x:v>TEKNOLOGI BIOPROSES</x:v>
      </x:c>
      <x:c r="E961" t="str">
        <x:v>Sarjana</x:v>
      </x:c>
      <x:c r="F961" s="18" t="n">
        <x:v>30</x:v>
      </x:c>
      <x:c r="G961" s="18" t="n">
        <x:v>369</x:v>
      </x:c>
      <x:c r="H961" s="19" t="n">
        <x:v>12.3</x:v>
      </x:c>
      <x:c r="I961" s="18" t="n">
        <x:f>ROUND(MIN(Model_Config_v3!$B$6,MAX(Q961,R961,S961*Model_Config_v3!$B$4+T961*Model_Config_v3!$B$5)),0)</x:f>
        <x:v>680</x:v>
      </x:c>
      <x:c r="J961" s="18" t="n">
        <x:f>MIN(Model_Config_v3!$B$6,I961+Model_Config_v3!$B$7)</x:f>
        <x:v>700</x:v>
      </x:c>
      <x:c r="K961" s="20" t="n">
        <x:v>68.4</x:v>
      </x:c>
      <x:c r="L961" t="str">
        <x:v>SANGAT KETAT</x:v>
      </x:c>
      <x:c r="M961" t="str">
        <x:v>SEDANG+</x:v>
      </x:c>
      <x:c r="N961" t="str">
        <x:v>ELITE-1</x:v>
      </x:c>
      <x:c r="O961" t="str">
        <x:v>SAINTEK</x:v>
      </x:c>
      <x:c r="P961" t="str">
        <x:v>UMUM</x:v>
      </x:c>
      <x:c r="Q961" s="18" t="n">
        <x:v>675</x:v>
      </x:c>
      <x:c r="R961" s="18" t="n">
        <x:v>0</x:v>
      </x:c>
      <x:c r="S961" s="18" t="n">
        <x:v>639.8895622583337</x:v>
      </x:c>
      <x:c r="T961" s="18" t="n">
        <x:v>697</x:v>
      </x:c>
      <x:c r="U961" s="18" t="n">
        <x:v>675</x:v>
      </x:c>
      <x:c r="V961" s="20" t="n">
        <x:v>12</x:v>
      </x:c>
      <x:c r="W961" s="20" t="n">
        <x:v>5</x:v>
      </x:c>
      <x:c r="X961" s="20" t="n">
        <x:v>3</x:v>
      </x:c>
      <x:c r="Y961" t="str">
        <x:v>Basis arsip 2025/2024</x:v>
      </x:c>
      <x:c r="Z961" t="str">
        <x:v>https://snpmb.id/utbk-snbt/daya-tampung-snbt</x:v>
      </x:c>
      <x:c r="AA961" t="str">
        <x:v>Tidak Ada</x:v>
      </x:c>
      <x:c r="AB961" t="str">
        <x:v>Campus=100; Ratio=64.2; Prodi=40; RelDemand=18.3; Capacity=75.0</x:v>
      </x:c>
    </x:row>
    <x:row r="962">
      <x:c r="A962" t="n">
        <x:v>959</x:v>
      </x:c>
      <x:c r="B962" t="str">
        <x:v>PTN Akademik</x:v>
      </x:c>
      <x:c r="C962" t="str">
        <x:v>UNIVERSITAS INDONESIA</x:v>
      </x:c>
      <x:c r="D962" t="str">
        <x:v>GIZI</x:v>
      </x:c>
      <x:c r="E962" t="str">
        <x:v>Sarjana</x:v>
      </x:c>
      <x:c r="F962" s="18" t="n">
        <x:v>20</x:v>
      </x:c>
      <x:c r="G962" s="18" t="n">
        <x:v>622</x:v>
      </x:c>
      <x:c r="H962" s="19" t="n">
        <x:v>31.1</x:v>
      </x:c>
      <x:c r="I962" s="18" t="n">
        <x:f>ROUND(MIN(Model_Config_v3!$B$6,MAX(Q962,R962,S962*Model_Config_v3!$B$4+T962*Model_Config_v3!$B$5)),0)</x:f>
        <x:v>711</x:v>
      </x:c>
      <x:c r="J962" s="18" t="n">
        <x:f>MIN(Model_Config_v3!$B$6,I962+Model_Config_v3!$B$7)</x:f>
        <x:v>731</x:v>
      </x:c>
      <x:c r="K962" s="20" t="n">
        <x:v>80.9</x:v>
      </x:c>
      <x:c r="L962" t="str">
        <x:v>ELITE</x:v>
      </x:c>
      <x:c r="M962" t="str">
        <x:v>SEDANG+</x:v>
      </x:c>
      <x:c r="N962" t="str">
        <x:v>ELITE-1</x:v>
      </x:c>
      <x:c r="O962" t="str">
        <x:v>SAINTEK</x:v>
      </x:c>
      <x:c r="P962" t="str">
        <x:v>KESEHAT/GIZI/KEPERAWATAN</x:v>
      </x:c>
      <x:c r="Q962" s="18" t="n">
        <x:v>675</x:v>
      </x:c>
      <x:c r="R962" s="18" t="n">
        <x:v>680</x:v>
      </x:c>
      <x:c r="S962" s="18" t="n">
        <x:v>684.2036427929521</x:v>
      </x:c>
      <x:c r="T962" s="18" t="n">
        <x:v>722</x:v>
      </x:c>
      <x:c r="U962" s="18" t="n">
        <x:v>684.2036427929521</x:v>
      </x:c>
      <x:c r="V962" s="20" t="n">
        <x:v>12</x:v>
      </x:c>
      <x:c r="W962" s="20" t="n">
        <x:v>5</x:v>
      </x:c>
      <x:c r="X962" s="20" t="n">
        <x:v>3</x:v>
      </x:c>
      <x:c r="Y962" t="str">
        <x:v>Basis arsip 2025/2024</x:v>
      </x:c>
      <x:c r="Z962" t="str">
        <x:v>https://snpmb.id/utbk-snbt/daya-tampung-snbt</x:v>
      </x:c>
      <x:c r="AA962" t="str">
        <x:v>Tidak Ada</x:v>
      </x:c>
      <x:c r="AB962" t="str">
        <x:v>Campus=100; Ratio=87.9; Prodi=55; RelDemand=46.3; Capacity=83.3</x:v>
      </x:c>
    </x:row>
    <x:row r="963">
      <x:c r="A963" t="n">
        <x:v>960</x:v>
      </x:c>
      <x:c r="B963" t="str">
        <x:v>PTN Akademik</x:v>
      </x:c>
      <x:c r="C963" t="str">
        <x:v>UNIVERSITAS INDONESIA</x:v>
      </x:c>
      <x:c r="D963" t="str">
        <x:v>KESEHATAN LINGKUNGAN</x:v>
      </x:c>
      <x:c r="E963" t="str">
        <x:v>Sarjana</x:v>
      </x:c>
      <x:c r="F963" s="18" t="n">
        <x:v>18</x:v>
      </x:c>
      <x:c r="G963" s="18" t="n">
        <x:v>441</x:v>
      </x:c>
      <x:c r="H963" s="19" t="n">
        <x:v>24.5</x:v>
      </x:c>
      <x:c r="I963" s="18" t="n">
        <x:f>ROUND(MIN(Model_Config_v3!$B$6,MAX(Q963,R963,S963*Model_Config_v3!$B$4+T963*Model_Config_v3!$B$5)),0)</x:f>
        <x:v>704</x:v>
      </x:c>
      <x:c r="J963" s="18" t="n">
        <x:f>MIN(Model_Config_v3!$B$6,I963+Model_Config_v3!$B$7)</x:f>
        <x:v>724</x:v>
      </x:c>
      <x:c r="K963" s="20" t="n">
        <x:v>78.6</x:v>
      </x:c>
      <x:c r="L963" t="str">
        <x:v>ELITE</x:v>
      </x:c>
      <x:c r="M963" t="str">
        <x:v>SEDANG+</x:v>
      </x:c>
      <x:c r="N963" t="str">
        <x:v>ELITE-1</x:v>
      </x:c>
      <x:c r="O963" t="str">
        <x:v>SAINTEK</x:v>
      </x:c>
      <x:c r="P963" t="str">
        <x:v>KESEHAT/GIZI/KEPERAWATAN</x:v>
      </x:c>
      <x:c r="Q963" s="18" t="n">
        <x:v>675</x:v>
      </x:c>
      <x:c r="R963" s="18" t="n">
        <x:v>680</x:v>
      </x:c>
      <x:c r="S963" s="18" t="n">
        <x:v>672.8082692800986</x:v>
      </x:c>
      <x:c r="T963" s="18" t="n">
        <x:v>717</x:v>
      </x:c>
      <x:c r="U963" s="18" t="n">
        <x:v>675</x:v>
      </x:c>
      <x:c r="V963" s="20" t="n">
        <x:v>12</x:v>
      </x:c>
      <x:c r="W963" s="20" t="n">
        <x:v>5</x:v>
      </x:c>
      <x:c r="X963" s="20" t="n">
        <x:v>3</x:v>
      </x:c>
      <x:c r="Y963" t="str">
        <x:v>Basis arsip 2025/2024</x:v>
      </x:c>
      <x:c r="Z963" t="str">
        <x:v>https://snpmb.id/utbk-snbt/daya-tampung-snbt</x:v>
      </x:c>
      <x:c r="AA963" t="str">
        <x:v>Tidak Ada</x:v>
      </x:c>
      <x:c r="AB963" t="str">
        <x:v>Campus=100; Ratio=81.8; Prodi=55; RelDemand=36.5; Capacity=85.0</x:v>
      </x:c>
    </x:row>
    <x:row r="964">
      <x:c r="A964" t="n">
        <x:v>961</x:v>
      </x:c>
      <x:c r="B964" t="str">
        <x:v>PTN Akademik</x:v>
      </x:c>
      <x:c r="C964" t="str">
        <x:v>UNIVERSITAS INDONESIA</x:v>
      </x:c>
      <x:c r="D964" t="str">
        <x:v>KESELAMATAN DAN KESEHATAN KERJA</x:v>
      </x:c>
      <x:c r="E964" t="str">
        <x:v>Sarjana</x:v>
      </x:c>
      <x:c r="F964" s="18" t="n">
        <x:v>27</x:v>
      </x:c>
      <x:c r="G964" s="18" t="n">
        <x:v>877</x:v>
      </x:c>
      <x:c r="H964" s="19" t="n">
        <x:v>32.48148148148148</x:v>
      </x:c>
      <x:c r="I964" s="18" t="n">
        <x:f>ROUND(MIN(Model_Config_v3!$B$6,MAX(Q964,R964,S964*Model_Config_v3!$B$4+T964*Model_Config_v3!$B$5)),0)</x:f>
        <x:v>711</x:v>
      </x:c>
      <x:c r="J964" s="18" t="n">
        <x:f>MIN(Model_Config_v3!$B$6,I964+Model_Config_v3!$B$7)</x:f>
        <x:v>731</x:v>
      </x:c>
      <x:c r="K964" s="20" t="n">
        <x:v>80.8</x:v>
      </x:c>
      <x:c r="L964" t="str">
        <x:v>ELITE</x:v>
      </x:c>
      <x:c r="M964" t="str">
        <x:v>SEDANG+</x:v>
      </x:c>
      <x:c r="N964" t="str">
        <x:v>ELITE-1</x:v>
      </x:c>
      <x:c r="O964" t="str">
        <x:v>SAINTEK</x:v>
      </x:c>
      <x:c r="P964" t="str">
        <x:v>KESEHAT/GIZI/KEPERAWATAN</x:v>
      </x:c>
      <x:c r="Q964" s="18" t="n">
        <x:v>675</x:v>
      </x:c>
      <x:c r="R964" s="18" t="n">
        <x:v>680</x:v>
      </x:c>
      <x:c r="S964" s="18" t="n">
        <x:v>686.2799412127758</x:v>
      </x:c>
      <x:c r="T964" s="18" t="n">
        <x:v>722</x:v>
      </x:c>
      <x:c r="U964" s="18" t="n">
        <x:v>686.2799412127758</x:v>
      </x:c>
      <x:c r="V964" s="20" t="n">
        <x:v>12</x:v>
      </x:c>
      <x:c r="W964" s="20" t="n">
        <x:v>5</x:v>
      </x:c>
      <x:c r="X964" s="20" t="n">
        <x:v>3</x:v>
      </x:c>
      <x:c r="Y964" t="str">
        <x:v>Basis arsip 2025/2024</x:v>
      </x:c>
      <x:c r="Z964" t="str">
        <x:v>https://snpmb.id/utbk-snbt/daya-tampung-snbt</x:v>
      </x:c>
      <x:c r="AA964" t="str">
        <x:v>Tidak Ada</x:v>
      </x:c>
      <x:c r="AB964" t="str">
        <x:v>Campus=100; Ratio=89.0; Prodi=55; RelDemand=48.4; Capacity=77.5</x:v>
      </x:c>
    </x:row>
    <x:row r="965">
      <x:c r="A965" t="n">
        <x:v>962</x:v>
      </x:c>
      <x:c r="B965" t="str">
        <x:v>PTN Akademik</x:v>
      </x:c>
      <x:c r="C965" t="str">
        <x:v>UNIVERSITAS INDONESIA</x:v>
      </x:c>
      <x:c r="D965" t="str">
        <x:v>GEOFISIKA</x:v>
      </x:c>
      <x:c r="E965" t="str">
        <x:v>Sarjana</x:v>
      </x:c>
      <x:c r="F965" s="18" t="n">
        <x:v>26</x:v>
      </x:c>
      <x:c r="G965" s="18" t="n">
        <x:v>315</x:v>
      </x:c>
      <x:c r="H965" s="19" t="n">
        <x:v>12.115384615384615</x:v>
      </x:c>
      <x:c r="I965" s="18" t="n">
        <x:f>ROUND(MIN(Model_Config_v3!$B$6,MAX(Q965,R965,S965*Model_Config_v3!$B$4+T965*Model_Config_v3!$B$5)),0)</x:f>
        <x:v>682</x:v>
      </x:c>
      <x:c r="J965" s="18" t="n">
        <x:f>MIN(Model_Config_v3!$B$6,I965+Model_Config_v3!$B$7)</x:f>
        <x:v>702</x:v>
      </x:c>
      <x:c r="K965" s="20" t="n">
        <x:v>70.6</x:v>
      </x:c>
      <x:c r="L965" t="str">
        <x:v>SANGAT KETAT</x:v>
      </x:c>
      <x:c r="M965" t="str">
        <x:v>SEDANG+</x:v>
      </x:c>
      <x:c r="N965" t="str">
        <x:v>ELITE-1</x:v>
      </x:c>
      <x:c r="O965" t="str">
        <x:v>SAINTEK</x:v>
      </x:c>
      <x:c r="P965" t="str">
        <x:v>SAINS DASAR</x:v>
      </x:c>
      <x:c r="Q965" s="18" t="n">
        <x:v>675</x:v>
      </x:c>
      <x:c r="R965" s="18" t="n">
        <x:v>675</x:v>
      </x:c>
      <x:c r="S965" s="18" t="n">
        <x:v>639.1670926400661</x:v>
      </x:c>
      <x:c r="T965" s="18" t="n">
        <x:v>701</x:v>
      </x:c>
      <x:c r="U965" s="18" t="n">
        <x:v>675</x:v>
      </x:c>
      <x:c r="V965" s="20" t="n">
        <x:v>12</x:v>
      </x:c>
      <x:c r="W965" s="20" t="n">
        <x:v>5</x:v>
      </x:c>
      <x:c r="X965" s="20" t="n">
        <x:v>3</x:v>
      </x:c>
      <x:c r="Y965" t="str">
        <x:v>Basis arsip 2025/2024</x:v>
      </x:c>
      <x:c r="Z965" t="str">
        <x:v>https://snpmb.id/utbk-snbt/daya-tampung-snbt</x:v>
      </x:c>
      <x:c r="AA965" t="str">
        <x:v>Tidak Ada</x:v>
      </x:c>
      <x:c r="AB965" t="str">
        <x:v>Campus=100; Ratio=63.8; Prodi=50; RelDemand=18.0; Capacity=78.3</x:v>
      </x:c>
    </x:row>
    <x:row r="966">
      <x:c r="A966" t="n">
        <x:v>963</x:v>
      </x:c>
      <x:c r="B966" t="str">
        <x:v>PTN Akademik</x:v>
      </x:c>
      <x:c r="C966" t="str">
        <x:v>UNIVERSITAS INDONESIA</x:v>
      </x:c>
      <x:c r="D966" t="str">
        <x:v>GEOLOGI</x:v>
      </x:c>
      <x:c r="E966" t="str">
        <x:v>Sarjana</x:v>
      </x:c>
      <x:c r="F966" s="18" t="n">
        <x:v>26</x:v>
      </x:c>
      <x:c r="G966" s="18" t="n">
        <x:v>323</x:v>
      </x:c>
      <x:c r="H966" s="19" t="n">
        <x:v>12.423076923076923</x:v>
      </x:c>
      <x:c r="I966" s="18" t="n">
        <x:f>ROUND(MIN(Model_Config_v3!$B$6,MAX(Q966,R966,S966*Model_Config_v3!$B$4+T966*Model_Config_v3!$B$5)),0)</x:f>
        <x:v>681</x:v>
      </x:c>
      <x:c r="J966" s="18" t="n">
        <x:f>MIN(Model_Config_v3!$B$6,I966+Model_Config_v3!$B$7)</x:f>
        <x:v>701</x:v>
      </x:c>
      <x:c r="K966" s="20" t="n">
        <x:v>68.8</x:v>
      </x:c>
      <x:c r="L966" t="str">
        <x:v>SANGAT KETAT</x:v>
      </x:c>
      <x:c r="M966" t="str">
        <x:v>SEDANG+</x:v>
      </x:c>
      <x:c r="N966" t="str">
        <x:v>ELITE-1</x:v>
      </x:c>
      <x:c r="O966" t="str">
        <x:v>SAINTEK</x:v>
      </x:c>
      <x:c r="P966" t="str">
        <x:v>UMUM</x:v>
      </x:c>
      <x:c r="Q966" s="18" t="n">
        <x:v>675</x:v>
      </x:c>
      <x:c r="R966" s="18" t="n">
        <x:v>0</x:v>
      </x:c>
      <x:c r="S966" s="18" t="n">
        <x:v>640.3652091796314</x:v>
      </x:c>
      <x:c r="T966" s="18" t="n">
        <x:v>698</x:v>
      </x:c>
      <x:c r="U966" s="18" t="n">
        <x:v>675</x:v>
      </x:c>
      <x:c r="V966" s="20" t="n">
        <x:v>12</x:v>
      </x:c>
      <x:c r="W966" s="20" t="n">
        <x:v>5</x:v>
      </x:c>
      <x:c r="X966" s="20" t="n">
        <x:v>3</x:v>
      </x:c>
      <x:c r="Y966" t="str">
        <x:v>Basis arsip 2025/2024</x:v>
      </x:c>
      <x:c r="Z966" t="str">
        <x:v>https://snpmb.id/utbk-snbt/daya-tampung-snbt</x:v>
      </x:c>
      <x:c r="AA966" t="str">
        <x:v>Tidak Ada</x:v>
      </x:c>
      <x:c r="AB966" t="str">
        <x:v>Campus=100; Ratio=64.4; Prodi=40; RelDemand=18.5; Capacity=78.3</x:v>
      </x:c>
    </x:row>
    <x:row r="967">
      <x:c r="A967" t="n">
        <x:v>964</x:v>
      </x:c>
      <x:c r="B967" t="str">
        <x:v>PTN Akademik</x:v>
      </x:c>
      <x:c r="C967" t="str">
        <x:v>UNIVERSITAS INDONESIA</x:v>
      </x:c>
      <x:c r="D967" t="str">
        <x:v>STATISTIKA</x:v>
      </x:c>
      <x:c r="E967" t="str">
        <x:v>Sarjana</x:v>
      </x:c>
      <x:c r="F967" s="18" t="n">
        <x:v>26</x:v>
      </x:c>
      <x:c r="G967" s="18" t="n">
        <x:v>520</x:v>
      </x:c>
      <x:c r="H967" s="19" t="n">
        <x:v>20</x:v>
      </x:c>
      <x:c r="I967" s="18" t="n">
        <x:f>ROUND(MIN(Model_Config_v3!$B$6,MAX(Q967,R967,S967*Model_Config_v3!$B$4+T967*Model_Config_v3!$B$5)),0)</x:f>
        <x:v>699</x:v>
      </x:c>
      <x:c r="J967" s="18" t="n">
        <x:f>MIN(Model_Config_v3!$B$6,I967+Model_Config_v3!$B$7)</x:f>
        <x:v>719</x:v>
      </x:c>
      <x:c r="K967" s="20" t="n">
        <x:v>77</x:v>
      </x:c>
      <x:c r="L967" t="str">
        <x:v>ELITE</x:v>
      </x:c>
      <x:c r="M967" t="str">
        <x:v>SEDANG+</x:v>
      </x:c>
      <x:c r="N967" t="str">
        <x:v>ELITE-1</x:v>
      </x:c>
      <x:c r="O967" t="str">
        <x:v>SAINTEK</x:v>
      </x:c>
      <x:c r="P967" t="str">
        <x:v>TEKNIK/ARSITEKTUR/STATISTIKA/AKTUARIA</x:v>
      </x:c>
      <x:c r="Q967" s="18" t="n">
        <x:v>675</x:v>
      </x:c>
      <x:c r="R967" s="18" t="n">
        <x:v>690</x:v>
      </x:c>
      <x:c r="S967" s="18" t="n">
        <x:v>663.1132995230379</x:v>
      </x:c>
      <x:c r="T967" s="18" t="n">
        <x:v>714</x:v>
      </x:c>
      <x:c r="U967" s="18" t="n">
        <x:v>675</x:v>
      </x:c>
      <x:c r="V967" s="20" t="n">
        <x:v>12</x:v>
      </x:c>
      <x:c r="W967" s="20" t="n">
        <x:v>5</x:v>
      </x:c>
      <x:c r="X967" s="20" t="n">
        <x:v>3</x:v>
      </x:c>
      <x:c r="Y967" t="str">
        <x:v>Basis arsip 2025/2024</x:v>
      </x:c>
      <x:c r="Z967" t="str">
        <x:v>https://snpmb.id/utbk-snbt/daya-tampung-snbt</x:v>
      </x:c>
      <x:c r="AA967" t="str">
        <x:v>Tidak Ada</x:v>
      </x:c>
      <x:c r="AB967" t="str">
        <x:v>Campus=100; Ratio=76.6; Prodi=60; RelDemand=29.8; Capacity=78.3</x:v>
      </x:c>
    </x:row>
    <x:row r="968">
      <x:c r="A968" t="n">
        <x:v>965</x:v>
      </x:c>
      <x:c r="B968" t="str">
        <x:v>PTN Akademik</x:v>
      </x:c>
      <x:c r="C968" t="str">
        <x:v>UNIVERSITAS INDONESIA</x:v>
      </x:c>
      <x:c r="D968" t="str">
        <x:v>AKTUARIA</x:v>
      </x:c>
      <x:c r="E968" t="str">
        <x:v>Sarjana</x:v>
      </x:c>
      <x:c r="F968" s="18" t="n">
        <x:v>26</x:v>
      </x:c>
      <x:c r="G968" s="18" t="n">
        <x:v>519</x:v>
      </x:c>
      <x:c r="H968" s="19" t="n">
        <x:v>19.96153846153846</x:v>
      </x:c>
      <x:c r="I968" s="18" t="n">
        <x:f>ROUND(MIN(Model_Config_v3!$B$6,MAX(Q968,R968,S968*Model_Config_v3!$B$4+T968*Model_Config_v3!$B$5)),0)</x:f>
        <x:v>699</x:v>
      </x:c>
      <x:c r="J968" s="18" t="n">
        <x:f>MIN(Model_Config_v3!$B$6,I968+Model_Config_v3!$B$7)</x:f>
        <x:v>719</x:v>
      </x:c>
      <x:c r="K968" s="20" t="n">
        <x:v>76.9</x:v>
      </x:c>
      <x:c r="L968" t="str">
        <x:v>ELITE</x:v>
      </x:c>
      <x:c r="M968" t="str">
        <x:v>SEDANG+</x:v>
      </x:c>
      <x:c r="N968" t="str">
        <x:v>ELITE-1</x:v>
      </x:c>
      <x:c r="O968" t="str">
        <x:v>SAINTEK</x:v>
      </x:c>
      <x:c r="P968" t="str">
        <x:v>TEKNIK/ARSITEKTUR/STATISTIKA/AKTUARIA</x:v>
      </x:c>
      <x:c r="Q968" s="18" t="n">
        <x:v>675</x:v>
      </x:c>
      <x:c r="R968" s="18" t="n">
        <x:v>690</x:v>
      </x:c>
      <x:c r="S968" s="18" t="n">
        <x:v>663.0213410865404</x:v>
      </x:c>
      <x:c r="T968" s="18" t="n">
        <x:v>714</x:v>
      </x:c>
      <x:c r="U968" s="18" t="n">
        <x:v>675</x:v>
      </x:c>
      <x:c r="V968" s="20" t="n">
        <x:v>12</x:v>
      </x:c>
      <x:c r="W968" s="20" t="n">
        <x:v>5</x:v>
      </x:c>
      <x:c r="X968" s="20" t="n">
        <x:v>3</x:v>
      </x:c>
      <x:c r="Y968" t="str">
        <x:v>Basis arsip 2025/2024</x:v>
      </x:c>
      <x:c r="Z968" t="str">
        <x:v>https://snpmb.id/utbk-snbt/daya-tampung-snbt</x:v>
      </x:c>
      <x:c r="AA968" t="str">
        <x:v>Tidak Ada</x:v>
      </x:c>
      <x:c r="AB968" t="str">
        <x:v>Campus=100; Ratio=76.5; Prodi=60; RelDemand=29.7; Capacity=78.3</x:v>
      </x:c>
    </x:row>
    <x:row r="969">
      <x:c r="A969" t="n">
        <x:v>966</x:v>
      </x:c>
      <x:c r="B969" t="str">
        <x:v>PTN Akademik</x:v>
      </x:c>
      <x:c r="C969" t="str">
        <x:v>UNIVERSITAS INDONESIA</x:v>
      </x:c>
      <x:c r="D969" t="str">
        <x:v>TEKNIK BIOMEDIS</x:v>
      </x:c>
      <x:c r="E969" t="str">
        <x:v>Sarjana</x:v>
      </x:c>
      <x:c r="F969" s="18" t="n">
        <x:v>15</x:v>
      </x:c>
      <x:c r="G969" s="18" t="n">
        <x:v>303</x:v>
      </x:c>
      <x:c r="H969" s="19" t="n">
        <x:v>20.2</x:v>
      </x:c>
      <x:c r="I969" s="18" t="n">
        <x:f>ROUND(MIN(Model_Config_v3!$B$6,MAX(Q969,R969,S969*Model_Config_v3!$B$4+T969*Model_Config_v3!$B$5)),0)</x:f>
        <x:v>700</x:v>
      </x:c>
      <x:c r="J969" s="18" t="n">
        <x:f>MIN(Model_Config_v3!$B$6,I969+Model_Config_v3!$B$7)</x:f>
        <x:v>720</x:v>
      </x:c>
      <x:c r="K969" s="20" t="n">
        <x:v>78</x:v>
      </x:c>
      <x:c r="L969" t="str">
        <x:v>ELITE</x:v>
      </x:c>
      <x:c r="M969" t="str">
        <x:v>SEDANG+</x:v>
      </x:c>
      <x:c r="N969" t="str">
        <x:v>ELITE-1</x:v>
      </x:c>
      <x:c r="O969" t="str">
        <x:v>SAINTEK</x:v>
      </x:c>
      <x:c r="P969" t="str">
        <x:v>TEKNIK/ARSITEKTUR/STATISTIKA/AKTUARIA</x:v>
      </x:c>
      <x:c r="Q969" s="18" t="n">
        <x:v>675</x:v>
      </x:c>
      <x:c r="R969" s="18" t="n">
        <x:v>690</x:v>
      </x:c>
      <x:c r="S969" s="18" t="n">
        <x:v>663.5886506391287</x:v>
      </x:c>
      <x:c r="T969" s="18" t="n">
        <x:v>716</x:v>
      </x:c>
      <x:c r="U969" s="18" t="n">
        <x:v>675</x:v>
      </x:c>
      <x:c r="V969" s="20" t="n">
        <x:v>12</x:v>
      </x:c>
      <x:c r="W969" s="20" t="n">
        <x:v>5</x:v>
      </x:c>
      <x:c r="X969" s="20" t="n">
        <x:v>3</x:v>
      </x:c>
      <x:c r="Y969" t="str">
        <x:v>Basis arsip 2025/2024</x:v>
      </x:c>
      <x:c r="Z969" t="str">
        <x:v>https://snpmb.id/utbk-snbt/daya-tampung-snbt</x:v>
      </x:c>
      <x:c r="AA969" t="str">
        <x:v>Tidak Ada</x:v>
      </x:c>
      <x:c r="AB969" t="str">
        <x:v>Campus=100; Ratio=76.8; Prodi=60; RelDemand=30.1; Capacity=87.5</x:v>
      </x:c>
    </x:row>
    <x:row r="970">
      <x:c r="A970" t="n">
        <x:v>967</x:v>
      </x:c>
      <x:c r="B970" t="str">
        <x:v>PTN Akademik</x:v>
      </x:c>
      <x:c r="C970" t="str">
        <x:v>UNIVERSITAS INDONESIA</x:v>
      </x:c>
      <x:c r="D970" t="str">
        <x:v>ILMU HUKUM</x:v>
      </x:c>
      <x:c r="E970" t="str">
        <x:v>Sarjana</x:v>
      </x:c>
      <x:c r="F970" s="18" t="n">
        <x:v>171</x:v>
      </x:c>
      <x:c r="G970" s="18" t="n">
        <x:v>3883</x:v>
      </x:c>
      <x:c r="H970" s="19" t="n">
        <x:v>22.707602339181285</x:v>
      </x:c>
      <x:c r="I970" s="18" t="n">
        <x:f>ROUND(MIN(Model_Config_v3!$B$6,MAX(Q970,R970,S970*Model_Config_v3!$B$4+T970*Model_Config_v3!$B$5)),0)</x:f>
        <x:v>695</x:v>
      </x:c>
      <x:c r="J970" s="18" t="n">
        <x:f>MIN(Model_Config_v3!$B$6,I970+Model_Config_v3!$B$7)</x:f>
        <x:v>715</x:v>
      </x:c>
      <x:c r="K970" s="20" t="n">
        <x:v>71.3</x:v>
      </x:c>
      <x:c r="L970" t="str">
        <x:v>SANGAT KETAT</x:v>
      </x:c>
      <x:c r="M970" t="str">
        <x:v>SEDANG+</x:v>
      </x:c>
      <x:c r="N970" t="str">
        <x:v>ELITE-1</x:v>
      </x:c>
      <x:c r="O970" t="str">
        <x:v>SOSHUM</x:v>
      </x:c>
      <x:c r="P970" t="str">
        <x:v>HUKUM</x:v>
      </x:c>
      <x:c r="Q970" s="18" t="n">
        <x:v>675</x:v>
      </x:c>
      <x:c r="R970" s="18" t="n">
        <x:v>695</x:v>
      </x:c>
      <x:c r="S970" s="18" t="n">
        <x:v>669.1788408169283</x:v>
      </x:c>
      <x:c r="T970" s="18" t="n">
        <x:v>703</x:v>
      </x:c>
      <x:c r="U970" s="18" t="n">
        <x:v>684.1788408169283</x:v>
      </x:c>
      <x:c r="V970" s="20" t="n">
        <x:v>4.4</x:v>
      </x:c>
      <x:c r="W970" s="20" t="n">
        <x:v>14.3</x:v>
      </x:c>
      <x:c r="X970" s="20" t="n">
        <x:v>3.3</x:v>
      </x:c>
      <x:c r="Y970" t="str">
        <x:v>Basis arsip 2025/2024</x:v>
      </x:c>
      <x:c r="Z970" t="str">
        <x:v>https://snpmb.id/utbk-snbt/daya-tampung-snbt</x:v>
      </x:c>
      <x:c r="AA970" t="str">
        <x:v>Tidak Ada</x:v>
      </x:c>
      <x:c r="AB970" t="str">
        <x:v>Campus=100; Ratio=79.8; Prodi=65; RelDemand=33.8; Capacity=0.0</x:v>
      </x:c>
    </x:row>
    <x:row r="971">
      <x:c r="A971" t="n">
        <x:v>968</x:v>
      </x:c>
      <x:c r="B971" t="str">
        <x:v>PTN Akademik</x:v>
      </x:c>
      <x:c r="C971" t="str">
        <x:v>UNIVERSITAS INDONESIA</x:v>
      </x:c>
      <x:c r="D971" t="str">
        <x:v>ARKEOLOGI INDONESIA</x:v>
      </x:c>
      <x:c r="E971" t="str">
        <x:v>Sarjana</x:v>
      </x:c>
      <x:c r="F971" s="18" t="n">
        <x:v>24</x:v>
      </x:c>
      <x:c r="G971" s="18" t="n">
        <x:v>371</x:v>
      </x:c>
      <x:c r="H971" s="19" t="n">
        <x:v>15.458333333333334</x:v>
      </x:c>
      <x:c r="I971" s="18" t="n">
        <x:f>ROUND(MIN(Model_Config_v3!$B$6,MAX(Q971,R971,S971*Model_Config_v3!$B$4+T971*Model_Config_v3!$B$5)),0)</x:f>
        <x:v>687</x:v>
      </x:c>
      <x:c r="J971" s="18" t="n">
        <x:f>MIN(Model_Config_v3!$B$6,I971+Model_Config_v3!$B$7)</x:f>
        <x:v>707</x:v>
      </x:c>
      <x:c r="K971" s="20" t="n">
        <x:v>70.8</x:v>
      </x:c>
      <x:c r="L971" t="str">
        <x:v>SANGAT KETAT</x:v>
      </x:c>
      <x:c r="M971" t="str">
        <x:v>SEDANG+</x:v>
      </x:c>
      <x:c r="N971" t="str">
        <x:v>ELITE-1</x:v>
      </x:c>
      <x:c r="O971" t="str">
        <x:v>CAMPURAN</x:v>
      </x:c>
      <x:c r="P971" t="str">
        <x:v>UMUM</x:v>
      </x:c>
      <x:c r="Q971" s="18" t="n">
        <x:v>675</x:v>
      </x:c>
      <x:c r="R971" s="18" t="n">
        <x:v>0</x:v>
      </x:c>
      <x:c r="S971" s="18" t="n">
        <x:v>650.8078934693783</x:v>
      </x:c>
      <x:c r="T971" s="18" t="n">
        <x:v>702</x:v>
      </x:c>
      <x:c r="U971" s="18" t="n">
        <x:v>675</x:v>
      </x:c>
      <x:c r="V971" s="20" t="n">
        <x:v>8.8</x:v>
      </x:c>
      <x:c r="W971" s="20" t="n">
        <x:v>9.9</x:v>
      </x:c>
      <x:c r="X971" s="20" t="n">
        <x:v>3.3</x:v>
      </x:c>
      <x:c r="Y971" t="str">
        <x:v>Basis arsip 2025/2024</x:v>
      </x:c>
      <x:c r="Z971" t="str">
        <x:v>https://snpmb.id/utbk-snbt/daya-tampung-snbt</x:v>
      </x:c>
      <x:c r="AA971" t="str">
        <x:v>Tidak Ada</x:v>
      </x:c>
      <x:c r="AB971" t="str">
        <x:v>Campus=100; Ratio=70.0; Prodi=40; RelDemand=23.0; Capacity=80.0</x:v>
      </x:c>
    </x:row>
    <x:row r="972">
      <x:c r="A972" t="n">
        <x:v>969</x:v>
      </x:c>
      <x:c r="B972" t="str">
        <x:v>PTN Akademik</x:v>
      </x:c>
      <x:c r="C972" t="str">
        <x:v>UNIVERSITAS INDONESIA</x:v>
      </x:c>
      <x:c r="D972" t="str">
        <x:v>ILMU SEJARAH</x:v>
      </x:c>
      <x:c r="E972" t="str">
        <x:v>Sarjana</x:v>
      </x:c>
      <x:c r="F972" s="18" t="n">
        <x:v>24</x:v>
      </x:c>
      <x:c r="G972" s="18" t="n">
        <x:v>298</x:v>
      </x:c>
      <x:c r="H972" s="19" t="n">
        <x:v>12.416666666666666</x:v>
      </x:c>
      <x:c r="I972" s="18" t="n">
        <x:f>ROUND(MIN(Model_Config_v3!$B$6,MAX(Q972,R972,S972*Model_Config_v3!$B$4+T972*Model_Config_v3!$B$5)),0)</x:f>
        <x:v>681</x:v>
      </x:c>
      <x:c r="J972" s="18" t="n">
        <x:f>MIN(Model_Config_v3!$B$6,I972+Model_Config_v3!$B$7)</x:f>
        <x:v>701</x:v>
      </x:c>
      <x:c r="K972" s="20" t="n">
        <x:v>68.9</x:v>
      </x:c>
      <x:c r="L972" t="str">
        <x:v>SANGAT KETAT</x:v>
      </x:c>
      <x:c r="M972" t="str">
        <x:v>SEDANG+</x:v>
      </x:c>
      <x:c r="N972" t="str">
        <x:v>ELITE-1</x:v>
      </x:c>
      <x:c r="O972" t="str">
        <x:v>SOSHUM</x:v>
      </x:c>
      <x:c r="P972" t="str">
        <x:v>UMUM</x:v>
      </x:c>
      <x:c r="Q972" s="18" t="n">
        <x:v>675</x:v>
      </x:c>
      <x:c r="R972" s="18" t="n">
        <x:v>0</x:v>
      </x:c>
      <x:c r="S972" s="18" t="n">
        <x:v>640.3405524601114</x:v>
      </x:c>
      <x:c r="T972" s="18" t="n">
        <x:v>698</x:v>
      </x:c>
      <x:c r="U972" s="18" t="n">
        <x:v>675</x:v>
      </x:c>
      <x:c r="V972" s="20" t="n">
        <x:v>4.4</x:v>
      </x:c>
      <x:c r="W972" s="20" t="n">
        <x:v>14.3</x:v>
      </x:c>
      <x:c r="X972" s="20" t="n">
        <x:v>3.3</x:v>
      </x:c>
      <x:c r="Y972" t="str">
        <x:v>Basis arsip 2025/2024</x:v>
      </x:c>
      <x:c r="Z972" t="str">
        <x:v>https://snpmb.id/utbk-snbt/daya-tampung-snbt</x:v>
      </x:c>
      <x:c r="AA972" t="str">
        <x:v>Tidak Ada</x:v>
      </x:c>
      <x:c r="AB972" t="str">
        <x:v>Campus=100; Ratio=64.4; Prodi=40; RelDemand=18.5; Capacity=80.0</x:v>
      </x:c>
    </x:row>
    <x:row r="973">
      <x:c r="A973" t="n">
        <x:v>970</x:v>
      </x:c>
      <x:c r="B973" t="str">
        <x:v>PTN Akademik</x:v>
      </x:c>
      <x:c r="C973" t="str">
        <x:v>UNIVERSITAS INDONESIA</x:v>
      </x:c>
      <x:c r="D973" t="str">
        <x:v>ILMU PSIKOLOGI</x:v>
      </x:c>
      <x:c r="E973" t="str">
        <x:v>Sarjana</x:v>
      </x:c>
      <x:c r="F973" s="18" t="n">
        <x:v>99</x:v>
      </x:c>
      <x:c r="G973" s="18" t="n">
        <x:v>3088</x:v>
      </x:c>
      <x:c r="H973" s="19" t="n">
        <x:v>31.19191919191919</x:v>
      </x:c>
      <x:c r="I973" s="18" t="n">
        <x:f>ROUND(MIN(Model_Config_v3!$B$6,MAX(Q973,R973,S973*Model_Config_v3!$B$4+T973*Model_Config_v3!$B$5)),0)</x:f>
        <x:v>710</x:v>
      </x:c>
      <x:c r="J973" s="18" t="n">
        <x:f>MIN(Model_Config_v3!$B$6,I973+Model_Config_v3!$B$7)</x:f>
        <x:v>730</x:v>
      </x:c>
      <x:c r="K973" s="20" t="n">
        <x:v>79.4</x:v>
      </x:c>
      <x:c r="L973" t="str">
        <x:v>ELITE</x:v>
      </x:c>
      <x:c r="M973" t="str">
        <x:v>SEDANG+</x:v>
      </x:c>
      <x:c r="N973" t="str">
        <x:v>ELITE-1</x:v>
      </x:c>
      <x:c r="O973" t="str">
        <x:v>SOSHUM</x:v>
      </x:c>
      <x:c r="P973" t="str">
        <x:v>PSIKOLOGI</x:v>
      </x:c>
      <x:c r="Q973" s="18" t="n">
        <x:v>675</x:v>
      </x:c>
      <x:c r="R973" s="18" t="n">
        <x:v>710</x:v>
      </x:c>
      <x:c r="S973" s="18" t="n">
        <x:v>684.3446306772763</x:v>
      </x:c>
      <x:c r="T973" s="18" t="n">
        <x:v>719</x:v>
      </x:c>
      <x:c r="U973" s="18" t="n">
        <x:v>710</x:v>
      </x:c>
      <x:c r="V973" s="20" t="n">
        <x:v>4.4</x:v>
      </x:c>
      <x:c r="W973" s="20" t="n">
        <x:v>14.3</x:v>
      </x:c>
      <x:c r="X973" s="20" t="n">
        <x:v>3.3</x:v>
      </x:c>
      <x:c r="Y973" t="str">
        <x:v>Basis arsip 2025/2024</x:v>
      </x:c>
      <x:c r="Z973" t="str">
        <x:v>https://snpmb.id/utbk-snbt/daya-tampung-snbt</x:v>
      </x:c>
      <x:c r="AA973" t="str">
        <x:v>Tidak Ada</x:v>
      </x:c>
      <x:c r="AB973" t="str">
        <x:v>Campus=100; Ratio=87.9; Prodi=80; RelDemand=46.5; Capacity=17.5</x:v>
      </x:c>
    </x:row>
    <x:row r="974">
      <x:c r="A974" t="n">
        <x:v>971</x:v>
      </x:c>
      <x:c r="B974" t="str">
        <x:v>PTN Akademik</x:v>
      </x:c>
      <x:c r="C974" t="str">
        <x:v>UNIVERSITAS INDONESIA</x:v>
      </x:c>
      <x:c r="D974" t="str">
        <x:v>ILMU KOMUNIKASI</x:v>
      </x:c>
      <x:c r="E974" t="str">
        <x:v>Sarjana</x:v>
      </x:c>
      <x:c r="F974" s="18" t="n">
        <x:v>48</x:v>
      </x:c>
      <x:c r="G974" s="18" t="n">
        <x:v>2271</x:v>
      </x:c>
      <x:c r="H974" s="19" t="n">
        <x:v>47.3125</x:v>
      </x:c>
      <x:c r="I974" s="18" t="n">
        <x:f>ROUND(MIN(Model_Config_v3!$B$6,MAX(Q974,R974,S974*Model_Config_v3!$B$4+T974*Model_Config_v3!$B$5)),0)</x:f>
        <x:v>716</x:v>
      </x:c>
      <x:c r="J974" s="18" t="n">
        <x:f>MIN(Model_Config_v3!$B$6,I974+Model_Config_v3!$B$7)</x:f>
        <x:v>736</x:v>
      </x:c>
      <x:c r="K974" s="20" t="n">
        <x:v>80.7</x:v>
      </x:c>
      <x:c r="L974" t="str">
        <x:v>ELITE</x:v>
      </x:c>
      <x:c r="M974" t="str">
        <x:v>SEDANG+</x:v>
      </x:c>
      <x:c r="N974" t="str">
        <x:v>ELITE-1</x:v>
      </x:c>
      <x:c r="O974" t="str">
        <x:v>SOSHUM</x:v>
      </x:c>
      <x:c r="P974" t="str">
        <x:v>UMUM</x:v>
      </x:c>
      <x:c r="Q974" s="18" t="n">
        <x:v>675</x:v>
      </x:c>
      <x:c r="R974" s="18" t="n">
        <x:v>0</x:v>
      </x:c>
      <x:c r="S974" s="18" t="n">
        <x:v>704.2473486528563</x:v>
      </x:c>
      <x:c r="T974" s="18" t="n">
        <x:v>721</x:v>
      </x:c>
      <x:c r="U974" s="18" t="n">
        <x:v>704.2473486528563</x:v>
      </x:c>
      <x:c r="V974" s="20" t="n">
        <x:v>4.4</x:v>
      </x:c>
      <x:c r="W974" s="20" t="n">
        <x:v>14.3</x:v>
      </x:c>
      <x:c r="X974" s="20" t="n">
        <x:v>3.3</x:v>
      </x:c>
      <x:c r="Y974" t="str">
        <x:v>Basis arsip 2025/2024</x:v>
      </x:c>
      <x:c r="Z974" t="str">
        <x:v>https://snpmb.id/utbk-snbt/daya-tampung-snbt</x:v>
      </x:c>
      <x:c r="AA974" t="str">
        <x:v>Tidak Ada</x:v>
      </x:c>
      <x:c r="AB974" t="str">
        <x:v>Campus=100; Ratio=98.6; Prodi=40; RelDemand=70.5; Capacity=60.0</x:v>
      </x:c>
    </x:row>
    <x:row r="975">
      <x:c r="A975" t="n">
        <x:v>972</x:v>
      </x:c>
      <x:c r="B975" t="str">
        <x:v>PTN Akademik</x:v>
      </x:c>
      <x:c r="C975" t="str">
        <x:v>UNIVERSITAS INDONESIA</x:v>
      </x:c>
      <x:c r="D975" t="str">
        <x:v>ILMU POLITIK</x:v>
      </x:c>
      <x:c r="E975" t="str">
        <x:v>Sarjana</x:v>
      </x:c>
      <x:c r="F975" s="18" t="n">
        <x:v>24</x:v>
      </x:c>
      <x:c r="G975" s="18" t="n">
        <x:v>550</x:v>
      </x:c>
      <x:c r="H975" s="19" t="n">
        <x:v>22.916666666666668</x:v>
      </x:c>
      <x:c r="I975" s="18" t="n">
        <x:f>ROUND(MIN(Model_Config_v3!$B$6,MAX(Q975,R975,S975*Model_Config_v3!$B$4+T975*Model_Config_v3!$B$5)),0)</x:f>
        <x:v>697</x:v>
      </x:c>
      <x:c r="J975" s="18" t="n">
        <x:f>MIN(Model_Config_v3!$B$6,I975+Model_Config_v3!$B$7)</x:f>
        <x:v>717</x:v>
      </x:c>
      <x:c r="K975" s="20" t="n">
        <x:v>74.4</x:v>
      </x:c>
      <x:c r="L975" t="str">
        <x:v>SANGAT KETAT</x:v>
      </x:c>
      <x:c r="M975" t="str">
        <x:v>SEDANG+</x:v>
      </x:c>
      <x:c r="N975" t="str">
        <x:v>ELITE-1</x:v>
      </x:c>
      <x:c r="O975" t="str">
        <x:v>SOSHUM</x:v>
      </x:c>
      <x:c r="P975" t="str">
        <x:v>UMUM</x:v>
      </x:c>
      <x:c r="Q975" s="18" t="n">
        <x:v>675</x:v>
      </x:c>
      <x:c r="R975" s="18" t="n">
        <x:v>0</x:v>
      </x:c>
      <x:c r="S975" s="18" t="n">
        <x:v>669.6166592560901</x:v>
      </x:c>
      <x:c r="T975" s="18" t="n">
        <x:v>709</x:v>
      </x:c>
      <x:c r="U975" s="18" t="n">
        <x:v>675</x:v>
      </x:c>
      <x:c r="V975" s="20" t="n">
        <x:v>4.4</x:v>
      </x:c>
      <x:c r="W975" s="20" t="n">
        <x:v>14.3</x:v>
      </x:c>
      <x:c r="X975" s="20" t="n">
        <x:v>3.3</x:v>
      </x:c>
      <x:c r="Y975" t="str">
        <x:v>Basis arsip 2025/2024</x:v>
      </x:c>
      <x:c r="Z975" t="str">
        <x:v>https://snpmb.id/utbk-snbt/daya-tampung-snbt</x:v>
      </x:c>
      <x:c r="AA975" t="str">
        <x:v>Tidak Ada</x:v>
      </x:c>
      <x:c r="AB975" t="str">
        <x:v>Campus=100; Ratio=80.1; Prodi=40; RelDemand=34.1; Capacity=80.0</x:v>
      </x:c>
    </x:row>
    <x:row r="976">
      <x:c r="A976" t="n">
        <x:v>973</x:v>
      </x:c>
      <x:c r="B976" t="str">
        <x:v>PTN Akademik</x:v>
      </x:c>
      <x:c r="C976" t="str">
        <x:v>UNIVERSITAS INDONESIA</x:v>
      </x:c>
      <x:c r="D976" t="str">
        <x:v>ILMU ADMINISTRASI NEGARA</x:v>
      </x:c>
      <x:c r="E976" t="str">
        <x:v>Sarjana</x:v>
      </x:c>
      <x:c r="F976" s="18" t="n">
        <x:v>57</x:v>
      </x:c>
      <x:c r="G976" s="18" t="n">
        <x:v>1328</x:v>
      </x:c>
      <x:c r="H976" s="19" t="n">
        <x:v>23.29824561403509</x:v>
      </x:c>
      <x:c r="I976" s="18" t="n">
        <x:f>ROUND(MIN(Model_Config_v3!$B$6,MAX(Q976,R976,S976*Model_Config_v3!$B$4+T976*Model_Config_v3!$B$5)),0)</x:f>
        <x:v>694</x:v>
      </x:c>
      <x:c r="J976" s="18" t="n">
        <x:f>MIN(Model_Config_v3!$B$6,I976+Model_Config_v3!$B$7)</x:f>
        <x:v>714</x:v>
      </x:c>
      <x:c r="K976" s="20" t="n">
        <x:v>71.8</x:v>
      </x:c>
      <x:c r="L976" t="str">
        <x:v>SANGAT KETAT</x:v>
      </x:c>
      <x:c r="M976" t="str">
        <x:v>SEDANG+</x:v>
      </x:c>
      <x:c r="N976" t="str">
        <x:v>ELITE-1</x:v>
      </x:c>
      <x:c r="O976" t="str">
        <x:v>SOSHUM</x:v>
      </x:c>
      <x:c r="P976" t="str">
        <x:v>UMUM</x:v>
      </x:c>
      <x:c r="Q976" s="18" t="n">
        <x:v>675</x:v>
      </x:c>
      <x:c r="R976" s="18" t="n">
        <x:v>0</x:v>
      </x:c>
      <x:c r="S976" s="18" t="n">
        <x:v>670.4055541295459</x:v>
      </x:c>
      <x:c r="T976" s="18" t="n">
        <x:v>704</x:v>
      </x:c>
      <x:c r="U976" s="18" t="n">
        <x:v>675</x:v>
      </x:c>
      <x:c r="V976" s="20" t="n">
        <x:v>4.4</x:v>
      </x:c>
      <x:c r="W976" s="20" t="n">
        <x:v>14.3</x:v>
      </x:c>
      <x:c r="X976" s="20" t="n">
        <x:v>3.3</x:v>
      </x:c>
      <x:c r="Y976" t="str">
        <x:v>Basis arsip 2025/2024</x:v>
      </x:c>
      <x:c r="Z976" t="str">
        <x:v>https://snpmb.id/utbk-snbt/daya-tampung-snbt</x:v>
      </x:c>
      <x:c r="AA976" t="str">
        <x:v>Tidak Ada</x:v>
      </x:c>
      <x:c r="AB976" t="str">
        <x:v>Campus=100; Ratio=80.5; Prodi=40; RelDemand=34.7; Capacity=52.5</x:v>
      </x:c>
    </x:row>
    <x:row r="977">
      <x:c r="A977" t="n">
        <x:v>974</x:v>
      </x:c>
      <x:c r="B977" t="str">
        <x:v>PTN Akademik</x:v>
      </x:c>
      <x:c r="C977" t="str">
        <x:v>UNIVERSITAS INDONESIA</x:v>
      </x:c>
      <x:c r="D977" t="str">
        <x:v>KRIMINOLOGI</x:v>
      </x:c>
      <x:c r="E977" t="str">
        <x:v>Sarjana</x:v>
      </x:c>
      <x:c r="F977" s="18" t="n">
        <x:v>18</x:v>
      </x:c>
      <x:c r="G977" s="18" t="n">
        <x:v>1246</x:v>
      </x:c>
      <x:c r="H977" s="19" t="n">
        <x:v>69.22222222222223</x:v>
      </x:c>
      <x:c r="I977" s="18" t="n">
        <x:f>ROUND(MIN(Model_Config_v3!$B$6,MAX(Q977,R977,S977*Model_Config_v3!$B$4+T977*Model_Config_v3!$B$5)),0)</x:f>
        <x:v>730</x:v>
      </x:c>
      <x:c r="J977" s="18" t="n">
        <x:f>MIN(Model_Config_v3!$B$6,I977+Model_Config_v3!$B$7)</x:f>
        <x:v>750</x:v>
      </x:c>
      <x:c r="K977" s="20" t="n">
        <x:v>86.5</x:v>
      </x:c>
      <x:c r="L977" t="str">
        <x:v>ULTRA ELITE</x:v>
      </x:c>
      <x:c r="M977" t="str">
        <x:v>SEDANG+</x:v>
      </x:c>
      <x:c r="N977" t="str">
        <x:v>ELITE-1</x:v>
      </x:c>
      <x:c r="O977" t="str">
        <x:v>CAMPURAN</x:v>
      </x:c>
      <x:c r="P977" t="str">
        <x:v>UMUM</x:v>
      </x:c>
      <x:c r="Q977" s="18" t="n">
        <x:v>675</x:v>
      </x:c>
      <x:c r="R977" s="18" t="n">
        <x:v>0</x:v>
      </x:c>
      <x:c r="S977" s="18" t="n">
        <x:v>722.427009094183</x:v>
      </x:c>
      <x:c r="T977" s="18" t="n">
        <x:v>733</x:v>
      </x:c>
      <x:c r="U977" s="18" t="n">
        <x:v>722.427009094183</x:v>
      </x:c>
      <x:c r="V977" s="20" t="n">
        <x:v>8.8</x:v>
      </x:c>
      <x:c r="W977" s="20" t="n">
        <x:v>9.9</x:v>
      </x:c>
      <x:c r="X977" s="20" t="n">
        <x:v>3.3</x:v>
      </x:c>
      <x:c r="Y977" t="str">
        <x:v>Basis arsip 2025/2024</x:v>
      </x:c>
      <x:c r="Z977" t="str">
        <x:v>https://snpmb.id/utbk-snbt/daya-tampung-snbt</x:v>
      </x:c>
      <x:c r="AA977" t="str">
        <x:v>Tidak Ada</x:v>
      </x:c>
      <x:c r="AB977" t="str">
        <x:v>Campus=100; Ratio=100.0; Prodi=40; RelDemand=100.0; Capacity=85.0</x:v>
      </x:c>
    </x:row>
    <x:row r="978">
      <x:c r="A978" t="n">
        <x:v>975</x:v>
      </x:c>
      <x:c r="B978" t="str">
        <x:v>PTN Akademik</x:v>
      </x:c>
      <x:c r="C978" t="str">
        <x:v>UNIVERSITAS INDONESIA</x:v>
      </x:c>
      <x:c r="D978" t="str">
        <x:v>SOSIOLOGI</x:v>
      </x:c>
      <x:c r="E978" t="str">
        <x:v>Sarjana</x:v>
      </x:c>
      <x:c r="F978" s="18" t="n">
        <x:v>24</x:v>
      </x:c>
      <x:c r="G978" s="18" t="n">
        <x:v>528</x:v>
      </x:c>
      <x:c r="H978" s="19" t="n">
        <x:v>22</x:v>
      </x:c>
      <x:c r="I978" s="18" t="n">
        <x:f>ROUND(MIN(Model_Config_v3!$B$6,MAX(Q978,R978,S978*Model_Config_v3!$B$4+T978*Model_Config_v3!$B$5)),0)</x:f>
        <x:v>696</x:v>
      </x:c>
      <x:c r="J978" s="18" t="n">
        <x:f>MIN(Model_Config_v3!$B$6,I978+Model_Config_v3!$B$7)</x:f>
        <x:v>716</x:v>
      </x:c>
      <x:c r="K978" s="20" t="n">
        <x:v>74</x:v>
      </x:c>
      <x:c r="L978" t="str">
        <x:v>SANGAT KETAT</x:v>
      </x:c>
      <x:c r="M978" t="str">
        <x:v>SEDANG+</x:v>
      </x:c>
      <x:c r="N978" t="str">
        <x:v>ELITE-1</x:v>
      </x:c>
      <x:c r="O978" t="str">
        <x:v>SOSHUM</x:v>
      </x:c>
      <x:c r="P978" t="str">
        <x:v>UMUM</x:v>
      </x:c>
      <x:c r="Q978" s="18" t="n">
        <x:v>675</x:v>
      </x:c>
      <x:c r="R978" s="18" t="n">
        <x:v>0</x:v>
      </x:c>
      <x:c r="S978" s="18" t="n">
        <x:v>667.6664948904427</x:v>
      </x:c>
      <x:c r="T978" s="18" t="n">
        <x:v>708</x:v>
      </x:c>
      <x:c r="U978" s="18" t="n">
        <x:v>675</x:v>
      </x:c>
      <x:c r="V978" s="20" t="n">
        <x:v>4.4</x:v>
      </x:c>
      <x:c r="W978" s="20" t="n">
        <x:v>14.3</x:v>
      </x:c>
      <x:c r="X978" s="20" t="n">
        <x:v>3.3</x:v>
      </x:c>
      <x:c r="Y978" t="str">
        <x:v>Basis arsip 2025/2024</x:v>
      </x:c>
      <x:c r="Z978" t="str">
        <x:v>https://snpmb.id/utbk-snbt/daya-tampung-snbt</x:v>
      </x:c>
      <x:c r="AA978" t="str">
        <x:v>Tidak Ada</x:v>
      </x:c>
      <x:c r="AB978" t="str">
        <x:v>Campus=100; Ratio=79.0; Prodi=40; RelDemand=32.8; Capacity=80.0</x:v>
      </x:c>
    </x:row>
    <x:row r="979">
      <x:c r="A979" t="n">
        <x:v>976</x:v>
      </x:c>
      <x:c r="B979" t="str">
        <x:v>PTN Akademik</x:v>
      </x:c>
      <x:c r="C979" t="str">
        <x:v>UNIVERSITAS INDONESIA</x:v>
      </x:c>
      <x:c r="D979" t="str">
        <x:v>ILMU KESEJAHTERAAN SOSIAL</x:v>
      </x:c>
      <x:c r="E979" t="str">
        <x:v>Sarjana</x:v>
      </x:c>
      <x:c r="F979" s="18" t="n">
        <x:v>24</x:v>
      </x:c>
      <x:c r="G979" s="18" t="n">
        <x:v>760</x:v>
      </x:c>
      <x:c r="H979" s="19" t="n">
        <x:v>31.666666666666668</x:v>
      </x:c>
      <x:c r="I979" s="18" t="n">
        <x:f>ROUND(MIN(Model_Config_v3!$B$6,MAX(Q979,R979,S979*Model_Config_v3!$B$4+T979*Model_Config_v3!$B$5)),0)</x:f>
        <x:v>707</x:v>
      </x:c>
      <x:c r="J979" s="18" t="n">
        <x:f>MIN(Model_Config_v3!$B$6,I979+Model_Config_v3!$B$7)</x:f>
        <x:v>727</x:v>
      </x:c>
      <x:c r="K979" s="20" t="n">
        <x:v>77.8</x:v>
      </x:c>
      <x:c r="L979" t="str">
        <x:v>ELITE</x:v>
      </x:c>
      <x:c r="M979" t="str">
        <x:v>SEDANG+</x:v>
      </x:c>
      <x:c r="N979" t="str">
        <x:v>ELITE-1</x:v>
      </x:c>
      <x:c r="O979" t="str">
        <x:v>CAMPURAN</x:v>
      </x:c>
      <x:c r="P979" t="str">
        <x:v>UMUM</x:v>
      </x:c>
      <x:c r="Q979" s="18" t="n">
        <x:v>675</x:v>
      </x:c>
      <x:c r="R979" s="18" t="n">
        <x:v>0</x:v>
      </x:c>
      <x:c r="S979" s="18" t="n">
        <x:v>685.0662585626104</x:v>
      </x:c>
      <x:c r="T979" s="18" t="n">
        <x:v>716</x:v>
      </x:c>
      <x:c r="U979" s="18" t="n">
        <x:v>685.0662585626104</x:v>
      </x:c>
      <x:c r="V979" s="20" t="n">
        <x:v>8.8</x:v>
      </x:c>
      <x:c r="W979" s="20" t="n">
        <x:v>9.9</x:v>
      </x:c>
      <x:c r="X979" s="20" t="n">
        <x:v>3.3</x:v>
      </x:c>
      <x:c r="Y979" t="str">
        <x:v>Basis arsip 2025/2024</x:v>
      </x:c>
      <x:c r="Z979" t="str">
        <x:v>https://snpmb.id/utbk-snbt/daya-tampung-snbt</x:v>
      </x:c>
      <x:c r="AA979" t="str">
        <x:v>Tidak Ada</x:v>
      </x:c>
      <x:c r="AB979" t="str">
        <x:v>Campus=100; Ratio=88.3; Prodi=40; RelDemand=47.2; Capacity=80.0</x:v>
      </x:c>
    </x:row>
    <x:row r="980">
      <x:c r="A980" t="n">
        <x:v>977</x:v>
      </x:c>
      <x:c r="B980" t="str">
        <x:v>PTN Akademik</x:v>
      </x:c>
      <x:c r="C980" t="str">
        <x:v>UNIVERSITAS INDONESIA</x:v>
      </x:c>
      <x:c r="D980" t="str">
        <x:v>ANTROPOLOGI SOSIAL</x:v>
      </x:c>
      <x:c r="E980" t="str">
        <x:v>Sarjana</x:v>
      </x:c>
      <x:c r="F980" s="18" t="n">
        <x:v>24</x:v>
      </x:c>
      <x:c r="G980" s="18" t="n">
        <x:v>510</x:v>
      </x:c>
      <x:c r="H980" s="19" t="n">
        <x:v>21.25</x:v>
      </x:c>
      <x:c r="I980" s="18" t="n">
        <x:f>ROUND(MIN(Model_Config_v3!$B$6,MAX(Q980,R980,S980*Model_Config_v3!$B$4+T980*Model_Config_v3!$B$5)),0)</x:f>
        <x:v>695</x:v>
      </x:c>
      <x:c r="J980" s="18" t="n">
        <x:f>MIN(Model_Config_v3!$B$6,I980+Model_Config_v3!$B$7)</x:f>
        <x:v>715</x:v>
      </x:c>
      <x:c r="K980" s="20" t="n">
        <x:v>73.7</x:v>
      </x:c>
      <x:c r="L980" t="str">
        <x:v>SANGAT KETAT</x:v>
      </x:c>
      <x:c r="M980" t="str">
        <x:v>SEDANG+</x:v>
      </x:c>
      <x:c r="N980" t="str">
        <x:v>ELITE-1</x:v>
      </x:c>
      <x:c r="O980" t="str">
        <x:v>SOSHUM</x:v>
      </x:c>
      <x:c r="P980" t="str">
        <x:v>UMUM</x:v>
      </x:c>
      <x:c r="Q980" s="18" t="n">
        <x:v>675</x:v>
      </x:c>
      <x:c r="R980" s="18" t="n">
        <x:v>0</x:v>
      </x:c>
      <x:c r="S980" s="18" t="n">
        <x:v>666.0094827824963</x:v>
      </x:c>
      <x:c r="T980" s="18" t="n">
        <x:v>707</x:v>
      </x:c>
      <x:c r="U980" s="18" t="n">
        <x:v>675</x:v>
      </x:c>
      <x:c r="V980" s="20" t="n">
        <x:v>4.4</x:v>
      </x:c>
      <x:c r="W980" s="20" t="n">
        <x:v>14.3</x:v>
      </x:c>
      <x:c r="X980" s="20" t="n">
        <x:v>3.3</x:v>
      </x:c>
      <x:c r="Y980" t="str">
        <x:v>Basis arsip 2025/2024</x:v>
      </x:c>
      <x:c r="Z980" t="str">
        <x:v>https://snpmb.id/utbk-snbt/daya-tampung-snbt</x:v>
      </x:c>
      <x:c r="AA980" t="str">
        <x:v>Tidak Ada</x:v>
      </x:c>
      <x:c r="AB980" t="str">
        <x:v>Campus=100; Ratio=78.1; Prodi=40; RelDemand=31.6; Capacity=80.0</x:v>
      </x:c>
    </x:row>
    <x:row r="981">
      <x:c r="A981" t="n">
        <x:v>978</x:v>
      </x:c>
      <x:c r="B981" t="str">
        <x:v>PTN Akademik</x:v>
      </x:c>
      <x:c r="C981" t="str">
        <x:v>UNIVERSITAS INDONESIA</x:v>
      </x:c>
      <x:c r="D981" t="str">
        <x:v>ILMU EKONOMI</x:v>
      </x:c>
      <x:c r="E981" t="str">
        <x:v>Sarjana</x:v>
      </x:c>
      <x:c r="F981" s="18" t="n">
        <x:v>63</x:v>
      </x:c>
      <x:c r="G981" s="18" t="n">
        <x:v>938</x:v>
      </x:c>
      <x:c r="H981" s="19" t="n">
        <x:v>14.88888888888889</x:v>
      </x:c>
      <x:c r="I981" s="18" t="n">
        <x:f>ROUND(MIN(Model_Config_v3!$B$6,MAX(Q981,R981,S981*Model_Config_v3!$B$4+T981*Model_Config_v3!$B$5)),0)</x:f>
        <x:v>700</x:v>
      </x:c>
      <x:c r="J981" s="18" t="n">
        <x:f>MIN(Model_Config_v3!$B$6,I981+Model_Config_v3!$B$7)</x:f>
        <x:v>720</x:v>
      </x:c>
      <x:c r="K981" s="20" t="n">
        <x:v>72.2</x:v>
      </x:c>
      <x:c r="L981" t="str">
        <x:v>SANGAT KETAT</x:v>
      </x:c>
      <x:c r="M981" t="str">
        <x:v>SEDANG+</x:v>
      </x:c>
      <x:c r="N981" t="str">
        <x:v>ELITE-1</x:v>
      </x:c>
      <x:c r="O981" t="str">
        <x:v>SOSHUM</x:v>
      </x:c>
      <x:c r="P981" t="str">
        <x:v>BISNIS/EKONOMI/AKUNTANSI</x:v>
      </x:c>
      <x:c r="Q981" s="18" t="n">
        <x:v>675</x:v>
      </x:c>
      <x:c r="R981" s="18" t="n">
        <x:v>700</x:v>
      </x:c>
      <x:c r="S981" s="18" t="n">
        <x:v>649.0148517818031</x:v>
      </x:c>
      <x:c r="T981" s="18" t="n">
        <x:v>704</x:v>
      </x:c>
      <x:c r="U981" s="18" t="n">
        <x:v>675</x:v>
      </x:c>
      <x:c r="V981" s="20" t="n">
        <x:v>4.4</x:v>
      </x:c>
      <x:c r="W981" s="20" t="n">
        <x:v>14.3</x:v>
      </x:c>
      <x:c r="X981" s="20" t="n">
        <x:v>3.3</x:v>
      </x:c>
      <x:c r="Y981" t="str">
        <x:v>Basis arsip 2025/2024</x:v>
      </x:c>
      <x:c r="Z981" t="str">
        <x:v>https://snpmb.id/utbk-snbt/daya-tampung-snbt</x:v>
      </x:c>
      <x:c r="AA981" t="str">
        <x:v>Tidak Ada</x:v>
      </x:c>
      <x:c r="AB981" t="str">
        <x:v>Campus=100; Ratio=69.0; Prodi=65; RelDemand=22.2; Capacity=47.5</x:v>
      </x:c>
    </x:row>
    <x:row r="982">
      <x:c r="A982" t="n">
        <x:v>979</x:v>
      </x:c>
      <x:c r="B982" t="str">
        <x:v>PTN Akademik</x:v>
      </x:c>
      <x:c r="C982" t="str">
        <x:v>UNIVERSITAS INDONESIA</x:v>
      </x:c>
      <x:c r="D982" t="str">
        <x:v>ILMU ADMINISTRASI NIAGA</x:v>
      </x:c>
      <x:c r="E982" t="str">
        <x:v>Sarjana</x:v>
      </x:c>
      <x:c r="F982" s="18" t="n">
        <x:v>57</x:v>
      </x:c>
      <x:c r="G982" s="18" t="n">
        <x:v>1700</x:v>
      </x:c>
      <x:c r="H982" s="19" t="n">
        <x:v>29.82456140350877</x:v>
      </x:c>
      <x:c r="I982" s="18" t="n">
        <x:f>ROUND(MIN(Model_Config_v3!$B$6,MAX(Q982,R982,S982*Model_Config_v3!$B$4+T982*Model_Config_v3!$B$5)),0)</x:f>
        <x:v>701</x:v>
      </x:c>
      <x:c r="J982" s="18" t="n">
        <x:f>MIN(Model_Config_v3!$B$6,I982+Model_Config_v3!$B$7)</x:f>
        <x:v>721</x:v>
      </x:c>
      <x:c r="K982" s="20" t="n">
        <x:v>74.4</x:v>
      </x:c>
      <x:c r="L982" t="str">
        <x:v>SANGAT KETAT</x:v>
      </x:c>
      <x:c r="M982" t="str">
        <x:v>SEDANG+</x:v>
      </x:c>
      <x:c r="N982" t="str">
        <x:v>ELITE-1</x:v>
      </x:c>
      <x:c r="O982" t="str">
        <x:v>SOSHUM</x:v>
      </x:c>
      <x:c r="P982" t="str">
        <x:v>UMUM</x:v>
      </x:c>
      <x:c r="Q982" s="18" t="n">
        <x:v>675</x:v>
      </x:c>
      <x:c r="R982" s="18" t="n">
        <x:v>0</x:v>
      </x:c>
      <x:c r="S982" s="18" t="n">
        <x:v>682.203147227636</x:v>
      </x:c>
      <x:c r="T982" s="18" t="n">
        <x:v>709</x:v>
      </x:c>
      <x:c r="U982" s="18" t="n">
        <x:v>682.203147227636</x:v>
      </x:c>
      <x:c r="V982" s="20" t="n">
        <x:v>4.4</x:v>
      </x:c>
      <x:c r="W982" s="20" t="n">
        <x:v>14.3</x:v>
      </x:c>
      <x:c r="X982" s="20" t="n">
        <x:v>3.3</x:v>
      </x:c>
      <x:c r="Y982" t="str">
        <x:v>Basis arsip 2025/2024</x:v>
      </x:c>
      <x:c r="Z982" t="str">
        <x:v>https://snpmb.id/utbk-snbt/daya-tampung-snbt</x:v>
      </x:c>
      <x:c r="AA982" t="str">
        <x:v>Tidak Ada</x:v>
      </x:c>
      <x:c r="AB982" t="str">
        <x:v>Campus=100; Ratio=86.8; Prodi=40; RelDemand=44.4; Capacity=52.5</x:v>
      </x:c>
    </x:row>
    <x:row r="983">
      <x:c r="A983" t="n">
        <x:v>980</x:v>
      </x:c>
      <x:c r="B983" t="str">
        <x:v>PTN Akademik</x:v>
      </x:c>
      <x:c r="C983" t="str">
        <x:v>UNIVERSITAS INDONESIA</x:v>
      </x:c>
      <x:c r="D983" t="str">
        <x:v>ILMU ADMINISTRASI FISKAL</x:v>
      </x:c>
      <x:c r="E983" t="str">
        <x:v>Sarjana</x:v>
      </x:c>
      <x:c r="F983" s="18" t="n">
        <x:v>57</x:v>
      </x:c>
      <x:c r="G983" s="18" t="n">
        <x:v>1439</x:v>
      </x:c>
      <x:c r="H983" s="19" t="n">
        <x:v>25.24561403508772</x:v>
      </x:c>
      <x:c r="I983" s="18" t="n">
        <x:f>ROUND(MIN(Model_Config_v3!$B$6,MAX(Q983,R983,S983*Model_Config_v3!$B$4+T983*Model_Config_v3!$B$5)),0)</x:f>
        <x:v>696</x:v>
      </x:c>
      <x:c r="J983" s="18" t="n">
        <x:f>MIN(Model_Config_v3!$B$6,I983+Model_Config_v3!$B$7)</x:f>
        <x:v>716</x:v>
      </x:c>
      <x:c r="K983" s="20" t="n">
        <x:v>72.6</x:v>
      </x:c>
      <x:c r="L983" t="str">
        <x:v>SANGAT KETAT</x:v>
      </x:c>
      <x:c r="M983" t="str">
        <x:v>SEDANG+</x:v>
      </x:c>
      <x:c r="N983" t="str">
        <x:v>ELITE-1</x:v>
      </x:c>
      <x:c r="O983" t="str">
        <x:v>SOSHUM</x:v>
      </x:c>
      <x:c r="P983" t="str">
        <x:v>UMUM</x:v>
      </x:c>
      <x:c r="Q983" s="18" t="n">
        <x:v>675</x:v>
      </x:c>
      <x:c r="R983" s="18" t="n">
        <x:v>0</x:v>
      </x:c>
      <x:c r="S983" s="18" t="n">
        <x:v>674.2404532090525</x:v>
      </x:c>
      <x:c r="T983" s="18" t="n">
        <x:v>705</x:v>
      </x:c>
      <x:c r="U983" s="18" t="n">
        <x:v>675</x:v>
      </x:c>
      <x:c r="V983" s="20" t="n">
        <x:v>4.4</x:v>
      </x:c>
      <x:c r="W983" s="20" t="n">
        <x:v>14.3</x:v>
      </x:c>
      <x:c r="X983" s="20" t="n">
        <x:v>3.3</x:v>
      </x:c>
      <x:c r="Y983" t="str">
        <x:v>Basis arsip 2025/2024</x:v>
      </x:c>
      <x:c r="Z983" t="str">
        <x:v>https://snpmb.id/utbk-snbt/daya-tampung-snbt</x:v>
      </x:c>
      <x:c r="AA983" t="str">
        <x:v>Tidak Ada</x:v>
      </x:c>
      <x:c r="AB983" t="str">
        <x:v>Campus=100; Ratio=82.5; Prodi=40; RelDemand=37.6; Capacity=52.5</x:v>
      </x:c>
    </x:row>
    <x:row r="984">
      <x:c r="A984" t="n">
        <x:v>981</x:v>
      </x:c>
      <x:c r="B984" t="str">
        <x:v>PTN Akademik</x:v>
      </x:c>
      <x:c r="C984" t="str">
        <x:v>UNIVERSITAS INDONESIA</x:v>
      </x:c>
      <x:c r="D984" t="str">
        <x:v>MANAJEMEN</x:v>
      </x:c>
      <x:c r="E984" t="str">
        <x:v>Sarjana</x:v>
      </x:c>
      <x:c r="F984" s="18" t="n">
        <x:v>114</x:v>
      </x:c>
      <x:c r="G984" s="18" t="n">
        <x:v>2915</x:v>
      </x:c>
      <x:c r="H984" s="19" t="n">
        <x:v>25.57017543859649</x:v>
      </x:c>
      <x:c r="I984" s="18" t="n">
        <x:f>ROUND(MIN(Model_Config_v3!$B$6,MAX(Q984,R984,S984*Model_Config_v3!$B$4+T984*Model_Config_v3!$B$5)),0)</x:f>
        <x:v>700</x:v>
      </x:c>
      <x:c r="J984" s="18" t="n">
        <x:f>MIN(Model_Config_v3!$B$6,I984+Model_Config_v3!$B$7)</x:f>
        <x:v>720</x:v>
      </x:c>
      <x:c r="K984" s="20" t="n">
        <x:v>73</x:v>
      </x:c>
      <x:c r="L984" t="str">
        <x:v>SANGAT KETAT</x:v>
      </x:c>
      <x:c r="M984" t="str">
        <x:v>SEDANG+</x:v>
      </x:c>
      <x:c r="N984" t="str">
        <x:v>ELITE-1</x:v>
      </x:c>
      <x:c r="O984" t="str">
        <x:v>SOSHUM</x:v>
      </x:c>
      <x:c r="P984" t="str">
        <x:v>BISNIS/EKONOMI/AKUNTANSI</x:v>
      </x:c>
      <x:c r="Q984" s="18" t="n">
        <x:v>675</x:v>
      </x:c>
      <x:c r="R984" s="18" t="n">
        <x:v>700</x:v>
      </x:c>
      <x:c r="S984" s="18" t="n">
        <x:v>674.8507078534416</x:v>
      </x:c>
      <x:c r="T984" s="18" t="n">
        <x:v>706</x:v>
      </x:c>
      <x:c r="U984" s="18" t="n">
        <x:v>689.8507078534416</x:v>
      </x:c>
      <x:c r="V984" s="20" t="n">
        <x:v>4.4</x:v>
      </x:c>
      <x:c r="W984" s="20" t="n">
        <x:v>14.3</x:v>
      </x:c>
      <x:c r="X984" s="20" t="n">
        <x:v>3.3</x:v>
      </x:c>
      <x:c r="Y984" t="str">
        <x:v>Basis arsip 2025/2024</x:v>
      </x:c>
      <x:c r="Z984" t="str">
        <x:v>https://snpmb.id/utbk-snbt/daya-tampung-snbt</x:v>
      </x:c>
      <x:c r="AA984" t="str">
        <x:v>Tidak Ada</x:v>
      </x:c>
      <x:c r="AB984" t="str">
        <x:v>Campus=100; Ratio=82.9; Prodi=65; RelDemand=38.1; Capacity=5.0</x:v>
      </x:c>
    </x:row>
    <x:row r="985">
      <x:c r="A985" t="n">
        <x:v>982</x:v>
      </x:c>
      <x:c r="B985" t="str">
        <x:v>PTN Akademik</x:v>
      </x:c>
      <x:c r="C985" t="str">
        <x:v>UNIVERSITAS INDONESIA</x:v>
      </x:c>
      <x:c r="D985" t="str">
        <x:v>AKUNTANSI</x:v>
      </x:c>
      <x:c r="E985" t="str">
        <x:v>Sarjana</x:v>
      </x:c>
      <x:c r="F985" s="18" t="n">
        <x:v>105</x:v>
      </x:c>
      <x:c r="G985" s="18" t="n">
        <x:v>2554</x:v>
      </x:c>
      <x:c r="H985" s="19" t="n">
        <x:v>24.323809523809523</x:v>
      </x:c>
      <x:c r="I985" s="18" t="n">
        <x:f>ROUND(MIN(Model_Config_v3!$B$6,MAX(Q985,R985,S985*Model_Config_v3!$B$4+T985*Model_Config_v3!$B$5)),0)</x:f>
        <x:v>700</x:v>
      </x:c>
      <x:c r="J985" s="18" t="n">
        <x:f>MIN(Model_Config_v3!$B$6,I985+Model_Config_v3!$B$7)</x:f>
        <x:v>720</x:v>
      </x:c>
      <x:c r="K985" s="20" t="n">
        <x:v>73.3</x:v>
      </x:c>
      <x:c r="L985" t="str">
        <x:v>SANGAT KETAT</x:v>
      </x:c>
      <x:c r="M985" t="str">
        <x:v>SEDANG+</x:v>
      </x:c>
      <x:c r="N985" t="str">
        <x:v>ELITE-1</x:v>
      </x:c>
      <x:c r="O985" t="str">
        <x:v>SOSHUM</x:v>
      </x:c>
      <x:c r="P985" t="str">
        <x:v>BISNIS/EKONOMI/AKUNTANSI</x:v>
      </x:c>
      <x:c r="Q985" s="18" t="n">
        <x:v>675</x:v>
      </x:c>
      <x:c r="R985" s="18" t="n">
        <x:v>700</x:v>
      </x:c>
      <x:c r="S985" s="18" t="n">
        <x:v>672.4634753243204</x:v>
      </x:c>
      <x:c r="T985" s="18" t="n">
        <x:v>707</x:v>
      </x:c>
      <x:c r="U985" s="18" t="n">
        <x:v>675</x:v>
      </x:c>
      <x:c r="V985" s="20" t="n">
        <x:v>4.4</x:v>
      </x:c>
      <x:c r="W985" s="20" t="n">
        <x:v>14.3</x:v>
      </x:c>
      <x:c r="X985" s="20" t="n">
        <x:v>3.3</x:v>
      </x:c>
      <x:c r="Y985" t="str">
        <x:v>Basis arsip 2025/2024</x:v>
      </x:c>
      <x:c r="Z985" t="str">
        <x:v>https://snpmb.id/utbk-snbt/daya-tampung-snbt</x:v>
      </x:c>
      <x:c r="AA985" t="str">
        <x:v>Tidak Ada</x:v>
      </x:c>
      <x:c r="AB985" t="str">
        <x:v>Campus=100; Ratio=81.6; Prodi=65; RelDemand=36.2; Capacity=12.5</x:v>
      </x:c>
    </x:row>
    <x:row r="986">
      <x:c r="A986" t="n">
        <x:v>983</x:v>
      </x:c>
      <x:c r="B986" t="str">
        <x:v>PTN Akademik</x:v>
      </x:c>
      <x:c r="C986" t="str">
        <x:v>UNIVERSITAS INDONESIA</x:v>
      </x:c>
      <x:c r="D986" t="str">
        <x:v>ILMU HUBUNGAN INTERNASIONAL</x:v>
      </x:c>
      <x:c r="E986" t="str">
        <x:v>Sarjana</x:v>
      </x:c>
      <x:c r="F986" s="18" t="n">
        <x:v>18</x:v>
      </x:c>
      <x:c r="G986" s="18" t="n">
        <x:v>1255</x:v>
      </x:c>
      <x:c r="H986" s="19" t="n">
        <x:v>69.72222222222223</x:v>
      </x:c>
      <x:c r="I986" s="18" t="n">
        <x:f>ROUND(MIN(Model_Config_v3!$B$6,MAX(Q986,R986,S986*Model_Config_v3!$B$4+T986*Model_Config_v3!$B$5)),0)</x:f>
        <x:v>730</x:v>
      </x:c>
      <x:c r="J986" s="18" t="n">
        <x:f>MIN(Model_Config_v3!$B$6,I986+Model_Config_v3!$B$7)</x:f>
        <x:v>750</x:v>
      </x:c>
      <x:c r="K986" s="20" t="n">
        <x:v>86.5</x:v>
      </x:c>
      <x:c r="L986" t="str">
        <x:v>ULTRA ELITE</x:v>
      </x:c>
      <x:c r="M986" t="str">
        <x:v>SEDANG+</x:v>
      </x:c>
      <x:c r="N986" t="str">
        <x:v>ELITE-1</x:v>
      </x:c>
      <x:c r="O986" t="str">
        <x:v>SOSHUM</x:v>
      </x:c>
      <x:c r="P986" t="str">
        <x:v>UMUM</x:v>
      </x:c>
      <x:c r="Q986" s="18" t="n">
        <x:v>675</x:v>
      </x:c>
      <x:c r="R986" s="18" t="n">
        <x:v>0</x:v>
      </x:c>
      <x:c r="S986" s="18" t="n">
        <x:v>722.7708342785126</x:v>
      </x:c>
      <x:c r="T986" s="18" t="n">
        <x:v>733</x:v>
      </x:c>
      <x:c r="U986" s="18" t="n">
        <x:v>722.7708342785126</x:v>
      </x:c>
      <x:c r="V986" s="20" t="n">
        <x:v>4.4</x:v>
      </x:c>
      <x:c r="W986" s="20" t="n">
        <x:v>14.3</x:v>
      </x:c>
      <x:c r="X986" s="20" t="n">
        <x:v>3.3</x:v>
      </x:c>
      <x:c r="Y986" t="str">
        <x:v>Basis arsip 2025/2024</x:v>
      </x:c>
      <x:c r="Z986" t="str">
        <x:v>https://snpmb.id/utbk-snbt/daya-tampung-snbt</x:v>
      </x:c>
      <x:c r="AA986" t="str">
        <x:v>Tidak Ada</x:v>
      </x:c>
      <x:c r="AB986" t="str">
        <x:v>Campus=100; Ratio=100.0; Prodi=40; RelDemand=100.0; Capacity=85.0</x:v>
      </x:c>
    </x:row>
    <x:row r="987">
      <x:c r="A987" t="n">
        <x:v>984</x:v>
      </x:c>
      <x:c r="B987" t="str">
        <x:v>PTN Akademik</x:v>
      </x:c>
      <x:c r="C987" t="str">
        <x:v>UNIVERSITAS INDONESIA</x:v>
      </x:c>
      <x:c r="D987" t="str">
        <x:v>ILMU PERPUSTAKAAN</x:v>
      </x:c>
      <x:c r="E987" t="str">
        <x:v>Sarjana</x:v>
      </x:c>
      <x:c r="F987" s="18" t="n">
        <x:v>24</x:v>
      </x:c>
      <x:c r="G987" s="18" t="n">
        <x:v>522</x:v>
      </x:c>
      <x:c r="H987" s="19" t="n">
        <x:v>21.75</x:v>
      </x:c>
      <x:c r="I987" s="18" t="n">
        <x:f>ROUND(MIN(Model_Config_v3!$B$6,MAX(Q987,R987,S987*Model_Config_v3!$B$4+T987*Model_Config_v3!$B$5)),0)</x:f>
        <x:v>696</x:v>
      </x:c>
      <x:c r="J987" s="18" t="n">
        <x:f>MIN(Model_Config_v3!$B$6,I987+Model_Config_v3!$B$7)</x:f>
        <x:v>716</x:v>
      </x:c>
      <x:c r="K987" s="20" t="n">
        <x:v>73.9</x:v>
      </x:c>
      <x:c r="L987" t="str">
        <x:v>SANGAT KETAT</x:v>
      </x:c>
      <x:c r="M987" t="str">
        <x:v>SEDANG+</x:v>
      </x:c>
      <x:c r="N987" t="str">
        <x:v>ELITE-1</x:v>
      </x:c>
      <x:c r="O987" t="str">
        <x:v>CAMPURAN</x:v>
      </x:c>
      <x:c r="P987" t="str">
        <x:v>UMUM</x:v>
      </x:c>
      <x:c r="Q987" s="18" t="n">
        <x:v>675</x:v>
      </x:c>
      <x:c r="R987" s="18" t="n">
        <x:v>0</x:v>
      </x:c>
      <x:c r="S987" s="18" t="n">
        <x:v>667.1205187419721</x:v>
      </x:c>
      <x:c r="T987" s="18" t="n">
        <x:v>708</x:v>
      </x:c>
      <x:c r="U987" s="18" t="n">
        <x:v>675</x:v>
      </x:c>
      <x:c r="V987" s="20" t="n">
        <x:v>8.8</x:v>
      </x:c>
      <x:c r="W987" s="20" t="n">
        <x:v>9.9</x:v>
      </x:c>
      <x:c r="X987" s="20" t="n">
        <x:v>3.3</x:v>
      </x:c>
      <x:c r="Y987" t="str">
        <x:v>Basis arsip 2025/2024</x:v>
      </x:c>
      <x:c r="Z987" t="str">
        <x:v>https://snpmb.id/utbk-snbt/daya-tampung-snbt</x:v>
      </x:c>
      <x:c r="AA987" t="str">
        <x:v>Tidak Ada</x:v>
      </x:c>
      <x:c r="AB987" t="str">
        <x:v>Campus=100; Ratio=78.7; Prodi=40; RelDemand=32.4; Capacity=80.0</x:v>
      </x:c>
    </x:row>
    <x:row r="988">
      <x:c r="A988" t="n">
        <x:v>985</x:v>
      </x:c>
      <x:c r="B988" t="str">
        <x:v>PTN Akademik</x:v>
      </x:c>
      <x:c r="C988" t="str">
        <x:v>UNIVERSITAS INDONESIA</x:v>
      </x:c>
      <x:c r="D988" t="str">
        <x:v>ILMU FILSAFAT</x:v>
      </x:c>
      <x:c r="E988" t="str">
        <x:v>Sarjana</x:v>
      </x:c>
      <x:c r="F988" s="18" t="n">
        <x:v>24</x:v>
      </x:c>
      <x:c r="G988" s="18" t="n">
        <x:v>324</x:v>
      </x:c>
      <x:c r="H988" s="19" t="n">
        <x:v>13.5</x:v>
      </x:c>
      <x:c r="I988" s="18" t="n">
        <x:f>ROUND(MIN(Model_Config_v3!$B$6,MAX(Q988,R988,S988*Model_Config_v3!$B$4+T988*Model_Config_v3!$B$5)),0)</x:f>
        <x:v>683</x:v>
      </x:c>
      <x:c r="J988" s="18" t="n">
        <x:f>MIN(Model_Config_v3!$B$6,I988+Model_Config_v3!$B$7)</x:f>
        <x:v>703</x:v>
      </x:c>
      <x:c r="K988" s="20" t="n">
        <x:v>69.6</x:v>
      </x:c>
      <x:c r="L988" t="str">
        <x:v>SANGAT KETAT</x:v>
      </x:c>
      <x:c r="M988" t="str">
        <x:v>SEDANG+</x:v>
      </x:c>
      <x:c r="N988" t="str">
        <x:v>ELITE-1</x:v>
      </x:c>
      <x:c r="O988" t="str">
        <x:v>SOSHUM</x:v>
      </x:c>
      <x:c r="P988" t="str">
        <x:v>UMUM</x:v>
      </x:c>
      <x:c r="Q988" s="18" t="n">
        <x:v>675</x:v>
      </x:c>
      <x:c r="R988" s="18" t="n">
        <x:v>0</x:v>
      </x:c>
      <x:c r="S988" s="18" t="n">
        <x:v>644.3367145344506</x:v>
      </x:c>
      <x:c r="T988" s="18" t="n">
        <x:v>699</x:v>
      </x:c>
      <x:c r="U988" s="18" t="n">
        <x:v>675</x:v>
      </x:c>
      <x:c r="V988" s="20" t="n">
        <x:v>4.4</x:v>
      </x:c>
      <x:c r="W988" s="20" t="n">
        <x:v>14.3</x:v>
      </x:c>
      <x:c r="X988" s="20" t="n">
        <x:v>3.3</x:v>
      </x:c>
      <x:c r="Y988" t="str">
        <x:v>Basis arsip 2025/2024</x:v>
      </x:c>
      <x:c r="Z988" t="str">
        <x:v>https://snpmb.id/utbk-snbt/daya-tampung-snbt</x:v>
      </x:c>
      <x:c r="AA988" t="str">
        <x:v>Tidak Ada</x:v>
      </x:c>
      <x:c r="AB988" t="str">
        <x:v>Campus=100; Ratio=66.5; Prodi=40; RelDemand=20.1; Capacity=80.0</x:v>
      </x:c>
    </x:row>
    <x:row r="989">
      <x:c r="A989" t="n">
        <x:v>986</x:v>
      </x:c>
      <x:c r="B989" t="str">
        <x:v>PTN Akademik</x:v>
      </x:c>
      <x:c r="C989" t="str">
        <x:v>UNIVERSITAS INDONESIA</x:v>
      </x:c>
      <x:c r="D989" t="str">
        <x:v>SASTRA INDONESIA</x:v>
      </x:c>
      <x:c r="E989" t="str">
        <x:v>Sarjana</x:v>
      </x:c>
      <x:c r="F989" s="18" t="n">
        <x:v>24</x:v>
      </x:c>
      <x:c r="G989" s="18" t="n">
        <x:v>369</x:v>
      </x:c>
      <x:c r="H989" s="19" t="n">
        <x:v>15.375</x:v>
      </x:c>
      <x:c r="I989" s="18" t="n">
        <x:f>ROUND(MIN(Model_Config_v3!$B$6,MAX(Q989,R989,S989*Model_Config_v3!$B$4+T989*Model_Config_v3!$B$5)),0)</x:f>
        <x:v>687</x:v>
      </x:c>
      <x:c r="J989" s="18" t="n">
        <x:f>MIN(Model_Config_v3!$B$6,I989+Model_Config_v3!$B$7)</x:f>
        <x:v>707</x:v>
      </x:c>
      <x:c r="K989" s="20" t="n">
        <x:v>70.8</x:v>
      </x:c>
      <x:c r="L989" t="str">
        <x:v>SANGAT KETAT</x:v>
      </x:c>
      <x:c r="M989" t="str">
        <x:v>SEDANG+</x:v>
      </x:c>
      <x:c r="N989" t="str">
        <x:v>ELITE-1</x:v>
      </x:c>
      <x:c r="O989" t="str">
        <x:v>SOSHUM</x:v>
      </x:c>
      <x:c r="P989" t="str">
        <x:v>UMUM</x:v>
      </x:c>
      <x:c r="Q989" s="18" t="n">
        <x:v>675</x:v>
      </x:c>
      <x:c r="R989" s="18" t="n">
        <x:v>0</x:v>
      </x:c>
      <x:c r="S989" s="18" t="n">
        <x:v>650.54966368922</x:v>
      </x:c>
      <x:c r="T989" s="18" t="n">
        <x:v>702</x:v>
      </x:c>
      <x:c r="U989" s="18" t="n">
        <x:v>675</x:v>
      </x:c>
      <x:c r="V989" s="20" t="n">
        <x:v>4.4</x:v>
      </x:c>
      <x:c r="W989" s="20" t="n">
        <x:v>14.3</x:v>
      </x:c>
      <x:c r="X989" s="20" t="n">
        <x:v>3.3</x:v>
      </x:c>
      <x:c r="Y989" t="str">
        <x:v>Basis arsip 2025/2024</x:v>
      </x:c>
      <x:c r="Z989" t="str">
        <x:v>https://snpmb.id/utbk-snbt/daya-tampung-snbt</x:v>
      </x:c>
      <x:c r="AA989" t="str">
        <x:v>Tidak Ada</x:v>
      </x:c>
      <x:c r="AB989" t="str">
        <x:v>Campus=100; Ratio=69.9; Prodi=40; RelDemand=22.9; Capacity=80.0</x:v>
      </x:c>
    </x:row>
    <x:row r="990">
      <x:c r="A990" t="n">
        <x:v>987</x:v>
      </x:c>
      <x:c r="B990" t="str">
        <x:v>PTN Akademik</x:v>
      </x:c>
      <x:c r="C990" t="str">
        <x:v>UNIVERSITAS INDONESIA</x:v>
      </x:c>
      <x:c r="D990" t="str">
        <x:v>SASTRA DAERAH UNTUK SASTRA JAWA</x:v>
      </x:c>
      <x:c r="E990" t="str">
        <x:v>Sarjana</x:v>
      </x:c>
      <x:c r="F990" s="18" t="n">
        <x:v>24</x:v>
      </x:c>
      <x:c r="G990" s="18" t="n">
        <x:v>156</x:v>
      </x:c>
      <x:c r="H990" s="19" t="n">
        <x:v>6.5</x:v>
      </x:c>
      <x:c r="I990" s="18" t="n">
        <x:f>ROUND(MIN(Model_Config_v3!$B$6,MAX(Q990,R990,S990*Model_Config_v3!$B$4+T990*Model_Config_v3!$B$5)),0)</x:f>
        <x:v>675</x:v>
      </x:c>
      <x:c r="J990" s="18" t="n">
        <x:f>MIN(Model_Config_v3!$B$6,I990+Model_Config_v3!$B$7)</x:f>
        <x:v>695</x:v>
      </x:c>
      <x:c r="K990" s="20" t="n">
        <x:v>63.9</x:v>
      </x:c>
      <x:c r="L990" t="str">
        <x:v>KETAT</x:v>
      </x:c>
      <x:c r="M990" t="str">
        <x:v>SEDANG+</x:v>
      </x:c>
      <x:c r="N990" t="str">
        <x:v>ELITE-1</x:v>
      </x:c>
      <x:c r="O990" t="str">
        <x:v>SOSHUM</x:v>
      </x:c>
      <x:c r="P990" t="str">
        <x:v>UMUM</x:v>
      </x:c>
      <x:c r="Q990" s="18" t="n">
        <x:v>675</x:v>
      </x:c>
      <x:c r="R990" s="18" t="n">
        <x:v>0</x:v>
      </x:c>
      <x:c r="S990" s="18" t="n">
        <x:v>609.4204692307142</x:v>
      </x:c>
      <x:c r="T990" s="18" t="n">
        <x:v>688</x:v>
      </x:c>
      <x:c r="U990" s="18" t="n">
        <x:v>675</x:v>
      </x:c>
      <x:c r="V990" s="20" t="n">
        <x:v>4.4</x:v>
      </x:c>
      <x:c r="W990" s="20" t="n">
        <x:v>14.3</x:v>
      </x:c>
      <x:c r="X990" s="20" t="n">
        <x:v>3.3</x:v>
      </x:c>
      <x:c r="Y990" t="str">
        <x:v>Basis arsip 2025/2024</x:v>
      </x:c>
      <x:c r="Z990" t="str">
        <x:v>https://snpmb.id/utbk-snbt/daya-tampung-snbt</x:v>
      </x:c>
      <x:c r="AA990" t="str">
        <x:v>Tidak Ada</x:v>
      </x:c>
      <x:c r="AB990" t="str">
        <x:v>Campus=100; Ratio=47.8; Prodi=40; RelDemand=9.7; Capacity=80.0</x:v>
      </x:c>
    </x:row>
    <x:row r="991">
      <x:c r="A991" t="n">
        <x:v>988</x:v>
      </x:c>
      <x:c r="B991" t="str">
        <x:v>PTN Akademik</x:v>
      </x:c>
      <x:c r="C991" t="str">
        <x:v>UNIVERSITAS INDONESIA</x:v>
      </x:c>
      <x:c r="D991" t="str">
        <x:v>SASTRA JEPANG</x:v>
      </x:c>
      <x:c r="E991" t="str">
        <x:v>Sarjana</x:v>
      </x:c>
      <x:c r="F991" s="18" t="n">
        <x:v>24</x:v>
      </x:c>
      <x:c r="G991" s="18" t="n">
        <x:v>594</x:v>
      </x:c>
      <x:c r="H991" s="19" t="n">
        <x:v>24.75</x:v>
      </x:c>
      <x:c r="I991" s="18" t="n">
        <x:f>ROUND(MIN(Model_Config_v3!$B$6,MAX(Q991,R991,S991*Model_Config_v3!$B$4+T991*Model_Config_v3!$B$5)),0)</x:f>
        <x:v>699</x:v>
      </x:c>
      <x:c r="J991" s="18" t="n">
        <x:f>MIN(Model_Config_v3!$B$6,I991+Model_Config_v3!$B$7)</x:f>
        <x:v>719</x:v>
      </x:c>
      <x:c r="K991" s="20" t="n">
        <x:v>75.2</x:v>
      </x:c>
      <x:c r="L991" t="str">
        <x:v>ELITE</x:v>
      </x:c>
      <x:c r="M991" t="str">
        <x:v>SEDANG+</x:v>
      </x:c>
      <x:c r="N991" t="str">
        <x:v>ELITE-1</x:v>
      </x:c>
      <x:c r="O991" t="str">
        <x:v>SOSHUM</x:v>
      </x:c>
      <x:c r="P991" t="str">
        <x:v>UMUM</x:v>
      </x:c>
      <x:c r="Q991" s="18" t="n">
        <x:v>675</x:v>
      </x:c>
      <x:c r="R991" s="18" t="n">
        <x:v>0</x:v>
      </x:c>
      <x:c r="S991" s="18" t="n">
        <x:v>673.2932723596546</x:v>
      </x:c>
      <x:c r="T991" s="18" t="n">
        <x:v>710</x:v>
      </x:c>
      <x:c r="U991" s="18" t="n">
        <x:v>675</x:v>
      </x:c>
      <x:c r="V991" s="20" t="n">
        <x:v>4.4</x:v>
      </x:c>
      <x:c r="W991" s="20" t="n">
        <x:v>14.3</x:v>
      </x:c>
      <x:c r="X991" s="20" t="n">
        <x:v>3.3</x:v>
      </x:c>
      <x:c r="Y991" t="str">
        <x:v>Basis arsip 2025/2024</x:v>
      </x:c>
      <x:c r="Z991" t="str">
        <x:v>https://snpmb.id/utbk-snbt/daya-tampung-snbt</x:v>
      </x:c>
      <x:c r="AA991" t="str">
        <x:v>Tidak Ada</x:v>
      </x:c>
      <x:c r="AB991" t="str">
        <x:v>Campus=100; Ratio=82.0; Prodi=40; RelDemand=36.9; Capacity=80.0</x:v>
      </x:c>
    </x:row>
    <x:row r="992">
      <x:c r="A992" t="n">
        <x:v>989</x:v>
      </x:c>
      <x:c r="B992" t="str">
        <x:v>PTN Akademik</x:v>
      </x:c>
      <x:c r="C992" t="str">
        <x:v>UNIVERSITAS INDONESIA</x:v>
      </x:c>
      <x:c r="D992" t="str">
        <x:v>SASTRA CINA</x:v>
      </x:c>
      <x:c r="E992" t="str">
        <x:v>Sarjana</x:v>
      </x:c>
      <x:c r="F992" s="18" t="n">
        <x:v>24</x:v>
      </x:c>
      <x:c r="G992" s="18" t="n">
        <x:v>350</x:v>
      </x:c>
      <x:c r="H992" s="19" t="n">
        <x:v>14.583333333333334</x:v>
      </x:c>
      <x:c r="I992" s="18" t="n">
        <x:f>ROUND(MIN(Model_Config_v3!$B$6,MAX(Q992,R992,S992*Model_Config_v3!$B$4+T992*Model_Config_v3!$B$5)),0)</x:f>
        <x:v>685</x:v>
      </x:c>
      <x:c r="J992" s="18" t="n">
        <x:f>MIN(Model_Config_v3!$B$6,I992+Model_Config_v3!$B$7)</x:f>
        <x:v>705</x:v>
      </x:c>
      <x:c r="K992" s="20" t="n">
        <x:v>70.3</x:v>
      </x:c>
      <x:c r="L992" t="str">
        <x:v>SANGAT KETAT</x:v>
      </x:c>
      <x:c r="M992" t="str">
        <x:v>SEDANG+</x:v>
      </x:c>
      <x:c r="N992" t="str">
        <x:v>ELITE-1</x:v>
      </x:c>
      <x:c r="O992" t="str">
        <x:v>SOSHUM</x:v>
      </x:c>
      <x:c r="P992" t="str">
        <x:v>UMUM</x:v>
      </x:c>
      <x:c r="Q992" s="18" t="n">
        <x:v>675</x:v>
      </x:c>
      <x:c r="R992" s="18" t="n">
        <x:v>0</x:v>
      </x:c>
      <x:c r="S992" s="18" t="n">
        <x:v>648.0242482902536</x:v>
      </x:c>
      <x:c r="T992" s="18" t="n">
        <x:v>701</x:v>
      </x:c>
      <x:c r="U992" s="18" t="n">
        <x:v>675</x:v>
      </x:c>
      <x:c r="V992" s="20" t="n">
        <x:v>4.4</x:v>
      </x:c>
      <x:c r="W992" s="20" t="n">
        <x:v>14.3</x:v>
      </x:c>
      <x:c r="X992" s="20" t="n">
        <x:v>3.3</x:v>
      </x:c>
      <x:c r="Y992" t="str">
        <x:v>Basis arsip 2025/2024</x:v>
      </x:c>
      <x:c r="Z992" t="str">
        <x:v>https://snpmb.id/utbk-snbt/daya-tampung-snbt</x:v>
      </x:c>
      <x:c r="AA992" t="str">
        <x:v>Tidak Ada</x:v>
      </x:c>
      <x:c r="AB992" t="str">
        <x:v>Campus=100; Ratio=68.5; Prodi=40; RelDemand=21.7; Capacity=80.0</x:v>
      </x:c>
    </x:row>
    <x:row r="993">
      <x:c r="A993" t="n">
        <x:v>990</x:v>
      </x:c>
      <x:c r="B993" t="str">
        <x:v>PTN Akademik</x:v>
      </x:c>
      <x:c r="C993" t="str">
        <x:v>UNIVERSITAS INDONESIA</x:v>
      </x:c>
      <x:c r="D993" t="str">
        <x:v>SASTRA ARAB</x:v>
      </x:c>
      <x:c r="E993" t="str">
        <x:v>Sarjana</x:v>
      </x:c>
      <x:c r="F993" s="18" t="n">
        <x:v>24</x:v>
      </x:c>
      <x:c r="G993" s="18" t="n">
        <x:v>470</x:v>
      </x:c>
      <x:c r="H993" s="19" t="n">
        <x:v>19.583333333333332</x:v>
      </x:c>
      <x:c r="I993" s="18" t="n">
        <x:f>ROUND(MIN(Model_Config_v3!$B$6,MAX(Q993,R993,S993*Model_Config_v3!$B$4+T993*Model_Config_v3!$B$5)),0)</x:f>
        <x:v>693</x:v>
      </x:c>
      <x:c r="J993" s="18" t="n">
        <x:f>MIN(Model_Config_v3!$B$6,I993+Model_Config_v3!$B$7)</x:f>
        <x:v>713</x:v>
      </x:c>
      <x:c r="K993" s="20" t="n">
        <x:v>72.9</x:v>
      </x:c>
      <x:c r="L993" t="str">
        <x:v>SANGAT KETAT</x:v>
      </x:c>
      <x:c r="M993" t="str">
        <x:v>SEDANG+</x:v>
      </x:c>
      <x:c r="N993" t="str">
        <x:v>ELITE-1</x:v>
      </x:c>
      <x:c r="O993" t="str">
        <x:v>SOSHUM</x:v>
      </x:c>
      <x:c r="P993" t="str">
        <x:v>UMUM</x:v>
      </x:c>
      <x:c r="Q993" s="18" t="n">
        <x:v>675</x:v>
      </x:c>
      <x:c r="R993" s="18" t="n">
        <x:v>0</x:v>
      </x:c>
      <x:c r="S993" s="18" t="n">
        <x:v>662.1075277846522</x:v>
      </x:c>
      <x:c r="T993" s="18" t="n">
        <x:v>706</x:v>
      </x:c>
      <x:c r="U993" s="18" t="n">
        <x:v>675</x:v>
      </x:c>
      <x:c r="V993" s="20" t="n">
        <x:v>4.4</x:v>
      </x:c>
      <x:c r="W993" s="20" t="n">
        <x:v>14.3</x:v>
      </x:c>
      <x:c r="X993" s="20" t="n">
        <x:v>3.3</x:v>
      </x:c>
      <x:c r="Y993" t="str">
        <x:v>Basis arsip 2025/2024</x:v>
      </x:c>
      <x:c r="Z993" t="str">
        <x:v>https://snpmb.id/utbk-snbt/daya-tampung-snbt</x:v>
      </x:c>
      <x:c r="AA993" t="str">
        <x:v>Tidak Ada</x:v>
      </x:c>
      <x:c r="AB993" t="str">
        <x:v>Campus=100; Ratio=76.0; Prodi=40; RelDemand=29.2; Capacity=80.0</x:v>
      </x:c>
    </x:row>
    <x:row r="994">
      <x:c r="A994" t="n">
        <x:v>991</x:v>
      </x:c>
      <x:c r="B994" t="str">
        <x:v>PTN Akademik</x:v>
      </x:c>
      <x:c r="C994" t="str">
        <x:v>UNIVERSITAS INDONESIA</x:v>
      </x:c>
      <x:c r="D994" t="str">
        <x:v>SASTRA PERANCIS</x:v>
      </x:c>
      <x:c r="E994" t="str">
        <x:v>Sarjana</x:v>
      </x:c>
      <x:c r="F994" s="18" t="n">
        <x:v>17</x:v>
      </x:c>
      <x:c r="G994" s="18" t="n">
        <x:v>221</x:v>
      </x:c>
      <x:c r="H994" s="19" t="n">
        <x:v>13</x:v>
      </x:c>
      <x:c r="I994" s="18" t="n">
        <x:f>ROUND(MIN(Model_Config_v3!$B$6,MAX(Q994,R994,S994*Model_Config_v3!$B$4+T994*Model_Config_v3!$B$5)),0)</x:f>
        <x:v>683</x:v>
      </x:c>
      <x:c r="J994" s="18" t="n">
        <x:f>MIN(Model_Config_v3!$B$6,I994+Model_Config_v3!$B$7)</x:f>
        <x:v>703</x:v>
      </x:c>
      <x:c r="K994" s="20" t="n">
        <x:v>69.9</x:v>
      </x:c>
      <x:c r="L994" t="str">
        <x:v>SANGAT KETAT</x:v>
      </x:c>
      <x:c r="M994" t="str">
        <x:v>SEDANG+</x:v>
      </x:c>
      <x:c r="N994" t="str">
        <x:v>ELITE-1</x:v>
      </x:c>
      <x:c r="O994" t="str">
        <x:v>SOSHUM</x:v>
      </x:c>
      <x:c r="P994" t="str">
        <x:v>UMUM</x:v>
      </x:c>
      <x:c r="Q994" s="18" t="n">
        <x:v>675</x:v>
      </x:c>
      <x:c r="R994" s="18" t="n">
        <x:v>0</x:v>
      </x:c>
      <x:c r="S994" s="18" t="n">
        <x:v>642.533768753752</x:v>
      </x:c>
      <x:c r="T994" s="18" t="n">
        <x:v>700</x:v>
      </x:c>
      <x:c r="U994" s="18" t="n">
        <x:v>675</x:v>
      </x:c>
      <x:c r="V994" s="20" t="n">
        <x:v>4.4</x:v>
      </x:c>
      <x:c r="W994" s="20" t="n">
        <x:v>14.3</x:v>
      </x:c>
      <x:c r="X994" s="20" t="n">
        <x:v>3.3</x:v>
      </x:c>
      <x:c r="Y994" t="str">
        <x:v>Basis arsip 2025/2024</x:v>
      </x:c>
      <x:c r="Z994" t="str">
        <x:v>https://snpmb.id/utbk-snbt/daya-tampung-snbt</x:v>
      </x:c>
      <x:c r="AA994" t="str">
        <x:v>Tidak Ada</x:v>
      </x:c>
      <x:c r="AB994" t="str">
        <x:v>Campus=100; Ratio=65.6; Prodi=40; RelDemand=19.4; Capacity=85.8</x:v>
      </x:c>
    </x:row>
    <x:row r="995">
      <x:c r="A995" t="n">
        <x:v>992</x:v>
      </x:c>
      <x:c r="B995" t="str">
        <x:v>PTN Akademik</x:v>
      </x:c>
      <x:c r="C995" t="str">
        <x:v>UNIVERSITAS INDONESIA</x:v>
      </x:c>
      <x:c r="D995" t="str">
        <x:v>SASTRA INGGRIS</x:v>
      </x:c>
      <x:c r="E995" t="str">
        <x:v>Sarjana</x:v>
      </x:c>
      <x:c r="F995" s="18" t="n">
        <x:v>24</x:v>
      </x:c>
      <x:c r="G995" s="18" t="n">
        <x:v>841</x:v>
      </x:c>
      <x:c r="H995" s="19" t="n">
        <x:v>35.041666666666664</x:v>
      </x:c>
      <x:c r="I995" s="18" t="n">
        <x:f>ROUND(MIN(Model_Config_v3!$B$6,MAX(Q995,R995,S995*Model_Config_v3!$B$4+T995*Model_Config_v3!$B$5)),0)</x:f>
        <x:v>710</x:v>
      </x:c>
      <x:c r="J995" s="18" t="n">
        <x:f>MIN(Model_Config_v3!$B$6,I995+Model_Config_v3!$B$7)</x:f>
        <x:v>730</x:v>
      </x:c>
      <x:c r="K995" s="20" t="n">
        <x:v>78.9</x:v>
      </x:c>
      <x:c r="L995" t="str">
        <x:v>ELITE</x:v>
      </x:c>
      <x:c r="M995" t="str">
        <x:v>SEDANG+</x:v>
      </x:c>
      <x:c r="N995" t="str">
        <x:v>ELITE-1</x:v>
      </x:c>
      <x:c r="O995" t="str">
        <x:v>SOSHUM</x:v>
      </x:c>
      <x:c r="P995" t="str">
        <x:v>UMUM</x:v>
      </x:c>
      <x:c r="Q995" s="18" t="n">
        <x:v>675</x:v>
      </x:c>
      <x:c r="R995" s="18" t="n">
        <x:v>0</x:v>
      </x:c>
      <x:c r="S995" s="18" t="n">
        <x:v>689.9043229494937</x:v>
      </x:c>
      <x:c r="T995" s="18" t="n">
        <x:v>718</x:v>
      </x:c>
      <x:c r="U995" s="18" t="n">
        <x:v>689.9043229494937</x:v>
      </x:c>
      <x:c r="V995" s="20" t="n">
        <x:v>4.4</x:v>
      </x:c>
      <x:c r="W995" s="20" t="n">
        <x:v>14.3</x:v>
      </x:c>
      <x:c r="X995" s="20" t="n">
        <x:v>3.3</x:v>
      </x:c>
      <x:c r="Y995" t="str">
        <x:v>Basis arsip 2025/2024</x:v>
      </x:c>
      <x:c r="Z995" t="str">
        <x:v>https://snpmb.id/utbk-snbt/daya-tampung-snbt</x:v>
      </x:c>
      <x:c r="AA995" t="str">
        <x:v>Tidak Ada</x:v>
      </x:c>
      <x:c r="AB995" t="str">
        <x:v>Campus=100; Ratio=90.9; Prodi=40; RelDemand=52.2; Capacity=80.0</x:v>
      </x:c>
    </x:row>
    <x:row r="996">
      <x:c r="A996" t="n">
        <x:v>993</x:v>
      </x:c>
      <x:c r="B996" t="str">
        <x:v>PTN Akademik</x:v>
      </x:c>
      <x:c r="C996" t="str">
        <x:v>UNIVERSITAS INDONESIA</x:v>
      </x:c>
      <x:c r="D996" t="str">
        <x:v>SASTRA JERMAN</x:v>
      </x:c>
      <x:c r="E996" t="str">
        <x:v>Sarjana</x:v>
      </x:c>
      <x:c r="F996" s="18" t="n">
        <x:v>17</x:v>
      </x:c>
      <x:c r="G996" s="18" t="n">
        <x:v>247</x:v>
      </x:c>
      <x:c r="H996" s="19" t="n">
        <x:v>14.529411764705882</x:v>
      </x:c>
      <x:c r="I996" s="18" t="n">
        <x:f>ROUND(MIN(Model_Config_v3!$B$6,MAX(Q996,R996,S996*Model_Config_v3!$B$4+T996*Model_Config_v3!$B$5)),0)</x:f>
        <x:v>686</x:v>
      </x:c>
      <x:c r="J996" s="18" t="n">
        <x:f>MIN(Model_Config_v3!$B$6,I996+Model_Config_v3!$B$7)</x:f>
        <x:v>706</x:v>
      </x:c>
      <x:c r="K996" s="20" t="n">
        <x:v>70.8</x:v>
      </x:c>
      <x:c r="L996" t="str">
        <x:v>SANGAT KETAT</x:v>
      </x:c>
      <x:c r="M996" t="str">
        <x:v>SEDANG+</x:v>
      </x:c>
      <x:c r="N996" t="str">
        <x:v>ELITE-1</x:v>
      </x:c>
      <x:c r="O996" t="str">
        <x:v>SOSHUM</x:v>
      </x:c>
      <x:c r="P996" t="str">
        <x:v>UMUM</x:v>
      </x:c>
      <x:c r="Q996" s="18" t="n">
        <x:v>675</x:v>
      </x:c>
      <x:c r="R996" s="18" t="n">
        <x:v>0</x:v>
      </x:c>
      <x:c r="S996" s="18" t="n">
        <x:v>647.8472835069531</x:v>
      </x:c>
      <x:c r="T996" s="18" t="n">
        <x:v>702</x:v>
      </x:c>
      <x:c r="U996" s="18" t="n">
        <x:v>675</x:v>
      </x:c>
      <x:c r="V996" s="20" t="n">
        <x:v>4.4</x:v>
      </x:c>
      <x:c r="W996" s="20" t="n">
        <x:v>14.3</x:v>
      </x:c>
      <x:c r="X996" s="20" t="n">
        <x:v>3.3</x:v>
      </x:c>
      <x:c r="Y996" t="str">
        <x:v>Basis arsip 2025/2024</x:v>
      </x:c>
      <x:c r="Z996" t="str">
        <x:v>https://snpmb.id/utbk-snbt/daya-tampung-snbt</x:v>
      </x:c>
      <x:c r="AA996" t="str">
        <x:v>Tidak Ada</x:v>
      </x:c>
      <x:c r="AB996" t="str">
        <x:v>Campus=100; Ratio=68.4; Prodi=40; RelDemand=21.6; Capacity=85.8</x:v>
      </x:c>
    </x:row>
    <x:row r="997">
      <x:c r="A997" t="n">
        <x:v>994</x:v>
      </x:c>
      <x:c r="B997" t="str">
        <x:v>PTN Akademik</x:v>
      </x:c>
      <x:c r="C997" t="str">
        <x:v>UNIVERSITAS INDONESIA</x:v>
      </x:c>
      <x:c r="D997" t="str">
        <x:v>SASTRA BELANDA</x:v>
      </x:c>
      <x:c r="E997" t="str">
        <x:v>Sarjana</x:v>
      </x:c>
      <x:c r="F997" s="18" t="n">
        <x:v>24</x:v>
      </x:c>
      <x:c r="G997" s="18" t="n">
        <x:v>248</x:v>
      </x:c>
      <x:c r="H997" s="19" t="n">
        <x:v>10.333333333333334</x:v>
      </x:c>
      <x:c r="I997" s="18" t="n">
        <x:f>ROUND(MIN(Model_Config_v3!$B$6,MAX(Q997,R997,S997*Model_Config_v3!$B$4+T997*Model_Config_v3!$B$5)),0)</x:f>
        <x:v>676</x:v>
      </x:c>
      <x:c r="J997" s="18" t="n">
        <x:f>MIN(Model_Config_v3!$B$6,I997+Model_Config_v3!$B$7)</x:f>
        <x:v>696</x:v>
      </x:c>
      <x:c r="K997" s="20" t="n">
        <x:v>67.5</x:v>
      </x:c>
      <x:c r="L997" t="str">
        <x:v>SANGAT KETAT</x:v>
      </x:c>
      <x:c r="M997" t="str">
        <x:v>SEDANG+</x:v>
      </x:c>
      <x:c r="N997" t="str">
        <x:v>ELITE-1</x:v>
      </x:c>
      <x:c r="O997" t="str">
        <x:v>SOSHUM</x:v>
      </x:c>
      <x:c r="P997" t="str">
        <x:v>UMUM</x:v>
      </x:c>
      <x:c r="Q997" s="18" t="n">
        <x:v>675</x:v>
      </x:c>
      <x:c r="R997" s="18" t="n">
        <x:v>0</x:v>
      </x:c>
      <x:c r="S997" s="18" t="n">
        <x:v>631.5664483026071</x:v>
      </x:c>
      <x:c r="T997" s="18" t="n">
        <x:v>695</x:v>
      </x:c>
      <x:c r="U997" s="18" t="n">
        <x:v>675</x:v>
      </x:c>
      <x:c r="V997" s="20" t="n">
        <x:v>4.4</x:v>
      </x:c>
      <x:c r="W997" s="20" t="n">
        <x:v>14.3</x:v>
      </x:c>
      <x:c r="X997" s="20" t="n">
        <x:v>3.3</x:v>
      </x:c>
      <x:c r="Y997" t="str">
        <x:v>Basis arsip 2025/2024</x:v>
      </x:c>
      <x:c r="Z997" t="str">
        <x:v>https://snpmb.id/utbk-snbt/daya-tampung-snbt</x:v>
      </x:c>
      <x:c r="AA997" t="str">
        <x:v>Tidak Ada</x:v>
      </x:c>
      <x:c r="AB997" t="str">
        <x:v>Campus=100; Ratio=59.7; Prodi=40; RelDemand=15.4; Capacity=80.0</x:v>
      </x:c>
    </x:row>
    <x:row r="998">
      <x:c r="A998" t="n">
        <x:v>995</x:v>
      </x:c>
      <x:c r="B998" t="str">
        <x:v>PTN Akademik</x:v>
      </x:c>
      <x:c r="C998" t="str">
        <x:v>UNIVERSITAS INDONESIA</x:v>
      </x:c>
      <x:c r="D998" t="str">
        <x:v>SASTRA RUSIA</x:v>
      </x:c>
      <x:c r="E998" t="str">
        <x:v>Sarjana</x:v>
      </x:c>
      <x:c r="F998" s="18" t="n">
        <x:v>24</x:v>
      </x:c>
      <x:c r="G998" s="18" t="n">
        <x:v>164</x:v>
      </x:c>
      <x:c r="H998" s="19" t="n">
        <x:v>6.833333333333333</x:v>
      </x:c>
      <x:c r="I998" s="18" t="n">
        <x:f>ROUND(MIN(Model_Config_v3!$B$6,MAX(Q998,R998,S998*Model_Config_v3!$B$4+T998*Model_Config_v3!$B$5)),0)</x:f>
        <x:v>675</x:v>
      </x:c>
      <x:c r="J998" s="18" t="n">
        <x:f>MIN(Model_Config_v3!$B$6,I998+Model_Config_v3!$B$7)</x:f>
        <x:v>695</x:v>
      </x:c>
      <x:c r="K998" s="20" t="n">
        <x:v>64.3</x:v>
      </x:c>
      <x:c r="L998" t="str">
        <x:v>KETAT</x:v>
      </x:c>
      <x:c r="M998" t="str">
        <x:v>SEDANG+</x:v>
      </x:c>
      <x:c r="N998" t="str">
        <x:v>ELITE-1</x:v>
      </x:c>
      <x:c r="O998" t="str">
        <x:v>SOSHUM</x:v>
      </x:c>
      <x:c r="P998" t="str">
        <x:v>UMUM</x:v>
      </x:c>
      <x:c r="Q998" s="18" t="n">
        <x:v>675</x:v>
      </x:c>
      <x:c r="R998" s="18" t="n">
        <x:v>0</x:v>
      </x:c>
      <x:c r="S998" s="18" t="n">
        <x:v>611.8095866969701</x:v>
      </x:c>
      <x:c r="T998" s="18" t="n">
        <x:v>689</x:v>
      </x:c>
      <x:c r="U998" s="18" t="n">
        <x:v>675</x:v>
      </x:c>
      <x:c r="V998" s="20" t="n">
        <x:v>4.4</x:v>
      </x:c>
      <x:c r="W998" s="20" t="n">
        <x:v>14.3</x:v>
      </x:c>
      <x:c r="X998" s="20" t="n">
        <x:v>3.3</x:v>
      </x:c>
      <x:c r="Y998" t="str">
        <x:v>Basis arsip 2025/2024</x:v>
      </x:c>
      <x:c r="Z998" t="str">
        <x:v>https://snpmb.id/utbk-snbt/daya-tampung-snbt</x:v>
      </x:c>
      <x:c r="AA998" t="str">
        <x:v>Tidak Ada</x:v>
      </x:c>
      <x:c r="AB998" t="str">
        <x:v>Campus=100; Ratio=49.1; Prodi=40; RelDemand=10.2; Capacity=80.0</x:v>
      </x:c>
    </x:row>
    <x:row r="999">
      <x:c r="A999" t="n">
        <x:v>996</x:v>
      </x:c>
      <x:c r="B999" t="str">
        <x:v>PTN Akademik</x:v>
      </x:c>
      <x:c r="C999" t="str">
        <x:v>UNIVERSITAS INDONESIA</x:v>
      </x:c>
      <x:c r="D999" t="str">
        <x:v>BAHASA DAN KEBUDAYAAN KOREA</x:v>
      </x:c>
      <x:c r="E999" t="str">
        <x:v>Sarjana</x:v>
      </x:c>
      <x:c r="F999" s="18" t="n">
        <x:v>17</x:v>
      </x:c>
      <x:c r="G999" s="18" t="n">
        <x:v>580</x:v>
      </x:c>
      <x:c r="H999" s="19" t="n">
        <x:v>34.11764705882353</x:v>
      </x:c>
      <x:c r="I999" s="18" t="n">
        <x:f>ROUND(MIN(Model_Config_v3!$B$6,MAX(Q999,R999,S999*Model_Config_v3!$B$4+T999*Model_Config_v3!$B$5)),0)</x:f>
        <x:v>709</x:v>
      </x:c>
      <x:c r="J999" s="18" t="n">
        <x:f>MIN(Model_Config_v3!$B$6,I999+Model_Config_v3!$B$7)</x:f>
        <x:v>729</x:v>
      </x:c>
      <x:c r="K999" s="20" t="n">
        <x:v>79.2</x:v>
      </x:c>
      <x:c r="L999" t="str">
        <x:v>ELITE</x:v>
      </x:c>
      <x:c r="M999" t="str">
        <x:v>SEDANG+</x:v>
      </x:c>
      <x:c r="N999" t="str">
        <x:v>ELITE-1</x:v>
      </x:c>
      <x:c r="O999" t="str">
        <x:v>SOSHUM</x:v>
      </x:c>
      <x:c r="P999" t="str">
        <x:v>UMUM</x:v>
      </x:c>
      <x:c r="Q999" s="18" t="n">
        <x:v>675</x:v>
      </x:c>
      <x:c r="R999" s="18" t="n">
        <x:v>0</x:v>
      </x:c>
      <x:c r="S999" s="18" t="n">
        <x:v>688.6276979403129</x:v>
      </x:c>
      <x:c r="T999" s="18" t="n">
        <x:v>718</x:v>
      </x:c>
      <x:c r="U999" s="18" t="n">
        <x:v>688.6276979403129</x:v>
      </x:c>
      <x:c r="V999" s="20" t="n">
        <x:v>4.4</x:v>
      </x:c>
      <x:c r="W999" s="20" t="n">
        <x:v>14.3</x:v>
      </x:c>
      <x:c r="X999" s="20" t="n">
        <x:v>3.3</x:v>
      </x:c>
      <x:c r="Y999" t="str">
        <x:v>Basis arsip 2025/2024</x:v>
      </x:c>
      <x:c r="Z999" t="str">
        <x:v>https://snpmb.id/utbk-snbt/daya-tampung-snbt</x:v>
      </x:c>
      <x:c r="AA999" t="str">
        <x:v>Tidak Ada</x:v>
      </x:c>
      <x:c r="AB999" t="str">
        <x:v>Campus=100; Ratio=90.2; Prodi=40; RelDemand=50.8; Capacity=85.8</x:v>
      </x:c>
    </x:row>
    <x:row r="1000">
      <x:c r="A1000" t="n">
        <x:v>997</x:v>
      </x:c>
      <x:c r="B1000" t="str">
        <x:v>PTN Akademik</x:v>
      </x:c>
      <x:c r="C1000" t="str">
        <x:v>UNIVERSITAS INDONESIA</x:v>
      </x:c>
      <x:c r="D1000" t="str">
        <x:v>ILMU EKONOMI ISLAM</x:v>
      </x:c>
      <x:c r="E1000" t="str">
        <x:v>Sarjana</x:v>
      </x:c>
      <x:c r="F1000" s="18" t="n">
        <x:v>18</x:v>
      </x:c>
      <x:c r="G1000" s="18" t="n">
        <x:v>415</x:v>
      </x:c>
      <x:c r="H1000" s="19" t="n">
        <x:v>23.055555555555557</x:v>
      </x:c>
      <x:c r="I1000" s="18" t="n">
        <x:f>ROUND(MIN(Model_Config_v3!$B$6,MAX(Q1000,R1000,S1000*Model_Config_v3!$B$4+T1000*Model_Config_v3!$B$5)),0)</x:f>
        <x:v>705</x:v>
      </x:c>
      <x:c r="J1000" s="18" t="n">
        <x:f>MIN(Model_Config_v3!$B$6,I1000+Model_Config_v3!$B$7)</x:f>
        <x:v>725</x:v>
      </x:c>
      <x:c r="K1000" s="20" t="n">
        <x:v>80</x:v>
      </x:c>
      <x:c r="L1000" t="str">
        <x:v>ELITE</x:v>
      </x:c>
      <x:c r="M1000" t="str">
        <x:v>SEDANG+</x:v>
      </x:c>
      <x:c r="N1000" t="str">
        <x:v>ELITE-1</x:v>
      </x:c>
      <x:c r="O1000" t="str">
        <x:v>SOSHUM</x:v>
      </x:c>
      <x:c r="P1000" t="str">
        <x:v>BISNIS/EKONOMI/AKUNTANSI</x:v>
      </x:c>
      <x:c r="Q1000" s="18" t="n">
        <x:v>675</x:v>
      </x:c>
      <x:c r="R1000" s="18" t="n">
        <x:v>700</x:v>
      </x:c>
      <x:c r="S1000" s="18" t="n">
        <x:v>669.9053150769665</x:v>
      </x:c>
      <x:c r="T1000" s="18" t="n">
        <x:v>720</x:v>
      </x:c>
      <x:c r="U1000" s="18" t="n">
        <x:v>675</x:v>
      </x:c>
      <x:c r="V1000" s="20" t="n">
        <x:v>4.4</x:v>
      </x:c>
      <x:c r="W1000" s="20" t="n">
        <x:v>14.3</x:v>
      </x:c>
      <x:c r="X1000" s="20" t="n">
        <x:v>3.3</x:v>
      </x:c>
      <x:c r="Y1000" t="str">
        <x:v>Basis arsip 2025/2024</x:v>
      </x:c>
      <x:c r="Z1000" t="str">
        <x:v>https://snpmb.id/utbk-snbt/daya-tampung-snbt</x:v>
      </x:c>
      <x:c r="AA1000" t="str">
        <x:v>Tidak Ada</x:v>
      </x:c>
      <x:c r="AB1000" t="str">
        <x:v>Campus=100; Ratio=80.2; Prodi=65; RelDemand=34.3; Capacity=85.0</x:v>
      </x:c>
    </x:row>
    <x:row r="1001">
      <x:c r="A1001" t="n">
        <x:v>998</x:v>
      </x:c>
      <x:c r="B1001" t="str">
        <x:v>PTN Akademik</x:v>
      </x:c>
      <x:c r="C1001" t="str">
        <x:v>UNIVERSITAS INDONESIA</x:v>
      </x:c>
      <x:c r="D1001" t="str">
        <x:v>BISNIS ISLAM</x:v>
      </x:c>
      <x:c r="E1001" t="str">
        <x:v>Sarjana</x:v>
      </x:c>
      <x:c r="F1001" s="18" t="n">
        <x:v>18</x:v>
      </x:c>
      <x:c r="G1001" s="18" t="n">
        <x:v>492</x:v>
      </x:c>
      <x:c r="H1001" s="19" t="n">
        <x:v>27.333333333333332</x:v>
      </x:c>
      <x:c r="I1001" s="18" t="n">
        <x:f>ROUND(MIN(Model_Config_v3!$B$6,MAX(Q1001,R1001,S1001*Model_Config_v3!$B$4+T1001*Model_Config_v3!$B$5)),0)</x:f>
        <x:v>710</x:v>
      </x:c>
      <x:c r="J1001" s="18" t="n">
        <x:f>MIN(Model_Config_v3!$B$6,I1001+Model_Config_v3!$B$7)</x:f>
        <x:v>730</x:v>
      </x:c>
      <x:c r="K1001" s="20" t="n">
        <x:v>81.7</x:v>
      </x:c>
      <x:c r="L1001" t="str">
        <x:v>ELITE</x:v>
      </x:c>
      <x:c r="M1001" t="str">
        <x:v>SEDANG+</x:v>
      </x:c>
      <x:c r="N1001" t="str">
        <x:v>ELITE-1</x:v>
      </x:c>
      <x:c r="O1001" t="str">
        <x:v>SOSHUM</x:v>
      </x:c>
      <x:c r="P1001" t="str">
        <x:v>BISNIS/EKONOMI/AKUNTANSI</x:v>
      </x:c>
      <x:c r="Q1001" s="18" t="n">
        <x:v>675</x:v>
      </x:c>
      <x:c r="R1001" s="18" t="n">
        <x:v>700</x:v>
      </x:c>
      <x:c r="S1001" s="18" t="n">
        <x:v>678.036185743046</x:v>
      </x:c>
      <x:c r="T1001" s="18" t="n">
        <x:v>723</x:v>
      </x:c>
      <x:c r="U1001" s="18" t="n">
        <x:v>693.036185743046</x:v>
      </x:c>
      <x:c r="V1001" s="20" t="n">
        <x:v>4.4</x:v>
      </x:c>
      <x:c r="W1001" s="20" t="n">
        <x:v>14.3</x:v>
      </x:c>
      <x:c r="X1001" s="20" t="n">
        <x:v>3.3</x:v>
      </x:c>
      <x:c r="Y1001" t="str">
        <x:v>Basis arsip 2025/2024</x:v>
      </x:c>
      <x:c r="Z1001" t="str">
        <x:v>https://snpmb.id/utbk-snbt/daya-tampung-snbt</x:v>
      </x:c>
      <x:c r="AA1001" t="str">
        <x:v>Tidak Ada</x:v>
      </x:c>
      <x:c r="AB1001" t="str">
        <x:v>Campus=100; Ratio=84.6; Prodi=65; RelDemand=40.7; Capacity=85.0</x:v>
      </x:c>
    </x:row>
    <x:row r="1002">
      <x:c r="A1002" t="n">
        <x:v>999</x:v>
      </x:c>
      <x:c r="B1002" t="str">
        <x:v>PTN Akademik</x:v>
      </x:c>
      <x:c r="C1002" t="str">
        <x:v>UNIVERSITAS INDONESIA</x:v>
      </x:c>
      <x:c r="D1002" t="str">
        <x:v>MANAJEMEN BISNIS PARIWISATA</x:v>
      </x:c>
      <x:c r="E1002" t="str">
        <x:v>Sarjana Terapan</x:v>
      </x:c>
      <x:c r="F1002" s="18" t="n">
        <x:v>47</x:v>
      </x:c>
      <x:c r="G1002" s="18" t="n">
        <x:v>2280</x:v>
      </x:c>
      <x:c r="H1002" s="19" t="n">
        <x:v>48.51063829787234</x:v>
      </x:c>
      <x:c r="I1002" s="18" t="n">
        <x:f>ROUND(MIN(Model_Config_v3!$B$6,MAX(Q1002,R1002,S1002*Model_Config_v3!$B$4+T1002*Model_Config_v3!$B$5)),0)</x:f>
        <x:v>724</x:v>
      </x:c>
      <x:c r="J1002" s="18" t="n">
        <x:f>MIN(Model_Config_v3!$B$6,I1002+Model_Config_v3!$B$7)</x:f>
        <x:v>744</x:v>
      </x:c>
      <x:c r="K1002" s="20" t="n">
        <x:v>86.1</x:v>
      </x:c>
      <x:c r="L1002" t="str">
        <x:v>ULTRA ELITE</x:v>
      </x:c>
      <x:c r="M1002" t="str">
        <x:v>SEDANG+</x:v>
      </x:c>
      <x:c r="N1002" t="str">
        <x:v>ELITE-1</x:v>
      </x:c>
      <x:c r="O1002" t="str">
        <x:v>SOSHUM</x:v>
      </x:c>
      <x:c r="P1002" t="str">
        <x:v>BISNIS/EKONOMI/AKUNTANSI</x:v>
      </x:c>
      <x:c r="Q1002" s="18" t="n">
        <x:v>675</x:v>
      </x:c>
      <x:c r="R1002" s="18" t="n">
        <x:v>700</x:v>
      </x:c>
      <x:c r="S1002" s="18" t="n">
        <x:v>705.442068797121</x:v>
      </x:c>
      <x:c r="T1002" s="18" t="n">
        <x:v>732</x:v>
      </x:c>
      <x:c r="U1002" s="18" t="n">
        <x:v>720.442068797121</x:v>
      </x:c>
      <x:c r="V1002" s="20" t="n">
        <x:v>4.4</x:v>
      </x:c>
      <x:c r="W1002" s="20" t="n">
        <x:v>14.3</x:v>
      </x:c>
      <x:c r="X1002" s="20" t="n">
        <x:v>3.3</x:v>
      </x:c>
      <x:c r="Y1002" t="str">
        <x:v>Basis arsip 2025/2024</x:v>
      </x:c>
      <x:c r="Z1002" t="str">
        <x:v>https://snpmb.id/utbk-snbt/daya-tampung-snbt</x:v>
      </x:c>
      <x:c r="AA1002" t="str">
        <x:v>Tidak Ada</x:v>
      </x:c>
      <x:c r="AB1002" t="str">
        <x:v>Campus=100; Ratio=99.2; Prodi=65; RelDemand=72.3; Capacity=60.8</x:v>
      </x:c>
    </x:row>
    <x:row r="1003">
      <x:c r="A1003" t="n">
        <x:v>1000</x:v>
      </x:c>
      <x:c r="B1003" t="str">
        <x:v>PTN Akademik</x:v>
      </x:c>
      <x:c r="C1003" t="str">
        <x:v>UNIVERSITAS INDONESIA</x:v>
      </x:c>
      <x:c r="D1003" t="str">
        <x:v>TERAPI OKUPASI</x:v>
      </x:c>
      <x:c r="E1003" t="str">
        <x:v>Sarjana Terapan</x:v>
      </x:c>
      <x:c r="F1003" s="18" t="n">
        <x:v>47</x:v>
      </x:c>
      <x:c r="G1003" s="18" t="n">
        <x:v>1282</x:v>
      </x:c>
      <x:c r="H1003" s="19" t="n">
        <x:v>27.27659574468085</x:v>
      </x:c>
      <x:c r="I1003" s="18" t="n">
        <x:f>ROUND(MIN(Model_Config_v3!$B$6,MAX(Q1003,R1003,S1003*Model_Config_v3!$B$4+T1003*Model_Config_v3!$B$5)),0)</x:f>
        <x:v>700</x:v>
      </x:c>
      <x:c r="J1003" s="18" t="n">
        <x:f>MIN(Model_Config_v3!$B$6,I1003+Model_Config_v3!$B$7)</x:f>
        <x:v>720</x:v>
      </x:c>
      <x:c r="K1003" s="20" t="n">
        <x:v>74.3</x:v>
      </x:c>
      <x:c r="L1003" t="str">
        <x:v>SANGAT KETAT</x:v>
      </x:c>
      <x:c r="M1003" t="str">
        <x:v>SEDANG+</x:v>
      </x:c>
      <x:c r="N1003" t="str">
        <x:v>ELITE-1</x:v>
      </x:c>
      <x:c r="O1003" t="str">
        <x:v>CAMPURAN</x:v>
      </x:c>
      <x:c r="P1003" t="str">
        <x:v>UMUM</x:v>
      </x:c>
      <x:c r="Q1003" s="18" t="n">
        <x:v>675</x:v>
      </x:c>
      <x:c r="R1003" s="18" t="n">
        <x:v>0</x:v>
      </x:c>
      <x:c r="S1003" s="18" t="n">
        <x:v>677.9369183971789</x:v>
      </x:c>
      <x:c r="T1003" s="18" t="n">
        <x:v>709</x:v>
      </x:c>
      <x:c r="U1003" s="18" t="n">
        <x:v>677.9369183971789</x:v>
      </x:c>
      <x:c r="V1003" s="20" t="n">
        <x:v>8.8</x:v>
      </x:c>
      <x:c r="W1003" s="20" t="n">
        <x:v>9.9</x:v>
      </x:c>
      <x:c r="X1003" s="20" t="n">
        <x:v>3.3</x:v>
      </x:c>
      <x:c r="Y1003" t="str">
        <x:v>Basis arsip 2025/2024</x:v>
      </x:c>
      <x:c r="Z1003" t="str">
        <x:v>https://snpmb.id/utbk-snbt/daya-tampung-snbt</x:v>
      </x:c>
      <x:c r="AA1003" t="str">
        <x:v>Tidak Ada</x:v>
      </x:c>
      <x:c r="AB1003" t="str">
        <x:v>Campus=100; Ratio=84.5; Prodi=40; RelDemand=40.6; Capacity=60.8</x:v>
      </x:c>
    </x:row>
    <x:row r="1004">
      <x:c r="A1004" t="n">
        <x:v>1001</x:v>
      </x:c>
      <x:c r="B1004" t="str">
        <x:v>PTN Akademik</x:v>
      </x:c>
      <x:c r="C1004" t="str">
        <x:v>UNIVERSITAS INDONESIA</x:v>
      </x:c>
      <x:c r="D1004" t="str">
        <x:v>FISIOTERAPI</x:v>
      </x:c>
      <x:c r="E1004" t="str">
        <x:v>Sarjana Terapan</x:v>
      </x:c>
      <x:c r="F1004" s="18" t="n">
        <x:v>47</x:v>
      </x:c>
      <x:c r="G1004" s="18" t="n">
        <x:v>2580</x:v>
      </x:c>
      <x:c r="H1004" s="19" t="n">
        <x:v>54.8936170212766</x:v>
      </x:c>
      <x:c r="I1004" s="18" t="n">
        <x:f>ROUND(MIN(Model_Config_v3!$B$6,MAX(Q1004,R1004,S1004*Model_Config_v3!$B$4+T1004*Model_Config_v3!$B$5)),0)</x:f>
        <x:v>725</x:v>
      </x:c>
      <x:c r="J1004" s="18" t="n">
        <x:f>MIN(Model_Config_v3!$B$6,I1004+Model_Config_v3!$B$7)</x:f>
        <x:v>745</x:v>
      </x:c>
      <x:c r="K1004" s="20" t="n">
        <x:v>85.3</x:v>
      </x:c>
      <x:c r="L1004" t="str">
        <x:v>ULTRA ELITE</x:v>
      </x:c>
      <x:c r="M1004" t="str">
        <x:v>SEDANG+</x:v>
      </x:c>
      <x:c r="N1004" t="str">
        <x:v>ELITE-1</x:v>
      </x:c>
      <x:c r="O1004" t="str">
        <x:v>CAMPURAN</x:v>
      </x:c>
      <x:c r="P1004" t="str">
        <x:v>KESEHAT/GIZI/KEPERAWATAN</x:v>
      </x:c>
      <x:c r="Q1004" s="18" t="n">
        <x:v>675</x:v>
      </x:c>
      <x:c r="R1004" s="18" t="n">
        <x:v>680</x:v>
      </x:c>
      <x:c r="S1004" s="18" t="n">
        <x:v>711.3474032830264</x:v>
      </x:c>
      <x:c r="T1004" s="18" t="n">
        <x:v>731</x:v>
      </x:c>
      <x:c r="U1004" s="18" t="n">
        <x:v>711.3474032830264</x:v>
      </x:c>
      <x:c r="V1004" s="20" t="n">
        <x:v>8.8</x:v>
      </x:c>
      <x:c r="W1004" s="20" t="n">
        <x:v>9.9</x:v>
      </x:c>
      <x:c r="X1004" s="20" t="n">
        <x:v>3.3</x:v>
      </x:c>
      <x:c r="Y1004" t="str">
        <x:v>Basis arsip 2025/2024</x:v>
      </x:c>
      <x:c r="Z1004" t="str">
        <x:v>https://snpmb.id/utbk-snbt/daya-tampung-snbt</x:v>
      </x:c>
      <x:c r="AA1004" t="str">
        <x:v>Tidak Ada</x:v>
      </x:c>
      <x:c r="AB1004" t="str">
        <x:v>Campus=100; Ratio=100.0; Prodi=55; RelDemand=81.8; Capacity=60.8</x:v>
      </x:c>
    </x:row>
    <x:row r="1005">
      <x:c r="A1005" t="n">
        <x:v>1002</x:v>
      </x:c>
      <x:c r="B1005" t="str">
        <x:v>PTN Akademik</x:v>
      </x:c>
      <x:c r="C1005" t="str">
        <x:v>UNIVERSITAS INDONESIA</x:v>
      </x:c>
      <x:c r="D1005" t="str">
        <x:v>MANAJEMEN REKOD DAN ARSIP</x:v>
      </x:c>
      <x:c r="E1005" t="str">
        <x:v>Sarjana Terapan</x:v>
      </x:c>
      <x:c r="F1005" s="18" t="n">
        <x:v>47</x:v>
      </x:c>
      <x:c r="G1005" s="18" t="n">
        <x:v>1671</x:v>
      </x:c>
      <x:c r="H1005" s="19" t="n">
        <x:v>35.5531914893617</x:v>
      </x:c>
      <x:c r="I1005" s="18" t="n">
        <x:f>ROUND(MIN(Model_Config_v3!$B$6,MAX(Q1005,R1005,S1005*Model_Config_v3!$B$4+T1005*Model_Config_v3!$B$5)),0)</x:f>
        <x:v>714</x:v>
      </x:c>
      <x:c r="J1005" s="18" t="n">
        <x:f>MIN(Model_Config_v3!$B$6,I1005+Model_Config_v3!$B$7)</x:f>
        <x:v>734</x:v>
      </x:c>
      <x:c r="K1005" s="20" t="n">
        <x:v>82.2</x:v>
      </x:c>
      <x:c r="L1005" t="str">
        <x:v>ELITE</x:v>
      </x:c>
      <x:c r="M1005" t="str">
        <x:v>SEDANG+</x:v>
      </x:c>
      <x:c r="N1005" t="str">
        <x:v>ELITE-1</x:v>
      </x:c>
      <x:c r="O1005" t="str">
        <x:v>SOSHUM</x:v>
      </x:c>
      <x:c r="P1005" t="str">
        <x:v>BISNIS/EKONOMI/AKUNTANSI</x:v>
      </x:c>
      <x:c r="Q1005" s="18" t="n">
        <x:v>675</x:v>
      </x:c>
      <x:c r="R1005" s="18" t="n">
        <x:v>700</x:v>
      </x:c>
      <x:c r="S1005" s="18" t="n">
        <x:v>690.5966451153441</x:v>
      </x:c>
      <x:c r="T1005" s="18" t="n">
        <x:v>724</x:v>
      </x:c>
      <x:c r="U1005" s="18" t="n">
        <x:v>705.5966451153441</x:v>
      </x:c>
      <x:c r="V1005" s="20" t="n">
        <x:v>4.4</x:v>
      </x:c>
      <x:c r="W1005" s="20" t="n">
        <x:v>14.3</x:v>
      </x:c>
      <x:c r="X1005" s="20" t="n">
        <x:v>3.3</x:v>
      </x:c>
      <x:c r="Y1005" t="str">
        <x:v>Basis arsip 2025/2024</x:v>
      </x:c>
      <x:c r="Z1005" t="str">
        <x:v>https://snpmb.id/utbk-snbt/daya-tampung-snbt</x:v>
      </x:c>
      <x:c r="AA1005" t="str">
        <x:v>Tidak Ada</x:v>
      </x:c>
      <x:c r="AB1005" t="str">
        <x:v>Campus=100; Ratio=91.3; Prodi=65; RelDemand=53.0; Capacity=60.8</x:v>
      </x:c>
    </x:row>
    <x:row r="1006">
      <x:c r="A1006" t="n">
        <x:v>1003</x:v>
      </x:c>
      <x:c r="B1006" t="str">
        <x:v>PTN Akademik</x:v>
      </x:c>
      <x:c r="C1006" t="str">
        <x:v>UNIVERSITAS INDONESIA</x:v>
      </x:c>
      <x:c r="D1006" t="str">
        <x:v>BISNIS KREATIF</x:v>
      </x:c>
      <x:c r="E1006" t="str">
        <x:v>Sarjana Terapan</x:v>
      </x:c>
      <x:c r="F1006" s="18" t="n">
        <x:v>47</x:v>
      </x:c>
      <x:c r="G1006" s="18" t="n">
        <x:v>4966</x:v>
      </x:c>
      <x:c r="H1006" s="19" t="n">
        <x:v>105.65957446808511</x:v>
      </x:c>
      <x:c r="I1006" s="18" t="n">
        <x:f>ROUND(MIN(Model_Config_v3!$B$6,MAX(Q1006,R1006,S1006*Model_Config_v3!$B$4+T1006*Model_Config_v3!$B$5)),0)</x:f>
        <x:v>739</x:v>
      </x:c>
      <x:c r="J1006" s="18" t="n">
        <x:f>MIN(Model_Config_v3!$B$6,I1006+Model_Config_v3!$B$7)</x:f>
        <x:v>759</x:v>
      </x:c>
      <x:c r="K1006" s="20" t="n">
        <x:v>89.1</x:v>
      </x:c>
      <x:c r="L1006" t="str">
        <x:v>ULTRA ELITE</x:v>
      </x:c>
      <x:c r="M1006" t="str">
        <x:v>SEDANG+</x:v>
      </x:c>
      <x:c r="N1006" t="str">
        <x:v>ELITE-1</x:v>
      </x:c>
      <x:c r="O1006" t="str">
        <x:v>SOSHUM</x:v>
      </x:c>
      <x:c r="P1006" t="str">
        <x:v>BISNIS/EKONOMI/AKUNTANSI</x:v>
      </x:c>
      <x:c r="Q1006" s="18" t="n">
        <x:v>675</x:v>
      </x:c>
      <x:c r="R1006" s="18" t="n">
        <x:v>700</x:v>
      </x:c>
      <x:c r="S1006" s="18" t="n">
        <x:v>742.6299743011111</x:v>
      </x:c>
      <x:c r="T1006" s="18" t="n">
        <x:v>738</x:v>
      </x:c>
      <x:c r="U1006" s="18" t="n">
        <x:v>757.6299743011111</x:v>
      </x:c>
      <x:c r="V1006" s="20" t="n">
        <x:v>4.4</x:v>
      </x:c>
      <x:c r="W1006" s="20" t="n">
        <x:v>14.3</x:v>
      </x:c>
      <x:c r="X1006" s="20" t="n">
        <x:v>3.3</x:v>
      </x:c>
      <x:c r="Y1006" t="str">
        <x:v>Basis arsip 2025/2024</x:v>
      </x:c>
      <x:c r="Z1006" t="str">
        <x:v>https://snpmb.id/utbk-snbt/daya-tampung-snbt</x:v>
      </x:c>
      <x:c r="AA1006" t="str">
        <x:v>Tidak Ada</x:v>
      </x:c>
      <x:c r="AB1006" t="str">
        <x:v>Campus=100; Ratio=100.0; Prodi=65; RelDemand=100.0; Capacity=60.8</x:v>
      </x:c>
    </x:row>
    <x:row r="1007">
      <x:c r="A1007" t="n">
        <x:v>1004</x:v>
      </x:c>
      <x:c r="B1007" t="str">
        <x:v>PTN Akademik</x:v>
      </x:c>
      <x:c r="C1007" t="str">
        <x:v>UNIVERSITAS INDONESIA</x:v>
      </x:c>
      <x:c r="D1007" t="str">
        <x:v>PRODUKSI MEDIA</x:v>
      </x:c>
      <x:c r="E1007" t="str">
        <x:v>Sarjana Terapan</x:v>
      </x:c>
      <x:c r="F1007" s="18" t="n">
        <x:v>47</x:v>
      </x:c>
      <x:c r="G1007" s="18" t="n">
        <x:v>3682</x:v>
      </x:c>
      <x:c r="H1007" s="19" t="n">
        <x:v>78.34042553191489</x:v>
      </x:c>
      <x:c r="I1007" s="18" t="n">
        <x:f>ROUND(MIN(Model_Config_v3!$B$6,MAX(Q1007,R1007,S1007*Model_Config_v3!$B$4+T1007*Model_Config_v3!$B$5)),0)</x:f>
        <x:v>728</x:v>
      </x:c>
      <x:c r="J1007" s="18" t="n">
        <x:f>MIN(Model_Config_v3!$B$6,I1007+Model_Config_v3!$B$7)</x:f>
        <x:v>748</x:v>
      </x:c>
      <x:c r="K1007" s="20" t="n">
        <x:v>84.1</x:v>
      </x:c>
      <x:c r="L1007" t="str">
        <x:v>ELITE</x:v>
      </x:c>
      <x:c r="M1007" t="str">
        <x:v>SEDANG+</x:v>
      </x:c>
      <x:c r="N1007" t="str">
        <x:v>ELITE-1</x:v>
      </x:c>
      <x:c r="O1007" t="str">
        <x:v>CAMPURAN</x:v>
      </x:c>
      <x:c r="P1007" t="str">
        <x:v>UMUM</x:v>
      </x:c>
      <x:c r="Q1007" s="18" t="n">
        <x:v>675</x:v>
      </x:c>
      <x:c r="R1007" s="18" t="n">
        <x:v>0</x:v>
      </x:c>
      <x:c r="S1007" s="18" t="n">
        <x:v>728.3384518855505</x:v>
      </x:c>
      <x:c r="T1007" s="18" t="n">
        <x:v>728</x:v>
      </x:c>
      <x:c r="U1007" s="18" t="n">
        <x:v>728.3384518855505</x:v>
      </x:c>
      <x:c r="V1007" s="20" t="n">
        <x:v>8.8</x:v>
      </x:c>
      <x:c r="W1007" s="20" t="n">
        <x:v>9.9</x:v>
      </x:c>
      <x:c r="X1007" s="20" t="n">
        <x:v>3.3</x:v>
      </x:c>
      <x:c r="Y1007" t="str">
        <x:v>Basis arsip 2025/2024</x:v>
      </x:c>
      <x:c r="Z1007" t="str">
        <x:v>https://snpmb.id/utbk-snbt/daya-tampung-snbt</x:v>
      </x:c>
      <x:c r="AA1007" t="str">
        <x:v>Tidak Ada</x:v>
      </x:c>
      <x:c r="AB1007" t="str">
        <x:v>Campus=100; Ratio=100.0; Prodi=40; RelDemand=100.0; Capacity=60.8</x:v>
      </x:c>
    </x:row>
    <x:row r="1008">
      <x:c r="A1008" t="n">
        <x:v>1005</x:v>
      </x:c>
      <x:c r="B1008" t="str">
        <x:v>PTN Akademik</x:v>
      </x:c>
      <x:c r="C1008" t="str">
        <x:v>UNIVERSITAS INDONESIA</x:v>
      </x:c>
      <x:c r="D1008" t="str">
        <x:v>ADMINISTRASI PERPAJAKAN</x:v>
      </x:c>
      <x:c r="E1008" t="str">
        <x:v>Diploma Tiga</x:v>
      </x:c>
      <x:c r="F1008" s="18" t="n">
        <x:v>30</x:v>
      </x:c>
      <x:c r="G1008" s="18" t="n">
        <x:v>3329</x:v>
      </x:c>
      <x:c r="H1008" s="19" t="n">
        <x:v>110.96666666666667</x:v>
      </x:c>
      <x:c r="I1008" s="18" t="n">
        <x:f>ROUND(MIN(Model_Config_v3!$B$6,MAX(Q1008,R1008,S1008*Model_Config_v3!$B$4+T1008*Model_Config_v3!$B$5)),0)</x:f>
        <x:v>735</x:v>
      </x:c>
      <x:c r="J1008" s="18" t="n">
        <x:f>MIN(Model_Config_v3!$B$6,I1008+Model_Config_v3!$B$7)</x:f>
        <x:v>755</x:v>
      </x:c>
      <x:c r="K1008" s="20" t="n">
        <x:v>85.5</x:v>
      </x:c>
      <x:c r="L1008" t="str">
        <x:v>ULTRA ELITE</x:v>
      </x:c>
      <x:c r="M1008" t="str">
        <x:v>SEDANG+</x:v>
      </x:c>
      <x:c r="N1008" t="str">
        <x:v>ELITE-1</x:v>
      </x:c>
      <x:c r="O1008" t="str">
        <x:v>SOSHUM</x:v>
      </x:c>
      <x:c r="P1008" t="str">
        <x:v>UMUM</x:v>
      </x:c>
      <x:c r="Q1008" s="18" t="n">
        <x:v>675</x:v>
      </x:c>
      <x:c r="R1008" s="18" t="n">
        <x:v>0</x:v>
      </x:c>
      <x:c r="S1008" s="18" t="n">
        <x:v>744.9711794480705</x:v>
      </x:c>
      <x:c r="T1008" s="18" t="n">
        <x:v>731</x:v>
      </x:c>
      <x:c r="U1008" s="18" t="n">
        <x:v>744.9711794480705</x:v>
      </x:c>
      <x:c r="V1008" s="20" t="n">
        <x:v>4.4</x:v>
      </x:c>
      <x:c r="W1008" s="20" t="n">
        <x:v>14.3</x:v>
      </x:c>
      <x:c r="X1008" s="20" t="n">
        <x:v>3.3</x:v>
      </x:c>
      <x:c r="Y1008" t="str">
        <x:v>Basis arsip 2025/2024</x:v>
      </x:c>
      <x:c r="Z1008" t="str">
        <x:v>https://snpmb.id/utbk-snbt/daya-tampung-snbt</x:v>
      </x:c>
      <x:c r="AA1008" t="str">
        <x:v>Tidak Ada</x:v>
      </x:c>
      <x:c r="AB1008" t="str">
        <x:v>Campus=100; Ratio=100.0; Prodi=40; RelDemand=100.0; Capacity=75.0</x:v>
      </x:c>
    </x:row>
    <x:row r="1009">
      <x:c r="A1009" t="n">
        <x:v>1006</x:v>
      </x:c>
      <x:c r="B1009" t="str">
        <x:v>PTN Akademik</x:v>
      </x:c>
      <x:c r="C1009" t="str">
        <x:v>UNIVERSITAS INDONESIA</x:v>
      </x:c>
      <x:c r="D1009" t="str">
        <x:v>ADMINISTRASI PERKANTORAN</x:v>
      </x:c>
      <x:c r="E1009" t="str">
        <x:v>Diploma Tiga</x:v>
      </x:c>
      <x:c r="F1009" s="18" t="n">
        <x:v>30</x:v>
      </x:c>
      <x:c r="G1009" s="18" t="n">
        <x:v>2763</x:v>
      </x:c>
      <x:c r="H1009" s="19" t="n">
        <x:v>92.1</x:v>
      </x:c>
      <x:c r="I1009" s="18" t="n">
        <x:f>ROUND(MIN(Model_Config_v3!$B$6,MAX(Q1009,R1009,S1009*Model_Config_v3!$B$4+T1009*Model_Config_v3!$B$5)),0)</x:f>
        <x:v>733</x:v>
      </x:c>
      <x:c r="J1009" s="18" t="n">
        <x:f>MIN(Model_Config_v3!$B$6,I1009+Model_Config_v3!$B$7)</x:f>
        <x:v>753</x:v>
      </x:c>
      <x:c r="K1009" s="20" t="n">
        <x:v>85.5</x:v>
      </x:c>
      <x:c r="L1009" t="str">
        <x:v>ULTRA ELITE</x:v>
      </x:c>
      <x:c r="M1009" t="str">
        <x:v>SEDANG+</x:v>
      </x:c>
      <x:c r="N1009" t="str">
        <x:v>ELITE-1</x:v>
      </x:c>
      <x:c r="O1009" t="str">
        <x:v>SOSHUM</x:v>
      </x:c>
      <x:c r="P1009" t="str">
        <x:v>UMUM</x:v>
      </x:c>
      <x:c r="Q1009" s="18" t="n">
        <x:v>675</x:v>
      </x:c>
      <x:c r="R1009" s="18" t="n">
        <x:v>0</x:v>
      </x:c>
      <x:c r="S1009" s="18" t="n">
        <x:v>736.0685593216533</x:v>
      </x:c>
      <x:c r="T1009" s="18" t="n">
        <x:v>731</x:v>
      </x:c>
      <x:c r="U1009" s="18" t="n">
        <x:v>736.0685593216533</x:v>
      </x:c>
      <x:c r="V1009" s="20" t="n">
        <x:v>4.4</x:v>
      </x:c>
      <x:c r="W1009" s="20" t="n">
        <x:v>14.3</x:v>
      </x:c>
      <x:c r="X1009" s="20" t="n">
        <x:v>3.3</x:v>
      </x:c>
      <x:c r="Y1009" t="str">
        <x:v>Basis arsip 2025/2024</x:v>
      </x:c>
      <x:c r="Z1009" t="str">
        <x:v>https://snpmb.id/utbk-snbt/daya-tampung-snbt</x:v>
      </x:c>
      <x:c r="AA1009" t="str">
        <x:v>Tidak Ada</x:v>
      </x:c>
      <x:c r="AB1009" t="str">
        <x:v>Campus=100; Ratio=100.0; Prodi=40; RelDemand=100.0; Capacity=75.0</x:v>
      </x:c>
    </x:row>
    <x:row r="1010">
      <x:c r="A1010" t="n">
        <x:v>1007</x:v>
      </x:c>
      <x:c r="B1010" t="str">
        <x:v>PTN Akademik</x:v>
      </x:c>
      <x:c r="C1010" t="str">
        <x:v>UNIVERSITAS INDONESIA</x:v>
      </x:c>
      <x:c r="D1010" t="str">
        <x:v>ADMINISTRASI RUMAH SAKIT</x:v>
      </x:c>
      <x:c r="E1010" t="str">
        <x:v>Diploma Tiga</x:v>
      </x:c>
      <x:c r="F1010" s="18" t="n">
        <x:v>30</x:v>
      </x:c>
      <x:c r="G1010" s="18" t="n">
        <x:v>3001</x:v>
      </x:c>
      <x:c r="H1010" s="19" t="n">
        <x:v>100.03333333333333</x:v>
      </x:c>
      <x:c r="I1010" s="18" t="n">
        <x:f>ROUND(MIN(Model_Config_v3!$B$6,MAX(Q1010,R1010,S1010*Model_Config_v3!$B$4+T1010*Model_Config_v3!$B$5)),0)</x:f>
        <x:v>734</x:v>
      </x:c>
      <x:c r="J1010" s="18" t="n">
        <x:f>MIN(Model_Config_v3!$B$6,I1010+Model_Config_v3!$B$7)</x:f>
        <x:v>754</x:v>
      </x:c>
      <x:c r="K1010" s="20" t="n">
        <x:v>85.5</x:v>
      </x:c>
      <x:c r="L1010" t="str">
        <x:v>ULTRA ELITE</x:v>
      </x:c>
      <x:c r="M1010" t="str">
        <x:v>SEDANG+</x:v>
      </x:c>
      <x:c r="N1010" t="str">
        <x:v>ELITE-1</x:v>
      </x:c>
      <x:c r="O1010" t="str">
        <x:v>SOSHUM</x:v>
      </x:c>
      <x:c r="P1010" t="str">
        <x:v>UMUM</x:v>
      </x:c>
      <x:c r="Q1010" s="18" t="n">
        <x:v>675</x:v>
      </x:c>
      <x:c r="R1010" s="18" t="n">
        <x:v>0</x:v>
      </x:c>
      <x:c r="S1010" s="18" t="n">
        <x:v>740.0159214775709</x:v>
      </x:c>
      <x:c r="T1010" s="18" t="n">
        <x:v>731</x:v>
      </x:c>
      <x:c r="U1010" s="18" t="n">
        <x:v>740.0159214775709</x:v>
      </x:c>
      <x:c r="V1010" s="20" t="n">
        <x:v>4.4</x:v>
      </x:c>
      <x:c r="W1010" s="20" t="n">
        <x:v>14.3</x:v>
      </x:c>
      <x:c r="X1010" s="20" t="n">
        <x:v>3.3</x:v>
      </x:c>
      <x:c r="Y1010" t="str">
        <x:v>Basis arsip 2025/2024</x:v>
      </x:c>
      <x:c r="Z1010" t="str">
        <x:v>https://snpmb.id/utbk-snbt/daya-tampung-snbt</x:v>
      </x:c>
      <x:c r="AA1010" t="str">
        <x:v>Tidak Ada</x:v>
      </x:c>
      <x:c r="AB1010" t="str">
        <x:v>Campus=100; Ratio=100.0; Prodi=40; RelDemand=100.0; Capacity=75.0</x:v>
      </x:c>
    </x:row>
    <x:row r="1011">
      <x:c r="A1011" t="n">
        <x:v>1008</x:v>
      </x:c>
      <x:c r="B1011" t="str">
        <x:v>PTN Akademik</x:v>
      </x:c>
      <x:c r="C1011" t="str">
        <x:v>UNIVERSITAS INDONESIA</x:v>
      </x:c>
      <x:c r="D1011" t="str">
        <x:v>PENYIARAN MULTIMEDIA</x:v>
      </x:c>
      <x:c r="E1011" t="str">
        <x:v>Diploma Tiga</x:v>
      </x:c>
      <x:c r="F1011" s="18" t="n">
        <x:v>30</x:v>
      </x:c>
      <x:c r="G1011" s="18" t="n">
        <x:v>2588</x:v>
      </x:c>
      <x:c r="H1011" s="19" t="n">
        <x:v>86.26666666666667</x:v>
      </x:c>
      <x:c r="I1011" s="18" t="n">
        <x:f>ROUND(MIN(Model_Config_v3!$B$6,MAX(Q1011,R1011,S1011*Model_Config_v3!$B$4+T1011*Model_Config_v3!$B$5)),0)</x:f>
        <x:v>732</x:v>
      </x:c>
      <x:c r="J1011" s="18" t="n">
        <x:f>MIN(Model_Config_v3!$B$6,I1011+Model_Config_v3!$B$7)</x:f>
        <x:v>752</x:v>
      </x:c>
      <x:c r="K1011" s="20" t="n">
        <x:v>85.5</x:v>
      </x:c>
      <x:c r="L1011" t="str">
        <x:v>ULTRA ELITE</x:v>
      </x:c>
      <x:c r="M1011" t="str">
        <x:v>SEDANG+</x:v>
      </x:c>
      <x:c r="N1011" t="str">
        <x:v>ELITE-1</x:v>
      </x:c>
      <x:c r="O1011" t="str">
        <x:v>CAMPURAN</x:v>
      </x:c>
      <x:c r="P1011" t="str">
        <x:v>UMUM</x:v>
      </x:c>
      <x:c r="Q1011" s="18" t="n">
        <x:v>675</x:v>
      </x:c>
      <x:c r="R1011" s="18" t="n">
        <x:v>0</x:v>
      </x:c>
      <x:c r="S1011" s="18" t="n">
        <x:v>732.94273190047</x:v>
      </x:c>
      <x:c r="T1011" s="18" t="n">
        <x:v>731</x:v>
      </x:c>
      <x:c r="U1011" s="18" t="n">
        <x:v>732.94273190047</x:v>
      </x:c>
      <x:c r="V1011" s="20" t="n">
        <x:v>8.8</x:v>
      </x:c>
      <x:c r="W1011" s="20" t="n">
        <x:v>9.9</x:v>
      </x:c>
      <x:c r="X1011" s="20" t="n">
        <x:v>3.3</x:v>
      </x:c>
      <x:c r="Y1011" t="str">
        <x:v>Basis arsip 2025/2024</x:v>
      </x:c>
      <x:c r="Z1011" t="str">
        <x:v>https://snpmb.id/utbk-snbt/daya-tampung-snbt</x:v>
      </x:c>
      <x:c r="AA1011" t="str">
        <x:v>Tidak Ada</x:v>
      </x:c>
      <x:c r="AB1011" t="str">
        <x:v>Campus=100; Ratio=100.0; Prodi=40; RelDemand=100.0; Capacity=75.0</x:v>
      </x:c>
    </x:row>
    <x:row r="1012">
      <x:c r="A1012" t="n">
        <x:v>1009</x:v>
      </x:c>
      <x:c r="B1012" t="str">
        <x:v>PTN Akademik</x:v>
      </x:c>
      <x:c r="C1012" t="str">
        <x:v>UNIVERSITAS INDONESIA</x:v>
      </x:c>
      <x:c r="D1012" t="str">
        <x:v>ADMINISTRASI ASURANSI &amp; AKTUARIA</x:v>
      </x:c>
      <x:c r="E1012" t="str">
        <x:v>Diploma Tiga</x:v>
      </x:c>
      <x:c r="F1012" s="18" t="n">
        <x:v>30</x:v>
      </x:c>
      <x:c r="G1012" s="18" t="n">
        <x:v>1927</x:v>
      </x:c>
      <x:c r="H1012" s="19" t="n">
        <x:v>64.23333333333333</x:v>
      </x:c>
      <x:c r="I1012" s="18" t="n">
        <x:f>ROUND(MIN(Model_Config_v3!$B$6,MAX(Q1012,R1012,S1012*Model_Config_v3!$B$4+T1012*Model_Config_v3!$B$5)),0)</x:f>
        <x:v>732</x:v>
      </x:c>
      <x:c r="J1012" s="18" t="n">
        <x:f>MIN(Model_Config_v3!$B$6,I1012+Model_Config_v3!$B$7)</x:f>
        <x:v>752</x:v>
      </x:c>
      <x:c r="K1012" s="20" t="n">
        <x:v>89.1</x:v>
      </x:c>
      <x:c r="L1012" t="str">
        <x:v>ULTRA ELITE</x:v>
      </x:c>
      <x:c r="M1012" t="str">
        <x:v>SEDANG+</x:v>
      </x:c>
      <x:c r="N1012" t="str">
        <x:v>ELITE-1</x:v>
      </x:c>
      <x:c r="O1012" t="str">
        <x:v>SAINTEK</x:v>
      </x:c>
      <x:c r="P1012" t="str">
        <x:v>TEKNIK/ARSITEKTUR/STATISTIKA/AKTUARIA</x:v>
      </x:c>
      <x:c r="Q1012" s="18" t="n">
        <x:v>675</x:v>
      </x:c>
      <x:c r="R1012" s="18" t="n">
        <x:v>690</x:v>
      </x:c>
      <x:c r="S1012" s="18" t="n">
        <x:v>718.8536505929369</x:v>
      </x:c>
      <x:c r="T1012" s="18" t="n">
        <x:v>738</x:v>
      </x:c>
      <x:c r="U1012" s="18" t="n">
        <x:v>728.8536505929369</x:v>
      </x:c>
      <x:c r="V1012" s="20" t="n">
        <x:v>12</x:v>
      </x:c>
      <x:c r="W1012" s="20" t="n">
        <x:v>5</x:v>
      </x:c>
      <x:c r="X1012" s="20" t="n">
        <x:v>3</x:v>
      </x:c>
      <x:c r="Y1012" t="str">
        <x:v>Basis arsip 2025/2024</x:v>
      </x:c>
      <x:c r="Z1012" t="str">
        <x:v>https://snpmb.id/utbk-snbt/daya-tampung-snbt</x:v>
      </x:c>
      <x:c r="AA1012" t="str">
        <x:v>Tidak Ada</x:v>
      </x:c>
      <x:c r="AB1012" t="str">
        <x:v>Campus=100; Ratio=100.0; Prodi=60; RelDemand=95.7; Capacity=75.0</x:v>
      </x:c>
    </x:row>
    <x:row r="1013">
      <x:c r="A1013" t="n">
        <x:v>1010</x:v>
      </x:c>
      <x:c r="B1013" t="str">
        <x:v>PTN Akademik</x:v>
      </x:c>
      <x:c r="C1013" t="str">
        <x:v>UNIVERSITAS INDONESIA</x:v>
      </x:c>
      <x:c r="D1013" t="str">
        <x:v>HUBUNGAN MASYARAKAT</x:v>
      </x:c>
      <x:c r="E1013" t="str">
        <x:v>Diploma Tiga</x:v>
      </x:c>
      <x:c r="F1013" s="18" t="n">
        <x:v>30</x:v>
      </x:c>
      <x:c r="G1013" s="18" t="n">
        <x:v>4788</x:v>
      </x:c>
      <x:c r="H1013" s="19" t="n">
        <x:v>159.6</x:v>
      </x:c>
      <x:c r="I1013" s="18" t="n">
        <x:f>ROUND(MIN(Model_Config_v3!$B$6,MAX(Q1013,R1013,S1013*Model_Config_v3!$B$4+T1013*Model_Config_v3!$B$5)),0)</x:f>
        <x:v>740</x:v>
      </x:c>
      <x:c r="J1013" s="18" t="n">
        <x:f>MIN(Model_Config_v3!$B$6,I1013+Model_Config_v3!$B$7)</x:f>
        <x:v>760</x:v>
      </x:c>
      <x:c r="K1013" s="20" t="n">
        <x:v>85.5</x:v>
      </x:c>
      <x:c r="L1013" t="str">
        <x:v>ULTRA ELITE</x:v>
      </x:c>
      <x:c r="M1013" t="str">
        <x:v>SEDANG+</x:v>
      </x:c>
      <x:c r="N1013" t="str">
        <x:v>ELITE-1</x:v>
      </x:c>
      <x:c r="O1013" t="str">
        <x:v>CAMPURAN</x:v>
      </x:c>
      <x:c r="P1013" t="str">
        <x:v>UMUM</x:v>
      </x:c>
      <x:c r="Q1013" s="18" t="n">
        <x:v>675</x:v>
      </x:c>
      <x:c r="R1013" s="18" t="n">
        <x:v>0</x:v>
      </x:c>
      <x:c r="S1013" s="18" t="n">
        <x:v>762.3336175716181</x:v>
      </x:c>
      <x:c r="T1013" s="18" t="n">
        <x:v>731</x:v>
      </x:c>
      <x:c r="U1013" s="18" t="n">
        <x:v>762.3336175716181</x:v>
      </x:c>
      <x:c r="V1013" s="20" t="n">
        <x:v>8.8</x:v>
      </x:c>
      <x:c r="W1013" s="20" t="n">
        <x:v>9.9</x:v>
      </x:c>
      <x:c r="X1013" s="20" t="n">
        <x:v>3.3</x:v>
      </x:c>
      <x:c r="Y1013" t="str">
        <x:v>Basis arsip 2025/2024</x:v>
      </x:c>
      <x:c r="Z1013" t="str">
        <x:v>https://snpmb.id/utbk-snbt/daya-tampung-snbt</x:v>
      </x:c>
      <x:c r="AA1013" t="str">
        <x:v>Tidak Ada</x:v>
      </x:c>
      <x:c r="AB1013" t="str">
        <x:v>Campus=100; Ratio=100.0; Prodi=40; RelDemand=100.0; Capacity=75.0</x:v>
      </x:c>
    </x:row>
    <x:row r="1014">
      <x:c r="A1014" t="n">
        <x:v>1011</x:v>
      </x:c>
      <x:c r="B1014" t="str">
        <x:v>PTN Akademik</x:v>
      </x:c>
      <x:c r="C1014" t="str">
        <x:v>UNIVERSITAS INDONESIA</x:v>
      </x:c>
      <x:c r="D1014" t="str">
        <x:v>PERIKLANAN KREATIF</x:v>
      </x:c>
      <x:c r="E1014" t="str">
        <x:v>Diploma Tiga</x:v>
      </x:c>
      <x:c r="F1014" s="18" t="n">
        <x:v>30</x:v>
      </x:c>
      <x:c r="G1014" s="18" t="n">
        <x:v>2650</x:v>
      </x:c>
      <x:c r="H1014" s="19" t="n">
        <x:v>88.33333333333333</x:v>
      </x:c>
      <x:c r="I1014" s="18" t="n">
        <x:f>ROUND(MIN(Model_Config_v3!$B$6,MAX(Q1014,R1014,S1014*Model_Config_v3!$B$4+T1014*Model_Config_v3!$B$5)),0)</x:f>
        <x:v>732</x:v>
      </x:c>
      <x:c r="J1014" s="18" t="n">
        <x:f>MIN(Model_Config_v3!$B$6,I1014+Model_Config_v3!$B$7)</x:f>
        <x:v>752</x:v>
      </x:c>
      <x:c r="K1014" s="20" t="n">
        <x:v>85.5</x:v>
      </x:c>
      <x:c r="L1014" t="str">
        <x:v>ULTRA ELITE</x:v>
      </x:c>
      <x:c r="M1014" t="str">
        <x:v>SEDANG+</x:v>
      </x:c>
      <x:c r="N1014" t="str">
        <x:v>ELITE-1</x:v>
      </x:c>
      <x:c r="O1014" t="str">
        <x:v>CAMPURAN</x:v>
      </x:c>
      <x:c r="P1014" t="str">
        <x:v>UMUM</x:v>
      </x:c>
      <x:c r="Q1014" s="18" t="n">
        <x:v>675</x:v>
      </x:c>
      <x:c r="R1014" s="18" t="n">
        <x:v>0</x:v>
      </x:c>
      <x:c r="S1014" s="18" t="n">
        <x:v>734.0737081138859</x:v>
      </x:c>
      <x:c r="T1014" s="18" t="n">
        <x:v>731</x:v>
      </x:c>
      <x:c r="U1014" s="18" t="n">
        <x:v>734.0737081138859</x:v>
      </x:c>
      <x:c r="V1014" s="20" t="n">
        <x:v>8.8</x:v>
      </x:c>
      <x:c r="W1014" s="20" t="n">
        <x:v>9.9</x:v>
      </x:c>
      <x:c r="X1014" s="20" t="n">
        <x:v>3.3</x:v>
      </x:c>
      <x:c r="Y1014" t="str">
        <x:v>Basis arsip 2025/2024</x:v>
      </x:c>
      <x:c r="Z1014" t="str">
        <x:v>https://snpmb.id/utbk-snbt/daya-tampung-snbt</x:v>
      </x:c>
      <x:c r="AA1014" t="str">
        <x:v>Tidak Ada</x:v>
      </x:c>
      <x:c r="AB1014" t="str">
        <x:v>Campus=100; Ratio=100.0; Prodi=40; RelDemand=100.0; Capacity=75.0</x:v>
      </x:c>
    </x:row>
    <x:row r="1015">
      <x:c r="A1015" t="n">
        <x:v>1012</x:v>
      </x:c>
      <x:c r="B1015" t="str">
        <x:v>PTN Akademik</x:v>
      </x:c>
      <x:c r="C1015" t="str">
        <x:v>UNIVERSITAS INDONESIA</x:v>
      </x:c>
      <x:c r="D1015" t="str">
        <x:v>AKUNTANSI</x:v>
      </x:c>
      <x:c r="E1015" t="str">
        <x:v>Diploma Tiga</x:v>
      </x:c>
      <x:c r="F1015" s="18" t="n">
        <x:v>30</x:v>
      </x:c>
      <x:c r="G1015" s="18" t="n">
        <x:v>3949</x:v>
      </x:c>
      <x:c r="H1015" s="19" t="n">
        <x:v>131.63333333333333</x:v>
      </x:c>
      <x:c r="I1015" s="18" t="n">
        <x:f>ROUND(MIN(Model_Config_v3!$B$6,MAX(Q1015,R1015,S1015*Model_Config_v3!$B$4+T1015*Model_Config_v3!$B$5)),0)</x:f>
        <x:v>745</x:v>
      </x:c>
      <x:c r="J1015" s="18" t="n">
        <x:f>MIN(Model_Config_v3!$B$6,I1015+Model_Config_v3!$B$7)</x:f>
        <x:v>765</x:v>
      </x:c>
      <x:c r="K1015" s="20" t="n">
        <x:v>90.5</x:v>
      </x:c>
      <x:c r="L1015" t="str">
        <x:v>ULTRA ELITE</x:v>
      </x:c>
      <x:c r="M1015" t="str">
        <x:v>SEDANG+</x:v>
      </x:c>
      <x:c r="N1015" t="str">
        <x:v>ELITE-1</x:v>
      </x:c>
      <x:c r="O1015" t="str">
        <x:v>SOSHUM</x:v>
      </x:c>
      <x:c r="P1015" t="str">
        <x:v>BISNIS/EKONOMI/AKUNTANSI</x:v>
      </x:c>
      <x:c r="Q1015" s="18" t="n">
        <x:v>675</x:v>
      </x:c>
      <x:c r="R1015" s="18" t="n">
        <x:v>700</x:v>
      </x:c>
      <x:c r="S1015" s="18" t="n">
        <x:v>753.130246691857</x:v>
      </x:c>
      <x:c r="T1015" s="18" t="n">
        <x:v>741</x:v>
      </x:c>
      <x:c r="U1015" s="18" t="n">
        <x:v>753.130246691857</x:v>
      </x:c>
      <x:c r="V1015" s="20" t="n">
        <x:v>4.4</x:v>
      </x:c>
      <x:c r="W1015" s="20" t="n">
        <x:v>14.3</x:v>
      </x:c>
      <x:c r="X1015" s="20" t="n">
        <x:v>3.3</x:v>
      </x:c>
      <x:c r="Y1015" t="str">
        <x:v>Basis arsip 2025/2024</x:v>
      </x:c>
      <x:c r="Z1015" t="str">
        <x:v>https://snpmb.id/utbk-snbt/daya-tampung-snbt</x:v>
      </x:c>
      <x:c r="AA1015" t="str">
        <x:v>Tidak Ada</x:v>
      </x:c>
      <x:c r="AB1015" t="str">
        <x:v>Campus=100; Ratio=100.0; Prodi=65; RelDemand=100.0; Capacity=75.0</x:v>
      </x:c>
    </x:row>
    <x:row r="1016">
      <x:c r="A1016" t="n">
        <x:v>1013</x:v>
      </x:c>
      <x:c r="B1016" t="str">
        <x:v>PTN Akademik</x:v>
      </x:c>
      <x:c r="C1016" t="str">
        <x:v>UNIVERSITAS INDONESIA</x:v>
      </x:c>
      <x:c r="D1016" t="str">
        <x:v>ADMINISTRASI KEUANGAN DAN PERBANKAN</x:v>
      </x:c>
      <x:c r="E1016" t="str">
        <x:v>Diploma Tiga</x:v>
      </x:c>
      <x:c r="F1016" s="18" t="n">
        <x:v>30</x:v>
      </x:c>
      <x:c r="G1016" s="18" t="n">
        <x:v>3216</x:v>
      </x:c>
      <x:c r="H1016" s="19" t="n">
        <x:v>107.2</x:v>
      </x:c>
      <x:c r="I1016" s="18" t="n">
        <x:f>ROUND(MIN(Model_Config_v3!$B$6,MAX(Q1016,R1016,S1016*Model_Config_v3!$B$4+T1016*Model_Config_v3!$B$5)),0)</x:f>
        <x:v>735</x:v>
      </x:c>
      <x:c r="J1016" s="18" t="n">
        <x:f>MIN(Model_Config_v3!$B$6,I1016+Model_Config_v3!$B$7)</x:f>
        <x:v>755</x:v>
      </x:c>
      <x:c r="K1016" s="20" t="n">
        <x:v>85.5</x:v>
      </x:c>
      <x:c r="L1016" t="str">
        <x:v>ULTRA ELITE</x:v>
      </x:c>
      <x:c r="M1016" t="str">
        <x:v>SEDANG+</x:v>
      </x:c>
      <x:c r="N1016" t="str">
        <x:v>ELITE-1</x:v>
      </x:c>
      <x:c r="O1016" t="str">
        <x:v>SOSHUM</x:v>
      </x:c>
      <x:c r="P1016" t="str">
        <x:v>UMUM</x:v>
      </x:c>
      <x:c r="Q1016" s="18" t="n">
        <x:v>675</x:v>
      </x:c>
      <x:c r="R1016" s="18" t="n">
        <x:v>0</x:v>
      </x:c>
      <x:c r="S1016" s="18" t="n">
        <x:v>743.3214263892426</x:v>
      </x:c>
      <x:c r="T1016" s="18" t="n">
        <x:v>731</x:v>
      </x:c>
      <x:c r="U1016" s="18" t="n">
        <x:v>743.3214263892426</x:v>
      </x:c>
      <x:c r="V1016" s="20" t="n">
        <x:v>4.4</x:v>
      </x:c>
      <x:c r="W1016" s="20" t="n">
        <x:v>14.3</x:v>
      </x:c>
      <x:c r="X1016" s="20" t="n">
        <x:v>3.3</x:v>
      </x:c>
      <x:c r="Y1016" t="str">
        <x:v>Basis arsip 2025/2024</x:v>
      </x:c>
      <x:c r="Z1016" t="str">
        <x:v>https://snpmb.id/utbk-snbt/daya-tampung-snbt</x:v>
      </x:c>
      <x:c r="AA1016" t="str">
        <x:v>Tidak Ada</x:v>
      </x:c>
      <x:c r="AB1016" t="str">
        <x:v>Campus=100; Ratio=100.0; Prodi=40; RelDemand=100.0; Capacity=75.0</x:v>
      </x:c>
    </x:row>
    <x:row r="1017">
      <x:c r="A1017" t="n">
        <x:v>1014</x:v>
      </x:c>
      <x:c r="B1017" t="str">
        <x:v>PTN Akademik</x:v>
      </x:c>
      <x:c r="C1017" t="str">
        <x:v>UNIVERSITAS NEGERI JAKARTA</x:v>
      </x:c>
      <x:c r="D1017" t="str">
        <x:v>PENDIDIKAN MATEMATIKA</x:v>
      </x:c>
      <x:c r="E1017" t="str">
        <x:v>Sarjana</x:v>
      </x:c>
      <x:c r="F1017" s="18" t="n">
        <x:v>36</x:v>
      </x:c>
      <x:c r="G1017" s="18" t="n">
        <x:v>278</x:v>
      </x:c>
      <x:c r="H1017" s="19" t="n">
        <x:v>7.722222222222222</x:v>
      </x:c>
      <x:c r="I1017" s="18" t="n">
        <x:f>ROUND(MIN(Model_Config_v3!$B$6,MAX(Q1017,R1017,S1017*Model_Config_v3!$B$4+T1017*Model_Config_v3!$B$5)),0)</x:f>
        <x:v>660</x:v>
      </x:c>
      <x:c r="J1017" s="18" t="n">
        <x:f>MIN(Model_Config_v3!$B$6,I1017+Model_Config_v3!$B$7)</x:f>
        <x:v>680</x:v>
      </x:c>
      <x:c r="K1017" s="20" t="n">
        <x:v>58.8</x:v>
      </x:c>
      <x:c r="L1017" t="str">
        <x:v>KETAT</x:v>
      </x:c>
      <x:c r="M1017" t="str">
        <x:v>SEDANG+</x:v>
      </x:c>
      <x:c r="N1017" t="str">
        <x:v>ELITE-3</x:v>
      </x:c>
      <x:c r="O1017" t="str">
        <x:v>SAINTEK</x:v>
      </x:c>
      <x:c r="P1017" t="str">
        <x:v>PENDIDIKAN</x:v>
      </x:c>
      <x:c r="Q1017" s="18" t="n">
        <x:v>620</x:v>
      </x:c>
      <x:c r="R1017" s="18" t="n">
        <x:v>0</x:v>
      </x:c>
      <x:c r="S1017" s="18" t="n">
        <x:v>617.6516524665867</x:v>
      </x:c>
      <x:c r="T1017" s="18" t="n">
        <x:v>678</x:v>
      </x:c>
      <x:c r="U1017" s="18" t="n">
        <x:v>620</x:v>
      </x:c>
      <x:c r="V1017" s="20" t="n">
        <x:v>12</x:v>
      </x:c>
      <x:c r="W1017" s="20" t="n">
        <x:v>5</x:v>
      </x:c>
      <x:c r="X1017" s="20" t="n">
        <x:v>3</x:v>
      </x:c>
      <x:c r="Y1017" t="str">
        <x:v>Basis arsip 2025/2024</x:v>
      </x:c>
      <x:c r="Z1017" t="str">
        <x:v>https://snpmb.id/utbk-snbt/daya-tampung-snbt</x:v>
      </x:c>
      <x:c r="AA1017" t="str">
        <x:v>Tidak Ada</x:v>
      </x:c>
      <x:c r="AB1017" t="str">
        <x:v>Campus=80; Ratio=52.3; Prodi=45; RelDemand=17.7; Capacity=70.0</x:v>
      </x:c>
    </x:row>
    <x:row r="1018">
      <x:c r="A1018" t="n">
        <x:v>1015</x:v>
      </x:c>
      <x:c r="B1018" t="str">
        <x:v>PTN Akademik</x:v>
      </x:c>
      <x:c r="C1018" t="str">
        <x:v>UNIVERSITAS NEGERI JAKARTA</x:v>
      </x:c>
      <x:c r="D1018" t="str">
        <x:v>PENDIDIKAN FISIKA</x:v>
      </x:c>
      <x:c r="E1018" t="str">
        <x:v>Sarjana</x:v>
      </x:c>
      <x:c r="F1018" s="18" t="n">
        <x:v>30</x:v>
      </x:c>
      <x:c r="G1018" s="18" t="n">
        <x:v>84</x:v>
      </x:c>
      <x:c r="H1018" s="19" t="n">
        <x:v>2.8</x:v>
      </x:c>
      <x:c r="I1018" s="18" t="n">
        <x:f>ROUND(MIN(Model_Config_v3!$B$6,MAX(Q1018,R1018,S1018*Model_Config_v3!$B$4+T1018*Model_Config_v3!$B$5)),0)</x:f>
        <x:v>635</x:v>
      </x:c>
      <x:c r="J1018" s="18" t="n">
        <x:f>MIN(Model_Config_v3!$B$6,I1018+Model_Config_v3!$B$7)</x:f>
        <x:v>655</x:v>
      </x:c>
      <x:c r="K1018" s="20" t="n">
        <x:v>51.7</x:v>
      </x:c>
      <x:c r="L1018" t="str">
        <x:v>MENENGAH</x:v>
      </x:c>
      <x:c r="M1018" t="str">
        <x:v>SEDANG+</x:v>
      </x:c>
      <x:c r="N1018" t="str">
        <x:v>ELITE-3</x:v>
      </x:c>
      <x:c r="O1018" t="str">
        <x:v>SAINTEK</x:v>
      </x:c>
      <x:c r="P1018" t="str">
        <x:v>PENDIDIKAN</x:v>
      </x:c>
      <x:c r="Q1018" s="18" t="n">
        <x:v>620</x:v>
      </x:c>
      <x:c r="R1018" s="18" t="n">
        <x:v>0</x:v>
      </x:c>
      <x:c r="S1018" s="18" t="n">
        <x:v>569.1873834476442</x:v>
      </x:c>
      <x:c r="T1018" s="18" t="n">
        <x:v>663</x:v>
      </x:c>
      <x:c r="U1018" s="18" t="n">
        <x:v>620</x:v>
      </x:c>
      <x:c r="V1018" s="20" t="n">
        <x:v>12</x:v>
      </x:c>
      <x:c r="W1018" s="20" t="n">
        <x:v>5</x:v>
      </x:c>
      <x:c r="X1018" s="20" t="n">
        <x:v>3</x:v>
      </x:c>
      <x:c r="Y1018" t="str">
        <x:v>Basis arsip 2025/2024</x:v>
      </x:c>
      <x:c r="Z1018" t="str">
        <x:v>https://snpmb.id/utbk-snbt/daya-tampung-snbt</x:v>
      </x:c>
      <x:c r="AA1018" t="str">
        <x:v>Tidak Ada</x:v>
      </x:c>
      <x:c r="AB1018" t="str">
        <x:v>Campus=80; Ratio=26.3; Prodi=45; RelDemand=6.4; Capacity=75.0</x:v>
      </x:c>
    </x:row>
    <x:row r="1019">
      <x:c r="A1019" t="n">
        <x:v>1016</x:v>
      </x:c>
      <x:c r="B1019" t="str">
        <x:v>PTN Akademik</x:v>
      </x:c>
      <x:c r="C1019" t="str">
        <x:v>UNIVERSITAS NEGERI JAKARTA</x:v>
      </x:c>
      <x:c r="D1019" t="str">
        <x:v>PENDIDIKAN KIMIA</x:v>
      </x:c>
      <x:c r="E1019" t="str">
        <x:v>Sarjana</x:v>
      </x:c>
      <x:c r="F1019" s="18" t="n">
        <x:v>24</x:v>
      </x:c>
      <x:c r="G1019" s="18" t="n">
        <x:v>142</x:v>
      </x:c>
      <x:c r="H1019" s="19" t="n">
        <x:v>5.916666666666667</x:v>
      </x:c>
      <x:c r="I1019" s="18" t="n">
        <x:f>ROUND(MIN(Model_Config_v3!$B$6,MAX(Q1019,R1019,S1019*Model_Config_v3!$B$4+T1019*Model_Config_v3!$B$5)),0)</x:f>
        <x:v>654</x:v>
      </x:c>
      <x:c r="J1019" s="18" t="n">
        <x:f>MIN(Model_Config_v3!$B$6,I1019+Model_Config_v3!$B$7)</x:f>
        <x:v>674</x:v>
      </x:c>
      <x:c r="K1019" s="20" t="n">
        <x:v>57.7</x:v>
      </x:c>
      <x:c r="L1019" t="str">
        <x:v>KETAT</x:v>
      </x:c>
      <x:c r="M1019" t="str">
        <x:v>SEDANG+</x:v>
      </x:c>
      <x:c r="N1019" t="str">
        <x:v>ELITE-3</x:v>
      </x:c>
      <x:c r="O1019" t="str">
        <x:v>SAINTEK</x:v>
      </x:c>
      <x:c r="P1019" t="str">
        <x:v>PENDIDIKAN</x:v>
      </x:c>
      <x:c r="Q1019" s="18" t="n">
        <x:v>620</x:v>
      </x:c>
      <x:c r="R1019" s="18" t="n">
        <x:v>0</x:v>
      </x:c>
      <x:c r="S1019" s="18" t="n">
        <x:v>604.9284812938595</x:v>
      </x:c>
      <x:c r="T1019" s="18" t="n">
        <x:v>675</x:v>
      </x:c>
      <x:c r="U1019" s="18" t="n">
        <x:v>620</x:v>
      </x:c>
      <x:c r="V1019" s="20" t="n">
        <x:v>12</x:v>
      </x:c>
      <x:c r="W1019" s="20" t="n">
        <x:v>5</x:v>
      </x:c>
      <x:c r="X1019" s="20" t="n">
        <x:v>3</x:v>
      </x:c>
      <x:c r="Y1019" t="str">
        <x:v>Basis arsip 2025/2024</x:v>
      </x:c>
      <x:c r="Z1019" t="str">
        <x:v>https://snpmb.id/utbk-snbt/daya-tampung-snbt</x:v>
      </x:c>
      <x:c r="AA1019" t="str">
        <x:v>Tidak Ada</x:v>
      </x:c>
      <x:c r="AB1019" t="str">
        <x:v>Campus=80; Ratio=45.4; Prodi=45; RelDemand=13.6; Capacity=80.0</x:v>
      </x:c>
    </x:row>
    <x:row r="1020">
      <x:c r="A1020" t="n">
        <x:v>1017</x:v>
      </x:c>
      <x:c r="B1020" t="str">
        <x:v>PTN Akademik</x:v>
      </x:c>
      <x:c r="C1020" t="str">
        <x:v>UNIVERSITAS NEGERI JAKARTA</x:v>
      </x:c>
      <x:c r="D1020" t="str">
        <x:v>PENDIDIKAN BIOLOGI</x:v>
      </x:c>
      <x:c r="E1020" t="str">
        <x:v>Sarjana</x:v>
      </x:c>
      <x:c r="F1020" s="18" t="n">
        <x:v>36</x:v>
      </x:c>
      <x:c r="G1020" s="18" t="n">
        <x:v>275</x:v>
      </x:c>
      <x:c r="H1020" s="19" t="n">
        <x:v>7.638888888888889</x:v>
      </x:c>
      <x:c r="I1020" s="18" t="n">
        <x:f>ROUND(MIN(Model_Config_v3!$B$6,MAX(Q1020,R1020,S1020*Model_Config_v3!$B$4+T1020*Model_Config_v3!$B$5)),0)</x:f>
        <x:v>659</x:v>
      </x:c>
      <x:c r="J1020" s="18" t="n">
        <x:f>MIN(Model_Config_v3!$B$6,I1020+Model_Config_v3!$B$7)</x:f>
        <x:v>679</x:v>
      </x:c>
      <x:c r="K1020" s="20" t="n">
        <x:v>58.7</x:v>
      </x:c>
      <x:c r="L1020" t="str">
        <x:v>KETAT</x:v>
      </x:c>
      <x:c r="M1020" t="str">
        <x:v>SEDANG+</x:v>
      </x:c>
      <x:c r="N1020" t="str">
        <x:v>ELITE-3</x:v>
      </x:c>
      <x:c r="O1020" t="str">
        <x:v>SAINTEK</x:v>
      </x:c>
      <x:c r="P1020" t="str">
        <x:v>PENDIDIKAN</x:v>
      </x:c>
      <x:c r="Q1020" s="18" t="n">
        <x:v>620</x:v>
      </x:c>
      <x:c r="R1020" s="18" t="n">
        <x:v>0</x:v>
      </x:c>
      <x:c r="S1020" s="18" t="n">
        <x:v>617.1333212369273</x:v>
      </x:c>
      <x:c r="T1020" s="18" t="n">
        <x:v>677</x:v>
      </x:c>
      <x:c r="U1020" s="18" t="n">
        <x:v>620</x:v>
      </x:c>
      <x:c r="V1020" s="20" t="n">
        <x:v>12</x:v>
      </x:c>
      <x:c r="W1020" s="20" t="n">
        <x:v>5</x:v>
      </x:c>
      <x:c r="X1020" s="20" t="n">
        <x:v>3</x:v>
      </x:c>
      <x:c r="Y1020" t="str">
        <x:v>Basis arsip 2025/2024</x:v>
      </x:c>
      <x:c r="Z1020" t="str">
        <x:v>https://snpmb.id/utbk-snbt/daya-tampung-snbt</x:v>
      </x:c>
      <x:c r="AA1020" t="str">
        <x:v>Tidak Ada</x:v>
      </x:c>
      <x:c r="AB1020" t="str">
        <x:v>Campus=80; Ratio=52.0; Prodi=45; RelDemand=17.5; Capacity=70.0</x:v>
      </x:c>
    </x:row>
    <x:row r="1021">
      <x:c r="A1021" t="n">
        <x:v>1018</x:v>
      </x:c>
      <x:c r="B1021" t="str">
        <x:v>PTN Akademik</x:v>
      </x:c>
      <x:c r="C1021" t="str">
        <x:v>UNIVERSITAS NEGERI JAKARTA</x:v>
      </x:c>
      <x:c r="D1021" t="str">
        <x:v>MATEMATIKA</x:v>
      </x:c>
      <x:c r="E1021" t="str">
        <x:v>Sarjana</x:v>
      </x:c>
      <x:c r="F1021" s="18" t="n">
        <x:v>30</x:v>
      </x:c>
      <x:c r="G1021" s="18" t="n">
        <x:v>233</x:v>
      </x:c>
      <x:c r="H1021" s="19" t="n">
        <x:v>7.766666666666667</x:v>
      </x:c>
      <x:c r="I1021" s="18" t="n">
        <x:f>ROUND(MIN(Model_Config_v3!$B$6,MAX(Q1021,R1021,S1021*Model_Config_v3!$B$4+T1021*Model_Config_v3!$B$5)),0)</x:f>
        <x:v>662</x:v>
      </x:c>
      <x:c r="J1021" s="18" t="n">
        <x:f>MIN(Model_Config_v3!$B$6,I1021+Model_Config_v3!$B$7)</x:f>
        <x:v>682</x:v>
      </x:c>
      <x:c r="K1021" s="20" t="n">
        <x:v>60.4</x:v>
      </x:c>
      <x:c r="L1021" t="str">
        <x:v>KETAT</x:v>
      </x:c>
      <x:c r="M1021" t="str">
        <x:v>SEDANG+</x:v>
      </x:c>
      <x:c r="N1021" t="str">
        <x:v>ELITE-3</x:v>
      </x:c>
      <x:c r="O1021" t="str">
        <x:v>SAINTEK</x:v>
      </x:c>
      <x:c r="P1021" t="str">
        <x:v>SAINS DASAR</x:v>
      </x:c>
      <x:c r="Q1021" s="18" t="n">
        <x:v>620</x:v>
      </x:c>
      <x:c r="R1021" s="18" t="n">
        <x:v>0</x:v>
      </x:c>
      <x:c r="S1021" s="18" t="n">
        <x:v>617.9258132936992</x:v>
      </x:c>
      <x:c r="T1021" s="18" t="n">
        <x:v>681</x:v>
      </x:c>
      <x:c r="U1021" s="18" t="n">
        <x:v>620</x:v>
      </x:c>
      <x:c r="V1021" s="20" t="n">
        <x:v>12</x:v>
      </x:c>
      <x:c r="W1021" s="20" t="n">
        <x:v>5</x:v>
      </x:c>
      <x:c r="X1021" s="20" t="n">
        <x:v>3</x:v>
      </x:c>
      <x:c r="Y1021" t="str">
        <x:v>Basis arsip 2025/2024</x:v>
      </x:c>
      <x:c r="Z1021" t="str">
        <x:v>https://snpmb.id/utbk-snbt/daya-tampung-snbt</x:v>
      </x:c>
      <x:c r="AA1021" t="str">
        <x:v>Tidak Ada</x:v>
      </x:c>
      <x:c r="AB1021" t="str">
        <x:v>Campus=80; Ratio=52.4; Prodi=50; RelDemand=17.8; Capacity=75.0</x:v>
      </x:c>
    </x:row>
    <x:row r="1022">
      <x:c r="A1022" t="n">
        <x:v>1019</x:v>
      </x:c>
      <x:c r="B1022" t="str">
        <x:v>PTN Akademik</x:v>
      </x:c>
      <x:c r="C1022" t="str">
        <x:v>UNIVERSITAS NEGERI JAKARTA</x:v>
      </x:c>
      <x:c r="D1022" t="str">
        <x:v>FISIKA</x:v>
      </x:c>
      <x:c r="E1022" t="str">
        <x:v>Sarjana</x:v>
      </x:c>
      <x:c r="F1022" s="18" t="n">
        <x:v>30</x:v>
      </x:c>
      <x:c r="G1022" s="18" t="n">
        <x:v>123</x:v>
      </x:c>
      <x:c r="H1022" s="19" t="n">
        <x:v>4.1</x:v>
      </x:c>
      <x:c r="I1022" s="18" t="n">
        <x:f>ROUND(MIN(Model_Config_v3!$B$6,MAX(Q1022,R1022,S1022*Model_Config_v3!$B$4+T1022*Model_Config_v3!$B$5)),0)</x:f>
        <x:v>646</x:v>
      </x:c>
      <x:c r="J1022" s="18" t="n">
        <x:f>MIN(Model_Config_v3!$B$6,I1022+Model_Config_v3!$B$7)</x:f>
        <x:v>666</x:v>
      </x:c>
      <x:c r="K1022" s="20" t="n">
        <x:v>55.5</x:v>
      </x:c>
      <x:c r="L1022" t="str">
        <x:v>KETAT</x:v>
      </x:c>
      <x:c r="M1022" t="str">
        <x:v>SEDANG+</x:v>
      </x:c>
      <x:c r="N1022" t="str">
        <x:v>ELITE-3</x:v>
      </x:c>
      <x:c r="O1022" t="str">
        <x:v>SAINTEK</x:v>
      </x:c>
      <x:c r="P1022" t="str">
        <x:v>SAINS DASAR</x:v>
      </x:c>
      <x:c r="Q1022" s="18" t="n">
        <x:v>620</x:v>
      </x:c>
      <x:c r="R1022" s="18" t="n">
        <x:v>0</x:v>
      </x:c>
      <x:c r="S1022" s="18" t="n">
        <x:v>587.4062242391709</x:v>
      </x:c>
      <x:c r="T1022" s="18" t="n">
        <x:v>671</x:v>
      </x:c>
      <x:c r="U1022" s="18" t="n">
        <x:v>620</x:v>
      </x:c>
      <x:c r="V1022" s="20" t="n">
        <x:v>12</x:v>
      </x:c>
      <x:c r="W1022" s="20" t="n">
        <x:v>5</x:v>
      </x:c>
      <x:c r="X1022" s="20" t="n">
        <x:v>3</x:v>
      </x:c>
      <x:c r="Y1022" t="str">
        <x:v>Basis arsip 2025/2024</x:v>
      </x:c>
      <x:c r="Z1022" t="str">
        <x:v>https://snpmb.id/utbk-snbt/daya-tampung-snbt</x:v>
      </x:c>
      <x:c r="AA1022" t="str">
        <x:v>Tidak Ada</x:v>
      </x:c>
      <x:c r="AB1022" t="str">
        <x:v>Campus=80; Ratio=36.1; Prodi=50; RelDemand=9.4; Capacity=75.0</x:v>
      </x:c>
    </x:row>
    <x:row r="1023">
      <x:c r="A1023" t="n">
        <x:v>1020</x:v>
      </x:c>
      <x:c r="B1023" t="str">
        <x:v>PTN Akademik</x:v>
      </x:c>
      <x:c r="C1023" t="str">
        <x:v>UNIVERSITAS NEGERI JAKARTA</x:v>
      </x:c>
      <x:c r="D1023" t="str">
        <x:v>KIMIA</x:v>
      </x:c>
      <x:c r="E1023" t="str">
        <x:v>Sarjana</x:v>
      </x:c>
      <x:c r="F1023" s="18" t="n">
        <x:v>30</x:v>
      </x:c>
      <x:c r="G1023" s="18" t="n">
        <x:v>260</x:v>
      </x:c>
      <x:c r="H1023" s="19" t="n">
        <x:v>8.666666666666666</x:v>
      </x:c>
      <x:c r="I1023" s="18" t="n">
        <x:f>ROUND(MIN(Model_Config_v3!$B$6,MAX(Q1023,R1023,S1023*Model_Config_v3!$B$4+T1023*Model_Config_v3!$B$5)),0)</x:f>
        <x:v>665</x:v>
      </x:c>
      <x:c r="J1023" s="18" t="n">
        <x:f>MIN(Model_Config_v3!$B$6,I1023+Model_Config_v3!$B$7)</x:f>
        <x:v>685</x:v>
      </x:c>
      <x:c r="K1023" s="20" t="n">
        <x:v>61.3</x:v>
      </x:c>
      <x:c r="L1023" t="str">
        <x:v>KETAT</x:v>
      </x:c>
      <x:c r="M1023" t="str">
        <x:v>SEDANG+</x:v>
      </x:c>
      <x:c r="N1023" t="str">
        <x:v>ELITE-3</x:v>
      </x:c>
      <x:c r="O1023" t="str">
        <x:v>SAINTEK</x:v>
      </x:c>
      <x:c r="P1023" t="str">
        <x:v>SAINS DASAR</x:v>
      </x:c>
      <x:c r="Q1023" s="18" t="n">
        <x:v>620</x:v>
      </x:c>
      <x:c r="R1023" s="18" t="n">
        <x:v>0</x:v>
      </x:c>
      <x:c r="S1023" s="18" t="n">
        <x:v>623.1637302576271</x:v>
      </x:c>
      <x:c r="T1023" s="18" t="n">
        <x:v>683</x:v>
      </x:c>
      <x:c r="U1023" s="18" t="n">
        <x:v>623.1637302576271</x:v>
      </x:c>
      <x:c r="V1023" s="20" t="n">
        <x:v>12</x:v>
      </x:c>
      <x:c r="W1023" s="20" t="n">
        <x:v>5</x:v>
      </x:c>
      <x:c r="X1023" s="20" t="n">
        <x:v>3</x:v>
      </x:c>
      <x:c r="Y1023" t="str">
        <x:v>Basis arsip 2025/2024</x:v>
      </x:c>
      <x:c r="Z1023" t="str">
        <x:v>https://snpmb.id/utbk-snbt/daya-tampung-snbt</x:v>
      </x:c>
      <x:c r="AA1023" t="str">
        <x:v>Tidak Ada</x:v>
      </x:c>
      <x:c r="AB1023" t="str">
        <x:v>Campus=80; Ratio=55.2; Prodi=50; RelDemand=19.9; Capacity=75.0</x:v>
      </x:c>
    </x:row>
    <x:row r="1024">
      <x:c r="A1024" t="n">
        <x:v>1021</x:v>
      </x:c>
      <x:c r="B1024" t="str">
        <x:v>PTN Akademik</x:v>
      </x:c>
      <x:c r="C1024" t="str">
        <x:v>UNIVERSITAS NEGERI JAKARTA</x:v>
      </x:c>
      <x:c r="D1024" t="str">
        <x:v>BIOLOGI</x:v>
      </x:c>
      <x:c r="E1024" t="str">
        <x:v>Sarjana</x:v>
      </x:c>
      <x:c r="F1024" s="18" t="n">
        <x:v>36</x:v>
      </x:c>
      <x:c r="G1024" s="18" t="n">
        <x:v>310</x:v>
      </x:c>
      <x:c r="H1024" s="19" t="n">
        <x:v>8.61111111111111</x:v>
      </x:c>
      <x:c r="I1024" s="18" t="n">
        <x:f>ROUND(MIN(Model_Config_v3!$B$6,MAX(Q1024,R1024,S1024*Model_Config_v3!$B$4+T1024*Model_Config_v3!$B$5)),0)</x:f>
        <x:v>664</x:v>
      </x:c>
      <x:c r="J1024" s="18" t="n">
        <x:f>MIN(Model_Config_v3!$B$6,I1024+Model_Config_v3!$B$7)</x:f>
        <x:v>684</x:v>
      </x:c>
      <x:c r="K1024" s="20" t="n">
        <x:v>60.7</x:v>
      </x:c>
      <x:c r="L1024" t="str">
        <x:v>KETAT</x:v>
      </x:c>
      <x:c r="M1024" t="str">
        <x:v>SEDANG+</x:v>
      </x:c>
      <x:c r="N1024" t="str">
        <x:v>ELITE-3</x:v>
      </x:c>
      <x:c r="O1024" t="str">
        <x:v>SAINTEK</x:v>
      </x:c>
      <x:c r="P1024" t="str">
        <x:v>SAINS DASAR</x:v>
      </x:c>
      <x:c r="Q1024" s="18" t="n">
        <x:v>620</x:v>
      </x:c>
      <x:c r="R1024" s="18" t="n">
        <x:v>0</x:v>
      </x:c>
      <x:c r="S1024" s="18" t="n">
        <x:v>622.8565112373684</x:v>
      </x:c>
      <x:c r="T1024" s="18" t="n">
        <x:v>681</x:v>
      </x:c>
      <x:c r="U1024" s="18" t="n">
        <x:v>622.8565112373684</x:v>
      </x:c>
      <x:c r="V1024" s="20" t="n">
        <x:v>12</x:v>
      </x:c>
      <x:c r="W1024" s="20" t="n">
        <x:v>5</x:v>
      </x:c>
      <x:c r="X1024" s="20" t="n">
        <x:v>3</x:v>
      </x:c>
      <x:c r="Y1024" t="str">
        <x:v>Basis arsip 2025/2024</x:v>
      </x:c>
      <x:c r="Z1024" t="str">
        <x:v>https://snpmb.id/utbk-snbt/daya-tampung-snbt</x:v>
      </x:c>
      <x:c r="AA1024" t="str">
        <x:v>Tidak Ada</x:v>
      </x:c>
      <x:c r="AB1024" t="str">
        <x:v>Campus=80; Ratio=55.0; Prodi=50; RelDemand=19.7; Capacity=70.0</x:v>
      </x:c>
    </x:row>
    <x:row r="1025">
      <x:c r="A1025" t="n">
        <x:v>1022</x:v>
      </x:c>
      <x:c r="B1025" t="str">
        <x:v>PTN Akademik</x:v>
      </x:c>
      <x:c r="C1025" t="str">
        <x:v>UNIVERSITAS NEGERI JAKARTA</x:v>
      </x:c>
      <x:c r="D1025" t="str">
        <x:v>PENDIDIKAN VOKASIONAL TEKNIK ELEKTRO</x:v>
      </x:c>
      <x:c r="E1025" t="str">
        <x:v>Sarjana</x:v>
      </x:c>
      <x:c r="F1025" s="18" t="n">
        <x:v>33</x:v>
      </x:c>
      <x:c r="G1025" s="18" t="n">
        <x:v>249</x:v>
      </x:c>
      <x:c r="H1025" s="19" t="n">
        <x:v>7.545454545454546</x:v>
      </x:c>
      <x:c r="I1025" s="18" t="n">
        <x:f>ROUND(MIN(Model_Config_v3!$B$6,MAX(Q1025,R1025,S1025*Model_Config_v3!$B$4+T1025*Model_Config_v3!$B$5)),0)</x:f>
        <x:v>660</x:v>
      </x:c>
      <x:c r="J1025" s="18" t="n">
        <x:f>MIN(Model_Config_v3!$B$6,I1025+Model_Config_v3!$B$7)</x:f>
        <x:v>680</x:v>
      </x:c>
      <x:c r="K1025" s="20" t="n">
        <x:v>58.9</x:v>
      </x:c>
      <x:c r="L1025" t="str">
        <x:v>KETAT</x:v>
      </x:c>
      <x:c r="M1025" t="str">
        <x:v>SEDANG+</x:v>
      </x:c>
      <x:c r="N1025" t="str">
        <x:v>ELITE-3</x:v>
      </x:c>
      <x:c r="O1025" t="str">
        <x:v>SAINTEK</x:v>
      </x:c>
      <x:c r="P1025" t="str">
        <x:v>PENDIDIKAN</x:v>
      </x:c>
      <x:c r="Q1025" s="18" t="n">
        <x:v>620</x:v>
      </x:c>
      <x:c r="R1025" s="18" t="n">
        <x:v>0</x:v>
      </x:c>
      <x:c r="S1025" s="18" t="n">
        <x:v>616.5453947939634</x:v>
      </x:c>
      <x:c r="T1025" s="18" t="n">
        <x:v>678</x:v>
      </x:c>
      <x:c r="U1025" s="18" t="n">
        <x:v>626.5453947939634</x:v>
      </x:c>
      <x:c r="V1025" s="20" t="n">
        <x:v>12</x:v>
      </x:c>
      <x:c r="W1025" s="20" t="n">
        <x:v>5</x:v>
      </x:c>
      <x:c r="X1025" s="20" t="n">
        <x:v>3</x:v>
      </x:c>
      <x:c r="Y1025" t="str">
        <x:v>Basis arsip 2025/2024</x:v>
      </x:c>
      <x:c r="Z1025" t="str">
        <x:v>https://snpmb.id/utbk-snbt/daya-tampung-snbt</x:v>
      </x:c>
      <x:c r="AA1025" t="str">
        <x:v>Tidak Ada</x:v>
      </x:c>
      <x:c r="AB1025" t="str">
        <x:v>Campus=80; Ratio=51.7; Prodi=45; RelDemand=17.3; Capacity=72.5</x:v>
      </x:c>
    </x:row>
    <x:row r="1026">
      <x:c r="A1026" t="n">
        <x:v>1023</x:v>
      </x:c>
      <x:c r="B1026" t="str">
        <x:v>PTN Akademik</x:v>
      </x:c>
      <x:c r="C1026" t="str">
        <x:v>UNIVERSITAS NEGERI JAKARTA</x:v>
      </x:c>
      <x:c r="D1026" t="str">
        <x:v>PENDIDIKAN VOKASIONAL TEKNIK MESIN</x:v>
      </x:c>
      <x:c r="E1026" t="str">
        <x:v>Sarjana</x:v>
      </x:c>
      <x:c r="F1026" s="18" t="n">
        <x:v>36</x:v>
      </x:c>
      <x:c r="G1026" s="18" t="n">
        <x:v>158</x:v>
      </x:c>
      <x:c r="H1026" s="19" t="n">
        <x:v>4.388888888888889</x:v>
      </x:c>
      <x:c r="I1026" s="18" t="n">
        <x:f>ROUND(MIN(Model_Config_v3!$B$6,MAX(Q1026,R1026,S1026*Model_Config_v3!$B$4+T1026*Model_Config_v3!$B$5)),0)</x:f>
        <x:v>645</x:v>
      </x:c>
      <x:c r="J1026" s="18" t="n">
        <x:f>MIN(Model_Config_v3!$B$6,I1026+Model_Config_v3!$B$7)</x:f>
        <x:v>665</x:v>
      </x:c>
      <x:c r="K1026" s="20" t="n">
        <x:v>54.5</x:v>
      </x:c>
      <x:c r="L1026" t="str">
        <x:v>MENENGAH</x:v>
      </x:c>
      <x:c r="M1026" t="str">
        <x:v>SEDANG+</x:v>
      </x:c>
      <x:c r="N1026" t="str">
        <x:v>ELITE-3</x:v>
      </x:c>
      <x:c r="O1026" t="str">
        <x:v>SAINTEK</x:v>
      </x:c>
      <x:c r="P1026" t="str">
        <x:v>PENDIDIKAN</x:v>
      </x:c>
      <x:c r="Q1026" s="18" t="n">
        <x:v>620</x:v>
      </x:c>
      <x:c r="R1026" s="18" t="n">
        <x:v>0</x:v>
      </x:c>
      <x:c r="S1026" s="18" t="n">
        <x:v>590.6590044805848</x:v>
      </x:c>
      <x:c r="T1026" s="18" t="n">
        <x:v>669</x:v>
      </x:c>
      <x:c r="U1026" s="18" t="n">
        <x:v>620</x:v>
      </x:c>
      <x:c r="V1026" s="20" t="n">
        <x:v>12</x:v>
      </x:c>
      <x:c r="W1026" s="20" t="n">
        <x:v>5</x:v>
      </x:c>
      <x:c r="X1026" s="20" t="n">
        <x:v>3</x:v>
      </x:c>
      <x:c r="Y1026" t="str">
        <x:v>Basis arsip 2025/2024</x:v>
      </x:c>
      <x:c r="Z1026" t="str">
        <x:v>https://snpmb.id/utbk-snbt/daya-tampung-snbt</x:v>
      </x:c>
      <x:c r="AA1026" t="str">
        <x:v>Tidak Ada</x:v>
      </x:c>
      <x:c r="AB1026" t="str">
        <x:v>Campus=80; Ratio=37.8; Prodi=45; RelDemand=10.1; Capacity=70.0</x:v>
      </x:c>
    </x:row>
    <x:row r="1027">
      <x:c r="A1027" t="n">
        <x:v>1024</x:v>
      </x:c>
      <x:c r="B1027" t="str">
        <x:v>PTN Akademik</x:v>
      </x:c>
      <x:c r="C1027" t="str">
        <x:v>UNIVERSITAS NEGERI JAKARTA</x:v>
      </x:c>
      <x:c r="D1027" t="str">
        <x:v>PENDIDIKAN VOKASIONAL KONSTRUKSI BANGUNAN</x:v>
      </x:c>
      <x:c r="E1027" t="str">
        <x:v>Sarjana</x:v>
      </x:c>
      <x:c r="F1027" s="18" t="n">
        <x:v>33</x:v>
      </x:c>
      <x:c r="G1027" s="18" t="n">
        <x:v>159</x:v>
      </x:c>
      <x:c r="H1027" s="19" t="n">
        <x:v>4.818181818181818</x:v>
      </x:c>
      <x:c r="I1027" s="18" t="n">
        <x:f>ROUND(MIN(Model_Config_v3!$B$6,MAX(Q1027,R1027,S1027*Model_Config_v3!$B$4+T1027*Model_Config_v3!$B$5)),0)</x:f>
        <x:v>648</x:v>
      </x:c>
      <x:c r="J1027" s="18" t="n">
        <x:f>MIN(Model_Config_v3!$B$6,I1027+Model_Config_v3!$B$7)</x:f>
        <x:v>668</x:v>
      </x:c>
      <x:c r="K1027" s="20" t="n">
        <x:v>55.4</x:v>
      </x:c>
      <x:c r="L1027" t="str">
        <x:v>KETAT</x:v>
      </x:c>
      <x:c r="M1027" t="str">
        <x:v>SEDANG+</x:v>
      </x:c>
      <x:c r="N1027" t="str">
        <x:v>ELITE-3</x:v>
      </x:c>
      <x:c r="O1027" t="str">
        <x:v>CAMPURAN</x:v>
      </x:c>
      <x:c r="P1027" t="str">
        <x:v>PENDIDIKAN</x:v>
      </x:c>
      <x:c r="Q1027" s="18" t="n">
        <x:v>620</x:v>
      </x:c>
      <x:c r="R1027" s="18" t="n">
        <x:v>0</x:v>
      </x:c>
      <x:c r="S1027" s="18" t="n">
        <x:v>595.1171502886821</x:v>
      </x:c>
      <x:c r="T1027" s="18" t="n">
        <x:v>671</x:v>
      </x:c>
      <x:c r="U1027" s="18" t="n">
        <x:v>620</x:v>
      </x:c>
      <x:c r="V1027" s="20" t="n">
        <x:v>8.8</x:v>
      </x:c>
      <x:c r="W1027" s="20" t="n">
        <x:v>9.9</x:v>
      </x:c>
      <x:c r="X1027" s="20" t="n">
        <x:v>3.3</x:v>
      </x:c>
      <x:c r="Y1027" t="str">
        <x:v>Basis arsip 2025/2024</x:v>
      </x:c>
      <x:c r="Z1027" t="str">
        <x:v>https://snpmb.id/utbk-snbt/daya-tampung-snbt</x:v>
      </x:c>
      <x:c r="AA1027" t="str">
        <x:v>Tidak Ada</x:v>
      </x:c>
      <x:c r="AB1027" t="str">
        <x:v>Campus=80; Ratio=40.2; Prodi=45; RelDemand=11.0; Capacity=72.5</x:v>
      </x:c>
    </x:row>
    <x:row r="1028">
      <x:c r="A1028" t="n">
        <x:v>1025</x:v>
      </x:c>
      <x:c r="B1028" t="str">
        <x:v>PTN Akademik</x:v>
      </x:c>
      <x:c r="C1028" t="str">
        <x:v>UNIVERSITAS NEGERI JAKARTA</x:v>
      </x:c>
      <x:c r="D1028" t="str">
        <x:v>ILMU KEOLAHRAGAAN</x:v>
      </x:c>
      <x:c r="E1028" t="str">
        <x:v>Sarjana</x:v>
      </x:c>
      <x:c r="F1028" s="18" t="n">
        <x:v>36</x:v>
      </x:c>
      <x:c r="G1028" s="18" t="n">
        <x:v>291</x:v>
      </x:c>
      <x:c r="H1028" s="19" t="n">
        <x:v>8.083333333333334</x:v>
      </x:c>
      <x:c r="I1028" s="18" t="n">
        <x:f>ROUND(MIN(Model_Config_v3!$B$6,MAX(Q1028,R1028,S1028*Model_Config_v3!$B$4+T1028*Model_Config_v3!$B$5)),0)</x:f>
        <x:v>661</x:v>
      </x:c>
      <x:c r="J1028" s="18" t="n">
        <x:f>MIN(Model_Config_v3!$B$6,I1028+Model_Config_v3!$B$7)</x:f>
        <x:v>681</x:v>
      </x:c>
      <x:c r="K1028" s="20" t="n">
        <x:v>59.2</x:v>
      </x:c>
      <x:c r="L1028" t="str">
        <x:v>KETAT</x:v>
      </x:c>
      <x:c r="M1028" t="str">
        <x:v>PORTOFOLIO</x:v>
      </x:c>
      <x:c r="N1028" t="str">
        <x:v>ELITE-3</x:v>
      </x:c>
      <x:c r="O1028" t="str">
        <x:v>SENI/OLAHRAGA</x:v>
      </x:c>
      <x:c r="P1028" t="str">
        <x:v>SENI/OLAHRAGA</x:v>
      </x:c>
      <x:c r="Q1028" s="18" t="n">
        <x:v>620</x:v>
      </x:c>
      <x:c r="R1028" s="18" t="n">
        <x:v>0</x:v>
      </x:c>
      <x:c r="S1028" s="18" t="n">
        <x:v>619.8349537040482</x:v>
      </x:c>
      <x:c r="T1028" s="18" t="n">
        <x:v>678</x:v>
      </x:c>
      <x:c r="U1028" s="18" t="n">
        <x:v>620</x:v>
      </x:c>
      <x:c r="V1028" s="20" t="n">
        <x:v>4.4</x:v>
      </x:c>
      <x:c r="W1028" s="20" t="n">
        <x:v>9.9</x:v>
      </x:c>
      <x:c r="X1028" s="20" t="n">
        <x:v>7.7</x:v>
      </x:c>
      <x:c r="Y1028" t="str">
        <x:v>Basis arsip 2025/2024</x:v>
      </x:c>
      <x:c r="Z1028" t="str">
        <x:v>https://snpmb.id/utbk-snbt/daya-tampung-snbt</x:v>
      </x:c>
      <x:c r="AA1028" t="str">
        <x:v>Olahraga</x:v>
      </x:c>
      <x:c r="AB1028" t="str">
        <x:v>Campus=80; Ratio=53.4; Prodi=45; RelDemand=18.5; Capacity=70.0</x:v>
      </x:c>
    </x:row>
    <x:row r="1029">
      <x:c r="A1029" t="n">
        <x:v>1026</x:v>
      </x:c>
      <x:c r="B1029" t="str">
        <x:v>PTN Akademik</x:v>
      </x:c>
      <x:c r="C1029" t="str">
        <x:v>UNIVERSITAS NEGERI JAKARTA</x:v>
      </x:c>
      <x:c r="D1029" t="str">
        <x:v>PENDIDIKAN INFORMATIKA</x:v>
      </x:c>
      <x:c r="E1029" t="str">
        <x:v>Sarjana</x:v>
      </x:c>
      <x:c r="F1029" s="18" t="n">
        <x:v>21</x:v>
      </x:c>
      <x:c r="G1029" s="18" t="n">
        <x:v>554</x:v>
      </x:c>
      <x:c r="H1029" s="19" t="n">
        <x:v>26.38095238095238</x:v>
      </x:c>
      <x:c r="I1029" s="18" t="n">
        <x:f>ROUND(MIN(Model_Config_v3!$B$6,MAX(Q1029,R1029,S1029*Model_Config_v3!$B$4+T1029*Model_Config_v3!$B$5)),0)</x:f>
        <x:v>707</x:v>
      </x:c>
      <x:c r="J1029" s="18" t="n">
        <x:f>MIN(Model_Config_v3!$B$6,I1029+Model_Config_v3!$B$7)</x:f>
        <x:v>727</x:v>
      </x:c>
      <x:c r="K1029" s="20" t="n">
        <x:v>80.2</x:v>
      </x:c>
      <x:c r="L1029" t="str">
        <x:v>ELITE</x:v>
      </x:c>
      <x:c r="M1029" t="str">
        <x:v>SEDANG+</x:v>
      </x:c>
      <x:c r="N1029" t="str">
        <x:v>ELITE-3</x:v>
      </x:c>
      <x:c r="O1029" t="str">
        <x:v>SAINTEK</x:v>
      </x:c>
      <x:c r="P1029" t="str">
        <x:v>KOMPUTER/INFORMATIKA</x:v>
      </x:c>
      <x:c r="Q1029" s="18" t="n">
        <x:v>620</x:v>
      </x:c>
      <x:c r="R1029" s="18" t="n">
        <x:v>675</x:v>
      </x:c>
      <x:c r="S1029" s="18" t="n">
        <x:v>676.3419516993961</x:v>
      </x:c>
      <x:c r="T1029" s="18" t="n">
        <x:v>720</x:v>
      </x:c>
      <x:c r="U1029" s="18" t="n">
        <x:v>701.3419516993961</x:v>
      </x:c>
      <x:c r="V1029" s="20" t="n">
        <x:v>12</x:v>
      </x:c>
      <x:c r="W1029" s="20" t="n">
        <x:v>5</x:v>
      </x:c>
      <x:c r="X1029" s="20" t="n">
        <x:v>3</x:v>
      </x:c>
      <x:c r="Y1029" t="str">
        <x:v>Basis arsip 2025/2024</x:v>
      </x:c>
      <x:c r="Z1029" t="str">
        <x:v>https://snpmb.id/utbk-snbt/daya-tampung-snbt</x:v>
      </x:c>
      <x:c r="AA1029" t="str">
        <x:v>Tidak Ada</x:v>
      </x:c>
      <x:c r="AB1029" t="str">
        <x:v>Campus=80; Ratio=83.7; Prodi=85; RelDemand=60.5; Capacity=82.5</x:v>
      </x:c>
    </x:row>
    <x:row r="1030">
      <x:c r="A1030" t="n">
        <x:v>1027</x:v>
      </x:c>
      <x:c r="B1030" t="str">
        <x:v>PTN Akademik</x:v>
      </x:c>
      <x:c r="C1030" t="str">
        <x:v>UNIVERSITAS NEGERI JAKARTA</x:v>
      </x:c>
      <x:c r="D1030" t="str">
        <x:v>PENDIDIKAN VOKASIONAL TEKNIK ELEKTRONIKA</x:v>
      </x:c>
      <x:c r="E1030" t="str">
        <x:v>Sarjana</x:v>
      </x:c>
      <x:c r="F1030" s="18" t="n">
        <x:v>24</x:v>
      </x:c>
      <x:c r="G1030" s="18" t="n">
        <x:v>127</x:v>
      </x:c>
      <x:c r="H1030" s="19" t="n">
        <x:v>5.291666666666667</x:v>
      </x:c>
      <x:c r="I1030" s="18" t="n">
        <x:f>ROUND(MIN(Model_Config_v3!$B$6,MAX(Q1030,R1030,S1030*Model_Config_v3!$B$4+T1030*Model_Config_v3!$B$5)),0)</x:f>
        <x:v>652</x:v>
      </x:c>
      <x:c r="J1030" s="18" t="n">
        <x:f>MIN(Model_Config_v3!$B$6,I1030+Model_Config_v3!$B$7)</x:f>
        <x:v>672</x:v>
      </x:c>
      <x:c r="K1030" s="20" t="n">
        <x:v>56.9</x:v>
      </x:c>
      <x:c r="L1030" t="str">
        <x:v>KETAT</x:v>
      </x:c>
      <x:c r="M1030" t="str">
        <x:v>SEDANG+</x:v>
      </x:c>
      <x:c r="N1030" t="str">
        <x:v>ELITE-3</x:v>
      </x:c>
      <x:c r="O1030" t="str">
        <x:v>SAINTEK</x:v>
      </x:c>
      <x:c r="P1030" t="str">
        <x:v>PENDIDIKAN</x:v>
      </x:c>
      <x:c r="Q1030" s="18" t="n">
        <x:v>620</x:v>
      </x:c>
      <x:c r="R1030" s="18" t="n">
        <x:v>0</x:v>
      </x:c>
      <x:c r="S1030" s="18" t="n">
        <x:v>599.5951727168786</x:v>
      </x:c>
      <x:c r="T1030" s="18" t="n">
        <x:v>674</x:v>
      </x:c>
      <x:c r="U1030" s="18" t="n">
        <x:v>620</x:v>
      </x:c>
      <x:c r="V1030" s="20" t="n">
        <x:v>12</x:v>
      </x:c>
      <x:c r="W1030" s="20" t="n">
        <x:v>5</x:v>
      </x:c>
      <x:c r="X1030" s="20" t="n">
        <x:v>3</x:v>
      </x:c>
      <x:c r="Y1030" t="str">
        <x:v>Basis arsip 2025/2024</x:v>
      </x:c>
      <x:c r="Z1030" t="str">
        <x:v>https://snpmb.id/utbk-snbt/daya-tampung-snbt</x:v>
      </x:c>
      <x:c r="AA1030" t="str">
        <x:v>Tidak Ada</x:v>
      </x:c>
      <x:c r="AB1030" t="str">
        <x:v>Campus=80; Ratio=42.6; Prodi=45; RelDemand=12.1; Capacity=80.0</x:v>
      </x:c>
    </x:row>
    <x:row r="1031">
      <x:c r="A1031" t="n">
        <x:v>1028</x:v>
      </x:c>
      <x:c r="B1031" t="str">
        <x:v>PTN Akademik</x:v>
      </x:c>
      <x:c r="C1031" t="str">
        <x:v>UNIVERSITAS NEGERI JAKARTA</x:v>
      </x:c>
      <x:c r="D1031" t="str">
        <x:v>ILMU KOMPUTER</x:v>
      </x:c>
      <x:c r="E1031" t="str">
        <x:v>Sarjana</x:v>
      </x:c>
      <x:c r="F1031" s="18" t="n">
        <x:v>33</x:v>
      </x:c>
      <x:c r="G1031" s="18" t="n">
        <x:v>1635</x:v>
      </x:c>
      <x:c r="H1031" s="19" t="n">
        <x:v>49.54545454545455</x:v>
      </x:c>
      <x:c r="I1031" s="18" t="n">
        <x:f>ROUND(MIN(Model_Config_v3!$B$6,MAX(Q1031,R1031,S1031*Model_Config_v3!$B$4+T1031*Model_Config_v3!$B$5)),0)</x:f>
        <x:v>726</x:v>
      </x:c>
      <x:c r="J1031" s="18" t="n">
        <x:f>MIN(Model_Config_v3!$B$6,I1031+Model_Config_v3!$B$7)</x:f>
        <x:v>746</x:v>
      </x:c>
      <x:c r="K1031" s="20" t="n">
        <x:v>87.2</x:v>
      </x:c>
      <x:c r="L1031" t="str">
        <x:v>ULTRA ELITE</x:v>
      </x:c>
      <x:c r="M1031" t="str">
        <x:v>SEDANG+</x:v>
      </x:c>
      <x:c r="N1031" t="str">
        <x:v>ELITE-3</x:v>
      </x:c>
      <x:c r="O1031" t="str">
        <x:v>SAINTEK</x:v>
      </x:c>
      <x:c r="P1031" t="str">
        <x:v>KOMPUTER/INFORMATIKA</x:v>
      </x:c>
      <x:c r="Q1031" s="18" t="n">
        <x:v>620</x:v>
      </x:c>
      <x:c r="R1031" s="18" t="n">
        <x:v>675</x:v>
      </x:c>
      <x:c r="S1031" s="18" t="n">
        <x:v>706.4504198830259</x:v>
      </x:c>
      <x:c r="T1031" s="18" t="n">
        <x:v>734</x:v>
      </x:c>
      <x:c r="U1031" s="18" t="n">
        <x:v>731.4504198830259</x:v>
      </x:c>
      <x:c r="V1031" s="20" t="n">
        <x:v>12</x:v>
      </x:c>
      <x:c r="W1031" s="20" t="n">
        <x:v>5</x:v>
      </x:c>
      <x:c r="X1031" s="20" t="n">
        <x:v>3</x:v>
      </x:c>
      <x:c r="Y1031" t="str">
        <x:v>Basis arsip 2025/2024</x:v>
      </x:c>
      <x:c r="Z1031" t="str">
        <x:v>https://snpmb.id/utbk-snbt/daya-tampung-snbt</x:v>
      </x:c>
      <x:c r="AA1031" t="str">
        <x:v>Tidak Ada</x:v>
      </x:c>
      <x:c r="AB1031" t="str">
        <x:v>Campus=80; Ratio=99.8; Prodi=85; RelDemand=100.0; Capacity=72.5</x:v>
      </x:c>
    </x:row>
    <x:row r="1032">
      <x:c r="A1032" t="n">
        <x:v>1029</x:v>
      </x:c>
      <x:c r="B1032" t="str">
        <x:v>PTN Akademik</x:v>
      </x:c>
      <x:c r="C1032" t="str">
        <x:v>UNIVERSITAS NEGERI JAKARTA</x:v>
      </x:c>
      <x:c r="D1032" t="str">
        <x:v>STATISTIKA</x:v>
      </x:c>
      <x:c r="E1032" t="str">
        <x:v>Sarjana</x:v>
      </x:c>
      <x:c r="F1032" s="18" t="n">
        <x:v>30</x:v>
      </x:c>
      <x:c r="G1032" s="18" t="n">
        <x:v>439</x:v>
      </x:c>
      <x:c r="H1032" s="19" t="n">
        <x:v>14.633333333333333</x:v>
      </x:c>
      <x:c r="I1032" s="18" t="n">
        <x:f>ROUND(MIN(Model_Config_v3!$B$6,MAX(Q1032,R1032,S1032*Model_Config_v3!$B$4+T1032*Model_Config_v3!$B$5)),0)</x:f>
        <x:v>682</x:v>
      </x:c>
      <x:c r="J1032" s="18" t="n">
        <x:f>MIN(Model_Config_v3!$B$6,I1032+Model_Config_v3!$B$7)</x:f>
        <x:v>702</x:v>
      </x:c>
      <x:c r="K1032" s="20" t="n">
        <x:v>68</x:v>
      </x:c>
      <x:c r="L1032" t="str">
        <x:v>SANGAT KETAT</x:v>
      </x:c>
      <x:c r="M1032" t="str">
        <x:v>SEDANG+</x:v>
      </x:c>
      <x:c r="N1032" t="str">
        <x:v>ELITE-3</x:v>
      </x:c>
      <x:c r="O1032" t="str">
        <x:v>SAINTEK</x:v>
      </x:c>
      <x:c r="P1032" t="str">
        <x:v>TEKNIK/ARSITEKTUR/STATISTIKA/AKTUARIA</x:v>
      </x:c>
      <x:c r="Q1032" s="18" t="n">
        <x:v>620</x:v>
      </x:c>
      <x:c r="R1032" s="18" t="n">
        <x:v>0</x:v>
      </x:c>
      <x:c r="S1032" s="18" t="n">
        <x:v>648.1877592074704</x:v>
      </x:c>
      <x:c r="T1032" s="18" t="n">
        <x:v>696</x:v>
      </x:c>
      <x:c r="U1032" s="18" t="n">
        <x:v>658.1877592074704</x:v>
      </x:c>
      <x:c r="V1032" s="20" t="n">
        <x:v>12</x:v>
      </x:c>
      <x:c r="W1032" s="20" t="n">
        <x:v>5</x:v>
      </x:c>
      <x:c r="X1032" s="20" t="n">
        <x:v>3</x:v>
      </x:c>
      <x:c r="Y1032" t="str">
        <x:v>Basis arsip 2025/2024</x:v>
      </x:c>
      <x:c r="Z1032" t="str">
        <x:v>https://snpmb.id/utbk-snbt/daya-tampung-snbt</x:v>
      </x:c>
      <x:c r="AA1032" t="str">
        <x:v>Tidak Ada</x:v>
      </x:c>
      <x:c r="AB1032" t="str">
        <x:v>Campus=80; Ratio=68.6; Prodi=60; RelDemand=33.6; Capacity=75.0</x:v>
      </x:c>
    </x:row>
    <x:row r="1033">
      <x:c r="A1033" t="n">
        <x:v>1030</x:v>
      </x:c>
      <x:c r="B1033" t="str">
        <x:v>PTN Akademik</x:v>
      </x:c>
      <x:c r="C1033" t="str">
        <x:v>UNIVERSITAS NEGERI JAKARTA</x:v>
      </x:c>
      <x:c r="D1033" t="str">
        <x:v>REKAYASA KESELAMATAN KEBAKARAN</x:v>
      </x:c>
      <x:c r="E1033" t="str">
        <x:v>Sarjana</x:v>
      </x:c>
      <x:c r="F1033" s="18" t="n">
        <x:v>18</x:v>
      </x:c>
      <x:c r="G1033" s="18" t="n">
        <x:v>431</x:v>
      </x:c>
      <x:c r="H1033" s="19" t="n">
        <x:v>23.944444444444443</x:v>
      </x:c>
      <x:c r="I1033" s="18" t="n">
        <x:f>ROUND(MIN(Model_Config_v3!$B$6,MAX(Q1033,R1033,S1033*Model_Config_v3!$B$4+T1033*Model_Config_v3!$B$5)),0)</x:f>
        <x:v>692</x:v>
      </x:c>
      <x:c r="J1033" s="18" t="n">
        <x:f>MIN(Model_Config_v3!$B$6,I1033+Model_Config_v3!$B$7)</x:f>
        <x:v>712</x:v>
      </x:c>
      <x:c r="K1033" s="20" t="n">
        <x:v>70.3</x:v>
      </x:c>
      <x:c r="L1033" t="str">
        <x:v>SANGAT KETAT</x:v>
      </x:c>
      <x:c r="M1033" t="str">
        <x:v>SEDANG+</x:v>
      </x:c>
      <x:c r="N1033" t="str">
        <x:v>ELITE-3</x:v>
      </x:c>
      <x:c r="O1033" t="str">
        <x:v>CAMPURAN</x:v>
      </x:c>
      <x:c r="P1033" t="str">
        <x:v>UMUM</x:v>
      </x:c>
      <x:c r="Q1033" s="18" t="n">
        <x:v>620</x:v>
      </x:c>
      <x:c r="R1033" s="18" t="n">
        <x:v>0</x:v>
      </x:c>
      <x:c r="S1033" s="18" t="n">
        <x:v>671.7125241563168</x:v>
      </x:c>
      <x:c r="T1033" s="18" t="n">
        <x:v>701</x:v>
      </x:c>
      <x:c r="U1033" s="18" t="n">
        <x:v>671.7125241563168</x:v>
      </x:c>
      <x:c r="V1033" s="20" t="n">
        <x:v>8.8</x:v>
      </x:c>
      <x:c r="W1033" s="20" t="n">
        <x:v>9.9</x:v>
      </x:c>
      <x:c r="X1033" s="20" t="n">
        <x:v>3.3</x:v>
      </x:c>
      <x:c r="Y1033" t="str">
        <x:v>Basis arsip 2025/2024</x:v>
      </x:c>
      <x:c r="Z1033" t="str">
        <x:v>https://snpmb.id/utbk-snbt/daya-tampung-snbt</x:v>
      </x:c>
      <x:c r="AA1033" t="str">
        <x:v>Tidak Ada</x:v>
      </x:c>
      <x:c r="AB1033" t="str">
        <x:v>Campus=80; Ratio=81.2; Prodi=40; RelDemand=54.9; Capacity=85.0</x:v>
      </x:c>
    </x:row>
    <x:row r="1034">
      <x:c r="A1034" t="n">
        <x:v>1031</x:v>
      </x:c>
      <x:c r="B1034" t="str">
        <x:v>PTN Akademik</x:v>
      </x:c>
      <x:c r="C1034" t="str">
        <x:v>UNIVERSITAS NEGERI JAKARTA</x:v>
      </x:c>
      <x:c r="D1034" t="str">
        <x:v>TEKNIK MESIN</x:v>
      </x:c>
      <x:c r="E1034" t="str">
        <x:v>Sarjana</x:v>
      </x:c>
      <x:c r="F1034" s="18" t="n">
        <x:v>27</x:v>
      </x:c>
      <x:c r="G1034" s="18" t="n">
        <x:v>804</x:v>
      </x:c>
      <x:c r="H1034" s="19" t="n">
        <x:v>29.77777777777778</x:v>
      </x:c>
      <x:c r="I1034" s="18" t="n">
        <x:f>ROUND(MIN(Model_Config_v3!$B$6,MAX(Q1034,R1034,S1034*Model_Config_v3!$B$4+T1034*Model_Config_v3!$B$5)),0)</x:f>
        <x:v>704</x:v>
      </x:c>
      <x:c r="J1034" s="18" t="n">
        <x:f>MIN(Model_Config_v3!$B$6,I1034+Model_Config_v3!$B$7)</x:f>
        <x:v>724</x:v>
      </x:c>
      <x:c r="K1034" s="20" t="n">
        <x:v>76.3</x:v>
      </x:c>
      <x:c r="L1034" t="str">
        <x:v>ELITE</x:v>
      </x:c>
      <x:c r="M1034" t="str">
        <x:v>SEDANG+</x:v>
      </x:c>
      <x:c r="N1034" t="str">
        <x:v>ELITE-3</x:v>
      </x:c>
      <x:c r="O1034" t="str">
        <x:v>SAINTEK</x:v>
      </x:c>
      <x:c r="P1034" t="str">
        <x:v>TEKNIK/ARSITEKTUR/STATISTIKA/AKTUARIA</x:v>
      </x:c>
      <x:c r="Q1034" s="18" t="n">
        <x:v>620</x:v>
      </x:c>
      <x:c r="R1034" s="18" t="n">
        <x:v>0</x:v>
      </x:c>
      <x:c r="S1034" s="18" t="n">
        <x:v>682.128151304841</x:v>
      </x:c>
      <x:c r="T1034" s="18" t="n">
        <x:v>713</x:v>
      </x:c>
      <x:c r="U1034" s="18" t="n">
        <x:v>692.128151304841</x:v>
      </x:c>
      <x:c r="V1034" s="20" t="n">
        <x:v>12</x:v>
      </x:c>
      <x:c r="W1034" s="20" t="n">
        <x:v>5</x:v>
      </x:c>
      <x:c r="X1034" s="20" t="n">
        <x:v>3</x:v>
      </x:c>
      <x:c r="Y1034" t="str">
        <x:v>Basis arsip 2025/2024</x:v>
      </x:c>
      <x:c r="Z1034" t="str">
        <x:v>https://snpmb.id/utbk-snbt/daya-tampung-snbt</x:v>
      </x:c>
      <x:c r="AA1034" t="str">
        <x:v>Tidak Ada</x:v>
      </x:c>
      <x:c r="AB1034" t="str">
        <x:v>Campus=80; Ratio=86.8; Prodi=60; RelDemand=68.3; Capacity=77.5</x:v>
      </x:c>
    </x:row>
    <x:row r="1035">
      <x:c r="A1035" t="n">
        <x:v>1032</x:v>
      </x:c>
      <x:c r="B1035" t="str">
        <x:v>PTN Akademik</x:v>
      </x:c>
      <x:c r="C1035" t="str">
        <x:v>UNIVERSITAS NEGERI JAKARTA</x:v>
      </x:c>
      <x:c r="D1035" t="str">
        <x:v>SISTEM DAN TEKNOLOGI INFORMASI</x:v>
      </x:c>
      <x:c r="E1035" t="str">
        <x:v>Sarjana</x:v>
      </x:c>
      <x:c r="F1035" s="18" t="n">
        <x:v>18</x:v>
      </x:c>
      <x:c r="G1035" s="18" t="n">
        <x:v>1320</x:v>
      </x:c>
      <x:c r="H1035" s="19" t="n">
        <x:v>73.33333333333333</x:v>
      </x:c>
      <x:c r="I1035" s="18" t="n">
        <x:f>ROUND(MIN(Model_Config_v3!$B$6,MAX(Q1035,R1035,S1035*Model_Config_v3!$B$4+T1035*Model_Config_v3!$B$5)),0)</x:f>
        <x:v>721</x:v>
      </x:c>
      <x:c r="J1035" s="18" t="n">
        <x:f>MIN(Model_Config_v3!$B$6,I1035+Model_Config_v3!$B$7)</x:f>
        <x:v>741</x:v>
      </x:c>
      <x:c r="K1035" s="20" t="n">
        <x:v>79.5</x:v>
      </x:c>
      <x:c r="L1035" t="str">
        <x:v>ELITE</x:v>
      </x:c>
      <x:c r="M1035" t="str">
        <x:v>SEDANG+</x:v>
      </x:c>
      <x:c r="N1035" t="str">
        <x:v>ELITE-3</x:v>
      </x:c>
      <x:c r="O1035" t="str">
        <x:v>SAINTEK</x:v>
      </x:c>
      <x:c r="P1035" t="str">
        <x:v>UMUM</x:v>
      </x:c>
      <x:c r="Q1035" s="18" t="n">
        <x:v>620</x:v>
      </x:c>
      <x:c r="R1035" s="18" t="n">
        <x:v>0</x:v>
      </x:c>
      <x:c r="S1035" s="18" t="n">
        <x:v>725.1831568712798</x:v>
      </x:c>
      <x:c r="T1035" s="18" t="n">
        <x:v>719</x:v>
      </x:c>
      <x:c r="U1035" s="18" t="n">
        <x:v>725.1831568712798</x:v>
      </x:c>
      <x:c r="V1035" s="20" t="n">
        <x:v>12</x:v>
      </x:c>
      <x:c r="W1035" s="20" t="n">
        <x:v>5</x:v>
      </x:c>
      <x:c r="X1035" s="20" t="n">
        <x:v>3</x:v>
      </x:c>
      <x:c r="Y1035" t="str">
        <x:v>Basis arsip 2025/2024</x:v>
      </x:c>
      <x:c r="Z1035" t="str">
        <x:v>https://snpmb.id/utbk-snbt/daya-tampung-snbt</x:v>
      </x:c>
      <x:c r="AA1035" t="str">
        <x:v>Tidak Ada</x:v>
      </x:c>
      <x:c r="AB1035" t="str">
        <x:v>Campus=80; Ratio=100.0; Prodi=40; RelDemand=100.0; Capacity=85.0</x:v>
      </x:c>
    </x:row>
    <x:row r="1036">
      <x:c r="A1036" t="n">
        <x:v>1033</x:v>
      </x:c>
      <x:c r="B1036" t="str">
        <x:v>PTN Akademik</x:v>
      </x:c>
      <x:c r="C1036" t="str">
        <x:v>UNIVERSITAS NEGERI JAKARTA</x:v>
      </x:c>
      <x:c r="D1036" t="str">
        <x:v>TEKNOLOGI PENDIDIKAN</x:v>
      </x:c>
      <x:c r="E1036" t="str">
        <x:v>Sarjana</x:v>
      </x:c>
      <x:c r="F1036" s="18" t="n">
        <x:v>36</x:v>
      </x:c>
      <x:c r="G1036" s="18" t="n">
        <x:v>356</x:v>
      </x:c>
      <x:c r="H1036" s="19" t="n">
        <x:v>9.88888888888889</x:v>
      </x:c>
      <x:c r="I1036" s="18" t="n">
        <x:f>ROUND(MIN(Model_Config_v3!$B$6,MAX(Q1036,R1036,S1036*Model_Config_v3!$B$4+T1036*Model_Config_v3!$B$5)),0)</x:f>
        <x:v>665</x:v>
      </x:c>
      <x:c r="J1036" s="18" t="n">
        <x:f>MIN(Model_Config_v3!$B$6,I1036+Model_Config_v3!$B$7)</x:f>
        <x:v>685</x:v>
      </x:c>
      <x:c r="K1036" s="20" t="n">
        <x:v>59.9</x:v>
      </x:c>
      <x:c r="L1036" t="str">
        <x:v>KETAT</x:v>
      </x:c>
      <x:c r="M1036" t="str">
        <x:v>SEDANG+</x:v>
      </x:c>
      <x:c r="N1036" t="str">
        <x:v>ELITE-3</x:v>
      </x:c>
      <x:c r="O1036" t="str">
        <x:v>SAINTEK</x:v>
      </x:c>
      <x:c r="P1036" t="str">
        <x:v>UMUM</x:v>
      </x:c>
      <x:c r="Q1036" s="18" t="n">
        <x:v>620</x:v>
      </x:c>
      <x:c r="R1036" s="18" t="n">
        <x:v>0</x:v>
      </x:c>
      <x:c r="S1036" s="18" t="n">
        <x:v>629.4662246926147</x:v>
      </x:c>
      <x:c r="T1036" s="18" t="n">
        <x:v>680</x:v>
      </x:c>
      <x:c r="U1036" s="18" t="n">
        <x:v>629.4662246926147</x:v>
      </x:c>
      <x:c r="V1036" s="20" t="n">
        <x:v>12</x:v>
      </x:c>
      <x:c r="W1036" s="20" t="n">
        <x:v>5</x:v>
      </x:c>
      <x:c r="X1036" s="20" t="n">
        <x:v>3</x:v>
      </x:c>
      <x:c r="Y1036" t="str">
        <x:v>Basis arsip 2025/2024</x:v>
      </x:c>
      <x:c r="Z1036" t="str">
        <x:v>https://snpmb.id/utbk-snbt/daya-tampung-snbt</x:v>
      </x:c>
      <x:c r="AA1036" t="str">
        <x:v>Tidak Ada</x:v>
      </x:c>
      <x:c r="AB1036" t="str">
        <x:v>Campus=80; Ratio=58.6; Prodi=40; RelDemand=22.7; Capacity=70.0</x:v>
      </x:c>
    </x:row>
    <x:row r="1037">
      <x:c r="A1037" t="n">
        <x:v>1034</x:v>
      </x:c>
      <x:c r="B1037" t="str">
        <x:v>PTN Akademik</x:v>
      </x:c>
      <x:c r="C1037" t="str">
        <x:v>UNIVERSITAS NEGERI JAKARTA</x:v>
      </x:c>
      <x:c r="D1037" t="str">
        <x:v>PENDIDIKAN KHUSUS</x:v>
      </x:c>
      <x:c r="E1037" t="str">
        <x:v>Sarjana</x:v>
      </x:c>
      <x:c r="F1037" s="18" t="n">
        <x:v>45</x:v>
      </x:c>
      <x:c r="G1037" s="18" t="n">
        <x:v>285</x:v>
      </x:c>
      <x:c r="H1037" s="19" t="n">
        <x:v>6.333333333333333</x:v>
      </x:c>
      <x:c r="I1037" s="18" t="n">
        <x:f>ROUND(MIN(Model_Config_v3!$B$6,MAX(Q1037,R1037,S1037*Model_Config_v3!$B$4+T1037*Model_Config_v3!$B$5)),0)</x:f>
        <x:v>654</x:v>
      </x:c>
      <x:c r="J1037" s="18" t="n">
        <x:f>MIN(Model_Config_v3!$B$6,I1037+Model_Config_v3!$B$7)</x:f>
        <x:v>674</x:v>
      </x:c>
      <x:c r="K1037" s="20" t="n">
        <x:v>56.5</x:v>
      </x:c>
      <x:c r="L1037" t="str">
        <x:v>KETAT</x:v>
      </x:c>
      <x:c r="M1037" t="str">
        <x:v>SEDANG+</x:v>
      </x:c>
      <x:c r="N1037" t="str">
        <x:v>ELITE-3</x:v>
      </x:c>
      <x:c r="O1037" t="str">
        <x:v>CAMPURAN</x:v>
      </x:c>
      <x:c r="P1037" t="str">
        <x:v>PENDIDIKAN</x:v>
      </x:c>
      <x:c r="Q1037" s="18" t="n">
        <x:v>620</x:v>
      </x:c>
      <x:c r="R1037" s="18" t="n">
        <x:v>0</x:v>
      </x:c>
      <x:c r="S1037" s="18" t="n">
        <x:v>608.1795580856483</x:v>
      </x:c>
      <x:c r="T1037" s="18" t="n">
        <x:v>673</x:v>
      </x:c>
      <x:c r="U1037" s="18" t="n">
        <x:v>620</x:v>
      </x:c>
      <x:c r="V1037" s="20" t="n">
        <x:v>8.8</x:v>
      </x:c>
      <x:c r="W1037" s="20" t="n">
        <x:v>9.9</x:v>
      </x:c>
      <x:c r="X1037" s="20" t="n">
        <x:v>3.3</x:v>
      </x:c>
      <x:c r="Y1037" t="str">
        <x:v>Basis arsip 2025/2024</x:v>
      </x:c>
      <x:c r="Z1037" t="str">
        <x:v>https://snpmb.id/utbk-snbt/daya-tampung-snbt</x:v>
      </x:c>
      <x:c r="AA1037" t="str">
        <x:v>Tidak Ada</x:v>
      </x:c>
      <x:c r="AB1037" t="str">
        <x:v>Campus=80; Ratio=47.2; Prodi=45; RelDemand=14.5; Capacity=62.5</x:v>
      </x:c>
    </x:row>
    <x:row r="1038">
      <x:c r="A1038" t="n">
        <x:v>1035</x:v>
      </x:c>
      <x:c r="B1038" t="str">
        <x:v>PTN Akademik</x:v>
      </x:c>
      <x:c r="C1038" t="str">
        <x:v>UNIVERSITAS NEGERI JAKARTA</x:v>
      </x:c>
      <x:c r="D1038" t="str">
        <x:v>MANAJEMEN PENDIDIKAN</x:v>
      </x:c>
      <x:c r="E1038" t="str">
        <x:v>Sarjana</x:v>
      </x:c>
      <x:c r="F1038" s="18" t="n">
        <x:v>46</x:v>
      </x:c>
      <x:c r="G1038" s="18" t="n">
        <x:v>574</x:v>
      </x:c>
      <x:c r="H1038" s="19" t="n">
        <x:v>12.478260869565217</x:v>
      </x:c>
      <x:c r="I1038" s="18" t="n">
        <x:f>ROUND(MIN(Model_Config_v3!$B$6,MAX(Q1038,R1038,S1038*Model_Config_v3!$B$4+T1038*Model_Config_v3!$B$5)),0)</x:f>
        <x:v>677</x:v>
      </x:c>
      <x:c r="J1038" s="18" t="n">
        <x:f>MIN(Model_Config_v3!$B$6,I1038+Model_Config_v3!$B$7)</x:f>
        <x:v>697</x:v>
      </x:c>
      <x:c r="K1038" s="20" t="n">
        <x:v>66.2</x:v>
      </x:c>
      <x:c r="L1038" t="str">
        <x:v>SANGAT KETAT</x:v>
      </x:c>
      <x:c r="M1038" t="str">
        <x:v>SEDANG+</x:v>
      </x:c>
      <x:c r="N1038" t="str">
        <x:v>ELITE-3</x:v>
      </x:c>
      <x:c r="O1038" t="str">
        <x:v>SOSHUM</x:v>
      </x:c>
      <x:c r="P1038" t="str">
        <x:v>BISNIS/EKONOMI/AKUNTANSI</x:v>
      </x:c>
      <x:c r="Q1038" s="18" t="n">
        <x:v>620</x:v>
      </x:c>
      <x:c r="R1038" s="18" t="n">
        <x:v>0</x:v>
      </x:c>
      <x:c r="S1038" s="18" t="n">
        <x:v>640.5769466788039</x:v>
      </x:c>
      <x:c r="T1038" s="18" t="n">
        <x:v>692</x:v>
      </x:c>
      <x:c r="U1038" s="18" t="n">
        <x:v>655.5769466788039</x:v>
      </x:c>
      <x:c r="V1038" s="20" t="n">
        <x:v>4.4</x:v>
      </x:c>
      <x:c r="W1038" s="20" t="n">
        <x:v>14.3</x:v>
      </x:c>
      <x:c r="X1038" s="20" t="n">
        <x:v>3.3</x:v>
      </x:c>
      <x:c r="Y1038" t="str">
        <x:v>Basis arsip 2025/2024</x:v>
      </x:c>
      <x:c r="Z1038" t="str">
        <x:v>https://snpmb.id/utbk-snbt/daya-tampung-snbt</x:v>
      </x:c>
      <x:c r="AA1038" t="str">
        <x:v>Tidak Ada</x:v>
      </x:c>
      <x:c r="AB1038" t="str">
        <x:v>Campus=80; Ratio=64.5; Prodi=65; RelDemand=28.6; Capacity=61.7</x:v>
      </x:c>
    </x:row>
    <x:row r="1039">
      <x:c r="A1039" t="n">
        <x:v>1036</x:v>
      </x:c>
      <x:c r="B1039" t="str">
        <x:v>PTN Akademik</x:v>
      </x:c>
      <x:c r="C1039" t="str">
        <x:v>UNIVERSITAS NEGERI JAKARTA</x:v>
      </x:c>
      <x:c r="D1039" t="str">
        <x:v>PENDIDIKAN MASYARAKAT</x:v>
      </x:c>
      <x:c r="E1039" t="str">
        <x:v>Sarjana</x:v>
      </x:c>
      <x:c r="F1039" s="18" t="n">
        <x:v>46</x:v>
      </x:c>
      <x:c r="G1039" s="18" t="n">
        <x:v>396</x:v>
      </x:c>
      <x:c r="H1039" s="19" t="n">
        <x:v>8.608695652173912</x:v>
      </x:c>
      <x:c r="I1039" s="18" t="n">
        <x:f>ROUND(MIN(Model_Config_v3!$B$6,MAX(Q1039,R1039,S1039*Model_Config_v3!$B$4+T1039*Model_Config_v3!$B$5)),0)</x:f>
        <x:v>661</x:v>
      </x:c>
      <x:c r="J1039" s="18" t="n">
        <x:f>MIN(Model_Config_v3!$B$6,I1039+Model_Config_v3!$B$7)</x:f>
        <x:v>681</x:v>
      </x:c>
      <x:c r="K1039" s="20" t="n">
        <x:v>58.9</x:v>
      </x:c>
      <x:c r="L1039" t="str">
        <x:v>KETAT</x:v>
      </x:c>
      <x:c r="M1039" t="str">
        <x:v>SEDANG+</x:v>
      </x:c>
      <x:c r="N1039" t="str">
        <x:v>ELITE-3</x:v>
      </x:c>
      <x:c r="O1039" t="str">
        <x:v>CAMPURAN</x:v>
      </x:c>
      <x:c r="P1039" t="str">
        <x:v>PENDIDIKAN</x:v>
      </x:c>
      <x:c r="Q1039" s="18" t="n">
        <x:v>620</x:v>
      </x:c>
      <x:c r="R1039" s="18" t="n">
        <x:v>0</x:v>
      </x:c>
      <x:c r="S1039" s="18" t="n">
        <x:v>622.8431089668331</x:v>
      </x:c>
      <x:c r="T1039" s="18" t="n">
        <x:v>678</x:v>
      </x:c>
      <x:c r="U1039" s="18" t="n">
        <x:v>622.8431089668331</x:v>
      </x:c>
      <x:c r="V1039" s="20" t="n">
        <x:v>8.8</x:v>
      </x:c>
      <x:c r="W1039" s="20" t="n">
        <x:v>9.9</x:v>
      </x:c>
      <x:c r="X1039" s="20" t="n">
        <x:v>3.3</x:v>
      </x:c>
      <x:c r="Y1039" t="str">
        <x:v>Basis arsip 2025/2024</x:v>
      </x:c>
      <x:c r="Z1039" t="str">
        <x:v>https://snpmb.id/utbk-snbt/daya-tampung-snbt</x:v>
      </x:c>
      <x:c r="AA1039" t="str">
        <x:v>Tidak Ada</x:v>
      </x:c>
      <x:c r="AB1039" t="str">
        <x:v>Campus=80; Ratio=55.0; Prodi=45; RelDemand=19.7; Capacity=61.7</x:v>
      </x:c>
    </x:row>
    <x:row r="1040">
      <x:c r="A1040" t="n">
        <x:v>1037</x:v>
      </x:c>
      <x:c r="B1040" t="str">
        <x:v>PTN Akademik</x:v>
      </x:c>
      <x:c r="C1040" t="str">
        <x:v>UNIVERSITAS NEGERI JAKARTA</x:v>
      </x:c>
      <x:c r="D1040" t="str">
        <x:v>PEND. GURU PAUD</x:v>
      </x:c>
      <x:c r="E1040" t="str">
        <x:v>Sarjana</x:v>
      </x:c>
      <x:c r="F1040" s="18" t="n">
        <x:v>36</x:v>
      </x:c>
      <x:c r="G1040" s="18" t="n">
        <x:v>530</x:v>
      </x:c>
      <x:c r="H1040" s="19" t="n">
        <x:v>14.722222222222221</x:v>
      </x:c>
      <x:c r="I1040" s="18" t="n">
        <x:f>ROUND(MIN(Model_Config_v3!$B$6,MAX(Q1040,R1040,S1040*Model_Config_v3!$B$4+T1040*Model_Config_v3!$B$5)),0)</x:f>
        <x:v>677</x:v>
      </x:c>
      <x:c r="J1040" s="18" t="n">
        <x:f>MIN(Model_Config_v3!$B$6,I1040+Model_Config_v3!$B$7)</x:f>
        <x:v>697</x:v>
      </x:c>
      <x:c r="K1040" s="20" t="n">
        <x:v>64.6</x:v>
      </x:c>
      <x:c r="L1040" t="str">
        <x:v>KETAT</x:v>
      </x:c>
      <x:c r="M1040" t="str">
        <x:v>SEDANG+</x:v>
      </x:c>
      <x:c r="N1040" t="str">
        <x:v>ELITE-3</x:v>
      </x:c>
      <x:c r="O1040" t="str">
        <x:v>CAMPURAN</x:v>
      </x:c>
      <x:c r="P1040" t="str">
        <x:v>PENDIDIKAN</x:v>
      </x:c>
      <x:c r="Q1040" s="18" t="n">
        <x:v>620</x:v>
      </x:c>
      <x:c r="R1040" s="18" t="n">
        <x:v>0</x:v>
      </x:c>
      <x:c r="S1040" s="18" t="n">
        <x:v>648.4770705716852</x:v>
      </x:c>
      <x:c r="T1040" s="18" t="n">
        <x:v>689</x:v>
      </x:c>
      <x:c r="U1040" s="18" t="n">
        <x:v>648.4770705716852</x:v>
      </x:c>
      <x:c r="V1040" s="20" t="n">
        <x:v>8.8</x:v>
      </x:c>
      <x:c r="W1040" s="20" t="n">
        <x:v>9.9</x:v>
      </x:c>
      <x:c r="X1040" s="20" t="n">
        <x:v>3.3</x:v>
      </x:c>
      <x:c r="Y1040" t="str">
        <x:v>Basis arsip 2025/2024</x:v>
      </x:c>
      <x:c r="Z1040" t="str">
        <x:v>https://snpmb.id/utbk-snbt/daya-tampung-snbt</x:v>
      </x:c>
      <x:c r="AA1040" t="str">
        <x:v>Tidak Ada</x:v>
      </x:c>
      <x:c r="AB1040" t="str">
        <x:v>Campus=80; Ratio=68.7; Prodi=45; RelDemand=33.8; Capacity=70.0</x:v>
      </x:c>
    </x:row>
    <x:row r="1041">
      <x:c r="A1041" t="n">
        <x:v>1038</x:v>
      </x:c>
      <x:c r="B1041" t="str">
        <x:v>PTN Akademik</x:v>
      </x:c>
      <x:c r="C1041" t="str">
        <x:v>UNIVERSITAS NEGERI JAKARTA</x:v>
      </x:c>
      <x:c r="D1041" t="str">
        <x:v>BIMBINGAN &amp; KONSELING</x:v>
      </x:c>
      <x:c r="E1041" t="str">
        <x:v>Sarjana</x:v>
      </x:c>
      <x:c r="F1041" s="18" t="n">
        <x:v>39</x:v>
      </x:c>
      <x:c r="G1041" s="18" t="n">
        <x:v>892</x:v>
      </x:c>
      <x:c r="H1041" s="19" t="n">
        <x:v>22.871794871794872</x:v>
      </x:c>
      <x:c r="I1041" s="18" t="n">
        <x:f>ROUND(MIN(Model_Config_v3!$B$6,MAX(Q1041,R1041,S1041*Model_Config_v3!$B$4+T1041*Model_Config_v3!$B$5)),0)</x:f>
        <x:v>688</x:v>
      </x:c>
      <x:c r="J1041" s="18" t="n">
        <x:f>MIN(Model_Config_v3!$B$6,I1041+Model_Config_v3!$B$7)</x:f>
        <x:v>708</x:v>
      </x:c>
      <x:c r="K1041" s="20" t="n">
        <x:v>68</x:v>
      </x:c>
      <x:c r="L1041" t="str">
        <x:v>SANGAT KETAT</x:v>
      </x:c>
      <x:c r="M1041" t="str">
        <x:v>SEDANG+</x:v>
      </x:c>
      <x:c r="N1041" t="str">
        <x:v>ELITE-3</x:v>
      </x:c>
      <x:c r="O1041" t="str">
        <x:v>CAMPURAN</x:v>
      </x:c>
      <x:c r="P1041" t="str">
        <x:v>UMUM</x:v>
      </x:c>
      <x:c r="Q1041" s="18" t="n">
        <x:v>620</x:v>
      </x:c>
      <x:c r="R1041" s="18" t="n">
        <x:v>0</x:v>
      </x:c>
      <x:c r="S1041" s="18" t="n">
        <x:v>669.5230272084586</x:v>
      </x:c>
      <x:c r="T1041" s="18" t="n">
        <x:v>696</x:v>
      </x:c>
      <x:c r="U1041" s="18" t="n">
        <x:v>669.5230272084586</x:v>
      </x:c>
      <x:c r="V1041" s="20" t="n">
        <x:v>8.8</x:v>
      </x:c>
      <x:c r="W1041" s="20" t="n">
        <x:v>9.9</x:v>
      </x:c>
      <x:c r="X1041" s="20" t="n">
        <x:v>3.3</x:v>
      </x:c>
      <x:c r="Y1041" t="str">
        <x:v>Basis arsip 2025/2024</x:v>
      </x:c>
      <x:c r="Z1041" t="str">
        <x:v>https://snpmb.id/utbk-snbt/daya-tampung-snbt</x:v>
      </x:c>
      <x:c r="AA1041" t="str">
        <x:v>Tidak Ada</x:v>
      </x:c>
      <x:c r="AB1041" t="str">
        <x:v>Campus=80; Ratio=80.0; Prodi=40; RelDemand=52.4; Capacity=67.5</x:v>
      </x:c>
    </x:row>
    <x:row r="1042">
      <x:c r="A1042" t="n">
        <x:v>1039</x:v>
      </x:c>
      <x:c r="B1042" t="str">
        <x:v>PTN Akademik</x:v>
      </x:c>
      <x:c r="C1042" t="str">
        <x:v>UNIVERSITAS NEGERI JAKARTA</x:v>
      </x:c>
      <x:c r="D1042" t="str">
        <x:v>PENDIDIKAN GURU SEKOLAH DASAR</x:v>
      </x:c>
      <x:c r="E1042" t="str">
        <x:v>Sarjana</x:v>
      </x:c>
      <x:c r="F1042" s="18" t="n">
        <x:v>54</x:v>
      </x:c>
      <x:c r="G1042" s="18" t="n">
        <x:v>1697</x:v>
      </x:c>
      <x:c r="H1042" s="19" t="n">
        <x:v>31.425925925925927</x:v>
      </x:c>
      <x:c r="I1042" s="18" t="n">
        <x:f>ROUND(MIN(Model_Config_v3!$B$6,MAX(Q1042,R1042,S1042*Model_Config_v3!$B$4+T1042*Model_Config_v3!$B$5)),0)</x:f>
        <x:v>698</x:v>
      </x:c>
      <x:c r="J1042" s="18" t="n">
        <x:f>MIN(Model_Config_v3!$B$6,I1042+Model_Config_v3!$B$7)</x:f>
        <x:v>718</x:v>
      </x:c>
      <x:c r="K1042" s="20" t="n">
        <x:v>71.7</x:v>
      </x:c>
      <x:c r="L1042" t="str">
        <x:v>SANGAT KETAT</x:v>
      </x:c>
      <x:c r="M1042" t="str">
        <x:v>SEDANG+</x:v>
      </x:c>
      <x:c r="N1042" t="str">
        <x:v>ELITE-3</x:v>
      </x:c>
      <x:c r="O1042" t="str">
        <x:v>CAMPURAN</x:v>
      </x:c>
      <x:c r="P1042" t="str">
        <x:v>PENDIDIKAN</x:v>
      </x:c>
      <x:c r="Q1042" s="18" t="n">
        <x:v>620</x:v>
      </x:c>
      <x:c r="R1042" s="18" t="n">
        <x:v>0</x:v>
      </x:c>
      <x:c r="S1042" s="18" t="n">
        <x:v>684.7016890744178</x:v>
      </x:c>
      <x:c r="T1042" s="18" t="n">
        <x:v>703</x:v>
      </x:c>
      <x:c r="U1042" s="18" t="n">
        <x:v>684.7016890744178</x:v>
      </x:c>
      <x:c r="V1042" s="20" t="n">
        <x:v>8.8</x:v>
      </x:c>
      <x:c r="W1042" s="20" t="n">
        <x:v>9.9</x:v>
      </x:c>
      <x:c r="X1042" s="20" t="n">
        <x:v>3.3</x:v>
      </x:c>
      <x:c r="Y1042" t="str">
        <x:v>Basis arsip 2025/2024</x:v>
      </x:c>
      <x:c r="Z1042" t="str">
        <x:v>https://snpmb.id/utbk-snbt/daya-tampung-snbt</x:v>
      </x:c>
      <x:c r="AA1042" t="str">
        <x:v>Tidak Ada</x:v>
      </x:c>
      <x:c r="AB1042" t="str">
        <x:v>Campus=80; Ratio=88.1; Prodi=45; RelDemand=72.1; Capacity=55.0</x:v>
      </x:c>
    </x:row>
    <x:row r="1043">
      <x:c r="A1043" t="n">
        <x:v>1040</x:v>
      </x:c>
      <x:c r="B1043" t="str">
        <x:v>PTN Akademik</x:v>
      </x:c>
      <x:c r="C1043" t="str">
        <x:v>UNIVERSITAS NEGERI JAKARTA</x:v>
      </x:c>
      <x:c r="D1043" t="str">
        <x:v>PSIKOLOGI</x:v>
      </x:c>
      <x:c r="E1043" t="str">
        <x:v>Sarjana</x:v>
      </x:c>
      <x:c r="F1043" s="18" t="n">
        <x:v>134</x:v>
      </x:c>
      <x:c r="G1043" s="18" t="n">
        <x:v>3436</x:v>
      </x:c>
      <x:c r="H1043" s="19" t="n">
        <x:v>25.64179104477612</x:v>
      </x:c>
      <x:c r="I1043" s="18" t="n">
        <x:f>ROUND(MIN(Model_Config_v3!$B$6,MAX(Q1043,R1043,S1043*Model_Config_v3!$B$4+T1043*Model_Config_v3!$B$5)),0)</x:f>
        <x:v>693</x:v>
      </x:c>
      <x:c r="J1043" s="18" t="n">
        <x:f>MIN(Model_Config_v3!$B$6,I1043+Model_Config_v3!$B$7)</x:f>
        <x:v>713</x:v>
      </x:c>
      <x:c r="K1043" s="20" t="n">
        <x:v>70.6</x:v>
      </x:c>
      <x:c r="L1043" t="str">
        <x:v>SANGAT KETAT</x:v>
      </x:c>
      <x:c r="M1043" t="str">
        <x:v>SEDANG+</x:v>
      </x:c>
      <x:c r="N1043" t="str">
        <x:v>ELITE-3</x:v>
      </x:c>
      <x:c r="O1043" t="str">
        <x:v>SOSHUM</x:v>
      </x:c>
      <x:c r="P1043" t="str">
        <x:v>PSIKOLOGI</x:v>
      </x:c>
      <x:c r="Q1043" s="18" t="n">
        <x:v>620</x:v>
      </x:c>
      <x:c r="R1043" s="18" t="n">
        <x:v>670</x:v>
      </x:c>
      <x:c r="S1043" s="18" t="n">
        <x:v>674.9843192473836</x:v>
      </x:c>
      <x:c r="T1043" s="18" t="n">
        <x:v>701</x:v>
      </x:c>
      <x:c r="U1043" s="18" t="n">
        <x:v>699.9843192473836</x:v>
      </x:c>
      <x:c r="V1043" s="20" t="n">
        <x:v>4.4</x:v>
      </x:c>
      <x:c r="W1043" s="20" t="n">
        <x:v>14.3</x:v>
      </x:c>
      <x:c r="X1043" s="20" t="n">
        <x:v>3.3</x:v>
      </x:c>
      <x:c r="Y1043" t="str">
        <x:v>Basis arsip 2025/2024</x:v>
      </x:c>
      <x:c r="Z1043" t="str">
        <x:v>https://snpmb.id/utbk-snbt/daya-tampung-snbt</x:v>
      </x:c>
      <x:c r="AA1043" t="str">
        <x:v>Tidak Ada</x:v>
      </x:c>
      <x:c r="AB1043" t="str">
        <x:v>Campus=80; Ratio=82.9; Prodi=80; RelDemand=58.8; Capacity=0.0</x:v>
      </x:c>
    </x:row>
    <x:row r="1044">
      <x:c r="A1044" t="n">
        <x:v>1041</x:v>
      </x:c>
      <x:c r="B1044" t="str">
        <x:v>PTN Akademik</x:v>
      </x:c>
      <x:c r="C1044" t="str">
        <x:v>UNIVERSITAS NEGERI JAKARTA</x:v>
      </x:c>
      <x:c r="D1044" t="str">
        <x:v>PENDIDIKAN BAHASA INDONESIA</x:v>
      </x:c>
      <x:c r="E1044" t="str">
        <x:v>Sarjana</x:v>
      </x:c>
      <x:c r="F1044" s="18" t="n">
        <x:v>36</x:v>
      </x:c>
      <x:c r="G1044" s="18" t="n">
        <x:v>517</x:v>
      </x:c>
      <x:c r="H1044" s="19" t="n">
        <x:v>14.36111111111111</x:v>
      </x:c>
      <x:c r="I1044" s="18" t="n">
        <x:f>ROUND(MIN(Model_Config_v3!$B$6,MAX(Q1044,R1044,S1044*Model_Config_v3!$B$4+T1044*Model_Config_v3!$B$5)),0)</x:f>
        <x:v>676</x:v>
      </x:c>
      <x:c r="J1044" s="18" t="n">
        <x:f>MIN(Model_Config_v3!$B$6,I1044+Model_Config_v3!$B$7)</x:f>
        <x:v>696</x:v>
      </x:c>
      <x:c r="K1044" s="20" t="n">
        <x:v>64.3</x:v>
      </x:c>
      <x:c r="L1044" t="str">
        <x:v>KETAT</x:v>
      </x:c>
      <x:c r="M1044" t="str">
        <x:v>SEDANG+</x:v>
      </x:c>
      <x:c r="N1044" t="str">
        <x:v>ELITE-3</x:v>
      </x:c>
      <x:c r="O1044" t="str">
        <x:v>SOSHUM</x:v>
      </x:c>
      <x:c r="P1044" t="str">
        <x:v>PENDIDIKAN</x:v>
      </x:c>
      <x:c r="Q1044" s="18" t="n">
        <x:v>620</x:v>
      </x:c>
      <x:c r="R1044" s="18" t="n">
        <x:v>0</x:v>
      </x:c>
      <x:c r="S1044" s="18" t="n">
        <x:v>647.2906846559321</x:v>
      </x:c>
      <x:c r="T1044" s="18" t="n">
        <x:v>689</x:v>
      </x:c>
      <x:c r="U1044" s="18" t="n">
        <x:v>647.2906846559321</x:v>
      </x:c>
      <x:c r="V1044" s="20" t="n">
        <x:v>4.4</x:v>
      </x:c>
      <x:c r="W1044" s="20" t="n">
        <x:v>14.3</x:v>
      </x:c>
      <x:c r="X1044" s="20" t="n">
        <x:v>3.3</x:v>
      </x:c>
      <x:c r="Y1044" t="str">
        <x:v>Basis arsip 2025/2024</x:v>
      </x:c>
      <x:c r="Z1044" t="str">
        <x:v>https://snpmb.id/utbk-snbt/daya-tampung-snbt</x:v>
      </x:c>
      <x:c r="AA1044" t="str">
        <x:v>Tidak Ada</x:v>
      </x:c>
      <x:c r="AB1044" t="str">
        <x:v>Campus=80; Ratio=68.1; Prodi=45; RelDemand=32.9; Capacity=70.0</x:v>
      </x:c>
    </x:row>
    <x:row r="1045">
      <x:c r="A1045" t="n">
        <x:v>1042</x:v>
      </x:c>
      <x:c r="B1045" t="str">
        <x:v>PTN Akademik</x:v>
      </x:c>
      <x:c r="C1045" t="str">
        <x:v>UNIVERSITAS NEGERI JAKARTA</x:v>
      </x:c>
      <x:c r="D1045" t="str">
        <x:v>SASTRA INDONESIA</x:v>
      </x:c>
      <x:c r="E1045" t="str">
        <x:v>Sarjana</x:v>
      </x:c>
      <x:c r="F1045" s="18" t="n">
        <x:v>36</x:v>
      </x:c>
      <x:c r="G1045" s="18" t="n">
        <x:v>487</x:v>
      </x:c>
      <x:c r="H1045" s="19" t="n">
        <x:v>13.527777777777779</x:v>
      </x:c>
      <x:c r="I1045" s="18" t="n">
        <x:f>ROUND(MIN(Model_Config_v3!$B$6,MAX(Q1045,R1045,S1045*Model_Config_v3!$B$4+T1045*Model_Config_v3!$B$5)),0)</x:f>
        <x:v>673</x:v>
      </x:c>
      <x:c r="J1045" s="18" t="n">
        <x:f>MIN(Model_Config_v3!$B$6,I1045+Model_Config_v3!$B$7)</x:f>
        <x:v>693</x:v>
      </x:c>
      <x:c r="K1045" s="20" t="n">
        <x:v>62.7</x:v>
      </x:c>
      <x:c r="L1045" t="str">
        <x:v>KETAT</x:v>
      </x:c>
      <x:c r="M1045" t="str">
        <x:v>SEDANG+</x:v>
      </x:c>
      <x:c r="N1045" t="str">
        <x:v>ELITE-3</x:v>
      </x:c>
      <x:c r="O1045" t="str">
        <x:v>SOSHUM</x:v>
      </x:c>
      <x:c r="P1045" t="str">
        <x:v>UMUM</x:v>
      </x:c>
      <x:c r="Q1045" s="18" t="n">
        <x:v>620</x:v>
      </x:c>
      <x:c r="R1045" s="18" t="n">
        <x:v>0</x:v>
      </x:c>
      <x:c r="S1045" s="18" t="n">
        <x:v>644.4349106492082</x:v>
      </x:c>
      <x:c r="T1045" s="18" t="n">
        <x:v>685</x:v>
      </x:c>
      <x:c r="U1045" s="18" t="n">
        <x:v>644.4349106492082</x:v>
      </x:c>
      <x:c r="V1045" s="20" t="n">
        <x:v>4.4</x:v>
      </x:c>
      <x:c r="W1045" s="20" t="n">
        <x:v>14.3</x:v>
      </x:c>
      <x:c r="X1045" s="20" t="n">
        <x:v>3.3</x:v>
      </x:c>
      <x:c r="Y1045" t="str">
        <x:v>Basis arsip 2025/2024</x:v>
      </x:c>
      <x:c r="Z1045" t="str">
        <x:v>https://snpmb.id/utbk-snbt/daya-tampung-snbt</x:v>
      </x:c>
      <x:c r="AA1045" t="str">
        <x:v>Tidak Ada</x:v>
      </x:c>
      <x:c r="AB1045" t="str">
        <x:v>Campus=80; Ratio=66.6; Prodi=40; RelDemand=31.0; Capacity=70.0</x:v>
      </x:c>
    </x:row>
    <x:row r="1046">
      <x:c r="A1046" t="n">
        <x:v>1043</x:v>
      </x:c>
      <x:c r="B1046" t="str">
        <x:v>PTN Akademik</x:v>
      </x:c>
      <x:c r="C1046" t="str">
        <x:v>UNIVERSITAS NEGERI JAKARTA</x:v>
      </x:c>
      <x:c r="D1046" t="str">
        <x:v>PENDIDIKAN BAHASA INGGRIS</x:v>
      </x:c>
      <x:c r="E1046" t="str">
        <x:v>Sarjana</x:v>
      </x:c>
      <x:c r="F1046" s="18" t="n">
        <x:v>45</x:v>
      </x:c>
      <x:c r="G1046" s="18" t="n">
        <x:v>674</x:v>
      </x:c>
      <x:c r="H1046" s="19" t="n">
        <x:v>14.977777777777778</x:v>
      </x:c>
      <x:c r="I1046" s="18" t="n">
        <x:f>ROUND(MIN(Model_Config_v3!$B$6,MAX(Q1046,R1046,S1046*Model_Config_v3!$B$4+T1046*Model_Config_v3!$B$5)),0)</x:f>
        <x:v>676</x:v>
      </x:c>
      <x:c r="J1046" s="18" t="n">
        <x:f>MIN(Model_Config_v3!$B$6,I1046+Model_Config_v3!$B$7)</x:f>
        <x:v>696</x:v>
      </x:c>
      <x:c r="K1046" s="20" t="n">
        <x:v>64</x:v>
      </x:c>
      <x:c r="L1046" t="str">
        <x:v>KETAT</x:v>
      </x:c>
      <x:c r="M1046" t="str">
        <x:v>SEDANG+</x:v>
      </x:c>
      <x:c r="N1046" t="str">
        <x:v>ELITE-3</x:v>
      </x:c>
      <x:c r="O1046" t="str">
        <x:v>SOSHUM</x:v>
      </x:c>
      <x:c r="P1046" t="str">
        <x:v>PENDIDIKAN</x:v>
      </x:c>
      <x:c r="Q1046" s="18" t="n">
        <x:v>620</x:v>
      </x:c>
      <x:c r="R1046" s="18" t="n">
        <x:v>0</x:v>
      </x:c>
      <x:c r="S1046" s="18" t="n">
        <x:v>649.2992121035974</x:v>
      </x:c>
      <x:c r="T1046" s="18" t="n">
        <x:v>688</x:v>
      </x:c>
      <x:c r="U1046" s="18" t="n">
        <x:v>649.2992121035974</x:v>
      </x:c>
      <x:c r="V1046" s="20" t="n">
        <x:v>4.4</x:v>
      </x:c>
      <x:c r="W1046" s="20" t="n">
        <x:v>14.3</x:v>
      </x:c>
      <x:c r="X1046" s="20" t="n">
        <x:v>3.3</x:v>
      </x:c>
      <x:c r="Y1046" t="str">
        <x:v>Basis arsip 2025/2024</x:v>
      </x:c>
      <x:c r="Z1046" t="str">
        <x:v>https://snpmb.id/utbk-snbt/daya-tampung-snbt</x:v>
      </x:c>
      <x:c r="AA1046" t="str">
        <x:v>Tidak Ada</x:v>
      </x:c>
      <x:c r="AB1046" t="str">
        <x:v>Campus=80; Ratio=69.2; Prodi=45; RelDemand=34.3; Capacity=62.5</x:v>
      </x:c>
    </x:row>
    <x:row r="1047">
      <x:c r="A1047" t="n">
        <x:v>1044</x:v>
      </x:c>
      <x:c r="B1047" t="str">
        <x:v>PTN Akademik</x:v>
      </x:c>
      <x:c r="C1047" t="str">
        <x:v>UNIVERSITAS NEGERI JAKARTA</x:v>
      </x:c>
      <x:c r="D1047" t="str">
        <x:v>SASTRA INGGRIS</x:v>
      </x:c>
      <x:c r="E1047" t="str">
        <x:v>Sarjana</x:v>
      </x:c>
      <x:c r="F1047" s="18" t="n">
        <x:v>60</x:v>
      </x:c>
      <x:c r="G1047" s="18" t="n">
        <x:v>1025</x:v>
      </x:c>
      <x:c r="H1047" s="19" t="n">
        <x:v>17.083333333333332</x:v>
      </x:c>
      <x:c r="I1047" s="18" t="n">
        <x:f>ROUND(MIN(Model_Config_v3!$B$6,MAX(Q1047,R1047,S1047*Model_Config_v3!$B$4+T1047*Model_Config_v3!$B$5)),0)</x:f>
        <x:v>677</x:v>
      </x:c>
      <x:c r="J1047" s="18" t="n">
        <x:f>MIN(Model_Config_v3!$B$6,I1047+Model_Config_v3!$B$7)</x:f>
        <x:v>697</x:v>
      </x:c>
      <x:c r="K1047" s="20" t="n">
        <x:v>63.1</x:v>
      </x:c>
      <x:c r="L1047" t="str">
        <x:v>KETAT</x:v>
      </x:c>
      <x:c r="M1047" t="str">
        <x:v>SEDANG+</x:v>
      </x:c>
      <x:c r="N1047" t="str">
        <x:v>ELITE-3</x:v>
      </x:c>
      <x:c r="O1047" t="str">
        <x:v>SOSHUM</x:v>
      </x:c>
      <x:c r="P1047" t="str">
        <x:v>UMUM</x:v>
      </x:c>
      <x:c r="Q1047" s="18" t="n">
        <x:v>620</x:v>
      </x:c>
      <x:c r="R1047" s="18" t="n">
        <x:v>0</x:v>
      </x:c>
      <x:c r="S1047" s="18" t="n">
        <x:v>655.5829876508942</x:v>
      </x:c>
      <x:c r="T1047" s="18" t="n">
        <x:v>686</x:v>
      </x:c>
      <x:c r="U1047" s="18" t="n">
        <x:v>655.5829876508942</x:v>
      </x:c>
      <x:c r="V1047" s="20" t="n">
        <x:v>4.4</x:v>
      </x:c>
      <x:c r="W1047" s="20" t="n">
        <x:v>14.3</x:v>
      </x:c>
      <x:c r="X1047" s="20" t="n">
        <x:v>3.3</x:v>
      </x:c>
      <x:c r="Y1047" t="str">
        <x:v>Basis arsip 2025/2024</x:v>
      </x:c>
      <x:c r="Z1047" t="str">
        <x:v>https://snpmb.id/utbk-snbt/daya-tampung-snbt</x:v>
      </x:c>
      <x:c r="AA1047" t="str">
        <x:v>Tidak Ada</x:v>
      </x:c>
      <x:c r="AB1047" t="str">
        <x:v>Campus=80; Ratio=72.5; Prodi=40; RelDemand=39.2; Capacity=50.0</x:v>
      </x:c>
    </x:row>
    <x:row r="1048">
      <x:c r="A1048" t="n">
        <x:v>1045</x:v>
      </x:c>
      <x:c r="B1048" t="str">
        <x:v>PTN Akademik</x:v>
      </x:c>
      <x:c r="C1048" t="str">
        <x:v>UNIVERSITAS NEGERI JAKARTA</x:v>
      </x:c>
      <x:c r="D1048" t="str">
        <x:v>PENDIDIKAN BAHASA PRANCIS</x:v>
      </x:c>
      <x:c r="E1048" t="str">
        <x:v>Sarjana</x:v>
      </x:c>
      <x:c r="F1048" s="18" t="n">
        <x:v>36</x:v>
      </x:c>
      <x:c r="G1048" s="18" t="n">
        <x:v>113</x:v>
      </x:c>
      <x:c r="H1048" s="19" t="n">
        <x:v>3.138888888888889</x:v>
      </x:c>
      <x:c r="I1048" s="18" t="n">
        <x:f>ROUND(MIN(Model_Config_v3!$B$6,MAX(Q1048,R1048,S1048*Model_Config_v3!$B$4+T1048*Model_Config_v3!$B$5)),0)</x:f>
        <x:v>637</x:v>
      </x:c>
      <x:c r="J1048" s="18" t="n">
        <x:f>MIN(Model_Config_v3!$B$6,I1048+Model_Config_v3!$B$7)</x:f>
        <x:v>657</x:v>
      </x:c>
      <x:c r="K1048" s="20" t="n">
        <x:v>52</x:v>
      </x:c>
      <x:c r="L1048" t="str">
        <x:v>MENENGAH</x:v>
      </x:c>
      <x:c r="M1048" t="str">
        <x:v>SEDANG+</x:v>
      </x:c>
      <x:c r="N1048" t="str">
        <x:v>ELITE-3</x:v>
      </x:c>
      <x:c r="O1048" t="str">
        <x:v>SOSHUM</x:v>
      </x:c>
      <x:c r="P1048" t="str">
        <x:v>PENDIDIKAN</x:v>
      </x:c>
      <x:c r="Q1048" s="18" t="n">
        <x:v>620</x:v>
      </x:c>
      <x:c r="R1048" s="18" t="n">
        <x:v>0</x:v>
      </x:c>
      <x:c r="S1048" s="18" t="n">
        <x:v>574.6453536987746</x:v>
      </x:c>
      <x:c r="T1048" s="18" t="n">
        <x:v>664</x:v>
      </x:c>
      <x:c r="U1048" s="18" t="n">
        <x:v>620</x:v>
      </x:c>
      <x:c r="V1048" s="20" t="n">
        <x:v>4.4</x:v>
      </x:c>
      <x:c r="W1048" s="20" t="n">
        <x:v>14.3</x:v>
      </x:c>
      <x:c r="X1048" s="20" t="n">
        <x:v>3.3</x:v>
      </x:c>
      <x:c r="Y1048" t="str">
        <x:v>Basis arsip 2025/2024</x:v>
      </x:c>
      <x:c r="Z1048" t="str">
        <x:v>https://snpmb.id/utbk-snbt/daya-tampung-snbt</x:v>
      </x:c>
      <x:c r="AA1048" t="str">
        <x:v>Tidak Ada</x:v>
      </x:c>
      <x:c r="AB1048" t="str">
        <x:v>Campus=80; Ratio=29.2; Prodi=45; RelDemand=7.2; Capacity=70.0</x:v>
      </x:c>
    </x:row>
    <x:row r="1049">
      <x:c r="A1049" t="n">
        <x:v>1046</x:v>
      </x:c>
      <x:c r="B1049" t="str">
        <x:v>PTN Akademik</x:v>
      </x:c>
      <x:c r="C1049" t="str">
        <x:v>UNIVERSITAS NEGERI JAKARTA</x:v>
      </x:c>
      <x:c r="D1049" t="str">
        <x:v>PENDIDIKAN BAHASA JERMAN</x:v>
      </x:c>
      <x:c r="E1049" t="str">
        <x:v>Sarjana</x:v>
      </x:c>
      <x:c r="F1049" s="18" t="n">
        <x:v>39</x:v>
      </x:c>
      <x:c r="G1049" s="18" t="n">
        <x:v>190</x:v>
      </x:c>
      <x:c r="H1049" s="19" t="n">
        <x:v>4.871794871794871</x:v>
      </x:c>
      <x:c r="I1049" s="18" t="n">
        <x:f>ROUND(MIN(Model_Config_v3!$B$6,MAX(Q1049,R1049,S1049*Model_Config_v3!$B$4+T1049*Model_Config_v3!$B$5)),0)</x:f>
        <x:v>648</x:v>
      </x:c>
      <x:c r="J1049" s="18" t="n">
        <x:f>MIN(Model_Config_v3!$B$6,I1049+Model_Config_v3!$B$7)</x:f>
        <x:v>668</x:v>
      </x:c>
      <x:c r="K1049" s="20" t="n">
        <x:v>55</x:v>
      </x:c>
      <x:c r="L1049" t="str">
        <x:v>KETAT</x:v>
      </x:c>
      <x:c r="M1049" t="str">
        <x:v>SEDANG+</x:v>
      </x:c>
      <x:c r="N1049" t="str">
        <x:v>ELITE-3</x:v>
      </x:c>
      <x:c r="O1049" t="str">
        <x:v>SOSHUM</x:v>
      </x:c>
      <x:c r="P1049" t="str">
        <x:v>PENDIDIKAN</x:v>
      </x:c>
      <x:c r="Q1049" s="18" t="n">
        <x:v>620</x:v>
      </x:c>
      <x:c r="R1049" s="18" t="n">
        <x:v>0</x:v>
      </x:c>
      <x:c r="S1049" s="18" t="n">
        <x:v>595.6457893318963</x:v>
      </x:c>
      <x:c r="T1049" s="18" t="n">
        <x:v>670</x:v>
      </x:c>
      <x:c r="U1049" s="18" t="n">
        <x:v>620</x:v>
      </x:c>
      <x:c r="V1049" s="20" t="n">
        <x:v>4.4</x:v>
      </x:c>
      <x:c r="W1049" s="20" t="n">
        <x:v>14.3</x:v>
      </x:c>
      <x:c r="X1049" s="20" t="n">
        <x:v>3.3</x:v>
      </x:c>
      <x:c r="Y1049" t="str">
        <x:v>Basis arsip 2025/2024</x:v>
      </x:c>
      <x:c r="Z1049" t="str">
        <x:v>https://snpmb.id/utbk-snbt/daya-tampung-snbt</x:v>
      </x:c>
      <x:c r="AA1049" t="str">
        <x:v>Tidak Ada</x:v>
      </x:c>
      <x:c r="AB1049" t="str">
        <x:v>Campus=80; Ratio=40.5; Prodi=45; RelDemand=11.2; Capacity=67.5</x:v>
      </x:c>
    </x:row>
    <x:row r="1050">
      <x:c r="A1050" t="n">
        <x:v>1047</x:v>
      </x:c>
      <x:c r="B1050" t="str">
        <x:v>PTN Akademik</x:v>
      </x:c>
      <x:c r="C1050" t="str">
        <x:v>UNIVERSITAS NEGERI JAKARTA</x:v>
      </x:c>
      <x:c r="D1050" t="str">
        <x:v>PENDIDIKAN BAHASA ARAB</x:v>
      </x:c>
      <x:c r="E1050" t="str">
        <x:v>Sarjana</x:v>
      </x:c>
      <x:c r="F1050" s="18" t="n">
        <x:v>63</x:v>
      </x:c>
      <x:c r="G1050" s="18" t="n">
        <x:v>478</x:v>
      </x:c>
      <x:c r="H1050" s="19" t="n">
        <x:v>7.587301587301587</x:v>
      </x:c>
      <x:c r="I1050" s="18" t="n">
        <x:f>ROUND(MIN(Model_Config_v3!$B$6,MAX(Q1050,R1050,S1050*Model_Config_v3!$B$4+T1050*Model_Config_v3!$B$5)),0)</x:f>
        <x:v>656</x:v>
      </x:c>
      <x:c r="J1050" s="18" t="n">
        <x:f>MIN(Model_Config_v3!$B$6,I1050+Model_Config_v3!$B$7)</x:f>
        <x:v>676</x:v>
      </x:c>
      <x:c r="K1050" s="20" t="n">
        <x:v>56.4</x:v>
      </x:c>
      <x:c r="L1050" t="str">
        <x:v>KETAT</x:v>
      </x:c>
      <x:c r="M1050" t="str">
        <x:v>SEDANG+</x:v>
      </x:c>
      <x:c r="N1050" t="str">
        <x:v>ELITE-3</x:v>
      </x:c>
      <x:c r="O1050" t="str">
        <x:v>SOSHUM</x:v>
      </x:c>
      <x:c r="P1050" t="str">
        <x:v>PENDIDIKAN</x:v>
      </x:c>
      <x:c r="Q1050" s="18" t="n">
        <x:v>620</x:v>
      </x:c>
      <x:c r="R1050" s="18" t="n">
        <x:v>0</x:v>
      </x:c>
      <x:c r="S1050" s="18" t="n">
        <x:v>616.809608187439</x:v>
      </x:c>
      <x:c r="T1050" s="18" t="n">
        <x:v>673</x:v>
      </x:c>
      <x:c r="U1050" s="18" t="n">
        <x:v>620</x:v>
      </x:c>
      <x:c r="V1050" s="20" t="n">
        <x:v>4.4</x:v>
      </x:c>
      <x:c r="W1050" s="20" t="n">
        <x:v>14.3</x:v>
      </x:c>
      <x:c r="X1050" s="20" t="n">
        <x:v>3.3</x:v>
      </x:c>
      <x:c r="Y1050" t="str">
        <x:v>Basis arsip 2025/2024</x:v>
      </x:c>
      <x:c r="Z1050" t="str">
        <x:v>https://snpmb.id/utbk-snbt/daya-tampung-snbt</x:v>
      </x:c>
      <x:c r="AA1050" t="str">
        <x:v>Tidak Ada</x:v>
      </x:c>
      <x:c r="AB1050" t="str">
        <x:v>Campus=80; Ratio=51.8; Prodi=45; RelDemand=17.4; Capacity=47.5</x:v>
      </x:c>
    </x:row>
    <x:row r="1051">
      <x:c r="A1051" t="n">
        <x:v>1048</x:v>
      </x:c>
      <x:c r="B1051" t="str">
        <x:v>PTN Akademik</x:v>
      </x:c>
      <x:c r="C1051" t="str">
        <x:v>UNIVERSITAS NEGERI JAKARTA</x:v>
      </x:c>
      <x:c r="D1051" t="str">
        <x:v>PENDIDIKAN BAHASA JEPANG</x:v>
      </x:c>
      <x:c r="E1051" t="str">
        <x:v>Sarjana</x:v>
      </x:c>
      <x:c r="F1051" s="18" t="n">
        <x:v>39</x:v>
      </x:c>
      <x:c r="G1051" s="18" t="n">
        <x:v>494</x:v>
      </x:c>
      <x:c r="H1051" s="19" t="n">
        <x:v>12.666666666666666</x:v>
      </x:c>
      <x:c r="I1051" s="18" t="n">
        <x:f>ROUND(MIN(Model_Config_v3!$B$6,MAX(Q1051,R1051,S1051*Model_Config_v3!$B$4+T1051*Model_Config_v3!$B$5)),0)</x:f>
        <x:v>673</x:v>
      </x:c>
      <x:c r="J1051" s="18" t="n">
        <x:f>MIN(Model_Config_v3!$B$6,I1051+Model_Config_v3!$B$7)</x:f>
        <x:v>693</x:v>
      </x:c>
      <x:c r="K1051" s="20" t="n">
        <x:v>62.9</x:v>
      </x:c>
      <x:c r="L1051" t="str">
        <x:v>KETAT</x:v>
      </x:c>
      <x:c r="M1051" t="str">
        <x:v>SEDANG+</x:v>
      </x:c>
      <x:c r="N1051" t="str">
        <x:v>ELITE-3</x:v>
      </x:c>
      <x:c r="O1051" t="str">
        <x:v>SOSHUM</x:v>
      </x:c>
      <x:c r="P1051" t="str">
        <x:v>PENDIDIKAN</x:v>
      </x:c>
      <x:c r="Q1051" s="18" t="n">
        <x:v>620</x:v>
      </x:c>
      <x:c r="R1051" s="18" t="n">
        <x:v>0</x:v>
      </x:c>
      <x:c r="S1051" s="18" t="n">
        <x:v>641.2928576086863</x:v>
      </x:c>
      <x:c r="T1051" s="18" t="n">
        <x:v>686</x:v>
      </x:c>
      <x:c r="U1051" s="18" t="n">
        <x:v>641.2928576086863</x:v>
      </x:c>
      <x:c r="V1051" s="20" t="n">
        <x:v>4.4</x:v>
      </x:c>
      <x:c r="W1051" s="20" t="n">
        <x:v>14.3</x:v>
      </x:c>
      <x:c r="X1051" s="20" t="n">
        <x:v>3.3</x:v>
      </x:c>
      <x:c r="Y1051" t="str">
        <x:v>Basis arsip 2025/2024</x:v>
      </x:c>
      <x:c r="Z1051" t="str">
        <x:v>https://snpmb.id/utbk-snbt/daya-tampung-snbt</x:v>
      </x:c>
      <x:c r="AA1051" t="str">
        <x:v>Tidak Ada</x:v>
      </x:c>
      <x:c r="AB1051" t="str">
        <x:v>Campus=80; Ratio=64.9; Prodi=45; RelDemand=29.0; Capacity=67.5</x:v>
      </x:c>
    </x:row>
    <x:row r="1052">
      <x:c r="A1052" t="n">
        <x:v>1049</x:v>
      </x:c>
      <x:c r="B1052" t="str">
        <x:v>PTN Akademik</x:v>
      </x:c>
      <x:c r="C1052" t="str">
        <x:v>UNIVERSITAS NEGERI JAKARTA</x:v>
      </x:c>
      <x:c r="D1052" t="str">
        <x:v>PENDIDIKAN TARI</x:v>
      </x:c>
      <x:c r="E1052" t="str">
        <x:v>Sarjana</x:v>
      </x:c>
      <x:c r="F1052" s="18" t="n">
        <x:v>38</x:v>
      </x:c>
      <x:c r="G1052" s="18" t="n">
        <x:v>91</x:v>
      </x:c>
      <x:c r="H1052" s="19" t="n">
        <x:v>2.3947368421052633</x:v>
      </x:c>
      <x:c r="I1052" s="18" t="n">
        <x:f>ROUND(MIN(Model_Config_v3!$B$6,MAX(Q1052,R1052,S1052*Model_Config_v3!$B$4+T1052*Model_Config_v3!$B$5)),0)</x:f>
        <x:v>631</x:v>
      </x:c>
      <x:c r="J1052" s="18" t="n">
        <x:f>MIN(Model_Config_v3!$B$6,I1052+Model_Config_v3!$B$7)</x:f>
        <x:v>651</x:v>
      </x:c>
      <x:c r="K1052" s="20" t="n">
        <x:v>50</x:v>
      </x:c>
      <x:c r="L1052" t="str">
        <x:v>MENENGAH</x:v>
      </x:c>
      <x:c r="M1052" t="str">
        <x:v>PORTOFOLIO</x:v>
      </x:c>
      <x:c r="N1052" t="str">
        <x:v>ELITE-3</x:v>
      </x:c>
      <x:c r="O1052" t="str">
        <x:v>SENI/OLAHRAGA</x:v>
      </x:c>
      <x:c r="P1052" t="str">
        <x:v>SENI/OLAHRAGA</x:v>
      </x:c>
      <x:c r="Q1052" s="18" t="n">
        <x:v>620</x:v>
      </x:c>
      <x:c r="R1052" s="18" t="n">
        <x:v>0</x:v>
      </x:c>
      <x:c r="S1052" s="18" t="n">
        <x:v>561.7183575274712</x:v>
      </x:c>
      <x:c r="T1052" s="18" t="n">
        <x:v>660</x:v>
      </x:c>
      <x:c r="U1052" s="18" t="n">
        <x:v>620</x:v>
      </x:c>
      <x:c r="V1052" s="20" t="n">
        <x:v>4.4</x:v>
      </x:c>
      <x:c r="W1052" s="20" t="n">
        <x:v>9.9</x:v>
      </x:c>
      <x:c r="X1052" s="20" t="n">
        <x:v>7.7</x:v>
      </x:c>
      <x:c r="Y1052" t="str">
        <x:v>Basis arsip 2025/2024</x:v>
      </x:c>
      <x:c r="Z1052" t="str">
        <x:v>https://snpmb.id/utbk-snbt/daya-tampung-snbt</x:v>
      </x:c>
      <x:c r="AA1052" t="str">
        <x:v>Tari</x:v>
      </x:c>
      <x:c r="AB1052" t="str">
        <x:v>Campus=80; Ratio=22.3; Prodi=45; RelDemand=5.5; Capacity=68.3</x:v>
      </x:c>
    </x:row>
    <x:row r="1053">
      <x:c r="A1053" t="n">
        <x:v>1050</x:v>
      </x:c>
      <x:c r="B1053" t="str">
        <x:v>PTN Akademik</x:v>
      </x:c>
      <x:c r="C1053" t="str">
        <x:v>UNIVERSITAS NEGERI JAKARTA</x:v>
      </x:c>
      <x:c r="D1053" t="str">
        <x:v>PENDIDIKAN MUSIK</x:v>
      </x:c>
      <x:c r="E1053" t="str">
        <x:v>Sarjana</x:v>
      </x:c>
      <x:c r="F1053" s="18" t="n">
        <x:v>23</x:v>
      </x:c>
      <x:c r="G1053" s="18" t="n">
        <x:v>110</x:v>
      </x:c>
      <x:c r="H1053" s="19" t="n">
        <x:v>4.782608695652174</x:v>
      </x:c>
      <x:c r="I1053" s="18" t="n">
        <x:f>ROUND(MIN(Model_Config_v3!$B$6,MAX(Q1053,R1053,S1053*Model_Config_v3!$B$4+T1053*Model_Config_v3!$B$5)),0)</x:f>
        <x:v>649</x:v>
      </x:c>
      <x:c r="J1053" s="18" t="n">
        <x:f>MIN(Model_Config_v3!$B$6,I1053+Model_Config_v3!$B$7)</x:f>
        <x:v>669</x:v>
      </x:c>
      <x:c r="K1053" s="20" t="n">
        <x:v>56.2</x:v>
      </x:c>
      <x:c r="L1053" t="str">
        <x:v>KETAT</x:v>
      </x:c>
      <x:c r="M1053" t="str">
        <x:v>PORTOFOLIO</x:v>
      </x:c>
      <x:c r="N1053" t="str">
        <x:v>ELITE-3</x:v>
      </x:c>
      <x:c r="O1053" t="str">
        <x:v>SENI/OLAHRAGA</x:v>
      </x:c>
      <x:c r="P1053" t="str">
        <x:v>SENI/OLAHRAGA</x:v>
      </x:c>
      <x:c r="Q1053" s="18" t="n">
        <x:v>620</x:v>
      </x:c>
      <x:c r="R1053" s="18" t="n">
        <x:v>0</x:v>
      </x:c>
      <x:c r="S1053" s="18" t="n">
        <x:v>594.7631334054695</x:v>
      </x:c>
      <x:c r="T1053" s="18" t="n">
        <x:v>672</x:v>
      </x:c>
      <x:c r="U1053" s="18" t="n">
        <x:v>620</x:v>
      </x:c>
      <x:c r="V1053" s="20" t="n">
        <x:v>4.4</x:v>
      </x:c>
      <x:c r="W1053" s="20" t="n">
        <x:v>9.9</x:v>
      </x:c>
      <x:c r="X1053" s="20" t="n">
        <x:v>7.7</x:v>
      </x:c>
      <x:c r="Y1053" t="str">
        <x:v>Basis arsip 2025/2024</x:v>
      </x:c>
      <x:c r="Z1053" t="str">
        <x:v>https://snpmb.id/utbk-snbt/daya-tampung-snbt</x:v>
      </x:c>
      <x:c r="AA1053" t="str">
        <x:v>Musik</x:v>
      </x:c>
      <x:c r="AB1053" t="str">
        <x:v>Campus=80; Ratio=40.0; Prodi=45; RelDemand=11.0; Capacity=80.8</x:v>
      </x:c>
    </x:row>
    <x:row r="1054">
      <x:c r="A1054" t="n">
        <x:v>1051</x:v>
      </x:c>
      <x:c r="B1054" t="str">
        <x:v>PTN Akademik</x:v>
      </x:c>
      <x:c r="C1054" t="str">
        <x:v>UNIVERSITAS NEGERI JAKARTA</x:v>
      </x:c>
      <x:c r="D1054" t="str">
        <x:v>PENDIDIKAN SENI RUPA</x:v>
      </x:c>
      <x:c r="E1054" t="str">
        <x:v>Sarjana</x:v>
      </x:c>
      <x:c r="F1054" s="18" t="n">
        <x:v>21</x:v>
      </x:c>
      <x:c r="G1054" s="18" t="n">
        <x:v>196</x:v>
      </x:c>
      <x:c r="H1054" s="19" t="n">
        <x:v>9.333333333333334</x:v>
      </x:c>
      <x:c r="I1054" s="18" t="n">
        <x:f>ROUND(MIN(Model_Config_v3!$B$6,MAX(Q1054,R1054,S1054*Model_Config_v3!$B$4+T1054*Model_Config_v3!$B$5)),0)</x:f>
        <x:v>666</x:v>
      </x:c>
      <x:c r="J1054" s="18" t="n">
        <x:f>MIN(Model_Config_v3!$B$6,I1054+Model_Config_v3!$B$7)</x:f>
        <x:v>686</x:v>
      </x:c>
      <x:c r="K1054" s="20" t="n">
        <x:v>61.7</x:v>
      </x:c>
      <x:c r="L1054" t="str">
        <x:v>KETAT</x:v>
      </x:c>
      <x:c r="M1054" t="str">
        <x:v>PORTOFOLIO</x:v>
      </x:c>
      <x:c r="N1054" t="str">
        <x:v>ELITE-3</x:v>
      </x:c>
      <x:c r="O1054" t="str">
        <x:v>SENI/OLAHRAGA</x:v>
      </x:c>
      <x:c r="P1054" t="str">
        <x:v>SENI/OLAHRAGA</x:v>
      </x:c>
      <x:c r="Q1054" s="18" t="n">
        <x:v>620</x:v>
      </x:c>
      <x:c r="R1054" s="18" t="n">
        <x:v>0</x:v>
      </x:c>
      <x:c r="S1054" s="18" t="n">
        <x:v>626.7040454284812</x:v>
      </x:c>
      <x:c r="T1054" s="18" t="n">
        <x:v>683</x:v>
      </x:c>
      <x:c r="U1054" s="18" t="n">
        <x:v>626.7040454284812</x:v>
      </x:c>
      <x:c r="V1054" s="20" t="n">
        <x:v>4.4</x:v>
      </x:c>
      <x:c r="W1054" s="20" t="n">
        <x:v>9.9</x:v>
      </x:c>
      <x:c r="X1054" s="20" t="n">
        <x:v>7.7</x:v>
      </x:c>
      <x:c r="Y1054" t="str">
        <x:v>Basis arsip 2025/2024</x:v>
      </x:c>
      <x:c r="Z1054" t="str">
        <x:v>https://snpmb.id/utbk-snbt/daya-tampung-snbt</x:v>
      </x:c>
      <x:c r="AA1054" t="str">
        <x:v>Seni Rupa, Desain, dan Kriya</x:v>
      </x:c>
      <x:c r="AB1054" t="str">
        <x:v>Campus=80; Ratio=57.1; Prodi=45; RelDemand=21.4; Capacity=82.5</x:v>
      </x:c>
    </x:row>
    <x:row r="1055">
      <x:c r="A1055" t="n">
        <x:v>1052</x:v>
      </x:c>
      <x:c r="B1055" t="str">
        <x:v>PTN Akademik</x:v>
      </x:c>
      <x:c r="C1055" t="str">
        <x:v>UNIVERSITAS NEGERI JAKARTA</x:v>
      </x:c>
      <x:c r="D1055" t="str">
        <x:v>PENDIDIKAN PANCASILA &amp; KEWARGANEGARAAN</x:v>
      </x:c>
      <x:c r="E1055" t="str">
        <x:v>Sarjana</x:v>
      </x:c>
      <x:c r="F1055" s="18" t="n">
        <x:v>45</x:v>
      </x:c>
      <x:c r="G1055" s="18" t="n">
        <x:v>318</x:v>
      </x:c>
      <x:c r="H1055" s="19" t="n">
        <x:v>7.066666666666666</x:v>
      </x:c>
      <x:c r="I1055" s="18" t="n">
        <x:f>ROUND(MIN(Model_Config_v3!$B$6,MAX(Q1055,R1055,S1055*Model_Config_v3!$B$4+T1055*Model_Config_v3!$B$5)),0)</x:f>
        <x:v>657</x:v>
      </x:c>
      <x:c r="J1055" s="18" t="n">
        <x:f>MIN(Model_Config_v3!$B$6,I1055+Model_Config_v3!$B$7)</x:f>
        <x:v>677</x:v>
      </x:c>
      <x:c r="K1055" s="20" t="n">
        <x:v>57.4</x:v>
      </x:c>
      <x:c r="L1055" t="str">
        <x:v>KETAT</x:v>
      </x:c>
      <x:c r="M1055" t="str">
        <x:v>SEDANG+</x:v>
      </x:c>
      <x:c r="N1055" t="str">
        <x:v>ELITE-3</x:v>
      </x:c>
      <x:c r="O1055" t="str">
        <x:v>CAMPURAN</x:v>
      </x:c>
      <x:c r="P1055" t="str">
        <x:v>PENDIDIKAN</x:v>
      </x:c>
      <x:c r="Q1055" s="18" t="n">
        <x:v>620</x:v>
      </x:c>
      <x:c r="R1055" s="18" t="n">
        <x:v>0</x:v>
      </x:c>
      <x:c r="S1055" s="18" t="n">
        <x:v>613.4136066829998</x:v>
      </x:c>
      <x:c r="T1055" s="18" t="n">
        <x:v>675</x:v>
      </x:c>
      <x:c r="U1055" s="18" t="n">
        <x:v>620</x:v>
      </x:c>
      <x:c r="V1055" s="20" t="n">
        <x:v>8.8</x:v>
      </x:c>
      <x:c r="W1055" s="20" t="n">
        <x:v>9.9</x:v>
      </x:c>
      <x:c r="X1055" s="20" t="n">
        <x:v>3.3</x:v>
      </x:c>
      <x:c r="Y1055" t="str">
        <x:v>Basis arsip 2025/2024</x:v>
      </x:c>
      <x:c r="Z1055" t="str">
        <x:v>https://snpmb.id/utbk-snbt/daya-tampung-snbt</x:v>
      </x:c>
      <x:c r="AA1055" t="str">
        <x:v>Tidak Ada</x:v>
      </x:c>
      <x:c r="AB1055" t="str">
        <x:v>Campus=80; Ratio=50.0; Prodi=45; RelDemand=16.2; Capacity=62.5</x:v>
      </x:c>
    </x:row>
    <x:row r="1056">
      <x:c r="A1056" t="n">
        <x:v>1053</x:v>
      </x:c>
      <x:c r="B1056" t="str">
        <x:v>PTN Akademik</x:v>
      </x:c>
      <x:c r="C1056" t="str">
        <x:v>UNIVERSITAS NEGERI JAKARTA</x:v>
      </x:c>
      <x:c r="D1056" t="str">
        <x:v>PENDIDIKAN GEOGRAFI</x:v>
      </x:c>
      <x:c r="E1056" t="str">
        <x:v>Sarjana</x:v>
      </x:c>
      <x:c r="F1056" s="18" t="n">
        <x:v>45</x:v>
      </x:c>
      <x:c r="G1056" s="18" t="n">
        <x:v>241</x:v>
      </x:c>
      <x:c r="H1056" s="19" t="n">
        <x:v>5.355555555555555</x:v>
      </x:c>
      <x:c r="I1056" s="18" t="n">
        <x:f>ROUND(MIN(Model_Config_v3!$B$6,MAX(Q1056,R1056,S1056*Model_Config_v3!$B$4+T1056*Model_Config_v3!$B$5)),0)</x:f>
        <x:v>649</x:v>
      </x:c>
      <x:c r="J1056" s="18" t="n">
        <x:f>MIN(Model_Config_v3!$B$6,I1056+Model_Config_v3!$B$7)</x:f>
        <x:v>669</x:v>
      </x:c>
      <x:c r="K1056" s="20" t="n">
        <x:v>55.2</x:v>
      </x:c>
      <x:c r="L1056" t="str">
        <x:v>KETAT</x:v>
      </x:c>
      <x:c r="M1056" t="str">
        <x:v>SEDANG+</x:v>
      </x:c>
      <x:c r="N1056" t="str">
        <x:v>ELITE-3</x:v>
      </x:c>
      <x:c r="O1056" t="str">
        <x:v>CAMPURAN</x:v>
      </x:c>
      <x:c r="P1056" t="str">
        <x:v>PENDIDIKAN</x:v>
      </x:c>
      <x:c r="Q1056" s="18" t="n">
        <x:v>620</x:v>
      </x:c>
      <x:c r="R1056" s="18" t="n">
        <x:v>0</x:v>
      </x:c>
      <x:c r="S1056" s="18" t="n">
        <x:v>600.1684981679477</x:v>
      </x:c>
      <x:c r="T1056" s="18" t="n">
        <x:v>670</x:v>
      </x:c>
      <x:c r="U1056" s="18" t="n">
        <x:v>620</x:v>
      </x:c>
      <x:c r="V1056" s="20" t="n">
        <x:v>8.8</x:v>
      </x:c>
      <x:c r="W1056" s="20" t="n">
        <x:v>9.9</x:v>
      </x:c>
      <x:c r="X1056" s="20" t="n">
        <x:v>3.3</x:v>
      </x:c>
      <x:c r="Y1056" t="str">
        <x:v>Basis arsip 2025/2024</x:v>
      </x:c>
      <x:c r="Z1056" t="str">
        <x:v>https://snpmb.id/utbk-snbt/daya-tampung-snbt</x:v>
      </x:c>
      <x:c r="AA1056" t="str">
        <x:v>Tidak Ada</x:v>
      </x:c>
      <x:c r="AB1056" t="str">
        <x:v>Campus=80; Ratio=42.9; Prodi=45; RelDemand=12.3; Capacity=62.5</x:v>
      </x:c>
    </x:row>
    <x:row r="1057">
      <x:c r="A1057" t="n">
        <x:v>1054</x:v>
      </x:c>
      <x:c r="B1057" t="str">
        <x:v>PTN Akademik</x:v>
      </x:c>
      <x:c r="C1057" t="str">
        <x:v>UNIVERSITAS NEGERI JAKARTA</x:v>
      </x:c>
      <x:c r="D1057" t="str">
        <x:v>PENDIDIKAN SEJARAH</x:v>
      </x:c>
      <x:c r="E1057" t="str">
        <x:v>Sarjana</x:v>
      </x:c>
      <x:c r="F1057" s="18" t="n">
        <x:v>36</x:v>
      </x:c>
      <x:c r="G1057" s="18" t="n">
        <x:v>329</x:v>
      </x:c>
      <x:c r="H1057" s="19" t="n">
        <x:v>9.13888888888889</x:v>
      </x:c>
      <x:c r="I1057" s="18" t="n">
        <x:f>ROUND(MIN(Model_Config_v3!$B$6,MAX(Q1057,R1057,S1057*Model_Config_v3!$B$4+T1057*Model_Config_v3!$B$5)),0)</x:f>
        <x:v>664</x:v>
      </x:c>
      <x:c r="J1057" s="18" t="n">
        <x:f>MIN(Model_Config_v3!$B$6,I1057+Model_Config_v3!$B$7)</x:f>
        <x:v>684</x:v>
      </x:c>
      <x:c r="K1057" s="20" t="n">
        <x:v>60.2</x:v>
      </x:c>
      <x:c r="L1057" t="str">
        <x:v>KETAT</x:v>
      </x:c>
      <x:c r="M1057" t="str">
        <x:v>SEDANG+</x:v>
      </x:c>
      <x:c r="N1057" t="str">
        <x:v>ELITE-3</x:v>
      </x:c>
      <x:c r="O1057" t="str">
        <x:v>SOSHUM</x:v>
      </x:c>
      <x:c r="P1057" t="str">
        <x:v>PENDIDIKAN</x:v>
      </x:c>
      <x:c r="Q1057" s="18" t="n">
        <x:v>620</x:v>
      </x:c>
      <x:c r="R1057" s="18" t="n">
        <x:v>0</x:v>
      </x:c>
      <x:c r="S1057" s="18" t="n">
        <x:v>625.6982736900956</x:v>
      </x:c>
      <x:c r="T1057" s="18" t="n">
        <x:v>680</x:v>
      </x:c>
      <x:c r="U1057" s="18" t="n">
        <x:v>625.6982736900956</x:v>
      </x:c>
      <x:c r="V1057" s="20" t="n">
        <x:v>4.4</x:v>
      </x:c>
      <x:c r="W1057" s="20" t="n">
        <x:v>14.3</x:v>
      </x:c>
      <x:c r="X1057" s="20" t="n">
        <x:v>3.3</x:v>
      </x:c>
      <x:c r="Y1057" t="str">
        <x:v>Basis arsip 2025/2024</x:v>
      </x:c>
      <x:c r="Z1057" t="str">
        <x:v>https://snpmb.id/utbk-snbt/daya-tampung-snbt</x:v>
      </x:c>
      <x:c r="AA1057" t="str">
        <x:v>Tidak Ada</x:v>
      </x:c>
      <x:c r="AB1057" t="str">
        <x:v>Campus=80; Ratio=56.6; Prodi=45; RelDemand=21.0; Capacity=70.0</x:v>
      </x:c>
    </x:row>
    <x:row r="1058">
      <x:c r="A1058" t="n">
        <x:v>1055</x:v>
      </x:c>
      <x:c r="B1058" t="str">
        <x:v>PTN Akademik</x:v>
      </x:c>
      <x:c r="C1058" t="str">
        <x:v>UNIVERSITAS NEGERI JAKARTA</x:v>
      </x:c>
      <x:c r="D1058" t="str">
        <x:v>PENDIDIKAN AGAMA ISLAM</x:v>
      </x:c>
      <x:c r="E1058" t="str">
        <x:v>Sarjana</x:v>
      </x:c>
      <x:c r="F1058" s="18" t="n">
        <x:v>45</x:v>
      </x:c>
      <x:c r="G1058" s="18" t="n">
        <x:v>983</x:v>
      </x:c>
      <x:c r="H1058" s="19" t="n">
        <x:v>21.844444444444445</x:v>
      </x:c>
      <x:c r="I1058" s="18" t="n">
        <x:f>ROUND(MIN(Model_Config_v3!$B$6,MAX(Q1058,R1058,S1058*Model_Config_v3!$B$4+T1058*Model_Config_v3!$B$5)),0)</x:f>
        <x:v>687</x:v>
      </x:c>
      <x:c r="J1058" s="18" t="n">
        <x:f>MIN(Model_Config_v3!$B$6,I1058+Model_Config_v3!$B$7)</x:f>
        <x:v>707</x:v>
      </x:c>
      <x:c r="K1058" s="20" t="n">
        <x:v>68</x:v>
      </x:c>
      <x:c r="L1058" t="str">
        <x:v>SANGAT KETAT</x:v>
      </x:c>
      <x:c r="M1058" t="str">
        <x:v>SEDANG+</x:v>
      </x:c>
      <x:c r="N1058" t="str">
        <x:v>ELITE-3</x:v>
      </x:c>
      <x:c r="O1058" t="str">
        <x:v>CAMPURAN</x:v>
      </x:c>
      <x:c r="P1058" t="str">
        <x:v>PENDIDIKAN</x:v>
      </x:c>
      <x:c r="Q1058" s="18" t="n">
        <x:v>620</x:v>
      </x:c>
      <x:c r="R1058" s="18" t="n">
        <x:v>0</x:v>
      </x:c>
      <x:c r="S1058" s="18" t="n">
        <x:v>667.3275104462471</x:v>
      </x:c>
      <x:c r="T1058" s="18" t="n">
        <x:v>696</x:v>
      </x:c>
      <x:c r="U1058" s="18" t="n">
        <x:v>667.3275104462471</x:v>
      </x:c>
      <x:c r="V1058" s="20" t="n">
        <x:v>8.8</x:v>
      </x:c>
      <x:c r="W1058" s="20" t="n">
        <x:v>9.9</x:v>
      </x:c>
      <x:c r="X1058" s="20" t="n">
        <x:v>3.3</x:v>
      </x:c>
      <x:c r="Y1058" t="str">
        <x:v>Basis arsip 2025/2024</x:v>
      </x:c>
      <x:c r="Z1058" t="str">
        <x:v>https://snpmb.id/utbk-snbt/daya-tampung-snbt</x:v>
      </x:c>
      <x:c r="AA1058" t="str">
        <x:v>Tidak Ada</x:v>
      </x:c>
      <x:c r="AB1058" t="str">
        <x:v>Campus=80; Ratio=78.8; Prodi=45; RelDemand=50.1; Capacity=62.5</x:v>
      </x:c>
    </x:row>
    <x:row r="1059">
      <x:c r="A1059" t="n">
        <x:v>1056</x:v>
      </x:c>
      <x:c r="B1059" t="str">
        <x:v>PTN Akademik</x:v>
      </x:c>
      <x:c r="C1059" t="str">
        <x:v>UNIVERSITAS NEGERI JAKARTA</x:v>
      </x:c>
      <x:c r="D1059" t="str">
        <x:v>SOSIOLOGI</x:v>
      </x:c>
      <x:c r="E1059" t="str">
        <x:v>Sarjana</x:v>
      </x:c>
      <x:c r="F1059" s="18" t="n">
        <x:v>24</x:v>
      </x:c>
      <x:c r="G1059" s="18" t="n">
        <x:v>666</x:v>
      </x:c>
      <x:c r="H1059" s="19" t="n">
        <x:v>27.75</x:v>
      </x:c>
      <x:c r="I1059" s="18" t="n">
        <x:f>ROUND(MIN(Model_Config_v3!$B$6,MAX(Q1059,R1059,S1059*Model_Config_v3!$B$4+T1059*Model_Config_v3!$B$5)),0)</x:f>
        <x:v>696</x:v>
      </x:c>
      <x:c r="J1059" s="18" t="n">
        <x:f>MIN(Model_Config_v3!$B$6,I1059+Model_Config_v3!$B$7)</x:f>
        <x:v>716</x:v>
      </x:c>
      <x:c r="K1059" s="20" t="n">
        <x:v>71.6</x:v>
      </x:c>
      <x:c r="L1059" t="str">
        <x:v>SANGAT KETAT</x:v>
      </x:c>
      <x:c r="M1059" t="str">
        <x:v>SEDANG+</x:v>
      </x:c>
      <x:c r="N1059" t="str">
        <x:v>ELITE-3</x:v>
      </x:c>
      <x:c r="O1059" t="str">
        <x:v>SOSHUM</x:v>
      </x:c>
      <x:c r="P1059" t="str">
        <x:v>UMUM</x:v>
      </x:c>
      <x:c r="Q1059" s="18" t="n">
        <x:v>620</x:v>
      </x:c>
      <x:c r="R1059" s="18" t="n">
        <x:v>0</x:v>
      </x:c>
      <x:c r="S1059" s="18" t="n">
        <x:v>678.7589286204565</x:v>
      </x:c>
      <x:c r="T1059" s="18" t="n">
        <x:v>703</x:v>
      </x:c>
      <x:c r="U1059" s="18" t="n">
        <x:v>678.7589286204565</x:v>
      </x:c>
      <x:c r="V1059" s="20" t="n">
        <x:v>4.4</x:v>
      </x:c>
      <x:c r="W1059" s="20" t="n">
        <x:v>14.3</x:v>
      </x:c>
      <x:c r="X1059" s="20" t="n">
        <x:v>3.3</x:v>
      </x:c>
      <x:c r="Y1059" t="str">
        <x:v>Basis arsip 2025/2024</x:v>
      </x:c>
      <x:c r="Z1059" t="str">
        <x:v>https://snpmb.id/utbk-snbt/daya-tampung-snbt</x:v>
      </x:c>
      <x:c r="AA1059" t="str">
        <x:v>Tidak Ada</x:v>
      </x:c>
      <x:c r="AB1059" t="str">
        <x:v>Campus=80; Ratio=84.9; Prodi=40; RelDemand=63.6; Capacity=80.0</x:v>
      </x:c>
    </x:row>
    <x:row r="1060">
      <x:c r="A1060" t="n">
        <x:v>1057</x:v>
      </x:c>
      <x:c r="B1060" t="str">
        <x:v>PTN Akademik</x:v>
      </x:c>
      <x:c r="C1060" t="str">
        <x:v>UNIVERSITAS NEGERI JAKARTA</x:v>
      </x:c>
      <x:c r="D1060" t="str">
        <x:v>PENDIDIKAN SOSIOLOGI</x:v>
      </x:c>
      <x:c r="E1060" t="str">
        <x:v>Sarjana</x:v>
      </x:c>
      <x:c r="F1060" s="18" t="n">
        <x:v>36</x:v>
      </x:c>
      <x:c r="G1060" s="18" t="n">
        <x:v>327</x:v>
      </x:c>
      <x:c r="H1060" s="19" t="n">
        <x:v>9.083333333333334</x:v>
      </x:c>
      <x:c r="I1060" s="18" t="n">
        <x:f>ROUND(MIN(Model_Config_v3!$B$6,MAX(Q1060,R1060,S1060*Model_Config_v3!$B$4+T1060*Model_Config_v3!$B$5)),0)</x:f>
        <x:v>664</x:v>
      </x:c>
      <x:c r="J1060" s="18" t="n">
        <x:f>MIN(Model_Config_v3!$B$6,I1060+Model_Config_v3!$B$7)</x:f>
        <x:v>684</x:v>
      </x:c>
      <x:c r="K1060" s="20" t="n">
        <x:v>60.2</x:v>
      </x:c>
      <x:c r="L1060" t="str">
        <x:v>KETAT</x:v>
      </x:c>
      <x:c r="M1060" t="str">
        <x:v>SEDANG+</x:v>
      </x:c>
      <x:c r="N1060" t="str">
        <x:v>ELITE-3</x:v>
      </x:c>
      <x:c r="O1060" t="str">
        <x:v>SOSHUM</x:v>
      </x:c>
      <x:c r="P1060" t="str">
        <x:v>PENDIDIKAN</x:v>
      </x:c>
      <x:c r="Q1060" s="18" t="n">
        <x:v>620</x:v>
      </x:c>
      <x:c r="R1060" s="18" t="n">
        <x:v>0</x:v>
      </x:c>
      <x:c r="S1060" s="18" t="n">
        <x:v>625.4069777082299</x:v>
      </x:c>
      <x:c r="T1060" s="18" t="n">
        <x:v>680</x:v>
      </x:c>
      <x:c r="U1060" s="18" t="n">
        <x:v>625.4069777082299</x:v>
      </x:c>
      <x:c r="V1060" s="20" t="n">
        <x:v>4.4</x:v>
      </x:c>
      <x:c r="W1060" s="20" t="n">
        <x:v>14.3</x:v>
      </x:c>
      <x:c r="X1060" s="20" t="n">
        <x:v>3.3</x:v>
      </x:c>
      <x:c r="Y1060" t="str">
        <x:v>Basis arsip 2025/2024</x:v>
      </x:c>
      <x:c r="Z1060" t="str">
        <x:v>https://snpmb.id/utbk-snbt/daya-tampung-snbt</x:v>
      </x:c>
      <x:c r="AA1060" t="str">
        <x:v>Tidak Ada</x:v>
      </x:c>
      <x:c r="AB1060" t="str">
        <x:v>Campus=80; Ratio=56.4; Prodi=45; RelDemand=20.8; Capacity=70.0</x:v>
      </x:c>
    </x:row>
    <x:row r="1061">
      <x:c r="A1061" t="n">
        <x:v>1058</x:v>
      </x:c>
      <x:c r="B1061" t="str">
        <x:v>PTN Akademik</x:v>
      </x:c>
      <x:c r="C1061" t="str">
        <x:v>UNIVERSITAS NEGERI JAKARTA</x:v>
      </x:c>
      <x:c r="D1061" t="str">
        <x:v>PENDIDIKAN VOKASIONAL KESEJAHTERAAN KELUARGA</x:v>
      </x:c>
      <x:c r="E1061" t="str">
        <x:v>Sarjana</x:v>
      </x:c>
      <x:c r="F1061" s="18" t="n">
        <x:v>36</x:v>
      </x:c>
      <x:c r="G1061" s="18" t="n">
        <x:v>344</x:v>
      </x:c>
      <x:c r="H1061" s="19" t="n">
        <x:v>9.555555555555555</x:v>
      </x:c>
      <x:c r="I1061" s="18" t="n">
        <x:f>ROUND(MIN(Model_Config_v3!$B$6,MAX(Q1061,R1061,S1061*Model_Config_v3!$B$4+T1061*Model_Config_v3!$B$5)),0)</x:f>
        <x:v>665</x:v>
      </x:c>
      <x:c r="J1061" s="18" t="n">
        <x:f>MIN(Model_Config_v3!$B$6,I1061+Model_Config_v3!$B$7)</x:f>
        <x:v>685</x:v>
      </x:c>
      <x:c r="K1061" s="20" t="n">
        <x:v>60.6</x:v>
      </x:c>
      <x:c r="L1061" t="str">
        <x:v>KETAT</x:v>
      </x:c>
      <x:c r="M1061" t="str">
        <x:v>SEDANG+</x:v>
      </x:c>
      <x:c r="N1061" t="str">
        <x:v>ELITE-3</x:v>
      </x:c>
      <x:c r="O1061" t="str">
        <x:v>CAMPURAN</x:v>
      </x:c>
      <x:c r="P1061" t="str">
        <x:v>PENDIDIKAN</x:v>
      </x:c>
      <x:c r="Q1061" s="18" t="n">
        <x:v>620</x:v>
      </x:c>
      <x:c r="R1061" s="18" t="n">
        <x:v>0</x:v>
      </x:c>
      <x:c r="S1061" s="18" t="n">
        <x:v>627.8281535984667</x:v>
      </x:c>
      <x:c r="T1061" s="18" t="n">
        <x:v>681</x:v>
      </x:c>
      <x:c r="U1061" s="18" t="n">
        <x:v>627.8281535984667</x:v>
      </x:c>
      <x:c r="V1061" s="20" t="n">
        <x:v>8.8</x:v>
      </x:c>
      <x:c r="W1061" s="20" t="n">
        <x:v>9.9</x:v>
      </x:c>
      <x:c r="X1061" s="20" t="n">
        <x:v>3.3</x:v>
      </x:c>
      <x:c r="Y1061" t="str">
        <x:v>Basis arsip 2025/2024</x:v>
      </x:c>
      <x:c r="Z1061" t="str">
        <x:v>https://snpmb.id/utbk-snbt/daya-tampung-snbt</x:v>
      </x:c>
      <x:c r="AA1061" t="str">
        <x:v>Tidak Ada</x:v>
      </x:c>
      <x:c r="AB1061" t="str">
        <x:v>Campus=80; Ratio=57.7; Prodi=45; RelDemand=21.9; Capacity=70.0</x:v>
      </x:c>
    </x:row>
    <x:row r="1062">
      <x:c r="A1062" t="n">
        <x:v>1059</x:v>
      </x:c>
      <x:c r="B1062" t="str">
        <x:v>PTN Akademik</x:v>
      </x:c>
      <x:c r="C1062" t="str">
        <x:v>UNIVERSITAS NEGERI JAKARTA</x:v>
      </x:c>
      <x:c r="D1062" t="str">
        <x:v>PENDIDIKAN JASMANI</x:v>
      </x:c>
      <x:c r="E1062" t="str">
        <x:v>Sarjana</x:v>
      </x:c>
      <x:c r="F1062" s="18" t="n">
        <x:v>84</x:v>
      </x:c>
      <x:c r="G1062" s="18" t="n">
        <x:v>286</x:v>
      </x:c>
      <x:c r="H1062" s="19" t="n">
        <x:v>3.4047619047619047</x:v>
      </x:c>
      <x:c r="I1062" s="18" t="n">
        <x:f>ROUND(MIN(Model_Config_v3!$B$6,MAX(Q1062,R1062,S1062*Model_Config_v3!$B$4+T1062*Model_Config_v3!$B$5)),0)</x:f>
        <x:v>633</x:v>
      </x:c>
      <x:c r="J1062" s="18" t="n">
        <x:f>MIN(Model_Config_v3!$B$6,I1062+Model_Config_v3!$B$7)</x:f>
        <x:v>653</x:v>
      </x:c>
      <x:c r="K1062" s="20" t="n">
        <x:v>48.6</x:v>
      </x:c>
      <x:c r="L1062" t="str">
        <x:v>MENENGAH</x:v>
      </x:c>
      <x:c r="M1062" t="str">
        <x:v>PORTOFOLIO</x:v>
      </x:c>
      <x:c r="N1062" t="str">
        <x:v>ELITE-3</x:v>
      </x:c>
      <x:c r="O1062" t="str">
        <x:v>SENI/OLAHRAGA</x:v>
      </x:c>
      <x:c r="P1062" t="str">
        <x:v>SENI/OLAHRAGA</x:v>
      </x:c>
      <x:c r="Q1062" s="18" t="n">
        <x:v>620</x:v>
      </x:c>
      <x:c r="R1062" s="18" t="n">
        <x:v>0</x:v>
      </x:c>
      <x:c r="S1062" s="18" t="n">
        <x:v>578.5295421773877</x:v>
      </x:c>
      <x:c r="T1062" s="18" t="n">
        <x:v>657</x:v>
      </x:c>
      <x:c r="U1062" s="18" t="n">
        <x:v>620</x:v>
      </x:c>
      <x:c r="V1062" s="20" t="n">
        <x:v>4.4</x:v>
      </x:c>
      <x:c r="W1062" s="20" t="n">
        <x:v>9.9</x:v>
      </x:c>
      <x:c r="X1062" s="20" t="n">
        <x:v>7.7</x:v>
      </x:c>
      <x:c r="Y1062" t="str">
        <x:v>Basis arsip 2025/2024</x:v>
      </x:c>
      <x:c r="Z1062" t="str">
        <x:v>https://snpmb.id/utbk-snbt/daya-tampung-snbt</x:v>
      </x:c>
      <x:c r="AA1062" t="str">
        <x:v>Olahraga</x:v>
      </x:c>
      <x:c r="AB1062" t="str">
        <x:v>Campus=80; Ratio=31.3; Prodi=45; RelDemand=7.8; Capacity=30.0</x:v>
      </x:c>
    </x:row>
    <x:row r="1063">
      <x:c r="A1063" t="n">
        <x:v>1060</x:v>
      </x:c>
      <x:c r="B1063" t="str">
        <x:v>PTN Akademik</x:v>
      </x:c>
      <x:c r="C1063" t="str">
        <x:v>UNIVERSITAS NEGERI JAKARTA</x:v>
      </x:c>
      <x:c r="D1063" t="str">
        <x:v>PENDIDIKAN KEPELATIHAN OLAHRAGA</x:v>
      </x:c>
      <x:c r="E1063" t="str">
        <x:v>Sarjana</x:v>
      </x:c>
      <x:c r="F1063" s="18" t="n">
        <x:v>54</x:v>
      </x:c>
      <x:c r="G1063" s="18" t="n">
        <x:v>289</x:v>
      </x:c>
      <x:c r="H1063" s="19" t="n">
        <x:v>5.351851851851852</x:v>
      </x:c>
      <x:c r="I1063" s="18" t="n">
        <x:f>ROUND(MIN(Model_Config_v3!$B$6,MAX(Q1063,R1063,S1063*Model_Config_v3!$B$4+T1063*Model_Config_v3!$B$5)),0)</x:f>
        <x:v>648</x:v>
      </x:c>
      <x:c r="J1063" s="18" t="n">
        <x:f>MIN(Model_Config_v3!$B$6,I1063+Model_Config_v3!$B$7)</x:f>
        <x:v>668</x:v>
      </x:c>
      <x:c r="K1063" s="20" t="n">
        <x:v>54.4</x:v>
      </x:c>
      <x:c r="L1063" t="str">
        <x:v>MENENGAH</x:v>
      </x:c>
      <x:c r="M1063" t="str">
        <x:v>PORTOFOLIO</x:v>
      </x:c>
      <x:c r="N1063" t="str">
        <x:v>ELITE-3</x:v>
      </x:c>
      <x:c r="O1063" t="str">
        <x:v>SENI/OLAHRAGA</x:v>
      </x:c>
      <x:c r="P1063" t="str">
        <x:v>SENI/OLAHRAGA</x:v>
      </x:c>
      <x:c r="Q1063" s="18" t="n">
        <x:v>620</x:v>
      </x:c>
      <x:c r="R1063" s="18" t="n">
        <x:v>0</x:v>
      </x:c>
      <x:c r="S1063" s="18" t="n">
        <x:v>600.1354491226937</x:v>
      </x:c>
      <x:c r="T1063" s="18" t="n">
        <x:v>669</x:v>
      </x:c>
      <x:c r="U1063" s="18" t="n">
        <x:v>620</x:v>
      </x:c>
      <x:c r="V1063" s="20" t="n">
        <x:v>4.4</x:v>
      </x:c>
      <x:c r="W1063" s="20" t="n">
        <x:v>9.9</x:v>
      </x:c>
      <x:c r="X1063" s="20" t="n">
        <x:v>7.7</x:v>
      </x:c>
      <x:c r="Y1063" t="str">
        <x:v>Basis arsip 2025/2024</x:v>
      </x:c>
      <x:c r="Z1063" t="str">
        <x:v>https://snpmb.id/utbk-snbt/daya-tampung-snbt</x:v>
      </x:c>
      <x:c r="AA1063" t="str">
        <x:v>Olahraga</x:v>
      </x:c>
      <x:c r="AB1063" t="str">
        <x:v>Campus=80; Ratio=42.9; Prodi=45; RelDemand=12.3; Capacity=55.0</x:v>
      </x:c>
    </x:row>
    <x:row r="1064">
      <x:c r="A1064" t="n">
        <x:v>1061</x:v>
      </x:c>
      <x:c r="B1064" t="str">
        <x:v>PTN Akademik</x:v>
      </x:c>
      <x:c r="C1064" t="str">
        <x:v>UNIVERSITAS NEGERI JAKARTA</x:v>
      </x:c>
      <x:c r="D1064" t="str">
        <x:v>PENDIDIKAN EKONOMI</x:v>
      </x:c>
      <x:c r="E1064" t="str">
        <x:v>Sarjana</x:v>
      </x:c>
      <x:c r="F1064" s="18" t="n">
        <x:v>39</x:v>
      </x:c>
      <x:c r="G1064" s="18" t="n">
        <x:v>334</x:v>
      </x:c>
      <x:c r="H1064" s="19" t="n">
        <x:v>8.564102564102564</x:v>
      </x:c>
      <x:c r="I1064" s="18" t="n">
        <x:f>ROUND(MIN(Model_Config_v3!$B$6,MAX(Q1064,R1064,S1064*Model_Config_v3!$B$4+T1064*Model_Config_v3!$B$5)),0)</x:f>
        <x:v>662</x:v>
      </x:c>
      <x:c r="J1064" s="18" t="n">
        <x:f>MIN(Model_Config_v3!$B$6,I1064+Model_Config_v3!$B$7)</x:f>
        <x:v>682</x:v>
      </x:c>
      <x:c r="K1064" s="20" t="n">
        <x:v>59.4</x:v>
      </x:c>
      <x:c r="L1064" t="str">
        <x:v>KETAT</x:v>
      </x:c>
      <x:c r="M1064" t="str">
        <x:v>SEDANG+</x:v>
      </x:c>
      <x:c r="N1064" t="str">
        <x:v>ELITE-3</x:v>
      </x:c>
      <x:c r="O1064" t="str">
        <x:v>SOSHUM</x:v>
      </x:c>
      <x:c r="P1064" t="str">
        <x:v>PENDIDIKAN</x:v>
      </x:c>
      <x:c r="Q1064" s="18" t="n">
        <x:v>620</x:v>
      </x:c>
      <x:c r="R1064" s="18" t="n">
        <x:v>0</x:v>
      </x:c>
      <x:c r="S1064" s="18" t="n">
        <x:v>622.5950045763572</x:v>
      </x:c>
      <x:c r="T1064" s="18" t="n">
        <x:v>679</x:v>
      </x:c>
      <x:c r="U1064" s="18" t="n">
        <x:v>622.5950045763572</x:v>
      </x:c>
      <x:c r="V1064" s="20" t="n">
        <x:v>4.4</x:v>
      </x:c>
      <x:c r="W1064" s="20" t="n">
        <x:v>14.3</x:v>
      </x:c>
      <x:c r="X1064" s="20" t="n">
        <x:v>3.3</x:v>
      </x:c>
      <x:c r="Y1064" t="str">
        <x:v>Basis arsip 2025/2024</x:v>
      </x:c>
      <x:c r="Z1064" t="str">
        <x:v>https://snpmb.id/utbk-snbt/daya-tampung-snbt</x:v>
      </x:c>
      <x:c r="AA1064" t="str">
        <x:v>Tidak Ada</x:v>
      </x:c>
      <x:c r="AB1064" t="str">
        <x:v>Campus=80; Ratio=54.9; Prodi=45; RelDemand=19.6; Capacity=67.5</x:v>
      </x:c>
    </x:row>
    <x:row r="1065">
      <x:c r="A1065" t="n">
        <x:v>1062</x:v>
      </x:c>
      <x:c r="B1065" t="str">
        <x:v>PTN Akademik</x:v>
      </x:c>
      <x:c r="C1065" t="str">
        <x:v>UNIVERSITAS NEGERI JAKARTA</x:v>
      </x:c>
      <x:c r="D1065" t="str">
        <x:v>MANAJEMEN</x:v>
      </x:c>
      <x:c r="E1065" t="str">
        <x:v>Sarjana</x:v>
      </x:c>
      <x:c r="F1065" s="18" t="n">
        <x:v>66</x:v>
      </x:c>
      <x:c r="G1065" s="18" t="n">
        <x:v>3423</x:v>
      </x:c>
      <x:c r="H1065" s="19" t="n">
        <x:v>51.86363636363637</x:v>
      </x:c>
      <x:c r="I1065" s="18" t="n">
        <x:f>ROUND(MIN(Model_Config_v3!$B$6,MAX(Q1065,R1065,S1065*Model_Config_v3!$B$4+T1065*Model_Config_v3!$B$5)),0)</x:f>
        <x:v>717</x:v>
      </x:c>
      <x:c r="J1065" s="18" t="n">
        <x:f>MIN(Model_Config_v3!$B$6,I1065+Model_Config_v3!$B$7)</x:f>
        <x:v>737</x:v>
      </x:c>
      <x:c r="K1065" s="20" t="n">
        <x:v>80.5</x:v>
      </x:c>
      <x:c r="L1065" t="str">
        <x:v>ELITE</x:v>
      </x:c>
      <x:c r="M1065" t="str">
        <x:v>SEDANG+</x:v>
      </x:c>
      <x:c r="N1065" t="str">
        <x:v>ELITE-3</x:v>
      </x:c>
      <x:c r="O1065" t="str">
        <x:v>SOSHUM</x:v>
      </x:c>
      <x:c r="P1065" t="str">
        <x:v>BISNIS/EKONOMI/AKUNTANSI</x:v>
      </x:c>
      <x:c r="Q1065" s="18" t="n">
        <x:v>620</x:v>
      </x:c>
      <x:c r="R1065" s="18" t="n">
        <x:v>0</x:v>
      </x:c>
      <x:c r="S1065" s="18" t="n">
        <x:v>708.6349259955609</x:v>
      </x:c>
      <x:c r="T1065" s="18" t="n">
        <x:v>721</x:v>
      </x:c>
      <x:c r="U1065" s="18" t="n">
        <x:v>723.6349259955609</x:v>
      </x:c>
      <x:c r="V1065" s="20" t="n">
        <x:v>4.4</x:v>
      </x:c>
      <x:c r="W1065" s="20" t="n">
        <x:v>14.3</x:v>
      </x:c>
      <x:c r="X1065" s="20" t="n">
        <x:v>3.3</x:v>
      </x:c>
      <x:c r="Y1065" t="str">
        <x:v>Basis arsip 2025/2024</x:v>
      </x:c>
      <x:c r="Z1065" t="str">
        <x:v>https://snpmb.id/utbk-snbt/daya-tampung-snbt</x:v>
      </x:c>
      <x:c r="AA1065" t="str">
        <x:v>Tidak Ada</x:v>
      </x:c>
      <x:c r="AB1065" t="str">
        <x:v>Campus=80; Ratio=100.0; Prodi=65; RelDemand=100.0; Capacity=45.0</x:v>
      </x:c>
    </x:row>
    <x:row r="1066">
      <x:c r="A1066" t="n">
        <x:v>1063</x:v>
      </x:c>
      <x:c r="B1066" t="str">
        <x:v>PTN Akademik</x:v>
      </x:c>
      <x:c r="C1066" t="str">
        <x:v>UNIVERSITAS NEGERI JAKARTA</x:v>
      </x:c>
      <x:c r="D1066" t="str">
        <x:v>AKUNTANSI</x:v>
      </x:c>
      <x:c r="E1066" t="str">
        <x:v>Sarjana</x:v>
      </x:c>
      <x:c r="F1066" s="18" t="n">
        <x:v>54</x:v>
      </x:c>
      <x:c r="G1066" s="18" t="n">
        <x:v>2237</x:v>
      </x:c>
      <x:c r="H1066" s="19" t="n">
        <x:v>41.425925925925924</x:v>
      </x:c>
      <x:c r="I1066" s="18" t="n">
        <x:f>ROUND(MIN(Model_Config_v3!$B$6,MAX(Q1066,R1066,S1066*Model_Config_v3!$B$4+T1066*Model_Config_v3!$B$5)),0)</x:f>
        <x:v>713</x:v>
      </x:c>
      <x:c r="J1066" s="18" t="n">
        <x:f>MIN(Model_Config_v3!$B$6,I1066+Model_Config_v3!$B$7)</x:f>
        <x:v>733</x:v>
      </x:c>
      <x:c r="K1066" s="20" t="n">
        <x:v>79.8</x:v>
      </x:c>
      <x:c r="L1066" t="str">
        <x:v>ELITE</x:v>
      </x:c>
      <x:c r="M1066" t="str">
        <x:v>SEDANG+</x:v>
      </x:c>
      <x:c r="N1066" t="str">
        <x:v>ELITE-3</x:v>
      </x:c>
      <x:c r="O1066" t="str">
        <x:v>SOSHUM</x:v>
      </x:c>
      <x:c r="P1066" t="str">
        <x:v>BISNIS/EKONOMI/AKUNTANSI</x:v>
      </x:c>
      <x:c r="Q1066" s="18" t="n">
        <x:v>620</x:v>
      </x:c>
      <x:c r="R1066" s="18" t="n">
        <x:v>0</x:v>
      </x:c>
      <x:c r="S1066" s="18" t="n">
        <x:v>697.8999446701027</x:v>
      </x:c>
      <x:c r="T1066" s="18" t="n">
        <x:v>720</x:v>
      </x:c>
      <x:c r="U1066" s="18" t="n">
        <x:v>697.8999446701027</x:v>
      </x:c>
      <x:c r="V1066" s="20" t="n">
        <x:v>4.4</x:v>
      </x:c>
      <x:c r="W1066" s="20" t="n">
        <x:v>14.3</x:v>
      </x:c>
      <x:c r="X1066" s="20" t="n">
        <x:v>3.3</x:v>
      </x:c>
      <x:c r="Y1066" t="str">
        <x:v>Basis arsip 2025/2024</x:v>
      </x:c>
      <x:c r="Z1066" t="str">
        <x:v>https://snpmb.id/utbk-snbt/daya-tampung-snbt</x:v>
      </x:c>
      <x:c r="AA1066" t="str">
        <x:v>Tidak Ada</x:v>
      </x:c>
      <x:c r="AB1066" t="str">
        <x:v>Campus=80; Ratio=95.2; Prodi=65; RelDemand=95.0; Capacity=55.0</x:v>
      </x:c>
    </x:row>
    <x:row r="1067">
      <x:c r="A1067" t="n">
        <x:v>1064</x:v>
      </x:c>
      <x:c r="B1067" t="str">
        <x:v>PTN Akademik</x:v>
      </x:c>
      <x:c r="C1067" t="str">
        <x:v>UNIVERSITAS NEGERI JAKARTA</x:v>
      </x:c>
      <x:c r="D1067" t="str">
        <x:v>PENDIDIKAN ILMU PENGETAHUAN SOSIAL</x:v>
      </x:c>
      <x:c r="E1067" t="str">
        <x:v>Sarjana</x:v>
      </x:c>
      <x:c r="F1067" s="18" t="n">
        <x:v>45</x:v>
      </x:c>
      <x:c r="G1067" s="18" t="n">
        <x:v>326</x:v>
      </x:c>
      <x:c r="H1067" s="19" t="n">
        <x:v>7.2444444444444445</x:v>
      </x:c>
      <x:c r="I1067" s="18" t="n">
        <x:f>ROUND(MIN(Model_Config_v3!$B$6,MAX(Q1067,R1067,S1067*Model_Config_v3!$B$4+T1067*Model_Config_v3!$B$5)),0)</x:f>
        <x:v>657</x:v>
      </x:c>
      <x:c r="J1067" s="18" t="n">
        <x:f>MIN(Model_Config_v3!$B$6,I1067+Model_Config_v3!$B$7)</x:f>
        <x:v>677</x:v>
      </x:c>
      <x:c r="K1067" s="20" t="n">
        <x:v>57.6</x:v>
      </x:c>
      <x:c r="L1067" t="str">
        <x:v>KETAT</x:v>
      </x:c>
      <x:c r="M1067" t="str">
        <x:v>SEDANG+</x:v>
      </x:c>
      <x:c r="N1067" t="str">
        <x:v>ELITE-3</x:v>
      </x:c>
      <x:c r="O1067" t="str">
        <x:v>CAMPURAN</x:v>
      </x:c>
      <x:c r="P1067" t="str">
        <x:v>PENDIDIKAN</x:v>
      </x:c>
      <x:c r="Q1067" s="18" t="n">
        <x:v>620</x:v>
      </x:c>
      <x:c r="R1067" s="18" t="n">
        <x:v>0</x:v>
      </x:c>
      <x:c r="S1067" s="18" t="n">
        <x:v>614.6005594921854</x:v>
      </x:c>
      <x:c r="T1067" s="18" t="n">
        <x:v>675</x:v>
      </x:c>
      <x:c r="U1067" s="18" t="n">
        <x:v>620</x:v>
      </x:c>
      <x:c r="V1067" s="20" t="n">
        <x:v>8.8</x:v>
      </x:c>
      <x:c r="W1067" s="20" t="n">
        <x:v>9.9</x:v>
      </x:c>
      <x:c r="X1067" s="20" t="n">
        <x:v>3.3</x:v>
      </x:c>
      <x:c r="Y1067" t="str">
        <x:v>Basis arsip 2025/2024</x:v>
      </x:c>
      <x:c r="Z1067" t="str">
        <x:v>https://snpmb.id/utbk-snbt/daya-tampung-snbt</x:v>
      </x:c>
      <x:c r="AA1067" t="str">
        <x:v>Tidak Ada</x:v>
      </x:c>
      <x:c r="AB1067" t="str">
        <x:v>Campus=80; Ratio=50.6; Prodi=45; RelDemand=16.6; Capacity=62.5</x:v>
      </x:c>
    </x:row>
    <x:row r="1068">
      <x:c r="A1068" t="n">
        <x:v>1065</x:v>
      </x:c>
      <x:c r="B1068" t="str">
        <x:v>PTN Akademik</x:v>
      </x:c>
      <x:c r="C1068" t="str">
        <x:v>UNIVERSITAS NEGERI JAKARTA</x:v>
      </x:c>
      <x:c r="D1068" t="str">
        <x:v>PENDIDIKAN VOKASIONAL SENI KULINER</x:v>
      </x:c>
      <x:c r="E1068" t="str">
        <x:v>Sarjana</x:v>
      </x:c>
      <x:c r="F1068" s="18" t="n">
        <x:v>30</x:v>
      </x:c>
      <x:c r="G1068" s="18" t="n">
        <x:v>803</x:v>
      </x:c>
      <x:c r="H1068" s="19" t="n">
        <x:v>26.766666666666666</x:v>
      </x:c>
      <x:c r="I1068" s="18" t="n">
        <x:f>ROUND(MIN(Model_Config_v3!$B$6,MAX(Q1068,R1068,S1068*Model_Config_v3!$B$4+T1068*Model_Config_v3!$B$5)),0)</x:f>
        <x:v>695</x:v>
      </x:c>
      <x:c r="J1068" s="18" t="n">
        <x:f>MIN(Model_Config_v3!$B$6,I1068+Model_Config_v3!$B$7)</x:f>
        <x:v>715</x:v>
      </x:c>
      <x:c r="K1068" s="20" t="n">
        <x:v>71.6</x:v>
      </x:c>
      <x:c r="L1068" t="str">
        <x:v>SANGAT KETAT</x:v>
      </x:c>
      <x:c r="M1068" t="str">
        <x:v>SEDANG+</x:v>
      </x:c>
      <x:c r="N1068" t="str">
        <x:v>ELITE-3</x:v>
      </x:c>
      <x:c r="O1068" t="str">
        <x:v>CAMPURAN</x:v>
      </x:c>
      <x:c r="P1068" t="str">
        <x:v>PENDIDIKAN</x:v>
      </x:c>
      <x:c r="Q1068" s="18" t="n">
        <x:v>620</x:v>
      </x:c>
      <x:c r="R1068" s="18" t="n">
        <x:v>0</x:v>
      </x:c>
      <x:c r="S1068" s="18" t="n">
        <x:v>677.035371961492</x:v>
      </x:c>
      <x:c r="T1068" s="18" t="n">
        <x:v>703</x:v>
      </x:c>
      <x:c r="U1068" s="18" t="n">
        <x:v>677.035371961492</x:v>
      </x:c>
      <x:c r="V1068" s="20" t="n">
        <x:v>8.8</x:v>
      </x:c>
      <x:c r="W1068" s="20" t="n">
        <x:v>9.9</x:v>
      </x:c>
      <x:c r="X1068" s="20" t="n">
        <x:v>3.3</x:v>
      </x:c>
      <x:c r="Y1068" t="str">
        <x:v>Basis arsip 2025/2024</x:v>
      </x:c>
      <x:c r="Z1068" t="str">
        <x:v>https://snpmb.id/utbk-snbt/daya-tampung-snbt</x:v>
      </x:c>
      <x:c r="AA1068" t="str">
        <x:v>Tidak Ada</x:v>
      </x:c>
      <x:c r="AB1068" t="str">
        <x:v>Campus=80; Ratio=84.0; Prodi=45; RelDemand=61.4; Capacity=75.0</x:v>
      </x:c>
    </x:row>
    <x:row r="1069">
      <x:c r="A1069" t="n">
        <x:v>1066</x:v>
      </x:c>
      <x:c r="B1069" t="str">
        <x:v>PTN Akademik</x:v>
      </x:c>
      <x:c r="C1069" t="str">
        <x:v>UNIVERSITAS NEGERI JAKARTA</x:v>
      </x:c>
      <x:c r="D1069" t="str">
        <x:v>PENDIDIKAN VOKASIONAL DESAIN FASHION</x:v>
      </x:c>
      <x:c r="E1069" t="str">
        <x:v>Sarjana</x:v>
      </x:c>
      <x:c r="F1069" s="18" t="n">
        <x:v>30</x:v>
      </x:c>
      <x:c r="G1069" s="18" t="n">
        <x:v>447</x:v>
      </x:c>
      <x:c r="H1069" s="19" t="n">
        <x:v>14.9</x:v>
      </x:c>
      <x:c r="I1069" s="18" t="n">
        <x:f>ROUND(MIN(Model_Config_v3!$B$6,MAX(Q1069,R1069,S1069*Model_Config_v3!$B$4+T1069*Model_Config_v3!$B$5)),0)</x:f>
        <x:v>678</x:v>
      </x:c>
      <x:c r="J1069" s="18" t="n">
        <x:f>MIN(Model_Config_v3!$B$6,I1069+Model_Config_v3!$B$7)</x:f>
        <x:v>698</x:v>
      </x:c>
      <x:c r="K1069" s="20" t="n">
        <x:v>65.2</x:v>
      </x:c>
      <x:c r="L1069" t="str">
        <x:v>SANGAT KETAT</x:v>
      </x:c>
      <x:c r="M1069" t="str">
        <x:v>SEDANG+</x:v>
      </x:c>
      <x:c r="N1069" t="str">
        <x:v>ELITE-3</x:v>
      </x:c>
      <x:c r="O1069" t="str">
        <x:v>CAMPURAN</x:v>
      </x:c>
      <x:c r="P1069" t="str">
        <x:v>PENDIDIKAN</x:v>
      </x:c>
      <x:c r="Q1069" s="18" t="n">
        <x:v>620</x:v>
      </x:c>
      <x:c r="R1069" s="18" t="n">
        <x:v>0</x:v>
      </x:c>
      <x:c r="S1069" s="18" t="n">
        <x:v>649.0504895253501</x:v>
      </x:c>
      <x:c r="T1069" s="18" t="n">
        <x:v>690</x:v>
      </x:c>
      <x:c r="U1069" s="18" t="n">
        <x:v>649.0504895253501</x:v>
      </x:c>
      <x:c r="V1069" s="20" t="n">
        <x:v>8.8</x:v>
      </x:c>
      <x:c r="W1069" s="20" t="n">
        <x:v>9.9</x:v>
      </x:c>
      <x:c r="X1069" s="20" t="n">
        <x:v>3.3</x:v>
      </x:c>
      <x:c r="Y1069" t="str">
        <x:v>Basis arsip 2025/2024</x:v>
      </x:c>
      <x:c r="Z1069" t="str">
        <x:v>https://snpmb.id/utbk-snbt/daya-tampung-snbt</x:v>
      </x:c>
      <x:c r="AA1069" t="str">
        <x:v>Tidak Ada</x:v>
      </x:c>
      <x:c r="AB1069" t="str">
        <x:v>Campus=80; Ratio=69.1; Prodi=45; RelDemand=34.2; Capacity=75.0</x:v>
      </x:c>
    </x:row>
    <x:row r="1070">
      <x:c r="A1070" t="n">
        <x:v>1067</x:v>
      </x:c>
      <x:c r="B1070" t="str">
        <x:v>PTN Akademik</x:v>
      </x:c>
      <x:c r="C1070" t="str">
        <x:v>UNIVERSITAS NEGERI JAKARTA</x:v>
      </x:c>
      <x:c r="D1070" t="str">
        <x:v>PENDIDIKAN VOKASIONAL TATA RIAS</x:v>
      </x:c>
      <x:c r="E1070" t="str">
        <x:v>Sarjana</x:v>
      </x:c>
      <x:c r="F1070" s="18" t="n">
        <x:v>30</x:v>
      </x:c>
      <x:c r="G1070" s="18" t="n">
        <x:v>544</x:v>
      </x:c>
      <x:c r="H1070" s="19" t="n">
        <x:v>18.133333333333333</x:v>
      </x:c>
      <x:c r="I1070" s="18" t="n">
        <x:f>ROUND(MIN(Model_Config_v3!$B$6,MAX(Q1070,R1070,S1070*Model_Config_v3!$B$4+T1070*Model_Config_v3!$B$5)),0)</x:f>
        <x:v>683</x:v>
      </x:c>
      <x:c r="J1070" s="18" t="n">
        <x:f>MIN(Model_Config_v3!$B$6,I1070+Model_Config_v3!$B$7)</x:f>
        <x:v>703</x:v>
      </x:c>
      <x:c r="K1070" s="20" t="n">
        <x:v>67.2</x:v>
      </x:c>
      <x:c r="L1070" t="str">
        <x:v>SANGAT KETAT</x:v>
      </x:c>
      <x:c r="M1070" t="str">
        <x:v>SEDANG+</x:v>
      </x:c>
      <x:c r="N1070" t="str">
        <x:v>ELITE-3</x:v>
      </x:c>
      <x:c r="O1070" t="str">
        <x:v>CAMPURAN</x:v>
      </x:c>
      <x:c r="P1070" t="str">
        <x:v>PENDIDIKAN</x:v>
      </x:c>
      <x:c r="Q1070" s="18" t="n">
        <x:v>620</x:v>
      </x:c>
      <x:c r="R1070" s="18" t="n">
        <x:v>0</x:v>
      </x:c>
      <x:c r="S1070" s="18" t="n">
        <x:v>658.4325409476369</x:v>
      </x:c>
      <x:c r="T1070" s="18" t="n">
        <x:v>694</x:v>
      </x:c>
      <x:c r="U1070" s="18" t="n">
        <x:v>658.4325409476369</x:v>
      </x:c>
      <x:c r="V1070" s="20" t="n">
        <x:v>8.8</x:v>
      </x:c>
      <x:c r="W1070" s="20" t="n">
        <x:v>9.9</x:v>
      </x:c>
      <x:c r="X1070" s="20" t="n">
        <x:v>3.3</x:v>
      </x:c>
      <x:c r="Y1070" t="str">
        <x:v>Basis arsip 2025/2024</x:v>
      </x:c>
      <x:c r="Z1070" t="str">
        <x:v>https://snpmb.id/utbk-snbt/daya-tampung-snbt</x:v>
      </x:c>
      <x:c r="AA1070" t="str">
        <x:v>Tidak Ada</x:v>
      </x:c>
      <x:c r="AB1070" t="str">
        <x:v>Campus=80; Ratio=74.1; Prodi=45; RelDemand=41.6; Capacity=75.0</x:v>
      </x:c>
    </x:row>
    <x:row r="1071">
      <x:c r="A1071" t="n">
        <x:v>1068</x:v>
      </x:c>
      <x:c r="B1071" t="str">
        <x:v>PTN Akademik</x:v>
      </x:c>
      <x:c r="C1071" t="str">
        <x:v>UNIVERSITAS NEGERI JAKARTA</x:v>
      </x:c>
      <x:c r="D1071" t="str">
        <x:v>PENDIDIKAN BISNIS</x:v>
      </x:c>
      <x:c r="E1071" t="str">
        <x:v>Sarjana</x:v>
      </x:c>
      <x:c r="F1071" s="18" t="n">
        <x:v>39</x:v>
      </x:c>
      <x:c r="G1071" s="18" t="n">
        <x:v>517</x:v>
      </x:c>
      <x:c r="H1071" s="19" t="n">
        <x:v>13.256410256410257</x:v>
      </x:c>
      <x:c r="I1071" s="18" t="n">
        <x:f>ROUND(MIN(Model_Config_v3!$B$6,MAX(Q1071,R1071,S1071*Model_Config_v3!$B$4+T1071*Model_Config_v3!$B$5)),0)</x:f>
        <x:v>680</x:v>
      </x:c>
      <x:c r="J1071" s="18" t="n">
        <x:f>MIN(Model_Config_v3!$B$6,I1071+Model_Config_v3!$B$7)</x:f>
        <x:v>700</x:v>
      </x:c>
      <x:c r="K1071" s="20" t="n">
        <x:v>67.3</x:v>
      </x:c>
      <x:c r="L1071" t="str">
        <x:v>SANGAT KETAT</x:v>
      </x:c>
      <x:c r="M1071" t="str">
        <x:v>SEDANG+</x:v>
      </x:c>
      <x:c r="N1071" t="str">
        <x:v>ELITE-3</x:v>
      </x:c>
      <x:c r="O1071" t="str">
        <x:v>SOSHUM</x:v>
      </x:c>
      <x:c r="P1071" t="str">
        <x:v>BISNIS/EKONOMI/AKUNTANSI</x:v>
      </x:c>
      <x:c r="Q1071" s="18" t="n">
        <x:v>620</x:v>
      </x:c>
      <x:c r="R1071" s="18" t="n">
        <x:v>0</x:v>
      </x:c>
      <x:c r="S1071" s="18" t="n">
        <x:v>643.4668529674187</x:v>
      </x:c>
      <x:c r="T1071" s="18" t="n">
        <x:v>695</x:v>
      </x:c>
      <x:c r="U1071" s="18" t="n">
        <x:v>658.4668529674187</x:v>
      </x:c>
      <x:c r="V1071" s="20" t="n">
        <x:v>4.4</x:v>
      </x:c>
      <x:c r="W1071" s="20" t="n">
        <x:v>14.3</x:v>
      </x:c>
      <x:c r="X1071" s="20" t="n">
        <x:v>3.3</x:v>
      </x:c>
      <x:c r="Y1071" t="str">
        <x:v>Basis arsip 2025/2024</x:v>
      </x:c>
      <x:c r="Z1071" t="str">
        <x:v>https://snpmb.id/utbk-snbt/daya-tampung-snbt</x:v>
      </x:c>
      <x:c r="AA1071" t="str">
        <x:v>Tidak Ada</x:v>
      </x:c>
      <x:c r="AB1071" t="str">
        <x:v>Campus=80; Ratio=66.1; Prodi=65; RelDemand=30.4; Capacity=67.5</x:v>
      </x:c>
    </x:row>
    <x:row r="1072">
      <x:c r="A1072" t="n">
        <x:v>1069</x:v>
      </x:c>
      <x:c r="B1072" t="str">
        <x:v>PTN Akademik</x:v>
      </x:c>
      <x:c r="C1072" t="str">
        <x:v>UNIVERSITAS NEGERI JAKARTA</x:v>
      </x:c>
      <x:c r="D1072" t="str">
        <x:v>PENDIDIKAN BAHASA MANDARIN</x:v>
      </x:c>
      <x:c r="E1072" t="str">
        <x:v>Sarjana</x:v>
      </x:c>
      <x:c r="F1072" s="18" t="n">
        <x:v>30</x:v>
      </x:c>
      <x:c r="G1072" s="18" t="n">
        <x:v>226</x:v>
      </x:c>
      <x:c r="H1072" s="19" t="n">
        <x:v>7.533333333333333</x:v>
      </x:c>
      <x:c r="I1072" s="18" t="n">
        <x:f>ROUND(MIN(Model_Config_v3!$B$6,MAX(Q1072,R1072,S1072*Model_Config_v3!$B$4+T1072*Model_Config_v3!$B$5)),0)</x:f>
        <x:v>660</x:v>
      </x:c>
      <x:c r="J1072" s="18" t="n">
        <x:f>MIN(Model_Config_v3!$B$6,I1072+Model_Config_v3!$B$7)</x:f>
        <x:v>680</x:v>
      </x:c>
      <x:c r="K1072" s="20" t="n">
        <x:v>59.1</x:v>
      </x:c>
      <x:c r="L1072" t="str">
        <x:v>KETAT</x:v>
      </x:c>
      <x:c r="M1072" t="str">
        <x:v>SEDANG+</x:v>
      </x:c>
      <x:c r="N1072" t="str">
        <x:v>ELITE-3</x:v>
      </x:c>
      <x:c r="O1072" t="str">
        <x:v>SOSHUM</x:v>
      </x:c>
      <x:c r="P1072" t="str">
        <x:v>PENDIDIKAN</x:v>
      </x:c>
      <x:c r="Q1072" s="18" t="n">
        <x:v>620</x:v>
      </x:c>
      <x:c r="R1072" s="18" t="n">
        <x:v>0</x:v>
      </x:c>
      <x:c r="S1072" s="18" t="n">
        <x:v>616.4685902870513</x:v>
      </x:c>
      <x:c r="T1072" s="18" t="n">
        <x:v>678</x:v>
      </x:c>
      <x:c r="U1072" s="18" t="n">
        <x:v>620</x:v>
      </x:c>
      <x:c r="V1072" s="20" t="n">
        <x:v>4.4</x:v>
      </x:c>
      <x:c r="W1072" s="20" t="n">
        <x:v>14.3</x:v>
      </x:c>
      <x:c r="X1072" s="20" t="n">
        <x:v>3.3</x:v>
      </x:c>
      <x:c r="Y1072" t="str">
        <x:v>Basis arsip 2025/2024</x:v>
      </x:c>
      <x:c r="Z1072" t="str">
        <x:v>https://snpmb.id/utbk-snbt/daya-tampung-snbt</x:v>
      </x:c>
      <x:c r="AA1072" t="str">
        <x:v>Tidak Ada</x:v>
      </x:c>
      <x:c r="AB1072" t="str">
        <x:v>Campus=80; Ratio=51.6; Prodi=45; RelDemand=17.3; Capacity=75.0</x:v>
      </x:c>
    </x:row>
    <x:row r="1073">
      <x:c r="A1073" t="n">
        <x:v>1070</x:v>
      </x:c>
      <x:c r="B1073" t="str">
        <x:v>PTN Akademik</x:v>
      </x:c>
      <x:c r="C1073" t="str">
        <x:v>UNIVERSITAS NEGERI JAKARTA</x:v>
      </x:c>
      <x:c r="D1073" t="str">
        <x:v>PENDIDIKAN ADMINISTRASI PERKANTORAN</x:v>
      </x:c>
      <x:c r="E1073" t="str">
        <x:v>Sarjana</x:v>
      </x:c>
      <x:c r="F1073" s="18" t="n">
        <x:v>39</x:v>
      </x:c>
      <x:c r="G1073" s="18" t="n">
        <x:v>916</x:v>
      </x:c>
      <x:c r="H1073" s="19" t="n">
        <x:v>23.487179487179485</x:v>
      </x:c>
      <x:c r="I1073" s="18" t="n">
        <x:f>ROUND(MIN(Model_Config_v3!$B$6,MAX(Q1073,R1073,S1073*Model_Config_v3!$B$4+T1073*Model_Config_v3!$B$5)),0)</x:f>
        <x:v>691</x:v>
      </x:c>
      <x:c r="J1073" s="18" t="n">
        <x:f>MIN(Model_Config_v3!$B$6,I1073+Model_Config_v3!$B$7)</x:f>
        <x:v>711</x:v>
      </x:c>
      <x:c r="K1073" s="20" t="n">
        <x:v>69.3</x:v>
      </x:c>
      <x:c r="L1073" t="str">
        <x:v>SANGAT KETAT</x:v>
      </x:c>
      <x:c r="M1073" t="str">
        <x:v>SEDANG+</x:v>
      </x:c>
      <x:c r="N1073" t="str">
        <x:v>ELITE-3</x:v>
      </x:c>
      <x:c r="O1073" t="str">
        <x:v>SOSHUM</x:v>
      </x:c>
      <x:c r="P1073" t="str">
        <x:v>PENDIDIKAN</x:v>
      </x:c>
      <x:c r="Q1073" s="18" t="n">
        <x:v>620</x:v>
      </x:c>
      <x:c r="R1073" s="18" t="n">
        <x:v>0</x:v>
      </x:c>
      <x:c r="S1073" s="18" t="n">
        <x:v>670.7913953305485</x:v>
      </x:c>
      <x:c r="T1073" s="18" t="n">
        <x:v>699</x:v>
      </x:c>
      <x:c r="U1073" s="18" t="n">
        <x:v>670.7913953305485</x:v>
      </x:c>
      <x:c r="V1073" s="20" t="n">
        <x:v>4.4</x:v>
      </x:c>
      <x:c r="W1073" s="20" t="n">
        <x:v>14.3</x:v>
      </x:c>
      <x:c r="X1073" s="20" t="n">
        <x:v>3.3</x:v>
      </x:c>
      <x:c r="Y1073" t="str">
        <x:v>Basis arsip 2025/2024</x:v>
      </x:c>
      <x:c r="Z1073" t="str">
        <x:v>https://snpmb.id/utbk-snbt/daya-tampung-snbt</x:v>
      </x:c>
      <x:c r="AA1073" t="str">
        <x:v>Tidak Ada</x:v>
      </x:c>
      <x:c r="AB1073" t="str">
        <x:v>Campus=80; Ratio=80.7; Prodi=45; RelDemand=53.9; Capacity=67.5</x:v>
      </x:c>
    </x:row>
    <x:row r="1074">
      <x:c r="A1074" t="n">
        <x:v>1071</x:v>
      </x:c>
      <x:c r="B1074" t="str">
        <x:v>PTN Akademik</x:v>
      </x:c>
      <x:c r="C1074" t="str">
        <x:v>UNIVERSITAS NEGERI JAKARTA</x:v>
      </x:c>
      <x:c r="D1074" t="str">
        <x:v>OLAHRAGA REKREASI</x:v>
      </x:c>
      <x:c r="E1074" t="str">
        <x:v>Sarjana</x:v>
      </x:c>
      <x:c r="F1074" s="18" t="n">
        <x:v>45</x:v>
      </x:c>
      <x:c r="G1074" s="18" t="n">
        <x:v>123</x:v>
      </x:c>
      <x:c r="H1074" s="19" t="n">
        <x:v>2.7333333333333334</x:v>
      </x:c>
      <x:c r="I1074" s="18" t="n">
        <x:f>ROUND(MIN(Model_Config_v3!$B$6,MAX(Q1074,R1074,S1074*Model_Config_v3!$B$4+T1074*Model_Config_v3!$B$5)),0)</x:f>
        <x:v>633</x:v>
      </x:c>
      <x:c r="J1074" s="18" t="n">
        <x:f>MIN(Model_Config_v3!$B$6,I1074+Model_Config_v3!$B$7)</x:f>
        <x:v>653</x:v>
      </x:c>
      <x:c r="K1074" s="20" t="n">
        <x:v>50.3</x:v>
      </x:c>
      <x:c r="L1074" t="str">
        <x:v>MENENGAH</x:v>
      </x:c>
      <x:c r="M1074" t="str">
        <x:v>PORTOFOLIO</x:v>
      </x:c>
      <x:c r="N1074" t="str">
        <x:v>ELITE-3</x:v>
      </x:c>
      <x:c r="O1074" t="str">
        <x:v>SENI/OLAHRAGA</x:v>
      </x:c>
      <x:c r="P1074" t="str">
        <x:v>SENI/OLAHRAGA</x:v>
      </x:c>
      <x:c r="Q1074" s="18" t="n">
        <x:v>620</x:v>
      </x:c>
      <x:c r="R1074" s="18" t="n">
        <x:v>0</x:v>
      </x:c>
      <x:c r="S1074" s="18" t="n">
        <x:v>568.036185743046</x:v>
      </x:c>
      <x:c r="T1074" s="18" t="n">
        <x:v>661</x:v>
      </x:c>
      <x:c r="U1074" s="18" t="n">
        <x:v>620</x:v>
      </x:c>
      <x:c r="V1074" s="20" t="n">
        <x:v>4.4</x:v>
      </x:c>
      <x:c r="W1074" s="20" t="n">
        <x:v>9.9</x:v>
      </x:c>
      <x:c r="X1074" s="20" t="n">
        <x:v>7.7</x:v>
      </x:c>
      <x:c r="Y1074" t="str">
        <x:v>Basis arsip 2025/2024</x:v>
      </x:c>
      <x:c r="Z1074" t="str">
        <x:v>https://snpmb.id/utbk-snbt/daya-tampung-snbt</x:v>
      </x:c>
      <x:c r="AA1074" t="str">
        <x:v>Olahraga</x:v>
      </x:c>
      <x:c r="AB1074" t="str">
        <x:v>Campus=80; Ratio=25.7; Prodi=45; RelDemand=6.3; Capacity=62.5</x:v>
      </x:c>
    </x:row>
    <x:row r="1075">
      <x:c r="A1075" t="n">
        <x:v>1072</x:v>
      </x:c>
      <x:c r="B1075" t="str">
        <x:v>PTN Akademik</x:v>
      </x:c>
      <x:c r="C1075" t="str">
        <x:v>UNIVERSITAS NEGERI JAKARTA</x:v>
      </x:c>
      <x:c r="D1075" t="str">
        <x:v>KEPELATIHAN KECABANGAN OLAHRAGA</x:v>
      </x:c>
      <x:c r="E1075" t="str">
        <x:v>Sarjana</x:v>
      </x:c>
      <x:c r="F1075" s="18" t="n">
        <x:v>41</x:v>
      </x:c>
      <x:c r="G1075" s="18" t="n">
        <x:v>151</x:v>
      </x:c>
      <x:c r="H1075" s="19" t="n">
        <x:v>3.682926829268293</x:v>
      </x:c>
      <x:c r="I1075" s="18" t="n">
        <x:f>ROUND(MIN(Model_Config_v3!$B$6,MAX(Q1075,R1075,S1075*Model_Config_v3!$B$4+T1075*Model_Config_v3!$B$5)),0)</x:f>
        <x:v>641</x:v>
      </x:c>
      <x:c r="J1075" s="18" t="n">
        <x:f>MIN(Model_Config_v3!$B$6,I1075+Model_Config_v3!$B$7)</x:f>
        <x:v>661</x:v>
      </x:c>
      <x:c r="K1075" s="20" t="n">
        <x:v>52.8</x:v>
      </x:c>
      <x:c r="L1075" t="str">
        <x:v>MENENGAH</x:v>
      </x:c>
      <x:c r="M1075" t="str">
        <x:v>PORTOFOLIO</x:v>
      </x:c>
      <x:c r="N1075" t="str">
        <x:v>ELITE-3</x:v>
      </x:c>
      <x:c r="O1075" t="str">
        <x:v>SENI/OLAHRAGA</x:v>
      </x:c>
      <x:c r="P1075" t="str">
        <x:v>SENI/OLAHRAGA</x:v>
      </x:c>
      <x:c r="Q1075" s="18" t="n">
        <x:v>620</x:v>
      </x:c>
      <x:c r="R1075" s="18" t="n">
        <x:v>0</x:v>
      </x:c>
      <x:c r="S1075" s="18" t="n">
        <x:v>582.2812399630777</x:v>
      </x:c>
      <x:c r="T1075" s="18" t="n">
        <x:v>666</x:v>
      </x:c>
      <x:c r="U1075" s="18" t="n">
        <x:v>620</x:v>
      </x:c>
      <x:c r="V1075" s="20" t="n">
        <x:v>4.4</x:v>
      </x:c>
      <x:c r="W1075" s="20" t="n">
        <x:v>9.9</x:v>
      </x:c>
      <x:c r="X1075" s="20" t="n">
        <x:v>7.7</x:v>
      </x:c>
      <x:c r="Y1075" t="str">
        <x:v>Basis arsip 2025/2024</x:v>
      </x:c>
      <x:c r="Z1075" t="str">
        <x:v>https://snpmb.id/utbk-snbt/daya-tampung-snbt</x:v>
      </x:c>
      <x:c r="AA1075" t="str">
        <x:v>Olahraga</x:v>
      </x:c>
      <x:c r="AB1075" t="str">
        <x:v>Campus=80; Ratio=33.3; Prodi=45; RelDemand=8.4; Capacity=65.8</x:v>
      </x:c>
    </x:row>
    <x:row r="1076">
      <x:c r="A1076" t="n">
        <x:v>1073</x:v>
      </x:c>
      <x:c r="B1076" t="str">
        <x:v>PTN Akademik</x:v>
      </x:c>
      <x:c r="C1076" t="str">
        <x:v>UNIVERSITAS NEGERI JAKARTA</x:v>
      </x:c>
      <x:c r="D1076" t="str">
        <x:v>ILMU KOMUNIKASI</x:v>
      </x:c>
      <x:c r="E1076" t="str">
        <x:v>Sarjana</x:v>
      </x:c>
      <x:c r="F1076" s="18" t="n">
        <x:v>24</x:v>
      </x:c>
      <x:c r="G1076" s="18" t="n">
        <x:v>3162</x:v>
      </x:c>
      <x:c r="H1076" s="19" t="n">
        <x:v>131.75</x:v>
      </x:c>
      <x:c r="I1076" s="18" t="n">
        <x:f>ROUND(MIN(Model_Config_v3!$B$6,MAX(Q1076,R1076,S1076*Model_Config_v3!$B$4+T1076*Model_Config_v3!$B$5)),0)</x:f>
        <x:v>729</x:v>
      </x:c>
      <x:c r="J1076" s="18" t="n">
        <x:f>MIN(Model_Config_v3!$B$6,I1076+Model_Config_v3!$B$7)</x:f>
        <x:v>749</x:v>
      </x:c>
      <x:c r="K1076" s="20" t="n">
        <x:v>79</x:v>
      </x:c>
      <x:c r="L1076" t="str">
        <x:v>ELITE</x:v>
      </x:c>
      <x:c r="M1076" t="str">
        <x:v>SEDANG+</x:v>
      </x:c>
      <x:c r="N1076" t="str">
        <x:v>ELITE-3</x:v>
      </x:c>
      <x:c r="O1076" t="str">
        <x:v>SOSHUM</x:v>
      </x:c>
      <x:c r="P1076" t="str">
        <x:v>UMUM</x:v>
      </x:c>
      <x:c r="Q1076" s="18" t="n">
        <x:v>620</x:v>
      </x:c>
      <x:c r="R1076" s="18" t="n">
        <x:v>0</x:v>
      </x:c>
      <x:c r="S1076" s="18" t="n">
        <x:v>753.1725686273043</x:v>
      </x:c>
      <x:c r="T1076" s="18" t="n">
        <x:v>718</x:v>
      </x:c>
      <x:c r="U1076" s="18" t="n">
        <x:v>753.1725686273043</x:v>
      </x:c>
      <x:c r="V1076" s="20" t="n">
        <x:v>4.4</x:v>
      </x:c>
      <x:c r="W1076" s="20" t="n">
        <x:v>14.3</x:v>
      </x:c>
      <x:c r="X1076" s="20" t="n">
        <x:v>3.3</x:v>
      </x:c>
      <x:c r="Y1076" t="str">
        <x:v>Basis arsip 2025/2024</x:v>
      </x:c>
      <x:c r="Z1076" t="str">
        <x:v>https://snpmb.id/utbk-snbt/daya-tampung-snbt</x:v>
      </x:c>
      <x:c r="AA1076" t="str">
        <x:v>Tidak Ada</x:v>
      </x:c>
      <x:c r="AB1076" t="str">
        <x:v>Campus=80; Ratio=100.0; Prodi=40; RelDemand=100.0; Capacity=80.0</x:v>
      </x:c>
    </x:row>
    <x:row r="1077">
      <x:c r="A1077" t="n">
        <x:v>1074</x:v>
      </x:c>
      <x:c r="B1077" t="str">
        <x:v>PTN Akademik</x:v>
      </x:c>
      <x:c r="C1077" t="str">
        <x:v>UNIVERSITAS NEGERI JAKARTA</x:v>
      </x:c>
      <x:c r="D1077" t="str">
        <x:v>GEOGRAFI</x:v>
      </x:c>
      <x:c r="E1077" t="str">
        <x:v>Sarjana</x:v>
      </x:c>
      <x:c r="F1077" s="18" t="n">
        <x:v>30</x:v>
      </x:c>
      <x:c r="G1077" s="18" t="n">
        <x:v>418</x:v>
      </x:c>
      <x:c r="H1077" s="19" t="n">
        <x:v>13.933333333333334</x:v>
      </x:c>
      <x:c r="I1077" s="18" t="n">
        <x:f>ROUND(MIN(Model_Config_v3!$B$6,MAX(Q1077,R1077,S1077*Model_Config_v3!$B$4+T1077*Model_Config_v3!$B$5)),0)</x:f>
        <x:v>675</x:v>
      </x:c>
      <x:c r="J1077" s="18" t="n">
        <x:f>MIN(Model_Config_v3!$B$6,I1077+Model_Config_v3!$B$7)</x:f>
        <x:v>695</x:v>
      </x:c>
      <x:c r="K1077" s="20" t="n">
        <x:v>63.5</x:v>
      </x:c>
      <x:c r="L1077" t="str">
        <x:v>KETAT</x:v>
      </x:c>
      <x:c r="M1077" t="str">
        <x:v>SEDANG+</x:v>
      </x:c>
      <x:c r="N1077" t="str">
        <x:v>ELITE-3</x:v>
      </x:c>
      <x:c r="O1077" t="str">
        <x:v>CAMPURAN</x:v>
      </x:c>
      <x:c r="P1077" t="str">
        <x:v>UMUM</x:v>
      </x:c>
      <x:c r="Q1077" s="18" t="n">
        <x:v>620</x:v>
      </x:c>
      <x:c r="R1077" s="18" t="n">
        <x:v>0</x:v>
      </x:c>
      <x:c r="S1077" s="18" t="n">
        <x:v>645.846052976091</x:v>
      </x:c>
      <x:c r="T1077" s="18" t="n">
        <x:v>687</x:v>
      </x:c>
      <x:c r="U1077" s="18" t="n">
        <x:v>645.846052976091</x:v>
      </x:c>
      <x:c r="V1077" s="20" t="n">
        <x:v>8.8</x:v>
      </x:c>
      <x:c r="W1077" s="20" t="n">
        <x:v>9.9</x:v>
      </x:c>
      <x:c r="X1077" s="20" t="n">
        <x:v>3.3</x:v>
      </x:c>
      <x:c r="Y1077" t="str">
        <x:v>Basis arsip 2025/2024</x:v>
      </x:c>
      <x:c r="Z1077" t="str">
        <x:v>https://snpmb.id/utbk-snbt/daya-tampung-snbt</x:v>
      </x:c>
      <x:c r="AA1077" t="str">
        <x:v>Tidak Ada</x:v>
      </x:c>
      <x:c r="AB1077" t="str">
        <x:v>Campus=80; Ratio=67.3; Prodi=40; RelDemand=31.9; Capacity=75.0</x:v>
      </x:c>
    </x:row>
    <x:row r="1078">
      <x:c r="A1078" t="n">
        <x:v>1075</x:v>
      </x:c>
      <x:c r="B1078" t="str">
        <x:v>PTN Akademik</x:v>
      </x:c>
      <x:c r="C1078" t="str">
        <x:v>UNIVERSITAS NEGERI JAKARTA</x:v>
      </x:c>
      <x:c r="D1078" t="str">
        <x:v>BISNIS DIGITAL</x:v>
      </x:c>
      <x:c r="E1078" t="str">
        <x:v>Sarjana</x:v>
      </x:c>
      <x:c r="F1078" s="18" t="n">
        <x:v>50</x:v>
      </x:c>
      <x:c r="G1078" s="18" t="n">
        <x:v>2384</x:v>
      </x:c>
      <x:c r="H1078" s="19" t="n">
        <x:v>47.68</x:v>
      </x:c>
      <x:c r="I1078" s="18" t="n">
        <x:f>ROUND(MIN(Model_Config_v3!$B$6,MAX(Q1078,R1078,S1078*Model_Config_v3!$B$4+T1078*Model_Config_v3!$B$5)),0)</x:f>
        <x:v>717</x:v>
      </x:c>
      <x:c r="J1078" s="18" t="n">
        <x:f>MIN(Model_Config_v3!$B$6,I1078+Model_Config_v3!$B$7)</x:f>
        <x:v>737</x:v>
      </x:c>
      <x:c r="K1078" s="20" t="n">
        <x:v>81.5</x:v>
      </x:c>
      <x:c r="L1078" t="str">
        <x:v>ELITE</x:v>
      </x:c>
      <x:c r="M1078" t="str">
        <x:v>SEDANG+</x:v>
      </x:c>
      <x:c r="N1078" t="str">
        <x:v>ELITE-3</x:v>
      </x:c>
      <x:c r="O1078" t="str">
        <x:v>SOSHUM</x:v>
      </x:c>
      <x:c r="P1078" t="str">
        <x:v>BISNIS/EKONOMI/AKUNTANSI</x:v>
      </x:c>
      <x:c r="Q1078" s="18" t="n">
        <x:v>620</x:v>
      </x:c>
      <x:c r="R1078" s="18" t="n">
        <x:v>0</x:v>
      </x:c>
      <x:c r="S1078" s="18" t="n">
        <x:v>704.6169871405398</x:v>
      </x:c>
      <x:c r="T1078" s="18" t="n">
        <x:v>723</x:v>
      </x:c>
      <x:c r="U1078" s="18" t="n">
        <x:v>719.6169871405398</x:v>
      </x:c>
      <x:c r="V1078" s="20" t="n">
        <x:v>4.4</x:v>
      </x:c>
      <x:c r="W1078" s="20" t="n">
        <x:v>14.3</x:v>
      </x:c>
      <x:c r="X1078" s="20" t="n">
        <x:v>3.3</x:v>
      </x:c>
      <x:c r="Y1078" t="str">
        <x:v>Basis arsip 2025/2024</x:v>
      </x:c>
      <x:c r="Z1078" t="str">
        <x:v>https://snpmb.id/utbk-snbt/daya-tampung-snbt</x:v>
      </x:c>
      <x:c r="AA1078" t="str">
        <x:v>Tidak Ada</x:v>
      </x:c>
      <x:c r="AB1078" t="str">
        <x:v>Campus=80; Ratio=98.8; Prodi=65; RelDemand=100.0; Capacity=58.3</x:v>
      </x:c>
    </x:row>
    <x:row r="1079">
      <x:c r="A1079" t="n">
        <x:v>1076</x:v>
      </x:c>
      <x:c r="B1079" t="str">
        <x:v>PTN Akademik</x:v>
      </x:c>
      <x:c r="C1079" t="str">
        <x:v>UNIVERSITAS NEGERI JAKARTA</x:v>
      </x:c>
      <x:c r="D1079" t="str">
        <x:v>PENDIDIKAN AKUNTANSI</x:v>
      </x:c>
      <x:c r="E1079" t="str">
        <x:v>Sarjana</x:v>
      </x:c>
      <x:c r="F1079" s="18" t="n">
        <x:v>45</x:v>
      </x:c>
      <x:c r="G1079" s="18" t="n">
        <x:v>490</x:v>
      </x:c>
      <x:c r="H1079" s="19" t="n">
        <x:v>10.88888888888889</x:v>
      </x:c>
      <x:c r="I1079" s="18" t="n">
        <x:f>ROUND(MIN(Model_Config_v3!$B$6,MAX(Q1079,R1079,S1079*Model_Config_v3!$B$4+T1079*Model_Config_v3!$B$5)),0)</x:f>
        <x:v>673</x:v>
      </x:c>
      <x:c r="J1079" s="18" t="n">
        <x:f>MIN(Model_Config_v3!$B$6,I1079+Model_Config_v3!$B$7)</x:f>
        <x:v>693</x:v>
      </x:c>
      <x:c r="K1079" s="20" t="n">
        <x:v>65</x:v>
      </x:c>
      <x:c r="L1079" t="str">
        <x:v>SANGAT KETAT</x:v>
      </x:c>
      <x:c r="M1079" t="str">
        <x:v>SEDANG+</x:v>
      </x:c>
      <x:c r="N1079" t="str">
        <x:v>ELITE-3</x:v>
      </x:c>
      <x:c r="O1079" t="str">
        <x:v>SOSHUM</x:v>
      </x:c>
      <x:c r="P1079" t="str">
        <x:v>BISNIS/EKONOMI/AKUNTANSI</x:v>
      </x:c>
      <x:c r="Q1079" s="18" t="n">
        <x:v>620</x:v>
      </x:c>
      <x:c r="R1079" s="18" t="n">
        <x:v>0</x:v>
      </x:c>
      <x:c r="S1079" s="18" t="n">
        <x:v>634.0681922878487</x:v>
      </x:c>
      <x:c r="T1079" s="18" t="n">
        <x:v>690</x:v>
      </x:c>
      <x:c r="U1079" s="18" t="n">
        <x:v>634.0681922878487</x:v>
      </x:c>
      <x:c r="V1079" s="20" t="n">
        <x:v>4.4</x:v>
      </x:c>
      <x:c r="W1079" s="20" t="n">
        <x:v>14.3</x:v>
      </x:c>
      <x:c r="X1079" s="20" t="n">
        <x:v>3.3</x:v>
      </x:c>
      <x:c r="Y1079" t="str">
        <x:v>Basis arsip 2025/2024</x:v>
      </x:c>
      <x:c r="Z1079" t="str">
        <x:v>https://snpmb.id/utbk-snbt/daya-tampung-snbt</x:v>
      </x:c>
      <x:c r="AA1079" t="str">
        <x:v>Tidak Ada</x:v>
      </x:c>
      <x:c r="AB1079" t="str">
        <x:v>Campus=80; Ratio=61.0; Prodi=65; RelDemand=25.0; Capacity=62.5</x:v>
      </x:c>
    </x:row>
    <x:row r="1080">
      <x:c r="A1080" t="n">
        <x:v>1077</x:v>
      </x:c>
      <x:c r="B1080" t="str">
        <x:v>PTN Akademik</x:v>
      </x:c>
      <x:c r="C1080" t="str">
        <x:v>UNIVERSITAS NEGERI JAKARTA</x:v>
      </x:c>
      <x:c r="D1080" t="str">
        <x:v>PERPUSTAKAAN DAN SAINS INFORMASI</x:v>
      </x:c>
      <x:c r="E1080" t="str">
        <x:v>Sarjana</x:v>
      </x:c>
      <x:c r="F1080" s="18" t="n">
        <x:v>24</x:v>
      </x:c>
      <x:c r="G1080" s="18" t="n">
        <x:v>605</x:v>
      </x:c>
      <x:c r="H1080" s="19" t="n">
        <x:v>25.208333333333332</x:v>
      </x:c>
      <x:c r="I1080" s="18" t="n">
        <x:f>ROUND(MIN(Model_Config_v3!$B$6,MAX(Q1080,R1080,S1080*Model_Config_v3!$B$4+T1080*Model_Config_v3!$B$5)),0)</x:f>
        <x:v>693</x:v>
      </x:c>
      <x:c r="J1080" s="18" t="n">
        <x:f>MIN(Model_Config_v3!$B$6,I1080+Model_Config_v3!$B$7)</x:f>
        <x:v>713</x:v>
      </x:c>
      <x:c r="K1080" s="20" t="n">
        <x:v>70.4</x:v>
      </x:c>
      <x:c r="L1080" t="str">
        <x:v>SANGAT KETAT</x:v>
      </x:c>
      <x:c r="M1080" t="str">
        <x:v>SEDANG+</x:v>
      </x:c>
      <x:c r="N1080" t="str">
        <x:v>ELITE-3</x:v>
      </x:c>
      <x:c r="O1080" t="str">
        <x:v>CAMPURAN</x:v>
      </x:c>
      <x:c r="P1080" t="str">
        <x:v>UMUM</x:v>
      </x:c>
      <x:c r="Q1080" s="18" t="n">
        <x:v>620</x:v>
      </x:c>
      <x:c r="R1080" s="18" t="n">
        <x:v>0</x:v>
      </x:c>
      <x:c r="S1080" s="18" t="n">
        <x:v>674.1698546234949</x:v>
      </x:c>
      <x:c r="T1080" s="18" t="n">
        <x:v>701</x:v>
      </x:c>
      <x:c r="U1080" s="18" t="n">
        <x:v>674.1698546234949</x:v>
      </x:c>
      <x:c r="V1080" s="20" t="n">
        <x:v>8.8</x:v>
      </x:c>
      <x:c r="W1080" s="20" t="n">
        <x:v>9.9</x:v>
      </x:c>
      <x:c r="X1080" s="20" t="n">
        <x:v>3.3</x:v>
      </x:c>
      <x:c r="Y1080" t="str">
        <x:v>Basis arsip 2025/2024</x:v>
      </x:c>
      <x:c r="Z1080" t="str">
        <x:v>https://snpmb.id/utbk-snbt/daya-tampung-snbt</x:v>
      </x:c>
      <x:c r="AA1080" t="str">
        <x:v>Tidak Ada</x:v>
      </x:c>
      <x:c r="AB1080" t="str">
        <x:v>Campus=80; Ratio=82.5; Prodi=40; RelDemand=57.8; Capacity=80.0</x:v>
      </x:c>
    </x:row>
    <x:row r="1081">
      <x:c r="A1081" t="n">
        <x:v>1078</x:v>
      </x:c>
      <x:c r="B1081" t="str">
        <x:v>PTN Akademik</x:v>
      </x:c>
      <x:c r="C1081" t="str">
        <x:v>UNIVERSITAS NEGERI JAKARTA</x:v>
      </x:c>
      <x:c r="D1081" t="str">
        <x:v>ILMU HUKUM</x:v>
      </x:c>
      <x:c r="E1081" t="str">
        <x:v>Sarjana</x:v>
      </x:c>
      <x:c r="F1081" s="18" t="n">
        <x:v>30</x:v>
      </x:c>
      <x:c r="G1081" s="18"/>
      <x:c r="H1081" s="19" t="n">
        <x:v>0</x:v>
      </x:c>
      <x:c r="I1081" s="18" t="n">
        <x:f>ROUND(MIN(Model_Config_v3!$B$6,MAX(Q1081,R1081,S1081*Model_Config_v3!$B$4+T1081*Model_Config_v3!$B$5)),0)</x:f>
        <x:v>620</x:v>
      </x:c>
      <x:c r="J1081" s="18" t="n">
        <x:f>MIN(Model_Config_v3!$B$6,I1081+Model_Config_v3!$B$7)</x:f>
        <x:v>640</x:v>
      </x:c>
      <x:c r="K1081" s="20" t="n">
        <x:v>48.5</x:v>
      </x:c>
      <x:c r="L1081" t="str">
        <x:v>MENENGAH</x:v>
      </x:c>
      <x:c r="M1081" t="str">
        <x:v>RENDAH</x:v>
      </x:c>
      <x:c r="N1081" t="str">
        <x:v>ELITE-3</x:v>
      </x:c>
      <x:c r="O1081" t="str">
        <x:v>SOSHUM</x:v>
      </x:c>
      <x:c r="P1081" t="str">
        <x:v>HUKUM</x:v>
      </x:c>
      <x:c r="Q1081" s="18" t="n">
        <x:v>620</x:v>
      </x:c>
      <x:c r="R1081" s="18" t="n">
        <x:v>0</x:v>
      </x:c>
      <x:c r="S1081" s="18" t="n">
        <x:v>520</x:v>
      </x:c>
      <x:c r="T1081" s="18" t="n">
        <x:v>657</x:v>
      </x:c>
      <x:c r="U1081" s="18" t="n">
        <x:v>620</x:v>
      </x:c>
      <x:c r="V1081" s="20" t="n">
        <x:v>4.4</x:v>
      </x:c>
      <x:c r="W1081" s="20" t="n">
        <x:v>14.3</x:v>
      </x:c>
      <x:c r="X1081" s="20" t="n">
        <x:v>3.3</x:v>
      </x:c>
      <x:c r="Y1081" t="str">
        <x:v>Basis arsip 2025/2024</x:v>
      </x:c>
      <x:c r="Z1081" t="str">
        <x:v>https://snpmb.id/utbk-snbt/daya-tampung-snbt</x:v>
      </x:c>
      <x:c r="AA1081" t="str">
        <x:v>Tidak Ada</x:v>
      </x:c>
      <x:c r="AB1081" t="str">
        <x:v>Campus=80; Ratio=0.0; Prodi=65; RelDemand=0.0; Capacity=75.0</x:v>
      </x:c>
    </x:row>
    <x:row r="1082">
      <x:c r="A1082" t="n">
        <x:v>1079</x:v>
      </x:c>
      <x:c r="B1082" t="str">
        <x:v>PTN Akademik</x:v>
      </x:c>
      <x:c r="C1082" t="str">
        <x:v>UNIVERSITAS NEGERI JAKARTA</x:v>
      </x:c>
      <x:c r="D1082" t="str">
        <x:v>HUBUNGAN MASYARAKAT DAN KOMUNIKASI DIGITAL</x:v>
      </x:c>
      <x:c r="E1082" t="str">
        <x:v>Sarjana Terapan</x:v>
      </x:c>
      <x:c r="F1082" s="18" t="n">
        <x:v>45</x:v>
      </x:c>
      <x:c r="G1082" s="18" t="n">
        <x:v>4082</x:v>
      </x:c>
      <x:c r="H1082" s="19" t="n">
        <x:v>90.71111111111111</x:v>
      </x:c>
      <x:c r="I1082" s="18" t="n">
        <x:f>ROUND(MIN(Model_Config_v3!$B$6,MAX(Q1082,R1082,S1082*Model_Config_v3!$B$4+T1082*Model_Config_v3!$B$5)),0)</x:f>
        <x:v>720</x:v>
      </x:c>
      <x:c r="J1082" s="18" t="n">
        <x:f>MIN(Model_Config_v3!$B$6,I1082+Model_Config_v3!$B$7)</x:f>
        <x:v>740</x:v>
      </x:c>
      <x:c r="K1082" s="20" t="n">
        <x:v>77.2</x:v>
      </x:c>
      <x:c r="L1082" t="str">
        <x:v>ELITE</x:v>
      </x:c>
      <x:c r="M1082" t="str">
        <x:v>SEDANG+</x:v>
      </x:c>
      <x:c r="N1082" t="str">
        <x:v>ELITE-3</x:v>
      </x:c>
      <x:c r="O1082" t="str">
        <x:v>SOSHUM</x:v>
      </x:c>
      <x:c r="P1082" t="str">
        <x:v>UMUM</x:v>
      </x:c>
      <x:c r="Q1082" s="18" t="n">
        <x:v>620</x:v>
      </x:c>
      <x:c r="R1082" s="18" t="n">
        <x:v>0</x:v>
      </x:c>
      <x:c r="S1082" s="18" t="n">
        <x:v>735.3426535265179</x:v>
      </x:c>
      <x:c r="T1082" s="18" t="n">
        <x:v>714</x:v>
      </x:c>
      <x:c r="U1082" s="18" t="n">
        <x:v>735.3426535265179</x:v>
      </x:c>
      <x:c r="V1082" s="20" t="n">
        <x:v>4.4</x:v>
      </x:c>
      <x:c r="W1082" s="20" t="n">
        <x:v>14.3</x:v>
      </x:c>
      <x:c r="X1082" s="20" t="n">
        <x:v>3.3</x:v>
      </x:c>
      <x:c r="Y1082" t="str">
        <x:v>Basis arsip 2025/2024</x:v>
      </x:c>
      <x:c r="Z1082" t="str">
        <x:v>https://snpmb.id/utbk-snbt/daya-tampung-snbt</x:v>
      </x:c>
      <x:c r="AA1082" t="str">
        <x:v>Tidak Ada</x:v>
      </x:c>
      <x:c r="AB1082" t="str">
        <x:v>Campus=80; Ratio=100.0; Prodi=40; RelDemand=100.0; Capacity=62.5</x:v>
      </x:c>
    </x:row>
    <x:row r="1083">
      <x:c r="A1083" t="n">
        <x:v>1080</x:v>
      </x:c>
      <x:c r="B1083" t="str">
        <x:v>PTN Akademik</x:v>
      </x:c>
      <x:c r="C1083" t="str">
        <x:v>UNIVERSITAS NEGERI JAKARTA</x:v>
      </x:c>
      <x:c r="D1083" t="str">
        <x:v>USAHA PERJALANAN WISATA</x:v>
      </x:c>
      <x:c r="E1083" t="str">
        <x:v>Sarjana Terapan</x:v>
      </x:c>
      <x:c r="F1083" s="18" t="n">
        <x:v>36</x:v>
      </x:c>
      <x:c r="G1083" s="18" t="n">
        <x:v>1201</x:v>
      </x:c>
      <x:c r="H1083" s="19" t="n">
        <x:v>33.361111111111114</x:v>
      </x:c>
      <x:c r="I1083" s="18" t="n">
        <x:f>ROUND(MIN(Model_Config_v3!$B$6,MAX(Q1083,R1083,S1083*Model_Config_v3!$B$4+T1083*Model_Config_v3!$B$5)),0)</x:f>
        <x:v>700</x:v>
      </x:c>
      <x:c r="J1083" s="18" t="n">
        <x:f>MIN(Model_Config_v3!$B$6,I1083+Model_Config_v3!$B$7)</x:f>
        <x:v>720</x:v>
      </x:c>
      <x:c r="K1083" s="20" t="n">
        <x:v>73.1</x:v>
      </x:c>
      <x:c r="L1083" t="str">
        <x:v>SANGAT KETAT</x:v>
      </x:c>
      <x:c r="M1083" t="str">
        <x:v>SEDANG+</x:v>
      </x:c>
      <x:c r="N1083" t="str">
        <x:v>ELITE-3</x:v>
      </x:c>
      <x:c r="O1083" t="str">
        <x:v>CAMPURAN</x:v>
      </x:c>
      <x:c r="P1083" t="str">
        <x:v>UMUM</x:v>
      </x:c>
      <x:c r="Q1083" s="18" t="n">
        <x:v>620</x:v>
      </x:c>
      <x:c r="R1083" s="18" t="n">
        <x:v>0</x:v>
      </x:c>
      <x:c r="S1083" s="18" t="n">
        <x:v>687.5564557299181</x:v>
      </x:c>
      <x:c r="T1083" s="18" t="n">
        <x:v>706</x:v>
      </x:c>
      <x:c r="U1083" s="18" t="n">
        <x:v>687.5564557299181</x:v>
      </x:c>
      <x:c r="V1083" s="20" t="n">
        <x:v>8.8</x:v>
      </x:c>
      <x:c r="W1083" s="20" t="n">
        <x:v>9.9</x:v>
      </x:c>
      <x:c r="X1083" s="20" t="n">
        <x:v>3.3</x:v>
      </x:c>
      <x:c r="Y1083" t="str">
        <x:v>Basis arsip 2025/2024</x:v>
      </x:c>
      <x:c r="Z1083" t="str">
        <x:v>https://snpmb.id/utbk-snbt/daya-tampung-snbt</x:v>
      </x:c>
      <x:c r="AA1083" t="str">
        <x:v>Tidak Ada</x:v>
      </x:c>
      <x:c r="AB1083" t="str">
        <x:v>Campus=80; Ratio=89.7; Prodi=40; RelDemand=76.5; Capacity=70.0</x:v>
      </x:c>
    </x:row>
    <x:row r="1084">
      <x:c r="A1084" t="n">
        <x:v>1081</x:v>
      </x:c>
      <x:c r="B1084" t="str">
        <x:v>PTN Akademik</x:v>
      </x:c>
      <x:c r="C1084" t="str">
        <x:v>UNIVERSITAS NEGERI JAKARTA</x:v>
      </x:c>
      <x:c r="D1084" t="str">
        <x:v>TEKNOLOGI REKAYASA OTOMASI</x:v>
      </x:c>
      <x:c r="E1084" t="str">
        <x:v>Sarjana Terapan</x:v>
      </x:c>
      <x:c r="F1084" s="18" t="n">
        <x:v>30</x:v>
      </x:c>
      <x:c r="G1084" s="18" t="n">
        <x:v>392</x:v>
      </x:c>
      <x:c r="H1084" s="19" t="n">
        <x:v>13.066666666666666</x:v>
      </x:c>
      <x:c r="I1084" s="18" t="n">
        <x:f>ROUND(MIN(Model_Config_v3!$B$6,MAX(Q1084,R1084,S1084*Model_Config_v3!$B$4+T1084*Model_Config_v3!$B$5)),0)</x:f>
        <x:v>673</x:v>
      </x:c>
      <x:c r="J1084" s="18" t="n">
        <x:f>MIN(Model_Config_v3!$B$6,I1084+Model_Config_v3!$B$7)</x:f>
        <x:v>693</x:v>
      </x:c>
      <x:c r="K1084" s="20" t="n">
        <x:v>62.9</x:v>
      </x:c>
      <x:c r="L1084" t="str">
        <x:v>KETAT</x:v>
      </x:c>
      <x:c r="M1084" t="str">
        <x:v>SEDANG+</x:v>
      </x:c>
      <x:c r="N1084" t="str">
        <x:v>ELITE-3</x:v>
      </x:c>
      <x:c r="O1084" t="str">
        <x:v>SAINTEK</x:v>
      </x:c>
      <x:c r="P1084" t="str">
        <x:v>UMUM</x:v>
      </x:c>
      <x:c r="Q1084" s="18" t="n">
        <x:v>620</x:v>
      </x:c>
      <x:c r="R1084" s="18" t="n">
        <x:v>0</x:v>
      </x:c>
      <x:c r="S1084" s="18" t="n">
        <x:v>642.7781293530875</x:v>
      </x:c>
      <x:c r="T1084" s="18" t="n">
        <x:v>686</x:v>
      </x:c>
      <x:c r="U1084" s="18" t="n">
        <x:v>642.7781293530875</x:v>
      </x:c>
      <x:c r="V1084" s="20" t="n">
        <x:v>12</x:v>
      </x:c>
      <x:c r="W1084" s="20" t="n">
        <x:v>5</x:v>
      </x:c>
      <x:c r="X1084" s="20" t="n">
        <x:v>3</x:v>
      </x:c>
      <x:c r="Y1084" t="str">
        <x:v>Basis arsip 2025/2024</x:v>
      </x:c>
      <x:c r="Z1084" t="str">
        <x:v>https://snpmb.id/utbk-snbt/daya-tampung-snbt</x:v>
      </x:c>
      <x:c r="AA1084" t="str">
        <x:v>Tidak Ada</x:v>
      </x:c>
      <x:c r="AB1084" t="str">
        <x:v>Campus=80; Ratio=65.7; Prodi=40; RelDemand=30.0; Capacity=75.0</x:v>
      </x:c>
    </x:row>
    <x:row r="1085">
      <x:c r="A1085" t="n">
        <x:v>1082</x:v>
      </x:c>
      <x:c r="B1085" t="str">
        <x:v>PTN Akademik</x:v>
      </x:c>
      <x:c r="C1085" t="str">
        <x:v>UNIVERSITAS NEGERI JAKARTA</x:v>
      </x:c>
      <x:c r="D1085" t="str">
        <x:v>TEKNOLOGI REKAYASA MANUFAKTUR</x:v>
      </x:c>
      <x:c r="E1085" t="str">
        <x:v>Sarjana Terapan</x:v>
      </x:c>
      <x:c r="F1085" s="18" t="n">
        <x:v>18</x:v>
      </x:c>
      <x:c r="G1085" s="18" t="n">
        <x:v>433</x:v>
      </x:c>
      <x:c r="H1085" s="19" t="n">
        <x:v>24.055555555555557</x:v>
      </x:c>
      <x:c r="I1085" s="18" t="n">
        <x:f>ROUND(MIN(Model_Config_v3!$B$6,MAX(Q1085,R1085,S1085*Model_Config_v3!$B$4+T1085*Model_Config_v3!$B$5)),0)</x:f>
        <x:v>692</x:v>
      </x:c>
      <x:c r="J1085" s="18" t="n">
        <x:f>MIN(Model_Config_v3!$B$6,I1085+Model_Config_v3!$B$7)</x:f>
        <x:v>712</x:v>
      </x:c>
      <x:c r="K1085" s="20" t="n">
        <x:v>70.3</x:v>
      </x:c>
      <x:c r="L1085" t="str">
        <x:v>SANGAT KETAT</x:v>
      </x:c>
      <x:c r="M1085" t="str">
        <x:v>SEDANG+</x:v>
      </x:c>
      <x:c r="N1085" t="str">
        <x:v>ELITE-3</x:v>
      </x:c>
      <x:c r="O1085" t="str">
        <x:v>SAINTEK</x:v>
      </x:c>
      <x:c r="P1085" t="str">
        <x:v>UMUM</x:v>
      </x:c>
      <x:c r="Q1085" s="18" t="n">
        <x:v>620</x:v>
      </x:c>
      <x:c r="R1085" s="18" t="n">
        <x:v>0</x:v>
      </x:c>
      <x:c r="S1085" s="18" t="n">
        <x:v>671.9336930375065</x:v>
      </x:c>
      <x:c r="T1085" s="18" t="n">
        <x:v>701</x:v>
      </x:c>
      <x:c r="U1085" s="18" t="n">
        <x:v>671.9336930375065</x:v>
      </x:c>
      <x:c r="V1085" s="20" t="n">
        <x:v>12</x:v>
      </x:c>
      <x:c r="W1085" s="20" t="n">
        <x:v>5</x:v>
      </x:c>
      <x:c r="X1085" s="20" t="n">
        <x:v>3</x:v>
      </x:c>
      <x:c r="Y1085" t="str">
        <x:v>Basis arsip 2025/2024</x:v>
      </x:c>
      <x:c r="Z1085" t="str">
        <x:v>https://snpmb.id/utbk-snbt/daya-tampung-snbt</x:v>
      </x:c>
      <x:c r="AA1085" t="str">
        <x:v>Tidak Ada</x:v>
      </x:c>
      <x:c r="AB1085" t="str">
        <x:v>Campus=80; Ratio=81.3; Prodi=40; RelDemand=55.2; Capacity=85.0</x:v>
      </x:c>
    </x:row>
    <x:row r="1086">
      <x:c r="A1086" t="n">
        <x:v>1083</x:v>
      </x:c>
      <x:c r="B1086" t="str">
        <x:v>PTN Akademik</x:v>
      </x:c>
      <x:c r="C1086" t="str">
        <x:v>UNIVERSITAS NEGERI JAKARTA</x:v>
      </x:c>
      <x:c r="D1086" t="str">
        <x:v>TEKNOLOGI REKAYASA KONSTRUKSI BANGUNAN GEDUNG</x:v>
      </x:c>
      <x:c r="E1086" t="str">
        <x:v>Sarjana Terapan</x:v>
      </x:c>
      <x:c r="F1086" s="18" t="n">
        <x:v>24</x:v>
      </x:c>
      <x:c r="G1086" s="18" t="n">
        <x:v>479</x:v>
      </x:c>
      <x:c r="H1086" s="19" t="n">
        <x:v>19.958333333333332</x:v>
      </x:c>
      <x:c r="I1086" s="18" t="n">
        <x:f>ROUND(MIN(Model_Config_v3!$B$6,MAX(Q1086,R1086,S1086*Model_Config_v3!$B$4+T1086*Model_Config_v3!$B$5)),0)</x:f>
        <x:v>685</x:v>
      </x:c>
      <x:c r="J1086" s="18" t="n">
        <x:f>MIN(Model_Config_v3!$B$6,I1086+Model_Config_v3!$B$7)</x:f>
        <x:v>705</x:v>
      </x:c>
      <x:c r="K1086" s="20" t="n">
        <x:v>67.7</x:v>
      </x:c>
      <x:c r="L1086" t="str">
        <x:v>SANGAT KETAT</x:v>
      </x:c>
      <x:c r="M1086" t="str">
        <x:v>SEDANG+</x:v>
      </x:c>
      <x:c r="N1086" t="str">
        <x:v>ELITE-3</x:v>
      </x:c>
      <x:c r="O1086" t="str">
        <x:v>SAINTEK</x:v>
      </x:c>
      <x:c r="P1086" t="str">
        <x:v>UMUM</x:v>
      </x:c>
      <x:c r="Q1086" s="18" t="n">
        <x:v>620</x:v>
      </x:c>
      <x:c r="R1086" s="18" t="n">
        <x:v>0</x:v>
      </x:c>
      <x:c r="S1086" s="18" t="n">
        <x:v>663.0136698873252</x:v>
      </x:c>
      <x:c r="T1086" s="18" t="n">
        <x:v>695</x:v>
      </x:c>
      <x:c r="U1086" s="18" t="n">
        <x:v>663.0136698873252</x:v>
      </x:c>
      <x:c r="V1086" s="20" t="n">
        <x:v>12</x:v>
      </x:c>
      <x:c r="W1086" s="20" t="n">
        <x:v>5</x:v>
      </x:c>
      <x:c r="X1086" s="20" t="n">
        <x:v>3</x:v>
      </x:c>
      <x:c r="Y1086" t="str">
        <x:v>Basis arsip 2025/2024</x:v>
      </x:c>
      <x:c r="Z1086" t="str">
        <x:v>https://snpmb.id/utbk-snbt/daya-tampung-snbt</x:v>
      </x:c>
      <x:c r="AA1086" t="str">
        <x:v>Tidak Ada</x:v>
      </x:c>
      <x:c r="AB1086" t="str">
        <x:v>Campus=80; Ratio=76.5; Prodi=40; RelDemand=45.8; Capacity=80.0</x:v>
      </x:c>
    </x:row>
    <x:row r="1087">
      <x:c r="A1087" t="n">
        <x:v>1084</x:v>
      </x:c>
      <x:c r="B1087" t="str">
        <x:v>PTN Akademik</x:v>
      </x:c>
      <x:c r="C1087" t="str">
        <x:v>UNIVERSITAS NEGERI JAKARTA</x:v>
      </x:c>
      <x:c r="D1087" t="str">
        <x:v>MANAJEMEN PELABUHAN DAN LOGISTIK MARITIM</x:v>
      </x:c>
      <x:c r="E1087" t="str">
        <x:v>Sarjana Terapan</x:v>
      </x:c>
      <x:c r="F1087" s="18" t="n">
        <x:v>24</x:v>
      </x:c>
      <x:c r="G1087" s="18" t="n">
        <x:v>1256</x:v>
      </x:c>
      <x:c r="H1087" s="19" t="n">
        <x:v>52.333333333333336</x:v>
      </x:c>
      <x:c r="I1087" s="18" t="n">
        <x:f>ROUND(MIN(Model_Config_v3!$B$6,MAX(Q1087,R1087,S1087*Model_Config_v3!$B$4+T1087*Model_Config_v3!$B$5)),0)</x:f>
        <x:v>722</x:v>
      </x:c>
      <x:c r="J1087" s="18" t="n">
        <x:f>MIN(Model_Config_v3!$B$6,I1087+Model_Config_v3!$B$7)</x:f>
        <x:v>742</x:v>
      </x:c>
      <x:c r="K1087" s="20" t="n">
        <x:v>84</x:v>
      </x:c>
      <x:c r="L1087" t="str">
        <x:v>ELITE</x:v>
      </x:c>
      <x:c r="M1087" t="str">
        <x:v>SEDANG+</x:v>
      </x:c>
      <x:c r="N1087" t="str">
        <x:v>ELITE-3</x:v>
      </x:c>
      <x:c r="O1087" t="str">
        <x:v>SOSHUM</x:v>
      </x:c>
      <x:c r="P1087" t="str">
        <x:v>BISNIS/EKONOMI/AKUNTANSI</x:v>
      </x:c>
      <x:c r="Q1087" s="18" t="n">
        <x:v>620</x:v>
      </x:c>
      <x:c r="R1087" s="18" t="n">
        <x:v>0</x:v>
      </x:c>
      <x:c r="S1087" s="18" t="n">
        <x:v>709.0656237458528</x:v>
      </x:c>
      <x:c r="T1087" s="18" t="n">
        <x:v>728</x:v>
      </x:c>
      <x:c r="U1087" s="18" t="n">
        <x:v>724.0656237458528</x:v>
      </x:c>
      <x:c r="V1087" s="20" t="n">
        <x:v>4.4</x:v>
      </x:c>
      <x:c r="W1087" s="20" t="n">
        <x:v>14.3</x:v>
      </x:c>
      <x:c r="X1087" s="20" t="n">
        <x:v>3.3</x:v>
      </x:c>
      <x:c r="Y1087" t="str">
        <x:v>Basis arsip 2025/2024</x:v>
      </x:c>
      <x:c r="Z1087" t="str">
        <x:v>https://snpmb.id/utbk-snbt/daya-tampung-snbt</x:v>
      </x:c>
      <x:c r="AA1087" t="str">
        <x:v>Tidak Ada</x:v>
      </x:c>
      <x:c r="AB1087" t="str">
        <x:v>Campus=80; Ratio=100.0; Prodi=65; RelDemand=100.0; Capacity=80.0</x:v>
      </x:c>
    </x:row>
    <x:row r="1088">
      <x:c r="A1088" t="n">
        <x:v>1085</x:v>
      </x:c>
      <x:c r="B1088" t="str">
        <x:v>PTN Akademik</x:v>
      </x:c>
      <x:c r="C1088" t="str">
        <x:v>UNIVERSITAS NEGERI JAKARTA</x:v>
      </x:c>
      <x:c r="D1088" t="str">
        <x:v>SENI KULINER DAN PENGOLAHAN JASA MAKANAN</x:v>
      </x:c>
      <x:c r="E1088" t="str">
        <x:v>Sarjana Terapan</x:v>
      </x:c>
      <x:c r="F1088" s="18" t="n">
        <x:v>18</x:v>
      </x:c>
      <x:c r="G1088" s="18" t="n">
        <x:v>1702</x:v>
      </x:c>
      <x:c r="H1088" s="19" t="n">
        <x:v>94.55555555555556</x:v>
      </x:c>
      <x:c r="I1088" s="18" t="n">
        <x:f>ROUND(MIN(Model_Config_v3!$B$6,MAX(Q1088,R1088,S1088*Model_Config_v3!$B$4+T1088*Model_Config_v3!$B$5)),0)</x:f>
        <x:v>724</x:v>
      </x:c>
      <x:c r="J1088" s="18" t="n">
        <x:f>MIN(Model_Config_v3!$B$6,I1088+Model_Config_v3!$B$7)</x:f>
        <x:v>744</x:v>
      </x:c>
      <x:c r="K1088" s="20" t="n">
        <x:v>79.5</x:v>
      </x:c>
      <x:c r="L1088" t="str">
        <x:v>ELITE</x:v>
      </x:c>
      <x:c r="M1088" t="str">
        <x:v>SEDANG+</x:v>
      </x:c>
      <x:c r="N1088" t="str">
        <x:v>ELITE-3</x:v>
      </x:c>
      <x:c r="O1088" t="str">
        <x:v>CAMPURAN</x:v>
      </x:c>
      <x:c r="P1088" t="str">
        <x:v>UMUM</x:v>
      </x:c>
      <x:c r="Q1088" s="18" t="n">
        <x:v>620</x:v>
      </x:c>
      <x:c r="R1088" s="18" t="n">
        <x:v>0</x:v>
      </x:c>
      <x:c r="S1088" s="18" t="n">
        <x:v>737.3255755709789</x:v>
      </x:c>
      <x:c r="T1088" s="18" t="n">
        <x:v>719</x:v>
      </x:c>
      <x:c r="U1088" s="18" t="n">
        <x:v>737.3255755709789</x:v>
      </x:c>
      <x:c r="V1088" s="20" t="n">
        <x:v>8.8</x:v>
      </x:c>
      <x:c r="W1088" s="20" t="n">
        <x:v>9.9</x:v>
      </x:c>
      <x:c r="X1088" s="20" t="n">
        <x:v>3.3</x:v>
      </x:c>
      <x:c r="Y1088" t="str">
        <x:v>Basis arsip 2025/2024</x:v>
      </x:c>
      <x:c r="Z1088" t="str">
        <x:v>https://snpmb.id/utbk-snbt/daya-tampung-snbt</x:v>
      </x:c>
      <x:c r="AA1088" t="str">
        <x:v>Tidak Ada</x:v>
      </x:c>
      <x:c r="AB1088" t="str">
        <x:v>Campus=80; Ratio=100.0; Prodi=40; RelDemand=100.0; Capacity=85.0</x:v>
      </x:c>
    </x:row>
    <x:row r="1089">
      <x:c r="A1089" t="n">
        <x:v>1086</x:v>
      </x:c>
      <x:c r="B1089" t="str">
        <x:v>PTN Akademik</x:v>
      </x:c>
      <x:c r="C1089" t="str">
        <x:v>UNIVERSITAS NEGERI JAKARTA</x:v>
      </x:c>
      <x:c r="D1089" t="str">
        <x:v>DESAIN MODE</x:v>
      </x:c>
      <x:c r="E1089" t="str">
        <x:v>Sarjana Terapan</x:v>
      </x:c>
      <x:c r="F1089" s="18" t="n">
        <x:v>27</x:v>
      </x:c>
      <x:c r="G1089" s="18" t="n">
        <x:v>684</x:v>
      </x:c>
      <x:c r="H1089" s="19" t="n">
        <x:v>25.333333333333332</x:v>
      </x:c>
      <x:c r="I1089" s="18" t="n">
        <x:f>ROUND(MIN(Model_Config_v3!$B$6,MAX(Q1089,R1089,S1089*Model_Config_v3!$B$4+T1089*Model_Config_v3!$B$5)),0)</x:f>
        <x:v>692</x:v>
      </x:c>
      <x:c r="J1089" s="18" t="n">
        <x:f>MIN(Model_Config_v3!$B$6,I1089+Model_Config_v3!$B$7)</x:f>
        <x:v>712</x:v>
      </x:c>
      <x:c r="K1089" s="20" t="n">
        <x:v>70.2</x:v>
      </x:c>
      <x:c r="L1089" t="str">
        <x:v>SANGAT KETAT</x:v>
      </x:c>
      <x:c r="M1089" t="str">
        <x:v>SEDANG+</x:v>
      </x:c>
      <x:c r="N1089" t="str">
        <x:v>ELITE-3</x:v>
      </x:c>
      <x:c r="O1089" t="str">
        <x:v>CAMPURAN</x:v>
      </x:c>
      <x:c r="P1089" t="str">
        <x:v>UMUM</x:v>
      </x:c>
      <x:c r="Q1089" s="18" t="n">
        <x:v>620</x:v>
      </x:c>
      <x:c r="R1089" s="18" t="n">
        <x:v>0</x:v>
      </x:c>
      <x:c r="S1089" s="18" t="n">
        <x:v>674.4061571317242</x:v>
      </x:c>
      <x:c r="T1089" s="18" t="n">
        <x:v>700</x:v>
      </x:c>
      <x:c r="U1089" s="18" t="n">
        <x:v>674.4061571317242</x:v>
      </x:c>
      <x:c r="V1089" s="20" t="n">
        <x:v>8.8</x:v>
      </x:c>
      <x:c r="W1089" s="20" t="n">
        <x:v>9.9</x:v>
      </x:c>
      <x:c r="X1089" s="20" t="n">
        <x:v>3.3</x:v>
      </x:c>
      <x:c r="Y1089" t="str">
        <x:v>Basis arsip 2025/2024</x:v>
      </x:c>
      <x:c r="Z1089" t="str">
        <x:v>https://snpmb.id/utbk-snbt/daya-tampung-snbt</x:v>
      </x:c>
      <x:c r="AA1089" t="str">
        <x:v>Tidak Ada</x:v>
      </x:c>
      <x:c r="AB1089" t="str">
        <x:v>Campus=80; Ratio=82.6; Prodi=40; RelDemand=58.1; Capacity=77.5</x:v>
      </x:c>
    </x:row>
    <x:row r="1090">
      <x:c r="A1090" t="n">
        <x:v>1087</x:v>
      </x:c>
      <x:c r="B1090" t="str">
        <x:v>PTN Akademik</x:v>
      </x:c>
      <x:c r="C1090" t="str">
        <x:v>UNIVERSITAS NEGERI JAKARTA</x:v>
      </x:c>
      <x:c r="D1090" t="str">
        <x:v>KOSMETIK DAN PERAWATAN KECANTIKAN</x:v>
      </x:c>
      <x:c r="E1090" t="str">
        <x:v>Sarjana Terapan</x:v>
      </x:c>
      <x:c r="F1090" s="18" t="n">
        <x:v>27</x:v>
      </x:c>
      <x:c r="G1090" s="18" t="n">
        <x:v>1427</x:v>
      </x:c>
      <x:c r="H1090" s="19" t="n">
        <x:v>52.851851851851855</x:v>
      </x:c>
      <x:c r="I1090" s="18" t="n">
        <x:f>ROUND(MIN(Model_Config_v3!$B$6,MAX(Q1090,R1090,S1090*Model_Config_v3!$B$4+T1090*Model_Config_v3!$B$5)),0)</x:f>
        <x:v>715</x:v>
      </x:c>
      <x:c r="J1090" s="18" t="n">
        <x:f>MIN(Model_Config_v3!$B$6,I1090+Model_Config_v3!$B$7)</x:f>
        <x:v>735</x:v>
      </x:c>
      <x:c r="K1090" s="20" t="n">
        <x:v>78.8</x:v>
      </x:c>
      <x:c r="L1090" t="str">
        <x:v>ELITE</x:v>
      </x:c>
      <x:c r="M1090" t="str">
        <x:v>SEDANG+</x:v>
      </x:c>
      <x:c r="N1090" t="str">
        <x:v>ELITE-3</x:v>
      </x:c>
      <x:c r="O1090" t="str">
        <x:v>CAMPURAN</x:v>
      </x:c>
      <x:c r="P1090" t="str">
        <x:v>UMUM</x:v>
      </x:c>
      <x:c r="Q1090" s="18" t="n">
        <x:v>620</x:v>
      </x:c>
      <x:c r="R1090" s="18" t="n">
        <x:v>0</x:v>
      </x:c>
      <x:c r="S1090" s="18" t="n">
        <x:v>709.5366229851226</x:v>
      </x:c>
      <x:c r="T1090" s="18" t="n">
        <x:v>718</x:v>
      </x:c>
      <x:c r="U1090" s="18" t="n">
        <x:v>709.5366229851226</x:v>
      </x:c>
      <x:c r="V1090" s="20" t="n">
        <x:v>8.8</x:v>
      </x:c>
      <x:c r="W1090" s="20" t="n">
        <x:v>9.9</x:v>
      </x:c>
      <x:c r="X1090" s="20" t="n">
        <x:v>3.3</x:v>
      </x:c>
      <x:c r="Y1090" t="str">
        <x:v>Basis arsip 2025/2024</x:v>
      </x:c>
      <x:c r="Z1090" t="str">
        <x:v>https://snpmb.id/utbk-snbt/daya-tampung-snbt</x:v>
      </x:c>
      <x:c r="AA1090" t="str">
        <x:v>Tidak Ada</x:v>
      </x:c>
      <x:c r="AB1090" t="str">
        <x:v>Campus=80; Ratio=100.0; Prodi=40; RelDemand=100.0; Capacity=77.5</x:v>
      </x:c>
    </x:row>
    <x:row r="1091">
      <x:c r="A1091" t="n">
        <x:v>1088</x:v>
      </x:c>
      <x:c r="B1091" t="str">
        <x:v>PTN Akademik</x:v>
      </x:c>
      <x:c r="C1091" t="str">
        <x:v>UNIVERSITAS NEGERI JAKARTA</x:v>
      </x:c>
      <x:c r="D1091" t="str">
        <x:v>PEMASARAN DIGITAL</x:v>
      </x:c>
      <x:c r="E1091" t="str">
        <x:v>Sarjana Terapan</x:v>
      </x:c>
      <x:c r="F1091" s="18" t="n">
        <x:v>39</x:v>
      </x:c>
      <x:c r="G1091" s="18" t="n">
        <x:v>1976</x:v>
      </x:c>
      <x:c r="H1091" s="19" t="n">
        <x:v>50.666666666666664</x:v>
      </x:c>
      <x:c r="I1091" s="18" t="n">
        <x:f>ROUND(MIN(Model_Config_v3!$B$6,MAX(Q1091,R1091,S1091*Model_Config_v3!$B$4+T1091*Model_Config_v3!$B$5)),0)</x:f>
        <x:v>713</x:v>
      </x:c>
      <x:c r="J1091" s="18" t="n">
        <x:f>MIN(Model_Config_v3!$B$6,I1091+Model_Config_v3!$B$7)</x:f>
        <x:v>733</x:v>
      </x:c>
      <x:c r="K1091" s="20" t="n">
        <x:v>77.8</x:v>
      </x:c>
      <x:c r="L1091" t="str">
        <x:v>ELITE</x:v>
      </x:c>
      <x:c r="M1091" t="str">
        <x:v>SEDANG+</x:v>
      </x:c>
      <x:c r="N1091" t="str">
        <x:v>ELITE-3</x:v>
      </x:c>
      <x:c r="O1091" t="str">
        <x:v>CAMPURAN</x:v>
      </x:c>
      <x:c r="P1091" t="str">
        <x:v>UMUM</x:v>
      </x:c>
      <x:c r="Q1091" s="18" t="n">
        <x:v>620</x:v>
      </x:c>
      <x:c r="R1091" s="18" t="n">
        <x:v>0</x:v>
      </x:c>
      <x:c r="S1091" s="18" t="n">
        <x:v>707.519456654762</x:v>
      </x:c>
      <x:c r="T1091" s="18" t="n">
        <x:v>716</x:v>
      </x:c>
      <x:c r="U1091" s="18" t="n">
        <x:v>707.519456654762</x:v>
      </x:c>
      <x:c r="V1091" s="20" t="n">
        <x:v>8.8</x:v>
      </x:c>
      <x:c r="W1091" s="20" t="n">
        <x:v>9.9</x:v>
      </x:c>
      <x:c r="X1091" s="20" t="n">
        <x:v>3.3</x:v>
      </x:c>
      <x:c r="Y1091" t="str">
        <x:v>Basis arsip 2025/2024</x:v>
      </x:c>
      <x:c r="Z1091" t="str">
        <x:v>https://snpmb.id/utbk-snbt/daya-tampung-snbt</x:v>
      </x:c>
      <x:c r="AA1091" t="str">
        <x:v>Tidak Ada</x:v>
      </x:c>
      <x:c r="AB1091" t="str">
        <x:v>Campus=80; Ratio=100.0; Prodi=40; RelDemand=100.0; Capacity=67.5</x:v>
      </x:c>
    </x:row>
    <x:row r="1092">
      <x:c r="A1092" t="n">
        <x:v>1089</x:v>
      </x:c>
      <x:c r="B1092" t="str">
        <x:v>PTN Akademik</x:v>
      </x:c>
      <x:c r="C1092" t="str">
        <x:v>UNIVERSITAS NEGERI JAKARTA</x:v>
      </x:c>
      <x:c r="D1092" t="str">
        <x:v>ADMINISTRASI PERKANTORAN DIGITAL</x:v>
      </x:c>
      <x:c r="E1092" t="str">
        <x:v>Sarjana Terapan</x:v>
      </x:c>
      <x:c r="F1092" s="18" t="n">
        <x:v>39</x:v>
      </x:c>
      <x:c r="G1092" s="18" t="n">
        <x:v>3204</x:v>
      </x:c>
      <x:c r="H1092" s="19" t="n">
        <x:v>82.15384615384616</x:v>
      </x:c>
      <x:c r="I1092" s="18" t="n">
        <x:f>ROUND(MIN(Model_Config_v3!$B$6,MAX(Q1092,R1092,S1092*Model_Config_v3!$B$4+T1092*Model_Config_v3!$B$5)),0)</x:f>
        <x:v>720</x:v>
      </x:c>
      <x:c r="J1092" s="18" t="n">
        <x:f>MIN(Model_Config_v3!$B$6,I1092+Model_Config_v3!$B$7)</x:f>
        <x:v>740</x:v>
      </x:c>
      <x:c r="K1092" s="20" t="n">
        <x:v>77.8</x:v>
      </x:c>
      <x:c r="L1092" t="str">
        <x:v>ELITE</x:v>
      </x:c>
      <x:c r="M1092" t="str">
        <x:v>SEDANG+</x:v>
      </x:c>
      <x:c r="N1092" t="str">
        <x:v>ELITE-3</x:v>
      </x:c>
      <x:c r="O1092" t="str">
        <x:v>SOSHUM</x:v>
      </x:c>
      <x:c r="P1092" t="str">
        <x:v>UMUM</x:v>
      </x:c>
      <x:c r="Q1092" s="18" t="n">
        <x:v>620</x:v>
      </x:c>
      <x:c r="R1092" s="18" t="n">
        <x:v>0</x:v>
      </x:c>
      <x:c r="S1092" s="18" t="n">
        <x:v>730.6090690424271</x:v>
      </x:c>
      <x:c r="T1092" s="18" t="n">
        <x:v>716</x:v>
      </x:c>
      <x:c r="U1092" s="18" t="n">
        <x:v>730.6090690424271</x:v>
      </x:c>
      <x:c r="V1092" s="20" t="n">
        <x:v>4.4</x:v>
      </x:c>
      <x:c r="W1092" s="20" t="n">
        <x:v>14.3</x:v>
      </x:c>
      <x:c r="X1092" s="20" t="n">
        <x:v>3.3</x:v>
      </x:c>
      <x:c r="Y1092" t="str">
        <x:v>Basis arsip 2025/2024</x:v>
      </x:c>
      <x:c r="Z1092" t="str">
        <x:v>https://snpmb.id/utbk-snbt/daya-tampung-snbt</x:v>
      </x:c>
      <x:c r="AA1092" t="str">
        <x:v>Tidak Ada</x:v>
      </x:c>
      <x:c r="AB1092" t="str">
        <x:v>Campus=80; Ratio=100.0; Prodi=40; RelDemand=100.0; Capacity=67.5</x:v>
      </x:c>
    </x:row>
    <x:row r="1093">
      <x:c r="A1093" t="n">
        <x:v>1090</x:v>
      </x:c>
      <x:c r="B1093" t="str">
        <x:v>PTN Akademik</x:v>
      </x:c>
      <x:c r="C1093" t="str">
        <x:v>UNIVERSITAS NEGERI JAKARTA</x:v>
      </x:c>
      <x:c r="D1093" t="str">
        <x:v>AKUNTANSI SEKTOR PUBLIK</x:v>
      </x:c>
      <x:c r="E1093" t="str">
        <x:v>Sarjana Terapan</x:v>
      </x:c>
      <x:c r="F1093" s="18" t="n">
        <x:v>39</x:v>
      </x:c>
      <x:c r="G1093" s="18" t="n">
        <x:v>2140</x:v>
      </x:c>
      <x:c r="H1093" s="19" t="n">
        <x:v>54.87179487179487</x:v>
      </x:c>
      <x:c r="I1093" s="18" t="n">
        <x:f>ROUND(MIN(Model_Config_v3!$B$6,MAX(Q1093,R1093,S1093*Model_Config_v3!$B$4+T1093*Model_Config_v3!$B$5)),0)</x:f>
        <x:v>722</x:v>
      </x:c>
      <x:c r="J1093" s="18" t="n">
        <x:f>MIN(Model_Config_v3!$B$6,I1093+Model_Config_v3!$B$7)</x:f>
        <x:v>742</x:v>
      </x:c>
      <x:c r="K1093" s="20" t="n">
        <x:v>82.8</x:v>
      </x:c>
      <x:c r="L1093" t="str">
        <x:v>ELITE</x:v>
      </x:c>
      <x:c r="M1093" t="str">
        <x:v>SEDANG+</x:v>
      </x:c>
      <x:c r="N1093" t="str">
        <x:v>ELITE-3</x:v>
      </x:c>
      <x:c r="O1093" t="str">
        <x:v>SOSHUM</x:v>
      </x:c>
      <x:c r="P1093" t="str">
        <x:v>BISNIS/EKONOMI/AKUNTANSI</x:v>
      </x:c>
      <x:c r="Q1093" s="18" t="n">
        <x:v>620</x:v>
      </x:c>
      <x:c r="R1093" s="18" t="n">
        <x:v>0</x:v>
      </x:c>
      <x:c r="S1093" s="18" t="n">
        <x:v>711.328408295496</x:v>
      </x:c>
      <x:c r="T1093" s="18" t="n">
        <x:v>726</x:v>
      </x:c>
      <x:c r="U1093" s="18" t="n">
        <x:v>711.328408295496</x:v>
      </x:c>
      <x:c r="V1093" s="20" t="n">
        <x:v>4.4</x:v>
      </x:c>
      <x:c r="W1093" s="20" t="n">
        <x:v>14.3</x:v>
      </x:c>
      <x:c r="X1093" s="20" t="n">
        <x:v>3.3</x:v>
      </x:c>
      <x:c r="Y1093" t="str">
        <x:v>Basis arsip 2025/2024</x:v>
      </x:c>
      <x:c r="Z1093" t="str">
        <x:v>https://snpmb.id/utbk-snbt/daya-tampung-snbt</x:v>
      </x:c>
      <x:c r="AA1093" t="str">
        <x:v>Tidak Ada</x:v>
      </x:c>
      <x:c r="AB1093" t="str">
        <x:v>Campus=80; Ratio=100.0; Prodi=65; RelDemand=100.0; Capacity=67.5</x:v>
      </x:c>
    </x:row>
    <x:row r="1094">
      <x:c r="A1094" t="n">
        <x:v>1091</x:v>
      </x:c>
      <x:c r="B1094" t="str">
        <x:v>PTN Akademik</x:v>
      </x:c>
      <x:c r="C1094" t="str">
        <x:v>UPN "VETERAN" JAKARTA</x:v>
      </x:c>
      <x:c r="D1094" t="str">
        <x:v>TEKNIK MESIN</x:v>
      </x:c>
      <x:c r="E1094" t="str">
        <x:v>Sarjana</x:v>
      </x:c>
      <x:c r="F1094" s="18" t="n">
        <x:v>70</x:v>
      </x:c>
      <x:c r="G1094" s="18" t="n">
        <x:v>668</x:v>
      </x:c>
      <x:c r="H1094" s="19" t="n">
        <x:v>9.542857142857143</x:v>
      </x:c>
      <x:c r="I1094" s="18" t="n">
        <x:f>ROUND(MIN(Model_Config_v3!$B$6,MAX(Q1094,R1094,S1094*Model_Config_v3!$B$4+T1094*Model_Config_v3!$B$5)),0)</x:f>
        <x:v>653</x:v>
      </x:c>
      <x:c r="J1094" s="18" t="n">
        <x:f>MIN(Model_Config_v3!$B$6,I1094+Model_Config_v3!$B$7)</x:f>
        <x:v>673</x:v>
      </x:c>
      <x:c r="K1094" s="20" t="n">
        <x:v>51.9</x:v>
      </x:c>
      <x:c r="L1094" t="str">
        <x:v>MENENGAH</x:v>
      </x:c>
      <x:c r="M1094" t="str">
        <x:v>SEDANG+</x:v>
      </x:c>
      <x:c r="N1094" t="str">
        <x:v>REGULER</x:v>
      </x:c>
      <x:c r="O1094" t="str">
        <x:v>SAINTEK</x:v>
      </x:c>
      <x:c r="P1094" t="str">
        <x:v>TEKNIK/ARSITEKTUR/STATISTIKA/AKTUARIA</x:v>
      </x:c>
      <x:c r="Q1094" s="18" t="n">
        <x:v>0</x:v>
      </x:c>
      <x:c r="R1094" s="18" t="n">
        <x:v>0</x:v>
      </x:c>
      <x:c r="S1094" s="18" t="n">
        <x:v>627.7646264707417</x:v>
      </x:c>
      <x:c r="T1094" s="18" t="n">
        <x:v>664</x:v>
      </x:c>
      <x:c r="U1094" s="18" t="n">
        <x:v>637.7646264707417</x:v>
      </x:c>
      <x:c r="V1094" s="20" t="n">
        <x:v>12</x:v>
      </x:c>
      <x:c r="W1094" s="20" t="n">
        <x:v>5</x:v>
      </x:c>
      <x:c r="X1094" s="20" t="n">
        <x:v>3</x:v>
      </x:c>
      <x:c r="Y1094" t="str">
        <x:v>Basis arsip 2025/2024</x:v>
      </x:c>
      <x:c r="Z1094" t="str">
        <x:v>https://snpmb.id/utbk-snbt/daya-tampung-snbt</x:v>
      </x:c>
      <x:c r="AA1094" t="str">
        <x:v>Tidak Ada</x:v>
      </x:c>
      <x:c r="AB1094" t="str">
        <x:v>Campus=55; Ratio=57.7; Prodi=60; RelDemand=20.4; Capacity=41.7</x:v>
      </x:c>
    </x:row>
    <x:row r="1095">
      <x:c r="A1095" t="n">
        <x:v>1092</x:v>
      </x:c>
      <x:c r="B1095" t="str">
        <x:v>PTN Akademik</x:v>
      </x:c>
      <x:c r="C1095" t="str">
        <x:v>UPN "VETERAN" JAKARTA</x:v>
      </x:c>
      <x:c r="D1095" t="str">
        <x:v>TEKNIK PERKAPALAN</x:v>
      </x:c>
      <x:c r="E1095" t="str">
        <x:v>Sarjana</x:v>
      </x:c>
      <x:c r="F1095" s="18" t="n">
        <x:v>35</x:v>
      </x:c>
      <x:c r="G1095" s="18" t="n">
        <x:v>482</x:v>
      </x:c>
      <x:c r="H1095" s="19" t="n">
        <x:v>13.771428571428572</x:v>
      </x:c>
      <x:c r="I1095" s="18" t="n">
        <x:f>ROUND(MIN(Model_Config_v3!$B$6,MAX(Q1095,R1095,S1095*Model_Config_v3!$B$4+T1095*Model_Config_v3!$B$5)),0)</x:f>
        <x:v>667</x:v>
      </x:c>
      <x:c r="J1095" s="18" t="n">
        <x:f>MIN(Model_Config_v3!$B$6,I1095+Model_Config_v3!$B$7)</x:f>
        <x:v>687</x:v>
      </x:c>
      <x:c r="K1095" s="20" t="n">
        <x:v>58</x:v>
      </x:c>
      <x:c r="L1095" t="str">
        <x:v>KETAT</x:v>
      </x:c>
      <x:c r="M1095" t="str">
        <x:v>SEDANG+</x:v>
      </x:c>
      <x:c r="N1095" t="str">
        <x:v>REGULER</x:v>
      </x:c>
      <x:c r="O1095" t="str">
        <x:v>SAINTEK</x:v>
      </x:c>
      <x:c r="P1095" t="str">
        <x:v>TEKNIK/ARSITEKTUR/STATISTIKA/AKTUARIA</x:v>
      </x:c>
      <x:c r="Q1095" s="18" t="n">
        <x:v>0</x:v>
      </x:c>
      <x:c r="R1095" s="18" t="n">
        <x:v>0</x:v>
      </x:c>
      <x:c r="S1095" s="18" t="n">
        <x:v>645.2876893277431</x:v>
      </x:c>
      <x:c r="T1095" s="18" t="n">
        <x:v>676</x:v>
      </x:c>
      <x:c r="U1095" s="18" t="n">
        <x:v>655.2876893277431</x:v>
      </x:c>
      <x:c r="V1095" s="20" t="n">
        <x:v>12</x:v>
      </x:c>
      <x:c r="W1095" s="20" t="n">
        <x:v>5</x:v>
      </x:c>
      <x:c r="X1095" s="20" t="n">
        <x:v>3</x:v>
      </x:c>
      <x:c r="Y1095" t="str">
        <x:v>Basis arsip 2025/2024</x:v>
      </x:c>
      <x:c r="Z1095" t="str">
        <x:v>https://snpmb.id/utbk-snbt/daya-tampung-snbt</x:v>
      </x:c>
      <x:c r="AA1095" t="str">
        <x:v>Tidak Ada</x:v>
      </x:c>
      <x:c r="AB1095" t="str">
        <x:v>Campus=55; Ratio=67.0; Prodi=60; RelDemand=29.5; Capacity=70.8</x:v>
      </x:c>
    </x:row>
    <x:row r="1096">
      <x:c r="A1096" t="n">
        <x:v>1093</x:v>
      </x:c>
      <x:c r="B1096" t="str">
        <x:v>PTN Akademik</x:v>
      </x:c>
      <x:c r="C1096" t="str">
        <x:v>UPN "VETERAN" JAKARTA</x:v>
      </x:c>
      <x:c r="D1096" t="str">
        <x:v>TEKNIK INDUSTRI</x:v>
      </x:c>
      <x:c r="E1096" t="str">
        <x:v>Sarjana</x:v>
      </x:c>
      <x:c r="F1096" s="18" t="n">
        <x:v>70</x:v>
      </x:c>
      <x:c r="G1096" s="18" t="n">
        <x:v>1412</x:v>
      </x:c>
      <x:c r="H1096" s="19" t="n">
        <x:v>20.17142857142857</x:v>
      </x:c>
      <x:c r="I1096" s="18" t="n">
        <x:f>ROUND(MIN(Model_Config_v3!$B$6,MAX(Q1096,R1096,S1096*Model_Config_v3!$B$4+T1096*Model_Config_v3!$B$5)),0)</x:f>
        <x:v>674</x:v>
      </x:c>
      <x:c r="J1096" s="18" t="n">
        <x:f>MIN(Model_Config_v3!$B$6,I1096+Model_Config_v3!$B$7)</x:f>
        <x:v>694</x:v>
      </x:c>
      <x:c r="K1096" s="20" t="n">
        <x:v>58.9</x:v>
      </x:c>
      <x:c r="L1096" t="str">
        <x:v>KETAT</x:v>
      </x:c>
      <x:c r="M1096" t="str">
        <x:v>SEDANG+</x:v>
      </x:c>
      <x:c r="N1096" t="str">
        <x:v>REGULER</x:v>
      </x:c>
      <x:c r="O1096" t="str">
        <x:v>SAINTEK</x:v>
      </x:c>
      <x:c r="P1096" t="str">
        <x:v>TEKNIK/ARSITEKTUR/STATISTIKA/AKTUARIA</x:v>
      </x:c>
      <x:c r="Q1096" s="18" t="n">
        <x:v>0</x:v>
      </x:c>
      <x:c r="R1096" s="18" t="n">
        <x:v>0</x:v>
      </x:c>
      <x:c r="S1096" s="18" t="n">
        <x:v>663.5210322371681</x:v>
      </x:c>
      <x:c r="T1096" s="18" t="n">
        <x:v>678</x:v>
      </x:c>
      <x:c r="U1096" s="18" t="n">
        <x:v>673.5210322371681</x:v>
      </x:c>
      <x:c r="V1096" s="20" t="n">
        <x:v>12</x:v>
      </x:c>
      <x:c r="W1096" s="20" t="n">
        <x:v>5</x:v>
      </x:c>
      <x:c r="X1096" s="20" t="n">
        <x:v>3</x:v>
      </x:c>
      <x:c r="Y1096" t="str">
        <x:v>Basis arsip 2025/2024</x:v>
      </x:c>
      <x:c r="Z1096" t="str">
        <x:v>https://snpmb.id/utbk-snbt/daya-tampung-snbt</x:v>
      </x:c>
      <x:c r="AA1096" t="str">
        <x:v>Tidak Ada</x:v>
      </x:c>
      <x:c r="AB1096" t="str">
        <x:v>Campus=55; Ratio=76.8; Prodi=60; RelDemand=43.2; Capacity=41.7</x:v>
      </x:c>
    </x:row>
    <x:row r="1097">
      <x:c r="A1097" t="n">
        <x:v>1094</x:v>
      </x:c>
      <x:c r="B1097" t="str">
        <x:v>PTN Akademik</x:v>
      </x:c>
      <x:c r="C1097" t="str">
        <x:v>UPN "VETERAN" JAKARTA</x:v>
      </x:c>
      <x:c r="D1097" t="str">
        <x:v>INFORMATIKA</x:v>
      </x:c>
      <x:c r="E1097" t="str">
        <x:v>Sarjana</x:v>
      </x:c>
      <x:c r="F1097" s="18" t="n">
        <x:v>105</x:v>
      </x:c>
      <x:c r="G1097" s="18" t="n">
        <x:v>1639</x:v>
      </x:c>
      <x:c r="H1097" s="19" t="n">
        <x:v>15.60952380952381</x:v>
      </x:c>
      <x:c r="I1097" s="18" t="n">
        <x:f>ROUND(MIN(Model_Config_v3!$B$6,MAX(Q1097,R1097,S1097*Model_Config_v3!$B$4+T1097*Model_Config_v3!$B$5)),0)</x:f>
        <x:v>669</x:v>
      </x:c>
      <x:c r="J1097" s="18" t="n">
        <x:f>MIN(Model_Config_v3!$B$6,I1097+Model_Config_v3!$B$7)</x:f>
        <x:v>689</x:v>
      </x:c>
      <x:c r="K1097" s="20" t="n">
        <x:v>58.4</x:v>
      </x:c>
      <x:c r="L1097" t="str">
        <x:v>KETAT</x:v>
      </x:c>
      <x:c r="M1097" t="str">
        <x:v>SEDANG+</x:v>
      </x:c>
      <x:c r="N1097" t="str">
        <x:v>REGULER</x:v>
      </x:c>
      <x:c r="O1097" t="str">
        <x:v>SAINTEK</x:v>
      </x:c>
      <x:c r="P1097" t="str">
        <x:v>KOMPUTER/INFORMATIKA</x:v>
      </x:c>
      <x:c r="Q1097" s="18" t="n">
        <x:v>0</x:v>
      </x:c>
      <x:c r="R1097" s="18" t="n">
        <x:v>0</x:v>
      </x:c>
      <x:c r="S1097" s="18" t="n">
        <x:v>651.2728619950617</x:v>
      </x:c>
      <x:c r="T1097" s="18" t="n">
        <x:v>677</x:v>
      </x:c>
      <x:c r="U1097" s="18" t="n">
        <x:v>676.2728619950617</x:v>
      </x:c>
      <x:c r="V1097" s="20" t="n">
        <x:v>12</x:v>
      </x:c>
      <x:c r="W1097" s="20" t="n">
        <x:v>5</x:v>
      </x:c>
      <x:c r="X1097" s="20" t="n">
        <x:v>3</x:v>
      </x:c>
      <x:c r="Y1097" t="str">
        <x:v>Basis arsip 2025/2024</x:v>
      </x:c>
      <x:c r="Z1097" t="str">
        <x:v>https://snpmb.id/utbk-snbt/daya-tampung-snbt</x:v>
      </x:c>
      <x:c r="AA1097" t="str">
        <x:v>Tidak Ada</x:v>
      </x:c>
      <x:c r="AB1097" t="str">
        <x:v>Campus=55; Ratio=70.2; Prodi=85; RelDemand=33.4; Capacity=12.5</x:v>
      </x:c>
    </x:row>
    <x:row r="1098">
      <x:c r="A1098" t="n">
        <x:v>1095</x:v>
      </x:c>
      <x:c r="B1098" t="str">
        <x:v>PTN Akademik</x:v>
      </x:c>
      <x:c r="C1098" t="str">
        <x:v>UPN "VETERAN" JAKARTA</x:v>
      </x:c>
      <x:c r="D1098" t="str">
        <x:v>SISTEM INFORMASI</x:v>
      </x:c>
      <x:c r="E1098" t="str">
        <x:v>Sarjana</x:v>
      </x:c>
      <x:c r="F1098" s="18" t="n">
        <x:v>105</x:v>
      </x:c>
      <x:c r="G1098" s="18" t="n">
        <x:v>1882</x:v>
      </x:c>
      <x:c r="H1098" s="19" t="n">
        <x:v>17.923809523809524</x:v>
      </x:c>
      <x:c r="I1098" s="18" t="n">
        <x:f>ROUND(MIN(Model_Config_v3!$B$6,MAX(Q1098,R1098,S1098*Model_Config_v3!$B$4+T1098*Model_Config_v3!$B$5)),0)</x:f>
        <x:v>673</x:v>
      </x:c>
      <x:c r="J1098" s="18" t="n">
        <x:f>MIN(Model_Config_v3!$B$6,I1098+Model_Config_v3!$B$7)</x:f>
        <x:v>693</x:v>
      </x:c>
      <x:c r="K1098" s="20" t="n">
        <x:v>59.8</x:v>
      </x:c>
      <x:c r="L1098" t="str">
        <x:v>KETAT</x:v>
      </x:c>
      <x:c r="M1098" t="str">
        <x:v>SEDANG+</x:v>
      </x:c>
      <x:c r="N1098" t="str">
        <x:v>REGULER</x:v>
      </x:c>
      <x:c r="O1098" t="str">
        <x:v>CAMPURAN</x:v>
      </x:c>
      <x:c r="P1098" t="str">
        <x:v>KOMPUTER/INFORMATIKA</x:v>
      </x:c>
      <x:c r="Q1098" s="18" t="n">
        <x:v>0</x:v>
      </x:c>
      <x:c r="R1098" s="18" t="n">
        <x:v>0</x:v>
      </x:c>
      <x:c r="S1098" s="18" t="n">
        <x:v>657.877335202343</x:v>
      </x:c>
      <x:c r="T1098" s="18" t="n">
        <x:v>680</x:v>
      </x:c>
      <x:c r="U1098" s="18" t="n">
        <x:v>682.877335202343</x:v>
      </x:c>
      <x:c r="V1098" s="20" t="n">
        <x:v>8.8</x:v>
      </x:c>
      <x:c r="W1098" s="20" t="n">
        <x:v>9.9</x:v>
      </x:c>
      <x:c r="X1098" s="20" t="n">
        <x:v>3.3</x:v>
      </x:c>
      <x:c r="Y1098" t="str">
        <x:v>Basis arsip 2025/2024</x:v>
      </x:c>
      <x:c r="Z1098" t="str">
        <x:v>https://snpmb.id/utbk-snbt/daya-tampung-snbt</x:v>
      </x:c>
      <x:c r="AA1098" t="str">
        <x:v>Tidak Ada</x:v>
      </x:c>
      <x:c r="AB1098" t="str">
        <x:v>Campus=55; Ratio=73.8; Prodi=85; RelDemand=38.3; Capacity=12.5</x:v>
      </x:c>
    </x:row>
    <x:row r="1099">
      <x:c r="A1099" t="n">
        <x:v>1096</x:v>
      </x:c>
      <x:c r="B1099" t="str">
        <x:v>PTN Akademik</x:v>
      </x:c>
      <x:c r="C1099" t="str">
        <x:v>UPN "VETERAN" JAKARTA</x:v>
      </x:c>
      <x:c r="D1099" t="str">
        <x:v>KEDOKTERAN</x:v>
      </x:c>
      <x:c r="E1099" t="str">
        <x:v>Sarjana</x:v>
      </x:c>
      <x:c r="F1099" s="18" t="n">
        <x:v>103</x:v>
      </x:c>
      <x:c r="G1099" s="18" t="n">
        <x:v>2251</x:v>
      </x:c>
      <x:c r="H1099" s="19" t="n">
        <x:v>21.854368932038835</x:v>
      </x:c>
      <x:c r="I1099" s="18" t="n">
        <x:f>ROUND(MIN(Model_Config_v3!$B$6,MAX(Q1099,R1099,S1099*Model_Config_v3!$B$4+T1099*Model_Config_v3!$B$5)),0)</x:f>
        <x:v>683</x:v>
      </x:c>
      <x:c r="J1099" s="18" t="n">
        <x:f>MIN(Model_Config_v3!$B$6,I1099+Model_Config_v3!$B$7)</x:f>
        <x:v>703</x:v>
      </x:c>
      <x:c r="K1099" s="20" t="n">
        <x:v>65.1</x:v>
      </x:c>
      <x:c r="L1099" t="str">
        <x:v>SANGAT KETAT</x:v>
      </x:c>
      <x:c r="M1099" t="str">
        <x:v>SEDANG+</x:v>
      </x:c>
      <x:c r="N1099" t="str">
        <x:v>REGULER</x:v>
      </x:c>
      <x:c r="O1099" t="str">
        <x:v>SAINTEK</x:v>
      </x:c>
      <x:c r="P1099" t="str">
        <x:v>KEDOKTERAN</x:v>
      </x:c>
      <x:c r="Q1099" s="18" t="n">
        <x:v>0</x:v>
      </x:c>
      <x:c r="R1099" s="18" t="n">
        <x:v>680</x:v>
      </x:c>
      <x:c r="S1099" s="18" t="n">
        <x:v>667.3492097324882</x:v>
      </x:c>
      <x:c r="T1099" s="18" t="n">
        <x:v>690</x:v>
      </x:c>
      <x:c r="U1099" s="18" t="n">
        <x:v>707.3492097324882</x:v>
      </x:c>
      <x:c r="V1099" s="20" t="n">
        <x:v>12</x:v>
      </x:c>
      <x:c r="W1099" s="20" t="n">
        <x:v>5</x:v>
      </x:c>
      <x:c r="X1099" s="20" t="n">
        <x:v>3</x:v>
      </x:c>
      <x:c r="Y1099" t="str">
        <x:v>Basis arsip 2025/2024</x:v>
      </x:c>
      <x:c r="Z1099" t="str">
        <x:v>https://snpmb.id/utbk-snbt/daya-tampung-snbt</x:v>
      </x:c>
      <x:c r="AA1099" t="str">
        <x:v>Tidak Ada</x:v>
      </x:c>
      <x:c r="AB1099" t="str">
        <x:v>Campus=55; Ratio=78.8; Prodi=100; RelDemand=46.8; Capacity=14.2</x:v>
      </x:c>
    </x:row>
    <x:row r="1100">
      <x:c r="A1100" t="n">
        <x:v>1097</x:v>
      </x:c>
      <x:c r="B1100" t="str">
        <x:v>PTN Akademik</x:v>
      </x:c>
      <x:c r="C1100" t="str">
        <x:v>UPN "VETERAN" JAKARTA</x:v>
      </x:c>
      <x:c r="D1100" t="str">
        <x:v>KEPERAWATAN</x:v>
      </x:c>
      <x:c r="E1100" t="str">
        <x:v>Sarjana</x:v>
      </x:c>
      <x:c r="F1100" s="18" t="n">
        <x:v>70</x:v>
      </x:c>
      <x:c r="G1100" s="18" t="n">
        <x:v>1499</x:v>
      </x:c>
      <x:c r="H1100" s="19" t="n">
        <x:v>21.414285714285715</x:v>
      </x:c>
      <x:c r="I1100" s="18" t="n">
        <x:f>ROUND(MIN(Model_Config_v3!$B$6,MAX(Q1100,R1100,S1100*Model_Config_v3!$B$4+T1100*Model_Config_v3!$B$5)),0)</x:f>
        <x:v>674</x:v>
      </x:c>
      <x:c r="J1100" s="18" t="n">
        <x:f>MIN(Model_Config_v3!$B$6,I1100+Model_Config_v3!$B$7)</x:f>
        <x:v>694</x:v>
      </x:c>
      <x:c r="K1100" s="20" t="n">
        <x:v>58.6</x:v>
      </x:c>
      <x:c r="L1100" t="str">
        <x:v>KETAT</x:v>
      </x:c>
      <x:c r="M1100" t="str">
        <x:v>SEDANG+</x:v>
      </x:c>
      <x:c r="N1100" t="str">
        <x:v>REGULER</x:v>
      </x:c>
      <x:c r="O1100" t="str">
        <x:v>SAINTEK</x:v>
      </x:c>
      <x:c r="P1100" t="str">
        <x:v>KESEHAT/GIZI/KEPERAWATAN</x:v>
      </x:c>
      <x:c r="Q1100" s="18" t="n">
        <x:v>0</x:v>
      </x:c>
      <x:c r="R1100" s="18" t="n">
        <x:v>0</x:v>
      </x:c>
      <x:c r="S1100" s="18" t="n">
        <x:v>666.3773952117425</x:v>
      </x:c>
      <x:c r="T1100" s="18" t="n">
        <x:v>677</x:v>
      </x:c>
      <x:c r="U1100" s="18" t="n">
        <x:v>666.3773952117425</x:v>
      </x:c>
      <x:c r="V1100" s="20" t="n">
        <x:v>12</x:v>
      </x:c>
      <x:c r="W1100" s="20" t="n">
        <x:v>5</x:v>
      </x:c>
      <x:c r="X1100" s="20" t="n">
        <x:v>3</x:v>
      </x:c>
      <x:c r="Y1100" t="str">
        <x:v>Basis arsip 2025/2024</x:v>
      </x:c>
      <x:c r="Z1100" t="str">
        <x:v>https://snpmb.id/utbk-snbt/daya-tampung-snbt</x:v>
      </x:c>
      <x:c r="AA1100" t="str">
        <x:v>Tidak Ada</x:v>
      </x:c>
      <x:c r="AB1100" t="str">
        <x:v>Campus=55; Ratio=78.3; Prodi=55; RelDemand=45.8; Capacity=41.7</x:v>
      </x:c>
    </x:row>
    <x:row r="1101">
      <x:c r="A1101" t="n">
        <x:v>1098</x:v>
      </x:c>
      <x:c r="B1101" t="str">
        <x:v>PTN Akademik</x:v>
      </x:c>
      <x:c r="C1101" t="str">
        <x:v>UPN "VETERAN" JAKARTA</x:v>
      </x:c>
      <x:c r="D1101" t="str">
        <x:v>KESEHATAN MASYARAKAT</x:v>
      </x:c>
      <x:c r="E1101" t="str">
        <x:v>Sarjana</x:v>
      </x:c>
      <x:c r="F1101" s="18" t="n">
        <x:v>105</x:v>
      </x:c>
      <x:c r="G1101" s="18" t="n">
        <x:v>1917</x:v>
      </x:c>
      <x:c r="H1101" s="19" t="n">
        <x:v>18.257142857142856</x:v>
      </x:c>
      <x:c r="I1101" s="18" t="n">
        <x:f>ROUND(MIN(Model_Config_v3!$B$6,MAX(Q1101,R1101,S1101*Model_Config_v3!$B$4+T1101*Model_Config_v3!$B$5)),0)</x:f>
        <x:v>665</x:v>
      </x:c>
      <x:c r="J1101" s="18" t="n">
        <x:f>MIN(Model_Config_v3!$B$6,I1101+Model_Config_v3!$B$7)</x:f>
        <x:v>685</x:v>
      </x:c>
      <x:c r="K1101" s="20" t="n">
        <x:v>54</x:v>
      </x:c>
      <x:c r="L1101" t="str">
        <x:v>MENENGAH</x:v>
      </x:c>
      <x:c r="M1101" t="str">
        <x:v>SEDANG+</x:v>
      </x:c>
      <x:c r="N1101" t="str">
        <x:v>REGULER</x:v>
      </x:c>
      <x:c r="O1101" t="str">
        <x:v>SAINTEK</x:v>
      </x:c>
      <x:c r="P1101" t="str">
        <x:v>KESEHAT/GIZI/KEPERAWATAN</x:v>
      </x:c>
      <x:c r="Q1101" s="18" t="n">
        <x:v>0</x:v>
      </x:c>
      <x:c r="R1101" s="18" t="n">
        <x:v>0</x:v>
      </x:c>
      <x:c r="S1101" s="18" t="n">
        <x:v>658.7576095188937</x:v>
      </x:c>
      <x:c r="T1101" s="18" t="n">
        <x:v>668</x:v>
      </x:c>
      <x:c r="U1101" s="18" t="n">
        <x:v>658.7576095188937</x:v>
      </x:c>
      <x:c r="V1101" s="20" t="n">
        <x:v>12</x:v>
      </x:c>
      <x:c r="W1101" s="20" t="n">
        <x:v>5</x:v>
      </x:c>
      <x:c r="X1101" s="20" t="n">
        <x:v>3</x:v>
      </x:c>
      <x:c r="Y1101" t="str">
        <x:v>Basis arsip 2025/2024</x:v>
      </x:c>
      <x:c r="Z1101" t="str">
        <x:v>https://snpmb.id/utbk-snbt/daya-tampung-snbt</x:v>
      </x:c>
      <x:c r="AA1101" t="str">
        <x:v>Tidak Ada</x:v>
      </x:c>
      <x:c r="AB1101" t="str">
        <x:v>Campus=55; Ratio=74.2; Prodi=55; RelDemand=39.1; Capacity=12.5</x:v>
      </x:c>
    </x:row>
    <x:row r="1102">
      <x:c r="A1102" t="n">
        <x:v>1099</x:v>
      </x:c>
      <x:c r="B1102" t="str">
        <x:v>PTN Akademik</x:v>
      </x:c>
      <x:c r="C1102" t="str">
        <x:v>UPN "VETERAN" JAKARTA</x:v>
      </x:c>
      <x:c r="D1102" t="str">
        <x:v>GIZI</x:v>
      </x:c>
      <x:c r="E1102" t="str">
        <x:v>Sarjana</x:v>
      </x:c>
      <x:c r="F1102" s="18" t="n">
        <x:v>70</x:v>
      </x:c>
      <x:c r="G1102" s="18" t="n">
        <x:v>1150</x:v>
      </x:c>
      <x:c r="H1102" s="19" t="n">
        <x:v>16.428571428571427</x:v>
      </x:c>
      <x:c r="I1102" s="18" t="n">
        <x:f>ROUND(MIN(Model_Config_v3!$B$6,MAX(Q1102,R1102,S1102*Model_Config_v3!$B$4+T1102*Model_Config_v3!$B$5)),0)</x:f>
        <x:v>667</x:v>
      </x:c>
      <x:c r="J1102" s="18" t="n">
        <x:f>MIN(Model_Config_v3!$B$6,I1102+Model_Config_v3!$B$7)</x:f>
        <x:v>687</x:v>
      </x:c>
      <x:c r="K1102" s="20" t="n">
        <x:v>55.8</x:v>
      </x:c>
      <x:c r="L1102" t="str">
        <x:v>KETAT</x:v>
      </x:c>
      <x:c r="M1102" t="str">
        <x:v>SEDANG+</x:v>
      </x:c>
      <x:c r="N1102" t="str">
        <x:v>REGULER</x:v>
      </x:c>
      <x:c r="O1102" t="str">
        <x:v>SAINTEK</x:v>
      </x:c>
      <x:c r="P1102" t="str">
        <x:v>KESEHAT/GIZI/KEPERAWATAN</x:v>
      </x:c>
      <x:c r="Q1102" s="18" t="n">
        <x:v>0</x:v>
      </x:c>
      <x:c r="R1102" s="18" t="n">
        <x:v>0</x:v>
      </x:c>
      <x:c r="S1102" s="18" t="n">
        <x:v>653.715978037329</x:v>
      </x:c>
      <x:c r="T1102" s="18" t="n">
        <x:v>672</x:v>
      </x:c>
      <x:c r="U1102" s="18" t="n">
        <x:v>653.715978037329</x:v>
      </x:c>
      <x:c r="V1102" s="20" t="n">
        <x:v>12</x:v>
      </x:c>
      <x:c r="W1102" s="20" t="n">
        <x:v>5</x:v>
      </x:c>
      <x:c r="X1102" s="20" t="n">
        <x:v>3</x:v>
      </x:c>
      <x:c r="Y1102" t="str">
        <x:v>Basis arsip 2025/2024</x:v>
      </x:c>
      <x:c r="Z1102" t="str">
        <x:v>https://snpmb.id/utbk-snbt/daya-tampung-snbt</x:v>
      </x:c>
      <x:c r="AA1102" t="str">
        <x:v>Tidak Ada</x:v>
      </x:c>
      <x:c r="AB1102" t="str">
        <x:v>Campus=55; Ratio=71.5; Prodi=55; RelDemand=35.1; Capacity=41.7</x:v>
      </x:c>
    </x:row>
    <x:row r="1103">
      <x:c r="A1103" t="n">
        <x:v>1100</x:v>
      </x:c>
      <x:c r="B1103" t="str">
        <x:v>PTN Akademik</x:v>
      </x:c>
      <x:c r="C1103" t="str">
        <x:v>UPN "VETERAN" JAKARTA</x:v>
      </x:c>
      <x:c r="D1103" t="str">
        <x:v>TEKNIK ELEKTRO</x:v>
      </x:c>
      <x:c r="E1103" t="str">
        <x:v>Sarjana</x:v>
      </x:c>
      <x:c r="F1103" s="18" t="n">
        <x:v>53</x:v>
      </x:c>
      <x:c r="G1103" s="18" t="n">
        <x:v>646</x:v>
      </x:c>
      <x:c r="H1103" s="19" t="n">
        <x:v>12.18867924528302</x:v>
      </x:c>
      <x:c r="I1103" s="18" t="n">
        <x:f>ROUND(MIN(Model_Config_v3!$B$6,MAX(Q1103,R1103,S1103*Model_Config_v3!$B$4+T1103*Model_Config_v3!$B$5)),0)</x:f>
        <x:v>662</x:v>
      </x:c>
      <x:c r="J1103" s="18" t="n">
        <x:f>MIN(Model_Config_v3!$B$6,I1103+Model_Config_v3!$B$7)</x:f>
        <x:v>682</x:v>
      </x:c>
      <x:c r="K1103" s="20" t="n">
        <x:v>55.4</x:v>
      </x:c>
      <x:c r="L1103" t="str">
        <x:v>KETAT</x:v>
      </x:c>
      <x:c r="M1103" t="str">
        <x:v>SEDANG+</x:v>
      </x:c>
      <x:c r="N1103" t="str">
        <x:v>REGULER</x:v>
      </x:c>
      <x:c r="O1103" t="str">
        <x:v>SAINTEK</x:v>
      </x:c>
      <x:c r="P1103" t="str">
        <x:v>TEKNIK/ARSITEKTUR/STATISTIKA/AKTUARIA</x:v>
      </x:c>
      <x:c r="Q1103" s="18" t="n">
        <x:v>0</x:v>
      </x:c>
      <x:c r="R1103" s="18" t="n">
        <x:v>0</x:v>
      </x:c>
      <x:c r="S1103" s="18" t="n">
        <x:v>639.4552313233725</x:v>
      </x:c>
      <x:c r="T1103" s="18" t="n">
        <x:v>671</x:v>
      </x:c>
      <x:c r="U1103" s="18" t="n">
        <x:v>649.4552313233725</x:v>
      </x:c>
      <x:c r="V1103" s="20" t="n">
        <x:v>12</x:v>
      </x:c>
      <x:c r="W1103" s="20" t="n">
        <x:v>5</x:v>
      </x:c>
      <x:c r="X1103" s="20" t="n">
        <x:v>3</x:v>
      </x:c>
      <x:c r="Y1103" t="str">
        <x:v>Basis arsip 2025/2024</x:v>
      </x:c>
      <x:c r="Z1103" t="str">
        <x:v>https://snpmb.id/utbk-snbt/daya-tampung-snbt</x:v>
      </x:c>
      <x:c r="AA1103" t="str">
        <x:v>Tidak Ada</x:v>
      </x:c>
      <x:c r="AB1103" t="str">
        <x:v>Campus=55; Ratio=63.9; Prodi=60; RelDemand=26.1; Capacity=55.8</x:v>
      </x:c>
    </x:row>
    <x:row r="1104">
      <x:c r="A1104" t="n">
        <x:v>1101</x:v>
      </x:c>
      <x:c r="B1104" t="str">
        <x:v>PTN Akademik</x:v>
      </x:c>
      <x:c r="C1104" t="str">
        <x:v>UPN "VETERAN" JAKARTA</x:v>
      </x:c>
      <x:c r="D1104" t="str">
        <x:v>FARMASI</x:v>
      </x:c>
      <x:c r="E1104" t="str">
        <x:v>Sarjana</x:v>
      </x:c>
      <x:c r="F1104" s="18" t="n">
        <x:v>30</x:v>
      </x:c>
      <x:c r="G1104" s="18" t="n">
        <x:v>1113</x:v>
      </x:c>
      <x:c r="H1104" s="19" t="n">
        <x:v>37.1</x:v>
      </x:c>
      <x:c r="I1104" s="18" t="n">
        <x:f>ROUND(MIN(Model_Config_v3!$B$6,MAX(Q1104,R1104,S1104*Model_Config_v3!$B$4+T1104*Model_Config_v3!$B$5)),0)</x:f>
        <x:v>702</x:v>
      </x:c>
      <x:c r="J1104" s="18" t="n">
        <x:f>MIN(Model_Config_v3!$B$6,I1104+Model_Config_v3!$B$7)</x:f>
        <x:v>722</x:v>
      </x:c>
      <x:c r="K1104" s="20" t="n">
        <x:v>72.8</x:v>
      </x:c>
      <x:c r="L1104" t="str">
        <x:v>SANGAT KETAT</x:v>
      </x:c>
      <x:c r="M1104" t="str">
        <x:v>SEDANG+</x:v>
      </x:c>
      <x:c r="N1104" t="str">
        <x:v>REGULER</x:v>
      </x:c>
      <x:c r="O1104" t="str">
        <x:v>SAINTEK</x:v>
      </x:c>
      <x:c r="P1104" t="str">
        <x:v>FARMASI</x:v>
      </x:c>
      <x:c r="Q1104" s="18" t="n">
        <x:v>0</x:v>
      </x:c>
      <x:c r="R1104" s="18" t="n">
        <x:v>0</x:v>
      </x:c>
      <x:c r="S1104" s="18" t="n">
        <x:v>692.631130057655</x:v>
      </x:c>
      <x:c r="T1104" s="18" t="n">
        <x:v>706</x:v>
      </x:c>
      <x:c r="U1104" s="18" t="n">
        <x:v>712.631130057655</x:v>
      </x:c>
      <x:c r="V1104" s="20" t="n">
        <x:v>12</x:v>
      </x:c>
      <x:c r="W1104" s="20" t="n">
        <x:v>5</x:v>
      </x:c>
      <x:c r="X1104" s="20" t="n">
        <x:v>3</x:v>
      </x:c>
      <x:c r="Y1104" t="str">
        <x:v>Basis arsip 2025/2024</x:v>
      </x:c>
      <x:c r="Z1104" t="str">
        <x:v>https://snpmb.id/utbk-snbt/daya-tampung-snbt</x:v>
      </x:c>
      <x:c r="AA1104" t="str">
        <x:v>Tidak Ada</x:v>
      </x:c>
      <x:c r="AB1104" t="str">
        <x:v>Campus=55; Ratio=92.4; Prodi=75; RelDemand=79.4; Capacity=75.0</x:v>
      </x:c>
    </x:row>
    <x:row r="1105">
      <x:c r="A1105" t="n">
        <x:v>1102</x:v>
      </x:c>
      <x:c r="B1105" t="str">
        <x:v>PTN Akademik</x:v>
      </x:c>
      <x:c r="C1105" t="str">
        <x:v>UPN "VETERAN" JAKARTA</x:v>
      </x:c>
      <x:c r="D1105" t="str">
        <x:v>FISIOTERAPI</x:v>
      </x:c>
      <x:c r="E1105" t="str">
        <x:v>Sarjana</x:v>
      </x:c>
      <x:c r="F1105" s="18" t="n">
        <x:v>35</x:v>
      </x:c>
      <x:c r="G1105" s="18" t="n">
        <x:v>682</x:v>
      </x:c>
      <x:c r="H1105" s="19" t="n">
        <x:v>19.485714285714284</x:v>
      </x:c>
      <x:c r="I1105" s="18" t="n">
        <x:f>ROUND(MIN(Model_Config_v3!$B$6,MAX(Q1105,R1105,S1105*Model_Config_v3!$B$4+T1105*Model_Config_v3!$B$5)),0)</x:f>
        <x:v>675</x:v>
      </x:c>
      <x:c r="J1105" s="18" t="n">
        <x:f>MIN(Model_Config_v3!$B$6,I1105+Model_Config_v3!$B$7)</x:f>
        <x:v>695</x:v>
      </x:c>
      <x:c r="K1105" s="20" t="n">
        <x:v>60.5</x:v>
      </x:c>
      <x:c r="L1105" t="str">
        <x:v>KETAT</x:v>
      </x:c>
      <x:c r="M1105" t="str">
        <x:v>SEDANG+</x:v>
      </x:c>
      <x:c r="N1105" t="str">
        <x:v>REGULER</x:v>
      </x:c>
      <x:c r="O1105" t="str">
        <x:v>CAMPURAN</x:v>
      </x:c>
      <x:c r="P1105" t="str">
        <x:v>KESEHAT/GIZI/KEPERAWATAN</x:v>
      </x:c>
      <x:c r="Q1105" s="18" t="n">
        <x:v>0</x:v>
      </x:c>
      <x:c r="R1105" s="18" t="n">
        <x:v>0</x:v>
      </x:c>
      <x:c r="S1105" s="18" t="n">
        <x:v>661.8687963336823</x:v>
      </x:c>
      <x:c r="T1105" s="18" t="n">
        <x:v>681</x:v>
      </x:c>
      <x:c r="U1105" s="18" t="n">
        <x:v>661.8687963336823</x:v>
      </x:c>
      <x:c r="V1105" s="20" t="n">
        <x:v>8.8</x:v>
      </x:c>
      <x:c r="W1105" s="20" t="n">
        <x:v>9.9</x:v>
      </x:c>
      <x:c r="X1105" s="20" t="n">
        <x:v>3.3</x:v>
      </x:c>
      <x:c r="Y1105" t="str">
        <x:v>Basis arsip 2025/2024</x:v>
      </x:c>
      <x:c r="Z1105" t="str">
        <x:v>https://snpmb.id/utbk-snbt/daya-tampung-snbt</x:v>
      </x:c>
      <x:c r="AA1105" t="str">
        <x:v>Tidak Ada</x:v>
      </x:c>
      <x:c r="AB1105" t="str">
        <x:v>Campus=55; Ratio=75.9; Prodi=55; RelDemand=41.7; Capacity=70.8</x:v>
      </x:c>
    </x:row>
    <x:row r="1106">
      <x:c r="A1106" t="n">
        <x:v>1103</x:v>
      </x:c>
      <x:c r="B1106" t="str">
        <x:v>PTN Akademik</x:v>
      </x:c>
      <x:c r="C1106" t="str">
        <x:v>UPN "VETERAN" JAKARTA</x:v>
      </x:c>
      <x:c r="D1106" t="str">
        <x:v>MANAJEMEN</x:v>
      </x:c>
      <x:c r="E1106" t="str">
        <x:v>Sarjana</x:v>
      </x:c>
      <x:c r="F1106" s="18" t="n">
        <x:v>160</x:v>
      </x:c>
      <x:c r="G1106" s="18" t="n">
        <x:v>3244</x:v>
      </x:c>
      <x:c r="H1106" s="19" t="n">
        <x:v>20.275</x:v>
      </x:c>
      <x:c r="I1106" s="18" t="n">
        <x:f>ROUND(MIN(Model_Config_v3!$B$6,MAX(Q1106,R1106,S1106*Model_Config_v3!$B$4+T1106*Model_Config_v3!$B$5)),0)</x:f>
        <x:v>670</x:v>
      </x:c>
      <x:c r="J1106" s="18" t="n">
        <x:f>MIN(Model_Config_v3!$B$6,I1106+Model_Config_v3!$B$7)</x:f>
        <x:v>690</x:v>
      </x:c>
      <x:c r="K1106" s="20" t="n">
        <x:v>55.8</x:v>
      </x:c>
      <x:c r="L1106" t="str">
        <x:v>KETAT</x:v>
      </x:c>
      <x:c r="M1106" t="str">
        <x:v>SEDANG+</x:v>
      </x:c>
      <x:c r="N1106" t="str">
        <x:v>REGULER</x:v>
      </x:c>
      <x:c r="O1106" t="str">
        <x:v>SOSHUM</x:v>
      </x:c>
      <x:c r="P1106" t="str">
        <x:v>BISNIS/EKONOMI/AKUNTANSI</x:v>
      </x:c>
      <x:c r="Q1106" s="18" t="n">
        <x:v>0</x:v>
      </x:c>
      <x:c r="R1106" s="18" t="n">
        <x:v>0</x:v>
      </x:c>
      <x:c r="S1106" s="18" t="n">
        <x:v>663.7656949171512</x:v>
      </x:c>
      <x:c r="T1106" s="18" t="n">
        <x:v>672</x:v>
      </x:c>
      <x:c r="U1106" s="18" t="n">
        <x:v>678.7656949171512</x:v>
      </x:c>
      <x:c r="V1106" s="20" t="n">
        <x:v>4.4</x:v>
      </x:c>
      <x:c r="W1106" s="20" t="n">
        <x:v>14.3</x:v>
      </x:c>
      <x:c r="X1106" s="20" t="n">
        <x:v>3.3</x:v>
      </x:c>
      <x:c r="Y1106" t="str">
        <x:v>Basis arsip 2025/2024</x:v>
      </x:c>
      <x:c r="Z1106" t="str">
        <x:v>https://snpmb.id/utbk-snbt/daya-tampung-snbt</x:v>
      </x:c>
      <x:c r="AA1106" t="str">
        <x:v>Tidak Ada</x:v>
      </x:c>
      <x:c r="AB1106" t="str">
        <x:v>Campus=55; Ratio=76.9; Prodi=65; RelDemand=43.4; Capacity=0.0</x:v>
      </x:c>
    </x:row>
    <x:row r="1107">
      <x:c r="A1107" t="n">
        <x:v>1104</x:v>
      </x:c>
      <x:c r="B1107" t="str">
        <x:v>PTN Akademik</x:v>
      </x:c>
      <x:c r="C1107" t="str">
        <x:v>UPN "VETERAN" JAKARTA</x:v>
      </x:c>
      <x:c r="D1107" t="str">
        <x:v>AKUNTANSI</x:v>
      </x:c>
      <x:c r="E1107" t="str">
        <x:v>Sarjana</x:v>
      </x:c>
      <x:c r="F1107" s="18" t="n">
        <x:v>158</x:v>
      </x:c>
      <x:c r="G1107" s="18" t="n">
        <x:v>2117</x:v>
      </x:c>
      <x:c r="H1107" s="19" t="n">
        <x:v>13.39873417721519</x:v>
      </x:c>
      <x:c r="I1107" s="18" t="n">
        <x:f>ROUND(MIN(Model_Config_v3!$B$6,MAX(Q1107,R1107,S1107*Model_Config_v3!$B$4+T1107*Model_Config_v3!$B$5)),0)</x:f>
        <x:v>657</x:v>
      </x:c>
      <x:c r="J1107" s="18" t="n">
        <x:f>MIN(Model_Config_v3!$B$6,I1107+Model_Config_v3!$B$7)</x:f>
        <x:v>677</x:v>
      </x:c>
      <x:c r="K1107" s="20" t="n">
        <x:v>51.7</x:v>
      </x:c>
      <x:c r="L1107" t="str">
        <x:v>MENENGAH</x:v>
      </x:c>
      <x:c r="M1107" t="str">
        <x:v>SEDANG+</x:v>
      </x:c>
      <x:c r="N1107" t="str">
        <x:v>REGULER</x:v>
      </x:c>
      <x:c r="O1107" t="str">
        <x:v>SOSHUM</x:v>
      </x:c>
      <x:c r="P1107" t="str">
        <x:v>BISNIS/EKONOMI/AKUNTANSI</x:v>
      </x:c>
      <x:c r="Q1107" s="18" t="n">
        <x:v>0</x:v>
      </x:c>
      <x:c r="R1107" s="18" t="n">
        <x:v>0</x:v>
      </x:c>
      <x:c r="S1107" s="18" t="n">
        <x:v>643.9770148171488</x:v>
      </x:c>
      <x:c r="T1107" s="18" t="n">
        <x:v>663</x:v>
      </x:c>
      <x:c r="U1107" s="18" t="n">
        <x:v>643.9770148171488</x:v>
      </x:c>
      <x:c r="V1107" s="20" t="n">
        <x:v>4.4</x:v>
      </x:c>
      <x:c r="W1107" s="20" t="n">
        <x:v>14.3</x:v>
      </x:c>
      <x:c r="X1107" s="20" t="n">
        <x:v>3.3</x:v>
      </x:c>
      <x:c r="Y1107" t="str">
        <x:v>Basis arsip 2025/2024</x:v>
      </x:c>
      <x:c r="Z1107" t="str">
        <x:v>https://snpmb.id/utbk-snbt/daya-tampung-snbt</x:v>
      </x:c>
      <x:c r="AA1107" t="str">
        <x:v>Tidak Ada</x:v>
      </x:c>
      <x:c r="AB1107" t="str">
        <x:v>Campus=55; Ratio=66.3; Prodi=65; RelDemand=28.7; Capacity=0.0</x:v>
      </x:c>
    </x:row>
    <x:row r="1108">
      <x:c r="A1108" t="n">
        <x:v>1105</x:v>
      </x:c>
      <x:c r="B1108" t="str">
        <x:v>PTN Akademik</x:v>
      </x:c>
      <x:c r="C1108" t="str">
        <x:v>UPN "VETERAN" JAKARTA</x:v>
      </x:c>
      <x:c r="D1108" t="str">
        <x:v>HUBUNGAN INTERNASIONAL</x:v>
      </x:c>
      <x:c r="E1108" t="str">
        <x:v>Sarjana</x:v>
      </x:c>
      <x:c r="F1108" s="18" t="n">
        <x:v>120</x:v>
      </x:c>
      <x:c r="G1108" s="18" t="n">
        <x:v>1762</x:v>
      </x:c>
      <x:c r="H1108" s="19" t="n">
        <x:v>14.683333333333334</x:v>
      </x:c>
      <x:c r="I1108" s="18" t="n">
        <x:f>ROUND(MIN(Model_Config_v3!$B$6,MAX(Q1108,R1108,S1108*Model_Config_v3!$B$4+T1108*Model_Config_v3!$B$5)),0)</x:f>
        <x:v>653</x:v>
      </x:c>
      <x:c r="J1108" s="18" t="n">
        <x:f>MIN(Model_Config_v3!$B$6,I1108+Model_Config_v3!$B$7)</x:f>
        <x:v>673</x:v>
      </x:c>
      <x:c r="K1108" s="20" t="n">
        <x:v>47.6</x:v>
      </x:c>
      <x:c r="L1108" t="str">
        <x:v>MENENGAH</x:v>
      </x:c>
      <x:c r="M1108" t="str">
        <x:v>SEDANG</x:v>
      </x:c>
      <x:c r="N1108" t="str">
        <x:v>REGULER</x:v>
      </x:c>
      <x:c r="O1108" t="str">
        <x:v>SOSHUM</x:v>
      </x:c>
      <x:c r="P1108" t="str">
        <x:v>UMUM</x:v>
      </x:c>
      <x:c r="Q1108" s="18" t="n">
        <x:v>0</x:v>
      </x:c>
      <x:c r="R1108" s="18" t="n">
        <x:v>0</x:v>
      </x:c>
      <x:c r="S1108" s="18" t="n">
        <x:v>648.3507123831245</x:v>
      </x:c>
      <x:c r="T1108" s="18" t="n">
        <x:v>655</x:v>
      </x:c>
      <x:c r="U1108" s="18" t="n">
        <x:v>648.3507123831245</x:v>
      </x:c>
      <x:c r="V1108" s="20" t="n">
        <x:v>4.4</x:v>
      </x:c>
      <x:c r="W1108" s="20" t="n">
        <x:v>14.3</x:v>
      </x:c>
      <x:c r="X1108" s="20" t="n">
        <x:v>3.3</x:v>
      </x:c>
      <x:c r="Y1108" t="str">
        <x:v>Basis arsip 2025/2024</x:v>
      </x:c>
      <x:c r="Z1108" t="str">
        <x:v>https://snpmb.id/utbk-snbt/daya-tampung-snbt</x:v>
      </x:c>
      <x:c r="AA1108" t="str">
        <x:v>Tidak Ada</x:v>
      </x:c>
      <x:c r="AB1108" t="str">
        <x:v>Campus=55; Ratio=68.7; Prodi=40; RelDemand=31.4; Capacity=0.0</x:v>
      </x:c>
    </x:row>
    <x:row r="1109">
      <x:c r="A1109" t="n">
        <x:v>1106</x:v>
      </x:c>
      <x:c r="B1109" t="str">
        <x:v>PTN Akademik</x:v>
      </x:c>
      <x:c r="C1109" t="str">
        <x:v>UPN "VETERAN" JAKARTA</x:v>
      </x:c>
      <x:c r="D1109" t="str">
        <x:v>ILMU KOMUNIKASI</x:v>
      </x:c>
      <x:c r="E1109" t="str">
        <x:v>Sarjana</x:v>
      </x:c>
      <x:c r="F1109" s="18" t="n">
        <x:v>180</x:v>
      </x:c>
      <x:c r="G1109" s="18" t="n">
        <x:v>3745</x:v>
      </x:c>
      <x:c r="H1109" s="19" t="n">
        <x:v>20.805555555555557</x:v>
      </x:c>
      <x:c r="I1109" s="18" t="n">
        <x:f>ROUND(MIN(Model_Config_v3!$B$6,MAX(Q1109,R1109,S1109*Model_Config_v3!$B$4+T1109*Model_Config_v3!$B$5)),0)</x:f>
        <x:v>663</x:v>
      </x:c>
      <x:c r="J1109" s="18" t="n">
        <x:f>MIN(Model_Config_v3!$B$6,I1109+Model_Config_v3!$B$7)</x:f>
        <x:v>683</x:v>
      </x:c>
      <x:c r="K1109" s="20" t="n">
        <x:v>51.1</x:v>
      </x:c>
      <x:c r="L1109" t="str">
        <x:v>MENENGAH</x:v>
      </x:c>
      <x:c r="M1109" t="str">
        <x:v>SEDANG</x:v>
      </x:c>
      <x:c r="N1109" t="str">
        <x:v>REGULER</x:v>
      </x:c>
      <x:c r="O1109" t="str">
        <x:v>SOSHUM</x:v>
      </x:c>
      <x:c r="P1109" t="str">
        <x:v>UMUM</x:v>
      </x:c>
      <x:c r="Q1109" s="18" t="n">
        <x:v>0</x:v>
      </x:c>
      <x:c r="R1109" s="18" t="n">
        <x:v>0</x:v>
      </x:c>
      <x:c r="S1109" s="18" t="n">
        <x:v>664.9997248625397</x:v>
      </x:c>
      <x:c r="T1109" s="18" t="n">
        <x:v>662</x:v>
      </x:c>
      <x:c r="U1109" s="18" t="n">
        <x:v>664.9997248625397</x:v>
      </x:c>
      <x:c r="V1109" s="20" t="n">
        <x:v>4.4</x:v>
      </x:c>
      <x:c r="W1109" s="20" t="n">
        <x:v>14.3</x:v>
      </x:c>
      <x:c r="X1109" s="20" t="n">
        <x:v>3.3</x:v>
      </x:c>
      <x:c r="Y1109" t="str">
        <x:v>Basis arsip 2025/2024</x:v>
      </x:c>
      <x:c r="Z1109" t="str">
        <x:v>https://snpmb.id/utbk-snbt/daya-tampung-snbt</x:v>
      </x:c>
      <x:c r="AA1109" t="str">
        <x:v>Tidak Ada</x:v>
      </x:c>
      <x:c r="AB1109" t="str">
        <x:v>Campus=55; Ratio=77.6; Prodi=40; RelDemand=44.5; Capacity=0.0</x:v>
      </x:c>
    </x:row>
    <x:row r="1110">
      <x:c r="A1110" t="n">
        <x:v>1107</x:v>
      </x:c>
      <x:c r="B1110" t="str">
        <x:v>PTN Akademik</x:v>
      </x:c>
      <x:c r="C1110" t="str">
        <x:v>UPN "VETERAN" JAKARTA</x:v>
      </x:c>
      <x:c r="D1110" t="str">
        <x:v>HUKUM</x:v>
      </x:c>
      <x:c r="E1110" t="str">
        <x:v>Sarjana</x:v>
      </x:c>
      <x:c r="F1110" s="18" t="n">
        <x:v>240</x:v>
      </x:c>
      <x:c r="G1110" s="18" t="n">
        <x:v>2740</x:v>
      </x:c>
      <x:c r="H1110" s="19" t="n">
        <x:v>11.416666666666666</x:v>
      </x:c>
      <x:c r="I1110" s="18" t="n">
        <x:f>ROUND(MIN(Model_Config_v3!$B$6,MAX(Q1110,R1110,S1110*Model_Config_v3!$B$4+T1110*Model_Config_v3!$B$5)),0)</x:f>
        <x:v>654</x:v>
      </x:c>
      <x:c r="J1110" s="18" t="n">
        <x:f>MIN(Model_Config_v3!$B$6,I1110+Model_Config_v3!$B$7)</x:f>
        <x:v>674</x:v>
      </x:c>
      <x:c r="K1110" s="20" t="n">
        <x:v>50.3</x:v>
      </x:c>
      <x:c r="L1110" t="str">
        <x:v>MENENGAH</x:v>
      </x:c>
      <x:c r="M1110" t="str">
        <x:v>SEDANG+</x:v>
      </x:c>
      <x:c r="N1110" t="str">
        <x:v>REGULER</x:v>
      </x:c>
      <x:c r="O1110" t="str">
        <x:v>SOSHUM</x:v>
      </x:c>
      <x:c r="P1110" t="str">
        <x:v>HUKUM</x:v>
      </x:c>
      <x:c r="Q1110" s="18" t="n">
        <x:v>0</x:v>
      </x:c>
      <x:c r="R1110" s="18" t="n">
        <x:v>0</x:v>
      </x:c>
      <x:c r="S1110" s="18" t="n">
        <x:v>636.329325321966</x:v>
      </x:c>
      <x:c r="T1110" s="18" t="n">
        <x:v>661</x:v>
      </x:c>
      <x:c r="U1110" s="18" t="n">
        <x:v>651.329325321966</x:v>
      </x:c>
      <x:c r="V1110" s="20" t="n">
        <x:v>4.4</x:v>
      </x:c>
      <x:c r="W1110" s="20" t="n">
        <x:v>14.3</x:v>
      </x:c>
      <x:c r="X1110" s="20" t="n">
        <x:v>3.3</x:v>
      </x:c>
      <x:c r="Y1110" t="str">
        <x:v>Basis arsip 2025/2024</x:v>
      </x:c>
      <x:c r="Z1110" t="str">
        <x:v>https://snpmb.id/utbk-snbt/daya-tampung-snbt</x:v>
      </x:c>
      <x:c r="AA1110" t="str">
        <x:v>Tidak Ada</x:v>
      </x:c>
      <x:c r="AB1110" t="str">
        <x:v>Campus=55; Ratio=62.2; Prodi=65; RelDemand=24.4; Capacity=0.0</x:v>
      </x:c>
    </x:row>
    <x:row r="1111">
      <x:c r="A1111" t="n">
        <x:v>1108</x:v>
      </x:c>
      <x:c r="B1111" t="str">
        <x:v>PTN Akademik</x:v>
      </x:c>
      <x:c r="C1111" t="str">
        <x:v>UPN "VETERAN" JAKARTA</x:v>
      </x:c>
      <x:c r="D1111" t="str">
        <x:v>EKONOMI PEMBANGUNAN</x:v>
      </x:c>
      <x:c r="E1111" t="str">
        <x:v>Sarjana</x:v>
      </x:c>
      <x:c r="F1111" s="18" t="n">
        <x:v>60</x:v>
      </x:c>
      <x:c r="G1111" s="18" t="n">
        <x:v>989</x:v>
      </x:c>
      <x:c r="H1111" s="19" t="n">
        <x:v>16.483333333333334</x:v>
      </x:c>
      <x:c r="I1111" s="18" t="n">
        <x:f>ROUND(MIN(Model_Config_v3!$B$6,MAX(Q1111,R1111,S1111*Model_Config_v3!$B$4+T1111*Model_Config_v3!$B$5)),0)</x:f>
        <x:v>670</x:v>
      </x:c>
      <x:c r="J1111" s="18" t="n">
        <x:f>MIN(Model_Config_v3!$B$6,I1111+Model_Config_v3!$B$7)</x:f>
        <x:v>690</x:v>
      </x:c>
      <x:c r="K1111" s="20" t="n">
        <x:v>58.7</x:v>
      </x:c>
      <x:c r="L1111" t="str">
        <x:v>KETAT</x:v>
      </x:c>
      <x:c r="M1111" t="str">
        <x:v>SEDANG+</x:v>
      </x:c>
      <x:c r="N1111" t="str">
        <x:v>REGULER</x:v>
      </x:c>
      <x:c r="O1111" t="str">
        <x:v>SOSHUM</x:v>
      </x:c>
      <x:c r="P1111" t="str">
        <x:v>BISNIS/EKONOMI/AKUNTANSI</x:v>
      </x:c>
      <x:c r="Q1111" s="18" t="n">
        <x:v>0</x:v>
      </x:c>
      <x:c r="R1111" s="18" t="n">
        <x:v>0</x:v>
      </x:c>
      <x:c r="S1111" s="18" t="n">
        <x:v>653.8749545334889</x:v>
      </x:c>
      <x:c r="T1111" s="18" t="n">
        <x:v>677</x:v>
      </x:c>
      <x:c r="U1111" s="18" t="n">
        <x:v>653.8749545334889</x:v>
      </x:c>
      <x:c r="V1111" s="20" t="n">
        <x:v>4.4</x:v>
      </x:c>
      <x:c r="W1111" s="20" t="n">
        <x:v>14.3</x:v>
      </x:c>
      <x:c r="X1111" s="20" t="n">
        <x:v>3.3</x:v>
      </x:c>
      <x:c r="Y1111" t="str">
        <x:v>Basis arsip 2025/2024</x:v>
      </x:c>
      <x:c r="Z1111" t="str">
        <x:v>https://snpmb.id/utbk-snbt/daya-tampung-snbt</x:v>
      </x:c>
      <x:c r="AA1111" t="str">
        <x:v>Tidak Ada</x:v>
      </x:c>
      <x:c r="AB1111" t="str">
        <x:v>Campus=55; Ratio=71.6; Prodi=65; RelDemand=35.3; Capacity=50.0</x:v>
      </x:c>
    </x:row>
    <x:row r="1112">
      <x:c r="A1112" t="n">
        <x:v>1109</x:v>
      </x:c>
      <x:c r="B1112" t="str">
        <x:v>PTN Akademik</x:v>
      </x:c>
      <x:c r="C1112" t="str">
        <x:v>UPN "VETERAN" JAKARTA</x:v>
      </x:c>
      <x:c r="D1112" t="str">
        <x:v>EKONOMI SYARIAH</x:v>
      </x:c>
      <x:c r="E1112" t="str">
        <x:v>Sarjana</x:v>
      </x:c>
      <x:c r="F1112" s="18" t="n">
        <x:v>60</x:v>
      </x:c>
      <x:c r="G1112" s="18" t="n">
        <x:v>847</x:v>
      </x:c>
      <x:c r="H1112" s="19" t="n">
        <x:v>14.116666666666667</x:v>
      </x:c>
      <x:c r="I1112" s="18" t="n">
        <x:f>ROUND(MIN(Model_Config_v3!$B$6,MAX(Q1112,R1112,S1112*Model_Config_v3!$B$4+T1112*Model_Config_v3!$B$5)),0)</x:f>
        <x:v>659</x:v>
      </x:c>
      <x:c r="J1112" s="18" t="n">
        <x:f>MIN(Model_Config_v3!$B$6,I1112+Model_Config_v3!$B$7)</x:f>
        <x:v>679</x:v>
      </x:c>
      <x:c r="K1112" s="20" t="n">
        <x:v>52.2</x:v>
      </x:c>
      <x:c r="L1112" t="str">
        <x:v>MENENGAH</x:v>
      </x:c>
      <x:c r="M1112" t="str">
        <x:v>SEDANG</x:v>
      </x:c>
      <x:c r="N1112" t="str">
        <x:v>REGULER</x:v>
      </x:c>
      <x:c r="O1112" t="str">
        <x:v>SOSHUM</x:v>
      </x:c>
      <x:c r="P1112" t="str">
        <x:v>UMUM</x:v>
      </x:c>
      <x:c r="Q1112" s="18" t="n">
        <x:v>0</x:v>
      </x:c>
      <x:c r="R1112" s="18" t="n">
        <x:v>0</x:v>
      </x:c>
      <x:c r="S1112" s="18" t="n">
        <x:v>646.470537594177</x:v>
      </x:c>
      <x:c r="T1112" s="18" t="n">
        <x:v>664</x:v>
      </x:c>
      <x:c r="U1112" s="18" t="n">
        <x:v>646.470537594177</x:v>
      </x:c>
      <x:c r="V1112" s="20" t="n">
        <x:v>4.4</x:v>
      </x:c>
      <x:c r="W1112" s="20" t="n">
        <x:v>14.3</x:v>
      </x:c>
      <x:c r="X1112" s="20" t="n">
        <x:v>3.3</x:v>
      </x:c>
      <x:c r="Y1112" t="str">
        <x:v>Basis arsip 2025/2024</x:v>
      </x:c>
      <x:c r="Z1112" t="str">
        <x:v>https://snpmb.id/utbk-snbt/daya-tampung-snbt</x:v>
      </x:c>
      <x:c r="AA1112" t="str">
        <x:v>Tidak Ada</x:v>
      </x:c>
      <x:c r="AB1112" t="str">
        <x:v>Campus=55; Ratio=67.7; Prodi=40; RelDemand=30.2; Capacity=50.0</x:v>
      </x:c>
    </x:row>
    <x:row r="1113">
      <x:c r="A1113" t="n">
        <x:v>1110</x:v>
      </x:c>
      <x:c r="B1113" t="str">
        <x:v>PTN Akademik</x:v>
      </x:c>
      <x:c r="C1113" t="str">
        <x:v>UPN "VETERAN" JAKARTA</x:v>
      </x:c>
      <x:c r="D1113" t="str">
        <x:v>ILMU POLITIK</x:v>
      </x:c>
      <x:c r="E1113" t="str">
        <x:v>Sarjana</x:v>
      </x:c>
      <x:c r="F1113" s="18" t="n">
        <x:v>100</x:v>
      </x:c>
      <x:c r="G1113" s="18" t="n">
        <x:v>1255</x:v>
      </x:c>
      <x:c r="H1113" s="19" t="n">
        <x:v>12.55</x:v>
      </x:c>
      <x:c r="I1113" s="18" t="n">
        <x:f>ROUND(MIN(Model_Config_v3!$B$6,MAX(Q1113,R1113,S1113*Model_Config_v3!$B$4+T1113*Model_Config_v3!$B$5)),0)</x:f>
        <x:v>651</x:v>
      </x:c>
      <x:c r="J1113" s="18" t="n">
        <x:f>MIN(Model_Config_v3!$B$6,I1113+Model_Config_v3!$B$7)</x:f>
        <x:v>671</x:v>
      </x:c>
      <x:c r="K1113" s="20" t="n">
        <x:v>47.8</x:v>
      </x:c>
      <x:c r="L1113" t="str">
        <x:v>MENENGAH</x:v>
      </x:c>
      <x:c r="M1113" t="str">
        <x:v>SEDANG</x:v>
      </x:c>
      <x:c r="N1113" t="str">
        <x:v>REGULER</x:v>
      </x:c>
      <x:c r="O1113" t="str">
        <x:v>SOSHUM</x:v>
      </x:c>
      <x:c r="P1113" t="str">
        <x:v>UMUM</x:v>
      </x:c>
      <x:c r="Q1113" s="18" t="n">
        <x:v>0</x:v>
      </x:c>
      <x:c r="R1113" s="18" t="n">
        <x:v>0</x:v>
      </x:c>
      <x:c r="S1113" s="18" t="n">
        <x:v>640.8508098398763</x:v>
      </x:c>
      <x:c r="T1113" s="18" t="n">
        <x:v>656</x:v>
      </x:c>
      <x:c r="U1113" s="18" t="n">
        <x:v>640.8508098398763</x:v>
      </x:c>
      <x:c r="V1113" s="20" t="n">
        <x:v>4.4</x:v>
      </x:c>
      <x:c r="W1113" s="20" t="n">
        <x:v>14.3</x:v>
      </x:c>
      <x:c r="X1113" s="20" t="n">
        <x:v>3.3</x:v>
      </x:c>
      <x:c r="Y1113" t="str">
        <x:v>Basis arsip 2025/2024</x:v>
      </x:c>
      <x:c r="Z1113" t="str">
        <x:v>https://snpmb.id/utbk-snbt/daya-tampung-snbt</x:v>
      </x:c>
      <x:c r="AA1113" t="str">
        <x:v>Tidak Ada</x:v>
      </x:c>
      <x:c r="AB1113" t="str">
        <x:v>Campus=55; Ratio=64.7; Prodi=40; RelDemand=26.9; Capacity=16.7</x:v>
      </x:c>
    </x:row>
    <x:row r="1114">
      <x:c r="A1114" t="n">
        <x:v>1111</x:v>
      </x:c>
      <x:c r="B1114" t="str">
        <x:v>PTN Akademik</x:v>
      </x:c>
      <x:c r="C1114" t="str">
        <x:v>UPN "VETERAN" JAKARTA</x:v>
      </x:c>
      <x:c r="D1114" t="str">
        <x:v>SAINS INFORMASI</x:v>
      </x:c>
      <x:c r="E1114" t="str">
        <x:v>Sarjana</x:v>
      </x:c>
      <x:c r="F1114" s="18" t="n">
        <x:v>60</x:v>
      </x:c>
      <x:c r="G1114" s="18" t="n">
        <x:v>634</x:v>
      </x:c>
      <x:c r="H1114" s="19" t="n">
        <x:v>10.566666666666666</x:v>
      </x:c>
      <x:c r="I1114" s="18" t="n">
        <x:f>ROUND(MIN(Model_Config_v3!$B$6,MAX(Q1114,R1114,S1114*Model_Config_v3!$B$4+T1114*Model_Config_v3!$B$5)),0)</x:f>
        <x:v>651</x:v>
      </x:c>
      <x:c r="J1114" s="18" t="n">
        <x:f>MIN(Model_Config_v3!$B$6,I1114+Model_Config_v3!$B$7)</x:f>
        <x:v>671</x:v>
      </x:c>
      <x:c r="K1114" s="20" t="n">
        <x:v>49.6</x:v>
      </x:c>
      <x:c r="L1114" t="str">
        <x:v>MENENGAH</x:v>
      </x:c>
      <x:c r="M1114" t="str">
        <x:v>SEDANG</x:v>
      </x:c>
      <x:c r="N1114" t="str">
        <x:v>REGULER</x:v>
      </x:c>
      <x:c r="O1114" t="str">
        <x:v>CAMPURAN</x:v>
      </x:c>
      <x:c r="P1114" t="str">
        <x:v>UMUM</x:v>
      </x:c>
      <x:c r="Q1114" s="18" t="n">
        <x:v>0</x:v>
      </x:c>
      <x:c r="R1114" s="18" t="n">
        <x:v>0</x:v>
      </x:c>
      <x:c r="S1114" s="18" t="n">
        <x:v>632.6331808247897</x:v>
      </x:c>
      <x:c r="T1114" s="18" t="n">
        <x:v>659</x:v>
      </x:c>
      <x:c r="U1114" s="18" t="n">
        <x:v>632.6331808247897</x:v>
      </x:c>
      <x:c r="V1114" s="20" t="n">
        <x:v>8.8</x:v>
      </x:c>
      <x:c r="W1114" s="20" t="n">
        <x:v>9.9</x:v>
      </x:c>
      <x:c r="X1114" s="20" t="n">
        <x:v>3.3</x:v>
      </x:c>
      <x:c r="Y1114" t="str">
        <x:v>Basis arsip 2025/2024</x:v>
      </x:c>
      <x:c r="Z1114" t="str">
        <x:v>https://snpmb.id/utbk-snbt/daya-tampung-snbt</x:v>
      </x:c>
      <x:c r="AA1114" t="str">
        <x:v>Tidak Ada</x:v>
      </x:c>
      <x:c r="AB1114" t="str">
        <x:v>Campus=55; Ratio=60.3; Prodi=40; RelDemand=22.6; Capacity=50.0</x:v>
      </x:c>
    </x:row>
    <x:row r="1115">
      <x:c r="A1115" t="n">
        <x:v>1112</x:v>
      </x:c>
      <x:c r="B1115" t="str">
        <x:v>PTN Akademik</x:v>
      </x:c>
      <x:c r="C1115" t="str">
        <x:v>UPN "VETERAN" JAKARTA</x:v>
      </x:c>
      <x:c r="D1115" t="str">
        <x:v>KAJIAN FILM, TELEVISI, DAN MEDIA</x:v>
      </x:c>
      <x:c r="E1115" t="str">
        <x:v>Sarjana</x:v>
      </x:c>
      <x:c r="F1115" s="18" t="n">
        <x:v>20</x:v>
      </x:c>
      <x:c r="G1115" s="18"/>
      <x:c r="H1115" s="19" t="n">
        <x:v>0</x:v>
      </x:c>
      <x:c r="I1115" s="18" t="n">
        <x:f>ROUND(MIN(Model_Config_v3!$B$6,MAX(Q1115,R1115,S1115*Model_Config_v3!$B$4+T1115*Model_Config_v3!$B$5)),0)</x:f>
        <x:v>598</x:v>
      </x:c>
      <x:c r="J1115" s="18" t="n">
        <x:f>MIN(Model_Config_v3!$B$6,I1115+Model_Config_v3!$B$7)</x:f>
        <x:v>618</x:v>
      </x:c>
      <x:c r="K1115" s="20" t="n">
        <x:v>35.6</x:v>
      </x:c>
      <x:c r="L1115" t="str">
        <x:v>RELATIF LONGGAR</x:v>
      </x:c>
      <x:c r="M1115" t="str">
        <x:v>RENDAH</x:v>
      </x:c>
      <x:c r="N1115" t="str">
        <x:v>REGULER</x:v>
      </x:c>
      <x:c r="O1115" t="str">
        <x:v>CAMPURAN</x:v>
      </x:c>
      <x:c r="P1115" t="str">
        <x:v>UMUM</x:v>
      </x:c>
      <x:c r="Q1115" s="18" t="n">
        <x:v>0</x:v>
      </x:c>
      <x:c r="R1115" s="18" t="n">
        <x:v>0</x:v>
      </x:c>
      <x:c r="S1115" s="18" t="n">
        <x:v>520</x:v>
      </x:c>
      <x:c r="T1115" s="18" t="n">
        <x:v>631</x:v>
      </x:c>
      <x:c r="U1115" s="18" t="n">
        <x:v>520</x:v>
      </x:c>
      <x:c r="V1115" s="20" t="n">
        <x:v>8.8</x:v>
      </x:c>
      <x:c r="W1115" s="20" t="n">
        <x:v>9.9</x:v>
      </x:c>
      <x:c r="X1115" s="20" t="n">
        <x:v>3.3</x:v>
      </x:c>
      <x:c r="Y1115" t="str">
        <x:v>Basis arsip 2025/2024</x:v>
      </x:c>
      <x:c r="Z1115" t="str">
        <x:v>https://snpmb.id/utbk-snbt/daya-tampung-snbt</x:v>
      </x:c>
      <x:c r="AA1115" t="str">
        <x:v>Tidak Ada</x:v>
      </x:c>
      <x:c r="AB1115" t="str">
        <x:v>Campus=55; Ratio=0.0; Prodi=40; RelDemand=0.0; Capacity=83.3</x:v>
      </x:c>
    </x:row>
    <x:row r="1116">
      <x:c r="A1116" t="n">
        <x:v>1113</x:v>
      </x:c>
      <x:c r="B1116" t="str">
        <x:v>PTN Akademik</x:v>
      </x:c>
      <x:c r="C1116" t="str">
        <x:v>UPN "VETERAN" JAKARTA</x:v>
      </x:c>
      <x:c r="D1116" t="str">
        <x:v>SAINS DATA</x:v>
      </x:c>
      <x:c r="E1116" t="str">
        <x:v>Sarjana</x:v>
      </x:c>
      <x:c r="F1116" s="18" t="n">
        <x:v>18</x:v>
      </x:c>
      <x:c r="G1116" s="18"/>
      <x:c r="H1116" s="19" t="n">
        <x:v>0</x:v>
      </x:c>
      <x:c r="I1116" s="18" t="n">
        <x:f>ROUND(MIN(Model_Config_v3!$B$6,MAX(Q1116,R1116,S1116*Model_Config_v3!$B$4+T1116*Model_Config_v3!$B$5)),0)</x:f>
        <x:v>598</x:v>
      </x:c>
      <x:c r="J1116" s="18" t="n">
        <x:f>MIN(Model_Config_v3!$B$6,I1116+Model_Config_v3!$B$7)</x:f>
        <x:v>618</x:v>
      </x:c>
      <x:c r="K1116" s="20" t="n">
        <x:v>35.8</x:v>
      </x:c>
      <x:c r="L1116" t="str">
        <x:v>RELATIF LONGGAR</x:v>
      </x:c>
      <x:c r="M1116" t="str">
        <x:v>RENDAH</x:v>
      </x:c>
      <x:c r="N1116" t="str">
        <x:v>REGULER</x:v>
      </x:c>
      <x:c r="O1116" t="str">
        <x:v>CAMPURAN</x:v>
      </x:c>
      <x:c r="P1116" t="str">
        <x:v>UMUM</x:v>
      </x:c>
      <x:c r="Q1116" s="18" t="n">
        <x:v>0</x:v>
      </x:c>
      <x:c r="R1116" s="18" t="n">
        <x:v>0</x:v>
      </x:c>
      <x:c r="S1116" s="18" t="n">
        <x:v>520</x:v>
      </x:c>
      <x:c r="T1116" s="18" t="n">
        <x:v>632</x:v>
      </x:c>
      <x:c r="U1116" s="18" t="n">
        <x:v>520</x:v>
      </x:c>
      <x:c r="V1116" s="20" t="n">
        <x:v>8.8</x:v>
      </x:c>
      <x:c r="W1116" s="20" t="n">
        <x:v>9.9</x:v>
      </x:c>
      <x:c r="X1116" s="20" t="n">
        <x:v>3.3</x:v>
      </x:c>
      <x:c r="Y1116" t="str">
        <x:v>Basis arsip 2025/2024</x:v>
      </x:c>
      <x:c r="Z1116" t="str">
        <x:v>https://snpmb.id/utbk-snbt/daya-tampung-snbt</x:v>
      </x:c>
      <x:c r="AA1116" t="str">
        <x:v>Tidak Ada</x:v>
      </x:c>
      <x:c r="AB1116" t="str">
        <x:v>Campus=55; Ratio=0.0; Prodi=40; RelDemand=0.0; Capacity=85.0</x:v>
      </x:c>
    </x:row>
    <x:row r="1117">
      <x:c r="A1117" t="n">
        <x:v>1114</x:v>
      </x:c>
      <x:c r="B1117" t="str">
        <x:v>PTN Akademik</x:v>
      </x:c>
      <x:c r="C1117" t="str">
        <x:v>UPN "VETERAN" JAKARTA</x:v>
      </x:c>
      <x:c r="D1117" t="str">
        <x:v>KEPERAWATAN</x:v>
      </x:c>
      <x:c r="E1117" t="str">
        <x:v>Diploma Tiga</x:v>
      </x:c>
      <x:c r="F1117" s="18" t="n">
        <x:v>35</x:v>
      </x:c>
      <x:c r="G1117" s="18" t="n">
        <x:v>3344</x:v>
      </x:c>
      <x:c r="H1117" s="19" t="n">
        <x:v>95.54285714285714</x:v>
      </x:c>
      <x:c r="I1117" s="18" t="n">
        <x:f>ROUND(MIN(Model_Config_v3!$B$6,MAX(Q1117,R1117,S1117*Model_Config_v3!$B$4+T1117*Model_Config_v3!$B$5)),0)</x:f>
        <x:v>715</x:v>
      </x:c>
      <x:c r="J1117" s="18" t="n">
        <x:f>MIN(Model_Config_v3!$B$6,I1117+Model_Config_v3!$B$7)</x:f>
        <x:v>735</x:v>
      </x:c>
      <x:c r="K1117" s="20" t="n">
        <x:v>72.3</x:v>
      </x:c>
      <x:c r="L1117" t="str">
        <x:v>SANGAT KETAT</x:v>
      </x:c>
      <x:c r="M1117" t="str">
        <x:v>SEDANG+</x:v>
      </x:c>
      <x:c r="N1117" t="str">
        <x:v>REGULER</x:v>
      </x:c>
      <x:c r="O1117" t="str">
        <x:v>SAINTEK</x:v>
      </x:c>
      <x:c r="P1117" t="str">
        <x:v>KESEHAT/GIZI/KEPERAWATAN</x:v>
      </x:c>
      <x:c r="Q1117" s="18" t="n">
        <x:v>0</x:v>
      </x:c>
      <x:c r="R1117" s="18" t="n">
        <x:v>0</x:v>
      </x:c>
      <x:c r="S1117" s="18" t="n">
        <x:v>737.8218046858374</x:v>
      </x:c>
      <x:c r="T1117" s="18" t="n">
        <x:v>705</x:v>
      </x:c>
      <x:c r="U1117" s="18" t="n">
        <x:v>737.8218046858374</x:v>
      </x:c>
      <x:c r="V1117" s="20" t="n">
        <x:v>12</x:v>
      </x:c>
      <x:c r="W1117" s="20" t="n">
        <x:v>5</x:v>
      </x:c>
      <x:c r="X1117" s="20" t="n">
        <x:v>3</x:v>
      </x:c>
      <x:c r="Y1117" t="str">
        <x:v>Basis arsip 2025/2024</x:v>
      </x:c>
      <x:c r="Z1117" t="str">
        <x:v>https://snpmb.id/utbk-snbt/daya-tampung-snbt</x:v>
      </x:c>
      <x:c r="AA1117" t="str">
        <x:v>Tidak Ada</x:v>
      </x:c>
      <x:c r="AB1117" t="str">
        <x:v>Campus=55; Ratio=100.0; Prodi=55; RelDemand=100.0; Capacity=70.8</x:v>
      </x:c>
    </x:row>
    <x:row r="1118">
      <x:c r="A1118" t="n">
        <x:v>1115</x:v>
      </x:c>
      <x:c r="B1118" t="str">
        <x:v>PTN Akademik</x:v>
      </x:c>
      <x:c r="C1118" t="str">
        <x:v>UPN "VETERAN" JAKARTA</x:v>
      </x:c>
      <x:c r="D1118" t="str">
        <x:v>FISIOTERAPI</x:v>
      </x:c>
      <x:c r="E1118" t="str">
        <x:v>Diploma Tiga</x:v>
      </x:c>
      <x:c r="F1118" s="18" t="n">
        <x:v>35</x:v>
      </x:c>
      <x:c r="G1118" s="18" t="n">
        <x:v>2031</x:v>
      </x:c>
      <x:c r="H1118" s="19" t="n">
        <x:v>58.02857142857143</x:v>
      </x:c>
      <x:c r="I1118" s="18" t="n">
        <x:f>ROUND(MIN(Model_Config_v3!$B$6,MAX(Q1118,R1118,S1118*Model_Config_v3!$B$4+T1118*Model_Config_v3!$B$5)),0)</x:f>
        <x:v>708</x:v>
      </x:c>
      <x:c r="J1118" s="18" t="n">
        <x:f>MIN(Model_Config_v3!$B$6,I1118+Model_Config_v3!$B$7)</x:f>
        <x:v>728</x:v>
      </x:c>
      <x:c r="K1118" s="20" t="n">
        <x:v>72.3</x:v>
      </x:c>
      <x:c r="L1118" t="str">
        <x:v>SANGAT KETAT</x:v>
      </x:c>
      <x:c r="M1118" t="str">
        <x:v>SEDANG+</x:v>
      </x:c>
      <x:c r="N1118" t="str">
        <x:v>REGULER</x:v>
      </x:c>
      <x:c r="O1118" t="str">
        <x:v>CAMPURAN</x:v>
      </x:c>
      <x:c r="P1118" t="str">
        <x:v>KESEHAT/GIZI/KEPERAWATAN</x:v>
      </x:c>
      <x:c r="Q1118" s="18" t="n">
        <x:v>0</x:v>
      </x:c>
      <x:c r="R1118" s="18" t="n">
        <x:v>0</x:v>
      </x:c>
      <x:c r="S1118" s="18" t="n">
        <x:v>714.0006066959984</x:v>
      </x:c>
      <x:c r="T1118" s="18" t="n">
        <x:v>705</x:v>
      </x:c>
      <x:c r="U1118" s="18" t="n">
        <x:v>714.0006066959984</x:v>
      </x:c>
      <x:c r="V1118" s="20" t="n">
        <x:v>8.8</x:v>
      </x:c>
      <x:c r="W1118" s="20" t="n">
        <x:v>9.9</x:v>
      </x:c>
      <x:c r="X1118" s="20" t="n">
        <x:v>3.3</x:v>
      </x:c>
      <x:c r="Y1118" t="str">
        <x:v>Basis arsip 2025/2024</x:v>
      </x:c>
      <x:c r="Z1118" t="str">
        <x:v>https://snpmb.id/utbk-snbt/daya-tampung-snbt</x:v>
      </x:c>
      <x:c r="AA1118" t="str">
        <x:v>Tidak Ada</x:v>
      </x:c>
      <x:c r="AB1118" t="str">
        <x:v>Campus=55; Ratio=100.0; Prodi=55; RelDemand=100.0; Capacity=70.8</x:v>
      </x:c>
    </x:row>
    <x:row r="1119">
      <x:c r="A1119" t="n">
        <x:v>1116</x:v>
      </x:c>
      <x:c r="B1119" t="str">
        <x:v>PTN Akademik</x:v>
      </x:c>
      <x:c r="C1119" t="str">
        <x:v>UPN "VETERAN" JAKARTA</x:v>
      </x:c>
      <x:c r="D1119" t="str">
        <x:v>SISTEM INFORMASI</x:v>
      </x:c>
      <x:c r="E1119" t="str">
        <x:v>Diploma Tiga</x:v>
      </x:c>
      <x:c r="F1119" s="18" t="n">
        <x:v>70</x:v>
      </x:c>
      <x:c r="G1119" s="18" t="n">
        <x:v>4143</x:v>
      </x:c>
      <x:c r="H1119" s="19" t="n">
        <x:v>59.18571428571428</x:v>
      </x:c>
      <x:c r="I1119" s="18" t="n">
        <x:f>ROUND(MIN(Model_Config_v3!$B$6,MAX(Q1119,R1119,S1119*Model_Config_v3!$B$4+T1119*Model_Config_v3!$B$5)),0)</x:f>
        <x:v>712</x:v>
      </x:c>
      <x:c r="J1119" s="18" t="n">
        <x:f>MIN(Model_Config_v3!$B$6,I1119+Model_Config_v3!$B$7)</x:f>
        <x:v>732</x:v>
      </x:c>
      <x:c r="K1119" s="20" t="n">
        <x:v>75.4</x:v>
      </x:c>
      <x:c r="L1119" t="str">
        <x:v>ELITE</x:v>
      </x:c>
      <x:c r="M1119" t="str">
        <x:v>SEDANG+</x:v>
      </x:c>
      <x:c r="N1119" t="str">
        <x:v>REGULER</x:v>
      </x:c>
      <x:c r="O1119" t="str">
        <x:v>CAMPURAN</x:v>
      </x:c>
      <x:c r="P1119" t="str">
        <x:v>KOMPUTER/INFORMATIKA</x:v>
      </x:c>
      <x:c r="Q1119" s="18" t="n">
        <x:v>0</x:v>
      </x:c>
      <x:c r="R1119" s="18" t="n">
        <x:v>0</x:v>
      </x:c>
      <x:c r="S1119" s="18" t="n">
        <x:v>714.943858261244</x:v>
      </x:c>
      <x:c r="T1119" s="18" t="n">
        <x:v>711</x:v>
      </x:c>
      <x:c r="U1119" s="18" t="n">
        <x:v>739.943858261244</x:v>
      </x:c>
      <x:c r="V1119" s="20" t="n">
        <x:v>8.8</x:v>
      </x:c>
      <x:c r="W1119" s="20" t="n">
        <x:v>9.9</x:v>
      </x:c>
      <x:c r="X1119" s="20" t="n">
        <x:v>3.3</x:v>
      </x:c>
      <x:c r="Y1119" t="str">
        <x:v>Basis arsip 2025/2024</x:v>
      </x:c>
      <x:c r="Z1119" t="str">
        <x:v>https://snpmb.id/utbk-snbt/daya-tampung-snbt</x:v>
      </x:c>
      <x:c r="AA1119" t="str">
        <x:v>Tidak Ada</x:v>
      </x:c>
      <x:c r="AB1119" t="str">
        <x:v>Campus=55; Ratio=100.0; Prodi=85; RelDemand=100.0; Capacity=41.7</x:v>
      </x:c>
    </x:row>
    <x:row r="1120">
      <x:c r="A1120" t="n">
        <x:v>1117</x:v>
      </x:c>
      <x:c r="B1120" t="str">
        <x:v>PTN Akademik</x:v>
      </x:c>
      <x:c r="C1120" t="str">
        <x:v>UPN "VETERAN" JAKARTA</x:v>
      </x:c>
      <x:c r="D1120" t="str">
        <x:v>PERBANKAN DAN KEUANGAN</x:v>
      </x:c>
      <x:c r="E1120" t="str">
        <x:v>Diploma Tiga</x:v>
      </x:c>
      <x:c r="F1120" s="18" t="n">
        <x:v>60</x:v>
      </x:c>
      <x:c r="G1120" s="18" t="n">
        <x:v>2680</x:v>
      </x:c>
      <x:c r="H1120" s="19" t="n">
        <x:v>44.666666666666664</x:v>
      </x:c>
      <x:c r="I1120" s="18" t="n">
        <x:f>ROUND(MIN(Model_Config_v3!$B$6,MAX(Q1120,R1120,S1120*Model_Config_v3!$B$4+T1120*Model_Config_v3!$B$5)),0)</x:f>
        <x:v>695</x:v>
      </x:c>
      <x:c r="J1120" s="18" t="n">
        <x:f>MIN(Model_Config_v3!$B$6,I1120+Model_Config_v3!$B$7)</x:f>
        <x:v>715</x:v>
      </x:c>
      <x:c r="K1120" s="20" t="n">
        <x:v>66.1</x:v>
      </x:c>
      <x:c r="L1120" t="str">
        <x:v>SANGAT KETAT</x:v>
      </x:c>
      <x:c r="M1120" t="str">
        <x:v>SEDANG</x:v>
      </x:c>
      <x:c r="N1120" t="str">
        <x:v>REGULER</x:v>
      </x:c>
      <x:c r="O1120" t="str">
        <x:v>CAMPURAN</x:v>
      </x:c>
      <x:c r="P1120" t="str">
        <x:v>UMUM</x:v>
      </x:c>
      <x:c r="Q1120" s="18" t="n">
        <x:v>0</x:v>
      </x:c>
      <x:c r="R1120" s="18" t="n">
        <x:v>0</x:v>
      </x:c>
      <x:c r="S1120" s="18" t="n">
        <x:v>701.498189800966</x:v>
      </x:c>
      <x:c r="T1120" s="18" t="n">
        <x:v>692</x:v>
      </x:c>
      <x:c r="U1120" s="18" t="n">
        <x:v>701.498189800966</x:v>
      </x:c>
      <x:c r="V1120" s="20" t="n">
        <x:v>8.8</x:v>
      </x:c>
      <x:c r="W1120" s="20" t="n">
        <x:v>9.9</x:v>
      </x:c>
      <x:c r="X1120" s="20" t="n">
        <x:v>3.3</x:v>
      </x:c>
      <x:c r="Y1120" t="str">
        <x:v>Basis arsip 2025/2024</x:v>
      </x:c>
      <x:c r="Z1120" t="str">
        <x:v>https://snpmb.id/utbk-snbt/daya-tampung-snbt</x:v>
      </x:c>
      <x:c r="AA1120" t="str">
        <x:v>Tidak Ada</x:v>
      </x:c>
      <x:c r="AB1120" t="str">
        <x:v>Campus=55; Ratio=97.1; Prodi=40; RelDemand=95.6; Capacity=50.0</x:v>
      </x:c>
    </x:row>
    <x:row r="1121">
      <x:c r="A1121" t="n">
        <x:v>1118</x:v>
      </x:c>
      <x:c r="B1121" t="str">
        <x:v>PTN Akademik</x:v>
      </x:c>
      <x:c r="C1121" t="str">
        <x:v>UPN "VETERAN" JAKARTA</x:v>
      </x:c>
      <x:c r="D1121" t="str">
        <x:v>AKUNTANSI</x:v>
      </x:c>
      <x:c r="E1121" t="str">
        <x:v>Diploma Tiga</x:v>
      </x:c>
      <x:c r="F1121" s="18" t="n">
        <x:v>60</x:v>
      </x:c>
      <x:c r="G1121" s="18" t="n">
        <x:v>2333</x:v>
      </x:c>
      <x:c r="H1121" s="19" t="n">
        <x:v>38.88333333333333</x:v>
      </x:c>
      <x:c r="I1121" s="18" t="n">
        <x:f>ROUND(MIN(Model_Config_v3!$B$6,MAX(Q1121,R1121,S1121*Model_Config_v3!$B$4+T1121*Model_Config_v3!$B$5)),0)</x:f>
        <x:v>697</x:v>
      </x:c>
      <x:c r="J1121" s="18" t="n">
        <x:f>MIN(Model_Config_v3!$B$6,I1121+Model_Config_v3!$B$7)</x:f>
        <x:v>717</x:v>
      </x:c>
      <x:c r="K1121" s="20" t="n">
        <x:v>69</x:v>
      </x:c>
      <x:c r="L1121" t="str">
        <x:v>SANGAT KETAT</x:v>
      </x:c>
      <x:c r="M1121" t="str">
        <x:v>SEDANG+</x:v>
      </x:c>
      <x:c r="N1121" t="str">
        <x:v>REGULER</x:v>
      </x:c>
      <x:c r="O1121" t="str">
        <x:v>SOSHUM</x:v>
      </x:c>
      <x:c r="P1121" t="str">
        <x:v>BISNIS/EKONOMI/AKUNTANSI</x:v>
      </x:c>
      <x:c r="Q1121" s="18" t="n">
        <x:v>0</x:v>
      </x:c>
      <x:c r="R1121" s="18" t="n">
        <x:v>0</x:v>
      </x:c>
      <x:c r="S1121" s="18" t="n">
        <x:v>694.873983725112</x:v>
      </x:c>
      <x:c r="T1121" s="18" t="n">
        <x:v>698</x:v>
      </x:c>
      <x:c r="U1121" s="18" t="n">
        <x:v>694.873983725112</x:v>
      </x:c>
      <x:c r="V1121" s="20" t="n">
        <x:v>4.4</x:v>
      </x:c>
      <x:c r="W1121" s="20" t="n">
        <x:v>14.3</x:v>
      </x:c>
      <x:c r="X1121" s="20" t="n">
        <x:v>3.3</x:v>
      </x:c>
      <x:c r="Y1121" t="str">
        <x:v>Basis arsip 2025/2024</x:v>
      </x:c>
      <x:c r="Z1121" t="str">
        <x:v>https://snpmb.id/utbk-snbt/daya-tampung-snbt</x:v>
      </x:c>
      <x:c r="AA1121" t="str">
        <x:v>Tidak Ada</x:v>
      </x:c>
      <x:c r="AB1121" t="str">
        <x:v>Campus=55; Ratio=93.6; Prodi=65; RelDemand=83.2; Capacity=50.0</x:v>
      </x:c>
    </x:row>
    <x:row r="1122">
      <x:c r="A1122" t="n">
        <x:v>1119</x:v>
      </x:c>
      <x:c r="B1122" t="str">
        <x:v>PTN Akademik</x:v>
      </x:c>
      <x:c r="C1122" t="str">
        <x:v>UNIVERSITAS SINGAPERBANGSA KARAWANG</x:v>
      </x:c>
      <x:c r="D1122" t="str">
        <x:v>AGROTEKNOLOGI</x:v>
      </x:c>
      <x:c r="E1122" t="str">
        <x:v>Sarjana</x:v>
      </x:c>
      <x:c r="F1122" s="18" t="n">
        <x:v>80</x:v>
      </x:c>
      <x:c r="G1122" s="18" t="n">
        <x:v>224</x:v>
      </x:c>
      <x:c r="H1122" s="19" t="n">
        <x:v>2.8</x:v>
      </x:c>
      <x:c r="I1122" s="18" t="n">
        <x:f>ROUND(MIN(Model_Config_v3!$B$6,MAX(Q1122,R1122,S1122*Model_Config_v3!$B$4+T1122*Model_Config_v3!$B$5)),0)</x:f>
        <x:v>617</x:v>
      </x:c>
      <x:c r="J1122" s="18" t="n">
        <x:f>MIN(Model_Config_v3!$B$6,I1122+Model_Config_v3!$B$7)</x:f>
        <x:v>637</x:v>
      </x:c>
      <x:c r="K1122" s="20" t="n">
        <x:v>38.8</x:v>
      </x:c>
      <x:c r="L1122" t="str">
        <x:v>RELATIF LONGGAR</x:v>
      </x:c>
      <x:c r="M1122" t="str">
        <x:v>SEDANG</x:v>
      </x:c>
      <x:c r="N1122" t="str">
        <x:v>REGULER</x:v>
      </x:c>
      <x:c r="O1122" t="str">
        <x:v>SAINTEK</x:v>
      </x:c>
      <x:c r="P1122" t="str">
        <x:v>UMUM</x:v>
      </x:c>
      <x:c r="Q1122" s="18" t="n">
        <x:v>0</x:v>
      </x:c>
      <x:c r="R1122" s="18" t="n">
        <x:v>0</x:v>
      </x:c>
      <x:c r="S1122" s="18" t="n">
        <x:v>569.1873834476442</x:v>
      </x:c>
      <x:c r="T1122" s="18" t="n">
        <x:v>638</x:v>
      </x:c>
      <x:c r="U1122" s="18" t="n">
        <x:v>569.1873834476442</x:v>
      </x:c>
      <x:c r="V1122" s="20" t="n">
        <x:v>12</x:v>
      </x:c>
      <x:c r="W1122" s="20" t="n">
        <x:v>5</x:v>
      </x:c>
      <x:c r="X1122" s="20" t="n">
        <x:v>3</x:v>
      </x:c>
      <x:c r="Y1122" t="str">
        <x:v>Basis arsip 2025/2024</x:v>
      </x:c>
      <x:c r="Z1122" t="str">
        <x:v>https://snpmb.id/utbk-snbt/daya-tampung-snbt</x:v>
      </x:c>
      <x:c r="AA1122" t="str">
        <x:v>Tidak Ada</x:v>
      </x:c>
      <x:c r="AB1122" t="str">
        <x:v>Campus=55; Ratio=26.3; Prodi=40; RelDemand=16.1; Capacity=33.3</x:v>
      </x:c>
    </x:row>
    <x:row r="1123">
      <x:c r="A1123" t="n">
        <x:v>1120</x:v>
      </x:c>
      <x:c r="B1123" t="str">
        <x:v>PTN Akademik</x:v>
      </x:c>
      <x:c r="C1123" t="str">
        <x:v>UNIVERSITAS SINGAPERBANGSA KARAWANG</x:v>
      </x:c>
      <x:c r="D1123" t="str">
        <x:v>TEKNIK INDUSTRI</x:v>
      </x:c>
      <x:c r="E1123" t="str">
        <x:v>Sarjana</x:v>
      </x:c>
      <x:c r="F1123" s="18" t="n">
        <x:v>70</x:v>
      </x:c>
      <x:c r="G1123" s="18" t="n">
        <x:v>622</x:v>
      </x:c>
      <x:c r="H1123" s="19" t="n">
        <x:v>8.885714285714286</x:v>
      </x:c>
      <x:c r="I1123" s="18" t="n">
        <x:f>ROUND(MIN(Model_Config_v3!$B$6,MAX(Q1123,R1123,S1123*Model_Config_v3!$B$4+T1123*Model_Config_v3!$B$5)),0)</x:f>
        <x:v>656</x:v>
      </x:c>
      <x:c r="J1123" s="18" t="n">
        <x:f>MIN(Model_Config_v3!$B$6,I1123+Model_Config_v3!$B$7)</x:f>
        <x:v>676</x:v>
      </x:c>
      <x:c r="K1123" s="20" t="n">
        <x:v>54.5</x:v>
      </x:c>
      <x:c r="L1123" t="str">
        <x:v>MENENGAH</x:v>
      </x:c>
      <x:c r="M1123" t="str">
        <x:v>SEDANG+</x:v>
      </x:c>
      <x:c r="N1123" t="str">
        <x:v>REGULER</x:v>
      </x:c>
      <x:c r="O1123" t="str">
        <x:v>SAINTEK</x:v>
      </x:c>
      <x:c r="P1123" t="str">
        <x:v>TEKNIK/ARSITEKTUR/STATISTIKA/AKTUARIA</x:v>
      </x:c>
      <x:c r="Q1123" s="18" t="n">
        <x:v>0</x:v>
      </x:c>
      <x:c r="R1123" s="18" t="n">
        <x:v>0</x:v>
      </x:c>
      <x:c r="S1123" s="18" t="n">
        <x:v>624.3561579144218</x:v>
      </x:c>
      <x:c r="T1123" s="18" t="n">
        <x:v>669</x:v>
      </x:c>
      <x:c r="U1123" s="18" t="n">
        <x:v>634.3561579144218</x:v>
      </x:c>
      <x:c r="V1123" s="20" t="n">
        <x:v>12</x:v>
      </x:c>
      <x:c r="W1123" s="20" t="n">
        <x:v>5</x:v>
      </x:c>
      <x:c r="X1123" s="20" t="n">
        <x:v>3</x:v>
      </x:c>
      <x:c r="Y1123" t="str">
        <x:v>Basis arsip 2025/2024</x:v>
      </x:c>
      <x:c r="Z1123" t="str">
        <x:v>https://snpmb.id/utbk-snbt/daya-tampung-snbt</x:v>
      </x:c>
      <x:c r="AA1123" t="str">
        <x:v>Tidak Ada</x:v>
      </x:c>
      <x:c r="AB1123" t="str">
        <x:v>Campus=55; Ratio=55.8; Prodi=60; RelDemand=51.0; Capacity=41.7</x:v>
      </x:c>
    </x:row>
    <x:row r="1124">
      <x:c r="A1124" t="n">
        <x:v>1121</x:v>
      </x:c>
      <x:c r="B1124" t="str">
        <x:v>PTN Akademik</x:v>
      </x:c>
      <x:c r="C1124" t="str">
        <x:v>UNIVERSITAS SINGAPERBANGSA KARAWANG</x:v>
      </x:c>
      <x:c r="D1124" t="str">
        <x:v>TEKNIK MESIN</x:v>
      </x:c>
      <x:c r="E1124" t="str">
        <x:v>Sarjana</x:v>
      </x:c>
      <x:c r="F1124" s="18" t="n">
        <x:v>48</x:v>
      </x:c>
      <x:c r="G1124" s="18" t="n">
        <x:v>321</x:v>
      </x:c>
      <x:c r="H1124" s="19" t="n">
        <x:v>6.6875</x:v>
      </x:c>
      <x:c r="I1124" s="18" t="n">
        <x:f>ROUND(MIN(Model_Config_v3!$B$6,MAX(Q1124,R1124,S1124*Model_Config_v3!$B$4+T1124*Model_Config_v3!$B$5)),0)</x:f>
        <x:v>649</x:v>
      </x:c>
      <x:c r="J1124" s="18" t="n">
        <x:f>MIN(Model_Config_v3!$B$6,I1124+Model_Config_v3!$B$7)</x:f>
        <x:v>669</x:v>
      </x:c>
      <x:c r="K1124" s="20" t="n">
        <x:v>53.2</x:v>
      </x:c>
      <x:c r="L1124" t="str">
        <x:v>MENENGAH</x:v>
      </x:c>
      <x:c r="M1124" t="str">
        <x:v>SEDANG+</x:v>
      </x:c>
      <x:c r="N1124" t="str">
        <x:v>REGULER</x:v>
      </x:c>
      <x:c r="O1124" t="str">
        <x:v>SAINTEK</x:v>
      </x:c>
      <x:c r="P1124" t="str">
        <x:v>TEKNIK/ARSITEKTUR/STATISTIKA/AKTUARIA</x:v>
      </x:c>
      <x:c r="Q1124" s="18" t="n">
        <x:v>0</x:v>
      </x:c>
      <x:c r="R1124" s="18" t="n">
        <x:v>0</x:v>
      </x:c>
      <x:c r="S1124" s="18" t="n">
        <x:v>610.7790174532213</x:v>
      </x:c>
      <x:c r="T1124" s="18" t="n">
        <x:v>666</x:v>
      </x:c>
      <x:c r="U1124" s="18" t="n">
        <x:v>620.7790174532213</x:v>
      </x:c>
      <x:c r="V1124" s="20" t="n">
        <x:v>12</x:v>
      </x:c>
      <x:c r="W1124" s="20" t="n">
        <x:v>5</x:v>
      </x:c>
      <x:c r="X1124" s="20" t="n">
        <x:v>3</x:v>
      </x:c>
      <x:c r="Y1124" t="str">
        <x:v>Basis arsip 2025/2024</x:v>
      </x:c>
      <x:c r="Z1124" t="str">
        <x:v>https://snpmb.id/utbk-snbt/daya-tampung-snbt</x:v>
      </x:c>
      <x:c r="AA1124" t="str">
        <x:v>Tidak Ada</x:v>
      </x:c>
      <x:c r="AB1124" t="str">
        <x:v>Campus=55; Ratio=48.6; Prodi=60; RelDemand=38.4; Capacity=60.0</x:v>
      </x:c>
    </x:row>
    <x:row r="1125">
      <x:c r="A1125" t="n">
        <x:v>1122</x:v>
      </x:c>
      <x:c r="B1125" t="str">
        <x:v>PTN Akademik</x:v>
      </x:c>
      <x:c r="C1125" t="str">
        <x:v>UNIVERSITAS SINGAPERBANGSA KARAWANG</x:v>
      </x:c>
      <x:c r="D1125" t="str">
        <x:v>TEKNIK ELEKTRO</x:v>
      </x:c>
      <x:c r="E1125" t="str">
        <x:v>Sarjana</x:v>
      </x:c>
      <x:c r="F1125" s="18" t="n">
        <x:v>60</x:v>
      </x:c>
      <x:c r="G1125" s="18" t="n">
        <x:v>270</x:v>
      </x:c>
      <x:c r="H1125" s="19" t="n">
        <x:v>4.5</x:v>
      </x:c>
      <x:c r="I1125" s="18" t="n">
        <x:f>ROUND(MIN(Model_Config_v3!$B$6,MAX(Q1125,R1125,S1125*Model_Config_v3!$B$4+T1125*Model_Config_v3!$B$5)),0)</x:f>
        <x:v>637</x:v>
      </x:c>
      <x:c r="J1125" s="18" t="n">
        <x:f>MIN(Model_Config_v3!$B$6,I1125+Model_Config_v3!$B$7)</x:f>
        <x:v>657</x:v>
      </x:c>
      <x:c r="K1125" s="20" t="n">
        <x:v>48.4</x:v>
      </x:c>
      <x:c r="L1125" t="str">
        <x:v>MENENGAH</x:v>
      </x:c>
      <x:c r="M1125" t="str">
        <x:v>SEDANG+</x:v>
      </x:c>
      <x:c r="N1125" t="str">
        <x:v>REGULER</x:v>
      </x:c>
      <x:c r="O1125" t="str">
        <x:v>SAINTEK</x:v>
      </x:c>
      <x:c r="P1125" t="str">
        <x:v>TEKNIK/ARSITEKTUR/STATISTIKA/AKTUARIA</x:v>
      </x:c>
      <x:c r="Q1125" s="18" t="n">
        <x:v>0</x:v>
      </x:c>
      <x:c r="R1125" s="18" t="n">
        <x:v>0</x:v>
      </x:c>
      <x:c r="S1125" s="18" t="n">
        <x:v>591.8533765152878</x:v>
      </x:c>
      <x:c r="T1125" s="18" t="n">
        <x:v>657</x:v>
      </x:c>
      <x:c r="U1125" s="18" t="n">
        <x:v>601.8533765152878</x:v>
      </x:c>
      <x:c r="V1125" s="20" t="n">
        <x:v>12</x:v>
      </x:c>
      <x:c r="W1125" s="20" t="n">
        <x:v>5</x:v>
      </x:c>
      <x:c r="X1125" s="20" t="n">
        <x:v>3</x:v>
      </x:c>
      <x:c r="Y1125" t="str">
        <x:v>Basis arsip 2025/2024</x:v>
      </x:c>
      <x:c r="Z1125" t="str">
        <x:v>https://snpmb.id/utbk-snbt/daya-tampung-snbt</x:v>
      </x:c>
      <x:c r="AA1125" t="str">
        <x:v>Tidak Ada</x:v>
      </x:c>
      <x:c r="AB1125" t="str">
        <x:v>Campus=55; Ratio=38.4; Prodi=60; RelDemand=25.8; Capacity=50.0</x:v>
      </x:c>
    </x:row>
    <x:row r="1126">
      <x:c r="A1126" t="n">
        <x:v>1123</x:v>
      </x:c>
      <x:c r="B1126" t="str">
        <x:v>PTN Akademik</x:v>
      </x:c>
      <x:c r="C1126" t="str">
        <x:v>UNIVERSITAS SINGAPERBANGSA KARAWANG</x:v>
      </x:c>
      <x:c r="D1126" t="str">
        <x:v>INFORMATIKA</x:v>
      </x:c>
      <x:c r="E1126" t="str">
        <x:v>Sarjana</x:v>
      </x:c>
      <x:c r="F1126" s="18" t="n">
        <x:v>32</x:v>
      </x:c>
      <x:c r="G1126" s="18" t="n">
        <x:v>690</x:v>
      </x:c>
      <x:c r="H1126" s="19" t="n">
        <x:v>21.5625</x:v>
      </x:c>
      <x:c r="I1126" s="18" t="n">
        <x:f>ROUND(MIN(Model_Config_v3!$B$6,MAX(Q1126,R1126,S1126*Model_Config_v3!$B$4+T1126*Model_Config_v3!$B$5)),0)</x:f>
        <x:v>694</x:v>
      </x:c>
      <x:c r="J1126" s="18" t="n">
        <x:f>MIN(Model_Config_v3!$B$6,I1126+Model_Config_v3!$B$7)</x:f>
        <x:v>714</x:v>
      </x:c>
      <x:c r="K1126" s="20" t="n">
        <x:v>73.2</x:v>
      </x:c>
      <x:c r="L1126" t="str">
        <x:v>SANGAT KETAT</x:v>
      </x:c>
      <x:c r="M1126" t="str">
        <x:v>SEDANG+</x:v>
      </x:c>
      <x:c r="N1126" t="str">
        <x:v>REGULER</x:v>
      </x:c>
      <x:c r="O1126" t="str">
        <x:v>SAINTEK</x:v>
      </x:c>
      <x:c r="P1126" t="str">
        <x:v>KOMPUTER/INFORMATIKA</x:v>
      </x:c>
      <x:c r="Q1126" s="18" t="n">
        <x:v>0</x:v>
      </x:c>
      <x:c r="R1126" s="18" t="n">
        <x:v>0</x:v>
      </x:c>
      <x:c r="S1126" s="18" t="n">
        <x:v>666.7069023659084</x:v>
      </x:c>
      <x:c r="T1126" s="18" t="n">
        <x:v>706</x:v>
      </x:c>
      <x:c r="U1126" s="18" t="n">
        <x:v>691.7069023659084</x:v>
      </x:c>
      <x:c r="V1126" s="20" t="n">
        <x:v>12</x:v>
      </x:c>
      <x:c r="W1126" s="20" t="n">
        <x:v>5</x:v>
      </x:c>
      <x:c r="X1126" s="20" t="n">
        <x:v>3</x:v>
      </x:c>
      <x:c r="Y1126" t="str">
        <x:v>Basis arsip 2025/2024</x:v>
      </x:c>
      <x:c r="Z1126" t="str">
        <x:v>https://snpmb.id/utbk-snbt/daya-tampung-snbt</x:v>
      </x:c>
      <x:c r="AA1126" t="str">
        <x:v>Tidak Ada</x:v>
      </x:c>
      <x:c r="AB1126" t="str">
        <x:v>Campus=55; Ratio=78.5; Prodi=85; RelDemand=100.0; Capacity=73.3</x:v>
      </x:c>
    </x:row>
    <x:row r="1127">
      <x:c r="A1127" t="n">
        <x:v>1124</x:v>
      </x:c>
      <x:c r="B1127" t="str">
        <x:v>PTN Akademik</x:v>
      </x:c>
      <x:c r="C1127" t="str">
        <x:v>UNIVERSITAS SINGAPERBANGSA KARAWANG</x:v>
      </x:c>
      <x:c r="D1127" t="str">
        <x:v>PEND. MATEMATIKA</x:v>
      </x:c>
      <x:c r="E1127" t="str">
        <x:v>Sarjana</x:v>
      </x:c>
      <x:c r="F1127" s="18" t="n">
        <x:v>84</x:v>
      </x:c>
      <x:c r="G1127" s="18" t="n">
        <x:v>165</x:v>
      </x:c>
      <x:c r="H1127" s="19" t="n">
        <x:v>1.9642857142857142</x:v>
      </x:c>
      <x:c r="I1127" s="18" t="n">
        <x:f>ROUND(MIN(Model_Config_v3!$B$6,MAX(Q1127,R1127,S1127*Model_Config_v3!$B$4+T1127*Model_Config_v3!$B$5)),0)</x:f>
        <x:v>609</x:v>
      </x:c>
      <x:c r="J1127" s="18" t="n">
        <x:f>MIN(Model_Config_v3!$B$6,I1127+Model_Config_v3!$B$7)</x:f>
        <x:v>629</x:v>
      </x:c>
      <x:c r="K1127" s="20" t="n">
        <x:v>36.7</x:v>
      </x:c>
      <x:c r="L1127" t="str">
        <x:v>RELATIF LONGGAR</x:v>
      </x:c>
      <x:c r="M1127" t="str">
        <x:v>SEDANG+</x:v>
      </x:c>
      <x:c r="N1127" t="str">
        <x:v>REGULER</x:v>
      </x:c>
      <x:c r="O1127" t="str">
        <x:v>SAINTEK</x:v>
      </x:c>
      <x:c r="P1127" t="str">
        <x:v>PENDIDIKAN</x:v>
      </x:c>
      <x:c r="Q1127" s="18" t="n">
        <x:v>0</x:v>
      </x:c>
      <x:c r="R1127" s="18" t="n">
        <x:v>0</x:v>
      </x:c>
      <x:c r="S1127" s="18" t="n">
        <x:v>552.2525123967228</x:v>
      </x:c>
      <x:c r="T1127" s="18" t="n">
        <x:v>633</x:v>
      </x:c>
      <x:c r="U1127" s="18" t="n">
        <x:v>552.2525123967228</x:v>
      </x:c>
      <x:c r="V1127" s="20" t="n">
        <x:v>12</x:v>
      </x:c>
      <x:c r="W1127" s="20" t="n">
        <x:v>5</x:v>
      </x:c>
      <x:c r="X1127" s="20" t="n">
        <x:v>3</x:v>
      </x:c>
      <x:c r="Y1127" t="str">
        <x:v>Basis arsip 2025/2024</x:v>
      </x:c>
      <x:c r="Z1127" t="str">
        <x:v>https://snpmb.id/utbk-snbt/daya-tampung-snbt</x:v>
      </x:c>
      <x:c r="AA1127" t="str">
        <x:v>Tidak Ada</x:v>
      </x:c>
      <x:c r="AB1127" t="str">
        <x:v>Campus=55; Ratio=17.3; Prodi=45; RelDemand=11.3; Capacity=30.0</x:v>
      </x:c>
    </x:row>
    <x:row r="1128">
      <x:c r="A1128" t="n">
        <x:v>1125</x:v>
      </x:c>
      <x:c r="B1128" t="str">
        <x:v>PTN Akademik</x:v>
      </x:c>
      <x:c r="C1128" t="str">
        <x:v>UNIVERSITAS SINGAPERBANGSA KARAWANG</x:v>
      </x:c>
      <x:c r="D1128" t="str">
        <x:v>AGRIBISNIS</x:v>
      </x:c>
      <x:c r="E1128" t="str">
        <x:v>Sarjana</x:v>
      </x:c>
      <x:c r="F1128" s="18" t="n">
        <x:v>60</x:v>
      </x:c>
      <x:c r="G1128" s="18" t="n">
        <x:v>290</x:v>
      </x:c>
      <x:c r="H1128" s="19" t="n">
        <x:v>4.833333333333333</x:v>
      </x:c>
      <x:c r="I1128" s="18" t="n">
        <x:f>ROUND(MIN(Model_Config_v3!$B$6,MAX(Q1128,R1128,S1128*Model_Config_v3!$B$4+T1128*Model_Config_v3!$B$5)),0)</x:f>
        <x:v>641</x:v>
      </x:c>
      <x:c r="J1128" s="18" t="n">
        <x:f>MIN(Model_Config_v3!$B$6,I1128+Model_Config_v3!$B$7)</x:f>
        <x:v>661</x:v>
      </x:c>
      <x:c r="K1128" s="20" t="n">
        <x:v>50.1</x:v>
      </x:c>
      <x:c r="L1128" t="str">
        <x:v>MENENGAH</x:v>
      </x:c>
      <x:c r="M1128" t="str">
        <x:v>SEDANG+</x:v>
      </x:c>
      <x:c r="N1128" t="str">
        <x:v>REGULER</x:v>
      </x:c>
      <x:c r="O1128" t="str">
        <x:v>SOSHUM</x:v>
      </x:c>
      <x:c r="P1128" t="str">
        <x:v>BISNIS/EKONOMI/AKUNTANSI</x:v>
      </x:c>
      <x:c r="Q1128" s="18" t="n">
        <x:v>0</x:v>
      </x:c>
      <x:c r="R1128" s="18" t="n">
        <x:v>0</x:v>
      </x:c>
      <x:c r="S1128" s="18" t="n">
        <x:v>595.2671422266843</x:v>
      </x:c>
      <x:c r="T1128" s="18" t="n">
        <x:v>660</x:v>
      </x:c>
      <x:c r="U1128" s="18" t="n">
        <x:v>610.2671422266843</x:v>
      </x:c>
      <x:c r="V1128" s="20" t="n">
        <x:v>4.4</x:v>
      </x:c>
      <x:c r="W1128" s="20" t="n">
        <x:v>14.3</x:v>
      </x:c>
      <x:c r="X1128" s="20" t="n">
        <x:v>3.3</x:v>
      </x:c>
      <x:c r="Y1128" t="str">
        <x:v>Basis arsip 2025/2024</x:v>
      </x:c>
      <x:c r="Z1128" t="str">
        <x:v>https://snpmb.id/utbk-snbt/daya-tampung-snbt</x:v>
      </x:c>
      <x:c r="AA1128" t="str">
        <x:v>Tidak Ada</x:v>
      </x:c>
      <x:c r="AB1128" t="str">
        <x:v>Campus=55; Ratio=40.3; Prodi=65; RelDemand=27.7; Capacity=50.0</x:v>
      </x:c>
    </x:row>
    <x:row r="1129">
      <x:c r="A1129" t="n">
        <x:v>1126</x:v>
      </x:c>
      <x:c r="B1129" t="str">
        <x:v>PTN Akademik</x:v>
      </x:c>
      <x:c r="C1129" t="str">
        <x:v>UNIVERSITAS SINGAPERBANGSA KARAWANG</x:v>
      </x:c>
      <x:c r="D1129" t="str">
        <x:v>FARMASI</x:v>
      </x:c>
      <x:c r="E1129" t="str">
        <x:v>Sarjana</x:v>
      </x:c>
      <x:c r="F1129" s="18" t="n">
        <x:v>40</x:v>
      </x:c>
      <x:c r="G1129" s="18" t="n">
        <x:v>638</x:v>
      </x:c>
      <x:c r="H1129" s="19" t="n">
        <x:v>15.95</x:v>
      </x:c>
      <x:c r="I1129" s="18" t="n">
        <x:f>ROUND(MIN(Model_Config_v3!$B$6,MAX(Q1129,R1129,S1129*Model_Config_v3!$B$4+T1129*Model_Config_v3!$B$5)),0)</x:f>
        <x:v>683</x:v>
      </x:c>
      <x:c r="J1129" s="18" t="n">
        <x:f>MIN(Model_Config_v3!$B$6,I1129+Model_Config_v3!$B$7)</x:f>
        <x:v>703</x:v>
      </x:c>
      <x:c r="K1129" s="20" t="n">
        <x:v>67.8</x:v>
      </x:c>
      <x:c r="L1129" t="str">
        <x:v>SANGAT KETAT</x:v>
      </x:c>
      <x:c r="M1129" t="str">
        <x:v>SEDANG+</x:v>
      </x:c>
      <x:c r="N1129" t="str">
        <x:v>REGULER</x:v>
      </x:c>
      <x:c r="O1129" t="str">
        <x:v>SAINTEK</x:v>
      </x:c>
      <x:c r="P1129" t="str">
        <x:v>FARMASI</x:v>
      </x:c>
      <x:c r="Q1129" s="18" t="n">
        <x:v>0</x:v>
      </x:c>
      <x:c r="R1129" s="18" t="n">
        <x:v>0</x:v>
      </x:c>
      <x:c r="S1129" s="18" t="n">
        <x:v>652.3036756132519</x:v>
      </x:c>
      <x:c r="T1129" s="18" t="n">
        <x:v>696</x:v>
      </x:c>
      <x:c r="U1129" s="18" t="n">
        <x:v>672.3036756132519</x:v>
      </x:c>
      <x:c r="V1129" s="20" t="n">
        <x:v>12</x:v>
      </x:c>
      <x:c r="W1129" s="20" t="n">
        <x:v>5</x:v>
      </x:c>
      <x:c r="X1129" s="20" t="n">
        <x:v>3</x:v>
      </x:c>
      <x:c r="Y1129" t="str">
        <x:v>Basis arsip 2025/2024</x:v>
      </x:c>
      <x:c r="Z1129" t="str">
        <x:v>https://snpmb.id/utbk-snbt/daya-tampung-snbt</x:v>
      </x:c>
      <x:c r="AA1129" t="str">
        <x:v>Tidak Ada</x:v>
      </x:c>
      <x:c r="AB1129" t="str">
        <x:v>Campus=55; Ratio=70.8; Prodi=75; RelDemand=91.5; Capacity=66.7</x:v>
      </x:c>
    </x:row>
    <x:row r="1130">
      <x:c r="A1130" t="n">
        <x:v>1127</x:v>
      </x:c>
      <x:c r="B1130" t="str">
        <x:v>PTN Akademik</x:v>
      </x:c>
      <x:c r="C1130" t="str">
        <x:v>UNIVERSITAS SINGAPERBANGSA KARAWANG</x:v>
      </x:c>
      <x:c r="D1130" t="str">
        <x:v>GIZI</x:v>
      </x:c>
      <x:c r="E1130" t="str">
        <x:v>Sarjana</x:v>
      </x:c>
      <x:c r="F1130" s="18" t="n">
        <x:v>40</x:v>
      </x:c>
      <x:c r="G1130" s="18" t="n">
        <x:v>435</x:v>
      </x:c>
      <x:c r="H1130" s="19" t="n">
        <x:v>10.875</x:v>
      </x:c>
      <x:c r="I1130" s="18" t="n">
        <x:f>ROUND(MIN(Model_Config_v3!$B$6,MAX(Q1130,R1130,S1130*Model_Config_v3!$B$4+T1130*Model_Config_v3!$B$5)),0)</x:f>
        <x:v>664</x:v>
      </x:c>
      <x:c r="J1130" s="18" t="n">
        <x:f>MIN(Model_Config_v3!$B$6,I1130+Model_Config_v3!$B$7)</x:f>
        <x:v>684</x:v>
      </x:c>
      <x:c r="K1130" s="20" t="n">
        <x:v>58.4</x:v>
      </x:c>
      <x:c r="L1130" t="str">
        <x:v>KETAT</x:v>
      </x:c>
      <x:c r="M1130" t="str">
        <x:v>SEDANG+</x:v>
      </x:c>
      <x:c r="N1130" t="str">
        <x:v>REGULER</x:v>
      </x:c>
      <x:c r="O1130" t="str">
        <x:v>SAINTEK</x:v>
      </x:c>
      <x:c r="P1130" t="str">
        <x:v>KESEHAT/GIZI/KEPERAWATAN</x:v>
      </x:c>
      <x:c r="Q1130" s="18" t="n">
        <x:v>0</x:v>
      </x:c>
      <x:c r="R1130" s="18" t="n">
        <x:v>0</x:v>
      </x:c>
      <x:c r="S1130" s="18" t="n">
        <x:v>634.0072192189342</x:v>
      </x:c>
      <x:c r="T1130" s="18" t="n">
        <x:v>677</x:v>
      </x:c>
      <x:c r="U1130" s="18" t="n">
        <x:v>634.0072192189342</x:v>
      </x:c>
      <x:c r="V1130" s="20" t="n">
        <x:v>12</x:v>
      </x:c>
      <x:c r="W1130" s="20" t="n">
        <x:v>5</x:v>
      </x:c>
      <x:c r="X1130" s="20" t="n">
        <x:v>3</x:v>
      </x:c>
      <x:c r="Y1130" t="str">
        <x:v>Basis arsip 2025/2024</x:v>
      </x:c>
      <x:c r="Z1130" t="str">
        <x:v>https://snpmb.id/utbk-snbt/daya-tampung-snbt</x:v>
      </x:c>
      <x:c r="AA1130" t="str">
        <x:v>Tidak Ada</x:v>
      </x:c>
      <x:c r="AB1130" t="str">
        <x:v>Campus=55; Ratio=61.0; Prodi=55; RelDemand=62.4; Capacity=66.7</x:v>
      </x:c>
    </x:row>
    <x:row r="1131">
      <x:c r="A1131" t="n">
        <x:v>1128</x:v>
      </x:c>
      <x:c r="B1131" t="str">
        <x:v>PTN Akademik</x:v>
      </x:c>
      <x:c r="C1131" t="str">
        <x:v>UNIVERSITAS SINGAPERBANGSA KARAWANG</x:v>
      </x:c>
      <x:c r="D1131" t="str">
        <x:v>TEKNIK KIMIA</x:v>
      </x:c>
      <x:c r="E1131" t="str">
        <x:v>Sarjana</x:v>
      </x:c>
      <x:c r="F1131" s="18" t="n">
        <x:v>30</x:v>
      </x:c>
      <x:c r="G1131" s="18" t="n">
        <x:v>175</x:v>
      </x:c>
      <x:c r="H1131" s="19" t="n">
        <x:v>5.833333333333333</x:v>
      </x:c>
      <x:c r="I1131" s="18" t="n">
        <x:f>ROUND(MIN(Model_Config_v3!$B$6,MAX(Q1131,R1131,S1131*Model_Config_v3!$B$4+T1131*Model_Config_v3!$B$5)),0)</x:f>
        <x:v>648</x:v>
      </x:c>
      <x:c r="J1131" s="18" t="n">
        <x:f>MIN(Model_Config_v3!$B$6,I1131+Model_Config_v3!$B$7)</x:f>
        <x:v>668</x:v>
      </x:c>
      <x:c r="K1131" s="20" t="n">
        <x:v>53.4</x:v>
      </x:c>
      <x:c r="L1131" t="str">
        <x:v>MENENGAH</x:v>
      </x:c>
      <x:c r="M1131" t="str">
        <x:v>SEDANG+</x:v>
      </x:c>
      <x:c r="N1131" t="str">
        <x:v>REGULER</x:v>
      </x:c>
      <x:c r="O1131" t="str">
        <x:v>SAINTEK</x:v>
      </x:c>
      <x:c r="P1131" t="str">
        <x:v>TEKNIK/ARSITEKTUR/STATISTIKA/AKTUARIA</x:v>
      </x:c>
      <x:c r="Q1131" s="18" t="n">
        <x:v>0</x:v>
      </x:c>
      <x:c r="R1131" s="18" t="n">
        <x:v>0</x:v>
      </x:c>
      <x:c r="S1131" s="18" t="n">
        <x:v>604.2508473363296</x:v>
      </x:c>
      <x:c r="T1131" s="18" t="n">
        <x:v>667</x:v>
      </x:c>
      <x:c r="U1131" s="18" t="n">
        <x:v>614.2508473363296</x:v>
      </x:c>
      <x:c r="V1131" s="20" t="n">
        <x:v>12</x:v>
      </x:c>
      <x:c r="W1131" s="20" t="n">
        <x:v>5</x:v>
      </x:c>
      <x:c r="X1131" s="20" t="n">
        <x:v>3</x:v>
      </x:c>
      <x:c r="Y1131" t="str">
        <x:v>Basis arsip 2025/2024</x:v>
      </x:c>
      <x:c r="Z1131" t="str">
        <x:v>https://snpmb.id/utbk-snbt/daya-tampung-snbt</x:v>
      </x:c>
      <x:c r="AA1131" t="str">
        <x:v>Tidak Ada</x:v>
      </x:c>
      <x:c r="AB1131" t="str">
        <x:v>Campus=55; Ratio=45.1; Prodi=60; RelDemand=33.5; Capacity=75.0</x:v>
      </x:c>
    </x:row>
    <x:row r="1132">
      <x:c r="A1132" t="n">
        <x:v>1129</x:v>
      </x:c>
      <x:c r="B1132" t="str">
        <x:v>PTN Akademik</x:v>
      </x:c>
      <x:c r="C1132" t="str">
        <x:v>UNIVERSITAS SINGAPERBANGSA KARAWANG</x:v>
      </x:c>
      <x:c r="D1132" t="str">
        <x:v>ILMU KEOLAHRAGAAN</x:v>
      </x:c>
      <x:c r="E1132" t="str">
        <x:v>Sarjana</x:v>
      </x:c>
      <x:c r="F1132" s="18" t="n">
        <x:v>40</x:v>
      </x:c>
      <x:c r="G1132" s="18" t="n">
        <x:v>59</x:v>
      </x:c>
      <x:c r="H1132" s="19" t="n">
        <x:v>1.475</x:v>
      </x:c>
      <x:c r="I1132" s="18" t="n">
        <x:f>ROUND(MIN(Model_Config_v3!$B$6,MAX(Q1132,R1132,S1132*Model_Config_v3!$B$4+T1132*Model_Config_v3!$B$5)),0)</x:f>
        <x:v>607</x:v>
      </x:c>
      <x:c r="J1132" s="18" t="n">
        <x:f>MIN(Model_Config_v3!$B$6,I1132+Model_Config_v3!$B$7)</x:f>
        <x:v>627</x:v>
      </x:c>
      <x:c r="K1132" s="20" t="n">
        <x:v>38.2</x:v>
      </x:c>
      <x:c r="L1132" t="str">
        <x:v>RELATIF LONGGAR</x:v>
      </x:c>
      <x:c r="M1132" t="str">
        <x:v>PORTOFOLIO</x:v>
      </x:c>
      <x:c r="N1132" t="str">
        <x:v>REGULER</x:v>
      </x:c>
      <x:c r="O1132" t="str">
        <x:v>SENI/OLAHRAGA</x:v>
      </x:c>
      <x:c r="P1132" t="str">
        <x:v>SENI/OLAHRAGA</x:v>
      </x:c>
      <x:c r="Q1132" s="18" t="n">
        <x:v>0</x:v>
      </x:c>
      <x:c r="R1132" s="18" t="n">
        <x:v>0</x:v>
      </x:c>
      <x:c r="S1132" s="18" t="n">
        <x:v>538.56712223456</x:v>
      </x:c>
      <x:c r="T1132" s="18" t="n">
        <x:v>636</x:v>
      </x:c>
      <x:c r="U1132" s="18" t="n">
        <x:v>538.56712223456</x:v>
      </x:c>
      <x:c r="V1132" s="20" t="n">
        <x:v>4.4</x:v>
      </x:c>
      <x:c r="W1132" s="20" t="n">
        <x:v>9.9</x:v>
      </x:c>
      <x:c r="X1132" s="20" t="n">
        <x:v>7.7</x:v>
      </x:c>
      <x:c r="Y1132" t="str">
        <x:v>Basis arsip 2025/2024</x:v>
      </x:c>
      <x:c r="Z1132" t="str">
        <x:v>https://snpmb.id/utbk-snbt/daya-tampung-snbt</x:v>
      </x:c>
      <x:c r="AA1132" t="str">
        <x:v>Olahraga</x:v>
      </x:c>
      <x:c r="AB1132" t="str">
        <x:v>Campus=55; Ratio=9.9; Prodi=45; RelDemand=8.5; Capacity=66.7</x:v>
      </x:c>
    </x:row>
    <x:row r="1133">
      <x:c r="A1133" t="n">
        <x:v>1130</x:v>
      </x:c>
      <x:c r="B1133" t="str">
        <x:v>PTN Akademik</x:v>
      </x:c>
      <x:c r="C1133" t="str">
        <x:v>UNIVERSITAS SINGAPERBANGSA KARAWANG</x:v>
      </x:c>
      <x:c r="D1133" t="str">
        <x:v>SISTEM INFORMASI</x:v>
      </x:c>
      <x:c r="E1133" t="str">
        <x:v>Sarjana</x:v>
      </x:c>
      <x:c r="F1133" s="18" t="n">
        <x:v>32</x:v>
      </x:c>
      <x:c r="G1133" s="18" t="n">
        <x:v>510</x:v>
      </x:c>
      <x:c r="H1133" s="19" t="n">
        <x:v>15.9375</x:v>
      </x:c>
      <x:c r="I1133" s="18" t="n">
        <x:f>ROUND(MIN(Model_Config_v3!$B$6,MAX(Q1133,R1133,S1133*Model_Config_v3!$B$4+T1133*Model_Config_v3!$B$5)),0)</x:f>
        <x:v>686</x:v>
      </x:c>
      <x:c r="J1133" s="18" t="n">
        <x:f>MIN(Model_Config_v3!$B$6,I1133+Model_Config_v3!$B$7)</x:f>
        <x:v>706</x:v>
      </x:c>
      <x:c r="K1133" s="20" t="n">
        <x:v>70.4</x:v>
      </x:c>
      <x:c r="L1133" t="str">
        <x:v>SANGAT KETAT</x:v>
      </x:c>
      <x:c r="M1133" t="str">
        <x:v>SEDANG+</x:v>
      </x:c>
      <x:c r="N1133" t="str">
        <x:v>REGULER</x:v>
      </x:c>
      <x:c r="O1133" t="str">
        <x:v>CAMPURAN</x:v>
      </x:c>
      <x:c r="P1133" t="str">
        <x:v>KOMPUTER/INFORMATIKA</x:v>
      </x:c>
      <x:c r="Q1133" s="18" t="n">
        <x:v>0</x:v>
      </x:c>
      <x:c r="R1133" s="18" t="n">
        <x:v>0</x:v>
      </x:c>
      <x:c r="S1133" s="18" t="n">
        <x:v>652.2662217555834</x:v>
      </x:c>
      <x:c r="T1133" s="18" t="n">
        <x:v>701</x:v>
      </x:c>
      <x:c r="U1133" s="18" t="n">
        <x:v>677.2662217555834</x:v>
      </x:c>
      <x:c r="V1133" s="20" t="n">
        <x:v>8.8</x:v>
      </x:c>
      <x:c r="W1133" s="20" t="n">
        <x:v>9.9</x:v>
      </x:c>
      <x:c r="X1133" s="20" t="n">
        <x:v>3.3</x:v>
      </x:c>
      <x:c r="Y1133" t="str">
        <x:v>Basis arsip 2025/2024</x:v>
      </x:c>
      <x:c r="Z1133" t="str">
        <x:v>https://snpmb.id/utbk-snbt/daya-tampung-snbt</x:v>
      </x:c>
      <x:c r="AA1133" t="str">
        <x:v>Tidak Ada</x:v>
      </x:c>
      <x:c r="AB1133" t="str">
        <x:v>Campus=55; Ratio=70.8; Prodi=85; RelDemand=91.4; Capacity=73.3</x:v>
      </x:c>
    </x:row>
    <x:row r="1134">
      <x:c r="A1134" t="n">
        <x:v>1131</x:v>
      </x:c>
      <x:c r="B1134" t="str">
        <x:v>PTN Akademik</x:v>
      </x:c>
      <x:c r="C1134" t="str">
        <x:v>UNIVERSITAS SINGAPERBANGSA KARAWANG</x:v>
      </x:c>
      <x:c r="D1134" t="str">
        <x:v>TEKNIK LINGKUNGAN</x:v>
      </x:c>
      <x:c r="E1134" t="str">
        <x:v>Sarjana</x:v>
      </x:c>
      <x:c r="F1134" s="18" t="n">
        <x:v>30</x:v>
      </x:c>
      <x:c r="G1134" s="18" t="n">
        <x:v>223</x:v>
      </x:c>
      <x:c r="H1134" s="19" t="n">
        <x:v>7.433333333333334</x:v>
      </x:c>
      <x:c r="I1134" s="18" t="n">
        <x:f>ROUND(MIN(Model_Config_v3!$B$6,MAX(Q1134,R1134,S1134*Model_Config_v3!$B$4+T1134*Model_Config_v3!$B$5)),0)</x:f>
        <x:v>655</x:v>
      </x:c>
      <x:c r="J1134" s="18" t="n">
        <x:f>MIN(Model_Config_v3!$B$6,I1134+Model_Config_v3!$B$7)</x:f>
        <x:v>675</x:v>
      </x:c>
      <x:c r="K1134" s="20" t="n">
        <x:v>55.8</x:v>
      </x:c>
      <x:c r="L1134" t="str">
        <x:v>KETAT</x:v>
      </x:c>
      <x:c r="M1134" t="str">
        <x:v>SEDANG+</x:v>
      </x:c>
      <x:c r="N1134" t="str">
        <x:v>REGULER</x:v>
      </x:c>
      <x:c r="O1134" t="str">
        <x:v>SAINTEK</x:v>
      </x:c>
      <x:c r="P1134" t="str">
        <x:v>TEKNIK/ARSITEKTUR/STATISTIKA/AKTUARIA</x:v>
      </x:c>
      <x:c r="Q1134" s="18" t="n">
        <x:v>0</x:v>
      </x:c>
      <x:c r="R1134" s="18" t="n">
        <x:v>0</x:v>
      </x:c>
      <x:c r="S1134" s="18" t="n">
        <x:v>615.8301969161348</x:v>
      </x:c>
      <x:c r="T1134" s="18" t="n">
        <x:v>672</x:v>
      </x:c>
      <x:c r="U1134" s="18" t="n">
        <x:v>625.8301969161348</x:v>
      </x:c>
      <x:c r="V1134" s="20" t="n">
        <x:v>12</x:v>
      </x:c>
      <x:c r="W1134" s="20" t="n">
        <x:v>5</x:v>
      </x:c>
      <x:c r="X1134" s="20" t="n">
        <x:v>3</x:v>
      </x:c>
      <x:c r="Y1134" t="str">
        <x:v>Basis arsip 2025/2024</x:v>
      </x:c>
      <x:c r="Z1134" t="str">
        <x:v>https://snpmb.id/utbk-snbt/daya-tampung-snbt</x:v>
      </x:c>
      <x:c r="AA1134" t="str">
        <x:v>Tidak Ada</x:v>
      </x:c>
      <x:c r="AB1134" t="str">
        <x:v>Campus=55; Ratio=51.3; Prodi=60; RelDemand=42.6; Capacity=75.0</x:v>
      </x:c>
    </x:row>
    <x:row r="1135">
      <x:c r="A1135" t="n">
        <x:v>1132</x:v>
      </x:c>
      <x:c r="B1135" t="str">
        <x:v>PTN Akademik</x:v>
      </x:c>
      <x:c r="C1135" t="str">
        <x:v>UNIVERSITAS SINGAPERBANGSA KARAWANG</x:v>
      </x:c>
      <x:c r="D1135" t="str">
        <x:v>ILMU HUKUM</x:v>
      </x:c>
      <x:c r="E1135" t="str">
        <x:v>Sarjana</x:v>
      </x:c>
      <x:c r="F1135" s="18" t="n">
        <x:v>120</x:v>
      </x:c>
      <x:c r="G1135" s="18" t="n">
        <x:v>648</x:v>
      </x:c>
      <x:c r="H1135" s="19" t="n">
        <x:v>5.4</x:v>
      </x:c>
      <x:c r="I1135" s="18" t="n">
        <x:f>ROUND(MIN(Model_Config_v3!$B$6,MAX(Q1135,R1135,S1135*Model_Config_v3!$B$4+T1135*Model_Config_v3!$B$5)),0)</x:f>
        <x:v>637</x:v>
      </x:c>
      <x:c r="J1135" s="18" t="n">
        <x:f>MIN(Model_Config_v3!$B$6,I1135+Model_Config_v3!$B$7)</x:f>
        <x:v>657</x:v>
      </x:c>
      <x:c r="K1135" s="20" t="n">
        <x:v>46.1</x:v>
      </x:c>
      <x:c r="L1135" t="str">
        <x:v>MENENGAH</x:v>
      </x:c>
      <x:c r="M1135" t="str">
        <x:v>SEDANG+</x:v>
      </x:c>
      <x:c r="N1135" t="str">
        <x:v>REGULER</x:v>
      </x:c>
      <x:c r="O1135" t="str">
        <x:v>SOSHUM</x:v>
      </x:c>
      <x:c r="P1135" t="str">
        <x:v>HUKUM</x:v>
      </x:c>
      <x:c r="Q1135" s="18" t="n">
        <x:v>0</x:v>
      </x:c>
      <x:c r="R1135" s="18" t="n">
        <x:v>0</x:v>
      </x:c>
      <x:c r="S1135" s="18" t="n">
        <x:v>600.5633135805265</x:v>
      </x:c>
      <x:c r="T1135" s="18" t="n">
        <x:v>652</x:v>
      </x:c>
      <x:c r="U1135" s="18" t="n">
        <x:v>615.5633135805265</x:v>
      </x:c>
      <x:c r="V1135" s="20" t="n">
        <x:v>4.4</x:v>
      </x:c>
      <x:c r="W1135" s="20" t="n">
        <x:v>14.3</x:v>
      </x:c>
      <x:c r="X1135" s="20" t="n">
        <x:v>3.3</x:v>
      </x:c>
      <x:c r="Y1135" t="str">
        <x:v>Basis arsip 2025/2024</x:v>
      </x:c>
      <x:c r="Z1135" t="str">
        <x:v>https://snpmb.id/utbk-snbt/daya-tampung-snbt</x:v>
      </x:c>
      <x:c r="AA1135" t="str">
        <x:v>Tidak Ada</x:v>
      </x:c>
      <x:c r="AB1135" t="str">
        <x:v>Campus=55; Ratio=43.1; Prodi=65; RelDemand=31.0; Capacity=0.0</x:v>
      </x:c>
    </x:row>
    <x:row r="1136">
      <x:c r="A1136" t="n">
        <x:v>1133</x:v>
      </x:c>
      <x:c r="B1136" t="str">
        <x:v>PTN Akademik</x:v>
      </x:c>
      <x:c r="C1136" t="str">
        <x:v>UNIVERSITAS SINGAPERBANGSA KARAWANG</x:v>
      </x:c>
      <x:c r="D1136" t="str">
        <x:v>MANAJEMEN</x:v>
      </x:c>
      <x:c r="E1136" t="str">
        <x:v>Sarjana</x:v>
      </x:c>
      <x:c r="F1136" s="18" t="n">
        <x:v>112</x:v>
      </x:c>
      <x:c r="G1136" s="18" t="n">
        <x:v>1005</x:v>
      </x:c>
      <x:c r="H1136" s="19" t="n">
        <x:v>8.973214285714286</x:v>
      </x:c>
      <x:c r="I1136" s="18" t="n">
        <x:f>ROUND(MIN(Model_Config_v3!$B$6,MAX(Q1136,R1136,S1136*Model_Config_v3!$B$4+T1136*Model_Config_v3!$B$5)),0)</x:f>
        <x:v>652</x:v>
      </x:c>
      <x:c r="J1136" s="18" t="n">
        <x:f>MIN(Model_Config_v3!$B$6,I1136+Model_Config_v3!$B$7)</x:f>
        <x:v>672</x:v>
      </x:c>
      <x:c r="K1136" s="20" t="n">
        <x:v>52.1</x:v>
      </x:c>
      <x:c r="L1136" t="str">
        <x:v>MENENGAH</x:v>
      </x:c>
      <x:c r="M1136" t="str">
        <x:v>SEDANG+</x:v>
      </x:c>
      <x:c r="N1136" t="str">
        <x:v>REGULER</x:v>
      </x:c>
      <x:c r="O1136" t="str">
        <x:v>SOSHUM</x:v>
      </x:c>
      <x:c r="P1136" t="str">
        <x:v>BISNIS/EKONOMI/AKUNTANSI</x:v>
      </x:c>
      <x:c r="Q1136" s="18" t="n">
        <x:v>0</x:v>
      </x:c>
      <x:c r="R1136" s="18" t="n">
        <x:v>0</x:v>
      </x:c>
      <x:c r="S1136" s="18" t="n">
        <x:v>624.8242842994958</x:v>
      </x:c>
      <x:c r="T1136" s="18" t="n">
        <x:v>664</x:v>
      </x:c>
      <x:c r="U1136" s="18" t="n">
        <x:v>639.8242842994958</x:v>
      </x:c>
      <x:c r="V1136" s="20" t="n">
        <x:v>4.4</x:v>
      </x:c>
      <x:c r="W1136" s="20" t="n">
        <x:v>14.3</x:v>
      </x:c>
      <x:c r="X1136" s="20" t="n">
        <x:v>3.3</x:v>
      </x:c>
      <x:c r="Y1136" t="str">
        <x:v>Basis arsip 2025/2024</x:v>
      </x:c>
      <x:c r="Z1136" t="str">
        <x:v>https://snpmb.id/utbk-snbt/daya-tampung-snbt</x:v>
      </x:c>
      <x:c r="AA1136" t="str">
        <x:v>Tidak Ada</x:v>
      </x:c>
      <x:c r="AB1136" t="str">
        <x:v>Campus=55; Ratio=56.1; Prodi=65; RelDemand=51.5; Capacity=6.7</x:v>
      </x:c>
    </x:row>
    <x:row r="1137">
      <x:c r="A1137" t="n">
        <x:v>1134</x:v>
      </x:c>
      <x:c r="B1137" t="str">
        <x:v>PTN Akademik</x:v>
      </x:c>
      <x:c r="C1137" t="str">
        <x:v>UNIVERSITAS SINGAPERBANGSA KARAWANG</x:v>
      </x:c>
      <x:c r="D1137" t="str">
        <x:v>AKUNTANSI</x:v>
      </x:c>
      <x:c r="E1137" t="str">
        <x:v>Sarjana</x:v>
      </x:c>
      <x:c r="F1137" s="18" t="n">
        <x:v>112</x:v>
      </x:c>
      <x:c r="G1137" s="18" t="n">
        <x:v>674</x:v>
      </x:c>
      <x:c r="H1137" s="19" t="n">
        <x:v>6.017857142857143</x:v>
      </x:c>
      <x:c r="I1137" s="18" t="n">
        <x:f>ROUND(MIN(Model_Config_v3!$B$6,MAX(Q1137,R1137,S1137*Model_Config_v3!$B$4+T1137*Model_Config_v3!$B$5)),0)</x:f>
        <x:v>641</x:v>
      </x:c>
      <x:c r="J1137" s="18" t="n">
        <x:f>MIN(Model_Config_v3!$B$6,I1137+Model_Config_v3!$B$7)</x:f>
        <x:v>661</x:v>
      </x:c>
      <x:c r="K1137" s="20" t="n">
        <x:v>47.8</x:v>
      </x:c>
      <x:c r="L1137" t="str">
        <x:v>MENENGAH</x:v>
      </x:c>
      <x:c r="M1137" t="str">
        <x:v>SEDANG+</x:v>
      </x:c>
      <x:c r="N1137" t="str">
        <x:v>REGULER</x:v>
      </x:c>
      <x:c r="O1137" t="str">
        <x:v>SOSHUM</x:v>
      </x:c>
      <x:c r="P1137" t="str">
        <x:v>BISNIS/EKONOMI/AKUNTANSI</x:v>
      </x:c>
      <x:c r="Q1137" s="18" t="n">
        <x:v>0</x:v>
      </x:c>
      <x:c r="R1137" s="18" t="n">
        <x:v>0</x:v>
      </x:c>
      <x:c r="S1137" s="18" t="n">
        <x:v>605.7386061251652</x:v>
      </x:c>
      <x:c r="T1137" s="18" t="n">
        <x:v>656</x:v>
      </x:c>
      <x:c r="U1137" s="18" t="n">
        <x:v>605.7386061251652</x:v>
      </x:c>
      <x:c r="V1137" s="20" t="n">
        <x:v>4.4</x:v>
      </x:c>
      <x:c r="W1137" s="20" t="n">
        <x:v>14.3</x:v>
      </x:c>
      <x:c r="X1137" s="20" t="n">
        <x:v>3.3</x:v>
      </x:c>
      <x:c r="Y1137" t="str">
        <x:v>Basis arsip 2025/2024</x:v>
      </x:c>
      <x:c r="Z1137" t="str">
        <x:v>https://snpmb.id/utbk-snbt/daya-tampung-snbt</x:v>
      </x:c>
      <x:c r="AA1137" t="str">
        <x:v>Tidak Ada</x:v>
      </x:c>
      <x:c r="AB1137" t="str">
        <x:v>Campus=55; Ratio=45.9; Prodi=65; RelDemand=34.5; Capacity=6.7</x:v>
      </x:c>
    </x:row>
    <x:row r="1138">
      <x:c r="A1138" t="n">
        <x:v>1135</x:v>
      </x:c>
      <x:c r="B1138" t="str">
        <x:v>PTN Akademik</x:v>
      </x:c>
      <x:c r="C1138" t="str">
        <x:v>UNIVERSITAS SINGAPERBANGSA KARAWANG</x:v>
      </x:c>
      <x:c r="D1138" t="str">
        <x:v>PENDIDIKAN MASYARAKAT</x:v>
      </x:c>
      <x:c r="E1138" t="str">
        <x:v>Sarjana</x:v>
      </x:c>
      <x:c r="F1138" s="18" t="n">
        <x:v>42</x:v>
      </x:c>
      <x:c r="G1138" s="18" t="n">
        <x:v>160</x:v>
      </x:c>
      <x:c r="H1138" s="19" t="n">
        <x:v>3.8095238095238093</x:v>
      </x:c>
      <x:c r="I1138" s="18" t="n">
        <x:f>ROUND(MIN(Model_Config_v3!$B$6,MAX(Q1138,R1138,S1138*Model_Config_v3!$B$4+T1138*Model_Config_v3!$B$5)),0)</x:f>
        <x:v>631</x:v>
      </x:c>
      <x:c r="J1138" s="18" t="n">
        <x:f>MIN(Model_Config_v3!$B$6,I1138+Model_Config_v3!$B$7)</x:f>
        <x:v>651</x:v>
      </x:c>
      <x:c r="K1138" s="20" t="n">
        <x:v>45.5</x:v>
      </x:c>
      <x:c r="L1138" t="str">
        <x:v>MENENGAH</x:v>
      </x:c>
      <x:c r="M1138" t="str">
        <x:v>SEDANG+</x:v>
      </x:c>
      <x:c r="N1138" t="str">
        <x:v>REGULER</x:v>
      </x:c>
      <x:c r="O1138" t="str">
        <x:v>CAMPURAN</x:v>
      </x:c>
      <x:c r="P1138" t="str">
        <x:v>PENDIDIKAN</x:v>
      </x:c>
      <x:c r="Q1138" s="18" t="n">
        <x:v>0</x:v>
      </x:c>
      <x:c r="R1138" s="18" t="n">
        <x:v>0</x:v>
      </x:c>
      <x:c r="S1138" s="18" t="n">
        <x:v>583.8957761483827</x:v>
      </x:c>
      <x:c r="T1138" s="18" t="n">
        <x:v>651</x:v>
      </x:c>
      <x:c r="U1138" s="18" t="n">
        <x:v>583.8957761483827</x:v>
      </x:c>
      <x:c r="V1138" s="20" t="n">
        <x:v>8.8</x:v>
      </x:c>
      <x:c r="W1138" s="20" t="n">
        <x:v>9.9</x:v>
      </x:c>
      <x:c r="X1138" s="20" t="n">
        <x:v>3.3</x:v>
      </x:c>
      <x:c r="Y1138" t="str">
        <x:v>Basis arsip 2025/2024</x:v>
      </x:c>
      <x:c r="Z1138" t="str">
        <x:v>https://snpmb.id/utbk-snbt/daya-tampung-snbt</x:v>
      </x:c>
      <x:c r="AA1138" t="str">
        <x:v>Tidak Ada</x:v>
      </x:c>
      <x:c r="AB1138" t="str">
        <x:v>Campus=55; Ratio=34.2; Prodi=45; RelDemand=21.9; Capacity=65.0</x:v>
      </x:c>
    </x:row>
    <x:row r="1139">
      <x:c r="A1139" t="n">
        <x:v>1136</x:v>
      </x:c>
      <x:c r="B1139" t="str">
        <x:v>PTN Akademik</x:v>
      </x:c>
      <x:c r="C1139" t="str">
        <x:v>UNIVERSITAS SINGAPERBANGSA KARAWANG</x:v>
      </x:c>
      <x:c r="D1139" t="str">
        <x:v>PEND. BAHASA INGGRIS</x:v>
      </x:c>
      <x:c r="E1139" t="str">
        <x:v>Sarjana</x:v>
      </x:c>
      <x:c r="F1139" s="18" t="n">
        <x:v>70</x:v>
      </x:c>
      <x:c r="G1139" s="18" t="n">
        <x:v>281</x:v>
      </x:c>
      <x:c r="H1139" s="19" t="n">
        <x:v>4.014285714285714</x:v>
      </x:c>
      <x:c r="I1139" s="18" t="n">
        <x:f>ROUND(MIN(Model_Config_v3!$B$6,MAX(Q1139,R1139,S1139*Model_Config_v3!$B$4+T1139*Model_Config_v3!$B$5)),0)</x:f>
        <x:v>629</x:v>
      </x:c>
      <x:c r="J1139" s="18" t="n">
        <x:f>MIN(Model_Config_v3!$B$6,I1139+Model_Config_v3!$B$7)</x:f>
        <x:v>649</x:v>
      </x:c>
      <x:c r="K1139" s="20" t="n">
        <x:v>43.6</x:v>
      </x:c>
      <x:c r="L1139" t="str">
        <x:v>RELATIF LONGGAR</x:v>
      </x:c>
      <x:c r="M1139" t="str">
        <x:v>SEDANG+</x:v>
      </x:c>
      <x:c r="N1139" t="str">
        <x:v>REGULER</x:v>
      </x:c>
      <x:c r="O1139" t="str">
        <x:v>SOSHUM</x:v>
      </x:c>
      <x:c r="P1139" t="str">
        <x:v>PENDIDIKAN</x:v>
      </x:c>
      <x:c r="Q1139" s="18" t="n">
        <x:v>0</x:v>
      </x:c>
      <x:c r="R1139" s="18" t="n">
        <x:v>0</x:v>
      </x:c>
      <x:c r="S1139" s="18" t="n">
        <x:v>586.3969107879906</x:v>
      </x:c>
      <x:c r="T1139" s="18" t="n">
        <x:v>647</x:v>
      </x:c>
      <x:c r="U1139" s="18" t="n">
        <x:v>586.3969107879906</x:v>
      </x:c>
      <x:c r="V1139" s="20" t="n">
        <x:v>4.4</x:v>
      </x:c>
      <x:c r="W1139" s="20" t="n">
        <x:v>14.3</x:v>
      </x:c>
      <x:c r="X1139" s="20" t="n">
        <x:v>3.3</x:v>
      </x:c>
      <x:c r="Y1139" t="str">
        <x:v>Basis arsip 2025/2024</x:v>
      </x:c>
      <x:c r="Z1139" t="str">
        <x:v>https://snpmb.id/utbk-snbt/daya-tampung-snbt</x:v>
      </x:c>
      <x:c r="AA1139" t="str">
        <x:v>Tidak Ada</x:v>
      </x:c>
      <x:c r="AB1139" t="str">
        <x:v>Campus=55; Ratio=35.5; Prodi=45; RelDemand=23.0; Capacity=41.7</x:v>
      </x:c>
    </x:row>
    <x:row r="1140">
      <x:c r="A1140" t="n">
        <x:v>1137</x:v>
      </x:c>
      <x:c r="B1140" t="str">
        <x:v>PTN Akademik</x:v>
      </x:c>
      <x:c r="C1140" t="str">
        <x:v>UNIVERSITAS SINGAPERBANGSA KARAWANG</x:v>
      </x:c>
      <x:c r="D1140" t="str">
        <x:v>PEND. JASMANI, KESEHATAN DAN REKREASI</x:v>
      </x:c>
      <x:c r="E1140" t="str">
        <x:v>Sarjana</x:v>
      </x:c>
      <x:c r="F1140" s="18" t="n">
        <x:v>70</x:v>
      </x:c>
      <x:c r="G1140" s="18" t="n">
        <x:v>104</x:v>
      </x:c>
      <x:c r="H1140" s="19" t="n">
        <x:v>1.4857142857142858</x:v>
      </x:c>
      <x:c r="I1140" s="18" t="n">
        <x:f>ROUND(MIN(Model_Config_v3!$B$6,MAX(Q1140,R1140,S1140*Model_Config_v3!$B$4+T1140*Model_Config_v3!$B$5)),0)</x:f>
        <x:v>604</x:v>
      </x:c>
      <x:c r="J1140" s="18" t="n">
        <x:f>MIN(Model_Config_v3!$B$6,I1140+Model_Config_v3!$B$7)</x:f>
        <x:v>624</x:v>
      </x:c>
      <x:c r="K1140" s="20" t="n">
        <x:v>35.8</x:v>
      </x:c>
      <x:c r="L1140" t="str">
        <x:v>RELATIF LONGGAR</x:v>
      </x:c>
      <x:c r="M1140" t="str">
        <x:v>PORTOFOLIO</x:v>
      </x:c>
      <x:c r="N1140" t="str">
        <x:v>REGULER</x:v>
      </x:c>
      <x:c r="O1140" t="str">
        <x:v>SENI/OLAHRAGA</x:v>
      </x:c>
      <x:c r="P1140" t="str">
        <x:v>SENI/OLAHRAGA</x:v>
      </x:c>
      <x:c r="Q1140" s="18" t="n">
        <x:v>0</x:v>
      </x:c>
      <x:c r="R1140" s="18" t="n">
        <x:v>0</x:v>
      </x:c>
      <x:c r="S1140" s="18" t="n">
        <x:v>538.9128829212976</x:v>
      </x:c>
      <x:c r="T1140" s="18" t="n">
        <x:v>632</x:v>
      </x:c>
      <x:c r="U1140" s="18" t="n">
        <x:v>538.9128829212976</x:v>
      </x:c>
      <x:c r="V1140" s="20" t="n">
        <x:v>4.4</x:v>
      </x:c>
      <x:c r="W1140" s="20" t="n">
        <x:v>9.9</x:v>
      </x:c>
      <x:c r="X1140" s="20" t="n">
        <x:v>7.7</x:v>
      </x:c>
      <x:c r="Y1140" t="str">
        <x:v>Basis arsip 2025/2024</x:v>
      </x:c>
      <x:c r="Z1140" t="str">
        <x:v>https://snpmb.id/utbk-snbt/daya-tampung-snbt</x:v>
      </x:c>
      <x:c r="AA1140" t="str">
        <x:v>Olahraga</x:v>
      </x:c>
      <x:c r="AB1140" t="str">
        <x:v>Campus=55; Ratio=10.1; Prodi=45; RelDemand=8.5; Capacity=41.7</x:v>
      </x:c>
    </x:row>
    <x:row r="1141">
      <x:c r="A1141" t="n">
        <x:v>1138</x:v>
      </x:c>
      <x:c r="B1141" t="str">
        <x:v>PTN Akademik</x:v>
      </x:c>
      <x:c r="C1141" t="str">
        <x:v>UNIVERSITAS SINGAPERBANGSA KARAWANG</x:v>
      </x:c>
      <x:c r="D1141" t="str">
        <x:v>PEND. BAHASA DAN SASTRA INDONESIA</x:v>
      </x:c>
      <x:c r="E1141" t="str">
        <x:v>Sarjana</x:v>
      </x:c>
      <x:c r="F1141" s="18" t="n">
        <x:v>70</x:v>
      </x:c>
      <x:c r="G1141" s="18" t="n">
        <x:v>323</x:v>
      </x:c>
      <x:c r="H1141" s="19" t="n">
        <x:v>4.614285714285714</x:v>
      </x:c>
      <x:c r="I1141" s="18" t="n">
        <x:f>ROUND(MIN(Model_Config_v3!$B$6,MAX(Q1141,R1141,S1141*Model_Config_v3!$B$4+T1141*Model_Config_v3!$B$5)),0)</x:f>
        <x:v>633</x:v>
      </x:c>
      <x:c r="J1141" s="18" t="n">
        <x:f>MIN(Model_Config_v3!$B$6,I1141+Model_Config_v3!$B$7)</x:f>
        <x:v>653</x:v>
      </x:c>
      <x:c r="K1141" s="20" t="n">
        <x:v>44.8</x:v>
      </x:c>
      <x:c r="L1141" t="str">
        <x:v>RELATIF LONGGAR</x:v>
      </x:c>
      <x:c r="M1141" t="str">
        <x:v>SEDANG+</x:v>
      </x:c>
      <x:c r="N1141" t="str">
        <x:v>REGULER</x:v>
      </x:c>
      <x:c r="O1141" t="str">
        <x:v>SOSHUM</x:v>
      </x:c>
      <x:c r="P1141" t="str">
        <x:v>PENDIDIKAN</x:v>
      </x:c>
      <x:c r="Q1141" s="18" t="n">
        <x:v>0</x:v>
      </x:c>
      <x:c r="R1141" s="18" t="n">
        <x:v>0</x:v>
      </x:c>
      <x:c r="S1141" s="18" t="n">
        <x:v>593.051493054853</x:v>
      </x:c>
      <x:c r="T1141" s="18" t="n">
        <x:v>650</x:v>
      </x:c>
      <x:c r="U1141" s="18" t="n">
        <x:v>593.051493054853</x:v>
      </x:c>
      <x:c r="V1141" s="20" t="n">
        <x:v>4.4</x:v>
      </x:c>
      <x:c r="W1141" s="20" t="n">
        <x:v>14.3</x:v>
      </x:c>
      <x:c r="X1141" s="20" t="n">
        <x:v>3.3</x:v>
      </x:c>
      <x:c r="Y1141" t="str">
        <x:v>Basis arsip 2025/2024</x:v>
      </x:c>
      <x:c r="Z1141" t="str">
        <x:v>https://snpmb.id/utbk-snbt/daya-tampung-snbt</x:v>
      </x:c>
      <x:c r="AA1141" t="str">
        <x:v>Tidak Ada</x:v>
      </x:c>
      <x:c r="AB1141" t="str">
        <x:v>Campus=55; Ratio=39.1; Prodi=45; RelDemand=26.5; Capacity=41.7</x:v>
      </x:c>
    </x:row>
    <x:row r="1142">
      <x:c r="A1142" t="n">
        <x:v>1139</x:v>
      </x:c>
      <x:c r="B1142" t="str">
        <x:v>PTN Akademik</x:v>
      </x:c>
      <x:c r="C1142" t="str">
        <x:v>UNIVERSITAS SINGAPERBANGSA KARAWANG</x:v>
      </x:c>
      <x:c r="D1142" t="str">
        <x:v>ILMU PEMERINTAHAN</x:v>
      </x:c>
      <x:c r="E1142" t="str">
        <x:v>Sarjana</x:v>
      </x:c>
      <x:c r="F1142" s="18" t="n">
        <x:v>70</x:v>
      </x:c>
      <x:c r="G1142" s="18" t="n">
        <x:v>408</x:v>
      </x:c>
      <x:c r="H1142" s="19" t="n">
        <x:v>5.828571428571428</x:v>
      </x:c>
      <x:c r="I1142" s="18" t="n">
        <x:f>ROUND(MIN(Model_Config_v3!$B$6,MAX(Q1142,R1142,S1142*Model_Config_v3!$B$4+T1142*Model_Config_v3!$B$5)),0)</x:f>
        <x:v>638</x:v>
      </x:c>
      <x:c r="J1142" s="18" t="n">
        <x:f>MIN(Model_Config_v3!$B$6,I1142+Model_Config_v3!$B$7)</x:f>
        <x:v>658</x:v>
      </x:c>
      <x:c r="K1142" s="20" t="n">
        <x:v>46</x:v>
      </x:c>
      <x:c r="L1142" t="str">
        <x:v>MENENGAH</x:v>
      </x:c>
      <x:c r="M1142" t="str">
        <x:v>SEDANG</x:v>
      </x:c>
      <x:c r="N1142" t="str">
        <x:v>REGULER</x:v>
      </x:c>
      <x:c r="O1142" t="str">
        <x:v>CAMPURAN</x:v>
      </x:c>
      <x:c r="P1142" t="str">
        <x:v>UMUM</x:v>
      </x:c>
      <x:c r="Q1142" s="18" t="n">
        <x:v>0</x:v>
      </x:c>
      <x:c r="R1142" s="18" t="n">
        <x:v>0</x:v>
      </x:c>
      <x:c r="S1142" s="18" t="n">
        <x:v>604.2118335383185</x:v>
      </x:c>
      <x:c r="T1142" s="18" t="n">
        <x:v>652</x:v>
      </x:c>
      <x:c r="U1142" s="18" t="n">
        <x:v>604.2118335383185</x:v>
      </x:c>
      <x:c r="V1142" s="20" t="n">
        <x:v>8.8</x:v>
      </x:c>
      <x:c r="W1142" s="20" t="n">
        <x:v>9.9</x:v>
      </x:c>
      <x:c r="X1142" s="20" t="n">
        <x:v>3.3</x:v>
      </x:c>
      <x:c r="Y1142" t="str">
        <x:v>Basis arsip 2025/2024</x:v>
      </x:c>
      <x:c r="Z1142" t="str">
        <x:v>https://snpmb.id/utbk-snbt/daya-tampung-snbt</x:v>
      </x:c>
      <x:c r="AA1142" t="str">
        <x:v>Tidak Ada</x:v>
      </x:c>
      <x:c r="AB1142" t="str">
        <x:v>Campus=55; Ratio=45.1; Prodi=40; RelDemand=33.4; Capacity=41.7</x:v>
      </x:c>
    </x:row>
    <x:row r="1143">
      <x:c r="A1143" t="n">
        <x:v>1140</x:v>
      </x:c>
      <x:c r="B1143" t="str">
        <x:v>PTN Akademik</x:v>
      </x:c>
      <x:c r="C1143" t="str">
        <x:v>UNIVERSITAS SINGAPERBANGSA KARAWANG</x:v>
      </x:c>
      <x:c r="D1143" t="str">
        <x:v>ILMU KOMUNIKASI</x:v>
      </x:c>
      <x:c r="E1143" t="str">
        <x:v>Sarjana</x:v>
      </x:c>
      <x:c r="F1143" s="18" t="n">
        <x:v>70</x:v>
      </x:c>
      <x:c r="G1143" s="18" t="n">
        <x:v>817</x:v>
      </x:c>
      <x:c r="H1143" s="19" t="n">
        <x:v>11.67142857142857</x:v>
      </x:c>
      <x:c r="I1143" s="18" t="n">
        <x:f>ROUND(MIN(Model_Config_v3!$B$6,MAX(Q1143,R1143,S1143*Model_Config_v3!$B$4+T1143*Model_Config_v3!$B$5)),0)</x:f>
        <x:v>659</x:v>
      </x:c>
      <x:c r="J1143" s="18" t="n">
        <x:f>MIN(Model_Config_v3!$B$6,I1143+Model_Config_v3!$B$7)</x:f>
        <x:v>679</x:v>
      </x:c>
      <x:c r="K1143" s="20" t="n">
        <x:v>53.8</x:v>
      </x:c>
      <x:c r="L1143" t="str">
        <x:v>MENENGAH</x:v>
      </x:c>
      <x:c r="M1143" t="str">
        <x:v>SEDANG</x:v>
      </x:c>
      <x:c r="N1143" t="str">
        <x:v>REGULER</x:v>
      </x:c>
      <x:c r="O1143" t="str">
        <x:v>SOSHUM</x:v>
      </x:c>
      <x:c r="P1143" t="str">
        <x:v>UMUM</x:v>
      </x:c>
      <x:c r="Q1143" s="18" t="n">
        <x:v>0</x:v>
      </x:c>
      <x:c r="R1143" s="18" t="n">
        <x:v>0</x:v>
      </x:c>
      <x:c r="S1143" s="18" t="n">
        <x:v>637.3836418169974</x:v>
      </x:c>
      <x:c r="T1143" s="18" t="n">
        <x:v>668</x:v>
      </x:c>
      <x:c r="U1143" s="18" t="n">
        <x:v>637.3836418169974</x:v>
      </x:c>
      <x:c r="V1143" s="20" t="n">
        <x:v>4.4</x:v>
      </x:c>
      <x:c r="W1143" s="20" t="n">
        <x:v>14.3</x:v>
      </x:c>
      <x:c r="X1143" s="20" t="n">
        <x:v>3.3</x:v>
      </x:c>
      <x:c r="Y1143" t="str">
        <x:v>Basis arsip 2025/2024</x:v>
      </x:c>
      <x:c r="Z1143" t="str">
        <x:v>https://snpmb.id/utbk-snbt/daya-tampung-snbt</x:v>
      </x:c>
      <x:c r="AA1143" t="str">
        <x:v>Tidak Ada</x:v>
      </x:c>
      <x:c r="AB1143" t="str">
        <x:v>Campus=55; Ratio=62.8; Prodi=40; RelDemand=67.0; Capacity=41.7</x:v>
      </x:c>
    </x:row>
    <x:row r="1144">
      <x:c r="A1144" t="n">
        <x:v>1141</x:v>
      </x:c>
      <x:c r="B1144" t="str">
        <x:v>PTN Akademik</x:v>
      </x:c>
      <x:c r="C1144" t="str">
        <x:v>UNIVERSITAS SINGAPERBANGSA KARAWANG</x:v>
      </x:c>
      <x:c r="D1144" t="str">
        <x:v>HUBUNGAN INTERNASIONAL</x:v>
      </x:c>
      <x:c r="E1144" t="str">
        <x:v>Sarjana</x:v>
      </x:c>
      <x:c r="F1144" s="18" t="n">
        <x:v>36</x:v>
      </x:c>
      <x:c r="G1144" s="18" t="n">
        <x:v>347</x:v>
      </x:c>
      <x:c r="H1144" s="19" t="n">
        <x:v>9.63888888888889</x:v>
      </x:c>
      <x:c r="I1144" s="18" t="n">
        <x:f>ROUND(MIN(Model_Config_v3!$B$6,MAX(Q1144,R1144,S1144*Model_Config_v3!$B$4+T1144*Model_Config_v3!$B$5)),0)</x:f>
        <x:v>657</x:v>
      </x:c>
      <x:c r="J1144" s="18" t="n">
        <x:f>MIN(Model_Config_v3!$B$6,I1144+Model_Config_v3!$B$7)</x:f>
        <x:v>677</x:v>
      </x:c>
      <x:c r="K1144" s="20" t="n">
        <x:v>54.3</x:v>
      </x:c>
      <x:c r="L1144" t="str">
        <x:v>MENENGAH</x:v>
      </x:c>
      <x:c r="M1144" t="str">
        <x:v>SEDANG</x:v>
      </x:c>
      <x:c r="N1144" t="str">
        <x:v>REGULER</x:v>
      </x:c>
      <x:c r="O1144" t="str">
        <x:v>SOSHUM</x:v>
      </x:c>
      <x:c r="P1144" t="str">
        <x:v>UMUM</x:v>
      </x:c>
      <x:c r="Q1144" s="18" t="n">
        <x:v>0</x:v>
      </x:c>
      <x:c r="R1144" s="18" t="n">
        <x:v>0</x:v>
      </x:c>
      <x:c r="S1144" s="18" t="n">
        <x:v>628.2429671425945</x:v>
      </x:c>
      <x:c r="T1144" s="18" t="n">
        <x:v>669</x:v>
      </x:c>
      <x:c r="U1144" s="18" t="n">
        <x:v>628.2429671425945</x:v>
      </x:c>
      <x:c r="V1144" s="20" t="n">
        <x:v>4.4</x:v>
      </x:c>
      <x:c r="W1144" s="20" t="n">
        <x:v>14.3</x:v>
      </x:c>
      <x:c r="X1144" s="20" t="n">
        <x:v>3.3</x:v>
      </x:c>
      <x:c r="Y1144" t="str">
        <x:v>Basis arsip 2025/2024</x:v>
      </x:c>
      <x:c r="Z1144" t="str">
        <x:v>https://snpmb.id/utbk-snbt/daya-tampung-snbt</x:v>
      </x:c>
      <x:c r="AA1144" t="str">
        <x:v>Tidak Ada</x:v>
      </x:c>
      <x:c r="AB1144" t="str">
        <x:v>Campus=55; Ratio=57.9; Prodi=40; RelDemand=55.3; Capacity=70.0</x:v>
      </x:c>
    </x:row>
    <x:row r="1145">
      <x:c r="A1145" t="n">
        <x:v>1142</x:v>
      </x:c>
      <x:c r="B1145" t="str">
        <x:v>PTN Akademik</x:v>
      </x:c>
      <x:c r="C1145" t="str">
        <x:v>UNIVERSITAS SINGAPERBANGSA KARAWANG</x:v>
      </x:c>
      <x:c r="D1145" t="str">
        <x:v>ADMINISTRASI RUMAH SAKIT</x:v>
      </x:c>
      <x:c r="E1145" t="str">
        <x:v>Sarjana</x:v>
      </x:c>
      <x:c r="F1145" s="18" t="n">
        <x:v>40</x:v>
      </x:c>
      <x:c r="G1145" s="18" t="n">
        <x:v>430</x:v>
      </x:c>
      <x:c r="H1145" s="19" t="n">
        <x:v>10.75</x:v>
      </x:c>
      <x:c r="I1145" s="18" t="n">
        <x:f>ROUND(MIN(Model_Config_v3!$B$6,MAX(Q1145,R1145,S1145*Model_Config_v3!$B$4+T1145*Model_Config_v3!$B$5)),0)</x:f>
        <x:v>660</x:v>
      </x:c>
      <x:c r="J1145" s="18" t="n">
        <x:f>MIN(Model_Config_v3!$B$6,I1145+Model_Config_v3!$B$7)</x:f>
        <x:v>680</x:v>
      </x:c>
      <x:c r="K1145" s="20" t="n">
        <x:v>55.3</x:v>
      </x:c>
      <x:c r="L1145" t="str">
        <x:v>KETAT</x:v>
      </x:c>
      <x:c r="M1145" t="str">
        <x:v>SEDANG</x:v>
      </x:c>
      <x:c r="N1145" t="str">
        <x:v>REGULER</x:v>
      </x:c>
      <x:c r="O1145" t="str">
        <x:v>SOSHUM</x:v>
      </x:c>
      <x:c r="P1145" t="str">
        <x:v>UMUM</x:v>
      </x:c>
      <x:c r="Q1145" s="18" t="n">
        <x:v>0</x:v>
      </x:c>
      <x:c r="R1145" s="18" t="n">
        <x:v>0</x:v>
      </x:c>
      <x:c r="S1145" s="18" t="n">
        <x:v>633.4549310676787</x:v>
      </x:c>
      <x:c r="T1145" s="18" t="n">
        <x:v>671</x:v>
      </x:c>
      <x:c r="U1145" s="18" t="n">
        <x:v>633.4549310676787</x:v>
      </x:c>
      <x:c r="V1145" s="20" t="n">
        <x:v>4.4</x:v>
      </x:c>
      <x:c r="W1145" s="20" t="n">
        <x:v>14.3</x:v>
      </x:c>
      <x:c r="X1145" s="20" t="n">
        <x:v>3.3</x:v>
      </x:c>
      <x:c r="Y1145" t="str">
        <x:v>Basis arsip 2025/2024</x:v>
      </x:c>
      <x:c r="Z1145" t="str">
        <x:v>https://snpmb.id/utbk-snbt/daya-tampung-snbt</x:v>
      </x:c>
      <x:c r="AA1145" t="str">
        <x:v>Tidak Ada</x:v>
      </x:c>
      <x:c r="AB1145" t="str">
        <x:v>Campus=55; Ratio=60.7; Prodi=40; RelDemand=61.7; Capacity=66.7</x:v>
      </x:c>
    </x:row>
    <x:row r="1146">
      <x:c r="A1146" t="n">
        <x:v>1143</x:v>
      </x:c>
      <x:c r="B1146" t="str">
        <x:v>PTN Akademik</x:v>
      </x:c>
      <x:c r="C1146" t="str">
        <x:v>UNIVERSITAS SINGAPERBANGSA KARAWANG</x:v>
      </x:c>
      <x:c r="D1146" t="str">
        <x:v>TEKNIK SIPIL</x:v>
      </x:c>
      <x:c r="E1146" t="str">
        <x:v>Sarjana</x:v>
      </x:c>
      <x:c r="F1146" s="18" t="n">
        <x:v>30</x:v>
      </x:c>
      <x:c r="G1146" s="18" t="n">
        <x:v>238</x:v>
      </x:c>
      <x:c r="H1146" s="19" t="n">
        <x:v>7.933333333333334</x:v>
      </x:c>
      <x:c r="I1146" s="18" t="n">
        <x:f>ROUND(MIN(Model_Config_v3!$B$6,MAX(Q1146,R1146,S1146*Model_Config_v3!$B$4+T1146*Model_Config_v3!$B$5)),0)</x:f>
        <x:v>657</x:v>
      </x:c>
      <x:c r="J1146" s="18" t="n">
        <x:f>MIN(Model_Config_v3!$B$6,I1146+Model_Config_v3!$B$7)</x:f>
        <x:v>677</x:v>
      </x:c>
      <x:c r="K1146" s="20" t="n">
        <x:v>56.5</x:v>
      </x:c>
      <x:c r="L1146" t="str">
        <x:v>KETAT</x:v>
      </x:c>
      <x:c r="M1146" t="str">
        <x:v>SEDANG+</x:v>
      </x:c>
      <x:c r="N1146" t="str">
        <x:v>REGULER</x:v>
      </x:c>
      <x:c r="O1146" t="str">
        <x:v>SAINTEK</x:v>
      </x:c>
      <x:c r="P1146" t="str">
        <x:v>TEKNIK/ARSITEKTUR/STATISTIKA/AKTUARIA</x:v>
      </x:c>
      <x:c r="Q1146" s="18" t="n">
        <x:v>0</x:v>
      </x:c>
      <x:c r="R1146" s="18" t="n">
        <x:v>0</x:v>
      </x:c>
      <x:c r="S1146" s="18" t="n">
        <x:v>618.9401272570534</x:v>
      </x:c>
      <x:c r="T1146" s="18" t="n">
        <x:v>673</x:v>
      </x:c>
      <x:c r="U1146" s="18" t="n">
        <x:v>628.9401272570534</x:v>
      </x:c>
      <x:c r="V1146" s="20" t="n">
        <x:v>12</x:v>
      </x:c>
      <x:c r="W1146" s="20" t="n">
        <x:v>5</x:v>
      </x:c>
      <x:c r="X1146" s="20" t="n">
        <x:v>3</x:v>
      </x:c>
      <x:c r="Y1146" t="str">
        <x:v>Basis arsip 2025/2024</x:v>
      </x:c>
      <x:c r="Z1146" t="str">
        <x:v>https://snpmb.id/utbk-snbt/daya-tampung-snbt</x:v>
      </x:c>
      <x:c r="AA1146" t="str">
        <x:v>Tidak Ada</x:v>
      </x:c>
      <x:c r="AB1146" t="str">
        <x:v>Campus=55; Ratio=52.9; Prodi=60; RelDemand=45.5; Capacity=75.0</x:v>
      </x:c>
    </x:row>
    <x:row r="1147">
      <x:c r="A1147" t="n">
        <x:v>1144</x:v>
      </x:c>
      <x:c r="B1147" t="str">
        <x:v>PTN Akademik</x:v>
      </x:c>
      <x:c r="C1147" t="str">
        <x:v>UNIVERSITAS SINGAPERBANGSA KARAWANG</x:v>
      </x:c>
      <x:c r="D1147" t="str">
        <x:v>FISIKA</x:v>
      </x:c>
      <x:c r="E1147" t="str">
        <x:v>Sarjana</x:v>
      </x:c>
      <x:c r="F1147" s="18" t="n">
        <x:v>20</x:v>
      </x:c>
      <x:c r="G1147" s="18" t="n">
        <x:v>16</x:v>
      </x:c>
      <x:c r="H1147" s="19" t="n">
        <x:v>0.8</x:v>
      </x:c>
      <x:c r="I1147" s="18" t="n">
        <x:f>ROUND(MIN(Model_Config_v3!$B$6,MAX(Q1147,R1147,S1147*Model_Config_v3!$B$4+T1147*Model_Config_v3!$B$5)),0)</x:f>
        <x:v>601</x:v>
      </x:c>
      <x:c r="J1147" s="18" t="n">
        <x:f>MIN(Model_Config_v3!$B$6,I1147+Model_Config_v3!$B$7)</x:f>
        <x:v>621</x:v>
      </x:c>
      <x:c r="K1147" s="20" t="n">
        <x:v>38</x:v>
      </x:c>
      <x:c r="L1147" t="str">
        <x:v>RELATIF LONGGAR</x:v>
      </x:c>
      <x:c r="M1147" t="str">
        <x:v>SEDANG+</x:v>
      </x:c>
      <x:c r="N1147" t="str">
        <x:v>REGULER</x:v>
      </x:c>
      <x:c r="O1147" t="str">
        <x:v>SAINTEK</x:v>
      </x:c>
      <x:c r="P1147" t="str">
        <x:v>SAINS DASAR</x:v>
      </x:c>
      <x:c r="Q1147" s="18" t="n">
        <x:v>0</x:v>
      </x:c>
      <x:c r="R1147" s="18" t="n">
        <x:v>0</x:v>
      </x:c>
      <x:c r="S1147" s="18" t="n">
        <x:v>520</x:v>
      </x:c>
      <x:c r="T1147" s="18" t="n">
        <x:v>636</x:v>
      </x:c>
      <x:c r="U1147" s="18" t="n">
        <x:v>520</x:v>
      </x:c>
      <x:c r="V1147" s="20" t="n">
        <x:v>12</x:v>
      </x:c>
      <x:c r="W1147" s="20" t="n">
        <x:v>5</x:v>
      </x:c>
      <x:c r="X1147" s="20" t="n">
        <x:v>3</x:v>
      </x:c>
      <x:c r="Y1147" t="str">
        <x:v>Basis arsip 2025/2024</x:v>
      </x:c>
      <x:c r="Z1147" t="str">
        <x:v>https://snpmb.id/utbk-snbt/daya-tampung-snbt</x:v>
      </x:c>
      <x:c r="AA1147" t="str">
        <x:v>Tidak Ada</x:v>
      </x:c>
      <x:c r="AB1147" t="str">
        <x:v>Campus=55; Ratio=0.0; Prodi=50; RelDemand=4.6; Capacity=83.3</x:v>
      </x:c>
    </x:row>
    <x:row r="1148">
      <x:c r="A1148" t="n">
        <x:v>1145</x:v>
      </x:c>
      <x:c r="B1148" t="str">
        <x:v>PTN Akademik</x:v>
      </x:c>
      <x:c r="C1148" t="str">
        <x:v>UNIVERSITAS SINGAPERBANGSA KARAWANG</x:v>
      </x:c>
      <x:c r="D1148" t="str">
        <x:v>AKUNTANSI</x:v>
      </x:c>
      <x:c r="E1148" t="str">
        <x:v>Diploma Tiga</x:v>
      </x:c>
      <x:c r="F1148" s="18" t="n">
        <x:v>48</x:v>
      </x:c>
      <x:c r="G1148" s="18" t="n">
        <x:v>1285</x:v>
      </x:c>
      <x:c r="H1148" s="19" t="n">
        <x:v>26.770833333333332</x:v>
      </x:c>
      <x:c r="I1148" s="18" t="n">
        <x:f>ROUND(MIN(Model_Config_v3!$B$6,MAX(Q1148,R1148,S1148*Model_Config_v3!$B$4+T1148*Model_Config_v3!$B$5)),0)</x:f>
        <x:v>692</x:v>
      </x:c>
      <x:c r="J1148" s="18" t="n">
        <x:f>MIN(Model_Config_v3!$B$6,I1148+Model_Config_v3!$B$7)</x:f>
        <x:v>712</x:v>
      </x:c>
      <x:c r="K1148" s="20" t="n">
        <x:v>69.3</x:v>
      </x:c>
      <x:c r="L1148" t="str">
        <x:v>SANGAT KETAT</x:v>
      </x:c>
      <x:c r="M1148" t="str">
        <x:v>SEDANG+</x:v>
      </x:c>
      <x:c r="N1148" t="str">
        <x:v>REGULER</x:v>
      </x:c>
      <x:c r="O1148" t="str">
        <x:v>SOSHUM</x:v>
      </x:c>
      <x:c r="P1148" t="str">
        <x:v>BISNIS/EKONOMI/AKUNTANSI</x:v>
      </x:c>
      <x:c r="Q1148" s="18" t="n">
        <x:v>0</x:v>
      </x:c>
      <x:c r="R1148" s="18" t="n">
        <x:v>0</x:v>
      </x:c>
      <x:c r="S1148" s="18" t="n">
        <x:v>677.0428079320899</x:v>
      </x:c>
      <x:c r="T1148" s="18" t="n">
        <x:v>699</x:v>
      </x:c>
      <x:c r="U1148" s="18" t="n">
        <x:v>677.0428079320899</x:v>
      </x:c>
      <x:c r="V1148" s="20" t="n">
        <x:v>4.4</x:v>
      </x:c>
      <x:c r="W1148" s="20" t="n">
        <x:v>14.3</x:v>
      </x:c>
      <x:c r="X1148" s="20" t="n">
        <x:v>3.3</x:v>
      </x:c>
      <x:c r="Y1148" t="str">
        <x:v>Basis arsip 2025/2024</x:v>
      </x:c>
      <x:c r="Z1148" t="str">
        <x:v>https://snpmb.id/utbk-snbt/daya-tampung-snbt</x:v>
      </x:c>
      <x:c r="AA1148" t="str">
        <x:v>Tidak Ada</x:v>
      </x:c>
      <x:c r="AB1148" t="str">
        <x:v>Campus=55; Ratio=84.0; Prodi=65; RelDemand=100.0; Capacity=60.0</x:v>
      </x:c>
    </x:row>
    <x:row r="1149">
      <x:c r="A1149" t="n">
        <x:v>1146</x:v>
      </x:c>
      <x:c r="B1149" t="str">
        <x:v>PTN Akademik</x:v>
      </x:c>
      <x:c r="C1149" t="str">
        <x:v>UNIVERSITAS SINGAPERBANGSA KARAWANG</x:v>
      </x:c>
      <x:c r="D1149" t="str">
        <x:v>TEKNIK MESIN</x:v>
      </x:c>
      <x:c r="E1149" t="str">
        <x:v>Diploma Tiga</x:v>
      </x:c>
      <x:c r="F1149" s="18" t="n">
        <x:v>32</x:v>
      </x:c>
      <x:c r="G1149" s="18" t="n">
        <x:v>559</x:v>
      </x:c>
      <x:c r="H1149" s="19" t="n">
        <x:v>17.46875</x:v>
      </x:c>
      <x:c r="I1149" s="18" t="n">
        <x:f>ROUND(MIN(Model_Config_v3!$B$6,MAX(Q1149,R1149,S1149*Model_Config_v3!$B$4+T1149*Model_Config_v3!$B$5)),0)</x:f>
        <x:v>683</x:v>
      </x:c>
      <x:c r="J1149" s="18" t="n">
        <x:f>MIN(Model_Config_v3!$B$6,I1149+Model_Config_v3!$B$7)</x:f>
        <x:v>703</x:v>
      </x:c>
      <x:c r="K1149" s="20" t="n">
        <x:v>66.9</x:v>
      </x:c>
      <x:c r="L1149" t="str">
        <x:v>SANGAT KETAT</x:v>
      </x:c>
      <x:c r="M1149" t="str">
        <x:v>SEDANG+</x:v>
      </x:c>
      <x:c r="N1149" t="str">
        <x:v>REGULER</x:v>
      </x:c>
      <x:c r="O1149" t="str">
        <x:v>SAINTEK</x:v>
      </x:c>
      <x:c r="P1149" t="str">
        <x:v>TEKNIK/ARSITEKTUR/STATISTIKA/AKTUARIA</x:v>
      </x:c>
      <x:c r="Q1149" s="18" t="n">
        <x:v>0</x:v>
      </x:c>
      <x:c r="R1149" s="18" t="n">
        <x:v>0</x:v>
      </x:c>
      <x:c r="S1149" s="18" t="n">
        <x:v>656.6488012523168</x:v>
      </x:c>
      <x:c r="T1149" s="18" t="n">
        <x:v>694</x:v>
      </x:c>
      <x:c r="U1149" s="18" t="n">
        <x:v>666.6488012523168</x:v>
      </x:c>
      <x:c r="V1149" s="20" t="n">
        <x:v>12</x:v>
      </x:c>
      <x:c r="W1149" s="20" t="n">
        <x:v>5</x:v>
      </x:c>
      <x:c r="X1149" s="20" t="n">
        <x:v>3</x:v>
      </x:c>
      <x:c r="Y1149" t="str">
        <x:v>Basis arsip 2025/2024</x:v>
      </x:c>
      <x:c r="Z1149" t="str">
        <x:v>https://snpmb.id/utbk-snbt/daya-tampung-snbt</x:v>
      </x:c>
      <x:c r="AA1149" t="str">
        <x:v>Tidak Ada</x:v>
      </x:c>
      <x:c r="AB1149" t="str">
        <x:v>Campus=55; Ratio=73.1; Prodi=60; RelDemand=100.0; Capacity=73.3</x:v>
      </x:c>
    </x:row>
    <x:row r="1150">
      <x:c r="A1150" t="n">
        <x:v>1147</x:v>
      </x:c>
      <x:c r="B1150" t="str">
        <x:v>PTN Akademik</x:v>
      </x:c>
      <x:c r="C1150" t="str">
        <x:v>UNIVERSITAS SINGAPERBANGSA KARAWANG</x:v>
      </x:c>
      <x:c r="D1150" t="str">
        <x:v>KEBIDANAN</x:v>
      </x:c>
      <x:c r="E1150" t="str">
        <x:v>Diploma Tiga</x:v>
      </x:c>
      <x:c r="F1150" s="18" t="n">
        <x:v>40</x:v>
      </x:c>
      <x:c r="G1150" s="18" t="n">
        <x:v>754</x:v>
      </x:c>
      <x:c r="H1150" s="19" t="n">
        <x:v>18.85</x:v>
      </x:c>
      <x:c r="I1150" s="18" t="n">
        <x:f>ROUND(MIN(Model_Config_v3!$B$6,MAX(Q1150,R1150,S1150*Model_Config_v3!$B$4+T1150*Model_Config_v3!$B$5)),0)</x:f>
        <x:v>682</x:v>
      </x:c>
      <x:c r="J1150" s="18" t="n">
        <x:f>MIN(Model_Config_v3!$B$6,I1150+Model_Config_v3!$B$7)</x:f>
        <x:v>702</x:v>
      </x:c>
      <x:c r="K1150" s="20" t="n">
        <x:v>65.7</x:v>
      </x:c>
      <x:c r="L1150" t="str">
        <x:v>SANGAT KETAT</x:v>
      </x:c>
      <x:c r="M1150" t="str">
        <x:v>SEDANG+</x:v>
      </x:c>
      <x:c r="N1150" t="str">
        <x:v>REGULER</x:v>
      </x:c>
      <x:c r="O1150" t="str">
        <x:v>SAINTEK</x:v>
      </x:c>
      <x:c r="P1150" t="str">
        <x:v>KESEHAT/GIZI/KEPERAWATAN</x:v>
      </x:c>
      <x:c r="Q1150" s="18" t="n">
        <x:v>0</x:v>
      </x:c>
      <x:c r="R1150" s="18" t="n">
        <x:v>0</x:v>
      </x:c>
      <x:c r="S1150" s="18" t="n">
        <x:v>660.2842489995993</x:v>
      </x:c>
      <x:c r="T1150" s="18" t="n">
        <x:v>691</x:v>
      </x:c>
      <x:c r="U1150" s="18" t="n">
        <x:v>660.2842489995993</x:v>
      </x:c>
      <x:c r="V1150" s="20" t="n">
        <x:v>12</x:v>
      </x:c>
      <x:c r="W1150" s="20" t="n">
        <x:v>5</x:v>
      </x:c>
      <x:c r="X1150" s="20" t="n">
        <x:v>3</x:v>
      </x:c>
      <x:c r="Y1150" t="str">
        <x:v>Basis arsip 2025/2024</x:v>
      </x:c>
      <x:c r="Z1150" t="str">
        <x:v>https://snpmb.id/utbk-snbt/daya-tampung-snbt</x:v>
      </x:c>
      <x:c r="AA1150" t="str">
        <x:v>Tidak Ada</x:v>
      </x:c>
      <x:c r="AB1150" t="str">
        <x:v>Campus=55; Ratio=75.1; Prodi=55; RelDemand=100.0; Capacity=66.7</x:v>
      </x:c>
    </x:row>
    <x:row r="1151">
      <x:c r="A1151" t="n">
        <x:v>1148</x:v>
      </x:c>
      <x:c r="B1151" t="str">
        <x:v>PTN Akademik</x:v>
      </x:c>
      <x:c r="C1151" t="str">
        <x:v>INSTITUT TEKNOLOGI BANDUNG</x:v>
      </x:c>
      <x:c r="D1151" t="str">
        <x:v>FAKULTAS ILMU DAN TEKNOLOGI KEBUMIAN (FITB)</x:v>
      </x:c>
      <x:c r="E1151" t="str">
        <x:v>Sarjana</x:v>
      </x:c>
      <x:c r="F1151" s="18" t="n">
        <x:v>150</x:v>
      </x:c>
      <x:c r="G1151" s="18" t="n">
        <x:v>1267</x:v>
      </x:c>
      <x:c r="H1151" s="19" t="n">
        <x:v>8.446666666666667</x:v>
      </x:c>
      <x:c r="I1151" s="18" t="n">
        <x:f>ROUND(MIN(Model_Config_v3!$B$6,MAX(Q1151,R1151,S1151*Model_Config_v3!$B$4+T1151*Model_Config_v3!$B$5)),0)</x:f>
        <x:v>675</x:v>
      </x:c>
      <x:c r="J1151" s="18" t="n">
        <x:f>MIN(Model_Config_v3!$B$6,I1151+Model_Config_v3!$B$7)</x:f>
        <x:v>695</x:v>
      </x:c>
      <x:c r="K1151" s="20" t="n">
        <x:v>59.3</x:v>
      </x:c>
      <x:c r="L1151" t="str">
        <x:v>KETAT</x:v>
      </x:c>
      <x:c r="M1151" t="str">
        <x:v>SEDANG+</x:v>
      </x:c>
      <x:c r="N1151" t="str">
        <x:v>ELITE-1</x:v>
      </x:c>
      <x:c r="O1151" t="str">
        <x:v>SAINTEK</x:v>
      </x:c>
      <x:c r="P1151" t="str">
        <x:v>UMUM</x:v>
      </x:c>
      <x:c r="Q1151" s="18" t="n">
        <x:v>675</x:v>
      </x:c>
      <x:c r="R1151" s="18" t="n">
        <x:v>0</x:v>
      </x:c>
      <x:c r="S1151" s="18" t="n">
        <x:v>621.9353891410536</x:v>
      </x:c>
      <x:c r="T1151" s="18" t="n">
        <x:v>679</x:v>
      </x:c>
      <x:c r="U1151" s="18" t="n">
        <x:v>675</x:v>
      </x:c>
      <x:c r="V1151" s="20" t="n">
        <x:v>12</x:v>
      </x:c>
      <x:c r="W1151" s="20" t="n">
        <x:v>5</x:v>
      </x:c>
      <x:c r="X1151" s="20" t="n">
        <x:v>3</x:v>
      </x:c>
      <x:c r="Y1151" t="str">
        <x:v>Basis arsip 2025/2024</x:v>
      </x:c>
      <x:c r="Z1151" t="str">
        <x:v>https://snpmb.id/utbk-snbt/daya-tampung-snbt</x:v>
      </x:c>
      <x:c r="AA1151" t="str">
        <x:v>Tidak Ada</x:v>
      </x:c>
      <x:c r="AB1151" t="str">
        <x:v>Campus=100; Ratio=54.5; Prodi=40; RelDemand=26.3; Capacity=0.0</x:v>
      </x:c>
    </x:row>
    <x:row r="1152">
      <x:c r="A1152" t="n">
        <x:v>1149</x:v>
      </x:c>
      <x:c r="B1152" t="str">
        <x:v>PTN Akademik</x:v>
      </x:c>
      <x:c r="C1152" t="str">
        <x:v>INSTITUT TEKNOLOGI BANDUNG</x:v>
      </x:c>
      <x:c r="D1152" t="str">
        <x:v>FAKULTAS TEKNIK PERTAMBANGAN DAN PERMINYAKAN (FTTM)</x:v>
      </x:c>
      <x:c r="E1152" t="str">
        <x:v>Sarjana</x:v>
      </x:c>
      <x:c r="F1152" s="18" t="n">
        <x:v>123</x:v>
      </x:c>
      <x:c r="G1152" s="18" t="n">
        <x:v>3492</x:v>
      </x:c>
      <x:c r="H1152" s="19" t="n">
        <x:v>28.390243902439025</x:v>
      </x:c>
      <x:c r="I1152" s="18" t="n">
        <x:f>ROUND(MIN(Model_Config_v3!$B$6,MAX(Q1152,R1152,S1152*Model_Config_v3!$B$4+T1152*Model_Config_v3!$B$5)),0)</x:f>
        <x:v>704</x:v>
      </x:c>
      <x:c r="J1152" s="18" t="n">
        <x:f>MIN(Model_Config_v3!$B$6,I1152+Model_Config_v3!$B$7)</x:f>
        <x:v>724</x:v>
      </x:c>
      <x:c r="K1152" s="20" t="n">
        <x:v>77.2</x:v>
      </x:c>
      <x:c r="L1152" t="str">
        <x:v>ELITE</x:v>
      </x:c>
      <x:c r="M1152" t="str">
        <x:v>SEDANG+</x:v>
      </x:c>
      <x:c r="N1152" t="str">
        <x:v>ELITE-1</x:v>
      </x:c>
      <x:c r="O1152" t="str">
        <x:v>SAINTEK</x:v>
      </x:c>
      <x:c r="P1152" t="str">
        <x:v>TEKNIK/ARSITEKTUR/STATISTIKA/AKTUARIA</x:v>
      </x:c>
      <x:c r="Q1152" s="18" t="n">
        <x:v>675</x:v>
      </x:c>
      <x:c r="R1152" s="18" t="n">
        <x:v>690</x:v>
      </x:c>
      <x:c r="S1152" s="18" t="n">
        <x:v>679.8486035953547</x:v>
      </x:c>
      <x:c r="T1152" s="18" t="n">
        <x:v>714</x:v>
      </x:c>
      <x:c r="U1152" s="18" t="n">
        <x:v>689.8486035953547</x:v>
      </x:c>
      <x:c r="V1152" s="20" t="n">
        <x:v>12</x:v>
      </x:c>
      <x:c r="W1152" s="20" t="n">
        <x:v>5</x:v>
      </x:c>
      <x:c r="X1152" s="20" t="n">
        <x:v>3</x:v>
      </x:c>
      <x:c r="Y1152" t="str">
        <x:v>Basis arsip 2025/2024</x:v>
      </x:c>
      <x:c r="Z1152" t="str">
        <x:v>https://snpmb.id/utbk-snbt/daya-tampung-snbt</x:v>
      </x:c>
      <x:c r="AA1152" t="str">
        <x:v>Tidak Ada</x:v>
      </x:c>
      <x:c r="AB1152" t="str">
        <x:v>Campus=100; Ratio=85.5; Prodi=60; RelDemand=88.4; Capacity=0.0</x:v>
      </x:c>
    </x:row>
    <x:row r="1153">
      <x:c r="A1153" t="n">
        <x:v>1150</x:v>
      </x:c>
      <x:c r="B1153" t="str">
        <x:v>PTN Akademik</x:v>
      </x:c>
      <x:c r="C1153" t="str">
        <x:v>INSTITUT TEKNOLOGI BANDUNG</x:v>
      </x:c>
      <x:c r="D1153" t="str">
        <x:v>SEKOLAH FARMASI (SF)</x:v>
      </x:c>
      <x:c r="E1153" t="str">
        <x:v>Sarjana</x:v>
      </x:c>
      <x:c r="F1153" s="18" t="n">
        <x:v>58</x:v>
      </x:c>
      <x:c r="G1153" s="18" t="n">
        <x:v>895</x:v>
      </x:c>
      <x:c r="H1153" s="19" t="n">
        <x:v>15.431034482758621</x:v>
      </x:c>
      <x:c r="I1153" s="18" t="n">
        <x:f>ROUND(MIN(Model_Config_v3!$B$6,MAX(Q1153,R1153,S1153*Model_Config_v3!$B$4+T1153*Model_Config_v3!$B$5)),0)</x:f>
        <x:v>700</x:v>
      </x:c>
      <x:c r="J1153" s="18" t="n">
        <x:f>MIN(Model_Config_v3!$B$6,I1153+Model_Config_v3!$B$7)</x:f>
        <x:v>720</x:v>
      </x:c>
      <x:c r="K1153" s="20" t="n">
        <x:v>77.5</x:v>
      </x:c>
      <x:c r="L1153" t="str">
        <x:v>ELITE</x:v>
      </x:c>
      <x:c r="M1153" t="str">
        <x:v>SEDANG+</x:v>
      </x:c>
      <x:c r="N1153" t="str">
        <x:v>ELITE-1</x:v>
      </x:c>
      <x:c r="O1153" t="str">
        <x:v>SAINTEK</x:v>
      </x:c>
      <x:c r="P1153" t="str">
        <x:v>FARMASI</x:v>
      </x:c>
      <x:c r="Q1153" s="18" t="n">
        <x:v>675</x:v>
      </x:c>
      <x:c r="R1153" s="18" t="n">
        <x:v>700</x:v>
      </x:c>
      <x:c r="S1153" s="18" t="n">
        <x:v>650.7234545928272</x:v>
      </x:c>
      <x:c r="T1153" s="18" t="n">
        <x:v>715</x:v>
      </x:c>
      <x:c r="U1153" s="18" t="n">
        <x:v>700</x:v>
      </x:c>
      <x:c r="V1153" s="20" t="n">
        <x:v>12</x:v>
      </x:c>
      <x:c r="W1153" s="20" t="n">
        <x:v>5</x:v>
      </x:c>
      <x:c r="X1153" s="20" t="n">
        <x:v>3</x:v>
      </x:c>
      <x:c r="Y1153" t="str">
        <x:v>Basis arsip 2025/2024</x:v>
      </x:c>
      <x:c r="Z1153" t="str">
        <x:v>https://snpmb.id/utbk-snbt/daya-tampung-snbt</x:v>
      </x:c>
      <x:c r="AA1153" t="str">
        <x:v>Tidak Ada</x:v>
      </x:c>
      <x:c r="AB1153" t="str">
        <x:v>Campus=100; Ratio=69.9; Prodi=75; RelDemand=48.0; Capacity=51.7</x:v>
      </x:c>
    </x:row>
    <x:row r="1154">
      <x:c r="A1154" t="n">
        <x:v>1151</x:v>
      </x:c>
      <x:c r="B1154" t="str">
        <x:v>PTN Akademik</x:v>
      </x:c>
      <x:c r="C1154" t="str">
        <x:v>INSTITUT TEKNOLOGI BANDUNG</x:v>
      </x:c>
      <x:c r="D1154" t="str">
        <x:v>SEKOLAH ILMU DAN TEKNOLOGI HAYATI - SAINS (SITH-S)</x:v>
      </x:c>
      <x:c r="E1154" t="str">
        <x:v>Sarjana</x:v>
      </x:c>
      <x:c r="F1154" s="18" t="n">
        <x:v>45</x:v>
      </x:c>
      <x:c r="G1154" s="18" t="n">
        <x:v>351</x:v>
      </x:c>
      <x:c r="H1154" s="19" t="n">
        <x:v>7.8</x:v>
      </x:c>
      <x:c r="I1154" s="18" t="n">
        <x:f>ROUND(MIN(Model_Config_v3!$B$6,MAX(Q1154,R1154,S1154*Model_Config_v3!$B$4+T1154*Model_Config_v3!$B$5)),0)</x:f>
        <x:v>675</x:v>
      </x:c>
      <x:c r="J1154" s="18" t="n">
        <x:f>MIN(Model_Config_v3!$B$6,I1154+Model_Config_v3!$B$7)</x:f>
        <x:v>695</x:v>
      </x:c>
      <x:c r="K1154" s="20" t="n">
        <x:v>66.8</x:v>
      </x:c>
      <x:c r="L1154" t="str">
        <x:v>SANGAT KETAT</x:v>
      </x:c>
      <x:c r="M1154" t="str">
        <x:v>SEDANG+</x:v>
      </x:c>
      <x:c r="N1154" t="str">
        <x:v>ELITE-1</x:v>
      </x:c>
      <x:c r="O1154" t="str">
        <x:v>SAINTEK</x:v>
      </x:c>
      <x:c r="P1154" t="str">
        <x:v>SAINS DASAR</x:v>
      </x:c>
      <x:c r="Q1154" s="18" t="n">
        <x:v>675</x:v>
      </x:c>
      <x:c r="R1154" s="18" t="n">
        <x:v>675</x:v>
      </x:c>
      <x:c r="S1154" s="18" t="n">
        <x:v>618.1304062959529</x:v>
      </x:c>
      <x:c r="T1154" s="18" t="n">
        <x:v>694</x:v>
      </x:c>
      <x:c r="U1154" s="18" t="n">
        <x:v>675</x:v>
      </x:c>
      <x:c r="V1154" s="20" t="n">
        <x:v>12</x:v>
      </x:c>
      <x:c r="W1154" s="20" t="n">
        <x:v>5</x:v>
      </x:c>
      <x:c r="X1154" s="20" t="n">
        <x:v>3</x:v>
      </x:c>
      <x:c r="Y1154" t="str">
        <x:v>Basis arsip 2025/2024</x:v>
      </x:c>
      <x:c r="Z1154" t="str">
        <x:v>https://snpmb.id/utbk-snbt/daya-tampung-snbt</x:v>
      </x:c>
      <x:c r="AA1154" t="str">
        <x:v>Tidak Ada</x:v>
      </x:c>
      <x:c r="AB1154" t="str">
        <x:v>Campus=100; Ratio=52.5; Prodi=50; RelDemand=24.3; Capacity=62.5</x:v>
      </x:c>
    </x:row>
    <x:row r="1155">
      <x:c r="A1155" t="n">
        <x:v>1152</x:v>
      </x:c>
      <x:c r="B1155" t="str">
        <x:v>PTN Akademik</x:v>
      </x:c>
      <x:c r="C1155" t="str">
        <x:v>INSTITUT TEKNOLOGI BANDUNG</x:v>
      </x:c>
      <x:c r="D1155" t="str">
        <x:v>FAKULTAS TEKNIK MESIN DAN DIRGANTARA (FTMD)</x:v>
      </x:c>
      <x:c r="E1155" t="str">
        <x:v>Sarjana</x:v>
      </x:c>
      <x:c r="F1155" s="18" t="n">
        <x:v>100</x:v>
      </x:c>
      <x:c r="G1155" s="18" t="n">
        <x:v>1692</x:v>
      </x:c>
      <x:c r="H1155" s="19" t="n">
        <x:v>16.92</x:v>
      </x:c>
      <x:c r="I1155" s="18" t="n">
        <x:f>ROUND(MIN(Model_Config_v3!$B$6,MAX(Q1155,R1155,S1155*Model_Config_v3!$B$4+T1155*Model_Config_v3!$B$5)),0)</x:f>
        <x:v>690</x:v>
      </x:c>
      <x:c r="J1155" s="18" t="n">
        <x:f>MIN(Model_Config_v3!$B$6,I1155+Model_Config_v3!$B$7)</x:f>
        <x:v>710</x:v>
      </x:c>
      <x:c r="K1155" s="20" t="n">
        <x:v>72</x:v>
      </x:c>
      <x:c r="L1155" t="str">
        <x:v>SANGAT KETAT</x:v>
      </x:c>
      <x:c r="M1155" t="str">
        <x:v>SEDANG+</x:v>
      </x:c>
      <x:c r="N1155" t="str">
        <x:v>ELITE-1</x:v>
      </x:c>
      <x:c r="O1155" t="str">
        <x:v>SAINTEK</x:v>
      </x:c>
      <x:c r="P1155" t="str">
        <x:v>TEKNIK/ARSITEKTUR/STATISTIKA/AKTUARIA</x:v>
      </x:c>
      <x:c r="Q1155" s="18" t="n">
        <x:v>675</x:v>
      </x:c>
      <x:c r="R1155" s="18" t="n">
        <x:v>690</x:v>
      </x:c>
      <x:c r="S1155" s="18" t="n">
        <x:v>655.1240394573306</x:v>
      </x:c>
      <x:c r="T1155" s="18" t="n">
        <x:v>704</x:v>
      </x:c>
      <x:c r="U1155" s="18" t="n">
        <x:v>675</x:v>
      </x:c>
      <x:c r="V1155" s="20" t="n">
        <x:v>12</x:v>
      </x:c>
      <x:c r="W1155" s="20" t="n">
        <x:v>5</x:v>
      </x:c>
      <x:c r="X1155" s="20" t="n">
        <x:v>3</x:v>
      </x:c>
      <x:c r="Y1155" t="str">
        <x:v>Basis arsip 2025/2024</x:v>
      </x:c>
      <x:c r="Z1155" t="str">
        <x:v>https://snpmb.id/utbk-snbt/daya-tampung-snbt</x:v>
      </x:c>
      <x:c r="AA1155" t="str">
        <x:v>Tidak Ada</x:v>
      </x:c>
      <x:c r="AB1155" t="str">
        <x:v>Campus=100; Ratio=72.3; Prodi=60; RelDemand=52.7; Capacity=16.7</x:v>
      </x:c>
    </x:row>
    <x:row r="1156">
      <x:c r="A1156" t="n">
        <x:v>1153</x:v>
      </x:c>
      <x:c r="B1156" t="str">
        <x:v>PTN Akademik</x:v>
      </x:c>
      <x:c r="C1156" t="str">
        <x:v>INSTITUT TEKNOLOGI BANDUNG</x:v>
      </x:c>
      <x:c r="D1156" t="str">
        <x:v>SEKOLAH ARSITEKTUR, PERENCANAAN DAN PENGEMBANGAN KEBIJAKAN (SAPPK)</x:v>
      </x:c>
      <x:c r="E1156" t="str">
        <x:v>Sarjana</x:v>
      </x:c>
      <x:c r="F1156" s="18" t="n">
        <x:v>59</x:v>
      </x:c>
      <x:c r="G1156" s="18" t="n">
        <x:v>1197</x:v>
      </x:c>
      <x:c r="H1156" s="19" t="n">
        <x:v>20.28813559322034</x:v>
      </x:c>
      <x:c r="I1156" s="18" t="n">
        <x:f>ROUND(MIN(Model_Config_v3!$B$6,MAX(Q1156,R1156,S1156*Model_Config_v3!$B$4+T1156*Model_Config_v3!$B$5)),0)</x:f>
        <x:v>700</x:v>
      </x:c>
      <x:c r="J1156" s="18" t="n">
        <x:f>MIN(Model_Config_v3!$B$6,I1156+Model_Config_v3!$B$7)</x:f>
        <x:v>720</x:v>
      </x:c>
      <x:c r="K1156" s="20" t="n">
        <x:v>77.6</x:v>
      </x:c>
      <x:c r="L1156" t="str">
        <x:v>ELITE</x:v>
      </x:c>
      <x:c r="M1156" t="str">
        <x:v>SEDANG+</x:v>
      </x:c>
      <x:c r="N1156" t="str">
        <x:v>ELITE-1</x:v>
      </x:c>
      <x:c r="O1156" t="str">
        <x:v>SAINTEK</x:v>
      </x:c>
      <x:c r="P1156" t="str">
        <x:v>TEKNIK/ARSITEKTUR/STATISTIKA/AKTUARIA</x:v>
      </x:c>
      <x:c r="Q1156" s="18" t="n">
        <x:v>675</x:v>
      </x:c>
      <x:c r="R1156" s="18" t="n">
        <x:v>690</x:v>
      </x:c>
      <x:c r="S1156" s="18" t="n">
        <x:v>663.7966352640693</x:v>
      </x:c>
      <x:c r="T1156" s="18" t="n">
        <x:v>715</x:v>
      </x:c>
      <x:c r="U1156" s="18" t="n">
        <x:v>675</x:v>
      </x:c>
      <x:c r="V1156" s="20" t="n">
        <x:v>12</x:v>
      </x:c>
      <x:c r="W1156" s="20" t="n">
        <x:v>5</x:v>
      </x:c>
      <x:c r="X1156" s="20" t="n">
        <x:v>3</x:v>
      </x:c>
      <x:c r="Y1156" t="str">
        <x:v>Basis arsip 2025/2024</x:v>
      </x:c>
      <x:c r="Z1156" t="str">
        <x:v>https://snpmb.id/utbk-snbt/daya-tampung-snbt</x:v>
      </x:c>
      <x:c r="AA1156" t="str">
        <x:v>Tidak Ada</x:v>
      </x:c>
      <x:c r="AB1156" t="str">
        <x:v>Campus=100; Ratio=76.9; Prodi=60; RelDemand=63.2; Capacity=50.8</x:v>
      </x:c>
    </x:row>
    <x:row r="1157">
      <x:c r="A1157" t="n">
        <x:v>1154</x:v>
      </x:c>
      <x:c r="B1157" t="str">
        <x:v>PTN Akademik</x:v>
      </x:c>
      <x:c r="C1157" t="str">
        <x:v>INSTITUT TEKNOLOGI BANDUNG</x:v>
      </x:c>
      <x:c r="D1157" t="str">
        <x:v>SEKOLAH ILMU DAN TEKNOLOGI HAYATI - REKAYASA (SITH-R)</x:v>
      </x:c>
      <x:c r="E1157" t="str">
        <x:v>Sarjana</x:v>
      </x:c>
      <x:c r="F1157" s="18" t="n">
        <x:v>71</x:v>
      </x:c>
      <x:c r="G1157" s="18" t="n">
        <x:v>513</x:v>
      </x:c>
      <x:c r="H1157" s="19" t="n">
        <x:v>7.225352112676056</x:v>
      </x:c>
      <x:c r="I1157" s="18" t="n">
        <x:f>ROUND(MIN(Model_Config_v3!$B$6,MAX(Q1157,R1157,S1157*Model_Config_v3!$B$4+T1157*Model_Config_v3!$B$5)),0)</x:f>
        <x:v>675</x:v>
      </x:c>
      <x:c r="J1157" s="18" t="n">
        <x:f>MIN(Model_Config_v3!$B$6,I1157+Model_Config_v3!$B$7)</x:f>
        <x:v>695</x:v>
      </x:c>
      <x:c r="K1157" s="20" t="n">
        <x:v>64</x:v>
      </x:c>
      <x:c r="L1157" t="str">
        <x:v>KETAT</x:v>
      </x:c>
      <x:c r="M1157" t="str">
        <x:v>SEDANG+</x:v>
      </x:c>
      <x:c r="N1157" t="str">
        <x:v>ELITE-1</x:v>
      </x:c>
      <x:c r="O1157" t="str">
        <x:v>SAINTEK</x:v>
      </x:c>
      <x:c r="P1157" t="str">
        <x:v>SAINS DASAR</x:v>
      </x:c>
      <x:c r="Q1157" s="18" t="n">
        <x:v>675</x:v>
      </x:c>
      <x:c r="R1157" s="18" t="n">
        <x:v>675</x:v>
      </x:c>
      <x:c r="S1157" s="18" t="n">
        <x:v>614.4744918032015</x:v>
      </x:c>
      <x:c r="T1157" s="18" t="n">
        <x:v>688</x:v>
      </x:c>
      <x:c r="U1157" s="18" t="n">
        <x:v>675</x:v>
      </x:c>
      <x:c r="V1157" s="20" t="n">
        <x:v>12</x:v>
      </x:c>
      <x:c r="W1157" s="20" t="n">
        <x:v>5</x:v>
      </x:c>
      <x:c r="X1157" s="20" t="n">
        <x:v>3</x:v>
      </x:c>
      <x:c r="Y1157" t="str">
        <x:v>Basis arsip 2025/2024</x:v>
      </x:c>
      <x:c r="Z1157" t="str">
        <x:v>https://snpmb.id/utbk-snbt/daya-tampung-snbt</x:v>
      </x:c>
      <x:c r="AA1157" t="str">
        <x:v>Tidak Ada</x:v>
      </x:c>
      <x:c r="AB1157" t="str">
        <x:v>Campus=100; Ratio=50.6; Prodi=50; RelDemand=22.5; Capacity=40.8</x:v>
      </x:c>
    </x:row>
    <x:row r="1158">
      <x:c r="A1158" t="n">
        <x:v>1155</x:v>
      </x:c>
      <x:c r="B1158" t="str">
        <x:v>PTN Akademik</x:v>
      </x:c>
      <x:c r="C1158" t="str">
        <x:v>INSTITUT TEKNOLOGI BANDUNG</x:v>
      </x:c>
      <x:c r="D1158" t="str">
        <x:v>FAKULTAS TEKNOLOGI INDUSTRI - KAMPUS CIREBON (FTI-C)</x:v>
      </x:c>
      <x:c r="E1158" t="str">
        <x:v>Sarjana</x:v>
      </x:c>
      <x:c r="F1158" s="18" t="n">
        <x:v>27</x:v>
      </x:c>
      <x:c r="G1158" s="18" t="n">
        <x:v>518</x:v>
      </x:c>
      <x:c r="H1158" s="19" t="n">
        <x:v>19.185185185185187</x:v>
      </x:c>
      <x:c r="I1158" s="18" t="n">
        <x:f>ROUND(MIN(Model_Config_v3!$B$6,MAX(Q1158,R1158,S1158*Model_Config_v3!$B$4+T1158*Model_Config_v3!$B$5)),0)</x:f>
        <x:v>702</x:v>
      </x:c>
      <x:c r="J1158" s="18" t="n">
        <x:f>MIN(Model_Config_v3!$B$6,I1158+Model_Config_v3!$B$7)</x:f>
        <x:v>722</x:v>
      </x:c>
      <x:c r="K1158" s="20" t="n">
        <x:v>79.6</x:v>
      </x:c>
      <x:c r="L1158" t="str">
        <x:v>ELITE</x:v>
      </x:c>
      <x:c r="M1158" t="str">
        <x:v>SEDANG+</x:v>
      </x:c>
      <x:c r="N1158" t="str">
        <x:v>ELITE-1</x:v>
      </x:c>
      <x:c r="O1158" t="str">
        <x:v>SAINTEK</x:v>
      </x:c>
      <x:c r="P1158" t="str">
        <x:v>TEKNIK/ARSITEKTUR/STATISTIKA/AKTUARIA</x:v>
      </x:c>
      <x:c r="Q1158" s="18" t="n">
        <x:v>675</x:v>
      </x:c>
      <x:c r="R1158" s="18" t="n">
        <x:v>690</x:v>
      </x:c>
      <x:c r="S1158" s="18" t="n">
        <x:v>661.126259514487</x:v>
      </x:c>
      <x:c r="T1158" s="18" t="n">
        <x:v>719</x:v>
      </x:c>
      <x:c r="U1158" s="18" t="n">
        <x:v>675</x:v>
      </x:c>
      <x:c r="V1158" s="20" t="n">
        <x:v>12</x:v>
      </x:c>
      <x:c r="W1158" s="20" t="n">
        <x:v>5</x:v>
      </x:c>
      <x:c r="X1158" s="20" t="n">
        <x:v>3</x:v>
      </x:c>
      <x:c r="Y1158" t="str">
        <x:v>Basis arsip 2025/2024</x:v>
      </x:c>
      <x:c r="Z1158" t="str">
        <x:v>https://snpmb.id/utbk-snbt/daya-tampung-snbt</x:v>
      </x:c>
      <x:c r="AA1158" t="str">
        <x:v>Tidak Ada</x:v>
      </x:c>
      <x:c r="AB1158" t="str">
        <x:v>Campus=100; Ratio=75.5; Prodi=60; RelDemand=59.7; Capacity=77.5</x:v>
      </x:c>
    </x:row>
    <x:row r="1159">
      <x:c r="A1159" t="n">
        <x:v>1156</x:v>
      </x:c>
      <x:c r="B1159" t="str">
        <x:v>PTN Akademik</x:v>
      </x:c>
      <x:c r="C1159" t="str">
        <x:v>INSTITUT TEKNOLOGI BANDUNG</x:v>
      </x:c>
      <x:c r="D1159" t="str">
        <x:v>SEKOLAH ARSITEKTUR, PERENCANAAN DAN PENGEMBANGAN KEBIJAKAN - KAMPUS CIREBON (SAPPK-C)</x:v>
      </x:c>
      <x:c r="E1159" t="str">
        <x:v>Sarjana</x:v>
      </x:c>
      <x:c r="F1159" s="18" t="n">
        <x:v>25</x:v>
      </x:c>
      <x:c r="G1159" s="18" t="n">
        <x:v>338</x:v>
      </x:c>
      <x:c r="H1159" s="19" t="n">
        <x:v>13.52</x:v>
      </x:c>
      <x:c r="I1159" s="18" t="n">
        <x:f>ROUND(MIN(Model_Config_v3!$B$6,MAX(Q1159,R1159,S1159*Model_Config_v3!$B$4+T1159*Model_Config_v3!$B$5)),0)</x:f>
        <x:v>692</x:v>
      </x:c>
      <x:c r="J1159" s="18" t="n">
        <x:f>MIN(Model_Config_v3!$B$6,I1159+Model_Config_v3!$B$7)</x:f>
        <x:v>712</x:v>
      </x:c>
      <x:c r="K1159" s="20" t="n">
        <x:v>75.8</x:v>
      </x:c>
      <x:c r="L1159" t="str">
        <x:v>ELITE</x:v>
      </x:c>
      <x:c r="M1159" t="str">
        <x:v>SEDANG+</x:v>
      </x:c>
      <x:c r="N1159" t="str">
        <x:v>ELITE-1</x:v>
      </x:c>
      <x:c r="O1159" t="str">
        <x:v>SAINTEK</x:v>
      </x:c>
      <x:c r="P1159" t="str">
        <x:v>TEKNIK/ARSITEKTUR/STATISTIKA/AKTUARIA</x:v>
      </x:c>
      <x:c r="Q1159" s="18" t="n">
        <x:v>675</x:v>
      </x:c>
      <x:c r="R1159" s="18" t="n">
        <x:v>690</x:v>
      </x:c>
      <x:c r="S1159" s="18" t="n">
        <x:v>644.4074360766178</x:v>
      </x:c>
      <x:c r="T1159" s="18" t="n">
        <x:v>712</x:v>
      </x:c>
      <x:c r="U1159" s="18" t="n">
        <x:v>675</x:v>
      </x:c>
      <x:c r="V1159" s="20" t="n">
        <x:v>12</x:v>
      </x:c>
      <x:c r="W1159" s="20" t="n">
        <x:v>5</x:v>
      </x:c>
      <x:c r="X1159" s="20" t="n">
        <x:v>3</x:v>
      </x:c>
      <x:c r="Y1159" t="str">
        <x:v>Basis arsip 2025/2024</x:v>
      </x:c>
      <x:c r="Z1159" t="str">
        <x:v>https://snpmb.id/utbk-snbt/daya-tampung-snbt</x:v>
      </x:c>
      <x:c r="AA1159" t="str">
        <x:v>Tidak Ada</x:v>
      </x:c>
      <x:c r="AB1159" t="str">
        <x:v>Campus=100; Ratio=66.6; Prodi=60; RelDemand=42.1; Capacity=79.2</x:v>
      </x:c>
    </x:row>
    <x:row r="1160">
      <x:c r="A1160" t="n">
        <x:v>1157</x:v>
      </x:c>
      <x:c r="B1160" t="str">
        <x:v>PTN Akademik</x:v>
      </x:c>
      <x:c r="C1160" t="str">
        <x:v>INSTITUT TEKNOLOGI BANDUNG</x:v>
      </x:c>
      <x:c r="D1160" t="str">
        <x:v>FAKULTAS TEKNIK PERTAMBANGAN DAN PERMINYAKAN - KAMPUS CIREBON (FTTM-C)</x:v>
      </x:c>
      <x:c r="E1160" t="str">
        <x:v>Sarjana</x:v>
      </x:c>
      <x:c r="F1160" s="18" t="n">
        <x:v>60</x:v>
      </x:c>
      <x:c r="G1160" s="18" t="n">
        <x:v>1406</x:v>
      </x:c>
      <x:c r="H1160" s="19" t="n">
        <x:v>23.433333333333334</x:v>
      </x:c>
      <x:c r="I1160" s="18" t="n">
        <x:f>ROUND(MIN(Model_Config_v3!$B$6,MAX(Q1160,R1160,S1160*Model_Config_v3!$B$4+T1160*Model_Config_v3!$B$5)),0)</x:f>
        <x:v>705</x:v>
      </x:c>
      <x:c r="J1160" s="18" t="n">
        <x:f>MIN(Model_Config_v3!$B$6,I1160+Model_Config_v3!$B$7)</x:f>
        <x:v>725</x:v>
      </x:c>
      <x:c r="K1160" s="20" t="n">
        <x:v>79.5</x:v>
      </x:c>
      <x:c r="L1160" t="str">
        <x:v>ELITE</x:v>
      </x:c>
      <x:c r="M1160" t="str">
        <x:v>SEDANG+</x:v>
      </x:c>
      <x:c r="N1160" t="str">
        <x:v>ELITE-1</x:v>
      </x:c>
      <x:c r="O1160" t="str">
        <x:v>SAINTEK</x:v>
      </x:c>
      <x:c r="P1160" t="str">
        <x:v>TEKNIK/ARSITEKTUR/STATISTIKA/AKTUARIA</x:v>
      </x:c>
      <x:c r="Q1160" s="18" t="n">
        <x:v>675</x:v>
      </x:c>
      <x:c r="R1160" s="18" t="n">
        <x:v>690</x:v>
      </x:c>
      <x:c r="S1160" s="18" t="n">
        <x:v>670.6817477330178</x:v>
      </x:c>
      <x:c r="T1160" s="18" t="n">
        <x:v>719</x:v>
      </x:c>
      <x:c r="U1160" s="18" t="n">
        <x:v>680.6817477330178</x:v>
      </x:c>
      <x:c r="V1160" s="20" t="n">
        <x:v>12</x:v>
      </x:c>
      <x:c r="W1160" s="20" t="n">
        <x:v>5</x:v>
      </x:c>
      <x:c r="X1160" s="20" t="n">
        <x:v>3</x:v>
      </x:c>
      <x:c r="Y1160" t="str">
        <x:v>Basis arsip 2025/2024</x:v>
      </x:c>
      <x:c r="Z1160" t="str">
        <x:v>https://snpmb.id/utbk-snbt/daya-tampung-snbt</x:v>
      </x:c>
      <x:c r="AA1160" t="str">
        <x:v>Tidak Ada</x:v>
      </x:c>
      <x:c r="AB1160" t="str">
        <x:v>Campus=100; Ratio=80.6; Prodi=60; RelDemand=73.0; Capacity=50.0</x:v>
      </x:c>
    </x:row>
    <x:row r="1161">
      <x:c r="A1161" t="n">
        <x:v>1158</x:v>
      </x:c>
      <x:c r="B1161" t="str">
        <x:v>PTN Akademik</x:v>
      </x:c>
      <x:c r="C1161" t="str">
        <x:v>INSTITUT TEKNOLOGI BANDUNG</x:v>
      </x:c>
      <x:c r="D1161" t="str">
        <x:v>FAKULTAS ILMU DAN TEKNOLOGI KEBUMIAN - KAMPUS CIREBON (FITB-C)</x:v>
      </x:c>
      <x:c r="E1161" t="str">
        <x:v>Sarjana</x:v>
      </x:c>
      <x:c r="F1161" s="18" t="n">
        <x:v>25</x:v>
      </x:c>
      <x:c r="G1161" s="18" t="n">
        <x:v>250</x:v>
      </x:c>
      <x:c r="H1161" s="19" t="n">
        <x:v>10</x:v>
      </x:c>
      <x:c r="I1161" s="18" t="n">
        <x:f>ROUND(MIN(Model_Config_v3!$B$6,MAX(Q1161,R1161,S1161*Model_Config_v3!$B$4+T1161*Model_Config_v3!$B$5)),0)</x:f>
        <x:v>677</x:v>
      </x:c>
      <x:c r="J1161" s="18" t="n">
        <x:f>MIN(Model_Config_v3!$B$6,I1161+Model_Config_v3!$B$7)</x:f>
        <x:v>697</x:v>
      </x:c>
      <x:c r="K1161" s="20" t="n">
        <x:v>68.7</x:v>
      </x:c>
      <x:c r="L1161" t="str">
        <x:v>SANGAT KETAT</x:v>
      </x:c>
      <x:c r="M1161" t="str">
        <x:v>SEDANG+</x:v>
      </x:c>
      <x:c r="N1161" t="str">
        <x:v>ELITE-1</x:v>
      </x:c>
      <x:c r="O1161" t="str">
        <x:v>SAINTEK</x:v>
      </x:c>
      <x:c r="P1161" t="str">
        <x:v>UMUM</x:v>
      </x:c>
      <x:c r="Q1161" s="18" t="n">
        <x:v>675</x:v>
      </x:c>
      <x:c r="R1161" s="18" t="n">
        <x:v>0</x:v>
      </x:c>
      <x:c r="S1161" s="18" t="n">
        <x:v>630</x:v>
      </x:c>
      <x:c r="T1161" s="18" t="n">
        <x:v>697</x:v>
      </x:c>
      <x:c r="U1161" s="18" t="n">
        <x:v>675</x:v>
      </x:c>
      <x:c r="V1161" s="20" t="n">
        <x:v>12</x:v>
      </x:c>
      <x:c r="W1161" s="20" t="n">
        <x:v>5</x:v>
      </x:c>
      <x:c r="X1161" s="20" t="n">
        <x:v>3</x:v>
      </x:c>
      <x:c r="Y1161" t="str">
        <x:v>Basis arsip 2025/2024</x:v>
      </x:c>
      <x:c r="Z1161" t="str">
        <x:v>https://snpmb.id/utbk-snbt/daya-tampung-snbt</x:v>
      </x:c>
      <x:c r="AA1161" t="str">
        <x:v>Tidak Ada</x:v>
      </x:c>
      <x:c r="AB1161" t="str">
        <x:v>Campus=100; Ratio=58.9; Prodi=40; RelDemand=31.1; Capacity=79.2</x:v>
      </x:c>
    </x:row>
    <x:row r="1162">
      <x:c r="A1162" t="n">
        <x:v>1159</x:v>
      </x:c>
      <x:c r="B1162" t="str">
        <x:v>PTN Akademik</x:v>
      </x:c>
      <x:c r="C1162" t="str">
        <x:v>INSTITUT TEKNOLOGI BANDUNG</x:v>
      </x:c>
      <x:c r="D1162" t="str">
        <x:v>FAKULTAS MATEMATIKA DAN ILMU PENGETAHUAN ALAM - MATEMATIKA (FMIPA-M)</x:v>
      </x:c>
      <x:c r="E1162" t="str">
        <x:v>Sarjana</x:v>
      </x:c>
      <x:c r="F1162" s="18" t="n">
        <x:v>66</x:v>
      </x:c>
      <x:c r="G1162" s="18" t="n">
        <x:v>546</x:v>
      </x:c>
      <x:c r="H1162" s="19" t="n">
        <x:v>8.272727272727273</x:v>
      </x:c>
      <x:c r="I1162" s="18" t="n">
        <x:f>ROUND(MIN(Model_Config_v3!$B$6,MAX(Q1162,R1162,S1162*Model_Config_v3!$B$4+T1162*Model_Config_v3!$B$5)),0)</x:f>
        <x:v>675</x:v>
      </x:c>
      <x:c r="J1162" s="18" t="n">
        <x:f>MIN(Model_Config_v3!$B$6,I1162+Model_Config_v3!$B$7)</x:f>
        <x:v>695</x:v>
      </x:c>
      <x:c r="K1162" s="20" t="n">
        <x:v>65.6</x:v>
      </x:c>
      <x:c r="L1162" t="str">
        <x:v>SANGAT KETAT</x:v>
      </x:c>
      <x:c r="M1162" t="str">
        <x:v>SEDANG+</x:v>
      </x:c>
      <x:c r="N1162" t="str">
        <x:v>ELITE-1</x:v>
      </x:c>
      <x:c r="O1162" t="str">
        <x:v>SAINTEK</x:v>
      </x:c>
      <x:c r="P1162" t="str">
        <x:v>SAINS DASAR</x:v>
      </x:c>
      <x:c r="Q1162" s="18" t="n">
        <x:v>675</x:v>
      </x:c>
      <x:c r="R1162" s="18" t="n">
        <x:v>675</x:v>
      </x:c>
      <x:c r="S1162" s="18" t="n">
        <x:v>620.9413577879155</x:v>
      </x:c>
      <x:c r="T1162" s="18" t="n">
        <x:v>691</x:v>
      </x:c>
      <x:c r="U1162" s="18" t="n">
        <x:v>675</x:v>
      </x:c>
      <x:c r="V1162" s="20" t="n">
        <x:v>12</x:v>
      </x:c>
      <x:c r="W1162" s="20" t="n">
        <x:v>5</x:v>
      </x:c>
      <x:c r="X1162" s="20" t="n">
        <x:v>3</x:v>
      </x:c>
      <x:c r="Y1162" t="str">
        <x:v>Basis arsip 2025/2024</x:v>
      </x:c>
      <x:c r="Z1162" t="str">
        <x:v>https://snpmb.id/utbk-snbt/daya-tampung-snbt</x:v>
      </x:c>
      <x:c r="AA1162" t="str">
        <x:v>Tidak Ada</x:v>
      </x:c>
      <x:c r="AB1162" t="str">
        <x:v>Campus=100; Ratio=54.0; Prodi=50; RelDemand=25.8; Capacity=45.0</x:v>
      </x:c>
    </x:row>
    <x:row r="1163">
      <x:c r="A1163" t="n">
        <x:v>1160</x:v>
      </x:c>
      <x:c r="B1163" t="str">
        <x:v>PTN Akademik</x:v>
      </x:c>
      <x:c r="C1163" t="str">
        <x:v>INSTITUT TEKNOLOGI BANDUNG</x:v>
      </x:c>
      <x:c r="D1163" t="str">
        <x:v>FAKULTAS MATEMATIKA DAN ILMU PENGETAHUAN ALAM - IPA (FMIPA-IPA)</x:v>
      </x:c>
      <x:c r="E1163" t="str">
        <x:v>Sarjana</x:v>
      </x:c>
      <x:c r="F1163" s="18" t="n">
        <x:v>136</x:v>
      </x:c>
      <x:c r="G1163" s="18" t="n">
        <x:v>542</x:v>
      </x:c>
      <x:c r="H1163" s="19" t="n">
        <x:v>3.985294117647059</x:v>
      </x:c>
      <x:c r="I1163" s="18" t="n">
        <x:f>ROUND(MIN(Model_Config_v3!$B$6,MAX(Q1163,R1163,S1163*Model_Config_v3!$B$4+T1163*Model_Config_v3!$B$5)),0)</x:f>
        <x:v>675</x:v>
      </x:c>
      <x:c r="J1163" s="18" t="n">
        <x:f>MIN(Model_Config_v3!$B$6,I1163+Model_Config_v3!$B$7)</x:f>
        <x:v>695</x:v>
      </x:c>
      <x:c r="K1163" s="20" t="n">
        <x:v>55.1</x:v>
      </x:c>
      <x:c r="L1163" t="str">
        <x:v>KETAT</x:v>
      </x:c>
      <x:c r="M1163" t="str">
        <x:v>SEDANG+</x:v>
      </x:c>
      <x:c r="N1163" t="str">
        <x:v>ELITE-1</x:v>
      </x:c>
      <x:c r="O1163" t="str">
        <x:v>SAINTEK</x:v>
      </x:c>
      <x:c r="P1163" t="str">
        <x:v>SAINS DASAR</x:v>
      </x:c>
      <x:c r="Q1163" s="18" t="n">
        <x:v>675</x:v>
      </x:c>
      <x:c r="R1163" s="18" t="n">
        <x:v>675</x:v>
      </x:c>
      <x:c r="S1163" s="18" t="n">
        <x:v>586.0506415984986</x:v>
      </x:c>
      <x:c r="T1163" s="18" t="n">
        <x:v>670</x:v>
      </x:c>
      <x:c r="U1163" s="18" t="n">
        <x:v>675</x:v>
      </x:c>
      <x:c r="V1163" s="20" t="n">
        <x:v>12</x:v>
      </x:c>
      <x:c r="W1163" s="20" t="n">
        <x:v>5</x:v>
      </x:c>
      <x:c r="X1163" s="20" t="n">
        <x:v>3</x:v>
      </x:c>
      <x:c r="Y1163" t="str">
        <x:v>Basis arsip 2025/2024</x:v>
      </x:c>
      <x:c r="Z1163" t="str">
        <x:v>https://snpmb.id/utbk-snbt/daya-tampung-snbt</x:v>
      </x:c>
      <x:c r="AA1163" t="str">
        <x:v>Tidak Ada</x:v>
      </x:c>
      <x:c r="AB1163" t="str">
        <x:v>Campus=100; Ratio=35.3; Prodi=50; RelDemand=12.4; Capacity=0.0</x:v>
      </x:c>
    </x:row>
    <x:row r="1164">
      <x:c r="A1164" t="n">
        <x:v>1161</x:v>
      </x:c>
      <x:c r="B1164" t="str">
        <x:v>PTN Akademik</x:v>
      </x:c>
      <x:c r="C1164" t="str">
        <x:v>INSTITUT TEKNOLOGI BANDUNG</x:v>
      </x:c>
      <x:c r="D1164" t="str">
        <x:v>SEKOLAH TEKNIK ELEKTRO DAN INFORMATIKA - KOMPUTASI (STEI-K)</x:v>
      </x:c>
      <x:c r="E1164" t="str">
        <x:v>Sarjana</x:v>
      </x:c>
      <x:c r="F1164" s="18" t="n">
        <x:v>90</x:v>
      </x:c>
      <x:c r="G1164" s="18" t="n">
        <x:v>3454</x:v>
      </x:c>
      <x:c r="H1164" s="19" t="n">
        <x:v>38.37777777777778</x:v>
      </x:c>
      <x:c r="I1164" s="18" t="n">
        <x:f>ROUND(MIN(Model_Config_v3!$B$6,MAX(Q1164,R1164,S1164*Model_Config_v3!$B$4+T1164*Model_Config_v3!$B$5)),0)</x:f>
        <x:v>723</x:v>
      </x:c>
      <x:c r="J1164" s="18" t="n">
        <x:f>MIN(Model_Config_v3!$B$6,I1164+Model_Config_v3!$B$7)</x:f>
        <x:v>743</x:v>
      </x:c>
      <x:c r="K1164" s="20" t="n">
        <x:v>87.8</x:v>
      </x:c>
      <x:c r="L1164" t="str">
        <x:v>ULTRA ELITE</x:v>
      </x:c>
      <x:c r="M1164" t="str">
        <x:v>SEDANG+</x:v>
      </x:c>
      <x:c r="N1164" t="str">
        <x:v>ELITE-1</x:v>
      </x:c>
      <x:c r="O1164" t="str">
        <x:v>SAINTEK</x:v>
      </x:c>
      <x:c r="P1164" t="str">
        <x:v>KOMPUTER/INFORMATIKA</x:v>
      </x:c>
      <x:c r="Q1164" s="18" t="n">
        <x:v>675</x:v>
      </x:c>
      <x:c r="R1164" s="18" t="n">
        <x:v>715</x:v>
      </x:c>
      <x:c r="S1164" s="18" t="n">
        <x:v>694.2487806171326</x:v>
      </x:c>
      <x:c r="T1164" s="18" t="n">
        <x:v>736</x:v>
      </x:c>
      <x:c r="U1164" s="18" t="n">
        <x:v>719.2487806171326</x:v>
      </x:c>
      <x:c r="V1164" s="20" t="n">
        <x:v>12</x:v>
      </x:c>
      <x:c r="W1164" s="20" t="n">
        <x:v>5</x:v>
      </x:c>
      <x:c r="X1164" s="20" t="n">
        <x:v>3</x:v>
      </x:c>
      <x:c r="Y1164" t="str">
        <x:v>Basis arsip 2025/2024</x:v>
      </x:c>
      <x:c r="Z1164" t="str">
        <x:v>https://snpmb.id/utbk-snbt/daya-tampung-snbt</x:v>
      </x:c>
      <x:c r="AA1164" t="str">
        <x:v>Tidak Ada</x:v>
      </x:c>
      <x:c r="AB1164" t="str">
        <x:v>Campus=100; Ratio=93.2; Prodi=85; RelDemand=100.0; Capacity=25.0</x:v>
      </x:c>
    </x:row>
    <x:row r="1165">
      <x:c r="A1165" t="n">
        <x:v>1162</x:v>
      </x:c>
      <x:c r="B1165" t="str">
        <x:v>PTN Akademik</x:v>
      </x:c>
      <x:c r="C1165" t="str">
        <x:v>INSTITUT TEKNOLOGI BANDUNG</x:v>
      </x:c>
      <x:c r="D1165" t="str">
        <x:v>SEKOLAH TEKNIK ELEKTRO DAN INFORMATIKA - REKAYASA (STEI-R)</x:v>
      </x:c>
      <x:c r="E1165" t="str">
        <x:v>Sarjana</x:v>
      </x:c>
      <x:c r="F1165" s="18" t="n">
        <x:v>94</x:v>
      </x:c>
      <x:c r="G1165" s="18" t="n">
        <x:v>1267</x:v>
      </x:c>
      <x:c r="H1165" s="19" t="n">
        <x:v>13.47872340425532</x:v>
      </x:c>
      <x:c r="I1165" s="18" t="n">
        <x:f>ROUND(MIN(Model_Config_v3!$B$6,MAX(Q1165,R1165,S1165*Model_Config_v3!$B$4+T1165*Model_Config_v3!$B$5)),0)</x:f>
        <x:v>715</x:v>
      </x:c>
      <x:c r="J1165" s="18" t="n">
        <x:f>MIN(Model_Config_v3!$B$6,I1165+Model_Config_v3!$B$7)</x:f>
        <x:v>735</x:v>
      </x:c>
      <x:c r="K1165" s="20" t="n">
        <x:v>75</x:v>
      </x:c>
      <x:c r="L1165" t="str">
        <x:v>ELITE</x:v>
      </x:c>
      <x:c r="M1165" t="str">
        <x:v>SEDANG+</x:v>
      </x:c>
      <x:c r="N1165" t="str">
        <x:v>ELITE-1</x:v>
      </x:c>
      <x:c r="O1165" t="str">
        <x:v>SAINTEK</x:v>
      </x:c>
      <x:c r="P1165" t="str">
        <x:v>KOMPUTER/INFORMATIKA</x:v>
      </x:c>
      <x:c r="Q1165" s="18" t="n">
        <x:v>675</x:v>
      </x:c>
      <x:c r="R1165" s="18" t="n">
        <x:v>715</x:v>
      </x:c>
      <x:c r="S1165" s="18" t="n">
        <x:v>644.2613637412117</x:v>
      </x:c>
      <x:c r="T1165" s="18" t="n">
        <x:v>710</x:v>
      </x:c>
      <x:c r="U1165" s="18" t="n">
        <x:v>715</x:v>
      </x:c>
      <x:c r="V1165" s="20" t="n">
        <x:v>12</x:v>
      </x:c>
      <x:c r="W1165" s="20" t="n">
        <x:v>5</x:v>
      </x:c>
      <x:c r="X1165" s="20" t="n">
        <x:v>3</x:v>
      </x:c>
      <x:c r="Y1165" t="str">
        <x:v>Basis arsip 2025/2024</x:v>
      </x:c>
      <x:c r="Z1165" t="str">
        <x:v>https://snpmb.id/utbk-snbt/daya-tampung-snbt</x:v>
      </x:c>
      <x:c r="AA1165" t="str">
        <x:v>Tidak Ada</x:v>
      </x:c>
      <x:c r="AB1165" t="str">
        <x:v>Campus=100; Ratio=66.5; Prodi=85; RelDemand=42.0; Capacity=21.7</x:v>
      </x:c>
    </x:row>
    <x:row r="1166">
      <x:c r="A1166" t="n">
        <x:v>1163</x:v>
      </x:c>
      <x:c r="B1166" t="str">
        <x:v>PTN Akademik</x:v>
      </x:c>
      <x:c r="C1166" t="str">
        <x:v>INSTITUT TEKNOLOGI BANDUNG</x:v>
      </x:c>
      <x:c r="D1166" t="str">
        <x:v>FAKULTAS SENIRUPA DAN DESAIN (FSRD)</x:v>
      </x:c>
      <x:c r="E1166" t="str">
        <x:v>Sarjana</x:v>
      </x:c>
      <x:c r="F1166" s="18" t="n">
        <x:v>113</x:v>
      </x:c>
      <x:c r="G1166" s="18" t="n">
        <x:v>1755</x:v>
      </x:c>
      <x:c r="H1166" s="19" t="n">
        <x:v>15.530973451327434</x:v>
      </x:c>
      <x:c r="I1166" s="18" t="n">
        <x:f>ROUND(MIN(Model_Config_v3!$B$6,MAX(Q1166,R1166,S1166*Model_Config_v3!$B$4+T1166*Model_Config_v3!$B$5)),0)</x:f>
        <x:v>681</x:v>
      </x:c>
      <x:c r="J1166" s="18" t="n">
        <x:f>MIN(Model_Config_v3!$B$6,I1166+Model_Config_v3!$B$7)</x:f>
        <x:v>701</x:v>
      </x:c>
      <x:c r="K1166" s="20" t="n">
        <x:v>66.9</x:v>
      </x:c>
      <x:c r="L1166" t="str">
        <x:v>SANGAT KETAT</x:v>
      </x:c>
      <x:c r="M1166" t="str">
        <x:v>PORTOFOLIO</x:v>
      </x:c>
      <x:c r="N1166" t="str">
        <x:v>ELITE-1</x:v>
      </x:c>
      <x:c r="O1166" t="str">
        <x:v>SENI/OLAHRAGA</x:v>
      </x:c>
      <x:c r="P1166" t="str">
        <x:v>SENI/OLAHRAGA</x:v>
      </x:c>
      <x:c r="Q1166" s="18" t="n">
        <x:v>675</x:v>
      </x:c>
      <x:c r="R1166" s="18" t="n">
        <x:v>0</x:v>
      </x:c>
      <x:c r="S1166" s="18" t="n">
        <x:v>651.0318545050266</x:v>
      </x:c>
      <x:c r="T1166" s="18" t="n">
        <x:v>694</x:v>
      </x:c>
      <x:c r="U1166" s="18" t="n">
        <x:v>675</x:v>
      </x:c>
      <x:c r="V1166" s="20" t="n">
        <x:v>4.4</x:v>
      </x:c>
      <x:c r="W1166" s="20" t="n">
        <x:v>9.9</x:v>
      </x:c>
      <x:c r="X1166" s="20" t="n">
        <x:v>7.7</x:v>
      </x:c>
      <x:c r="Y1166" t="str">
        <x:v>Basis arsip 2025/2024</x:v>
      </x:c>
      <x:c r="Z1166" t="str">
        <x:v>https://snpmb.id/utbk-snbt/daya-tampung-snbt</x:v>
      </x:c>
      <x:c r="AA1166" t="str">
        <x:v>Seni Rupa, Desain, dan Kriya</x:v>
      </x:c>
      <x:c r="AB1166" t="str">
        <x:v>Campus=100; Ratio=70.1; Prodi=45; RelDemand=48.4; Capacity=5.8</x:v>
      </x:c>
    </x:row>
    <x:row r="1167">
      <x:c r="A1167" t="n">
        <x:v>1164</x:v>
      </x:c>
      <x:c r="B1167" t="str">
        <x:v>PTN Akademik</x:v>
      </x:c>
      <x:c r="C1167" t="str">
        <x:v>INSTITUT TEKNOLOGI BANDUNG</x:v>
      </x:c>
      <x:c r="D1167" t="str">
        <x:v>SEKOLAH BISNIS DAN MANAJEMEN (SBM)</x:v>
      </x:c>
      <x:c r="E1167" t="str">
        <x:v>Sarjana</x:v>
      </x:c>
      <x:c r="F1167" s="18" t="n">
        <x:v>54</x:v>
      </x:c>
      <x:c r="G1167" s="18" t="n">
        <x:v>2473</x:v>
      </x:c>
      <x:c r="H1167" s="19" t="n">
        <x:v>45.7962962962963</x:v>
      </x:c>
      <x:c r="I1167" s="18" t="n">
        <x:f>ROUND(MIN(Model_Config_v3!$B$6,MAX(Q1167,R1167,S1167*Model_Config_v3!$B$4+T1167*Model_Config_v3!$B$5)),0)</x:f>
        <x:v>726</x:v>
      </x:c>
      <x:c r="J1167" s="18" t="n">
        <x:f>MIN(Model_Config_v3!$B$6,I1167+Model_Config_v3!$B$7)</x:f>
        <x:v>746</x:v>
      </x:c>
      <x:c r="K1167" s="20" t="n">
        <x:v>87.9</x:v>
      </x:c>
      <x:c r="L1167" t="str">
        <x:v>ULTRA ELITE</x:v>
      </x:c>
      <x:c r="M1167" t="str">
        <x:v>SEDANG+</x:v>
      </x:c>
      <x:c r="N1167" t="str">
        <x:v>ELITE-1</x:v>
      </x:c>
      <x:c r="O1167" t="str">
        <x:v>SOSHUM</x:v>
      </x:c>
      <x:c r="P1167" t="str">
        <x:v>BISNIS/EKONOMI/AKUNTANSI</x:v>
      </x:c>
      <x:c r="Q1167" s="18" t="n">
        <x:v>675</x:v>
      </x:c>
      <x:c r="R1167" s="18" t="n">
        <x:v>700</x:v>
      </x:c>
      <x:c r="S1167" s="18" t="n">
        <x:v>702.6913392192162</x:v>
      </x:c>
      <x:c r="T1167" s="18" t="n">
        <x:v>736</x:v>
      </x:c>
      <x:c r="U1167" s="18" t="n">
        <x:v>717.6913392192162</x:v>
      </x:c>
      <x:c r="V1167" s="20" t="n">
        <x:v>4.4</x:v>
      </x:c>
      <x:c r="W1167" s="20" t="n">
        <x:v>14.3</x:v>
      </x:c>
      <x:c r="X1167" s="20" t="n">
        <x:v>3.3</x:v>
      </x:c>
      <x:c r="Y1167" t="str">
        <x:v>Basis arsip 2025/2024</x:v>
      </x:c>
      <x:c r="Z1167" t="str">
        <x:v>https://snpmb.id/utbk-snbt/daya-tampung-snbt</x:v>
      </x:c>
      <x:c r="AA1167" t="str">
        <x:v>Tidak Ada</x:v>
      </x:c>
      <x:c r="AB1167" t="str">
        <x:v>Campus=100; Ratio=97.8; Prodi=65; RelDemand=100.0; Capacity=55.0</x:v>
      </x:c>
    </x:row>
    <x:row r="1168">
      <x:c r="A1168" t="n">
        <x:v>1165</x:v>
      </x:c>
      <x:c r="B1168" t="str">
        <x:v>PTN Akademik</x:v>
      </x:c>
      <x:c r="C1168" t="str">
        <x:v>INSTITUT TEKNOLOGI BANDUNG</x:v>
      </x:c>
      <x:c r="D1168" t="str">
        <x:v>FAKULTAS SENIRUPA DAN DESAIN - KAMPUS CIREBON (FSRD-C)</x:v>
      </x:c>
      <x:c r="E1168" t="str">
        <x:v>Sarjana</x:v>
      </x:c>
      <x:c r="F1168" s="18" t="n">
        <x:v>42</x:v>
      </x:c>
      <x:c r="G1168" s="18" t="n">
        <x:v>241</x:v>
      </x:c>
      <x:c r="H1168" s="19" t="n">
        <x:v>5.738095238095238</x:v>
      </x:c>
      <x:c r="I1168" s="18" t="n">
        <x:f>ROUND(MIN(Model_Config_v3!$B$6,MAX(Q1168,R1168,S1168*Model_Config_v3!$B$4+T1168*Model_Config_v3!$B$5)),0)</x:f>
        <x:v>675</x:v>
      </x:c>
      <x:c r="J1168" s="18" t="n">
        <x:f>MIN(Model_Config_v3!$B$6,I1168+Model_Config_v3!$B$7)</x:f>
        <x:v>695</x:v>
      </x:c>
      <x:c r="K1168" s="20" t="n">
        <x:v>63.5</x:v>
      </x:c>
      <x:c r="L1168" t="str">
        <x:v>KETAT</x:v>
      </x:c>
      <x:c r="M1168" t="str">
        <x:v>PORTOFOLIO</x:v>
      </x:c>
      <x:c r="N1168" t="str">
        <x:v>ELITE-1</x:v>
      </x:c>
      <x:c r="O1168" t="str">
        <x:v>SENI/OLAHRAGA</x:v>
      </x:c>
      <x:c r="P1168" t="str">
        <x:v>SENI/OLAHRAGA</x:v>
      </x:c>
      <x:c r="Q1168" s="18" t="n">
        <x:v>675</x:v>
      </x:c>
      <x:c r="R1168" s="18" t="n">
        <x:v>0</x:v>
      </x:c>
      <x:c r="S1168" s="18" t="n">
        <x:v>603.4644527394664</x:v>
      </x:c>
      <x:c r="T1168" s="18" t="n">
        <x:v>687</x:v>
      </x:c>
      <x:c r="U1168" s="18" t="n">
        <x:v>675</x:v>
      </x:c>
      <x:c r="V1168" s="20" t="n">
        <x:v>4.4</x:v>
      </x:c>
      <x:c r="W1168" s="20" t="n">
        <x:v>9.9</x:v>
      </x:c>
      <x:c r="X1168" s="20" t="n">
        <x:v>7.7</x:v>
      </x:c>
      <x:c r="Y1168" t="str">
        <x:v>Basis arsip 2025/2024</x:v>
      </x:c>
      <x:c r="Z1168" t="str">
        <x:v>https://snpmb.id/utbk-snbt/daya-tampung-snbt</x:v>
      </x:c>
      <x:c r="AA1168" t="str">
        <x:v>Seni Rupa, Desain, dan Kriya</x:v>
      </x:c>
      <x:c r="AB1168" t="str">
        <x:v>Campus=100; Ratio=44.7; Prodi=45; RelDemand=17.9; Capacity=65.0</x:v>
      </x:c>
    </x:row>
    <x:row r="1169">
      <x:c r="A1169" t="n">
        <x:v>1166</x:v>
      </x:c>
      <x:c r="B1169" t="str">
        <x:v>PTN Akademik</x:v>
      </x:c>
      <x:c r="C1169" t="str">
        <x:v>INSTITUT TEKNOLOGI BANDUNG</x:v>
      </x:c>
      <x:c r="D1169" t="str">
        <x:v>FAKULTAS TEKNIK SIPIL DAN LINGKUNGAN - INFRASTRUKTUR SIPIL DAN KELAUTAN (FTSL-SI)</x:v>
      </x:c>
      <x:c r="E1169" t="str">
        <x:v>Sarjana</x:v>
      </x:c>
      <x:c r="F1169" s="18" t="n">
        <x:v>106</x:v>
      </x:c>
      <x:c r="G1169" s="18" t="n">
        <x:v>1355</x:v>
      </x:c>
      <x:c r="H1169" s="19" t="n">
        <x:v>12.783018867924529</x:v>
      </x:c>
      <x:c r="I1169" s="18" t="n">
        <x:f>ROUND(MIN(Model_Config_v3!$B$6,MAX(Q1169,R1169,S1169*Model_Config_v3!$B$4+T1169*Model_Config_v3!$B$5)),0)</x:f>
        <x:v>690</x:v>
      </x:c>
      <x:c r="J1169" s="18" t="n">
        <x:f>MIN(Model_Config_v3!$B$6,I1169+Model_Config_v3!$B$7)</x:f>
        <x:v>710</x:v>
      </x:c>
      <x:c r="K1169" s="20" t="n">
        <x:v>68.4</x:v>
      </x:c>
      <x:c r="L1169" t="str">
        <x:v>SANGAT KETAT</x:v>
      </x:c>
      <x:c r="M1169" t="str">
        <x:v>SEDANG+</x:v>
      </x:c>
      <x:c r="N1169" t="str">
        <x:v>ELITE-1</x:v>
      </x:c>
      <x:c r="O1169" t="str">
        <x:v>SAINTEK</x:v>
      </x:c>
      <x:c r="P1169" t="str">
        <x:v>TEKNIK/ARSITEKTUR/STATISTIKA/AKTUARIA</x:v>
      </x:c>
      <x:c r="Q1169" s="18" t="n">
        <x:v>675</x:v>
      </x:c>
      <x:c r="R1169" s="18" t="n">
        <x:v>690</x:v>
      </x:c>
      <x:c r="S1169" s="18" t="n">
        <x:v>641.7296772940219</x:v>
      </x:c>
      <x:c r="T1169" s="18" t="n">
        <x:v>697</x:v>
      </x:c>
      <x:c r="U1169" s="18" t="n">
        <x:v>675</x:v>
      </x:c>
      <x:c r="V1169" s="20" t="n">
        <x:v>12</x:v>
      </x:c>
      <x:c r="W1169" s="20" t="n">
        <x:v>5</x:v>
      </x:c>
      <x:c r="X1169" s="20" t="n">
        <x:v>3</x:v>
      </x:c>
      <x:c r="Y1169" t="str">
        <x:v>Basis arsip 2025/2024</x:v>
      </x:c>
      <x:c r="Z1169" t="str">
        <x:v>https://snpmb.id/utbk-snbt/daya-tampung-snbt</x:v>
      </x:c>
      <x:c r="AA1169" t="str">
        <x:v>Tidak Ada</x:v>
      </x:c>
      <x:c r="AB1169" t="str">
        <x:v>Campus=100; Ratio=65.1; Prodi=60; RelDemand=39.8; Capacity=11.7</x:v>
      </x:c>
    </x:row>
    <x:row r="1170">
      <x:c r="A1170" t="n">
        <x:v>1167</x:v>
      </x:c>
      <x:c r="B1170" t="str">
        <x:v>PTN Akademik</x:v>
      </x:c>
      <x:c r="C1170" t="str">
        <x:v>INSTITUT TEKNOLOGI BANDUNG</x:v>
      </x:c>
      <x:c r="D1170" t="str">
        <x:v>FAKULTAS TEKNIK SIPIL DAN LINGKUNGAN - TEKNOLOGI LINGKUNGAN (FTSL-L)</x:v>
      </x:c>
      <x:c r="E1170" t="str">
        <x:v>Sarjana</x:v>
      </x:c>
      <x:c r="F1170" s="18" t="n">
        <x:v>68</x:v>
      </x:c>
      <x:c r="G1170" s="18" t="n">
        <x:v>1007</x:v>
      </x:c>
      <x:c r="H1170" s="19" t="n">
        <x:v>14.808823529411764</x:v>
      </x:c>
      <x:c r="I1170" s="18" t="n">
        <x:f>ROUND(MIN(Model_Config_v3!$B$6,MAX(Q1170,R1170,S1170*Model_Config_v3!$B$4+T1170*Model_Config_v3!$B$5)),0)</x:f>
        <x:v>690</x:v>
      </x:c>
      <x:c r="J1170" s="18" t="n">
        <x:f>MIN(Model_Config_v3!$B$6,I1170+Model_Config_v3!$B$7)</x:f>
        <x:v>710</x:v>
      </x:c>
      <x:c r="K1170" s="20" t="n">
        <x:v>73.2</x:v>
      </x:c>
      <x:c r="L1170" t="str">
        <x:v>SANGAT KETAT</x:v>
      </x:c>
      <x:c r="M1170" t="str">
        <x:v>SEDANG+</x:v>
      </x:c>
      <x:c r="N1170" t="str">
        <x:v>ELITE-1</x:v>
      </x:c>
      <x:c r="O1170" t="str">
        <x:v>SAINTEK</x:v>
      </x:c>
      <x:c r="P1170" t="str">
        <x:v>TEKNIK/ARSITEKTUR/STATISTIKA/AKTUARIA</x:v>
      </x:c>
      <x:c r="Q1170" s="18" t="n">
        <x:v>675</x:v>
      </x:c>
      <x:c r="R1170" s="18" t="n">
        <x:v>690</x:v>
      </x:c>
      <x:c r="S1170" s="18" t="n">
        <x:v>648.7572613632119</x:v>
      </x:c>
      <x:c r="T1170" s="18" t="n">
        <x:v>706</x:v>
      </x:c>
      <x:c r="U1170" s="18" t="n">
        <x:v>675</x:v>
      </x:c>
      <x:c r="V1170" s="20" t="n">
        <x:v>12</x:v>
      </x:c>
      <x:c r="W1170" s="20" t="n">
        <x:v>5</x:v>
      </x:c>
      <x:c r="X1170" s="20" t="n">
        <x:v>3</x:v>
      </x:c>
      <x:c r="Y1170" t="str">
        <x:v>Basis arsip 2025/2024</x:v>
      </x:c>
      <x:c r="Z1170" t="str">
        <x:v>https://snpmb.id/utbk-snbt/daya-tampung-snbt</x:v>
      </x:c>
      <x:c r="AA1170" t="str">
        <x:v>Tidak Ada</x:v>
      </x:c>
      <x:c r="AB1170" t="str">
        <x:v>Campus=100; Ratio=68.9; Prodi=60; RelDemand=46.1; Capacity=43.3</x:v>
      </x:c>
    </x:row>
    <x:row r="1171">
      <x:c r="A1171" t="n">
        <x:v>1168</x:v>
      </x:c>
      <x:c r="B1171" t="str">
        <x:v>PTN Akademik</x:v>
      </x:c>
      <x:c r="C1171" t="str">
        <x:v>INSTITUT TEKNOLOGI BANDUNG</x:v>
      </x:c>
      <x:c r="D1171" t="str">
        <x:v>FAKULTAS TEKNOLOGI INDUSTRI - SISTEM DAN PROSES (FTI-SP)</x:v>
      </x:c>
      <x:c r="E1171" t="str">
        <x:v>Sarjana</x:v>
      </x:c>
      <x:c r="F1171" s="18" t="n">
        <x:v>128</x:v>
      </x:c>
      <x:c r="G1171" s="18" t="n">
        <x:v>1161</x:v>
      </x:c>
      <x:c r="H1171" s="19" t="n">
        <x:v>9.0703125</x:v>
      </x:c>
      <x:c r="I1171" s="18" t="n">
        <x:f>ROUND(MIN(Model_Config_v3!$B$6,MAX(Q1171,R1171,S1171*Model_Config_v3!$B$4+T1171*Model_Config_v3!$B$5)),0)</x:f>
        <x:v>690</x:v>
      </x:c>
      <x:c r="J1171" s="18" t="n">
        <x:f>MIN(Model_Config_v3!$B$6,I1171+Model_Config_v3!$B$7)</x:f>
        <x:v>710</x:v>
      </x:c>
      <x:c r="K1171" s="20" t="n">
        <x:v>63.9</x:v>
      </x:c>
      <x:c r="L1171" t="str">
        <x:v>KETAT</x:v>
      </x:c>
      <x:c r="M1171" t="str">
        <x:v>SEDANG+</x:v>
      </x:c>
      <x:c r="N1171" t="str">
        <x:v>ELITE-1</x:v>
      </x:c>
      <x:c r="O1171" t="str">
        <x:v>SAINTEK</x:v>
      </x:c>
      <x:c r="P1171" t="str">
        <x:v>TEKNIK/ARSITEKTUR/STATISTIKA/AKTUARIA</x:v>
      </x:c>
      <x:c r="Q1171" s="18" t="n">
        <x:v>675</x:v>
      </x:c>
      <x:c r="R1171" s="18" t="n">
        <x:v>690</x:v>
      </x:c>
      <x:c r="S1171" s="18" t="n">
        <x:v>625.3384475099776</x:v>
      </x:c>
      <x:c r="T1171" s="18" t="n">
        <x:v>688</x:v>
      </x:c>
      <x:c r="U1171" s="18" t="n">
        <x:v>675</x:v>
      </x:c>
      <x:c r="V1171" s="20" t="n">
        <x:v>12</x:v>
      </x:c>
      <x:c r="W1171" s="20" t="n">
        <x:v>5</x:v>
      </x:c>
      <x:c r="X1171" s="20" t="n">
        <x:v>3</x:v>
      </x:c>
      <x:c r="Y1171" t="str">
        <x:v>Basis arsip 2025/2024</x:v>
      </x:c>
      <x:c r="Z1171" t="str">
        <x:v>https://snpmb.id/utbk-snbt/daya-tampung-snbt</x:v>
      </x:c>
      <x:c r="AA1171" t="str">
        <x:v>Tidak Ada</x:v>
      </x:c>
      <x:c r="AB1171" t="str">
        <x:v>Campus=100; Ratio=56.4; Prodi=60; RelDemand=28.2; Capacity=0.0</x:v>
      </x:c>
    </x:row>
    <x:row r="1172">
      <x:c r="A1172" t="n">
        <x:v>1169</x:v>
      </x:c>
      <x:c r="B1172" t="str">
        <x:v>PTN Akademik</x:v>
      </x:c>
      <x:c r="C1172" t="str">
        <x:v>INSTITUT TEKNOLOGI BANDUNG</x:v>
      </x:c>
      <x:c r="D1172" t="str">
        <x:v>FAKULTAS TEKNOLOGI INDUSTRI - REKAYASA INDUSTRI (FTI-RI)</x:v>
      </x:c>
      <x:c r="E1172" t="str">
        <x:v>Sarjana</x:v>
      </x:c>
      <x:c r="F1172" s="18" t="n">
        <x:v>61</x:v>
      </x:c>
      <x:c r="G1172" s="18" t="n">
        <x:v>1231</x:v>
      </x:c>
      <x:c r="H1172" s="19" t="n">
        <x:v>20.18032786885246</x:v>
      </x:c>
      <x:c r="I1172" s="18" t="n">
        <x:f>ROUND(MIN(Model_Config_v3!$B$6,MAX(Q1172,R1172,S1172*Model_Config_v3!$B$4+T1172*Model_Config_v3!$B$5)),0)</x:f>
        <x:v>700</x:v>
      </x:c>
      <x:c r="J1172" s="18" t="n">
        <x:f>MIN(Model_Config_v3!$B$6,I1172+Model_Config_v3!$B$7)</x:f>
        <x:v>720</x:v>
      </x:c>
      <x:c r="K1172" s="20" t="n">
        <x:v>77.4</x:v>
      </x:c>
      <x:c r="L1172" t="str">
        <x:v>ELITE</x:v>
      </x:c>
      <x:c r="M1172" t="str">
        <x:v>SEDANG+</x:v>
      </x:c>
      <x:c r="N1172" t="str">
        <x:v>ELITE-1</x:v>
      </x:c>
      <x:c r="O1172" t="str">
        <x:v>SAINTEK</x:v>
      </x:c>
      <x:c r="P1172" t="str">
        <x:v>TEKNIK/ARSITEKTUR/STATISTIKA/AKTUARIA</x:v>
      </x:c>
      <x:c r="Q1172" s="18" t="n">
        <x:v>675</x:v>
      </x:c>
      <x:c r="R1172" s="18" t="n">
        <x:v>690</x:v>
      </x:c>
      <x:c r="S1172" s="18" t="n">
        <x:v>663.5421039712604</x:v>
      </x:c>
      <x:c r="T1172" s="18" t="n">
        <x:v>715</x:v>
      </x:c>
      <x:c r="U1172" s="18" t="n">
        <x:v>675</x:v>
      </x:c>
      <x:c r="V1172" s="20" t="n">
        <x:v>12</x:v>
      </x:c>
      <x:c r="W1172" s="20" t="n">
        <x:v>5</x:v>
      </x:c>
      <x:c r="X1172" s="20" t="n">
        <x:v>3</x:v>
      </x:c>
      <x:c r="Y1172" t="str">
        <x:v>Basis arsip 2025/2024</x:v>
      </x:c>
      <x:c r="Z1172" t="str">
        <x:v>https://snpmb.id/utbk-snbt/daya-tampung-snbt</x:v>
      </x:c>
      <x:c r="AA1172" t="str">
        <x:v>Tidak Ada</x:v>
      </x:c>
      <x:c r="AB1172" t="str">
        <x:v>Campus=100; Ratio=76.8; Prodi=60; RelDemand=62.8; Capacity=49.2</x:v>
      </x:c>
    </x:row>
    <x:row r="1173">
      <x:c r="A1173" t="n">
        <x:v>1170</x:v>
      </x:c>
      <x:c r="B1173" t="str">
        <x:v>PTN Akademik</x:v>
      </x:c>
      <x:c r="C1173" t="str">
        <x:v>INSTITUT TEKNOLOGI BANDUNG</x:v>
      </x:c>
      <x:c r="D1173" t="str">
        <x:v>SEKOLAH ILMU DAN TEKNOLOGI HAYATI - KAMPUS CIREBON (SITH-C)</x:v>
      </x:c>
      <x:c r="E1173" t="str">
        <x:v>Sarjana</x:v>
      </x:c>
      <x:c r="F1173" s="18" t="n">
        <x:v>12</x:v>
      </x:c>
      <x:c r="G1173" s="18" t="n">
        <x:v>57</x:v>
      </x:c>
      <x:c r="H1173" s="19" t="n">
        <x:v>4.75</x:v>
      </x:c>
      <x:c r="I1173" s="18" t="n">
        <x:f>ROUND(MIN(Model_Config_v3!$B$6,MAX(Q1173,R1173,S1173*Model_Config_v3!$B$4+T1173*Model_Config_v3!$B$5)),0)</x:f>
        <x:v>675</x:v>
      </x:c>
      <x:c r="J1173" s="18" t="n">
        <x:f>MIN(Model_Config_v3!$B$6,I1173+Model_Config_v3!$B$7)</x:f>
        <x:v>695</x:v>
      </x:c>
      <x:c r="K1173" s="20" t="n">
        <x:v>65.4</x:v>
      </x:c>
      <x:c r="L1173" t="str">
        <x:v>SANGAT KETAT</x:v>
      </x:c>
      <x:c r="M1173" t="str">
        <x:v>SEDANG+</x:v>
      </x:c>
      <x:c r="N1173" t="str">
        <x:v>ELITE-1</x:v>
      </x:c>
      <x:c r="O1173" t="str">
        <x:v>SAINTEK</x:v>
      </x:c>
      <x:c r="P1173" t="str">
        <x:v>SAINS DASAR</x:v>
      </x:c>
      <x:c r="Q1173" s="18" t="n">
        <x:v>675</x:v>
      </x:c>
      <x:c r="R1173" s="18" t="n">
        <x:v>675</x:v>
      </x:c>
      <x:c r="S1173" s="18" t="n">
        <x:v>594.4362970587354</x:v>
      </x:c>
      <x:c r="T1173" s="18" t="n">
        <x:v>691</x:v>
      </x:c>
      <x:c r="U1173" s="18" t="n">
        <x:v>675</x:v>
      </x:c>
      <x:c r="V1173" s="20" t="n">
        <x:v>12</x:v>
      </x:c>
      <x:c r="W1173" s="20" t="n">
        <x:v>5</x:v>
      </x:c>
      <x:c r="X1173" s="20" t="n">
        <x:v>3</x:v>
      </x:c>
      <x:c r="Y1173" t="str">
        <x:v>Basis arsip 2025/2024</x:v>
      </x:c>
      <x:c r="Z1173" t="str">
        <x:v>https://snpmb.id/utbk-snbt/daya-tampung-snbt</x:v>
      </x:c>
      <x:c r="AA1173" t="str">
        <x:v>Tidak Ada</x:v>
      </x:c>
      <x:c r="AB1173" t="str">
        <x:v>Campus=100; Ratio=39.8; Prodi=50; RelDemand=14.8; Capacity=90.0</x:v>
      </x:c>
    </x:row>
    <x:row r="1174">
      <x:c r="A1174" t="n">
        <x:v>1171</x:v>
      </x:c>
      <x:c r="B1174" t="str">
        <x:v>PTN Akademik</x:v>
      </x:c>
      <x:c r="C1174" t="str">
        <x:v>INSTITUT TEKNOLOGI BANDUNG</x:v>
      </x:c>
      <x:c r="D1174" t="str">
        <x:v>SEKOLAH BISNIS DAN MANAJEMEN - KAMPUS CIREBON (SBM-C)</x:v>
      </x:c>
      <x:c r="E1174" t="str">
        <x:v>Sarjana</x:v>
      </x:c>
      <x:c r="F1174" s="18" t="n">
        <x:v>15</x:v>
      </x:c>
      <x:c r="G1174" s="18" t="n">
        <x:v>330</x:v>
      </x:c>
      <x:c r="H1174" s="19" t="n">
        <x:v>22</x:v>
      </x:c>
      <x:c r="I1174" s="18" t="n">
        <x:f>ROUND(MIN(Model_Config_v3!$B$6,MAX(Q1174,R1174,S1174*Model_Config_v3!$B$4+T1174*Model_Config_v3!$B$5)),0)</x:f>
        <x:v>709</x:v>
      </x:c>
      <x:c r="J1174" s="18" t="n">
        <x:f>MIN(Model_Config_v3!$B$6,I1174+Model_Config_v3!$B$7)</x:f>
        <x:v>729</x:v>
      </x:c>
      <x:c r="K1174" s="20" t="n">
        <x:v>83.4</x:v>
      </x:c>
      <x:c r="L1174" t="str">
        <x:v>ELITE</x:v>
      </x:c>
      <x:c r="M1174" t="str">
        <x:v>SEDANG+</x:v>
      </x:c>
      <x:c r="N1174" t="str">
        <x:v>ELITE-1</x:v>
      </x:c>
      <x:c r="O1174" t="str">
        <x:v>SOSHUM</x:v>
      </x:c>
      <x:c r="P1174" t="str">
        <x:v>BISNIS/EKONOMI/AKUNTANSI</x:v>
      </x:c>
      <x:c r="Q1174" s="18" t="n">
        <x:v>675</x:v>
      </x:c>
      <x:c r="R1174" s="18" t="n">
        <x:v>700</x:v>
      </x:c>
      <x:c r="S1174" s="18" t="n">
        <x:v>667.6664948904427</x:v>
      </x:c>
      <x:c r="T1174" s="18" t="n">
        <x:v>727</x:v>
      </x:c>
      <x:c r="U1174" s="18" t="n">
        <x:v>682.6664948904427</x:v>
      </x:c>
      <x:c r="V1174" s="20" t="n">
        <x:v>4.4</x:v>
      </x:c>
      <x:c r="W1174" s="20" t="n">
        <x:v>14.3</x:v>
      </x:c>
      <x:c r="X1174" s="20" t="n">
        <x:v>3.3</x:v>
      </x:c>
      <x:c r="Y1174" t="str">
        <x:v>Basis arsip 2025/2024</x:v>
      </x:c>
      <x:c r="Z1174" t="str">
        <x:v>https://snpmb.id/utbk-snbt/daya-tampung-snbt</x:v>
      </x:c>
      <x:c r="AA1174" t="str">
        <x:v>Tidak Ada</x:v>
      </x:c>
      <x:c r="AB1174" t="str">
        <x:v>Campus=100; Ratio=79.0; Prodi=65; RelDemand=68.5; Capacity=87.5</x:v>
      </x:c>
    </x:row>
    <x:row r="1175">
      <x:c r="A1175" t="n">
        <x:v>1172</x:v>
      </x:c>
      <x:c r="B1175" t="str">
        <x:v>PTN Akademik</x:v>
      </x:c>
      <x:c r="C1175" t="str">
        <x:v>UNIVERSITAS PADJADJARAN</x:v>
      </x:c>
      <x:c r="D1175" t="str">
        <x:v>PENDIDIKAN DOKTER</x:v>
      </x:c>
      <x:c r="E1175" t="str">
        <x:v>Sarjana</x:v>
      </x:c>
      <x:c r="F1175" s="18" t="n">
        <x:v>99</x:v>
      </x:c>
      <x:c r="G1175" s="18" t="n">
        <x:v>3055</x:v>
      </x:c>
      <x:c r="H1175" s="19" t="n">
        <x:v>30.858585858585858</x:v>
      </x:c>
      <x:c r="I1175" s="18" t="n">
        <x:f>ROUND(MIN(Model_Config_v3!$B$6,MAX(Q1175,R1175,S1175*Model_Config_v3!$B$4+T1175*Model_Config_v3!$B$5)),0)</x:f>
        <x:v>725</x:v>
      </x:c>
      <x:c r="J1175" s="18" t="n">
        <x:f>MIN(Model_Config_v3!$B$6,I1175+Model_Config_v3!$B$7)</x:f>
        <x:v>745</x:v>
      </x:c>
      <x:c r="K1175" s="20" t="n">
        <x:v>80.5</x:v>
      </x:c>
      <x:c r="L1175" t="str">
        <x:v>ELITE</x:v>
      </x:c>
      <x:c r="M1175" t="str">
        <x:v>SEDANG+</x:v>
      </x:c>
      <x:c r="N1175" t="str">
        <x:v>ELITE-2</x:v>
      </x:c>
      <x:c r="O1175" t="str">
        <x:v>SAINTEK</x:v>
      </x:c>
      <x:c r="P1175" t="str">
        <x:v>KEDOKTERAN</x:v>
      </x:c>
      <x:c r="Q1175" s="18" t="n">
        <x:v>655</x:v>
      </x:c>
      <x:c r="R1175" s="18" t="n">
        <x:v>725</x:v>
      </x:c>
      <x:c r="S1175" s="18" t="n">
        <x:v>683.8313621979125</x:v>
      </x:c>
      <x:c r="T1175" s="18" t="n">
        <x:v>721</x:v>
      </x:c>
      <x:c r="U1175" s="18" t="n">
        <x:v>725</x:v>
      </x:c>
      <x:c r="V1175" s="20" t="n">
        <x:v>12</x:v>
      </x:c>
      <x:c r="W1175" s="20" t="n">
        <x:v>5</x:v>
      </x:c>
      <x:c r="X1175" s="20" t="n">
        <x:v>3</x:v>
      </x:c>
      <x:c r="Y1175" t="str">
        <x:v>Basis arsip 2025/2024</x:v>
      </x:c>
      <x:c r="Z1175" t="str">
        <x:v>https://snpmb.id/utbk-snbt/daya-tampung-snbt</x:v>
      </x:c>
      <x:c r="AA1175" t="str">
        <x:v>Tidak Ada</x:v>
      </x:c>
      <x:c r="AB1175" t="str">
        <x:v>Campus=90; Ratio=87.7; Prodi=100; RelDemand=53.7; Capacity=17.5</x:v>
      </x:c>
    </x:row>
    <x:row r="1176">
      <x:c r="A1176" t="n">
        <x:v>1173</x:v>
      </x:c>
      <x:c r="B1176" t="str">
        <x:v>PTN Akademik</x:v>
      </x:c>
      <x:c r="C1176" t="str">
        <x:v>UNIVERSITAS PADJADJARAN</x:v>
      </x:c>
      <x:c r="D1176" t="str">
        <x:v>MATEMATIKA</x:v>
      </x:c>
      <x:c r="E1176" t="str">
        <x:v>Sarjana</x:v>
      </x:c>
      <x:c r="F1176" s="18" t="n">
        <x:v>33</x:v>
      </x:c>
      <x:c r="G1176" s="18" t="n">
        <x:v>375</x:v>
      </x:c>
      <x:c r="H1176" s="19" t="n">
        <x:v>11.363636363636363</x:v>
      </x:c>
      <x:c r="I1176" s="18" t="n">
        <x:f>ROUND(MIN(Model_Config_v3!$B$6,MAX(Q1176,R1176,S1176*Model_Config_v3!$B$4+T1176*Model_Config_v3!$B$5)),0)</x:f>
        <x:v>676</x:v>
      </x:c>
      <x:c r="J1176" s="18" t="n">
        <x:f>MIN(Model_Config_v3!$B$6,I1176+Model_Config_v3!$B$7)</x:f>
        <x:v>696</x:v>
      </x:c>
      <x:c r="K1176" s="20" t="n">
        <x:v>66.3</x:v>
      </x:c>
      <x:c r="L1176" t="str">
        <x:v>SANGAT KETAT</x:v>
      </x:c>
      <x:c r="M1176" t="str">
        <x:v>SEDANG+</x:v>
      </x:c>
      <x:c r="N1176" t="str">
        <x:v>ELITE-2</x:v>
      </x:c>
      <x:c r="O1176" t="str">
        <x:v>SAINTEK</x:v>
      </x:c>
      <x:c r="P1176" t="str">
        <x:v>SAINS DASAR</x:v>
      </x:c>
      <x:c r="Q1176" s="18" t="n">
        <x:v>655</x:v>
      </x:c>
      <x:c r="R1176" s="18" t="n">
        <x:v>0</x:v>
      </x:c>
      <x:c r="S1176" s="18" t="n">
        <x:v>636.1069060634815</x:v>
      </x:c>
      <x:c r="T1176" s="18" t="n">
        <x:v>693</x:v>
      </x:c>
      <x:c r="U1176" s="18" t="n">
        <x:v>655</x:v>
      </x:c>
      <x:c r="V1176" s="20" t="n">
        <x:v>12</x:v>
      </x:c>
      <x:c r="W1176" s="20" t="n">
        <x:v>5</x:v>
      </x:c>
      <x:c r="X1176" s="20" t="n">
        <x:v>3</x:v>
      </x:c>
      <x:c r="Y1176" t="str">
        <x:v>Basis arsip 2025/2024</x:v>
      </x:c>
      <x:c r="Z1176" t="str">
        <x:v>https://snpmb.id/utbk-snbt/daya-tampung-snbt</x:v>
      </x:c>
      <x:c r="AA1176" t="str">
        <x:v>Tidak Ada</x:v>
      </x:c>
      <x:c r="AB1176" t="str">
        <x:v>Campus=90; Ratio=62.1; Prodi=50; RelDemand=19.8; Capacity=72.5</x:v>
      </x:c>
    </x:row>
    <x:row r="1177">
      <x:c r="A1177" t="n">
        <x:v>1174</x:v>
      </x:c>
      <x:c r="B1177" t="str">
        <x:v>PTN Akademik</x:v>
      </x:c>
      <x:c r="C1177" t="str">
        <x:v>UNIVERSITAS PADJADJARAN</x:v>
      </x:c>
      <x:c r="D1177" t="str">
        <x:v>KIMIA</x:v>
      </x:c>
      <x:c r="E1177" t="str">
        <x:v>Sarjana</x:v>
      </x:c>
      <x:c r="F1177" s="18" t="n">
        <x:v>39</x:v>
      </x:c>
      <x:c r="G1177" s="18" t="n">
        <x:v>461</x:v>
      </x:c>
      <x:c r="H1177" s="19" t="n">
        <x:v>11.820512820512821</x:v>
      </x:c>
      <x:c r="I1177" s="18" t="n">
        <x:f>ROUND(MIN(Model_Config_v3!$B$6,MAX(Q1177,R1177,S1177*Model_Config_v3!$B$4+T1177*Model_Config_v3!$B$5)),0)</x:f>
        <x:v>676</x:v>
      </x:c>
      <x:c r="J1177" s="18" t="n">
        <x:f>MIN(Model_Config_v3!$B$6,I1177+Model_Config_v3!$B$7)</x:f>
        <x:v>696</x:v>
      </x:c>
      <x:c r="K1177" s="20" t="n">
        <x:v>66.1</x:v>
      </x:c>
      <x:c r="L1177" t="str">
        <x:v>SANGAT KETAT</x:v>
      </x:c>
      <x:c r="M1177" t="str">
        <x:v>SEDANG+</x:v>
      </x:c>
      <x:c r="N1177" t="str">
        <x:v>ELITE-2</x:v>
      </x:c>
      <x:c r="O1177" t="str">
        <x:v>SAINTEK</x:v>
      </x:c>
      <x:c r="P1177" t="str">
        <x:v>SAINS DASAR</x:v>
      </x:c>
      <x:c r="Q1177" s="18" t="n">
        <x:v>655</x:v>
      </x:c>
      <x:c r="R1177" s="18" t="n">
        <x:v>0</x:v>
      </x:c>
      <x:c r="S1177" s="18" t="n">
        <x:v>637.9899950199464</x:v>
      </x:c>
      <x:c r="T1177" s="18" t="n">
        <x:v>692</x:v>
      </x:c>
      <x:c r="U1177" s="18" t="n">
        <x:v>655</x:v>
      </x:c>
      <x:c r="V1177" s="20" t="n">
        <x:v>12</x:v>
      </x:c>
      <x:c r="W1177" s="20" t="n">
        <x:v>5</x:v>
      </x:c>
      <x:c r="X1177" s="20" t="n">
        <x:v>3</x:v>
      </x:c>
      <x:c r="Y1177" t="str">
        <x:v>Basis arsip 2025/2024</x:v>
      </x:c>
      <x:c r="Z1177" t="str">
        <x:v>https://snpmb.id/utbk-snbt/daya-tampung-snbt</x:v>
      </x:c>
      <x:c r="AA1177" t="str">
        <x:v>Tidak Ada</x:v>
      </x:c>
      <x:c r="AB1177" t="str">
        <x:v>Campus=90; Ratio=63.1; Prodi=50; RelDemand=20.6; Capacity=67.5</x:v>
      </x:c>
    </x:row>
    <x:row r="1178">
      <x:c r="A1178" t="n">
        <x:v>1175</x:v>
      </x:c>
      <x:c r="B1178" t="str">
        <x:v>PTN Akademik</x:v>
      </x:c>
      <x:c r="C1178" t="str">
        <x:v>UNIVERSITAS PADJADJARAN</x:v>
      </x:c>
      <x:c r="D1178" t="str">
        <x:v>FISIKA</x:v>
      </x:c>
      <x:c r="E1178" t="str">
        <x:v>Sarjana</x:v>
      </x:c>
      <x:c r="F1178" s="18" t="n">
        <x:v>33</x:v>
      </x:c>
      <x:c r="G1178" s="18" t="n">
        <x:v>185</x:v>
      </x:c>
      <x:c r="H1178" s="19" t="n">
        <x:v>5.606060606060606</x:v>
      </x:c>
      <x:c r="I1178" s="18" t="n">
        <x:f>ROUND(MIN(Model_Config_v3!$B$6,MAX(Q1178,R1178,S1178*Model_Config_v3!$B$4+T1178*Model_Config_v3!$B$5)),0)</x:f>
        <x:v>657</x:v>
      </x:c>
      <x:c r="J1178" s="18" t="n">
        <x:f>MIN(Model_Config_v3!$B$6,I1178+Model_Config_v3!$B$7)</x:f>
        <x:v>677</x:v>
      </x:c>
      <x:c r="K1178" s="20" t="n">
        <x:v>60.7</x:v>
      </x:c>
      <x:c r="L1178" t="str">
        <x:v>KETAT</x:v>
      </x:c>
      <x:c r="M1178" t="str">
        <x:v>SEDANG+</x:v>
      </x:c>
      <x:c r="N1178" t="str">
        <x:v>ELITE-2</x:v>
      </x:c>
      <x:c r="O1178" t="str">
        <x:v>SAINTEK</x:v>
      </x:c>
      <x:c r="P1178" t="str">
        <x:v>SAINS DASAR</x:v>
      </x:c>
      <x:c r="Q1178" s="18" t="n">
        <x:v>655</x:v>
      </x:c>
      <x:c r="R1178" s="18" t="n">
        <x:v>0</x:v>
      </x:c>
      <x:c r="S1178" s="18" t="n">
        <x:v>602.3523567377639</x:v>
      </x:c>
      <x:c r="T1178" s="18" t="n">
        <x:v>681</x:v>
      </x:c>
      <x:c r="U1178" s="18" t="n">
        <x:v>655</x:v>
      </x:c>
      <x:c r="V1178" s="20" t="n">
        <x:v>12</x:v>
      </x:c>
      <x:c r="W1178" s="20" t="n">
        <x:v>5</x:v>
      </x:c>
      <x:c r="X1178" s="20" t="n">
        <x:v>3</x:v>
      </x:c>
      <x:c r="Y1178" t="str">
        <x:v>Basis arsip 2025/2024</x:v>
      </x:c>
      <x:c r="Z1178" t="str">
        <x:v>https://snpmb.id/utbk-snbt/daya-tampung-snbt</x:v>
      </x:c>
      <x:c r="AA1178" t="str">
        <x:v>Tidak Ada</x:v>
      </x:c>
      <x:c r="AB1178" t="str">
        <x:v>Campus=90; Ratio=44.1; Prodi=50; RelDemand=9.8; Capacity=72.5</x:v>
      </x:c>
    </x:row>
    <x:row r="1179">
      <x:c r="A1179" t="n">
        <x:v>1176</x:v>
      </x:c>
      <x:c r="B1179" t="str">
        <x:v>PTN Akademik</x:v>
      </x:c>
      <x:c r="C1179" t="str">
        <x:v>UNIVERSITAS PADJADJARAN</x:v>
      </x:c>
      <x:c r="D1179" t="str">
        <x:v>BIOLOGI</x:v>
      </x:c>
      <x:c r="E1179" t="str">
        <x:v>Sarjana</x:v>
      </x:c>
      <x:c r="F1179" s="18" t="n">
        <x:v>39</x:v>
      </x:c>
      <x:c r="G1179" s="18" t="n">
        <x:v>361</x:v>
      </x:c>
      <x:c r="H1179" s="19" t="n">
        <x:v>9.256410256410257</x:v>
      </x:c>
      <x:c r="I1179" s="18" t="n">
        <x:f>ROUND(MIN(Model_Config_v3!$B$6,MAX(Q1179,R1179,S1179*Model_Config_v3!$B$4+T1179*Model_Config_v3!$B$5)),0)</x:f>
        <x:v>669</x:v>
      </x:c>
      <x:c r="J1179" s="18" t="n">
        <x:f>MIN(Model_Config_v3!$B$6,I1179+Model_Config_v3!$B$7)</x:f>
        <x:v>689</x:v>
      </x:c>
      <x:c r="K1179" s="20" t="n">
        <x:v>64.1</x:v>
      </x:c>
      <x:c r="L1179" t="str">
        <x:v>KETAT</x:v>
      </x:c>
      <x:c r="M1179" t="str">
        <x:v>SEDANG+</x:v>
      </x:c>
      <x:c r="N1179" t="str">
        <x:v>ELITE-2</x:v>
      </x:c>
      <x:c r="O1179" t="str">
        <x:v>SAINTEK</x:v>
      </x:c>
      <x:c r="P1179" t="str">
        <x:v>SAINS DASAR</x:v>
      </x:c>
      <x:c r="Q1179" s="18" t="n">
        <x:v>655</x:v>
      </x:c>
      <x:c r="R1179" s="18" t="n">
        <x:v>0</x:v>
      </x:c>
      <x:c r="S1179" s="18" t="n">
        <x:v>626.3086854367075</x:v>
      </x:c>
      <x:c r="T1179" s="18" t="n">
        <x:v>688</x:v>
      </x:c>
      <x:c r="U1179" s="18" t="n">
        <x:v>655</x:v>
      </x:c>
      <x:c r="V1179" s="20" t="n">
        <x:v>12</x:v>
      </x:c>
      <x:c r="W1179" s="20" t="n">
        <x:v>5</x:v>
      </x:c>
      <x:c r="X1179" s="20" t="n">
        <x:v>3</x:v>
      </x:c>
      <x:c r="Y1179" t="str">
        <x:v>Basis arsip 2025/2024</x:v>
      </x:c>
      <x:c r="Z1179" t="str">
        <x:v>https://snpmb.id/utbk-snbt/daya-tampung-snbt</x:v>
      </x:c>
      <x:c r="AA1179" t="str">
        <x:v>Tidak Ada</x:v>
      </x:c>
      <x:c r="AB1179" t="str">
        <x:v>Campus=90; Ratio=56.9; Prodi=50; RelDemand=16.1; Capacity=67.5</x:v>
      </x:c>
    </x:row>
    <x:row r="1180">
      <x:c r="A1180" t="n">
        <x:v>1177</x:v>
      </x:c>
      <x:c r="B1180" t="str">
        <x:v>PTN Akademik</x:v>
      </x:c>
      <x:c r="C1180" t="str">
        <x:v>UNIVERSITAS PADJADJARAN</x:v>
      </x:c>
      <x:c r="D1180" t="str">
        <x:v>STATISTIKA</x:v>
      </x:c>
      <x:c r="E1180" t="str">
        <x:v>Sarjana</x:v>
      </x:c>
      <x:c r="F1180" s="18" t="n">
        <x:v>52</x:v>
      </x:c>
      <x:c r="G1180" s="18" t="n">
        <x:v>716</x:v>
      </x:c>
      <x:c r="H1180" s="19" t="n">
        <x:v>13.76923076923077</x:v>
      </x:c>
      <x:c r="I1180" s="18" t="n">
        <x:f>ROUND(MIN(Model_Config_v3!$B$6,MAX(Q1180,R1180,S1180*Model_Config_v3!$B$4+T1180*Model_Config_v3!$B$5)),0)</x:f>
        <x:v>681</x:v>
      </x:c>
      <x:c r="J1180" s="18" t="n">
        <x:f>MIN(Model_Config_v3!$B$6,I1180+Model_Config_v3!$B$7)</x:f>
        <x:v>701</x:v>
      </x:c>
      <x:c r="K1180" s="20" t="n">
        <x:v>68.3</x:v>
      </x:c>
      <x:c r="L1180" t="str">
        <x:v>SANGAT KETAT</x:v>
      </x:c>
      <x:c r="M1180" t="str">
        <x:v>SEDANG+</x:v>
      </x:c>
      <x:c r="N1180" t="str">
        <x:v>ELITE-2</x:v>
      </x:c>
      <x:c r="O1180" t="str">
        <x:v>SAINTEK</x:v>
      </x:c>
      <x:c r="P1180" t="str">
        <x:v>TEKNIK/ARSITEKTUR/STATISTIKA/AKTUARIA</x:v>
      </x:c>
      <x:c r="Q1180" s="18" t="n">
        <x:v>655</x:v>
      </x:c>
      <x:c r="R1180" s="18" t="n">
        <x:v>670</x:v>
      </x:c>
      <x:c r="S1180" s="18" t="n">
        <x:v>645.2800646540362</x:v>
      </x:c>
      <x:c r="T1180" s="18" t="n">
        <x:v>697</x:v>
      </x:c>
      <x:c r="U1180" s="18" t="n">
        <x:v>655.2800646540362</x:v>
      </x:c>
      <x:c r="V1180" s="20" t="n">
        <x:v>12</x:v>
      </x:c>
      <x:c r="W1180" s="20" t="n">
        <x:v>5</x:v>
      </x:c>
      <x:c r="X1180" s="20" t="n">
        <x:v>3</x:v>
      </x:c>
      <x:c r="Y1180" t="str">
        <x:v>Basis arsip 2025/2024</x:v>
      </x:c>
      <x:c r="Z1180" t="str">
        <x:v>https://snpmb.id/utbk-snbt/daya-tampung-snbt</x:v>
      </x:c>
      <x:c r="AA1180" t="str">
        <x:v>Tidak Ada</x:v>
      </x:c>
      <x:c r="AB1180" t="str">
        <x:v>Campus=90; Ratio=67.0; Prodi=60; RelDemand=24.0; Capacity=56.7</x:v>
      </x:c>
    </x:row>
    <x:row r="1181">
      <x:c r="A1181" t="n">
        <x:v>1178</x:v>
      </x:c>
      <x:c r="B1181" t="str">
        <x:v>PTN Akademik</x:v>
      </x:c>
      <x:c r="C1181" t="str">
        <x:v>UNIVERSITAS PADJADJARAN</x:v>
      </x:c>
      <x:c r="D1181" t="str">
        <x:v>AGROTEKNOLOGI</x:v>
      </x:c>
      <x:c r="E1181" t="str">
        <x:v>Sarjana</x:v>
      </x:c>
      <x:c r="F1181" s="18" t="n">
        <x:v>132</x:v>
      </x:c>
      <x:c r="G1181" s="18" t="n">
        <x:v>1210</x:v>
      </x:c>
      <x:c r="H1181" s="19" t="n">
        <x:v>9.166666666666666</x:v>
      </x:c>
      <x:c r="I1181" s="18" t="n">
        <x:f>ROUND(MIN(Model_Config_v3!$B$6,MAX(Q1181,R1181,S1181*Model_Config_v3!$B$4+T1181*Model_Config_v3!$B$5)),0)</x:f>
        <x:v>657</x:v>
      </x:c>
      <x:c r="J1181" s="18" t="n">
        <x:f>MIN(Model_Config_v3!$B$6,I1181+Model_Config_v3!$B$7)</x:f>
        <x:v>677</x:v>
      </x:c>
      <x:c r="K1181" s="20" t="n">
        <x:v>55.3</x:v>
      </x:c>
      <x:c r="L1181" t="str">
        <x:v>KETAT</x:v>
      </x:c>
      <x:c r="M1181" t="str">
        <x:v>SEDANG+</x:v>
      </x:c>
      <x:c r="N1181" t="str">
        <x:v>ELITE-2</x:v>
      </x:c>
      <x:c r="O1181" t="str">
        <x:v>SAINTEK</x:v>
      </x:c>
      <x:c r="P1181" t="str">
        <x:v>UMUM</x:v>
      </x:c>
      <x:c r="Q1181" s="18" t="n">
        <x:v>655</x:v>
      </x:c>
      <x:c r="R1181" s="18" t="n">
        <x:v>0</x:v>
      </x:c>
      <x:c r="S1181" s="18" t="n">
        <x:v>625.843258302166</x:v>
      </x:c>
      <x:c r="T1181" s="18" t="n">
        <x:v>671</x:v>
      </x:c>
      <x:c r="U1181" s="18" t="n">
        <x:v>655</x:v>
      </x:c>
      <x:c r="V1181" s="20" t="n">
        <x:v>12</x:v>
      </x:c>
      <x:c r="W1181" s="20" t="n">
        <x:v>5</x:v>
      </x:c>
      <x:c r="X1181" s="20" t="n">
        <x:v>3</x:v>
      </x:c>
      <x:c r="Y1181" t="str">
        <x:v>Basis arsip 2025/2024</x:v>
      </x:c>
      <x:c r="Z1181" t="str">
        <x:v>https://snpmb.id/utbk-snbt/daya-tampung-snbt</x:v>
      </x:c>
      <x:c r="AA1181" t="str">
        <x:v>Tidak Ada</x:v>
      </x:c>
      <x:c r="AB1181" t="str">
        <x:v>Campus=90; Ratio=56.6; Prodi=40; RelDemand=16.0; Capacity=0.0</x:v>
      </x:c>
    </x:row>
    <x:row r="1182">
      <x:c r="A1182" t="n">
        <x:v>1179</x:v>
      </x:c>
      <x:c r="B1182" t="str">
        <x:v>PTN Akademik</x:v>
      </x:c>
      <x:c r="C1182" t="str">
        <x:v>UNIVERSITAS PADJADJARAN</x:v>
      </x:c>
      <x:c r="D1182" t="str">
        <x:v>AGRIBISNIS</x:v>
      </x:c>
      <x:c r="E1182" t="str">
        <x:v>Sarjana</x:v>
      </x:c>
      <x:c r="F1182" s="18" t="n">
        <x:v>64</x:v>
      </x:c>
      <x:c r="G1182" s="18" t="n">
        <x:v>744</x:v>
      </x:c>
      <x:c r="H1182" s="19" t="n">
        <x:v>11.625</x:v>
      </x:c>
      <x:c r="I1182" s="18" t="n">
        <x:f>ROUND(MIN(Model_Config_v3!$B$6,MAX(Q1182,R1182,S1182*Model_Config_v3!$B$4+T1182*Model_Config_v3!$B$5)),0)</x:f>
        <x:v>680</x:v>
      </x:c>
      <x:c r="J1182" s="18" t="n">
        <x:f>MIN(Model_Config_v3!$B$6,I1182+Model_Config_v3!$B$7)</x:f>
        <x:v>700</x:v>
      </x:c>
      <x:c r="K1182" s="20" t="n">
        <x:v>66.9</x:v>
      </x:c>
      <x:c r="L1182" t="str">
        <x:v>SANGAT KETAT</x:v>
      </x:c>
      <x:c r="M1182" t="str">
        <x:v>SEDANG+</x:v>
      </x:c>
      <x:c r="N1182" t="str">
        <x:v>ELITE-2</x:v>
      </x:c>
      <x:c r="O1182" t="str">
        <x:v>SOSHUM</x:v>
      </x:c>
      <x:c r="P1182" t="str">
        <x:v>BISNIS/EKONOMI/AKUNTANSI</x:v>
      </x:c>
      <x:c r="Q1182" s="18" t="n">
        <x:v>655</x:v>
      </x:c>
      <x:c r="R1182" s="18" t="n">
        <x:v>680</x:v>
      </x:c>
      <x:c r="S1182" s="18" t="n">
        <x:v>637.193225771819</x:v>
      </x:c>
      <x:c r="T1182" s="18" t="n">
        <x:v>694</x:v>
      </x:c>
      <x:c r="U1182" s="18" t="n">
        <x:v>655</x:v>
      </x:c>
      <x:c r="V1182" s="20" t="n">
        <x:v>4.4</x:v>
      </x:c>
      <x:c r="W1182" s="20" t="n">
        <x:v>14.3</x:v>
      </x:c>
      <x:c r="X1182" s="20" t="n">
        <x:v>3.3</x:v>
      </x:c>
      <x:c r="Y1182" t="str">
        <x:v>Basis arsip 2025/2024</x:v>
      </x:c>
      <x:c r="Z1182" t="str">
        <x:v>https://snpmb.id/utbk-snbt/daya-tampung-snbt</x:v>
      </x:c>
      <x:c r="AA1182" t="str">
        <x:v>Tidak Ada</x:v>
      </x:c>
      <x:c r="AB1182" t="str">
        <x:v>Campus=90; Ratio=62.7; Prodi=65; RelDemand=20.2; Capacity=46.7</x:v>
      </x:c>
    </x:row>
    <x:row r="1183">
      <x:c r="A1183" t="n">
        <x:v>1180</x:v>
      </x:c>
      <x:c r="B1183" t="str">
        <x:v>PTN Akademik</x:v>
      </x:c>
      <x:c r="C1183" t="str">
        <x:v>UNIVERSITAS PADJADJARAN</x:v>
      </x:c>
      <x:c r="D1183" t="str">
        <x:v>PENDIDIKAN DOKTER GIGI</x:v>
      </x:c>
      <x:c r="E1183" t="str">
        <x:v>Sarjana</x:v>
      </x:c>
      <x:c r="F1183" s="18" t="n">
        <x:v>45</x:v>
      </x:c>
      <x:c r="G1183" s="18" t="n">
        <x:v>1246</x:v>
      </x:c>
      <x:c r="H1183" s="19" t="n">
        <x:v>27.68888888888889</x:v>
      </x:c>
      <x:c r="I1183" s="18" t="n">
        <x:f>ROUND(MIN(Model_Config_v3!$B$6,MAX(Q1183,R1183,S1183*Model_Config_v3!$B$4+T1183*Model_Config_v3!$B$5)),0)</x:f>
        <x:v>710</x:v>
      </x:c>
      <x:c r="J1183" s="18" t="n">
        <x:f>MIN(Model_Config_v3!$B$6,I1183+Model_Config_v3!$B$7)</x:f>
        <x:v>730</x:v>
      </x:c>
      <x:c r="K1183" s="20" t="n">
        <x:v>81.8</x:v>
      </x:c>
      <x:c r="L1183" t="str">
        <x:v>ELITE</x:v>
      </x:c>
      <x:c r="M1183" t="str">
        <x:v>SEDANG+</x:v>
      </x:c>
      <x:c r="N1183" t="str">
        <x:v>ELITE-2</x:v>
      </x:c>
      <x:c r="O1183" t="str">
        <x:v>SAINTEK</x:v>
      </x:c>
      <x:c r="P1183" t="str">
        <x:v>KEDOKTERAN GIGI</x:v>
      </x:c>
      <x:c r="Q1183" s="18" t="n">
        <x:v>655</x:v>
      </x:c>
      <x:c r="R1183" s="18" t="n">
        <x:v>700</x:v>
      </x:c>
      <x:c r="S1183" s="18" t="n">
        <x:v>678.6536081402587</x:v>
      </x:c>
      <x:c r="T1183" s="18" t="n">
        <x:v>724</x:v>
      </x:c>
      <x:c r="U1183" s="18" t="n">
        <x:v>708.6536081402587</x:v>
      </x:c>
      <x:c r="V1183" s="20" t="n">
        <x:v>12</x:v>
      </x:c>
      <x:c r="W1183" s="20" t="n">
        <x:v>5</x:v>
      </x:c>
      <x:c r="X1183" s="20" t="n">
        <x:v>3</x:v>
      </x:c>
      <x:c r="Y1183" t="str">
        <x:v>Basis arsip 2025/2024</x:v>
      </x:c>
      <x:c r="Z1183" t="str">
        <x:v>https://snpmb.id/utbk-snbt/daya-tampung-snbt</x:v>
      </x:c>
      <x:c r="AA1183" t="str">
        <x:v>Tidak Ada</x:v>
      </x:c>
      <x:c r="AB1183" t="str">
        <x:v>Campus=90; Ratio=84.9; Prodi=90; RelDemand=48.2; Capacity=62.5</x:v>
      </x:c>
    </x:row>
    <x:row r="1184">
      <x:c r="A1184" t="n">
        <x:v>1181</x:v>
      </x:c>
      <x:c r="B1184" t="str">
        <x:v>PTN Akademik</x:v>
      </x:c>
      <x:c r="C1184" t="str">
        <x:v>UNIVERSITAS PADJADJARAN</x:v>
      </x:c>
      <x:c r="D1184" t="str">
        <x:v>ILMU PETERNAKAN</x:v>
      </x:c>
      <x:c r="E1184" t="str">
        <x:v>Sarjana</x:v>
      </x:c>
      <x:c r="F1184" s="18" t="n">
        <x:v>117</x:v>
      </x:c>
      <x:c r="G1184" s="18" t="n">
        <x:v>759</x:v>
      </x:c>
      <x:c r="H1184" s="19" t="n">
        <x:v>6.487179487179487</x:v>
      </x:c>
      <x:c r="I1184" s="18" t="n">
        <x:f>ROUND(MIN(Model_Config_v3!$B$6,MAX(Q1184,R1184,S1184*Model_Config_v3!$B$4+T1184*Model_Config_v3!$B$5)),0)</x:f>
        <x:v>655</x:v>
      </x:c>
      <x:c r="J1184" s="18" t="n">
        <x:f>MIN(Model_Config_v3!$B$6,I1184+Model_Config_v3!$B$7)</x:f>
        <x:v>675</x:v>
      </x:c>
      <x:c r="K1184" s="20" t="n">
        <x:v>52.8</x:v>
      </x:c>
      <x:c r="L1184" t="str">
        <x:v>MENENGAH</x:v>
      </x:c>
      <x:c r="M1184" t="str">
        <x:v>SEDANG+</x:v>
      </x:c>
      <x:c r="N1184" t="str">
        <x:v>ELITE-2</x:v>
      </x:c>
      <x:c r="O1184" t="str">
        <x:v>SAINTEK</x:v>
      </x:c>
      <x:c r="P1184" t="str">
        <x:v>UMUM</x:v>
      </x:c>
      <x:c r="Q1184" s="18" t="n">
        <x:v>655</x:v>
      </x:c>
      <x:c r="R1184" s="18" t="n">
        <x:v>0</x:v>
      </x:c>
      <x:c r="S1184" s="18" t="n">
        <x:v>609.3261505564251</x:v>
      </x:c>
      <x:c r="T1184" s="18" t="n">
        <x:v>666</x:v>
      </x:c>
      <x:c r="U1184" s="18" t="n">
        <x:v>655</x:v>
      </x:c>
      <x:c r="V1184" s="20" t="n">
        <x:v>12</x:v>
      </x:c>
      <x:c r="W1184" s="20" t="n">
        <x:v>5</x:v>
      </x:c>
      <x:c r="X1184" s="20" t="n">
        <x:v>3</x:v>
      </x:c>
      <x:c r="Y1184" t="str">
        <x:v>Basis arsip 2025/2024</x:v>
      </x:c>
      <x:c r="Z1184" t="str">
        <x:v>https://snpmb.id/utbk-snbt/daya-tampung-snbt</x:v>
      </x:c>
      <x:c r="AA1184" t="str">
        <x:v>Tidak Ada</x:v>
      </x:c>
      <x:c r="AB1184" t="str">
        <x:v>Campus=90; Ratio=47.8; Prodi=40; RelDemand=11.3; Capacity=2.5</x:v>
      </x:c>
    </x:row>
    <x:row r="1185">
      <x:c r="A1185" t="n">
        <x:v>1182</x:v>
      </x:c>
      <x:c r="B1185" t="str">
        <x:v>PTN Akademik</x:v>
      </x:c>
      <x:c r="C1185" t="str">
        <x:v>UNIVERSITAS PADJADJARAN</x:v>
      </x:c>
      <x:c r="D1185" t="str">
        <x:v>PERIKANAN</x:v>
      </x:c>
      <x:c r="E1185" t="str">
        <x:v>Sarjana</x:v>
      </x:c>
      <x:c r="F1185" s="18" t="n">
        <x:v>66</x:v>
      </x:c>
      <x:c r="G1185" s="18" t="n">
        <x:v>393</x:v>
      </x:c>
      <x:c r="H1185" s="19" t="n">
        <x:v>5.954545454545454</x:v>
      </x:c>
      <x:c r="I1185" s="18" t="n">
        <x:f>ROUND(MIN(Model_Config_v3!$B$6,MAX(Q1185,R1185,S1185*Model_Config_v3!$B$4+T1185*Model_Config_v3!$B$5)),0)</x:f>
        <x:v>655</x:v>
      </x:c>
      <x:c r="J1185" s="18" t="n">
        <x:f>MIN(Model_Config_v3!$B$6,I1185+Model_Config_v3!$B$7)</x:f>
        <x:v>675</x:v>
      </x:c>
      <x:c r="K1185" s="20" t="n">
        <x:v>56.4</x:v>
      </x:c>
      <x:c r="L1185" t="str">
        <x:v>KETAT</x:v>
      </x:c>
      <x:c r="M1185" t="str">
        <x:v>SEDANG+</x:v>
      </x:c>
      <x:c r="N1185" t="str">
        <x:v>ELITE-2</x:v>
      </x:c>
      <x:c r="O1185" t="str">
        <x:v>SAINTEK</x:v>
      </x:c>
      <x:c r="P1185" t="str">
        <x:v>UMUM</x:v>
      </x:c>
      <x:c r="Q1185" s="18" t="n">
        <x:v>655</x:v>
      </x:c>
      <x:c r="R1185" s="18" t="n">
        <x:v>0</x:v>
      </x:c>
      <x:c r="S1185" s="18" t="n">
        <x:v>605.2333476316913</x:v>
      </x:c>
      <x:c r="T1185" s="18" t="n">
        <x:v>673</x:v>
      </x:c>
      <x:c r="U1185" s="18" t="n">
        <x:v>655</x:v>
      </x:c>
      <x:c r="V1185" s="20" t="n">
        <x:v>12</x:v>
      </x:c>
      <x:c r="W1185" s="20" t="n">
        <x:v>5</x:v>
      </x:c>
      <x:c r="X1185" s="20" t="n">
        <x:v>3</x:v>
      </x:c>
      <x:c r="Y1185" t="str">
        <x:v>Basis arsip 2025/2024</x:v>
      </x:c>
      <x:c r="Z1185" t="str">
        <x:v>https://snpmb.id/utbk-snbt/daya-tampung-snbt</x:v>
      </x:c>
      <x:c r="AA1185" t="str">
        <x:v>Tidak Ada</x:v>
      </x:c>
      <x:c r="AB1185" t="str">
        <x:v>Campus=90; Ratio=45.6; Prodi=40; RelDemand=10.4; Capacity=45.0</x:v>
      </x:c>
    </x:row>
    <x:row r="1186">
      <x:c r="A1186" t="n">
        <x:v>1183</x:v>
      </x:c>
      <x:c r="B1186" t="str">
        <x:v>PTN Akademik</x:v>
      </x:c>
      <x:c r="C1186" t="str">
        <x:v>UNIVERSITAS PADJADJARAN</x:v>
      </x:c>
      <x:c r="D1186" t="str">
        <x:v>ILMU KEPERAWATAN</x:v>
      </x:c>
      <x:c r="E1186" t="str">
        <x:v>Sarjana</x:v>
      </x:c>
      <x:c r="F1186" s="18" t="n">
        <x:v>66</x:v>
      </x:c>
      <x:c r="G1186" s="18" t="n">
        <x:v>1876</x:v>
      </x:c>
      <x:c r="H1186" s="19" t="n">
        <x:v>28.424242424242426</x:v>
      </x:c>
      <x:c r="I1186" s="18" t="n">
        <x:f>ROUND(MIN(Model_Config_v3!$B$6,MAX(Q1186,R1186,S1186*Model_Config_v3!$B$4+T1186*Model_Config_v3!$B$5)),0)</x:f>
        <x:v>699</x:v>
      </x:c>
      <x:c r="J1186" s="18" t="n">
        <x:f>MIN(Model_Config_v3!$B$6,I1186+Model_Config_v3!$B$7)</x:f>
        <x:v>719</x:v>
      </x:c>
      <x:c r="K1186" s="20" t="n">
        <x:v>73.3</x:v>
      </x:c>
      <x:c r="L1186" t="str">
        <x:v>SANGAT KETAT</x:v>
      </x:c>
      <x:c r="M1186" t="str">
        <x:v>SEDANG+</x:v>
      </x:c>
      <x:c r="N1186" t="str">
        <x:v>ELITE-2</x:v>
      </x:c>
      <x:c r="O1186" t="str">
        <x:v>SAINTEK</x:v>
      </x:c>
      <x:c r="P1186" t="str">
        <x:v>KESEHAT/GIZI/KEPERAWATAN</x:v>
      </x:c>
      <x:c r="Q1186" s="18" t="n">
        <x:v>655</x:v>
      </x:c>
      <x:c r="R1186" s="18" t="n">
        <x:v>660</x:v>
      </x:c>
      <x:c r="S1186" s="18" t="n">
        <x:v>679.9057788351295</x:v>
      </x:c>
      <x:c r="T1186" s="18" t="n">
        <x:v>707</x:v>
      </x:c>
      <x:c r="U1186" s="18" t="n">
        <x:v>679.9057788351295</x:v>
      </x:c>
      <x:c r="V1186" s="20" t="n">
        <x:v>12</x:v>
      </x:c>
      <x:c r="W1186" s="20" t="n">
        <x:v>5</x:v>
      </x:c>
      <x:c r="X1186" s="20" t="n">
        <x:v>3</x:v>
      </x:c>
      <x:c r="Y1186" t="str">
        <x:v>Basis arsip 2025/2024</x:v>
      </x:c>
      <x:c r="Z1186" t="str">
        <x:v>https://snpmb.id/utbk-snbt/daya-tampung-snbt</x:v>
      </x:c>
      <x:c r="AA1186" t="str">
        <x:v>Tidak Ada</x:v>
      </x:c>
      <x:c r="AB1186" t="str">
        <x:v>Campus=90; Ratio=85.6; Prodi=55; RelDemand=49.5; Capacity=45.0</x:v>
      </x:c>
    </x:row>
    <x:row r="1187">
      <x:c r="A1187" t="n">
        <x:v>1184</x:v>
      </x:c>
      <x:c r="B1187" t="str">
        <x:v>PTN Akademik</x:v>
      </x:c>
      <x:c r="C1187" t="str">
        <x:v>UNIVERSITAS PADJADJARAN</x:v>
      </x:c>
      <x:c r="D1187" t="str">
        <x:v>ILMU KELAUTAN</x:v>
      </x:c>
      <x:c r="E1187" t="str">
        <x:v>Sarjana</x:v>
      </x:c>
      <x:c r="F1187" s="18" t="n">
        <x:v>42</x:v>
      </x:c>
      <x:c r="G1187" s="18" t="n">
        <x:v>523</x:v>
      </x:c>
      <x:c r="H1187" s="19" t="n">
        <x:v>12.452380952380953</x:v>
      </x:c>
      <x:c r="I1187" s="18" t="n">
        <x:f>ROUND(MIN(Model_Config_v3!$B$6,MAX(Q1187,R1187,S1187*Model_Config_v3!$B$4+T1187*Model_Config_v3!$B$5)),0)</x:f>
        <x:v>674</x:v>
      </x:c>
      <x:c r="J1187" s="18" t="n">
        <x:f>MIN(Model_Config_v3!$B$6,I1187+Model_Config_v3!$B$7)</x:f>
        <x:v>694</x:v>
      </x:c>
      <x:c r="K1187" s="20" t="n">
        <x:v>64.3</x:v>
      </x:c>
      <x:c r="L1187" t="str">
        <x:v>KETAT</x:v>
      </x:c>
      <x:c r="M1187" t="str">
        <x:v>SEDANG+</x:v>
      </x:c>
      <x:c r="N1187" t="str">
        <x:v>ELITE-2</x:v>
      </x:c>
      <x:c r="O1187" t="str">
        <x:v>SAINTEK</x:v>
      </x:c>
      <x:c r="P1187" t="str">
        <x:v>UMUM</x:v>
      </x:c>
      <x:c r="Q1187" s="18" t="n">
        <x:v>655</x:v>
      </x:c>
      <x:c r="R1187" s="18" t="n">
        <x:v>0</x:v>
      </x:c>
      <x:c r="S1187" s="18" t="n">
        <x:v>640.4777638316311</x:v>
      </x:c>
      <x:c r="T1187" s="18" t="n">
        <x:v>689</x:v>
      </x:c>
      <x:c r="U1187" s="18" t="n">
        <x:v>655</x:v>
      </x:c>
      <x:c r="V1187" s="20" t="n">
        <x:v>12</x:v>
      </x:c>
      <x:c r="W1187" s="20" t="n">
        <x:v>5</x:v>
      </x:c>
      <x:c r="X1187" s="20" t="n">
        <x:v>3</x:v>
      </x:c>
      <x:c r="Y1187" t="str">
        <x:v>Basis arsip 2025/2024</x:v>
      </x:c>
      <x:c r="Z1187" t="str">
        <x:v>https://snpmb.id/utbk-snbt/daya-tampung-snbt</x:v>
      </x:c>
      <x:c r="AA1187" t="str">
        <x:v>Tidak Ada</x:v>
      </x:c>
      <x:c r="AB1187" t="str">
        <x:v>Campus=90; Ratio=64.5; Prodi=40; RelDemand=21.7; Capacity=65.0</x:v>
      </x:c>
    </x:row>
    <x:row r="1188">
      <x:c r="A1188" t="n">
        <x:v>1185</x:v>
      </x:c>
      <x:c r="B1188" t="str">
        <x:v>PTN Akademik</x:v>
      </x:c>
      <x:c r="C1188" t="str">
        <x:v>UNIVERSITAS PADJADJARAN</x:v>
      </x:c>
      <x:c r="D1188" t="str">
        <x:v>TEKNOLOGI PANGAN</x:v>
      </x:c>
      <x:c r="E1188" t="str">
        <x:v>Sarjana</x:v>
      </x:c>
      <x:c r="F1188" s="18" t="n">
        <x:v>64</x:v>
      </x:c>
      <x:c r="G1188" s="18" t="n">
        <x:v>1402</x:v>
      </x:c>
      <x:c r="H1188" s="19" t="n">
        <x:v>21.90625</x:v>
      </x:c>
      <x:c r="I1188" s="18" t="n">
        <x:f>ROUND(MIN(Model_Config_v3!$B$6,MAX(Q1188,R1188,S1188*Model_Config_v3!$B$4+T1188*Model_Config_v3!$B$5)),0)</x:f>
        <x:v>687</x:v>
      </x:c>
      <x:c r="J1188" s="18" t="n">
        <x:f>MIN(Model_Config_v3!$B$6,I1188+Model_Config_v3!$B$7)</x:f>
        <x:v>707</x:v>
      </x:c>
      <x:c r="K1188" s="20" t="n">
        <x:v>67.7</x:v>
      </x:c>
      <x:c r="L1188" t="str">
        <x:v>SANGAT KETAT</x:v>
      </x:c>
      <x:c r="M1188" t="str">
        <x:v>SEDANG+</x:v>
      </x:c>
      <x:c r="N1188" t="str">
        <x:v>ELITE-2</x:v>
      </x:c>
      <x:c r="O1188" t="str">
        <x:v>SAINTEK</x:v>
      </x:c>
      <x:c r="P1188" t="str">
        <x:v>UMUM</x:v>
      </x:c>
      <x:c r="Q1188" s="18" t="n">
        <x:v>655</x:v>
      </x:c>
      <x:c r="R1188" s="18" t="n">
        <x:v>0</x:v>
      </x:c>
      <x:c r="S1188" s="18" t="n">
        <x:v>667.4624843611427</x:v>
      </x:c>
      <x:c r="T1188" s="18" t="n">
        <x:v>695</x:v>
      </x:c>
      <x:c r="U1188" s="18" t="n">
        <x:v>667.4624843611427</x:v>
      </x:c>
      <x:c r="V1188" s="20" t="n">
        <x:v>12</x:v>
      </x:c>
      <x:c r="W1188" s="20" t="n">
        <x:v>5</x:v>
      </x:c>
      <x:c r="X1188" s="20" t="n">
        <x:v>3</x:v>
      </x:c>
      <x:c r="Y1188" t="str">
        <x:v>Basis arsip 2025/2024</x:v>
      </x:c>
      <x:c r="Z1188" t="str">
        <x:v>https://snpmb.id/utbk-snbt/daya-tampung-snbt</x:v>
      </x:c>
      <x:c r="AA1188" t="str">
        <x:v>Tidak Ada</x:v>
      </x:c>
      <x:c r="AB1188" t="str">
        <x:v>Campus=90; Ratio=78.9; Prodi=40; RelDemand=38.1; Capacity=46.7</x:v>
      </x:c>
    </x:row>
    <x:row r="1189">
      <x:c r="A1189" t="n">
        <x:v>1186</x:v>
      </x:c>
      <x:c r="B1189" t="str">
        <x:v>PTN Akademik</x:v>
      </x:c>
      <x:c r="C1189" t="str">
        <x:v>UNIVERSITAS PADJADJARAN</x:v>
      </x:c>
      <x:c r="D1189" t="str">
        <x:v>TEKNIK PERTANIAN</x:v>
      </x:c>
      <x:c r="E1189" t="str">
        <x:v>Sarjana</x:v>
      </x:c>
      <x:c r="F1189" s="18" t="n">
        <x:v>45</x:v>
      </x:c>
      <x:c r="G1189" s="18" t="n">
        <x:v>550</x:v>
      </x:c>
      <x:c r="H1189" s="19" t="n">
        <x:v>12.222222222222221</x:v>
      </x:c>
      <x:c r="I1189" s="18" t="n">
        <x:f>ROUND(MIN(Model_Config_v3!$B$6,MAX(Q1189,R1189,S1189*Model_Config_v3!$B$4+T1189*Model_Config_v3!$B$5)),0)</x:f>
        <x:v>679</x:v>
      </x:c>
      <x:c r="J1189" s="18" t="n">
        <x:f>MIN(Model_Config_v3!$B$6,I1189+Model_Config_v3!$B$7)</x:f>
        <x:v>699</x:v>
      </x:c>
      <x:c r="K1189" s="20" t="n">
        <x:v>67.9</x:v>
      </x:c>
      <x:c r="L1189" t="str">
        <x:v>SANGAT KETAT</x:v>
      </x:c>
      <x:c r="M1189" t="str">
        <x:v>SEDANG+</x:v>
      </x:c>
      <x:c r="N1189" t="str">
        <x:v>ELITE-2</x:v>
      </x:c>
      <x:c r="O1189" t="str">
        <x:v>SAINTEK</x:v>
      </x:c>
      <x:c r="P1189" t="str">
        <x:v>TEKNIK/ARSITEKTUR/STATISTIKA/AKTUARIA</x:v>
      </x:c>
      <x:c r="Q1189" s="18" t="n">
        <x:v>655</x:v>
      </x:c>
      <x:c r="R1189" s="18" t="n">
        <x:v>670</x:v>
      </x:c>
      <x:c r="S1189" s="18" t="n">
        <x:v>639.586519329079</x:v>
      </x:c>
      <x:c r="T1189" s="18" t="n">
        <x:v>696</x:v>
      </x:c>
      <x:c r="U1189" s="18" t="n">
        <x:v>655</x:v>
      </x:c>
      <x:c r="V1189" s="20" t="n">
        <x:v>12</x:v>
      </x:c>
      <x:c r="W1189" s="20" t="n">
        <x:v>5</x:v>
      </x:c>
      <x:c r="X1189" s="20" t="n">
        <x:v>3</x:v>
      </x:c>
      <x:c r="Y1189" t="str">
        <x:v>Basis arsip 2025/2024</x:v>
      </x:c>
      <x:c r="Z1189" t="str">
        <x:v>https://snpmb.id/utbk-snbt/daya-tampung-snbt</x:v>
      </x:c>
      <x:c r="AA1189" t="str">
        <x:v>Tidak Ada</x:v>
      </x:c>
      <x:c r="AB1189" t="str">
        <x:v>Campus=90; Ratio=64.0; Prodi=60; RelDemand=21.3; Capacity=62.5</x:v>
      </x:c>
    </x:row>
    <x:row r="1190">
      <x:c r="A1190" t="n">
        <x:v>1187</x:v>
      </x:c>
      <x:c r="B1190" t="str">
        <x:v>PTN Akademik</x:v>
      </x:c>
      <x:c r="C1190" t="str">
        <x:v>UNIVERSITAS PADJADJARAN</x:v>
      </x:c>
      <x:c r="D1190" t="str">
        <x:v>FARMASI</x:v>
      </x:c>
      <x:c r="E1190" t="str">
        <x:v>Sarjana</x:v>
      </x:c>
      <x:c r="F1190" s="18" t="n">
        <x:v>96</x:v>
      </x:c>
      <x:c r="G1190" s="18" t="n">
        <x:v>2333</x:v>
      </x:c>
      <x:c r="H1190" s="19" t="n">
        <x:v>24.302083333333332</x:v>
      </x:c>
      <x:c r="I1190" s="18" t="n">
        <x:f>ROUND(MIN(Model_Config_v3!$B$6,MAX(Q1190,R1190,S1190*Model_Config_v3!$B$4+T1190*Model_Config_v3!$B$5)),0)</x:f>
        <x:v>696</x:v>
      </x:c>
      <x:c r="J1190" s="18" t="n">
        <x:f>MIN(Model_Config_v3!$B$6,I1190+Model_Config_v3!$B$7)</x:f>
        <x:v>716</x:v>
      </x:c>
      <x:c r="K1190" s="20" t="n">
        <x:v>73.1</x:v>
      </x:c>
      <x:c r="L1190" t="str">
        <x:v>SANGAT KETAT</x:v>
      </x:c>
      <x:c r="M1190" t="str">
        <x:v>SEDANG+</x:v>
      </x:c>
      <x:c r="N1190" t="str">
        <x:v>ELITE-2</x:v>
      </x:c>
      <x:c r="O1190" t="str">
        <x:v>SAINTEK</x:v>
      </x:c>
      <x:c r="P1190" t="str">
        <x:v>FARMASI</x:v>
      </x:c>
      <x:c r="Q1190" s="18" t="n">
        <x:v>655</x:v>
      </x:c>
      <x:c r="R1190" s="18" t="n">
        <x:v>680</x:v>
      </x:c>
      <x:c r="S1190" s="18" t="n">
        <x:v>672.4207856329602</x:v>
      </x:c>
      <x:c r="T1190" s="18" t="n">
        <x:v>706</x:v>
      </x:c>
      <x:c r="U1190" s="18" t="n">
        <x:v>692.4207856329602</x:v>
      </x:c>
      <x:c r="V1190" s="20" t="n">
        <x:v>12</x:v>
      </x:c>
      <x:c r="W1190" s="20" t="n">
        <x:v>5</x:v>
      </x:c>
      <x:c r="X1190" s="20" t="n">
        <x:v>3</x:v>
      </x:c>
      <x:c r="Y1190" t="str">
        <x:v>Basis arsip 2025/2024</x:v>
      </x:c>
      <x:c r="Z1190" t="str">
        <x:v>https://snpmb.id/utbk-snbt/daya-tampung-snbt</x:v>
      </x:c>
      <x:c r="AA1190" t="str">
        <x:v>Tidak Ada</x:v>
      </x:c>
      <x:c r="AB1190" t="str">
        <x:v>Campus=90; Ratio=81.6; Prodi=75; RelDemand=42.3; Capacity=20.0</x:v>
      </x:c>
    </x:row>
    <x:row r="1191">
      <x:c r="A1191" t="n">
        <x:v>1188</x:v>
      </x:c>
      <x:c r="B1191" t="str">
        <x:v>PTN Akademik</x:v>
      </x:c>
      <x:c r="C1191" t="str">
        <x:v>UNIVERSITAS PADJADJARAN</x:v>
      </x:c>
      <x:c r="D1191" t="str">
        <x:v>TEKNIK GEOLOGI</x:v>
      </x:c>
      <x:c r="E1191" t="str">
        <x:v>Sarjana</x:v>
      </x:c>
      <x:c r="F1191" s="18" t="n">
        <x:v>86</x:v>
      </x:c>
      <x:c r="G1191" s="18" t="n">
        <x:v>1391</x:v>
      </x:c>
      <x:c r="H1191" s="19" t="n">
        <x:v>16.174418604651162</x:v>
      </x:c>
      <x:c r="I1191" s="18" t="n">
        <x:f>ROUND(MIN(Model_Config_v3!$B$6,MAX(Q1191,R1191,S1191*Model_Config_v3!$B$4+T1191*Model_Config_v3!$B$5)),0)</x:f>
        <x:v>682</x:v>
      </x:c>
      <x:c r="J1191" s="18" t="n">
        <x:f>MIN(Model_Config_v3!$B$6,I1191+Model_Config_v3!$B$7)</x:f>
        <x:v>702</x:v>
      </x:c>
      <x:c r="K1191" s="20" t="n">
        <x:v>66.9</x:v>
      </x:c>
      <x:c r="L1191" t="str">
        <x:v>SANGAT KETAT</x:v>
      </x:c>
      <x:c r="M1191" t="str">
        <x:v>SEDANG+</x:v>
      </x:c>
      <x:c r="N1191" t="str">
        <x:v>ELITE-2</x:v>
      </x:c>
      <x:c r="O1191" t="str">
        <x:v>SAINTEK</x:v>
      </x:c>
      <x:c r="P1191" t="str">
        <x:v>TEKNIK/ARSITEKTUR/STATISTIKA/AKTUARIA</x:v>
      </x:c>
      <x:c r="Q1191" s="18" t="n">
        <x:v>655</x:v>
      </x:c>
      <x:c r="R1191" s="18" t="n">
        <x:v>670</x:v>
      </x:c>
      <x:c r="S1191" s="18" t="n">
        <x:v>652.9711546623327</x:v>
      </x:c>
      <x:c r="T1191" s="18" t="n">
        <x:v>694</x:v>
      </x:c>
      <x:c r="U1191" s="18" t="n">
        <x:v>662.9711546623327</x:v>
      </x:c>
      <x:c r="V1191" s="20" t="n">
        <x:v>12</x:v>
      </x:c>
      <x:c r="W1191" s="20" t="n">
        <x:v>5</x:v>
      </x:c>
      <x:c r="X1191" s="20" t="n">
        <x:v>3</x:v>
      </x:c>
      <x:c r="Y1191" t="str">
        <x:v>Basis arsip 2025/2024</x:v>
      </x:c>
      <x:c r="Z1191" t="str">
        <x:v>https://snpmb.id/utbk-snbt/daya-tampung-snbt</x:v>
      </x:c>
      <x:c r="AA1191" t="str">
        <x:v>Tidak Ada</x:v>
      </x:c>
      <x:c r="AB1191" t="str">
        <x:v>Campus=90; Ratio=71.2; Prodi=60; RelDemand=28.2; Capacity=28.3</x:v>
      </x:c>
    </x:row>
    <x:row r="1192">
      <x:c r="A1192" t="n">
        <x:v>1189</x:v>
      </x:c>
      <x:c r="B1192" t="str">
        <x:v>PTN Akademik</x:v>
      </x:c>
      <x:c r="C1192" t="str">
        <x:v>UNIVERSITAS PADJADJARAN</x:v>
      </x:c>
      <x:c r="D1192" t="str">
        <x:v>PSIKOLOGI</x:v>
      </x:c>
      <x:c r="E1192" t="str">
        <x:v>Sarjana</x:v>
      </x:c>
      <x:c r="F1192" s="18" t="n">
        <x:v>69</x:v>
      </x:c>
      <x:c r="G1192" s="18" t="n">
        <x:v>2949</x:v>
      </x:c>
      <x:c r="H1192" s="19" t="n">
        <x:v>42.73913043478261</x:v>
      </x:c>
      <x:c r="I1192" s="18" t="n">
        <x:f>ROUND(MIN(Model_Config_v3!$B$6,MAX(Q1192,R1192,S1192*Model_Config_v3!$B$4+T1192*Model_Config_v3!$B$5)),0)</x:f>
        <x:v>718</x:v>
      </x:c>
      <x:c r="J1192" s="18" t="n">
        <x:f>MIN(Model_Config_v3!$B$6,I1192+Model_Config_v3!$B$7)</x:f>
        <x:v>738</x:v>
      </x:c>
      <x:c r="K1192" s="20" t="n">
        <x:v>83.2</x:v>
      </x:c>
      <x:c r="L1192" t="str">
        <x:v>ELITE</x:v>
      </x:c>
      <x:c r="M1192" t="str">
        <x:v>SEDANG+</x:v>
      </x:c>
      <x:c r="N1192" t="str">
        <x:v>ELITE-2</x:v>
      </x:c>
      <x:c r="O1192" t="str">
        <x:v>SOSHUM</x:v>
      </x:c>
      <x:c r="P1192" t="str">
        <x:v>PSIKOLOGI</x:v>
      </x:c>
      <x:c r="Q1192" s="18" t="n">
        <x:v>655</x:v>
      </x:c>
      <x:c r="R1192" s="18" t="n">
        <x:v>690</x:v>
      </x:c>
      <x:c r="S1192" s="18" t="n">
        <x:v>699.3908249995997</x:v>
      </x:c>
      <x:c r="T1192" s="18" t="n">
        <x:v>726</x:v>
      </x:c>
      <x:c r="U1192" s="18" t="n">
        <x:v>724.3908249995997</x:v>
      </x:c>
      <x:c r="V1192" s="20" t="n">
        <x:v>4.4</x:v>
      </x:c>
      <x:c r="W1192" s="20" t="n">
        <x:v>14.3</x:v>
      </x:c>
      <x:c r="X1192" s="20" t="n">
        <x:v>3.3</x:v>
      </x:c>
      <x:c r="Y1192" t="str">
        <x:v>Basis arsip 2025/2024</x:v>
      </x:c>
      <x:c r="Z1192" t="str">
        <x:v>https://snpmb.id/utbk-snbt/daya-tampung-snbt</x:v>
      </x:c>
      <x:c r="AA1192" t="str">
        <x:v>Tidak Ada</x:v>
      </x:c>
      <x:c r="AB1192" t="str">
        <x:v>Campus=90; Ratio=96.0; Prodi=80; RelDemand=74.4; Capacity=42.5</x:v>
      </x:c>
    </x:row>
    <x:row r="1193">
      <x:c r="A1193" t="n">
        <x:v>1190</x:v>
      </x:c>
      <x:c r="B1193" t="str">
        <x:v>PTN Akademik</x:v>
      </x:c>
      <x:c r="C1193" t="str">
        <x:v>UNIVERSITAS PADJADJARAN</x:v>
      </x:c>
      <x:c r="D1193" t="str">
        <x:v>GEOFISIKA</x:v>
      </x:c>
      <x:c r="E1193" t="str">
        <x:v>Sarjana</x:v>
      </x:c>
      <x:c r="F1193" s="18" t="n">
        <x:v>28</x:v>
      </x:c>
      <x:c r="G1193" s="18" t="n">
        <x:v>277</x:v>
      </x:c>
      <x:c r="H1193" s="19" t="n">
        <x:v>9.892857142857142</x:v>
      </x:c>
      <x:c r="I1193" s="18" t="n">
        <x:f>ROUND(MIN(Model_Config_v3!$B$6,MAX(Q1193,R1193,S1193*Model_Config_v3!$B$4+T1193*Model_Config_v3!$B$5)),0)</x:f>
        <x:v>673</x:v>
      </x:c>
      <x:c r="J1193" s="18" t="n">
        <x:f>MIN(Model_Config_v3!$B$6,I1193+Model_Config_v3!$B$7)</x:f>
        <x:v>693</x:v>
      </x:c>
      <x:c r="K1193" s="20" t="n">
        <x:v>65.5</x:v>
      </x:c>
      <x:c r="L1193" t="str">
        <x:v>SANGAT KETAT</x:v>
      </x:c>
      <x:c r="M1193" t="str">
        <x:v>SEDANG+</x:v>
      </x:c>
      <x:c r="N1193" t="str">
        <x:v>ELITE-2</x:v>
      </x:c>
      <x:c r="O1193" t="str">
        <x:v>SAINTEK</x:v>
      </x:c>
      <x:c r="P1193" t="str">
        <x:v>SAINS DASAR</x:v>
      </x:c>
      <x:c r="Q1193" s="18" t="n">
        <x:v>655</x:v>
      </x:c>
      <x:c r="R1193" s="18" t="n">
        <x:v>0</x:v>
      </x:c>
      <x:c r="S1193" s="18" t="n">
        <x:v>629.4853911494453</x:v>
      </x:c>
      <x:c r="T1193" s="18" t="n">
        <x:v>691</x:v>
      </x:c>
      <x:c r="U1193" s="18" t="n">
        <x:v>655</x:v>
      </x:c>
      <x:c r="V1193" s="20" t="n">
        <x:v>12</x:v>
      </x:c>
      <x:c r="W1193" s="20" t="n">
        <x:v>5</x:v>
      </x:c>
      <x:c r="X1193" s="20" t="n">
        <x:v>3</x:v>
      </x:c>
      <x:c r="Y1193" t="str">
        <x:v>Basis arsip 2025/2024</x:v>
      </x:c>
      <x:c r="Z1193" t="str">
        <x:v>https://snpmb.id/utbk-snbt/daya-tampung-snbt</x:v>
      </x:c>
      <x:c r="AA1193" t="str">
        <x:v>Tidak Ada</x:v>
      </x:c>
      <x:c r="AB1193" t="str">
        <x:v>Campus=90; Ratio=58.6; Prodi=50; RelDemand=17.2; Capacity=76.7</x:v>
      </x:c>
    </x:row>
    <x:row r="1194">
      <x:c r="A1194" t="n">
        <x:v>1191</x:v>
      </x:c>
      <x:c r="B1194" t="str">
        <x:v>PTN Akademik</x:v>
      </x:c>
      <x:c r="C1194" t="str">
        <x:v>UNIVERSITAS PADJADJARAN</x:v>
      </x:c>
      <x:c r="D1194" t="str">
        <x:v>TEKNIK INFORMATIKA</x:v>
      </x:c>
      <x:c r="E1194" t="str">
        <x:v>Sarjana</x:v>
      </x:c>
      <x:c r="F1194" s="18" t="n">
        <x:v>44</x:v>
      </x:c>
      <x:c r="G1194" s="18" t="n">
        <x:v>2787</x:v>
      </x:c>
      <x:c r="H1194" s="19" t="n">
        <x:v>63.34090909090909</x:v>
      </x:c>
      <x:c r="I1194" s="18" t="n">
        <x:f>ROUND(MIN(Model_Config_v3!$B$6,MAX(Q1194,R1194,S1194*Model_Config_v3!$B$4+T1194*Model_Config_v3!$B$5)),0)</x:f>
        <x:v>733</x:v>
      </x:c>
      <x:c r="J1194" s="18" t="n">
        <x:f>MIN(Model_Config_v3!$B$6,I1194+Model_Config_v3!$B$7)</x:f>
        <x:v>753</x:v>
      </x:c>
      <x:c r="K1194" s="20" t="n">
        <x:v>89.8</x:v>
      </x:c>
      <x:c r="L1194" t="str">
        <x:v>ULTRA ELITE</x:v>
      </x:c>
      <x:c r="M1194" t="str">
        <x:v>SEDANG+</x:v>
      </x:c>
      <x:c r="N1194" t="str">
        <x:v>ELITE-2</x:v>
      </x:c>
      <x:c r="O1194" t="str">
        <x:v>SAINTEK</x:v>
      </x:c>
      <x:c r="P1194" t="str">
        <x:v>KOMPUTER/INFORMATIKA</x:v>
      </x:c>
      <x:c r="Q1194" s="18" t="n">
        <x:v>655</x:v>
      </x:c>
      <x:c r="R1194" s="18" t="n">
        <x:v>695</x:v>
      </x:c>
      <x:c r="S1194" s="18" t="n">
        <x:v>718.1852721449828</x:v>
      </x:c>
      <x:c r="T1194" s="18" t="n">
        <x:v>740</x:v>
      </x:c>
      <x:c r="U1194" s="18" t="n">
        <x:v>743.1852721449828</x:v>
      </x:c>
      <x:c r="V1194" s="20" t="n">
        <x:v>12</x:v>
      </x:c>
      <x:c r="W1194" s="20" t="n">
        <x:v>5</x:v>
      </x:c>
      <x:c r="X1194" s="20" t="n">
        <x:v>3</x:v>
      </x:c>
      <x:c r="Y1194" t="str">
        <x:v>Basis arsip 2025/2024</x:v>
      </x:c>
      <x:c r="Z1194" t="str">
        <x:v>https://snpmb.id/utbk-snbt/daya-tampung-snbt</x:v>
      </x:c>
      <x:c r="AA1194" t="str">
        <x:v>Tidak Ada</x:v>
      </x:c>
      <x:c r="AB1194" t="str">
        <x:v>Campus=90; Ratio=100.0; Prodi=85; RelDemand=100.0; Capacity=63.3</x:v>
      </x:c>
    </x:row>
    <x:row r="1195">
      <x:c r="A1195" t="n">
        <x:v>1192</x:v>
      </x:c>
      <x:c r="B1195" t="str">
        <x:v>PTN Akademik</x:v>
      </x:c>
      <x:c r="C1195" t="str">
        <x:v>UNIVERSITAS PADJADJARAN</x:v>
      </x:c>
      <x:c r="D1195" t="str">
        <x:v>TEKNOLOGI INDUSTRI PERTANIAN</x:v>
      </x:c>
      <x:c r="E1195" t="str">
        <x:v>Sarjana</x:v>
      </x:c>
      <x:c r="F1195" s="18" t="n">
        <x:v>27</x:v>
      </x:c>
      <x:c r="G1195" s="18" t="n">
        <x:v>593</x:v>
      </x:c>
      <x:c r="H1195" s="19" t="n">
        <x:v>21.962962962962962</x:v>
      </x:c>
      <x:c r="I1195" s="18" t="n">
        <x:f>ROUND(MIN(Model_Config_v3!$B$6,MAX(Q1195,R1195,S1195*Model_Config_v3!$B$4+T1195*Model_Config_v3!$B$5)),0)</x:f>
        <x:v>692</x:v>
      </x:c>
      <x:c r="J1195" s="18" t="n">
        <x:f>MIN(Model_Config_v3!$B$6,I1195+Model_Config_v3!$B$7)</x:f>
        <x:v>712</x:v>
      </x:c>
      <x:c r="K1195" s="20" t="n">
        <x:v>70.8</x:v>
      </x:c>
      <x:c r="L1195" t="str">
        <x:v>SANGAT KETAT</x:v>
      </x:c>
      <x:c r="M1195" t="str">
        <x:v>SEDANG+</x:v>
      </x:c>
      <x:c r="N1195" t="str">
        <x:v>ELITE-2</x:v>
      </x:c>
      <x:c r="O1195" t="str">
        <x:v>SAINTEK</x:v>
      </x:c>
      <x:c r="P1195" t="str">
        <x:v>UMUM</x:v>
      </x:c>
      <x:c r="Q1195" s="18" t="n">
        <x:v>655</x:v>
      </x:c>
      <x:c r="R1195" s="18" t="n">
        <x:v>0</x:v>
      </x:c>
      <x:c r="S1195" s="18" t="n">
        <x:v>667.5860022125803</x:v>
      </x:c>
      <x:c r="T1195" s="18" t="n">
        <x:v>702</x:v>
      </x:c>
      <x:c r="U1195" s="18" t="n">
        <x:v>667.5860022125803</x:v>
      </x:c>
      <x:c r="V1195" s="20" t="n">
        <x:v>12</x:v>
      </x:c>
      <x:c r="W1195" s="20" t="n">
        <x:v>5</x:v>
      </x:c>
      <x:c r="X1195" s="20" t="n">
        <x:v>3</x:v>
      </x:c>
      <x:c r="Y1195" t="str">
        <x:v>Basis arsip 2025/2024</x:v>
      </x:c>
      <x:c r="Z1195" t="str">
        <x:v>https://snpmb.id/utbk-snbt/daya-tampung-snbt</x:v>
      </x:c>
      <x:c r="AA1195" t="str">
        <x:v>Tidak Ada</x:v>
      </x:c>
      <x:c r="AB1195" t="str">
        <x:v>Campus=90; Ratio=79.0; Prodi=40; RelDemand=38.2; Capacity=77.5</x:v>
      </x:c>
    </x:row>
    <x:row r="1196">
      <x:c r="A1196" t="n">
        <x:v>1193</x:v>
      </x:c>
      <x:c r="B1196" t="str">
        <x:v>PTN Akademik</x:v>
      </x:c>
      <x:c r="C1196" t="str">
        <x:v>UNIVERSITAS PADJADJARAN</x:v>
      </x:c>
      <x:c r="D1196" t="str">
        <x:v>TEKNIK ELEKTRO</x:v>
      </x:c>
      <x:c r="E1196" t="str">
        <x:v>Sarjana</x:v>
      </x:c>
      <x:c r="F1196" s="18" t="n">
        <x:v>36</x:v>
      </x:c>
      <x:c r="G1196" s="18" t="n">
        <x:v>736</x:v>
      </x:c>
      <x:c r="H1196" s="19" t="n">
        <x:v>20.444444444444443</x:v>
      </x:c>
      <x:c r="I1196" s="18" t="n">
        <x:f>ROUND(MIN(Model_Config_v3!$B$6,MAX(Q1196,R1196,S1196*Model_Config_v3!$B$4+T1196*Model_Config_v3!$B$5)),0)</x:f>
        <x:v>694</x:v>
      </x:c>
      <x:c r="J1196" s="18" t="n">
        <x:f>MIN(Model_Config_v3!$B$6,I1196+Model_Config_v3!$B$7)</x:f>
        <x:v>714</x:v>
      </x:c>
      <x:c r="K1196" s="20" t="n">
        <x:v>73.3</x:v>
      </x:c>
      <x:c r="L1196" t="str">
        <x:v>SANGAT KETAT</x:v>
      </x:c>
      <x:c r="M1196" t="str">
        <x:v>SEDANG+</x:v>
      </x:c>
      <x:c r="N1196" t="str">
        <x:v>ELITE-2</x:v>
      </x:c>
      <x:c r="O1196" t="str">
        <x:v>SAINTEK</x:v>
      </x:c>
      <x:c r="P1196" t="str">
        <x:v>TEKNIK/ARSITEKTUR/STATISTIKA/AKTUARIA</x:v>
      </x:c>
      <x:c r="Q1196" s="18" t="n">
        <x:v>655</x:v>
      </x:c>
      <x:c r="R1196" s="18" t="n">
        <x:v>670</x:v>
      </x:c>
      <x:c r="S1196" s="18" t="n">
        <x:v>664.1632844927233</x:v>
      </x:c>
      <x:c r="T1196" s="18" t="n">
        <x:v>707</x:v>
      </x:c>
      <x:c r="U1196" s="18" t="n">
        <x:v>674.1632844927233</x:v>
      </x:c>
      <x:c r="V1196" s="20" t="n">
        <x:v>12</x:v>
      </x:c>
      <x:c r="W1196" s="20" t="n">
        <x:v>5</x:v>
      </x:c>
      <x:c r="X1196" s="20" t="n">
        <x:v>3</x:v>
      </x:c>
      <x:c r="Y1196" t="str">
        <x:v>Basis arsip 2025/2024</x:v>
      </x:c>
      <x:c r="Z1196" t="str">
        <x:v>https://snpmb.id/utbk-snbt/daya-tampung-snbt</x:v>
      </x:c>
      <x:c r="AA1196" t="str">
        <x:v>Tidak Ada</x:v>
      </x:c>
      <x:c r="AB1196" t="str">
        <x:v>Campus=90; Ratio=77.1; Prodi=60; RelDemand=35.6; Capacity=70.0</x:v>
      </x:c>
    </x:row>
    <x:row r="1197">
      <x:c r="A1197" t="n">
        <x:v>1194</x:v>
      </x:c>
      <x:c r="B1197" t="str">
        <x:v>PTN Akademik</x:v>
      </x:c>
      <x:c r="C1197" t="str">
        <x:v>UNIVERSITAS PADJADJARAN</x:v>
      </x:c>
      <x:c r="D1197" t="str">
        <x:v>KEDOKTERAN HEWAN</x:v>
      </x:c>
      <x:c r="E1197" t="str">
        <x:v>Sarjana</x:v>
      </x:c>
      <x:c r="F1197" s="18" t="n">
        <x:v>24</x:v>
      </x:c>
      <x:c r="G1197" s="18" t="n">
        <x:v>466</x:v>
      </x:c>
      <x:c r="H1197" s="19" t="n">
        <x:v>19.416666666666668</x:v>
      </x:c>
      <x:c r="I1197" s="18" t="n">
        <x:f>ROUND(MIN(Model_Config_v3!$B$6,MAX(Q1197,R1197,S1197*Model_Config_v3!$B$4+T1197*Model_Config_v3!$B$5)),0)</x:f>
        <x:v>694</x:v>
      </x:c>
      <x:c r="J1197" s="18" t="n">
        <x:f>MIN(Model_Config_v3!$B$6,I1197+Model_Config_v3!$B$7)</x:f>
        <x:v>714</x:v>
      </x:c>
      <x:c r="K1197" s="20" t="n">
        <x:v>73.8</x:v>
      </x:c>
      <x:c r="L1197" t="str">
        <x:v>SANGAT KETAT</x:v>
      </x:c>
      <x:c r="M1197" t="str">
        <x:v>SEDANG+</x:v>
      </x:c>
      <x:c r="N1197" t="str">
        <x:v>ELITE-2</x:v>
      </x:c>
      <x:c r="O1197" t="str">
        <x:v>SAINTEK</x:v>
      </x:c>
      <x:c r="P1197" t="str">
        <x:v>VETERINER</x:v>
      </x:c>
      <x:c r="Q1197" s="18" t="n">
        <x:v>655</x:v>
      </x:c>
      <x:c r="R1197" s="18" t="n">
        <x:v>670</x:v>
      </x:c>
      <x:c r="S1197" s="18" t="n">
        <x:v>661.6992142476233</x:v>
      </x:c>
      <x:c r="T1197" s="18" t="n">
        <x:v>708</x:v>
      </x:c>
      <x:c r="U1197" s="18" t="n">
        <x:v>661.6992142476233</x:v>
      </x:c>
      <x:c r="V1197" s="20" t="n">
        <x:v>12</x:v>
      </x:c>
      <x:c r="W1197" s="20" t="n">
        <x:v>5</x:v>
      </x:c>
      <x:c r="X1197" s="20" t="n">
        <x:v>3</x:v>
      </x:c>
      <x:c r="Y1197" t="str">
        <x:v>Basis arsip 2025/2024</x:v>
      </x:c>
      <x:c r="Z1197" t="str">
        <x:v>https://snpmb.id/utbk-snbt/daya-tampung-snbt</x:v>
      </x:c>
      <x:c r="AA1197" t="str">
        <x:v>Tidak Ada</x:v>
      </x:c>
      <x:c r="AB1197" t="str">
        <x:v>Campus=90; Ratio=75.8; Prodi=60; RelDemand=33.8; Capacity=80.0</x:v>
      </x:c>
    </x:row>
    <x:row r="1198">
      <x:c r="A1198" t="n">
        <x:v>1195</x:v>
      </x:c>
      <x:c r="B1198" t="str">
        <x:v>PTN Akademik</x:v>
      </x:c>
      <x:c r="C1198" t="str">
        <x:v>UNIVERSITAS PADJADJARAN</x:v>
      </x:c>
      <x:c r="D1198" t="str">
        <x:v>ILMU AKTUARIA</x:v>
      </x:c>
      <x:c r="E1198" t="str">
        <x:v>Sarjana</x:v>
      </x:c>
      <x:c r="F1198" s="18" t="n">
        <x:v>18</x:v>
      </x:c>
      <x:c r="G1198" s="18" t="n">
        <x:v>395</x:v>
      </x:c>
      <x:c r="H1198" s="19" t="n">
        <x:v>21.944444444444443</x:v>
      </x:c>
      <x:c r="I1198" s="18" t="n">
        <x:f>ROUND(MIN(Model_Config_v3!$B$6,MAX(Q1198,R1198,S1198*Model_Config_v3!$B$4+T1198*Model_Config_v3!$B$5)),0)</x:f>
        <x:v>698</x:v>
      </x:c>
      <x:c r="J1198" s="18" t="n">
        <x:f>MIN(Model_Config_v3!$B$6,I1198+Model_Config_v3!$B$7)</x:f>
        <x:v>718</x:v>
      </x:c>
      <x:c r="K1198" s="20" t="n">
        <x:v>75.6</x:v>
      </x:c>
      <x:c r="L1198" t="str">
        <x:v>ELITE</x:v>
      </x:c>
      <x:c r="M1198" t="str">
        <x:v>SEDANG+</x:v>
      </x:c>
      <x:c r="N1198" t="str">
        <x:v>ELITE-2</x:v>
      </x:c>
      <x:c r="O1198" t="str">
        <x:v>SAINTEK</x:v>
      </x:c>
      <x:c r="P1198" t="str">
        <x:v>TEKNIK/ARSITEKTUR/STATISTIKA/AKTUARIA</x:v>
      </x:c>
      <x:c r="Q1198" s="18" t="n">
        <x:v>655</x:v>
      </x:c>
      <x:c r="R1198" s="18" t="n">
        <x:v>670</x:v>
      </x:c>
      <x:c r="S1198" s="18" t="n">
        <x:v>667.545704957547</x:v>
      </x:c>
      <x:c r="T1198" s="18" t="n">
        <x:v>711</x:v>
      </x:c>
      <x:c r="U1198" s="18" t="n">
        <x:v>677.545704957547</x:v>
      </x:c>
      <x:c r="V1198" s="20" t="n">
        <x:v>12</x:v>
      </x:c>
      <x:c r="W1198" s="20" t="n">
        <x:v>5</x:v>
      </x:c>
      <x:c r="X1198" s="20" t="n">
        <x:v>3</x:v>
      </x:c>
      <x:c r="Y1198" t="str">
        <x:v>Basis arsip 2025/2024</x:v>
      </x:c>
      <x:c r="Z1198" t="str">
        <x:v>https://snpmb.id/utbk-snbt/daya-tampung-snbt</x:v>
      </x:c>
      <x:c r="AA1198" t="str">
        <x:v>Tidak Ada</x:v>
      </x:c>
      <x:c r="AB1198" t="str">
        <x:v>Campus=90; Ratio=78.9; Prodi=60; RelDemand=38.2; Capacity=85.0</x:v>
      </x:c>
    </x:row>
    <x:row r="1199">
      <x:c r="A1199" t="n">
        <x:v>1196</x:v>
      </x:c>
      <x:c r="B1199" t="str">
        <x:v>PTN Akademik</x:v>
      </x:c>
      <x:c r="C1199" t="str">
        <x:v>UNIVERSITAS PADJADJARAN</x:v>
      </x:c>
      <x:c r="D1199" t="str">
        <x:v>PERIKANAN PSDKU PANGANDARAN</x:v>
      </x:c>
      <x:c r="E1199" t="str">
        <x:v>Sarjana</x:v>
      </x:c>
      <x:c r="F1199" s="18" t="n">
        <x:v>21</x:v>
      </x:c>
      <x:c r="G1199" s="18" t="n">
        <x:v>80</x:v>
      </x:c>
      <x:c r="H1199" s="19" t="n">
        <x:v>3.8095238095238093</x:v>
      </x:c>
      <x:c r="I1199" s="18" t="n">
        <x:f>ROUND(MIN(Model_Config_v3!$B$6,MAX(Q1199,R1199,S1199*Model_Config_v3!$B$4+T1199*Model_Config_v3!$B$5)),0)</x:f>
        <x:v>655</x:v>
      </x:c>
      <x:c r="J1199" s="18" t="n">
        <x:f>MIN(Model_Config_v3!$B$6,I1199+Model_Config_v3!$B$7)</x:f>
        <x:v>675</x:v>
      </x:c>
      <x:c r="K1199" s="20" t="n">
        <x:v>57</x:v>
      </x:c>
      <x:c r="L1199" t="str">
        <x:v>KETAT</x:v>
      </x:c>
      <x:c r="M1199" t="str">
        <x:v>SEDANG+</x:v>
      </x:c>
      <x:c r="N1199" t="str">
        <x:v>ELITE-2</x:v>
      </x:c>
      <x:c r="O1199" t="str">
        <x:v>SAINTEK</x:v>
      </x:c>
      <x:c r="P1199" t="str">
        <x:v>UMUM</x:v>
      </x:c>
      <x:c r="Q1199" s="18" t="n">
        <x:v>655</x:v>
      </x:c>
      <x:c r="R1199" s="18" t="n">
        <x:v>0</x:v>
      </x:c>
      <x:c r="S1199" s="18" t="n">
        <x:v>583.8957761483827</x:v>
      </x:c>
      <x:c r="T1199" s="18" t="n">
        <x:v>674</x:v>
      </x:c>
      <x:c r="U1199" s="18" t="n">
        <x:v>655</x:v>
      </x:c>
      <x:c r="V1199" s="20" t="n">
        <x:v>12</x:v>
      </x:c>
      <x:c r="W1199" s="20" t="n">
        <x:v>5</x:v>
      </x:c>
      <x:c r="X1199" s="20" t="n">
        <x:v>3</x:v>
      </x:c>
      <x:c r="Y1199" t="str">
        <x:v>Basis arsip 2025/2024</x:v>
      </x:c>
      <x:c r="Z1199" t="str">
        <x:v>https://snpmb.id/utbk-snbt/daya-tampung-snbt</x:v>
      </x:c>
      <x:c r="AA1199" t="str">
        <x:v>Tidak Ada</x:v>
      </x:c>
      <x:c r="AB1199" t="str">
        <x:v>Campus=90; Ratio=34.2; Prodi=40; RelDemand=6.6; Capacity=82.5</x:v>
      </x:c>
    </x:row>
    <x:row r="1200">
      <x:c r="A1200" t="n">
        <x:v>1197</x:v>
      </x:c>
      <x:c r="B1200" t="str">
        <x:v>PTN Akademik</x:v>
      </x:c>
      <x:c r="C1200" t="str">
        <x:v>UNIVERSITAS PADJADJARAN</x:v>
      </x:c>
      <x:c r="D1200" t="str">
        <x:v>PETERNAKAN PSDKU PANGANDARAN</x:v>
      </x:c>
      <x:c r="E1200" t="str">
        <x:v>Sarjana</x:v>
      </x:c>
      <x:c r="F1200" s="18" t="n">
        <x:v>12</x:v>
      </x:c>
      <x:c r="G1200" s="18" t="n">
        <x:v>81</x:v>
      </x:c>
      <x:c r="H1200" s="19" t="n">
        <x:v>6.75</x:v>
      </x:c>
      <x:c r="I1200" s="18" t="n">
        <x:f>ROUND(MIN(Model_Config_v3!$B$6,MAX(Q1200,R1200,S1200*Model_Config_v3!$B$4+T1200*Model_Config_v3!$B$5)),0)</x:f>
        <x:v>662</x:v>
      </x:c>
      <x:c r="J1200" s="18" t="n">
        <x:f>MIN(Model_Config_v3!$B$6,I1200+Model_Config_v3!$B$7)</x:f>
        <x:v>682</x:v>
      </x:c>
      <x:c r="K1200" s="20" t="n">
        <x:v>61.9</x:v>
      </x:c>
      <x:c r="L1200" t="str">
        <x:v>KETAT</x:v>
      </x:c>
      <x:c r="M1200" t="str">
        <x:v>SEDANG+</x:v>
      </x:c>
      <x:c r="N1200" t="str">
        <x:v>ELITE-2</x:v>
      </x:c>
      <x:c r="O1200" t="str">
        <x:v>SAINTEK</x:v>
      </x:c>
      <x:c r="P1200" t="str">
        <x:v>UMUM</x:v>
      </x:c>
      <x:c r="Q1200" s="18" t="n">
        <x:v>655</x:v>
      </x:c>
      <x:c r="R1200" s="18" t="n">
        <x:v>0</x:v>
      </x:c>
      <x:c r="S1200" s="18" t="n">
        <x:v>611.2234150114127</x:v>
      </x:c>
      <x:c r="T1200" s="18" t="n">
        <x:v>684</x:v>
      </x:c>
      <x:c r="U1200" s="18" t="n">
        <x:v>655</x:v>
      </x:c>
      <x:c r="V1200" s="20" t="n">
        <x:v>12</x:v>
      </x:c>
      <x:c r="W1200" s="20" t="n">
        <x:v>5</x:v>
      </x:c>
      <x:c r="X1200" s="20" t="n">
        <x:v>3</x:v>
      </x:c>
      <x:c r="Y1200" t="str">
        <x:v>Basis arsip 2025/2024</x:v>
      </x:c>
      <x:c r="Z1200" t="str">
        <x:v>https://snpmb.id/utbk-snbt/daya-tampung-snbt</x:v>
      </x:c>
      <x:c r="AA1200" t="str">
        <x:v>Tidak Ada</x:v>
      </x:c>
      <x:c r="AB1200" t="str">
        <x:v>Campus=90; Ratio=48.8; Prodi=40; RelDemand=11.8; Capacity=90.0</x:v>
      </x:c>
    </x:row>
    <x:row r="1201">
      <x:c r="A1201" t="n">
        <x:v>1198</x:v>
      </x:c>
      <x:c r="B1201" t="str">
        <x:v>PTN Akademik</x:v>
      </x:c>
      <x:c r="C1201" t="str">
        <x:v>UNIVERSITAS PADJADJARAN</x:v>
      </x:c>
      <x:c r="D1201" t="str">
        <x:v>KEPERAWATAN PSDKU PANGANDARAN</x:v>
      </x:c>
      <x:c r="E1201" t="str">
        <x:v>Sarjana</x:v>
      </x:c>
      <x:c r="F1201" s="18" t="n">
        <x:v>20</x:v>
      </x:c>
      <x:c r="G1201" s="18" t="n">
        <x:v>272</x:v>
      </x:c>
      <x:c r="H1201" s="19" t="n">
        <x:v>13.6</x:v>
      </x:c>
      <x:c r="I1201" s="18" t="n">
        <x:f>ROUND(MIN(Model_Config_v3!$B$6,MAX(Q1201,R1201,S1201*Model_Config_v3!$B$4+T1201*Model_Config_v3!$B$5)),0)</x:f>
        <x:v>683</x:v>
      </x:c>
      <x:c r="J1201" s="18" t="n">
        <x:f>MIN(Model_Config_v3!$B$6,I1201+Model_Config_v3!$B$7)</x:f>
        <x:v>703</x:v>
      </x:c>
      <x:c r="K1201" s="20" t="n">
        <x:v>69.9</x:v>
      </x:c>
      <x:c r="L1201" t="str">
        <x:v>SANGAT KETAT</x:v>
      </x:c>
      <x:c r="M1201" t="str">
        <x:v>SEDANG+</x:v>
      </x:c>
      <x:c r="N1201" t="str">
        <x:v>ELITE-2</x:v>
      </x:c>
      <x:c r="O1201" t="str">
        <x:v>SAINTEK</x:v>
      </x:c>
      <x:c r="P1201" t="str">
        <x:v>KESEHAT/GIZI/KEPERAWATAN</x:v>
      </x:c>
      <x:c r="Q1201" s="18" t="n">
        <x:v>655</x:v>
      </x:c>
      <x:c r="R1201" s="18" t="n">
        <x:v>660</x:v>
      </x:c>
      <x:c r="S1201" s="18" t="n">
        <x:v>644.689279920724</x:v>
      </x:c>
      <x:c r="T1201" s="18" t="n">
        <x:v>700</x:v>
      </x:c>
      <x:c r="U1201" s="18" t="n">
        <x:v>655</x:v>
      </x:c>
      <x:c r="V1201" s="20" t="n">
        <x:v>12</x:v>
      </x:c>
      <x:c r="W1201" s="20" t="n">
        <x:v>5</x:v>
      </x:c>
      <x:c r="X1201" s="20" t="n">
        <x:v>3</x:v>
      </x:c>
      <x:c r="Y1201" t="str">
        <x:v>Basis arsip 2025/2024</x:v>
      </x:c>
      <x:c r="Z1201" t="str">
        <x:v>https://snpmb.id/utbk-snbt/daya-tampung-snbt</x:v>
      </x:c>
      <x:c r="AA1201" t="str">
        <x:v>Tidak Ada</x:v>
      </x:c>
      <x:c r="AB1201" t="str">
        <x:v>Campus=90; Ratio=66.7; Prodi=55; RelDemand=23.7; Capacity=83.3</x:v>
      </x:c>
    </x:row>
    <x:row r="1202">
      <x:c r="A1202" t="n">
        <x:v>1199</x:v>
      </x:c>
      <x:c r="B1202" t="str">
        <x:v>PTN Akademik</x:v>
      </x:c>
      <x:c r="C1202" t="str">
        <x:v>UNIVERSITAS PADJADJARAN</x:v>
      </x:c>
      <x:c r="D1202" t="str">
        <x:v>ILMU HUKUM</x:v>
      </x:c>
      <x:c r="E1202" t="str">
        <x:v>Sarjana</x:v>
      </x:c>
      <x:c r="F1202" s="18" t="n">
        <x:v>147</x:v>
      </x:c>
      <x:c r="G1202" s="18" t="n">
        <x:v>3684</x:v>
      </x:c>
      <x:c r="H1202" s="19" t="n">
        <x:v>25.06122448979592</x:v>
      </x:c>
      <x:c r="I1202" s="18" t="n">
        <x:f>ROUND(MIN(Model_Config_v3!$B$6,MAX(Q1202,R1202,S1202*Model_Config_v3!$B$4+T1202*Model_Config_v3!$B$5)),0)</x:f>
        <x:v>691</x:v>
      </x:c>
      <x:c r="J1202" s="18" t="n">
        <x:f>MIN(Model_Config_v3!$B$6,I1202+Model_Config_v3!$B$7)</x:f>
        <x:v>711</x:v>
      </x:c>
      <x:c r="K1202" s="20" t="n">
        <x:v>69.5</x:v>
      </x:c>
      <x:c r="L1202" t="str">
        <x:v>SANGAT KETAT</x:v>
      </x:c>
      <x:c r="M1202" t="str">
        <x:v>SEDANG+</x:v>
      </x:c>
      <x:c r="N1202" t="str">
        <x:v>ELITE-2</x:v>
      </x:c>
      <x:c r="O1202" t="str">
        <x:v>SOSHUM</x:v>
      </x:c>
      <x:c r="P1202" t="str">
        <x:v>HUKUM</x:v>
      </x:c>
      <x:c r="Q1202" s="18" t="n">
        <x:v>655</x:v>
      </x:c>
      <x:c r="R1202" s="18" t="n">
        <x:v>675</x:v>
      </x:c>
      <x:c r="S1202" s="18" t="n">
        <x:v>673.8902515454299</x:v>
      </x:c>
      <x:c r="T1202" s="18" t="n">
        <x:v>699</x:v>
      </x:c>
      <x:c r="U1202" s="18" t="n">
        <x:v>688.8902515454299</x:v>
      </x:c>
      <x:c r="V1202" s="20" t="n">
        <x:v>4.4</x:v>
      </x:c>
      <x:c r="W1202" s="20" t="n">
        <x:v>14.3</x:v>
      </x:c>
      <x:c r="X1202" s="20" t="n">
        <x:v>3.3</x:v>
      </x:c>
      <x:c r="Y1202" t="str">
        <x:v>Basis arsip 2025/2024</x:v>
      </x:c>
      <x:c r="Z1202" t="str">
        <x:v>https://snpmb.id/utbk-snbt/daya-tampung-snbt</x:v>
      </x:c>
      <x:c r="AA1202" t="str">
        <x:v>Tidak Ada</x:v>
      </x:c>
      <x:c r="AB1202" t="str">
        <x:v>Campus=90; Ratio=82.3; Prodi=65; RelDemand=43.6; Capacity=0.0</x:v>
      </x:c>
    </x:row>
    <x:row r="1203">
      <x:c r="A1203" t="n">
        <x:v>1200</x:v>
      </x:c>
      <x:c r="B1203" t="str">
        <x:v>PTN Akademik</x:v>
      </x:c>
      <x:c r="C1203" t="str">
        <x:v>UNIVERSITAS PADJADJARAN</x:v>
      </x:c>
      <x:c r="D1203" t="str">
        <x:v>AKUNTANSI</x:v>
      </x:c>
      <x:c r="E1203" t="str">
        <x:v>Sarjana</x:v>
      </x:c>
      <x:c r="F1203" s="18" t="n">
        <x:v>60</x:v>
      </x:c>
      <x:c r="G1203" s="18" t="n">
        <x:v>1886</x:v>
      </x:c>
      <x:c r="H1203" s="19" t="n">
        <x:v>31.433333333333334</x:v>
      </x:c>
      <x:c r="I1203" s="18" t="n">
        <x:f>ROUND(MIN(Model_Config_v3!$B$6,MAX(Q1203,R1203,S1203*Model_Config_v3!$B$4+T1203*Model_Config_v3!$B$5)),0)</x:f>
        <x:v>705</x:v>
      </x:c>
      <x:c r="J1203" s="18" t="n">
        <x:f>MIN(Model_Config_v3!$B$6,I1203+Model_Config_v3!$B$7)</x:f>
        <x:v>725</x:v>
      </x:c>
      <x:c r="K1203" s="20" t="n">
        <x:v>77</x:v>
      </x:c>
      <x:c r="L1203" t="str">
        <x:v>ELITE</x:v>
      </x:c>
      <x:c r="M1203" t="str">
        <x:v>SEDANG+</x:v>
      </x:c>
      <x:c r="N1203" t="str">
        <x:v>ELITE-2</x:v>
      </x:c>
      <x:c r="O1203" t="str">
        <x:v>SOSHUM</x:v>
      </x:c>
      <x:c r="P1203" t="str">
        <x:v>BISNIS/EKONOMI/AKUNTANSI</x:v>
      </x:c>
      <x:c r="Q1203" s="18" t="n">
        <x:v>655</x:v>
      </x:c>
      <x:c r="R1203" s="18" t="n">
        <x:v>680</x:v>
      </x:c>
      <x:c r="S1203" s="18" t="n">
        <x:v>684.7129481819433</x:v>
      </x:c>
      <x:c r="T1203" s="18" t="n">
        <x:v>714</x:v>
      </x:c>
      <x:c r="U1203" s="18" t="n">
        <x:v>684.7129481819433</x:v>
      </x:c>
      <x:c r="V1203" s="20" t="n">
        <x:v>4.4</x:v>
      </x:c>
      <x:c r="W1203" s="20" t="n">
        <x:v>14.3</x:v>
      </x:c>
      <x:c r="X1203" s="20" t="n">
        <x:v>3.3</x:v>
      </x:c>
      <x:c r="Y1203" t="str">
        <x:v>Basis arsip 2025/2024</x:v>
      </x:c>
      <x:c r="Z1203" t="str">
        <x:v>https://snpmb.id/utbk-snbt/daya-tampung-snbt</x:v>
      </x:c>
      <x:c r="AA1203" t="str">
        <x:v>Tidak Ada</x:v>
      </x:c>
      <x:c r="AB1203" t="str">
        <x:v>Campus=90; Ratio=88.1; Prodi=65; RelDemand=54.7; Capacity=50.0</x:v>
      </x:c>
    </x:row>
    <x:row r="1204">
      <x:c r="A1204" t="n">
        <x:v>1201</x:v>
      </x:c>
      <x:c r="B1204" t="str">
        <x:v>PTN Akademik</x:v>
      </x:c>
      <x:c r="C1204" t="str">
        <x:v>UNIVERSITAS PADJADJARAN</x:v>
      </x:c>
      <x:c r="D1204" t="str">
        <x:v>ILMU EKONOMI</x:v>
      </x:c>
      <x:c r="E1204" t="str">
        <x:v>Sarjana</x:v>
      </x:c>
      <x:c r="F1204" s="18" t="n">
        <x:v>39</x:v>
      </x:c>
      <x:c r="G1204" s="18" t="n">
        <x:v>915</x:v>
      </x:c>
      <x:c r="H1204" s="19" t="n">
        <x:v>23.46153846153846</x:v>
      </x:c>
      <x:c r="I1204" s="18" t="n">
        <x:f>ROUND(MIN(Model_Config_v3!$B$6,MAX(Q1204,R1204,S1204*Model_Config_v3!$B$4+T1204*Model_Config_v3!$B$5)),0)</x:f>
        <x:v>699</x:v>
      </x:c>
      <x:c r="J1204" s="18" t="n">
        <x:f>MIN(Model_Config_v3!$B$6,I1204+Model_Config_v3!$B$7)</x:f>
        <x:v>719</x:v>
      </x:c>
      <x:c r="K1204" s="20" t="n">
        <x:v>75.5</x:v>
      </x:c>
      <x:c r="L1204" t="str">
        <x:v>ELITE</x:v>
      </x:c>
      <x:c r="M1204" t="str">
        <x:v>SEDANG+</x:v>
      </x:c>
      <x:c r="N1204" t="str">
        <x:v>ELITE-2</x:v>
      </x:c>
      <x:c r="O1204" t="str">
        <x:v>SOSHUM</x:v>
      </x:c>
      <x:c r="P1204" t="str">
        <x:v>BISNIS/EKONOMI/AKUNTANSI</x:v>
      </x:c>
      <x:c r="Q1204" s="18" t="n">
        <x:v>655</x:v>
      </x:c>
      <x:c r="R1204" s="18" t="n">
        <x:v>680</x:v>
      </x:c>
      <x:c r="S1204" s="18" t="n">
        <x:v>670.7392135743944</x:v>
      </x:c>
      <x:c r="T1204" s="18" t="n">
        <x:v>711</x:v>
      </x:c>
      <x:c r="U1204" s="18" t="n">
        <x:v>670.7392135743944</x:v>
      </x:c>
      <x:c r="V1204" s="20" t="n">
        <x:v>4.4</x:v>
      </x:c>
      <x:c r="W1204" s="20" t="n">
        <x:v>14.3</x:v>
      </x:c>
      <x:c r="X1204" s="20" t="n">
        <x:v>3.3</x:v>
      </x:c>
      <x:c r="Y1204" t="str">
        <x:v>Basis arsip 2025/2024</x:v>
      </x:c>
      <x:c r="Z1204" t="str">
        <x:v>https://snpmb.id/utbk-snbt/daya-tampung-snbt</x:v>
      </x:c>
      <x:c r="AA1204" t="str">
        <x:v>Tidak Ada</x:v>
      </x:c>
      <x:c r="AB1204" t="str">
        <x:v>Campus=90; Ratio=80.7; Prodi=65; RelDemand=40.9; Capacity=67.5</x:v>
      </x:c>
    </x:row>
    <x:row r="1205">
      <x:c r="A1205" t="n">
        <x:v>1202</x:v>
      </x:c>
      <x:c r="B1205" t="str">
        <x:v>PTN Akademik</x:v>
      </x:c>
      <x:c r="C1205" t="str">
        <x:v>UNIVERSITAS PADJADJARAN</x:v>
      </x:c>
      <x:c r="D1205" t="str">
        <x:v>MANAJEMEN</x:v>
      </x:c>
      <x:c r="E1205" t="str">
        <x:v>Sarjana</x:v>
      </x:c>
      <x:c r="F1205" s="18" t="n">
        <x:v>64</x:v>
      </x:c>
      <x:c r="G1205" s="18" t="n">
        <x:v>2513</x:v>
      </x:c>
      <x:c r="H1205" s="19" t="n">
        <x:v>39.265625</x:v>
      </x:c>
      <x:c r="I1205" s="18" t="n">
        <x:f>ROUND(MIN(Model_Config_v3!$B$6,MAX(Q1205,R1205,S1205*Model_Config_v3!$B$4+T1205*Model_Config_v3!$B$5)),0)</x:f>
        <x:v>712</x:v>
      </x:c>
      <x:c r="J1205" s="18" t="n">
        <x:f>MIN(Model_Config_v3!$B$6,I1205+Model_Config_v3!$B$7)</x:f>
        <x:v>732</x:v>
      </x:c>
      <x:c r="K1205" s="20" t="n">
        <x:v>79.5</x:v>
      </x:c>
      <x:c r="L1205" t="str">
        <x:v>ELITE</x:v>
      </x:c>
      <x:c r="M1205" t="str">
        <x:v>SEDANG+</x:v>
      </x:c>
      <x:c r="N1205" t="str">
        <x:v>ELITE-2</x:v>
      </x:c>
      <x:c r="O1205" t="str">
        <x:v>SOSHUM</x:v>
      </x:c>
      <x:c r="P1205" t="str">
        <x:v>BISNIS/EKONOMI/AKUNTANSI</x:v>
      </x:c>
      <x:c r="Q1205" s="18" t="n">
        <x:v>655</x:v>
      </x:c>
      <x:c r="R1205" s="18" t="n">
        <x:v>680</x:v>
      </x:c>
      <x:c r="S1205" s="18" t="n">
        <x:v>695.3413766069557</x:v>
      </x:c>
      <x:c r="T1205" s="18" t="n">
        <x:v>719</x:v>
      </x:c>
      <x:c r="U1205" s="18" t="n">
        <x:v>710.3413766069557</x:v>
      </x:c>
      <x:c r="V1205" s="20" t="n">
        <x:v>4.4</x:v>
      </x:c>
      <x:c r="W1205" s="20" t="n">
        <x:v>14.3</x:v>
      </x:c>
      <x:c r="X1205" s="20" t="n">
        <x:v>3.3</x:v>
      </x:c>
      <x:c r="Y1205" t="str">
        <x:v>Basis arsip 2025/2024</x:v>
      </x:c>
      <x:c r="Z1205" t="str">
        <x:v>https://snpmb.id/utbk-snbt/daya-tampung-snbt</x:v>
      </x:c>
      <x:c r="AA1205" t="str">
        <x:v>Tidak Ada</x:v>
      </x:c>
      <x:c r="AB1205" t="str">
        <x:v>Campus=90; Ratio=93.8; Prodi=65; RelDemand=68.4; Capacity=46.7</x:v>
      </x:c>
    </x:row>
    <x:row r="1206">
      <x:c r="A1206" t="n">
        <x:v>1203</x:v>
      </x:c>
      <x:c r="B1206" t="str">
        <x:v>PTN Akademik</x:v>
      </x:c>
      <x:c r="C1206" t="str">
        <x:v>UNIVERSITAS PADJADJARAN</x:v>
      </x:c>
      <x:c r="D1206" t="str">
        <x:v>ADMINISTRASI PUBLIK</x:v>
      </x:c>
      <x:c r="E1206" t="str">
        <x:v>Sarjana</x:v>
      </x:c>
      <x:c r="F1206" s="18" t="n">
        <x:v>52</x:v>
      </x:c>
      <x:c r="G1206" s="18" t="n">
        <x:v>1291</x:v>
      </x:c>
      <x:c r="H1206" s="19" t="n">
        <x:v>24.826923076923077</x:v>
      </x:c>
      <x:c r="I1206" s="18" t="n">
        <x:f>ROUND(MIN(Model_Config_v3!$B$6,MAX(Q1206,R1206,S1206*Model_Config_v3!$B$4+T1206*Model_Config_v3!$B$5)),0)</x:f>
        <x:v>692</x:v>
      </x:c>
      <x:c r="J1206" s="18" t="n">
        <x:f>MIN(Model_Config_v3!$B$6,I1206+Model_Config_v3!$B$7)</x:f>
        <x:v>712</x:v>
      </x:c>
      <x:c r="K1206" s="20" t="n">
        <x:v>70</x:v>
      </x:c>
      <x:c r="L1206" t="str">
        <x:v>SANGAT KETAT</x:v>
      </x:c>
      <x:c r="M1206" t="str">
        <x:v>SEDANG+</x:v>
      </x:c>
      <x:c r="N1206" t="str">
        <x:v>ELITE-2</x:v>
      </x:c>
      <x:c r="O1206" t="str">
        <x:v>SOSHUM</x:v>
      </x:c>
      <x:c r="P1206" t="str">
        <x:v>UMUM</x:v>
      </x:c>
      <x:c r="Q1206" s="18" t="n">
        <x:v>655</x:v>
      </x:c>
      <x:c r="R1206" s="18" t="n">
        <x:v>0</x:v>
      </x:c>
      <x:c r="S1206" s="18" t="n">
        <x:v>673.4415188494783</x:v>
      </x:c>
      <x:c r="T1206" s="18" t="n">
        <x:v>700</x:v>
      </x:c>
      <x:c r="U1206" s="18" t="n">
        <x:v>673.4415188494783</x:v>
      </x:c>
      <x:c r="V1206" s="20" t="n">
        <x:v>4.4</x:v>
      </x:c>
      <x:c r="W1206" s="20" t="n">
        <x:v>14.3</x:v>
      </x:c>
      <x:c r="X1206" s="20" t="n">
        <x:v>3.3</x:v>
      </x:c>
      <x:c r="Y1206" t="str">
        <x:v>Basis arsip 2025/2024</x:v>
      </x:c>
      <x:c r="Z1206" t="str">
        <x:v>https://snpmb.id/utbk-snbt/daya-tampung-snbt</x:v>
      </x:c>
      <x:c r="AA1206" t="str">
        <x:v>Tidak Ada</x:v>
      </x:c>
      <x:c r="AB1206" t="str">
        <x:v>Campus=90; Ratio=82.1; Prodi=40; RelDemand=43.2; Capacity=56.7</x:v>
      </x:c>
    </x:row>
    <x:row r="1207">
      <x:c r="A1207" t="n">
        <x:v>1204</x:v>
      </x:c>
      <x:c r="B1207" t="str">
        <x:v>PTN Akademik</x:v>
      </x:c>
      <x:c r="C1207" t="str">
        <x:v>UNIVERSITAS PADJADJARAN</x:v>
      </x:c>
      <x:c r="D1207" t="str">
        <x:v>ILMU HUBUNGAN INTERNASIONAL</x:v>
      </x:c>
      <x:c r="E1207" t="str">
        <x:v>Sarjana</x:v>
      </x:c>
      <x:c r="F1207" s="18" t="n">
        <x:v>39</x:v>
      </x:c>
      <x:c r="G1207" s="18" t="n">
        <x:v>1696</x:v>
      </x:c>
      <x:c r="H1207" s="19" t="n">
        <x:v>43.48717948717949</x:v>
      </x:c>
      <x:c r="I1207" s="18" t="n">
        <x:f>ROUND(MIN(Model_Config_v3!$B$6,MAX(Q1207,R1207,S1207*Model_Config_v3!$B$4+T1207*Model_Config_v3!$B$5)),0)</x:f>
        <x:v>711</x:v>
      </x:c>
      <x:c r="J1207" s="18" t="n">
        <x:f>MIN(Model_Config_v3!$B$6,I1207+Model_Config_v3!$B$7)</x:f>
        <x:v>731</x:v>
      </x:c>
      <x:c r="K1207" s="20" t="n">
        <x:v>77.9</x:v>
      </x:c>
      <x:c r="L1207" t="str">
        <x:v>ELITE</x:v>
      </x:c>
      <x:c r="M1207" t="str">
        <x:v>SEDANG+</x:v>
      </x:c>
      <x:c r="N1207" t="str">
        <x:v>ELITE-2</x:v>
      </x:c>
      <x:c r="O1207" t="str">
        <x:v>SOSHUM</x:v>
      </x:c>
      <x:c r="P1207" t="str">
        <x:v>UMUM</x:v>
      </x:c>
      <x:c r="Q1207" s="18" t="n">
        <x:v>655</x:v>
      </x:c>
      <x:c r="R1207" s="18" t="n">
        <x:v>0</x:v>
      </x:c>
      <x:c r="S1207" s="18" t="n">
        <x:v>700.2197364983615</x:v>
      </x:c>
      <x:c r="T1207" s="18" t="n">
        <x:v>716</x:v>
      </x:c>
      <x:c r="U1207" s="18" t="n">
        <x:v>700.2197364983615</x:v>
      </x:c>
      <x:c r="V1207" s="20" t="n">
        <x:v>4.4</x:v>
      </x:c>
      <x:c r="W1207" s="20" t="n">
        <x:v>14.3</x:v>
      </x:c>
      <x:c r="X1207" s="20" t="n">
        <x:v>3.3</x:v>
      </x:c>
      <x:c r="Y1207" t="str">
        <x:v>Basis arsip 2025/2024</x:v>
      </x:c>
      <x:c r="Z1207" t="str">
        <x:v>https://snpmb.id/utbk-snbt/daya-tampung-snbt</x:v>
      </x:c>
      <x:c r="AA1207" t="str">
        <x:v>Tidak Ada</x:v>
      </x:c>
      <x:c r="AB1207" t="str">
        <x:v>Campus=90; Ratio=96.4; Prodi=40; RelDemand=75.7; Capacity=67.5</x:v>
      </x:c>
    </x:row>
    <x:row r="1208">
      <x:c r="A1208" t="n">
        <x:v>1205</x:v>
      </x:c>
      <x:c r="B1208" t="str">
        <x:v>PTN Akademik</x:v>
      </x:c>
      <x:c r="C1208" t="str">
        <x:v>UNIVERSITAS PADJADJARAN</x:v>
      </x:c>
      <x:c r="D1208" t="str">
        <x:v>ILMU KESEJAHTERAAN SOSIAL</x:v>
      </x:c>
      <x:c r="E1208" t="str">
        <x:v>Sarjana</x:v>
      </x:c>
      <x:c r="F1208" s="18" t="n">
        <x:v>21</x:v>
      </x:c>
      <x:c r="G1208" s="18" t="n">
        <x:v>762</x:v>
      </x:c>
      <x:c r="H1208" s="19" t="n">
        <x:v>36.285714285714285</x:v>
      </x:c>
      <x:c r="I1208" s="18" t="n">
        <x:f>ROUND(MIN(Model_Config_v3!$B$6,MAX(Q1208,R1208,S1208*Model_Config_v3!$B$4+T1208*Model_Config_v3!$B$5)),0)</x:f>
        <x:v>707</x:v>
      </x:c>
      <x:c r="J1208" s="18" t="n">
        <x:f>MIN(Model_Config_v3!$B$6,I1208+Model_Config_v3!$B$7)</x:f>
        <x:v>727</x:v>
      </x:c>
      <x:c r="K1208" s="20" t="n">
        <x:v>77</x:v>
      </x:c>
      <x:c r="L1208" t="str">
        <x:v>ELITE</x:v>
      </x:c>
      <x:c r="M1208" t="str">
        <x:v>SEDANG+</x:v>
      </x:c>
      <x:c r="N1208" t="str">
        <x:v>ELITE-2</x:v>
      </x:c>
      <x:c r="O1208" t="str">
        <x:v>CAMPURAN</x:v>
      </x:c>
      <x:c r="P1208" t="str">
        <x:v>UMUM</x:v>
      </x:c>
      <x:c r="Q1208" s="18" t="n">
        <x:v>655</x:v>
      </x:c>
      <x:c r="R1208" s="18" t="n">
        <x:v>0</x:v>
      </x:c>
      <x:c r="S1208" s="18" t="n">
        <x:v>691.570924426625</x:v>
      </x:c>
      <x:c r="T1208" s="18" t="n">
        <x:v>714</x:v>
      </x:c>
      <x:c r="U1208" s="18" t="n">
        <x:v>691.570924426625</x:v>
      </x:c>
      <x:c r="V1208" s="20" t="n">
        <x:v>8.8</x:v>
      </x:c>
      <x:c r="W1208" s="20" t="n">
        <x:v>9.9</x:v>
      </x:c>
      <x:c r="X1208" s="20" t="n">
        <x:v>3.3</x:v>
      </x:c>
      <x:c r="Y1208" t="str">
        <x:v>Basis arsip 2025/2024</x:v>
      </x:c>
      <x:c r="Z1208" t="str">
        <x:v>https://snpmb.id/utbk-snbt/daya-tampung-snbt</x:v>
      </x:c>
      <x:c r="AA1208" t="str">
        <x:v>Tidak Ada</x:v>
      </x:c>
      <x:c r="AB1208" t="str">
        <x:v>Campus=90; Ratio=91.8; Prodi=40; RelDemand=63.2; Capacity=82.5</x:v>
      </x:c>
    </x:row>
    <x:row r="1209">
      <x:c r="A1209" t="n">
        <x:v>1206</x:v>
      </x:c>
      <x:c r="B1209" t="str">
        <x:v>PTN Akademik</x:v>
      </x:c>
      <x:c r="C1209" t="str">
        <x:v>UNIVERSITAS PADJADJARAN</x:v>
      </x:c>
      <x:c r="D1209" t="str">
        <x:v>ILMU PEMERINTAHAN</x:v>
      </x:c>
      <x:c r="E1209" t="str">
        <x:v>Sarjana</x:v>
      </x:c>
      <x:c r="F1209" s="18" t="n">
        <x:v>24</x:v>
      </x:c>
      <x:c r="G1209" s="18" t="n">
        <x:v>779</x:v>
      </x:c>
      <x:c r="H1209" s="19" t="n">
        <x:v>32.458333333333336</x:v>
      </x:c>
      <x:c r="I1209" s="18" t="n">
        <x:f>ROUND(MIN(Model_Config_v3!$B$6,MAX(Q1209,R1209,S1209*Model_Config_v3!$B$4+T1209*Model_Config_v3!$B$5)),0)</x:f>
        <x:v>704</x:v>
      </x:c>
      <x:c r="J1209" s="18" t="n">
        <x:f>MIN(Model_Config_v3!$B$6,I1209+Model_Config_v3!$B$7)</x:f>
        <x:v>724</x:v>
      </x:c>
      <x:c r="K1209" s="20" t="n">
        <x:v>75.4</x:v>
      </x:c>
      <x:c r="L1209" t="str">
        <x:v>ELITE</x:v>
      </x:c>
      <x:c r="M1209" t="str">
        <x:v>SEDANG+</x:v>
      </x:c>
      <x:c r="N1209" t="str">
        <x:v>ELITE-2</x:v>
      </x:c>
      <x:c r="O1209" t="str">
        <x:v>CAMPURAN</x:v>
      </x:c>
      <x:c r="P1209" t="str">
        <x:v>UMUM</x:v>
      </x:c>
      <x:c r="Q1209" s="18" t="n">
        <x:v>655</x:v>
      </x:c>
      <x:c r="R1209" s="18" t="n">
        <x:v>0</x:v>
      </x:c>
      <x:c r="S1209" s="18" t="n">
        <x:v>686.2458837557054</x:v>
      </x:c>
      <x:c r="T1209" s="18" t="n">
        <x:v>711</x:v>
      </x:c>
      <x:c r="U1209" s="18" t="n">
        <x:v>686.2458837557054</x:v>
      </x:c>
      <x:c r="V1209" s="20" t="n">
        <x:v>8.8</x:v>
      </x:c>
      <x:c r="W1209" s="20" t="n">
        <x:v>9.9</x:v>
      </x:c>
      <x:c r="X1209" s="20" t="n">
        <x:v>3.3</x:v>
      </x:c>
      <x:c r="Y1209" t="str">
        <x:v>Basis arsip 2025/2024</x:v>
      </x:c>
      <x:c r="Z1209" t="str">
        <x:v>https://snpmb.id/utbk-snbt/daya-tampung-snbt</x:v>
      </x:c>
      <x:c r="AA1209" t="str">
        <x:v>Tidak Ada</x:v>
      </x:c>
      <x:c r="AB1209" t="str">
        <x:v>Campus=90; Ratio=89.0; Prodi=40; RelDemand=56.5; Capacity=80.0</x:v>
      </x:c>
    </x:row>
    <x:row r="1210">
      <x:c r="A1210" t="n">
        <x:v>1207</x:v>
      </x:c>
      <x:c r="B1210" t="str">
        <x:v>PTN Akademik</x:v>
      </x:c>
      <x:c r="C1210" t="str">
        <x:v>UNIVERSITAS PADJADJARAN</x:v>
      </x:c>
      <x:c r="D1210" t="str">
        <x:v>ANTROPOLOGI</x:v>
      </x:c>
      <x:c r="E1210" t="str">
        <x:v>Sarjana</x:v>
      </x:c>
      <x:c r="F1210" s="18" t="n">
        <x:v>20</x:v>
      </x:c>
      <x:c r="G1210" s="18" t="n">
        <x:v>515</x:v>
      </x:c>
      <x:c r="H1210" s="19" t="n">
        <x:v>25.75</x:v>
      </x:c>
      <x:c r="I1210" s="18" t="n">
        <x:f>ROUND(MIN(Model_Config_v3!$B$6,MAX(Q1210,R1210,S1210*Model_Config_v3!$B$4+T1210*Model_Config_v3!$B$5)),0)</x:f>
        <x:v>697</x:v>
      </x:c>
      <x:c r="J1210" s="18" t="n">
        <x:f>MIN(Model_Config_v3!$B$6,I1210+Model_Config_v3!$B$7)</x:f>
        <x:v>717</x:v>
      </x:c>
      <x:c r="K1210" s="20" t="n">
        <x:v>73.1</x:v>
      </x:c>
      <x:c r="L1210" t="str">
        <x:v>SANGAT KETAT</x:v>
      </x:c>
      <x:c r="M1210" t="str">
        <x:v>SEDANG+</x:v>
      </x:c>
      <x:c r="N1210" t="str">
        <x:v>ELITE-2</x:v>
      </x:c>
      <x:c r="O1210" t="str">
        <x:v>SOSHUM</x:v>
      </x:c>
      <x:c r="P1210" t="str">
        <x:v>UMUM</x:v>
      </x:c>
      <x:c r="Q1210" s="18" t="n">
        <x:v>655</x:v>
      </x:c>
      <x:c r="R1210" s="18" t="n">
        <x:v>0</x:v>
      </x:c>
      <x:c r="S1210" s="18" t="n">
        <x:v>675.1854956714931</x:v>
      </x:c>
      <x:c r="T1210" s="18" t="n">
        <x:v>706</x:v>
      </x:c>
      <x:c r="U1210" s="18" t="n">
        <x:v>675.1854956714931</x:v>
      </x:c>
      <x:c r="V1210" s="20" t="n">
        <x:v>4.4</x:v>
      </x:c>
      <x:c r="W1210" s="20" t="n">
        <x:v>14.3</x:v>
      </x:c>
      <x:c r="X1210" s="20" t="n">
        <x:v>3.3</x:v>
      </x:c>
      <x:c r="Y1210" t="str">
        <x:v>Basis arsip 2025/2024</x:v>
      </x:c>
      <x:c r="Z1210" t="str">
        <x:v>https://snpmb.id/utbk-snbt/daya-tampung-snbt</x:v>
      </x:c>
      <x:c r="AA1210" t="str">
        <x:v>Tidak Ada</x:v>
      </x:c>
      <x:c r="AB1210" t="str">
        <x:v>Campus=90; Ratio=83.0; Prodi=40; RelDemand=44.8; Capacity=83.3</x:v>
      </x:c>
    </x:row>
    <x:row r="1211">
      <x:c r="A1211" t="n">
        <x:v>1208</x:v>
      </x:c>
      <x:c r="B1211" t="str">
        <x:v>PTN Akademik</x:v>
      </x:c>
      <x:c r="C1211" t="str">
        <x:v>UNIVERSITAS PADJADJARAN</x:v>
      </x:c>
      <x:c r="D1211" t="str">
        <x:v>ILMU ADMINISTRASI BISNIS</x:v>
      </x:c>
      <x:c r="E1211" t="str">
        <x:v>Sarjana</x:v>
      </x:c>
      <x:c r="F1211" s="18" t="n">
        <x:v>44</x:v>
      </x:c>
      <x:c r="G1211" s="18" t="n">
        <x:v>1733</x:v>
      </x:c>
      <x:c r="H1211" s="19" t="n">
        <x:v>39.38636363636363</x:v>
      </x:c>
      <x:c r="I1211" s="18" t="n">
        <x:f>ROUND(MIN(Model_Config_v3!$B$6,MAX(Q1211,R1211,S1211*Model_Config_v3!$B$4+T1211*Model_Config_v3!$B$5)),0)</x:f>
        <x:v>714</x:v>
      </x:c>
      <x:c r="J1211" s="18" t="n">
        <x:f>MIN(Model_Config_v3!$B$6,I1211+Model_Config_v3!$B$7)</x:f>
        <x:v>734</x:v>
      </x:c>
      <x:c r="K1211" s="20" t="n">
        <x:v>81.2</x:v>
      </x:c>
      <x:c r="L1211" t="str">
        <x:v>ELITE</x:v>
      </x:c>
      <x:c r="M1211" t="str">
        <x:v>SEDANG+</x:v>
      </x:c>
      <x:c r="N1211" t="str">
        <x:v>ELITE-2</x:v>
      </x:c>
      <x:c r="O1211" t="str">
        <x:v>SOSHUM</x:v>
      </x:c>
      <x:c r="P1211" t="str">
        <x:v>BISNIS/EKONOMI/AKUNTANSI</x:v>
      </x:c>
      <x:c r="Q1211" s="18" t="n">
        <x:v>655</x:v>
      </x:c>
      <x:c r="R1211" s="18" t="n">
        <x:v>680</x:v>
      </x:c>
      <x:c r="S1211" s="18" t="n">
        <x:v>695.4880474850502</x:v>
      </x:c>
      <x:c r="T1211" s="18" t="n">
        <x:v>722</x:v>
      </x:c>
      <x:c r="U1211" s="18" t="n">
        <x:v>710.4880474850502</x:v>
      </x:c>
      <x:c r="V1211" s="20" t="n">
        <x:v>4.4</x:v>
      </x:c>
      <x:c r="W1211" s="20" t="n">
        <x:v>14.3</x:v>
      </x:c>
      <x:c r="X1211" s="20" t="n">
        <x:v>3.3</x:v>
      </x:c>
      <x:c r="Y1211" t="str">
        <x:v>Basis arsip 2025/2024</x:v>
      </x:c>
      <x:c r="Z1211" t="str">
        <x:v>https://snpmb.id/utbk-snbt/daya-tampung-snbt</x:v>
      </x:c>
      <x:c r="AA1211" t="str">
        <x:v>Tidak Ada</x:v>
      </x:c>
      <x:c r="AB1211" t="str">
        <x:v>Campus=90; Ratio=93.9; Prodi=65; RelDemand=68.6; Capacity=63.3</x:v>
      </x:c>
    </x:row>
    <x:row r="1212">
      <x:c r="A1212" t="n">
        <x:v>1209</x:v>
      </x:c>
      <x:c r="B1212" t="str">
        <x:v>PTN Akademik</x:v>
      </x:c>
      <x:c r="C1212" t="str">
        <x:v>UNIVERSITAS PADJADJARAN</x:v>
      </x:c>
      <x:c r="D1212" t="str">
        <x:v>SASTRA INDONESIA</x:v>
      </x:c>
      <x:c r="E1212" t="str">
        <x:v>Sarjana</x:v>
      </x:c>
      <x:c r="F1212" s="18" t="n">
        <x:v>48</x:v>
      </x:c>
      <x:c r="G1212" s="18" t="n">
        <x:v>411</x:v>
      </x:c>
      <x:c r="H1212" s="19" t="n">
        <x:v>8.5625</x:v>
      </x:c>
      <x:c r="I1212" s="18" t="n">
        <x:f>ROUND(MIN(Model_Config_v3!$B$6,MAX(Q1212,R1212,S1212*Model_Config_v3!$B$4+T1212*Model_Config_v3!$B$5)),0)</x:f>
        <x:v>663</x:v>
      </x:c>
      <x:c r="J1212" s="18" t="n">
        <x:f>MIN(Model_Config_v3!$B$6,I1212+Model_Config_v3!$B$7)</x:f>
        <x:v>683</x:v>
      </x:c>
      <x:c r="K1212" s="20" t="n">
        <x:v>60.7</x:v>
      </x:c>
      <x:c r="L1212" t="str">
        <x:v>KETAT</x:v>
      </x:c>
      <x:c r="M1212" t="str">
        <x:v>SEDANG+</x:v>
      </x:c>
      <x:c r="N1212" t="str">
        <x:v>ELITE-2</x:v>
      </x:c>
      <x:c r="O1212" t="str">
        <x:v>SOSHUM</x:v>
      </x:c>
      <x:c r="P1212" t="str">
        <x:v>UMUM</x:v>
      </x:c>
      <x:c r="Q1212" s="18" t="n">
        <x:v>655</x:v>
      </x:c>
      <x:c r="R1212" s="18" t="n">
        <x:v>0</x:v>
      </x:c>
      <x:c r="S1212" s="18" t="n">
        <x:v>622.586064295053</x:v>
      </x:c>
      <x:c r="T1212" s="18" t="n">
        <x:v>681</x:v>
      </x:c>
      <x:c r="U1212" s="18" t="n">
        <x:v>655</x:v>
      </x:c>
      <x:c r="V1212" s="20" t="n">
        <x:v>4.4</x:v>
      </x:c>
      <x:c r="W1212" s="20" t="n">
        <x:v>14.3</x:v>
      </x:c>
      <x:c r="X1212" s="20" t="n">
        <x:v>3.3</x:v>
      </x:c>
      <x:c r="Y1212" t="str">
        <x:v>Basis arsip 2025/2024</x:v>
      </x:c>
      <x:c r="Z1212" t="str">
        <x:v>https://snpmb.id/utbk-snbt/daya-tampung-snbt</x:v>
      </x:c>
      <x:c r="AA1212" t="str">
        <x:v>Tidak Ada</x:v>
      </x:c>
      <x:c r="AB1212" t="str">
        <x:v>Campus=90; Ratio=54.9; Prodi=40; RelDemand=14.9; Capacity=60.0</x:v>
      </x:c>
    </x:row>
    <x:row r="1213">
      <x:c r="A1213" t="n">
        <x:v>1210</x:v>
      </x:c>
      <x:c r="B1213" t="str">
        <x:v>PTN Akademik</x:v>
      </x:c>
      <x:c r="C1213" t="str">
        <x:v>UNIVERSITAS PADJADJARAN</x:v>
      </x:c>
      <x:c r="D1213" t="str">
        <x:v>SASTRA SUNDA</x:v>
      </x:c>
      <x:c r="E1213" t="str">
        <x:v>Sarjana</x:v>
      </x:c>
      <x:c r="F1213" s="18" t="n">
        <x:v>27</x:v>
      </x:c>
      <x:c r="G1213" s="18" t="n">
        <x:v>191</x:v>
      </x:c>
      <x:c r="H1213" s="19" t="n">
        <x:v>7.074074074074074</x:v>
      </x:c>
      <x:c r="I1213" s="18" t="n">
        <x:f>ROUND(MIN(Model_Config_v3!$B$6,MAX(Q1213,R1213,S1213*Model_Config_v3!$B$4+T1213*Model_Config_v3!$B$5)),0)</x:f>
        <x:v>661</x:v>
      </x:c>
      <x:c r="J1213" s="18" t="n">
        <x:f>MIN(Model_Config_v3!$B$6,I1213+Model_Config_v3!$B$7)</x:f>
        <x:v>681</x:v>
      </x:c>
      <x:c r="K1213" s="20" t="n">
        <x:v>61</x:v>
      </x:c>
      <x:c r="L1213" t="str">
        <x:v>KETAT</x:v>
      </x:c>
      <x:c r="M1213" t="str">
        <x:v>SEDANG+</x:v>
      </x:c>
      <x:c r="N1213" t="str">
        <x:v>ELITE-2</x:v>
      </x:c>
      <x:c r="O1213" t="str">
        <x:v>SOSHUM</x:v>
      </x:c>
      <x:c r="P1213" t="str">
        <x:v>UMUM</x:v>
      </x:c>
      <x:c r="Q1213" s="18" t="n">
        <x:v>655</x:v>
      </x:c>
      <x:c r="R1213" s="18" t="n">
        <x:v>0</x:v>
      </x:c>
      <x:c r="S1213" s="18" t="n">
        <x:v>613.4636563397614</x:v>
      </x:c>
      <x:c r="T1213" s="18" t="n">
        <x:v>682</x:v>
      </x:c>
      <x:c r="U1213" s="18" t="n">
        <x:v>655</x:v>
      </x:c>
      <x:c r="V1213" s="20" t="n">
        <x:v>4.4</x:v>
      </x:c>
      <x:c r="W1213" s="20" t="n">
        <x:v>14.3</x:v>
      </x:c>
      <x:c r="X1213" s="20" t="n">
        <x:v>3.3</x:v>
      </x:c>
      <x:c r="Y1213" t="str">
        <x:v>Basis arsip 2025/2024</x:v>
      </x:c>
      <x:c r="Z1213" t="str">
        <x:v>https://snpmb.id/utbk-snbt/daya-tampung-snbt</x:v>
      </x:c>
      <x:c r="AA1213" t="str">
        <x:v>Tidak Ada</x:v>
      </x:c>
      <x:c r="AB1213" t="str">
        <x:v>Campus=90; Ratio=50.0; Prodi=40; RelDemand=12.3; Capacity=77.5</x:v>
      </x:c>
    </x:row>
    <x:row r="1214">
      <x:c r="A1214" t="n">
        <x:v>1211</x:v>
      </x:c>
      <x:c r="B1214" t="str">
        <x:v>PTN Akademik</x:v>
      </x:c>
      <x:c r="C1214" t="str">
        <x:v>UNIVERSITAS PADJADJARAN</x:v>
      </x:c>
      <x:c r="D1214" t="str">
        <x:v>ILMU SEJARAH</x:v>
      </x:c>
      <x:c r="E1214" t="str">
        <x:v>Sarjana</x:v>
      </x:c>
      <x:c r="F1214" s="18" t="n">
        <x:v>36</x:v>
      </x:c>
      <x:c r="G1214" s="18" t="n">
        <x:v>435</x:v>
      </x:c>
      <x:c r="H1214" s="19" t="n">
        <x:v>12.083333333333334</x:v>
      </x:c>
      <x:c r="I1214" s="18" t="n">
        <x:f>ROUND(MIN(Model_Config_v3!$B$6,MAX(Q1214,R1214,S1214*Model_Config_v3!$B$4+T1214*Model_Config_v3!$B$5)),0)</x:f>
        <x:v>674</x:v>
      </x:c>
      <x:c r="J1214" s="18" t="n">
        <x:f>MIN(Model_Config_v3!$B$6,I1214+Model_Config_v3!$B$7)</x:f>
        <x:v>694</x:v>
      </x:c>
      <x:c r="K1214" s="20" t="n">
        <x:v>64.5</x:v>
      </x:c>
      <x:c r="L1214" t="str">
        <x:v>KETAT</x:v>
      </x:c>
      <x:c r="M1214" t="str">
        <x:v>SEDANG+</x:v>
      </x:c>
      <x:c r="N1214" t="str">
        <x:v>ELITE-2</x:v>
      </x:c>
      <x:c r="O1214" t="str">
        <x:v>SOSHUM</x:v>
      </x:c>
      <x:c r="P1214" t="str">
        <x:v>UMUM</x:v>
      </x:c>
      <x:c r="Q1214" s="18" t="n">
        <x:v>655</x:v>
      </x:c>
      <x:c r="R1214" s="18" t="n">
        <x:v>0</x:v>
      </x:c>
      <x:c r="S1214" s="18" t="n">
        <x:v>639.0405431806084</x:v>
      </x:c>
      <x:c r="T1214" s="18" t="n">
        <x:v>689</x:v>
      </x:c>
      <x:c r="U1214" s="18" t="n">
        <x:v>655</x:v>
      </x:c>
      <x:c r="V1214" s="20" t="n">
        <x:v>4.4</x:v>
      </x:c>
      <x:c r="W1214" s="20" t="n">
        <x:v>14.3</x:v>
      </x:c>
      <x:c r="X1214" s="20" t="n">
        <x:v>3.3</x:v>
      </x:c>
      <x:c r="Y1214" t="str">
        <x:v>Basis arsip 2025/2024</x:v>
      </x:c>
      <x:c r="Z1214" t="str">
        <x:v>https://snpmb.id/utbk-snbt/daya-tampung-snbt</x:v>
      </x:c>
      <x:c r="AA1214" t="str">
        <x:v>Tidak Ada</x:v>
      </x:c>
      <x:c r="AB1214" t="str">
        <x:v>Campus=90; Ratio=63.7; Prodi=40; RelDemand=21.0; Capacity=70.0</x:v>
      </x:c>
    </x:row>
    <x:row r="1215">
      <x:c r="A1215" t="n">
        <x:v>1212</x:v>
      </x:c>
      <x:c r="B1215" t="str">
        <x:v>PTN Akademik</x:v>
      </x:c>
      <x:c r="C1215" t="str">
        <x:v>UNIVERSITAS PADJADJARAN</x:v>
      </x:c>
      <x:c r="D1215" t="str">
        <x:v>SASTRA INGGRIS</x:v>
      </x:c>
      <x:c r="E1215" t="str">
        <x:v>Sarjana</x:v>
      </x:c>
      <x:c r="F1215" s="18" t="n">
        <x:v>52</x:v>
      </x:c>
      <x:c r="G1215" s="18" t="n">
        <x:v>932</x:v>
      </x:c>
      <x:c r="H1215" s="19" t="n">
        <x:v>17.923076923076923</x:v>
      </x:c>
      <x:c r="I1215" s="18" t="n">
        <x:f>ROUND(MIN(Model_Config_v3!$B$6,MAX(Q1215,R1215,S1215*Model_Config_v3!$B$4+T1215*Model_Config_v3!$B$5)),0)</x:f>
        <x:v>682</x:v>
      </x:c>
      <x:c r="J1215" s="18" t="n">
        <x:f>MIN(Model_Config_v3!$B$6,I1215+Model_Config_v3!$B$7)</x:f>
        <x:v>702</x:v>
      </x:c>
      <x:c r="K1215" s="20" t="n">
        <x:v>66.7</x:v>
      </x:c>
      <x:c r="L1215" t="str">
        <x:v>SANGAT KETAT</x:v>
      </x:c>
      <x:c r="M1215" t="str">
        <x:v>SEDANG+</x:v>
      </x:c>
      <x:c r="N1215" t="str">
        <x:v>ELITE-2</x:v>
      </x:c>
      <x:c r="O1215" t="str">
        <x:v>SOSHUM</x:v>
      </x:c>
      <x:c r="P1215" t="str">
        <x:v>UMUM</x:v>
      </x:c>
      <x:c r="Q1215" s="18" t="n">
        <x:v>655</x:v>
      </x:c>
      <x:c r="R1215" s="18" t="n">
        <x:v>0</x:v>
      </x:c>
      <x:c r="S1215" s="18" t="n">
        <x:v>657.87538255911</x:v>
      </x:c>
      <x:c r="T1215" s="18" t="n">
        <x:v>693</x:v>
      </x:c>
      <x:c r="U1215" s="18" t="n">
        <x:v>657.87538255911</x:v>
      </x:c>
      <x:c r="V1215" s="20" t="n">
        <x:v>4.4</x:v>
      </x:c>
      <x:c r="W1215" s="20" t="n">
        <x:v>14.3</x:v>
      </x:c>
      <x:c r="X1215" s="20" t="n">
        <x:v>3.3</x:v>
      </x:c>
      <x:c r="Y1215" t="str">
        <x:v>Basis arsip 2025/2024</x:v>
      </x:c>
      <x:c r="Z1215" t="str">
        <x:v>https://snpmb.id/utbk-snbt/daya-tampung-snbt</x:v>
      </x:c>
      <x:c r="AA1215" t="str">
        <x:v>Tidak Ada</x:v>
      </x:c>
      <x:c r="AB1215" t="str">
        <x:v>Campus=90; Ratio=73.8; Prodi=40; RelDemand=31.2; Capacity=56.7</x:v>
      </x:c>
    </x:row>
    <x:row r="1216">
      <x:c r="A1216" t="n">
        <x:v>1213</x:v>
      </x:c>
      <x:c r="B1216" t="str">
        <x:v>PTN Akademik</x:v>
      </x:c>
      <x:c r="C1216" t="str">
        <x:v>UNIVERSITAS PADJADJARAN</x:v>
      </x:c>
      <x:c r="D1216" t="str">
        <x:v>SASTRA PERANCIS</x:v>
      </x:c>
      <x:c r="E1216" t="str">
        <x:v>Sarjana</x:v>
      </x:c>
      <x:c r="F1216" s="18" t="n">
        <x:v>21</x:v>
      </x:c>
      <x:c r="G1216" s="18" t="n">
        <x:v>180</x:v>
      </x:c>
      <x:c r="H1216" s="19" t="n">
        <x:v>8.571428571428571</x:v>
      </x:c>
      <x:c r="I1216" s="18" t="n">
        <x:f>ROUND(MIN(Model_Config_v3!$B$6,MAX(Q1216,R1216,S1216*Model_Config_v3!$B$4+T1216*Model_Config_v3!$B$5)),0)</x:f>
        <x:v>667</x:v>
      </x:c>
      <x:c r="J1216" s="18" t="n">
        <x:f>MIN(Model_Config_v3!$B$6,I1216+Model_Config_v3!$B$7)</x:f>
        <x:v>687</x:v>
      </x:c>
      <x:c r="K1216" s="20" t="n">
        <x:v>63</x:v>
      </x:c>
      <x:c r="L1216" t="str">
        <x:v>KETAT</x:v>
      </x:c>
      <x:c r="M1216" t="str">
        <x:v>SEDANG+</x:v>
      </x:c>
      <x:c r="N1216" t="str">
        <x:v>ELITE-2</x:v>
      </x:c>
      <x:c r="O1216" t="str">
        <x:v>SOSHUM</x:v>
      </x:c>
      <x:c r="P1216" t="str">
        <x:v>UMUM</x:v>
      </x:c>
      <x:c r="Q1216" s="18" t="n">
        <x:v>655</x:v>
      </x:c>
      <x:c r="R1216" s="18" t="n">
        <x:v>0</x:v>
      </x:c>
      <x:c r="S1216" s="18" t="n">
        <x:v>622.6358531406325</x:v>
      </x:c>
      <x:c r="T1216" s="18" t="n">
        <x:v>686</x:v>
      </x:c>
      <x:c r="U1216" s="18" t="n">
        <x:v>655</x:v>
      </x:c>
      <x:c r="V1216" s="20" t="n">
        <x:v>4.4</x:v>
      </x:c>
      <x:c r="W1216" s="20" t="n">
        <x:v>14.3</x:v>
      </x:c>
      <x:c r="X1216" s="20" t="n">
        <x:v>3.3</x:v>
      </x:c>
      <x:c r="Y1216" t="str">
        <x:v>Basis arsip 2025/2024</x:v>
      </x:c>
      <x:c r="Z1216" t="str">
        <x:v>https://snpmb.id/utbk-snbt/daya-tampung-snbt</x:v>
      </x:c>
      <x:c r="AA1216" t="str">
        <x:v>Tidak Ada</x:v>
      </x:c>
      <x:c r="AB1216" t="str">
        <x:v>Campus=90; Ratio=54.9; Prodi=40; RelDemand=14.9; Capacity=82.5</x:v>
      </x:c>
    </x:row>
    <x:row r="1217">
      <x:c r="A1217" t="n">
        <x:v>1214</x:v>
      </x:c>
      <x:c r="B1217" t="str">
        <x:v>PTN Akademik</x:v>
      </x:c>
      <x:c r="C1217" t="str">
        <x:v>UNIVERSITAS PADJADJARAN</x:v>
      </x:c>
      <x:c r="D1217" t="str">
        <x:v>SASTRA JEPANG</x:v>
      </x:c>
      <x:c r="E1217" t="str">
        <x:v>Sarjana</x:v>
      </x:c>
      <x:c r="F1217" s="18" t="n">
        <x:v>39</x:v>
      </x:c>
      <x:c r="G1217" s="18" t="n">
        <x:v>664</x:v>
      </x:c>
      <x:c r="H1217" s="19" t="n">
        <x:v>17.025641025641026</x:v>
      </x:c>
      <x:c r="I1217" s="18" t="n">
        <x:f>ROUND(MIN(Model_Config_v3!$B$6,MAX(Q1217,R1217,S1217*Model_Config_v3!$B$4+T1217*Model_Config_v3!$B$5)),0)</x:f>
        <x:v>683</x:v>
      </x:c>
      <x:c r="J1217" s="18" t="n">
        <x:f>MIN(Model_Config_v3!$B$6,I1217+Model_Config_v3!$B$7)</x:f>
        <x:v>703</x:v>
      </x:c>
      <x:c r="K1217" s="20" t="n">
        <x:v>67.3</x:v>
      </x:c>
      <x:c r="L1217" t="str">
        <x:v>SANGAT KETAT</x:v>
      </x:c>
      <x:c r="M1217" t="str">
        <x:v>SEDANG+</x:v>
      </x:c>
      <x:c r="N1217" t="str">
        <x:v>ELITE-2</x:v>
      </x:c>
      <x:c r="O1217" t="str">
        <x:v>SOSHUM</x:v>
      </x:c>
      <x:c r="P1217" t="str">
        <x:v>UMUM</x:v>
      </x:c>
      <x:c r="Q1217" s="18" t="n">
        <x:v>655</x:v>
      </x:c>
      <x:c r="R1217" s="18" t="n">
        <x:v>0</x:v>
      </x:c>
      <x:c r="S1217" s="18" t="n">
        <x:v>655.4213819575671</x:v>
      </x:c>
      <x:c r="T1217" s="18" t="n">
        <x:v>695</x:v>
      </x:c>
      <x:c r="U1217" s="18" t="n">
        <x:v>655.4213819575671</x:v>
      </x:c>
      <x:c r="V1217" s="20" t="n">
        <x:v>4.4</x:v>
      </x:c>
      <x:c r="W1217" s="20" t="n">
        <x:v>14.3</x:v>
      </x:c>
      <x:c r="X1217" s="20" t="n">
        <x:v>3.3</x:v>
      </x:c>
      <x:c r="Y1217" t="str">
        <x:v>Basis arsip 2025/2024</x:v>
      </x:c>
      <x:c r="Z1217" t="str">
        <x:v>https://snpmb.id/utbk-snbt/daya-tampung-snbt</x:v>
      </x:c>
      <x:c r="AA1217" t="str">
        <x:v>Tidak Ada</x:v>
      </x:c>
      <x:c r="AB1217" t="str">
        <x:v>Campus=90; Ratio=72.5; Prodi=40; RelDemand=29.6; Capacity=67.5</x:v>
      </x:c>
    </x:row>
    <x:row r="1218">
      <x:c r="A1218" t="n">
        <x:v>1215</x:v>
      </x:c>
      <x:c r="B1218" t="str">
        <x:v>PTN Akademik</x:v>
      </x:c>
      <x:c r="C1218" t="str">
        <x:v>UNIVERSITAS PADJADJARAN</x:v>
      </x:c>
      <x:c r="D1218" t="str">
        <x:v>SASTRA RUSIA</x:v>
      </x:c>
      <x:c r="E1218" t="str">
        <x:v>Sarjana</x:v>
      </x:c>
      <x:c r="F1218" s="18" t="n">
        <x:v>18</x:v>
      </x:c>
      <x:c r="G1218" s="18" t="n">
        <x:v>140</x:v>
      </x:c>
      <x:c r="H1218" s="19" t="n">
        <x:v>7.777777777777778</x:v>
      </x:c>
      <x:c r="I1218" s="18" t="n">
        <x:f>ROUND(MIN(Model_Config_v3!$B$6,MAX(Q1218,R1218,S1218*Model_Config_v3!$B$4+T1218*Model_Config_v3!$B$5)),0)</x:f>
        <x:v>665</x:v>
      </x:c>
      <x:c r="J1218" s="18" t="n">
        <x:f>MIN(Model_Config_v3!$B$6,I1218+Model_Config_v3!$B$7)</x:f>
        <x:v>685</x:v>
      </x:c>
      <x:c r="K1218" s="20" t="n">
        <x:v>62.5</x:v>
      </x:c>
      <x:c r="L1218" t="str">
        <x:v>KETAT</x:v>
      </x:c>
      <x:c r="M1218" t="str">
        <x:v>SEDANG+</x:v>
      </x:c>
      <x:c r="N1218" t="str">
        <x:v>ELITE-2</x:v>
      </x:c>
      <x:c r="O1218" t="str">
        <x:v>SOSHUM</x:v>
      </x:c>
      <x:c r="P1218" t="str">
        <x:v>UMUM</x:v>
      </x:c>
      <x:c r="Q1218" s="18" t="n">
        <x:v>655</x:v>
      </x:c>
      <x:c r="R1218" s="18" t="n">
        <x:v>0</x:v>
      </x:c>
      <x:c r="S1218" s="18" t="n">
        <x:v>617.9941083632425</x:v>
      </x:c>
      <x:c r="T1218" s="18" t="n">
        <x:v>685</x:v>
      </x:c>
      <x:c r="U1218" s="18" t="n">
        <x:v>655</x:v>
      </x:c>
      <x:c r="V1218" s="20" t="n">
        <x:v>4.4</x:v>
      </x:c>
      <x:c r="W1218" s="20" t="n">
        <x:v>14.3</x:v>
      </x:c>
      <x:c r="X1218" s="20" t="n">
        <x:v>3.3</x:v>
      </x:c>
      <x:c r="Y1218" t="str">
        <x:v>Basis arsip 2025/2024</x:v>
      </x:c>
      <x:c r="Z1218" t="str">
        <x:v>https://snpmb.id/utbk-snbt/daya-tampung-snbt</x:v>
      </x:c>
      <x:c r="AA1218" t="str">
        <x:v>Tidak Ada</x:v>
      </x:c>
      <x:c r="AB1218" t="str">
        <x:v>Campus=90; Ratio=52.4; Prodi=40; RelDemand=13.5; Capacity=85.0</x:v>
      </x:c>
    </x:row>
    <x:row r="1219">
      <x:c r="A1219" t="n">
        <x:v>1216</x:v>
      </x:c>
      <x:c r="B1219" t="str">
        <x:v>PTN Akademik</x:v>
      </x:c>
      <x:c r="C1219" t="str">
        <x:v>UNIVERSITAS PADJADJARAN</x:v>
      </x:c>
      <x:c r="D1219" t="str">
        <x:v>SASTRA JERMAN</x:v>
      </x:c>
      <x:c r="E1219" t="str">
        <x:v>Sarjana</x:v>
      </x:c>
      <x:c r="F1219" s="18" t="n">
        <x:v>18</x:v>
      </x:c>
      <x:c r="G1219" s="18" t="n">
        <x:v>238</x:v>
      </x:c>
      <x:c r="H1219" s="19" t="n">
        <x:v>13.222222222222221</x:v>
      </x:c>
      <x:c r="I1219" s="18" t="n">
        <x:f>ROUND(MIN(Model_Config_v3!$B$6,MAX(Q1219,R1219,S1219*Model_Config_v3!$B$4+T1219*Model_Config_v3!$B$5)),0)</x:f>
        <x:v>679</x:v>
      </x:c>
      <x:c r="J1219" s="18" t="n">
        <x:f>MIN(Model_Config_v3!$B$6,I1219+Model_Config_v3!$B$7)</x:f>
        <x:v>699</x:v>
      </x:c>
      <x:c r="K1219" s="20" t="n">
        <x:v>66.8</x:v>
      </x:c>
      <x:c r="L1219" t="str">
        <x:v>SANGAT KETAT</x:v>
      </x:c>
      <x:c r="M1219" t="str">
        <x:v>SEDANG+</x:v>
      </x:c>
      <x:c r="N1219" t="str">
        <x:v>ELITE-2</x:v>
      </x:c>
      <x:c r="O1219" t="str">
        <x:v>SOSHUM</x:v>
      </x:c>
      <x:c r="P1219" t="str">
        <x:v>UMUM</x:v>
      </x:c>
      <x:c r="Q1219" s="18" t="n">
        <x:v>655</x:v>
      </x:c>
      <x:c r="R1219" s="18" t="n">
        <x:v>0</x:v>
      </x:c>
      <x:c r="S1219" s="18" t="n">
        <x:v>643.3434897148527</x:v>
      </x:c>
      <x:c r="T1219" s="18" t="n">
        <x:v>694</x:v>
      </x:c>
      <x:c r="U1219" s="18" t="n">
        <x:v>655</x:v>
      </x:c>
      <x:c r="V1219" s="20" t="n">
        <x:v>4.4</x:v>
      </x:c>
      <x:c r="W1219" s="20" t="n">
        <x:v>14.3</x:v>
      </x:c>
      <x:c r="X1219" s="20" t="n">
        <x:v>3.3</x:v>
      </x:c>
      <x:c r="Y1219" t="str">
        <x:v>Basis arsip 2025/2024</x:v>
      </x:c>
      <x:c r="Z1219" t="str">
        <x:v>https://snpmb.id/utbk-snbt/daya-tampung-snbt</x:v>
      </x:c>
      <x:c r="AA1219" t="str">
        <x:v>Tidak Ada</x:v>
      </x:c>
      <x:c r="AB1219" t="str">
        <x:v>Campus=90; Ratio=66.0; Prodi=40; RelDemand=23.0; Capacity=85.0</x:v>
      </x:c>
    </x:row>
    <x:row r="1220">
      <x:c r="A1220" t="n">
        <x:v>1217</x:v>
      </x:c>
      <x:c r="B1220" t="str">
        <x:v>PTN Akademik</x:v>
      </x:c>
      <x:c r="C1220" t="str">
        <x:v>UNIVERSITAS PADJADJARAN</x:v>
      </x:c>
      <x:c r="D1220" t="str">
        <x:v>SASTRA ARAB</x:v>
      </x:c>
      <x:c r="E1220" t="str">
        <x:v>Sarjana</x:v>
      </x:c>
      <x:c r="F1220" s="18" t="n">
        <x:v>36</x:v>
      </x:c>
      <x:c r="G1220" s="18" t="n">
        <x:v>398</x:v>
      </x:c>
      <x:c r="H1220" s="19" t="n">
        <x:v>11.055555555555555</x:v>
      </x:c>
      <x:c r="I1220" s="18" t="n">
        <x:f>ROUND(MIN(Model_Config_v3!$B$6,MAX(Q1220,R1220,S1220*Model_Config_v3!$B$4+T1220*Model_Config_v3!$B$5)),0)</x:f>
        <x:v>672</x:v>
      </x:c>
      <x:c r="J1220" s="18" t="n">
        <x:f>MIN(Model_Config_v3!$B$6,I1220+Model_Config_v3!$B$7)</x:f>
        <x:v>692</x:v>
      </x:c>
      <x:c r="K1220" s="20" t="n">
        <x:v>63.8</x:v>
      </x:c>
      <x:c r="L1220" t="str">
        <x:v>KETAT</x:v>
      </x:c>
      <x:c r="M1220" t="str">
        <x:v>SEDANG+</x:v>
      </x:c>
      <x:c r="N1220" t="str">
        <x:v>ELITE-2</x:v>
      </x:c>
      <x:c r="O1220" t="str">
        <x:v>SOSHUM</x:v>
      </x:c>
      <x:c r="P1220" t="str">
        <x:v>UMUM</x:v>
      </x:c>
      <x:c r="Q1220" s="18" t="n">
        <x:v>655</x:v>
      </x:c>
      <x:c r="R1220" s="18" t="n">
        <x:v>0</x:v>
      </x:c>
      <x:c r="S1220" s="18" t="n">
        <x:v>634.7938628437041</x:v>
      </x:c>
      <x:c r="T1220" s="18" t="n">
        <x:v>688</x:v>
      </x:c>
      <x:c r="U1220" s="18" t="n">
        <x:v>655</x:v>
      </x:c>
      <x:c r="V1220" s="20" t="n">
        <x:v>4.4</x:v>
      </x:c>
      <x:c r="W1220" s="20" t="n">
        <x:v>14.3</x:v>
      </x:c>
      <x:c r="X1220" s="20" t="n">
        <x:v>3.3</x:v>
      </x:c>
      <x:c r="Y1220" t="str">
        <x:v>Basis arsip 2025/2024</x:v>
      </x:c>
      <x:c r="Z1220" t="str">
        <x:v>https://snpmb.id/utbk-snbt/daya-tampung-snbt</x:v>
      </x:c>
      <x:c r="AA1220" t="str">
        <x:v>Tidak Ada</x:v>
      </x:c>
      <x:c r="AB1220" t="str">
        <x:v>Campus=90; Ratio=61.4; Prodi=40; RelDemand=19.3; Capacity=70.0</x:v>
      </x:c>
    </x:row>
    <x:row r="1221">
      <x:c r="A1221" t="n">
        <x:v>1218</x:v>
      </x:c>
      <x:c r="B1221" t="str">
        <x:v>PTN Akademik</x:v>
      </x:c>
      <x:c r="C1221" t="str">
        <x:v>UNIVERSITAS PADJADJARAN</x:v>
      </x:c>
      <x:c r="D1221" t="str">
        <x:v>ILMU KOMUNIKASI</x:v>
      </x:c>
      <x:c r="E1221" t="str">
        <x:v>Sarjana</x:v>
      </x:c>
      <x:c r="F1221" s="18" t="n">
        <x:v>45</x:v>
      </x:c>
      <x:c r="G1221" s="18" t="n">
        <x:v>2427</x:v>
      </x:c>
      <x:c r="H1221" s="19" t="n">
        <x:v>53.93333333333333</x:v>
      </x:c>
      <x:c r="I1221" s="18" t="n">
        <x:f>ROUND(MIN(Model_Config_v3!$B$6,MAX(Q1221,R1221,S1221*Model_Config_v3!$B$4+T1221*Model_Config_v3!$B$5)),0)</x:f>
        <x:v>717</x:v>
      </x:c>
      <x:c r="J1221" s="18" t="n">
        <x:f>MIN(Model_Config_v3!$B$6,I1221+Model_Config_v3!$B$7)</x:f>
        <x:v>737</x:v>
      </x:c>
      <x:c r="K1221" s="20" t="n">
        <x:v>80.1</x:v>
      </x:c>
      <x:c r="L1221" t="str">
        <x:v>ELITE</x:v>
      </x:c>
      <x:c r="M1221" t="str">
        <x:v>SEDANG+</x:v>
      </x:c>
      <x:c r="N1221" t="str">
        <x:v>ELITE-2</x:v>
      </x:c>
      <x:c r="O1221" t="str">
        <x:v>SOSHUM</x:v>
      </x:c>
      <x:c r="P1221" t="str">
        <x:v>UMUM</x:v>
      </x:c>
      <x:c r="Q1221" s="18" t="n">
        <x:v>655</x:v>
      </x:c>
      <x:c r="R1221" s="18" t="n">
        <x:v>0</x:v>
      </x:c>
      <x:c r="S1221" s="18" t="n">
        <x:v>710.5042988812249</x:v>
      </x:c>
      <x:c r="T1221" s="18" t="n">
        <x:v>720</x:v>
      </x:c>
      <x:c r="U1221" s="18" t="n">
        <x:v>710.5042988812249</x:v>
      </x:c>
      <x:c r="V1221" s="20" t="n">
        <x:v>4.4</x:v>
      </x:c>
      <x:c r="W1221" s="20" t="n">
        <x:v>14.3</x:v>
      </x:c>
      <x:c r="X1221" s="20" t="n">
        <x:v>3.3</x:v>
      </x:c>
      <x:c r="Y1221" t="str">
        <x:v>Basis arsip 2025/2024</x:v>
      </x:c>
      <x:c r="Z1221" t="str">
        <x:v>https://snpmb.id/utbk-snbt/daya-tampung-snbt</x:v>
      </x:c>
      <x:c r="AA1221" t="str">
        <x:v>Tidak Ada</x:v>
      </x:c>
      <x:c r="AB1221" t="str">
        <x:v>Campus=90; Ratio=100.0; Prodi=40; RelDemand=93.9; Capacity=62.5</x:v>
      </x:c>
    </x:row>
    <x:row r="1222">
      <x:c r="A1222" t="n">
        <x:v>1219</x:v>
      </x:c>
      <x:c r="B1222" t="str">
        <x:v>PTN Akademik</x:v>
      </x:c>
      <x:c r="C1222" t="str">
        <x:v>UNIVERSITAS PADJADJARAN</x:v>
      </x:c>
      <x:c r="D1222" t="str">
        <x:v>PERPUSTAKAAN DAN SAINS INFORMASI</x:v>
      </x:c>
      <x:c r="E1222" t="str">
        <x:v>Sarjana</x:v>
      </x:c>
      <x:c r="F1222" s="18" t="n">
        <x:v>39</x:v>
      </x:c>
      <x:c r="G1222" s="18" t="n">
        <x:v>474</x:v>
      </x:c>
      <x:c r="H1222" s="19" t="n">
        <x:v>12.153846153846153</x:v>
      </x:c>
      <x:c r="I1222" s="18" t="n">
        <x:f>ROUND(MIN(Model_Config_v3!$B$6,MAX(Q1222,R1222,S1222*Model_Config_v3!$B$4+T1222*Model_Config_v3!$B$5)),0)</x:f>
        <x:v>674</x:v>
      </x:c>
      <x:c r="J1222" s="18" t="n">
        <x:f>MIN(Model_Config_v3!$B$6,I1222+Model_Config_v3!$B$7)</x:f>
        <x:v>694</x:v>
      </x:c>
      <x:c r="K1222" s="20" t="n">
        <x:v>64.3</x:v>
      </x:c>
      <x:c r="L1222" t="str">
        <x:v>KETAT</x:v>
      </x:c>
      <x:c r="M1222" t="str">
        <x:v>SEDANG+</x:v>
      </x:c>
      <x:c r="N1222" t="str">
        <x:v>ELITE-2</x:v>
      </x:c>
      <x:c r="O1222" t="str">
        <x:v>CAMPURAN</x:v>
      </x:c>
      <x:c r="P1222" t="str">
        <x:v>UMUM</x:v>
      </x:c>
      <x:c r="Q1222" s="18" t="n">
        <x:v>655</x:v>
      </x:c>
      <x:c r="R1222" s="18" t="n">
        <x:v>0</x:v>
      </x:c>
      <x:c r="S1222" s="18" t="n">
        <x:v>639.3185108112344</x:v>
      </x:c>
      <x:c r="T1222" s="18" t="n">
        <x:v>689</x:v>
      </x:c>
      <x:c r="U1222" s="18" t="n">
        <x:v>655</x:v>
      </x:c>
      <x:c r="V1222" s="20" t="n">
        <x:v>8.8</x:v>
      </x:c>
      <x:c r="W1222" s="20" t="n">
        <x:v>9.9</x:v>
      </x:c>
      <x:c r="X1222" s="20" t="n">
        <x:v>3.3</x:v>
      </x:c>
      <x:c r="Y1222" t="str">
        <x:v>Basis arsip 2025/2024</x:v>
      </x:c>
      <x:c r="Z1222" t="str">
        <x:v>https://snpmb.id/utbk-snbt/daya-tampung-snbt</x:v>
      </x:c>
      <x:c r="AA1222" t="str">
        <x:v>Tidak Ada</x:v>
      </x:c>
      <x:c r="AB1222" t="str">
        <x:v>Campus=90; Ratio=63.8; Prodi=40; RelDemand=21.2; Capacity=67.5</x:v>
      </x:c>
    </x:row>
    <x:row r="1223">
      <x:c r="A1223" t="n">
        <x:v>1220</x:v>
      </x:c>
      <x:c r="B1223" t="str">
        <x:v>PTN Akademik</x:v>
      </x:c>
      <x:c r="C1223" t="str">
        <x:v>UNIVERSITAS PADJADJARAN</x:v>
      </x:c>
      <x:c r="D1223" t="str">
        <x:v>SOSIOLOGI</x:v>
      </x:c>
      <x:c r="E1223" t="str">
        <x:v>Sarjana</x:v>
      </x:c>
      <x:c r="F1223" s="18" t="n">
        <x:v>15</x:v>
      </x:c>
      <x:c r="G1223" s="18" t="n">
        <x:v>333</x:v>
      </x:c>
      <x:c r="H1223" s="19" t="n">
        <x:v>22.2</x:v>
      </x:c>
      <x:c r="I1223" s="18" t="n">
        <x:f>ROUND(MIN(Model_Config_v3!$B$6,MAX(Q1223,R1223,S1223*Model_Config_v3!$B$4+T1223*Model_Config_v3!$B$5)),0)</x:f>
        <x:v>693</x:v>
      </x:c>
      <x:c r="J1223" s="18" t="n">
        <x:f>MIN(Model_Config_v3!$B$6,I1223+Model_Config_v3!$B$7)</x:f>
        <x:v>713</x:v>
      </x:c>
      <x:c r="K1223" s="20" t="n">
        <x:v>71.9</x:v>
      </x:c>
      <x:c r="L1223" t="str">
        <x:v>SANGAT KETAT</x:v>
      </x:c>
      <x:c r="M1223" t="str">
        <x:v>SEDANG+</x:v>
      </x:c>
      <x:c r="N1223" t="str">
        <x:v>ELITE-2</x:v>
      </x:c>
      <x:c r="O1223" t="str">
        <x:v>SOSHUM</x:v>
      </x:c>
      <x:c r="P1223" t="str">
        <x:v>UMUM</x:v>
      </x:c>
      <x:c r="Q1223" s="18" t="n">
        <x:v>655</x:v>
      </x:c>
      <x:c r="R1223" s="18" t="n">
        <x:v>0</x:v>
      </x:c>
      <x:c r="S1223" s="18" t="n">
        <x:v>668.0988271895702</x:v>
      </x:c>
      <x:c r="T1223" s="18" t="n">
        <x:v>704</x:v>
      </x:c>
      <x:c r="U1223" s="18" t="n">
        <x:v>668.0988271895702</x:v>
      </x:c>
      <x:c r="V1223" s="20" t="n">
        <x:v>4.4</x:v>
      </x:c>
      <x:c r="W1223" s="20" t="n">
        <x:v>14.3</x:v>
      </x:c>
      <x:c r="X1223" s="20" t="n">
        <x:v>3.3</x:v>
      </x:c>
      <x:c r="Y1223" t="str">
        <x:v>Basis arsip 2025/2024</x:v>
      </x:c>
      <x:c r="Z1223" t="str">
        <x:v>https://snpmb.id/utbk-snbt/daya-tampung-snbt</x:v>
      </x:c>
      <x:c r="AA1223" t="str">
        <x:v>Tidak Ada</x:v>
      </x:c>
      <x:c r="AB1223" t="str">
        <x:v>Campus=90; Ratio=79.2; Prodi=40; RelDemand=38.7; Capacity=87.5</x:v>
      </x:c>
    </x:row>
    <x:row r="1224">
      <x:c r="A1224" t="n">
        <x:v>1221</x:v>
      </x:c>
      <x:c r="B1224" t="str">
        <x:v>PTN Akademik</x:v>
      </x:c>
      <x:c r="C1224" t="str">
        <x:v>UNIVERSITAS PADJADJARAN</x:v>
      </x:c>
      <x:c r="D1224" t="str">
        <x:v>ILMU POLITIK</x:v>
      </x:c>
      <x:c r="E1224" t="str">
        <x:v>Sarjana</x:v>
      </x:c>
      <x:c r="F1224" s="18" t="n">
        <x:v>24</x:v>
      </x:c>
      <x:c r="G1224" s="18" t="n">
        <x:v>523</x:v>
      </x:c>
      <x:c r="H1224" s="19" t="n">
        <x:v>21.791666666666668</x:v>
      </x:c>
      <x:c r="I1224" s="18" t="n">
        <x:f>ROUND(MIN(Model_Config_v3!$B$6,MAX(Q1224,R1224,S1224*Model_Config_v3!$B$4+T1224*Model_Config_v3!$B$5)),0)</x:f>
        <x:v>692</x:v>
      </x:c>
      <x:c r="J1224" s="18" t="n">
        <x:f>MIN(Model_Config_v3!$B$6,I1224+Model_Config_v3!$B$7)</x:f>
        <x:v>712</x:v>
      </x:c>
      <x:c r="K1224" s="20" t="n">
        <x:v>71</x:v>
      </x:c>
      <x:c r="L1224" t="str">
        <x:v>SANGAT KETAT</x:v>
      </x:c>
      <x:c r="M1224" t="str">
        <x:v>SEDANG+</x:v>
      </x:c>
      <x:c r="N1224" t="str">
        <x:v>ELITE-2</x:v>
      </x:c>
      <x:c r="O1224" t="str">
        <x:v>SOSHUM</x:v>
      </x:c>
      <x:c r="P1224" t="str">
        <x:v>UMUM</x:v>
      </x:c>
      <x:c r="Q1224" s="18" t="n">
        <x:v>655</x:v>
      </x:c>
      <x:c r="R1224" s="18" t="n">
        <x:v>0</x:v>
      </x:c>
      <x:c r="S1224" s="18" t="n">
        <x:v>667.2119491871235</x:v>
      </x:c>
      <x:c r="T1224" s="18" t="n">
        <x:v>702</x:v>
      </x:c>
      <x:c r="U1224" s="18" t="n">
        <x:v>667.2119491871235</x:v>
      </x:c>
      <x:c r="V1224" s="20" t="n">
        <x:v>4.4</x:v>
      </x:c>
      <x:c r="W1224" s="20" t="n">
        <x:v>14.3</x:v>
      </x:c>
      <x:c r="X1224" s="20" t="n">
        <x:v>3.3</x:v>
      </x:c>
      <x:c r="Y1224" t="str">
        <x:v>Basis arsip 2025/2024</x:v>
      </x:c>
      <x:c r="Z1224" t="str">
        <x:v>https://snpmb.id/utbk-snbt/daya-tampung-snbt</x:v>
      </x:c>
      <x:c r="AA1224" t="str">
        <x:v>Tidak Ada</x:v>
      </x:c>
      <x:c r="AB1224" t="str">
        <x:v>Campus=90; Ratio=78.8; Prodi=40; RelDemand=37.9; Capacity=80.0</x:v>
      </x:c>
    </x:row>
    <x:row r="1225">
      <x:c r="A1225" t="n">
        <x:v>1222</x:v>
      </x:c>
      <x:c r="B1225" t="str">
        <x:v>PTN Akademik</x:v>
      </x:c>
      <x:c r="C1225" t="str">
        <x:v>UNIVERSITAS PADJADJARAN</x:v>
      </x:c>
      <x:c r="D1225" t="str">
        <x:v>HUBUNGAN MASYARAKAT</x:v>
      </x:c>
      <x:c r="E1225" t="str">
        <x:v>Sarjana</x:v>
      </x:c>
      <x:c r="F1225" s="18" t="n">
        <x:v>39</x:v>
      </x:c>
      <x:c r="G1225" s="18" t="n">
        <x:v>1107</x:v>
      </x:c>
      <x:c r="H1225" s="19" t="n">
        <x:v>28.384615384615383</x:v>
      </x:c>
      <x:c r="I1225" s="18" t="n">
        <x:f>ROUND(MIN(Model_Config_v3!$B$6,MAX(Q1225,R1225,S1225*Model_Config_v3!$B$4+T1225*Model_Config_v3!$B$5)),0)</x:f>
        <x:v>697</x:v>
      </x:c>
      <x:c r="J1225" s="18" t="n">
        <x:f>MIN(Model_Config_v3!$B$6,I1225+Model_Config_v3!$B$7)</x:f>
        <x:v>717</x:v>
      </x:c>
      <x:c r="K1225" s="20" t="n">
        <x:v>72.6</x:v>
      </x:c>
      <x:c r="L1225" t="str">
        <x:v>SANGAT KETAT</x:v>
      </x:c>
      <x:c r="M1225" t="str">
        <x:v>SEDANG+</x:v>
      </x:c>
      <x:c r="N1225" t="str">
        <x:v>ELITE-2</x:v>
      </x:c>
      <x:c r="O1225" t="str">
        <x:v>CAMPURAN</x:v>
      </x:c>
      <x:c r="P1225" t="str">
        <x:v>UMUM</x:v>
      </x:c>
      <x:c r="Q1225" s="18" t="n">
        <x:v>655</x:v>
      </x:c>
      <x:c r="R1225" s="18" t="n">
        <x:v>0</x:v>
      </x:c>
      <x:c r="S1225" s="18" t="n">
        <x:v>679.8391315237445</x:v>
      </x:c>
      <x:c r="T1225" s="18" t="n">
        <x:v>705</x:v>
      </x:c>
      <x:c r="U1225" s="18" t="n">
        <x:v>679.8391315237445</x:v>
      </x:c>
      <x:c r="V1225" s="20" t="n">
        <x:v>8.8</x:v>
      </x:c>
      <x:c r="W1225" s="20" t="n">
        <x:v>9.9</x:v>
      </x:c>
      <x:c r="X1225" s="20" t="n">
        <x:v>3.3</x:v>
      </x:c>
      <x:c r="Y1225" t="str">
        <x:v>Basis arsip 2025/2024</x:v>
      </x:c>
      <x:c r="Z1225" t="str">
        <x:v>https://snpmb.id/utbk-snbt/daya-tampung-snbt</x:v>
      </x:c>
      <x:c r="AA1225" t="str">
        <x:v>Tidak Ada</x:v>
      </x:c>
      <x:c r="AB1225" t="str">
        <x:v>Campus=90; Ratio=85.5; Prodi=40; RelDemand=49.4; Capacity=67.5</x:v>
      </x:c>
    </x:row>
    <x:row r="1226">
      <x:c r="A1226" t="n">
        <x:v>1223</x:v>
      </x:c>
      <x:c r="B1226" t="str">
        <x:v>PTN Akademik</x:v>
      </x:c>
      <x:c r="C1226" t="str">
        <x:v>UNIVERSITAS PADJADJARAN</x:v>
      </x:c>
      <x:c r="D1226" t="str">
        <x:v>EKONOMI ISLAM</x:v>
      </x:c>
      <x:c r="E1226" t="str">
        <x:v>Sarjana</x:v>
      </x:c>
      <x:c r="F1226" s="18" t="n">
        <x:v>42</x:v>
      </x:c>
      <x:c r="G1226" s="18" t="n">
        <x:v>580</x:v>
      </x:c>
      <x:c r="H1226" s="19" t="n">
        <x:v>13.80952380952381</x:v>
      </x:c>
      <x:c r="I1226" s="18" t="n">
        <x:f>ROUND(MIN(Model_Config_v3!$B$6,MAX(Q1226,R1226,S1226*Model_Config_v3!$B$4+T1226*Model_Config_v3!$B$5)),0)</x:f>
        <x:v>677</x:v>
      </x:c>
      <x:c r="J1226" s="18" t="n">
        <x:f>MIN(Model_Config_v3!$B$6,I1226+Model_Config_v3!$B$7)</x:f>
        <x:v>697</x:v>
      </x:c>
      <x:c r="K1226" s="20" t="n">
        <x:v>65.2</x:v>
      </x:c>
      <x:c r="L1226" t="str">
        <x:v>SANGAT KETAT</x:v>
      </x:c>
      <x:c r="M1226" t="str">
        <x:v>SEDANG+</x:v>
      </x:c>
      <x:c r="N1226" t="str">
        <x:v>ELITE-2</x:v>
      </x:c>
      <x:c r="O1226" t="str">
        <x:v>SOSHUM</x:v>
      </x:c>
      <x:c r="P1226" t="str">
        <x:v>UMUM</x:v>
      </x:c>
      <x:c r="Q1226" s="18" t="n">
        <x:v>655</x:v>
      </x:c>
      <x:c r="R1226" s="18" t="n">
        <x:v>0</x:v>
      </x:c>
      <x:c r="S1226" s="18" t="n">
        <x:v>645.419657348154</x:v>
      </x:c>
      <x:c r="T1226" s="18" t="n">
        <x:v>690</x:v>
      </x:c>
      <x:c r="U1226" s="18" t="n">
        <x:v>655</x:v>
      </x:c>
      <x:c r="V1226" s="20" t="n">
        <x:v>4.4</x:v>
      </x:c>
      <x:c r="W1226" s="20" t="n">
        <x:v>14.3</x:v>
      </x:c>
      <x:c r="X1226" s="20" t="n">
        <x:v>3.3</x:v>
      </x:c>
      <x:c r="Y1226" t="str">
        <x:v>Basis arsip 2025/2024</x:v>
      </x:c>
      <x:c r="Z1226" t="str">
        <x:v>https://snpmb.id/utbk-snbt/daya-tampung-snbt</x:v>
      </x:c>
      <x:c r="AA1226" t="str">
        <x:v>Tidak Ada</x:v>
      </x:c>
      <x:c r="AB1226" t="str">
        <x:v>Campus=90; Ratio=67.1; Prodi=40; RelDemand=24.0; Capacity=65.0</x:v>
      </x:c>
    </x:row>
    <x:row r="1227">
      <x:c r="A1227" t="n">
        <x:v>1224</x:v>
      </x:c>
      <x:c r="B1227" t="str">
        <x:v>PTN Akademik</x:v>
      </x:c>
      <x:c r="C1227" t="str">
        <x:v>UNIVERSITAS PADJADJARAN</x:v>
      </x:c>
      <x:c r="D1227" t="str">
        <x:v>MANAJEMEN KOMUNIKASI</x:v>
      </x:c>
      <x:c r="E1227" t="str">
        <x:v>Sarjana</x:v>
      </x:c>
      <x:c r="F1227" s="18" t="n">
        <x:v>39</x:v>
      </x:c>
      <x:c r="G1227" s="18" t="n">
        <x:v>1034</x:v>
      </x:c>
      <x:c r="H1227" s="19" t="n">
        <x:v>26.512820512820515</x:v>
      </x:c>
      <x:c r="I1227" s="18" t="n">
        <x:f>ROUND(MIN(Model_Config_v3!$B$6,MAX(Q1227,R1227,S1227*Model_Config_v3!$B$4+T1227*Model_Config_v3!$B$5)),0)</x:f>
        <x:v>703</x:v>
      </x:c>
      <x:c r="J1227" s="18" t="n">
        <x:f>MIN(Model_Config_v3!$B$6,I1227+Model_Config_v3!$B$7)</x:f>
        <x:v>723</x:v>
      </x:c>
      <x:c r="K1227" s="20" t="n">
        <x:v>76.8</x:v>
      </x:c>
      <x:c r="L1227" t="str">
        <x:v>ELITE</x:v>
      </x:c>
      <x:c r="M1227" t="str">
        <x:v>SEDANG+</x:v>
      </x:c>
      <x:c r="N1227" t="str">
        <x:v>ELITE-2</x:v>
      </x:c>
      <x:c r="O1227" t="str">
        <x:v>SOSHUM</x:v>
      </x:c>
      <x:c r="P1227" t="str">
        <x:v>BISNIS/EKONOMI/AKUNTANSI</x:v>
      </x:c>
      <x:c r="Q1227" s="18" t="n">
        <x:v>655</x:v>
      </x:c>
      <x:c r="R1227" s="18" t="n">
        <x:v>680</x:v>
      </x:c>
      <x:c r="S1227" s="18" t="n">
        <x:v>676.5801524904566</x:v>
      </x:c>
      <x:c r="T1227" s="18" t="n">
        <x:v>714</x:v>
      </x:c>
      <x:c r="U1227" s="18" t="n">
        <x:v>691.5801524904566</x:v>
      </x:c>
      <x:c r="V1227" s="20" t="n">
        <x:v>4.4</x:v>
      </x:c>
      <x:c r="W1227" s="20" t="n">
        <x:v>14.3</x:v>
      </x:c>
      <x:c r="X1227" s="20" t="n">
        <x:v>3.3</x:v>
      </x:c>
      <x:c r="Y1227" t="str">
        <x:v>Basis arsip 2025/2024</x:v>
      </x:c>
      <x:c r="Z1227" t="str">
        <x:v>https://snpmb.id/utbk-snbt/daya-tampung-snbt</x:v>
      </x:c>
      <x:c r="AA1227" t="str">
        <x:v>Tidak Ada</x:v>
      </x:c>
      <x:c r="AB1227" t="str">
        <x:v>Campus=90; Ratio=83.8; Prodi=65; RelDemand=46.2; Capacity=67.5</x:v>
      </x:c>
    </x:row>
    <x:row r="1228">
      <x:c r="A1228" t="n">
        <x:v>1225</x:v>
      </x:c>
      <x:c r="B1228" t="str">
        <x:v>PTN Akademik</x:v>
      </x:c>
      <x:c r="C1228" t="str">
        <x:v>UNIVERSITAS PADJADJARAN</x:v>
      </x:c>
      <x:c r="D1228" t="str">
        <x:v>JURNALISTIK</x:v>
      </x:c>
      <x:c r="E1228" t="str">
        <x:v>Sarjana</x:v>
      </x:c>
      <x:c r="F1228" s="18" t="n">
        <x:v>39</x:v>
      </x:c>
      <x:c r="G1228" s="18" t="n">
        <x:v>650</x:v>
      </x:c>
      <x:c r="H1228" s="19" t="n">
        <x:v>16.666666666666668</x:v>
      </x:c>
      <x:c r="I1228" s="18" t="n">
        <x:f>ROUND(MIN(Model_Config_v3!$B$6,MAX(Q1228,R1228,S1228*Model_Config_v3!$B$4+T1228*Model_Config_v3!$B$5)),0)</x:f>
        <x:v>682</x:v>
      </x:c>
      <x:c r="J1228" s="18" t="n">
        <x:f>MIN(Model_Config_v3!$B$6,I1228+Model_Config_v3!$B$7)</x:f>
        <x:v>702</x:v>
      </x:c>
      <x:c r="K1228" s="20" t="n">
        <x:v>67.1</x:v>
      </x:c>
      <x:c r="L1228" t="str">
        <x:v>SANGAT KETAT</x:v>
      </x:c>
      <x:c r="M1228" t="str">
        <x:v>SEDANG+</x:v>
      </x:c>
      <x:c r="N1228" t="str">
        <x:v>ELITE-2</x:v>
      </x:c>
      <x:c r="O1228" t="str">
        <x:v>CAMPURAN</x:v>
      </x:c>
      <x:c r="P1228" t="str">
        <x:v>UMUM</x:v>
      </x:c>
      <x:c r="Q1228" s="18" t="n">
        <x:v>655</x:v>
      </x:c>
      <x:c r="R1228" s="18" t="n">
        <x:v>0</x:v>
      </x:c>
      <x:c r="S1228" s="18" t="n">
        <x:v>654.4033624577992</x:v>
      </x:c>
      <x:c r="T1228" s="18" t="n">
        <x:v>694</x:v>
      </x:c>
      <x:c r="U1228" s="18" t="n">
        <x:v>655</x:v>
      </x:c>
      <x:c r="V1228" s="20" t="n">
        <x:v>8.8</x:v>
      </x:c>
      <x:c r="W1228" s="20" t="n">
        <x:v>9.9</x:v>
      </x:c>
      <x:c r="X1228" s="20" t="n">
        <x:v>3.3</x:v>
      </x:c>
      <x:c r="Y1228" t="str">
        <x:v>Basis arsip 2025/2024</x:v>
      </x:c>
      <x:c r="Z1228" t="str">
        <x:v>https://snpmb.id/utbk-snbt/daya-tampung-snbt</x:v>
      </x:c>
      <x:c r="AA1228" t="str">
        <x:v>Tidak Ada</x:v>
      </x:c>
      <x:c r="AB1228" t="str">
        <x:v>Campus=90; Ratio=71.9; Prodi=40; RelDemand=29.0; Capacity=67.5</x:v>
      </x:c>
    </x:row>
    <x:row r="1229">
      <x:c r="A1229" t="n">
        <x:v>1226</x:v>
      </x:c>
      <x:c r="B1229" t="str">
        <x:v>PTN Akademik</x:v>
      </x:c>
      <x:c r="C1229" t="str">
        <x:v>UNIVERSITAS PADJADJARAN</x:v>
      </x:c>
      <x:c r="D1229" t="str">
        <x:v>TELEVISI DAN FILM</x:v>
      </x:c>
      <x:c r="E1229" t="str">
        <x:v>Sarjana</x:v>
      </x:c>
      <x:c r="F1229" s="18" t="n">
        <x:v>39</x:v>
      </x:c>
      <x:c r="G1229" s="18" t="n">
        <x:v>1056</x:v>
      </x:c>
      <x:c r="H1229" s="19" t="n">
        <x:v>27.076923076923077</x:v>
      </x:c>
      <x:c r="I1229" s="18" t="n">
        <x:f>ROUND(MIN(Model_Config_v3!$B$6,MAX(Q1229,R1229,S1229*Model_Config_v3!$B$4+T1229*Model_Config_v3!$B$5)),0)</x:f>
        <x:v>696</x:v>
      </x:c>
      <x:c r="J1229" s="18" t="n">
        <x:f>MIN(Model_Config_v3!$B$6,I1229+Model_Config_v3!$B$7)</x:f>
        <x:v>716</x:v>
      </x:c>
      <x:c r="K1229" s="20" t="n">
        <x:v>72</x:v>
      </x:c>
      <x:c r="L1229" t="str">
        <x:v>SANGAT KETAT</x:v>
      </x:c>
      <x:c r="M1229" t="str">
        <x:v>SEDANG+</x:v>
      </x:c>
      <x:c r="N1229" t="str">
        <x:v>ELITE-2</x:v>
      </x:c>
      <x:c r="O1229" t="str">
        <x:v>CAMPURAN</x:v>
      </x:c>
      <x:c r="P1229" t="str">
        <x:v>UMUM</x:v>
      </x:c>
      <x:c r="Q1229" s="18" t="n">
        <x:v>655</x:v>
      </x:c>
      <x:c r="R1229" s="18" t="n">
        <x:v>0</x:v>
      </x:c>
      <x:c r="S1229" s="18" t="n">
        <x:v>677.5859242288424</x:v>
      </x:c>
      <x:c r="T1229" s="18" t="n">
        <x:v>704</x:v>
      </x:c>
      <x:c r="U1229" s="18" t="n">
        <x:v>677.5859242288424</x:v>
      </x:c>
      <x:c r="V1229" s="20" t="n">
        <x:v>8.8</x:v>
      </x:c>
      <x:c r="W1229" s="20" t="n">
        <x:v>9.9</x:v>
      </x:c>
      <x:c r="X1229" s="20" t="n">
        <x:v>3.3</x:v>
      </x:c>
      <x:c r="Y1229" t="str">
        <x:v>Basis arsip 2025/2024</x:v>
      </x:c>
      <x:c r="Z1229" t="str">
        <x:v>https://snpmb.id/utbk-snbt/daya-tampung-snbt</x:v>
      </x:c>
      <x:c r="AA1229" t="str">
        <x:v>Tidak Ada</x:v>
      </x:c>
      <x:c r="AB1229" t="str">
        <x:v>Campus=90; Ratio=84.3; Prodi=40; RelDemand=47.2; Capacity=67.5</x:v>
      </x:c>
    </x:row>
    <x:row r="1230">
      <x:c r="A1230" t="n">
        <x:v>1227</x:v>
      </x:c>
      <x:c r="B1230" t="str">
        <x:v>PTN Akademik</x:v>
      </x:c>
      <x:c r="C1230" t="str">
        <x:v>UNIVERSITAS PADJADJARAN</x:v>
      </x:c>
      <x:c r="D1230" t="str">
        <x:v>BISNIS DIGITAL</x:v>
      </x:c>
      <x:c r="E1230" t="str">
        <x:v>Sarjana</x:v>
      </x:c>
      <x:c r="F1230" s="18" t="n">
        <x:v>36</x:v>
      </x:c>
      <x:c r="G1230" s="18" t="n">
        <x:v>1840</x:v>
      </x:c>
      <x:c r="H1230" s="19" t="n">
        <x:v>51.111111111111114</x:v>
      </x:c>
      <x:c r="I1230" s="18" t="n">
        <x:f>ROUND(MIN(Model_Config_v3!$B$6,MAX(Q1230,R1230,S1230*Model_Config_v3!$B$4+T1230*Model_Config_v3!$B$5)),0)</x:f>
        <x:v>724</x:v>
      </x:c>
      <x:c r="J1230" s="18" t="n">
        <x:f>MIN(Model_Config_v3!$B$6,I1230+Model_Config_v3!$B$7)</x:f>
        <x:v>744</x:v>
      </x:c>
      <x:c r="K1230" s="20" t="n">
        <x:v>85.4</x:v>
      </x:c>
      <x:c r="L1230" t="str">
        <x:v>ULTRA ELITE</x:v>
      </x:c>
      <x:c r="M1230" t="str">
        <x:v>SEDANG+</x:v>
      </x:c>
      <x:c r="N1230" t="str">
        <x:v>ELITE-2</x:v>
      </x:c>
      <x:c r="O1230" t="str">
        <x:v>SOSHUM</x:v>
      </x:c>
      <x:c r="P1230" t="str">
        <x:v>BISNIS/EKONOMI/AKUNTANSI</x:v>
      </x:c>
      <x:c r="Q1230" s="18" t="n">
        <x:v>655</x:v>
      </x:c>
      <x:c r="R1230" s="18" t="n">
        <x:v>680</x:v>
      </x:c>
      <x:c r="S1230" s="18" t="n">
        <x:v>707.9366854466474</x:v>
      </x:c>
      <x:c r="T1230" s="18" t="n">
        <x:v>731</x:v>
      </x:c>
      <x:c r="U1230" s="18" t="n">
        <x:v>722.9366854466474</x:v>
      </x:c>
      <x:c r="V1230" s="20" t="n">
        <x:v>4.4</x:v>
      </x:c>
      <x:c r="W1230" s="20" t="n">
        <x:v>14.3</x:v>
      </x:c>
      <x:c r="X1230" s="20" t="n">
        <x:v>3.3</x:v>
      </x:c>
      <x:c r="Y1230" t="str">
        <x:v>Basis arsip 2025/2024</x:v>
      </x:c>
      <x:c r="Z1230" t="str">
        <x:v>https://snpmb.id/utbk-snbt/daya-tampung-snbt</x:v>
      </x:c>
      <x:c r="AA1230" t="str">
        <x:v>Tidak Ada</x:v>
      </x:c>
      <x:c r="AB1230" t="str">
        <x:v>Campus=90; Ratio=100.0; Prodi=65; RelDemand=89.0; Capacity=70.0</x:v>
      </x:c>
    </x:row>
    <x:row r="1231">
      <x:c r="A1231" t="n">
        <x:v>1228</x:v>
      </x:c>
      <x:c r="B1231" t="str">
        <x:v>PTN Akademik</x:v>
      </x:c>
      <x:c r="C1231" t="str">
        <x:v>UNIVERSITAS PADJADJARAN</x:v>
      </x:c>
      <x:c r="D1231" t="str">
        <x:v>ADMINISTRASI BISNIS PSDKU PANGANDARAN</x:v>
      </x:c>
      <x:c r="E1231" t="str">
        <x:v>Sarjana</x:v>
      </x:c>
      <x:c r="F1231" s="18" t="n">
        <x:v>16</x:v>
      </x:c>
      <x:c r="G1231" s="18" t="n">
        <x:v>208</x:v>
      </x:c>
      <x:c r="H1231" s="19" t="n">
        <x:v>13</x:v>
      </x:c>
      <x:c r="I1231" s="18" t="n">
        <x:f>ROUND(MIN(Model_Config_v3!$B$6,MAX(Q1231,R1231,S1231*Model_Config_v3!$B$4+T1231*Model_Config_v3!$B$5)),0)</x:f>
        <x:v>686</x:v>
      </x:c>
      <x:c r="J1231" s="18" t="n">
        <x:f>MIN(Model_Config_v3!$B$6,I1231+Model_Config_v3!$B$7)</x:f>
        <x:v>706</x:v>
      </x:c>
      <x:c r="K1231" s="20" t="n">
        <x:v>71.8</x:v>
      </x:c>
      <x:c r="L1231" t="str">
        <x:v>SANGAT KETAT</x:v>
      </x:c>
      <x:c r="M1231" t="str">
        <x:v>SEDANG+</x:v>
      </x:c>
      <x:c r="N1231" t="str">
        <x:v>ELITE-2</x:v>
      </x:c>
      <x:c r="O1231" t="str">
        <x:v>SOSHUM</x:v>
      </x:c>
      <x:c r="P1231" t="str">
        <x:v>BISNIS/EKONOMI/AKUNTANSI</x:v>
      </x:c>
      <x:c r="Q1231" s="18" t="n">
        <x:v>655</x:v>
      </x:c>
      <x:c r="R1231" s="18" t="n">
        <x:v>680</x:v>
      </x:c>
      <x:c r="S1231" s="18" t="n">
        <x:v>642.533768753752</x:v>
      </x:c>
      <x:c r="T1231" s="18" t="n">
        <x:v>704</x:v>
      </x:c>
      <x:c r="U1231" s="18" t="n">
        <x:v>657.533768753752</x:v>
      </x:c>
      <x:c r="V1231" s="20" t="n">
        <x:v>4.4</x:v>
      </x:c>
      <x:c r="W1231" s="20" t="n">
        <x:v>14.3</x:v>
      </x:c>
      <x:c r="X1231" s="20" t="n">
        <x:v>3.3</x:v>
      </x:c>
      <x:c r="Y1231" t="str">
        <x:v>Basis arsip 2025/2024</x:v>
      </x:c>
      <x:c r="Z1231" t="str">
        <x:v>https://snpmb.id/utbk-snbt/daya-tampung-snbt</x:v>
      </x:c>
      <x:c r="AA1231" t="str">
        <x:v>Tidak Ada</x:v>
      </x:c>
      <x:c r="AB1231" t="str">
        <x:v>Campus=90; Ratio=65.6; Prodi=65; RelDemand=22.6; Capacity=86.7</x:v>
      </x:c>
    </x:row>
    <x:row r="1232">
      <x:c r="A1232" t="n">
        <x:v>1229</x:v>
      </x:c>
      <x:c r="B1232" t="str">
        <x:v>PTN Akademik</x:v>
      </x:c>
      <x:c r="C1232" t="str">
        <x:v>UNIVERSITAS PADJADJARAN</x:v>
      </x:c>
      <x:c r="D1232" t="str">
        <x:v>ILMU KOMUNIKASI PSDKU PANGANDARAN</x:v>
      </x:c>
      <x:c r="E1232" t="str">
        <x:v>Sarjana</x:v>
      </x:c>
      <x:c r="F1232" s="18" t="n">
        <x:v>15</x:v>
      </x:c>
      <x:c r="G1232" s="18" t="n">
        <x:v>232</x:v>
      </x:c>
      <x:c r="H1232" s="19" t="n">
        <x:v>15.466666666666667</x:v>
      </x:c>
      <x:c r="I1232" s="18" t="n">
        <x:f>ROUND(MIN(Model_Config_v3!$B$6,MAX(Q1232,R1232,S1232*Model_Config_v3!$B$4+T1232*Model_Config_v3!$B$5)),0)</x:f>
        <x:v>683</x:v>
      </x:c>
      <x:c r="J1232" s="18" t="n">
        <x:f>MIN(Model_Config_v3!$B$6,I1232+Model_Config_v3!$B$7)</x:f>
        <x:v>703</x:v>
      </x:c>
      <x:c r="K1232" s="20" t="n">
        <x:v>68.4</x:v>
      </x:c>
      <x:c r="L1232" t="str">
        <x:v>SANGAT KETAT</x:v>
      </x:c>
      <x:c r="M1232" t="str">
        <x:v>SEDANG+</x:v>
      </x:c>
      <x:c r="N1232" t="str">
        <x:v>ELITE-2</x:v>
      </x:c>
      <x:c r="O1232" t="str">
        <x:v>SOSHUM</x:v>
      </x:c>
      <x:c r="P1232" t="str">
        <x:v>UMUM</x:v>
      </x:c>
      <x:c r="Q1232" s="18" t="n">
        <x:v>655</x:v>
      </x:c>
      <x:c r="R1232" s="18" t="n">
        <x:v>0</x:v>
      </x:c>
      <x:c r="S1232" s="18" t="n">
        <x:v>650.833639841874</x:v>
      </x:c>
      <x:c r="T1232" s="18" t="n">
        <x:v>697</x:v>
      </x:c>
      <x:c r="U1232" s="18" t="n">
        <x:v>655</x:v>
      </x:c>
      <x:c r="V1232" s="20" t="n">
        <x:v>4.4</x:v>
      </x:c>
      <x:c r="W1232" s="20" t="n">
        <x:v>14.3</x:v>
      </x:c>
      <x:c r="X1232" s="20" t="n">
        <x:v>3.3</x:v>
      </x:c>
      <x:c r="Y1232" t="str">
        <x:v>Basis arsip 2025/2024</x:v>
      </x:c>
      <x:c r="Z1232" t="str">
        <x:v>https://snpmb.id/utbk-snbt/daya-tampung-snbt</x:v>
      </x:c>
      <x:c r="AA1232" t="str">
        <x:v>Tidak Ada</x:v>
      </x:c>
      <x:c r="AB1232" t="str">
        <x:v>Campus=90; Ratio=70.0; Prodi=40; RelDemand=26.9; Capacity=87.5</x:v>
      </x:c>
    </x:row>
    <x:row r="1233">
      <x:c r="A1233" t="n">
        <x:v>1230</x:v>
      </x:c>
      <x:c r="B1233" t="str">
        <x:v>PTN Akademik</x:v>
      </x:c>
      <x:c r="C1233" t="str">
        <x:v>UNIVERSITAS PADJADJARAN</x:v>
      </x:c>
      <x:c r="D1233" t="str">
        <x:v>AKUNTANSI PERPAJAKAN</x:v>
      </x:c>
      <x:c r="E1233" t="str">
        <x:v>Sarjana Terapan</x:v>
      </x:c>
      <x:c r="F1233" s="18" t="n">
        <x:v>42</x:v>
      </x:c>
      <x:c r="G1233" s="18" t="n">
        <x:v>3449</x:v>
      </x:c>
      <x:c r="H1233" s="19" t="n">
        <x:v>82.11904761904762</x:v>
      </x:c>
      <x:c r="I1233" s="18" t="n">
        <x:f>ROUND(MIN(Model_Config_v3!$B$6,MAX(Q1233,R1233,S1233*Model_Config_v3!$B$4+T1233*Model_Config_v3!$B$5)),0)</x:f>
        <x:v>732</x:v>
      </x:c>
      <x:c r="J1233" s="18" t="n">
        <x:f>MIN(Model_Config_v3!$B$6,I1233+Model_Config_v3!$B$7)</x:f>
        <x:v>752</x:v>
      </x:c>
      <x:c r="K1233" s="20" t="n">
        <x:v>86</x:v>
      </x:c>
      <x:c r="L1233" t="str">
        <x:v>ULTRA ELITE</x:v>
      </x:c>
      <x:c r="M1233" t="str">
        <x:v>SEDANG+</x:v>
      </x:c>
      <x:c r="N1233" t="str">
        <x:v>ELITE-2</x:v>
      </x:c>
      <x:c r="O1233" t="str">
        <x:v>SOSHUM</x:v>
      </x:c>
      <x:c r="P1233" t="str">
        <x:v>BISNIS/EKONOMI/AKUNTANSI</x:v>
      </x:c>
      <x:c r="Q1233" s="18" t="n">
        <x:v>655</x:v>
      </x:c>
      <x:c r="R1233" s="18" t="n">
        <x:v>680</x:v>
      </x:c>
      <x:c r="S1233" s="18" t="n">
        <x:v>730.5888294366439</x:v>
      </x:c>
      <x:c r="T1233" s="18" t="n">
        <x:v>732</x:v>
      </x:c>
      <x:c r="U1233" s="18" t="n">
        <x:v>730.5888294366439</x:v>
      </x:c>
      <x:c r="V1233" s="20" t="n">
        <x:v>4.4</x:v>
      </x:c>
      <x:c r="W1233" s="20" t="n">
        <x:v>14.3</x:v>
      </x:c>
      <x:c r="X1233" s="20" t="n">
        <x:v>3.3</x:v>
      </x:c>
      <x:c r="Y1233" t="str">
        <x:v>Basis arsip 2025/2024</x:v>
      </x:c>
      <x:c r="Z1233" t="str">
        <x:v>https://snpmb.id/utbk-snbt/daya-tampung-snbt</x:v>
      </x:c>
      <x:c r="AA1233" t="str">
        <x:v>Tidak Ada</x:v>
      </x:c>
      <x:c r="AB1233" t="str">
        <x:v>Campus=90; Ratio=100.0; Prodi=65; RelDemand=100.0; Capacity=65.0</x:v>
      </x:c>
    </x:row>
    <x:row r="1234">
      <x:c r="A1234" t="n">
        <x:v>1231</x:v>
      </x:c>
      <x:c r="B1234" t="str">
        <x:v>PTN Akademik</x:v>
      </x:c>
      <x:c r="C1234" t="str">
        <x:v>UNIVERSITAS PADJADJARAN</x:v>
      </x:c>
      <x:c r="D1234" t="str">
        <x:v>AKUNTANSI SEKTOR PUBLIK</x:v>
      </x:c>
      <x:c r="E1234" t="str">
        <x:v>Sarjana Terapan</x:v>
      </x:c>
      <x:c r="F1234" s="18" t="n">
        <x:v>36</x:v>
      </x:c>
      <x:c r="G1234" s="18" t="n">
        <x:v>932</x:v>
      </x:c>
      <x:c r="H1234" s="19" t="n">
        <x:v>25.88888888888889</x:v>
      </x:c>
      <x:c r="I1234" s="18" t="n">
        <x:f>ROUND(MIN(Model_Config_v3!$B$6,MAX(Q1234,R1234,S1234*Model_Config_v3!$B$4+T1234*Model_Config_v3!$B$5)),0)</x:f>
        <x:v>702</x:v>
      </x:c>
      <x:c r="J1234" s="18" t="n">
        <x:f>MIN(Model_Config_v3!$B$6,I1234+Model_Config_v3!$B$7)</x:f>
        <x:v>722</x:v>
      </x:c>
      <x:c r="K1234" s="20" t="n">
        <x:v>76.8</x:v>
      </x:c>
      <x:c r="L1234" t="str">
        <x:v>ELITE</x:v>
      </x:c>
      <x:c r="M1234" t="str">
        <x:v>SEDANG+</x:v>
      </x:c>
      <x:c r="N1234" t="str">
        <x:v>ELITE-2</x:v>
      </x:c>
      <x:c r="O1234" t="str">
        <x:v>SOSHUM</x:v>
      </x:c>
      <x:c r="P1234" t="str">
        <x:v>BISNIS/EKONOMI/AKUNTANSI</x:v>
      </x:c>
      <x:c r="Q1234" s="18" t="n">
        <x:v>655</x:v>
      </x:c>
      <x:c r="R1234" s="18" t="n">
        <x:v>680</x:v>
      </x:c>
      <x:c r="S1234" s="18" t="n">
        <x:v>675.4424752745363</x:v>
      </x:c>
      <x:c r="T1234" s="18" t="n">
        <x:v>714</x:v>
      </x:c>
      <x:c r="U1234" s="18" t="n">
        <x:v>675.4424752745363</x:v>
      </x:c>
      <x:c r="V1234" s="20" t="n">
        <x:v>4.4</x:v>
      </x:c>
      <x:c r="W1234" s="20" t="n">
        <x:v>14.3</x:v>
      </x:c>
      <x:c r="X1234" s="20" t="n">
        <x:v>3.3</x:v>
      </x:c>
      <x:c r="Y1234" t="str">
        <x:v>Basis arsip 2025/2024</x:v>
      </x:c>
      <x:c r="Z1234" t="str">
        <x:v>https://snpmb.id/utbk-snbt/daya-tampung-snbt</x:v>
      </x:c>
      <x:c r="AA1234" t="str">
        <x:v>Tidak Ada</x:v>
      </x:c>
      <x:c r="AB1234" t="str">
        <x:v>Campus=90; Ratio=83.2; Prodi=65; RelDemand=45.1; Capacity=70.0</x:v>
      </x:c>
    </x:row>
    <x:row r="1235">
      <x:c r="A1235" t="n">
        <x:v>1232</x:v>
      </x:c>
      <x:c r="B1235" t="str">
        <x:v>PTN Akademik</x:v>
      </x:c>
      <x:c r="C1235" t="str">
        <x:v>UNIVERSITAS PADJADJARAN</x:v>
      </x:c>
      <x:c r="D1235" t="str">
        <x:v>BISNIS INTERNASIONAL</x:v>
      </x:c>
      <x:c r="E1235" t="str">
        <x:v>Sarjana Terapan</x:v>
      </x:c>
      <x:c r="F1235" s="18" t="n">
        <x:v>27</x:v>
      </x:c>
      <x:c r="G1235" s="18" t="n">
        <x:v>2810</x:v>
      </x:c>
      <x:c r="H1235" s="19" t="n">
        <x:v>104.07407407407408</x:v>
      </x:c>
      <x:c r="I1235" s="18" t="n">
        <x:f>ROUND(MIN(Model_Config_v3!$B$6,MAX(Q1235,R1235,S1235*Model_Config_v3!$B$4+T1235*Model_Config_v3!$B$5)),0)</x:f>
        <x:v>736</x:v>
      </x:c>
      <x:c r="J1235" s="18" t="n">
        <x:f>MIN(Model_Config_v3!$B$6,I1235+Model_Config_v3!$B$7)</x:f>
        <x:v>756</x:v>
      </x:c>
      <x:c r="K1235" s="20" t="n">
        <x:v>87.2</x:v>
      </x:c>
      <x:c r="L1235" t="str">
        <x:v>ULTRA ELITE</x:v>
      </x:c>
      <x:c r="M1235" t="str">
        <x:v>SEDANG+</x:v>
      </x:c>
      <x:c r="N1235" t="str">
        <x:v>ELITE-2</x:v>
      </x:c>
      <x:c r="O1235" t="str">
        <x:v>SOSHUM</x:v>
      </x:c>
      <x:c r="P1235" t="str">
        <x:v>BISNIS/EKONOMI/AKUNTANSI</x:v>
      </x:c>
      <x:c r="Q1235" s="18" t="n">
        <x:v>655</x:v>
      </x:c>
      <x:c r="R1235" s="18" t="n">
        <x:v>680</x:v>
      </x:c>
      <x:c r="S1235" s="18" t="n">
        <x:v>741.9076811320701</x:v>
      </x:c>
      <x:c r="T1235" s="18" t="n">
        <x:v>734</x:v>
      </x:c>
      <x:c r="U1235" s="18" t="n">
        <x:v>756.9076811320701</x:v>
      </x:c>
      <x:c r="V1235" s="20" t="n">
        <x:v>4.4</x:v>
      </x:c>
      <x:c r="W1235" s="20" t="n">
        <x:v>14.3</x:v>
      </x:c>
      <x:c r="X1235" s="20" t="n">
        <x:v>3.3</x:v>
      </x:c>
      <x:c r="Y1235" t="str">
        <x:v>Basis arsip 2025/2024</x:v>
      </x:c>
      <x:c r="Z1235" t="str">
        <x:v>https://snpmb.id/utbk-snbt/daya-tampung-snbt</x:v>
      </x:c>
      <x:c r="AA1235" t="str">
        <x:v>Tidak Ada</x:v>
      </x:c>
      <x:c r="AB1235" t="str">
        <x:v>Campus=90; Ratio=100.0; Prodi=65; RelDemand=100.0; Capacity=77.5</x:v>
      </x:c>
    </x:row>
    <x:row r="1236">
      <x:c r="A1236" t="n">
        <x:v>1233</x:v>
      </x:c>
      <x:c r="B1236" t="str">
        <x:v>PTN Akademik</x:v>
      </x:c>
      <x:c r="C1236" t="str">
        <x:v>UNIVERSITAS PADJADJARAN</x:v>
      </x:c>
      <x:c r="D1236" t="str">
        <x:v>PEMASARAN DIGITAL</x:v>
      </x:c>
      <x:c r="E1236" t="str">
        <x:v>Sarjana Terapan</x:v>
      </x:c>
      <x:c r="F1236" s="18" t="n">
        <x:v>18</x:v>
      </x:c>
      <x:c r="G1236" s="18" t="n">
        <x:v>1370</x:v>
      </x:c>
      <x:c r="H1236" s="19" t="n">
        <x:v>76.11111111111111</x:v>
      </x:c>
      <x:c r="I1236" s="18" t="n">
        <x:f>ROUND(MIN(Model_Config_v3!$B$6,MAX(Q1236,R1236,S1236*Model_Config_v3!$B$4+T1236*Model_Config_v3!$B$5)),0)</x:f>
        <x:v>726</x:v>
      </x:c>
      <x:c r="J1236" s="18" t="n">
        <x:f>MIN(Model_Config_v3!$B$6,I1236+Model_Config_v3!$B$7)</x:f>
        <x:v>746</x:v>
      </x:c>
      <x:c r="K1236" s="20" t="n">
        <x:v>83</x:v>
      </x:c>
      <x:c r="L1236" t="str">
        <x:v>ELITE</x:v>
      </x:c>
      <x:c r="M1236" t="str">
        <x:v>SEDANG+</x:v>
      </x:c>
      <x:c r="N1236" t="str">
        <x:v>ELITE-2</x:v>
      </x:c>
      <x:c r="O1236" t="str">
        <x:v>CAMPURAN</x:v>
      </x:c>
      <x:c r="P1236" t="str">
        <x:v>UMUM</x:v>
      </x:c>
      <x:c r="Q1236" s="18" t="n">
        <x:v>655</x:v>
      </x:c>
      <x:c r="R1236" s="18" t="n">
        <x:v>0</x:v>
      </x:c>
      <x:c r="S1236" s="18" t="n">
        <x:v>726.959286825841</x:v>
      </x:c>
      <x:c r="T1236" s="18" t="n">
        <x:v>726</x:v>
      </x:c>
      <x:c r="U1236" s="18" t="n">
        <x:v>726.959286825841</x:v>
      </x:c>
      <x:c r="V1236" s="20" t="n">
        <x:v>8.8</x:v>
      </x:c>
      <x:c r="W1236" s="20" t="n">
        <x:v>9.9</x:v>
      </x:c>
      <x:c r="X1236" s="20" t="n">
        <x:v>3.3</x:v>
      </x:c>
      <x:c r="Y1236" t="str">
        <x:v>Basis arsip 2025/2024</x:v>
      </x:c>
      <x:c r="Z1236" t="str">
        <x:v>https://snpmb.id/utbk-snbt/daya-tampung-snbt</x:v>
      </x:c>
      <x:c r="AA1236" t="str">
        <x:v>Tidak Ada</x:v>
      </x:c>
      <x:c r="AB1236" t="str">
        <x:v>Campus=90; Ratio=100.0; Prodi=40; RelDemand=100.0; Capacity=85.0</x:v>
      </x:c>
    </x:row>
    <x:row r="1237">
      <x:c r="A1237" t="n">
        <x:v>1234</x:v>
      </x:c>
      <x:c r="B1237" t="str">
        <x:v>PTN Akademik</x:v>
      </x:c>
      <x:c r="C1237" t="str">
        <x:v>UNIVERSITAS PADJADJARAN</x:v>
      </x:c>
      <x:c r="D1237" t="str">
        <x:v>KEBIDANAN</x:v>
      </x:c>
      <x:c r="E1237" t="str">
        <x:v>Sarjana Terapan</x:v>
      </x:c>
      <x:c r="F1237" s="18" t="n">
        <x:v>12</x:v>
      </x:c>
      <x:c r="G1237" s="18" t="n">
        <x:v>2367</x:v>
      </x:c>
      <x:c r="H1237" s="19" t="n">
        <x:v>197.25</x:v>
      </x:c>
      <x:c r="I1237" s="18" t="n">
        <x:f>ROUND(MIN(Model_Config_v3!$B$6,MAX(Q1237,R1237,S1237*Model_Config_v3!$B$4+T1237*Model_Config_v3!$B$5)),0)</x:f>
        <x:v>745</x:v>
      </x:c>
      <x:c r="J1237" s="18" t="n">
        <x:f>MIN(Model_Config_v3!$B$6,I1237+Model_Config_v3!$B$7)</x:f>
        <x:v>765</x:v>
      </x:c>
      <x:c r="K1237" s="20" t="n">
        <x:v>86.5</x:v>
      </x:c>
      <x:c r="L1237" t="str">
        <x:v>ULTRA ELITE</x:v>
      </x:c>
      <x:c r="M1237" t="str">
        <x:v>SEDANG+</x:v>
      </x:c>
      <x:c r="N1237" t="str">
        <x:v>ELITE-2</x:v>
      </x:c>
      <x:c r="O1237" t="str">
        <x:v>SAINTEK</x:v>
      </x:c>
      <x:c r="P1237" t="str">
        <x:v>KESEHAT/GIZI/KEPERAWATAN</x:v>
      </x:c>
      <x:c r="Q1237" s="18" t="n">
        <x:v>655</x:v>
      </x:c>
      <x:c r="R1237" s="18" t="n">
        <x:v>660</x:v>
      </x:c>
      <x:c r="S1237" s="18" t="n">
        <x:v>772.4518713069604</x:v>
      </x:c>
      <x:c r="T1237" s="18" t="n">
        <x:v>733</x:v>
      </x:c>
      <x:c r="U1237" s="18" t="n">
        <x:v>772.4518713069604</x:v>
      </x:c>
      <x:c r="V1237" s="20" t="n">
        <x:v>12</x:v>
      </x:c>
      <x:c r="W1237" s="20" t="n">
        <x:v>5</x:v>
      </x:c>
      <x:c r="X1237" s="20" t="n">
        <x:v>3</x:v>
      </x:c>
      <x:c r="Y1237" t="str">
        <x:v>Basis arsip 2025/2024</x:v>
      </x:c>
      <x:c r="Z1237" t="str">
        <x:v>https://snpmb.id/utbk-snbt/daya-tampung-snbt</x:v>
      </x:c>
      <x:c r="AA1237" t="str">
        <x:v>Tidak Ada</x:v>
      </x:c>
      <x:c r="AB1237" t="str">
        <x:v>Campus=90; Ratio=100.0; Prodi=55; RelDemand=100.0; Capacity=90.0</x:v>
      </x:c>
    </x:row>
    <x:row r="1238">
      <x:c r="A1238" t="n">
        <x:v>1235</x:v>
      </x:c>
      <x:c r="B1238" t="str">
        <x:v>PTN Akademik</x:v>
      </x:c>
      <x:c r="C1238" t="str">
        <x:v>UNIVERSITAS PADJADJARAN</x:v>
      </x:c>
      <x:c r="D1238" t="str">
        <x:v>TEKNOLOGI INDUSTRI KIMIA</x:v>
      </x:c>
      <x:c r="E1238" t="str">
        <x:v>Sarjana Terapan</x:v>
      </x:c>
      <x:c r="F1238" s="18" t="n">
        <x:v>22</x:v>
      </x:c>
      <x:c r="G1238" s="18" t="n">
        <x:v>854</x:v>
      </x:c>
      <x:c r="H1238" s="19" t="n">
        <x:v>38.81818181818182</x:v>
      </x:c>
      <x:c r="I1238" s="18" t="n">
        <x:f>ROUND(MIN(Model_Config_v3!$B$6,MAX(Q1238,R1238,S1238*Model_Config_v3!$B$4+T1238*Model_Config_v3!$B$5)),0)</x:f>
        <x:v>712</x:v>
      </x:c>
      <x:c r="J1238" s="18" t="n">
        <x:f>MIN(Model_Config_v3!$B$6,I1238+Model_Config_v3!$B$7)</x:f>
        <x:v>732</x:v>
      </x:c>
      <x:c r="K1238" s="20" t="n">
        <x:v>79.8</x:v>
      </x:c>
      <x:c r="L1238" t="str">
        <x:v>ELITE</x:v>
      </x:c>
      <x:c r="M1238" t="str">
        <x:v>SEDANG+</x:v>
      </x:c>
      <x:c r="N1238" t="str">
        <x:v>ELITE-2</x:v>
      </x:c>
      <x:c r="O1238" t="str">
        <x:v>SAINTEK</x:v>
      </x:c>
      <x:c r="P1238" t="str">
        <x:v>SAINS DASAR</x:v>
      </x:c>
      <x:c r="Q1238" s="18" t="n">
        <x:v>655</x:v>
      </x:c>
      <x:c r="R1238" s="18" t="n">
        <x:v>0</x:v>
      </x:c>
      <x:c r="S1238" s="18" t="n">
        <x:v>694.7938708853478</x:v>
      </x:c>
      <x:c r="T1238" s="18" t="n">
        <x:v>720</x:v>
      </x:c>
      <x:c r="U1238" s="18" t="n">
        <x:v>694.7938708853478</x:v>
      </x:c>
      <x:c r="V1238" s="20" t="n">
        <x:v>12</x:v>
      </x:c>
      <x:c r="W1238" s="20" t="n">
        <x:v>5</x:v>
      </x:c>
      <x:c r="X1238" s="20" t="n">
        <x:v>3</x:v>
      </x:c>
      <x:c r="Y1238" t="str">
        <x:v>Basis arsip 2025/2024</x:v>
      </x:c>
      <x:c r="Z1238" t="str">
        <x:v>https://snpmb.id/utbk-snbt/daya-tampung-snbt</x:v>
      </x:c>
      <x:c r="AA1238" t="str">
        <x:v>Tidak Ada</x:v>
      </x:c>
      <x:c r="AB1238" t="str">
        <x:v>Campus=90; Ratio=93.5; Prodi=50; RelDemand=67.6; Capacity=81.7</x:v>
      </x:c>
    </x:row>
    <x:row r="1239">
      <x:c r="A1239" t="n">
        <x:v>1236</x:v>
      </x:c>
      <x:c r="B1239" t="str">
        <x:v>PTN Akademik</x:v>
      </x:c>
      <x:c r="C1239" t="str">
        <x:v>UNIVERSITAS PADJADJARAN</x:v>
      </x:c>
      <x:c r="D1239" t="str">
        <x:v>AGROTEKNOPRENEUR</x:v>
      </x:c>
      <x:c r="E1239" t="str">
        <x:v>Sarjana Terapan</x:v>
      </x:c>
      <x:c r="F1239" s="18" t="n">
        <x:v>24</x:v>
      </x:c>
      <x:c r="G1239" s="18" t="n">
        <x:v>643</x:v>
      </x:c>
      <x:c r="H1239" s="19" t="n">
        <x:v>26.791666666666668</x:v>
      </x:c>
      <x:c r="I1239" s="18" t="n">
        <x:f>ROUND(MIN(Model_Config_v3!$B$6,MAX(Q1239,R1239,S1239*Model_Config_v3!$B$4+T1239*Model_Config_v3!$B$5)),0)</x:f>
        <x:v>697</x:v>
      </x:c>
      <x:c r="J1239" s="18" t="n">
        <x:f>MIN(Model_Config_v3!$B$6,I1239+Model_Config_v3!$B$7)</x:f>
        <x:v>717</x:v>
      </x:c>
      <x:c r="K1239" s="20" t="n">
        <x:v>73.2</x:v>
      </x:c>
      <x:c r="L1239" t="str">
        <x:v>SANGAT KETAT</x:v>
      </x:c>
      <x:c r="M1239" t="str">
        <x:v>SEDANG+</x:v>
      </x:c>
      <x:c r="N1239" t="str">
        <x:v>ELITE-2</x:v>
      </x:c>
      <x:c r="O1239" t="str">
        <x:v>CAMPURAN</x:v>
      </x:c>
      <x:c r="P1239" t="str">
        <x:v>UMUM</x:v>
      </x:c>
      <x:c r="Q1239" s="18" t="n">
        <x:v>655</x:v>
      </x:c>
      <x:c r="R1239" s="18" t="n">
        <x:v>0</x:v>
      </x:c>
      <x:c r="S1239" s="18" t="n">
        <x:v>677.0799704333878</x:v>
      </x:c>
      <x:c r="T1239" s="18" t="n">
        <x:v>706</x:v>
      </x:c>
      <x:c r="U1239" s="18" t="n">
        <x:v>677.0799704333878</x:v>
      </x:c>
      <x:c r="V1239" s="20" t="n">
        <x:v>8.8</x:v>
      </x:c>
      <x:c r="W1239" s="20" t="n">
        <x:v>9.9</x:v>
      </x:c>
      <x:c r="X1239" s="20" t="n">
        <x:v>3.3</x:v>
      </x:c>
      <x:c r="Y1239" t="str">
        <x:v>Basis arsip 2025/2024</x:v>
      </x:c>
      <x:c r="Z1239" t="str">
        <x:v>https://snpmb.id/utbk-snbt/daya-tampung-snbt</x:v>
      </x:c>
      <x:c r="AA1239" t="str">
        <x:v>Tidak Ada</x:v>
      </x:c>
      <x:c r="AB1239" t="str">
        <x:v>Campus=90; Ratio=84.1; Prodi=40; RelDemand=46.7; Capacity=80.0</x:v>
      </x:c>
    </x:row>
    <x:row r="1240">
      <x:c r="A1240" t="n">
        <x:v>1237</x:v>
      </x:c>
      <x:c r="B1240" t="str">
        <x:v>PTN Akademik</x:v>
      </x:c>
      <x:c r="C1240" t="str">
        <x:v>UNIVERSITAS PADJADJARAN</x:v>
      </x:c>
      <x:c r="D1240" t="str">
        <x:v>ADMINISTRASI KEUANGAN PUBLIK</x:v>
      </x:c>
      <x:c r="E1240" t="str">
        <x:v>Sarjana Terapan</x:v>
      </x:c>
      <x:c r="F1240" s="18" t="n">
        <x:v>22</x:v>
      </x:c>
      <x:c r="G1240" s="18" t="n">
        <x:v>1325</x:v>
      </x:c>
      <x:c r="H1240" s="19" t="n">
        <x:v>60.22727272727273</x:v>
      </x:c>
      <x:c r="I1240" s="18" t="n">
        <x:f>ROUND(MIN(Model_Config_v3!$B$6,MAX(Q1240,R1240,S1240*Model_Config_v3!$B$4+T1240*Model_Config_v3!$B$5)),0)</x:f>
        <x:v>722</x:v>
      </x:c>
      <x:c r="J1240" s="18" t="n">
        <x:f>MIN(Model_Config_v3!$B$6,I1240+Model_Config_v3!$B$7)</x:f>
        <x:v>742</x:v>
      </x:c>
      <x:c r="K1240" s="20" t="n">
        <x:v>82.7</x:v>
      </x:c>
      <x:c r="L1240" t="str">
        <x:v>ELITE</x:v>
      </x:c>
      <x:c r="M1240" t="str">
        <x:v>SEDANG+</x:v>
      </x:c>
      <x:c r="N1240" t="str">
        <x:v>ELITE-2</x:v>
      </x:c>
      <x:c r="O1240" t="str">
        <x:v>SOSHUM</x:v>
      </x:c>
      <x:c r="P1240" t="str">
        <x:v>UMUM</x:v>
      </x:c>
      <x:c r="Q1240" s="18" t="n">
        <x:v>655</x:v>
      </x:c>
      <x:c r="R1240" s="18" t="n">
        <x:v>0</x:v>
      </x:c>
      <x:c r="S1240" s="18" t="n">
        <x:v>715.7772517195682</x:v>
      </x:c>
      <x:c r="T1240" s="18" t="n">
        <x:v>725</x:v>
      </x:c>
      <x:c r="U1240" s="18" t="n">
        <x:v>715.7772517195682</x:v>
      </x:c>
      <x:c r="V1240" s="20" t="n">
        <x:v>4.4</x:v>
      </x:c>
      <x:c r="W1240" s="20" t="n">
        <x:v>14.3</x:v>
      </x:c>
      <x:c r="X1240" s="20" t="n">
        <x:v>3.3</x:v>
      </x:c>
      <x:c r="Y1240" t="str">
        <x:v>Basis arsip 2025/2024</x:v>
      </x:c>
      <x:c r="Z1240" t="str">
        <x:v>https://snpmb.id/utbk-snbt/daya-tampung-snbt</x:v>
      </x:c>
      <x:c r="AA1240" t="str">
        <x:v>Tidak Ada</x:v>
      </x:c>
      <x:c r="AB1240" t="str">
        <x:v>Campus=90; Ratio=100.0; Prodi=40; RelDemand=100.0; Capacity=81.7</x:v>
      </x:c>
    </x:row>
    <x:row r="1241">
      <x:c r="A1241" t="n">
        <x:v>1238</x:v>
      </x:c>
      <x:c r="B1241" t="str">
        <x:v>PTN Akademik</x:v>
      </x:c>
      <x:c r="C1241" t="str">
        <x:v>UNIVERSITAS PADJADJARAN</x:v>
      </x:c>
      <x:c r="D1241" t="str">
        <x:v>ADMINISTRASI PEMERINTAHAN</x:v>
      </x:c>
      <x:c r="E1241" t="str">
        <x:v>Sarjana Terapan</x:v>
      </x:c>
      <x:c r="F1241" s="18" t="n">
        <x:v>18</x:v>
      </x:c>
      <x:c r="G1241" s="18" t="n">
        <x:v>1914</x:v>
      </x:c>
      <x:c r="H1241" s="19" t="n">
        <x:v>106.33333333333333</x:v>
      </x:c>
      <x:c r="I1241" s="18" t="n">
        <x:f>ROUND(MIN(Model_Config_v3!$B$6,MAX(Q1241,R1241,S1241*Model_Config_v3!$B$4+T1241*Model_Config_v3!$B$5)),0)</x:f>
        <x:v>731</x:v>
      </x:c>
      <x:c r="J1241" s="18" t="n">
        <x:f>MIN(Model_Config_v3!$B$6,I1241+Model_Config_v3!$B$7)</x:f>
        <x:v>751</x:v>
      </x:c>
      <x:c r="K1241" s="20" t="n">
        <x:v>83</x:v>
      </x:c>
      <x:c r="L1241" t="str">
        <x:v>ELITE</x:v>
      </x:c>
      <x:c r="M1241" t="str">
        <x:v>SEDANG+</x:v>
      </x:c>
      <x:c r="N1241" t="str">
        <x:v>ELITE-2</x:v>
      </x:c>
      <x:c r="O1241" t="str">
        <x:v>SOSHUM</x:v>
      </x:c>
      <x:c r="P1241" t="str">
        <x:v>UMUM</x:v>
      </x:c>
      <x:c r="Q1241" s="18" t="n">
        <x:v>655</x:v>
      </x:c>
      <x:c r="R1241" s="18" t="n">
        <x:v>0</x:v>
      </x:c>
      <x:c r="S1241" s="18" t="n">
        <x:v>742.9336371171271</x:v>
      </x:c>
      <x:c r="T1241" s="18" t="n">
        <x:v>726</x:v>
      </x:c>
      <x:c r="U1241" s="18" t="n">
        <x:v>742.9336371171271</x:v>
      </x:c>
      <x:c r="V1241" s="20" t="n">
        <x:v>4.4</x:v>
      </x:c>
      <x:c r="W1241" s="20" t="n">
        <x:v>14.3</x:v>
      </x:c>
      <x:c r="X1241" s="20" t="n">
        <x:v>3.3</x:v>
      </x:c>
      <x:c r="Y1241" t="str">
        <x:v>Basis arsip 2025/2024</x:v>
      </x:c>
      <x:c r="Z1241" t="str">
        <x:v>https://snpmb.id/utbk-snbt/daya-tampung-snbt</x:v>
      </x:c>
      <x:c r="AA1241" t="str">
        <x:v>Tidak Ada</x:v>
      </x:c>
      <x:c r="AB1241" t="str">
        <x:v>Campus=90; Ratio=100.0; Prodi=40; RelDemand=100.0; Capacity=85.0</x:v>
      </x:c>
    </x:row>
    <x:row r="1242">
      <x:c r="A1242" t="n">
        <x:v>1239</x:v>
      </x:c>
      <x:c r="B1242" t="str">
        <x:v>PTN Akademik</x:v>
      </x:c>
      <x:c r="C1242" t="str">
        <x:v>UNIVERSITAS PADJADJARAN</x:v>
      </x:c>
      <x:c r="D1242" t="str">
        <x:v>BISNIS LOGISTIK</x:v>
      </x:c>
      <x:c r="E1242" t="str">
        <x:v>Sarjana Terapan</x:v>
      </x:c>
      <x:c r="F1242" s="18" t="n">
        <x:v>24</x:v>
      </x:c>
      <x:c r="G1242" s="18" t="n">
        <x:v>603</x:v>
      </x:c>
      <x:c r="H1242" s="19" t="n">
        <x:v>25.125</x:v>
      </x:c>
      <x:c r="I1242" s="18" t="n">
        <x:f>ROUND(MIN(Model_Config_v3!$B$6,MAX(Q1242,R1242,S1242*Model_Config_v3!$B$4+T1242*Model_Config_v3!$B$5)),0)</x:f>
        <x:v>703</x:v>
      </x:c>
      <x:c r="J1242" s="18" t="n">
        <x:f>MIN(Model_Config_v3!$B$6,I1242+Model_Config_v3!$B$7)</x:f>
        <x:v>723</x:v>
      </x:c>
      <x:c r="K1242" s="20" t="n">
        <x:v>77.5</x:v>
      </x:c>
      <x:c r="L1242" t="str">
        <x:v>ELITE</x:v>
      </x:c>
      <x:c r="M1242" t="str">
        <x:v>SEDANG+</x:v>
      </x:c>
      <x:c r="N1242" t="str">
        <x:v>ELITE-2</x:v>
      </x:c>
      <x:c r="O1242" t="str">
        <x:v>SOSHUM</x:v>
      </x:c>
      <x:c r="P1242" t="str">
        <x:v>BISNIS/EKONOMI/AKUNTANSI</x:v>
      </x:c>
      <x:c r="Q1242" s="18" t="n">
        <x:v>655</x:v>
      </x:c>
      <x:c r="R1242" s="18" t="n">
        <x:v>680</x:v>
      </x:c>
      <x:c r="S1242" s="18" t="n">
        <x:v>674.01166774714</x:v>
      </x:c>
      <x:c r="T1242" s="18" t="n">
        <x:v>715</x:v>
      </x:c>
      <x:c r="U1242" s="18" t="n">
        <x:v>689.01166774714</x:v>
      </x:c>
      <x:c r="V1242" s="20" t="n">
        <x:v>4.4</x:v>
      </x:c>
      <x:c r="W1242" s="20" t="n">
        <x:v>14.3</x:v>
      </x:c>
      <x:c r="X1242" s="20" t="n">
        <x:v>3.3</x:v>
      </x:c>
      <x:c r="Y1242" t="str">
        <x:v>Basis arsip 2025/2024</x:v>
      </x:c>
      <x:c r="Z1242" t="str">
        <x:v>https://snpmb.id/utbk-snbt/daya-tampung-snbt</x:v>
      </x:c>
      <x:c r="AA1242" t="str">
        <x:v>Tidak Ada</x:v>
      </x:c>
      <x:c r="AB1242" t="str">
        <x:v>Campus=90; Ratio=82.4; Prodi=65; RelDemand=43.8; Capacity=80.0</x:v>
      </x:c>
    </x:row>
    <x:row r="1243">
      <x:c r="A1243" t="n">
        <x:v>1240</x:v>
      </x:c>
      <x:c r="B1243" t="str">
        <x:v>PTN Akademik</x:v>
      </x:c>
      <x:c r="C1243" t="str">
        <x:v>UNIVERSITAS PADJADJARAN</x:v>
      </x:c>
      <x:c r="D1243" t="str">
        <x:v>KEARSIPAN DIGITAL</x:v>
      </x:c>
      <x:c r="E1243" t="str">
        <x:v>Sarjana Terapan</x:v>
      </x:c>
      <x:c r="F1243" s="18" t="n">
        <x:v>16</x:v>
      </x:c>
      <x:c r="G1243" s="18" t="n">
        <x:v>453</x:v>
      </x:c>
      <x:c r="H1243" s="19" t="n">
        <x:v>28.3125</x:v>
      </x:c>
      <x:c r="I1243" s="18" t="n">
        <x:f>ROUND(MIN(Model_Config_v3!$B$6,MAX(Q1243,R1243,S1243*Model_Config_v3!$B$4+T1243*Model_Config_v3!$B$5)),0)</x:f>
        <x:v>700</x:v>
      </x:c>
      <x:c r="J1243" s="18" t="n">
        <x:f>MIN(Model_Config_v3!$B$6,I1243+Model_Config_v3!$B$7)</x:f>
        <x:v>720</x:v>
      </x:c>
      <x:c r="K1243" s="20" t="n">
        <x:v>74.5</x:v>
      </x:c>
      <x:c r="L1243" t="str">
        <x:v>SANGAT KETAT</x:v>
      </x:c>
      <x:c r="M1243" t="str">
        <x:v>SEDANG+</x:v>
      </x:c>
      <x:c r="N1243" t="str">
        <x:v>ELITE-2</x:v>
      </x:c>
      <x:c r="O1243" t="str">
        <x:v>CAMPURAN</x:v>
      </x:c>
      <x:c r="P1243" t="str">
        <x:v>UMUM</x:v>
      </x:c>
      <x:c r="Q1243" s="18" t="n">
        <x:v>655</x:v>
      </x:c>
      <x:c r="R1243" s="18" t="n">
        <x:v>0</x:v>
      </x:c>
      <x:c r="S1243" s="18" t="n">
        <x:v>679.7176041292597</x:v>
      </x:c>
      <x:c r="T1243" s="18" t="n">
        <x:v>709</x:v>
      </x:c>
      <x:c r="U1243" s="18" t="n">
        <x:v>679.7176041292597</x:v>
      </x:c>
      <x:c r="V1243" s="20" t="n">
        <x:v>8.8</x:v>
      </x:c>
      <x:c r="W1243" s="20" t="n">
        <x:v>9.9</x:v>
      </x:c>
      <x:c r="X1243" s="20" t="n">
        <x:v>3.3</x:v>
      </x:c>
      <x:c r="Y1243" t="str">
        <x:v>Basis arsip 2025/2024</x:v>
      </x:c>
      <x:c r="Z1243" t="str">
        <x:v>https://snpmb.id/utbk-snbt/daya-tampung-snbt</x:v>
      </x:c>
      <x:c r="AA1243" t="str">
        <x:v>Tidak Ada</x:v>
      </x:c>
      <x:c r="AB1243" t="str">
        <x:v>Campus=90; Ratio=85.5; Prodi=40; RelDemand=49.3; Capacity=86.7</x:v>
      </x:c>
    </x:row>
    <x:row r="1244">
      <x:c r="A1244" t="n">
        <x:v>1241</x:v>
      </x:c>
      <x:c r="B1244" t="str">
        <x:v>PTN Akademik</x:v>
      </x:c>
      <x:c r="C1244" t="str">
        <x:v>UNIVERSITAS PADJADJARAN</x:v>
      </x:c>
      <x:c r="D1244" t="str">
        <x:v>BAHASA DAN BUDAYA TIONGKOK</x:v>
      </x:c>
      <x:c r="E1244" t="str">
        <x:v>Sarjana Terapan</x:v>
      </x:c>
      <x:c r="F1244" s="18" t="n">
        <x:v>15</x:v>
      </x:c>
      <x:c r="G1244" s="18" t="n">
        <x:v>255</x:v>
      </x:c>
      <x:c r="H1244" s="19" t="n">
        <x:v>17</x:v>
      </x:c>
      <x:c r="I1244" s="18" t="n">
        <x:f>ROUND(MIN(Model_Config_v3!$B$6,MAX(Q1244,R1244,S1244*Model_Config_v3!$B$4+T1244*Model_Config_v3!$B$5)),0)</x:f>
        <x:v>686</x:v>
      </x:c>
      <x:c r="J1244" s="18" t="n">
        <x:f>MIN(Model_Config_v3!$B$6,I1244+Model_Config_v3!$B$7)</x:f>
        <x:v>706</x:v>
      </x:c>
      <x:c r="K1244" s="20" t="n">
        <x:v>69.3</x:v>
      </x:c>
      <x:c r="L1244" t="str">
        <x:v>SANGAT KETAT</x:v>
      </x:c>
      <x:c r="M1244" t="str">
        <x:v>SEDANG+</x:v>
      </x:c>
      <x:c r="N1244" t="str">
        <x:v>ELITE-2</x:v>
      </x:c>
      <x:c r="O1244" t="str">
        <x:v>SOSHUM</x:v>
      </x:c>
      <x:c r="P1244" t="str">
        <x:v>UMUM</x:v>
      </x:c>
      <x:c r="Q1244" s="18" t="n">
        <x:v>655</x:v>
      </x:c>
      <x:c r="R1244" s="18" t="n">
        <x:v>0</x:v>
      </x:c>
      <x:c r="S1244" s="18" t="n">
        <x:v>655.3493813516102</x:v>
      </x:c>
      <x:c r="T1244" s="18" t="n">
        <x:v>699</x:v>
      </x:c>
      <x:c r="U1244" s="18" t="n">
        <x:v>655.3493813516102</x:v>
      </x:c>
      <x:c r="V1244" s="20" t="n">
        <x:v>4.4</x:v>
      </x:c>
      <x:c r="W1244" s="20" t="n">
        <x:v>14.3</x:v>
      </x:c>
      <x:c r="X1244" s="20" t="n">
        <x:v>3.3</x:v>
      </x:c>
      <x:c r="Y1244" t="str">
        <x:v>Basis arsip 2025/2024</x:v>
      </x:c>
      <x:c r="Z1244" t="str">
        <x:v>https://snpmb.id/utbk-snbt/daya-tampung-snbt</x:v>
      </x:c>
      <x:c r="AA1244" t="str">
        <x:v>Tidak Ada</x:v>
      </x:c>
      <x:c r="AB1244" t="str">
        <x:v>Campus=90; Ratio=72.4; Prodi=40; RelDemand=29.6; Capacity=87.5</x:v>
      </x:c>
    </x:row>
    <x:row r="1245">
      <x:c r="A1245" t="n">
        <x:v>1242</x:v>
      </x:c>
      <x:c r="B1245" t="str">
        <x:v>PTN Akademik</x:v>
      </x:c>
      <x:c r="C1245" t="str">
        <x:v>UNIVERSITAS PADJADJARAN</x:v>
      </x:c>
      <x:c r="D1245" t="str">
        <x:v>MANAJEMEN PRODUKSI MEDIA</x:v>
      </x:c>
      <x:c r="E1245" t="str">
        <x:v>Sarjana Terapan</x:v>
      </x:c>
      <x:c r="F1245" s="18" t="n">
        <x:v>48</x:v>
      </x:c>
      <x:c r="G1245" s="18" t="n">
        <x:v>2220</x:v>
      </x:c>
      <x:c r="H1245" s="19" t="n">
        <x:v>46.25</x:v>
      </x:c>
      <x:c r="I1245" s="18" t="n">
        <x:f>ROUND(MIN(Model_Config_v3!$B$6,MAX(Q1245,R1245,S1245*Model_Config_v3!$B$4+T1245*Model_Config_v3!$B$5)),0)</x:f>
        <x:v>719</x:v>
      </x:c>
      <x:c r="J1245" s="18" t="n">
        <x:f>MIN(Model_Config_v3!$B$6,I1245+Model_Config_v3!$B$7)</x:f>
        <x:v>739</x:v>
      </x:c>
      <x:c r="K1245" s="20" t="n">
        <x:v>83.1</x:v>
      </x:c>
      <x:c r="L1245" t="str">
        <x:v>ELITE</x:v>
      </x:c>
      <x:c r="M1245" t="str">
        <x:v>SEDANG+</x:v>
      </x:c>
      <x:c r="N1245" t="str">
        <x:v>ELITE-2</x:v>
      </x:c>
      <x:c r="O1245" t="str">
        <x:v>SOSHUM</x:v>
      </x:c>
      <x:c r="P1245" t="str">
        <x:v>BISNIS/EKONOMI/AKUNTANSI</x:v>
      </x:c>
      <x:c r="Q1245" s="18" t="n">
        <x:v>655</x:v>
      </x:c>
      <x:c r="R1245" s="18" t="n">
        <x:v>680</x:v>
      </x:c>
      <x:c r="S1245" s="18" t="n">
        <x:v>703.1622910782556</x:v>
      </x:c>
      <x:c r="T1245" s="18" t="n">
        <x:v>726</x:v>
      </x:c>
      <x:c r="U1245" s="18" t="n">
        <x:v>718.1622910782556</x:v>
      </x:c>
      <x:c r="V1245" s="20" t="n">
        <x:v>4.4</x:v>
      </x:c>
      <x:c r="W1245" s="20" t="n">
        <x:v>14.3</x:v>
      </x:c>
      <x:c r="X1245" s="20" t="n">
        <x:v>3.3</x:v>
      </x:c>
      <x:c r="Y1245" t="str">
        <x:v>Basis arsip 2025/2024</x:v>
      </x:c>
      <x:c r="Z1245" t="str">
        <x:v>https://snpmb.id/utbk-snbt/daya-tampung-snbt</x:v>
      </x:c>
      <x:c r="AA1245" t="str">
        <x:v>Tidak Ada</x:v>
      </x:c>
      <x:c r="AB1245" t="str">
        <x:v>Campus=90; Ratio=98.0; Prodi=65; RelDemand=80.5; Capacity=60.0</x:v>
      </x:c>
    </x:row>
    <x:row r="1246">
      <x:c r="A1246" t="n">
        <x:v>1243</x:v>
      </x:c>
      <x:c r="B1246" t="str">
        <x:v>PTN Akademik</x:v>
      </x:c>
      <x:c r="C1246" t="str">
        <x:v>UNIVERSITAS PADJADJARAN</x:v>
      </x:c>
      <x:c r="D1246" t="str">
        <x:v>PARIWISATA BAHARI</x:v>
      </x:c>
      <x:c r="E1246" t="str">
        <x:v>Sarjana Terapan</x:v>
      </x:c>
      <x:c r="F1246" s="18" t="n">
        <x:v>36</x:v>
      </x:c>
      <x:c r="G1246" s="18" t="n">
        <x:v>833</x:v>
      </x:c>
      <x:c r="H1246" s="19" t="n">
        <x:v>23.13888888888889</x:v>
      </x:c>
      <x:c r="I1246" s="18" t="n">
        <x:f>ROUND(MIN(Model_Config_v3!$B$6,MAX(Q1246,R1246,S1246*Model_Config_v3!$B$4+T1246*Model_Config_v3!$B$5)),0)</x:f>
        <x:v>692</x:v>
      </x:c>
      <x:c r="J1246" s="18" t="n">
        <x:f>MIN(Model_Config_v3!$B$6,I1246+Model_Config_v3!$B$7)</x:f>
        <x:v>712</x:v>
      </x:c>
      <x:c r="K1246" s="20" t="n">
        <x:v>70.6</x:v>
      </x:c>
      <x:c r="L1246" t="str">
        <x:v>SANGAT KETAT</x:v>
      </x:c>
      <x:c r="M1246" t="str">
        <x:v>SEDANG+</x:v>
      </x:c>
      <x:c r="N1246" t="str">
        <x:v>ELITE-2</x:v>
      </x:c>
      <x:c r="O1246" t="str">
        <x:v>CAMPURAN</x:v>
      </x:c>
      <x:c r="P1246" t="str">
        <x:v>UMUM</x:v>
      </x:c>
      <x:c r="Q1246" s="18" t="n">
        <x:v>655</x:v>
      </x:c>
      <x:c r="R1246" s="18" t="n">
        <x:v>0</x:v>
      </x:c>
      <x:c r="S1246" s="18" t="n">
        <x:v>670.0776750703451</x:v>
      </x:c>
      <x:c r="T1246" s="18" t="n">
        <x:v>701</x:v>
      </x:c>
      <x:c r="U1246" s="18" t="n">
        <x:v>670.0776750703451</x:v>
      </x:c>
      <x:c r="V1246" s="20" t="n">
        <x:v>8.8</x:v>
      </x:c>
      <x:c r="W1246" s="20" t="n">
        <x:v>9.9</x:v>
      </x:c>
      <x:c r="X1246" s="20" t="n">
        <x:v>3.3</x:v>
      </x:c>
      <x:c r="Y1246" t="str">
        <x:v>Basis arsip 2025/2024</x:v>
      </x:c>
      <x:c r="Z1246" t="str">
        <x:v>https://snpmb.id/utbk-snbt/daya-tampung-snbt</x:v>
      </x:c>
      <x:c r="AA1246" t="str">
        <x:v>Tidak Ada</x:v>
      </x:c>
      <x:c r="AB1246" t="str">
        <x:v>Campus=90; Ratio=80.3; Prodi=40; RelDemand=40.3; Capacity=70.0</x:v>
      </x:c>
    </x:row>
    <x:row r="1247">
      <x:c r="A1247" t="n">
        <x:v>1244</x:v>
      </x:c>
      <x:c r="B1247" t="str">
        <x:v>PTN Akademik</x:v>
      </x:c>
      <x:c r="C1247" t="str">
        <x:v>UNIVERSITAS PENDIDIKAN INDONESIA</x:v>
      </x:c>
      <x:c r="D1247" t="str">
        <x:v>PENDIDIKAN MATEMATIKA</x:v>
      </x:c>
      <x:c r="E1247" t="str">
        <x:v>Sarjana</x:v>
      </x:c>
      <x:c r="F1247" s="18" t="n">
        <x:v>45</x:v>
      </x:c>
      <x:c r="G1247" s="18" t="n">
        <x:v>412</x:v>
      </x:c>
      <x:c r="H1247" s="19" t="n">
        <x:v>9.155555555555555</x:v>
      </x:c>
      <x:c r="I1247" s="18" t="n">
        <x:f>ROUND(MIN(Model_Config_v3!$B$6,MAX(Q1247,R1247,S1247*Model_Config_v3!$B$4+T1247*Model_Config_v3!$B$5)),0)</x:f>
        <x:v>666</x:v>
      </x:c>
      <x:c r="J1247" s="18" t="n">
        <x:f>MIN(Model_Config_v3!$B$6,I1247+Model_Config_v3!$B$7)</x:f>
        <x:v>686</x:v>
      </x:c>
      <x:c r="K1247" s="20" t="n">
        <x:v>61.4</x:v>
      </x:c>
      <x:c r="L1247" t="str">
        <x:v>KETAT</x:v>
      </x:c>
      <x:c r="M1247" t="str">
        <x:v>SEDANG+</x:v>
      </x:c>
      <x:c r="N1247" t="str">
        <x:v>ELITE-3</x:v>
      </x:c>
      <x:c r="O1247" t="str">
        <x:v>SAINTEK</x:v>
      </x:c>
      <x:c r="P1247" t="str">
        <x:v>PENDIDIKAN</x:v>
      </x:c>
      <x:c r="Q1247" s="18" t="n">
        <x:v>625</x:v>
      </x:c>
      <x:c r="R1247" s="18" t="n">
        <x:v>0</x:v>
      </x:c>
      <x:c r="S1247" s="18" t="n">
        <x:v>625.7853172483569</x:v>
      </x:c>
      <x:c r="T1247" s="18" t="n">
        <x:v>683</x:v>
      </x:c>
      <x:c r="U1247" s="18" t="n">
        <x:v>625.7853172483569</x:v>
      </x:c>
      <x:c r="V1247" s="20" t="n">
        <x:v>12</x:v>
      </x:c>
      <x:c r="W1247" s="20" t="n">
        <x:v>5</x:v>
      </x:c>
      <x:c r="X1247" s="20" t="n">
        <x:v>3</x:v>
      </x:c>
      <x:c r="Y1247" t="str">
        <x:v>Basis arsip 2025/2024</x:v>
      </x:c>
      <x:c r="Z1247" t="str">
        <x:v>https://snpmb.id/utbk-snbt/daya-tampung-snbt</x:v>
      </x:c>
      <x:c r="AA1247" t="str">
        <x:v>Tidak Ada</x:v>
      </x:c>
      <x:c r="AB1247" t="str">
        <x:v>Campus=80; Ratio=56.6; Prodi=45; RelDemand=40.2; Capacity=62.5</x:v>
      </x:c>
    </x:row>
    <x:row r="1248">
      <x:c r="A1248" t="n">
        <x:v>1245</x:v>
      </x:c>
      <x:c r="B1248" t="str">
        <x:v>PTN Akademik</x:v>
      </x:c>
      <x:c r="C1248" t="str">
        <x:v>UNIVERSITAS PENDIDIKAN INDONESIA</x:v>
      </x:c>
      <x:c r="D1248" t="str">
        <x:v>PENDIDIKAN FISIKA</x:v>
      </x:c>
      <x:c r="E1248" t="str">
        <x:v>Sarjana</x:v>
      </x:c>
      <x:c r="F1248" s="18" t="n">
        <x:v>30</x:v>
      </x:c>
      <x:c r="G1248" s="18" t="n">
        <x:v>160</x:v>
      </x:c>
      <x:c r="H1248" s="19" t="n">
        <x:v>5.333333333333333</x:v>
      </x:c>
      <x:c r="I1248" s="18" t="n">
        <x:f>ROUND(MIN(Model_Config_v3!$B$6,MAX(Q1248,R1248,S1248*Model_Config_v3!$B$4+T1248*Model_Config_v3!$B$5)),0)</x:f>
        <x:v>652</x:v>
      </x:c>
      <x:c r="J1248" s="18" t="n">
        <x:f>MIN(Model_Config_v3!$B$6,I1248+Model_Config_v3!$B$7)</x:f>
        <x:v>672</x:v>
      </x:c>
      <x:c r="K1248" s="20" t="n">
        <x:v>57.5</x:v>
      </x:c>
      <x:c r="L1248" t="str">
        <x:v>KETAT</x:v>
      </x:c>
      <x:c r="M1248" t="str">
        <x:v>SEDANG+</x:v>
      </x:c>
      <x:c r="N1248" t="str">
        <x:v>ELITE-3</x:v>
      </x:c>
      <x:c r="O1248" t="str">
        <x:v>SAINTEK</x:v>
      </x:c>
      <x:c r="P1248" t="str">
        <x:v>PENDIDIKAN</x:v>
      </x:c>
      <x:c r="Q1248" s="18" t="n">
        <x:v>625</x:v>
      </x:c>
      <x:c r="R1248" s="18" t="n">
        <x:v>0</x:v>
      </x:c>
      <x:c r="S1248" s="18" t="n">
        <x:v>599.9698600729888</x:v>
      </x:c>
      <x:c r="T1248" s="18" t="n">
        <x:v>675</x:v>
      </x:c>
      <x:c r="U1248" s="18" t="n">
        <x:v>625</x:v>
      </x:c>
      <x:c r="V1248" s="20" t="n">
        <x:v>12</x:v>
      </x:c>
      <x:c r="W1248" s="20" t="n">
        <x:v>5</x:v>
      </x:c>
      <x:c r="X1248" s="20" t="n">
        <x:v>3</x:v>
      </x:c>
      <x:c r="Y1248" t="str">
        <x:v>Basis arsip 2025/2024</x:v>
      </x:c>
      <x:c r="Z1248" t="str">
        <x:v>https://snpmb.id/utbk-snbt/daya-tampung-snbt</x:v>
      </x:c>
      <x:c r="AA1248" t="str">
        <x:v>Tidak Ada</x:v>
      </x:c>
      <x:c r="AB1248" t="str">
        <x:v>Campus=80; Ratio=42.8; Prodi=45; RelDemand=23.4; Capacity=75.0</x:v>
      </x:c>
    </x:row>
    <x:row r="1249">
      <x:c r="A1249" t="n">
        <x:v>1246</x:v>
      </x:c>
      <x:c r="B1249" t="str">
        <x:v>PTN Akademik</x:v>
      </x:c>
      <x:c r="C1249" t="str">
        <x:v>UNIVERSITAS PENDIDIKAN INDONESIA</x:v>
      </x:c>
      <x:c r="D1249" t="str">
        <x:v>PENDIDIKAN BIOLOGI</x:v>
      </x:c>
      <x:c r="E1249" t="str">
        <x:v>Sarjana</x:v>
      </x:c>
      <x:c r="F1249" s="18" t="n">
        <x:v>40</x:v>
      </x:c>
      <x:c r="G1249" s="18" t="n">
        <x:v>338</x:v>
      </x:c>
      <x:c r="H1249" s="19" t="n">
        <x:v>8.45</x:v>
      </x:c>
      <x:c r="I1249" s="18" t="n">
        <x:f>ROUND(MIN(Model_Config_v3!$B$6,MAX(Q1249,R1249,S1249*Model_Config_v3!$B$4+T1249*Model_Config_v3!$B$5)),0)</x:f>
        <x:v>664</x:v>
      </x:c>
      <x:c r="J1249" s="18" t="n">
        <x:f>MIN(Model_Config_v3!$B$6,I1249+Model_Config_v3!$B$7)</x:f>
        <x:v>684</x:v>
      </x:c>
      <x:c r="K1249" s="20" t="n">
        <x:v>61</x:v>
      </x:c>
      <x:c r="L1249" t="str">
        <x:v>KETAT</x:v>
      </x:c>
      <x:c r="M1249" t="str">
        <x:v>SEDANG+</x:v>
      </x:c>
      <x:c r="N1249" t="str">
        <x:v>ELITE-3</x:v>
      </x:c>
      <x:c r="O1249" t="str">
        <x:v>SAINTEK</x:v>
      </x:c>
      <x:c r="P1249" t="str">
        <x:v>PENDIDIKAN</x:v>
      </x:c>
      <x:c r="Q1249" s="18" t="n">
        <x:v>625</x:v>
      </x:c>
      <x:c r="R1249" s="18" t="n">
        <x:v>0</x:v>
      </x:c>
      <x:c r="S1249" s="18" t="n">
        <x:v>621.9542379844661</x:v>
      </x:c>
      <x:c r="T1249" s="18" t="n">
        <x:v>682</x:v>
      </x:c>
      <x:c r="U1249" s="18" t="n">
        <x:v>625</x:v>
      </x:c>
      <x:c r="V1249" s="20" t="n">
        <x:v>12</x:v>
      </x:c>
      <x:c r="W1249" s="20" t="n">
        <x:v>5</x:v>
      </x:c>
      <x:c r="X1249" s="20" t="n">
        <x:v>3</x:v>
      </x:c>
      <x:c r="Y1249" t="str">
        <x:v>Basis arsip 2025/2024</x:v>
      </x:c>
      <x:c r="Z1249" t="str">
        <x:v>https://snpmb.id/utbk-snbt/daya-tampung-snbt</x:v>
      </x:c>
      <x:c r="AA1249" t="str">
        <x:v>Tidak Ada</x:v>
      </x:c>
      <x:c r="AB1249" t="str">
        <x:v>Campus=80; Ratio=54.6; Prodi=45; RelDemand=37.1; Capacity=66.7</x:v>
      </x:c>
    </x:row>
    <x:row r="1250">
      <x:c r="A1250" t="n">
        <x:v>1247</x:v>
      </x:c>
      <x:c r="B1250" t="str">
        <x:v>PTN Akademik</x:v>
      </x:c>
      <x:c r="C1250" t="str">
        <x:v>UNIVERSITAS PENDIDIKAN INDONESIA</x:v>
      </x:c>
      <x:c r="D1250" t="str">
        <x:v>PENDIDIKAN KIMIA</x:v>
      </x:c>
      <x:c r="E1250" t="str">
        <x:v>Sarjana</x:v>
      </x:c>
      <x:c r="F1250" s="18" t="n">
        <x:v>54</x:v>
      </x:c>
      <x:c r="G1250" s="18" t="n">
        <x:v>232</x:v>
      </x:c>
      <x:c r="H1250" s="19" t="n">
        <x:v>4.296296296296297</x:v>
      </x:c>
      <x:c r="I1250" s="18" t="n">
        <x:f>ROUND(MIN(Model_Config_v3!$B$6,MAX(Q1250,R1250,S1250*Model_Config_v3!$B$4+T1250*Model_Config_v3!$B$5)),0)</x:f>
        <x:v>644</x:v>
      </x:c>
      <x:c r="J1250" s="18" t="n">
        <x:f>MIN(Model_Config_v3!$B$6,I1250+Model_Config_v3!$B$7)</x:f>
        <x:v>664</x:v>
      </x:c>
      <x:c r="K1250" s="20" t="n">
        <x:v>53.7</x:v>
      </x:c>
      <x:c r="L1250" t="str">
        <x:v>MENENGAH</x:v>
      </x:c>
      <x:c r="M1250" t="str">
        <x:v>SEDANG+</x:v>
      </x:c>
      <x:c r="N1250" t="str">
        <x:v>ELITE-3</x:v>
      </x:c>
      <x:c r="O1250" t="str">
        <x:v>SAINTEK</x:v>
      </x:c>
      <x:c r="P1250" t="str">
        <x:v>PENDIDIKAN</x:v>
      </x:c>
      <x:c r="Q1250" s="18" t="n">
        <x:v>625</x:v>
      </x:c>
      <x:c r="R1250" s="18" t="n">
        <x:v>0</x:v>
      </x:c>
      <x:c r="S1250" s="18" t="n">
        <x:v>589.6403647574724</x:v>
      </x:c>
      <x:c r="T1250" s="18" t="n">
        <x:v>667</x:v>
      </x:c>
      <x:c r="U1250" s="18" t="n">
        <x:v>625</x:v>
      </x:c>
      <x:c r="V1250" s="20" t="n">
        <x:v>12</x:v>
      </x:c>
      <x:c r="W1250" s="20" t="n">
        <x:v>5</x:v>
      </x:c>
      <x:c r="X1250" s="20" t="n">
        <x:v>3</x:v>
      </x:c>
      <x:c r="Y1250" t="str">
        <x:v>Basis arsip 2025/2024</x:v>
      </x:c>
      <x:c r="Z1250" t="str">
        <x:v>https://snpmb.id/utbk-snbt/daya-tampung-snbt</x:v>
      </x:c>
      <x:c r="AA1250" t="str">
        <x:v>Tidak Ada</x:v>
      </x:c>
      <x:c r="AB1250" t="str">
        <x:v>Campus=80; Ratio=37.3; Prodi=45; RelDemand=18.8; Capacity=55.0</x:v>
      </x:c>
    </x:row>
    <x:row r="1251">
      <x:c r="A1251" t="n">
        <x:v>1248</x:v>
      </x:c>
      <x:c r="B1251" t="str">
        <x:v>PTN Akademik</x:v>
      </x:c>
      <x:c r="C1251" t="str">
        <x:v>UNIVERSITAS PENDIDIKAN INDONESIA</x:v>
      </x:c>
      <x:c r="D1251" t="str">
        <x:v>PENDIDIKAN ILMU KOMPUTER</x:v>
      </x:c>
      <x:c r="E1251" t="str">
        <x:v>Sarjana</x:v>
      </x:c>
      <x:c r="F1251" s="18" t="n">
        <x:v>70</x:v>
      </x:c>
      <x:c r="G1251" s="18" t="n">
        <x:v>362</x:v>
      </x:c>
      <x:c r="H1251" s="19" t="n">
        <x:v>5.171428571428572</x:v>
      </x:c>
      <x:c r="I1251" s="18" t="n">
        <x:f>ROUND(MIN(Model_Config_v3!$B$6,MAX(Q1251,R1251,S1251*Model_Config_v3!$B$4+T1251*Model_Config_v3!$B$5)),0)</x:f>
        <x:v>675</x:v>
      </x:c>
      <x:c r="J1251" s="18" t="n">
        <x:f>MIN(Model_Config_v3!$B$6,I1251+Model_Config_v3!$B$7)</x:f>
        <x:v>695</x:v>
      </x:c>
      <x:c r="K1251" s="20" t="n">
        <x:v>61.9</x:v>
      </x:c>
      <x:c r="L1251" t="str">
        <x:v>KETAT</x:v>
      </x:c>
      <x:c r="M1251" t="str">
        <x:v>SEDANG+</x:v>
      </x:c>
      <x:c r="N1251" t="str">
        <x:v>ELITE-3</x:v>
      </x:c>
      <x:c r="O1251" t="str">
        <x:v>SAINTEK</x:v>
      </x:c>
      <x:c r="P1251" t="str">
        <x:v>KOMPUTER/INFORMATIKA</x:v>
      </x:c>
      <x:c r="Q1251" s="18" t="n">
        <x:v>625</x:v>
      </x:c>
      <x:c r="R1251" s="18" t="n">
        <x:v>675</x:v>
      </x:c>
      <x:c r="S1251" s="18" t="n">
        <x:v>598.49715835708</x:v>
      </x:c>
      <x:c r="T1251" s="18" t="n">
        <x:v>684</x:v>
      </x:c>
      <x:c r="U1251" s="18" t="n">
        <x:v>675</x:v>
      </x:c>
      <x:c r="V1251" s="20" t="n">
        <x:v>12</x:v>
      </x:c>
      <x:c r="W1251" s="20" t="n">
        <x:v>5</x:v>
      </x:c>
      <x:c r="X1251" s="20" t="n">
        <x:v>3</x:v>
      </x:c>
      <x:c r="Y1251" t="str">
        <x:v>Basis arsip 2025/2024</x:v>
      </x:c>
      <x:c r="Z1251" t="str">
        <x:v>https://snpmb.id/utbk-snbt/daya-tampung-snbt</x:v>
      </x:c>
      <x:c r="AA1251" t="str">
        <x:v>Tidak Ada</x:v>
      </x:c>
      <x:c r="AB1251" t="str">
        <x:v>Campus=80; Ratio=42.0; Prodi=85; RelDemand=22.7; Capacity=41.7</x:v>
      </x:c>
    </x:row>
    <x:row r="1252">
      <x:c r="A1252" t="n">
        <x:v>1249</x:v>
      </x:c>
      <x:c r="B1252" t="str">
        <x:v>PTN Akademik</x:v>
      </x:c>
      <x:c r="C1252" t="str">
        <x:v>UNIVERSITAS PENDIDIKAN INDONESIA</x:v>
      </x:c>
      <x:c r="D1252" t="str">
        <x:v>MATEMATIKA</x:v>
      </x:c>
      <x:c r="E1252" t="str">
        <x:v>Sarjana</x:v>
      </x:c>
      <x:c r="F1252" s="18" t="n">
        <x:v>47</x:v>
      </x:c>
      <x:c r="G1252" s="18" t="n">
        <x:v>257</x:v>
      </x:c>
      <x:c r="H1252" s="19" t="n">
        <x:v>5.468085106382978</x:v>
      </x:c>
      <x:c r="I1252" s="18" t="n">
        <x:f>ROUND(MIN(Model_Config_v3!$B$6,MAX(Q1252,R1252,S1252*Model_Config_v3!$B$4+T1252*Model_Config_v3!$B$5)),0)</x:f>
        <x:v>653</x:v>
      </x:c>
      <x:c r="J1252" s="18" t="n">
        <x:f>MIN(Model_Config_v3!$B$6,I1252+Model_Config_v3!$B$7)</x:f>
        <x:v>673</x:v>
      </x:c>
      <x:c r="K1252" s="20" t="n">
        <x:v>57.3</x:v>
      </x:c>
      <x:c r="L1252" t="str">
        <x:v>KETAT</x:v>
      </x:c>
      <x:c r="M1252" t="str">
        <x:v>SEDANG+</x:v>
      </x:c>
      <x:c r="N1252" t="str">
        <x:v>ELITE-3</x:v>
      </x:c>
      <x:c r="O1252" t="str">
        <x:v>SAINTEK</x:v>
      </x:c>
      <x:c r="P1252" t="str">
        <x:v>SAINS DASAR</x:v>
      </x:c>
      <x:c r="Q1252" s="18" t="n">
        <x:v>625</x:v>
      </x:c>
      <x:c r="R1252" s="18" t="n">
        <x:v>0</x:v>
      </x:c>
      <x:c r="S1252" s="18" t="n">
        <x:v>601.1618791935134</x:v>
      </x:c>
      <x:c r="T1252" s="18" t="n">
        <x:v>675</x:v>
      </x:c>
      <x:c r="U1252" s="18" t="n">
        <x:v>625</x:v>
      </x:c>
      <x:c r="V1252" s="20" t="n">
        <x:v>12</x:v>
      </x:c>
      <x:c r="W1252" s="20" t="n">
        <x:v>5</x:v>
      </x:c>
      <x:c r="X1252" s="20" t="n">
        <x:v>3</x:v>
      </x:c>
      <x:c r="Y1252" t="str">
        <x:v>Basis arsip 2025/2024</x:v>
      </x:c>
      <x:c r="Z1252" t="str">
        <x:v>https://snpmb.id/utbk-snbt/daya-tampung-snbt</x:v>
      </x:c>
      <x:c r="AA1252" t="str">
        <x:v>Tidak Ada</x:v>
      </x:c>
      <x:c r="AB1252" t="str">
        <x:v>Campus=80; Ratio=43.4; Prodi=50; RelDemand=24.0; Capacity=60.8</x:v>
      </x:c>
    </x:row>
    <x:row r="1253">
      <x:c r="A1253" t="n">
        <x:v>1250</x:v>
      </x:c>
      <x:c r="B1253" t="str">
        <x:v>PTN Akademik</x:v>
      </x:c>
      <x:c r="C1253" t="str">
        <x:v>UNIVERSITAS PENDIDIKAN INDONESIA</x:v>
      </x:c>
      <x:c r="D1253" t="str">
        <x:v>FISIKA</x:v>
      </x:c>
      <x:c r="E1253" t="str">
        <x:v>Sarjana</x:v>
      </x:c>
      <x:c r="F1253" s="18" t="n">
        <x:v>40</x:v>
      </x:c>
      <x:c r="G1253" s="18" t="n">
        <x:v>140</x:v>
      </x:c>
      <x:c r="H1253" s="19" t="n">
        <x:v>3.5</x:v>
      </x:c>
      <x:c r="I1253" s="18" t="n">
        <x:f>ROUND(MIN(Model_Config_v3!$B$6,MAX(Q1253,R1253,S1253*Model_Config_v3!$B$4+T1253*Model_Config_v3!$B$5)),0)</x:f>
        <x:v>642</x:v>
      </x:c>
      <x:c r="J1253" s="18" t="n">
        <x:f>MIN(Model_Config_v3!$B$6,I1253+Model_Config_v3!$B$7)</x:f>
        <x:v>662</x:v>
      </x:c>
      <x:c r="K1253" s="20" t="n">
        <x:v>54.2</x:v>
      </x:c>
      <x:c r="L1253" t="str">
        <x:v>MENENGAH</x:v>
      </x:c>
      <x:c r="M1253" t="str">
        <x:v>SEDANG+</x:v>
      </x:c>
      <x:c r="N1253" t="str">
        <x:v>ELITE-3</x:v>
      </x:c>
      <x:c r="O1253" t="str">
        <x:v>SAINTEK</x:v>
      </x:c>
      <x:c r="P1253" t="str">
        <x:v>SAINS DASAR</x:v>
      </x:c>
      <x:c r="Q1253" s="18" t="n">
        <x:v>625</x:v>
      </x:c>
      <x:c r="R1253" s="18" t="n">
        <x:v>0</x:v>
      </x:c>
      <x:c r="S1253" s="18" t="n">
        <x:v>579.8474848785303</x:v>
      </x:c>
      <x:c r="T1253" s="18" t="n">
        <x:v>668</x:v>
      </x:c>
      <x:c r="U1253" s="18" t="n">
        <x:v>625</x:v>
      </x:c>
      <x:c r="V1253" s="20" t="n">
        <x:v>12</x:v>
      </x:c>
      <x:c r="W1253" s="20" t="n">
        <x:v>5</x:v>
      </x:c>
      <x:c r="X1253" s="20" t="n">
        <x:v>3</x:v>
      </x:c>
      <x:c r="Y1253" t="str">
        <x:v>Basis arsip 2025/2024</x:v>
      </x:c>
      <x:c r="Z1253" t="str">
        <x:v>https://snpmb.id/utbk-snbt/daya-tampung-snbt</x:v>
      </x:c>
      <x:c r="AA1253" t="str">
        <x:v>Tidak Ada</x:v>
      </x:c>
      <x:c r="AB1253" t="str">
        <x:v>Campus=80; Ratio=32.0; Prodi=50; RelDemand=15.3; Capacity=66.7</x:v>
      </x:c>
    </x:row>
    <x:row r="1254">
      <x:c r="A1254" t="n">
        <x:v>1251</x:v>
      </x:c>
      <x:c r="B1254" t="str">
        <x:v>PTN Akademik</x:v>
      </x:c>
      <x:c r="C1254" t="str">
        <x:v>UNIVERSITAS PENDIDIKAN INDONESIA</x:v>
      </x:c>
      <x:c r="D1254" t="str">
        <x:v>BIOLOGI</x:v>
      </x:c>
      <x:c r="E1254" t="str">
        <x:v>Sarjana</x:v>
      </x:c>
      <x:c r="F1254" s="18" t="n">
        <x:v>40</x:v>
      </x:c>
      <x:c r="G1254" s="18" t="n">
        <x:v>324</x:v>
      </x:c>
      <x:c r="H1254" s="19" t="n">
        <x:v>8.1</x:v>
      </x:c>
      <x:c r="I1254" s="18" t="n">
        <x:f>ROUND(MIN(Model_Config_v3!$B$6,MAX(Q1254,R1254,S1254*Model_Config_v3!$B$4+T1254*Model_Config_v3!$B$5)),0)</x:f>
        <x:v>664</x:v>
      </x:c>
      <x:c r="J1254" s="18" t="n">
        <x:f>MIN(Model_Config_v3!$B$6,I1254+Model_Config_v3!$B$7)</x:f>
        <x:v>684</x:v>
      </x:c>
      <x:c r="K1254" s="20" t="n">
        <x:v>61.6</x:v>
      </x:c>
      <x:c r="L1254" t="str">
        <x:v>KETAT</x:v>
      </x:c>
      <x:c r="M1254" t="str">
        <x:v>SEDANG+</x:v>
      </x:c>
      <x:c r="N1254" t="str">
        <x:v>ELITE-3</x:v>
      </x:c>
      <x:c r="O1254" t="str">
        <x:v>SAINTEK</x:v>
      </x:c>
      <x:c r="P1254" t="str">
        <x:v>SAINS DASAR</x:v>
      </x:c>
      <x:c r="Q1254" s="18" t="n">
        <x:v>625</x:v>
      </x:c>
      <x:c r="R1254" s="18" t="n">
        <x:v>0</x:v>
      </x:c>
      <x:c r="S1254" s="18" t="n">
        <x:v>619.9333520766514</x:v>
      </x:c>
      <x:c r="T1254" s="18" t="n">
        <x:v>683</x:v>
      </x:c>
      <x:c r="U1254" s="18" t="n">
        <x:v>625</x:v>
      </x:c>
      <x:c r="V1254" s="20" t="n">
        <x:v>12</x:v>
      </x:c>
      <x:c r="W1254" s="20" t="n">
        <x:v>5</x:v>
      </x:c>
      <x:c r="X1254" s="20" t="n">
        <x:v>3</x:v>
      </x:c>
      <x:c r="Y1254" t="str">
        <x:v>Basis arsip 2025/2024</x:v>
      </x:c>
      <x:c r="Z1254" t="str">
        <x:v>https://snpmb.id/utbk-snbt/daya-tampung-snbt</x:v>
      </x:c>
      <x:c r="AA1254" t="str">
        <x:v>Tidak Ada</x:v>
      </x:c>
      <x:c r="AB1254" t="str">
        <x:v>Campus=80; Ratio=53.5; Prodi=50; RelDemand=35.5; Capacity=66.7</x:v>
      </x:c>
    </x:row>
    <x:row r="1255">
      <x:c r="A1255" t="n">
        <x:v>1252</x:v>
      </x:c>
      <x:c r="B1255" t="str">
        <x:v>PTN Akademik</x:v>
      </x:c>
      <x:c r="C1255" t="str">
        <x:v>UNIVERSITAS PENDIDIKAN INDONESIA</x:v>
      </x:c>
      <x:c r="D1255" t="str">
        <x:v>KIMIA</x:v>
      </x:c>
      <x:c r="E1255" t="str">
        <x:v>Sarjana</x:v>
      </x:c>
      <x:c r="F1255" s="18" t="n">
        <x:v>48</x:v>
      </x:c>
      <x:c r="G1255" s="18" t="n">
        <x:v>411</x:v>
      </x:c>
      <x:c r="H1255" s="19" t="n">
        <x:v>8.5625</x:v>
      </x:c>
      <x:c r="I1255" s="18" t="n">
        <x:f>ROUND(MIN(Model_Config_v3!$B$6,MAX(Q1255,R1255,S1255*Model_Config_v3!$B$4+T1255*Model_Config_v3!$B$5)),0)</x:f>
        <x:v>665</x:v>
      </x:c>
      <x:c r="J1255" s="18" t="n">
        <x:f>MIN(Model_Config_v3!$B$6,I1255+Model_Config_v3!$B$7)</x:f>
        <x:v>685</x:v>
      </x:c>
      <x:c r="K1255" s="20" t="n">
        <x:v>61.5</x:v>
      </x:c>
      <x:c r="L1255" t="str">
        <x:v>KETAT</x:v>
      </x:c>
      <x:c r="M1255" t="str">
        <x:v>SEDANG+</x:v>
      </x:c>
      <x:c r="N1255" t="str">
        <x:v>ELITE-3</x:v>
      </x:c>
      <x:c r="O1255" t="str">
        <x:v>SAINTEK</x:v>
      </x:c>
      <x:c r="P1255" t="str">
        <x:v>SAINS DASAR</x:v>
      </x:c>
      <x:c r="Q1255" s="18" t="n">
        <x:v>625</x:v>
      </x:c>
      <x:c r="R1255" s="18" t="n">
        <x:v>0</x:v>
      </x:c>
      <x:c r="S1255" s="18" t="n">
        <x:v>622.586064295053</x:v>
      </x:c>
      <x:c r="T1255" s="18" t="n">
        <x:v>683</x:v>
      </x:c>
      <x:c r="U1255" s="18" t="n">
        <x:v>625</x:v>
      </x:c>
      <x:c r="V1255" s="20" t="n">
        <x:v>12</x:v>
      </x:c>
      <x:c r="W1255" s="20" t="n">
        <x:v>5</x:v>
      </x:c>
      <x:c r="X1255" s="20" t="n">
        <x:v>3</x:v>
      </x:c>
      <x:c r="Y1255" t="str">
        <x:v>Basis arsip 2025/2024</x:v>
      </x:c>
      <x:c r="Z1255" t="str">
        <x:v>https://snpmb.id/utbk-snbt/daya-tampung-snbt</x:v>
      </x:c>
      <x:c r="AA1255" t="str">
        <x:v>Tidak Ada</x:v>
      </x:c>
      <x:c r="AB1255" t="str">
        <x:v>Campus=80; Ratio=54.9; Prodi=50; RelDemand=37.6; Capacity=60.0</x:v>
      </x:c>
    </x:row>
    <x:row r="1256">
      <x:c r="A1256" t="n">
        <x:v>1253</x:v>
      </x:c>
      <x:c r="B1256" t="str">
        <x:v>PTN Akademik</x:v>
      </x:c>
      <x:c r="C1256" t="str">
        <x:v>UNIVERSITAS PENDIDIKAN INDONESIA</x:v>
      </x:c>
      <x:c r="D1256" t="str">
        <x:v>ILMU KOMPUTER</x:v>
      </x:c>
      <x:c r="E1256" t="str">
        <x:v>Sarjana</x:v>
      </x:c>
      <x:c r="F1256" s="18" t="n">
        <x:v>30</x:v>
      </x:c>
      <x:c r="G1256" s="18" t="n">
        <x:v>1131</x:v>
      </x:c>
      <x:c r="H1256" s="19" t="n">
        <x:v>37.7</x:v>
      </x:c>
      <x:c r="I1256" s="18" t="n">
        <x:f>ROUND(MIN(Model_Config_v3!$B$6,MAX(Q1256,R1256,S1256*Model_Config_v3!$B$4+T1256*Model_Config_v3!$B$5)),0)</x:f>
        <x:v>720</x:v>
      </x:c>
      <x:c r="J1256" s="18" t="n">
        <x:f>MIN(Model_Config_v3!$B$6,I1256+Model_Config_v3!$B$7)</x:f>
        <x:v>740</x:v>
      </x:c>
      <x:c r="K1256" s="20" t="n">
        <x:v>85.7</x:v>
      </x:c>
      <x:c r="L1256" t="str">
        <x:v>ULTRA ELITE</x:v>
      </x:c>
      <x:c r="M1256" t="str">
        <x:v>SEDANG+</x:v>
      </x:c>
      <x:c r="N1256" t="str">
        <x:v>ELITE-3</x:v>
      </x:c>
      <x:c r="O1256" t="str">
        <x:v>SAINTEK</x:v>
      </x:c>
      <x:c r="P1256" t="str">
        <x:v>KOMPUTER/INFORMATIKA</x:v>
      </x:c>
      <x:c r="Q1256" s="18" t="n">
        <x:v>625</x:v>
      </x:c>
      <x:c r="R1256" s="18" t="n">
        <x:v>675</x:v>
      </x:c>
      <x:c r="S1256" s="18" t="n">
        <x:v>693.3975485226372</x:v>
      </x:c>
      <x:c r="T1256" s="18" t="n">
        <x:v>731</x:v>
      </x:c>
      <x:c r="U1256" s="18" t="n">
        <x:v>718.3975485226372</x:v>
      </x:c>
      <x:c r="V1256" s="20" t="n">
        <x:v>12</x:v>
      </x:c>
      <x:c r="W1256" s="20" t="n">
        <x:v>5</x:v>
      </x:c>
      <x:c r="X1256" s="20" t="n">
        <x:v>3</x:v>
      </x:c>
      <x:c r="Y1256" t="str">
        <x:v>Basis arsip 2025/2024</x:v>
      </x:c>
      <x:c r="Z1256" t="str">
        <x:v>https://snpmb.id/utbk-snbt/daya-tampung-snbt</x:v>
      </x:c>
      <x:c r="AA1256" t="str">
        <x:v>Tidak Ada</x:v>
      </x:c>
      <x:c r="AB1256" t="str">
        <x:v>Campus=80; Ratio=92.8; Prodi=85; RelDemand=100.0; Capacity=75.0</x:v>
      </x:c>
    </x:row>
    <x:row r="1257">
      <x:c r="A1257" t="n">
        <x:v>1254</x:v>
      </x:c>
      <x:c r="B1257" t="str">
        <x:v>PTN Akademik</x:v>
      </x:c>
      <x:c r="C1257" t="str">
        <x:v>UNIVERSITAS PENDIDIKAN INDONESIA</x:v>
      </x:c>
      <x:c r="D1257" t="str">
        <x:v>PENDIDIKAN TEKNIK ARSITEKTUR</x:v>
      </x:c>
      <x:c r="E1257" t="str">
        <x:v>Sarjana</x:v>
      </x:c>
      <x:c r="F1257" s="18" t="n">
        <x:v>41</x:v>
      </x:c>
      <x:c r="G1257" s="18" t="n">
        <x:v>215</x:v>
      </x:c>
      <x:c r="H1257" s="19" t="n">
        <x:v>5.2439024390243905</x:v>
      </x:c>
      <x:c r="I1257" s="18" t="n">
        <x:f>ROUND(MIN(Model_Config_v3!$B$6,MAX(Q1257,R1257,S1257*Model_Config_v3!$B$4+T1257*Model_Config_v3!$B$5)),0)</x:f>
        <x:v>651</x:v>
      </x:c>
      <x:c r="J1257" s="18" t="n">
        <x:f>MIN(Model_Config_v3!$B$6,I1257+Model_Config_v3!$B$7)</x:f>
        <x:v>671</x:v>
      </x:c>
      <x:c r="K1257" s="20" t="n">
        <x:v>56.5</x:v>
      </x:c>
      <x:c r="L1257" t="str">
        <x:v>KETAT</x:v>
      </x:c>
      <x:c r="M1257" t="str">
        <x:v>SEDANG+</x:v>
      </x:c>
      <x:c r="N1257" t="str">
        <x:v>ELITE-3</x:v>
      </x:c>
      <x:c r="O1257" t="str">
        <x:v>SAINTEK</x:v>
      </x:c>
      <x:c r="P1257" t="str">
        <x:v>PENDIDIKAN</x:v>
      </x:c>
      <x:c r="Q1257" s="18" t="n">
        <x:v>625</x:v>
      </x:c>
      <x:c r="R1257" s="18" t="n">
        <x:v>0</x:v>
      </x:c>
      <x:c r="S1257" s="18" t="n">
        <x:v>599.1620063515456</x:v>
      </x:c>
      <x:c r="T1257" s="18" t="n">
        <x:v>673</x:v>
      </x:c>
      <x:c r="U1257" s="18" t="n">
        <x:v>625</x:v>
      </x:c>
      <x:c r="V1257" s="20" t="n">
        <x:v>12</x:v>
      </x:c>
      <x:c r="W1257" s="20" t="n">
        <x:v>5</x:v>
      </x:c>
      <x:c r="X1257" s="20" t="n">
        <x:v>3</x:v>
      </x:c>
      <x:c r="Y1257" t="str">
        <x:v>Basis arsip 2025/2024</x:v>
      </x:c>
      <x:c r="Z1257" t="str">
        <x:v>https://snpmb.id/utbk-snbt/daya-tampung-snbt</x:v>
      </x:c>
      <x:c r="AA1257" t="str">
        <x:v>Tidak Ada</x:v>
      </x:c>
      <x:c r="AB1257" t="str">
        <x:v>Campus=80; Ratio=42.4; Prodi=45; RelDemand=23.0; Capacity=65.8</x:v>
      </x:c>
    </x:row>
    <x:row r="1258">
      <x:c r="A1258" t="n">
        <x:v>1255</x:v>
      </x:c>
      <x:c r="B1258" t="str">
        <x:v>PTN Akademik</x:v>
      </x:c>
      <x:c r="C1258" t="str">
        <x:v>UNIVERSITAS PENDIDIKAN INDONESIA</x:v>
      </x:c>
      <x:c r="D1258" t="str">
        <x:v>PENDIDIKAN TEKNIK BANGUNAN</x:v>
      </x:c>
      <x:c r="E1258" t="str">
        <x:v>Sarjana</x:v>
      </x:c>
      <x:c r="F1258" s="18" t="n">
        <x:v>32</x:v>
      </x:c>
      <x:c r="G1258" s="18" t="n">
        <x:v>128</x:v>
      </x:c>
      <x:c r="H1258" s="19" t="n">
        <x:v>4</x:v>
      </x:c>
      <x:c r="I1258" s="18" t="n">
        <x:f>ROUND(MIN(Model_Config_v3!$B$6,MAX(Q1258,R1258,S1258*Model_Config_v3!$B$4+T1258*Model_Config_v3!$B$5)),0)</x:f>
        <x:v>645</x:v>
      </x:c>
      <x:c r="J1258" s="18" t="n">
        <x:f>MIN(Model_Config_v3!$B$6,I1258+Model_Config_v3!$B$7)</x:f>
        <x:v>665</x:v>
      </x:c>
      <x:c r="K1258" s="20" t="n">
        <x:v>54.9</x:v>
      </x:c>
      <x:c r="L1258" t="str">
        <x:v>MENENGAH</x:v>
      </x:c>
      <x:c r="M1258" t="str">
        <x:v>SEDANG+</x:v>
      </x:c>
      <x:c r="N1258" t="str">
        <x:v>ELITE-3</x:v>
      </x:c>
      <x:c r="O1258" t="str">
        <x:v>SAINTEK</x:v>
      </x:c>
      <x:c r="P1258" t="str">
        <x:v>PENDIDIKAN</x:v>
      </x:c>
      <x:c r="Q1258" s="18" t="n">
        <x:v>625</x:v>
      </x:c>
      <x:c r="R1258" s="18" t="n">
        <x:v>0</x:v>
      </x:c>
      <x:c r="S1258" s="18" t="n">
        <x:v>586.2265990460759</x:v>
      </x:c>
      <x:c r="T1258" s="18" t="n">
        <x:v>670</x:v>
      </x:c>
      <x:c r="U1258" s="18" t="n">
        <x:v>625</x:v>
      </x:c>
      <x:c r="V1258" s="20" t="n">
        <x:v>12</x:v>
      </x:c>
      <x:c r="W1258" s="20" t="n">
        <x:v>5</x:v>
      </x:c>
      <x:c r="X1258" s="20" t="n">
        <x:v>3</x:v>
      </x:c>
      <x:c r="Y1258" t="str">
        <x:v>Basis arsip 2025/2024</x:v>
      </x:c>
      <x:c r="Z1258" t="str">
        <x:v>https://snpmb.id/utbk-snbt/daya-tampung-snbt</x:v>
      </x:c>
      <x:c r="AA1258" t="str">
        <x:v>Tidak Ada</x:v>
      </x:c>
      <x:c r="AB1258" t="str">
        <x:v>Campus=80; Ratio=35.4; Prodi=45; RelDemand=17.5; Capacity=73.3</x:v>
      </x:c>
    </x:row>
    <x:row r="1259">
      <x:c r="A1259" t="n">
        <x:v>1256</x:v>
      </x:c>
      <x:c r="B1259" t="str">
        <x:v>PTN Akademik</x:v>
      </x:c>
      <x:c r="C1259" t="str">
        <x:v>UNIVERSITAS PENDIDIKAN INDONESIA</x:v>
      </x:c>
      <x:c r="D1259" t="str">
        <x:v>PENDIDIKAN TEKNIK ELEKTRO</x:v>
      </x:c>
      <x:c r="E1259" t="str">
        <x:v>Sarjana</x:v>
      </x:c>
      <x:c r="F1259" s="18" t="n">
        <x:v>37</x:v>
      </x:c>
      <x:c r="G1259" s="18" t="n">
        <x:v>201</x:v>
      </x:c>
      <x:c r="H1259" s="19" t="n">
        <x:v>5.4324324324324325</x:v>
      </x:c>
      <x:c r="I1259" s="18" t="n">
        <x:f>ROUND(MIN(Model_Config_v3!$B$6,MAX(Q1259,R1259,S1259*Model_Config_v3!$B$4+T1259*Model_Config_v3!$B$5)),0)</x:f>
        <x:v>652</x:v>
      </x:c>
      <x:c r="J1259" s="18" t="n">
        <x:f>MIN(Model_Config_v3!$B$6,I1259+Model_Config_v3!$B$7)</x:f>
        <x:v>672</x:v>
      </x:c>
      <x:c r="K1259" s="20" t="n">
        <x:v>57.1</x:v>
      </x:c>
      <x:c r="L1259" t="str">
        <x:v>KETAT</x:v>
      </x:c>
      <x:c r="M1259" t="str">
        <x:v>SEDANG+</x:v>
      </x:c>
      <x:c r="N1259" t="str">
        <x:v>ELITE-3</x:v>
      </x:c>
      <x:c r="O1259" t="str">
        <x:v>SAINTEK</x:v>
      </x:c>
      <x:c r="P1259" t="str">
        <x:v>PENDIDIKAN</x:v>
      </x:c>
      <x:c r="Q1259" s="18" t="n">
        <x:v>625</x:v>
      </x:c>
      <x:c r="R1259" s="18" t="n">
        <x:v>0</x:v>
      </x:c>
      <x:c r="S1259" s="18" t="n">
        <x:v>600.8493766688844</x:v>
      </x:c>
      <x:c r="T1259" s="18" t="n">
        <x:v>674</x:v>
      </x:c>
      <x:c r="U1259" s="18" t="n">
        <x:v>625</x:v>
      </x:c>
      <x:c r="V1259" s="20" t="n">
        <x:v>12</x:v>
      </x:c>
      <x:c r="W1259" s="20" t="n">
        <x:v>5</x:v>
      </x:c>
      <x:c r="X1259" s="20" t="n">
        <x:v>3</x:v>
      </x:c>
      <x:c r="Y1259" t="str">
        <x:v>Basis arsip 2025/2024</x:v>
      </x:c>
      <x:c r="Z1259" t="str">
        <x:v>https://snpmb.id/utbk-snbt/daya-tampung-snbt</x:v>
      </x:c>
      <x:c r="AA1259" t="str">
        <x:v>Tidak Ada</x:v>
      </x:c>
      <x:c r="AB1259" t="str">
        <x:v>Campus=80; Ratio=43.3; Prodi=45; RelDemand=23.8; Capacity=69.2</x:v>
      </x:c>
    </x:row>
    <x:row r="1260">
      <x:c r="A1260" t="n">
        <x:v>1257</x:v>
      </x:c>
      <x:c r="B1260" t="str">
        <x:v>PTN Akademik</x:v>
      </x:c>
      <x:c r="C1260" t="str">
        <x:v>UNIVERSITAS PENDIDIKAN INDONESIA</x:v>
      </x:c>
      <x:c r="D1260" t="str">
        <x:v>PENDIDIKAN TEKNIK MESIN</x:v>
      </x:c>
      <x:c r="E1260" t="str">
        <x:v>Sarjana</x:v>
      </x:c>
      <x:c r="F1260" s="18" t="n">
        <x:v>45</x:v>
      </x:c>
      <x:c r="G1260" s="18" t="n">
        <x:v>329</x:v>
      </x:c>
      <x:c r="H1260" s="19" t="n">
        <x:v>7.311111111111111</x:v>
      </x:c>
      <x:c r="I1260" s="18" t="n">
        <x:f>ROUND(MIN(Model_Config_v3!$B$6,MAX(Q1260,R1260,S1260*Model_Config_v3!$B$4+T1260*Model_Config_v3!$B$5)),0)</x:f>
        <x:v>659</x:v>
      </x:c>
      <x:c r="J1260" s="18" t="n">
        <x:f>MIN(Model_Config_v3!$B$6,I1260+Model_Config_v3!$B$7)</x:f>
        <x:v>679</x:v>
      </x:c>
      <x:c r="K1260" s="20" t="n">
        <x:v>59.2</x:v>
      </x:c>
      <x:c r="L1260" t="str">
        <x:v>KETAT</x:v>
      </x:c>
      <x:c r="M1260" t="str">
        <x:v>SEDANG+</x:v>
      </x:c>
      <x:c r="N1260" t="str">
        <x:v>ELITE-3</x:v>
      </x:c>
      <x:c r="O1260" t="str">
        <x:v>SAINTEK</x:v>
      </x:c>
      <x:c r="P1260" t="str">
        <x:v>PENDIDIKAN</x:v>
      </x:c>
      <x:c r="Q1260" s="18" t="n">
        <x:v>625</x:v>
      </x:c>
      <x:c r="R1260" s="18" t="n">
        <x:v>0</x:v>
      </x:c>
      <x:c r="S1260" s="18" t="n">
        <x:v>615.0381722592093</x:v>
      </x:c>
      <x:c r="T1260" s="18" t="n">
        <x:v>678</x:v>
      </x:c>
      <x:c r="U1260" s="18" t="n">
        <x:v>625.0381722592093</x:v>
      </x:c>
      <x:c r="V1260" s="20" t="n">
        <x:v>12</x:v>
      </x:c>
      <x:c r="W1260" s="20" t="n">
        <x:v>5</x:v>
      </x:c>
      <x:c r="X1260" s="20" t="n">
        <x:v>3</x:v>
      </x:c>
      <x:c r="Y1260" t="str">
        <x:v>Basis arsip 2025/2024</x:v>
      </x:c>
      <x:c r="Z1260" t="str">
        <x:v>https://snpmb.id/utbk-snbt/daya-tampung-snbt</x:v>
      </x:c>
      <x:c r="AA1260" t="str">
        <x:v>Tidak Ada</x:v>
      </x:c>
      <x:c r="AB1260" t="str">
        <x:v>Campus=80; Ratio=50.9; Prodi=45; RelDemand=32.1; Capacity=62.5</x:v>
      </x:c>
    </x:row>
    <x:row r="1261">
      <x:c r="A1261" t="n">
        <x:v>1258</x:v>
      </x:c>
      <x:c r="B1261" t="str">
        <x:v>PTN Akademik</x:v>
      </x:c>
      <x:c r="C1261" t="str">
        <x:v>UNIVERSITAS PENDIDIKAN INDONESIA</x:v>
      </x:c>
      <x:c r="D1261" t="str">
        <x:v>ILMU KEOLAHRAGAAN</x:v>
      </x:c>
      <x:c r="E1261" t="str">
        <x:v>Sarjana</x:v>
      </x:c>
      <x:c r="F1261" s="18" t="n">
        <x:v>72</x:v>
      </x:c>
      <x:c r="G1261" s="18" t="n">
        <x:v>306</x:v>
      </x:c>
      <x:c r="H1261" s="19" t="n">
        <x:v>4.25</x:v>
      </x:c>
      <x:c r="I1261" s="18" t="n">
        <x:f>ROUND(MIN(Model_Config_v3!$B$6,MAX(Q1261,R1261,S1261*Model_Config_v3!$B$4+T1261*Model_Config_v3!$B$5)),0)</x:f>
        <x:v>642</x:v>
      </x:c>
      <x:c r="J1261" s="18" t="n">
        <x:f>MIN(Model_Config_v3!$B$6,I1261+Model_Config_v3!$B$7)</x:f>
        <x:v>662</x:v>
      </x:c>
      <x:c r="K1261" s="20" t="n">
        <x:v>52.1</x:v>
      </x:c>
      <x:c r="L1261" t="str">
        <x:v>MENENGAH</x:v>
      </x:c>
      <x:c r="M1261" t="str">
        <x:v>PORTOFOLIO</x:v>
      </x:c>
      <x:c r="N1261" t="str">
        <x:v>ELITE-3</x:v>
      </x:c>
      <x:c r="O1261" t="str">
        <x:v>SENI/OLAHRAGA</x:v>
      </x:c>
      <x:c r="P1261" t="str">
        <x:v>SENI/OLAHRAGA</x:v>
      </x:c>
      <x:c r="Q1261" s="18" t="n">
        <x:v>625</x:v>
      </x:c>
      <x:c r="R1261" s="18" t="n">
        <x:v>0</x:v>
      </x:c>
      <x:c r="S1261" s="18" t="n">
        <x:v>589.1227823055342</x:v>
      </x:c>
      <x:c r="T1261" s="18" t="n">
        <x:v>664</x:v>
      </x:c>
      <x:c r="U1261" s="18" t="n">
        <x:v>625</x:v>
      </x:c>
      <x:c r="V1261" s="20" t="n">
        <x:v>4.4</x:v>
      </x:c>
      <x:c r="W1261" s="20" t="n">
        <x:v>9.9</x:v>
      </x:c>
      <x:c r="X1261" s="20" t="n">
        <x:v>7.7</x:v>
      </x:c>
      <x:c r="Y1261" t="str">
        <x:v>Basis arsip 2025/2024</x:v>
      </x:c>
      <x:c r="Z1261" t="str">
        <x:v>https://snpmb.id/utbk-snbt/daya-tampung-snbt</x:v>
      </x:c>
      <x:c r="AA1261" t="str">
        <x:v>Olahraga</x:v>
      </x:c>
      <x:c r="AB1261" t="str">
        <x:v>Campus=80; Ratio=37.0; Prodi=45; RelDemand=18.6; Capacity=40.0</x:v>
      </x:c>
    </x:row>
    <x:row r="1262">
      <x:c r="A1262" t="n">
        <x:v>1259</x:v>
      </x:c>
      <x:c r="B1262" t="str">
        <x:v>PTN Akademik</x:v>
      </x:c>
      <x:c r="C1262" t="str">
        <x:v>UNIVERSITAS PENDIDIKAN INDONESIA</x:v>
      </x:c>
      <x:c r="D1262" t="str">
        <x:v>TEKNIK ELEKTRO</x:v>
      </x:c>
      <x:c r="E1262" t="str">
        <x:v>Sarjana</x:v>
      </x:c>
      <x:c r="F1262" s="18" t="n">
        <x:v>45</x:v>
      </x:c>
      <x:c r="G1262" s="18" t="n">
        <x:v>647</x:v>
      </x:c>
      <x:c r="H1262" s="19" t="n">
        <x:v>14.377777777777778</x:v>
      </x:c>
      <x:c r="I1262" s="18" t="n">
        <x:f>ROUND(MIN(Model_Config_v3!$B$6,MAX(Q1262,R1262,S1262*Model_Config_v3!$B$4+T1262*Model_Config_v3!$B$5)),0)</x:f>
        <x:v>684</x:v>
      </x:c>
      <x:c r="J1262" s="18" t="n">
        <x:f>MIN(Model_Config_v3!$B$6,I1262+Model_Config_v3!$B$7)</x:f>
        <x:v>704</x:v>
      </x:c>
      <x:c r="K1262" s="20" t="n">
        <x:v>69.6</x:v>
      </x:c>
      <x:c r="L1262" t="str">
        <x:v>SANGAT KETAT</x:v>
      </x:c>
      <x:c r="M1262" t="str">
        <x:v>SEDANG+</x:v>
      </x:c>
      <x:c r="N1262" t="str">
        <x:v>ELITE-3</x:v>
      </x:c>
      <x:c r="O1262" t="str">
        <x:v>SAINTEK</x:v>
      </x:c>
      <x:c r="P1262" t="str">
        <x:v>TEKNIK/ARSITEKTUR/STATISTIKA/AKTUARIA</x:v>
      </x:c>
      <x:c r="Q1262" s="18" t="n">
        <x:v>625</x:v>
      </x:c>
      <x:c r="R1262" s="18" t="n">
        <x:v>0</x:v>
      </x:c>
      <x:c r="S1262" s="18" t="n">
        <x:v>647.3460943582693</x:v>
      </x:c>
      <x:c r="T1262" s="18" t="n">
        <x:v>699</x:v>
      </x:c>
      <x:c r="U1262" s="18" t="n">
        <x:v>657.3460943582693</x:v>
      </x:c>
      <x:c r="V1262" s="20" t="n">
        <x:v>12</x:v>
      </x:c>
      <x:c r="W1262" s="20" t="n">
        <x:v>5</x:v>
      </x:c>
      <x:c r="X1262" s="20" t="n">
        <x:v>3</x:v>
      </x:c>
      <x:c r="Y1262" t="str">
        <x:v>Basis arsip 2025/2024</x:v>
      </x:c>
      <x:c r="Z1262" t="str">
        <x:v>https://snpmb.id/utbk-snbt/daya-tampung-snbt</x:v>
      </x:c>
      <x:c r="AA1262" t="str">
        <x:v>Tidak Ada</x:v>
      </x:c>
      <x:c r="AB1262" t="str">
        <x:v>Campus=80; Ratio=68.1; Prodi=60; RelDemand=63.1; Capacity=62.5</x:v>
      </x:c>
    </x:row>
    <x:row r="1263">
      <x:c r="A1263" t="n">
        <x:v>1260</x:v>
      </x:c>
      <x:c r="B1263" t="str">
        <x:v>PTN Akademik</x:v>
      </x:c>
      <x:c r="C1263" t="str">
        <x:v>UNIVERSITAS PENDIDIKAN INDONESIA</x:v>
      </x:c>
      <x:c r="D1263" t="str">
        <x:v>PENDIDIKAN TEKNOLOGI AGRO INDUSTRI</x:v>
      </x:c>
      <x:c r="E1263" t="str">
        <x:v>Sarjana</x:v>
      </x:c>
      <x:c r="F1263" s="18" t="n">
        <x:v>36</x:v>
      </x:c>
      <x:c r="G1263" s="18" t="n">
        <x:v>187</x:v>
      </x:c>
      <x:c r="H1263" s="19" t="n">
        <x:v>5.194444444444445</x:v>
      </x:c>
      <x:c r="I1263" s="18" t="n">
        <x:f>ROUND(MIN(Model_Config_v3!$B$6,MAX(Q1263,R1263,S1263*Model_Config_v3!$B$4+T1263*Model_Config_v3!$B$5)),0)</x:f>
        <x:v>651</x:v>
      </x:c>
      <x:c r="J1263" s="18" t="n">
        <x:f>MIN(Model_Config_v3!$B$6,I1263+Model_Config_v3!$B$7)</x:f>
        <x:v>671</x:v>
      </x:c>
      <x:c r="K1263" s="20" t="n">
        <x:v>56.8</x:v>
      </x:c>
      <x:c r="L1263" t="str">
        <x:v>KETAT</x:v>
      </x:c>
      <x:c r="M1263" t="str">
        <x:v>SEDANG+</x:v>
      </x:c>
      <x:c r="N1263" t="str">
        <x:v>ELITE-3</x:v>
      </x:c>
      <x:c r="O1263" t="str">
        <x:v>SAINTEK</x:v>
      </x:c>
      <x:c r="P1263" t="str">
        <x:v>PENDIDIKAN</x:v>
      </x:c>
      <x:c r="Q1263" s="18" t="n">
        <x:v>625</x:v>
      </x:c>
      <x:c r="R1263" s="18" t="n">
        <x:v>0</x:v>
      </x:c>
      <x:c r="S1263" s="18" t="n">
        <x:v>598.7093016346133</x:v>
      </x:c>
      <x:c r="T1263" s="18" t="n">
        <x:v>674</x:v>
      </x:c>
      <x:c r="U1263" s="18" t="n">
        <x:v>625</x:v>
      </x:c>
      <x:c r="V1263" s="20" t="n">
        <x:v>12</x:v>
      </x:c>
      <x:c r="W1263" s="20" t="n">
        <x:v>5</x:v>
      </x:c>
      <x:c r="X1263" s="20" t="n">
        <x:v>3</x:v>
      </x:c>
      <x:c r="Y1263" t="str">
        <x:v>Basis arsip 2025/2024</x:v>
      </x:c>
      <x:c r="Z1263" t="str">
        <x:v>https://snpmb.id/utbk-snbt/daya-tampung-snbt</x:v>
      </x:c>
      <x:c r="AA1263" t="str">
        <x:v>Tidak Ada</x:v>
      </x:c>
      <x:c r="AB1263" t="str">
        <x:v>Campus=80; Ratio=42.1; Prodi=45; RelDemand=22.8; Capacity=70.0</x:v>
      </x:c>
    </x:row>
    <x:row r="1264">
      <x:c r="A1264" t="n">
        <x:v>1261</x:v>
      </x:c>
      <x:c r="B1264" t="str">
        <x:v>PTN Akademik</x:v>
      </x:c>
      <x:c r="C1264" t="str">
        <x:v>UNIVERSITAS PENDIDIKAN INDONESIA</x:v>
      </x:c>
      <x:c r="D1264" t="str">
        <x:v>TEKNIK SIPIL</x:v>
      </x:c>
      <x:c r="E1264" t="str">
        <x:v>Sarjana</x:v>
      </x:c>
      <x:c r="F1264" s="18" t="n">
        <x:v>40</x:v>
      </x:c>
      <x:c r="G1264" s="18" t="n">
        <x:v>1027</x:v>
      </x:c>
      <x:c r="H1264" s="19" t="n">
        <x:v>25.675</x:v>
      </x:c>
      <x:c r="I1264" s="18" t="n">
        <x:f>ROUND(MIN(Model_Config_v3!$B$6,MAX(Q1264,R1264,S1264*Model_Config_v3!$B$4+T1264*Model_Config_v3!$B$5)),0)</x:f>
        <x:v>703</x:v>
      </x:c>
      <x:c r="J1264" s="18" t="n">
        <x:f>MIN(Model_Config_v3!$B$6,I1264+Model_Config_v3!$B$7)</x:f>
        <x:v>723</x:v>
      </x:c>
      <x:c r="K1264" s="20" t="n">
        <x:v>77.4</x:v>
      </x:c>
      <x:c r="L1264" t="str">
        <x:v>ELITE</x:v>
      </x:c>
      <x:c r="M1264" t="str">
        <x:v>SEDANG+</x:v>
      </x:c>
      <x:c r="N1264" t="str">
        <x:v>ELITE-3</x:v>
      </x:c>
      <x:c r="O1264" t="str">
        <x:v>SAINTEK</x:v>
      </x:c>
      <x:c r="P1264" t="str">
        <x:v>TEKNIK/ARSITEKTUR/STATISTIKA/AKTUARIA</x:v>
      </x:c>
      <x:c r="Q1264" s="18" t="n">
        <x:v>625</x:v>
      </x:c>
      <x:c r="R1264" s="18" t="n">
        <x:v>0</x:v>
      </x:c>
      <x:c r="S1264" s="18" t="n">
        <x:v>675.0461497496246</x:v>
      </x:c>
      <x:c r="T1264" s="18" t="n">
        <x:v>715</x:v>
      </x:c>
      <x:c r="U1264" s="18" t="n">
        <x:v>685.0461497496246</x:v>
      </x:c>
      <x:c r="V1264" s="20" t="n">
        <x:v>12</x:v>
      </x:c>
      <x:c r="W1264" s="20" t="n">
        <x:v>5</x:v>
      </x:c>
      <x:c r="X1264" s="20" t="n">
        <x:v>3</x:v>
      </x:c>
      <x:c r="Y1264" t="str">
        <x:v>Basis arsip 2025/2024</x:v>
      </x:c>
      <x:c r="Z1264" t="str">
        <x:v>https://snpmb.id/utbk-snbt/daya-tampung-snbt</x:v>
      </x:c>
      <x:c r="AA1264" t="str">
        <x:v>Tidak Ada</x:v>
      </x:c>
      <x:c r="AB1264" t="str">
        <x:v>Campus=80; Ratio=83.0; Prodi=60; RelDemand=100.0; Capacity=66.7</x:v>
      </x:c>
    </x:row>
    <x:row r="1265">
      <x:c r="A1265" t="n">
        <x:v>1262</x:v>
      </x:c>
      <x:c r="B1265" t="str">
        <x:v>PTN Akademik</x:v>
      </x:c>
      <x:c r="C1265" t="str">
        <x:v>UNIVERSITAS PENDIDIKAN INDONESIA</x:v>
      </x:c>
      <x:c r="D1265" t="str">
        <x:v>PENDIDIKAN ILMU PENGETAHUAN ALAM</x:v>
      </x:c>
      <x:c r="E1265" t="str">
        <x:v>Sarjana</x:v>
      </x:c>
      <x:c r="F1265" s="18" t="n">
        <x:v>11</x:v>
      </x:c>
      <x:c r="G1265" s="18" t="n">
        <x:v>139</x:v>
      </x:c>
      <x:c r="H1265" s="19" t="n">
        <x:v>12.636363636363637</x:v>
      </x:c>
      <x:c r="I1265" s="18" t="n">
        <x:f>ROUND(MIN(Model_Config_v3!$B$6,MAX(Q1265,R1265,S1265*Model_Config_v3!$B$4+T1265*Model_Config_v3!$B$5)),0)</x:f>
        <x:v>680</x:v>
      </x:c>
      <x:c r="J1265" s="18" t="n">
        <x:f>MIN(Model_Config_v3!$B$6,I1265+Model_Config_v3!$B$7)</x:f>
        <x:v>700</x:v>
      </x:c>
      <x:c r="K1265" s="20" t="n">
        <x:v>67.8</x:v>
      </x:c>
      <x:c r="L1265" t="str">
        <x:v>SANGAT KETAT</x:v>
      </x:c>
      <x:c r="M1265" t="str">
        <x:v>SEDANG+</x:v>
      </x:c>
      <x:c r="N1265" t="str">
        <x:v>ELITE-3</x:v>
      </x:c>
      <x:c r="O1265" t="str">
        <x:v>CAMPURAN</x:v>
      </x:c>
      <x:c r="P1265" t="str">
        <x:v>PENDIDIKAN</x:v>
      </x:c>
      <x:c r="Q1265" s="18" t="n">
        <x:v>625</x:v>
      </x:c>
      <x:c r="R1265" s="18" t="n">
        <x:v>0</x:v>
      </x:c>
      <x:c r="S1265" s="18" t="n">
        <x:v>641.1784326605457</x:v>
      </x:c>
      <x:c r="T1265" s="18" t="n">
        <x:v>696</x:v>
      </x:c>
      <x:c r="U1265" s="18" t="n">
        <x:v>641.1784326605457</x:v>
      </x:c>
      <x:c r="V1265" s="20" t="n">
        <x:v>8.8</x:v>
      </x:c>
      <x:c r="W1265" s="20" t="n">
        <x:v>9.9</x:v>
      </x:c>
      <x:c r="X1265" s="20" t="n">
        <x:v>3.3</x:v>
      </x:c>
      <x:c r="Y1265" t="str">
        <x:v>Basis arsip 2025/2024</x:v>
      </x:c>
      <x:c r="Z1265" t="str">
        <x:v>https://snpmb.id/utbk-snbt/daya-tampung-snbt</x:v>
      </x:c>
      <x:c r="AA1265" t="str">
        <x:v>Tidak Ada</x:v>
      </x:c>
      <x:c r="AB1265" t="str">
        <x:v>Campus=80; Ratio=64.8; Prodi=45; RelDemand=55.4; Capacity=90.8</x:v>
      </x:c>
    </x:row>
    <x:row r="1266">
      <x:c r="A1266" t="n">
        <x:v>1263</x:v>
      </x:c>
      <x:c r="B1266" t="str">
        <x:v>PTN Akademik</x:v>
      </x:c>
      <x:c r="C1266" t="str">
        <x:v>UNIVERSITAS PENDIDIKAN INDONESIA</x:v>
      </x:c>
      <x:c r="D1266" t="str">
        <x:v>ARSITEKTUR</x:v>
      </x:c>
      <x:c r="E1266" t="str">
        <x:v>Sarjana</x:v>
      </x:c>
      <x:c r="F1266" s="18" t="n">
        <x:v>25</x:v>
      </x:c>
      <x:c r="G1266" s="18" t="n">
        <x:v>774</x:v>
      </x:c>
      <x:c r="H1266" s="19" t="n">
        <x:v>30.96</x:v>
      </x:c>
      <x:c r="I1266" s="18" t="n">
        <x:f>ROUND(MIN(Model_Config_v3!$B$6,MAX(Q1266,R1266,S1266*Model_Config_v3!$B$4+T1266*Model_Config_v3!$B$5)),0)</x:f>
        <x:v>709</x:v>
      </x:c>
      <x:c r="J1266" s="18" t="n">
        <x:f>MIN(Model_Config_v3!$B$6,I1266+Model_Config_v3!$B$7)</x:f>
        <x:v>729</x:v>
      </x:c>
      <x:c r="K1266" s="20" t="n">
        <x:v>79.9</x:v>
      </x:c>
      <x:c r="L1266" t="str">
        <x:v>ELITE</x:v>
      </x:c>
      <x:c r="M1266" t="str">
        <x:v>SEDANG+</x:v>
      </x:c>
      <x:c r="N1266" t="str">
        <x:v>ELITE-3</x:v>
      </x:c>
      <x:c r="O1266" t="str">
        <x:v>SAINTEK</x:v>
      </x:c>
      <x:c r="P1266" t="str">
        <x:v>TEKNIK/ARSITEKTUR/STATISTIKA/AKTUARIA</x:v>
      </x:c>
      <x:c r="Q1266" s="18" t="n">
        <x:v>625</x:v>
      </x:c>
      <x:c r="R1266" s="18" t="n">
        <x:v>0</x:v>
      </x:c>
      <x:c r="S1266" s="18" t="n">
        <x:v>683.9881047211941</x:v>
      </x:c>
      <x:c r="T1266" s="18" t="n">
        <x:v>720</x:v>
      </x:c>
      <x:c r="U1266" s="18" t="n">
        <x:v>683.9881047211941</x:v>
      </x:c>
      <x:c r="V1266" s="20" t="n">
        <x:v>12</x:v>
      </x:c>
      <x:c r="W1266" s="20" t="n">
        <x:v>5</x:v>
      </x:c>
      <x:c r="X1266" s="20" t="n">
        <x:v>3</x:v>
      </x:c>
      <x:c r="Y1266" t="str">
        <x:v>Basis arsip 2025/2024</x:v>
      </x:c>
      <x:c r="Z1266" t="str">
        <x:v>https://snpmb.id/utbk-snbt/daya-tampung-snbt</x:v>
      </x:c>
      <x:c r="AA1266" t="str">
        <x:v>Tidak Ada</x:v>
      </x:c>
      <x:c r="AB1266" t="str">
        <x:v>Campus=80; Ratio=87.7; Prodi=60; RelDemand=100.0; Capacity=79.2</x:v>
      </x:c>
    </x:row>
    <x:row r="1267">
      <x:c r="A1267" t="n">
        <x:v>1264</x:v>
      </x:c>
      <x:c r="B1267" t="str">
        <x:v>PTN Akademik</x:v>
      </x:c>
      <x:c r="C1267" t="str">
        <x:v>UNIVERSITAS PENDIDIKAN INDONESIA</x:v>
      </x:c>
      <x:c r="D1267" t="str">
        <x:v>PENDIDIKAN KELAUTAN DAN PERIKANAN KAMPUS SERANG</x:v>
      </x:c>
      <x:c r="E1267" t="str">
        <x:v>Sarjana</x:v>
      </x:c>
      <x:c r="F1267" s="18" t="n">
        <x:v>70</x:v>
      </x:c>
      <x:c r="G1267" s="18" t="n">
        <x:v>122</x:v>
      </x:c>
      <x:c r="H1267" s="19" t="n">
        <x:v>1.7428571428571429</x:v>
      </x:c>
      <x:c r="I1267" s="18" t="n">
        <x:f>ROUND(MIN(Model_Config_v3!$B$6,MAX(Q1267,R1267,S1267*Model_Config_v3!$B$4+T1267*Model_Config_v3!$B$5)),0)</x:f>
        <x:v>625</x:v>
      </x:c>
      <x:c r="J1267" s="18" t="n">
        <x:f>MIN(Model_Config_v3!$B$6,I1267+Model_Config_v3!$B$7)</x:f>
        <x:v>645</x:v>
      </x:c>
      <x:c r="K1267" s="20" t="n">
        <x:v>45.5</x:v>
      </x:c>
      <x:c r="L1267" t="str">
        <x:v>MENENGAH</x:v>
      </x:c>
      <x:c r="M1267" t="str">
        <x:v>SEDANG+</x:v>
      </x:c>
      <x:c r="N1267" t="str">
        <x:v>ELITE-3</x:v>
      </x:c>
      <x:c r="O1267" t="str">
        <x:v>SAINTEK</x:v>
      </x:c>
      <x:c r="P1267" t="str">
        <x:v>PENDIDIKAN</x:v>
      </x:c>
      <x:c r="Q1267" s="18" t="n">
        <x:v>625</x:v>
      </x:c>
      <x:c r="R1267" s="18" t="n">
        <x:v>0</x:v>
      </x:c>
      <x:c r="S1267" s="18" t="n">
        <x:v>546.538796972654</x:v>
      </x:c>
      <x:c r="T1267" s="18" t="n">
        <x:v>651</x:v>
      </x:c>
      <x:c r="U1267" s="18" t="n">
        <x:v>625</x:v>
      </x:c>
      <x:c r="V1267" s="20" t="n">
        <x:v>12</x:v>
      </x:c>
      <x:c r="W1267" s="20" t="n">
        <x:v>5</x:v>
      </x:c>
      <x:c r="X1267" s="20" t="n">
        <x:v>3</x:v>
      </x:c>
      <x:c r="Y1267" t="str">
        <x:v>Basis arsip 2025/2024</x:v>
      </x:c>
      <x:c r="Z1267" t="str">
        <x:v>https://snpmb.id/utbk-snbt/daya-tampung-snbt</x:v>
      </x:c>
      <x:c r="AA1267" t="str">
        <x:v>Tidak Ada</x:v>
      </x:c>
      <x:c r="AB1267" t="str">
        <x:v>Campus=80; Ratio=14.2; Prodi=45; RelDemand=7.6; Capacity=41.7</x:v>
      </x:c>
    </x:row>
    <x:row r="1268">
      <x:c r="A1268" t="n">
        <x:v>1265</x:v>
      </x:c>
      <x:c r="B1268" t="str">
        <x:v>PTN Akademik</x:v>
      </x:c>
      <x:c r="C1268" t="str">
        <x:v>UNIVERSITAS PENDIDIKAN INDONESIA</x:v>
      </x:c>
      <x:c r="D1268" t="str">
        <x:v>PENDIDIKAN MULTIMEDIA KAMPUS CIBIRU</x:v>
      </x:c>
      <x:c r="E1268" t="str">
        <x:v>Sarjana</x:v>
      </x:c>
      <x:c r="F1268" s="18" t="n">
        <x:v>52</x:v>
      </x:c>
      <x:c r="G1268" s="18" t="n">
        <x:v>291</x:v>
      </x:c>
      <x:c r="H1268" s="19" t="n">
        <x:v>5.596153846153846</x:v>
      </x:c>
      <x:c r="I1268" s="18" t="n">
        <x:f>ROUND(MIN(Model_Config_v3!$B$6,MAX(Q1268,R1268,S1268*Model_Config_v3!$B$4+T1268*Model_Config_v3!$B$5)),0)</x:f>
        <x:v>651</x:v>
      </x:c>
      <x:c r="J1268" s="18" t="n">
        <x:f>MIN(Model_Config_v3!$B$6,I1268+Model_Config_v3!$B$7)</x:f>
        <x:v>671</x:v>
      </x:c>
      <x:c r="K1268" s="20" t="n">
        <x:v>56.1</x:v>
      </x:c>
      <x:c r="L1268" t="str">
        <x:v>KETAT</x:v>
      </x:c>
      <x:c r="M1268" t="str">
        <x:v>SEDANG+</x:v>
      </x:c>
      <x:c r="N1268" t="str">
        <x:v>ELITE-3</x:v>
      </x:c>
      <x:c r="O1268" t="str">
        <x:v>CAMPURAN</x:v>
      </x:c>
      <x:c r="P1268" t="str">
        <x:v>PENDIDIKAN</x:v>
      </x:c>
      <x:c r="Q1268" s="18" t="n">
        <x:v>625</x:v>
      </x:c>
      <x:c r="R1268" s="18" t="n">
        <x:v>0</x:v>
      </x:c>
      <x:c r="S1268" s="18" t="n">
        <x:v>602.2678609886219</x:v>
      </x:c>
      <x:c r="T1268" s="18" t="n">
        <x:v>672</x:v>
      </x:c>
      <x:c r="U1268" s="18" t="n">
        <x:v>625</x:v>
      </x:c>
      <x:c r="V1268" s="20" t="n">
        <x:v>8.8</x:v>
      </x:c>
      <x:c r="W1268" s="20" t="n">
        <x:v>9.9</x:v>
      </x:c>
      <x:c r="X1268" s="20" t="n">
        <x:v>3.3</x:v>
      </x:c>
      <x:c r="Y1268" t="str">
        <x:v>Basis arsip 2025/2024</x:v>
      </x:c>
      <x:c r="Z1268" t="str">
        <x:v>https://snpmb.id/utbk-snbt/daya-tampung-snbt</x:v>
      </x:c>
      <x:c r="AA1268" t="str">
        <x:v>Tidak Ada</x:v>
      </x:c>
      <x:c r="AB1268" t="str">
        <x:v>Campus=80; Ratio=44.0; Prodi=45; RelDemand=24.5; Capacity=56.7</x:v>
      </x:c>
    </x:row>
    <x:row r="1269">
      <x:c r="A1269" t="n">
        <x:v>1266</x:v>
      </x:c>
      <x:c r="B1269" t="str">
        <x:v>PTN Akademik</x:v>
      </x:c>
      <x:c r="C1269" t="str">
        <x:v>UNIVERSITAS PENDIDIKAN INDONESIA</x:v>
      </x:c>
      <x:c r="D1269" t="str">
        <x:v>PENDIDIKAN SISTEM DAN TEKNOLOGI INFORMASI KAMPUS PURWAKARTA</x:v>
      </x:c>
      <x:c r="E1269" t="str">
        <x:v>Sarjana</x:v>
      </x:c>
      <x:c r="F1269" s="18" t="n">
        <x:v>55</x:v>
      </x:c>
      <x:c r="G1269" s="18" t="n">
        <x:v>205</x:v>
      </x:c>
      <x:c r="H1269" s="19" t="n">
        <x:v>3.727272727272727</x:v>
      </x:c>
      <x:c r="I1269" s="18" t="n">
        <x:f>ROUND(MIN(Model_Config_v3!$B$6,MAX(Q1269,R1269,S1269*Model_Config_v3!$B$4+T1269*Model_Config_v3!$B$5)),0)</x:f>
        <x:v>640</x:v>
      </x:c>
      <x:c r="J1269" s="18" t="n">
        <x:f>MIN(Model_Config_v3!$B$6,I1269+Model_Config_v3!$B$7)</x:f>
        <x:v>660</x:v>
      </x:c>
      <x:c r="K1269" s="20" t="n">
        <x:v>52.5</x:v>
      </x:c>
      <x:c r="L1269" t="str">
        <x:v>MENENGAH</x:v>
      </x:c>
      <x:c r="M1269" t="str">
        <x:v>SEDANG+</x:v>
      </x:c>
      <x:c r="N1269" t="str">
        <x:v>ELITE-3</x:v>
      </x:c>
      <x:c r="O1269" t="str">
        <x:v>SAINTEK</x:v>
      </x:c>
      <x:c r="P1269" t="str">
        <x:v>PENDIDIKAN</x:v>
      </x:c>
      <x:c r="Q1269" s="18" t="n">
        <x:v>625</x:v>
      </x:c>
      <x:c r="R1269" s="18" t="n">
        <x:v>0</x:v>
      </x:c>
      <x:c r="S1269" s="18" t="n">
        <x:v>582.8530288717661</x:v>
      </x:c>
      <x:c r="T1269" s="18" t="n">
        <x:v>665</x:v>
      </x:c>
      <x:c r="U1269" s="18" t="n">
        <x:v>625</x:v>
      </x:c>
      <x:c r="V1269" s="20" t="n">
        <x:v>12</x:v>
      </x:c>
      <x:c r="W1269" s="20" t="n">
        <x:v>5</x:v>
      </x:c>
      <x:c r="X1269" s="20" t="n">
        <x:v>3</x:v>
      </x:c>
      <x:c r="Y1269" t="str">
        <x:v>Basis arsip 2025/2024</x:v>
      </x:c>
      <x:c r="Z1269" t="str">
        <x:v>https://snpmb.id/utbk-snbt/daya-tampung-snbt</x:v>
      </x:c>
      <x:c r="AA1269" t="str">
        <x:v>Tidak Ada</x:v>
      </x:c>
      <x:c r="AB1269" t="str">
        <x:v>Campus=80; Ratio=33.6; Prodi=45; RelDemand=16.3; Capacity=54.2</x:v>
      </x:c>
    </x:row>
    <x:row r="1270">
      <x:c r="A1270" t="n">
        <x:v>1267</x:v>
      </x:c>
      <x:c r="B1270" t="str">
        <x:v>PTN Akademik</x:v>
      </x:c>
      <x:c r="C1270" t="str">
        <x:v>UNIVERSITAS PENDIDIKAN INDONESIA</x:v>
      </x:c>
      <x:c r="D1270" t="str">
        <x:v>PENDIDIKAN TEKNIK OTOMOTIF</x:v>
      </x:c>
      <x:c r="E1270" t="str">
        <x:v>Sarjana</x:v>
      </x:c>
      <x:c r="F1270" s="18" t="n">
        <x:v>45</x:v>
      </x:c>
      <x:c r="G1270" s="18" t="n">
        <x:v>209</x:v>
      </x:c>
      <x:c r="H1270" s="19" t="n">
        <x:v>4.644444444444445</x:v>
      </x:c>
      <x:c r="I1270" s="18" t="n">
        <x:f>ROUND(MIN(Model_Config_v3!$B$6,MAX(Q1270,R1270,S1270*Model_Config_v3!$B$4+T1270*Model_Config_v3!$B$5)),0)</x:f>
        <x:v>647</x:v>
      </x:c>
      <x:c r="J1270" s="18" t="n">
        <x:f>MIN(Model_Config_v3!$B$6,I1270+Model_Config_v3!$B$7)</x:f>
        <x:v>667</x:v>
      </x:c>
      <x:c r="K1270" s="20" t="n">
        <x:v>55.1</x:v>
      </x:c>
      <x:c r="L1270" t="str">
        <x:v>KETAT</x:v>
      </x:c>
      <x:c r="M1270" t="str">
        <x:v>SEDANG+</x:v>
      </x:c>
      <x:c r="N1270" t="str">
        <x:v>ELITE-3</x:v>
      </x:c>
      <x:c r="O1270" t="str">
        <x:v>SAINTEK</x:v>
      </x:c>
      <x:c r="P1270" t="str">
        <x:v>PENDIDIKAN</x:v>
      </x:c>
      <x:c r="Q1270" s="18" t="n">
        <x:v>625</x:v>
      </x:c>
      <x:c r="R1270" s="18" t="n">
        <x:v>0</x:v>
      </x:c>
      <x:c r="S1270" s="18" t="n">
        <x:v>593.3627149569281</x:v>
      </x:c>
      <x:c r="T1270" s="18" t="n">
        <x:v>670</x:v>
      </x:c>
      <x:c r="U1270" s="18" t="n">
        <x:v>625</x:v>
      </x:c>
      <x:c r="V1270" s="20" t="n">
        <x:v>12</x:v>
      </x:c>
      <x:c r="W1270" s="20" t="n">
        <x:v>5</x:v>
      </x:c>
      <x:c r="X1270" s="20" t="n">
        <x:v>3</x:v>
      </x:c>
      <x:c r="Y1270" t="str">
        <x:v>Basis arsip 2025/2024</x:v>
      </x:c>
      <x:c r="Z1270" t="str">
        <x:v>https://snpmb.id/utbk-snbt/daya-tampung-snbt</x:v>
      </x:c>
      <x:c r="AA1270" t="str">
        <x:v>Tidak Ada</x:v>
      </x:c>
      <x:c r="AB1270" t="str">
        <x:v>Campus=80; Ratio=39.3; Prodi=45; RelDemand=20.4; Capacity=62.5</x:v>
      </x:c>
    </x:row>
    <x:row r="1271">
      <x:c r="A1271" t="n">
        <x:v>1268</x:v>
      </x:c>
      <x:c r="B1271" t="str">
        <x:v>PTN Akademik</x:v>
      </x:c>
      <x:c r="C1271" t="str">
        <x:v>UNIVERSITAS PENDIDIKAN INDONESIA</x:v>
      </x:c>
      <x:c r="D1271" t="str">
        <x:v>SISTEM INFORMASI KELAUTAN KAMPUS SERANG</x:v>
      </x:c>
      <x:c r="E1271" t="str">
        <x:v>Sarjana</x:v>
      </x:c>
      <x:c r="F1271" s="18" t="n">
        <x:v>55</x:v>
      </x:c>
      <x:c r="G1271" s="18" t="n">
        <x:v>125</x:v>
      </x:c>
      <x:c r="H1271" s="19" t="n">
        <x:v>2.272727272727273</x:v>
      </x:c>
      <x:c r="I1271" s="18" t="n">
        <x:f>ROUND(MIN(Model_Config_v3!$B$6,MAX(Q1271,R1271,S1271*Model_Config_v3!$B$4+T1271*Model_Config_v3!$B$5)),0)</x:f>
        <x:v>675</x:v>
      </x:c>
      <x:c r="J1271" s="18" t="n">
        <x:f>MIN(Model_Config_v3!$B$6,I1271+Model_Config_v3!$B$7)</x:f>
        <x:v>695</x:v>
      </x:c>
      <x:c r="K1271" s="20" t="n">
        <x:v>56.7</x:v>
      </x:c>
      <x:c r="L1271" t="str">
        <x:v>KETAT</x:v>
      </x:c>
      <x:c r="M1271" t="str">
        <x:v>SEDANG+</x:v>
      </x:c>
      <x:c r="N1271" t="str">
        <x:v>ELITE-3</x:v>
      </x:c>
      <x:c r="O1271" t="str">
        <x:v>SAINTEK</x:v>
      </x:c>
      <x:c r="P1271" t="str">
        <x:v>KOMPUTER/INFORMATIKA</x:v>
      </x:c>
      <x:c r="Q1271" s="18" t="n">
        <x:v>625</x:v>
      </x:c>
      <x:c r="R1271" s="18" t="n">
        <x:v>675</x:v>
      </x:c>
      <x:c r="S1271" s="18" t="n">
        <x:v>559.2202055865193</x:v>
      </x:c>
      <x:c r="T1271" s="18" t="n">
        <x:v>673</x:v>
      </x:c>
      <x:c r="U1271" s="18" t="n">
        <x:v>675</x:v>
      </x:c>
      <x:c r="V1271" s="20" t="n">
        <x:v>12</x:v>
      </x:c>
      <x:c r="W1271" s="20" t="n">
        <x:v>5</x:v>
      </x:c>
      <x:c r="X1271" s="20" t="n">
        <x:v>3</x:v>
      </x:c>
      <x:c r="Y1271" t="str">
        <x:v>Basis arsip 2025/2024</x:v>
      </x:c>
      <x:c r="Z1271" t="str">
        <x:v>https://snpmb.id/utbk-snbt/daya-tampung-snbt</x:v>
      </x:c>
      <x:c r="AA1271" t="str">
        <x:v>Tidak Ada</x:v>
      </x:c>
      <x:c r="AB1271" t="str">
        <x:v>Campus=80; Ratio=21.0; Prodi=85; RelDemand=10.0; Capacity=54.2</x:v>
      </x:c>
    </x:row>
    <x:row r="1272">
      <x:c r="A1272" t="n">
        <x:v>1269</x:v>
      </x:c>
      <x:c r="B1272" t="str">
        <x:v>PTN Akademik</x:v>
      </x:c>
      <x:c r="C1272" t="str">
        <x:v>UNIVERSITAS PENDIDIKAN INDONESIA</x:v>
      </x:c>
      <x:c r="D1272" t="str">
        <x:v>KEPELATIHAN FISIK OLAHRAGA</x:v>
      </x:c>
      <x:c r="E1272" t="str">
        <x:v>Sarjana</x:v>
      </x:c>
      <x:c r="F1272" s="18" t="n">
        <x:v>35</x:v>
      </x:c>
      <x:c r="G1272" s="18" t="n">
        <x:v>182</x:v>
      </x:c>
      <x:c r="H1272" s="19" t="n">
        <x:v>5.2</x:v>
      </x:c>
      <x:c r="I1272" s="18" t="n">
        <x:f>ROUND(MIN(Model_Config_v3!$B$6,MAX(Q1272,R1272,S1272*Model_Config_v3!$B$4+T1272*Model_Config_v3!$B$5)),0)</x:f>
        <x:v>651</x:v>
      </x:c>
      <x:c r="J1272" s="18" t="n">
        <x:f>MIN(Model_Config_v3!$B$6,I1272+Model_Config_v3!$B$7)</x:f>
        <x:v>671</x:v>
      </x:c>
      <x:c r="K1272" s="20" t="n">
        <x:v>56.9</x:v>
      </x:c>
      <x:c r="L1272" t="str">
        <x:v>KETAT</x:v>
      </x:c>
      <x:c r="M1272" t="str">
        <x:v>PORTOFOLIO</x:v>
      </x:c>
      <x:c r="N1272" t="str">
        <x:v>ELITE-3</x:v>
      </x:c>
      <x:c r="O1272" t="str">
        <x:v>SENI/OLAHRAGA</x:v>
      </x:c>
      <x:c r="P1272" t="str">
        <x:v>SENI/OLAHRAGA</x:v>
      </x:c>
      <x:c r="Q1272" s="18" t="n">
        <x:v>625</x:v>
      </x:c>
      <x:c r="R1272" s="18" t="n">
        <x:v>0</x:v>
      </x:c>
      <x:c r="S1272" s="18" t="n">
        <x:v>598.7603677998279</x:v>
      </x:c>
      <x:c r="T1272" s="18" t="n">
        <x:v>674</x:v>
      </x:c>
      <x:c r="U1272" s="18" t="n">
        <x:v>625</x:v>
      </x:c>
      <x:c r="V1272" s="20" t="n">
        <x:v>4.4</x:v>
      </x:c>
      <x:c r="W1272" s="20" t="n">
        <x:v>9.9</x:v>
      </x:c>
      <x:c r="X1272" s="20" t="n">
        <x:v>7.7</x:v>
      </x:c>
      <x:c r="Y1272" t="str">
        <x:v>Basis arsip 2025/2024</x:v>
      </x:c>
      <x:c r="Z1272" t="str">
        <x:v>https://snpmb.id/utbk-snbt/daya-tampung-snbt</x:v>
      </x:c>
      <x:c r="AA1272" t="str">
        <x:v>Olahraga</x:v>
      </x:c>
      <x:c r="AB1272" t="str">
        <x:v>Campus=80; Ratio=42.1; Prodi=45; RelDemand=22.8; Capacity=70.8</x:v>
      </x:c>
    </x:row>
    <x:row r="1273">
      <x:c r="A1273" t="n">
        <x:v>1270</x:v>
      </x:c>
      <x:c r="B1273" t="str">
        <x:v>PTN Akademik</x:v>
      </x:c>
      <x:c r="C1273" t="str">
        <x:v>UNIVERSITAS PENDIDIKAN INDONESIA</x:v>
      </x:c>
      <x:c r="D1273" t="str">
        <x:v>REKAYASA PERANGKAT LUNAK (KAMPUS UPI CIBIRU)</x:v>
      </x:c>
      <x:c r="E1273" t="str">
        <x:v>Sarjana</x:v>
      </x:c>
      <x:c r="F1273" s="18" t="n">
        <x:v>50</x:v>
      </x:c>
      <x:c r="G1273" s="18" t="n">
        <x:v>444</x:v>
      </x:c>
      <x:c r="H1273" s="19" t="n">
        <x:v>8.88</x:v>
      </x:c>
      <x:c r="I1273" s="18" t="n">
        <x:f>ROUND(MIN(Model_Config_v3!$B$6,MAX(Q1273,R1273,S1273*Model_Config_v3!$B$4+T1273*Model_Config_v3!$B$5)),0)</x:f>
        <x:v>663</x:v>
      </x:c>
      <x:c r="J1273" s="18" t="n">
        <x:f>MIN(Model_Config_v3!$B$6,I1273+Model_Config_v3!$B$7)</x:f>
        <x:v>683</x:v>
      </x:c>
      <x:c r="K1273" s="20" t="n">
        <x:v>59.7</x:v>
      </x:c>
      <x:c r="L1273" t="str">
        <x:v>KETAT</x:v>
      </x:c>
      <x:c r="M1273" t="str">
        <x:v>SEDANG+</x:v>
      </x:c>
      <x:c r="N1273" t="str">
        <x:v>ELITE-3</x:v>
      </x:c>
      <x:c r="O1273" t="str">
        <x:v>CAMPURAN</x:v>
      </x:c>
      <x:c r="P1273" t="str">
        <x:v>UMUM</x:v>
      </x:c>
      <x:c r="Q1273" s="18" t="n">
        <x:v>625</x:v>
      </x:c>
      <x:c r="R1273" s="18" t="n">
        <x:v>0</x:v>
      </x:c>
      <x:c r="S1273" s="18" t="n">
        <x:v>624.3254262356461</x:v>
      </x:c>
      <x:c r="T1273" s="18" t="n">
        <x:v>679</x:v>
      </x:c>
      <x:c r="U1273" s="18" t="n">
        <x:v>625</x:v>
      </x:c>
      <x:c r="V1273" s="20" t="n">
        <x:v>8.8</x:v>
      </x:c>
      <x:c r="W1273" s="20" t="n">
        <x:v>9.9</x:v>
      </x:c>
      <x:c r="X1273" s="20" t="n">
        <x:v>3.3</x:v>
      </x:c>
      <x:c r="Y1273" t="str">
        <x:v>Basis arsip 2025/2024</x:v>
      </x:c>
      <x:c r="Z1273" t="str">
        <x:v>https://snpmb.id/utbk-snbt/daya-tampung-snbt</x:v>
      </x:c>
      <x:c r="AA1273" t="str">
        <x:v>Tidak Ada</x:v>
      </x:c>
      <x:c r="AB1273" t="str">
        <x:v>Campus=80; Ratio=55.8; Prodi=40; RelDemand=38.9; Capacity=58.3</x:v>
      </x:c>
    </x:row>
    <x:row r="1274">
      <x:c r="A1274" t="n">
        <x:v>1271</x:v>
      </x:c>
      <x:c r="B1274" t="str">
        <x:v>PTN Akademik</x:v>
      </x:c>
      <x:c r="C1274" t="str">
        <x:v>UNIVERSITAS PENDIDIKAN INDONESIA</x:v>
      </x:c>
      <x:c r="D1274" t="str">
        <x:v>SISTEM TELEKOMUNIKASI (KAMPUS UPI PURWAKARTA)</x:v>
      </x:c>
      <x:c r="E1274" t="str">
        <x:v>Sarjana</x:v>
      </x:c>
      <x:c r="F1274" s="18" t="n">
        <x:v>60</x:v>
      </x:c>
      <x:c r="G1274" s="18" t="n">
        <x:v>233</x:v>
      </x:c>
      <x:c r="H1274" s="19" t="n">
        <x:v>3.8833333333333333</x:v>
      </x:c>
      <x:c r="I1274" s="18" t="n">
        <x:f>ROUND(MIN(Model_Config_v3!$B$6,MAX(Q1274,R1274,S1274*Model_Config_v3!$B$4+T1274*Model_Config_v3!$B$5)),0)</x:f>
        <x:v>640</x:v>
      </x:c>
      <x:c r="J1274" s="18" t="n">
        <x:f>MIN(Model_Config_v3!$B$6,I1274+Model_Config_v3!$B$7)</x:f>
        <x:v>660</x:v>
      </x:c>
      <x:c r="K1274" s="20" t="n">
        <x:v>51.4</x:v>
      </x:c>
      <x:c r="L1274" t="str">
        <x:v>MENENGAH</x:v>
      </x:c>
      <x:c r="M1274" t="str">
        <x:v>SEDANG+</x:v>
      </x:c>
      <x:c r="N1274" t="str">
        <x:v>ELITE-3</x:v>
      </x:c>
      <x:c r="O1274" t="str">
        <x:v>SOSHUM</x:v>
      </x:c>
      <x:c r="P1274" t="str">
        <x:v>UMUM</x:v>
      </x:c>
      <x:c r="Q1274" s="18" t="n">
        <x:v>625</x:v>
      </x:c>
      <x:c r="R1274" s="18" t="n">
        <x:v>0</x:v>
      </x:c>
      <x:c r="S1274" s="18" t="n">
        <x:v>584.8125137706613</x:v>
      </x:c>
      <x:c r="T1274" s="18" t="n">
        <x:v>663</x:v>
      </x:c>
      <x:c r="U1274" s="18" t="n">
        <x:v>625</x:v>
      </x:c>
      <x:c r="V1274" s="20" t="n">
        <x:v>4.4</x:v>
      </x:c>
      <x:c r="W1274" s="20" t="n">
        <x:v>14.3</x:v>
      </x:c>
      <x:c r="X1274" s="20" t="n">
        <x:v>3.3</x:v>
      </x:c>
      <x:c r="Y1274" t="str">
        <x:v>Basis arsip 2025/2024</x:v>
      </x:c>
      <x:c r="Z1274" t="str">
        <x:v>https://snpmb.id/utbk-snbt/daya-tampung-snbt</x:v>
      </x:c>
      <x:c r="AA1274" t="str">
        <x:v>Tidak Ada</x:v>
      </x:c>
      <x:c r="AB1274" t="str">
        <x:v>Campus=80; Ratio=34.7; Prodi=40; RelDemand=17.0; Capacity=50.0</x:v>
      </x:c>
    </x:row>
    <x:row r="1275">
      <x:c r="A1275" t="n">
        <x:v>1272</x:v>
      </x:c>
      <x:c r="B1275" t="str">
        <x:v>PTN Akademik</x:v>
      </x:c>
      <x:c r="C1275" t="str">
        <x:v>UNIVERSITAS PENDIDIKAN INDONESIA</x:v>
      </x:c>
      <x:c r="D1275" t="str">
        <x:v>KEPERAWATAN - KAMPUS SUMEDANG</x:v>
      </x:c>
      <x:c r="E1275" t="str">
        <x:v>Sarjana</x:v>
      </x:c>
      <x:c r="F1275" s="18" t="n">
        <x:v>64</x:v>
      </x:c>
      <x:c r="G1275" s="18" t="n">
        <x:v>971</x:v>
      </x:c>
      <x:c r="H1275" s="19" t="n">
        <x:v>15.171875</x:v>
      </x:c>
      <x:c r="I1275" s="18" t="n">
        <x:f>ROUND(MIN(Model_Config_v3!$B$6,MAX(Q1275,R1275,S1275*Model_Config_v3!$B$4+T1275*Model_Config_v3!$B$5)),0)</x:f>
        <x:v>681</x:v>
      </x:c>
      <x:c r="J1275" s="18" t="n">
        <x:f>MIN(Model_Config_v3!$B$6,I1275+Model_Config_v3!$B$7)</x:f>
        <x:v>701</x:v>
      </x:c>
      <x:c r="K1275" s="20" t="n">
        <x:v>67.7</x:v>
      </x:c>
      <x:c r="L1275" t="str">
        <x:v>SANGAT KETAT</x:v>
      </x:c>
      <x:c r="M1275" t="str">
        <x:v>SEDANG+</x:v>
      </x:c>
      <x:c r="N1275" t="str">
        <x:v>ELITE-3</x:v>
      </x:c>
      <x:c r="O1275" t="str">
        <x:v>SAINTEK</x:v>
      </x:c>
      <x:c r="P1275" t="str">
        <x:v>KESEHAT/GIZI/KEPERAWATAN</x:v>
      </x:c>
      <x:c r="Q1275" s="18" t="n">
        <x:v>625</x:v>
      </x:c>
      <x:c r="R1275" s="18" t="n">
        <x:v>0</x:v>
      </x:c>
      <x:c r="S1275" s="18" t="n">
        <x:v>649.9143181516529</x:v>
      </x:c>
      <x:c r="T1275" s="18" t="n">
        <x:v>695</x:v>
      </x:c>
      <x:c r="U1275" s="18" t="n">
        <x:v>649.9143181516529</x:v>
      </x:c>
      <x:c r="V1275" s="20" t="n">
        <x:v>12</x:v>
      </x:c>
      <x:c r="W1275" s="20" t="n">
        <x:v>5</x:v>
      </x:c>
      <x:c r="X1275" s="20" t="n">
        <x:v>3</x:v>
      </x:c>
      <x:c r="Y1275" t="str">
        <x:v>Basis arsip 2025/2024</x:v>
      </x:c>
      <x:c r="Z1275" t="str">
        <x:v>https://snpmb.id/utbk-snbt/daya-tampung-snbt</x:v>
      </x:c>
      <x:c r="AA1275" t="str">
        <x:v>Tidak Ada</x:v>
      </x:c>
      <x:c r="AB1275" t="str">
        <x:v>Campus=80; Ratio=69.5; Prodi=55; RelDemand=66.5; Capacity=46.7</x:v>
      </x:c>
    </x:row>
    <x:row r="1276">
      <x:c r="A1276" t="n">
        <x:v>1273</x:v>
      </x:c>
      <x:c r="B1276" t="str">
        <x:v>PTN Akademik</x:v>
      </x:c>
      <x:c r="C1276" t="str">
        <x:v>UNIVERSITAS PENDIDIKAN INDONESIA</x:v>
      </x:c>
      <x:c r="D1276" t="str">
        <x:v>TEKNIK LOGISTIK</x:v>
      </x:c>
      <x:c r="E1276" t="str">
        <x:v>Sarjana</x:v>
      </x:c>
      <x:c r="F1276" s="18" t="n">
        <x:v>45</x:v>
      </x:c>
      <x:c r="G1276" s="18" t="n">
        <x:v>536</x:v>
      </x:c>
      <x:c r="H1276" s="19" t="n">
        <x:v>11.911111111111111</x:v>
      </x:c>
      <x:c r="I1276" s="18" t="n">
        <x:f>ROUND(MIN(Model_Config_v3!$B$6,MAX(Q1276,R1276,S1276*Model_Config_v3!$B$4+T1276*Model_Config_v3!$B$5)),0)</x:f>
        <x:v>678</x:v>
      </x:c>
      <x:c r="J1276" s="18" t="n">
        <x:f>MIN(Model_Config_v3!$B$6,I1276+Model_Config_v3!$B$7)</x:f>
        <x:v>698</x:v>
      </x:c>
      <x:c r="K1276" s="20" t="n">
        <x:v>67.3</x:v>
      </x:c>
      <x:c r="L1276" t="str">
        <x:v>SANGAT KETAT</x:v>
      </x:c>
      <x:c r="M1276" t="str">
        <x:v>SEDANG+</x:v>
      </x:c>
      <x:c r="N1276" t="str">
        <x:v>ELITE-3</x:v>
      </x:c>
      <x:c r="O1276" t="str">
        <x:v>SAINTEK</x:v>
      </x:c>
      <x:c r="P1276" t="str">
        <x:v>TEKNIK/ARSITEKTUR/STATISTIKA/AKTUARIA</x:v>
      </x:c>
      <x:c r="Q1276" s="18" t="n">
        <x:v>625</x:v>
      </x:c>
      <x:c r="R1276" s="18" t="n">
        <x:v>0</x:v>
      </x:c>
      <x:c r="S1276" s="18" t="n">
        <x:v>638.3547503509169</x:v>
      </x:c>
      <x:c r="T1276" s="18" t="n">
        <x:v>695</x:v>
      </x:c>
      <x:c r="U1276" s="18" t="n">
        <x:v>648.3547503509169</x:v>
      </x:c>
      <x:c r="V1276" s="20" t="n">
        <x:v>12</x:v>
      </x:c>
      <x:c r="W1276" s="20" t="n">
        <x:v>5</x:v>
      </x:c>
      <x:c r="X1276" s="20" t="n">
        <x:v>3</x:v>
      </x:c>
      <x:c r="Y1276" t="str">
        <x:v>Basis arsip 2025/2024</x:v>
      </x:c>
      <x:c r="Z1276" t="str">
        <x:v>https://snpmb.id/utbk-snbt/daya-tampung-snbt</x:v>
      </x:c>
      <x:c r="AA1276" t="str">
        <x:v>Tidak Ada</x:v>
      </x:c>
      <x:c r="AB1276" t="str">
        <x:v>Campus=80; Ratio=63.3; Prodi=60; RelDemand=52.2; Capacity=62.5</x:v>
      </x:c>
    </x:row>
    <x:row r="1277">
      <x:c r="A1277" t="n">
        <x:v>1274</x:v>
      </x:c>
      <x:c r="B1277" t="str">
        <x:v>PTN Akademik</x:v>
      </x:c>
      <x:c r="C1277" t="str">
        <x:v>UNIVERSITAS PENDIDIKAN INDONESIA</x:v>
      </x:c>
      <x:c r="D1277" t="str">
        <x:v>PENDIDIKAN TEKNIK OTOMASI INDUSTRI DAN ROBOTIKA</x:v>
      </x:c>
      <x:c r="E1277" t="str">
        <x:v>Sarjana</x:v>
      </x:c>
      <x:c r="F1277" s="18" t="n">
        <x:v>45</x:v>
      </x:c>
      <x:c r="G1277" s="18" t="n">
        <x:v>151</x:v>
      </x:c>
      <x:c r="H1277" s="19" t="n">
        <x:v>3.3555555555555556</x:v>
      </x:c>
      <x:c r="I1277" s="18" t="n">
        <x:f>ROUND(MIN(Model_Config_v3!$B$6,MAX(Q1277,R1277,S1277*Model_Config_v3!$B$4+T1277*Model_Config_v3!$B$5)),0)</x:f>
        <x:v>639</x:v>
      </x:c>
      <x:c r="J1277" s="18" t="n">
        <x:f>MIN(Model_Config_v3!$B$6,I1277+Model_Config_v3!$B$7)</x:f>
        <x:v>659</x:v>
      </x:c>
      <x:c r="K1277" s="20" t="n">
        <x:v>52.5</x:v>
      </x:c>
      <x:c r="L1277" t="str">
        <x:v>MENENGAH</x:v>
      </x:c>
      <x:c r="M1277" t="str">
        <x:v>SEDANG+</x:v>
      </x:c>
      <x:c r="N1277" t="str">
        <x:v>ELITE-3</x:v>
      </x:c>
      <x:c r="O1277" t="str">
        <x:v>SAINTEK</x:v>
      </x:c>
      <x:c r="P1277" t="str">
        <x:v>PENDIDIKAN</x:v>
      </x:c>
      <x:c r="Q1277" s="18" t="n">
        <x:v>625</x:v>
      </x:c>
      <x:c r="R1277" s="18" t="n">
        <x:v>0</x:v>
      </x:c>
      <x:c r="S1277" s="18" t="n">
        <x:v>577.8340876869609</x:v>
      </x:c>
      <x:c r="T1277" s="18" t="n">
        <x:v>665</x:v>
      </x:c>
      <x:c r="U1277" s="18" t="n">
        <x:v>625</x:v>
      </x:c>
      <x:c r="V1277" s="20" t="n">
        <x:v>12</x:v>
      </x:c>
      <x:c r="W1277" s="20" t="n">
        <x:v>5</x:v>
      </x:c>
      <x:c r="X1277" s="20" t="n">
        <x:v>3</x:v>
      </x:c>
      <x:c r="Y1277" t="str">
        <x:v>Basis arsip 2025/2024</x:v>
      </x:c>
      <x:c r="Z1277" t="str">
        <x:v>https://snpmb.id/utbk-snbt/daya-tampung-snbt</x:v>
      </x:c>
      <x:c r="AA1277" t="str">
        <x:v>Tidak Ada</x:v>
      </x:c>
      <x:c r="AB1277" t="str">
        <x:v>Campus=80; Ratio=30.9; Prodi=45; RelDemand=14.7; Capacity=62.5</x:v>
      </x:c>
    </x:row>
    <x:row r="1278">
      <x:c r="A1278" t="n">
        <x:v>1275</x:v>
      </x:c>
      <x:c r="B1278" t="str">
        <x:v>PTN Akademik</x:v>
      </x:c>
      <x:c r="C1278" t="str">
        <x:v>UNIVERSITAS PENDIDIKAN INDONESIA</x:v>
      </x:c>
      <x:c r="D1278" t="str">
        <x:v>TEKNIK KOMPUTER - KAMPUS CIBIRU</x:v>
      </x:c>
      <x:c r="E1278" t="str">
        <x:v>Sarjana</x:v>
      </x:c>
      <x:c r="F1278" s="18" t="n">
        <x:v>70</x:v>
      </x:c>
      <x:c r="G1278" s="18" t="n">
        <x:v>532</x:v>
      </x:c>
      <x:c r="H1278" s="19" t="n">
        <x:v>7.6</x:v>
      </x:c>
      <x:c r="I1278" s="18" t="n">
        <x:f>ROUND(MIN(Model_Config_v3!$B$6,MAX(Q1278,R1278,S1278*Model_Config_v3!$B$4+T1278*Model_Config_v3!$B$5)),0)</x:f>
        <x:v>675</x:v>
      </x:c>
      <x:c r="J1278" s="18" t="n">
        <x:f>MIN(Model_Config_v3!$B$6,I1278+Model_Config_v3!$B$7)</x:f>
        <x:v>695</x:v>
      </x:c>
      <x:c r="K1278" s="20" t="n">
        <x:v>65.5</x:v>
      </x:c>
      <x:c r="L1278" t="str">
        <x:v>SANGAT KETAT</x:v>
      </x:c>
      <x:c r="M1278" t="str">
        <x:v>SEDANG+</x:v>
      </x:c>
      <x:c r="N1278" t="str">
        <x:v>ELITE-3</x:v>
      </x:c>
      <x:c r="O1278" t="str">
        <x:v>SAINTEK</x:v>
      </x:c>
      <x:c r="P1278" t="str">
        <x:v>KOMPUTER/INFORMATIKA</x:v>
      </x:c>
      <x:c r="Q1278" s="18" t="n">
        <x:v>625</x:v>
      </x:c>
      <x:c r="R1278" s="18" t="n">
        <x:v>675</x:v>
      </x:c>
      <x:c r="S1278" s="18" t="n">
        <x:v>616.889495150887</x:v>
      </x:c>
      <x:c r="T1278" s="18" t="n">
        <x:v>691</x:v>
      </x:c>
      <x:c r="U1278" s="18" t="n">
        <x:v>675</x:v>
      </x:c>
      <x:c r="V1278" s="20" t="n">
        <x:v>12</x:v>
      </x:c>
      <x:c r="W1278" s="20" t="n">
        <x:v>5</x:v>
      </x:c>
      <x:c r="X1278" s="20" t="n">
        <x:v>3</x:v>
      </x:c>
      <x:c r="Y1278" t="str">
        <x:v>Basis arsip 2025/2024</x:v>
      </x:c>
      <x:c r="Z1278" t="str">
        <x:v>https://snpmb.id/utbk-snbt/daya-tampung-snbt</x:v>
      </x:c>
      <x:c r="AA1278" t="str">
        <x:v>Tidak Ada</x:v>
      </x:c>
      <x:c r="AB1278" t="str">
        <x:v>Campus=80; Ratio=51.8; Prodi=85; RelDemand=33.3; Capacity=41.7</x:v>
      </x:c>
    </x:row>
    <x:row r="1279">
      <x:c r="A1279" t="n">
        <x:v>1276</x:v>
      </x:c>
      <x:c r="B1279" t="str">
        <x:v>PTN Akademik</x:v>
      </x:c>
      <x:c r="C1279" t="str">
        <x:v>UNIVERSITAS PENDIDIKAN INDONESIA</x:v>
      </x:c>
      <x:c r="D1279" t="str">
        <x:v>LOGISTIK KELAUTAN - KAMPUS SERANG</x:v>
      </x:c>
      <x:c r="E1279" t="str">
        <x:v>Sarjana</x:v>
      </x:c>
      <x:c r="F1279" s="18" t="n">
        <x:v>68</x:v>
      </x:c>
      <x:c r="G1279" s="18" t="n">
        <x:v>208</x:v>
      </x:c>
      <x:c r="H1279" s="19" t="n">
        <x:v>3.0588235294117645</x:v>
      </x:c>
      <x:c r="I1279" s="18" t="n">
        <x:f>ROUND(MIN(Model_Config_v3!$B$6,MAX(Q1279,R1279,S1279*Model_Config_v3!$B$4+T1279*Model_Config_v3!$B$5)),0)</x:f>
        <x:v>633</x:v>
      </x:c>
      <x:c r="J1279" s="18" t="n">
        <x:f>MIN(Model_Config_v3!$B$6,I1279+Model_Config_v3!$B$7)</x:f>
        <x:v>653</x:v>
      </x:c>
      <x:c r="K1279" s="20" t="n">
        <x:v>48.8</x:v>
      </x:c>
      <x:c r="L1279" t="str">
        <x:v>MENENGAH</x:v>
      </x:c>
      <x:c r="M1279" t="str">
        <x:v>SEDANG+</x:v>
      </x:c>
      <x:c r="N1279" t="str">
        <x:v>ELITE-3</x:v>
      </x:c>
      <x:c r="O1279" t="str">
        <x:v>SAINTEK</x:v>
      </x:c>
      <x:c r="P1279" t="str">
        <x:v>UMUM</x:v>
      </x:c>
      <x:c r="Q1279" s="18" t="n">
        <x:v>625</x:v>
      </x:c>
      <x:c r="R1279" s="18" t="n">
        <x:v>0</x:v>
      </x:c>
      <x:c r="S1279" s="18" t="n">
        <x:v>573.4109864482177</x:v>
      </x:c>
      <x:c r="T1279" s="18" t="n">
        <x:v>658</x:v>
      </x:c>
      <x:c r="U1279" s="18" t="n">
        <x:v>625</x:v>
      </x:c>
      <x:c r="V1279" s="20" t="n">
        <x:v>12</x:v>
      </x:c>
      <x:c r="W1279" s="20" t="n">
        <x:v>5</x:v>
      </x:c>
      <x:c r="X1279" s="20" t="n">
        <x:v>3</x:v>
      </x:c>
      <x:c r="Y1279" t="str">
        <x:v>Basis arsip 2025/2024</x:v>
      </x:c>
      <x:c r="Z1279" t="str">
        <x:v>https://snpmb.id/utbk-snbt/daya-tampung-snbt</x:v>
      </x:c>
      <x:c r="AA1279" t="str">
        <x:v>Tidak Ada</x:v>
      </x:c>
      <x:c r="AB1279" t="str">
        <x:v>Campus=80; Ratio=28.6; Prodi=40; RelDemand=13.4; Capacity=43.3</x:v>
      </x:c>
    </x:row>
    <x:row r="1280">
      <x:c r="A1280" t="n">
        <x:v>1277</x:v>
      </x:c>
      <x:c r="B1280" t="str">
        <x:v>PTN Akademik</x:v>
      </x:c>
      <x:c r="C1280" t="str">
        <x:v>UNIVERSITAS PENDIDIKAN INDONESIA</x:v>
      </x:c>
      <x:c r="D1280" t="str">
        <x:v>GIZI</x:v>
      </x:c>
      <x:c r="E1280" t="str">
        <x:v>Sarjana</x:v>
      </x:c>
      <x:c r="F1280" s="18" t="n">
        <x:v>35</x:v>
      </x:c>
      <x:c r="G1280" s="18" t="n">
        <x:v>1227</x:v>
      </x:c>
      <x:c r="H1280" s="19" t="n">
        <x:v>35.05714285714286</x:v>
      </x:c>
      <x:c r="I1280" s="18" t="n">
        <x:f>ROUND(MIN(Model_Config_v3!$B$6,MAX(Q1280,R1280,S1280*Model_Config_v3!$B$4+T1280*Model_Config_v3!$B$5)),0)</x:f>
        <x:v>710</x:v>
      </x:c>
      <x:c r="J1280" s="18" t="n">
        <x:f>MIN(Model_Config_v3!$B$6,I1280+Model_Config_v3!$B$7)</x:f>
        <x:v>730</x:v>
      </x:c>
      <x:c r="K1280" s="20" t="n">
        <x:v>78.8</x:v>
      </x:c>
      <x:c r="L1280" t="str">
        <x:v>ELITE</x:v>
      </x:c>
      <x:c r="M1280" t="str">
        <x:v>SEDANG+</x:v>
      </x:c>
      <x:c r="N1280" t="str">
        <x:v>ELITE-3</x:v>
      </x:c>
      <x:c r="O1280" t="str">
        <x:v>SAINTEK</x:v>
      </x:c>
      <x:c r="P1280" t="str">
        <x:v>KESEHAT/GIZI/KEPERAWATAN</x:v>
      </x:c>
      <x:c r="Q1280" s="18" t="n">
        <x:v>625</x:v>
      </x:c>
      <x:c r="R1280" s="18" t="n">
        <x:v>0</x:v>
      </x:c>
      <x:c r="S1280" s="18" t="n">
        <x:v>689.9254170214401</x:v>
      </x:c>
      <x:c r="T1280" s="18" t="n">
        <x:v>718</x:v>
      </x:c>
      <x:c r="U1280" s="18" t="n">
        <x:v>689.9254170214401</x:v>
      </x:c>
      <x:c r="V1280" s="20" t="n">
        <x:v>12</x:v>
      </x:c>
      <x:c r="W1280" s="20" t="n">
        <x:v>5</x:v>
      </x:c>
      <x:c r="X1280" s="20" t="n">
        <x:v>3</x:v>
      </x:c>
      <x:c r="Y1280" t="str">
        <x:v>Basis arsip 2025/2024</x:v>
      </x:c>
      <x:c r="Z1280" t="str">
        <x:v>https://snpmb.id/utbk-snbt/daya-tampung-snbt</x:v>
      </x:c>
      <x:c r="AA1280" t="str">
        <x:v>Tidak Ada</x:v>
      </x:c>
      <x:c r="AB1280" t="str">
        <x:v>Campus=80; Ratio=90.9; Prodi=55; RelDemand=100.0; Capacity=70.8</x:v>
      </x:c>
    </x:row>
    <x:row r="1281">
      <x:c r="A1281" t="n">
        <x:v>1278</x:v>
      </x:c>
      <x:c r="B1281" t="str">
        <x:v>PTN Akademik</x:v>
      </x:c>
      <x:c r="C1281" t="str">
        <x:v>UNIVERSITAS PENDIDIKAN INDONESIA</x:v>
      </x:c>
      <x:c r="D1281" t="str">
        <x:v>MEKATRONIKA DAN KECERDASAN BUATAN - KAMPUS UPI DI PURWAKARTA</x:v>
      </x:c>
      <x:c r="E1281" t="str">
        <x:v>Sarjana</x:v>
      </x:c>
      <x:c r="F1281" s="18" t="n">
        <x:v>50</x:v>
      </x:c>
      <x:c r="G1281" s="18" t="n">
        <x:v>222</x:v>
      </x:c>
      <x:c r="H1281" s="19" t="n">
        <x:v>4.44</x:v>
      </x:c>
      <x:c r="I1281" s="18" t="n">
        <x:f>ROUND(MIN(Model_Config_v3!$B$6,MAX(Q1281,R1281,S1281*Model_Config_v3!$B$4+T1281*Model_Config_v3!$B$5)),0)</x:f>
        <x:v>644</x:v>
      </x:c>
      <x:c r="J1281" s="18" t="n">
        <x:f>MIN(Model_Config_v3!$B$6,I1281+Model_Config_v3!$B$7)</x:f>
        <x:v>664</x:v>
      </x:c>
      <x:c r="K1281" s="20" t="n">
        <x:v>53.3</x:v>
      </x:c>
      <x:c r="L1281" t="str">
        <x:v>MENENGAH</x:v>
      </x:c>
      <x:c r="M1281" t="str">
        <x:v>SEDANG+</x:v>
      </x:c>
      <x:c r="N1281" t="str">
        <x:v>ELITE-3</x:v>
      </x:c>
      <x:c r="O1281" t="str">
        <x:v>CAMPURAN</x:v>
      </x:c>
      <x:c r="P1281" t="str">
        <x:v>UMUM</x:v>
      </x:c>
      <x:c r="Q1281" s="18" t="n">
        <x:v>625</x:v>
      </x:c>
      <x:c r="R1281" s="18" t="n">
        <x:v>0</x:v>
      </x:c>
      <x:c r="S1281" s="18" t="n">
        <x:v>591.2121267126082</x:v>
      </x:c>
      <x:c r="T1281" s="18" t="n">
        <x:v>667</x:v>
      </x:c>
      <x:c r="U1281" s="18" t="n">
        <x:v>625</x:v>
      </x:c>
      <x:c r="V1281" s="20" t="n">
        <x:v>8.8</x:v>
      </x:c>
      <x:c r="W1281" s="20" t="n">
        <x:v>9.9</x:v>
      </x:c>
      <x:c r="X1281" s="20" t="n">
        <x:v>3.3</x:v>
      </x:c>
      <x:c r="Y1281" t="str">
        <x:v>Basis arsip 2025/2024</x:v>
      </x:c>
      <x:c r="Z1281" t="str">
        <x:v>https://snpmb.id/utbk-snbt/daya-tampung-snbt</x:v>
      </x:c>
      <x:c r="AA1281" t="str">
        <x:v>Tidak Ada</x:v>
      </x:c>
      <x:c r="AB1281" t="str">
        <x:v>Campus=80; Ratio=38.1; Prodi=40; RelDemand=19.5; Capacity=58.3</x:v>
      </x:c>
    </x:row>
    <x:row r="1282">
      <x:c r="A1282" t="n">
        <x:v>1279</x:v>
      </x:c>
      <x:c r="B1282" t="str">
        <x:v>PTN Akademik</x:v>
      </x:c>
      <x:c r="C1282" t="str">
        <x:v>UNIVERSITAS PENDIDIKAN INDONESIA</x:v>
      </x:c>
      <x:c r="D1282" t="str">
        <x:v>KEPERAWATAN</x:v>
      </x:c>
      <x:c r="E1282" t="str">
        <x:v>Sarjana</x:v>
      </x:c>
      <x:c r="F1282" s="18" t="n">
        <x:v>40</x:v>
      </x:c>
      <x:c r="G1282" s="18" t="n">
        <x:v>1635</x:v>
      </x:c>
      <x:c r="H1282" s="19" t="n">
        <x:v>40.875</x:v>
      </x:c>
      <x:c r="I1282" s="18" t="n">
        <x:f>ROUND(MIN(Model_Config_v3!$B$6,MAX(Q1282,R1282,S1282*Model_Config_v3!$B$4+T1282*Model_Config_v3!$B$5)),0)</x:f>
        <x:v>712</x:v>
      </x:c>
      <x:c r="J1282" s="18" t="n">
        <x:f>MIN(Model_Config_v3!$B$6,I1282+Model_Config_v3!$B$7)</x:f>
        <x:v>732</x:v>
      </x:c>
      <x:c r="K1282" s="20" t="n">
        <x:v>79.4</x:v>
      </x:c>
      <x:c r="L1282" t="str">
        <x:v>ELITE</x:v>
      </x:c>
      <x:c r="M1282" t="str">
        <x:v>SEDANG+</x:v>
      </x:c>
      <x:c r="N1282" t="str">
        <x:v>ELITE-3</x:v>
      </x:c>
      <x:c r="O1282" t="str">
        <x:v>SAINTEK</x:v>
      </x:c>
      <x:c r="P1282" t="str">
        <x:v>KESEHAT/GIZI/KEPERAWATAN</x:v>
      </x:c>
      <x:c r="Q1282" s="18" t="n">
        <x:v>625</x:v>
      </x:c>
      <x:c r="R1282" s="18" t="n">
        <x:v>0</x:v>
      </x:c>
      <x:c r="S1282" s="18" t="n">
        <x:v>697.2603542235177</x:v>
      </x:c>
      <x:c r="T1282" s="18" t="n">
        <x:v>719</x:v>
      </x:c>
      <x:c r="U1282" s="18" t="n">
        <x:v>697.2603542235177</x:v>
      </x:c>
      <x:c r="V1282" s="20" t="n">
        <x:v>12</x:v>
      </x:c>
      <x:c r="W1282" s="20" t="n">
        <x:v>5</x:v>
      </x:c>
      <x:c r="X1282" s="20" t="n">
        <x:v>3</x:v>
      </x:c>
      <x:c r="Y1282" t="str">
        <x:v>Basis arsip 2025/2024</x:v>
      </x:c>
      <x:c r="Z1282" t="str">
        <x:v>https://snpmb.id/utbk-snbt/daya-tampung-snbt</x:v>
      </x:c>
      <x:c r="AA1282" t="str">
        <x:v>Tidak Ada</x:v>
      </x:c>
      <x:c r="AB1282" t="str">
        <x:v>Campus=80; Ratio=94.8; Prodi=55; RelDemand=100.0; Capacity=66.7</x:v>
      </x:c>
    </x:row>
    <x:row r="1283">
      <x:c r="A1283" t="n">
        <x:v>1280</x:v>
      </x:c>
      <x:c r="B1283" t="str">
        <x:v>PTN Akademik</x:v>
      </x:c>
      <x:c r="C1283" t="str">
        <x:v>UNIVERSITAS PENDIDIKAN INDONESIA</x:v>
      </x:c>
      <x:c r="D1283" t="str">
        <x:v>ADMINISTRASI PENDIDIKAN</x:v>
      </x:c>
      <x:c r="E1283" t="str">
        <x:v>Sarjana</x:v>
      </x:c>
      <x:c r="F1283" s="18" t="n">
        <x:v>48</x:v>
      </x:c>
      <x:c r="G1283" s="18" t="n">
        <x:v>597</x:v>
      </x:c>
      <x:c r="H1283" s="19" t="n">
        <x:v>12.4375</x:v>
      </x:c>
      <x:c r="I1283" s="18" t="n">
        <x:f>ROUND(MIN(Model_Config_v3!$B$6,MAX(Q1283,R1283,S1283*Model_Config_v3!$B$4+T1283*Model_Config_v3!$B$5)),0)</x:f>
        <x:v>673</x:v>
      </x:c>
      <x:c r="J1283" s="18" t="n">
        <x:f>MIN(Model_Config_v3!$B$6,I1283+Model_Config_v3!$B$7)</x:f>
        <x:v>693</x:v>
      </x:c>
      <x:c r="K1283" s="20" t="n">
        <x:v>63.6</x:v>
      </x:c>
      <x:c r="L1283" t="str">
        <x:v>KETAT</x:v>
      </x:c>
      <x:c r="M1283" t="str">
        <x:v>SEDANG+</x:v>
      </x:c>
      <x:c r="N1283" t="str">
        <x:v>ELITE-3</x:v>
      </x:c>
      <x:c r="O1283" t="str">
        <x:v>SOSHUM</x:v>
      </x:c>
      <x:c r="P1283" t="str">
        <x:v>UMUM</x:v>
      </x:c>
      <x:c r="Q1283" s="18" t="n">
        <x:v>625</x:v>
      </x:c>
      <x:c r="R1283" s="18" t="n">
        <x:v>0</x:v>
      </x:c>
      <x:c r="S1283" s="18" t="n">
        <x:v>640.420640312916</x:v>
      </x:c>
      <x:c r="T1283" s="18" t="n">
        <x:v>687</x:v>
      </x:c>
      <x:c r="U1283" s="18" t="n">
        <x:v>640.420640312916</x:v>
      </x:c>
      <x:c r="V1283" s="20" t="n">
        <x:v>4.4</x:v>
      </x:c>
      <x:c r="W1283" s="20" t="n">
        <x:v>14.3</x:v>
      </x:c>
      <x:c r="X1283" s="20" t="n">
        <x:v>3.3</x:v>
      </x:c>
      <x:c r="Y1283" t="str">
        <x:v>Basis arsip 2025/2024</x:v>
      </x:c>
      <x:c r="Z1283" t="str">
        <x:v>https://snpmb.id/utbk-snbt/daya-tampung-snbt</x:v>
      </x:c>
      <x:c r="AA1283" t="str">
        <x:v>Tidak Ada</x:v>
      </x:c>
      <x:c r="AB1283" t="str">
        <x:v>Campus=80; Ratio=64.4; Prodi=40; RelDemand=54.5; Capacity=60.0</x:v>
      </x:c>
    </x:row>
    <x:row r="1284">
      <x:c r="A1284" t="n">
        <x:v>1281</x:v>
      </x:c>
      <x:c r="B1284" t="str">
        <x:v>PTN Akademik</x:v>
      </x:c>
      <x:c r="C1284" t="str">
        <x:v>UNIVERSITAS PENDIDIKAN INDONESIA</x:v>
      </x:c>
      <x:c r="D1284" t="str">
        <x:v>BIMBINGAN DAN KONSELING</x:v>
      </x:c>
      <x:c r="E1284" t="str">
        <x:v>Sarjana</x:v>
      </x:c>
      <x:c r="F1284" s="18" t="n">
        <x:v>50</x:v>
      </x:c>
      <x:c r="G1284" s="18" t="n">
        <x:v>1169</x:v>
      </x:c>
      <x:c r="H1284" s="19" t="n">
        <x:v>23.38</x:v>
      </x:c>
      <x:c r="I1284" s="18" t="n">
        <x:f>ROUND(MIN(Model_Config_v3!$B$6,MAX(Q1284,R1284,S1284*Model_Config_v3!$B$4+T1284*Model_Config_v3!$B$5)),0)</x:f>
        <x:v>694</x:v>
      </x:c>
      <x:c r="J1284" s="18" t="n">
        <x:f>MIN(Model_Config_v3!$B$6,I1284+Model_Config_v3!$B$7)</x:f>
        <x:v>714</x:v>
      </x:c>
      <x:c r="K1284" s="20" t="n">
        <x:v>72</x:v>
      </x:c>
      <x:c r="L1284" t="str">
        <x:v>SANGAT KETAT</x:v>
      </x:c>
      <x:c r="M1284" t="str">
        <x:v>SEDANG+</x:v>
      </x:c>
      <x:c r="N1284" t="str">
        <x:v>ELITE-3</x:v>
      </x:c>
      <x:c r="O1284" t="str">
        <x:v>CAMPURAN</x:v>
      </x:c>
      <x:c r="P1284" t="str">
        <x:v>UMUM</x:v>
      </x:c>
      <x:c r="Q1284" s="18" t="n">
        <x:v>625</x:v>
      </x:c>
      <x:c r="R1284" s="18" t="n">
        <x:v>0</x:v>
      </x:c>
      <x:c r="S1284" s="18" t="n">
        <x:v>670.5728957508403</x:v>
      </x:c>
      <x:c r="T1284" s="18" t="n">
        <x:v>704</x:v>
      </x:c>
      <x:c r="U1284" s="18" t="n">
        <x:v>670.5728957508403</x:v>
      </x:c>
      <x:c r="V1284" s="20" t="n">
        <x:v>8.8</x:v>
      </x:c>
      <x:c r="W1284" s="20" t="n">
        <x:v>9.9</x:v>
      </x:c>
      <x:c r="X1284" s="20" t="n">
        <x:v>3.3</x:v>
      </x:c>
      <x:c r="Y1284" t="str">
        <x:v>Basis arsip 2025/2024</x:v>
      </x:c>
      <x:c r="Z1284" t="str">
        <x:v>https://snpmb.id/utbk-snbt/daya-tampung-snbt</x:v>
      </x:c>
      <x:c r="AA1284" t="str">
        <x:v>Tidak Ada</x:v>
      </x:c>
      <x:c r="AB1284" t="str">
        <x:v>Campus=80; Ratio=80.6; Prodi=40; RelDemand=100.0; Capacity=58.3</x:v>
      </x:c>
    </x:row>
    <x:row r="1285">
      <x:c r="A1285" t="n">
        <x:v>1282</x:v>
      </x:c>
      <x:c r="B1285" t="str">
        <x:v>PTN Akademik</x:v>
      </x:c>
      <x:c r="C1285" t="str">
        <x:v>UNIVERSITAS PENDIDIKAN INDONESIA</x:v>
      </x:c>
      <x:c r="D1285" t="str">
        <x:v>PENDIDIKAN MASYARAKAT</x:v>
      </x:c>
      <x:c r="E1285" t="str">
        <x:v>Sarjana</x:v>
      </x:c>
      <x:c r="F1285" s="18" t="n">
        <x:v>32</x:v>
      </x:c>
      <x:c r="G1285" s="18" t="n">
        <x:v>350</x:v>
      </x:c>
      <x:c r="H1285" s="19" t="n">
        <x:v>10.9375</x:v>
      </x:c>
      <x:c r="I1285" s="18" t="n">
        <x:f>ROUND(MIN(Model_Config_v3!$B$6,MAX(Q1285,R1285,S1285*Model_Config_v3!$B$4+T1285*Model_Config_v3!$B$5)),0)</x:f>
        <x:v>673</x:v>
      </x:c>
      <x:c r="J1285" s="18" t="n">
        <x:f>MIN(Model_Config_v3!$B$6,I1285+Model_Config_v3!$B$7)</x:f>
        <x:v>693</x:v>
      </x:c>
      <x:c r="K1285" s="20" t="n">
        <x:v>64.4</x:v>
      </x:c>
      <x:c r="L1285" t="str">
        <x:v>KETAT</x:v>
      </x:c>
      <x:c r="M1285" t="str">
        <x:v>SEDANG+</x:v>
      </x:c>
      <x:c r="N1285" t="str">
        <x:v>ELITE-3</x:v>
      </x:c>
      <x:c r="O1285" t="str">
        <x:v>CAMPURAN</x:v>
      </x:c>
      <x:c r="P1285" t="str">
        <x:v>PENDIDIKAN</x:v>
      </x:c>
      <x:c r="Q1285" s="18" t="n">
        <x:v>625</x:v>
      </x:c>
      <x:c r="R1285" s="18" t="n">
        <x:v>0</x:v>
      </x:c>
      <x:c r="S1285" s="18" t="n">
        <x:v>634.2809872633406</x:v>
      </x:c>
      <x:c r="T1285" s="18" t="n">
        <x:v>689</x:v>
      </x:c>
      <x:c r="U1285" s="18" t="n">
        <x:v>634.2809872633406</x:v>
      </x:c>
      <x:c r="V1285" s="20" t="n">
        <x:v>8.8</x:v>
      </x:c>
      <x:c r="W1285" s="20" t="n">
        <x:v>9.9</x:v>
      </x:c>
      <x:c r="X1285" s="20" t="n">
        <x:v>3.3</x:v>
      </x:c>
      <x:c r="Y1285" t="str">
        <x:v>Basis arsip 2025/2024</x:v>
      </x:c>
      <x:c r="Z1285" t="str">
        <x:v>https://snpmb.id/utbk-snbt/daya-tampung-snbt</x:v>
      </x:c>
      <x:c r="AA1285" t="str">
        <x:v>Tidak Ada</x:v>
      </x:c>
      <x:c r="AB1285" t="str">
        <x:v>Campus=80; Ratio=61.1; Prodi=45; RelDemand=48.0; Capacity=73.3</x:v>
      </x:c>
    </x:row>
    <x:row r="1286">
      <x:c r="A1286" t="n">
        <x:v>1283</x:v>
      </x:c>
      <x:c r="B1286" t="str">
        <x:v>PTN Akademik</x:v>
      </x:c>
      <x:c r="C1286" t="str">
        <x:v>UNIVERSITAS PENDIDIKAN INDONESIA</x:v>
      </x:c>
      <x:c r="D1286" t="str">
        <x:v>PENDIDIKAN KHUSUS</x:v>
      </x:c>
      <x:c r="E1286" t="str">
        <x:v>Sarjana</x:v>
      </x:c>
      <x:c r="F1286" s="18" t="n">
        <x:v>45</x:v>
      </x:c>
      <x:c r="G1286" s="18" t="n">
        <x:v>323</x:v>
      </x:c>
      <x:c r="H1286" s="19" t="n">
        <x:v>7.177777777777778</x:v>
      </x:c>
      <x:c r="I1286" s="18" t="n">
        <x:f>ROUND(MIN(Model_Config_v3!$B$6,MAX(Q1286,R1286,S1286*Model_Config_v3!$B$4+T1286*Model_Config_v3!$B$5)),0)</x:f>
        <x:v>659</x:v>
      </x:c>
      <x:c r="J1286" s="18" t="n">
        <x:f>MIN(Model_Config_v3!$B$6,I1286+Model_Config_v3!$B$7)</x:f>
        <x:v>679</x:v>
      </x:c>
      <x:c r="K1286" s="20" t="n">
        <x:v>59</x:v>
      </x:c>
      <x:c r="L1286" t="str">
        <x:v>KETAT</x:v>
      </x:c>
      <x:c r="M1286" t="str">
        <x:v>SEDANG+</x:v>
      </x:c>
      <x:c r="N1286" t="str">
        <x:v>ELITE-3</x:v>
      </x:c>
      <x:c r="O1286" t="str">
        <x:v>CAMPURAN</x:v>
      </x:c>
      <x:c r="P1286" t="str">
        <x:v>PENDIDIKAN</x:v>
      </x:c>
      <x:c r="Q1286" s="18" t="n">
        <x:v>625</x:v>
      </x:c>
      <x:c r="R1286" s="18" t="n">
        <x:v>0</x:v>
      </x:c>
      <x:c r="S1286" s="18" t="n">
        <x:v>614.1589009411335</x:v>
      </x:c>
      <x:c r="T1286" s="18" t="n">
        <x:v>678</x:v>
      </x:c>
      <x:c r="U1286" s="18" t="n">
        <x:v>625</x:v>
      </x:c>
      <x:c r="V1286" s="20" t="n">
        <x:v>8.8</x:v>
      </x:c>
      <x:c r="W1286" s="20" t="n">
        <x:v>9.9</x:v>
      </x:c>
      <x:c r="X1286" s="20" t="n">
        <x:v>3.3</x:v>
      </x:c>
      <x:c r="Y1286" t="str">
        <x:v>Basis arsip 2025/2024</x:v>
      </x:c>
      <x:c r="Z1286" t="str">
        <x:v>https://snpmb.id/utbk-snbt/daya-tampung-snbt</x:v>
      </x:c>
      <x:c r="AA1286" t="str">
        <x:v>Tidak Ada</x:v>
      </x:c>
      <x:c r="AB1286" t="str">
        <x:v>Campus=80; Ratio=50.4; Prodi=45; RelDemand=31.5; Capacity=62.5</x:v>
      </x:c>
    </x:row>
    <x:row r="1287">
      <x:c r="A1287" t="n">
        <x:v>1284</x:v>
      </x:c>
      <x:c r="B1287" t="str">
        <x:v>PTN Akademik</x:v>
      </x:c>
      <x:c r="C1287" t="str">
        <x:v>UNIVERSITAS PENDIDIKAN INDONESIA</x:v>
      </x:c>
      <x:c r="D1287" t="str">
        <x:v>TEKNOLOGI PENDIDIKAN</x:v>
      </x:c>
      <x:c r="E1287" t="str">
        <x:v>Sarjana</x:v>
      </x:c>
      <x:c r="F1287" s="18" t="n">
        <x:v>45</x:v>
      </x:c>
      <x:c r="G1287" s="18" t="n">
        <x:v>295</x:v>
      </x:c>
      <x:c r="H1287" s="19" t="n">
        <x:v>6.555555555555555</x:v>
      </x:c>
      <x:c r="I1287" s="18" t="n">
        <x:f>ROUND(MIN(Model_Config_v3!$B$6,MAX(Q1287,R1287,S1287*Model_Config_v3!$B$4+T1287*Model_Config_v3!$B$5)),0)</x:f>
        <x:v>655</x:v>
      </x:c>
      <x:c r="J1287" s="18" t="n">
        <x:f>MIN(Model_Config_v3!$B$6,I1287+Model_Config_v3!$B$7)</x:f>
        <x:v>675</x:v>
      </x:c>
      <x:c r="K1287" s="20" t="n">
        <x:v>57.1</x:v>
      </x:c>
      <x:c r="L1287" t="str">
        <x:v>KETAT</x:v>
      </x:c>
      <x:c r="M1287" t="str">
        <x:v>SEDANG+</x:v>
      </x:c>
      <x:c r="N1287" t="str">
        <x:v>ELITE-3</x:v>
      </x:c>
      <x:c r="O1287" t="str">
        <x:v>SAINTEK</x:v>
      </x:c>
      <x:c r="P1287" t="str">
        <x:v>UMUM</x:v>
      </x:c>
      <x:c r="Q1287" s="18" t="n">
        <x:v>625</x:v>
      </x:c>
      <x:c r="R1287" s="18" t="n">
        <x:v>0</x:v>
      </x:c>
      <x:c r="S1287" s="18" t="n">
        <x:v>609.8270452423101</x:v>
      </x:c>
      <x:c r="T1287" s="18" t="n">
        <x:v>674</x:v>
      </x:c>
      <x:c r="U1287" s="18" t="n">
        <x:v>625</x:v>
      </x:c>
      <x:c r="V1287" s="20" t="n">
        <x:v>12</x:v>
      </x:c>
      <x:c r="W1287" s="20" t="n">
        <x:v>5</x:v>
      </x:c>
      <x:c r="X1287" s="20" t="n">
        <x:v>3</x:v>
      </x:c>
      <x:c r="Y1287" t="str">
        <x:v>Basis arsip 2025/2024</x:v>
      </x:c>
      <x:c r="Z1287" t="str">
        <x:v>https://snpmb.id/utbk-snbt/daya-tampung-snbt</x:v>
      </x:c>
      <x:c r="AA1287" t="str">
        <x:v>Tidak Ada</x:v>
      </x:c>
      <x:c r="AB1287" t="str">
        <x:v>Campus=80; Ratio=48.1; Prodi=40; RelDemand=28.7; Capacity=62.5</x:v>
      </x:c>
    </x:row>
    <x:row r="1288">
      <x:c r="A1288" t="n">
        <x:v>1285</x:v>
      </x:c>
      <x:c r="B1288" t="str">
        <x:v>PTN Akademik</x:v>
      </x:c>
      <x:c r="C1288" t="str">
        <x:v>UNIVERSITAS PENDIDIKAN INDONESIA</x:v>
      </x:c>
      <x:c r="D1288" t="str">
        <x:v>PSIKOLOGI</x:v>
      </x:c>
      <x:c r="E1288" t="str">
        <x:v>Sarjana</x:v>
      </x:c>
      <x:c r="F1288" s="18" t="n">
        <x:v>120</x:v>
      </x:c>
      <x:c r="G1288" s="18" t="n">
        <x:v>3057</x:v>
      </x:c>
      <x:c r="H1288" s="19" t="n">
        <x:v>25.475</x:v>
      </x:c>
      <x:c r="I1288" s="18" t="n">
        <x:f>ROUND(MIN(Model_Config_v3!$B$6,MAX(Q1288,R1288,S1288*Model_Config_v3!$B$4+T1288*Model_Config_v3!$B$5)),0)</x:f>
        <x:v>699</x:v>
      </x:c>
      <x:c r="J1288" s="18" t="n">
        <x:f>MIN(Model_Config_v3!$B$6,I1288+Model_Config_v3!$B$7)</x:f>
        <x:v>719</x:v>
      </x:c>
      <x:c r="K1288" s="20" t="n">
        <x:v>74.7</x:v>
      </x:c>
      <x:c r="L1288" t="str">
        <x:v>SANGAT KETAT</x:v>
      </x:c>
      <x:c r="M1288" t="str">
        <x:v>SEDANG+</x:v>
      </x:c>
      <x:c r="N1288" t="str">
        <x:v>ELITE-3</x:v>
      </x:c>
      <x:c r="O1288" t="str">
        <x:v>SOSHUM</x:v>
      </x:c>
      <x:c r="P1288" t="str">
        <x:v>PSIKOLOGI</x:v>
      </x:c>
      <x:c r="Q1288" s="18" t="n">
        <x:v>625</x:v>
      </x:c>
      <x:c r="R1288" s="18" t="n">
        <x:v>670</x:v>
      </x:c>
      <x:c r="S1288" s="18" t="n">
        <x:v>674.672561194631</x:v>
      </x:c>
      <x:c r="T1288" s="18" t="n">
        <x:v>709</x:v>
      </x:c>
      <x:c r="U1288" s="18" t="n">
        <x:v>699.672561194631</x:v>
      </x:c>
      <x:c r="V1288" s="20" t="n">
        <x:v>4.4</x:v>
      </x:c>
      <x:c r="W1288" s="20" t="n">
        <x:v>14.3</x:v>
      </x:c>
      <x:c r="X1288" s="20" t="n">
        <x:v>3.3</x:v>
      </x:c>
      <x:c r="Y1288" t="str">
        <x:v>Basis arsip 2025/2024</x:v>
      </x:c>
      <x:c r="Z1288" t="str">
        <x:v>https://snpmb.id/utbk-snbt/daya-tampung-snbt</x:v>
      </x:c>
      <x:c r="AA1288" t="str">
        <x:v>Tidak Ada</x:v>
      </x:c>
      <x:c r="AB1288" t="str">
        <x:v>Campus=80; Ratio=82.8; Prodi=80; RelDemand=100.0; Capacity=0.0</x:v>
      </x:c>
    </x:row>
    <x:row r="1289">
      <x:c r="A1289" t="n">
        <x:v>1286</x:v>
      </x:c>
      <x:c r="B1289" t="str">
        <x:v>PTN Akademik</x:v>
      </x:c>
      <x:c r="C1289" t="str">
        <x:v>UNIVERSITAS PENDIDIKAN INDONESIA</x:v>
      </x:c>
      <x:c r="D1289" t="str">
        <x:v>PKN</x:v>
      </x:c>
      <x:c r="E1289" t="str">
        <x:v>Sarjana</x:v>
      </x:c>
      <x:c r="F1289" s="18" t="n">
        <x:v>40</x:v>
      </x:c>
      <x:c r="G1289" s="18" t="n">
        <x:v>308</x:v>
      </x:c>
      <x:c r="H1289" s="19" t="n">
        <x:v>7.7</x:v>
      </x:c>
      <x:c r="I1289" s="18" t="n">
        <x:f>ROUND(MIN(Model_Config_v3!$B$6,MAX(Q1289,R1289,S1289*Model_Config_v3!$B$4+T1289*Model_Config_v3!$B$5)),0)</x:f>
        <x:v>660</x:v>
      </x:c>
      <x:c r="J1289" s="18" t="n">
        <x:f>MIN(Model_Config_v3!$B$6,I1289+Model_Config_v3!$B$7)</x:f>
        <x:v>680</x:v>
      </x:c>
      <x:c r="K1289" s="20" t="n">
        <x:v>59.1</x:v>
      </x:c>
      <x:c r="L1289" t="str">
        <x:v>KETAT</x:v>
      </x:c>
      <x:c r="M1289" t="str">
        <x:v>SEDANG+</x:v>
      </x:c>
      <x:c r="N1289" t="str">
        <x:v>ELITE-3</x:v>
      </x:c>
      <x:c r="O1289" t="str">
        <x:v>CAMPURAN</x:v>
      </x:c>
      <x:c r="P1289" t="str">
        <x:v>UMUM</x:v>
      </x:c>
      <x:c r="Q1289" s="18" t="n">
        <x:v>625</x:v>
      </x:c>
      <x:c r="R1289" s="18" t="n">
        <x:v>0</x:v>
      </x:c>
      <x:c r="S1289" s="18" t="n">
        <x:v>617.5139797689731</x:v>
      </x:c>
      <x:c r="T1289" s="18" t="n">
        <x:v>678</x:v>
      </x:c>
      <x:c r="U1289" s="18" t="n">
        <x:v>625</x:v>
      </x:c>
      <x:c r="V1289" s="20" t="n">
        <x:v>8.8</x:v>
      </x:c>
      <x:c r="W1289" s="20" t="n">
        <x:v>9.9</x:v>
      </x:c>
      <x:c r="X1289" s="20" t="n">
        <x:v>3.3</x:v>
      </x:c>
      <x:c r="Y1289" t="str">
        <x:v>Basis arsip 2025/2024</x:v>
      </x:c>
      <x:c r="Z1289" t="str">
        <x:v>https://snpmb.id/utbk-snbt/daya-tampung-snbt</x:v>
      </x:c>
      <x:c r="AA1289" t="str">
        <x:v>Tidak Ada</x:v>
      </x:c>
      <x:c r="AB1289" t="str">
        <x:v>Campus=80; Ratio=52.2; Prodi=40; RelDemand=33.8; Capacity=66.7</x:v>
      </x:c>
    </x:row>
    <x:row r="1290">
      <x:c r="A1290" t="n">
        <x:v>1287</x:v>
      </x:c>
      <x:c r="B1290" t="str">
        <x:v>PTN Akademik</x:v>
      </x:c>
      <x:c r="C1290" t="str">
        <x:v>UNIVERSITAS PENDIDIKAN INDONESIA</x:v>
      </x:c>
      <x:c r="D1290" t="str">
        <x:v>PENDIDIKAN SEJARAH</x:v>
      </x:c>
      <x:c r="E1290" t="str">
        <x:v>Sarjana</x:v>
      </x:c>
      <x:c r="F1290" s="18" t="n">
        <x:v>40</x:v>
      </x:c>
      <x:c r="G1290" s="18" t="n">
        <x:v>384</x:v>
      </x:c>
      <x:c r="H1290" s="19" t="n">
        <x:v>9.6</x:v>
      </x:c>
      <x:c r="I1290" s="18" t="n">
        <x:f>ROUND(MIN(Model_Config_v3!$B$6,MAX(Q1290,R1290,S1290*Model_Config_v3!$B$4+T1290*Model_Config_v3!$B$5)),0)</x:f>
        <x:v>668</x:v>
      </x:c>
      <x:c r="J1290" s="18" t="n">
        <x:f>MIN(Model_Config_v3!$B$6,I1290+Model_Config_v3!$B$7)</x:f>
        <x:v>688</x:v>
      </x:c>
      <x:c r="K1290" s="20" t="n">
        <x:v>62.3</x:v>
      </x:c>
      <x:c r="L1290" t="str">
        <x:v>KETAT</x:v>
      </x:c>
      <x:c r="M1290" t="str">
        <x:v>SEDANG+</x:v>
      </x:c>
      <x:c r="N1290" t="str">
        <x:v>ELITE-3</x:v>
      </x:c>
      <x:c r="O1290" t="str">
        <x:v>SOSHUM</x:v>
      </x:c>
      <x:c r="P1290" t="str">
        <x:v>PENDIDIKAN</x:v>
      </x:c>
      <x:c r="Q1290" s="18" t="n">
        <x:v>625</x:v>
      </x:c>
      <x:c r="R1290" s="18" t="n">
        <x:v>0</x:v>
      </x:c>
      <x:c r="S1290" s="18" t="n">
        <x:v>628.0498356343526</x:v>
      </x:c>
      <x:c r="T1290" s="18" t="n">
        <x:v>685</x:v>
      </x:c>
      <x:c r="U1290" s="18" t="n">
        <x:v>628.0498356343526</x:v>
      </x:c>
      <x:c r="V1290" s="20" t="n">
        <x:v>4.4</x:v>
      </x:c>
      <x:c r="W1290" s="20" t="n">
        <x:v>14.3</x:v>
      </x:c>
      <x:c r="X1290" s="20" t="n">
        <x:v>3.3</x:v>
      </x:c>
      <x:c r="Y1290" t="str">
        <x:v>Basis arsip 2025/2024</x:v>
      </x:c>
      <x:c r="Z1290" t="str">
        <x:v>https://snpmb.id/utbk-snbt/daya-tampung-snbt</x:v>
      </x:c>
      <x:c r="AA1290" t="str">
        <x:v>Tidak Ada</x:v>
      </x:c>
      <x:c r="AB1290" t="str">
        <x:v>Campus=80; Ratio=57.8; Prodi=45; RelDemand=42.1; Capacity=66.7</x:v>
      </x:c>
    </x:row>
    <x:row r="1291">
      <x:c r="A1291" t="n">
        <x:v>1288</x:v>
      </x:c>
      <x:c r="B1291" t="str">
        <x:v>PTN Akademik</x:v>
      </x:c>
      <x:c r="C1291" t="str">
        <x:v>UNIVERSITAS PENDIDIKAN INDONESIA</x:v>
      </x:c>
      <x:c r="D1291" t="str">
        <x:v>PENDIDIKAN GEOGRAFI</x:v>
      </x:c>
      <x:c r="E1291" t="str">
        <x:v>Sarjana</x:v>
      </x:c>
      <x:c r="F1291" s="18" t="n">
        <x:v>30</x:v>
      </x:c>
      <x:c r="G1291" s="18" t="n">
        <x:v>331</x:v>
      </x:c>
      <x:c r="H1291" s="19" t="n">
        <x:v>11.033333333333333</x:v>
      </x:c>
      <x:c r="I1291" s="18" t="n">
        <x:f>ROUND(MIN(Model_Config_v3!$B$6,MAX(Q1291,R1291,S1291*Model_Config_v3!$B$4+T1291*Model_Config_v3!$B$5)),0)</x:f>
        <x:v>673</x:v>
      </x:c>
      <x:c r="J1291" s="18" t="n">
        <x:f>MIN(Model_Config_v3!$B$6,I1291+Model_Config_v3!$B$7)</x:f>
        <x:v>693</x:v>
      </x:c>
      <x:c r="K1291" s="20" t="n">
        <x:v>64.7</x:v>
      </x:c>
      <x:c r="L1291" t="str">
        <x:v>KETAT</x:v>
      </x:c>
      <x:c r="M1291" t="str">
        <x:v>SEDANG+</x:v>
      </x:c>
      <x:c r="N1291" t="str">
        <x:v>ELITE-3</x:v>
      </x:c>
      <x:c r="O1291" t="str">
        <x:v>CAMPURAN</x:v>
      </x:c>
      <x:c r="P1291" t="str">
        <x:v>PENDIDIKAN</x:v>
      </x:c>
      <x:c r="Q1291" s="18" t="n">
        <x:v>625</x:v>
      </x:c>
      <x:c r="R1291" s="18" t="n">
        <x:v>0</x:v>
      </x:c>
      <x:c r="S1291" s="18" t="n">
        <x:v>634.6977412961662</x:v>
      </x:c>
      <x:c r="T1291" s="18" t="n">
        <x:v>689</x:v>
      </x:c>
      <x:c r="U1291" s="18" t="n">
        <x:v>634.6977412961662</x:v>
      </x:c>
      <x:c r="V1291" s="20" t="n">
        <x:v>8.8</x:v>
      </x:c>
      <x:c r="W1291" s="20" t="n">
        <x:v>9.9</x:v>
      </x:c>
      <x:c r="X1291" s="20" t="n">
        <x:v>3.3</x:v>
      </x:c>
      <x:c r="Y1291" t="str">
        <x:v>Basis arsip 2025/2024</x:v>
      </x:c>
      <x:c r="Z1291" t="str">
        <x:v>https://snpmb.id/utbk-snbt/daya-tampung-snbt</x:v>
      </x:c>
      <x:c r="AA1291" t="str">
        <x:v>Tidak Ada</x:v>
      </x:c>
      <x:c r="AB1291" t="str">
        <x:v>Campus=80; Ratio=61.4; Prodi=45; RelDemand=48.4; Capacity=75.0</x:v>
      </x:c>
    </x:row>
    <x:row r="1292">
      <x:c r="A1292" t="n">
        <x:v>1289</x:v>
      </x:c>
      <x:c r="B1292" t="str">
        <x:v>PTN Akademik</x:v>
      </x:c>
      <x:c r="C1292" t="str">
        <x:v>UNIVERSITAS PENDIDIKAN INDONESIA</x:v>
      </x:c>
      <x:c r="D1292" t="str">
        <x:v>ILMU PENDIDIKAN AGAMA ISLAM</x:v>
      </x:c>
      <x:c r="E1292" t="str">
        <x:v>Sarjana</x:v>
      </x:c>
      <x:c r="F1292" s="18" t="n">
        <x:v>40</x:v>
      </x:c>
      <x:c r="G1292" s="18" t="n">
        <x:v>801</x:v>
      </x:c>
      <x:c r="H1292" s="19" t="n">
        <x:v>20.025</x:v>
      </x:c>
      <x:c r="I1292" s="18" t="n">
        <x:f>ROUND(MIN(Model_Config_v3!$B$6,MAX(Q1292,R1292,S1292*Model_Config_v3!$B$4+T1292*Model_Config_v3!$B$5)),0)</x:f>
        <x:v>691</x:v>
      </x:c>
      <x:c r="J1292" s="18" t="n">
        <x:f>MIN(Model_Config_v3!$B$6,I1292+Model_Config_v3!$B$7)</x:f>
        <x:v>711</x:v>
      </x:c>
      <x:c r="K1292" s="20" t="n">
        <x:v>71.6</x:v>
      </x:c>
      <x:c r="L1292" t="str">
        <x:v>SANGAT KETAT</x:v>
      </x:c>
      <x:c r="M1292" t="str">
        <x:v>SEDANG+</x:v>
      </x:c>
      <x:c r="N1292" t="str">
        <x:v>ELITE-3</x:v>
      </x:c>
      <x:c r="O1292" t="str">
        <x:v>CAMPURAN</x:v>
      </x:c>
      <x:c r="P1292" t="str">
        <x:v>PENDIDIKAN</x:v>
      </x:c>
      <x:c r="Q1292" s="18" t="n">
        <x:v>625</x:v>
      </x:c>
      <x:c r="R1292" s="18" t="n">
        <x:v>0</x:v>
      </x:c>
      <x:c r="S1292" s="18" t="n">
        <x:v>663.1729777231902</x:v>
      </x:c>
      <x:c r="T1292" s="18" t="n">
        <x:v>703</x:v>
      </x:c>
      <x:c r="U1292" s="18" t="n">
        <x:v>663.1729777231902</x:v>
      </x:c>
      <x:c r="V1292" s="20" t="n">
        <x:v>8.8</x:v>
      </x:c>
      <x:c r="W1292" s="20" t="n">
        <x:v>9.9</x:v>
      </x:c>
      <x:c r="X1292" s="20" t="n">
        <x:v>3.3</x:v>
      </x:c>
      <x:c r="Y1292" t="str">
        <x:v>Basis arsip 2025/2024</x:v>
      </x:c>
      <x:c r="Z1292" t="str">
        <x:v>https://snpmb.id/utbk-snbt/daya-tampung-snbt</x:v>
      </x:c>
      <x:c r="AA1292" t="str">
        <x:v>Tidak Ada</x:v>
      </x:c>
      <x:c r="AB1292" t="str">
        <x:v>Campus=80; Ratio=76.6; Prodi=45; RelDemand=87.8; Capacity=66.7</x:v>
      </x:c>
    </x:row>
    <x:row r="1293">
      <x:c r="A1293" t="n">
        <x:v>1290</x:v>
      </x:c>
      <x:c r="B1293" t="str">
        <x:v>PTN Akademik</x:v>
      </x:c>
      <x:c r="C1293" t="str">
        <x:v>UNIVERSITAS PENDIDIKAN INDONESIA</x:v>
      </x:c>
      <x:c r="D1293" t="str">
        <x:v>MANAJEMEN RESORT DAN LEISURE</x:v>
      </x:c>
      <x:c r="E1293" t="str">
        <x:v>Sarjana</x:v>
      </x:c>
      <x:c r="F1293" s="18" t="n">
        <x:v>50</x:v>
      </x:c>
      <x:c r="G1293" s="18" t="n">
        <x:v>713</x:v>
      </x:c>
      <x:c r="H1293" s="19" t="n">
        <x:v>14.26</x:v>
      </x:c>
      <x:c r="I1293" s="18" t="n">
        <x:f>ROUND(MIN(Model_Config_v3!$B$6,MAX(Q1293,R1293,S1293*Model_Config_v3!$B$4+T1293*Model_Config_v3!$B$5)),0)</x:f>
        <x:v>684</x:v>
      </x:c>
      <x:c r="J1293" s="18" t="n">
        <x:f>MIN(Model_Config_v3!$B$6,I1293+Model_Config_v3!$B$7)</x:f>
        <x:v>704</x:v>
      </x:c>
      <x:c r="K1293" s="20" t="n">
        <x:v>70.1</x:v>
      </x:c>
      <x:c r="L1293" t="str">
        <x:v>SANGAT KETAT</x:v>
      </x:c>
      <x:c r="M1293" t="str">
        <x:v>SEDANG+</x:v>
      </x:c>
      <x:c r="N1293" t="str">
        <x:v>ELITE-3</x:v>
      </x:c>
      <x:c r="O1293" t="str">
        <x:v>SOSHUM</x:v>
      </x:c>
      <x:c r="P1293" t="str">
        <x:v>BISNIS/EKONOMI/AKUNTANSI</x:v>
      </x:c>
      <x:c r="Q1293" s="18" t="n">
        <x:v>625</x:v>
      </x:c>
      <x:c r="R1293" s="18" t="n">
        <x:v>0</x:v>
      </x:c>
      <x:c r="S1293" s="18" t="n">
        <x:v>646.9531478067431</x:v>
      </x:c>
      <x:c r="T1293" s="18" t="n">
        <x:v>700</x:v>
      </x:c>
      <x:c r="U1293" s="18" t="n">
        <x:v>661.9531478067431</x:v>
      </x:c>
      <x:c r="V1293" s="20" t="n">
        <x:v>4.4</x:v>
      </x:c>
      <x:c r="W1293" s="20" t="n">
        <x:v>14.3</x:v>
      </x:c>
      <x:c r="X1293" s="20" t="n">
        <x:v>3.3</x:v>
      </x:c>
      <x:c r="Y1293" t="str">
        <x:v>Basis arsip 2025/2024</x:v>
      </x:c>
      <x:c r="Z1293" t="str">
        <x:v>https://snpmb.id/utbk-snbt/daya-tampung-snbt</x:v>
      </x:c>
      <x:c r="AA1293" t="str">
        <x:v>Tidak Ada</x:v>
      </x:c>
      <x:c r="AB1293" t="str">
        <x:v>Campus=80; Ratio=67.9; Prodi=65; RelDemand=62.5; Capacity=58.3</x:v>
      </x:c>
    </x:row>
    <x:row r="1294">
      <x:c r="A1294" t="n">
        <x:v>1291</x:v>
      </x:c>
      <x:c r="B1294" t="str">
        <x:v>PTN Akademik</x:v>
      </x:c>
      <x:c r="C1294" t="str">
        <x:v>UNIVERSITAS PENDIDIKAN INDONESIA</x:v>
      </x:c>
      <x:c r="D1294" t="str">
        <x:v>MANAJEMEN PEMASARAN PARIWISATA</x:v>
      </x:c>
      <x:c r="E1294" t="str">
        <x:v>Sarjana</x:v>
      </x:c>
      <x:c r="F1294" s="18" t="n">
        <x:v>28</x:v>
      </x:c>
      <x:c r="G1294" s="18" t="n">
        <x:v>853</x:v>
      </x:c>
      <x:c r="H1294" s="19" t="n">
        <x:v>30.464285714285715</x:v>
      </x:c>
      <x:c r="I1294" s="18" t="n">
        <x:f>ROUND(MIN(Model_Config_v3!$B$6,MAX(Q1294,R1294,S1294*Model_Config_v3!$B$4+T1294*Model_Config_v3!$B$5)),0)</x:f>
        <x:v>710</x:v>
      </x:c>
      <x:c r="J1294" s="18" t="n">
        <x:f>MIN(Model_Config_v3!$B$6,I1294+Model_Config_v3!$B$7)</x:f>
        <x:v>730</x:v>
      </x:c>
      <x:c r="K1294" s="20" t="n">
        <x:v>80.5</x:v>
      </x:c>
      <x:c r="L1294" t="str">
        <x:v>ELITE</x:v>
      </x:c>
      <x:c r="M1294" t="str">
        <x:v>SEDANG+</x:v>
      </x:c>
      <x:c r="N1294" t="str">
        <x:v>ELITE-3</x:v>
      </x:c>
      <x:c r="O1294" t="str">
        <x:v>SOSHUM</x:v>
      </x:c>
      <x:c r="P1294" t="str">
        <x:v>BISNIS/EKONOMI/AKUNTANSI</x:v>
      </x:c>
      <x:c r="Q1294" s="18" t="n">
        <x:v>625</x:v>
      </x:c>
      <x:c r="R1294" s="18" t="n">
        <x:v>0</x:v>
      </x:c>
      <x:c r="S1294" s="18" t="n">
        <x:v>683.2170099807834</x:v>
      </x:c>
      <x:c r="T1294" s="18" t="n">
        <x:v>721</x:v>
      </x:c>
      <x:c r="U1294" s="18" t="n">
        <x:v>698.2170099807834</x:v>
      </x:c>
      <x:c r="V1294" s="20" t="n">
        <x:v>4.4</x:v>
      </x:c>
      <x:c r="W1294" s="20" t="n">
        <x:v>14.3</x:v>
      </x:c>
      <x:c r="X1294" s="20" t="n">
        <x:v>3.3</x:v>
      </x:c>
      <x:c r="Y1294" t="str">
        <x:v>Basis arsip 2025/2024</x:v>
      </x:c>
      <x:c r="Z1294" t="str">
        <x:v>https://snpmb.id/utbk-snbt/daya-tampung-snbt</x:v>
      </x:c>
      <x:c r="AA1294" t="str">
        <x:v>Tidak Ada</x:v>
      </x:c>
      <x:c r="AB1294" t="str">
        <x:v>Campus=80; Ratio=87.3; Prodi=65; RelDemand=100.0; Capacity=76.7</x:v>
      </x:c>
    </x:row>
    <x:row r="1295">
      <x:c r="A1295" t="n">
        <x:v>1292</x:v>
      </x:c>
      <x:c r="B1295" t="str">
        <x:v>PTN Akademik</x:v>
      </x:c>
      <x:c r="C1295" t="str">
        <x:v>UNIVERSITAS PENDIDIKAN INDONESIA</x:v>
      </x:c>
      <x:c r="D1295" t="str">
        <x:v>MANAJEMEN INDUSTRI KATERING</x:v>
      </x:c>
      <x:c r="E1295" t="str">
        <x:v>Sarjana</x:v>
      </x:c>
      <x:c r="F1295" s="18" t="n">
        <x:v>40</x:v>
      </x:c>
      <x:c r="G1295" s="18" t="n">
        <x:v>438</x:v>
      </x:c>
      <x:c r="H1295" s="19" t="n">
        <x:v>10.95</x:v>
      </x:c>
      <x:c r="I1295" s="18" t="n">
        <x:f>ROUND(MIN(Model_Config_v3!$B$6,MAX(Q1295,R1295,S1295*Model_Config_v3!$B$4+T1295*Model_Config_v3!$B$5)),0)</x:f>
        <x:v>678</x:v>
      </x:c>
      <x:c r="J1295" s="18" t="n">
        <x:f>MIN(Model_Config_v3!$B$6,I1295+Model_Config_v3!$B$7)</x:f>
        <x:v>698</x:v>
      </x:c>
      <x:c r="K1295" s="20" t="n">
        <x:v>67.8</x:v>
      </x:c>
      <x:c r="L1295" t="str">
        <x:v>SANGAT KETAT</x:v>
      </x:c>
      <x:c r="M1295" t="str">
        <x:v>SEDANG+</x:v>
      </x:c>
      <x:c r="N1295" t="str">
        <x:v>ELITE-3</x:v>
      </x:c>
      <x:c r="O1295" t="str">
        <x:v>SOSHUM</x:v>
      </x:c>
      <x:c r="P1295" t="str">
        <x:v>BISNIS/EKONOMI/AKUNTANSI</x:v>
      </x:c>
      <x:c r="Q1295" s="18" t="n">
        <x:v>625</x:v>
      </x:c>
      <x:c r="R1295" s="18" t="n">
        <x:v>0</x:v>
      </x:c>
      <x:c r="S1295" s="18" t="n">
        <x:v>634.335553109375</x:v>
      </x:c>
      <x:c r="T1295" s="18" t="n">
        <x:v>696</x:v>
      </x:c>
      <x:c r="U1295" s="18" t="n">
        <x:v>649.335553109375</x:v>
      </x:c>
      <x:c r="V1295" s="20" t="n">
        <x:v>4.4</x:v>
      </x:c>
      <x:c r="W1295" s="20" t="n">
        <x:v>14.3</x:v>
      </x:c>
      <x:c r="X1295" s="20" t="n">
        <x:v>3.3</x:v>
      </x:c>
      <x:c r="Y1295" t="str">
        <x:v>Basis arsip 2025/2024</x:v>
      </x:c>
      <x:c r="Z1295" t="str">
        <x:v>https://snpmb.id/utbk-snbt/daya-tampung-snbt</x:v>
      </x:c>
      <x:c r="AA1295" t="str">
        <x:v>Tidak Ada</x:v>
      </x:c>
      <x:c r="AB1295" t="str">
        <x:v>Campus=80; Ratio=61.2; Prodi=65; RelDemand=48.0; Capacity=66.7</x:v>
      </x:c>
    </x:row>
    <x:row r="1296">
      <x:c r="A1296" t="n">
        <x:v>1293</x:v>
      </x:c>
      <x:c r="B1296" t="str">
        <x:v>PTN Akademik</x:v>
      </x:c>
      <x:c r="C1296" t="str">
        <x:v>UNIVERSITAS PENDIDIKAN INDONESIA</x:v>
      </x:c>
      <x:c r="D1296" t="str">
        <x:v>PENDIDIKAN BHS.DAN SASTRA INDONESIA</x:v>
      </x:c>
      <x:c r="E1296" t="str">
        <x:v>Sarjana</x:v>
      </x:c>
      <x:c r="F1296" s="18" t="n">
        <x:v>54</x:v>
      </x:c>
      <x:c r="G1296" s="18" t="n">
        <x:v>515</x:v>
      </x:c>
      <x:c r="H1296" s="19" t="n">
        <x:v>9.537037037037036</x:v>
      </x:c>
      <x:c r="I1296" s="18" t="n">
        <x:f>ROUND(MIN(Model_Config_v3!$B$6,MAX(Q1296,R1296,S1296*Model_Config_v3!$B$4+T1296*Model_Config_v3!$B$5)),0)</x:f>
        <x:v>666</x:v>
      </x:c>
      <x:c r="J1296" s="18" t="n">
        <x:f>MIN(Model_Config_v3!$B$6,I1296+Model_Config_v3!$B$7)</x:f>
        <x:v>686</x:v>
      </x:c>
      <x:c r="K1296" s="20" t="n">
        <x:v>61.1</x:v>
      </x:c>
      <x:c r="L1296" t="str">
        <x:v>KETAT</x:v>
      </x:c>
      <x:c r="M1296" t="str">
        <x:v>SEDANG+</x:v>
      </x:c>
      <x:c r="N1296" t="str">
        <x:v>ELITE-3</x:v>
      </x:c>
      <x:c r="O1296" t="str">
        <x:v>SOSHUM</x:v>
      </x:c>
      <x:c r="P1296" t="str">
        <x:v>PENDIDIKAN</x:v>
      </x:c>
      <x:c r="Q1296" s="18" t="n">
        <x:v>625</x:v>
      </x:c>
      <x:c r="R1296" s="18" t="n">
        <x:v>0</x:v>
      </x:c>
      <x:c r="S1296" s="18" t="n">
        <x:v>627.7354816140045</x:v>
      </x:c>
      <x:c r="T1296" s="18" t="n">
        <x:v>682</x:v>
      </x:c>
      <x:c r="U1296" s="18" t="n">
        <x:v>627.7354816140045</x:v>
      </x:c>
      <x:c r="V1296" s="20" t="n">
        <x:v>4.4</x:v>
      </x:c>
      <x:c r="W1296" s="20" t="n">
        <x:v>14.3</x:v>
      </x:c>
      <x:c r="X1296" s="20" t="n">
        <x:v>3.3</x:v>
      </x:c>
      <x:c r="Y1296" t="str">
        <x:v>Basis arsip 2025/2024</x:v>
      </x:c>
      <x:c r="Z1296" t="str">
        <x:v>https://snpmb.id/utbk-snbt/daya-tampung-snbt</x:v>
      </x:c>
      <x:c r="AA1296" t="str">
        <x:v>Tidak Ada</x:v>
      </x:c>
      <x:c r="AB1296" t="str">
        <x:v>Campus=80; Ratio=57.6; Prodi=45; RelDemand=41.8; Capacity=55.0</x:v>
      </x:c>
    </x:row>
    <x:row r="1297">
      <x:c r="A1297" t="n">
        <x:v>1294</x:v>
      </x:c>
      <x:c r="B1297" t="str">
        <x:v>PTN Akademik</x:v>
      </x:c>
      <x:c r="C1297" t="str">
        <x:v>UNIVERSITAS PENDIDIKAN INDONESIA</x:v>
      </x:c>
      <x:c r="D1297" t="str">
        <x:v>PENDIDIKAN BAHASA SUNDA</x:v>
      </x:c>
      <x:c r="E1297" t="str">
        <x:v>Sarjana</x:v>
      </x:c>
      <x:c r="F1297" s="18" t="n">
        <x:v>50</x:v>
      </x:c>
      <x:c r="G1297" s="18" t="n">
        <x:v>299</x:v>
      </x:c>
      <x:c r="H1297" s="19" t="n">
        <x:v>5.98</x:v>
      </x:c>
      <x:c r="I1297" s="18" t="n">
        <x:f>ROUND(MIN(Model_Config_v3!$B$6,MAX(Q1297,R1297,S1297*Model_Config_v3!$B$4+T1297*Model_Config_v3!$B$5)),0)</x:f>
        <x:v>653</x:v>
      </x:c>
      <x:c r="J1297" s="18" t="n">
        <x:f>MIN(Model_Config_v3!$B$6,I1297+Model_Config_v3!$B$7)</x:f>
        <x:v>673</x:v>
      </x:c>
      <x:c r="K1297" s="20" t="n">
        <x:v>56.9</x:v>
      </x:c>
      <x:c r="L1297" t="str">
        <x:v>KETAT</x:v>
      </x:c>
      <x:c r="M1297" t="str">
        <x:v>SEDANG+</x:v>
      </x:c>
      <x:c r="N1297" t="str">
        <x:v>ELITE-3</x:v>
      </x:c>
      <x:c r="O1297" t="str">
        <x:v>SOSHUM</x:v>
      </x:c>
      <x:c r="P1297" t="str">
        <x:v>PENDIDIKAN</x:v>
      </x:c>
      <x:c r="Q1297" s="18" t="n">
        <x:v>625</x:v>
      </x:c>
      <x:c r="R1297" s="18" t="n">
        <x:v>0</x:v>
      </x:c>
      <x:c r="S1297" s="18" t="n">
        <x:v>605.4371302387252</x:v>
      </x:c>
      <x:c r="T1297" s="18" t="n">
        <x:v>674</x:v>
      </x:c>
      <x:c r="U1297" s="18" t="n">
        <x:v>625</x:v>
      </x:c>
      <x:c r="V1297" s="20" t="n">
        <x:v>4.4</x:v>
      </x:c>
      <x:c r="W1297" s="20" t="n">
        <x:v>14.3</x:v>
      </x:c>
      <x:c r="X1297" s="20" t="n">
        <x:v>3.3</x:v>
      </x:c>
      <x:c r="Y1297" t="str">
        <x:v>Basis arsip 2025/2024</x:v>
      </x:c>
      <x:c r="Z1297" t="str">
        <x:v>https://snpmb.id/utbk-snbt/daya-tampung-snbt</x:v>
      </x:c>
      <x:c r="AA1297" t="str">
        <x:v>Tidak Ada</x:v>
      </x:c>
      <x:c r="AB1297" t="str">
        <x:v>Campus=80; Ratio=45.7; Prodi=45; RelDemand=26.2; Capacity=58.3</x:v>
      </x:c>
    </x:row>
    <x:row r="1298">
      <x:c r="A1298" t="n">
        <x:v>1295</x:v>
      </x:c>
      <x:c r="B1298" t="str">
        <x:v>PTN Akademik</x:v>
      </x:c>
      <x:c r="C1298" t="str">
        <x:v>UNIVERSITAS PENDIDIKAN INDONESIA</x:v>
      </x:c>
      <x:c r="D1298" t="str">
        <x:v>PENDIDIKAN BAHASA INGGRIS</x:v>
      </x:c>
      <x:c r="E1298" t="str">
        <x:v>Sarjana</x:v>
      </x:c>
      <x:c r="F1298" s="18" t="n">
        <x:v>60</x:v>
      </x:c>
      <x:c r="G1298" s="18" t="n">
        <x:v>767</x:v>
      </x:c>
      <x:c r="H1298" s="19" t="n">
        <x:v>12.783333333333333</x:v>
      </x:c>
      <x:c r="I1298" s="18" t="n">
        <x:f>ROUND(MIN(Model_Config_v3!$B$6,MAX(Q1298,R1298,S1298*Model_Config_v3!$B$4+T1298*Model_Config_v3!$B$5)),0)</x:f>
        <x:v>674</x:v>
      </x:c>
      <x:c r="J1298" s="18" t="n">
        <x:f>MIN(Model_Config_v3!$B$6,I1298+Model_Config_v3!$B$7)</x:f>
        <x:v>694</x:v>
      </x:c>
      <x:c r="K1298" s="20" t="n">
        <x:v>63.9</x:v>
      </x:c>
      <x:c r="L1298" t="str">
        <x:v>KETAT</x:v>
      </x:c>
      <x:c r="M1298" t="str">
        <x:v>SEDANG+</x:v>
      </x:c>
      <x:c r="N1298" t="str">
        <x:v>ELITE-3</x:v>
      </x:c>
      <x:c r="O1298" t="str">
        <x:v>SOSHUM</x:v>
      </x:c>
      <x:c r="P1298" t="str">
        <x:v>PENDIDIKAN</x:v>
      </x:c>
      <x:c r="Q1298" s="18" t="n">
        <x:v>625</x:v>
      </x:c>
      <x:c r="R1298" s="18" t="n">
        <x:v>0</x:v>
      </x:c>
      <x:c r="S1298" s="18" t="n">
        <x:v>641.7308524921871</x:v>
      </x:c>
      <x:c r="T1298" s="18" t="n">
        <x:v>688</x:v>
      </x:c>
      <x:c r="U1298" s="18" t="n">
        <x:v>641.7308524921871</x:v>
      </x:c>
      <x:c r="V1298" s="20" t="n">
        <x:v>4.4</x:v>
      </x:c>
      <x:c r="W1298" s="20" t="n">
        <x:v>14.3</x:v>
      </x:c>
      <x:c r="X1298" s="20" t="n">
        <x:v>3.3</x:v>
      </x:c>
      <x:c r="Y1298" t="str">
        <x:v>Basis arsip 2025/2024</x:v>
      </x:c>
      <x:c r="Z1298" t="str">
        <x:v>https://snpmb.id/utbk-snbt/daya-tampung-snbt</x:v>
      </x:c>
      <x:c r="AA1298" t="str">
        <x:v>Tidak Ada</x:v>
      </x:c>
      <x:c r="AB1298" t="str">
        <x:v>Campus=80; Ratio=65.1; Prodi=45; RelDemand=56.1; Capacity=50.0</x:v>
      </x:c>
    </x:row>
    <x:row r="1299">
      <x:c r="A1299" t="n">
        <x:v>1296</x:v>
      </x:c>
      <x:c r="B1299" t="str">
        <x:v>PTN Akademik</x:v>
      </x:c>
      <x:c r="C1299" t="str">
        <x:v>UNIVERSITAS PENDIDIKAN INDONESIA</x:v>
      </x:c>
      <x:c r="D1299" t="str">
        <x:v>PENDIDIKAN BAHASA ARAB</x:v>
      </x:c>
      <x:c r="E1299" t="str">
        <x:v>Sarjana</x:v>
      </x:c>
      <x:c r="F1299" s="18" t="n">
        <x:v>55</x:v>
      </x:c>
      <x:c r="G1299" s="18" t="n">
        <x:v>416</x:v>
      </x:c>
      <x:c r="H1299" s="19" t="n">
        <x:v>7.5636363636363635</x:v>
      </x:c>
      <x:c r="I1299" s="18" t="n">
        <x:f>ROUND(MIN(Model_Config_v3!$B$6,MAX(Q1299,R1299,S1299*Model_Config_v3!$B$4+T1299*Model_Config_v3!$B$5)),0)</x:f>
        <x:v>659</x:v>
      </x:c>
      <x:c r="J1299" s="18" t="n">
        <x:f>MIN(Model_Config_v3!$B$6,I1299+Model_Config_v3!$B$7)</x:f>
        <x:v>679</x:v>
      </x:c>
      <x:c r="K1299" s="20" t="n">
        <x:v>58.7</x:v>
      </x:c>
      <x:c r="L1299" t="str">
        <x:v>KETAT</x:v>
      </x:c>
      <x:c r="M1299" t="str">
        <x:v>SEDANG+</x:v>
      </x:c>
      <x:c r="N1299" t="str">
        <x:v>ELITE-3</x:v>
      </x:c>
      <x:c r="O1299" t="str">
        <x:v>SOSHUM</x:v>
      </x:c>
      <x:c r="P1299" t="str">
        <x:v>PENDIDIKAN</x:v>
      </x:c>
      <x:c r="Q1299" s="18" t="n">
        <x:v>625</x:v>
      </x:c>
      <x:c r="R1299" s="18" t="n">
        <x:v>0</x:v>
      </x:c>
      <x:c r="S1299" s="18" t="n">
        <x:v>616.6603705245749</x:v>
      </x:c>
      <x:c r="T1299" s="18" t="n">
        <x:v>677</x:v>
      </x:c>
      <x:c r="U1299" s="18" t="n">
        <x:v>625</x:v>
      </x:c>
      <x:c r="V1299" s="20" t="n">
        <x:v>4.4</x:v>
      </x:c>
      <x:c r="W1299" s="20" t="n">
        <x:v>14.3</x:v>
      </x:c>
      <x:c r="X1299" s="20" t="n">
        <x:v>3.3</x:v>
      </x:c>
      <x:c r="Y1299" t="str">
        <x:v>Basis arsip 2025/2024</x:v>
      </x:c>
      <x:c r="Z1299" t="str">
        <x:v>https://snpmb.id/utbk-snbt/daya-tampung-snbt</x:v>
      </x:c>
      <x:c r="AA1299" t="str">
        <x:v>Tidak Ada</x:v>
      </x:c>
      <x:c r="AB1299" t="str">
        <x:v>Campus=80; Ratio=51.7; Prodi=45; RelDemand=33.2; Capacity=54.2</x:v>
      </x:c>
    </x:row>
    <x:row r="1300">
      <x:c r="A1300" t="n">
        <x:v>1297</x:v>
      </x:c>
      <x:c r="B1300" t="str">
        <x:v>PTN Akademik</x:v>
      </x:c>
      <x:c r="C1300" t="str">
        <x:v>UNIVERSITAS PENDIDIKAN INDONESIA</x:v>
      </x:c>
      <x:c r="D1300" t="str">
        <x:v>PENDIDIKAN BAHASA JEPANG</x:v>
      </x:c>
      <x:c r="E1300" t="str">
        <x:v>Sarjana</x:v>
      </x:c>
      <x:c r="F1300" s="18" t="n">
        <x:v>50</x:v>
      </x:c>
      <x:c r="G1300" s="18" t="n">
        <x:v>503</x:v>
      </x:c>
      <x:c r="H1300" s="19" t="n">
        <x:v>10.06</x:v>
      </x:c>
      <x:c r="I1300" s="18" t="n">
        <x:f>ROUND(MIN(Model_Config_v3!$B$6,MAX(Q1300,R1300,S1300*Model_Config_v3!$B$4+T1300*Model_Config_v3!$B$5)),0)</x:f>
        <x:v>668</x:v>
      </x:c>
      <x:c r="J1300" s="18" t="n">
        <x:f>MIN(Model_Config_v3!$B$6,I1300+Model_Config_v3!$B$7)</x:f>
        <x:v>688</x:v>
      </x:c>
      <x:c r="K1300" s="20" t="n">
        <x:v>62</x:v>
      </x:c>
      <x:c r="L1300" t="str">
        <x:v>KETAT</x:v>
      </x:c>
      <x:c r="M1300" t="str">
        <x:v>SEDANG+</x:v>
      </x:c>
      <x:c r="N1300" t="str">
        <x:v>ELITE-3</x:v>
      </x:c>
      <x:c r="O1300" t="str">
        <x:v>SOSHUM</x:v>
      </x:c>
      <x:c r="P1300" t="str">
        <x:v>PENDIDIKAN</x:v>
      </x:c>
      <x:c r="Q1300" s="18" t="n">
        <x:v>625</x:v>
      </x:c>
      <x:c r="R1300" s="18" t="n">
        <x:v>0</x:v>
      </x:c>
      <x:c r="S1300" s="18" t="n">
        <x:v>630.2857778791899</x:v>
      </x:c>
      <x:c r="T1300" s="18" t="n">
        <x:v>684</x:v>
      </x:c>
      <x:c r="U1300" s="18" t="n">
        <x:v>630.2857778791899</x:v>
      </x:c>
      <x:c r="V1300" s="20" t="n">
        <x:v>4.4</x:v>
      </x:c>
      <x:c r="W1300" s="20" t="n">
        <x:v>14.3</x:v>
      </x:c>
      <x:c r="X1300" s="20" t="n">
        <x:v>3.3</x:v>
      </x:c>
      <x:c r="Y1300" t="str">
        <x:v>Basis arsip 2025/2024</x:v>
      </x:c>
      <x:c r="Z1300" t="str">
        <x:v>https://snpmb.id/utbk-snbt/daya-tampung-snbt</x:v>
      </x:c>
      <x:c r="AA1300" t="str">
        <x:v>Tidak Ada</x:v>
      </x:c>
      <x:c r="AB1300" t="str">
        <x:v>Campus=80; Ratio=59.0; Prodi=45; RelDemand=44.1; Capacity=58.3</x:v>
      </x:c>
    </x:row>
    <x:row r="1301">
      <x:c r="A1301" t="n">
        <x:v>1298</x:v>
      </x:c>
      <x:c r="B1301" t="str">
        <x:v>PTN Akademik</x:v>
      </x:c>
      <x:c r="C1301" t="str">
        <x:v>UNIVERSITAS PENDIDIKAN INDONESIA</x:v>
      </x:c>
      <x:c r="D1301" t="str">
        <x:v>PENDIDIKAN BAHASA JERMAN</x:v>
      </x:c>
      <x:c r="E1301" t="str">
        <x:v>Sarjana</x:v>
      </x:c>
      <x:c r="F1301" s="18" t="n">
        <x:v>32</x:v>
      </x:c>
      <x:c r="G1301" s="18" t="n">
        <x:v>145</x:v>
      </x:c>
      <x:c r="H1301" s="19" t="n">
        <x:v>4.53125</x:v>
      </x:c>
      <x:c r="I1301" s="18" t="n">
        <x:f>ROUND(MIN(Model_Config_v3!$B$6,MAX(Q1301,R1301,S1301*Model_Config_v3!$B$4+T1301*Model_Config_v3!$B$5)),0)</x:f>
        <x:v>648</x:v>
      </x:c>
      <x:c r="J1301" s="18" t="n">
        <x:f>MIN(Model_Config_v3!$B$6,I1301+Model_Config_v3!$B$7)</x:f>
        <x:v>668</x:v>
      </x:c>
      <x:c r="K1301" s="20" t="n">
        <x:v>56</x:v>
      </x:c>
      <x:c r="L1301" t="str">
        <x:v>KETAT</x:v>
      </x:c>
      <x:c r="M1301" t="str">
        <x:v>SEDANG+</x:v>
      </x:c>
      <x:c r="N1301" t="str">
        <x:v>ELITE-3</x:v>
      </x:c>
      <x:c r="O1301" t="str">
        <x:v>SOSHUM</x:v>
      </x:c>
      <x:c r="P1301" t="str">
        <x:v>PENDIDIKAN</x:v>
      </x:c>
      <x:c r="Q1301" s="18" t="n">
        <x:v>625</x:v>
      </x:c>
      <x:c r="R1301" s="18" t="n">
        <x:v>0</x:v>
      </x:c>
      <x:c r="S1301" s="18" t="n">
        <x:v>592.1839826306576</x:v>
      </x:c>
      <x:c r="T1301" s="18" t="n">
        <x:v>672</x:v>
      </x:c>
      <x:c r="U1301" s="18" t="n">
        <x:v>625</x:v>
      </x:c>
      <x:c r="V1301" s="20" t="n">
        <x:v>4.4</x:v>
      </x:c>
      <x:c r="W1301" s="20" t="n">
        <x:v>14.3</x:v>
      </x:c>
      <x:c r="X1301" s="20" t="n">
        <x:v>3.3</x:v>
      </x:c>
      <x:c r="Y1301" t="str">
        <x:v>Basis arsip 2025/2024</x:v>
      </x:c>
      <x:c r="Z1301" t="str">
        <x:v>https://snpmb.id/utbk-snbt/daya-tampung-snbt</x:v>
      </x:c>
      <x:c r="AA1301" t="str">
        <x:v>Tidak Ada</x:v>
      </x:c>
      <x:c r="AB1301" t="str">
        <x:v>Campus=80; Ratio=38.6; Prodi=45; RelDemand=19.9; Capacity=73.3</x:v>
      </x:c>
    </x:row>
    <x:row r="1302">
      <x:c r="A1302" t="n">
        <x:v>1299</x:v>
      </x:c>
      <x:c r="B1302" t="str">
        <x:v>PTN Akademik</x:v>
      </x:c>
      <x:c r="C1302" t="str">
        <x:v>UNIVERSITAS PENDIDIKAN INDONESIA</x:v>
      </x:c>
      <x:c r="D1302" t="str">
        <x:v>PENDIDIKAN BAHASA PERANCIS</x:v>
      </x:c>
      <x:c r="E1302" t="str">
        <x:v>Sarjana</x:v>
      </x:c>
      <x:c r="F1302" s="18" t="n">
        <x:v>50</x:v>
      </x:c>
      <x:c r="G1302" s="18" t="n">
        <x:v>138</x:v>
      </x:c>
      <x:c r="H1302" s="19" t="n">
        <x:v>2.76</x:v>
      </x:c>
      <x:c r="I1302" s="18" t="n">
        <x:f>ROUND(MIN(Model_Config_v3!$B$6,MAX(Q1302,R1302,S1302*Model_Config_v3!$B$4+T1302*Model_Config_v3!$B$5)),0)</x:f>
        <x:v>633</x:v>
      </x:c>
      <x:c r="J1302" s="18" t="n">
        <x:f>MIN(Model_Config_v3!$B$6,I1302+Model_Config_v3!$B$7)</x:f>
        <x:v>653</x:v>
      </x:c>
      <x:c r="K1302" s="20" t="n">
        <x:v>50.5</x:v>
      </x:c>
      <x:c r="L1302" t="str">
        <x:v>MENENGAH</x:v>
      </x:c>
      <x:c r="M1302" t="str">
        <x:v>SEDANG+</x:v>
      </x:c>
      <x:c r="N1302" t="str">
        <x:v>ELITE-3</x:v>
      </x:c>
      <x:c r="O1302" t="str">
        <x:v>SOSHUM</x:v>
      </x:c>
      <x:c r="P1302" t="str">
        <x:v>PENDIDIKAN</x:v>
      </x:c>
      <x:c r="Q1302" s="18" t="n">
        <x:v>625</x:v>
      </x:c>
      <x:c r="R1302" s="18" t="n">
        <x:v>0</x:v>
      </x:c>
      <x:c r="S1302" s="18" t="n">
        <x:v>568.4999990271739</x:v>
      </x:c>
      <x:c r="T1302" s="18" t="n">
        <x:v>661</x:v>
      </x:c>
      <x:c r="U1302" s="18" t="n">
        <x:v>625</x:v>
      </x:c>
      <x:c r="V1302" s="20" t="n">
        <x:v>4.4</x:v>
      </x:c>
      <x:c r="W1302" s="20" t="n">
        <x:v>14.3</x:v>
      </x:c>
      <x:c r="X1302" s="20" t="n">
        <x:v>3.3</x:v>
      </x:c>
      <x:c r="Y1302" t="str">
        <x:v>Basis arsip 2025/2024</x:v>
      </x:c>
      <x:c r="Z1302" t="str">
        <x:v>https://snpmb.id/utbk-snbt/daya-tampung-snbt</x:v>
      </x:c>
      <x:c r="AA1302" t="str">
        <x:v>Tidak Ada</x:v>
      </x:c>
      <x:c r="AB1302" t="str">
        <x:v>Campus=80; Ratio=26.0; Prodi=45; RelDemand=12.1; Capacity=58.3</x:v>
      </x:c>
    </x:row>
    <x:row r="1303">
      <x:c r="A1303" t="n">
        <x:v>1300</x:v>
      </x:c>
      <x:c r="B1303" t="str">
        <x:v>PTN Akademik</x:v>
      </x:c>
      <x:c r="C1303" t="str">
        <x:v>UNIVERSITAS PENDIDIKAN INDONESIA</x:v>
      </x:c>
      <x:c r="D1303" t="str">
        <x:v>PENDIDIKAN SENI RUPA DAN KERAJINAN</x:v>
      </x:c>
      <x:c r="E1303" t="str">
        <x:v>Sarjana</x:v>
      </x:c>
      <x:c r="F1303" s="18" t="n">
        <x:v>55</x:v>
      </x:c>
      <x:c r="G1303" s="18" t="n">
        <x:v>150</x:v>
      </x:c>
      <x:c r="H1303" s="19" t="n">
        <x:v>2.727272727272727</x:v>
      </x:c>
      <x:c r="I1303" s="18" t="n">
        <x:f>ROUND(MIN(Model_Config_v3!$B$6,MAX(Q1303,R1303,S1303*Model_Config_v3!$B$4+T1303*Model_Config_v3!$B$5)),0)</x:f>
        <x:v>632</x:v>
      </x:c>
      <x:c r="J1303" s="18" t="n">
        <x:f>MIN(Model_Config_v3!$B$6,I1303+Model_Config_v3!$B$7)</x:f>
        <x:v>652</x:v>
      </x:c>
      <x:c r="K1303" s="20" t="n">
        <x:v>50</x:v>
      </x:c>
      <x:c r="L1303" t="str">
        <x:v>MENENGAH</x:v>
      </x:c>
      <x:c r="M1303" t="str">
        <x:v>PORTOFOLIO</x:v>
      </x:c>
      <x:c r="N1303" t="str">
        <x:v>ELITE-3</x:v>
      </x:c>
      <x:c r="O1303" t="str">
        <x:v>SENI/OLAHRAGA</x:v>
      </x:c>
      <x:c r="P1303" t="str">
        <x:v>SENI/OLAHRAGA</x:v>
      </x:c>
      <x:c r="Q1303" s="18" t="n">
        <x:v>625</x:v>
      </x:c>
      <x:c r="R1303" s="18" t="n">
        <x:v>0</x:v>
      </x:c>
      <x:c r="S1303" s="18" t="n">
        <x:v>567.9301426517582</x:v>
      </x:c>
      <x:c r="T1303" s="18" t="n">
        <x:v>660</x:v>
      </x:c>
      <x:c r="U1303" s="18" t="n">
        <x:v>625</x:v>
      </x:c>
      <x:c r="V1303" s="20" t="n">
        <x:v>4.4</x:v>
      </x:c>
      <x:c r="W1303" s="20" t="n">
        <x:v>9.9</x:v>
      </x:c>
      <x:c r="X1303" s="20" t="n">
        <x:v>7.7</x:v>
      </x:c>
      <x:c r="Y1303" t="str">
        <x:v>Basis arsip 2025/2024</x:v>
      </x:c>
      <x:c r="Z1303" t="str">
        <x:v>https://snpmb.id/utbk-snbt/daya-tampung-snbt</x:v>
      </x:c>
      <x:c r="AA1303" t="str">
        <x:v>Seni Rupa, Desain, dan Kriya</x:v>
      </x:c>
      <x:c r="AB1303" t="str">
        <x:v>Campus=80; Ratio=25.6; Prodi=45; RelDemand=12.0; Capacity=54.2</x:v>
      </x:c>
    </x:row>
    <x:row r="1304">
      <x:c r="A1304" t="n">
        <x:v>1301</x:v>
      </x:c>
      <x:c r="B1304" t="str">
        <x:v>PTN Akademik</x:v>
      </x:c>
      <x:c r="C1304" t="str">
        <x:v>UNIVERSITAS PENDIDIKAN INDONESIA</x:v>
      </x:c>
      <x:c r="D1304" t="str">
        <x:v>PENDIDIKAN SENI TARI</x:v>
      </x:c>
      <x:c r="E1304" t="str">
        <x:v>Sarjana</x:v>
      </x:c>
      <x:c r="F1304" s="18" t="n">
        <x:v>40</x:v>
      </x:c>
      <x:c r="G1304" s="18" t="n">
        <x:v>145</x:v>
      </x:c>
      <x:c r="H1304" s="19" t="n">
        <x:v>3.625</x:v>
      </x:c>
      <x:c r="I1304" s="18" t="n">
        <x:f>ROUND(MIN(Model_Config_v3!$B$6,MAX(Q1304,R1304,S1304*Model_Config_v3!$B$4+T1304*Model_Config_v3!$B$5)),0)</x:f>
        <x:v>641</x:v>
      </x:c>
      <x:c r="J1304" s="18" t="n">
        <x:f>MIN(Model_Config_v3!$B$6,I1304+Model_Config_v3!$B$7)</x:f>
        <x:v>661</x:v>
      </x:c>
      <x:c r="K1304" s="20" t="n">
        <x:v>53.5</x:v>
      </x:c>
      <x:c r="L1304" t="str">
        <x:v>MENENGAH</x:v>
      </x:c>
      <x:c r="M1304" t="str">
        <x:v>PORTOFOLIO</x:v>
      </x:c>
      <x:c r="N1304" t="str">
        <x:v>ELITE-3</x:v>
      </x:c>
      <x:c r="O1304" t="str">
        <x:v>SENI/OLAHRAGA</x:v>
      </x:c>
      <x:c r="P1304" t="str">
        <x:v>SENI/OLAHRAGA</x:v>
      </x:c>
      <x:c r="Q1304" s="18" t="n">
        <x:v>625</x:v>
      </x:c>
      <x:c r="R1304" s="18" t="n">
        <x:v>0</x:v>
      </x:c>
      <x:c r="S1304" s="18" t="n">
        <x:v>581.5238811997714</x:v>
      </x:c>
      <x:c r="T1304" s="18" t="n">
        <x:v>667</x:v>
      </x:c>
      <x:c r="U1304" s="18" t="n">
        <x:v>625</x:v>
      </x:c>
      <x:c r="V1304" s="20" t="n">
        <x:v>4.4</x:v>
      </x:c>
      <x:c r="W1304" s="20" t="n">
        <x:v>9.9</x:v>
      </x:c>
      <x:c r="X1304" s="20" t="n">
        <x:v>7.7</x:v>
      </x:c>
      <x:c r="Y1304" t="str">
        <x:v>Basis arsip 2025/2024</x:v>
      </x:c>
      <x:c r="Z1304" t="str">
        <x:v>https://snpmb.id/utbk-snbt/daya-tampung-snbt</x:v>
      </x:c>
      <x:c r="AA1304" t="str">
        <x:v>Tari</x:v>
      </x:c>
      <x:c r="AB1304" t="str">
        <x:v>Campus=80; Ratio=32.9; Prodi=45; RelDemand=15.9; Capacity=66.7</x:v>
      </x:c>
    </x:row>
    <x:row r="1305">
      <x:c r="A1305" t="n">
        <x:v>1302</x:v>
      </x:c>
      <x:c r="B1305" t="str">
        <x:v>PTN Akademik</x:v>
      </x:c>
      <x:c r="C1305" t="str">
        <x:v>UNIVERSITAS PENDIDIKAN INDONESIA</x:v>
      </x:c>
      <x:c r="D1305" t="str">
        <x:v>PENDIDIKAN SENI MUSIK</x:v>
      </x:c>
      <x:c r="E1305" t="str">
        <x:v>Sarjana</x:v>
      </x:c>
      <x:c r="F1305" s="18" t="n">
        <x:v>42</x:v>
      </x:c>
      <x:c r="G1305" s="18" t="n">
        <x:v>189</x:v>
      </x:c>
      <x:c r="H1305" s="19" t="n">
        <x:v>4.5</x:v>
      </x:c>
      <x:c r="I1305" s="18" t="n">
        <x:f>ROUND(MIN(Model_Config_v3!$B$6,MAX(Q1305,R1305,S1305*Model_Config_v3!$B$4+T1305*Model_Config_v3!$B$5)),0)</x:f>
        <x:v>647</x:v>
      </x:c>
      <x:c r="J1305" s="18" t="n">
        <x:f>MIN(Model_Config_v3!$B$6,I1305+Model_Config_v3!$B$7)</x:f>
        <x:v>667</x:v>
      </x:c>
      <x:c r="K1305" s="20" t="n">
        <x:v>55.1</x:v>
      </x:c>
      <x:c r="L1305" t="str">
        <x:v>KETAT</x:v>
      </x:c>
      <x:c r="M1305" t="str">
        <x:v>PORTOFOLIO</x:v>
      </x:c>
      <x:c r="N1305" t="str">
        <x:v>ELITE-3</x:v>
      </x:c>
      <x:c r="O1305" t="str">
        <x:v>SENI/OLAHRAGA</x:v>
      </x:c>
      <x:c r="P1305" t="str">
        <x:v>SENI/OLAHRAGA</x:v>
      </x:c>
      <x:c r="Q1305" s="18" t="n">
        <x:v>625</x:v>
      </x:c>
      <x:c r="R1305" s="18" t="n">
        <x:v>0</x:v>
      </x:c>
      <x:c r="S1305" s="18" t="n">
        <x:v>591.8533765152878</x:v>
      </x:c>
      <x:c r="T1305" s="18" t="n">
        <x:v>670</x:v>
      </x:c>
      <x:c r="U1305" s="18" t="n">
        <x:v>625</x:v>
      </x:c>
      <x:c r="V1305" s="20" t="n">
        <x:v>4.4</x:v>
      </x:c>
      <x:c r="W1305" s="20" t="n">
        <x:v>9.9</x:v>
      </x:c>
      <x:c r="X1305" s="20" t="n">
        <x:v>7.7</x:v>
      </x:c>
      <x:c r="Y1305" t="str">
        <x:v>Basis arsip 2025/2024</x:v>
      </x:c>
      <x:c r="Z1305" t="str">
        <x:v>https://snpmb.id/utbk-snbt/daya-tampung-snbt</x:v>
      </x:c>
      <x:c r="AA1305" t="str">
        <x:v>Musik</x:v>
      </x:c>
      <x:c r="AB1305" t="str">
        <x:v>Campus=80; Ratio=38.4; Prodi=45; RelDemand=19.7; Capacity=65.0</x:v>
      </x:c>
    </x:row>
    <x:row r="1306">
      <x:c r="A1306" t="n">
        <x:v>1303</x:v>
      </x:c>
      <x:c r="B1306" t="str">
        <x:v>PTN Akademik</x:v>
      </x:c>
      <x:c r="C1306" t="str">
        <x:v>UNIVERSITAS PENDIDIKAN INDONESIA</x:v>
      </x:c>
      <x:c r="D1306" t="str">
        <x:v>BAHASA DAN SASTRA INGGRIS</x:v>
      </x:c>
      <x:c r="E1306" t="str">
        <x:v>Sarjana</x:v>
      </x:c>
      <x:c r="F1306" s="18" t="n">
        <x:v>48</x:v>
      </x:c>
      <x:c r="G1306" s="18" t="n">
        <x:v>855</x:v>
      </x:c>
      <x:c r="H1306" s="19" t="n">
        <x:v>17.8125</x:v>
      </x:c>
      <x:c r="I1306" s="18" t="n">
        <x:f>ROUND(MIN(Model_Config_v3!$B$6,MAX(Q1306,R1306,S1306*Model_Config_v3!$B$4+T1306*Model_Config_v3!$B$5)),0)</x:f>
        <x:v>684</x:v>
      </x:c>
      <x:c r="J1306" s="18" t="n">
        <x:f>MIN(Model_Config_v3!$B$6,I1306+Model_Config_v3!$B$7)</x:f>
        <x:v>704</x:v>
      </x:c>
      <x:c r="K1306" s="20" t="n">
        <x:v>68.2</x:v>
      </x:c>
      <x:c r="L1306" t="str">
        <x:v>SANGAT KETAT</x:v>
      </x:c>
      <x:c r="M1306" t="str">
        <x:v>SEDANG+</x:v>
      </x:c>
      <x:c r="N1306" t="str">
        <x:v>ELITE-3</x:v>
      </x:c>
      <x:c r="O1306" t="str">
        <x:v>SOSHUM</x:v>
      </x:c>
      <x:c r="P1306" t="str">
        <x:v>UMUM</x:v>
      </x:c>
      <x:c r="Q1306" s="18" t="n">
        <x:v>625</x:v>
      </x:c>
      <x:c r="R1306" s="18" t="n">
        <x:v>0</x:v>
      </x:c>
      <x:c r="S1306" s="18" t="n">
        <x:v>657.5797365087844</x:v>
      </x:c>
      <x:c r="T1306" s="18" t="n">
        <x:v>696</x:v>
      </x:c>
      <x:c r="U1306" s="18" t="n">
        <x:v>657.5797365087844</x:v>
      </x:c>
      <x:c r="V1306" s="20" t="n">
        <x:v>4.4</x:v>
      </x:c>
      <x:c r="W1306" s="20" t="n">
        <x:v>14.3</x:v>
      </x:c>
      <x:c r="X1306" s="20" t="n">
        <x:v>3.3</x:v>
      </x:c>
      <x:c r="Y1306" t="str">
        <x:v>Basis arsip 2025/2024</x:v>
      </x:c>
      <x:c r="Z1306" t="str">
        <x:v>https://snpmb.id/utbk-snbt/daya-tampung-snbt</x:v>
      </x:c>
      <x:c r="AA1306" t="str">
        <x:v>Tidak Ada</x:v>
      </x:c>
      <x:c r="AB1306" t="str">
        <x:v>Campus=80; Ratio=73.6; Prodi=40; RelDemand=78.1; Capacity=60.0</x:v>
      </x:c>
    </x:row>
    <x:row r="1307">
      <x:c r="A1307" t="n">
        <x:v>1304</x:v>
      </x:c>
      <x:c r="B1307" t="str">
        <x:v>PTN Akademik</x:v>
      </x:c>
      <x:c r="C1307" t="str">
        <x:v>UNIVERSITAS PENDIDIKAN INDONESIA</x:v>
      </x:c>
      <x:c r="D1307" t="str">
        <x:v>BAHASA DAN SASTRA INDONESIA</x:v>
      </x:c>
      <x:c r="E1307" t="str">
        <x:v>Sarjana</x:v>
      </x:c>
      <x:c r="F1307" s="18" t="n">
        <x:v>54</x:v>
      </x:c>
      <x:c r="G1307" s="18" t="n">
        <x:v>597</x:v>
      </x:c>
      <x:c r="H1307" s="19" t="n">
        <x:v>11.055555555555555</x:v>
      </x:c>
      <x:c r="I1307" s="18" t="n">
        <x:f>ROUND(MIN(Model_Config_v3!$B$6,MAX(Q1307,R1307,S1307*Model_Config_v3!$B$4+T1307*Model_Config_v3!$B$5)),0)</x:f>
        <x:v>669</x:v>
      </x:c>
      <x:c r="J1307" s="18" t="n">
        <x:f>MIN(Model_Config_v3!$B$6,I1307+Model_Config_v3!$B$7)</x:f>
        <x:v>689</x:v>
      </x:c>
      <x:c r="K1307" s="20" t="n">
        <x:v>61.7</x:v>
      </x:c>
      <x:c r="L1307" t="str">
        <x:v>KETAT</x:v>
      </x:c>
      <x:c r="M1307" t="str">
        <x:v>SEDANG+</x:v>
      </x:c>
      <x:c r="N1307" t="str">
        <x:v>ELITE-3</x:v>
      </x:c>
      <x:c r="O1307" t="str">
        <x:v>SOSHUM</x:v>
      </x:c>
      <x:c r="P1307" t="str">
        <x:v>UMUM</x:v>
      </x:c>
      <x:c r="Q1307" s="18" t="n">
        <x:v>625</x:v>
      </x:c>
      <x:c r="R1307" s="18" t="n">
        <x:v>0</x:v>
      </x:c>
      <x:c r="S1307" s="18" t="n">
        <x:v>634.7938628437041</x:v>
      </x:c>
      <x:c r="T1307" s="18" t="n">
        <x:v>683</x:v>
      </x:c>
      <x:c r="U1307" s="18" t="n">
        <x:v>634.7938628437041</x:v>
      </x:c>
      <x:c r="V1307" s="20" t="n">
        <x:v>4.4</x:v>
      </x:c>
      <x:c r="W1307" s="20" t="n">
        <x:v>14.3</x:v>
      </x:c>
      <x:c r="X1307" s="20" t="n">
        <x:v>3.3</x:v>
      </x:c>
      <x:c r="Y1307" t="str">
        <x:v>Basis arsip 2025/2024</x:v>
      </x:c>
      <x:c r="Z1307" t="str">
        <x:v>https://snpmb.id/utbk-snbt/daya-tampung-snbt</x:v>
      </x:c>
      <x:c r="AA1307" t="str">
        <x:v>Tidak Ada</x:v>
      </x:c>
      <x:c r="AB1307" t="str">
        <x:v>Campus=80; Ratio=61.4; Prodi=40; RelDemand=48.5; Capacity=55.0</x:v>
      </x:c>
    </x:row>
    <x:row r="1308">
      <x:c r="A1308" t="n">
        <x:v>1305</x:v>
      </x:c>
      <x:c r="B1308" t="str">
        <x:v>PTN Akademik</x:v>
      </x:c>
      <x:c r="C1308" t="str">
        <x:v>UNIVERSITAS PENDIDIKAN INDONESIA</x:v>
      </x:c>
      <x:c r="D1308" t="str">
        <x:v>PENDIDIKAN KESEJAHTERAAN KELUARGA</x:v>
      </x:c>
      <x:c r="E1308" t="str">
        <x:v>Sarjana</x:v>
      </x:c>
      <x:c r="F1308" s="18" t="n">
        <x:v>40</x:v>
      </x:c>
      <x:c r="G1308" s="18" t="n">
        <x:v>249</x:v>
      </x:c>
      <x:c r="H1308" s="19" t="n">
        <x:v>6.225</x:v>
      </x:c>
      <x:c r="I1308" s="18" t="n">
        <x:f>ROUND(MIN(Model_Config_v3!$B$6,MAX(Q1308,R1308,S1308*Model_Config_v3!$B$4+T1308*Model_Config_v3!$B$5)),0)</x:f>
        <x:v>655</x:v>
      </x:c>
      <x:c r="J1308" s="18" t="n">
        <x:f>MIN(Model_Config_v3!$B$6,I1308+Model_Config_v3!$B$7)</x:f>
        <x:v>675</x:v>
      </x:c>
      <x:c r="K1308" s="20" t="n">
        <x:v>58.1</x:v>
      </x:c>
      <x:c r="L1308" t="str">
        <x:v>KETAT</x:v>
      </x:c>
      <x:c r="M1308" t="str">
        <x:v>SEDANG+</x:v>
      </x:c>
      <x:c r="N1308" t="str">
        <x:v>ELITE-3</x:v>
      </x:c>
      <x:c r="O1308" t="str">
        <x:v>CAMPURAN</x:v>
      </x:c>
      <x:c r="P1308" t="str">
        <x:v>PENDIDIKAN</x:v>
      </x:c>
      <x:c r="Q1308" s="18" t="n">
        <x:v>625</x:v>
      </x:c>
      <x:c r="R1308" s="18" t="n">
        <x:v>0</x:v>
      </x:c>
      <x:c r="S1308" s="18" t="n">
        <x:v>607.3553291344551</x:v>
      </x:c>
      <x:c r="T1308" s="18" t="n">
        <x:v>676</x:v>
      </x:c>
      <x:c r="U1308" s="18" t="n">
        <x:v>625</x:v>
      </x:c>
      <x:c r="V1308" s="20" t="n">
        <x:v>8.8</x:v>
      </x:c>
      <x:c r="W1308" s="20" t="n">
        <x:v>9.9</x:v>
      </x:c>
      <x:c r="X1308" s="20" t="n">
        <x:v>3.3</x:v>
      </x:c>
      <x:c r="Y1308" t="str">
        <x:v>Basis arsip 2025/2024</x:v>
      </x:c>
      <x:c r="Z1308" t="str">
        <x:v>https://snpmb.id/utbk-snbt/daya-tampung-snbt</x:v>
      </x:c>
      <x:c r="AA1308" t="str">
        <x:v>Tidak Ada</x:v>
      </x:c>
      <x:c r="AB1308" t="str">
        <x:v>Campus=80; Ratio=46.7; Prodi=45; RelDemand=27.3; Capacity=66.7</x:v>
      </x:c>
    </x:row>
    <x:row r="1309">
      <x:c r="A1309" t="n">
        <x:v>1306</x:v>
      </x:c>
      <x:c r="B1309" t="str">
        <x:v>PTN Akademik</x:v>
      </x:c>
      <x:c r="C1309" t="str">
        <x:v>UNIVERSITAS PENDIDIKAN INDONESIA</x:v>
      </x:c>
      <x:c r="D1309" t="str">
        <x:v>PENDIDIKAN TATA BOGA</x:v>
      </x:c>
      <x:c r="E1309" t="str">
        <x:v>Sarjana</x:v>
      </x:c>
      <x:c r="F1309" s="18" t="n">
        <x:v>44</x:v>
      </x:c>
      <x:c r="G1309" s="18" t="n">
        <x:v>1062</x:v>
      </x:c>
      <x:c r="H1309" s="19" t="n">
        <x:v>24.136363636363637</x:v>
      </x:c>
      <x:c r="I1309" s="18" t="n">
        <x:f>ROUND(MIN(Model_Config_v3!$B$6,MAX(Q1309,R1309,S1309*Model_Config_v3!$B$4+T1309*Model_Config_v3!$B$5)),0)</x:f>
        <x:v>697</x:v>
      </x:c>
      <x:c r="J1309" s="18" t="n">
        <x:f>MIN(Model_Config_v3!$B$6,I1309+Model_Config_v3!$B$7)</x:f>
        <x:v>717</x:v>
      </x:c>
      <x:c r="K1309" s="20" t="n">
        <x:v>73.7</x:v>
      </x:c>
      <x:c r="L1309" t="str">
        <x:v>SANGAT KETAT</x:v>
      </x:c>
      <x:c r="M1309" t="str">
        <x:v>SEDANG+</x:v>
      </x:c>
      <x:c r="N1309" t="str">
        <x:v>ELITE-3</x:v>
      </x:c>
      <x:c r="O1309" t="str">
        <x:v>CAMPURAN</x:v>
      </x:c>
      <x:c r="P1309" t="str">
        <x:v>PENDIDIKAN</x:v>
      </x:c>
      <x:c r="Q1309" s="18" t="n">
        <x:v>625</x:v>
      </x:c>
      <x:c r="R1309" s="18" t="n">
        <x:v>0</x:v>
      </x:c>
      <x:c r="S1309" s="18" t="n">
        <x:v>672.093902428519</x:v>
      </x:c>
      <x:c r="T1309" s="18" t="n">
        <x:v>707</x:v>
      </x:c>
      <x:c r="U1309" s="18" t="n">
        <x:v>672.093902428519</x:v>
      </x:c>
      <x:c r="V1309" s="20" t="n">
        <x:v>8.8</x:v>
      </x:c>
      <x:c r="W1309" s="20" t="n">
        <x:v>9.9</x:v>
      </x:c>
      <x:c r="X1309" s="20" t="n">
        <x:v>3.3</x:v>
      </x:c>
      <x:c r="Y1309" t="str">
        <x:v>Basis arsip 2025/2024</x:v>
      </x:c>
      <x:c r="Z1309" t="str">
        <x:v>https://snpmb.id/utbk-snbt/daya-tampung-snbt</x:v>
      </x:c>
      <x:c r="AA1309" t="str">
        <x:v>Tidak Ada</x:v>
      </x:c>
      <x:c r="AB1309" t="str">
        <x:v>Campus=80; Ratio=81.4; Prodi=45; RelDemand=100.0; Capacity=63.3</x:v>
      </x:c>
    </x:row>
    <x:row r="1310">
      <x:c r="A1310" t="n">
        <x:v>1307</x:v>
      </x:c>
      <x:c r="B1310" t="str">
        <x:v>PTN Akademik</x:v>
      </x:c>
      <x:c r="C1310" t="str">
        <x:v>UNIVERSITAS PENDIDIKAN INDONESIA</x:v>
      </x:c>
      <x:c r="D1310" t="str">
        <x:v>PENDIDIKAN TATA BUSANA</x:v>
      </x:c>
      <x:c r="E1310" t="str">
        <x:v>Sarjana</x:v>
      </x:c>
      <x:c r="F1310" s="18" t="n">
        <x:v>45</x:v>
      </x:c>
      <x:c r="G1310" s="18" t="n">
        <x:v>548</x:v>
      </x:c>
      <x:c r="H1310" s="19" t="n">
        <x:v>12.177777777777777</x:v>
      </x:c>
      <x:c r="I1310" s="18" t="n">
        <x:f>ROUND(MIN(Model_Config_v3!$B$6,MAX(Q1310,R1310,S1310*Model_Config_v3!$B$4+T1310*Model_Config_v3!$B$5)),0)</x:f>
        <x:v>674</x:v>
      </x:c>
      <x:c r="J1310" s="18" t="n">
        <x:f>MIN(Model_Config_v3!$B$6,I1310+Model_Config_v3!$B$7)</x:f>
        <x:v>694</x:v>
      </x:c>
      <x:c r="K1310" s="20" t="n">
        <x:v>64.6</x:v>
      </x:c>
      <x:c r="L1310" t="str">
        <x:v>KETAT</x:v>
      </x:c>
      <x:c r="M1310" t="str">
        <x:v>SEDANG+</x:v>
      </x:c>
      <x:c r="N1310" t="str">
        <x:v>ELITE-3</x:v>
      </x:c>
      <x:c r="O1310" t="str">
        <x:v>CAMPURAN</x:v>
      </x:c>
      <x:c r="P1310" t="str">
        <x:v>PENDIDIKAN</x:v>
      </x:c>
      <x:c r="Q1310" s="18" t="n">
        <x:v>625</x:v>
      </x:c>
      <x:c r="R1310" s="18" t="n">
        <x:v>0</x:v>
      </x:c>
      <x:c r="S1310" s="18" t="n">
        <x:v>639.4124849179927</x:v>
      </x:c>
      <x:c r="T1310" s="18" t="n">
        <x:v>689</x:v>
      </x:c>
      <x:c r="U1310" s="18" t="n">
        <x:v>639.4124849179927</x:v>
      </x:c>
      <x:c r="V1310" s="20" t="n">
        <x:v>8.8</x:v>
      </x:c>
      <x:c r="W1310" s="20" t="n">
        <x:v>9.9</x:v>
      </x:c>
      <x:c r="X1310" s="20" t="n">
        <x:v>3.3</x:v>
      </x:c>
      <x:c r="Y1310" t="str">
        <x:v>Basis arsip 2025/2024</x:v>
      </x:c>
      <x:c r="Z1310" t="str">
        <x:v>https://snpmb.id/utbk-snbt/daya-tampung-snbt</x:v>
      </x:c>
      <x:c r="AA1310" t="str">
        <x:v>Tidak Ada</x:v>
      </x:c>
      <x:c r="AB1310" t="str">
        <x:v>Campus=80; Ratio=63.9; Prodi=45; RelDemand=53.4; Capacity=62.5</x:v>
      </x:c>
    </x:row>
    <x:row r="1311">
      <x:c r="A1311" t="n">
        <x:v>1308</x:v>
      </x:c>
      <x:c r="B1311" t="str">
        <x:v>PTN Akademik</x:v>
      </x:c>
      <x:c r="C1311" t="str">
        <x:v>UNIVERSITAS PENDIDIKAN INDONESIA</x:v>
      </x:c>
      <x:c r="D1311" t="str">
        <x:v>PENDIDIKAN KEPELATIHAN OLAHRAGA</x:v>
      </x:c>
      <x:c r="E1311" t="str">
        <x:v>Sarjana</x:v>
      </x:c>
      <x:c r="F1311" s="18" t="n">
        <x:v>60</x:v>
      </x:c>
      <x:c r="G1311" s="18" t="n">
        <x:v>367</x:v>
      </x:c>
      <x:c r="H1311" s="19" t="n">
        <x:v>6.116666666666666</x:v>
      </x:c>
      <x:c r="I1311" s="18" t="n">
        <x:f>ROUND(MIN(Model_Config_v3!$B$6,MAX(Q1311,R1311,S1311*Model_Config_v3!$B$4+T1311*Model_Config_v3!$B$5)),0)</x:f>
        <x:v>653</x:v>
      </x:c>
      <x:c r="J1311" s="18" t="n">
        <x:f>MIN(Model_Config_v3!$B$6,I1311+Model_Config_v3!$B$7)</x:f>
        <x:v>673</x:v>
      </x:c>
      <x:c r="K1311" s="20" t="n">
        <x:v>56.3</x:v>
      </x:c>
      <x:c r="L1311" t="str">
        <x:v>KETAT</x:v>
      </x:c>
      <x:c r="M1311" t="str">
        <x:v>PORTOFOLIO</x:v>
      </x:c>
      <x:c r="N1311" t="str">
        <x:v>ELITE-3</x:v>
      </x:c>
      <x:c r="O1311" t="str">
        <x:v>SENI/OLAHRAGA</x:v>
      </x:c>
      <x:c r="P1311" t="str">
        <x:v>SENI/OLAHRAGA</x:v>
      </x:c>
      <x:c r="Q1311" s="18" t="n">
        <x:v>625</x:v>
      </x:c>
      <x:c r="R1311" s="18" t="n">
        <x:v>0</x:v>
      </x:c>
      <x:c r="S1311" s="18" t="n">
        <x:v>606.516629525529</x:v>
      </x:c>
      <x:c r="T1311" s="18" t="n">
        <x:v>673</x:v>
      </x:c>
      <x:c r="U1311" s="18" t="n">
        <x:v>625</x:v>
      </x:c>
      <x:c r="V1311" s="20" t="n">
        <x:v>4.4</x:v>
      </x:c>
      <x:c r="W1311" s="20" t="n">
        <x:v>9.9</x:v>
      </x:c>
      <x:c r="X1311" s="20" t="n">
        <x:v>7.7</x:v>
      </x:c>
      <x:c r="Y1311" t="str">
        <x:v>Basis arsip 2025/2024</x:v>
      </x:c>
      <x:c r="Z1311" t="str">
        <x:v>https://snpmb.id/utbk-snbt/daya-tampung-snbt</x:v>
      </x:c>
      <x:c r="AA1311" t="str">
        <x:v>Olahraga</x:v>
      </x:c>
      <x:c r="AB1311" t="str">
        <x:v>Campus=80; Ratio=46.3; Prodi=45; RelDemand=26.8; Capacity=50.0</x:v>
      </x:c>
    </x:row>
    <x:row r="1312">
      <x:c r="A1312" t="n">
        <x:v>1309</x:v>
      </x:c>
      <x:c r="B1312" t="str">
        <x:v>PTN Akademik</x:v>
      </x:c>
      <x:c r="C1312" t="str">
        <x:v>UNIVERSITAS PENDIDIKAN INDONESIA</x:v>
      </x:c>
      <x:c r="D1312" t="str">
        <x:v>PEND. JASMANI KESEHATAN &amp; REKREASI (PJKR)</x:v>
      </x:c>
      <x:c r="E1312" t="str">
        <x:v>Sarjana</x:v>
      </x:c>
      <x:c r="F1312" s="18" t="n">
        <x:v>110</x:v>
      </x:c>
      <x:c r="G1312" s="18" t="n">
        <x:v>611</x:v>
      </x:c>
      <x:c r="H1312" s="19" t="n">
        <x:v>5.554545454545455</x:v>
      </x:c>
      <x:c r="I1312" s="18" t="n">
        <x:f>ROUND(MIN(Model_Config_v3!$B$6,MAX(Q1312,R1312,S1312*Model_Config_v3!$B$4+T1312*Model_Config_v3!$B$5)),0)</x:f>
        <x:v>644</x:v>
      </x:c>
      <x:c r="J1312" s="18" t="n">
        <x:f>MIN(Model_Config_v3!$B$6,I1312+Model_Config_v3!$B$7)</x:f>
        <x:v>664</x:v>
      </x:c>
      <x:c r="K1312" s="20" t="n">
        <x:v>51.2</x:v>
      </x:c>
      <x:c r="L1312" t="str">
        <x:v>MENENGAH</x:v>
      </x:c>
      <x:c r="M1312" t="str">
        <x:v>PORTOFOLIO</x:v>
      </x:c>
      <x:c r="N1312" t="str">
        <x:v>ELITE-3</x:v>
      </x:c>
      <x:c r="O1312" t="str">
        <x:v>SENI/OLAHRAGA</x:v>
      </x:c>
      <x:c r="P1312" t="str">
        <x:v>SENI/OLAHRAGA</x:v>
      </x:c>
      <x:c r="Q1312" s="18" t="n">
        <x:v>625</x:v>
      </x:c>
      <x:c r="R1312" s="18" t="n">
        <x:v>0</x:v>
      </x:c>
      <x:c r="S1312" s="18" t="n">
        <x:v>601.9113377592762</x:v>
      </x:c>
      <x:c r="T1312" s="18" t="n">
        <x:v>662</x:v>
      </x:c>
      <x:c r="U1312" s="18" t="n">
        <x:v>625</x:v>
      </x:c>
      <x:c r="V1312" s="20" t="n">
        <x:v>4.4</x:v>
      </x:c>
      <x:c r="W1312" s="20" t="n">
        <x:v>9.9</x:v>
      </x:c>
      <x:c r="X1312" s="20" t="n">
        <x:v>7.7</x:v>
      </x:c>
      <x:c r="Y1312" t="str">
        <x:v>Basis arsip 2025/2024</x:v>
      </x:c>
      <x:c r="Z1312" t="str">
        <x:v>https://snpmb.id/utbk-snbt/daya-tampung-snbt</x:v>
      </x:c>
      <x:c r="AA1312" t="str">
        <x:v>Olahraga</x:v>
      </x:c>
      <x:c r="AB1312" t="str">
        <x:v>Campus=80; Ratio=43.8; Prodi=45; RelDemand=24.4; Capacity=8.3</x:v>
      </x:c>
    </x:row>
    <x:row r="1313">
      <x:c r="A1313" t="n">
        <x:v>1310</x:v>
      </x:c>
      <x:c r="B1313" t="str">
        <x:v>PTN Akademik</x:v>
      </x:c>
      <x:c r="C1313" t="str">
        <x:v>UNIVERSITAS PENDIDIKAN INDONESIA</x:v>
      </x:c>
      <x:c r="D1313" t="str">
        <x:v>PENDIDIKAN AKUNTANSI</x:v>
      </x:c>
      <x:c r="E1313" t="str">
        <x:v>Sarjana</x:v>
      </x:c>
      <x:c r="F1313" s="18" t="n">
        <x:v>65</x:v>
      </x:c>
      <x:c r="G1313" s="18" t="n">
        <x:v>380</x:v>
      </x:c>
      <x:c r="H1313" s="19" t="n">
        <x:v>5.846153846153846</x:v>
      </x:c>
      <x:c r="I1313" s="18" t="n">
        <x:f>ROUND(MIN(Model_Config_v3!$B$6,MAX(Q1313,R1313,S1313*Model_Config_v3!$B$4+T1313*Model_Config_v3!$B$5)),0)</x:f>
        <x:v>657</x:v>
      </x:c>
      <x:c r="J1313" s="18" t="n">
        <x:f>MIN(Model_Config_v3!$B$6,I1313+Model_Config_v3!$B$7)</x:f>
        <x:v>677</x:v>
      </x:c>
      <x:c r="K1313" s="20" t="n">
        <x:v>59.4</x:v>
      </x:c>
      <x:c r="L1313" t="str">
        <x:v>KETAT</x:v>
      </x:c>
      <x:c r="M1313" t="str">
        <x:v>SEDANG+</x:v>
      </x:c>
      <x:c r="N1313" t="str">
        <x:v>ELITE-3</x:v>
      </x:c>
      <x:c r="O1313" t="str">
        <x:v>SOSHUM</x:v>
      </x:c>
      <x:c r="P1313" t="str">
        <x:v>BISNIS/EKONOMI/AKUNTANSI</x:v>
      </x:c>
      <x:c r="Q1313" s="18" t="n">
        <x:v>625</x:v>
      </x:c>
      <x:c r="R1313" s="18" t="n">
        <x:v>0</x:v>
      </x:c>
      <x:c r="S1313" s="18" t="n">
        <x:v>604.355726397135</x:v>
      </x:c>
      <x:c r="T1313" s="18" t="n">
        <x:v>679</x:v>
      </x:c>
      <x:c r="U1313" s="18" t="n">
        <x:v>625</x:v>
      </x:c>
      <x:c r="V1313" s="20" t="n">
        <x:v>4.4</x:v>
      </x:c>
      <x:c r="W1313" s="20" t="n">
        <x:v>14.3</x:v>
      </x:c>
      <x:c r="X1313" s="20" t="n">
        <x:v>3.3</x:v>
      </x:c>
      <x:c r="Y1313" t="str">
        <x:v>Basis arsip 2025/2024</x:v>
      </x:c>
      <x:c r="Z1313" t="str">
        <x:v>https://snpmb.id/utbk-snbt/daya-tampung-snbt</x:v>
      </x:c>
      <x:c r="AA1313" t="str">
        <x:v>Tidak Ada</x:v>
      </x:c>
      <x:c r="AB1313" t="str">
        <x:v>Campus=80; Ratio=45.1; Prodi=65; RelDemand=25.6; Capacity=45.8</x:v>
      </x:c>
    </x:row>
    <x:row r="1314">
      <x:c r="A1314" t="n">
        <x:v>1311</x:v>
      </x:c>
      <x:c r="B1314" t="str">
        <x:v>PTN Akademik</x:v>
      </x:c>
      <x:c r="C1314" t="str">
        <x:v>UNIVERSITAS PENDIDIKAN INDONESIA</x:v>
      </x:c>
      <x:c r="D1314" t="str">
        <x:v>PENDIDIKAN BISNIS</x:v>
      </x:c>
      <x:c r="E1314" t="str">
        <x:v>Sarjana</x:v>
      </x:c>
      <x:c r="F1314" s="18" t="n">
        <x:v>65</x:v>
      </x:c>
      <x:c r="G1314" s="18" t="n">
        <x:v>646</x:v>
      </x:c>
      <x:c r="H1314" s="19" t="n">
        <x:v>9.938461538461539</x:v>
      </x:c>
      <x:c r="I1314" s="18" t="n">
        <x:f>ROUND(MIN(Model_Config_v3!$B$6,MAX(Q1314,R1314,S1314*Model_Config_v3!$B$4+T1314*Model_Config_v3!$B$5)),0)</x:f>
        <x:v>671</x:v>
      </x:c>
      <x:c r="J1314" s="18" t="n">
        <x:f>MIN(Model_Config_v3!$B$6,I1314+Model_Config_v3!$B$7)</x:f>
        <x:v>691</x:v>
      </x:c>
      <x:c r="K1314" s="20" t="n">
        <x:v>64.6</x:v>
      </x:c>
      <x:c r="L1314" t="str">
        <x:v>KETAT</x:v>
      </x:c>
      <x:c r="M1314" t="str">
        <x:v>SEDANG+</x:v>
      </x:c>
      <x:c r="N1314" t="str">
        <x:v>ELITE-3</x:v>
      </x:c>
      <x:c r="O1314" t="str">
        <x:v>SOSHUM</x:v>
      </x:c>
      <x:c r="P1314" t="str">
        <x:v>BISNIS/EKONOMI/AKUNTANSI</x:v>
      </x:c>
      <x:c r="Q1314" s="18" t="n">
        <x:v>625</x:v>
      </x:c>
      <x:c r="R1314" s="18" t="n">
        <x:v>0</x:v>
      </x:c>
      <x:c r="S1314" s="18" t="n">
        <x:v>629.7051077487451</x:v>
      </x:c>
      <x:c r="T1314" s="18" t="n">
        <x:v>689</x:v>
      </x:c>
      <x:c r="U1314" s="18" t="n">
        <x:v>644.7051077487451</x:v>
      </x:c>
      <x:c r="V1314" s="20" t="n">
        <x:v>4.4</x:v>
      </x:c>
      <x:c r="W1314" s="20" t="n">
        <x:v>14.3</x:v>
      </x:c>
      <x:c r="X1314" s="20" t="n">
        <x:v>3.3</x:v>
      </x:c>
      <x:c r="Y1314" t="str">
        <x:v>Basis arsip 2025/2024</x:v>
      </x:c>
      <x:c r="Z1314" t="str">
        <x:v>https://snpmb.id/utbk-snbt/daya-tampung-snbt</x:v>
      </x:c>
      <x:c r="AA1314" t="str">
        <x:v>Tidak Ada</x:v>
      </x:c>
      <x:c r="AB1314" t="str">
        <x:v>Campus=80; Ratio=58.7; Prodi=65; RelDemand=43.6; Capacity=45.8</x:v>
      </x:c>
    </x:row>
    <x:row r="1315">
      <x:c r="A1315" t="n">
        <x:v>1312</x:v>
      </x:c>
      <x:c r="B1315" t="str">
        <x:v>PTN Akademik</x:v>
      </x:c>
      <x:c r="C1315" t="str">
        <x:v>UNIVERSITAS PENDIDIKAN INDONESIA</x:v>
      </x:c>
      <x:c r="D1315" t="str">
        <x:v>PENDIDIKAN MANAJEMEN PERKANTORAN</x:v>
      </x:c>
      <x:c r="E1315" t="str">
        <x:v>Sarjana</x:v>
      </x:c>
      <x:c r="F1315" s="18" t="n">
        <x:v>60</x:v>
      </x:c>
      <x:c r="G1315" s="18" t="n">
        <x:v>639</x:v>
      </x:c>
      <x:c r="H1315" s="19" t="n">
        <x:v>10.65</x:v>
      </x:c>
      <x:c r="I1315" s="18" t="n">
        <x:f>ROUND(MIN(Model_Config_v3!$B$6,MAX(Q1315,R1315,S1315*Model_Config_v3!$B$4+T1315*Model_Config_v3!$B$5)),0)</x:f>
        <x:v>674</x:v>
      </x:c>
      <x:c r="J1315" s="18" t="n">
        <x:f>MIN(Model_Config_v3!$B$6,I1315+Model_Config_v3!$B$7)</x:f>
        <x:v>694</x:v>
      </x:c>
      <x:c r="K1315" s="20" t="n">
        <x:v>65.8</x:v>
      </x:c>
      <x:c r="L1315" t="str">
        <x:v>SANGAT KETAT</x:v>
      </x:c>
      <x:c r="M1315" t="str">
        <x:v>SEDANG+</x:v>
      </x:c>
      <x:c r="N1315" t="str">
        <x:v>ELITE-3</x:v>
      </x:c>
      <x:c r="O1315" t="str">
        <x:v>SOSHUM</x:v>
      </x:c>
      <x:c r="P1315" t="str">
        <x:v>BISNIS/EKONOMI/AKUNTANSI</x:v>
      </x:c>
      <x:c r="Q1315" s="18" t="n">
        <x:v>625</x:v>
      </x:c>
      <x:c r="R1315" s="18" t="n">
        <x:v>0</x:v>
      </x:c>
      <x:c r="S1315" s="18" t="n">
        <x:v>633.0084568552232</x:v>
      </x:c>
      <x:c r="T1315" s="18" t="n">
        <x:v>692</x:v>
      </x:c>
      <x:c r="U1315" s="18" t="n">
        <x:v>648.0084568552232</x:v>
      </x:c>
      <x:c r="V1315" s="20" t="n">
        <x:v>4.4</x:v>
      </x:c>
      <x:c r="W1315" s="20" t="n">
        <x:v>14.3</x:v>
      </x:c>
      <x:c r="X1315" s="20" t="n">
        <x:v>3.3</x:v>
      </x:c>
      <x:c r="Y1315" t="str">
        <x:v>Basis arsip 2025/2024</x:v>
      </x:c>
      <x:c r="Z1315" t="str">
        <x:v>https://snpmb.id/utbk-snbt/daya-tampung-snbt</x:v>
      </x:c>
      <x:c r="AA1315" t="str">
        <x:v>Tidak Ada</x:v>
      </x:c>
      <x:c r="AB1315" t="str">
        <x:v>Campus=80; Ratio=60.5; Prodi=65; RelDemand=46.7; Capacity=50.0</x:v>
      </x:c>
    </x:row>
    <x:row r="1316">
      <x:c r="A1316" t="n">
        <x:v>1313</x:v>
      </x:c>
      <x:c r="B1316" t="str">
        <x:v>PTN Akademik</x:v>
      </x:c>
      <x:c r="C1316" t="str">
        <x:v>UNIVERSITAS PENDIDIKAN INDONESIA</x:v>
      </x:c>
      <x:c r="D1316" t="str">
        <x:v>PENDIDIKAN EKONOMI</x:v>
      </x:c>
      <x:c r="E1316" t="str">
        <x:v>Sarjana</x:v>
      </x:c>
      <x:c r="F1316" s="18" t="n">
        <x:v>45</x:v>
      </x:c>
      <x:c r="G1316" s="18" t="n">
        <x:v>329</x:v>
      </x:c>
      <x:c r="H1316" s="19" t="n">
        <x:v>7.311111111111111</x:v>
      </x:c>
      <x:c r="I1316" s="18" t="n">
        <x:f>ROUND(MIN(Model_Config_v3!$B$6,MAX(Q1316,R1316,S1316*Model_Config_v3!$B$4+T1316*Model_Config_v3!$B$5)),0)</x:f>
        <x:v>659</x:v>
      </x:c>
      <x:c r="J1316" s="18" t="n">
        <x:f>MIN(Model_Config_v3!$B$6,I1316+Model_Config_v3!$B$7)</x:f>
        <x:v>679</x:v>
      </x:c>
      <x:c r="K1316" s="20" t="n">
        <x:v>59.2</x:v>
      </x:c>
      <x:c r="L1316" t="str">
        <x:v>KETAT</x:v>
      </x:c>
      <x:c r="M1316" t="str">
        <x:v>SEDANG+</x:v>
      </x:c>
      <x:c r="N1316" t="str">
        <x:v>ELITE-3</x:v>
      </x:c>
      <x:c r="O1316" t="str">
        <x:v>SOSHUM</x:v>
      </x:c>
      <x:c r="P1316" t="str">
        <x:v>PENDIDIKAN</x:v>
      </x:c>
      <x:c r="Q1316" s="18" t="n">
        <x:v>625</x:v>
      </x:c>
      <x:c r="R1316" s="18" t="n">
        <x:v>0</x:v>
      </x:c>
      <x:c r="S1316" s="18" t="n">
        <x:v>615.0381722592093</x:v>
      </x:c>
      <x:c r="T1316" s="18" t="n">
        <x:v>678</x:v>
      </x:c>
      <x:c r="U1316" s="18" t="n">
        <x:v>625</x:v>
      </x:c>
      <x:c r="V1316" s="20" t="n">
        <x:v>4.4</x:v>
      </x:c>
      <x:c r="W1316" s="20" t="n">
        <x:v>14.3</x:v>
      </x:c>
      <x:c r="X1316" s="20" t="n">
        <x:v>3.3</x:v>
      </x:c>
      <x:c r="Y1316" t="str">
        <x:v>Basis arsip 2025/2024</x:v>
      </x:c>
      <x:c r="Z1316" t="str">
        <x:v>https://snpmb.id/utbk-snbt/daya-tampung-snbt</x:v>
      </x:c>
      <x:c r="AA1316" t="str">
        <x:v>Tidak Ada</x:v>
      </x:c>
      <x:c r="AB1316" t="str">
        <x:v>Campus=80; Ratio=50.9; Prodi=45; RelDemand=32.1; Capacity=62.5</x:v>
      </x:c>
    </x:row>
    <x:row r="1317">
      <x:c r="A1317" t="n">
        <x:v>1314</x:v>
      </x:c>
      <x:c r="B1317" t="str">
        <x:v>PTN Akademik</x:v>
      </x:c>
      <x:c r="C1317" t="str">
        <x:v>UNIVERSITAS PENDIDIKAN INDONESIA</x:v>
      </x:c>
      <x:c r="D1317" t="str">
        <x:v>MANAJEMEN</x:v>
      </x:c>
      <x:c r="E1317" t="str">
        <x:v>Sarjana</x:v>
      </x:c>
      <x:c r="F1317" s="18" t="n">
        <x:v>65</x:v>
      </x:c>
      <x:c r="G1317" s="18" t="n">
        <x:v>2241</x:v>
      </x:c>
      <x:c r="H1317" s="19" t="n">
        <x:v>34.47692307692308</x:v>
      </x:c>
      <x:c r="I1317" s="18" t="n">
        <x:f>ROUND(MIN(Model_Config_v3!$B$6,MAX(Q1317,R1317,S1317*Model_Config_v3!$B$4+T1317*Model_Config_v3!$B$5)),0)</x:f>
        <x:v>708</x:v>
      </x:c>
      <x:c r="J1317" s="18" t="n">
        <x:f>MIN(Model_Config_v3!$B$6,I1317+Model_Config_v3!$B$7)</x:f>
        <x:v>728</x:v>
      </x:c>
      <x:c r="K1317" s="20" t="n">
        <x:v>78.2</x:v>
      </x:c>
      <x:c r="L1317" t="str">
        <x:v>ELITE</x:v>
      </x:c>
      <x:c r="M1317" t="str">
        <x:v>SEDANG+</x:v>
      </x:c>
      <x:c r="N1317" t="str">
        <x:v>ELITE-3</x:v>
      </x:c>
      <x:c r="O1317" t="str">
        <x:v>SOSHUM</x:v>
      </x:c>
      <x:c r="P1317" t="str">
        <x:v>BISNIS/EKONOMI/AKUNTANSI</x:v>
      </x:c>
      <x:c r="Q1317" s="18" t="n">
        <x:v>625</x:v>
      </x:c>
      <x:c r="R1317" s="18" t="n">
        <x:v>0</x:v>
      </x:c>
      <x:c r="S1317" s="18" t="n">
        <x:v>689.1281349881426</x:v>
      </x:c>
      <x:c r="T1317" s="18" t="n">
        <x:v>716</x:v>
      </x:c>
      <x:c r="U1317" s="18" t="n">
        <x:v>704.1281349881426</x:v>
      </x:c>
      <x:c r="V1317" s="20" t="n">
        <x:v>4.4</x:v>
      </x:c>
      <x:c r="W1317" s="20" t="n">
        <x:v>14.3</x:v>
      </x:c>
      <x:c r="X1317" s="20" t="n">
        <x:v>3.3</x:v>
      </x:c>
      <x:c r="Y1317" t="str">
        <x:v>Basis arsip 2025/2024</x:v>
      </x:c>
      <x:c r="Z1317" t="str">
        <x:v>https://snpmb.id/utbk-snbt/daya-tampung-snbt</x:v>
      </x:c>
      <x:c r="AA1317" t="str">
        <x:v>Tidak Ada</x:v>
      </x:c>
      <x:c r="AB1317" t="str">
        <x:v>Campus=80; Ratio=90.5; Prodi=65; RelDemand=100.0; Capacity=45.8</x:v>
      </x:c>
    </x:row>
    <x:row r="1318">
      <x:c r="A1318" t="n">
        <x:v>1315</x:v>
      </x:c>
      <x:c r="B1318" t="str">
        <x:v>PTN Akademik</x:v>
      </x:c>
      <x:c r="C1318" t="str">
        <x:v>UNIVERSITAS PENDIDIKAN INDONESIA</x:v>
      </x:c>
      <x:c r="D1318" t="str">
        <x:v>AKUNTANSI</x:v>
      </x:c>
      <x:c r="E1318" t="str">
        <x:v>Sarjana</x:v>
      </x:c>
      <x:c r="F1318" s="18" t="n">
        <x:v>65</x:v>
      </x:c>
      <x:c r="G1318" s="18" t="n">
        <x:v>1644</x:v>
      </x:c>
      <x:c r="H1318" s="19" t="n">
        <x:v>25.29230769230769</x:v>
      </x:c>
      <x:c r="I1318" s="18" t="n">
        <x:f>ROUND(MIN(Model_Config_v3!$B$6,MAX(Q1318,R1318,S1318*Model_Config_v3!$B$4+T1318*Model_Config_v3!$B$5)),0)</x:f>
        <x:v>701</x:v>
      </x:c>
      <x:c r="J1318" s="18" t="n">
        <x:f>MIN(Model_Config_v3!$B$6,I1318+Model_Config_v3!$B$7)</x:f>
        <x:v>721</x:v>
      </x:c>
      <x:c r="K1318" s="20" t="n">
        <x:v>76.2</x:v>
      </x:c>
      <x:c r="L1318" t="str">
        <x:v>ELITE</x:v>
      </x:c>
      <x:c r="M1318" t="str">
        <x:v>SEDANG+</x:v>
      </x:c>
      <x:c r="N1318" t="str">
        <x:v>ELITE-3</x:v>
      </x:c>
      <x:c r="O1318" t="str">
        <x:v>SOSHUM</x:v>
      </x:c>
      <x:c r="P1318" t="str">
        <x:v>BISNIS/EKONOMI/AKUNTANSI</x:v>
      </x:c>
      <x:c r="Q1318" s="18" t="n">
        <x:v>625</x:v>
      </x:c>
      <x:c r="R1318" s="18" t="n">
        <x:v>0</x:v>
      </x:c>
      <x:c r="S1318" s="18" t="n">
        <x:v>674.3287302217293</x:v>
      </x:c>
      <x:c r="T1318" s="18" t="n">
        <x:v>712</x:v>
      </x:c>
      <x:c r="U1318" s="18" t="n">
        <x:v>674.3287302217293</x:v>
      </x:c>
      <x:c r="V1318" s="20" t="n">
        <x:v>4.4</x:v>
      </x:c>
      <x:c r="W1318" s="20" t="n">
        <x:v>14.3</x:v>
      </x:c>
      <x:c r="X1318" s="20" t="n">
        <x:v>3.3</x:v>
      </x:c>
      <x:c r="Y1318" t="str">
        <x:v>Basis arsip 2025/2024</x:v>
      </x:c>
      <x:c r="Z1318" t="str">
        <x:v>https://snpmb.id/utbk-snbt/daya-tampung-snbt</x:v>
      </x:c>
      <x:c r="AA1318" t="str">
        <x:v>Tidak Ada</x:v>
      </x:c>
      <x:c r="AB1318" t="str">
        <x:v>Campus=80; Ratio=82.6; Prodi=65; RelDemand=100.0; Capacity=45.8</x:v>
      </x:c>
    </x:row>
    <x:row r="1319">
      <x:c r="A1319" t="n">
        <x:v>1316</x:v>
      </x:c>
      <x:c r="B1319" t="str">
        <x:v>PTN Akademik</x:v>
      </x:c>
      <x:c r="C1319" t="str">
        <x:v>UNIVERSITAS PENDIDIKAN INDONESIA</x:v>
      </x:c>
      <x:c r="D1319" t="str">
        <x:v>PERPUSTAKAAN DAN SAINS INFORMASI</x:v>
      </x:c>
      <x:c r="E1319" t="str">
        <x:v>Sarjana</x:v>
      </x:c>
      <x:c r="F1319" s="18" t="n">
        <x:v>30</x:v>
      </x:c>
      <x:c r="G1319" s="18" t="n">
        <x:v>387</x:v>
      </x:c>
      <x:c r="H1319" s="19" t="n">
        <x:v>12.9</x:v>
      </x:c>
      <x:c r="I1319" s="18" t="n">
        <x:f>ROUND(MIN(Model_Config_v3!$B$6,MAX(Q1319,R1319,S1319*Model_Config_v3!$B$4+T1319*Model_Config_v3!$B$5)),0)</x:f>
        <x:v>676</x:v>
      </x:c>
      <x:c r="J1319" s="18" t="n">
        <x:f>MIN(Model_Config_v3!$B$6,I1319+Model_Config_v3!$B$7)</x:f>
        <x:v>696</x:v>
      </x:c>
      <x:c r="K1319" s="20" t="n">
        <x:v>65.5</x:v>
      </x:c>
      <x:c r="L1319" t="str">
        <x:v>SANGAT KETAT</x:v>
      </x:c>
      <x:c r="M1319" t="str">
        <x:v>SEDANG+</x:v>
      </x:c>
      <x:c r="N1319" t="str">
        <x:v>ELITE-3</x:v>
      </x:c>
      <x:c r="O1319" t="str">
        <x:v>CAMPURAN</x:v>
      </x:c>
      <x:c r="P1319" t="str">
        <x:v>UMUM</x:v>
      </x:c>
      <x:c r="Q1319" s="18" t="n">
        <x:v>625</x:v>
      </x:c>
      <x:c r="R1319" s="18" t="n">
        <x:v>0</x:v>
      </x:c>
      <x:c r="S1319" s="18" t="n">
        <x:v>642.1648681329174</x:v>
      </x:c>
      <x:c r="T1319" s="18" t="n">
        <x:v>691</x:v>
      </x:c>
      <x:c r="U1319" s="18" t="n">
        <x:v>642.1648681329174</x:v>
      </x:c>
      <x:c r="V1319" s="20" t="n">
        <x:v>8.8</x:v>
      </x:c>
      <x:c r="W1319" s="20" t="n">
        <x:v>9.9</x:v>
      </x:c>
      <x:c r="X1319" s="20" t="n">
        <x:v>3.3</x:v>
      </x:c>
      <x:c r="Y1319" t="str">
        <x:v>Basis arsip 2025/2024</x:v>
      </x:c>
      <x:c r="Z1319" t="str">
        <x:v>https://snpmb.id/utbk-snbt/daya-tampung-snbt</x:v>
      </x:c>
      <x:c r="AA1319" t="str">
        <x:v>Tidak Ada</x:v>
      </x:c>
      <x:c r="AB1319" t="str">
        <x:v>Campus=80; Ratio=65.4; Prodi=40; RelDemand=56.6; Capacity=75.0</x:v>
      </x:c>
    </x:row>
    <x:row r="1320">
      <x:c r="A1320" t="n">
        <x:v>1317</x:v>
      </x:c>
      <x:c r="B1320" t="str">
        <x:v>PTN Akademik</x:v>
      </x:c>
      <x:c r="C1320" t="str">
        <x:v>UNIVERSITAS PENDIDIKAN INDONESIA</x:v>
      </x:c>
      <x:c r="D1320" t="str">
        <x:v>PENDIDIKAN IPS</x:v>
      </x:c>
      <x:c r="E1320" t="str">
        <x:v>Sarjana</x:v>
      </x:c>
      <x:c r="F1320" s="18" t="n">
        <x:v>40</x:v>
      </x:c>
      <x:c r="G1320" s="18" t="n">
        <x:v>320</x:v>
      </x:c>
      <x:c r="H1320" s="19" t="n">
        <x:v>8</x:v>
      </x:c>
      <x:c r="I1320" s="18" t="n">
        <x:f>ROUND(MIN(Model_Config_v3!$B$6,MAX(Q1320,R1320,S1320*Model_Config_v3!$B$4+T1320*Model_Config_v3!$B$5)),0)</x:f>
        <x:v>663</x:v>
      </x:c>
      <x:c r="J1320" s="18" t="n">
        <x:f>MIN(Model_Config_v3!$B$6,I1320+Model_Config_v3!$B$7)</x:f>
        <x:v>683</x:v>
      </x:c>
      <x:c r="K1320" s="20" t="n">
        <x:v>60.5</x:v>
      </x:c>
      <x:c r="L1320" t="str">
        <x:v>KETAT</x:v>
      </x:c>
      <x:c r="M1320" t="str">
        <x:v>SEDANG+</x:v>
      </x:c>
      <x:c r="N1320" t="str">
        <x:v>ELITE-3</x:v>
      </x:c>
      <x:c r="O1320" t="str">
        <x:v>CAMPURAN</x:v>
      </x:c>
      <x:c r="P1320" t="str">
        <x:v>PENDIDIKAN</x:v>
      </x:c>
      <x:c r="Q1320" s="18" t="n">
        <x:v>625</x:v>
      </x:c>
      <x:c r="R1320" s="18" t="n">
        <x:v>0</x:v>
      </x:c>
      <x:c r="S1320" s="18" t="n">
        <x:v>619.3398985691138</x:v>
      </x:c>
      <x:c r="T1320" s="18" t="n">
        <x:v>681</x:v>
      </x:c>
      <x:c r="U1320" s="18" t="n">
        <x:v>625</x:v>
      </x:c>
      <x:c r="V1320" s="20" t="n">
        <x:v>8.8</x:v>
      </x:c>
      <x:c r="W1320" s="20" t="n">
        <x:v>9.9</x:v>
      </x:c>
      <x:c r="X1320" s="20" t="n">
        <x:v>3.3</x:v>
      </x:c>
      <x:c r="Y1320" t="str">
        <x:v>Basis arsip 2025/2024</x:v>
      </x:c>
      <x:c r="Z1320" t="str">
        <x:v>https://snpmb.id/utbk-snbt/daya-tampung-snbt</x:v>
      </x:c>
      <x:c r="AA1320" t="str">
        <x:v>Tidak Ada</x:v>
      </x:c>
      <x:c r="AB1320" t="str">
        <x:v>Campus=80; Ratio=53.2; Prodi=45; RelDemand=35.1; Capacity=66.7</x:v>
      </x:c>
    </x:row>
    <x:row r="1321">
      <x:c r="A1321" t="n">
        <x:v>1318</x:v>
      </x:c>
      <x:c r="B1321" t="str">
        <x:v>PTN Akademik</x:v>
      </x:c>
      <x:c r="C1321" t="str">
        <x:v>UNIVERSITAS PENDIDIKAN INDONESIA</x:v>
      </x:c>
      <x:c r="D1321" t="str">
        <x:v>PENDIDIKAN SOSIOLOGI</x:v>
      </x:c>
      <x:c r="E1321" t="str">
        <x:v>Sarjana</x:v>
      </x:c>
      <x:c r="F1321" s="18" t="n">
        <x:v>43</x:v>
      </x:c>
      <x:c r="G1321" s="18" t="n">
        <x:v>428</x:v>
      </x:c>
      <x:c r="H1321" s="19" t="n">
        <x:v>9.953488372093023</x:v>
      </x:c>
      <x:c r="I1321" s="18" t="n">
        <x:f>ROUND(MIN(Model_Config_v3!$B$6,MAX(Q1321,R1321,S1321*Model_Config_v3!$B$4+T1321*Model_Config_v3!$B$5)),0)</x:f>
        <x:v>668</x:v>
      </x:c>
      <x:c r="J1321" s="18" t="n">
        <x:f>MIN(Model_Config_v3!$B$6,I1321+Model_Config_v3!$B$7)</x:f>
        <x:v>688</x:v>
      </x:c>
      <x:c r="K1321" s="20" t="n">
        <x:v>62.5</x:v>
      </x:c>
      <x:c r="L1321" t="str">
        <x:v>KETAT</x:v>
      </x:c>
      <x:c r="M1321" t="str">
        <x:v>SEDANG+</x:v>
      </x:c>
      <x:c r="N1321" t="str">
        <x:v>ELITE-3</x:v>
      </x:c>
      <x:c r="O1321" t="str">
        <x:v>SOSHUM</x:v>
      </x:c>
      <x:c r="P1321" t="str">
        <x:v>PENDIDIKAN</x:v>
      </x:c>
      <x:c r="Q1321" s="18" t="n">
        <x:v>625</x:v>
      </x:c>
      <x:c r="R1321" s="18" t="n">
        <x:v>0</x:v>
      </x:c>
      <x:c r="S1321" s="18" t="n">
        <x:v>629.7772844776944</x:v>
      </x:c>
      <x:c r="T1321" s="18" t="n">
        <x:v>685</x:v>
      </x:c>
      <x:c r="U1321" s="18" t="n">
        <x:v>629.7772844776944</x:v>
      </x:c>
      <x:c r="V1321" s="20" t="n">
        <x:v>4.4</x:v>
      </x:c>
      <x:c r="W1321" s="20" t="n">
        <x:v>14.3</x:v>
      </x:c>
      <x:c r="X1321" s="20" t="n">
        <x:v>3.3</x:v>
      </x:c>
      <x:c r="Y1321" t="str">
        <x:v>Basis arsip 2025/2024</x:v>
      </x:c>
      <x:c r="Z1321" t="str">
        <x:v>https://snpmb.id/utbk-snbt/daya-tampung-snbt</x:v>
      </x:c>
      <x:c r="AA1321" t="str">
        <x:v>Tidak Ada</x:v>
      </x:c>
      <x:c r="AB1321" t="str">
        <x:v>Campus=80; Ratio=58.7; Prodi=45; RelDemand=43.7; Capacity=64.2</x:v>
      </x:c>
    </x:row>
    <x:row r="1322">
      <x:c r="A1322" t="n">
        <x:v>1319</x:v>
      </x:c>
      <x:c r="B1322" t="str">
        <x:v>PTN Akademik</x:v>
      </x:c>
      <x:c r="C1322" t="str">
        <x:v>UNIVERSITAS PENDIDIKAN INDONESIA</x:v>
      </x:c>
      <x:c r="D1322" t="str">
        <x:v>PGSD PEND. JASMANI KAMPUS BUMI SILIWANGI</x:v>
      </x:c>
      <x:c r="E1322" t="str">
        <x:v>Sarjana</x:v>
      </x:c>
      <x:c r="F1322" s="18" t="n">
        <x:v>69</x:v>
      </x:c>
      <x:c r="G1322" s="18" t="n">
        <x:v>148</x:v>
      </x:c>
      <x:c r="H1322" s="19" t="n">
        <x:v>2.1449275362318843</x:v>
      </x:c>
      <x:c r="I1322" s="18" t="n">
        <x:f>ROUND(MIN(Model_Config_v3!$B$6,MAX(Q1322,R1322,S1322*Model_Config_v3!$B$4+T1322*Model_Config_v3!$B$5)),0)</x:f>
        <x:v>625</x:v>
      </x:c>
      <x:c r="J1322" s="18" t="n">
        <x:f>MIN(Model_Config_v3!$B$6,I1322+Model_Config_v3!$B$7)</x:f>
        <x:v>645</x:v>
      </x:c>
      <x:c r="K1322" s="20" t="n">
        <x:v>47.1</x:v>
      </x:c>
      <x:c r="L1322" t="str">
        <x:v>MENENGAH</x:v>
      </x:c>
      <x:c r="M1322" t="str">
        <x:v>PORTOFOLIO</x:v>
      </x:c>
      <x:c r="N1322" t="str">
        <x:v>ELITE-3</x:v>
      </x:c>
      <x:c r="O1322" t="str">
        <x:v>SENI/OLAHRAGA</x:v>
      </x:c>
      <x:c r="P1322" t="str">
        <x:v>SENI/OLAHRAGA</x:v>
      </x:c>
      <x:c r="Q1322" s="18" t="n">
        <x:v>625</x:v>
      </x:c>
      <x:c r="R1322" s="18" t="n">
        <x:v>0</x:v>
      </x:c>
      <x:c r="S1322" s="18" t="n">
        <x:v>556.4553887123473</x:v>
      </x:c>
      <x:c r="T1322" s="18" t="n">
        <x:v>654</x:v>
      </x:c>
      <x:c r="U1322" s="18" t="n">
        <x:v>625</x:v>
      </x:c>
      <x:c r="V1322" s="20" t="n">
        <x:v>4.4</x:v>
      </x:c>
      <x:c r="W1322" s="20" t="n">
        <x:v>9.9</x:v>
      </x:c>
      <x:c r="X1322" s="20" t="n">
        <x:v>7.7</x:v>
      </x:c>
      <x:c r="Y1322" t="str">
        <x:v>Basis arsip 2025/2024</x:v>
      </x:c>
      <x:c r="Z1322" t="str">
        <x:v>https://snpmb.id/utbk-snbt/daya-tampung-snbt</x:v>
      </x:c>
      <x:c r="AA1322" t="str">
        <x:v>Olahraga</x:v>
      </x:c>
      <x:c r="AB1322" t="str">
        <x:v>Campus=80; Ratio=19.5; Prodi=45; RelDemand=9.4; Capacity=42.5</x:v>
      </x:c>
    </x:row>
    <x:row r="1323">
      <x:c r="A1323" t="n">
        <x:v>1320</x:v>
      </x:c>
      <x:c r="B1323" t="str">
        <x:v>PTN Akademik</x:v>
      </x:c>
      <x:c r="C1323" t="str">
        <x:v>UNIVERSITAS PENDIDIKAN INDONESIA</x:v>
      </x:c>
      <x:c r="D1323" t="str">
        <x:v>PGSD KAMPUS CIBIRU</x:v>
      </x:c>
      <x:c r="E1323" t="str">
        <x:v>Sarjana</x:v>
      </x:c>
      <x:c r="F1323" s="18" t="n">
        <x:v>110</x:v>
      </x:c>
      <x:c r="G1323" s="18" t="n">
        <x:v>1235</x:v>
      </x:c>
      <x:c r="H1323" s="19" t="n">
        <x:v>11.227272727272727</x:v>
      </x:c>
      <x:c r="I1323" s="18" t="n">
        <x:f>ROUND(MIN(Model_Config_v3!$B$6,MAX(Q1323,R1323,S1323*Model_Config_v3!$B$4+T1323*Model_Config_v3!$B$5)),0)</x:f>
        <x:v>662</x:v>
      </x:c>
      <x:c r="J1323" s="18" t="n">
        <x:f>MIN(Model_Config_v3!$B$6,I1323+Model_Config_v3!$B$7)</x:f>
        <x:v>682</x:v>
      </x:c>
      <x:c r="K1323" s="20" t="n">
        <x:v>57.2</x:v>
      </x:c>
      <x:c r="L1323" t="str">
        <x:v>KETAT</x:v>
      </x:c>
      <x:c r="M1323" t="str">
        <x:v>SEDANG+</x:v>
      </x:c>
      <x:c r="N1323" t="str">
        <x:v>ELITE-3</x:v>
      </x:c>
      <x:c r="O1323" t="str">
        <x:v>CAMPURAN</x:v>
      </x:c>
      <x:c r="P1323" t="str">
        <x:v>UMUM</x:v>
      </x:c>
      <x:c r="Q1323" s="18" t="n">
        <x:v>625</x:v>
      </x:c>
      <x:c r="R1323" s="18" t="n">
        <x:v>0</x:v>
      </x:c>
      <x:c r="S1323" s="18" t="n">
        <x:v>635.5301699681205</x:v>
      </x:c>
      <x:c r="T1323" s="18" t="n">
        <x:v>674</x:v>
      </x:c>
      <x:c r="U1323" s="18" t="n">
        <x:v>635.5301699681205</x:v>
      </x:c>
      <x:c r="V1323" s="20" t="n">
        <x:v>8.8</x:v>
      </x:c>
      <x:c r="W1323" s="20" t="n">
        <x:v>9.9</x:v>
      </x:c>
      <x:c r="X1323" s="20" t="n">
        <x:v>3.3</x:v>
      </x:c>
      <x:c r="Y1323" t="str">
        <x:v>Basis arsip 2025/2024</x:v>
      </x:c>
      <x:c r="Z1323" t="str">
        <x:v>https://snpmb.id/utbk-snbt/daya-tampung-snbt</x:v>
      </x:c>
      <x:c r="AA1323" t="str">
        <x:v>Tidak Ada</x:v>
      </x:c>
      <x:c r="AB1323" t="str">
        <x:v>Campus=80; Ratio=61.8; Prodi=40; RelDemand=49.2; Capacity=8.3</x:v>
      </x:c>
    </x:row>
    <x:row r="1324">
      <x:c r="A1324" t="n">
        <x:v>1321</x:v>
      </x:c>
      <x:c r="B1324" t="str">
        <x:v>PTN Akademik</x:v>
      </x:c>
      <x:c r="C1324" t="str">
        <x:v>UNIVERSITAS PENDIDIKAN INDONESIA</x:v>
      </x:c>
      <x:c r="D1324" t="str">
        <x:v>PGPAUD KAMPUS CIBIRU</x:v>
      </x:c>
      <x:c r="E1324" t="str">
        <x:v>Sarjana</x:v>
      </x:c>
      <x:c r="F1324" s="18" t="n">
        <x:v>90</x:v>
      </x:c>
      <x:c r="G1324" s="18" t="n">
        <x:v>297</x:v>
      </x:c>
      <x:c r="H1324" s="19" t="n">
        <x:v>3.3</x:v>
      </x:c>
      <x:c r="I1324" s="18" t="n">
        <x:f>ROUND(MIN(Model_Config_v3!$B$6,MAX(Q1324,R1324,S1324*Model_Config_v3!$B$4+T1324*Model_Config_v3!$B$5)),0)</x:f>
        <x:v>632</x:v>
      </x:c>
      <x:c r="J1324" s="18" t="n">
        <x:f>MIN(Model_Config_v3!$B$6,I1324+Model_Config_v3!$B$7)</x:f>
        <x:v>652</x:v>
      </x:c>
      <x:c r="K1324" s="20" t="n">
        <x:v>47.6</x:v>
      </x:c>
      <x:c r="L1324" t="str">
        <x:v>MENENGAH</x:v>
      </x:c>
      <x:c r="M1324" t="str">
        <x:v>SEDANG+</x:v>
      </x:c>
      <x:c r="N1324" t="str">
        <x:v>ELITE-3</x:v>
      </x:c>
      <x:c r="O1324" t="str">
        <x:v>CAMPURAN</x:v>
      </x:c>
      <x:c r="P1324" t="str">
        <x:v>UMUM</x:v>
      </x:c>
      <x:c r="Q1324" s="18" t="n">
        <x:v>625</x:v>
      </x:c>
      <x:c r="R1324" s="18" t="n">
        <x:v>0</x:v>
      </x:c>
      <x:c r="S1324" s="18" t="n">
        <x:v>577.0365333865676</x:v>
      </x:c>
      <x:c r="T1324" s="18" t="n">
        <x:v>655</x:v>
      </x:c>
      <x:c r="U1324" s="18" t="n">
        <x:v>625</x:v>
      </x:c>
      <x:c r="V1324" s="20" t="n">
        <x:v>8.8</x:v>
      </x:c>
      <x:c r="W1324" s="20" t="n">
        <x:v>9.9</x:v>
      </x:c>
      <x:c r="X1324" s="20" t="n">
        <x:v>3.3</x:v>
      </x:c>
      <x:c r="Y1324" t="str">
        <x:v>Basis arsip 2025/2024</x:v>
      </x:c>
      <x:c r="Z1324" t="str">
        <x:v>https://snpmb.id/utbk-snbt/daya-tampung-snbt</x:v>
      </x:c>
      <x:c r="AA1324" t="str">
        <x:v>Tidak Ada</x:v>
      </x:c>
      <x:c r="AB1324" t="str">
        <x:v>Campus=80; Ratio=30.5; Prodi=40; RelDemand=14.5; Capacity=25.0</x:v>
      </x:c>
    </x:row>
    <x:row r="1325">
      <x:c r="A1325" t="n">
        <x:v>1322</x:v>
      </x:c>
      <x:c r="B1325" t="str">
        <x:v>PTN Akademik</x:v>
      </x:c>
      <x:c r="C1325" t="str">
        <x:v>UNIVERSITAS PENDIDIKAN INDONESIA</x:v>
      </x:c>
      <x:c r="D1325" t="str">
        <x:v>PGSD KAMPUS SUMEDANG</x:v>
      </x:c>
      <x:c r="E1325" t="str">
        <x:v>Sarjana</x:v>
      </x:c>
      <x:c r="F1325" s="18" t="n">
        <x:v>108</x:v>
      </x:c>
      <x:c r="G1325" s="18" t="n">
        <x:v>847</x:v>
      </x:c>
      <x:c r="H1325" s="19" t="n">
        <x:v>7.842592592592593</x:v>
      </x:c>
      <x:c r="I1325" s="18" t="n">
        <x:f>ROUND(MIN(Model_Config_v3!$B$6,MAX(Q1325,R1325,S1325*Model_Config_v3!$B$4+T1325*Model_Config_v3!$B$5)),0)</x:f>
        <x:v>652</x:v>
      </x:c>
      <x:c r="J1325" s="18" t="n">
        <x:f>MIN(Model_Config_v3!$B$6,I1325+Model_Config_v3!$B$7)</x:f>
        <x:v>672</x:v>
      </x:c>
      <x:c r="K1325" s="20" t="n">
        <x:v>53.6</x:v>
      </x:c>
      <x:c r="L1325" t="str">
        <x:v>MENENGAH</x:v>
      </x:c>
      <x:c r="M1325" t="str">
        <x:v>SEDANG+</x:v>
      </x:c>
      <x:c r="N1325" t="str">
        <x:v>ELITE-3</x:v>
      </x:c>
      <x:c r="O1325" t="str">
        <x:v>CAMPURAN</x:v>
      </x:c>
      <x:c r="P1325" t="str">
        <x:v>UMUM</x:v>
      </x:c>
      <x:c r="Q1325" s="18" t="n">
        <x:v>625</x:v>
      </x:c>
      <x:c r="R1325" s="18" t="n">
        <x:v>0</x:v>
      </x:c>
      <x:c r="S1325" s="18" t="n">
        <x:v>618.3905620328132</x:v>
      </x:c>
      <x:c r="T1325" s="18" t="n">
        <x:v>667</x:v>
      </x:c>
      <x:c r="U1325" s="18" t="n">
        <x:v>625</x:v>
      </x:c>
      <x:c r="V1325" s="20" t="n">
        <x:v>8.8</x:v>
      </x:c>
      <x:c r="W1325" s="20" t="n">
        <x:v>9.9</x:v>
      </x:c>
      <x:c r="X1325" s="20" t="n">
        <x:v>3.3</x:v>
      </x:c>
      <x:c r="Y1325" t="str">
        <x:v>Basis arsip 2025/2024</x:v>
      </x:c>
      <x:c r="Z1325" t="str">
        <x:v>https://snpmb.id/utbk-snbt/daya-tampung-snbt</x:v>
      </x:c>
      <x:c r="AA1325" t="str">
        <x:v>Tidak Ada</x:v>
      </x:c>
      <x:c r="AB1325" t="str">
        <x:v>Campus=80; Ratio=52.6; Prodi=40; RelDemand=34.4; Capacity=10.0</x:v>
      </x:c>
    </x:row>
    <x:row r="1326">
      <x:c r="A1326" t="n">
        <x:v>1323</x:v>
      </x:c>
      <x:c r="B1326" t="str">
        <x:v>PTN Akademik</x:v>
      </x:c>
      <x:c r="C1326" t="str">
        <x:v>UNIVERSITAS PENDIDIKAN INDONESIA</x:v>
      </x:c>
      <x:c r="D1326" t="str">
        <x:v>PGSD PENDIDIKAN JASMANI KAMPUS SUMEDANG</x:v>
      </x:c>
      <x:c r="E1326" t="str">
        <x:v>Sarjana</x:v>
      </x:c>
      <x:c r="F1326" s="18" t="n">
        <x:v>86</x:v>
      </x:c>
      <x:c r="G1326" s="18" t="n">
        <x:v>141</x:v>
      </x:c>
      <x:c r="H1326" s="19" t="n">
        <x:v>1.6395348837209303</x:v>
      </x:c>
      <x:c r="I1326" s="18" t="n">
        <x:f>ROUND(MIN(Model_Config_v3!$B$6,MAX(Q1326,R1326,S1326*Model_Config_v3!$B$4+T1326*Model_Config_v3!$B$5)),0)</x:f>
        <x:v>625</x:v>
      </x:c>
      <x:c r="J1326" s="18" t="n">
        <x:f>MIN(Model_Config_v3!$B$6,I1326+Model_Config_v3!$B$7)</x:f>
        <x:v>645</x:v>
      </x:c>
      <x:c r="K1326" s="20" t="n">
        <x:v>43.7</x:v>
      </x:c>
      <x:c r="L1326" t="str">
        <x:v>RELATIF LONGGAR</x:v>
      </x:c>
      <x:c r="M1326" t="str">
        <x:v>PORTOFOLIO</x:v>
      </x:c>
      <x:c r="N1326" t="str">
        <x:v>ELITE-3</x:v>
      </x:c>
      <x:c r="O1326" t="str">
        <x:v>SENI/OLAHRAGA</x:v>
      </x:c>
      <x:c r="P1326" t="str">
        <x:v>SENI/OLAHRAGA</x:v>
      </x:c>
      <x:c r="Q1326" s="18" t="n">
        <x:v>625</x:v>
      </x:c>
      <x:c r="R1326" s="18" t="n">
        <x:v>0</x:v>
      </x:c>
      <x:c r="S1326" s="18" t="n">
        <x:v>543.6192727552993</x:v>
      </x:c>
      <x:c r="T1326" s="18" t="n">
        <x:v>647</x:v>
      </x:c>
      <x:c r="U1326" s="18" t="n">
        <x:v>625</x:v>
      </x:c>
      <x:c r="V1326" s="20" t="n">
        <x:v>4.4</x:v>
      </x:c>
      <x:c r="W1326" s="20" t="n">
        <x:v>9.9</x:v>
      </x:c>
      <x:c r="X1326" s="20" t="n">
        <x:v>7.7</x:v>
      </x:c>
      <x:c r="Y1326" t="str">
        <x:v>Basis arsip 2025/2024</x:v>
      </x:c>
      <x:c r="Z1326" t="str">
        <x:v>https://snpmb.id/utbk-snbt/daya-tampung-snbt</x:v>
      </x:c>
      <x:c r="AA1326" t="str">
        <x:v>Olahraga</x:v>
      </x:c>
      <x:c r="AB1326" t="str">
        <x:v>Campus=80; Ratio=12.6; Prodi=45; RelDemand=7.2; Capacity=28.3</x:v>
      </x:c>
    </x:row>
    <x:row r="1327">
      <x:c r="A1327" t="n">
        <x:v>1324</x:v>
      </x:c>
      <x:c r="B1327" t="str">
        <x:v>PTN Akademik</x:v>
      </x:c>
      <x:c r="C1327" t="str">
        <x:v>UNIVERSITAS PENDIDIKAN INDONESIA</x:v>
      </x:c>
      <x:c r="D1327" t="str">
        <x:v>PGSD KAMPUS PURWAKARTA</x:v>
      </x:c>
      <x:c r="E1327" t="str">
        <x:v>Sarjana</x:v>
      </x:c>
      <x:c r="F1327" s="18" t="n">
        <x:v>60</x:v>
      </x:c>
      <x:c r="G1327" s="18" t="n">
        <x:v>588</x:v>
      </x:c>
      <x:c r="H1327" s="19" t="n">
        <x:v>9.8</x:v>
      </x:c>
      <x:c r="I1327" s="18" t="n">
        <x:f>ROUND(MIN(Model_Config_v3!$B$6,MAX(Q1327,R1327,S1327*Model_Config_v3!$B$4+T1327*Model_Config_v3!$B$5)),0)</x:f>
        <x:v>665</x:v>
      </x:c>
      <x:c r="J1327" s="18" t="n">
        <x:f>MIN(Model_Config_v3!$B$6,I1327+Model_Config_v3!$B$7)</x:f>
        <x:v>685</x:v>
      </x:c>
      <x:c r="K1327" s="20" t="n">
        <x:v>59.9</x:v>
      </x:c>
      <x:c r="L1327" t="str">
        <x:v>KETAT</x:v>
      </x:c>
      <x:c r="M1327" t="str">
        <x:v>SEDANG+</x:v>
      </x:c>
      <x:c r="N1327" t="str">
        <x:v>ELITE-3</x:v>
      </x:c>
      <x:c r="O1327" t="str">
        <x:v>CAMPURAN</x:v>
      </x:c>
      <x:c r="P1327" t="str">
        <x:v>UMUM</x:v>
      </x:c>
      <x:c r="Q1327" s="18" t="n">
        <x:v>625</x:v>
      </x:c>
      <x:c r="R1327" s="18" t="n">
        <x:v>0</x:v>
      </x:c>
      <x:c r="S1327" s="18" t="n">
        <x:v>629.0348683261744</x:v>
      </x:c>
      <x:c r="T1327" s="18" t="n">
        <x:v>680</x:v>
      </x:c>
      <x:c r="U1327" s="18" t="n">
        <x:v>629.0348683261744</x:v>
      </x:c>
      <x:c r="V1327" s="20" t="n">
        <x:v>8.8</x:v>
      </x:c>
      <x:c r="W1327" s="20" t="n">
        <x:v>9.9</x:v>
      </x:c>
      <x:c r="X1327" s="20" t="n">
        <x:v>3.3</x:v>
      </x:c>
      <x:c r="Y1327" t="str">
        <x:v>Basis arsip 2025/2024</x:v>
      </x:c>
      <x:c r="Z1327" t="str">
        <x:v>https://snpmb.id/utbk-snbt/daya-tampung-snbt</x:v>
      </x:c>
      <x:c r="AA1327" t="str">
        <x:v>Tidak Ada</x:v>
      </x:c>
      <x:c r="AB1327" t="str">
        <x:v>Campus=80; Ratio=58.3; Prodi=40; RelDemand=43.0; Capacity=50.0</x:v>
      </x:c>
    </x:row>
    <x:row r="1328">
      <x:c r="A1328" t="n">
        <x:v>1325</x:v>
      </x:c>
      <x:c r="B1328" t="str">
        <x:v>PTN Akademik</x:v>
      </x:c>
      <x:c r="C1328" t="str">
        <x:v>UNIVERSITAS PENDIDIKAN INDONESIA</x:v>
      </x:c>
      <x:c r="D1328" t="str">
        <x:v>PGSD KAMPUS TASIKMALAYA</x:v>
      </x:c>
      <x:c r="E1328" t="str">
        <x:v>Sarjana</x:v>
      </x:c>
      <x:c r="F1328" s="18" t="n">
        <x:v>85</x:v>
      </x:c>
      <x:c r="G1328" s="18" t="n">
        <x:v>871</x:v>
      </x:c>
      <x:c r="H1328" s="19" t="n">
        <x:v>10.24705882352941</x:v>
      </x:c>
      <x:c r="I1328" s="18" t="n">
        <x:f>ROUND(MIN(Model_Config_v3!$B$6,MAX(Q1328,R1328,S1328*Model_Config_v3!$B$4+T1328*Model_Config_v3!$B$5)),0)</x:f>
        <x:v>663</x:v>
      </x:c>
      <x:c r="J1328" s="18" t="n">
        <x:f>MIN(Model_Config_v3!$B$6,I1328+Model_Config_v3!$B$7)</x:f>
        <x:v>683</x:v>
      </x:c>
      <x:c r="K1328" s="20" t="n">
        <x:v>58.3</x:v>
      </x:c>
      <x:c r="L1328" t="str">
        <x:v>KETAT</x:v>
      </x:c>
      <x:c r="M1328" t="str">
        <x:v>SEDANG+</x:v>
      </x:c>
      <x:c r="N1328" t="str">
        <x:v>ELITE-3</x:v>
      </x:c>
      <x:c r="O1328" t="str">
        <x:v>CAMPURAN</x:v>
      </x:c>
      <x:c r="P1328" t="str">
        <x:v>UMUM</x:v>
      </x:c>
      <x:c r="Q1328" s="18" t="n">
        <x:v>625</x:v>
      </x:c>
      <x:c r="R1328" s="18" t="n">
        <x:v>0</x:v>
      </x:c>
      <x:c r="S1328" s="18" t="n">
        <x:v>631.1659152222708</x:v>
      </x:c>
      <x:c r="T1328" s="18" t="n">
        <x:v>677</x:v>
      </x:c>
      <x:c r="U1328" s="18" t="n">
        <x:v>631.1659152222708</x:v>
      </x:c>
      <x:c r="V1328" s="20" t="n">
        <x:v>8.8</x:v>
      </x:c>
      <x:c r="W1328" s="20" t="n">
        <x:v>9.9</x:v>
      </x:c>
      <x:c r="X1328" s="20" t="n">
        <x:v>3.3</x:v>
      </x:c>
      <x:c r="Y1328" t="str">
        <x:v>Basis arsip 2025/2024</x:v>
      </x:c>
      <x:c r="Z1328" t="str">
        <x:v>https://snpmb.id/utbk-snbt/daya-tampung-snbt</x:v>
      </x:c>
      <x:c r="AA1328" t="str">
        <x:v>Tidak Ada</x:v>
      </x:c>
      <x:c r="AB1328" t="str">
        <x:v>Campus=80; Ratio=59.5; Prodi=40; RelDemand=44.9; Capacity=29.2</x:v>
      </x:c>
    </x:row>
    <x:row r="1329">
      <x:c r="A1329" t="n">
        <x:v>1326</x:v>
      </x:c>
      <x:c r="B1329" t="str">
        <x:v>PTN Akademik</x:v>
      </x:c>
      <x:c r="C1329" t="str">
        <x:v>UNIVERSITAS PENDIDIKAN INDONESIA</x:v>
      </x:c>
      <x:c r="D1329" t="str">
        <x:v>PGSD KAMPUS SERANG</x:v>
      </x:c>
      <x:c r="E1329" t="str">
        <x:v>Sarjana</x:v>
      </x:c>
      <x:c r="F1329" s="18" t="n">
        <x:v>118</x:v>
      </x:c>
      <x:c r="G1329" s="18" t="n">
        <x:v>504</x:v>
      </x:c>
      <x:c r="H1329" s="19" t="n">
        <x:v>4.271186440677966</x:v>
      </x:c>
      <x:c r="I1329" s="18" t="n">
        <x:f>ROUND(MIN(Model_Config_v3!$B$6,MAX(Q1329,R1329,S1329*Model_Config_v3!$B$4+T1329*Model_Config_v3!$B$5)),0)</x:f>
        <x:v>635</x:v>
      </x:c>
      <x:c r="J1329" s="18" t="n">
        <x:f>MIN(Model_Config_v3!$B$6,I1329+Model_Config_v3!$B$7)</x:f>
        <x:v>655</x:v>
      </x:c>
      <x:c r="K1329" s="20" t="n">
        <x:v>47.3</x:v>
      </x:c>
      <x:c r="L1329" t="str">
        <x:v>MENENGAH</x:v>
      </x:c>
      <x:c r="M1329" t="str">
        <x:v>SEDANG+</x:v>
      </x:c>
      <x:c r="N1329" t="str">
        <x:v>ELITE-3</x:v>
      </x:c>
      <x:c r="O1329" t="str">
        <x:v>CAMPURAN</x:v>
      </x:c>
      <x:c r="P1329" t="str">
        <x:v>UMUM</x:v>
      </x:c>
      <x:c r="Q1329" s="18" t="n">
        <x:v>625</x:v>
      </x:c>
      <x:c r="R1329" s="18" t="n">
        <x:v>0</x:v>
      </x:c>
      <x:c r="S1329" s="18" t="n">
        <x:v>589.360338205334</x:v>
      </x:c>
      <x:c r="T1329" s="18" t="n">
        <x:v>655</x:v>
      </x:c>
      <x:c r="U1329" s="18" t="n">
        <x:v>625</x:v>
      </x:c>
      <x:c r="V1329" s="20" t="n">
        <x:v>8.8</x:v>
      </x:c>
      <x:c r="W1329" s="20" t="n">
        <x:v>9.9</x:v>
      </x:c>
      <x:c r="X1329" s="20" t="n">
        <x:v>3.3</x:v>
      </x:c>
      <x:c r="Y1329" t="str">
        <x:v>Basis arsip 2025/2024</x:v>
      </x:c>
      <x:c r="Z1329" t="str">
        <x:v>https://snpmb.id/utbk-snbt/daya-tampung-snbt</x:v>
      </x:c>
      <x:c r="AA1329" t="str">
        <x:v>Tidak Ada</x:v>
      </x:c>
      <x:c r="AB1329" t="str">
        <x:v>Campus=80; Ratio=37.1; Prodi=40; RelDemand=18.7; Capacity=1.7</x:v>
      </x:c>
    </x:row>
    <x:row r="1330">
      <x:c r="A1330" t="n">
        <x:v>1327</x:v>
      </x:c>
      <x:c r="B1330" t="str">
        <x:v>PTN Akademik</x:v>
      </x:c>
      <x:c r="C1330" t="str">
        <x:v>UNIVERSITAS PENDIDIKAN INDONESIA</x:v>
      </x:c>
      <x:c r="D1330" t="str">
        <x:v>PGSD KAMPUS BUMI SILIWANGI</x:v>
      </x:c>
      <x:c r="E1330" t="str">
        <x:v>Sarjana</x:v>
      </x:c>
      <x:c r="F1330" s="18" t="n">
        <x:v>86</x:v>
      </x:c>
      <x:c r="G1330" s="18" t="n">
        <x:v>1199</x:v>
      </x:c>
      <x:c r="H1330" s="19" t="n">
        <x:v>13.94186046511628</x:v>
      </x:c>
      <x:c r="I1330" s="18" t="n">
        <x:f>ROUND(MIN(Model_Config_v3!$B$6,MAX(Q1330,R1330,S1330*Model_Config_v3!$B$4+T1330*Model_Config_v3!$B$5)),0)</x:f>
        <x:v>673</x:v>
      </x:c>
      <x:c r="J1330" s="18" t="n">
        <x:f>MIN(Model_Config_v3!$B$6,I1330+Model_Config_v3!$B$7)</x:f>
        <x:v>693</x:v>
      </x:c>
      <x:c r="K1330" s="20" t="n">
        <x:v>61.8</x:v>
      </x:c>
      <x:c r="L1330" t="str">
        <x:v>KETAT</x:v>
      </x:c>
      <x:c r="M1330" t="str">
        <x:v>SEDANG+</x:v>
      </x:c>
      <x:c r="N1330" t="str">
        <x:v>ELITE-3</x:v>
      </x:c>
      <x:c r="O1330" t="str">
        <x:v>CAMPURAN</x:v>
      </x:c>
      <x:c r="P1330" t="str">
        <x:v>UMUM</x:v>
      </x:c>
      <x:c r="Q1330" s="18" t="n">
        <x:v>625</x:v>
      </x:c>
      <x:c r="R1330" s="18" t="n">
        <x:v>0</x:v>
      </x:c>
      <x:c r="S1330" s="18" t="n">
        <x:v>645.8752805040809</x:v>
      </x:c>
      <x:c r="T1330" s="18" t="n">
        <x:v>684</x:v>
      </x:c>
      <x:c r="U1330" s="18" t="n">
        <x:v>645.8752805040809</x:v>
      </x:c>
      <x:c r="V1330" s="20" t="n">
        <x:v>8.8</x:v>
      </x:c>
      <x:c r="W1330" s="20" t="n">
        <x:v>9.9</x:v>
      </x:c>
      <x:c r="X1330" s="20" t="n">
        <x:v>3.3</x:v>
      </x:c>
      <x:c r="Y1330" t="str">
        <x:v>Basis arsip 2025/2024</x:v>
      </x:c>
      <x:c r="Z1330" t="str">
        <x:v>https://snpmb.id/utbk-snbt/daya-tampung-snbt</x:v>
      </x:c>
      <x:c r="AA1330" t="str">
        <x:v>Tidak Ada</x:v>
      </x:c>
      <x:c r="AB1330" t="str">
        <x:v>Campus=80; Ratio=67.4; Prodi=40; RelDemand=61.1; Capacity=28.3</x:v>
      </x:c>
    </x:row>
    <x:row r="1331">
      <x:c r="A1331" t="n">
        <x:v>1328</x:v>
      </x:c>
      <x:c r="B1331" t="str">
        <x:v>PTN Akademik</x:v>
      </x:c>
      <x:c r="C1331" t="str">
        <x:v>UNIVERSITAS PENDIDIKAN INDONESIA</x:v>
      </x:c>
      <x:c r="D1331" t="str">
        <x:v>PGPAUD KAMPUS BUMI SILIWANGI</x:v>
      </x:c>
      <x:c r="E1331" t="str">
        <x:v>Sarjana</x:v>
      </x:c>
      <x:c r="F1331" s="18" t="n">
        <x:v>55</x:v>
      </x:c>
      <x:c r="G1331" s="18" t="n">
        <x:v>262</x:v>
      </x:c>
      <x:c r="H1331" s="19" t="n">
        <x:v>4.763636363636364</x:v>
      </x:c>
      <x:c r="I1331" s="18" t="n">
        <x:f>ROUND(MIN(Model_Config_v3!$B$6,MAX(Q1331,R1331,S1331*Model_Config_v3!$B$4+T1331*Model_Config_v3!$B$5)),0)</x:f>
        <x:v>645</x:v>
      </x:c>
      <x:c r="J1331" s="18" t="n">
        <x:f>MIN(Model_Config_v3!$B$6,I1331+Model_Config_v3!$B$7)</x:f>
        <x:v>665</x:v>
      </x:c>
      <x:c r="K1331" s="20" t="n">
        <x:v>53.5</x:v>
      </x:c>
      <x:c r="L1331" t="str">
        <x:v>MENENGAH</x:v>
      </x:c>
      <x:c r="M1331" t="str">
        <x:v>SEDANG+</x:v>
      </x:c>
      <x:c r="N1331" t="str">
        <x:v>ELITE-3</x:v>
      </x:c>
      <x:c r="O1331" t="str">
        <x:v>CAMPURAN</x:v>
      </x:c>
      <x:c r="P1331" t="str">
        <x:v>UMUM</x:v>
      </x:c>
      <x:c r="Q1331" s="18" t="n">
        <x:v>625</x:v>
      </x:c>
      <x:c r="R1331" s="18" t="n">
        <x:v>0</x:v>
      </x:c>
      <x:c r="S1331" s="18" t="n">
        <x:v>594.5732462008052</x:v>
      </x:c>
      <x:c r="T1331" s="18" t="n">
        <x:v>667</x:v>
      </x:c>
      <x:c r="U1331" s="18" t="n">
        <x:v>625</x:v>
      </x:c>
      <x:c r="V1331" s="20" t="n">
        <x:v>8.8</x:v>
      </x:c>
      <x:c r="W1331" s="20" t="n">
        <x:v>9.9</x:v>
      </x:c>
      <x:c r="X1331" s="20" t="n">
        <x:v>3.3</x:v>
      </x:c>
      <x:c r="Y1331" t="str">
        <x:v>Basis arsip 2025/2024</x:v>
      </x:c>
      <x:c r="Z1331" t="str">
        <x:v>https://snpmb.id/utbk-snbt/daya-tampung-snbt</x:v>
      </x:c>
      <x:c r="AA1331" t="str">
        <x:v>Tidak Ada</x:v>
      </x:c>
      <x:c r="AB1331" t="str">
        <x:v>Campus=80; Ratio=39.9; Prodi=40; RelDemand=20.9; Capacity=54.2</x:v>
      </x:c>
    </x:row>
    <x:row r="1332">
      <x:c r="A1332" t="n">
        <x:v>1329</x:v>
      </x:c>
      <x:c r="B1332" t="str">
        <x:v>PTN Akademik</x:v>
      </x:c>
      <x:c r="C1332" t="str">
        <x:v>UNIVERSITAS PENDIDIKAN INDONESIA</x:v>
      </x:c>
      <x:c r="D1332" t="str">
        <x:v>ILMU KOMUNIKASI</x:v>
      </x:c>
      <x:c r="E1332" t="str">
        <x:v>Sarjana</x:v>
      </x:c>
      <x:c r="F1332" s="18" t="n">
        <x:v>30</x:v>
      </x:c>
      <x:c r="G1332" s="18" t="n">
        <x:v>2104</x:v>
      </x:c>
      <x:c r="H1332" s="19" t="n">
        <x:v>70.13333333333334</x:v>
      </x:c>
      <x:c r="I1332" s="18" t="n">
        <x:f>ROUND(MIN(Model_Config_v3!$B$6,MAX(Q1332,R1332,S1332*Model_Config_v3!$B$4+T1332*Model_Config_v3!$B$5)),0)</x:f>
        <x:v>719</x:v>
      </x:c>
      <x:c r="J1332" s="18" t="n">
        <x:f>MIN(Model_Config_v3!$B$6,I1332+Model_Config_v3!$B$7)</x:f>
        <x:v>739</x:v>
      </x:c>
      <x:c r="K1332" s="20" t="n">
        <x:v>78.5</x:v>
      </x:c>
      <x:c r="L1332" t="str">
        <x:v>ELITE</x:v>
      </x:c>
      <x:c r="M1332" t="str">
        <x:v>SEDANG+</x:v>
      </x:c>
      <x:c r="N1332" t="str">
        <x:v>ELITE-3</x:v>
      </x:c>
      <x:c r="O1332" t="str">
        <x:v>SOSHUM</x:v>
      </x:c>
      <x:c r="P1332" t="str">
        <x:v>UMUM</x:v>
      </x:c>
      <x:c r="Q1332" s="18" t="n">
        <x:v>625</x:v>
      </x:c>
      <x:c r="R1332" s="18" t="n">
        <x:v>0</x:v>
      </x:c>
      <x:c r="S1332" s="18" t="n">
        <x:v>723.0516928838242</x:v>
      </x:c>
      <x:c r="T1332" s="18" t="n">
        <x:v>717</x:v>
      </x:c>
      <x:c r="U1332" s="18" t="n">
        <x:v>723.0516928838242</x:v>
      </x:c>
      <x:c r="V1332" s="20" t="n">
        <x:v>4.4</x:v>
      </x:c>
      <x:c r="W1332" s="20" t="n">
        <x:v>14.3</x:v>
      </x:c>
      <x:c r="X1332" s="20" t="n">
        <x:v>3.3</x:v>
      </x:c>
      <x:c r="Y1332" t="str">
        <x:v>Basis arsip 2025/2024</x:v>
      </x:c>
      <x:c r="Z1332" t="str">
        <x:v>https://snpmb.id/utbk-snbt/daya-tampung-snbt</x:v>
      </x:c>
      <x:c r="AA1332" t="str">
        <x:v>Tidak Ada</x:v>
      </x:c>
      <x:c r="AB1332" t="str">
        <x:v>Campus=80; Ratio=100.0; Prodi=40; RelDemand=100.0; Capacity=75.0</x:v>
      </x:c>
    </x:row>
    <x:row r="1333">
      <x:c r="A1333" t="n">
        <x:v>1330</x:v>
      </x:c>
      <x:c r="B1333" t="str">
        <x:v>PTN Akademik</x:v>
      </x:c>
      <x:c r="C1333" t="str">
        <x:v>UNIVERSITAS PENDIDIKAN INDONESIA</x:v>
      </x:c>
      <x:c r="D1333" t="str">
        <x:v>PGPAUD KAMPUS SERANG</x:v>
      </x:c>
      <x:c r="E1333" t="str">
        <x:v>Sarjana</x:v>
      </x:c>
      <x:c r="F1333" s="18" t="n">
        <x:v>60</x:v>
      </x:c>
      <x:c r="G1333" s="18" t="n">
        <x:v>75</x:v>
      </x:c>
      <x:c r="H1333" s="19" t="n">
        <x:v>1.25</x:v>
      </x:c>
      <x:c r="I1333" s="18" t="n">
        <x:f>ROUND(MIN(Model_Config_v3!$B$6,MAX(Q1333,R1333,S1333*Model_Config_v3!$B$4+T1333*Model_Config_v3!$B$5)),0)</x:f>
        <x:v>625</x:v>
      </x:c>
      <x:c r="J1333" s="18" t="n">
        <x:f>MIN(Model_Config_v3!$B$6,I1333+Model_Config_v3!$B$7)</x:f>
        <x:v>645</x:v>
      </x:c>
      <x:c r="K1333" s="20" t="n">
        <x:v>43</x:v>
      </x:c>
      <x:c r="L1333" t="str">
        <x:v>RELATIF LONGGAR</x:v>
      </x:c>
      <x:c r="M1333" t="str">
        <x:v>SEDANG+</x:v>
      </x:c>
      <x:c r="N1333" t="str">
        <x:v>ELITE-3</x:v>
      </x:c>
      <x:c r="O1333" t="str">
        <x:v>CAMPURAN</x:v>
      </x:c>
      <x:c r="P1333" t="str">
        <x:v>UMUM</x:v>
      </x:c>
      <x:c r="Q1333" s="18" t="n">
        <x:v>625</x:v>
      </x:c>
      <x:c r="R1333" s="18" t="n">
        <x:v>0</x:v>
      </x:c>
      <x:c r="S1333" s="18" t="n">
        <x:v>530.6601014308862</x:v>
      </x:c>
      <x:c r="T1333" s="18" t="n">
        <x:v>646</x:v>
      </x:c>
      <x:c r="U1333" s="18" t="n">
        <x:v>625</x:v>
      </x:c>
      <x:c r="V1333" s="20" t="n">
        <x:v>8.8</x:v>
      </x:c>
      <x:c r="W1333" s="20" t="n">
        <x:v>9.9</x:v>
      </x:c>
      <x:c r="X1333" s="20" t="n">
        <x:v>3.3</x:v>
      </x:c>
      <x:c r="Y1333" t="str">
        <x:v>Basis arsip 2025/2024</x:v>
      </x:c>
      <x:c r="Z1333" t="str">
        <x:v>https://snpmb.id/utbk-snbt/daya-tampung-snbt</x:v>
      </x:c>
      <x:c r="AA1333" t="str">
        <x:v>Tidak Ada</x:v>
      </x:c>
      <x:c r="AB1333" t="str">
        <x:v>Campus=80; Ratio=5.7; Prodi=40; RelDemand=5.5; Capacity=50.0</x:v>
      </x:c>
    </x:row>
    <x:row r="1334">
      <x:c r="A1334" t="n">
        <x:v>1331</x:v>
      </x:c>
      <x:c r="B1334" t="str">
        <x:v>PTN Akademik</x:v>
      </x:c>
      <x:c r="C1334" t="str">
        <x:v>UNIVERSITAS PENDIDIKAN INDONESIA</x:v>
      </x:c>
      <x:c r="D1334" t="str">
        <x:v>ILMU EKONOMI DAN KEUANGAN ISLAM</x:v>
      </x:c>
      <x:c r="E1334" t="str">
        <x:v>Sarjana</x:v>
      </x:c>
      <x:c r="F1334" s="18" t="n">
        <x:v>60</x:v>
      </x:c>
      <x:c r="G1334" s="18" t="n">
        <x:v>585</x:v>
      </x:c>
      <x:c r="H1334" s="19" t="n">
        <x:v>9.75</x:v>
      </x:c>
      <x:c r="I1334" s="18" t="n">
        <x:f>ROUND(MIN(Model_Config_v3!$B$6,MAX(Q1334,R1334,S1334*Model_Config_v3!$B$4+T1334*Model_Config_v3!$B$5)),0)</x:f>
        <x:v>672</x:v>
      </x:c>
      <x:c r="J1334" s="18" t="n">
        <x:f>MIN(Model_Config_v3!$B$6,I1334+Model_Config_v3!$B$7)</x:f>
        <x:v>692</x:v>
      </x:c>
      <x:c r="K1334" s="20" t="n">
        <x:v>64.8</x:v>
      </x:c>
      <x:c r="L1334" t="str">
        <x:v>KETAT</x:v>
      </x:c>
      <x:c r="M1334" t="str">
        <x:v>SEDANG+</x:v>
      </x:c>
      <x:c r="N1334" t="str">
        <x:v>ELITE-3</x:v>
      </x:c>
      <x:c r="O1334" t="str">
        <x:v>SOSHUM</x:v>
      </x:c>
      <x:c r="P1334" t="str">
        <x:v>BISNIS/EKONOMI/AKUNTANSI</x:v>
      </x:c>
      <x:c r="Q1334" s="18" t="n">
        <x:v>625</x:v>
      </x:c>
      <x:c r="R1334" s="18" t="n">
        <x:v>0</x:v>
      </x:c>
      <x:c r="S1334" s="18" t="n">
        <x:v>628.790507726839</x:v>
      </x:c>
      <x:c r="T1334" s="18" t="n">
        <x:v>690</x:v>
      </x:c>
      <x:c r="U1334" s="18" t="n">
        <x:v>628.790507726839</x:v>
      </x:c>
      <x:c r="V1334" s="20" t="n">
        <x:v>4.4</x:v>
      </x:c>
      <x:c r="W1334" s="20" t="n">
        <x:v>14.3</x:v>
      </x:c>
      <x:c r="X1334" s="20" t="n">
        <x:v>3.3</x:v>
      </x:c>
      <x:c r="Y1334" t="str">
        <x:v>Basis arsip 2025/2024</x:v>
      </x:c>
      <x:c r="Z1334" t="str">
        <x:v>https://snpmb.id/utbk-snbt/daya-tampung-snbt</x:v>
      </x:c>
      <x:c r="AA1334" t="str">
        <x:v>Tidak Ada</x:v>
      </x:c>
      <x:c r="AB1334" t="str">
        <x:v>Campus=80; Ratio=58.2; Prodi=65; RelDemand=42.8; Capacity=50.0</x:v>
      </x:c>
    </x:row>
    <x:row r="1335">
      <x:c r="A1335" t="n">
        <x:v>1332</x:v>
      </x:c>
      <x:c r="B1335" t="str">
        <x:v>PTN Akademik</x:v>
      </x:c>
      <x:c r="C1335" t="str">
        <x:v>UNIVERSITAS PENDIDIKAN INDONESIA</x:v>
      </x:c>
      <x:c r="D1335" t="str">
        <x:v>PGPAUD KAMPUS TASIKMALAYA</x:v>
      </x:c>
      <x:c r="E1335" t="str">
        <x:v>Sarjana</x:v>
      </x:c>
      <x:c r="F1335" s="18" t="n">
        <x:v>54</x:v>
      </x:c>
      <x:c r="G1335" s="18" t="n">
        <x:v>153</x:v>
      </x:c>
      <x:c r="H1335" s="19" t="n">
        <x:v>2.8333333333333335</x:v>
      </x:c>
      <x:c r="I1335" s="18" t="n">
        <x:f>ROUND(MIN(Model_Config_v3!$B$6,MAX(Q1335,R1335,S1335*Model_Config_v3!$B$4+T1335*Model_Config_v3!$B$5)),0)</x:f>
        <x:v>632</x:v>
      </x:c>
      <x:c r="J1335" s="18" t="n">
        <x:f>MIN(Model_Config_v3!$B$6,I1335+Model_Config_v3!$B$7)</x:f>
        <x:v>652</x:v>
      </x:c>
      <x:c r="K1335" s="20" t="n">
        <x:v>49.4</x:v>
      </x:c>
      <x:c r="L1335" t="str">
        <x:v>MENENGAH</x:v>
      </x:c>
      <x:c r="M1335" t="str">
        <x:v>SEDANG+</x:v>
      </x:c>
      <x:c r="N1335" t="str">
        <x:v>ELITE-3</x:v>
      </x:c>
      <x:c r="O1335" t="str">
        <x:v>CAMPURAN</x:v>
      </x:c>
      <x:c r="P1335" t="str">
        <x:v>UMUM</x:v>
      </x:c>
      <x:c r="Q1335" s="18" t="n">
        <x:v>625</x:v>
      </x:c>
      <x:c r="R1335" s="18" t="n">
        <x:v>0</x:v>
      </x:c>
      <x:c r="S1335" s="18" t="n">
        <x:v>569.7527438094094</x:v>
      </x:c>
      <x:c r="T1335" s="18" t="n">
        <x:v>659</x:v>
      </x:c>
      <x:c r="U1335" s="18" t="n">
        <x:v>625</x:v>
      </x:c>
      <x:c r="V1335" s="20" t="n">
        <x:v>8.8</x:v>
      </x:c>
      <x:c r="W1335" s="20" t="n">
        <x:v>9.9</x:v>
      </x:c>
      <x:c r="X1335" s="20" t="n">
        <x:v>3.3</x:v>
      </x:c>
      <x:c r="Y1335" t="str">
        <x:v>Basis arsip 2025/2024</x:v>
      </x:c>
      <x:c r="Z1335" t="str">
        <x:v>https://snpmb.id/utbk-snbt/daya-tampung-snbt</x:v>
      </x:c>
      <x:c r="AA1335" t="str">
        <x:v>Tidak Ada</x:v>
      </x:c>
      <x:c r="AB1335" t="str">
        <x:v>Campus=80; Ratio=26.6; Prodi=40; RelDemand=12.4; Capacity=55.0</x:v>
      </x:c>
    </x:row>
    <x:row r="1336">
      <x:c r="A1336" t="n">
        <x:v>1333</x:v>
      </x:c>
      <x:c r="B1336" t="str">
        <x:v>PTN Akademik</x:v>
      </x:c>
      <x:c r="C1336" t="str">
        <x:v>UNIVERSITAS PENDIDIKAN INDONESIA</x:v>
      </x:c>
      <x:c r="D1336" t="str">
        <x:v>PGPAUD KAMPUS PURWAKARTA</x:v>
      </x:c>
      <x:c r="E1336" t="str">
        <x:v>Sarjana</x:v>
      </x:c>
      <x:c r="F1336" s="18" t="n">
        <x:v>50</x:v>
      </x:c>
      <x:c r="G1336" s="18" t="n">
        <x:v>129</x:v>
      </x:c>
      <x:c r="H1336" s="19" t="n">
        <x:v>2.58</x:v>
      </x:c>
      <x:c r="I1336" s="18" t="n">
        <x:f>ROUND(MIN(Model_Config_v3!$B$6,MAX(Q1336,R1336,S1336*Model_Config_v3!$B$4+T1336*Model_Config_v3!$B$5)),0)</x:f>
        <x:v>630</x:v>
      </x:c>
      <x:c r="J1336" s="18" t="n">
        <x:f>MIN(Model_Config_v3!$B$6,I1336+Model_Config_v3!$B$7)</x:f>
        <x:v>650</x:v>
      </x:c>
      <x:c r="K1336" s="20" t="n">
        <x:v>49</x:v>
      </x:c>
      <x:c r="L1336" t="str">
        <x:v>MENENGAH</x:v>
      </x:c>
      <x:c r="M1336" t="str">
        <x:v>SEDANG+</x:v>
      </x:c>
      <x:c r="N1336" t="str">
        <x:v>ELITE-3</x:v>
      </x:c>
      <x:c r="O1336" t="str">
        <x:v>CAMPURAN</x:v>
      </x:c>
      <x:c r="P1336" t="str">
        <x:v>UMUM</x:v>
      </x:c>
      <x:c r="Q1336" s="18" t="n">
        <x:v>625</x:v>
      </x:c>
      <x:c r="R1336" s="18" t="n">
        <x:v>0</x:v>
      </x:c>
      <x:c r="S1336" s="18" t="n">
        <x:v>565.2781676559553</x:v>
      </x:c>
      <x:c r="T1336" s="18" t="n">
        <x:v>658</x:v>
      </x:c>
      <x:c r="U1336" s="18" t="n">
        <x:v>625</x:v>
      </x:c>
      <x:c r="V1336" s="20" t="n">
        <x:v>8.8</x:v>
      </x:c>
      <x:c r="W1336" s="20" t="n">
        <x:v>9.9</x:v>
      </x:c>
      <x:c r="X1336" s="20" t="n">
        <x:v>3.3</x:v>
      </x:c>
      <x:c r="Y1336" t="str">
        <x:v>Basis arsip 2025/2024</x:v>
      </x:c>
      <x:c r="Z1336" t="str">
        <x:v>https://snpmb.id/utbk-snbt/daya-tampung-snbt</x:v>
      </x:c>
      <x:c r="AA1336" t="str">
        <x:v>Tidak Ada</x:v>
      </x:c>
      <x:c r="AB1336" t="str">
        <x:v>Campus=80; Ratio=24.2; Prodi=40; RelDemand=11.3; Capacity=58.3</x:v>
      </x:c>
    </x:row>
    <x:row r="1337">
      <x:c r="A1337" t="n">
        <x:v>1334</x:v>
      </x:c>
      <x:c r="B1337" t="str">
        <x:v>PTN Akademik</x:v>
      </x:c>
      <x:c r="C1337" t="str">
        <x:v>UNIVERSITAS PENDIDIKAN INDONESIA</x:v>
      </x:c>
      <x:c r="D1337" t="str">
        <x:v>PENDIDIKAN BAHASA KOREA</x:v>
      </x:c>
      <x:c r="E1337" t="str">
        <x:v>Sarjana</x:v>
      </x:c>
      <x:c r="F1337" s="18" t="n">
        <x:v>36</x:v>
      </x:c>
      <x:c r="G1337" s="18" t="n">
        <x:v>522</x:v>
      </x:c>
      <x:c r="H1337" s="19" t="n">
        <x:v>14.5</x:v>
      </x:c>
      <x:c r="I1337" s="18" t="n">
        <x:f>ROUND(MIN(Model_Config_v3!$B$6,MAX(Q1337,R1337,S1337*Model_Config_v3!$B$4+T1337*Model_Config_v3!$B$5)),0)</x:f>
        <x:v>681</x:v>
      </x:c>
      <x:c r="J1337" s="18" t="n">
        <x:f>MIN(Model_Config_v3!$B$6,I1337+Model_Config_v3!$B$7)</x:f>
        <x:v>701</x:v>
      </x:c>
      <x:c r="K1337" s="20" t="n">
        <x:v>67.4</x:v>
      </x:c>
      <x:c r="L1337" t="str">
        <x:v>SANGAT KETAT</x:v>
      </x:c>
      <x:c r="M1337" t="str">
        <x:v>SEDANG+</x:v>
      </x:c>
      <x:c r="N1337" t="str">
        <x:v>ELITE-3</x:v>
      </x:c>
      <x:c r="O1337" t="str">
        <x:v>SOSHUM</x:v>
      </x:c>
      <x:c r="P1337" t="str">
        <x:v>PENDIDIKAN</x:v>
      </x:c>
      <x:c r="Q1337" s="18" t="n">
        <x:v>625</x:v>
      </x:c>
      <x:c r="R1337" s="18" t="n">
        <x:v>0</x:v>
      </x:c>
      <x:c r="S1337" s="18" t="n">
        <x:v>647.7504802458473</x:v>
      </x:c>
      <x:c r="T1337" s="18" t="n">
        <x:v>695</x:v>
      </x:c>
      <x:c r="U1337" s="18" t="n">
        <x:v>647.7504802458473</x:v>
      </x:c>
      <x:c r="V1337" s="20" t="n">
        <x:v>4.4</x:v>
      </x:c>
      <x:c r="W1337" s="20" t="n">
        <x:v>14.3</x:v>
      </x:c>
      <x:c r="X1337" s="20" t="n">
        <x:v>3.3</x:v>
      </x:c>
      <x:c r="Y1337" t="str">
        <x:v>Basis arsip 2025/2024</x:v>
      </x:c>
      <x:c r="Z1337" t="str">
        <x:v>https://snpmb.id/utbk-snbt/daya-tampung-snbt</x:v>
      </x:c>
      <x:c r="AA1337" t="str">
        <x:v>Tidak Ada</x:v>
      </x:c>
      <x:c r="AB1337" t="str">
        <x:v>Campus=80; Ratio=68.4; Prodi=45; RelDemand=63.6; Capacity=70.0</x:v>
      </x:c>
    </x:row>
    <x:row r="1338">
      <x:c r="A1338" t="n">
        <x:v>1335</x:v>
      </x:c>
      <x:c r="B1338" t="str">
        <x:v>PTN Akademik</x:v>
      </x:c>
      <x:c r="C1338" t="str">
        <x:v>UNIVERSITAS PENDIDIKAN INDONESIA</x:v>
      </x:c>
      <x:c r="D1338" t="str">
        <x:v>KEWIRAUSAHAAN KAMPUS TASIKMALAYA</x:v>
      </x:c>
      <x:c r="E1338" t="str">
        <x:v>Sarjana</x:v>
      </x:c>
      <x:c r="F1338" s="18" t="n">
        <x:v>55</x:v>
      </x:c>
      <x:c r="G1338" s="18" t="n">
        <x:v>301</x:v>
      </x:c>
      <x:c r="H1338" s="19" t="n">
        <x:v>5.472727272727273</x:v>
      </x:c>
      <x:c r="I1338" s="18" t="n">
        <x:f>ROUND(MIN(Model_Config_v3!$B$6,MAX(Q1338,R1338,S1338*Model_Config_v3!$B$4+T1338*Model_Config_v3!$B$5)),0)</x:f>
        <x:v>649</x:v>
      </x:c>
      <x:c r="J1338" s="18" t="n">
        <x:f>MIN(Model_Config_v3!$B$6,I1338+Model_Config_v3!$B$7)</x:f>
        <x:v>669</x:v>
      </x:c>
      <x:c r="K1338" s="20" t="n">
        <x:v>54.7</x:v>
      </x:c>
      <x:c r="L1338" t="str">
        <x:v>MENENGAH</x:v>
      </x:c>
      <x:c r="M1338" t="str">
        <x:v>SEDANG+</x:v>
      </x:c>
      <x:c r="N1338" t="str">
        <x:v>ELITE-3</x:v>
      </x:c>
      <x:c r="O1338" t="str">
        <x:v>CAMPURAN</x:v>
      </x:c>
      <x:c r="P1338" t="str">
        <x:v>UMUM</x:v>
      </x:c>
      <x:c r="Q1338" s="18" t="n">
        <x:v>625</x:v>
      </x:c>
      <x:c r="R1338" s="18" t="n">
        <x:v>0</x:v>
      </x:c>
      <x:c r="S1338" s="18" t="n">
        <x:v>601.2024186709559</x:v>
      </x:c>
      <x:c r="T1338" s="18" t="n">
        <x:v>669</x:v>
      </x:c>
      <x:c r="U1338" s="18" t="n">
        <x:v>625</x:v>
      </x:c>
      <x:c r="V1338" s="20" t="n">
        <x:v>8.8</x:v>
      </x:c>
      <x:c r="W1338" s="20" t="n">
        <x:v>9.9</x:v>
      </x:c>
      <x:c r="X1338" s="20" t="n">
        <x:v>3.3</x:v>
      </x:c>
      <x:c r="Y1338" t="str">
        <x:v>Basis arsip 2025/2024</x:v>
      </x:c>
      <x:c r="Z1338" t="str">
        <x:v>https://snpmb.id/utbk-snbt/daya-tampung-snbt</x:v>
      </x:c>
      <x:c r="AA1338" t="str">
        <x:v>Tidak Ada</x:v>
      </x:c>
      <x:c r="AB1338" t="str">
        <x:v>Campus=80; Ratio=43.5; Prodi=40; RelDemand=24.0; Capacity=54.2</x:v>
      </x:c>
    </x:row>
    <x:row r="1339">
      <x:c r="A1339" t="n">
        <x:v>1336</x:v>
      </x:c>
      <x:c r="B1339" t="str">
        <x:v>PTN Akademik</x:v>
      </x:c>
      <x:c r="C1339" t="str">
        <x:v>UNIVERSITAS PENDIDIKAN INDONESIA</x:v>
      </x:c>
      <x:c r="D1339" t="str">
        <x:v>SAINS INFORMASI GEOGRAFI</x:v>
      </x:c>
      <x:c r="E1339" t="str">
        <x:v>Sarjana</x:v>
      </x:c>
      <x:c r="F1339" s="18" t="n">
        <x:v>50</x:v>
      </x:c>
      <x:c r="G1339" s="18" t="n">
        <x:v>404</x:v>
      </x:c>
      <x:c r="H1339" s="19" t="n">
        <x:v>8.08</x:v>
      </x:c>
      <x:c r="I1339" s="18" t="n">
        <x:f>ROUND(MIN(Model_Config_v3!$B$6,MAX(Q1339,R1339,S1339*Model_Config_v3!$B$4+T1339*Model_Config_v3!$B$5)),0)</x:f>
        <x:v>660</x:v>
      </x:c>
      <x:c r="J1339" s="18" t="n">
        <x:f>MIN(Model_Config_v3!$B$6,I1339+Model_Config_v3!$B$7)</x:f>
        <x:v>680</x:v>
      </x:c>
      <x:c r="K1339" s="20" t="n">
        <x:v>58.7</x:v>
      </x:c>
      <x:c r="L1339" t="str">
        <x:v>KETAT</x:v>
      </x:c>
      <x:c r="M1339" t="str">
        <x:v>SEDANG+</x:v>
      </x:c>
      <x:c r="N1339" t="str">
        <x:v>ELITE-3</x:v>
      </x:c>
      <x:c r="O1339" t="str">
        <x:v>CAMPURAN</x:v>
      </x:c>
      <x:c r="P1339" t="str">
        <x:v>UMUM</x:v>
      </x:c>
      <x:c r="Q1339" s="18" t="n">
        <x:v>625</x:v>
      </x:c>
      <x:c r="R1339" s="18" t="n">
        <x:v>0</x:v>
      </x:c>
      <x:c r="S1339" s="18" t="n">
        <x:v>619.8152496852044</x:v>
      </x:c>
      <x:c r="T1339" s="18" t="n">
        <x:v>677</x:v>
      </x:c>
      <x:c r="U1339" s="18" t="n">
        <x:v>625</x:v>
      </x:c>
      <x:c r="V1339" s="20" t="n">
        <x:v>8.8</x:v>
      </x:c>
      <x:c r="W1339" s="20" t="n">
        <x:v>9.9</x:v>
      </x:c>
      <x:c r="X1339" s="20" t="n">
        <x:v>3.3</x:v>
      </x:c>
      <x:c r="Y1339" t="str">
        <x:v>Basis arsip 2025/2024</x:v>
      </x:c>
      <x:c r="Z1339" t="str">
        <x:v>https://snpmb.id/utbk-snbt/daya-tampung-snbt</x:v>
      </x:c>
      <x:c r="AA1339" t="str">
        <x:v>Tidak Ada</x:v>
      </x:c>
      <x:c r="AB1339" t="str">
        <x:v>Campus=80; Ratio=53.4; Prodi=40; RelDemand=35.4; Capacity=58.3</x:v>
      </x:c>
    </x:row>
    <x:row r="1340">
      <x:c r="A1340" t="n">
        <x:v>1337</x:v>
      </x:c>
      <x:c r="B1340" t="str">
        <x:v>PTN Akademik</x:v>
      </x:c>
      <x:c r="C1340" t="str">
        <x:v>UNIVERSITAS PENDIDIKAN INDONESIA</x:v>
      </x:c>
      <x:c r="D1340" t="str">
        <x:v>DESAIN KOMUNIKASI VISUAL</x:v>
      </x:c>
      <x:c r="E1340" t="str">
        <x:v>Sarjana</x:v>
      </x:c>
      <x:c r="F1340" s="18" t="n">
        <x:v>55</x:v>
      </x:c>
      <x:c r="G1340" s="18" t="n">
        <x:v>1027</x:v>
      </x:c>
      <x:c r="H1340" s="19" t="n">
        <x:v>18.672727272727272</x:v>
      </x:c>
      <x:c r="I1340" s="18" t="n">
        <x:f>ROUND(MIN(Model_Config_v3!$B$6,MAX(Q1340,R1340,S1340*Model_Config_v3!$B$4+T1340*Model_Config_v3!$B$5)),0)</x:f>
        <x:v>687</x:v>
      </x:c>
      <x:c r="J1340" s="18" t="n">
        <x:f>MIN(Model_Config_v3!$B$6,I1340+Model_Config_v3!$B$7)</x:f>
        <x:v>707</x:v>
      </x:c>
      <x:c r="K1340" s="20" t="n">
        <x:v>69.3</x:v>
      </x:c>
      <x:c r="L1340" t="str">
        <x:v>SANGAT KETAT</x:v>
      </x:c>
      <x:c r="M1340" t="str">
        <x:v>PORTOFOLIO</x:v>
      </x:c>
      <x:c r="N1340" t="str">
        <x:v>ELITE-3</x:v>
      </x:c>
      <x:c r="O1340" t="str">
        <x:v>SENI/OLAHRAGA</x:v>
      </x:c>
      <x:c r="P1340" t="str">
        <x:v>SENI/OLAHRAGA</x:v>
      </x:c>
      <x:c r="Q1340" s="18" t="n">
        <x:v>625</x:v>
      </x:c>
      <x:c r="R1340" s="18" t="n">
        <x:v>0</x:v>
      </x:c>
      <x:c r="S1340" s="18" t="n">
        <x:v>659.8328529513337</x:v>
      </x:c>
      <x:c r="T1340" s="18" t="n">
        <x:v>699</x:v>
      </x:c>
      <x:c r="U1340" s="18" t="n">
        <x:v>659.8328529513337</x:v>
      </x:c>
      <x:c r="V1340" s="20" t="n">
        <x:v>4.4</x:v>
      </x:c>
      <x:c r="W1340" s="20" t="n">
        <x:v>9.9</x:v>
      </x:c>
      <x:c r="X1340" s="20" t="n">
        <x:v>7.7</x:v>
      </x:c>
      <x:c r="Y1340" t="str">
        <x:v>Basis arsip 2025/2024</x:v>
      </x:c>
      <x:c r="Z1340" t="str">
        <x:v>https://snpmb.id/utbk-snbt/daya-tampung-snbt</x:v>
      </x:c>
      <x:c r="AA1340" t="str">
        <x:v>Seni Rupa, Desain, dan Kriya</x:v>
      </x:c>
      <x:c r="AB1340" t="str">
        <x:v>Campus=80; Ratio=74.8; Prodi=45; RelDemand=81.9; Capacity=54.2</x:v>
      </x:c>
    </x:row>
    <x:row r="1341">
      <x:c r="A1341" t="n">
        <x:v>1338</x:v>
      </x:c>
      <x:c r="B1341" t="str">
        <x:v>PTN Akademik</x:v>
      </x:c>
      <x:c r="C1341" t="str">
        <x:v>UNIVERSITAS PENDIDIKAN INDONESIA</x:v>
      </x:c>
      <x:c r="D1341" t="str">
        <x:v>PENDIDIKAN PARIWISATA</x:v>
      </x:c>
      <x:c r="E1341" t="str">
        <x:v>Sarjana</x:v>
      </x:c>
      <x:c r="F1341" s="18" t="n">
        <x:v>43</x:v>
      </x:c>
      <x:c r="G1341" s="18" t="n">
        <x:v>556</x:v>
      </x:c>
      <x:c r="H1341" s="19" t="n">
        <x:v>12.930232558139535</x:v>
      </x:c>
      <x:c r="I1341" s="18" t="n">
        <x:f>ROUND(MIN(Model_Config_v3!$B$6,MAX(Q1341,R1341,S1341*Model_Config_v3!$B$4+T1341*Model_Config_v3!$B$5)),0)</x:f>
        <x:v>676</x:v>
      </x:c>
      <x:c r="J1341" s="18" t="n">
        <x:f>MIN(Model_Config_v3!$B$6,I1341+Model_Config_v3!$B$7)</x:f>
        <x:v>696</x:v>
      </x:c>
      <x:c r="K1341" s="20" t="n">
        <x:v>65.4</x:v>
      </x:c>
      <x:c r="L1341" t="str">
        <x:v>SANGAT KETAT</x:v>
      </x:c>
      <x:c r="M1341" t="str">
        <x:v>SEDANG+</x:v>
      </x:c>
      <x:c r="N1341" t="str">
        <x:v>ELITE-3</x:v>
      </x:c>
      <x:c r="O1341" t="str">
        <x:v>CAMPURAN</x:v>
      </x:c>
      <x:c r="P1341" t="str">
        <x:v>PENDIDIKAN</x:v>
      </x:c>
      <x:c r="Q1341" s="18" t="n">
        <x:v>625</x:v>
      </x:c>
      <x:c r="R1341" s="18" t="n">
        <x:v>0</x:v>
      </x:c>
      <x:c r="S1341" s="18" t="n">
        <x:v>642.2766969602718</x:v>
      </x:c>
      <x:c r="T1341" s="18" t="n">
        <x:v>691</x:v>
      </x:c>
      <x:c r="U1341" s="18" t="n">
        <x:v>642.2766969602718</x:v>
      </x:c>
      <x:c r="V1341" s="20" t="n">
        <x:v>8.8</x:v>
      </x:c>
      <x:c r="W1341" s="20" t="n">
        <x:v>9.9</x:v>
      </x:c>
      <x:c r="X1341" s="20" t="n">
        <x:v>3.3</x:v>
      </x:c>
      <x:c r="Y1341" t="str">
        <x:v>Basis arsip 2025/2024</x:v>
      </x:c>
      <x:c r="Z1341" t="str">
        <x:v>https://snpmb.id/utbk-snbt/daya-tampung-snbt</x:v>
      </x:c>
      <x:c r="AA1341" t="str">
        <x:v>Tidak Ada</x:v>
      </x:c>
      <x:c r="AB1341" t="str">
        <x:v>Campus=80; Ratio=65.4; Prodi=45; RelDemand=56.7; Capacity=64.2</x:v>
      </x:c>
    </x:row>
    <x:row r="1342">
      <x:c r="A1342" t="n">
        <x:v>1339</x:v>
      </x:c>
      <x:c r="B1342" t="str">
        <x:v>PTN Akademik</x:v>
      </x:c>
      <x:c r="C1342" t="str">
        <x:v>UNIVERSITAS PENDIDIKAN INDONESIA</x:v>
      </x:c>
      <x:c r="D1342" t="str">
        <x:v>FILM DAN TELEVISI</x:v>
      </x:c>
      <x:c r="E1342" t="str">
        <x:v>Sarjana</x:v>
      </x:c>
      <x:c r="F1342" s="18" t="n">
        <x:v>40</x:v>
      </x:c>
      <x:c r="G1342" s="18" t="n">
        <x:v>420</x:v>
      </x:c>
      <x:c r="H1342" s="19" t="n">
        <x:v>10.5</x:v>
      </x:c>
      <x:c r="I1342" s="18" t="n">
        <x:f>ROUND(MIN(Model_Config_v3!$B$6,MAX(Q1342,R1342,S1342*Model_Config_v3!$B$4+T1342*Model_Config_v3!$B$5)),0)</x:f>
        <x:v>671</x:v>
      </x:c>
      <x:c r="J1342" s="18" t="n">
        <x:f>MIN(Model_Config_v3!$B$6,I1342+Model_Config_v3!$B$7)</x:f>
        <x:v>691</x:v>
      </x:c>
      <x:c r="K1342" s="20" t="n">
        <x:v>63.3</x:v>
      </x:c>
      <x:c r="L1342" t="str">
        <x:v>KETAT</x:v>
      </x:c>
      <x:c r="M1342" t="str">
        <x:v>PORTOFOLIO</x:v>
      </x:c>
      <x:c r="N1342" t="str">
        <x:v>ELITE-3</x:v>
      </x:c>
      <x:c r="O1342" t="str">
        <x:v>SENI/OLAHRAGA</x:v>
      </x:c>
      <x:c r="P1342" t="str">
        <x:v>SENI/OLAHRAGA</x:v>
      </x:c>
      <x:c r="Q1342" s="18" t="n">
        <x:v>625</x:v>
      </x:c>
      <x:c r="R1342" s="18" t="n">
        <x:v>0</x:v>
      </x:c>
      <x:c r="S1342" s="18" t="n">
        <x:v>632.3308228976932</x:v>
      </x:c>
      <x:c r="T1342" s="18" t="n">
        <x:v>687</x:v>
      </x:c>
      <x:c r="U1342" s="18" t="n">
        <x:v>632.3308228976932</x:v>
      </x:c>
      <x:c r="V1342" s="20" t="n">
        <x:v>4.4</x:v>
      </x:c>
      <x:c r="W1342" s="20" t="n">
        <x:v>9.9</x:v>
      </x:c>
      <x:c r="X1342" s="20" t="n">
        <x:v>7.7</x:v>
      </x:c>
      <x:c r="Y1342" t="str">
        <x:v>Basis arsip 2025/2024</x:v>
      </x:c>
      <x:c r="Z1342" t="str">
        <x:v>https://snpmb.id/utbk-snbt/daya-tampung-snbt</x:v>
      </x:c>
      <x:c r="AA1342" t="str">
        <x:v>Film dan Televisi</x:v>
      </x:c>
      <x:c r="AB1342" t="str">
        <x:v>Campus=80; Ratio=60.1; Prodi=45; RelDemand=46.0; Capacity=66.7</x:v>
      </x:c>
    </x:row>
    <x:row r="1343">
      <x:c r="A1343" t="n">
        <x:v>1340</x:v>
      </x:c>
      <x:c r="B1343" t="str">
        <x:v>PTN Akademik</x:v>
      </x:c>
      <x:c r="C1343" t="str">
        <x:v>UNIVERSITAS PENDIDIKAN INDONESIA</x:v>
      </x:c>
      <x:c r="D1343" t="str">
        <x:v>BISNIS DIGITAL (KAMPUS UPI TASIKMALAYA)</x:v>
      </x:c>
      <x:c r="E1343" t="str">
        <x:v>Sarjana</x:v>
      </x:c>
      <x:c r="F1343" s="18" t="n">
        <x:v>56</x:v>
      </x:c>
      <x:c r="G1343" s="18" t="n">
        <x:v>701</x:v>
      </x:c>
      <x:c r="H1343" s="19" t="n">
        <x:v>12.517857142857142</x:v>
      </x:c>
      <x:c r="I1343" s="18" t="n">
        <x:f>ROUND(MIN(Model_Config_v3!$B$6,MAX(Q1343,R1343,S1343*Model_Config_v3!$B$4+T1343*Model_Config_v3!$B$5)),0)</x:f>
        <x:v>679</x:v>
      </x:c>
      <x:c r="J1343" s="18" t="n">
        <x:f>MIN(Model_Config_v3!$B$6,I1343+Model_Config_v3!$B$7)</x:f>
        <x:v>699</x:v>
      </x:c>
      <x:c r="K1343" s="20" t="n">
        <x:v>68</x:v>
      </x:c>
      <x:c r="L1343" t="str">
        <x:v>SANGAT KETAT</x:v>
      </x:c>
      <x:c r="M1343" t="str">
        <x:v>SEDANG+</x:v>
      </x:c>
      <x:c r="N1343" t="str">
        <x:v>ELITE-3</x:v>
      </x:c>
      <x:c r="O1343" t="str">
        <x:v>SOSHUM</x:v>
      </x:c>
      <x:c r="P1343" t="str">
        <x:v>BISNIS/EKONOMI/AKUNTANSI</x:v>
      </x:c>
      <x:c r="Q1343" s="18" t="n">
        <x:v>625</x:v>
      </x:c>
      <x:c r="R1343" s="18" t="n">
        <x:v>0</x:v>
      </x:c>
      <x:c r="S1343" s="18" t="n">
        <x:v>640.7282990056503</x:v>
      </x:c>
      <x:c r="T1343" s="18" t="n">
        <x:v>696</x:v>
      </x:c>
      <x:c r="U1343" s="18" t="n">
        <x:v>655.7282990056503</x:v>
      </x:c>
      <x:c r="V1343" s="20" t="n">
        <x:v>4.4</x:v>
      </x:c>
      <x:c r="W1343" s="20" t="n">
        <x:v>14.3</x:v>
      </x:c>
      <x:c r="X1343" s="20" t="n">
        <x:v>3.3</x:v>
      </x:c>
      <x:c r="Y1343" t="str">
        <x:v>Basis arsip 2025/2024</x:v>
      </x:c>
      <x:c r="Z1343" t="str">
        <x:v>https://snpmb.id/utbk-snbt/daya-tampung-snbt</x:v>
      </x:c>
      <x:c r="AA1343" t="str">
        <x:v>Tidak Ada</x:v>
      </x:c>
      <x:c r="AB1343" t="str">
        <x:v>Campus=80; Ratio=64.6; Prodi=65; RelDemand=54.9; Capacity=53.3</x:v>
      </x:c>
    </x:row>
    <x:row r="1344">
      <x:c r="A1344" t="n">
        <x:v>1341</x:v>
      </x:c>
      <x:c r="B1344" t="str">
        <x:v>PTN Akademik</x:v>
      </x:c>
      <x:c r="C1344" t="str">
        <x:v>UNIVERSITAS PENDIDIKAN INDONESIA</x:v>
      </x:c>
      <x:c r="D1344" t="str">
        <x:v>MUSIK</x:v>
      </x:c>
      <x:c r="E1344" t="str">
        <x:v>Sarjana</x:v>
      </x:c>
      <x:c r="F1344" s="18" t="n">
        <x:v>30</x:v>
      </x:c>
      <x:c r="G1344" s="18" t="n">
        <x:v>104</x:v>
      </x:c>
      <x:c r="H1344" s="19" t="n">
        <x:v>3.466666666666667</x:v>
      </x:c>
      <x:c r="I1344" s="18" t="n">
        <x:f>ROUND(MIN(Model_Config_v3!$B$6,MAX(Q1344,R1344,S1344*Model_Config_v3!$B$4+T1344*Model_Config_v3!$B$5)),0)</x:f>
        <x:v>641</x:v>
      </x:c>
      <x:c r="J1344" s="18" t="n">
        <x:f>MIN(Model_Config_v3!$B$6,I1344+Model_Config_v3!$B$7)</x:f>
        <x:v>661</x:v>
      </x:c>
      <x:c r="K1344" s="20" t="n">
        <x:v>54</x:v>
      </x:c>
      <x:c r="L1344" t="str">
        <x:v>MENENGAH</x:v>
      </x:c>
      <x:c r="M1344" t="str">
        <x:v>PORTOFOLIO</x:v>
      </x:c>
      <x:c r="N1344" t="str">
        <x:v>ELITE-3</x:v>
      </x:c>
      <x:c r="O1344" t="str">
        <x:v>SENI/OLAHRAGA</x:v>
      </x:c>
      <x:c r="P1344" t="str">
        <x:v>SENI/OLAHRAGA</x:v>
      </x:c>
      <x:c r="Q1344" s="18" t="n">
        <x:v>625</x:v>
      </x:c>
      <x:c r="R1344" s="18" t="n">
        <x:v>0</x:v>
      </x:c>
      <x:c r="S1344" s="18" t="n">
        <x:v>579.390329303703</x:v>
      </x:c>
      <x:c r="T1344" s="18" t="n">
        <x:v>668</x:v>
      </x:c>
      <x:c r="U1344" s="18" t="n">
        <x:v>625</x:v>
      </x:c>
      <x:c r="V1344" s="20" t="n">
        <x:v>4.4</x:v>
      </x:c>
      <x:c r="W1344" s="20" t="n">
        <x:v>9.9</x:v>
      </x:c>
      <x:c r="X1344" s="20" t="n">
        <x:v>7.7</x:v>
      </x:c>
      <x:c r="Y1344" t="str">
        <x:v>Basis arsip 2025/2024</x:v>
      </x:c>
      <x:c r="Z1344" t="str">
        <x:v>https://snpmb.id/utbk-snbt/daya-tampung-snbt</x:v>
      </x:c>
      <x:c r="AA1344" t="str">
        <x:v>Musik</x:v>
      </x:c>
      <x:c r="AB1344" t="str">
        <x:v>Campus=80; Ratio=31.8; Prodi=45; RelDemand=15.2; Capacity=75.0</x:v>
      </x:c>
    </x:row>
    <x:row r="1345">
      <x:c r="A1345" t="n">
        <x:v>1342</x:v>
      </x:c>
      <x:c r="B1345" t="str">
        <x:v>PTN Akademik</x:v>
      </x:c>
      <x:c r="C1345" t="str">
        <x:v>UNIVERSITAS PENDIDIKAN INDONESIA</x:v>
      </x:c>
      <x:c r="D1345" t="str">
        <x:v>INDUSTRI PARIWISATA KAMPUS SUMEDANG</x:v>
      </x:c>
      <x:c r="E1345" t="str">
        <x:v>Sarjana</x:v>
      </x:c>
      <x:c r="F1345" s="18" t="n">
        <x:v>125</x:v>
      </x:c>
      <x:c r="G1345" s="18" t="n">
        <x:v>589</x:v>
      </x:c>
      <x:c r="H1345" s="19" t="n">
        <x:v>4.712</x:v>
      </x:c>
      <x:c r="I1345" s="18" t="n">
        <x:f>ROUND(MIN(Model_Config_v3!$B$6,MAX(Q1345,R1345,S1345*Model_Config_v3!$B$4+T1345*Model_Config_v3!$B$5)),0)</x:f>
        <x:v>637</x:v>
      </x:c>
      <x:c r="J1345" s="18" t="n">
        <x:f>MIN(Model_Config_v3!$B$6,I1345+Model_Config_v3!$B$7)</x:f>
        <x:v>657</x:v>
      </x:c>
      <x:c r="K1345" s="20" t="n">
        <x:v>48</x:v>
      </x:c>
      <x:c r="L1345" t="str">
        <x:v>MENENGAH</x:v>
      </x:c>
      <x:c r="M1345" t="str">
        <x:v>SEDANG+</x:v>
      </x:c>
      <x:c r="N1345" t="str">
        <x:v>ELITE-3</x:v>
      </x:c>
      <x:c r="O1345" t="str">
        <x:v>CAMPURAN</x:v>
      </x:c>
      <x:c r="P1345" t="str">
        <x:v>UMUM</x:v>
      </x:c>
      <x:c r="Q1345" s="18" t="n">
        <x:v>625</x:v>
      </x:c>
      <x:c r="R1345" s="18" t="n">
        <x:v>0</x:v>
      </x:c>
      <x:c r="S1345" s="18" t="n">
        <x:v>594.0525809956949</x:v>
      </x:c>
      <x:c r="T1345" s="18" t="n">
        <x:v>656</x:v>
      </x:c>
      <x:c r="U1345" s="18" t="n">
        <x:v>625</x:v>
      </x:c>
      <x:c r="V1345" s="20" t="n">
        <x:v>8.8</x:v>
      </x:c>
      <x:c r="W1345" s="20" t="n">
        <x:v>9.9</x:v>
      </x:c>
      <x:c r="X1345" s="20" t="n">
        <x:v>3.3</x:v>
      </x:c>
      <x:c r="Y1345" t="str">
        <x:v>Basis arsip 2025/2024</x:v>
      </x:c>
      <x:c r="Z1345" t="str">
        <x:v>https://snpmb.id/utbk-snbt/daya-tampung-snbt</x:v>
      </x:c>
      <x:c r="AA1345" t="str">
        <x:v>Tidak Ada</x:v>
      </x:c>
      <x:c r="AB1345" t="str">
        <x:v>Campus=80; Ratio=39.6; Prodi=40; RelDemand=20.7; Capacity=0.0</x:v>
      </x:c>
    </x:row>
    <x:row r="1346">
      <x:c r="A1346" t="n">
        <x:v>1343</x:v>
      </x:c>
      <x:c r="B1346" t="str">
        <x:v>PTN Akademik</x:v>
      </x:c>
      <x:c r="C1346" t="str">
        <x:v>UNIVERSITAS PENDIDIKAN INDONESIA</x:v>
      </x:c>
      <x:c r="D1346" t="str">
        <x:v>DESAIN PRODUK INDUSTRI - KAMPUS UPI DI TASIKMALAYA</x:v>
      </x:c>
      <x:c r="E1346" t="str">
        <x:v>Sarjana</x:v>
      </x:c>
      <x:c r="F1346" s="18" t="n">
        <x:v>35</x:v>
      </x:c>
      <x:c r="G1346" s="18" t="n">
        <x:v>66</x:v>
      </x:c>
      <x:c r="H1346" s="19" t="n">
        <x:v>1.8857142857142857</x:v>
      </x:c>
      <x:c r="I1346" s="18" t="n">
        <x:f>ROUND(MIN(Model_Config_v3!$B$6,MAX(Q1346,R1346,S1346*Model_Config_v3!$B$4+T1346*Model_Config_v3!$B$5)),0)</x:f>
        <x:v>626</x:v>
      </x:c>
      <x:c r="J1346" s="18" t="n">
        <x:f>MIN(Model_Config_v3!$B$6,I1346+Model_Config_v3!$B$7)</x:f>
        <x:v>646</x:v>
      </x:c>
      <x:c r="K1346" s="20" t="n">
        <x:v>49</x:v>
      </x:c>
      <x:c r="L1346" t="str">
        <x:v>MENENGAH</x:v>
      </x:c>
      <x:c r="M1346" t="str">
        <x:v>PORTOFOLIO</x:v>
      </x:c>
      <x:c r="N1346" t="str">
        <x:v>ELITE-3</x:v>
      </x:c>
      <x:c r="O1346" t="str">
        <x:v>SENI/OLAHRAGA</x:v>
      </x:c>
      <x:c r="P1346" t="str">
        <x:v>SENI/OLAHRAGA</x:v>
      </x:c>
      <x:c r="Q1346" s="18" t="n">
        <x:v>625</x:v>
      </x:c>
      <x:c r="R1346" s="18" t="n">
        <x:v>0</x:v>
      </x:c>
      <x:c r="S1346" s="18" t="n">
        <x:v>550.3023480310752</x:v>
      </x:c>
      <x:c r="T1346" s="18" t="n">
        <x:v>658</x:v>
      </x:c>
      <x:c r="U1346" s="18" t="n">
        <x:v>625</x:v>
      </x:c>
      <x:c r="V1346" s="20" t="n">
        <x:v>4.4</x:v>
      </x:c>
      <x:c r="W1346" s="20" t="n">
        <x:v>9.9</x:v>
      </x:c>
      <x:c r="X1346" s="20" t="n">
        <x:v>7.7</x:v>
      </x:c>
      <x:c r="Y1346" t="str">
        <x:v>Basis arsip 2025/2024</x:v>
      </x:c>
      <x:c r="Z1346" t="str">
        <x:v>https://snpmb.id/utbk-snbt/daya-tampung-snbt</x:v>
      </x:c>
      <x:c r="AA1346" t="str">
        <x:v>Seni Rupa, Desain, dan Kriya</x:v>
      </x:c>
      <x:c r="AB1346" t="str">
        <x:v>Campus=80; Ratio=16.2; Prodi=45; RelDemand=8.3; Capacity=70.8</x:v>
      </x:c>
    </x:row>
    <x:row r="1347">
      <x:c r="A1347" t="n">
        <x:v>1344</x:v>
      </x:c>
      <x:c r="B1347" t="str">
        <x:v>PTN Akademik</x:v>
      </x:c>
      <x:c r="C1347" t="str">
        <x:v>UNIVERSITAS PENDIDIKAN INDONESIA</x:v>
      </x:c>
      <x:c r="D1347" t="str">
        <x:v>KEDOKTERAN</x:v>
      </x:c>
      <x:c r="E1347" t="str">
        <x:v>Sarjana</x:v>
      </x:c>
      <x:c r="F1347" s="18" t="n">
        <x:v>15</x:v>
      </x:c>
      <x:c r="G1347" s="18" t="n">
        <x:v>771</x:v>
      </x:c>
      <x:c r="H1347" s="19" t="n">
        <x:v>51.4</x:v>
      </x:c>
      <x:c r="I1347" s="18" t="n">
        <x:f>ROUND(MIN(Model_Config_v3!$B$6,MAX(Q1347,R1347,S1347*Model_Config_v3!$B$4+T1347*Model_Config_v3!$B$5)),0)</x:f>
        <x:v>733</x:v>
      </x:c>
      <x:c r="J1347" s="18" t="n">
        <x:f>MIN(Model_Config_v3!$B$6,I1347+Model_Config_v3!$B$7)</x:f>
        <x:v>753</x:v>
      </x:c>
      <x:c r="K1347" s="20" t="n">
        <x:v>91.8</x:v>
      </x:c>
      <x:c r="L1347" t="str">
        <x:v>ULTRA ELITE</x:v>
      </x:c>
      <x:c r="M1347" t="str">
        <x:v>SEDANG+</x:v>
      </x:c>
      <x:c r="N1347" t="str">
        <x:v>ELITE-3</x:v>
      </x:c>
      <x:c r="O1347" t="str">
        <x:v>SAINTEK</x:v>
      </x:c>
      <x:c r="P1347" t="str">
        <x:v>KEDOKTERAN</x:v>
      </x:c>
      <x:c r="Q1347" s="18" t="n">
        <x:v>625</x:v>
      </x:c>
      <x:c r="R1347" s="18" t="n">
        <x:v>700</x:v>
      </x:c>
      <x:c r="S1347" s="18" t="n">
        <x:v>708.2059430894803</x:v>
      </x:c>
      <x:c r="T1347" s="18" t="n">
        <x:v>744</x:v>
      </x:c>
      <x:c r="U1347" s="18" t="n">
        <x:v>748.2059430894803</x:v>
      </x:c>
      <x:c r="V1347" s="20" t="n">
        <x:v>12</x:v>
      </x:c>
      <x:c r="W1347" s="20" t="n">
        <x:v>5</x:v>
      </x:c>
      <x:c r="X1347" s="20" t="n">
        <x:v>3</x:v>
      </x:c>
      <x:c r="Y1347" t="str">
        <x:v>Basis arsip 2025/2024</x:v>
      </x:c>
      <x:c r="Z1347" t="str">
        <x:v>https://snpmb.id/utbk-snbt/daya-tampung-snbt</x:v>
      </x:c>
      <x:c r="AA1347" t="str">
        <x:v>Tidak Ada</x:v>
      </x:c>
      <x:c r="AB1347" t="str">
        <x:v>Campus=80; Ratio=100.0; Prodi=100; RelDemand=100.0; Capacity=87.5</x:v>
      </x:c>
    </x:row>
    <x:row r="1348">
      <x:c r="A1348" t="n">
        <x:v>1345</x:v>
      </x:c>
      <x:c r="B1348" t="str">
        <x:v>PTN Akademik</x:v>
      </x:c>
      <x:c r="C1348" t="str">
        <x:v>UNIVERSITAS PENDIDIKAN INDONESIA</x:v>
      </x:c>
      <x:c r="D1348" t="str">
        <x:v>TEKNOLOGI PANGAN</x:v>
      </x:c>
      <x:c r="E1348" t="str">
        <x:v>Sarjana</x:v>
      </x:c>
      <x:c r="F1348" s="18" t="n">
        <x:v>14</x:v>
      </x:c>
      <x:c r="G1348" s="18" t="n">
        <x:v>623</x:v>
      </x:c>
      <x:c r="H1348" s="19" t="n">
        <x:v>44.5</x:v>
      </x:c>
      <x:c r="I1348" s="18" t="n">
        <x:f>ROUND(MIN(Model_Config_v3!$B$6,MAX(Q1348,R1348,S1348*Model_Config_v3!$B$4+T1348*Model_Config_v3!$B$5)),0)</x:f>
        <x:v>713</x:v>
      </x:c>
      <x:c r="J1348" s="18" t="n">
        <x:f>MIN(Model_Config_v3!$B$6,I1348+Model_Config_v3!$B$7)</x:f>
        <x:v>733</x:v>
      </x:c>
      <x:c r="K1348" s="20" t="n">
        <x:v>79.1</x:v>
      </x:c>
      <x:c r="L1348" t="str">
        <x:v>ELITE</x:v>
      </x:c>
      <x:c r="M1348" t="str">
        <x:v>SEDANG+</x:v>
      </x:c>
      <x:c r="N1348" t="str">
        <x:v>ELITE-3</x:v>
      </x:c>
      <x:c r="O1348" t="str">
        <x:v>SAINTEK</x:v>
      </x:c>
      <x:c r="P1348" t="str">
        <x:v>UMUM</x:v>
      </x:c>
      <x:c r="Q1348" s="18" t="n">
        <x:v>625</x:v>
      </x:c>
      <x:c r="R1348" s="18" t="n">
        <x:v>0</x:v>
      </x:c>
      <x:c r="S1348" s="18" t="n">
        <x:v>701.3196012079025</x:v>
      </x:c>
      <x:c r="T1348" s="18" t="n">
        <x:v>718</x:v>
      </x:c>
      <x:c r="U1348" s="18" t="n">
        <x:v>701.3196012079025</x:v>
      </x:c>
      <x:c r="V1348" s="20" t="n">
        <x:v>12</x:v>
      </x:c>
      <x:c r="W1348" s="20" t="n">
        <x:v>5</x:v>
      </x:c>
      <x:c r="X1348" s="20" t="n">
        <x:v>3</x:v>
      </x:c>
      <x:c r="Y1348" t="str">
        <x:v>Basis arsip 2025/2024</x:v>
      </x:c>
      <x:c r="Z1348" t="str">
        <x:v>https://snpmb.id/utbk-snbt/daya-tampung-snbt</x:v>
      </x:c>
      <x:c r="AA1348" t="str">
        <x:v>Tidak Ada</x:v>
      </x:c>
      <x:c r="AB1348" t="str">
        <x:v>Campus=80; Ratio=97.0; Prodi=40; RelDemand=100.0; Capacity=88.3</x:v>
      </x:c>
    </x:row>
    <x:row r="1349">
      <x:c r="A1349" t="n">
        <x:v>1346</x:v>
      </x:c>
      <x:c r="B1349" t="str">
        <x:v>PTN Akademik</x:v>
      </x:c>
      <x:c r="C1349" t="str">
        <x:v>UNIVERSITAS PENDIDIKAN INDONESIA</x:v>
      </x:c>
      <x:c r="D1349" t="str">
        <x:v>TEKNIK ENERGI TERBARUKAN</x:v>
      </x:c>
      <x:c r="E1349" t="str">
        <x:v>Sarjana</x:v>
      </x:c>
      <x:c r="F1349" s="18" t="n">
        <x:v>24</x:v>
      </x:c>
      <x:c r="G1349" s="18"/>
      <x:c r="H1349" s="19" t="n">
        <x:v>0</x:v>
      </x:c>
      <x:c r="I1349" s="18" t="n">
        <x:f>ROUND(MIN(Model_Config_v3!$B$6,MAX(Q1349,R1349,S1349*Model_Config_v3!$B$4+T1349*Model_Config_v3!$B$5)),0)</x:f>
        <x:v>625</x:v>
      </x:c>
      <x:c r="J1349" s="18" t="n">
        <x:f>MIN(Model_Config_v3!$B$6,I1349+Model_Config_v3!$B$7)</x:f>
        <x:v>645</x:v>
      </x:c>
      <x:c r="K1349" s="20" t="n">
        <x:v>48</x:v>
      </x:c>
      <x:c r="L1349" t="str">
        <x:v>MENENGAH</x:v>
      </x:c>
      <x:c r="M1349" t="str">
        <x:v>RENDAH</x:v>
      </x:c>
      <x:c r="N1349" t="str">
        <x:v>ELITE-3</x:v>
      </x:c>
      <x:c r="O1349" t="str">
        <x:v>SAINTEK</x:v>
      </x:c>
      <x:c r="P1349" t="str">
        <x:v>TEKNIK/ARSITEKTUR/STATISTIKA/AKTUARIA</x:v>
      </x:c>
      <x:c r="Q1349" s="18" t="n">
        <x:v>625</x:v>
      </x:c>
      <x:c r="R1349" s="18" t="n">
        <x:v>0</x:v>
      </x:c>
      <x:c r="S1349" s="18" t="n">
        <x:v>520</x:v>
      </x:c>
      <x:c r="T1349" s="18" t="n">
        <x:v>656</x:v>
      </x:c>
      <x:c r="U1349" s="18" t="n">
        <x:v>625</x:v>
      </x:c>
      <x:c r="V1349" s="20" t="n">
        <x:v>12</x:v>
      </x:c>
      <x:c r="W1349" s="20" t="n">
        <x:v>5</x:v>
      </x:c>
      <x:c r="X1349" s="20" t="n">
        <x:v>3</x:v>
      </x:c>
      <x:c r="Y1349" t="str">
        <x:v>Basis arsip 2025/2024</x:v>
      </x:c>
      <x:c r="Z1349" t="str">
        <x:v>https://snpmb.id/utbk-snbt/daya-tampung-snbt</x:v>
      </x:c>
      <x:c r="AA1349" t="str">
        <x:v>Tidak Ada</x:v>
      </x:c>
      <x:c r="AB1349" t="str">
        <x:v>Campus=80; Ratio=0.0; Prodi=60; RelDemand=0.0; Capacity=80.0</x:v>
      </x:c>
    </x:row>
    <x:row r="1350">
      <x:c r="A1350" t="n">
        <x:v>1347</x:v>
      </x:c>
      <x:c r="B1350" t="str">
        <x:v>PTN Akademik</x:v>
      </x:c>
      <x:c r="C1350" t="str">
        <x:v>UNIVERSITAS PENDIDIKAN INDONESIA</x:v>
      </x:c>
      <x:c r="D1350" t="str">
        <x:v>TEKNIK KIMIA</x:v>
      </x:c>
      <x:c r="E1350" t="str">
        <x:v>Sarjana</x:v>
      </x:c>
      <x:c r="F1350" s="18" t="n">
        <x:v>20</x:v>
      </x:c>
      <x:c r="G1350" s="18"/>
      <x:c r="H1350" s="19" t="n">
        <x:v>0</x:v>
      </x:c>
      <x:c r="I1350" s="18" t="n">
        <x:f>ROUND(MIN(Model_Config_v3!$B$6,MAX(Q1350,R1350,S1350*Model_Config_v3!$B$4+T1350*Model_Config_v3!$B$5)),0)</x:f>
        <x:v>625</x:v>
      </x:c>
      <x:c r="J1350" s="18" t="n">
        <x:f>MIN(Model_Config_v3!$B$6,I1350+Model_Config_v3!$B$7)</x:f>
        <x:v>645</x:v>
      </x:c>
      <x:c r="K1350" s="20" t="n">
        <x:v>48.3</x:v>
      </x:c>
      <x:c r="L1350" t="str">
        <x:v>MENENGAH</x:v>
      </x:c>
      <x:c r="M1350" t="str">
        <x:v>RENDAH</x:v>
      </x:c>
      <x:c r="N1350" t="str">
        <x:v>ELITE-3</x:v>
      </x:c>
      <x:c r="O1350" t="str">
        <x:v>SAINTEK</x:v>
      </x:c>
      <x:c r="P1350" t="str">
        <x:v>TEKNIK/ARSITEKTUR/STATISTIKA/AKTUARIA</x:v>
      </x:c>
      <x:c r="Q1350" s="18" t="n">
        <x:v>625</x:v>
      </x:c>
      <x:c r="R1350" s="18" t="n">
        <x:v>0</x:v>
      </x:c>
      <x:c r="S1350" s="18" t="n">
        <x:v>520</x:v>
      </x:c>
      <x:c r="T1350" s="18" t="n">
        <x:v>657</x:v>
      </x:c>
      <x:c r="U1350" s="18" t="n">
        <x:v>625</x:v>
      </x:c>
      <x:c r="V1350" s="20" t="n">
        <x:v>12</x:v>
      </x:c>
      <x:c r="W1350" s="20" t="n">
        <x:v>5</x:v>
      </x:c>
      <x:c r="X1350" s="20" t="n">
        <x:v>3</x:v>
      </x:c>
      <x:c r="Y1350" t="str">
        <x:v>Basis arsip 2025/2024</x:v>
      </x:c>
      <x:c r="Z1350" t="str">
        <x:v>https://snpmb.id/utbk-snbt/daya-tampung-snbt</x:v>
      </x:c>
      <x:c r="AA1350" t="str">
        <x:v>Tidak Ada</x:v>
      </x:c>
      <x:c r="AB1350" t="str">
        <x:v>Campus=80; Ratio=0.0; Prodi=60; RelDemand=0.0; Capacity=83.3</x:v>
      </x:c>
    </x:row>
    <x:row r="1351">
      <x:c r="A1351" t="n">
        <x:v>1348</x:v>
      </x:c>
      <x:c r="B1351" t="str">
        <x:v>PTN Akademik</x:v>
      </x:c>
      <x:c r="C1351" t="str">
        <x:v>UNIVERSITAS PENDIDIKAN INDONESIA</x:v>
      </x:c>
      <x:c r="D1351" t="str">
        <x:v>ILMU HUKUM</x:v>
      </x:c>
      <x:c r="E1351" t="str">
        <x:v>Sarjana</x:v>
      </x:c>
      <x:c r="F1351" s="18" t="n">
        <x:v>40</x:v>
      </x:c>
      <x:c r="G1351" s="18"/>
      <x:c r="H1351" s="19" t="n">
        <x:v>0</x:v>
      </x:c>
      <x:c r="I1351" s="18" t="n">
        <x:f>ROUND(MIN(Model_Config_v3!$B$6,MAX(Q1351,R1351,S1351*Model_Config_v3!$B$4+T1351*Model_Config_v3!$B$5)),0)</x:f>
        <x:v>625</x:v>
      </x:c>
      <x:c r="J1351" s="18" t="n">
        <x:f>MIN(Model_Config_v3!$B$6,I1351+Model_Config_v3!$B$7)</x:f>
        <x:v>645</x:v>
      </x:c>
      <x:c r="K1351" s="20" t="n">
        <x:v>47.7</x:v>
      </x:c>
      <x:c r="L1351" t="str">
        <x:v>MENENGAH</x:v>
      </x:c>
      <x:c r="M1351" t="str">
        <x:v>RENDAH</x:v>
      </x:c>
      <x:c r="N1351" t="str">
        <x:v>ELITE-3</x:v>
      </x:c>
      <x:c r="O1351" t="str">
        <x:v>SOSHUM</x:v>
      </x:c>
      <x:c r="P1351" t="str">
        <x:v>HUKUM</x:v>
      </x:c>
      <x:c r="Q1351" s="18" t="n">
        <x:v>625</x:v>
      </x:c>
      <x:c r="R1351" s="18" t="n">
        <x:v>0</x:v>
      </x:c>
      <x:c r="S1351" s="18" t="n">
        <x:v>520</x:v>
      </x:c>
      <x:c r="T1351" s="18" t="n">
        <x:v>655</x:v>
      </x:c>
      <x:c r="U1351" s="18" t="n">
        <x:v>625</x:v>
      </x:c>
      <x:c r="V1351" s="20" t="n">
        <x:v>4.4</x:v>
      </x:c>
      <x:c r="W1351" s="20" t="n">
        <x:v>14.3</x:v>
      </x:c>
      <x:c r="X1351" s="20" t="n">
        <x:v>3.3</x:v>
      </x:c>
      <x:c r="Y1351" t="str">
        <x:v>Basis arsip 2025/2024</x:v>
      </x:c>
      <x:c r="Z1351" t="str">
        <x:v>https://snpmb.id/utbk-snbt/daya-tampung-snbt</x:v>
      </x:c>
      <x:c r="AA1351" t="str">
        <x:v>Tidak Ada</x:v>
      </x:c>
      <x:c r="AB1351" t="str">
        <x:v>Campus=80; Ratio=0.0; Prodi=65; RelDemand=0.0; Capacity=66.7</x:v>
      </x:c>
    </x:row>
    <x:row r="1352">
      <x:c r="A1352" t="n">
        <x:v>1349</x:v>
      </x:c>
      <x:c r="B1352" t="str">
        <x:v>PTN Akademik</x:v>
      </x:c>
      <x:c r="C1352" t="str">
        <x:v>UNIVERSITAS PENDIDIKAN INDONESIA</x:v>
      </x:c>
      <x:c r="D1352" t="str">
        <x:v>SURVEI PEMETAAN DAN INFORMASI GEOGRAFIS</x:v>
      </x:c>
      <x:c r="E1352" t="str">
        <x:v>Sarjana Terapan</x:v>
      </x:c>
      <x:c r="F1352" s="18" t="n">
        <x:v>40</x:v>
      </x:c>
      <x:c r="G1352" s="18" t="n">
        <x:v>1377</x:v>
      </x:c>
      <x:c r="H1352" s="19" t="n">
        <x:v>34.425</x:v>
      </x:c>
      <x:c r="I1352" s="18" t="n">
        <x:f>ROUND(MIN(Model_Config_v3!$B$6,MAX(Q1352,R1352,S1352*Model_Config_v3!$B$4+T1352*Model_Config_v3!$B$5)),0)</x:f>
        <x:v>704</x:v>
      </x:c>
      <x:c r="J1352" s="18" t="n">
        <x:f>MIN(Model_Config_v3!$B$6,I1352+Model_Config_v3!$B$7)</x:f>
        <x:v>724</x:v>
      </x:c>
      <x:c r="K1352" s="20" t="n">
        <x:v>75.3</x:v>
      </x:c>
      <x:c r="L1352" t="str">
        <x:v>ELITE</x:v>
      </x:c>
      <x:c r="M1352" t="str">
        <x:v>SEDANG+</x:v>
      </x:c>
      <x:c r="N1352" t="str">
        <x:v>ELITE-3</x:v>
      </x:c>
      <x:c r="O1352" t="str">
        <x:v>CAMPURAN</x:v>
      </x:c>
      <x:c r="P1352" t="str">
        <x:v>UMUM</x:v>
      </x:c>
      <x:c r="Q1352" s="18" t="n">
        <x:v>625</x:v>
      </x:c>
      <x:c r="R1352" s="18" t="n">
        <x:v>0</x:v>
      </x:c>
      <x:c r="S1352" s="18" t="n">
        <x:v>689.0561343821857</x:v>
      </x:c>
      <x:c r="T1352" s="18" t="n">
        <x:v>711</x:v>
      </x:c>
      <x:c r="U1352" s="18" t="n">
        <x:v>689.0561343821857</x:v>
      </x:c>
      <x:c r="V1352" s="20" t="n">
        <x:v>8.8</x:v>
      </x:c>
      <x:c r="W1352" s="20" t="n">
        <x:v>9.9</x:v>
      </x:c>
      <x:c r="X1352" s="20" t="n">
        <x:v>3.3</x:v>
      </x:c>
      <x:c r="Y1352" t="str">
        <x:v>Basis arsip 2025/2024</x:v>
      </x:c>
      <x:c r="Z1352" t="str">
        <x:v>https://snpmb.id/utbk-snbt/daya-tampung-snbt</x:v>
      </x:c>
      <x:c r="AA1352" t="str">
        <x:v>Tidak Ada</x:v>
      </x:c>
      <x:c r="AB1352" t="str">
        <x:v>Campus=80; Ratio=90.5; Prodi=40; RelDemand=100.0; Capacity=66.7</x:v>
      </x:c>
    </x:row>
    <x:row r="1353">
      <x:c r="A1353" t="n">
        <x:v>1350</x:v>
      </x:c>
      <x:c r="B1353" t="str">
        <x:v>PTN Akademik</x:v>
      </x:c>
      <x:c r="C1353" t="str">
        <x:v>ISBI BANDUNG</x:v>
      </x:c>
      <x:c r="D1353" t="str">
        <x:v>TARI</x:v>
      </x:c>
      <x:c r="E1353" t="str">
        <x:v>Sarjana</x:v>
      </x:c>
      <x:c r="F1353" s="18" t="n">
        <x:v>32</x:v>
      </x:c>
      <x:c r="G1353" s="18" t="n">
        <x:v>93</x:v>
      </x:c>
      <x:c r="H1353" s="19" t="n">
        <x:v>2.90625</x:v>
      </x:c>
      <x:c r="I1353" s="18" t="n">
        <x:f>ROUND(MIN(Model_Config_v3!$B$6,MAX(Q1353,R1353,S1353*Model_Config_v3!$B$4+T1353*Model_Config_v3!$B$5)),0)</x:f>
        <x:v>627</x:v>
      </x:c>
      <x:c r="J1353" s="18" t="n">
        <x:f>MIN(Model_Config_v3!$B$6,I1353+Model_Config_v3!$B$7)</x:f>
        <x:v>647</x:v>
      </x:c>
      <x:c r="K1353" s="20" t="n">
        <x:v>45.4</x:v>
      </x:c>
      <x:c r="L1353" t="str">
        <x:v>MENENGAH</x:v>
      </x:c>
      <x:c r="M1353" t="str">
        <x:v>PORTOFOLIO</x:v>
      </x:c>
      <x:c r="N1353" t="str">
        <x:v>REGULER</x:v>
      </x:c>
      <x:c r="O1353" t="str">
        <x:v>SENI/OLAHRAGA</x:v>
      </x:c>
      <x:c r="P1353" t="str">
        <x:v>SENI/OLAHRAGA</x:v>
      </x:c>
      <x:c r="Q1353" s="18" t="n">
        <x:v>0</x:v>
      </x:c>
      <x:c r="R1353" s="18" t="n">
        <x:v>0</x:v>
      </x:c>
      <x:c r="S1353" s="18" t="n">
        <x:v>570.9666267257431</x:v>
      </x:c>
      <x:c r="T1353" s="18" t="n">
        <x:v>651</x:v>
      </x:c>
      <x:c r="U1353" s="18" t="n">
        <x:v>570.9666267257431</x:v>
      </x:c>
      <x:c r="V1353" s="20" t="n">
        <x:v>4.4</x:v>
      </x:c>
      <x:c r="W1353" s="20" t="n">
        <x:v>9.9</x:v>
      </x:c>
      <x:c r="X1353" s="20" t="n">
        <x:v>7.7</x:v>
      </x:c>
      <x:c r="Y1353" t="str">
        <x:v>Basis arsip 2025/2024</x:v>
      </x:c>
      <x:c r="Z1353" t="str">
        <x:v>https://snpmb.id/utbk-snbt/daya-tampung-snbt</x:v>
      </x:c>
      <x:c r="AA1353" t="str">
        <x:v>Tari</x:v>
      </x:c>
      <x:c r="AB1353" t="str">
        <x:v>Campus=55; Ratio=27.3; Prodi=45; RelDemand=30.4; Capacity=73.3</x:v>
      </x:c>
    </x:row>
    <x:row r="1354">
      <x:c r="A1354" t="n">
        <x:v>1351</x:v>
      </x:c>
      <x:c r="B1354" t="str">
        <x:v>PTN Akademik</x:v>
      </x:c>
      <x:c r="C1354" t="str">
        <x:v>ISBI BANDUNG</x:v>
      </x:c>
      <x:c r="D1354" t="str">
        <x:v>KARAWITAN</x:v>
      </x:c>
      <x:c r="E1354" t="str">
        <x:v>Sarjana</x:v>
      </x:c>
      <x:c r="F1354" s="18" t="n">
        <x:v>45</x:v>
      </x:c>
      <x:c r="G1354" s="18" t="n">
        <x:v>69</x:v>
      </x:c>
      <x:c r="H1354" s="19" t="n">
        <x:v>1.5333333333333334</x:v>
      </x:c>
      <x:c r="I1354" s="18" t="n">
        <x:f>ROUND(MIN(Model_Config_v3!$B$6,MAX(Q1354,R1354,S1354*Model_Config_v3!$B$4+T1354*Model_Config_v3!$B$5)),0)</x:f>
        <x:v>609</x:v>
      </x:c>
      <x:c r="J1354" s="18" t="n">
        <x:f>MIN(Model_Config_v3!$B$6,I1354+Model_Config_v3!$B$7)</x:f>
        <x:v>629</x:v>
      </x:c>
      <x:c r="K1354" s="20" t="n">
        <x:v>38.8</x:v>
      </x:c>
      <x:c r="L1354" t="str">
        <x:v>RELATIF LONGGAR</x:v>
      </x:c>
      <x:c r="M1354" t="str">
        <x:v>PORTOFOLIO</x:v>
      </x:c>
      <x:c r="N1354" t="str">
        <x:v>REGULER</x:v>
      </x:c>
      <x:c r="O1354" t="str">
        <x:v>SENI/OLAHRAGA</x:v>
      </x:c>
      <x:c r="P1354" t="str">
        <x:v>SENI/OLAHRAGA</x:v>
      </x:c>
      <x:c r="Q1354" s="18" t="n">
        <x:v>0</x:v>
      </x:c>
      <x:c r="R1354" s="18" t="n">
        <x:v>0</x:v>
      </x:c>
      <x:c r="S1354" s="18" t="n">
        <x:v>540.4200234658102</x:v>
      </x:c>
      <x:c r="T1354" s="18" t="n">
        <x:v>638</x:v>
      </x:c>
      <x:c r="U1354" s="18" t="n">
        <x:v>540.4200234658102</x:v>
      </x:c>
      <x:c r="V1354" s="20" t="n">
        <x:v>4.4</x:v>
      </x:c>
      <x:c r="W1354" s="20" t="n">
        <x:v>9.9</x:v>
      </x:c>
      <x:c r="X1354" s="20" t="n">
        <x:v>7.7</x:v>
      </x:c>
      <x:c r="Y1354" t="str">
        <x:v>Basis arsip 2025/2024</x:v>
      </x:c>
      <x:c r="Z1354" t="str">
        <x:v>https://snpmb.id/utbk-snbt/daya-tampung-snbt</x:v>
      </x:c>
      <x:c r="AA1354" t="str">
        <x:v>Seni Karawitan</x:v>
      </x:c>
      <x:c r="AB1354" t="str">
        <x:v>Campus=55; Ratio=10.9; Prodi=45; RelDemand=16.0; Capacity=62.5</x:v>
      </x:c>
    </x:row>
    <x:row r="1355">
      <x:c r="A1355" t="n">
        <x:v>1352</x:v>
      </x:c>
      <x:c r="B1355" t="str">
        <x:v>PTN Akademik</x:v>
      </x:c>
      <x:c r="C1355" t="str">
        <x:v>ISBI BANDUNG</x:v>
      </x:c>
      <x:c r="D1355" t="str">
        <x:v>TEATER</x:v>
      </x:c>
      <x:c r="E1355" t="str">
        <x:v>Sarjana</x:v>
      </x:c>
      <x:c r="F1355" s="18" t="n">
        <x:v>36</x:v>
      </x:c>
      <x:c r="G1355" s="18" t="n">
        <x:v>33</x:v>
      </x:c>
      <x:c r="H1355" s="19" t="n">
        <x:v>0.9166666666666666</x:v>
      </x:c>
      <x:c r="I1355" s="18" t="n">
        <x:f>ROUND(MIN(Model_Config_v3!$B$6,MAX(Q1355,R1355,S1355*Model_Config_v3!$B$4+T1355*Model_Config_v3!$B$5)),0)</x:f>
        <x:v>598</x:v>
      </x:c>
      <x:c r="J1355" s="18" t="n">
        <x:f>MIN(Model_Config_v3!$B$6,I1355+Model_Config_v3!$B$7)</x:f>
        <x:v>618</x:v>
      </x:c>
      <x:c r="K1355" s="20" t="n">
        <x:v>36.2</x:v>
      </x:c>
      <x:c r="L1355" t="str">
        <x:v>RELATIF LONGGAR</x:v>
      </x:c>
      <x:c r="M1355" t="str">
        <x:v>PORTOFOLIO</x:v>
      </x:c>
      <x:c r="N1355" t="str">
        <x:v>REGULER</x:v>
      </x:c>
      <x:c r="O1355" t="str">
        <x:v>SENI/OLAHRAGA</x:v>
      </x:c>
      <x:c r="P1355" t="str">
        <x:v>SENI/OLAHRAGA</x:v>
      </x:c>
      <x:c r="Q1355" s="18" t="n">
        <x:v>0</x:v>
      </x:c>
      <x:c r="R1355" s="18" t="n">
        <x:v>0</x:v>
      </x:c>
      <x:c r="S1355" s="18" t="n">
        <x:v>520</x:v>
      </x:c>
      <x:c r="T1355" s="18" t="n">
        <x:v>632</x:v>
      </x:c>
      <x:c r="U1355" s="18" t="n">
        <x:v>520</x:v>
      </x:c>
      <x:c r="V1355" s="20" t="n">
        <x:v>4.4</x:v>
      </x:c>
      <x:c r="W1355" s="20" t="n">
        <x:v>9.9</x:v>
      </x:c>
      <x:c r="X1355" s="20" t="n">
        <x:v>7.7</x:v>
      </x:c>
      <x:c r="Y1355" t="str">
        <x:v>Basis arsip 2025/2024</x:v>
      </x:c>
      <x:c r="Z1355" t="str">
        <x:v>https://snpmb.id/utbk-snbt/daya-tampung-snbt</x:v>
      </x:c>
      <x:c r="AA1355" t="str">
        <x:v>Teater</x:v>
      </x:c>
      <x:c r="AB1355" t="str">
        <x:v>Campus=55; Ratio=0.0; Prodi=45; RelDemand=9.6; Capacity=70.0</x:v>
      </x:c>
    </x:row>
    <x:row r="1356">
      <x:c r="A1356" t="n">
        <x:v>1353</x:v>
      </x:c>
      <x:c r="B1356" t="str">
        <x:v>PTN Akademik</x:v>
      </x:c>
      <x:c r="C1356" t="str">
        <x:v>ISBI BANDUNG</x:v>
      </x:c>
      <x:c r="D1356" t="str">
        <x:v>SENI MURNI</x:v>
      </x:c>
      <x:c r="E1356" t="str">
        <x:v>Sarjana</x:v>
      </x:c>
      <x:c r="F1356" s="18" t="n">
        <x:v>24</x:v>
      </x:c>
      <x:c r="G1356" s="18" t="n">
        <x:v>56</x:v>
      </x:c>
      <x:c r="H1356" s="19" t="n">
        <x:v>2.3333333333333335</x:v>
      </x:c>
      <x:c r="I1356" s="18" t="n">
        <x:f>ROUND(MIN(Model_Config_v3!$B$6,MAX(Q1356,R1356,S1356*Model_Config_v3!$B$4+T1356*Model_Config_v3!$B$5)),0)</x:f>
        <x:v>622</x:v>
      </x:c>
      <x:c r="J1356" s="18" t="n">
        <x:f>MIN(Model_Config_v3!$B$6,I1356+Model_Config_v3!$B$7)</x:f>
        <x:v>642</x:v>
      </x:c>
      <x:c r="K1356" s="20" t="n">
        <x:v>44.1</x:v>
      </x:c>
      <x:c r="L1356" t="str">
        <x:v>RELATIF LONGGAR</x:v>
      </x:c>
      <x:c r="M1356" t="str">
        <x:v>PORTOFOLIO</x:v>
      </x:c>
      <x:c r="N1356" t="str">
        <x:v>REGULER</x:v>
      </x:c>
      <x:c r="O1356" t="str">
        <x:v>SENI/OLAHRAGA</x:v>
      </x:c>
      <x:c r="P1356" t="str">
        <x:v>SENI/OLAHRAGA</x:v>
      </x:c>
      <x:c r="Q1356" s="18" t="n">
        <x:v>0</x:v>
      </x:c>
      <x:c r="R1356" s="18" t="n">
        <x:v>0</x:v>
      </x:c>
      <x:c r="S1356" s="18" t="n">
        <x:v>560.4774463824053</x:v>
      </x:c>
      <x:c r="T1356" s="18" t="n">
        <x:v>648</x:v>
      </x:c>
      <x:c r="U1356" s="18" t="n">
        <x:v>560.4774463824053</x:v>
      </x:c>
      <x:c r="V1356" s="20" t="n">
        <x:v>4.4</x:v>
      </x:c>
      <x:c r="W1356" s="20" t="n">
        <x:v>9.9</x:v>
      </x:c>
      <x:c r="X1356" s="20" t="n">
        <x:v>7.7</x:v>
      </x:c>
      <x:c r="Y1356" t="str">
        <x:v>Basis arsip 2025/2024</x:v>
      </x:c>
      <x:c r="Z1356" t="str">
        <x:v>https://snpmb.id/utbk-snbt/daya-tampung-snbt</x:v>
      </x:c>
      <x:c r="AA1356" t="str">
        <x:v>Seni Rupa, Desain, dan Kriya</x:v>
      </x:c>
      <x:c r="AB1356" t="str">
        <x:v>Campus=55; Ratio=21.7; Prodi=45; RelDemand=24.4; Capacity=80.0</x:v>
      </x:c>
    </x:row>
    <x:row r="1357">
      <x:c r="A1357" t="n">
        <x:v>1354</x:v>
      </x:c>
      <x:c r="B1357" t="str">
        <x:v>PTN Akademik</x:v>
      </x:c>
      <x:c r="C1357" t="str">
        <x:v>ISBI BANDUNG</x:v>
      </x:c>
      <x:c r="D1357" t="str">
        <x:v>ANTROPOLOGI BUDAYA</x:v>
      </x:c>
      <x:c r="E1357" t="str">
        <x:v>Sarjana</x:v>
      </x:c>
      <x:c r="F1357" s="18" t="n">
        <x:v>38</x:v>
      </x:c>
      <x:c r="G1357" s="18" t="n">
        <x:v>194</x:v>
      </x:c>
      <x:c r="H1357" s="19" t="n">
        <x:v>5.105263157894737</x:v>
      </x:c>
      <x:c r="I1357" s="18" t="n">
        <x:f>ROUND(MIN(Model_Config_v3!$B$6,MAX(Q1357,R1357,S1357*Model_Config_v3!$B$4+T1357*Model_Config_v3!$B$5)),0)</x:f>
        <x:v>641</x:v>
      </x:c>
      <x:c r="J1357" s="18" t="n">
        <x:f>MIN(Model_Config_v3!$B$6,I1357+Model_Config_v3!$B$7)</x:f>
        <x:v>661</x:v>
      </x:c>
      <x:c r="K1357" s="20" t="n">
        <x:v>49.8</x:v>
      </x:c>
      <x:c r="L1357" t="str">
        <x:v>MENENGAH</x:v>
      </x:c>
      <x:c r="M1357" t="str">
        <x:v>SEDANG</x:v>
      </x:c>
      <x:c r="N1357" t="str">
        <x:v>REGULER</x:v>
      </x:c>
      <x:c r="O1357" t="str">
        <x:v>SOSHUM</x:v>
      </x:c>
      <x:c r="P1357" t="str">
        <x:v>UMUM</x:v>
      </x:c>
      <x:c r="Q1357" s="18" t="n">
        <x:v>0</x:v>
      </x:c>
      <x:c r="R1357" s="18" t="n">
        <x:v>0</x:v>
      </x:c>
      <x:c r="S1357" s="18" t="n">
        <x:v>597.8819946644758</x:v>
      </x:c>
      <x:c r="T1357" s="18" t="n">
        <x:v>660</x:v>
      </x:c>
      <x:c r="U1357" s="18" t="n">
        <x:v>597.8819946644758</x:v>
      </x:c>
      <x:c r="V1357" s="20" t="n">
        <x:v>4.4</x:v>
      </x:c>
      <x:c r="W1357" s="20" t="n">
        <x:v>14.3</x:v>
      </x:c>
      <x:c r="X1357" s="20" t="n">
        <x:v>3.3</x:v>
      </x:c>
      <x:c r="Y1357" t="str">
        <x:v>Basis arsip 2025/2024</x:v>
      </x:c>
      <x:c r="Z1357" t="str">
        <x:v>https://snpmb.id/utbk-snbt/daya-tampung-snbt</x:v>
      </x:c>
      <x:c r="AA1357" t="str">
        <x:v>Tidak Ada</x:v>
      </x:c>
      <x:c r="AB1357" t="str">
        <x:v>Campus=55; Ratio=41.7; Prodi=40; RelDemand=53.4; Capacity=68.3</x:v>
      </x:c>
    </x:row>
    <x:row r="1358">
      <x:c r="A1358" t="n">
        <x:v>1355</x:v>
      </x:c>
      <x:c r="B1358" t="str">
        <x:v>PTN Akademik</x:v>
      </x:c>
      <x:c r="C1358" t="str">
        <x:v>ISBI BANDUNG</x:v>
      </x:c>
      <x:c r="D1358" t="str">
        <x:v>KRIYA</x:v>
      </x:c>
      <x:c r="E1358" t="str">
        <x:v>Sarjana</x:v>
      </x:c>
      <x:c r="F1358" s="18" t="n">
        <x:v>12</x:v>
      </x:c>
      <x:c r="G1358" s="18" t="n">
        <x:v>3</x:v>
      </x:c>
      <x:c r="H1358" s="19" t="n">
        <x:v>0.25</x:v>
      </x:c>
      <x:c r="I1358" s="18" t="n">
        <x:f>ROUND(MIN(Model_Config_v3!$B$6,MAX(Q1358,R1358,S1358*Model_Config_v3!$B$4+T1358*Model_Config_v3!$B$5)),0)</x:f>
        <x:v>601</x:v>
      </x:c>
      <x:c r="J1358" s="18" t="n">
        <x:f>MIN(Model_Config_v3!$B$6,I1358+Model_Config_v3!$B$7)</x:f>
        <x:v>621</x:v>
      </x:c>
      <x:c r="K1358" s="20" t="n">
        <x:v>37.5</x:v>
      </x:c>
      <x:c r="L1358" t="str">
        <x:v>RELATIF LONGGAR</x:v>
      </x:c>
      <x:c r="M1358" t="str">
        <x:v>PORTOFOLIO</x:v>
      </x:c>
      <x:c r="N1358" t="str">
        <x:v>REGULER</x:v>
      </x:c>
      <x:c r="O1358" t="str">
        <x:v>SENI/OLAHRAGA</x:v>
      </x:c>
      <x:c r="P1358" t="str">
        <x:v>SENI/OLAHRAGA</x:v>
      </x:c>
      <x:c r="Q1358" s="18" t="n">
        <x:v>0</x:v>
      </x:c>
      <x:c r="R1358" s="18" t="n">
        <x:v>0</x:v>
      </x:c>
      <x:c r="S1358" s="18" t="n">
        <x:v>520</x:v>
      </x:c>
      <x:c r="T1358" s="18" t="n">
        <x:v>635</x:v>
      </x:c>
      <x:c r="U1358" s="18" t="n">
        <x:v>520</x:v>
      </x:c>
      <x:c r="V1358" s="20" t="n">
        <x:v>4.4</x:v>
      </x:c>
      <x:c r="W1358" s="20" t="n">
        <x:v>9.9</x:v>
      </x:c>
      <x:c r="X1358" s="20" t="n">
        <x:v>7.7</x:v>
      </x:c>
      <x:c r="Y1358" t="str">
        <x:v>Basis arsip 2025/2024</x:v>
      </x:c>
      <x:c r="Z1358" t="str">
        <x:v>https://snpmb.id/utbk-snbt/daya-tampung-snbt</x:v>
      </x:c>
      <x:c r="AA1358" t="str">
        <x:v>Seni Rupa, Desain, dan Kriya</x:v>
      </x:c>
      <x:c r="AB1358" t="str">
        <x:v>Campus=55; Ratio=0.0; Prodi=45; RelDemand=2.6; Capacity=90.0</x:v>
      </x:c>
    </x:row>
    <x:row r="1359">
      <x:c r="A1359" t="n">
        <x:v>1356</x:v>
      </x:c>
      <x:c r="B1359" t="str">
        <x:v>PTN Akademik</x:v>
      </x:c>
      <x:c r="C1359" t="str">
        <x:v>ISBI BANDUNG</x:v>
      </x:c>
      <x:c r="D1359" t="str">
        <x:v>DESAIN KOMUNIKASI VISUAL</x:v>
      </x:c>
      <x:c r="E1359" t="str">
        <x:v>Sarjana</x:v>
      </x:c>
      <x:c r="F1359" s="18" t="n">
        <x:v>12</x:v>
      </x:c>
      <x:c r="G1359" s="18" t="n">
        <x:v>223</x:v>
      </x:c>
      <x:c r="H1359" s="19" t="n">
        <x:v>18.583333333333332</x:v>
      </x:c>
      <x:c r="I1359" s="18" t="n">
        <x:f>ROUND(MIN(Model_Config_v3!$B$6,MAX(Q1359,R1359,S1359*Model_Config_v3!$B$4+T1359*Model_Config_v3!$B$5)),0)</x:f>
        <x:v>682</x:v>
      </x:c>
      <x:c r="J1359" s="18" t="n">
        <x:f>MIN(Model_Config_v3!$B$6,I1359+Model_Config_v3!$B$7)</x:f>
        <x:v>702</x:v>
      </x:c>
      <x:c r="K1359" s="20" t="n">
        <x:v>65.9</x:v>
      </x:c>
      <x:c r="L1359" t="str">
        <x:v>SANGAT KETAT</x:v>
      </x:c>
      <x:c r="M1359" t="str">
        <x:v>PORTOFOLIO</x:v>
      </x:c>
      <x:c r="N1359" t="str">
        <x:v>REGULER</x:v>
      </x:c>
      <x:c r="O1359" t="str">
        <x:v>SENI/OLAHRAGA</x:v>
      </x:c>
      <x:c r="P1359" t="str">
        <x:v>SENI/OLAHRAGA</x:v>
      </x:c>
      <x:c r="Q1359" s="18" t="n">
        <x:v>0</x:v>
      </x:c>
      <x:c r="R1359" s="18" t="n">
        <x:v>0</x:v>
      </x:c>
      <x:c r="S1359" s="18" t="n">
        <x:v>659.6035978700589</x:v>
      </x:c>
      <x:c r="T1359" s="18" t="n">
        <x:v>692</x:v>
      </x:c>
      <x:c r="U1359" s="18" t="n">
        <x:v>659.6035978700589</x:v>
      </x:c>
      <x:c r="V1359" s="20" t="n">
        <x:v>4.4</x:v>
      </x:c>
      <x:c r="W1359" s="20" t="n">
        <x:v>9.9</x:v>
      </x:c>
      <x:c r="X1359" s="20" t="n">
        <x:v>7.7</x:v>
      </x:c>
      <x:c r="Y1359" t="str">
        <x:v>Basis arsip 2025/2024</x:v>
      </x:c>
      <x:c r="Z1359" t="str">
        <x:v>https://snpmb.id/utbk-snbt/daya-tampung-snbt</x:v>
      </x:c>
      <x:c r="AA1359" t="str">
        <x:v>Seni Rupa, Desain, dan Kriya</x:v>
      </x:c>
      <x:c r="AB1359" t="str">
        <x:v>Campus=55; Ratio=74.7; Prodi=45; RelDemand=100.0; Capacity=90.0</x:v>
      </x:c>
    </x:row>
    <x:row r="1360">
      <x:c r="A1360" t="n">
        <x:v>1357</x:v>
      </x:c>
      <x:c r="B1360" t="str">
        <x:v>PTN Akademik</x:v>
      </x:c>
      <x:c r="C1360" t="str">
        <x:v>ISBI BANDUNG</x:v>
      </x:c>
      <x:c r="D1360" t="str">
        <x:v>DESAIN INTERIOR</x:v>
      </x:c>
      <x:c r="E1360" t="str">
        <x:v>Sarjana</x:v>
      </x:c>
      <x:c r="F1360" s="18" t="n">
        <x:v>12</x:v>
      </x:c>
      <x:c r="G1360" s="18"/>
      <x:c r="H1360" s="19" t="n">
        <x:v>0</x:v>
      </x:c>
      <x:c r="I1360" s="18" t="n">
        <x:f>ROUND(MIN(Model_Config_v3!$B$6,MAX(Q1360,R1360,S1360*Model_Config_v3!$B$4+T1360*Model_Config_v3!$B$5)),0)</x:f>
        <x:v>600</x:v>
      </x:c>
      <x:c r="J1360" s="18" t="n">
        <x:f>MIN(Model_Config_v3!$B$6,I1360+Model_Config_v3!$B$7)</x:f>
        <x:v>620</x:v>
      </x:c>
      <x:c r="K1360" s="20" t="n">
        <x:v>37.2</x:v>
      </x:c>
      <x:c r="L1360" t="str">
        <x:v>RELATIF LONGGAR</x:v>
      </x:c>
      <x:c r="M1360" t="str">
        <x:v>PORTOFOLIO</x:v>
      </x:c>
      <x:c r="N1360" t="str">
        <x:v>REGULER</x:v>
      </x:c>
      <x:c r="O1360" t="str">
        <x:v>SENI/OLAHRAGA</x:v>
      </x:c>
      <x:c r="P1360" t="str">
        <x:v>SENI/OLAHRAGA</x:v>
      </x:c>
      <x:c r="Q1360" s="18" t="n">
        <x:v>0</x:v>
      </x:c>
      <x:c r="R1360" s="18" t="n">
        <x:v>0</x:v>
      </x:c>
      <x:c r="S1360" s="18" t="n">
        <x:v>520</x:v>
      </x:c>
      <x:c r="T1360" s="18" t="n">
        <x:v>634</x:v>
      </x:c>
      <x:c r="U1360" s="18" t="n">
        <x:v>520</x:v>
      </x:c>
      <x:c r="V1360" s="20" t="n">
        <x:v>4.4</x:v>
      </x:c>
      <x:c r="W1360" s="20" t="n">
        <x:v>9.9</x:v>
      </x:c>
      <x:c r="X1360" s="20" t="n">
        <x:v>7.7</x:v>
      </x:c>
      <x:c r="Y1360" t="str">
        <x:v>Basis arsip 2025/2024</x:v>
      </x:c>
      <x:c r="Z1360" t="str">
        <x:v>https://snpmb.id/utbk-snbt/daya-tampung-snbt</x:v>
      </x:c>
      <x:c r="AA1360" t="str">
        <x:v>Seni Rupa, Desain, dan Kriya</x:v>
      </x:c>
      <x:c r="AB1360" t="str">
        <x:v>Campus=55; Ratio=0.0; Prodi=45; RelDemand=0.0; Capacity=90.0</x:v>
      </x:c>
    </x:row>
    <x:row r="1361">
      <x:c r="A1361" t="n">
        <x:v>1358</x:v>
      </x:c>
      <x:c r="B1361" t="str">
        <x:v>PTN Akademik</x:v>
      </x:c>
      <x:c r="C1361" t="str">
        <x:v>ISBI BANDUNG</x:v>
      </x:c>
      <x:c r="D1361" t="str">
        <x:v>ANGKLUNG DAN MUSIK BAMBU</x:v>
      </x:c>
      <x:c r="E1361" t="str">
        <x:v>Sarjana Terapan</x:v>
      </x:c>
      <x:c r="F1361" s="18" t="n">
        <x:v>18</x:v>
      </x:c>
      <x:c r="G1361" s="18" t="n">
        <x:v>19</x:v>
      </x:c>
      <x:c r="H1361" s="19" t="n">
        <x:v>1.0555555555555556</x:v>
      </x:c>
      <x:c r="I1361" s="18" t="n">
        <x:f>ROUND(MIN(Model_Config_v3!$B$6,MAX(Q1361,R1361,S1361*Model_Config_v3!$B$4+T1361*Model_Config_v3!$B$5)),0)</x:f>
        <x:v>602</x:v>
      </x:c>
      <x:c r="J1361" s="18" t="n">
        <x:f>MIN(Model_Config_v3!$B$6,I1361+Model_Config_v3!$B$7)</x:f>
        <x:v>622</x:v>
      </x:c>
      <x:c r="K1361" s="20" t="n">
        <x:v>38.2</x:v>
      </x:c>
      <x:c r="L1361" t="str">
        <x:v>RELATIF LONGGAR</x:v>
      </x:c>
      <x:c r="M1361" t="str">
        <x:v>PORTOFOLIO</x:v>
      </x:c>
      <x:c r="N1361" t="str">
        <x:v>REGULER</x:v>
      </x:c>
      <x:c r="O1361" t="str">
        <x:v>SENI/OLAHRAGA</x:v>
      </x:c>
      <x:c r="P1361" t="str">
        <x:v>SENI/OLAHRAGA</x:v>
      </x:c>
      <x:c r="Q1361" s="18" t="n">
        <x:v>0</x:v>
      </x:c>
      <x:c r="R1361" s="18" t="n">
        <x:v>0</x:v>
      </x:c>
      <x:c r="S1361" s="18" t="n">
        <x:v>522.5829205434475</x:v>
      </x:c>
      <x:c r="T1361" s="18" t="n">
        <x:v>636</x:v>
      </x:c>
      <x:c r="U1361" s="18" t="n">
        <x:v>522.5829205434475</x:v>
      </x:c>
      <x:c r="V1361" s="20" t="n">
        <x:v>4.4</x:v>
      </x:c>
      <x:c r="W1361" s="20" t="n">
        <x:v>9.9</x:v>
      </x:c>
      <x:c r="X1361" s="20" t="n">
        <x:v>7.7</x:v>
      </x:c>
      <x:c r="Y1361" t="str">
        <x:v>Basis arsip 2025/2024</x:v>
      </x:c>
      <x:c r="Z1361" t="str">
        <x:v>https://snpmb.id/utbk-snbt/daya-tampung-snbt</x:v>
      </x:c>
      <x:c r="AA1361" t="str">
        <x:v>Musik</x:v>
      </x:c>
      <x:c r="AB1361" t="str">
        <x:v>Campus=55; Ratio=1.4; Prodi=45; RelDemand=11.0; Capacity=85.0</x:v>
      </x:c>
    </x:row>
    <x:row r="1362">
      <x:c r="A1362" t="n">
        <x:v>1359</x:v>
      </x:c>
      <x:c r="B1362" t="str">
        <x:v>PTN Akademik</x:v>
      </x:c>
      <x:c r="C1362" t="str">
        <x:v>ISBI BANDUNG</x:v>
      </x:c>
      <x:c r="D1362" t="str">
        <x:v>TARI SUNDA</x:v>
      </x:c>
      <x:c r="E1362" t="str">
        <x:v>Sarjana Terapan</x:v>
      </x:c>
      <x:c r="F1362" s="18" t="n">
        <x:v>14</x:v>
      </x:c>
      <x:c r="G1362" s="18" t="n">
        <x:v>43</x:v>
      </x:c>
      <x:c r="H1362" s="19" t="n">
        <x:v>3.0714285714285716</x:v>
      </x:c>
      <x:c r="I1362" s="18" t="n">
        <x:f>ROUND(MIN(Model_Config_v3!$B$6,MAX(Q1362,R1362,S1362*Model_Config_v3!$B$4+T1362*Model_Config_v3!$B$5)),0)</x:f>
        <x:v>631</x:v>
      </x:c>
      <x:c r="J1362" s="18" t="n">
        <x:f>MIN(Model_Config_v3!$B$6,I1362+Model_Config_v3!$B$7)</x:f>
        <x:v>651</x:v>
      </x:c>
      <x:c r="K1362" s="20" t="n">
        <x:v>47.5</x:v>
      </x:c>
      <x:c r="L1362" t="str">
        <x:v>MENENGAH</x:v>
      </x:c>
      <x:c r="M1362" t="str">
        <x:v>PORTOFOLIO</x:v>
      </x:c>
      <x:c r="N1362" t="str">
        <x:v>REGULER</x:v>
      </x:c>
      <x:c r="O1362" t="str">
        <x:v>SENI/OLAHRAGA</x:v>
      </x:c>
      <x:c r="P1362" t="str">
        <x:v>SENI/OLAHRAGA</x:v>
      </x:c>
      <x:c r="Q1362" s="18" t="n">
        <x:v>0</x:v>
      </x:c>
      <x:c r="R1362" s="18" t="n">
        <x:v>0</x:v>
      </x:c>
      <x:c r="S1362" s="18" t="n">
        <x:v>573.6074461891483</x:v>
      </x:c>
      <x:c r="T1362" s="18" t="n">
        <x:v>655</x:v>
      </x:c>
      <x:c r="U1362" s="18" t="n">
        <x:v>573.6074461891483</x:v>
      </x:c>
      <x:c r="V1362" s="20" t="n">
        <x:v>4.4</x:v>
      </x:c>
      <x:c r="W1362" s="20" t="n">
        <x:v>9.9</x:v>
      </x:c>
      <x:c r="X1362" s="20" t="n">
        <x:v>7.7</x:v>
      </x:c>
      <x:c r="Y1362" t="str">
        <x:v>Basis arsip 2025/2024</x:v>
      </x:c>
      <x:c r="Z1362" t="str">
        <x:v>https://snpmb.id/utbk-snbt/daya-tampung-snbt</x:v>
      </x:c>
      <x:c r="AA1362" t="str">
        <x:v>Tari</x:v>
      </x:c>
      <x:c r="AB1362" t="str">
        <x:v>Campus=55; Ratio=28.7; Prodi=45; RelDemand=32.1; Capacity=88.3</x:v>
      </x:c>
    </x:row>
    <x:row r="1363">
      <x:c r="A1363" t="n">
        <x:v>1360</x:v>
      </x:c>
      <x:c r="B1363" t="str">
        <x:v>PTN Akademik</x:v>
      </x:c>
      <x:c r="C1363" t="str">
        <x:v>ISBI BANDUNG</x:v>
      </x:c>
      <x:c r="D1363" t="str">
        <x:v>TELEVISI DAN FILM</x:v>
      </x:c>
      <x:c r="E1363" t="str">
        <x:v>Sarjana Terapan</x:v>
      </x:c>
      <x:c r="F1363" s="18" t="n">
        <x:v>45</x:v>
      </x:c>
      <x:c r="G1363" s="18" t="n">
        <x:v>301</x:v>
      </x:c>
      <x:c r="H1363" s="19" t="n">
        <x:v>6.688888888888889</x:v>
      </x:c>
      <x:c r="I1363" s="18" t="n">
        <x:f>ROUND(MIN(Model_Config_v3!$B$6,MAX(Q1363,R1363,S1363*Model_Config_v3!$B$4+T1363*Model_Config_v3!$B$5)),0)</x:f>
        <x:v>650</x:v>
      </x:c>
      <x:c r="J1363" s="18" t="n">
        <x:f>MIN(Model_Config_v3!$B$6,I1363+Model_Config_v3!$B$7)</x:f>
        <x:v>670</x:v>
      </x:c>
      <x:c r="K1363" s="20" t="n">
        <x:v>53.6</x:v>
      </x:c>
      <x:c r="L1363" t="str">
        <x:v>MENENGAH</x:v>
      </x:c>
      <x:c r="M1363" t="str">
        <x:v>PORTOFOLIO</x:v>
      </x:c>
      <x:c r="N1363" t="str">
        <x:v>REGULER</x:v>
      </x:c>
      <x:c r="O1363" t="str">
        <x:v>SENI/OLAHRAGA</x:v>
      </x:c>
      <x:c r="P1363" t="str">
        <x:v>SENI/OLAHRAGA</x:v>
      </x:c>
      <x:c r="Q1363" s="18" t="n">
        <x:v>0</x:v>
      </x:c>
      <x:c r="R1363" s="18" t="n">
        <x:v>0</x:v>
      </x:c>
      <x:c r="S1363" s="18" t="n">
        <x:v>610.7889380000349</x:v>
      </x:c>
      <x:c r="T1363" s="18" t="n">
        <x:v>667</x:v>
      </x:c>
      <x:c r="U1363" s="18" t="n">
        <x:v>610.7889380000349</x:v>
      </x:c>
      <x:c r="V1363" s="20" t="n">
        <x:v>4.4</x:v>
      </x:c>
      <x:c r="W1363" s="20" t="n">
        <x:v>9.9</x:v>
      </x:c>
      <x:c r="X1363" s="20" t="n">
        <x:v>7.7</x:v>
      </x:c>
      <x:c r="Y1363" t="str">
        <x:v>Basis arsip 2025/2024</x:v>
      </x:c>
      <x:c r="Z1363" t="str">
        <x:v>https://snpmb.id/utbk-snbt/daya-tampung-snbt</x:v>
      </x:c>
      <x:c r="AA1363" t="str">
        <x:v>Film dan Televisi</x:v>
      </x:c>
      <x:c r="AB1363" t="str">
        <x:v>Campus=55; Ratio=48.6; Prodi=45; RelDemand=69.9; Capacity=62.5</x:v>
      </x:c>
    </x:row>
    <x:row r="1364">
      <x:c r="A1364" t="n">
        <x:v>1361</x:v>
      </x:c>
      <x:c r="B1364" t="str">
        <x:v>PTN Akademik</x:v>
      </x:c>
      <x:c r="C1364" t="str">
        <x:v>ISBI BANDUNG</x:v>
      </x:c>
      <x:c r="D1364" t="str">
        <x:v>TATA RIAS DAN BUSANA</x:v>
      </x:c>
      <x:c r="E1364" t="str">
        <x:v>Sarjana Terapan</x:v>
      </x:c>
      <x:c r="F1364" s="18" t="n">
        <x:v>12</x:v>
      </x:c>
      <x:c r="G1364" s="18" t="n">
        <x:v>112</x:v>
      </x:c>
      <x:c r="H1364" s="19" t="n">
        <x:v>9.333333333333334</x:v>
      </x:c>
      <x:c r="I1364" s="18" t="n">
        <x:f>ROUND(MIN(Model_Config_v3!$B$6,MAX(Q1364,R1364,S1364*Model_Config_v3!$B$4+T1364*Model_Config_v3!$B$5)),0)</x:f>
        <x:v>666</x:v>
      </x:c>
      <x:c r="J1364" s="18" t="n">
        <x:f>MIN(Model_Config_v3!$B$6,I1364+Model_Config_v3!$B$7)</x:f>
        <x:v>686</x:v>
      </x:c>
      <x:c r="K1364" s="20" t="n">
        <x:v>61.3</x:v>
      </x:c>
      <x:c r="L1364" t="str">
        <x:v>KETAT</x:v>
      </x:c>
      <x:c r="M1364" t="str">
        <x:v>PORTOFOLIO</x:v>
      </x:c>
      <x:c r="N1364" t="str">
        <x:v>REGULER</x:v>
      </x:c>
      <x:c r="O1364" t="str">
        <x:v>SENI/OLAHRAGA</x:v>
      </x:c>
      <x:c r="P1364" t="str">
        <x:v>SENI/OLAHRAGA</x:v>
      </x:c>
      <x:c r="Q1364" s="18" t="n">
        <x:v>0</x:v>
      </x:c>
      <x:c r="R1364" s="18" t="n">
        <x:v>0</x:v>
      </x:c>
      <x:c r="S1364" s="18" t="n">
        <x:v>626.7040454284812</x:v>
      </x:c>
      <x:c r="T1364" s="18" t="n">
        <x:v>683</x:v>
      </x:c>
      <x:c r="U1364" s="18" t="n">
        <x:v>626.7040454284812</x:v>
      </x:c>
      <x:c r="V1364" s="20" t="n">
        <x:v>4.4</x:v>
      </x:c>
      <x:c r="W1364" s="20" t="n">
        <x:v>9.9</x:v>
      </x:c>
      <x:c r="X1364" s="20" t="n">
        <x:v>7.7</x:v>
      </x:c>
      <x:c r="Y1364" t="str">
        <x:v>Basis arsip 2025/2024</x:v>
      </x:c>
      <x:c r="Z1364" t="str">
        <x:v>https://snpmb.id/utbk-snbt/daya-tampung-snbt</x:v>
      </x:c>
      <x:c r="AA1364" t="str">
        <x:v>Seni Rupa, Desain, dan Kriya</x:v>
      </x:c>
      <x:c r="AB1364" t="str">
        <x:v>Campus=55; Ratio=57.1; Prodi=45; RelDemand=97.5; Capacity=90.0</x:v>
      </x:c>
    </x:row>
    <x:row r="1365">
      <x:c r="A1365" t="n">
        <x:v>1362</x:v>
      </x:c>
      <x:c r="B1365" t="str">
        <x:v>PTN Akademik</x:v>
      </x:c>
      <x:c r="C1365" t="str">
        <x:v>ISBI BANDUNG</x:v>
      </x:c>
      <x:c r="D1365" t="str">
        <x:v>KRIYA SENI</x:v>
      </x:c>
      <x:c r="E1365" t="str">
        <x:v>Diploma Tiga</x:v>
      </x:c>
      <x:c r="F1365" s="18" t="n">
        <x:v>12</x:v>
      </x:c>
      <x:c r="G1365" s="18" t="n">
        <x:v>125</x:v>
      </x:c>
      <x:c r="H1365" s="19" t="n">
        <x:v>10.416666666666666</x:v>
      </x:c>
      <x:c r="I1365" s="18" t="n">
        <x:f>ROUND(MIN(Model_Config_v3!$B$6,MAX(Q1365,R1365,S1365*Model_Config_v3!$B$4+T1365*Model_Config_v3!$B$5)),0)</x:f>
        <x:v>668</x:v>
      </x:c>
      <x:c r="J1365" s="18" t="n">
        <x:f>MIN(Model_Config_v3!$B$6,I1365+Model_Config_v3!$B$7)</x:f>
        <x:v>688</x:v>
      </x:c>
      <x:c r="K1365" s="20" t="n">
        <x:v>62.2</x:v>
      </x:c>
      <x:c r="L1365" t="str">
        <x:v>KETAT</x:v>
      </x:c>
      <x:c r="M1365" t="str">
        <x:v>PORTOFOLIO</x:v>
      </x:c>
      <x:c r="N1365" t="str">
        <x:v>REGULER</x:v>
      </x:c>
      <x:c r="O1365" t="str">
        <x:v>SENI/OLAHRAGA</x:v>
      </x:c>
      <x:c r="P1365" t="str">
        <x:v>SENI/OLAHRAGA</x:v>
      </x:c>
      <x:c r="Q1365" s="18" t="n">
        <x:v>0</x:v>
      </x:c>
      <x:c r="R1365" s="18" t="n">
        <x:v>0</x:v>
      </x:c>
      <x:c r="S1365" s="18" t="n">
        <x:v>631.9501643656474</x:v>
      </x:c>
      <x:c r="T1365" s="18" t="n">
        <x:v>684</x:v>
      </x:c>
      <x:c r="U1365" s="18" t="n">
        <x:v>631.9501643656474</x:v>
      </x:c>
      <x:c r="V1365" s="20" t="n">
        <x:v>4.4</x:v>
      </x:c>
      <x:c r="W1365" s="20" t="n">
        <x:v>9.9</x:v>
      </x:c>
      <x:c r="X1365" s="20" t="n">
        <x:v>7.7</x:v>
      </x:c>
      <x:c r="Y1365" t="str">
        <x:v>Basis arsip 2025/2024</x:v>
      </x:c>
      <x:c r="Z1365" t="str">
        <x:v>https://snpmb.id/utbk-snbt/daya-tampung-snbt</x:v>
      </x:c>
      <x:c r="AA1365" t="str">
        <x:v>Seni Rupa, Desain, dan Kriya</x:v>
      </x:c>
      <x:c r="AB1365" t="str">
        <x:v>Campus=55; Ratio=59.9; Prodi=45; RelDemand=100.0; Capacity=90.0</x:v>
      </x:c>
    </x:row>
    <x:row r="1366">
      <x:c r="A1366" t="n">
        <x:v>1363</x:v>
      </x:c>
      <x:c r="B1366" t="str">
        <x:v>PTN Akademik</x:v>
      </x:c>
      <x:c r="C1366" t="str">
        <x:v>INSTITUT PERTANIAN BOGOR</x:v>
      </x:c>
      <x:c r="D1366" t="str">
        <x:v>AGRIBISNIS</x:v>
      </x:c>
      <x:c r="E1366" t="str">
        <x:v>Sarjana</x:v>
      </x:c>
      <x:c r="F1366" s="18" t="n">
        <x:v>54</x:v>
      </x:c>
      <x:c r="G1366" s="18" t="n">
        <x:v>1034</x:v>
      </x:c>
      <x:c r="H1366" s="19" t="n">
        <x:v>19.14814814814815</x:v>
      </x:c>
      <x:c r="I1366" s="18" t="n">
        <x:f>ROUND(MIN(Model_Config_v3!$B$6,MAX(Q1366,R1366,S1366*Model_Config_v3!$B$4+T1366*Model_Config_v3!$B$5)),0)</x:f>
        <x:v>693</x:v>
      </x:c>
      <x:c r="J1366" s="18" t="n">
        <x:f>MIN(Model_Config_v3!$B$6,I1366+Model_Config_v3!$B$7)</x:f>
        <x:v>713</x:v>
      </x:c>
      <x:c r="K1366" s="20" t="n">
        <x:v>73.1</x:v>
      </x:c>
      <x:c r="L1366" t="str">
        <x:v>SANGAT KETAT</x:v>
      </x:c>
      <x:c r="M1366" t="str">
        <x:v>SEDANG+</x:v>
      </x:c>
      <x:c r="N1366" t="str">
        <x:v>ELITE-2</x:v>
      </x:c>
      <x:c r="O1366" t="str">
        <x:v>SOSHUM</x:v>
      </x:c>
      <x:c r="P1366" t="str">
        <x:v>BISNIS/EKONOMI/AKUNTANSI</x:v>
      </x:c>
      <x:c r="Q1366" s="18" t="n">
        <x:v>655</x:v>
      </x:c>
      <x:c r="R1366" s="18" t="n">
        <x:v>680</x:v>
      </x:c>
      <x:c r="S1366" s="18" t="n">
        <x:v>661.0339456828451</x:v>
      </x:c>
      <x:c r="T1366" s="18" t="n">
        <x:v>706</x:v>
      </x:c>
      <x:c r="U1366" s="18" t="n">
        <x:v>676.0339456828451</x:v>
      </x:c>
      <x:c r="V1366" s="20" t="n">
        <x:v>4.4</x:v>
      </x:c>
      <x:c r="W1366" s="20" t="n">
        <x:v>14.3</x:v>
      </x:c>
      <x:c r="X1366" s="20" t="n">
        <x:v>3.3</x:v>
      </x:c>
      <x:c r="Y1366" t="str">
        <x:v>Basis arsip 2025/2024</x:v>
      </x:c>
      <x:c r="Z1366" t="str">
        <x:v>https://snpmb.id/utbk-snbt/daya-tampung-snbt</x:v>
      </x:c>
      <x:c r="AA1366" t="str">
        <x:v>Tidak Ada</x:v>
      </x:c>
      <x:c r="AB1366" t="str">
        <x:v>Campus=90; Ratio=75.5; Prodi=65; RelDemand=42.7; Capacity=55.0</x:v>
      </x:c>
    </x:row>
    <x:row r="1367">
      <x:c r="A1367" t="n">
        <x:v>1364</x:v>
      </x:c>
      <x:c r="B1367" t="str">
        <x:v>PTN Akademik</x:v>
      </x:c>
      <x:c r="C1367" t="str">
        <x:v>INSTITUT PERTANIAN BOGOR</x:v>
      </x:c>
      <x:c r="D1367" t="str">
        <x:v>AGRONOMI DAN HORTIKULTURA</x:v>
      </x:c>
      <x:c r="E1367" t="str">
        <x:v>Sarjana</x:v>
      </x:c>
      <x:c r="F1367" s="18" t="n">
        <x:v>68</x:v>
      </x:c>
      <x:c r="G1367" s="18" t="n">
        <x:v>656</x:v>
      </x:c>
      <x:c r="H1367" s="19" t="n">
        <x:v>9.647058823529411</x:v>
      </x:c>
      <x:c r="I1367" s="18" t="n">
        <x:f>ROUND(MIN(Model_Config_v3!$B$6,MAX(Q1367,R1367,S1367*Model_Config_v3!$B$4+T1367*Model_Config_v3!$B$5)),0)</x:f>
        <x:v>665</x:v>
      </x:c>
      <x:c r="J1367" s="18" t="n">
        <x:f>MIN(Model_Config_v3!$B$6,I1367+Model_Config_v3!$B$7)</x:f>
        <x:v>685</x:v>
      </x:c>
      <x:c r="K1367" s="20" t="n">
        <x:v>60.5</x:v>
      </x:c>
      <x:c r="L1367" t="str">
        <x:v>KETAT</x:v>
      </x:c>
      <x:c r="M1367" t="str">
        <x:v>SEDANG+</x:v>
      </x:c>
      <x:c r="N1367" t="str">
        <x:v>ELITE-2</x:v>
      </x:c>
      <x:c r="O1367" t="str">
        <x:v>CAMPURAN</x:v>
      </x:c>
      <x:c r="P1367" t="str">
        <x:v>UMUM</x:v>
      </x:c>
      <x:c r="Q1367" s="18" t="n">
        <x:v>655</x:v>
      </x:c>
      <x:c r="R1367" s="18" t="n">
        <x:v>0</x:v>
      </x:c>
      <x:c r="S1367" s="18" t="n">
        <x:v>628.2834419336366</x:v>
      </x:c>
      <x:c r="T1367" s="18" t="n">
        <x:v>681</x:v>
      </x:c>
      <x:c r="U1367" s="18" t="n">
        <x:v>655</x:v>
      </x:c>
      <x:c r="V1367" s="20" t="n">
        <x:v>8.8</x:v>
      </x:c>
      <x:c r="W1367" s="20" t="n">
        <x:v>9.9</x:v>
      </x:c>
      <x:c r="X1367" s="20" t="n">
        <x:v>3.3</x:v>
      </x:c>
      <x:c r="Y1367" t="str">
        <x:v>Basis arsip 2025/2024</x:v>
      </x:c>
      <x:c r="Z1367" t="str">
        <x:v>https://snpmb.id/utbk-snbt/daya-tampung-snbt</x:v>
      </x:c>
      <x:c r="AA1367" t="str">
        <x:v>Tidak Ada</x:v>
      </x:c>
      <x:c r="AB1367" t="str">
        <x:v>Campus=90; Ratio=57.9; Prodi=40; RelDemand=21.5; Capacity=43.3</x:v>
      </x:c>
    </x:row>
    <x:row r="1368">
      <x:c r="A1368" t="n">
        <x:v>1365</x:v>
      </x:c>
      <x:c r="B1368" t="str">
        <x:v>PTN Akademik</x:v>
      </x:c>
      <x:c r="C1368" t="str">
        <x:v>INSTITUT PERTANIAN BOGOR</x:v>
      </x:c>
      <x:c r="D1368" t="str">
        <x:v>ARSITEKTUR LANSEKAP</x:v>
      </x:c>
      <x:c r="E1368" t="str">
        <x:v>Sarjana</x:v>
      </x:c>
      <x:c r="F1368" s="18" t="n">
        <x:v>30</x:v>
      </x:c>
      <x:c r="G1368" s="18" t="n">
        <x:v>530</x:v>
      </x:c>
      <x:c r="H1368" s="19" t="n">
        <x:v>17.666666666666668</x:v>
      </x:c>
      <x:c r="I1368" s="18" t="n">
        <x:f>ROUND(MIN(Model_Config_v3!$B$6,MAX(Q1368,R1368,S1368*Model_Config_v3!$B$4+T1368*Model_Config_v3!$B$5)),0)</x:f>
        <x:v>692</x:v>
      </x:c>
      <x:c r="J1368" s="18" t="n">
        <x:f>MIN(Model_Config_v3!$B$6,I1368+Model_Config_v3!$B$7)</x:f>
        <x:v>712</x:v>
      </x:c>
      <x:c r="K1368" s="20" t="n">
        <x:v>73.3</x:v>
      </x:c>
      <x:c r="L1368" t="str">
        <x:v>SANGAT KETAT</x:v>
      </x:c>
      <x:c r="M1368" t="str">
        <x:v>SEDANG+</x:v>
      </x:c>
      <x:c r="N1368" t="str">
        <x:v>ELITE-2</x:v>
      </x:c>
      <x:c r="O1368" t="str">
        <x:v>SAINTEK</x:v>
      </x:c>
      <x:c r="P1368" t="str">
        <x:v>TEKNIK/ARSITEKTUR/STATISTIKA/AKTUARIA</x:v>
      </x:c>
      <x:c r="Q1368" s="18" t="n">
        <x:v>655</x:v>
      </x:c>
      <x:c r="R1368" s="18" t="n">
        <x:v>670</x:v>
      </x:c>
      <x:c r="S1368" s="18" t="n">
        <x:v>657.1870076369239</x:v>
      </x:c>
      <x:c r="T1368" s="18" t="n">
        <x:v>707</x:v>
      </x:c>
      <x:c r="U1368" s="18" t="n">
        <x:v>657.1870076369239</x:v>
      </x:c>
      <x:c r="V1368" s="20" t="n">
        <x:v>12</x:v>
      </x:c>
      <x:c r="W1368" s="20" t="n">
        <x:v>5</x:v>
      </x:c>
      <x:c r="X1368" s="20" t="n">
        <x:v>3</x:v>
      </x:c>
      <x:c r="Y1368" t="str">
        <x:v>Basis arsip 2025/2024</x:v>
      </x:c>
      <x:c r="Z1368" t="str">
        <x:v>https://snpmb.id/utbk-snbt/daya-tampung-snbt</x:v>
      </x:c>
      <x:c r="AA1368" t="str">
        <x:v>Tidak Ada</x:v>
      </x:c>
      <x:c r="AB1368" t="str">
        <x:v>Campus=90; Ratio=73.4; Prodi=60; RelDemand=39.4; Capacity=75.0</x:v>
      </x:c>
    </x:row>
    <x:row r="1369">
      <x:c r="A1369" t="n">
        <x:v>1366</x:v>
      </x:c>
      <x:c r="B1369" t="str">
        <x:v>PTN Akademik</x:v>
      </x:c>
      <x:c r="C1369" t="str">
        <x:v>INSTITUT PERTANIAN BOGOR</x:v>
      </x:c>
      <x:c r="D1369" t="str">
        <x:v>BIOKIMIA</x:v>
      </x:c>
      <x:c r="E1369" t="str">
        <x:v>Sarjana</x:v>
      </x:c>
      <x:c r="F1369" s="18" t="n">
        <x:v>33</x:v>
      </x:c>
      <x:c r="G1369" s="18" t="n">
        <x:v>269</x:v>
      </x:c>
      <x:c r="H1369" s="19" t="n">
        <x:v>8.151515151515152</x:v>
      </x:c>
      <x:c r="I1369" s="18" t="n">
        <x:f>ROUND(MIN(Model_Config_v3!$B$6,MAX(Q1369,R1369,S1369*Model_Config_v3!$B$4+T1369*Model_Config_v3!$B$5)),0)</x:f>
        <x:v>668</x:v>
      </x:c>
      <x:c r="J1369" s="18" t="n">
        <x:f>MIN(Model_Config_v3!$B$6,I1369+Model_Config_v3!$B$7)</x:f>
        <x:v>688</x:v>
      </x:c>
      <x:c r="K1369" s="20" t="n">
        <x:v>64</x:v>
      </x:c>
      <x:c r="L1369" t="str">
        <x:v>KETAT</x:v>
      </x:c>
      <x:c r="M1369" t="str">
        <x:v>SEDANG+</x:v>
      </x:c>
      <x:c r="N1369" t="str">
        <x:v>ELITE-2</x:v>
      </x:c>
      <x:c r="O1369" t="str">
        <x:v>SAINTEK</x:v>
      </x:c>
      <x:c r="P1369" t="str">
        <x:v>SAINS DASAR</x:v>
      </x:c>
      <x:c r="Q1369" s="18" t="n">
        <x:v>655</x:v>
      </x:c>
      <x:c r="R1369" s="18" t="n">
        <x:v>0</x:v>
      </x:c>
      <x:c r="S1369" s="18" t="n">
        <x:v>620.2362174136972</x:v>
      </x:c>
      <x:c r="T1369" s="18" t="n">
        <x:v>688</x:v>
      </x:c>
      <x:c r="U1369" s="18" t="n">
        <x:v>655</x:v>
      </x:c>
      <x:c r="V1369" s="20" t="n">
        <x:v>12</x:v>
      </x:c>
      <x:c r="W1369" s="20" t="n">
        <x:v>5</x:v>
      </x:c>
      <x:c r="X1369" s="20" t="n">
        <x:v>3</x:v>
      </x:c>
      <x:c r="Y1369" t="str">
        <x:v>Basis arsip 2025/2024</x:v>
      </x:c>
      <x:c r="Z1369" t="str">
        <x:v>https://snpmb.id/utbk-snbt/daya-tampung-snbt</x:v>
      </x:c>
      <x:c r="AA1369" t="str">
        <x:v>Tidak Ada</x:v>
      </x:c>
      <x:c r="AB1369" t="str">
        <x:v>Campus=90; Ratio=53.6; Prodi=50; RelDemand=18.2; Capacity=72.5</x:v>
      </x:c>
    </x:row>
    <x:row r="1370">
      <x:c r="A1370" t="n">
        <x:v>1367</x:v>
      </x:c>
      <x:c r="B1370" t="str">
        <x:v>PTN Akademik</x:v>
      </x:c>
      <x:c r="C1370" t="str">
        <x:v>INSTITUT PERTANIAN BOGOR</x:v>
      </x:c>
      <x:c r="D1370" t="str">
        <x:v>BIOLOGI</x:v>
      </x:c>
      <x:c r="E1370" t="str">
        <x:v>Sarjana</x:v>
      </x:c>
      <x:c r="F1370" s="18" t="n">
        <x:v>33</x:v>
      </x:c>
      <x:c r="G1370" s="18" t="n">
        <x:v>353</x:v>
      </x:c>
      <x:c r="H1370" s="19" t="n">
        <x:v>10.696969696969697</x:v>
      </x:c>
      <x:c r="I1370" s="18" t="n">
        <x:f>ROUND(MIN(Model_Config_v3!$B$6,MAX(Q1370,R1370,S1370*Model_Config_v3!$B$4+T1370*Model_Config_v3!$B$5)),0)</x:f>
        <x:v>675</x:v>
      </x:c>
      <x:c r="J1370" s="18" t="n">
        <x:f>MIN(Model_Config_v3!$B$6,I1370+Model_Config_v3!$B$7)</x:f>
        <x:v>695</x:v>
      </x:c>
      <x:c r="K1370" s="20" t="n">
        <x:v>66.3</x:v>
      </x:c>
      <x:c r="L1370" t="str">
        <x:v>SANGAT KETAT</x:v>
      </x:c>
      <x:c r="M1370" t="str">
        <x:v>SEDANG+</x:v>
      </x:c>
      <x:c r="N1370" t="str">
        <x:v>ELITE-2</x:v>
      </x:c>
      <x:c r="O1370" t="str">
        <x:v>SAINTEK</x:v>
      </x:c>
      <x:c r="P1370" t="str">
        <x:v>SAINS DASAR</x:v>
      </x:c>
      <x:c r="Q1370" s="18" t="n">
        <x:v>655</x:v>
      </x:c>
      <x:c r="R1370" s="18" t="n">
        <x:v>0</x:v>
      </x:c>
      <x:c r="S1370" s="18" t="n">
        <x:v>633.2186842060928</x:v>
      </x:c>
      <x:c r="T1370" s="18" t="n">
        <x:v>693</x:v>
      </x:c>
      <x:c r="U1370" s="18" t="n">
        <x:v>655</x:v>
      </x:c>
      <x:c r="V1370" s="20" t="n">
        <x:v>12</x:v>
      </x:c>
      <x:c r="W1370" s="20" t="n">
        <x:v>5</x:v>
      </x:c>
      <x:c r="X1370" s="20" t="n">
        <x:v>3</x:v>
      </x:c>
      <x:c r="Y1370" t="str">
        <x:v>Basis arsip 2025/2024</x:v>
      </x:c>
      <x:c r="Z1370" t="str">
        <x:v>https://snpmb.id/utbk-snbt/daya-tampung-snbt</x:v>
      </x:c>
      <x:c r="AA1370" t="str">
        <x:v>Tidak Ada</x:v>
      </x:c>
      <x:c r="AB1370" t="str">
        <x:v>Campus=90; Ratio=60.6; Prodi=50; RelDemand=23.9; Capacity=72.5</x:v>
      </x:c>
    </x:row>
    <x:row r="1371">
      <x:c r="A1371" t="n">
        <x:v>1368</x:v>
      </x:c>
      <x:c r="B1371" t="str">
        <x:v>PTN Akademik</x:v>
      </x:c>
      <x:c r="C1371" t="str">
        <x:v>INSTITUT PERTANIAN BOGOR</x:v>
      </x:c>
      <x:c r="D1371" t="str">
        <x:v>EKONOMI SUMBERDAYA DAN LINGKUNGAN</x:v>
      </x:c>
      <x:c r="E1371" t="str">
        <x:v>Sarjana</x:v>
      </x:c>
      <x:c r="F1371" s="18" t="n">
        <x:v>39</x:v>
      </x:c>
      <x:c r="G1371" s="18" t="n">
        <x:v>456</x:v>
      </x:c>
      <x:c r="H1371" s="19" t="n">
        <x:v>11.692307692307692</x:v>
      </x:c>
      <x:c r="I1371" s="18" t="n">
        <x:f>ROUND(MIN(Model_Config_v3!$B$6,MAX(Q1371,R1371,S1371*Model_Config_v3!$B$4+T1371*Model_Config_v3!$B$5)),0)</x:f>
        <x:v>674</x:v>
      </x:c>
      <x:c r="J1371" s="18" t="n">
        <x:f>MIN(Model_Config_v3!$B$6,I1371+Model_Config_v3!$B$7)</x:f>
        <x:v>694</x:v>
      </x:c>
      <x:c r="K1371" s="20" t="n">
        <x:v>64.6</x:v>
      </x:c>
      <x:c r="L1371" t="str">
        <x:v>KETAT</x:v>
      </x:c>
      <x:c r="M1371" t="str">
        <x:v>SEDANG+</x:v>
      </x:c>
      <x:c r="N1371" t="str">
        <x:v>ELITE-2</x:v>
      </x:c>
      <x:c r="O1371" t="str">
        <x:v>SOSHUM</x:v>
      </x:c>
      <x:c r="P1371" t="str">
        <x:v>UMUM</x:v>
      </x:c>
      <x:c r="Q1371" s="18" t="n">
        <x:v>655</x:v>
      </x:c>
      <x:c r="R1371" s="18" t="n">
        <x:v>0</x:v>
      </x:c>
      <x:c r="S1371" s="18" t="n">
        <x:v>637.469025920173</x:v>
      </x:c>
      <x:c r="T1371" s="18" t="n">
        <x:v>689</x:v>
      </x:c>
      <x:c r="U1371" s="18" t="n">
        <x:v>655</x:v>
      </x:c>
      <x:c r="V1371" s="20" t="n">
        <x:v>4.4</x:v>
      </x:c>
      <x:c r="W1371" s="20" t="n">
        <x:v>14.3</x:v>
      </x:c>
      <x:c r="X1371" s="20" t="n">
        <x:v>3.3</x:v>
      </x:c>
      <x:c r="Y1371" t="str">
        <x:v>Basis arsip 2025/2024</x:v>
      </x:c>
      <x:c r="Z1371" t="str">
        <x:v>https://snpmb.id/utbk-snbt/daya-tampung-snbt</x:v>
      </x:c>
      <x:c r="AA1371" t="str">
        <x:v>Tidak Ada</x:v>
      </x:c>
      <x:c r="AB1371" t="str">
        <x:v>Campus=90; Ratio=62.9; Prodi=40; RelDemand=26.1; Capacity=67.5</x:v>
      </x:c>
    </x:row>
    <x:row r="1372">
      <x:c r="A1372" t="n">
        <x:v>1369</x:v>
      </x:c>
      <x:c r="B1372" t="str">
        <x:v>PTN Akademik</x:v>
      </x:c>
      <x:c r="C1372" t="str">
        <x:v>INSTITUT PERTANIAN BOGOR</x:v>
      </x:c>
      <x:c r="D1372" t="str">
        <x:v>ILMU DAN TEKNOLOGI KELAUTAN</x:v>
      </x:c>
      <x:c r="E1372" t="str">
        <x:v>Sarjana</x:v>
      </x:c>
      <x:c r="F1372" s="18" t="n">
        <x:v>39</x:v>
      </x:c>
      <x:c r="G1372" s="18" t="n">
        <x:v>531</x:v>
      </x:c>
      <x:c r="H1372" s="19" t="n">
        <x:v>13.615384615384615</x:v>
      </x:c>
      <x:c r="I1372" s="18" t="n">
        <x:f>ROUND(MIN(Model_Config_v3!$B$6,MAX(Q1372,R1372,S1372*Model_Config_v3!$B$4+T1372*Model_Config_v3!$B$5)),0)</x:f>
        <x:v>678</x:v>
      </x:c>
      <x:c r="J1372" s="18" t="n">
        <x:f>MIN(Model_Config_v3!$B$6,I1372+Model_Config_v3!$B$7)</x:f>
        <x:v>698</x:v>
      </x:c>
      <x:c r="K1372" s="20" t="n">
        <x:v>66</x:v>
      </x:c>
      <x:c r="L1372" t="str">
        <x:v>SANGAT KETAT</x:v>
      </x:c>
      <x:c r="M1372" t="str">
        <x:v>SEDANG+</x:v>
      </x:c>
      <x:c r="N1372" t="str">
        <x:v>ELITE-2</x:v>
      </x:c>
      <x:c r="O1372" t="str">
        <x:v>SAINTEK</x:v>
      </x:c>
      <x:c r="P1372" t="str">
        <x:v>UMUM</x:v>
      </x:c>
      <x:c r="Q1372" s="18" t="n">
        <x:v>655</x:v>
      </x:c>
      <x:c r="R1372" s="18" t="n">
        <x:v>0</x:v>
      </x:c>
      <x:c r="S1372" s="18" t="n">
        <x:v>644.7432905460466</x:v>
      </x:c>
      <x:c r="T1372" s="18" t="n">
        <x:v>692</x:v>
      </x:c>
      <x:c r="U1372" s="18" t="n">
        <x:v>655</x:v>
      </x:c>
      <x:c r="V1372" s="20" t="n">
        <x:v>12</x:v>
      </x:c>
      <x:c r="W1372" s="20" t="n">
        <x:v>5</x:v>
      </x:c>
      <x:c r="X1372" s="20" t="n">
        <x:v>3</x:v>
      </x:c>
      <x:c r="Y1372" t="str">
        <x:v>Basis arsip 2025/2024</x:v>
      </x:c>
      <x:c r="Z1372" t="str">
        <x:v>https://snpmb.id/utbk-snbt/daya-tampung-snbt</x:v>
      </x:c>
      <x:c r="AA1372" t="str">
        <x:v>Tidak Ada</x:v>
      </x:c>
      <x:c r="AB1372" t="str">
        <x:v>Campus=90; Ratio=66.7; Prodi=40; RelDemand=30.4; Capacity=67.5</x:v>
      </x:c>
    </x:row>
    <x:row r="1373">
      <x:c r="A1373" t="n">
        <x:v>1370</x:v>
      </x:c>
      <x:c r="B1373" t="str">
        <x:v>PTN Akademik</x:v>
      </x:c>
      <x:c r="C1373" t="str">
        <x:v>INSTITUT PERTANIAN BOGOR</x:v>
      </x:c>
      <x:c r="D1373" t="str">
        <x:v>ILMU KOMPUTER</x:v>
      </x:c>
      <x:c r="E1373" t="str">
        <x:v>Sarjana</x:v>
      </x:c>
      <x:c r="F1373" s="18" t="n">
        <x:v>51</x:v>
      </x:c>
      <x:c r="G1373" s="18" t="n">
        <x:v>1586</x:v>
      </x:c>
      <x:c r="H1373" s="19" t="n">
        <x:v>31.098039215686274</x:v>
      </x:c>
      <x:c r="I1373" s="18" t="n">
        <x:f>ROUND(MIN(Model_Config_v3!$B$6,MAX(Q1373,R1373,S1373*Model_Config_v3!$B$4+T1373*Model_Config_v3!$B$5)),0)</x:f>
        <x:v>713</x:v>
      </x:c>
      <x:c r="J1373" s="18" t="n">
        <x:f>MIN(Model_Config_v3!$B$6,I1373+Model_Config_v3!$B$7)</x:f>
        <x:v>733</x:v>
      </x:c>
      <x:c r="K1373" s="20" t="n">
        <x:v>83.1</x:v>
      </x:c>
      <x:c r="L1373" t="str">
        <x:v>ELITE</x:v>
      </x:c>
      <x:c r="M1373" t="str">
        <x:v>SEDANG+</x:v>
      </x:c>
      <x:c r="N1373" t="str">
        <x:v>ELITE-2</x:v>
      </x:c>
      <x:c r="O1373" t="str">
        <x:v>SAINTEK</x:v>
      </x:c>
      <x:c r="P1373" t="str">
        <x:v>KOMPUTER/INFORMATIKA</x:v>
      </x:c>
      <x:c r="Q1373" s="18" t="n">
        <x:v>655</x:v>
      </x:c>
      <x:c r="R1373" s="18" t="n">
        <x:v>695</x:v>
      </x:c>
      <x:c r="S1373" s="18" t="n">
        <x:v>684.2006307572013</x:v>
      </x:c>
      <x:c r="T1373" s="18" t="n">
        <x:v>726</x:v>
      </x:c>
      <x:c r="U1373" s="18" t="n">
        <x:v>709.2006307572013</x:v>
      </x:c>
      <x:c r="V1373" s="20" t="n">
        <x:v>12</x:v>
      </x:c>
      <x:c r="W1373" s="20" t="n">
        <x:v>5</x:v>
      </x:c>
      <x:c r="X1373" s="20" t="n">
        <x:v>3</x:v>
      </x:c>
      <x:c r="Y1373" t="str">
        <x:v>Basis arsip 2025/2024</x:v>
      </x:c>
      <x:c r="Z1373" t="str">
        <x:v>https://snpmb.id/utbk-snbt/daya-tampung-snbt</x:v>
      </x:c>
      <x:c r="AA1373" t="str">
        <x:v>Tidak Ada</x:v>
      </x:c>
      <x:c r="AB1373" t="str">
        <x:v>Campus=90; Ratio=87.9; Prodi=85; RelDemand=69.3; Capacity=57.5</x:v>
      </x:c>
    </x:row>
    <x:row r="1374">
      <x:c r="A1374" t="n">
        <x:v>1371</x:v>
      </x:c>
      <x:c r="B1374" t="str">
        <x:v>PTN Akademik</x:v>
      </x:c>
      <x:c r="C1374" t="str">
        <x:v>INSTITUT PERTANIAN BOGOR</x:v>
      </x:c>
      <x:c r="D1374" t="str">
        <x:v>KEDOKTERAN HEWAN</x:v>
      </x:c>
      <x:c r="E1374" t="str">
        <x:v>Sarjana</x:v>
      </x:c>
      <x:c r="F1374" s="18" t="n">
        <x:v>66</x:v>
      </x:c>
      <x:c r="G1374" s="18" t="n">
        <x:v>1017</x:v>
      </x:c>
      <x:c r="H1374" s="19" t="n">
        <x:v>15.409090909090908</x:v>
      </x:c>
      <x:c r="I1374" s="18" t="n">
        <x:f>ROUND(MIN(Model_Config_v3!$B$6,MAX(Q1374,R1374,S1374*Model_Config_v3!$B$4+T1374*Model_Config_v3!$B$5)),0)</x:f>
        <x:v>684</x:v>
      </x:c>
      <x:c r="J1374" s="18" t="n">
        <x:f>MIN(Model_Config_v3!$B$6,I1374+Model_Config_v3!$B$7)</x:f>
        <x:v>704</x:v>
      </x:c>
      <x:c r="K1374" s="20" t="n">
        <x:v>68.9</x:v>
      </x:c>
      <x:c r="L1374" t="str">
        <x:v>SANGAT KETAT</x:v>
      </x:c>
      <x:c r="M1374" t="str">
        <x:v>SEDANG+</x:v>
      </x:c>
      <x:c r="N1374" t="str">
        <x:v>ELITE-2</x:v>
      </x:c>
      <x:c r="O1374" t="str">
        <x:v>SAINTEK</x:v>
      </x:c>
      <x:c r="P1374" t="str">
        <x:v>VETERINER</x:v>
      </x:c>
      <x:c r="Q1374" s="18" t="n">
        <x:v>655</x:v>
      </x:c>
      <x:c r="R1374" s="18" t="n">
        <x:v>670</x:v>
      </x:c>
      <x:c r="S1374" s="18" t="n">
        <x:v>650.6554719118964</x:v>
      </x:c>
      <x:c r="T1374" s="18" t="n">
        <x:v>698</x:v>
      </x:c>
      <x:c r="U1374" s="18" t="n">
        <x:v>655</x:v>
      </x:c>
      <x:c r="V1374" s="20" t="n">
        <x:v>12</x:v>
      </x:c>
      <x:c r="W1374" s="20" t="n">
        <x:v>5</x:v>
      </x:c>
      <x:c r="X1374" s="20" t="n">
        <x:v>3</x:v>
      </x:c>
      <x:c r="Y1374" t="str">
        <x:v>Basis arsip 2025/2024</x:v>
      </x:c>
      <x:c r="Z1374" t="str">
        <x:v>https://snpmb.id/utbk-snbt/daya-tampung-snbt</x:v>
      </x:c>
      <x:c r="AA1374" t="str">
        <x:v>Tidak Ada</x:v>
      </x:c>
      <x:c r="AB1374" t="str">
        <x:v>Campus=90; Ratio=69.9; Prodi=60; RelDemand=34.4; Capacity=45.0</x:v>
      </x:c>
    </x:row>
    <x:row r="1375">
      <x:c r="A1375" t="n">
        <x:v>1372</x:v>
      </x:c>
      <x:c r="B1375" t="str">
        <x:v>PTN Akademik</x:v>
      </x:c>
      <x:c r="C1375" t="str">
        <x:v>INSTITUT PERTANIAN BOGOR</x:v>
      </x:c>
      <x:c r="D1375" t="str">
        <x:v>KIMIA</x:v>
      </x:c>
      <x:c r="E1375" t="str">
        <x:v>Sarjana</x:v>
      </x:c>
      <x:c r="F1375" s="18" t="n">
        <x:v>36</x:v>
      </x:c>
      <x:c r="G1375" s="18" t="n">
        <x:v>363</x:v>
      </x:c>
      <x:c r="H1375" s="19" t="n">
        <x:v>10.083333333333334</x:v>
      </x:c>
      <x:c r="I1375" s="18" t="n">
        <x:f>ROUND(MIN(Model_Config_v3!$B$6,MAX(Q1375,R1375,S1375*Model_Config_v3!$B$4+T1375*Model_Config_v3!$B$5)),0)</x:f>
        <x:v>673</x:v>
      </x:c>
      <x:c r="J1375" s="18" t="n">
        <x:f>MIN(Model_Config_v3!$B$6,I1375+Model_Config_v3!$B$7)</x:f>
        <x:v>693</x:v>
      </x:c>
      <x:c r="K1375" s="20" t="n">
        <x:v>65.5</x:v>
      </x:c>
      <x:c r="L1375" t="str">
        <x:v>SANGAT KETAT</x:v>
      </x:c>
      <x:c r="M1375" t="str">
        <x:v>SEDANG+</x:v>
      </x:c>
      <x:c r="N1375" t="str">
        <x:v>ELITE-2</x:v>
      </x:c>
      <x:c r="O1375" t="str">
        <x:v>SAINTEK</x:v>
      </x:c>
      <x:c r="P1375" t="str">
        <x:v>SAINS DASAR</x:v>
      </x:c>
      <x:c r="Q1375" s="18" t="n">
        <x:v>655</x:v>
      </x:c>
      <x:c r="R1375" s="18" t="n">
        <x:v>0</x:v>
      </x:c>
      <x:c r="S1375" s="18" t="n">
        <x:v>630.3964536695707</x:v>
      </x:c>
      <x:c r="T1375" s="18" t="n">
        <x:v>691</x:v>
      </x:c>
      <x:c r="U1375" s="18" t="n">
        <x:v>655</x:v>
      </x:c>
      <x:c r="V1375" s="20" t="n">
        <x:v>12</x:v>
      </x:c>
      <x:c r="W1375" s="20" t="n">
        <x:v>5</x:v>
      </x:c>
      <x:c r="X1375" s="20" t="n">
        <x:v>3</x:v>
      </x:c>
      <x:c r="Y1375" t="str">
        <x:v>Basis arsip 2025/2024</x:v>
      </x:c>
      <x:c r="Z1375" t="str">
        <x:v>https://snpmb.id/utbk-snbt/daya-tampung-snbt</x:v>
      </x:c>
      <x:c r="AA1375" t="str">
        <x:v>Tidak Ada</x:v>
      </x:c>
      <x:c r="AB1375" t="str">
        <x:v>Campus=90; Ratio=59.1; Prodi=50; RelDemand=22.5; Capacity=70.0</x:v>
      </x:c>
    </x:row>
    <x:row r="1376">
      <x:c r="A1376" t="n">
        <x:v>1373</x:v>
      </x:c>
      <x:c r="B1376" t="str">
        <x:v>PTN Akademik</x:v>
      </x:c>
      <x:c r="C1376" t="str">
        <x:v>INSTITUT PERTANIAN BOGOR</x:v>
      </x:c>
      <x:c r="D1376" t="str">
        <x:v>KOMUNIKASI DAN PENGEMBANGAN MASYARAKAT</x:v>
      </x:c>
      <x:c r="E1376" t="str">
        <x:v>Sarjana</x:v>
      </x:c>
      <x:c r="F1376" s="18" t="n">
        <x:v>53</x:v>
      </x:c>
      <x:c r="G1376" s="18" t="n">
        <x:v>1228</x:v>
      </x:c>
      <x:c r="H1376" s="19" t="n">
        <x:v>23.169811320754718</x:v>
      </x:c>
      <x:c r="I1376" s="18" t="n">
        <x:f>ROUND(MIN(Model_Config_v3!$B$6,MAX(Q1376,R1376,S1376*Model_Config_v3!$B$4+T1376*Model_Config_v3!$B$5)),0)</x:f>
        <x:v>692</x:v>
      </x:c>
      <x:c r="J1376" s="18" t="n">
        <x:f>MIN(Model_Config_v3!$B$6,I1376+Model_Config_v3!$B$7)</x:f>
        <x:v>712</x:v>
      </x:c>
      <x:c r="K1376" s="20" t="n">
        <x:v>70.3</x:v>
      </x:c>
      <x:c r="L1376" t="str">
        <x:v>SANGAT KETAT</x:v>
      </x:c>
      <x:c r="M1376" t="str">
        <x:v>SEDANG+</x:v>
      </x:c>
      <x:c r="N1376" t="str">
        <x:v>ELITE-2</x:v>
      </x:c>
      <x:c r="O1376" t="str">
        <x:v>SOSHUM</x:v>
      </x:c>
      <x:c r="P1376" t="str">
        <x:v>UMUM</x:v>
      </x:c>
      <x:c r="Q1376" s="18" t="n">
        <x:v>655</x:v>
      </x:c>
      <x:c r="R1376" s="18" t="n">
        <x:v>0</x:v>
      </x:c>
      <x:c r="S1376" s="18" t="n">
        <x:v>670.1414746924796</x:v>
      </x:c>
      <x:c r="T1376" s="18" t="n">
        <x:v>701</x:v>
      </x:c>
      <x:c r="U1376" s="18" t="n">
        <x:v>670.1414746924796</x:v>
      </x:c>
      <x:c r="V1376" s="20" t="n">
        <x:v>4.4</x:v>
      </x:c>
      <x:c r="W1376" s="20" t="n">
        <x:v>14.3</x:v>
      </x:c>
      <x:c r="X1376" s="20" t="n">
        <x:v>3.3</x:v>
      </x:c>
      <x:c r="Y1376" t="str">
        <x:v>Basis arsip 2025/2024</x:v>
      </x:c>
      <x:c r="Z1376" t="str">
        <x:v>https://snpmb.id/utbk-snbt/daya-tampung-snbt</x:v>
      </x:c>
      <x:c r="AA1376" t="str">
        <x:v>Tidak Ada</x:v>
      </x:c>
      <x:c r="AB1376" t="str">
        <x:v>Campus=90; Ratio=80.3; Prodi=40; RelDemand=51.7; Capacity=55.8</x:v>
      </x:c>
    </x:row>
    <x:row r="1377">
      <x:c r="A1377" t="n">
        <x:v>1374</x:v>
      </x:c>
      <x:c r="B1377" t="str">
        <x:v>PTN Akademik</x:v>
      </x:c>
      <x:c r="C1377" t="str">
        <x:v>INSTITUT PERTANIAN BOGOR</x:v>
      </x:c>
      <x:c r="D1377" t="str">
        <x:v>KONSERVASI SUMBERDAYA HUTAN DAN EKOWISATA</x:v>
      </x:c>
      <x:c r="E1377" t="str">
        <x:v>Sarjana</x:v>
      </x:c>
      <x:c r="F1377" s="18" t="n">
        <x:v>42</x:v>
      </x:c>
      <x:c r="G1377" s="18" t="n">
        <x:v>708</x:v>
      </x:c>
      <x:c r="H1377" s="19" t="n">
        <x:v>16.857142857142858</x:v>
      </x:c>
      <x:c r="I1377" s="18" t="n">
        <x:f>ROUND(MIN(Model_Config_v3!$B$6,MAX(Q1377,R1377,S1377*Model_Config_v3!$B$4+T1377*Model_Config_v3!$B$5)),0)</x:f>
        <x:v>684</x:v>
      </x:c>
      <x:c r="J1377" s="18" t="n">
        <x:f>MIN(Model_Config_v3!$B$6,I1377+Model_Config_v3!$B$7)</x:f>
        <x:v>704</x:v>
      </x:c>
      <x:c r="K1377" s="20" t="n">
        <x:v>67.8</x:v>
      </x:c>
      <x:c r="L1377" t="str">
        <x:v>SANGAT KETAT</x:v>
      </x:c>
      <x:c r="M1377" t="str">
        <x:v>SEDANG+</x:v>
      </x:c>
      <x:c r="N1377" t="str">
        <x:v>ELITE-2</x:v>
      </x:c>
      <x:c r="O1377" t="str">
        <x:v>CAMPURAN</x:v>
      </x:c>
      <x:c r="P1377" t="str">
        <x:v>UMUM</x:v>
      </x:c>
      <x:c r="Q1377" s="18" t="n">
        <x:v>655</x:v>
      </x:c>
      <x:c r="R1377" s="18" t="n">
        <x:v>0</x:v>
      </x:c>
      <x:c r="S1377" s="18" t="n">
        <x:v>654.9462364021056</x:v>
      </x:c>
      <x:c r="T1377" s="18" t="n">
        <x:v>696</x:v>
      </x:c>
      <x:c r="U1377" s="18" t="n">
        <x:v>655</x:v>
      </x:c>
      <x:c r="V1377" s="20" t="n">
        <x:v>8.8</x:v>
      </x:c>
      <x:c r="W1377" s="20" t="n">
        <x:v>9.9</x:v>
      </x:c>
      <x:c r="X1377" s="20" t="n">
        <x:v>3.3</x:v>
      </x:c>
      <x:c r="Y1377" t="str">
        <x:v>Basis arsip 2025/2024</x:v>
      </x:c>
      <x:c r="Z1377" t="str">
        <x:v>https://snpmb.id/utbk-snbt/daya-tampung-snbt</x:v>
      </x:c>
      <x:c r="AA1377" t="str">
        <x:v>Tidak Ada</x:v>
      </x:c>
      <x:c r="AB1377" t="str">
        <x:v>Campus=90; Ratio=72.2; Prodi=40; RelDemand=37.6; Capacity=65.0</x:v>
      </x:c>
    </x:row>
    <x:row r="1378">
      <x:c r="A1378" t="n">
        <x:v>1375</x:v>
      </x:c>
      <x:c r="B1378" t="str">
        <x:v>PTN Akademik</x:v>
      </x:c>
      <x:c r="C1378" t="str">
        <x:v>INSTITUT PERTANIAN BOGOR</x:v>
      </x:c>
      <x:c r="D1378" t="str">
        <x:v>MANAJEMEN HUTAN</x:v>
      </x:c>
      <x:c r="E1378" t="str">
        <x:v>Sarjana</x:v>
      </x:c>
      <x:c r="F1378" s="18" t="n">
        <x:v>42</x:v>
      </x:c>
      <x:c r="G1378" s="18" t="n">
        <x:v>607</x:v>
      </x:c>
      <x:c r="H1378" s="19" t="n">
        <x:v>14.452380952380953</x:v>
      </x:c>
      <x:c r="I1378" s="18" t="n">
        <x:f>ROUND(MIN(Model_Config_v3!$B$6,MAX(Q1378,R1378,S1378*Model_Config_v3!$B$4+T1378*Model_Config_v3!$B$5)),0)</x:f>
        <x:v>686</x:v>
      </x:c>
      <x:c r="J1378" s="18" t="n">
        <x:f>MIN(Model_Config_v3!$B$6,I1378+Model_Config_v3!$B$7)</x:f>
        <x:v>706</x:v>
      </x:c>
      <x:c r="K1378" s="20" t="n">
        <x:v>71.3</x:v>
      </x:c>
      <x:c r="L1378" t="str">
        <x:v>SANGAT KETAT</x:v>
      </x:c>
      <x:c r="M1378" t="str">
        <x:v>SEDANG+</x:v>
      </x:c>
      <x:c r="N1378" t="str">
        <x:v>ELITE-2</x:v>
      </x:c>
      <x:c r="O1378" t="str">
        <x:v>SOSHUM</x:v>
      </x:c>
      <x:c r="P1378" t="str">
        <x:v>BISNIS/EKONOMI/AKUNTANSI</x:v>
      </x:c>
      <x:c r="Q1378" s="18" t="n">
        <x:v>655</x:v>
      </x:c>
      <x:c r="R1378" s="18" t="n">
        <x:v>680</x:v>
      </x:c>
      <x:c r="S1378" s="18" t="n">
        <x:v>647.5933340745092</x:v>
      </x:c>
      <x:c r="T1378" s="18" t="n">
        <x:v>703</x:v>
      </x:c>
      <x:c r="U1378" s="18" t="n">
        <x:v>662.5933340745092</x:v>
      </x:c>
      <x:c r="V1378" s="20" t="n">
        <x:v>4.4</x:v>
      </x:c>
      <x:c r="W1378" s="20" t="n">
        <x:v>14.3</x:v>
      </x:c>
      <x:c r="X1378" s="20" t="n">
        <x:v>3.3</x:v>
      </x:c>
      <x:c r="Y1378" t="str">
        <x:v>Basis arsip 2025/2024</x:v>
      </x:c>
      <x:c r="Z1378" t="str">
        <x:v>https://snpmb.id/utbk-snbt/daya-tampung-snbt</x:v>
      </x:c>
      <x:c r="AA1378" t="str">
        <x:v>Tidak Ada</x:v>
      </x:c>
      <x:c r="AB1378" t="str">
        <x:v>Campus=90; Ratio=68.3; Prodi=65; RelDemand=32.2; Capacity=65.0</x:v>
      </x:c>
    </x:row>
    <x:row r="1379">
      <x:c r="A1379" t="n">
        <x:v>1376</x:v>
      </x:c>
      <x:c r="B1379" t="str">
        <x:v>PTN Akademik</x:v>
      </x:c>
      <x:c r="C1379" t="str">
        <x:v>INSTITUT PERTANIAN BOGOR</x:v>
      </x:c>
      <x:c r="D1379" t="str">
        <x:v>STATISTIKA DAN SAINS DATA</x:v>
      </x:c>
      <x:c r="E1379" t="str">
        <x:v>Sarjana</x:v>
      </x:c>
      <x:c r="F1379" s="18" t="n">
        <x:v>36</x:v>
      </x:c>
      <x:c r="G1379" s="18" t="n">
        <x:v>828</x:v>
      </x:c>
      <x:c r="H1379" s="19" t="n">
        <x:v>23</x:v>
      </x:c>
      <x:c r="I1379" s="18" t="n">
        <x:f>ROUND(MIN(Model_Config_v3!$B$6,MAX(Q1379,R1379,S1379*Model_Config_v3!$B$4+T1379*Model_Config_v3!$B$5)),0)</x:f>
        <x:v>699</x:v>
      </x:c>
      <x:c r="J1379" s="18" t="n">
        <x:f>MIN(Model_Config_v3!$B$6,I1379+Model_Config_v3!$B$7)</x:f>
        <x:v>719</x:v>
      </x:c>
      <x:c r="K1379" s="20" t="n">
        <x:v>75.7</x:v>
      </x:c>
      <x:c r="L1379" t="str">
        <x:v>ELITE</x:v>
      </x:c>
      <x:c r="M1379" t="str">
        <x:v>SEDANG+</x:v>
      </x:c>
      <x:c r="N1379" t="str">
        <x:v>ELITE-2</x:v>
      </x:c>
      <x:c r="O1379" t="str">
        <x:v>SAINTEK</x:v>
      </x:c>
      <x:c r="P1379" t="str">
        <x:v>TEKNIK/ARSITEKTUR/STATISTIKA/AKTUARIA</x:v>
      </x:c>
      <x:c r="Q1379" s="18" t="n">
        <x:v>655</x:v>
      </x:c>
      <x:c r="R1379" s="18" t="n">
        <x:v>670</x:v>
      </x:c>
      <x:c r="S1379" s="18" t="n">
        <x:v>669.7900619619352</x:v>
      </x:c>
      <x:c r="T1379" s="18" t="n">
        <x:v>711</x:v>
      </x:c>
      <x:c r="U1379" s="18" t="n">
        <x:v>679.7900619619352</x:v>
      </x:c>
      <x:c r="V1379" s="20" t="n">
        <x:v>12</x:v>
      </x:c>
      <x:c r="W1379" s="20" t="n">
        <x:v>5</x:v>
      </x:c>
      <x:c r="X1379" s="20" t="n">
        <x:v>3</x:v>
      </x:c>
      <x:c r="Y1379" t="str">
        <x:v>Basis arsip 2025/2024</x:v>
      </x:c>
      <x:c r="Z1379" t="str">
        <x:v>https://snpmb.id/utbk-snbt/daya-tampung-snbt</x:v>
      </x:c>
      <x:c r="AA1379" t="str">
        <x:v>Tidak Ada</x:v>
      </x:c>
      <x:c r="AB1379" t="str">
        <x:v>Campus=90; Ratio=80.2; Prodi=60; RelDemand=51.3; Capacity=70.0</x:v>
      </x:c>
    </x:row>
    <x:row r="1380">
      <x:c r="A1380" t="n">
        <x:v>1377</x:v>
      </x:c>
      <x:c r="B1380" t="str">
        <x:v>PTN Akademik</x:v>
      </x:c>
      <x:c r="C1380" t="str">
        <x:v>INSTITUT PERTANIAN BOGOR</x:v>
      </x:c>
      <x:c r="D1380" t="str">
        <x:v>TEKNIK PERTANIAN DAN BIOSISTEM</x:v>
      </x:c>
      <x:c r="E1380" t="str">
        <x:v>Sarjana</x:v>
      </x:c>
      <x:c r="F1380" s="18" t="n">
        <x:v>36</x:v>
      </x:c>
      <x:c r="G1380" s="18" t="n">
        <x:v>465</x:v>
      </x:c>
      <x:c r="H1380" s="19" t="n">
        <x:v>12.916666666666666</x:v>
      </x:c>
      <x:c r="I1380" s="18" t="n">
        <x:f>ROUND(MIN(Model_Config_v3!$B$6,MAX(Q1380,R1380,S1380*Model_Config_v3!$B$4+T1380*Model_Config_v3!$B$5)),0)</x:f>
        <x:v>682</x:v>
      </x:c>
      <x:c r="J1380" s="18" t="n">
        <x:f>MIN(Model_Config_v3!$B$6,I1380+Model_Config_v3!$B$7)</x:f>
        <x:v>702</x:v>
      </x:c>
      <x:c r="K1380" s="20" t="n">
        <x:v>69.7</x:v>
      </x:c>
      <x:c r="L1380" t="str">
        <x:v>SANGAT KETAT</x:v>
      </x:c>
      <x:c r="M1380" t="str">
        <x:v>SEDANG+</x:v>
      </x:c>
      <x:c r="N1380" t="str">
        <x:v>ELITE-2</x:v>
      </x:c>
      <x:c r="O1380" t="str">
        <x:v>SAINTEK</x:v>
      </x:c>
      <x:c r="P1380" t="str">
        <x:v>TEKNIK/ARSITEKTUR/STATISTIKA/AKTUARIA</x:v>
      </x:c>
      <x:c r="Q1380" s="18" t="n">
        <x:v>655</x:v>
      </x:c>
      <x:c r="R1380" s="18" t="n">
        <x:v>670</x:v>
      </x:c>
      <x:c r="S1380" s="18" t="n">
        <x:v>642.2265497334934</x:v>
      </x:c>
      <x:c r="T1380" s="18" t="n">
        <x:v>699</x:v>
      </x:c>
      <x:c r="U1380" s="18" t="n">
        <x:v>655</x:v>
      </x:c>
      <x:c r="V1380" s="20" t="n">
        <x:v>12</x:v>
      </x:c>
      <x:c r="W1380" s="20" t="n">
        <x:v>5</x:v>
      </x:c>
      <x:c r="X1380" s="20" t="n">
        <x:v>3</x:v>
      </x:c>
      <x:c r="Y1380" t="str">
        <x:v>Basis arsip 2025/2024</x:v>
      </x:c>
      <x:c r="Z1380" t="str">
        <x:v>https://snpmb.id/utbk-snbt/daya-tampung-snbt</x:v>
      </x:c>
      <x:c r="AA1380" t="str">
        <x:v>Tidak Ada</x:v>
      </x:c>
      <x:c r="AB1380" t="str">
        <x:v>Campus=90; Ratio=65.4; Prodi=60; RelDemand=28.8; Capacity=70.0</x:v>
      </x:c>
    </x:row>
    <x:row r="1381">
      <x:c r="A1381" t="n">
        <x:v>1378</x:v>
      </x:c>
      <x:c r="B1381" t="str">
        <x:v>PTN Akademik</x:v>
      </x:c>
      <x:c r="C1381" t="str">
        <x:v>INSTITUT PERTANIAN BOGOR</x:v>
      </x:c>
      <x:c r="D1381" t="str">
        <x:v>TEKNOLOGI HASIL HUTAN</x:v>
      </x:c>
      <x:c r="E1381" t="str">
        <x:v>Sarjana</x:v>
      </x:c>
      <x:c r="F1381" s="18" t="n">
        <x:v>33</x:v>
      </x:c>
      <x:c r="G1381" s="18" t="n">
        <x:v>327</x:v>
      </x:c>
      <x:c r="H1381" s="19" t="n">
        <x:v>9.909090909090908</x:v>
      </x:c>
      <x:c r="I1381" s="18" t="n">
        <x:f>ROUND(MIN(Model_Config_v3!$B$6,MAX(Q1381,R1381,S1381*Model_Config_v3!$B$4+T1381*Model_Config_v3!$B$5)),0)</x:f>
        <x:v>670</x:v>
      </x:c>
      <x:c r="J1381" s="18" t="n">
        <x:f>MIN(Model_Config_v3!$B$6,I1381+Model_Config_v3!$B$7)</x:f>
        <x:v>690</x:v>
      </x:c>
      <x:c r="K1381" s="20" t="n">
        <x:v>63.6</x:v>
      </x:c>
      <x:c r="L1381" t="str">
        <x:v>KETAT</x:v>
      </x:c>
      <x:c r="M1381" t="str">
        <x:v>SEDANG+</x:v>
      </x:c>
      <x:c r="N1381" t="str">
        <x:v>ELITE-2</x:v>
      </x:c>
      <x:c r="O1381" t="str">
        <x:v>SAINTEK</x:v>
      </x:c>
      <x:c r="P1381" t="str">
        <x:v>UMUM</x:v>
      </x:c>
      <x:c r="Q1381" s="18" t="n">
        <x:v>655</x:v>
      </x:c>
      <x:c r="R1381" s="18" t="n">
        <x:v>0</x:v>
      </x:c>
      <x:c r="S1381" s="18" t="n">
        <x:v>629.5637194060638</x:v>
      </x:c>
      <x:c r="T1381" s="18" t="n">
        <x:v>687</x:v>
      </x:c>
      <x:c r="U1381" s="18" t="n">
        <x:v>655</x:v>
      </x:c>
      <x:c r="V1381" s="20" t="n">
        <x:v>12</x:v>
      </x:c>
      <x:c r="W1381" s="20" t="n">
        <x:v>5</x:v>
      </x:c>
      <x:c r="X1381" s="20" t="n">
        <x:v>3</x:v>
      </x:c>
      <x:c r="Y1381" t="str">
        <x:v>Basis arsip 2025/2024</x:v>
      </x:c>
      <x:c r="Z1381" t="str">
        <x:v>https://snpmb.id/utbk-snbt/daya-tampung-snbt</x:v>
      </x:c>
      <x:c r="AA1381" t="str">
        <x:v>Tidak Ada</x:v>
      </x:c>
      <x:c r="AB1381" t="str">
        <x:v>Campus=90; Ratio=58.6; Prodi=40; RelDemand=22.1; Capacity=72.5</x:v>
      </x:c>
    </x:row>
    <x:row r="1382">
      <x:c r="A1382" t="n">
        <x:v>1379</x:v>
      </x:c>
      <x:c r="B1382" t="str">
        <x:v>PTN Akademik</x:v>
      </x:c>
      <x:c r="C1382" t="str">
        <x:v>INSTITUT PERTANIAN BOGOR</x:v>
      </x:c>
      <x:c r="D1382" t="str">
        <x:v>TEKNIK INDUSTRI PERTANIAN</x:v>
      </x:c>
      <x:c r="E1382" t="str">
        <x:v>Sarjana</x:v>
      </x:c>
      <x:c r="F1382" s="18" t="n">
        <x:v>39</x:v>
      </x:c>
      <x:c r="G1382" s="18" t="n">
        <x:v>836</x:v>
      </x:c>
      <x:c r="H1382" s="19" t="n">
        <x:v>21.435897435897434</x:v>
      </x:c>
      <x:c r="I1382" s="18" t="n">
        <x:f>ROUND(MIN(Model_Config_v3!$B$6,MAX(Q1382,R1382,S1382*Model_Config_v3!$B$4+T1382*Model_Config_v3!$B$5)),0)</x:f>
        <x:v>696</x:v>
      </x:c>
      <x:c r="J1382" s="18" t="n">
        <x:f>MIN(Model_Config_v3!$B$6,I1382+Model_Config_v3!$B$7)</x:f>
        <x:v>716</x:v>
      </x:c>
      <x:c r="K1382" s="20" t="n">
        <x:v>74.6</x:v>
      </x:c>
      <x:c r="L1382" t="str">
        <x:v>SANGAT KETAT</x:v>
      </x:c>
      <x:c r="M1382" t="str">
        <x:v>SEDANG+</x:v>
      </x:c>
      <x:c r="N1382" t="str">
        <x:v>ELITE-2</x:v>
      </x:c>
      <x:c r="O1382" t="str">
        <x:v>SAINTEK</x:v>
      </x:c>
      <x:c r="P1382" t="str">
        <x:v>TEKNIK/ARSITEKTUR/STATISTIKA/AKTUARIA</x:v>
      </x:c>
      <x:c r="Q1382" s="18" t="n">
        <x:v>655</x:v>
      </x:c>
      <x:c r="R1382" s="18" t="n">
        <x:v>670</x:v>
      </x:c>
      <x:c r="S1382" s="18" t="n">
        <x:v>666.4255837453768</x:v>
      </x:c>
      <x:c r="T1382" s="18" t="n">
        <x:v>709</x:v>
      </x:c>
      <x:c r="U1382" s="18" t="n">
        <x:v>676.4255837453768</x:v>
      </x:c>
      <x:c r="V1382" s="20" t="n">
        <x:v>12</x:v>
      </x:c>
      <x:c r="W1382" s="20" t="n">
        <x:v>5</x:v>
      </x:c>
      <x:c r="X1382" s="20" t="n">
        <x:v>3</x:v>
      </x:c>
      <x:c r="Y1382" t="str">
        <x:v>Basis arsip 2025/2024</x:v>
      </x:c>
      <x:c r="Z1382" t="str">
        <x:v>https://snpmb.id/utbk-snbt/daya-tampung-snbt</x:v>
      </x:c>
      <x:c r="AA1382" t="str">
        <x:v>Tidak Ada</x:v>
      </x:c>
      <x:c r="AB1382" t="str">
        <x:v>Campus=90; Ratio=78.3; Prodi=60; RelDemand=47.8; Capacity=67.5</x:v>
      </x:c>
    </x:row>
    <x:row r="1383">
      <x:c r="A1383" t="n">
        <x:v>1380</x:v>
      </x:c>
      <x:c r="B1383" t="str">
        <x:v>PTN Akademik</x:v>
      </x:c>
      <x:c r="C1383" t="str">
        <x:v>INSTITUT PERTANIAN BOGOR</x:v>
      </x:c>
      <x:c r="D1383" t="str">
        <x:v>TEKNOLOGI PANGAN</x:v>
      </x:c>
      <x:c r="E1383" t="str">
        <x:v>Sarjana</x:v>
      </x:c>
      <x:c r="F1383" s="18" t="n">
        <x:v>39</x:v>
      </x:c>
      <x:c r="G1383" s="18" t="n">
        <x:v>1540</x:v>
      </x:c>
      <x:c r="H1383" s="19" t="n">
        <x:v>39.48717948717949</x:v>
      </x:c>
      <x:c r="I1383" s="18" t="n">
        <x:f>ROUND(MIN(Model_Config_v3!$B$6,MAX(Q1383,R1383,S1383*Model_Config_v3!$B$4+T1383*Model_Config_v3!$B$5)),0)</x:f>
        <x:v>711</x:v>
      </x:c>
      <x:c r="J1383" s="18" t="n">
        <x:f>MIN(Model_Config_v3!$B$6,I1383+Model_Config_v3!$B$7)</x:f>
        <x:v>731</x:v>
      </x:c>
      <x:c r="K1383" s="20" t="n">
        <x:v>78.5</x:v>
      </x:c>
      <x:c r="L1383" t="str">
        <x:v>ELITE</x:v>
      </x:c>
      <x:c r="M1383" t="str">
        <x:v>SEDANG+</x:v>
      </x:c>
      <x:c r="N1383" t="str">
        <x:v>ELITE-2</x:v>
      </x:c>
      <x:c r="O1383" t="str">
        <x:v>SAINTEK</x:v>
      </x:c>
      <x:c r="P1383" t="str">
        <x:v>UMUM</x:v>
      </x:c>
      <x:c r="Q1383" s="18" t="n">
        <x:v>655</x:v>
      </x:c>
      <x:c r="R1383" s="18" t="n">
        <x:v>0</x:v>
      </x:c>
      <x:c r="S1383" s="18" t="n">
        <x:v>695.6101725190961</x:v>
      </x:c>
      <x:c r="T1383" s="18" t="n">
        <x:v>717</x:v>
      </x:c>
      <x:c r="U1383" s="18" t="n">
        <x:v>695.6101725190961</x:v>
      </x:c>
      <x:c r="V1383" s="20" t="n">
        <x:v>12</x:v>
      </x:c>
      <x:c r="W1383" s="20" t="n">
        <x:v>5</x:v>
      </x:c>
      <x:c r="X1383" s="20" t="n">
        <x:v>3</x:v>
      </x:c>
      <x:c r="Y1383" t="str">
        <x:v>Basis arsip 2025/2024</x:v>
      </x:c>
      <x:c r="Z1383" t="str">
        <x:v>https://snpmb.id/utbk-snbt/daya-tampung-snbt</x:v>
      </x:c>
      <x:c r="AA1383" t="str">
        <x:v>Tidak Ada</x:v>
      </x:c>
      <x:c r="AB1383" t="str">
        <x:v>Campus=90; Ratio=94.0; Prodi=40; RelDemand=88.0; Capacity=67.5</x:v>
      </x:c>
    </x:row>
    <x:row r="1384">
      <x:c r="A1384" t="n">
        <x:v>1381</x:v>
      </x:c>
      <x:c r="B1384" t="str">
        <x:v>PTN Akademik</x:v>
      </x:c>
      <x:c r="C1384" t="str">
        <x:v>INSTITUT PERTANIAN BOGOR</x:v>
      </x:c>
      <x:c r="D1384" t="str">
        <x:v>NUTRISI DAN TEKNOLOGI PAKAN</x:v>
      </x:c>
      <x:c r="E1384" t="str">
        <x:v>Sarjana</x:v>
      </x:c>
      <x:c r="F1384" s="18" t="n">
        <x:v>48</x:v>
      </x:c>
      <x:c r="G1384" s="18" t="n">
        <x:v>353</x:v>
      </x:c>
      <x:c r="H1384" s="19" t="n">
        <x:v>7.354166666666667</x:v>
      </x:c>
      <x:c r="I1384" s="18" t="n">
        <x:f>ROUND(MIN(Model_Config_v3!$B$6,MAX(Q1384,R1384,S1384*Model_Config_v3!$B$4+T1384*Model_Config_v3!$B$5)),0)</x:f>
        <x:v>661</x:v>
      </x:c>
      <x:c r="J1384" s="18" t="n">
        <x:f>MIN(Model_Config_v3!$B$6,I1384+Model_Config_v3!$B$7)</x:f>
        <x:v>681</x:v>
      </x:c>
      <x:c r="K1384" s="20" t="n">
        <x:v>59.9</x:v>
      </x:c>
      <x:c r="L1384" t="str">
        <x:v>KETAT</x:v>
      </x:c>
      <x:c r="M1384" t="str">
        <x:v>SEDANG+</x:v>
      </x:c>
      <x:c r="N1384" t="str">
        <x:v>ELITE-2</x:v>
      </x:c>
      <x:c r="O1384" t="str">
        <x:v>SAINTEK</x:v>
      </x:c>
      <x:c r="P1384" t="str">
        <x:v>UMUM</x:v>
      </x:c>
      <x:c r="Q1384" s="18" t="n">
        <x:v>655</x:v>
      </x:c>
      <x:c r="R1384" s="18" t="n">
        <x:v>0</x:v>
      </x:c>
      <x:c r="S1384" s="18" t="n">
        <x:v>615.3186814813458</x:v>
      </x:c>
      <x:c r="T1384" s="18" t="n">
        <x:v>680</x:v>
      </x:c>
      <x:c r="U1384" s="18" t="n">
        <x:v>655</x:v>
      </x:c>
      <x:c r="V1384" s="20" t="n">
        <x:v>12</x:v>
      </x:c>
      <x:c r="W1384" s="20" t="n">
        <x:v>5</x:v>
      </x:c>
      <x:c r="X1384" s="20" t="n">
        <x:v>3</x:v>
      </x:c>
      <x:c r="Y1384" t="str">
        <x:v>Basis arsip 2025/2024</x:v>
      </x:c>
      <x:c r="Z1384" t="str">
        <x:v>https://snpmb.id/utbk-snbt/daya-tampung-snbt</x:v>
      </x:c>
      <x:c r="AA1384" t="str">
        <x:v>Tidak Ada</x:v>
      </x:c>
      <x:c r="AB1384" t="str">
        <x:v>Campus=90; Ratio=51.0; Prodi=40; RelDemand=16.4; Capacity=60.0</x:v>
      </x:c>
    </x:row>
    <x:row r="1385">
      <x:c r="A1385" t="n">
        <x:v>1382</x:v>
      </x:c>
      <x:c r="B1385" t="str">
        <x:v>PTN Akademik</x:v>
      </x:c>
      <x:c r="C1385" t="str">
        <x:v>INSTITUT PERTANIAN BOGOR</x:v>
      </x:c>
      <x:c r="D1385" t="str">
        <x:v>TEKNOLOGI PRODUKSI TERNAK</x:v>
      </x:c>
      <x:c r="E1385" t="str">
        <x:v>Sarjana</x:v>
      </x:c>
      <x:c r="F1385" s="18" t="n">
        <x:v>36</x:v>
      </x:c>
      <x:c r="G1385" s="18" t="n">
        <x:v>348</x:v>
      </x:c>
      <x:c r="H1385" s="19" t="n">
        <x:v>9.666666666666666</x:v>
      </x:c>
      <x:c r="I1385" s="18" t="n">
        <x:f>ROUND(MIN(Model_Config_v3!$B$6,MAX(Q1385,R1385,S1385*Model_Config_v3!$B$4+T1385*Model_Config_v3!$B$5)),0)</x:f>
        <x:v>669</x:v>
      </x:c>
      <x:c r="J1385" s="18" t="n">
        <x:f>MIN(Model_Config_v3!$B$6,I1385+Model_Config_v3!$B$7)</x:f>
        <x:v>689</x:v>
      </x:c>
      <x:c r="K1385" s="20" t="n">
        <x:v>63.2</x:v>
      </x:c>
      <x:c r="L1385" t="str">
        <x:v>KETAT</x:v>
      </x:c>
      <x:c r="M1385" t="str">
        <x:v>SEDANG+</x:v>
      </x:c>
      <x:c r="N1385" t="str">
        <x:v>ELITE-2</x:v>
      </x:c>
      <x:c r="O1385" t="str">
        <x:v>SAINTEK</x:v>
      </x:c>
      <x:c r="P1385" t="str">
        <x:v>UMUM</x:v>
      </x:c>
      <x:c r="Q1385" s="18" t="n">
        <x:v>655</x:v>
      </x:c>
      <x:c r="R1385" s="18" t="n">
        <x:v>0</x:v>
      </x:c>
      <x:c r="S1385" s="18" t="n">
        <x:v>628.3804417497223</x:v>
      </x:c>
      <x:c r="T1385" s="18" t="n">
        <x:v>686</x:v>
      </x:c>
      <x:c r="U1385" s="18" t="n">
        <x:v>655</x:v>
      </x:c>
      <x:c r="V1385" s="20" t="n">
        <x:v>12</x:v>
      </x:c>
      <x:c r="W1385" s="20" t="n">
        <x:v>5</x:v>
      </x:c>
      <x:c r="X1385" s="20" t="n">
        <x:v>3</x:v>
      </x:c>
      <x:c r="Y1385" t="str">
        <x:v>Basis arsip 2025/2024</x:v>
      </x:c>
      <x:c r="Z1385" t="str">
        <x:v>https://snpmb.id/utbk-snbt/daya-tampung-snbt</x:v>
      </x:c>
      <x:c r="AA1385" t="str">
        <x:v>Tidak Ada</x:v>
      </x:c>
      <x:c r="AB1385" t="str">
        <x:v>Campus=90; Ratio=58.0; Prodi=40; RelDemand=21.6; Capacity=70.0</x:v>
      </x:c>
    </x:row>
    <x:row r="1386">
      <x:c r="A1386" t="n">
        <x:v>1383</x:v>
      </x:c>
      <x:c r="B1386" t="str">
        <x:v>PTN Akademik</x:v>
      </x:c>
      <x:c r="C1386" t="str">
        <x:v>INSTITUT PERTANIAN BOGOR</x:v>
      </x:c>
      <x:c r="D1386" t="str">
        <x:v>TEKNIK SIPIL DAN LINGKUNGAN</x:v>
      </x:c>
      <x:c r="E1386" t="str">
        <x:v>Sarjana</x:v>
      </x:c>
      <x:c r="F1386" s="18" t="n">
        <x:v>30</x:v>
      </x:c>
      <x:c r="G1386" s="18" t="n">
        <x:v>1131</x:v>
      </x:c>
      <x:c r="H1386" s="19" t="n">
        <x:v>37.7</x:v>
      </x:c>
      <x:c r="I1386" s="18" t="n">
        <x:f>ROUND(MIN(Model_Config_v3!$B$6,MAX(Q1386,R1386,S1386*Model_Config_v3!$B$4+T1386*Model_Config_v3!$B$5)),0)</x:f>
        <x:v>716</x:v>
      </x:c>
      <x:c r="J1386" s="18" t="n">
        <x:f>MIN(Model_Config_v3!$B$6,I1386+Model_Config_v3!$B$7)</x:f>
        <x:v>736</x:v>
      </x:c>
      <x:c r="K1386" s="20" t="n">
        <x:v>82.6</x:v>
      </x:c>
      <x:c r="L1386" t="str">
        <x:v>ELITE</x:v>
      </x:c>
      <x:c r="M1386" t="str">
        <x:v>SEDANG+</x:v>
      </x:c>
      <x:c r="N1386" t="str">
        <x:v>ELITE-2</x:v>
      </x:c>
      <x:c r="O1386" t="str">
        <x:v>SAINTEK</x:v>
      </x:c>
      <x:c r="P1386" t="str">
        <x:v>TEKNIK/ARSITEKTUR/STATISTIKA/AKTUARIA</x:v>
      </x:c>
      <x:c r="Q1386" s="18" t="n">
        <x:v>655</x:v>
      </x:c>
      <x:c r="R1386" s="18" t="n">
        <x:v>670</x:v>
      </x:c>
      <x:c r="S1386" s="18" t="n">
        <x:v>693.3975485226372</x:v>
      </x:c>
      <x:c r="T1386" s="18" t="n">
        <x:v>725</x:v>
      </x:c>
      <x:c r="U1386" s="18" t="n">
        <x:v>703.3975485226372</x:v>
      </x:c>
      <x:c r="V1386" s="20" t="n">
        <x:v>12</x:v>
      </x:c>
      <x:c r="W1386" s="20" t="n">
        <x:v>5</x:v>
      </x:c>
      <x:c r="X1386" s="20" t="n">
        <x:v>3</x:v>
      </x:c>
      <x:c r="Y1386" t="str">
        <x:v>Basis arsip 2025/2024</x:v>
      </x:c>
      <x:c r="Z1386" t="str">
        <x:v>https://snpmb.id/utbk-snbt/daya-tampung-snbt</x:v>
      </x:c>
      <x:c r="AA1386" t="str">
        <x:v>Tidak Ada</x:v>
      </x:c>
      <x:c r="AB1386" t="str">
        <x:v>Campus=90; Ratio=92.8; Prodi=60; RelDemand=84.1; Capacity=75.0</x:v>
      </x:c>
    </x:row>
    <x:row r="1387">
      <x:c r="A1387" t="n">
        <x:v>1384</x:v>
      </x:c>
      <x:c r="B1387" t="str">
        <x:v>PTN Akademik</x:v>
      </x:c>
      <x:c r="C1387" t="str">
        <x:v>INSTITUT PERTANIAN BOGOR</x:v>
      </x:c>
      <x:c r="D1387" t="str">
        <x:v>TEKNOLOGI &amp; MANAJEMEN PERIKANAN BUDIDAYA</x:v>
      </x:c>
      <x:c r="E1387" t="str">
        <x:v>Sarjana</x:v>
      </x:c>
      <x:c r="F1387" s="18" t="n">
        <x:v>36</x:v>
      </x:c>
      <x:c r="G1387" s="18" t="n">
        <x:v>336</x:v>
      </x:c>
      <x:c r="H1387" s="19" t="n">
        <x:v>9.333333333333334</x:v>
      </x:c>
      <x:c r="I1387" s="18" t="n">
        <x:f>ROUND(MIN(Model_Config_v3!$B$6,MAX(Q1387,R1387,S1387*Model_Config_v3!$B$4+T1387*Model_Config_v3!$B$5)),0)</x:f>
        <x:v>680</x:v>
      </x:c>
      <x:c r="J1387" s="18" t="n">
        <x:f>MIN(Model_Config_v3!$B$6,I1387+Model_Config_v3!$B$7)</x:f>
        <x:v>700</x:v>
      </x:c>
      <x:c r="K1387" s="20" t="n">
        <x:v>67.9</x:v>
      </x:c>
      <x:c r="L1387" t="str">
        <x:v>SANGAT KETAT</x:v>
      </x:c>
      <x:c r="M1387" t="str">
        <x:v>SEDANG+</x:v>
      </x:c>
      <x:c r="N1387" t="str">
        <x:v>ELITE-2</x:v>
      </x:c>
      <x:c r="O1387" t="str">
        <x:v>SAINTEK</x:v>
      </x:c>
      <x:c r="P1387" t="str">
        <x:v>BISNIS/EKONOMI/AKUNTANSI</x:v>
      </x:c>
      <x:c r="Q1387" s="18" t="n">
        <x:v>655</x:v>
      </x:c>
      <x:c r="R1387" s="18" t="n">
        <x:v>680</x:v>
      </x:c>
      <x:c r="S1387" s="18" t="n">
        <x:v>626.7040454284812</x:v>
      </x:c>
      <x:c r="T1387" s="18" t="n">
        <x:v>696</x:v>
      </x:c>
      <x:c r="U1387" s="18" t="n">
        <x:v>655</x:v>
      </x:c>
      <x:c r="V1387" s="20" t="n">
        <x:v>12</x:v>
      </x:c>
      <x:c r="W1387" s="20" t="n">
        <x:v>5</x:v>
      </x:c>
      <x:c r="X1387" s="20" t="n">
        <x:v>3</x:v>
      </x:c>
      <x:c r="Y1387" t="str">
        <x:v>Basis arsip 2025/2024</x:v>
      </x:c>
      <x:c r="Z1387" t="str">
        <x:v>https://snpmb.id/utbk-snbt/daya-tampung-snbt</x:v>
      </x:c>
      <x:c r="AA1387" t="str">
        <x:v>Tidak Ada</x:v>
      </x:c>
      <x:c r="AB1387" t="str">
        <x:v>Campus=90; Ratio=57.1; Prodi=65; RelDemand=20.8; Capacity=70.0</x:v>
      </x:c>
    </x:row>
    <x:row r="1388">
      <x:c r="A1388" t="n">
        <x:v>1385</x:v>
      </x:c>
      <x:c r="B1388" t="str">
        <x:v>PTN Akademik</x:v>
      </x:c>
      <x:c r="C1388" t="str">
        <x:v>INSTITUT PERTANIAN BOGOR</x:v>
      </x:c>
      <x:c r="D1388" t="str">
        <x:v>EKONOMI PEMBANGUNAN</x:v>
      </x:c>
      <x:c r="E1388" t="str">
        <x:v>Sarjana</x:v>
      </x:c>
      <x:c r="F1388" s="18" t="n">
        <x:v>39</x:v>
      </x:c>
      <x:c r="G1388" s="18" t="n">
        <x:v>865</x:v>
      </x:c>
      <x:c r="H1388" s="19" t="n">
        <x:v>22.17948717948718</x:v>
      </x:c>
      <x:c r="I1388" s="18" t="n">
        <x:f>ROUND(MIN(Model_Config_v3!$B$6,MAX(Q1388,R1388,S1388*Model_Config_v3!$B$4+T1388*Model_Config_v3!$B$5)),0)</x:f>
        <x:v>699</x:v>
      </x:c>
      <x:c r="J1388" s="18" t="n">
        <x:f>MIN(Model_Config_v3!$B$6,I1388+Model_Config_v3!$B$7)</x:f>
        <x:v>719</x:v>
      </x:c>
      <x:c r="K1388" s="20" t="n">
        <x:v>76</x:v>
      </x:c>
      <x:c r="L1388" t="str">
        <x:v>ELITE</x:v>
      </x:c>
      <x:c r="M1388" t="str">
        <x:v>SEDANG+</x:v>
      </x:c>
      <x:c r="N1388" t="str">
        <x:v>ELITE-2</x:v>
      </x:c>
      <x:c r="O1388" t="str">
        <x:v>SOSHUM</x:v>
      </x:c>
      <x:c r="P1388" t="str">
        <x:v>BISNIS/EKONOMI/AKUNTANSI</x:v>
      </x:c>
      <x:c r="Q1388" s="18" t="n">
        <x:v>655</x:v>
      </x:c>
      <x:c r="R1388" s="18" t="n">
        <x:v>680</x:v>
      </x:c>
      <x:c r="S1388" s="18" t="n">
        <x:v>668.0546650482147</x:v>
      </x:c>
      <x:c r="T1388" s="18" t="n">
        <x:v>712</x:v>
      </x:c>
      <x:c r="U1388" s="18" t="n">
        <x:v>668.0546650482147</x:v>
      </x:c>
      <x:c r="V1388" s="20" t="n">
        <x:v>4.4</x:v>
      </x:c>
      <x:c r="W1388" s="20" t="n">
        <x:v>14.3</x:v>
      </x:c>
      <x:c r="X1388" s="20" t="n">
        <x:v>3.3</x:v>
      </x:c>
      <x:c r="Y1388" t="str">
        <x:v>Basis arsip 2025/2024</x:v>
      </x:c>
      <x:c r="Z1388" t="str">
        <x:v>https://snpmb.id/utbk-snbt/daya-tampung-snbt</x:v>
      </x:c>
      <x:c r="AA1388" t="str">
        <x:v>Tidak Ada</x:v>
      </x:c>
      <x:c r="AB1388" t="str">
        <x:v>Campus=90; Ratio=79.2; Prodi=65; RelDemand=49.5; Capacity=67.5</x:v>
      </x:c>
    </x:row>
    <x:row r="1389">
      <x:c r="A1389" t="n">
        <x:v>1386</x:v>
      </x:c>
      <x:c r="B1389" t="str">
        <x:v>PTN Akademik</x:v>
      </x:c>
      <x:c r="C1389" t="str">
        <x:v>INSTITUT PERTANIAN BOGOR</x:v>
      </x:c>
      <x:c r="D1389" t="str">
        <x:v>MANAJEMEN</x:v>
      </x:c>
      <x:c r="E1389" t="str">
        <x:v>Sarjana</x:v>
      </x:c>
      <x:c r="F1389" s="18" t="n">
        <x:v>45</x:v>
      </x:c>
      <x:c r="G1389" s="18" t="n">
        <x:v>1822</x:v>
      </x:c>
      <x:c r="H1389" s="19" t="n">
        <x:v>40.48888888888889</x:v>
      </x:c>
      <x:c r="I1389" s="18" t="n">
        <x:f>ROUND(MIN(Model_Config_v3!$B$6,MAX(Q1389,R1389,S1389*Model_Config_v3!$B$4+T1389*Model_Config_v3!$B$5)),0)</x:f>
        <x:v>718</x:v>
      </x:c>
      <x:c r="J1389" s="18" t="n">
        <x:f>MIN(Model_Config_v3!$B$6,I1389+Model_Config_v3!$B$7)</x:f>
        <x:v>738</x:v>
      </x:c>
      <x:c r="K1389" s="20" t="n">
        <x:v>83.4</x:v>
      </x:c>
      <x:c r="L1389" t="str">
        <x:v>ELITE</x:v>
      </x:c>
      <x:c r="M1389" t="str">
        <x:v>SEDANG+</x:v>
      </x:c>
      <x:c r="N1389" t="str">
        <x:v>ELITE-2</x:v>
      </x:c>
      <x:c r="O1389" t="str">
        <x:v>SOSHUM</x:v>
      </x:c>
      <x:c r="P1389" t="str">
        <x:v>BISNIS/EKONOMI/AKUNTANSI</x:v>
      </x:c>
      <x:c r="Q1389" s="18" t="n">
        <x:v>655</x:v>
      </x:c>
      <x:c r="R1389" s="18" t="n">
        <x:v>680</x:v>
      </x:c>
      <x:c r="S1389" s="18" t="n">
        <x:v>696.8069444747799</x:v>
      </x:c>
      <x:c r="T1389" s="18" t="n">
        <x:v>727</x:v>
      </x:c>
      <x:c r="U1389" s="18" t="n">
        <x:v>711.8069444747799</x:v>
      </x:c>
      <x:c r="V1389" s="20" t="n">
        <x:v>4.4</x:v>
      </x:c>
      <x:c r="W1389" s="20" t="n">
        <x:v>14.3</x:v>
      </x:c>
      <x:c r="X1389" s="20" t="n">
        <x:v>3.3</x:v>
      </x:c>
      <x:c r="Y1389" t="str">
        <x:v>Basis arsip 2025/2024</x:v>
      </x:c>
      <x:c r="Z1389" t="str">
        <x:v>https://snpmb.id/utbk-snbt/daya-tampung-snbt</x:v>
      </x:c>
      <x:c r="AA1389" t="str">
        <x:v>Tidak Ada</x:v>
      </x:c>
      <x:c r="AB1389" t="str">
        <x:v>Campus=90; Ratio=94.6; Prodi=65; RelDemand=90.3; Capacity=62.5</x:v>
      </x:c>
    </x:row>
    <x:row r="1390">
      <x:c r="A1390" t="n">
        <x:v>1387</x:v>
      </x:c>
      <x:c r="B1390" t="str">
        <x:v>PTN Akademik</x:v>
      </x:c>
      <x:c r="C1390" t="str">
        <x:v>INSTITUT PERTANIAN BOGOR</x:v>
      </x:c>
      <x:c r="D1390" t="str">
        <x:v>ILMU GIZI</x:v>
      </x:c>
      <x:c r="E1390" t="str">
        <x:v>Sarjana</x:v>
      </x:c>
      <x:c r="F1390" s="18" t="n">
        <x:v>30</x:v>
      </x:c>
      <x:c r="G1390" s="18" t="n">
        <x:v>1285</x:v>
      </x:c>
      <x:c r="H1390" s="19" t="n">
        <x:v>42.833333333333336</x:v>
      </x:c>
      <x:c r="I1390" s="18" t="n">
        <x:f>ROUND(MIN(Model_Config_v3!$B$6,MAX(Q1390,R1390,S1390*Model_Config_v3!$B$4+T1390*Model_Config_v3!$B$5)),0)</x:f>
        <x:v>719</x:v>
      </x:c>
      <x:c r="J1390" s="18" t="n">
        <x:f>MIN(Model_Config_v3!$B$6,I1390+Model_Config_v3!$B$7)</x:f>
        <x:v>739</x:v>
      </x:c>
      <x:c r="K1390" s="20" t="n">
        <x:v>83.6</x:v>
      </x:c>
      <x:c r="L1390" t="str">
        <x:v>ELITE</x:v>
      </x:c>
      <x:c r="M1390" t="str">
        <x:v>SEDANG+</x:v>
      </x:c>
      <x:c r="N1390" t="str">
        <x:v>ELITE-2</x:v>
      </x:c>
      <x:c r="O1390" t="str">
        <x:v>SAINTEK</x:v>
      </x:c>
      <x:c r="P1390" t="str">
        <x:v>KESEHAT/GIZI/KEPERAWATAN</x:v>
      </x:c>
      <x:c r="Q1390" s="18" t="n">
        <x:v>655</x:v>
      </x:c>
      <x:c r="R1390" s="18" t="n">
        <x:v>660</x:v>
      </x:c>
      <x:c r="S1390" s="18" t="n">
        <x:v>699.4960060242415</x:v>
      </x:c>
      <x:c r="T1390" s="18" t="n">
        <x:v>727</x:v>
      </x:c>
      <x:c r="U1390" s="18" t="n">
        <x:v>699.4960060242415</x:v>
      </x:c>
      <x:c r="V1390" s="20" t="n">
        <x:v>12</x:v>
      </x:c>
      <x:c r="W1390" s="20" t="n">
        <x:v>5</x:v>
      </x:c>
      <x:c r="X1390" s="20" t="n">
        <x:v>3</x:v>
      </x:c>
      <x:c r="Y1390" t="str">
        <x:v>Basis arsip 2025/2024</x:v>
      </x:c>
      <x:c r="Z1390" t="str">
        <x:v>https://snpmb.id/utbk-snbt/daya-tampung-snbt</x:v>
      </x:c>
      <x:c r="AA1390" t="str">
        <x:v>Tidak Ada</x:v>
      </x:c>
      <x:c r="AB1390" t="str">
        <x:v>Campus=90; Ratio=96.0; Prodi=55; RelDemand=95.5; Capacity=75.0</x:v>
      </x:c>
    </x:row>
    <x:row r="1391">
      <x:c r="A1391" t="n">
        <x:v>1388</x:v>
      </x:c>
      <x:c r="B1391" t="str">
        <x:v>PTN Akademik</x:v>
      </x:c>
      <x:c r="C1391" t="str">
        <x:v>INSTITUT PERTANIAN BOGOR</x:v>
      </x:c>
      <x:c r="D1391" t="str">
        <x:v>EKONOMI SYARIAH</x:v>
      </x:c>
      <x:c r="E1391" t="str">
        <x:v>Sarjana</x:v>
      </x:c>
      <x:c r="F1391" s="18" t="n">
        <x:v>39</x:v>
      </x:c>
      <x:c r="G1391" s="18" t="n">
        <x:v>648</x:v>
      </x:c>
      <x:c r="H1391" s="19" t="n">
        <x:v>16.615384615384617</x:v>
      </x:c>
      <x:c r="I1391" s="18" t="n">
        <x:f>ROUND(MIN(Model_Config_v3!$B$6,MAX(Q1391,R1391,S1391*Model_Config_v3!$B$4+T1391*Model_Config_v3!$B$5)),0)</x:f>
        <x:v>683</x:v>
      </x:c>
      <x:c r="J1391" s="18" t="n">
        <x:f>MIN(Model_Config_v3!$B$6,I1391+Model_Config_v3!$B$7)</x:f>
        <x:v>703</x:v>
      </x:c>
      <x:c r="K1391" s="20" t="n">
        <x:v>67.9</x:v>
      </x:c>
      <x:c r="L1391" t="str">
        <x:v>SANGAT KETAT</x:v>
      </x:c>
      <x:c r="M1391" t="str">
        <x:v>SEDANG+</x:v>
      </x:c>
      <x:c r="N1391" t="str">
        <x:v>ELITE-2</x:v>
      </x:c>
      <x:c r="O1391" t="str">
        <x:v>SOSHUM</x:v>
      </x:c>
      <x:c r="P1391" t="str">
        <x:v>UMUM</x:v>
      </x:c>
      <x:c r="Q1391" s="18" t="n">
        <x:v>655</x:v>
      </x:c>
      <x:c r="R1391" s="18" t="n">
        <x:v>0</x:v>
      </x:c>
      <x:c r="S1391" s="18" t="n">
        <x:v>654.2561438728503</x:v>
      </x:c>
      <x:c r="T1391" s="18" t="n">
        <x:v>696</x:v>
      </x:c>
      <x:c r="U1391" s="18" t="n">
        <x:v>655</x:v>
      </x:c>
      <x:c r="V1391" s="20" t="n">
        <x:v>4.4</x:v>
      </x:c>
      <x:c r="W1391" s="20" t="n">
        <x:v>14.3</x:v>
      </x:c>
      <x:c r="X1391" s="20" t="n">
        <x:v>3.3</x:v>
      </x:c>
      <x:c r="Y1391" t="str">
        <x:v>Basis arsip 2025/2024</x:v>
      </x:c>
      <x:c r="Z1391" t="str">
        <x:v>https://snpmb.id/utbk-snbt/daya-tampung-snbt</x:v>
      </x:c>
      <x:c r="AA1391" t="str">
        <x:v>Tidak Ada</x:v>
      </x:c>
      <x:c r="AB1391" t="str">
        <x:v>Campus=90; Ratio=71.8; Prodi=40; RelDemand=37.0; Capacity=67.5</x:v>
      </x:c>
    </x:row>
    <x:row r="1392">
      <x:c r="A1392" t="n">
        <x:v>1389</x:v>
      </x:c>
      <x:c r="B1392" t="str">
        <x:v>PTN Akademik</x:v>
      </x:c>
      <x:c r="C1392" t="str">
        <x:v>INSTITUT PERTANIAN BOGOR</x:v>
      </x:c>
      <x:c r="D1392" t="str">
        <x:v>MANAJEMEN SUMBERDAYA LAHAN</x:v>
      </x:c>
      <x:c r="E1392" t="str">
        <x:v>Sarjana</x:v>
      </x:c>
      <x:c r="F1392" s="18" t="n">
        <x:v>27</x:v>
      </x:c>
      <x:c r="G1392" s="18" t="n">
        <x:v>291</x:v>
      </x:c>
      <x:c r="H1392" s="19" t="n">
        <x:v>10.777777777777779</x:v>
      </x:c>
      <x:c r="I1392" s="18" t="n">
        <x:f>ROUND(MIN(Model_Config_v3!$B$6,MAX(Q1392,R1392,S1392*Model_Config_v3!$B$4+T1392*Model_Config_v3!$B$5)),0)</x:f>
        <x:v>680</x:v>
      </x:c>
      <x:c r="J1392" s="18" t="n">
        <x:f>MIN(Model_Config_v3!$B$6,I1392+Model_Config_v3!$B$7)</x:f>
        <x:v>700</x:v>
      </x:c>
      <x:c r="K1392" s="20" t="n">
        <x:v>69.8</x:v>
      </x:c>
      <x:c r="L1392" t="str">
        <x:v>SANGAT KETAT</x:v>
      </x:c>
      <x:c r="M1392" t="str">
        <x:v>SEDANG+</x:v>
      </x:c>
      <x:c r="N1392" t="str">
        <x:v>ELITE-2</x:v>
      </x:c>
      <x:c r="O1392" t="str">
        <x:v>SOSHUM</x:v>
      </x:c>
      <x:c r="P1392" t="str">
        <x:v>BISNIS/EKONOMI/AKUNTANSI</x:v>
      </x:c>
      <x:c r="Q1392" s="18" t="n">
        <x:v>655</x:v>
      </x:c>
      <x:c r="R1392" s="18" t="n">
        <x:v>680</x:v>
      </x:c>
      <x:c r="S1392" s="18" t="n">
        <x:v>633.5782147309612</x:v>
      </x:c>
      <x:c r="T1392" s="18" t="n">
        <x:v>700</x:v>
      </x:c>
      <x:c r="U1392" s="18" t="n">
        <x:v>655</x:v>
      </x:c>
      <x:c r="V1392" s="20" t="n">
        <x:v>4.4</x:v>
      </x:c>
      <x:c r="W1392" s="20" t="n">
        <x:v>14.3</x:v>
      </x:c>
      <x:c r="X1392" s="20" t="n">
        <x:v>3.3</x:v>
      </x:c>
      <x:c r="Y1392" t="str">
        <x:v>Basis arsip 2025/2024</x:v>
      </x:c>
      <x:c r="Z1392" t="str">
        <x:v>https://snpmb.id/utbk-snbt/daya-tampung-snbt</x:v>
      </x:c>
      <x:c r="AA1392" t="str">
        <x:v>Tidak Ada</x:v>
      </x:c>
      <x:c r="AB1392" t="str">
        <x:v>Campus=90; Ratio=60.8; Prodi=65; RelDemand=24.0; Capacity=77.5</x:v>
      </x:c>
    </x:row>
    <x:row r="1393">
      <x:c r="A1393" t="n">
        <x:v>1390</x:v>
      </x:c>
      <x:c r="B1393" t="str">
        <x:v>PTN Akademik</x:v>
      </x:c>
      <x:c r="C1393" t="str">
        <x:v>INSTITUT PERTANIAN BOGOR</x:v>
      </x:c>
      <x:c r="D1393" t="str">
        <x:v>PROTEKSI TANAMAN</x:v>
      </x:c>
      <x:c r="E1393" t="str">
        <x:v>Sarjana</x:v>
      </x:c>
      <x:c r="F1393" s="18" t="n">
        <x:v>30</x:v>
      </x:c>
      <x:c r="G1393" s="18" t="n">
        <x:v>325</x:v>
      </x:c>
      <x:c r="H1393" s="19" t="n">
        <x:v>10.833333333333334</x:v>
      </x:c>
      <x:c r="I1393" s="18" t="n">
        <x:f>ROUND(MIN(Model_Config_v3!$B$6,MAX(Q1393,R1393,S1393*Model_Config_v3!$B$4+T1393*Model_Config_v3!$B$5)),0)</x:f>
        <x:v>672</x:v>
      </x:c>
      <x:c r="J1393" s="18" t="n">
        <x:f>MIN(Model_Config_v3!$B$6,I1393+Model_Config_v3!$B$7)</x:f>
        <x:v>692</x:v>
      </x:c>
      <x:c r="K1393" s="20" t="n">
        <x:v>64.6</x:v>
      </x:c>
      <x:c r="L1393" t="str">
        <x:v>KETAT</x:v>
      </x:c>
      <x:c r="M1393" t="str">
        <x:v>SEDANG+</x:v>
      </x:c>
      <x:c r="N1393" t="str">
        <x:v>ELITE-2</x:v>
      </x:c>
      <x:c r="O1393" t="str">
        <x:v>CAMPURAN</x:v>
      </x:c>
      <x:c r="P1393" t="str">
        <x:v>UMUM</x:v>
      </x:c>
      <x:c r="Q1393" s="18" t="n">
        <x:v>655</x:v>
      </x:c>
      <x:c r="R1393" s="18" t="n">
        <x:v>0</x:v>
      </x:c>
      <x:c r="S1393" s="18" t="n">
        <x:v>633.8238316885133</x:v>
      </x:c>
      <x:c r="T1393" s="18" t="n">
        <x:v>689</x:v>
      </x:c>
      <x:c r="U1393" s="18" t="n">
        <x:v>655</x:v>
      </x:c>
      <x:c r="V1393" s="20" t="n">
        <x:v>8.8</x:v>
      </x:c>
      <x:c r="W1393" s="20" t="n">
        <x:v>9.9</x:v>
      </x:c>
      <x:c r="X1393" s="20" t="n">
        <x:v>3.3</x:v>
      </x:c>
      <x:c r="Y1393" t="str">
        <x:v>Basis arsip 2025/2024</x:v>
      </x:c>
      <x:c r="Z1393" t="str">
        <x:v>https://snpmb.id/utbk-snbt/daya-tampung-snbt</x:v>
      </x:c>
      <x:c r="AA1393" t="str">
        <x:v>Tidak Ada</x:v>
      </x:c>
      <x:c r="AB1393" t="str">
        <x:v>Campus=90; Ratio=60.9; Prodi=40; RelDemand=24.2; Capacity=75.0</x:v>
      </x:c>
    </x:row>
    <x:row r="1394">
      <x:c r="A1394" t="n">
        <x:v>1391</x:v>
      </x:c>
      <x:c r="B1394" t="str">
        <x:v>PTN Akademik</x:v>
      </x:c>
      <x:c r="C1394" t="str">
        <x:v>INSTITUT PERTANIAN BOGOR</x:v>
      </x:c>
      <x:c r="D1394" t="str">
        <x:v>MANAJEMEN SUMBERDAYA PERAIRAN</x:v>
      </x:c>
      <x:c r="E1394" t="str">
        <x:v>Sarjana</x:v>
      </x:c>
      <x:c r="F1394" s="18" t="n">
        <x:v>30</x:v>
      </x:c>
      <x:c r="G1394" s="18" t="n">
        <x:v>275</x:v>
      </x:c>
      <x:c r="H1394" s="19" t="n">
        <x:v>9.166666666666666</x:v>
      </x:c>
      <x:c r="I1394" s="18" t="n">
        <x:f>ROUND(MIN(Model_Config_v3!$B$6,MAX(Q1394,R1394,S1394*Model_Config_v3!$B$4+T1394*Model_Config_v3!$B$5)),0)</x:f>
        <x:v>680</x:v>
      </x:c>
      <x:c r="J1394" s="18" t="n">
        <x:f>MIN(Model_Config_v3!$B$6,I1394+Model_Config_v3!$B$7)</x:f>
        <x:v>700</x:v>
      </x:c>
      <x:c r="K1394" s="20" t="n">
        <x:v>68.2</x:v>
      </x:c>
      <x:c r="L1394" t="str">
        <x:v>SANGAT KETAT</x:v>
      </x:c>
      <x:c r="M1394" t="str">
        <x:v>SEDANG+</x:v>
      </x:c>
      <x:c r="N1394" t="str">
        <x:v>ELITE-2</x:v>
      </x:c>
      <x:c r="O1394" t="str">
        <x:v>SOSHUM</x:v>
      </x:c>
      <x:c r="P1394" t="str">
        <x:v>BISNIS/EKONOMI/AKUNTANSI</x:v>
      </x:c>
      <x:c r="Q1394" s="18" t="n">
        <x:v>655</x:v>
      </x:c>
      <x:c r="R1394" s="18" t="n">
        <x:v>680</x:v>
      </x:c>
      <x:c r="S1394" s="18" t="n">
        <x:v>625.843258302166</x:v>
      </x:c>
      <x:c r="T1394" s="18" t="n">
        <x:v>696</x:v>
      </x:c>
      <x:c r="U1394" s="18" t="n">
        <x:v>655</x:v>
      </x:c>
      <x:c r="V1394" s="20" t="n">
        <x:v>4.4</x:v>
      </x:c>
      <x:c r="W1394" s="20" t="n">
        <x:v>14.3</x:v>
      </x:c>
      <x:c r="X1394" s="20" t="n">
        <x:v>3.3</x:v>
      </x:c>
      <x:c r="Y1394" t="str">
        <x:v>Basis arsip 2025/2024</x:v>
      </x:c>
      <x:c r="Z1394" t="str">
        <x:v>https://snpmb.id/utbk-snbt/daya-tampung-snbt</x:v>
      </x:c>
      <x:c r="AA1394" t="str">
        <x:v>Tidak Ada</x:v>
      </x:c>
      <x:c r="AB1394" t="str">
        <x:v>Campus=90; Ratio=56.6; Prodi=65; RelDemand=20.4; Capacity=75.0</x:v>
      </x:c>
    </x:row>
    <x:row r="1395">
      <x:c r="A1395" t="n">
        <x:v>1392</x:v>
      </x:c>
      <x:c r="B1395" t="str">
        <x:v>PTN Akademik</x:v>
      </x:c>
      <x:c r="C1395" t="str">
        <x:v>INSTITUT PERTANIAN BOGOR</x:v>
      </x:c>
      <x:c r="D1395" t="str">
        <x:v>TEKNOLOGI HASIL PERAIRAN</x:v>
      </x:c>
      <x:c r="E1395" t="str">
        <x:v>Sarjana</x:v>
      </x:c>
      <x:c r="F1395" s="18" t="n">
        <x:v>30</x:v>
      </x:c>
      <x:c r="G1395" s="18" t="n">
        <x:v>328</x:v>
      </x:c>
      <x:c r="H1395" s="19" t="n">
        <x:v>10.933333333333334</x:v>
      </x:c>
      <x:c r="I1395" s="18" t="n">
        <x:f>ROUND(MIN(Model_Config_v3!$B$6,MAX(Q1395,R1395,S1395*Model_Config_v3!$B$4+T1395*Model_Config_v3!$B$5)),0)</x:f>
        <x:v>673</x:v>
      </x:c>
      <x:c r="J1395" s="18" t="n">
        <x:f>MIN(Model_Config_v3!$B$6,I1395+Model_Config_v3!$B$7)</x:f>
        <x:v>693</x:v>
      </x:c>
      <x:c r="K1395" s="20" t="n">
        <x:v>64.7</x:v>
      </x:c>
      <x:c r="L1395" t="str">
        <x:v>KETAT</x:v>
      </x:c>
      <x:c r="M1395" t="str">
        <x:v>SEDANG+</x:v>
      </x:c>
      <x:c r="N1395" t="str">
        <x:v>ELITE-2</x:v>
      </x:c>
      <x:c r="O1395" t="str">
        <x:v>SAINTEK</x:v>
      </x:c>
      <x:c r="P1395" t="str">
        <x:v>UMUM</x:v>
      </x:c>
      <x:c r="Q1395" s="18" t="n">
        <x:v>655</x:v>
      </x:c>
      <x:c r="R1395" s="18" t="n">
        <x:v>0</x:v>
      </x:c>
      <x:c r="S1395" s="18" t="n">
        <x:v>634.2627847891218</x:v>
      </x:c>
      <x:c r="T1395" s="18" t="n">
        <x:v>689</x:v>
      </x:c>
      <x:c r="U1395" s="18" t="n">
        <x:v>655</x:v>
      </x:c>
      <x:c r="V1395" s="20" t="n">
        <x:v>12</x:v>
      </x:c>
      <x:c r="W1395" s="20" t="n">
        <x:v>5</x:v>
      </x:c>
      <x:c r="X1395" s="20" t="n">
        <x:v>3</x:v>
      </x:c>
      <x:c r="Y1395" t="str">
        <x:v>Basis arsip 2025/2024</x:v>
      </x:c>
      <x:c r="Z1395" t="str">
        <x:v>https://snpmb.id/utbk-snbt/daya-tampung-snbt</x:v>
      </x:c>
      <x:c r="AA1395" t="str">
        <x:v>Tidak Ada</x:v>
      </x:c>
      <x:c r="AB1395" t="str">
        <x:v>Campus=90; Ratio=61.1; Prodi=40; RelDemand=24.4; Capacity=75.0</x:v>
      </x:c>
    </x:row>
    <x:row r="1396">
      <x:c r="A1396" t="n">
        <x:v>1393</x:v>
      </x:c>
      <x:c r="B1396" t="str">
        <x:v>PTN Akademik</x:v>
      </x:c>
      <x:c r="C1396" t="str">
        <x:v>INSTITUT PERTANIAN BOGOR</x:v>
      </x:c>
      <x:c r="D1396" t="str">
        <x:v>TEKNOLOGI &amp; MANAJEMEN PERIKANAN TANGKAP</x:v>
      </x:c>
      <x:c r="E1396" t="str">
        <x:v>Sarjana</x:v>
      </x:c>
      <x:c r="F1396" s="18" t="n">
        <x:v>36</x:v>
      </x:c>
      <x:c r="G1396" s="18" t="n">
        <x:v>149</x:v>
      </x:c>
      <x:c r="H1396" s="19" t="n">
        <x:v>4.138888888888889</x:v>
      </x:c>
      <x:c r="I1396" s="18" t="n">
        <x:f>ROUND(MIN(Model_Config_v3!$B$6,MAX(Q1396,R1396,S1396*Model_Config_v3!$B$4+T1396*Model_Config_v3!$B$5)),0)</x:f>
        <x:v>680</x:v>
      </x:c>
      <x:c r="J1396" s="18" t="n">
        <x:f>MIN(Model_Config_v3!$B$6,I1396+Model_Config_v3!$B$7)</x:f>
        <x:v>700</x:v>
      </x:c>
      <x:c r="K1396" s="20" t="n">
        <x:v>61.5</x:v>
      </x:c>
      <x:c r="L1396" t="str">
        <x:v>KETAT</x:v>
      </x:c>
      <x:c r="M1396" t="str">
        <x:v>SEDANG+</x:v>
      </x:c>
      <x:c r="N1396" t="str">
        <x:v>ELITE-2</x:v>
      </x:c>
      <x:c r="O1396" t="str">
        <x:v>SAINTEK</x:v>
      </x:c>
      <x:c r="P1396" t="str">
        <x:v>BISNIS/EKONOMI/AKUNTANSI</x:v>
      </x:c>
      <x:c r="Q1396" s="18" t="n">
        <x:v>655</x:v>
      </x:c>
      <x:c r="R1396" s="18" t="n">
        <x:v>680</x:v>
      </x:c>
      <x:c r="S1396" s="18" t="n">
        <x:v>587.8572144409485</x:v>
      </x:c>
      <x:c r="T1396" s="18" t="n">
        <x:v>683</x:v>
      </x:c>
      <x:c r="U1396" s="18" t="n">
        <x:v>655</x:v>
      </x:c>
      <x:c r="V1396" s="20" t="n">
        <x:v>12</x:v>
      </x:c>
      <x:c r="W1396" s="20" t="n">
        <x:v>5</x:v>
      </x:c>
      <x:c r="X1396" s="20" t="n">
        <x:v>3</x:v>
      </x:c>
      <x:c r="Y1396" t="str">
        <x:v>Basis arsip 2025/2024</x:v>
      </x:c>
      <x:c r="Z1396" t="str">
        <x:v>https://snpmb.id/utbk-snbt/daya-tampung-snbt</x:v>
      </x:c>
      <x:c r="AA1396" t="str">
        <x:v>Tidak Ada</x:v>
      </x:c>
      <x:c r="AB1396" t="str">
        <x:v>Campus=90; Ratio=36.3; Prodi=65; RelDemand=9.2; Capacity=70.0</x:v>
      </x:c>
    </x:row>
    <x:row r="1397">
      <x:c r="A1397" t="n">
        <x:v>1394</x:v>
      </x:c>
      <x:c r="B1397" t="str">
        <x:v>PTN Akademik</x:v>
      </x:c>
      <x:c r="C1397" t="str">
        <x:v>INSTITUT PERTANIAN BOGOR</x:v>
      </x:c>
      <x:c r="D1397" t="str">
        <x:v>SILVIKULTUR</x:v>
      </x:c>
      <x:c r="E1397" t="str">
        <x:v>Sarjana</x:v>
      </x:c>
      <x:c r="F1397" s="18" t="n">
        <x:v>33</x:v>
      </x:c>
      <x:c r="G1397" s="18" t="n">
        <x:v>299</x:v>
      </x:c>
      <x:c r="H1397" s="19" t="n">
        <x:v>9.06060606060606</x:v>
      </x:c>
      <x:c r="I1397" s="18" t="n">
        <x:f>ROUND(MIN(Model_Config_v3!$B$6,MAX(Q1397,R1397,S1397*Model_Config_v3!$B$4+T1397*Model_Config_v3!$B$5)),0)</x:f>
        <x:v>668</x:v>
      </x:c>
      <x:c r="J1397" s="18" t="n">
        <x:f>MIN(Model_Config_v3!$B$6,I1397+Model_Config_v3!$B$7)</x:f>
        <x:v>688</x:v>
      </x:c>
      <x:c r="K1397" s="20" t="n">
        <x:v>62.9</x:v>
      </x:c>
      <x:c r="L1397" t="str">
        <x:v>KETAT</x:v>
      </x:c>
      <x:c r="M1397" t="str">
        <x:v>SEDANG+</x:v>
      </x:c>
      <x:c r="N1397" t="str">
        <x:v>ELITE-2</x:v>
      </x:c>
      <x:c r="O1397" t="str">
        <x:v>CAMPURAN</x:v>
      </x:c>
      <x:c r="P1397" t="str">
        <x:v>UMUM</x:v>
      </x:c>
      <x:c r="Q1397" s="18" t="n">
        <x:v>655</x:v>
      </x:c>
      <x:c r="R1397" s="18" t="n">
        <x:v>0</x:v>
      </x:c>
      <x:c r="S1397" s="18" t="n">
        <x:v>625.2872973291196</x:v>
      </x:c>
      <x:c r="T1397" s="18" t="n">
        <x:v>686</x:v>
      </x:c>
      <x:c r="U1397" s="18" t="n">
        <x:v>655</x:v>
      </x:c>
      <x:c r="V1397" s="20" t="n">
        <x:v>8.8</x:v>
      </x:c>
      <x:c r="W1397" s="20" t="n">
        <x:v>9.9</x:v>
      </x:c>
      <x:c r="X1397" s="20" t="n">
        <x:v>3.3</x:v>
      </x:c>
      <x:c r="Y1397" t="str">
        <x:v>Basis arsip 2025/2024</x:v>
      </x:c>
      <x:c r="Z1397" t="str">
        <x:v>https://snpmb.id/utbk-snbt/daya-tampung-snbt</x:v>
      </x:c>
      <x:c r="AA1397" t="str">
        <x:v>Tidak Ada</x:v>
      </x:c>
      <x:c r="AB1397" t="str">
        <x:v>Campus=90; Ratio=56.3; Prodi=40; RelDemand=20.2; Capacity=72.5</x:v>
      </x:c>
    </x:row>
    <x:row r="1398">
      <x:c r="A1398" t="n">
        <x:v>1395</x:v>
      </x:c>
      <x:c r="B1398" t="str">
        <x:v>PTN Akademik</x:v>
      </x:c>
      <x:c r="C1398" t="str">
        <x:v>INSTITUT PERTANIAN BOGOR</x:v>
      </x:c>
      <x:c r="D1398" t="str">
        <x:v>METEOROLOGI TERAPAN</x:v>
      </x:c>
      <x:c r="E1398" t="str">
        <x:v>Sarjana</x:v>
      </x:c>
      <x:c r="F1398" s="18" t="n">
        <x:v>30</x:v>
      </x:c>
      <x:c r="G1398" s="18" t="n">
        <x:v>364</x:v>
      </x:c>
      <x:c r="H1398" s="19" t="n">
        <x:v>12.133333333333333</x:v>
      </x:c>
      <x:c r="I1398" s="18" t="n">
        <x:f>ROUND(MIN(Model_Config_v3!$B$6,MAX(Q1398,R1398,S1398*Model_Config_v3!$B$4+T1398*Model_Config_v3!$B$5)),0)</x:f>
        <x:v>675</x:v>
      </x:c>
      <x:c r="J1398" s="18" t="n">
        <x:f>MIN(Model_Config_v3!$B$6,I1398+Model_Config_v3!$B$7)</x:f>
        <x:v>695</x:v>
      </x:c>
      <x:c r="K1398" s="20" t="n">
        <x:v>65.7</x:v>
      </x:c>
      <x:c r="L1398" t="str">
        <x:v>SANGAT KETAT</x:v>
      </x:c>
      <x:c r="M1398" t="str">
        <x:v>SEDANG+</x:v>
      </x:c>
      <x:c r="N1398" t="str">
        <x:v>ELITE-2</x:v>
      </x:c>
      <x:c r="O1398" t="str">
        <x:v>CAMPURAN</x:v>
      </x:c>
      <x:c r="P1398" t="str">
        <x:v>UMUM</x:v>
      </x:c>
      <x:c r="Q1398" s="18" t="n">
        <x:v>655</x:v>
      </x:c>
      <x:c r="R1398" s="18" t="n">
        <x:v>0</x:v>
      </x:c>
      <x:c r="S1398" s="18" t="n">
        <x:v>639.2378141822333</x:v>
      </x:c>
      <x:c r="T1398" s="18" t="n">
        <x:v>691</x:v>
      </x:c>
      <x:c r="U1398" s="18" t="n">
        <x:v>655</x:v>
      </x:c>
      <x:c r="V1398" s="20" t="n">
        <x:v>8.8</x:v>
      </x:c>
      <x:c r="W1398" s="20" t="n">
        <x:v>9.9</x:v>
      </x:c>
      <x:c r="X1398" s="20" t="n">
        <x:v>3.3</x:v>
      </x:c>
      <x:c r="Y1398" t="str">
        <x:v>Basis arsip 2025/2024</x:v>
      </x:c>
      <x:c r="Z1398" t="str">
        <x:v>https://snpmb.id/utbk-snbt/daya-tampung-snbt</x:v>
      </x:c>
      <x:c r="AA1398" t="str">
        <x:v>Tidak Ada</x:v>
      </x:c>
      <x:c r="AB1398" t="str">
        <x:v>Campus=90; Ratio=63.8; Prodi=40; RelDemand=27.1; Capacity=75.0</x:v>
      </x:c>
    </x:row>
    <x:row r="1399">
      <x:c r="A1399" t="n">
        <x:v>1396</x:v>
      </x:c>
      <x:c r="B1399" t="str">
        <x:v>PTN Akademik</x:v>
      </x:c>
      <x:c r="C1399" t="str">
        <x:v>INSTITUT PERTANIAN BOGOR</x:v>
      </x:c>
      <x:c r="D1399" t="str">
        <x:v>MATEMATIKA</x:v>
      </x:c>
      <x:c r="E1399" t="str">
        <x:v>Sarjana</x:v>
      </x:c>
      <x:c r="F1399" s="18" t="n">
        <x:v>30</x:v>
      </x:c>
      <x:c r="G1399" s="18" t="n">
        <x:v>300</x:v>
      </x:c>
      <x:c r="H1399" s="19" t="n">
        <x:v>10</x:v>
      </x:c>
      <x:c r="I1399" s="18" t="n">
        <x:f>ROUND(MIN(Model_Config_v3!$B$6,MAX(Q1399,R1399,S1399*Model_Config_v3!$B$4+T1399*Model_Config_v3!$B$5)),0)</x:f>
        <x:v>673</x:v>
      </x:c>
      <x:c r="J1399" s="18" t="n">
        <x:f>MIN(Model_Config_v3!$B$6,I1399+Model_Config_v3!$B$7)</x:f>
        <x:v>693</x:v>
      </x:c>
      <x:c r="K1399" s="20" t="n">
        <x:v>65.9</x:v>
      </x:c>
      <x:c r="L1399" t="str">
        <x:v>SANGAT KETAT</x:v>
      </x:c>
      <x:c r="M1399" t="str">
        <x:v>SEDANG+</x:v>
      </x:c>
      <x:c r="N1399" t="str">
        <x:v>ELITE-2</x:v>
      </x:c>
      <x:c r="O1399" t="str">
        <x:v>SAINTEK</x:v>
      </x:c>
      <x:c r="P1399" t="str">
        <x:v>SAINS DASAR</x:v>
      </x:c>
      <x:c r="Q1399" s="18" t="n">
        <x:v>655</x:v>
      </x:c>
      <x:c r="R1399" s="18" t="n">
        <x:v>0</x:v>
      </x:c>
      <x:c r="S1399" s="18" t="n">
        <x:v>630</x:v>
      </x:c>
      <x:c r="T1399" s="18" t="n">
        <x:v>692</x:v>
      </x:c>
      <x:c r="U1399" s="18" t="n">
        <x:v>655</x:v>
      </x:c>
      <x:c r="V1399" s="20" t="n">
        <x:v>12</x:v>
      </x:c>
      <x:c r="W1399" s="20" t="n">
        <x:v>5</x:v>
      </x:c>
      <x:c r="X1399" s="20" t="n">
        <x:v>3</x:v>
      </x:c>
      <x:c r="Y1399" t="str">
        <x:v>Basis arsip 2025/2024</x:v>
      </x:c>
      <x:c r="Z1399" t="str">
        <x:v>https://snpmb.id/utbk-snbt/daya-tampung-snbt</x:v>
      </x:c>
      <x:c r="AA1399" t="str">
        <x:v>Tidak Ada</x:v>
      </x:c>
      <x:c r="AB1399" t="str">
        <x:v>Campus=90; Ratio=58.9; Prodi=50; RelDemand=22.3; Capacity=75.0</x:v>
      </x:c>
    </x:row>
    <x:row r="1400">
      <x:c r="A1400" t="n">
        <x:v>1397</x:v>
      </x:c>
      <x:c r="B1400" t="str">
        <x:v>PTN Akademik</x:v>
      </x:c>
      <x:c r="C1400" t="str">
        <x:v>INSTITUT PERTANIAN BOGOR</x:v>
      </x:c>
      <x:c r="D1400" t="str">
        <x:v>FISIKA</x:v>
      </x:c>
      <x:c r="E1400" t="str">
        <x:v>Sarjana</x:v>
      </x:c>
      <x:c r="F1400" s="18" t="n">
        <x:v>36</x:v>
      </x:c>
      <x:c r="G1400" s="18" t="n">
        <x:v>153</x:v>
      </x:c>
      <x:c r="H1400" s="19" t="n">
        <x:v>4.25</x:v>
      </x:c>
      <x:c r="I1400" s="18" t="n">
        <x:f>ROUND(MIN(Model_Config_v3!$B$6,MAX(Q1400,R1400,S1400*Model_Config_v3!$B$4+T1400*Model_Config_v3!$B$5)),0)</x:f>
        <x:v>655</x:v>
      </x:c>
      <x:c r="J1400" s="18" t="n">
        <x:f>MIN(Model_Config_v3!$B$6,I1400+Model_Config_v3!$B$7)</x:f>
        <x:v>675</x:v>
      </x:c>
      <x:c r="K1400" s="20" t="n">
        <x:v>58.7</x:v>
      </x:c>
      <x:c r="L1400" t="str">
        <x:v>KETAT</x:v>
      </x:c>
      <x:c r="M1400" t="str">
        <x:v>SEDANG+</x:v>
      </x:c>
      <x:c r="N1400" t="str">
        <x:v>ELITE-2</x:v>
      </x:c>
      <x:c r="O1400" t="str">
        <x:v>SAINTEK</x:v>
      </x:c>
      <x:c r="P1400" t="str">
        <x:v>SAINS DASAR</x:v>
      </x:c>
      <x:c r="Q1400" s="18" t="n">
        <x:v>655</x:v>
      </x:c>
      <x:c r="R1400" s="18" t="n">
        <x:v>0</x:v>
      </x:c>
      <x:c r="S1400" s="18" t="n">
        <x:v>589.1227823055342</x:v>
      </x:c>
      <x:c r="T1400" s="18" t="n">
        <x:v>677</x:v>
      </x:c>
      <x:c r="U1400" s="18" t="n">
        <x:v>655</x:v>
      </x:c>
      <x:c r="V1400" s="20" t="n">
        <x:v>12</x:v>
      </x:c>
      <x:c r="W1400" s="20" t="n">
        <x:v>5</x:v>
      </x:c>
      <x:c r="X1400" s="20" t="n">
        <x:v>3</x:v>
      </x:c>
      <x:c r="Y1400" t="str">
        <x:v>Basis arsip 2025/2024</x:v>
      </x:c>
      <x:c r="Z1400" t="str">
        <x:v>https://snpmb.id/utbk-snbt/daya-tampung-snbt</x:v>
      </x:c>
      <x:c r="AA1400" t="str">
        <x:v>Tidak Ada</x:v>
      </x:c>
      <x:c r="AB1400" t="str">
        <x:v>Campus=90; Ratio=37.0; Prodi=50; RelDemand=9.5; Capacity=70.0</x:v>
      </x:c>
    </x:row>
    <x:row r="1401">
      <x:c r="A1401" t="n">
        <x:v>1398</x:v>
      </x:c>
      <x:c r="B1401" t="str">
        <x:v>PTN Akademik</x:v>
      </x:c>
      <x:c r="C1401" t="str">
        <x:v>INSTITUT PERTANIAN BOGOR</x:v>
      </x:c>
      <x:c r="D1401" t="str">
        <x:v>ILMU KELUARGA DAN KONSUMEN</x:v>
      </x:c>
      <x:c r="E1401" t="str">
        <x:v>Sarjana</x:v>
      </x:c>
      <x:c r="F1401" s="18" t="n">
        <x:v>36</x:v>
      </x:c>
      <x:c r="G1401" s="18" t="n">
        <x:v>637</x:v>
      </x:c>
      <x:c r="H1401" s="19" t="n">
        <x:v>17.694444444444443</x:v>
      </x:c>
      <x:c r="I1401" s="18" t="n">
        <x:f>ROUND(MIN(Model_Config_v3!$B$6,MAX(Q1401,R1401,S1401*Model_Config_v3!$B$4+T1401*Model_Config_v3!$B$5)),0)</x:f>
        <x:v>686</x:v>
      </x:c>
      <x:c r="J1401" s="18" t="n">
        <x:f>MIN(Model_Config_v3!$B$6,I1401+Model_Config_v3!$B$7)</x:f>
        <x:v>706</x:v>
      </x:c>
      <x:c r="K1401" s="20" t="n">
        <x:v>68.8</x:v>
      </x:c>
      <x:c r="L1401" t="str">
        <x:v>SANGAT KETAT</x:v>
      </x:c>
      <x:c r="M1401" t="str">
        <x:v>SEDANG+</x:v>
      </x:c>
      <x:c r="N1401" t="str">
        <x:v>ELITE-2</x:v>
      </x:c>
      <x:c r="O1401" t="str">
        <x:v>CAMPURAN</x:v>
      </x:c>
      <x:c r="P1401" t="str">
        <x:v>UMUM</x:v>
      </x:c>
      <x:c r="Q1401" s="18" t="n">
        <x:v>655</x:v>
      </x:c>
      <x:c r="R1401" s="18" t="n">
        <x:v>0</x:v>
      </x:c>
      <x:c r="S1401" s="18" t="n">
        <x:v>657.262062472487</x:v>
      </x:c>
      <x:c r="T1401" s="18" t="n">
        <x:v>698</x:v>
      </x:c>
      <x:c r="U1401" s="18" t="n">
        <x:v>657.262062472487</x:v>
      </x:c>
      <x:c r="V1401" s="20" t="n">
        <x:v>8.8</x:v>
      </x:c>
      <x:c r="W1401" s="20" t="n">
        <x:v>9.9</x:v>
      </x:c>
      <x:c r="X1401" s="20" t="n">
        <x:v>3.3</x:v>
      </x:c>
      <x:c r="Y1401" t="str">
        <x:v>Basis arsip 2025/2024</x:v>
      </x:c>
      <x:c r="Z1401" t="str">
        <x:v>https://snpmb.id/utbk-snbt/daya-tampung-snbt</x:v>
      </x:c>
      <x:c r="AA1401" t="str">
        <x:v>Tidak Ada</x:v>
      </x:c>
      <x:c r="AB1401" t="str">
        <x:v>Campus=90; Ratio=73.4; Prodi=40; RelDemand=39.5; Capacity=70.0</x:v>
      </x:c>
    </x:row>
    <x:row r="1402">
      <x:c r="A1402" t="n">
        <x:v>1399</x:v>
      </x:c>
      <x:c r="B1402" t="str">
        <x:v>PTN Akademik</x:v>
      </x:c>
      <x:c r="C1402" t="str">
        <x:v>INSTITUT PERTANIAN BOGOR</x:v>
      </x:c>
      <x:c r="D1402" t="str">
        <x:v>BISNIS</x:v>
      </x:c>
      <x:c r="E1402" t="str">
        <x:v>Sarjana</x:v>
      </x:c>
      <x:c r="F1402" s="18" t="n">
        <x:v>69</x:v>
      </x:c>
      <x:c r="G1402" s="18" t="n">
        <x:v>1735</x:v>
      </x:c>
      <x:c r="H1402" s="19" t="n">
        <x:v>25.144927536231883</x:v>
      </x:c>
      <x:c r="I1402" s="18" t="n">
        <x:f>ROUND(MIN(Model_Config_v3!$B$6,MAX(Q1402,R1402,S1402*Model_Config_v3!$B$4+T1402*Model_Config_v3!$B$5)),0)</x:f>
        <x:v>699</x:v>
      </x:c>
      <x:c r="J1402" s="18" t="n">
        <x:f>MIN(Model_Config_v3!$B$6,I1402+Model_Config_v3!$B$7)</x:f>
        <x:v>719</x:v>
      </x:c>
      <x:c r="K1402" s="20" t="n">
        <x:v>75</x:v>
      </x:c>
      <x:c r="L1402" t="str">
        <x:v>ELITE</x:v>
      </x:c>
      <x:c r="M1402" t="str">
        <x:v>SEDANG+</x:v>
      </x:c>
      <x:c r="N1402" t="str">
        <x:v>ELITE-2</x:v>
      </x:c>
      <x:c r="O1402" t="str">
        <x:v>SOSHUM</x:v>
      </x:c>
      <x:c r="P1402" t="str">
        <x:v>BISNIS/EKONOMI/AKUNTANSI</x:v>
      </x:c>
      <x:c r="Q1402" s="18" t="n">
        <x:v>655</x:v>
      </x:c>
      <x:c r="R1402" s="18" t="n">
        <x:v>680</x:v>
      </x:c>
      <x:c r="S1402" s="18" t="n">
        <x:v>674.0495427228601</x:v>
      </x:c>
      <x:c r="T1402" s="18" t="n">
        <x:v>710</x:v>
      </x:c>
      <x:c r="U1402" s="18" t="n">
        <x:v>689.0495427228601</x:v>
      </x:c>
      <x:c r="V1402" s="20" t="n">
        <x:v>4.4</x:v>
      </x:c>
      <x:c r="W1402" s="20" t="n">
        <x:v>14.3</x:v>
      </x:c>
      <x:c r="X1402" s="20" t="n">
        <x:v>3.3</x:v>
      </x:c>
      <x:c r="Y1402" t="str">
        <x:v>Basis arsip 2025/2024</x:v>
      </x:c>
      <x:c r="Z1402" t="str">
        <x:v>https://snpmb.id/utbk-snbt/daya-tampung-snbt</x:v>
      </x:c>
      <x:c r="AA1402" t="str">
        <x:v>Tidak Ada</x:v>
      </x:c>
      <x:c r="AB1402" t="str">
        <x:v>Campus=90; Ratio=82.4; Prodi=65; RelDemand=56.1; Capacity=42.5</x:v>
      </x:c>
    </x:row>
    <x:row r="1403">
      <x:c r="A1403" t="n">
        <x:v>1400</x:v>
      </x:c>
      <x:c r="B1403" t="str">
        <x:v>PTN Akademik</x:v>
      </x:c>
      <x:c r="C1403" t="str">
        <x:v>INSTITUT PERTANIAN BOGOR</x:v>
      </x:c>
      <x:c r="D1403" t="str">
        <x:v>TEKNOLOGI HASIL TERNAK</x:v>
      </x:c>
      <x:c r="E1403" t="str">
        <x:v>Sarjana</x:v>
      </x:c>
      <x:c r="F1403" s="18" t="n">
        <x:v>30</x:v>
      </x:c>
      <x:c r="G1403" s="18" t="n">
        <x:v>354</x:v>
      </x:c>
      <x:c r="H1403" s="19" t="n">
        <x:v>11.8</x:v>
      </x:c>
      <x:c r="I1403" s="18" t="n">
        <x:f>ROUND(MIN(Model_Config_v3!$B$6,MAX(Q1403,R1403,S1403*Model_Config_v3!$B$4+T1403*Model_Config_v3!$B$5)),0)</x:f>
        <x:v>675</x:v>
      </x:c>
      <x:c r="J1403" s="18" t="n">
        <x:f>MIN(Model_Config_v3!$B$6,I1403+Model_Config_v3!$B$7)</x:f>
        <x:v>695</x:v>
      </x:c>
      <x:c r="K1403" s="20" t="n">
        <x:v>65.4</x:v>
      </x:c>
      <x:c r="L1403" t="str">
        <x:v>SANGAT KETAT</x:v>
      </x:c>
      <x:c r="M1403" t="str">
        <x:v>SEDANG+</x:v>
      </x:c>
      <x:c r="N1403" t="str">
        <x:v>ELITE-2</x:v>
      </x:c>
      <x:c r="O1403" t="str">
        <x:v>SAINTEK</x:v>
      </x:c>
      <x:c r="P1403" t="str">
        <x:v>UMUM</x:v>
      </x:c>
      <x:c r="Q1403" s="18" t="n">
        <x:v>655</x:v>
      </x:c>
      <x:c r="R1403" s="18" t="n">
        <x:v>0</x:v>
      </x:c>
      <x:c r="S1403" s="18" t="n">
        <x:v>637.9070208036737</x:v>
      </x:c>
      <x:c r="T1403" s="18" t="n">
        <x:v>691</x:v>
      </x:c>
      <x:c r="U1403" s="18" t="n">
        <x:v>655</x:v>
      </x:c>
      <x:c r="V1403" s="20" t="n">
        <x:v>12</x:v>
      </x:c>
      <x:c r="W1403" s="20" t="n">
        <x:v>5</x:v>
      </x:c>
      <x:c r="X1403" s="20" t="n">
        <x:v>3</x:v>
      </x:c>
      <x:c r="Y1403" t="str">
        <x:v>Basis arsip 2025/2024</x:v>
      </x:c>
      <x:c r="Z1403" t="str">
        <x:v>https://snpmb.id/utbk-snbt/daya-tampung-snbt</x:v>
      </x:c>
      <x:c r="AA1403" t="str">
        <x:v>Tidak Ada</x:v>
      </x:c>
      <x:c r="AB1403" t="str">
        <x:v>Campus=90; Ratio=63.1; Prodi=40; RelDemand=26.3; Capacity=75.0</x:v>
      </x:c>
    </x:row>
    <x:row r="1404">
      <x:c r="A1404" t="n">
        <x:v>1401</x:v>
      </x:c>
      <x:c r="B1404" t="str">
        <x:v>PTN Akademik</x:v>
      </x:c>
      <x:c r="C1404" t="str">
        <x:v>INSTITUT PERTANIAN BOGOR</x:v>
      </x:c>
      <x:c r="D1404" t="str">
        <x:v>AKTUARIA</x:v>
      </x:c>
      <x:c r="E1404" t="str">
        <x:v>Sarjana</x:v>
      </x:c>
      <x:c r="F1404" s="18" t="n">
        <x:v>24</x:v>
      </x:c>
      <x:c r="G1404" s="18" t="n">
        <x:v>544</x:v>
      </x:c>
      <x:c r="H1404" s="19" t="n">
        <x:v>22.666666666666668</x:v>
      </x:c>
      <x:c r="I1404" s="18" t="n">
        <x:f>ROUND(MIN(Model_Config_v3!$B$6,MAX(Q1404,R1404,S1404*Model_Config_v3!$B$4+T1404*Model_Config_v3!$B$5)),0)</x:f>
        <x:v>700</x:v>
      </x:c>
      <x:c r="J1404" s="18" t="n">
        <x:f>MIN(Model_Config_v3!$B$6,I1404+Model_Config_v3!$B$7)</x:f>
        <x:v>720</x:v>
      </x:c>
      <x:c r="K1404" s="20" t="n">
        <x:v>76.5</x:v>
      </x:c>
      <x:c r="L1404" t="str">
        <x:v>ELITE</x:v>
      </x:c>
      <x:c r="M1404" t="str">
        <x:v>SEDANG+</x:v>
      </x:c>
      <x:c r="N1404" t="str">
        <x:v>ELITE-2</x:v>
      </x:c>
      <x:c r="O1404" t="str">
        <x:v>SAINTEK</x:v>
      </x:c>
      <x:c r="P1404" t="str">
        <x:v>TEKNIK/ARSITEKTUR/STATISTIKA/AKTUARIA</x:v>
      </x:c>
      <x:c r="Q1404" s="18" t="n">
        <x:v>655</x:v>
      </x:c>
      <x:c r="R1404" s="18" t="n">
        <x:v>670</x:v>
      </x:c>
      <x:c r="S1404" s="18" t="n">
        <x:v>669.0926423785231</x:v>
      </x:c>
      <x:c r="T1404" s="18" t="n">
        <x:v>713</x:v>
      </x:c>
      <x:c r="U1404" s="18" t="n">
        <x:v>679.0926423785231</x:v>
      </x:c>
      <x:c r="V1404" s="20" t="n">
        <x:v>12</x:v>
      </x:c>
      <x:c r="W1404" s="20" t="n">
        <x:v>5</x:v>
      </x:c>
      <x:c r="X1404" s="20" t="n">
        <x:v>3</x:v>
      </x:c>
      <x:c r="Y1404" t="str">
        <x:v>Basis arsip 2025/2024</x:v>
      </x:c>
      <x:c r="Z1404" t="str">
        <x:v>https://snpmb.id/utbk-snbt/daya-tampung-snbt</x:v>
      </x:c>
      <x:c r="AA1404" t="str">
        <x:v>Tidak Ada</x:v>
      </x:c>
      <x:c r="AB1404" t="str">
        <x:v>Campus=90; Ratio=79.8; Prodi=60; RelDemand=50.5; Capacity=80.0</x:v>
      </x:c>
    </x:row>
    <x:row r="1405">
      <x:c r="A1405" t="n">
        <x:v>1402</x:v>
      </x:c>
      <x:c r="B1405" t="str">
        <x:v>PTN Akademik</x:v>
      </x:c>
      <x:c r="C1405" t="str">
        <x:v>INSTITUT PERTANIAN BOGOR</x:v>
      </x:c>
      <x:c r="D1405" t="str">
        <x:v>KEDOKTERAN</x:v>
      </x:c>
      <x:c r="E1405" t="str">
        <x:v>Sarjana</x:v>
      </x:c>
      <x:c r="F1405" s="18" t="n">
        <x:v>15</x:v>
      </x:c>
      <x:c r="G1405" s="18" t="n">
        <x:v>1124</x:v>
      </x:c>
      <x:c r="H1405" s="19" t="n">
        <x:v>74.93333333333334</x:v>
      </x:c>
      <x:c r="I1405" s="18" t="n">
        <x:f>ROUND(MIN(Model_Config_v3!$B$6,MAX(Q1405,R1405,S1405*Model_Config_v3!$B$4+T1405*Model_Config_v3!$B$5)),0)</x:f>
        <x:v>743</x:v>
      </x:c>
      <x:c r="J1405" s="18" t="n">
        <x:f>MIN(Model_Config_v3!$B$6,I1405+Model_Config_v3!$B$7)</x:f>
        <x:v>763</x:v>
      </x:c>
      <x:c r="K1405" s="20" t="n">
        <x:v>95.2</x:v>
      </x:c>
      <x:c r="L1405" t="str">
        <x:v>ULTRA ELITE</x:v>
      </x:c>
      <x:c r="M1405" t="str">
        <x:v>SEDANG+</x:v>
      </x:c>
      <x:c r="N1405" t="str">
        <x:v>ELITE-2</x:v>
      </x:c>
      <x:c r="O1405" t="str">
        <x:v>SAINTEK</x:v>
      </x:c>
      <x:c r="P1405" t="str">
        <x:v>KEDOKTERAN</x:v>
      </x:c>
      <x:c r="Q1405" s="18" t="n">
        <x:v>655</x:v>
      </x:c>
      <x:c r="R1405" s="18" t="n">
        <x:v>725</x:v>
      </x:c>
      <x:c r="S1405" s="18" t="n">
        <x:v>726.2142557395097</x:v>
      </x:c>
      <x:c r="T1405" s="18" t="n">
        <x:v>750</x:v>
      </x:c>
      <x:c r="U1405" s="18" t="n">
        <x:v>766.2142557395097</x:v>
      </x:c>
      <x:c r="V1405" s="20" t="n">
        <x:v>12</x:v>
      </x:c>
      <x:c r="W1405" s="20" t="n">
        <x:v>5</x:v>
      </x:c>
      <x:c r="X1405" s="20" t="n">
        <x:v>3</x:v>
      </x:c>
      <x:c r="Y1405" t="str">
        <x:v>Basis arsip 2025/2024</x:v>
      </x:c>
      <x:c r="Z1405" t="str">
        <x:v>https://snpmb.id/utbk-snbt/daya-tampung-snbt</x:v>
      </x:c>
      <x:c r="AA1405" t="str">
        <x:v>Tidak Ada</x:v>
      </x:c>
      <x:c r="AB1405" t="str">
        <x:v>Campus=90; Ratio=100.0; Prodi=100; RelDemand=100.0; Capacity=87.5</x:v>
      </x:c>
    </x:row>
    <x:row r="1406">
      <x:c r="A1406" t="n">
        <x:v>1403</x:v>
      </x:c>
      <x:c r="B1406" t="str">
        <x:v>PTN Akademik</x:v>
      </x:c>
      <x:c r="C1406" t="str">
        <x:v>INSTITUT PERTANIAN BOGOR</x:v>
      </x:c>
      <x:c r="D1406" t="str">
        <x:v>SAINS BIOMEDIS</x:v>
      </x:c>
      <x:c r="E1406" t="str">
        <x:v>Sarjana</x:v>
      </x:c>
      <x:c r="F1406" s="18" t="n">
        <x:v>15</x:v>
      </x:c>
      <x:c r="G1406" s="18" t="n">
        <x:v>367</x:v>
      </x:c>
      <x:c r="H1406" s="19" t="n">
        <x:v>24.466666666666665</x:v>
      </x:c>
      <x:c r="I1406" s="18" t="n">
        <x:f>ROUND(MIN(Model_Config_v3!$B$6,MAX(Q1406,R1406,S1406*Model_Config_v3!$B$4+T1406*Model_Config_v3!$B$5)),0)</x:f>
        <x:v>697</x:v>
      </x:c>
      <x:c r="J1406" s="18" t="n">
        <x:f>MIN(Model_Config_v3!$B$6,I1406+Model_Config_v3!$B$7)</x:f>
        <x:v>717</x:v>
      </x:c>
      <x:c r="K1406" s="20" t="n">
        <x:v>74.1</x:v>
      </x:c>
      <x:c r="L1406" t="str">
        <x:v>SANGAT KETAT</x:v>
      </x:c>
      <x:c r="M1406" t="str">
        <x:v>SEDANG+</x:v>
      </x:c>
      <x:c r="N1406" t="str">
        <x:v>ELITE-2</x:v>
      </x:c>
      <x:c r="O1406" t="str">
        <x:v>CAMPURAN</x:v>
      </x:c>
      <x:c r="P1406" t="str">
        <x:v>UMUM</x:v>
      </x:c>
      <x:c r="Q1406" s="18" t="n">
        <x:v>655</x:v>
      </x:c>
      <x:c r="R1406" s="18" t="n">
        <x:v>0</x:v>
      </x:c>
      <x:c r="S1406" s="18" t="n">
        <x:v>672.7432285716048</x:v>
      </x:c>
      <x:c r="T1406" s="18" t="n">
        <x:v>708</x:v>
      </x:c>
      <x:c r="U1406" s="18" t="n">
        <x:v>672.7432285716048</x:v>
      </x:c>
      <x:c r="V1406" s="20" t="n">
        <x:v>8.8</x:v>
      </x:c>
      <x:c r="W1406" s="20" t="n">
        <x:v>9.9</x:v>
      </x:c>
      <x:c r="X1406" s="20" t="n">
        <x:v>3.3</x:v>
      </x:c>
      <x:c r="Y1406" t="str">
        <x:v>Basis arsip 2025/2024</x:v>
      </x:c>
      <x:c r="Z1406" t="str">
        <x:v>https://snpmb.id/utbk-snbt/daya-tampung-snbt</x:v>
      </x:c>
      <x:c r="AA1406" t="str">
        <x:v>Tidak Ada</x:v>
      </x:c>
      <x:c r="AB1406" t="str">
        <x:v>Campus=90; Ratio=81.7; Prodi=40; RelDemand=54.6; Capacity=87.5</x:v>
      </x:c>
    </x:row>
    <x:row r="1407">
      <x:c r="A1407" t="n">
        <x:v>1404</x:v>
      </x:c>
      <x:c r="B1407" t="str">
        <x:v>PTN Akademik</x:v>
      </x:c>
      <x:c r="C1407" t="str">
        <x:v>INSTITUT PERTANIAN BOGOR</x:v>
      </x:c>
      <x:c r="D1407" t="str">
        <x:v>SMART AGRICULTURE</x:v>
      </x:c>
      <x:c r="E1407" t="str">
        <x:v>Sarjana</x:v>
      </x:c>
      <x:c r="F1407" s="18" t="n">
        <x:v>12</x:v>
      </x:c>
      <x:c r="G1407" s="18" t="n">
        <x:v>98</x:v>
      </x:c>
      <x:c r="H1407" s="19" t="n">
        <x:v>8.166666666666666</x:v>
      </x:c>
      <x:c r="I1407" s="18" t="n">
        <x:f>ROUND(MIN(Model_Config_v3!$B$6,MAX(Q1407,R1407,S1407*Model_Config_v3!$B$4+T1407*Model_Config_v3!$B$5)),0)</x:f>
        <x:v>667</x:v>
      </x:c>
      <x:c r="J1407" s="18" t="n">
        <x:f>MIN(Model_Config_v3!$B$6,I1407+Model_Config_v3!$B$7)</x:f>
        <x:v>687</x:v>
      </x:c>
      <x:c r="K1407" s="20" t="n">
        <x:v>63.7</x:v>
      </x:c>
      <x:c r="L1407" t="str">
        <x:v>KETAT</x:v>
      </x:c>
      <x:c r="M1407" t="str">
        <x:v>SEDANG+</x:v>
      </x:c>
      <x:c r="N1407" t="str">
        <x:v>ELITE-2</x:v>
      </x:c>
      <x:c r="O1407" t="str">
        <x:v>CAMPURAN</x:v>
      </x:c>
      <x:c r="P1407" t="str">
        <x:v>UMUM</x:v>
      </x:c>
      <x:c r="Q1407" s="18" t="n">
        <x:v>655</x:v>
      </x:c>
      <x:c r="R1407" s="18" t="n">
        <x:v>0</x:v>
      </x:c>
      <x:c r="S1407" s="18" t="n">
        <x:v>620.3249312609357</x:v>
      </x:c>
      <x:c r="T1407" s="18" t="n">
        <x:v>687</x:v>
      </x:c>
      <x:c r="U1407" s="18" t="n">
        <x:v>655</x:v>
      </x:c>
      <x:c r="V1407" s="20" t="n">
        <x:v>8.8</x:v>
      </x:c>
      <x:c r="W1407" s="20" t="n">
        <x:v>9.9</x:v>
      </x:c>
      <x:c r="X1407" s="20" t="n">
        <x:v>3.3</x:v>
      </x:c>
      <x:c r="Y1407" t="str">
        <x:v>Basis arsip 2025/2024</x:v>
      </x:c>
      <x:c r="Z1407" t="str">
        <x:v>https://snpmb.id/utbk-snbt/daya-tampung-snbt</x:v>
      </x:c>
      <x:c r="AA1407" t="str">
        <x:v>Tidak Ada</x:v>
      </x:c>
      <x:c r="AB1407" t="str">
        <x:v>Campus=90; Ratio=53.7; Prodi=40; RelDemand=18.2; Capacity=90.0</x:v>
      </x:c>
    </x:row>
    <x:row r="1408">
      <x:c r="A1408" t="n">
        <x:v>1405</x:v>
      </x:c>
      <x:c r="B1408" t="str">
        <x:v>PTN Akademik</x:v>
      </x:c>
      <x:c r="C1408" t="str">
        <x:v>INSTITUT PERTANIAN BOGOR</x:v>
      </x:c>
      <x:c r="D1408" t="str">
        <x:v>BIOINFORMATIKA</x:v>
      </x:c>
      <x:c r="E1408" t="str">
        <x:v>Sarjana</x:v>
      </x:c>
      <x:c r="F1408" s="18" t="n">
        <x:v>15</x:v>
      </x:c>
      <x:c r="G1408" s="18" t="n">
        <x:v>170</x:v>
      </x:c>
      <x:c r="H1408" s="19" t="n">
        <x:v>11.333333333333334</x:v>
      </x:c>
      <x:c r="I1408" s="18" t="n">
        <x:f>ROUND(MIN(Model_Config_v3!$B$6,MAX(Q1408,R1408,S1408*Model_Config_v3!$B$4+T1408*Model_Config_v3!$B$5)),0)</x:f>
        <x:v>695</x:v>
      </x:c>
      <x:c r="J1408" s="18" t="n">
        <x:f>MIN(Model_Config_v3!$B$6,I1408+Model_Config_v3!$B$7)</x:f>
        <x:v>715</x:v>
      </x:c>
      <x:c r="K1408" s="20" t="n">
        <x:v>75.3</x:v>
      </x:c>
      <x:c r="L1408" t="str">
        <x:v>ELITE</x:v>
      </x:c>
      <x:c r="M1408" t="str">
        <x:v>SEDANG+</x:v>
      </x:c>
      <x:c r="N1408" t="str">
        <x:v>ELITE-2</x:v>
      </x:c>
      <x:c r="O1408" t="str">
        <x:v>SAINTEK</x:v>
      </x:c>
      <x:c r="P1408" t="str">
        <x:v>KOMPUTER/INFORMATIKA</x:v>
      </x:c>
      <x:c r="Q1408" s="18" t="n">
        <x:v>655</x:v>
      </x:c>
      <x:c r="R1408" s="18" t="n">
        <x:v>695</x:v>
      </x:c>
      <x:c r="S1408" s="18" t="n">
        <x:v>635.9793428554851</x:v>
      </x:c>
      <x:c r="T1408" s="18" t="n">
        <x:v>711</x:v>
      </x:c>
      <x:c r="U1408" s="18" t="n">
        <x:v>695</x:v>
      </x:c>
      <x:c r="V1408" s="20" t="n">
        <x:v>12</x:v>
      </x:c>
      <x:c r="W1408" s="20" t="n">
        <x:v>5</x:v>
      </x:c>
      <x:c r="X1408" s="20" t="n">
        <x:v>3</x:v>
      </x:c>
      <x:c r="Y1408" t="str">
        <x:v>Basis arsip 2025/2024</x:v>
      </x:c>
      <x:c r="Z1408" t="str">
        <x:v>https://snpmb.id/utbk-snbt/daya-tampung-snbt</x:v>
      </x:c>
      <x:c r="AA1408" t="str">
        <x:v>Tidak Ada</x:v>
      </x:c>
      <x:c r="AB1408" t="str">
        <x:v>Campus=90; Ratio=62.1; Prodi=85; RelDemand=25.3; Capacity=87.5</x:v>
      </x:c>
    </x:row>
    <x:row r="1409">
      <x:c r="A1409" t="n">
        <x:v>1406</x:v>
      </x:c>
      <x:c r="B1409" t="str">
        <x:v>PTN Akademik</x:v>
      </x:c>
      <x:c r="C1409" t="str">
        <x:v>INSTITUT PERTANIAN BOGOR</x:v>
      </x:c>
      <x:c r="D1409" t="str">
        <x:v>KECERDASAN BUATAN</x:v>
      </x:c>
      <x:c r="E1409" t="str">
        <x:v>Sarjana</x:v>
      </x:c>
      <x:c r="F1409" s="18" t="n">
        <x:v>21</x:v>
      </x:c>
      <x:c r="G1409" s="18"/>
      <x:c r="H1409" s="19" t="n">
        <x:v>0</x:v>
      </x:c>
      <x:c r="I1409" s="18" t="n">
        <x:f>ROUND(MIN(Model_Config_v3!$B$6,MAX(Q1409,R1409,S1409*Model_Config_v3!$B$4+T1409*Model_Config_v3!$B$5)),0)</x:f>
        <x:v>655</x:v>
      </x:c>
      <x:c r="J1409" s="18" t="n">
        <x:f>MIN(Model_Config_v3!$B$6,I1409+Model_Config_v3!$B$7)</x:f>
        <x:v>675</x:v>
      </x:c>
      <x:c r="K1409" s="20" t="n">
        <x:v>47.8</x:v>
      </x:c>
      <x:c r="L1409" t="str">
        <x:v>MENENGAH</x:v>
      </x:c>
      <x:c r="M1409" t="str">
        <x:v>RENDAH</x:v>
      </x:c>
      <x:c r="N1409" t="str">
        <x:v>ELITE-2</x:v>
      </x:c>
      <x:c r="O1409" t="str">
        <x:v>CAMPURAN</x:v>
      </x:c>
      <x:c r="P1409" t="str">
        <x:v>UMUM</x:v>
      </x:c>
      <x:c r="Q1409" s="18" t="n">
        <x:v>655</x:v>
      </x:c>
      <x:c r="R1409" s="18" t="n">
        <x:v>0</x:v>
      </x:c>
      <x:c r="S1409" s="18" t="n">
        <x:v>520</x:v>
      </x:c>
      <x:c r="T1409" s="18" t="n">
        <x:v>656</x:v>
      </x:c>
      <x:c r="U1409" s="18" t="n">
        <x:v>655</x:v>
      </x:c>
      <x:c r="V1409" s="20" t="n">
        <x:v>8.8</x:v>
      </x:c>
      <x:c r="W1409" s="20" t="n">
        <x:v>9.9</x:v>
      </x:c>
      <x:c r="X1409" s="20" t="n">
        <x:v>3.3</x:v>
      </x:c>
      <x:c r="Y1409" t="str">
        <x:v>Basis arsip 2025/2024</x:v>
      </x:c>
      <x:c r="Z1409" t="str">
        <x:v>https://snpmb.id/utbk-snbt/daya-tampung-snbt</x:v>
      </x:c>
      <x:c r="AA1409" t="str">
        <x:v>Tidak Ada</x:v>
      </x:c>
      <x:c r="AB1409" t="str">
        <x:v>Campus=90; Ratio=0.0; Prodi=40; RelDemand=0.0; Capacity=82.5</x:v>
      </x:c>
    </x:row>
    <x:row r="1410">
      <x:c r="A1410" t="n">
        <x:v>1407</x:v>
      </x:c>
      <x:c r="B1410" t="str">
        <x:v>PTN Akademik</x:v>
      </x:c>
      <x:c r="C1410" t="str">
        <x:v>INSTITUT PERTANIAN BOGOR</x:v>
      </x:c>
      <x:c r="D1410" t="str">
        <x:v>KOMUNIKASI DIGITAL DAN MEDIA</x:v>
      </x:c>
      <x:c r="E1410" t="str">
        <x:v>Sarjana Terapan</x:v>
      </x:c>
      <x:c r="F1410" s="18" t="n">
        <x:v>84</x:v>
      </x:c>
      <x:c r="G1410" s="18" t="n">
        <x:v>3988</x:v>
      </x:c>
      <x:c r="H1410" s="19" t="n">
        <x:v>47.476190476190474</x:v>
      </x:c>
      <x:c r="I1410" s="18" t="n">
        <x:f>ROUND(MIN(Model_Config_v3!$B$6,MAX(Q1410,R1410,S1410*Model_Config_v3!$B$4+T1410*Model_Config_v3!$B$5)),0)</x:f>
        <x:v>711</x:v>
      </x:c>
      <x:c r="J1410" s="18" t="n">
        <x:f>MIN(Model_Config_v3!$B$6,I1410+Model_Config_v3!$B$7)</x:f>
        <x:v>731</x:v>
      </x:c>
      <x:c r="K1410" s="20" t="n">
        <x:v>77.2</x:v>
      </x:c>
      <x:c r="L1410" t="str">
        <x:v>ELITE</x:v>
      </x:c>
      <x:c r="M1410" t="str">
        <x:v>SEDANG+</x:v>
      </x:c>
      <x:c r="N1410" t="str">
        <x:v>ELITE-2</x:v>
      </x:c>
      <x:c r="O1410" t="str">
        <x:v>SOSHUM</x:v>
      </x:c>
      <x:c r="P1410" t="str">
        <x:v>UMUM</x:v>
      </x:c>
      <x:c r="Q1410" s="18" t="n">
        <x:v>655</x:v>
      </x:c>
      <x:c r="R1410" s="18" t="n">
        <x:v>0</x:v>
      </x:c>
      <x:c r="S1410" s="18" t="n">
        <x:v>704.412344993551</x:v>
      </x:c>
      <x:c r="T1410" s="18" t="n">
        <x:v>714</x:v>
      </x:c>
      <x:c r="U1410" s="18" t="n">
        <x:v>704.412344993551</x:v>
      </x:c>
      <x:c r="V1410" s="20" t="n">
        <x:v>4.4</x:v>
      </x:c>
      <x:c r="W1410" s="20" t="n">
        <x:v>14.3</x:v>
      </x:c>
      <x:c r="X1410" s="20" t="n">
        <x:v>3.3</x:v>
      </x:c>
      <x:c r="Y1410" t="str">
        <x:v>Basis arsip 2025/2024</x:v>
      </x:c>
      <x:c r="Z1410" t="str">
        <x:v>https://snpmb.id/utbk-snbt/daya-tampung-snbt</x:v>
      </x:c>
      <x:c r="AA1410" t="str">
        <x:v>Tidak Ada</x:v>
      </x:c>
      <x:c r="AB1410" t="str">
        <x:v>Campus=90; Ratio=98.7; Prodi=40; RelDemand=100.0; Capacity=30.0</x:v>
      </x:c>
    </x:row>
    <x:row r="1411">
      <x:c r="A1411" t="n">
        <x:v>1408</x:v>
      </x:c>
      <x:c r="B1411" t="str">
        <x:v>PTN Akademik</x:v>
      </x:c>
      <x:c r="C1411" t="str">
        <x:v>INSTITUT PERTANIAN BOGOR</x:v>
      </x:c>
      <x:c r="D1411" t="str">
        <x:v>KOMUNIKASI DIGITAL DAN MEDIA (KAMPUS SUKABUMI)</x:v>
      </x:c>
      <x:c r="E1411" t="str">
        <x:v>Sarjana Terapan</x:v>
      </x:c>
      <x:c r="F1411" s="18" t="n">
        <x:v>36</x:v>
      </x:c>
      <x:c r="G1411" s="18" t="n">
        <x:v>613</x:v>
      </x:c>
      <x:c r="H1411" s="19" t="n">
        <x:v>17.02777777777778</x:v>
      </x:c>
      <x:c r="I1411" s="18" t="n">
        <x:f>ROUND(MIN(Model_Config_v3!$B$6,MAX(Q1411,R1411,S1411*Model_Config_v3!$B$4+T1411*Model_Config_v3!$B$5)),0)</x:f>
        <x:v>685</x:v>
      </x:c>
      <x:c r="J1411" s="18" t="n">
        <x:f>MIN(Model_Config_v3!$B$6,I1411+Model_Config_v3!$B$7)</x:f>
        <x:v>705</x:v>
      </x:c>
      <x:c r="K1411" s="20" t="n">
        <x:v>68.4</x:v>
      </x:c>
      <x:c r="L1411" t="str">
        <x:v>SANGAT KETAT</x:v>
      </x:c>
      <x:c r="M1411" t="str">
        <x:v>SEDANG+</x:v>
      </x:c>
      <x:c r="N1411" t="str">
        <x:v>ELITE-2</x:v>
      </x:c>
      <x:c r="O1411" t="str">
        <x:v>SOSHUM</x:v>
      </x:c>
      <x:c r="P1411" t="str">
        <x:v>UMUM</x:v>
      </x:c>
      <x:c r="Q1411" s="18" t="n">
        <x:v>655</x:v>
      </x:c>
      <x:c r="R1411" s="18" t="n">
        <x:v>0</x:v>
      </x:c>
      <x:c r="S1411" s="18" t="n">
        <x:v>655.4273771126241</x:v>
      </x:c>
      <x:c r="T1411" s="18" t="n">
        <x:v>697</x:v>
      </x:c>
      <x:c r="U1411" s="18" t="n">
        <x:v>655.4273771126241</x:v>
      </x:c>
      <x:c r="V1411" s="20" t="n">
        <x:v>4.4</x:v>
      </x:c>
      <x:c r="W1411" s="20" t="n">
        <x:v>14.3</x:v>
      </x:c>
      <x:c r="X1411" s="20" t="n">
        <x:v>3.3</x:v>
      </x:c>
      <x:c r="Y1411" t="str">
        <x:v>Basis arsip 2025/2024</x:v>
      </x:c>
      <x:c r="Z1411" t="str">
        <x:v>https://snpmb.id/utbk-snbt/daya-tampung-snbt</x:v>
      </x:c>
      <x:c r="AA1411" t="str">
        <x:v>Tidak Ada</x:v>
      </x:c>
      <x:c r="AB1411" t="str">
        <x:v>Campus=90; Ratio=72.5; Prodi=40; RelDemand=38.0; Capacity=70.0</x:v>
      </x:c>
    </x:row>
    <x:row r="1412">
      <x:c r="A1412" t="n">
        <x:v>1409</x:v>
      </x:c>
      <x:c r="B1412" t="str">
        <x:v>PTN Akademik</x:v>
      </x:c>
      <x:c r="C1412" t="str">
        <x:v>INSTITUT PERTANIAN BOGOR</x:v>
      </x:c>
      <x:c r="D1412" t="str">
        <x:v>EKOWISATA</x:v>
      </x:c>
      <x:c r="E1412" t="str">
        <x:v>Sarjana Terapan</x:v>
      </x:c>
      <x:c r="F1412" s="18" t="n">
        <x:v>30</x:v>
      </x:c>
      <x:c r="G1412" s="18" t="n">
        <x:v>1025</x:v>
      </x:c>
      <x:c r="H1412" s="19" t="n">
        <x:v>34.166666666666664</x:v>
      </x:c>
      <x:c r="I1412" s="18" t="n">
        <x:f>ROUND(MIN(Model_Config_v3!$B$6,MAX(Q1412,R1412,S1412*Model_Config_v3!$B$4+T1412*Model_Config_v3!$B$5)),0)</x:f>
        <x:v>706</x:v>
      </x:c>
      <x:c r="J1412" s="18" t="n">
        <x:f>MIN(Model_Config_v3!$B$6,I1412+Model_Config_v3!$B$7)</x:f>
        <x:v>726</x:v>
      </x:c>
      <x:c r="K1412" s="20" t="n">
        <x:v>77.2</x:v>
      </x:c>
      <x:c r="L1412" t="str">
        <x:v>ELITE</x:v>
      </x:c>
      <x:c r="M1412" t="str">
        <x:v>SEDANG+</x:v>
      </x:c>
      <x:c r="N1412" t="str">
        <x:v>ELITE-2</x:v>
      </x:c>
      <x:c r="O1412" t="str">
        <x:v>CAMPURAN</x:v>
      </x:c>
      <x:c r="P1412" t="str">
        <x:v>UMUM</x:v>
      </x:c>
      <x:c r="Q1412" s="18" t="n">
        <x:v>655</x:v>
      </x:c>
      <x:c r="R1412" s="18" t="n">
        <x:v>0</x:v>
      </x:c>
      <x:c r="S1412" s="18" t="n">
        <x:v>688.6962871739322</x:v>
      </x:c>
      <x:c r="T1412" s="18" t="n">
        <x:v>714</x:v>
      </x:c>
      <x:c r="U1412" s="18" t="n">
        <x:v>688.6962871739322</x:v>
      </x:c>
      <x:c r="V1412" s="20" t="n">
        <x:v>8.8</x:v>
      </x:c>
      <x:c r="W1412" s="20" t="n">
        <x:v>9.9</x:v>
      </x:c>
      <x:c r="X1412" s="20" t="n">
        <x:v>3.3</x:v>
      </x:c>
      <x:c r="Y1412" t="str">
        <x:v>Basis arsip 2025/2024</x:v>
      </x:c>
      <x:c r="Z1412" t="str">
        <x:v>https://snpmb.id/utbk-snbt/daya-tampung-snbt</x:v>
      </x:c>
      <x:c r="AA1412" t="str">
        <x:v>Tidak Ada</x:v>
      </x:c>
      <x:c r="AB1412" t="str">
        <x:v>Campus=90; Ratio=90.3; Prodi=40; RelDemand=76.2; Capacity=75.0</x:v>
      </x:c>
    </x:row>
    <x:row r="1413">
      <x:c r="A1413" t="n">
        <x:v>1410</x:v>
      </x:c>
      <x:c r="B1413" t="str">
        <x:v>PTN Akademik</x:v>
      </x:c>
      <x:c r="C1413" t="str">
        <x:v>INSTITUT PERTANIAN BOGOR</x:v>
      </x:c>
      <x:c r="D1413" t="str">
        <x:v>EKOWISATA (KAMPUS SUKABUMI)</x:v>
      </x:c>
      <x:c r="E1413" t="str">
        <x:v>Sarjana Terapan</x:v>
      </x:c>
      <x:c r="F1413" s="18" t="n">
        <x:v>27</x:v>
      </x:c>
      <x:c r="G1413" s="18" t="n">
        <x:v>283</x:v>
      </x:c>
      <x:c r="H1413" s="19" t="n">
        <x:v>10.481481481481481</x:v>
      </x:c>
      <x:c r="I1413" s="18" t="n">
        <x:f>ROUND(MIN(Model_Config_v3!$B$6,MAX(Q1413,R1413,S1413*Model_Config_v3!$B$4+T1413*Model_Config_v3!$B$5)),0)</x:f>
        <x:v>672</x:v>
      </x:c>
      <x:c r="J1413" s="18" t="n">
        <x:f>MIN(Model_Config_v3!$B$6,I1413+Model_Config_v3!$B$7)</x:f>
        <x:v>692</x:v>
      </x:c>
      <x:c r="K1413" s="20" t="n">
        <x:v>64.6</x:v>
      </x:c>
      <x:c r="L1413" t="str">
        <x:v>KETAT</x:v>
      </x:c>
      <x:c r="M1413" t="str">
        <x:v>SEDANG+</x:v>
      </x:c>
      <x:c r="N1413" t="str">
        <x:v>ELITE-2</x:v>
      </x:c>
      <x:c r="O1413" t="str">
        <x:v>CAMPURAN</x:v>
      </x:c>
      <x:c r="P1413" t="str">
        <x:v>UMUM</x:v>
      </x:c>
      <x:c r="Q1413" s="18" t="n">
        <x:v>655</x:v>
      </x:c>
      <x:c r="R1413" s="18" t="n">
        <x:v>0</x:v>
      </x:c>
      <x:c r="S1413" s="18" t="n">
        <x:v>632.2464938501834</x:v>
      </x:c>
      <x:c r="T1413" s="18" t="n">
        <x:v>689</x:v>
      </x:c>
      <x:c r="U1413" s="18" t="n">
        <x:v>655</x:v>
      </x:c>
      <x:c r="V1413" s="20" t="n">
        <x:v>8.8</x:v>
      </x:c>
      <x:c r="W1413" s="20" t="n">
        <x:v>9.9</x:v>
      </x:c>
      <x:c r="X1413" s="20" t="n">
        <x:v>3.3</x:v>
      </x:c>
      <x:c r="Y1413" t="str">
        <x:v>Basis arsip 2025/2024</x:v>
      </x:c>
      <x:c r="Z1413" t="str">
        <x:v>https://snpmb.id/utbk-snbt/daya-tampung-snbt</x:v>
      </x:c>
      <x:c r="AA1413" t="str">
        <x:v>Tidak Ada</x:v>
      </x:c>
      <x:c r="AB1413" t="str">
        <x:v>Campus=90; Ratio=60.1; Prodi=40; RelDemand=23.4; Capacity=77.5</x:v>
      </x:c>
    </x:row>
    <x:row r="1414">
      <x:c r="A1414" t="n">
        <x:v>1411</x:v>
      </x:c>
      <x:c r="B1414" t="str">
        <x:v>PTN Akademik</x:v>
      </x:c>
      <x:c r="C1414" t="str">
        <x:v>INSTITUT PERTANIAN BOGOR</x:v>
      </x:c>
      <x:c r="D1414" t="str">
        <x:v>TEKNOLOGI REKAYASA PERANGKAT LUNAK</x:v>
      </x:c>
      <x:c r="E1414" t="str">
        <x:v>Sarjana Terapan</x:v>
      </x:c>
      <x:c r="F1414" s="18" t="n">
        <x:v>42</x:v>
      </x:c>
      <x:c r="G1414" s="18" t="n">
        <x:v>1785</x:v>
      </x:c>
      <x:c r="H1414" s="19" t="n">
        <x:v>42.5</x:v>
      </x:c>
      <x:c r="I1414" s="18" t="n">
        <x:f>ROUND(MIN(Model_Config_v3!$B$6,MAX(Q1414,R1414,S1414*Model_Config_v3!$B$4+T1414*Model_Config_v3!$B$5)),0)</x:f>
        <x:v>713</x:v>
      </x:c>
      <x:c r="J1414" s="18" t="n">
        <x:f>MIN(Model_Config_v3!$B$6,I1414+Model_Config_v3!$B$7)</x:f>
        <x:v>733</x:v>
      </x:c>
      <x:c r="K1414" s="20" t="n">
        <x:v>79.4</x:v>
      </x:c>
      <x:c r="L1414" t="str">
        <x:v>ELITE</x:v>
      </x:c>
      <x:c r="M1414" t="str">
        <x:v>SEDANG+</x:v>
      </x:c>
      <x:c r="N1414" t="str">
        <x:v>ELITE-2</x:v>
      </x:c>
      <x:c r="O1414" t="str">
        <x:v>SAINTEK</x:v>
      </x:c>
      <x:c r="P1414" t="str">
        <x:v>UMUM</x:v>
      </x:c>
      <x:c r="Q1414" s="18" t="n">
        <x:v>655</x:v>
      </x:c>
      <x:c r="R1414" s="18" t="n">
        <x:v>0</x:v>
      </x:c>
      <x:c r="S1414" s="18" t="n">
        <x:v>699.1227823055342</x:v>
      </x:c>
      <x:c r="T1414" s="18" t="n">
        <x:v>719</x:v>
      </x:c>
      <x:c r="U1414" s="18" t="n">
        <x:v>699.1227823055342</x:v>
      </x:c>
      <x:c r="V1414" s="20" t="n">
        <x:v>12</x:v>
      </x:c>
      <x:c r="W1414" s="20" t="n">
        <x:v>5</x:v>
      </x:c>
      <x:c r="X1414" s="20" t="n">
        <x:v>3</x:v>
      </x:c>
      <x:c r="Y1414" t="str">
        <x:v>Basis arsip 2025/2024</x:v>
      </x:c>
      <x:c r="Z1414" t="str">
        <x:v>https://snpmb.id/utbk-snbt/daya-tampung-snbt</x:v>
      </x:c>
      <x:c r="AA1414" t="str">
        <x:v>Tidak Ada</x:v>
      </x:c>
      <x:c r="AB1414" t="str">
        <x:v>Campus=90; Ratio=95.8; Prodi=40; RelDemand=94.8; Capacity=65.0</x:v>
      </x:c>
    </x:row>
    <x:row r="1415">
      <x:c r="A1415" t="n">
        <x:v>1412</x:v>
      </x:c>
      <x:c r="B1415" t="str">
        <x:v>PTN Akademik</x:v>
      </x:c>
      <x:c r="C1415" t="str">
        <x:v>INSTITUT PERTANIAN BOGOR</x:v>
      </x:c>
      <x:c r="D1415" t="str">
        <x:v>TEKNOLOGI REKAYASA KOMPUTER</x:v>
      </x:c>
      <x:c r="E1415" t="str">
        <x:v>Sarjana Terapan</x:v>
      </x:c>
      <x:c r="F1415" s="18" t="n">
        <x:v>42</x:v>
      </x:c>
      <x:c r="G1415" s="18" t="n">
        <x:v>1307</x:v>
      </x:c>
      <x:c r="H1415" s="19" t="n">
        <x:v>31.11904761904762</x:v>
      </x:c>
      <x:c r="I1415" s="18" t="n">
        <x:f>ROUND(MIN(Model_Config_v3!$B$6,MAX(Q1415,R1415,S1415*Model_Config_v3!$B$4+T1415*Model_Config_v3!$B$5)),0)</x:f>
        <x:v>702</x:v>
      </x:c>
      <x:c r="J1415" s="18" t="n">
        <x:f>MIN(Model_Config_v3!$B$6,I1415+Model_Config_v3!$B$7)</x:f>
        <x:v>722</x:v>
      </x:c>
      <x:c r="K1415" s="20" t="n">
        <x:v>74.9</x:v>
      </x:c>
      <x:c r="L1415" t="str">
        <x:v>SANGAT KETAT</x:v>
      </x:c>
      <x:c r="M1415" t="str">
        <x:v>SEDANG+</x:v>
      </x:c>
      <x:c r="N1415" t="str">
        <x:v>ELITE-2</x:v>
      </x:c>
      <x:c r="O1415" t="str">
        <x:v>SAINTEK</x:v>
      </x:c>
      <x:c r="P1415" t="str">
        <x:v>UMUM</x:v>
      </x:c>
      <x:c r="Q1415" s="18" t="n">
        <x:v>655</x:v>
      </x:c>
      <x:c r="R1415" s="18" t="n">
        <x:v>0</x:v>
      </x:c>
      <x:c r="S1415" s="18" t="n">
        <x:v>684.2328926900908</x:v>
      </x:c>
      <x:c r="T1415" s="18" t="n">
        <x:v>710</x:v>
      </x:c>
      <x:c r="U1415" s="18" t="n">
        <x:v>684.2328926900908</x:v>
      </x:c>
      <x:c r="V1415" s="20" t="n">
        <x:v>12</x:v>
      </x:c>
      <x:c r="W1415" s="20" t="n">
        <x:v>5</x:v>
      </x:c>
      <x:c r="X1415" s="20" t="n">
        <x:v>3</x:v>
      </x:c>
      <x:c r="Y1415" t="str">
        <x:v>Basis arsip 2025/2024</x:v>
      </x:c>
      <x:c r="Z1415" t="str">
        <x:v>https://snpmb.id/utbk-snbt/daya-tampung-snbt</x:v>
      </x:c>
      <x:c r="AA1415" t="str">
        <x:v>Tidak Ada</x:v>
      </x:c>
      <x:c r="AB1415" t="str">
        <x:v>Campus=90; Ratio=87.9; Prodi=40; RelDemand=69.4; Capacity=65.0</x:v>
      </x:c>
    </x:row>
    <x:row r="1416">
      <x:c r="A1416" t="n">
        <x:v>1413</x:v>
      </x:c>
      <x:c r="B1416" t="str">
        <x:v>PTN Akademik</x:v>
      </x:c>
      <x:c r="C1416" t="str">
        <x:v>INSTITUT PERTANIAN BOGOR</x:v>
      </x:c>
      <x:c r="D1416" t="str">
        <x:v>SUPERVISOR JAMINAN MUTU PANGAN</x:v>
      </x:c>
      <x:c r="E1416" t="str">
        <x:v>Sarjana Terapan</x:v>
      </x:c>
      <x:c r="F1416" s="18" t="n">
        <x:v>42</x:v>
      </x:c>
      <x:c r="G1416" s="18" t="n">
        <x:v>1437</x:v>
      </x:c>
      <x:c r="H1416" s="19" t="n">
        <x:v>34.214285714285715</x:v>
      </x:c>
      <x:c r="I1416" s="18" t="n">
        <x:f>ROUND(MIN(Model_Config_v3!$B$6,MAX(Q1416,R1416,S1416*Model_Config_v3!$B$4+T1416*Model_Config_v3!$B$5)),0)</x:f>
        <x:v>705</x:v>
      </x:c>
      <x:c r="J1416" s="18" t="n">
        <x:f>MIN(Model_Config_v3!$B$6,I1416+Model_Config_v3!$B$7)</x:f>
        <x:v>725</x:v>
      </x:c>
      <x:c r="K1416" s="20" t="n">
        <x:v>76.2</x:v>
      </x:c>
      <x:c r="L1416" t="str">
        <x:v>ELITE</x:v>
      </x:c>
      <x:c r="M1416" t="str">
        <x:v>SEDANG+</x:v>
      </x:c>
      <x:c r="N1416" t="str">
        <x:v>ELITE-2</x:v>
      </x:c>
      <x:c r="O1416" t="str">
        <x:v>CAMPURAN</x:v>
      </x:c>
      <x:c r="P1416" t="str">
        <x:v>UMUM</x:v>
      </x:c>
      <x:c r="Q1416" s="18" t="n">
        <x:v>655</x:v>
      </x:c>
      <x:c r="R1416" s="18" t="n">
        <x:v>0</x:v>
      </x:c>
      <x:c r="S1416" s="18" t="n">
        <x:v>688.7628225509958</x:v>
      </x:c>
      <x:c r="T1416" s="18" t="n">
        <x:v>712</x:v>
      </x:c>
      <x:c r="U1416" s="18" t="n">
        <x:v>688.7628225509958</x:v>
      </x:c>
      <x:c r="V1416" s="20" t="n">
        <x:v>8.8</x:v>
      </x:c>
      <x:c r="W1416" s="20" t="n">
        <x:v>9.9</x:v>
      </x:c>
      <x:c r="X1416" s="20" t="n">
        <x:v>3.3</x:v>
      </x:c>
      <x:c r="Y1416" t="str">
        <x:v>Basis arsip 2025/2024</x:v>
      </x:c>
      <x:c r="Z1416" t="str">
        <x:v>https://snpmb.id/utbk-snbt/daya-tampung-snbt</x:v>
      </x:c>
      <x:c r="AA1416" t="str">
        <x:v>Tidak Ada</x:v>
      </x:c>
      <x:c r="AB1416" t="str">
        <x:v>Campus=90; Ratio=90.3; Prodi=40; RelDemand=76.3; Capacity=65.0</x:v>
      </x:c>
    </x:row>
    <x:row r="1417">
      <x:c r="A1417" t="n">
        <x:v>1414</x:v>
      </x:c>
      <x:c r="B1417" t="str">
        <x:v>PTN Akademik</x:v>
      </x:c>
      <x:c r="C1417" t="str">
        <x:v>INSTITUT PERTANIAN BOGOR</x:v>
      </x:c>
      <x:c r="D1417" t="str">
        <x:v>MANAJEMEN INDUSTRI JASA MAKANAN DAN GIZI</x:v>
      </x:c>
      <x:c r="E1417" t="str">
        <x:v>Sarjana Terapan</x:v>
      </x:c>
      <x:c r="F1417" s="18" t="n">
        <x:v>42</x:v>
      </x:c>
      <x:c r="G1417" s="18" t="n">
        <x:v>2743</x:v>
      </x:c>
      <x:c r="H1417" s="19" t="n">
        <x:v>65.30952380952381</x:v>
      </x:c>
      <x:c r="I1417" s="18" t="n">
        <x:f>ROUND(MIN(Model_Config_v3!$B$6,MAX(Q1417,R1417,S1417*Model_Config_v3!$B$4+T1417*Model_Config_v3!$B$5)),0)</x:f>
        <x:v>728</x:v>
      </x:c>
      <x:c r="J1417" s="18" t="n">
        <x:f>MIN(Model_Config_v3!$B$6,I1417+Model_Config_v3!$B$7)</x:f>
        <x:v>748</x:v>
      </x:c>
      <x:c r="K1417" s="20" t="n">
        <x:v>86</x:v>
      </x:c>
      <x:c r="L1417" t="str">
        <x:v>ULTRA ELITE</x:v>
      </x:c>
      <x:c r="M1417" t="str">
        <x:v>SEDANG+</x:v>
      </x:c>
      <x:c r="N1417" t="str">
        <x:v>ELITE-2</x:v>
      </x:c>
      <x:c r="O1417" t="str">
        <x:v>SAINTEK</x:v>
      </x:c>
      <x:c r="P1417" t="str">
        <x:v>BISNIS/EKONOMI/AKUNTANSI</x:v>
      </x:c>
      <x:c r="Q1417" s="18" t="n">
        <x:v>655</x:v>
      </x:c>
      <x:c r="R1417" s="18" t="n">
        <x:v>680</x:v>
      </x:c>
      <x:c r="S1417" s="18" t="n">
        <x:v>719.6474168927291</x:v>
      </x:c>
      <x:c r="T1417" s="18" t="n">
        <x:v>732</x:v>
      </x:c>
      <x:c r="U1417" s="18" t="n">
        <x:v>734.6474168927291</x:v>
      </x:c>
      <x:c r="V1417" s="20" t="n">
        <x:v>12</x:v>
      </x:c>
      <x:c r="W1417" s="20" t="n">
        <x:v>5</x:v>
      </x:c>
      <x:c r="X1417" s="20" t="n">
        <x:v>3</x:v>
      </x:c>
      <x:c r="Y1417" t="str">
        <x:v>Basis arsip 2025/2024</x:v>
      </x:c>
      <x:c r="Z1417" t="str">
        <x:v>https://snpmb.id/utbk-snbt/daya-tampung-snbt</x:v>
      </x:c>
      <x:c r="AA1417" t="str">
        <x:v>Tidak Ada</x:v>
      </x:c>
      <x:c r="AB1417" t="str">
        <x:v>Campus=90; Ratio=100.0; Prodi=65; RelDemand=100.0; Capacity=65.0</x:v>
      </x:c>
    </x:row>
    <x:row r="1418">
      <x:c r="A1418" t="n">
        <x:v>1415</x:v>
      </x:c>
      <x:c r="B1418" t="str">
        <x:v>PTN Akademik</x:v>
      </x:c>
      <x:c r="C1418" t="str">
        <x:v>INSTITUT PERTANIAN BOGOR</x:v>
      </x:c>
      <x:c r="D1418" t="str">
        <x:v>TEKNOLOGI DAN MANAJEMEN PEMBENIHAN IKAN</x:v>
      </x:c>
      <x:c r="E1418" t="str">
        <x:v>Sarjana Terapan</x:v>
      </x:c>
      <x:c r="F1418" s="18" t="n">
        <x:v>21</x:v>
      </x:c>
      <x:c r="G1418" s="18" t="n">
        <x:v>415</x:v>
      </x:c>
      <x:c r="H1418" s="19" t="n">
        <x:v>19.761904761904763</x:v>
      </x:c>
      <x:c r="I1418" s="18" t="n">
        <x:f>ROUND(MIN(Model_Config_v3!$B$6,MAX(Q1418,R1418,S1418*Model_Config_v3!$B$4+T1418*Model_Config_v3!$B$5)),0)</x:f>
        <x:v>697</x:v>
      </x:c>
      <x:c r="J1418" s="18" t="n">
        <x:f>MIN(Model_Config_v3!$B$6,I1418+Model_Config_v3!$B$7)</x:f>
        <x:v>717</x:v>
      </x:c>
      <x:c r="K1418" s="20" t="n">
        <x:v>76.2</x:v>
      </x:c>
      <x:c r="L1418" t="str">
        <x:v>ELITE</x:v>
      </x:c>
      <x:c r="M1418" t="str">
        <x:v>SEDANG+</x:v>
      </x:c>
      <x:c r="N1418" t="str">
        <x:v>ELITE-2</x:v>
      </x:c>
      <x:c r="O1418" t="str">
        <x:v>SAINTEK</x:v>
      </x:c>
      <x:c r="P1418" t="str">
        <x:v>BISNIS/EKONOMI/AKUNTANSI</x:v>
      </x:c>
      <x:c r="Q1418" s="18" t="n">
        <x:v>655</x:v>
      </x:c>
      <x:c r="R1418" s="18" t="n">
        <x:v>680</x:v>
      </x:c>
      <x:c r="S1418" s="18" t="n">
        <x:v>662.5411682175991</x:v>
      </x:c>
      <x:c r="T1418" s="18" t="n">
        <x:v>712</x:v>
      </x:c>
      <x:c r="U1418" s="18" t="n">
        <x:v>677.5411682175991</x:v>
      </x:c>
      <x:c r="V1418" s="20" t="n">
        <x:v>12</x:v>
      </x:c>
      <x:c r="W1418" s="20" t="n">
        <x:v>5</x:v>
      </x:c>
      <x:c r="X1418" s="20" t="n">
        <x:v>3</x:v>
      </x:c>
      <x:c r="Y1418" t="str">
        <x:v>Basis arsip 2025/2024</x:v>
      </x:c>
      <x:c r="Z1418" t="str">
        <x:v>https://snpmb.id/utbk-snbt/daya-tampung-snbt</x:v>
      </x:c>
      <x:c r="AA1418" t="str">
        <x:v>Tidak Ada</x:v>
      </x:c>
      <x:c r="AB1418" t="str">
        <x:v>Campus=90; Ratio=76.3; Prodi=65; RelDemand=44.1; Capacity=82.5</x:v>
      </x:c>
    </x:row>
    <x:row r="1419">
      <x:c r="A1419" t="n">
        <x:v>1416</x:v>
      </x:c>
      <x:c r="B1419" t="str">
        <x:v>PTN Akademik</x:v>
      </x:c>
      <x:c r="C1419" t="str">
        <x:v>INSTITUT PERTANIAN BOGOR</x:v>
      </x:c>
      <x:c r="D1419" t="str">
        <x:v>TEKNOLOGI DAN MANAJEMEN PEMBENIHAN IKAN (KAMPUS SUKABUMI)</x:v>
      </x:c>
      <x:c r="E1419" t="str">
        <x:v>Sarjana Terapan</x:v>
      </x:c>
      <x:c r="F1419" s="18" t="n">
        <x:v>21</x:v>
      </x:c>
      <x:c r="G1419" s="18" t="n">
        <x:v>176</x:v>
      </x:c>
      <x:c r="H1419" s="19" t="n">
        <x:v>8.380952380952381</x:v>
      </x:c>
      <x:c r="I1419" s="18" t="n">
        <x:f>ROUND(MIN(Model_Config_v3!$B$6,MAX(Q1419,R1419,S1419*Model_Config_v3!$B$4+T1419*Model_Config_v3!$B$5)),0)</x:f>
        <x:v>680</x:v>
      </x:c>
      <x:c r="J1419" s="18" t="n">
        <x:f>MIN(Model_Config_v3!$B$6,I1419+Model_Config_v3!$B$7)</x:f>
        <x:v>700</x:v>
      </x:c>
      <x:c r="K1419" s="20" t="n">
        <x:v>68.2</x:v>
      </x:c>
      <x:c r="L1419" t="str">
        <x:v>SANGAT KETAT</x:v>
      </x:c>
      <x:c r="M1419" t="str">
        <x:v>SEDANG+</x:v>
      </x:c>
      <x:c r="N1419" t="str">
        <x:v>ELITE-2</x:v>
      </x:c>
      <x:c r="O1419" t="str">
        <x:v>SAINTEK</x:v>
      </x:c>
      <x:c r="P1419" t="str">
        <x:v>BISNIS/EKONOMI/AKUNTANSI</x:v>
      </x:c>
      <x:c r="Q1419" s="18" t="n">
        <x:v>655</x:v>
      </x:c>
      <x:c r="R1419" s="18" t="n">
        <x:v>680</x:v>
      </x:c>
      <x:c r="S1419" s="18" t="n">
        <x:v>621.5622710388253</x:v>
      </x:c>
      <x:c r="T1419" s="18" t="n">
        <x:v>696</x:v>
      </x:c>
      <x:c r="U1419" s="18" t="n">
        <x:v>655</x:v>
      </x:c>
      <x:c r="V1419" s="20" t="n">
        <x:v>12</x:v>
      </x:c>
      <x:c r="W1419" s="20" t="n">
        <x:v>5</x:v>
      </x:c>
      <x:c r="X1419" s="20" t="n">
        <x:v>3</x:v>
      </x:c>
      <x:c r="Y1419" t="str">
        <x:v>Basis arsip 2025/2024</x:v>
      </x:c>
      <x:c r="Z1419" t="str">
        <x:v>https://snpmb.id/utbk-snbt/daya-tampung-snbt</x:v>
      </x:c>
      <x:c r="AA1419" t="str">
        <x:v>Tidak Ada</x:v>
      </x:c>
      <x:c r="AB1419" t="str">
        <x:v>Campus=90; Ratio=54.3; Prodi=65; RelDemand=18.7; Capacity=82.5</x:v>
      </x:c>
    </x:row>
    <x:row r="1420">
      <x:c r="A1420" t="n">
        <x:v>1417</x:v>
      </x:c>
      <x:c r="B1420" t="str">
        <x:v>PTN Akademik</x:v>
      </x:c>
      <x:c r="C1420" t="str">
        <x:v>INSTITUT PERTANIAN BOGOR</x:v>
      </x:c>
      <x:c r="D1420" t="str">
        <x:v>TEKNOLOGI DAN MANAJEMEN TERNAK</x:v>
      </x:c>
      <x:c r="E1420" t="str">
        <x:v>Sarjana Terapan</x:v>
      </x:c>
      <x:c r="F1420" s="18" t="n">
        <x:v>21</x:v>
      </x:c>
      <x:c r="G1420" s="18" t="n">
        <x:v>625</x:v>
      </x:c>
      <x:c r="H1420" s="19" t="n">
        <x:v>29.761904761904763</x:v>
      </x:c>
      <x:c r="I1420" s="18" t="n">
        <x:f>ROUND(MIN(Model_Config_v3!$B$6,MAX(Q1420,R1420,S1420*Model_Config_v3!$B$4+T1420*Model_Config_v3!$B$5)),0)</x:f>
        <x:v>710</x:v>
      </x:c>
      <x:c r="J1420" s="18" t="n">
        <x:f>MIN(Model_Config_v3!$B$6,I1420+Model_Config_v3!$B$7)</x:f>
        <x:v>730</x:v>
      </x:c>
      <x:c r="K1420" s="20" t="n">
        <x:v>81.1</x:v>
      </x:c>
      <x:c r="L1420" t="str">
        <x:v>ELITE</x:v>
      </x:c>
      <x:c r="M1420" t="str">
        <x:v>SEDANG+</x:v>
      </x:c>
      <x:c r="N1420" t="str">
        <x:v>ELITE-2</x:v>
      </x:c>
      <x:c r="O1420" t="str">
        <x:v>SAINTEK</x:v>
      </x:c>
      <x:c r="P1420" t="str">
        <x:v>BISNIS/EKONOMI/AKUNTANSI</x:v>
      </x:c>
      <x:c r="Q1420" s="18" t="n">
        <x:v>655</x:v>
      </x:c>
      <x:c r="R1420" s="18" t="n">
        <x:v>680</x:v>
      </x:c>
      <x:c r="S1420" s="18" t="n">
        <x:v>682.1026794871171</x:v>
      </x:c>
      <x:c r="T1420" s="18" t="n">
        <x:v>722</x:v>
      </x:c>
      <x:c r="U1420" s="18" t="n">
        <x:v>697.1026794871171</x:v>
      </x:c>
      <x:c r="V1420" s="20" t="n">
        <x:v>12</x:v>
      </x:c>
      <x:c r="W1420" s="20" t="n">
        <x:v>5</x:v>
      </x:c>
      <x:c r="X1420" s="20" t="n">
        <x:v>3</x:v>
      </x:c>
      <x:c r="Y1420" t="str">
        <x:v>Basis arsip 2025/2024</x:v>
      </x:c>
      <x:c r="Z1420" t="str">
        <x:v>https://snpmb.id/utbk-snbt/daya-tampung-snbt</x:v>
      </x:c>
      <x:c r="AA1420" t="str">
        <x:v>Tidak Ada</x:v>
      </x:c>
      <x:c r="AB1420" t="str">
        <x:v>Campus=90; Ratio=86.7; Prodi=65; RelDemand=66.4; Capacity=82.5</x:v>
      </x:c>
    </x:row>
    <x:row r="1421">
      <x:c r="A1421" t="n">
        <x:v>1418</x:v>
      </x:c>
      <x:c r="B1421" t="str">
        <x:v>PTN Akademik</x:v>
      </x:c>
      <x:c r="C1421" t="str">
        <x:v>INSTITUT PERTANIAN BOGOR</x:v>
      </x:c>
      <x:c r="D1421" t="str">
        <x:v>TEKNOLOGI DAN MANAJEMEN TERNAK (KAMPUS SUKABUMI)</x:v>
      </x:c>
      <x:c r="E1421" t="str">
        <x:v>Sarjana Terapan</x:v>
      </x:c>
      <x:c r="F1421" s="18" t="n">
        <x:v>21</x:v>
      </x:c>
      <x:c r="G1421" s="18" t="n">
        <x:v>175</x:v>
      </x:c>
      <x:c r="H1421" s="19" t="n">
        <x:v>8.333333333333334</x:v>
      </x:c>
      <x:c r="I1421" s="18" t="n">
        <x:f>ROUND(MIN(Model_Config_v3!$B$6,MAX(Q1421,R1421,S1421*Model_Config_v3!$B$4+T1421*Model_Config_v3!$B$5)),0)</x:f>
        <x:v>680</x:v>
      </x:c>
      <x:c r="J1421" s="18" t="n">
        <x:f>MIN(Model_Config_v3!$B$6,I1421+Model_Config_v3!$B$7)</x:f>
        <x:v>700</x:v>
      </x:c>
      <x:c r="K1421" s="20" t="n">
        <x:v>68.2</x:v>
      </x:c>
      <x:c r="L1421" t="str">
        <x:v>SANGAT KETAT</x:v>
      </x:c>
      <x:c r="M1421" t="str">
        <x:v>SEDANG+</x:v>
      </x:c>
      <x:c r="N1421" t="str">
        <x:v>ELITE-2</x:v>
      </x:c>
      <x:c r="O1421" t="str">
        <x:v>SAINTEK</x:v>
      </x:c>
      <x:c r="P1421" t="str">
        <x:v>BISNIS/EKONOMI/AKUNTANSI</x:v>
      </x:c>
      <x:c r="Q1421" s="18" t="n">
        <x:v>655</x:v>
      </x:c>
      <x:c r="R1421" s="18" t="n">
        <x:v>680</x:v>
      </x:c>
      <x:c r="S1421" s="18" t="n">
        <x:v>621.2900629347613</x:v>
      </x:c>
      <x:c r="T1421" s="18" t="n">
        <x:v>696</x:v>
      </x:c>
      <x:c r="U1421" s="18" t="n">
        <x:v>655</x:v>
      </x:c>
      <x:c r="V1421" s="20" t="n">
        <x:v>12</x:v>
      </x:c>
      <x:c r="W1421" s="20" t="n">
        <x:v>5</x:v>
      </x:c>
      <x:c r="X1421" s="20" t="n">
        <x:v>3</x:v>
      </x:c>
      <x:c r="Y1421" t="str">
        <x:v>Basis arsip 2025/2024</x:v>
      </x:c>
      <x:c r="Z1421" t="str">
        <x:v>https://snpmb.id/utbk-snbt/daya-tampung-snbt</x:v>
      </x:c>
      <x:c r="AA1421" t="str">
        <x:v>Tidak Ada</x:v>
      </x:c>
      <x:c r="AB1421" t="str">
        <x:v>Campus=90; Ratio=54.2; Prodi=65; RelDemand=18.6; Capacity=82.5</x:v>
      </x:c>
    </x:row>
    <x:row r="1422">
      <x:c r="A1422" t="n">
        <x:v>1419</x:v>
      </x:c>
      <x:c r="B1422" t="str">
        <x:v>PTN Akademik</x:v>
      </x:c>
      <x:c r="C1422" t="str">
        <x:v>INSTITUT PERTANIAN BOGOR</x:v>
      </x:c>
      <x:c r="D1422" t="str">
        <x:v>MANAJEMEN AGRIBISNIS</x:v>
      </x:c>
      <x:c r="E1422" t="str">
        <x:v>Sarjana Terapan</x:v>
      </x:c>
      <x:c r="F1422" s="18" t="n">
        <x:v>84</x:v>
      </x:c>
      <x:c r="G1422" s="18" t="n">
        <x:v>2517</x:v>
      </x:c>
      <x:c r="H1422" s="19" t="n">
        <x:v>29.964285714285715</x:v>
      </x:c>
      <x:c r="I1422" s="18" t="n">
        <x:f>ROUND(MIN(Model_Config_v3!$B$6,MAX(Q1422,R1422,S1422*Model_Config_v3!$B$4+T1422*Model_Config_v3!$B$5)),0)</x:f>
        <x:v>703</x:v>
      </x:c>
      <x:c r="J1422" s="18" t="n">
        <x:f>MIN(Model_Config_v3!$B$6,I1422+Model_Config_v3!$B$7)</x:f>
        <x:v>723</x:v>
      </x:c>
      <x:c r="K1422" s="20" t="n">
        <x:v>75.9</x:v>
      </x:c>
      <x:c r="L1422" t="str">
        <x:v>ELITE</x:v>
      </x:c>
      <x:c r="M1422" t="str">
        <x:v>SEDANG+</x:v>
      </x:c>
      <x:c r="N1422" t="str">
        <x:v>ELITE-2</x:v>
      </x:c>
      <x:c r="O1422" t="str">
        <x:v>SOSHUM</x:v>
      </x:c>
      <x:c r="P1422" t="str">
        <x:v>BISNIS/EKONOMI/AKUNTANSI</x:v>
      </x:c>
      <x:c r="Q1422" s="18" t="n">
        <x:v>655</x:v>
      </x:c>
      <x:c r="R1422" s="18" t="n">
        <x:v>680</x:v>
      </x:c>
      <x:c r="S1422" s="18" t="n">
        <x:v>682.4264322435129</x:v>
      </x:c>
      <x:c r="T1422" s="18" t="n">
        <x:v>712</x:v>
      </x:c>
      <x:c r="U1422" s="18" t="n">
        <x:v>697.4264322435129</x:v>
      </x:c>
      <x:c r="V1422" s="20" t="n">
        <x:v>4.4</x:v>
      </x:c>
      <x:c r="W1422" s="20" t="n">
        <x:v>14.3</x:v>
      </x:c>
      <x:c r="X1422" s="20" t="n">
        <x:v>3.3</x:v>
      </x:c>
      <x:c r="Y1422" t="str">
        <x:v>Basis arsip 2025/2024</x:v>
      </x:c>
      <x:c r="Z1422" t="str">
        <x:v>https://snpmb.id/utbk-snbt/daya-tampung-snbt</x:v>
      </x:c>
      <x:c r="AA1422" t="str">
        <x:v>Tidak Ada</x:v>
      </x:c>
      <x:c r="AB1422" t="str">
        <x:v>Campus=90; Ratio=86.9; Prodi=65; RelDemand=66.8; Capacity=30.0</x:v>
      </x:c>
    </x:row>
    <x:row r="1423">
      <x:c r="A1423" t="n">
        <x:v>1420</x:v>
      </x:c>
      <x:c r="B1423" t="str">
        <x:v>PTN Akademik</x:v>
      </x:c>
      <x:c r="C1423" t="str">
        <x:v>INSTITUT PERTANIAN BOGOR</x:v>
      </x:c>
      <x:c r="D1423" t="str">
        <x:v>MANAJEMEN AGRIBISNIS (KAMPUS SUKABUMI)</x:v>
      </x:c>
      <x:c r="E1423" t="str">
        <x:v>Sarjana Terapan</x:v>
      </x:c>
      <x:c r="F1423" s="18" t="n">
        <x:v>32</x:v>
      </x:c>
      <x:c r="G1423" s="18" t="n">
        <x:v>355</x:v>
      </x:c>
      <x:c r="H1423" s="19" t="n">
        <x:v>11.09375</x:v>
      </x:c>
      <x:c r="I1423" s="18" t="n">
        <x:f>ROUND(MIN(Model_Config_v3!$B$6,MAX(Q1423,R1423,S1423*Model_Config_v3!$B$4+T1423*Model_Config_v3!$B$5)),0)</x:f>
        <x:v>680</x:v>
      </x:c>
      <x:c r="J1423" s="18" t="n">
        <x:f>MIN(Model_Config_v3!$B$6,I1423+Model_Config_v3!$B$7)</x:f>
        <x:v>700</x:v>
      </x:c>
      <x:c r="K1423" s="20" t="n">
        <x:v>69.7</x:v>
      </x:c>
      <x:c r="L1423" t="str">
        <x:v>SANGAT KETAT</x:v>
      </x:c>
      <x:c r="M1423" t="str">
        <x:v>SEDANG+</x:v>
      </x:c>
      <x:c r="N1423" t="str">
        <x:v>ELITE-2</x:v>
      </x:c>
      <x:c r="O1423" t="str">
        <x:v>SOSHUM</x:v>
      </x:c>
      <x:c r="P1423" t="str">
        <x:v>BISNIS/EKONOMI/AKUNTANSI</x:v>
      </x:c>
      <x:c r="Q1423" s="18" t="n">
        <x:v>655</x:v>
      </x:c>
      <x:c r="R1423" s="18" t="n">
        <x:v>680</x:v>
      </x:c>
      <x:c r="S1423" s="18" t="n">
        <x:v>634.9586212208707</x:v>
      </x:c>
      <x:c r="T1423" s="18" t="n">
        <x:v>699</x:v>
      </x:c>
      <x:c r="U1423" s="18" t="n">
        <x:v>655</x:v>
      </x:c>
      <x:c r="V1423" s="20" t="n">
        <x:v>4.4</x:v>
      </x:c>
      <x:c r="W1423" s="20" t="n">
        <x:v>14.3</x:v>
      </x:c>
      <x:c r="X1423" s="20" t="n">
        <x:v>3.3</x:v>
      </x:c>
      <x:c r="Y1423" t="str">
        <x:v>Basis arsip 2025/2024</x:v>
      </x:c>
      <x:c r="Z1423" t="str">
        <x:v>https://snpmb.id/utbk-snbt/daya-tampung-snbt</x:v>
      </x:c>
      <x:c r="AA1423" t="str">
        <x:v>Tidak Ada</x:v>
      </x:c>
      <x:c r="AB1423" t="str">
        <x:v>Campus=90; Ratio=61.5; Prodi=65; RelDemand=24.7; Capacity=73.3</x:v>
      </x:c>
    </x:row>
    <x:row r="1424">
      <x:c r="A1424" t="n">
        <x:v>1421</x:v>
      </x:c>
      <x:c r="B1424" t="str">
        <x:v>PTN Akademik</x:v>
      </x:c>
      <x:c r="C1424" t="str">
        <x:v>INSTITUT PERTANIAN BOGOR</x:v>
      </x:c>
      <x:c r="D1424" t="str">
        <x:v>MANAJEMEN INDUSTRI</x:v>
      </x:c>
      <x:c r="E1424" t="str">
        <x:v>Sarjana Terapan</x:v>
      </x:c>
      <x:c r="F1424" s="18" t="n">
        <x:v>42</x:v>
      </x:c>
      <x:c r="G1424" s="18" t="n">
        <x:v>2779</x:v>
      </x:c>
      <x:c r="H1424" s="19" t="n">
        <x:v>66.16666666666667</x:v>
      </x:c>
      <x:c r="I1424" s="18" t="n">
        <x:f>ROUND(MIN(Model_Config_v3!$B$6,MAX(Q1424,R1424,S1424*Model_Config_v3!$B$4+T1424*Model_Config_v3!$B$5)),0)</x:f>
        <x:v>728</x:v>
      </x:c>
      <x:c r="J1424" s="18" t="n">
        <x:f>MIN(Model_Config_v3!$B$6,I1424+Model_Config_v3!$B$7)</x:f>
        <x:v>748</x:v>
      </x:c>
      <x:c r="K1424" s="20" t="n">
        <x:v>86</x:v>
      </x:c>
      <x:c r="L1424" t="str">
        <x:v>ULTRA ELITE</x:v>
      </x:c>
      <x:c r="M1424" t="str">
        <x:v>SEDANG+</x:v>
      </x:c>
      <x:c r="N1424" t="str">
        <x:v>ELITE-2</x:v>
      </x:c>
      <x:c r="O1424" t="str">
        <x:v>SOSHUM</x:v>
      </x:c>
      <x:c r="P1424" t="str">
        <x:v>BISNIS/EKONOMI/AKUNTANSI</x:v>
      </x:c>
      <x:c r="Q1424" s="18" t="n">
        <x:v>655</x:v>
      </x:c>
      <x:c r="R1424" s="18" t="n">
        <x:v>680</x:v>
      </x:c>
      <x:c r="S1424" s="18" t="n">
        <x:v>720.2703182017418</x:v>
      </x:c>
      <x:c r="T1424" s="18" t="n">
        <x:v>732</x:v>
      </x:c>
      <x:c r="U1424" s="18" t="n">
        <x:v>735.2703182017418</x:v>
      </x:c>
      <x:c r="V1424" s="20" t="n">
        <x:v>4.4</x:v>
      </x:c>
      <x:c r="W1424" s="20" t="n">
        <x:v>14.3</x:v>
      </x:c>
      <x:c r="X1424" s="20" t="n">
        <x:v>3.3</x:v>
      </x:c>
      <x:c r="Y1424" t="str">
        <x:v>Basis arsip 2025/2024</x:v>
      </x:c>
      <x:c r="Z1424" t="str">
        <x:v>https://snpmb.id/utbk-snbt/daya-tampung-snbt</x:v>
      </x:c>
      <x:c r="AA1424" t="str">
        <x:v>Tidak Ada</x:v>
      </x:c>
      <x:c r="AB1424" t="str">
        <x:v>Campus=90; Ratio=100.0; Prodi=65; RelDemand=100.0; Capacity=65.0</x:v>
      </x:c>
    </x:row>
    <x:row r="1425">
      <x:c r="A1425" t="n">
        <x:v>1422</x:v>
      </x:c>
      <x:c r="B1425" t="str">
        <x:v>PTN Akademik</x:v>
      </x:c>
      <x:c r="C1425" t="str">
        <x:v>INSTITUT PERTANIAN BOGOR</x:v>
      </x:c>
      <x:c r="D1425" t="str">
        <x:v>ANALISIS KIMIA</x:v>
      </x:c>
      <x:c r="E1425" t="str">
        <x:v>Sarjana Terapan</x:v>
      </x:c>
      <x:c r="F1425" s="18" t="n">
        <x:v>42</x:v>
      </x:c>
      <x:c r="G1425" s="18" t="n">
        <x:v>1775</x:v>
      </x:c>
      <x:c r="H1425" s="19" t="n">
        <x:v>42.26190476190476</x:v>
      </x:c>
      <x:c r="I1425" s="18" t="n">
        <x:f>ROUND(MIN(Model_Config_v3!$B$6,MAX(Q1425,R1425,S1425*Model_Config_v3!$B$4+T1425*Model_Config_v3!$B$5)),0)</x:f>
        <x:v>716</x:v>
      </x:c>
      <x:c r="J1425" s="18" t="n">
        <x:f>MIN(Model_Config_v3!$B$6,I1425+Model_Config_v3!$B$7)</x:f>
        <x:v>736</x:v>
      </x:c>
      <x:c r="K1425" s="20" t="n">
        <x:v>81.3</x:v>
      </x:c>
      <x:c r="L1425" t="str">
        <x:v>ELITE</x:v>
      </x:c>
      <x:c r="M1425" t="str">
        <x:v>SEDANG+</x:v>
      </x:c>
      <x:c r="N1425" t="str">
        <x:v>ELITE-2</x:v>
      </x:c>
      <x:c r="O1425" t="str">
        <x:v>SAINTEK</x:v>
      </x:c>
      <x:c r="P1425" t="str">
        <x:v>SAINS DASAR</x:v>
      </x:c>
      <x:c r="Q1425" s="18" t="n">
        <x:v>655</x:v>
      </x:c>
      <x:c r="R1425" s="18" t="n">
        <x:v>0</x:v>
      </x:c>
      <x:c r="S1425" s="18" t="n">
        <x:v>698.8543973692533</x:v>
      </x:c>
      <x:c r="T1425" s="18" t="n">
        <x:v>723</x:v>
      </x:c>
      <x:c r="U1425" s="18" t="n">
        <x:v>698.8543973692533</x:v>
      </x:c>
      <x:c r="V1425" s="20" t="n">
        <x:v>12</x:v>
      </x:c>
      <x:c r="W1425" s="20" t="n">
        <x:v>5</x:v>
      </x:c>
      <x:c r="X1425" s="20" t="n">
        <x:v>3</x:v>
      </x:c>
      <x:c r="Y1425" t="str">
        <x:v>Basis arsip 2025/2024</x:v>
      </x:c>
      <x:c r="Z1425" t="str">
        <x:v>https://snpmb.id/utbk-snbt/daya-tampung-snbt</x:v>
      </x:c>
      <x:c r="AA1425" t="str">
        <x:v>Tidak Ada</x:v>
      </x:c>
      <x:c r="AB1425" t="str">
        <x:v>Campus=90; Ratio=95.7; Prodi=50; RelDemand=94.2; Capacity=65.0</x:v>
      </x:c>
    </x:row>
    <x:row r="1426">
      <x:c r="A1426" t="n">
        <x:v>1423</x:v>
      </x:c>
      <x:c r="B1426" t="str">
        <x:v>PTN Akademik</x:v>
      </x:c>
      <x:c r="C1426" t="str">
        <x:v>INSTITUT PERTANIAN BOGOR</x:v>
      </x:c>
      <x:c r="D1426" t="str">
        <x:v>TEKNIK DAN MANAJEMEN LINGKUNGAN</x:v>
      </x:c>
      <x:c r="E1426" t="str">
        <x:v>Sarjana Terapan</x:v>
      </x:c>
      <x:c r="F1426" s="18" t="n">
        <x:v>42</x:v>
      </x:c>
      <x:c r="G1426" s="18" t="n">
        <x:v>2136</x:v>
      </x:c>
      <x:c r="H1426" s="19" t="n">
        <x:v>50.857142857142854</x:v>
      </x:c>
      <x:c r="I1426" s="18" t="n">
        <x:f>ROUND(MIN(Model_Config_v3!$B$6,MAX(Q1426,R1426,S1426*Model_Config_v3!$B$4+T1426*Model_Config_v3!$B$5)),0)</x:f>
        <x:v>725</x:v>
      </x:c>
      <x:c r="J1426" s="18" t="n">
        <x:f>MIN(Model_Config_v3!$B$6,I1426+Model_Config_v3!$B$7)</x:f>
        <x:v>745</x:v>
      </x:c>
      <x:c r="K1426" s="20" t="n">
        <x:v>86</x:v>
      </x:c>
      <x:c r="L1426" t="str">
        <x:v>ULTRA ELITE</x:v>
      </x:c>
      <x:c r="M1426" t="str">
        <x:v>SEDANG+</x:v>
      </x:c>
      <x:c r="N1426" t="str">
        <x:v>ELITE-2</x:v>
      </x:c>
      <x:c r="O1426" t="str">
        <x:v>SAINTEK</x:v>
      </x:c>
      <x:c r="P1426" t="str">
        <x:v>BISNIS/EKONOMI/AKUNTANSI</x:v>
      </x:c>
      <x:c r="Q1426" s="18" t="n">
        <x:v>655</x:v>
      </x:c>
      <x:c r="R1426" s="18" t="n">
        <x:v>680</x:v>
      </x:c>
      <x:c r="S1426" s="18" t="n">
        <x:v>707.698715375448</x:v>
      </x:c>
      <x:c r="T1426" s="18" t="n">
        <x:v>732</x:v>
      </x:c>
      <x:c r="U1426" s="18" t="n">
        <x:v>722.698715375448</x:v>
      </x:c>
      <x:c r="V1426" s="20" t="n">
        <x:v>12</x:v>
      </x:c>
      <x:c r="W1426" s="20" t="n">
        <x:v>5</x:v>
      </x:c>
      <x:c r="X1426" s="20" t="n">
        <x:v>3</x:v>
      </x:c>
      <x:c r="Y1426" t="str">
        <x:v>Basis arsip 2025/2024</x:v>
      </x:c>
      <x:c r="Z1426" t="str">
        <x:v>https://snpmb.id/utbk-snbt/daya-tampung-snbt</x:v>
      </x:c>
      <x:c r="AA1426" t="str">
        <x:v>Tidak Ada</x:v>
      </x:c>
      <x:c r="AB1426" t="str">
        <x:v>Campus=90; Ratio=100.0; Prodi=65; RelDemand=100.0; Capacity=65.0</x:v>
      </x:c>
    </x:row>
    <x:row r="1427">
      <x:c r="A1427" t="n">
        <x:v>1424</x:v>
      </x:c>
      <x:c r="B1427" t="str">
        <x:v>PTN Akademik</x:v>
      </x:c>
      <x:c r="C1427" t="str">
        <x:v>INSTITUT PERTANIAN BOGOR</x:v>
      </x:c>
      <x:c r="D1427" t="str">
        <x:v>AKUNTANSI</x:v>
      </x:c>
      <x:c r="E1427" t="str">
        <x:v>Sarjana Terapan</x:v>
      </x:c>
      <x:c r="F1427" s="18" t="n">
        <x:v>84</x:v>
      </x:c>
      <x:c r="G1427" s="18" t="n">
        <x:v>3525</x:v>
      </x:c>
      <x:c r="H1427" s="19" t="n">
        <x:v>41.964285714285715</x:v>
      </x:c>
      <x:c r="I1427" s="18" t="n">
        <x:f>ROUND(MIN(Model_Config_v3!$B$6,MAX(Q1427,R1427,S1427*Model_Config_v3!$B$4+T1427*Model_Config_v3!$B$5)),0)</x:f>
        <x:v>714</x:v>
      </x:c>
      <x:c r="J1427" s="18" t="n">
        <x:f>MIN(Model_Config_v3!$B$6,I1427+Model_Config_v3!$B$7)</x:f>
        <x:v>734</x:v>
      </x:c>
      <x:c r="K1427" s="20" t="n">
        <x:v>80.7</x:v>
      </x:c>
      <x:c r="L1427" t="str">
        <x:v>ELITE</x:v>
      </x:c>
      <x:c r="M1427" t="str">
        <x:v>SEDANG+</x:v>
      </x:c>
      <x:c r="N1427" t="str">
        <x:v>ELITE-2</x:v>
      </x:c>
      <x:c r="O1427" t="str">
        <x:v>SOSHUM</x:v>
      </x:c>
      <x:c r="P1427" t="str">
        <x:v>BISNIS/EKONOMI/AKUNTANSI</x:v>
      </x:c>
      <x:c r="Q1427" s="18" t="n">
        <x:v>655</x:v>
      </x:c>
      <x:c r="R1427" s="18" t="n">
        <x:v>680</x:v>
      </x:c>
      <x:c r="S1427" s="18" t="n">
        <x:v>698.5167818792089</x:v>
      </x:c>
      <x:c r="T1427" s="18" t="n">
        <x:v>721</x:v>
      </x:c>
      <x:c r="U1427" s="18" t="n">
        <x:v>698.5167818792089</x:v>
      </x:c>
      <x:c r="V1427" s="20" t="n">
        <x:v>4.4</x:v>
      </x:c>
      <x:c r="W1427" s="20" t="n">
        <x:v>14.3</x:v>
      </x:c>
      <x:c r="X1427" s="20" t="n">
        <x:v>3.3</x:v>
      </x:c>
      <x:c r="Y1427" t="str">
        <x:v>Basis arsip 2025/2024</x:v>
      </x:c>
      <x:c r="Z1427" t="str">
        <x:v>https://snpmb.id/utbk-snbt/daya-tampung-snbt</x:v>
      </x:c>
      <x:c r="AA1427" t="str">
        <x:v>Tidak Ada</x:v>
      </x:c>
      <x:c r="AB1427" t="str">
        <x:v>Campus=90; Ratio=95.5; Prodi=65; RelDemand=93.6; Capacity=30.0</x:v>
      </x:c>
    </x:row>
    <x:row r="1428">
      <x:c r="A1428" t="n">
        <x:v>1425</x:v>
      </x:c>
      <x:c r="B1428" t="str">
        <x:v>PTN Akademik</x:v>
      </x:c>
      <x:c r="C1428" t="str">
        <x:v>INSTITUT PERTANIAN BOGOR</x:v>
      </x:c>
      <x:c r="D1428" t="str">
        <x:v>PARAMEDIK VETERINER</x:v>
      </x:c>
      <x:c r="E1428" t="str">
        <x:v>Sarjana Terapan</x:v>
      </x:c>
      <x:c r="F1428" s="18" t="n">
        <x:v>21</x:v>
      </x:c>
      <x:c r="G1428" s="18" t="n">
        <x:v>660</x:v>
      </x:c>
      <x:c r="H1428" s="19" t="n">
        <x:v>31.428571428571427</x:v>
      </x:c>
      <x:c r="I1428" s="18" t="n">
        <x:f>ROUND(MIN(Model_Config_v3!$B$6,MAX(Q1428,R1428,S1428*Model_Config_v3!$B$4+T1428*Model_Config_v3!$B$5)),0)</x:f>
        <x:v>705</x:v>
      </x:c>
      <x:c r="J1428" s="18" t="n">
        <x:f>MIN(Model_Config_v3!$B$6,I1428+Model_Config_v3!$B$7)</x:f>
        <x:v>725</x:v>
      </x:c>
      <x:c r="K1428" s="20" t="n">
        <x:v>76.8</x:v>
      </x:c>
      <x:c r="L1428" t="str">
        <x:v>ELITE</x:v>
      </x:c>
      <x:c r="M1428" t="str">
        <x:v>SEDANG+</x:v>
      </x:c>
      <x:c r="N1428" t="str">
        <x:v>ELITE-2</x:v>
      </x:c>
      <x:c r="O1428" t="str">
        <x:v>CAMPURAN</x:v>
      </x:c>
      <x:c r="P1428" t="str">
        <x:v>UMUM</x:v>
      </x:c>
      <x:c r="Q1428" s="18" t="n">
        <x:v>655</x:v>
      </x:c>
      <x:c r="R1428" s="18" t="n">
        <x:v>0</x:v>
      </x:c>
      <x:c r="S1428" s="18" t="n">
        <x:v>684.7057104888744</x:v>
      </x:c>
      <x:c r="T1428" s="18" t="n">
        <x:v>714</x:v>
      </x:c>
      <x:c r="U1428" s="18" t="n">
        <x:v>684.7057104888744</x:v>
      </x:c>
      <x:c r="V1428" s="20" t="n">
        <x:v>8.8</x:v>
      </x:c>
      <x:c r="W1428" s="20" t="n">
        <x:v>9.9</x:v>
      </x:c>
      <x:c r="X1428" s="20" t="n">
        <x:v>3.3</x:v>
      </x:c>
      <x:c r="Y1428" t="str">
        <x:v>Basis arsip 2025/2024</x:v>
      </x:c>
      <x:c r="Z1428" t="str">
        <x:v>https://snpmb.id/utbk-snbt/daya-tampung-snbt</x:v>
      </x:c>
      <x:c r="AA1428" t="str">
        <x:v>Tidak Ada</x:v>
      </x:c>
      <x:c r="AB1428" t="str">
        <x:v>Campus=90; Ratio=88.1; Prodi=40; RelDemand=70.1; Capacity=82.5</x:v>
      </x:c>
    </x:row>
    <x:row r="1429">
      <x:c r="A1429" t="n">
        <x:v>1426</x:v>
      </x:c>
      <x:c r="B1429" t="str">
        <x:v>PTN Akademik</x:v>
      </x:c>
      <x:c r="C1429" t="str">
        <x:v>INSTITUT PERTANIAN BOGOR</x:v>
      </x:c>
      <x:c r="D1429" t="str">
        <x:v>TEKNOLOGI PRODUKSI DAN MANAJEMEN PERKEBUNAN</x:v>
      </x:c>
      <x:c r="E1429" t="str">
        <x:v>Sarjana Terapan</x:v>
      </x:c>
      <x:c r="F1429" s="18" t="n">
        <x:v>32</x:v>
      </x:c>
      <x:c r="G1429" s="18" t="n">
        <x:v>901</x:v>
      </x:c>
      <x:c r="H1429" s="19" t="n">
        <x:v>28.15625</x:v>
      </x:c>
      <x:c r="I1429" s="18" t="n">
        <x:f>ROUND(MIN(Model_Config_v3!$B$6,MAX(Q1429,R1429,S1429*Model_Config_v3!$B$4+T1429*Model_Config_v3!$B$5)),0)</x:f>
        <x:v>707</x:v>
      </x:c>
      <x:c r="J1429" s="18" t="n">
        <x:f>MIN(Model_Config_v3!$B$6,I1429+Model_Config_v3!$B$7)</x:f>
        <x:v>727</x:v>
      </x:c>
      <x:c r="K1429" s="20" t="n">
        <x:v>79.4</x:v>
      </x:c>
      <x:c r="L1429" t="str">
        <x:v>ELITE</x:v>
      </x:c>
      <x:c r="M1429" t="str">
        <x:v>SEDANG+</x:v>
      </x:c>
      <x:c r="N1429" t="str">
        <x:v>ELITE-2</x:v>
      </x:c>
      <x:c r="O1429" t="str">
        <x:v>SAINTEK</x:v>
      </x:c>
      <x:c r="P1429" t="str">
        <x:v>BISNIS/EKONOMI/AKUNTANSI</x:v>
      </x:c>
      <x:c r="Q1429" s="18" t="n">
        <x:v>655</x:v>
      </x:c>
      <x:c r="R1429" s="18" t="n">
        <x:v>680</x:v>
      </x:c>
      <x:c r="S1429" s="18" t="n">
        <x:v>679.4532293925073</x:v>
      </x:c>
      <x:c r="T1429" s="18" t="n">
        <x:v>719</x:v>
      </x:c>
      <x:c r="U1429" s="18" t="n">
        <x:v>694.4532293925073</x:v>
      </x:c>
      <x:c r="V1429" s="20" t="n">
        <x:v>12</x:v>
      </x:c>
      <x:c r="W1429" s="20" t="n">
        <x:v>5</x:v>
      </x:c>
      <x:c r="X1429" s="20" t="n">
        <x:v>3</x:v>
      </x:c>
      <x:c r="Y1429" t="str">
        <x:v>Basis arsip 2025/2024</x:v>
      </x:c>
      <x:c r="Z1429" t="str">
        <x:v>https://snpmb.id/utbk-snbt/daya-tampung-snbt</x:v>
      </x:c>
      <x:c r="AA1429" t="str">
        <x:v>Tidak Ada</x:v>
      </x:c>
      <x:c r="AB1429" t="str">
        <x:v>Campus=90; Ratio=85.3; Prodi=65; RelDemand=62.8; Capacity=73.3</x:v>
      </x:c>
    </x:row>
    <x:row r="1430">
      <x:c r="A1430" t="n">
        <x:v>1427</x:v>
      </x:c>
      <x:c r="B1430" t="str">
        <x:v>PTN Akademik</x:v>
      </x:c>
      <x:c r="C1430" t="str">
        <x:v>INSTITUT PERTANIAN BOGOR</x:v>
      </x:c>
      <x:c r="D1430" t="str">
        <x:v>TEKNOLOGI PRODUKSI DAN PENGEMBANGAN MASYARAKAT PERTANIAN</x:v>
      </x:c>
      <x:c r="E1430" t="str">
        <x:v>Sarjana Terapan</x:v>
      </x:c>
      <x:c r="F1430" s="18" t="n">
        <x:v>21</x:v>
      </x:c>
      <x:c r="G1430" s="18" t="n">
        <x:v>735</x:v>
      </x:c>
      <x:c r="H1430" s="19" t="n">
        <x:v>35</x:v>
      </x:c>
      <x:c r="I1430" s="18" t="n">
        <x:f>ROUND(MIN(Model_Config_v3!$B$6,MAX(Q1430,R1430,S1430*Model_Config_v3!$B$4+T1430*Model_Config_v3!$B$5)),0)</x:f>
        <x:v>709</x:v>
      </x:c>
      <x:c r="J1430" s="18" t="n">
        <x:f>MIN(Model_Config_v3!$B$6,I1430+Model_Config_v3!$B$7)</x:f>
        <x:v>729</x:v>
      </x:c>
      <x:c r="K1430" s="20" t="n">
        <x:v>78.3</x:v>
      </x:c>
      <x:c r="L1430" t="str">
        <x:v>ELITE</x:v>
      </x:c>
      <x:c r="M1430" t="str">
        <x:v>SEDANG+</x:v>
      </x:c>
      <x:c r="N1430" t="str">
        <x:v>ELITE-2</x:v>
      </x:c>
      <x:c r="O1430" t="str">
        <x:v>SAINTEK</x:v>
      </x:c>
      <x:c r="P1430" t="str">
        <x:v>UMUM</x:v>
      </x:c>
      <x:c r="Q1430" s="18" t="n">
        <x:v>655</x:v>
      </x:c>
      <x:c r="R1430" s="18" t="n">
        <x:v>0</x:v>
      </x:c>
      <x:c r="S1430" s="18" t="n">
        <x:v>689.8474848785303</x:v>
      </x:c>
      <x:c r="T1430" s="18" t="n">
        <x:v>717</x:v>
      </x:c>
      <x:c r="U1430" s="18" t="n">
        <x:v>689.8474848785303</x:v>
      </x:c>
      <x:c r="V1430" s="20" t="n">
        <x:v>12</x:v>
      </x:c>
      <x:c r="W1430" s="20" t="n">
        <x:v>5</x:v>
      </x:c>
      <x:c r="X1430" s="20" t="n">
        <x:v>3</x:v>
      </x:c>
      <x:c r="Y1430" t="str">
        <x:v>Basis arsip 2025/2024</x:v>
      </x:c>
      <x:c r="Z1430" t="str">
        <x:v>https://snpmb.id/utbk-snbt/daya-tampung-snbt</x:v>
      </x:c>
      <x:c r="AA1430" t="str">
        <x:v>Tidak Ada</x:v>
      </x:c>
      <x:c r="AB1430" t="str">
        <x:v>Campus=90; Ratio=90.9; Prodi=40; RelDemand=78.0; Capacity=82.5</x:v>
      </x:c>
    </x:row>
    <x:row r="1431">
      <x:c r="A1431" t="n">
        <x:v>1428</x:v>
      </x:c>
      <x:c r="B1431" t="str">
        <x:v>PTN Akademik</x:v>
      </x:c>
      <x:c r="C1431" t="str">
        <x:v>UNIVERSITAS SILIWANGI</x:v>
      </x:c>
      <x:c r="D1431" t="str">
        <x:v>PENDIDIKAN MATEMATIKA</x:v>
      </x:c>
      <x:c r="E1431" t="str">
        <x:v>Sarjana</x:v>
      </x:c>
      <x:c r="F1431" s="18" t="n">
        <x:v>98</x:v>
      </x:c>
      <x:c r="G1431" s="18" t="n">
        <x:v>282</x:v>
      </x:c>
      <x:c r="H1431" s="19" t="n">
        <x:v>2.877551020408163</x:v>
      </x:c>
      <x:c r="I1431" s="18" t="n">
        <x:f>ROUND(MIN(Model_Config_v3!$B$6,MAX(Q1431,R1431,S1431*Model_Config_v3!$B$4+T1431*Model_Config_v3!$B$5)),0)</x:f>
        <x:v>618</x:v>
      </x:c>
      <x:c r="J1431" s="18" t="n">
        <x:f>MIN(Model_Config_v3!$B$6,I1431+Model_Config_v3!$B$7)</x:f>
        <x:v>638</x:v>
      </x:c>
      <x:c r="K1431" s="20" t="n">
        <x:v>39.6</x:v>
      </x:c>
      <x:c r="L1431" t="str">
        <x:v>RELATIF LONGGAR</x:v>
      </x:c>
      <x:c r="M1431" t="str">
        <x:v>SEDANG+</x:v>
      </x:c>
      <x:c r="N1431" t="str">
        <x:v>REGULER</x:v>
      </x:c>
      <x:c r="O1431" t="str">
        <x:v>SAINTEK</x:v>
      </x:c>
      <x:c r="P1431" t="str">
        <x:v>PENDIDIKAN</x:v>
      </x:c>
      <x:c r="Q1431" s="18" t="n">
        <x:v>0</x:v>
      </x:c>
      <x:c r="R1431" s="18" t="n">
        <x:v>0</x:v>
      </x:c>
      <x:c r="S1431" s="18" t="n">
        <x:v>570.4925335889553</x:v>
      </x:c>
      <x:c r="T1431" s="18" t="n">
        <x:v>639</x:v>
      </x:c>
      <x:c r="U1431" s="18" t="n">
        <x:v>570.4925335889553</x:v>
      </x:c>
      <x:c r="V1431" s="20" t="n">
        <x:v>12</x:v>
      </x:c>
      <x:c r="W1431" s="20" t="n">
        <x:v>5</x:v>
      </x:c>
      <x:c r="X1431" s="20" t="n">
        <x:v>3</x:v>
      </x:c>
      <x:c r="Y1431" t="str">
        <x:v>Basis arsip 2025/2024</x:v>
      </x:c>
      <x:c r="Z1431" t="str">
        <x:v>https://snpmb.id/utbk-snbt/daya-tampung-snbt</x:v>
      </x:c>
      <x:c r="AA1431" t="str">
        <x:v>Tidak Ada</x:v>
      </x:c>
      <x:c r="AB1431" t="str">
        <x:v>Campus=55; Ratio=27.0; Prodi=45; RelDemand=28.0; Capacity=18.3</x:v>
      </x:c>
    </x:row>
    <x:row r="1432">
      <x:c r="A1432" t="n">
        <x:v>1429</x:v>
      </x:c>
      <x:c r="B1432" t="str">
        <x:v>PTN Akademik</x:v>
      </x:c>
      <x:c r="C1432" t="str">
        <x:v>UNIVERSITAS SILIWANGI</x:v>
      </x:c>
      <x:c r="D1432" t="str">
        <x:v>PENDIDIKAN BIOLOGI</x:v>
      </x:c>
      <x:c r="E1432" t="str">
        <x:v>Sarjana</x:v>
      </x:c>
      <x:c r="F1432" s="18" t="n">
        <x:v>94</x:v>
      </x:c>
      <x:c r="G1432" s="18" t="n">
        <x:v>336</x:v>
      </x:c>
      <x:c r="H1432" s="19" t="n">
        <x:v>3.574468085106383</x:v>
      </x:c>
      <x:c r="I1432" s="18" t="n">
        <x:f>ROUND(MIN(Model_Config_v3!$B$6,MAX(Q1432,R1432,S1432*Model_Config_v3!$B$4+T1432*Model_Config_v3!$B$5)),0)</x:f>
        <x:v>625</x:v>
      </x:c>
      <x:c r="J1432" s="18" t="n">
        <x:f>MIN(Model_Config_v3!$B$6,I1432+Model_Config_v3!$B$7)</x:f>
        <x:v>645</x:v>
      </x:c>
      <x:c r="K1432" s="20" t="n">
        <x:v>42</x:v>
      </x:c>
      <x:c r="L1432" t="str">
        <x:v>RELATIF LONGGAR</x:v>
      </x:c>
      <x:c r="M1432" t="str">
        <x:v>SEDANG+</x:v>
      </x:c>
      <x:c r="N1432" t="str">
        <x:v>REGULER</x:v>
      </x:c>
      <x:c r="O1432" t="str">
        <x:v>SAINTEK</x:v>
      </x:c>
      <x:c r="P1432" t="str">
        <x:v>PENDIDIKAN</x:v>
      </x:c>
      <x:c r="Q1432" s="18" t="n">
        <x:v>0</x:v>
      </x:c>
      <x:c r="R1432" s="18" t="n">
        <x:v>0</x:v>
      </x:c>
      <x:c r="S1432" s="18" t="n">
        <x:v>580.853256616916</x:v>
      </x:c>
      <x:c r="T1432" s="18" t="n">
        <x:v>644</x:v>
      </x:c>
      <x:c r="U1432" s="18" t="n">
        <x:v>580.853256616916</x:v>
      </x:c>
      <x:c r="V1432" s="20" t="n">
        <x:v>12</x:v>
      </x:c>
      <x:c r="W1432" s="20" t="n">
        <x:v>5</x:v>
      </x:c>
      <x:c r="X1432" s="20" t="n">
        <x:v>3</x:v>
      </x:c>
      <x:c r="Y1432" t="str">
        <x:v>Basis arsip 2025/2024</x:v>
      </x:c>
      <x:c r="Z1432" t="str">
        <x:v>https://snpmb.id/utbk-snbt/daya-tampung-snbt</x:v>
      </x:c>
      <x:c r="AA1432" t="str">
        <x:v>Tidak Ada</x:v>
      </x:c>
      <x:c r="AB1432" t="str">
        <x:v>Campus=55; Ratio=32.6; Prodi=45; RelDemand=34.7; Capacity=21.7</x:v>
      </x:c>
    </x:row>
    <x:row r="1433">
      <x:c r="A1433" t="n">
        <x:v>1430</x:v>
      </x:c>
      <x:c r="B1433" t="str">
        <x:v>PTN Akademik</x:v>
      </x:c>
      <x:c r="C1433" t="str">
        <x:v>UNIVERSITAS SILIWANGI</x:v>
      </x:c>
      <x:c r="D1433" t="str">
        <x:v>AGROTEKNOLOGI</x:v>
      </x:c>
      <x:c r="E1433" t="str">
        <x:v>Sarjana</x:v>
      </x:c>
      <x:c r="F1433" s="18" t="n">
        <x:v>84</x:v>
      </x:c>
      <x:c r="G1433" s="18" t="n">
        <x:v>265</x:v>
      </x:c>
      <x:c r="H1433" s="19" t="n">
        <x:v>3.1547619047619047</x:v>
      </x:c>
      <x:c r="I1433" s="18" t="n">
        <x:f>ROUND(MIN(Model_Config_v3!$B$6,MAX(Q1433,R1433,S1433*Model_Config_v3!$B$4+T1433*Model_Config_v3!$B$5)),0)</x:f>
        <x:v>621</x:v>
      </x:c>
      <x:c r="J1433" s="18" t="n">
        <x:f>MIN(Model_Config_v3!$B$6,I1433+Model_Config_v3!$B$7)</x:f>
        <x:v>641</x:v>
      </x:c>
      <x:c r="K1433" s="20" t="n">
        <x:v>40.7</x:v>
      </x:c>
      <x:c r="L1433" t="str">
        <x:v>RELATIF LONGGAR</x:v>
      </x:c>
      <x:c r="M1433" t="str">
        <x:v>SEDANG</x:v>
      </x:c>
      <x:c r="N1433" t="str">
        <x:v>REGULER</x:v>
      </x:c>
      <x:c r="O1433" t="str">
        <x:v>SAINTEK</x:v>
      </x:c>
      <x:c r="P1433" t="str">
        <x:v>UMUM</x:v>
      </x:c>
      <x:c r="Q1433" s="18" t="n">
        <x:v>0</x:v>
      </x:c>
      <x:c r="R1433" s="18" t="n">
        <x:v>0</x:v>
      </x:c>
      <x:c r="S1433" s="18" t="n">
        <x:v>574.8863246662419</x:v>
      </x:c>
      <x:c r="T1433" s="18" t="n">
        <x:v>641</x:v>
      </x:c>
      <x:c r="U1433" s="18" t="n">
        <x:v>574.8863246662419</x:v>
      </x:c>
      <x:c r="V1433" s="20" t="n">
        <x:v>12</x:v>
      </x:c>
      <x:c r="W1433" s="20" t="n">
        <x:v>5</x:v>
      </x:c>
      <x:c r="X1433" s="20" t="n">
        <x:v>3</x:v>
      </x:c>
      <x:c r="Y1433" t="str">
        <x:v>Basis arsip 2025/2024</x:v>
      </x:c>
      <x:c r="Z1433" t="str">
        <x:v>https://snpmb.id/utbk-snbt/daya-tampung-snbt</x:v>
      </x:c>
      <x:c r="AA1433" t="str">
        <x:v>Tidak Ada</x:v>
      </x:c>
      <x:c r="AB1433" t="str">
        <x:v>Campus=55; Ratio=29.4; Prodi=40; RelDemand=30.7; Capacity=30.0</x:v>
      </x:c>
    </x:row>
    <x:row r="1434">
      <x:c r="A1434" t="n">
        <x:v>1431</x:v>
      </x:c>
      <x:c r="B1434" t="str">
        <x:v>PTN Akademik</x:v>
      </x:c>
      <x:c r="C1434" t="str">
        <x:v>UNIVERSITAS SILIWANGI</x:v>
      </x:c>
      <x:c r="D1434" t="str">
        <x:v>AGRIBISNIS</x:v>
      </x:c>
      <x:c r="E1434" t="str">
        <x:v>Sarjana</x:v>
      </x:c>
      <x:c r="F1434" s="18" t="n">
        <x:v>108</x:v>
      </x:c>
      <x:c r="G1434" s="18" t="n">
        <x:v>419</x:v>
      </x:c>
      <x:c r="H1434" s="19" t="n">
        <x:v>3.8796296296296298</x:v>
      </x:c>
      <x:c r="I1434" s="18" t="n">
        <x:f>ROUND(MIN(Model_Config_v3!$B$6,MAX(Q1434,R1434,S1434*Model_Config_v3!$B$4+T1434*Model_Config_v3!$B$5)),0)</x:f>
        <x:v>631</x:v>
      </x:c>
      <x:c r="J1434" s="18" t="n">
        <x:f>MIN(Model_Config_v3!$B$6,I1434+Model_Config_v3!$B$7)</x:f>
        <x:v>651</x:v>
      </x:c>
      <x:c r="K1434" s="20" t="n">
        <x:v>45.7</x:v>
      </x:c>
      <x:c r="L1434" t="str">
        <x:v>MENENGAH</x:v>
      </x:c>
      <x:c r="M1434" t="str">
        <x:v>SEDANG+</x:v>
      </x:c>
      <x:c r="N1434" t="str">
        <x:v>REGULER</x:v>
      </x:c>
      <x:c r="O1434" t="str">
        <x:v>SOSHUM</x:v>
      </x:c>
      <x:c r="P1434" t="str">
        <x:v>BISNIS/EKONOMI/AKUNTANSI</x:v>
      </x:c>
      <x:c r="Q1434" s="18" t="n">
        <x:v>0</x:v>
      </x:c>
      <x:c r="R1434" s="18" t="n">
        <x:v>0</x:v>
      </x:c>
      <x:c r="S1434" s="18" t="n">
        <x:v>584.766929422728</x:v>
      </x:c>
      <x:c r="T1434" s="18" t="n">
        <x:v>651</x:v>
      </x:c>
      <x:c r="U1434" s="18" t="n">
        <x:v>599.766929422728</x:v>
      </x:c>
      <x:c r="V1434" s="20" t="n">
        <x:v>4.4</x:v>
      </x:c>
      <x:c r="W1434" s="20" t="n">
        <x:v>14.3</x:v>
      </x:c>
      <x:c r="X1434" s="20" t="n">
        <x:v>3.3</x:v>
      </x:c>
      <x:c r="Y1434" t="str">
        <x:v>Basis arsip 2025/2024</x:v>
      </x:c>
      <x:c r="Z1434" t="str">
        <x:v>https://snpmb.id/utbk-snbt/daya-tampung-snbt</x:v>
      </x:c>
      <x:c r="AA1434" t="str">
        <x:v>Tidak Ada</x:v>
      </x:c>
      <x:c r="AB1434" t="str">
        <x:v>Campus=55; Ratio=34.7; Prodi=65; RelDemand=37.7; Capacity=10.0</x:v>
      </x:c>
    </x:row>
    <x:row r="1435">
      <x:c r="A1435" t="n">
        <x:v>1432</x:v>
      </x:c>
      <x:c r="B1435" t="str">
        <x:v>PTN Akademik</x:v>
      </x:c>
      <x:c r="C1435" t="str">
        <x:v>UNIVERSITAS SILIWANGI</x:v>
      </x:c>
      <x:c r="D1435" t="str">
        <x:v>TEKNIK SIPIL</x:v>
      </x:c>
      <x:c r="E1435" t="str">
        <x:v>Sarjana</x:v>
      </x:c>
      <x:c r="F1435" s="18" t="n">
        <x:v>84</x:v>
      </x:c>
      <x:c r="G1435" s="18" t="n">
        <x:v>485</x:v>
      </x:c>
      <x:c r="H1435" s="19" t="n">
        <x:v>5.773809523809524</x:v>
      </x:c>
      <x:c r="I1435" s="18" t="n">
        <x:f>ROUND(MIN(Model_Config_v3!$B$6,MAX(Q1435,R1435,S1435*Model_Config_v3!$B$4+T1435*Model_Config_v3!$B$5)),0)</x:f>
        <x:v>645</x:v>
      </x:c>
      <x:c r="J1435" s="18" t="n">
        <x:f>MIN(Model_Config_v3!$B$6,I1435+Model_Config_v3!$B$7)</x:f>
        <x:v>665</x:v>
      </x:c>
      <x:c r="K1435" s="20" t="n">
        <x:v>51.1</x:v>
      </x:c>
      <x:c r="L1435" t="str">
        <x:v>MENENGAH</x:v>
      </x:c>
      <x:c r="M1435" t="str">
        <x:v>SEDANG+</x:v>
      </x:c>
      <x:c r="N1435" t="str">
        <x:v>REGULER</x:v>
      </x:c>
      <x:c r="O1435" t="str">
        <x:v>SAINTEK</x:v>
      </x:c>
      <x:c r="P1435" t="str">
        <x:v>TEKNIK/ARSITEKTUR/STATISTIKA/AKTUARIA</x:v>
      </x:c>
      <x:c r="Q1435" s="18" t="n">
        <x:v>0</x:v>
      </x:c>
      <x:c r="R1435" s="18" t="n">
        <x:v>0</x:v>
      </x:c>
      <x:c r="S1435" s="18" t="n">
        <x:v>603.760869779442</x:v>
      </x:c>
      <x:c r="T1435" s="18" t="n">
        <x:v>662</x:v>
      </x:c>
      <x:c r="U1435" s="18" t="n">
        <x:v>613.760869779442</x:v>
      </x:c>
      <x:c r="V1435" s="20" t="n">
        <x:v>12</x:v>
      </x:c>
      <x:c r="W1435" s="20" t="n">
        <x:v>5</x:v>
      </x:c>
      <x:c r="X1435" s="20" t="n">
        <x:v>3</x:v>
      </x:c>
      <x:c r="Y1435" t="str">
        <x:v>Basis arsip 2025/2024</x:v>
      </x:c>
      <x:c r="Z1435" t="str">
        <x:v>https://snpmb.id/utbk-snbt/daya-tampung-snbt</x:v>
      </x:c>
      <x:c r="AA1435" t="str">
        <x:v>Tidak Ada</x:v>
      </x:c>
      <x:c r="AB1435" t="str">
        <x:v>Campus=55; Ratio=44.8; Prodi=60; RelDemand=56.1; Capacity=30.0</x:v>
      </x:c>
    </x:row>
    <x:row r="1436">
      <x:c r="A1436" t="n">
        <x:v>1433</x:v>
      </x:c>
      <x:c r="B1436" t="str">
        <x:v>PTN Akademik</x:v>
      </x:c>
      <x:c r="C1436" t="str">
        <x:v>UNIVERSITAS SILIWANGI</x:v>
      </x:c>
      <x:c r="D1436" t="str">
        <x:v>TEKNIK ELEKTRO</x:v>
      </x:c>
      <x:c r="E1436" t="str">
        <x:v>Sarjana</x:v>
      </x:c>
      <x:c r="F1436" s="18" t="n">
        <x:v>60</x:v>
      </x:c>
      <x:c r="G1436" s="18" t="n">
        <x:v>266</x:v>
      </x:c>
      <x:c r="H1436" s="19" t="n">
        <x:v>4.433333333333334</x:v>
      </x:c>
      <x:c r="I1436" s="18" t="n">
        <x:f>ROUND(MIN(Model_Config_v3!$B$6,MAX(Q1436,R1436,S1436*Model_Config_v3!$B$4+T1436*Model_Config_v3!$B$5)),0)</x:f>
        <x:v>639</x:v>
      </x:c>
      <x:c r="J1436" s="18" t="n">
        <x:f>MIN(Model_Config_v3!$B$6,I1436+Model_Config_v3!$B$7)</x:f>
        <x:v>659</x:v>
      </x:c>
      <x:c r="K1436" s="20" t="n">
        <x:v>50.1</x:v>
      </x:c>
      <x:c r="L1436" t="str">
        <x:v>MENENGAH</x:v>
      </x:c>
      <x:c r="M1436" t="str">
        <x:v>SEDANG+</x:v>
      </x:c>
      <x:c r="N1436" t="str">
        <x:v>REGULER</x:v>
      </x:c>
      <x:c r="O1436" t="str">
        <x:v>SAINTEK</x:v>
      </x:c>
      <x:c r="P1436" t="str">
        <x:v>TEKNIK/ARSITEKTUR/STATISTIKA/AKTUARIA</x:v>
      </x:c>
      <x:c r="Q1436" s="18" t="n">
        <x:v>0</x:v>
      </x:c>
      <x:c r="R1436" s="18" t="n">
        <x:v>0</x:v>
      </x:c>
      <x:c r="S1436" s="18" t="n">
        <x:v>591.1403424872166</x:v>
      </x:c>
      <x:c r="T1436" s="18" t="n">
        <x:v>660</x:v>
      </x:c>
      <x:c r="U1436" s="18" t="n">
        <x:v>601.1403424872166</x:v>
      </x:c>
      <x:c r="V1436" s="20" t="n">
        <x:v>12</x:v>
      </x:c>
      <x:c r="W1436" s="20" t="n">
        <x:v>5</x:v>
      </x:c>
      <x:c r="X1436" s="20" t="n">
        <x:v>3</x:v>
      </x:c>
      <x:c r="Y1436" t="str">
        <x:v>Basis arsip 2025/2024</x:v>
      </x:c>
      <x:c r="Z1436" t="str">
        <x:v>https://snpmb.id/utbk-snbt/daya-tampung-snbt</x:v>
      </x:c>
      <x:c r="AA1436" t="str">
        <x:v>Tidak Ada</x:v>
      </x:c>
      <x:c r="AB1436" t="str">
        <x:v>Campus=55; Ratio=38.1; Prodi=60; RelDemand=43.1; Capacity=50.0</x:v>
      </x:c>
    </x:row>
    <x:row r="1437">
      <x:c r="A1437" t="n">
        <x:v>1434</x:v>
      </x:c>
      <x:c r="B1437" t="str">
        <x:v>PTN Akademik</x:v>
      </x:c>
      <x:c r="C1437" t="str">
        <x:v>UNIVERSITAS SILIWANGI</x:v>
      </x:c>
      <x:c r="D1437" t="str">
        <x:v>INFORMATIKA</x:v>
      </x:c>
      <x:c r="E1437" t="str">
        <x:v>Sarjana</x:v>
      </x:c>
      <x:c r="F1437" s="18" t="n">
        <x:v>116</x:v>
      </x:c>
      <x:c r="G1437" s="18" t="n">
        <x:v>859</x:v>
      </x:c>
      <x:c r="H1437" s="19" t="n">
        <x:v>7.405172413793103</x:v>
      </x:c>
      <x:c r="I1437" s="18" t="n">
        <x:f>ROUND(MIN(Model_Config_v3!$B$6,MAX(Q1437,R1437,S1437*Model_Config_v3!$B$4+T1437*Model_Config_v3!$B$5)),0)</x:f>
        <x:v>656</x:v>
      </x:c>
      <x:c r="J1437" s="18" t="n">
        <x:f>MIN(Model_Config_v3!$B$6,I1437+Model_Config_v3!$B$7)</x:f>
        <x:v>676</x:v>
      </x:c>
      <x:c r="K1437" s="20" t="n">
        <x:v>56.6</x:v>
      </x:c>
      <x:c r="L1437" t="str">
        <x:v>KETAT</x:v>
      </x:c>
      <x:c r="M1437" t="str">
        <x:v>SEDANG+</x:v>
      </x:c>
      <x:c r="N1437" t="str">
        <x:v>REGULER</x:v>
      </x:c>
      <x:c r="O1437" t="str">
        <x:v>SAINTEK</x:v>
      </x:c>
      <x:c r="P1437" t="str">
        <x:v>KOMPUTER/INFORMATIKA</x:v>
      </x:c>
      <x:c r="Q1437" s="18" t="n">
        <x:v>0</x:v>
      </x:c>
      <x:c r="R1437" s="18" t="n">
        <x:v>0</x:v>
      </x:c>
      <x:c r="S1437" s="18" t="n">
        <x:v>615.6488692064756</x:v>
      </x:c>
      <x:c r="T1437" s="18" t="n">
        <x:v>673</x:v>
      </x:c>
      <x:c r="U1437" s="18" t="n">
        <x:v>640.6488692064756</x:v>
      </x:c>
      <x:c r="V1437" s="20" t="n">
        <x:v>12</x:v>
      </x:c>
      <x:c r="W1437" s="20" t="n">
        <x:v>5</x:v>
      </x:c>
      <x:c r="X1437" s="20" t="n">
        <x:v>3</x:v>
      </x:c>
      <x:c r="Y1437" t="str">
        <x:v>Basis arsip 2025/2024</x:v>
      </x:c>
      <x:c r="Z1437" t="str">
        <x:v>https://snpmb.id/utbk-snbt/daya-tampung-snbt</x:v>
      </x:c>
      <x:c r="AA1437" t="str">
        <x:v>Tidak Ada</x:v>
      </x:c>
      <x:c r="AB1437" t="str">
        <x:v>Campus=55; Ratio=51.2; Prodi=85; RelDemand=72.0; Capacity=3.3</x:v>
      </x:c>
    </x:row>
    <x:row r="1438">
      <x:c r="A1438" t="n">
        <x:v>1435</x:v>
      </x:c>
      <x:c r="B1438" t="str">
        <x:v>PTN Akademik</x:v>
      </x:c>
      <x:c r="C1438" t="str">
        <x:v>UNIVERSITAS SILIWANGI</x:v>
      </x:c>
      <x:c r="D1438" t="str">
        <x:v>KESEHATAN MASYARAKAT</x:v>
      </x:c>
      <x:c r="E1438" t="str">
        <x:v>Sarjana</x:v>
      </x:c>
      <x:c r="F1438" s="18" t="n">
        <x:v>105</x:v>
      </x:c>
      <x:c r="G1438" s="18" t="n">
        <x:v>898</x:v>
      </x:c>
      <x:c r="H1438" s="19" t="n">
        <x:v>8.552380952380952</x:v>
      </x:c>
      <x:c r="I1438" s="18" t="n">
        <x:f>ROUND(MIN(Model_Config_v3!$B$6,MAX(Q1438,R1438,S1438*Model_Config_v3!$B$4+T1438*Model_Config_v3!$B$5)),0)</x:f>
        <x:v>654</x:v>
      </x:c>
      <x:c r="J1438" s="18" t="n">
        <x:f>MIN(Model_Config_v3!$B$6,I1438+Model_Config_v3!$B$7)</x:f>
        <x:v>674</x:v>
      </x:c>
      <x:c r="K1438" s="20" t="n">
        <x:v>53.5</x:v>
      </x:c>
      <x:c r="L1438" t="str">
        <x:v>MENENGAH</x:v>
      </x:c>
      <x:c r="M1438" t="str">
        <x:v>SEDANG+</x:v>
      </x:c>
      <x:c r="N1438" t="str">
        <x:v>REGULER</x:v>
      </x:c>
      <x:c r="O1438" t="str">
        <x:v>SAINTEK</x:v>
      </x:c>
      <x:c r="P1438" t="str">
        <x:v>KESEHAT/GIZI/KEPERAWATAN</x:v>
      </x:c>
      <x:c r="Q1438" s="18" t="n">
        <x:v>0</x:v>
      </x:c>
      <x:c r="R1438" s="18" t="n">
        <x:v>0</x:v>
      </x:c>
      <x:c r="S1438" s="18" t="n">
        <x:v>622.5295741357103</x:v>
      </x:c>
      <x:c r="T1438" s="18" t="n">
        <x:v>667</x:v>
      </x:c>
      <x:c r="U1438" s="18" t="n">
        <x:v>622.5295741357103</x:v>
      </x:c>
      <x:c r="V1438" s="20" t="n">
        <x:v>12</x:v>
      </x:c>
      <x:c r="W1438" s="20" t="n">
        <x:v>5</x:v>
      </x:c>
      <x:c r="X1438" s="20" t="n">
        <x:v>3</x:v>
      </x:c>
      <x:c r="Y1438" t="str">
        <x:v>Basis arsip 2025/2024</x:v>
      </x:c>
      <x:c r="Z1438" t="str">
        <x:v>https://snpmb.id/utbk-snbt/daya-tampung-snbt</x:v>
      </x:c>
      <x:c r="AA1438" t="str">
        <x:v>Tidak Ada</x:v>
      </x:c>
      <x:c r="AB1438" t="str">
        <x:v>Campus=55; Ratio=54.9; Prodi=55; RelDemand=83.1; Capacity=12.5</x:v>
      </x:c>
    </x:row>
    <x:row r="1439">
      <x:c r="A1439" t="n">
        <x:v>1436</x:v>
      </x:c>
      <x:c r="B1439" t="str">
        <x:v>PTN Akademik</x:v>
      </x:c>
      <x:c r="C1439" t="str">
        <x:v>UNIVERSITAS SILIWANGI</x:v>
      </x:c>
      <x:c r="D1439" t="str">
        <x:v>PENDIDIKAN FISIKA</x:v>
      </x:c>
      <x:c r="E1439" t="str">
        <x:v>Sarjana</x:v>
      </x:c>
      <x:c r="F1439" s="18" t="n">
        <x:v>50</x:v>
      </x:c>
      <x:c r="G1439" s="18" t="n">
        <x:v>109</x:v>
      </x:c>
      <x:c r="H1439" s="19" t="n">
        <x:v>2.18</x:v>
      </x:c>
      <x:c r="I1439" s="18" t="n">
        <x:f>ROUND(MIN(Model_Config_v3!$B$6,MAX(Q1439,R1439,S1439*Model_Config_v3!$B$4+T1439*Model_Config_v3!$B$5)),0)</x:f>
        <x:v>617</x:v>
      </x:c>
      <x:c r="J1439" s="18" t="n">
        <x:f>MIN(Model_Config_v3!$B$6,I1439+Model_Config_v3!$B$7)</x:f>
        <x:v>637</x:v>
      </x:c>
      <x:c r="K1439" s="20" t="n">
        <x:v>41.2</x:v>
      </x:c>
      <x:c r="L1439" t="str">
        <x:v>RELATIF LONGGAR</x:v>
      </x:c>
      <x:c r="M1439" t="str">
        <x:v>SEDANG+</x:v>
      </x:c>
      <x:c r="N1439" t="str">
        <x:v>REGULER</x:v>
      </x:c>
      <x:c r="O1439" t="str">
        <x:v>SAINTEK</x:v>
      </x:c>
      <x:c r="P1439" t="str">
        <x:v>PENDIDIKAN</x:v>
      </x:c>
      <x:c r="Q1439" s="18" t="n">
        <x:v>0</x:v>
      </x:c>
      <x:c r="R1439" s="18" t="n">
        <x:v>0</x:v>
      </x:c>
      <x:c r="S1439" s="18" t="n">
        <x:v>557.2302142965066</x:v>
      </x:c>
      <x:c r="T1439" s="18" t="n">
        <x:v>642</x:v>
      </x:c>
      <x:c r="U1439" s="18" t="n">
        <x:v>557.2302142965066</x:v>
      </x:c>
      <x:c r="V1439" s="20" t="n">
        <x:v>12</x:v>
      </x:c>
      <x:c r="W1439" s="20" t="n">
        <x:v>5</x:v>
      </x:c>
      <x:c r="X1439" s="20" t="n">
        <x:v>3</x:v>
      </x:c>
      <x:c r="Y1439" t="str">
        <x:v>Basis arsip 2025/2024</x:v>
      </x:c>
      <x:c r="Z1439" t="str">
        <x:v>https://snpmb.id/utbk-snbt/daya-tampung-snbt</x:v>
      </x:c>
      <x:c r="AA1439" t="str">
        <x:v>Tidak Ada</x:v>
      </x:c>
      <x:c r="AB1439" t="str">
        <x:v>Campus=55; Ratio=19.9; Prodi=45; RelDemand=21.2; Capacity=58.3</x:v>
      </x:c>
    </x:row>
    <x:row r="1440">
      <x:c r="A1440" t="n">
        <x:v>1437</x:v>
      </x:c>
      <x:c r="B1440" t="str">
        <x:v>PTN Akademik</x:v>
      </x:c>
      <x:c r="C1440" t="str">
        <x:v>UNIVERSITAS SILIWANGI</x:v>
      </x:c>
      <x:c r="D1440" t="str">
        <x:v>GIZI</x:v>
      </x:c>
      <x:c r="E1440" t="str">
        <x:v>Sarjana</x:v>
      </x:c>
      <x:c r="F1440" s="18" t="n">
        <x:v>88</x:v>
      </x:c>
      <x:c r="G1440" s="18" t="n">
        <x:v>729</x:v>
      </x:c>
      <x:c r="H1440" s="19" t="n">
        <x:v>8.284090909090908</x:v>
      </x:c>
      <x:c r="I1440" s="18" t="n">
        <x:f>ROUND(MIN(Model_Config_v3!$B$6,MAX(Q1440,R1440,S1440*Model_Config_v3!$B$4+T1440*Model_Config_v3!$B$5)),0)</x:f>
        <x:v>655</x:v>
      </x:c>
      <x:c r="J1440" s="18" t="n">
        <x:f>MIN(Model_Config_v3!$B$6,I1440+Model_Config_v3!$B$7)</x:f>
        <x:v>675</x:v>
      </x:c>
      <x:c r="K1440" s="20" t="n">
        <x:v>54.5</x:v>
      </x:c>
      <x:c r="L1440" t="str">
        <x:v>MENENGAH</x:v>
      </x:c>
      <x:c r="M1440" t="str">
        <x:v>SEDANG+</x:v>
      </x:c>
      <x:c r="N1440" t="str">
        <x:v>REGULER</x:v>
      </x:c>
      <x:c r="O1440" t="str">
        <x:v>SAINTEK</x:v>
      </x:c>
      <x:c r="P1440" t="str">
        <x:v>KESEHAT/GIZI/KEPERAWATAN</x:v>
      </x:c>
      <x:c r="Q1440" s="18" t="n">
        <x:v>0</x:v>
      </x:c>
      <x:c r="R1440" s="18" t="n">
        <x:v>0</x:v>
      </x:c>
      <x:c r="S1440" s="18" t="n">
        <x:v>621.0069341784587</x:v>
      </x:c>
      <x:c r="T1440" s="18" t="n">
        <x:v>669</x:v>
      </x:c>
      <x:c r="U1440" s="18" t="n">
        <x:v>621.0069341784587</x:v>
      </x:c>
      <x:c r="V1440" s="20" t="n">
        <x:v>12</x:v>
      </x:c>
      <x:c r="W1440" s="20" t="n">
        <x:v>5</x:v>
      </x:c>
      <x:c r="X1440" s="20" t="n">
        <x:v>3</x:v>
      </x:c>
      <x:c r="Y1440" t="str">
        <x:v>Basis arsip 2025/2024</x:v>
      </x:c>
      <x:c r="Z1440" t="str">
        <x:v>https://snpmb.id/utbk-snbt/daya-tampung-snbt</x:v>
      </x:c>
      <x:c r="AA1440" t="str">
        <x:v>Tidak Ada</x:v>
      </x:c>
      <x:c r="AB1440" t="str">
        <x:v>Campus=55; Ratio=54.0; Prodi=55; RelDemand=80.5; Capacity=26.7</x:v>
      </x:c>
    </x:row>
    <x:row r="1441">
      <x:c r="A1441" t="n">
        <x:v>1438</x:v>
      </x:c>
      <x:c r="B1441" t="str">
        <x:v>PTN Akademik</x:v>
      </x:c>
      <x:c r="C1441" t="str">
        <x:v>UNIVERSITAS SILIWANGI</x:v>
      </x:c>
      <x:c r="D1441" t="str">
        <x:v>PENDIDIKAN MASYARAKAT</x:v>
      </x:c>
      <x:c r="E1441" t="str">
        <x:v>Sarjana</x:v>
      </x:c>
      <x:c r="F1441" s="18" t="n">
        <x:v>93</x:v>
      </x:c>
      <x:c r="G1441" s="18" t="n">
        <x:v>270</x:v>
      </x:c>
      <x:c r="H1441" s="19" t="n">
        <x:v>2.903225806451613</x:v>
      </x:c>
      <x:c r="I1441" s="18" t="n">
        <x:f>ROUND(MIN(Model_Config_v3!$B$6,MAX(Q1441,R1441,S1441*Model_Config_v3!$B$4+T1441*Model_Config_v3!$B$5)),0)</x:f>
        <x:v>619</x:v>
      </x:c>
      <x:c r="J1441" s="18" t="n">
        <x:f>MIN(Model_Config_v3!$B$6,I1441+Model_Config_v3!$B$7)</x:f>
        <x:v>639</x:v>
      </x:c>
      <x:c r="K1441" s="20" t="n">
        <x:v>40.1</x:v>
      </x:c>
      <x:c r="L1441" t="str">
        <x:v>RELATIF LONGGAR</x:v>
      </x:c>
      <x:c r="M1441" t="str">
        <x:v>SEDANG+</x:v>
      </x:c>
      <x:c r="N1441" t="str">
        <x:v>REGULER</x:v>
      </x:c>
      <x:c r="O1441" t="str">
        <x:v>CAMPURAN</x:v>
      </x:c>
      <x:c r="P1441" t="str">
        <x:v>PENDIDIKAN</x:v>
      </x:c>
      <x:c r="Q1441" s="18" t="n">
        <x:v>0</x:v>
      </x:c>
      <x:c r="R1441" s="18" t="n">
        <x:v>0</x:v>
      </x:c>
      <x:c r="S1441" s="18" t="n">
        <x:v>570.9168897165557</x:v>
      </x:c>
      <x:c r="T1441" s="18" t="n">
        <x:v>640</x:v>
      </x:c>
      <x:c r="U1441" s="18" t="n">
        <x:v>570.9168897165557</x:v>
      </x:c>
      <x:c r="V1441" s="20" t="n">
        <x:v>8.8</x:v>
      </x:c>
      <x:c r="W1441" s="20" t="n">
        <x:v>9.9</x:v>
      </x:c>
      <x:c r="X1441" s="20" t="n">
        <x:v>3.3</x:v>
      </x:c>
      <x:c r="Y1441" t="str">
        <x:v>Basis arsip 2025/2024</x:v>
      </x:c>
      <x:c r="Z1441" t="str">
        <x:v>https://snpmb.id/utbk-snbt/daya-tampung-snbt</x:v>
      </x:c>
      <x:c r="AA1441" t="str">
        <x:v>Tidak Ada</x:v>
      </x:c>
      <x:c r="AB1441" t="str">
        <x:v>Campus=55; Ratio=27.2; Prodi=45; RelDemand=28.2; Capacity=22.5</x:v>
      </x:c>
    </x:row>
    <x:row r="1442">
      <x:c r="A1442" t="n">
        <x:v>1439</x:v>
      </x:c>
      <x:c r="B1442" t="str">
        <x:v>PTN Akademik</x:v>
      </x:c>
      <x:c r="C1442" t="str">
        <x:v>UNIVERSITAS SILIWANGI</x:v>
      </x:c>
      <x:c r="D1442" t="str">
        <x:v>PENDIDIKAN EKONOMI</x:v>
      </x:c>
      <x:c r="E1442" t="str">
        <x:v>Sarjana</x:v>
      </x:c>
      <x:c r="F1442" s="18" t="n">
        <x:v>93</x:v>
      </x:c>
      <x:c r="G1442" s="18" t="n">
        <x:v>263</x:v>
      </x:c>
      <x:c r="H1442" s="19" t="n">
        <x:v>2.827956989247312</x:v>
      </x:c>
      <x:c r="I1442" s="18" t="n">
        <x:f>ROUND(MIN(Model_Config_v3!$B$6,MAX(Q1442,R1442,S1442*Model_Config_v3!$B$4+T1442*Model_Config_v3!$B$5)),0)</x:f>
        <x:v>619</x:v>
      </x:c>
      <x:c r="J1442" s="18" t="n">
        <x:f>MIN(Model_Config_v3!$B$6,I1442+Model_Config_v3!$B$7)</x:f>
        <x:v>639</x:v>
      </x:c>
      <x:c r="K1442" s="20" t="n">
        <x:v>39.9</x:v>
      </x:c>
      <x:c r="L1442" t="str">
        <x:v>RELATIF LONGGAR</x:v>
      </x:c>
      <x:c r="M1442" t="str">
        <x:v>SEDANG+</x:v>
      </x:c>
      <x:c r="N1442" t="str">
        <x:v>REGULER</x:v>
      </x:c>
      <x:c r="O1442" t="str">
        <x:v>SOSHUM</x:v>
      </x:c>
      <x:c r="P1442" t="str">
        <x:v>PENDIDIKAN</x:v>
      </x:c>
      <x:c r="Q1442" s="18" t="n">
        <x:v>0</x:v>
      </x:c>
      <x:c r="R1442" s="18" t="n">
        <x:v>0</x:v>
      </x:c>
      <x:c r="S1442" s="18" t="n">
        <x:v>569.6620079929405</x:v>
      </x:c>
      <x:c r="T1442" s="18" t="n">
        <x:v>640</x:v>
      </x:c>
      <x:c r="U1442" s="18" t="n">
        <x:v>569.6620079929405</x:v>
      </x:c>
      <x:c r="V1442" s="20" t="n">
        <x:v>4.4</x:v>
      </x:c>
      <x:c r="W1442" s="20" t="n">
        <x:v>14.3</x:v>
      </x:c>
      <x:c r="X1442" s="20" t="n">
        <x:v>3.3</x:v>
      </x:c>
      <x:c r="Y1442" t="str">
        <x:v>Basis arsip 2025/2024</x:v>
      </x:c>
      <x:c r="Z1442" t="str">
        <x:v>https://snpmb.id/utbk-snbt/daya-tampung-snbt</x:v>
      </x:c>
      <x:c r="AA1442" t="str">
        <x:v>Tidak Ada</x:v>
      </x:c>
      <x:c r="AB1442" t="str">
        <x:v>Campus=55; Ratio=26.6; Prodi=45; RelDemand=27.5; Capacity=22.5</x:v>
      </x:c>
    </x:row>
    <x:row r="1443">
      <x:c r="A1443" t="n">
        <x:v>1440</x:v>
      </x:c>
      <x:c r="B1443" t="str">
        <x:v>PTN Akademik</x:v>
      </x:c>
      <x:c r="C1443" t="str">
        <x:v>UNIVERSITAS SILIWANGI</x:v>
      </x:c>
      <x:c r="D1443" t="str">
        <x:v>PENDIDIKAN GEOGRAFI</x:v>
      </x:c>
      <x:c r="E1443" t="str">
        <x:v>Sarjana</x:v>
      </x:c>
      <x:c r="F1443" s="18" t="n">
        <x:v>92</x:v>
      </x:c>
      <x:c r="G1443" s="18" t="n">
        <x:v>292</x:v>
      </x:c>
      <x:c r="H1443" s="19" t="n">
        <x:v>3.1739130434782608</x:v>
      </x:c>
      <x:c r="I1443" s="18" t="n">
        <x:f>ROUND(MIN(Model_Config_v3!$B$6,MAX(Q1443,R1443,S1443*Model_Config_v3!$B$4+T1443*Model_Config_v3!$B$5)),0)</x:f>
        <x:v>622</x:v>
      </x:c>
      <x:c r="J1443" s="18" t="n">
        <x:f>MIN(Model_Config_v3!$B$6,I1443+Model_Config_v3!$B$7)</x:f>
        <x:v>642</x:v>
      </x:c>
      <x:c r="K1443" s="20" t="n">
        <x:v>41</x:v>
      </x:c>
      <x:c r="L1443" t="str">
        <x:v>RELATIF LONGGAR</x:v>
      </x:c>
      <x:c r="M1443" t="str">
        <x:v>SEDANG+</x:v>
      </x:c>
      <x:c r="N1443" t="str">
        <x:v>REGULER</x:v>
      </x:c>
      <x:c r="O1443" t="str">
        <x:v>CAMPURAN</x:v>
      </x:c>
      <x:c r="P1443" t="str">
        <x:v>PENDIDIKAN</x:v>
      </x:c>
      <x:c r="Q1443" s="18" t="n">
        <x:v>0</x:v>
      </x:c>
      <x:c r="R1443" s="18" t="n">
        <x:v>0</x:v>
      </x:c>
      <x:c r="S1443" s="18" t="n">
        <x:v>575.1754526513149</x:v>
      </x:c>
      <x:c r="T1443" s="18" t="n">
        <x:v>642</x:v>
      </x:c>
      <x:c r="U1443" s="18" t="n">
        <x:v>575.1754526513149</x:v>
      </x:c>
      <x:c r="V1443" s="20" t="n">
        <x:v>8.8</x:v>
      </x:c>
      <x:c r="W1443" s="20" t="n">
        <x:v>9.9</x:v>
      </x:c>
      <x:c r="X1443" s="20" t="n">
        <x:v>3.3</x:v>
      </x:c>
      <x:c r="Y1443" t="str">
        <x:v>Basis arsip 2025/2024</x:v>
      </x:c>
      <x:c r="Z1443" t="str">
        <x:v>https://snpmb.id/utbk-snbt/daya-tampung-snbt</x:v>
      </x:c>
      <x:c r="AA1443" t="str">
        <x:v>Tidak Ada</x:v>
      </x:c>
      <x:c r="AB1443" t="str">
        <x:v>Campus=55; Ratio=29.5; Prodi=45; RelDemand=30.8; Capacity=23.3</x:v>
      </x:c>
    </x:row>
    <x:row r="1444">
      <x:c r="A1444" t="n">
        <x:v>1441</x:v>
      </x:c>
      <x:c r="B1444" t="str">
        <x:v>PTN Akademik</x:v>
      </x:c>
      <x:c r="C1444" t="str">
        <x:v>UNIVERSITAS SILIWANGI</x:v>
      </x:c>
      <x:c r="D1444" t="str">
        <x:v>PENDIDIKAN SEJARAH</x:v>
      </x:c>
      <x:c r="E1444" t="str">
        <x:v>Sarjana</x:v>
      </x:c>
      <x:c r="F1444" s="18" t="n">
        <x:v>107</x:v>
      </x:c>
      <x:c r="G1444" s="18" t="n">
        <x:v>390</x:v>
      </x:c>
      <x:c r="H1444" s="19" t="n">
        <x:v>3.6448598130841123</x:v>
      </x:c>
      <x:c r="I1444" s="18" t="n">
        <x:f>ROUND(MIN(Model_Config_v3!$B$6,MAX(Q1444,R1444,S1444*Model_Config_v3!$B$4+T1444*Model_Config_v3!$B$5)),0)</x:f>
        <x:v>624</x:v>
      </x:c>
      <x:c r="J1444" s="18" t="n">
        <x:f>MIN(Model_Config_v3!$B$6,I1444+Model_Config_v3!$B$7)</x:f>
        <x:v>644</x:v>
      </x:c>
      <x:c r="K1444" s="20" t="n">
        <x:v>41.1</x:v>
      </x:c>
      <x:c r="L1444" t="str">
        <x:v>RELATIF LONGGAR</x:v>
      </x:c>
      <x:c r="M1444" t="str">
        <x:v>SEDANG+</x:v>
      </x:c>
      <x:c r="N1444" t="str">
        <x:v>REGULER</x:v>
      </x:c>
      <x:c r="O1444" t="str">
        <x:v>SOSHUM</x:v>
      </x:c>
      <x:c r="P1444" t="str">
        <x:v>PENDIDIKAN</x:v>
      </x:c>
      <x:c r="Q1444" s="18" t="n">
        <x:v>0</x:v>
      </x:c>
      <x:c r="R1444" s="18" t="n">
        <x:v>0</x:v>
      </x:c>
      <x:c r="S1444" s="18" t="n">
        <x:v>581.7848912275418</x:v>
      </x:c>
      <x:c r="T1444" s="18" t="n">
        <x:v>642</x:v>
      </x:c>
      <x:c r="U1444" s="18" t="n">
        <x:v>581.7848912275418</x:v>
      </x:c>
      <x:c r="V1444" s="20" t="n">
        <x:v>4.4</x:v>
      </x:c>
      <x:c r="W1444" s="20" t="n">
        <x:v>14.3</x:v>
      </x:c>
      <x:c r="X1444" s="20" t="n">
        <x:v>3.3</x:v>
      </x:c>
      <x:c r="Y1444" t="str">
        <x:v>Basis arsip 2025/2024</x:v>
      </x:c>
      <x:c r="Z1444" t="str">
        <x:v>https://snpmb.id/utbk-snbt/daya-tampung-snbt</x:v>
      </x:c>
      <x:c r="AA1444" t="str">
        <x:v>Tidak Ada</x:v>
      </x:c>
      <x:c r="AB1444" t="str">
        <x:v>Campus=55; Ratio=33.1; Prodi=45; RelDemand=35.4; Capacity=10.8</x:v>
      </x:c>
    </x:row>
    <x:row r="1445">
      <x:c r="A1445" t="n">
        <x:v>1442</x:v>
      </x:c>
      <x:c r="B1445" t="str">
        <x:v>PTN Akademik</x:v>
      </x:c>
      <x:c r="C1445" t="str">
        <x:v>UNIVERSITAS SILIWANGI</x:v>
      </x:c>
      <x:c r="D1445" t="str">
        <x:v>PENDIDIKAN JASMANI</x:v>
      </x:c>
      <x:c r="E1445" t="str">
        <x:v>Sarjana</x:v>
      </x:c>
      <x:c r="F1445" s="18" t="n">
        <x:v>185</x:v>
      </x:c>
      <x:c r="G1445" s="18" t="n">
        <x:v>387</x:v>
      </x:c>
      <x:c r="H1445" s="19" t="n">
        <x:v>2.091891891891892</x:v>
      </x:c>
      <x:c r="I1445" s="18" t="n">
        <x:f>ROUND(MIN(Model_Config_v3!$B$6,MAX(Q1445,R1445,S1445*Model_Config_v3!$B$4+T1445*Model_Config_v3!$B$5)),0)</x:f>
        <x:v>608</x:v>
      </x:c>
      <x:c r="J1445" s="18" t="n">
        <x:f>MIN(Model_Config_v3!$B$6,I1445+Model_Config_v3!$B$7)</x:f>
        <x:v>628</x:v>
      </x:c>
      <x:c r="K1445" s="20" t="n">
        <x:v>35</x:v>
      </x:c>
      <x:c r="L1445" t="str">
        <x:v>RELATIF LONGGAR</x:v>
      </x:c>
      <x:c r="M1445" t="str">
        <x:v>PORTOFOLIO</x:v>
      </x:c>
      <x:c r="N1445" t="str">
        <x:v>REGULER</x:v>
      </x:c>
      <x:c r="O1445" t="str">
        <x:v>SENI/OLAHRAGA</x:v>
      </x:c>
      <x:c r="P1445" t="str">
        <x:v>SENI/OLAHRAGA</x:v>
      </x:c>
      <x:c r="Q1445" s="18" t="n">
        <x:v>0</x:v>
      </x:c>
      <x:c r="R1445" s="18" t="n">
        <x:v>0</x:v>
      </x:c>
      <x:c r="S1445" s="18" t="n">
        <x:v>555.2593160277487</x:v>
      </x:c>
      <x:c r="T1445" s="18" t="n">
        <x:v>630</x:v>
      </x:c>
      <x:c r="U1445" s="18" t="n">
        <x:v>555.2593160277487</x:v>
      </x:c>
      <x:c r="V1445" s="20" t="n">
        <x:v>4.4</x:v>
      </x:c>
      <x:c r="W1445" s="20" t="n">
        <x:v>9.9</x:v>
      </x:c>
      <x:c r="X1445" s="20" t="n">
        <x:v>7.7</x:v>
      </x:c>
      <x:c r="Y1445" t="str">
        <x:v>Basis arsip 2025/2024</x:v>
      </x:c>
      <x:c r="Z1445" t="str">
        <x:v>https://snpmb.id/utbk-snbt/daya-tampung-snbt</x:v>
      </x:c>
      <x:c r="AA1445" t="str">
        <x:v>Olahraga</x:v>
      </x:c>
      <x:c r="AB1445" t="str">
        <x:v>Campus=55; Ratio=18.9; Prodi=45; RelDemand=20.3; Capacity=0.0</x:v>
      </x:c>
    </x:row>
    <x:row r="1446">
      <x:c r="A1446" t="n">
        <x:v>1443</x:v>
      </x:c>
      <x:c r="B1446" t="str">
        <x:v>PTN Akademik</x:v>
      </x:c>
      <x:c r="C1446" t="str">
        <x:v>UNIVERSITAS SILIWANGI</x:v>
      </x:c>
      <x:c r="D1446" t="str">
        <x:v>EKONOMI PEMBANGUNAN</x:v>
      </x:c>
      <x:c r="E1446" t="str">
        <x:v>Sarjana</x:v>
      </x:c>
      <x:c r="F1446" s="18" t="n">
        <x:v>175</x:v>
      </x:c>
      <x:c r="G1446" s="18" t="n">
        <x:v>595</x:v>
      </x:c>
      <x:c r="H1446" s="19" t="n">
        <x:v>3.4</x:v>
      </x:c>
      <x:c r="I1446" s="18" t="n">
        <x:f>ROUND(MIN(Model_Config_v3!$B$6,MAX(Q1446,R1446,S1446*Model_Config_v3!$B$4+T1446*Model_Config_v3!$B$5)),0)</x:f>
        <x:v>626</x:v>
      </x:c>
      <x:c r="J1446" s="18" t="n">
        <x:f>MIN(Model_Config_v3!$B$6,I1446+Model_Config_v3!$B$7)</x:f>
        <x:v>646</x:v>
      </x:c>
      <x:c r="K1446" s="20" t="n">
        <x:v>43.4</x:v>
      </x:c>
      <x:c r="L1446" t="str">
        <x:v>RELATIF LONGGAR</x:v>
      </x:c>
      <x:c r="M1446" t="str">
        <x:v>SEDANG+</x:v>
      </x:c>
      <x:c r="N1446" t="str">
        <x:v>REGULER</x:v>
      </x:c>
      <x:c r="O1446" t="str">
        <x:v>SOSHUM</x:v>
      </x:c>
      <x:c r="P1446" t="str">
        <x:v>BISNIS/EKONOMI/AKUNTANSI</x:v>
      </x:c>
      <x:c r="Q1446" s="18" t="n">
        <x:v>0</x:v>
      </x:c>
      <x:c r="R1446" s="18" t="n">
        <x:v>0</x:v>
      </x:c>
      <x:c r="S1446" s="18" t="n">
        <x:v>578.4626808746481</x:v>
      </x:c>
      <x:c r="T1446" s="18" t="n">
        <x:v>647</x:v>
      </x:c>
      <x:c r="U1446" s="18" t="n">
        <x:v>578.4626808746481</x:v>
      </x:c>
      <x:c r="V1446" s="20" t="n">
        <x:v>4.4</x:v>
      </x:c>
      <x:c r="W1446" s="20" t="n">
        <x:v>14.3</x:v>
      </x:c>
      <x:c r="X1446" s="20" t="n">
        <x:v>3.3</x:v>
      </x:c>
      <x:c r="Y1446" t="str">
        <x:v>Basis arsip 2025/2024</x:v>
      </x:c>
      <x:c r="Z1446" t="str">
        <x:v>https://snpmb.id/utbk-snbt/daya-tampung-snbt</x:v>
      </x:c>
      <x:c r="AA1446" t="str">
        <x:v>Tidak Ada</x:v>
      </x:c>
      <x:c r="AB1446" t="str">
        <x:v>Campus=55; Ratio=31.3; Prodi=65; RelDemand=33.0; Capacity=0.0</x:v>
      </x:c>
    </x:row>
    <x:row r="1447">
      <x:c r="A1447" t="n">
        <x:v>1444</x:v>
      </x:c>
      <x:c r="B1447" t="str">
        <x:v>PTN Akademik</x:v>
      </x:c>
      <x:c r="C1447" t="str">
        <x:v>UNIVERSITAS SILIWANGI</x:v>
      </x:c>
      <x:c r="D1447" t="str">
        <x:v>MANAJEMEN</x:v>
      </x:c>
      <x:c r="E1447" t="str">
        <x:v>Sarjana</x:v>
      </x:c>
      <x:c r="F1447" s="18" t="n">
        <x:v>213</x:v>
      </x:c>
      <x:c r="G1447" s="18" t="n">
        <x:v>1383</x:v>
      </x:c>
      <x:c r="H1447" s="19" t="n">
        <x:v>6.492957746478873</x:v>
      </x:c>
      <x:c r="I1447" s="18" t="n">
        <x:f>ROUND(MIN(Model_Config_v3!$B$6,MAX(Q1447,R1447,S1447*Model_Config_v3!$B$4+T1447*Model_Config_v3!$B$5)),0)</x:f>
        <x:v>646</x:v>
      </x:c>
      <x:c r="J1447" s="18" t="n">
        <x:f>MIN(Model_Config_v3!$B$6,I1447+Model_Config_v3!$B$7)</x:f>
        <x:v>666</x:v>
      </x:c>
      <x:c r="K1447" s="20" t="n">
        <x:v>50.5</x:v>
      </x:c>
      <x:c r="L1447" t="str">
        <x:v>MENENGAH</x:v>
      </x:c>
      <x:c r="M1447" t="str">
        <x:v>SEDANG+</x:v>
      </x:c>
      <x:c r="N1447" t="str">
        <x:v>REGULER</x:v>
      </x:c>
      <x:c r="O1447" t="str">
        <x:v>SOSHUM</x:v>
      </x:c>
      <x:c r="P1447" t="str">
        <x:v>BISNIS/EKONOMI/AKUNTANSI</x:v>
      </x:c>
      <x:c r="Q1447" s="18" t="n">
        <x:v>0</x:v>
      </x:c>
      <x:c r="R1447" s="18" t="n">
        <x:v>0</x:v>
      </x:c>
      <x:c r="S1447" s="18" t="n">
        <x:v>609.368683433763</x:v>
      </x:c>
      <x:c r="T1447" s="18" t="n">
        <x:v>661</x:v>
      </x:c>
      <x:c r="U1447" s="18" t="n">
        <x:v>624.368683433763</x:v>
      </x:c>
      <x:c r="V1447" s="20" t="n">
        <x:v>4.4</x:v>
      </x:c>
      <x:c r="W1447" s="20" t="n">
        <x:v>14.3</x:v>
      </x:c>
      <x:c r="X1447" s="20" t="n">
        <x:v>3.3</x:v>
      </x:c>
      <x:c r="Y1447" t="str">
        <x:v>Basis arsip 2025/2024</x:v>
      </x:c>
      <x:c r="Z1447" t="str">
        <x:v>https://snpmb.id/utbk-snbt/daya-tampung-snbt</x:v>
      </x:c>
      <x:c r="AA1447" t="str">
        <x:v>Tidak Ada</x:v>
      </x:c>
      <x:c r="AB1447" t="str">
        <x:v>Campus=55; Ratio=47.8; Prodi=65; RelDemand=63.1; Capacity=0.0</x:v>
      </x:c>
    </x:row>
    <x:row r="1448">
      <x:c r="A1448" t="n">
        <x:v>1445</x:v>
      </x:c>
      <x:c r="B1448" t="str">
        <x:v>PTN Akademik</x:v>
      </x:c>
      <x:c r="C1448" t="str">
        <x:v>UNIVERSITAS SILIWANGI</x:v>
      </x:c>
      <x:c r="D1448" t="str">
        <x:v>AKUNTANSI</x:v>
      </x:c>
      <x:c r="E1448" t="str">
        <x:v>Sarjana</x:v>
      </x:c>
      <x:c r="F1448" s="18" t="n">
        <x:v>180</x:v>
      </x:c>
      <x:c r="G1448" s="18" t="n">
        <x:v>795</x:v>
      </x:c>
      <x:c r="H1448" s="19" t="n">
        <x:v>4.416666666666667</x:v>
      </x:c>
      <x:c r="I1448" s="18" t="n">
        <x:f>ROUND(MIN(Model_Config_v3!$B$6,MAX(Q1448,R1448,S1448*Model_Config_v3!$B$4+T1448*Model_Config_v3!$B$5)),0)</x:f>
        <x:v>634</x:v>
      </x:c>
      <x:c r="J1448" s="18" t="n">
        <x:f>MIN(Model_Config_v3!$B$6,I1448+Model_Config_v3!$B$7)</x:f>
        <x:v>654</x:v>
      </x:c>
      <x:c r="K1448" s="20" t="n">
        <x:v>46</x:v>
      </x:c>
      <x:c r="L1448" t="str">
        <x:v>MENENGAH</x:v>
      </x:c>
      <x:c r="M1448" t="str">
        <x:v>SEDANG+</x:v>
      </x:c>
      <x:c r="N1448" t="str">
        <x:v>REGULER</x:v>
      </x:c>
      <x:c r="O1448" t="str">
        <x:v>SOSHUM</x:v>
      </x:c>
      <x:c r="P1448" t="str">
        <x:v>BISNIS/EKONOMI/AKUNTANSI</x:v>
      </x:c>
      <x:c r="Q1448" s="18" t="n">
        <x:v>0</x:v>
      </x:c>
      <x:c r="R1448" s="18" t="n">
        <x:v>0</x:v>
      </x:c>
      <x:c r="S1448" s="18" t="n">
        <x:v>590.960408590848</x:v>
      </x:c>
      <x:c r="T1448" s="18" t="n">
        <x:v>652</x:v>
      </x:c>
      <x:c r="U1448" s="18" t="n">
        <x:v>590.960408590848</x:v>
      </x:c>
      <x:c r="V1448" s="20" t="n">
        <x:v>4.4</x:v>
      </x:c>
      <x:c r="W1448" s="20" t="n">
        <x:v>14.3</x:v>
      </x:c>
      <x:c r="X1448" s="20" t="n">
        <x:v>3.3</x:v>
      </x:c>
      <x:c r="Y1448" t="str">
        <x:v>Basis arsip 2025/2024</x:v>
      </x:c>
      <x:c r="Z1448" t="str">
        <x:v>https://snpmb.id/utbk-snbt/daya-tampung-snbt</x:v>
      </x:c>
      <x:c r="AA1448" t="str">
        <x:v>Tidak Ada</x:v>
      </x:c>
      <x:c r="AB1448" t="str">
        <x:v>Campus=55; Ratio=38.0; Prodi=65; RelDemand=42.9; Capacity=0.0</x:v>
      </x:c>
    </x:row>
    <x:row r="1449">
      <x:c r="A1449" t="n">
        <x:v>1446</x:v>
      </x:c>
      <x:c r="B1449" t="str">
        <x:v>PTN Akademik</x:v>
      </x:c>
      <x:c r="C1449" t="str">
        <x:v>UNIVERSITAS SILIWANGI</x:v>
      </x:c>
      <x:c r="D1449" t="str">
        <x:v>EKONOMI SYARIAH</x:v>
      </x:c>
      <x:c r="E1449" t="str">
        <x:v>Sarjana</x:v>
      </x:c>
      <x:c r="F1449" s="18" t="n">
        <x:v>128</x:v>
      </x:c>
      <x:c r="G1449" s="18" t="n">
        <x:v>423</x:v>
      </x:c>
      <x:c r="H1449" s="19" t="n">
        <x:v>3.3046875</x:v>
      </x:c>
      <x:c r="I1449" s="18" t="n">
        <x:f>ROUND(MIN(Model_Config_v3!$B$6,MAX(Q1449,R1449,S1449*Model_Config_v3!$B$4+T1449*Model_Config_v3!$B$5)),0)</x:f>
        <x:v>618</x:v>
      </x:c>
      <x:c r="J1449" s="18" t="n">
        <x:f>MIN(Model_Config_v3!$B$6,I1449+Model_Config_v3!$B$7)</x:f>
        <x:v>638</x:v>
      </x:c>
      <x:c r="K1449" s="20" t="n">
        <x:v>38.1</x:v>
      </x:c>
      <x:c r="L1449" t="str">
        <x:v>RELATIF LONGGAR</x:v>
      </x:c>
      <x:c r="M1449" t="str">
        <x:v>SEDANG</x:v>
      </x:c>
      <x:c r="N1449" t="str">
        <x:v>REGULER</x:v>
      </x:c>
      <x:c r="O1449" t="str">
        <x:v>SOSHUM</x:v>
      </x:c>
      <x:c r="P1449" t="str">
        <x:v>UMUM</x:v>
      </x:c>
      <x:c r="Q1449" s="18" t="n">
        <x:v>0</x:v>
      </x:c>
      <x:c r="R1449" s="18" t="n">
        <x:v>0</x:v>
      </x:c>
      <x:c r="S1449" s="18" t="n">
        <x:v>577.1043437499891</x:v>
      </x:c>
      <x:c r="T1449" s="18" t="n">
        <x:v>636</x:v>
      </x:c>
      <x:c r="U1449" s="18" t="n">
        <x:v>577.1043437499891</x:v>
      </x:c>
      <x:c r="V1449" s="20" t="n">
        <x:v>4.4</x:v>
      </x:c>
      <x:c r="W1449" s="20" t="n">
        <x:v>14.3</x:v>
      </x:c>
      <x:c r="X1449" s="20" t="n">
        <x:v>3.3</x:v>
      </x:c>
      <x:c r="Y1449" t="str">
        <x:v>Basis arsip 2025/2024</x:v>
      </x:c>
      <x:c r="Z1449" t="str">
        <x:v>https://snpmb.id/utbk-snbt/daya-tampung-snbt</x:v>
      </x:c>
      <x:c r="AA1449" t="str">
        <x:v>Tidak Ada</x:v>
      </x:c>
      <x:c r="AB1449" t="str">
        <x:v>Campus=55; Ratio=30.6; Prodi=40; RelDemand=32.1; Capacity=0.0</x:v>
      </x:c>
    </x:row>
    <x:row r="1450">
      <x:c r="A1450" t="n">
        <x:v>1447</x:v>
      </x:c>
      <x:c r="B1450" t="str">
        <x:v>PTN Akademik</x:v>
      </x:c>
      <x:c r="C1450" t="str">
        <x:v>UNIVERSITAS SILIWANGI</x:v>
      </x:c>
      <x:c r="D1450" t="str">
        <x:v>ILMU POLITIK</x:v>
      </x:c>
      <x:c r="E1450" t="str">
        <x:v>Sarjana</x:v>
      </x:c>
      <x:c r="F1450" s="18" t="n">
        <x:v>125</x:v>
      </x:c>
      <x:c r="G1450" s="18" t="n">
        <x:v>402</x:v>
      </x:c>
      <x:c r="H1450" s="19" t="n">
        <x:v>3.216</x:v>
      </x:c>
      <x:c r="I1450" s="18" t="n">
        <x:f>ROUND(MIN(Model_Config_v3!$B$6,MAX(Q1450,R1450,S1450*Model_Config_v3!$B$4+T1450*Model_Config_v3!$B$5)),0)</x:f>
        <x:v>618</x:v>
      </x:c>
      <x:c r="J1450" s="18" t="n">
        <x:f>MIN(Model_Config_v3!$B$6,I1450+Model_Config_v3!$B$7)</x:f>
        <x:v>638</x:v>
      </x:c>
      <x:c r="K1450" s="20" t="n">
        <x:v>37.8</x:v>
      </x:c>
      <x:c r="L1450" t="str">
        <x:v>RELATIF LONGGAR</x:v>
      </x:c>
      <x:c r="M1450" t="str">
        <x:v>SEDANG</x:v>
      </x:c>
      <x:c r="N1450" t="str">
        <x:v>REGULER</x:v>
      </x:c>
      <x:c r="O1450" t="str">
        <x:v>SOSHUM</x:v>
      </x:c>
      <x:c r="P1450" t="str">
        <x:v>UMUM</x:v>
      </x:c>
      <x:c r="Q1450" s="18" t="n">
        <x:v>0</x:v>
      </x:c>
      <x:c r="R1450" s="18" t="n">
        <x:v>0</x:v>
      </x:c>
      <x:c r="S1450" s="18" t="n">
        <x:v>575.8047644084055</x:v>
      </x:c>
      <x:c r="T1450" s="18" t="n">
        <x:v>636</x:v>
      </x:c>
      <x:c r="U1450" s="18" t="n">
        <x:v>575.8047644084055</x:v>
      </x:c>
      <x:c r="V1450" s="20" t="n">
        <x:v>4.4</x:v>
      </x:c>
      <x:c r="W1450" s="20" t="n">
        <x:v>14.3</x:v>
      </x:c>
      <x:c r="X1450" s="20" t="n">
        <x:v>3.3</x:v>
      </x:c>
      <x:c r="Y1450" t="str">
        <x:v>Basis arsip 2025/2024</x:v>
      </x:c>
      <x:c r="Z1450" t="str">
        <x:v>https://snpmb.id/utbk-snbt/daya-tampung-snbt</x:v>
      </x:c>
      <x:c r="AA1450" t="str">
        <x:v>Tidak Ada</x:v>
      </x:c>
      <x:c r="AB1450" t="str">
        <x:v>Campus=55; Ratio=29.9; Prodi=40; RelDemand=31.2; Capacity=0.0</x:v>
      </x:c>
    </x:row>
    <x:row r="1451">
      <x:c r="A1451" t="n">
        <x:v>1448</x:v>
      </x:c>
      <x:c r="B1451" t="str">
        <x:v>PTN Akademik</x:v>
      </x:c>
      <x:c r="C1451" t="str">
        <x:v>UNIVERSITAS SILIWANGI</x:v>
      </x:c>
      <x:c r="D1451" t="str">
        <x:v>PENDIDIKAN BAHASA INDONESIA</x:v>
      </x:c>
      <x:c r="E1451" t="str">
        <x:v>Sarjana</x:v>
      </x:c>
      <x:c r="F1451" s="18" t="n">
        <x:v>97</x:v>
      </x:c>
      <x:c r="G1451" s="18" t="n">
        <x:v>586</x:v>
      </x:c>
      <x:c r="H1451" s="19" t="n">
        <x:v>6.041237113402062</x:v>
      </x:c>
      <x:c r="I1451" s="18" t="n">
        <x:f>ROUND(MIN(Model_Config_v3!$B$6,MAX(Q1451,R1451,S1451*Model_Config_v3!$B$4+T1451*Model_Config_v3!$B$5)),0)</x:f>
        <x:v>640</x:v>
      </x:c>
      <x:c r="J1451" s="18" t="n">
        <x:f>MIN(Model_Config_v3!$B$6,I1451+Model_Config_v3!$B$7)</x:f>
        <x:v>660</x:v>
      </x:c>
      <x:c r="K1451" s="20" t="n">
        <x:v>47.5</x:v>
      </x:c>
      <x:c r="L1451" t="str">
        <x:v>MENENGAH</x:v>
      </x:c>
      <x:c r="M1451" t="str">
        <x:v>SEDANG+</x:v>
      </x:c>
      <x:c r="N1451" t="str">
        <x:v>REGULER</x:v>
      </x:c>
      <x:c r="O1451" t="str">
        <x:v>SOSHUM</x:v>
      </x:c>
      <x:c r="P1451" t="str">
        <x:v>PENDIDIKAN</x:v>
      </x:c>
      <x:c r="Q1451" s="18" t="n">
        <x:v>0</x:v>
      </x:c>
      <x:c r="R1451" s="18" t="n">
        <x:v>0</x:v>
      </x:c>
      <x:c r="S1451" s="18" t="n">
        <x:v>605.923846992703</x:v>
      </x:c>
      <x:c r="T1451" s="18" t="n">
        <x:v>655</x:v>
      </x:c>
      <x:c r="U1451" s="18" t="n">
        <x:v>605.923846992703</x:v>
      </x:c>
      <x:c r="V1451" s="20" t="n">
        <x:v>4.4</x:v>
      </x:c>
      <x:c r="W1451" s="20" t="n">
        <x:v>14.3</x:v>
      </x:c>
      <x:c r="X1451" s="20" t="n">
        <x:v>3.3</x:v>
      </x:c>
      <x:c r="Y1451" t="str">
        <x:v>Basis arsip 2025/2024</x:v>
      </x:c>
      <x:c r="Z1451" t="str">
        <x:v>https://snpmb.id/utbk-snbt/daya-tampung-snbt</x:v>
      </x:c>
      <x:c r="AA1451" t="str">
        <x:v>Tidak Ada</x:v>
      </x:c>
      <x:c r="AB1451" t="str">
        <x:v>Campus=55; Ratio=46.0; Prodi=45; RelDemand=58.7; Capacity=19.2</x:v>
      </x:c>
    </x:row>
    <x:row r="1452">
      <x:c r="A1452" t="n">
        <x:v>1449</x:v>
      </x:c>
      <x:c r="B1452" t="str">
        <x:v>PTN Akademik</x:v>
      </x:c>
      <x:c r="C1452" t="str">
        <x:v>UNIVERSITAS SILIWANGI</x:v>
      </x:c>
      <x:c r="D1452" t="str">
        <x:v>PENDIDIKAN BAHASA INGGRIS</x:v>
      </x:c>
      <x:c r="E1452" t="str">
        <x:v>Sarjana</x:v>
      </x:c>
      <x:c r="F1452" s="18" t="n">
        <x:v>116</x:v>
      </x:c>
      <x:c r="G1452" s="18" t="n">
        <x:v>427</x:v>
      </x:c>
      <x:c r="H1452" s="19" t="n">
        <x:v>3.6810344827586206</x:v>
      </x:c>
      <x:c r="I1452" s="18" t="n">
        <x:f>ROUND(MIN(Model_Config_v3!$B$6,MAX(Q1452,R1452,S1452*Model_Config_v3!$B$4+T1452*Model_Config_v3!$B$5)),0)</x:f>
        <x:v>623</x:v>
      </x:c>
      <x:c r="J1452" s="18" t="n">
        <x:f>MIN(Model_Config_v3!$B$6,I1452+Model_Config_v3!$B$7)</x:f>
        <x:v>643</x:v>
      </x:c>
      <x:c r="K1452" s="20" t="n">
        <x:v>40.5</x:v>
      </x:c>
      <x:c r="L1452" t="str">
        <x:v>RELATIF LONGGAR</x:v>
      </x:c>
      <x:c r="M1452" t="str">
        <x:v>SEDANG+</x:v>
      </x:c>
      <x:c r="N1452" t="str">
        <x:v>REGULER</x:v>
      </x:c>
      <x:c r="O1452" t="str">
        <x:v>SOSHUM</x:v>
      </x:c>
      <x:c r="P1452" t="str">
        <x:v>PENDIDIKAN</x:v>
      </x:c>
      <x:c r="Q1452" s="18" t="n">
        <x:v>0</x:v>
      </x:c>
      <x:c r="R1452" s="18" t="n">
        <x:v>0</x:v>
      </x:c>
      <x:c r="S1452" s="18" t="n">
        <x:v>582.2566874377916</x:v>
      </x:c>
      <x:c r="T1452" s="18" t="n">
        <x:v>641</x:v>
      </x:c>
      <x:c r="U1452" s="18" t="n">
        <x:v>582.2566874377916</x:v>
      </x:c>
      <x:c r="V1452" s="20" t="n">
        <x:v>4.4</x:v>
      </x:c>
      <x:c r="W1452" s="20" t="n">
        <x:v>14.3</x:v>
      </x:c>
      <x:c r="X1452" s="20" t="n">
        <x:v>3.3</x:v>
      </x:c>
      <x:c r="Y1452" t="str">
        <x:v>Basis arsip 2025/2024</x:v>
      </x:c>
      <x:c r="Z1452" t="str">
        <x:v>https://snpmb.id/utbk-snbt/daya-tampung-snbt</x:v>
      </x:c>
      <x:c r="AA1452" t="str">
        <x:v>Tidak Ada</x:v>
      </x:c>
      <x:c r="AB1452" t="str">
        <x:v>Campus=55; Ratio=33.3; Prodi=45; RelDemand=35.8; Capacity=3.3</x:v>
      </x:c>
    </x:row>
    <x:row r="1453">
      <x:c r="A1453" t="n">
        <x:v>1450</x:v>
      </x:c>
      <x:c r="B1453" t="str">
        <x:v>PTN Akademik</x:v>
      </x:c>
      <x:c r="C1453" t="str">
        <x:v>UNIVERSITAS SILIWANGI</x:v>
      </x:c>
      <x:c r="D1453" t="str">
        <x:v>SISTEM INFORMASI</x:v>
      </x:c>
      <x:c r="E1453" t="str">
        <x:v>Sarjana</x:v>
      </x:c>
      <x:c r="F1453" s="18" t="n">
        <x:v>62</x:v>
      </x:c>
      <x:c r="G1453" s="18" t="n">
        <x:v>521</x:v>
      </x:c>
      <x:c r="H1453" s="19" t="n">
        <x:v>8.403225806451612</x:v>
      </x:c>
      <x:c r="I1453" s="18" t="n">
        <x:f>ROUND(MIN(Model_Config_v3!$B$6,MAX(Q1453,R1453,S1453*Model_Config_v3!$B$4+T1453*Model_Config_v3!$B$5)),0)</x:f>
        <x:v>667</x:v>
      </x:c>
      <x:c r="J1453" s="18" t="n">
        <x:f>MIN(Model_Config_v3!$B$6,I1453+Model_Config_v3!$B$7)</x:f>
        <x:v>687</x:v>
      </x:c>
      <x:c r="K1453" s="20" t="n">
        <x:v>62.9</x:v>
      </x:c>
      <x:c r="L1453" t="str">
        <x:v>KETAT</x:v>
      </x:c>
      <x:c r="M1453" t="str">
        <x:v>SEDANG+</x:v>
      </x:c>
      <x:c r="N1453" t="str">
        <x:v>REGULER</x:v>
      </x:c>
      <x:c r="O1453" t="str">
        <x:v>CAMPURAN</x:v>
      </x:c>
      <x:c r="P1453" t="str">
        <x:v>KOMPUTER/INFORMATIKA</x:v>
      </x:c>
      <x:c r="Q1453" s="18" t="n">
        <x:v>0</x:v>
      </x:c>
      <x:c r="R1453" s="18" t="n">
        <x:v>0</x:v>
      </x:c>
      <x:c r="S1453" s="18" t="n">
        <x:v>621.6890637181398</x:v>
      </x:c>
      <x:c r="T1453" s="18" t="n">
        <x:v>686</x:v>
      </x:c>
      <x:c r="U1453" s="18" t="n">
        <x:v>646.6890637181398</x:v>
      </x:c>
      <x:c r="V1453" s="20" t="n">
        <x:v>8.8</x:v>
      </x:c>
      <x:c r="W1453" s="20" t="n">
        <x:v>9.9</x:v>
      </x:c>
      <x:c r="X1453" s="20" t="n">
        <x:v>3.3</x:v>
      </x:c>
      <x:c r="Y1453" t="str">
        <x:v>Basis arsip 2025/2024</x:v>
      </x:c>
      <x:c r="Z1453" t="str">
        <x:v>https://snpmb.id/utbk-snbt/daya-tampung-snbt</x:v>
      </x:c>
      <x:c r="AA1453" t="str">
        <x:v>Tidak Ada</x:v>
      </x:c>
      <x:c r="AB1453" t="str">
        <x:v>Campus=55; Ratio=54.4; Prodi=85; RelDemand=81.6; Capacity=48.3</x:v>
      </x:c>
    </x:row>
    <x:row r="1454">
      <x:c r="A1454" t="n">
        <x:v>1451</x:v>
      </x:c>
      <x:c r="B1454" t="str">
        <x:v>PTN Akademik</x:v>
      </x:c>
      <x:c r="C1454" t="str">
        <x:v>UNIVERSITAS SILIWANGI</x:v>
      </x:c>
      <x:c r="D1454" t="str">
        <x:v>MANAJEMEN MUTU HALAL</x:v>
      </x:c>
      <x:c r="E1454" t="str">
        <x:v>Sarjana</x:v>
      </x:c>
      <x:c r="F1454" s="18" t="n">
        <x:v>40</x:v>
      </x:c>
      <x:c r="G1454" s="18" t="n">
        <x:v>155</x:v>
      </x:c>
      <x:c r="H1454" s="19" t="n">
        <x:v>3.875</x:v>
      </x:c>
      <x:c r="I1454" s="18" t="n">
        <x:f>ROUND(MIN(Model_Config_v3!$B$6,MAX(Q1454,R1454,S1454*Model_Config_v3!$B$4+T1454*Model_Config_v3!$B$5)),0)</x:f>
        <x:v>640</x:v>
      </x:c>
      <x:c r="J1454" s="18" t="n">
        <x:f>MIN(Model_Config_v3!$B$6,I1454+Model_Config_v3!$B$7)</x:f>
        <x:v>660</x:v>
      </x:c>
      <x:c r="K1454" s="20" t="n">
        <x:v>51.3</x:v>
      </x:c>
      <x:c r="L1454" t="str">
        <x:v>MENENGAH</x:v>
      </x:c>
      <x:c r="M1454" t="str">
        <x:v>SEDANG+</x:v>
      </x:c>
      <x:c r="N1454" t="str">
        <x:v>REGULER</x:v>
      </x:c>
      <x:c r="O1454" t="str">
        <x:v>SOSHUM</x:v>
      </x:c>
      <x:c r="P1454" t="str">
        <x:v>BISNIS/EKONOMI/AKUNTANSI</x:v>
      </x:c>
      <x:c r="Q1454" s="18" t="n">
        <x:v>0</x:v>
      </x:c>
      <x:c r="R1454" s="18" t="n">
        <x:v>0</x:v>
      </x:c>
      <x:c r="S1454" s="18" t="n">
        <x:v>584.7098877526562</x:v>
      </x:c>
      <x:c r="T1454" s="18" t="n">
        <x:v>663</x:v>
      </x:c>
      <x:c r="U1454" s="18" t="n">
        <x:v>599.7098877526562</x:v>
      </x:c>
      <x:c r="V1454" s="20" t="n">
        <x:v>4.4</x:v>
      </x:c>
      <x:c r="W1454" s="20" t="n">
        <x:v>14.3</x:v>
      </x:c>
      <x:c r="X1454" s="20" t="n">
        <x:v>3.3</x:v>
      </x:c>
      <x:c r="Y1454" t="str">
        <x:v>Basis arsip 2025/2024</x:v>
      </x:c>
      <x:c r="Z1454" t="str">
        <x:v>https://snpmb.id/utbk-snbt/daya-tampung-snbt</x:v>
      </x:c>
      <x:c r="AA1454" t="str">
        <x:v>Tidak Ada</x:v>
      </x:c>
      <x:c r="AB1454" t="str">
        <x:v>Campus=55; Ratio=34.6; Prodi=65; RelDemand=37.7; Capacity=66.7</x:v>
      </x:c>
    </x:row>
    <x:row r="1455">
      <x:c r="A1455" t="n">
        <x:v>1452</x:v>
      </x:c>
      <x:c r="B1455" t="str">
        <x:v>PTN Akademik</x:v>
      </x:c>
      <x:c r="C1455" t="str">
        <x:v>UNIVERSITAS SILIWANGI</x:v>
      </x:c>
      <x:c r="D1455" t="str">
        <x:v>TEKNOLOGI PANGAN DAN HASIL PERTANIAN</x:v>
      </x:c>
      <x:c r="E1455" t="str">
        <x:v>Sarjana</x:v>
      </x:c>
      <x:c r="F1455" s="18" t="n">
        <x:v>35</x:v>
      </x:c>
      <x:c r="G1455" s="18" t="n">
        <x:v>326</x:v>
      </x:c>
      <x:c r="H1455" s="19" t="n">
        <x:v>9.314285714285715</x:v>
      </x:c>
      <x:c r="I1455" s="18" t="n">
        <x:f>ROUND(MIN(Model_Config_v3!$B$6,MAX(Q1455,R1455,S1455*Model_Config_v3!$B$4+T1455*Model_Config_v3!$B$5)),0)</x:f>
        <x:v>660</x:v>
      </x:c>
      <x:c r="J1455" s="18" t="n">
        <x:f>MIN(Model_Config_v3!$B$6,I1455+Model_Config_v3!$B$7)</x:f>
        <x:v>680</x:v>
      </x:c>
      <x:c r="K1455" s="20" t="n">
        <x:v>57.6</x:v>
      </x:c>
      <x:c r="L1455" t="str">
        <x:v>KETAT</x:v>
      </x:c>
      <x:c r="M1455" t="str">
        <x:v>SEDANG</x:v>
      </x:c>
      <x:c r="N1455" t="str">
        <x:v>REGULER</x:v>
      </x:c>
      <x:c r="O1455" t="str">
        <x:v>SAINTEK</x:v>
      </x:c>
      <x:c r="P1455" t="str">
        <x:v>UMUM</x:v>
      </x:c>
      <x:c r="Q1455" s="18" t="n">
        <x:v>0</x:v>
      </x:c>
      <x:c r="R1455" s="18" t="n">
        <x:v>0</x:v>
      </x:c>
      <x:c r="S1455" s="18" t="n">
        <x:v>626.6064511289429</x:v>
      </x:c>
      <x:c r="T1455" s="18" t="n">
        <x:v>675</x:v>
      </x:c>
      <x:c r="U1455" s="18" t="n">
        <x:v>626.6064511289429</x:v>
      </x:c>
      <x:c r="V1455" s="20" t="n">
        <x:v>12</x:v>
      </x:c>
      <x:c r="W1455" s="20" t="n">
        <x:v>5</x:v>
      </x:c>
      <x:c r="X1455" s="20" t="n">
        <x:v>3</x:v>
      </x:c>
      <x:c r="Y1455" t="str">
        <x:v>Basis arsip 2025/2024</x:v>
      </x:c>
      <x:c r="Z1455" t="str">
        <x:v>https://snpmb.id/utbk-snbt/daya-tampung-snbt</x:v>
      </x:c>
      <x:c r="AA1455" t="str">
        <x:v>Tidak Ada</x:v>
      </x:c>
      <x:c r="AB1455" t="str">
        <x:v>Campus=55; Ratio=57.0; Prodi=40; RelDemand=90.5; Capacity=70.8</x:v>
      </x:c>
    </x:row>
    <x:row r="1456">
      <x:c r="A1456" t="n">
        <x:v>1453</x:v>
      </x:c>
      <x:c r="B1456" t="str">
        <x:v>PTN Akademik</x:v>
      </x:c>
      <x:c r="C1456" t="str">
        <x:v>UNIVERSITAS SILIWANGI</x:v>
      </x:c>
      <x:c r="D1456" t="str">
        <x:v>PERBANKAN DAN KEUANGAN DIGITAL</x:v>
      </x:c>
      <x:c r="E1456" t="str">
        <x:v>Sarjana Terapan</x:v>
      </x:c>
      <x:c r="F1456" s="18" t="n">
        <x:v>32</x:v>
      </x:c>
      <x:c r="G1456" s="18"/>
      <x:c r="H1456" s="19" t="n">
        <x:v>0</x:v>
      </x:c>
      <x:c r="I1456" s="18" t="n">
        <x:f>ROUND(MIN(Model_Config_v3!$B$6,MAX(Q1456,R1456,S1456*Model_Config_v3!$B$4+T1456*Model_Config_v3!$B$5)),0)</x:f>
        <x:v>596</x:v>
      </x:c>
      <x:c r="J1456" s="18" t="n">
        <x:f>MIN(Model_Config_v3!$B$6,I1456+Model_Config_v3!$B$7)</x:f>
        <x:v>616</x:v>
      </x:c>
      <x:c r="K1456" s="20" t="n">
        <x:v>34.6</x:v>
      </x:c>
      <x:c r="L1456" t="str">
        <x:v>RELATIF LONGGAR</x:v>
      </x:c>
      <x:c r="M1456" t="str">
        <x:v>RENDAH</x:v>
      </x:c>
      <x:c r="N1456" t="str">
        <x:v>REGULER</x:v>
      </x:c>
      <x:c r="O1456" t="str">
        <x:v>CAMPURAN</x:v>
      </x:c>
      <x:c r="P1456" t="str">
        <x:v>UMUM</x:v>
      </x:c>
      <x:c r="Q1456" s="18" t="n">
        <x:v>0</x:v>
      </x:c>
      <x:c r="R1456" s="18" t="n">
        <x:v>0</x:v>
      </x:c>
      <x:c r="S1456" s="18" t="n">
        <x:v>520</x:v>
      </x:c>
      <x:c r="T1456" s="18" t="n">
        <x:v>629</x:v>
      </x:c>
      <x:c r="U1456" s="18" t="n">
        <x:v>520</x:v>
      </x:c>
      <x:c r="V1456" s="20" t="n">
        <x:v>8.8</x:v>
      </x:c>
      <x:c r="W1456" s="20" t="n">
        <x:v>9.9</x:v>
      </x:c>
      <x:c r="X1456" s="20" t="n">
        <x:v>3.3</x:v>
      </x:c>
      <x:c r="Y1456" t="str">
        <x:v>Basis arsip 2025/2024</x:v>
      </x:c>
      <x:c r="Z1456" t="str">
        <x:v>https://snpmb.id/utbk-snbt/daya-tampung-snbt</x:v>
      </x:c>
      <x:c r="AA1456" t="str">
        <x:v>Tidak Ada</x:v>
      </x:c>
      <x:c r="AB1456" t="str">
        <x:v>Campus=55; Ratio=0.0; Prodi=40; RelDemand=0.0; Capacity=73.3</x:v>
      </x:c>
    </x:row>
    <x:row r="1457">
      <x:c r="A1457" t="n">
        <x:v>1454</x:v>
      </x:c>
      <x:c r="B1457" t="str">
        <x:v>PTN Akademik</x:v>
      </x:c>
      <x:c r="C1457" t="str">
        <x:v>UNIVERSITAS SILIWANGI</x:v>
      </x:c>
      <x:c r="D1457" t="str">
        <x:v>PERBANKAN DAN KEUANGAN</x:v>
      </x:c>
      <x:c r="E1457" t="str">
        <x:v>Diploma Tiga</x:v>
      </x:c>
      <x:c r="F1457" s="18" t="n">
        <x:v>105</x:v>
      </x:c>
      <x:c r="G1457" s="18" t="n">
        <x:v>2314</x:v>
      </x:c>
      <x:c r="H1457" s="19" t="n">
        <x:v>22.038095238095238</x:v>
      </x:c>
      <x:c r="I1457" s="18" t="n">
        <x:f>ROUND(MIN(Model_Config_v3!$B$6,MAX(Q1457,R1457,S1457*Model_Config_v3!$B$4+T1457*Model_Config_v3!$B$5)),0)</x:f>
        <x:v>674</x:v>
      </x:c>
      <x:c r="J1457" s="18" t="n">
        <x:f>MIN(Model_Config_v3!$B$6,I1457+Model_Config_v3!$B$7)</x:f>
        <x:v>694</x:v>
      </x:c>
      <x:c r="K1457" s="20" t="n">
        <x:v>58.3</x:v>
      </x:c>
      <x:c r="L1457" t="str">
        <x:v>KETAT</x:v>
      </x:c>
      <x:c r="M1457" t="str">
        <x:v>SEDANG</x:v>
      </x:c>
      <x:c r="N1457" t="str">
        <x:v>REGULER</x:v>
      </x:c>
      <x:c r="O1457" t="str">
        <x:v>CAMPURAN</x:v>
      </x:c>
      <x:c r="P1457" t="str">
        <x:v>UMUM</x:v>
      </x:c>
      <x:c r="Q1457" s="18" t="n">
        <x:v>0</x:v>
      </x:c>
      <x:c r="R1457" s="18" t="n">
        <x:v>0</x:v>
      </x:c>
      <x:c r="S1457" s="18" t="n">
        <x:v>667.7491461100371</x:v>
      </x:c>
      <x:c r="T1457" s="18" t="n">
        <x:v>677</x:v>
      </x:c>
      <x:c r="U1457" s="18" t="n">
        <x:v>667.7491461100371</x:v>
      </x:c>
      <x:c r="V1457" s="20" t="n">
        <x:v>8.8</x:v>
      </x:c>
      <x:c r="W1457" s="20" t="n">
        <x:v>9.9</x:v>
      </x:c>
      <x:c r="X1457" s="20" t="n">
        <x:v>3.3</x:v>
      </x:c>
      <x:c r="Y1457" t="str">
        <x:v>Basis arsip 2025/2024</x:v>
      </x:c>
      <x:c r="Z1457" t="str">
        <x:v>https://snpmb.id/utbk-snbt/daya-tampung-snbt</x:v>
      </x:c>
      <x:c r="AA1457" t="str">
        <x:v>Tidak Ada</x:v>
      </x:c>
      <x:c r="AB1457" t="str">
        <x:v>Campus=55; Ratio=79.1; Prodi=40; RelDemand=100.0; Capacity=12.5</x:v>
      </x:c>
    </x:row>
    <x:row r="1458">
      <x:c r="A1458" t="n">
        <x:v>1455</x:v>
      </x:c>
      <x:c r="B1458" t="str">
        <x:v>PTN Akademik</x:v>
      </x:c>
      <x:c r="C1458" t="str">
        <x:v>UNIVERSITAS JENDERAL SOEDIRMAN</x:v>
      </x:c>
      <x:c r="D1458" t="str">
        <x:v>BIOLOGI</x:v>
      </x:c>
      <x:c r="E1458" t="str">
        <x:v>Sarjana</x:v>
      </x:c>
      <x:c r="F1458" s="18" t="n">
        <x:v>120</x:v>
      </x:c>
      <x:c r="G1458" s="18" t="n">
        <x:v>406</x:v>
      </x:c>
      <x:c r="H1458" s="19" t="n">
        <x:v>3.3833333333333333</x:v>
      </x:c>
      <x:c r="I1458" s="18" t="n">
        <x:f>ROUND(MIN(Model_Config_v3!$B$6,MAX(Q1458,R1458,S1458*Model_Config_v3!$B$4+T1458*Model_Config_v3!$B$5)),0)</x:f>
        <x:v>631</x:v>
      </x:c>
      <x:c r="J1458" s="18" t="n">
        <x:f>MIN(Model_Config_v3!$B$6,I1458+Model_Config_v3!$B$7)</x:f>
        <x:v>651</x:v>
      </x:c>
      <x:c r="K1458" s="20" t="n">
        <x:v>47</x:v>
      </x:c>
      <x:c r="L1458" t="str">
        <x:v>MENENGAH</x:v>
      </x:c>
      <x:c r="M1458" t="str">
        <x:v>SEDANG+</x:v>
      </x:c>
      <x:c r="N1458" t="str">
        <x:v>ELITE-3</x:v>
      </x:c>
      <x:c r="O1458" t="str">
        <x:v>SAINTEK</x:v>
      </x:c>
      <x:c r="P1458" t="str">
        <x:v>SAINS DASAR</x:v>
      </x:c>
      <x:c r="Q1458" s="18" t="n">
        <x:v>630</x:v>
      </x:c>
      <x:c r="R1458" s="18" t="n">
        <x:v>0</x:v>
      </x:c>
      <x:c r="S1458" s="18" t="n">
        <x:v>578.2279266282526</x:v>
      </x:c>
      <x:c r="T1458" s="18" t="n">
        <x:v>654</x:v>
      </x:c>
      <x:c r="U1458" s="18" t="n">
        <x:v>630</x:v>
      </x:c>
      <x:c r="V1458" s="20" t="n">
        <x:v>12</x:v>
      </x:c>
      <x:c r="W1458" s="20" t="n">
        <x:v>5</x:v>
      </x:c>
      <x:c r="X1458" s="20" t="n">
        <x:v>3</x:v>
      </x:c>
      <x:c r="Y1458" t="str">
        <x:v>Basis arsip 2025/2024</x:v>
      </x:c>
      <x:c r="Z1458" t="str">
        <x:v>https://snpmb.id/utbk-snbt/daya-tampung-snbt</x:v>
      </x:c>
      <x:c r="AA1458" t="str">
        <x:v>Tidak Ada</x:v>
      </x:c>
      <x:c r="AB1458" t="str">
        <x:v>Campus=80; Ratio=31.2; Prodi=50; RelDemand=12.4; Capacity=0.0</x:v>
      </x:c>
    </x:row>
    <x:row r="1459">
      <x:c r="A1459" t="n">
        <x:v>1456</x:v>
      </x:c>
      <x:c r="B1459" t="str">
        <x:v>PTN Akademik</x:v>
      </x:c>
      <x:c r="C1459" t="str">
        <x:v>UNIVERSITAS JENDERAL SOEDIRMAN</x:v>
      </x:c>
      <x:c r="D1459" t="str">
        <x:v>KIMIA</x:v>
      </x:c>
      <x:c r="E1459" t="str">
        <x:v>Sarjana</x:v>
      </x:c>
      <x:c r="F1459" s="18" t="n">
        <x:v>88</x:v>
      </x:c>
      <x:c r="G1459" s="18" t="n">
        <x:v>258</x:v>
      </x:c>
      <x:c r="H1459" s="19" t="n">
        <x:v>2.9318181818181817</x:v>
      </x:c>
      <x:c r="I1459" s="18" t="n">
        <x:f>ROUND(MIN(Model_Config_v3!$B$6,MAX(Q1459,R1459,S1459*Model_Config_v3!$B$4+T1459*Model_Config_v3!$B$5)),0)</x:f>
        <x:v>631</x:v>
      </x:c>
      <x:c r="J1459" s="18" t="n">
        <x:f>MIN(Model_Config_v3!$B$6,I1459+Model_Config_v3!$B$7)</x:f>
        <x:v>651</x:v>
      </x:c>
      <x:c r="K1459" s="20" t="n">
        <x:v>48.6</x:v>
      </x:c>
      <x:c r="L1459" t="str">
        <x:v>MENENGAH</x:v>
      </x:c>
      <x:c r="M1459" t="str">
        <x:v>SEDANG+</x:v>
      </x:c>
      <x:c r="N1459" t="str">
        <x:v>ELITE-3</x:v>
      </x:c>
      <x:c r="O1459" t="str">
        <x:v>SAINTEK</x:v>
      </x:c>
      <x:c r="P1459" t="str">
        <x:v>SAINS DASAR</x:v>
      </x:c>
      <x:c r="Q1459" s="18" t="n">
        <x:v>630</x:v>
      </x:c>
      <x:c r="R1459" s="18" t="n">
        <x:v>0</x:v>
      </x:c>
      <x:c r="S1459" s="18" t="n">
        <x:v>571.3850737194367</x:v>
      </x:c>
      <x:c r="T1459" s="18" t="n">
        <x:v>657</x:v>
      </x:c>
      <x:c r="U1459" s="18" t="n">
        <x:v>630</x:v>
      </x:c>
      <x:c r="V1459" s="20" t="n">
        <x:v>12</x:v>
      </x:c>
      <x:c r="W1459" s="20" t="n">
        <x:v>5</x:v>
      </x:c>
      <x:c r="X1459" s="20" t="n">
        <x:v>3</x:v>
      </x:c>
      <x:c r="Y1459" t="str">
        <x:v>Basis arsip 2025/2024</x:v>
      </x:c>
      <x:c r="Z1459" t="str">
        <x:v>https://snpmb.id/utbk-snbt/daya-tampung-snbt</x:v>
      </x:c>
      <x:c r="AA1459" t="str">
        <x:v>Tidak Ada</x:v>
      </x:c>
      <x:c r="AB1459" t="str">
        <x:v>Campus=80; Ratio=27.5; Prodi=50; RelDemand=10.8; Capacity=26.7</x:v>
      </x:c>
    </x:row>
    <x:row r="1460">
      <x:c r="A1460" t="n">
        <x:v>1457</x:v>
      </x:c>
      <x:c r="B1460" t="str">
        <x:v>PTN Akademik</x:v>
      </x:c>
      <x:c r="C1460" t="str">
        <x:v>UNIVERSITAS JENDERAL SOEDIRMAN</x:v>
      </x:c>
      <x:c r="D1460" t="str">
        <x:v>MATEMATIKA</x:v>
      </x:c>
      <x:c r="E1460" t="str">
        <x:v>Sarjana</x:v>
      </x:c>
      <x:c r="F1460" s="18" t="n">
        <x:v>88</x:v>
      </x:c>
      <x:c r="G1460" s="18" t="n">
        <x:v>251</x:v>
      </x:c>
      <x:c r="H1460" s="19" t="n">
        <x:v>2.852272727272727</x:v>
      </x:c>
      <x:c r="I1460" s="18" t="n">
        <x:f>ROUND(MIN(Model_Config_v3!$B$6,MAX(Q1460,R1460,S1460*Model_Config_v3!$B$4+T1460*Model_Config_v3!$B$5)),0)</x:f>
        <x:v>631</x:v>
      </x:c>
      <x:c r="J1460" s="18" t="n">
        <x:f>MIN(Model_Config_v3!$B$6,I1460+Model_Config_v3!$B$7)</x:f>
        <x:v>651</x:v>
      </x:c>
      <x:c r="K1460" s="20" t="n">
        <x:v>48.4</x:v>
      </x:c>
      <x:c r="L1460" t="str">
        <x:v>MENENGAH</x:v>
      </x:c>
      <x:c r="M1460" t="str">
        <x:v>SEDANG+</x:v>
      </x:c>
      <x:c r="N1460" t="str">
        <x:v>ELITE-3</x:v>
      </x:c>
      <x:c r="O1460" t="str">
        <x:v>SAINTEK</x:v>
      </x:c>
      <x:c r="P1460" t="str">
        <x:v>SAINS DASAR</x:v>
      </x:c>
      <x:c r="Q1460" s="18" t="n">
        <x:v>630</x:v>
      </x:c>
      <x:c r="R1460" s="18" t="n">
        <x:v>0</x:v>
      </x:c>
      <x:c r="S1460" s="18" t="n">
        <x:v>570.0710154263957</x:v>
      </x:c>
      <x:c r="T1460" s="18" t="n">
        <x:v>657</x:v>
      </x:c>
      <x:c r="U1460" s="18" t="n">
        <x:v>630</x:v>
      </x:c>
      <x:c r="V1460" s="20" t="n">
        <x:v>12</x:v>
      </x:c>
      <x:c r="W1460" s="20" t="n">
        <x:v>5</x:v>
      </x:c>
      <x:c r="X1460" s="20" t="n">
        <x:v>3</x:v>
      </x:c>
      <x:c r="Y1460" t="str">
        <x:v>Basis arsip 2025/2024</x:v>
      </x:c>
      <x:c r="Z1460" t="str">
        <x:v>https://snpmb.id/utbk-snbt/daya-tampung-snbt</x:v>
      </x:c>
      <x:c r="AA1460" t="str">
        <x:v>Tidak Ada</x:v>
      </x:c>
      <x:c r="AB1460" t="str">
        <x:v>Campus=80; Ratio=26.8; Prodi=50; RelDemand=10.5; Capacity=26.7</x:v>
      </x:c>
    </x:row>
    <x:row r="1461">
      <x:c r="A1461" t="n">
        <x:v>1458</x:v>
      </x:c>
      <x:c r="B1461" t="str">
        <x:v>PTN Akademik</x:v>
      </x:c>
      <x:c r="C1461" t="str">
        <x:v>UNIVERSITAS JENDERAL SOEDIRMAN</x:v>
      </x:c>
      <x:c r="D1461" t="str">
        <x:v>FISIKA</x:v>
      </x:c>
      <x:c r="E1461" t="str">
        <x:v>Sarjana</x:v>
      </x:c>
      <x:c r="F1461" s="18" t="n">
        <x:v>110</x:v>
      </x:c>
      <x:c r="G1461" s="18" t="n">
        <x:v>104</x:v>
      </x:c>
      <x:c r="H1461" s="19" t="n">
        <x:v>0.9454545454545454</x:v>
      </x:c>
      <x:c r="I1461" s="18" t="n">
        <x:f>ROUND(MIN(Model_Config_v3!$B$6,MAX(Q1461,R1461,S1461*Model_Config_v3!$B$4+T1461*Model_Config_v3!$B$5)),0)</x:f>
        <x:v>630</x:v>
      </x:c>
      <x:c r="J1461" s="18" t="n">
        <x:f>MIN(Model_Config_v3!$B$6,I1461+Model_Config_v3!$B$7)</x:f>
        <x:v>650</x:v>
      </x:c>
      <x:c r="K1461" s="20" t="n">
        <x:v>39.2</x:v>
      </x:c>
      <x:c r="L1461" t="str">
        <x:v>RELATIF LONGGAR</x:v>
      </x:c>
      <x:c r="M1461" t="str">
        <x:v>SEDANG+</x:v>
      </x:c>
      <x:c r="N1461" t="str">
        <x:v>ELITE-3</x:v>
      </x:c>
      <x:c r="O1461" t="str">
        <x:v>SAINTEK</x:v>
      </x:c>
      <x:c r="P1461" t="str">
        <x:v>SAINS DASAR</x:v>
      </x:c>
      <x:c r="Q1461" s="18" t="n">
        <x:v>630</x:v>
      </x:c>
      <x:c r="R1461" s="18" t="n">
        <x:v>0</x:v>
      </x:c>
      <x:c r="S1461" s="18" t="n">
        <x:v>520</x:v>
      </x:c>
      <x:c r="T1461" s="18" t="n">
        <x:v>638</x:v>
      </x:c>
      <x:c r="U1461" s="18" t="n">
        <x:v>630</x:v>
      </x:c>
      <x:c r="V1461" s="20" t="n">
        <x:v>12</x:v>
      </x:c>
      <x:c r="W1461" s="20" t="n">
        <x:v>5</x:v>
      </x:c>
      <x:c r="X1461" s="20" t="n">
        <x:v>3</x:v>
      </x:c>
      <x:c r="Y1461" t="str">
        <x:v>Basis arsip 2025/2024</x:v>
      </x:c>
      <x:c r="Z1461" t="str">
        <x:v>https://snpmb.id/utbk-snbt/daya-tampung-snbt</x:v>
      </x:c>
      <x:c r="AA1461" t="str">
        <x:v>Tidak Ada</x:v>
      </x:c>
      <x:c r="AB1461" t="str">
        <x:v>Campus=80; Ratio=0.0; Prodi=50; RelDemand=3.5; Capacity=8.3</x:v>
      </x:c>
    </x:row>
    <x:row r="1462">
      <x:c r="A1462" t="n">
        <x:v>1459</x:v>
      </x:c>
      <x:c r="B1462" t="str">
        <x:v>PTN Akademik</x:v>
      </x:c>
      <x:c r="C1462" t="str">
        <x:v>UNIVERSITAS JENDERAL SOEDIRMAN</x:v>
      </x:c>
      <x:c r="D1462" t="str">
        <x:v>MANAJEMEN SUMBERDAYA PERAIRAN</x:v>
      </x:c>
      <x:c r="E1462" t="str">
        <x:v>Sarjana</x:v>
      </x:c>
      <x:c r="F1462" s="18" t="n">
        <x:v>76</x:v>
      </x:c>
      <x:c r="G1462" s="18" t="n">
        <x:v>242</x:v>
      </x:c>
      <x:c r="H1462" s="19" t="n">
        <x:v>3.1842105263157894</x:v>
      </x:c>
      <x:c r="I1462" s="18" t="n">
        <x:f>ROUND(MIN(Model_Config_v3!$B$6,MAX(Q1462,R1462,S1462*Model_Config_v3!$B$4+T1462*Model_Config_v3!$B$5)),0)</x:f>
        <x:v>639</x:v>
      </x:c>
      <x:c r="J1462" s="18" t="n">
        <x:f>MIN(Model_Config_v3!$B$6,I1462+Model_Config_v3!$B$7)</x:f>
        <x:v>659</x:v>
      </x:c>
      <x:c r="K1462" s="20" t="n">
        <x:v>53.2</x:v>
      </x:c>
      <x:c r="L1462" t="str">
        <x:v>MENENGAH</x:v>
      </x:c>
      <x:c r="M1462" t="str">
        <x:v>SEDANG+</x:v>
      </x:c>
      <x:c r="N1462" t="str">
        <x:v>ELITE-3</x:v>
      </x:c>
      <x:c r="O1462" t="str">
        <x:v>SOSHUM</x:v>
      </x:c>
      <x:c r="P1462" t="str">
        <x:v>BISNIS/EKONOMI/AKUNTANSI</x:v>
      </x:c>
      <x:c r="Q1462" s="18" t="n">
        <x:v>630</x:v>
      </x:c>
      <x:c r="R1462" s="18" t="n">
        <x:v>0</x:v>
      </x:c>
      <x:c r="S1462" s="18" t="n">
        <x:v>575.3301951069603</x:v>
      </x:c>
      <x:c r="T1462" s="18" t="n">
        <x:v>666</x:v>
      </x:c>
      <x:c r="U1462" s="18" t="n">
        <x:v>630</x:v>
      </x:c>
      <x:c r="V1462" s="20" t="n">
        <x:v>4.4</x:v>
      </x:c>
      <x:c r="W1462" s="20" t="n">
        <x:v>14.3</x:v>
      </x:c>
      <x:c r="X1462" s="20" t="n">
        <x:v>3.3</x:v>
      </x:c>
      <x:c r="Y1462" t="str">
        <x:v>Basis arsip 2025/2024</x:v>
      </x:c>
      <x:c r="Z1462" t="str">
        <x:v>https://snpmb.id/utbk-snbt/daya-tampung-snbt</x:v>
      </x:c>
      <x:c r="AA1462" t="str">
        <x:v>Tidak Ada</x:v>
      </x:c>
      <x:c r="AB1462" t="str">
        <x:v>Campus=80; Ratio=29.6; Prodi=65; RelDemand=11.7; Capacity=36.7</x:v>
      </x:c>
    </x:row>
    <x:row r="1463">
      <x:c r="A1463" t="n">
        <x:v>1460</x:v>
      </x:c>
      <x:c r="B1463" t="str">
        <x:v>PTN Akademik</x:v>
      </x:c>
      <x:c r="C1463" t="str">
        <x:v>UNIVERSITAS JENDERAL SOEDIRMAN</x:v>
      </x:c>
      <x:c r="D1463" t="str">
        <x:v>AKUAKULTUR</x:v>
      </x:c>
      <x:c r="E1463" t="str">
        <x:v>Sarjana</x:v>
      </x:c>
      <x:c r="F1463" s="18" t="n">
        <x:v>80</x:v>
      </x:c>
      <x:c r="G1463" s="18" t="n">
        <x:v>187</x:v>
      </x:c>
      <x:c r="H1463" s="19" t="n">
        <x:v>2.3375</x:v>
      </x:c>
      <x:c r="I1463" s="18" t="n">
        <x:f>ROUND(MIN(Model_Config_v3!$B$6,MAX(Q1463,R1463,S1463*Model_Config_v3!$B$4+T1463*Model_Config_v3!$B$5)),0)</x:f>
        <x:v>630</x:v>
      </x:c>
      <x:c r="J1463" s="18" t="n">
        <x:f>MIN(Model_Config_v3!$B$6,I1463+Model_Config_v3!$B$7)</x:f>
        <x:v>650</x:v>
      </x:c>
      <x:c r="K1463" s="20" t="n">
        <x:v>45.6</x:v>
      </x:c>
      <x:c r="L1463" t="str">
        <x:v>MENENGAH</x:v>
      </x:c>
      <x:c r="M1463" t="str">
        <x:v>SEDANG+</x:v>
      </x:c>
      <x:c r="N1463" t="str">
        <x:v>ELITE-3</x:v>
      </x:c>
      <x:c r="O1463" t="str">
        <x:v>CAMPURAN</x:v>
      </x:c>
      <x:c r="P1463" t="str">
        <x:v>UMUM</x:v>
      </x:c>
      <x:c r="Q1463" s="18" t="n">
        <x:v>630</x:v>
      </x:c>
      <x:c r="R1463" s="18" t="n">
        <x:v>0</x:v>
      </x:c>
      <x:c r="S1463" s="18" t="n">
        <x:v>560.5626781499011</x:v>
      </x:c>
      <x:c r="T1463" s="18" t="n">
        <x:v>651</x:v>
      </x:c>
      <x:c r="U1463" s="18" t="n">
        <x:v>630</x:v>
      </x:c>
      <x:c r="V1463" s="20" t="n">
        <x:v>8.8</x:v>
      </x:c>
      <x:c r="W1463" s="20" t="n">
        <x:v>9.9</x:v>
      </x:c>
      <x:c r="X1463" s="20" t="n">
        <x:v>3.3</x:v>
      </x:c>
      <x:c r="Y1463" t="str">
        <x:v>Basis arsip 2025/2024</x:v>
      </x:c>
      <x:c r="Z1463" t="str">
        <x:v>https://snpmb.id/utbk-snbt/daya-tampung-snbt</x:v>
      </x:c>
      <x:c r="AA1463" t="str">
        <x:v>Tidak Ada</x:v>
      </x:c>
      <x:c r="AB1463" t="str">
        <x:v>Campus=80; Ratio=21.7; Prodi=40; RelDemand=8.6; Capacity=33.3</x:v>
      </x:c>
    </x:row>
    <x:row r="1464">
      <x:c r="A1464" t="n">
        <x:v>1461</x:v>
      </x:c>
      <x:c r="B1464" t="str">
        <x:v>PTN Akademik</x:v>
      </x:c>
      <x:c r="C1464" t="str">
        <x:v>UNIVERSITAS JENDERAL SOEDIRMAN</x:v>
      </x:c>
      <x:c r="D1464" t="str">
        <x:v>TEKNIK PERTANIAN</x:v>
      </x:c>
      <x:c r="E1464" t="str">
        <x:v>Sarjana</x:v>
      </x:c>
      <x:c r="F1464" s="18" t="n">
        <x:v>80</x:v>
      </x:c>
      <x:c r="G1464" s="18" t="n">
        <x:v>455</x:v>
      </x:c>
      <x:c r="H1464" s="19" t="n">
        <x:v>5.6875</x:v>
      </x:c>
      <x:c r="I1464" s="18" t="n">
        <x:f>ROUND(MIN(Model_Config_v3!$B$6,MAX(Q1464,R1464,S1464*Model_Config_v3!$B$4+T1464*Model_Config_v3!$B$5)),0)</x:f>
        <x:v>652</x:v>
      </x:c>
      <x:c r="J1464" s="18" t="n">
        <x:f>MIN(Model_Config_v3!$B$6,I1464+Model_Config_v3!$B$7)</x:f>
        <x:v>672</x:v>
      </x:c>
      <x:c r="K1464" s="20" t="n">
        <x:v>56.5</x:v>
      </x:c>
      <x:c r="L1464" t="str">
        <x:v>KETAT</x:v>
      </x:c>
      <x:c r="M1464" t="str">
        <x:v>SEDANG+</x:v>
      </x:c>
      <x:c r="N1464" t="str">
        <x:v>ELITE-3</x:v>
      </x:c>
      <x:c r="O1464" t="str">
        <x:v>SAINTEK</x:v>
      </x:c>
      <x:c r="P1464" t="str">
        <x:v>TEKNIK/ARSITEKTUR/STATISTIKA/AKTUARIA</x:v>
      </x:c>
      <x:c r="Q1464" s="18" t="n">
        <x:v>630</x:v>
      </x:c>
      <x:c r="R1464" s="18" t="n">
        <x:v>0</x:v>
      </x:c>
      <x:c r="S1464" s="18" t="n">
        <x:v>603.0413550631686</x:v>
      </x:c>
      <x:c r="T1464" s="18" t="n">
        <x:v>673</x:v>
      </x:c>
      <x:c r="U1464" s="18" t="n">
        <x:v>630</x:v>
      </x:c>
      <x:c r="V1464" s="20" t="n">
        <x:v>12</x:v>
      </x:c>
      <x:c r="W1464" s="20" t="n">
        <x:v>5</x:v>
      </x:c>
      <x:c r="X1464" s="20" t="n">
        <x:v>3</x:v>
      </x:c>
      <x:c r="Y1464" t="str">
        <x:v>Basis arsip 2025/2024</x:v>
      </x:c>
      <x:c r="Z1464" t="str">
        <x:v>https://snpmb.id/utbk-snbt/daya-tampung-snbt</x:v>
      </x:c>
      <x:c r="AA1464" t="str">
        <x:v>Tidak Ada</x:v>
      </x:c>
      <x:c r="AB1464" t="str">
        <x:v>Campus=80; Ratio=44.4; Prodi=60; RelDemand=20.9; Capacity=33.3</x:v>
      </x:c>
    </x:row>
    <x:row r="1465">
      <x:c r="A1465" t="n">
        <x:v>1462</x:v>
      </x:c>
      <x:c r="B1465" t="str">
        <x:v>PTN Akademik</x:v>
      </x:c>
      <x:c r="C1465" t="str">
        <x:v>UNIVERSITAS JENDERAL SOEDIRMAN</x:v>
      </x:c>
      <x:c r="D1465" t="str">
        <x:v>TEKNIK ELEKTRO</x:v>
      </x:c>
      <x:c r="E1465" t="str">
        <x:v>Sarjana</x:v>
      </x:c>
      <x:c r="F1465" s="18" t="n">
        <x:v>80</x:v>
      </x:c>
      <x:c r="G1465" s="18" t="n">
        <x:v>472</x:v>
      </x:c>
      <x:c r="H1465" s="19" t="n">
        <x:v>5.9</x:v>
      </x:c>
      <x:c r="I1465" s="18" t="n">
        <x:f>ROUND(MIN(Model_Config_v3!$B$6,MAX(Q1465,R1465,S1465*Model_Config_v3!$B$4+T1465*Model_Config_v3!$B$5)),0)</x:f>
        <x:v>653</x:v>
      </x:c>
      <x:c r="J1465" s="18" t="n">
        <x:f>MIN(Model_Config_v3!$B$6,I1465+Model_Config_v3!$B$7)</x:f>
        <x:v>673</x:v>
      </x:c>
      <x:c r="K1465" s="20" t="n">
        <x:v>56.8</x:v>
      </x:c>
      <x:c r="L1465" t="str">
        <x:v>KETAT</x:v>
      </x:c>
      <x:c r="M1465" t="str">
        <x:v>SEDANG+</x:v>
      </x:c>
      <x:c r="N1465" t="str">
        <x:v>ELITE-3</x:v>
      </x:c>
      <x:c r="O1465" t="str">
        <x:v>SAINTEK</x:v>
      </x:c>
      <x:c r="P1465" t="str">
        <x:v>TEKNIK/ARSITEKTUR/STATISTIKA/AKTUARIA</x:v>
      </x:c>
      <x:c r="Q1465" s="18" t="n">
        <x:v>630</x:v>
      </x:c>
      <x:c r="R1465" s="18" t="n">
        <x:v>0</x:v>
      </x:c>
      <x:c r="S1465" s="18" t="n">
        <x:v>604.7937212806359</x:v>
      </x:c>
      <x:c r="T1465" s="18" t="n">
        <x:v>674</x:v>
      </x:c>
      <x:c r="U1465" s="18" t="n">
        <x:v>630</x:v>
      </x:c>
      <x:c r="V1465" s="20" t="n">
        <x:v>12</x:v>
      </x:c>
      <x:c r="W1465" s="20" t="n">
        <x:v>5</x:v>
      </x:c>
      <x:c r="X1465" s="20" t="n">
        <x:v>3</x:v>
      </x:c>
      <x:c r="Y1465" t="str">
        <x:v>Basis arsip 2025/2024</x:v>
      </x:c>
      <x:c r="Z1465" t="str">
        <x:v>https://snpmb.id/utbk-snbt/daya-tampung-snbt</x:v>
      </x:c>
      <x:c r="AA1465" t="str">
        <x:v>Tidak Ada</x:v>
      </x:c>
      <x:c r="AB1465" t="str">
        <x:v>Campus=80; Ratio=45.4; Prodi=60; RelDemand=21.7; Capacity=33.3</x:v>
      </x:c>
    </x:row>
    <x:row r="1466">
      <x:c r="A1466" t="n">
        <x:v>1463</x:v>
      </x:c>
      <x:c r="B1466" t="str">
        <x:v>PTN Akademik</x:v>
      </x:c>
      <x:c r="C1466" t="str">
        <x:v>UNIVERSITAS JENDERAL SOEDIRMAN</x:v>
      </x:c>
      <x:c r="D1466" t="str">
        <x:v>TEKNIK SIPIL</x:v>
      </x:c>
      <x:c r="E1466" t="str">
        <x:v>Sarjana</x:v>
      </x:c>
      <x:c r="F1466" s="18" t="n">
        <x:v>80</x:v>
      </x:c>
      <x:c r="G1466" s="18" t="n">
        <x:v>819</x:v>
      </x:c>
      <x:c r="H1466" s="19" t="n">
        <x:v>10.2375</x:v>
      </x:c>
      <x:c r="I1466" s="18" t="n">
        <x:f>ROUND(MIN(Model_Config_v3!$B$6,MAX(Q1466,R1466,S1466*Model_Config_v3!$B$4+T1466*Model_Config_v3!$B$5)),0)</x:f>
        <x:v>668</x:v>
      </x:c>
      <x:c r="J1466" s="18" t="n">
        <x:f>MIN(Model_Config_v3!$B$6,I1466+Model_Config_v3!$B$7)</x:f>
        <x:v>688</x:v>
      </x:c>
      <x:c r="K1466" s="20" t="n">
        <x:v>62</x:v>
      </x:c>
      <x:c r="L1466" t="str">
        <x:v>KETAT</x:v>
      </x:c>
      <x:c r="M1466" t="str">
        <x:v>SEDANG+</x:v>
      </x:c>
      <x:c r="N1466" t="str">
        <x:v>ELITE-3</x:v>
      </x:c>
      <x:c r="O1466" t="str">
        <x:v>SAINTEK</x:v>
      </x:c>
      <x:c r="P1466" t="str">
        <x:v>TEKNIK/ARSITEKTUR/STATISTIKA/AKTUARIA</x:v>
      </x:c>
      <x:c r="Q1466" s="18" t="n">
        <x:v>630</x:v>
      </x:c>
      <x:c r="R1466" s="18" t="n">
        <x:v>0</x:v>
      </x:c>
      <x:c r="S1466" s="18" t="n">
        <x:v>631.1213306245322</x:v>
      </x:c>
      <x:c r="T1466" s="18" t="n">
        <x:v>684</x:v>
      </x:c>
      <x:c r="U1466" s="18" t="n">
        <x:v>641.1213306245322</x:v>
      </x:c>
      <x:c r="V1466" s="20" t="n">
        <x:v>12</x:v>
      </x:c>
      <x:c r="W1466" s="20" t="n">
        <x:v>5</x:v>
      </x:c>
      <x:c r="X1466" s="20" t="n">
        <x:v>3</x:v>
      </x:c>
      <x:c r="Y1466" t="str">
        <x:v>Basis arsip 2025/2024</x:v>
      </x:c>
      <x:c r="Z1466" t="str">
        <x:v>https://snpmb.id/utbk-snbt/daya-tampung-snbt</x:v>
      </x:c>
      <x:c r="AA1466" t="str">
        <x:v>Tidak Ada</x:v>
      </x:c>
      <x:c r="AB1466" t="str">
        <x:v>Campus=80; Ratio=59.5; Prodi=60; RelDemand=37.7; Capacity=33.3</x:v>
      </x:c>
    </x:row>
    <x:row r="1467">
      <x:c r="A1467" t="n">
        <x:v>1464</x:v>
      </x:c>
      <x:c r="B1467" t="str">
        <x:v>PTN Akademik</x:v>
      </x:c>
      <x:c r="C1467" t="str">
        <x:v>UNIVERSITAS JENDERAL SOEDIRMAN</x:v>
      </x:c>
      <x:c r="D1467" t="str">
        <x:v>PENDIDIKAN DOKTER</x:v>
      </x:c>
      <x:c r="E1467" t="str">
        <x:v>Sarjana</x:v>
      </x:c>
      <x:c r="F1467" s="18" t="n">
        <x:v>70</x:v>
      </x:c>
      <x:c r="G1467" s="18" t="n">
        <x:v>2058</x:v>
      </x:c>
      <x:c r="H1467" s="19" t="n">
        <x:v>29.4</x:v>
      </x:c>
      <x:c r="I1467" s="18" t="n">
        <x:f>ROUND(MIN(Model_Config_v3!$B$6,MAX(Q1467,R1467,S1467*Model_Config_v3!$B$4+T1467*Model_Config_v3!$B$5)),0)</x:f>
        <x:v>714</x:v>
      </x:c>
      <x:c r="J1467" s="18" t="n">
        <x:f>MIN(Model_Config_v3!$B$6,I1467+Model_Config_v3!$B$7)</x:f>
        <x:v>734</x:v>
      </x:c>
      <x:c r="K1467" s="20" t="n">
        <x:v>83.8</x:v>
      </x:c>
      <x:c r="L1467" t="str">
        <x:v>ELITE</x:v>
      </x:c>
      <x:c r="M1467" t="str">
        <x:v>SEDANG+</x:v>
      </x:c>
      <x:c r="N1467" t="str">
        <x:v>ELITE-3</x:v>
      </x:c>
      <x:c r="O1467" t="str">
        <x:v>SAINTEK</x:v>
      </x:c>
      <x:c r="P1467" t="str">
        <x:v>KEDOKTERAN</x:v>
      </x:c>
      <x:c r="Q1467" s="18" t="n">
        <x:v>630</x:v>
      </x:c>
      <x:c r="R1467" s="18" t="n">
        <x:v>700</x:v>
      </x:c>
      <x:c r="S1467" s="18" t="n">
        <x:v>681.5182063453373</x:v>
      </x:c>
      <x:c r="T1467" s="18" t="n">
        <x:v>728</x:v>
      </x:c>
      <x:c r="U1467" s="18" t="n">
        <x:v>721.5182063453373</x:v>
      </x:c>
      <x:c r="V1467" s="20" t="n">
        <x:v>12</x:v>
      </x:c>
      <x:c r="W1467" s="20" t="n">
        <x:v>5</x:v>
      </x:c>
      <x:c r="X1467" s="20" t="n">
        <x:v>3</x:v>
      </x:c>
      <x:c r="Y1467" t="str">
        <x:v>Basis arsip 2025/2024</x:v>
      </x:c>
      <x:c r="Z1467" t="str">
        <x:v>https://snpmb.id/utbk-snbt/daya-tampung-snbt</x:v>
      </x:c>
      <x:c r="AA1467" t="str">
        <x:v>Tidak Ada</x:v>
      </x:c>
      <x:c r="AB1467" t="str">
        <x:v>Campus=80; Ratio=86.4; Prodi=100; RelDemand=100.0; Capacity=41.7</x:v>
      </x:c>
    </x:row>
    <x:row r="1468">
      <x:c r="A1468" t="n">
        <x:v>1465</x:v>
      </x:c>
      <x:c r="B1468" t="str">
        <x:v>PTN Akademik</x:v>
      </x:c>
      <x:c r="C1468" t="str">
        <x:v>UNIVERSITAS JENDERAL SOEDIRMAN</x:v>
      </x:c>
      <x:c r="D1468" t="str">
        <x:v>KESEHATAN MASYARAKAT</x:v>
      </x:c>
      <x:c r="E1468" t="str">
        <x:v>Sarjana</x:v>
      </x:c>
      <x:c r="F1468" s="18" t="n">
        <x:v>88</x:v>
      </x:c>
      <x:c r="G1468" s="18" t="n">
        <x:v>1469</x:v>
      </x:c>
      <x:c r="H1468" s="19" t="n">
        <x:v>16.693181818181817</x:v>
      </x:c>
      <x:c r="I1468" s="18" t="n">
        <x:f>ROUND(MIN(Model_Config_v3!$B$6,MAX(Q1468,R1468,S1468*Model_Config_v3!$B$4+T1468*Model_Config_v3!$B$5)),0)</x:f>
        <x:v>681</x:v>
      </x:c>
      <x:c r="J1468" s="18" t="n">
        <x:f>MIN(Model_Config_v3!$B$6,I1468+Model_Config_v3!$B$7)</x:f>
        <x:v>701</x:v>
      </x:c>
      <x:c r="K1468" s="20" t="n">
        <x:v>65.8</x:v>
      </x:c>
      <x:c r="L1468" t="str">
        <x:v>SANGAT KETAT</x:v>
      </x:c>
      <x:c r="M1468" t="str">
        <x:v>SEDANG+</x:v>
      </x:c>
      <x:c r="N1468" t="str">
        <x:v>ELITE-3</x:v>
      </x:c>
      <x:c r="O1468" t="str">
        <x:v>SAINTEK</x:v>
      </x:c>
      <x:c r="P1468" t="str">
        <x:v>KESEHAT/GIZI/KEPERAWATAN</x:v>
      </x:c>
      <x:c r="Q1468" s="18" t="n">
        <x:v>630</x:v>
      </x:c>
      <x:c r="R1468" s="18" t="n">
        <x:v>0</x:v>
      </x:c>
      <x:c r="S1468" s="18" t="n">
        <x:v>654.4793036004096</x:v>
      </x:c>
      <x:c r="T1468" s="18" t="n">
        <x:v>692</x:v>
      </x:c>
      <x:c r="U1468" s="18" t="n">
        <x:v>654.4793036004096</x:v>
      </x:c>
      <x:c r="V1468" s="20" t="n">
        <x:v>12</x:v>
      </x:c>
      <x:c r="W1468" s="20" t="n">
        <x:v>5</x:v>
      </x:c>
      <x:c r="X1468" s="20" t="n">
        <x:v>3</x:v>
      </x:c>
      <x:c r="Y1468" t="str">
        <x:v>Basis arsip 2025/2024</x:v>
      </x:c>
      <x:c r="Z1468" t="str">
        <x:v>https://snpmb.id/utbk-snbt/daya-tampung-snbt</x:v>
      </x:c>
      <x:c r="AA1468" t="str">
        <x:v>Tidak Ada</x:v>
      </x:c>
      <x:c r="AB1468" t="str">
        <x:v>Campus=80; Ratio=72.0; Prodi=55; RelDemand=61.4; Capacity=26.7</x:v>
      </x:c>
    </x:row>
    <x:row r="1469">
      <x:c r="A1469" t="n">
        <x:v>1466</x:v>
      </x:c>
      <x:c r="B1469" t="str">
        <x:v>PTN Akademik</x:v>
      </x:c>
      <x:c r="C1469" t="str">
        <x:v>UNIVERSITAS JENDERAL SOEDIRMAN</x:v>
      </x:c>
      <x:c r="D1469" t="str">
        <x:v>KEPERAWATAN</x:v>
      </x:c>
      <x:c r="E1469" t="str">
        <x:v>Sarjana</x:v>
      </x:c>
      <x:c r="F1469" s="18" t="n">
        <x:v>80</x:v>
      </x:c>
      <x:c r="G1469" s="18" t="n">
        <x:v>1476</x:v>
      </x:c>
      <x:c r="H1469" s="19" t="n">
        <x:v>18.45</x:v>
      </x:c>
      <x:c r="I1469" s="18" t="n">
        <x:f>ROUND(MIN(Model_Config_v3!$B$6,MAX(Q1469,R1469,S1469*Model_Config_v3!$B$4+T1469*Model_Config_v3!$B$5)),0)</x:f>
        <x:v>685</x:v>
      </x:c>
      <x:c r="J1469" s="18" t="n">
        <x:f>MIN(Model_Config_v3!$B$6,I1469+Model_Config_v3!$B$7)</x:f>
        <x:v>705</x:v>
      </x:c>
      <x:c r="K1469" s="20" t="n">
        <x:v>67.8</x:v>
      </x:c>
      <x:c r="L1469" t="str">
        <x:v>SANGAT KETAT</x:v>
      </x:c>
      <x:c r="M1469" t="str">
        <x:v>SEDANG+</x:v>
      </x:c>
      <x:c r="N1469" t="str">
        <x:v>ELITE-3</x:v>
      </x:c>
      <x:c r="O1469" t="str">
        <x:v>SAINTEK</x:v>
      </x:c>
      <x:c r="P1469" t="str">
        <x:v>KESEHAT/GIZI/KEPERAWATAN</x:v>
      </x:c>
      <x:c r="Q1469" s="18" t="n">
        <x:v>630</x:v>
      </x:c>
      <x:c r="R1469" s="18" t="n">
        <x:v>0</x:v>
      </x:c>
      <x:c r="S1469" s="18" t="n">
        <x:v>659.2596007544587</x:v>
      </x:c>
      <x:c r="T1469" s="18" t="n">
        <x:v>696</x:v>
      </x:c>
      <x:c r="U1469" s="18" t="n">
        <x:v>659.2596007544587</x:v>
      </x:c>
      <x:c r="V1469" s="20" t="n">
        <x:v>12</x:v>
      </x:c>
      <x:c r="W1469" s="20" t="n">
        <x:v>5</x:v>
      </x:c>
      <x:c r="X1469" s="20" t="n">
        <x:v>3</x:v>
      </x:c>
      <x:c r="Y1469" t="str">
        <x:v>Basis arsip 2025/2024</x:v>
      </x:c>
      <x:c r="Z1469" t="str">
        <x:v>https://snpmb.id/utbk-snbt/daya-tampung-snbt</x:v>
      </x:c>
      <x:c r="AA1469" t="str">
        <x:v>Tidak Ada</x:v>
      </x:c>
      <x:c r="AB1469" t="str">
        <x:v>Campus=80; Ratio=74.5; Prodi=55; RelDemand=67.9; Capacity=33.3</x:v>
      </x:c>
    </x:row>
    <x:row r="1470">
      <x:c r="A1470" t="n">
        <x:v>1467</x:v>
      </x:c>
      <x:c r="B1470" t="str">
        <x:v>PTN Akademik</x:v>
      </x:c>
      <x:c r="C1470" t="str">
        <x:v>UNIVERSITAS JENDERAL SOEDIRMAN</x:v>
      </x:c>
      <x:c r="D1470" t="str">
        <x:v>FARMASI</x:v>
      </x:c>
      <x:c r="E1470" t="str">
        <x:v>Sarjana</x:v>
      </x:c>
      <x:c r="F1470" s="18" t="n">
        <x:v>88</x:v>
      </x:c>
      <x:c r="G1470" s="18" t="n">
        <x:v>1376</x:v>
      </x:c>
      <x:c r="H1470" s="19" t="n">
        <x:v>15.636363636363637</x:v>
      </x:c>
      <x:c r="I1470" s="18" t="n">
        <x:f>ROUND(MIN(Model_Config_v3!$B$6,MAX(Q1470,R1470,S1470*Model_Config_v3!$B$4+T1470*Model_Config_v3!$B$5)),0)</x:f>
        <x:v>684</x:v>
      </x:c>
      <x:c r="J1470" s="18" t="n">
        <x:f>MIN(Model_Config_v3!$B$6,I1470+Model_Config_v3!$B$7)</x:f>
        <x:v>704</x:v>
      </x:c>
      <x:c r="K1470" s="20" t="n">
        <x:v>69</x:v>
      </x:c>
      <x:c r="L1470" t="str">
        <x:v>SANGAT KETAT</x:v>
      </x:c>
      <x:c r="M1470" t="str">
        <x:v>SEDANG+</x:v>
      </x:c>
      <x:c r="N1470" t="str">
        <x:v>ELITE-3</x:v>
      </x:c>
      <x:c r="O1470" t="str">
        <x:v>SAINTEK</x:v>
      </x:c>
      <x:c r="P1470" t="str">
        <x:v>FARMASI</x:v>
      </x:c>
      <x:c r="Q1470" s="18" t="n">
        <x:v>630</x:v>
      </x:c>
      <x:c r="R1470" s="18" t="n">
        <x:v>660</x:v>
      </x:c>
      <x:c r="S1470" s="18" t="n">
        <x:v>651.3549337924256</x:v>
      </x:c>
      <x:c r="T1470" s="18" t="n">
        <x:v>698</x:v>
      </x:c>
      <x:c r="U1470" s="18" t="n">
        <x:v>671.3549337924256</x:v>
      </x:c>
      <x:c r="V1470" s="20" t="n">
        <x:v>12</x:v>
      </x:c>
      <x:c r="W1470" s="20" t="n">
        <x:v>5</x:v>
      </x:c>
      <x:c r="X1470" s="20" t="n">
        <x:v>3</x:v>
      </x:c>
      <x:c r="Y1470" t="str">
        <x:v>Basis arsip 2025/2024</x:v>
      </x:c>
      <x:c r="Z1470" t="str">
        <x:v>https://snpmb.id/utbk-snbt/daya-tampung-snbt</x:v>
      </x:c>
      <x:c r="AA1470" t="str">
        <x:v>Tidak Ada</x:v>
      </x:c>
      <x:c r="AB1470" t="str">
        <x:v>Campus=80; Ratio=70.3; Prodi=75; RelDemand=57.5; Capacity=26.7</x:v>
      </x:c>
    </x:row>
    <x:row r="1471">
      <x:c r="A1471" t="n">
        <x:v>1468</x:v>
      </x:c>
      <x:c r="B1471" t="str">
        <x:v>PTN Akademik</x:v>
      </x:c>
      <x:c r="C1471" t="str">
        <x:v>UNIVERSITAS JENDERAL SOEDIRMAN</x:v>
      </x:c>
      <x:c r="D1471" t="str">
        <x:v>TEKNIK GEOLOGI</x:v>
      </x:c>
      <x:c r="E1471" t="str">
        <x:v>Sarjana</x:v>
      </x:c>
      <x:c r="F1471" s="18" t="n">
        <x:v>80</x:v>
      </x:c>
      <x:c r="G1471" s="18" t="n">
        <x:v>651</x:v>
      </x:c>
      <x:c r="H1471" s="19" t="n">
        <x:v>8.1375</x:v>
      </x:c>
      <x:c r="I1471" s="18" t="n">
        <x:f>ROUND(MIN(Model_Config_v3!$B$6,MAX(Q1471,R1471,S1471*Model_Config_v3!$B$4+T1471*Model_Config_v3!$B$5)),0)</x:f>
        <x:v>661</x:v>
      </x:c>
      <x:c r="J1471" s="18" t="n">
        <x:f>MIN(Model_Config_v3!$B$6,I1471+Model_Config_v3!$B$7)</x:f>
        <x:v>681</x:v>
      </x:c>
      <x:c r="K1471" s="20" t="n">
        <x:v>59.7</x:v>
      </x:c>
      <x:c r="L1471" t="str">
        <x:v>KETAT</x:v>
      </x:c>
      <x:c r="M1471" t="str">
        <x:v>SEDANG+</x:v>
      </x:c>
      <x:c r="N1471" t="str">
        <x:v>ELITE-3</x:v>
      </x:c>
      <x:c r="O1471" t="str">
        <x:v>SAINTEK</x:v>
      </x:c>
      <x:c r="P1471" t="str">
        <x:v>TEKNIK/ARSITEKTUR/STATISTIKA/AKTUARIA</x:v>
      </x:c>
      <x:c r="Q1471" s="18" t="n">
        <x:v>630</x:v>
      </x:c>
      <x:c r="R1471" s="18" t="n">
        <x:v>0</x:v>
      </x:c>
      <x:c r="S1471" s="18" t="n">
        <x:v>620.1540101733873</x:v>
      </x:c>
      <x:c r="T1471" s="18" t="n">
        <x:v>679</x:v>
      </x:c>
      <x:c r="U1471" s="18" t="n">
        <x:v>630.1540101733873</x:v>
      </x:c>
      <x:c r="V1471" s="20" t="n">
        <x:v>12</x:v>
      </x:c>
      <x:c r="W1471" s="20" t="n">
        <x:v>5</x:v>
      </x:c>
      <x:c r="X1471" s="20" t="n">
        <x:v>3</x:v>
      </x:c>
      <x:c r="Y1471" t="str">
        <x:v>Basis arsip 2025/2024</x:v>
      </x:c>
      <x:c r="Z1471" t="str">
        <x:v>https://snpmb.id/utbk-snbt/daya-tampung-snbt</x:v>
      </x:c>
      <x:c r="AA1471" t="str">
        <x:v>Tidak Ada</x:v>
      </x:c>
      <x:c r="AB1471" t="str">
        <x:v>Campus=80; Ratio=53.6; Prodi=60; RelDemand=29.9; Capacity=33.3</x:v>
      </x:c>
    </x:row>
    <x:row r="1472">
      <x:c r="A1472" t="n">
        <x:v>1469</x:v>
      </x:c>
      <x:c r="B1472" t="str">
        <x:v>PTN Akademik</x:v>
      </x:c>
      <x:c r="C1472" t="str">
        <x:v>UNIVERSITAS JENDERAL SOEDIRMAN</x:v>
      </x:c>
      <x:c r="D1472" t="str">
        <x:v>ILMU KELAUTAN</x:v>
      </x:c>
      <x:c r="E1472" t="str">
        <x:v>Sarjana</x:v>
      </x:c>
      <x:c r="F1472" s="18" t="n">
        <x:v>80</x:v>
      </x:c>
      <x:c r="G1472" s="18" t="n">
        <x:v>344</x:v>
      </x:c>
      <x:c r="H1472" s="19" t="n">
        <x:v>4.3</x:v>
      </x:c>
      <x:c r="I1472" s="18" t="n">
        <x:f>ROUND(MIN(Model_Config_v3!$B$6,MAX(Q1472,R1472,S1472*Model_Config_v3!$B$4+T1472*Model_Config_v3!$B$5)),0)</x:f>
        <x:v>639</x:v>
      </x:c>
      <x:c r="J1472" s="18" t="n">
        <x:f>MIN(Model_Config_v3!$B$6,I1472+Model_Config_v3!$B$7)</x:f>
        <x:v>659</x:v>
      </x:c>
      <x:c r="K1472" s="20" t="n">
        <x:v>50.2</x:v>
      </x:c>
      <x:c r="L1472" t="str">
        <x:v>MENENGAH</x:v>
      </x:c>
      <x:c r="M1472" t="str">
        <x:v>SEDANG+</x:v>
      </x:c>
      <x:c r="N1472" t="str">
        <x:v>ELITE-3</x:v>
      </x:c>
      <x:c r="O1472" t="str">
        <x:v>SAINTEK</x:v>
      </x:c>
      <x:c r="P1472" t="str">
        <x:v>UMUM</x:v>
      </x:c>
      <x:c r="Q1472" s="18" t="n">
        <x:v>630</x:v>
      </x:c>
      <x:c r="R1472" s="18" t="n">
        <x:v>0</x:v>
      </x:c>
      <x:c r="S1472" s="18" t="n">
        <x:v>589.6815301137545</x:v>
      </x:c>
      <x:c r="T1472" s="18" t="n">
        <x:v>660</x:v>
      </x:c>
      <x:c r="U1472" s="18" t="n">
        <x:v>630</x:v>
      </x:c>
      <x:c r="V1472" s="20" t="n">
        <x:v>12</x:v>
      </x:c>
      <x:c r="W1472" s="20" t="n">
        <x:v>5</x:v>
      </x:c>
      <x:c r="X1472" s="20" t="n">
        <x:v>3</x:v>
      </x:c>
      <x:c r="Y1472" t="str">
        <x:v>Basis arsip 2025/2024</x:v>
      </x:c>
      <x:c r="Z1472" t="str">
        <x:v>https://snpmb.id/utbk-snbt/daya-tampung-snbt</x:v>
      </x:c>
      <x:c r="AA1472" t="str">
        <x:v>Tidak Ada</x:v>
      </x:c>
      <x:c r="AB1472" t="str">
        <x:v>Campus=80; Ratio=37.3; Prodi=40; RelDemand=15.8; Capacity=33.3</x:v>
      </x:c>
    </x:row>
    <x:row r="1473">
      <x:c r="A1473" t="n">
        <x:v>1470</x:v>
      </x:c>
      <x:c r="B1473" t="str">
        <x:v>PTN Akademik</x:v>
      </x:c>
      <x:c r="C1473" t="str">
        <x:v>UNIVERSITAS JENDERAL SOEDIRMAN</x:v>
      </x:c>
      <x:c r="D1473" t="str">
        <x:v>AGROTEKNOLOGI</x:v>
      </x:c>
      <x:c r="E1473" t="str">
        <x:v>Sarjana</x:v>
      </x:c>
      <x:c r="F1473" s="18" t="n">
        <x:v>120</x:v>
      </x:c>
      <x:c r="G1473" s="18" t="n">
        <x:v>576</x:v>
      </x:c>
      <x:c r="H1473" s="19" t="n">
        <x:v>4.8</x:v>
      </x:c>
      <x:c r="I1473" s="18" t="n">
        <x:f>ROUND(MIN(Model_Config_v3!$B$6,MAX(Q1473,R1473,S1473*Model_Config_v3!$B$4+T1473*Model_Config_v3!$B$5)),0)</x:f>
        <x:v>638</x:v>
      </x:c>
      <x:c r="J1473" s="18" t="n">
        <x:f>MIN(Model_Config_v3!$B$6,I1473+Model_Config_v3!$B$7)</x:f>
        <x:v>658</x:v>
      </x:c>
      <x:c r="K1473" s="20" t="n">
        <x:v>47.8</x:v>
      </x:c>
      <x:c r="L1473" t="str">
        <x:v>MENENGAH</x:v>
      </x:c>
      <x:c r="M1473" t="str">
        <x:v>SEDANG+</x:v>
      </x:c>
      <x:c r="N1473" t="str">
        <x:v>ELITE-3</x:v>
      </x:c>
      <x:c r="O1473" t="str">
        <x:v>SAINTEK</x:v>
      </x:c>
      <x:c r="P1473" t="str">
        <x:v>UMUM</x:v>
      </x:c>
      <x:c r="Q1473" s="18" t="n">
        <x:v>630</x:v>
      </x:c>
      <x:c r="R1473" s="18" t="n">
        <x:v>0</x:v>
      </x:c>
      <x:c r="S1473" s="18" t="n">
        <x:v>594.9365361113146</x:v>
      </x:c>
      <x:c r="T1473" s="18" t="n">
        <x:v>656</x:v>
      </x:c>
      <x:c r="U1473" s="18" t="n">
        <x:v>630</x:v>
      </x:c>
      <x:c r="V1473" s="20" t="n">
        <x:v>12</x:v>
      </x:c>
      <x:c r="W1473" s="20" t="n">
        <x:v>5</x:v>
      </x:c>
      <x:c r="X1473" s="20" t="n">
        <x:v>3</x:v>
      </x:c>
      <x:c r="Y1473" t="str">
        <x:v>Basis arsip 2025/2024</x:v>
      </x:c>
      <x:c r="Z1473" t="str">
        <x:v>https://snpmb.id/utbk-snbt/daya-tampung-snbt</x:v>
      </x:c>
      <x:c r="AA1473" t="str">
        <x:v>Tidak Ada</x:v>
      </x:c>
      <x:c r="AB1473" t="str">
        <x:v>Campus=80; Ratio=40.1; Prodi=40; RelDemand=17.7; Capacity=0.0</x:v>
      </x:c>
    </x:row>
    <x:row r="1474">
      <x:c r="A1474" t="n">
        <x:v>1471</x:v>
      </x:c>
      <x:c r="B1474" t="str">
        <x:v>PTN Akademik</x:v>
      </x:c>
      <x:c r="C1474" t="str">
        <x:v>UNIVERSITAS JENDERAL SOEDIRMAN</x:v>
      </x:c>
      <x:c r="D1474" t="str">
        <x:v>AGRIBISNIS</x:v>
      </x:c>
      <x:c r="E1474" t="str">
        <x:v>Sarjana</x:v>
      </x:c>
      <x:c r="F1474" s="18" t="n">
        <x:v>78</x:v>
      </x:c>
      <x:c r="G1474" s="18" t="n">
        <x:v>745</x:v>
      </x:c>
      <x:c r="H1474" s="19" t="n">
        <x:v>9.551282051282051</x:v>
      </x:c>
      <x:c r="I1474" s="18" t="n">
        <x:f>ROUND(MIN(Model_Config_v3!$B$6,MAX(Q1474,R1474,S1474*Model_Config_v3!$B$4+T1474*Model_Config_v3!$B$5)),0)</x:f>
        <x:v>668</x:v>
      </x:c>
      <x:c r="J1474" s="18" t="n">
        <x:f>MIN(Model_Config_v3!$B$6,I1474+Model_Config_v3!$B$7)</x:f>
        <x:v>688</x:v>
      </x:c>
      <x:c r="K1474" s="20" t="n">
        <x:v>62.4</x:v>
      </x:c>
      <x:c r="L1474" t="str">
        <x:v>KETAT</x:v>
      </x:c>
      <x:c r="M1474" t="str">
        <x:v>SEDANG+</x:v>
      </x:c>
      <x:c r="N1474" t="str">
        <x:v>ELITE-3</x:v>
      </x:c>
      <x:c r="O1474" t="str">
        <x:v>SOSHUM</x:v>
      </x:c>
      <x:c r="P1474" t="str">
        <x:v>BISNIS/EKONOMI/AKUNTANSI</x:v>
      </x:c>
      <x:c r="Q1474" s="18" t="n">
        <x:v>630</x:v>
      </x:c>
      <x:c r="R1474" s="18" t="n">
        <x:v>0</x:v>
      </x:c>
      <x:c r="S1474" s="18" t="n">
        <x:v>627.8067837063594</x:v>
      </x:c>
      <x:c r="T1474" s="18" t="n">
        <x:v>685</x:v>
      </x:c>
      <x:c r="U1474" s="18" t="n">
        <x:v>642.8067837063594</x:v>
      </x:c>
      <x:c r="V1474" s="20" t="n">
        <x:v>4.4</x:v>
      </x:c>
      <x:c r="W1474" s="20" t="n">
        <x:v>14.3</x:v>
      </x:c>
      <x:c r="X1474" s="20" t="n">
        <x:v>3.3</x:v>
      </x:c>
      <x:c r="Y1474" t="str">
        <x:v>Basis arsip 2025/2024</x:v>
      </x:c>
      <x:c r="Z1474" t="str">
        <x:v>https://snpmb.id/utbk-snbt/daya-tampung-snbt</x:v>
      </x:c>
      <x:c r="AA1474" t="str">
        <x:v>Tidak Ada</x:v>
      </x:c>
      <x:c r="AB1474" t="str">
        <x:v>Campus=80; Ratio=57.7; Prodi=65; RelDemand=35.1; Capacity=35.0</x:v>
      </x:c>
    </x:row>
    <x:row r="1475">
      <x:c r="A1475" t="n">
        <x:v>1472</x:v>
      </x:c>
      <x:c r="B1475" t="str">
        <x:v>PTN Akademik</x:v>
      </x:c>
      <x:c r="C1475" t="str">
        <x:v>UNIVERSITAS JENDERAL SOEDIRMAN</x:v>
      </x:c>
      <x:c r="D1475" t="str">
        <x:v>TEKNOLOGI PANGAN</x:v>
      </x:c>
      <x:c r="E1475" t="str">
        <x:v>Sarjana</x:v>
      </x:c>
      <x:c r="F1475" s="18" t="n">
        <x:v>80</x:v>
      </x:c>
      <x:c r="G1475" s="18" t="n">
        <x:v>1084</x:v>
      </x:c>
      <x:c r="H1475" s="19" t="n">
        <x:v>13.55</x:v>
      </x:c>
      <x:c r="I1475" s="18" t="n">
        <x:f>ROUND(MIN(Model_Config_v3!$B$6,MAX(Q1475,R1475,S1475*Model_Config_v3!$B$4+T1475*Model_Config_v3!$B$5)),0)</x:f>
        <x:v>671</x:v>
      </x:c>
      <x:c r="J1475" s="18" t="n">
        <x:f>MIN(Model_Config_v3!$B$6,I1475+Model_Config_v3!$B$7)</x:f>
        <x:v>691</x:v>
      </x:c>
      <x:c r="K1475" s="20" t="n">
        <x:v>61</x:v>
      </x:c>
      <x:c r="L1475" t="str">
        <x:v>KETAT</x:v>
      </x:c>
      <x:c r="M1475" t="str">
        <x:v>SEDANG+</x:v>
      </x:c>
      <x:c r="N1475" t="str">
        <x:v>ELITE-3</x:v>
      </x:c>
      <x:c r="O1475" t="str">
        <x:v>SAINTEK</x:v>
      </x:c>
      <x:c r="P1475" t="str">
        <x:v>UMUM</x:v>
      </x:c>
      <x:c r="Q1475" s="18" t="n">
        <x:v>630</x:v>
      </x:c>
      <x:c r="R1475" s="18" t="n">
        <x:v>0</x:v>
      </x:c>
      <x:c r="S1475" s="18" t="n">
        <x:v>644.5133224731467</x:v>
      </x:c>
      <x:c r="T1475" s="18" t="n">
        <x:v>682</x:v>
      </x:c>
      <x:c r="U1475" s="18" t="n">
        <x:v>644.5133224731467</x:v>
      </x:c>
      <x:c r="V1475" s="20" t="n">
        <x:v>12</x:v>
      </x:c>
      <x:c r="W1475" s="20" t="n">
        <x:v>5</x:v>
      </x:c>
      <x:c r="X1475" s="20" t="n">
        <x:v>3</x:v>
      </x:c>
      <x:c r="Y1475" t="str">
        <x:v>Basis arsip 2025/2024</x:v>
      </x:c>
      <x:c r="Z1475" t="str">
        <x:v>https://snpmb.id/utbk-snbt/daya-tampung-snbt</x:v>
      </x:c>
      <x:c r="AA1475" t="str">
        <x:v>Tidak Ada</x:v>
      </x:c>
      <x:c r="AB1475" t="str">
        <x:v>Campus=80; Ratio=66.6; Prodi=40; RelDemand=49.9; Capacity=33.3</x:v>
      </x:c>
    </x:row>
    <x:row r="1476">
      <x:c r="A1476" t="n">
        <x:v>1473</x:v>
      </x:c>
      <x:c r="B1476" t="str">
        <x:v>PTN Akademik</x:v>
      </x:c>
      <x:c r="C1476" t="str">
        <x:v>UNIVERSITAS JENDERAL SOEDIRMAN</x:v>
      </x:c>
      <x:c r="D1476" t="str">
        <x:v>PETERNAKAN</x:v>
      </x:c>
      <x:c r="E1476" t="str">
        <x:v>Sarjana</x:v>
      </x:c>
      <x:c r="F1476" s="18" t="n">
        <x:v>120</x:v>
      </x:c>
      <x:c r="G1476" s="18" t="n">
        <x:v>704</x:v>
      </x:c>
      <x:c r="H1476" s="19" t="n">
        <x:v>5.866666666666666</x:v>
      </x:c>
      <x:c r="I1476" s="18" t="n">
        <x:f>ROUND(MIN(Model_Config_v3!$B$6,MAX(Q1476,R1476,S1476*Model_Config_v3!$B$4+T1476*Model_Config_v3!$B$5)),0)</x:f>
        <x:v>643</x:v>
      </x:c>
      <x:c r="J1476" s="18" t="n">
        <x:f>MIN(Model_Config_v3!$B$6,I1476+Model_Config_v3!$B$7)</x:f>
        <x:v>663</x:v>
      </x:c>
      <x:c r="K1476" s="20" t="n">
        <x:v>49.5</x:v>
      </x:c>
      <x:c r="L1476" t="str">
        <x:v>MENENGAH</x:v>
      </x:c>
      <x:c r="M1476" t="str">
        <x:v>SEDANG+</x:v>
      </x:c>
      <x:c r="N1476" t="str">
        <x:v>ELITE-3</x:v>
      </x:c>
      <x:c r="O1476" t="str">
        <x:v>SAINTEK</x:v>
      </x:c>
      <x:c r="P1476" t="str">
        <x:v>UMUM</x:v>
      </x:c>
      <x:c r="Q1476" s="18" t="n">
        <x:v>630</x:v>
      </x:c>
      <x:c r="R1476" s="18" t="n">
        <x:v>0</x:v>
      </x:c>
      <x:c r="S1476" s="18" t="n">
        <x:v>604.5230554403936</x:v>
      </x:c>
      <x:c r="T1476" s="18" t="n">
        <x:v>659</x:v>
      </x:c>
      <x:c r="U1476" s="18" t="n">
        <x:v>630</x:v>
      </x:c>
      <x:c r="V1476" s="20" t="n">
        <x:v>12</x:v>
      </x:c>
      <x:c r="W1476" s="20" t="n">
        <x:v>5</x:v>
      </x:c>
      <x:c r="X1476" s="20" t="n">
        <x:v>3</x:v>
      </x:c>
      <x:c r="Y1476" t="str">
        <x:v>Basis arsip 2025/2024</x:v>
      </x:c>
      <x:c r="Z1476" t="str">
        <x:v>https://snpmb.id/utbk-snbt/daya-tampung-snbt</x:v>
      </x:c>
      <x:c r="AA1476" t="str">
        <x:v>Tidak Ada</x:v>
      </x:c>
      <x:c r="AB1476" t="str">
        <x:v>Campus=80; Ratio=45.2; Prodi=40; RelDemand=21.6; Capacity=0.0</x:v>
      </x:c>
    </x:row>
    <x:row r="1477">
      <x:c r="A1477" t="n">
        <x:v>1474</x:v>
      </x:c>
      <x:c r="B1477" t="str">
        <x:v>PTN Akademik</x:v>
      </x:c>
      <x:c r="C1477" t="str">
        <x:v>UNIVERSITAS JENDERAL SOEDIRMAN</x:v>
      </x:c>
      <x:c r="D1477" t="str">
        <x:v>INFORMATIKA</x:v>
      </x:c>
      <x:c r="E1477" t="str">
        <x:v>Sarjana</x:v>
      </x:c>
      <x:c r="F1477" s="18" t="n">
        <x:v>76</x:v>
      </x:c>
      <x:c r="G1477" s="18" t="n">
        <x:v>1155</x:v>
      </x:c>
      <x:c r="H1477" s="19" t="n">
        <x:v>15.197368421052632</x:v>
      </x:c>
      <x:c r="I1477" s="18" t="n">
        <x:f>ROUND(MIN(Model_Config_v3!$B$6,MAX(Q1477,R1477,S1477*Model_Config_v3!$B$4+T1477*Model_Config_v3!$B$5)),0)</x:f>
        <x:v>687</x:v>
      </x:c>
      <x:c r="J1477" s="18" t="n">
        <x:f>MIN(Model_Config_v3!$B$6,I1477+Model_Config_v3!$B$7)</x:f>
        <x:v>707</x:v>
      </x:c>
      <x:c r="K1477" s="20" t="n">
        <x:v>71.6</x:v>
      </x:c>
      <x:c r="L1477" t="str">
        <x:v>SANGAT KETAT</x:v>
      </x:c>
      <x:c r="M1477" t="str">
        <x:v>SEDANG+</x:v>
      </x:c>
      <x:c r="N1477" t="str">
        <x:v>ELITE-3</x:v>
      </x:c>
      <x:c r="O1477" t="str">
        <x:v>SAINTEK</x:v>
      </x:c>
      <x:c r="P1477" t="str">
        <x:v>KOMPUTER/INFORMATIKA</x:v>
      </x:c>
      <x:c r="Q1477" s="18" t="n">
        <x:v>630</x:v>
      </x:c>
      <x:c r="R1477" s="18" t="n">
        <x:v>675</x:v>
      </x:c>
      <x:c r="S1477" s="18" t="n">
        <x:v>649.9945231142109</x:v>
      </x:c>
      <x:c r="T1477" s="18" t="n">
        <x:v>703</x:v>
      </x:c>
      <x:c r="U1477" s="18" t="n">
        <x:v>675</x:v>
      </x:c>
      <x:c r="V1477" s="20" t="n">
        <x:v>12</x:v>
      </x:c>
      <x:c r="W1477" s="20" t="n">
        <x:v>5</x:v>
      </x:c>
      <x:c r="X1477" s="20" t="n">
        <x:v>3</x:v>
      </x:c>
      <x:c r="Y1477" t="str">
        <x:v>Basis arsip 2025/2024</x:v>
      </x:c>
      <x:c r="Z1477" t="str">
        <x:v>https://snpmb.id/utbk-snbt/daya-tampung-snbt</x:v>
      </x:c>
      <x:c r="AA1477" t="str">
        <x:v>Tidak Ada</x:v>
      </x:c>
      <x:c r="AB1477" t="str">
        <x:v>Campus=80; Ratio=69.6; Prodi=85; RelDemand=55.9; Capacity=36.7</x:v>
      </x:c>
    </x:row>
    <x:row r="1478">
      <x:c r="A1478" t="n">
        <x:v>1475</x:v>
      </x:c>
      <x:c r="B1478" t="str">
        <x:v>PTN Akademik</x:v>
      </x:c>
      <x:c r="C1478" t="str">
        <x:v>UNIVERSITAS JENDERAL SOEDIRMAN</x:v>
      </x:c>
      <x:c r="D1478" t="str">
        <x:v>KEDOKTERAN GIGI</x:v>
      </x:c>
      <x:c r="E1478" t="str">
        <x:v>Sarjana</x:v>
      </x:c>
      <x:c r="F1478" s="18" t="n">
        <x:v>28</x:v>
      </x:c>
      <x:c r="G1478" s="18" t="n">
        <x:v>905</x:v>
      </x:c>
      <x:c r="H1478" s="19" t="n">
        <x:v>32.32142857142857</x:v>
      </x:c>
      <x:c r="I1478" s="18" t="n">
        <x:f>ROUND(MIN(Model_Config_v3!$B$6,MAX(Q1478,R1478,S1478*Model_Config_v3!$B$4+T1478*Model_Config_v3!$B$5)),0)</x:f>
        <x:v>718</x:v>
      </x:c>
      <x:c r="J1478" s="18" t="n">
        <x:f>MIN(Model_Config_v3!$B$6,I1478+Model_Config_v3!$B$7)</x:f>
        <x:v>738</x:v>
      </x:c>
      <x:c r="K1478" s="20" t="n">
        <x:v>85.9</x:v>
      </x:c>
      <x:c r="L1478" t="str">
        <x:v>ULTRA ELITE</x:v>
      </x:c>
      <x:c r="M1478" t="str">
        <x:v>SEDANG+</x:v>
      </x:c>
      <x:c r="N1478" t="str">
        <x:v>ELITE-3</x:v>
      </x:c>
      <x:c r="O1478" t="str">
        <x:v>SAINTEK</x:v>
      </x:c>
      <x:c r="P1478" t="str">
        <x:v>KEDOKTERAN GIGI</x:v>
      </x:c>
      <x:c r="Q1478" s="18" t="n">
        <x:v>630</x:v>
      </x:c>
      <x:c r="R1478" s="18" t="n">
        <x:v>680</x:v>
      </x:c>
      <x:c r="S1478" s="18" t="n">
        <x:v>686.0439602649283</x:v>
      </x:c>
      <x:c r="T1478" s="18" t="n">
        <x:v>732</x:v>
      </x:c>
      <x:c r="U1478" s="18" t="n">
        <x:v>716.0439602649283</x:v>
      </x:c>
      <x:c r="V1478" s="20" t="n">
        <x:v>12</x:v>
      </x:c>
      <x:c r="W1478" s="20" t="n">
        <x:v>5</x:v>
      </x:c>
      <x:c r="X1478" s="20" t="n">
        <x:v>3</x:v>
      </x:c>
      <x:c r="Y1478" t="str">
        <x:v>Basis arsip 2025/2024</x:v>
      </x:c>
      <x:c r="Z1478" t="str">
        <x:v>https://snpmb.id/utbk-snbt/daya-tampung-snbt</x:v>
      </x:c>
      <x:c r="AA1478" t="str">
        <x:v>Tidak Ada</x:v>
      </x:c>
      <x:c r="AB1478" t="str">
        <x:v>Campus=80; Ratio=88.8; Prodi=90; RelDemand=100.0; Capacity=76.7</x:v>
      </x:c>
    </x:row>
    <x:row r="1479">
      <x:c r="A1479" t="n">
        <x:v>1476</x:v>
      </x:c>
      <x:c r="B1479" t="str">
        <x:v>PTN Akademik</x:v>
      </x:c>
      <x:c r="C1479" t="str">
        <x:v>UNIVERSITAS JENDERAL SOEDIRMAN</x:v>
      </x:c>
      <x:c r="D1479" t="str">
        <x:v>ILMU GIZI</x:v>
      </x:c>
      <x:c r="E1479" t="str">
        <x:v>Sarjana</x:v>
      </x:c>
      <x:c r="F1479" s="18" t="n">
        <x:v>88</x:v>
      </x:c>
      <x:c r="G1479" s="18" t="n">
        <x:v>914</x:v>
      </x:c>
      <x:c r="H1479" s="19" t="n">
        <x:v>10.386363636363637</x:v>
      </x:c>
      <x:c r="I1479" s="18" t="n">
        <x:f>ROUND(MIN(Model_Config_v3!$B$6,MAX(Q1479,R1479,S1479*Model_Config_v3!$B$4+T1479*Model_Config_v3!$B$5)),0)</x:f>
        <x:v>666</x:v>
      </x:c>
      <x:c r="J1479" s="18" t="n">
        <x:f>MIN(Model_Config_v3!$B$6,I1479+Model_Config_v3!$B$7)</x:f>
        <x:v>686</x:v>
      </x:c>
      <x:c r="K1479" s="20" t="n">
        <x:v>60.4</x:v>
      </x:c>
      <x:c r="L1479" t="str">
        <x:v>KETAT</x:v>
      </x:c>
      <x:c r="M1479" t="str">
        <x:v>SEDANG+</x:v>
      </x:c>
      <x:c r="N1479" t="str">
        <x:v>ELITE-3</x:v>
      </x:c>
      <x:c r="O1479" t="str">
        <x:v>SAINTEK</x:v>
      </x:c>
      <x:c r="P1479" t="str">
        <x:v>KESEHAT/GIZI/KEPERAWATAN</x:v>
      </x:c>
      <x:c r="Q1479" s="18" t="n">
        <x:v>630</x:v>
      </x:c>
      <x:c r="R1479" s="18" t="n">
        <x:v>0</x:v>
      </x:c>
      <x:c r="S1479" s="18" t="n">
        <x:v>631.8109875942029</x:v>
      </x:c>
      <x:c r="T1479" s="18" t="n">
        <x:v>681</x:v>
      </x:c>
      <x:c r="U1479" s="18" t="n">
        <x:v>631.8109875942029</x:v>
      </x:c>
      <x:c r="V1479" s="20" t="n">
        <x:v>12</x:v>
      </x:c>
      <x:c r="W1479" s="20" t="n">
        <x:v>5</x:v>
      </x:c>
      <x:c r="X1479" s="20" t="n">
        <x:v>3</x:v>
      </x:c>
      <x:c r="Y1479" t="str">
        <x:v>Basis arsip 2025/2024</x:v>
      </x:c>
      <x:c r="Z1479" t="str">
        <x:v>https://snpmb.id/utbk-snbt/daya-tampung-snbt</x:v>
      </x:c>
      <x:c r="AA1479" t="str">
        <x:v>Tidak Ada</x:v>
      </x:c>
      <x:c r="AB1479" t="str">
        <x:v>Campus=80; Ratio=59.8; Prodi=55; RelDemand=38.2; Capacity=26.7</x:v>
      </x:c>
    </x:row>
    <x:row r="1480">
      <x:c r="A1480" t="n">
        <x:v>1477</x:v>
      </x:c>
      <x:c r="B1480" t="str">
        <x:v>PTN Akademik</x:v>
      </x:c>
      <x:c r="C1480" t="str">
        <x:v>UNIVERSITAS JENDERAL SOEDIRMAN</x:v>
      </x:c>
      <x:c r="D1480" t="str">
        <x:v>PENDIDIKAN JASMANI</x:v>
      </x:c>
      <x:c r="E1480" t="str">
        <x:v>Sarjana</x:v>
      </x:c>
      <x:c r="F1480" s="18" t="n">
        <x:v>88</x:v>
      </x:c>
      <x:c r="G1480" s="18" t="n">
        <x:v>404</x:v>
      </x:c>
      <x:c r="H1480" s="19" t="n">
        <x:v>4.590909090909091</x:v>
      </x:c>
      <x:c r="I1480" s="18" t="n">
        <x:f>ROUND(MIN(Model_Config_v3!$B$6,MAX(Q1480,R1480,S1480*Model_Config_v3!$B$4+T1480*Model_Config_v3!$B$5)),0)</x:f>
        <x:v>641</x:v>
      </x:c>
      <x:c r="J1480" s="18" t="n">
        <x:f>MIN(Model_Config_v3!$B$6,I1480+Model_Config_v3!$B$7)</x:f>
        <x:v>661</x:v>
      </x:c>
      <x:c r="K1480" s="20" t="n">
        <x:v>51.1</x:v>
      </x:c>
      <x:c r="L1480" t="str">
        <x:v>MENENGAH</x:v>
      </x:c>
      <x:c r="M1480" t="str">
        <x:v>PORTOFOLIO</x:v>
      </x:c>
      <x:c r="N1480" t="str">
        <x:v>ELITE-3</x:v>
      </x:c>
      <x:c r="O1480" t="str">
        <x:v>SENI/OLAHRAGA</x:v>
      </x:c>
      <x:c r="P1480" t="str">
        <x:v>SENI/OLAHRAGA</x:v>
      </x:c>
      <x:c r="Q1480" s="18" t="n">
        <x:v>630</x:v>
      </x:c>
      <x:c r="R1480" s="18" t="n">
        <x:v>0</x:v>
      </x:c>
      <x:c r="S1480" s="18" t="n">
        <x:v>592.808856225648</x:v>
      </x:c>
      <x:c r="T1480" s="18" t="n">
        <x:v>662</x:v>
      </x:c>
      <x:c r="U1480" s="18" t="n">
        <x:v>630</x:v>
      </x:c>
      <x:c r="V1480" s="20" t="n">
        <x:v>4.4</x:v>
      </x:c>
      <x:c r="W1480" s="20" t="n">
        <x:v>9.9</x:v>
      </x:c>
      <x:c r="X1480" s="20" t="n">
        <x:v>7.7</x:v>
      </x:c>
      <x:c r="Y1480" t="str">
        <x:v>Basis arsip 2025/2024</x:v>
      </x:c>
      <x:c r="Z1480" t="str">
        <x:v>https://snpmb.id/utbk-snbt/daya-tampung-snbt</x:v>
      </x:c>
      <x:c r="AA1480" t="str">
        <x:v>Olahraga</x:v>
      </x:c>
      <x:c r="AB1480" t="str">
        <x:v>Campus=80; Ratio=39.0; Prodi=45; RelDemand=16.9; Capacity=26.7</x:v>
      </x:c>
    </x:row>
    <x:row r="1481">
      <x:c r="A1481" t="n">
        <x:v>1478</x:v>
      </x:c>
      <x:c r="B1481" t="str">
        <x:v>PTN Akademik</x:v>
      </x:c>
      <x:c r="C1481" t="str">
        <x:v>UNIVERSITAS JENDERAL SOEDIRMAN</x:v>
      </x:c>
      <x:c r="D1481" t="str">
        <x:v>TEKNIK INDUSTRI</x:v>
      </x:c>
      <x:c r="E1481" t="str">
        <x:v>Sarjana</x:v>
      </x:c>
      <x:c r="F1481" s="18" t="n">
        <x:v>64</x:v>
      </x:c>
      <x:c r="G1481" s="18" t="n">
        <x:v>832</x:v>
      </x:c>
      <x:c r="H1481" s="19" t="n">
        <x:v>13</x:v>
      </x:c>
      <x:c r="I1481" s="18" t="n">
        <x:f>ROUND(MIN(Model_Config_v3!$B$6,MAX(Q1481,R1481,S1481*Model_Config_v3!$B$4+T1481*Model_Config_v3!$B$5)),0)</x:f>
        <x:v>677</x:v>
      </x:c>
      <x:c r="J1481" s="18" t="n">
        <x:f>MIN(Model_Config_v3!$B$6,I1481+Model_Config_v3!$B$7)</x:f>
        <x:v>697</x:v>
      </x:c>
      <x:c r="K1481" s="20" t="n">
        <x:v>65.8</x:v>
      </x:c>
      <x:c r="L1481" t="str">
        <x:v>SANGAT KETAT</x:v>
      </x:c>
      <x:c r="M1481" t="str">
        <x:v>SEDANG+</x:v>
      </x:c>
      <x:c r="N1481" t="str">
        <x:v>ELITE-3</x:v>
      </x:c>
      <x:c r="O1481" t="str">
        <x:v>SAINTEK</x:v>
      </x:c>
      <x:c r="P1481" t="str">
        <x:v>TEKNIK/ARSITEKTUR/STATISTIKA/AKTUARIA</x:v>
      </x:c>
      <x:c r="Q1481" s="18" t="n">
        <x:v>630</x:v>
      </x:c>
      <x:c r="R1481" s="18" t="n">
        <x:v>0</x:v>
      </x:c>
      <x:c r="S1481" s="18" t="n">
        <x:v>642.533768753752</x:v>
      </x:c>
      <x:c r="T1481" s="18" t="n">
        <x:v>692</x:v>
      </x:c>
      <x:c r="U1481" s="18" t="n">
        <x:v>652.533768753752</x:v>
      </x:c>
      <x:c r="V1481" s="20" t="n">
        <x:v>12</x:v>
      </x:c>
      <x:c r="W1481" s="20" t="n">
        <x:v>5</x:v>
      </x:c>
      <x:c r="X1481" s="20" t="n">
        <x:v>3</x:v>
      </x:c>
      <x:c r="Y1481" t="str">
        <x:v>Basis arsip 2025/2024</x:v>
      </x:c>
      <x:c r="Z1481" t="str">
        <x:v>https://snpmb.id/utbk-snbt/daya-tampung-snbt</x:v>
      </x:c>
      <x:c r="AA1481" t="str">
        <x:v>Tidak Ada</x:v>
      </x:c>
      <x:c r="AB1481" t="str">
        <x:v>Campus=80; Ratio=65.6; Prodi=60; RelDemand=47.8; Capacity=46.7</x:v>
      </x:c>
    </x:row>
    <x:row r="1482">
      <x:c r="A1482" t="n">
        <x:v>1479</x:v>
      </x:c>
      <x:c r="B1482" t="str">
        <x:v>PTN Akademik</x:v>
      </x:c>
      <x:c r="C1482" t="str">
        <x:v>UNIVERSITAS JENDERAL SOEDIRMAN</x:v>
      </x:c>
      <x:c r="D1482" t="str">
        <x:v>HUKUM</x:v>
      </x:c>
      <x:c r="E1482" t="str">
        <x:v>Sarjana</x:v>
      </x:c>
      <x:c r="F1482" s="18" t="n">
        <x:v>128</x:v>
      </x:c>
      <x:c r="G1482" s="18" t="n">
        <x:v>1576</x:v>
      </x:c>
      <x:c r="H1482" s="19" t="n">
        <x:v>12.3125</x:v>
      </x:c>
      <x:c r="I1482" s="18" t="n">
        <x:f>ROUND(MIN(Model_Config_v3!$B$6,MAX(Q1482,R1482,S1482*Model_Config_v3!$B$4+T1482*Model_Config_v3!$B$5)),0)</x:f>
        <x:v>670</x:v>
      </x:c>
      <x:c r="J1482" s="18" t="n">
        <x:f>MIN(Model_Config_v3!$B$6,I1482+Model_Config_v3!$B$7)</x:f>
        <x:v>690</x:v>
      </x:c>
      <x:c r="K1482" s="20" t="n">
        <x:v>61.6</x:v>
      </x:c>
      <x:c r="L1482" t="str">
        <x:v>KETAT</x:v>
      </x:c>
      <x:c r="M1482" t="str">
        <x:v>SEDANG+</x:v>
      </x:c>
      <x:c r="N1482" t="str">
        <x:v>ELITE-3</x:v>
      </x:c>
      <x:c r="O1482" t="str">
        <x:v>SOSHUM</x:v>
      </x:c>
      <x:c r="P1482" t="str">
        <x:v>HUKUM</x:v>
      </x:c>
      <x:c r="Q1482" s="18" t="n">
        <x:v>630</x:v>
      </x:c>
      <x:c r="R1482" s="18" t="n">
        <x:v>0</x:v>
      </x:c>
      <x:c r="S1482" s="18" t="n">
        <x:v>639.9380867856235</x:v>
      </x:c>
      <x:c r="T1482" s="18" t="n">
        <x:v>683</x:v>
      </x:c>
      <x:c r="U1482" s="18" t="n">
        <x:v>654.9380867856235</x:v>
      </x:c>
      <x:c r="V1482" s="20" t="n">
        <x:v>4.4</x:v>
      </x:c>
      <x:c r="W1482" s="20" t="n">
        <x:v>14.3</x:v>
      </x:c>
      <x:c r="X1482" s="20" t="n">
        <x:v>3.3</x:v>
      </x:c>
      <x:c r="Y1482" t="str">
        <x:v>Basis arsip 2025/2024</x:v>
      </x:c>
      <x:c r="Z1482" t="str">
        <x:v>https://snpmb.id/utbk-snbt/daya-tampung-snbt</x:v>
      </x:c>
      <x:c r="AA1482" t="str">
        <x:v>Tidak Ada</x:v>
      </x:c>
      <x:c r="AB1482" t="str">
        <x:v>Campus=80; Ratio=64.2; Prodi=65; RelDemand=45.3; Capacity=0.0</x:v>
      </x:c>
    </x:row>
    <x:row r="1483">
      <x:c r="A1483" t="n">
        <x:v>1480</x:v>
      </x:c>
      <x:c r="B1483" t="str">
        <x:v>PTN Akademik</x:v>
      </x:c>
      <x:c r="C1483" t="str">
        <x:v>UNIVERSITAS JENDERAL SOEDIRMAN</x:v>
      </x:c>
      <x:c r="D1483" t="str">
        <x:v>SOSIOLOGI</x:v>
      </x:c>
      <x:c r="E1483" t="str">
        <x:v>Sarjana</x:v>
      </x:c>
      <x:c r="F1483" s="18" t="n">
        <x:v>88</x:v>
      </x:c>
      <x:c r="G1483" s="18" t="n">
        <x:v>650</x:v>
      </x:c>
      <x:c r="H1483" s="19" t="n">
        <x:v>7.386363636363637</x:v>
      </x:c>
      <x:c r="I1483" s="18" t="n">
        <x:f>ROUND(MIN(Model_Config_v3!$B$6,MAX(Q1483,R1483,S1483*Model_Config_v3!$B$4+T1483*Model_Config_v3!$B$5)),0)</x:f>
        <x:v>652</x:v>
      </x:c>
      <x:c r="J1483" s="18" t="n">
        <x:f>MIN(Model_Config_v3!$B$6,I1483+Model_Config_v3!$B$7)</x:f>
        <x:v>672</x:v>
      </x:c>
      <x:c r="K1483" s="20" t="n">
        <x:v>54.2</x:v>
      </x:c>
      <x:c r="L1483" t="str">
        <x:v>MENENGAH</x:v>
      </x:c>
      <x:c r="M1483" t="str">
        <x:v>SEDANG+</x:v>
      </x:c>
      <x:c r="N1483" t="str">
        <x:v>ELITE-3</x:v>
      </x:c>
      <x:c r="O1483" t="str">
        <x:v>SOSHUM</x:v>
      </x:c>
      <x:c r="P1483" t="str">
        <x:v>UMUM</x:v>
      </x:c>
      <x:c r="Q1483" s="18" t="n">
        <x:v>630</x:v>
      </x:c>
      <x:c r="R1483" s="18" t="n">
        <x:v>0</x:v>
      </x:c>
      <x:c r="S1483" s="18" t="n">
        <x:v>615.5273752941955</x:v>
      </x:c>
      <x:c r="T1483" s="18" t="n">
        <x:v>668</x:v>
      </x:c>
      <x:c r="U1483" s="18" t="n">
        <x:v>630</x:v>
      </x:c>
      <x:c r="V1483" s="20" t="n">
        <x:v>4.4</x:v>
      </x:c>
      <x:c r="W1483" s="20" t="n">
        <x:v>14.3</x:v>
      </x:c>
      <x:c r="X1483" s="20" t="n">
        <x:v>3.3</x:v>
      </x:c>
      <x:c r="Y1483" t="str">
        <x:v>Basis arsip 2025/2024</x:v>
      </x:c>
      <x:c r="Z1483" t="str">
        <x:v>https://snpmb.id/utbk-snbt/daya-tampung-snbt</x:v>
      </x:c>
      <x:c r="AA1483" t="str">
        <x:v>Tidak Ada</x:v>
      </x:c>
      <x:c r="AB1483" t="str">
        <x:v>Campus=80; Ratio=51.1; Prodi=40; RelDemand=27.2; Capacity=26.7</x:v>
      </x:c>
    </x:row>
    <x:row r="1484">
      <x:c r="A1484" t="n">
        <x:v>1481</x:v>
      </x:c>
      <x:c r="B1484" t="str">
        <x:v>PTN Akademik</x:v>
      </x:c>
      <x:c r="C1484" t="str">
        <x:v>UNIVERSITAS JENDERAL SOEDIRMAN</x:v>
      </x:c>
      <x:c r="D1484" t="str">
        <x:v>ADMINISTRASI PUBLIK</x:v>
      </x:c>
      <x:c r="E1484" t="str">
        <x:v>Sarjana</x:v>
      </x:c>
      <x:c r="F1484" s="18" t="n">
        <x:v>88</x:v>
      </x:c>
      <x:c r="G1484" s="18" t="n">
        <x:v>1343</x:v>
      </x:c>
      <x:c r="H1484" s="19" t="n">
        <x:v>15.261363636363637</x:v>
      </x:c>
      <x:c r="I1484" s="18" t="n">
        <x:f>ROUND(MIN(Model_Config_v3!$B$6,MAX(Q1484,R1484,S1484*Model_Config_v3!$B$4+T1484*Model_Config_v3!$B$5)),0)</x:f>
        <x:v>673</x:v>
      </x:c>
      <x:c r="J1484" s="18" t="n">
        <x:f>MIN(Model_Config_v3!$B$6,I1484+Model_Config_v3!$B$7)</x:f>
        <x:v>693</x:v>
      </x:c>
      <x:c r="K1484" s="20" t="n">
        <x:v>61.7</x:v>
      </x:c>
      <x:c r="L1484" t="str">
        <x:v>KETAT</x:v>
      </x:c>
      <x:c r="M1484" t="str">
        <x:v>SEDANG+</x:v>
      </x:c>
      <x:c r="N1484" t="str">
        <x:v>ELITE-3</x:v>
      </x:c>
      <x:c r="O1484" t="str">
        <x:v>SOSHUM</x:v>
      </x:c>
      <x:c r="P1484" t="str">
        <x:v>UMUM</x:v>
      </x:c>
      <x:c r="Q1484" s="18" t="n">
        <x:v>630</x:v>
      </x:c>
      <x:c r="R1484" s="18" t="n">
        <x:v>0</x:v>
      </x:c>
      <x:c r="S1484" s="18" t="n">
        <x:v>650.1952674570401</x:v>
      </x:c>
      <x:c r="T1484" s="18" t="n">
        <x:v>683</x:v>
      </x:c>
      <x:c r="U1484" s="18" t="n">
        <x:v>650.1952674570401</x:v>
      </x:c>
      <x:c r="V1484" s="20" t="n">
        <x:v>4.4</x:v>
      </x:c>
      <x:c r="W1484" s="20" t="n">
        <x:v>14.3</x:v>
      </x:c>
      <x:c r="X1484" s="20" t="n">
        <x:v>3.3</x:v>
      </x:c>
      <x:c r="Y1484" t="str">
        <x:v>Basis arsip 2025/2024</x:v>
      </x:c>
      <x:c r="Z1484" t="str">
        <x:v>https://snpmb.id/utbk-snbt/daya-tampung-snbt</x:v>
      </x:c>
      <x:c r="AA1484" t="str">
        <x:v>Tidak Ada</x:v>
      </x:c>
      <x:c r="AB1484" t="str">
        <x:v>Campus=80; Ratio=69.7; Prodi=40; RelDemand=56.2; Capacity=26.7</x:v>
      </x:c>
    </x:row>
    <x:row r="1485">
      <x:c r="A1485" t="n">
        <x:v>1482</x:v>
      </x:c>
      <x:c r="B1485" t="str">
        <x:v>PTN Akademik</x:v>
      </x:c>
      <x:c r="C1485" t="str">
        <x:v>UNIVERSITAS JENDERAL SOEDIRMAN</x:v>
      </x:c>
      <x:c r="D1485" t="str">
        <x:v>MANAJEMEN</x:v>
      </x:c>
      <x:c r="E1485" t="str">
        <x:v>Sarjana</x:v>
      </x:c>
      <x:c r="F1485" s="18" t="n">
        <x:v>56</x:v>
      </x:c>
      <x:c r="G1485" s="18" t="n">
        <x:v>1598</x:v>
      </x:c>
      <x:c r="H1485" s="19" t="n">
        <x:v>28.535714285714285</x:v>
      </x:c>
      <x:c r="I1485" s="18" t="n">
        <x:f>ROUND(MIN(Model_Config_v3!$B$6,MAX(Q1485,R1485,S1485*Model_Config_v3!$B$4+T1485*Model_Config_v3!$B$5)),0)</x:f>
        <x:v>705</x:v>
      </x:c>
      <x:c r="J1485" s="18" t="n">
        <x:f>MIN(Model_Config_v3!$B$6,I1485+Model_Config_v3!$B$7)</x:f>
        <x:v>725</x:v>
      </x:c>
      <x:c r="K1485" s="20" t="n">
        <x:v>77.7</x:v>
      </x:c>
      <x:c r="L1485" t="str">
        <x:v>ELITE</x:v>
      </x:c>
      <x:c r="M1485" t="str">
        <x:v>SEDANG+</x:v>
      </x:c>
      <x:c r="N1485" t="str">
        <x:v>ELITE-3</x:v>
      </x:c>
      <x:c r="O1485" t="str">
        <x:v>SOSHUM</x:v>
      </x:c>
      <x:c r="P1485" t="str">
        <x:v>BISNIS/EKONOMI/AKUNTANSI</x:v>
      </x:c>
      <x:c r="Q1485" s="18" t="n">
        <x:v>630</x:v>
      </x:c>
      <x:c r="R1485" s="18" t="n">
        <x:v>0</x:v>
      </x:c>
      <x:c r="S1485" s="18" t="n">
        <x:v>680.092762276895</x:v>
      </x:c>
      <x:c r="T1485" s="18" t="n">
        <x:v>715</x:v>
      </x:c>
      <x:c r="U1485" s="18" t="n">
        <x:v>695.092762276895</x:v>
      </x:c>
      <x:c r="V1485" s="20" t="n">
        <x:v>4.4</x:v>
      </x:c>
      <x:c r="W1485" s="20" t="n">
        <x:v>14.3</x:v>
      </x:c>
      <x:c r="X1485" s="20" t="n">
        <x:v>3.3</x:v>
      </x:c>
      <x:c r="Y1485" t="str">
        <x:v>Basis arsip 2025/2024</x:v>
      </x:c>
      <x:c r="Z1485" t="str">
        <x:v>https://snpmb.id/utbk-snbt/daya-tampung-snbt</x:v>
      </x:c>
      <x:c r="AA1485" t="str">
        <x:v>Tidak Ada</x:v>
      </x:c>
      <x:c r="AB1485" t="str">
        <x:v>Campus=80; Ratio=85.7; Prodi=65; RelDemand=100.0; Capacity=53.3</x:v>
      </x:c>
    </x:row>
    <x:row r="1486">
      <x:c r="A1486" t="n">
        <x:v>1483</x:v>
      </x:c>
      <x:c r="B1486" t="str">
        <x:v>PTN Akademik</x:v>
      </x:c>
      <x:c r="C1486" t="str">
        <x:v>UNIVERSITAS JENDERAL SOEDIRMAN</x:v>
      </x:c>
      <x:c r="D1486" t="str">
        <x:v>EKONOMI PEMBANGUNAN</x:v>
      </x:c>
      <x:c r="E1486" t="str">
        <x:v>Sarjana</x:v>
      </x:c>
      <x:c r="F1486" s="18" t="n">
        <x:v>56</x:v>
      </x:c>
      <x:c r="G1486" s="18" t="n">
        <x:v>671</x:v>
      </x:c>
      <x:c r="H1486" s="19" t="n">
        <x:v>11.982142857142858</x:v>
      </x:c>
      <x:c r="I1486" s="18" t="n">
        <x:f>ROUND(MIN(Model_Config_v3!$B$6,MAX(Q1486,R1486,S1486*Model_Config_v3!$B$4+T1486*Model_Config_v3!$B$5)),0)</x:f>
        <x:v>677</x:v>
      </x:c>
      <x:c r="J1486" s="18" t="n">
        <x:f>MIN(Model_Config_v3!$B$6,I1486+Model_Config_v3!$B$7)</x:f>
        <x:v>697</x:v>
      </x:c>
      <x:c r="K1486" s="20" t="n">
        <x:v>66.6</x:v>
      </x:c>
      <x:c r="L1486" t="str">
        <x:v>SANGAT KETAT</x:v>
      </x:c>
      <x:c r="M1486" t="str">
        <x:v>SEDANG+</x:v>
      </x:c>
      <x:c r="N1486" t="str">
        <x:v>ELITE-3</x:v>
      </x:c>
      <x:c r="O1486" t="str">
        <x:v>SOSHUM</x:v>
      </x:c>
      <x:c r="P1486" t="str">
        <x:v>BISNIS/EKONOMI/AKUNTANSI</x:v>
      </x:c>
      <x:c r="Q1486" s="18" t="n">
        <x:v>630</x:v>
      </x:c>
      <x:c r="R1486" s="18" t="n">
        <x:v>0</x:v>
      </x:c>
      <x:c r="S1486" s="18" t="n">
        <x:v>638.6387942479071</x:v>
      </x:c>
      <x:c r="T1486" s="18" t="n">
        <x:v>693</x:v>
      </x:c>
      <x:c r="U1486" s="18" t="n">
        <x:v>638.6387942479071</x:v>
      </x:c>
      <x:c r="V1486" s="20" t="n">
        <x:v>4.4</x:v>
      </x:c>
      <x:c r="W1486" s="20" t="n">
        <x:v>14.3</x:v>
      </x:c>
      <x:c r="X1486" s="20" t="n">
        <x:v>3.3</x:v>
      </x:c>
      <x:c r="Y1486" t="str">
        <x:v>Basis arsip 2025/2024</x:v>
      </x:c>
      <x:c r="Z1486" t="str">
        <x:v>https://snpmb.id/utbk-snbt/daya-tampung-snbt</x:v>
      </x:c>
      <x:c r="AA1486" t="str">
        <x:v>Tidak Ada</x:v>
      </x:c>
      <x:c r="AB1486" t="str">
        <x:v>Campus=80; Ratio=63.5; Prodi=65; RelDemand=44.1; Capacity=53.3</x:v>
      </x:c>
    </x:row>
    <x:row r="1487">
      <x:c r="A1487" t="n">
        <x:v>1484</x:v>
      </x:c>
      <x:c r="B1487" t="str">
        <x:v>PTN Akademik</x:v>
      </x:c>
      <x:c r="C1487" t="str">
        <x:v>UNIVERSITAS JENDERAL SOEDIRMAN</x:v>
      </x:c>
      <x:c r="D1487" t="str">
        <x:v>AKUNTANSI</x:v>
      </x:c>
      <x:c r="E1487" t="str">
        <x:v>Sarjana</x:v>
      </x:c>
      <x:c r="F1487" s="18" t="n">
        <x:v>56</x:v>
      </x:c>
      <x:c r="G1487" s="18" t="n">
        <x:v>1128</x:v>
      </x:c>
      <x:c r="H1487" s="19" t="n">
        <x:v>20.142857142857142</x:v>
      </x:c>
      <x:c r="I1487" s="18" t="n">
        <x:f>ROUND(MIN(Model_Config_v3!$B$6,MAX(Q1487,R1487,S1487*Model_Config_v3!$B$4+T1487*Model_Config_v3!$B$5)),0)</x:f>
        <x:v>693</x:v>
      </x:c>
      <x:c r="J1487" s="18" t="n">
        <x:f>MIN(Model_Config_v3!$B$6,I1487+Model_Config_v3!$B$7)</x:f>
        <x:v>713</x:v>
      </x:c>
      <x:c r="K1487" s="20" t="n">
        <x:v>72.9</x:v>
      </x:c>
      <x:c r="L1487" t="str">
        <x:v>SANGAT KETAT</x:v>
      </x:c>
      <x:c r="M1487" t="str">
        <x:v>SEDANG+</x:v>
      </x:c>
      <x:c r="N1487" t="str">
        <x:v>ELITE-3</x:v>
      </x:c>
      <x:c r="O1487" t="str">
        <x:v>SOSHUM</x:v>
      </x:c>
      <x:c r="P1487" t="str">
        <x:v>BISNIS/EKONOMI/AKUNTANSI</x:v>
      </x:c>
      <x:c r="Q1487" s="18" t="n">
        <x:v>630</x:v>
      </x:c>
      <x:c r="R1487" s="18" t="n">
        <x:v>0</x:v>
      </x:c>
      <x:c r="S1487" s="18" t="n">
        <x:v>663.4533179905235</x:v>
      </x:c>
      <x:c r="T1487" s="18" t="n">
        <x:v>706</x:v>
      </x:c>
      <x:c r="U1487" s="18" t="n">
        <x:v>663.4533179905235</x:v>
      </x:c>
      <x:c r="V1487" s="20" t="n">
        <x:v>4.4</x:v>
      </x:c>
      <x:c r="W1487" s="20" t="n">
        <x:v>14.3</x:v>
      </x:c>
      <x:c r="X1487" s="20" t="n">
        <x:v>3.3</x:v>
      </x:c>
      <x:c r="Y1487" t="str">
        <x:v>Basis arsip 2025/2024</x:v>
      </x:c>
      <x:c r="Z1487" t="str">
        <x:v>https://snpmb.id/utbk-snbt/daya-tampung-snbt</x:v>
      </x:c>
      <x:c r="AA1487" t="str">
        <x:v>Tidak Ada</x:v>
      </x:c>
      <x:c r="AB1487" t="str">
        <x:v>Campus=80; Ratio=76.8; Prodi=65; RelDemand=74.1; Capacity=53.3</x:v>
      </x:c>
    </x:row>
    <x:row r="1488">
      <x:c r="A1488" t="n">
        <x:v>1485</x:v>
      </x:c>
      <x:c r="B1488" t="str">
        <x:v>PTN Akademik</x:v>
      </x:c>
      <x:c r="C1488" t="str">
        <x:v>UNIVERSITAS JENDERAL SOEDIRMAN</x:v>
      </x:c>
      <x:c r="D1488" t="str">
        <x:v>ILMU KOMUNIKASI</x:v>
      </x:c>
      <x:c r="E1488" t="str">
        <x:v>Sarjana</x:v>
      </x:c>
      <x:c r="F1488" s="18" t="n">
        <x:v>88</x:v>
      </x:c>
      <x:c r="G1488" s="18" t="n">
        <x:v>1569</x:v>
      </x:c>
      <x:c r="H1488" s="19" t="n">
        <x:v>17.829545454545453</x:v>
      </x:c>
      <x:c r="I1488" s="18" t="n">
        <x:f>ROUND(MIN(Model_Config_v3!$B$6,MAX(Q1488,R1488,S1488*Model_Config_v3!$B$4+T1488*Model_Config_v3!$B$5)),0)</x:f>
        <x:v>678</x:v>
      </x:c>
      <x:c r="J1488" s="18" t="n">
        <x:f>MIN(Model_Config_v3!$B$6,I1488+Model_Config_v3!$B$7)</x:f>
        <x:v>698</x:v>
      </x:c>
      <x:c r="K1488" s="20" t="n">
        <x:v>63.6</x:v>
      </x:c>
      <x:c r="L1488" t="str">
        <x:v>KETAT</x:v>
      </x:c>
      <x:c r="M1488" t="str">
        <x:v>SEDANG+</x:v>
      </x:c>
      <x:c r="N1488" t="str">
        <x:v>ELITE-3</x:v>
      </x:c>
      <x:c r="O1488" t="str">
        <x:v>SOSHUM</x:v>
      </x:c>
      <x:c r="P1488" t="str">
        <x:v>UMUM</x:v>
      </x:c>
      <x:c r="Q1488" s="18" t="n">
        <x:v>630</x:v>
      </x:c>
      <x:c r="R1488" s="18" t="n">
        <x:v>0</x:v>
      </x:c>
      <x:c r="S1488" s="18" t="n">
        <x:v>657.6254298580445</x:v>
      </x:c>
      <x:c r="T1488" s="18" t="n">
        <x:v>687</x:v>
      </x:c>
      <x:c r="U1488" s="18" t="n">
        <x:v>657.6254298580445</x:v>
      </x:c>
      <x:c r="V1488" s="20" t="n">
        <x:v>4.4</x:v>
      </x:c>
      <x:c r="W1488" s="20" t="n">
        <x:v>14.3</x:v>
      </x:c>
      <x:c r="X1488" s="20" t="n">
        <x:v>3.3</x:v>
      </x:c>
      <x:c r="Y1488" t="str">
        <x:v>Basis arsip 2025/2024</x:v>
      </x:c>
      <x:c r="Z1488" t="str">
        <x:v>https://snpmb.id/utbk-snbt/daya-tampung-snbt</x:v>
      </x:c>
      <x:c r="AA1488" t="str">
        <x:v>Tidak Ada</x:v>
      </x:c>
      <x:c r="AB1488" t="str">
        <x:v>Campus=80; Ratio=73.6; Prodi=40; RelDemand=65.6; Capacity=26.7</x:v>
      </x:c>
    </x:row>
    <x:row r="1489">
      <x:c r="A1489" t="n">
        <x:v>1486</x:v>
      </x:c>
      <x:c r="B1489" t="str">
        <x:v>PTN Akademik</x:v>
      </x:c>
      <x:c r="C1489" t="str">
        <x:v>UNIVERSITAS JENDERAL SOEDIRMAN</x:v>
      </x:c>
      <x:c r="D1489" t="str">
        <x:v>ILMU POLITIK</x:v>
      </x:c>
      <x:c r="E1489" t="str">
        <x:v>Sarjana</x:v>
      </x:c>
      <x:c r="F1489" s="18" t="n">
        <x:v>72</x:v>
      </x:c>
      <x:c r="G1489" s="18" t="n">
        <x:v>503</x:v>
      </x:c>
      <x:c r="H1489" s="19" t="n">
        <x:v>6.986111111111111</x:v>
      </x:c>
      <x:c r="I1489" s="18" t="n">
        <x:f>ROUND(MIN(Model_Config_v3!$B$6,MAX(Q1489,R1489,S1489*Model_Config_v3!$B$4+T1489*Model_Config_v3!$B$5)),0)</x:f>
        <x:v>653</x:v>
      </x:c>
      <x:c r="J1489" s="18" t="n">
        <x:f>MIN(Model_Config_v3!$B$6,I1489+Model_Config_v3!$B$7)</x:f>
        <x:v>673</x:v>
      </x:c>
      <x:c r="K1489" s="20" t="n">
        <x:v>55</x:v>
      </x:c>
      <x:c r="L1489" t="str">
        <x:v>KETAT</x:v>
      </x:c>
      <x:c r="M1489" t="str">
        <x:v>SEDANG+</x:v>
      </x:c>
      <x:c r="N1489" t="str">
        <x:v>ELITE-3</x:v>
      </x:c>
      <x:c r="O1489" t="str">
        <x:v>SOSHUM</x:v>
      </x:c>
      <x:c r="P1489" t="str">
        <x:v>UMUM</x:v>
      </x:c>
      <x:c r="Q1489" s="18" t="n">
        <x:v>630</x:v>
      </x:c>
      <x:c r="R1489" s="18" t="n">
        <x:v>0</x:v>
      </x:c>
      <x:c r="S1489" s="18" t="n">
        <x:v>612.8659037487125</x:v>
      </x:c>
      <x:c r="T1489" s="18" t="n">
        <x:v>670</x:v>
      </x:c>
      <x:c r="U1489" s="18" t="n">
        <x:v>630</x:v>
      </x:c>
      <x:c r="V1489" s="20" t="n">
        <x:v>4.4</x:v>
      </x:c>
      <x:c r="W1489" s="20" t="n">
        <x:v>14.3</x:v>
      </x:c>
      <x:c r="X1489" s="20" t="n">
        <x:v>3.3</x:v>
      </x:c>
      <x:c r="Y1489" t="str">
        <x:v>Basis arsip 2025/2024</x:v>
      </x:c>
      <x:c r="Z1489" t="str">
        <x:v>https://snpmb.id/utbk-snbt/daya-tampung-snbt</x:v>
      </x:c>
      <x:c r="AA1489" t="str">
        <x:v>Tidak Ada</x:v>
      </x:c>
      <x:c r="AB1489" t="str">
        <x:v>Campus=80; Ratio=49.7; Prodi=40; RelDemand=25.7; Capacity=40.0</x:v>
      </x:c>
    </x:row>
    <x:row r="1490">
      <x:c r="A1490" t="n">
        <x:v>1487</x:v>
      </x:c>
      <x:c r="B1490" t="str">
        <x:v>PTN Akademik</x:v>
      </x:c>
      <x:c r="C1490" t="str">
        <x:v>UNIVERSITAS JENDERAL SOEDIRMAN</x:v>
      </x:c>
      <x:c r="D1490" t="str">
        <x:v>SASTRA INDONESIA</x:v>
      </x:c>
      <x:c r="E1490" t="str">
        <x:v>Sarjana</x:v>
      </x:c>
      <x:c r="F1490" s="18" t="n">
        <x:v>64</x:v>
      </x:c>
      <x:c r="G1490" s="18" t="n">
        <x:v>355</x:v>
      </x:c>
      <x:c r="H1490" s="19" t="n">
        <x:v>5.546875</x:v>
      </x:c>
      <x:c r="I1490" s="18" t="n">
        <x:f>ROUND(MIN(Model_Config_v3!$B$6,MAX(Q1490,R1490,S1490*Model_Config_v3!$B$4+T1490*Model_Config_v3!$B$5)),0)</x:f>
        <x:v>647</x:v>
      </x:c>
      <x:c r="J1490" s="18" t="n">
        <x:f>MIN(Model_Config_v3!$B$6,I1490+Model_Config_v3!$B$7)</x:f>
        <x:v>667</x:v>
      </x:c>
      <x:c r="K1490" s="20" t="n">
        <x:v>53.7</x:v>
      </x:c>
      <x:c r="L1490" t="str">
        <x:v>MENENGAH</x:v>
      </x:c>
      <x:c r="M1490" t="str">
        <x:v>SEDANG+</x:v>
      </x:c>
      <x:c r="N1490" t="str">
        <x:v>ELITE-3</x:v>
      </x:c>
      <x:c r="O1490" t="str">
        <x:v>SOSHUM</x:v>
      </x:c>
      <x:c r="P1490" t="str">
        <x:v>UMUM</x:v>
      </x:c>
      <x:c r="Q1490" s="18" t="n">
        <x:v>630</x:v>
      </x:c>
      <x:c r="R1490" s="18" t="n">
        <x:v>0</x:v>
      </x:c>
      <x:c r="S1490" s="18" t="n">
        <x:v>601.8453216978328</x:v>
      </x:c>
      <x:c r="T1490" s="18" t="n">
        <x:v>667</x:v>
      </x:c>
      <x:c r="U1490" s="18" t="n">
        <x:v>630</x:v>
      </x:c>
      <x:c r="V1490" s="20" t="n">
        <x:v>4.4</x:v>
      </x:c>
      <x:c r="W1490" s="20" t="n">
        <x:v>14.3</x:v>
      </x:c>
      <x:c r="X1490" s="20" t="n">
        <x:v>3.3</x:v>
      </x:c>
      <x:c r="Y1490" t="str">
        <x:v>Basis arsip 2025/2024</x:v>
      </x:c>
      <x:c r="Z1490" t="str">
        <x:v>https://snpmb.id/utbk-snbt/daya-tampung-snbt</x:v>
      </x:c>
      <x:c r="AA1490" t="str">
        <x:v>Tidak Ada</x:v>
      </x:c>
      <x:c r="AB1490" t="str">
        <x:v>Campus=80; Ratio=43.8; Prodi=40; RelDemand=20.4; Capacity=46.7</x:v>
      </x:c>
    </x:row>
    <x:row r="1491">
      <x:c r="A1491" t="n">
        <x:v>1488</x:v>
      </x:c>
      <x:c r="B1491" t="str">
        <x:v>PTN Akademik</x:v>
      </x:c>
      <x:c r="C1491" t="str">
        <x:v>UNIVERSITAS JENDERAL SOEDIRMAN</x:v>
      </x:c>
      <x:c r="D1491" t="str">
        <x:v>SASTRA INGGRIS</x:v>
      </x:c>
      <x:c r="E1491" t="str">
        <x:v>Sarjana</x:v>
      </x:c>
      <x:c r="F1491" s="18" t="n">
        <x:v>64</x:v>
      </x:c>
      <x:c r="G1491" s="18" t="n">
        <x:v>465</x:v>
      </x:c>
      <x:c r="H1491" s="19" t="n">
        <x:v>7.265625</x:v>
      </x:c>
      <x:c r="I1491" s="18" t="n">
        <x:f>ROUND(MIN(Model_Config_v3!$B$6,MAX(Q1491,R1491,S1491*Model_Config_v3!$B$4+T1491*Model_Config_v3!$B$5)),0)</x:f>
        <x:v>655</x:v>
      </x:c>
      <x:c r="J1491" s="18" t="n">
        <x:f>MIN(Model_Config_v3!$B$6,I1491+Model_Config_v3!$B$7)</x:f>
        <x:v>675</x:v>
      </x:c>
      <x:c r="K1491" s="20" t="n">
        <x:v>56</x:v>
      </x:c>
      <x:c r="L1491" t="str">
        <x:v>KETAT</x:v>
      </x:c>
      <x:c r="M1491" t="str">
        <x:v>SEDANG+</x:v>
      </x:c>
      <x:c r="N1491" t="str">
        <x:v>ELITE-3</x:v>
      </x:c>
      <x:c r="O1491" t="str">
        <x:v>SOSHUM</x:v>
      </x:c>
      <x:c r="P1491" t="str">
        <x:v>UMUM</x:v>
      </x:c>
      <x:c r="Q1491" s="18" t="n">
        <x:v>630</x:v>
      </x:c>
      <x:c r="R1491" s="18" t="n">
        <x:v>0</x:v>
      </x:c>
      <x:c r="S1491" s="18" t="n">
        <x:v>614.7400276796674</x:v>
      </x:c>
      <x:c r="T1491" s="18" t="n">
        <x:v>672</x:v>
      </x:c>
      <x:c r="U1491" s="18" t="n">
        <x:v>630</x:v>
      </x:c>
      <x:c r="V1491" s="20" t="n">
        <x:v>4.4</x:v>
      </x:c>
      <x:c r="W1491" s="20" t="n">
        <x:v>14.3</x:v>
      </x:c>
      <x:c r="X1491" s="20" t="n">
        <x:v>3.3</x:v>
      </x:c>
      <x:c r="Y1491" t="str">
        <x:v>Basis arsip 2025/2024</x:v>
      </x:c>
      <x:c r="Z1491" t="str">
        <x:v>https://snpmb.id/utbk-snbt/daya-tampung-snbt</x:v>
      </x:c>
      <x:c r="AA1491" t="str">
        <x:v>Tidak Ada</x:v>
      </x:c>
      <x:c r="AB1491" t="str">
        <x:v>Campus=80; Ratio=50.7; Prodi=40; RelDemand=26.7; Capacity=46.7</x:v>
      </x:c>
    </x:row>
    <x:row r="1492">
      <x:c r="A1492" t="n">
        <x:v>1489</x:v>
      </x:c>
      <x:c r="B1492" t="str">
        <x:v>PTN Akademik</x:v>
      </x:c>
      <x:c r="C1492" t="str">
        <x:v>UNIVERSITAS JENDERAL SOEDIRMAN</x:v>
      </x:c>
      <x:c r="D1492" t="str">
        <x:v>HUBUNGAN INTERNASIONAL</x:v>
      </x:c>
      <x:c r="E1492" t="str">
        <x:v>Sarjana</x:v>
      </x:c>
      <x:c r="F1492" s="18" t="n">
        <x:v>76</x:v>
      </x:c>
      <x:c r="G1492" s="18" t="n">
        <x:v>889</x:v>
      </x:c>
      <x:c r="H1492" s="19" t="n">
        <x:v>11.697368421052632</x:v>
      </x:c>
      <x:c r="I1492" s="18" t="n">
        <x:f>ROUND(MIN(Model_Config_v3!$B$6,MAX(Q1492,R1492,S1492*Model_Config_v3!$B$4+T1492*Model_Config_v3!$B$5)),0)</x:f>
        <x:v>667</x:v>
      </x:c>
      <x:c r="J1492" s="18" t="n">
        <x:f>MIN(Model_Config_v3!$B$6,I1492+Model_Config_v3!$B$7)</x:f>
        <x:v>687</x:v>
      </x:c>
      <x:c r="K1492" s="20" t="n">
        <x:v>59.7</x:v>
      </x:c>
      <x:c r="L1492" t="str">
        <x:v>KETAT</x:v>
      </x:c>
      <x:c r="M1492" t="str">
        <x:v>SEDANG+</x:v>
      </x:c>
      <x:c r="N1492" t="str">
        <x:v>ELITE-3</x:v>
      </x:c>
      <x:c r="O1492" t="str">
        <x:v>SOSHUM</x:v>
      </x:c>
      <x:c r="P1492" t="str">
        <x:v>UMUM</x:v>
      </x:c>
      <x:c r="Q1492" s="18" t="n">
        <x:v>630</x:v>
      </x:c>
      <x:c r="R1492" s="18" t="n">
        <x:v>0</x:v>
      </x:c>
      <x:c r="S1492" s="18" t="n">
        <x:v>637.4896985558364</x:v>
      </x:c>
      <x:c r="T1492" s="18" t="n">
        <x:v>679</x:v>
      </x:c>
      <x:c r="U1492" s="18" t="n">
        <x:v>637.4896985558364</x:v>
      </x:c>
      <x:c r="V1492" s="20" t="n">
        <x:v>4.4</x:v>
      </x:c>
      <x:c r="W1492" s="20" t="n">
        <x:v>14.3</x:v>
      </x:c>
      <x:c r="X1492" s="20" t="n">
        <x:v>3.3</x:v>
      </x:c>
      <x:c r="Y1492" t="str">
        <x:v>Basis arsip 2025/2024</x:v>
      </x:c>
      <x:c r="Z1492" t="str">
        <x:v>https://snpmb.id/utbk-snbt/daya-tampung-snbt</x:v>
      </x:c>
      <x:c r="AA1492" t="str">
        <x:v>Tidak Ada</x:v>
      </x:c>
      <x:c r="AB1492" t="str">
        <x:v>Campus=80; Ratio=62.9; Prodi=40; RelDemand=43.0; Capacity=36.7</x:v>
      </x:c>
    </x:row>
    <x:row r="1493">
      <x:c r="A1493" t="n">
        <x:v>1490</x:v>
      </x:c>
      <x:c r="B1493" t="str">
        <x:v>PTN Akademik</x:v>
      </x:c>
      <x:c r="C1493" t="str">
        <x:v>UNIVERSITAS JENDERAL SOEDIRMAN</x:v>
      </x:c>
      <x:c r="D1493" t="str">
        <x:v>SASTRA JEPANG</x:v>
      </x:c>
      <x:c r="E1493" t="str">
        <x:v>Sarjana</x:v>
      </x:c>
      <x:c r="F1493" s="18" t="n">
        <x:v>64</x:v>
      </x:c>
      <x:c r="G1493" s="18" t="n">
        <x:v>378</x:v>
      </x:c>
      <x:c r="H1493" s="19" t="n">
        <x:v>5.90625</x:v>
      </x:c>
      <x:c r="I1493" s="18" t="n">
        <x:f>ROUND(MIN(Model_Config_v3!$B$6,MAX(Q1493,R1493,S1493*Model_Config_v3!$B$4+T1493*Model_Config_v3!$B$5)),0)</x:f>
        <x:v>649</x:v>
      </x:c>
      <x:c r="J1493" s="18" t="n">
        <x:f>MIN(Model_Config_v3!$B$6,I1493+Model_Config_v3!$B$7)</x:f>
        <x:v>669</x:v>
      </x:c>
      <x:c r="K1493" s="20" t="n">
        <x:v>54.2</x:v>
      </x:c>
      <x:c r="L1493" t="str">
        <x:v>MENENGAH</x:v>
      </x:c>
      <x:c r="M1493" t="str">
        <x:v>SEDANG+</x:v>
      </x:c>
      <x:c r="N1493" t="str">
        <x:v>ELITE-3</x:v>
      </x:c>
      <x:c r="O1493" t="str">
        <x:v>SOSHUM</x:v>
      </x:c>
      <x:c r="P1493" t="str">
        <x:v>UMUM</x:v>
      </x:c>
      <x:c r="Q1493" s="18" t="n">
        <x:v>630</x:v>
      </x:c>
      <x:c r="R1493" s="18" t="n">
        <x:v>0</x:v>
      </x:c>
      <x:c r="S1493" s="18" t="n">
        <x:v>604.8443008438671</x:v>
      </x:c>
      <x:c r="T1493" s="18" t="n">
        <x:v>668</x:v>
      </x:c>
      <x:c r="U1493" s="18" t="n">
        <x:v>630</x:v>
      </x:c>
      <x:c r="V1493" s="20" t="n">
        <x:v>4.4</x:v>
      </x:c>
      <x:c r="W1493" s="20" t="n">
        <x:v>14.3</x:v>
      </x:c>
      <x:c r="X1493" s="20" t="n">
        <x:v>3.3</x:v>
      </x:c>
      <x:c r="Y1493" t="str">
        <x:v>Basis arsip 2025/2024</x:v>
      </x:c>
      <x:c r="Z1493" t="str">
        <x:v>https://snpmb.id/utbk-snbt/daya-tampung-snbt</x:v>
      </x:c>
      <x:c r="AA1493" t="str">
        <x:v>Tidak Ada</x:v>
      </x:c>
      <x:c r="AB1493" t="str">
        <x:v>Campus=80; Ratio=45.4; Prodi=40; RelDemand=21.7; Capacity=46.7</x:v>
      </x:c>
    </x:row>
    <x:row r="1494">
      <x:c r="A1494" t="n">
        <x:v>1491</x:v>
      </x:c>
      <x:c r="B1494" t="str">
        <x:v>PTN Akademik</x:v>
      </x:c>
      <x:c r="C1494" t="str">
        <x:v>UNIVERSITAS JENDERAL SOEDIRMAN</x:v>
      </x:c>
      <x:c r="D1494" t="str">
        <x:v>PENDIDIKAN EKONOMI</x:v>
      </x:c>
      <x:c r="E1494" t="str">
        <x:v>Sarjana</x:v>
      </x:c>
      <x:c r="F1494" s="18" t="n">
        <x:v>40</x:v>
      </x:c>
      <x:c r="G1494" s="18" t="n">
        <x:v>381</x:v>
      </x:c>
      <x:c r="H1494" s="19" t="n">
        <x:v>9.525</x:v>
      </x:c>
      <x:c r="I1494" s="18" t="n">
        <x:f>ROUND(MIN(Model_Config_v3!$B$6,MAX(Q1494,R1494,S1494*Model_Config_v3!$B$4+T1494*Model_Config_v3!$B$5)),0)</x:f>
        <x:v>666</x:v>
      </x:c>
      <x:c r="J1494" s="18" t="n">
        <x:f>MIN(Model_Config_v3!$B$6,I1494+Model_Config_v3!$B$7)</x:f>
        <x:v>686</x:v>
      </x:c>
      <x:c r="K1494" s="20" t="n">
        <x:v>61.6</x:v>
      </x:c>
      <x:c r="L1494" t="str">
        <x:v>KETAT</x:v>
      </x:c>
      <x:c r="M1494" t="str">
        <x:v>SEDANG+</x:v>
      </x:c>
      <x:c r="N1494" t="str">
        <x:v>ELITE-3</x:v>
      </x:c>
      <x:c r="O1494" t="str">
        <x:v>SOSHUM</x:v>
      </x:c>
      <x:c r="P1494" t="str">
        <x:v>PENDIDIKAN</x:v>
      </x:c>
      <x:c r="Q1494" s="18" t="n">
        <x:v>630</x:v>
      </x:c>
      <x:c r="R1494" s="18" t="n">
        <x:v>0</x:v>
      </x:c>
      <x:c r="S1494" s="18" t="n">
        <x:v>627.6751482782422</x:v>
      </x:c>
      <x:c r="T1494" s="18" t="n">
        <x:v>683</x:v>
      </x:c>
      <x:c r="U1494" s="18" t="n">
        <x:v>630</x:v>
      </x:c>
      <x:c r="V1494" s="20" t="n">
        <x:v>4.4</x:v>
      </x:c>
      <x:c r="W1494" s="20" t="n">
        <x:v>14.3</x:v>
      </x:c>
      <x:c r="X1494" s="20" t="n">
        <x:v>3.3</x:v>
      </x:c>
      <x:c r="Y1494" t="str">
        <x:v>Basis arsip 2025/2024</x:v>
      </x:c>
      <x:c r="Z1494" t="str">
        <x:v>https://snpmb.id/utbk-snbt/daya-tampung-snbt</x:v>
      </x:c>
      <x:c r="AA1494" t="str">
        <x:v>Tidak Ada</x:v>
      </x:c>
      <x:c r="AB1494" t="str">
        <x:v>Campus=80; Ratio=57.6; Prodi=45; RelDemand=35.0; Capacity=66.7</x:v>
      </x:c>
    </x:row>
    <x:row r="1495">
      <x:c r="A1495" t="n">
        <x:v>1492</x:v>
      </x:c>
      <x:c r="B1495" t="str">
        <x:v>PTN Akademik</x:v>
      </x:c>
      <x:c r="C1495" t="str">
        <x:v>UNIVERSITAS JENDERAL SOEDIRMAN</x:v>
      </x:c>
      <x:c r="D1495" t="str">
        <x:v>PENDIDIKAN BAHASA INDONESIA</x:v>
      </x:c>
      <x:c r="E1495" t="str">
        <x:v>Sarjana</x:v>
      </x:c>
      <x:c r="F1495" s="18" t="n">
        <x:v>64</x:v>
      </x:c>
      <x:c r="G1495" s="18" t="n">
        <x:v>759</x:v>
      </x:c>
      <x:c r="H1495" s="19" t="n">
        <x:v>11.859375</x:v>
      </x:c>
      <x:c r="I1495" s="18" t="n">
        <x:f>ROUND(MIN(Model_Config_v3!$B$6,MAX(Q1495,R1495,S1495*Model_Config_v3!$B$4+T1495*Model_Config_v3!$B$5)),0)</x:f>
        <x:v>670</x:v>
      </x:c>
      <x:c r="J1495" s="18" t="n">
        <x:f>MIN(Model_Config_v3!$B$6,I1495+Model_Config_v3!$B$7)</x:f>
        <x:v>690</x:v>
      </x:c>
      <x:c r="K1495" s="20" t="n">
        <x:v>61.8</x:v>
      </x:c>
      <x:c r="L1495" t="str">
        <x:v>KETAT</x:v>
      </x:c>
      <x:c r="M1495" t="str">
        <x:v>SEDANG+</x:v>
      </x:c>
      <x:c r="N1495" t="str">
        <x:v>ELITE-3</x:v>
      </x:c>
      <x:c r="O1495" t="str">
        <x:v>SOSHUM</x:v>
      </x:c>
      <x:c r="P1495" t="str">
        <x:v>PENDIDIKAN</x:v>
      </x:c>
      <x:c r="Q1495" s="18" t="n">
        <x:v>630</x:v>
      </x:c>
      <x:c r="R1495" s="18" t="n">
        <x:v>0</x:v>
      </x:c>
      <x:c r="S1495" s="18" t="n">
        <x:v>638.1467982102753</x:v>
      </x:c>
      <x:c r="T1495" s="18" t="n">
        <x:v>684</x:v>
      </x:c>
      <x:c r="U1495" s="18" t="n">
        <x:v>638.1467982102753</x:v>
      </x:c>
      <x:c r="V1495" s="20" t="n">
        <x:v>4.4</x:v>
      </x:c>
      <x:c r="W1495" s="20" t="n">
        <x:v>14.3</x:v>
      </x:c>
      <x:c r="X1495" s="20" t="n">
        <x:v>3.3</x:v>
      </x:c>
      <x:c r="Y1495" t="str">
        <x:v>Basis arsip 2025/2024</x:v>
      </x:c>
      <x:c r="Z1495" t="str">
        <x:v>https://snpmb.id/utbk-snbt/daya-tampung-snbt</x:v>
      </x:c>
      <x:c r="AA1495" t="str">
        <x:v>Tidak Ada</x:v>
      </x:c>
      <x:c r="AB1495" t="str">
        <x:v>Campus=80; Ratio=63.2; Prodi=45; RelDemand=43.6; Capacity=46.7</x:v>
      </x:c>
    </x:row>
    <x:row r="1496">
      <x:c r="A1496" t="n">
        <x:v>1493</x:v>
      </x:c>
      <x:c r="B1496" t="str">
        <x:v>PTN Akademik</x:v>
      </x:c>
      <x:c r="C1496" t="str">
        <x:v>UNIVERSITAS JENDERAL SOEDIRMAN</x:v>
      </x:c>
      <x:c r="D1496" t="str">
        <x:v>PENDIDIKAN BAHASA INGGRIS</x:v>
      </x:c>
      <x:c r="E1496" t="str">
        <x:v>Sarjana</x:v>
      </x:c>
      <x:c r="F1496" s="18" t="n">
        <x:v>64</x:v>
      </x:c>
      <x:c r="G1496" s="18" t="n">
        <x:v>544</x:v>
      </x:c>
      <x:c r="H1496" s="19" t="n">
        <x:v>8.5</x:v>
      </x:c>
      <x:c r="I1496" s="18" t="n">
        <x:f>ROUND(MIN(Model_Config_v3!$B$6,MAX(Q1496,R1496,S1496*Model_Config_v3!$B$4+T1496*Model_Config_v3!$B$5)),0)</x:f>
        <x:v>661</x:v>
      </x:c>
      <x:c r="J1496" s="18" t="n">
        <x:f>MIN(Model_Config_v3!$B$6,I1496+Model_Config_v3!$B$7)</x:f>
        <x:v>681</x:v>
      </x:c>
      <x:c r="K1496" s="20" t="n">
        <x:v>58.5</x:v>
      </x:c>
      <x:c r="L1496" t="str">
        <x:v>KETAT</x:v>
      </x:c>
      <x:c r="M1496" t="str">
        <x:v>SEDANG+</x:v>
      </x:c>
      <x:c r="N1496" t="str">
        <x:v>ELITE-3</x:v>
      </x:c>
      <x:c r="O1496" t="str">
        <x:v>SOSHUM</x:v>
      </x:c>
      <x:c r="P1496" t="str">
        <x:v>PENDIDIKAN</x:v>
      </x:c>
      <x:c r="Q1496" s="18" t="n">
        <x:v>630</x:v>
      </x:c>
      <x:c r="R1496" s="18" t="n">
        <x:v>0</x:v>
      </x:c>
      <x:c r="S1496" s="18" t="n">
        <x:v>622.2360818285722</x:v>
      </x:c>
      <x:c r="T1496" s="18" t="n">
        <x:v>677</x:v>
      </x:c>
      <x:c r="U1496" s="18" t="n">
        <x:v>630</x:v>
      </x:c>
      <x:c r="V1496" s="20" t="n">
        <x:v>4.4</x:v>
      </x:c>
      <x:c r="W1496" s="20" t="n">
        <x:v>14.3</x:v>
      </x:c>
      <x:c r="X1496" s="20" t="n">
        <x:v>3.3</x:v>
      </x:c>
      <x:c r="Y1496" t="str">
        <x:v>Basis arsip 2025/2024</x:v>
      </x:c>
      <x:c r="Z1496" t="str">
        <x:v>https://snpmb.id/utbk-snbt/daya-tampung-snbt</x:v>
      </x:c>
      <x:c r="AA1496" t="str">
        <x:v>Tidak Ada</x:v>
      </x:c>
      <x:c r="AB1496" t="str">
        <x:v>Campus=80; Ratio=54.7; Prodi=45; RelDemand=31.3; Capacity=46.7</x:v>
      </x:c>
    </x:row>
    <x:row r="1497">
      <x:c r="A1497" t="n">
        <x:v>1494</x:v>
      </x:c>
      <x:c r="B1497" t="str">
        <x:v>PTN Akademik</x:v>
      </x:c>
      <x:c r="C1497" t="str">
        <x:v>UNIVERSITAS JENDERAL SOEDIRMAN</x:v>
      </x:c>
      <x:c r="D1497" t="str">
        <x:v>MIKROBIOLOGI</x:v>
      </x:c>
      <x:c r="E1497" t="str">
        <x:v>Sarjana</x:v>
      </x:c>
      <x:c r="F1497" s="18" t="n">
        <x:v>32</x:v>
      </x:c>
      <x:c r="G1497" s="18" t="n">
        <x:v>141</x:v>
      </x:c>
      <x:c r="H1497" s="19" t="n">
        <x:v>4.40625</x:v>
      </x:c>
      <x:c r="I1497" s="18" t="n">
        <x:f>ROUND(MIN(Model_Config_v3!$B$6,MAX(Q1497,R1497,S1497*Model_Config_v3!$B$4+T1497*Model_Config_v3!$B$5)),0)</x:f>
        <x:v>648</x:v>
      </x:c>
      <x:c r="J1497" s="18" t="n">
        <x:f>MIN(Model_Config_v3!$B$6,I1497+Model_Config_v3!$B$7)</x:f>
        <x:v>668</x:v>
      </x:c>
      <x:c r="K1497" s="20" t="n">
        <x:v>56.4</x:v>
      </x:c>
      <x:c r="L1497" t="str">
        <x:v>KETAT</x:v>
      </x:c>
      <x:c r="M1497" t="str">
        <x:v>SEDANG+</x:v>
      </x:c>
      <x:c r="N1497" t="str">
        <x:v>ELITE-3</x:v>
      </x:c>
      <x:c r="O1497" t="str">
        <x:v>SAINTEK</x:v>
      </x:c>
      <x:c r="P1497" t="str">
        <x:v>SAINS DASAR</x:v>
      </x:c>
      <x:c r="Q1497" s="18" t="n">
        <x:v>630</x:v>
      </x:c>
      <x:c r="R1497" s="18" t="n">
        <x:v>0</x:v>
      </x:c>
      <x:c r="S1497" s="18" t="n">
        <x:v>590.8476047769021</x:v>
      </x:c>
      <x:c r="T1497" s="18" t="n">
        <x:v>673</x:v>
      </x:c>
      <x:c r="U1497" s="18" t="n">
        <x:v>630</x:v>
      </x:c>
      <x:c r="V1497" s="20" t="n">
        <x:v>12</x:v>
      </x:c>
      <x:c r="W1497" s="20" t="n">
        <x:v>5</x:v>
      </x:c>
      <x:c r="X1497" s="20" t="n">
        <x:v>3</x:v>
      </x:c>
      <x:c r="Y1497" t="str">
        <x:v>Basis arsip 2025/2024</x:v>
      </x:c>
      <x:c r="Z1497" t="str">
        <x:v>https://snpmb.id/utbk-snbt/daya-tampung-snbt</x:v>
      </x:c>
      <x:c r="AA1497" t="str">
        <x:v>Tidak Ada</x:v>
      </x:c>
      <x:c r="AB1497" t="str">
        <x:v>Campus=80; Ratio=37.9; Prodi=50; RelDemand=16.2; Capacity=73.3</x:v>
      </x:c>
    </x:row>
    <x:row r="1498">
      <x:c r="A1498" t="n">
        <x:v>1495</x:v>
      </x:c>
      <x:c r="B1498" t="str">
        <x:v>PTN Akademik</x:v>
      </x:c>
      <x:c r="C1498" t="str">
        <x:v>UNIVERSITAS JENDERAL SOEDIRMAN</x:v>
      </x:c>
      <x:c r="D1498" t="str">
        <x:v>TEKNIK MESIN</x:v>
      </x:c>
      <x:c r="E1498" t="str">
        <x:v>Sarjana</x:v>
      </x:c>
      <x:c r="F1498" s="18" t="n">
        <x:v>32</x:v>
      </x:c>
      <x:c r="G1498" s="18" t="n">
        <x:v>430</x:v>
      </x:c>
      <x:c r="H1498" s="19" t="n">
        <x:v>13.4375</x:v>
      </x:c>
      <x:c r="I1498" s="18" t="n">
        <x:f>ROUND(MIN(Model_Config_v3!$B$6,MAX(Q1498,R1498,S1498*Model_Config_v3!$B$4+T1498*Model_Config_v3!$B$5)),0)</x:f>
        <x:v>682</x:v>
      </x:c>
      <x:c r="J1498" s="18" t="n">
        <x:f>MIN(Model_Config_v3!$B$6,I1498+Model_Config_v3!$B$7)</x:f>
        <x:v>702</x:v>
      </x:c>
      <x:c r="K1498" s="20" t="n">
        <x:v>68.9</x:v>
      </x:c>
      <x:c r="L1498" t="str">
        <x:v>SANGAT KETAT</x:v>
      </x:c>
      <x:c r="M1498" t="str">
        <x:v>SEDANG+</x:v>
      </x:c>
      <x:c r="N1498" t="str">
        <x:v>ELITE-3</x:v>
      </x:c>
      <x:c r="O1498" t="str">
        <x:v>SAINTEK</x:v>
      </x:c>
      <x:c r="P1498" t="str">
        <x:v>TEKNIK/ARSITEKTUR/STATISTIKA/AKTUARIA</x:v>
      </x:c>
      <x:c r="Q1498" s="18" t="n">
        <x:v>630</x:v>
      </x:c>
      <x:c r="R1498" s="18" t="n">
        <x:v>0</x:v>
      </x:c>
      <x:c r="S1498" s="18" t="n">
        <x:v>644.1150324985649</x:v>
      </x:c>
      <x:c r="T1498" s="18" t="n">
        <x:v>698</x:v>
      </x:c>
      <x:c r="U1498" s="18" t="n">
        <x:v>654.1150324985649</x:v>
      </x:c>
      <x:c r="V1498" s="20" t="n">
        <x:v>12</x:v>
      </x:c>
      <x:c r="W1498" s="20" t="n">
        <x:v>5</x:v>
      </x:c>
      <x:c r="X1498" s="20" t="n">
        <x:v>3</x:v>
      </x:c>
      <x:c r="Y1498" t="str">
        <x:v>Basis arsip 2025/2024</x:v>
      </x:c>
      <x:c r="Z1498" t="str">
        <x:v>https://snpmb.id/utbk-snbt/daya-tampung-snbt</x:v>
      </x:c>
      <x:c r="AA1498" t="str">
        <x:v>Tidak Ada</x:v>
      </x:c>
      <x:c r="AB1498" t="str">
        <x:v>Campus=80; Ratio=66.4; Prodi=60; RelDemand=49.4; Capacity=73.3</x:v>
      </x:c>
    </x:row>
    <x:row r="1499">
      <x:c r="A1499" t="n">
        <x:v>1496</x:v>
      </x:c>
      <x:c r="B1499" t="str">
        <x:v>PTN Akademik</x:v>
      </x:c>
      <x:c r="C1499" t="str">
        <x:v>UNIVERSITAS JENDERAL SOEDIRMAN</x:v>
      </x:c>
      <x:c r="D1499" t="str">
        <x:v>PENDIDIKAN BAHASA JEPANG</x:v>
      </x:c>
      <x:c r="E1499" t="str">
        <x:v>Sarjana</x:v>
      </x:c>
      <x:c r="F1499" s="18" t="n">
        <x:v>48</x:v>
      </x:c>
      <x:c r="G1499" s="18" t="n">
        <x:v>139</x:v>
      </x:c>
      <x:c r="H1499" s="19" t="n">
        <x:v>2.8958333333333335</x:v>
      </x:c>
      <x:c r="I1499" s="18" t="n">
        <x:f>ROUND(MIN(Model_Config_v3!$B$6,MAX(Q1499,R1499,S1499*Model_Config_v3!$B$4+T1499*Model_Config_v3!$B$5)),0)</x:f>
        <x:v>635</x:v>
      </x:c>
      <x:c r="J1499" s="18" t="n">
        <x:f>MIN(Model_Config_v3!$B$6,I1499+Model_Config_v3!$B$7)</x:f>
        <x:v>655</x:v>
      </x:c>
      <x:c r="K1499" s="20" t="n">
        <x:v>50.9</x:v>
      </x:c>
      <x:c r="L1499" t="str">
        <x:v>MENENGAH</x:v>
      </x:c>
      <x:c r="M1499" t="str">
        <x:v>SEDANG+</x:v>
      </x:c>
      <x:c r="N1499" t="str">
        <x:v>ELITE-3</x:v>
      </x:c>
      <x:c r="O1499" t="str">
        <x:v>SOSHUM</x:v>
      </x:c>
      <x:c r="P1499" t="str">
        <x:v>PENDIDIKAN</x:v>
      </x:c>
      <x:c r="Q1499" s="18" t="n">
        <x:v>630</x:v>
      </x:c>
      <x:c r="R1499" s="18" t="n">
        <x:v>0</x:v>
      </x:c>
      <x:c r="S1499" s="18" t="n">
        <x:v>570.7950919166359</x:v>
      </x:c>
      <x:c r="T1499" s="18" t="n">
        <x:v>662</x:v>
      </x:c>
      <x:c r="U1499" s="18" t="n">
        <x:v>630</x:v>
      </x:c>
      <x:c r="V1499" s="20" t="n">
        <x:v>4.4</x:v>
      </x:c>
      <x:c r="W1499" s="20" t="n">
        <x:v>14.3</x:v>
      </x:c>
      <x:c r="X1499" s="20" t="n">
        <x:v>3.3</x:v>
      </x:c>
      <x:c r="Y1499" t="str">
        <x:v>Basis arsip 2025/2024</x:v>
      </x:c>
      <x:c r="Z1499" t="str">
        <x:v>https://snpmb.id/utbk-snbt/daya-tampung-snbt</x:v>
      </x:c>
      <x:c r="AA1499" t="str">
        <x:v>Tidak Ada</x:v>
      </x:c>
      <x:c r="AB1499" t="str">
        <x:v>Campus=80; Ratio=27.2; Prodi=45; RelDemand=10.7; Capacity=60.0</x:v>
      </x:c>
    </x:row>
    <x:row r="1500">
      <x:c r="A1500" t="n">
        <x:v>1497</x:v>
      </x:c>
      <x:c r="B1500" t="str">
        <x:v>PTN Akademik</x:v>
      </x:c>
      <x:c r="C1500" t="str">
        <x:v>UNIVERSITAS JENDERAL SOEDIRMAN</x:v>
      </x:c>
      <x:c r="D1500" t="str">
        <x:v>PROTEKSI TANAMAN</x:v>
      </x:c>
      <x:c r="E1500" t="str">
        <x:v>Sarjana</x:v>
      </x:c>
      <x:c r="F1500" s="18" t="n">
        <x:v>35</x:v>
      </x:c>
      <x:c r="G1500" s="18" t="n">
        <x:v>68</x:v>
      </x:c>
      <x:c r="H1500" s="19" t="n">
        <x:v>1.9428571428571428</x:v>
      </x:c>
      <x:c r="I1500" s="18" t="n">
        <x:f>ROUND(MIN(Model_Config_v3!$B$6,MAX(Q1500,R1500,S1500*Model_Config_v3!$B$4+T1500*Model_Config_v3!$B$5)),0)</x:f>
        <x:v>630</x:v>
      </x:c>
      <x:c r="J1500" s="18" t="n">
        <x:f>MIN(Model_Config_v3!$B$6,I1500+Model_Config_v3!$B$7)</x:f>
        <x:v>650</x:v>
      </x:c>
      <x:c r="K1500" s="20" t="n">
        <x:v>48</x:v>
      </x:c>
      <x:c r="L1500" t="str">
        <x:v>MENENGAH</x:v>
      </x:c>
      <x:c r="M1500" t="str">
        <x:v>SEDANG+</x:v>
      </x:c>
      <x:c r="N1500" t="str">
        <x:v>ELITE-3</x:v>
      </x:c>
      <x:c r="O1500" t="str">
        <x:v>CAMPURAN</x:v>
      </x:c>
      <x:c r="P1500" t="str">
        <x:v>UMUM</x:v>
      </x:c>
      <x:c r="Q1500" s="18" t="n">
        <x:v>630</x:v>
      </x:c>
      <x:c r="R1500" s="18" t="n">
        <x:v>0</x:v>
      </x:c>
      <x:c r="S1500" s="18" t="n">
        <x:v>551.7284955191557</x:v>
      </x:c>
      <x:c r="T1500" s="18" t="n">
        <x:v>656</x:v>
      </x:c>
      <x:c r="U1500" s="18" t="n">
        <x:v>630</x:v>
      </x:c>
      <x:c r="V1500" s="20" t="n">
        <x:v>8.8</x:v>
      </x:c>
      <x:c r="W1500" s="20" t="n">
        <x:v>9.9</x:v>
      </x:c>
      <x:c r="X1500" s="20" t="n">
        <x:v>3.3</x:v>
      </x:c>
      <x:c r="Y1500" t="str">
        <x:v>Basis arsip 2025/2024</x:v>
      </x:c>
      <x:c r="Z1500" t="str">
        <x:v>https://snpmb.id/utbk-snbt/daya-tampung-snbt</x:v>
      </x:c>
      <x:c r="AA1500" t="str">
        <x:v>Tidak Ada</x:v>
      </x:c>
      <x:c r="AB1500" t="str">
        <x:v>Campus=80; Ratio=17.0; Prodi=40; RelDemand=7.1; Capacity=70.8</x:v>
      </x:c>
    </x:row>
    <x:row r="1501">
      <x:c r="A1501" t="n">
        <x:v>1498</x:v>
      </x:c>
      <x:c r="B1501" t="str">
        <x:v>PTN Akademik</x:v>
      </x:c>
      <x:c r="C1501" t="str">
        <x:v>UNIVERSITAS JENDERAL SOEDIRMAN</x:v>
      </x:c>
      <x:c r="D1501" t="str">
        <x:v>STATISTIK</x:v>
      </x:c>
      <x:c r="E1501" t="str">
        <x:v>Sarjana</x:v>
      </x:c>
      <x:c r="F1501" s="18" t="n">
        <x:v>48</x:v>
      </x:c>
      <x:c r="G1501" s="18" t="n">
        <x:v>250</x:v>
      </x:c>
      <x:c r="H1501" s="19" t="n">
        <x:v>5.208333333333333</x:v>
      </x:c>
      <x:c r="I1501" s="18" t="n">
        <x:f>ROUND(MIN(Model_Config_v3!$B$6,MAX(Q1501,R1501,S1501*Model_Config_v3!$B$4+T1501*Model_Config_v3!$B$5)),0)</x:f>
        <x:v>654</x:v>
      </x:c>
      <x:c r="J1501" s="18" t="n">
        <x:f>MIN(Model_Config_v3!$B$6,I1501+Model_Config_v3!$B$7)</x:f>
        <x:v>674</x:v>
      </x:c>
      <x:c r="K1501" s="20" t="n">
        <x:v>58.5</x:v>
      </x:c>
      <x:c r="L1501" t="str">
        <x:v>KETAT</x:v>
      </x:c>
      <x:c r="M1501" t="str">
        <x:v>SEDANG+</x:v>
      </x:c>
      <x:c r="N1501" t="str">
        <x:v>ELITE-3</x:v>
      </x:c>
      <x:c r="O1501" t="str">
        <x:v>SAINTEK</x:v>
      </x:c>
      <x:c r="P1501" t="str">
        <x:v>TEKNIK/ARSITEKTUR/STATISTIKA/AKTUARIA</x:v>
      </x:c>
      <x:c r="Q1501" s="18" t="n">
        <x:v>630</x:v>
      </x:c>
      <x:c r="R1501" s="18" t="n">
        <x:v>0</x:v>
      </x:c>
      <x:c r="S1501" s="18" t="n">
        <x:v>598.8368648426095</x:v>
      </x:c>
      <x:c r="T1501" s="18" t="n">
        <x:v>677</x:v>
      </x:c>
      <x:c r="U1501" s="18" t="n">
        <x:v>630</x:v>
      </x:c>
      <x:c r="V1501" s="20" t="n">
        <x:v>12</x:v>
      </x:c>
      <x:c r="W1501" s="20" t="n">
        <x:v>5</x:v>
      </x:c>
      <x:c r="X1501" s="20" t="n">
        <x:v>3</x:v>
      </x:c>
      <x:c r="Y1501" t="str">
        <x:v>Basis arsip 2025/2024</x:v>
      </x:c>
      <x:c r="Z1501" t="str">
        <x:v>https://snpmb.id/utbk-snbt/daya-tampung-snbt</x:v>
      </x:c>
      <x:c r="AA1501" t="str">
        <x:v>Tidak Ada</x:v>
      </x:c>
      <x:c r="AB1501" t="str">
        <x:v>Campus=80; Ratio=42.2; Prodi=60; RelDemand=19.2; Capacity=60.0</x:v>
      </x:c>
    </x:row>
    <x:row r="1502">
      <x:c r="A1502" t="n">
        <x:v>1499</x:v>
      </x:c>
      <x:c r="B1502" t="str">
        <x:v>PTN Akademik</x:v>
      </x:c>
      <x:c r="C1502" t="str">
        <x:v>UNIVERSITAS JENDERAL SOEDIRMAN</x:v>
      </x:c>
      <x:c r="D1502" t="str">
        <x:v>BIOLOGI TERAPAN</x:v>
      </x:c>
      <x:c r="E1502" t="str">
        <x:v>Sarjana</x:v>
      </x:c>
      <x:c r="F1502" s="18" t="n">
        <x:v>32</x:v>
      </x:c>
      <x:c r="G1502" s="18" t="n">
        <x:v>72</x:v>
      </x:c>
      <x:c r="H1502" s="19" t="n">
        <x:v>2.25</x:v>
      </x:c>
      <x:c r="I1502" s="18" t="n">
        <x:f>ROUND(MIN(Model_Config_v3!$B$6,MAX(Q1502,R1502,S1502*Model_Config_v3!$B$4+T1502*Model_Config_v3!$B$5)),0)</x:f>
        <x:v>632</x:v>
      </x:c>
      <x:c r="J1502" s="18" t="n">
        <x:f>MIN(Model_Config_v3!$B$6,I1502+Model_Config_v3!$B$7)</x:f>
        <x:v>652</x:v>
      </x:c>
      <x:c r="K1502" s="20" t="n">
        <x:v>51.3</x:v>
      </x:c>
      <x:c r="L1502" t="str">
        <x:v>MENENGAH</x:v>
      </x:c>
      <x:c r="M1502" t="str">
        <x:v>SEDANG+</x:v>
      </x:c>
      <x:c r="N1502" t="str">
        <x:v>ELITE-3</x:v>
      </x:c>
      <x:c r="O1502" t="str">
        <x:v>SAINTEK</x:v>
      </x:c>
      <x:c r="P1502" t="str">
        <x:v>SAINS DASAR</x:v>
      </x:c>
      <x:c r="Q1502" s="18" t="n">
        <x:v>630</x:v>
      </x:c>
      <x:c r="R1502" s="18" t="n">
        <x:v>0</x:v>
      </x:c>
      <x:c r="S1502" s="18" t="n">
        <x:v>558.7400769922499</x:v>
      </x:c>
      <x:c r="T1502" s="18" t="n">
        <x:v>663</x:v>
      </x:c>
      <x:c r="U1502" s="18" t="n">
        <x:v>630</x:v>
      </x:c>
      <x:c r="V1502" s="20" t="n">
        <x:v>12</x:v>
      </x:c>
      <x:c r="W1502" s="20" t="n">
        <x:v>5</x:v>
      </x:c>
      <x:c r="X1502" s="20" t="n">
        <x:v>3</x:v>
      </x:c>
      <x:c r="Y1502" t="str">
        <x:v>Basis arsip 2025/2024</x:v>
      </x:c>
      <x:c r="Z1502" t="str">
        <x:v>https://snpmb.id/utbk-snbt/daya-tampung-snbt</x:v>
      </x:c>
      <x:c r="AA1502" t="str">
        <x:v>Tidak Ada</x:v>
      </x:c>
      <x:c r="AB1502" t="str">
        <x:v>Campus=80; Ratio=20.7; Prodi=50; RelDemand=8.3; Capacity=73.3</x:v>
      </x:c>
    </x:row>
    <x:row r="1503">
      <x:c r="A1503" t="n">
        <x:v>1500</x:v>
      </x:c>
      <x:c r="B1503" t="str">
        <x:v>PTN Akademik</x:v>
      </x:c>
      <x:c r="C1503" t="str">
        <x:v>UNIVERSITAS JENDERAL SOEDIRMAN</x:v>
      </x:c>
      <x:c r="D1503" t="str">
        <x:v>TEKNIK KOMPUTER</x:v>
      </x:c>
      <x:c r="E1503" t="str">
        <x:v>Sarjana</x:v>
      </x:c>
      <x:c r="F1503" s="18" t="n">
        <x:v>32</x:v>
      </x:c>
      <x:c r="G1503" s="18" t="n">
        <x:v>563</x:v>
      </x:c>
      <x:c r="H1503" s="19" t="n">
        <x:v>17.59375</x:v>
      </x:c>
      <x:c r="I1503" s="18" t="n">
        <x:f>ROUND(MIN(Model_Config_v3!$B$6,MAX(Q1503,R1503,S1503*Model_Config_v3!$B$4+T1503*Model_Config_v3!$B$5)),0)</x:f>
        <x:v>697</x:v>
      </x:c>
      <x:c r="J1503" s="18" t="n">
        <x:f>MIN(Model_Config_v3!$B$6,I1503+Model_Config_v3!$B$7)</x:f>
        <x:v>717</x:v>
      </x:c>
      <x:c r="K1503" s="20" t="n">
        <x:v>77.1</x:v>
      </x:c>
      <x:c r="L1503" t="str">
        <x:v>ELITE</x:v>
      </x:c>
      <x:c r="M1503" t="str">
        <x:v>SEDANG+</x:v>
      </x:c>
      <x:c r="N1503" t="str">
        <x:v>ELITE-3</x:v>
      </x:c>
      <x:c r="O1503" t="str">
        <x:v>SAINTEK</x:v>
      </x:c>
      <x:c r="P1503" t="str">
        <x:v>KOMPUTER/INFORMATIKA</x:v>
      </x:c>
      <x:c r="Q1503" s="18" t="n">
        <x:v>630</x:v>
      </x:c>
      <x:c r="R1503" s="18" t="n">
        <x:v>675</x:v>
      </x:c>
      <x:c r="S1503" s="18" t="n">
        <x:v>656.9894258184584</x:v>
      </x:c>
      <x:c r="T1503" s="18" t="n">
        <x:v>714</x:v>
      </x:c>
      <x:c r="U1503" s="18" t="n">
        <x:v>681.9894258184584</x:v>
      </x:c>
      <x:c r="V1503" s="20" t="n">
        <x:v>12</x:v>
      </x:c>
      <x:c r="W1503" s="20" t="n">
        <x:v>5</x:v>
      </x:c>
      <x:c r="X1503" s="20" t="n">
        <x:v>3</x:v>
      </x:c>
      <x:c r="Y1503" t="str">
        <x:v>Basis arsip 2025/2024</x:v>
      </x:c>
      <x:c r="Z1503" t="str">
        <x:v>https://snpmb.id/utbk-snbt/daya-tampung-snbt</x:v>
      </x:c>
      <x:c r="AA1503" t="str">
        <x:v>Tidak Ada</x:v>
      </x:c>
      <x:c r="AB1503" t="str">
        <x:v>Campus=80; Ratio=73.3; Prodi=85; RelDemand=64.7; Capacity=73.3</x:v>
      </x:c>
    </x:row>
    <x:row r="1504">
      <x:c r="A1504" t="n">
        <x:v>1501</x:v>
      </x:c>
      <x:c r="B1504" t="str">
        <x:v>PTN Akademik</x:v>
      </x:c>
      <x:c r="C1504" t="str">
        <x:v>UNIVERSITAS JENDERAL SOEDIRMAN</x:v>
      </x:c>
      <x:c r="D1504" t="str">
        <x:v>ADMINISTRASI BISNIS</x:v>
      </x:c>
      <x:c r="E1504" t="str">
        <x:v>Diploma Tiga</x:v>
      </x:c>
      <x:c r="F1504" s="18" t="n">
        <x:v>48</x:v>
      </x:c>
      <x:c r="G1504" s="18" t="n">
        <x:v>3236</x:v>
      </x:c>
      <x:c r="H1504" s="19" t="n">
        <x:v>67.41666666666667</x:v>
      </x:c>
      <x:c r="I1504" s="18" t="n">
        <x:f>ROUND(MIN(Model_Config_v3!$B$6,MAX(Q1504,R1504,S1504*Model_Config_v3!$B$4+T1504*Model_Config_v3!$B$5)),0)</x:f>
        <x:v>723</x:v>
      </x:c>
      <x:c r="J1504" s="18" t="n">
        <x:f>MIN(Model_Config_v3!$B$6,I1504+Model_Config_v3!$B$7)</x:f>
        <x:v>743</x:v>
      </x:c>
      <x:c r="K1504" s="20" t="n">
        <x:v>82</x:v>
      </x:c>
      <x:c r="L1504" t="str">
        <x:v>ELITE</x:v>
      </x:c>
      <x:c r="M1504" t="str">
        <x:v>SEDANG+</x:v>
      </x:c>
      <x:c r="N1504" t="str">
        <x:v>ELITE-3</x:v>
      </x:c>
      <x:c r="O1504" t="str">
        <x:v>SOSHUM</x:v>
      </x:c>
      <x:c r="P1504" t="str">
        <x:v>BISNIS/EKONOMI/AKUNTANSI</x:v>
      </x:c>
      <x:c r="Q1504" s="18" t="n">
        <x:v>630</x:v>
      </x:c>
      <x:c r="R1504" s="18" t="n">
        <x:v>0</x:v>
      </x:c>
      <x:c r="S1504" s="18" t="n">
        <x:v>721.1644003121112</x:v>
      </x:c>
      <x:c r="T1504" s="18" t="n">
        <x:v>724</x:v>
      </x:c>
      <x:c r="U1504" s="18" t="n">
        <x:v>736.1644003121112</x:v>
      </x:c>
      <x:c r="V1504" s="20" t="n">
        <x:v>4.4</x:v>
      </x:c>
      <x:c r="W1504" s="20" t="n">
        <x:v>14.3</x:v>
      </x:c>
      <x:c r="X1504" s="20" t="n">
        <x:v>3.3</x:v>
      </x:c>
      <x:c r="Y1504" t="str">
        <x:v>Basis arsip 2025/2024</x:v>
      </x:c>
      <x:c r="Z1504" t="str">
        <x:v>https://snpmb.id/utbk-snbt/daya-tampung-snbt</x:v>
      </x:c>
      <x:c r="AA1504" t="str">
        <x:v>Tidak Ada</x:v>
      </x:c>
      <x:c r="AB1504" t="str">
        <x:v>Campus=80; Ratio=100.0; Prodi=65; RelDemand=100.0; Capacity=60.0</x:v>
      </x:c>
    </x:row>
    <x:row r="1505">
      <x:c r="A1505" t="n">
        <x:v>1502</x:v>
      </x:c>
      <x:c r="B1505" t="str">
        <x:v>PTN Akademik</x:v>
      </x:c>
      <x:c r="C1505" t="str">
        <x:v>UNIVERSITAS JENDERAL SOEDIRMAN</x:v>
      </x:c>
      <x:c r="D1505" t="str">
        <x:v>BAHASA MANDARIN</x:v>
      </x:c>
      <x:c r="E1505" t="str">
        <x:v>Diploma Tiga</x:v>
      </x:c>
      <x:c r="F1505" s="18" t="n">
        <x:v>56</x:v>
      </x:c>
      <x:c r="G1505" s="18" t="n">
        <x:v>299</x:v>
      </x:c>
      <x:c r="H1505" s="19" t="n">
        <x:v>5.339285714285714</x:v>
      </x:c>
      <x:c r="I1505" s="18" t="n">
        <x:f>ROUND(MIN(Model_Config_v3!$B$6,MAX(Q1505,R1505,S1505*Model_Config_v3!$B$4+T1505*Model_Config_v3!$B$5)),0)</x:f>
        <x:v>648</x:v>
      </x:c>
      <x:c r="J1505" s="18" t="n">
        <x:f>MIN(Model_Config_v3!$B$6,I1505+Model_Config_v3!$B$7)</x:f>
        <x:v>668</x:v>
      </x:c>
      <x:c r="K1505" s="20" t="n">
        <x:v>54</x:v>
      </x:c>
      <x:c r="L1505" t="str">
        <x:v>MENENGAH</x:v>
      </x:c>
      <x:c r="M1505" t="str">
        <x:v>SEDANG+</x:v>
      </x:c>
      <x:c r="N1505" t="str">
        <x:v>ELITE-3</x:v>
      </x:c>
      <x:c r="O1505" t="str">
        <x:v>SOSHUM</x:v>
      </x:c>
      <x:c r="P1505" t="str">
        <x:v>UMUM</x:v>
      </x:c>
      <x:c r="Q1505" s="18" t="n">
        <x:v>630</x:v>
      </x:c>
      <x:c r="R1505" s="18" t="n">
        <x:v>0</x:v>
      </x:c>
      <x:c r="S1505" s="18" t="n">
        <x:v>600.0231477450052</x:v>
      </x:c>
      <x:c r="T1505" s="18" t="n">
        <x:v>668</x:v>
      </x:c>
      <x:c r="U1505" s="18" t="n">
        <x:v>630</x:v>
      </x:c>
      <x:c r="V1505" s="20" t="n">
        <x:v>4.4</x:v>
      </x:c>
      <x:c r="W1505" s="20" t="n">
        <x:v>14.3</x:v>
      </x:c>
      <x:c r="X1505" s="20" t="n">
        <x:v>3.3</x:v>
      </x:c>
      <x:c r="Y1505" t="str">
        <x:v>Basis arsip 2025/2024</x:v>
      </x:c>
      <x:c r="Z1505" t="str">
        <x:v>https://snpmb.id/utbk-snbt/daya-tampung-snbt</x:v>
      </x:c>
      <x:c r="AA1505" t="str">
        <x:v>Tidak Ada</x:v>
      </x:c>
      <x:c r="AB1505" t="str">
        <x:v>Campus=80; Ratio=42.8; Prodi=40; RelDemand=19.6; Capacity=53.3</x:v>
      </x:c>
    </x:row>
    <x:row r="1506">
      <x:c r="A1506" t="n">
        <x:v>1503</x:v>
      </x:c>
      <x:c r="B1506" t="str">
        <x:v>PTN Akademik</x:v>
      </x:c>
      <x:c r="C1506" t="str">
        <x:v>UNIVERSITAS JENDERAL SOEDIRMAN</x:v>
      </x:c>
      <x:c r="D1506" t="str">
        <x:v>BUDI DAYA IKAN</x:v>
      </x:c>
      <x:c r="E1506" t="str">
        <x:v>Diploma Tiga</x:v>
      </x:c>
      <x:c r="F1506" s="18" t="n">
        <x:v>48</x:v>
      </x:c>
      <x:c r="G1506" s="18" t="n">
        <x:v>433</x:v>
      </x:c>
      <x:c r="H1506" s="19" t="n">
        <x:v>9.020833333333334</x:v>
      </x:c>
      <x:c r="I1506" s="18" t="n">
        <x:f>ROUND(MIN(Model_Config_v3!$B$6,MAX(Q1506,R1506,S1506*Model_Config_v3!$B$4+T1506*Model_Config_v3!$B$5)),0)</x:f>
        <x:v>663</x:v>
      </x:c>
      <x:c r="J1506" s="18" t="n">
        <x:f>MIN(Model_Config_v3!$B$6,I1506+Model_Config_v3!$B$7)</x:f>
        <x:v>683</x:v>
      </x:c>
      <x:c r="K1506" s="20" t="n">
        <x:v>59.4</x:v>
      </x:c>
      <x:c r="L1506" t="str">
        <x:v>KETAT</x:v>
      </x:c>
      <x:c r="M1506" t="str">
        <x:v>SEDANG+</x:v>
      </x:c>
      <x:c r="N1506" t="str">
        <x:v>ELITE-3</x:v>
      </x:c>
      <x:c r="O1506" t="str">
        <x:v>CAMPURAN</x:v>
      </x:c>
      <x:c r="P1506" t="str">
        <x:v>UMUM</x:v>
      </x:c>
      <x:c r="Q1506" s="18" t="n">
        <x:v>630</x:v>
      </x:c>
      <x:c r="R1506" s="18" t="n">
        <x:v>0</x:v>
      </x:c>
      <x:c r="S1506" s="18" t="n">
        <x:v>625.0771324875556</x:v>
      </x:c>
      <x:c r="T1506" s="18" t="n">
        <x:v>679</x:v>
      </x:c>
      <x:c r="U1506" s="18" t="n">
        <x:v>630</x:v>
      </x:c>
      <x:c r="V1506" s="20" t="n">
        <x:v>8.8</x:v>
      </x:c>
      <x:c r="W1506" s="20" t="n">
        <x:v>9.9</x:v>
      </x:c>
      <x:c r="X1506" s="20" t="n">
        <x:v>3.3</x:v>
      </x:c>
      <x:c r="Y1506" t="str">
        <x:v>Basis arsip 2025/2024</x:v>
      </x:c>
      <x:c r="Z1506" t="str">
        <x:v>https://snpmb.id/utbk-snbt/daya-tampung-snbt</x:v>
      </x:c>
      <x:c r="AA1506" t="str">
        <x:v>Tidak Ada</x:v>
      </x:c>
      <x:c r="AB1506" t="str">
        <x:v>Campus=80; Ratio=56.2; Prodi=40; RelDemand=33.2; Capacity=60.0</x:v>
      </x:c>
    </x:row>
    <x:row r="1507">
      <x:c r="A1507" t="n">
        <x:v>1504</x:v>
      </x:c>
      <x:c r="B1507" t="str">
        <x:v>PTN Akademik</x:v>
      </x:c>
      <x:c r="C1507" t="str">
        <x:v>UNIVERSITAS JENDERAL SOEDIRMAN</x:v>
      </x:c>
      <x:c r="D1507" t="str">
        <x:v>AGRIBISNIS</x:v>
      </x:c>
      <x:c r="E1507" t="str">
        <x:v>Diploma Tiga</x:v>
      </x:c>
      <x:c r="F1507" s="18" t="n">
        <x:v>48</x:v>
      </x:c>
      <x:c r="G1507" s="18" t="n">
        <x:v>1670</x:v>
      </x:c>
      <x:c r="H1507" s="19" t="n">
        <x:v>34.791666666666664</x:v>
      </x:c>
      <x:c r="I1507" s="18" t="n">
        <x:f>ROUND(MIN(Model_Config_v3!$B$6,MAX(Q1507,R1507,S1507*Model_Config_v3!$B$4+T1507*Model_Config_v3!$B$5)),0)</x:f>
        <x:v>710</x:v>
      </x:c>
      <x:c r="J1507" s="18" t="n">
        <x:f>MIN(Model_Config_v3!$B$6,I1507+Model_Config_v3!$B$7)</x:f>
        <x:v>730</x:v>
      </x:c>
      <x:c r="K1507" s="20" t="n">
        <x:v>79.7</x:v>
      </x:c>
      <x:c r="L1507" t="str">
        <x:v>ELITE</x:v>
      </x:c>
      <x:c r="M1507" t="str">
        <x:v>SEDANG+</x:v>
      </x:c>
      <x:c r="N1507" t="str">
        <x:v>ELITE-3</x:v>
      </x:c>
      <x:c r="O1507" t="str">
        <x:v>SOSHUM</x:v>
      </x:c>
      <x:c r="P1507" t="str">
        <x:v>BISNIS/EKONOMI/AKUNTANSI</x:v>
      </x:c>
      <x:c r="Q1507" s="18" t="n">
        <x:v>630</x:v>
      </x:c>
      <x:c r="R1507" s="18" t="n">
        <x:v>0</x:v>
      </x:c>
      <x:c r="S1507" s="18" t="n">
        <x:v>689.5622757149196</x:v>
      </x:c>
      <x:c r="T1507" s="18" t="n">
        <x:v>719</x:v>
      </x:c>
      <x:c r="U1507" s="18" t="n">
        <x:v>704.5622757149196</x:v>
      </x:c>
      <x:c r="V1507" s="20" t="n">
        <x:v>4.4</x:v>
      </x:c>
      <x:c r="W1507" s="20" t="n">
        <x:v>14.3</x:v>
      </x:c>
      <x:c r="X1507" s="20" t="n">
        <x:v>3.3</x:v>
      </x:c>
      <x:c r="Y1507" t="str">
        <x:v>Basis arsip 2025/2024</x:v>
      </x:c>
      <x:c r="Z1507" t="str">
        <x:v>https://snpmb.id/utbk-snbt/daya-tampung-snbt</x:v>
      </x:c>
      <x:c r="AA1507" t="str">
        <x:v>Tidak Ada</x:v>
      </x:c>
      <x:c r="AB1507" t="str">
        <x:v>Campus=80; Ratio=90.7; Prodi=65; RelDemand=100.0; Capacity=60.0</x:v>
      </x:c>
    </x:row>
    <x:row r="1508">
      <x:c r="A1508" t="n">
        <x:v>1505</x:v>
      </x:c>
      <x:c r="B1508" t="str">
        <x:v>PTN Akademik</x:v>
      </x:c>
      <x:c r="C1508" t="str">
        <x:v>UNIVERSITAS JENDERAL SOEDIRMAN</x:v>
      </x:c>
      <x:c r="D1508" t="str">
        <x:v>PERENCANAAN SUMBER DAYA LAHAN</x:v>
      </x:c>
      <x:c r="E1508" t="str">
        <x:v>Diploma Tiga</x:v>
      </x:c>
      <x:c r="F1508" s="18" t="n">
        <x:v>48</x:v>
      </x:c>
      <x:c r="G1508" s="18" t="n">
        <x:v>827</x:v>
      </x:c>
      <x:c r="H1508" s="19" t="n">
        <x:v>17.229166666666668</x:v>
      </x:c>
      <x:c r="I1508" s="18" t="n">
        <x:f>ROUND(MIN(Model_Config_v3!$B$6,MAX(Q1508,R1508,S1508*Model_Config_v3!$B$4+T1508*Model_Config_v3!$B$5)),0)</x:f>
        <x:v>682</x:v>
      </x:c>
      <x:c r="J1508" s="18" t="n">
        <x:f>MIN(Model_Config_v3!$B$6,I1508+Model_Config_v3!$B$7)</x:f>
        <x:v>702</x:v>
      </x:c>
      <x:c r="K1508" s="20" t="n">
        <x:v>66.5</x:v>
      </x:c>
      <x:c r="L1508" t="str">
        <x:v>SANGAT KETAT</x:v>
      </x:c>
      <x:c r="M1508" t="str">
        <x:v>SEDANG+</x:v>
      </x:c>
      <x:c r="N1508" t="str">
        <x:v>ELITE-3</x:v>
      </x:c>
      <x:c r="O1508" t="str">
        <x:v>CAMPURAN</x:v>
      </x:c>
      <x:c r="P1508" t="str">
        <x:v>UMUM</x:v>
      </x:c>
      <x:c r="Q1508" s="18" t="n">
        <x:v>630</x:v>
      </x:c>
      <x:c r="R1508" s="18" t="n">
        <x:v>0</x:v>
      </x:c>
      <x:c r="S1508" s="18" t="n">
        <x:v>655.9890699394655</x:v>
      </x:c>
      <x:c r="T1508" s="18" t="n">
        <x:v>693</x:v>
      </x:c>
      <x:c r="U1508" s="18" t="n">
        <x:v>655.9890699394655</x:v>
      </x:c>
      <x:c r="V1508" s="20" t="n">
        <x:v>8.8</x:v>
      </x:c>
      <x:c r="W1508" s="20" t="n">
        <x:v>9.9</x:v>
      </x:c>
      <x:c r="X1508" s="20" t="n">
        <x:v>3.3</x:v>
      </x:c>
      <x:c r="Y1508" t="str">
        <x:v>Basis arsip 2025/2024</x:v>
      </x:c>
      <x:c r="Z1508" t="str">
        <x:v>https://snpmb.id/utbk-snbt/daya-tampung-snbt</x:v>
      </x:c>
      <x:c r="AA1508" t="str">
        <x:v>Tidak Ada</x:v>
      </x:c>
      <x:c r="AB1508" t="str">
        <x:v>Campus=80; Ratio=72.8; Prodi=40; RelDemand=63.4; Capacity=60.0</x:v>
      </x:c>
    </x:row>
    <x:row r="1509">
      <x:c r="A1509" t="n">
        <x:v>1506</x:v>
      </x:c>
      <x:c r="B1509" t="str">
        <x:v>PTN Akademik</x:v>
      </x:c>
      <x:c r="C1509" t="str">
        <x:v>UNIVERSITAS JENDERAL SOEDIRMAN</x:v>
      </x:c>
      <x:c r="D1509" t="str">
        <x:v>BAHASA INGGRIS</x:v>
      </x:c>
      <x:c r="E1509" t="str">
        <x:v>Diploma Tiga</x:v>
      </x:c>
      <x:c r="F1509" s="18" t="n">
        <x:v>56</x:v>
      </x:c>
      <x:c r="G1509" s="18" t="n">
        <x:v>1179</x:v>
      </x:c>
      <x:c r="H1509" s="19" t="n">
        <x:v>21.053571428571427</x:v>
      </x:c>
      <x:c r="I1509" s="18" t="n">
        <x:f>ROUND(MIN(Model_Config_v3!$B$6,MAX(Q1509,R1509,S1509*Model_Config_v3!$B$4+T1509*Model_Config_v3!$B$5)),0)</x:f>
        <x:v>688</x:v>
      </x:c>
      <x:c r="J1509" s="18" t="n">
        <x:f>MIN(Model_Config_v3!$B$6,I1509+Model_Config_v3!$B$7)</x:f>
        <x:v>708</x:v>
      </x:c>
      <x:c r="K1509" s="20" t="n">
        <x:v>68.6</x:v>
      </x:c>
      <x:c r="L1509" t="str">
        <x:v>SANGAT KETAT</x:v>
      </x:c>
      <x:c r="M1509" t="str">
        <x:v>SEDANG+</x:v>
      </x:c>
      <x:c r="N1509" t="str">
        <x:v>ELITE-3</x:v>
      </x:c>
      <x:c r="O1509" t="str">
        <x:v>SOSHUM</x:v>
      </x:c>
      <x:c r="P1509" t="str">
        <x:v>UMUM</x:v>
      </x:c>
      <x:c r="Q1509" s="18" t="n">
        <x:v>630</x:v>
      </x:c>
      <x:c r="R1509" s="18" t="n">
        <x:v>0</x:v>
      </x:c>
      <x:c r="S1509" s="18" t="n">
        <x:v>665.5658355897777</x:v>
      </x:c>
      <x:c r="T1509" s="18" t="n">
        <x:v>697</x:v>
      </x:c>
      <x:c r="U1509" s="18" t="n">
        <x:v>665.5658355897777</x:v>
      </x:c>
      <x:c r="V1509" s="20" t="n">
        <x:v>4.4</x:v>
      </x:c>
      <x:c r="W1509" s="20" t="n">
        <x:v>14.3</x:v>
      </x:c>
      <x:c r="X1509" s="20" t="n">
        <x:v>3.3</x:v>
      </x:c>
      <x:c r="Y1509" t="str">
        <x:v>Basis arsip 2025/2024</x:v>
      </x:c>
      <x:c r="Z1509" t="str">
        <x:v>https://snpmb.id/utbk-snbt/daya-tampung-snbt</x:v>
      </x:c>
      <x:c r="AA1509" t="str">
        <x:v>Tidak Ada</x:v>
      </x:c>
      <x:c r="AB1509" t="str">
        <x:v>Campus=80; Ratio=77.9; Prodi=40; RelDemand=77.5; Capacity=53.3</x:v>
      </x:c>
    </x:row>
    <x:row r="1510">
      <x:c r="A1510" t="n">
        <x:v>1507</x:v>
      </x:c>
      <x:c r="B1510" t="str">
        <x:v>PTN Akademik</x:v>
      </x:c>
      <x:c r="C1510" t="str">
        <x:v>UNIVERSITAS JENDERAL SOEDIRMAN</x:v>
      </x:c>
      <x:c r="D1510" t="str">
        <x:v>AKUNTANSI</x:v>
      </x:c>
      <x:c r="E1510" t="str">
        <x:v>Diploma Tiga</x:v>
      </x:c>
      <x:c r="F1510" s="18" t="n">
        <x:v>48</x:v>
      </x:c>
      <x:c r="G1510" s="18" t="n">
        <x:v>1966</x:v>
      </x:c>
      <x:c r="H1510" s="19" t="n">
        <x:v>40.958333333333336</x:v>
      </x:c>
      <x:c r="I1510" s="18" t="n">
        <x:f>ROUND(MIN(Model_Config_v3!$B$6,MAX(Q1510,R1510,S1510*Model_Config_v3!$B$4+T1510*Model_Config_v3!$B$5)),0)</x:f>
        <x:v>714</x:v>
      </x:c>
      <x:c r="J1510" s="18" t="n">
        <x:f>MIN(Model_Config_v3!$B$6,I1510+Model_Config_v3!$B$7)</x:f>
        <x:v>734</x:v>
      </x:c>
      <x:c r="K1510" s="20" t="n">
        <x:v>80.7</x:v>
      </x:c>
      <x:c r="L1510" t="str">
        <x:v>ELITE</x:v>
      </x:c>
      <x:c r="M1510" t="str">
        <x:v>SEDANG+</x:v>
      </x:c>
      <x:c r="N1510" t="str">
        <x:v>ELITE-3</x:v>
      </x:c>
      <x:c r="O1510" t="str">
        <x:v>SOSHUM</x:v>
      </x:c>
      <x:c r="P1510" t="str">
        <x:v>BISNIS/EKONOMI/AKUNTANSI</x:v>
      </x:c>
      <x:c r="Q1510" s="18" t="n">
        <x:v>630</x:v>
      </x:c>
      <x:c r="R1510" s="18" t="n">
        <x:v>0</x:v>
      </x:c>
      <x:c r="S1510" s="18" t="n">
        <x:v>697.3576503732583</x:v>
      </x:c>
      <x:c r="T1510" s="18" t="n">
        <x:v>721</x:v>
      </x:c>
      <x:c r="U1510" s="18" t="n">
        <x:v>697.3576503732583</x:v>
      </x:c>
      <x:c r="V1510" s="20" t="n">
        <x:v>4.4</x:v>
      </x:c>
      <x:c r="W1510" s="20" t="n">
        <x:v>14.3</x:v>
      </x:c>
      <x:c r="X1510" s="20" t="n">
        <x:v>3.3</x:v>
      </x:c>
      <x:c r="Y1510" t="str">
        <x:v>Basis arsip 2025/2024</x:v>
      </x:c>
      <x:c r="Z1510" t="str">
        <x:v>https://snpmb.id/utbk-snbt/daya-tampung-snbt</x:v>
      </x:c>
      <x:c r="AA1510" t="str">
        <x:v>Tidak Ada</x:v>
      </x:c>
      <x:c r="AB1510" t="str">
        <x:v>Campus=80; Ratio=94.9; Prodi=65; RelDemand=100.0; Capacity=60.0</x:v>
      </x:c>
    </x:row>
    <x:row r="1511">
      <x:c r="A1511" t="n">
        <x:v>1508</x:v>
      </x:c>
      <x:c r="B1511" t="str">
        <x:v>PTN Akademik</x:v>
      </x:c>
      <x:c r="C1511" t="str">
        <x:v>UNIVERSITAS JENDERAL SOEDIRMAN</x:v>
      </x:c>
      <x:c r="D1511" t="str">
        <x:v>BISNIS INTERNASIONAL</x:v>
      </x:c>
      <x:c r="E1511" t="str">
        <x:v>Diploma Tiga</x:v>
      </x:c>
      <x:c r="F1511" s="18" t="n">
        <x:v>48</x:v>
      </x:c>
      <x:c r="G1511" s="18" t="n">
        <x:v>1547</x:v>
      </x:c>
      <x:c r="H1511" s="19" t="n">
        <x:v>32.229166666666664</x:v>
      </x:c>
      <x:c r="I1511" s="18" t="n">
        <x:f>ROUND(MIN(Model_Config_v3!$B$6,MAX(Q1511,R1511,S1511*Model_Config_v3!$B$4+T1511*Model_Config_v3!$B$5)),0)</x:f>
        <x:v>708</x:v>
      </x:c>
      <x:c r="J1511" s="18" t="n">
        <x:f>MIN(Model_Config_v3!$B$6,I1511+Model_Config_v3!$B$7)</x:f>
        <x:v>728</x:v>
      </x:c>
      <x:c r="K1511" s="20" t="n">
        <x:v>79.2</x:v>
      </x:c>
      <x:c r="L1511" t="str">
        <x:v>ELITE</x:v>
      </x:c>
      <x:c r="M1511" t="str">
        <x:v>SEDANG+</x:v>
      </x:c>
      <x:c r="N1511" t="str">
        <x:v>ELITE-3</x:v>
      </x:c>
      <x:c r="O1511" t="str">
        <x:v>SOSHUM</x:v>
      </x:c>
      <x:c r="P1511" t="str">
        <x:v>BISNIS/EKONOMI/AKUNTANSI</x:v>
      </x:c>
      <x:c r="Q1511" s="18" t="n">
        <x:v>630</x:v>
      </x:c>
      <x:c r="R1511" s="18" t="n">
        <x:v>0</x:v>
      </x:c>
      <x:c r="S1511" s="18" t="n">
        <x:v>685.9073983956158</x:v>
      </x:c>
      <x:c r="T1511" s="18" t="n">
        <x:v>718</x:v>
      </x:c>
      <x:c r="U1511" s="18" t="n">
        <x:v>700.9073983956158</x:v>
      </x:c>
      <x:c r="V1511" s="20" t="n">
        <x:v>4.4</x:v>
      </x:c>
      <x:c r="W1511" s="20" t="n">
        <x:v>14.3</x:v>
      </x:c>
      <x:c r="X1511" s="20" t="n">
        <x:v>3.3</x:v>
      </x:c>
      <x:c r="Y1511" t="str">
        <x:v>Basis arsip 2025/2024</x:v>
      </x:c>
      <x:c r="Z1511" t="str">
        <x:v>https://snpmb.id/utbk-snbt/daya-tampung-snbt</x:v>
      </x:c>
      <x:c r="AA1511" t="str">
        <x:v>Tidak Ada</x:v>
      </x:c>
      <x:c r="AB1511" t="str">
        <x:v>Campus=80; Ratio=88.8; Prodi=65; RelDemand=100.0; Capacity=60.0</x:v>
      </x:c>
    </x:row>
    <x:row r="1512">
      <x:c r="A1512" t="n">
        <x:v>1509</x:v>
      </x:c>
      <x:c r="B1512" t="str">
        <x:v>PTN Akademik</x:v>
      </x:c>
      <x:c r="C1512" t="str">
        <x:v>UNIVERSITAS JENDERAL SOEDIRMAN</x:v>
      </x:c>
      <x:c r="D1512" t="str">
        <x:v>ADMINISTRASI PERKANTORAN</x:v>
      </x:c>
      <x:c r="E1512" t="str">
        <x:v>Diploma Tiga</x:v>
      </x:c>
      <x:c r="F1512" s="18" t="n">
        <x:v>48</x:v>
      </x:c>
      <x:c r="G1512" s="18" t="n">
        <x:v>2691</x:v>
      </x:c>
      <x:c r="H1512" s="19" t="n">
        <x:v>56.0625</x:v>
      </x:c>
      <x:c r="I1512" s="18" t="n">
        <x:f>ROUND(MIN(Model_Config_v3!$B$6,MAX(Q1512,R1512,S1512*Model_Config_v3!$B$4+T1512*Model_Config_v3!$B$5)),0)</x:f>
        <x:v>714</x:v>
      </x:c>
      <x:c r="J1512" s="18" t="n">
        <x:f>MIN(Model_Config_v3!$B$6,I1512+Model_Config_v3!$B$7)</x:f>
        <x:v>734</x:v>
      </x:c>
      <x:c r="K1512" s="20" t="n">
        <x:v>77</x:v>
      </x:c>
      <x:c r="L1512" t="str">
        <x:v>ELITE</x:v>
      </x:c>
      <x:c r="M1512" t="str">
        <x:v>SEDANG+</x:v>
      </x:c>
      <x:c r="N1512" t="str">
        <x:v>ELITE-3</x:v>
      </x:c>
      <x:c r="O1512" t="str">
        <x:v>SOSHUM</x:v>
      </x:c>
      <x:c r="P1512" t="str">
        <x:v>UMUM</x:v>
      </x:c>
      <x:c r="Q1512" s="18" t="n">
        <x:v>630</x:v>
      </x:c>
      <x:c r="R1512" s="18" t="n">
        <x:v>0</x:v>
      </x:c>
      <x:c r="S1512" s="18" t="n">
        <x:v>712.3539706426984</x:v>
      </x:c>
      <x:c r="T1512" s="18" t="n">
        <x:v>714</x:v>
      </x:c>
      <x:c r="U1512" s="18" t="n">
        <x:v>712.3539706426984</x:v>
      </x:c>
      <x:c r="V1512" s="20" t="n">
        <x:v>4.4</x:v>
      </x:c>
      <x:c r="W1512" s="20" t="n">
        <x:v>14.3</x:v>
      </x:c>
      <x:c r="X1512" s="20" t="n">
        <x:v>3.3</x:v>
      </x:c>
      <x:c r="Y1512" t="str">
        <x:v>Basis arsip 2025/2024</x:v>
      </x:c>
      <x:c r="Z1512" t="str">
        <x:v>https://snpmb.id/utbk-snbt/daya-tampung-snbt</x:v>
      </x:c>
      <x:c r="AA1512" t="str">
        <x:v>Tidak Ada</x:v>
      </x:c>
      <x:c r="AB1512" t="str">
        <x:v>Campus=80; Ratio=100.0; Prodi=40; RelDemand=100.0; Capacity=60.0</x:v>
      </x:c>
    </x:row>
    <x:row r="1513">
      <x:c r="A1513" t="n">
        <x:v>1510</x:v>
      </x:c>
      <x:c r="B1513" t="str">
        <x:v>PTN Akademik</x:v>
      </x:c>
      <x:c r="C1513" t="str">
        <x:v>UNIVERSITAS JENDERAL SOEDIRMAN</x:v>
      </x:c>
      <x:c r="D1513" t="str">
        <x:v>BUDI DAYA TERNAK</x:v>
      </x:c>
      <x:c r="E1513" t="str">
        <x:v>Diploma Tiga</x:v>
      </x:c>
      <x:c r="F1513" s="18" t="n">
        <x:v>92</x:v>
      </x:c>
      <x:c r="G1513" s="18" t="n">
        <x:v>828</x:v>
      </x:c>
      <x:c r="H1513" s="19" t="n">
        <x:v>9</x:v>
      </x:c>
      <x:c r="I1513" s="18" t="n">
        <x:f>ROUND(MIN(Model_Config_v3!$B$6,MAX(Q1513,R1513,S1513*Model_Config_v3!$B$4+T1513*Model_Config_v3!$B$5)),0)</x:f>
        <x:v>657</x:v>
      </x:c>
      <x:c r="J1513" s="18" t="n">
        <x:f>MIN(Model_Config_v3!$B$6,I1513+Model_Config_v3!$B$7)</x:f>
        <x:v>677</x:v>
      </x:c>
      <x:c r="K1513" s="20" t="n">
        <x:v>55.7</x:v>
      </x:c>
      <x:c r="L1513" t="str">
        <x:v>KETAT</x:v>
      </x:c>
      <x:c r="M1513" t="str">
        <x:v>SEDANG+</x:v>
      </x:c>
      <x:c r="N1513" t="str">
        <x:v>ELITE-3</x:v>
      </x:c>
      <x:c r="O1513" t="str">
        <x:v>CAMPURAN</x:v>
      </x:c>
      <x:c r="P1513" t="str">
        <x:v>UMUM</x:v>
      </x:c>
      <x:c r="Q1513" s="18" t="n">
        <x:v>630</x:v>
      </x:c>
      <x:c r="R1513" s="18" t="n">
        <x:v>0</x:v>
      </x:c>
      <x:c r="S1513" s="18" t="n">
        <x:v>624.9666760383258</x:v>
      </x:c>
      <x:c r="T1513" s="18" t="n">
        <x:v>671</x:v>
      </x:c>
      <x:c r="U1513" s="18" t="n">
        <x:v>630</x:v>
      </x:c>
      <x:c r="V1513" s="20" t="n">
        <x:v>8.8</x:v>
      </x:c>
      <x:c r="W1513" s="20" t="n">
        <x:v>9.9</x:v>
      </x:c>
      <x:c r="X1513" s="20" t="n">
        <x:v>3.3</x:v>
      </x:c>
      <x:c r="Y1513" t="str">
        <x:v>Basis arsip 2025/2024</x:v>
      </x:c>
      <x:c r="Z1513" t="str">
        <x:v>https://snpmb.id/utbk-snbt/daya-tampung-snbt</x:v>
      </x:c>
      <x:c r="AA1513" t="str">
        <x:v>Tidak Ada</x:v>
      </x:c>
      <x:c r="AB1513" t="str">
        <x:v>Campus=80; Ratio=56.2; Prodi=40; RelDemand=33.1; Capacity=23.3</x:v>
      </x:c>
    </x:row>
    <x:row r="1514">
      <x:c r="A1514" t="n">
        <x:v>1511</x:v>
      </x:c>
      <x:c r="B1514" t="str">
        <x:v>PTN Akademik</x:v>
      </x:c>
      <x:c r="C1514" t="str">
        <x:v>UNIVERSITAS TIDAR</x:v>
      </x:c>
      <x:c r="D1514" t="str">
        <x:v>AGROTEKNOLOGI</x:v>
      </x:c>
      <x:c r="E1514" t="str">
        <x:v>Sarjana</x:v>
      </x:c>
      <x:c r="F1514" s="18" t="n">
        <x:v>75</x:v>
      </x:c>
      <x:c r="G1514" s="18" t="n">
        <x:v>280</x:v>
      </x:c>
      <x:c r="H1514" s="19" t="n">
        <x:v>3.7333333333333334</x:v>
      </x:c>
      <x:c r="I1514" s="18" t="n">
        <x:f>ROUND(MIN(Model_Config_v3!$B$6,MAX(Q1514,R1514,S1514*Model_Config_v3!$B$4+T1514*Model_Config_v3!$B$5)),0)</x:f>
        <x:v>626</x:v>
      </x:c>
      <x:c r="J1514" s="18" t="n">
        <x:f>MIN(Model_Config_v3!$B$6,I1514+Model_Config_v3!$B$7)</x:f>
        <x:v>646</x:v>
      </x:c>
      <x:c r="K1514" s="20" t="n">
        <x:v>42.4</x:v>
      </x:c>
      <x:c r="L1514" t="str">
        <x:v>RELATIF LONGGAR</x:v>
      </x:c>
      <x:c r="M1514" t="str">
        <x:v>SEDANG</x:v>
      </x:c>
      <x:c r="N1514" t="str">
        <x:v>REGULER</x:v>
      </x:c>
      <x:c r="O1514" t="str">
        <x:v>SAINTEK</x:v>
      </x:c>
      <x:c r="P1514" t="str">
        <x:v>UMUM</x:v>
      </x:c>
      <x:c r="Q1514" s="18" t="n">
        <x:v>0</x:v>
      </x:c>
      <x:c r="R1514" s="18" t="n">
        <x:v>0</x:v>
      </x:c>
      <x:c r="S1514" s="18" t="n">
        <x:v>582.9306444745571</x:v>
      </x:c>
      <x:c r="T1514" s="18" t="n">
        <x:v>645</x:v>
      </x:c>
      <x:c r="U1514" s="18" t="n">
        <x:v>582.9306444745571</x:v>
      </x:c>
      <x:c r="V1514" s="20" t="n">
        <x:v>12</x:v>
      </x:c>
      <x:c r="W1514" s="20" t="n">
        <x:v>5</x:v>
      </x:c>
      <x:c r="X1514" s="20" t="n">
        <x:v>3</x:v>
      </x:c>
      <x:c r="Y1514" t="str">
        <x:v>Basis arsip 2025/2024</x:v>
      </x:c>
      <x:c r="Z1514" t="str">
        <x:v>https://snpmb.id/utbk-snbt/daya-tampung-snbt</x:v>
      </x:c>
      <x:c r="AA1514" t="str">
        <x:v>Tidak Ada</x:v>
      </x:c>
      <x:c r="AB1514" t="str">
        <x:v>Campus=55; Ratio=33.7; Prodi=40; RelDemand=29.8; Capacity=37.5</x:v>
      </x:c>
    </x:row>
    <x:row r="1515">
      <x:c r="A1515" t="n">
        <x:v>1512</x:v>
      </x:c>
      <x:c r="B1515" t="str">
        <x:v>PTN Akademik</x:v>
      </x:c>
      <x:c r="C1515" t="str">
        <x:v>UNIVERSITAS TIDAR</x:v>
      </x:c>
      <x:c r="D1515" t="str">
        <x:v>TEKNIK SIPIL</x:v>
      </x:c>
      <x:c r="E1515" t="str">
        <x:v>Sarjana</x:v>
      </x:c>
      <x:c r="F1515" s="18" t="n">
        <x:v>75</x:v>
      </x:c>
      <x:c r="G1515" s="18" t="n">
        <x:v>397</x:v>
      </x:c>
      <x:c r="H1515" s="19" t="n">
        <x:v>5.293333333333333</x:v>
      </x:c>
      <x:c r="I1515" s="18" t="n">
        <x:f>ROUND(MIN(Model_Config_v3!$B$6,MAX(Q1515,R1515,S1515*Model_Config_v3!$B$4+T1515*Model_Config_v3!$B$5)),0)</x:f>
        <x:v>642</x:v>
      </x:c>
      <x:c r="J1515" s="18" t="n">
        <x:f>MIN(Model_Config_v3!$B$6,I1515+Model_Config_v3!$B$7)</x:f>
        <x:v>662</x:v>
      </x:c>
      <x:c r="K1515" s="20" t="n">
        <x:v>49.9</x:v>
      </x:c>
      <x:c r="L1515" t="str">
        <x:v>MENENGAH</x:v>
      </x:c>
      <x:c r="M1515" t="str">
        <x:v>SEDANG+</x:v>
      </x:c>
      <x:c r="N1515" t="str">
        <x:v>REGULER</x:v>
      </x:c>
      <x:c r="O1515" t="str">
        <x:v>SAINTEK</x:v>
      </x:c>
      <x:c r="P1515" t="str">
        <x:v>TEKNIK/ARSITEKTUR/STATISTIKA/AKTUARIA</x:v>
      </x:c>
      <x:c r="Q1515" s="18" t="n">
        <x:v>0</x:v>
      </x:c>
      <x:c r="R1515" s="18" t="n">
        <x:v>0</x:v>
      </x:c>
      <x:c r="S1515" s="18" t="n">
        <x:v>599.6102167708557</x:v>
      </x:c>
      <x:c r="T1515" s="18" t="n">
        <x:v>660</x:v>
      </x:c>
      <x:c r="U1515" s="18" t="n">
        <x:v>609.6102167708557</x:v>
      </x:c>
      <x:c r="V1515" s="20" t="n">
        <x:v>12</x:v>
      </x:c>
      <x:c r="W1515" s="20" t="n">
        <x:v>5</x:v>
      </x:c>
      <x:c r="X1515" s="20" t="n">
        <x:v>3</x:v>
      </x:c>
      <x:c r="Y1515" t="str">
        <x:v>Basis arsip 2025/2024</x:v>
      </x:c>
      <x:c r="Z1515" t="str">
        <x:v>https://snpmb.id/utbk-snbt/daya-tampung-snbt</x:v>
      </x:c>
      <x:c r="AA1515" t="str">
        <x:v>Tidak Ada</x:v>
      </x:c>
      <x:c r="AB1515" t="str">
        <x:v>Campus=55; Ratio=42.6; Prodi=60; RelDemand=42.2; Capacity=37.5</x:v>
      </x:c>
    </x:row>
    <x:row r="1516">
      <x:c r="A1516" t="n">
        <x:v>1513</x:v>
      </x:c>
      <x:c r="B1516" t="str">
        <x:v>PTN Akademik</x:v>
      </x:c>
      <x:c r="C1516" t="str">
        <x:v>UNIVERSITAS TIDAR</x:v>
      </x:c>
      <x:c r="D1516" t="str">
        <x:v>TEKNIK MESIN</x:v>
      </x:c>
      <x:c r="E1516" t="str">
        <x:v>Sarjana</x:v>
      </x:c>
      <x:c r="F1516" s="18" t="n">
        <x:v>80</x:v>
      </x:c>
      <x:c r="G1516" s="18" t="n">
        <x:v>278</x:v>
      </x:c>
      <x:c r="H1516" s="19" t="n">
        <x:v>3.475</x:v>
      </x:c>
      <x:c r="I1516" s="18" t="n">
        <x:f>ROUND(MIN(Model_Config_v3!$B$6,MAX(Q1516,R1516,S1516*Model_Config_v3!$B$4+T1516*Model_Config_v3!$B$5)),0)</x:f>
        <x:v>630</x:v>
      </x:c>
      <x:c r="J1516" s="18" t="n">
        <x:f>MIN(Model_Config_v3!$B$6,I1516+Model_Config_v3!$B$7)</x:f>
        <x:v>650</x:v>
      </x:c>
      <x:c r="K1516" s="20" t="n">
        <x:v>45.3</x:v>
      </x:c>
      <x:c r="L1516" t="str">
        <x:v>MENENGAH</x:v>
      </x:c>
      <x:c r="M1516" t="str">
        <x:v>SEDANG+</x:v>
      </x:c>
      <x:c r="N1516" t="str">
        <x:v>REGULER</x:v>
      </x:c>
      <x:c r="O1516" t="str">
        <x:v>SAINTEK</x:v>
      </x:c>
      <x:c r="P1516" t="str">
        <x:v>TEKNIK/ARSITEKTUR/STATISTIKA/AKTUARIA</x:v>
      </x:c>
      <x:c r="Q1516" s="18" t="n">
        <x:v>0</x:v>
      </x:c>
      <x:c r="R1516" s="18" t="n">
        <x:v>0</x:v>
      </x:c>
      <x:c r="S1516" s="18" t="n">
        <x:v>579.5050289818746</x:v>
      </x:c>
      <x:c r="T1516" s="18" t="n">
        <x:v>651</x:v>
      </x:c>
      <x:c r="U1516" s="18" t="n">
        <x:v>589.5050289818746</x:v>
      </x:c>
      <x:c r="V1516" s="20" t="n">
        <x:v>12</x:v>
      </x:c>
      <x:c r="W1516" s="20" t="n">
        <x:v>5</x:v>
      </x:c>
      <x:c r="X1516" s="20" t="n">
        <x:v>3</x:v>
      </x:c>
      <x:c r="Y1516" t="str">
        <x:v>Basis arsip 2025/2024</x:v>
      </x:c>
      <x:c r="Z1516" t="str">
        <x:v>https://snpmb.id/utbk-snbt/daya-tampung-snbt</x:v>
      </x:c>
      <x:c r="AA1516" t="str">
        <x:v>Tidak Ada</x:v>
      </x:c>
      <x:c r="AB1516" t="str">
        <x:v>Campus=55; Ratio=31.8; Prodi=60; RelDemand=27.7; Capacity=33.3</x:v>
      </x:c>
    </x:row>
    <x:row r="1517">
      <x:c r="A1517" t="n">
        <x:v>1514</x:v>
      </x:c>
      <x:c r="B1517" t="str">
        <x:v>PTN Akademik</x:v>
      </x:c>
      <x:c r="C1517" t="str">
        <x:v>UNIVERSITAS TIDAR</x:v>
      </x:c>
      <x:c r="D1517" t="str">
        <x:v>TEKNIK ELEKTRO</x:v>
      </x:c>
      <x:c r="E1517" t="str">
        <x:v>Sarjana</x:v>
      </x:c>
      <x:c r="F1517" s="18" t="n">
        <x:v>60</x:v>
      </x:c>
      <x:c r="G1517" s="18" t="n">
        <x:v>217</x:v>
      </x:c>
      <x:c r="H1517" s="19" t="n">
        <x:v>3.6166666666666667</x:v>
      </x:c>
      <x:c r="I1517" s="18" t="n">
        <x:f>ROUND(MIN(Model_Config_v3!$B$6,MAX(Q1517,R1517,S1517*Model_Config_v3!$B$4+T1517*Model_Config_v3!$B$5)),0)</x:f>
        <x:v>633</x:v>
      </x:c>
      <x:c r="J1517" s="18" t="n">
        <x:f>MIN(Model_Config_v3!$B$6,I1517+Model_Config_v3!$B$7)</x:f>
        <x:v>653</x:v>
      </x:c>
      <x:c r="K1517" s="20" t="n">
        <x:v>47.3</x:v>
      </x:c>
      <x:c r="L1517" t="str">
        <x:v>MENENGAH</x:v>
      </x:c>
      <x:c r="M1517" t="str">
        <x:v>SEDANG+</x:v>
      </x:c>
      <x:c r="N1517" t="str">
        <x:v>REGULER</x:v>
      </x:c>
      <x:c r="O1517" t="str">
        <x:v>SAINTEK</x:v>
      </x:c>
      <x:c r="P1517" t="str">
        <x:v>TEKNIK/ARSITEKTUR/STATISTIKA/AKTUARIA</x:v>
      </x:c>
      <x:c r="Q1517" s="18" t="n">
        <x:v>0</x:v>
      </x:c>
      <x:c r="R1517" s="18" t="n">
        <x:v>0</x:v>
      </x:c>
      <x:c r="S1517" s="18" t="n">
        <x:v>581.4139331811374</x:v>
      </x:c>
      <x:c r="T1517" s="18" t="n">
        <x:v>655</x:v>
      </x:c>
      <x:c r="U1517" s="18" t="n">
        <x:v>591.4139331811374</x:v>
      </x:c>
      <x:c r="V1517" s="20" t="n">
        <x:v>12</x:v>
      </x:c>
      <x:c r="W1517" s="20" t="n">
        <x:v>5</x:v>
      </x:c>
      <x:c r="X1517" s="20" t="n">
        <x:v>3</x:v>
      </x:c>
      <x:c r="Y1517" t="str">
        <x:v>Basis arsip 2025/2024</x:v>
      </x:c>
      <x:c r="Z1517" t="str">
        <x:v>https://snpmb.id/utbk-snbt/daya-tampung-snbt</x:v>
      </x:c>
      <x:c r="AA1517" t="str">
        <x:v>Tidak Ada</x:v>
      </x:c>
      <x:c r="AB1517" t="str">
        <x:v>Campus=55; Ratio=32.9; Prodi=60; RelDemand=28.8; Capacity=50.0</x:v>
      </x:c>
    </x:row>
    <x:row r="1518">
      <x:c r="A1518" t="n">
        <x:v>1515</x:v>
      </x:c>
      <x:c r="B1518" t="str">
        <x:v>PTN Akademik</x:v>
      </x:c>
      <x:c r="C1518" t="str">
        <x:v>UNIVERSITAS TIDAR</x:v>
      </x:c>
      <x:c r="D1518" t="str">
        <x:v>PETERNAKAN</x:v>
      </x:c>
      <x:c r="E1518" t="str">
        <x:v>Sarjana</x:v>
      </x:c>
      <x:c r="F1518" s="18" t="n">
        <x:v>75</x:v>
      </x:c>
      <x:c r="G1518" s="18" t="n">
        <x:v>267</x:v>
      </x:c>
      <x:c r="H1518" s="19" t="n">
        <x:v>3.56</x:v>
      </x:c>
      <x:c r="I1518" s="18" t="n">
        <x:f>ROUND(MIN(Model_Config_v3!$B$6,MAX(Q1518,R1518,S1518*Model_Config_v3!$B$4+T1518*Model_Config_v3!$B$5)),0)</x:f>
        <x:v>625</x:v>
      </x:c>
      <x:c r="J1518" s="18" t="n">
        <x:f>MIN(Model_Config_v3!$B$6,I1518+Model_Config_v3!$B$7)</x:f>
        <x:v>645</x:v>
      </x:c>
      <x:c r="K1518" s="20" t="n">
        <x:v>42</x:v>
      </x:c>
      <x:c r="L1518" t="str">
        <x:v>RELATIF LONGGAR</x:v>
      </x:c>
      <x:c r="M1518" t="str">
        <x:v>SEDANG</x:v>
      </x:c>
      <x:c r="N1518" t="str">
        <x:v>REGULER</x:v>
      </x:c>
      <x:c r="O1518" t="str">
        <x:v>SAINTEK</x:v>
      </x:c>
      <x:c r="P1518" t="str">
        <x:v>UMUM</x:v>
      </x:c>
      <x:c r="Q1518" s="18" t="n">
        <x:v>0</x:v>
      </x:c>
      <x:c r="R1518" s="18" t="n">
        <x:v>0</x:v>
      </x:c>
      <x:c r="S1518" s="18" t="n">
        <x:v>580.6594997770162</x:v>
      </x:c>
      <x:c r="T1518" s="18" t="n">
        <x:v>644</x:v>
      </x:c>
      <x:c r="U1518" s="18" t="n">
        <x:v>580.6594997770162</x:v>
      </x:c>
      <x:c r="V1518" s="20" t="n">
        <x:v>12</x:v>
      </x:c>
      <x:c r="W1518" s="20" t="n">
        <x:v>5</x:v>
      </x:c>
      <x:c r="X1518" s="20" t="n">
        <x:v>3</x:v>
      </x:c>
      <x:c r="Y1518" t="str">
        <x:v>Basis arsip 2025/2024</x:v>
      </x:c>
      <x:c r="Z1518" t="str">
        <x:v>https://snpmb.id/utbk-snbt/daya-tampung-snbt</x:v>
      </x:c>
      <x:c r="AA1518" t="str">
        <x:v>Tidak Ada</x:v>
      </x:c>
      <x:c r="AB1518" t="str">
        <x:v>Campus=55; Ratio=32.5; Prodi=40; RelDemand=28.4; Capacity=37.5</x:v>
      </x:c>
    </x:row>
    <x:row r="1519">
      <x:c r="A1519" t="n">
        <x:v>1516</x:v>
      </x:c>
      <x:c r="B1519" t="str">
        <x:v>PTN Akademik</x:v>
      </x:c>
      <x:c r="C1519" t="str">
        <x:v>UNIVERSITAS TIDAR</x:v>
      </x:c>
      <x:c r="D1519" t="str">
        <x:v>PENDIDIKAN ILMU PENGETAHUAN ALAM</x:v>
      </x:c>
      <x:c r="E1519" t="str">
        <x:v>Sarjana</x:v>
      </x:c>
      <x:c r="F1519" s="18" t="n">
        <x:v>80</x:v>
      </x:c>
      <x:c r="G1519" s="18" t="n">
        <x:v>234</x:v>
      </x:c>
      <x:c r="H1519" s="19" t="n">
        <x:v>2.925</x:v>
      </x:c>
      <x:c r="I1519" s="18" t="n">
        <x:f>ROUND(MIN(Model_Config_v3!$B$6,MAX(Q1519,R1519,S1519*Model_Config_v3!$B$4+T1519*Model_Config_v3!$B$5)),0)</x:f>
        <x:v>621</x:v>
      </x:c>
      <x:c r="J1519" s="18" t="n">
        <x:f>MIN(Model_Config_v3!$B$6,I1519+Model_Config_v3!$B$7)</x:f>
        <x:v>641</x:v>
      </x:c>
      <x:c r="K1519" s="20" t="n">
        <x:v>40.8</x:v>
      </x:c>
      <x:c r="L1519" t="str">
        <x:v>RELATIF LONGGAR</x:v>
      </x:c>
      <x:c r="M1519" t="str">
        <x:v>SEDANG+</x:v>
      </x:c>
      <x:c r="N1519" t="str">
        <x:v>REGULER</x:v>
      </x:c>
      <x:c r="O1519" t="str">
        <x:v>CAMPURAN</x:v>
      </x:c>
      <x:c r="P1519" t="str">
        <x:v>PENDIDIKAN</x:v>
      </x:c>
      <x:c r="Q1519" s="18" t="n">
        <x:v>0</x:v>
      </x:c>
      <x:c r="R1519" s="18" t="n">
        <x:v>0</x:v>
      </x:c>
      <x:c r="S1519" s="18" t="n">
        <x:v>571.2738457460019</x:v>
      </x:c>
      <x:c r="T1519" s="18" t="n">
        <x:v>642</x:v>
      </x:c>
      <x:c r="U1519" s="18" t="n">
        <x:v>571.2738457460019</x:v>
      </x:c>
      <x:c r="V1519" s="20" t="n">
        <x:v>8.8</x:v>
      </x:c>
      <x:c r="W1519" s="20" t="n">
        <x:v>9.9</x:v>
      </x:c>
      <x:c r="X1519" s="20" t="n">
        <x:v>3.3</x:v>
      </x:c>
      <x:c r="Y1519" t="str">
        <x:v>Basis arsip 2025/2024</x:v>
      </x:c>
      <x:c r="Z1519" t="str">
        <x:v>https://snpmb.id/utbk-snbt/daya-tampung-snbt</x:v>
      </x:c>
      <x:c r="AA1519" t="str">
        <x:v>Tidak Ada</x:v>
      </x:c>
      <x:c r="AB1519" t="str">
        <x:v>Campus=55; Ratio=27.4; Prodi=45; RelDemand=23.3; Capacity=33.3</x:v>
      </x:c>
    </x:row>
    <x:row r="1520">
      <x:c r="A1520" t="n">
        <x:v>1517</x:v>
      </x:c>
      <x:c r="B1520" t="str">
        <x:v>PTN Akademik</x:v>
      </x:c>
      <x:c r="C1520" t="str">
        <x:v>UNIVERSITAS TIDAR</x:v>
      </x:c>
      <x:c r="D1520" t="str">
        <x:v>PENDIDIKAN BIOLOGI</x:v>
      </x:c>
      <x:c r="E1520" t="str">
        <x:v>Sarjana</x:v>
      </x:c>
      <x:c r="F1520" s="18" t="n">
        <x:v>80</x:v>
      </x:c>
      <x:c r="G1520" s="18" t="n">
        <x:v>185</x:v>
      </x:c>
      <x:c r="H1520" s="19" t="n">
        <x:v>2.3125</x:v>
      </x:c>
      <x:c r="I1520" s="18" t="n">
        <x:f>ROUND(MIN(Model_Config_v3!$B$6,MAX(Q1520,R1520,S1520*Model_Config_v3!$B$4+T1520*Model_Config_v3!$B$5)),0)</x:f>
        <x:v>615</x:v>
      </x:c>
      <x:c r="J1520" s="18" t="n">
        <x:f>MIN(Model_Config_v3!$B$6,I1520+Model_Config_v3!$B$7)</x:f>
        <x:v>635</x:v>
      </x:c>
      <x:c r="K1520" s="20" t="n">
        <x:v>38.8</x:v>
      </x:c>
      <x:c r="L1520" t="str">
        <x:v>RELATIF LONGGAR</x:v>
      </x:c>
      <x:c r="M1520" t="str">
        <x:v>SEDANG+</x:v>
      </x:c>
      <x:c r="N1520" t="str">
        <x:v>REGULER</x:v>
      </x:c>
      <x:c r="O1520" t="str">
        <x:v>SAINTEK</x:v>
      </x:c>
      <x:c r="P1520" t="str">
        <x:v>PENDIDIKAN</x:v>
      </x:c>
      <x:c r="Q1520" s="18" t="n">
        <x:v>0</x:v>
      </x:c>
      <x:c r="R1520" s="18" t="n">
        <x:v>0</x:v>
      </x:c>
      <x:c r="S1520" s="18" t="n">
        <x:v>560.0489915552178</x:v>
      </x:c>
      <x:c r="T1520" s="18" t="n">
        <x:v>638</x:v>
      </x:c>
      <x:c r="U1520" s="18" t="n">
        <x:v>560.0489915552178</x:v>
      </x:c>
      <x:c r="V1520" s="20" t="n">
        <x:v>12</x:v>
      </x:c>
      <x:c r="W1520" s="20" t="n">
        <x:v>5</x:v>
      </x:c>
      <x:c r="X1520" s="20" t="n">
        <x:v>3</x:v>
      </x:c>
      <x:c r="Y1520" t="str">
        <x:v>Basis arsip 2025/2024</x:v>
      </x:c>
      <x:c r="Z1520" t="str">
        <x:v>https://snpmb.id/utbk-snbt/daya-tampung-snbt</x:v>
      </x:c>
      <x:c r="AA1520" t="str">
        <x:v>Tidak Ada</x:v>
      </x:c>
      <x:c r="AB1520" t="str">
        <x:v>Campus=55; Ratio=21.4; Prodi=45; RelDemand=18.4; Capacity=33.3</x:v>
      </x:c>
    </x:row>
    <x:row r="1521">
      <x:c r="A1521" t="n">
        <x:v>1518</x:v>
      </x:c>
      <x:c r="B1521" t="str">
        <x:v>PTN Akademik</x:v>
      </x:c>
      <x:c r="C1521" t="str">
        <x:v>UNIVERSITAS TIDAR</x:v>
      </x:c>
      <x:c r="D1521" t="str">
        <x:v>PENDIDIKAN MATEMATIKA</x:v>
      </x:c>
      <x:c r="E1521" t="str">
        <x:v>Sarjana</x:v>
      </x:c>
      <x:c r="F1521" s="18" t="n">
        <x:v>80</x:v>
      </x:c>
      <x:c r="G1521" s="18" t="n">
        <x:v>218</x:v>
      </x:c>
      <x:c r="H1521" s="19" t="n">
        <x:v>2.725</x:v>
      </x:c>
      <x:c r="I1521" s="18" t="n">
        <x:f>ROUND(MIN(Model_Config_v3!$B$6,MAX(Q1521,R1521,S1521*Model_Config_v3!$B$4+T1521*Model_Config_v3!$B$5)),0)</x:f>
        <x:v>618</x:v>
      </x:c>
      <x:c r="J1521" s="18" t="n">
        <x:f>MIN(Model_Config_v3!$B$6,I1521+Model_Config_v3!$B$7)</x:f>
        <x:v>638</x:v>
      </x:c>
      <x:c r="K1521" s="20" t="n">
        <x:v>40.2</x:v>
      </x:c>
      <x:c r="L1521" t="str">
        <x:v>RELATIF LONGGAR</x:v>
      </x:c>
      <x:c r="M1521" t="str">
        <x:v>SEDANG+</x:v>
      </x:c>
      <x:c r="N1521" t="str">
        <x:v>REGULER</x:v>
      </x:c>
      <x:c r="O1521" t="str">
        <x:v>SAINTEK</x:v>
      </x:c>
      <x:c r="P1521" t="str">
        <x:v>PENDIDIKAN</x:v>
      </x:c>
      <x:c r="Q1521" s="18" t="n">
        <x:v>0</x:v>
      </x:c>
      <x:c r="R1521" s="18" t="n">
        <x:v>0</x:v>
      </x:c>
      <x:c r="S1521" s="18" t="n">
        <x:v>567.8903157273927</x:v>
      </x:c>
      <x:c r="T1521" s="18" t="n">
        <x:v>640</x:v>
      </x:c>
      <x:c r="U1521" s="18" t="n">
        <x:v>567.8903157273927</x:v>
      </x:c>
      <x:c r="V1521" s="20" t="n">
        <x:v>12</x:v>
      </x:c>
      <x:c r="W1521" s="20" t="n">
        <x:v>5</x:v>
      </x:c>
      <x:c r="X1521" s="20" t="n">
        <x:v>3</x:v>
      </x:c>
      <x:c r="Y1521" t="str">
        <x:v>Basis arsip 2025/2024</x:v>
      </x:c>
      <x:c r="Z1521" t="str">
        <x:v>https://snpmb.id/utbk-snbt/daya-tampung-snbt</x:v>
      </x:c>
      <x:c r="AA1521" t="str">
        <x:v>Tidak Ada</x:v>
      </x:c>
      <x:c r="AB1521" t="str">
        <x:v>Campus=55; Ratio=25.6; Prodi=45; RelDemand=21.7; Capacity=33.3</x:v>
      </x:c>
    </x:row>
    <x:row r="1522">
      <x:c r="A1522" t="n">
        <x:v>1519</x:v>
      </x:c>
      <x:c r="B1522" t="str">
        <x:v>PTN Akademik</x:v>
      </x:c>
      <x:c r="C1522" t="str">
        <x:v>UNIVERSITAS TIDAR</x:v>
      </x:c>
      <x:c r="D1522" t="str">
        <x:v>AKUAKULTUR</x:v>
      </x:c>
      <x:c r="E1522" t="str">
        <x:v>Sarjana</x:v>
      </x:c>
      <x:c r="F1522" s="18" t="n">
        <x:v>75</x:v>
      </x:c>
      <x:c r="G1522" s="18" t="n">
        <x:v>154</x:v>
      </x:c>
      <x:c r="H1522" s="19" t="n">
        <x:v>2.0533333333333332</x:v>
      </x:c>
      <x:c r="I1522" s="18" t="n">
        <x:f>ROUND(MIN(Model_Config_v3!$B$6,MAX(Q1522,R1522,S1522*Model_Config_v3!$B$4+T1522*Model_Config_v3!$B$5)),0)</x:f>
        <x:v>610</x:v>
      </x:c>
      <x:c r="J1522" s="18" t="n">
        <x:f>MIN(Model_Config_v3!$B$6,I1522+Model_Config_v3!$B$7)</x:f>
        <x:v>630</x:v>
      </x:c>
      <x:c r="K1522" s="20" t="n">
        <x:v>37.2</x:v>
      </x:c>
      <x:c r="L1522" t="str">
        <x:v>RELATIF LONGGAR</x:v>
      </x:c>
      <x:c r="M1522" t="str">
        <x:v>SEDANG</x:v>
      </x:c>
      <x:c r="N1522" t="str">
        <x:v>REGULER</x:v>
      </x:c>
      <x:c r="O1522" t="str">
        <x:v>CAMPURAN</x:v>
      </x:c>
      <x:c r="P1522" t="str">
        <x:v>UMUM</x:v>
      </x:c>
      <x:c r="Q1522" s="18" t="n">
        <x:v>0</x:v>
      </x:c>
      <x:c r="R1522" s="18" t="n">
        <x:v>0</x:v>
      </x:c>
      <x:c r="S1522" s="18" t="n">
        <x:v>554.3705403189239</x:v>
      </x:c>
      <x:c r="T1522" s="18" t="n">
        <x:v>634</x:v>
      </x:c>
      <x:c r="U1522" s="18" t="n">
        <x:v>554.3705403189239</x:v>
      </x:c>
      <x:c r="V1522" s="20" t="n">
        <x:v>8.8</x:v>
      </x:c>
      <x:c r="W1522" s="20" t="n">
        <x:v>9.9</x:v>
      </x:c>
      <x:c r="X1522" s="20" t="n">
        <x:v>3.3</x:v>
      </x:c>
      <x:c r="Y1522" t="str">
        <x:v>Basis arsip 2025/2024</x:v>
      </x:c>
      <x:c r="Z1522" t="str">
        <x:v>https://snpmb.id/utbk-snbt/daya-tampung-snbt</x:v>
      </x:c>
      <x:c r="AA1522" t="str">
        <x:v>Tidak Ada</x:v>
      </x:c>
      <x:c r="AB1522" t="str">
        <x:v>Campus=55; Ratio=18.4; Prodi=40; RelDemand=16.4; Capacity=37.5</x:v>
      </x:c>
    </x:row>
    <x:row r="1523">
      <x:c r="A1523" t="n">
        <x:v>1520</x:v>
      </x:c>
      <x:c r="B1523" t="str">
        <x:v>PTN Akademik</x:v>
      </x:c>
      <x:c r="C1523" t="str">
        <x:v>UNIVERSITAS TIDAR</x:v>
      </x:c>
      <x:c r="D1523" t="str">
        <x:v>EKONOMI PEMBANGUNAN</x:v>
      </x:c>
      <x:c r="E1523" t="str">
        <x:v>Sarjana</x:v>
      </x:c>
      <x:c r="F1523" s="18" t="n">
        <x:v>120</x:v>
      </x:c>
      <x:c r="G1523" s="18" t="n">
        <x:v>400</x:v>
      </x:c>
      <x:c r="H1523" s="19" t="n">
        <x:v>3.3333333333333335</x:v>
      </x:c>
      <x:c r="I1523" s="18" t="n">
        <x:f>ROUND(MIN(Model_Config_v3!$B$6,MAX(Q1523,R1523,S1523*Model_Config_v3!$B$4+T1523*Model_Config_v3!$B$5)),0)</x:f>
        <x:v>625</x:v>
      </x:c>
      <x:c r="J1523" s="18" t="n">
        <x:f>MIN(Model_Config_v3!$B$6,I1523+Model_Config_v3!$B$7)</x:f>
        <x:v>645</x:v>
      </x:c>
      <x:c r="K1523" s="20" t="n">
        <x:v>42.6</x:v>
      </x:c>
      <x:c r="L1523" t="str">
        <x:v>RELATIF LONGGAR</x:v>
      </x:c>
      <x:c r="M1523" t="str">
        <x:v>SEDANG+</x:v>
      </x:c>
      <x:c r="N1523" t="str">
        <x:v>REGULER</x:v>
      </x:c>
      <x:c r="O1523" t="str">
        <x:v>SOSHUM</x:v>
      </x:c>
      <x:c r="P1523" t="str">
        <x:v>BISNIS/EKONOMI/AKUNTANSI</x:v>
      </x:c>
      <x:c r="Q1523" s="18" t="n">
        <x:v>0</x:v>
      </x:c>
      <x:c r="R1523" s="18" t="n">
        <x:v>0</x:v>
      </x:c>
      <x:c r="S1523" s="18" t="n">
        <x:v>577.5166619808372</x:v>
      </x:c>
      <x:c r="T1523" s="18" t="n">
        <x:v>645</x:v>
      </x:c>
      <x:c r="U1523" s="18" t="n">
        <x:v>577.5166619808372</x:v>
      </x:c>
      <x:c r="V1523" s="20" t="n">
        <x:v>4.4</x:v>
      </x:c>
      <x:c r="W1523" s="20" t="n">
        <x:v>14.3</x:v>
      </x:c>
      <x:c r="X1523" s="20" t="n">
        <x:v>3.3</x:v>
      </x:c>
      <x:c r="Y1523" t="str">
        <x:v>Basis arsip 2025/2024</x:v>
      </x:c>
      <x:c r="Z1523" t="str">
        <x:v>https://snpmb.id/utbk-snbt/daya-tampung-snbt</x:v>
      </x:c>
      <x:c r="AA1523" t="str">
        <x:v>Tidak Ada</x:v>
      </x:c>
      <x:c r="AB1523" t="str">
        <x:v>Campus=55; Ratio=30.8; Prodi=65; RelDemand=26.6; Capacity=0.0</x:v>
      </x:c>
    </x:row>
    <x:row r="1524">
      <x:c r="A1524" t="n">
        <x:v>1521</x:v>
      </x:c>
      <x:c r="B1524" t="str">
        <x:v>PTN Akademik</x:v>
      </x:c>
      <x:c r="C1524" t="str">
        <x:v>UNIVERSITAS TIDAR</x:v>
      </x:c>
      <x:c r="D1524" t="str">
        <x:v>ILMU ADMINISTRASI NEGARA</x:v>
      </x:c>
      <x:c r="E1524" t="str">
        <x:v>Sarjana</x:v>
      </x:c>
      <x:c r="F1524" s="18" t="n">
        <x:v>100</x:v>
      </x:c>
      <x:c r="G1524" s="18" t="n">
        <x:v>621</x:v>
      </x:c>
      <x:c r="H1524" s="19" t="n">
        <x:v>6.21</x:v>
      </x:c>
      <x:c r="I1524" s="18" t="n">
        <x:f>ROUND(MIN(Model_Config_v3!$B$6,MAX(Q1524,R1524,S1524*Model_Config_v3!$B$4+T1524*Model_Config_v3!$B$5)),0)</x:f>
        <x:v>638</x:v>
      </x:c>
      <x:c r="J1524" s="18" t="n">
        <x:f>MIN(Model_Config_v3!$B$6,I1524+Model_Config_v3!$B$7)</x:f>
        <x:v>658</x:v>
      </x:c>
      <x:c r="K1524" s="20" t="n">
        <x:v>45.5</x:v>
      </x:c>
      <x:c r="L1524" t="str">
        <x:v>MENENGAH</x:v>
      </x:c>
      <x:c r="M1524" t="str">
        <x:v>SEDANG</x:v>
      </x:c>
      <x:c r="N1524" t="str">
        <x:v>REGULER</x:v>
      </x:c>
      <x:c r="O1524" t="str">
        <x:v>SOSHUM</x:v>
      </x:c>
      <x:c r="P1524" t="str">
        <x:v>UMUM</x:v>
      </x:c>
      <x:c r="Q1524" s="18" t="n">
        <x:v>0</x:v>
      </x:c>
      <x:c r="R1524" s="18" t="n">
        <x:v>0</x:v>
      </x:c>
      <x:c r="S1524" s="18" t="n">
        <x:v>607.2400760194238</x:v>
      </x:c>
      <x:c r="T1524" s="18" t="n">
        <x:v>651</x:v>
      </x:c>
      <x:c r="U1524" s="18" t="n">
        <x:v>607.2400760194238</x:v>
      </x:c>
      <x:c r="V1524" s="20" t="n">
        <x:v>4.4</x:v>
      </x:c>
      <x:c r="W1524" s="20" t="n">
        <x:v>14.3</x:v>
      </x:c>
      <x:c r="X1524" s="20" t="n">
        <x:v>3.3</x:v>
      </x:c>
      <x:c r="Y1524" t="str">
        <x:v>Basis arsip 2025/2024</x:v>
      </x:c>
      <x:c r="Z1524" t="str">
        <x:v>https://snpmb.id/utbk-snbt/daya-tampung-snbt</x:v>
      </x:c>
      <x:c r="AA1524" t="str">
        <x:v>Tidak Ada</x:v>
      </x:c>
      <x:c r="AB1524" t="str">
        <x:v>Campus=55; Ratio=46.7; Prodi=40; RelDemand=49.5; Capacity=16.7</x:v>
      </x:c>
    </x:row>
    <x:row r="1525">
      <x:c r="A1525" t="n">
        <x:v>1522</x:v>
      </x:c>
      <x:c r="B1525" t="str">
        <x:v>PTN Akademik</x:v>
      </x:c>
      <x:c r="C1525" t="str">
        <x:v>UNIVERSITAS TIDAR</x:v>
      </x:c>
      <x:c r="D1525" t="str">
        <x:v>PENDIDIKAN BAHASA INGGRIS</x:v>
      </x:c>
      <x:c r="E1525" t="str">
        <x:v>Sarjana</x:v>
      </x:c>
      <x:c r="F1525" s="18" t="n">
        <x:v>100</x:v>
      </x:c>
      <x:c r="G1525" s="18" t="n">
        <x:v>335</x:v>
      </x:c>
      <x:c r="H1525" s="19" t="n">
        <x:v>3.35</x:v>
      </x:c>
      <x:c r="I1525" s="18" t="n">
        <x:f>ROUND(MIN(Model_Config_v3!$B$6,MAX(Q1525,R1525,S1525*Model_Config_v3!$B$4+T1525*Model_Config_v3!$B$5)),0)</x:f>
        <x:v>622</x:v>
      </x:c>
      <x:c r="J1525" s="18" t="n">
        <x:f>MIN(Model_Config_v3!$B$6,I1525+Model_Config_v3!$B$7)</x:f>
        <x:v>642</x:v>
      </x:c>
      <x:c r="K1525" s="20" t="n">
        <x:v>40.3</x:v>
      </x:c>
      <x:c r="L1525" t="str">
        <x:v>RELATIF LONGGAR</x:v>
      </x:c>
      <x:c r="M1525" t="str">
        <x:v>SEDANG+</x:v>
      </x:c>
      <x:c r="N1525" t="str">
        <x:v>REGULER</x:v>
      </x:c>
      <x:c r="O1525" t="str">
        <x:v>SOSHUM</x:v>
      </x:c>
      <x:c r="P1525" t="str">
        <x:v>PENDIDIKAN</x:v>
      </x:c>
      <x:c r="Q1525" s="18" t="n">
        <x:v>0</x:v>
      </x:c>
      <x:c r="R1525" s="18" t="n">
        <x:v>0</x:v>
      </x:c>
      <x:c r="S1525" s="18" t="n">
        <x:v>577.7549287740529</x:v>
      </x:c>
      <x:c r="T1525" s="18" t="n">
        <x:v>641</x:v>
      </x:c>
      <x:c r="U1525" s="18" t="n">
        <x:v>577.7549287740529</x:v>
      </x:c>
      <x:c r="V1525" s="20" t="n">
        <x:v>4.4</x:v>
      </x:c>
      <x:c r="W1525" s="20" t="n">
        <x:v>14.3</x:v>
      </x:c>
      <x:c r="X1525" s="20" t="n">
        <x:v>3.3</x:v>
      </x:c>
      <x:c r="Y1525" t="str">
        <x:v>Basis arsip 2025/2024</x:v>
      </x:c>
      <x:c r="Z1525" t="str">
        <x:v>https://snpmb.id/utbk-snbt/daya-tampung-snbt</x:v>
      </x:c>
      <x:c r="AA1525" t="str">
        <x:v>Tidak Ada</x:v>
      </x:c>
      <x:c r="AB1525" t="str">
        <x:v>Campus=55; Ratio=30.9; Prodi=45; RelDemand=26.7; Capacity=16.7</x:v>
      </x:c>
    </x:row>
    <x:row r="1526">
      <x:c r="A1526" t="n">
        <x:v>1523</x:v>
      </x:c>
      <x:c r="B1526" t="str">
        <x:v>PTN Akademik</x:v>
      </x:c>
      <x:c r="C1526" t="str">
        <x:v>UNIVERSITAS TIDAR</x:v>
      </x:c>
      <x:c r="D1526" t="str">
        <x:v>PENDIDIKAN BAHASA DAN SASTRA INDONESIA</x:v>
      </x:c>
      <x:c r="E1526" t="str">
        <x:v>Sarjana</x:v>
      </x:c>
      <x:c r="F1526" s="18" t="n">
        <x:v>100</x:v>
      </x:c>
      <x:c r="G1526" s="18" t="n">
        <x:v>520</x:v>
      </x:c>
      <x:c r="H1526" s="19" t="n">
        <x:v>5.2</x:v>
      </x:c>
      <x:c r="I1526" s="18" t="n">
        <x:f>ROUND(MIN(Model_Config_v3!$B$6,MAX(Q1526,R1526,S1526*Model_Config_v3!$B$4+T1526*Model_Config_v3!$B$5)),0)</x:f>
        <x:v>634</x:v>
      </x:c>
      <x:c r="J1526" s="18" t="n">
        <x:f>MIN(Model_Config_v3!$B$6,I1526+Model_Config_v3!$B$7)</x:f>
        <x:v>654</x:v>
      </x:c>
      <x:c r="K1526" s="20" t="n">
        <x:v>44.6</x:v>
      </x:c>
      <x:c r="L1526" t="str">
        <x:v>RELATIF LONGGAR</x:v>
      </x:c>
      <x:c r="M1526" t="str">
        <x:v>SEDANG+</x:v>
      </x:c>
      <x:c r="N1526" t="str">
        <x:v>REGULER</x:v>
      </x:c>
      <x:c r="O1526" t="str">
        <x:v>SOSHUM</x:v>
      </x:c>
      <x:c r="P1526" t="str">
        <x:v>PENDIDIKAN</x:v>
      </x:c>
      <x:c r="Q1526" s="18" t="n">
        <x:v>0</x:v>
      </x:c>
      <x:c r="R1526" s="18" t="n">
        <x:v>0</x:v>
      </x:c>
      <x:c r="S1526" s="18" t="n">
        <x:v>598.7603677998279</x:v>
      </x:c>
      <x:c r="T1526" s="18" t="n">
        <x:v>649</x:v>
      </x:c>
      <x:c r="U1526" s="18" t="n">
        <x:v>598.7603677998279</x:v>
      </x:c>
      <x:c r="V1526" s="20" t="n">
        <x:v>4.4</x:v>
      </x:c>
      <x:c r="W1526" s="20" t="n">
        <x:v>14.3</x:v>
      </x:c>
      <x:c r="X1526" s="20" t="n">
        <x:v>3.3</x:v>
      </x:c>
      <x:c r="Y1526" t="str">
        <x:v>Basis arsip 2025/2024</x:v>
      </x:c>
      <x:c r="Z1526" t="str">
        <x:v>https://snpmb.id/utbk-snbt/daya-tampung-snbt</x:v>
      </x:c>
      <x:c r="AA1526" t="str">
        <x:v>Tidak Ada</x:v>
      </x:c>
      <x:c r="AB1526" t="str">
        <x:v>Campus=55; Ratio=42.1; Prodi=45; RelDemand=41.5; Capacity=16.7</x:v>
      </x:c>
    </x:row>
    <x:row r="1527">
      <x:c r="A1527" t="n">
        <x:v>1524</x:v>
      </x:c>
      <x:c r="B1527" t="str">
        <x:v>PTN Akademik</x:v>
      </x:c>
      <x:c r="C1527" t="str">
        <x:v>UNIVERSITAS TIDAR</x:v>
      </x:c>
      <x:c r="D1527" t="str">
        <x:v>HUKUM</x:v>
      </x:c>
      <x:c r="E1527" t="str">
        <x:v>Sarjana</x:v>
      </x:c>
      <x:c r="F1527" s="18" t="n">
        <x:v>100</x:v>
      </x:c>
      <x:c r="G1527" s="18" t="n">
        <x:v>699</x:v>
      </x:c>
      <x:c r="H1527" s="19" t="n">
        <x:v>6.99</x:v>
      </x:c>
      <x:c r="I1527" s="18" t="n">
        <x:f>ROUND(MIN(Model_Config_v3!$B$6,MAX(Q1527,R1527,S1527*Model_Config_v3!$B$4+T1527*Model_Config_v3!$B$5)),0)</x:f>
        <x:v>649</x:v>
      </x:c>
      <x:c r="J1527" s="18" t="n">
        <x:f>MIN(Model_Config_v3!$B$6,I1527+Model_Config_v3!$B$7)</x:f>
        <x:v>669</x:v>
      </x:c>
      <x:c r="K1527" s="20" t="n">
        <x:v>51.9</x:v>
      </x:c>
      <x:c r="L1527" t="str">
        <x:v>MENENGAH</x:v>
      </x:c>
      <x:c r="M1527" t="str">
        <x:v>SEDANG+</x:v>
      </x:c>
      <x:c r="N1527" t="str">
        <x:v>REGULER</x:v>
      </x:c>
      <x:c r="O1527" t="str">
        <x:v>SOSHUM</x:v>
      </x:c>
      <x:c r="P1527" t="str">
        <x:v>HUKUM</x:v>
      </x:c>
      <x:c r="Q1527" s="18" t="n">
        <x:v>0</x:v>
      </x:c>
      <x:c r="R1527" s="18" t="n">
        <x:v>0</x:v>
      </x:c>
      <x:c r="S1527" s="18" t="n">
        <x:v>612.892489332025</x:v>
      </x:c>
      <x:c r="T1527" s="18" t="n">
        <x:v>664</x:v>
      </x:c>
      <x:c r="U1527" s="18" t="n">
        <x:v>627.892489332025</x:v>
      </x:c>
      <x:c r="V1527" s="20" t="n">
        <x:v>4.4</x:v>
      </x:c>
      <x:c r="W1527" s="20" t="n">
        <x:v>14.3</x:v>
      </x:c>
      <x:c r="X1527" s="20" t="n">
        <x:v>3.3</x:v>
      </x:c>
      <x:c r="Y1527" t="str">
        <x:v>Basis arsip 2025/2024</x:v>
      </x:c>
      <x:c r="Z1527" t="str">
        <x:v>https://snpmb.id/utbk-snbt/daya-tampung-snbt</x:v>
      </x:c>
      <x:c r="AA1527" t="str">
        <x:v>Tidak Ada</x:v>
      </x:c>
      <x:c r="AB1527" t="str">
        <x:v>Campus=55; Ratio=49.7; Prodi=65; RelDemand=55.7; Capacity=16.7</x:v>
      </x:c>
    </x:row>
    <x:row r="1528">
      <x:c r="A1528" t="n">
        <x:v>1525</x:v>
      </x:c>
      <x:c r="B1528" t="str">
        <x:v>PTN Akademik</x:v>
      </x:c>
      <x:c r="C1528" t="str">
        <x:v>UNIVERSITAS TIDAR</x:v>
      </x:c>
      <x:c r="D1528" t="str">
        <x:v>MANAJEMEN</x:v>
      </x:c>
      <x:c r="E1528" t="str">
        <x:v>Sarjana</x:v>
      </x:c>
      <x:c r="F1528" s="18" t="n">
        <x:v>120</x:v>
      </x:c>
      <x:c r="G1528" s="18" t="n">
        <x:v>909</x:v>
      </x:c>
      <x:c r="H1528" s="19" t="n">
        <x:v>7.575</x:v>
      </x:c>
      <x:c r="I1528" s="18" t="n">
        <x:f>ROUND(MIN(Model_Config_v3!$B$6,MAX(Q1528,R1528,S1528*Model_Config_v3!$B$4+T1528*Model_Config_v3!$B$5)),0)</x:f>
        <x:v>648</x:v>
      </x:c>
      <x:c r="J1528" s="18" t="n">
        <x:f>MIN(Model_Config_v3!$B$6,I1528+Model_Config_v3!$B$7)</x:f>
        <x:v>668</x:v>
      </x:c>
      <x:c r="K1528" s="20" t="n">
        <x:v>51.2</x:v>
      </x:c>
      <x:c r="L1528" t="str">
        <x:v>MENENGAH</x:v>
      </x:c>
      <x:c r="M1528" t="str">
        <x:v>SEDANG+</x:v>
      </x:c>
      <x:c r="N1528" t="str">
        <x:v>REGULER</x:v>
      </x:c>
      <x:c r="O1528" t="str">
        <x:v>SOSHUM</x:v>
      </x:c>
      <x:c r="P1528" t="str">
        <x:v>BISNIS/EKONOMI/AKUNTANSI</x:v>
      </x:c>
      <x:c r="Q1528" s="18" t="n">
        <x:v>0</x:v>
      </x:c>
      <x:c r="R1528" s="18" t="n">
        <x:v>0</x:v>
      </x:c>
      <x:c r="S1528" s="18" t="n">
        <x:v>616.7320900891777</x:v>
      </x:c>
      <x:c r="T1528" s="18" t="n">
        <x:v>662</x:v>
      </x:c>
      <x:c r="U1528" s="18" t="n">
        <x:v>631.7320900891777</x:v>
      </x:c>
      <x:c r="V1528" s="20" t="n">
        <x:v>4.4</x:v>
      </x:c>
      <x:c r="W1528" s="20" t="n">
        <x:v>14.3</x:v>
      </x:c>
      <x:c r="X1528" s="20" t="n">
        <x:v>3.3</x:v>
      </x:c>
      <x:c r="Y1528" t="str">
        <x:v>Basis arsip 2025/2024</x:v>
      </x:c>
      <x:c r="Z1528" t="str">
        <x:v>https://snpmb.id/utbk-snbt/daya-tampung-snbt</x:v>
      </x:c>
      <x:c r="AA1528" t="str">
        <x:v>Tidak Ada</x:v>
      </x:c>
      <x:c r="AB1528" t="str">
        <x:v>Campus=55; Ratio=51.8; Prodi=65; RelDemand=60.4; Capacity=0.0</x:v>
      </x:c>
    </x:row>
    <x:row r="1529">
      <x:c r="A1529" t="n">
        <x:v>1526</x:v>
      </x:c>
      <x:c r="B1529" t="str">
        <x:v>PTN Akademik</x:v>
      </x:c>
      <x:c r="C1529" t="str">
        <x:v>UNIVERSITAS TIDAR</x:v>
      </x:c>
      <x:c r="D1529" t="str">
        <x:v>ILMU KOMUNIKASI</x:v>
      </x:c>
      <x:c r="E1529" t="str">
        <x:v>Sarjana</x:v>
      </x:c>
      <x:c r="F1529" s="18" t="n">
        <x:v>100</x:v>
      </x:c>
      <x:c r="G1529" s="18" t="n">
        <x:v>706</x:v>
      </x:c>
      <x:c r="H1529" s="19" t="n">
        <x:v>7.06</x:v>
      </x:c>
      <x:c r="I1529" s="18" t="n">
        <x:f>ROUND(MIN(Model_Config_v3!$B$6,MAX(Q1529,R1529,S1529*Model_Config_v3!$B$4+T1529*Model_Config_v3!$B$5)),0)</x:f>
        <x:v>642</x:v>
      </x:c>
      <x:c r="J1529" s="18" t="n">
        <x:f>MIN(Model_Config_v3!$B$6,I1529+Model_Config_v3!$B$7)</x:f>
        <x:v>662</x:v>
      </x:c>
      <x:c r="K1529" s="20" t="n">
        <x:v>47</x:v>
      </x:c>
      <x:c r="L1529" t="str">
        <x:v>MENENGAH</x:v>
      </x:c>
      <x:c r="M1529" t="str">
        <x:v>SEDANG</x:v>
      </x:c>
      <x:c r="N1529" t="str">
        <x:v>REGULER</x:v>
      </x:c>
      <x:c r="O1529" t="str">
        <x:v>SOSHUM</x:v>
      </x:c>
      <x:c r="P1529" t="str">
        <x:v>UMUM</x:v>
      </x:c>
      <x:c r="Q1529" s="18" t="n">
        <x:v>0</x:v>
      </x:c>
      <x:c r="R1529" s="18" t="n">
        <x:v>0</x:v>
      </x:c>
      <x:c r="S1529" s="18" t="n">
        <x:v>613.3685171156984</x:v>
      </x:c>
      <x:c r="T1529" s="18" t="n">
        <x:v>654</x:v>
      </x:c>
      <x:c r="U1529" s="18" t="n">
        <x:v>613.3685171156984</x:v>
      </x:c>
      <x:c r="V1529" s="20" t="n">
        <x:v>4.4</x:v>
      </x:c>
      <x:c r="W1529" s="20" t="n">
        <x:v>14.3</x:v>
      </x:c>
      <x:c r="X1529" s="20" t="n">
        <x:v>3.3</x:v>
      </x:c>
      <x:c r="Y1529" t="str">
        <x:v>Basis arsip 2025/2024</x:v>
      </x:c>
      <x:c r="Z1529" t="str">
        <x:v>https://snpmb.id/utbk-snbt/daya-tampung-snbt</x:v>
      </x:c>
      <x:c r="AA1529" t="str">
        <x:v>Tidak Ada</x:v>
      </x:c>
      <x:c r="AB1529" t="str">
        <x:v>Campus=55; Ratio=50.0; Prodi=40; RelDemand=56.3; Capacity=16.7</x:v>
      </x:c>
    </x:row>
    <x:row r="1530">
      <x:c r="A1530" t="n">
        <x:v>1527</x:v>
      </x:c>
      <x:c r="B1530" t="str">
        <x:v>PTN Akademik</x:v>
      </x:c>
      <x:c r="C1530" t="str">
        <x:v>UNIVERSITAS TIDAR</x:v>
      </x:c>
      <x:c r="D1530" t="str">
        <x:v>AKUNTANSI</x:v>
      </x:c>
      <x:c r="E1530" t="str">
        <x:v>Sarjana</x:v>
      </x:c>
      <x:c r="F1530" s="18" t="n">
        <x:v>120</x:v>
      </x:c>
      <x:c r="G1530" s="18" t="n">
        <x:v>667</x:v>
      </x:c>
      <x:c r="H1530" s="19" t="n">
        <x:v>5.558333333333334</x:v>
      </x:c>
      <x:c r="I1530" s="18" t="n">
        <x:f>ROUND(MIN(Model_Config_v3!$B$6,MAX(Q1530,R1530,S1530*Model_Config_v3!$B$4+T1530*Model_Config_v3!$B$5)),0)</x:f>
        <x:v>639</x:v>
      </x:c>
      <x:c r="J1530" s="18" t="n">
        <x:f>MIN(Model_Config_v3!$B$6,I1530+Model_Config_v3!$B$7)</x:f>
        <x:v>659</x:v>
      </x:c>
      <x:c r="K1530" s="20" t="n">
        <x:v>47.6</x:v>
      </x:c>
      <x:c r="L1530" t="str">
        <x:v>MENENGAH</x:v>
      </x:c>
      <x:c r="M1530" t="str">
        <x:v>SEDANG+</x:v>
      </x:c>
      <x:c r="N1530" t="str">
        <x:v>REGULER</x:v>
      </x:c>
      <x:c r="O1530" t="str">
        <x:v>SOSHUM</x:v>
      </x:c>
      <x:c r="P1530" t="str">
        <x:v>BISNIS/EKONOMI/AKUNTANSI</x:v>
      </x:c>
      <x:c r="Q1530" s="18" t="n">
        <x:v>0</x:v>
      </x:c>
      <x:c r="R1530" s="18" t="n">
        <x:v>0</x:v>
      </x:c>
      <x:c r="S1530" s="18" t="n">
        <x:v>601.9439046655816</x:v>
      </x:c>
      <x:c r="T1530" s="18" t="n">
        <x:v>655</x:v>
      </x:c>
      <x:c r="U1530" s="18" t="n">
        <x:v>601.9439046655816</x:v>
      </x:c>
      <x:c r="V1530" s="20" t="n">
        <x:v>4.4</x:v>
      </x:c>
      <x:c r="W1530" s="20" t="n">
        <x:v>14.3</x:v>
      </x:c>
      <x:c r="X1530" s="20" t="n">
        <x:v>3.3</x:v>
      </x:c>
      <x:c r="Y1530" t="str">
        <x:v>Basis arsip 2025/2024</x:v>
      </x:c>
      <x:c r="Z1530" t="str">
        <x:v>https://snpmb.id/utbk-snbt/daya-tampung-snbt</x:v>
      </x:c>
      <x:c r="AA1530" t="str">
        <x:v>Tidak Ada</x:v>
      </x:c>
      <x:c r="AB1530" t="str">
        <x:v>Campus=55; Ratio=43.8; Prodi=65; RelDemand=44.3; Capacity=0.0</x:v>
      </x:c>
    </x:row>
    <x:row r="1531">
      <x:c r="A1531" t="n">
        <x:v>1528</x:v>
      </x:c>
      <x:c r="B1531" t="str">
        <x:v>PTN Akademik</x:v>
      </x:c>
      <x:c r="C1531" t="str">
        <x:v>UNIVERSITAS TIDAR</x:v>
      </x:c>
      <x:c r="D1531" t="str">
        <x:v>PARIWISATA</x:v>
      </x:c>
      <x:c r="E1531" t="str">
        <x:v>Sarjana</x:v>
      </x:c>
      <x:c r="F1531" s="18" t="n">
        <x:v>75</x:v>
      </x:c>
      <x:c r="G1531" s="18" t="n">
        <x:v>396</x:v>
      </x:c>
      <x:c r="H1531" s="19" t="n">
        <x:v>5.28</x:v>
      </x:c>
      <x:c r="I1531" s="18" t="n">
        <x:f>ROUND(MIN(Model_Config_v3!$B$6,MAX(Q1531,R1531,S1531*Model_Config_v3!$B$4+T1531*Model_Config_v3!$B$5)),0)</x:f>
        <x:v>636</x:v>
      </x:c>
      <x:c r="J1531" s="18" t="n">
        <x:f>MIN(Model_Config_v3!$B$6,I1531+Model_Config_v3!$B$7)</x:f>
        <x:v>656</x:v>
      </x:c>
      <x:c r="K1531" s="20" t="n">
        <x:v>45.8</x:v>
      </x:c>
      <x:c r="L1531" t="str">
        <x:v>MENENGAH</x:v>
      </x:c>
      <x:c r="M1531" t="str">
        <x:v>SEDANG</x:v>
      </x:c>
      <x:c r="N1531" t="str">
        <x:v>REGULER</x:v>
      </x:c>
      <x:c r="O1531" t="str">
        <x:v>CAMPURAN</x:v>
      </x:c>
      <x:c r="P1531" t="str">
        <x:v>UMUM</x:v>
      </x:c>
      <x:c r="Q1531" s="18" t="n">
        <x:v>0</x:v>
      </x:c>
      <x:c r="R1531" s="18" t="n">
        <x:v>0</x:v>
      </x:c>
      <x:c r="S1531" s="18" t="n">
        <x:v>599.4897314787194</x:v>
      </x:c>
      <x:c r="T1531" s="18" t="n">
        <x:v>652</x:v>
      </x:c>
      <x:c r="U1531" s="18" t="n">
        <x:v>599.4897314787194</x:v>
      </x:c>
      <x:c r="V1531" s="20" t="n">
        <x:v>8.8</x:v>
      </x:c>
      <x:c r="W1531" s="20" t="n">
        <x:v>9.9</x:v>
      </x:c>
      <x:c r="X1531" s="20" t="n">
        <x:v>3.3</x:v>
      </x:c>
      <x:c r="Y1531" t="str">
        <x:v>Basis arsip 2025/2024</x:v>
      </x:c>
      <x:c r="Z1531" t="str">
        <x:v>https://snpmb.id/utbk-snbt/daya-tampung-snbt</x:v>
      </x:c>
      <x:c r="AA1531" t="str">
        <x:v>Tidak Ada</x:v>
      </x:c>
      <x:c r="AB1531" t="str">
        <x:v>Campus=55; Ratio=42.5; Prodi=40; RelDemand=42.1; Capacity=37.5</x:v>
      </x:c>
    </x:row>
    <x:row r="1532">
      <x:c r="A1532" t="n">
        <x:v>1529</x:v>
      </x:c>
      <x:c r="B1532" t="str">
        <x:v>PTN Akademik</x:v>
      </x:c>
      <x:c r="C1532" t="str">
        <x:v>UNIVERSITAS TIDAR</x:v>
      </x:c>
      <x:c r="D1532" t="str">
        <x:v>TEKNOLOGI PANGAN</x:v>
      </x:c>
      <x:c r="E1532" t="str">
        <x:v>Sarjana</x:v>
      </x:c>
      <x:c r="F1532" s="18" t="n">
        <x:v>50</x:v>
      </x:c>
      <x:c r="G1532" s="18" t="n">
        <x:v>361</x:v>
      </x:c>
      <x:c r="H1532" s="19" t="n">
        <x:v>7.22</x:v>
      </x:c>
      <x:c r="I1532" s="18" t="n">
        <x:f>ROUND(MIN(Model_Config_v3!$B$6,MAX(Q1532,R1532,S1532*Model_Config_v3!$B$4+T1532*Model_Config_v3!$B$5)),0)</x:f>
        <x:v>648</x:v>
      </x:c>
      <x:c r="J1532" s="18" t="n">
        <x:f>MIN(Model_Config_v3!$B$6,I1532+Model_Config_v3!$B$7)</x:f>
        <x:v>668</x:v>
      </x:c>
      <x:c r="K1532" s="20" t="n">
        <x:v>51.5</x:v>
      </x:c>
      <x:c r="L1532" t="str">
        <x:v>MENENGAH</x:v>
      </x:c>
      <x:c r="M1532" t="str">
        <x:v>SEDANG</x:v>
      </x:c>
      <x:c r="N1532" t="str">
        <x:v>REGULER</x:v>
      </x:c>
      <x:c r="O1532" t="str">
        <x:v>SAINTEK</x:v>
      </x:c>
      <x:c r="P1532" t="str">
        <x:v>UMUM</x:v>
      </x:c>
      <x:c r="Q1532" s="18" t="n">
        <x:v>0</x:v>
      </x:c>
      <x:c r="R1532" s="18" t="n">
        <x:v>0</x:v>
      </x:c>
      <x:c r="S1532" s="18" t="n">
        <x:v>614.4390917326602</x:v>
      </x:c>
      <x:c r="T1532" s="18" t="n">
        <x:v>663</x:v>
      </x:c>
      <x:c r="U1532" s="18" t="n">
        <x:v>614.4390917326602</x:v>
      </x:c>
      <x:c r="V1532" s="20" t="n">
        <x:v>12</x:v>
      </x:c>
      <x:c r="W1532" s="20" t="n">
        <x:v>5</x:v>
      </x:c>
      <x:c r="X1532" s="20" t="n">
        <x:v>3</x:v>
      </x:c>
      <x:c r="Y1532" t="str">
        <x:v>Basis arsip 2025/2024</x:v>
      </x:c>
      <x:c r="Z1532" t="str">
        <x:v>https://snpmb.id/utbk-snbt/daya-tampung-snbt</x:v>
      </x:c>
      <x:c r="AA1532" t="str">
        <x:v>Tidak Ada</x:v>
      </x:c>
      <x:c r="AB1532" t="str">
        <x:v>Campus=55; Ratio=50.5; Prodi=40; RelDemand=57.6; Capacity=58.3</x:v>
      </x:c>
    </x:row>
    <x:row r="1533">
      <x:c r="A1533" t="n">
        <x:v>1530</x:v>
      </x:c>
      <x:c r="B1533" t="str">
        <x:v>PTN Akademik</x:v>
      </x:c>
      <x:c r="C1533" t="str">
        <x:v>UNIVERSITAS TIDAR</x:v>
      </x:c>
      <x:c r="D1533" t="str">
        <x:v>TEKNOLOGI INFORMASI</x:v>
      </x:c>
      <x:c r="E1533" t="str">
        <x:v>Sarjana</x:v>
      </x:c>
      <x:c r="F1533" s="18" t="n">
        <x:v>40</x:v>
      </x:c>
      <x:c r="G1533" s="18" t="n">
        <x:v>334</x:v>
      </x:c>
      <x:c r="H1533" s="19" t="n">
        <x:v>8.35</x:v>
      </x:c>
      <x:c r="I1533" s="18" t="n">
        <x:f>ROUND(MIN(Model_Config_v3!$B$6,MAX(Q1533,R1533,S1533*Model_Config_v3!$B$4+T1533*Model_Config_v3!$B$5)),0)</x:f>
        <x:v>654</x:v>
      </x:c>
      <x:c r="J1533" s="18" t="n">
        <x:f>MIN(Model_Config_v3!$B$6,I1533+Model_Config_v3!$B$7)</x:f>
        <x:v>674</x:v>
      </x:c>
      <x:c r="K1533" s="20" t="n">
        <x:v>54.1</x:v>
      </x:c>
      <x:c r="L1533" t="str">
        <x:v>MENENGAH</x:v>
      </x:c>
      <x:c r="M1533" t="str">
        <x:v>SEDANG</x:v>
      </x:c>
      <x:c r="N1533" t="str">
        <x:v>REGULER</x:v>
      </x:c>
      <x:c r="O1533" t="str">
        <x:v>SAINTEK</x:v>
      </x:c>
      <x:c r="P1533" t="str">
        <x:v>UMUM</x:v>
      </x:c>
      <x:c r="Q1533" s="18" t="n">
        <x:v>0</x:v>
      </x:c>
      <x:c r="R1533" s="18" t="n">
        <x:v>0</x:v>
      </x:c>
      <x:c r="S1533" s="18" t="n">
        <x:v>621.3855123031963</x:v>
      </x:c>
      <x:c r="T1533" s="18" t="n">
        <x:v>668</x:v>
      </x:c>
      <x:c r="U1533" s="18" t="n">
        <x:v>621.3855123031963</x:v>
      </x:c>
      <x:c r="V1533" s="20" t="n">
        <x:v>12</x:v>
      </x:c>
      <x:c r="W1533" s="20" t="n">
        <x:v>5</x:v>
      </x:c>
      <x:c r="X1533" s="20" t="n">
        <x:v>3</x:v>
      </x:c>
      <x:c r="Y1533" t="str">
        <x:v>Basis arsip 2025/2024</x:v>
      </x:c>
      <x:c r="Z1533" t="str">
        <x:v>https://snpmb.id/utbk-snbt/daya-tampung-snbt</x:v>
      </x:c>
      <x:c r="AA1533" t="str">
        <x:v>Tidak Ada</x:v>
      </x:c>
      <x:c r="AB1533" t="str">
        <x:v>Campus=55; Ratio=54.2; Prodi=40; RelDemand=66.6; Capacity=66.7</x:v>
      </x:c>
    </x:row>
    <x:row r="1534">
      <x:c r="A1534" t="n">
        <x:v>1531</x:v>
      </x:c>
      <x:c r="B1534" t="str">
        <x:v>PTN Akademik</x:v>
      </x:c>
      <x:c r="C1534" t="str">
        <x:v>UNIVERSITAS TIDAR</x:v>
      </x:c>
      <x:c r="D1534" t="str">
        <x:v>TEKNIK MEKATRONIKA</x:v>
      </x:c>
      <x:c r="E1534" t="str">
        <x:v>Sarjana</x:v>
      </x:c>
      <x:c r="F1534" s="18" t="n">
        <x:v>40</x:v>
      </x:c>
      <x:c r="G1534" s="18" t="n">
        <x:v>133</x:v>
      </x:c>
      <x:c r="H1534" s="19" t="n">
        <x:v>3.325</x:v>
      </x:c>
      <x:c r="I1534" s="18" t="n">
        <x:f>ROUND(MIN(Model_Config_v3!$B$6,MAX(Q1534,R1534,S1534*Model_Config_v3!$B$4+T1534*Model_Config_v3!$B$5)),0)</x:f>
        <x:v>632</x:v>
      </x:c>
      <x:c r="J1534" s="18" t="n">
        <x:f>MIN(Model_Config_v3!$B$6,I1534+Model_Config_v3!$B$7)</x:f>
        <x:v>652</x:v>
      </x:c>
      <x:c r="K1534" s="20" t="n">
        <x:v>48.2</x:v>
      </x:c>
      <x:c r="L1534" t="str">
        <x:v>MENENGAH</x:v>
      </x:c>
      <x:c r="M1534" t="str">
        <x:v>SEDANG+</x:v>
      </x:c>
      <x:c r="N1534" t="str">
        <x:v>REGULER</x:v>
      </x:c>
      <x:c r="O1534" t="str">
        <x:v>SAINTEK</x:v>
      </x:c>
      <x:c r="P1534" t="str">
        <x:v>TEKNIK/ARSITEKTUR/STATISTIKA/AKTUARIA</x:v>
      </x:c>
      <x:c r="Q1534" s="18" t="n">
        <x:v>0</x:v>
      </x:c>
      <x:c r="R1534" s="18" t="n">
        <x:v>0</x:v>
      </x:c>
      <x:c r="S1534" s="18" t="n">
        <x:v>577.3970814603035</x:v>
      </x:c>
      <x:c r="T1534" s="18" t="n">
        <x:v>656</x:v>
      </x:c>
      <x:c r="U1534" s="18" t="n">
        <x:v>587.3970814603035</x:v>
      </x:c>
      <x:c r="V1534" s="20" t="n">
        <x:v>12</x:v>
      </x:c>
      <x:c r="W1534" s="20" t="n">
        <x:v>5</x:v>
      </x:c>
      <x:c r="X1534" s="20" t="n">
        <x:v>3</x:v>
      </x:c>
      <x:c r="Y1534" t="str">
        <x:v>Basis arsip 2025/2024</x:v>
      </x:c>
      <x:c r="Z1534" t="str">
        <x:v>https://snpmb.id/utbk-snbt/daya-tampung-snbt</x:v>
      </x:c>
      <x:c r="AA1534" t="str">
        <x:v>Tidak Ada</x:v>
      </x:c>
      <x:c r="AB1534" t="str">
        <x:v>Campus=55; Ratio=30.7; Prodi=60; RelDemand=26.5; Capacity=66.7</x:v>
      </x:c>
    </x:row>
    <x:row r="1535">
      <x:c r="A1535" t="n">
        <x:v>1532</x:v>
      </x:c>
      <x:c r="B1535" t="str">
        <x:v>PTN Akademik</x:v>
      </x:c>
      <x:c r="C1535" t="str">
        <x:v>UNIVERSITAS TIDAR</x:v>
      </x:c>
      <x:c r="D1535" t="str">
        <x:v>TEKNIK INDUSTRI</x:v>
      </x:c>
      <x:c r="E1535" t="str">
        <x:v>Sarjana</x:v>
      </x:c>
      <x:c r="F1535" s="18" t="n">
        <x:v>40</x:v>
      </x:c>
      <x:c r="G1535" s="18" t="n">
        <x:v>263</x:v>
      </x:c>
      <x:c r="H1535" s="19" t="n">
        <x:v>6.575</x:v>
      </x:c>
      <x:c r="I1535" s="18" t="n">
        <x:f>ROUND(MIN(Model_Config_v3!$B$6,MAX(Q1535,R1535,S1535*Model_Config_v3!$B$4+T1535*Model_Config_v3!$B$5)),0)</x:f>
        <x:v>652</x:v>
      </x:c>
      <x:c r="J1535" s="18" t="n">
        <x:f>MIN(Model_Config_v3!$B$6,I1535+Model_Config_v3!$B$7)</x:f>
        <x:v>672</x:v>
      </x:c>
      <x:c r="K1535" s="20" t="n">
        <x:v>55.2</x:v>
      </x:c>
      <x:c r="L1535" t="str">
        <x:v>KETAT</x:v>
      </x:c>
      <x:c r="M1535" t="str">
        <x:v>SEDANG+</x:v>
      </x:c>
      <x:c r="N1535" t="str">
        <x:v>REGULER</x:v>
      </x:c>
      <x:c r="O1535" t="str">
        <x:v>SAINTEK</x:v>
      </x:c>
      <x:c r="P1535" t="str">
        <x:v>TEKNIK/ARSITEKTUR/STATISTIKA/AKTUARIA</x:v>
      </x:c>
      <x:c r="Q1535" s="18" t="n">
        <x:v>0</x:v>
      </x:c>
      <x:c r="R1535" s="18" t="n">
        <x:v>0</x:v>
      </x:c>
      <x:c r="S1535" s="18" t="n">
        <x:v>609.9685332877975</x:v>
      </x:c>
      <x:c r="T1535" s="18" t="n">
        <x:v>670</x:v>
      </x:c>
      <x:c r="U1535" s="18" t="n">
        <x:v>619.9685332877975</x:v>
      </x:c>
      <x:c r="V1535" s="20" t="n">
        <x:v>12</x:v>
      </x:c>
      <x:c r="W1535" s="20" t="n">
        <x:v>5</x:v>
      </x:c>
      <x:c r="X1535" s="20" t="n">
        <x:v>3</x:v>
      </x:c>
      <x:c r="Y1535" t="str">
        <x:v>Basis arsip 2025/2024</x:v>
      </x:c>
      <x:c r="Z1535" t="str">
        <x:v>https://snpmb.id/utbk-snbt/daya-tampung-snbt</x:v>
      </x:c>
      <x:c r="AA1535" t="str">
        <x:v>Tidak Ada</x:v>
      </x:c>
      <x:c r="AB1535" t="str">
        <x:v>Campus=55; Ratio=48.1; Prodi=60; RelDemand=52.4; Capacity=66.7</x:v>
      </x:c>
    </x:row>
    <x:row r="1536">
      <x:c r="A1536" t="n">
        <x:v>1533</x:v>
      </x:c>
      <x:c r="B1536" t="str">
        <x:v>PTN Akademik</x:v>
      </x:c>
      <x:c r="C1536" t="str">
        <x:v>UNIVERSITAS TIDAR</x:v>
      </x:c>
      <x:c r="D1536" t="str">
        <x:v>AGRIBISNIS</x:v>
      </x:c>
      <x:c r="E1536" t="str">
        <x:v>Sarjana</x:v>
      </x:c>
      <x:c r="F1536" s="18" t="n">
        <x:v>50</x:v>
      </x:c>
      <x:c r="G1536" s="18" t="n">
        <x:v>272</x:v>
      </x:c>
      <x:c r="H1536" s="19" t="n">
        <x:v>5.44</x:v>
      </x:c>
      <x:c r="I1536" s="18" t="n">
        <x:f>ROUND(MIN(Model_Config_v3!$B$6,MAX(Q1536,R1536,S1536*Model_Config_v3!$B$4+T1536*Model_Config_v3!$B$5)),0)</x:f>
        <x:v>646</x:v>
      </x:c>
      <x:c r="J1536" s="18" t="n">
        <x:f>MIN(Model_Config_v3!$B$6,I1536+Model_Config_v3!$B$7)</x:f>
        <x:v>666</x:v>
      </x:c>
      <x:c r="K1536" s="20" t="n">
        <x:v>53.2</x:v>
      </x:c>
      <x:c r="L1536" t="str">
        <x:v>MENENGAH</x:v>
      </x:c>
      <x:c r="M1536" t="str">
        <x:v>SEDANG+</x:v>
      </x:c>
      <x:c r="N1536" t="str">
        <x:v>REGULER</x:v>
      </x:c>
      <x:c r="O1536" t="str">
        <x:v>SOSHUM</x:v>
      </x:c>
      <x:c r="P1536" t="str">
        <x:v>BISNIS/EKONOMI/AKUNTANSI</x:v>
      </x:c>
      <x:c r="Q1536" s="18" t="n">
        <x:v>0</x:v>
      </x:c>
      <x:c r="R1536" s="18" t="n">
        <x:v>0</x:v>
      </x:c>
      <x:c r="S1536" s="18" t="n">
        <x:v>600.9158789667998</x:v>
      </x:c>
      <x:c r="T1536" s="18" t="n">
        <x:v>666</x:v>
      </x:c>
      <x:c r="U1536" s="18" t="n">
        <x:v>615.9158789667998</x:v>
      </x:c>
      <x:c r="V1536" s="20" t="n">
        <x:v>4.4</x:v>
      </x:c>
      <x:c r="W1536" s="20" t="n">
        <x:v>14.3</x:v>
      </x:c>
      <x:c r="X1536" s="20" t="n">
        <x:v>3.3</x:v>
      </x:c>
      <x:c r="Y1536" t="str">
        <x:v>Basis arsip 2025/2024</x:v>
      </x:c>
      <x:c r="Z1536" t="str">
        <x:v>https://snpmb.id/utbk-snbt/daya-tampung-snbt</x:v>
      </x:c>
      <x:c r="AA1536" t="str">
        <x:v>Tidak Ada</x:v>
      </x:c>
      <x:c r="AB1536" t="str">
        <x:v>Campus=55; Ratio=43.3; Prodi=65; RelDemand=43.4; Capacity=58.3</x:v>
      </x:c>
    </x:row>
    <x:row r="1537">
      <x:c r="A1537" t="n">
        <x:v>1534</x:v>
      </x:c>
      <x:c r="B1537" t="str">
        <x:v>PTN Akademik</x:v>
      </x:c>
      <x:c r="C1537" t="str">
        <x:v>UNIVERSITAS TIDAR</x:v>
      </x:c>
      <x:c r="D1537" t="str">
        <x:v>GIZI</x:v>
      </x:c>
      <x:c r="E1537" t="str">
        <x:v>Sarjana</x:v>
      </x:c>
      <x:c r="F1537" s="18" t="n">
        <x:v>50</x:v>
      </x:c>
      <x:c r="G1537" s="18" t="n">
        <x:v>476</x:v>
      </x:c>
      <x:c r="H1537" s="19" t="n">
        <x:v>9.52</x:v>
      </x:c>
      <x:c r="I1537" s="18" t="n">
        <x:f>ROUND(MIN(Model_Config_v3!$B$6,MAX(Q1537,R1537,S1537*Model_Config_v3!$B$4+T1537*Model_Config_v3!$B$5)),0)</x:f>
        <x:v>661</x:v>
      </x:c>
      <x:c r="J1537" s="18" t="n">
        <x:f>MIN(Model_Config_v3!$B$6,I1537+Model_Config_v3!$B$7)</x:f>
        <x:v>681</x:v>
      </x:c>
      <x:c r="K1537" s="20" t="n">
        <x:v>58.1</x:v>
      </x:c>
      <x:c r="L1537" t="str">
        <x:v>KETAT</x:v>
      </x:c>
      <x:c r="M1537" t="str">
        <x:v>SEDANG+</x:v>
      </x:c>
      <x:c r="N1537" t="str">
        <x:v>REGULER</x:v>
      </x:c>
      <x:c r="O1537" t="str">
        <x:v>SAINTEK</x:v>
      </x:c>
      <x:c r="P1537" t="str">
        <x:v>KESEHAT/GIZI/KEPERAWATAN</x:v>
      </x:c>
      <x:c r="Q1537" s="18" t="n">
        <x:v>0</x:v>
      </x:c>
      <x:c r="R1537" s="18" t="n">
        <x:v>0</x:v>
      </x:c>
      <x:c r="S1537" s="18" t="n">
        <x:v>627.6500643222921</x:v>
      </x:c>
      <x:c r="T1537" s="18" t="n">
        <x:v>676</x:v>
      </x:c>
      <x:c r="U1537" s="18" t="n">
        <x:v>627.6500643222921</x:v>
      </x:c>
      <x:c r="V1537" s="20" t="n">
        <x:v>12</x:v>
      </x:c>
      <x:c r="W1537" s="20" t="n">
        <x:v>5</x:v>
      </x:c>
      <x:c r="X1537" s="20" t="n">
        <x:v>3</x:v>
      </x:c>
      <x:c r="Y1537" t="str">
        <x:v>Basis arsip 2025/2024</x:v>
      </x:c>
      <x:c r="Z1537" t="str">
        <x:v>https://snpmb.id/utbk-snbt/daya-tampung-snbt</x:v>
      </x:c>
      <x:c r="AA1537" t="str">
        <x:v>Tidak Ada</x:v>
      </x:c>
      <x:c r="AB1537" t="str">
        <x:v>Campus=55; Ratio=57.6; Prodi=55; RelDemand=75.9; Capacity=58.3</x:v>
      </x:c>
    </x:row>
    <x:row r="1538">
      <x:c r="A1538" t="n">
        <x:v>1535</x:v>
      </x:c>
      <x:c r="B1538" t="str">
        <x:v>PTN Akademik</x:v>
      </x:c>
      <x:c r="C1538" t="str">
        <x:v>UNIVERSITAS TIDAR</x:v>
      </x:c>
      <x:c r="D1538" t="str">
        <x:v>TEKNOLOGI REKAYASA PERANCANGAN MANUFAKTUR</x:v>
      </x:c>
      <x:c r="E1538" t="str">
        <x:v>Sarjana Terapan</x:v>
      </x:c>
      <x:c r="F1538" s="18" t="n">
        <x:v>30</x:v>
      </x:c>
      <x:c r="G1538" s="18" t="n">
        <x:v>399</x:v>
      </x:c>
      <x:c r="H1538" s="19" t="n">
        <x:v>13.3</x:v>
      </x:c>
      <x:c r="I1538" s="18" t="n">
        <x:f>ROUND(MIN(Model_Config_v3!$B$6,MAX(Q1538,R1538,S1538*Model_Config_v3!$B$4+T1538*Model_Config_v3!$B$5)),0)</x:f>
        <x:v>671</x:v>
      </x:c>
      <x:c r="J1538" s="18" t="n">
        <x:f>MIN(Model_Config_v3!$B$6,I1538+Model_Config_v3!$B$7)</x:f>
        <x:v>691</x:v>
      </x:c>
      <x:c r="K1538" s="20" t="n">
        <x:v>61.3</x:v>
      </x:c>
      <x:c r="L1538" t="str">
        <x:v>KETAT</x:v>
      </x:c>
      <x:c r="M1538" t="str">
        <x:v>SEDANG</x:v>
      </x:c>
      <x:c r="N1538" t="str">
        <x:v>REGULER</x:v>
      </x:c>
      <x:c r="O1538" t="str">
        <x:v>SAINTEK</x:v>
      </x:c>
      <x:c r="P1538" t="str">
        <x:v>UMUM</x:v>
      </x:c>
      <x:c r="Q1538" s="18" t="n">
        <x:v>0</x:v>
      </x:c>
      <x:c r="R1538" s="18" t="n">
        <x:v>0</x:v>
      </x:c>
      <x:c r="S1538" s="18" t="n">
        <x:v>643.6236805063794</x:v>
      </x:c>
      <x:c r="T1538" s="18" t="n">
        <x:v>683</x:v>
      </x:c>
      <x:c r="U1538" s="18" t="n">
        <x:v>643.6236805063794</x:v>
      </x:c>
      <x:c r="V1538" s="20" t="n">
        <x:v>12</x:v>
      </x:c>
      <x:c r="W1538" s="20" t="n">
        <x:v>5</x:v>
      </x:c>
      <x:c r="X1538" s="20" t="n">
        <x:v>3</x:v>
      </x:c>
      <x:c r="Y1538" t="str">
        <x:v>Basis arsip 2025/2024</x:v>
      </x:c>
      <x:c r="Z1538" t="str">
        <x:v>https://snpmb.id/utbk-snbt/daya-tampung-snbt</x:v>
      </x:c>
      <x:c r="AA1538" t="str">
        <x:v>Tidak Ada</x:v>
      </x:c>
      <x:c r="AB1538" t="str">
        <x:v>Campus=55; Ratio=66.1; Prodi=40; RelDemand=100.0; Capacity=75.0</x:v>
      </x:c>
    </x:row>
    <x:row r="1539">
      <x:c r="A1539" t="n">
        <x:v>1536</x:v>
      </x:c>
      <x:c r="B1539" t="str">
        <x:v>PTN Akademik</x:v>
      </x:c>
      <x:c r="C1539" t="str">
        <x:v>UNIVERSITAS TIDAR</x:v>
      </x:c>
      <x:c r="D1539" t="str">
        <x:v>AKUNTANSI PERPAJAKAN</x:v>
      </x:c>
      <x:c r="E1539" t="str">
        <x:v>Sarjana Terapan</x:v>
      </x:c>
      <x:c r="F1539" s="18" t="n">
        <x:v>60</x:v>
      </x:c>
      <x:c r="G1539" s="18" t="n">
        <x:v>1134</x:v>
      </x:c>
      <x:c r="H1539" s="19" t="n">
        <x:v>18.9</x:v>
      </x:c>
      <x:c r="I1539" s="18" t="n">
        <x:f>ROUND(MIN(Model_Config_v3!$B$6,MAX(Q1539,R1539,S1539*Model_Config_v3!$B$4+T1539*Model_Config_v3!$B$5)),0)</x:f>
        <x:v>683</x:v>
      </x:c>
      <x:c r="J1539" s="18" t="n">
        <x:f>MIN(Model_Config_v3!$B$6,I1539+Model_Config_v3!$B$7)</x:f>
        <x:v>703</x:v>
      </x:c>
      <x:c r="K1539" s="20" t="n">
        <x:v>66</x:v>
      </x:c>
      <x:c r="L1539" t="str">
        <x:v>SANGAT KETAT</x:v>
      </x:c>
      <x:c r="M1539" t="str">
        <x:v>SEDANG+</x:v>
      </x:c>
      <x:c r="N1539" t="str">
        <x:v>REGULER</x:v>
      </x:c>
      <x:c r="O1539" t="str">
        <x:v>SOSHUM</x:v>
      </x:c>
      <x:c r="P1539" t="str">
        <x:v>BISNIS/EKONOMI/AKUNTANSI</x:v>
      </x:c>
      <x:c r="Q1539" s="18" t="n">
        <x:v>0</x:v>
      </x:c>
      <x:c r="R1539" s="18" t="n">
        <x:v>0</x:v>
      </x:c>
      <x:c r="S1539" s="18" t="n">
        <x:v>660.4107984590569</x:v>
      </x:c>
      <x:c r="T1539" s="18" t="n">
        <x:v>692</x:v>
      </x:c>
      <x:c r="U1539" s="18" t="n">
        <x:v>660.4107984590569</x:v>
      </x:c>
      <x:c r="V1539" s="20" t="n">
        <x:v>4.4</x:v>
      </x:c>
      <x:c r="W1539" s="20" t="n">
        <x:v>14.3</x:v>
      </x:c>
      <x:c r="X1539" s="20" t="n">
        <x:v>3.3</x:v>
      </x:c>
      <x:c r="Y1539" t="str">
        <x:v>Basis arsip 2025/2024</x:v>
      </x:c>
      <x:c r="Z1539" t="str">
        <x:v>https://snpmb.id/utbk-snbt/daya-tampung-snbt</x:v>
      </x:c>
      <x:c r="AA1539" t="str">
        <x:v>Tidak Ada</x:v>
      </x:c>
      <x:c r="AB1539" t="str">
        <x:v>Campus=55; Ratio=75.1; Prodi=65; RelDemand=100.0; Capacity=50.0</x:v>
      </x:c>
    </x:row>
    <x:row r="1540">
      <x:c r="A1540" t="n">
        <x:v>1537</x:v>
      </x:c>
      <x:c r="B1540" t="str">
        <x:v>PTN Akademik</x:v>
      </x:c>
      <x:c r="C1540" t="str">
        <x:v>UNIVERSITAS TIDAR</x:v>
      </x:c>
      <x:c r="D1540" t="str">
        <x:v>AKUNTANSI</x:v>
      </x:c>
      <x:c r="E1540" t="str">
        <x:v>Diploma Tiga</x:v>
      </x:c>
      <x:c r="F1540" s="18" t="n">
        <x:v>80</x:v>
      </x:c>
      <x:c r="G1540" s="18" t="n">
        <x:v>1819</x:v>
      </x:c>
      <x:c r="H1540" s="19" t="n">
        <x:v>22.7375</x:v>
      </x:c>
      <x:c r="I1540" s="18" t="n">
        <x:f>ROUND(MIN(Model_Config_v3!$B$6,MAX(Q1540,R1540,S1540*Model_Config_v3!$B$4+T1540*Model_Config_v3!$B$5)),0)</x:f>
        <x:v>684</x:v>
      </x:c>
      <x:c r="J1540" s="18" t="n">
        <x:f>MIN(Model_Config_v3!$B$6,I1540+Model_Config_v3!$B$7)</x:f>
        <x:v>704</x:v>
      </x:c>
      <x:c r="K1540" s="20" t="n">
        <x:v>65.5</x:v>
      </x:c>
      <x:c r="L1540" t="str">
        <x:v>SANGAT KETAT</x:v>
      </x:c>
      <x:c r="M1540" t="str">
        <x:v>SEDANG+</x:v>
      </x:c>
      <x:c r="N1540" t="str">
        <x:v>REGULER</x:v>
      </x:c>
      <x:c r="O1540" t="str">
        <x:v>SOSHUM</x:v>
      </x:c>
      <x:c r="P1540" t="str">
        <x:v>BISNIS/EKONOMI/AKUNTANSI</x:v>
      </x:c>
      <x:c r="Q1540" s="18" t="n">
        <x:v>0</x:v>
      </x:c>
      <x:c r="R1540" s="18" t="n">
        <x:v>0</x:v>
      </x:c>
      <x:c r="S1540" s="18" t="n">
        <x:v>669.2416983278694</x:v>
      </x:c>
      <x:c r="T1540" s="18" t="n">
        <x:v>691</x:v>
      </x:c>
      <x:c r="U1540" s="18" t="n">
        <x:v>669.2416983278694</x:v>
      </x:c>
      <x:c r="V1540" s="20" t="n">
        <x:v>4.4</x:v>
      </x:c>
      <x:c r="W1540" s="20" t="n">
        <x:v>14.3</x:v>
      </x:c>
      <x:c r="X1540" s="20" t="n">
        <x:v>3.3</x:v>
      </x:c>
      <x:c r="Y1540" t="str">
        <x:v>Basis arsip 2025/2024</x:v>
      </x:c>
      <x:c r="Z1540" t="str">
        <x:v>https://snpmb.id/utbk-snbt/daya-tampung-snbt</x:v>
      </x:c>
      <x:c r="AA1540" t="str">
        <x:v>Tidak Ada</x:v>
      </x:c>
      <x:c r="AB1540" t="str">
        <x:v>Campus=55; Ratio=79.9; Prodi=65; RelDemand=100.0; Capacity=33.3</x:v>
      </x:c>
    </x:row>
    <x:row r="1541">
      <x:c r="A1541" t="n">
        <x:v>1538</x:v>
      </x:c>
      <x:c r="B1541" t="str">
        <x:v>PTN Akademik</x:v>
      </x:c>
      <x:c r="C1541" t="str">
        <x:v>UNIVERSITAS TIDAR</x:v>
      </x:c>
      <x:c r="D1541" t="str">
        <x:v>FARMASI</x:v>
      </x:c>
      <x:c r="E1541" t="str">
        <x:v>Diploma Tiga</x:v>
      </x:c>
      <x:c r="F1541" s="18" t="n">
        <x:v>50</x:v>
      </x:c>
      <x:c r="G1541" s="18"/>
      <x:c r="H1541" s="19" t="n">
        <x:v>0</x:v>
      </x:c>
      <x:c r="I1541" s="18" t="n">
        <x:f>ROUND(MIN(Model_Config_v3!$B$6,MAX(Q1541,R1541,S1541*Model_Config_v3!$B$4+T1541*Model_Config_v3!$B$5)),0)</x:f>
        <x:v>604</x:v>
      </x:c>
      <x:c r="J1541" s="18" t="n">
        <x:f>MIN(Model_Config_v3!$B$6,I1541+Model_Config_v3!$B$7)</x:f>
        <x:v>624</x:v>
      </x:c>
      <x:c r="K1541" s="20" t="n">
        <x:v>40.1</x:v>
      </x:c>
      <x:c r="L1541" t="str">
        <x:v>RELATIF LONGGAR</x:v>
      </x:c>
      <x:c r="M1541" t="str">
        <x:v>RENDAH</x:v>
      </x:c>
      <x:c r="N1541" t="str">
        <x:v>REGULER</x:v>
      </x:c>
      <x:c r="O1541" t="str">
        <x:v>SAINTEK</x:v>
      </x:c>
      <x:c r="P1541" t="str">
        <x:v>FARMASI</x:v>
      </x:c>
      <x:c r="Q1541" s="18" t="n">
        <x:v>0</x:v>
      </x:c>
      <x:c r="R1541" s="18" t="n">
        <x:v>0</x:v>
      </x:c>
      <x:c r="S1541" s="18" t="n">
        <x:v>520</x:v>
      </x:c>
      <x:c r="T1541" s="18" t="n">
        <x:v>640</x:v>
      </x:c>
      <x:c r="U1541" s="18" t="n">
        <x:v>540</x:v>
      </x:c>
      <x:c r="V1541" s="20" t="n">
        <x:v>12</x:v>
      </x:c>
      <x:c r="W1541" s="20" t="n">
        <x:v>5</x:v>
      </x:c>
      <x:c r="X1541" s="20" t="n">
        <x:v>3</x:v>
      </x:c>
      <x:c r="Y1541" t="str">
        <x:v>Basis arsip 2025/2024</x:v>
      </x:c>
      <x:c r="Z1541" t="str">
        <x:v>https://snpmb.id/utbk-snbt/daya-tampung-snbt</x:v>
      </x:c>
      <x:c r="AA1541" t="str">
        <x:v>Tidak Ada</x:v>
      </x:c>
      <x:c r="AB1541" t="str">
        <x:v>Campus=55; Ratio=0.0; Prodi=75; RelDemand=0.0; Capacity=58.3</x:v>
      </x:c>
    </x:row>
    <x:row r="1542">
      <x:c r="A1542" t="n">
        <x:v>1539</x:v>
      </x:c>
      <x:c r="B1542" t="str">
        <x:v>PTN Akademik</x:v>
      </x:c>
      <x:c r="C1542" t="str">
        <x:v>UNIVERSITAS SEBELAS MARET</x:v>
      </x:c>
      <x:c r="D1542" t="str">
        <x:v>KEDOKTERAN</x:v>
      </x:c>
      <x:c r="E1542" t="str">
        <x:v>Sarjana</x:v>
      </x:c>
      <x:c r="F1542" s="18" t="n">
        <x:v>72</x:v>
      </x:c>
      <x:c r="G1542" s="18" t="n">
        <x:v>2736</x:v>
      </x:c>
      <x:c r="H1542" s="19" t="n">
        <x:v>38</x:v>
      </x:c>
      <x:c r="I1542" s="18" t="n">
        <x:f>ROUND(MIN(Model_Config_v3!$B$6,MAX(Q1542,R1542,S1542*Model_Config_v3!$B$4+T1542*Model_Config_v3!$B$5)),0)</x:f>
        <x:v>725</x:v>
      </x:c>
      <x:c r="J1542" s="18" t="n">
        <x:f>MIN(Model_Config_v3!$B$6,I1542+Model_Config_v3!$B$7)</x:f>
        <x:v>745</x:v>
      </x:c>
      <x:c r="K1542" s="20" t="n">
        <x:v>85.3</x:v>
      </x:c>
      <x:c r="L1542" t="str">
        <x:v>ULTRA ELITE</x:v>
      </x:c>
      <x:c r="M1542" t="str">
        <x:v>SEDANG+</x:v>
      </x:c>
      <x:c r="N1542" t="str">
        <x:v>ELITE-2</x:v>
      </x:c>
      <x:c r="O1542" t="str">
        <x:v>SAINTEK</x:v>
      </x:c>
      <x:c r="P1542" t="str">
        <x:v>KEDOKTERAN</x:v>
      </x:c>
      <x:c r="Q1542" s="18" t="n">
        <x:v>645</x:v>
      </x:c>
      <x:c r="R1542" s="18" t="n">
        <x:v>725</x:v>
      </x:c>
      <x:c r="S1542" s="18" t="n">
        <x:v>693.7761956278491</x:v>
      </x:c>
      <x:c r="T1542" s="18" t="n">
        <x:v>731</x:v>
      </x:c>
      <x:c r="U1542" s="18" t="n">
        <x:v>733.7761956278491</x:v>
      </x:c>
      <x:c r="V1542" s="20" t="n">
        <x:v>12</x:v>
      </x:c>
      <x:c r="W1542" s="20" t="n">
        <x:v>5</x:v>
      </x:c>
      <x:c r="X1542" s="20" t="n">
        <x:v>3</x:v>
      </x:c>
      <x:c r="Y1542" t="str">
        <x:v>Basis arsip 2025/2024</x:v>
      </x:c>
      <x:c r="Z1542" t="str">
        <x:v>https://snpmb.id/utbk-snbt/daya-tampung-snbt</x:v>
      </x:c>
      <x:c r="AA1542" t="str">
        <x:v>Tidak Ada</x:v>
      </x:c>
      <x:c r="AB1542" t="str">
        <x:v>Campus=90; Ratio=93.0; Prodi=100; RelDemand=65.9; Capacity=40.0</x:v>
      </x:c>
    </x:row>
    <x:row r="1543">
      <x:c r="A1543" t="n">
        <x:v>1540</x:v>
      </x:c>
      <x:c r="B1543" t="str">
        <x:v>PTN Akademik</x:v>
      </x:c>
      <x:c r="C1543" t="str">
        <x:v>UNIVERSITAS SEBELAS MARET</x:v>
      </x:c>
      <x:c r="D1543" t="str">
        <x:v>PSIKOLOGI</x:v>
      </x:c>
      <x:c r="E1543" t="str">
        <x:v>Sarjana</x:v>
      </x:c>
      <x:c r="F1543" s="18" t="n">
        <x:v>90</x:v>
      </x:c>
      <x:c r="G1543" s="18" t="n">
        <x:v>2459</x:v>
      </x:c>
      <x:c r="H1543" s="19" t="n">
        <x:v>27.322222222222223</x:v>
      </x:c>
      <x:c r="I1543" s="18" t="n">
        <x:f>ROUND(MIN(Model_Config_v3!$B$6,MAX(Q1543,R1543,S1543*Model_Config_v3!$B$4+T1543*Model_Config_v3!$B$5)),0)</x:f>
        <x:v>702</x:v>
      </x:c>
      <x:c r="J1543" s="18" t="n">
        <x:f>MIN(Model_Config_v3!$B$6,I1543+Model_Config_v3!$B$7)</x:f>
        <x:v>722</x:v>
      </x:c>
      <x:c r="K1543" s="20" t="n">
        <x:v>75.9</x:v>
      </x:c>
      <x:c r="L1543" t="str">
        <x:v>ELITE</x:v>
      </x:c>
      <x:c r="M1543" t="str">
        <x:v>SEDANG+</x:v>
      </x:c>
      <x:c r="N1543" t="str">
        <x:v>ELITE-2</x:v>
      </x:c>
      <x:c r="O1543" t="str">
        <x:v>SOSHUM</x:v>
      </x:c>
      <x:c r="P1543" t="str">
        <x:v>PSIKOLOGI</x:v>
      </x:c>
      <x:c r="Q1543" s="18" t="n">
        <x:v>645</x:v>
      </x:c>
      <x:c r="R1543" s="18" t="n">
        <x:v>690</x:v>
      </x:c>
      <x:c r="S1543" s="18" t="n">
        <x:v>678.0167621229332</x:v>
      </x:c>
      <x:c r="T1543" s="18" t="n">
        <x:v>712</x:v>
      </x:c>
      <x:c r="U1543" s="18" t="n">
        <x:v>703.0167621229332</x:v>
      </x:c>
      <x:c r="V1543" s="20" t="n">
        <x:v>4.4</x:v>
      </x:c>
      <x:c r="W1543" s="20" t="n">
        <x:v>14.3</x:v>
      </x:c>
      <x:c r="X1543" s="20" t="n">
        <x:v>3.3</x:v>
      </x:c>
      <x:c r="Y1543" t="str">
        <x:v>Basis arsip 2025/2024</x:v>
      </x:c>
      <x:c r="Z1543" t="str">
        <x:v>https://snpmb.id/utbk-snbt/daya-tampung-snbt</x:v>
      </x:c>
      <x:c r="AA1543" t="str">
        <x:v>Tidak Ada</x:v>
      </x:c>
      <x:c r="AB1543" t="str">
        <x:v>Campus=90; Ratio=84.6; Prodi=80; RelDemand=47.4; Capacity=25.0</x:v>
      </x:c>
    </x:row>
    <x:row r="1544">
      <x:c r="A1544" t="n">
        <x:v>1541</x:v>
      </x:c>
      <x:c r="B1544" t="str">
        <x:v>PTN Akademik</x:v>
      </x:c>
      <x:c r="C1544" t="str">
        <x:v>UNIVERSITAS SEBELAS MARET</x:v>
      </x:c>
      <x:c r="D1544" t="str">
        <x:v>AGROTEKNOLOGI / AGROEKOTEKNOLOGI</x:v>
      </x:c>
      <x:c r="E1544" t="str">
        <x:v>Sarjana</x:v>
      </x:c>
      <x:c r="F1544" s="18" t="n">
        <x:v>54</x:v>
      </x:c>
      <x:c r="G1544" s="18" t="n">
        <x:v>686</x:v>
      </x:c>
      <x:c r="H1544" s="19" t="n">
        <x:v>12.703703703703704</x:v>
      </x:c>
      <x:c r="I1544" s="18" t="n">
        <x:f>ROUND(MIN(Model_Config_v3!$B$6,MAX(Q1544,R1544,S1544*Model_Config_v3!$B$4+T1544*Model_Config_v3!$B$5)),0)</x:f>
        <x:v>673</x:v>
      </x:c>
      <x:c r="J1544" s="18" t="n">
        <x:f>MIN(Model_Config_v3!$B$6,I1544+Model_Config_v3!$B$7)</x:f>
        <x:v>693</x:v>
      </x:c>
      <x:c r="K1544" s="20" t="n">
        <x:v>63.4</x:v>
      </x:c>
      <x:c r="L1544" t="str">
        <x:v>KETAT</x:v>
      </x:c>
      <x:c r="M1544" t="str">
        <x:v>SEDANG+</x:v>
      </x:c>
      <x:c r="N1544" t="str">
        <x:v>ELITE-2</x:v>
      </x:c>
      <x:c r="O1544" t="str">
        <x:v>SAINTEK</x:v>
      </x:c>
      <x:c r="P1544" t="str">
        <x:v>UMUM</x:v>
      </x:c>
      <x:c r="Q1544" s="18" t="n">
        <x:v>645</x:v>
      </x:c>
      <x:c r="R1544" s="18" t="n">
        <x:v>0</x:v>
      </x:c>
      <x:c r="S1544" s="18" t="n">
        <x:v>641.4323391472161</x:v>
      </x:c>
      <x:c r="T1544" s="18" t="n">
        <x:v>687</x:v>
      </x:c>
      <x:c r="U1544" s="18" t="n">
        <x:v>645</x:v>
      </x:c>
      <x:c r="V1544" s="20" t="n">
        <x:v>12</x:v>
      </x:c>
      <x:c r="W1544" s="20" t="n">
        <x:v>5</x:v>
      </x:c>
      <x:c r="X1544" s="20" t="n">
        <x:v>3</x:v>
      </x:c>
      <x:c r="Y1544" t="str">
        <x:v>Basis arsip 2025/2024</x:v>
      </x:c>
      <x:c r="Z1544" t="str">
        <x:v>https://snpmb.id/utbk-snbt/daya-tampung-snbt</x:v>
      </x:c>
      <x:c r="AA1544" t="str">
        <x:v>Tidak Ada</x:v>
      </x:c>
      <x:c r="AB1544" t="str">
        <x:v>Campus=90; Ratio=65.0; Prodi=40; RelDemand=22.0; Capacity=55.0</x:v>
      </x:c>
    </x:row>
    <x:row r="1545">
      <x:c r="A1545" t="n">
        <x:v>1542</x:v>
      </x:c>
      <x:c r="B1545" t="str">
        <x:v>PTN Akademik</x:v>
      </x:c>
      <x:c r="C1545" t="str">
        <x:v>UNIVERSITAS SEBELAS MARET</x:v>
      </x:c>
      <x:c r="D1545" t="str">
        <x:v>AGRIBISNIS</x:v>
      </x:c>
      <x:c r="E1545" t="str">
        <x:v>Sarjana</x:v>
      </x:c>
      <x:c r="F1545" s="18" t="n">
        <x:v>48</x:v>
      </x:c>
      <x:c r="G1545" s="18" t="n">
        <x:v>959</x:v>
      </x:c>
      <x:c r="H1545" s="19" t="n">
        <x:v>19.979166666666668</x:v>
      </x:c>
      <x:c r="I1545" s="18" t="n">
        <x:f>ROUND(MIN(Model_Config_v3!$B$6,MAX(Q1545,R1545,S1545*Model_Config_v3!$B$4+T1545*Model_Config_v3!$B$5)),0)</x:f>
        <x:v>693</x:v>
      </x:c>
      <x:c r="J1545" s="18" t="n">
        <x:f>MIN(Model_Config_v3!$B$6,I1545+Model_Config_v3!$B$7)</x:f>
        <x:v>713</x:v>
      </x:c>
      <x:c r="K1545" s="20" t="n">
        <x:v>73.1</x:v>
      </x:c>
      <x:c r="L1545" t="str">
        <x:v>SANGAT KETAT</x:v>
      </x:c>
      <x:c r="M1545" t="str">
        <x:v>SEDANG+</x:v>
      </x:c>
      <x:c r="N1545" t="str">
        <x:v>ELITE-2</x:v>
      </x:c>
      <x:c r="O1545" t="str">
        <x:v>SOSHUM</x:v>
      </x:c>
      <x:c r="P1545" t="str">
        <x:v>BISNIS/EKONOMI/AKUNTANSI</x:v>
      </x:c>
      <x:c r="Q1545" s="18" t="n">
        <x:v>645</x:v>
      </x:c>
      <x:c r="R1545" s="18" t="n">
        <x:v>680</x:v>
      </x:c>
      <x:c r="S1545" s="18" t="n">
        <x:v>663.0635106774585</x:v>
      </x:c>
      <x:c r="T1545" s="18" t="n">
        <x:v>706</x:v>
      </x:c>
      <x:c r="U1545" s="18" t="n">
        <x:v>678.0635106774585</x:v>
      </x:c>
      <x:c r="V1545" s="20" t="n">
        <x:v>4.4</x:v>
      </x:c>
      <x:c r="W1545" s="20" t="n">
        <x:v>14.3</x:v>
      </x:c>
      <x:c r="X1545" s="20" t="n">
        <x:v>3.3</x:v>
      </x:c>
      <x:c r="Y1545" t="str">
        <x:v>Basis arsip 2025/2024</x:v>
      </x:c>
      <x:c r="Z1545" t="str">
        <x:v>https://snpmb.id/utbk-snbt/daya-tampung-snbt</x:v>
      </x:c>
      <x:c r="AA1545" t="str">
        <x:v>Tidak Ada</x:v>
      </x:c>
      <x:c r="AB1545" t="str">
        <x:v>Campus=90; Ratio=76.6; Prodi=65; RelDemand=34.6; Capacity=60.0</x:v>
      </x:c>
    </x:row>
    <x:row r="1546">
      <x:c r="A1546" t="n">
        <x:v>1543</x:v>
      </x:c>
      <x:c r="B1546" t="str">
        <x:v>PTN Akademik</x:v>
      </x:c>
      <x:c r="C1546" t="str">
        <x:v>UNIVERSITAS SEBELAS MARET</x:v>
      </x:c>
      <x:c r="D1546" t="str">
        <x:v>PETERNAKAN</x:v>
      </x:c>
      <x:c r="E1546" t="str">
        <x:v>Sarjana</x:v>
      </x:c>
      <x:c r="F1546" s="18" t="n">
        <x:v>75</x:v>
      </x:c>
      <x:c r="G1546" s="18" t="n">
        <x:v>662</x:v>
      </x:c>
      <x:c r="H1546" s="19" t="n">
        <x:v>8.826666666666666</x:v>
      </x:c>
      <x:c r="I1546" s="18" t="n">
        <x:f>ROUND(MIN(Model_Config_v3!$B$6,MAX(Q1546,R1546,S1546*Model_Config_v3!$B$4+T1546*Model_Config_v3!$B$5)),0)</x:f>
        <x:v>661</x:v>
      </x:c>
      <x:c r="J1546" s="18" t="n">
        <x:f>MIN(Model_Config_v3!$B$6,I1546+Model_Config_v3!$B$7)</x:f>
        <x:v>681</x:v>
      </x:c>
      <x:c r="K1546" s="20" t="n">
        <x:v>58.7</x:v>
      </x:c>
      <x:c r="L1546" t="str">
        <x:v>KETAT</x:v>
      </x:c>
      <x:c r="M1546" t="str">
        <x:v>SEDANG+</x:v>
      </x:c>
      <x:c r="N1546" t="str">
        <x:v>ELITE-2</x:v>
      </x:c>
      <x:c r="O1546" t="str">
        <x:v>SAINTEK</x:v>
      </x:c>
      <x:c r="P1546" t="str">
        <x:v>UMUM</x:v>
      </x:c>
      <x:c r="Q1546" s="18" t="n">
        <x:v>645</x:v>
      </x:c>
      <x:c r="R1546" s="18" t="n">
        <x:v>0</x:v>
      </x:c>
      <x:c r="S1546" s="18" t="n">
        <x:v>624.03763986528</x:v>
      </x:c>
      <x:c r="T1546" s="18" t="n">
        <x:v>677</x:v>
      </x:c>
      <x:c r="U1546" s="18" t="n">
        <x:v>645</x:v>
      </x:c>
      <x:c r="V1546" s="20" t="n">
        <x:v>12</x:v>
      </x:c>
      <x:c r="W1546" s="20" t="n">
        <x:v>5</x:v>
      </x:c>
      <x:c r="X1546" s="20" t="n">
        <x:v>3</x:v>
      </x:c>
      <x:c r="Y1546" t="str">
        <x:v>Basis arsip 2025/2024</x:v>
      </x:c>
      <x:c r="Z1546" t="str">
        <x:v>https://snpmb.id/utbk-snbt/daya-tampung-snbt</x:v>
      </x:c>
      <x:c r="AA1546" t="str">
        <x:v>Tidak Ada</x:v>
      </x:c>
      <x:c r="AB1546" t="str">
        <x:v>Campus=90; Ratio=55.7; Prodi=40; RelDemand=15.3; Capacity=37.5</x:v>
      </x:c>
    </x:row>
    <x:row r="1547">
      <x:c r="A1547" t="n">
        <x:v>1544</x:v>
      </x:c>
      <x:c r="B1547" t="str">
        <x:v>PTN Akademik</x:v>
      </x:c>
      <x:c r="C1547" t="str">
        <x:v>UNIVERSITAS SEBELAS MARET</x:v>
      </x:c>
      <x:c r="D1547" t="str">
        <x:v>ILMU DAN TEKNOLOGI PANGAN</x:v>
      </x:c>
      <x:c r="E1547" t="str">
        <x:v>Sarjana</x:v>
      </x:c>
      <x:c r="F1547" s="18" t="n">
        <x:v>36</x:v>
      </x:c>
      <x:c r="G1547" s="18" t="n">
        <x:v>1136</x:v>
      </x:c>
      <x:c r="H1547" s="19" t="n">
        <x:v>31.555555555555557</x:v>
      </x:c>
      <x:c r="I1547" s="18" t="n">
        <x:f>ROUND(MIN(Model_Config_v3!$B$6,MAX(Q1547,R1547,S1547*Model_Config_v3!$B$4+T1547*Model_Config_v3!$B$5)),0)</x:f>
        <x:v>701</x:v>
      </x:c>
      <x:c r="J1547" s="18" t="n">
        <x:f>MIN(Model_Config_v3!$B$6,I1547+Model_Config_v3!$B$7)</x:f>
        <x:v>721</x:v>
      </x:c>
      <x:c r="K1547" s="20" t="n">
        <x:v>74</x:v>
      </x:c>
      <x:c r="L1547" t="str">
        <x:v>SANGAT KETAT</x:v>
      </x:c>
      <x:c r="M1547" t="str">
        <x:v>SEDANG+</x:v>
      </x:c>
      <x:c r="N1547" t="str">
        <x:v>ELITE-2</x:v>
      </x:c>
      <x:c r="O1547" t="str">
        <x:v>SAINTEK</x:v>
      </x:c>
      <x:c r="P1547" t="str">
        <x:v>UMUM</x:v>
      </x:c>
      <x:c r="Q1547" s="18" t="n">
        <x:v>645</x:v>
      </x:c>
      <x:c r="R1547" s="18" t="n">
        <x:v>0</x:v>
      </x:c>
      <x:c r="S1547" s="18" t="n">
        <x:v>684.8983413668484</x:v>
      </x:c>
      <x:c r="T1547" s="18" t="n">
        <x:v>708</x:v>
      </x:c>
      <x:c r="U1547" s="18" t="n">
        <x:v>684.8983413668484</x:v>
      </x:c>
      <x:c r="V1547" s="20" t="n">
        <x:v>12</x:v>
      </x:c>
      <x:c r="W1547" s="20" t="n">
        <x:v>5</x:v>
      </x:c>
      <x:c r="X1547" s="20" t="n">
        <x:v>3</x:v>
      </x:c>
      <x:c r="Y1547" t="str">
        <x:v>Basis arsip 2025/2024</x:v>
      </x:c>
      <x:c r="Z1547" t="str">
        <x:v>https://snpmb.id/utbk-snbt/daya-tampung-snbt</x:v>
      </x:c>
      <x:c r="AA1547" t="str">
        <x:v>Tidak Ada</x:v>
      </x:c>
      <x:c r="AB1547" t="str">
        <x:v>Campus=90; Ratio=88.2; Prodi=40; RelDemand=54.7; Capacity=70.0</x:v>
      </x:c>
    </x:row>
    <x:row r="1548">
      <x:c r="A1548" t="n">
        <x:v>1545</x:v>
      </x:c>
      <x:c r="B1548" t="str">
        <x:v>PTN Akademik</x:v>
      </x:c>
      <x:c r="C1548" t="str">
        <x:v>UNIVERSITAS SEBELAS MARET</x:v>
      </x:c>
      <x:c r="D1548" t="str">
        <x:v>TEKNIK SIPIL</x:v>
      </x:c>
      <x:c r="E1548" t="str">
        <x:v>Sarjana</x:v>
      </x:c>
      <x:c r="F1548" s="18" t="n">
        <x:v>54</x:v>
      </x:c>
      <x:c r="G1548" s="18" t="n">
        <x:v>1274</x:v>
      </x:c>
      <x:c r="H1548" s="19" t="n">
        <x:v>23.59259259259259</x:v>
      </x:c>
      <x:c r="I1548" s="18" t="n">
        <x:f>ROUND(MIN(Model_Config_v3!$B$6,MAX(Q1548,R1548,S1548*Model_Config_v3!$B$4+T1548*Model_Config_v3!$B$5)),0)</x:f>
        <x:v>696</x:v>
      </x:c>
      <x:c r="J1548" s="18" t="n">
        <x:f>MIN(Model_Config_v3!$B$6,I1548+Model_Config_v3!$B$7)</x:f>
        <x:v>716</x:v>
      </x:c>
      <x:c r="K1548" s="20" t="n">
        <x:v>73.3</x:v>
      </x:c>
      <x:c r="L1548" t="str">
        <x:v>SANGAT KETAT</x:v>
      </x:c>
      <x:c r="M1548" t="str">
        <x:v>SEDANG+</x:v>
      </x:c>
      <x:c r="N1548" t="str">
        <x:v>ELITE-2</x:v>
      </x:c>
      <x:c r="O1548" t="str">
        <x:v>SAINTEK</x:v>
      </x:c>
      <x:c r="P1548" t="str">
        <x:v>TEKNIK/ARSITEKTUR/STATISTIKA/AKTUARIA</x:v>
      </x:c>
      <x:c r="Q1548" s="18" t="n">
        <x:v>645</x:v>
      </x:c>
      <x:c r="R1548" s="18" t="n">
        <x:v>670</x:v>
      </x:c>
      <x:c r="S1548" s="18" t="n">
        <x:v>671.0053234994</x:v>
      </x:c>
      <x:c r="T1548" s="18" t="n">
        <x:v>707</x:v>
      </x:c>
      <x:c r="U1548" s="18" t="n">
        <x:v>681.0053234994</x:v>
      </x:c>
      <x:c r="V1548" s="20" t="n">
        <x:v>12</x:v>
      </x:c>
      <x:c r="W1548" s="20" t="n">
        <x:v>5</x:v>
      </x:c>
      <x:c r="X1548" s="20" t="n">
        <x:v>3</x:v>
      </x:c>
      <x:c r="Y1548" t="str">
        <x:v>Basis arsip 2025/2024</x:v>
      </x:c>
      <x:c r="Z1548" t="str">
        <x:v>https://snpmb.id/utbk-snbt/daya-tampung-snbt</x:v>
      </x:c>
      <x:c r="AA1548" t="str">
        <x:v>Tidak Ada</x:v>
      </x:c>
      <x:c r="AB1548" t="str">
        <x:v>Campus=90; Ratio=80.8; Prodi=60; RelDemand=40.9; Capacity=55.0</x:v>
      </x:c>
    </x:row>
    <x:row r="1549">
      <x:c r="A1549" t="n">
        <x:v>1546</x:v>
      </x:c>
      <x:c r="B1549" t="str">
        <x:v>PTN Akademik</x:v>
      </x:c>
      <x:c r="C1549" t="str">
        <x:v>UNIVERSITAS SEBELAS MARET</x:v>
      </x:c>
      <x:c r="D1549" t="str">
        <x:v>ARSITEKTUR</x:v>
      </x:c>
      <x:c r="E1549" t="str">
        <x:v>Sarjana</x:v>
      </x:c>
      <x:c r="F1549" s="18" t="n">
        <x:v>39</x:v>
      </x:c>
      <x:c r="G1549" s="18" t="n">
        <x:v>744</x:v>
      </x:c>
      <x:c r="H1549" s="19" t="n">
        <x:v>19.076923076923077</x:v>
      </x:c>
      <x:c r="I1549" s="18" t="n">
        <x:f>ROUND(MIN(Model_Config_v3!$B$6,MAX(Q1549,R1549,S1549*Model_Config_v3!$B$4+T1549*Model_Config_v3!$B$5)),0)</x:f>
        <x:v>692</x:v>
      </x:c>
      <x:c r="J1549" s="18" t="n">
        <x:f>MIN(Model_Config_v3!$B$6,I1549+Model_Config_v3!$B$7)</x:f>
        <x:v>712</x:v>
      </x:c>
      <x:c r="K1549" s="20" t="n">
        <x:v>72.4</x:v>
      </x:c>
      <x:c r="L1549" t="str">
        <x:v>SANGAT KETAT</x:v>
      </x:c>
      <x:c r="M1549" t="str">
        <x:v>SEDANG+</x:v>
      </x:c>
      <x:c r="N1549" t="str">
        <x:v>ELITE-2</x:v>
      </x:c>
      <x:c r="O1549" t="str">
        <x:v>SAINTEK</x:v>
      </x:c>
      <x:c r="P1549" t="str">
        <x:v>TEKNIK/ARSITEKTUR/STATISTIKA/AKTUARIA</x:v>
      </x:c>
      <x:c r="Q1549" s="18" t="n">
        <x:v>645</x:v>
      </x:c>
      <x:c r="R1549" s="18" t="n">
        <x:v>670</x:v>
      </x:c>
      <x:c r="S1549" s="18" t="n">
        <x:v>660.8559161371318</x:v>
      </x:c>
      <x:c r="T1549" s="18" t="n">
        <x:v>705</x:v>
      </x:c>
      <x:c r="U1549" s="18" t="n">
        <x:v>660.8559161371318</x:v>
      </x:c>
      <x:c r="V1549" s="20" t="n">
        <x:v>12</x:v>
      </x:c>
      <x:c r="W1549" s="20" t="n">
        <x:v>5</x:v>
      </x:c>
      <x:c r="X1549" s="20" t="n">
        <x:v>3</x:v>
      </x:c>
      <x:c r="Y1549" t="str">
        <x:v>Basis arsip 2025/2024</x:v>
      </x:c>
      <x:c r="Z1549" t="str">
        <x:v>https://snpmb.id/utbk-snbt/daya-tampung-snbt</x:v>
      </x:c>
      <x:c r="AA1549" t="str">
        <x:v>Tidak Ada</x:v>
      </x:c>
      <x:c r="AB1549" t="str">
        <x:v>Campus=90; Ratio=75.4; Prodi=60; RelDemand=33.1; Capacity=67.5</x:v>
      </x:c>
    </x:row>
    <x:row r="1550">
      <x:c r="A1550" t="n">
        <x:v>1547</x:v>
      </x:c>
      <x:c r="B1550" t="str">
        <x:v>PTN Akademik</x:v>
      </x:c>
      <x:c r="C1550" t="str">
        <x:v>UNIVERSITAS SEBELAS MARET</x:v>
      </x:c>
      <x:c r="D1550" t="str">
        <x:v>TEKNIK INDUSTRI</x:v>
      </x:c>
      <x:c r="E1550" t="str">
        <x:v>Sarjana</x:v>
      </x:c>
      <x:c r="F1550" s="18" t="n">
        <x:v>39</x:v>
      </x:c>
      <x:c r="G1550" s="18" t="n">
        <x:v>1242</x:v>
      </x:c>
      <x:c r="H1550" s="19" t="n">
        <x:v>31.846153846153847</x:v>
      </x:c>
      <x:c r="I1550" s="18" t="n">
        <x:f>ROUND(MIN(Model_Config_v3!$B$6,MAX(Q1550,R1550,S1550*Model_Config_v3!$B$4+T1550*Model_Config_v3!$B$5)),0)</x:f>
        <x:v>707</x:v>
      </x:c>
      <x:c r="J1550" s="18" t="n">
        <x:f>MIN(Model_Config_v3!$B$6,I1550+Model_Config_v3!$B$7)</x:f>
        <x:v>727</x:v>
      </x:c>
      <x:c r="K1550" s="20" t="n">
        <x:v>77.9</x:v>
      </x:c>
      <x:c r="L1550" t="str">
        <x:v>ELITE</x:v>
      </x:c>
      <x:c r="M1550" t="str">
        <x:v>SEDANG+</x:v>
      </x:c>
      <x:c r="N1550" t="str">
        <x:v>ELITE-2</x:v>
      </x:c>
      <x:c r="O1550" t="str">
        <x:v>SAINTEK</x:v>
      </x:c>
      <x:c r="P1550" t="str">
        <x:v>TEKNIK/ARSITEKTUR/STATISTIKA/AKTUARIA</x:v>
      </x:c>
      <x:c r="Q1550" s="18" t="n">
        <x:v>645</x:v>
      </x:c>
      <x:c r="R1550" s="18" t="n">
        <x:v>670</x:v>
      </x:c>
      <x:c r="S1550" s="18" t="n">
        <x:v>685.3362687695468</x:v>
      </x:c>
      <x:c r="T1550" s="18" t="n">
        <x:v>716</x:v>
      </x:c>
      <x:c r="U1550" s="18" t="n">
        <x:v>695.3362687695468</x:v>
      </x:c>
      <x:c r="V1550" s="20" t="n">
        <x:v>12</x:v>
      </x:c>
      <x:c r="W1550" s="20" t="n">
        <x:v>5</x:v>
      </x:c>
      <x:c r="X1550" s="20" t="n">
        <x:v>3</x:v>
      </x:c>
      <x:c r="Y1550" t="str">
        <x:v>Basis arsip 2025/2024</x:v>
      </x:c>
      <x:c r="Z1550" t="str">
        <x:v>https://snpmb.id/utbk-snbt/daya-tampung-snbt</x:v>
      </x:c>
      <x:c r="AA1550" t="str">
        <x:v>Tidak Ada</x:v>
      </x:c>
      <x:c r="AB1550" t="str">
        <x:v>Campus=90; Ratio=88.5; Prodi=60; RelDemand=55.2; Capacity=67.5</x:v>
      </x:c>
    </x:row>
    <x:row r="1551">
      <x:c r="A1551" t="n">
        <x:v>1548</x:v>
      </x:c>
      <x:c r="B1551" t="str">
        <x:v>PTN Akademik</x:v>
      </x:c>
      <x:c r="C1551" t="str">
        <x:v>UNIVERSITAS SEBELAS MARET</x:v>
      </x:c>
      <x:c r="D1551" t="str">
        <x:v>TEKNIK MESIN</x:v>
      </x:c>
      <x:c r="E1551" t="str">
        <x:v>Sarjana</x:v>
      </x:c>
      <x:c r="F1551" s="18" t="n">
        <x:v>45</x:v>
      </x:c>
      <x:c r="G1551" s="18" t="n">
        <x:v>963</x:v>
      </x:c>
      <x:c r="H1551" s="19" t="n">
        <x:v>21.4</x:v>
      </x:c>
      <x:c r="I1551" s="18" t="n">
        <x:f>ROUND(MIN(Model_Config_v3!$B$6,MAX(Q1551,R1551,S1551*Model_Config_v3!$B$4+T1551*Model_Config_v3!$B$5)),0)</x:f>
        <x:v>694</x:v>
      </x:c>
      <x:c r="J1551" s="18" t="n">
        <x:f>MIN(Model_Config_v3!$B$6,I1551+Model_Config_v3!$B$7)</x:f>
        <x:v>714</x:v>
      </x:c>
      <x:c r="K1551" s="20" t="n">
        <x:v>73</x:v>
      </x:c>
      <x:c r="L1551" t="str">
        <x:v>SANGAT KETAT</x:v>
      </x:c>
      <x:c r="M1551" t="str">
        <x:v>SEDANG+</x:v>
      </x:c>
      <x:c r="N1551" t="str">
        <x:v>ELITE-2</x:v>
      </x:c>
      <x:c r="O1551" t="str">
        <x:v>SAINTEK</x:v>
      </x:c>
      <x:c r="P1551" t="str">
        <x:v>TEKNIK/ARSITEKTUR/STATISTIKA/AKTUARIA</x:v>
      </x:c>
      <x:c r="Q1551" s="18" t="n">
        <x:v>645</x:v>
      </x:c>
      <x:c r="R1551" s="18" t="n">
        <x:v>670</x:v>
      </x:c>
      <x:c r="S1551" s="18" t="n">
        <x:v>666.345515068411</x:v>
      </x:c>
      <x:c r="T1551" s="18" t="n">
        <x:v>706</x:v>
      </x:c>
      <x:c r="U1551" s="18" t="n">
        <x:v>676.345515068411</x:v>
      </x:c>
      <x:c r="V1551" s="20" t="n">
        <x:v>12</x:v>
      </x:c>
      <x:c r="W1551" s="20" t="n">
        <x:v>5</x:v>
      </x:c>
      <x:c r="X1551" s="20" t="n">
        <x:v>3</x:v>
      </x:c>
      <x:c r="Y1551" t="str">
        <x:v>Basis arsip 2025/2024</x:v>
      </x:c>
      <x:c r="Z1551" t="str">
        <x:v>https://snpmb.id/utbk-snbt/daya-tampung-snbt</x:v>
      </x:c>
      <x:c r="AA1551" t="str">
        <x:v>Tidak Ada</x:v>
      </x:c>
      <x:c r="AB1551" t="str">
        <x:v>Campus=90; Ratio=78.3; Prodi=60; RelDemand=37.1; Capacity=62.5</x:v>
      </x:c>
    </x:row>
    <x:row r="1552">
      <x:c r="A1552" t="n">
        <x:v>1549</x:v>
      </x:c>
      <x:c r="B1552" t="str">
        <x:v>PTN Akademik</x:v>
      </x:c>
      <x:c r="C1552" t="str">
        <x:v>UNIVERSITAS SEBELAS MARET</x:v>
      </x:c>
      <x:c r="D1552" t="str">
        <x:v>TEKNIK KIMIA</x:v>
      </x:c>
      <x:c r="E1552" t="str">
        <x:v>Sarjana</x:v>
      </x:c>
      <x:c r="F1552" s="18" t="n">
        <x:v>36</x:v>
      </x:c>
      <x:c r="G1552" s="18" t="n">
        <x:v>495</x:v>
      </x:c>
      <x:c r="H1552" s="19" t="n">
        <x:v>13.75</x:v>
      </x:c>
      <x:c r="I1552" s="18" t="n">
        <x:f>ROUND(MIN(Model_Config_v3!$B$6,MAX(Q1552,R1552,S1552*Model_Config_v3!$B$4+T1552*Model_Config_v3!$B$5)),0)</x:f>
        <x:v>683</x:v>
      </x:c>
      <x:c r="J1552" s="18" t="n">
        <x:f>MIN(Model_Config_v3!$B$6,I1552+Model_Config_v3!$B$7)</x:f>
        <x:v>703</x:v>
      </x:c>
      <x:c r="K1552" s="20" t="n">
        <x:v>69.6</x:v>
      </x:c>
      <x:c r="L1552" t="str">
        <x:v>SANGAT KETAT</x:v>
      </x:c>
      <x:c r="M1552" t="str">
        <x:v>SEDANG+</x:v>
      </x:c>
      <x:c r="N1552" t="str">
        <x:v>ELITE-2</x:v>
      </x:c>
      <x:c r="O1552" t="str">
        <x:v>SAINTEK</x:v>
      </x:c>
      <x:c r="P1552" t="str">
        <x:v>TEKNIK/ARSITEKTUR/STATISTIKA/AKTUARIA</x:v>
      </x:c>
      <x:c r="Q1552" s="18" t="n">
        <x:v>645</x:v>
      </x:c>
      <x:c r="R1552" s="18" t="n">
        <x:v>670</x:v>
      </x:c>
      <x:c r="S1552" s="18" t="n">
        <x:v>645.2132967982909</x:v>
      </x:c>
      <x:c r="T1552" s="18" t="n">
        <x:v>699</x:v>
      </x:c>
      <x:c r="U1552" s="18" t="n">
        <x:v>655.2132967982909</x:v>
      </x:c>
      <x:c r="V1552" s="20" t="n">
        <x:v>12</x:v>
      </x:c>
      <x:c r="W1552" s="20" t="n">
        <x:v>5</x:v>
      </x:c>
      <x:c r="X1552" s="20" t="n">
        <x:v>3</x:v>
      </x:c>
      <x:c r="Y1552" t="str">
        <x:v>Basis arsip 2025/2024</x:v>
      </x:c>
      <x:c r="Z1552" t="str">
        <x:v>https://snpmb.id/utbk-snbt/daya-tampung-snbt</x:v>
      </x:c>
      <x:c r="AA1552" t="str">
        <x:v>Tidak Ada</x:v>
      </x:c>
      <x:c r="AB1552" t="str">
        <x:v>Campus=90; Ratio=67.0; Prodi=60; RelDemand=23.8; Capacity=70.0</x:v>
      </x:c>
    </x:row>
    <x:row r="1553">
      <x:c r="A1553" t="n">
        <x:v>1550</x:v>
      </x:c>
      <x:c r="B1553" t="str">
        <x:v>PTN Akademik</x:v>
      </x:c>
      <x:c r="C1553" t="str">
        <x:v>UNIVERSITAS SEBELAS MARET</x:v>
      </x:c>
      <x:c r="D1553" t="str">
        <x:v>MATEMATIKA</x:v>
      </x:c>
      <x:c r="E1553" t="str">
        <x:v>Sarjana</x:v>
      </x:c>
      <x:c r="F1553" s="18" t="n">
        <x:v>45</x:v>
      </x:c>
      <x:c r="G1553" s="18" t="n">
        <x:v>174</x:v>
      </x:c>
      <x:c r="H1553" s="19" t="n">
        <x:v>3.8666666666666667</x:v>
      </x:c>
      <x:c r="I1553" s="18" t="n">
        <x:f>ROUND(MIN(Model_Config_v3!$B$6,MAX(Q1553,R1553,S1553*Model_Config_v3!$B$4+T1553*Model_Config_v3!$B$5)),0)</x:f>
        <x:v>647</x:v>
      </x:c>
      <x:c r="J1553" s="18" t="n">
        <x:f>MIN(Model_Config_v3!$B$6,I1553+Model_Config_v3!$B$7)</x:f>
        <x:v>667</x:v>
      </x:c>
      <x:c r="K1553" s="20" t="n">
        <x:v>57.1</x:v>
      </x:c>
      <x:c r="L1553" t="str">
        <x:v>KETAT</x:v>
      </x:c>
      <x:c r="M1553" t="str">
        <x:v>SEDANG+</x:v>
      </x:c>
      <x:c r="N1553" t="str">
        <x:v>ELITE-2</x:v>
      </x:c>
      <x:c r="O1553" t="str">
        <x:v>SAINTEK</x:v>
      </x:c>
      <x:c r="P1553" t="str">
        <x:v>SAINS DASAR</x:v>
      </x:c>
      <x:c r="Q1553" s="18" t="n">
        <x:v>645</x:v>
      </x:c>
      <x:c r="R1553" s="18" t="n">
        <x:v>0</x:v>
      </x:c>
      <x:c r="S1553" s="18" t="n">
        <x:v>584.6070407957982</x:v>
      </x:c>
      <x:c r="T1553" s="18" t="n">
        <x:v>674</x:v>
      </x:c>
      <x:c r="U1553" s="18" t="n">
        <x:v>645</x:v>
      </x:c>
      <x:c r="V1553" s="20" t="n">
        <x:v>12</x:v>
      </x:c>
      <x:c r="W1553" s="20" t="n">
        <x:v>5</x:v>
      </x:c>
      <x:c r="X1553" s="20" t="n">
        <x:v>3</x:v>
      </x:c>
      <x:c r="Y1553" t="str">
        <x:v>Basis arsip 2025/2024</x:v>
      </x:c>
      <x:c r="Z1553" t="str">
        <x:v>https://snpmb.id/utbk-snbt/daya-tampung-snbt</x:v>
      </x:c>
      <x:c r="AA1553" t="str">
        <x:v>Tidak Ada</x:v>
      </x:c>
      <x:c r="AB1553" t="str">
        <x:v>Campus=90; Ratio=34.6; Prodi=50; RelDemand=6.7; Capacity=62.5</x:v>
      </x:c>
    </x:row>
    <x:row r="1554">
      <x:c r="A1554" t="n">
        <x:v>1551</x:v>
      </x:c>
      <x:c r="B1554" t="str">
        <x:v>PTN Akademik</x:v>
      </x:c>
      <x:c r="C1554" t="str">
        <x:v>UNIVERSITAS SEBELAS MARET</x:v>
      </x:c>
      <x:c r="D1554" t="str">
        <x:v>FISIKA</x:v>
      </x:c>
      <x:c r="E1554" t="str">
        <x:v>Sarjana</x:v>
      </x:c>
      <x:c r="F1554" s="18" t="n">
        <x:v>45</x:v>
      </x:c>
      <x:c r="G1554" s="18" t="n">
        <x:v>75</x:v>
      </x:c>
      <x:c r="H1554" s="19" t="n">
        <x:v>1.6666666666666667</x:v>
      </x:c>
      <x:c r="I1554" s="18" t="n">
        <x:f>ROUND(MIN(Model_Config_v3!$B$6,MAX(Q1554,R1554,S1554*Model_Config_v3!$B$4+T1554*Model_Config_v3!$B$5)),0)</x:f>
        <x:v>645</x:v>
      </x:c>
      <x:c r="J1554" s="18" t="n">
        <x:f>MIN(Model_Config_v3!$B$6,I1554+Model_Config_v3!$B$7)</x:f>
        <x:v>665</x:v>
      </x:c>
      <x:c r="K1554" s="20" t="n">
        <x:v>51.3</x:v>
      </x:c>
      <x:c r="L1554" t="str">
        <x:v>MENENGAH</x:v>
      </x:c>
      <x:c r="M1554" t="str">
        <x:v>SEDANG+</x:v>
      </x:c>
      <x:c r="N1554" t="str">
        <x:v>ELITE-2</x:v>
      </x:c>
      <x:c r="O1554" t="str">
        <x:v>SAINTEK</x:v>
      </x:c>
      <x:c r="P1554" t="str">
        <x:v>SAINS DASAR</x:v>
      </x:c>
      <x:c r="Q1554" s="18" t="n">
        <x:v>645</x:v>
      </x:c>
      <x:c r="R1554" s="18" t="n">
        <x:v>0</x:v>
      </x:c>
      <x:c r="S1554" s="18" t="n">
        <x:v>544.4033624577992</x:v>
      </x:c>
      <x:c r="T1554" s="18" t="n">
        <x:v>663</x:v>
      </x:c>
      <x:c r="U1554" s="18" t="n">
        <x:v>645</x:v>
      </x:c>
      <x:c r="V1554" s="20" t="n">
        <x:v>12</x:v>
      </x:c>
      <x:c r="W1554" s="20" t="n">
        <x:v>5</x:v>
      </x:c>
      <x:c r="X1554" s="20" t="n">
        <x:v>3</x:v>
      </x:c>
      <x:c r="Y1554" t="str">
        <x:v>Basis arsip 2025/2024</x:v>
      </x:c>
      <x:c r="Z1554" t="str">
        <x:v>https://snpmb.id/utbk-snbt/daya-tampung-snbt</x:v>
      </x:c>
      <x:c r="AA1554" t="str">
        <x:v>Tidak Ada</x:v>
      </x:c>
      <x:c r="AB1554" t="str">
        <x:v>Campus=90; Ratio=13.1; Prodi=50; RelDemand=2.9; Capacity=62.5</x:v>
      </x:c>
    </x:row>
    <x:row r="1555">
      <x:c r="A1555" t="n">
        <x:v>1552</x:v>
      </x:c>
      <x:c r="B1555" t="str">
        <x:v>PTN Akademik</x:v>
      </x:c>
      <x:c r="C1555" t="str">
        <x:v>UNIVERSITAS SEBELAS MARET</x:v>
      </x:c>
      <x:c r="D1555" t="str">
        <x:v>KIMIA</x:v>
      </x:c>
      <x:c r="E1555" t="str">
        <x:v>Sarjana</x:v>
      </x:c>
      <x:c r="F1555" s="18" t="n">
        <x:v>27</x:v>
      </x:c>
      <x:c r="G1555" s="18" t="n">
        <x:v>177</x:v>
      </x:c>
      <x:c r="H1555" s="19" t="n">
        <x:v>6.555555555555555</x:v>
      </x:c>
      <x:c r="I1555" s="18" t="n">
        <x:f>ROUND(MIN(Model_Config_v3!$B$6,MAX(Q1555,R1555,S1555*Model_Config_v3!$B$4+T1555*Model_Config_v3!$B$5)),0)</x:f>
        <x:v>662</x:v>
      </x:c>
      <x:c r="J1555" s="18" t="n">
        <x:f>MIN(Model_Config_v3!$B$6,I1555+Model_Config_v3!$B$7)</x:f>
        <x:v>682</x:v>
      </x:c>
      <x:c r="K1555" s="20" t="n">
        <x:v>62.4</x:v>
      </x:c>
      <x:c r="L1555" t="str">
        <x:v>KETAT</x:v>
      </x:c>
      <x:c r="M1555" t="str">
        <x:v>SEDANG+</x:v>
      </x:c>
      <x:c r="N1555" t="str">
        <x:v>ELITE-2</x:v>
      </x:c>
      <x:c r="O1555" t="str">
        <x:v>SAINTEK</x:v>
      </x:c>
      <x:c r="P1555" t="str">
        <x:v>SAINS DASAR</x:v>
      </x:c>
      <x:c r="Q1555" s="18" t="n">
        <x:v>645</x:v>
      </x:c>
      <x:c r="R1555" s="18" t="n">
        <x:v>0</x:v>
      </x:c>
      <x:c r="S1555" s="18" t="n">
        <x:v>609.8270452423101</x:v>
      </x:c>
      <x:c r="T1555" s="18" t="n">
        <x:v>685</x:v>
      </x:c>
      <x:c r="U1555" s="18" t="n">
        <x:v>645</x:v>
      </x:c>
      <x:c r="V1555" s="20" t="n">
        <x:v>12</x:v>
      </x:c>
      <x:c r="W1555" s="20" t="n">
        <x:v>5</x:v>
      </x:c>
      <x:c r="X1555" s="20" t="n">
        <x:v>3</x:v>
      </x:c>
      <x:c r="Y1555" t="str">
        <x:v>Basis arsip 2025/2024</x:v>
      </x:c>
      <x:c r="Z1555" t="str">
        <x:v>https://snpmb.id/utbk-snbt/daya-tampung-snbt</x:v>
      </x:c>
      <x:c r="AA1555" t="str">
        <x:v>Tidak Ada</x:v>
      </x:c>
      <x:c r="AB1555" t="str">
        <x:v>Campus=90; Ratio=48.1; Prodi=50; RelDemand=11.4; Capacity=77.5</x:v>
      </x:c>
    </x:row>
    <x:row r="1556">
      <x:c r="A1556" t="n">
        <x:v>1553</x:v>
      </x:c>
      <x:c r="B1556" t="str">
        <x:v>PTN Akademik</x:v>
      </x:c>
      <x:c r="C1556" t="str">
        <x:v>UNIVERSITAS SEBELAS MARET</x:v>
      </x:c>
      <x:c r="D1556" t="str">
        <x:v>BIOLOGI</x:v>
      </x:c>
      <x:c r="E1556" t="str">
        <x:v>Sarjana</x:v>
      </x:c>
      <x:c r="F1556" s="18" t="n">
        <x:v>27</x:v>
      </x:c>
      <x:c r="G1556" s="18" t="n">
        <x:v>217</x:v>
      </x:c>
      <x:c r="H1556" s="19" t="n">
        <x:v>8.037037037037036</x:v>
      </x:c>
      <x:c r="I1556" s="18" t="n">
        <x:f>ROUND(MIN(Model_Config_v3!$B$6,MAX(Q1556,R1556,S1556*Model_Config_v3!$B$4+T1556*Model_Config_v3!$B$5)),0)</x:f>
        <x:v>667</x:v>
      </x:c>
      <x:c r="J1556" s="18" t="n">
        <x:f>MIN(Model_Config_v3!$B$6,I1556+Model_Config_v3!$B$7)</x:f>
        <x:v>687</x:v>
      </x:c>
      <x:c r="K1556" s="20" t="n">
        <x:v>64</x:v>
      </x:c>
      <x:c r="L1556" t="str">
        <x:v>KETAT</x:v>
      </x:c>
      <x:c r="M1556" t="str">
        <x:v>SEDANG+</x:v>
      </x:c>
      <x:c r="N1556" t="str">
        <x:v>ELITE-2</x:v>
      </x:c>
      <x:c r="O1556" t="str">
        <x:v>SAINTEK</x:v>
      </x:c>
      <x:c r="P1556" t="str">
        <x:v>SAINS DASAR</x:v>
      </x:c>
      <x:c r="Q1556" s="18" t="n">
        <x:v>645</x:v>
      </x:c>
      <x:c r="R1556" s="18" t="n">
        <x:v>0</x:v>
      </x:c>
      <x:c r="S1556" s="18" t="n">
        <x:v>619.5605566658496</x:v>
      </x:c>
      <x:c r="T1556" s="18" t="n">
        <x:v>688</x:v>
      </x:c>
      <x:c r="U1556" s="18" t="n">
        <x:v>645</x:v>
      </x:c>
      <x:c r="V1556" s="20" t="n">
        <x:v>12</x:v>
      </x:c>
      <x:c r="W1556" s="20" t="n">
        <x:v>5</x:v>
      </x:c>
      <x:c r="X1556" s="20" t="n">
        <x:v>3</x:v>
      </x:c>
      <x:c r="Y1556" t="str">
        <x:v>Basis arsip 2025/2024</x:v>
      </x:c>
      <x:c r="Z1556" t="str">
        <x:v>https://snpmb.id/utbk-snbt/daya-tampung-snbt</x:v>
      </x:c>
      <x:c r="AA1556" t="str">
        <x:v>Tidak Ada</x:v>
      </x:c>
      <x:c r="AB1556" t="str">
        <x:v>Campus=90; Ratio=53.3; Prodi=50; RelDemand=13.9; Capacity=77.5</x:v>
      </x:c>
    </x:row>
    <x:row r="1557">
      <x:c r="A1557" t="n">
        <x:v>1554</x:v>
      </x:c>
      <x:c r="B1557" t="str">
        <x:v>PTN Akademik</x:v>
      </x:c>
      <x:c r="C1557" t="str">
        <x:v>UNIVERSITAS SEBELAS MARET</x:v>
      </x:c>
      <x:c r="D1557" t="str">
        <x:v>PERENCANAAN WILAYAH DAN KOTA (PWK)</x:v>
      </x:c>
      <x:c r="E1557" t="str">
        <x:v>Sarjana</x:v>
      </x:c>
      <x:c r="F1557" s="18" t="n">
        <x:v>33</x:v>
      </x:c>
      <x:c r="G1557" s="18" t="n">
        <x:v>642</x:v>
      </x:c>
      <x:c r="H1557" s="19" t="n">
        <x:v>19.454545454545453</x:v>
      </x:c>
      <x:c r="I1557" s="18" t="n">
        <x:f>ROUND(MIN(Model_Config_v3!$B$6,MAX(Q1557,R1557,S1557*Model_Config_v3!$B$4+T1557*Model_Config_v3!$B$5)),0)</x:f>
        <x:v>687</x:v>
      </x:c>
      <x:c r="J1557" s="18" t="n">
        <x:f>MIN(Model_Config_v3!$B$6,I1557+Model_Config_v3!$B$7)</x:f>
        <x:v>707</x:v>
      </x:c>
      <x:c r="K1557" s="20" t="n">
        <x:v>69.1</x:v>
      </x:c>
      <x:c r="L1557" t="str">
        <x:v>SANGAT KETAT</x:v>
      </x:c>
      <x:c r="M1557" t="str">
        <x:v>SEDANG+</x:v>
      </x:c>
      <x:c r="N1557" t="str">
        <x:v>ELITE-2</x:v>
      </x:c>
      <x:c r="O1557" t="str">
        <x:v>CAMPURAN</x:v>
      </x:c>
      <x:c r="P1557" t="str">
        <x:v>UMUM</x:v>
      </x:c>
      <x:c r="Q1557" s="18" t="n">
        <x:v>645</x:v>
      </x:c>
      <x:c r="R1557" s="18" t="n">
        <x:v>0</x:v>
      </x:c>
      <x:c r="S1557" s="18" t="n">
        <x:v>661.7923197010062</x:v>
      </x:c>
      <x:c r="T1557" s="18" t="n">
        <x:v>698</x:v>
      </x:c>
      <x:c r="U1557" s="18" t="n">
        <x:v>661.7923197010062</x:v>
      </x:c>
      <x:c r="V1557" s="20" t="n">
        <x:v>8.8</x:v>
      </x:c>
      <x:c r="W1557" s="20" t="n">
        <x:v>9.9</x:v>
      </x:c>
      <x:c r="X1557" s="20" t="n">
        <x:v>3.3</x:v>
      </x:c>
      <x:c r="Y1557" t="str">
        <x:v>Basis arsip 2025/2024</x:v>
      </x:c>
      <x:c r="Z1557" t="str">
        <x:v>https://snpmb.id/utbk-snbt/daya-tampung-snbt</x:v>
      </x:c>
      <x:c r="AA1557" t="str">
        <x:v>Tidak Ada</x:v>
      </x:c>
      <x:c r="AB1557" t="str">
        <x:v>Campus=90; Ratio=75.9; Prodi=40; RelDemand=33.7; Capacity=72.5</x:v>
      </x:c>
    </x:row>
    <x:row r="1558">
      <x:c r="A1558" t="n">
        <x:v>1555</x:v>
      </x:c>
      <x:c r="B1558" t="str">
        <x:v>PTN Akademik</x:v>
      </x:c>
      <x:c r="C1558" t="str">
        <x:v>UNIVERSITAS SEBELAS MARET</x:v>
      </x:c>
      <x:c r="D1558" t="str">
        <x:v>INFORMATIKA</x:v>
      </x:c>
      <x:c r="E1558" t="str">
        <x:v>Sarjana</x:v>
      </x:c>
      <x:c r="F1558" s="18" t="n">
        <x:v>45</x:v>
      </x:c>
      <x:c r="G1558" s="18" t="n">
        <x:v>1916</x:v>
      </x:c>
      <x:c r="H1558" s="19" t="n">
        <x:v>42.577777777777776</x:v>
      </x:c>
      <x:c r="I1558" s="18" t="n">
        <x:f>ROUND(MIN(Model_Config_v3!$B$6,MAX(Q1558,R1558,S1558*Model_Config_v3!$B$4+T1558*Model_Config_v3!$B$5)),0)</x:f>
        <x:v>722</x:v>
      </x:c>
      <x:c r="J1558" s="18" t="n">
        <x:f>MIN(Model_Config_v3!$B$6,I1558+Model_Config_v3!$B$7)</x:f>
        <x:v>742</x:v>
      </x:c>
      <x:c r="K1558" s="20" t="n">
        <x:v>86.1</x:v>
      </x:c>
      <x:c r="L1558" t="str">
        <x:v>ULTRA ELITE</x:v>
      </x:c>
      <x:c r="M1558" t="str">
        <x:v>SEDANG+</x:v>
      </x:c>
      <x:c r="N1558" t="str">
        <x:v>ELITE-2</x:v>
      </x:c>
      <x:c r="O1558" t="str">
        <x:v>SAINTEK</x:v>
      </x:c>
      <x:c r="P1558" t="str">
        <x:v>KOMPUTER/INFORMATIKA</x:v>
      </x:c>
      <x:c r="Q1558" s="18" t="n">
        <x:v>645</x:v>
      </x:c>
      <x:c r="R1558" s="18" t="n">
        <x:v>695</x:v>
      </x:c>
      <x:c r="S1558" s="18" t="n">
        <x:v>699.2101290063899</x:v>
      </x:c>
      <x:c r="T1558" s="18" t="n">
        <x:v>732</x:v>
      </x:c>
      <x:c r="U1558" s="18" t="n">
        <x:v>724.2101290063899</x:v>
      </x:c>
      <x:c r="V1558" s="20" t="n">
        <x:v>12</x:v>
      </x:c>
      <x:c r="W1558" s="20" t="n">
        <x:v>5</x:v>
      </x:c>
      <x:c r="X1558" s="20" t="n">
        <x:v>3</x:v>
      </x:c>
      <x:c r="Y1558" t="str">
        <x:v>Basis arsip 2025/2024</x:v>
      </x:c>
      <x:c r="Z1558" t="str">
        <x:v>https://snpmb.id/utbk-snbt/daya-tampung-snbt</x:v>
      </x:c>
      <x:c r="AA1558" t="str">
        <x:v>Tidak Ada</x:v>
      </x:c>
      <x:c r="AB1558" t="str">
        <x:v>Campus=90; Ratio=95.9; Prodi=85; RelDemand=73.8; Capacity=62.5</x:v>
      </x:c>
    </x:row>
    <x:row r="1559">
      <x:c r="A1559" t="n">
        <x:v>1556</x:v>
      </x:c>
      <x:c r="B1559" t="str">
        <x:v>PTN Akademik</x:v>
      </x:c>
      <x:c r="C1559" t="str">
        <x:v>UNIVERSITAS SEBELAS MARET</x:v>
      </x:c>
      <x:c r="D1559" t="str">
        <x:v>PENDIDIKAN FISIKA</x:v>
      </x:c>
      <x:c r="E1559" t="str">
        <x:v>Sarjana</x:v>
      </x:c>
      <x:c r="F1559" s="18" t="n">
        <x:v>45</x:v>
      </x:c>
      <x:c r="G1559" s="18" t="n">
        <x:v>98</x:v>
      </x:c>
      <x:c r="H1559" s="19" t="n">
        <x:v>2.1777777777777776</x:v>
      </x:c>
      <x:c r="I1559" s="18" t="n">
        <x:f>ROUND(MIN(Model_Config_v3!$B$6,MAX(Q1559,R1559,S1559*Model_Config_v3!$B$4+T1559*Model_Config_v3!$B$5)),0)</x:f>
        <x:v>645</x:v>
      </x:c>
      <x:c r="J1559" s="18" t="n">
        <x:f>MIN(Model_Config_v3!$B$6,I1559+Model_Config_v3!$B$7)</x:f>
        <x:v>665</x:v>
      </x:c>
      <x:c r="K1559" s="20" t="n">
        <x:v>52.1</x:v>
      </x:c>
      <x:c r="L1559" t="str">
        <x:v>MENENGAH</x:v>
      </x:c>
      <x:c r="M1559" t="str">
        <x:v>SEDANG+</x:v>
      </x:c>
      <x:c r="N1559" t="str">
        <x:v>ELITE-2</x:v>
      </x:c>
      <x:c r="O1559" t="str">
        <x:v>SAINTEK</x:v>
      </x:c>
      <x:c r="P1559" t="str">
        <x:v>PENDIDIKAN</x:v>
      </x:c>
      <x:c r="Q1559" s="18" t="n">
        <x:v>645</x:v>
      </x:c>
      <x:c r="R1559" s="18" t="n">
        <x:v>0</x:v>
      </x:c>
      <x:c r="S1559" s="18" t="n">
        <x:v>557.1814918108867</x:v>
      </x:c>
      <x:c r="T1559" s="18" t="n">
        <x:v>664</x:v>
      </x:c>
      <x:c r="U1559" s="18" t="n">
        <x:v>645</x:v>
      </x:c>
      <x:c r="V1559" s="20" t="n">
        <x:v>12</x:v>
      </x:c>
      <x:c r="W1559" s="20" t="n">
        <x:v>5</x:v>
      </x:c>
      <x:c r="X1559" s="20" t="n">
        <x:v>3</x:v>
      </x:c>
      <x:c r="Y1559" t="str">
        <x:v>Basis arsip 2025/2024</x:v>
      </x:c>
      <x:c r="Z1559" t="str">
        <x:v>https://snpmb.id/utbk-snbt/daya-tampung-snbt</x:v>
      </x:c>
      <x:c r="AA1559" t="str">
        <x:v>Tidak Ada</x:v>
      </x:c>
      <x:c r="AB1559" t="str">
        <x:v>Campus=90; Ratio=19.9; Prodi=45; RelDemand=3.8; Capacity=62.5</x:v>
      </x:c>
    </x:row>
    <x:row r="1560">
      <x:c r="A1560" t="n">
        <x:v>1557</x:v>
      </x:c>
      <x:c r="B1560" t="str">
        <x:v>PTN Akademik</x:v>
      </x:c>
      <x:c r="C1560" t="str">
        <x:v>UNIVERSITAS SEBELAS MARET</x:v>
      </x:c>
      <x:c r="D1560" t="str">
        <x:v>PENDIDIKAN KIMIA</x:v>
      </x:c>
      <x:c r="E1560" t="str">
        <x:v>Sarjana</x:v>
      </x:c>
      <x:c r="F1560" s="18" t="n">
        <x:v>50</x:v>
      </x:c>
      <x:c r="G1560" s="18" t="n">
        <x:v>139</x:v>
      </x:c>
      <x:c r="H1560" s="19" t="n">
        <x:v>2.78</x:v>
      </x:c>
      <x:c r="I1560" s="18" t="n">
        <x:f>ROUND(MIN(Model_Config_v3!$B$6,MAX(Q1560,R1560,S1560*Model_Config_v3!$B$4+T1560*Model_Config_v3!$B$5)),0)</x:f>
        <x:v>645</x:v>
      </x:c>
      <x:c r="J1560" s="18" t="n">
        <x:f>MIN(Model_Config_v3!$B$6,I1560+Model_Config_v3!$B$7)</x:f>
        <x:v>665</x:v>
      </x:c>
      <x:c r="K1560" s="20" t="n">
        <x:v>53.3</x:v>
      </x:c>
      <x:c r="L1560" t="str">
        <x:v>MENENGAH</x:v>
      </x:c>
      <x:c r="M1560" t="str">
        <x:v>SEDANG+</x:v>
      </x:c>
      <x:c r="N1560" t="str">
        <x:v>ELITE-2</x:v>
      </x:c>
      <x:c r="O1560" t="str">
        <x:v>SAINTEK</x:v>
      </x:c>
      <x:c r="P1560" t="str">
        <x:v>PENDIDIKAN</x:v>
      </x:c>
      <x:c r="Q1560" s="18" t="n">
        <x:v>645</x:v>
      </x:c>
      <x:c r="R1560" s="18" t="n">
        <x:v>0</x:v>
      </x:c>
      <x:c r="S1560" s="18" t="n">
        <x:v>568.8449275509884</x:v>
      </x:c>
      <x:c r="T1560" s="18" t="n">
        <x:v>667</x:v>
      </x:c>
      <x:c r="U1560" s="18" t="n">
        <x:v>645</x:v>
      </x:c>
      <x:c r="V1560" s="20" t="n">
        <x:v>12</x:v>
      </x:c>
      <x:c r="W1560" s="20" t="n">
        <x:v>5</x:v>
      </x:c>
      <x:c r="X1560" s="20" t="n">
        <x:v>3</x:v>
      </x:c>
      <x:c r="Y1560" t="str">
        <x:v>Basis arsip 2025/2024</x:v>
      </x:c>
      <x:c r="Z1560" t="str">
        <x:v>https://snpmb.id/utbk-snbt/daya-tampung-snbt</x:v>
      </x:c>
      <x:c r="AA1560" t="str">
        <x:v>Tidak Ada</x:v>
      </x:c>
      <x:c r="AB1560" t="str">
        <x:v>Campus=90; Ratio=26.1; Prodi=45; RelDemand=4.8; Capacity=58.3</x:v>
      </x:c>
    </x:row>
    <x:row r="1561">
      <x:c r="A1561" t="n">
        <x:v>1558</x:v>
      </x:c>
      <x:c r="B1561" t="str">
        <x:v>PTN Akademik</x:v>
      </x:c>
      <x:c r="C1561" t="str">
        <x:v>UNIVERSITAS SEBELAS MARET</x:v>
      </x:c>
      <x:c r="D1561" t="str">
        <x:v>PENDIDIKAN BIOLOGI</x:v>
      </x:c>
      <x:c r="E1561" t="str">
        <x:v>Sarjana</x:v>
      </x:c>
      <x:c r="F1561" s="18" t="n">
        <x:v>30</x:v>
      </x:c>
      <x:c r="G1561" s="18" t="n">
        <x:v>295</x:v>
      </x:c>
      <x:c r="H1561" s="19" t="n">
        <x:v>9.833333333333334</x:v>
      </x:c>
      <x:c r="I1561" s="18" t="n">
        <x:f>ROUND(MIN(Model_Config_v3!$B$6,MAX(Q1561,R1561,S1561*Model_Config_v3!$B$4+T1561*Model_Config_v3!$B$5)),0)</x:f>
        <x:v>671</x:v>
      </x:c>
      <x:c r="J1561" s="18" t="n">
        <x:f>MIN(Model_Config_v3!$B$6,I1561+Model_Config_v3!$B$7)</x:f>
        <x:v>691</x:v>
      </x:c>
      <x:c r="K1561" s="20" t="n">
        <x:v>64.3</x:v>
      </x:c>
      <x:c r="L1561" t="str">
        <x:v>KETAT</x:v>
      </x:c>
      <x:c r="M1561" t="str">
        <x:v>SEDANG+</x:v>
      </x:c>
      <x:c r="N1561" t="str">
        <x:v>ELITE-2</x:v>
      </x:c>
      <x:c r="O1561" t="str">
        <x:v>SAINTEK</x:v>
      </x:c>
      <x:c r="P1561" t="str">
        <x:v>PENDIDIKAN</x:v>
      </x:c>
      <x:c r="Q1561" s="18" t="n">
        <x:v>645</x:v>
      </x:c>
      <x:c r="R1561" s="18" t="n">
        <x:v>0</x:v>
      </x:c>
      <x:c r="S1561" s="18" t="n">
        <x:v>629.197083738435</x:v>
      </x:c>
      <x:c r="T1561" s="18" t="n">
        <x:v>689</x:v>
      </x:c>
      <x:c r="U1561" s="18" t="n">
        <x:v>645</x:v>
      </x:c>
      <x:c r="V1561" s="20" t="n">
        <x:v>12</x:v>
      </x:c>
      <x:c r="W1561" s="20" t="n">
        <x:v>5</x:v>
      </x:c>
      <x:c r="X1561" s="20" t="n">
        <x:v>3</x:v>
      </x:c>
      <x:c r="Y1561" t="str">
        <x:v>Basis arsip 2025/2024</x:v>
      </x:c>
      <x:c r="Z1561" t="str">
        <x:v>https://snpmb.id/utbk-snbt/daya-tampung-snbt</x:v>
      </x:c>
      <x:c r="AA1561" t="str">
        <x:v>Tidak Ada</x:v>
      </x:c>
      <x:c r="AB1561" t="str">
        <x:v>Campus=90; Ratio=58.4; Prodi=45; RelDemand=17.0; Capacity=75.0</x:v>
      </x:c>
    </x:row>
    <x:row r="1562">
      <x:c r="A1562" t="n">
        <x:v>1559</x:v>
      </x:c>
      <x:c r="B1562" t="str">
        <x:v>PTN Akademik</x:v>
      </x:c>
      <x:c r="C1562" t="str">
        <x:v>UNIVERSITAS SEBELAS MARET</x:v>
      </x:c>
      <x:c r="D1562" t="str">
        <x:v>PENDIDIKAN MATEMATIKA</x:v>
      </x:c>
      <x:c r="E1562" t="str">
        <x:v>Sarjana</x:v>
      </x:c>
      <x:c r="F1562" s="18" t="n">
        <x:v>27</x:v>
      </x:c>
      <x:c r="G1562" s="18" t="n">
        <x:v>357</x:v>
      </x:c>
      <x:c r="H1562" s="19" t="n">
        <x:v>13.222222222222221</x:v>
      </x:c>
      <x:c r="I1562" s="18" t="n">
        <x:f>ROUND(MIN(Model_Config_v3!$B$6,MAX(Q1562,R1562,S1562*Model_Config_v3!$B$4+T1562*Model_Config_v3!$B$5)),0)</x:f>
        <x:v>679</x:v>
      </x:c>
      <x:c r="J1562" s="18" t="n">
        <x:f>MIN(Model_Config_v3!$B$6,I1562+Model_Config_v3!$B$7)</x:f>
        <x:v>699</x:v>
      </x:c>
      <x:c r="K1562" s="20" t="n">
        <x:v>67</x:v>
      </x:c>
      <x:c r="L1562" t="str">
        <x:v>SANGAT KETAT</x:v>
      </x:c>
      <x:c r="M1562" t="str">
        <x:v>SEDANG+</x:v>
      </x:c>
      <x:c r="N1562" t="str">
        <x:v>ELITE-2</x:v>
      </x:c>
      <x:c r="O1562" t="str">
        <x:v>SAINTEK</x:v>
      </x:c>
      <x:c r="P1562" t="str">
        <x:v>PENDIDIKAN</x:v>
      </x:c>
      <x:c r="Q1562" s="18" t="n">
        <x:v>645</x:v>
      </x:c>
      <x:c r="R1562" s="18" t="n">
        <x:v>0</x:v>
      </x:c>
      <x:c r="S1562" s="18" t="n">
        <x:v>643.3434897148527</x:v>
      </x:c>
      <x:c r="T1562" s="18" t="n">
        <x:v>694</x:v>
      </x:c>
      <x:c r="U1562" s="18" t="n">
        <x:v>645</x:v>
      </x:c>
      <x:c r="V1562" s="20" t="n">
        <x:v>12</x:v>
      </x:c>
      <x:c r="W1562" s="20" t="n">
        <x:v>5</x:v>
      </x:c>
      <x:c r="X1562" s="20" t="n">
        <x:v>3</x:v>
      </x:c>
      <x:c r="Y1562" t="str">
        <x:v>Basis arsip 2025/2024</x:v>
      </x:c>
      <x:c r="Z1562" t="str">
        <x:v>https://snpmb.id/utbk-snbt/daya-tampung-snbt</x:v>
      </x:c>
      <x:c r="AA1562" t="str">
        <x:v>Tidak Ada</x:v>
      </x:c>
      <x:c r="AB1562" t="str">
        <x:v>Campus=90; Ratio=66.0; Prodi=45; RelDemand=22.9; Capacity=77.5</x:v>
      </x:c>
    </x:row>
    <x:row r="1563">
      <x:c r="A1563" t="n">
        <x:v>1560</x:v>
      </x:c>
      <x:c r="B1563" t="str">
        <x:v>PTN Akademik</x:v>
      </x:c>
      <x:c r="C1563" t="str">
        <x:v>UNIVERSITAS SEBELAS MARET</x:v>
      </x:c>
      <x:c r="D1563" t="str">
        <x:v>PENDIDIKAN TEKNIK MESIN</x:v>
      </x:c>
      <x:c r="E1563" t="str">
        <x:v>Sarjana</x:v>
      </x:c>
      <x:c r="F1563" s="18" t="n">
        <x:v>45</x:v>
      </x:c>
      <x:c r="G1563" s="18" t="n">
        <x:v>172</x:v>
      </x:c>
      <x:c r="H1563" s="19" t="n">
        <x:v>3.8222222222222224</x:v>
      </x:c>
      <x:c r="I1563" s="18" t="n">
        <x:f>ROUND(MIN(Model_Config_v3!$B$6,MAX(Q1563,R1563,S1563*Model_Config_v3!$B$4+T1563*Model_Config_v3!$B$5)),0)</x:f>
        <x:v>646</x:v>
      </x:c>
      <x:c r="J1563" s="18" t="n">
        <x:f>MIN(Model_Config_v3!$B$6,I1563+Model_Config_v3!$B$7)</x:f>
        <x:v>666</x:v>
      </x:c>
      <x:c r="K1563" s="20" t="n">
        <x:v>56</x:v>
      </x:c>
      <x:c r="L1563" t="str">
        <x:v>KETAT</x:v>
      </x:c>
      <x:c r="M1563" t="str">
        <x:v>SEDANG+</x:v>
      </x:c>
      <x:c r="N1563" t="str">
        <x:v>ELITE-2</x:v>
      </x:c>
      <x:c r="O1563" t="str">
        <x:v>SAINTEK</x:v>
      </x:c>
      <x:c r="P1563" t="str">
        <x:v>PENDIDIKAN</x:v>
      </x:c>
      <x:c r="Q1563" s="18" t="n">
        <x:v>645</x:v>
      </x:c>
      <x:c r="R1563" s="18" t="n">
        <x:v>0</x:v>
      </x:c>
      <x:c r="S1563" s="18" t="n">
        <x:v>584.0547526445425</x:v>
      </x:c>
      <x:c r="T1563" s="18" t="n">
        <x:v>672</x:v>
      </x:c>
      <x:c r="U1563" s="18" t="n">
        <x:v>645</x:v>
      </x:c>
      <x:c r="V1563" s="20" t="n">
        <x:v>12</x:v>
      </x:c>
      <x:c r="W1563" s="20" t="n">
        <x:v>5</x:v>
      </x:c>
      <x:c r="X1563" s="20" t="n">
        <x:v>3</x:v>
      </x:c>
      <x:c r="Y1563" t="str">
        <x:v>Basis arsip 2025/2024</x:v>
      </x:c>
      <x:c r="Z1563" t="str">
        <x:v>https://snpmb.id/utbk-snbt/daya-tampung-snbt</x:v>
      </x:c>
      <x:c r="AA1563" t="str">
        <x:v>Tidak Ada</x:v>
      </x:c>
      <x:c r="AB1563" t="str">
        <x:v>Campus=90; Ratio=34.3; Prodi=45; RelDemand=6.6; Capacity=62.5</x:v>
      </x:c>
    </x:row>
    <x:row r="1564">
      <x:c r="A1564" t="n">
        <x:v>1561</x:v>
      </x:c>
      <x:c r="B1564" t="str">
        <x:v>PTN Akademik</x:v>
      </x:c>
      <x:c r="C1564" t="str">
        <x:v>UNIVERSITAS SEBELAS MARET</x:v>
      </x:c>
      <x:c r="D1564" t="str">
        <x:v>PENDIDIKAN TEKNIK BANGUNAN</x:v>
      </x:c>
      <x:c r="E1564" t="str">
        <x:v>Sarjana</x:v>
      </x:c>
      <x:c r="F1564" s="18" t="n">
        <x:v>45</x:v>
      </x:c>
      <x:c r="G1564" s="18" t="n">
        <x:v>130</x:v>
      </x:c>
      <x:c r="H1564" s="19" t="n">
        <x:v>2.888888888888889</x:v>
      </x:c>
      <x:c r="I1564" s="18" t="n">
        <x:f>ROUND(MIN(Model_Config_v3!$B$6,MAX(Q1564,R1564,S1564*Model_Config_v3!$B$4+T1564*Model_Config_v3!$B$5)),0)</x:f>
        <x:v>645</x:v>
      </x:c>
      <x:c r="J1564" s="18" t="n">
        <x:f>MIN(Model_Config_v3!$B$6,I1564+Model_Config_v3!$B$7)</x:f>
        <x:v>665</x:v>
      </x:c>
      <x:c r="K1564" s="20" t="n">
        <x:v>54</x:v>
      </x:c>
      <x:c r="L1564" t="str">
        <x:v>MENENGAH</x:v>
      </x:c>
      <x:c r="M1564" t="str">
        <x:v>SEDANG+</x:v>
      </x:c>
      <x:c r="N1564" t="str">
        <x:v>ELITE-2</x:v>
      </x:c>
      <x:c r="O1564" t="str">
        <x:v>SAINTEK</x:v>
      </x:c>
      <x:c r="P1564" t="str">
        <x:v>PENDIDIKAN</x:v>
      </x:c>
      <x:c r="Q1564" s="18" t="n">
        <x:v>645</x:v>
      </x:c>
      <x:c r="R1564" s="18" t="n">
        <x:v>0</x:v>
      </x:c>
      <x:c r="S1564" s="18" t="n">
        <x:v>570.6803922384643</x:v>
      </x:c>
      <x:c r="T1564" s="18" t="n">
        <x:v>668</x:v>
      </x:c>
      <x:c r="U1564" s="18" t="n">
        <x:v>645</x:v>
      </x:c>
      <x:c r="V1564" s="20" t="n">
        <x:v>12</x:v>
      </x:c>
      <x:c r="W1564" s="20" t="n">
        <x:v>5</x:v>
      </x:c>
      <x:c r="X1564" s="20" t="n">
        <x:v>3</x:v>
      </x:c>
      <x:c r="Y1564" t="str">
        <x:v>Basis arsip 2025/2024</x:v>
      </x:c>
      <x:c r="Z1564" t="str">
        <x:v>https://snpmb.id/utbk-snbt/daya-tampung-snbt</x:v>
      </x:c>
      <x:c r="AA1564" t="str">
        <x:v>Tidak Ada</x:v>
      </x:c>
      <x:c r="AB1564" t="str">
        <x:v>Campus=90; Ratio=27.1; Prodi=45; RelDemand=5.0; Capacity=62.5</x:v>
      </x:c>
    </x:row>
    <x:row r="1565">
      <x:c r="A1565" t="n">
        <x:v>1562</x:v>
      </x:c>
      <x:c r="B1565" t="str">
        <x:v>PTN Akademik</x:v>
      </x:c>
      <x:c r="C1565" t="str">
        <x:v>UNIVERSITAS SEBELAS MARET</x:v>
      </x:c>
      <x:c r="D1565" t="str">
        <x:v>PENDIDIKAN TEKNIK INFORMATIKA &amp; KOMPUTER</x:v>
      </x:c>
      <x:c r="E1565" t="str">
        <x:v>Sarjana</x:v>
      </x:c>
      <x:c r="F1565" s="18" t="n">
        <x:v>27</x:v>
      </x:c>
      <x:c r="G1565" s="18" t="n">
        <x:v>552</x:v>
      </x:c>
      <x:c r="H1565" s="19" t="n">
        <x:v>20.444444444444443</x:v>
      </x:c>
      <x:c r="I1565" s="18" t="n">
        <x:f>ROUND(MIN(Model_Config_v3!$B$6,MAX(Q1565,R1565,S1565*Model_Config_v3!$B$4+T1565*Model_Config_v3!$B$5)),0)</x:f>
        <x:v>702</x:v>
      </x:c>
      <x:c r="J1565" s="18" t="n">
        <x:f>MIN(Model_Config_v3!$B$6,I1565+Model_Config_v3!$B$7)</x:f>
        <x:v>722</x:v>
      </x:c>
      <x:c r="K1565" s="20" t="n">
        <x:v>79.1</x:v>
      </x:c>
      <x:c r="L1565" t="str">
        <x:v>ELITE</x:v>
      </x:c>
      <x:c r="M1565" t="str">
        <x:v>SEDANG+</x:v>
      </x:c>
      <x:c r="N1565" t="str">
        <x:v>ELITE-2</x:v>
      </x:c>
      <x:c r="O1565" t="str">
        <x:v>SAINTEK</x:v>
      </x:c>
      <x:c r="P1565" t="str">
        <x:v>KOMPUTER/INFORMATIKA</x:v>
      </x:c>
      <x:c r="Q1565" s="18" t="n">
        <x:v>645</x:v>
      </x:c>
      <x:c r="R1565" s="18" t="n">
        <x:v>695</x:v>
      </x:c>
      <x:c r="S1565" s="18" t="n">
        <x:v>664.1632844927233</x:v>
      </x:c>
      <x:c r="T1565" s="18" t="n">
        <x:v>718</x:v>
      </x:c>
      <x:c r="U1565" s="18" t="n">
        <x:v>695</x:v>
      </x:c>
      <x:c r="V1565" s="20" t="n">
        <x:v>12</x:v>
      </x:c>
      <x:c r="W1565" s="20" t="n">
        <x:v>5</x:v>
      </x:c>
      <x:c r="X1565" s="20" t="n">
        <x:v>3</x:v>
      </x:c>
      <x:c r="Y1565" t="str">
        <x:v>Basis arsip 2025/2024</x:v>
      </x:c>
      <x:c r="Z1565" t="str">
        <x:v>https://snpmb.id/utbk-snbt/daya-tampung-snbt</x:v>
      </x:c>
      <x:c r="AA1565" t="str">
        <x:v>Tidak Ada</x:v>
      </x:c>
      <x:c r="AB1565" t="str">
        <x:v>Campus=90; Ratio=77.1; Prodi=85; RelDemand=35.4; Capacity=77.5</x:v>
      </x:c>
    </x:row>
    <x:row r="1566">
      <x:c r="A1566" t="n">
        <x:v>1563</x:v>
      </x:c>
      <x:c r="B1566" t="str">
        <x:v>PTN Akademik</x:v>
      </x:c>
      <x:c r="C1566" t="str">
        <x:v>UNIVERSITAS SEBELAS MARET</x:v>
      </x:c>
      <x:c r="D1566" t="str">
        <x:v>ILMU TANAH</x:v>
      </x:c>
      <x:c r="E1566" t="str">
        <x:v>Sarjana</x:v>
      </x:c>
      <x:c r="F1566" s="18" t="n">
        <x:v>39</x:v>
      </x:c>
      <x:c r="G1566" s="18" t="n">
        <x:v>410</x:v>
      </x:c>
      <x:c r="H1566" s="19" t="n">
        <x:v>10.512820512820513</x:v>
      </x:c>
      <x:c r="I1566" s="18" t="n">
        <x:f>ROUND(MIN(Model_Config_v3!$B$6,MAX(Q1566,R1566,S1566*Model_Config_v3!$B$4+T1566*Model_Config_v3!$B$5)),0)</x:f>
        <x:v>670</x:v>
      </x:c>
      <x:c r="J1566" s="18" t="n">
        <x:f>MIN(Model_Config_v3!$B$6,I1566+Model_Config_v3!$B$7)</x:f>
        <x:v>690</x:v>
      </x:c>
      <x:c r="K1566" s="20" t="n">
        <x:v>63.1</x:v>
      </x:c>
      <x:c r="L1566" t="str">
        <x:v>KETAT</x:v>
      </x:c>
      <x:c r="M1566" t="str">
        <x:v>SEDANG+</x:v>
      </x:c>
      <x:c r="N1566" t="str">
        <x:v>ELITE-2</x:v>
      </x:c>
      <x:c r="O1566" t="str">
        <x:v>CAMPURAN</x:v>
      </x:c>
      <x:c r="P1566" t="str">
        <x:v>UMUM</x:v>
      </x:c>
      <x:c r="Q1566" s="18" t="n">
        <x:v>645</x:v>
      </x:c>
      <x:c r="R1566" s="18" t="n">
        <x:v>0</x:v>
      </x:c>
      <x:c r="S1566" s="18" t="n">
        <x:v>632.3891174662559</x:v>
      </x:c>
      <x:c r="T1566" s="18" t="n">
        <x:v>686</x:v>
      </x:c>
      <x:c r="U1566" s="18" t="n">
        <x:v>645</x:v>
      </x:c>
      <x:c r="V1566" s="20" t="n">
        <x:v>8.8</x:v>
      </x:c>
      <x:c r="W1566" s="20" t="n">
        <x:v>9.9</x:v>
      </x:c>
      <x:c r="X1566" s="20" t="n">
        <x:v>3.3</x:v>
      </x:c>
      <x:c r="Y1566" t="str">
        <x:v>Basis arsip 2025/2024</x:v>
      </x:c>
      <x:c r="Z1566" t="str">
        <x:v>https://snpmb.id/utbk-snbt/daya-tampung-snbt</x:v>
      </x:c>
      <x:c r="AA1566" t="str">
        <x:v>Tidak Ada</x:v>
      </x:c>
      <x:c r="AB1566" t="str">
        <x:v>Campus=90; Ratio=60.1; Prodi=40; RelDemand=18.2; Capacity=67.5</x:v>
      </x:c>
    </x:row>
    <x:row r="1567">
      <x:c r="A1567" t="n">
        <x:v>1564</x:v>
      </x:c>
      <x:c r="B1567" t="str">
        <x:v>PTN Akademik</x:v>
      </x:c>
      <x:c r="C1567" t="str">
        <x:v>UNIVERSITAS SEBELAS MARET</x:v>
      </x:c>
      <x:c r="D1567" t="str">
        <x:v>PENYULUHAN DAN KOMUNIKASI PERTANIAN</x:v>
      </x:c>
      <x:c r="E1567" t="str">
        <x:v>Sarjana</x:v>
      </x:c>
      <x:c r="F1567" s="18" t="n">
        <x:v>36</x:v>
      </x:c>
      <x:c r="G1567" s="18" t="n">
        <x:v>460</x:v>
      </x:c>
      <x:c r="H1567" s="19" t="n">
        <x:v>12.777777777777779</x:v>
      </x:c>
      <x:c r="I1567" s="18" t="n">
        <x:f>ROUND(MIN(Model_Config_v3!$B$6,MAX(Q1567,R1567,S1567*Model_Config_v3!$B$4+T1567*Model_Config_v3!$B$5)),0)</x:f>
        <x:v>676</x:v>
      </x:c>
      <x:c r="J1567" s="18" t="n">
        <x:f>MIN(Model_Config_v3!$B$6,I1567+Model_Config_v3!$B$7)</x:f>
        <x:v>696</x:v>
      </x:c>
      <x:c r="K1567" s="20" t="n">
        <x:v>65</x:v>
      </x:c>
      <x:c r="L1567" t="str">
        <x:v>SANGAT KETAT</x:v>
      </x:c>
      <x:c r="M1567" t="str">
        <x:v>SEDANG+</x:v>
      </x:c>
      <x:c r="N1567" t="str">
        <x:v>ELITE-2</x:v>
      </x:c>
      <x:c r="O1567" t="str">
        <x:v>SAINTEK</x:v>
      </x:c>
      <x:c r="P1567" t="str">
        <x:v>UMUM</x:v>
      </x:c>
      <x:c r="Q1567" s="18" t="n">
        <x:v>645</x:v>
      </x:c>
      <x:c r="R1567" s="18" t="n">
        <x:v>0</x:v>
      </x:c>
      <x:c r="S1567" s="18" t="n">
        <x:v>641.7100864005715</x:v>
      </x:c>
      <x:c r="T1567" s="18" t="n">
        <x:v>690</x:v>
      </x:c>
      <x:c r="U1567" s="18" t="n">
        <x:v>645</x:v>
      </x:c>
      <x:c r="V1567" s="20" t="n">
        <x:v>12</x:v>
      </x:c>
      <x:c r="W1567" s="20" t="n">
        <x:v>5</x:v>
      </x:c>
      <x:c r="X1567" s="20" t="n">
        <x:v>3</x:v>
      </x:c>
      <x:c r="Y1567" t="str">
        <x:v>Basis arsip 2025/2024</x:v>
      </x:c>
      <x:c r="Z1567" t="str">
        <x:v>https://snpmb.id/utbk-snbt/daya-tampung-snbt</x:v>
      </x:c>
      <x:c r="AA1567" t="str">
        <x:v>Tidak Ada</x:v>
      </x:c>
      <x:c r="AB1567" t="str">
        <x:v>Campus=90; Ratio=65.1; Prodi=40; RelDemand=22.2; Capacity=70.0</x:v>
      </x:c>
    </x:row>
    <x:row r="1568">
      <x:c r="A1568" t="n">
        <x:v>1565</x:v>
      </x:c>
      <x:c r="B1568" t="str">
        <x:v>PTN Akademik</x:v>
      </x:c>
      <x:c r="C1568" t="str">
        <x:v>UNIVERSITAS SEBELAS MARET</x:v>
      </x:c>
      <x:c r="D1568" t="str">
        <x:v>FARMASI</x:v>
      </x:c>
      <x:c r="E1568" t="str">
        <x:v>Sarjana</x:v>
      </x:c>
      <x:c r="F1568" s="18" t="n">
        <x:v>24</x:v>
      </x:c>
      <x:c r="G1568" s="18" t="n">
        <x:v>1542</x:v>
      </x:c>
      <x:c r="H1568" s="19" t="n">
        <x:v>64.25</x:v>
      </x:c>
      <x:c r="I1568" s="18" t="n">
        <x:f>ROUND(MIN(Model_Config_v3!$B$6,MAX(Q1568,R1568,S1568*Model_Config_v3!$B$4+T1568*Model_Config_v3!$B$5)),0)</x:f>
        <x:v>733</x:v>
      </x:c>
      <x:c r="J1568" s="18" t="n">
        <x:f>MIN(Model_Config_v3!$B$6,I1568+Model_Config_v3!$B$7)</x:f>
        <x:v>753</x:v>
      </x:c>
      <x:c r="K1568" s="20" t="n">
        <x:v>89.5</x:v>
      </x:c>
      <x:c r="L1568" t="str">
        <x:v>ULTRA ELITE</x:v>
      </x:c>
      <x:c r="M1568" t="str">
        <x:v>SEDANG+</x:v>
      </x:c>
      <x:c r="N1568" t="str">
        <x:v>ELITE-2</x:v>
      </x:c>
      <x:c r="O1568" t="str">
        <x:v>SAINTEK</x:v>
      </x:c>
      <x:c r="P1568" t="str">
        <x:v>FARMASI</x:v>
      </x:c>
      <x:c r="Q1568" s="18" t="n">
        <x:v>645</x:v>
      </x:c>
      <x:c r="R1568" s="18" t="n">
        <x:v>680</x:v>
      </x:c>
      <x:c r="S1568" s="18" t="n">
        <x:v>718.8660445203666</x:v>
      </x:c>
      <x:c r="T1568" s="18" t="n">
        <x:v>739</x:v>
      </x:c>
      <x:c r="U1568" s="18" t="n">
        <x:v>738.8660445203666</x:v>
      </x:c>
      <x:c r="V1568" s="20" t="n">
        <x:v>12</x:v>
      </x:c>
      <x:c r="W1568" s="20" t="n">
        <x:v>5</x:v>
      </x:c>
      <x:c r="X1568" s="20" t="n">
        <x:v>3</x:v>
      </x:c>
      <x:c r="Y1568" t="str">
        <x:v>Basis arsip 2025/2024</x:v>
      </x:c>
      <x:c r="Z1568" t="str">
        <x:v>https://snpmb.id/utbk-snbt/daya-tampung-snbt</x:v>
      </x:c>
      <x:c r="AA1568" t="str">
        <x:v>Tidak Ada</x:v>
      </x:c>
      <x:c r="AB1568" t="str">
        <x:v>Campus=90; Ratio=100.0; Prodi=75; RelDemand=100.0; Capacity=80.0</x:v>
      </x:c>
    </x:row>
    <x:row r="1569">
      <x:c r="A1569" t="n">
        <x:v>1566</x:v>
      </x:c>
      <x:c r="B1569" t="str">
        <x:v>PTN Akademik</x:v>
      </x:c>
      <x:c r="C1569" t="str">
        <x:v>UNIVERSITAS SEBELAS MARET</x:v>
      </x:c>
      <x:c r="D1569" t="str">
        <x:v>TEKNIK ELEKTRO</x:v>
      </x:c>
      <x:c r="E1569" t="str">
        <x:v>Sarjana</x:v>
      </x:c>
      <x:c r="F1569" s="18" t="n">
        <x:v>24</x:v>
      </x:c>
      <x:c r="G1569" s="18" t="n">
        <x:v>580</x:v>
      </x:c>
      <x:c r="H1569" s="19" t="n">
        <x:v>24.166666666666668</x:v>
      </x:c>
      <x:c r="I1569" s="18" t="n">
        <x:f>ROUND(MIN(Model_Config_v3!$B$6,MAX(Q1569,R1569,S1569*Model_Config_v3!$B$4+T1569*Model_Config_v3!$B$5)),0)</x:f>
        <x:v>700</x:v>
      </x:c>
      <x:c r="J1569" s="18" t="n">
        <x:f>MIN(Model_Config_v3!$B$6,I1569+Model_Config_v3!$B$7)</x:f>
        <x:v>720</x:v>
      </x:c>
      <x:c r="K1569" s="20" t="n">
        <x:v>76</x:v>
      </x:c>
      <x:c r="L1569" t="str">
        <x:v>ELITE</x:v>
      </x:c>
      <x:c r="M1569" t="str">
        <x:v>SEDANG+</x:v>
      </x:c>
      <x:c r="N1569" t="str">
        <x:v>ELITE-2</x:v>
      </x:c>
      <x:c r="O1569" t="str">
        <x:v>SAINTEK</x:v>
      </x:c>
      <x:c r="P1569" t="str">
        <x:v>TEKNIK/ARSITEKTUR/STATISTIKA/AKTUARIA</x:v>
      </x:c>
      <x:c r="Q1569" s="18" t="n">
        <x:v>645</x:v>
      </x:c>
      <x:c r="R1569" s="18" t="n">
        <x:v>670</x:v>
      </x:c>
      <x:c r="S1569" s="18" t="n">
        <x:v>672.1538427036464</x:v>
      </x:c>
      <x:c r="T1569" s="18" t="n">
        <x:v>712</x:v>
      </x:c>
      <x:c r="U1569" s="18" t="n">
        <x:v>682.1538427036464</x:v>
      </x:c>
      <x:c r="V1569" s="20" t="n">
        <x:v>12</x:v>
      </x:c>
      <x:c r="W1569" s="20" t="n">
        <x:v>5</x:v>
      </x:c>
      <x:c r="X1569" s="20" t="n">
        <x:v>3</x:v>
      </x:c>
      <x:c r="Y1569" t="str">
        <x:v>Basis arsip 2025/2024</x:v>
      </x:c>
      <x:c r="Z1569" t="str">
        <x:v>https://snpmb.id/utbk-snbt/daya-tampung-snbt</x:v>
      </x:c>
      <x:c r="AA1569" t="str">
        <x:v>Tidak Ada</x:v>
      </x:c>
      <x:c r="AB1569" t="str">
        <x:v>Campus=90; Ratio=81.4; Prodi=60; RelDemand=41.9; Capacity=80.0</x:v>
      </x:c>
    </x:row>
    <x:row r="1570">
      <x:c r="A1570" t="n">
        <x:v>1567</x:v>
      </x:c>
      <x:c r="B1570" t="str">
        <x:v>PTN Akademik</x:v>
      </x:c>
      <x:c r="C1570" t="str">
        <x:v>UNIVERSITAS SEBELAS MARET</x:v>
      </x:c>
      <x:c r="D1570" t="str">
        <x:v>STATISTIKA</x:v>
      </x:c>
      <x:c r="E1570" t="str">
        <x:v>Sarjana</x:v>
      </x:c>
      <x:c r="F1570" s="18" t="n">
        <x:v>33</x:v>
      </x:c>
      <x:c r="G1570" s="18" t="n">
        <x:v>456</x:v>
      </x:c>
      <x:c r="H1570" s="19" t="n">
        <x:v>13.818181818181818</x:v>
      </x:c>
      <x:c r="I1570" s="18" t="n">
        <x:f>ROUND(MIN(Model_Config_v3!$B$6,MAX(Q1570,R1570,S1570*Model_Config_v3!$B$4+T1570*Model_Config_v3!$B$5)),0)</x:f>
        <x:v>684</x:v>
      </x:c>
      <x:c r="J1570" s="18" t="n">
        <x:f>MIN(Model_Config_v3!$B$6,I1570+Model_Config_v3!$B$7)</x:f>
        <x:v>704</x:v>
      </x:c>
      <x:c r="K1570" s="20" t="n">
        <x:v>69.9</x:v>
      </x:c>
      <x:c r="L1570" t="str">
        <x:v>SANGAT KETAT</x:v>
      </x:c>
      <x:c r="M1570" t="str">
        <x:v>SEDANG+</x:v>
      </x:c>
      <x:c r="N1570" t="str">
        <x:v>ELITE-2</x:v>
      </x:c>
      <x:c r="O1570" t="str">
        <x:v>SAINTEK</x:v>
      </x:c>
      <x:c r="P1570" t="str">
        <x:v>TEKNIK/ARSITEKTUR/STATISTIKA/AKTUARIA</x:v>
      </x:c>
      <x:c r="Q1570" s="18" t="n">
        <x:v>645</x:v>
      </x:c>
      <x:c r="R1570" s="18" t="n">
        <x:v>670</x:v>
      </x:c>
      <x:c r="S1570" s="18" t="n">
        <x:v>645.4495993065202</x:v>
      </x:c>
      <x:c r="T1570" s="18" t="n">
        <x:v>700</x:v>
      </x:c>
      <x:c r="U1570" s="18" t="n">
        <x:v>655.4495993065202</x:v>
      </x:c>
      <x:c r="V1570" s="20" t="n">
        <x:v>12</x:v>
      </x:c>
      <x:c r="W1570" s="20" t="n">
        <x:v>5</x:v>
      </x:c>
      <x:c r="X1570" s="20" t="n">
        <x:v>3</x:v>
      </x:c>
      <x:c r="Y1570" t="str">
        <x:v>Basis arsip 2025/2024</x:v>
      </x:c>
      <x:c r="Z1570" t="str">
        <x:v>https://snpmb.id/utbk-snbt/daya-tampung-snbt</x:v>
      </x:c>
      <x:c r="AA1570" t="str">
        <x:v>Tidak Ada</x:v>
      </x:c>
      <x:c r="AB1570" t="str">
        <x:v>Campus=90; Ratio=67.1; Prodi=60; RelDemand=24.0; Capacity=72.5</x:v>
      </x:c>
    </x:row>
    <x:row r="1571">
      <x:c r="A1571" t="n">
        <x:v>1568</x:v>
      </x:c>
      <x:c r="B1571" t="str">
        <x:v>PTN Akademik</x:v>
      </x:c>
      <x:c r="C1571" t="str">
        <x:v>UNIVERSITAS SEBELAS MARET</x:v>
      </x:c>
      <x:c r="D1571" t="str">
        <x:v>PENDIDIKAN IPA</x:v>
      </x:c>
      <x:c r="E1571" t="str">
        <x:v>Sarjana</x:v>
      </x:c>
      <x:c r="F1571" s="18" t="n">
        <x:v>24</x:v>
      </x:c>
      <x:c r="G1571" s="18" t="n">
        <x:v>253</x:v>
      </x:c>
      <x:c r="H1571" s="19" t="n">
        <x:v>10.541666666666666</x:v>
      </x:c>
      <x:c r="I1571" s="18" t="n">
        <x:f>ROUND(MIN(Model_Config_v3!$B$6,MAX(Q1571,R1571,S1571*Model_Config_v3!$B$4+T1571*Model_Config_v3!$B$5)),0)</x:f>
        <x:v>673</x:v>
      </x:c>
      <x:c r="J1571" s="18" t="n">
        <x:f>MIN(Model_Config_v3!$B$6,I1571+Model_Config_v3!$B$7)</x:f>
        <x:v>693</x:v>
      </x:c>
      <x:c r="K1571" s="20" t="n">
        <x:v>65.4</x:v>
      </x:c>
      <x:c r="L1571" t="str">
        <x:v>SANGAT KETAT</x:v>
      </x:c>
      <x:c r="M1571" t="str">
        <x:v>SEDANG+</x:v>
      </x:c>
      <x:c r="N1571" t="str">
        <x:v>ELITE-2</x:v>
      </x:c>
      <x:c r="O1571" t="str">
        <x:v>CAMPURAN</x:v>
      </x:c>
      <x:c r="P1571" t="str">
        <x:v>PENDIDIKAN</x:v>
      </x:c>
      <x:c r="Q1571" s="18" t="n">
        <x:v>645</x:v>
      </x:c>
      <x:c r="R1571" s="18" t="n">
        <x:v>0</x:v>
      </x:c>
      <x:c r="S1571" s="18" t="n">
        <x:v>632.5200207410633</x:v>
      </x:c>
      <x:c r="T1571" s="18" t="n">
        <x:v>691</x:v>
      </x:c>
      <x:c r="U1571" s="18" t="n">
        <x:v>645</x:v>
      </x:c>
      <x:c r="V1571" s="20" t="n">
        <x:v>8.8</x:v>
      </x:c>
      <x:c r="W1571" s="20" t="n">
        <x:v>9.9</x:v>
      </x:c>
      <x:c r="X1571" s="20" t="n">
        <x:v>3.3</x:v>
      </x:c>
      <x:c r="Y1571" t="str">
        <x:v>Basis arsip 2025/2024</x:v>
      </x:c>
      <x:c r="Z1571" t="str">
        <x:v>https://snpmb.id/utbk-snbt/daya-tampung-snbt</x:v>
      </x:c>
      <x:c r="AA1571" t="str">
        <x:v>Tidak Ada</x:v>
      </x:c>
      <x:c r="AB1571" t="str">
        <x:v>Campus=90; Ratio=60.2; Prodi=45; RelDemand=18.3; Capacity=80.0</x:v>
      </x:c>
    </x:row>
    <x:row r="1572">
      <x:c r="A1572" t="n">
        <x:v>1569</x:v>
      </x:c>
      <x:c r="B1572" t="str">
        <x:v>PTN Akademik</x:v>
      </x:c>
      <x:c r="C1572" t="str">
        <x:v>UNIVERSITAS SEBELAS MARET</x:v>
      </x:c>
      <x:c r="D1572" t="str">
        <x:v>ILMU LINGKUNGAN</x:v>
      </x:c>
      <x:c r="E1572" t="str">
        <x:v>Sarjana</x:v>
      </x:c>
      <x:c r="F1572" s="18" t="n">
        <x:v>24</x:v>
      </x:c>
      <x:c r="G1572" s="18" t="n">
        <x:v>451</x:v>
      </x:c>
      <x:c r="H1572" s="19" t="n">
        <x:v>18.791666666666668</x:v>
      </x:c>
      <x:c r="I1572" s="18" t="n">
        <x:f>ROUND(MIN(Model_Config_v3!$B$6,MAX(Q1572,R1572,S1572*Model_Config_v3!$B$4+T1572*Model_Config_v3!$B$5)),0)</x:f>
        <x:v>687</x:v>
      </x:c>
      <x:c r="J1572" s="18" t="n">
        <x:f>MIN(Model_Config_v3!$B$6,I1572+Model_Config_v3!$B$7)</x:f>
        <x:v>707</x:v>
      </x:c>
      <x:c r="K1572" s="20" t="n">
        <x:v>69.5</x:v>
      </x:c>
      <x:c r="L1572" t="str">
        <x:v>SANGAT KETAT</x:v>
      </x:c>
      <x:c r="M1572" t="str">
        <x:v>SEDANG+</x:v>
      </x:c>
      <x:c r="N1572" t="str">
        <x:v>ELITE-2</x:v>
      </x:c>
      <x:c r="O1572" t="str">
        <x:v>CAMPURAN</x:v>
      </x:c>
      <x:c r="P1572" t="str">
        <x:v>UMUM</x:v>
      </x:c>
      <x:c r="Q1572" s="18" t="n">
        <x:v>645</x:v>
      </x:c>
      <x:c r="R1572" s="18" t="n">
        <x:v>0</x:v>
      </x:c>
      <x:c r="S1572" s="18" t="n">
        <x:v>660.136183018299</x:v>
      </x:c>
      <x:c r="T1572" s="18" t="n">
        <x:v>699</x:v>
      </x:c>
      <x:c r="U1572" s="18" t="n">
        <x:v>660.136183018299</x:v>
      </x:c>
      <x:c r="V1572" s="20" t="n">
        <x:v>8.8</x:v>
      </x:c>
      <x:c r="W1572" s="20" t="n">
        <x:v>9.9</x:v>
      </x:c>
      <x:c r="X1572" s="20" t="n">
        <x:v>3.3</x:v>
      </x:c>
      <x:c r="Y1572" t="str">
        <x:v>Basis arsip 2025/2024</x:v>
      </x:c>
      <x:c r="Z1572" t="str">
        <x:v>https://snpmb.id/utbk-snbt/daya-tampung-snbt</x:v>
      </x:c>
      <x:c r="AA1572" t="str">
        <x:v>Tidak Ada</x:v>
      </x:c>
      <x:c r="AB1572" t="str">
        <x:v>Campus=90; Ratio=75.0; Prodi=40; RelDemand=32.6; Capacity=80.0</x:v>
      </x:c>
    </x:row>
    <x:row r="1573">
      <x:c r="A1573" t="n">
        <x:v>1570</x:v>
      </x:c>
      <x:c r="B1573" t="str">
        <x:v>PTN Akademik</x:v>
      </x:c>
      <x:c r="C1573" t="str">
        <x:v>UNIVERSITAS SEBELAS MARET</x:v>
      </x:c>
      <x:c r="D1573" t="str">
        <x:v>PENGELOLAAN HUTAN</x:v>
      </x:c>
      <x:c r="E1573" t="str">
        <x:v>Sarjana</x:v>
      </x:c>
      <x:c r="F1573" s="18" t="n">
        <x:v>30</x:v>
      </x:c>
      <x:c r="G1573" s="18" t="n">
        <x:v>420</x:v>
      </x:c>
      <x:c r="H1573" s="19" t="n">
        <x:v>14</x:v>
      </x:c>
      <x:c r="I1573" s="18" t="n">
        <x:f>ROUND(MIN(Model_Config_v3!$B$6,MAX(Q1573,R1573,S1573*Model_Config_v3!$B$4+T1573*Model_Config_v3!$B$5)),0)</x:f>
        <x:v>679</x:v>
      </x:c>
      <x:c r="J1573" s="18" t="n">
        <x:f>MIN(Model_Config_v3!$B$6,I1573+Model_Config_v3!$B$7)</x:f>
        <x:v>699</x:v>
      </x:c>
      <x:c r="K1573" s="20" t="n">
        <x:v>66.3</x:v>
      </x:c>
      <x:c r="L1573" t="str">
        <x:v>SANGAT KETAT</x:v>
      </x:c>
      <x:c r="M1573" t="str">
        <x:v>SEDANG+</x:v>
      </x:c>
      <x:c r="N1573" t="str">
        <x:v>ELITE-2</x:v>
      </x:c>
      <x:c r="O1573" t="str">
        <x:v>CAMPURAN</x:v>
      </x:c>
      <x:c r="P1573" t="str">
        <x:v>UMUM</x:v>
      </x:c>
      <x:c r="Q1573" s="18" t="n">
        <x:v>645</x:v>
      </x:c>
      <x:c r="R1573" s="18" t="n">
        <x:v>0</x:v>
      </x:c>
      <x:c r="S1573" s="18" t="n">
        <x:v>646.0740839246062</x:v>
      </x:c>
      <x:c r="T1573" s="18" t="n">
        <x:v>693</x:v>
      </x:c>
      <x:c r="U1573" s="18" t="n">
        <x:v>646.0740839246062</x:v>
      </x:c>
      <x:c r="V1573" s="20" t="n">
        <x:v>8.8</x:v>
      </x:c>
      <x:c r="W1573" s="20" t="n">
        <x:v>9.9</x:v>
      </x:c>
      <x:c r="X1573" s="20" t="n">
        <x:v>3.3</x:v>
      </x:c>
      <x:c r="Y1573" t="str">
        <x:v>Basis arsip 2025/2024</x:v>
      </x:c>
      <x:c r="Z1573" t="str">
        <x:v>https://snpmb.id/utbk-snbt/daya-tampung-snbt</x:v>
      </x:c>
      <x:c r="AA1573" t="str">
        <x:v>Tidak Ada</x:v>
      </x:c>
      <x:c r="AB1573" t="str">
        <x:v>Campus=90; Ratio=67.5; Prodi=40; RelDemand=24.3; Capacity=75.0</x:v>
      </x:c>
    </x:row>
    <x:row r="1574">
      <x:c r="A1574" t="n">
        <x:v>1571</x:v>
      </x:c>
      <x:c r="B1574" t="str">
        <x:v>PTN Akademik</x:v>
      </x:c>
      <x:c r="C1574" t="str">
        <x:v>UNIVERSITAS SEBELAS MARET</x:v>
      </x:c>
      <x:c r="D1574" t="str">
        <x:v>KEBIDANAN</x:v>
      </x:c>
      <x:c r="E1574" t="str">
        <x:v>Sarjana</x:v>
      </x:c>
      <x:c r="F1574" s="18" t="n">
        <x:v>21</x:v>
      </x:c>
      <x:c r="G1574" s="18" t="n">
        <x:v>503</x:v>
      </x:c>
      <x:c r="H1574" s="19" t="n">
        <x:v>23.952380952380953</x:v>
      </x:c>
      <x:c r="I1574" s="18" t="n">
        <x:f>ROUND(MIN(Model_Config_v3!$B$6,MAX(Q1574,R1574,S1574*Model_Config_v3!$B$4+T1574*Model_Config_v3!$B$5)),0)</x:f>
        <x:v>699</x:v>
      </x:c>
      <x:c r="J1574" s="18" t="n">
        <x:f>MIN(Model_Config_v3!$B$6,I1574+Model_Config_v3!$B$7)</x:f>
        <x:v>719</x:v>
      </x:c>
      <x:c r="K1574" s="20" t="n">
        <x:v>75.2</x:v>
      </x:c>
      <x:c r="L1574" t="str">
        <x:v>ELITE</x:v>
      </x:c>
      <x:c r="M1574" t="str">
        <x:v>SEDANG+</x:v>
      </x:c>
      <x:c r="N1574" t="str">
        <x:v>ELITE-2</x:v>
      </x:c>
      <x:c r="O1574" t="str">
        <x:v>SAINTEK</x:v>
      </x:c>
      <x:c r="P1574" t="str">
        <x:v>KESEHAT/GIZI/KEPERAWATAN</x:v>
      </x:c>
      <x:c r="Q1574" s="18" t="n">
        <x:v>645</x:v>
      </x:c>
      <x:c r="R1574" s="18" t="n">
        <x:v>660</x:v>
      </x:c>
      <x:c r="S1574" s="18" t="n">
        <x:v>671.728355935421</x:v>
      </x:c>
      <x:c r="T1574" s="18" t="n">
        <x:v>710</x:v>
      </x:c>
      <x:c r="U1574" s="18" t="n">
        <x:v>671.728355935421</x:v>
      </x:c>
      <x:c r="V1574" s="20" t="n">
        <x:v>12</x:v>
      </x:c>
      <x:c r="W1574" s="20" t="n">
        <x:v>5</x:v>
      </x:c>
      <x:c r="X1574" s="20" t="n">
        <x:v>3</x:v>
      </x:c>
      <x:c r="Y1574" t="str">
        <x:v>Basis arsip 2025/2024</x:v>
      </x:c>
      <x:c r="Z1574" t="str">
        <x:v>https://snpmb.id/utbk-snbt/daya-tampung-snbt</x:v>
      </x:c>
      <x:c r="AA1574" t="str">
        <x:v>Tidak Ada</x:v>
      </x:c>
      <x:c r="AB1574" t="str">
        <x:v>Campus=90; Ratio=81.2; Prodi=55; RelDemand=41.5; Capacity=82.5</x:v>
      </x:c>
    </x:row>
    <x:row r="1575">
      <x:c r="A1575" t="n">
        <x:v>1572</x:v>
      </x:c>
      <x:c r="B1575" t="str">
        <x:v>PTN Akademik</x:v>
      </x:c>
      <x:c r="C1575" t="str">
        <x:v>UNIVERSITAS SEBELAS MARET</x:v>
      </x:c>
      <x:c r="D1575" t="str">
        <x:v>ILMU ADMINISTRASI NEGARA</x:v>
      </x:c>
      <x:c r="E1575" t="str">
        <x:v>Sarjana</x:v>
      </x:c>
      <x:c r="F1575" s="18" t="n">
        <x:v>42</x:v>
      </x:c>
      <x:c r="G1575" s="18" t="n">
        <x:v>1328</x:v>
      </x:c>
      <x:c r="H1575" s="19" t="n">
        <x:v>31.61904761904762</x:v>
      </x:c>
      <x:c r="I1575" s="18" t="n">
        <x:f>ROUND(MIN(Model_Config_v3!$B$6,MAX(Q1575,R1575,S1575*Model_Config_v3!$B$4+T1575*Model_Config_v3!$B$5)),0)</x:f>
        <x:v>700</x:v>
      </x:c>
      <x:c r="J1575" s="18" t="n">
        <x:f>MIN(Model_Config_v3!$B$6,I1575+Model_Config_v3!$B$7)</x:f>
        <x:v>720</x:v>
      </x:c>
      <x:c r="K1575" s="20" t="n">
        <x:v>73.6</x:v>
      </x:c>
      <x:c r="L1575" t="str">
        <x:v>SANGAT KETAT</x:v>
      </x:c>
      <x:c r="M1575" t="str">
        <x:v>SEDANG+</x:v>
      </x:c>
      <x:c r="N1575" t="str">
        <x:v>ELITE-2</x:v>
      </x:c>
      <x:c r="O1575" t="str">
        <x:v>SOSHUM</x:v>
      </x:c>
      <x:c r="P1575" t="str">
        <x:v>UMUM</x:v>
      </x:c>
      <x:c r="Q1575" s="18" t="n">
        <x:v>645</x:v>
      </x:c>
      <x:c r="R1575" s="18" t="n">
        <x:v>0</x:v>
      </x:c>
      <x:c r="S1575" s="18" t="n">
        <x:v>684.9943663097508</x:v>
      </x:c>
      <x:c r="T1575" s="18" t="n">
        <x:v>707</x:v>
      </x:c>
      <x:c r="U1575" s="18" t="n">
        <x:v>684.9943663097508</x:v>
      </x:c>
      <x:c r="V1575" s="20" t="n">
        <x:v>4.4</x:v>
      </x:c>
      <x:c r="W1575" s="20" t="n">
        <x:v>14.3</x:v>
      </x:c>
      <x:c r="X1575" s="20" t="n">
        <x:v>3.3</x:v>
      </x:c>
      <x:c r="Y1575" t="str">
        <x:v>Basis arsip 2025/2024</x:v>
      </x:c>
      <x:c r="Z1575" t="str">
        <x:v>https://snpmb.id/utbk-snbt/daya-tampung-snbt</x:v>
      </x:c>
      <x:c r="AA1575" t="str">
        <x:v>Tidak Ada</x:v>
      </x:c>
      <x:c r="AB1575" t="str">
        <x:v>Campus=90; Ratio=88.3; Prodi=40; RelDemand=54.8; Capacity=65.0</x:v>
      </x:c>
    </x:row>
    <x:row r="1576">
      <x:c r="A1576" t="n">
        <x:v>1573</x:v>
      </x:c>
      <x:c r="B1576" t="str">
        <x:v>PTN Akademik</x:v>
      </x:c>
      <x:c r="C1576" t="str">
        <x:v>UNIVERSITAS SEBELAS MARET</x:v>
      </x:c>
      <x:c r="D1576" t="str">
        <x:v>ILMU KOMUNIKASI</x:v>
      </x:c>
      <x:c r="E1576" t="str">
        <x:v>Sarjana</x:v>
      </x:c>
      <x:c r="F1576" s="18" t="n">
        <x:v>41</x:v>
      </x:c>
      <x:c r="G1576" s="18" t="n">
        <x:v>1947</x:v>
      </x:c>
      <x:c r="H1576" s="19" t="n">
        <x:v>47.48780487804878</x:v>
      </x:c>
      <x:c r="I1576" s="18" t="n">
        <x:f>ROUND(MIN(Model_Config_v3!$B$6,MAX(Q1576,R1576,S1576*Model_Config_v3!$B$4+T1576*Model_Config_v3!$B$5)),0)</x:f>
        <x:v>714</x:v>
      </x:c>
      <x:c r="J1576" s="18" t="n">
        <x:f>MIN(Model_Config_v3!$B$6,I1576+Model_Config_v3!$B$7)</x:f>
        <x:v>734</x:v>
      </x:c>
      <x:c r="K1576" s="20" t="n">
        <x:v>79</x:v>
      </x:c>
      <x:c r="L1576" t="str">
        <x:v>ELITE</x:v>
      </x:c>
      <x:c r="M1576" t="str">
        <x:v>SEDANG+</x:v>
      </x:c>
      <x:c r="N1576" t="str">
        <x:v>ELITE-2</x:v>
      </x:c>
      <x:c r="O1576" t="str">
        <x:v>SOSHUM</x:v>
      </x:c>
      <x:c r="P1576" t="str">
        <x:v>UMUM</x:v>
      </x:c>
      <x:c r="Q1576" s="18" t="n">
        <x:v>645</x:v>
      </x:c>
      <x:c r="R1576" s="18" t="n">
        <x:v>0</x:v>
      </x:c>
      <x:c r="S1576" s="18" t="n">
        <x:v>704.4240304280326</x:v>
      </x:c>
      <x:c r="T1576" s="18" t="n">
        <x:v>718</x:v>
      </x:c>
      <x:c r="U1576" s="18" t="n">
        <x:v>704.4240304280326</x:v>
      </x:c>
      <x:c r="V1576" s="20" t="n">
        <x:v>4.4</x:v>
      </x:c>
      <x:c r="W1576" s="20" t="n">
        <x:v>14.3</x:v>
      </x:c>
      <x:c r="X1576" s="20" t="n">
        <x:v>3.3</x:v>
      </x:c>
      <x:c r="Y1576" t="str">
        <x:v>Basis arsip 2025/2024</x:v>
      </x:c>
      <x:c r="Z1576" t="str">
        <x:v>https://snpmb.id/utbk-snbt/daya-tampung-snbt</x:v>
      </x:c>
      <x:c r="AA1576" t="str">
        <x:v>Tidak Ada</x:v>
      </x:c>
      <x:c r="AB1576" t="str">
        <x:v>Campus=90; Ratio=98.7; Prodi=40; RelDemand=82.3; Capacity=65.8</x:v>
      </x:c>
    </x:row>
    <x:row r="1577">
      <x:c r="A1577" t="n">
        <x:v>1574</x:v>
      </x:c>
      <x:c r="B1577" t="str">
        <x:v>PTN Akademik</x:v>
      </x:c>
      <x:c r="C1577" t="str">
        <x:v>UNIVERSITAS SEBELAS MARET</x:v>
      </x:c>
      <x:c r="D1577" t="str">
        <x:v>SOSIOLOGI</x:v>
      </x:c>
      <x:c r="E1577" t="str">
        <x:v>Sarjana</x:v>
      </x:c>
      <x:c r="F1577" s="18" t="n">
        <x:v>42</x:v>
      </x:c>
      <x:c r="G1577" s="18" t="n">
        <x:v>513</x:v>
      </x:c>
      <x:c r="H1577" s="19" t="n">
        <x:v>12.214285714285714</x:v>
      </x:c>
      <x:c r="I1577" s="18" t="n">
        <x:f>ROUND(MIN(Model_Config_v3!$B$6,MAX(Q1577,R1577,S1577*Model_Config_v3!$B$4+T1577*Model_Config_v3!$B$5)),0)</x:f>
        <x:v>673</x:v>
      </x:c>
      <x:c r="J1577" s="18" t="n">
        <x:f>MIN(Model_Config_v3!$B$6,I1577+Model_Config_v3!$B$7)</x:f>
        <x:v>693</x:v>
      </x:c>
      <x:c r="K1577" s="20" t="n">
        <x:v>64.1</x:v>
      </x:c>
      <x:c r="L1577" t="str">
        <x:v>KETAT</x:v>
      </x:c>
      <x:c r="M1577" t="str">
        <x:v>SEDANG+</x:v>
      </x:c>
      <x:c r="N1577" t="str">
        <x:v>ELITE-2</x:v>
      </x:c>
      <x:c r="O1577" t="str">
        <x:v>SOSHUM</x:v>
      </x:c>
      <x:c r="P1577" t="str">
        <x:v>UMUM</x:v>
      </x:c>
      <x:c r="Q1577" s="18" t="n">
        <x:v>645</x:v>
      </x:c>
      <x:c r="R1577" s="18" t="n">
        <x:v>0</x:v>
      </x:c>
      <x:c r="S1577" s="18" t="n">
        <x:v>639.5554882185307</x:v>
      </x:c>
      <x:c r="T1577" s="18" t="n">
        <x:v>688</x:v>
      </x:c>
      <x:c r="U1577" s="18" t="n">
        <x:v>645</x:v>
      </x:c>
      <x:c r="V1577" s="20" t="n">
        <x:v>4.4</x:v>
      </x:c>
      <x:c r="W1577" s="20" t="n">
        <x:v>14.3</x:v>
      </x:c>
      <x:c r="X1577" s="20" t="n">
        <x:v>3.3</x:v>
      </x:c>
      <x:c r="Y1577" t="str">
        <x:v>Basis arsip 2025/2024</x:v>
      </x:c>
      <x:c r="Z1577" t="str">
        <x:v>https://snpmb.id/utbk-snbt/daya-tampung-snbt</x:v>
      </x:c>
      <x:c r="AA1577" t="str">
        <x:v>Tidak Ada</x:v>
      </x:c>
      <x:c r="AB1577" t="str">
        <x:v>Campus=90; Ratio=64.0; Prodi=40; RelDemand=21.2; Capacity=65.0</x:v>
      </x:c>
    </x:row>
    <x:row r="1578">
      <x:c r="A1578" t="n">
        <x:v>1575</x:v>
      </x:c>
      <x:c r="B1578" t="str">
        <x:v>PTN Akademik</x:v>
      </x:c>
      <x:c r="C1578" t="str">
        <x:v>UNIVERSITAS SEBELAS MARET</x:v>
      </x:c>
      <x:c r="D1578" t="str">
        <x:v>ILMU HUKUM</x:v>
      </x:c>
      <x:c r="E1578" t="str">
        <x:v>Sarjana</x:v>
      </x:c>
      <x:c r="F1578" s="18" t="n">
        <x:v>180</x:v>
      </x:c>
      <x:c r="G1578" s="18" t="n">
        <x:v>2815</x:v>
      </x:c>
      <x:c r="H1578" s="19" t="n">
        <x:v>15.63888888888889</x:v>
      </x:c>
      <x:c r="I1578" s="18" t="n">
        <x:f>ROUND(MIN(Model_Config_v3!$B$6,MAX(Q1578,R1578,S1578*Model_Config_v3!$B$4+T1578*Model_Config_v3!$B$5)),0)</x:f>
        <x:v>678</x:v>
      </x:c>
      <x:c r="J1578" s="18" t="n">
        <x:f>MIN(Model_Config_v3!$B$6,I1578+Model_Config_v3!$B$7)</x:f>
        <x:v>698</x:v>
      </x:c>
      <x:c r="K1578" s="20" t="n">
        <x:v>64.8</x:v>
      </x:c>
      <x:c r="L1578" t="str">
        <x:v>KETAT</x:v>
      </x:c>
      <x:c r="M1578" t="str">
        <x:v>SEDANG+</x:v>
      </x:c>
      <x:c r="N1578" t="str">
        <x:v>ELITE-2</x:v>
      </x:c>
      <x:c r="O1578" t="str">
        <x:v>SOSHUM</x:v>
      </x:c>
      <x:c r="P1578" t="str">
        <x:v>HUKUM</x:v>
      </x:c>
      <x:c r="Q1578" s="18" t="n">
        <x:v>645</x:v>
      </x:c>
      <x:c r="R1578" s="18" t="n">
        <x:v>675</x:v>
      </x:c>
      <x:c r="S1578" s="18" t="n">
        <x:v>651.3626483492465</x:v>
      </x:c>
      <x:c r="T1578" s="18" t="n">
        <x:v>690</x:v>
      </x:c>
      <x:c r="U1578" s="18" t="n">
        <x:v>666.3626483492465</x:v>
      </x:c>
      <x:c r="V1578" s="20" t="n">
        <x:v>4.4</x:v>
      </x:c>
      <x:c r="W1578" s="20" t="n">
        <x:v>14.3</x:v>
      </x:c>
      <x:c r="X1578" s="20" t="n">
        <x:v>3.3</x:v>
      </x:c>
      <x:c r="Y1578" t="str">
        <x:v>Basis arsip 2025/2024</x:v>
      </x:c>
      <x:c r="Z1578" t="str">
        <x:v>https://snpmb.id/utbk-snbt/daya-tampung-snbt</x:v>
      </x:c>
      <x:c r="AA1578" t="str">
        <x:v>Tidak Ada</x:v>
      </x:c>
      <x:c r="AB1578" t="str">
        <x:v>Campus=90; Ratio=70.3; Prodi=65; RelDemand=27.1; Capacity=0.0</x:v>
      </x:c>
    </x:row>
    <x:row r="1579">
      <x:c r="A1579" t="n">
        <x:v>1576</x:v>
      </x:c>
      <x:c r="B1579" t="str">
        <x:v>PTN Akademik</x:v>
      </x:c>
      <x:c r="C1579" t="str">
        <x:v>UNIVERSITAS SEBELAS MARET</x:v>
      </x:c>
      <x:c r="D1579" t="str">
        <x:v>EKONOMI PEMBANGUNAN</x:v>
      </x:c>
      <x:c r="E1579" t="str">
        <x:v>Sarjana</x:v>
      </x:c>
      <x:c r="F1579" s="18" t="n">
        <x:v>54</x:v>
      </x:c>
      <x:c r="G1579" s="18" t="n">
        <x:v>1028</x:v>
      </x:c>
      <x:c r="H1579" s="19" t="n">
        <x:v>19.037037037037038</x:v>
      </x:c>
      <x:c r="I1579" s="18" t="n">
        <x:f>ROUND(MIN(Model_Config_v3!$B$6,MAX(Q1579,R1579,S1579*Model_Config_v3!$B$4+T1579*Model_Config_v3!$B$5)),0)</x:f>
        <x:v>691</x:v>
      </x:c>
      <x:c r="J1579" s="18" t="n">
        <x:f>MIN(Model_Config_v3!$B$6,I1579+Model_Config_v3!$B$7)</x:f>
        <x:v>711</x:v>
      </x:c>
      <x:c r="K1579" s="20" t="n">
        <x:v>72.1</x:v>
      </x:c>
      <x:c r="L1579" t="str">
        <x:v>SANGAT KETAT</x:v>
      </x:c>
      <x:c r="M1579" t="str">
        <x:v>SEDANG+</x:v>
      </x:c>
      <x:c r="N1579" t="str">
        <x:v>ELITE-2</x:v>
      </x:c>
      <x:c r="O1579" t="str">
        <x:v>SOSHUM</x:v>
      </x:c>
      <x:c r="P1579" t="str">
        <x:v>BISNIS/EKONOMI/AKUNTANSI</x:v>
      </x:c>
      <x:c r="Q1579" s="18" t="n">
        <x:v>645</x:v>
      </x:c>
      <x:c r="R1579" s="18" t="n">
        <x:v>680</x:v>
      </x:c>
      <x:c r="S1579" s="18" t="n">
        <x:v>660.7559290319917</x:v>
      </x:c>
      <x:c r="T1579" s="18" t="n">
        <x:v>704</x:v>
      </x:c>
      <x:c r="U1579" s="18" t="n">
        <x:v>660.7559290319917</x:v>
      </x:c>
      <x:c r="V1579" s="20" t="n">
        <x:v>4.4</x:v>
      </x:c>
      <x:c r="W1579" s="20" t="n">
        <x:v>14.3</x:v>
      </x:c>
      <x:c r="X1579" s="20" t="n">
        <x:v>3.3</x:v>
      </x:c>
      <x:c r="Y1579" t="str">
        <x:v>Basis arsip 2025/2024</x:v>
      </x:c>
      <x:c r="Z1579" t="str">
        <x:v>https://snpmb.id/utbk-snbt/daya-tampung-snbt</x:v>
      </x:c>
      <x:c r="AA1579" t="str">
        <x:v>Tidak Ada</x:v>
      </x:c>
      <x:c r="AB1579" t="str">
        <x:v>Campus=90; Ratio=75.3; Prodi=65; RelDemand=33.0; Capacity=55.0</x:v>
      </x:c>
    </x:row>
    <x:row r="1580">
      <x:c r="A1580" t="n">
        <x:v>1577</x:v>
      </x:c>
      <x:c r="B1580" t="str">
        <x:v>PTN Akademik</x:v>
      </x:c>
      <x:c r="C1580" t="str">
        <x:v>UNIVERSITAS SEBELAS MARET</x:v>
      </x:c>
      <x:c r="D1580" t="str">
        <x:v>MANAJEMEN</x:v>
      </x:c>
      <x:c r="E1580" t="str">
        <x:v>Sarjana</x:v>
      </x:c>
      <x:c r="F1580" s="18" t="n">
        <x:v>60</x:v>
      </x:c>
      <x:c r="G1580" s="18" t="n">
        <x:v>2802</x:v>
      </x:c>
      <x:c r="H1580" s="19" t="n">
        <x:v>46.7</x:v>
      </x:c>
      <x:c r="I1580" s="18" t="n">
        <x:f>ROUND(MIN(Model_Config_v3!$B$6,MAX(Q1580,R1580,S1580*Model_Config_v3!$B$4+T1580*Model_Config_v3!$B$5)),0)</x:f>
        <x:v>718</x:v>
      </x:c>
      <x:c r="J1580" s="18" t="n">
        <x:f>MIN(Model_Config_v3!$B$6,I1580+Model_Config_v3!$B$7)</x:f>
        <x:v>738</x:v>
      </x:c>
      <x:c r="K1580" s="20" t="n">
        <x:v>82.2</x:v>
      </x:c>
      <x:c r="L1580" t="str">
        <x:v>ELITE</x:v>
      </x:c>
      <x:c r="M1580" t="str">
        <x:v>SEDANG+</x:v>
      </x:c>
      <x:c r="N1580" t="str">
        <x:v>ELITE-2</x:v>
      </x:c>
      <x:c r="O1580" t="str">
        <x:v>SOSHUM</x:v>
      </x:c>
      <x:c r="P1580" t="str">
        <x:v>BISNIS/EKONOMI/AKUNTANSI</x:v>
      </x:c>
      <x:c r="Q1580" s="18" t="n">
        <x:v>645</x:v>
      </x:c>
      <x:c r="R1580" s="18" t="n">
        <x:v>680</x:v>
      </x:c>
      <x:c r="S1580" s="18" t="n">
        <x:v>703.6248568622723</x:v>
      </x:c>
      <x:c r="T1580" s="18" t="n">
        <x:v>724</x:v>
      </x:c>
      <x:c r="U1580" s="18" t="n">
        <x:v>718.6248568622723</x:v>
      </x:c>
      <x:c r="V1580" s="20" t="n">
        <x:v>4.4</x:v>
      </x:c>
      <x:c r="W1580" s="20" t="n">
        <x:v>14.3</x:v>
      </x:c>
      <x:c r="X1580" s="20" t="n">
        <x:v>3.3</x:v>
      </x:c>
      <x:c r="Y1580" t="str">
        <x:v>Basis arsip 2025/2024</x:v>
      </x:c>
      <x:c r="Z1580" t="str">
        <x:v>https://snpmb.id/utbk-snbt/daya-tampung-snbt</x:v>
      </x:c>
      <x:c r="AA1580" t="str">
        <x:v>Tidak Ada</x:v>
      </x:c>
      <x:c r="AB1580" t="str">
        <x:v>Campus=90; Ratio=98.3; Prodi=65; RelDemand=81.0; Capacity=50.0</x:v>
      </x:c>
    </x:row>
    <x:row r="1581">
      <x:c r="A1581" t="n">
        <x:v>1578</x:v>
      </x:c>
      <x:c r="B1581" t="str">
        <x:v>PTN Akademik</x:v>
      </x:c>
      <x:c r="C1581" t="str">
        <x:v>UNIVERSITAS SEBELAS MARET</x:v>
      </x:c>
      <x:c r="D1581" t="str">
        <x:v>AKUNTANSI</x:v>
      </x:c>
      <x:c r="E1581" t="str">
        <x:v>Sarjana</x:v>
      </x:c>
      <x:c r="F1581" s="18" t="n">
        <x:v>51</x:v>
      </x:c>
      <x:c r="G1581" s="18" t="n">
        <x:v>1782</x:v>
      </x:c>
      <x:c r="H1581" s="19" t="n">
        <x:v>34.94117647058823</x:v>
      </x:c>
      <x:c r="I1581" s="18" t="n">
        <x:f>ROUND(MIN(Model_Config_v3!$B$6,MAX(Q1581,R1581,S1581*Model_Config_v3!$B$4+T1581*Model_Config_v3!$B$5)),0)</x:f>
        <x:v>710</x:v>
      </x:c>
      <x:c r="J1581" s="18" t="n">
        <x:f>MIN(Model_Config_v3!$B$6,I1581+Model_Config_v3!$B$7)</x:f>
        <x:v>730</x:v>
      </x:c>
      <x:c r="K1581" s="20" t="n">
        <x:v>79</x:v>
      </x:c>
      <x:c r="L1581" t="str">
        <x:v>ELITE</x:v>
      </x:c>
      <x:c r="M1581" t="str">
        <x:v>SEDANG+</x:v>
      </x:c>
      <x:c r="N1581" t="str">
        <x:v>ELITE-2</x:v>
      </x:c>
      <x:c r="O1581" t="str">
        <x:v>SOSHUM</x:v>
      </x:c>
      <x:c r="P1581" t="str">
        <x:v>BISNIS/EKONOMI/AKUNTANSI</x:v>
      </x:c>
      <x:c r="Q1581" s="18" t="n">
        <x:v>645</x:v>
      </x:c>
      <x:c r="R1581" s="18" t="n">
        <x:v>680</x:v>
      </x:c>
      <x:c r="S1581" s="18" t="n">
        <x:v>689.7671275963212</x:v>
      </x:c>
      <x:c r="T1581" s="18" t="n">
        <x:v>718</x:v>
      </x:c>
      <x:c r="U1581" s="18" t="n">
        <x:v>689.7671275963212</x:v>
      </x:c>
      <x:c r="V1581" s="20" t="n">
        <x:v>4.4</x:v>
      </x:c>
      <x:c r="W1581" s="20" t="n">
        <x:v>14.3</x:v>
      </x:c>
      <x:c r="X1581" s="20" t="n">
        <x:v>3.3</x:v>
      </x:c>
      <x:c r="Y1581" t="str">
        <x:v>Basis arsip 2025/2024</x:v>
      </x:c>
      <x:c r="Z1581" t="str">
        <x:v>https://snpmb.id/utbk-snbt/daya-tampung-snbt</x:v>
      </x:c>
      <x:c r="AA1581" t="str">
        <x:v>Tidak Ada</x:v>
      </x:c>
      <x:c r="AB1581" t="str">
        <x:v>Campus=90; Ratio=90.8; Prodi=65; RelDemand=60.6; Capacity=57.5</x:v>
      </x:c>
    </x:row>
    <x:row r="1582">
      <x:c r="A1582" t="n">
        <x:v>1579</x:v>
      </x:c>
      <x:c r="B1582" t="str">
        <x:v>PTN Akademik</x:v>
      </x:c>
      <x:c r="C1582" t="str">
        <x:v>UNIVERSITAS SEBELAS MARET</x:v>
      </x:c>
      <x:c r="D1582" t="str">
        <x:v>ILMU SEJARAH</x:v>
      </x:c>
      <x:c r="E1582" t="str">
        <x:v>Sarjana</x:v>
      </x:c>
      <x:c r="F1582" s="18" t="n">
        <x:v>26</x:v>
      </x:c>
      <x:c r="G1582" s="18" t="n">
        <x:v>242</x:v>
      </x:c>
      <x:c r="H1582" s="19" t="n">
        <x:v>9.307692307692308</x:v>
      </x:c>
      <x:c r="I1582" s="18" t="n">
        <x:f>ROUND(MIN(Model_Config_v3!$B$6,MAX(Q1582,R1582,S1582*Model_Config_v3!$B$4+T1582*Model_Config_v3!$B$5)),0)</x:f>
        <x:v>668</x:v>
      </x:c>
      <x:c r="J1582" s="18" t="n">
        <x:f>MIN(Model_Config_v3!$B$6,I1582+Model_Config_v3!$B$7)</x:f>
        <x:v>688</x:v>
      </x:c>
      <x:c r="K1582" s="20" t="n">
        <x:v>63.2</x:v>
      </x:c>
      <x:c r="L1582" t="str">
        <x:v>KETAT</x:v>
      </x:c>
      <x:c r="M1582" t="str">
        <x:v>SEDANG+</x:v>
      </x:c>
      <x:c r="N1582" t="str">
        <x:v>ELITE-2</x:v>
      </x:c>
      <x:c r="O1582" t="str">
        <x:v>SOSHUM</x:v>
      </x:c>
      <x:c r="P1582" t="str">
        <x:v>UMUM</x:v>
      </x:c>
      <x:c r="Q1582" s="18" t="n">
        <x:v>645</x:v>
      </x:c>
      <x:c r="R1582" s="18" t="n">
        <x:v>0</x:v>
      </x:c>
      <x:c r="S1582" s="18" t="n">
        <x:v>626.5726219810574</x:v>
      </x:c>
      <x:c r="T1582" s="18" t="n">
        <x:v>686</x:v>
      </x:c>
      <x:c r="U1582" s="18" t="n">
        <x:v>645</x:v>
      </x:c>
      <x:c r="V1582" s="20" t="n">
        <x:v>4.4</x:v>
      </x:c>
      <x:c r="W1582" s="20" t="n">
        <x:v>14.3</x:v>
      </x:c>
      <x:c r="X1582" s="20" t="n">
        <x:v>3.3</x:v>
      </x:c>
      <x:c r="Y1582" t="str">
        <x:v>Basis arsip 2025/2024</x:v>
      </x:c>
      <x:c r="Z1582" t="str">
        <x:v>https://snpmb.id/utbk-snbt/daya-tampung-snbt</x:v>
      </x:c>
      <x:c r="AA1582" t="str">
        <x:v>Tidak Ada</x:v>
      </x:c>
      <x:c r="AB1582" t="str">
        <x:v>Campus=90; Ratio=57.0; Prodi=40; RelDemand=16.1; Capacity=78.3</x:v>
      </x:c>
    </x:row>
    <x:row r="1583">
      <x:c r="A1583" t="n">
        <x:v>1580</x:v>
      </x:c>
      <x:c r="B1583" t="str">
        <x:v>PTN Akademik</x:v>
      </x:c>
      <x:c r="C1583" t="str">
        <x:v>UNIVERSITAS SEBELAS MARET</x:v>
      </x:c>
      <x:c r="D1583" t="str">
        <x:v>SASTRA INDONESIA</x:v>
      </x:c>
      <x:c r="E1583" t="str">
        <x:v>Sarjana</x:v>
      </x:c>
      <x:c r="F1583" s="18" t="n">
        <x:v>26</x:v>
      </x:c>
      <x:c r="G1583" s="18" t="n">
        <x:v>324</x:v>
      </x:c>
      <x:c r="H1583" s="19" t="n">
        <x:v>12.461538461538462</x:v>
      </x:c>
      <x:c r="I1583" s="18" t="n">
        <x:f>ROUND(MIN(Model_Config_v3!$B$6,MAX(Q1583,R1583,S1583*Model_Config_v3!$B$4+T1583*Model_Config_v3!$B$5)),0)</x:f>
        <x:v>676</x:v>
      </x:c>
      <x:c r="J1583" s="18" t="n">
        <x:f>MIN(Model_Config_v3!$B$6,I1583+Model_Config_v3!$B$7)</x:f>
        <x:v>696</x:v>
      </x:c>
      <x:c r="K1583" s="20" t="n">
        <x:v>65.6</x:v>
      </x:c>
      <x:c r="L1583" t="str">
        <x:v>SANGAT KETAT</x:v>
      </x:c>
      <x:c r="M1583" t="str">
        <x:v>SEDANG+</x:v>
      </x:c>
      <x:c r="N1583" t="str">
        <x:v>ELITE-2</x:v>
      </x:c>
      <x:c r="O1583" t="str">
        <x:v>SOSHUM</x:v>
      </x:c>
      <x:c r="P1583" t="str">
        <x:v>UMUM</x:v>
      </x:c>
      <x:c r="Q1583" s="18" t="n">
        <x:v>645</x:v>
      </x:c>
      <x:c r="R1583" s="18" t="n">
        <x:v>0</x:v>
      </x:c>
      <x:c r="S1583" s="18" t="n">
        <x:v>640.5128828459374</x:v>
      </x:c>
      <x:c r="T1583" s="18" t="n">
        <x:v>691</x:v>
      </x:c>
      <x:c r="U1583" s="18" t="n">
        <x:v>645</x:v>
      </x:c>
      <x:c r="V1583" s="20" t="n">
        <x:v>4.4</x:v>
      </x:c>
      <x:c r="W1583" s="20" t="n">
        <x:v>14.3</x:v>
      </x:c>
      <x:c r="X1583" s="20" t="n">
        <x:v>3.3</x:v>
      </x:c>
      <x:c r="Y1583" t="str">
        <x:v>Basis arsip 2025/2024</x:v>
      </x:c>
      <x:c r="Z1583" t="str">
        <x:v>https://snpmb.id/utbk-snbt/daya-tampung-snbt</x:v>
      </x:c>
      <x:c r="AA1583" t="str">
        <x:v>Tidak Ada</x:v>
      </x:c>
      <x:c r="AB1583" t="str">
        <x:v>Campus=90; Ratio=64.5; Prodi=40; RelDemand=21.6; Capacity=78.3</x:v>
      </x:c>
    </x:row>
    <x:row r="1584">
      <x:c r="A1584" t="n">
        <x:v>1581</x:v>
      </x:c>
      <x:c r="B1584" t="str">
        <x:v>PTN Akademik</x:v>
      </x:c>
      <x:c r="C1584" t="str">
        <x:v>UNIVERSITAS SEBELAS MARET</x:v>
      </x:c>
      <x:c r="D1584" t="str">
        <x:v>SASTRA INGGRIS</x:v>
      </x:c>
      <x:c r="E1584" t="str">
        <x:v>Sarjana</x:v>
      </x:c>
      <x:c r="F1584" s="18" t="n">
        <x:v>26</x:v>
      </x:c>
      <x:c r="G1584" s="18" t="n">
        <x:v>583</x:v>
      </x:c>
      <x:c r="H1584" s="19" t="n">
        <x:v>22.423076923076923</x:v>
      </x:c>
      <x:c r="I1584" s="18" t="n">
        <x:f>ROUND(MIN(Model_Config_v3!$B$6,MAX(Q1584,R1584,S1584*Model_Config_v3!$B$4+T1584*Model_Config_v3!$B$5)),0)</x:f>
        <x:v>692</x:v>
      </x:c>
      <x:c r="J1584" s="18" t="n">
        <x:f>MIN(Model_Config_v3!$B$6,I1584+Model_Config_v3!$B$7)</x:f>
        <x:v>712</x:v>
      </x:c>
      <x:c r="K1584" s="20" t="n">
        <x:v>71.1</x:v>
      </x:c>
      <x:c r="L1584" t="str">
        <x:v>SANGAT KETAT</x:v>
      </x:c>
      <x:c r="M1584" t="str">
        <x:v>SEDANG+</x:v>
      </x:c>
      <x:c r="N1584" t="str">
        <x:v>ELITE-2</x:v>
      </x:c>
      <x:c r="O1584" t="str">
        <x:v>SOSHUM</x:v>
      </x:c>
      <x:c r="P1584" t="str">
        <x:v>UMUM</x:v>
      </x:c>
      <x:c r="Q1584" s="18" t="n">
        <x:v>645</x:v>
      </x:c>
      <x:c r="R1584" s="18" t="n">
        <x:v>0</x:v>
      </x:c>
      <x:c r="S1584" s="18" t="n">
        <x:v>668.5764727467016</x:v>
      </x:c>
      <x:c r="T1584" s="18" t="n">
        <x:v>702</x:v>
      </x:c>
      <x:c r="U1584" s="18" t="n">
        <x:v>668.5764727467016</x:v>
      </x:c>
      <x:c r="V1584" s="20" t="n">
        <x:v>4.4</x:v>
      </x:c>
      <x:c r="W1584" s="20" t="n">
        <x:v>14.3</x:v>
      </x:c>
      <x:c r="X1584" s="20" t="n">
        <x:v>3.3</x:v>
      </x:c>
      <x:c r="Y1584" t="str">
        <x:v>Basis arsip 2025/2024</x:v>
      </x:c>
      <x:c r="Z1584" t="str">
        <x:v>https://snpmb.id/utbk-snbt/daya-tampung-snbt</x:v>
      </x:c>
      <x:c r="AA1584" t="str">
        <x:v>Tidak Ada</x:v>
      </x:c>
      <x:c r="AB1584" t="str">
        <x:v>Campus=90; Ratio=79.5; Prodi=40; RelDemand=38.9; Capacity=78.3</x:v>
      </x:c>
    </x:row>
    <x:row r="1585">
      <x:c r="A1585" t="n">
        <x:v>1582</x:v>
      </x:c>
      <x:c r="B1585" t="str">
        <x:v>PTN Akademik</x:v>
      </x:c>
      <x:c r="C1585" t="str">
        <x:v>UNIVERSITAS SEBELAS MARET</x:v>
      </x:c>
      <x:c r="D1585" t="str">
        <x:v>SASTRA DAERAH UNTUK SASTRA JAWA</x:v>
      </x:c>
      <x:c r="E1585" t="str">
        <x:v>Sarjana</x:v>
      </x:c>
      <x:c r="F1585" s="18" t="n">
        <x:v>43</x:v>
      </x:c>
      <x:c r="G1585" s="18" t="n">
        <x:v>144</x:v>
      </x:c>
      <x:c r="H1585" s="19" t="n">
        <x:v>3.3488372093023258</x:v>
      </x:c>
      <x:c r="I1585" s="18" t="n">
        <x:f>ROUND(MIN(Model_Config_v3!$B$6,MAX(Q1585,R1585,S1585*Model_Config_v3!$B$4+T1585*Model_Config_v3!$B$5)),0)</x:f>
        <x:v>645</x:v>
      </x:c>
      <x:c r="J1585" s="18" t="n">
        <x:f>MIN(Model_Config_v3!$B$6,I1585+Model_Config_v3!$B$7)</x:f>
        <x:v>665</x:v>
      </x:c>
      <x:c r="K1585" s="20" t="n">
        <x:v>54.2</x:v>
      </x:c>
      <x:c r="L1585" t="str">
        <x:v>MENENGAH</x:v>
      </x:c>
      <x:c r="M1585" t="str">
        <x:v>SEDANG+</x:v>
      </x:c>
      <x:c r="N1585" t="str">
        <x:v>ELITE-2</x:v>
      </x:c>
      <x:c r="O1585" t="str">
        <x:v>SOSHUM</x:v>
      </x:c>
      <x:c r="P1585" t="str">
        <x:v>UMUM</x:v>
      </x:c>
      <x:c r="Q1585" s="18" t="n">
        <x:v>645</x:v>
      </x:c>
      <x:c r="R1585" s="18" t="n">
        <x:v>0</x:v>
      </x:c>
      <x:c r="S1585" s="18" t="n">
        <x:v>577.738344016723</x:v>
      </x:c>
      <x:c r="T1585" s="18" t="n">
        <x:v>668</x:v>
      </x:c>
      <x:c r="U1585" s="18" t="n">
        <x:v>645</x:v>
      </x:c>
      <x:c r="V1585" s="20" t="n">
        <x:v>4.4</x:v>
      </x:c>
      <x:c r="W1585" s="20" t="n">
        <x:v>14.3</x:v>
      </x:c>
      <x:c r="X1585" s="20" t="n">
        <x:v>3.3</x:v>
      </x:c>
      <x:c r="Y1585" t="str">
        <x:v>Basis arsip 2025/2024</x:v>
      </x:c>
      <x:c r="Z1585" t="str">
        <x:v>https://snpmb.id/utbk-snbt/daya-tampung-snbt</x:v>
      </x:c>
      <x:c r="AA1585" t="str">
        <x:v>Tidak Ada</x:v>
      </x:c>
      <x:c r="AB1585" t="str">
        <x:v>Campus=90; Ratio=30.9; Prodi=40; RelDemand=5.8; Capacity=64.2</x:v>
      </x:c>
    </x:row>
    <x:row r="1586">
      <x:c r="A1586" t="n">
        <x:v>1583</x:v>
      </x:c>
      <x:c r="B1586" t="str">
        <x:v>PTN Akademik</x:v>
      </x:c>
      <x:c r="C1586" t="str">
        <x:v>UNIVERSITAS SEBELAS MARET</x:v>
      </x:c>
      <x:c r="D1586" t="str">
        <x:v>DESAIN MODE</x:v>
      </x:c>
      <x:c r="E1586" t="str">
        <x:v>Sarjana</x:v>
      </x:c>
      <x:c r="F1586" s="18" t="n">
        <x:v>30</x:v>
      </x:c>
      <x:c r="G1586" s="18" t="n">
        <x:v>42</x:v>
      </x:c>
      <x:c r="H1586" s="19" t="n">
        <x:v>1.4</x:v>
      </x:c>
      <x:c r="I1586" s="18" t="n">
        <x:f>ROUND(MIN(Model_Config_v3!$B$6,MAX(Q1586,R1586,S1586*Model_Config_v3!$B$4+T1586*Model_Config_v3!$B$5)),0)</x:f>
        <x:v>645</x:v>
      </x:c>
      <x:c r="J1586" s="18" t="n">
        <x:f>MIN(Model_Config_v3!$B$6,I1586+Model_Config_v3!$B$7)</x:f>
        <x:v>665</x:v>
      </x:c>
      <x:c r="K1586" s="20" t="n">
        <x:v>50.4</x:v>
      </x:c>
      <x:c r="L1586" t="str">
        <x:v>MENENGAH</x:v>
      </x:c>
      <x:c r="M1586" t="str">
        <x:v>PORTOFOLIO</x:v>
      </x:c>
      <x:c r="N1586" t="str">
        <x:v>ELITE-2</x:v>
      </x:c>
      <x:c r="O1586" t="str">
        <x:v>SENI/OLAHRAGA</x:v>
      </x:c>
      <x:c r="P1586" t="str">
        <x:v>SENI/OLAHRAGA</x:v>
      </x:c>
      <x:c r="Q1586" s="18" t="n">
        <x:v>645</x:v>
      </x:c>
      <x:c r="R1586" s="18" t="n">
        <x:v>0</x:v>
      </x:c>
      <x:c r="S1586" s="18" t="n">
        <x:v>536.0740839246062</x:v>
      </x:c>
      <x:c r="T1586" s="18" t="n">
        <x:v>661</x:v>
      </x:c>
      <x:c r="U1586" s="18" t="n">
        <x:v>645</x:v>
      </x:c>
      <x:c r="V1586" s="20" t="n">
        <x:v>4.4</x:v>
      </x:c>
      <x:c r="W1586" s="20" t="n">
        <x:v>9.9</x:v>
      </x:c>
      <x:c r="X1586" s="20" t="n">
        <x:v>7.7</x:v>
      </x:c>
      <x:c r="Y1586" t="str">
        <x:v>Basis arsip 2025/2024</x:v>
      </x:c>
      <x:c r="Z1586" t="str">
        <x:v>https://snpmb.id/utbk-snbt/daya-tampung-snbt</x:v>
      </x:c>
      <x:c r="AA1586" t="str">
        <x:v>Seni Rupa, Desain, dan Kriya</x:v>
      </x:c>
      <x:c r="AB1586" t="str">
        <x:v>Campus=90; Ratio=8.6; Prodi=45; RelDemand=2.4; Capacity=75.0</x:v>
      </x:c>
    </x:row>
    <x:row r="1587">
      <x:c r="A1587" t="n">
        <x:v>1584</x:v>
      </x:c>
      <x:c r="B1587" t="str">
        <x:v>PTN Akademik</x:v>
      </x:c>
      <x:c r="C1587" t="str">
        <x:v>UNIVERSITAS SEBELAS MARET</x:v>
      </x:c>
      <x:c r="D1587" t="str">
        <x:v>SENI RUPA</x:v>
      </x:c>
      <x:c r="E1587" t="str">
        <x:v>Sarjana</x:v>
      </x:c>
      <x:c r="F1587" s="18" t="n">
        <x:v>30</x:v>
      </x:c>
      <x:c r="G1587" s="18" t="n">
        <x:v>48</x:v>
      </x:c>
      <x:c r="H1587" s="19" t="n">
        <x:v>1.6</x:v>
      </x:c>
      <x:c r="I1587" s="18" t="n">
        <x:f>ROUND(MIN(Model_Config_v3!$B$6,MAX(Q1587,R1587,S1587*Model_Config_v3!$B$4+T1587*Model_Config_v3!$B$5)),0)</x:f>
        <x:v>645</x:v>
      </x:c>
      <x:c r="J1587" s="18" t="n">
        <x:f>MIN(Model_Config_v3!$B$6,I1587+Model_Config_v3!$B$7)</x:f>
        <x:v>665</x:v>
      </x:c>
      <x:c r="K1587" s="20" t="n">
        <x:v>51.3</x:v>
      </x:c>
      <x:c r="L1587" t="str">
        <x:v>MENENGAH</x:v>
      </x:c>
      <x:c r="M1587" t="str">
        <x:v>PORTOFOLIO</x:v>
      </x:c>
      <x:c r="N1587" t="str">
        <x:v>ELITE-2</x:v>
      </x:c>
      <x:c r="O1587" t="str">
        <x:v>SENI/OLAHRAGA</x:v>
      </x:c>
      <x:c r="P1587" t="str">
        <x:v>SENI/OLAHRAGA</x:v>
      </x:c>
      <x:c r="Q1587" s="18" t="n">
        <x:v>645</x:v>
      </x:c>
      <x:c r="R1587" s="18" t="n">
        <x:v>0</x:v>
      </x:c>
      <x:c r="S1587" s="18" t="n">
        <x:v>542.4531980921518</x:v>
      </x:c>
      <x:c r="T1587" s="18" t="n">
        <x:v>663</x:v>
      </x:c>
      <x:c r="U1587" s="18" t="n">
        <x:v>645</x:v>
      </x:c>
      <x:c r="V1587" s="20" t="n">
        <x:v>4.4</x:v>
      </x:c>
      <x:c r="W1587" s="20" t="n">
        <x:v>9.9</x:v>
      </x:c>
      <x:c r="X1587" s="20" t="n">
        <x:v>7.7</x:v>
      </x:c>
      <x:c r="Y1587" t="str">
        <x:v>Basis arsip 2025/2024</x:v>
      </x:c>
      <x:c r="Z1587" t="str">
        <x:v>https://snpmb.id/utbk-snbt/daya-tampung-snbt</x:v>
      </x:c>
      <x:c r="AA1587" t="str">
        <x:v>Seni Rupa, Desain, dan Kriya</x:v>
      </x:c>
      <x:c r="AB1587" t="str">
        <x:v>Campus=90; Ratio=12.0; Prodi=45; RelDemand=2.8; Capacity=75.0</x:v>
      </x:c>
    </x:row>
    <x:row r="1588">
      <x:c r="A1588" t="n">
        <x:v>1585</x:v>
      </x:c>
      <x:c r="B1588" t="str">
        <x:v>PTN Akademik</x:v>
      </x:c>
      <x:c r="C1588" t="str">
        <x:v>UNIVERSITAS SEBELAS MARET</x:v>
      </x:c>
      <x:c r="D1588" t="str">
        <x:v>DESAIN INTERIOR</x:v>
      </x:c>
      <x:c r="E1588" t="str">
        <x:v>Sarjana</x:v>
      </x:c>
      <x:c r="F1588" s="18" t="n">
        <x:v>27</x:v>
      </x:c>
      <x:c r="G1588" s="18" t="n">
        <x:v>210</x:v>
      </x:c>
      <x:c r="H1588" s="19" t="n">
        <x:v>7.777777777777778</x:v>
      </x:c>
      <x:c r="I1588" s="18" t="n">
        <x:f>ROUND(MIN(Model_Config_v3!$B$6,MAX(Q1588,R1588,S1588*Model_Config_v3!$B$4+T1588*Model_Config_v3!$B$5)),0)</x:f>
        <x:v>665</x:v>
      </x:c>
      <x:c r="J1588" s="18" t="n">
        <x:f>MIN(Model_Config_v3!$B$6,I1588+Model_Config_v3!$B$7)</x:f>
        <x:v>685</x:v>
      </x:c>
      <x:c r="K1588" s="20" t="n">
        <x:v>62.7</x:v>
      </x:c>
      <x:c r="L1588" t="str">
        <x:v>KETAT</x:v>
      </x:c>
      <x:c r="M1588" t="str">
        <x:v>PORTOFOLIO</x:v>
      </x:c>
      <x:c r="N1588" t="str">
        <x:v>ELITE-2</x:v>
      </x:c>
      <x:c r="O1588" t="str">
        <x:v>SENI/OLAHRAGA</x:v>
      </x:c>
      <x:c r="P1588" t="str">
        <x:v>SENI/OLAHRAGA</x:v>
      </x:c>
      <x:c r="Q1588" s="18" t="n">
        <x:v>645</x:v>
      </x:c>
      <x:c r="R1588" s="18" t="n">
        <x:v>0</x:v>
      </x:c>
      <x:c r="S1588" s="18" t="n">
        <x:v>617.9941083632425</x:v>
      </x:c>
      <x:c r="T1588" s="18" t="n">
        <x:v>685</x:v>
      </x:c>
      <x:c r="U1588" s="18" t="n">
        <x:v>645</x:v>
      </x:c>
      <x:c r="V1588" s="20" t="n">
        <x:v>4.4</x:v>
      </x:c>
      <x:c r="W1588" s="20" t="n">
        <x:v>9.9</x:v>
      </x:c>
      <x:c r="X1588" s="20" t="n">
        <x:v>7.7</x:v>
      </x:c>
      <x:c r="Y1588" t="str">
        <x:v>Basis arsip 2025/2024</x:v>
      </x:c>
      <x:c r="Z1588" t="str">
        <x:v>https://snpmb.id/utbk-snbt/daya-tampung-snbt</x:v>
      </x:c>
      <x:c r="AA1588" t="str">
        <x:v>Seni Rupa, Desain, dan Kriya</x:v>
      </x:c>
      <x:c r="AB1588" t="str">
        <x:v>Campus=90; Ratio=52.4; Prodi=45; RelDemand=13.5; Capacity=77.5</x:v>
      </x:c>
    </x:row>
    <x:row r="1589">
      <x:c r="A1589" t="n">
        <x:v>1586</x:v>
      </x:c>
      <x:c r="B1589" t="str">
        <x:v>PTN Akademik</x:v>
      </x:c>
      <x:c r="C1589" t="str">
        <x:v>UNIVERSITAS SEBELAS MARET</x:v>
      </x:c>
      <x:c r="D1589" t="str">
        <x:v>DESAIN KOMUNIKASI VISUAL</x:v>
      </x:c>
      <x:c r="E1589" t="str">
        <x:v>Sarjana</x:v>
      </x:c>
      <x:c r="F1589" s="18" t="n">
        <x:v>45</x:v>
      </x:c>
      <x:c r="G1589" s="18" t="n">
        <x:v>740</x:v>
      </x:c>
      <x:c r="H1589" s="19" t="n">
        <x:v>16.444444444444443</x:v>
      </x:c>
      <x:c r="I1589" s="18" t="n">
        <x:f>ROUND(MIN(Model_Config_v3!$B$6,MAX(Q1589,R1589,S1589*Model_Config_v3!$B$4+T1589*Model_Config_v3!$B$5)),0)</x:f>
        <x:v>683</x:v>
      </x:c>
      <x:c r="J1589" s="18" t="n">
        <x:f>MIN(Model_Config_v3!$B$6,I1589+Model_Config_v3!$B$7)</x:f>
        <x:v>703</x:v>
      </x:c>
      <x:c r="K1589" s="20" t="n">
        <x:v>67.5</x:v>
      </x:c>
      <x:c r="L1589" t="str">
        <x:v>SANGAT KETAT</x:v>
      </x:c>
      <x:c r="M1589" t="str">
        <x:v>PORTOFOLIO</x:v>
      </x:c>
      <x:c r="N1589" t="str">
        <x:v>ELITE-2</x:v>
      </x:c>
      <x:c r="O1589" t="str">
        <x:v>SENI/OLAHRAGA</x:v>
      </x:c>
      <x:c r="P1589" t="str">
        <x:v>SENI/OLAHRAGA</x:v>
      </x:c>
      <x:c r="Q1589" s="18" t="n">
        <x:v>645</x:v>
      </x:c>
      <x:c r="R1589" s="18" t="n">
        <x:v>0</x:v>
      </x:c>
      <x:c r="S1589" s="18" t="n">
        <x:v>653.7621126551196</x:v>
      </x:c>
      <x:c r="T1589" s="18" t="n">
        <x:v>695</x:v>
      </x:c>
      <x:c r="U1589" s="18" t="n">
        <x:v>653.7621126551196</x:v>
      </x:c>
      <x:c r="V1589" s="20" t="n">
        <x:v>4.4</x:v>
      </x:c>
      <x:c r="W1589" s="20" t="n">
        <x:v>9.9</x:v>
      </x:c>
      <x:c r="X1589" s="20" t="n">
        <x:v>7.7</x:v>
      </x:c>
      <x:c r="Y1589" t="str">
        <x:v>Basis arsip 2025/2024</x:v>
      </x:c>
      <x:c r="Z1589" t="str">
        <x:v>https://snpmb.id/utbk-snbt/daya-tampung-snbt</x:v>
      </x:c>
      <x:c r="AA1589" t="str">
        <x:v>Seni Rupa, Desain, dan Kriya</x:v>
      </x:c>
      <x:c r="AB1589" t="str">
        <x:v>Campus=90; Ratio=71.6; Prodi=45; RelDemand=28.5; Capacity=62.5</x:v>
      </x:c>
    </x:row>
    <x:row r="1590">
      <x:c r="A1590" t="n">
        <x:v>1587</x:v>
      </x:c>
      <x:c r="B1590" t="str">
        <x:v>PTN Akademik</x:v>
      </x:c>
      <x:c r="C1590" t="str">
        <x:v>UNIVERSITAS SEBELAS MARET</x:v>
      </x:c>
      <x:c r="D1590" t="str">
        <x:v>PENDIDIKAN SEJARAH</x:v>
      </x:c>
      <x:c r="E1590" t="str">
        <x:v>Sarjana</x:v>
      </x:c>
      <x:c r="F1590" s="18" t="n">
        <x:v>24</x:v>
      </x:c>
      <x:c r="G1590" s="18" t="n">
        <x:v>260</x:v>
      </x:c>
      <x:c r="H1590" s="19" t="n">
        <x:v>10.833333333333334</x:v>
      </x:c>
      <x:c r="I1590" s="18" t="n">
        <x:f>ROUND(MIN(Model_Config_v3!$B$6,MAX(Q1590,R1590,S1590*Model_Config_v3!$B$4+T1590*Model_Config_v3!$B$5)),0)</x:f>
        <x:v>674</x:v>
      </x:c>
      <x:c r="J1590" s="18" t="n">
        <x:f>MIN(Model_Config_v3!$B$6,I1590+Model_Config_v3!$B$7)</x:f>
        <x:v>694</x:v>
      </x:c>
      <x:c r="K1590" s="20" t="n">
        <x:v>65.6</x:v>
      </x:c>
      <x:c r="L1590" t="str">
        <x:v>SANGAT KETAT</x:v>
      </x:c>
      <x:c r="M1590" t="str">
        <x:v>SEDANG+</x:v>
      </x:c>
      <x:c r="N1590" t="str">
        <x:v>ELITE-2</x:v>
      </x:c>
      <x:c r="O1590" t="str">
        <x:v>SOSHUM</x:v>
      </x:c>
      <x:c r="P1590" t="str">
        <x:v>PENDIDIKAN</x:v>
      </x:c>
      <x:c r="Q1590" s="18" t="n">
        <x:v>645</x:v>
      </x:c>
      <x:c r="R1590" s="18" t="n">
        <x:v>0</x:v>
      </x:c>
      <x:c r="S1590" s="18" t="n">
        <x:v>633.8238316885133</x:v>
      </x:c>
      <x:c r="T1590" s="18" t="n">
        <x:v>691</x:v>
      </x:c>
      <x:c r="U1590" s="18" t="n">
        <x:v>645</x:v>
      </x:c>
      <x:c r="V1590" s="20" t="n">
        <x:v>4.4</x:v>
      </x:c>
      <x:c r="W1590" s="20" t="n">
        <x:v>14.3</x:v>
      </x:c>
      <x:c r="X1590" s="20" t="n">
        <x:v>3.3</x:v>
      </x:c>
      <x:c r="Y1590" t="str">
        <x:v>Basis arsip 2025/2024</x:v>
      </x:c>
      <x:c r="Z1590" t="str">
        <x:v>https://snpmb.id/utbk-snbt/daya-tampung-snbt</x:v>
      </x:c>
      <x:c r="AA1590" t="str">
        <x:v>Tidak Ada</x:v>
      </x:c>
      <x:c r="AB1590" t="str">
        <x:v>Campus=90; Ratio=60.9; Prodi=45; RelDemand=18.8; Capacity=80.0</x:v>
      </x:c>
    </x:row>
    <x:row r="1591">
      <x:c r="A1591" t="n">
        <x:v>1588</x:v>
      </x:c>
      <x:c r="B1591" t="str">
        <x:v>PTN Akademik</x:v>
      </x:c>
      <x:c r="C1591" t="str">
        <x:v>UNIVERSITAS SEBELAS MARET</x:v>
      </x:c>
      <x:c r="D1591" t="str">
        <x:v>PENDIDIKAN GEOGRAFI</x:v>
      </x:c>
      <x:c r="E1591" t="str">
        <x:v>Sarjana</x:v>
      </x:c>
      <x:c r="F1591" s="18" t="n">
        <x:v>27</x:v>
      </x:c>
      <x:c r="G1591" s="18" t="n">
        <x:v>229</x:v>
      </x:c>
      <x:c r="H1591" s="19" t="n">
        <x:v>8.481481481481481</x:v>
      </x:c>
      <x:c r="I1591" s="18" t="n">
        <x:f>ROUND(MIN(Model_Config_v3!$B$6,MAX(Q1591,R1591,S1591*Model_Config_v3!$B$4+T1591*Model_Config_v3!$B$5)),0)</x:f>
        <x:v>668</x:v>
      </x:c>
      <x:c r="J1591" s="18" t="n">
        <x:f>MIN(Model_Config_v3!$B$6,I1591+Model_Config_v3!$B$7)</x:f>
        <x:v>688</x:v>
      </x:c>
      <x:c r="K1591" s="20" t="n">
        <x:v>63.4</x:v>
      </x:c>
      <x:c r="L1591" t="str">
        <x:v>KETAT</x:v>
      </x:c>
      <x:c r="M1591" t="str">
        <x:v>SEDANG+</x:v>
      </x:c>
      <x:c r="N1591" t="str">
        <x:v>ELITE-2</x:v>
      </x:c>
      <x:c r="O1591" t="str">
        <x:v>CAMPURAN</x:v>
      </x:c>
      <x:c r="P1591" t="str">
        <x:v>PENDIDIKAN</x:v>
      </x:c>
      <x:c r="Q1591" s="18" t="n">
        <x:v>645</x:v>
      </x:c>
      <x:c r="R1591" s="18" t="n">
        <x:v>0</x:v>
      </x:c>
      <x:c r="S1591" s="18" t="n">
        <x:v>622.131888999899</x:v>
      </x:c>
      <x:c r="T1591" s="18" t="n">
        <x:v>687</x:v>
      </x:c>
      <x:c r="U1591" s="18" t="n">
        <x:v>645</x:v>
      </x:c>
      <x:c r="V1591" s="20" t="n">
        <x:v>8.8</x:v>
      </x:c>
      <x:c r="W1591" s="20" t="n">
        <x:v>9.9</x:v>
      </x:c>
      <x:c r="X1591" s="20" t="n">
        <x:v>3.3</x:v>
      </x:c>
      <x:c r="Y1591" t="str">
        <x:v>Basis arsip 2025/2024</x:v>
      </x:c>
      <x:c r="Z1591" t="str">
        <x:v>https://snpmb.id/utbk-snbt/daya-tampung-snbt</x:v>
      </x:c>
      <x:c r="AA1591" t="str">
        <x:v>Tidak Ada</x:v>
      </x:c>
      <x:c r="AB1591" t="str">
        <x:v>Campus=90; Ratio=54.6; Prodi=45; RelDemand=14.7; Capacity=77.5</x:v>
      </x:c>
    </x:row>
    <x:row r="1592">
      <x:c r="A1592" t="n">
        <x:v>1589</x:v>
      </x:c>
      <x:c r="B1592" t="str">
        <x:v>PTN Akademik</x:v>
      </x:c>
      <x:c r="C1592" t="str">
        <x:v>UNIVERSITAS SEBELAS MARET</x:v>
      </x:c>
      <x:c r="D1592" t="str">
        <x:v>PEND. PANCASILA &amp; KEWARGANEGARAAN (PPKN)</x:v>
      </x:c>
      <x:c r="E1592" t="str">
        <x:v>Sarjana</x:v>
      </x:c>
      <x:c r="F1592" s="18" t="n">
        <x:v>27</x:v>
      </x:c>
      <x:c r="G1592" s="18" t="n">
        <x:v>289</x:v>
      </x:c>
      <x:c r="H1592" s="19" t="n">
        <x:v>10.703703703703704</x:v>
      </x:c>
      <x:c r="I1592" s="18" t="n">
        <x:f>ROUND(MIN(Model_Config_v3!$B$6,MAX(Q1592,R1592,S1592*Model_Config_v3!$B$4+T1592*Model_Config_v3!$B$5)),0)</x:f>
        <x:v>674</x:v>
      </x:c>
      <x:c r="J1592" s="18" t="n">
        <x:f>MIN(Model_Config_v3!$B$6,I1592+Model_Config_v3!$B$7)</x:f>
        <x:v>694</x:v>
      </x:c>
      <x:c r="K1592" s="20" t="n">
        <x:v>65.3</x:v>
      </x:c>
      <x:c r="L1592" t="str">
        <x:v>SANGAT KETAT</x:v>
      </x:c>
      <x:c r="M1592" t="str">
        <x:v>SEDANG+</x:v>
      </x:c>
      <x:c r="N1592" t="str">
        <x:v>ELITE-2</x:v>
      </x:c>
      <x:c r="O1592" t="str">
        <x:v>CAMPURAN</x:v>
      </x:c>
      <x:c r="P1592" t="str">
        <x:v>PENDIDIKAN</x:v>
      </x:c>
      <x:c r="Q1592" s="18" t="n">
        <x:v>645</x:v>
      </x:c>
      <x:c r="R1592" s="18" t="n">
        <x:v>0</x:v>
      </x:c>
      <x:c r="S1592" s="18" t="n">
        <x:v>633.2487486457317</x:v>
      </x:c>
      <x:c r="T1592" s="18" t="n">
        <x:v>691</x:v>
      </x:c>
      <x:c r="U1592" s="18" t="n">
        <x:v>645</x:v>
      </x:c>
      <x:c r="V1592" s="20" t="n">
        <x:v>8.8</x:v>
      </x:c>
      <x:c r="W1592" s="20" t="n">
        <x:v>9.9</x:v>
      </x:c>
      <x:c r="X1592" s="20" t="n">
        <x:v>3.3</x:v>
      </x:c>
      <x:c r="Y1592" t="str">
        <x:v>Basis arsip 2025/2024</x:v>
      </x:c>
      <x:c r="Z1592" t="str">
        <x:v>https://snpmb.id/utbk-snbt/daya-tampung-snbt</x:v>
      </x:c>
      <x:c r="AA1592" t="str">
        <x:v>Tidak Ada</x:v>
      </x:c>
      <x:c r="AB1592" t="str">
        <x:v>Campus=90; Ratio=60.6; Prodi=45; RelDemand=18.6; Capacity=77.5</x:v>
      </x:c>
    </x:row>
    <x:row r="1593">
      <x:c r="A1593" t="n">
        <x:v>1590</x:v>
      </x:c>
      <x:c r="B1593" t="str">
        <x:v>PTN Akademik</x:v>
      </x:c>
      <x:c r="C1593" t="str">
        <x:v>UNIVERSITAS SEBELAS MARET</x:v>
      </x:c>
      <x:c r="D1593" t="str">
        <x:v>PENDIDIKAN LUAR BIASA (PENDIDIKAN KHUSUS)</x:v>
      </x:c>
      <x:c r="E1593" t="str">
        <x:v>Sarjana</x:v>
      </x:c>
      <x:c r="F1593" s="18" t="n">
        <x:v>24</x:v>
      </x:c>
      <x:c r="G1593" s="18" t="n">
        <x:v>252</x:v>
      </x:c>
      <x:c r="H1593" s="19" t="n">
        <x:v>10.5</x:v>
      </x:c>
      <x:c r="I1593" s="18" t="n">
        <x:f>ROUND(MIN(Model_Config_v3!$B$6,MAX(Q1593,R1593,S1593*Model_Config_v3!$B$4+T1593*Model_Config_v3!$B$5)),0)</x:f>
        <x:v>673</x:v>
      </x:c>
      <x:c r="J1593" s="18" t="n">
        <x:f>MIN(Model_Config_v3!$B$6,I1593+Model_Config_v3!$B$7)</x:f>
        <x:v>693</x:v>
      </x:c>
      <x:c r="K1593" s="20" t="n">
        <x:v>65.3</x:v>
      </x:c>
      <x:c r="L1593" t="str">
        <x:v>SANGAT KETAT</x:v>
      </x:c>
      <x:c r="M1593" t="str">
        <x:v>SEDANG+</x:v>
      </x:c>
      <x:c r="N1593" t="str">
        <x:v>ELITE-2</x:v>
      </x:c>
      <x:c r="O1593" t="str">
        <x:v>CAMPURAN</x:v>
      </x:c>
      <x:c r="P1593" t="str">
        <x:v>PENDIDIKAN</x:v>
      </x:c>
      <x:c r="Q1593" s="18" t="n">
        <x:v>645</x:v>
      </x:c>
      <x:c r="R1593" s="18" t="n">
        <x:v>0</x:v>
      </x:c>
      <x:c r="S1593" s="18" t="n">
        <x:v>632.3308228976932</x:v>
      </x:c>
      <x:c r="T1593" s="18" t="n">
        <x:v>691</x:v>
      </x:c>
      <x:c r="U1593" s="18" t="n">
        <x:v>645</x:v>
      </x:c>
      <x:c r="V1593" s="20" t="n">
        <x:v>8.8</x:v>
      </x:c>
      <x:c r="W1593" s="20" t="n">
        <x:v>9.9</x:v>
      </x:c>
      <x:c r="X1593" s="20" t="n">
        <x:v>3.3</x:v>
      </x:c>
      <x:c r="Y1593" t="str">
        <x:v>Basis arsip 2025/2024</x:v>
      </x:c>
      <x:c r="Z1593" t="str">
        <x:v>https://snpmb.id/utbk-snbt/daya-tampung-snbt</x:v>
      </x:c>
      <x:c r="AA1593" t="str">
        <x:v>Tidak Ada</x:v>
      </x:c>
      <x:c r="AB1593" t="str">
        <x:v>Campus=90; Ratio=60.1; Prodi=45; RelDemand=18.2; Capacity=80.0</x:v>
      </x:c>
    </x:row>
    <x:row r="1594">
      <x:c r="A1594" t="n">
        <x:v>1591</x:v>
      </x:c>
      <x:c r="B1594" t="str">
        <x:v>PTN Akademik</x:v>
      </x:c>
      <x:c r="C1594" t="str">
        <x:v>UNIVERSITAS SEBELAS MARET</x:v>
      </x:c>
      <x:c r="D1594" t="str">
        <x:v>PENDIDIKAN JASMANI, KESEHATAN &amp; REKREASI</x:v>
      </x:c>
      <x:c r="E1594" t="str">
        <x:v>Sarjana</x:v>
      </x:c>
      <x:c r="F1594" s="18" t="n">
        <x:v>47</x:v>
      </x:c>
      <x:c r="G1594" s="18" t="n">
        <x:v>537</x:v>
      </x:c>
      <x:c r="H1594" s="19" t="n">
        <x:v>11.425531914893616</x:v>
      </x:c>
      <x:c r="I1594" s="18" t="n">
        <x:f>ROUND(MIN(Model_Config_v3!$B$6,MAX(Q1594,R1594,S1594*Model_Config_v3!$B$4+T1594*Model_Config_v3!$B$5)),0)</x:f>
        <x:v>673</x:v>
      </x:c>
      <x:c r="J1594" s="18" t="n">
        <x:f>MIN(Model_Config_v3!$B$6,I1594+Model_Config_v3!$B$7)</x:f>
        <x:v>693</x:v>
      </x:c>
      <x:c r="K1594" s="20" t="n">
        <x:v>64.1</x:v>
      </x:c>
      <x:c r="L1594" t="str">
        <x:v>KETAT</x:v>
      </x:c>
      <x:c r="M1594" t="str">
        <x:v>PORTOFOLIO</x:v>
      </x:c>
      <x:c r="N1594" t="str">
        <x:v>ELITE-2</x:v>
      </x:c>
      <x:c r="O1594" t="str">
        <x:v>SENI/OLAHRAGA</x:v>
      </x:c>
      <x:c r="P1594" t="str">
        <x:v>SENI/OLAHRAGA</x:v>
      </x:c>
      <x:c r="Q1594" s="18" t="n">
        <x:v>645</x:v>
      </x:c>
      <x:c r="R1594" s="18" t="n">
        <x:v>0</x:v>
      </x:c>
      <x:c r="S1594" s="18" t="n">
        <x:v>636.3664070540221</x:v>
      </x:c>
      <x:c r="T1594" s="18" t="n">
        <x:v>688</x:v>
      </x:c>
      <x:c r="U1594" s="18" t="n">
        <x:v>645</x:v>
      </x:c>
      <x:c r="V1594" s="20" t="n">
        <x:v>4.4</x:v>
      </x:c>
      <x:c r="W1594" s="20" t="n">
        <x:v>9.9</x:v>
      </x:c>
      <x:c r="X1594" s="20" t="n">
        <x:v>7.7</x:v>
      </x:c>
      <x:c r="Y1594" t="str">
        <x:v>Basis arsip 2025/2024</x:v>
      </x:c>
      <x:c r="Z1594" t="str">
        <x:v>https://snpmb.id/utbk-snbt/daya-tampung-snbt</x:v>
      </x:c>
      <x:c r="AA1594" t="str">
        <x:v>Olahraga</x:v>
      </x:c>
      <x:c r="AB1594" t="str">
        <x:v>Campus=90; Ratio=62.3; Prodi=45; RelDemand=19.8; Capacity=60.8</x:v>
      </x:c>
    </x:row>
    <x:row r="1595">
      <x:c r="A1595" t="n">
        <x:v>1592</x:v>
      </x:c>
      <x:c r="B1595" t="str">
        <x:v>PTN Akademik</x:v>
      </x:c>
      <x:c r="C1595" t="str">
        <x:v>UNIVERSITAS SEBELAS MARET</x:v>
      </x:c>
      <x:c r="D1595" t="str">
        <x:v>PENDIDIKAN KEPELATIHAN OLAHRAGA</x:v>
      </x:c>
      <x:c r="E1595" t="str">
        <x:v>Sarjana</x:v>
      </x:c>
      <x:c r="F1595" s="18" t="n">
        <x:v>48</x:v>
      </x:c>
      <x:c r="G1595" s="18" t="n">
        <x:v>456</x:v>
      </x:c>
      <x:c r="H1595" s="19" t="n">
        <x:v>9.5</x:v>
      </x:c>
      <x:c r="I1595" s="18" t="n">
        <x:f>ROUND(MIN(Model_Config_v3!$B$6,MAX(Q1595,R1595,S1595*Model_Config_v3!$B$4+T1595*Model_Config_v3!$B$5)),0)</x:f>
        <x:v>668</x:v>
      </x:c>
      <x:c r="J1595" s="18" t="n">
        <x:f>MIN(Model_Config_v3!$B$6,I1595+Model_Config_v3!$B$7)</x:f>
        <x:v>688</x:v>
      </x:c>
      <x:c r="K1595" s="20" t="n">
        <x:v>62.5</x:v>
      </x:c>
      <x:c r="L1595" t="str">
        <x:v>KETAT</x:v>
      </x:c>
      <x:c r="M1595" t="str">
        <x:v>PORTOFOLIO</x:v>
      </x:c>
      <x:c r="N1595" t="str">
        <x:v>ELITE-2</x:v>
      </x:c>
      <x:c r="O1595" t="str">
        <x:v>SENI/OLAHRAGA</x:v>
      </x:c>
      <x:c r="P1595" t="str">
        <x:v>SENI/OLAHRAGA</x:v>
      </x:c>
      <x:c r="Q1595" s="18" t="n">
        <x:v>645</x:v>
      </x:c>
      <x:c r="R1595" s="18" t="n">
        <x:v>0</x:v>
      </x:c>
      <x:c r="S1595" s="18" t="n">
        <x:v>627.5495965817732</x:v>
      </x:c>
      <x:c r="T1595" s="18" t="n">
        <x:v>685</x:v>
      </x:c>
      <x:c r="U1595" s="18" t="n">
        <x:v>645</x:v>
      </x:c>
      <x:c r="V1595" s="20" t="n">
        <x:v>4.4</x:v>
      </x:c>
      <x:c r="W1595" s="20" t="n">
        <x:v>9.9</x:v>
      </x:c>
      <x:c r="X1595" s="20" t="n">
        <x:v>7.7</x:v>
      </x:c>
      <x:c r="Y1595" t="str">
        <x:v>Basis arsip 2025/2024</x:v>
      </x:c>
      <x:c r="Z1595" t="str">
        <x:v>https://snpmb.id/utbk-snbt/daya-tampung-snbt</x:v>
      </x:c>
      <x:c r="AA1595" t="str">
        <x:v>Olahraga</x:v>
      </x:c>
      <x:c r="AB1595" t="str">
        <x:v>Campus=90; Ratio=57.5; Prodi=45; RelDemand=16.5; Capacity=60.0</x:v>
      </x:c>
    </x:row>
    <x:row r="1596">
      <x:c r="A1596" t="n">
        <x:v>1593</x:v>
      </x:c>
      <x:c r="B1596" t="str">
        <x:v>PTN Akademik</x:v>
      </x:c>
      <x:c r="C1596" t="str">
        <x:v>UNIVERSITAS SEBELAS MARET</x:v>
      </x:c>
      <x:c r="D1596" t="str">
        <x:v>PEND. BAHASA, SASTRA INDONESIA &amp; DAERAH</x:v>
      </x:c>
      <x:c r="E1596" t="str">
        <x:v>Sarjana</x:v>
      </x:c>
      <x:c r="F1596" s="18" t="n">
        <x:v>27</x:v>
      </x:c>
      <x:c r="G1596" s="18" t="n">
        <x:v>504</x:v>
      </x:c>
      <x:c r="H1596" s="19" t="n">
        <x:v>18.666666666666668</x:v>
      </x:c>
      <x:c r="I1596" s="18" t="n">
        <x:f>ROUND(MIN(Model_Config_v3!$B$6,MAX(Q1596,R1596,S1596*Model_Config_v3!$B$4+T1596*Model_Config_v3!$B$5)),0)</x:f>
        <x:v>688</x:v>
      </x:c>
      <x:c r="J1596" s="18" t="n">
        <x:f>MIN(Model_Config_v3!$B$6,I1596+Model_Config_v3!$B$7)</x:f>
        <x:v>708</x:v>
      </x:c>
      <x:c r="K1596" s="20" t="n">
        <x:v>70.2</x:v>
      </x:c>
      <x:c r="L1596" t="str">
        <x:v>SANGAT KETAT</x:v>
      </x:c>
      <x:c r="M1596" t="str">
        <x:v>SEDANG+</x:v>
      </x:c>
      <x:c r="N1596" t="str">
        <x:v>ELITE-2</x:v>
      </x:c>
      <x:c r="O1596" t="str">
        <x:v>SOSHUM</x:v>
      </x:c>
      <x:c r="P1596" t="str">
        <x:v>PENDIDIKAN</x:v>
      </x:c>
      <x:c r="Q1596" s="18" t="n">
        <x:v>645</x:v>
      </x:c>
      <x:c r="R1596" s="18" t="n">
        <x:v>0</x:v>
      </x:c>
      <x:c r="S1596" s="18" t="n">
        <x:v>659.8173449515192</x:v>
      </x:c>
      <x:c r="T1596" s="18" t="n">
        <x:v>700</x:v>
      </x:c>
      <x:c r="U1596" s="18" t="n">
        <x:v>659.8173449515192</x:v>
      </x:c>
      <x:c r="V1596" s="20" t="n">
        <x:v>4.4</x:v>
      </x:c>
      <x:c r="W1596" s="20" t="n">
        <x:v>14.3</x:v>
      </x:c>
      <x:c r="X1596" s="20" t="n">
        <x:v>3.3</x:v>
      </x:c>
      <x:c r="Y1596" t="str">
        <x:v>Basis arsip 2025/2024</x:v>
      </x:c>
      <x:c r="Z1596" t="str">
        <x:v>https://snpmb.id/utbk-snbt/daya-tampung-snbt</x:v>
      </x:c>
      <x:c r="AA1596" t="str">
        <x:v>Tidak Ada</x:v>
      </x:c>
      <x:c r="AB1596" t="str">
        <x:v>Campus=90; Ratio=74.8; Prodi=45; RelDemand=32.4; Capacity=77.5</x:v>
      </x:c>
    </x:row>
    <x:row r="1597">
      <x:c r="A1597" t="n">
        <x:v>1594</x:v>
      </x:c>
      <x:c r="B1597" t="str">
        <x:v>PTN Akademik</x:v>
      </x:c>
      <x:c r="C1597" t="str">
        <x:v>UNIVERSITAS SEBELAS MARET</x:v>
      </x:c>
      <x:c r="D1597" t="str">
        <x:v>PENDIDIKAN BAHASA INGGRIS</x:v>
      </x:c>
      <x:c r="E1597" t="str">
        <x:v>Sarjana</x:v>
      </x:c>
      <x:c r="F1597" s="18" t="n">
        <x:v>27</x:v>
      </x:c>
      <x:c r="G1597" s="18" t="n">
        <x:v>512</x:v>
      </x:c>
      <x:c r="H1597" s="19" t="n">
        <x:v>18.962962962962962</x:v>
      </x:c>
      <x:c r="I1597" s="18" t="n">
        <x:f>ROUND(MIN(Model_Config_v3!$B$6,MAX(Q1597,R1597,S1597*Model_Config_v3!$B$4+T1597*Model_Config_v3!$B$5)),0)</x:f>
        <x:v>689</x:v>
      </x:c>
      <x:c r="J1597" s="18" t="n">
        <x:f>MIN(Model_Config_v3!$B$6,I1597+Model_Config_v3!$B$7)</x:f>
        <x:v>709</x:v>
      </x:c>
      <x:c r="K1597" s="20" t="n">
        <x:v>70.3</x:v>
      </x:c>
      <x:c r="L1597" t="str">
        <x:v>SANGAT KETAT</x:v>
      </x:c>
      <x:c r="M1597" t="str">
        <x:v>SEDANG+</x:v>
      </x:c>
      <x:c r="N1597" t="str">
        <x:v>ELITE-2</x:v>
      </x:c>
      <x:c r="O1597" t="str">
        <x:v>SOSHUM</x:v>
      </x:c>
      <x:c r="P1597" t="str">
        <x:v>PENDIDIKAN</x:v>
      </x:c>
      <x:c r="Q1597" s="18" t="n">
        <x:v>645</x:v>
      </x:c>
      <x:c r="R1597" s="18" t="n">
        <x:v>0</x:v>
      </x:c>
      <x:c r="S1597" s="18" t="n">
        <x:v>660.5696816498528</x:v>
      </x:c>
      <x:c r="T1597" s="18" t="n">
        <x:v>701</x:v>
      </x:c>
      <x:c r="U1597" s="18" t="n">
        <x:v>660.5696816498528</x:v>
      </x:c>
      <x:c r="V1597" s="20" t="n">
        <x:v>4.4</x:v>
      </x:c>
      <x:c r="W1597" s="20" t="n">
        <x:v>14.3</x:v>
      </x:c>
      <x:c r="X1597" s="20" t="n">
        <x:v>3.3</x:v>
      </x:c>
      <x:c r="Y1597" t="str">
        <x:v>Basis arsip 2025/2024</x:v>
      </x:c>
      <x:c r="Z1597" t="str">
        <x:v>https://snpmb.id/utbk-snbt/daya-tampung-snbt</x:v>
      </x:c>
      <x:c r="AA1597" t="str">
        <x:v>Tidak Ada</x:v>
      </x:c>
      <x:c r="AB1597" t="str">
        <x:v>Campus=90; Ratio=75.2; Prodi=45; RelDemand=32.9; Capacity=77.5</x:v>
      </x:c>
    </x:row>
    <x:row r="1598">
      <x:c r="A1598" t="n">
        <x:v>1595</x:v>
      </x:c>
      <x:c r="B1598" t="str">
        <x:v>PTN Akademik</x:v>
      </x:c>
      <x:c r="C1598" t="str">
        <x:v>UNIVERSITAS SEBELAS MARET</x:v>
      </x:c>
      <x:c r="D1598" t="str">
        <x:v>PENDIDIKAN SENI RUPA</x:v>
      </x:c>
      <x:c r="E1598" t="str">
        <x:v>Sarjana</x:v>
      </x:c>
      <x:c r="F1598" s="18" t="n">
        <x:v>40</x:v>
      </x:c>
      <x:c r="G1598" s="18" t="n">
        <x:v>68</x:v>
      </x:c>
      <x:c r="H1598" s="19" t="n">
        <x:v>1.7</x:v>
      </x:c>
      <x:c r="I1598" s="18" t="n">
        <x:f>ROUND(MIN(Model_Config_v3!$B$6,MAX(Q1598,R1598,S1598*Model_Config_v3!$B$4+T1598*Model_Config_v3!$B$5)),0)</x:f>
        <x:v>645</x:v>
      </x:c>
      <x:c r="J1598" s="18" t="n">
        <x:f>MIN(Model_Config_v3!$B$6,I1598+Model_Config_v3!$B$7)</x:f>
        <x:v>665</x:v>
      </x:c>
      <x:c r="K1598" s="20" t="n">
        <x:v>50.9</x:v>
      </x:c>
      <x:c r="L1598" t="str">
        <x:v>MENENGAH</x:v>
      </x:c>
      <x:c r="M1598" t="str">
        <x:v>PORTOFOLIO</x:v>
      </x:c>
      <x:c r="N1598" t="str">
        <x:v>ELITE-2</x:v>
      </x:c>
      <x:c r="O1598" t="str">
        <x:v>SENI/OLAHRAGA</x:v>
      </x:c>
      <x:c r="P1598" t="str">
        <x:v>SENI/OLAHRAGA</x:v>
      </x:c>
      <x:c r="Q1598" s="18" t="n">
        <x:v>645</x:v>
      </x:c>
      <x:c r="R1598" s="18" t="n">
        <x:v>0</x:v>
      </x:c>
      <x:c r="S1598" s="18" t="n">
        <x:v>545.3493813516101</x:v>
      </x:c>
      <x:c r="T1598" s="18" t="n">
        <x:v>662</x:v>
      </x:c>
      <x:c r="U1598" s="18" t="n">
        <x:v>645</x:v>
      </x:c>
      <x:c r="V1598" s="20" t="n">
        <x:v>4.4</x:v>
      </x:c>
      <x:c r="W1598" s="20" t="n">
        <x:v>9.9</x:v>
      </x:c>
      <x:c r="X1598" s="20" t="n">
        <x:v>7.7</x:v>
      </x:c>
      <x:c r="Y1598" t="str">
        <x:v>Basis arsip 2025/2024</x:v>
      </x:c>
      <x:c r="Z1598" t="str">
        <x:v>https://snpmb.id/utbk-snbt/daya-tampung-snbt</x:v>
      </x:c>
      <x:c r="AA1598" t="str">
        <x:v>Seni Rupa, Desain, dan Kriya</x:v>
      </x:c>
      <x:c r="AB1598" t="str">
        <x:v>Campus=90; Ratio=13.6; Prodi=45; RelDemand=2.9; Capacity=66.7</x:v>
      </x:c>
    </x:row>
    <x:row r="1599">
      <x:c r="A1599" t="n">
        <x:v>1596</x:v>
      </x:c>
      <x:c r="B1599" t="str">
        <x:v>PTN Akademik</x:v>
      </x:c>
      <x:c r="C1599" t="str">
        <x:v>UNIVERSITAS SEBELAS MARET</x:v>
      </x:c>
      <x:c r="D1599" t="str">
        <x:v>PENDIDIKAN SOSIOLOGI ANTROPOLOGI</x:v>
      </x:c>
      <x:c r="E1599" t="str">
        <x:v>Sarjana</x:v>
      </x:c>
      <x:c r="F1599" s="18" t="n">
        <x:v>24</x:v>
      </x:c>
      <x:c r="G1599" s="18" t="n">
        <x:v>268</x:v>
      </x:c>
      <x:c r="H1599" s="19" t="n">
        <x:v>11.166666666666666</x:v>
      </x:c>
      <x:c r="I1599" s="18" t="n">
        <x:f>ROUND(MIN(Model_Config_v3!$B$6,MAX(Q1599,R1599,S1599*Model_Config_v3!$B$4+T1599*Model_Config_v3!$B$5)),0)</x:f>
        <x:v>675</x:v>
      </x:c>
      <x:c r="J1599" s="18" t="n">
        <x:f>MIN(Model_Config_v3!$B$6,I1599+Model_Config_v3!$B$7)</x:f>
        <x:v>695</x:v>
      </x:c>
      <x:c r="K1599" s="20" t="n">
        <x:v>65.9</x:v>
      </x:c>
      <x:c r="L1599" t="str">
        <x:v>SANGAT KETAT</x:v>
      </x:c>
      <x:c r="M1599" t="str">
        <x:v>SEDANG+</x:v>
      </x:c>
      <x:c r="N1599" t="str">
        <x:v>ELITE-2</x:v>
      </x:c>
      <x:c r="O1599" t="str">
        <x:v>SOSHUM</x:v>
      </x:c>
      <x:c r="P1599" t="str">
        <x:v>PENDIDIKAN</x:v>
      </x:c>
      <x:c r="Q1599" s="18" t="n">
        <x:v>645</x:v>
      </x:c>
      <x:c r="R1599" s="18" t="n">
        <x:v>0</x:v>
      </x:c>
      <x:c r="S1599" s="18" t="n">
        <x:v>635.2715907548901</x:v>
      </x:c>
      <x:c r="T1599" s="18" t="n">
        <x:v>692</x:v>
      </x:c>
      <x:c r="U1599" s="18" t="n">
        <x:v>645</x:v>
      </x:c>
      <x:c r="V1599" s="20" t="n">
        <x:v>4.4</x:v>
      </x:c>
      <x:c r="W1599" s="20" t="n">
        <x:v>14.3</x:v>
      </x:c>
      <x:c r="X1599" s="20" t="n">
        <x:v>3.3</x:v>
      </x:c>
      <x:c r="Y1599" t="str">
        <x:v>Basis arsip 2025/2024</x:v>
      </x:c>
      <x:c r="Z1599" t="str">
        <x:v>https://snpmb.id/utbk-snbt/daya-tampung-snbt</x:v>
      </x:c>
      <x:c r="AA1599" t="str">
        <x:v>Tidak Ada</x:v>
      </x:c>
      <x:c r="AB1599" t="str">
        <x:v>Campus=90; Ratio=61.7; Prodi=45; RelDemand=19.4; Capacity=80.0</x:v>
      </x:c>
    </x:row>
    <x:row r="1600">
      <x:c r="A1600" t="n">
        <x:v>1597</x:v>
      </x:c>
      <x:c r="B1600" t="str">
        <x:v>PTN Akademik</x:v>
      </x:c>
      <x:c r="C1600" t="str">
        <x:v>UNIVERSITAS SEBELAS MARET</x:v>
      </x:c>
      <x:c r="D1600" t="str">
        <x:v>PEND. GURU SEKOLAH DASAR (PGSD) SURAKARTA</x:v>
      </x:c>
      <x:c r="E1600" t="str">
        <x:v>Sarjana</x:v>
      </x:c>
      <x:c r="F1600" s="18" t="n">
        <x:v>60</x:v>
      </x:c>
      <x:c r="G1600" s="18" t="n">
        <x:v>1593</x:v>
      </x:c>
      <x:c r="H1600" s="19" t="n">
        <x:v>26.55</x:v>
      </x:c>
      <x:c r="I1600" s="18" t="n">
        <x:f>ROUND(MIN(Model_Config_v3!$B$6,MAX(Q1600,R1600,S1600*Model_Config_v3!$B$4+T1600*Model_Config_v3!$B$5)),0)</x:f>
        <x:v>694</x:v>
      </x:c>
      <x:c r="J1600" s="18" t="n">
        <x:f>MIN(Model_Config_v3!$B$6,I1600+Model_Config_v3!$B$7)</x:f>
        <x:v>714</x:v>
      </x:c>
      <x:c r="K1600" s="20" t="n">
        <x:v>71.1</x:v>
      </x:c>
      <x:c r="L1600" t="str">
        <x:v>SANGAT KETAT</x:v>
      </x:c>
      <x:c r="M1600" t="str">
        <x:v>SEDANG+</x:v>
      </x:c>
      <x:c r="N1600" t="str">
        <x:v>ELITE-2</x:v>
      </x:c>
      <x:c r="O1600" t="str">
        <x:v>CAMPURAN</x:v>
      </x:c>
      <x:c r="P1600" t="str">
        <x:v>PENDIDIKAN</x:v>
      </x:c>
      <x:c r="Q1600" s="18" t="n">
        <x:v>645</x:v>
      </x:c>
      <x:c r="R1600" s="18" t="n">
        <x:v>0</x:v>
      </x:c>
      <x:c r="S1600" s="18" t="n">
        <x:v>676.6470977959236</x:v>
      </x:c>
      <x:c r="T1600" s="18" t="n">
        <x:v>702</x:v>
      </x:c>
      <x:c r="U1600" s="18" t="n">
        <x:v>676.6470977959236</x:v>
      </x:c>
      <x:c r="V1600" s="20" t="n">
        <x:v>8.8</x:v>
      </x:c>
      <x:c r="W1600" s="20" t="n">
        <x:v>9.9</x:v>
      </x:c>
      <x:c r="X1600" s="20" t="n">
        <x:v>3.3</x:v>
      </x:c>
      <x:c r="Y1600" t="str">
        <x:v>Basis arsip 2025/2024</x:v>
      </x:c>
      <x:c r="Z1600" t="str">
        <x:v>https://snpmb.id/utbk-snbt/daya-tampung-snbt</x:v>
      </x:c>
      <x:c r="AA1600" t="str">
        <x:v>Tidak Ada</x:v>
      </x:c>
      <x:c r="AB1600" t="str">
        <x:v>Campus=90; Ratio=83.8; Prodi=45; RelDemand=46.0; Capacity=50.0</x:v>
      </x:c>
    </x:row>
    <x:row r="1601">
      <x:c r="A1601" t="n">
        <x:v>1598</x:v>
      </x:c>
      <x:c r="B1601" t="str">
        <x:v>PTN Akademik</x:v>
      </x:c>
      <x:c r="C1601" t="str">
        <x:v>UNIVERSITAS SEBELAS MARET</x:v>
      </x:c>
      <x:c r="D1601" t="str">
        <x:v>BIMBINGAN DAN KONSELING</x:v>
      </x:c>
      <x:c r="E1601" t="str">
        <x:v>Sarjana</x:v>
      </x:c>
      <x:c r="F1601" s="18" t="n">
        <x:v>27</x:v>
      </x:c>
      <x:c r="G1601" s="18" t="n">
        <x:v>752</x:v>
      </x:c>
      <x:c r="H1601" s="19" t="n">
        <x:v>27.85185185185185</x:v>
      </x:c>
      <x:c r="I1601" s="18" t="n">
        <x:f>ROUND(MIN(Model_Config_v3!$B$6,MAX(Q1601,R1601,S1601*Model_Config_v3!$B$4+T1601*Model_Config_v3!$B$5)),0)</x:f>
        <x:v>699</x:v>
      </x:c>
      <x:c r="J1601" s="18" t="n">
        <x:f>MIN(Model_Config_v3!$B$6,I1601+Model_Config_v3!$B$7)</x:f>
        <x:v>719</x:v>
      </x:c>
      <x:c r="K1601" s="20" t="n">
        <x:v>73.3</x:v>
      </x:c>
      <x:c r="L1601" t="str">
        <x:v>SANGAT KETAT</x:v>
      </x:c>
      <x:c r="M1601" t="str">
        <x:v>SEDANG+</x:v>
      </x:c>
      <x:c r="N1601" t="str">
        <x:v>ELITE-2</x:v>
      </x:c>
      <x:c r="O1601" t="str">
        <x:v>CAMPURAN</x:v>
      </x:c>
      <x:c r="P1601" t="str">
        <x:v>UMUM</x:v>
      </x:c>
      <x:c r="Q1601" s="18" t="n">
        <x:v>645</x:v>
      </x:c>
      <x:c r="R1601" s="18" t="n">
        <x:v>0</x:v>
      </x:c>
      <x:c r="S1601" s="18" t="n">
        <x:v>678.9339484075921</x:v>
      </x:c>
      <x:c r="T1601" s="18" t="n">
        <x:v>707</x:v>
      </x:c>
      <x:c r="U1601" s="18" t="n">
        <x:v>678.9339484075921</x:v>
      </x:c>
      <x:c r="V1601" s="20" t="n">
        <x:v>8.8</x:v>
      </x:c>
      <x:c r="W1601" s="20" t="n">
        <x:v>9.9</x:v>
      </x:c>
      <x:c r="X1601" s="20" t="n">
        <x:v>3.3</x:v>
      </x:c>
      <x:c r="Y1601" t="str">
        <x:v>Basis arsip 2025/2024</x:v>
      </x:c>
      <x:c r="Z1601" t="str">
        <x:v>https://snpmb.id/utbk-snbt/daya-tampung-snbt</x:v>
      </x:c>
      <x:c r="AA1601" t="str">
        <x:v>Tidak Ada</x:v>
      </x:c>
      <x:c r="AB1601" t="str">
        <x:v>Campus=90; Ratio=85.0; Prodi=40; RelDemand=48.3; Capacity=77.5</x:v>
      </x:c>
    </x:row>
    <x:row r="1602">
      <x:c r="A1602" t="n">
        <x:v>1599</x:v>
      </x:c>
      <x:c r="B1602" t="str">
        <x:v>PTN Akademik</x:v>
      </x:c>
      <x:c r="C1602" t="str">
        <x:v>UNIVERSITAS SEBELAS MARET</x:v>
      </x:c>
      <x:c r="D1602" t="str">
        <x:v>PEND. GURU PEND ANAK USIA DINI (PG-PAUD)</x:v>
      </x:c>
      <x:c r="E1602" t="str">
        <x:v>Sarjana</x:v>
      </x:c>
      <x:c r="F1602" s="18" t="n">
        <x:v>24</x:v>
      </x:c>
      <x:c r="G1602" s="18" t="n">
        <x:v>215</x:v>
      </x:c>
      <x:c r="H1602" s="19" t="n">
        <x:v>8.958333333333334</x:v>
      </x:c>
      <x:c r="I1602" s="18" t="n">
        <x:f>ROUND(MIN(Model_Config_v3!$B$6,MAX(Q1602,R1602,S1602*Model_Config_v3!$B$4+T1602*Model_Config_v3!$B$5)),0)</x:f>
        <x:v>669</x:v>
      </x:c>
      <x:c r="J1602" s="18" t="n">
        <x:f>MIN(Model_Config_v3!$B$6,I1602+Model_Config_v3!$B$7)</x:f>
        <x:v>689</x:v>
      </x:c>
      <x:c r="K1602" s="20" t="n">
        <x:v>64.1</x:v>
      </x:c>
      <x:c r="L1602" t="str">
        <x:v>KETAT</x:v>
      </x:c>
      <x:c r="M1602" t="str">
        <x:v>SEDANG+</x:v>
      </x:c>
      <x:c r="N1602" t="str">
        <x:v>ELITE-2</x:v>
      </x:c>
      <x:c r="O1602" t="str">
        <x:v>CAMPURAN</x:v>
      </x:c>
      <x:c r="P1602" t="str">
        <x:v>PENDIDIKAN</x:v>
      </x:c>
      <x:c r="Q1602" s="18" t="n">
        <x:v>645</x:v>
      </x:c>
      <x:c r="R1602" s="18" t="n">
        <x:v>0</x:v>
      </x:c>
      <x:c r="S1602" s="18" t="n">
        <x:v>624.74499400244</x:v>
      </x:c>
      <x:c r="T1602" s="18" t="n">
        <x:v>688</x:v>
      </x:c>
      <x:c r="U1602" s="18" t="n">
        <x:v>645</x:v>
      </x:c>
      <x:c r="V1602" s="20" t="n">
        <x:v>8.8</x:v>
      </x:c>
      <x:c r="W1602" s="20" t="n">
        <x:v>9.9</x:v>
      </x:c>
      <x:c r="X1602" s="20" t="n">
        <x:v>3.3</x:v>
      </x:c>
      <x:c r="Y1602" t="str">
        <x:v>Basis arsip 2025/2024</x:v>
      </x:c>
      <x:c r="Z1602" t="str">
        <x:v>https://snpmb.id/utbk-snbt/daya-tampung-snbt</x:v>
      </x:c>
      <x:c r="AA1602" t="str">
        <x:v>Tidak Ada</x:v>
      </x:c>
      <x:c r="AB1602" t="str">
        <x:v>Campus=90; Ratio=56.0; Prodi=45; RelDemand=15.5; Capacity=80.0</x:v>
      </x:c>
    </x:row>
    <x:row r="1603">
      <x:c r="A1603" t="n">
        <x:v>1600</x:v>
      </x:c>
      <x:c r="B1603" t="str">
        <x:v>PTN Akademik</x:v>
      </x:c>
      <x:c r="C1603" t="str">
        <x:v>UNIVERSITAS SEBELAS MARET</x:v>
      </x:c>
      <x:c r="D1603" t="str">
        <x:v>SASTRA ARAB</x:v>
      </x:c>
      <x:c r="E1603" t="str">
        <x:v>Sarjana</x:v>
      </x:c>
      <x:c r="F1603" s="18" t="n">
        <x:v>26</x:v>
      </x:c>
      <x:c r="G1603" s="18" t="n">
        <x:v>300</x:v>
      </x:c>
      <x:c r="H1603" s="19" t="n">
        <x:v>11.538461538461538</x:v>
      </x:c>
      <x:c r="I1603" s="18" t="n">
        <x:f>ROUND(MIN(Model_Config_v3!$B$6,MAX(Q1603,R1603,S1603*Model_Config_v3!$B$4+T1603*Model_Config_v3!$B$5)),0)</x:f>
        <x:v>674</x:v>
      </x:c>
      <x:c r="J1603" s="18" t="n">
        <x:f>MIN(Model_Config_v3!$B$6,I1603+Model_Config_v3!$B$7)</x:f>
        <x:v>694</x:v>
      </x:c>
      <x:c r="K1603" s="20" t="n">
        <x:v>65</x:v>
      </x:c>
      <x:c r="L1603" t="str">
        <x:v>SANGAT KETAT</x:v>
      </x:c>
      <x:c r="M1603" t="str">
        <x:v>SEDANG+</x:v>
      </x:c>
      <x:c r="N1603" t="str">
        <x:v>ELITE-2</x:v>
      </x:c>
      <x:c r="O1603" t="str">
        <x:v>SOSHUM</x:v>
      </x:c>
      <x:c r="P1603" t="str">
        <x:v>UMUM</x:v>
      </x:c>
      <x:c r="Q1603" s="18" t="n">
        <x:v>645</x:v>
      </x:c>
      <x:c r="R1603" s="18" t="n">
        <x:v>0</x:v>
      </x:c>
      <x:c r="S1603" s="18" t="n">
        <x:v>636.8362697423729</x:v>
      </x:c>
      <x:c r="T1603" s="18" t="n">
        <x:v>690</x:v>
      </x:c>
      <x:c r="U1603" s="18" t="n">
        <x:v>645</x:v>
      </x:c>
      <x:c r="V1603" s="20" t="n">
        <x:v>4.4</x:v>
      </x:c>
      <x:c r="W1603" s="20" t="n">
        <x:v>14.3</x:v>
      </x:c>
      <x:c r="X1603" s="20" t="n">
        <x:v>3.3</x:v>
      </x:c>
      <x:c r="Y1603" t="str">
        <x:v>Basis arsip 2025/2024</x:v>
      </x:c>
      <x:c r="Z1603" t="str">
        <x:v>https://snpmb.id/utbk-snbt/daya-tampung-snbt</x:v>
      </x:c>
      <x:c r="AA1603" t="str">
        <x:v>Tidak Ada</x:v>
      </x:c>
      <x:c r="AB1603" t="str">
        <x:v>Campus=90; Ratio=62.5; Prodi=40; RelDemand=20.0; Capacity=78.3</x:v>
      </x:c>
    </x:row>
    <x:row r="1604">
      <x:c r="A1604" t="n">
        <x:v>1601</x:v>
      </x:c>
      <x:c r="B1604" t="str">
        <x:v>PTN Akademik</x:v>
      </x:c>
      <x:c r="C1604" t="str">
        <x:v>UNIVERSITAS SEBELAS MARET</x:v>
      </x:c>
      <x:c r="D1604" t="str">
        <x:v>PENDIDIKAN BAHASA JAWA</x:v>
      </x:c>
      <x:c r="E1604" t="str">
        <x:v>Sarjana</x:v>
      </x:c>
      <x:c r="F1604" s="18" t="n">
        <x:v>24</x:v>
      </x:c>
      <x:c r="G1604" s="18" t="n">
        <x:v>213</x:v>
      </x:c>
      <x:c r="H1604" s="19" t="n">
        <x:v>8.875</x:v>
      </x:c>
      <x:c r="I1604" s="18" t="n">
        <x:f>ROUND(MIN(Model_Config_v3!$B$6,MAX(Q1604,R1604,S1604*Model_Config_v3!$B$4+T1604*Model_Config_v3!$B$5)),0)</x:f>
        <x:v>669</x:v>
      </x:c>
      <x:c r="J1604" s="18" t="n">
        <x:f>MIN(Model_Config_v3!$B$6,I1604+Model_Config_v3!$B$7)</x:f>
        <x:v>689</x:v>
      </x:c>
      <x:c r="K1604" s="20" t="n">
        <x:v>64</x:v>
      </x:c>
      <x:c r="L1604" t="str">
        <x:v>KETAT</x:v>
      </x:c>
      <x:c r="M1604" t="str">
        <x:v>SEDANG+</x:v>
      </x:c>
      <x:c r="N1604" t="str">
        <x:v>ELITE-2</x:v>
      </x:c>
      <x:c r="O1604" t="str">
        <x:v>SOSHUM</x:v>
      </x:c>
      <x:c r="P1604" t="str">
        <x:v>PENDIDIKAN</x:v>
      </x:c>
      <x:c r="Q1604" s="18" t="n">
        <x:v>645</x:v>
      </x:c>
      <x:c r="R1604" s="18" t="n">
        <x:v>0</x:v>
      </x:c>
      <x:c r="S1604" s="18" t="n">
        <x:v>624.2985197899845</x:v>
      </x:c>
      <x:c r="T1604" s="18" t="n">
        <x:v>688</x:v>
      </x:c>
      <x:c r="U1604" s="18" t="n">
        <x:v>645</x:v>
      </x:c>
      <x:c r="V1604" s="20" t="n">
        <x:v>4.4</x:v>
      </x:c>
      <x:c r="W1604" s="20" t="n">
        <x:v>14.3</x:v>
      </x:c>
      <x:c r="X1604" s="20" t="n">
        <x:v>3.3</x:v>
      </x:c>
      <x:c r="Y1604" t="str">
        <x:v>Basis arsip 2025/2024</x:v>
      </x:c>
      <x:c r="Z1604" t="str">
        <x:v>https://snpmb.id/utbk-snbt/daya-tampung-snbt</x:v>
      </x:c>
      <x:c r="AA1604" t="str">
        <x:v>Tidak Ada</x:v>
      </x:c>
      <x:c r="AB1604" t="str">
        <x:v>Campus=90; Ratio=55.8; Prodi=45; RelDemand=15.4; Capacity=80.0</x:v>
      </x:c>
    </x:row>
    <x:row r="1605">
      <x:c r="A1605" t="n">
        <x:v>1602</x:v>
      </x:c>
      <x:c r="B1605" t="str">
        <x:v>PTN Akademik</x:v>
      </x:c>
      <x:c r="C1605" t="str">
        <x:v>UNIVERSITAS SEBELAS MARET</x:v>
      </x:c>
      <x:c r="D1605" t="str">
        <x:v>PEND. GURU SEKOLAH DASAR (PGSD) KEBUMEN</x:v>
      </x:c>
      <x:c r="E1605" t="str">
        <x:v>Sarjana</x:v>
      </x:c>
      <x:c r="F1605" s="18" t="n">
        <x:v>36</x:v>
      </x:c>
      <x:c r="G1605" s="18" t="n">
        <x:v>471</x:v>
      </x:c>
      <x:c r="H1605" s="19" t="n">
        <x:v>13.083333333333334</x:v>
      </x:c>
      <x:c r="I1605" s="18" t="n">
        <x:f>ROUND(MIN(Model_Config_v3!$B$6,MAX(Q1605,R1605,S1605*Model_Config_v3!$B$4+T1605*Model_Config_v3!$B$5)),0)</x:f>
        <x:v>677</x:v>
      </x:c>
      <x:c r="J1605" s="18" t="n">
        <x:f>MIN(Model_Config_v3!$B$6,I1605+Model_Config_v3!$B$7)</x:f>
        <x:v>697</x:v>
      </x:c>
      <x:c r="K1605" s="20" t="n">
        <x:v>66.2</x:v>
      </x:c>
      <x:c r="L1605" t="str">
        <x:v>SANGAT KETAT</x:v>
      </x:c>
      <x:c r="M1605" t="str">
        <x:v>SEDANG+</x:v>
      </x:c>
      <x:c r="N1605" t="str">
        <x:v>ELITE-2</x:v>
      </x:c>
      <x:c r="O1605" t="str">
        <x:v>CAMPURAN</x:v>
      </x:c>
      <x:c r="P1605" t="str">
        <x:v>PENDIDIKAN</x:v>
      </x:c>
      <x:c r="Q1605" s="18" t="n">
        <x:v>645</x:v>
      </x:c>
      <x:c r="R1605" s="18" t="n">
        <x:v>0</x:v>
      </x:c>
      <x:c r="S1605" s="18" t="n">
        <x:v>642.8390246997769</x:v>
      </x:c>
      <x:c r="T1605" s="18" t="n">
        <x:v>692</x:v>
      </x:c>
      <x:c r="U1605" s="18" t="n">
        <x:v>645</x:v>
      </x:c>
      <x:c r="V1605" s="20" t="n">
        <x:v>8.8</x:v>
      </x:c>
      <x:c r="W1605" s="20" t="n">
        <x:v>9.9</x:v>
      </x:c>
      <x:c r="X1605" s="20" t="n">
        <x:v>3.3</x:v>
      </x:c>
      <x:c r="Y1605" t="str">
        <x:v>Basis arsip 2025/2024</x:v>
      </x:c>
      <x:c r="Z1605" t="str">
        <x:v>https://snpmb.id/utbk-snbt/daya-tampung-snbt</x:v>
      </x:c>
      <x:c r="AA1605" t="str">
        <x:v>Tidak Ada</x:v>
      </x:c>
      <x:c r="AB1605" t="str">
        <x:v>Campus=90; Ratio=65.7; Prodi=45; RelDemand=22.7; Capacity=70.0</x:v>
      </x:c>
    </x:row>
    <x:row r="1606">
      <x:c r="A1606" t="n">
        <x:v>1603</x:v>
      </x:c>
      <x:c r="B1606" t="str">
        <x:v>PTN Akademik</x:v>
      </x:c>
      <x:c r="C1606" t="str">
        <x:v>UNIVERSITAS SEBELAS MARET</x:v>
      </x:c>
      <x:c r="D1606" t="str">
        <x:v>HUBUNGAN INTERNASIONAL</x:v>
      </x:c>
      <x:c r="E1606" t="str">
        <x:v>Sarjana</x:v>
      </x:c>
      <x:c r="F1606" s="18" t="n">
        <x:v>27</x:v>
      </x:c>
      <x:c r="G1606" s="18" t="n">
        <x:v>802</x:v>
      </x:c>
      <x:c r="H1606" s="19" t="n">
        <x:v>29.703703703703702</x:v>
      </x:c>
      <x:c r="I1606" s="18" t="n">
        <x:f>ROUND(MIN(Model_Config_v3!$B$6,MAX(Q1606,R1606,S1606*Model_Config_v3!$B$4+T1606*Model_Config_v3!$B$5)),0)</x:f>
        <x:v>700</x:v>
      </x:c>
      <x:c r="J1606" s="18" t="n">
        <x:f>MIN(Model_Config_v3!$B$6,I1606+Model_Config_v3!$B$7)</x:f>
        <x:v>720</x:v>
      </x:c>
      <x:c r="K1606" s="20" t="n">
        <x:v>74.1</x:v>
      </x:c>
      <x:c r="L1606" t="str">
        <x:v>SANGAT KETAT</x:v>
      </x:c>
      <x:c r="M1606" t="str">
        <x:v>SEDANG+</x:v>
      </x:c>
      <x:c r="N1606" t="str">
        <x:v>ELITE-2</x:v>
      </x:c>
      <x:c r="O1606" t="str">
        <x:v>SOSHUM</x:v>
      </x:c>
      <x:c r="P1606" t="str">
        <x:v>UMUM</x:v>
      </x:c>
      <x:c r="Q1606" s="18" t="n">
        <x:v>645</x:v>
      </x:c>
      <x:c r="R1606" s="18" t="n">
        <x:v>0</x:v>
      </x:c>
      <x:c r="S1606" s="18" t="n">
        <x:v>682.0091664537694</x:v>
      </x:c>
      <x:c r="T1606" s="18" t="n">
        <x:v>708</x:v>
      </x:c>
      <x:c r="U1606" s="18" t="n">
        <x:v>682.0091664537694</x:v>
      </x:c>
      <x:c r="V1606" s="20" t="n">
        <x:v>4.4</x:v>
      </x:c>
      <x:c r="W1606" s="20" t="n">
        <x:v>14.3</x:v>
      </x:c>
      <x:c r="X1606" s="20" t="n">
        <x:v>3.3</x:v>
      </x:c>
      <x:c r="Y1606" t="str">
        <x:v>Basis arsip 2025/2024</x:v>
      </x:c>
      <x:c r="Z1606" t="str">
        <x:v>https://snpmb.id/utbk-snbt/daya-tampung-snbt</x:v>
      </x:c>
      <x:c r="AA1606" t="str">
        <x:v>Tidak Ada</x:v>
      </x:c>
      <x:c r="AB1606" t="str">
        <x:v>Campus=90; Ratio=86.7; Prodi=40; RelDemand=51.5; Capacity=77.5</x:v>
      </x:c>
    </x:row>
    <x:row r="1607">
      <x:c r="A1607" t="n">
        <x:v>1604</x:v>
      </x:c>
      <x:c r="B1607" t="str">
        <x:v>PTN Akademik</x:v>
      </x:c>
      <x:c r="C1607" t="str">
        <x:v>UNIVERSITAS SEBELAS MARET</x:v>
      </x:c>
      <x:c r="D1607" t="str">
        <x:v>PENDIDIKAN AKUNTANSI</x:v>
      </x:c>
      <x:c r="E1607" t="str">
        <x:v>Sarjana</x:v>
      </x:c>
      <x:c r="F1607" s="18" t="n">
        <x:v>27</x:v>
      </x:c>
      <x:c r="G1607" s="18" t="n">
        <x:v>258</x:v>
      </x:c>
      <x:c r="H1607" s="19" t="n">
        <x:v>9.555555555555555</x:v>
      </x:c>
      <x:c r="I1607" s="18" t="n">
        <x:f>ROUND(MIN(Model_Config_v3!$B$6,MAX(Q1607,R1607,S1607*Model_Config_v3!$B$4+T1607*Model_Config_v3!$B$5)),0)</x:f>
        <x:v>680</x:v>
      </x:c>
      <x:c r="J1607" s="18" t="n">
        <x:f>MIN(Model_Config_v3!$B$6,I1607+Model_Config_v3!$B$7)</x:f>
        <x:v>700</x:v>
      </x:c>
      <x:c r="K1607" s="20" t="n">
        <x:v>68.3</x:v>
      </x:c>
      <x:c r="L1607" t="str">
        <x:v>SANGAT KETAT</x:v>
      </x:c>
      <x:c r="M1607" t="str">
        <x:v>SEDANG+</x:v>
      </x:c>
      <x:c r="N1607" t="str">
        <x:v>ELITE-2</x:v>
      </x:c>
      <x:c r="O1607" t="str">
        <x:v>SOSHUM</x:v>
      </x:c>
      <x:c r="P1607" t="str">
        <x:v>BISNIS/EKONOMI/AKUNTANSI</x:v>
      </x:c>
      <x:c r="Q1607" s="18" t="n">
        <x:v>645</x:v>
      </x:c>
      <x:c r="R1607" s="18" t="n">
        <x:v>680</x:v>
      </x:c>
      <x:c r="S1607" s="18" t="n">
        <x:v>627.8281535984667</x:v>
      </x:c>
      <x:c r="T1607" s="18" t="n">
        <x:v>697</x:v>
      </x:c>
      <x:c r="U1607" s="18" t="n">
        <x:v>645</x:v>
      </x:c>
      <x:c r="V1607" s="20" t="n">
        <x:v>4.4</x:v>
      </x:c>
      <x:c r="W1607" s="20" t="n">
        <x:v>14.3</x:v>
      </x:c>
      <x:c r="X1607" s="20" t="n">
        <x:v>3.3</x:v>
      </x:c>
      <x:c r="Y1607" t="str">
        <x:v>Basis arsip 2025/2024</x:v>
      </x:c>
      <x:c r="Z1607" t="str">
        <x:v>https://snpmb.id/utbk-snbt/daya-tampung-snbt</x:v>
      </x:c>
      <x:c r="AA1607" t="str">
        <x:v>Tidak Ada</x:v>
      </x:c>
      <x:c r="AB1607" t="str">
        <x:v>Campus=90; Ratio=57.7; Prodi=65; RelDemand=16.6; Capacity=77.5</x:v>
      </x:c>
    </x:row>
    <x:row r="1608">
      <x:c r="A1608" t="n">
        <x:v>1605</x:v>
      </x:c>
      <x:c r="B1608" t="str">
        <x:v>PTN Akademik</x:v>
      </x:c>
      <x:c r="C1608" t="str">
        <x:v>UNIVERSITAS SEBELAS MARET</x:v>
      </x:c>
      <x:c r="D1608" t="str">
        <x:v>PENDIDIKAN ADMINISTRASI PERKANTORAN</x:v>
      </x:c>
      <x:c r="E1608" t="str">
        <x:v>Sarjana</x:v>
      </x:c>
      <x:c r="F1608" s="18" t="n">
        <x:v>27</x:v>
      </x:c>
      <x:c r="G1608" s="18" t="n">
        <x:v>585</x:v>
      </x:c>
      <x:c r="H1608" s="19" t="n">
        <x:v>21.666666666666668</x:v>
      </x:c>
      <x:c r="I1608" s="18" t="n">
        <x:f>ROUND(MIN(Model_Config_v3!$B$6,MAX(Q1608,R1608,S1608*Model_Config_v3!$B$4+T1608*Model_Config_v3!$B$5)),0)</x:f>
        <x:v>692</x:v>
      </x:c>
      <x:c r="J1608" s="18" t="n">
        <x:f>MIN(Model_Config_v3!$B$6,I1608+Model_Config_v3!$B$7)</x:f>
        <x:v>712</x:v>
      </x:c>
      <x:c r="K1608" s="20" t="n">
        <x:v>71.7</x:v>
      </x:c>
      <x:c r="L1608" t="str">
        <x:v>SANGAT KETAT</x:v>
      </x:c>
      <x:c r="M1608" t="str">
        <x:v>SEDANG+</x:v>
      </x:c>
      <x:c r="N1608" t="str">
        <x:v>ELITE-2</x:v>
      </x:c>
      <x:c r="O1608" t="str">
        <x:v>SOSHUM</x:v>
      </x:c>
      <x:c r="P1608" t="str">
        <x:v>PENDIDIKAN</x:v>
      </x:c>
      <x:c r="Q1608" s="18" t="n">
        <x:v>645</x:v>
      </x:c>
      <x:c r="R1608" s="18" t="n">
        <x:v>0</x:v>
      </x:c>
      <x:c r="S1608" s="18" t="n">
        <x:v>666.9371312115512</x:v>
      </x:c>
      <x:c r="T1608" s="18" t="n">
        <x:v>703</x:v>
      </x:c>
      <x:c r="U1608" s="18" t="n">
        <x:v>666.9371312115512</x:v>
      </x:c>
      <x:c r="V1608" s="20" t="n">
        <x:v>4.4</x:v>
      </x:c>
      <x:c r="W1608" s="20" t="n">
        <x:v>14.3</x:v>
      </x:c>
      <x:c r="X1608" s="20" t="n">
        <x:v>3.3</x:v>
      </x:c>
      <x:c r="Y1608" t="str">
        <x:v>Basis arsip 2025/2024</x:v>
      </x:c>
      <x:c r="Z1608" t="str">
        <x:v>https://snpmb.id/utbk-snbt/daya-tampung-snbt</x:v>
      </x:c>
      <x:c r="AA1608" t="str">
        <x:v>Tidak Ada</x:v>
      </x:c>
      <x:c r="AB1608" t="str">
        <x:v>Campus=90; Ratio=78.6; Prodi=45; RelDemand=37.6; Capacity=77.5</x:v>
      </x:c>
    </x:row>
    <x:row r="1609">
      <x:c r="A1609" t="n">
        <x:v>1606</x:v>
      </x:c>
      <x:c r="B1609" t="str">
        <x:v>PTN Akademik</x:v>
      </x:c>
      <x:c r="C1609" t="str">
        <x:v>UNIVERSITAS SEBELAS MARET</x:v>
      </x:c>
      <x:c r="D1609" t="str">
        <x:v>PENDIDIKAN EKONOMI</x:v>
      </x:c>
      <x:c r="E1609" t="str">
        <x:v>Sarjana</x:v>
      </x:c>
      <x:c r="F1609" s="18" t="n">
        <x:v>36</x:v>
      </x:c>
      <x:c r="G1609" s="18" t="n">
        <x:v>336</x:v>
      </x:c>
      <x:c r="H1609" s="19" t="n">
        <x:v>9.333333333333334</x:v>
      </x:c>
      <x:c r="I1609" s="18" t="n">
        <x:f>ROUND(MIN(Model_Config_v3!$B$6,MAX(Q1609,R1609,S1609*Model_Config_v3!$B$4+T1609*Model_Config_v3!$B$5)),0)</x:f>
        <x:v>669</x:v>
      </x:c>
      <x:c r="J1609" s="18" t="n">
        <x:f>MIN(Model_Config_v3!$B$6,I1609+Model_Config_v3!$B$7)</x:f>
        <x:v>689</x:v>
      </x:c>
      <x:c r="K1609" s="20" t="n">
        <x:v>63.4</x:v>
      </x:c>
      <x:c r="L1609" t="str">
        <x:v>KETAT</x:v>
      </x:c>
      <x:c r="M1609" t="str">
        <x:v>SEDANG+</x:v>
      </x:c>
      <x:c r="N1609" t="str">
        <x:v>ELITE-2</x:v>
      </x:c>
      <x:c r="O1609" t="str">
        <x:v>SOSHUM</x:v>
      </x:c>
      <x:c r="P1609" t="str">
        <x:v>PENDIDIKAN</x:v>
      </x:c>
      <x:c r="Q1609" s="18" t="n">
        <x:v>645</x:v>
      </x:c>
      <x:c r="R1609" s="18" t="n">
        <x:v>0</x:v>
      </x:c>
      <x:c r="S1609" s="18" t="n">
        <x:v>626.7040454284812</x:v>
      </x:c>
      <x:c r="T1609" s="18" t="n">
        <x:v>687</x:v>
      </x:c>
      <x:c r="U1609" s="18" t="n">
        <x:v>645</x:v>
      </x:c>
      <x:c r="V1609" s="20" t="n">
        <x:v>4.4</x:v>
      </x:c>
      <x:c r="W1609" s="20" t="n">
        <x:v>14.3</x:v>
      </x:c>
      <x:c r="X1609" s="20" t="n">
        <x:v>3.3</x:v>
      </x:c>
      <x:c r="Y1609" t="str">
        <x:v>Basis arsip 2025/2024</x:v>
      </x:c>
      <x:c r="Z1609" t="str">
        <x:v>https://snpmb.id/utbk-snbt/daya-tampung-snbt</x:v>
      </x:c>
      <x:c r="AA1609" t="str">
        <x:v>Tidak Ada</x:v>
      </x:c>
      <x:c r="AB1609" t="str">
        <x:v>Campus=90; Ratio=57.1; Prodi=45; RelDemand=16.2; Capacity=70.0</x:v>
      </x:c>
    </x:row>
    <x:row r="1610">
      <x:c r="A1610" t="n">
        <x:v>1607</x:v>
      </x:c>
      <x:c r="B1610" t="str">
        <x:v>PTN Akademik</x:v>
      </x:c>
      <x:c r="C1610" t="str">
        <x:v>UNIVERSITAS SEBELAS MARET</x:v>
      </x:c>
      <x:c r="D1610" t="str">
        <x:v>TEKNOLOGI PENDIDIKAN</x:v>
      </x:c>
      <x:c r="E1610" t="str">
        <x:v>Sarjana</x:v>
      </x:c>
      <x:c r="F1610" s="18" t="n">
        <x:v>27</x:v>
      </x:c>
      <x:c r="G1610" s="18" t="n">
        <x:v>306</x:v>
      </x:c>
      <x:c r="H1610" s="19" t="n">
        <x:v>11.333333333333334</x:v>
      </x:c>
      <x:c r="I1610" s="18" t="n">
        <x:f>ROUND(MIN(Model_Config_v3!$B$6,MAX(Q1610,R1610,S1610*Model_Config_v3!$B$4+T1610*Model_Config_v3!$B$5)),0)</x:f>
        <x:v>673</x:v>
      </x:c>
      <x:c r="J1610" s="18" t="n">
        <x:f>MIN(Model_Config_v3!$B$6,I1610+Model_Config_v3!$B$7)</x:f>
        <x:v>693</x:v>
      </x:c>
      <x:c r="K1610" s="20" t="n">
        <x:v>64.7</x:v>
      </x:c>
      <x:c r="L1610" t="str">
        <x:v>KETAT</x:v>
      </x:c>
      <x:c r="M1610" t="str">
        <x:v>SEDANG+</x:v>
      </x:c>
      <x:c r="N1610" t="str">
        <x:v>ELITE-2</x:v>
      </x:c>
      <x:c r="O1610" t="str">
        <x:v>SAINTEK</x:v>
      </x:c>
      <x:c r="P1610" t="str">
        <x:v>UMUM</x:v>
      </x:c>
      <x:c r="Q1610" s="18" t="n">
        <x:v>645</x:v>
      </x:c>
      <x:c r="R1610" s="18" t="n">
        <x:v>0</x:v>
      </x:c>
      <x:c r="S1610" s="18" t="n">
        <x:v>635.9793428554851</x:v>
      </x:c>
      <x:c r="T1610" s="18" t="n">
        <x:v>689</x:v>
      </x:c>
      <x:c r="U1610" s="18" t="n">
        <x:v>645</x:v>
      </x:c>
      <x:c r="V1610" s="20" t="n">
        <x:v>12</x:v>
      </x:c>
      <x:c r="W1610" s="20" t="n">
        <x:v>5</x:v>
      </x:c>
      <x:c r="X1610" s="20" t="n">
        <x:v>3</x:v>
      </x:c>
      <x:c r="Y1610" t="str">
        <x:v>Basis arsip 2025/2024</x:v>
      </x:c>
      <x:c r="Z1610" t="str">
        <x:v>https://snpmb.id/utbk-snbt/daya-tampung-snbt</x:v>
      </x:c>
      <x:c r="AA1610" t="str">
        <x:v>Tidak Ada</x:v>
      </x:c>
      <x:c r="AB1610" t="str">
        <x:v>Campus=90; Ratio=62.1; Prodi=40; RelDemand=19.6; Capacity=77.5</x:v>
      </x:c>
    </x:row>
    <x:row r="1611">
      <x:c r="A1611" t="n">
        <x:v>1608</x:v>
      </x:c>
      <x:c r="B1611" t="str">
        <x:v>PTN Akademik</x:v>
      </x:c>
      <x:c r="C1611" t="str">
        <x:v>UNIVERSITAS SEBELAS MARET</x:v>
      </x:c>
      <x:c r="D1611" t="str">
        <x:v>BAHASA MANDARIN DAN KEBUDAYAAN TIONGKOK</x:v>
      </x:c>
      <x:c r="E1611" t="str">
        <x:v>Sarjana</x:v>
      </x:c>
      <x:c r="F1611" s="18" t="n">
        <x:v>23</x:v>
      </x:c>
      <x:c r="G1611" s="18" t="n">
        <x:v>235</x:v>
      </x:c>
      <x:c r="H1611" s="19" t="n">
        <x:v>10.217391304347826</x:v>
      </x:c>
      <x:c r="I1611" s="18" t="n">
        <x:f>ROUND(MIN(Model_Config_v3!$B$6,MAX(Q1611,R1611,S1611*Model_Config_v3!$B$4+T1611*Model_Config_v3!$B$5)),0)</x:f>
        <x:v>671</x:v>
      </x:c>
      <x:c r="J1611" s="18" t="n">
        <x:f>MIN(Model_Config_v3!$B$6,I1611+Model_Config_v3!$B$7)</x:f>
        <x:v>691</x:v>
      </x:c>
      <x:c r="K1611" s="20" t="n">
        <x:v>64.2</x:v>
      </x:c>
      <x:c r="L1611" t="str">
        <x:v>KETAT</x:v>
      </x:c>
      <x:c r="M1611" t="str">
        <x:v>SEDANG+</x:v>
      </x:c>
      <x:c r="N1611" t="str">
        <x:v>ELITE-2</x:v>
      </x:c>
      <x:c r="O1611" t="str">
        <x:v>SOSHUM</x:v>
      </x:c>
      <x:c r="P1611" t="str">
        <x:v>UMUM</x:v>
      </x:c>
      <x:c r="Q1611" s="18" t="n">
        <x:v>645</x:v>
      </x:c>
      <x:c r="R1611" s="18" t="n">
        <x:v>0</x:v>
      </x:c>
      <x:c r="S1611" s="18" t="n">
        <x:v>631.0274028879558</x:v>
      </x:c>
      <x:c r="T1611" s="18" t="n">
        <x:v>688</x:v>
      </x:c>
      <x:c r="U1611" s="18" t="n">
        <x:v>645</x:v>
      </x:c>
      <x:c r="V1611" s="20" t="n">
        <x:v>4.4</x:v>
      </x:c>
      <x:c r="W1611" s="20" t="n">
        <x:v>14.3</x:v>
      </x:c>
      <x:c r="X1611" s="20" t="n">
        <x:v>3.3</x:v>
      </x:c>
      <x:c r="Y1611" t="str">
        <x:v>Basis arsip 2025/2024</x:v>
      </x:c>
      <x:c r="Z1611" t="str">
        <x:v>https://snpmb.id/utbk-snbt/daya-tampung-snbt</x:v>
      </x:c>
      <x:c r="AA1611" t="str">
        <x:v>Tidak Ada</x:v>
      </x:c>
      <x:c r="AB1611" t="str">
        <x:v>Campus=90; Ratio=59.4; Prodi=40; RelDemand=17.7; Capacity=80.8</x:v>
      </x:c>
    </x:row>
    <x:row r="1612">
      <x:c r="A1612" t="n">
        <x:v>1609</x:v>
      </x:c>
      <x:c r="B1612" t="str">
        <x:v>PTN Akademik</x:v>
      </x:c>
      <x:c r="C1612" t="str">
        <x:v>UNIVERSITAS SEBELAS MARET</x:v>
      </x:c>
      <x:c r="D1612" t="str">
        <x:v>BISNIS DIGITAL</x:v>
      </x:c>
      <x:c r="E1612" t="str">
        <x:v>Sarjana</x:v>
      </x:c>
      <x:c r="F1612" s="18" t="n">
        <x:v>36</x:v>
      </x:c>
      <x:c r="G1612" s="18" t="n">
        <x:v>1712</x:v>
      </x:c>
      <x:c r="H1612" s="19" t="n">
        <x:v>47.55555555555556</x:v>
      </x:c>
      <x:c r="I1612" s="18" t="n">
        <x:f>ROUND(MIN(Model_Config_v3!$B$6,MAX(Q1612,R1612,S1612*Model_Config_v3!$B$4+T1612*Model_Config_v3!$B$5)),0)</x:f>
        <x:v>722</x:v>
      </x:c>
      <x:c r="J1612" s="18" t="n">
        <x:f>MIN(Model_Config_v3!$B$6,I1612+Model_Config_v3!$B$7)</x:f>
        <x:v>742</x:v>
      </x:c>
      <x:c r="K1612" s="20" t="n">
        <x:v>84.4</x:v>
      </x:c>
      <x:c r="L1612" t="str">
        <x:v>ELITE</x:v>
      </x:c>
      <x:c r="M1612" t="str">
        <x:v>SEDANG+</x:v>
      </x:c>
      <x:c r="N1612" t="str">
        <x:v>ELITE-2</x:v>
      </x:c>
      <x:c r="O1612" t="str">
        <x:v>SOSHUM</x:v>
      </x:c>
      <x:c r="P1612" t="str">
        <x:v>BISNIS/EKONOMI/AKUNTANSI</x:v>
      </x:c>
      <x:c r="Q1612" s="18" t="n">
        <x:v>645</x:v>
      </x:c>
      <x:c r="R1612" s="18" t="n">
        <x:v>680</x:v>
      </x:c>
      <x:c r="S1612" s="18" t="n">
        <x:v>704.4921385531231</x:v>
      </x:c>
      <x:c r="T1612" s="18" t="n">
        <x:v>729</x:v>
      </x:c>
      <x:c r="U1612" s="18" t="n">
        <x:v>719.4921385531231</x:v>
      </x:c>
      <x:c r="V1612" s="20" t="n">
        <x:v>4.4</x:v>
      </x:c>
      <x:c r="W1612" s="20" t="n">
        <x:v>14.3</x:v>
      </x:c>
      <x:c r="X1612" s="20" t="n">
        <x:v>3.3</x:v>
      </x:c>
      <x:c r="Y1612" t="str">
        <x:v>Basis arsip 2025/2024</x:v>
      </x:c>
      <x:c r="Z1612" t="str">
        <x:v>https://snpmb.id/utbk-snbt/daya-tampung-snbt</x:v>
      </x:c>
      <x:c r="AA1612" t="str">
        <x:v>Tidak Ada</x:v>
      </x:c>
      <x:c r="AB1612" t="str">
        <x:v>Campus=90; Ratio=98.7; Prodi=65; RelDemand=82.4; Capacity=70.0</x:v>
      </x:c>
    </x:row>
    <x:row r="1613">
      <x:c r="A1613" t="n">
        <x:v>1610</x:v>
      </x:c>
      <x:c r="B1613" t="str">
        <x:v>PTN Akademik</x:v>
      </x:c>
      <x:c r="C1613" t="str">
        <x:v>UNIVERSITAS SEBELAS MARET</x:v>
      </x:c>
      <x:c r="D1613" t="str">
        <x:v>SAINS DATA</x:v>
      </x:c>
      <x:c r="E1613" t="str">
        <x:v>Sarjana</x:v>
      </x:c>
      <x:c r="F1613" s="18" t="n">
        <x:v>18</x:v>
      </x:c>
      <x:c r="G1613" s="18" t="n">
        <x:v>409</x:v>
      </x:c>
      <x:c r="H1613" s="19" t="n">
        <x:v>22.72222222222222</x:v>
      </x:c>
      <x:c r="I1613" s="18" t="n">
        <x:f>ROUND(MIN(Model_Config_v3!$B$6,MAX(Q1613,R1613,S1613*Model_Config_v3!$B$4+T1613*Model_Config_v3!$B$5)),0)</x:f>
        <x:v>694</x:v>
      </x:c>
      <x:c r="J1613" s="18" t="n">
        <x:f>MIN(Model_Config_v3!$B$6,I1613+Model_Config_v3!$B$7)</x:f>
        <x:v>714</x:v>
      </x:c>
      <x:c r="K1613" s="20" t="n">
        <x:v>71.9</x:v>
      </x:c>
      <x:c r="L1613" t="str">
        <x:v>SANGAT KETAT</x:v>
      </x:c>
      <x:c r="M1613" t="str">
        <x:v>SEDANG+</x:v>
      </x:c>
      <x:c r="N1613" t="str">
        <x:v>ELITE-2</x:v>
      </x:c>
      <x:c r="O1613" t="str">
        <x:v>CAMPURAN</x:v>
      </x:c>
      <x:c r="P1613" t="str">
        <x:v>UMUM</x:v>
      </x:c>
      <x:c r="Q1613" s="18" t="n">
        <x:v>645</x:v>
      </x:c>
      <x:c r="R1613" s="18" t="n">
        <x:v>0</x:v>
      </x:c>
      <x:c r="S1613" s="18" t="n">
        <x:v>669.2095883194439</x:v>
      </x:c>
      <x:c r="T1613" s="18" t="n">
        <x:v>704</x:v>
      </x:c>
      <x:c r="U1613" s="18" t="n">
        <x:v>669.2095883194439</x:v>
      </x:c>
      <x:c r="V1613" s="20" t="n">
        <x:v>8.8</x:v>
      </x:c>
      <x:c r="W1613" s="20" t="n">
        <x:v>9.9</x:v>
      </x:c>
      <x:c r="X1613" s="20" t="n">
        <x:v>3.3</x:v>
      </x:c>
      <x:c r="Y1613" t="str">
        <x:v>Basis arsip 2025/2024</x:v>
      </x:c>
      <x:c r="Z1613" t="str">
        <x:v>https://snpmb.id/utbk-snbt/daya-tampung-snbt</x:v>
      </x:c>
      <x:c r="AA1613" t="str">
        <x:v>Tidak Ada</x:v>
      </x:c>
      <x:c r="AB1613" t="str">
        <x:v>Campus=90; Ratio=79.8; Prodi=40; RelDemand=39.4; Capacity=85.0</x:v>
      </x:c>
    </x:row>
    <x:row r="1614">
      <x:c r="A1614" t="n">
        <x:v>1611</x:v>
      </x:c>
      <x:c r="B1614" t="str">
        <x:v>PTN Akademik</x:v>
      </x:c>
      <x:c r="C1614" t="str">
        <x:v>UNIVERSITAS SEBELAS MARET</x:v>
      </x:c>
      <x:c r="D1614" t="str">
        <x:v>ILMU ADMINISTRASI NEGARA (KAMPUS KABUPATEN KEBUMEN)</x:v>
      </x:c>
      <x:c r="E1614" t="str">
        <x:v>Sarjana</x:v>
      </x:c>
      <x:c r="F1614" s="18" t="n">
        <x:v>40</x:v>
      </x:c>
      <x:c r="G1614" s="18"/>
      <x:c r="H1614" s="19" t="n">
        <x:v>0</x:v>
      </x:c>
      <x:c r="I1614" s="18" t="n">
        <x:f>ROUND(MIN(Model_Config_v3!$B$6,MAX(Q1614,R1614,S1614*Model_Config_v3!$B$4+T1614*Model_Config_v3!$B$5)),0)</x:f>
        <x:v>645</x:v>
      </x:c>
      <x:c r="J1614" s="18" t="n">
        <x:f>MIN(Model_Config_v3!$B$6,I1614+Model_Config_v3!$B$7)</x:f>
        <x:v>665</x:v>
      </x:c>
      <x:c r="K1614" s="20" t="n">
        <x:v>46.2</x:v>
      </x:c>
      <x:c r="L1614" t="str">
        <x:v>MENENGAH</x:v>
      </x:c>
      <x:c r="M1614" t="str">
        <x:v>RENDAH</x:v>
      </x:c>
      <x:c r="N1614" t="str">
        <x:v>ELITE-2</x:v>
      </x:c>
      <x:c r="O1614" t="str">
        <x:v>SOSHUM</x:v>
      </x:c>
      <x:c r="P1614" t="str">
        <x:v>UMUM</x:v>
      </x:c>
      <x:c r="Q1614" s="18" t="n">
        <x:v>645</x:v>
      </x:c>
      <x:c r="R1614" s="18" t="n">
        <x:v>0</x:v>
      </x:c>
      <x:c r="S1614" s="18" t="n">
        <x:v>520</x:v>
      </x:c>
      <x:c r="T1614" s="18" t="n">
        <x:v>652</x:v>
      </x:c>
      <x:c r="U1614" s="18" t="n">
        <x:v>645</x:v>
      </x:c>
      <x:c r="V1614" s="20" t="n">
        <x:v>4.4</x:v>
      </x:c>
      <x:c r="W1614" s="20" t="n">
        <x:v>14.3</x:v>
      </x:c>
      <x:c r="X1614" s="20" t="n">
        <x:v>3.3</x:v>
      </x:c>
      <x:c r="Y1614" t="str">
        <x:v>Basis arsip 2025/2024</x:v>
      </x:c>
      <x:c r="Z1614" t="str">
        <x:v>https://snpmb.id/utbk-snbt/daya-tampung-snbt</x:v>
      </x:c>
      <x:c r="AA1614" t="str">
        <x:v>Tidak Ada</x:v>
      </x:c>
      <x:c r="AB1614" t="str">
        <x:v>Campus=90; Ratio=0.0; Prodi=40; RelDemand=0.0; Capacity=66.7</x:v>
      </x:c>
    </x:row>
    <x:row r="1615">
      <x:c r="A1615" t="n">
        <x:v>1612</x:v>
      </x:c>
      <x:c r="B1615" t="str">
        <x:v>PTN Akademik</x:v>
      </x:c>
      <x:c r="C1615" t="str">
        <x:v>UNIVERSITAS SEBELAS MARET</x:v>
      </x:c>
      <x:c r="D1615" t="str">
        <x:v>INFORMATIKA (KAMPUS KABUPATEN KEBUMEN)</x:v>
      </x:c>
      <x:c r="E1615" t="str">
        <x:v>Sarjana</x:v>
      </x:c>
      <x:c r="F1615" s="18" t="n">
        <x:v>25</x:v>
      </x:c>
      <x:c r="G1615" s="18"/>
      <x:c r="H1615" s="19" t="n">
        <x:v>0</x:v>
      </x:c>
      <x:c r="I1615" s="18" t="n">
        <x:f>ROUND(MIN(Model_Config_v3!$B$6,MAX(Q1615,R1615,S1615*Model_Config_v3!$B$4+T1615*Model_Config_v3!$B$5)),0)</x:f>
        <x:v>695</x:v>
      </x:c>
      <x:c r="J1615" s="18" t="n">
        <x:f>MIN(Model_Config_v3!$B$6,I1615+Model_Config_v3!$B$7)</x:f>
        <x:v>715</x:v>
      </x:c>
      <x:c r="K1615" s="20" t="n">
        <x:v>56.4</x:v>
      </x:c>
      <x:c r="L1615" t="str">
        <x:v>KETAT</x:v>
      </x:c>
      <x:c r="M1615" t="str">
        <x:v>RENDAH</x:v>
      </x:c>
      <x:c r="N1615" t="str">
        <x:v>ELITE-2</x:v>
      </x:c>
      <x:c r="O1615" t="str">
        <x:v>SAINTEK</x:v>
      </x:c>
      <x:c r="P1615" t="str">
        <x:v>KOMPUTER/INFORMATIKA</x:v>
      </x:c>
      <x:c r="Q1615" s="18" t="n">
        <x:v>645</x:v>
      </x:c>
      <x:c r="R1615" s="18" t="n">
        <x:v>695</x:v>
      </x:c>
      <x:c r="S1615" s="18" t="n">
        <x:v>520</x:v>
      </x:c>
      <x:c r="T1615" s="18" t="n">
        <x:v>673</x:v>
      </x:c>
      <x:c r="U1615" s="18" t="n">
        <x:v>695</x:v>
      </x:c>
      <x:c r="V1615" s="20" t="n">
        <x:v>12</x:v>
      </x:c>
      <x:c r="W1615" s="20" t="n">
        <x:v>5</x:v>
      </x:c>
      <x:c r="X1615" s="20" t="n">
        <x:v>3</x:v>
      </x:c>
      <x:c r="Y1615" t="str">
        <x:v>Basis arsip 2025/2024</x:v>
      </x:c>
      <x:c r="Z1615" t="str">
        <x:v>https://snpmb.id/utbk-snbt/daya-tampung-snbt</x:v>
      </x:c>
      <x:c r="AA1615" t="str">
        <x:v>Tidak Ada</x:v>
      </x:c>
      <x:c r="AB1615" t="str">
        <x:v>Campus=90; Ratio=0.0; Prodi=85; RelDemand=0.0; Capacity=79.2</x:v>
      </x:c>
    </x:row>
    <x:row r="1616">
      <x:c r="A1616" t="n">
        <x:v>1613</x:v>
      </x:c>
      <x:c r="B1616" t="str">
        <x:v>PTN Akademik</x:v>
      </x:c>
      <x:c r="C1616" t="str">
        <x:v>UNIVERSITAS SEBELAS MARET</x:v>
      </x:c>
      <x:c r="D1616" t="str">
        <x:v>PROTEKSI TANAMAN</x:v>
      </x:c>
      <x:c r="E1616" t="str">
        <x:v>Sarjana</x:v>
      </x:c>
      <x:c r="F1616" s="18" t="n">
        <x:v>40</x:v>
      </x:c>
      <x:c r="G1616" s="18"/>
      <x:c r="H1616" s="19" t="n">
        <x:v>0</x:v>
      </x:c>
      <x:c r="I1616" s="18" t="n">
        <x:f>ROUND(MIN(Model_Config_v3!$B$6,MAX(Q1616,R1616,S1616*Model_Config_v3!$B$4+T1616*Model_Config_v3!$B$5)),0)</x:f>
        <x:v>645</x:v>
      </x:c>
      <x:c r="J1616" s="18" t="n">
        <x:f>MIN(Model_Config_v3!$B$6,I1616+Model_Config_v3!$B$7)</x:f>
        <x:v>665</x:v>
      </x:c>
      <x:c r="K1616" s="20" t="n">
        <x:v>46.2</x:v>
      </x:c>
      <x:c r="L1616" t="str">
        <x:v>MENENGAH</x:v>
      </x:c>
      <x:c r="M1616" t="str">
        <x:v>RENDAH</x:v>
      </x:c>
      <x:c r="N1616" t="str">
        <x:v>ELITE-2</x:v>
      </x:c>
      <x:c r="O1616" t="str">
        <x:v>CAMPURAN</x:v>
      </x:c>
      <x:c r="P1616" t="str">
        <x:v>UMUM</x:v>
      </x:c>
      <x:c r="Q1616" s="18" t="n">
        <x:v>645</x:v>
      </x:c>
      <x:c r="R1616" s="18" t="n">
        <x:v>0</x:v>
      </x:c>
      <x:c r="S1616" s="18" t="n">
        <x:v>520</x:v>
      </x:c>
      <x:c r="T1616" s="18" t="n">
        <x:v>652</x:v>
      </x:c>
      <x:c r="U1616" s="18" t="n">
        <x:v>645</x:v>
      </x:c>
      <x:c r="V1616" s="20" t="n">
        <x:v>8.8</x:v>
      </x:c>
      <x:c r="W1616" s="20" t="n">
        <x:v>9.9</x:v>
      </x:c>
      <x:c r="X1616" s="20" t="n">
        <x:v>3.3</x:v>
      </x:c>
      <x:c r="Y1616" t="str">
        <x:v>Basis arsip 2025/2024</x:v>
      </x:c>
      <x:c r="Z1616" t="str">
        <x:v>https://snpmb.id/utbk-snbt/daya-tampung-snbt</x:v>
      </x:c>
      <x:c r="AA1616" t="str">
        <x:v>Tidak Ada</x:v>
      </x:c>
      <x:c r="AB1616" t="str">
        <x:v>Campus=90; Ratio=0.0; Prodi=40; RelDemand=0.0; Capacity=66.7</x:v>
      </x:c>
    </x:row>
    <x:row r="1617">
      <x:c r="A1617" t="n">
        <x:v>1614</x:v>
      </x:c>
      <x:c r="B1617" t="str">
        <x:v>PTN Akademik</x:v>
      </x:c>
      <x:c r="C1617" t="str">
        <x:v>UNIVERSITAS SEBELAS MARET</x:v>
      </x:c>
      <x:c r="D1617" t="str">
        <x:v>KESELAMATAN DAN KESEHATAN KERJA</x:v>
      </x:c>
      <x:c r="E1617" t="str">
        <x:v>Sarjana Terapan</x:v>
      </x:c>
      <x:c r="F1617" s="18" t="n">
        <x:v>36</x:v>
      </x:c>
      <x:c r="G1617" s="18" t="n">
        <x:v>5683</x:v>
      </x:c>
      <x:c r="H1617" s="19" t="n">
        <x:v>157.86111111111111</x:v>
      </x:c>
      <x:c r="I1617" s="18" t="n">
        <x:f>ROUND(MIN(Model_Config_v3!$B$6,MAX(Q1617,R1617,S1617*Model_Config_v3!$B$4+T1617*Model_Config_v3!$B$5)),0)</x:f>
        <x:v>739</x:v>
      </x:c>
      <x:c r="J1617" s="18" t="n">
        <x:f>MIN(Model_Config_v3!$B$6,I1617+Model_Config_v3!$B$7)</x:f>
        <x:v>759</x:v>
      </x:c>
      <x:c r="K1617" s="20" t="n">
        <x:v>84.5</x:v>
      </x:c>
      <x:c r="L1617" t="str">
        <x:v>ELITE</x:v>
      </x:c>
      <x:c r="M1617" t="str">
        <x:v>SEDANG+</x:v>
      </x:c>
      <x:c r="N1617" t="str">
        <x:v>ELITE-2</x:v>
      </x:c>
      <x:c r="O1617" t="str">
        <x:v>SAINTEK</x:v>
      </x:c>
      <x:c r="P1617" t="str">
        <x:v>KESEHAT/GIZI/KEPERAWATAN</x:v>
      </x:c>
      <x:c r="Q1617" s="18" t="n">
        <x:v>645</x:v>
      </x:c>
      <x:c r="R1617" s="18" t="n">
        <x:v>660</x:v>
      </x:c>
      <x:c r="S1617" s="18" t="n">
        <x:v>761.8102670805187</x:v>
      </x:c>
      <x:c r="T1617" s="18" t="n">
        <x:v>729</x:v>
      </x:c>
      <x:c r="U1617" s="18" t="n">
        <x:v>761.8102670805187</x:v>
      </x:c>
      <x:c r="V1617" s="20" t="n">
        <x:v>12</x:v>
      </x:c>
      <x:c r="W1617" s="20" t="n">
        <x:v>5</x:v>
      </x:c>
      <x:c r="X1617" s="20" t="n">
        <x:v>3</x:v>
      </x:c>
      <x:c r="Y1617" t="str">
        <x:v>Basis arsip 2025/2024</x:v>
      </x:c>
      <x:c r="Z1617" t="str">
        <x:v>https://snpmb.id/utbk-snbt/daya-tampung-snbt</x:v>
      </x:c>
      <x:c r="AA1617" t="str">
        <x:v>Tidak Ada</x:v>
      </x:c>
      <x:c r="AB1617" t="str">
        <x:v>Campus=90; Ratio=100.0; Prodi=55; RelDemand=100.0; Capacity=70.0</x:v>
      </x:c>
    </x:row>
    <x:row r="1618">
      <x:c r="A1618" t="n">
        <x:v>1615</x:v>
      </x:c>
      <x:c r="B1618" t="str">
        <x:v>PTN Akademik</x:v>
      </x:c>
      <x:c r="C1618" t="str">
        <x:v>UNIVERSITAS SEBELAS MARET</x:v>
      </x:c>
      <x:c r="D1618" t="str">
        <x:v>DEMOGRAFI DAN PENCATATAN SIPIL</x:v>
      </x:c>
      <x:c r="E1618" t="str">
        <x:v>Sarjana Terapan</x:v>
      </x:c>
      <x:c r="F1618" s="18" t="n">
        <x:v>45</x:v>
      </x:c>
      <x:c r="G1618" s="18" t="n">
        <x:v>2144</x:v>
      </x:c>
      <x:c r="H1618" s="19" t="n">
        <x:v>47.644444444444446</x:v>
      </x:c>
      <x:c r="I1618" s="18" t="n">
        <x:f>ROUND(MIN(Model_Config_v3!$B$6,MAX(Q1618,R1618,S1618*Model_Config_v3!$B$4+T1618*Model_Config_v3!$B$5)),0)</x:f>
        <x:v>713</x:v>
      </x:c>
      <x:c r="J1618" s="18" t="n">
        <x:f>MIN(Model_Config_v3!$B$6,I1618+Model_Config_v3!$B$7)</x:f>
        <x:v>733</x:v>
      </x:c>
      <x:c r="K1618" s="20" t="n">
        <x:v>78.7</x:v>
      </x:c>
      <x:c r="L1618" t="str">
        <x:v>ELITE</x:v>
      </x:c>
      <x:c r="M1618" t="str">
        <x:v>SEDANG+</x:v>
      </x:c>
      <x:c r="N1618" t="str">
        <x:v>ELITE-2</x:v>
      </x:c>
      <x:c r="O1618" t="str">
        <x:v>CAMPURAN</x:v>
      </x:c>
      <x:c r="P1618" t="str">
        <x:v>UMUM</x:v>
      </x:c>
      <x:c r="Q1618" s="18" t="n">
        <x:v>645</x:v>
      </x:c>
      <x:c r="R1618" s="18" t="n">
        <x:v>0</x:v>
      </x:c>
      <x:c r="S1618" s="18" t="n">
        <x:v>704.5813493969928</x:v>
      </x:c>
      <x:c r="T1618" s="18" t="n">
        <x:v>717</x:v>
      </x:c>
      <x:c r="U1618" s="18" t="n">
        <x:v>704.5813493969928</x:v>
      </x:c>
      <x:c r="V1618" s="20" t="n">
        <x:v>8.8</x:v>
      </x:c>
      <x:c r="W1618" s="20" t="n">
        <x:v>9.9</x:v>
      </x:c>
      <x:c r="X1618" s="20" t="n">
        <x:v>3.3</x:v>
      </x:c>
      <x:c r="Y1618" t="str">
        <x:v>Basis arsip 2025/2024</x:v>
      </x:c>
      <x:c r="Z1618" t="str">
        <x:v>https://snpmb.id/utbk-snbt/daya-tampung-snbt</x:v>
      </x:c>
      <x:c r="AA1618" t="str">
        <x:v>Tidak Ada</x:v>
      </x:c>
      <x:c r="AB1618" t="str">
        <x:v>Campus=90; Ratio=98.8; Prodi=40; RelDemand=82.6; Capacity=62.5</x:v>
      </x:c>
    </x:row>
    <x:row r="1619">
      <x:c r="A1619" t="n">
        <x:v>1616</x:v>
      </x:c>
      <x:c r="B1619" t="str">
        <x:v>PTN Akademik</x:v>
      </x:c>
      <x:c r="C1619" t="str">
        <x:v>UNIVERSITAS SEBELAS MARET</x:v>
      </x:c>
      <x:c r="D1619" t="str">
        <x:v>KEPERAWATAN ANESTESIOLOGI</x:v>
      </x:c>
      <x:c r="E1619" t="str">
        <x:v>Sarjana Terapan</x:v>
      </x:c>
      <x:c r="F1619" s="18" t="n">
        <x:v>18</x:v>
      </x:c>
      <x:c r="G1619" s="18" t="n">
        <x:v>4376</x:v>
      </x:c>
      <x:c r="H1619" s="19" t="n">
        <x:v>243.11111111111111</x:v>
      </x:c>
      <x:c r="I1619" s="18" t="n">
        <x:f>ROUND(MIN(Model_Config_v3!$B$6,MAX(Q1619,R1619,S1619*Model_Config_v3!$B$4+T1619*Model_Config_v3!$B$5)),0)</x:f>
        <x:v>746</x:v>
      </x:c>
      <x:c r="J1619" s="18" t="n">
        <x:f>MIN(Model_Config_v3!$B$6,I1619+Model_Config_v3!$B$7)</x:f>
        <x:v>766</x:v>
      </x:c>
      <x:c r="K1619" s="20" t="n">
        <x:v>86</x:v>
      </x:c>
      <x:c r="L1619" t="str">
        <x:v>ULTRA ELITE</x:v>
      </x:c>
      <x:c r="M1619" t="str">
        <x:v>SEDANG+</x:v>
      </x:c>
      <x:c r="N1619" t="str">
        <x:v>ELITE-2</x:v>
      </x:c>
      <x:c r="O1619" t="str">
        <x:v>SAINTEK</x:v>
      </x:c>
      <x:c r="P1619" t="str">
        <x:v>KESEHAT/GIZI/KEPERAWATAN</x:v>
      </x:c>
      <x:c r="Q1619" s="18" t="n">
        <x:v>645</x:v>
      </x:c>
      <x:c r="R1619" s="18" t="n">
        <x:v>660</x:v>
      </x:c>
      <x:c r="S1619" s="18" t="n">
        <x:v>780</x:v>
      </x:c>
      <x:c r="T1619" s="18" t="n">
        <x:v>732</x:v>
      </x:c>
      <x:c r="U1619" s="18" t="n">
        <x:v>780</x:v>
      </x:c>
      <x:c r="V1619" s="20" t="n">
        <x:v>12</x:v>
      </x:c>
      <x:c r="W1619" s="20" t="n">
        <x:v>5</x:v>
      </x:c>
      <x:c r="X1619" s="20" t="n">
        <x:v>3</x:v>
      </x:c>
      <x:c r="Y1619" t="str">
        <x:v>Basis arsip 2025/2024</x:v>
      </x:c>
      <x:c r="Z1619" t="str">
        <x:v>https://snpmb.id/utbk-snbt/daya-tampung-snbt</x:v>
      </x:c>
      <x:c r="AA1619" t="str">
        <x:v>Tidak Ada</x:v>
      </x:c>
      <x:c r="AB1619" t="str">
        <x:v>Campus=90; Ratio=100.0; Prodi=55; RelDemand=100.0; Capacity=85.0</x:v>
      </x:c>
    </x:row>
    <x:row r="1620">
      <x:c r="A1620" t="n">
        <x:v>1617</x:v>
      </x:c>
      <x:c r="B1620" t="str">
        <x:v>PTN Akademik</x:v>
      </x:c>
      <x:c r="C1620" t="str">
        <x:v>UNIVERSITAS SEBELAS MARET</x:v>
      </x:c>
      <x:c r="D1620" t="str">
        <x:v>TEKNOLOGI REKAYASA MANUFAKTUR</x:v>
      </x:c>
      <x:c r="E1620" t="str">
        <x:v>Sarjana Terapan</x:v>
      </x:c>
      <x:c r="F1620" s="18" t="n">
        <x:v>30</x:v>
      </x:c>
      <x:c r="G1620" s="18"/>
      <x:c r="H1620" s="19" t="n">
        <x:v>0</x:v>
      </x:c>
      <x:c r="I1620" s="18" t="n">
        <x:f>ROUND(MIN(Model_Config_v3!$B$6,MAX(Q1620,R1620,S1620*Model_Config_v3!$B$4+T1620*Model_Config_v3!$B$5)),0)</x:f>
        <x:v>645</x:v>
      </x:c>
      <x:c r="J1620" s="18" t="n">
        <x:f>MIN(Model_Config_v3!$B$6,I1620+Model_Config_v3!$B$7)</x:f>
        <x:v>665</x:v>
      </x:c>
      <x:c r="K1620" s="20" t="n">
        <x:v>47</x:v>
      </x:c>
      <x:c r="L1620" t="str">
        <x:v>MENENGAH</x:v>
      </x:c>
      <x:c r="M1620" t="str">
        <x:v>RENDAH</x:v>
      </x:c>
      <x:c r="N1620" t="str">
        <x:v>ELITE-2</x:v>
      </x:c>
      <x:c r="O1620" t="str">
        <x:v>SAINTEK</x:v>
      </x:c>
      <x:c r="P1620" t="str">
        <x:v>UMUM</x:v>
      </x:c>
      <x:c r="Q1620" s="18" t="n">
        <x:v>645</x:v>
      </x:c>
      <x:c r="R1620" s="18" t="n">
        <x:v>0</x:v>
      </x:c>
      <x:c r="S1620" s="18" t="n">
        <x:v>520</x:v>
      </x:c>
      <x:c r="T1620" s="18" t="n">
        <x:v>654</x:v>
      </x:c>
      <x:c r="U1620" s="18" t="n">
        <x:v>645</x:v>
      </x:c>
      <x:c r="V1620" s="20" t="n">
        <x:v>12</x:v>
      </x:c>
      <x:c r="W1620" s="20" t="n">
        <x:v>5</x:v>
      </x:c>
      <x:c r="X1620" s="20" t="n">
        <x:v>3</x:v>
      </x:c>
      <x:c r="Y1620" t="str">
        <x:v>Basis arsip 2025/2024</x:v>
      </x:c>
      <x:c r="Z1620" t="str">
        <x:v>https://snpmb.id/utbk-snbt/daya-tampung-snbt</x:v>
      </x:c>
      <x:c r="AA1620" t="str">
        <x:v>Tidak Ada</x:v>
      </x:c>
      <x:c r="AB1620" t="str">
        <x:v>Campus=90; Ratio=0.0; Prodi=40; RelDemand=0.0; Capacity=75.0</x:v>
      </x:c>
    </x:row>
    <x:row r="1621">
      <x:c r="A1621" t="n">
        <x:v>1618</x:v>
      </x:c>
      <x:c r="B1621" t="str">
        <x:v>PTN Akademik</x:v>
      </x:c>
      <x:c r="C1621" t="str">
        <x:v>UNIVERSITAS SEBELAS MARET</x:v>
      </x:c>
      <x:c r="D1621" t="str">
        <x:v>PEMASARAN DIGITAL</x:v>
      </x:c>
      <x:c r="E1621" t="str">
        <x:v>Sarjana Terapan</x:v>
      </x:c>
      <x:c r="F1621" s="18" t="n">
        <x:v>35</x:v>
      </x:c>
      <x:c r="G1621" s="18"/>
      <x:c r="H1621" s="19" t="n">
        <x:v>0</x:v>
      </x:c>
      <x:c r="I1621" s="18" t="n">
        <x:f>ROUND(MIN(Model_Config_v3!$B$6,MAX(Q1621,R1621,S1621*Model_Config_v3!$B$4+T1621*Model_Config_v3!$B$5)),0)</x:f>
        <x:v>645</x:v>
      </x:c>
      <x:c r="J1621" s="18" t="n">
        <x:f>MIN(Model_Config_v3!$B$6,I1621+Model_Config_v3!$B$7)</x:f>
        <x:v>665</x:v>
      </x:c>
      <x:c r="K1621" s="20" t="n">
        <x:v>46.6</x:v>
      </x:c>
      <x:c r="L1621" t="str">
        <x:v>MENENGAH</x:v>
      </x:c>
      <x:c r="M1621" t="str">
        <x:v>RENDAH</x:v>
      </x:c>
      <x:c r="N1621" t="str">
        <x:v>ELITE-2</x:v>
      </x:c>
      <x:c r="O1621" t="str">
        <x:v>CAMPURAN</x:v>
      </x:c>
      <x:c r="P1621" t="str">
        <x:v>UMUM</x:v>
      </x:c>
      <x:c r="Q1621" s="18" t="n">
        <x:v>645</x:v>
      </x:c>
      <x:c r="R1621" s="18" t="n">
        <x:v>0</x:v>
      </x:c>
      <x:c r="S1621" s="18" t="n">
        <x:v>520</x:v>
      </x:c>
      <x:c r="T1621" s="18" t="n">
        <x:v>653</x:v>
      </x:c>
      <x:c r="U1621" s="18" t="n">
        <x:v>645</x:v>
      </x:c>
      <x:c r="V1621" s="20" t="n">
        <x:v>8.8</x:v>
      </x:c>
      <x:c r="W1621" s="20" t="n">
        <x:v>9.9</x:v>
      </x:c>
      <x:c r="X1621" s="20" t="n">
        <x:v>3.3</x:v>
      </x:c>
      <x:c r="Y1621" t="str">
        <x:v>Basis arsip 2025/2024</x:v>
      </x:c>
      <x:c r="Z1621" t="str">
        <x:v>https://snpmb.id/utbk-snbt/daya-tampung-snbt</x:v>
      </x:c>
      <x:c r="AA1621" t="str">
        <x:v>Tidak Ada</x:v>
      </x:c>
      <x:c r="AB1621" t="str">
        <x:v>Campus=90; Ratio=0.0; Prodi=40; RelDemand=0.0; Capacity=70.8</x:v>
      </x:c>
    </x:row>
    <x:row r="1622">
      <x:c r="A1622" t="n">
        <x:v>1619</x:v>
      </x:c>
      <x:c r="B1622" t="str">
        <x:v>PTN Akademik</x:v>
      </x:c>
      <x:c r="C1622" t="str">
        <x:v>UNIVERSITAS SEBELAS MARET</x:v>
      </x:c>
      <x:c r="D1622" t="str">
        <x:v>PERBANKAN DAN KEUANGAN DIGITAL</x:v>
      </x:c>
      <x:c r="E1622" t="str">
        <x:v>Sarjana Terapan</x:v>
      </x:c>
      <x:c r="F1622" s="18" t="n">
        <x:v>40</x:v>
      </x:c>
      <x:c r="G1622" s="18"/>
      <x:c r="H1622" s="19" t="n">
        <x:v>0</x:v>
      </x:c>
      <x:c r="I1622" s="18" t="n">
        <x:f>ROUND(MIN(Model_Config_v3!$B$6,MAX(Q1622,R1622,S1622*Model_Config_v3!$B$4+T1622*Model_Config_v3!$B$5)),0)</x:f>
        <x:v>645</x:v>
      </x:c>
      <x:c r="J1622" s="18" t="n">
        <x:f>MIN(Model_Config_v3!$B$6,I1622+Model_Config_v3!$B$7)</x:f>
        <x:v>665</x:v>
      </x:c>
      <x:c r="K1622" s="20" t="n">
        <x:v>46.2</x:v>
      </x:c>
      <x:c r="L1622" t="str">
        <x:v>MENENGAH</x:v>
      </x:c>
      <x:c r="M1622" t="str">
        <x:v>RENDAH</x:v>
      </x:c>
      <x:c r="N1622" t="str">
        <x:v>ELITE-2</x:v>
      </x:c>
      <x:c r="O1622" t="str">
        <x:v>CAMPURAN</x:v>
      </x:c>
      <x:c r="P1622" t="str">
        <x:v>UMUM</x:v>
      </x:c>
      <x:c r="Q1622" s="18" t="n">
        <x:v>645</x:v>
      </x:c>
      <x:c r="R1622" s="18" t="n">
        <x:v>0</x:v>
      </x:c>
      <x:c r="S1622" s="18" t="n">
        <x:v>520</x:v>
      </x:c>
      <x:c r="T1622" s="18" t="n">
        <x:v>652</x:v>
      </x:c>
      <x:c r="U1622" s="18" t="n">
        <x:v>645</x:v>
      </x:c>
      <x:c r="V1622" s="20" t="n">
        <x:v>8.8</x:v>
      </x:c>
      <x:c r="W1622" s="20" t="n">
        <x:v>9.9</x:v>
      </x:c>
      <x:c r="X1622" s="20" t="n">
        <x:v>3.3</x:v>
      </x:c>
      <x:c r="Y1622" t="str">
        <x:v>Basis arsip 2025/2024</x:v>
      </x:c>
      <x:c r="Z1622" t="str">
        <x:v>https://snpmb.id/utbk-snbt/daya-tampung-snbt</x:v>
      </x:c>
      <x:c r="AA1622" t="str">
        <x:v>Tidak Ada</x:v>
      </x:c>
      <x:c r="AB1622" t="str">
        <x:v>Campus=90; Ratio=0.0; Prodi=40; RelDemand=0.0; Capacity=66.7</x:v>
      </x:c>
    </x:row>
    <x:row r="1623">
      <x:c r="A1623" t="n">
        <x:v>1620</x:v>
      </x:c>
      <x:c r="B1623" t="str">
        <x:v>PTN Akademik</x:v>
      </x:c>
      <x:c r="C1623" t="str">
        <x:v>UNIVERSITAS SEBELAS MARET</x:v>
      </x:c>
      <x:c r="D1623" t="str">
        <x:v>BAHASA  MANDARIN UNTUK KOMUNIKASI BISNIS DAN PROFESIONAL</x:v>
      </x:c>
      <x:c r="E1623" t="str">
        <x:v>Sarjana Terapan</x:v>
      </x:c>
      <x:c r="F1623" s="18" t="n">
        <x:v>30</x:v>
      </x:c>
      <x:c r="G1623" s="18"/>
      <x:c r="H1623" s="19" t="n">
        <x:v>0</x:v>
      </x:c>
      <x:c r="I1623" s="18" t="n">
        <x:f>ROUND(MIN(Model_Config_v3!$B$6,MAX(Q1623,R1623,S1623*Model_Config_v3!$B$4+T1623*Model_Config_v3!$B$5)),0)</x:f>
        <x:v>680</x:v>
      </x:c>
      <x:c r="J1623" s="18" t="n">
        <x:f>MIN(Model_Config_v3!$B$6,I1623+Model_Config_v3!$B$7)</x:f>
        <x:v>700</x:v>
      </x:c>
      <x:c r="K1623" s="20" t="n">
        <x:v>52</x:v>
      </x:c>
      <x:c r="L1623" t="str">
        <x:v>MENENGAH</x:v>
      </x:c>
      <x:c r="M1623" t="str">
        <x:v>RENDAH</x:v>
      </x:c>
      <x:c r="N1623" t="str">
        <x:v>ELITE-2</x:v>
      </x:c>
      <x:c r="O1623" t="str">
        <x:v>SOSHUM</x:v>
      </x:c>
      <x:c r="P1623" t="str">
        <x:v>BISNIS/EKONOMI/AKUNTANSI</x:v>
      </x:c>
      <x:c r="Q1623" s="18" t="n">
        <x:v>645</x:v>
      </x:c>
      <x:c r="R1623" s="18" t="n">
        <x:v>680</x:v>
      </x:c>
      <x:c r="S1623" s="18" t="n">
        <x:v>520</x:v>
      </x:c>
      <x:c r="T1623" s="18" t="n">
        <x:v>664</x:v>
      </x:c>
      <x:c r="U1623" s="18" t="n">
        <x:v>645</x:v>
      </x:c>
      <x:c r="V1623" s="20" t="n">
        <x:v>4.4</x:v>
      </x:c>
      <x:c r="W1623" s="20" t="n">
        <x:v>14.3</x:v>
      </x:c>
      <x:c r="X1623" s="20" t="n">
        <x:v>3.3</x:v>
      </x:c>
      <x:c r="Y1623" t="str">
        <x:v>Basis arsip 2025/2024</x:v>
      </x:c>
      <x:c r="Z1623" t="str">
        <x:v>https://snpmb.id/utbk-snbt/daya-tampung-snbt</x:v>
      </x:c>
      <x:c r="AA1623" t="str">
        <x:v>Tidak Ada</x:v>
      </x:c>
      <x:c r="AB1623" t="str">
        <x:v>Campus=90; Ratio=0.0; Prodi=65; RelDemand=0.0; Capacity=75.0</x:v>
      </x:c>
    </x:row>
    <x:row r="1624">
      <x:c r="A1624" t="n">
        <x:v>1621</x:v>
      </x:c>
      <x:c r="B1624" t="str">
        <x:v>PTN Akademik</x:v>
      </x:c>
      <x:c r="C1624" t="str">
        <x:v>UNIVERSITAS SEBELAS MARET</x:v>
      </x:c>
      <x:c r="D1624" t="str">
        <x:v>AKUNTANSI</x:v>
      </x:c>
      <x:c r="E1624" t="str">
        <x:v>Diploma Tiga</x:v>
      </x:c>
      <x:c r="F1624" s="18" t="n">
        <x:v>27</x:v>
      </x:c>
      <x:c r="G1624" s="18" t="n">
        <x:v>2325</x:v>
      </x:c>
      <x:c r="H1624" s="19" t="n">
        <x:v>86.11111111111111</x:v>
      </x:c>
      <x:c r="I1624" s="18" t="n">
        <x:f>ROUND(MIN(Model_Config_v3!$B$6,MAX(Q1624,R1624,S1624*Model_Config_v3!$B$4+T1624*Model_Config_v3!$B$5)),0)</x:f>
        <x:v>734</x:v>
      </x:c>
      <x:c r="J1624" s="18" t="n">
        <x:f>MIN(Model_Config_v3!$B$6,I1624+Model_Config_v3!$B$7)</x:f>
        <x:v>754</x:v>
      </x:c>
      <x:c r="K1624" s="20" t="n">
        <x:v>87.2</x:v>
      </x:c>
      <x:c r="L1624" t="str">
        <x:v>ULTRA ELITE</x:v>
      </x:c>
      <x:c r="M1624" t="str">
        <x:v>SEDANG+</x:v>
      </x:c>
      <x:c r="N1624" t="str">
        <x:v>ELITE-2</x:v>
      </x:c>
      <x:c r="O1624" t="str">
        <x:v>SOSHUM</x:v>
      </x:c>
      <x:c r="P1624" t="str">
        <x:v>BISNIS/EKONOMI/AKUNTANSI</x:v>
      </x:c>
      <x:c r="Q1624" s="18" t="n">
        <x:v>645</x:v>
      </x:c>
      <x:c r="R1624" s="18" t="n">
        <x:v>680</x:v>
      </x:c>
      <x:c r="S1624" s="18" t="n">
        <x:v>732.8565112373684</x:v>
      </x:c>
      <x:c r="T1624" s="18" t="n">
        <x:v>734</x:v>
      </x:c>
      <x:c r="U1624" s="18" t="n">
        <x:v>732.8565112373684</x:v>
      </x:c>
      <x:c r="V1624" s="20" t="n">
        <x:v>4.4</x:v>
      </x:c>
      <x:c r="W1624" s="20" t="n">
        <x:v>14.3</x:v>
      </x:c>
      <x:c r="X1624" s="20" t="n">
        <x:v>3.3</x:v>
      </x:c>
      <x:c r="Y1624" t="str">
        <x:v>Basis arsip 2025/2024</x:v>
      </x:c>
      <x:c r="Z1624" t="str">
        <x:v>https://snpmb.id/utbk-snbt/daya-tampung-snbt</x:v>
      </x:c>
      <x:c r="AA1624" t="str">
        <x:v>Tidak Ada</x:v>
      </x:c>
      <x:c r="AB1624" t="str">
        <x:v>Campus=90; Ratio=100.0; Prodi=65; RelDemand=100.0; Capacity=77.5</x:v>
      </x:c>
    </x:row>
    <x:row r="1625">
      <x:c r="A1625" t="n">
        <x:v>1622</x:v>
      </x:c>
      <x:c r="B1625" t="str">
        <x:v>PTN Akademik</x:v>
      </x:c>
      <x:c r="C1625" t="str">
        <x:v>UNIVERSITAS SEBELAS MARET</x:v>
      </x:c>
      <x:c r="D1625" t="str">
        <x:v>KEBIDANAN</x:v>
      </x:c>
      <x:c r="E1625" t="str">
        <x:v>Diploma Tiga</x:v>
      </x:c>
      <x:c r="F1625" s="18" t="n">
        <x:v>27</x:v>
      </x:c>
      <x:c r="G1625" s="18" t="n">
        <x:v>1804</x:v>
      </x:c>
      <x:c r="H1625" s="19" t="n">
        <x:v>66.81481481481481</x:v>
      </x:c>
      <x:c r="I1625" s="18" t="n">
        <x:f>ROUND(MIN(Model_Config_v3!$B$6,MAX(Q1625,R1625,S1625*Model_Config_v3!$B$4+T1625*Model_Config_v3!$B$5)),0)</x:f>
        <x:v>727</x:v>
      </x:c>
      <x:c r="J1625" s="18" t="n">
        <x:f>MIN(Model_Config_v3!$B$6,I1625+Model_Config_v3!$B$7)</x:f>
        <x:v>747</x:v>
      </x:c>
      <x:c r="K1625" s="20" t="n">
        <x:v>85.2</x:v>
      </x:c>
      <x:c r="L1625" t="str">
        <x:v>ULTRA ELITE</x:v>
      </x:c>
      <x:c r="M1625" t="str">
        <x:v>SEDANG+</x:v>
      </x:c>
      <x:c r="N1625" t="str">
        <x:v>ELITE-2</x:v>
      </x:c>
      <x:c r="O1625" t="str">
        <x:v>SAINTEK</x:v>
      </x:c>
      <x:c r="P1625" t="str">
        <x:v>KESEHAT/GIZI/KEPERAWATAN</x:v>
      </x:c>
      <x:c r="Q1625" s="18" t="n">
        <x:v>645</x:v>
      </x:c>
      <x:c r="R1625" s="18" t="n">
        <x:v>660</x:v>
      </x:c>
      <x:c r="S1625" s="18" t="n">
        <x:v>720.7360045951629</x:v>
      </x:c>
      <x:c r="T1625" s="18" t="n">
        <x:v>730</x:v>
      </x:c>
      <x:c r="U1625" s="18" t="n">
        <x:v>720.7360045951629</x:v>
      </x:c>
      <x:c r="V1625" s="20" t="n">
        <x:v>12</x:v>
      </x:c>
      <x:c r="W1625" s="20" t="n">
        <x:v>5</x:v>
      </x:c>
      <x:c r="X1625" s="20" t="n">
        <x:v>3</x:v>
      </x:c>
      <x:c r="Y1625" t="str">
        <x:v>Basis arsip 2025/2024</x:v>
      </x:c>
      <x:c r="Z1625" t="str">
        <x:v>https://snpmb.id/utbk-snbt/daya-tampung-snbt</x:v>
      </x:c>
      <x:c r="AA1625" t="str">
        <x:v>Tidak Ada</x:v>
      </x:c>
      <x:c r="AB1625" t="str">
        <x:v>Campus=90; Ratio=100.0; Prodi=55; RelDemand=100.0; Capacity=77.5</x:v>
      </x:c>
    </x:row>
    <x:row r="1626">
      <x:c r="A1626" t="n">
        <x:v>1623</x:v>
      </x:c>
      <x:c r="B1626" t="str">
        <x:v>PTN Akademik</x:v>
      </x:c>
      <x:c r="C1626" t="str">
        <x:v>UNIVERSITAS SEBELAS MARET</x:v>
      </x:c>
      <x:c r="D1626" t="str">
        <x:v>PERPUSTAKAAN</x:v>
      </x:c>
      <x:c r="E1626" t="str">
        <x:v>Diploma Tiga</x:v>
      </x:c>
      <x:c r="F1626" s="18" t="n">
        <x:v>24</x:v>
      </x:c>
      <x:c r="G1626" s="18" t="n">
        <x:v>1374</x:v>
      </x:c>
      <x:c r="H1626" s="19" t="n">
        <x:v>57.25</x:v>
      </x:c>
      <x:c r="I1626" s="18" t="n">
        <x:f>ROUND(MIN(Model_Config_v3!$B$6,MAX(Q1626,R1626,S1626*Model_Config_v3!$B$4+T1626*Model_Config_v3!$B$5)),0)</x:f>
        <x:v>722</x:v>
      </x:c>
      <x:c r="J1626" s="18" t="n">
        <x:f>MIN(Model_Config_v3!$B$6,I1626+Model_Config_v3!$B$7)</x:f>
        <x:v>742</x:v>
      </x:c>
      <x:c r="K1626" s="20" t="n">
        <x:v>82.4</x:v>
      </x:c>
      <x:c r="L1626" t="str">
        <x:v>ELITE</x:v>
      </x:c>
      <x:c r="M1626" t="str">
        <x:v>SEDANG+</x:v>
      </x:c>
      <x:c r="N1626" t="str">
        <x:v>ELITE-2</x:v>
      </x:c>
      <x:c r="O1626" t="str">
        <x:v>CAMPURAN</x:v>
      </x:c>
      <x:c r="P1626" t="str">
        <x:v>UMUM</x:v>
      </x:c>
      <x:c r="Q1626" s="18" t="n">
        <x:v>645</x:v>
      </x:c>
      <x:c r="R1626" s="18" t="n">
        <x:v>0</x:v>
      </x:c>
      <x:c r="S1626" s="18" t="n">
        <x:v>713.3553040113118</x:v>
      </x:c>
      <x:c r="T1626" s="18" t="n">
        <x:v>725</x:v>
      </x:c>
      <x:c r="U1626" s="18" t="n">
        <x:v>713.3553040113118</x:v>
      </x:c>
      <x:c r="V1626" s="20" t="n">
        <x:v>8.8</x:v>
      </x:c>
      <x:c r="W1626" s="20" t="n">
        <x:v>9.9</x:v>
      </x:c>
      <x:c r="X1626" s="20" t="n">
        <x:v>3.3</x:v>
      </x:c>
      <x:c r="Y1626" t="str">
        <x:v>Basis arsip 2025/2024</x:v>
      </x:c>
      <x:c r="Z1626" t="str">
        <x:v>https://snpmb.id/utbk-snbt/daya-tampung-snbt</x:v>
      </x:c>
      <x:c r="AA1626" t="str">
        <x:v>Tidak Ada</x:v>
      </x:c>
      <x:c r="AB1626" t="str">
        <x:v>Campus=90; Ratio=100.0; Prodi=40; RelDemand=99.2; Capacity=80.0</x:v>
      </x:c>
    </x:row>
    <x:row r="1627">
      <x:c r="A1627" t="n">
        <x:v>1624</x:v>
      </x:c>
      <x:c r="B1627" t="str">
        <x:v>PTN Akademik</x:v>
      </x:c>
      <x:c r="C1627" t="str">
        <x:v>UNIVERSITAS SEBELAS MARET</x:v>
      </x:c>
      <x:c r="D1627" t="str">
        <x:v>TEKNOLOGI HASIL PERTANIAN</x:v>
      </x:c>
      <x:c r="E1627" t="str">
        <x:v>Diploma Tiga</x:v>
      </x:c>
      <x:c r="F1627" s="18" t="n">
        <x:v>24</x:v>
      </x:c>
      <x:c r="G1627" s="18" t="n">
        <x:v>1471</x:v>
      </x:c>
      <x:c r="H1627" s="19" t="n">
        <x:v>61.291666666666664</x:v>
      </x:c>
      <x:c r="I1627" s="18" t="n">
        <x:f>ROUND(MIN(Model_Config_v3!$B$6,MAX(Q1627,R1627,S1627*Model_Config_v3!$B$4+T1627*Model_Config_v3!$B$5)),0)</x:f>
        <x:v>722</x:v>
      </x:c>
      <x:c r="J1627" s="18" t="n">
        <x:f>MIN(Model_Config_v3!$B$6,I1627+Model_Config_v3!$B$7)</x:f>
        <x:v>742</x:v>
      </x:c>
      <x:c r="K1627" s="20" t="n">
        <x:v>82.5</x:v>
      </x:c>
      <x:c r="L1627" t="str">
        <x:v>ELITE</x:v>
      </x:c>
      <x:c r="M1627" t="str">
        <x:v>SEDANG+</x:v>
      </x:c>
      <x:c r="N1627" t="str">
        <x:v>ELITE-2</x:v>
      </x:c>
      <x:c r="O1627" t="str">
        <x:v>SAINTEK</x:v>
      </x:c>
      <x:c r="P1627" t="str">
        <x:v>UMUM</x:v>
      </x:c>
      <x:c r="Q1627" s="18" t="n">
        <x:v>645</x:v>
      </x:c>
      <x:c r="R1627" s="18" t="n">
        <x:v>0</x:v>
      </x:c>
      <x:c r="S1627" s="18" t="n">
        <x:v>716.6141574117516</x:v>
      </x:c>
      <x:c r="T1627" s="18" t="n">
        <x:v>725</x:v>
      </x:c>
      <x:c r="U1627" s="18" t="n">
        <x:v>716.6141574117516</x:v>
      </x:c>
      <x:c r="V1627" s="20" t="n">
        <x:v>12</x:v>
      </x:c>
      <x:c r="W1627" s="20" t="n">
        <x:v>5</x:v>
      </x:c>
      <x:c r="X1627" s="20" t="n">
        <x:v>3</x:v>
      </x:c>
      <x:c r="Y1627" t="str">
        <x:v>Basis arsip 2025/2024</x:v>
      </x:c>
      <x:c r="Z1627" t="str">
        <x:v>https://snpmb.id/utbk-snbt/daya-tampung-snbt</x:v>
      </x:c>
      <x:c r="AA1627" t="str">
        <x:v>Tidak Ada</x:v>
      </x:c>
      <x:c r="AB1627" t="str">
        <x:v>Campus=90; Ratio=100.0; Prodi=40; RelDemand=100.0; Capacity=80.0</x:v>
      </x:c>
    </x:row>
    <x:row r="1628">
      <x:c r="A1628" t="n">
        <x:v>1625</x:v>
      </x:c>
      <x:c r="B1628" t="str">
        <x:v>PTN Akademik</x:v>
      </x:c>
      <x:c r="C1628" t="str">
        <x:v>UNIVERSITAS SEBELAS MARET</x:v>
      </x:c>
      <x:c r="D1628" t="str">
        <x:v>PERPAJAKAN</x:v>
      </x:c>
      <x:c r="E1628" t="str">
        <x:v>Diploma Tiga</x:v>
      </x:c>
      <x:c r="F1628" s="18" t="n">
        <x:v>27</x:v>
      </x:c>
      <x:c r="G1628" s="18" t="n">
        <x:v>3154</x:v>
      </x:c>
      <x:c r="H1628" s="19" t="n">
        <x:v>116.81481481481481</x:v>
      </x:c>
      <x:c r="I1628" s="18" t="n">
        <x:f>ROUND(MIN(Model_Config_v3!$B$6,MAX(Q1628,R1628,S1628*Model_Config_v3!$B$4+T1628*Model_Config_v3!$B$5)),0)</x:f>
        <x:v>731</x:v>
      </x:c>
      <x:c r="J1628" s="18" t="n">
        <x:f>MIN(Model_Config_v3!$B$6,I1628+Model_Config_v3!$B$7)</x:f>
        <x:v>751</x:v>
      </x:c>
      <x:c r="K1628" s="20" t="n">
        <x:v>82.2</x:v>
      </x:c>
      <x:c r="L1628" t="str">
        <x:v>ELITE</x:v>
      </x:c>
      <x:c r="M1628" t="str">
        <x:v>SEDANG+</x:v>
      </x:c>
      <x:c r="N1628" t="str">
        <x:v>ELITE-2</x:v>
      </x:c>
      <x:c r="O1628" t="str">
        <x:v>CAMPURAN</x:v>
      </x:c>
      <x:c r="P1628" t="str">
        <x:v>UMUM</x:v>
      </x:c>
      <x:c r="Q1628" s="18" t="n">
        <x:v>645</x:v>
      </x:c>
      <x:c r="R1628" s="18" t="n">
        <x:v>0</x:v>
      </x:c>
      <x:c r="S1628" s="18" t="n">
        <x:v>747.4247717317286</x:v>
      </x:c>
      <x:c r="T1628" s="18" t="n">
        <x:v>724</x:v>
      </x:c>
      <x:c r="U1628" s="18" t="n">
        <x:v>747.4247717317286</x:v>
      </x:c>
      <x:c r="V1628" s="20" t="n">
        <x:v>8.8</x:v>
      </x:c>
      <x:c r="W1628" s="20" t="n">
        <x:v>9.9</x:v>
      </x:c>
      <x:c r="X1628" s="20" t="n">
        <x:v>3.3</x:v>
      </x:c>
      <x:c r="Y1628" t="str">
        <x:v>Basis arsip 2025/2024</x:v>
      </x:c>
      <x:c r="Z1628" t="str">
        <x:v>https://snpmb.id/utbk-snbt/daya-tampung-snbt</x:v>
      </x:c>
      <x:c r="AA1628" t="str">
        <x:v>Tidak Ada</x:v>
      </x:c>
      <x:c r="AB1628" t="str">
        <x:v>Campus=90; Ratio=100.0; Prodi=40; RelDemand=100.0; Capacity=77.5</x:v>
      </x:c>
    </x:row>
    <x:row r="1629">
      <x:c r="A1629" t="n">
        <x:v>1626</x:v>
      </x:c>
      <x:c r="B1629" t="str">
        <x:v>PTN Akademik</x:v>
      </x:c>
      <x:c r="C1629" t="str">
        <x:v>UNIVERSITAS SEBELAS MARET</x:v>
      </x:c>
      <x:c r="D1629" t="str">
        <x:v>TEKNIK INFORMATIKA</x:v>
      </x:c>
      <x:c r="E1629" t="str">
        <x:v>Diploma Tiga</x:v>
      </x:c>
      <x:c r="F1629" s="18" t="n">
        <x:v>27</x:v>
      </x:c>
      <x:c r="G1629" s="18" t="n">
        <x:v>3655</x:v>
      </x:c>
      <x:c r="H1629" s="19" t="n">
        <x:v>135.37037037037038</x:v>
      </x:c>
      <x:c r="I1629" s="18" t="n">
        <x:f>ROUND(MIN(Model_Config_v3!$B$6,MAX(Q1629,R1629,S1629*Model_Config_v3!$B$4+T1629*Model_Config_v3!$B$5)),0)</x:f>
        <x:v>746</x:v>
      </x:c>
      <x:c r="J1629" s="18" t="n">
        <x:f>MIN(Model_Config_v3!$B$6,I1629+Model_Config_v3!$B$7)</x:f>
        <x:v>766</x:v>
      </x:c>
      <x:c r="K1629" s="20" t="n">
        <x:v>91.2</x:v>
      </x:c>
      <x:c r="L1629" t="str">
        <x:v>ULTRA ELITE</x:v>
      </x:c>
      <x:c r="M1629" t="str">
        <x:v>SEDANG+</x:v>
      </x:c>
      <x:c r="N1629" t="str">
        <x:v>ELITE-2</x:v>
      </x:c>
      <x:c r="O1629" t="str">
        <x:v>SAINTEK</x:v>
      </x:c>
      <x:c r="P1629" t="str">
        <x:v>KOMPUTER/INFORMATIKA</x:v>
      </x:c>
      <x:c r="Q1629" s="18" t="n">
        <x:v>645</x:v>
      </x:c>
      <x:c r="R1629" s="18" t="n">
        <x:v>695</x:v>
      </x:c>
      <x:c r="S1629" s="18" t="n">
        <x:v>754.4675978848381</x:v>
      </x:c>
      <x:c r="T1629" s="18" t="n">
        <x:v>742</x:v>
      </x:c>
      <x:c r="U1629" s="18" t="n">
        <x:v>779.4675978848381</x:v>
      </x:c>
      <x:c r="V1629" s="20" t="n">
        <x:v>12</x:v>
      </x:c>
      <x:c r="W1629" s="20" t="n">
        <x:v>5</x:v>
      </x:c>
      <x:c r="X1629" s="20" t="n">
        <x:v>3</x:v>
      </x:c>
      <x:c r="Y1629" t="str">
        <x:v>Basis arsip 2025/2024</x:v>
      </x:c>
      <x:c r="Z1629" t="str">
        <x:v>https://snpmb.id/utbk-snbt/daya-tampung-snbt</x:v>
      </x:c>
      <x:c r="AA1629" t="str">
        <x:v>Tidak Ada</x:v>
      </x:c>
      <x:c r="AB1629" t="str">
        <x:v>Campus=90; Ratio=100.0; Prodi=85; RelDemand=100.0; Capacity=77.5</x:v>
      </x:c>
    </x:row>
    <x:row r="1630">
      <x:c r="A1630" t="n">
        <x:v>1627</x:v>
      </x:c>
      <x:c r="B1630" t="str">
        <x:v>PTN Akademik</x:v>
      </x:c>
      <x:c r="C1630" t="str">
        <x:v>UNIVERSITAS SEBELAS MARET</x:v>
      </x:c>
      <x:c r="D1630" t="str">
        <x:v>USAHA PERJALANAN WISATA</x:v>
      </x:c>
      <x:c r="E1630" t="str">
        <x:v>Diploma Tiga</x:v>
      </x:c>
      <x:c r="F1630" s="18" t="n">
        <x:v>27</x:v>
      </x:c>
      <x:c r="G1630" s="18" t="n">
        <x:v>1289</x:v>
      </x:c>
      <x:c r="H1630" s="19" t="n">
        <x:v>47.74074074074074</x:v>
      </x:c>
      <x:c r="I1630" s="18" t="n">
        <x:f>ROUND(MIN(Model_Config_v3!$B$6,MAX(Q1630,R1630,S1630*Model_Config_v3!$B$4+T1630*Model_Config_v3!$B$5)),0)</x:f>
        <x:v>715</x:v>
      </x:c>
      <x:c r="J1630" s="18" t="n">
        <x:f>MIN(Model_Config_v3!$B$6,I1630+Model_Config_v3!$B$7)</x:f>
        <x:v>735</x:v>
      </x:c>
      <x:c r="K1630" s="20" t="n">
        <x:v>80.2</x:v>
      </x:c>
      <x:c r="L1630" t="str">
        <x:v>ELITE</x:v>
      </x:c>
      <x:c r="M1630" t="str">
        <x:v>SEDANG+</x:v>
      </x:c>
      <x:c r="N1630" t="str">
        <x:v>ELITE-2</x:v>
      </x:c>
      <x:c r="O1630" t="str">
        <x:v>CAMPURAN</x:v>
      </x:c>
      <x:c r="P1630" t="str">
        <x:v>UMUM</x:v>
      </x:c>
      <x:c r="Q1630" s="18" t="n">
        <x:v>645</x:v>
      </x:c>
      <x:c r="R1630" s="18" t="n">
        <x:v>0</x:v>
      </x:c>
      <x:c r="S1630" s="18" t="n">
        <x:v>704.6778068513858</x:v>
      </x:c>
      <x:c r="T1630" s="18" t="n">
        <x:v>720</x:v>
      </x:c>
      <x:c r="U1630" s="18" t="n">
        <x:v>704.6778068513858</x:v>
      </x:c>
      <x:c r="V1630" s="20" t="n">
        <x:v>8.8</x:v>
      </x:c>
      <x:c r="W1630" s="20" t="n">
        <x:v>9.9</x:v>
      </x:c>
      <x:c r="X1630" s="20" t="n">
        <x:v>3.3</x:v>
      </x:c>
      <x:c r="Y1630" t="str">
        <x:v>Basis arsip 2025/2024</x:v>
      </x:c>
      <x:c r="Z1630" t="str">
        <x:v>https://snpmb.id/utbk-snbt/daya-tampung-snbt</x:v>
      </x:c>
      <x:c r="AA1630" t="str">
        <x:v>Tidak Ada</x:v>
      </x:c>
      <x:c r="AB1630" t="str">
        <x:v>Campus=90; Ratio=98.8; Prodi=40; RelDemand=82.8; Capacity=77.5</x:v>
      </x:c>
    </x:row>
    <x:row r="1631">
      <x:c r="A1631" t="n">
        <x:v>1628</x:v>
      </x:c>
      <x:c r="B1631" t="str">
        <x:v>PTN Akademik</x:v>
      </x:c>
      <x:c r="C1631" t="str">
        <x:v>UNIVERSITAS SEBELAS MARET</x:v>
      </x:c>
      <x:c r="D1631" t="str">
        <x:v>AGRIBISNIS</x:v>
      </x:c>
      <x:c r="E1631" t="str">
        <x:v>Diploma Tiga</x:v>
      </x:c>
      <x:c r="F1631" s="18" t="n">
        <x:v>39</x:v>
      </x:c>
      <x:c r="G1631" s="18" t="n">
        <x:v>2157</x:v>
      </x:c>
      <x:c r="H1631" s="19" t="n">
        <x:v>55.30769230769231</x:v>
      </x:c>
      <x:c r="I1631" s="18" t="n">
        <x:f>ROUND(MIN(Model_Config_v3!$B$6,MAX(Q1631,R1631,S1631*Model_Config_v3!$B$4+T1631*Model_Config_v3!$B$5)),0)</x:f>
        <x:v>726</x:v>
      </x:c>
      <x:c r="J1631" s="18" t="n">
        <x:f>MIN(Model_Config_v3!$B$6,I1631+Model_Config_v3!$B$7)</x:f>
        <x:v>746</x:v>
      </x:c>
      <x:c r="K1631" s="20" t="n">
        <x:v>85.8</x:v>
      </x:c>
      <x:c r="L1631" t="str">
        <x:v>ULTRA ELITE</x:v>
      </x:c>
      <x:c r="M1631" t="str">
        <x:v>SEDANG+</x:v>
      </x:c>
      <x:c r="N1631" t="str">
        <x:v>ELITE-2</x:v>
      </x:c>
      <x:c r="O1631" t="str">
        <x:v>SOSHUM</x:v>
      </x:c>
      <x:c r="P1631" t="str">
        <x:v>BISNIS/EKONOMI/AKUNTANSI</x:v>
      </x:c>
      <x:c r="Q1631" s="18" t="n">
        <x:v>645</x:v>
      </x:c>
      <x:c r="R1631" s="18" t="n">
        <x:v>680</x:v>
      </x:c>
      <x:c r="S1631" s="18" t="n">
        <x:v>711.706409188365</x:v>
      </x:c>
      <x:c r="T1631" s="18" t="n">
        <x:v>732</x:v>
      </x:c>
      <x:c r="U1631" s="18" t="n">
        <x:v>726.706409188365</x:v>
      </x:c>
      <x:c r="V1631" s="20" t="n">
        <x:v>4.4</x:v>
      </x:c>
      <x:c r="W1631" s="20" t="n">
        <x:v>14.3</x:v>
      </x:c>
      <x:c r="X1631" s="20" t="n">
        <x:v>3.3</x:v>
      </x:c>
      <x:c r="Y1631" t="str">
        <x:v>Basis arsip 2025/2024</x:v>
      </x:c>
      <x:c r="Z1631" t="str">
        <x:v>https://snpmb.id/utbk-snbt/daya-tampung-snbt</x:v>
      </x:c>
      <x:c r="AA1631" t="str">
        <x:v>Tidak Ada</x:v>
      </x:c>
      <x:c r="AB1631" t="str">
        <x:v>Campus=90; Ratio=100.0; Prodi=65; RelDemand=95.9; Capacity=67.5</x:v>
      </x:c>
    </x:row>
    <x:row r="1632">
      <x:c r="A1632" t="n">
        <x:v>1629</x:v>
      </x:c>
      <x:c r="B1632" t="str">
        <x:v>PTN Akademik</x:v>
      </x:c>
      <x:c r="C1632" t="str">
        <x:v>UNIVERSITAS SEBELAS MARET</x:v>
      </x:c>
      <x:c r="D1632" t="str">
        <x:v>TEKNIK KIMIA</x:v>
      </x:c>
      <x:c r="E1632" t="str">
        <x:v>Diploma Tiga</x:v>
      </x:c>
      <x:c r="F1632" s="18" t="n">
        <x:v>14</x:v>
      </x:c>
      <x:c r="G1632" s="18" t="n">
        <x:v>894</x:v>
      </x:c>
      <x:c r="H1632" s="19" t="n">
        <x:v>63.857142857142854</x:v>
      </x:c>
      <x:c r="I1632" s="18" t="n">
        <x:f>ROUND(MIN(Model_Config_v3!$B$6,MAX(Q1632,R1632,S1632*Model_Config_v3!$B$4+T1632*Model_Config_v3!$B$5)),0)</x:f>
        <x:v>730</x:v>
      </x:c>
      <x:c r="J1632" s="18" t="n">
        <x:f>MIN(Model_Config_v3!$B$6,I1632+Model_Config_v3!$B$7)</x:f>
        <x:v>750</x:v>
      </x:c>
      <x:c r="K1632" s="20" t="n">
        <x:v>87.3</x:v>
      </x:c>
      <x:c r="L1632" t="str">
        <x:v>ULTRA ELITE</x:v>
      </x:c>
      <x:c r="M1632" t="str">
        <x:v>SEDANG+</x:v>
      </x:c>
      <x:c r="N1632" t="str">
        <x:v>ELITE-2</x:v>
      </x:c>
      <x:c r="O1632" t="str">
        <x:v>SAINTEK</x:v>
      </x:c>
      <x:c r="P1632" t="str">
        <x:v>TEKNIK/ARSITEKTUR/STATISTIKA/AKTUARIA</x:v>
      </x:c>
      <x:c r="Q1632" s="18" t="n">
        <x:v>645</x:v>
      </x:c>
      <x:c r="R1632" s="18" t="n">
        <x:v>670</x:v>
      </x:c>
      <x:c r="S1632" s="18" t="n">
        <x:v>718.5730431429447</x:v>
      </x:c>
      <x:c r="T1632" s="18" t="n">
        <x:v>735</x:v>
      </x:c>
      <x:c r="U1632" s="18" t="n">
        <x:v>728.5730431429447</x:v>
      </x:c>
      <x:c r="V1632" s="20" t="n">
        <x:v>12</x:v>
      </x:c>
      <x:c r="W1632" s="20" t="n">
        <x:v>5</x:v>
      </x:c>
      <x:c r="X1632" s="20" t="n">
        <x:v>3</x:v>
      </x:c>
      <x:c r="Y1632" t="str">
        <x:v>Basis arsip 2025/2024</x:v>
      </x:c>
      <x:c r="Z1632" t="str">
        <x:v>https://snpmb.id/utbk-snbt/daya-tampung-snbt</x:v>
      </x:c>
      <x:c r="AA1632" t="str">
        <x:v>Tidak Ada</x:v>
      </x:c>
      <x:c r="AB1632" t="str">
        <x:v>Campus=90; Ratio=100.0; Prodi=60; RelDemand=100.0; Capacity=88.3</x:v>
      </x:c>
    </x:row>
    <x:row r="1633">
      <x:c r="A1633" t="n">
        <x:v>1630</x:v>
      </x:c>
      <x:c r="B1633" t="str">
        <x:v>PTN Akademik</x:v>
      </x:c>
      <x:c r="C1633" t="str">
        <x:v>UNIVERSITAS SEBELAS MARET</x:v>
      </x:c>
      <x:c r="D1633" t="str">
        <x:v>KOMUNIKASI TERAPAN</x:v>
      </x:c>
      <x:c r="E1633" t="str">
        <x:v>Diploma Tiga</x:v>
      </x:c>
      <x:c r="F1633" s="18" t="n">
        <x:v>45</x:v>
      </x:c>
      <x:c r="G1633" s="18" t="n">
        <x:v>2113</x:v>
      </x:c>
      <x:c r="H1633" s="19" t="n">
        <x:v>46.955555555555556</x:v>
      </x:c>
      <x:c r="I1633" s="18" t="n">
        <x:f>ROUND(MIN(Model_Config_v3!$B$6,MAX(Q1633,R1633,S1633*Model_Config_v3!$B$4+T1633*Model_Config_v3!$B$5)),0)</x:f>
        <x:v>713</x:v>
      </x:c>
      <x:c r="J1633" s="18" t="n">
        <x:f>MIN(Model_Config_v3!$B$6,I1633+Model_Config_v3!$B$7)</x:f>
        <x:v>733</x:v>
      </x:c>
      <x:c r="K1633" s="20" t="n">
        <x:v>78.5</x:v>
      </x:c>
      <x:c r="L1633" t="str">
        <x:v>ELITE</x:v>
      </x:c>
      <x:c r="M1633" t="str">
        <x:v>SEDANG+</x:v>
      </x:c>
      <x:c r="N1633" t="str">
        <x:v>ELITE-2</x:v>
      </x:c>
      <x:c r="O1633" t="str">
        <x:v>SOSHUM</x:v>
      </x:c>
      <x:c r="P1633" t="str">
        <x:v>UMUM</x:v>
      </x:c>
      <x:c r="Q1633" s="18" t="n">
        <x:v>645</x:v>
      </x:c>
      <x:c r="R1633" s="18" t="n">
        <x:v>0</x:v>
      </x:c>
      <x:c r="S1633" s="18" t="n">
        <x:v>703.8855681604666</x:v>
      </x:c>
      <x:c r="T1633" s="18" t="n">
        <x:v>717</x:v>
      </x:c>
      <x:c r="U1633" s="18" t="n">
        <x:v>703.8855681604666</x:v>
      </x:c>
      <x:c r="V1633" s="20" t="n">
        <x:v>4.4</x:v>
      </x:c>
      <x:c r="W1633" s="20" t="n">
        <x:v>14.3</x:v>
      </x:c>
      <x:c r="X1633" s="20" t="n">
        <x:v>3.3</x:v>
      </x:c>
      <x:c r="Y1633" t="str">
        <x:v>Basis arsip 2025/2024</x:v>
      </x:c>
      <x:c r="Z1633" t="str">
        <x:v>https://snpmb.id/utbk-snbt/daya-tampung-snbt</x:v>
      </x:c>
      <x:c r="AA1633" t="str">
        <x:v>Tidak Ada</x:v>
      </x:c>
      <x:c r="AB1633" t="str">
        <x:v>Campus=90; Ratio=98.4; Prodi=40; RelDemand=81.4; Capacity=62.5</x:v>
      </x:c>
    </x:row>
    <x:row r="1634">
      <x:c r="A1634" t="n">
        <x:v>1631</x:v>
      </x:c>
      <x:c r="B1634" t="str">
        <x:v>PTN Akademik</x:v>
      </x:c>
      <x:c r="C1634" t="str">
        <x:v>UNIVERSITAS SEBELAS MARET</x:v>
      </x:c>
      <x:c r="D1634" t="str">
        <x:v>FARMASI</x:v>
      </x:c>
      <x:c r="E1634" t="str">
        <x:v>Diploma Tiga</x:v>
      </x:c>
      <x:c r="F1634" s="18" t="n">
        <x:v>21</x:v>
      </x:c>
      <x:c r="G1634" s="18" t="n">
        <x:v>5021</x:v>
      </x:c>
      <x:c r="H1634" s="19" t="n">
        <x:v>239.0952380952381</x:v>
      </x:c>
      <x:c r="I1634" s="18" t="n">
        <x:f>ROUND(MIN(Model_Config_v3!$B$6,MAX(Q1634,R1634,S1634*Model_Config_v3!$B$4+T1634*Model_Config_v3!$B$5)),0)</x:f>
        <x:v>752</x:v>
      </x:c>
      <x:c r="J1634" s="18" t="n">
        <x:f>MIN(Model_Config_v3!$B$6,I1634+Model_Config_v3!$B$7)</x:f>
        <x:v>772</x:v>
      </x:c>
      <x:c r="K1634" s="20" t="n">
        <x:v>89.8</x:v>
      </x:c>
      <x:c r="L1634" t="str">
        <x:v>ULTRA ELITE</x:v>
      </x:c>
      <x:c r="M1634" t="str">
        <x:v>SEDANG+</x:v>
      </x:c>
      <x:c r="N1634" t="str">
        <x:v>ELITE-2</x:v>
      </x:c>
      <x:c r="O1634" t="str">
        <x:v>SAINTEK</x:v>
      </x:c>
      <x:c r="P1634" t="str">
        <x:v>FARMASI</x:v>
      </x:c>
      <x:c r="Q1634" s="18" t="n">
        <x:v>645</x:v>
      </x:c>
      <x:c r="R1634" s="18" t="n">
        <x:v>680</x:v>
      </x:c>
      <x:c r="S1634" s="18" t="n">
        <x:v>780</x:v>
      </x:c>
      <x:c r="T1634" s="18" t="n">
        <x:v>740</x:v>
      </x:c>
      <x:c r="U1634" s="18" t="n">
        <x:v>800</x:v>
      </x:c>
      <x:c r="V1634" s="20" t="n">
        <x:v>12</x:v>
      </x:c>
      <x:c r="W1634" s="20" t="n">
        <x:v>5</x:v>
      </x:c>
      <x:c r="X1634" s="20" t="n">
        <x:v>3</x:v>
      </x:c>
      <x:c r="Y1634" t="str">
        <x:v>Basis arsip 2025/2024</x:v>
      </x:c>
      <x:c r="Z1634" t="str">
        <x:v>https://snpmb.id/utbk-snbt/daya-tampung-snbt</x:v>
      </x:c>
      <x:c r="AA1634" t="str">
        <x:v>Tidak Ada</x:v>
      </x:c>
      <x:c r="AB1634" t="str">
        <x:v>Campus=90; Ratio=100.0; Prodi=75; RelDemand=100.0; Capacity=82.5</x:v>
      </x:c>
    </x:row>
    <x:row r="1635">
      <x:c r="A1635" t="n">
        <x:v>1632</x:v>
      </x:c>
      <x:c r="B1635" t="str">
        <x:v>PTN Akademik</x:v>
      </x:c>
      <x:c r="C1635" t="str">
        <x:v>UNIVERSITAS SEBELAS MARET</x:v>
      </x:c>
      <x:c r="D1635" t="str">
        <x:v>BUDI DAYA TERNAK</x:v>
      </x:c>
      <x:c r="E1635" t="str">
        <x:v>Diploma Tiga</x:v>
      </x:c>
      <x:c r="F1635" s="18" t="n">
        <x:v>18</x:v>
      </x:c>
      <x:c r="G1635" s="18" t="n">
        <x:v>861</x:v>
      </x:c>
      <x:c r="H1635" s="19" t="n">
        <x:v>47.833333333333336</x:v>
      </x:c>
      <x:c r="I1635" s="18" t="n">
        <x:f>ROUND(MIN(Model_Config_v3!$B$6,MAX(Q1635,R1635,S1635*Model_Config_v3!$B$4+T1635*Model_Config_v3!$B$5)),0)</x:f>
        <x:v>717</x:v>
      </x:c>
      <x:c r="J1635" s="18" t="n">
        <x:f>MIN(Model_Config_v3!$B$6,I1635+Model_Config_v3!$B$7)</x:f>
        <x:v>737</x:v>
      </x:c>
      <x:c r="K1635" s="20" t="n">
        <x:v>81</x:v>
      </x:c>
      <x:c r="L1635" t="str">
        <x:v>ELITE</x:v>
      </x:c>
      <x:c r="M1635" t="str">
        <x:v>SEDANG+</x:v>
      </x:c>
      <x:c r="N1635" t="str">
        <x:v>ELITE-2</x:v>
      </x:c>
      <x:c r="O1635" t="str">
        <x:v>CAMPURAN</x:v>
      </x:c>
      <x:c r="P1635" t="str">
        <x:v>UMUM</x:v>
      </x:c>
      <x:c r="Q1635" s="18" t="n">
        <x:v>645</x:v>
      </x:c>
      <x:c r="R1635" s="18" t="n">
        <x:v>0</x:v>
      </x:c>
      <x:c r="S1635" s="18" t="n">
        <x:v>704.7703710985384</x:v>
      </x:c>
      <x:c r="T1635" s="18" t="n">
        <x:v>722</x:v>
      </x:c>
      <x:c r="U1635" s="18" t="n">
        <x:v>704.7703710985384</x:v>
      </x:c>
      <x:c r="V1635" s="20" t="n">
        <x:v>8.8</x:v>
      </x:c>
      <x:c r="W1635" s="20" t="n">
        <x:v>9.9</x:v>
      </x:c>
      <x:c r="X1635" s="20" t="n">
        <x:v>3.3</x:v>
      </x:c>
      <x:c r="Y1635" t="str">
        <x:v>Basis arsip 2025/2024</x:v>
      </x:c>
      <x:c r="Z1635" t="str">
        <x:v>https://snpmb.id/utbk-snbt/daya-tampung-snbt</x:v>
      </x:c>
      <x:c r="AA1635" t="str">
        <x:v>Tidak Ada</x:v>
      </x:c>
      <x:c r="AB1635" t="str">
        <x:v>Campus=90; Ratio=98.9; Prodi=40; RelDemand=82.9; Capacity=85.0</x:v>
      </x:c>
    </x:row>
    <x:row r="1636">
      <x:c r="A1636" t="n">
        <x:v>1633</x:v>
      </x:c>
      <x:c r="B1636" t="str">
        <x:v>PTN Akademik</x:v>
      </x:c>
      <x:c r="C1636" t="str">
        <x:v>UNIVERSITAS SEBELAS MARET</x:v>
      </x:c>
      <x:c r="D1636" t="str">
        <x:v>MANAJEMEN ADMINISTRASI</x:v>
      </x:c>
      <x:c r="E1636" t="str">
        <x:v>Diploma Tiga</x:v>
      </x:c>
      <x:c r="F1636" s="18" t="n">
        <x:v>27</x:v>
      </x:c>
      <x:c r="G1636" s="18" t="n">
        <x:v>2516</x:v>
      </x:c>
      <x:c r="H1636" s="19" t="n">
        <x:v>93.18518518518519</x:v>
      </x:c>
      <x:c r="I1636" s="18" t="n">
        <x:f>ROUND(MIN(Model_Config_v3!$B$6,MAX(Q1636,R1636,S1636*Model_Config_v3!$B$4+T1636*Model_Config_v3!$B$5)),0)</x:f>
        <x:v>735</x:v>
      </x:c>
      <x:c r="J1636" s="18" t="n">
        <x:f>MIN(Model_Config_v3!$B$6,I1636+Model_Config_v3!$B$7)</x:f>
        <x:v>755</x:v>
      </x:c>
      <x:c r="K1636" s="20" t="n">
        <x:v>87.2</x:v>
      </x:c>
      <x:c r="L1636" t="str">
        <x:v>ULTRA ELITE</x:v>
      </x:c>
      <x:c r="M1636" t="str">
        <x:v>SEDANG+</x:v>
      </x:c>
      <x:c r="N1636" t="str">
        <x:v>ELITE-2</x:v>
      </x:c>
      <x:c r="O1636" t="str">
        <x:v>SOSHUM</x:v>
      </x:c>
      <x:c r="P1636" t="str">
        <x:v>BISNIS/EKONOMI/AKUNTANSI</x:v>
      </x:c>
      <x:c r="Q1636" s="18" t="n">
        <x:v>645</x:v>
      </x:c>
      <x:c r="R1636" s="18" t="n">
        <x:v>680</x:v>
      </x:c>
      <x:c r="S1636" s="18" t="n">
        <x:v>736.6281559875667</x:v>
      </x:c>
      <x:c r="T1636" s="18" t="n">
        <x:v>734</x:v>
      </x:c>
      <x:c r="U1636" s="18" t="n">
        <x:v>751.6281559875667</x:v>
      </x:c>
      <x:c r="V1636" s="20" t="n">
        <x:v>4.4</x:v>
      </x:c>
      <x:c r="W1636" s="20" t="n">
        <x:v>14.3</x:v>
      </x:c>
      <x:c r="X1636" s="20" t="n">
        <x:v>3.3</x:v>
      </x:c>
      <x:c r="Y1636" t="str">
        <x:v>Basis arsip 2025/2024</x:v>
      </x:c>
      <x:c r="Z1636" t="str">
        <x:v>https://snpmb.id/utbk-snbt/daya-tampung-snbt</x:v>
      </x:c>
      <x:c r="AA1636" t="str">
        <x:v>Tidak Ada</x:v>
      </x:c>
      <x:c r="AB1636" t="str">
        <x:v>Campus=90; Ratio=100.0; Prodi=65; RelDemand=100.0; Capacity=77.5</x:v>
      </x:c>
    </x:row>
    <x:row r="1637">
      <x:c r="A1637" t="n">
        <x:v>1634</x:v>
      </x:c>
      <x:c r="B1637" t="str">
        <x:v>PTN Akademik</x:v>
      </x:c>
      <x:c r="C1637" t="str">
        <x:v>UNIVERSITAS SEBELAS MARET</x:v>
      </x:c>
      <x:c r="D1637" t="str">
        <x:v>TEKNIK INFORMATIKA (KAMPUS KABUPATEN MADIUN)</x:v>
      </x:c>
      <x:c r="E1637" t="str">
        <x:v>Diploma Tiga</x:v>
      </x:c>
      <x:c r="F1637" s="18" t="n">
        <x:v>30</x:v>
      </x:c>
      <x:c r="G1637" s="18"/>
      <x:c r="H1637" s="19" t="n">
        <x:v>0</x:v>
      </x:c>
      <x:c r="I1637" s="18" t="n">
        <x:f>ROUND(MIN(Model_Config_v3!$B$6,MAX(Q1637,R1637,S1637*Model_Config_v3!$B$4+T1637*Model_Config_v3!$B$5)),0)</x:f>
        <x:v>695</x:v>
      </x:c>
      <x:c r="J1637" s="18" t="n">
        <x:f>MIN(Model_Config_v3!$B$6,I1637+Model_Config_v3!$B$7)</x:f>
        <x:v>715</x:v>
      </x:c>
      <x:c r="K1637" s="20" t="n">
        <x:v>56</x:v>
      </x:c>
      <x:c r="L1637" t="str">
        <x:v>KETAT</x:v>
      </x:c>
      <x:c r="M1637" t="str">
        <x:v>RENDAH</x:v>
      </x:c>
      <x:c r="N1637" t="str">
        <x:v>ELITE-2</x:v>
      </x:c>
      <x:c r="O1637" t="str">
        <x:v>SAINTEK</x:v>
      </x:c>
      <x:c r="P1637" t="str">
        <x:v>KOMPUTER/INFORMATIKA</x:v>
      </x:c>
      <x:c r="Q1637" s="18" t="n">
        <x:v>645</x:v>
      </x:c>
      <x:c r="R1637" s="18" t="n">
        <x:v>695</x:v>
      </x:c>
      <x:c r="S1637" s="18" t="n">
        <x:v>520</x:v>
      </x:c>
      <x:c r="T1637" s="18" t="n">
        <x:v>672</x:v>
      </x:c>
      <x:c r="U1637" s="18" t="n">
        <x:v>695</x:v>
      </x:c>
      <x:c r="V1637" s="20" t="n">
        <x:v>12</x:v>
      </x:c>
      <x:c r="W1637" s="20" t="n">
        <x:v>5</x:v>
      </x:c>
      <x:c r="X1637" s="20" t="n">
        <x:v>3</x:v>
      </x:c>
      <x:c r="Y1637" t="str">
        <x:v>Basis arsip 2025/2024</x:v>
      </x:c>
      <x:c r="Z1637" t="str">
        <x:v>https://snpmb.id/utbk-snbt/daya-tampung-snbt</x:v>
      </x:c>
      <x:c r="AA1637" t="str">
        <x:v>Tidak Ada</x:v>
      </x:c>
      <x:c r="AB1637" t="str">
        <x:v>Campus=90; Ratio=0.0; Prodi=85; RelDemand=0.0; Capacity=75.0</x:v>
      </x:c>
    </x:row>
    <x:row r="1638">
      <x:c r="A1638" t="n">
        <x:v>1635</x:v>
      </x:c>
      <x:c r="B1638" t="str">
        <x:v>PTN Akademik</x:v>
      </x:c>
      <x:c r="C1638" t="str">
        <x:v>UNIVERSITAS SEBELAS MARET</x:v>
      </x:c>
      <x:c r="D1638" t="str">
        <x:v>AKUNTANSI (KAMPUS KABUPATEN MADIUN)</x:v>
      </x:c>
      <x:c r="E1638" t="str">
        <x:v>Diploma Tiga</x:v>
      </x:c>
      <x:c r="F1638" s="18" t="n">
        <x:v>30</x:v>
      </x:c>
      <x:c r="G1638" s="18"/>
      <x:c r="H1638" s="19" t="n">
        <x:v>0</x:v>
      </x:c>
      <x:c r="I1638" s="18" t="n">
        <x:f>ROUND(MIN(Model_Config_v3!$B$6,MAX(Q1638,R1638,S1638*Model_Config_v3!$B$4+T1638*Model_Config_v3!$B$5)),0)</x:f>
        <x:v>680</x:v>
      </x:c>
      <x:c r="J1638" s="18" t="n">
        <x:f>MIN(Model_Config_v3!$B$6,I1638+Model_Config_v3!$B$7)</x:f>
        <x:v>700</x:v>
      </x:c>
      <x:c r="K1638" s="20" t="n">
        <x:v>52</x:v>
      </x:c>
      <x:c r="L1638" t="str">
        <x:v>MENENGAH</x:v>
      </x:c>
      <x:c r="M1638" t="str">
        <x:v>RENDAH</x:v>
      </x:c>
      <x:c r="N1638" t="str">
        <x:v>ELITE-2</x:v>
      </x:c>
      <x:c r="O1638" t="str">
        <x:v>SOSHUM</x:v>
      </x:c>
      <x:c r="P1638" t="str">
        <x:v>BISNIS/EKONOMI/AKUNTANSI</x:v>
      </x:c>
      <x:c r="Q1638" s="18" t="n">
        <x:v>645</x:v>
      </x:c>
      <x:c r="R1638" s="18" t="n">
        <x:v>680</x:v>
      </x:c>
      <x:c r="S1638" s="18" t="n">
        <x:v>520</x:v>
      </x:c>
      <x:c r="T1638" s="18" t="n">
        <x:v>664</x:v>
      </x:c>
      <x:c r="U1638" s="18" t="n">
        <x:v>645</x:v>
      </x:c>
      <x:c r="V1638" s="20" t="n">
        <x:v>4.4</x:v>
      </x:c>
      <x:c r="W1638" s="20" t="n">
        <x:v>14.3</x:v>
      </x:c>
      <x:c r="X1638" s="20" t="n">
        <x:v>3.3</x:v>
      </x:c>
      <x:c r="Y1638" t="str">
        <x:v>Basis arsip 2025/2024</x:v>
      </x:c>
      <x:c r="Z1638" t="str">
        <x:v>https://snpmb.id/utbk-snbt/daya-tampung-snbt</x:v>
      </x:c>
      <x:c r="AA1638" t="str">
        <x:v>Tidak Ada</x:v>
      </x:c>
      <x:c r="AB1638" t="str">
        <x:v>Campus=90; Ratio=0.0; Prodi=65; RelDemand=0.0; Capacity=75.0</x:v>
      </x:c>
    </x:row>
    <x:row r="1639">
      <x:c r="A1639" t="n">
        <x:v>1636</x:v>
      </x:c>
      <x:c r="B1639" t="str">
        <x:v>PTN Akademik</x:v>
      </x:c>
      <x:c r="C1639" t="str">
        <x:v>ISI SURAKARTA</x:v>
      </x:c>
      <x:c r="D1639" t="str">
        <x:v>TARI</x:v>
      </x:c>
      <x:c r="E1639" t="str">
        <x:v>Sarjana</x:v>
      </x:c>
      <x:c r="F1639" s="18" t="n">
        <x:v>52</x:v>
      </x:c>
      <x:c r="G1639" s="18" t="n">
        <x:v>132</x:v>
      </x:c>
      <x:c r="H1639" s="19" t="n">
        <x:v>2.5384615384615383</x:v>
      </x:c>
      <x:c r="I1639" s="18" t="n">
        <x:f>ROUND(MIN(Model_Config_v3!$B$6,MAX(Q1639,R1639,S1639*Model_Config_v3!$B$4+T1639*Model_Config_v3!$B$5)),0)</x:f>
        <x:v>625</x:v>
      </x:c>
      <x:c r="J1639" s="18" t="n">
        <x:f>MIN(Model_Config_v3!$B$6,I1639+Model_Config_v3!$B$7)</x:f>
        <x:v>645</x:v>
      </x:c>
      <x:c r="K1639" s="20" t="n">
        <x:v>45.3</x:v>
      </x:c>
      <x:c r="L1639" t="str">
        <x:v>MENENGAH</x:v>
      </x:c>
      <x:c r="M1639" t="str">
        <x:v>PORTOFOLIO</x:v>
      </x:c>
      <x:c r="N1639" t="str">
        <x:v>REGULER</x:v>
      </x:c>
      <x:c r="O1639" t="str">
        <x:v>SENI/OLAHRAGA</x:v>
      </x:c>
      <x:c r="P1639" t="str">
        <x:v>SENI/OLAHRAGA</x:v>
      </x:c>
      <x:c r="Q1639" s="18" t="n">
        <x:v>0</x:v>
      </x:c>
      <x:c r="R1639" s="18" t="n">
        <x:v>0</x:v>
      </x:c>
      <x:c r="S1639" s="18" t="n">
        <x:v>564.5027646328156</x:v>
      </x:c>
      <x:c r="T1639" s="18" t="n">
        <x:v>651</x:v>
      </x:c>
      <x:c r="U1639" s="18" t="n">
        <x:v>564.5027646328156</x:v>
      </x:c>
      <x:c r="V1639" s="20" t="n">
        <x:v>4.4</x:v>
      </x:c>
      <x:c r="W1639" s="20" t="n">
        <x:v>9.9</x:v>
      </x:c>
      <x:c r="X1639" s="20" t="n">
        <x:v>7.7</x:v>
      </x:c>
      <x:c r="Y1639" t="str">
        <x:v>Basis arsip 2025/2024</x:v>
      </x:c>
      <x:c r="Z1639" t="str">
        <x:v>https://snpmb.id/utbk-snbt/daya-tampung-snbt</x:v>
      </x:c>
      <x:c r="AA1639" t="str">
        <x:v>Tari</x:v>
      </x:c>
      <x:c r="AB1639" t="str">
        <x:v>Campus=55; Ratio=23.8; Prodi=45; RelDemand=54.6; Capacity=56.7</x:v>
      </x:c>
    </x:row>
    <x:row r="1640">
      <x:c r="A1640" t="n">
        <x:v>1637</x:v>
      </x:c>
      <x:c r="B1640" t="str">
        <x:v>PTN Akademik</x:v>
      </x:c>
      <x:c r="C1640" t="str">
        <x:v>ISI SURAKARTA</x:v>
      </x:c>
      <x:c r="D1640" t="str">
        <x:v>ETNOMUSIKOLOGI</x:v>
      </x:c>
      <x:c r="E1640" t="str">
        <x:v>Sarjana</x:v>
      </x:c>
      <x:c r="F1640" s="18" t="n">
        <x:v>32</x:v>
      </x:c>
      <x:c r="G1640" s="18" t="n">
        <x:v>15</x:v>
      </x:c>
      <x:c r="H1640" s="19" t="n">
        <x:v>0.46875</x:v>
      </x:c>
      <x:c r="I1640" s="18" t="n">
        <x:f>ROUND(MIN(Model_Config_v3!$B$6,MAX(Q1640,R1640,S1640*Model_Config_v3!$B$4+T1640*Model_Config_v3!$B$5)),0)</x:f>
        <x:v>599</x:v>
      </x:c>
      <x:c r="J1640" s="18" t="n">
        <x:f>MIN(Model_Config_v3!$B$6,I1640+Model_Config_v3!$B$7)</x:f>
        <x:v>619</x:v>
      </x:c>
      <x:c r="K1640" s="20" t="n">
        <x:v>36.6</x:v>
      </x:c>
      <x:c r="L1640" t="str">
        <x:v>RELATIF LONGGAR</x:v>
      </x:c>
      <x:c r="M1640" t="str">
        <x:v>PORTOFOLIO</x:v>
      </x:c>
      <x:c r="N1640" t="str">
        <x:v>REGULER</x:v>
      </x:c>
      <x:c r="O1640" t="str">
        <x:v>SENI/OLAHRAGA</x:v>
      </x:c>
      <x:c r="P1640" t="str">
        <x:v>SENI/OLAHRAGA</x:v>
      </x:c>
      <x:c r="Q1640" s="18" t="n">
        <x:v>0</x:v>
      </x:c>
      <x:c r="R1640" s="18" t="n">
        <x:v>0</x:v>
      </x:c>
      <x:c r="S1640" s="18" t="n">
        <x:v>520</x:v>
      </x:c>
      <x:c r="T1640" s="18" t="n">
        <x:v>633</x:v>
      </x:c>
      <x:c r="U1640" s="18" t="n">
        <x:v>520</x:v>
      </x:c>
      <x:c r="V1640" s="20" t="n">
        <x:v>4.4</x:v>
      </x:c>
      <x:c r="W1640" s="20" t="n">
        <x:v>9.9</x:v>
      </x:c>
      <x:c r="X1640" s="20" t="n">
        <x:v>7.7</x:v>
      </x:c>
      <x:c r="Y1640" t="str">
        <x:v>Basis arsip 2025/2024</x:v>
      </x:c>
      <x:c r="Z1640" t="str">
        <x:v>https://snpmb.id/utbk-snbt/daya-tampung-snbt</x:v>
      </x:c>
      <x:c r="AA1640" t="str">
        <x:v>Etnomusikologi</x:v>
      </x:c>
      <x:c r="AB1640" t="str">
        <x:v>Campus=55; Ratio=0.0; Prodi=45; RelDemand=10.1; Capacity=73.3</x:v>
      </x:c>
    </x:row>
    <x:row r="1641">
      <x:c r="A1641" t="n">
        <x:v>1638</x:v>
      </x:c>
      <x:c r="B1641" t="str">
        <x:v>PTN Akademik</x:v>
      </x:c>
      <x:c r="C1641" t="str">
        <x:v>ISI SURAKARTA</x:v>
      </x:c>
      <x:c r="D1641" t="str">
        <x:v>TEATER</x:v>
      </x:c>
      <x:c r="E1641" t="str">
        <x:v>Sarjana</x:v>
      </x:c>
      <x:c r="F1641" s="18" t="n">
        <x:v>16</x:v>
      </x:c>
      <x:c r="G1641" s="18" t="n">
        <x:v>13</x:v>
      </x:c>
      <x:c r="H1641" s="19" t="n">
        <x:v>0.8125</x:v>
      </x:c>
      <x:c r="I1641" s="18" t="n">
        <x:f>ROUND(MIN(Model_Config_v3!$B$6,MAX(Q1641,R1641,S1641*Model_Config_v3!$B$4+T1641*Model_Config_v3!$B$5)),0)</x:f>
        <x:v>602</x:v>
      </x:c>
      <x:c r="J1641" s="18" t="n">
        <x:f>MIN(Model_Config_v3!$B$6,I1641+Model_Config_v3!$B$7)</x:f>
        <x:v>622</x:v>
      </x:c>
      <x:c r="K1641" s="20" t="n">
        <x:v>38.7</x:v>
      </x:c>
      <x:c r="L1641" t="str">
        <x:v>RELATIF LONGGAR</x:v>
      </x:c>
      <x:c r="M1641" t="str">
        <x:v>PORTOFOLIO</x:v>
      </x:c>
      <x:c r="N1641" t="str">
        <x:v>REGULER</x:v>
      </x:c>
      <x:c r="O1641" t="str">
        <x:v>SENI/OLAHRAGA</x:v>
      </x:c>
      <x:c r="P1641" t="str">
        <x:v>SENI/OLAHRAGA</x:v>
      </x:c>
      <x:c r="Q1641" s="18" t="n">
        <x:v>0</x:v>
      </x:c>
      <x:c r="R1641" s="18" t="n">
        <x:v>0</x:v>
      </x:c>
      <x:c r="S1641" s="18" t="n">
        <x:v>520</x:v>
      </x:c>
      <x:c r="T1641" s="18" t="n">
        <x:v>637</x:v>
      </x:c>
      <x:c r="U1641" s="18" t="n">
        <x:v>520</x:v>
      </x:c>
      <x:c r="V1641" s="20" t="n">
        <x:v>4.4</x:v>
      </x:c>
      <x:c r="W1641" s="20" t="n">
        <x:v>9.9</x:v>
      </x:c>
      <x:c r="X1641" s="20" t="n">
        <x:v>7.7</x:v>
      </x:c>
      <x:c r="Y1641" t="str">
        <x:v>Basis arsip 2025/2024</x:v>
      </x:c>
      <x:c r="Z1641" t="str">
        <x:v>https://snpmb.id/utbk-snbt/daya-tampung-snbt</x:v>
      </x:c>
      <x:c r="AA1641" t="str">
        <x:v>Teater</x:v>
      </x:c>
      <x:c r="AB1641" t="str">
        <x:v>Campus=55; Ratio=0.0; Prodi=45; RelDemand=17.5; Capacity=86.7</x:v>
      </x:c>
    </x:row>
    <x:row r="1642">
      <x:c r="A1642" t="n">
        <x:v>1639</x:v>
      </x:c>
      <x:c r="B1642" t="str">
        <x:v>PTN Akademik</x:v>
      </x:c>
      <x:c r="C1642" t="str">
        <x:v>ISI SURAKARTA</x:v>
      </x:c>
      <x:c r="D1642" t="str">
        <x:v>KRIYA</x:v>
      </x:c>
      <x:c r="E1642" t="str">
        <x:v>Sarjana</x:v>
      </x:c>
      <x:c r="F1642" s="18" t="n">
        <x:v>26</x:v>
      </x:c>
      <x:c r="G1642" s="18" t="n">
        <x:v>32</x:v>
      </x:c>
      <x:c r="H1642" s="19" t="n">
        <x:v>1.2307692307692308</x:v>
      </x:c>
      <x:c r="I1642" s="18" t="n">
        <x:f>ROUND(MIN(Model_Config_v3!$B$6,MAX(Q1642,R1642,S1642*Model_Config_v3!$B$4+T1642*Model_Config_v3!$B$5)),0)</x:f>
        <x:v>607</x:v>
      </x:c>
      <x:c r="J1642" s="18" t="n">
        <x:f>MIN(Model_Config_v3!$B$6,I1642+Model_Config_v3!$B$7)</x:f>
        <x:v>627</x:v>
      </x:c>
      <x:c r="K1642" s="20" t="n">
        <x:v>40.1</x:v>
      </x:c>
      <x:c r="L1642" t="str">
        <x:v>RELATIF LONGGAR</x:v>
      </x:c>
      <x:c r="M1642" t="str">
        <x:v>PORTOFOLIO</x:v>
      </x:c>
      <x:c r="N1642" t="str">
        <x:v>REGULER</x:v>
      </x:c>
      <x:c r="O1642" t="str">
        <x:v>SENI/OLAHRAGA</x:v>
      </x:c>
      <x:c r="P1642" t="str">
        <x:v>SENI/OLAHRAGA</x:v>
      </x:c>
      <x:c r="Q1642" s="18" t="n">
        <x:v>0</x:v>
      </x:c>
      <x:c r="R1642" s="18" t="n">
        <x:v>0</x:v>
      </x:c>
      <x:c r="S1642" s="18" t="n">
        <x:v>529.9194293383997</x:v>
      </x:c>
      <x:c r="T1642" s="18" t="n">
        <x:v>640</x:v>
      </x:c>
      <x:c r="U1642" s="18" t="n">
        <x:v>529.9194293383997</x:v>
      </x:c>
      <x:c r="V1642" s="20" t="n">
        <x:v>4.4</x:v>
      </x:c>
      <x:c r="W1642" s="20" t="n">
        <x:v>9.9</x:v>
      </x:c>
      <x:c r="X1642" s="20" t="n">
        <x:v>7.7</x:v>
      </x:c>
      <x:c r="Y1642" t="str">
        <x:v>Basis arsip 2025/2024</x:v>
      </x:c>
      <x:c r="Z1642" t="str">
        <x:v>https://snpmb.id/utbk-snbt/daya-tampung-snbt</x:v>
      </x:c>
      <x:c r="AA1642" t="str">
        <x:v>Seni Rupa, Desain, dan Kriya</x:v>
      </x:c>
      <x:c r="AB1642" t="str">
        <x:v>Campus=55; Ratio=5.3; Prodi=45; RelDemand=26.5; Capacity=78.3</x:v>
      </x:c>
    </x:row>
    <x:row r="1643">
      <x:c r="A1643" t="n">
        <x:v>1640</x:v>
      </x:c>
      <x:c r="B1643" t="str">
        <x:v>PTN Akademik</x:v>
      </x:c>
      <x:c r="C1643" t="str">
        <x:v>ISI SURAKARTA</x:v>
      </x:c>
      <x:c r="D1643" t="str">
        <x:v>SENI MURNI</x:v>
      </x:c>
      <x:c r="E1643" t="str">
        <x:v>Sarjana</x:v>
      </x:c>
      <x:c r="F1643" s="18" t="n">
        <x:v>32</x:v>
      </x:c>
      <x:c r="G1643" s="18" t="n">
        <x:v>75</x:v>
      </x:c>
      <x:c r="H1643" s="19" t="n">
        <x:v>2.34375</x:v>
      </x:c>
      <x:c r="I1643" s="18" t="n">
        <x:f>ROUND(MIN(Model_Config_v3!$B$6,MAX(Q1643,R1643,S1643*Model_Config_v3!$B$4+T1643*Model_Config_v3!$B$5)),0)</x:f>
        <x:v>625</x:v>
      </x:c>
      <x:c r="J1643" s="18" t="n">
        <x:f>MIN(Model_Config_v3!$B$6,I1643+Model_Config_v3!$B$7)</x:f>
        <x:v>645</x:v>
      </x:c>
      <x:c r="K1643" s="20" t="n">
        <x:v>46.1</x:v>
      </x:c>
      <x:c r="L1643" t="str">
        <x:v>MENENGAH</x:v>
      </x:c>
      <x:c r="M1643" t="str">
        <x:v>PORTOFOLIO</x:v>
      </x:c>
      <x:c r="N1643" t="str">
        <x:v>REGULER</x:v>
      </x:c>
      <x:c r="O1643" t="str">
        <x:v>SENI/OLAHRAGA</x:v>
      </x:c>
      <x:c r="P1643" t="str">
        <x:v>SENI/OLAHRAGA</x:v>
      </x:c>
      <x:c r="Q1643" s="18" t="n">
        <x:v>0</x:v>
      </x:c>
      <x:c r="R1643" s="18" t="n">
        <x:v>0</x:v>
      </x:c>
      <x:c r="S1643" s="18" t="n">
        <x:v>560.6902413578973</x:v>
      </x:c>
      <x:c r="T1643" s="18" t="n">
        <x:v>652</x:v>
      </x:c>
      <x:c r="U1643" s="18" t="n">
        <x:v>560.6902413578973</x:v>
      </x:c>
      <x:c r="V1643" s="20" t="n">
        <x:v>4.4</x:v>
      </x:c>
      <x:c r="W1643" s="20" t="n">
        <x:v>9.9</x:v>
      </x:c>
      <x:c r="X1643" s="20" t="n">
        <x:v>7.7</x:v>
      </x:c>
      <x:c r="Y1643" t="str">
        <x:v>Basis arsip 2025/2024</x:v>
      </x:c>
      <x:c r="Z1643" t="str">
        <x:v>https://snpmb.id/utbk-snbt/daya-tampung-snbt</x:v>
      </x:c>
      <x:c r="AA1643" t="str">
        <x:v>Seni Rupa, Desain, dan Kriya</x:v>
      </x:c>
      <x:c r="AB1643" t="str">
        <x:v>Campus=55; Ratio=21.8; Prodi=45; RelDemand=50.4; Capacity=73.3</x:v>
      </x:c>
    </x:row>
    <x:row r="1644">
      <x:c r="A1644" t="n">
        <x:v>1641</x:v>
      </x:c>
      <x:c r="B1644" t="str">
        <x:v>PTN Akademik</x:v>
      </x:c>
      <x:c r="C1644" t="str">
        <x:v>ISI SURAKARTA</x:v>
      </x:c>
      <x:c r="D1644" t="str">
        <x:v>DESAIN INTERIOR</x:v>
      </x:c>
      <x:c r="E1644" t="str">
        <x:v>Sarjana</x:v>
      </x:c>
      <x:c r="F1644" s="18" t="n">
        <x:v>48</x:v>
      </x:c>
      <x:c r="G1644" s="18" t="n">
        <x:v>143</x:v>
      </x:c>
      <x:c r="H1644" s="19" t="n">
        <x:v>2.9791666666666665</x:v>
      </x:c>
      <x:c r="I1644" s="18" t="n">
        <x:f>ROUND(MIN(Model_Config_v3!$B$6,MAX(Q1644,R1644,S1644*Model_Config_v3!$B$4+T1644*Model_Config_v3!$B$5)),0)</x:f>
        <x:v>630</x:v>
      </x:c>
      <x:c r="J1644" s="18" t="n">
        <x:f>MIN(Model_Config_v3!$B$6,I1644+Model_Config_v3!$B$7)</x:f>
        <x:v>650</x:v>
      </x:c>
      <x:c r="K1644" s="20" t="n">
        <x:v>47.6</x:v>
      </x:c>
      <x:c r="L1644" t="str">
        <x:v>MENENGAH</x:v>
      </x:c>
      <x:c r="M1644" t="str">
        <x:v>PORTOFOLIO</x:v>
      </x:c>
      <x:c r="N1644" t="str">
        <x:v>REGULER</x:v>
      </x:c>
      <x:c r="O1644" t="str">
        <x:v>SENI/OLAHRAGA</x:v>
      </x:c>
      <x:c r="P1644" t="str">
        <x:v>SENI/OLAHRAGA</x:v>
      </x:c>
      <x:c r="Q1644" s="18" t="n">
        <x:v>0</x:v>
      </x:c>
      <x:c r="R1644" s="18" t="n">
        <x:v>0</x:v>
      </x:c>
      <x:c r="S1644" s="18" t="n">
        <x:v>572.1504280098422</x:v>
      </x:c>
      <x:c r="T1644" s="18" t="n">
        <x:v>655</x:v>
      </x:c>
      <x:c r="U1644" s="18" t="n">
        <x:v>572.1504280098422</x:v>
      </x:c>
      <x:c r="V1644" s="20" t="n">
        <x:v>4.4</x:v>
      </x:c>
      <x:c r="W1644" s="20" t="n">
        <x:v>9.9</x:v>
      </x:c>
      <x:c r="X1644" s="20" t="n">
        <x:v>7.7</x:v>
      </x:c>
      <x:c r="Y1644" t="str">
        <x:v>Basis arsip 2025/2024</x:v>
      </x:c>
      <x:c r="Z1644" t="str">
        <x:v>https://snpmb.id/utbk-snbt/daya-tampung-snbt</x:v>
      </x:c>
      <x:c r="AA1644" t="str">
        <x:v>Seni Rupa, Desain, dan Kriya</x:v>
      </x:c>
      <x:c r="AB1644" t="str">
        <x:v>Campus=55; Ratio=27.9; Prodi=45; RelDemand=64.1; Capacity=60.0</x:v>
      </x:c>
    </x:row>
    <x:row r="1645">
      <x:c r="A1645" t="n">
        <x:v>1642</x:v>
      </x:c>
      <x:c r="B1645" t="str">
        <x:v>PTN Akademik</x:v>
      </x:c>
      <x:c r="C1645" t="str">
        <x:v>ISI SURAKARTA</x:v>
      </x:c>
      <x:c r="D1645" t="str">
        <x:v>DESAIN KOMUNIKASI VISUAL</x:v>
      </x:c>
      <x:c r="E1645" t="str">
        <x:v>Sarjana</x:v>
      </x:c>
      <x:c r="F1645" s="18" t="n">
        <x:v>72</x:v>
      </x:c>
      <x:c r="G1645" s="18" t="n">
        <x:v>617</x:v>
      </x:c>
      <x:c r="H1645" s="19" t="n">
        <x:v>8.569444444444445</x:v>
      </x:c>
      <x:c r="I1645" s="18" t="n">
        <x:f>ROUND(MIN(Model_Config_v3!$B$6,MAX(Q1645,R1645,S1645*Model_Config_v3!$B$4+T1645*Model_Config_v3!$B$5)),0)</x:f>
        <x:v>657</x:v>
      </x:c>
      <x:c r="J1645" s="18" t="n">
        <x:f>MIN(Model_Config_v3!$B$6,I1645+Model_Config_v3!$B$7)</x:f>
        <x:v>677</x:v>
      </x:c>
      <x:c r="K1645" s="20" t="n">
        <x:v>56</x:v>
      </x:c>
      <x:c r="L1645" t="str">
        <x:v>KETAT</x:v>
      </x:c>
      <x:c r="M1645" t="str">
        <x:v>PORTOFOLIO</x:v>
      </x:c>
      <x:c r="N1645" t="str">
        <x:v>REGULER</x:v>
      </x:c>
      <x:c r="O1645" t="str">
        <x:v>SENI/OLAHRAGA</x:v>
      </x:c>
      <x:c r="P1645" t="str">
        <x:v>SENI/OLAHRAGA</x:v>
      </x:c>
      <x:c r="Q1645" s="18" t="n">
        <x:v>0</x:v>
      </x:c>
      <x:c r="R1645" s="18" t="n">
        <x:v>0</x:v>
      </x:c>
      <x:c r="S1645" s="18" t="n">
        <x:v>622.624793436217</x:v>
      </x:c>
      <x:c r="T1645" s="18" t="n">
        <x:v>672</x:v>
      </x:c>
      <x:c r="U1645" s="18" t="n">
        <x:v>622.624793436217</x:v>
      </x:c>
      <x:c r="V1645" s="20" t="n">
        <x:v>4.4</x:v>
      </x:c>
      <x:c r="W1645" s="20" t="n">
        <x:v>9.9</x:v>
      </x:c>
      <x:c r="X1645" s="20" t="n">
        <x:v>7.7</x:v>
      </x:c>
      <x:c r="Y1645" t="str">
        <x:v>Basis arsip 2025/2024</x:v>
      </x:c>
      <x:c r="Z1645" t="str">
        <x:v>https://snpmb.id/utbk-snbt/daya-tampung-snbt</x:v>
      </x:c>
      <x:c r="AA1645" t="str">
        <x:v>Seni Rupa, Desain, dan Kriya</x:v>
      </x:c>
      <x:c r="AB1645" t="str">
        <x:v>Campus=55; Ratio=54.9; Prodi=45; RelDemand=100.0; Capacity=40.0</x:v>
      </x:c>
    </x:row>
    <x:row r="1646">
      <x:c r="A1646" t="n">
        <x:v>1643</x:v>
      </x:c>
      <x:c r="B1646" t="str">
        <x:v>PTN Akademik</x:v>
      </x:c>
      <x:c r="C1646" t="str">
        <x:v>ISI SURAKARTA</x:v>
      </x:c>
      <x:c r="D1646" t="str">
        <x:v>FILM DAN TELEVISI</x:v>
      </x:c>
      <x:c r="E1646" t="str">
        <x:v>Sarjana</x:v>
      </x:c>
      <x:c r="F1646" s="18" t="n">
        <x:v>60</x:v>
      </x:c>
      <x:c r="G1646" s="18" t="n">
        <x:v>315</x:v>
      </x:c>
      <x:c r="H1646" s="19" t="n">
        <x:v>5.25</x:v>
      </x:c>
      <x:c r="I1646" s="18" t="n">
        <x:f>ROUND(MIN(Model_Config_v3!$B$6,MAX(Q1646,R1646,S1646*Model_Config_v3!$B$4+T1646*Model_Config_v3!$B$5)),0)</x:f>
        <x:v>647</x:v>
      </x:c>
      <x:c r="J1646" s="18" t="n">
        <x:f>MIN(Model_Config_v3!$B$6,I1646+Model_Config_v3!$B$7)</x:f>
        <x:v>667</x:v>
      </x:c>
      <x:c r="K1646" s="20" t="n">
        <x:v>53.8</x:v>
      </x:c>
      <x:c r="L1646" t="str">
        <x:v>MENENGAH</x:v>
      </x:c>
      <x:c r="M1646" t="str">
        <x:v>PORTOFOLIO</x:v>
      </x:c>
      <x:c r="N1646" t="str">
        <x:v>REGULER</x:v>
      </x:c>
      <x:c r="O1646" t="str">
        <x:v>SENI/OLAHRAGA</x:v>
      </x:c>
      <x:c r="P1646" t="str">
        <x:v>SENI/OLAHRAGA</x:v>
      </x:c>
      <x:c r="Q1646" s="18" t="n">
        <x:v>0</x:v>
      </x:c>
      <x:c r="R1646" s="18" t="n">
        <x:v>0</x:v>
      </x:c>
      <x:c r="S1646" s="18" t="n">
        <x:v>599.2175233746552</x:v>
      </x:c>
      <x:c r="T1646" s="18" t="n">
        <x:v>668</x:v>
      </x:c>
      <x:c r="U1646" s="18" t="n">
        <x:v>599.2175233746552</x:v>
      </x:c>
      <x:c r="V1646" s="20" t="n">
        <x:v>4.4</x:v>
      </x:c>
      <x:c r="W1646" s="20" t="n">
        <x:v>9.9</x:v>
      </x:c>
      <x:c r="X1646" s="20" t="n">
        <x:v>7.7</x:v>
      </x:c>
      <x:c r="Y1646" t="str">
        <x:v>Basis arsip 2025/2024</x:v>
      </x:c>
      <x:c r="Z1646" t="str">
        <x:v>https://snpmb.id/utbk-snbt/daya-tampung-snbt</x:v>
      </x:c>
      <x:c r="AA1646" t="str">
        <x:v>Film dan Televisi</x:v>
      </x:c>
      <x:c r="AB1646" t="str">
        <x:v>Campus=55; Ratio=42.4; Prodi=45; RelDemand=100.0; Capacity=50.0</x:v>
      </x:c>
    </x:row>
    <x:row r="1647">
      <x:c r="A1647" t="n">
        <x:v>1644</x:v>
      </x:c>
      <x:c r="B1647" t="str">
        <x:v>PTN Akademik</x:v>
      </x:c>
      <x:c r="C1647" t="str">
        <x:v>ISI SURAKARTA</x:v>
      </x:c>
      <x:c r="D1647" t="str">
        <x:v>FOTOGRAFI</x:v>
      </x:c>
      <x:c r="E1647" t="str">
        <x:v>Sarjana</x:v>
      </x:c>
      <x:c r="F1647" s="18" t="n">
        <x:v>48</x:v>
      </x:c>
      <x:c r="G1647" s="18" t="n">
        <x:v>133</x:v>
      </x:c>
      <x:c r="H1647" s="19" t="n">
        <x:v>2.7708333333333335</x:v>
      </x:c>
      <x:c r="I1647" s="18" t="n">
        <x:f>ROUND(MIN(Model_Config_v3!$B$6,MAX(Q1647,R1647,S1647*Model_Config_v3!$B$4+T1647*Model_Config_v3!$B$5)),0)</x:f>
        <x:v>628</x:v>
      </x:c>
      <x:c r="J1647" s="18" t="n">
        <x:f>MIN(Model_Config_v3!$B$6,I1647+Model_Config_v3!$B$7)</x:f>
        <x:v>648</x:v>
      </x:c>
      <x:c r="K1647" s="20" t="n">
        <x:v>46.7</x:v>
      </x:c>
      <x:c r="L1647" t="str">
        <x:v>MENENGAH</x:v>
      </x:c>
      <x:c r="M1647" t="str">
        <x:v>PORTOFOLIO</x:v>
      </x:c>
      <x:c r="N1647" t="str">
        <x:v>REGULER</x:v>
      </x:c>
      <x:c r="O1647" t="str">
        <x:v>SENI/OLAHRAGA</x:v>
      </x:c>
      <x:c r="P1647" t="str">
        <x:v>SENI/OLAHRAGA</x:v>
      </x:c>
      <x:c r="Q1647" s="18" t="n">
        <x:v>0</x:v>
      </x:c>
      <x:c r="R1647" s="18" t="n">
        <x:v>0</x:v>
      </x:c>
      <x:c r="S1647" s="18" t="n">
        <x:v>568.6871443950648</x:v>
      </x:c>
      <x:c r="T1647" s="18" t="n">
        <x:v>653</x:v>
      </x:c>
      <x:c r="U1647" s="18" t="n">
        <x:v>568.6871443950648</x:v>
      </x:c>
      <x:c r="V1647" s="20" t="n">
        <x:v>4.4</x:v>
      </x:c>
      <x:c r="W1647" s="20" t="n">
        <x:v>9.9</x:v>
      </x:c>
      <x:c r="X1647" s="20" t="n">
        <x:v>7.7</x:v>
      </x:c>
      <x:c r="Y1647" t="str">
        <x:v>Basis arsip 2025/2024</x:v>
      </x:c>
      <x:c r="Z1647" t="str">
        <x:v>https://snpmb.id/utbk-snbt/daya-tampung-snbt</x:v>
      </x:c>
      <x:c r="AA1647" t="str">
        <x:v>Fotografi</x:v>
      </x:c>
      <x:c r="AB1647" t="str">
        <x:v>Campus=55; Ratio=26.1; Prodi=45; RelDemand=59.6; Capacity=60.0</x:v>
      </x:c>
    </x:row>
    <x:row r="1648">
      <x:c r="A1648" t="n">
        <x:v>1645</x:v>
      </x:c>
      <x:c r="B1648" t="str">
        <x:v>PTN Akademik</x:v>
      </x:c>
      <x:c r="C1648" t="str">
        <x:v>ISI SURAKARTA</x:v>
      </x:c>
      <x:c r="D1648" t="str">
        <x:v>SENI KARAWITAN</x:v>
      </x:c>
      <x:c r="E1648" t="str">
        <x:v>Sarjana</x:v>
      </x:c>
      <x:c r="F1648" s="18" t="n">
        <x:v>44</x:v>
      </x:c>
      <x:c r="G1648" s="18" t="n">
        <x:v>60</x:v>
      </x:c>
      <x:c r="H1648" s="19" t="n">
        <x:v>1.3636363636363635</x:v>
      </x:c>
      <x:c r="I1648" s="18" t="n">
        <x:f>ROUND(MIN(Model_Config_v3!$B$6,MAX(Q1648,R1648,S1648*Model_Config_v3!$B$4+T1648*Model_Config_v3!$B$5)),0)</x:f>
        <x:v>608</x:v>
      </x:c>
      <x:c r="J1648" s="18" t="n">
        <x:f>MIN(Model_Config_v3!$B$6,I1648+Model_Config_v3!$B$7)</x:f>
        <x:v>628</x:v>
      </x:c>
      <x:c r="K1648" s="20" t="n">
        <x:v>39.5</x:v>
      </x:c>
      <x:c r="L1648" t="str">
        <x:v>RELATIF LONGGAR</x:v>
      </x:c>
      <x:c r="M1648" t="str">
        <x:v>PORTOFOLIO</x:v>
      </x:c>
      <x:c r="N1648" t="str">
        <x:v>REGULER</x:v>
      </x:c>
      <x:c r="O1648" t="str">
        <x:v>SENI/OLAHRAGA</x:v>
      </x:c>
      <x:c r="P1648" t="str">
        <x:v>SENI/OLAHRAGA</x:v>
      </x:c>
      <x:c r="Q1648" s="18" t="n">
        <x:v>0</x:v>
      </x:c>
      <x:c r="R1648" s="18" t="n">
        <x:v>0</x:v>
      </x:c>
      <x:c r="S1648" s="18" t="n">
        <x:v>534.8168431287202</x:v>
      </x:c>
      <x:c r="T1648" s="18" t="n">
        <x:v>639</x:v>
      </x:c>
      <x:c r="U1648" s="18" t="n">
        <x:v>534.8168431287202</x:v>
      </x:c>
      <x:c r="V1648" s="20" t="n">
        <x:v>4.4</x:v>
      </x:c>
      <x:c r="W1648" s="20" t="n">
        <x:v>9.9</x:v>
      </x:c>
      <x:c r="X1648" s="20" t="n">
        <x:v>7.7</x:v>
      </x:c>
      <x:c r="Y1648" t="str">
        <x:v>Basis arsip 2025/2024</x:v>
      </x:c>
      <x:c r="Z1648" t="str">
        <x:v>https://snpmb.id/utbk-snbt/daya-tampung-snbt</x:v>
      </x:c>
      <x:c r="AA1648" t="str">
        <x:v>Seni Karawitan</x:v>
      </x:c>
      <x:c r="AB1648" t="str">
        <x:v>Campus=55; Ratio=7.9; Prodi=45; RelDemand=29.3; Capacity=63.3</x:v>
      </x:c>
    </x:row>
    <x:row r="1649">
      <x:c r="A1649" t="n">
        <x:v>1646</x:v>
      </x:c>
      <x:c r="B1649" t="str">
        <x:v>PTN Akademik</x:v>
      </x:c>
      <x:c r="C1649" t="str">
        <x:v>ISI SURAKARTA</x:v>
      </x:c>
      <x:c r="D1649" t="str">
        <x:v>SENI PEDALANGAN</x:v>
      </x:c>
      <x:c r="E1649" t="str">
        <x:v>Sarjana</x:v>
      </x:c>
      <x:c r="F1649" s="18" t="n">
        <x:v>20</x:v>
      </x:c>
      <x:c r="G1649" s="18" t="n">
        <x:v>21</x:v>
      </x:c>
      <x:c r="H1649" s="19" t="n">
        <x:v>1.05</x:v>
      </x:c>
      <x:c r="I1649" s="18" t="n">
        <x:f>ROUND(MIN(Model_Config_v3!$B$6,MAX(Q1649,R1649,S1649*Model_Config_v3!$B$4+T1649*Model_Config_v3!$B$5)),0)</x:f>
        <x:v>603</x:v>
      </x:c>
      <x:c r="J1649" s="18" t="n">
        <x:f>MIN(Model_Config_v3!$B$6,I1649+Model_Config_v3!$B$7)</x:f>
        <x:v>623</x:v>
      </x:c>
      <x:c r="K1649" s="20" t="n">
        <x:v>39.2</x:v>
      </x:c>
      <x:c r="L1649" t="str">
        <x:v>RELATIF LONGGAR</x:v>
      </x:c>
      <x:c r="M1649" t="str">
        <x:v>PORTOFOLIO</x:v>
      </x:c>
      <x:c r="N1649" t="str">
        <x:v>REGULER</x:v>
      </x:c>
      <x:c r="O1649" t="str">
        <x:v>SENI/OLAHRAGA</x:v>
      </x:c>
      <x:c r="P1649" t="str">
        <x:v>SENI/OLAHRAGA</x:v>
      </x:c>
      <x:c r="Q1649" s="18" t="n">
        <x:v>0</x:v>
      </x:c>
      <x:c r="R1649" s="18" t="n">
        <x:v>0</x:v>
      </x:c>
      <x:c r="S1649" s="18" t="n">
        <x:v>522.3308228976932</x:v>
      </x:c>
      <x:c r="T1649" s="18" t="n">
        <x:v>638</x:v>
      </x:c>
      <x:c r="U1649" s="18" t="n">
        <x:v>522.3308228976932</x:v>
      </x:c>
      <x:c r="V1649" s="20" t="n">
        <x:v>4.4</x:v>
      </x:c>
      <x:c r="W1649" s="20" t="n">
        <x:v>9.9</x:v>
      </x:c>
      <x:c r="X1649" s="20" t="n">
        <x:v>7.7</x:v>
      </x:c>
      <x:c r="Y1649" t="str">
        <x:v>Basis arsip 2025/2024</x:v>
      </x:c>
      <x:c r="Z1649" t="str">
        <x:v>https://snpmb.id/utbk-snbt/daya-tampung-snbt</x:v>
      </x:c>
      <x:c r="AA1649" t="str">
        <x:v>Seni Pedalangan</x:v>
      </x:c>
      <x:c r="AB1649" t="str">
        <x:v>Campus=55; Ratio=1.2; Prodi=45; RelDemand=22.6; Capacity=83.3</x:v>
      </x:c>
    </x:row>
    <x:row r="1650">
      <x:c r="A1650" t="n">
        <x:v>1647</x:v>
      </x:c>
      <x:c r="B1650" t="str">
        <x:v>PTN Akademik</x:v>
      </x:c>
      <x:c r="C1650" t="str">
        <x:v>ISI SURAKARTA</x:v>
      </x:c>
      <x:c r="D1650" t="str">
        <x:v>SENI INTERMEDIA</x:v>
      </x:c>
      <x:c r="E1650" t="str">
        <x:v>Sarjana</x:v>
      </x:c>
      <x:c r="F1650" s="18" t="n">
        <x:v>10</x:v>
      </x:c>
      <x:c r="G1650" s="18" t="n">
        <x:v>5</x:v>
      </x:c>
      <x:c r="H1650" s="19" t="n">
        <x:v>0.5</x:v>
      </x:c>
      <x:c r="I1650" s="18" t="n">
        <x:f>ROUND(MIN(Model_Config_v3!$B$6,MAX(Q1650,R1650,S1650*Model_Config_v3!$B$4+T1650*Model_Config_v3!$B$5)),0)</x:f>
        <x:v>601</x:v>
      </x:c>
      <x:c r="J1650" s="18" t="n">
        <x:f>MIN(Model_Config_v3!$B$6,I1650+Model_Config_v3!$B$7)</x:f>
        <x:v>621</x:v>
      </x:c>
      <x:c r="K1650" s="20" t="n">
        <x:v>37.5</x:v>
      </x:c>
      <x:c r="L1650" t="str">
        <x:v>RELATIF LONGGAR</x:v>
      </x:c>
      <x:c r="M1650" t="str">
        <x:v>SEDANG</x:v>
      </x:c>
      <x:c r="N1650" t="str">
        <x:v>REGULER</x:v>
      </x:c>
      <x:c r="O1650" t="str">
        <x:v>CAMPURAN</x:v>
      </x:c>
      <x:c r="P1650" t="str">
        <x:v>UMUM</x:v>
      </x:c>
      <x:c r="Q1650" s="18" t="n">
        <x:v>0</x:v>
      </x:c>
      <x:c r="R1650" s="18" t="n">
        <x:v>0</x:v>
      </x:c>
      <x:c r="S1650" s="18" t="n">
        <x:v>520</x:v>
      </x:c>
      <x:c r="T1650" s="18" t="n">
        <x:v>635</x:v>
      </x:c>
      <x:c r="U1650" s="18" t="n">
        <x:v>520</x:v>
      </x:c>
      <x:c r="V1650" s="20" t="n">
        <x:v>8.8</x:v>
      </x:c>
      <x:c r="W1650" s="20" t="n">
        <x:v>9.9</x:v>
      </x:c>
      <x:c r="X1650" s="20" t="n">
        <x:v>3.3</x:v>
      </x:c>
      <x:c r="Y1650" t="str">
        <x:v>Basis arsip 2025/2024</x:v>
      </x:c>
      <x:c r="Z1650" t="str">
        <x:v>https://snpmb.id/utbk-snbt/daya-tampung-snbt</x:v>
      </x:c>
      <x:c r="AA1650" t="str">
        <x:v>Tidak Ada</x:v>
      </x:c>
      <x:c r="AB1650" t="str">
        <x:v>Campus=55; Ratio=0.0; Prodi=40; RelDemand=10.8; Capacity=91.7</x:v>
      </x:c>
    </x:row>
    <x:row r="1651">
      <x:c r="A1651" t="n">
        <x:v>1648</x:v>
      </x:c>
      <x:c r="B1651" t="str">
        <x:v>PTN Akademik</x:v>
      </x:c>
      <x:c r="C1651" t="str">
        <x:v>ISI SURAKARTA</x:v>
      </x:c>
      <x:c r="D1651" t="str">
        <x:v>KOREOGRAFI INKUIRI</x:v>
      </x:c>
      <x:c r="E1651" t="str">
        <x:v>Sarjana</x:v>
      </x:c>
      <x:c r="F1651" s="18" t="n">
        <x:v>10</x:v>
      </x:c>
      <x:c r="G1651" s="18" t="n">
        <x:v>8</x:v>
      </x:c>
      <x:c r="H1651" s="19" t="n">
        <x:v>0.8</x:v>
      </x:c>
      <x:c r="I1651" s="18" t="n">
        <x:f>ROUND(MIN(Model_Config_v3!$B$6,MAX(Q1651,R1651,S1651*Model_Config_v3!$B$4+T1651*Model_Config_v3!$B$5)),0)</x:f>
        <x:v>601</x:v>
      </x:c>
      <x:c r="J1651" s="18" t="n">
        <x:f>MIN(Model_Config_v3!$B$6,I1651+Model_Config_v3!$B$7)</x:f>
        <x:v>621</x:v>
      </x:c>
      <x:c r="K1651" s="20" t="n">
        <x:v>38.1</x:v>
      </x:c>
      <x:c r="L1651" t="str">
        <x:v>RELATIF LONGGAR</x:v>
      </x:c>
      <x:c r="M1651" t="str">
        <x:v>SEDANG</x:v>
      </x:c>
      <x:c r="N1651" t="str">
        <x:v>REGULER</x:v>
      </x:c>
      <x:c r="O1651" t="str">
        <x:v>CAMPURAN</x:v>
      </x:c>
      <x:c r="P1651" t="str">
        <x:v>UMUM</x:v>
      </x:c>
      <x:c r="Q1651" s="18" t="n">
        <x:v>0</x:v>
      </x:c>
      <x:c r="R1651" s="18" t="n">
        <x:v>0</x:v>
      </x:c>
      <x:c r="S1651" s="18" t="n">
        <x:v>520</x:v>
      </x:c>
      <x:c r="T1651" s="18" t="n">
        <x:v>636</x:v>
      </x:c>
      <x:c r="U1651" s="18" t="n">
        <x:v>520</x:v>
      </x:c>
      <x:c r="V1651" s="20" t="n">
        <x:v>8.8</x:v>
      </x:c>
      <x:c r="W1651" s="20" t="n">
        <x:v>9.9</x:v>
      </x:c>
      <x:c r="X1651" s="20" t="n">
        <x:v>3.3</x:v>
      </x:c>
      <x:c r="Y1651" t="str">
        <x:v>Basis arsip 2025/2024</x:v>
      </x:c>
      <x:c r="Z1651" t="str">
        <x:v>https://snpmb.id/utbk-snbt/daya-tampung-snbt</x:v>
      </x:c>
      <x:c r="AA1651" t="str">
        <x:v>Tidak Ada</x:v>
      </x:c>
      <x:c r="AB1651" t="str">
        <x:v>Campus=55; Ratio=0.0; Prodi=40; RelDemand=17.2; Capacity=91.7</x:v>
      </x:c>
    </x:row>
    <x:row r="1652">
      <x:c r="A1652" t="n">
        <x:v>1649</x:v>
      </x:c>
      <x:c r="B1652" t="str">
        <x:v>PTN Akademik</x:v>
      </x:c>
      <x:c r="C1652" t="str">
        <x:v>ISI SURAKARTA</x:v>
      </x:c>
      <x:c r="D1652" t="str">
        <x:v>DESAIN PRODUK INDUSTRI</x:v>
      </x:c>
      <x:c r="E1652" t="str">
        <x:v>Sarjana</x:v>
      </x:c>
      <x:c r="F1652" s="18" t="n">
        <x:v>12</x:v>
      </x:c>
      <x:c r="G1652" s="18" t="n">
        <x:v>29</x:v>
      </x:c>
      <x:c r="H1652" s="19" t="n">
        <x:v>2.4166666666666665</x:v>
      </x:c>
      <x:c r="I1652" s="18" t="n">
        <x:f>ROUND(MIN(Model_Config_v3!$B$6,MAX(Q1652,R1652,S1652*Model_Config_v3!$B$4+T1652*Model_Config_v3!$B$5)),0)</x:f>
        <x:v>628</x:v>
      </x:c>
      <x:c r="J1652" s="18" t="n">
        <x:f>MIN(Model_Config_v3!$B$6,I1652+Model_Config_v3!$B$7)</x:f>
        <x:v>648</x:v>
      </x:c>
      <x:c r="K1652" s="20" t="n">
        <x:v>48.1</x:v>
      </x:c>
      <x:c r="L1652" t="str">
        <x:v>MENENGAH</x:v>
      </x:c>
      <x:c r="M1652" t="str">
        <x:v>PORTOFOLIO</x:v>
      </x:c>
      <x:c r="N1652" t="str">
        <x:v>REGULER</x:v>
      </x:c>
      <x:c r="O1652" t="str">
        <x:v>SENI/OLAHRAGA</x:v>
      </x:c>
      <x:c r="P1652" t="str">
        <x:v>SENI/OLAHRAGA</x:v>
      </x:c>
      <x:c r="Q1652" s="18" t="n">
        <x:v>0</x:v>
      </x:c>
      <x:c r="R1652" s="18" t="n">
        <x:v>0</x:v>
      </x:c>
      <x:c r="S1652" s="18" t="n">
        <x:v>562.1538427036464</x:v>
      </x:c>
      <x:c r="T1652" s="18" t="n">
        <x:v>656</x:v>
      </x:c>
      <x:c r="U1652" s="18" t="n">
        <x:v>562.1538427036464</x:v>
      </x:c>
      <x:c r="V1652" s="20" t="n">
        <x:v>4.4</x:v>
      </x:c>
      <x:c r="W1652" s="20" t="n">
        <x:v>9.9</x:v>
      </x:c>
      <x:c r="X1652" s="20" t="n">
        <x:v>7.7</x:v>
      </x:c>
      <x:c r="Y1652" t="str">
        <x:v>Basis arsip 2025/2024</x:v>
      </x:c>
      <x:c r="Z1652" t="str">
        <x:v>https://snpmb.id/utbk-snbt/daya-tampung-snbt</x:v>
      </x:c>
      <x:c r="AA1652" t="str">
        <x:v>Seni Rupa, Desain, dan Kriya</x:v>
      </x:c>
      <x:c r="AB1652" t="str">
        <x:v>Campus=55; Ratio=22.6; Prodi=45; RelDemand=52.0; Capacity=90.0</x:v>
      </x:c>
    </x:row>
    <x:row r="1653">
      <x:c r="A1653" t="n">
        <x:v>1650</x:v>
      </x:c>
      <x:c r="B1653" t="str">
        <x:v>PTN Akademik</x:v>
      </x:c>
      <x:c r="C1653" t="str">
        <x:v>ISI SURAKARTA</x:v>
      </x:c>
      <x:c r="D1653" t="str">
        <x:v>ARSITEKTUR</x:v>
      </x:c>
      <x:c r="E1653" t="str">
        <x:v>Sarjana</x:v>
      </x:c>
      <x:c r="F1653" s="18" t="n">
        <x:v>10</x:v>
      </x:c>
      <x:c r="G1653" s="18"/>
      <x:c r="H1653" s="19" t="n">
        <x:v>0</x:v>
      </x:c>
      <x:c r="I1653" s="18" t="n">
        <x:f>ROUND(MIN(Model_Config_v3!$B$6,MAX(Q1653,R1653,S1653*Model_Config_v3!$B$4+T1653*Model_Config_v3!$B$5)),0)</x:f>
        <x:v>605</x:v>
      </x:c>
      <x:c r="J1653" s="18" t="n">
        <x:f>MIN(Model_Config_v3!$B$6,I1653+Model_Config_v3!$B$7)</x:f>
        <x:v>625</x:v>
      </x:c>
      <x:c r="K1653" s="20" t="n">
        <x:v>40.4</x:v>
      </x:c>
      <x:c r="L1653" t="str">
        <x:v>RELATIF LONGGAR</x:v>
      </x:c>
      <x:c r="M1653" t="str">
        <x:v>RENDAH</x:v>
      </x:c>
      <x:c r="N1653" t="str">
        <x:v>REGULER</x:v>
      </x:c>
      <x:c r="O1653" t="str">
        <x:v>SAINTEK</x:v>
      </x:c>
      <x:c r="P1653" t="str">
        <x:v>TEKNIK/ARSITEKTUR/STATISTIKA/AKTUARIA</x:v>
      </x:c>
      <x:c r="Q1653" s="18" t="n">
        <x:v>0</x:v>
      </x:c>
      <x:c r="R1653" s="18" t="n">
        <x:v>0</x:v>
      </x:c>
      <x:c r="S1653" s="18" t="n">
        <x:v>520</x:v>
      </x:c>
      <x:c r="T1653" s="18" t="n">
        <x:v>641</x:v>
      </x:c>
      <x:c r="U1653" s="18" t="n">
        <x:v>520</x:v>
      </x:c>
      <x:c r="V1653" s="20" t="n">
        <x:v>12</x:v>
      </x:c>
      <x:c r="W1653" s="20" t="n">
        <x:v>5</x:v>
      </x:c>
      <x:c r="X1653" s="20" t="n">
        <x:v>3</x:v>
      </x:c>
      <x:c r="Y1653" t="str">
        <x:v>Basis arsip 2025/2024</x:v>
      </x:c>
      <x:c r="Z1653" t="str">
        <x:v>https://snpmb.id/utbk-snbt/daya-tampung-snbt</x:v>
      </x:c>
      <x:c r="AA1653" t="str">
        <x:v>Tidak Ada</x:v>
      </x:c>
      <x:c r="AB1653" t="str">
        <x:v>Campus=55; Ratio=0.0; Prodi=60; RelDemand=0.0; Capacity=91.7</x:v>
      </x:c>
    </x:row>
    <x:row r="1654">
      <x:c r="A1654" t="n">
        <x:v>1651</x:v>
      </x:c>
      <x:c r="B1654" t="str">
        <x:v>PTN Akademik</x:v>
      </x:c>
      <x:c r="C1654" t="str">
        <x:v>ISI SURAKARTA</x:v>
      </x:c>
      <x:c r="D1654" t="str">
        <x:v>SENJATA TRADISIONAL KERIS</x:v>
      </x:c>
      <x:c r="E1654" t="str">
        <x:v>Sarjana Terapan</x:v>
      </x:c>
      <x:c r="F1654" s="18" t="n">
        <x:v>10</x:v>
      </x:c>
      <x:c r="G1654" s="18" t="n">
        <x:v>6</x:v>
      </x:c>
      <x:c r="H1654" s="19" t="n">
        <x:v>0.6</x:v>
      </x:c>
      <x:c r="I1654" s="18" t="n">
        <x:f>ROUND(MIN(Model_Config_v3!$B$6,MAX(Q1654,R1654,S1654*Model_Config_v3!$B$4+T1654*Model_Config_v3!$B$5)),0)</x:f>
        <x:v>602</x:v>
      </x:c>
      <x:c r="J1654" s="18" t="n">
        <x:f>MIN(Model_Config_v3!$B$6,I1654+Model_Config_v3!$B$7)</x:f>
        <x:v>622</x:v>
      </x:c>
      <x:c r="K1654" s="20" t="n">
        <x:v>38.7</x:v>
      </x:c>
      <x:c r="L1654" t="str">
        <x:v>RELATIF LONGGAR</x:v>
      </x:c>
      <x:c r="M1654" t="str">
        <x:v>PORTOFOLIO</x:v>
      </x:c>
      <x:c r="N1654" t="str">
        <x:v>REGULER</x:v>
      </x:c>
      <x:c r="O1654" t="str">
        <x:v>SENI/OLAHRAGA</x:v>
      </x:c>
      <x:c r="P1654" t="str">
        <x:v>SENI/OLAHRAGA</x:v>
      </x:c>
      <x:c r="Q1654" s="18" t="n">
        <x:v>0</x:v>
      </x:c>
      <x:c r="R1654" s="18" t="n">
        <x:v>0</x:v>
      </x:c>
      <x:c r="S1654" s="18" t="n">
        <x:v>520</x:v>
      </x:c>
      <x:c r="T1654" s="18" t="n">
        <x:v>637</x:v>
      </x:c>
      <x:c r="U1654" s="18" t="n">
        <x:v>520</x:v>
      </x:c>
      <x:c r="V1654" s="20" t="n">
        <x:v>4.4</x:v>
      </x:c>
      <x:c r="W1654" s="20" t="n">
        <x:v>9.9</x:v>
      </x:c>
      <x:c r="X1654" s="20" t="n">
        <x:v>7.7</x:v>
      </x:c>
      <x:c r="Y1654" t="str">
        <x:v>Basis arsip 2025/2024</x:v>
      </x:c>
      <x:c r="Z1654" t="str">
        <x:v>https://snpmb.id/utbk-snbt/daya-tampung-snbt</x:v>
      </x:c>
      <x:c r="AA1654" t="str">
        <x:v>Seni Rupa, Desain, dan Kriya</x:v>
      </x:c>
      <x:c r="AB1654" t="str">
        <x:v>Campus=55; Ratio=0.0; Prodi=45; RelDemand=12.9; Capacity=91.7</x:v>
      </x:c>
    </x:row>
    <x:row r="1655">
      <x:c r="A1655" t="n">
        <x:v>1652</x:v>
      </x:c>
      <x:c r="B1655" t="str">
        <x:v>PTN Akademik</x:v>
      </x:c>
      <x:c r="C1655" t="str">
        <x:v>ISI SURAKARTA</x:v>
      </x:c>
      <x:c r="D1655" t="str">
        <x:v>DESAIN MODE BATIK</x:v>
      </x:c>
      <x:c r="E1655" t="str">
        <x:v>Sarjana Terapan</x:v>
      </x:c>
      <x:c r="F1655" s="18" t="n">
        <x:v>36</x:v>
      </x:c>
      <x:c r="G1655" s="18" t="n">
        <x:v>38</x:v>
      </x:c>
      <x:c r="H1655" s="19" t="n">
        <x:v>1.0555555555555556</x:v>
      </x:c>
      <x:c r="I1655" s="18" t="n">
        <x:f>ROUND(MIN(Model_Config_v3!$B$6,MAX(Q1655,R1655,S1655*Model_Config_v3!$B$4+T1655*Model_Config_v3!$B$5)),0)</x:f>
        <x:v>602</x:v>
      </x:c>
      <x:c r="J1655" s="18" t="n">
        <x:f>MIN(Model_Config_v3!$B$6,I1655+Model_Config_v3!$B$7)</x:f>
        <x:v>622</x:v>
      </x:c>
      <x:c r="K1655" s="20" t="n">
        <x:v>37.9</x:v>
      </x:c>
      <x:c r="L1655" t="str">
        <x:v>RELATIF LONGGAR</x:v>
      </x:c>
      <x:c r="M1655" t="str">
        <x:v>PORTOFOLIO</x:v>
      </x:c>
      <x:c r="N1655" t="str">
        <x:v>REGULER</x:v>
      </x:c>
      <x:c r="O1655" t="str">
        <x:v>SENI/OLAHRAGA</x:v>
      </x:c>
      <x:c r="P1655" t="str">
        <x:v>SENI/OLAHRAGA</x:v>
      </x:c>
      <x:c r="Q1655" s="18" t="n">
        <x:v>0</x:v>
      </x:c>
      <x:c r="R1655" s="18" t="n">
        <x:v>0</x:v>
      </x:c>
      <x:c r="S1655" s="18" t="n">
        <x:v>522.5829205434475</x:v>
      </x:c>
      <x:c r="T1655" s="18" t="n">
        <x:v>636</x:v>
      </x:c>
      <x:c r="U1655" s="18" t="n">
        <x:v>522.5829205434475</x:v>
      </x:c>
      <x:c r="V1655" s="20" t="n">
        <x:v>4.4</x:v>
      </x:c>
      <x:c r="W1655" s="20" t="n">
        <x:v>9.9</x:v>
      </x:c>
      <x:c r="X1655" s="20" t="n">
        <x:v>7.7</x:v>
      </x:c>
      <x:c r="Y1655" t="str">
        <x:v>Basis arsip 2025/2024</x:v>
      </x:c>
      <x:c r="Z1655" t="str">
        <x:v>https://snpmb.id/utbk-snbt/daya-tampung-snbt</x:v>
      </x:c>
      <x:c r="AA1655" t="str">
        <x:v>Seni Rupa, Desain, dan Kriya</x:v>
      </x:c>
      <x:c r="AB1655" t="str">
        <x:v>Campus=55; Ratio=1.4; Prodi=45; RelDemand=22.7; Capacity=70.0</x:v>
      </x:c>
    </x:row>
    <x:row r="1656">
      <x:c r="A1656" t="n">
        <x:v>1653</x:v>
      </x:c>
      <x:c r="B1656" t="str">
        <x:v>PTN Akademik</x:v>
      </x:c>
      <x:c r="C1656" t="str">
        <x:v>ISI SURAKARTA</x:v>
      </x:c>
      <x:c r="D1656" t="str">
        <x:v>ANIMASI</x:v>
      </x:c>
      <x:c r="E1656" t="str">
        <x:v>Sarjana Terapan</x:v>
      </x:c>
      <x:c r="F1656" s="18" t="n">
        <x:v>16</x:v>
      </x:c>
      <x:c r="G1656" s="18" t="n">
        <x:v>188</x:v>
      </x:c>
      <x:c r="H1656" s="19" t="n">
        <x:v>11.75</x:v>
      </x:c>
      <x:c r="I1656" s="18" t="n">
        <x:f>ROUND(MIN(Model_Config_v3!$B$6,MAX(Q1656,R1656,S1656*Model_Config_v3!$B$4+T1656*Model_Config_v3!$B$5)),0)</x:f>
        <x:v>671</x:v>
      </x:c>
      <x:c r="J1656" s="18" t="n">
        <x:f>MIN(Model_Config_v3!$B$6,I1656+Model_Config_v3!$B$7)</x:f>
        <x:v>691</x:v>
      </x:c>
      <x:c r="K1656" s="20" t="n">
        <x:v>62.7</x:v>
      </x:c>
      <x:c r="L1656" t="str">
        <x:v>KETAT</x:v>
      </x:c>
      <x:c r="M1656" t="str">
        <x:v>PORTOFOLIO</x:v>
      </x:c>
      <x:c r="N1656" t="str">
        <x:v>REGULER</x:v>
      </x:c>
      <x:c r="O1656" t="str">
        <x:v>SENI/OLAHRAGA</x:v>
      </x:c>
      <x:c r="P1656" t="str">
        <x:v>SENI/OLAHRAGA</x:v>
      </x:c>
      <x:c r="Q1656" s="18" t="n">
        <x:v>0</x:v>
      </x:c>
      <x:c r="R1656" s="18" t="n">
        <x:v>0</x:v>
      </x:c>
      <x:c r="S1656" s="18" t="n">
        <x:v>637.7041653268531</x:v>
      </x:c>
      <x:c r="T1656" s="18" t="n">
        <x:v>685</x:v>
      </x:c>
      <x:c r="U1656" s="18" t="n">
        <x:v>637.7041653268531</x:v>
      </x:c>
      <x:c r="V1656" s="20" t="n">
        <x:v>4.4</x:v>
      </x:c>
      <x:c r="W1656" s="20" t="n">
        <x:v>9.9</x:v>
      </x:c>
      <x:c r="X1656" s="20" t="n">
        <x:v>7.7</x:v>
      </x:c>
      <x:c r="Y1656" t="str">
        <x:v>Basis arsip 2025/2024</x:v>
      </x:c>
      <x:c r="Z1656" t="str">
        <x:v>https://snpmb.id/utbk-snbt/daya-tampung-snbt</x:v>
      </x:c>
      <x:c r="AA1656" t="str">
        <x:v>Seni Rupa, Desain, dan Kriya</x:v>
      </x:c>
      <x:c r="AB1656" t="str">
        <x:v>Campus=55; Ratio=63.0; Prodi=45; RelDemand=100.0; Capacity=86.7</x:v>
      </x:c>
    </x:row>
    <x:row r="1657">
      <x:c r="A1657" t="n">
        <x:v>1654</x:v>
      </x:c>
      <x:c r="B1657" t="str">
        <x:v>PTN Akademik</x:v>
      </x:c>
      <x:c r="C1657" t="str">
        <x:v>ISI SURAKARTA</x:v>
      </x:c>
      <x:c r="D1657" t="str">
        <x:v>TATA KELOLA SENI</x:v>
      </x:c>
      <x:c r="E1657" t="str">
        <x:v>Sarjana Terapan</x:v>
      </x:c>
      <x:c r="F1657" s="18" t="n">
        <x:v>10</x:v>
      </x:c>
      <x:c r="G1657" s="18"/>
      <x:c r="H1657" s="19" t="n">
        <x:v>0</x:v>
      </x:c>
      <x:c r="I1657" s="18" t="n">
        <x:f>ROUND(MIN(Model_Config_v3!$B$6,MAX(Q1657,R1657,S1657*Model_Config_v3!$B$4+T1657*Model_Config_v3!$B$5)),0)</x:f>
        <x:v>599</x:v>
      </x:c>
      <x:c r="J1657" s="18" t="n">
        <x:f>MIN(Model_Config_v3!$B$6,I1657+Model_Config_v3!$B$7)</x:f>
        <x:v>619</x:v>
      </x:c>
      <x:c r="K1657" s="20" t="n">
        <x:v>36.4</x:v>
      </x:c>
      <x:c r="L1657" t="str">
        <x:v>RELATIF LONGGAR</x:v>
      </x:c>
      <x:c r="M1657" t="str">
        <x:v>RENDAH</x:v>
      </x:c>
      <x:c r="N1657" t="str">
        <x:v>REGULER</x:v>
      </x:c>
      <x:c r="O1657" t="str">
        <x:v>CAMPURAN</x:v>
      </x:c>
      <x:c r="P1657" t="str">
        <x:v>UMUM</x:v>
      </x:c>
      <x:c r="Q1657" s="18" t="n">
        <x:v>0</x:v>
      </x:c>
      <x:c r="R1657" s="18" t="n">
        <x:v>0</x:v>
      </x:c>
      <x:c r="S1657" s="18" t="n">
        <x:v>520</x:v>
      </x:c>
      <x:c r="T1657" s="18" t="n">
        <x:v>633</x:v>
      </x:c>
      <x:c r="U1657" s="18" t="n">
        <x:v>520</x:v>
      </x:c>
      <x:c r="V1657" s="20" t="n">
        <x:v>8.8</x:v>
      </x:c>
      <x:c r="W1657" s="20" t="n">
        <x:v>9.9</x:v>
      </x:c>
      <x:c r="X1657" s="20" t="n">
        <x:v>3.3</x:v>
      </x:c>
      <x:c r="Y1657" t="str">
        <x:v>Basis arsip 2025/2024</x:v>
      </x:c>
      <x:c r="Z1657" t="str">
        <x:v>https://snpmb.id/utbk-snbt/daya-tampung-snbt</x:v>
      </x:c>
      <x:c r="AA1657" t="str">
        <x:v>Tidak Ada</x:v>
      </x:c>
      <x:c r="AB1657" t="str">
        <x:v>Campus=55; Ratio=0.0; Prodi=40; RelDemand=0.0; Capacity=91.7</x:v>
      </x:c>
    </x:row>
    <x:row r="1658">
      <x:c r="A1658" t="n">
        <x:v>1655</x:v>
      </x:c>
      <x:c r="B1658" t="str">
        <x:v>PTN Akademik</x:v>
      </x:c>
      <x:c r="C1658" t="str">
        <x:v>ISI SURAKARTA</x:v>
      </x:c>
      <x:c r="D1658" t="str">
        <x:v>DESTINASI PARIWISATA</x:v>
      </x:c>
      <x:c r="E1658" t="str">
        <x:v>Sarjana Terapan</x:v>
      </x:c>
      <x:c r="F1658" s="18" t="n">
        <x:v>10</x:v>
      </x:c>
      <x:c r="G1658" s="18"/>
      <x:c r="H1658" s="19" t="n">
        <x:v>0</x:v>
      </x:c>
      <x:c r="I1658" s="18" t="n">
        <x:f>ROUND(MIN(Model_Config_v3!$B$6,MAX(Q1658,R1658,S1658*Model_Config_v3!$B$4+T1658*Model_Config_v3!$B$5)),0)</x:f>
        <x:v>601</x:v>
      </x:c>
      <x:c r="J1658" s="18" t="n">
        <x:f>MIN(Model_Config_v3!$B$6,I1658+Model_Config_v3!$B$7)</x:f>
        <x:v>621</x:v>
      </x:c>
      <x:c r="K1658" s="20" t="n">
        <x:v>37.4</x:v>
      </x:c>
      <x:c r="L1658" t="str">
        <x:v>RELATIF LONGGAR</x:v>
      </x:c>
      <x:c r="M1658" t="str">
        <x:v>PORTOFOLIO</x:v>
      </x:c>
      <x:c r="N1658" t="str">
        <x:v>REGULER</x:v>
      </x:c>
      <x:c r="O1658" t="str">
        <x:v>SENI/OLAHRAGA</x:v>
      </x:c>
      <x:c r="P1658" t="str">
        <x:v>SENI/OLAHRAGA</x:v>
      </x:c>
      <x:c r="Q1658" s="18" t="n">
        <x:v>0</x:v>
      </x:c>
      <x:c r="R1658" s="18" t="n">
        <x:v>0</x:v>
      </x:c>
      <x:c r="S1658" s="18" t="n">
        <x:v>520</x:v>
      </x:c>
      <x:c r="T1658" s="18" t="n">
        <x:v>635</x:v>
      </x:c>
      <x:c r="U1658" s="18" t="n">
        <x:v>520</x:v>
      </x:c>
      <x:c r="V1658" s="20" t="n">
        <x:v>4.4</x:v>
      </x:c>
      <x:c r="W1658" s="20" t="n">
        <x:v>9.9</x:v>
      </x:c>
      <x:c r="X1658" s="20" t="n">
        <x:v>7.7</x:v>
      </x:c>
      <x:c r="Y1658" t="str">
        <x:v>Basis arsip 2025/2024</x:v>
      </x:c>
      <x:c r="Z1658" t="str">
        <x:v>https://snpmb.id/utbk-snbt/daya-tampung-snbt</x:v>
      </x:c>
      <x:c r="AA1658" t="str">
        <x:v>Seni Rupa, Desain, dan Kriya</x:v>
      </x:c>
      <x:c r="AB1658" t="str">
        <x:v>Campus=55; Ratio=0.0; Prodi=45; RelDemand=0.0; Capacity=91.7</x:v>
      </x:c>
    </x:row>
    <x:row r="1659">
      <x:c r="A1659" t="n">
        <x:v>1656</x:v>
      </x:c>
      <x:c r="B1659" t="str">
        <x:v>PTN Akademik</x:v>
      </x:c>
      <x:c r="C1659" t="str">
        <x:v>UNIVERSITAS DIPONEGORO</x:v>
      </x:c>
      <x:c r="D1659" t="str">
        <x:v>KESEHATAN MASYARAKAT</x:v>
      </x:c>
      <x:c r="E1659" t="str">
        <x:v>Sarjana</x:v>
      </x:c>
      <x:c r="F1659" s="18" t="n">
        <x:v>123</x:v>
      </x:c>
      <x:c r="G1659" s="18" t="n">
        <x:v>2346</x:v>
      </x:c>
      <x:c r="H1659" s="19" t="n">
        <x:v>19.073170731707318</x:v>
      </x:c>
      <x:c r="I1659" s="18" t="n">
        <x:f>ROUND(MIN(Model_Config_v3!$B$6,MAX(Q1659,R1659,S1659*Model_Config_v3!$B$4+T1659*Model_Config_v3!$B$5)),0)</x:f>
        <x:v>683</x:v>
      </x:c>
      <x:c r="J1659" s="18" t="n">
        <x:f>MIN(Model_Config_v3!$B$6,I1659+Model_Config_v3!$B$7)</x:f>
        <x:v>703</x:v>
      </x:c>
      <x:c r="K1659" s="20" t="n">
        <x:v>66.4</x:v>
      </x:c>
      <x:c r="L1659" t="str">
        <x:v>SANGAT KETAT</x:v>
      </x:c>
      <x:c r="M1659" t="str">
        <x:v>SEDANG+</x:v>
      </x:c>
      <x:c r="N1659" t="str">
        <x:v>ELITE-2</x:v>
      </x:c>
      <x:c r="O1659" t="str">
        <x:v>SAINTEK</x:v>
      </x:c>
      <x:c r="P1659" t="str">
        <x:v>KESEHAT/GIZI/KEPERAWATAN</x:v>
      </x:c>
      <x:c r="Q1659" s="18" t="n">
        <x:v>650</x:v>
      </x:c>
      <x:c r="R1659" s="18" t="n">
        <x:v>660</x:v>
      </x:c>
      <x:c r="S1659" s="18" t="n">
        <x:v>660.8465185974123</x:v>
      </x:c>
      <x:c r="T1659" s="18" t="n">
        <x:v>693</x:v>
      </x:c>
      <x:c r="U1659" s="18" t="n">
        <x:v>660.8465185974123</x:v>
      </x:c>
      <x:c r="V1659" s="20" t="n">
        <x:v>12</x:v>
      </x:c>
      <x:c r="W1659" s="20" t="n">
        <x:v>5</x:v>
      </x:c>
      <x:c r="X1659" s="20" t="n">
        <x:v>3</x:v>
      </x:c>
      <x:c r="Y1659" t="str">
        <x:v>Basis arsip 2025/2024</x:v>
      </x:c>
      <x:c r="Z1659" t="str">
        <x:v>https://snpmb.id/utbk-snbt/daya-tampung-snbt</x:v>
      </x:c>
      <x:c r="AA1659" t="str">
        <x:v>Tidak Ada</x:v>
      </x:c>
      <x:c r="AB1659" t="str">
        <x:v>Campus=90; Ratio=75.4; Prodi=55; RelDemand=50.9; Capacity=0.0</x:v>
      </x:c>
    </x:row>
    <x:row r="1660">
      <x:c r="A1660" t="n">
        <x:v>1657</x:v>
      </x:c>
      <x:c r="B1660" t="str">
        <x:v>PTN Akademik</x:v>
      </x:c>
      <x:c r="C1660" t="str">
        <x:v>UNIVERSITAS DIPONEGORO</x:v>
      </x:c>
      <x:c r="D1660" t="str">
        <x:v>KEDOKTERAN</x:v>
      </x:c>
      <x:c r="E1660" t="str">
        <x:v>Sarjana</x:v>
      </x:c>
      <x:c r="F1660" s="18" t="n">
        <x:v>90</x:v>
      </x:c>
      <x:c r="G1660" s="18" t="n">
        <x:v>3243</x:v>
      </x:c>
      <x:c r="H1660" s="19" t="n">
        <x:v>36.03333333333333</x:v>
      </x:c>
      <x:c r="I1660" s="18" t="n">
        <x:f>ROUND(MIN(Model_Config_v3!$B$6,MAX(Q1660,R1660,S1660*Model_Config_v3!$B$4+T1660*Model_Config_v3!$B$5)),0)</x:f>
        <x:v>725</x:v>
      </x:c>
      <x:c r="J1660" s="18" t="n">
        <x:f>MIN(Model_Config_v3!$B$6,I1660+Model_Config_v3!$B$7)</x:f>
        <x:v>745</x:v>
      </x:c>
      <x:c r="K1660" s="20" t="n">
        <x:v>86.5</x:v>
      </x:c>
      <x:c r="L1660" t="str">
        <x:v>ULTRA ELITE</x:v>
      </x:c>
      <x:c r="M1660" t="str">
        <x:v>SEDANG+</x:v>
      </x:c>
      <x:c r="N1660" t="str">
        <x:v>ELITE-2</x:v>
      </x:c>
      <x:c r="O1660" t="str">
        <x:v>SAINTEK</x:v>
      </x:c>
      <x:c r="P1660" t="str">
        <x:v>KEDOKTERAN</x:v>
      </x:c>
      <x:c r="Q1660" s="18" t="n">
        <x:v>650</x:v>
      </x:c>
      <x:c r="R1660" s="18" t="n">
        <x:v>725</x:v>
      </x:c>
      <x:c r="S1660" s="18" t="n">
        <x:v>691.2374883157013</x:v>
      </x:c>
      <x:c r="T1660" s="18" t="n">
        <x:v>733</x:v>
      </x:c>
      <x:c r="U1660" s="18" t="n">
        <x:v>731.2374883157013</x:v>
      </x:c>
      <x:c r="V1660" s="20" t="n">
        <x:v>12</x:v>
      </x:c>
      <x:c r="W1660" s="20" t="n">
        <x:v>5</x:v>
      </x:c>
      <x:c r="X1660" s="20" t="n">
        <x:v>3</x:v>
      </x:c>
      <x:c r="Y1660" t="str">
        <x:v>Basis arsip 2025/2024</x:v>
      </x:c>
      <x:c r="Z1660" t="str">
        <x:v>https://snpmb.id/utbk-snbt/daya-tampung-snbt</x:v>
      </x:c>
      <x:c r="AA1660" t="str">
        <x:v>Tidak Ada</x:v>
      </x:c>
      <x:c r="AB1660" t="str">
        <x:v>Campus=90; Ratio=91.6; Prodi=100; RelDemand=96.1; Capacity=25.0</x:v>
      </x:c>
    </x:row>
    <x:row r="1661">
      <x:c r="A1661" t="n">
        <x:v>1658</x:v>
      </x:c>
      <x:c r="B1661" t="str">
        <x:v>PTN Akademik</x:v>
      </x:c>
      <x:c r="C1661" t="str">
        <x:v>UNIVERSITAS DIPONEGORO</x:v>
      </x:c>
      <x:c r="D1661" t="str">
        <x:v>KEPERAWATAN</x:v>
      </x:c>
      <x:c r="E1661" t="str">
        <x:v>Sarjana</x:v>
      </x:c>
      <x:c r="F1661" s="18" t="n">
        <x:v>81</x:v>
      </x:c>
      <x:c r="G1661" s="18" t="n">
        <x:v>2121</x:v>
      </x:c>
      <x:c r="H1661" s="19" t="n">
        <x:v>26.185185185185187</x:v>
      </x:c>
      <x:c r="I1661" s="18" t="n">
        <x:f>ROUND(MIN(Model_Config_v3!$B$6,MAX(Q1661,R1661,S1661*Model_Config_v3!$B$4+T1661*Model_Config_v3!$B$5)),0)</x:f>
        <x:v>698</x:v>
      </x:c>
      <x:c r="J1661" s="18" t="n">
        <x:f>MIN(Model_Config_v3!$B$6,I1661+Model_Config_v3!$B$7)</x:f>
        <x:v>718</x:v>
      </x:c>
      <x:c r="K1661" s="20" t="n">
        <x:v>73.6</x:v>
      </x:c>
      <x:c r="L1661" t="str">
        <x:v>SANGAT KETAT</x:v>
      </x:c>
      <x:c r="M1661" t="str">
        <x:v>SEDANG+</x:v>
      </x:c>
      <x:c r="N1661" t="str">
        <x:v>ELITE-2</x:v>
      </x:c>
      <x:c r="O1661" t="str">
        <x:v>SAINTEK</x:v>
      </x:c>
      <x:c r="P1661" t="str">
        <x:v>KESEHAT/GIZI/KEPERAWATAN</x:v>
      </x:c>
      <x:c r="Q1661" s="18" t="n">
        <x:v>650</x:v>
      </x:c>
      <x:c r="R1661" s="18" t="n">
        <x:v>660</x:v>
      </x:c>
      <x:c r="S1661" s="18" t="n">
        <x:v>675.9861214601704</x:v>
      </x:c>
      <x:c r="T1661" s="18" t="n">
        <x:v>707</x:v>
      </x:c>
      <x:c r="U1661" s="18" t="n">
        <x:v>675.9861214601704</x:v>
      </x:c>
      <x:c r="V1661" s="20" t="n">
        <x:v>12</x:v>
      </x:c>
      <x:c r="W1661" s="20" t="n">
        <x:v>5</x:v>
      </x:c>
      <x:c r="X1661" s="20" t="n">
        <x:v>3</x:v>
      </x:c>
      <x:c r="Y1661" t="str">
        <x:v>Basis arsip 2025/2024</x:v>
      </x:c>
      <x:c r="Z1661" t="str">
        <x:v>https://snpmb.id/utbk-snbt/daya-tampung-snbt</x:v>
      </x:c>
      <x:c r="AA1661" t="str">
        <x:v>Tidak Ada</x:v>
      </x:c>
      <x:c r="AB1661" t="str">
        <x:v>Campus=90; Ratio=83.5; Prodi=55; RelDemand=69.8; Capacity=32.5</x:v>
      </x:c>
    </x:row>
    <x:row r="1662">
      <x:c r="A1662" t="n">
        <x:v>1659</x:v>
      </x:c>
      <x:c r="B1662" t="str">
        <x:v>PTN Akademik</x:v>
      </x:c>
      <x:c r="C1662" t="str">
        <x:v>UNIVERSITAS DIPONEGORO</x:v>
      </x:c>
      <x:c r="D1662" t="str">
        <x:v>GIZI</x:v>
      </x:c>
      <x:c r="E1662" t="str">
        <x:v>Sarjana</x:v>
      </x:c>
      <x:c r="F1662" s="18" t="n">
        <x:v>53</x:v>
      </x:c>
      <x:c r="G1662" s="18" t="n">
        <x:v>1252</x:v>
      </x:c>
      <x:c r="H1662" s="19" t="n">
        <x:v>23.62264150943396</x:v>
      </x:c>
      <x:c r="I1662" s="18" t="n">
        <x:f>ROUND(MIN(Model_Config_v3!$B$6,MAX(Q1662,R1662,S1662*Model_Config_v3!$B$4+T1662*Model_Config_v3!$B$5)),0)</x:f>
        <x:v>698</x:v>
      </x:c>
      <x:c r="J1662" s="18" t="n">
        <x:f>MIN(Model_Config_v3!$B$6,I1662+Model_Config_v3!$B$7)</x:f>
        <x:v>718</x:v>
      </x:c>
      <x:c r="K1662" s="20" t="n">
        <x:v>74.6</x:v>
      </x:c>
      <x:c r="L1662" t="str">
        <x:v>SANGAT KETAT</x:v>
      </x:c>
      <x:c r="M1662" t="str">
        <x:v>SEDANG+</x:v>
      </x:c>
      <x:c r="N1662" t="str">
        <x:v>ELITE-2</x:v>
      </x:c>
      <x:c r="O1662" t="str">
        <x:v>SAINTEK</x:v>
      </x:c>
      <x:c r="P1662" t="str">
        <x:v>KESEHAT/GIZI/KEPERAWATAN</x:v>
      </x:c>
      <x:c r="Q1662" s="18" t="n">
        <x:v>650</x:v>
      </x:c>
      <x:c r="R1662" s="18" t="n">
        <x:v>660</x:v>
      </x:c>
      <x:c r="S1662" s="18" t="n">
        <x:v>671.0661305200983</x:v>
      </x:c>
      <x:c r="T1662" s="18" t="n">
        <x:v>709</x:v>
      </x:c>
      <x:c r="U1662" s="18" t="n">
        <x:v>671.0661305200983</x:v>
      </x:c>
      <x:c r="V1662" s="20" t="n">
        <x:v>12</x:v>
      </x:c>
      <x:c r="W1662" s="20" t="n">
        <x:v>5</x:v>
      </x:c>
      <x:c r="X1662" s="20" t="n">
        <x:v>3</x:v>
      </x:c>
      <x:c r="Y1662" t="str">
        <x:v>Basis arsip 2025/2024</x:v>
      </x:c>
      <x:c r="Z1662" t="str">
        <x:v>https://snpmb.id/utbk-snbt/daya-tampung-snbt</x:v>
      </x:c>
      <x:c r="AA1662" t="str">
        <x:v>Tidak Ada</x:v>
      </x:c>
      <x:c r="AB1662" t="str">
        <x:v>Campus=90; Ratio=80.8; Prodi=55; RelDemand=63.0; Capacity=55.8</x:v>
      </x:c>
    </x:row>
    <x:row r="1663">
      <x:c r="A1663" t="n">
        <x:v>1660</x:v>
      </x:c>
      <x:c r="B1663" t="str">
        <x:v>PTN Akademik</x:v>
      </x:c>
      <x:c r="C1663" t="str">
        <x:v>UNIVERSITAS DIPONEGORO</x:v>
      </x:c>
      <x:c r="D1663" t="str">
        <x:v>MATEMATIKA</x:v>
      </x:c>
      <x:c r="E1663" t="str">
        <x:v>Sarjana</x:v>
      </x:c>
      <x:c r="F1663" s="18" t="n">
        <x:v>66</x:v>
      </x:c>
      <x:c r="G1663" s="18" t="n">
        <x:v>320</x:v>
      </x:c>
      <x:c r="H1663" s="19" t="n">
        <x:v>4.848484848484849</x:v>
      </x:c>
      <x:c r="I1663" s="18" t="n">
        <x:f>ROUND(MIN(Model_Config_v3!$B$6,MAX(Q1663,R1663,S1663*Model_Config_v3!$B$4+T1663*Model_Config_v3!$B$5)),0)</x:f>
        <x:v>651</x:v>
      </x:c>
      <x:c r="J1663" s="18" t="n">
        <x:f>MIN(Model_Config_v3!$B$6,I1663+Model_Config_v3!$B$7)</x:f>
        <x:v>671</x:v>
      </x:c>
      <x:c r="K1663" s="20" t="n">
        <x:v>57.4</x:v>
      </x:c>
      <x:c r="L1663" t="str">
        <x:v>KETAT</x:v>
      </x:c>
      <x:c r="M1663" t="str">
        <x:v>SEDANG+</x:v>
      </x:c>
      <x:c r="N1663" t="str">
        <x:v>ELITE-2</x:v>
      </x:c>
      <x:c r="O1663" t="str">
        <x:v>SAINTEK</x:v>
      </x:c>
      <x:c r="P1663" t="str">
        <x:v>SAINS DASAR</x:v>
      </x:c>
      <x:c r="Q1663" s="18" t="n">
        <x:v>650</x:v>
      </x:c>
      <x:c r="R1663" s="18" t="n">
        <x:v>0</x:v>
      </x:c>
      <x:c r="S1663" s="18" t="n">
        <x:v>595.4166647055841</x:v>
      </x:c>
      <x:c r="T1663" s="18" t="n">
        <x:v>675</x:v>
      </x:c>
      <x:c r="U1663" s="18" t="n">
        <x:v>650</x:v>
      </x:c>
      <x:c r="V1663" s="20" t="n">
        <x:v>12</x:v>
      </x:c>
      <x:c r="W1663" s="20" t="n">
        <x:v>5</x:v>
      </x:c>
      <x:c r="X1663" s="20" t="n">
        <x:v>3</x:v>
      </x:c>
      <x:c r="Y1663" t="str">
        <x:v>Basis arsip 2025/2024</x:v>
      </x:c>
      <x:c r="Z1663" t="str">
        <x:v>https://snpmb.id/utbk-snbt/daya-tampung-snbt</x:v>
      </x:c>
      <x:c r="AA1663" t="str">
        <x:v>Tidak Ada</x:v>
      </x:c>
      <x:c r="AB1663" t="str">
        <x:v>Campus=90; Ratio=40.4; Prodi=50; RelDemand=12.9; Capacity=45.0</x:v>
      </x:c>
    </x:row>
    <x:row r="1664">
      <x:c r="A1664" t="n">
        <x:v>1661</x:v>
      </x:c>
      <x:c r="B1664" t="str">
        <x:v>PTN Akademik</x:v>
      </x:c>
      <x:c r="C1664" t="str">
        <x:v>UNIVERSITAS DIPONEGORO</x:v>
      </x:c>
      <x:c r="D1664" t="str">
        <x:v>BIOLOGI</x:v>
      </x:c>
      <x:c r="E1664" t="str">
        <x:v>Sarjana</x:v>
      </x:c>
      <x:c r="F1664" s="18" t="n">
        <x:v>63</x:v>
      </x:c>
      <x:c r="G1664" s="18" t="n">
        <x:v>312</x:v>
      </x:c>
      <x:c r="H1664" s="19" t="n">
        <x:v>4.9523809523809526</x:v>
      </x:c>
      <x:c r="I1664" s="18" t="n">
        <x:f>ROUND(MIN(Model_Config_v3!$B$6,MAX(Q1664,R1664,S1664*Model_Config_v3!$B$4+T1664*Model_Config_v3!$B$5)),0)</x:f>
        <x:v>652</x:v>
      </x:c>
      <x:c r="J1664" s="18" t="n">
        <x:f>MIN(Model_Config_v3!$B$6,I1664+Model_Config_v3!$B$7)</x:f>
        <x:v>672</x:v>
      </x:c>
      <x:c r="K1664" s="20" t="n">
        <x:v>57.8</x:v>
      </x:c>
      <x:c r="L1664" t="str">
        <x:v>KETAT</x:v>
      </x:c>
      <x:c r="M1664" t="str">
        <x:v>SEDANG+</x:v>
      </x:c>
      <x:c r="N1664" t="str">
        <x:v>ELITE-2</x:v>
      </x:c>
      <x:c r="O1664" t="str">
        <x:v>SAINTEK</x:v>
      </x:c>
      <x:c r="P1664" t="str">
        <x:v>SAINS DASAR</x:v>
      </x:c>
      <x:c r="Q1664" s="18" t="n">
        <x:v>650</x:v>
      </x:c>
      <x:c r="R1664" s="18" t="n">
        <x:v>0</x:v>
      </x:c>
      <x:c r="S1664" s="18" t="n">
        <x:v>596.4295449021347</x:v>
      </x:c>
      <x:c r="T1664" s="18" t="n">
        <x:v>676</x:v>
      </x:c>
      <x:c r="U1664" s="18" t="n">
        <x:v>650</x:v>
      </x:c>
      <x:c r="V1664" s="20" t="n">
        <x:v>12</x:v>
      </x:c>
      <x:c r="W1664" s="20" t="n">
        <x:v>5</x:v>
      </x:c>
      <x:c r="X1664" s="20" t="n">
        <x:v>3</x:v>
      </x:c>
      <x:c r="Y1664" t="str">
        <x:v>Basis arsip 2025/2024</x:v>
      </x:c>
      <x:c r="Z1664" t="str">
        <x:v>https://snpmb.id/utbk-snbt/daya-tampung-snbt</x:v>
      </x:c>
      <x:c r="AA1664" t="str">
        <x:v>Tidak Ada</x:v>
      </x:c>
      <x:c r="AB1664" t="str">
        <x:v>Campus=90; Ratio=40.9; Prodi=50; RelDemand=13.2; Capacity=47.5</x:v>
      </x:c>
    </x:row>
    <x:row r="1665">
      <x:c r="A1665" t="n">
        <x:v>1662</x:v>
      </x:c>
      <x:c r="B1665" t="str">
        <x:v>PTN Akademik</x:v>
      </x:c>
      <x:c r="C1665" t="str">
        <x:v>UNIVERSITAS DIPONEGORO</x:v>
      </x:c>
      <x:c r="D1665" t="str">
        <x:v>KIMIA</x:v>
      </x:c>
      <x:c r="E1665" t="str">
        <x:v>Sarjana</x:v>
      </x:c>
      <x:c r="F1665" s="18" t="n">
        <x:v>63</x:v>
      </x:c>
      <x:c r="G1665" s="18" t="n">
        <x:v>345</x:v>
      </x:c>
      <x:c r="H1665" s="19" t="n">
        <x:v>5.476190476190476</x:v>
      </x:c>
      <x:c r="I1665" s="18" t="n">
        <x:f>ROUND(MIN(Model_Config_v3!$B$6,MAX(Q1665,R1665,S1665*Model_Config_v3!$B$4+T1665*Model_Config_v3!$B$5)),0)</x:f>
        <x:v>654</x:v>
      </x:c>
      <x:c r="J1665" s="18" t="n">
        <x:f>MIN(Model_Config_v3!$B$6,I1665+Model_Config_v3!$B$7)</x:f>
        <x:v>674</x:v>
      </x:c>
      <x:c r="K1665" s="20" t="n">
        <x:v>58.6</x:v>
      </x:c>
      <x:c r="L1665" t="str">
        <x:v>KETAT</x:v>
      </x:c>
      <x:c r="M1665" t="str">
        <x:v>SEDANG+</x:v>
      </x:c>
      <x:c r="N1665" t="str">
        <x:v>ELITE-2</x:v>
      </x:c>
      <x:c r="O1665" t="str">
        <x:v>SAINTEK</x:v>
      </x:c>
      <x:c r="P1665" t="str">
        <x:v>SAINS DASAR</x:v>
      </x:c>
      <x:c r="Q1665" s="18" t="n">
        <x:v>650</x:v>
      </x:c>
      <x:c r="R1665" s="18" t="n">
        <x:v>0</x:v>
      </x:c>
      <x:c r="S1665" s="18" t="n">
        <x:v>601.2326400181662</x:v>
      </x:c>
      <x:c r="T1665" s="18" t="n">
        <x:v>677</x:v>
      </x:c>
      <x:c r="U1665" s="18" t="n">
        <x:v>650</x:v>
      </x:c>
      <x:c r="V1665" s="20" t="n">
        <x:v>12</x:v>
      </x:c>
      <x:c r="W1665" s="20" t="n">
        <x:v>5</x:v>
      </x:c>
      <x:c r="X1665" s="20" t="n">
        <x:v>3</x:v>
      </x:c>
      <x:c r="Y1665" t="str">
        <x:v>Basis arsip 2025/2024</x:v>
      </x:c>
      <x:c r="Z1665" t="str">
        <x:v>https://snpmb.id/utbk-snbt/daya-tampung-snbt</x:v>
      </x:c>
      <x:c r="AA1665" t="str">
        <x:v>Tidak Ada</x:v>
      </x:c>
      <x:c r="AB1665" t="str">
        <x:v>Campus=90; Ratio=43.5; Prodi=50; RelDemand=14.6; Capacity=47.5</x:v>
      </x:c>
    </x:row>
    <x:row r="1666">
      <x:c r="A1666" t="n">
        <x:v>1663</x:v>
      </x:c>
      <x:c r="B1666" t="str">
        <x:v>PTN Akademik</x:v>
      </x:c>
      <x:c r="C1666" t="str">
        <x:v>UNIVERSITAS DIPONEGORO</x:v>
      </x:c>
      <x:c r="D1666" t="str">
        <x:v>FISIKA</x:v>
      </x:c>
      <x:c r="E1666" t="str">
        <x:v>Sarjana</x:v>
      </x:c>
      <x:c r="F1666" s="18" t="n">
        <x:v>63</x:v>
      </x:c>
      <x:c r="G1666" s="18" t="n">
        <x:v>147</x:v>
      </x:c>
      <x:c r="H1666" s="19" t="n">
        <x:v>2.3333333333333335</x:v>
      </x:c>
      <x:c r="I1666" s="18" t="n">
        <x:f>ROUND(MIN(Model_Config_v3!$B$6,MAX(Q1666,R1666,S1666*Model_Config_v3!$B$4+T1666*Model_Config_v3!$B$5)),0)</x:f>
        <x:v>650</x:v>
      </x:c>
      <x:c r="J1666" s="18" t="n">
        <x:f>MIN(Model_Config_v3!$B$6,I1666+Model_Config_v3!$B$7)</x:f>
        <x:v>670</x:v>
      </x:c>
      <x:c r="K1666" s="20" t="n">
        <x:v>52.3</x:v>
      </x:c>
      <x:c r="L1666" t="str">
        <x:v>MENENGAH</x:v>
      </x:c>
      <x:c r="M1666" t="str">
        <x:v>SEDANG+</x:v>
      </x:c>
      <x:c r="N1666" t="str">
        <x:v>ELITE-2</x:v>
      </x:c>
      <x:c r="O1666" t="str">
        <x:v>SAINTEK</x:v>
      </x:c>
      <x:c r="P1666" t="str">
        <x:v>SAINS DASAR</x:v>
      </x:c>
      <x:c r="Q1666" s="18" t="n">
        <x:v>650</x:v>
      </x:c>
      <x:c r="R1666" s="18" t="n">
        <x:v>0</x:v>
      </x:c>
      <x:c r="S1666" s="18" t="n">
        <x:v>560.4774463824053</x:v>
      </x:c>
      <x:c r="T1666" s="18" t="n">
        <x:v>665</x:v>
      </x:c>
      <x:c r="U1666" s="18" t="n">
        <x:v>650</x:v>
      </x:c>
      <x:c r="V1666" s="20" t="n">
        <x:v>12</x:v>
      </x:c>
      <x:c r="W1666" s="20" t="n">
        <x:v>5</x:v>
      </x:c>
      <x:c r="X1666" s="20" t="n">
        <x:v>3</x:v>
      </x:c>
      <x:c r="Y1666" t="str">
        <x:v>Basis arsip 2025/2024</x:v>
      </x:c>
      <x:c r="Z1666" t="str">
        <x:v>https://snpmb.id/utbk-snbt/daya-tampung-snbt</x:v>
      </x:c>
      <x:c r="AA1666" t="str">
        <x:v>Tidak Ada</x:v>
      </x:c>
      <x:c r="AB1666" t="str">
        <x:v>Campus=90; Ratio=21.7; Prodi=50; RelDemand=6.2; Capacity=47.5</x:v>
      </x:c>
    </x:row>
    <x:row r="1667">
      <x:c r="A1667" t="n">
        <x:v>1664</x:v>
      </x:c>
      <x:c r="B1667" t="str">
        <x:v>PTN Akademik</x:v>
      </x:c>
      <x:c r="C1667" t="str">
        <x:v>UNIVERSITAS DIPONEGORO</x:v>
      </x:c>
      <x:c r="D1667" t="str">
        <x:v>STATISTIKA</x:v>
      </x:c>
      <x:c r="E1667" t="str">
        <x:v>Sarjana</x:v>
      </x:c>
      <x:c r="F1667" s="18" t="n">
        <x:v>66</x:v>
      </x:c>
      <x:c r="G1667" s="18" t="n">
        <x:v>851</x:v>
      </x:c>
      <x:c r="H1667" s="19" t="n">
        <x:v>12.893939393939394</x:v>
      </x:c>
      <x:c r="I1667" s="18" t="n">
        <x:f>ROUND(MIN(Model_Config_v3!$B$6,MAX(Q1667,R1667,S1667*Model_Config_v3!$B$4+T1667*Model_Config_v3!$B$5)),0)</x:f>
        <x:v>680</x:v>
      </x:c>
      <x:c r="J1667" s="18" t="n">
        <x:f>MIN(Model_Config_v3!$B$6,I1667+Model_Config_v3!$B$7)</x:f>
        <x:v>700</x:v>
      </x:c>
      <x:c r="K1667" s="20" t="n">
        <x:v>67.8</x:v>
      </x:c>
      <x:c r="L1667" t="str">
        <x:v>SANGAT KETAT</x:v>
      </x:c>
      <x:c r="M1667" t="str">
        <x:v>SEDANG+</x:v>
      </x:c>
      <x:c r="N1667" t="str">
        <x:v>ELITE-2</x:v>
      </x:c>
      <x:c r="O1667" t="str">
        <x:v>SAINTEK</x:v>
      </x:c>
      <x:c r="P1667" t="str">
        <x:v>TEKNIK/ARSITEKTUR/STATISTIKA/AKTUARIA</x:v>
      </x:c>
      <x:c r="Q1667" s="18" t="n">
        <x:v>650</x:v>
      </x:c>
      <x:c r="R1667" s="18" t="n">
        <x:v>670</x:v>
      </x:c>
      <x:c r="S1667" s="18" t="n">
        <x:v>642.1424186996991</x:v>
      </x:c>
      <x:c r="T1667" s="18" t="n">
        <x:v>696</x:v>
      </x:c>
      <x:c r="U1667" s="18" t="n">
        <x:v>652.1424186996991</x:v>
      </x:c>
      <x:c r="V1667" s="20" t="n">
        <x:v>12</x:v>
      </x:c>
      <x:c r="W1667" s="20" t="n">
        <x:v>5</x:v>
      </x:c>
      <x:c r="X1667" s="20" t="n">
        <x:v>3</x:v>
      </x:c>
      <x:c r="Y1667" t="str">
        <x:v>Basis arsip 2025/2024</x:v>
      </x:c>
      <x:c r="Z1667" t="str">
        <x:v>https://snpmb.id/utbk-snbt/daya-tampung-snbt</x:v>
      </x:c>
      <x:c r="AA1667" t="str">
        <x:v>Tidak Ada</x:v>
      </x:c>
      <x:c r="AB1667" t="str">
        <x:v>Campus=90; Ratio=65.4; Prodi=60; RelDemand=34.4; Capacity=45.0</x:v>
      </x:c>
    </x:row>
    <x:row r="1668">
      <x:c r="A1668" t="n">
        <x:v>1665</x:v>
      </x:c>
      <x:c r="B1668" t="str">
        <x:v>PTN Akademik</x:v>
      </x:c>
      <x:c r="C1668" t="str">
        <x:v>UNIVERSITAS DIPONEGORO</x:v>
      </x:c>
      <x:c r="D1668" t="str">
        <x:v>INFORMATIKA</x:v>
      </x:c>
      <x:c r="E1668" t="str">
        <x:v>Sarjana</x:v>
      </x:c>
      <x:c r="F1668" s="18" t="n">
        <x:v>75</x:v>
      </x:c>
      <x:c r="G1668" s="18" t="n">
        <x:v>2183</x:v>
      </x:c>
      <x:c r="H1668" s="19" t="n">
        <x:v>29.106666666666666</x:v>
      </x:c>
      <x:c r="I1668" s="18" t="n">
        <x:f>ROUND(MIN(Model_Config_v3!$B$6,MAX(Q1668,R1668,S1668*Model_Config_v3!$B$4+T1668*Model_Config_v3!$B$5)),0)</x:f>
        <x:v>710</x:v>
      </x:c>
      <x:c r="J1668" s="18" t="n">
        <x:f>MIN(Model_Config_v3!$B$6,I1668+Model_Config_v3!$B$7)</x:f>
        <x:v>730</x:v>
      </x:c>
      <x:c r="K1668" s="20" t="n">
        <x:v>81.6</x:v>
      </x:c>
      <x:c r="L1668" t="str">
        <x:v>ELITE</x:v>
      </x:c>
      <x:c r="M1668" t="str">
        <x:v>SEDANG+</x:v>
      </x:c>
      <x:c r="N1668" t="str">
        <x:v>ELITE-2</x:v>
      </x:c>
      <x:c r="O1668" t="str">
        <x:v>SAINTEK</x:v>
      </x:c>
      <x:c r="P1668" t="str">
        <x:v>KOMPUTER/INFORMATIKA</x:v>
      </x:c>
      <x:c r="Q1668" s="18" t="n">
        <x:v>650</x:v>
      </x:c>
      <x:c r="R1668" s="18" t="n">
        <x:v>695</x:v>
      </x:c>
      <x:c r="S1668" s="18" t="n">
        <x:v>681.0391719549183</x:v>
      </x:c>
      <x:c r="T1668" s="18" t="n">
        <x:v>723</x:v>
      </x:c>
      <x:c r="U1668" s="18" t="n">
        <x:v>706.0391719549183</x:v>
      </x:c>
      <x:c r="V1668" s="20" t="n">
        <x:v>12</x:v>
      </x:c>
      <x:c r="W1668" s="20" t="n">
        <x:v>5</x:v>
      </x:c>
      <x:c r="X1668" s="20" t="n">
        <x:v>3</x:v>
      </x:c>
      <x:c r="Y1668" t="str">
        <x:v>Basis arsip 2025/2024</x:v>
      </x:c>
      <x:c r="Z1668" t="str">
        <x:v>https://snpmb.id/utbk-snbt/daya-tampung-snbt</x:v>
      </x:c>
      <x:c r="AA1668" t="str">
        <x:v>Tidak Ada</x:v>
      </x:c>
      <x:c r="AB1668" t="str">
        <x:v>Campus=90; Ratio=86.2; Prodi=85; RelDemand=77.6; Capacity=37.5</x:v>
      </x:c>
    </x:row>
    <x:row r="1669">
      <x:c r="A1669" t="n">
        <x:v>1666</x:v>
      </x:c>
      <x:c r="B1669" t="str">
        <x:v>PTN Akademik</x:v>
      </x:c>
      <x:c r="C1669" t="str">
        <x:v>UNIVERSITAS DIPONEGORO</x:v>
      </x:c>
      <x:c r="D1669" t="str">
        <x:v>MANAJEMEN SUMBERDAYA PERAIRAN</x:v>
      </x:c>
      <x:c r="E1669" t="str">
        <x:v>Sarjana</x:v>
      </x:c>
      <x:c r="F1669" s="18" t="n">
        <x:v>45</x:v>
      </x:c>
      <x:c r="G1669" s="18" t="n">
        <x:v>292</x:v>
      </x:c>
      <x:c r="H1669" s="19" t="n">
        <x:v>6.488888888888889</x:v>
      </x:c>
      <x:c r="I1669" s="18" t="n">
        <x:f>ROUND(MIN(Model_Config_v3!$B$6,MAX(Q1669,R1669,S1669*Model_Config_v3!$B$4+T1669*Model_Config_v3!$B$5)),0)</x:f>
        <x:v>680</x:v>
      </x:c>
      <x:c r="J1669" s="18" t="n">
        <x:f>MIN(Model_Config_v3!$B$6,I1669+Model_Config_v3!$B$7)</x:f>
        <x:v>700</x:v>
      </x:c>
      <x:c r="K1669" s="20" t="n">
        <x:v>64.4</x:v>
      </x:c>
      <x:c r="L1669" t="str">
        <x:v>KETAT</x:v>
      </x:c>
      <x:c r="M1669" t="str">
        <x:v>SEDANG+</x:v>
      </x:c>
      <x:c r="N1669" t="str">
        <x:v>ELITE-2</x:v>
      </x:c>
      <x:c r="O1669" t="str">
        <x:v>SOSHUM</x:v>
      </x:c>
      <x:c r="P1669" t="str">
        <x:v>BISNIS/EKONOMI/AKUNTANSI</x:v>
      </x:c>
      <x:c r="Q1669" s="18" t="n">
        <x:v>650</x:v>
      </x:c>
      <x:c r="R1669" s="18" t="n">
        <x:v>680</x:v>
      </x:c>
      <x:c r="S1669" s="18" t="n">
        <x:v>609.3387371440382</x:v>
      </x:c>
      <x:c r="T1669" s="18" t="n">
        <x:v>689</x:v>
      </x:c>
      <x:c r="U1669" s="18" t="n">
        <x:v>650</x:v>
      </x:c>
      <x:c r="V1669" s="20" t="n">
        <x:v>4.4</x:v>
      </x:c>
      <x:c r="W1669" s="20" t="n">
        <x:v>14.3</x:v>
      </x:c>
      <x:c r="X1669" s="20" t="n">
        <x:v>3.3</x:v>
      </x:c>
      <x:c r="Y1669" t="str">
        <x:v>Basis arsip 2025/2024</x:v>
      </x:c>
      <x:c r="Z1669" t="str">
        <x:v>https://snpmb.id/utbk-snbt/daya-tampung-snbt</x:v>
      </x:c>
      <x:c r="AA1669" t="str">
        <x:v>Tidak Ada</x:v>
      </x:c>
      <x:c r="AB1669" t="str">
        <x:v>Campus=90; Ratio=47.8; Prodi=65; RelDemand=17.3; Capacity=62.5</x:v>
      </x:c>
    </x:row>
    <x:row r="1670">
      <x:c r="A1670" t="n">
        <x:v>1667</x:v>
      </x:c>
      <x:c r="B1670" t="str">
        <x:v>PTN Akademik</x:v>
      </x:c>
      <x:c r="C1670" t="str">
        <x:v>UNIVERSITAS DIPONEGORO</x:v>
      </x:c>
      <x:c r="D1670" t="str">
        <x:v>AKUAKULTUR</x:v>
      </x:c>
      <x:c r="E1670" t="str">
        <x:v>Sarjana</x:v>
      </x:c>
      <x:c r="F1670" s="18" t="n">
        <x:v>38</x:v>
      </x:c>
      <x:c r="G1670" s="18" t="n">
        <x:v>164</x:v>
      </x:c>
      <x:c r="H1670" s="19" t="n">
        <x:v>4.315789473684211</x:v>
      </x:c>
      <x:c r="I1670" s="18" t="n">
        <x:f>ROUND(MIN(Model_Config_v3!$B$6,MAX(Q1670,R1670,S1670*Model_Config_v3!$B$4+T1670*Model_Config_v3!$B$5)),0)</x:f>
        <x:v>650</x:v>
      </x:c>
      <x:c r="J1670" s="18" t="n">
        <x:f>MIN(Model_Config_v3!$B$6,I1670+Model_Config_v3!$B$7)</x:f>
        <x:v>670</x:v>
      </x:c>
      <x:c r="K1670" s="20" t="n">
        <x:v>56.8</x:v>
      </x:c>
      <x:c r="L1670" t="str">
        <x:v>KETAT</x:v>
      </x:c>
      <x:c r="M1670" t="str">
        <x:v>SEDANG+</x:v>
      </x:c>
      <x:c r="N1670" t="str">
        <x:v>ELITE-2</x:v>
      </x:c>
      <x:c r="O1670" t="str">
        <x:v>CAMPURAN</x:v>
      </x:c>
      <x:c r="P1670" t="str">
        <x:v>UMUM</x:v>
      </x:c>
      <x:c r="Q1670" s="18" t="n">
        <x:v>650</x:v>
      </x:c>
      <x:c r="R1670" s="18" t="n">
        <x:v>0</x:v>
      </x:c>
      <x:c r="S1670" s="18" t="n">
        <x:v>589.8566276573977</x:v>
      </x:c>
      <x:c r="T1670" s="18" t="n">
        <x:v>674</x:v>
      </x:c>
      <x:c r="U1670" s="18" t="n">
        <x:v>650</x:v>
      </x:c>
      <x:c r="V1670" s="20" t="n">
        <x:v>8.8</x:v>
      </x:c>
      <x:c r="W1670" s="20" t="n">
        <x:v>9.9</x:v>
      </x:c>
      <x:c r="X1670" s="20" t="n">
        <x:v>3.3</x:v>
      </x:c>
      <x:c r="Y1670" t="str">
        <x:v>Basis arsip 2025/2024</x:v>
      </x:c>
      <x:c r="Z1670" t="str">
        <x:v>https://snpmb.id/utbk-snbt/daya-tampung-snbt</x:v>
      </x:c>
      <x:c r="AA1670" t="str">
        <x:v>Tidak Ada</x:v>
      </x:c>
      <x:c r="AB1670" t="str">
        <x:v>Campus=90; Ratio=37.4; Prodi=40; RelDemand=11.5; Capacity=68.3</x:v>
      </x:c>
    </x:row>
    <x:row r="1671">
      <x:c r="A1671" t="n">
        <x:v>1668</x:v>
      </x:c>
      <x:c r="B1671" t="str">
        <x:v>PTN Akademik</x:v>
      </x:c>
      <x:c r="C1671" t="str">
        <x:v>UNIVERSITAS DIPONEGORO</x:v>
      </x:c>
      <x:c r="D1671" t="str">
        <x:v>PERIKANAN TANGKAP</x:v>
      </x:c>
      <x:c r="E1671" t="str">
        <x:v>Sarjana</x:v>
      </x:c>
      <x:c r="F1671" s="18" t="n">
        <x:v>38</x:v>
      </x:c>
      <x:c r="G1671" s="18" t="n">
        <x:v>189</x:v>
      </x:c>
      <x:c r="H1671" s="19" t="n">
        <x:v>4.973684210526316</x:v>
      </x:c>
      <x:c r="I1671" s="18" t="n">
        <x:f>ROUND(MIN(Model_Config_v3!$B$6,MAX(Q1671,R1671,S1671*Model_Config_v3!$B$4+T1671*Model_Config_v3!$B$5)),0)</x:f>
        <x:v>652</x:v>
      </x:c>
      <x:c r="J1671" s="18" t="n">
        <x:f>MIN(Model_Config_v3!$B$6,I1671+Model_Config_v3!$B$7)</x:f>
        <x:v>672</x:v>
      </x:c>
      <x:c r="K1671" s="20" t="n">
        <x:v>57.9</x:v>
      </x:c>
      <x:c r="L1671" t="str">
        <x:v>KETAT</x:v>
      </x:c>
      <x:c r="M1671" t="str">
        <x:v>SEDANG+</x:v>
      </x:c>
      <x:c r="N1671" t="str">
        <x:v>ELITE-2</x:v>
      </x:c>
      <x:c r="O1671" t="str">
        <x:v>SAINTEK</x:v>
      </x:c>
      <x:c r="P1671" t="str">
        <x:v>UMUM</x:v>
      </x:c>
      <x:c r="Q1671" s="18" t="n">
        <x:v>650</x:v>
      </x:c>
      <x:c r="R1671" s="18" t="n">
        <x:v>0</x:v>
      </x:c>
      <x:c r="S1671" s="18" t="n">
        <x:v>596.6346028312078</x:v>
      </x:c>
      <x:c r="T1671" s="18" t="n">
        <x:v>676</x:v>
      </x:c>
      <x:c r="U1671" s="18" t="n">
        <x:v>650</x:v>
      </x:c>
      <x:c r="V1671" s="20" t="n">
        <x:v>12</x:v>
      </x:c>
      <x:c r="W1671" s="20" t="n">
        <x:v>5</x:v>
      </x:c>
      <x:c r="X1671" s="20" t="n">
        <x:v>3</x:v>
      </x:c>
      <x:c r="Y1671" t="str">
        <x:v>Basis arsip 2025/2024</x:v>
      </x:c>
      <x:c r="Z1671" t="str">
        <x:v>https://snpmb.id/utbk-snbt/daya-tampung-snbt</x:v>
      </x:c>
      <x:c r="AA1671" t="str">
        <x:v>Tidak Ada</x:v>
      </x:c>
      <x:c r="AB1671" t="str">
        <x:v>Campus=90; Ratio=41.0; Prodi=40; RelDemand=13.3; Capacity=68.3</x:v>
      </x:c>
    </x:row>
    <x:row r="1672">
      <x:c r="A1672" t="n">
        <x:v>1669</x:v>
      </x:c>
      <x:c r="B1672" t="str">
        <x:v>PTN Akademik</x:v>
      </x:c>
      <x:c r="C1672" t="str">
        <x:v>UNIVERSITAS DIPONEGORO</x:v>
      </x:c>
      <x:c r="D1672" t="str">
        <x:v>ILMU KELAUTAN</x:v>
      </x:c>
      <x:c r="E1672" t="str">
        <x:v>Sarjana</x:v>
      </x:c>
      <x:c r="F1672" s="18" t="n">
        <x:v>62</x:v>
      </x:c>
      <x:c r="G1672" s="18" t="n">
        <x:v>453</x:v>
      </x:c>
      <x:c r="H1672" s="19" t="n">
        <x:v>7.306451612903226</x:v>
      </x:c>
      <x:c r="I1672" s="18" t="n">
        <x:f>ROUND(MIN(Model_Config_v3!$B$6,MAX(Q1672,R1672,S1672*Model_Config_v3!$B$4+T1672*Model_Config_v3!$B$5)),0)</x:f>
        <x:v>659</x:v>
      </x:c>
      <x:c r="J1672" s="18" t="n">
        <x:f>MIN(Model_Config_v3!$B$6,I1672+Model_Config_v3!$B$7)</x:f>
        <x:v>679</x:v>
      </x:c>
      <x:c r="K1672" s="20" t="n">
        <x:v>59</x:v>
      </x:c>
      <x:c r="L1672" t="str">
        <x:v>KETAT</x:v>
      </x:c>
      <x:c r="M1672" t="str">
        <x:v>SEDANG+</x:v>
      </x:c>
      <x:c r="N1672" t="str">
        <x:v>ELITE-2</x:v>
      </x:c>
      <x:c r="O1672" t="str">
        <x:v>SAINTEK</x:v>
      </x:c>
      <x:c r="P1672" t="str">
        <x:v>UMUM</x:v>
      </x:c>
      <x:c r="Q1672" s="18" t="n">
        <x:v>650</x:v>
      </x:c>
      <x:c r="R1672" s="18" t="n">
        <x:v>0</x:v>
      </x:c>
      <x:c r="S1672" s="18" t="n">
        <x:v>615.0077163766035</x:v>
      </x:c>
      <x:c r="T1672" s="18" t="n">
        <x:v>678</x:v>
      </x:c>
      <x:c r="U1672" s="18" t="n">
        <x:v>650</x:v>
      </x:c>
      <x:c r="V1672" s="20" t="n">
        <x:v>12</x:v>
      </x:c>
      <x:c r="W1672" s="20" t="n">
        <x:v>5</x:v>
      </x:c>
      <x:c r="X1672" s="20" t="n">
        <x:v>3</x:v>
      </x:c>
      <x:c r="Y1672" t="str">
        <x:v>Basis arsip 2025/2024</x:v>
      </x:c>
      <x:c r="Z1672" t="str">
        <x:v>https://snpmb.id/utbk-snbt/daya-tampung-snbt</x:v>
      </x:c>
      <x:c r="AA1672" t="str">
        <x:v>Tidak Ada</x:v>
      </x:c>
      <x:c r="AB1672" t="str">
        <x:v>Campus=90; Ratio=50.8; Prodi=40; RelDemand=19.5; Capacity=48.3</x:v>
      </x:c>
    </x:row>
    <x:row r="1673">
      <x:c r="A1673" t="n">
        <x:v>1670</x:v>
      </x:c>
      <x:c r="B1673" t="str">
        <x:v>PTN Akademik</x:v>
      </x:c>
      <x:c r="C1673" t="str">
        <x:v>UNIVERSITAS DIPONEGORO</x:v>
      </x:c>
      <x:c r="D1673" t="str">
        <x:v>OCEANOGRAFI</x:v>
      </x:c>
      <x:c r="E1673" t="str">
        <x:v>Sarjana</x:v>
      </x:c>
      <x:c r="F1673" s="18" t="n">
        <x:v>53</x:v>
      </x:c>
      <x:c r="G1673" s="18" t="n">
        <x:v>345</x:v>
      </x:c>
      <x:c r="H1673" s="19" t="n">
        <x:v>6.509433962264151</x:v>
      </x:c>
      <x:c r="I1673" s="18" t="n">
        <x:f>ROUND(MIN(Model_Config_v3!$B$6,MAX(Q1673,R1673,S1673*Model_Config_v3!$B$4+T1673*Model_Config_v3!$B$5)),0)</x:f>
        <x:v>657</x:v>
      </x:c>
      <x:c r="J1673" s="18" t="n">
        <x:f>MIN(Model_Config_v3!$B$6,I1673+Model_Config_v3!$B$7)</x:f>
        <x:v>677</x:v>
      </x:c>
      <x:c r="K1673" s="20" t="n">
        <x:v>58.8</x:v>
      </x:c>
      <x:c r="L1673" t="str">
        <x:v>KETAT</x:v>
      </x:c>
      <x:c r="M1673" t="str">
        <x:v>SEDANG+</x:v>
      </x:c>
      <x:c r="N1673" t="str">
        <x:v>ELITE-2</x:v>
      </x:c>
      <x:c r="O1673" t="str">
        <x:v>CAMPURAN</x:v>
      </x:c>
      <x:c r="P1673" t="str">
        <x:v>UMUM</x:v>
      </x:c>
      <x:c r="Q1673" s="18" t="n">
        <x:v>650</x:v>
      </x:c>
      <x:c r="R1673" s="18" t="n">
        <x:v>0</x:v>
      </x:c>
      <x:c r="S1673" s="18" t="n">
        <x:v>609.4897548019734</x:v>
      </x:c>
      <x:c r="T1673" s="18" t="n">
        <x:v>678</x:v>
      </x:c>
      <x:c r="U1673" s="18" t="n">
        <x:v>650</x:v>
      </x:c>
      <x:c r="V1673" s="20" t="n">
        <x:v>8.8</x:v>
      </x:c>
      <x:c r="W1673" s="20" t="n">
        <x:v>9.9</x:v>
      </x:c>
      <x:c r="X1673" s="20" t="n">
        <x:v>3.3</x:v>
      </x:c>
      <x:c r="Y1673" t="str">
        <x:v>Basis arsip 2025/2024</x:v>
      </x:c>
      <x:c r="Z1673" t="str">
        <x:v>https://snpmb.id/utbk-snbt/daya-tampung-snbt</x:v>
      </x:c>
      <x:c r="AA1673" t="str">
        <x:v>Tidak Ada</x:v>
      </x:c>
      <x:c r="AB1673" t="str">
        <x:v>Campus=90; Ratio=47.9; Prodi=40; RelDemand=17.4; Capacity=55.8</x:v>
      </x:c>
    </x:row>
    <x:row r="1674">
      <x:c r="A1674" t="n">
        <x:v>1671</x:v>
      </x:c>
      <x:c r="B1674" t="str">
        <x:v>PTN Akademik</x:v>
      </x:c>
      <x:c r="C1674" t="str">
        <x:v>UNIVERSITAS DIPONEGORO</x:v>
      </x:c>
      <x:c r="D1674" t="str">
        <x:v>TEKNOLOGI HASIL PERIKANAN</x:v>
      </x:c>
      <x:c r="E1674" t="str">
        <x:v>Sarjana</x:v>
      </x:c>
      <x:c r="F1674" s="18" t="n">
        <x:v>36</x:v>
      </x:c>
      <x:c r="G1674" s="18" t="n">
        <x:v>234</x:v>
      </x:c>
      <x:c r="H1674" s="19" t="n">
        <x:v>6.5</x:v>
      </x:c>
      <x:c r="I1674" s="18" t="n">
        <x:f>ROUND(MIN(Model_Config_v3!$B$6,MAX(Q1674,R1674,S1674*Model_Config_v3!$B$4+T1674*Model_Config_v3!$B$5)),0)</x:f>
        <x:v>659</x:v>
      </x:c>
      <x:c r="J1674" s="18" t="n">
        <x:f>MIN(Model_Config_v3!$B$6,I1674+Model_Config_v3!$B$7)</x:f>
        <x:v>679</x:v>
      </x:c>
      <x:c r="K1674" s="20" t="n">
        <x:v>60.2</x:v>
      </x:c>
      <x:c r="L1674" t="str">
        <x:v>KETAT</x:v>
      </x:c>
      <x:c r="M1674" t="str">
        <x:v>SEDANG+</x:v>
      </x:c>
      <x:c r="N1674" t="str">
        <x:v>ELITE-2</x:v>
      </x:c>
      <x:c r="O1674" t="str">
        <x:v>SAINTEK</x:v>
      </x:c>
      <x:c r="P1674" t="str">
        <x:v>UMUM</x:v>
      </x:c>
      <x:c r="Q1674" s="18" t="n">
        <x:v>650</x:v>
      </x:c>
      <x:c r="R1674" s="18" t="n">
        <x:v>0</x:v>
      </x:c>
      <x:c r="S1674" s="18" t="n">
        <x:v>609.4204692307142</x:v>
      </x:c>
      <x:c r="T1674" s="18" t="n">
        <x:v>680</x:v>
      </x:c>
      <x:c r="U1674" s="18" t="n">
        <x:v>650</x:v>
      </x:c>
      <x:c r="V1674" s="20" t="n">
        <x:v>12</x:v>
      </x:c>
      <x:c r="W1674" s="20" t="n">
        <x:v>5</x:v>
      </x:c>
      <x:c r="X1674" s="20" t="n">
        <x:v>3</x:v>
      </x:c>
      <x:c r="Y1674" t="str">
        <x:v>Basis arsip 2025/2024</x:v>
      </x:c>
      <x:c r="Z1674" t="str">
        <x:v>https://snpmb.id/utbk-snbt/daya-tampung-snbt</x:v>
      </x:c>
      <x:c r="AA1674" t="str">
        <x:v>Tidak Ada</x:v>
      </x:c>
      <x:c r="AB1674" t="str">
        <x:v>Campus=90; Ratio=47.8; Prodi=40; RelDemand=17.3; Capacity=70.0</x:v>
      </x:c>
    </x:row>
    <x:row r="1675">
      <x:c r="A1675" t="n">
        <x:v>1672</x:v>
      </x:c>
      <x:c r="B1675" t="str">
        <x:v>PTN Akademik</x:v>
      </x:c>
      <x:c r="C1675" t="str">
        <x:v>UNIVERSITAS DIPONEGORO</x:v>
      </x:c>
      <x:c r="D1675" t="str">
        <x:v>TEKNIK SIPIL</x:v>
      </x:c>
      <x:c r="E1675" t="str">
        <x:v>Sarjana</x:v>
      </x:c>
      <x:c r="F1675" s="18" t="n">
        <x:v>75</x:v>
      </x:c>
      <x:c r="G1675" s="18" t="n">
        <x:v>1799</x:v>
      </x:c>
      <x:c r="H1675" s="19" t="n">
        <x:v>23.986666666666668</x:v>
      </x:c>
      <x:c r="I1675" s="18" t="n">
        <x:f>ROUND(MIN(Model_Config_v3!$B$6,MAX(Q1675,R1675,S1675*Model_Config_v3!$B$4+T1675*Model_Config_v3!$B$5)),0)</x:f>
        <x:v>697</x:v>
      </x:c>
      <x:c r="J1675" s="18" t="n">
        <x:f>MIN(Model_Config_v3!$B$6,I1675+Model_Config_v3!$B$7)</x:f>
        <x:v>717</x:v>
      </x:c>
      <x:c r="K1675" s="20" t="n">
        <x:v>74</x:v>
      </x:c>
      <x:c r="L1675" t="str">
        <x:v>SANGAT KETAT</x:v>
      </x:c>
      <x:c r="M1675" t="str">
        <x:v>SEDANG+</x:v>
      </x:c>
      <x:c r="N1675" t="str">
        <x:v>ELITE-2</x:v>
      </x:c>
      <x:c r="O1675" t="str">
        <x:v>SAINTEK</x:v>
      </x:c>
      <x:c r="P1675" t="str">
        <x:v>TEKNIK/ARSITEKTUR/STATISTIKA/AKTUARIA</x:v>
      </x:c>
      <x:c r="Q1675" s="18" t="n">
        <x:v>650</x:v>
      </x:c>
      <x:c r="R1675" s="18" t="n">
        <x:v>670</x:v>
      </x:c>
      <x:c r="S1675" s="18" t="n">
        <x:v>671.7966889949237</x:v>
      </x:c>
      <x:c r="T1675" s="18" t="n">
        <x:v>708</x:v>
      </x:c>
      <x:c r="U1675" s="18" t="n">
        <x:v>681.7966889949237</x:v>
      </x:c>
      <x:c r="V1675" s="20" t="n">
        <x:v>12</x:v>
      </x:c>
      <x:c r="W1675" s="20" t="n">
        <x:v>5</x:v>
      </x:c>
      <x:c r="X1675" s="20" t="n">
        <x:v>3</x:v>
      </x:c>
      <x:c r="Y1675" t="str">
        <x:v>Basis arsip 2025/2024</x:v>
      </x:c>
      <x:c r="Z1675" t="str">
        <x:v>https://snpmb.id/utbk-snbt/daya-tampung-snbt</x:v>
      </x:c>
      <x:c r="AA1675" t="str">
        <x:v>Tidak Ada</x:v>
      </x:c>
      <x:c r="AB1675" t="str">
        <x:v>Campus=90; Ratio=81.2; Prodi=60; RelDemand=64.0; Capacity=37.5</x:v>
      </x:c>
    </x:row>
    <x:row r="1676">
      <x:c r="A1676" t="n">
        <x:v>1673</x:v>
      </x:c>
      <x:c r="B1676" t="str">
        <x:v>PTN Akademik</x:v>
      </x:c>
      <x:c r="C1676" t="str">
        <x:v>UNIVERSITAS DIPONEGORO</x:v>
      </x:c>
      <x:c r="D1676" t="str">
        <x:v>ARSITEKTUR</x:v>
      </x:c>
      <x:c r="E1676" t="str">
        <x:v>Sarjana</x:v>
      </x:c>
      <x:c r="F1676" s="18" t="n">
        <x:v>70</x:v>
      </x:c>
      <x:c r="G1676" s="18" t="n">
        <x:v>1136</x:v>
      </x:c>
      <x:c r="H1676" s="19" t="n">
        <x:v>16.228571428571428</x:v>
      </x:c>
      <x:c r="I1676" s="18" t="n">
        <x:f>ROUND(MIN(Model_Config_v3!$B$6,MAX(Q1676,R1676,S1676*Model_Config_v3!$B$4+T1676*Model_Config_v3!$B$5)),0)</x:f>
        <x:v>686</x:v>
      </x:c>
      <x:c r="J1676" s="18" t="n">
        <x:f>MIN(Model_Config_v3!$B$6,I1676+Model_Config_v3!$B$7)</x:f>
        <x:v>706</x:v>
      </x:c>
      <x:c r="K1676" s="20" t="n">
        <x:v>69.8</x:v>
      </x:c>
      <x:c r="L1676" t="str">
        <x:v>SANGAT KETAT</x:v>
      </x:c>
      <x:c r="M1676" t="str">
        <x:v>SEDANG+</x:v>
      </x:c>
      <x:c r="N1676" t="str">
        <x:v>ELITE-2</x:v>
      </x:c>
      <x:c r="O1676" t="str">
        <x:v>SAINTEK</x:v>
      </x:c>
      <x:c r="P1676" t="str">
        <x:v>TEKNIK/ARSITEKTUR/STATISTIKA/AKTUARIA</x:v>
      </x:c>
      <x:c r="Q1676" s="18" t="n">
        <x:v>650</x:v>
      </x:c>
      <x:c r="R1676" s="18" t="n">
        <x:v>670</x:v>
      </x:c>
      <x:c r="S1676" s="18" t="n">
        <x:v>653.1308320496818</x:v>
      </x:c>
      <x:c r="T1676" s="18" t="n">
        <x:v>700</x:v>
      </x:c>
      <x:c r="U1676" s="18" t="n">
        <x:v>653.1308320496818</x:v>
      </x:c>
      <x:c r="V1676" s="20" t="n">
        <x:v>12</x:v>
      </x:c>
      <x:c r="W1676" s="20" t="n">
        <x:v>5</x:v>
      </x:c>
      <x:c r="X1676" s="20" t="n">
        <x:v>3</x:v>
      </x:c>
      <x:c r="Y1676" t="str">
        <x:v>Basis arsip 2025/2024</x:v>
      </x:c>
      <x:c r="Z1676" t="str">
        <x:v>https://snpmb.id/utbk-snbt/daya-tampung-snbt</x:v>
      </x:c>
      <x:c r="AA1676" t="str">
        <x:v>Tidak Ada</x:v>
      </x:c>
      <x:c r="AB1676" t="str">
        <x:v>Campus=90; Ratio=71.2; Prodi=60; RelDemand=43.3; Capacity=41.7</x:v>
      </x:c>
    </x:row>
    <x:row r="1677">
      <x:c r="A1677" t="n">
        <x:v>1674</x:v>
      </x:c>
      <x:c r="B1677" t="str">
        <x:v>PTN Akademik</x:v>
      </x:c>
      <x:c r="C1677" t="str">
        <x:v>UNIVERSITAS DIPONEGORO</x:v>
      </x:c>
      <x:c r="D1677" t="str">
        <x:v>TEKNIK MESIN</x:v>
      </x:c>
      <x:c r="E1677" t="str">
        <x:v>Sarjana</x:v>
      </x:c>
      <x:c r="F1677" s="18" t="n">
        <x:v>75</x:v>
      </x:c>
      <x:c r="G1677" s="18" t="n">
        <x:v>1120</x:v>
      </x:c>
      <x:c r="H1677" s="19" t="n">
        <x:v>14.933333333333334</x:v>
      </x:c>
      <x:c r="I1677" s="18" t="n">
        <x:f>ROUND(MIN(Model_Config_v3!$B$6,MAX(Q1677,R1677,S1677*Model_Config_v3!$B$4+T1677*Model_Config_v3!$B$5)),0)</x:f>
        <x:v>683</x:v>
      </x:c>
      <x:c r="J1677" s="18" t="n">
        <x:f>MIN(Model_Config_v3!$B$6,I1677+Model_Config_v3!$B$7)</x:f>
        <x:v>703</x:v>
      </x:c>
      <x:c r="K1677" s="20" t="n">
        <x:v>68.5</x:v>
      </x:c>
      <x:c r="L1677" t="str">
        <x:v>SANGAT KETAT</x:v>
      </x:c>
      <x:c r="M1677" t="str">
        <x:v>SEDANG+</x:v>
      </x:c>
      <x:c r="N1677" t="str">
        <x:v>ELITE-2</x:v>
      </x:c>
      <x:c r="O1677" t="str">
        <x:v>SAINTEK</x:v>
      </x:c>
      <x:c r="P1677" t="str">
        <x:v>TEKNIK/ARSITEKTUR/STATISTIKA/AKTUARIA</x:v>
      </x:c>
      <x:c r="Q1677" s="18" t="n">
        <x:v>650</x:v>
      </x:c>
      <x:c r="R1677" s="18" t="n">
        <x:v>670</x:v>
      </x:c>
      <x:c r="S1677" s="18" t="n">
        <x:v>649.157243520633</x:v>
      </x:c>
      <x:c r="T1677" s="18" t="n">
        <x:v>697</x:v>
      </x:c>
      <x:c r="U1677" s="18" t="n">
        <x:v>659.157243520633</x:v>
      </x:c>
      <x:c r="V1677" s="20" t="n">
        <x:v>12</x:v>
      </x:c>
      <x:c r="W1677" s="20" t="n">
        <x:v>5</x:v>
      </x:c>
      <x:c r="X1677" s="20" t="n">
        <x:v>3</x:v>
      </x:c>
      <x:c r="Y1677" t="str">
        <x:v>Basis arsip 2025/2024</x:v>
      </x:c>
      <x:c r="Z1677" t="str">
        <x:v>https://snpmb.id/utbk-snbt/daya-tampung-snbt</x:v>
      </x:c>
      <x:c r="AA1677" t="str">
        <x:v>Tidak Ada</x:v>
      </x:c>
      <x:c r="AB1677" t="str">
        <x:v>Campus=90; Ratio=69.1; Prodi=60; RelDemand=39.8; Capacity=37.5</x:v>
      </x:c>
    </x:row>
    <x:row r="1678">
      <x:c r="A1678" t="n">
        <x:v>1675</x:v>
      </x:c>
      <x:c r="B1678" t="str">
        <x:v>PTN Akademik</x:v>
      </x:c>
      <x:c r="C1678" t="str">
        <x:v>UNIVERSITAS DIPONEGORO</x:v>
      </x:c>
      <x:c r="D1678" t="str">
        <x:v>TEKNIK KIMIA</x:v>
      </x:c>
      <x:c r="E1678" t="str">
        <x:v>Sarjana</x:v>
      </x:c>
      <x:c r="F1678" s="18" t="n">
        <x:v>75</x:v>
      </x:c>
      <x:c r="G1678" s="18" t="n">
        <x:v>887</x:v>
      </x:c>
      <x:c r="H1678" s="19" t="n">
        <x:v>11.826666666666666</x:v>
      </x:c>
      <x:c r="I1678" s="18" t="n">
        <x:f>ROUND(MIN(Model_Config_v3!$B$6,MAX(Q1678,R1678,S1678*Model_Config_v3!$B$4+T1678*Model_Config_v3!$B$5)),0)</x:f>
        <x:v>676</x:v>
      </x:c>
      <x:c r="J1678" s="18" t="n">
        <x:f>MIN(Model_Config_v3!$B$6,I1678+Model_Config_v3!$B$7)</x:f>
        <x:v>696</x:v>
      </x:c>
      <x:c r="K1678" s="20" t="n">
        <x:v>66.2</x:v>
      </x:c>
      <x:c r="L1678" t="str">
        <x:v>SANGAT KETAT</x:v>
      </x:c>
      <x:c r="M1678" t="str">
        <x:v>SEDANG+</x:v>
      </x:c>
      <x:c r="N1678" t="str">
        <x:v>ELITE-2</x:v>
      </x:c>
      <x:c r="O1678" t="str">
        <x:v>SAINTEK</x:v>
      </x:c>
      <x:c r="P1678" t="str">
        <x:v>TEKNIK/ARSITEKTUR/STATISTIKA/AKTUARIA</x:v>
      </x:c>
      <x:c r="Q1678" s="18" t="n">
        <x:v>650</x:v>
      </x:c>
      <x:c r="R1678" s="18" t="n">
        <x:v>670</x:v>
      </x:c>
      <x:c r="S1678" s="18" t="n">
        <x:v>638.0148592084029</x:v>
      </x:c>
      <x:c r="T1678" s="18" t="n">
        <x:v>692</x:v>
      </x:c>
      <x:c r="U1678" s="18" t="n">
        <x:v>650</x:v>
      </x:c>
      <x:c r="V1678" s="20" t="n">
        <x:v>12</x:v>
      </x:c>
      <x:c r="W1678" s="20" t="n">
        <x:v>5</x:v>
      </x:c>
      <x:c r="X1678" s="20" t="n">
        <x:v>3</x:v>
      </x:c>
      <x:c r="Y1678" t="str">
        <x:v>Basis arsip 2025/2024</x:v>
      </x:c>
      <x:c r="Z1678" t="str">
        <x:v>https://snpmb.id/utbk-snbt/daya-tampung-snbt</x:v>
      </x:c>
      <x:c r="AA1678" t="str">
        <x:v>Tidak Ada</x:v>
      </x:c>
      <x:c r="AB1678" t="str">
        <x:v>Campus=90; Ratio=63.1; Prodi=60; RelDemand=31.5; Capacity=37.5</x:v>
      </x:c>
    </x:row>
    <x:row r="1679">
      <x:c r="A1679" t="n">
        <x:v>1676</x:v>
      </x:c>
      <x:c r="B1679" t="str">
        <x:v>PTN Akademik</x:v>
      </x:c>
      <x:c r="C1679" t="str">
        <x:v>UNIVERSITAS DIPONEGORO</x:v>
      </x:c>
      <x:c r="D1679" t="str">
        <x:v>TEKNIK ELEKTRO</x:v>
      </x:c>
      <x:c r="E1679" t="str">
        <x:v>Sarjana</x:v>
      </x:c>
      <x:c r="F1679" s="18" t="n">
        <x:v>70</x:v>
      </x:c>
      <x:c r="G1679" s="18" t="n">
        <x:v>1099</x:v>
      </x:c>
      <x:c r="H1679" s="19" t="n">
        <x:v>15.7</x:v>
      </x:c>
      <x:c r="I1679" s="18" t="n">
        <x:f>ROUND(MIN(Model_Config_v3!$B$6,MAX(Q1679,R1679,S1679*Model_Config_v3!$B$4+T1679*Model_Config_v3!$B$5)),0)</x:f>
        <x:v>685</x:v>
      </x:c>
      <x:c r="J1679" s="18" t="n">
        <x:f>MIN(Model_Config_v3!$B$6,I1679+Model_Config_v3!$B$7)</x:f>
        <x:v>705</x:v>
      </x:c>
      <x:c r="K1679" s="20" t="n">
        <x:v>69.4</x:v>
      </x:c>
      <x:c r="L1679" t="str">
        <x:v>SANGAT KETAT</x:v>
      </x:c>
      <x:c r="M1679" t="str">
        <x:v>SEDANG+</x:v>
      </x:c>
      <x:c r="N1679" t="str">
        <x:v>ELITE-2</x:v>
      </x:c>
      <x:c r="O1679" t="str">
        <x:v>SAINTEK</x:v>
      </x:c>
      <x:c r="P1679" t="str">
        <x:v>TEKNIK/ARSITEKTUR/STATISTIKA/AKTUARIA</x:v>
      </x:c>
      <x:c r="Q1679" s="18" t="n">
        <x:v>650</x:v>
      </x:c>
      <x:c r="R1679" s="18" t="n">
        <x:v>670</x:v>
      </x:c>
      <x:c r="S1679" s="18" t="n">
        <x:v>651.5489617650157</x:v>
      </x:c>
      <x:c r="T1679" s="18" t="n">
        <x:v>699</x:v>
      </x:c>
      <x:c r="U1679" s="18" t="n">
        <x:v>661.5489617650157</x:v>
      </x:c>
      <x:c r="V1679" s="20" t="n">
        <x:v>12</x:v>
      </x:c>
      <x:c r="W1679" s="20" t="n">
        <x:v>5</x:v>
      </x:c>
      <x:c r="X1679" s="20" t="n">
        <x:v>3</x:v>
      </x:c>
      <x:c r="Y1679" t="str">
        <x:v>Basis arsip 2025/2024</x:v>
      </x:c>
      <x:c r="Z1679" t="str">
        <x:v>https://snpmb.id/utbk-snbt/daya-tampung-snbt</x:v>
      </x:c>
      <x:c r="AA1679" t="str">
        <x:v>Tidak Ada</x:v>
      </x:c>
      <x:c r="AB1679" t="str">
        <x:v>Campus=90; Ratio=70.4; Prodi=60; RelDemand=41.9; Capacity=41.7</x:v>
      </x:c>
    </x:row>
    <x:row r="1680">
      <x:c r="A1680" t="n">
        <x:v>1677</x:v>
      </x:c>
      <x:c r="B1680" t="str">
        <x:v>PTN Akademik</x:v>
      </x:c>
      <x:c r="C1680" t="str">
        <x:v>UNIVERSITAS DIPONEGORO</x:v>
      </x:c>
      <x:c r="D1680" t="str">
        <x:v>PERENCANAAN WILAYAH DAN KOTA</x:v>
      </x:c>
      <x:c r="E1680" t="str">
        <x:v>Sarjana</x:v>
      </x:c>
      <x:c r="F1680" s="18" t="n">
        <x:v>75</x:v>
      </x:c>
      <x:c r="G1680" s="18" t="n">
        <x:v>1192</x:v>
      </x:c>
      <x:c r="H1680" s="19" t="n">
        <x:v>15.893333333333333</x:v>
      </x:c>
      <x:c r="I1680" s="18" t="n">
        <x:f>ROUND(MIN(Model_Config_v3!$B$6,MAX(Q1680,R1680,S1680*Model_Config_v3!$B$4+T1680*Model_Config_v3!$B$5)),0)</x:f>
        <x:v>679</x:v>
      </x:c>
      <x:c r="J1680" s="18" t="n">
        <x:f>MIN(Model_Config_v3!$B$6,I1680+Model_Config_v3!$B$7)</x:f>
        <x:v>699</x:v>
      </x:c>
      <x:c r="K1680" s="20" t="n">
        <x:v>65.2</x:v>
      </x:c>
      <x:c r="L1680" t="str">
        <x:v>SANGAT KETAT</x:v>
      </x:c>
      <x:c r="M1680" t="str">
        <x:v>SEDANG+</x:v>
      </x:c>
      <x:c r="N1680" t="str">
        <x:v>ELITE-2</x:v>
      </x:c>
      <x:c r="O1680" t="str">
        <x:v>CAMPURAN</x:v>
      </x:c>
      <x:c r="P1680" t="str">
        <x:v>UMUM</x:v>
      </x:c>
      <x:c r="Q1680" s="18" t="n">
        <x:v>650</x:v>
      </x:c>
      <x:c r="R1680" s="18" t="n">
        <x:v>0</x:v>
      </x:c>
      <x:c r="S1680" s="18" t="n">
        <x:v>652.133649121377</x:v>
      </x:c>
      <x:c r="T1680" s="18" t="n">
        <x:v>690</x:v>
      </x:c>
      <x:c r="U1680" s="18" t="n">
        <x:v>652.133649121377</x:v>
      </x:c>
      <x:c r="V1680" s="20" t="n">
        <x:v>8.8</x:v>
      </x:c>
      <x:c r="W1680" s="20" t="n">
        <x:v>9.9</x:v>
      </x:c>
      <x:c r="X1680" s="20" t="n">
        <x:v>3.3</x:v>
      </x:c>
      <x:c r="Y1680" t="str">
        <x:v>Basis arsip 2025/2024</x:v>
      </x:c>
      <x:c r="Z1680" t="str">
        <x:v>https://snpmb.id/utbk-snbt/daya-tampung-snbt</x:v>
      </x:c>
      <x:c r="AA1680" t="str">
        <x:v>Tidak Ada</x:v>
      </x:c>
      <x:c r="AB1680" t="str">
        <x:v>Campus=90; Ratio=70.7; Prodi=40; RelDemand=42.4; Capacity=37.5</x:v>
      </x:c>
    </x:row>
    <x:row r="1681">
      <x:c r="A1681" t="n">
        <x:v>1678</x:v>
      </x:c>
      <x:c r="B1681" t="str">
        <x:v>PTN Akademik</x:v>
      </x:c>
      <x:c r="C1681" t="str">
        <x:v>UNIVERSITAS DIPONEGORO</x:v>
      </x:c>
      <x:c r="D1681" t="str">
        <x:v>TEKNIK INDUSTRI</x:v>
      </x:c>
      <x:c r="E1681" t="str">
        <x:v>Sarjana</x:v>
      </x:c>
      <x:c r="F1681" s="18" t="n">
        <x:v>75</x:v>
      </x:c>
      <x:c r="G1681" s="18" t="n">
        <x:v>1697</x:v>
      </x:c>
      <x:c r="H1681" s="19" t="n">
        <x:v>22.626666666666665</x:v>
      </x:c>
      <x:c r="I1681" s="18" t="n">
        <x:f>ROUND(MIN(Model_Config_v3!$B$6,MAX(Q1681,R1681,S1681*Model_Config_v3!$B$4+T1681*Model_Config_v3!$B$5)),0)</x:f>
        <x:v>695</x:v>
      </x:c>
      <x:c r="J1681" s="18" t="n">
        <x:f>MIN(Model_Config_v3!$B$6,I1681+Model_Config_v3!$B$7)</x:f>
        <x:v>715</x:v>
      </x:c>
      <x:c r="K1681" s="20" t="n">
        <x:v>73.2</x:v>
      </x:c>
      <x:c r="L1681" t="str">
        <x:v>SANGAT KETAT</x:v>
      </x:c>
      <x:c r="M1681" t="str">
        <x:v>SEDANG+</x:v>
      </x:c>
      <x:c r="N1681" t="str">
        <x:v>ELITE-2</x:v>
      </x:c>
      <x:c r="O1681" t="str">
        <x:v>SAINTEK</x:v>
      </x:c>
      <x:c r="P1681" t="str">
        <x:v>TEKNIK/ARSITEKTUR/STATISTIKA/AKTUARIA</x:v>
      </x:c>
      <x:c r="Q1681" s="18" t="n">
        <x:v>650</x:v>
      </x:c>
      <x:c r="R1681" s="18" t="n">
        <x:v>670</x:v>
      </x:c>
      <x:c r="S1681" s="18" t="n">
        <x:v>669.0082636818573</x:v>
      </x:c>
      <x:c r="T1681" s="18" t="n">
        <x:v>706</x:v>
      </x:c>
      <x:c r="U1681" s="18" t="n">
        <x:v>679.0082636818573</x:v>
      </x:c>
      <x:c r="V1681" s="20" t="n">
        <x:v>12</x:v>
      </x:c>
      <x:c r="W1681" s="20" t="n">
        <x:v>5</x:v>
      </x:c>
      <x:c r="X1681" s="20" t="n">
        <x:v>3</x:v>
      </x:c>
      <x:c r="Y1681" t="str">
        <x:v>Basis arsip 2025/2024</x:v>
      </x:c>
      <x:c r="Z1681" t="str">
        <x:v>https://snpmb.id/utbk-snbt/daya-tampung-snbt</x:v>
      </x:c>
      <x:c r="AA1681" t="str">
        <x:v>Tidak Ada</x:v>
      </x:c>
      <x:c r="AB1681" t="str">
        <x:v>Campus=90; Ratio=79.7; Prodi=60; RelDemand=60.3; Capacity=37.5</x:v>
      </x:c>
    </x:row>
    <x:row r="1682">
      <x:c r="A1682" t="n">
        <x:v>1679</x:v>
      </x:c>
      <x:c r="B1682" t="str">
        <x:v>PTN Akademik</x:v>
      </x:c>
      <x:c r="C1682" t="str">
        <x:v>UNIVERSITAS DIPONEGORO</x:v>
      </x:c>
      <x:c r="D1682" t="str">
        <x:v>TEKNIK LINGKUNGAN</x:v>
      </x:c>
      <x:c r="E1682" t="str">
        <x:v>Sarjana</x:v>
      </x:c>
      <x:c r="F1682" s="18" t="n">
        <x:v>70</x:v>
      </x:c>
      <x:c r="G1682" s="18" t="n">
        <x:v>964</x:v>
      </x:c>
      <x:c r="H1682" s="19" t="n">
        <x:v>13.771428571428572</x:v>
      </x:c>
      <x:c r="I1682" s="18" t="n">
        <x:f>ROUND(MIN(Model_Config_v3!$B$6,MAX(Q1682,R1682,S1682*Model_Config_v3!$B$4+T1682*Model_Config_v3!$B$5)),0)</x:f>
        <x:v>681</x:v>
      </x:c>
      <x:c r="J1682" s="18" t="n">
        <x:f>MIN(Model_Config_v3!$B$6,I1682+Model_Config_v3!$B$7)</x:f>
        <x:v>701</x:v>
      </x:c>
      <x:c r="K1682" s="20" t="n">
        <x:v>68.1</x:v>
      </x:c>
      <x:c r="L1682" t="str">
        <x:v>SANGAT KETAT</x:v>
      </x:c>
      <x:c r="M1682" t="str">
        <x:v>SEDANG+</x:v>
      </x:c>
      <x:c r="N1682" t="str">
        <x:v>ELITE-2</x:v>
      </x:c>
      <x:c r="O1682" t="str">
        <x:v>SAINTEK</x:v>
      </x:c>
      <x:c r="P1682" t="str">
        <x:v>TEKNIK/ARSITEKTUR/STATISTIKA/AKTUARIA</x:v>
      </x:c>
      <x:c r="Q1682" s="18" t="n">
        <x:v>650</x:v>
      </x:c>
      <x:c r="R1682" s="18" t="n">
        <x:v>670</x:v>
      </x:c>
      <x:c r="S1682" s="18" t="n">
        <x:v>645.2876893277431</x:v>
      </x:c>
      <x:c r="T1682" s="18" t="n">
        <x:v>696</x:v>
      </x:c>
      <x:c r="U1682" s="18" t="n">
        <x:v>655.2876893277431</x:v>
      </x:c>
      <x:c r="V1682" s="20" t="n">
        <x:v>12</x:v>
      </x:c>
      <x:c r="W1682" s="20" t="n">
        <x:v>5</x:v>
      </x:c>
      <x:c r="X1682" s="20" t="n">
        <x:v>3</x:v>
      </x:c>
      <x:c r="Y1682" t="str">
        <x:v>Basis arsip 2025/2024</x:v>
      </x:c>
      <x:c r="Z1682" t="str">
        <x:v>https://snpmb.id/utbk-snbt/daya-tampung-snbt</x:v>
      </x:c>
      <x:c r="AA1682" t="str">
        <x:v>Tidak Ada</x:v>
      </x:c>
      <x:c r="AB1682" t="str">
        <x:v>Campus=90; Ratio=67.0; Prodi=60; RelDemand=36.7; Capacity=41.7</x:v>
      </x:c>
    </x:row>
    <x:row r="1683">
      <x:c r="A1683" t="n">
        <x:v>1680</x:v>
      </x:c>
      <x:c r="B1683" t="str">
        <x:v>PTN Akademik</x:v>
      </x:c>
      <x:c r="C1683" t="str">
        <x:v>UNIVERSITAS DIPONEGORO</x:v>
      </x:c>
      <x:c r="D1683" t="str">
        <x:v>TEKNIK PERKAPALAN</x:v>
      </x:c>
      <x:c r="E1683" t="str">
        <x:v>Sarjana</x:v>
      </x:c>
      <x:c r="F1683" s="18" t="n">
        <x:v>70</x:v>
      </x:c>
      <x:c r="G1683" s="18" t="n">
        <x:v>601</x:v>
      </x:c>
      <x:c r="H1683" s="19" t="n">
        <x:v>8.585714285714285</x:v>
      </x:c>
      <x:c r="I1683" s="18" t="n">
        <x:f>ROUND(MIN(Model_Config_v3!$B$6,MAX(Q1683,R1683,S1683*Model_Config_v3!$B$4+T1683*Model_Config_v3!$B$5)),0)</x:f>
        <x:v>670</x:v>
      </x:c>
      <x:c r="J1683" s="18" t="n">
        <x:f>MIN(Model_Config_v3!$B$6,I1683+Model_Config_v3!$B$7)</x:f>
        <x:v>690</x:v>
      </x:c>
      <x:c r="K1683" s="20" t="n">
        <x:v>63.7</x:v>
      </x:c>
      <x:c r="L1683" t="str">
        <x:v>KETAT</x:v>
      </x:c>
      <x:c r="M1683" t="str">
        <x:v>SEDANG+</x:v>
      </x:c>
      <x:c r="N1683" t="str">
        <x:v>ELITE-2</x:v>
      </x:c>
      <x:c r="O1683" t="str">
        <x:v>SAINTEK</x:v>
      </x:c>
      <x:c r="P1683" t="str">
        <x:v>TEKNIK/ARSITEKTUR/STATISTIKA/AKTUARIA</x:v>
      </x:c>
      <x:c r="Q1683" s="18" t="n">
        <x:v>650</x:v>
      </x:c>
      <x:c r="R1683" s="18" t="n">
        <x:v>670</x:v>
      </x:c>
      <x:c r="S1683" s="18" t="n">
        <x:v>622.7154075187331</x:v>
      </x:c>
      <x:c r="T1683" s="18" t="n">
        <x:v>687</x:v>
      </x:c>
      <x:c r="U1683" s="18" t="n">
        <x:v>650</x:v>
      </x:c>
      <x:c r="V1683" s="20" t="n">
        <x:v>12</x:v>
      </x:c>
      <x:c r="W1683" s="20" t="n">
        <x:v>5</x:v>
      </x:c>
      <x:c r="X1683" s="20" t="n">
        <x:v>3</x:v>
      </x:c>
      <x:c r="Y1683" t="str">
        <x:v>Basis arsip 2025/2024</x:v>
      </x:c>
      <x:c r="Z1683" t="str">
        <x:v>https://snpmb.id/utbk-snbt/daya-tampung-snbt</x:v>
      </x:c>
      <x:c r="AA1683" t="str">
        <x:v>Tidak Ada</x:v>
      </x:c>
      <x:c r="AB1683" t="str">
        <x:v>Campus=90; Ratio=55.0; Prodi=60; RelDemand=22.9; Capacity=41.7</x:v>
      </x:c>
    </x:row>
    <x:row r="1684">
      <x:c r="A1684" t="n">
        <x:v>1681</x:v>
      </x:c>
      <x:c r="B1684" t="str">
        <x:v>PTN Akademik</x:v>
      </x:c>
      <x:c r="C1684" t="str">
        <x:v>UNIVERSITAS DIPONEGORO</x:v>
      </x:c>
      <x:c r="D1684" t="str">
        <x:v>TEKNIK GEOLOGI</x:v>
      </x:c>
      <x:c r="E1684" t="str">
        <x:v>Sarjana</x:v>
      </x:c>
      <x:c r="F1684" s="18" t="n">
        <x:v>60</x:v>
      </x:c>
      <x:c r="G1684" s="18" t="n">
        <x:v>1078</x:v>
      </x:c>
      <x:c r="H1684" s="19" t="n">
        <x:v>17.966666666666665</x:v>
      </x:c>
      <x:c r="I1684" s="18" t="n">
        <x:f>ROUND(MIN(Model_Config_v3!$B$6,MAX(Q1684,R1684,S1684*Model_Config_v3!$B$4+T1684*Model_Config_v3!$B$5)),0)</x:f>
        <x:v>689</x:v>
      </x:c>
      <x:c r="J1684" s="18" t="n">
        <x:f>MIN(Model_Config_v3!$B$6,I1684+Model_Config_v3!$B$7)</x:f>
        <x:v>709</x:v>
      </x:c>
      <x:c r="K1684" s="20" t="n">
        <x:v>71.7</x:v>
      </x:c>
      <x:c r="L1684" t="str">
        <x:v>SANGAT KETAT</x:v>
      </x:c>
      <x:c r="M1684" t="str">
        <x:v>SEDANG+</x:v>
      </x:c>
      <x:c r="N1684" t="str">
        <x:v>ELITE-2</x:v>
      </x:c>
      <x:c r="O1684" t="str">
        <x:v>SAINTEK</x:v>
      </x:c>
      <x:c r="P1684" t="str">
        <x:v>TEKNIK/ARSITEKTUR/STATISTIKA/AKTUARIA</x:v>
      </x:c>
      <x:c r="Q1684" s="18" t="n">
        <x:v>650</x:v>
      </x:c>
      <x:c r="R1684" s="18" t="n">
        <x:v>670</x:v>
      </x:c>
      <x:c r="S1684" s="18" t="n">
        <x:v>657.9914261513784</x:v>
      </x:c>
      <x:c r="T1684" s="18" t="n">
        <x:v>703</x:v>
      </x:c>
      <x:c r="U1684" s="18" t="n">
        <x:v>667.9914261513784</x:v>
      </x:c>
      <x:c r="V1684" s="20" t="n">
        <x:v>12</x:v>
      </x:c>
      <x:c r="W1684" s="20" t="n">
        <x:v>5</x:v>
      </x:c>
      <x:c r="X1684" s="20" t="n">
        <x:v>3</x:v>
      </x:c>
      <x:c r="Y1684" t="str">
        <x:v>Basis arsip 2025/2024</x:v>
      </x:c>
      <x:c r="Z1684" t="str">
        <x:v>https://snpmb.id/utbk-snbt/daya-tampung-snbt</x:v>
      </x:c>
      <x:c r="AA1684" t="str">
        <x:v>Tidak Ada</x:v>
      </x:c>
      <x:c r="AB1684" t="str">
        <x:v>Campus=90; Ratio=73.8; Prodi=60; RelDemand=47.9; Capacity=50.0</x:v>
      </x:c>
    </x:row>
    <x:row r="1685">
      <x:c r="A1685" t="n">
        <x:v>1682</x:v>
      </x:c>
      <x:c r="B1685" t="str">
        <x:v>PTN Akademik</x:v>
      </x:c>
      <x:c r="C1685" t="str">
        <x:v>UNIVERSITAS DIPONEGORO</x:v>
      </x:c>
      <x:c r="D1685" t="str">
        <x:v>TEKNIK GEODESI</x:v>
      </x:c>
      <x:c r="E1685" t="str">
        <x:v>Sarjana</x:v>
      </x:c>
      <x:c r="F1685" s="18" t="n">
        <x:v>60</x:v>
      </x:c>
      <x:c r="G1685" s="18" t="n">
        <x:v>604</x:v>
      </x:c>
      <x:c r="H1685" s="19" t="n">
        <x:v>10.066666666666666</x:v>
      </x:c>
      <x:c r="I1685" s="18" t="n">
        <x:f>ROUND(MIN(Model_Config_v3!$B$6,MAX(Q1685,R1685,S1685*Model_Config_v3!$B$4+T1685*Model_Config_v3!$B$5)),0)</x:f>
        <x:v>673</x:v>
      </x:c>
      <x:c r="J1685" s="18" t="n">
        <x:f>MIN(Model_Config_v3!$B$6,I1685+Model_Config_v3!$B$7)</x:f>
        <x:v>693</x:v>
      </x:c>
      <x:c r="K1685" s="20" t="n">
        <x:v>65.9</x:v>
      </x:c>
      <x:c r="L1685" t="str">
        <x:v>SANGAT KETAT</x:v>
      </x:c>
      <x:c r="M1685" t="str">
        <x:v>SEDANG+</x:v>
      </x:c>
      <x:c r="N1685" t="str">
        <x:v>ELITE-2</x:v>
      </x:c>
      <x:c r="O1685" t="str">
        <x:v>SAINTEK</x:v>
      </x:c>
      <x:c r="P1685" t="str">
        <x:v>TEKNIK/ARSITEKTUR/STATISTIKA/AKTUARIA</x:v>
      </x:c>
      <x:c r="Q1685" s="18" t="n">
        <x:v>650</x:v>
      </x:c>
      <x:c r="R1685" s="18" t="n">
        <x:v>670</x:v>
      </x:c>
      <x:c r="S1685" s="18" t="n">
        <x:v>630.3174257061237</x:v>
      </x:c>
      <x:c r="T1685" s="18" t="n">
        <x:v>692</x:v>
      </x:c>
      <x:c r="U1685" s="18" t="n">
        <x:v>650</x:v>
      </x:c>
      <x:c r="V1685" s="20" t="n">
        <x:v>12</x:v>
      </x:c>
      <x:c r="W1685" s="20" t="n">
        <x:v>5</x:v>
      </x:c>
      <x:c r="X1685" s="20" t="n">
        <x:v>3</x:v>
      </x:c>
      <x:c r="Y1685" t="str">
        <x:v>Basis arsip 2025/2024</x:v>
      </x:c>
      <x:c r="Z1685" t="str">
        <x:v>https://snpmb.id/utbk-snbt/daya-tampung-snbt</x:v>
      </x:c>
      <x:c r="AA1685" t="str">
        <x:v>Tidak Ada</x:v>
      </x:c>
      <x:c r="AB1685" t="str">
        <x:v>Campus=90; Ratio=59.0; Prodi=60; RelDemand=26.8; Capacity=50.0</x:v>
      </x:c>
    </x:row>
    <x:row r="1686">
      <x:c r="A1686" t="n">
        <x:v>1683</x:v>
      </x:c>
      <x:c r="B1686" t="str">
        <x:v>PTN Akademik</x:v>
      </x:c>
      <x:c r="C1686" t="str">
        <x:v>UNIVERSITAS DIPONEGORO</x:v>
      </x:c>
      <x:c r="D1686" t="str">
        <x:v>TEKNIK KOMPUTER</x:v>
      </x:c>
      <x:c r="E1686" t="str">
        <x:v>Sarjana</x:v>
      </x:c>
      <x:c r="F1686" s="18" t="n">
        <x:v>65</x:v>
      </x:c>
      <x:c r="G1686" s="18" t="n">
        <x:v>954</x:v>
      </x:c>
      <x:c r="H1686" s="19" t="n">
        <x:v>14.676923076923076</x:v>
      </x:c>
      <x:c r="I1686" s="18" t="n">
        <x:f>ROUND(MIN(Model_Config_v3!$B$6,MAX(Q1686,R1686,S1686*Model_Config_v3!$B$4+T1686*Model_Config_v3!$B$5)),0)</x:f>
        <x:v>695</x:v>
      </x:c>
      <x:c r="J1686" s="18" t="n">
        <x:f>MIN(Model_Config_v3!$B$6,I1686+Model_Config_v3!$B$7)</x:f>
        <x:v>715</x:v>
      </x:c>
      <x:c r="K1686" s="20" t="n">
        <x:v>74.2</x:v>
      </x:c>
      <x:c r="L1686" t="str">
        <x:v>SANGAT KETAT</x:v>
      </x:c>
      <x:c r="M1686" t="str">
        <x:v>SEDANG+</x:v>
      </x:c>
      <x:c r="N1686" t="str">
        <x:v>ELITE-2</x:v>
      </x:c>
      <x:c r="O1686" t="str">
        <x:v>SAINTEK</x:v>
      </x:c>
      <x:c r="P1686" t="str">
        <x:v>KOMPUTER/INFORMATIKA</x:v>
      </x:c>
      <x:c r="Q1686" s="18" t="n">
        <x:v>650</x:v>
      </x:c>
      <x:c r="R1686" s="18" t="n">
        <x:v>695</x:v>
      </x:c>
      <x:c r="S1686" s="18" t="n">
        <x:v>648.3298519867363</x:v>
      </x:c>
      <x:c r="T1686" s="18" t="n">
        <x:v>708</x:v>
      </x:c>
      <x:c r="U1686" s="18" t="n">
        <x:v>695</x:v>
      </x:c>
      <x:c r="V1686" s="20" t="n">
        <x:v>12</x:v>
      </x:c>
      <x:c r="W1686" s="20" t="n">
        <x:v>5</x:v>
      </x:c>
      <x:c r="X1686" s="20" t="n">
        <x:v>3</x:v>
      </x:c>
      <x:c r="Y1686" t="str">
        <x:v>Basis arsip 2025/2024</x:v>
      </x:c>
      <x:c r="Z1686" t="str">
        <x:v>https://snpmb.id/utbk-snbt/daya-tampung-snbt</x:v>
      </x:c>
      <x:c r="AA1686" t="str">
        <x:v>Tidak Ada</x:v>
      </x:c>
      <x:c r="AB1686" t="str">
        <x:v>Campus=90; Ratio=68.7; Prodi=85; RelDemand=39.1; Capacity=45.8</x:v>
      </x:c>
    </x:row>
    <x:row r="1687">
      <x:c r="A1687" t="n">
        <x:v>1684</x:v>
      </x:c>
      <x:c r="B1687" t="str">
        <x:v>PTN Akademik</x:v>
      </x:c>
      <x:c r="C1687" t="str">
        <x:v>UNIVERSITAS DIPONEGORO</x:v>
      </x:c>
      <x:c r="D1687" t="str">
        <x:v>PETERNAKAN</x:v>
      </x:c>
      <x:c r="E1687" t="str">
        <x:v>Sarjana</x:v>
      </x:c>
      <x:c r="F1687" s="18" t="n">
        <x:v>105</x:v>
      </x:c>
      <x:c r="G1687" s="18" t="n">
        <x:v>722</x:v>
      </x:c>
      <x:c r="H1687" s="19" t="n">
        <x:v>6.876190476190477</x:v>
      </x:c>
      <x:c r="I1687" s="18" t="n">
        <x:f>ROUND(MIN(Model_Config_v3!$B$6,MAX(Q1687,R1687,S1687*Model_Config_v3!$B$4+T1687*Model_Config_v3!$B$5)),0)</x:f>
        <x:v>653</x:v>
      </x:c>
      <x:c r="J1687" s="18" t="n">
        <x:f>MIN(Model_Config_v3!$B$6,I1687+Model_Config_v3!$B$7)</x:f>
        <x:v>673</x:v>
      </x:c>
      <x:c r="K1687" s="20" t="n">
        <x:v>54.9</x:v>
      </x:c>
      <x:c r="L1687" t="str">
        <x:v>MENENGAH</x:v>
      </x:c>
      <x:c r="M1687" t="str">
        <x:v>SEDANG+</x:v>
      </x:c>
      <x:c r="N1687" t="str">
        <x:v>ELITE-2</x:v>
      </x:c>
      <x:c r="O1687" t="str">
        <x:v>SAINTEK</x:v>
      </x:c>
      <x:c r="P1687" t="str">
        <x:v>UMUM</x:v>
      </x:c>
      <x:c r="Q1687" s="18" t="n">
        <x:v>650</x:v>
      </x:c>
      <x:c r="R1687" s="18" t="n">
        <x:v>0</x:v>
      </x:c>
      <x:c r="S1687" s="18" t="n">
        <x:v>612.1082688349671</x:v>
      </x:c>
      <x:c r="T1687" s="18" t="n">
        <x:v>670</x:v>
      </x:c>
      <x:c r="U1687" s="18" t="n">
        <x:v>650</x:v>
      </x:c>
      <x:c r="V1687" s="20" t="n">
        <x:v>12</x:v>
      </x:c>
      <x:c r="W1687" s="20" t="n">
        <x:v>5</x:v>
      </x:c>
      <x:c r="X1687" s="20" t="n">
        <x:v>3</x:v>
      </x:c>
      <x:c r="Y1687" t="str">
        <x:v>Basis arsip 2025/2024</x:v>
      </x:c>
      <x:c r="Z1687" t="str">
        <x:v>https://snpmb.id/utbk-snbt/daya-tampung-snbt</x:v>
      </x:c>
      <x:c r="AA1687" t="str">
        <x:v>Tidak Ada</x:v>
      </x:c>
      <x:c r="AB1687" t="str">
        <x:v>Campus=90; Ratio=49.3; Prodi=40; RelDemand=18.3; Capacity=12.5</x:v>
      </x:c>
    </x:row>
    <x:row r="1688">
      <x:c r="A1688" t="n">
        <x:v>1685</x:v>
      </x:c>
      <x:c r="B1688" t="str">
        <x:v>PTN Akademik</x:v>
      </x:c>
      <x:c r="C1688" t="str">
        <x:v>UNIVERSITAS DIPONEGORO</x:v>
      </x:c>
      <x:c r="D1688" t="str">
        <x:v>TEKNOLOGI PANGAN</x:v>
      </x:c>
      <x:c r="E1688" t="str">
        <x:v>Sarjana</x:v>
      </x:c>
      <x:c r="F1688" s="18" t="n">
        <x:v>72</x:v>
      </x:c>
      <x:c r="G1688" s="18" t="n">
        <x:v>1481</x:v>
      </x:c>
      <x:c r="H1688" s="19" t="n">
        <x:v>20.569444444444443</x:v>
      </x:c>
      <x:c r="I1688" s="18" t="n">
        <x:f>ROUND(MIN(Model_Config_v3!$B$6,MAX(Q1688,R1688,S1688*Model_Config_v3!$B$4+T1688*Model_Config_v3!$B$5)),0)</x:f>
        <x:v>687</x:v>
      </x:c>
      <x:c r="J1688" s="18" t="n">
        <x:f>MIN(Model_Config_v3!$B$6,I1688+Model_Config_v3!$B$7)</x:f>
        <x:v>707</x:v>
      </x:c>
      <x:c r="K1688" s="20" t="n">
        <x:v>68.3</x:v>
      </x:c>
      <x:c r="L1688" t="str">
        <x:v>SANGAT KETAT</x:v>
      </x:c>
      <x:c r="M1688" t="str">
        <x:v>SEDANG+</x:v>
      </x:c>
      <x:c r="N1688" t="str">
        <x:v>ELITE-2</x:v>
      </x:c>
      <x:c r="O1688" t="str">
        <x:v>SAINTEK</x:v>
      </x:c>
      <x:c r="P1688" t="str">
        <x:v>UMUM</x:v>
      </x:c>
      <x:c r="Q1688" s="18" t="n">
        <x:v>650</x:v>
      </x:c>
      <x:c r="R1688" s="18" t="n">
        <x:v>0</x:v>
      </x:c>
      <x:c r="S1688" s="18" t="n">
        <x:v>664.4544818298934</x:v>
      </x:c>
      <x:c r="T1688" s="18" t="n">
        <x:v>697</x:v>
      </x:c>
      <x:c r="U1688" s="18" t="n">
        <x:v>664.4544818298934</x:v>
      </x:c>
      <x:c r="V1688" s="20" t="n">
        <x:v>12</x:v>
      </x:c>
      <x:c r="W1688" s="20" t="n">
        <x:v>5</x:v>
      </x:c>
      <x:c r="X1688" s="20" t="n">
        <x:v>3</x:v>
      </x:c>
      <x:c r="Y1688" t="str">
        <x:v>Basis arsip 2025/2024</x:v>
      </x:c>
      <x:c r="Z1688" t="str">
        <x:v>https://snpmb.id/utbk-snbt/daya-tampung-snbt</x:v>
      </x:c>
      <x:c r="AA1688" t="str">
        <x:v>Tidak Ada</x:v>
      </x:c>
      <x:c r="AB1688" t="str">
        <x:v>Campus=90; Ratio=77.3; Prodi=40; RelDemand=54.8; Capacity=40.0</x:v>
      </x:c>
    </x:row>
    <x:row r="1689">
      <x:c r="A1689" t="n">
        <x:v>1686</x:v>
      </x:c>
      <x:c r="B1689" t="str">
        <x:v>PTN Akademik</x:v>
      </x:c>
      <x:c r="C1689" t="str">
        <x:v>UNIVERSITAS DIPONEGORO</x:v>
      </x:c>
      <x:c r="D1689" t="str">
        <x:v>AGROEKOTEKNOLOGI</x:v>
      </x:c>
      <x:c r="E1689" t="str">
        <x:v>Sarjana</x:v>
      </x:c>
      <x:c r="F1689" s="18" t="n">
        <x:v>66</x:v>
      </x:c>
      <x:c r="G1689" s="18" t="n">
        <x:v>495</x:v>
      </x:c>
      <x:c r="H1689" s="19" t="n">
        <x:v>7.5</x:v>
      </x:c>
      <x:c r="I1689" s="18" t="n">
        <x:f>ROUND(MIN(Model_Config_v3!$B$6,MAX(Q1689,R1689,S1689*Model_Config_v3!$B$4+T1689*Model_Config_v3!$B$5)),0)</x:f>
        <x:v>659</x:v>
      </x:c>
      <x:c r="J1689" s="18" t="n">
        <x:f>MIN(Model_Config_v3!$B$6,I1689+Model_Config_v3!$B$7)</x:f>
        <x:v>679</x:v>
      </x:c>
      <x:c r="K1689" s="20" t="n">
        <x:v>58.9</x:v>
      </x:c>
      <x:c r="L1689" t="str">
        <x:v>KETAT</x:v>
      </x:c>
      <x:c r="M1689" t="str">
        <x:v>SEDANG+</x:v>
      </x:c>
      <x:c r="N1689" t="str">
        <x:v>ELITE-2</x:v>
      </x:c>
      <x:c r="O1689" t="str">
        <x:v>SAINTEK</x:v>
      </x:c>
      <x:c r="P1689" t="str">
        <x:v>UMUM</x:v>
      </x:c>
      <x:c r="Q1689" s="18" t="n">
        <x:v>650</x:v>
      </x:c>
      <x:c r="R1689" s="18" t="n">
        <x:v>0</x:v>
      </x:c>
      <x:c r="S1689" s="18" t="n">
        <x:v>616.256738973087</x:v>
      </x:c>
      <x:c r="T1689" s="18" t="n">
        <x:v>678</x:v>
      </x:c>
      <x:c r="U1689" s="18" t="n">
        <x:v>650</x:v>
      </x:c>
      <x:c r="V1689" s="20" t="n">
        <x:v>12</x:v>
      </x:c>
      <x:c r="W1689" s="20" t="n">
        <x:v>5</x:v>
      </x:c>
      <x:c r="X1689" s="20" t="n">
        <x:v>3</x:v>
      </x:c>
      <x:c r="Y1689" t="str">
        <x:v>Basis arsip 2025/2024</x:v>
      </x:c>
      <x:c r="Z1689" t="str">
        <x:v>https://snpmb.id/utbk-snbt/daya-tampung-snbt</x:v>
      </x:c>
      <x:c r="AA1689" t="str">
        <x:v>Tidak Ada</x:v>
      </x:c>
      <x:c r="AB1689" t="str">
        <x:v>Campus=90; Ratio=51.5; Prodi=40; RelDemand=20.0; Capacity=45.0</x:v>
      </x:c>
    </x:row>
    <x:row r="1690">
      <x:c r="A1690" t="n">
        <x:v>1687</x:v>
      </x:c>
      <x:c r="B1690" t="str">
        <x:v>PTN Akademik</x:v>
      </x:c>
      <x:c r="C1690" t="str">
        <x:v>UNIVERSITAS DIPONEGORO</x:v>
      </x:c>
      <x:c r="D1690" t="str">
        <x:v>AGRIBISNIS</x:v>
      </x:c>
      <x:c r="E1690" t="str">
        <x:v>Sarjana</x:v>
      </x:c>
      <x:c r="F1690" s="18" t="n">
        <x:v>66</x:v>
      </x:c>
      <x:c r="G1690" s="18" t="n">
        <x:v>709</x:v>
      </x:c>
      <x:c r="H1690" s="19" t="n">
        <x:v>10.742424242424242</x:v>
      </x:c>
      <x:c r="I1690" s="18" t="n">
        <x:f>ROUND(MIN(Model_Config_v3!$B$6,MAX(Q1690,R1690,S1690*Model_Config_v3!$B$4+T1690*Model_Config_v3!$B$5)),0)</x:f>
        <x:v>680</x:v>
      </x:c>
      <x:c r="J1690" s="18" t="n">
        <x:f>MIN(Model_Config_v3!$B$6,I1690+Model_Config_v3!$B$7)</x:f>
        <x:v>700</x:v>
      </x:c>
      <x:c r="K1690" s="20" t="n">
        <x:v>67</x:v>
      </x:c>
      <x:c r="L1690" t="str">
        <x:v>SANGAT KETAT</x:v>
      </x:c>
      <x:c r="M1690" t="str">
        <x:v>SEDANG+</x:v>
      </x:c>
      <x:c r="N1690" t="str">
        <x:v>ELITE-2</x:v>
      </x:c>
      <x:c r="O1690" t="str">
        <x:v>SOSHUM</x:v>
      </x:c>
      <x:c r="P1690" t="str">
        <x:v>BISNIS/EKONOMI/AKUNTANSI</x:v>
      </x:c>
      <x:c r="Q1690" s="18" t="n">
        <x:v>650</x:v>
      </x:c>
      <x:c r="R1690" s="18" t="n">
        <x:v>680</x:v>
      </x:c>
      <x:c r="S1690" s="18" t="n">
        <x:v>633.4212529605318</x:v>
      </x:c>
      <x:c r="T1690" s="18" t="n">
        <x:v>694</x:v>
      </x:c>
      <x:c r="U1690" s="18" t="n">
        <x:v>650</x:v>
      </x:c>
      <x:c r="V1690" s="20" t="n">
        <x:v>4.4</x:v>
      </x:c>
      <x:c r="W1690" s="20" t="n">
        <x:v>14.3</x:v>
      </x:c>
      <x:c r="X1690" s="20" t="n">
        <x:v>3.3</x:v>
      </x:c>
      <x:c r="Y1690" t="str">
        <x:v>Basis arsip 2025/2024</x:v>
      </x:c>
      <x:c r="Z1690" t="str">
        <x:v>https://snpmb.id/utbk-snbt/daya-tampung-snbt</x:v>
      </x:c>
      <x:c r="AA1690" t="str">
        <x:v>Tidak Ada</x:v>
      </x:c>
      <x:c r="AB1690" t="str">
        <x:v>Campus=90; Ratio=60.7; Prodi=65; RelDemand=28.6; Capacity=45.0</x:v>
      </x:c>
    </x:row>
    <x:row r="1691">
      <x:c r="A1691" t="n">
        <x:v>1688</x:v>
      </x:c>
      <x:c r="B1691" t="str">
        <x:v>PTN Akademik</x:v>
      </x:c>
      <x:c r="C1691" t="str">
        <x:v>UNIVERSITAS DIPONEGORO</x:v>
      </x:c>
      <x:c r="D1691" t="str">
        <x:v>KEDOKTERAN GIGI</x:v>
      </x:c>
      <x:c r="E1691" t="str">
        <x:v>Sarjana</x:v>
      </x:c>
      <x:c r="F1691" s="18" t="n">
        <x:v>15</x:v>
      </x:c>
      <x:c r="G1691" s="18" t="n">
        <x:v>736</x:v>
      </x:c>
      <x:c r="H1691" s="19" t="n">
        <x:v>49.06666666666667</x:v>
      </x:c>
      <x:c r="I1691" s="18" t="n">
        <x:f>ROUND(MIN(Model_Config_v3!$B$6,MAX(Q1691,R1691,S1691*Model_Config_v3!$B$4+T1691*Model_Config_v3!$B$5)),0)</x:f>
        <x:v>734</x:v>
      </x:c>
      <x:c r="J1691" s="18" t="n">
        <x:f>MIN(Model_Config_v3!$B$6,I1691+Model_Config_v3!$B$7)</x:f>
        <x:v>754</x:v>
      </x:c>
      <x:c r="K1691" s="20" t="n">
        <x:v>93.1</x:v>
      </x:c>
      <x:c r="L1691" t="str">
        <x:v>ULTRA ELITE</x:v>
      </x:c>
      <x:c r="M1691" t="str">
        <x:v>SEDANG+</x:v>
      </x:c>
      <x:c r="N1691" t="str">
        <x:v>ELITE-2</x:v>
      </x:c>
      <x:c r="O1691" t="str">
        <x:v>SAINTEK</x:v>
      </x:c>
      <x:c r="P1691" t="str">
        <x:v>KEDOKTERAN GIGI</x:v>
      </x:c>
      <x:c r="Q1691" s="18" t="n">
        <x:v>650</x:v>
      </x:c>
      <x:c r="R1691" s="18" t="n">
        <x:v>700</x:v>
      </x:c>
      <x:c r="S1691" s="18" t="n">
        <x:v>705.9865210809999</x:v>
      </x:c>
      <x:c r="T1691" s="18" t="n">
        <x:v>746</x:v>
      </x:c>
      <x:c r="U1691" s="18" t="n">
        <x:v>735.9865210809999</x:v>
      </x:c>
      <x:c r="V1691" s="20" t="n">
        <x:v>12</x:v>
      </x:c>
      <x:c r="W1691" s="20" t="n">
        <x:v>5</x:v>
      </x:c>
      <x:c r="X1691" s="20" t="n">
        <x:v>3</x:v>
      </x:c>
      <x:c r="Y1691" t="str">
        <x:v>Basis arsip 2025/2024</x:v>
      </x:c>
      <x:c r="Z1691" t="str">
        <x:v>https://snpmb.id/utbk-snbt/daya-tampung-snbt</x:v>
      </x:c>
      <x:c r="AA1691" t="str">
        <x:v>Tidak Ada</x:v>
      </x:c>
      <x:c r="AB1691" t="str">
        <x:v>Campus=90; Ratio=99.5; Prodi=90; RelDemand=100.0; Capacity=87.5</x:v>
      </x:c>
    </x:row>
    <x:row r="1692">
      <x:c r="A1692" t="n">
        <x:v>1689</x:v>
      </x:c>
      <x:c r="B1692" t="str">
        <x:v>PTN Akademik</x:v>
      </x:c>
      <x:c r="C1692" t="str">
        <x:v>UNIVERSITAS DIPONEGORO</x:v>
      </x:c>
      <x:c r="D1692" t="str">
        <x:v>FARMASI</x:v>
      </x:c>
      <x:c r="E1692" t="str">
        <x:v>Sarjana</x:v>
      </x:c>
      <x:c r="F1692" s="18" t="n">
        <x:v>27</x:v>
      </x:c>
      <x:c r="G1692" s="18" t="n">
        <x:v>1277</x:v>
      </x:c>
      <x:c r="H1692" s="19" t="n">
        <x:v>47.2962962962963</x:v>
      </x:c>
      <x:c r="I1692" s="18" t="n">
        <x:f>ROUND(MIN(Model_Config_v3!$B$6,MAX(Q1692,R1692,S1692*Model_Config_v3!$B$4+T1692*Model_Config_v3!$B$5)),0)</x:f>
        <x:v>728</x:v>
      </x:c>
      <x:c r="J1692" s="18" t="n">
        <x:f>MIN(Model_Config_v3!$B$6,I1692+Model_Config_v3!$B$7)</x:f>
        <x:v>748</x:v>
      </x:c>
      <x:c r="K1692" s="20" t="n">
        <x:v>88.9</x:v>
      </x:c>
      <x:c r="L1692" t="str">
        <x:v>ULTRA ELITE</x:v>
      </x:c>
      <x:c r="M1692" t="str">
        <x:v>SEDANG+</x:v>
      </x:c>
      <x:c r="N1692" t="str">
        <x:v>ELITE-2</x:v>
      </x:c>
      <x:c r="O1692" t="str">
        <x:v>SAINTEK</x:v>
      </x:c>
      <x:c r="P1692" t="str">
        <x:v>FARMASI</x:v>
      </x:c>
      <x:c r="Q1692" s="18" t="n">
        <x:v>650</x:v>
      </x:c>
      <x:c r="R1692" s="18" t="n">
        <x:v>680</x:v>
      </x:c>
      <x:c r="S1692" s="18" t="n">
        <x:v>704.2309846414871</x:v>
      </x:c>
      <x:c r="T1692" s="18" t="n">
        <x:v>738</x:v>
      </x:c>
      <x:c r="U1692" s="18" t="n">
        <x:v>724.2309846414871</x:v>
      </x:c>
      <x:c r="V1692" s="20" t="n">
        <x:v>12</x:v>
      </x:c>
      <x:c r="W1692" s="20" t="n">
        <x:v>5</x:v>
      </x:c>
      <x:c r="X1692" s="20" t="n">
        <x:v>3</x:v>
      </x:c>
      <x:c r="Y1692" t="str">
        <x:v>Basis arsip 2025/2024</x:v>
      </x:c>
      <x:c r="Z1692" t="str">
        <x:v>https://snpmb.id/utbk-snbt/daya-tampung-snbt</x:v>
      </x:c>
      <x:c r="AA1692" t="str">
        <x:v>Tidak Ada</x:v>
      </x:c>
      <x:c r="AB1692" t="str">
        <x:v>Campus=90; Ratio=98.6; Prodi=75; RelDemand=100.0; Capacity=77.5</x:v>
      </x:c>
    </x:row>
    <x:row r="1693">
      <x:c r="A1693" t="n">
        <x:v>1690</x:v>
      </x:c>
      <x:c r="B1693" t="str">
        <x:v>PTN Akademik</x:v>
      </x:c>
      <x:c r="C1693" t="str">
        <x:v>UNIVERSITAS DIPONEGORO</x:v>
      </x:c>
      <x:c r="D1693" t="str">
        <x:v>BIOTEKNOLOGI</x:v>
      </x:c>
      <x:c r="E1693" t="str">
        <x:v>Sarjana</x:v>
      </x:c>
      <x:c r="F1693" s="18" t="n">
        <x:v>42</x:v>
      </x:c>
      <x:c r="G1693" s="18" t="n">
        <x:v>439</x:v>
      </x:c>
      <x:c r="H1693" s="19" t="n">
        <x:v>10.452380952380953</x:v>
      </x:c>
      <x:c r="I1693" s="18" t="n">
        <x:f>ROUND(MIN(Model_Config_v3!$B$6,MAX(Q1693,R1693,S1693*Model_Config_v3!$B$4+T1693*Model_Config_v3!$B$5)),0)</x:f>
        <x:v>671</x:v>
      </x:c>
      <x:c r="J1693" s="18" t="n">
        <x:f>MIN(Model_Config_v3!$B$6,I1693+Model_Config_v3!$B$7)</x:f>
        <x:v>691</x:v>
      </x:c>
      <x:c r="K1693" s="20" t="n">
        <x:v>63.8</x:v>
      </x:c>
      <x:c r="L1693" t="str">
        <x:v>KETAT</x:v>
      </x:c>
      <x:c r="M1693" t="str">
        <x:v>SEDANG+</x:v>
      </x:c>
      <x:c r="N1693" t="str">
        <x:v>ELITE-2</x:v>
      </x:c>
      <x:c r="O1693" t="str">
        <x:v>SAINTEK</x:v>
      </x:c>
      <x:c r="P1693" t="str">
        <x:v>UMUM</x:v>
      </x:c>
      <x:c r="Q1693" s="18" t="n">
        <x:v>650</x:v>
      </x:c>
      <x:c r="R1693" s="18" t="n">
        <x:v>0</x:v>
      </x:c>
      <x:c r="S1693" s="18" t="n">
        <x:v>632.1136752828643</x:v>
      </x:c>
      <x:c r="T1693" s="18" t="n">
        <x:v>688</x:v>
      </x:c>
      <x:c r="U1693" s="18" t="n">
        <x:v>650</x:v>
      </x:c>
      <x:c r="V1693" s="20" t="n">
        <x:v>12</x:v>
      </x:c>
      <x:c r="W1693" s="20" t="n">
        <x:v>5</x:v>
      </x:c>
      <x:c r="X1693" s="20" t="n">
        <x:v>3</x:v>
      </x:c>
      <x:c r="Y1693" t="str">
        <x:v>Basis arsip 2025/2024</x:v>
      </x:c>
      <x:c r="Z1693" t="str">
        <x:v>https://snpmb.id/utbk-snbt/daya-tampung-snbt</x:v>
      </x:c>
      <x:c r="AA1693" t="str">
        <x:v>Tidak Ada</x:v>
      </x:c>
      <x:c r="AB1693" t="str">
        <x:v>Campus=90; Ratio=60.0; Prodi=40; RelDemand=27.9; Capacity=65.0</x:v>
      </x:c>
    </x:row>
    <x:row r="1694">
      <x:c r="A1694" t="n">
        <x:v>1691</x:v>
      </x:c>
      <x:c r="B1694" t="str">
        <x:v>PTN Akademik</x:v>
      </x:c>
      <x:c r="C1694" t="str">
        <x:v>UNIVERSITAS DIPONEGORO</x:v>
      </x:c>
      <x:c r="D1694" t="str">
        <x:v>SASTRA INDONESIA</x:v>
      </x:c>
      <x:c r="E1694" t="str">
        <x:v>Sarjana</x:v>
      </x:c>
      <x:c r="F1694" s="18" t="n">
        <x:v>77</x:v>
      </x:c>
      <x:c r="G1694" s="18" t="n">
        <x:v>423</x:v>
      </x:c>
      <x:c r="H1694" s="19" t="n">
        <x:v>5.4935064935064934</x:v>
      </x:c>
      <x:c r="I1694" s="18" t="n">
        <x:f>ROUND(MIN(Model_Config_v3!$B$6,MAX(Q1694,R1694,S1694*Model_Config_v3!$B$4+T1694*Model_Config_v3!$B$5)),0)</x:f>
        <x:v>650</x:v>
      </x:c>
      <x:c r="J1694" s="18" t="n">
        <x:f>MIN(Model_Config_v3!$B$6,I1694+Model_Config_v3!$B$7)</x:f>
        <x:v>670</x:v>
      </x:c>
      <x:c r="K1694" s="20" t="n">
        <x:v>55.4</x:v>
      </x:c>
      <x:c r="L1694" t="str">
        <x:v>KETAT</x:v>
      </x:c>
      <x:c r="M1694" t="str">
        <x:v>SEDANG+</x:v>
      </x:c>
      <x:c r="N1694" t="str">
        <x:v>ELITE-2</x:v>
      </x:c>
      <x:c r="O1694" t="str">
        <x:v>SOSHUM</x:v>
      </x:c>
      <x:c r="P1694" t="str">
        <x:v>UMUM</x:v>
      </x:c>
      <x:c r="Q1694" s="18" t="n">
        <x:v>650</x:v>
      </x:c>
      <x:c r="R1694" s="18" t="n">
        <x:v>0</x:v>
      </x:c>
      <x:c r="S1694" s="18" t="n">
        <x:v>601.3834606422816</x:v>
      </x:c>
      <x:c r="T1694" s="18" t="n">
        <x:v>671</x:v>
      </x:c>
      <x:c r="U1694" s="18" t="n">
        <x:v>650</x:v>
      </x:c>
      <x:c r="V1694" s="20" t="n">
        <x:v>4.4</x:v>
      </x:c>
      <x:c r="W1694" s="20" t="n">
        <x:v>14.3</x:v>
      </x:c>
      <x:c r="X1694" s="20" t="n">
        <x:v>3.3</x:v>
      </x:c>
      <x:c r="Y1694" t="str">
        <x:v>Basis arsip 2025/2024</x:v>
      </x:c>
      <x:c r="Z1694" t="str">
        <x:v>https://snpmb.id/utbk-snbt/daya-tampung-snbt</x:v>
      </x:c>
      <x:c r="AA1694" t="str">
        <x:v>Tidak Ada</x:v>
      </x:c>
      <x:c r="AB1694" t="str">
        <x:v>Campus=90; Ratio=43.5; Prodi=40; RelDemand=14.6; Capacity=35.8</x:v>
      </x:c>
    </x:row>
    <x:row r="1695">
      <x:c r="A1695" t="n">
        <x:v>1692</x:v>
      </x:c>
      <x:c r="B1695" t="str">
        <x:v>PTN Akademik</x:v>
      </x:c>
      <x:c r="C1695" t="str">
        <x:v>UNIVERSITAS DIPONEGORO</x:v>
      </x:c>
      <x:c r="D1695" t="str">
        <x:v>SASTRA INGGRIS</x:v>
      </x:c>
      <x:c r="E1695" t="str">
        <x:v>Sarjana</x:v>
      </x:c>
      <x:c r="F1695" s="18" t="n">
        <x:v>65</x:v>
      </x:c>
      <x:c r="G1695" s="18" t="n">
        <x:v>782</x:v>
      </x:c>
      <x:c r="H1695" s="19" t="n">
        <x:v>12.03076923076923</x:v>
      </x:c>
      <x:c r="I1695" s="18" t="n">
        <x:f>ROUND(MIN(Model_Config_v3!$B$6,MAX(Q1695,R1695,S1695*Model_Config_v3!$B$4+T1695*Model_Config_v3!$B$5)),0)</x:f>
        <x:v>672</x:v>
      </x:c>
      <x:c r="J1695" s="18" t="n">
        <x:f>MIN(Model_Config_v3!$B$6,I1695+Model_Config_v3!$B$7)</x:f>
        <x:v>692</x:v>
      </x:c>
      <x:c r="K1695" s="20" t="n">
        <x:v>63.2</x:v>
      </x:c>
      <x:c r="L1695" t="str">
        <x:v>KETAT</x:v>
      </x:c>
      <x:c r="M1695" t="str">
        <x:v>SEDANG+</x:v>
      </x:c>
      <x:c r="N1695" t="str">
        <x:v>ELITE-2</x:v>
      </x:c>
      <x:c r="O1695" t="str">
        <x:v>SOSHUM</x:v>
      </x:c>
      <x:c r="P1695" t="str">
        <x:v>UMUM</x:v>
      </x:c>
      <x:c r="Q1695" s="18" t="n">
        <x:v>650</x:v>
      </x:c>
      <x:c r="R1695" s="18" t="n">
        <x:v>0</x:v>
      </x:c>
      <x:c r="S1695" s="18" t="n">
        <x:v>638.8322736058692</x:v>
      </x:c>
      <x:c r="T1695" s="18" t="n">
        <x:v>686</x:v>
      </x:c>
      <x:c r="U1695" s="18" t="n">
        <x:v>650</x:v>
      </x:c>
      <x:c r="V1695" s="20" t="n">
        <x:v>4.4</x:v>
      </x:c>
      <x:c r="W1695" s="20" t="n">
        <x:v>14.3</x:v>
      </x:c>
      <x:c r="X1695" s="20" t="n">
        <x:v>3.3</x:v>
      </x:c>
      <x:c r="Y1695" t="str">
        <x:v>Basis arsip 2025/2024</x:v>
      </x:c>
      <x:c r="Z1695" t="str">
        <x:v>https://snpmb.id/utbk-snbt/daya-tampung-snbt</x:v>
      </x:c>
      <x:c r="AA1695" t="str">
        <x:v>Tidak Ada</x:v>
      </x:c>
      <x:c r="AB1695" t="str">
        <x:v>Campus=90; Ratio=63.6; Prodi=40; RelDemand=32.1; Capacity=45.8</x:v>
      </x:c>
    </x:row>
    <x:row r="1696">
      <x:c r="A1696" t="n">
        <x:v>1693</x:v>
      </x:c>
      <x:c r="B1696" t="str">
        <x:v>PTN Akademik</x:v>
      </x:c>
      <x:c r="C1696" t="str">
        <x:v>UNIVERSITAS DIPONEGORO</x:v>
      </x:c>
      <x:c r="D1696" t="str">
        <x:v>SEJARAH</x:v>
      </x:c>
      <x:c r="E1696" t="str">
        <x:v>Sarjana</x:v>
      </x:c>
      <x:c r="F1696" s="18" t="n">
        <x:v>62</x:v>
      </x:c>
      <x:c r="G1696" s="18" t="n">
        <x:v>245</x:v>
      </x:c>
      <x:c r="H1696" s="19" t="n">
        <x:v>3.9516129032258065</x:v>
      </x:c>
      <x:c r="I1696" s="18" t="n">
        <x:f>ROUND(MIN(Model_Config_v3!$B$6,MAX(Q1696,R1696,S1696*Model_Config_v3!$B$4+T1696*Model_Config_v3!$B$5)),0)</x:f>
        <x:v>650</x:v>
      </x:c>
      <x:c r="J1696" s="18" t="n">
        <x:f>MIN(Model_Config_v3!$B$6,I1696+Model_Config_v3!$B$7)</x:f>
        <x:v>670</x:v>
      </x:c>
      <x:c r="K1696" s="20" t="n">
        <x:v>54.2</x:v>
      </x:c>
      <x:c r="L1696" t="str">
        <x:v>MENENGAH</x:v>
      </x:c>
      <x:c r="M1696" t="str">
        <x:v>SEDANG+</x:v>
      </x:c>
      <x:c r="N1696" t="str">
        <x:v>ELITE-2</x:v>
      </x:c>
      <x:c r="O1696" t="str">
        <x:v>SOSHUM</x:v>
      </x:c>
      <x:c r="P1696" t="str">
        <x:v>UMUM</x:v>
      </x:c>
      <x:c r="Q1696" s="18" t="n">
        <x:v>650</x:v>
      </x:c>
      <x:c r="R1696" s="18" t="n">
        <x:v>0</x:v>
      </x:c>
      <x:c r="S1696" s="18" t="n">
        <x:v>585.6451834352906</x:v>
      </x:c>
      <x:c r="T1696" s="18" t="n">
        <x:v>668</x:v>
      </x:c>
      <x:c r="U1696" s="18" t="n">
        <x:v>650</x:v>
      </x:c>
      <x:c r="V1696" s="20" t="n">
        <x:v>4.4</x:v>
      </x:c>
      <x:c r="W1696" s="20" t="n">
        <x:v>14.3</x:v>
      </x:c>
      <x:c r="X1696" s="20" t="n">
        <x:v>3.3</x:v>
      </x:c>
      <x:c r="Y1696" t="str">
        <x:v>Basis arsip 2025/2024</x:v>
      </x:c>
      <x:c r="Z1696" t="str">
        <x:v>https://snpmb.id/utbk-snbt/daya-tampung-snbt</x:v>
      </x:c>
      <x:c r="AA1696" t="str">
        <x:v>Tidak Ada</x:v>
      </x:c>
      <x:c r="AB1696" t="str">
        <x:v>Campus=90; Ratio=35.1; Prodi=40; RelDemand=10.5; Capacity=48.3</x:v>
      </x:c>
    </x:row>
    <x:row r="1697">
      <x:c r="A1697" t="n">
        <x:v>1694</x:v>
      </x:c>
      <x:c r="B1697" t="str">
        <x:v>PTN Akademik</x:v>
      </x:c>
      <x:c r="C1697" t="str">
        <x:v>UNIVERSITAS DIPONEGORO</x:v>
      </x:c>
      <x:c r="D1697" t="str">
        <x:v>ILMU PERPUSTAKAAN</x:v>
      </x:c>
      <x:c r="E1697" t="str">
        <x:v>Sarjana</x:v>
      </x:c>
      <x:c r="F1697" s="18" t="n">
        <x:v>59</x:v>
      </x:c>
      <x:c r="G1697" s="18" t="n">
        <x:v>575</x:v>
      </x:c>
      <x:c r="H1697" s="19" t="n">
        <x:v>9.745762711864407</x:v>
      </x:c>
      <x:c r="I1697" s="18" t="n">
        <x:f>ROUND(MIN(Model_Config_v3!$B$6,MAX(Q1697,R1697,S1697*Model_Config_v3!$B$4+T1697*Model_Config_v3!$B$5)),0)</x:f>
        <x:v>667</x:v>
      </x:c>
      <x:c r="J1697" s="18" t="n">
        <x:f>MIN(Model_Config_v3!$B$6,I1697+Model_Config_v3!$B$7)</x:f>
        <x:v>687</x:v>
      </x:c>
      <x:c r="K1697" s="20" t="n">
        <x:v>61.7</x:v>
      </x:c>
      <x:c r="L1697" t="str">
        <x:v>KETAT</x:v>
      </x:c>
      <x:c r="M1697" t="str">
        <x:v>SEDANG+</x:v>
      </x:c>
      <x:c r="N1697" t="str">
        <x:v>ELITE-2</x:v>
      </x:c>
      <x:c r="O1697" t="str">
        <x:v>CAMPURAN</x:v>
      </x:c>
      <x:c r="P1697" t="str">
        <x:v>UMUM</x:v>
      </x:c>
      <x:c r="Q1697" s="18" t="n">
        <x:v>650</x:v>
      </x:c>
      <x:c r="R1697" s="18" t="n">
        <x:v>0</x:v>
      </x:c>
      <x:c r="S1697" s="18" t="n">
        <x:v>628.7697416352235</x:v>
      </x:c>
      <x:c r="T1697" s="18" t="n">
        <x:v>683</x:v>
      </x:c>
      <x:c r="U1697" s="18" t="n">
        <x:v>650</x:v>
      </x:c>
      <x:c r="V1697" s="20" t="n">
        <x:v>8.8</x:v>
      </x:c>
      <x:c r="W1697" s="20" t="n">
        <x:v>9.9</x:v>
      </x:c>
      <x:c r="X1697" s="20" t="n">
        <x:v>3.3</x:v>
      </x:c>
      <x:c r="Y1697" t="str">
        <x:v>Basis arsip 2025/2024</x:v>
      </x:c>
      <x:c r="Z1697" t="str">
        <x:v>https://snpmb.id/utbk-snbt/daya-tampung-snbt</x:v>
      </x:c>
      <x:c r="AA1697" t="str">
        <x:v>Tidak Ada</x:v>
      </x:c>
      <x:c r="AB1697" t="str">
        <x:v>Campus=90; Ratio=58.2; Prodi=40; RelDemand=26.0; Capacity=50.8</x:v>
      </x:c>
    </x:row>
    <x:row r="1698">
      <x:c r="A1698" t="n">
        <x:v>1695</x:v>
      </x:c>
      <x:c r="B1698" t="str">
        <x:v>PTN Akademik</x:v>
      </x:c>
      <x:c r="C1698" t="str">
        <x:v>UNIVERSITAS DIPONEGORO</x:v>
      </x:c>
      <x:c r="D1698" t="str">
        <x:v>HUKUM</x:v>
      </x:c>
      <x:c r="E1698" t="str">
        <x:v>Sarjana</x:v>
      </x:c>
      <x:c r="F1698" s="18" t="n">
        <x:v>276</x:v>
      </x:c>
      <x:c r="G1698" s="18" t="n">
        <x:v>4520</x:v>
      </x:c>
      <x:c r="H1698" s="19" t="n">
        <x:v>16.3768115942029</x:v>
      </x:c>
      <x:c r="I1698" s="18" t="n">
        <x:f>ROUND(MIN(Model_Config_v3!$B$6,MAX(Q1698,R1698,S1698*Model_Config_v3!$B$4+T1698*Model_Config_v3!$B$5)),0)</x:f>
        <x:v>681</x:v>
      </x:c>
      <x:c r="J1698" s="18" t="n">
        <x:f>MIN(Model_Config_v3!$B$6,I1698+Model_Config_v3!$B$7)</x:f>
        <x:v>701</x:v>
      </x:c>
      <x:c r="K1698" s="20" t="n">
        <x:v>66.7</x:v>
      </x:c>
      <x:c r="L1698" t="str">
        <x:v>SANGAT KETAT</x:v>
      </x:c>
      <x:c r="M1698" t="str">
        <x:v>SEDANG+</x:v>
      </x:c>
      <x:c r="N1698" t="str">
        <x:v>ELITE-2</x:v>
      </x:c>
      <x:c r="O1698" t="str">
        <x:v>SOSHUM</x:v>
      </x:c>
      <x:c r="P1698" t="str">
        <x:v>HUKUM</x:v>
      </x:c>
      <x:c r="Q1698" s="18" t="n">
        <x:v>650</x:v>
      </x:c>
      <x:c r="R1698" s="18" t="n">
        <x:v>675</x:v>
      </x:c>
      <x:c r="S1698" s="18" t="n">
        <x:v>653.5652288020781</x:v>
      </x:c>
      <x:c r="T1698" s="18" t="n">
        <x:v>693</x:v>
      </x:c>
      <x:c r="U1698" s="18" t="n">
        <x:v>668.5652288020781</x:v>
      </x:c>
      <x:c r="V1698" s="20" t="n">
        <x:v>4.4</x:v>
      </x:c>
      <x:c r="W1698" s="20" t="n">
        <x:v>14.3</x:v>
      </x:c>
      <x:c r="X1698" s="20" t="n">
        <x:v>3.3</x:v>
      </x:c>
      <x:c r="Y1698" t="str">
        <x:v>Basis arsip 2025/2024</x:v>
      </x:c>
      <x:c r="Z1698" t="str">
        <x:v>https://snpmb.id/utbk-snbt/daya-tampung-snbt</x:v>
      </x:c>
      <x:c r="AA1698" t="str">
        <x:v>Tidak Ada</x:v>
      </x:c>
      <x:c r="AB1698" t="str">
        <x:v>Campus=90; Ratio=71.5; Prodi=65; RelDemand=43.7; Capacity=0.0</x:v>
      </x:c>
    </x:row>
    <x:row r="1699">
      <x:c r="A1699" t="n">
        <x:v>1696</x:v>
      </x:c>
      <x:c r="B1699" t="str">
        <x:v>PTN Akademik</x:v>
      </x:c>
      <x:c r="C1699" t="str">
        <x:v>UNIVERSITAS DIPONEGORO</x:v>
      </x:c>
      <x:c r="D1699" t="str">
        <x:v>MANAJEMEN</x:v>
      </x:c>
      <x:c r="E1699" t="str">
        <x:v>Sarjana</x:v>
      </x:c>
      <x:c r="F1699" s="18" t="n">
        <x:v>117</x:v>
      </x:c>
      <x:c r="G1699" s="18" t="n">
        <x:v>2823</x:v>
      </x:c>
      <x:c r="H1699" s="19" t="n">
        <x:v>24.128205128205128</x:v>
      </x:c>
      <x:c r="I1699" s="18" t="n">
        <x:f>ROUND(MIN(Model_Config_v3!$B$6,MAX(Q1699,R1699,S1699*Model_Config_v3!$B$4+T1699*Model_Config_v3!$B$5)),0)</x:f>
        <x:v>694</x:v>
      </x:c>
      <x:c r="J1699" s="18" t="n">
        <x:f>MIN(Model_Config_v3!$B$6,I1699+Model_Config_v3!$B$7)</x:f>
        <x:v>714</x:v>
      </x:c>
      <x:c r="K1699" s="20" t="n">
        <x:v>71.5</x:v>
      </x:c>
      <x:c r="L1699" t="str">
        <x:v>SANGAT KETAT</x:v>
      </x:c>
      <x:c r="M1699" t="str">
        <x:v>SEDANG+</x:v>
      </x:c>
      <x:c r="N1699" t="str">
        <x:v>ELITE-2</x:v>
      </x:c>
      <x:c r="O1699" t="str">
        <x:v>SOSHUM</x:v>
      </x:c>
      <x:c r="P1699" t="str">
        <x:v>BISNIS/EKONOMI/AKUNTANSI</x:v>
      </x:c>
      <x:c r="Q1699" s="18" t="n">
        <x:v>650</x:v>
      </x:c>
      <x:c r="R1699" s="18" t="n">
        <x:v>680</x:v>
      </x:c>
      <x:c r="S1699" s="18" t="n">
        <x:v>672.0777518040834</x:v>
      </x:c>
      <x:c r="T1699" s="18" t="n">
        <x:v>703</x:v>
      </x:c>
      <x:c r="U1699" s="18" t="n">
        <x:v>687.0777518040834</x:v>
      </x:c>
      <x:c r="V1699" s="20" t="n">
        <x:v>4.4</x:v>
      </x:c>
      <x:c r="W1699" s="20" t="n">
        <x:v>14.3</x:v>
      </x:c>
      <x:c r="X1699" s="20" t="n">
        <x:v>3.3</x:v>
      </x:c>
      <x:c r="Y1699" t="str">
        <x:v>Basis arsip 2025/2024</x:v>
      </x:c>
      <x:c r="Z1699" t="str">
        <x:v>https://snpmb.id/utbk-snbt/daya-tampung-snbt</x:v>
      </x:c>
      <x:c r="AA1699" t="str">
        <x:v>Tidak Ada</x:v>
      </x:c>
      <x:c r="AB1699" t="str">
        <x:v>Campus=90; Ratio=81.4; Prodi=65; RelDemand=64.3; Capacity=2.5</x:v>
      </x:c>
    </x:row>
    <x:row r="1700">
      <x:c r="A1700" t="n">
        <x:v>1697</x:v>
      </x:c>
      <x:c r="B1700" t="str">
        <x:v>PTN Akademik</x:v>
      </x:c>
      <x:c r="C1700" t="str">
        <x:v>UNIVERSITAS DIPONEGORO</x:v>
      </x:c>
      <x:c r="D1700" t="str">
        <x:v>EKONOMI</x:v>
      </x:c>
      <x:c r="E1700" t="str">
        <x:v>Sarjana</x:v>
      </x:c>
      <x:c r="F1700" s="18" t="n">
        <x:v>97</x:v>
      </x:c>
      <x:c r="G1700" s="18" t="n">
        <x:v>893</x:v>
      </x:c>
      <x:c r="H1700" s="19" t="n">
        <x:v>9.206185567010309</x:v>
      </x:c>
      <x:c r="I1700" s="18" t="n">
        <x:f>ROUND(MIN(Model_Config_v3!$B$6,MAX(Q1700,R1700,S1700*Model_Config_v3!$B$4+T1700*Model_Config_v3!$B$5)),0)</x:f>
        <x:v>661</x:v>
      </x:c>
      <x:c r="J1700" s="18" t="n">
        <x:f>MIN(Model_Config_v3!$B$6,I1700+Model_Config_v3!$B$7)</x:f>
        <x:v>681</x:v>
      </x:c>
      <x:c r="K1700" s="20" t="n">
        <x:v>58.1</x:v>
      </x:c>
      <x:c r="L1700" t="str">
        <x:v>KETAT</x:v>
      </x:c>
      <x:c r="M1700" t="str">
        <x:v>SEDANG+</x:v>
      </x:c>
      <x:c r="N1700" t="str">
        <x:v>ELITE-2</x:v>
      </x:c>
      <x:c r="O1700" t="str">
        <x:v>SOSHUM</x:v>
      </x:c>
      <x:c r="P1700" t="str">
        <x:v>UMUM</x:v>
      </x:c>
      <x:c r="Q1700" s="18" t="n">
        <x:v>650</x:v>
      </x:c>
      <x:c r="R1700" s="18" t="n">
        <x:v>0</x:v>
      </x:c>
      <x:c r="S1700" s="18" t="n">
        <x:v>626.0487697084532</x:v>
      </x:c>
      <x:c r="T1700" s="18" t="n">
        <x:v>676</x:v>
      </x:c>
      <x:c r="U1700" s="18" t="n">
        <x:v>650</x:v>
      </x:c>
      <x:c r="V1700" s="20" t="n">
        <x:v>4.4</x:v>
      </x:c>
      <x:c r="W1700" s="20" t="n">
        <x:v>14.3</x:v>
      </x:c>
      <x:c r="X1700" s="20" t="n">
        <x:v>3.3</x:v>
      </x:c>
      <x:c r="Y1700" t="str">
        <x:v>Basis arsip 2025/2024</x:v>
      </x:c>
      <x:c r="Z1700" t="str">
        <x:v>https://snpmb.id/utbk-snbt/daya-tampung-snbt</x:v>
      </x:c>
      <x:c r="AA1700" t="str">
        <x:v>Tidak Ada</x:v>
      </x:c>
      <x:c r="AB1700" t="str">
        <x:v>Campus=90; Ratio=56.7; Prodi=40; RelDemand=24.5; Capacity=19.2</x:v>
      </x:c>
    </x:row>
    <x:row r="1701">
      <x:c r="A1701" t="n">
        <x:v>1698</x:v>
      </x:c>
      <x:c r="B1701" t="str">
        <x:v>PTN Akademik</x:v>
      </x:c>
      <x:c r="C1701" t="str">
        <x:v>UNIVERSITAS DIPONEGORO</x:v>
      </x:c>
      <x:c r="D1701" t="str">
        <x:v>AKUNTANSI</x:v>
      </x:c>
      <x:c r="E1701" t="str">
        <x:v>Sarjana</x:v>
      </x:c>
      <x:c r="F1701" s="18" t="n">
        <x:v>117</x:v>
      </x:c>
      <x:c r="G1701" s="18" t="n">
        <x:v>2321</x:v>
      </x:c>
      <x:c r="H1701" s="19" t="n">
        <x:v>19.837606837606838</x:v>
      </x:c>
      <x:c r="I1701" s="18" t="n">
        <x:f>ROUND(MIN(Model_Config_v3!$B$6,MAX(Q1701,R1701,S1701*Model_Config_v3!$B$4+T1701*Model_Config_v3!$B$5)),0)</x:f>
        <x:v>687</x:v>
      </x:c>
      <x:c r="J1701" s="18" t="n">
        <x:f>MIN(Model_Config_v3!$B$6,I1701+Model_Config_v3!$B$7)</x:f>
        <x:v>707</x:v>
      </x:c>
      <x:c r="K1701" s="20" t="n">
        <x:v>69.1</x:v>
      </x:c>
      <x:c r="L1701" t="str">
        <x:v>SANGAT KETAT</x:v>
      </x:c>
      <x:c r="M1701" t="str">
        <x:v>SEDANG+</x:v>
      </x:c>
      <x:c r="N1701" t="str">
        <x:v>ELITE-2</x:v>
      </x:c>
      <x:c r="O1701" t="str">
        <x:v>SOSHUM</x:v>
      </x:c>
      <x:c r="P1701" t="str">
        <x:v>BISNIS/EKONOMI/AKUNTANSI</x:v>
      </x:c>
      <x:c r="Q1701" s="18" t="n">
        <x:v>650</x:v>
      </x:c>
      <x:c r="R1701" s="18" t="n">
        <x:v>680</x:v>
      </x:c>
      <x:c r="S1701" s="18" t="n">
        <x:v>662.7238206580732</x:v>
      </x:c>
      <x:c r="T1701" s="18" t="n">
        <x:v>698</x:v>
      </x:c>
      <x:c r="U1701" s="18" t="n">
        <x:v>662.7238206580732</x:v>
      </x:c>
      <x:c r="V1701" s="20" t="n">
        <x:v>4.4</x:v>
      </x:c>
      <x:c r="W1701" s="20" t="n">
        <x:v>14.3</x:v>
      </x:c>
      <x:c r="X1701" s="20" t="n">
        <x:v>3.3</x:v>
      </x:c>
      <x:c r="Y1701" t="str">
        <x:v>Basis arsip 2025/2024</x:v>
      </x:c>
      <x:c r="Z1701" t="str">
        <x:v>https://snpmb.id/utbk-snbt/daya-tampung-snbt</x:v>
      </x:c>
      <x:c r="AA1701" t="str">
        <x:v>Tidak Ada</x:v>
      </x:c>
      <x:c r="AB1701" t="str">
        <x:v>Campus=90; Ratio=76.4; Prodi=65; RelDemand=52.9; Capacity=2.5</x:v>
      </x:c>
    </x:row>
    <x:row r="1702">
      <x:c r="A1702" t="n">
        <x:v>1699</x:v>
      </x:c>
      <x:c r="B1702" t="str">
        <x:v>PTN Akademik</x:v>
      </x:c>
      <x:c r="C1702" t="str">
        <x:v>UNIVERSITAS DIPONEGORO</x:v>
      </x:c>
      <x:c r="D1702" t="str">
        <x:v>ADMINISTRASI PUBLIK</x:v>
      </x:c>
      <x:c r="E1702" t="str">
        <x:v>Sarjana</x:v>
      </x:c>
      <x:c r="F1702" s="18" t="n">
        <x:v>75</x:v>
      </x:c>
      <x:c r="G1702" s="18" t="n">
        <x:v>1362</x:v>
      </x:c>
      <x:c r="H1702" s="19" t="n">
        <x:v>18.16</x:v>
      </x:c>
      <x:c r="I1702" s="18" t="n">
        <x:f>ROUND(MIN(Model_Config_v3!$B$6,MAX(Q1702,R1702,S1702*Model_Config_v3!$B$4+T1702*Model_Config_v3!$B$5)),0)</x:f>
        <x:v>683</x:v>
      </x:c>
      <x:c r="J1702" s="18" t="n">
        <x:f>MIN(Model_Config_v3!$B$6,I1702+Model_Config_v3!$B$7)</x:f>
        <x:v>703</x:v>
      </x:c>
      <x:c r="K1702" s="20" t="n">
        <x:v>66.6</x:v>
      </x:c>
      <x:c r="L1702" t="str">
        <x:v>SANGAT KETAT</x:v>
      </x:c>
      <x:c r="M1702" t="str">
        <x:v>SEDANG+</x:v>
      </x:c>
      <x:c r="N1702" t="str">
        <x:v>ELITE-2</x:v>
      </x:c>
      <x:c r="O1702" t="str">
        <x:v>SOSHUM</x:v>
      </x:c>
      <x:c r="P1702" t="str">
        <x:v>UMUM</x:v>
      </x:c>
      <x:c r="Q1702" s="18" t="n">
        <x:v>650</x:v>
      </x:c>
      <x:c r="R1702" s="18" t="n">
        <x:v>0</x:v>
      </x:c>
      <x:c r="S1702" s="18" t="n">
        <x:v>658.5027428603573</x:v>
      </x:c>
      <x:c r="T1702" s="18" t="n">
        <x:v>693</x:v>
      </x:c>
      <x:c r="U1702" s="18" t="n">
        <x:v>658.5027428603573</x:v>
      </x:c>
      <x:c r="V1702" s="20" t="n">
        <x:v>4.4</x:v>
      </x:c>
      <x:c r="W1702" s="20" t="n">
        <x:v>14.3</x:v>
      </x:c>
      <x:c r="X1702" s="20" t="n">
        <x:v>3.3</x:v>
      </x:c>
      <x:c r="Y1702" t="str">
        <x:v>Basis arsip 2025/2024</x:v>
      </x:c>
      <x:c r="Z1702" t="str">
        <x:v>https://snpmb.id/utbk-snbt/daya-tampung-snbt</x:v>
      </x:c>
      <x:c r="AA1702" t="str">
        <x:v>Tidak Ada</x:v>
      </x:c>
      <x:c r="AB1702" t="str">
        <x:v>Campus=90; Ratio=74.1; Prodi=40; RelDemand=48.4; Capacity=37.5</x:v>
      </x:c>
    </x:row>
    <x:row r="1703">
      <x:c r="A1703" t="n">
        <x:v>1700</x:v>
      </x:c>
      <x:c r="B1703" t="str">
        <x:v>PTN Akademik</x:v>
      </x:c>
      <x:c r="C1703" t="str">
        <x:v>UNIVERSITAS DIPONEGORO</x:v>
      </x:c>
      <x:c r="D1703" t="str">
        <x:v>ADMINISTRASI BISNIS</x:v>
      </x:c>
      <x:c r="E1703" t="str">
        <x:v>Sarjana</x:v>
      </x:c>
      <x:c r="F1703" s="18" t="n">
        <x:v>84</x:v>
      </x:c>
      <x:c r="G1703" s="18" t="n">
        <x:v>2190</x:v>
      </x:c>
      <x:c r="H1703" s="19" t="n">
        <x:v>26.071428571428573</x:v>
      </x:c>
      <x:c r="I1703" s="18" t="n">
        <x:f>ROUND(MIN(Model_Config_v3!$B$6,MAX(Q1703,R1703,S1703*Model_Config_v3!$B$4+T1703*Model_Config_v3!$B$5)),0)</x:f>
        <x:v>700</x:v>
      </x:c>
      <x:c r="J1703" s="18" t="n">
        <x:f>MIN(Model_Config_v3!$B$6,I1703+Model_Config_v3!$B$7)</x:f>
        <x:v>720</x:v>
      </x:c>
      <x:c r="K1703" s="20" t="n">
        <x:v>75.3</x:v>
      </x:c>
      <x:c r="L1703" t="str">
        <x:v>ELITE</x:v>
      </x:c>
      <x:c r="M1703" t="str">
        <x:v>SEDANG+</x:v>
      </x:c>
      <x:c r="N1703" t="str">
        <x:v>ELITE-2</x:v>
      </x:c>
      <x:c r="O1703" t="str">
        <x:v>SOSHUM</x:v>
      </x:c>
      <x:c r="P1703" t="str">
        <x:v>BISNIS/EKONOMI/AKUNTANSI</x:v>
      </x:c>
      <x:c r="Q1703" s="18" t="n">
        <x:v>650</x:v>
      </x:c>
      <x:c r="R1703" s="18" t="n">
        <x:v>680</x:v>
      </x:c>
      <x:c r="S1703" s="18" t="n">
        <x:v>675.778131165606</x:v>
      </x:c>
      <x:c r="T1703" s="18" t="n">
        <x:v>711</x:v>
      </x:c>
      <x:c r="U1703" s="18" t="n">
        <x:v>690.778131165606</x:v>
      </x:c>
      <x:c r="V1703" s="20" t="n">
        <x:v>4.4</x:v>
      </x:c>
      <x:c r="W1703" s="20" t="n">
        <x:v>14.3</x:v>
      </x:c>
      <x:c r="X1703" s="20" t="n">
        <x:v>3.3</x:v>
      </x:c>
      <x:c r="Y1703" t="str">
        <x:v>Basis arsip 2025/2024</x:v>
      </x:c>
      <x:c r="Z1703" t="str">
        <x:v>https://snpmb.id/utbk-snbt/daya-tampung-snbt</x:v>
      </x:c>
      <x:c r="AA1703" t="str">
        <x:v>Tidak Ada</x:v>
      </x:c>
      <x:c r="AB1703" t="str">
        <x:v>Campus=90; Ratio=83.4; Prodi=65; RelDemand=69.5; Capacity=30.0</x:v>
      </x:c>
    </x:row>
    <x:row r="1704">
      <x:c r="A1704" t="n">
        <x:v>1701</x:v>
      </x:c>
      <x:c r="B1704" t="str">
        <x:v>PTN Akademik</x:v>
      </x:c>
      <x:c r="C1704" t="str">
        <x:v>UNIVERSITAS DIPONEGORO</x:v>
      </x:c>
      <x:c r="D1704" t="str">
        <x:v>ILMU PEMERINTAHAN</x:v>
      </x:c>
      <x:c r="E1704" t="str">
        <x:v>Sarjana</x:v>
      </x:c>
      <x:c r="F1704" s="18" t="n">
        <x:v>78</x:v>
      </x:c>
      <x:c r="G1704" s="18" t="n">
        <x:v>1134</x:v>
      </x:c>
      <x:c r="H1704" s="19" t="n">
        <x:v>14.538461538461538</x:v>
      </x:c>
      <x:c r="I1704" s="18" t="n">
        <x:f>ROUND(MIN(Model_Config_v3!$B$6,MAX(Q1704,R1704,S1704*Model_Config_v3!$B$4+T1704*Model_Config_v3!$B$5)),0)</x:f>
        <x:v>676</x:v>
      </x:c>
      <x:c r="J1704" s="18" t="n">
        <x:f>MIN(Model_Config_v3!$B$6,I1704+Model_Config_v3!$B$7)</x:f>
        <x:v>696</x:v>
      </x:c>
      <x:c r="K1704" s="20" t="n">
        <x:v>64</x:v>
      </x:c>
      <x:c r="L1704" t="str">
        <x:v>KETAT</x:v>
      </x:c>
      <x:c r="M1704" t="str">
        <x:v>SEDANG+</x:v>
      </x:c>
      <x:c r="N1704" t="str">
        <x:v>ELITE-2</x:v>
      </x:c>
      <x:c r="O1704" t="str">
        <x:v>CAMPURAN</x:v>
      </x:c>
      <x:c r="P1704" t="str">
        <x:v>UMUM</x:v>
      </x:c>
      <x:c r="Q1704" s="18" t="n">
        <x:v>650</x:v>
      </x:c>
      <x:c r="R1704" s="18" t="n">
        <x:v>0</x:v>
      </x:c>
      <x:c r="S1704" s="18" t="n">
        <x:v>647.8770297053048</x:v>
      </x:c>
      <x:c r="T1704" s="18" t="n">
        <x:v>688</x:v>
      </x:c>
      <x:c r="U1704" s="18" t="n">
        <x:v>650</x:v>
      </x:c>
      <x:c r="V1704" s="20" t="n">
        <x:v>8.8</x:v>
      </x:c>
      <x:c r="W1704" s="20" t="n">
        <x:v>9.9</x:v>
      </x:c>
      <x:c r="X1704" s="20" t="n">
        <x:v>3.3</x:v>
      </x:c>
      <x:c r="Y1704" t="str">
        <x:v>Basis arsip 2025/2024</x:v>
      </x:c>
      <x:c r="Z1704" t="str">
        <x:v>https://snpmb.id/utbk-snbt/daya-tampung-snbt</x:v>
      </x:c>
      <x:c r="AA1704" t="str">
        <x:v>Tidak Ada</x:v>
      </x:c>
      <x:c r="AB1704" t="str">
        <x:v>Campus=90; Ratio=68.4; Prodi=40; RelDemand=38.8; Capacity=35.0</x:v>
      </x:c>
    </x:row>
    <x:row r="1705">
      <x:c r="A1705" t="n">
        <x:v>1702</x:v>
      </x:c>
      <x:c r="B1705" t="str">
        <x:v>PTN Akademik</x:v>
      </x:c>
      <x:c r="C1705" t="str">
        <x:v>UNIVERSITAS DIPONEGORO</x:v>
      </x:c>
      <x:c r="D1705" t="str">
        <x:v>ILMU KOMUNIKASI</x:v>
      </x:c>
      <x:c r="E1705" t="str">
        <x:v>Sarjana</x:v>
      </x:c>
      <x:c r="F1705" s="18" t="n">
        <x:v>84</x:v>
      </x:c>
      <x:c r="G1705" s="18" t="n">
        <x:v>2116</x:v>
      </x:c>
      <x:c r="H1705" s="19" t="n">
        <x:v>25.19047619047619</x:v>
      </x:c>
      <x:c r="I1705" s="18" t="n">
        <x:f>ROUND(MIN(Model_Config_v3!$B$6,MAX(Q1705,R1705,S1705*Model_Config_v3!$B$4+T1705*Model_Config_v3!$B$5)),0)</x:f>
        <x:v>692</x:v>
      </x:c>
      <x:c r="J1705" s="18" t="n">
        <x:f>MIN(Model_Config_v3!$B$6,I1705+Model_Config_v3!$B$7)</x:f>
        <x:v>712</x:v>
      </x:c>
      <x:c r="K1705" s="20" t="n">
        <x:v>69.8</x:v>
      </x:c>
      <x:c r="L1705" t="str">
        <x:v>SANGAT KETAT</x:v>
      </x:c>
      <x:c r="M1705" t="str">
        <x:v>SEDANG+</x:v>
      </x:c>
      <x:c r="N1705" t="str">
        <x:v>ELITE-2</x:v>
      </x:c>
      <x:c r="O1705" t="str">
        <x:v>SOSHUM</x:v>
      </x:c>
      <x:c r="P1705" t="str">
        <x:v>UMUM</x:v>
      </x:c>
      <x:c r="Q1705" s="18" t="n">
        <x:v>650</x:v>
      </x:c>
      <x:c r="R1705" s="18" t="n">
        <x:v>0</x:v>
      </x:c>
      <x:c r="S1705" s="18" t="n">
        <x:v>674.1360015031394</x:v>
      </x:c>
      <x:c r="T1705" s="18" t="n">
        <x:v>700</x:v>
      </x:c>
      <x:c r="U1705" s="18" t="n">
        <x:v>674.1360015031394</x:v>
      </x:c>
      <x:c r="V1705" s="20" t="n">
        <x:v>4.4</x:v>
      </x:c>
      <x:c r="W1705" s="20" t="n">
        <x:v>14.3</x:v>
      </x:c>
      <x:c r="X1705" s="20" t="n">
        <x:v>3.3</x:v>
      </x:c>
      <x:c r="Y1705" t="str">
        <x:v>Basis arsip 2025/2024</x:v>
      </x:c>
      <x:c r="Z1705" t="str">
        <x:v>https://snpmb.id/utbk-snbt/daya-tampung-snbt</x:v>
      </x:c>
      <x:c r="AA1705" t="str">
        <x:v>Tidak Ada</x:v>
      </x:c>
      <x:c r="AB1705" t="str">
        <x:v>Campus=90; Ratio=82.5; Prodi=40; RelDemand=67.2; Capacity=30.0</x:v>
      </x:c>
    </x:row>
    <x:row r="1706">
      <x:c r="A1706" t="n">
        <x:v>1703</x:v>
      </x:c>
      <x:c r="B1706" t="str">
        <x:v>PTN Akademik</x:v>
      </x:c>
      <x:c r="C1706" t="str">
        <x:v>UNIVERSITAS DIPONEGORO</x:v>
      </x:c>
      <x:c r="D1706" t="str">
        <x:v>PSIKOLOGI</x:v>
      </x:c>
      <x:c r="E1706" t="str">
        <x:v>Sarjana</x:v>
      </x:c>
      <x:c r="F1706" s="18" t="n">
        <x:v>120</x:v>
      </x:c>
      <x:c r="G1706" s="18" t="n">
        <x:v>3771</x:v>
      </x:c>
      <x:c r="H1706" s="19" t="n">
        <x:v>31.425</x:v>
      </x:c>
      <x:c r="I1706" s="18" t="n">
        <x:f>ROUND(MIN(Model_Config_v3!$B$6,MAX(Q1706,R1706,S1706*Model_Config_v3!$B$4+T1706*Model_Config_v3!$B$5)),0)</x:f>
        <x:v>707</x:v>
      </x:c>
      <x:c r="J1706" s="18" t="n">
        <x:f>MIN(Model_Config_v3!$B$6,I1706+Model_Config_v3!$B$7)</x:f>
        <x:v>727</x:v>
      </x:c>
      <x:c r="K1706" s="20" t="n">
        <x:v>77.9</x:v>
      </x:c>
      <x:c r="L1706" t="str">
        <x:v>ELITE</x:v>
      </x:c>
      <x:c r="M1706" t="str">
        <x:v>SEDANG+</x:v>
      </x:c>
      <x:c r="N1706" t="str">
        <x:v>ELITE-2</x:v>
      </x:c>
      <x:c r="O1706" t="str">
        <x:v>SOSHUM</x:v>
      </x:c>
      <x:c r="P1706" t="str">
        <x:v>PSIKOLOGI</x:v>
      </x:c>
      <x:c r="Q1706" s="18" t="n">
        <x:v>650</x:v>
      </x:c>
      <x:c r="R1706" s="18" t="n">
        <x:v>690</x:v>
      </x:c>
      <x:c r="S1706" s="18" t="n">
        <x:v>684.7002814993795</x:v>
      </x:c>
      <x:c r="T1706" s="18" t="n">
        <x:v>716</x:v>
      </x:c>
      <x:c r="U1706" s="18" t="n">
        <x:v>709.7002814993795</x:v>
      </x:c>
      <x:c r="V1706" s="20" t="n">
        <x:v>4.4</x:v>
      </x:c>
      <x:c r="W1706" s="20" t="n">
        <x:v>14.3</x:v>
      </x:c>
      <x:c r="X1706" s="20" t="n">
        <x:v>3.3</x:v>
      </x:c>
      <x:c r="Y1706" t="str">
        <x:v>Basis arsip 2025/2024</x:v>
      </x:c>
      <x:c r="Z1706" t="str">
        <x:v>https://snpmb.id/utbk-snbt/daya-tampung-snbt</x:v>
      </x:c>
      <x:c r="AA1706" t="str">
        <x:v>Tidak Ada</x:v>
      </x:c>
      <x:c r="AB1706" t="str">
        <x:v>Campus=90; Ratio=88.1; Prodi=80; RelDemand=83.8; Capacity=0.0</x:v>
      </x:c>
    </x:row>
    <x:row r="1707">
      <x:c r="A1707" t="n">
        <x:v>1704</x:v>
      </x:c>
      <x:c r="B1707" t="str">
        <x:v>PTN Akademik</x:v>
      </x:c>
      <x:c r="C1707" t="str">
        <x:v>UNIVERSITAS DIPONEGORO</x:v>
      </x:c>
      <x:c r="D1707" t="str">
        <x:v>BAHASA DAN KEBUDAYAAN JEPANG</x:v>
      </x:c>
      <x:c r="E1707" t="str">
        <x:v>Sarjana</x:v>
      </x:c>
      <x:c r="F1707" s="18" t="n">
        <x:v>59</x:v>
      </x:c>
      <x:c r="G1707" s="18" t="n">
        <x:v>493</x:v>
      </x:c>
      <x:c r="H1707" s="19" t="n">
        <x:v>8.35593220338983</x:v>
      </x:c>
      <x:c r="I1707" s="18" t="n">
        <x:f>ROUND(MIN(Model_Config_v3!$B$6,MAX(Q1707,R1707,S1707*Model_Config_v3!$B$4+T1707*Model_Config_v3!$B$5)),0)</x:f>
        <x:v>663</x:v>
      </x:c>
      <x:c r="J1707" s="18" t="n">
        <x:f>MIN(Model_Config_v3!$B$6,I1707+Model_Config_v3!$B$7)</x:f>
        <x:v>683</x:v>
      </x:c>
      <x:c r="K1707" s="20" t="n">
        <x:v>60.4</x:v>
      </x:c>
      <x:c r="L1707" t="str">
        <x:v>KETAT</x:v>
      </x:c>
      <x:c r="M1707" t="str">
        <x:v>SEDANG+</x:v>
      </x:c>
      <x:c r="N1707" t="str">
        <x:v>ELITE-2</x:v>
      </x:c>
      <x:c r="O1707" t="str">
        <x:v>SOSHUM</x:v>
      </x:c>
      <x:c r="P1707" t="str">
        <x:v>UMUM</x:v>
      </x:c>
      <x:c r="Q1707" s="18" t="n">
        <x:v>650</x:v>
      </x:c>
      <x:c r="R1707" s="18" t="n">
        <x:v>0</x:v>
      </x:c>
      <x:c r="S1707" s="18" t="n">
        <x:v>621.4194398398595</x:v>
      </x:c>
      <x:c r="T1707" s="18" t="n">
        <x:v>681</x:v>
      </x:c>
      <x:c r="U1707" s="18" t="n">
        <x:v>650</x:v>
      </x:c>
      <x:c r="V1707" s="20" t="n">
        <x:v>4.4</x:v>
      </x:c>
      <x:c r="W1707" s="20" t="n">
        <x:v>14.3</x:v>
      </x:c>
      <x:c r="X1707" s="20" t="n">
        <x:v>3.3</x:v>
      </x:c>
      <x:c r="Y1707" t="str">
        <x:v>Basis arsip 2025/2024</x:v>
      </x:c>
      <x:c r="Z1707" t="str">
        <x:v>https://snpmb.id/utbk-snbt/daya-tampung-snbt</x:v>
      </x:c>
      <x:c r="AA1707" t="str">
        <x:v>Tidak Ada</x:v>
      </x:c>
      <x:c r="AB1707" t="str">
        <x:v>Campus=90; Ratio=54.3; Prodi=40; RelDemand=22.3; Capacity=50.8</x:v>
      </x:c>
    </x:row>
    <x:row r="1708">
      <x:c r="A1708" t="n">
        <x:v>1705</x:v>
      </x:c>
      <x:c r="B1708" t="str">
        <x:v>PTN Akademik</x:v>
      </x:c>
      <x:c r="C1708" t="str">
        <x:v>UNIVERSITAS DIPONEGORO</x:v>
      </x:c>
      <x:c r="D1708" t="str">
        <x:v>HUBUNGAN INTERNASIONAL</x:v>
      </x:c>
      <x:c r="E1708" t="str">
        <x:v>Sarjana</x:v>
      </x:c>
      <x:c r="F1708" s="18" t="n">
        <x:v>63</x:v>
      </x:c>
      <x:c r="G1708" s="18" t="n">
        <x:v>1286</x:v>
      </x:c>
      <x:c r="H1708" s="19" t="n">
        <x:v>20.41269841269841</x:v>
      </x:c>
      <x:c r="I1708" s="18" t="n">
        <x:f>ROUND(MIN(Model_Config_v3!$B$6,MAX(Q1708,R1708,S1708*Model_Config_v3!$B$4+T1708*Model_Config_v3!$B$5)),0)</x:f>
        <x:v>688</x:v>
      </x:c>
      <x:c r="J1708" s="18" t="n">
        <x:f>MIN(Model_Config_v3!$B$6,I1708+Model_Config_v3!$B$7)</x:f>
        <x:v>708</x:v>
      </x:c>
      <x:c r="K1708" s="20" t="n">
        <x:v>69</x:v>
      </x:c>
      <x:c r="L1708" t="str">
        <x:v>SANGAT KETAT</x:v>
      </x:c>
      <x:c r="M1708" t="str">
        <x:v>SEDANG+</x:v>
      </x:c>
      <x:c r="N1708" t="str">
        <x:v>ELITE-2</x:v>
      </x:c>
      <x:c r="O1708" t="str">
        <x:v>SOSHUM</x:v>
      </x:c>
      <x:c r="P1708" t="str">
        <x:v>UMUM</x:v>
      </x:c>
      <x:c r="Q1708" s="18" t="n">
        <x:v>650</x:v>
      </x:c>
      <x:c r="R1708" s="18" t="n">
        <x:v>0</x:v>
      </x:c>
      <x:c r="S1708" s="18" t="n">
        <x:v>664.0890461048084</x:v>
      </x:c>
      <x:c r="T1708" s="18" t="n">
        <x:v>698</x:v>
      </x:c>
      <x:c r="U1708" s="18" t="n">
        <x:v>664.0890461048084</x:v>
      </x:c>
      <x:c r="V1708" s="20" t="n">
        <x:v>4.4</x:v>
      </x:c>
      <x:c r="W1708" s="20" t="n">
        <x:v>14.3</x:v>
      </x:c>
      <x:c r="X1708" s="20" t="n">
        <x:v>3.3</x:v>
      </x:c>
      <x:c r="Y1708" t="str">
        <x:v>Basis arsip 2025/2024</x:v>
      </x:c>
      <x:c r="Z1708" t="str">
        <x:v>https://snpmb.id/utbk-snbt/daya-tampung-snbt</x:v>
      </x:c>
      <x:c r="AA1708" t="str">
        <x:v>Tidak Ada</x:v>
      </x:c>
      <x:c r="AB1708" t="str">
        <x:v>Campus=90; Ratio=77.1; Prodi=40; RelDemand=54.4; Capacity=47.5</x:v>
      </x:c>
    </x:row>
    <x:row r="1709">
      <x:c r="A1709" t="n">
        <x:v>1706</x:v>
      </x:c>
      <x:c r="B1709" t="str">
        <x:v>PTN Akademik</x:v>
      </x:c>
      <x:c r="C1709" t="str">
        <x:v>UNIVERSITAS DIPONEGORO</x:v>
      </x:c>
      <x:c r="D1709" t="str">
        <x:v>ANTROPOLOGI SOSIAL</x:v>
      </x:c>
      <x:c r="E1709" t="str">
        <x:v>Sarjana</x:v>
      </x:c>
      <x:c r="F1709" s="18" t="n">
        <x:v>60</x:v>
      </x:c>
      <x:c r="G1709" s="18" t="n">
        <x:v>676</x:v>
      </x:c>
      <x:c r="H1709" s="19" t="n">
        <x:v>11.266666666666667</x:v>
      </x:c>
      <x:c r="I1709" s="18" t="n">
        <x:f>ROUND(MIN(Model_Config_v3!$B$6,MAX(Q1709,R1709,S1709*Model_Config_v3!$B$4+T1709*Model_Config_v3!$B$5)),0)</x:f>
        <x:v>671</x:v>
      </x:c>
      <x:c r="J1709" s="18" t="n">
        <x:f>MIN(Model_Config_v3!$B$6,I1709+Model_Config_v3!$B$7)</x:f>
        <x:v>691</x:v>
      </x:c>
      <x:c r="K1709" s="20" t="n">
        <x:v>63</x:v>
      </x:c>
      <x:c r="L1709" t="str">
        <x:v>KETAT</x:v>
      </x:c>
      <x:c r="M1709" t="str">
        <x:v>SEDANG+</x:v>
      </x:c>
      <x:c r="N1709" t="str">
        <x:v>ELITE-2</x:v>
      </x:c>
      <x:c r="O1709" t="str">
        <x:v>SOSHUM</x:v>
      </x:c>
      <x:c r="P1709" t="str">
        <x:v>UMUM</x:v>
      </x:c>
      <x:c r="Q1709" s="18" t="n">
        <x:v>650</x:v>
      </x:c>
      <x:c r="R1709" s="18" t="n">
        <x:v>0</x:v>
      </x:c>
      <x:c r="S1709" s="18" t="n">
        <x:v>635.6974990113791</x:v>
      </x:c>
      <x:c r="T1709" s="18" t="n">
        <x:v>686</x:v>
      </x:c>
      <x:c r="U1709" s="18" t="n">
        <x:v>650</x:v>
      </x:c>
      <x:c r="V1709" s="20" t="n">
        <x:v>4.4</x:v>
      </x:c>
      <x:c r="W1709" s="20" t="n">
        <x:v>14.3</x:v>
      </x:c>
      <x:c r="X1709" s="20" t="n">
        <x:v>3.3</x:v>
      </x:c>
      <x:c r="Y1709" t="str">
        <x:v>Basis arsip 2025/2024</x:v>
      </x:c>
      <x:c r="Z1709" t="str">
        <x:v>https://snpmb.id/utbk-snbt/daya-tampung-snbt</x:v>
      </x:c>
      <x:c r="AA1709" t="str">
        <x:v>Tidak Ada</x:v>
      </x:c>
      <x:c r="AB1709" t="str">
        <x:v>Campus=90; Ratio=61.9; Prodi=40; RelDemand=30.0; Capacity=50.0</x:v>
      </x:c>
    </x:row>
    <x:row r="1710">
      <x:c r="A1710" t="n">
        <x:v>1707</x:v>
      </x:c>
      <x:c r="B1710" t="str">
        <x:v>PTN Akademik</x:v>
      </x:c>
      <x:c r="C1710" t="str">
        <x:v>UNIVERSITAS DIPONEGORO</x:v>
      </x:c>
      <x:c r="D1710" t="str">
        <x:v>EKONOMI ISLAM</x:v>
      </x:c>
      <x:c r="E1710" t="str">
        <x:v>Sarjana</x:v>
      </x:c>
      <x:c r="F1710" s="18" t="n">
        <x:v>60</x:v>
      </x:c>
      <x:c r="G1710" s="18" t="n">
        <x:v>512</x:v>
      </x:c>
      <x:c r="H1710" s="19" t="n">
        <x:v>8.533333333333333</x:v>
      </x:c>
      <x:c r="I1710" s="18" t="n">
        <x:f>ROUND(MIN(Model_Config_v3!$B$6,MAX(Q1710,R1710,S1710*Model_Config_v3!$B$4+T1710*Model_Config_v3!$B$5)),0)</x:f>
        <x:v>663</x:v>
      </x:c>
      <x:c r="J1710" s="18" t="n">
        <x:f>MIN(Model_Config_v3!$B$6,I1710+Model_Config_v3!$B$7)</x:f>
        <x:v>683</x:v>
      </x:c>
      <x:c r="K1710" s="20" t="n">
        <x:v>60.5</x:v>
      </x:c>
      <x:c r="L1710" t="str">
        <x:v>KETAT</x:v>
      </x:c>
      <x:c r="M1710" t="str">
        <x:v>SEDANG+</x:v>
      </x:c>
      <x:c r="N1710" t="str">
        <x:v>ELITE-2</x:v>
      </x:c>
      <x:c r="O1710" t="str">
        <x:v>SOSHUM</x:v>
      </x:c>
      <x:c r="P1710" t="str">
        <x:v>UMUM</x:v>
      </x:c>
      <x:c r="Q1710" s="18" t="n">
        <x:v>650</x:v>
      </x:c>
      <x:c r="R1710" s="18" t="n">
        <x:v>0</x:v>
      </x:c>
      <x:c r="S1710" s="18" t="n">
        <x:v>622.4230581651406</x:v>
      </x:c>
      <x:c r="T1710" s="18" t="n">
        <x:v>681</x:v>
      </x:c>
      <x:c r="U1710" s="18" t="n">
        <x:v>650</x:v>
      </x:c>
      <x:c r="V1710" s="20" t="n">
        <x:v>4.4</x:v>
      </x:c>
      <x:c r="W1710" s="20" t="n">
        <x:v>14.3</x:v>
      </x:c>
      <x:c r="X1710" s="20" t="n">
        <x:v>3.3</x:v>
      </x:c>
      <x:c r="Y1710" t="str">
        <x:v>Basis arsip 2025/2024</x:v>
      </x:c>
      <x:c r="Z1710" t="str">
        <x:v>https://snpmb.id/utbk-snbt/daya-tampung-snbt</x:v>
      </x:c>
      <x:c r="AA1710" t="str">
        <x:v>Tidak Ada</x:v>
      </x:c>
      <x:c r="AB1710" t="str">
        <x:v>Campus=90; Ratio=54.8; Prodi=40; RelDemand=22.8; Capacity=50.0</x:v>
      </x:c>
    </x:row>
    <x:row r="1711">
      <x:c r="A1711" t="n">
        <x:v>1708</x:v>
      </x:c>
      <x:c r="B1711" t="str">
        <x:v>PTN Akademik</x:v>
      </x:c>
      <x:c r="C1711" t="str">
        <x:v>UNIVERSITAS DIPONEGORO</x:v>
      </x:c>
      <x:c r="D1711" t="str">
        <x:v>ADMINISTRASI PUBLIK KAMPUS REMBANG</x:v>
      </x:c>
      <x:c r="E1711" t="str">
        <x:v>Sarjana</x:v>
      </x:c>
      <x:c r="F1711" s="18" t="n">
        <x:v>45</x:v>
      </x:c>
      <x:c r="G1711" s="18" t="n">
        <x:v>260</x:v>
      </x:c>
      <x:c r="H1711" s="19" t="n">
        <x:v>5.777777777777778</x:v>
      </x:c>
      <x:c r="I1711" s="18" t="n">
        <x:f>ROUND(MIN(Model_Config_v3!$B$6,MAX(Q1711,R1711,S1711*Model_Config_v3!$B$4+T1711*Model_Config_v3!$B$5)),0)</x:f>
        <x:v>655</x:v>
      </x:c>
      <x:c r="J1711" s="18" t="n">
        <x:f>MIN(Model_Config_v3!$B$6,I1711+Model_Config_v3!$B$7)</x:f>
        <x:v>675</x:v>
      </x:c>
      <x:c r="K1711" s="20" t="n">
        <x:v>58.5</x:v>
      </x:c>
      <x:c r="L1711" t="str">
        <x:v>KETAT</x:v>
      </x:c>
      <x:c r="M1711" t="str">
        <x:v>SEDANG+</x:v>
      </x:c>
      <x:c r="N1711" t="str">
        <x:v>ELITE-2</x:v>
      </x:c>
      <x:c r="O1711" t="str">
        <x:v>SOSHUM</x:v>
      </x:c>
      <x:c r="P1711" t="str">
        <x:v>UMUM</x:v>
      </x:c>
      <x:c r="Q1711" s="18" t="n">
        <x:v>650</x:v>
      </x:c>
      <x:c r="R1711" s="18" t="n">
        <x:v>0</x:v>
      </x:c>
      <x:c r="S1711" s="18" t="n">
        <x:v>603.7936917615021</x:v>
      </x:c>
      <x:c r="T1711" s="18" t="n">
        <x:v>677</x:v>
      </x:c>
      <x:c r="U1711" s="18" t="n">
        <x:v>650</x:v>
      </x:c>
      <x:c r="V1711" s="20" t="n">
        <x:v>4.4</x:v>
      </x:c>
      <x:c r="W1711" s="20" t="n">
        <x:v>14.3</x:v>
      </x:c>
      <x:c r="X1711" s="20" t="n">
        <x:v>3.3</x:v>
      </x:c>
      <x:c r="Y1711" t="str">
        <x:v>Basis arsip 2025/2024</x:v>
      </x:c>
      <x:c r="Z1711" t="str">
        <x:v>https://snpmb.id/utbk-snbt/daya-tampung-snbt</x:v>
      </x:c>
      <x:c r="AA1711" t="str">
        <x:v>Tidak Ada</x:v>
      </x:c>
      <x:c r="AB1711" t="str">
        <x:v>Campus=90; Ratio=44.8; Prodi=40; RelDemand=15.4; Capacity=62.5</x:v>
      </x:c>
    </x:row>
    <x:row r="1712">
      <x:c r="A1712" t="n">
        <x:v>1709</x:v>
      </x:c>
      <x:c r="B1712" t="str">
        <x:v>PTN Akademik</x:v>
      </x:c>
      <x:c r="C1712" t="str">
        <x:v>UNIVERSITAS DIPONEGORO</x:v>
      </x:c>
      <x:c r="D1712" t="str">
        <x:v>BISNIS DIGITAL</x:v>
      </x:c>
      <x:c r="E1712" t="str">
        <x:v>Sarjana</x:v>
      </x:c>
      <x:c r="F1712" s="18" t="n">
        <x:v>36</x:v>
      </x:c>
      <x:c r="G1712" s="18" t="n">
        <x:v>2075</x:v>
      </x:c>
      <x:c r="H1712" s="19" t="n">
        <x:v>57.638888888888886</x:v>
      </x:c>
      <x:c r="I1712" s="18" t="n">
        <x:f>ROUND(MIN(Model_Config_v3!$B$6,MAX(Q1712,R1712,S1712*Model_Config_v3!$B$4+T1712*Model_Config_v3!$B$5)),0)</x:f>
        <x:v>727</x:v>
      </x:c>
      <x:c r="J1712" s="18" t="n">
        <x:f>MIN(Model_Config_v3!$B$6,I1712+Model_Config_v3!$B$7)</x:f>
        <x:v>747</x:v>
      </x:c>
      <x:c r="K1712" s="20" t="n">
        <x:v>86.5</x:v>
      </x:c>
      <x:c r="L1712" t="str">
        <x:v>ULTRA ELITE</x:v>
      </x:c>
      <x:c r="M1712" t="str">
        <x:v>SEDANG+</x:v>
      </x:c>
      <x:c r="N1712" t="str">
        <x:v>ELITE-2</x:v>
      </x:c>
      <x:c r="O1712" t="str">
        <x:v>SOSHUM</x:v>
      </x:c>
      <x:c r="P1712" t="str">
        <x:v>BISNIS/EKONOMI/AKUNTANSI</x:v>
      </x:c>
      <x:c r="Q1712" s="18" t="n">
        <x:v>650</x:v>
      </x:c>
      <x:c r="R1712" s="18" t="n">
        <x:v>680</x:v>
      </x:c>
      <x:c r="S1712" s="18" t="n">
        <x:v>713.6787160308907</x:v>
      </x:c>
      <x:c r="T1712" s="18" t="n">
        <x:v>733</x:v>
      </x:c>
      <x:c r="U1712" s="18" t="n">
        <x:v>728.6787160308907</x:v>
      </x:c>
      <x:c r="V1712" s="20" t="n">
        <x:v>4.4</x:v>
      </x:c>
      <x:c r="W1712" s="20" t="n">
        <x:v>14.3</x:v>
      </x:c>
      <x:c r="X1712" s="20" t="n">
        <x:v>3.3</x:v>
      </x:c>
      <x:c r="Y1712" t="str">
        <x:v>Basis arsip 2025/2024</x:v>
      </x:c>
      <x:c r="Z1712" t="str">
        <x:v>https://snpmb.id/utbk-snbt/daya-tampung-snbt</x:v>
      </x:c>
      <x:c r="AA1712" t="str">
        <x:v>Tidak Ada</x:v>
      </x:c>
      <x:c r="AB1712" t="str">
        <x:v>Campus=90; Ratio=100.0; Prodi=65; RelDemand=100.0; Capacity=70.0</x:v>
      </x:c>
    </x:row>
    <x:row r="1713">
      <x:c r="A1713" t="n">
        <x:v>1710</x:v>
      </x:c>
      <x:c r="B1713" t="str">
        <x:v>PTN Akademik</x:v>
      </x:c>
      <x:c r="C1713" t="str">
        <x:v>UNIVERSITAS DIPONEGORO</x:v>
      </x:c>
      <x:c r="D1713" t="str">
        <x:v>KESELAMATAN DAN KESEHATAN KERJA</x:v>
      </x:c>
      <x:c r="E1713" t="str">
        <x:v>Sarjana</x:v>
      </x:c>
      <x:c r="F1713" s="18" t="n">
        <x:v>36</x:v>
      </x:c>
      <x:c r="G1713" s="18" t="n">
        <x:v>2822</x:v>
      </x:c>
      <x:c r="H1713" s="19" t="n">
        <x:v>78.38888888888889</x:v>
      </x:c>
      <x:c r="I1713" s="18" t="n">
        <x:f>ROUND(MIN(Model_Config_v3!$B$6,MAX(Q1713,R1713,S1713*Model_Config_v3!$B$4+T1713*Model_Config_v3!$B$5)),0)</x:f>
        <x:v>729</x:v>
      </x:c>
      <x:c r="J1713" s="18" t="n">
        <x:f>MIN(Model_Config_v3!$B$6,I1713+Model_Config_v3!$B$7)</x:f>
        <x:v>749</x:v>
      </x:c>
      <x:c r="K1713" s="20" t="n">
        <x:v>84.5</x:v>
      </x:c>
      <x:c r="L1713" t="str">
        <x:v>ELITE</x:v>
      </x:c>
      <x:c r="M1713" t="str">
        <x:v>SEDANG+</x:v>
      </x:c>
      <x:c r="N1713" t="str">
        <x:v>ELITE-2</x:v>
      </x:c>
      <x:c r="O1713" t="str">
        <x:v>SAINTEK</x:v>
      </x:c>
      <x:c r="P1713" t="str">
        <x:v>KESEHAT/GIZI/KEPERAWATAN</x:v>
      </x:c>
      <x:c r="Q1713" s="18" t="n">
        <x:v>650</x:v>
      </x:c>
      <x:c r="R1713" s="18" t="n">
        <x:v>660</x:v>
      </x:c>
      <x:c r="S1713" s="18" t="n">
        <x:v>728.3679959516146</x:v>
      </x:c>
      <x:c r="T1713" s="18" t="n">
        <x:v>729</x:v>
      </x:c>
      <x:c r="U1713" s="18" t="n">
        <x:v>728.3679959516146</x:v>
      </x:c>
      <x:c r="V1713" s="20" t="n">
        <x:v>12</x:v>
      </x:c>
      <x:c r="W1713" s="20" t="n">
        <x:v>5</x:v>
      </x:c>
      <x:c r="X1713" s="20" t="n">
        <x:v>3</x:v>
      </x:c>
      <x:c r="Y1713" t="str">
        <x:v>Basis arsip 2025/2024</x:v>
      </x:c>
      <x:c r="Z1713" t="str">
        <x:v>https://snpmb.id/utbk-snbt/daya-tampung-snbt</x:v>
      </x:c>
      <x:c r="AA1713" t="str">
        <x:v>Tidak Ada</x:v>
      </x:c>
      <x:c r="AB1713" t="str">
        <x:v>Campus=90; Ratio=100.0; Prodi=55; RelDemand=100.0; Capacity=70.0</x:v>
      </x:c>
    </x:row>
    <x:row r="1714">
      <x:c r="A1714" t="n">
        <x:v>1711</x:v>
      </x:c>
      <x:c r="B1714" t="str">
        <x:v>PTN Akademik</x:v>
      </x:c>
      <x:c r="C1714" t="str">
        <x:v>UNIVERSITAS DIPONEGORO</x:v>
      </x:c>
      <x:c r="D1714" t="str">
        <x:v>AGRIBISNIS KAMPUS BATANG</x:v>
      </x:c>
      <x:c r="E1714" t="str">
        <x:v>Sarjana</x:v>
      </x:c>
      <x:c r="F1714" s="18" t="n">
        <x:v>30</x:v>
      </x:c>
      <x:c r="G1714" s="18"/>
      <x:c r="H1714" s="19" t="n">
        <x:v>0</x:v>
      </x:c>
      <x:c r="I1714" s="18" t="n">
        <x:f>ROUND(MIN(Model_Config_v3!$B$6,MAX(Q1714,R1714,S1714*Model_Config_v3!$B$4+T1714*Model_Config_v3!$B$5)),0)</x:f>
        <x:v>680</x:v>
      </x:c>
      <x:c r="J1714" s="18" t="n">
        <x:f>MIN(Model_Config_v3!$B$6,I1714+Model_Config_v3!$B$7)</x:f>
        <x:v>700</x:v>
      </x:c>
      <x:c r="K1714" s="20" t="n">
        <x:v>52</x:v>
      </x:c>
      <x:c r="L1714" t="str">
        <x:v>MENENGAH</x:v>
      </x:c>
      <x:c r="M1714" t="str">
        <x:v>RENDAH</x:v>
      </x:c>
      <x:c r="N1714" t="str">
        <x:v>ELITE-2</x:v>
      </x:c>
      <x:c r="O1714" t="str">
        <x:v>SOSHUM</x:v>
      </x:c>
      <x:c r="P1714" t="str">
        <x:v>BISNIS/EKONOMI/AKUNTANSI</x:v>
      </x:c>
      <x:c r="Q1714" s="18" t="n">
        <x:v>650</x:v>
      </x:c>
      <x:c r="R1714" s="18" t="n">
        <x:v>680</x:v>
      </x:c>
      <x:c r="S1714" s="18" t="n">
        <x:v>520</x:v>
      </x:c>
      <x:c r="T1714" s="18" t="n">
        <x:v>664</x:v>
      </x:c>
      <x:c r="U1714" s="18" t="n">
        <x:v>650</x:v>
      </x:c>
      <x:c r="V1714" s="20" t="n">
        <x:v>4.4</x:v>
      </x:c>
      <x:c r="W1714" s="20" t="n">
        <x:v>14.3</x:v>
      </x:c>
      <x:c r="X1714" s="20" t="n">
        <x:v>3.3</x:v>
      </x:c>
      <x:c r="Y1714" t="str">
        <x:v>Basis arsip 2025/2024</x:v>
      </x:c>
      <x:c r="Z1714" t="str">
        <x:v>https://snpmb.id/utbk-snbt/daya-tampung-snbt</x:v>
      </x:c>
      <x:c r="AA1714" t="str">
        <x:v>Tidak Ada</x:v>
      </x:c>
      <x:c r="AB1714" t="str">
        <x:v>Campus=90; Ratio=0.0; Prodi=65; RelDemand=0.0; Capacity=75.0</x:v>
      </x:c>
    </x:row>
    <x:row r="1715">
      <x:c r="A1715" t="n">
        <x:v>1712</x:v>
      </x:c>
      <x:c r="B1715" t="str">
        <x:v>PTN Akademik</x:v>
      </x:c>
      <x:c r="C1715" t="str">
        <x:v>UNIVERSITAS DIPONEGORO</x:v>
      </x:c>
      <x:c r="D1715" t="str">
        <x:v>TEKNOLOGI DAN BISNIS PERIKANAN DAN KELAUTAN</x:v>
      </x:c>
      <x:c r="E1715" t="str">
        <x:v>Sarjana</x:v>
      </x:c>
      <x:c r="F1715" s="18" t="n">
        <x:v>15</x:v>
      </x:c>
      <x:c r="G1715" s="18"/>
      <x:c r="H1715" s="19" t="n">
        <x:v>0</x:v>
      </x:c>
      <x:c r="I1715" s="18" t="n">
        <x:f>ROUND(MIN(Model_Config_v3!$B$6,MAX(Q1715,R1715,S1715*Model_Config_v3!$B$4+T1715*Model_Config_v3!$B$5)),0)</x:f>
        <x:v>680</x:v>
      </x:c>
      <x:c r="J1715" s="18" t="n">
        <x:f>MIN(Model_Config_v3!$B$6,I1715+Model_Config_v3!$B$7)</x:f>
        <x:v>700</x:v>
      </x:c>
      <x:c r="K1715" s="20" t="n">
        <x:v>53.2</x:v>
      </x:c>
      <x:c r="L1715" t="str">
        <x:v>MENENGAH</x:v>
      </x:c>
      <x:c r="M1715" t="str">
        <x:v>RENDAH</x:v>
      </x:c>
      <x:c r="N1715" t="str">
        <x:v>ELITE-2</x:v>
      </x:c>
      <x:c r="O1715" t="str">
        <x:v>SAINTEK</x:v>
      </x:c>
      <x:c r="P1715" t="str">
        <x:v>BISNIS/EKONOMI/AKUNTANSI</x:v>
      </x:c>
      <x:c r="Q1715" s="18" t="n">
        <x:v>650</x:v>
      </x:c>
      <x:c r="R1715" s="18" t="n">
        <x:v>680</x:v>
      </x:c>
      <x:c r="S1715" s="18" t="n">
        <x:v>520</x:v>
      </x:c>
      <x:c r="T1715" s="18" t="n">
        <x:v>666</x:v>
      </x:c>
      <x:c r="U1715" s="18" t="n">
        <x:v>650</x:v>
      </x:c>
      <x:c r="V1715" s="20" t="n">
        <x:v>12</x:v>
      </x:c>
      <x:c r="W1715" s="20" t="n">
        <x:v>5</x:v>
      </x:c>
      <x:c r="X1715" s="20" t="n">
        <x:v>3</x:v>
      </x:c>
      <x:c r="Y1715" t="str">
        <x:v>Basis arsip 2025/2024</x:v>
      </x:c>
      <x:c r="Z1715" t="str">
        <x:v>https://snpmb.id/utbk-snbt/daya-tampung-snbt</x:v>
      </x:c>
      <x:c r="AA1715" t="str">
        <x:v>Tidak Ada</x:v>
      </x:c>
      <x:c r="AB1715" t="str">
        <x:v>Campus=90; Ratio=0.0; Prodi=65; RelDemand=0.0; Capacity=87.5</x:v>
      </x:c>
    </x:row>
    <x:row r="1716">
      <x:c r="A1716" t="n">
        <x:v>1713</x:v>
      </x:c>
      <x:c r="B1716" t="str">
        <x:v>PTN Akademik</x:v>
      </x:c>
      <x:c r="C1716" t="str">
        <x:v>UNIVERSITAS DIPONEGORO</x:v>
      </x:c>
      <x:c r="D1716" t="str">
        <x:v>TEKNOLOGI REKAYASA KIMIA INDUSTRI</x:v>
      </x:c>
      <x:c r="E1716" t="str">
        <x:v>Sarjana Terapan</x:v>
      </x:c>
      <x:c r="F1716" s="18" t="n">
        <x:v>39</x:v>
      </x:c>
      <x:c r="G1716" s="18" t="n">
        <x:v>1302</x:v>
      </x:c>
      <x:c r="H1716" s="19" t="n">
        <x:v>33.38461538461539</x:v>
      </x:c>
      <x:c r="I1716" s="18" t="n">
        <x:f>ROUND(MIN(Model_Config_v3!$B$6,MAX(Q1716,R1716,S1716*Model_Config_v3!$B$4+T1716*Model_Config_v3!$B$5)),0)</x:f>
        <x:v>710</x:v>
      </x:c>
      <x:c r="J1716" s="18" t="n">
        <x:f>MIN(Model_Config_v3!$B$6,I1716+Model_Config_v3!$B$7)</x:f>
        <x:v>730</x:v>
      </x:c>
      <x:c r="K1716" s="20" t="n">
        <x:v>79.6</x:v>
      </x:c>
      <x:c r="L1716" t="str">
        <x:v>ELITE</x:v>
      </x:c>
      <x:c r="M1716" t="str">
        <x:v>SEDANG+</x:v>
      </x:c>
      <x:c r="N1716" t="str">
        <x:v>ELITE-2</x:v>
      </x:c>
      <x:c r="O1716" t="str">
        <x:v>SAINTEK</x:v>
      </x:c>
      <x:c r="P1716" t="str">
        <x:v>SAINS DASAR</x:v>
      </x:c>
      <x:c r="Q1716" s="18" t="n">
        <x:v>650</x:v>
      </x:c>
      <x:c r="R1716" s="18" t="n">
        <x:v>0</x:v>
      </x:c>
      <x:c r="S1716" s="18" t="n">
        <x:v>687.5901014926242</x:v>
      </x:c>
      <x:c r="T1716" s="18" t="n">
        <x:v>719</x:v>
      </x:c>
      <x:c r="U1716" s="18" t="n">
        <x:v>687.5901014926242</x:v>
      </x:c>
      <x:c r="V1716" s="20" t="n">
        <x:v>12</x:v>
      </x:c>
      <x:c r="W1716" s="20" t="n">
        <x:v>5</x:v>
      </x:c>
      <x:c r="X1716" s="20" t="n">
        <x:v>3</x:v>
      </x:c>
      <x:c r="Y1716" t="str">
        <x:v>Basis arsip 2025/2024</x:v>
      </x:c>
      <x:c r="Z1716" t="str">
        <x:v>https://snpmb.id/utbk-snbt/daya-tampung-snbt</x:v>
      </x:c>
      <x:c r="AA1716" t="str">
        <x:v>Tidak Ada</x:v>
      </x:c>
      <x:c r="AB1716" t="str">
        <x:v>Campus=90; Ratio=89.7; Prodi=50; RelDemand=89.0; Capacity=67.5</x:v>
      </x:c>
    </x:row>
    <x:row r="1717">
      <x:c r="A1717" t="n">
        <x:v>1714</x:v>
      </x:c>
      <x:c r="B1717" t="str">
        <x:v>PTN Akademik</x:v>
      </x:c>
      <x:c r="C1717" t="str">
        <x:v>UNIVERSITAS DIPONEGORO</x:v>
      </x:c>
      <x:c r="D1717" t="str">
        <x:v>TEKNOLOGI REKAYASA OTOMASI</x:v>
      </x:c>
      <x:c r="E1717" t="str">
        <x:v>Sarjana Terapan</x:v>
      </x:c>
      <x:c r="F1717" s="18" t="n">
        <x:v>39</x:v>
      </x:c>
      <x:c r="G1717" s="18" t="n">
        <x:v>513</x:v>
      </x:c>
      <x:c r="H1717" s="19" t="n">
        <x:v>13.153846153846153</x:v>
      </x:c>
      <x:c r="I1717" s="18" t="n">
        <x:f>ROUND(MIN(Model_Config_v3!$B$6,MAX(Q1717,R1717,S1717*Model_Config_v3!$B$4+T1717*Model_Config_v3!$B$5)),0)</x:f>
        <x:v>677</x:v>
      </x:c>
      <x:c r="J1717" s="18" t="n">
        <x:f>MIN(Model_Config_v3!$B$6,I1717+Model_Config_v3!$B$7)</x:f>
        <x:v>697</x:v>
      </x:c>
      <x:c r="K1717" s="20" t="n">
        <x:v>66.2</x:v>
      </x:c>
      <x:c r="L1717" t="str">
        <x:v>SANGAT KETAT</x:v>
      </x:c>
      <x:c r="M1717" t="str">
        <x:v>SEDANG+</x:v>
      </x:c>
      <x:c r="N1717" t="str">
        <x:v>ELITE-2</x:v>
      </x:c>
      <x:c r="O1717" t="str">
        <x:v>SAINTEK</x:v>
      </x:c>
      <x:c r="P1717" t="str">
        <x:v>UMUM</x:v>
      </x:c>
      <x:c r="Q1717" s="18" t="n">
        <x:v>650</x:v>
      </x:c>
      <x:c r="R1717" s="18" t="n">
        <x:v>0</x:v>
      </x:c>
      <x:c r="S1717" s="18" t="n">
        <x:v>643.0958033893849</x:v>
      </x:c>
      <x:c r="T1717" s="18" t="n">
        <x:v>692</x:v>
      </x:c>
      <x:c r="U1717" s="18" t="n">
        <x:v>650</x:v>
      </x:c>
      <x:c r="V1717" s="20" t="n">
        <x:v>12</x:v>
      </x:c>
      <x:c r="W1717" s="20" t="n">
        <x:v>5</x:v>
      </x:c>
      <x:c r="X1717" s="20" t="n">
        <x:v>3</x:v>
      </x:c>
      <x:c r="Y1717" t="str">
        <x:v>Basis arsip 2025/2024</x:v>
      </x:c>
      <x:c r="Z1717" t="str">
        <x:v>https://snpmb.id/utbk-snbt/daya-tampung-snbt</x:v>
      </x:c>
      <x:c r="AA1717" t="str">
        <x:v>Tidak Ada</x:v>
      </x:c>
      <x:c r="AB1717" t="str">
        <x:v>Campus=90; Ratio=65.9; Prodi=40; RelDemand=35.1; Capacity=67.5</x:v>
      </x:c>
    </x:row>
    <x:row r="1718">
      <x:c r="A1718" t="n">
        <x:v>1715</x:v>
      </x:c>
      <x:c r="B1718" t="str">
        <x:v>PTN Akademik</x:v>
      </x:c>
      <x:c r="C1718" t="str">
        <x:v>UNIVERSITAS DIPONEGORO</x:v>
      </x:c>
      <x:c r="D1718" t="str">
        <x:v>REKAYASA PERANCANGAN MEKANIK</x:v>
      </x:c>
      <x:c r="E1718" t="str">
        <x:v>Sarjana Terapan</x:v>
      </x:c>
      <x:c r="F1718" s="18" t="n">
        <x:v>39</x:v>
      </x:c>
      <x:c r="G1718" s="18" t="n">
        <x:v>322</x:v>
      </x:c>
      <x:c r="H1718" s="19" t="n">
        <x:v>8.256410256410257</x:v>
      </x:c>
      <x:c r="I1718" s="18" t="n">
        <x:f>ROUND(MIN(Model_Config_v3!$B$6,MAX(Q1718,R1718,S1718*Model_Config_v3!$B$4+T1718*Model_Config_v3!$B$5)),0)</x:f>
        <x:v>665</x:v>
      </x:c>
      <x:c r="J1718" s="18" t="n">
        <x:f>MIN(Model_Config_v3!$B$6,I1718+Model_Config_v3!$B$7)</x:f>
        <x:v>685</x:v>
      </x:c>
      <x:c r="K1718" s="20" t="n">
        <x:v>61.9</x:v>
      </x:c>
      <x:c r="L1718" t="str">
        <x:v>KETAT</x:v>
      </x:c>
      <x:c r="M1718" t="str">
        <x:v>SEDANG+</x:v>
      </x:c>
      <x:c r="N1718" t="str">
        <x:v>ELITE-2</x:v>
      </x:c>
      <x:c r="O1718" t="str">
        <x:v>CAMPURAN</x:v>
      </x:c>
      <x:c r="P1718" t="str">
        <x:v>UMUM</x:v>
      </x:c>
      <x:c r="Q1718" s="18" t="n">
        <x:v>650</x:v>
      </x:c>
      <x:c r="R1718" s="18" t="n">
        <x:v>0</x:v>
      </x:c>
      <x:c r="S1718" s="18" t="n">
        <x:v>620.8470391136265</x:v>
      </x:c>
      <x:c r="T1718" s="18" t="n">
        <x:v>684</x:v>
      </x:c>
      <x:c r="U1718" s="18" t="n">
        <x:v>650</x:v>
      </x:c>
      <x:c r="V1718" s="20" t="n">
        <x:v>8.8</x:v>
      </x:c>
      <x:c r="W1718" s="20" t="n">
        <x:v>9.9</x:v>
      </x:c>
      <x:c r="X1718" s="20" t="n">
        <x:v>3.3</x:v>
      </x:c>
      <x:c r="Y1718" t="str">
        <x:v>Basis arsip 2025/2024</x:v>
      </x:c>
      <x:c r="Z1718" t="str">
        <x:v>https://snpmb.id/utbk-snbt/daya-tampung-snbt</x:v>
      </x:c>
      <x:c r="AA1718" t="str">
        <x:v>Tidak Ada</x:v>
      </x:c>
      <x:c r="AB1718" t="str">
        <x:v>Campus=90; Ratio=54.0; Prodi=40; RelDemand=22.0; Capacity=67.5</x:v>
      </x:c>
    </x:row>
    <x:row r="1719">
      <x:c r="A1719" t="n">
        <x:v>1716</x:v>
      </x:c>
      <x:c r="B1719" t="str">
        <x:v>PTN Akademik</x:v>
      </x:c>
      <x:c r="C1719" t="str">
        <x:v>UNIVERSITAS DIPONEGORO</x:v>
      </x:c>
      <x:c r="D1719" t="str">
        <x:v>TEKNOLOGI REKAYASA KONSTRUKSI PERKAPALAN</x:v>
      </x:c>
      <x:c r="E1719" t="str">
        <x:v>Sarjana Terapan</x:v>
      </x:c>
      <x:c r="F1719" s="18" t="n">
        <x:v>36</x:v>
      </x:c>
      <x:c r="G1719" s="18" t="n">
        <x:v>548</x:v>
      </x:c>
      <x:c r="H1719" s="19" t="n">
        <x:v>15.222222222222221</x:v>
      </x:c>
      <x:c r="I1719" s="18" t="n">
        <x:f>ROUND(MIN(Model_Config_v3!$B$6,MAX(Q1719,R1719,S1719*Model_Config_v3!$B$4+T1719*Model_Config_v3!$B$5)),0)</x:f>
        <x:v>682</x:v>
      </x:c>
      <x:c r="J1719" s="18" t="n">
        <x:f>MIN(Model_Config_v3!$B$6,I1719+Model_Config_v3!$B$7)</x:f>
        <x:v>702</x:v>
      </x:c>
      <x:c r="K1719" s="20" t="n">
        <x:v>68</x:v>
      </x:c>
      <x:c r="L1719" t="str">
        <x:v>SANGAT KETAT</x:v>
      </x:c>
      <x:c r="M1719" t="str">
        <x:v>SEDANG+</x:v>
      </x:c>
      <x:c r="N1719" t="str">
        <x:v>ELITE-2</x:v>
      </x:c>
      <x:c r="O1719" t="str">
        <x:v>SAINTEK</x:v>
      </x:c>
      <x:c r="P1719" t="str">
        <x:v>UMUM</x:v>
      </x:c>
      <x:c r="Q1719" s="18" t="n">
        <x:v>650</x:v>
      </x:c>
      <x:c r="R1719" s="18" t="n">
        <x:v>0</x:v>
      </x:c>
      <x:c r="S1719" s="18" t="n">
        <x:v>650.072586348879</x:v>
      </x:c>
      <x:c r="T1719" s="18" t="n">
        <x:v>696</x:v>
      </x:c>
      <x:c r="U1719" s="18" t="n">
        <x:v>650.072586348879</x:v>
      </x:c>
      <x:c r="V1719" s="20" t="n">
        <x:v>12</x:v>
      </x:c>
      <x:c r="W1719" s="20" t="n">
        <x:v>5</x:v>
      </x:c>
      <x:c r="X1719" s="20" t="n">
        <x:v>3</x:v>
      </x:c>
      <x:c r="Y1719" t="str">
        <x:v>Basis arsip 2025/2024</x:v>
      </x:c>
      <x:c r="Z1719" t="str">
        <x:v>https://snpmb.id/utbk-snbt/daya-tampung-snbt</x:v>
      </x:c>
      <x:c r="AA1719" t="str">
        <x:v>Tidak Ada</x:v>
      </x:c>
      <x:c r="AB1719" t="str">
        <x:v>Campus=90; Ratio=69.6; Prodi=40; RelDemand=40.6; Capacity=70.0</x:v>
      </x:c>
    </x:row>
    <x:row r="1720">
      <x:c r="A1720" t="n">
        <x:v>1717</x:v>
      </x:c>
      <x:c r="B1720" t="str">
        <x:v>PTN Akademik</x:v>
      </x:c>
      <x:c r="C1720" t="str">
        <x:v>UNIVERSITAS DIPONEGORO</x:v>
      </x:c>
      <x:c r="D1720" t="str">
        <x:v>TEKNIK LISTRIK INDUSTRI</x:v>
      </x:c>
      <x:c r="E1720" t="str">
        <x:v>Sarjana Terapan</x:v>
      </x:c>
      <x:c r="F1720" s="18" t="n">
        <x:v>39</x:v>
      </x:c>
      <x:c r="G1720" s="18" t="n">
        <x:v>643</x:v>
      </x:c>
      <x:c r="H1720" s="19" t="n">
        <x:v>16.487179487179485</x:v>
      </x:c>
      <x:c r="I1720" s="18" t="n">
        <x:f>ROUND(MIN(Model_Config_v3!$B$6,MAX(Q1720,R1720,S1720*Model_Config_v3!$B$4+T1720*Model_Config_v3!$B$5)),0)</x:f>
        <x:v>690</x:v>
      </x:c>
      <x:c r="J1720" s="18" t="n">
        <x:f>MIN(Model_Config_v3!$B$6,I1720+Model_Config_v3!$B$7)</x:f>
        <x:v>710</x:v>
      </x:c>
      <x:c r="K1720" s="20" t="n">
        <x:v>72.6</x:v>
      </x:c>
      <x:c r="L1720" t="str">
        <x:v>SANGAT KETAT</x:v>
      </x:c>
      <x:c r="M1720" t="str">
        <x:v>SEDANG+</x:v>
      </x:c>
      <x:c r="N1720" t="str">
        <x:v>ELITE-2</x:v>
      </x:c>
      <x:c r="O1720" t="str">
        <x:v>SAINTEK</x:v>
      </x:c>
      <x:c r="P1720" t="str">
        <x:v>TEKNIK/ARSITEKTUR/STATISTIKA/AKTUARIA</x:v>
      </x:c>
      <x:c r="Q1720" s="18" t="n">
        <x:v>650</x:v>
      </x:c>
      <x:c r="R1720" s="18" t="n">
        <x:v>670</x:v>
      </x:c>
      <x:c r="S1720" s="18" t="n">
        <x:v>653.8861002487495</x:v>
      </x:c>
      <x:c r="T1720" s="18" t="n">
        <x:v>705</x:v>
      </x:c>
      <x:c r="U1720" s="18" t="n">
        <x:v>663.8861002487495</x:v>
      </x:c>
      <x:c r="V1720" s="20" t="n">
        <x:v>12</x:v>
      </x:c>
      <x:c r="W1720" s="20" t="n">
        <x:v>5</x:v>
      </x:c>
      <x:c r="X1720" s="20" t="n">
        <x:v>3</x:v>
      </x:c>
      <x:c r="Y1720" t="str">
        <x:v>Basis arsip 2025/2024</x:v>
      </x:c>
      <x:c r="Z1720" t="str">
        <x:v>https://snpmb.id/utbk-snbt/daya-tampung-snbt</x:v>
      </x:c>
      <x:c r="AA1720" t="str">
        <x:v>Tidak Ada</x:v>
      </x:c>
      <x:c r="AB1720" t="str">
        <x:v>Campus=90; Ratio=71.6; Prodi=60; RelDemand=44.0; Capacity=67.5</x:v>
      </x:c>
    </x:row>
    <x:row r="1721">
      <x:c r="A1721" t="n">
        <x:v>1718</x:v>
      </x:c>
      <x:c r="B1721" t="str">
        <x:v>PTN Akademik</x:v>
      </x:c>
      <x:c r="C1721" t="str">
        <x:v>UNIVERSITAS DIPONEGORO</x:v>
      </x:c>
      <x:c r="D1721" t="str">
        <x:v>PERENCANAAN TATA RUANG DAN PERTANAHAN</x:v>
      </x:c>
      <x:c r="E1721" t="str">
        <x:v>Sarjana Terapan</x:v>
      </x:c>
      <x:c r="F1721" s="18" t="n">
        <x:v>45</x:v>
      </x:c>
      <x:c r="G1721" s="18" t="n">
        <x:v>1574</x:v>
      </x:c>
      <x:c r="H1721" s="19" t="n">
        <x:v>34.977777777777774</x:v>
      </x:c>
      <x:c r="I1721" s="18" t="n">
        <x:f>ROUND(MIN(Model_Config_v3!$B$6,MAX(Q1721,R1721,S1721*Model_Config_v3!$B$4+T1721*Model_Config_v3!$B$5)),0)</x:f>
        <x:v>708</x:v>
      </x:c>
      <x:c r="J1721" s="18" t="n">
        <x:f>MIN(Model_Config_v3!$B$6,I1721+Model_Config_v3!$B$7)</x:f>
        <x:v>728</x:v>
      </x:c>
      <x:c r="K1721" s="20" t="n">
        <x:v>77.8</x:v>
      </x:c>
      <x:c r="L1721" t="str">
        <x:v>ELITE</x:v>
      </x:c>
      <x:c r="M1721" t="str">
        <x:v>SEDANG+</x:v>
      </x:c>
      <x:c r="N1721" t="str">
        <x:v>ELITE-2</x:v>
      </x:c>
      <x:c r="O1721" t="str">
        <x:v>SAINTEK</x:v>
      </x:c>
      <x:c r="P1721" t="str">
        <x:v>UMUM</x:v>
      </x:c>
      <x:c r="Q1721" s="18" t="n">
        <x:v>650</x:v>
      </x:c>
      <x:c r="R1721" s="18" t="n">
        <x:v>0</x:v>
      </x:c>
      <x:c r="S1721" s="18" t="n">
        <x:v>689.8171435672472</x:v>
      </x:c>
      <x:c r="T1721" s="18" t="n">
        <x:v>716</x:v>
      </x:c>
      <x:c r="U1721" s="18" t="n">
        <x:v>689.8171435672472</x:v>
      </x:c>
      <x:c r="V1721" s="20" t="n">
        <x:v>12</x:v>
      </x:c>
      <x:c r="W1721" s="20" t="n">
        <x:v>5</x:v>
      </x:c>
      <x:c r="X1721" s="20" t="n">
        <x:v>3</x:v>
      </x:c>
      <x:c r="Y1721" t="str">
        <x:v>Basis arsip 2025/2024</x:v>
      </x:c>
      <x:c r="Z1721" t="str">
        <x:v>https://snpmb.id/utbk-snbt/daya-tampung-snbt</x:v>
      </x:c>
      <x:c r="AA1721" t="str">
        <x:v>Tidak Ada</x:v>
      </x:c>
      <x:c r="AB1721" t="str">
        <x:v>Campus=90; Ratio=90.9; Prodi=40; RelDemand=93.3; Capacity=62.5</x:v>
      </x:c>
    </x:row>
    <x:row r="1722">
      <x:c r="A1722" t="n">
        <x:v>1719</x:v>
      </x:c>
      <x:c r="B1722" t="str">
        <x:v>PTN Akademik</x:v>
      </x:c>
      <x:c r="C1722" t="str">
        <x:v>UNIVERSITAS DIPONEGORO</x:v>
      </x:c>
      <x:c r="D1722" t="str">
        <x:v>TEKNIK INFRASTRUKTUR SIPIL DAN PERANCANGAN ARSITEKTUR</x:v>
      </x:c>
      <x:c r="E1722" t="str">
        <x:v>Sarjana Terapan</x:v>
      </x:c>
      <x:c r="F1722" s="18" t="n">
        <x:v>63</x:v>
      </x:c>
      <x:c r="G1722" s="18" t="n">
        <x:v>2723</x:v>
      </x:c>
      <x:c r="H1722" s="19" t="n">
        <x:v>43.22222222222222</x:v>
      </x:c>
      <x:c r="I1722" s="18" t="n">
        <x:f>ROUND(MIN(Model_Config_v3!$B$6,MAX(Q1722,R1722,S1722*Model_Config_v3!$B$4+T1722*Model_Config_v3!$B$5)),0)</x:f>
        <x:v>717</x:v>
      </x:c>
      <x:c r="J1722" s="18" t="n">
        <x:f>MIN(Model_Config_v3!$B$6,I1722+Model_Config_v3!$B$7)</x:f>
        <x:v>737</x:v>
      </x:c>
      <x:c r="K1722" s="20" t="n">
        <x:v>82.3</x:v>
      </x:c>
      <x:c r="L1722" t="str">
        <x:v>ELITE</x:v>
      </x:c>
      <x:c r="M1722" t="str">
        <x:v>SEDANG+</x:v>
      </x:c>
      <x:c r="N1722" t="str">
        <x:v>ELITE-2</x:v>
      </x:c>
      <x:c r="O1722" t="str">
        <x:v>SAINTEK</x:v>
      </x:c>
      <x:c r="P1722" t="str">
        <x:v>TEKNIK/ARSITEKTUR/STATISTIKA/AKTUARIA</x:v>
      </x:c>
      <x:c r="Q1722" s="18" t="n">
        <x:v>650</x:v>
      </x:c>
      <x:c r="R1722" s="18" t="n">
        <x:v>670</x:v>
      </x:c>
      <x:c r="S1722" s="18" t="n">
        <x:v>699.9277801075021</x:v>
      </x:c>
      <x:c r="T1722" s="18" t="n">
        <x:v>725</x:v>
      </x:c>
      <x:c r="U1722" s="18" t="n">
        <x:v>709.9277801075021</x:v>
      </x:c>
      <x:c r="V1722" s="20" t="n">
        <x:v>12</x:v>
      </x:c>
      <x:c r="W1722" s="20" t="n">
        <x:v>5</x:v>
      </x:c>
      <x:c r="X1722" s="20" t="n">
        <x:v>3</x:v>
      </x:c>
      <x:c r="Y1722" t="str">
        <x:v>Basis arsip 2025/2024</x:v>
      </x:c>
      <x:c r="Z1722" t="str">
        <x:v>https://snpmb.id/utbk-snbt/daya-tampung-snbt</x:v>
      </x:c>
      <x:c r="AA1722" t="str">
        <x:v>Tidak Ada</x:v>
      </x:c>
      <x:c r="AB1722" t="str">
        <x:v>Campus=90; Ratio=96.3; Prodi=60; RelDemand=100.0; Capacity=47.5</x:v>
      </x:c>
    </x:row>
    <x:row r="1723">
      <x:c r="A1723" t="n">
        <x:v>1720</x:v>
      </x:c>
      <x:c r="B1723" t="str">
        <x:v>PTN Akademik</x:v>
      </x:c>
      <x:c r="C1723" t="str">
        <x:v>UNIVERSITAS DIPONEGORO</x:v>
      </x:c>
      <x:c r="D1723" t="str">
        <x:v>AKUNTANSI PERPAJAKAN</x:v>
      </x:c>
      <x:c r="E1723" t="str">
        <x:v>Sarjana Terapan</x:v>
      </x:c>
      <x:c r="F1723" s="18" t="n">
        <x:v>129</x:v>
      </x:c>
      <x:c r="G1723" s="18" t="n">
        <x:v>5115</x:v>
      </x:c>
      <x:c r="H1723" s="19" t="n">
        <x:v>39.651162790697676</x:v>
      </x:c>
      <x:c r="I1723" s="18" t="n">
        <x:f>ROUND(MIN(Model_Config_v3!$B$6,MAX(Q1723,R1723,S1723*Model_Config_v3!$B$4+T1723*Model_Config_v3!$B$5)),0)</x:f>
        <x:v>710</x:v>
      </x:c>
      <x:c r="J1723" s="18" t="n">
        <x:f>MIN(Model_Config_v3!$B$6,I1723+Model_Config_v3!$B$7)</x:f>
        <x:v>730</x:v>
      </x:c>
      <x:c r="K1723" s="20" t="n">
        <x:v>78</x:v>
      </x:c>
      <x:c r="L1723" t="str">
        <x:v>ELITE</x:v>
      </x:c>
      <x:c r="M1723" t="str">
        <x:v>SEDANG+</x:v>
      </x:c>
      <x:c r="N1723" t="str">
        <x:v>ELITE-2</x:v>
      </x:c>
      <x:c r="O1723" t="str">
        <x:v>SOSHUM</x:v>
      </x:c>
      <x:c r="P1723" t="str">
        <x:v>BISNIS/EKONOMI/AKUNTANSI</x:v>
      </x:c>
      <x:c r="Q1723" s="18" t="n">
        <x:v>650</x:v>
      </x:c>
      <x:c r="R1723" s="18" t="n">
        <x:v>680</x:v>
      </x:c>
      <x:c r="S1723" s="18" t="n">
        <x:v>695.8081520523823</x:v>
      </x:c>
      <x:c r="T1723" s="18" t="n">
        <x:v>716</x:v>
      </x:c>
      <x:c r="U1723" s="18" t="n">
        <x:v>695.8081520523823</x:v>
      </x:c>
      <x:c r="V1723" s="20" t="n">
        <x:v>4.4</x:v>
      </x:c>
      <x:c r="W1723" s="20" t="n">
        <x:v>14.3</x:v>
      </x:c>
      <x:c r="X1723" s="20" t="n">
        <x:v>3.3</x:v>
      </x:c>
      <x:c r="Y1723" t="str">
        <x:v>Basis arsip 2025/2024</x:v>
      </x:c>
      <x:c r="Z1723" t="str">
        <x:v>https://snpmb.id/utbk-snbt/daya-tampung-snbt</x:v>
      </x:c>
      <x:c r="AA1723" t="str">
        <x:v>Tidak Ada</x:v>
      </x:c>
      <x:c r="AB1723" t="str">
        <x:v>Campus=90; Ratio=94.1; Prodi=65; RelDemand=100.0; Capacity=0.0</x:v>
      </x:c>
    </x:row>
    <x:row r="1724">
      <x:c r="A1724" t="n">
        <x:v>1721</x:v>
      </x:c>
      <x:c r="B1724" t="str">
        <x:v>PTN Akademik</x:v>
      </x:c>
      <x:c r="C1724" t="str">
        <x:v>UNIVERSITAS DIPONEGORO</x:v>
      </x:c>
      <x:c r="D1724" t="str">
        <x:v>MANAJEMEN DAN ADMINISTRASI LOGISTIK</x:v>
      </x:c>
      <x:c r="E1724" t="str">
        <x:v>Sarjana Terapan</x:v>
      </x:c>
      <x:c r="F1724" s="18" t="n">
        <x:v>69</x:v>
      </x:c>
      <x:c r="G1724" s="18" t="n">
        <x:v>3353</x:v>
      </x:c>
      <x:c r="H1724" s="19" t="n">
        <x:v>48.594202898550726</x:v>
      </x:c>
      <x:c r="I1724" s="18" t="n">
        <x:f>ROUND(MIN(Model_Config_v3!$B$6,MAX(Q1724,R1724,S1724*Model_Config_v3!$B$4+T1724*Model_Config_v3!$B$5)),0)</x:f>
        <x:v>721</x:v>
      </x:c>
      <x:c r="J1724" s="18" t="n">
        <x:f>MIN(Model_Config_v3!$B$6,I1724+Model_Config_v3!$B$7)</x:f>
        <x:v>741</x:v>
      </x:c>
      <x:c r="K1724" s="20" t="n">
        <x:v>83.6</x:v>
      </x:c>
      <x:c r="L1724" t="str">
        <x:v>ELITE</x:v>
      </x:c>
      <x:c r="M1724" t="str">
        <x:v>SEDANG+</x:v>
      </x:c>
      <x:c r="N1724" t="str">
        <x:v>ELITE-2</x:v>
      </x:c>
      <x:c r="O1724" t="str">
        <x:v>SOSHUM</x:v>
      </x:c>
      <x:c r="P1724" t="str">
        <x:v>BISNIS/EKONOMI/AKUNTANSI</x:v>
      </x:c>
      <x:c r="Q1724" s="18" t="n">
        <x:v>650</x:v>
      </x:c>
      <x:c r="R1724" s="18" t="n">
        <x:v>680</x:v>
      </x:c>
      <x:c r="S1724" s="18" t="n">
        <x:v>705.5242908960721</x:v>
      </x:c>
      <x:c r="T1724" s="18" t="n">
        <x:v>727</x:v>
      </x:c>
      <x:c r="U1724" s="18" t="n">
        <x:v>720.5242908960721</x:v>
      </x:c>
      <x:c r="V1724" s="20" t="n">
        <x:v>4.4</x:v>
      </x:c>
      <x:c r="W1724" s="20" t="n">
        <x:v>14.3</x:v>
      </x:c>
      <x:c r="X1724" s="20" t="n">
        <x:v>3.3</x:v>
      </x:c>
      <x:c r="Y1724" t="str">
        <x:v>Basis arsip 2025/2024</x:v>
      </x:c>
      <x:c r="Z1724" t="str">
        <x:v>https://snpmb.id/utbk-snbt/daya-tampung-snbt</x:v>
      </x:c>
      <x:c r="AA1724" t="str">
        <x:v>Tidak Ada</x:v>
      </x:c>
      <x:c r="AB1724" t="str">
        <x:v>Campus=90; Ratio=99.3; Prodi=65; RelDemand=100.0; Capacity=42.5</x:v>
      </x:c>
    </x:row>
    <x:row r="1725">
      <x:c r="A1725" t="n">
        <x:v>1722</x:v>
      </x:c>
      <x:c r="B1725" t="str">
        <x:v>PTN Akademik</x:v>
      </x:c>
      <x:c r="C1725" t="str">
        <x:v>UNIVERSITAS DIPONEGORO</x:v>
      </x:c>
      <x:c r="D1725" t="str">
        <x:v>BAHASA ASING TERAPAN</x:v>
      </x:c>
      <x:c r="E1725" t="str">
        <x:v>Sarjana Terapan</x:v>
      </x:c>
      <x:c r="F1725" s="18" t="n">
        <x:v>45</x:v>
      </x:c>
      <x:c r="G1725" s="18" t="n">
        <x:v>1302</x:v>
      </x:c>
      <x:c r="H1725" s="19" t="n">
        <x:v>28.933333333333334</x:v>
      </x:c>
      <x:c r="I1725" s="18" t="n">
        <x:f>ROUND(MIN(Model_Config_v3!$B$6,MAX(Q1725,R1725,S1725*Model_Config_v3!$B$4+T1725*Model_Config_v3!$B$5)),0)</x:f>
        <x:v>701</x:v>
      </x:c>
      <x:c r="J1725" s="18" t="n">
        <x:f>MIN(Model_Config_v3!$B$6,I1725+Model_Config_v3!$B$7)</x:f>
        <x:v>721</x:v>
      </x:c>
      <x:c r="K1725" s="20" t="n">
        <x:v>75</x:v>
      </x:c>
      <x:c r="L1725" t="str">
        <x:v>ELITE</x:v>
      </x:c>
      <x:c r="M1725" t="str">
        <x:v>SEDANG+</x:v>
      </x:c>
      <x:c r="N1725" t="str">
        <x:v>ELITE-2</x:v>
      </x:c>
      <x:c r="O1725" t="str">
        <x:v>SOSHUM</x:v>
      </x:c>
      <x:c r="P1725" t="str">
        <x:v>UMUM</x:v>
      </x:c>
      <x:c r="Q1725" s="18" t="n">
        <x:v>650</x:v>
      </x:c>
      <x:c r="R1725" s="18" t="n">
        <x:v>0</x:v>
      </x:c>
      <x:c r="S1725" s="18" t="n">
        <x:v>680.7538317502513</x:v>
      </x:c>
      <x:c r="T1725" s="18" t="n">
        <x:v>710</x:v>
      </x:c>
      <x:c r="U1725" s="18" t="n">
        <x:v>680.7538317502513</x:v>
      </x:c>
      <x:c r="V1725" s="20" t="n">
        <x:v>4.4</x:v>
      </x:c>
      <x:c r="W1725" s="20" t="n">
        <x:v>14.3</x:v>
      </x:c>
      <x:c r="X1725" s="20" t="n">
        <x:v>3.3</x:v>
      </x:c>
      <x:c r="Y1725" t="str">
        <x:v>Basis arsip 2025/2024</x:v>
      </x:c>
      <x:c r="Z1725" t="str">
        <x:v>https://snpmb.id/utbk-snbt/daya-tampung-snbt</x:v>
      </x:c>
      <x:c r="AA1725" t="str">
        <x:v>Tidak Ada</x:v>
      </x:c>
      <x:c r="AB1725" t="str">
        <x:v>Campus=90; Ratio=86.0; Prodi=40; RelDemand=77.1; Capacity=62.5</x:v>
      </x:c>
    </x:row>
    <x:row r="1726">
      <x:c r="A1726" t="n">
        <x:v>1723</x:v>
      </x:c>
      <x:c r="B1726" t="str">
        <x:v>PTN Akademik</x:v>
      </x:c>
      <x:c r="C1726" t="str">
        <x:v>UNIVERSITAS DIPONEGORO</x:v>
      </x:c>
      <x:c r="D1726" t="str">
        <x:v>INFORMASI DAN HUMAS</x:v>
      </x:c>
      <x:c r="E1726" t="str">
        <x:v>Sarjana Terapan</x:v>
      </x:c>
      <x:c r="F1726" s="18" t="n">
        <x:v>69</x:v>
      </x:c>
      <x:c r="G1726" s="18" t="n">
        <x:v>3273</x:v>
      </x:c>
      <x:c r="H1726" s="19" t="n">
        <x:v>47.43478260869565</x:v>
      </x:c>
      <x:c r="I1726" s="18" t="n">
        <x:f>ROUND(MIN(Model_Config_v3!$B$6,MAX(Q1726,R1726,S1726*Model_Config_v3!$B$4+T1726*Model_Config_v3!$B$5)),0)</x:f>
        <x:v>713</x:v>
      </x:c>
      <x:c r="J1726" s="18" t="n">
        <x:f>MIN(Model_Config_v3!$B$6,I1726+Model_Config_v3!$B$7)</x:f>
        <x:v>733</x:v>
      </x:c>
      <x:c r="K1726" s="20" t="n">
        <x:v>78.4</x:v>
      </x:c>
      <x:c r="L1726" t="str">
        <x:v>ELITE</x:v>
      </x:c>
      <x:c r="M1726" t="str">
        <x:v>SEDANG+</x:v>
      </x:c>
      <x:c r="N1726" t="str">
        <x:v>ELITE-2</x:v>
      </x:c>
      <x:c r="O1726" t="str">
        <x:v>CAMPURAN</x:v>
      </x:c>
      <x:c r="P1726" t="str">
        <x:v>UMUM</x:v>
      </x:c>
      <x:c r="Q1726" s="18" t="n">
        <x:v>650</x:v>
      </x:c>
      <x:c r="R1726" s="18" t="n">
        <x:v>0</x:v>
      </x:c>
      <x:c r="S1726" s="18" t="n">
        <x:v>704.3706606027823</x:v>
      </x:c>
      <x:c r="T1726" s="18" t="n">
        <x:v>717</x:v>
      </x:c>
      <x:c r="U1726" s="18" t="n">
        <x:v>704.3706606027823</x:v>
      </x:c>
      <x:c r="V1726" s="20" t="n">
        <x:v>8.8</x:v>
      </x:c>
      <x:c r="W1726" s="20" t="n">
        <x:v>9.9</x:v>
      </x:c>
      <x:c r="X1726" s="20" t="n">
        <x:v>3.3</x:v>
      </x:c>
      <x:c r="Y1726" t="str">
        <x:v>Basis arsip 2025/2024</x:v>
      </x:c>
      <x:c r="Z1726" t="str">
        <x:v>https://snpmb.id/utbk-snbt/daya-tampung-snbt</x:v>
      </x:c>
      <x:c r="AA1726" t="str">
        <x:v>Tidak Ada</x:v>
      </x:c>
      <x:c r="AB1726" t="str">
        <x:v>Campus=90; Ratio=98.7; Prodi=40; RelDemand=100.0; Capacity=42.5</x:v>
      </x:c>
    </x:row>
    <x:row r="1727">
      <x:c r="A1727" t="n">
        <x:v>1724</x:v>
      </x:c>
      <x:c r="B1727" t="str">
        <x:v>PTN Akademik</x:v>
      </x:c>
      <x:c r="C1727" t="str">
        <x:v>UNIVERSITAS NEGERI SEMARANG</x:v>
      </x:c>
      <x:c r="D1727" t="str">
        <x:v>PENDIDIKAN MATEMATIKA</x:v>
      </x:c>
      <x:c r="E1727" t="str">
        <x:v>Sarjana</x:v>
      </x:c>
      <x:c r="F1727" s="18" t="n">
        <x:v>59</x:v>
      </x:c>
      <x:c r="G1727" s="18" t="n">
        <x:v>513</x:v>
      </x:c>
      <x:c r="H1727" s="19" t="n">
        <x:v>8.694915254237289</x:v>
      </x:c>
      <x:c r="I1727" s="18" t="n">
        <x:f>ROUND(MIN(Model_Config_v3!$B$6,MAX(Q1727,R1727,S1727*Model_Config_v3!$B$4+T1727*Model_Config_v3!$B$5)),0)</x:f>
        <x:v>662</x:v>
      </x:c>
      <x:c r="J1727" s="18" t="n">
        <x:f>MIN(Model_Config_v3!$B$6,I1727+Model_Config_v3!$B$7)</x:f>
        <x:v>682</x:v>
      </x:c>
      <x:c r="K1727" s="20" t="n">
        <x:v>59.2</x:v>
      </x:c>
      <x:c r="L1727" t="str">
        <x:v>KETAT</x:v>
      </x:c>
      <x:c r="M1727" t="str">
        <x:v>SEDANG+</x:v>
      </x:c>
      <x:c r="N1727" t="str">
        <x:v>ELITE-3</x:v>
      </x:c>
      <x:c r="O1727" t="str">
        <x:v>SAINTEK</x:v>
      </x:c>
      <x:c r="P1727" t="str">
        <x:v>PENDIDIKAN</x:v>
      </x:c>
      <x:c r="Q1727" s="18" t="n">
        <x:v>620</x:v>
      </x:c>
      <x:c r="R1727" s="18" t="n">
        <x:v>0</x:v>
      </x:c>
      <x:c r="S1727" s="18" t="n">
        <x:v>623.3191888816639</x:v>
      </x:c>
      <x:c r="T1727" s="18" t="n">
        <x:v>678</x:v>
      </x:c>
      <x:c r="U1727" s="18" t="n">
        <x:v>623.3191888816639</x:v>
      </x:c>
      <x:c r="V1727" s="20" t="n">
        <x:v>12</x:v>
      </x:c>
      <x:c r="W1727" s="20" t="n">
        <x:v>5</x:v>
      </x:c>
      <x:c r="X1727" s="20" t="n">
        <x:v>3</x:v>
      </x:c>
      <x:c r="Y1727" t="str">
        <x:v>Basis arsip 2025/2024</x:v>
      </x:c>
      <x:c r="Z1727" t="str">
        <x:v>https://snpmb.id/utbk-snbt/daya-tampung-snbt</x:v>
      </x:c>
      <x:c r="AA1727" t="str">
        <x:v>Tidak Ada</x:v>
      </x:c>
      <x:c r="AB1727" t="str">
        <x:v>Campus=80; Ratio=55.3; Prodi=45; RelDemand=33.4; Capacity=50.8</x:v>
      </x:c>
    </x:row>
    <x:row r="1728">
      <x:c r="A1728" t="n">
        <x:v>1725</x:v>
      </x:c>
      <x:c r="B1728" t="str">
        <x:v>PTN Akademik</x:v>
      </x:c>
      <x:c r="C1728" t="str">
        <x:v>UNIVERSITAS NEGERI SEMARANG</x:v>
      </x:c>
      <x:c r="D1728" t="str">
        <x:v>PENDIDIKAN FISIKA</x:v>
      </x:c>
      <x:c r="E1728" t="str">
        <x:v>Sarjana</x:v>
      </x:c>
      <x:c r="F1728" s="18" t="n">
        <x:v>42</x:v>
      </x:c>
      <x:c r="G1728" s="18" t="n">
        <x:v>104</x:v>
      </x:c>
      <x:c r="H1728" s="19" t="n">
        <x:v>2.4761904761904763</x:v>
      </x:c>
      <x:c r="I1728" s="18" t="n">
        <x:f>ROUND(MIN(Model_Config_v3!$B$6,MAX(Q1728,R1728,S1728*Model_Config_v3!$B$4+T1728*Model_Config_v3!$B$5)),0)</x:f>
        <x:v>631</x:v>
      </x:c>
      <x:c r="J1728" s="18" t="n">
        <x:f>MIN(Model_Config_v3!$B$6,I1728+Model_Config_v3!$B$7)</x:f>
        <x:v>651</x:v>
      </x:c>
      <x:c r="K1728" s="20" t="n">
        <x:v>50.2</x:v>
      </x:c>
      <x:c r="L1728" t="str">
        <x:v>MENENGAH</x:v>
      </x:c>
      <x:c r="M1728" t="str">
        <x:v>SEDANG+</x:v>
      </x:c>
      <x:c r="N1728" t="str">
        <x:v>ELITE-3</x:v>
      </x:c>
      <x:c r="O1728" t="str">
        <x:v>SAINTEK</x:v>
      </x:c>
      <x:c r="P1728" t="str">
        <x:v>PENDIDIKAN</x:v>
      </x:c>
      <x:c r="Q1728" s="18" t="n">
        <x:v>620</x:v>
      </x:c>
      <x:c r="R1728" s="18" t="n">
        <x:v>0</x:v>
      </x:c>
      <x:c r="S1728" s="18" t="n">
        <x:v>563.3162453790968</x:v>
      </x:c>
      <x:c r="T1728" s="18" t="n">
        <x:v>660</x:v>
      </x:c>
      <x:c r="U1728" s="18" t="n">
        <x:v>620</x:v>
      </x:c>
      <x:c r="V1728" s="20" t="n">
        <x:v>12</x:v>
      </x:c>
      <x:c r="W1728" s="20" t="n">
        <x:v>5</x:v>
      </x:c>
      <x:c r="X1728" s="20" t="n">
        <x:v>3</x:v>
      </x:c>
      <x:c r="Y1728" t="str">
        <x:v>Basis arsip 2025/2024</x:v>
      </x:c>
      <x:c r="Z1728" t="str">
        <x:v>https://snpmb.id/utbk-snbt/daya-tampung-snbt</x:v>
      </x:c>
      <x:c r="AA1728" t="str">
        <x:v>Tidak Ada</x:v>
      </x:c>
      <x:c r="AB1728" t="str">
        <x:v>Campus=80; Ratio=23.2; Prodi=45; RelDemand=9.5; Capacity=65.0</x:v>
      </x:c>
    </x:row>
    <x:row r="1729">
      <x:c r="A1729" t="n">
        <x:v>1726</x:v>
      </x:c>
      <x:c r="B1729" t="str">
        <x:v>PTN Akademik</x:v>
      </x:c>
      <x:c r="C1729" t="str">
        <x:v>UNIVERSITAS NEGERI SEMARANG</x:v>
      </x:c>
      <x:c r="D1729" t="str">
        <x:v>PENDIDIKAN KIMIA</x:v>
      </x:c>
      <x:c r="E1729" t="str">
        <x:v>Sarjana</x:v>
      </x:c>
      <x:c r="F1729" s="18" t="n">
        <x:v>42</x:v>
      </x:c>
      <x:c r="G1729" s="18" t="n">
        <x:v>142</x:v>
      </x:c>
      <x:c r="H1729" s="19" t="n">
        <x:v>3.380952380952381</x:v>
      </x:c>
      <x:c r="I1729" s="18" t="n">
        <x:f>ROUND(MIN(Model_Config_v3!$B$6,MAX(Q1729,R1729,S1729*Model_Config_v3!$B$4+T1729*Model_Config_v3!$B$5)),0)</x:f>
        <x:v>639</x:v>
      </x:c>
      <x:c r="J1729" s="18" t="n">
        <x:f>MIN(Model_Config_v3!$B$6,I1729+Model_Config_v3!$B$7)</x:f>
        <x:v>659</x:v>
      </x:c>
      <x:c r="K1729" s="20" t="n">
        <x:v>52.6</x:v>
      </x:c>
      <x:c r="L1729" t="str">
        <x:v>MENENGAH</x:v>
      </x:c>
      <x:c r="M1729" t="str">
        <x:v>SEDANG+</x:v>
      </x:c>
      <x:c r="N1729" t="str">
        <x:v>ELITE-3</x:v>
      </x:c>
      <x:c r="O1729" t="str">
        <x:v>SAINTEK</x:v>
      </x:c>
      <x:c r="P1729" t="str">
        <x:v>PENDIDIKAN</x:v>
      </x:c>
      <x:c r="Q1729" s="18" t="n">
        <x:v>620</x:v>
      </x:c>
      <x:c r="R1729" s="18" t="n">
        <x:v>0</x:v>
      </x:c>
      <x:c r="S1729" s="18" t="n">
        <x:v>578.1942959383672</x:v>
      </x:c>
      <x:c r="T1729" s="18" t="n">
        <x:v>665</x:v>
      </x:c>
      <x:c r="U1729" s="18" t="n">
        <x:v>620</x:v>
      </x:c>
      <x:c r="V1729" s="20" t="n">
        <x:v>12</x:v>
      </x:c>
      <x:c r="W1729" s="20" t="n">
        <x:v>5</x:v>
      </x:c>
      <x:c r="X1729" s="20" t="n">
        <x:v>3</x:v>
      </x:c>
      <x:c r="Y1729" t="str">
        <x:v>Basis arsip 2025/2024</x:v>
      </x:c>
      <x:c r="Z1729" t="str">
        <x:v>https://snpmb.id/utbk-snbt/daya-tampung-snbt</x:v>
      </x:c>
      <x:c r="AA1729" t="str">
        <x:v>Tidak Ada</x:v>
      </x:c>
      <x:c r="AB1729" t="str">
        <x:v>Campus=80; Ratio=31.1; Prodi=45; RelDemand=13.0; Capacity=65.0</x:v>
      </x:c>
    </x:row>
    <x:row r="1730">
      <x:c r="A1730" t="n">
        <x:v>1727</x:v>
      </x:c>
      <x:c r="B1730" t="str">
        <x:v>PTN Akademik</x:v>
      </x:c>
      <x:c r="C1730" t="str">
        <x:v>UNIVERSITAS NEGERI SEMARANG</x:v>
      </x:c>
      <x:c r="D1730" t="str">
        <x:v>PENDIDIKAN BIOLOGI</x:v>
      </x:c>
      <x:c r="E1730" t="str">
        <x:v>Sarjana</x:v>
      </x:c>
      <x:c r="F1730" s="18" t="n">
        <x:v>41</x:v>
      </x:c>
      <x:c r="G1730" s="18" t="n">
        <x:v>324</x:v>
      </x:c>
      <x:c r="H1730" s="19" t="n">
        <x:v>7.902439024390244</x:v>
      </x:c>
      <x:c r="I1730" s="18" t="n">
        <x:f>ROUND(MIN(Model_Config_v3!$B$6,MAX(Q1730,R1730,S1730*Model_Config_v3!$B$4+T1730*Model_Config_v3!$B$5)),0)</x:f>
        <x:v>662</x:v>
      </x:c>
      <x:c r="J1730" s="18" t="n">
        <x:f>MIN(Model_Config_v3!$B$6,I1730+Model_Config_v3!$B$7)</x:f>
        <x:v>682</x:v>
      </x:c>
      <x:c r="K1730" s="20" t="n">
        <x:v>59.8</x:v>
      </x:c>
      <x:c r="L1730" t="str">
        <x:v>KETAT</x:v>
      </x:c>
      <x:c r="M1730" t="str">
        <x:v>SEDANG+</x:v>
      </x:c>
      <x:c r="N1730" t="str">
        <x:v>ELITE-3</x:v>
      </x:c>
      <x:c r="O1730" t="str">
        <x:v>SAINTEK</x:v>
      </x:c>
      <x:c r="P1730" t="str">
        <x:v>PENDIDIKAN</x:v>
      </x:c>
      <x:c r="Q1730" s="18" t="n">
        <x:v>620</x:v>
      </x:c>
      <x:c r="R1730" s="18" t="n">
        <x:v>0</x:v>
      </x:c>
      <x:c r="S1730" s="18" t="n">
        <x:v>618.7537268835564</x:v>
      </x:c>
      <x:c r="T1730" s="18" t="n">
        <x:v>680</x:v>
      </x:c>
      <x:c r="U1730" s="18" t="n">
        <x:v>620</x:v>
      </x:c>
      <x:c r="V1730" s="20" t="n">
        <x:v>12</x:v>
      </x:c>
      <x:c r="W1730" s="20" t="n">
        <x:v>5</x:v>
      </x:c>
      <x:c r="X1730" s="20" t="n">
        <x:v>3</x:v>
      </x:c>
      <x:c r="Y1730" t="str">
        <x:v>Basis arsip 2025/2024</x:v>
      </x:c>
      <x:c r="Z1730" t="str">
        <x:v>https://snpmb.id/utbk-snbt/daya-tampung-snbt</x:v>
      </x:c>
      <x:c r="AA1730" t="str">
        <x:v>Tidak Ada</x:v>
      </x:c>
      <x:c r="AB1730" t="str">
        <x:v>Campus=80; Ratio=52.8; Prodi=45; RelDemand=30.3; Capacity=65.8</x:v>
      </x:c>
    </x:row>
    <x:row r="1731">
      <x:c r="A1731" t="n">
        <x:v>1728</x:v>
      </x:c>
      <x:c r="B1731" t="str">
        <x:v>PTN Akademik</x:v>
      </x:c>
      <x:c r="C1731" t="str">
        <x:v>UNIVERSITAS NEGERI SEMARANG</x:v>
      </x:c>
      <x:c r="D1731" t="str">
        <x:v>PENDIDIKAN TEKNIK BANGUNAN</x:v>
      </x:c>
      <x:c r="E1731" t="str">
        <x:v>Sarjana</x:v>
      </x:c>
      <x:c r="F1731" s="18" t="n">
        <x:v>27</x:v>
      </x:c>
      <x:c r="G1731" s="18" t="n">
        <x:v>126</x:v>
      </x:c>
      <x:c r="H1731" s="19" t="n">
        <x:v>4.666666666666667</x:v>
      </x:c>
      <x:c r="I1731" s="18" t="n">
        <x:f>ROUND(MIN(Model_Config_v3!$B$6,MAX(Q1731,R1731,S1731*Model_Config_v3!$B$4+T1731*Model_Config_v3!$B$5)),0)</x:f>
        <x:v>649</x:v>
      </x:c>
      <x:c r="J1731" s="18" t="n">
        <x:f>MIN(Model_Config_v3!$B$6,I1731+Model_Config_v3!$B$7)</x:f>
        <x:v>669</x:v>
      </x:c>
      <x:c r="K1731" s="20" t="n">
        <x:v>56.4</x:v>
      </x:c>
      <x:c r="L1731" t="str">
        <x:v>KETAT</x:v>
      </x:c>
      <x:c r="M1731" t="str">
        <x:v>SEDANG+</x:v>
      </x:c>
      <x:c r="N1731" t="str">
        <x:v>ELITE-3</x:v>
      </x:c>
      <x:c r="O1731" t="str">
        <x:v>SAINTEK</x:v>
      </x:c>
      <x:c r="P1731" t="str">
        <x:v>PENDIDIKAN</x:v>
      </x:c>
      <x:c r="Q1731" s="18" t="n">
        <x:v>620</x:v>
      </x:c>
      <x:c r="R1731" s="18" t="n">
        <x:v>0</x:v>
      </x:c>
      <x:c r="S1731" s="18" t="n">
        <x:v>593.5907459054433</x:v>
      </x:c>
      <x:c r="T1731" s="18" t="n">
        <x:v>673</x:v>
      </x:c>
      <x:c r="U1731" s="18" t="n">
        <x:v>620</x:v>
      </x:c>
      <x:c r="V1731" s="20" t="n">
        <x:v>12</x:v>
      </x:c>
      <x:c r="W1731" s="20" t="n">
        <x:v>5</x:v>
      </x:c>
      <x:c r="X1731" s="20" t="n">
        <x:v>3</x:v>
      </x:c>
      <x:c r="Y1731" t="str">
        <x:v>Basis arsip 2025/2024</x:v>
      </x:c>
      <x:c r="Z1731" t="str">
        <x:v>https://snpmb.id/utbk-snbt/daya-tampung-snbt</x:v>
      </x:c>
      <x:c r="AA1731" t="str">
        <x:v>Tidak Ada</x:v>
      </x:c>
      <x:c r="AB1731" t="str">
        <x:v>Campus=80; Ratio=39.4; Prodi=45; RelDemand=17.9; Capacity=77.5</x:v>
      </x:c>
    </x:row>
    <x:row r="1732">
      <x:c r="A1732" t="n">
        <x:v>1729</x:v>
      </x:c>
      <x:c r="B1732" t="str">
        <x:v>PTN Akademik</x:v>
      </x:c>
      <x:c r="C1732" t="str">
        <x:v>UNIVERSITAS NEGERI SEMARANG</x:v>
      </x:c>
      <x:c r="D1732" t="str">
        <x:v>PENDIDIKAN TEKNIK MESIN</x:v>
      </x:c>
      <x:c r="E1732" t="str">
        <x:v>Sarjana</x:v>
      </x:c>
      <x:c r="F1732" s="18" t="n">
        <x:v>27</x:v>
      </x:c>
      <x:c r="G1732" s="18" t="n">
        <x:v>135</x:v>
      </x:c>
      <x:c r="H1732" s="19" t="n">
        <x:v>5</x:v>
      </x:c>
      <x:c r="I1732" s="18" t="n">
        <x:f>ROUND(MIN(Model_Config_v3!$B$6,MAX(Q1732,R1732,S1732*Model_Config_v3!$B$4+T1732*Model_Config_v3!$B$5)),0)</x:f>
        <x:v>651</x:v>
      </x:c>
      <x:c r="J1732" s="18" t="n">
        <x:f>MIN(Model_Config_v3!$B$6,I1732+Model_Config_v3!$B$7)</x:f>
        <x:v>671</x:v>
      </x:c>
      <x:c r="K1732" s="20" t="n">
        <x:v>57</x:v>
      </x:c>
      <x:c r="L1732" t="str">
        <x:v>KETAT</x:v>
      </x:c>
      <x:c r="M1732" t="str">
        <x:v>SEDANG+</x:v>
      </x:c>
      <x:c r="N1732" t="str">
        <x:v>ELITE-3</x:v>
      </x:c>
      <x:c r="O1732" t="str">
        <x:v>SAINTEK</x:v>
      </x:c>
      <x:c r="P1732" t="str">
        <x:v>PENDIDIKAN</x:v>
      </x:c>
      <x:c r="Q1732" s="18" t="n">
        <x:v>620</x:v>
      </x:c>
      <x:c r="R1732" s="18" t="n">
        <x:v>0</x:v>
      </x:c>
      <x:c r="S1732" s="18" t="n">
        <x:v>596.886700476962</x:v>
      </x:c>
      <x:c r="T1732" s="18" t="n">
        <x:v>674</x:v>
      </x:c>
      <x:c r="U1732" s="18" t="n">
        <x:v>620</x:v>
      </x:c>
      <x:c r="V1732" s="20" t="n">
        <x:v>12</x:v>
      </x:c>
      <x:c r="W1732" s="20" t="n">
        <x:v>5</x:v>
      </x:c>
      <x:c r="X1732" s="20" t="n">
        <x:v>3</x:v>
      </x:c>
      <x:c r="Y1732" t="str">
        <x:v>Basis arsip 2025/2024</x:v>
      </x:c>
      <x:c r="Z1732" t="str">
        <x:v>https://snpmb.id/utbk-snbt/daya-tampung-snbt</x:v>
      </x:c>
      <x:c r="AA1732" t="str">
        <x:v>Tidak Ada</x:v>
      </x:c>
      <x:c r="AB1732" t="str">
        <x:v>Campus=80; Ratio=41.1; Prodi=45; RelDemand=19.2; Capacity=77.5</x:v>
      </x:c>
    </x:row>
    <x:row r="1733">
      <x:c r="A1733" t="n">
        <x:v>1730</x:v>
      </x:c>
      <x:c r="B1733" t="str">
        <x:v>PTN Akademik</x:v>
      </x:c>
      <x:c r="C1733" t="str">
        <x:v>UNIVERSITAS NEGERI SEMARANG</x:v>
      </x:c>
      <x:c r="D1733" t="str">
        <x:v>PENDIDIKAN TEKNIK ELEKTRO</x:v>
      </x:c>
      <x:c r="E1733" t="str">
        <x:v>Sarjana</x:v>
      </x:c>
      <x:c r="F1733" s="18" t="n">
        <x:v>27</x:v>
      </x:c>
      <x:c r="G1733" s="18" t="n">
        <x:v>133</x:v>
      </x:c>
      <x:c r="H1733" s="19" t="n">
        <x:v>4.925925925925926</x:v>
      </x:c>
      <x:c r="I1733" s="18" t="n">
        <x:f>ROUND(MIN(Model_Config_v3!$B$6,MAX(Q1733,R1733,S1733*Model_Config_v3!$B$4+T1733*Model_Config_v3!$B$5)),0)</x:f>
        <x:v>651</x:v>
      </x:c>
      <x:c r="J1733" s="18" t="n">
        <x:f>MIN(Model_Config_v3!$B$6,I1733+Model_Config_v3!$B$7)</x:f>
        <x:v>671</x:v>
      </x:c>
      <x:c r="K1733" s="20" t="n">
        <x:v>56.8</x:v>
      </x:c>
      <x:c r="L1733" t="str">
        <x:v>KETAT</x:v>
      </x:c>
      <x:c r="M1733" t="str">
        <x:v>SEDANG+</x:v>
      </x:c>
      <x:c r="N1733" t="str">
        <x:v>ELITE-3</x:v>
      </x:c>
      <x:c r="O1733" t="str">
        <x:v>SAINTEK</x:v>
      </x:c>
      <x:c r="P1733" t="str">
        <x:v>PENDIDIKAN</x:v>
      </x:c>
      <x:c r="Q1733" s="18" t="n">
        <x:v>620</x:v>
      </x:c>
      <x:c r="R1733" s="18" t="n">
        <x:v>0</x:v>
      </x:c>
      <x:c r="S1733" s="18" t="n">
        <x:v>596.1736664488908</x:v>
      </x:c>
      <x:c r="T1733" s="18" t="n">
        <x:v>674</x:v>
      </x:c>
      <x:c r="U1733" s="18" t="n">
        <x:v>620</x:v>
      </x:c>
      <x:c r="V1733" s="20" t="n">
        <x:v>12</x:v>
      </x:c>
      <x:c r="W1733" s="20" t="n">
        <x:v>5</x:v>
      </x:c>
      <x:c r="X1733" s="20" t="n">
        <x:v>3</x:v>
      </x:c>
      <x:c r="Y1733" t="str">
        <x:v>Basis arsip 2025/2024</x:v>
      </x:c>
      <x:c r="Z1733" t="str">
        <x:v>https://snpmb.id/utbk-snbt/daya-tampung-snbt</x:v>
      </x:c>
      <x:c r="AA1733" t="str">
        <x:v>Tidak Ada</x:v>
      </x:c>
      <x:c r="AB1733" t="str">
        <x:v>Campus=80; Ratio=40.8; Prodi=45; RelDemand=18.9; Capacity=77.5</x:v>
      </x:c>
    </x:row>
    <x:row r="1734">
      <x:c r="A1734" t="n">
        <x:v>1731</x:v>
      </x:c>
      <x:c r="B1734" t="str">
        <x:v>PTN Akademik</x:v>
      </x:c>
      <x:c r="C1734" t="str">
        <x:v>UNIVERSITAS NEGERI SEMARANG</x:v>
      </x:c>
      <x:c r="D1734" t="str">
        <x:v>ILMU KEOLAHRAGAAN</x:v>
      </x:c>
      <x:c r="E1734" t="str">
        <x:v>Sarjana</x:v>
      </x:c>
      <x:c r="F1734" s="18" t="n">
        <x:v>38</x:v>
      </x:c>
      <x:c r="G1734" s="18" t="n">
        <x:v>198</x:v>
      </x:c>
      <x:c r="H1734" s="19" t="n">
        <x:v>5.2105263157894735</x:v>
      </x:c>
      <x:c r="I1734" s="18" t="n">
        <x:f>ROUND(MIN(Model_Config_v3!$B$6,MAX(Q1734,R1734,S1734*Model_Config_v3!$B$4+T1734*Model_Config_v3!$B$5)),0)</x:f>
        <x:v>651</x:v>
      </x:c>
      <x:c r="J1734" s="18" t="n">
        <x:f>MIN(Model_Config_v3!$B$6,I1734+Model_Config_v3!$B$7)</x:f>
        <x:v>671</x:v>
      </x:c>
      <x:c r="K1734" s="20" t="n">
        <x:v>56.4</x:v>
      </x:c>
      <x:c r="L1734" t="str">
        <x:v>KETAT</x:v>
      </x:c>
      <x:c r="M1734" t="str">
        <x:v>PORTOFOLIO</x:v>
      </x:c>
      <x:c r="N1734" t="str">
        <x:v>ELITE-3</x:v>
      </x:c>
      <x:c r="O1734" t="str">
        <x:v>SENI/OLAHRAGA</x:v>
      </x:c>
      <x:c r="P1734" t="str">
        <x:v>SENI/OLAHRAGA</x:v>
      </x:c>
      <x:c r="Q1734" s="18" t="n">
        <x:v>620</x:v>
      </x:c>
      <x:c r="R1734" s="18" t="n">
        <x:v>0</x:v>
      </x:c>
      <x:c r="S1734" s="18" t="n">
        <x:v>598.8569753009193</x:v>
      </x:c>
      <x:c r="T1734" s="18" t="n">
        <x:v>673</x:v>
      </x:c>
      <x:c r="U1734" s="18" t="n">
        <x:v>620</x:v>
      </x:c>
      <x:c r="V1734" s="20" t="n">
        <x:v>4.4</x:v>
      </x:c>
      <x:c r="W1734" s="20" t="n">
        <x:v>9.9</x:v>
      </x:c>
      <x:c r="X1734" s="20" t="n">
        <x:v>7.7</x:v>
      </x:c>
      <x:c r="Y1734" t="str">
        <x:v>Basis arsip 2025/2024</x:v>
      </x:c>
      <x:c r="Z1734" t="str">
        <x:v>https://snpmb.id/utbk-snbt/daya-tampung-snbt</x:v>
      </x:c>
      <x:c r="AA1734" t="str">
        <x:v>Olahraga</x:v>
      </x:c>
      <x:c r="AB1734" t="str">
        <x:v>Campus=80; Ratio=42.2; Prodi=45; RelDemand=20.0; Capacity=68.3</x:v>
      </x:c>
    </x:row>
    <x:row r="1735">
      <x:c r="A1735" t="n">
        <x:v>1732</x:v>
      </x:c>
      <x:c r="B1735" t="str">
        <x:v>PTN Akademik</x:v>
      </x:c>
      <x:c r="C1735" t="str">
        <x:v>UNIVERSITAS NEGERI SEMARANG</x:v>
      </x:c>
      <x:c r="D1735" t="str">
        <x:v>MATEMATIKA</x:v>
      </x:c>
      <x:c r="E1735" t="str">
        <x:v>Sarjana</x:v>
      </x:c>
      <x:c r="F1735" s="18" t="n">
        <x:v>27</x:v>
      </x:c>
      <x:c r="G1735" s="18" t="n">
        <x:v>139</x:v>
      </x:c>
      <x:c r="H1735" s="19" t="n">
        <x:v>5.148148148148148</x:v>
      </x:c>
      <x:c r="I1735" s="18" t="n">
        <x:f>ROUND(MIN(Model_Config_v3!$B$6,MAX(Q1735,R1735,S1735*Model_Config_v3!$B$4+T1735*Model_Config_v3!$B$5)),0)</x:f>
        <x:v>653</x:v>
      </x:c>
      <x:c r="J1735" s="18" t="n">
        <x:f>MIN(Model_Config_v3!$B$6,I1735+Model_Config_v3!$B$7)</x:f>
        <x:v>673</x:v>
      </x:c>
      <x:c r="K1735" s="20" t="n">
        <x:v>58.2</x:v>
      </x:c>
      <x:c r="L1735" t="str">
        <x:v>KETAT</x:v>
      </x:c>
      <x:c r="M1735" t="str">
        <x:v>SEDANG+</x:v>
      </x:c>
      <x:c r="N1735" t="str">
        <x:v>ELITE-3</x:v>
      </x:c>
      <x:c r="O1735" t="str">
        <x:v>SAINTEK</x:v>
      </x:c>
      <x:c r="P1735" t="str">
        <x:v>SAINS DASAR</x:v>
      </x:c>
      <x:c r="Q1735" s="18" t="n">
        <x:v>620</x:v>
      </x:c>
      <x:c r="R1735" s="18" t="n">
        <x:v>0</x:v>
      </x:c>
      <x:c r="S1735" s="18" t="n">
        <x:v>598.2816139704619</x:v>
      </x:c>
      <x:c r="T1735" s="18" t="n">
        <x:v>676</x:v>
      </x:c>
      <x:c r="U1735" s="18" t="n">
        <x:v>620</x:v>
      </x:c>
      <x:c r="V1735" s="20" t="n">
        <x:v>12</x:v>
      </x:c>
      <x:c r="W1735" s="20" t="n">
        <x:v>5</x:v>
      </x:c>
      <x:c r="X1735" s="20" t="n">
        <x:v>3</x:v>
      </x:c>
      <x:c r="Y1735" t="str">
        <x:v>Basis arsip 2025/2024</x:v>
      </x:c>
      <x:c r="Z1735" t="str">
        <x:v>https://snpmb.id/utbk-snbt/daya-tampung-snbt</x:v>
      </x:c>
      <x:c r="AA1735" t="str">
        <x:v>Tidak Ada</x:v>
      </x:c>
      <x:c r="AB1735" t="str">
        <x:v>Campus=80; Ratio=41.9; Prodi=50; RelDemand=19.8; Capacity=77.5</x:v>
      </x:c>
    </x:row>
    <x:row r="1736">
      <x:c r="A1736" t="n">
        <x:v>1733</x:v>
      </x:c>
      <x:c r="B1736" t="str">
        <x:v>PTN Akademik</x:v>
      </x:c>
      <x:c r="C1736" t="str">
        <x:v>UNIVERSITAS NEGERI SEMARANG</x:v>
      </x:c>
      <x:c r="D1736" t="str">
        <x:v>FISIKA</x:v>
      </x:c>
      <x:c r="E1736" t="str">
        <x:v>Sarjana</x:v>
      </x:c>
      <x:c r="F1736" s="18" t="n">
        <x:v>37</x:v>
      </x:c>
      <x:c r="G1736" s="18" t="n">
        <x:v>97</x:v>
      </x:c>
      <x:c r="H1736" s="19" t="n">
        <x:v>2.6216216216216215</x:v>
      </x:c>
      <x:c r="I1736" s="18" t="n">
        <x:f>ROUND(MIN(Model_Config_v3!$B$6,MAX(Q1736,R1736,S1736*Model_Config_v3!$B$4+T1736*Model_Config_v3!$B$5)),0)</x:f>
        <x:v>635</x:v>
      </x:c>
      <x:c r="J1736" s="18" t="n">
        <x:f>MIN(Model_Config_v3!$B$6,I1736+Model_Config_v3!$B$7)</x:f>
        <x:v>655</x:v>
      </x:c>
      <x:c r="K1736" s="20" t="n">
        <x:v>52.1</x:v>
      </x:c>
      <x:c r="L1736" t="str">
        <x:v>MENENGAH</x:v>
      </x:c>
      <x:c r="M1736" t="str">
        <x:v>SEDANG+</x:v>
      </x:c>
      <x:c r="N1736" t="str">
        <x:v>ELITE-3</x:v>
      </x:c>
      <x:c r="O1736" t="str">
        <x:v>SAINTEK</x:v>
      </x:c>
      <x:c r="P1736" t="str">
        <x:v>SAINS DASAR</x:v>
      </x:c>
      <x:c r="Q1736" s="18" t="n">
        <x:v>620</x:v>
      </x:c>
      <x:c r="R1736" s="18" t="n">
        <x:v>0</x:v>
      </x:c>
      <x:c r="S1736" s="18" t="n">
        <x:v>566.0427011219175</x:v>
      </x:c>
      <x:c r="T1736" s="18" t="n">
        <x:v>664</x:v>
      </x:c>
      <x:c r="U1736" s="18" t="n">
        <x:v>620</x:v>
      </x:c>
      <x:c r="V1736" s="20" t="n">
        <x:v>12</x:v>
      </x:c>
      <x:c r="W1736" s="20" t="n">
        <x:v>5</x:v>
      </x:c>
      <x:c r="X1736" s="20" t="n">
        <x:v>3</x:v>
      </x:c>
      <x:c r="Y1736" t="str">
        <x:v>Basis arsip 2025/2024</x:v>
      </x:c>
      <x:c r="Z1736" t="str">
        <x:v>https://snpmb.id/utbk-snbt/daya-tampung-snbt</x:v>
      </x:c>
      <x:c r="AA1736" t="str">
        <x:v>Tidak Ada</x:v>
      </x:c>
      <x:c r="AB1736" t="str">
        <x:v>Campus=80; Ratio=24.6; Prodi=50; RelDemand=10.1; Capacity=69.2</x:v>
      </x:c>
    </x:row>
    <x:row r="1737">
      <x:c r="A1737" t="n">
        <x:v>1734</x:v>
      </x:c>
      <x:c r="B1737" t="str">
        <x:v>PTN Akademik</x:v>
      </x:c>
      <x:c r="C1737" t="str">
        <x:v>UNIVERSITAS NEGERI SEMARANG</x:v>
      </x:c>
      <x:c r="D1737" t="str">
        <x:v>KIMIA</x:v>
      </x:c>
      <x:c r="E1737" t="str">
        <x:v>Sarjana</x:v>
      </x:c>
      <x:c r="F1737" s="18" t="n">
        <x:v>30</x:v>
      </x:c>
      <x:c r="G1737" s="18" t="n">
        <x:v>115</x:v>
      </x:c>
      <x:c r="H1737" s="19" t="n">
        <x:v>3.8333333333333335</x:v>
      </x:c>
      <x:c r="I1737" s="18" t="n">
        <x:f>ROUND(MIN(Model_Config_v3!$B$6,MAX(Q1737,R1737,S1737*Model_Config_v3!$B$4+T1737*Model_Config_v3!$B$5)),0)</x:f>
        <x:v>645</x:v>
      </x:c>
      <x:c r="J1737" s="18" t="n">
        <x:f>MIN(Model_Config_v3!$B$6,I1737+Model_Config_v3!$B$7)</x:f>
        <x:v>665</x:v>
      </x:c>
      <x:c r="K1737" s="20" t="n">
        <x:v>55.6</x:v>
      </x:c>
      <x:c r="L1737" t="str">
        <x:v>KETAT</x:v>
      </x:c>
      <x:c r="M1737" t="str">
        <x:v>SEDANG+</x:v>
      </x:c>
      <x:c r="N1737" t="str">
        <x:v>ELITE-3</x:v>
      </x:c>
      <x:c r="O1737" t="str">
        <x:v>SAINTEK</x:v>
      </x:c>
      <x:c r="P1737" t="str">
        <x:v>SAINS DASAR</x:v>
      </x:c>
      <x:c r="Q1737" s="18" t="n">
        <x:v>620</x:v>
      </x:c>
      <x:c r="R1737" s="18" t="n">
        <x:v>0</x:v>
      </x:c>
      <x:c r="S1737" s="18" t="n">
        <x:v>584.1934244197344</x:v>
      </x:c>
      <x:c r="T1737" s="18" t="n">
        <x:v>671</x:v>
      </x:c>
      <x:c r="U1737" s="18" t="n">
        <x:v>620</x:v>
      </x:c>
      <x:c r="V1737" s="20" t="n">
        <x:v>12</x:v>
      </x:c>
      <x:c r="W1737" s="20" t="n">
        <x:v>5</x:v>
      </x:c>
      <x:c r="X1737" s="20" t="n">
        <x:v>3</x:v>
      </x:c>
      <x:c r="Y1737" t="str">
        <x:v>Basis arsip 2025/2024</x:v>
      </x:c>
      <x:c r="Z1737" t="str">
        <x:v>https://snpmb.id/utbk-snbt/daya-tampung-snbt</x:v>
      </x:c>
      <x:c r="AA1737" t="str">
        <x:v>Tidak Ada</x:v>
      </x:c>
      <x:c r="AB1737" t="str">
        <x:v>Campus=80; Ratio=34.3; Prodi=50; RelDemand=14.7; Capacity=75.0</x:v>
      </x:c>
    </x:row>
    <x:row r="1738">
      <x:c r="A1738" t="n">
        <x:v>1735</x:v>
      </x:c>
      <x:c r="B1738" t="str">
        <x:v>PTN Akademik</x:v>
      </x:c>
      <x:c r="C1738" t="str">
        <x:v>UNIVERSITAS NEGERI SEMARANG</x:v>
      </x:c>
      <x:c r="D1738" t="str">
        <x:v>BIOLOGI</x:v>
      </x:c>
      <x:c r="E1738" t="str">
        <x:v>Sarjana</x:v>
      </x:c>
      <x:c r="F1738" s="18" t="n">
        <x:v>30</x:v>
      </x:c>
      <x:c r="G1738" s="18" t="n">
        <x:v>203</x:v>
      </x:c>
      <x:c r="H1738" s="19" t="n">
        <x:v>6.766666666666667</x:v>
      </x:c>
      <x:c r="I1738" s="18" t="n">
        <x:f>ROUND(MIN(Model_Config_v3!$B$6,MAX(Q1738,R1738,S1738*Model_Config_v3!$B$4+T1738*Model_Config_v3!$B$5)),0)</x:f>
        <x:v>660</x:v>
      </x:c>
      <x:c r="J1738" s="18" t="n">
        <x:f>MIN(Model_Config_v3!$B$6,I1738+Model_Config_v3!$B$7)</x:f>
        <x:v>680</x:v>
      </x:c>
      <x:c r="K1738" s="20" t="n">
        <x:v>60.3</x:v>
      </x:c>
      <x:c r="L1738" t="str">
        <x:v>KETAT</x:v>
      </x:c>
      <x:c r="M1738" t="str">
        <x:v>SEDANG+</x:v>
      </x:c>
      <x:c r="N1738" t="str">
        <x:v>ELITE-3</x:v>
      </x:c>
      <x:c r="O1738" t="str">
        <x:v>SAINTEK</x:v>
      </x:c>
      <x:c r="P1738" t="str">
        <x:v>SAINS DASAR</x:v>
      </x:c>
      <x:c r="Q1738" s="18" t="n">
        <x:v>620</x:v>
      </x:c>
      <x:c r="R1738" s="18" t="n">
        <x:v>0</x:v>
      </x:c>
      <x:c r="S1738" s="18" t="n">
        <x:v>611.3412261512906</x:v>
      </x:c>
      <x:c r="T1738" s="18" t="n">
        <x:v>681</x:v>
      </x:c>
      <x:c r="U1738" s="18" t="n">
        <x:v>620</x:v>
      </x:c>
      <x:c r="V1738" s="20" t="n">
        <x:v>12</x:v>
      </x:c>
      <x:c r="W1738" s="20" t="n">
        <x:v>5</x:v>
      </x:c>
      <x:c r="X1738" s="20" t="n">
        <x:v>3</x:v>
      </x:c>
      <x:c r="Y1738" t="str">
        <x:v>Basis arsip 2025/2024</x:v>
      </x:c>
      <x:c r="Z1738" t="str">
        <x:v>https://snpmb.id/utbk-snbt/daya-tampung-snbt</x:v>
      </x:c>
      <x:c r="AA1738" t="str">
        <x:v>Tidak Ada</x:v>
      </x:c>
      <x:c r="AB1738" t="str">
        <x:v>Campus=80; Ratio=48.9; Prodi=50; RelDemand=26.0; Capacity=75.0</x:v>
      </x:c>
    </x:row>
    <x:row r="1739">
      <x:c r="A1739" t="n">
        <x:v>1736</x:v>
      </x:c>
      <x:c r="B1739" t="str">
        <x:v>PTN Akademik</x:v>
      </x:c>
      <x:c r="C1739" t="str">
        <x:v>UNIVERSITAS NEGERI SEMARANG</x:v>
      </x:c>
      <x:c r="D1739" t="str">
        <x:v>KESEHATAN MASYARAKAT</x:v>
      </x:c>
      <x:c r="E1739" t="str">
        <x:v>Sarjana</x:v>
      </x:c>
      <x:c r="F1739" s="18" t="n">
        <x:v>83</x:v>
      </x:c>
      <x:c r="G1739" s="18" t="n">
        <x:v>2060</x:v>
      </x:c>
      <x:c r="H1739" s="19" t="n">
        <x:v>24.819277108433734</x:v>
      </x:c>
      <x:c r="I1739" s="18" t="n">
        <x:f>ROUND(MIN(Model_Config_v3!$B$6,MAX(Q1739,R1739,S1739*Model_Config_v3!$B$4+T1739*Model_Config_v3!$B$5)),0)</x:f>
        <x:v>695</x:v>
      </x:c>
      <x:c r="J1739" s="18" t="n">
        <x:f>MIN(Model_Config_v3!$B$6,I1739+Model_Config_v3!$B$7)</x:f>
        <x:v>715</x:v>
      </x:c>
      <x:c r="K1739" s="20" t="n">
        <x:v>72.1</x:v>
      </x:c>
      <x:c r="L1739" t="str">
        <x:v>SANGAT KETAT</x:v>
      </x:c>
      <x:c r="M1739" t="str">
        <x:v>SEDANG+</x:v>
      </x:c>
      <x:c r="N1739" t="str">
        <x:v>ELITE-3</x:v>
      </x:c>
      <x:c r="O1739" t="str">
        <x:v>SAINTEK</x:v>
      </x:c>
      <x:c r="P1739" t="str">
        <x:v>KESEHAT/GIZI/KEPERAWATAN</x:v>
      </x:c>
      <x:c r="Q1739" s="18" t="n">
        <x:v>620</x:v>
      </x:c>
      <x:c r="R1739" s="18" t="n">
        <x:v>0</x:v>
      </x:c>
      <x:c r="S1739" s="18" t="n">
        <x:v>673.4268040792388</x:v>
      </x:c>
      <x:c r="T1739" s="18" t="n">
        <x:v>704</x:v>
      </x:c>
      <x:c r="U1739" s="18" t="n">
        <x:v>673.4268040792388</x:v>
      </x:c>
      <x:c r="V1739" s="20" t="n">
        <x:v>12</x:v>
      </x:c>
      <x:c r="W1739" s="20" t="n">
        <x:v>5</x:v>
      </x:c>
      <x:c r="X1739" s="20" t="n">
        <x:v>3</x:v>
      </x:c>
      <x:c r="Y1739" t="str">
        <x:v>Basis arsip 2025/2024</x:v>
      </x:c>
      <x:c r="Z1739" t="str">
        <x:v>https://snpmb.id/utbk-snbt/daya-tampung-snbt</x:v>
      </x:c>
      <x:c r="AA1739" t="str">
        <x:v>Tidak Ada</x:v>
      </x:c>
      <x:c r="AB1739" t="str">
        <x:v>Campus=80; Ratio=82.1; Prodi=55; RelDemand=95.3; Capacity=30.8</x:v>
      </x:c>
    </x:row>
    <x:row r="1740">
      <x:c r="A1740" t="n">
        <x:v>1737</x:v>
      </x:c>
      <x:c r="B1740" t="str">
        <x:v>PTN Akademik</x:v>
      </x:c>
      <x:c r="C1740" t="str">
        <x:v>UNIVERSITAS NEGERI SEMARANG</x:v>
      </x:c>
      <x:c r="D1740" t="str">
        <x:v>PENDIDIKAN IPA</x:v>
      </x:c>
      <x:c r="E1740" t="str">
        <x:v>Sarjana</x:v>
      </x:c>
      <x:c r="F1740" s="18" t="n">
        <x:v>35</x:v>
      </x:c>
      <x:c r="G1740" s="18" t="n">
        <x:v>303</x:v>
      </x:c>
      <x:c r="H1740" s="19" t="n">
        <x:v>8.657142857142857</x:v>
      </x:c>
      <x:c r="I1740" s="18" t="n">
        <x:f>ROUND(MIN(Model_Config_v3!$B$6,MAX(Q1740,R1740,S1740*Model_Config_v3!$B$4+T1740*Model_Config_v3!$B$5)),0)</x:f>
        <x:v>664</x:v>
      </x:c>
      <x:c r="J1740" s="18" t="n">
        <x:f>MIN(Model_Config_v3!$B$6,I1740+Model_Config_v3!$B$7)</x:f>
        <x:v>684</x:v>
      </x:c>
      <x:c r="K1740" s="20" t="n">
        <x:v>61.2</x:v>
      </x:c>
      <x:c r="L1740" t="str">
        <x:v>KETAT</x:v>
      </x:c>
      <x:c r="M1740" t="str">
        <x:v>SEDANG+</x:v>
      </x:c>
      <x:c r="N1740" t="str">
        <x:v>ELITE-3</x:v>
      </x:c>
      <x:c r="O1740" t="str">
        <x:v>CAMPURAN</x:v>
      </x:c>
      <x:c r="P1740" t="str">
        <x:v>PENDIDIKAN</x:v>
      </x:c>
      <x:c r="Q1740" s="18" t="n">
        <x:v>620</x:v>
      </x:c>
      <x:c r="R1740" s="18" t="n">
        <x:v>0</x:v>
      </x:c>
      <x:c r="S1740" s="18" t="n">
        <x:v>623.1112042567232</x:v>
      </x:c>
      <x:c r="T1740" s="18" t="n">
        <x:v>682</x:v>
      </x:c>
      <x:c r="U1740" s="18" t="n">
        <x:v>623.1112042567232</x:v>
      </x:c>
      <x:c r="V1740" s="20" t="n">
        <x:v>8.8</x:v>
      </x:c>
      <x:c r="W1740" s="20" t="n">
        <x:v>9.9</x:v>
      </x:c>
      <x:c r="X1740" s="20" t="n">
        <x:v>3.3</x:v>
      </x:c>
      <x:c r="Y1740" t="str">
        <x:v>Basis arsip 2025/2024</x:v>
      </x:c>
      <x:c r="Z1740" t="str">
        <x:v>https://snpmb.id/utbk-snbt/daya-tampung-snbt</x:v>
      </x:c>
      <x:c r="AA1740" t="str">
        <x:v>Tidak Ada</x:v>
      </x:c>
      <x:c r="AB1740" t="str">
        <x:v>Campus=80; Ratio=55.2; Prodi=45; RelDemand=33.2; Capacity=70.8</x:v>
      </x:c>
    </x:row>
    <x:row r="1741">
      <x:c r="A1741" t="n">
        <x:v>1738</x:v>
      </x:c>
      <x:c r="B1741" t="str">
        <x:v>PTN Akademik</x:v>
      </x:c>
      <x:c r="C1741" t="str">
        <x:v>UNIVERSITAS NEGERI SEMARANG</x:v>
      </x:c>
      <x:c r="D1741" t="str">
        <x:v>PEND. TEKNIK INFORMATIKA &amp; KOMPUTER</x:v>
      </x:c>
      <x:c r="E1741" t="str">
        <x:v>Sarjana</x:v>
      </x:c>
      <x:c r="F1741" s="18" t="n">
        <x:v>32</x:v>
      </x:c>
      <x:c r="G1741" s="18" t="n">
        <x:v>417</x:v>
      </x:c>
      <x:c r="H1741" s="19" t="n">
        <x:v>13.03125</x:v>
      </x:c>
      <x:c r="I1741" s="18" t="n">
        <x:f>ROUND(MIN(Model_Config_v3!$B$6,MAX(Q1741,R1741,S1741*Model_Config_v3!$B$4+T1741*Model_Config_v3!$B$5)),0)</x:f>
        <x:v>688</x:v>
      </x:c>
      <x:c r="J1741" s="18" t="n">
        <x:f>MIN(Model_Config_v3!$B$6,I1741+Model_Config_v3!$B$7)</x:f>
        <x:v>708</x:v>
      </x:c>
      <x:c r="K1741" s="20" t="n">
        <x:v>73.7</x:v>
      </x:c>
      <x:c r="L1741" t="str">
        <x:v>SANGAT KETAT</x:v>
      </x:c>
      <x:c r="M1741" t="str">
        <x:v>SEDANG+</x:v>
      </x:c>
      <x:c r="N1741" t="str">
        <x:v>ELITE-3</x:v>
      </x:c>
      <x:c r="O1741" t="str">
        <x:v>SAINTEK</x:v>
      </x:c>
      <x:c r="P1741" t="str">
        <x:v>KOMPUTER/INFORMATIKA</x:v>
      </x:c>
      <x:c r="Q1741" s="18" t="n">
        <x:v>620</x:v>
      </x:c>
      <x:c r="R1741" s="18" t="n">
        <x:v>675</x:v>
      </x:c>
      <x:c r="S1741" s="18" t="n">
        <x:v>642.6484684319237</x:v>
      </x:c>
      <x:c r="T1741" s="18" t="n">
        <x:v>707</x:v>
      </x:c>
      <x:c r="U1741" s="18" t="n">
        <x:v>675</x:v>
      </x:c>
      <x:c r="V1741" s="20" t="n">
        <x:v>12</x:v>
      </x:c>
      <x:c r="W1741" s="20" t="n">
        <x:v>5</x:v>
      </x:c>
      <x:c r="X1741" s="20" t="n">
        <x:v>3</x:v>
      </x:c>
      <x:c r="Y1741" t="str">
        <x:v>Basis arsip 2025/2024</x:v>
      </x:c>
      <x:c r="Z1741" t="str">
        <x:v>https://snpmb.id/utbk-snbt/daya-tampung-snbt</x:v>
      </x:c>
      <x:c r="AA1741" t="str">
        <x:v>Tidak Ada</x:v>
      </x:c>
      <x:c r="AB1741" t="str">
        <x:v>Campus=80; Ratio=65.6; Prodi=85; RelDemand=50.0; Capacity=73.3</x:v>
      </x:c>
    </x:row>
    <x:row r="1742">
      <x:c r="A1742" t="n">
        <x:v>1739</x:v>
      </x:c>
      <x:c r="B1742" t="str">
        <x:v>PTN Akademik</x:v>
      </x:c>
      <x:c r="C1742" t="str">
        <x:v>UNIVERSITAS NEGERI SEMARANG</x:v>
      </x:c>
      <x:c r="D1742" t="str">
        <x:v>TEKNIK ARSITEKTUR</x:v>
      </x:c>
      <x:c r="E1742" t="str">
        <x:v>Sarjana</x:v>
      </x:c>
      <x:c r="F1742" s="18" t="n">
        <x:v>45</x:v>
      </x:c>
      <x:c r="G1742" s="18" t="n">
        <x:v>571</x:v>
      </x:c>
      <x:c r="H1742" s="19" t="n">
        <x:v>12.688888888888888</x:v>
      </x:c>
      <x:c r="I1742" s="18" t="n">
        <x:f>ROUND(MIN(Model_Config_v3!$B$6,MAX(Q1742,R1742,S1742*Model_Config_v3!$B$4+T1742*Model_Config_v3!$B$5)),0)</x:f>
        <x:v>679</x:v>
      </x:c>
      <x:c r="J1742" s="18" t="n">
        <x:f>MIN(Model_Config_v3!$B$6,I1742+Model_Config_v3!$B$7)</x:f>
        <x:v>699</x:v>
      </x:c>
      <x:c r="K1742" s="20" t="n">
        <x:v>67.4</x:v>
      </x:c>
      <x:c r="L1742" t="str">
        <x:v>SANGAT KETAT</x:v>
      </x:c>
      <x:c r="M1742" t="str">
        <x:v>SEDANG+</x:v>
      </x:c>
      <x:c r="N1742" t="str">
        <x:v>ELITE-3</x:v>
      </x:c>
      <x:c r="O1742" t="str">
        <x:v>SAINTEK</x:v>
      </x:c>
      <x:c r="P1742" t="str">
        <x:v>TEKNIK/ARSITEKTUR/STATISTIKA/AKTUARIA</x:v>
      </x:c>
      <x:c r="Q1742" s="18" t="n">
        <x:v>620</x:v>
      </x:c>
      <x:c r="R1742" s="18" t="n">
        <x:v>0</x:v>
      </x:c>
      <x:c r="S1742" s="18" t="n">
        <x:v>641.3765953917555</x:v>
      </x:c>
      <x:c r="T1742" s="18" t="n">
        <x:v>695</x:v>
      </x:c>
      <x:c r="U1742" s="18" t="n">
        <x:v>651.3765953917555</x:v>
      </x:c>
      <x:c r="V1742" s="20" t="n">
        <x:v>12</x:v>
      </x:c>
      <x:c r="W1742" s="20" t="n">
        <x:v>5</x:v>
      </x:c>
      <x:c r="X1742" s="20" t="n">
        <x:v>3</x:v>
      </x:c>
      <x:c r="Y1742" t="str">
        <x:v>Basis arsip 2025/2024</x:v>
      </x:c>
      <x:c r="Z1742" t="str">
        <x:v>https://snpmb.id/utbk-snbt/daya-tampung-snbt</x:v>
      </x:c>
      <x:c r="AA1742" t="str">
        <x:v>Tidak Ada</x:v>
      </x:c>
      <x:c r="AB1742" t="str">
        <x:v>Campus=80; Ratio=64.9; Prodi=60; RelDemand=48.7; Capacity=62.5</x:v>
      </x:c>
    </x:row>
    <x:row r="1743">
      <x:c r="A1743" t="n">
        <x:v>1740</x:v>
      </x:c>
      <x:c r="B1743" t="str">
        <x:v>PTN Akademik</x:v>
      </x:c>
      <x:c r="C1743" t="str">
        <x:v>UNIVERSITAS NEGERI SEMARANG</x:v>
      </x:c>
      <x:c r="D1743" t="str">
        <x:v>PENDIDIKAN TEKNIK OTOMOTIF</x:v>
      </x:c>
      <x:c r="E1743" t="str">
        <x:v>Sarjana</x:v>
      </x:c>
      <x:c r="F1743" s="18" t="n">
        <x:v>27</x:v>
      </x:c>
      <x:c r="G1743" s="18" t="n">
        <x:v>161</x:v>
      </x:c>
      <x:c r="H1743" s="19" t="n">
        <x:v>5.962962962962963</x:v>
      </x:c>
      <x:c r="I1743" s="18" t="n">
        <x:f>ROUND(MIN(Model_Config_v3!$B$6,MAX(Q1743,R1743,S1743*Model_Config_v3!$B$4+T1743*Model_Config_v3!$B$5)),0)</x:f>
        <x:v>655</x:v>
      </x:c>
      <x:c r="J1743" s="18" t="n">
        <x:f>MIN(Model_Config_v3!$B$6,I1743+Model_Config_v3!$B$7)</x:f>
        <x:v>675</x:v>
      </x:c>
      <x:c r="K1743" s="20" t="n">
        <x:v>58.5</x:v>
      </x:c>
      <x:c r="L1743" t="str">
        <x:v>KETAT</x:v>
      </x:c>
      <x:c r="M1743" t="str">
        <x:v>SEDANG+</x:v>
      </x:c>
      <x:c r="N1743" t="str">
        <x:v>ELITE-3</x:v>
      </x:c>
      <x:c r="O1743" t="str">
        <x:v>SAINTEK</x:v>
      </x:c>
      <x:c r="P1743" t="str">
        <x:v>PENDIDIKAN</x:v>
      </x:c>
      <x:c r="Q1743" s="18" t="n">
        <x:v>620</x:v>
      </x:c>
      <x:c r="R1743" s="18" t="n">
        <x:v>0</x:v>
      </x:c>
      <x:c r="S1743" s="18" t="n">
        <x:v>605.3008323060149</x:v>
      </x:c>
      <x:c r="T1743" s="18" t="n">
        <x:v>677</x:v>
      </x:c>
      <x:c r="U1743" s="18" t="n">
        <x:v>620</x:v>
      </x:c>
      <x:c r="V1743" s="20" t="n">
        <x:v>12</x:v>
      </x:c>
      <x:c r="W1743" s="20" t="n">
        <x:v>5</x:v>
      </x:c>
      <x:c r="X1743" s="20" t="n">
        <x:v>3</x:v>
      </x:c>
      <x:c r="Y1743" t="str">
        <x:v>Basis arsip 2025/2024</x:v>
      </x:c>
      <x:c r="Z1743" t="str">
        <x:v>https://snpmb.id/utbk-snbt/daya-tampung-snbt</x:v>
      </x:c>
      <x:c r="AA1743" t="str">
        <x:v>Tidak Ada</x:v>
      </x:c>
      <x:c r="AB1743" t="str">
        <x:v>Campus=80; Ratio=45.6; Prodi=45; RelDemand=22.9; Capacity=77.5</x:v>
      </x:c>
    </x:row>
    <x:row r="1744">
      <x:c r="A1744" t="n">
        <x:v>1741</x:v>
      </x:c>
      <x:c r="B1744" t="str">
        <x:v>PTN Akademik</x:v>
      </x:c>
      <x:c r="C1744" t="str">
        <x:v>UNIVERSITAS NEGERI SEMARANG</x:v>
      </x:c>
      <x:c r="D1744" t="str">
        <x:v>TEKNIK KIMIA</x:v>
      </x:c>
      <x:c r="E1744" t="str">
        <x:v>Sarjana</x:v>
      </x:c>
      <x:c r="F1744" s="18" t="n">
        <x:v>45</x:v>
      </x:c>
      <x:c r="G1744" s="18" t="n">
        <x:v>370</x:v>
      </x:c>
      <x:c r="H1744" s="19" t="n">
        <x:v>8.222222222222221</x:v>
      </x:c>
      <x:c r="I1744" s="18" t="n">
        <x:f>ROUND(MIN(Model_Config_v3!$B$6,MAX(Q1744,R1744,S1744*Model_Config_v3!$B$4+T1744*Model_Config_v3!$B$5)),0)</x:f>
        <x:v>666</x:v>
      </x:c>
      <x:c r="J1744" s="18" t="n">
        <x:f>MIN(Model_Config_v3!$B$6,I1744+Model_Config_v3!$B$7)</x:f>
        <x:v>686</x:v>
      </x:c>
      <x:c r="K1744" s="20" t="n">
        <x:v>62.9</x:v>
      </x:c>
      <x:c r="L1744" t="str">
        <x:v>KETAT</x:v>
      </x:c>
      <x:c r="M1744" t="str">
        <x:v>SEDANG+</x:v>
      </x:c>
      <x:c r="N1744" t="str">
        <x:v>ELITE-3</x:v>
      </x:c>
      <x:c r="O1744" t="str">
        <x:v>SAINTEK</x:v>
      </x:c>
      <x:c r="P1744" t="str">
        <x:v>TEKNIK/ARSITEKTUR/STATISTIKA/AKTUARIA</x:v>
      </x:c>
      <x:c r="Q1744" s="18" t="n">
        <x:v>620</x:v>
      </x:c>
      <x:c r="R1744" s="18" t="n">
        <x:v>0</x:v>
      </x:c>
      <x:c r="S1744" s="18" t="n">
        <x:v>620.6488131320816</x:v>
      </x:c>
      <x:c r="T1744" s="18" t="n">
        <x:v>686</x:v>
      </x:c>
      <x:c r="U1744" s="18" t="n">
        <x:v>630.6488131320816</x:v>
      </x:c>
      <x:c r="V1744" s="20" t="n">
        <x:v>12</x:v>
      </x:c>
      <x:c r="W1744" s="20" t="n">
        <x:v>5</x:v>
      </x:c>
      <x:c r="X1744" s="20" t="n">
        <x:v>3</x:v>
      </x:c>
      <x:c r="Y1744" t="str">
        <x:v>Basis arsip 2025/2024</x:v>
      </x:c>
      <x:c r="Z1744" t="str">
        <x:v>https://snpmb.id/utbk-snbt/daya-tampung-snbt</x:v>
      </x:c>
      <x:c r="AA1744" t="str">
        <x:v>Tidak Ada</x:v>
      </x:c>
      <x:c r="AB1744" t="str">
        <x:v>Campus=80; Ratio=53.9; Prodi=60; RelDemand=31.6; Capacity=62.5</x:v>
      </x:c>
    </x:row>
    <x:row r="1745">
      <x:c r="A1745" t="n">
        <x:v>1742</x:v>
      </x:c>
      <x:c r="B1745" t="str">
        <x:v>PTN Akademik</x:v>
      </x:c>
      <x:c r="C1745" t="str">
        <x:v>UNIVERSITAS NEGERI SEMARANG</x:v>
      </x:c>
      <x:c r="D1745" t="str">
        <x:v>TEKNIK MESIN</x:v>
      </x:c>
      <x:c r="E1745" t="str">
        <x:v>Sarjana</x:v>
      </x:c>
      <x:c r="F1745" s="18" t="n">
        <x:v>53</x:v>
      </x:c>
      <x:c r="G1745" s="18" t="n">
        <x:v>793</x:v>
      </x:c>
      <x:c r="H1745" s="19" t="n">
        <x:v>14.962264150943396</x:v>
      </x:c>
      <x:c r="I1745" s="18" t="n">
        <x:f>ROUND(MIN(Model_Config_v3!$B$6,MAX(Q1745,R1745,S1745*Model_Config_v3!$B$4+T1745*Model_Config_v3!$B$5)),0)</x:f>
        <x:v>683</x:v>
      </x:c>
      <x:c r="J1745" s="18" t="n">
        <x:f>MIN(Model_Config_v3!$B$6,I1745+Model_Config_v3!$B$7)</x:f>
        <x:v>703</x:v>
      </x:c>
      <x:c r="K1745" s="20" t="n">
        <x:v>68.6</x:v>
      </x:c>
      <x:c r="L1745" t="str">
        <x:v>SANGAT KETAT</x:v>
      </x:c>
      <x:c r="M1745" t="str">
        <x:v>SEDANG+</x:v>
      </x:c>
      <x:c r="N1745" t="str">
        <x:v>ELITE-3</x:v>
      </x:c>
      <x:c r="O1745" t="str">
        <x:v>SAINTEK</x:v>
      </x:c>
      <x:c r="P1745" t="str">
        <x:v>TEKNIK/ARSITEKTUR/STATISTIKA/AKTUARIA</x:v>
      </x:c>
      <x:c r="Q1745" s="18" t="n">
        <x:v>620</x:v>
      </x:c>
      <x:c r="R1745" s="18" t="n">
        <x:v>0</x:v>
      </x:c>
      <x:c r="S1745" s="18" t="n">
        <x:v>649.2497049488496</x:v>
      </x:c>
      <x:c r="T1745" s="18" t="n">
        <x:v>697</x:v>
      </x:c>
      <x:c r="U1745" s="18" t="n">
        <x:v>659.2497049488496</x:v>
      </x:c>
      <x:c r="V1745" s="20" t="n">
        <x:v>12</x:v>
      </x:c>
      <x:c r="W1745" s="20" t="n">
        <x:v>5</x:v>
      </x:c>
      <x:c r="X1745" s="20" t="n">
        <x:v>3</x:v>
      </x:c>
      <x:c r="Y1745" t="str">
        <x:v>Basis arsip 2025/2024</x:v>
      </x:c>
      <x:c r="Z1745" t="str">
        <x:v>https://snpmb.id/utbk-snbt/daya-tampung-snbt</x:v>
      </x:c>
      <x:c r="AA1745" t="str">
        <x:v>Tidak Ada</x:v>
      </x:c>
      <x:c r="AB1745" t="str">
        <x:v>Campus=80; Ratio=69.2; Prodi=60; RelDemand=57.5; Capacity=55.8</x:v>
      </x:c>
    </x:row>
    <x:row r="1746">
      <x:c r="A1746" t="n">
        <x:v>1743</x:v>
      </x:c>
      <x:c r="B1746" t="str">
        <x:v>PTN Akademik</x:v>
      </x:c>
      <x:c r="C1746" t="str">
        <x:v>UNIVERSITAS NEGERI SEMARANG</x:v>
      </x:c>
      <x:c r="D1746" t="str">
        <x:v>TEKNIK SIPIL</x:v>
      </x:c>
      <x:c r="E1746" t="str">
        <x:v>Sarjana</x:v>
      </x:c>
      <x:c r="F1746" s="18" t="n">
        <x:v>53</x:v>
      </x:c>
      <x:c r="G1746" s="18" t="n">
        <x:v>1209</x:v>
      </x:c>
      <x:c r="H1746" s="19" t="n">
        <x:v>22.81132075471698</x:v>
      </x:c>
      <x:c r="I1746" s="18" t="n">
        <x:f>ROUND(MIN(Model_Config_v3!$B$6,MAX(Q1746,R1746,S1746*Model_Config_v3!$B$4+T1746*Model_Config_v3!$B$5)),0)</x:f>
        <x:v>697</x:v>
      </x:c>
      <x:c r="J1746" s="18" t="n">
        <x:f>MIN(Model_Config_v3!$B$6,I1746+Model_Config_v3!$B$7)</x:f>
        <x:v>717</x:v>
      </x:c>
      <x:c r="K1746" s="20" t="n">
        <x:v>74.3</x:v>
      </x:c>
      <x:c r="L1746" t="str">
        <x:v>SANGAT KETAT</x:v>
      </x:c>
      <x:c r="M1746" t="str">
        <x:v>SEDANG+</x:v>
      </x:c>
      <x:c r="N1746" t="str">
        <x:v>ELITE-3</x:v>
      </x:c>
      <x:c r="O1746" t="str">
        <x:v>SAINTEK</x:v>
      </x:c>
      <x:c r="P1746" t="str">
        <x:v>TEKNIK/ARSITEKTUR/STATISTIKA/AKTUARIA</x:v>
      </x:c>
      <x:c r="Q1746" s="18" t="n">
        <x:v>620</x:v>
      </x:c>
      <x:c r="R1746" s="18" t="n">
        <x:v>0</x:v>
      </x:c>
      <x:c r="S1746" s="18" t="n">
        <x:v>669.3965474385981</x:v>
      </x:c>
      <x:c r="T1746" s="18" t="n">
        <x:v>709</x:v>
      </x:c>
      <x:c r="U1746" s="18" t="n">
        <x:v>679.3965474385981</x:v>
      </x:c>
      <x:c r="V1746" s="20" t="n">
        <x:v>12</x:v>
      </x:c>
      <x:c r="W1746" s="20" t="n">
        <x:v>5</x:v>
      </x:c>
      <x:c r="X1746" s="20" t="n">
        <x:v>3</x:v>
      </x:c>
      <x:c r="Y1746" t="str">
        <x:v>Basis arsip 2025/2024</x:v>
      </x:c>
      <x:c r="Z1746" t="str">
        <x:v>https://snpmb.id/utbk-snbt/daya-tampung-snbt</x:v>
      </x:c>
      <x:c r="AA1746" t="str">
        <x:v>Tidak Ada</x:v>
      </x:c>
      <x:c r="AB1746" t="str">
        <x:v>Campus=80; Ratio=79.9; Prodi=60; RelDemand=87.6; Capacity=55.8</x:v>
      </x:c>
    </x:row>
    <x:row r="1747">
      <x:c r="A1747" t="n">
        <x:v>1744</x:v>
      </x:c>
      <x:c r="B1747" t="str">
        <x:v>PTN Akademik</x:v>
      </x:c>
      <x:c r="C1747" t="str">
        <x:v>UNIVERSITAS NEGERI SEMARANG</x:v>
      </x:c>
      <x:c r="D1747" t="str">
        <x:v>TEKNIK INFORMATIKA</x:v>
      </x:c>
      <x:c r="E1747" t="str">
        <x:v>Sarjana</x:v>
      </x:c>
      <x:c r="F1747" s="18" t="n">
        <x:v>54</x:v>
      </x:c>
      <x:c r="G1747" s="18" t="n">
        <x:v>1613</x:v>
      </x:c>
      <x:c r="H1747" s="19" t="n">
        <x:v>29.87037037037037</x:v>
      </x:c>
      <x:c r="I1747" s="18" t="n">
        <x:f>ROUND(MIN(Model_Config_v3!$B$6,MAX(Q1747,R1747,S1747*Model_Config_v3!$B$4+T1747*Model_Config_v3!$B$5)),0)</x:f>
        <x:v>711</x:v>
      </x:c>
      <x:c r="J1747" s="18" t="n">
        <x:f>MIN(Model_Config_v3!$B$6,I1747+Model_Config_v3!$B$7)</x:f>
        <x:v>731</x:v>
      </x:c>
      <x:c r="K1747" s="20" t="n">
        <x:v>82.2</x:v>
      </x:c>
      <x:c r="L1747" t="str">
        <x:v>ELITE</x:v>
      </x:c>
      <x:c r="M1747" t="str">
        <x:v>SEDANG+</x:v>
      </x:c>
      <x:c r="N1747" t="str">
        <x:v>ELITE-3</x:v>
      </x:c>
      <x:c r="O1747" t="str">
        <x:v>SAINTEK</x:v>
      </x:c>
      <x:c r="P1747" t="str">
        <x:v>KOMPUTER/INFORMATIKA</x:v>
      </x:c>
      <x:c r="Q1747" s="18" t="n">
        <x:v>620</x:v>
      </x:c>
      <x:c r="R1747" s="18" t="n">
        <x:v>675</x:v>
      </x:c>
      <x:c r="S1747" s="18" t="n">
        <x:v>682.2764668322592</x:v>
      </x:c>
      <x:c r="T1747" s="18" t="n">
        <x:v>724</x:v>
      </x:c>
      <x:c r="U1747" s="18" t="n">
        <x:v>707.2764668322592</x:v>
      </x:c>
      <x:c r="V1747" s="20" t="n">
        <x:v>12</x:v>
      </x:c>
      <x:c r="W1747" s="20" t="n">
        <x:v>5</x:v>
      </x:c>
      <x:c r="X1747" s="20" t="n">
        <x:v>3</x:v>
      </x:c>
      <x:c r="Y1747" t="str">
        <x:v>Basis arsip 2025/2024</x:v>
      </x:c>
      <x:c r="Z1747" t="str">
        <x:v>https://snpmb.id/utbk-snbt/daya-tampung-snbt</x:v>
      </x:c>
      <x:c r="AA1747" t="str">
        <x:v>Tidak Ada</x:v>
      </x:c>
      <x:c r="AB1747" t="str">
        <x:v>Campus=80; Ratio=86.8; Prodi=85; RelDemand=100.0; Capacity=55.0</x:v>
      </x:c>
    </x:row>
    <x:row r="1748">
      <x:c r="A1748" t="n">
        <x:v>1745</x:v>
      </x:c>
      <x:c r="B1748" t="str">
        <x:v>PTN Akademik</x:v>
      </x:c>
      <x:c r="C1748" t="str">
        <x:v>UNIVERSITAS NEGERI SEMARANG</x:v>
      </x:c>
      <x:c r="D1748" t="str">
        <x:v>TEKNIK ELEKTRO</x:v>
      </x:c>
      <x:c r="E1748" t="str">
        <x:v>Sarjana</x:v>
      </x:c>
      <x:c r="F1748" s="18" t="n">
        <x:v>45</x:v>
      </x:c>
      <x:c r="G1748" s="18" t="n">
        <x:v>649</x:v>
      </x:c>
      <x:c r="H1748" s="19" t="n">
        <x:v>14.422222222222222</x:v>
      </x:c>
      <x:c r="I1748" s="18" t="n">
        <x:f>ROUND(MIN(Model_Config_v3!$B$6,MAX(Q1748,R1748,S1748*Model_Config_v3!$B$4+T1748*Model_Config_v3!$B$5)),0)</x:f>
        <x:v>683</x:v>
      </x:c>
      <x:c r="J1748" s="18" t="n">
        <x:f>MIN(Model_Config_v3!$B$6,I1748+Model_Config_v3!$B$7)</x:f>
        <x:v>703</x:v>
      </x:c>
      <x:c r="K1748" s="20" t="n">
        <x:v>68.8</x:v>
      </x:c>
      <x:c r="L1748" t="str">
        <x:v>SANGAT KETAT</x:v>
      </x:c>
      <x:c r="M1748" t="str">
        <x:v>SEDANG+</x:v>
      </x:c>
      <x:c r="N1748" t="str">
        <x:v>ELITE-3</x:v>
      </x:c>
      <x:c r="O1748" t="str">
        <x:v>SAINTEK</x:v>
      </x:c>
      <x:c r="P1748" t="str">
        <x:v>TEKNIK/ARSITEKTUR/STATISTIKA/AKTUARIA</x:v>
      </x:c>
      <x:c r="Q1748" s="18" t="n">
        <x:v>620</x:v>
      </x:c>
      <x:c r="R1748" s="18" t="n">
        <x:v>0</x:v>
      </x:c>
      <x:c r="S1748" s="18" t="n">
        <x:v>647.4935401327527</x:v>
      </x:c>
      <x:c r="T1748" s="18" t="n">
        <x:v>698</x:v>
      </x:c>
      <x:c r="U1748" s="18" t="n">
        <x:v>657.4935401327527</x:v>
      </x:c>
      <x:c r="V1748" s="20" t="n">
        <x:v>12</x:v>
      </x:c>
      <x:c r="W1748" s="20" t="n">
        <x:v>5</x:v>
      </x:c>
      <x:c r="X1748" s="20" t="n">
        <x:v>3</x:v>
      </x:c>
      <x:c r="Y1748" t="str">
        <x:v>Basis arsip 2025/2024</x:v>
      </x:c>
      <x:c r="Z1748" t="str">
        <x:v>https://snpmb.id/utbk-snbt/daya-tampung-snbt</x:v>
      </x:c>
      <x:c r="AA1748" t="str">
        <x:v>Tidak Ada</x:v>
      </x:c>
      <x:c r="AB1748" t="str">
        <x:v>Campus=80; Ratio=68.2; Prodi=60; RelDemand=55.4; Capacity=62.5</x:v>
      </x:c>
    </x:row>
    <x:row r="1749">
      <x:c r="A1749" t="n">
        <x:v>1746</x:v>
      </x:c>
      <x:c r="B1749" t="str">
        <x:v>PTN Akademik</x:v>
      </x:c>
      <x:c r="C1749" t="str">
        <x:v>UNIVERSITAS NEGERI SEMARANG</x:v>
      </x:c>
      <x:c r="D1749" t="str">
        <x:v>GIZI</x:v>
      </x:c>
      <x:c r="E1749" t="str">
        <x:v>Sarjana</x:v>
      </x:c>
      <x:c r="F1749" s="18" t="n">
        <x:v>53</x:v>
      </x:c>
      <x:c r="G1749" s="18" t="n">
        <x:v>1192</x:v>
      </x:c>
      <x:c r="H1749" s="19" t="n">
        <x:v>22.49056603773585</x:v>
      </x:c>
      <x:c r="I1749" s="18" t="n">
        <x:f>ROUND(MIN(Model_Config_v3!$B$6,MAX(Q1749,R1749,S1749*Model_Config_v3!$B$4+T1749*Model_Config_v3!$B$5)),0)</x:f>
        <x:v>695</x:v>
      </x:c>
      <x:c r="J1749" s="18" t="n">
        <x:f>MIN(Model_Config_v3!$B$6,I1749+Model_Config_v3!$B$7)</x:f>
        <x:v>715</x:v>
      </x:c>
      <x:c r="K1749" s="20" t="n">
        <x:v>73.1</x:v>
      </x:c>
      <x:c r="L1749" t="str">
        <x:v>SANGAT KETAT</x:v>
      </x:c>
      <x:c r="M1749" t="str">
        <x:v>SEDANG+</x:v>
      </x:c>
      <x:c r="N1749" t="str">
        <x:v>ELITE-3</x:v>
      </x:c>
      <x:c r="O1749" t="str">
        <x:v>SAINTEK</x:v>
      </x:c>
      <x:c r="P1749" t="str">
        <x:v>KESEHAT/GIZI/KEPERAWATAN</x:v>
      </x:c>
      <x:c r="Q1749" s="18" t="n">
        <x:v>620</x:v>
      </x:c>
      <x:c r="R1749" s="18" t="n">
        <x:v>0</x:v>
      </x:c>
      <x:c r="S1749" s="18" t="n">
        <x:v>668.7200424383772</x:v>
      </x:c>
      <x:c r="T1749" s="18" t="n">
        <x:v>706</x:v>
      </x:c>
      <x:c r="U1749" s="18" t="n">
        <x:v>668.7200424383772</x:v>
      </x:c>
      <x:c r="V1749" s="20" t="n">
        <x:v>12</x:v>
      </x:c>
      <x:c r="W1749" s="20" t="n">
        <x:v>5</x:v>
      </x:c>
      <x:c r="X1749" s="20" t="n">
        <x:v>3</x:v>
      </x:c>
      <x:c r="Y1749" t="str">
        <x:v>Basis arsip 2025/2024</x:v>
      </x:c>
      <x:c r="Z1749" t="str">
        <x:v>https://snpmb.id/utbk-snbt/daya-tampung-snbt</x:v>
      </x:c>
      <x:c r="AA1749" t="str">
        <x:v>Tidak Ada</x:v>
      </x:c>
      <x:c r="AB1749" t="str">
        <x:v>Campus=80; Ratio=79.6; Prodi=55; RelDemand=86.4; Capacity=55.8</x:v>
      </x:c>
    </x:row>
    <x:row r="1750">
      <x:c r="A1750" t="n">
        <x:v>1747</x:v>
      </x:c>
      <x:c r="B1750" t="str">
        <x:v>PTN Akademik</x:v>
      </x:c>
      <x:c r="C1750" t="str">
        <x:v>UNIVERSITAS NEGERI SEMARANG</x:v>
      </x:c>
      <x:c r="D1750" t="str">
        <x:v>SISTEM INFORMASI</x:v>
      </x:c>
      <x:c r="E1750" t="str">
        <x:v>Sarjana</x:v>
      </x:c>
      <x:c r="F1750" s="18" t="n">
        <x:v>30</x:v>
      </x:c>
      <x:c r="G1750" s="18" t="n">
        <x:v>984</x:v>
      </x:c>
      <x:c r="H1750" s="19" t="n">
        <x:v>32.8</x:v>
      </x:c>
      <x:c r="I1750" s="18" t="n">
        <x:f>ROUND(MIN(Model_Config_v3!$B$6,MAX(Q1750,R1750,S1750*Model_Config_v3!$B$4+T1750*Model_Config_v3!$B$5)),0)</x:f>
        <x:v>717</x:v>
      </x:c>
      <x:c r="J1750" s="18" t="n">
        <x:f>MIN(Model_Config_v3!$B$6,I1750+Model_Config_v3!$B$7)</x:f>
        <x:v>737</x:v>
      </x:c>
      <x:c r="K1750" s="20" t="n">
        <x:v>84.8</x:v>
      </x:c>
      <x:c r="L1750" t="str">
        <x:v>ELITE</x:v>
      </x:c>
      <x:c r="M1750" t="str">
        <x:v>SEDANG+</x:v>
      </x:c>
      <x:c r="N1750" t="str">
        <x:v>ELITE-3</x:v>
      </x:c>
      <x:c r="O1750" t="str">
        <x:v>CAMPURAN</x:v>
      </x:c>
      <x:c r="P1750" t="str">
        <x:v>KOMPUTER/INFORMATIKA</x:v>
      </x:c>
      <x:c r="Q1750" s="18" t="n">
        <x:v>620</x:v>
      </x:c>
      <x:c r="R1750" s="18" t="n">
        <x:v>675</x:v>
      </x:c>
      <x:c r="S1750" s="18" t="n">
        <x:v>686.7461228082847</x:v>
      </x:c>
      <x:c r="T1750" s="18" t="n">
        <x:v>730</x:v>
      </x:c>
      <x:c r="U1750" s="18" t="n">
        <x:v>711.7461228082847</x:v>
      </x:c>
      <x:c r="V1750" s="20" t="n">
        <x:v>8.8</x:v>
      </x:c>
      <x:c r="W1750" s="20" t="n">
        <x:v>9.9</x:v>
      </x:c>
      <x:c r="X1750" s="20" t="n">
        <x:v>3.3</x:v>
      </x:c>
      <x:c r="Y1750" t="str">
        <x:v>Basis arsip 2025/2024</x:v>
      </x:c>
      <x:c r="Z1750" t="str">
        <x:v>https://snpmb.id/utbk-snbt/daya-tampung-snbt</x:v>
      </x:c>
      <x:c r="AA1750" t="str">
        <x:v>Tidak Ada</x:v>
      </x:c>
      <x:c r="AB1750" t="str">
        <x:v>Campus=80; Ratio=89.2; Prodi=85; RelDemand=100.0; Capacity=75.0</x:v>
      </x:c>
    </x:row>
    <x:row r="1751">
      <x:c r="A1751" t="n">
        <x:v>1748</x:v>
      </x:c>
      <x:c r="B1751" t="str">
        <x:v>PTN Akademik</x:v>
      </x:c>
      <x:c r="C1751" t="str">
        <x:v>UNIVERSITAS NEGERI SEMARANG</x:v>
      </x:c>
      <x:c r="D1751" t="str">
        <x:v>ILMU LINGKUNGAN</x:v>
      </x:c>
      <x:c r="E1751" t="str">
        <x:v>Sarjana</x:v>
      </x:c>
      <x:c r="F1751" s="18" t="n">
        <x:v>27</x:v>
      </x:c>
      <x:c r="G1751" s="18" t="n">
        <x:v>400</x:v>
      </x:c>
      <x:c r="H1751" s="19" t="n">
        <x:v>14.814814814814815</x:v>
      </x:c>
      <x:c r="I1751" s="18" t="n">
        <x:f>ROUND(MIN(Model_Config_v3!$B$6,MAX(Q1751,R1751,S1751*Model_Config_v3!$B$4+T1751*Model_Config_v3!$B$5)),0)</x:f>
        <x:v>680</x:v>
      </x:c>
      <x:c r="J1751" s="18" t="n">
        <x:f>MIN(Model_Config_v3!$B$6,I1751+Model_Config_v3!$B$7)</x:f>
        <x:v>700</x:v>
      </x:c>
      <x:c r="K1751" s="20" t="n">
        <x:v>66.7</x:v>
      </x:c>
      <x:c r="L1751" t="str">
        <x:v>SANGAT KETAT</x:v>
      </x:c>
      <x:c r="M1751" t="str">
        <x:v>SEDANG+</x:v>
      </x:c>
      <x:c r="N1751" t="str">
        <x:v>ELITE-3</x:v>
      </x:c>
      <x:c r="O1751" t="str">
        <x:v>CAMPURAN</x:v>
      </x:c>
      <x:c r="P1751" t="str">
        <x:v>UMUM</x:v>
      </x:c>
      <x:c r="Q1751" s="18" t="n">
        <x:v>620</x:v>
      </x:c>
      <x:c r="R1751" s="18" t="n">
        <x:v>0</x:v>
      </x:c>
      <x:c r="S1751" s="18" t="n">
        <x:v>648.7765849885873</x:v>
      </x:c>
      <x:c r="T1751" s="18" t="n">
        <x:v>693</x:v>
      </x:c>
      <x:c r="U1751" s="18" t="n">
        <x:v>648.7765849885873</x:v>
      </x:c>
      <x:c r="V1751" s="20" t="n">
        <x:v>8.8</x:v>
      </x:c>
      <x:c r="W1751" s="20" t="n">
        <x:v>9.9</x:v>
      </x:c>
      <x:c r="X1751" s="20" t="n">
        <x:v>3.3</x:v>
      </x:c>
      <x:c r="Y1751" t="str">
        <x:v>Basis arsip 2025/2024</x:v>
      </x:c>
      <x:c r="Z1751" t="str">
        <x:v>https://snpmb.id/utbk-snbt/daya-tampung-snbt</x:v>
      </x:c>
      <x:c r="AA1751" t="str">
        <x:v>Tidak Ada</x:v>
      </x:c>
      <x:c r="AB1751" t="str">
        <x:v>Campus=80; Ratio=68.9; Prodi=40; RelDemand=56.9; Capacity=77.5</x:v>
      </x:c>
    </x:row>
    <x:row r="1752">
      <x:c r="A1752" t="n">
        <x:v>1749</x:v>
      </x:c>
      <x:c r="B1752" t="str">
        <x:v>PTN Akademik</x:v>
      </x:c>
      <x:c r="C1752" t="str">
        <x:v>UNIVERSITAS NEGERI SEMARANG</x:v>
      </x:c>
      <x:c r="D1752" t="str">
        <x:v>FARMASI</x:v>
      </x:c>
      <x:c r="E1752" t="str">
        <x:v>Sarjana</x:v>
      </x:c>
      <x:c r="F1752" s="18" t="n">
        <x:v>41</x:v>
      </x:c>
      <x:c r="G1752" s="18" t="n">
        <x:v>1594</x:v>
      </x:c>
      <x:c r="H1752" s="19" t="n">
        <x:v>38.8780487804878</x:v>
      </x:c>
      <x:c r="I1752" s="18" t="n">
        <x:f>ROUND(MIN(Model_Config_v3!$B$6,MAX(Q1752,R1752,S1752*Model_Config_v3!$B$4+T1752*Model_Config_v3!$B$5)),0)</x:f>
        <x:v>717</x:v>
      </x:c>
      <x:c r="J1752" s="18" t="n">
        <x:f>MIN(Model_Config_v3!$B$6,I1752+Model_Config_v3!$B$7)</x:f>
        <x:v>737</x:v>
      </x:c>
      <x:c r="K1752" s="20" t="n">
        <x:v>83</x:v>
      </x:c>
      <x:c r="L1752" t="str">
        <x:v>ELITE</x:v>
      </x:c>
      <x:c r="M1752" t="str">
        <x:v>SEDANG+</x:v>
      </x:c>
      <x:c r="N1752" t="str">
        <x:v>ELITE-3</x:v>
      </x:c>
      <x:c r="O1752" t="str">
        <x:v>SAINTEK</x:v>
      </x:c>
      <x:c r="P1752" t="str">
        <x:v>FARMASI</x:v>
      </x:c>
      <x:c r="Q1752" s="18" t="n">
        <x:v>620</x:v>
      </x:c>
      <x:c r="R1752" s="18" t="n">
        <x:v>660</x:v>
      </x:c>
      <x:c r="S1752" s="18" t="n">
        <x:v>694.8674906374393</x:v>
      </x:c>
      <x:c r="T1752" s="18" t="n">
        <x:v>726</x:v>
      </x:c>
      <x:c r="U1752" s="18" t="n">
        <x:v>714.8674906374393</x:v>
      </x:c>
      <x:c r="V1752" s="20" t="n">
        <x:v>12</x:v>
      </x:c>
      <x:c r="W1752" s="20" t="n">
        <x:v>5</x:v>
      </x:c>
      <x:c r="X1752" s="20" t="n">
        <x:v>3</x:v>
      </x:c>
      <x:c r="Y1752" t="str">
        <x:v>Basis arsip 2025/2024</x:v>
      </x:c>
      <x:c r="Z1752" t="str">
        <x:v>https://snpmb.id/utbk-snbt/daya-tampung-snbt</x:v>
      </x:c>
      <x:c r="AA1752" t="str">
        <x:v>Tidak Ada</x:v>
      </x:c>
      <x:c r="AB1752" t="str">
        <x:v>Campus=80; Ratio=93.6; Prodi=75; RelDemand=100.0; Capacity=65.8</x:v>
      </x:c>
    </x:row>
    <x:row r="1753">
      <x:c r="A1753" t="n">
        <x:v>1750</x:v>
      </x:c>
      <x:c r="B1753" t="str">
        <x:v>PTN Akademik</x:v>
      </x:c>
      <x:c r="C1753" t="str">
        <x:v>UNIVERSITAS NEGERI SEMARANG</x:v>
      </x:c>
      <x:c r="D1753" t="str">
        <x:v>TEKNIK KOMPUTER</x:v>
      </x:c>
      <x:c r="E1753" t="str">
        <x:v>Sarjana</x:v>
      </x:c>
      <x:c r="F1753" s="18" t="n">
        <x:v>15</x:v>
      </x:c>
      <x:c r="G1753" s="18" t="n">
        <x:v>415</x:v>
      </x:c>
      <x:c r="H1753" s="19" t="n">
        <x:v>27.666666666666668</x:v>
      </x:c>
      <x:c r="I1753" s="18" t="n">
        <x:f>ROUND(MIN(Model_Config_v3!$B$6,MAX(Q1753,R1753,S1753*Model_Config_v3!$B$4+T1753*Model_Config_v3!$B$5)),0)</x:f>
        <x:v>715</x:v>
      </x:c>
      <x:c r="J1753" s="18" t="n">
        <x:f>MIN(Model_Config_v3!$B$6,I1753+Model_Config_v3!$B$7)</x:f>
        <x:v>735</x:v>
      </x:c>
      <x:c r="K1753" s="20" t="n">
        <x:v>85</x:v>
      </x:c>
      <x:c r="L1753" t="str">
        <x:v>ULTRA ELITE</x:v>
      </x:c>
      <x:c r="M1753" t="str">
        <x:v>SEDANG+</x:v>
      </x:c>
      <x:c r="N1753" t="str">
        <x:v>ELITE-3</x:v>
      </x:c>
      <x:c r="O1753" t="str">
        <x:v>SAINTEK</x:v>
      </x:c>
      <x:c r="P1753" t="str">
        <x:v>KOMPUTER/INFORMATIKA</x:v>
      </x:c>
      <x:c r="Q1753" s="18" t="n">
        <x:v>620</x:v>
      </x:c>
      <x:c r="R1753" s="18" t="n">
        <x:v>675</x:v>
      </x:c>
      <x:c r="S1753" s="18" t="n">
        <x:v>678.6152521422052</x:v>
      </x:c>
      <x:c r="T1753" s="18" t="n">
        <x:v>730</x:v>
      </x:c>
      <x:c r="U1753" s="18" t="n">
        <x:v>703.6152521422052</x:v>
      </x:c>
      <x:c r="V1753" s="20" t="n">
        <x:v>12</x:v>
      </x:c>
      <x:c r="W1753" s="20" t="n">
        <x:v>5</x:v>
      </x:c>
      <x:c r="X1753" s="20" t="n">
        <x:v>3</x:v>
      </x:c>
      <x:c r="Y1753" t="str">
        <x:v>Basis arsip 2025/2024</x:v>
      </x:c>
      <x:c r="Z1753" t="str">
        <x:v>https://snpmb.id/utbk-snbt/daya-tampung-snbt</x:v>
      </x:c>
      <x:c r="AA1753" t="str">
        <x:v>Tidak Ada</x:v>
      </x:c>
      <x:c r="AB1753" t="str">
        <x:v>Campus=80; Ratio=84.9; Prodi=85; RelDemand=100.0; Capacity=87.5</x:v>
      </x:c>
    </x:row>
    <x:row r="1754">
      <x:c r="A1754" t="n">
        <x:v>1751</x:v>
      </x:c>
      <x:c r="B1754" t="str">
        <x:v>PTN Akademik</x:v>
      </x:c>
      <x:c r="C1754" t="str">
        <x:v>UNIVERSITAS NEGERI SEMARANG</x:v>
      </x:c>
      <x:c r="D1754" t="str">
        <x:v>BIMBINGAN DAN KONSELING</x:v>
      </x:c>
      <x:c r="E1754" t="str">
        <x:v>Sarjana</x:v>
      </x:c>
      <x:c r="F1754" s="18" t="n">
        <x:v>45</x:v>
      </x:c>
      <x:c r="G1754" s="18" t="n">
        <x:v>903</x:v>
      </x:c>
      <x:c r="H1754" s="19" t="n">
        <x:v>20.066666666666666</x:v>
      </x:c>
      <x:c r="I1754" s="18" t="n">
        <x:f>ROUND(MIN(Model_Config_v3!$B$6,MAX(Q1754,R1754,S1754*Model_Config_v3!$B$4+T1754*Model_Config_v3!$B$5)),0)</x:f>
        <x:v>688</x:v>
      </x:c>
      <x:c r="J1754" s="18" t="n">
        <x:f>MIN(Model_Config_v3!$B$6,I1754+Model_Config_v3!$B$7)</x:f>
        <x:v>708</x:v>
      </x:c>
      <x:c r="K1754" s="20" t="n">
        <x:v>69.1</x:v>
      </x:c>
      <x:c r="L1754" t="str">
        <x:v>SANGAT KETAT</x:v>
      </x:c>
      <x:c r="M1754" t="str">
        <x:v>SEDANG+</x:v>
      </x:c>
      <x:c r="N1754" t="str">
        <x:v>ELITE-3</x:v>
      </x:c>
      <x:c r="O1754" t="str">
        <x:v>CAMPURAN</x:v>
      </x:c>
      <x:c r="P1754" t="str">
        <x:v>UMUM</x:v>
      </x:c>
      <x:c r="Q1754" s="18" t="n">
        <x:v>620</x:v>
      </x:c>
      <x:c r="R1754" s="18" t="n">
        <x:v>0</x:v>
      </x:c>
      <x:c r="S1754" s="18" t="n">
        <x:v>663.2722760191978</x:v>
      </x:c>
      <x:c r="T1754" s="18" t="n">
        <x:v>698</x:v>
      </x:c>
      <x:c r="U1754" s="18" t="n">
        <x:v>663.2722760191978</x:v>
      </x:c>
      <x:c r="V1754" s="20" t="n">
        <x:v>8.8</x:v>
      </x:c>
      <x:c r="W1754" s="20" t="n">
        <x:v>9.9</x:v>
      </x:c>
      <x:c r="X1754" s="20" t="n">
        <x:v>3.3</x:v>
      </x:c>
      <x:c r="Y1754" t="str">
        <x:v>Basis arsip 2025/2024</x:v>
      </x:c>
      <x:c r="Z1754" t="str">
        <x:v>https://snpmb.id/utbk-snbt/daya-tampung-snbt</x:v>
      </x:c>
      <x:c r="AA1754" t="str">
        <x:v>Tidak Ada</x:v>
      </x:c>
      <x:c r="AB1754" t="str">
        <x:v>Campus=80; Ratio=76.7; Prodi=40; RelDemand=77.1; Capacity=62.5</x:v>
      </x:c>
    </x:row>
    <x:row r="1755">
      <x:c r="A1755" t="n">
        <x:v>1752</x:v>
      </x:c>
      <x:c r="B1755" t="str">
        <x:v>PTN Akademik</x:v>
      </x:c>
      <x:c r="C1755" t="str">
        <x:v>UNIVERSITAS NEGERI SEMARANG</x:v>
      </x:c>
      <x:c r="D1755" t="str">
        <x:v>TEKNOLOGI PENDIDIKAN</x:v>
      </x:c>
      <x:c r="E1755" t="str">
        <x:v>Sarjana</x:v>
      </x:c>
      <x:c r="F1755" s="18" t="n">
        <x:v>30</x:v>
      </x:c>
      <x:c r="G1755" s="18" t="n">
        <x:v>237</x:v>
      </x:c>
      <x:c r="H1755" s="19" t="n">
        <x:v>7.9</x:v>
      </x:c>
      <x:c r="I1755" s="18" t="n">
        <x:f>ROUND(MIN(Model_Config_v3!$B$6,MAX(Q1755,R1755,S1755*Model_Config_v3!$B$4+T1755*Model_Config_v3!$B$5)),0)</x:f>
        <x:v>661</x:v>
      </x:c>
      <x:c r="J1755" s="18" t="n">
        <x:f>MIN(Model_Config_v3!$B$6,I1755+Model_Config_v3!$B$7)</x:f>
        <x:v>681</x:v>
      </x:c>
      <x:c r="K1755" s="20" t="n">
        <x:v>59.7</x:v>
      </x:c>
      <x:c r="L1755" t="str">
        <x:v>KETAT</x:v>
      </x:c>
      <x:c r="M1755" t="str">
        <x:v>SEDANG+</x:v>
      </x:c>
      <x:c r="N1755" t="str">
        <x:v>ELITE-3</x:v>
      </x:c>
      <x:c r="O1755" t="str">
        <x:v>SAINTEK</x:v>
      </x:c>
      <x:c r="P1755" t="str">
        <x:v>UMUM</x:v>
      </x:c>
      <x:c r="Q1755" s="18" t="n">
        <x:v>620</x:v>
      </x:c>
      <x:c r="R1755" s="18" t="n">
        <x:v>0</x:v>
      </x:c>
      <x:c r="S1755" s="18" t="n">
        <x:v>618.7389800419486</x:v>
      </x:c>
      <x:c r="T1755" s="18" t="n">
        <x:v>679</x:v>
      </x:c>
      <x:c r="U1755" s="18" t="n">
        <x:v>620</x:v>
      </x:c>
      <x:c r="V1755" s="20" t="n">
        <x:v>12</x:v>
      </x:c>
      <x:c r="W1755" s="20" t="n">
        <x:v>5</x:v>
      </x:c>
      <x:c r="X1755" s="20" t="n">
        <x:v>3</x:v>
      </x:c>
      <x:c r="Y1755" t="str">
        <x:v>Basis arsip 2025/2024</x:v>
      </x:c>
      <x:c r="Z1755" t="str">
        <x:v>https://snpmb.id/utbk-snbt/daya-tampung-snbt</x:v>
      </x:c>
      <x:c r="AA1755" t="str">
        <x:v>Tidak Ada</x:v>
      </x:c>
      <x:c r="AB1755" t="str">
        <x:v>Campus=80; Ratio=52.8; Prodi=40; RelDemand=30.3; Capacity=75.0</x:v>
      </x:c>
    </x:row>
    <x:row r="1756">
      <x:c r="A1756" t="n">
        <x:v>1753</x:v>
      </x:c>
      <x:c r="B1756" t="str">
        <x:v>PTN Akademik</x:v>
      </x:c>
      <x:c r="C1756" t="str">
        <x:v>UNIVERSITAS NEGERI SEMARANG</x:v>
      </x:c>
      <x:c r="D1756" t="str">
        <x:v>PENDIDIKAN NON FORMAL</x:v>
      </x:c>
      <x:c r="E1756" t="str">
        <x:v>Sarjana</x:v>
      </x:c>
      <x:c r="F1756" s="18" t="n">
        <x:v>30</x:v>
      </x:c>
      <x:c r="G1756" s="18" t="n">
        <x:v>101</x:v>
      </x:c>
      <x:c r="H1756" s="19" t="n">
        <x:v>3.3666666666666667</x:v>
      </x:c>
      <x:c r="I1756" s="18" t="n">
        <x:f>ROUND(MIN(Model_Config_v3!$B$6,MAX(Q1756,R1756,S1756*Model_Config_v3!$B$4+T1756*Model_Config_v3!$B$5)),0)</x:f>
        <x:v>640</x:v>
      </x:c>
      <x:c r="J1756" s="18" t="n">
        <x:f>MIN(Model_Config_v3!$B$6,I1756+Model_Config_v3!$B$7)</x:f>
        <x:v>660</x:v>
      </x:c>
      <x:c r="K1756" s="20" t="n">
        <x:v>53.6</x:v>
      </x:c>
      <x:c r="L1756" t="str">
        <x:v>MENENGAH</x:v>
      </x:c>
      <x:c r="M1756" t="str">
        <x:v>SEDANG+</x:v>
      </x:c>
      <x:c r="N1756" t="str">
        <x:v>ELITE-3</x:v>
      </x:c>
      <x:c r="O1756" t="str">
        <x:v>CAMPURAN</x:v>
      </x:c>
      <x:c r="P1756" t="str">
        <x:v>PENDIDIKAN</x:v>
      </x:c>
      <x:c r="Q1756" s="18" t="n">
        <x:v>620</x:v>
      </x:c>
      <x:c r="R1756" s="18" t="n">
        <x:v>0</x:v>
      </x:c>
      <x:c r="S1756" s="18" t="n">
        <x:v>577.9920130969278</x:v>
      </x:c>
      <x:c r="T1756" s="18" t="n">
        <x:v>667</x:v>
      </x:c>
      <x:c r="U1756" s="18" t="n">
        <x:v>620</x:v>
      </x:c>
      <x:c r="V1756" s="20" t="n">
        <x:v>8.8</x:v>
      </x:c>
      <x:c r="W1756" s="20" t="n">
        <x:v>9.9</x:v>
      </x:c>
      <x:c r="X1756" s="20" t="n">
        <x:v>3.3</x:v>
      </x:c>
      <x:c r="Y1756" t="str">
        <x:v>Basis arsip 2025/2024</x:v>
      </x:c>
      <x:c r="Z1756" t="str">
        <x:v>https://snpmb.id/utbk-snbt/daya-tampung-snbt</x:v>
      </x:c>
      <x:c r="AA1756" t="str">
        <x:v>Tidak Ada</x:v>
      </x:c>
      <x:c r="AB1756" t="str">
        <x:v>Campus=80; Ratio=31.0; Prodi=45; RelDemand=12.9; Capacity=75.0</x:v>
      </x:c>
    </x:row>
    <x:row r="1757">
      <x:c r="A1757" t="n">
        <x:v>1754</x:v>
      </x:c>
      <x:c r="B1757" t="str">
        <x:v>PTN Akademik</x:v>
      </x:c>
      <x:c r="C1757" t="str">
        <x:v>UNIVERSITAS NEGERI SEMARANG</x:v>
      </x:c>
      <x:c r="D1757" t="str">
        <x:v>PENDIDIKAN PANCASILA &amp; KEWARGANEGARAAN</x:v>
      </x:c>
      <x:c r="E1757" t="str">
        <x:v>Sarjana</x:v>
      </x:c>
      <x:c r="F1757" s="18" t="n">
        <x:v>45</x:v>
      </x:c>
      <x:c r="G1757" s="18" t="n">
        <x:v>314</x:v>
      </x:c>
      <x:c r="H1757" s="19" t="n">
        <x:v>6.977777777777778</x:v>
      </x:c>
      <x:c r="I1757" s="18" t="n">
        <x:f>ROUND(MIN(Model_Config_v3!$B$6,MAX(Q1757,R1757,S1757*Model_Config_v3!$B$4+T1757*Model_Config_v3!$B$5)),0)</x:f>
        <x:v>658</x:v>
      </x:c>
      <x:c r="J1757" s="18" t="n">
        <x:f>MIN(Model_Config_v3!$B$6,I1757+Model_Config_v3!$B$7)</x:f>
        <x:v>678</x:v>
      </x:c>
      <x:c r="K1757" s="20" t="n">
        <x:v>58.3</x:v>
      </x:c>
      <x:c r="L1757" t="str">
        <x:v>KETAT</x:v>
      </x:c>
      <x:c r="M1757" t="str">
        <x:v>SEDANG+</x:v>
      </x:c>
      <x:c r="N1757" t="str">
        <x:v>ELITE-3</x:v>
      </x:c>
      <x:c r="O1757" t="str">
        <x:v>CAMPURAN</x:v>
      </x:c>
      <x:c r="P1757" t="str">
        <x:v>PENDIDIKAN</x:v>
      </x:c>
      <x:c r="Q1757" s="18" t="n">
        <x:v>620</x:v>
      </x:c>
      <x:c r="R1757" s="18" t="n">
        <x:v>0</x:v>
      </x:c>
      <x:c r="S1757" s="18" t="n">
        <x:v>612.8088847727659</x:v>
      </x:c>
      <x:c r="T1757" s="18" t="n">
        <x:v>677</x:v>
      </x:c>
      <x:c r="U1757" s="18" t="n">
        <x:v>620</x:v>
      </x:c>
      <x:c r="V1757" s="20" t="n">
        <x:v>8.8</x:v>
      </x:c>
      <x:c r="W1757" s="20" t="n">
        <x:v>9.9</x:v>
      </x:c>
      <x:c r="X1757" s="20" t="n">
        <x:v>3.3</x:v>
      </x:c>
      <x:c r="Y1757" t="str">
        <x:v>Basis arsip 2025/2024</x:v>
      </x:c>
      <x:c r="Z1757" t="str">
        <x:v>https://snpmb.id/utbk-snbt/daya-tampung-snbt</x:v>
      </x:c>
      <x:c r="AA1757" t="str">
        <x:v>Tidak Ada</x:v>
      </x:c>
      <x:c r="AB1757" t="str">
        <x:v>Campus=80; Ratio=49.7; Prodi=45; RelDemand=26.8; Capacity=62.5</x:v>
      </x:c>
    </x:row>
    <x:row r="1758">
      <x:c r="A1758" t="n">
        <x:v>1755</x:v>
      </x:c>
      <x:c r="B1758" t="str">
        <x:v>PTN Akademik</x:v>
      </x:c>
      <x:c r="C1758" t="str">
        <x:v>UNIVERSITAS NEGERI SEMARANG</x:v>
      </x:c>
      <x:c r="D1758" t="str">
        <x:v>PENDIDIKAN GEOGRAFI</x:v>
      </x:c>
      <x:c r="E1758" t="str">
        <x:v>Sarjana</x:v>
      </x:c>
      <x:c r="F1758" s="18" t="n">
        <x:v>30</x:v>
      </x:c>
      <x:c r="G1758" s="18" t="n">
        <x:v>174</x:v>
      </x:c>
      <x:c r="H1758" s="19" t="n">
        <x:v>5.8</x:v>
      </x:c>
      <x:c r="I1758" s="18" t="n">
        <x:f>ROUND(MIN(Model_Config_v3!$B$6,MAX(Q1758,R1758,S1758*Model_Config_v3!$B$4+T1758*Model_Config_v3!$B$5)),0)</x:f>
        <x:v>654</x:v>
      </x:c>
      <x:c r="J1758" s="18" t="n">
        <x:f>MIN(Model_Config_v3!$B$6,I1758+Model_Config_v3!$B$7)</x:f>
        <x:v>674</x:v>
      </x:c>
      <x:c r="K1758" s="20" t="n">
        <x:v>58</x:v>
      </x:c>
      <x:c r="L1758" t="str">
        <x:v>KETAT</x:v>
      </x:c>
      <x:c r="M1758" t="str">
        <x:v>SEDANG+</x:v>
      </x:c>
      <x:c r="N1758" t="str">
        <x:v>ELITE-3</x:v>
      </x:c>
      <x:c r="O1758" t="str">
        <x:v>CAMPURAN</x:v>
      </x:c>
      <x:c r="P1758" t="str">
        <x:v>PENDIDIKAN</x:v>
      </x:c>
      <x:c r="Q1758" s="18" t="n">
        <x:v>620</x:v>
      </x:c>
      <x:c r="R1758" s="18" t="n">
        <x:v>0</x:v>
      </x:c>
      <x:c r="S1758" s="18" t="n">
        <x:v>603.9770792919231</x:v>
      </x:c>
      <x:c r="T1758" s="18" t="n">
        <x:v>676</x:v>
      </x:c>
      <x:c r="U1758" s="18" t="n">
        <x:v>620</x:v>
      </x:c>
      <x:c r="V1758" s="20" t="n">
        <x:v>8.8</x:v>
      </x:c>
      <x:c r="W1758" s="20" t="n">
        <x:v>9.9</x:v>
      </x:c>
      <x:c r="X1758" s="20" t="n">
        <x:v>3.3</x:v>
      </x:c>
      <x:c r="Y1758" t="str">
        <x:v>Basis arsip 2025/2024</x:v>
      </x:c>
      <x:c r="Z1758" t="str">
        <x:v>https://snpmb.id/utbk-snbt/daya-tampung-snbt</x:v>
      </x:c>
      <x:c r="AA1758" t="str">
        <x:v>Tidak Ada</x:v>
      </x:c>
      <x:c r="AB1758" t="str">
        <x:v>Campus=80; Ratio=44.9; Prodi=45; RelDemand=22.3; Capacity=75.0</x:v>
      </x:c>
    </x:row>
    <x:row r="1759">
      <x:c r="A1759" t="n">
        <x:v>1756</x:v>
      </x:c>
      <x:c r="B1759" t="str">
        <x:v>PTN Akademik</x:v>
      </x:c>
      <x:c r="C1759" t="str">
        <x:v>UNIVERSITAS NEGERI SEMARANG</x:v>
      </x:c>
      <x:c r="D1759" t="str">
        <x:v>PENDIDIKAN SEJARAH</x:v>
      </x:c>
      <x:c r="E1759" t="str">
        <x:v>Sarjana</x:v>
      </x:c>
      <x:c r="F1759" s="18" t="n">
        <x:v>30</x:v>
      </x:c>
      <x:c r="G1759" s="18" t="n">
        <x:v>249</x:v>
      </x:c>
      <x:c r="H1759" s="19" t="n">
        <x:v>8.3</x:v>
      </x:c>
      <x:c r="I1759" s="18" t="n">
        <x:f>ROUND(MIN(Model_Config_v3!$B$6,MAX(Q1759,R1759,S1759*Model_Config_v3!$B$4+T1759*Model_Config_v3!$B$5)),0)</x:f>
        <x:v>664</x:v>
      </x:c>
      <x:c r="J1759" s="18" t="n">
        <x:f>MIN(Model_Config_v3!$B$6,I1759+Model_Config_v3!$B$7)</x:f>
        <x:v>684</x:v>
      </x:c>
      <x:c r="K1759" s="20" t="n">
        <x:v>61.2</x:v>
      </x:c>
      <x:c r="L1759" t="str">
        <x:v>KETAT</x:v>
      </x:c>
      <x:c r="M1759" t="str">
        <x:v>SEDANG+</x:v>
      </x:c>
      <x:c r="N1759" t="str">
        <x:v>ELITE-3</x:v>
      </x:c>
      <x:c r="O1759" t="str">
        <x:v>SOSHUM</x:v>
      </x:c>
      <x:c r="P1759" t="str">
        <x:v>PENDIDIKAN</x:v>
      </x:c>
      <x:c r="Q1759" s="18" t="n">
        <x:v>620</x:v>
      </x:c>
      <x:c r="R1759" s="18" t="n">
        <x:v>0</x:v>
      </x:c>
      <x:c r="S1759" s="18" t="n">
        <x:v>621.0985901613681</x:v>
      </x:c>
      <x:c r="T1759" s="18" t="n">
        <x:v>682</x:v>
      </x:c>
      <x:c r="U1759" s="18" t="n">
        <x:v>621.0985901613681</x:v>
      </x:c>
      <x:c r="V1759" s="20" t="n">
        <x:v>4.4</x:v>
      </x:c>
      <x:c r="W1759" s="20" t="n">
        <x:v>14.3</x:v>
      </x:c>
      <x:c r="X1759" s="20" t="n">
        <x:v>3.3</x:v>
      </x:c>
      <x:c r="Y1759" t="str">
        <x:v>Basis arsip 2025/2024</x:v>
      </x:c>
      <x:c r="Z1759" t="str">
        <x:v>https://snpmb.id/utbk-snbt/daya-tampung-snbt</x:v>
      </x:c>
      <x:c r="AA1759" t="str">
        <x:v>Tidak Ada</x:v>
      </x:c>
      <x:c r="AB1759" t="str">
        <x:v>Campus=80; Ratio=54.1; Prodi=45; RelDemand=31.9; Capacity=75.0</x:v>
      </x:c>
    </x:row>
    <x:row r="1760">
      <x:c r="A1760" t="n">
        <x:v>1757</x:v>
      </x:c>
      <x:c r="B1760" t="str">
        <x:v>PTN Akademik</x:v>
      </x:c>
      <x:c r="C1760" t="str">
        <x:v>UNIVERSITAS NEGERI SEMARANG</x:v>
      </x:c>
      <x:c r="D1760" t="str">
        <x:v>PENDIDIKAN JASMANI, KESEHATAN &amp; REKREASI</x:v>
      </x:c>
      <x:c r="E1760" t="str">
        <x:v>Sarjana</x:v>
      </x:c>
      <x:c r="F1760" s="18" t="n">
        <x:v>83</x:v>
      </x:c>
      <x:c r="G1760" s="18" t="n">
        <x:v>783</x:v>
      </x:c>
      <x:c r="H1760" s="19" t="n">
        <x:v>9.433734939759036</x:v>
      </x:c>
      <x:c r="I1760" s="18" t="n">
        <x:f>ROUND(MIN(Model_Config_v3!$B$6,MAX(Q1760,R1760,S1760*Model_Config_v3!$B$4+T1760*Model_Config_v3!$B$5)),0)</x:f>
        <x:v>661</x:v>
      </x:c>
      <x:c r="J1760" s="18" t="n">
        <x:f>MIN(Model_Config_v3!$B$6,I1760+Model_Config_v3!$B$7)</x:f>
        <x:v>681</x:v>
      </x:c>
      <x:c r="K1760" s="20" t="n">
        <x:v>58</x:v>
      </x:c>
      <x:c r="L1760" t="str">
        <x:v>KETAT</x:v>
      </x:c>
      <x:c r="M1760" t="str">
        <x:v>PORTOFOLIO</x:v>
      </x:c>
      <x:c r="N1760" t="str">
        <x:v>ELITE-3</x:v>
      </x:c>
      <x:c r="O1760" t="str">
        <x:v>SENI/OLAHRAGA</x:v>
      </x:c>
      <x:c r="P1760" t="str">
        <x:v>SENI/OLAHRAGA</x:v>
      </x:c>
      <x:c r="Q1760" s="18" t="n">
        <x:v>620</x:v>
      </x:c>
      <x:c r="R1760" s="18" t="n">
        <x:v>0</x:v>
      </x:c>
      <x:c r="S1760" s="18" t="n">
        <x:v>627.2152036650057</x:v>
      </x:c>
      <x:c r="T1760" s="18" t="n">
        <x:v>676</x:v>
      </x:c>
      <x:c r="U1760" s="18" t="n">
        <x:v>627.2152036650057</x:v>
      </x:c>
      <x:c r="V1760" s="20" t="n">
        <x:v>4.4</x:v>
      </x:c>
      <x:c r="W1760" s="20" t="n">
        <x:v>9.9</x:v>
      </x:c>
      <x:c r="X1760" s="20" t="n">
        <x:v>7.7</x:v>
      </x:c>
      <x:c r="Y1760" t="str">
        <x:v>Basis arsip 2025/2024</x:v>
      </x:c>
      <x:c r="Z1760" t="str">
        <x:v>https://snpmb.id/utbk-snbt/daya-tampung-snbt</x:v>
      </x:c>
      <x:c r="AA1760" t="str">
        <x:v>Olahraga</x:v>
      </x:c>
      <x:c r="AB1760" t="str">
        <x:v>Campus=80; Ratio=57.4; Prodi=45; RelDemand=36.2; Capacity=30.8</x:v>
      </x:c>
    </x:row>
    <x:row r="1761">
      <x:c r="A1761" t="n">
        <x:v>1758</x:v>
      </x:c>
      <x:c r="B1761" t="str">
        <x:v>PTN Akademik</x:v>
      </x:c>
      <x:c r="C1761" t="str">
        <x:v>UNIVERSITAS NEGERI SEMARANG</x:v>
      </x:c>
      <x:c r="D1761" t="str">
        <x:v>PENDIDIKAN KEPELATIHAN OLAHRAGA</x:v>
      </x:c>
      <x:c r="E1761" t="str">
        <x:v>Sarjana</x:v>
      </x:c>
      <x:c r="F1761" s="18" t="n">
        <x:v>60</x:v>
      </x:c>
      <x:c r="G1761" s="18" t="n">
        <x:v>462</x:v>
      </x:c>
      <x:c r="H1761" s="19" t="n">
        <x:v>7.7</x:v>
      </x:c>
      <x:c r="I1761" s="18" t="n">
        <x:f>ROUND(MIN(Model_Config_v3!$B$6,MAX(Q1761,R1761,S1761*Model_Config_v3!$B$4+T1761*Model_Config_v3!$B$5)),0)</x:f>
        <x:v>658</x:v>
      </x:c>
      <x:c r="J1761" s="18" t="n">
        <x:f>MIN(Model_Config_v3!$B$6,I1761+Model_Config_v3!$B$7)</x:f>
        <x:v>678</x:v>
      </x:c>
      <x:c r="K1761" s="20" t="n">
        <x:v>58</x:v>
      </x:c>
      <x:c r="L1761" t="str">
        <x:v>KETAT</x:v>
      </x:c>
      <x:c r="M1761" t="str">
        <x:v>PORTOFOLIO</x:v>
      </x:c>
      <x:c r="N1761" t="str">
        <x:v>ELITE-3</x:v>
      </x:c>
      <x:c r="O1761" t="str">
        <x:v>SENI/OLAHRAGA</x:v>
      </x:c>
      <x:c r="P1761" t="str">
        <x:v>SENI/OLAHRAGA</x:v>
      </x:c>
      <x:c r="Q1761" s="18" t="n">
        <x:v>620</x:v>
      </x:c>
      <x:c r="R1761" s="18" t="n">
        <x:v>0</x:v>
      </x:c>
      <x:c r="S1761" s="18" t="n">
        <x:v>617.5139797689731</x:v>
      </x:c>
      <x:c r="T1761" s="18" t="n">
        <x:v>676</x:v>
      </x:c>
      <x:c r="U1761" s="18" t="n">
        <x:v>620</x:v>
      </x:c>
      <x:c r="V1761" s="20" t="n">
        <x:v>4.4</x:v>
      </x:c>
      <x:c r="W1761" s="20" t="n">
        <x:v>9.9</x:v>
      </x:c>
      <x:c r="X1761" s="20" t="n">
        <x:v>7.7</x:v>
      </x:c>
      <x:c r="Y1761" t="str">
        <x:v>Basis arsip 2025/2024</x:v>
      </x:c>
      <x:c r="Z1761" t="str">
        <x:v>https://snpmb.id/utbk-snbt/daya-tampung-snbt</x:v>
      </x:c>
      <x:c r="AA1761" t="str">
        <x:v>Olahraga</x:v>
      </x:c>
      <x:c r="AB1761" t="str">
        <x:v>Campus=80; Ratio=52.2; Prodi=45; RelDemand=29.6; Capacity=50.0</x:v>
      </x:c>
    </x:row>
    <x:row r="1762">
      <x:c r="A1762" t="n">
        <x:v>1759</x:v>
      </x:c>
      <x:c r="B1762" t="str">
        <x:v>PTN Akademik</x:v>
      </x:c>
      <x:c r="C1762" t="str">
        <x:v>UNIVERSITAS NEGERI SEMARANG</x:v>
      </x:c>
      <x:c r="D1762" t="str">
        <x:v>PENDIDIKAN TATA BOGA</x:v>
      </x:c>
      <x:c r="E1762" t="str">
        <x:v>Sarjana</x:v>
      </x:c>
      <x:c r="F1762" s="18" t="n">
        <x:v>30</x:v>
      </x:c>
      <x:c r="G1762" s="18" t="n">
        <x:v>569</x:v>
      </x:c>
      <x:c r="H1762" s="19" t="n">
        <x:v>18.966666666666665</x:v>
      </x:c>
      <x:c r="I1762" s="18" t="n">
        <x:f>ROUND(MIN(Model_Config_v3!$B$6,MAX(Q1762,R1762,S1762*Model_Config_v3!$B$4+T1762*Model_Config_v3!$B$5)),0)</x:f>
        <x:v>689</x:v>
      </x:c>
      <x:c r="J1762" s="18" t="n">
        <x:f>MIN(Model_Config_v3!$B$6,I1762+Model_Config_v3!$B$7)</x:f>
        <x:v>709</x:v>
      </x:c>
      <x:c r="K1762" s="20" t="n">
        <x:v>70.6</x:v>
      </x:c>
      <x:c r="L1762" t="str">
        <x:v>SANGAT KETAT</x:v>
      </x:c>
      <x:c r="M1762" t="str">
        <x:v>SEDANG+</x:v>
      </x:c>
      <x:c r="N1762" t="str">
        <x:v>ELITE-3</x:v>
      </x:c>
      <x:c r="O1762" t="str">
        <x:v>CAMPURAN</x:v>
      </x:c>
      <x:c r="P1762" t="str">
        <x:v>PENDIDIKAN</x:v>
      </x:c>
      <x:c r="Q1762" s="18" t="n">
        <x:v>620</x:v>
      </x:c>
      <x:c r="R1762" s="18" t="n">
        <x:v>0</x:v>
      </x:c>
      <x:c r="S1762" s="18" t="n">
        <x:v>660.5790112842949</x:v>
      </x:c>
      <x:c r="T1762" s="18" t="n">
        <x:v>701</x:v>
      </x:c>
      <x:c r="U1762" s="18" t="n">
        <x:v>660.5790112842949</x:v>
      </x:c>
      <x:c r="V1762" s="20" t="n">
        <x:v>8.8</x:v>
      </x:c>
      <x:c r="W1762" s="20" t="n">
        <x:v>9.9</x:v>
      </x:c>
      <x:c r="X1762" s="20" t="n">
        <x:v>3.3</x:v>
      </x:c>
      <x:c r="Y1762" t="str">
        <x:v>Basis arsip 2025/2024</x:v>
      </x:c>
      <x:c r="Z1762" t="str">
        <x:v>https://snpmb.id/utbk-snbt/daya-tampung-snbt</x:v>
      </x:c>
      <x:c r="AA1762" t="str">
        <x:v>Tidak Ada</x:v>
      </x:c>
      <x:c r="AB1762" t="str">
        <x:v>Campus=80; Ratio=75.2; Prodi=45; RelDemand=72.8; Capacity=75.0</x:v>
      </x:c>
    </x:row>
    <x:row r="1763">
      <x:c r="A1763" t="n">
        <x:v>1760</x:v>
      </x:c>
      <x:c r="B1763" t="str">
        <x:v>PTN Akademik</x:v>
      </x:c>
      <x:c r="C1763" t="str">
        <x:v>UNIVERSITAS NEGERI SEMARANG</x:v>
      </x:c>
      <x:c r="D1763" t="str">
        <x:v>PENDIDIKAN TATA BUSANA</x:v>
      </x:c>
      <x:c r="E1763" t="str">
        <x:v>Sarjana</x:v>
      </x:c>
      <x:c r="F1763" s="18" t="n">
        <x:v>30</x:v>
      </x:c>
      <x:c r="G1763" s="18" t="n">
        <x:v>417</x:v>
      </x:c>
      <x:c r="H1763" s="19" t="n">
        <x:v>13.9</x:v>
      </x:c>
      <x:c r="I1763" s="18" t="n">
        <x:f>ROUND(MIN(Model_Config_v3!$B$6,MAX(Q1763,R1763,S1763*Model_Config_v3!$B$4+T1763*Model_Config_v3!$B$5)),0)</x:f>
        <x:v>679</x:v>
      </x:c>
      <x:c r="J1763" s="18" t="n">
        <x:f>MIN(Model_Config_v3!$B$6,I1763+Model_Config_v3!$B$7)</x:f>
        <x:v>699</x:v>
      </x:c>
      <x:c r="K1763" s="20" t="n">
        <x:v>66.7</x:v>
      </x:c>
      <x:c r="L1763" t="str">
        <x:v>SANGAT KETAT</x:v>
      </x:c>
      <x:c r="M1763" t="str">
        <x:v>SEDANG+</x:v>
      </x:c>
      <x:c r="N1763" t="str">
        <x:v>ELITE-3</x:v>
      </x:c>
      <x:c r="O1763" t="str">
        <x:v>CAMPURAN</x:v>
      </x:c>
      <x:c r="P1763" t="str">
        <x:v>PENDIDIKAN</x:v>
      </x:c>
      <x:c r="Q1763" s="18" t="n">
        <x:v>620</x:v>
      </x:c>
      <x:c r="R1763" s="18" t="n">
        <x:v>0</x:v>
      </x:c>
      <x:c r="S1763" s="18" t="n">
        <x:v>645.7316280279505</x:v>
      </x:c>
      <x:c r="T1763" s="18" t="n">
        <x:v>693</x:v>
      </x:c>
      <x:c r="U1763" s="18" t="n">
        <x:v>645.7316280279505</x:v>
      </x:c>
      <x:c r="V1763" s="20" t="n">
        <x:v>8.8</x:v>
      </x:c>
      <x:c r="W1763" s="20" t="n">
        <x:v>9.9</x:v>
      </x:c>
      <x:c r="X1763" s="20" t="n">
        <x:v>3.3</x:v>
      </x:c>
      <x:c r="Y1763" t="str">
        <x:v>Basis arsip 2025/2024</x:v>
      </x:c>
      <x:c r="Z1763" t="str">
        <x:v>https://snpmb.id/utbk-snbt/daya-tampung-snbt</x:v>
      </x:c>
      <x:c r="AA1763" t="str">
        <x:v>Tidak Ada</x:v>
      </x:c>
      <x:c r="AB1763" t="str">
        <x:v>Campus=80; Ratio=67.3; Prodi=45; RelDemand=53.4; Capacity=75.0</x:v>
      </x:c>
    </x:row>
    <x:row r="1764">
      <x:c r="A1764" t="n">
        <x:v>1761</x:v>
      </x:c>
      <x:c r="B1764" t="str">
        <x:v>PTN Akademik</x:v>
      </x:c>
      <x:c r="C1764" t="str">
        <x:v>UNIVERSITAS NEGERI SEMARANG</x:v>
      </x:c>
      <x:c r="D1764" t="str">
        <x:v>PENDIDIKAN SOSIOLOGI &amp; ANTROPOLOGI</x:v>
      </x:c>
      <x:c r="E1764" t="str">
        <x:v>Sarjana</x:v>
      </x:c>
      <x:c r="F1764" s="18" t="n">
        <x:v>45</x:v>
      </x:c>
      <x:c r="G1764" s="18" t="n">
        <x:v>392</x:v>
      </x:c>
      <x:c r="H1764" s="19" t="n">
        <x:v>8.71111111111111</x:v>
      </x:c>
      <x:c r="I1764" s="18" t="n">
        <x:f>ROUND(MIN(Model_Config_v3!$B$6,MAX(Q1764,R1764,S1764*Model_Config_v3!$B$4+T1764*Model_Config_v3!$B$5)),0)</x:f>
        <x:v>664</x:v>
      </x:c>
      <x:c r="J1764" s="18" t="n">
        <x:f>MIN(Model_Config_v3!$B$6,I1764+Model_Config_v3!$B$7)</x:f>
        <x:v>684</x:v>
      </x:c>
      <x:c r="K1764" s="20" t="n">
        <x:v>60.4</x:v>
      </x:c>
      <x:c r="L1764" t="str">
        <x:v>KETAT</x:v>
      </x:c>
      <x:c r="M1764" t="str">
        <x:v>SEDANG+</x:v>
      </x:c>
      <x:c r="N1764" t="str">
        <x:v>ELITE-3</x:v>
      </x:c>
      <x:c r="O1764" t="str">
        <x:v>SOSHUM</x:v>
      </x:c>
      <x:c r="P1764" t="str">
        <x:v>PENDIDIKAN</x:v>
      </x:c>
      <x:c r="Q1764" s="18" t="n">
        <x:v>620</x:v>
      </x:c>
      <x:c r="R1764" s="18" t="n">
        <x:v>0</x:v>
      </x:c>
      <x:c r="S1764" s="18" t="n">
        <x:v>623.4080908569624</x:v>
      </x:c>
      <x:c r="T1764" s="18" t="n">
        <x:v>681</x:v>
      </x:c>
      <x:c r="U1764" s="18" t="n">
        <x:v>623.4080908569624</x:v>
      </x:c>
      <x:c r="V1764" s="20" t="n">
        <x:v>4.4</x:v>
      </x:c>
      <x:c r="W1764" s="20" t="n">
        <x:v>14.3</x:v>
      </x:c>
      <x:c r="X1764" s="20" t="n">
        <x:v>3.3</x:v>
      </x:c>
      <x:c r="Y1764" t="str">
        <x:v>Basis arsip 2025/2024</x:v>
      </x:c>
      <x:c r="Z1764" t="str">
        <x:v>https://snpmb.id/utbk-snbt/daya-tampung-snbt</x:v>
      </x:c>
      <x:c r="AA1764" t="str">
        <x:v>Tidak Ada</x:v>
      </x:c>
      <x:c r="AB1764" t="str">
        <x:v>Campus=80; Ratio=55.3; Prodi=45; RelDemand=33.4; Capacity=62.5</x:v>
      </x:c>
    </x:row>
    <x:row r="1765">
      <x:c r="A1765" t="n">
        <x:v>1762</x:v>
      </x:c>
      <x:c r="B1765" t="str">
        <x:v>PTN Akademik</x:v>
      </x:c>
      <x:c r="C1765" t="str">
        <x:v>UNIVERSITAS NEGERI SEMARANG</x:v>
      </x:c>
      <x:c r="D1765" t="str">
        <x:v>EKONOMI PEMBANGUNAN</x:v>
      </x:c>
      <x:c r="E1765" t="str">
        <x:v>Sarjana</x:v>
      </x:c>
      <x:c r="F1765" s="18" t="n">
        <x:v>90</x:v>
      </x:c>
      <x:c r="G1765" s="18" t="n">
        <x:v>978</x:v>
      </x:c>
      <x:c r="H1765" s="19" t="n">
        <x:v>10.866666666666667</x:v>
      </x:c>
      <x:c r="I1765" s="18" t="n">
        <x:f>ROUND(MIN(Model_Config_v3!$B$6,MAX(Q1765,R1765,S1765*Model_Config_v3!$B$4+T1765*Model_Config_v3!$B$5)),0)</x:f>
        <x:v>670</x:v>
      </x:c>
      <x:c r="J1765" s="18" t="n">
        <x:f>MIN(Model_Config_v3!$B$6,I1765+Model_Config_v3!$B$7)</x:f>
        <x:v>690</x:v>
      </x:c>
      <x:c r="K1765" s="20" t="n">
        <x:v>62.9</x:v>
      </x:c>
      <x:c r="L1765" t="str">
        <x:v>KETAT</x:v>
      </x:c>
      <x:c r="M1765" t="str">
        <x:v>SEDANG+</x:v>
      </x:c>
      <x:c r="N1765" t="str">
        <x:v>ELITE-3</x:v>
      </x:c>
      <x:c r="O1765" t="str">
        <x:v>SOSHUM</x:v>
      </x:c>
      <x:c r="P1765" t="str">
        <x:v>BISNIS/EKONOMI/AKUNTANSI</x:v>
      </x:c>
      <x:c r="Q1765" s="18" t="n">
        <x:v>620</x:v>
      </x:c>
      <x:c r="R1765" s="18" t="n">
        <x:v>0</x:v>
      </x:c>
      <x:c r="S1765" s="18" t="n">
        <x:v>633.9705979883104</x:v>
      </x:c>
      <x:c r="T1765" s="18" t="n">
        <x:v>686</x:v>
      </x:c>
      <x:c r="U1765" s="18" t="n">
        <x:v>633.9705979883104</x:v>
      </x:c>
      <x:c r="V1765" s="20" t="n">
        <x:v>4.4</x:v>
      </x:c>
      <x:c r="W1765" s="20" t="n">
        <x:v>14.3</x:v>
      </x:c>
      <x:c r="X1765" s="20" t="n">
        <x:v>3.3</x:v>
      </x:c>
      <x:c r="Y1765" t="str">
        <x:v>Basis arsip 2025/2024</x:v>
      </x:c>
      <x:c r="Z1765" t="str">
        <x:v>https://snpmb.id/utbk-snbt/daya-tampung-snbt</x:v>
      </x:c>
      <x:c r="AA1765" t="str">
        <x:v>Tidak Ada</x:v>
      </x:c>
      <x:c r="AB1765" t="str">
        <x:v>Campus=80; Ratio=61.0; Prodi=65; RelDemand=41.7; Capacity=25.0</x:v>
      </x:c>
    </x:row>
    <x:row r="1766">
      <x:c r="A1766" t="n">
        <x:v>1763</x:v>
      </x:c>
      <x:c r="B1766" t="str">
        <x:v>PTN Akademik</x:v>
      </x:c>
      <x:c r="C1766" t="str">
        <x:v>UNIVERSITAS NEGERI SEMARANG</x:v>
      </x:c>
      <x:c r="D1766" t="str">
        <x:v>MANAJEMEN</x:v>
      </x:c>
      <x:c r="E1766" t="str">
        <x:v>Sarjana</x:v>
      </x:c>
      <x:c r="F1766" s="18" t="n">
        <x:v>144</x:v>
      </x:c>
      <x:c r="G1766" s="18" t="n">
        <x:v>2899</x:v>
      </x:c>
      <x:c r="H1766" s="19" t="n">
        <x:v>20.131944444444443</x:v>
      </x:c>
      <x:c r="I1766" s="18" t="n">
        <x:f>ROUND(MIN(Model_Config_v3!$B$6,MAX(Q1766,R1766,S1766*Model_Config_v3!$B$4+T1766*Model_Config_v3!$B$5)),0)</x:f>
        <x:v>686</x:v>
      </x:c>
      <x:c r="J1766" s="18" t="n">
        <x:f>MIN(Model_Config_v3!$B$6,I1766+Model_Config_v3!$B$7)</x:f>
        <x:v>706</x:v>
      </x:c>
      <x:c r="K1766" s="20" t="n">
        <x:v>67.9</x:v>
      </x:c>
      <x:c r="L1766" t="str">
        <x:v>SANGAT KETAT</x:v>
      </x:c>
      <x:c r="M1766" t="str">
        <x:v>SEDANG+</x:v>
      </x:c>
      <x:c r="N1766" t="str">
        <x:v>ELITE-3</x:v>
      </x:c>
      <x:c r="O1766" t="str">
        <x:v>SOSHUM</x:v>
      </x:c>
      <x:c r="P1766" t="str">
        <x:v>BISNIS/EKONOMI/AKUNTANSI</x:v>
      </x:c>
      <x:c r="Q1766" s="18" t="n">
        <x:v>620</x:v>
      </x:c>
      <x:c r="R1766" s="18" t="n">
        <x:v>0</x:v>
      </x:c>
      <x:c r="S1766" s="18" t="n">
        <x:v>663.4274295585723</x:v>
      </x:c>
      <x:c r="T1766" s="18" t="n">
        <x:v>696</x:v>
      </x:c>
      <x:c r="U1766" s="18" t="n">
        <x:v>678.4274295585723</x:v>
      </x:c>
      <x:c r="V1766" s="20" t="n">
        <x:v>4.4</x:v>
      </x:c>
      <x:c r="W1766" s="20" t="n">
        <x:v>14.3</x:v>
      </x:c>
      <x:c r="X1766" s="20" t="n">
        <x:v>3.3</x:v>
      </x:c>
      <x:c r="Y1766" t="str">
        <x:v>Basis arsip 2025/2024</x:v>
      </x:c>
      <x:c r="Z1766" t="str">
        <x:v>https://snpmb.id/utbk-snbt/daya-tampung-snbt</x:v>
      </x:c>
      <x:c r="AA1766" t="str">
        <x:v>Tidak Ada</x:v>
      </x:c>
      <x:c r="AB1766" t="str">
        <x:v>Campus=80; Ratio=76.7; Prodi=65; RelDemand=77.3; Capacity=0.0</x:v>
      </x:c>
    </x:row>
    <x:row r="1767">
      <x:c r="A1767" t="n">
        <x:v>1764</x:v>
      </x:c>
      <x:c r="B1767" t="str">
        <x:v>PTN Akademik</x:v>
      </x:c>
      <x:c r="C1767" t="str">
        <x:v>UNIVERSITAS NEGERI SEMARANG</x:v>
      </x:c>
      <x:c r="D1767" t="str">
        <x:v>PSIKOLOGI</x:v>
      </x:c>
      <x:c r="E1767" t="str">
        <x:v>Sarjana</x:v>
      </x:c>
      <x:c r="F1767" s="18" t="n">
        <x:v>71</x:v>
      </x:c>
      <x:c r="G1767" s="18" t="n">
        <x:v>2000</x:v>
      </x:c>
      <x:c r="H1767" s="19" t="n">
        <x:v>28.169014084507044</x:v>
      </x:c>
      <x:c r="I1767" s="18" t="n">
        <x:f>ROUND(MIN(Model_Config_v3!$B$6,MAX(Q1767,R1767,S1767*Model_Config_v3!$B$4+T1767*Model_Config_v3!$B$5)),0)</x:f>
        <x:v>707</x:v>
      </x:c>
      <x:c r="J1767" s="18" t="n">
        <x:f>MIN(Model_Config_v3!$B$6,I1767+Model_Config_v3!$B$7)</x:f>
        <x:v>727</x:v>
      </x:c>
      <x:c r="K1767" s="20" t="n">
        <x:v>79.4</x:v>
      </x:c>
      <x:c r="L1767" t="str">
        <x:v>ELITE</x:v>
      </x:c>
      <x:c r="M1767" t="str">
        <x:v>SEDANG+</x:v>
      </x:c>
      <x:c r="N1767" t="str">
        <x:v>ELITE-3</x:v>
      </x:c>
      <x:c r="O1767" t="str">
        <x:v>SOSHUM</x:v>
      </x:c>
      <x:c r="P1767" t="str">
        <x:v>PSIKOLOGI</x:v>
      </x:c>
      <x:c r="Q1767" s="18" t="n">
        <x:v>620</x:v>
      </x:c>
      <x:c r="R1767" s="18" t="n">
        <x:v>670</x:v>
      </x:c>
      <x:c r="S1767" s="18" t="n">
        <x:v>679.4748811639397</x:v>
      </x:c>
      <x:c r="T1767" s="18" t="n">
        <x:v>719</x:v>
      </x:c>
      <x:c r="U1767" s="18" t="n">
        <x:v>704.4748811639397</x:v>
      </x:c>
      <x:c r="V1767" s="20" t="n">
        <x:v>4.4</x:v>
      </x:c>
      <x:c r="W1767" s="20" t="n">
        <x:v>14.3</x:v>
      </x:c>
      <x:c r="X1767" s="20" t="n">
        <x:v>3.3</x:v>
      </x:c>
      <x:c r="Y1767" t="str">
        <x:v>Basis arsip 2025/2024</x:v>
      </x:c>
      <x:c r="Z1767" t="str">
        <x:v>https://snpmb.id/utbk-snbt/daya-tampung-snbt</x:v>
      </x:c>
      <x:c r="AA1767" t="str">
        <x:v>Tidak Ada</x:v>
      </x:c>
      <x:c r="AB1767" t="str">
        <x:v>Campus=80; Ratio=85.3; Prodi=80; RelDemand=100.0; Capacity=40.8</x:v>
      </x:c>
    </x:row>
    <x:row r="1768">
      <x:c r="A1768" t="n">
        <x:v>1765</x:v>
      </x:c>
      <x:c r="B1768" t="str">
        <x:v>PTN Akademik</x:v>
      </x:c>
      <x:c r="C1768" t="str">
        <x:v>UNIVERSITAS NEGERI SEMARANG</x:v>
      </x:c>
      <x:c r="D1768" t="str">
        <x:v>GEOGRAFI</x:v>
      </x:c>
      <x:c r="E1768" t="str">
        <x:v>Sarjana</x:v>
      </x:c>
      <x:c r="F1768" s="18" t="n">
        <x:v>68</x:v>
      </x:c>
      <x:c r="G1768" s="18" t="n">
        <x:v>465</x:v>
      </x:c>
      <x:c r="H1768" s="19" t="n">
        <x:v>6.838235294117647</x:v>
      </x:c>
      <x:c r="I1768" s="18" t="n">
        <x:f>ROUND(MIN(Model_Config_v3!$B$6,MAX(Q1768,R1768,S1768*Model_Config_v3!$B$4+T1768*Model_Config_v3!$B$5)),0)</x:f>
        <x:v>653</x:v>
      </x:c>
      <x:c r="J1768" s="18" t="n">
        <x:f>MIN(Model_Config_v3!$B$6,I1768+Model_Config_v3!$B$7)</x:f>
        <x:v>673</x:v>
      </x:c>
      <x:c r="K1768" s="20" t="n">
        <x:v>55.2</x:v>
      </x:c>
      <x:c r="L1768" t="str">
        <x:v>KETAT</x:v>
      </x:c>
      <x:c r="M1768" t="str">
        <x:v>SEDANG+</x:v>
      </x:c>
      <x:c r="N1768" t="str">
        <x:v>ELITE-3</x:v>
      </x:c>
      <x:c r="O1768" t="str">
        <x:v>CAMPURAN</x:v>
      </x:c>
      <x:c r="P1768" t="str">
        <x:v>UMUM</x:v>
      </x:c>
      <x:c r="Q1768" s="18" t="n">
        <x:v>620</x:v>
      </x:c>
      <x:c r="R1768" s="18" t="n">
        <x:v>0</x:v>
      </x:c>
      <x:c r="S1768" s="18" t="n">
        <x:v>611.8438444202089</x:v>
      </x:c>
      <x:c r="T1768" s="18" t="n">
        <x:v>670</x:v>
      </x:c>
      <x:c r="U1768" s="18" t="n">
        <x:v>620</x:v>
      </x:c>
      <x:c r="V1768" s="20" t="n">
        <x:v>8.8</x:v>
      </x:c>
      <x:c r="W1768" s="20" t="n">
        <x:v>9.9</x:v>
      </x:c>
      <x:c r="X1768" s="20" t="n">
        <x:v>3.3</x:v>
      </x:c>
      <x:c r="Y1768" t="str">
        <x:v>Basis arsip 2025/2024</x:v>
      </x:c>
      <x:c r="Z1768" t="str">
        <x:v>https://snpmb.id/utbk-snbt/daya-tampung-snbt</x:v>
      </x:c>
      <x:c r="AA1768" t="str">
        <x:v>Tidak Ada</x:v>
      </x:c>
      <x:c r="AB1768" t="str">
        <x:v>Campus=80; Ratio=49.1; Prodi=40; RelDemand=26.3; Capacity=43.3</x:v>
      </x:c>
    </x:row>
    <x:row r="1769">
      <x:c r="A1769" t="n">
        <x:v>1766</x:v>
      </x:c>
      <x:c r="B1769" t="str">
        <x:v>PTN Akademik</x:v>
      </x:c>
      <x:c r="C1769" t="str">
        <x:v>UNIVERSITAS NEGERI SEMARANG</x:v>
      </x:c>
      <x:c r="D1769" t="str">
        <x:v>ILMU HUKUM</x:v>
      </x:c>
      <x:c r="E1769" t="str">
        <x:v>Sarjana</x:v>
      </x:c>
      <x:c r="F1769" s="18" t="n">
        <x:v>278</x:v>
      </x:c>
      <x:c r="G1769" s="18" t="n">
        <x:v>2610</x:v>
      </x:c>
      <x:c r="H1769" s="19" t="n">
        <x:v>9.388489208633093</x:v>
      </x:c>
      <x:c r="I1769" s="18" t="n">
        <x:f>ROUND(MIN(Model_Config_v3!$B$6,MAX(Q1769,R1769,S1769*Model_Config_v3!$B$4+T1769*Model_Config_v3!$B$5)),0)</x:f>
        <x:v>663</x:v>
      </x:c>
      <x:c r="J1769" s="18" t="n">
        <x:f>MIN(Model_Config_v3!$B$6,I1769+Model_Config_v3!$B$7)</x:f>
        <x:v>683</x:v>
      </x:c>
      <x:c r="K1769" s="20" t="n">
        <x:v>58.9</x:v>
      </x:c>
      <x:c r="L1769" t="str">
        <x:v>KETAT</x:v>
      </x:c>
      <x:c r="M1769" t="str">
        <x:v>SEDANG+</x:v>
      </x:c>
      <x:c r="N1769" t="str">
        <x:v>ELITE-3</x:v>
      </x:c>
      <x:c r="O1769" t="str">
        <x:v>SOSHUM</x:v>
      </x:c>
      <x:c r="P1769" t="str">
        <x:v>HUKUM</x:v>
      </x:c>
      <x:c r="Q1769" s="18" t="n">
        <x:v>620</x:v>
      </x:c>
      <x:c r="R1769" s="18" t="n">
        <x:v>0</x:v>
      </x:c>
      <x:c r="S1769" s="18" t="n">
        <x:v>626.9855282562226</x:v>
      </x:c>
      <x:c r="T1769" s="18" t="n">
        <x:v>678</x:v>
      </x:c>
      <x:c r="U1769" s="18" t="n">
        <x:v>641.9855282562226</x:v>
      </x:c>
      <x:c r="V1769" s="20" t="n">
        <x:v>4.4</x:v>
      </x:c>
      <x:c r="W1769" s="20" t="n">
        <x:v>14.3</x:v>
      </x:c>
      <x:c r="X1769" s="20" t="n">
        <x:v>3.3</x:v>
      </x:c>
      <x:c r="Y1769" t="str">
        <x:v>Basis arsip 2025/2024</x:v>
      </x:c>
      <x:c r="Z1769" t="str">
        <x:v>https://snpmb.id/utbk-snbt/daya-tampung-snbt</x:v>
      </x:c>
      <x:c r="AA1769" t="str">
        <x:v>Tidak Ada</x:v>
      </x:c>
      <x:c r="AB1769" t="str">
        <x:v>Campus=80; Ratio=57.2; Prodi=65; RelDemand=36.0; Capacity=0.0</x:v>
      </x:c>
    </x:row>
    <x:row r="1770">
      <x:c r="A1770" t="n">
        <x:v>1767</x:v>
      </x:c>
      <x:c r="B1770" t="str">
        <x:v>PTN Akademik</x:v>
      </x:c>
      <x:c r="C1770" t="str">
        <x:v>UNIVERSITAS NEGERI SEMARANG</x:v>
      </x:c>
      <x:c r="D1770" t="str">
        <x:v>AKUNTANSI</x:v>
      </x:c>
      <x:c r="E1770" t="str">
        <x:v>Sarjana</x:v>
      </x:c>
      <x:c r="F1770" s="18" t="n">
        <x:v>126</x:v>
      </x:c>
      <x:c r="G1770" s="18" t="n">
        <x:v>1899</x:v>
      </x:c>
      <x:c r="H1770" s="19" t="n">
        <x:v>15.071428571428571</x:v>
      </x:c>
      <x:c r="I1770" s="18" t="n">
        <x:f>ROUND(MIN(Model_Config_v3!$B$6,MAX(Q1770,R1770,S1770*Model_Config_v3!$B$4+T1770*Model_Config_v3!$B$5)),0)</x:f>
        <x:v>676</x:v>
      </x:c>
      <x:c r="J1770" s="18" t="n">
        <x:f>MIN(Model_Config_v3!$B$6,I1770+Model_Config_v3!$B$7)</x:f>
        <x:v>696</x:v>
      </x:c>
      <x:c r="K1770" s="20" t="n">
        <x:v>64.1</x:v>
      </x:c>
      <x:c r="L1770" t="str">
        <x:v>KETAT</x:v>
      </x:c>
      <x:c r="M1770" t="str">
        <x:v>SEDANG+</x:v>
      </x:c>
      <x:c r="N1770" t="str">
        <x:v>ELITE-3</x:v>
      </x:c>
      <x:c r="O1770" t="str">
        <x:v>SOSHUM</x:v>
      </x:c>
      <x:c r="P1770" t="str">
        <x:v>BISNIS/EKONOMI/AKUNTANSI</x:v>
      </x:c>
      <x:c r="Q1770" s="18" t="n">
        <x:v>620</x:v>
      </x:c>
      <x:c r="R1770" s="18" t="n">
        <x:v>0</x:v>
      </x:c>
      <x:c r="S1770" s="18" t="n">
        <x:v>649.59698615814</x:v>
      </x:c>
      <x:c r="T1770" s="18" t="n">
        <x:v>688</x:v>
      </x:c>
      <x:c r="U1770" s="18" t="n">
        <x:v>649.59698615814</x:v>
      </x:c>
      <x:c r="V1770" s="20" t="n">
        <x:v>4.4</x:v>
      </x:c>
      <x:c r="W1770" s="20" t="n">
        <x:v>14.3</x:v>
      </x:c>
      <x:c r="X1770" s="20" t="n">
        <x:v>3.3</x:v>
      </x:c>
      <x:c r="Y1770" t="str">
        <x:v>Basis arsip 2025/2024</x:v>
      </x:c>
      <x:c r="Z1770" t="str">
        <x:v>https://snpmb.id/utbk-snbt/daya-tampung-snbt</x:v>
      </x:c>
      <x:c r="AA1770" t="str">
        <x:v>Tidak Ada</x:v>
      </x:c>
      <x:c r="AB1770" t="str">
        <x:v>Campus=80; Ratio=69.3; Prodi=65; RelDemand=57.9; Capacity=0.0</x:v>
      </x:c>
    </x:row>
    <x:row r="1771">
      <x:c r="A1771" t="n">
        <x:v>1768</x:v>
      </x:c>
      <x:c r="B1771" t="str">
        <x:v>PTN Akademik</x:v>
      </x:c>
      <x:c r="C1771" t="str">
        <x:v>UNIVERSITAS NEGERI SEMARANG</x:v>
      </x:c>
      <x:c r="D1771" t="str">
        <x:v>SENI RUPA (DKV,LUKIS,PTNG,GRAFIS,GBR KRIYA)</x:v>
      </x:c>
      <x:c r="E1771" t="str">
        <x:v>Sarjana</x:v>
      </x:c>
      <x:c r="F1771" s="18" t="n">
        <x:v>45</x:v>
      </x:c>
      <x:c r="G1771" s="18" t="n">
        <x:v>182</x:v>
      </x:c>
      <x:c r="H1771" s="19" t="n">
        <x:v>4.044444444444444</x:v>
      </x:c>
      <x:c r="I1771" s="18" t="n">
        <x:f>ROUND(MIN(Model_Config_v3!$B$6,MAX(Q1771,R1771,S1771*Model_Config_v3!$B$4+T1771*Model_Config_v3!$B$5)),0)</x:f>
        <x:v>643</x:v>
      </x:c>
      <x:c r="J1771" s="18" t="n">
        <x:f>MIN(Model_Config_v3!$B$6,I1771+Model_Config_v3!$B$7)</x:f>
        <x:v>663</x:v>
      </x:c>
      <x:c r="K1771" s="20" t="n">
        <x:v>53.7</x:v>
      </x:c>
      <x:c r="L1771" t="str">
        <x:v>MENENGAH</x:v>
      </x:c>
      <x:c r="M1771" t="str">
        <x:v>PORTOFOLIO</x:v>
      </x:c>
      <x:c r="N1771" t="str">
        <x:v>ELITE-3</x:v>
      </x:c>
      <x:c r="O1771" t="str">
        <x:v>SENI/OLAHRAGA</x:v>
      </x:c>
      <x:c r="P1771" t="str">
        <x:v>SENI/OLAHRAGA</x:v>
      </x:c>
      <x:c r="Q1771" s="18" t="n">
        <x:v>620</x:v>
      </x:c>
      <x:c r="R1771" s="18" t="n">
        <x:v>0</x:v>
      </x:c>
      <x:c r="S1771" s="18" t="n">
        <x:v>586.7544761630704</x:v>
      </x:c>
      <x:c r="T1771" s="18" t="n">
        <x:v>667</x:v>
      </x:c>
      <x:c r="U1771" s="18" t="n">
        <x:v>620</x:v>
      </x:c>
      <x:c r="V1771" s="20" t="n">
        <x:v>4.4</x:v>
      </x:c>
      <x:c r="W1771" s="20" t="n">
        <x:v>9.9</x:v>
      </x:c>
      <x:c r="X1771" s="20" t="n">
        <x:v>7.7</x:v>
      </x:c>
      <x:c r="Y1771" t="str">
        <x:v>Basis arsip 2025/2024</x:v>
      </x:c>
      <x:c r="Z1771" t="str">
        <x:v>https://snpmb.id/utbk-snbt/daya-tampung-snbt</x:v>
      </x:c>
      <x:c r="AA1771" t="str">
        <x:v>Seni Rupa, Desain, dan Kriya</x:v>
      </x:c>
      <x:c r="AB1771" t="str">
        <x:v>Campus=80; Ratio=35.7; Prodi=45; RelDemand=15.5; Capacity=62.5</x:v>
      </x:c>
    </x:row>
    <x:row r="1772">
      <x:c r="A1772" t="n">
        <x:v>1769</x:v>
      </x:c>
      <x:c r="B1772" t="str">
        <x:v>PTN Akademik</x:v>
      </x:c>
      <x:c r="C1772" t="str">
        <x:v>UNIVERSITAS NEGERI SEMARANG</x:v>
      </x:c>
      <x:c r="D1772" t="str">
        <x:v>PENDIDIKAN AKUNTANSI</x:v>
      </x:c>
      <x:c r="E1772" t="str">
        <x:v>Sarjana</x:v>
      </x:c>
      <x:c r="F1772" s="18" t="n">
        <x:v>41</x:v>
      </x:c>
      <x:c r="G1772" s="18" t="n">
        <x:v>354</x:v>
      </x:c>
      <x:c r="H1772" s="19" t="n">
        <x:v>8.634146341463415</x:v>
      </x:c>
      <x:c r="I1772" s="18" t="n">
        <x:f>ROUND(MIN(Model_Config_v3!$B$6,MAX(Q1772,R1772,S1772*Model_Config_v3!$B$4+T1772*Model_Config_v3!$B$5)),0)</x:f>
        <x:v>669</x:v>
      </x:c>
      <x:c r="J1772" s="18" t="n">
        <x:f>MIN(Model_Config_v3!$B$6,I1772+Model_Config_v3!$B$7)</x:f>
        <x:v>689</x:v>
      </x:c>
      <x:c r="K1772" s="20" t="n">
        <x:v>64.7</x:v>
      </x:c>
      <x:c r="L1772" t="str">
        <x:v>KETAT</x:v>
      </x:c>
      <x:c r="M1772" t="str">
        <x:v>SEDANG+</x:v>
      </x:c>
      <x:c r="N1772" t="str">
        <x:v>ELITE-3</x:v>
      </x:c>
      <x:c r="O1772" t="str">
        <x:v>SOSHUM</x:v>
      </x:c>
      <x:c r="P1772" t="str">
        <x:v>BISNIS/EKONOMI/AKUNTANSI</x:v>
      </x:c>
      <x:c r="Q1772" s="18" t="n">
        <x:v>620</x:v>
      </x:c>
      <x:c r="R1772" s="18" t="n">
        <x:v>0</x:v>
      </x:c>
      <x:c r="S1772" s="18" t="n">
        <x:v>622.9841345836658</x:v>
      </x:c>
      <x:c r="T1772" s="18" t="n">
        <x:v>689</x:v>
      </x:c>
      <x:c r="U1772" s="18" t="n">
        <x:v>622.9841345836658</x:v>
      </x:c>
      <x:c r="V1772" s="20" t="n">
        <x:v>4.4</x:v>
      </x:c>
      <x:c r="W1772" s="20" t="n">
        <x:v>14.3</x:v>
      </x:c>
      <x:c r="X1772" s="20" t="n">
        <x:v>3.3</x:v>
      </x:c>
      <x:c r="Y1772" t="str">
        <x:v>Basis arsip 2025/2024</x:v>
      </x:c>
      <x:c r="Z1772" t="str">
        <x:v>https://snpmb.id/utbk-snbt/daya-tampung-snbt</x:v>
      </x:c>
      <x:c r="AA1772" t="str">
        <x:v>Tidak Ada</x:v>
      </x:c>
      <x:c r="AB1772" t="str">
        <x:v>Campus=80; Ratio=55.1; Prodi=65; RelDemand=33.2; Capacity=65.8</x:v>
      </x:c>
    </x:row>
    <x:row r="1773">
      <x:c r="A1773" t="n">
        <x:v>1770</x:v>
      </x:c>
      <x:c r="B1773" t="str">
        <x:v>PTN Akademik</x:v>
      </x:c>
      <x:c r="C1773" t="str">
        <x:v>UNIVERSITAS NEGERI SEMARANG</x:v>
      </x:c>
      <x:c r="D1773" t="str">
        <x:v>PENDIDIKAN EKONOMI</x:v>
      </x:c>
      <x:c r="E1773" t="str">
        <x:v>Sarjana</x:v>
      </x:c>
      <x:c r="F1773" s="18" t="n">
        <x:v>41</x:v>
      </x:c>
      <x:c r="G1773" s="18" t="n">
        <x:v>142</x:v>
      </x:c>
      <x:c r="H1773" s="19" t="n">
        <x:v>3.4634146341463414</x:v>
      </x:c>
      <x:c r="I1773" s="18" t="n">
        <x:f>ROUND(MIN(Model_Config_v3!$B$6,MAX(Q1773,R1773,S1773*Model_Config_v3!$B$4+T1773*Model_Config_v3!$B$5)),0)</x:f>
        <x:v>640</x:v>
      </x:c>
      <x:c r="J1773" s="18" t="n">
        <x:f>MIN(Model_Config_v3!$B$6,I1773+Model_Config_v3!$B$7)</x:f>
        <x:v>660</x:v>
      </x:c>
      <x:c r="K1773" s="20" t="n">
        <x:v>52.9</x:v>
      </x:c>
      <x:c r="L1773" t="str">
        <x:v>MENENGAH</x:v>
      </x:c>
      <x:c r="M1773" t="str">
        <x:v>SEDANG+</x:v>
      </x:c>
      <x:c r="N1773" t="str">
        <x:v>ELITE-3</x:v>
      </x:c>
      <x:c r="O1773" t="str">
        <x:v>SOSHUM</x:v>
      </x:c>
      <x:c r="P1773" t="str">
        <x:v>PENDIDIKAN</x:v>
      </x:c>
      <x:c r="Q1773" s="18" t="n">
        <x:v>620</x:v>
      </x:c>
      <x:c r="R1773" s="18" t="n">
        <x:v>0</x:v>
      </x:c>
      <x:c r="S1773" s="18" t="n">
        <x:v>579.3454936429653</x:v>
      </x:c>
      <x:c r="T1773" s="18" t="n">
        <x:v>666</x:v>
      </x:c>
      <x:c r="U1773" s="18" t="n">
        <x:v>620</x:v>
      </x:c>
      <x:c r="V1773" s="20" t="n">
        <x:v>4.4</x:v>
      </x:c>
      <x:c r="W1773" s="20" t="n">
        <x:v>14.3</x:v>
      </x:c>
      <x:c r="X1773" s="20" t="n">
        <x:v>3.3</x:v>
      </x:c>
      <x:c r="Y1773" t="str">
        <x:v>Basis arsip 2025/2024</x:v>
      </x:c>
      <x:c r="Z1773" t="str">
        <x:v>https://snpmb.id/utbk-snbt/daya-tampung-snbt</x:v>
      </x:c>
      <x:c r="AA1773" t="str">
        <x:v>Tidak Ada</x:v>
      </x:c>
      <x:c r="AB1773" t="str">
        <x:v>Campus=80; Ratio=31.8; Prodi=45; RelDemand=13.3; Capacity=65.8</x:v>
      </x:c>
    </x:row>
    <x:row r="1774">
      <x:c r="A1774" t="n">
        <x:v>1771</x:v>
      </x:c>
      <x:c r="B1774" t="str">
        <x:v>PTN Akademik</x:v>
      </x:c>
      <x:c r="C1774" t="str">
        <x:v>UNIVERSITAS NEGERI SEMARANG</x:v>
      </x:c>
      <x:c r="D1774" t="str">
        <x:v>PENDIDIKAN ADMINISTRASI PERKANTORAN</x:v>
      </x:c>
      <x:c r="E1774" t="str">
        <x:v>Sarjana</x:v>
      </x:c>
      <x:c r="F1774" s="18" t="n">
        <x:v>38</x:v>
      </x:c>
      <x:c r="G1774" s="18" t="n">
        <x:v>517</x:v>
      </x:c>
      <x:c r="H1774" s="19" t="n">
        <x:v>13.605263157894736</x:v>
      </x:c>
      <x:c r="I1774" s="18" t="n">
        <x:f>ROUND(MIN(Model_Config_v3!$B$6,MAX(Q1774,R1774,S1774*Model_Config_v3!$B$4+T1774*Model_Config_v3!$B$5)),0)</x:f>
        <x:v>677</x:v>
      </x:c>
      <x:c r="J1774" s="18" t="n">
        <x:f>MIN(Model_Config_v3!$B$6,I1774+Model_Config_v3!$B$7)</x:f>
        <x:v>697</x:v>
      </x:c>
      <x:c r="K1774" s="20" t="n">
        <x:v>65.7</x:v>
      </x:c>
      <x:c r="L1774" t="str">
        <x:v>SANGAT KETAT</x:v>
      </x:c>
      <x:c r="M1774" t="str">
        <x:v>SEDANG+</x:v>
      </x:c>
      <x:c r="N1774" t="str">
        <x:v>ELITE-3</x:v>
      </x:c>
      <x:c r="O1774" t="str">
        <x:v>SOSHUM</x:v>
      </x:c>
      <x:c r="P1774" t="str">
        <x:v>PENDIDIKAN</x:v>
      </x:c>
      <x:c r="Q1774" s="18" t="n">
        <x:v>620</x:v>
      </x:c>
      <x:c r="R1774" s="18" t="n">
        <x:v>0</x:v>
      </x:c>
      <x:c r="S1774" s="18" t="n">
        <x:v>644.7077641124846</x:v>
      </x:c>
      <x:c r="T1774" s="18" t="n">
        <x:v>691</x:v>
      </x:c>
      <x:c r="U1774" s="18" t="n">
        <x:v>644.7077641124846</x:v>
      </x:c>
      <x:c r="V1774" s="20" t="n">
        <x:v>4.4</x:v>
      </x:c>
      <x:c r="W1774" s="20" t="n">
        <x:v>14.3</x:v>
      </x:c>
      <x:c r="X1774" s="20" t="n">
        <x:v>3.3</x:v>
      </x:c>
      <x:c r="Y1774" t="str">
        <x:v>Basis arsip 2025/2024</x:v>
      </x:c>
      <x:c r="Z1774" t="str">
        <x:v>https://snpmb.id/utbk-snbt/daya-tampung-snbt</x:v>
      </x:c>
      <x:c r="AA1774" t="str">
        <x:v>Tidak Ada</x:v>
      </x:c>
      <x:c r="AB1774" t="str">
        <x:v>Campus=80; Ratio=66.7; Prodi=45; RelDemand=52.2; Capacity=68.3</x:v>
      </x:c>
    </x:row>
    <x:row r="1775">
      <x:c r="A1775" t="n">
        <x:v>1772</x:v>
      </x:c>
      <x:c r="B1775" t="str">
        <x:v>PTN Akademik</x:v>
      </x:c>
      <x:c r="C1775" t="str">
        <x:v>UNIVERSITAS NEGERI SEMARANG</x:v>
      </x:c>
      <x:c r="D1775" t="str">
        <x:v>PENDIDIKAN BAHASA DAN SASTRA INDONESIA</x:v>
      </x:c>
      <x:c r="E1775" t="str">
        <x:v>Sarjana</x:v>
      </x:c>
      <x:c r="F1775" s="18" t="n">
        <x:v>60</x:v>
      </x:c>
      <x:c r="G1775" s="18" t="n">
        <x:v>779</x:v>
      </x:c>
      <x:c r="H1775" s="19" t="n">
        <x:v>12.983333333333333</x:v>
      </x:c>
      <x:c r="I1775" s="18" t="n">
        <x:f>ROUND(MIN(Model_Config_v3!$B$6,MAX(Q1775,R1775,S1775*Model_Config_v3!$B$4+T1775*Model_Config_v3!$B$5)),0)</x:f>
        <x:v>674</x:v>
      </x:c>
      <x:c r="J1775" s="18" t="n">
        <x:f>MIN(Model_Config_v3!$B$6,I1775+Model_Config_v3!$B$7)</x:f>
        <x:v>694</x:v>
      </x:c>
      <x:c r="K1775" s="20" t="n">
        <x:v>63.4</x:v>
      </x:c>
      <x:c r="L1775" t="str">
        <x:v>KETAT</x:v>
      </x:c>
      <x:c r="M1775" t="str">
        <x:v>SEDANG+</x:v>
      </x:c>
      <x:c r="N1775" t="str">
        <x:v>ELITE-3</x:v>
      </x:c>
      <x:c r="O1775" t="str">
        <x:v>SOSHUM</x:v>
      </x:c>
      <x:c r="P1775" t="str">
        <x:v>PENDIDIKAN</x:v>
      </x:c>
      <x:c r="Q1775" s="18" t="n">
        <x:v>620</x:v>
      </x:c>
      <x:c r="R1775" s="18" t="n">
        <x:v>0</x:v>
      </x:c>
      <x:c r="S1775" s="18" t="n">
        <x:v>642.4724828017813</x:v>
      </x:c>
      <x:c r="T1775" s="18" t="n">
        <x:v>687</x:v>
      </x:c>
      <x:c r="U1775" s="18" t="n">
        <x:v>642.4724828017813</x:v>
      </x:c>
      <x:c r="V1775" s="20" t="n">
        <x:v>4.4</x:v>
      </x:c>
      <x:c r="W1775" s="20" t="n">
        <x:v>14.3</x:v>
      </x:c>
      <x:c r="X1775" s="20" t="n">
        <x:v>3.3</x:v>
      </x:c>
      <x:c r="Y1775" t="str">
        <x:v>Basis arsip 2025/2024</x:v>
      </x:c>
      <x:c r="Z1775" t="str">
        <x:v>https://snpmb.id/utbk-snbt/daya-tampung-snbt</x:v>
      </x:c>
      <x:c r="AA1775" t="str">
        <x:v>Tidak Ada</x:v>
      </x:c>
      <x:c r="AB1775" t="str">
        <x:v>Campus=80; Ratio=65.5; Prodi=45; RelDemand=49.9; Capacity=50.0</x:v>
      </x:c>
    </x:row>
    <x:row r="1776">
      <x:c r="A1776" t="n">
        <x:v>1773</x:v>
      </x:c>
      <x:c r="B1776" t="str">
        <x:v>PTN Akademik</x:v>
      </x:c>
      <x:c r="C1776" t="str">
        <x:v>UNIVERSITAS NEGERI SEMARANG</x:v>
      </x:c>
      <x:c r="D1776" t="str">
        <x:v>PENDIDIKAN BAHASA INGGRIS</x:v>
      </x:c>
      <x:c r="E1776" t="str">
        <x:v>Sarjana</x:v>
      </x:c>
      <x:c r="F1776" s="18" t="n">
        <x:v>60</x:v>
      </x:c>
      <x:c r="G1776" s="18" t="n">
        <x:v>656</x:v>
      </x:c>
      <x:c r="H1776" s="19" t="n">
        <x:v>10.933333333333334</x:v>
      </x:c>
      <x:c r="I1776" s="18" t="n">
        <x:f>ROUND(MIN(Model_Config_v3!$B$6,MAX(Q1776,R1776,S1776*Model_Config_v3!$B$4+T1776*Model_Config_v3!$B$5)),0)</x:f>
        <x:v>668</x:v>
      </x:c>
      <x:c r="J1776" s="18" t="n">
        <x:f>MIN(Model_Config_v3!$B$6,I1776+Model_Config_v3!$B$7)</x:f>
        <x:v>688</x:v>
      </x:c>
      <x:c r="K1776" s="20" t="n">
        <x:v>61.5</x:v>
      </x:c>
      <x:c r="L1776" t="str">
        <x:v>KETAT</x:v>
      </x:c>
      <x:c r="M1776" t="str">
        <x:v>SEDANG+</x:v>
      </x:c>
      <x:c r="N1776" t="str">
        <x:v>ELITE-3</x:v>
      </x:c>
      <x:c r="O1776" t="str">
        <x:v>SOSHUM</x:v>
      </x:c>
      <x:c r="P1776" t="str">
        <x:v>PENDIDIKAN</x:v>
      </x:c>
      <x:c r="Q1776" s="18" t="n">
        <x:v>620</x:v>
      </x:c>
      <x:c r="R1776" s="18" t="n">
        <x:v>0</x:v>
      </x:c>
      <x:c r="S1776" s="18" t="n">
        <x:v>634.2627847891218</x:v>
      </x:c>
      <x:c r="T1776" s="18" t="n">
        <x:v>683</x:v>
      </x:c>
      <x:c r="U1776" s="18" t="n">
        <x:v>634.2627847891218</x:v>
      </x:c>
      <x:c r="V1776" s="20" t="n">
        <x:v>4.4</x:v>
      </x:c>
      <x:c r="W1776" s="20" t="n">
        <x:v>14.3</x:v>
      </x:c>
      <x:c r="X1776" s="20" t="n">
        <x:v>3.3</x:v>
      </x:c>
      <x:c r="Y1776" t="str">
        <x:v>Basis arsip 2025/2024</x:v>
      </x:c>
      <x:c r="Z1776" t="str">
        <x:v>https://snpmb.id/utbk-snbt/daya-tampung-snbt</x:v>
      </x:c>
      <x:c r="AA1776" t="str">
        <x:v>Tidak Ada</x:v>
      </x:c>
      <x:c r="AB1776" t="str">
        <x:v>Campus=80; Ratio=61.1; Prodi=45; RelDemand=42.0; Capacity=50.0</x:v>
      </x:c>
    </x:row>
    <x:row r="1777">
      <x:c r="A1777" t="n">
        <x:v>1774</x:v>
      </x:c>
      <x:c r="B1777" t="str">
        <x:v>PTN Akademik</x:v>
      </x:c>
      <x:c r="C1777" t="str">
        <x:v>UNIVERSITAS NEGERI SEMARANG</x:v>
      </x:c>
      <x:c r="D1777" t="str">
        <x:v>PENDIDIKAN BAHASA PRANCIS</x:v>
      </x:c>
      <x:c r="E1777" t="str">
        <x:v>Sarjana</x:v>
      </x:c>
      <x:c r="F1777" s="18" t="n">
        <x:v>30</x:v>
      </x:c>
      <x:c r="G1777" s="18" t="n">
        <x:v>71</x:v>
      </x:c>
      <x:c r="H1777" s="19" t="n">
        <x:v>2.3666666666666667</x:v>
      </x:c>
      <x:c r="I1777" s="18" t="n">
        <x:f>ROUND(MIN(Model_Config_v3!$B$6,MAX(Q1777,R1777,S1777*Model_Config_v3!$B$4+T1777*Model_Config_v3!$B$5)),0)</x:f>
        <x:v>632</x:v>
      </x:c>
      <x:c r="J1777" s="18" t="n">
        <x:f>MIN(Model_Config_v3!$B$6,I1777+Model_Config_v3!$B$7)</x:f>
        <x:v>652</x:v>
      </x:c>
      <x:c r="K1777" s="20" t="n">
        <x:v>50.9</x:v>
      </x:c>
      <x:c r="L1777" t="str">
        <x:v>MENENGAH</x:v>
      </x:c>
      <x:c r="M1777" t="str">
        <x:v>SEDANG+</x:v>
      </x:c>
      <x:c r="N1777" t="str">
        <x:v>ELITE-3</x:v>
      </x:c>
      <x:c r="O1777" t="str">
        <x:v>SOSHUM</x:v>
      </x:c>
      <x:c r="P1777" t="str">
        <x:v>PENDIDIKAN</x:v>
      </x:c>
      <x:c r="Q1777" s="18" t="n">
        <x:v>620</x:v>
      </x:c>
      <x:c r="R1777" s="18" t="n">
        <x:v>0</x:v>
      </x:c>
      <x:c r="S1777" s="18" t="n">
        <x:v>561.1550803399355</x:v>
      </x:c>
      <x:c r="T1777" s="18" t="n">
        <x:v>662</x:v>
      </x:c>
      <x:c r="U1777" s="18" t="n">
        <x:v>620</x:v>
      </x:c>
      <x:c r="V1777" s="20" t="n">
        <x:v>4.4</x:v>
      </x:c>
      <x:c r="W1777" s="20" t="n">
        <x:v>14.3</x:v>
      </x:c>
      <x:c r="X1777" s="20" t="n">
        <x:v>3.3</x:v>
      </x:c>
      <x:c r="Y1777" t="str">
        <x:v>Basis arsip 2025/2024</x:v>
      </x:c>
      <x:c r="Z1777" t="str">
        <x:v>https://snpmb.id/utbk-snbt/daya-tampung-snbt</x:v>
      </x:c>
      <x:c r="AA1777" t="str">
        <x:v>Tidak Ada</x:v>
      </x:c>
      <x:c r="AB1777" t="str">
        <x:v>Campus=80; Ratio=22.0; Prodi=45; RelDemand=9.1; Capacity=75.0</x:v>
      </x:c>
    </x:row>
    <x:row r="1778">
      <x:c r="A1778" t="n">
        <x:v>1775</x:v>
      </x:c>
      <x:c r="B1778" t="str">
        <x:v>PTN Akademik</x:v>
      </x:c>
      <x:c r="C1778" t="str">
        <x:v>UNIVERSITAS NEGERI SEMARANG</x:v>
      </x:c>
      <x:c r="D1778" t="str">
        <x:v>PENDIDIKAN SENI RUPA</x:v>
      </x:c>
      <x:c r="E1778" t="str">
        <x:v>Sarjana</x:v>
      </x:c>
      <x:c r="F1778" s="18" t="n">
        <x:v>38</x:v>
      </x:c>
      <x:c r="G1778" s="18" t="n">
        <x:v>86</x:v>
      </x:c>
      <x:c r="H1778" s="19" t="n">
        <x:v>2.263157894736842</x:v>
      </x:c>
      <x:c r="I1778" s="18" t="n">
        <x:f>ROUND(MIN(Model_Config_v3!$B$6,MAX(Q1778,R1778,S1778*Model_Config_v3!$B$4+T1778*Model_Config_v3!$B$5)),0)</x:f>
        <x:v>630</x:v>
      </x:c>
      <x:c r="J1778" s="18" t="n">
        <x:f>MIN(Model_Config_v3!$B$6,I1778+Model_Config_v3!$B$7)</x:f>
        <x:v>650</x:v>
      </x:c>
      <x:c r="K1778" s="20" t="n">
        <x:v>49.9</x:v>
      </x:c>
      <x:c r="L1778" t="str">
        <x:v>MENENGAH</x:v>
      </x:c>
      <x:c r="M1778" t="str">
        <x:v>PORTOFOLIO</x:v>
      </x:c>
      <x:c r="N1778" t="str">
        <x:v>ELITE-3</x:v>
      </x:c>
      <x:c r="O1778" t="str">
        <x:v>SENI/OLAHRAGA</x:v>
      </x:c>
      <x:c r="P1778" t="str">
        <x:v>SENI/OLAHRAGA</x:v>
      </x:c>
      <x:c r="Q1778" s="18" t="n">
        <x:v>620</x:v>
      </x:c>
      <x:c r="R1778" s="18" t="n">
        <x:v>0</x:v>
      </x:c>
      <x:c r="S1778" s="18" t="n">
        <x:v>559.0186340089433</x:v>
      </x:c>
      <x:c r="T1778" s="18" t="n">
        <x:v>660</x:v>
      </x:c>
      <x:c r="U1778" s="18" t="n">
        <x:v>620</x:v>
      </x:c>
      <x:c r="V1778" s="20" t="n">
        <x:v>4.4</x:v>
      </x:c>
      <x:c r="W1778" s="20" t="n">
        <x:v>9.9</x:v>
      </x:c>
      <x:c r="X1778" s="20" t="n">
        <x:v>7.7</x:v>
      </x:c>
      <x:c r="Y1778" t="str">
        <x:v>Basis arsip 2025/2024</x:v>
      </x:c>
      <x:c r="Z1778" t="str">
        <x:v>https://snpmb.id/utbk-snbt/daya-tampung-snbt</x:v>
      </x:c>
      <x:c r="AA1778" t="str">
        <x:v>Seni Rupa, Desain, dan Kriya</x:v>
      </x:c>
      <x:c r="AB1778" t="str">
        <x:v>Campus=80; Ratio=20.9; Prodi=45; RelDemand=8.7; Capacity=68.3</x:v>
      </x:c>
    </x:row>
    <x:row r="1779">
      <x:c r="A1779" t="n">
        <x:v>1776</x:v>
      </x:c>
      <x:c r="B1779" t="str">
        <x:v>PTN Akademik</x:v>
      </x:c>
      <x:c r="C1779" t="str">
        <x:v>UNIVERSITAS NEGERI SEMARANG</x:v>
      </x:c>
      <x:c r="D1779" t="str">
        <x:v>SASTRA INDONESIA</x:v>
      </x:c>
      <x:c r="E1779" t="str">
        <x:v>Sarjana</x:v>
      </x:c>
      <x:c r="F1779" s="18" t="n">
        <x:v>30</x:v>
      </x:c>
      <x:c r="G1779" s="18" t="n">
        <x:v>212</x:v>
      </x:c>
      <x:c r="H1779" s="19" t="n">
        <x:v>7.066666666666666</x:v>
      </x:c>
      <x:c r="I1779" s="18" t="n">
        <x:f>ROUND(MIN(Model_Config_v3!$B$6,MAX(Q1779,R1779,S1779*Model_Config_v3!$B$4+T1779*Model_Config_v3!$B$5)),0)</x:f>
        <x:v>658</x:v>
      </x:c>
      <x:c r="J1779" s="18" t="n">
        <x:f>MIN(Model_Config_v3!$B$6,I1779+Model_Config_v3!$B$7)</x:f>
        <x:v>678</x:v>
      </x:c>
      <x:c r="K1779" s="20" t="n">
        <x:v>58.7</x:v>
      </x:c>
      <x:c r="L1779" t="str">
        <x:v>KETAT</x:v>
      </x:c>
      <x:c r="M1779" t="str">
        <x:v>SEDANG+</x:v>
      </x:c>
      <x:c r="N1779" t="str">
        <x:v>ELITE-3</x:v>
      </x:c>
      <x:c r="O1779" t="str">
        <x:v>SOSHUM</x:v>
      </x:c>
      <x:c r="P1779" t="str">
        <x:v>UMUM</x:v>
      </x:c>
      <x:c r="Q1779" s="18" t="n">
        <x:v>620</x:v>
      </x:c>
      <x:c r="R1779" s="18" t="n">
        <x:v>0</x:v>
      </x:c>
      <x:c r="S1779" s="18" t="n">
        <x:v>613.4136066829998</x:v>
      </x:c>
      <x:c r="T1779" s="18" t="n">
        <x:v>677</x:v>
      </x:c>
      <x:c r="U1779" s="18" t="n">
        <x:v>620</x:v>
      </x:c>
      <x:c r="V1779" s="20" t="n">
        <x:v>4.4</x:v>
      </x:c>
      <x:c r="W1779" s="20" t="n">
        <x:v>14.3</x:v>
      </x:c>
      <x:c r="X1779" s="20" t="n">
        <x:v>3.3</x:v>
      </x:c>
      <x:c r="Y1779" t="str">
        <x:v>Basis arsip 2025/2024</x:v>
      </x:c>
      <x:c r="Z1779" t="str">
        <x:v>https://snpmb.id/utbk-snbt/daya-tampung-snbt</x:v>
      </x:c>
      <x:c r="AA1779" t="str">
        <x:v>Tidak Ada</x:v>
      </x:c>
      <x:c r="AB1779" t="str">
        <x:v>Campus=80; Ratio=50.0; Prodi=40; RelDemand=27.1; Capacity=75.0</x:v>
      </x:c>
    </x:row>
    <x:row r="1780">
      <x:c r="A1780" t="n">
        <x:v>1777</x:v>
      </x:c>
      <x:c r="B1780" t="str">
        <x:v>PTN Akademik</x:v>
      </x:c>
      <x:c r="C1780" t="str">
        <x:v>UNIVERSITAS NEGERI SEMARANG</x:v>
      </x:c>
      <x:c r="D1780" t="str">
        <x:v>SASTRA INGGRIS</x:v>
      </x:c>
      <x:c r="E1780" t="str">
        <x:v>Sarjana</x:v>
      </x:c>
      <x:c r="F1780" s="18" t="n">
        <x:v>54</x:v>
      </x:c>
      <x:c r="G1780" s="18" t="n">
        <x:v>552</x:v>
      </x:c>
      <x:c r="H1780" s="19" t="n">
        <x:v>10.222222222222221</x:v>
      </x:c>
      <x:c r="I1780" s="18" t="n">
        <x:f>ROUND(MIN(Model_Config_v3!$B$6,MAX(Q1780,R1780,S1780*Model_Config_v3!$B$4+T1780*Model_Config_v3!$B$5)),0)</x:f>
        <x:v>666</x:v>
      </x:c>
      <x:c r="J1780" s="18" t="n">
        <x:f>MIN(Model_Config_v3!$B$6,I1780+Model_Config_v3!$B$7)</x:f>
        <x:v>686</x:v>
      </x:c>
      <x:c r="K1780" s="20" t="n">
        <x:v>60.3</x:v>
      </x:c>
      <x:c r="L1780" t="str">
        <x:v>KETAT</x:v>
      </x:c>
      <x:c r="M1780" t="str">
        <x:v>SEDANG+</x:v>
      </x:c>
      <x:c r="N1780" t="str">
        <x:v>ELITE-3</x:v>
      </x:c>
      <x:c r="O1780" t="str">
        <x:v>SOSHUM</x:v>
      </x:c>
      <x:c r="P1780" t="str">
        <x:v>UMUM</x:v>
      </x:c>
      <x:c r="Q1780" s="18" t="n">
        <x:v>620</x:v>
      </x:c>
      <x:c r="R1780" s="18" t="n">
        <x:v>0</x:v>
      </x:c>
      <x:c r="S1780" s="18" t="n">
        <x:v>631.0499849696853</x:v>
      </x:c>
      <x:c r="T1780" s="18" t="n">
        <x:v>681</x:v>
      </x:c>
      <x:c r="U1780" s="18" t="n">
        <x:v>631.0499849696853</x:v>
      </x:c>
      <x:c r="V1780" s="20" t="n">
        <x:v>4.4</x:v>
      </x:c>
      <x:c r="W1780" s="20" t="n">
        <x:v>14.3</x:v>
      </x:c>
      <x:c r="X1780" s="20" t="n">
        <x:v>3.3</x:v>
      </x:c>
      <x:c r="Y1780" t="str">
        <x:v>Basis arsip 2025/2024</x:v>
      </x:c>
      <x:c r="Z1780" t="str">
        <x:v>https://snpmb.id/utbk-snbt/daya-tampung-snbt</x:v>
      </x:c>
      <x:c r="AA1780" t="str">
        <x:v>Tidak Ada</x:v>
      </x:c>
      <x:c r="AB1780" t="str">
        <x:v>Campus=80; Ratio=59.4; Prodi=40; RelDemand=39.3; Capacity=55.0</x:v>
      </x:c>
    </x:row>
    <x:row r="1781">
      <x:c r="A1781" t="n">
        <x:v>1778</x:v>
      </x:c>
      <x:c r="B1781" t="str">
        <x:v>PTN Akademik</x:v>
      </x:c>
      <x:c r="C1781" t="str">
        <x:v>UNIVERSITAS NEGERI SEMARANG</x:v>
      </x:c>
      <x:c r="D1781" t="str">
        <x:v>SASTRA PRANCIS</x:v>
      </x:c>
      <x:c r="E1781" t="str">
        <x:v>Sarjana</x:v>
      </x:c>
      <x:c r="F1781" s="18" t="n">
        <x:v>36</x:v>
      </x:c>
      <x:c r="G1781" s="18" t="n">
        <x:v>74</x:v>
      </x:c>
      <x:c r="H1781" s="19" t="n">
        <x:v>2.0555555555555554</x:v>
      </x:c>
      <x:c r="I1781" s="18" t="n">
        <x:f>ROUND(MIN(Model_Config_v3!$B$6,MAX(Q1781,R1781,S1781*Model_Config_v3!$B$4+T1781*Model_Config_v3!$B$5)),0)</x:f>
        <x:v>626</x:v>
      </x:c>
      <x:c r="J1781" s="18" t="n">
        <x:f>MIN(Model_Config_v3!$B$6,I1781+Model_Config_v3!$B$7)</x:f>
        <x:v>646</x:v>
      </x:c>
      <x:c r="K1781" s="20" t="n">
        <x:v>48.4</x:v>
      </x:c>
      <x:c r="L1781" t="str">
        <x:v>MENENGAH</x:v>
      </x:c>
      <x:c r="M1781" t="str">
        <x:v>SEDANG+</x:v>
      </x:c>
      <x:c r="N1781" t="str">
        <x:v>ELITE-3</x:v>
      </x:c>
      <x:c r="O1781" t="str">
        <x:v>SOSHUM</x:v>
      </x:c>
      <x:c r="P1781" t="str">
        <x:v>UMUM</x:v>
      </x:c>
      <x:c r="Q1781" s="18" t="n">
        <x:v>620</x:v>
      </x:c>
      <x:c r="R1781" s="18" t="n">
        <x:v>0</x:v>
      </x:c>
      <x:c r="S1781" s="18" t="n">
        <x:v>554.4222140860057</x:v>
      </x:c>
      <x:c r="T1781" s="18" t="n">
        <x:v>657</x:v>
      </x:c>
      <x:c r="U1781" s="18" t="n">
        <x:v>620</x:v>
      </x:c>
      <x:c r="V1781" s="20" t="n">
        <x:v>4.4</x:v>
      </x:c>
      <x:c r="W1781" s="20" t="n">
        <x:v>14.3</x:v>
      </x:c>
      <x:c r="X1781" s="20" t="n">
        <x:v>3.3</x:v>
      </x:c>
      <x:c r="Y1781" t="str">
        <x:v>Basis arsip 2025/2024</x:v>
      </x:c>
      <x:c r="Z1781" t="str">
        <x:v>https://snpmb.id/utbk-snbt/daya-tampung-snbt</x:v>
      </x:c>
      <x:c r="AA1781" t="str">
        <x:v>Tidak Ada</x:v>
      </x:c>
      <x:c r="AB1781" t="str">
        <x:v>Campus=80; Ratio=18.4; Prodi=40; RelDemand=7.9; Capacity=70.0</x:v>
      </x:c>
    </x:row>
    <x:row r="1782">
      <x:c r="A1782" t="n">
        <x:v>1779</x:v>
      </x:c>
      <x:c r="B1782" t="str">
        <x:v>PTN Akademik</x:v>
      </x:c>
      <x:c r="C1782" t="str">
        <x:v>UNIVERSITAS NEGERI SEMARANG</x:v>
      </x:c>
      <x:c r="D1782" t="str">
        <x:v>ILMU SEJARAH</x:v>
      </x:c>
      <x:c r="E1782" t="str">
        <x:v>Sarjana</x:v>
      </x:c>
      <x:c r="F1782" s="18" t="n">
        <x:v>30</x:v>
      </x:c>
      <x:c r="G1782" s="18" t="n">
        <x:v>222</x:v>
      </x:c>
      <x:c r="H1782" s="19" t="n">
        <x:v>7.4</x:v>
      </x:c>
      <x:c r="I1782" s="18" t="n">
        <x:f>ROUND(MIN(Model_Config_v3!$B$6,MAX(Q1782,R1782,S1782*Model_Config_v3!$B$4+T1782*Model_Config_v3!$B$5)),0)</x:f>
        <x:v>659</x:v>
      </x:c>
      <x:c r="J1782" s="18" t="n">
        <x:f>MIN(Model_Config_v3!$B$6,I1782+Model_Config_v3!$B$7)</x:f>
        <x:v>679</x:v>
      </x:c>
      <x:c r="K1782" s="20" t="n">
        <x:v>59.1</x:v>
      </x:c>
      <x:c r="L1782" t="str">
        <x:v>KETAT</x:v>
      </x:c>
      <x:c r="M1782" t="str">
        <x:v>SEDANG+</x:v>
      </x:c>
      <x:c r="N1782" t="str">
        <x:v>ELITE-3</x:v>
      </x:c>
      <x:c r="O1782" t="str">
        <x:v>SOSHUM</x:v>
      </x:c>
      <x:c r="P1782" t="str">
        <x:v>UMUM</x:v>
      </x:c>
      <x:c r="Q1782" s="18" t="n">
        <x:v>620</x:v>
      </x:c>
      <x:c r="R1782" s="18" t="n">
        <x:v>0</x:v>
      </x:c>
      <x:c r="S1782" s="18" t="n">
        <x:v>615.6154891704074</x:v>
      </x:c>
      <x:c r="T1782" s="18" t="n">
        <x:v>678</x:v>
      </x:c>
      <x:c r="U1782" s="18" t="n">
        <x:v>620</x:v>
      </x:c>
      <x:c r="V1782" s="20" t="n">
        <x:v>4.4</x:v>
      </x:c>
      <x:c r="W1782" s="20" t="n">
        <x:v>14.3</x:v>
      </x:c>
      <x:c r="X1782" s="20" t="n">
        <x:v>3.3</x:v>
      </x:c>
      <x:c r="Y1782" t="str">
        <x:v>Basis arsip 2025/2024</x:v>
      </x:c>
      <x:c r="Z1782" t="str">
        <x:v>https://snpmb.id/utbk-snbt/daya-tampung-snbt</x:v>
      </x:c>
      <x:c r="AA1782" t="str">
        <x:v>Tidak Ada</x:v>
      </x:c>
      <x:c r="AB1782" t="str">
        <x:v>Campus=80; Ratio=51.2; Prodi=40; RelDemand=28.4; Capacity=75.0</x:v>
      </x:c>
    </x:row>
    <x:row r="1783">
      <x:c r="A1783" t="n">
        <x:v>1780</x:v>
      </x:c>
      <x:c r="B1783" t="str">
        <x:v>PTN Akademik</x:v>
      </x:c>
      <x:c r="C1783" t="str">
        <x:v>UNIVERSITAS NEGERI SEMARANG</x:v>
      </x:c>
      <x:c r="D1783" t="str">
        <x:v>SASTRA JAWA</x:v>
      </x:c>
      <x:c r="E1783" t="str">
        <x:v>Sarjana</x:v>
      </x:c>
      <x:c r="F1783" s="18" t="n">
        <x:v>20</x:v>
      </x:c>
      <x:c r="G1783" s="18" t="n">
        <x:v>72</x:v>
      </x:c>
      <x:c r="H1783" s="19" t="n">
        <x:v>3.6</x:v>
      </x:c>
      <x:c r="I1783" s="18" t="n">
        <x:f>ROUND(MIN(Model_Config_v3!$B$6,MAX(Q1783,R1783,S1783*Model_Config_v3!$B$4+T1783*Model_Config_v3!$B$5)),0)</x:f>
        <x:v>642</x:v>
      </x:c>
      <x:c r="J1783" s="18" t="n">
        <x:f>MIN(Model_Config_v3!$B$6,I1783+Model_Config_v3!$B$7)</x:f>
        <x:v>662</x:v>
      </x:c>
      <x:c r="K1783" s="20" t="n">
        <x:v>53.9</x:v>
      </x:c>
      <x:c r="L1783" t="str">
        <x:v>MENENGAH</x:v>
      </x:c>
      <x:c r="M1783" t="str">
        <x:v>SEDANG+</x:v>
      </x:c>
      <x:c r="N1783" t="str">
        <x:v>ELITE-3</x:v>
      </x:c>
      <x:c r="O1783" t="str">
        <x:v>SOSHUM</x:v>
      </x:c>
      <x:c r="P1783" t="str">
        <x:v>UMUM</x:v>
      </x:c>
      <x:c r="Q1783" s="18" t="n">
        <x:v>620</x:v>
      </x:c>
      <x:c r="R1783" s="18" t="n">
        <x:v>0</x:v>
      </x:c>
      <x:c r="S1783" s="18" t="n">
        <x:v>581.1932750844015</x:v>
      </x:c>
      <x:c r="T1783" s="18" t="n">
        <x:v>668</x:v>
      </x:c>
      <x:c r="U1783" s="18" t="n">
        <x:v>620</x:v>
      </x:c>
      <x:c r="V1783" s="20" t="n">
        <x:v>4.4</x:v>
      </x:c>
      <x:c r="W1783" s="20" t="n">
        <x:v>14.3</x:v>
      </x:c>
      <x:c r="X1783" s="20" t="n">
        <x:v>3.3</x:v>
      </x:c>
      <x:c r="Y1783" t="str">
        <x:v>Basis arsip 2025/2024</x:v>
      </x:c>
      <x:c r="Z1783" t="str">
        <x:v>https://snpmb.id/utbk-snbt/daya-tampung-snbt</x:v>
      </x:c>
      <x:c r="AA1783" t="str">
        <x:v>Tidak Ada</x:v>
      </x:c>
      <x:c r="AB1783" t="str">
        <x:v>Campus=80; Ratio=32.7; Prodi=40; RelDemand=13.8; Capacity=83.3</x:v>
      </x:c>
    </x:row>
    <x:row r="1784">
      <x:c r="A1784" t="n">
        <x:v>1781</x:v>
      </x:c>
      <x:c r="B1784" t="str">
        <x:v>PTN Akademik</x:v>
      </x:c>
      <x:c r="C1784" t="str">
        <x:v>UNIVERSITAS NEGERI SEMARANG</x:v>
      </x:c>
      <x:c r="D1784" t="str">
        <x:v>PENDIDIKAN BAHASA DAN SASTRA JAWA</x:v>
      </x:c>
      <x:c r="E1784" t="str">
        <x:v>Sarjana</x:v>
      </x:c>
      <x:c r="F1784" s="18" t="n">
        <x:v>40</x:v>
      </x:c>
      <x:c r="G1784" s="18" t="n">
        <x:v>228</x:v>
      </x:c>
      <x:c r="H1784" s="19" t="n">
        <x:v>5.7</x:v>
      </x:c>
      <x:c r="I1784" s="18" t="n">
        <x:f>ROUND(MIN(Model_Config_v3!$B$6,MAX(Q1784,R1784,S1784*Model_Config_v3!$B$4+T1784*Model_Config_v3!$B$5)),0)</x:f>
        <x:v>653</x:v>
      </x:c>
      <x:c r="J1784" s="18" t="n">
        <x:f>MIN(Model_Config_v3!$B$6,I1784+Model_Config_v3!$B$7)</x:f>
        <x:v>673</x:v>
      </x:c>
      <x:c r="K1784" s="20" t="n">
        <x:v>57</x:v>
      </x:c>
      <x:c r="L1784" t="str">
        <x:v>KETAT</x:v>
      </x:c>
      <x:c r="M1784" t="str">
        <x:v>SEDANG+</x:v>
      </x:c>
      <x:c r="N1784" t="str">
        <x:v>ELITE-3</x:v>
      </x:c>
      <x:c r="O1784" t="str">
        <x:v>SOSHUM</x:v>
      </x:c>
      <x:c r="P1784" t="str">
        <x:v>PENDIDIKAN</x:v>
      </x:c>
      <x:c r="Q1784" s="18" t="n">
        <x:v>620</x:v>
      </x:c>
      <x:c r="R1784" s="18" t="n">
        <x:v>0</x:v>
      </x:c>
      <x:c r="S1784" s="18" t="n">
        <x:v>603.1462341239741</x:v>
      </x:c>
      <x:c r="T1784" s="18" t="n">
        <x:v>674</x:v>
      </x:c>
      <x:c r="U1784" s="18" t="n">
        <x:v>620</x:v>
      </x:c>
      <x:c r="V1784" s="20" t="n">
        <x:v>4.4</x:v>
      </x:c>
      <x:c r="W1784" s="20" t="n">
        <x:v>14.3</x:v>
      </x:c>
      <x:c r="X1784" s="20" t="n">
        <x:v>3.3</x:v>
      </x:c>
      <x:c r="Y1784" t="str">
        <x:v>Basis arsip 2025/2024</x:v>
      </x:c>
      <x:c r="Z1784" t="str">
        <x:v>https://snpmb.id/utbk-snbt/daya-tampung-snbt</x:v>
      </x:c>
      <x:c r="AA1784" t="str">
        <x:v>Tidak Ada</x:v>
      </x:c>
      <x:c r="AB1784" t="str">
        <x:v>Campus=80; Ratio=44.5; Prodi=45; RelDemand=21.9; Capacity=66.7</x:v>
      </x:c>
    </x:row>
    <x:row r="1785">
      <x:c r="A1785" t="n">
        <x:v>1782</x:v>
      </x:c>
      <x:c r="B1785" t="str">
        <x:v>PTN Akademik</x:v>
      </x:c>
      <x:c r="C1785" t="str">
        <x:v>UNIVERSITAS NEGERI SEMARANG</x:v>
      </x:c>
      <x:c r="D1785" t="str">
        <x:v>P. SENI DRAMA, TARI &amp; MUSIK (P. SENI TARI)</x:v>
      </x:c>
      <x:c r="E1785" t="str">
        <x:v>Sarjana</x:v>
      </x:c>
      <x:c r="F1785" s="18" t="n">
        <x:v>30</x:v>
      </x:c>
      <x:c r="G1785" s="18" t="n">
        <x:v>109</x:v>
      </x:c>
      <x:c r="H1785" s="19" t="n">
        <x:v>3.6333333333333333</x:v>
      </x:c>
      <x:c r="I1785" s="18" t="n">
        <x:f>ROUND(MIN(Model_Config_v3!$B$6,MAX(Q1785,R1785,S1785*Model_Config_v3!$B$4+T1785*Model_Config_v3!$B$5)),0)</x:f>
        <x:v>642</x:v>
      </x:c>
      <x:c r="J1785" s="18" t="n">
        <x:f>MIN(Model_Config_v3!$B$6,I1785+Model_Config_v3!$B$7)</x:f>
        <x:v>662</x:v>
      </x:c>
      <x:c r="K1785" s="20" t="n">
        <x:v>54.1</x:v>
      </x:c>
      <x:c r="L1785" t="str">
        <x:v>MENENGAH</x:v>
      </x:c>
      <x:c r="M1785" t="str">
        <x:v>PORTOFOLIO</x:v>
      </x:c>
      <x:c r="N1785" t="str">
        <x:v>ELITE-3</x:v>
      </x:c>
      <x:c r="O1785" t="str">
        <x:v>SENI/OLAHRAGA</x:v>
      </x:c>
      <x:c r="P1785" t="str">
        <x:v>SENI/OLAHRAGA</x:v>
      </x:c>
      <x:c r="Q1785" s="18" t="n">
        <x:v>620</x:v>
      </x:c>
      <x:c r="R1785" s="18" t="n">
        <x:v>0</x:v>
      </x:c>
      <x:c r="S1785" s="18" t="n">
        <x:v>581.6335767543058</x:v>
      </x:c>
      <x:c r="T1785" s="18" t="n">
        <x:v>668</x:v>
      </x:c>
      <x:c r="U1785" s="18" t="n">
        <x:v>620</x:v>
      </x:c>
      <x:c r="V1785" s="20" t="n">
        <x:v>4.4</x:v>
      </x:c>
      <x:c r="W1785" s="20" t="n">
        <x:v>9.9</x:v>
      </x:c>
      <x:c r="X1785" s="20" t="n">
        <x:v>7.7</x:v>
      </x:c>
      <x:c r="Y1785" t="str">
        <x:v>Basis arsip 2025/2024</x:v>
      </x:c>
      <x:c r="Z1785" t="str">
        <x:v>https://snpmb.id/utbk-snbt/daya-tampung-snbt</x:v>
      </x:c>
      <x:c r="AA1785" t="str">
        <x:v>Tari</x:v>
      </x:c>
      <x:c r="AB1785" t="str">
        <x:v>Campus=80; Ratio=33.0; Prodi=45; RelDemand=14.0; Capacity=75.0</x:v>
      </x:c>
    </x:row>
    <x:row r="1786">
      <x:c r="A1786" t="n">
        <x:v>1783</x:v>
      </x:c>
      <x:c r="B1786" t="str">
        <x:v>PTN Akademik</x:v>
      </x:c>
      <x:c r="C1786" t="str">
        <x:v>UNIVERSITAS NEGERI SEMARANG</x:v>
      </x:c>
      <x:c r="D1786" t="str">
        <x:v>P. SENI DRAMA, TARI &amp; MUSIK (P. SENI MUSIK)</x:v>
      </x:c>
      <x:c r="E1786" t="str">
        <x:v>Sarjana</x:v>
      </x:c>
      <x:c r="F1786" s="18" t="n">
        <x:v>35</x:v>
      </x:c>
      <x:c r="G1786" s="18" t="n">
        <x:v>78</x:v>
      </x:c>
      <x:c r="H1786" s="19" t="n">
        <x:v>2.2285714285714286</x:v>
      </x:c>
      <x:c r="I1786" s="18" t="n">
        <x:f>ROUND(MIN(Model_Config_v3!$B$6,MAX(Q1786,R1786,S1786*Model_Config_v3!$B$4+T1786*Model_Config_v3!$B$5)),0)</x:f>
        <x:v>629</x:v>
      </x:c>
      <x:c r="J1786" s="18" t="n">
        <x:f>MIN(Model_Config_v3!$B$6,I1786+Model_Config_v3!$B$7)</x:f>
        <x:v>649</x:v>
      </x:c>
      <x:c r="K1786" s="20" t="n">
        <x:v>50.1</x:v>
      </x:c>
      <x:c r="L1786" t="str">
        <x:v>MENENGAH</x:v>
      </x:c>
      <x:c r="M1786" t="str">
        <x:v>PORTOFOLIO</x:v>
      </x:c>
      <x:c r="N1786" t="str">
        <x:v>ELITE-3</x:v>
      </x:c>
      <x:c r="O1786" t="str">
        <x:v>SENI/OLAHRAGA</x:v>
      </x:c>
      <x:c r="P1786" t="str">
        <x:v>SENI/OLAHRAGA</x:v>
      </x:c>
      <x:c r="Q1786" s="18" t="n">
        <x:v>620</x:v>
      </x:c>
      <x:c r="R1786" s="18" t="n">
        <x:v>0</x:v>
      </x:c>
      <x:c r="S1786" s="18" t="n">
        <x:v>558.2829214174225</x:v>
      </x:c>
      <x:c r="T1786" s="18" t="n">
        <x:v>660</x:v>
      </x:c>
      <x:c r="U1786" s="18" t="n">
        <x:v>620</x:v>
      </x:c>
      <x:c r="V1786" s="20" t="n">
        <x:v>4.4</x:v>
      </x:c>
      <x:c r="W1786" s="20" t="n">
        <x:v>9.9</x:v>
      </x:c>
      <x:c r="X1786" s="20" t="n">
        <x:v>7.7</x:v>
      </x:c>
      <x:c r="Y1786" t="str">
        <x:v>Basis arsip 2025/2024</x:v>
      </x:c>
      <x:c r="Z1786" t="str">
        <x:v>https://snpmb.id/utbk-snbt/daya-tampung-snbt</x:v>
      </x:c>
      <x:c r="AA1786" t="str">
        <x:v>Musik</x:v>
      </x:c>
      <x:c r="AB1786" t="str">
        <x:v>Campus=80; Ratio=20.5; Prodi=45; RelDemand=8.6; Capacity=70.8</x:v>
      </x:c>
    </x:row>
    <x:row r="1787">
      <x:c r="A1787" t="n">
        <x:v>1784</x:v>
      </x:c>
      <x:c r="B1787" t="str">
        <x:v>PTN Akademik</x:v>
      </x:c>
      <x:c r="C1787" t="str">
        <x:v>UNIVERSITAS NEGERI SEMARANG</x:v>
      </x:c>
      <x:c r="D1787" t="str">
        <x:v>PENDIDIKAN BAHASA JEPANG</x:v>
      </x:c>
      <x:c r="E1787" t="str">
        <x:v>Sarjana</x:v>
      </x:c>
      <x:c r="F1787" s="18" t="n">
        <x:v>30</x:v>
      </x:c>
      <x:c r="G1787" s="18" t="n">
        <x:v>278</x:v>
      </x:c>
      <x:c r="H1787" s="19" t="n">
        <x:v>9.266666666666667</x:v>
      </x:c>
      <x:c r="I1787" s="18" t="n">
        <x:f>ROUND(MIN(Model_Config_v3!$B$6,MAX(Q1787,R1787,S1787*Model_Config_v3!$B$4+T1787*Model_Config_v3!$B$5)),0)</x:f>
        <x:v>667</x:v>
      </x:c>
      <x:c r="J1787" s="18" t="n">
        <x:f>MIN(Model_Config_v3!$B$6,I1787+Model_Config_v3!$B$7)</x:f>
        <x:v>687</x:v>
      </x:c>
      <x:c r="K1787" s="20" t="n">
        <x:v>62.3</x:v>
      </x:c>
      <x:c r="L1787" t="str">
        <x:v>KETAT</x:v>
      </x:c>
      <x:c r="M1787" t="str">
        <x:v>SEDANG+</x:v>
      </x:c>
      <x:c r="N1787" t="str">
        <x:v>ELITE-3</x:v>
      </x:c>
      <x:c r="O1787" t="str">
        <x:v>SOSHUM</x:v>
      </x:c>
      <x:c r="P1787" t="str">
        <x:v>PENDIDIKAN</x:v>
      </x:c>
      <x:c r="Q1787" s="18" t="n">
        <x:v>620</x:v>
      </x:c>
      <x:c r="R1787" s="18" t="n">
        <x:v>0</x:v>
      </x:c>
      <x:c r="S1787" s="18" t="n">
        <x:v>626.3615895318255</x:v>
      </x:c>
      <x:c r="T1787" s="18" t="n">
        <x:v>685</x:v>
      </x:c>
      <x:c r="U1787" s="18" t="n">
        <x:v>626.3615895318255</x:v>
      </x:c>
      <x:c r="V1787" s="20" t="n">
        <x:v>4.4</x:v>
      </x:c>
      <x:c r="W1787" s="20" t="n">
        <x:v>14.3</x:v>
      </x:c>
      <x:c r="X1787" s="20" t="n">
        <x:v>3.3</x:v>
      </x:c>
      <x:c r="Y1787" t="str">
        <x:v>Basis arsip 2025/2024</x:v>
      </x:c>
      <x:c r="Z1787" t="str">
        <x:v>https://snpmb.id/utbk-snbt/daya-tampung-snbt</x:v>
      </x:c>
      <x:c r="AA1787" t="str">
        <x:v>Tidak Ada</x:v>
      </x:c>
      <x:c r="AB1787" t="str">
        <x:v>Campus=80; Ratio=56.9; Prodi=45; RelDemand=35.6; Capacity=75.0</x:v>
      </x:c>
    </x:row>
    <x:row r="1788">
      <x:c r="A1788" t="n">
        <x:v>1785</x:v>
      </x:c>
      <x:c r="B1788" t="str">
        <x:v>PTN Akademik</x:v>
      </x:c>
      <x:c r="C1788" t="str">
        <x:v>UNIVERSITAS NEGERI SEMARANG</x:v>
      </x:c>
      <x:c r="D1788" t="str">
        <x:v>PENDIDIKAN BAHASA ARAB</x:v>
      </x:c>
      <x:c r="E1788" t="str">
        <x:v>Sarjana</x:v>
      </x:c>
      <x:c r="F1788" s="18" t="n">
        <x:v>38</x:v>
      </x:c>
      <x:c r="G1788" s="18" t="n">
        <x:v>222</x:v>
      </x:c>
      <x:c r="H1788" s="19" t="n">
        <x:v>5.842105263157895</x:v>
      </x:c>
      <x:c r="I1788" s="18" t="n">
        <x:f>ROUND(MIN(Model_Config_v3!$B$6,MAX(Q1788,R1788,S1788*Model_Config_v3!$B$4+T1788*Model_Config_v3!$B$5)),0)</x:f>
        <x:v>654</x:v>
      </x:c>
      <x:c r="J1788" s="18" t="n">
        <x:f>MIN(Model_Config_v3!$B$6,I1788+Model_Config_v3!$B$7)</x:f>
        <x:v>674</x:v>
      </x:c>
      <x:c r="K1788" s="20" t="n">
        <x:v>57.4</x:v>
      </x:c>
      <x:c r="L1788" t="str">
        <x:v>KETAT</x:v>
      </x:c>
      <x:c r="M1788" t="str">
        <x:v>SEDANG+</x:v>
      </x:c>
      <x:c r="N1788" t="str">
        <x:v>ELITE-3</x:v>
      </x:c>
      <x:c r="O1788" t="str">
        <x:v>SOSHUM</x:v>
      </x:c>
      <x:c r="P1788" t="str">
        <x:v>PENDIDIKAN</x:v>
      </x:c>
      <x:c r="Q1788" s="18" t="n">
        <x:v>620</x:v>
      </x:c>
      <x:c r="R1788" s="18" t="n">
        <x:v>0</x:v>
      </x:c>
      <x:c r="S1788" s="18" t="n">
        <x:v>604.3226315617211</x:v>
      </x:c>
      <x:c r="T1788" s="18" t="n">
        <x:v>675</x:v>
      </x:c>
      <x:c r="U1788" s="18" t="n">
        <x:v>620</x:v>
      </x:c>
      <x:c r="V1788" s="20" t="n">
        <x:v>4.4</x:v>
      </x:c>
      <x:c r="W1788" s="20" t="n">
        <x:v>14.3</x:v>
      </x:c>
      <x:c r="X1788" s="20" t="n">
        <x:v>3.3</x:v>
      </x:c>
      <x:c r="Y1788" t="str">
        <x:v>Basis arsip 2025/2024</x:v>
      </x:c>
      <x:c r="Z1788" t="str">
        <x:v>https://snpmb.id/utbk-snbt/daya-tampung-snbt</x:v>
      </x:c>
      <x:c r="AA1788" t="str">
        <x:v>Tidak Ada</x:v>
      </x:c>
      <x:c r="AB1788" t="str">
        <x:v>Campus=80; Ratio=45.1; Prodi=45; RelDemand=22.4; Capacity=68.3</x:v>
      </x:c>
    </x:row>
    <x:row r="1789">
      <x:c r="A1789" t="n">
        <x:v>1786</x:v>
      </x:c>
      <x:c r="B1789" t="str">
        <x:v>PTN Akademik</x:v>
      </x:c>
      <x:c r="C1789" t="str">
        <x:v>UNIVERSITAS NEGERI SEMARANG</x:v>
      </x:c>
      <x:c r="D1789" t="str">
        <x:v>PENDIDIKAN GURU SEKOLAH DASAR</x:v>
      </x:c>
      <x:c r="E1789" t="str">
        <x:v>Sarjana</x:v>
      </x:c>
      <x:c r="F1789" s="18" t="n">
        <x:v>176</x:v>
      </x:c>
      <x:c r="G1789" s="18" t="n">
        <x:v>2304</x:v>
      </x:c>
      <x:c r="H1789" s="19" t="n">
        <x:v>13.090909090909092</x:v>
      </x:c>
      <x:c r="I1789" s="18" t="n">
        <x:f>ROUND(MIN(Model_Config_v3!$B$6,MAX(Q1789,R1789,S1789*Model_Config_v3!$B$4+T1789*Model_Config_v3!$B$5)),0)</x:f>
        <x:v>667</x:v>
      </x:c>
      <x:c r="J1789" s="18" t="n">
        <x:f>MIN(Model_Config_v3!$B$6,I1789+Model_Config_v3!$B$7)</x:f>
        <x:v>687</x:v>
      </x:c>
      <x:c r="K1789" s="20" t="n">
        <x:v>58.5</x:v>
      </x:c>
      <x:c r="L1789" t="str">
        <x:v>KETAT</x:v>
      </x:c>
      <x:c r="M1789" t="str">
        <x:v>SEDANG+</x:v>
      </x:c>
      <x:c r="N1789" t="str">
        <x:v>ELITE-3</x:v>
      </x:c>
      <x:c r="O1789" t="str">
        <x:v>CAMPURAN</x:v>
      </x:c>
      <x:c r="P1789" t="str">
        <x:v>PENDIDIKAN</x:v>
      </x:c>
      <x:c r="Q1789" s="18" t="n">
        <x:v>620</x:v>
      </x:c>
      <x:c r="R1789" s="18" t="n">
        <x:v>0</x:v>
      </x:c>
      <x:c r="S1789" s="18" t="n">
        <x:v>642.8666787630727</x:v>
      </x:c>
      <x:c r="T1789" s="18" t="n">
        <x:v>677</x:v>
      </x:c>
      <x:c r="U1789" s="18" t="n">
        <x:v>642.8666787630727</x:v>
      </x:c>
      <x:c r="V1789" s="20" t="n">
        <x:v>8.8</x:v>
      </x:c>
      <x:c r="W1789" s="20" t="n">
        <x:v>9.9</x:v>
      </x:c>
      <x:c r="X1789" s="20" t="n">
        <x:v>3.3</x:v>
      </x:c>
      <x:c r="Y1789" t="str">
        <x:v>Basis arsip 2025/2024</x:v>
      </x:c>
      <x:c r="Z1789" t="str">
        <x:v>https://snpmb.id/utbk-snbt/daya-tampung-snbt</x:v>
      </x:c>
      <x:c r="AA1789" t="str">
        <x:v>Tidak Ada</x:v>
      </x:c>
      <x:c r="AB1789" t="str">
        <x:v>Campus=80; Ratio=65.7; Prodi=45; RelDemand=50.3; Capacity=0.0</x:v>
      </x:c>
    </x:row>
    <x:row r="1790">
      <x:c r="A1790" t="n">
        <x:v>1787</x:v>
      </x:c>
      <x:c r="B1790" t="str">
        <x:v>PTN Akademik</x:v>
      </x:c>
      <x:c r="C1790" t="str">
        <x:v>UNIVERSITAS NEGERI SEMARANG</x:v>
      </x:c>
      <x:c r="D1790" t="str">
        <x:v>PEND.GURU PEND. ANAK USIA DINI (PGPAUD)</x:v>
      </x:c>
      <x:c r="E1790" t="str">
        <x:v>Sarjana</x:v>
      </x:c>
      <x:c r="F1790" s="18" t="n">
        <x:v>53</x:v>
      </x:c>
      <x:c r="G1790" s="18" t="n">
        <x:v>230</x:v>
      </x:c>
      <x:c r="H1790" s="19" t="n">
        <x:v>4.339622641509434</x:v>
      </x:c>
      <x:c r="I1790" s="18" t="n">
        <x:f>ROUND(MIN(Model_Config_v3!$B$6,MAX(Q1790,R1790,S1790*Model_Config_v3!$B$4+T1790*Model_Config_v3!$B$5)),0)</x:f>
        <x:v>643</x:v>
      </x:c>
      <x:c r="J1790" s="18" t="n">
        <x:f>MIN(Model_Config_v3!$B$6,I1790+Model_Config_v3!$B$7)</x:f>
        <x:v>663</x:v>
      </x:c>
      <x:c r="K1790" s="20" t="n">
        <x:v>52.6</x:v>
      </x:c>
      <x:c r="L1790" t="str">
        <x:v>MENENGAH</x:v>
      </x:c>
      <x:c r="M1790" t="str">
        <x:v>SEDANG+</x:v>
      </x:c>
      <x:c r="N1790" t="str">
        <x:v>ELITE-3</x:v>
      </x:c>
      <x:c r="O1790" t="str">
        <x:v>CAMPURAN</x:v>
      </x:c>
      <x:c r="P1790" t="str">
        <x:v>UMUM</x:v>
      </x:c>
      <x:c r="Q1790" s="18" t="n">
        <x:v>620</x:v>
      </x:c>
      <x:c r="R1790" s="18" t="n">
        <x:v>0</x:v>
      </x:c>
      <x:c r="S1790" s="18" t="n">
        <x:v>590.1197163058484</x:v>
      </x:c>
      <x:c r="T1790" s="18" t="n">
        <x:v>665</x:v>
      </x:c>
      <x:c r="U1790" s="18" t="n">
        <x:v>620</x:v>
      </x:c>
      <x:c r="V1790" s="20" t="n">
        <x:v>8.8</x:v>
      </x:c>
      <x:c r="W1790" s="20" t="n">
        <x:v>9.9</x:v>
      </x:c>
      <x:c r="X1790" s="20" t="n">
        <x:v>3.3</x:v>
      </x:c>
      <x:c r="Y1790" t="str">
        <x:v>Basis arsip 2025/2024</x:v>
      </x:c>
      <x:c r="Z1790" t="str">
        <x:v>https://snpmb.id/utbk-snbt/daya-tampung-snbt</x:v>
      </x:c>
      <x:c r="AA1790" t="str">
        <x:v>Tidak Ada</x:v>
      </x:c>
      <x:c r="AB1790" t="str">
        <x:v>Campus=80; Ratio=37.5; Prodi=40; RelDemand=16.7; Capacity=55.8</x:v>
      </x:c>
    </x:row>
    <x:row r="1791">
      <x:c r="A1791" t="n">
        <x:v>1788</x:v>
      </x:c>
      <x:c r="B1791" t="str">
        <x:v>PTN Akademik</x:v>
      </x:c>
      <x:c r="C1791" t="str">
        <x:v>UNIVERSITAS NEGERI SEMARANG</x:v>
      </x:c>
      <x:c r="D1791" t="str">
        <x:v>PENDIDIKAN TATA KECANTIKAN</x:v>
      </x:c>
      <x:c r="E1791" t="str">
        <x:v>Sarjana</x:v>
      </x:c>
      <x:c r="F1791" s="18" t="n">
        <x:v>30</x:v>
      </x:c>
      <x:c r="G1791" s="18" t="n">
        <x:v>431</x:v>
      </x:c>
      <x:c r="H1791" s="19" t="n">
        <x:v>14.366666666666667</x:v>
      </x:c>
      <x:c r="I1791" s="18" t="n">
        <x:f>ROUND(MIN(Model_Config_v3!$B$6,MAX(Q1791,R1791,S1791*Model_Config_v3!$B$4+T1791*Model_Config_v3!$B$5)),0)</x:f>
        <x:v>680</x:v>
      </x:c>
      <x:c r="J1791" s="18" t="n">
        <x:f>MIN(Model_Config_v3!$B$6,I1791+Model_Config_v3!$B$7)</x:f>
        <x:v>700</x:v>
      </x:c>
      <x:c r="K1791" s="20" t="n">
        <x:v>67</x:v>
      </x:c>
      <x:c r="L1791" t="str">
        <x:v>SANGAT KETAT</x:v>
      </x:c>
      <x:c r="M1791" t="str">
        <x:v>SEDANG+</x:v>
      </x:c>
      <x:c r="N1791" t="str">
        <x:v>ELITE-3</x:v>
      </x:c>
      <x:c r="O1791" t="str">
        <x:v>CAMPURAN</x:v>
      </x:c>
      <x:c r="P1791" t="str">
        <x:v>PENDIDIKAN</x:v>
      </x:c>
      <x:c r="Q1791" s="18" t="n">
        <x:v>620</x:v>
      </x:c>
      <x:c r="R1791" s="18" t="n">
        <x:v>0</x:v>
      </x:c>
      <x:c r="S1791" s="18" t="n">
        <x:v>647.3091616985176</x:v>
      </x:c>
      <x:c r="T1791" s="18" t="n">
        <x:v>694</x:v>
      </x:c>
      <x:c r="U1791" s="18" t="n">
        <x:v>647.3091616985176</x:v>
      </x:c>
      <x:c r="V1791" s="20" t="n">
        <x:v>8.8</x:v>
      </x:c>
      <x:c r="W1791" s="20" t="n">
        <x:v>9.9</x:v>
      </x:c>
      <x:c r="X1791" s="20" t="n">
        <x:v>3.3</x:v>
      </x:c>
      <x:c r="Y1791" t="str">
        <x:v>Basis arsip 2025/2024</x:v>
      </x:c>
      <x:c r="Z1791" t="str">
        <x:v>https://snpmb.id/utbk-snbt/daya-tampung-snbt</x:v>
      </x:c>
      <x:c r="AA1791" t="str">
        <x:v>Tidak Ada</x:v>
      </x:c>
      <x:c r="AB1791" t="str">
        <x:v>Campus=80; Ratio=68.1; Prodi=45; RelDemand=55.2; Capacity=75.0</x:v>
      </x:c>
    </x:row>
    <x:row r="1792">
      <x:c r="A1792" t="n">
        <x:v>1789</x:v>
      </x:c>
      <x:c r="B1792" t="str">
        <x:v>PTN Akademik</x:v>
      </x:c>
      <x:c r="C1792" t="str">
        <x:v>UNIVERSITAS NEGERI SEMARANG</x:v>
      </x:c>
      <x:c r="D1792" t="str">
        <x:v>PENDIDIKAN BAHASA MANDARIN</x:v>
      </x:c>
      <x:c r="E1792" t="str">
        <x:v>Sarjana</x:v>
      </x:c>
      <x:c r="F1792" s="18" t="n">
        <x:v>14</x:v>
      </x:c>
      <x:c r="G1792" s="18" t="n">
        <x:v>93</x:v>
      </x:c>
      <x:c r="H1792" s="19" t="n">
        <x:v>6.642857142857143</x:v>
      </x:c>
      <x:c r="I1792" s="18" t="n">
        <x:f>ROUND(MIN(Model_Config_v3!$B$6,MAX(Q1792,R1792,S1792*Model_Config_v3!$B$4+T1792*Model_Config_v3!$B$5)),0)</x:f>
        <x:v>660</x:v>
      </x:c>
      <x:c r="J1792" s="18" t="n">
        <x:f>MIN(Model_Config_v3!$B$6,I1792+Model_Config_v3!$B$7)</x:f>
        <x:v>680</x:v>
      </x:c>
      <x:c r="K1792" s="20" t="n">
        <x:v>60.5</x:v>
      </x:c>
      <x:c r="L1792" t="str">
        <x:v>KETAT</x:v>
      </x:c>
      <x:c r="M1792" t="str">
        <x:v>SEDANG+</x:v>
      </x:c>
      <x:c r="N1792" t="str">
        <x:v>ELITE-3</x:v>
      </x:c>
      <x:c r="O1792" t="str">
        <x:v>SOSHUM</x:v>
      </x:c>
      <x:c r="P1792" t="str">
        <x:v>PENDIDIKAN</x:v>
      </x:c>
      <x:c r="Q1792" s="18" t="n">
        <x:v>620</x:v>
      </x:c>
      <x:c r="R1792" s="18" t="n">
        <x:v>0</x:v>
      </x:c>
      <x:c r="S1792" s="18" t="n">
        <x:v>610.4590404163266</x:v>
      </x:c>
      <x:c r="T1792" s="18" t="n">
        <x:v>681</x:v>
      </x:c>
      <x:c r="U1792" s="18" t="n">
        <x:v>620</x:v>
      </x:c>
      <x:c r="V1792" s="20" t="n">
        <x:v>4.4</x:v>
      </x:c>
      <x:c r="W1792" s="20" t="n">
        <x:v>14.3</x:v>
      </x:c>
      <x:c r="X1792" s="20" t="n">
        <x:v>3.3</x:v>
      </x:c>
      <x:c r="Y1792" t="str">
        <x:v>Basis arsip 2025/2024</x:v>
      </x:c>
      <x:c r="Z1792" t="str">
        <x:v>https://snpmb.id/utbk-snbt/daya-tampung-snbt</x:v>
      </x:c>
      <x:c r="AA1792" t="str">
        <x:v>Tidak Ada</x:v>
      </x:c>
      <x:c r="AB1792" t="str">
        <x:v>Campus=80; Ratio=48.4; Prodi=45; RelDemand=25.5; Capacity=88.3</x:v>
      </x:c>
    </x:row>
    <x:row r="1793">
      <x:c r="A1793" t="n">
        <x:v>1790</x:v>
      </x:c>
      <x:c r="B1793" t="str">
        <x:v>PTN Akademik</x:v>
      </x:c>
      <x:c r="C1793" t="str">
        <x:v>UNIVERSITAS NEGERI SEMARANG</x:v>
      </x:c>
      <x:c r="D1793" t="str">
        <x:v>ILMU POLITIK</x:v>
      </x:c>
      <x:c r="E1793" t="str">
        <x:v>Sarjana</x:v>
      </x:c>
      <x:c r="F1793" s="18" t="n">
        <x:v>75</x:v>
      </x:c>
      <x:c r="G1793" s="18" t="n">
        <x:v>642</x:v>
      </x:c>
      <x:c r="H1793" s="19" t="n">
        <x:v>8.56</x:v>
      </x:c>
      <x:c r="I1793" s="18" t="n">
        <x:f>ROUND(MIN(Model_Config_v3!$B$6,MAX(Q1793,R1793,S1793*Model_Config_v3!$B$4+T1793*Model_Config_v3!$B$5)),0)</x:f>
        <x:v>659</x:v>
      </x:c>
      <x:c r="J1793" s="18" t="n">
        <x:f>MIN(Model_Config_v3!$B$6,I1793+Model_Config_v3!$B$7)</x:f>
        <x:v>679</x:v>
      </x:c>
      <x:c r="K1793" s="20" t="n">
        <x:v>56.8</x:v>
      </x:c>
      <x:c r="L1793" t="str">
        <x:v>KETAT</x:v>
      </x:c>
      <x:c r="M1793" t="str">
        <x:v>SEDANG+</x:v>
      </x:c>
      <x:c r="N1793" t="str">
        <x:v>ELITE-3</x:v>
      </x:c>
      <x:c r="O1793" t="str">
        <x:v>SOSHUM</x:v>
      </x:c>
      <x:c r="P1793" t="str">
        <x:v>UMUM</x:v>
      </x:c>
      <x:c r="Q1793" s="18" t="n">
        <x:v>620</x:v>
      </x:c>
      <x:c r="R1793" s="18" t="n">
        <x:v>0</x:v>
      </x:c>
      <x:c r="S1793" s="18" t="n">
        <x:v>622.5721141144868</x:v>
      </x:c>
      <x:c r="T1793" s="18" t="n">
        <x:v>674</x:v>
      </x:c>
      <x:c r="U1793" s="18" t="n">
        <x:v>622.5721141144868</x:v>
      </x:c>
      <x:c r="V1793" s="20" t="n">
        <x:v>4.4</x:v>
      </x:c>
      <x:c r="W1793" s="20" t="n">
        <x:v>14.3</x:v>
      </x:c>
      <x:c r="X1793" s="20" t="n">
        <x:v>3.3</x:v>
      </x:c>
      <x:c r="Y1793" t="str">
        <x:v>Basis arsip 2025/2024</x:v>
      </x:c>
      <x:c r="Z1793" t="str">
        <x:v>https://snpmb.id/utbk-snbt/daya-tampung-snbt</x:v>
      </x:c>
      <x:c r="AA1793" t="str">
        <x:v>Tidak Ada</x:v>
      </x:c>
      <x:c r="AB1793" t="str">
        <x:v>Campus=80; Ratio=54.9; Prodi=40; RelDemand=32.9; Capacity=37.5</x:v>
      </x:c>
    </x:row>
    <x:row r="1794">
      <x:c r="A1794" t="n">
        <x:v>1791</x:v>
      </x:c>
      <x:c r="B1794" t="str">
        <x:v>PTN Akademik</x:v>
      </x:c>
      <x:c r="C1794" t="str">
        <x:v>UNIVERSITAS NEGERI SEMARANG</x:v>
      </x:c>
      <x:c r="D1794" t="str">
        <x:v>PENDIDIKAN JASMANI SEKOLAH DASAR</x:v>
      </x:c>
      <x:c r="E1794" t="str">
        <x:v>Sarjana</x:v>
      </x:c>
      <x:c r="F1794" s="18" t="n">
        <x:v>30</x:v>
      </x:c>
      <x:c r="G1794" s="18" t="n">
        <x:v>199</x:v>
      </x:c>
      <x:c r="H1794" s="19" t="n">
        <x:v>6.633333333333334</x:v>
      </x:c>
      <x:c r="I1794" s="18" t="n">
        <x:f>ROUND(MIN(Model_Config_v3!$B$6,MAX(Q1794,R1794,S1794*Model_Config_v3!$B$4+T1794*Model_Config_v3!$B$5)),0)</x:f>
        <x:v>658</x:v>
      </x:c>
      <x:c r="J1794" s="18" t="n">
        <x:f>MIN(Model_Config_v3!$B$6,I1794+Model_Config_v3!$B$7)</x:f>
        <x:v>678</x:v>
      </x:c>
      <x:c r="K1794" s="20" t="n">
        <x:v>59.1</x:v>
      </x:c>
      <x:c r="L1794" t="str">
        <x:v>KETAT</x:v>
      </x:c>
      <x:c r="M1794" t="str">
        <x:v>PORTOFOLIO</x:v>
      </x:c>
      <x:c r="N1794" t="str">
        <x:v>ELITE-3</x:v>
      </x:c>
      <x:c r="O1794" t="str">
        <x:v>SENI/OLAHRAGA</x:v>
      </x:c>
      <x:c r="P1794" t="str">
        <x:v>SENI/OLAHRAGA</x:v>
      </x:c>
      <x:c r="Q1794" s="18" t="n">
        <x:v>620</x:v>
      </x:c>
      <x:c r="R1794" s="18" t="n">
        <x:v>0</x:v>
      </x:c>
      <x:c r="S1794" s="18" t="n">
        <x:v>610.3905003859048</x:v>
      </x:c>
      <x:c r="T1794" s="18" t="n">
        <x:v>678</x:v>
      </x:c>
      <x:c r="U1794" s="18" t="n">
        <x:v>620</x:v>
      </x:c>
      <x:c r="V1794" s="20" t="n">
        <x:v>4.4</x:v>
      </x:c>
      <x:c r="W1794" s="20" t="n">
        <x:v>9.9</x:v>
      </x:c>
      <x:c r="X1794" s="20" t="n">
        <x:v>7.7</x:v>
      </x:c>
      <x:c r="Y1794" t="str">
        <x:v>Basis arsip 2025/2024</x:v>
      </x:c>
      <x:c r="Z1794" t="str">
        <x:v>https://snpmb.id/utbk-snbt/daya-tampung-snbt</x:v>
      </x:c>
      <x:c r="AA1794" t="str">
        <x:v>Olahraga</x:v>
      </x:c>
      <x:c r="AB1794" t="str">
        <x:v>Campus=80; Ratio=48.4; Prodi=45; RelDemand=25.5; Capacity=75.0</x:v>
      </x:c>
    </x:row>
    <x:row r="1795">
      <x:c r="A1795" t="n">
        <x:v>1792</x:v>
      </x:c>
      <x:c r="B1795" t="str">
        <x:v>PTN Akademik</x:v>
      </x:c>
      <x:c r="C1795" t="str">
        <x:v>UNIVERSITAS NEGERI SEMARANG</x:v>
      </x:c>
      <x:c r="D1795" t="str">
        <x:v>PENDIDIKAN ILMU PENGETAHUAN SOSIAL</x:v>
      </x:c>
      <x:c r="E1795" t="str">
        <x:v>Sarjana</x:v>
      </x:c>
      <x:c r="F1795" s="18" t="n">
        <x:v>45</x:v>
      </x:c>
      <x:c r="G1795" s="18" t="n">
        <x:v>332</x:v>
      </x:c>
      <x:c r="H1795" s="19" t="n">
        <x:v>7.377777777777778</x:v>
      </x:c>
      <x:c r="I1795" s="18" t="n">
        <x:f>ROUND(MIN(Model_Config_v3!$B$6,MAX(Q1795,R1795,S1795*Model_Config_v3!$B$4+T1795*Model_Config_v3!$B$5)),0)</x:f>
        <x:v>659</x:v>
      </x:c>
      <x:c r="J1795" s="18" t="n">
        <x:f>MIN(Model_Config_v3!$B$6,I1795+Model_Config_v3!$B$7)</x:f>
        <x:v>679</x:v>
      </x:c>
      <x:c r="K1795" s="20" t="n">
        <x:v>58.9</x:v>
      </x:c>
      <x:c r="L1795" t="str">
        <x:v>KETAT</x:v>
      </x:c>
      <x:c r="M1795" t="str">
        <x:v>SEDANG+</x:v>
      </x:c>
      <x:c r="N1795" t="str">
        <x:v>ELITE-3</x:v>
      </x:c>
      <x:c r="O1795" t="str">
        <x:v>CAMPURAN</x:v>
      </x:c>
      <x:c r="P1795" t="str">
        <x:v>PENDIDIKAN</x:v>
      </x:c>
      <x:c r="Q1795" s="18" t="n">
        <x:v>620</x:v>
      </x:c>
      <x:c r="R1795" s="18" t="n">
        <x:v>0</x:v>
      </x:c>
      <x:c r="S1795" s="18" t="n">
        <x:v>615.4718126921562</x:v>
      </x:c>
      <x:c r="T1795" s="18" t="n">
        <x:v>678</x:v>
      </x:c>
      <x:c r="U1795" s="18" t="n">
        <x:v>620</x:v>
      </x:c>
      <x:c r="V1795" s="20" t="n">
        <x:v>8.8</x:v>
      </x:c>
      <x:c r="W1795" s="20" t="n">
        <x:v>9.9</x:v>
      </x:c>
      <x:c r="X1795" s="20" t="n">
        <x:v>3.3</x:v>
      </x:c>
      <x:c r="Y1795" t="str">
        <x:v>Basis arsip 2025/2024</x:v>
      </x:c>
      <x:c r="Z1795" t="str">
        <x:v>https://snpmb.id/utbk-snbt/daya-tampung-snbt</x:v>
      </x:c>
      <x:c r="AA1795" t="str">
        <x:v>Tidak Ada</x:v>
      </x:c>
      <x:c r="AB1795" t="str">
        <x:v>Campus=80; Ratio=51.1; Prodi=45; RelDemand=28.3; Capacity=62.5</x:v>
      </x:c>
    </x:row>
    <x:row r="1796">
      <x:c r="A1796" t="n">
        <x:v>1793</x:v>
      </x:c>
      <x:c r="B1796" t="str">
        <x:v>PTN Akademik</x:v>
      </x:c>
      <x:c r="C1796" t="str">
        <x:v>UNIVERSITAS NEGERI SEMARANG</x:v>
      </x:c>
      <x:c r="D1796" t="str">
        <x:v>PENDIDIKAN KESEJAHTERAAN KELUARGA</x:v>
      </x:c>
      <x:c r="E1796" t="str">
        <x:v>Sarjana</x:v>
      </x:c>
      <x:c r="F1796" s="18" t="n">
        <x:v>15</x:v>
      </x:c>
      <x:c r="G1796" s="18" t="n">
        <x:v>75</x:v>
      </x:c>
      <x:c r="H1796" s="19" t="n">
        <x:v>5</x:v>
      </x:c>
      <x:c r="I1796" s="18" t="n">
        <x:f>ROUND(MIN(Model_Config_v3!$B$6,MAX(Q1796,R1796,S1796*Model_Config_v3!$B$4+T1796*Model_Config_v3!$B$5)),0)</x:f>
        <x:v>652</x:v>
      </x:c>
      <x:c r="J1796" s="18" t="n">
        <x:f>MIN(Model_Config_v3!$B$6,I1796+Model_Config_v3!$B$7)</x:f>
        <x:v>672</x:v>
      </x:c>
      <x:c r="K1796" s="20" t="n">
        <x:v>58</x:v>
      </x:c>
      <x:c r="L1796" t="str">
        <x:v>KETAT</x:v>
      </x:c>
      <x:c r="M1796" t="str">
        <x:v>SEDANG+</x:v>
      </x:c>
      <x:c r="N1796" t="str">
        <x:v>ELITE-3</x:v>
      </x:c>
      <x:c r="O1796" t="str">
        <x:v>CAMPURAN</x:v>
      </x:c>
      <x:c r="P1796" t="str">
        <x:v>PENDIDIKAN</x:v>
      </x:c>
      <x:c r="Q1796" s="18" t="n">
        <x:v>620</x:v>
      </x:c>
      <x:c r="R1796" s="18" t="n">
        <x:v>0</x:v>
      </x:c>
      <x:c r="S1796" s="18" t="n">
        <x:v>596.886700476962</x:v>
      </x:c>
      <x:c r="T1796" s="18" t="n">
        <x:v>676</x:v>
      </x:c>
      <x:c r="U1796" s="18" t="n">
        <x:v>620</x:v>
      </x:c>
      <x:c r="V1796" s="20" t="n">
        <x:v>8.8</x:v>
      </x:c>
      <x:c r="W1796" s="20" t="n">
        <x:v>9.9</x:v>
      </x:c>
      <x:c r="X1796" s="20" t="n">
        <x:v>3.3</x:v>
      </x:c>
      <x:c r="Y1796" t="str">
        <x:v>Basis arsip 2025/2024</x:v>
      </x:c>
      <x:c r="Z1796" t="str">
        <x:v>https://snpmb.id/utbk-snbt/daya-tampung-snbt</x:v>
      </x:c>
      <x:c r="AA1796" t="str">
        <x:v>Tidak Ada</x:v>
      </x:c>
      <x:c r="AB1796" t="str">
        <x:v>Campus=80; Ratio=41.1; Prodi=45; RelDemand=19.2; Capacity=87.5</x:v>
      </x:c>
    </x:row>
    <x:row r="1797">
      <x:c r="A1797" t="n">
        <x:v>1794</x:v>
      </x:c>
      <x:c r="B1797" t="str">
        <x:v>PTN Akademik</x:v>
      </x:c>
      <x:c r="C1797" t="str">
        <x:v>UNIVERSITAS NEGERI SEMARANG</x:v>
      </x:c>
      <x:c r="D1797" t="str">
        <x:v>STATISTIKA DAN SAINS DATA</x:v>
      </x:c>
      <x:c r="E1797" t="str">
        <x:v>Sarjana</x:v>
      </x:c>
      <x:c r="F1797" s="18" t="n">
        <x:v>24</x:v>
      </x:c>
      <x:c r="G1797" s="18" t="n">
        <x:v>251</x:v>
      </x:c>
      <x:c r="H1797" s="19" t="n">
        <x:v>10.458333333333334</x:v>
      </x:c>
      <x:c r="I1797" s="18" t="n">
        <x:f>ROUND(MIN(Model_Config_v3!$B$6,MAX(Q1797,R1797,S1797*Model_Config_v3!$B$4+T1797*Model_Config_v3!$B$5)),0)</x:f>
        <x:v>675</x:v>
      </x:c>
      <x:c r="J1797" s="18" t="n">
        <x:f>MIN(Model_Config_v3!$B$6,I1797+Model_Config_v3!$B$7)</x:f>
        <x:v>695</x:v>
      </x:c>
      <x:c r="K1797" s="20" t="n">
        <x:v>67</x:v>
      </x:c>
      <x:c r="L1797" t="str">
        <x:v>SANGAT KETAT</x:v>
      </x:c>
      <x:c r="M1797" t="str">
        <x:v>SEDANG+</x:v>
      </x:c>
      <x:c r="N1797" t="str">
        <x:v>ELITE-3</x:v>
      </x:c>
      <x:c r="O1797" t="str">
        <x:v>SAINTEK</x:v>
      </x:c>
      <x:c r="P1797" t="str">
        <x:v>TEKNIK/ARSITEKTUR/STATISTIKA/AKTUARIA</x:v>
      </x:c>
      <x:c r="Q1797" s="18" t="n">
        <x:v>620</x:v>
      </x:c>
      <x:c r="R1797" s="18" t="n">
        <x:v>0</x:v>
      </x:c>
      <x:c r="S1797" s="18" t="n">
        <x:v>632.1408727746375</x:v>
      </x:c>
      <x:c r="T1797" s="18" t="n">
        <x:v>694</x:v>
      </x:c>
      <x:c r="U1797" s="18" t="n">
        <x:v>642.1408727746375</x:v>
      </x:c>
      <x:c r="V1797" s="20" t="n">
        <x:v>12</x:v>
      </x:c>
      <x:c r="W1797" s="20" t="n">
        <x:v>5</x:v>
      </x:c>
      <x:c r="X1797" s="20" t="n">
        <x:v>3</x:v>
      </x:c>
      <x:c r="Y1797" t="str">
        <x:v>Basis arsip 2025/2024</x:v>
      </x:c>
      <x:c r="Z1797" t="str">
        <x:v>https://snpmb.id/utbk-snbt/daya-tampung-snbt</x:v>
      </x:c>
      <x:c r="AA1797" t="str">
        <x:v>Tidak Ada</x:v>
      </x:c>
      <x:c r="AB1797" t="str">
        <x:v>Campus=80; Ratio=60.0; Prodi=60; RelDemand=40.2; Capacity=80.0</x:v>
      </x:c>
    </x:row>
    <x:row r="1798">
      <x:c r="A1798" t="n">
        <x:v>1795</x:v>
      </x:c>
      <x:c r="B1798" t="str">
        <x:v>PTN Akademik</x:v>
      </x:c>
      <x:c r="C1798" t="str">
        <x:v>UNIVERSITAS NEGERI SEMARANG</x:v>
      </x:c>
      <x:c r="D1798" t="str">
        <x:v>EKONOMI DAN KEUANGAN ISLAM</x:v>
      </x:c>
      <x:c r="E1798" t="str">
        <x:v>Sarjana</x:v>
      </x:c>
      <x:c r="F1798" s="18" t="n">
        <x:v>24</x:v>
      </x:c>
      <x:c r="G1798" s="18" t="n">
        <x:v>321</x:v>
      </x:c>
      <x:c r="H1798" s="19" t="n">
        <x:v>13.375</x:v>
      </x:c>
      <x:c r="I1798" s="18" t="n">
        <x:f>ROUND(MIN(Model_Config_v3!$B$6,MAX(Q1798,R1798,S1798*Model_Config_v3!$B$4+T1798*Model_Config_v3!$B$5)),0)</x:f>
        <x:v>677</x:v>
      </x:c>
      <x:c r="J1798" s="18" t="n">
        <x:f>MIN(Model_Config_v3!$B$6,I1798+Model_Config_v3!$B$7)</x:f>
        <x:v>697</x:v>
      </x:c>
      <x:c r="K1798" s="20" t="n">
        <x:v>65.7</x:v>
      </x:c>
      <x:c r="L1798" t="str">
        <x:v>SANGAT KETAT</x:v>
      </x:c>
      <x:c r="M1798" t="str">
        <x:v>SEDANG+</x:v>
      </x:c>
      <x:c r="N1798" t="str">
        <x:v>ELITE-3</x:v>
      </x:c>
      <x:c r="O1798" t="str">
        <x:v>SOSHUM</x:v>
      </x:c>
      <x:c r="P1798" t="str">
        <x:v>UMUM</x:v>
      </x:c>
      <x:c r="Q1798" s="18" t="n">
        <x:v>620</x:v>
      </x:c>
      <x:c r="R1798" s="18" t="n">
        <x:v>0</x:v>
      </x:c>
      <x:c r="S1798" s="18" t="n">
        <x:v>643.8923169762593</x:v>
      </x:c>
      <x:c r="T1798" s="18" t="n">
        <x:v>691</x:v>
      </x:c>
      <x:c r="U1798" s="18" t="n">
        <x:v>643.8923169762593</x:v>
      </x:c>
      <x:c r="V1798" s="20" t="n">
        <x:v>4.4</x:v>
      </x:c>
      <x:c r="W1798" s="20" t="n">
        <x:v>14.3</x:v>
      </x:c>
      <x:c r="X1798" s="20" t="n">
        <x:v>3.3</x:v>
      </x:c>
      <x:c r="Y1798" t="str">
        <x:v>Basis arsip 2025/2024</x:v>
      </x:c>
      <x:c r="Z1798" t="str">
        <x:v>https://snpmb.id/utbk-snbt/daya-tampung-snbt</x:v>
      </x:c>
      <x:c r="AA1798" t="str">
        <x:v>Tidak Ada</x:v>
      </x:c>
      <x:c r="AB1798" t="str">
        <x:v>Campus=80; Ratio=66.3; Prodi=40; RelDemand=51.4; Capacity=80.0</x:v>
      </x:c>
    </x:row>
    <x:row r="1799">
      <x:c r="A1799" t="n">
        <x:v>1796</x:v>
      </x:c>
      <x:c r="B1799" t="str">
        <x:v>PTN Akademik</x:v>
      </x:c>
      <x:c r="C1799" t="str">
        <x:v>UNIVERSITAS NEGERI SEMARANG</x:v>
      </x:c>
      <x:c r="D1799" t="str">
        <x:v>KEDOKTERAN</x:v>
      </x:c>
      <x:c r="E1799" t="str">
        <x:v>Sarjana</x:v>
      </x:c>
      <x:c r="F1799" s="18" t="n">
        <x:v>15</x:v>
      </x:c>
      <x:c r="G1799" s="18" t="n">
        <x:v>1000</x:v>
      </x:c>
      <x:c r="H1799" s="19" t="n">
        <x:v>66.66666666666667</x:v>
      </x:c>
      <x:c r="I1799" s="18" t="n">
        <x:f>ROUND(MIN(Model_Config_v3!$B$6,MAX(Q1799,R1799,S1799*Model_Config_v3!$B$4+T1799*Model_Config_v3!$B$5)),0)</x:f>
        <x:v>737</x:v>
      </x:c>
      <x:c r="J1799" s="18" t="n">
        <x:f>MIN(Model_Config_v3!$B$6,I1799+Model_Config_v3!$B$7)</x:f>
        <x:v>757</x:v>
      </x:c>
      <x:c r="K1799" s="20" t="n">
        <x:v>91.8</x:v>
      </x:c>
      <x:c r="L1799" t="str">
        <x:v>ULTRA ELITE</x:v>
      </x:c>
      <x:c r="M1799" t="str">
        <x:v>SEDANG+</x:v>
      </x:c>
      <x:c r="N1799" t="str">
        <x:v>ELITE-3</x:v>
      </x:c>
      <x:c r="O1799" t="str">
        <x:v>SAINTEK</x:v>
      </x:c>
      <x:c r="P1799" t="str">
        <x:v>KEDOKTERAN</x:v>
      </x:c>
      <x:c r="Q1799" s="18" t="n">
        <x:v>620</x:v>
      </x:c>
      <x:c r="R1799" s="18" t="n">
        <x:v>700</x:v>
      </x:c>
      <x:c r="S1799" s="18" t="n">
        <x:v>720.629961503875</x:v>
      </x:c>
      <x:c r="T1799" s="18" t="n">
        <x:v>744</x:v>
      </x:c>
      <x:c r="U1799" s="18" t="n">
        <x:v>760.629961503875</x:v>
      </x:c>
      <x:c r="V1799" s="20" t="n">
        <x:v>12</x:v>
      </x:c>
      <x:c r="W1799" s="20" t="n">
        <x:v>5</x:v>
      </x:c>
      <x:c r="X1799" s="20" t="n">
        <x:v>3</x:v>
      </x:c>
      <x:c r="Y1799" t="str">
        <x:v>Basis arsip 2025/2024</x:v>
      </x:c>
      <x:c r="Z1799" t="str">
        <x:v>https://snpmb.id/utbk-snbt/daya-tampung-snbt</x:v>
      </x:c>
      <x:c r="AA1799" t="str">
        <x:v>Tidak Ada</x:v>
      </x:c>
      <x:c r="AB1799" t="str">
        <x:v>Campus=80; Ratio=100.0; Prodi=100; RelDemand=100.0; Capacity=87.5</x:v>
      </x:c>
    </x:row>
    <x:row r="1800">
      <x:c r="A1800" t="n">
        <x:v>1797</x:v>
      </x:c>
      <x:c r="B1800" t="str">
        <x:v>PTN Akademik</x:v>
      </x:c>
      <x:c r="C1800" t="str">
        <x:v>UNIVERSITAS NEGERI SEMARANG</x:v>
      </x:c>
      <x:c r="D1800" t="str">
        <x:v>ILMU KOMUNIKASI</x:v>
      </x:c>
      <x:c r="E1800" t="str">
        <x:v>Sarjana</x:v>
      </x:c>
      <x:c r="F1800" s="18" t="n">
        <x:v>36</x:v>
      </x:c>
      <x:c r="G1800" s="18"/>
      <x:c r="H1800" s="19" t="n">
        <x:v>0</x:v>
      </x:c>
      <x:c r="I1800" s="18" t="n">
        <x:f>ROUND(MIN(Model_Config_v3!$B$6,MAX(Q1800,R1800,S1800*Model_Config_v3!$B$4+T1800*Model_Config_v3!$B$5)),0)</x:f>
        <x:v>620</x:v>
      </x:c>
      <x:c r="J1800" s="18" t="n">
        <x:f>MIN(Model_Config_v3!$B$6,I1800+Model_Config_v3!$B$7)</x:f>
        <x:v>640</x:v>
      </x:c>
      <x:c r="K1800" s="20" t="n">
        <x:v>43</x:v>
      </x:c>
      <x:c r="L1800" t="str">
        <x:v>RELATIF LONGGAR</x:v>
      </x:c>
      <x:c r="M1800" t="str">
        <x:v>RENDAH</x:v>
      </x:c>
      <x:c r="N1800" t="str">
        <x:v>ELITE-3</x:v>
      </x:c>
      <x:c r="O1800" t="str">
        <x:v>SOSHUM</x:v>
      </x:c>
      <x:c r="P1800" t="str">
        <x:v>UMUM</x:v>
      </x:c>
      <x:c r="Q1800" s="18" t="n">
        <x:v>620</x:v>
      </x:c>
      <x:c r="R1800" s="18" t="n">
        <x:v>0</x:v>
      </x:c>
      <x:c r="S1800" s="18" t="n">
        <x:v>520</x:v>
      </x:c>
      <x:c r="T1800" s="18" t="n">
        <x:v>646</x:v>
      </x:c>
      <x:c r="U1800" s="18" t="n">
        <x:v>620</x:v>
      </x:c>
      <x:c r="V1800" s="20" t="n">
        <x:v>4.4</x:v>
      </x:c>
      <x:c r="W1800" s="20" t="n">
        <x:v>14.3</x:v>
      </x:c>
      <x:c r="X1800" s="20" t="n">
        <x:v>3.3</x:v>
      </x:c>
      <x:c r="Y1800" t="str">
        <x:v>Basis arsip 2025/2024</x:v>
      </x:c>
      <x:c r="Z1800" t="str">
        <x:v>https://snpmb.id/utbk-snbt/daya-tampung-snbt</x:v>
      </x:c>
      <x:c r="AA1800" t="str">
        <x:v>Tidak Ada</x:v>
      </x:c>
      <x:c r="AB1800" t="str">
        <x:v>Campus=80; Ratio=0.0; Prodi=40; RelDemand=0.0; Capacity=70.0</x:v>
      </x:c>
    </x:row>
    <x:row r="1801">
      <x:c r="A1801" t="n">
        <x:v>1798</x:v>
      </x:c>
      <x:c r="B1801" t="str">
        <x:v>PTN Akademik</x:v>
      </x:c>
      <x:c r="C1801" t="str">
        <x:v>UNIVERSITAS NEGERI SEMARANG</x:v>
      </x:c>
      <x:c r="D1801" t="str">
        <x:v>DESAIN KOMUNIKASI VISUAL</x:v>
      </x:c>
      <x:c r="E1801" t="str">
        <x:v>Diploma Tiga</x:v>
      </x:c>
      <x:c r="F1801" s="18" t="n">
        <x:v>12</x:v>
      </x:c>
      <x:c r="G1801" s="18" t="n">
        <x:v>583</x:v>
      </x:c>
      <x:c r="H1801" s="19" t="n">
        <x:v>48.583333333333336</x:v>
      </x:c>
      <x:c r="I1801" s="18" t="n">
        <x:f>ROUND(MIN(Model_Config_v3!$B$6,MAX(Q1801,R1801,S1801*Model_Config_v3!$B$4+T1801*Model_Config_v3!$B$5)),0)</x:f>
        <x:v>717</x:v>
      </x:c>
      <x:c r="J1801" s="18" t="n">
        <x:f>MIN(Model_Config_v3!$B$6,I1801+Model_Config_v3!$B$7)</x:f>
        <x:v>737</x:v>
      </x:c>
      <x:c r="K1801" s="20" t="n">
        <x:v>80.8</x:v>
      </x:c>
      <x:c r="L1801" t="str">
        <x:v>ELITE</x:v>
      </x:c>
      <x:c r="M1801" t="str">
        <x:v>PORTOFOLIO</x:v>
      </x:c>
      <x:c r="N1801" t="str">
        <x:v>ELITE-3</x:v>
      </x:c>
      <x:c r="O1801" t="str">
        <x:v>SENI/OLAHRAGA</x:v>
      </x:c>
      <x:c r="P1801" t="str">
        <x:v>SENI/OLAHRAGA</x:v>
      </x:c>
      <x:c r="Q1801" s="18" t="n">
        <x:v>620</x:v>
      </x:c>
      <x:c r="R1801" s="18" t="n">
        <x:v>0</x:v>
      </x:c>
      <x:c r="S1801" s="18" t="n">
        <x:v>705.5136039582528</x:v>
      </x:c>
      <x:c r="T1801" s="18" t="n">
        <x:v>722</x:v>
      </x:c>
      <x:c r="U1801" s="18" t="n">
        <x:v>705.5136039582528</x:v>
      </x:c>
      <x:c r="V1801" s="20" t="n">
        <x:v>4.4</x:v>
      </x:c>
      <x:c r="W1801" s="20" t="n">
        <x:v>9.9</x:v>
      </x:c>
      <x:c r="X1801" s="20" t="n">
        <x:v>7.7</x:v>
      </x:c>
      <x:c r="Y1801" t="str">
        <x:v>Basis arsip 2025/2024</x:v>
      </x:c>
      <x:c r="Z1801" t="str">
        <x:v>https://snpmb.id/utbk-snbt/daya-tampung-snbt</x:v>
      </x:c>
      <x:c r="AA1801" t="str">
        <x:v>Seni Rupa, Desain, dan Kriya</x:v>
      </x:c>
      <x:c r="AB1801" t="str">
        <x:v>Campus=80; Ratio=99.3; Prodi=45; RelDemand=100.0; Capacity=90.0</x:v>
      </x:c>
    </x:row>
    <x:row r="1802">
      <x:c r="A1802" t="n">
        <x:v>1799</x:v>
      </x:c>
      <x:c r="B1802" t="str">
        <x:v>PTN Akademik</x:v>
      </x:c>
      <x:c r="C1802" t="str">
        <x:v>UNIVERSITAS NEGERI SEMARANG</x:v>
      </x:c>
      <x:c r="D1802" t="str">
        <x:v>STATISTIKA TERAPAN DAN KOMPUTASI</x:v>
      </x:c>
      <x:c r="E1802" t="str">
        <x:v>Diploma Tiga</x:v>
      </x:c>
      <x:c r="F1802" s="18" t="n">
        <x:v>12</x:v>
      </x:c>
      <x:c r="G1802" s="18" t="n">
        <x:v>1379</x:v>
      </x:c>
      <x:c r="H1802" s="19" t="n">
        <x:v>114.91666666666667</x:v>
      </x:c>
      <x:c r="I1802" s="18" t="n">
        <x:f>ROUND(MIN(Model_Config_v3!$B$6,MAX(Q1802,R1802,S1802*Model_Config_v3!$B$4+T1802*Model_Config_v3!$B$5)),0)</x:f>
        <x:v>734</x:v>
      </x:c>
      <x:c r="J1802" s="18" t="n">
        <x:f>MIN(Model_Config_v3!$B$6,I1802+Model_Config_v3!$B$7)</x:f>
        <x:v>754</x:v>
      </x:c>
      <x:c r="K1802" s="20" t="n">
        <x:v>84</x:v>
      </x:c>
      <x:c r="L1802" t="str">
        <x:v>ELITE</x:v>
      </x:c>
      <x:c r="M1802" t="str">
        <x:v>SEDANG+</x:v>
      </x:c>
      <x:c r="N1802" t="str">
        <x:v>ELITE-3</x:v>
      </x:c>
      <x:c r="O1802" t="str">
        <x:v>SAINTEK</x:v>
      </x:c>
      <x:c r="P1802" t="str">
        <x:v>TEKNIK/ARSITEKTUR/STATISTIKA/AKTUARIA</x:v>
      </x:c>
      <x:c r="Q1802" s="18" t="n">
        <x:v>620</x:v>
      </x:c>
      <x:c r="R1802" s="18" t="n">
        <x:v>0</x:v>
      </x:c>
      <x:c r="S1802" s="18" t="n">
        <x:v>746.6421322141048</x:v>
      </x:c>
      <x:c r="T1802" s="18" t="n">
        <x:v>728</x:v>
      </x:c>
      <x:c r="U1802" s="18" t="n">
        <x:v>756.6421322141048</x:v>
      </x:c>
      <x:c r="V1802" s="20" t="n">
        <x:v>12</x:v>
      </x:c>
      <x:c r="W1802" s="20" t="n">
        <x:v>5</x:v>
      </x:c>
      <x:c r="X1802" s="20" t="n">
        <x:v>3</x:v>
      </x:c>
      <x:c r="Y1802" t="str">
        <x:v>Basis arsip 2025/2024</x:v>
      </x:c>
      <x:c r="Z1802" t="str">
        <x:v>https://snpmb.id/utbk-snbt/daya-tampung-snbt</x:v>
      </x:c>
      <x:c r="AA1802" t="str">
        <x:v>Tidak Ada</x:v>
      </x:c>
      <x:c r="AB1802" t="str">
        <x:v>Campus=80; Ratio=100.0; Prodi=60; RelDemand=100.0; Capacity=90.0</x:v>
      </x:c>
    </x:row>
    <x:row r="1803">
      <x:c r="A1803" t="n">
        <x:v>1800</x:v>
      </x:c>
      <x:c r="B1803" t="str">
        <x:v>PTN Akademik</x:v>
      </x:c>
      <x:c r="C1803" t="str">
        <x:v>UNIVERSITAS GADJAH MADA</x:v>
      </x:c>
      <x:c r="D1803" t="str">
        <x:v>BIOLOGI</x:v>
      </x:c>
      <x:c r="E1803" t="str">
        <x:v>Sarjana</x:v>
      </x:c>
      <x:c r="F1803" s="18" t="n">
        <x:v>68</x:v>
      </x:c>
      <x:c r="G1803" s="18" t="n">
        <x:v>516</x:v>
      </x:c>
      <x:c r="H1803" s="19" t="n">
        <x:v>7.588235294117647</x:v>
      </x:c>
      <x:c r="I1803" s="18" t="n">
        <x:f>ROUND(MIN(Model_Config_v3!$B$6,MAX(Q1803,R1803,S1803*Model_Config_v3!$B$4+T1803*Model_Config_v3!$B$5)),0)</x:f>
        <x:v>675</x:v>
      </x:c>
      <x:c r="J1803" s="18" t="n">
        <x:f>MIN(Model_Config_v3!$B$6,I1803+Model_Config_v3!$B$7)</x:f>
        <x:v>695</x:v>
      </x:c>
      <x:c r="K1803" s="20" t="n">
        <x:v>63.4</x:v>
      </x:c>
      <x:c r="L1803" t="str">
        <x:v>KETAT</x:v>
      </x:c>
      <x:c r="M1803" t="str">
        <x:v>SEDANG+</x:v>
      </x:c>
      <x:c r="N1803" t="str">
        <x:v>ELITE-1</x:v>
      </x:c>
      <x:c r="O1803" t="str">
        <x:v>SAINTEK</x:v>
      </x:c>
      <x:c r="P1803" t="str">
        <x:v>SAINS DASAR</x:v>
      </x:c>
      <x:c r="Q1803" s="18" t="n">
        <x:v>675</x:v>
      </x:c>
      <x:c r="R1803" s="18" t="n">
        <x:v>675</x:v>
      </x:c>
      <x:c r="S1803" s="18" t="n">
        <x:v>616.8154867813072</x:v>
      </x:c>
      <x:c r="T1803" s="18" t="n">
        <x:v>687</x:v>
      </x:c>
      <x:c r="U1803" s="18" t="n">
        <x:v>675</x:v>
      </x:c>
      <x:c r="V1803" s="20" t="n">
        <x:v>12</x:v>
      </x:c>
      <x:c r="W1803" s="20" t="n">
        <x:v>5</x:v>
      </x:c>
      <x:c r="X1803" s="20" t="n">
        <x:v>3</x:v>
      </x:c>
      <x:c r="Y1803" t="str">
        <x:v>Basis arsip 2025/2024</x:v>
      </x:c>
      <x:c r="Z1803" t="str">
        <x:v>https://snpmb.id/utbk-snbt/daya-tampung-snbt</x:v>
      </x:c>
      <x:c r="AA1803" t="str">
        <x:v>Tidak Ada</x:v>
      </x:c>
      <x:c r="AB1803" t="str">
        <x:v>Campus=100; Ratio=51.8; Prodi=50; RelDemand=11.1; Capacity=43.3</x:v>
      </x:c>
    </x:row>
    <x:row r="1804">
      <x:c r="A1804" t="n">
        <x:v>1801</x:v>
      </x:c>
      <x:c r="B1804" t="str">
        <x:v>PTN Akademik</x:v>
      </x:c>
      <x:c r="C1804" t="str">
        <x:v>UNIVERSITAS GADJAH MADA</x:v>
      </x:c>
      <x:c r="D1804" t="str">
        <x:v>FARMASI</x:v>
      </x:c>
      <x:c r="E1804" t="str">
        <x:v>Sarjana</x:v>
      </x:c>
      <x:c r="F1804" s="18" t="n">
        <x:v>72</x:v>
      </x:c>
      <x:c r="G1804" s="18" t="n">
        <x:v>2004</x:v>
      </x:c>
      <x:c r="H1804" s="19" t="n">
        <x:v>27.833333333333332</x:v>
      </x:c>
      <x:c r="I1804" s="18" t="n">
        <x:f>ROUND(MIN(Model_Config_v3!$B$6,MAX(Q1804,R1804,S1804*Model_Config_v3!$B$4+T1804*Model_Config_v3!$B$5)),0)</x:f>
        <x:v>707</x:v>
      </x:c>
      <x:c r="J1804" s="18" t="n">
        <x:f>MIN(Model_Config_v3!$B$6,I1804+Model_Config_v3!$B$7)</x:f>
        <x:v>727</x:v>
      </x:c>
      <x:c r="K1804" s="20" t="n">
        <x:v>79.3</x:v>
      </x:c>
      <x:c r="L1804" t="str">
        <x:v>ELITE</x:v>
      </x:c>
      <x:c r="M1804" t="str">
        <x:v>SEDANG+</x:v>
      </x:c>
      <x:c r="N1804" t="str">
        <x:v>ELITE-1</x:v>
      </x:c>
      <x:c r="O1804" t="str">
        <x:v>SAINTEK</x:v>
      </x:c>
      <x:c r="P1804" t="str">
        <x:v>FARMASI</x:v>
      </x:c>
      <x:c r="Q1804" s="18" t="n">
        <x:v>675</x:v>
      </x:c>
      <x:c r="R1804" s="18" t="n">
        <x:v>700</x:v>
      </x:c>
      <x:c r="S1804" s="18" t="n">
        <x:v>678.9021742840333</x:v>
      </x:c>
      <x:c r="T1804" s="18" t="n">
        <x:v>719</x:v>
      </x:c>
      <x:c r="U1804" s="18" t="n">
        <x:v>700</x:v>
      </x:c>
      <x:c r="V1804" s="20" t="n">
        <x:v>12</x:v>
      </x:c>
      <x:c r="W1804" s="20" t="n">
        <x:v>5</x:v>
      </x:c>
      <x:c r="X1804" s="20" t="n">
        <x:v>3</x:v>
      </x:c>
      <x:c r="Y1804" t="str">
        <x:v>Basis arsip 2025/2024</x:v>
      </x:c>
      <x:c r="Z1804" t="str">
        <x:v>https://snpmb.id/utbk-snbt/daya-tampung-snbt</x:v>
      </x:c>
      <x:c r="AA1804" t="str">
        <x:v>Tidak Ada</x:v>
      </x:c>
      <x:c r="AB1804" t="str">
        <x:v>Campus=100; Ratio=85.0; Prodi=75; RelDemand=40.8; Capacity=40.0</x:v>
      </x:c>
    </x:row>
    <x:row r="1805">
      <x:c r="A1805" t="n">
        <x:v>1802</x:v>
      </x:c>
      <x:c r="B1805" t="str">
        <x:v>PTN Akademik</x:v>
      </x:c>
      <x:c r="C1805" t="str">
        <x:v>UNIVERSITAS GADJAH MADA</x:v>
      </x:c>
      <x:c r="D1805" t="str">
        <x:v>GEOGRAFI LINGKUNGAN</x:v>
      </x:c>
      <x:c r="E1805" t="str">
        <x:v>Sarjana</x:v>
      </x:c>
      <x:c r="F1805" s="18" t="n">
        <x:v>30</x:v>
      </x:c>
      <x:c r="G1805" s="18" t="n">
        <x:v>362</x:v>
      </x:c>
      <x:c r="H1805" s="19" t="n">
        <x:v>12.066666666666666</x:v>
      </x:c>
      <x:c r="I1805" s="18" t="n">
        <x:f>ROUND(MIN(Model_Config_v3!$B$6,MAX(Q1805,R1805,S1805*Model_Config_v3!$B$4+T1805*Model_Config_v3!$B$5)),0)</x:f>
        <x:v>679</x:v>
      </x:c>
      <x:c r="J1805" s="18" t="n">
        <x:f>MIN(Model_Config_v3!$B$6,I1805+Model_Config_v3!$B$7)</x:f>
        <x:v>699</x:v>
      </x:c>
      <x:c r="K1805" s="20" t="n">
        <x:v>68.2</x:v>
      </x:c>
      <x:c r="L1805" t="str">
        <x:v>SANGAT KETAT</x:v>
      </x:c>
      <x:c r="M1805" t="str">
        <x:v>SEDANG+</x:v>
      </x:c>
      <x:c r="N1805" t="str">
        <x:v>ELITE-1</x:v>
      </x:c>
      <x:c r="O1805" t="str">
        <x:v>CAMPURAN</x:v>
      </x:c>
      <x:c r="P1805" t="str">
        <x:v>UMUM</x:v>
      </x:c>
      <x:c r="Q1805" s="18" t="n">
        <x:v>675</x:v>
      </x:c>
      <x:c r="R1805" s="18" t="n">
        <x:v>0</x:v>
      </x:c>
      <x:c r="S1805" s="18" t="n">
        <x:v>638.9746047394854</x:v>
      </x:c>
      <x:c r="T1805" s="18" t="n">
        <x:v>696</x:v>
      </x:c>
      <x:c r="U1805" s="18" t="n">
        <x:v>675</x:v>
      </x:c>
      <x:c r="V1805" s="20" t="n">
        <x:v>8.8</x:v>
      </x:c>
      <x:c r="W1805" s="20" t="n">
        <x:v>9.9</x:v>
      </x:c>
      <x:c r="X1805" s="20" t="n">
        <x:v>3.3</x:v>
      </x:c>
      <x:c r="Y1805" t="str">
        <x:v>Basis arsip 2025/2024</x:v>
      </x:c>
      <x:c r="Z1805" t="str">
        <x:v>https://snpmb.id/utbk-snbt/daya-tampung-snbt</x:v>
      </x:c>
      <x:c r="AA1805" t="str">
        <x:v>Tidak Ada</x:v>
      </x:c>
      <x:c r="AB1805" t="str">
        <x:v>Campus=100; Ratio=63.7; Prodi=40; RelDemand=17.7; Capacity=75.0</x:v>
      </x:c>
    </x:row>
    <x:row r="1806">
      <x:c r="A1806" t="n">
        <x:v>1803</x:v>
      </x:c>
      <x:c r="B1806" t="str">
        <x:v>PTN Akademik</x:v>
      </x:c>
      <x:c r="C1806" t="str">
        <x:v>UNIVERSITAS GADJAH MADA</x:v>
      </x:c>
      <x:c r="D1806" t="str">
        <x:v>KARTOGRAFI DAN PENGINDERAAN JAUH</x:v>
      </x:c>
      <x:c r="E1806" t="str">
        <x:v>Sarjana</x:v>
      </x:c>
      <x:c r="F1806" s="18" t="n">
        <x:v>30</x:v>
      </x:c>
      <x:c r="G1806" s="18" t="n">
        <x:v>346</x:v>
      </x:c>
      <x:c r="H1806" s="19" t="n">
        <x:v>11.533333333333333</x:v>
      </x:c>
      <x:c r="I1806" s="18" t="n">
        <x:f>ROUND(MIN(Model_Config_v3!$B$6,MAX(Q1806,R1806,S1806*Model_Config_v3!$B$4+T1806*Model_Config_v3!$B$5)),0)</x:f>
        <x:v>678</x:v>
      </x:c>
      <x:c r="J1806" s="18" t="n">
        <x:f>MIN(Model_Config_v3!$B$6,I1806+Model_Config_v3!$B$7)</x:f>
        <x:v>698</x:v>
      </x:c>
      <x:c r="K1806" s="20" t="n">
        <x:v>67.8</x:v>
      </x:c>
      <x:c r="L1806" t="str">
        <x:v>SANGAT KETAT</x:v>
      </x:c>
      <x:c r="M1806" t="str">
        <x:v>SEDANG+</x:v>
      </x:c>
      <x:c r="N1806" t="str">
        <x:v>ELITE-1</x:v>
      </x:c>
      <x:c r="O1806" t="str">
        <x:v>CAMPURAN</x:v>
      </x:c>
      <x:c r="P1806" t="str">
        <x:v>UMUM</x:v>
      </x:c>
      <x:c r="Q1806" s="18" t="n">
        <x:v>675</x:v>
      </x:c>
      <x:c r="R1806" s="18" t="n">
        <x:v>0</x:v>
      </x:c>
      <x:c r="S1806" s="18" t="n">
        <x:v>636.8150328480425</x:v>
      </x:c>
      <x:c r="T1806" s="18" t="n">
        <x:v>696</x:v>
      </x:c>
      <x:c r="U1806" s="18" t="n">
        <x:v>675</x:v>
      </x:c>
      <x:c r="V1806" s="20" t="n">
        <x:v>8.8</x:v>
      </x:c>
      <x:c r="W1806" s="20" t="n">
        <x:v>9.9</x:v>
      </x:c>
      <x:c r="X1806" s="20" t="n">
        <x:v>3.3</x:v>
      </x:c>
      <x:c r="Y1806" t="str">
        <x:v>Basis arsip 2025/2024</x:v>
      </x:c>
      <x:c r="Z1806" t="str">
        <x:v>https://snpmb.id/utbk-snbt/daya-tampung-snbt</x:v>
      </x:c>
      <x:c r="AA1806" t="str">
        <x:v>Tidak Ada</x:v>
      </x:c>
      <x:c r="AB1806" t="str">
        <x:v>Campus=100; Ratio=62.5; Prodi=40; RelDemand=16.9; Capacity=75.0</x:v>
      </x:c>
    </x:row>
    <x:row r="1807">
      <x:c r="A1807" t="n">
        <x:v>1804</x:v>
      </x:c>
      <x:c r="B1807" t="str">
        <x:v>PTN Akademik</x:v>
      </x:c>
      <x:c r="C1807" t="str">
        <x:v>UNIVERSITAS GADJAH MADA</x:v>
      </x:c>
      <x:c r="D1807" t="str">
        <x:v>PEMBANGUNAN WILAYAH</x:v>
      </x:c>
      <x:c r="E1807" t="str">
        <x:v>Sarjana</x:v>
      </x:c>
      <x:c r="F1807" s="18" t="n">
        <x:v>24</x:v>
      </x:c>
      <x:c r="G1807" s="18" t="n">
        <x:v>289</x:v>
      </x:c>
      <x:c r="H1807" s="19" t="n">
        <x:v>12.041666666666666</x:v>
      </x:c>
      <x:c r="I1807" s="18" t="n">
        <x:f>ROUND(MIN(Model_Config_v3!$B$6,MAX(Q1807,R1807,S1807*Model_Config_v3!$B$4+T1807*Model_Config_v3!$B$5)),0)</x:f>
        <x:v>680</x:v>
      </x:c>
      <x:c r="J1807" s="18" t="n">
        <x:f>MIN(Model_Config_v3!$B$6,I1807+Model_Config_v3!$B$7)</x:f>
        <x:v>700</x:v>
      </x:c>
      <x:c r="K1807" s="20" t="n">
        <x:v>68.7</x:v>
      </x:c>
      <x:c r="L1807" t="str">
        <x:v>SANGAT KETAT</x:v>
      </x:c>
      <x:c r="M1807" t="str">
        <x:v>SEDANG+</x:v>
      </x:c>
      <x:c r="N1807" t="str">
        <x:v>ELITE-1</x:v>
      </x:c>
      <x:c r="O1807" t="str">
        <x:v>CAMPURAN</x:v>
      </x:c>
      <x:c r="P1807" t="str">
        <x:v>UMUM</x:v>
      </x:c>
      <x:c r="Q1807" s="18" t="n">
        <x:v>675</x:v>
      </x:c>
      <x:c r="R1807" s="18" t="n">
        <x:v>0</x:v>
      </x:c>
      <x:c r="S1807" s="18" t="n">
        <x:v>638.8755261149436</x:v>
      </x:c>
      <x:c r="T1807" s="18" t="n">
        <x:v>697</x:v>
      </x:c>
      <x:c r="U1807" s="18" t="n">
        <x:v>675</x:v>
      </x:c>
      <x:c r="V1807" s="20" t="n">
        <x:v>8.8</x:v>
      </x:c>
      <x:c r="W1807" s="20" t="n">
        <x:v>9.9</x:v>
      </x:c>
      <x:c r="X1807" s="20" t="n">
        <x:v>3.3</x:v>
      </x:c>
      <x:c r="Y1807" t="str">
        <x:v>Basis arsip 2025/2024</x:v>
      </x:c>
      <x:c r="Z1807" t="str">
        <x:v>https://snpmb.id/utbk-snbt/daya-tampung-snbt</x:v>
      </x:c>
      <x:c r="AA1807" t="str">
        <x:v>Tidak Ada</x:v>
      </x:c>
      <x:c r="AB1807" t="str">
        <x:v>Campus=100; Ratio=63.6; Prodi=40; RelDemand=17.6; Capacity=80.0</x:v>
      </x:c>
    </x:row>
    <x:row r="1808">
      <x:c r="A1808" t="n">
        <x:v>1805</x:v>
      </x:c>
      <x:c r="B1808" t="str">
        <x:v>PTN Akademik</x:v>
      </x:c>
      <x:c r="C1808" t="str">
        <x:v>UNIVERSITAS GADJAH MADA</x:v>
      </x:c>
      <x:c r="D1808" t="str">
        <x:v>KEDOKTERAN</x:v>
      </x:c>
      <x:c r="E1808" t="str">
        <x:v>Sarjana</x:v>
      </x:c>
      <x:c r="F1808" s="18" t="n">
        <x:v>53</x:v>
      </x:c>
      <x:c r="G1808" s="18" t="n">
        <x:v>3889</x:v>
      </x:c>
      <x:c r="H1808" s="19" t="n">
        <x:v>73.37735849056604</x:v>
      </x:c>
      <x:c r="I1808" s="18" t="n">
        <x:f>ROUND(MIN(Model_Config_v3!$B$6,MAX(Q1808,R1808,S1808*Model_Config_v3!$B$4+T1808*Model_Config_v3!$B$5)),0)</x:f>
        <x:v>745</x:v>
      </x:c>
      <x:c r="J1808" s="18" t="n">
        <x:f>MIN(Model_Config_v3!$B$6,I1808+Model_Config_v3!$B$7)</x:f>
        <x:v>765</x:v>
      </x:c>
      <x:c r="K1808" s="20" t="n">
        <x:v>95.6</x:v>
      </x:c>
      <x:c r="L1808" t="str">
        <x:v>ULTRA ELITE</x:v>
      </x:c>
      <x:c r="M1808" t="str">
        <x:v>SEDANG+</x:v>
      </x:c>
      <x:c r="N1808" t="str">
        <x:v>ELITE-1</x:v>
      </x:c>
      <x:c r="O1808" t="str">
        <x:v>SAINTEK</x:v>
      </x:c>
      <x:c r="P1808" t="str">
        <x:v>KEDOKTERAN</x:v>
      </x:c>
      <x:c r="Q1808" s="18" t="n">
        <x:v>675</x:v>
      </x:c>
      <x:c r="R1808" s="18" t="n">
        <x:v>745</x:v>
      </x:c>
      <x:c r="S1808" s="18" t="n">
        <x:v>725.2118280901337</x:v>
      </x:c>
      <x:c r="T1808" s="18" t="n">
        <x:v>751</x:v>
      </x:c>
      <x:c r="U1808" s="18" t="n">
        <x:v>765.2118280901337</x:v>
      </x:c>
      <x:c r="V1808" s="20" t="n">
        <x:v>12</x:v>
      </x:c>
      <x:c r="W1808" s="20" t="n">
        <x:v>5</x:v>
      </x:c>
      <x:c r="X1808" s="20" t="n">
        <x:v>3</x:v>
      </x:c>
      <x:c r="Y1808" t="str">
        <x:v>Basis arsip 2025/2024</x:v>
      </x:c>
      <x:c r="Z1808" t="str">
        <x:v>https://snpmb.id/utbk-snbt/daya-tampung-snbt</x:v>
      </x:c>
      <x:c r="AA1808" t="str">
        <x:v>Tidak Ada</x:v>
      </x:c>
      <x:c r="AB1808" t="str">
        <x:v>Campus=100; Ratio=100.0; Prodi=100; RelDemand=100.0; Capacity=55.8</x:v>
      </x:c>
    </x:row>
    <x:row r="1809">
      <x:c r="A1809" t="n">
        <x:v>1806</x:v>
      </x:c>
      <x:c r="B1809" t="str">
        <x:v>PTN Akademik</x:v>
      </x:c>
      <x:c r="C1809" t="str">
        <x:v>UNIVERSITAS GADJAH MADA</x:v>
      </x:c>
      <x:c r="D1809" t="str">
        <x:v>ILMU KEPERAWATAN</x:v>
      </x:c>
      <x:c r="E1809" t="str">
        <x:v>Sarjana</x:v>
      </x:c>
      <x:c r="F1809" s="18" t="n">
        <x:v>36</x:v>
      </x:c>
      <x:c r="G1809" s="18" t="n">
        <x:v>1178</x:v>
      </x:c>
      <x:c r="H1809" s="19" t="n">
        <x:v>32.72222222222222</x:v>
      </x:c>
      <x:c r="I1809" s="18" t="n">
        <x:f>ROUND(MIN(Model_Config_v3!$B$6,MAX(Q1809,R1809,S1809*Model_Config_v3!$B$4+T1809*Model_Config_v3!$B$5)),0)</x:f>
        <x:v>710</x:v>
      </x:c>
      <x:c r="J1809" s="18" t="n">
        <x:f>MIN(Model_Config_v3!$B$6,I1809+Model_Config_v3!$B$7)</x:f>
        <x:v>730</x:v>
      </x:c>
      <x:c r="K1809" s="20" t="n">
        <x:v>80.1</x:v>
      </x:c>
      <x:c r="L1809" t="str">
        <x:v>ELITE</x:v>
      </x:c>
      <x:c r="M1809" t="str">
        <x:v>SEDANG+</x:v>
      </x:c>
      <x:c r="N1809" t="str">
        <x:v>ELITE-1</x:v>
      </x:c>
      <x:c r="O1809" t="str">
        <x:v>SAINTEK</x:v>
      </x:c>
      <x:c r="P1809" t="str">
        <x:v>KESEHAT/GIZI/KEPERAWATAN</x:v>
      </x:c>
      <x:c r="Q1809" s="18" t="n">
        <x:v>675</x:v>
      </x:c>
      <x:c r="R1809" s="18" t="n">
        <x:v>680</x:v>
      </x:c>
      <x:c r="S1809" s="18" t="n">
        <x:v>686.6327068652175</x:v>
      </x:c>
      <x:c r="T1809" s="18" t="n">
        <x:v>720</x:v>
      </x:c>
      <x:c r="U1809" s="18" t="n">
        <x:v>686.6327068652175</x:v>
      </x:c>
      <x:c r="V1809" s="20" t="n">
        <x:v>12</x:v>
      </x:c>
      <x:c r="W1809" s="20" t="n">
        <x:v>5</x:v>
      </x:c>
      <x:c r="X1809" s="20" t="n">
        <x:v>3</x:v>
      </x:c>
      <x:c r="Y1809" t="str">
        <x:v>Basis arsip 2025/2024</x:v>
      </x:c>
      <x:c r="Z1809" t="str">
        <x:v>https://snpmb.id/utbk-snbt/daya-tampung-snbt</x:v>
      </x:c>
      <x:c r="AA1809" t="str">
        <x:v>Tidak Ada</x:v>
      </x:c>
      <x:c r="AB1809" t="str">
        <x:v>Campus=100; Ratio=89.2; Prodi=55; RelDemand=47.9; Capacity=70.0</x:v>
      </x:c>
    </x:row>
    <x:row r="1810">
      <x:c r="A1810" t="n">
        <x:v>1807</x:v>
      </x:c>
      <x:c r="B1810" t="str">
        <x:v>PTN Akademik</x:v>
      </x:c>
      <x:c r="C1810" t="str">
        <x:v>UNIVERSITAS GADJAH MADA</x:v>
      </x:c>
      <x:c r="D1810" t="str">
        <x:v>GIZI</x:v>
      </x:c>
      <x:c r="E1810" t="str">
        <x:v>Sarjana</x:v>
      </x:c>
      <x:c r="F1810" s="18" t="n">
        <x:v>30</x:v>
      </x:c>
      <x:c r="G1810" s="18" t="n">
        <x:v>1092</x:v>
      </x:c>
      <x:c r="H1810" s="19" t="n">
        <x:v>36.4</x:v>
      </x:c>
      <x:c r="I1810" s="18" t="n">
        <x:f>ROUND(MIN(Model_Config_v3!$B$6,MAX(Q1810,R1810,S1810*Model_Config_v3!$B$4+T1810*Model_Config_v3!$B$5)),0)</x:f>
        <x:v>714</x:v>
      </x:c>
      <x:c r="J1810" s="18" t="n">
        <x:f>MIN(Model_Config_v3!$B$6,I1810+Model_Config_v3!$B$7)</x:f>
        <x:v>734</x:v>
      </x:c>
      <x:c r="K1810" s="20" t="n">
        <x:v>81.8</x:v>
      </x:c>
      <x:c r="L1810" t="str">
        <x:v>ELITE</x:v>
      </x:c>
      <x:c r="M1810" t="str">
        <x:v>SEDANG+</x:v>
      </x:c>
      <x:c r="N1810" t="str">
        <x:v>ELITE-1</x:v>
      </x:c>
      <x:c r="O1810" t="str">
        <x:v>SAINTEK</x:v>
      </x:c>
      <x:c r="P1810" t="str">
        <x:v>KESEHAT/GIZI/KEPERAWATAN</x:v>
      </x:c>
      <x:c r="Q1810" s="18" t="n">
        <x:v>675</x:v>
      </x:c>
      <x:c r="R1810" s="18" t="n">
        <x:v>680</x:v>
      </x:c>
      <x:c r="S1810" s="18" t="n">
        <x:v>691.7211522013962</x:v>
      </x:c>
      <x:c r="T1810" s="18" t="n">
        <x:v>724</x:v>
      </x:c>
      <x:c r="U1810" s="18" t="n">
        <x:v>691.7211522013962</x:v>
      </x:c>
      <x:c r="V1810" s="20" t="n">
        <x:v>12</x:v>
      </x:c>
      <x:c r="W1810" s="20" t="n">
        <x:v>5</x:v>
      </x:c>
      <x:c r="X1810" s="20" t="n">
        <x:v>3</x:v>
      </x:c>
      <x:c r="Y1810" t="str">
        <x:v>Basis arsip 2025/2024</x:v>
      </x:c>
      <x:c r="Z1810" t="str">
        <x:v>https://snpmb.id/utbk-snbt/daya-tampung-snbt</x:v>
      </x:c>
      <x:c r="AA1810" t="str">
        <x:v>Tidak Ada</x:v>
      </x:c>
      <x:c r="AB1810" t="str">
        <x:v>Campus=100; Ratio=91.9; Prodi=55; RelDemand=53.3; Capacity=75.0</x:v>
      </x:c>
    </x:row>
    <x:row r="1811">
      <x:c r="A1811" t="n">
        <x:v>1808</x:v>
      </x:c>
      <x:c r="B1811" t="str">
        <x:v>PTN Akademik</x:v>
      </x:c>
      <x:c r="C1811" t="str">
        <x:v>UNIVERSITAS GADJAH MADA</x:v>
      </x:c>
      <x:c r="D1811" t="str">
        <x:v>KEDOKTERAN GIGI</x:v>
      </x:c>
      <x:c r="E1811" t="str">
        <x:v>Sarjana</x:v>
      </x:c>
      <x:c r="F1811" s="18" t="n">
        <x:v>47</x:v>
      </x:c>
      <x:c r="G1811" s="18" t="n">
        <x:v>1350</x:v>
      </x:c>
      <x:c r="H1811" s="19" t="n">
        <x:v>28.72340425531915</x:v>
      </x:c>
      <x:c r="I1811" s="18" t="n">
        <x:f>ROUND(MIN(Model_Config_v3!$B$6,MAX(Q1811,R1811,S1811*Model_Config_v3!$B$4+T1811*Model_Config_v3!$B$5)),0)</x:f>
        <x:v>720</x:v>
      </x:c>
      <x:c r="J1811" s="18" t="n">
        <x:f>MIN(Model_Config_v3!$B$6,I1811+Model_Config_v3!$B$7)</x:f>
        <x:v>740</x:v>
      </x:c>
      <x:c r="K1811" s="20" t="n">
        <x:v>84.7</x:v>
      </x:c>
      <x:c r="L1811" t="str">
        <x:v>ELITE</x:v>
      </x:c>
      <x:c r="M1811" t="str">
        <x:v>SEDANG+</x:v>
      </x:c>
      <x:c r="N1811" t="str">
        <x:v>ELITE-1</x:v>
      </x:c>
      <x:c r="O1811" t="str">
        <x:v>SAINTEK</x:v>
      </x:c>
      <x:c r="P1811" t="str">
        <x:v>KEDOKTERAN GIGI</x:v>
      </x:c>
      <x:c r="Q1811" s="18" t="n">
        <x:v>675</x:v>
      </x:c>
      <x:c r="R1811" s="18" t="n">
        <x:v>720</x:v>
      </x:c>
      <x:c r="S1811" s="18" t="n">
        <x:v>680.4059501615218</x:v>
      </x:c>
      <x:c r="T1811" s="18" t="n">
        <x:v>729</x:v>
      </x:c>
      <x:c r="U1811" s="18" t="n">
        <x:v>720</x:v>
      </x:c>
      <x:c r="V1811" s="20" t="n">
        <x:v>12</x:v>
      </x:c>
      <x:c r="W1811" s="20" t="n">
        <x:v>5</x:v>
      </x:c>
      <x:c r="X1811" s="20" t="n">
        <x:v>3</x:v>
      </x:c>
      <x:c r="Y1811" t="str">
        <x:v>Basis arsip 2025/2024</x:v>
      </x:c>
      <x:c r="Z1811" t="str">
        <x:v>https://snpmb.id/utbk-snbt/daya-tampung-snbt</x:v>
      </x:c>
      <x:c r="AA1811" t="str">
        <x:v>Tidak Ada</x:v>
      </x:c>
      <x:c r="AB1811" t="str">
        <x:v>Campus=100; Ratio=85.8; Prodi=90; RelDemand=42.1; Capacity=60.8</x:v>
      </x:c>
    </x:row>
    <x:row r="1812">
      <x:c r="A1812" t="n">
        <x:v>1809</x:v>
      </x:c>
      <x:c r="B1812" t="str">
        <x:v>PTN Akademik</x:v>
      </x:c>
      <x:c r="C1812" t="str">
        <x:v>UNIVERSITAS GADJAH MADA</x:v>
      </x:c>
      <x:c r="D1812" t="str">
        <x:v>KEDOKTERAN HEWAN</x:v>
      </x:c>
      <x:c r="E1812" t="str">
        <x:v>Sarjana</x:v>
      </x:c>
      <x:c r="F1812" s="18" t="n">
        <x:v>60</x:v>
      </x:c>
      <x:c r="G1812" s="18" t="n">
        <x:v>789</x:v>
      </x:c>
      <x:c r="H1812" s="19" t="n">
        <x:v>13.15</x:v>
      </x:c>
      <x:c r="I1812" s="18" t="n">
        <x:f>ROUND(MIN(Model_Config_v3!$B$6,MAX(Q1812,R1812,S1812*Model_Config_v3!$B$4+T1812*Model_Config_v3!$B$5)),0)</x:f>
        <x:v>690</x:v>
      </x:c>
      <x:c r="J1812" s="18" t="n">
        <x:f>MIN(Model_Config_v3!$B$6,I1812+Model_Config_v3!$B$7)</x:f>
        <x:v>710</x:v>
      </x:c>
      <x:c r="K1812" s="20" t="n">
        <x:v>70.4</x:v>
      </x:c>
      <x:c r="L1812" t="str">
        <x:v>SANGAT KETAT</x:v>
      </x:c>
      <x:c r="M1812" t="str">
        <x:v>SEDANG+</x:v>
      </x:c>
      <x:c r="N1812" t="str">
        <x:v>ELITE-1</x:v>
      </x:c>
      <x:c r="O1812" t="str">
        <x:v>SAINTEK</x:v>
      </x:c>
      <x:c r="P1812" t="str">
        <x:v>VETERINER</x:v>
      </x:c>
      <x:c r="Q1812" s="18" t="n">
        <x:v>675</x:v>
      </x:c>
      <x:c r="R1812" s="18" t="n">
        <x:v>690</x:v>
      </x:c>
      <x:c r="S1812" s="18" t="n">
        <x:v>643.0818328108354</x:v>
      </x:c>
      <x:c r="T1812" s="18" t="n">
        <x:v>701</x:v>
      </x:c>
      <x:c r="U1812" s="18" t="n">
        <x:v>675</x:v>
      </x:c>
      <x:c r="V1812" s="20" t="n">
        <x:v>12</x:v>
      </x:c>
      <x:c r="W1812" s="20" t="n">
        <x:v>5</x:v>
      </x:c>
      <x:c r="X1812" s="20" t="n">
        <x:v>3</x:v>
      </x:c>
      <x:c r="Y1812" t="str">
        <x:v>Basis arsip 2025/2024</x:v>
      </x:c>
      <x:c r="Z1812" t="str">
        <x:v>https://snpmb.id/utbk-snbt/daya-tampung-snbt</x:v>
      </x:c>
      <x:c r="AA1812" t="str">
        <x:v>Tidak Ada</x:v>
      </x:c>
      <x:c r="AB1812" t="str">
        <x:v>Campus=100; Ratio=65.9; Prodi=60; RelDemand=19.3; Capacity=50.0</x:v>
      </x:c>
    </x:row>
    <x:row r="1813">
      <x:c r="A1813" t="n">
        <x:v>1810</x:v>
      </x:c>
      <x:c r="B1813" t="str">
        <x:v>PTN Akademik</x:v>
      </x:c>
      <x:c r="C1813" t="str">
        <x:v>UNIVERSITAS GADJAH MADA</x:v>
      </x:c>
      <x:c r="D1813" t="str">
        <x:v>FISIKA</x:v>
      </x:c>
      <x:c r="E1813" t="str">
        <x:v>Sarjana</x:v>
      </x:c>
      <x:c r="F1813" s="18" t="n">
        <x:v>21</x:v>
      </x:c>
      <x:c r="G1813" s="18" t="n">
        <x:v>151</x:v>
      </x:c>
      <x:c r="H1813" s="19" t="n">
        <x:v>7.190476190476191</x:v>
      </x:c>
      <x:c r="I1813" s="18" t="n">
        <x:f>ROUND(MIN(Model_Config_v3!$B$6,MAX(Q1813,R1813,S1813*Model_Config_v3!$B$4+T1813*Model_Config_v3!$B$5)),0)</x:f>
        <x:v>675</x:v>
      </x:c>
      <x:c r="J1813" s="18" t="n">
        <x:f>MIN(Model_Config_v3!$B$6,I1813+Model_Config_v3!$B$7)</x:f>
        <x:v>695</x:v>
      </x:c>
      <x:c r="K1813" s="20" t="n">
        <x:v>66.9</x:v>
      </x:c>
      <x:c r="L1813" t="str">
        <x:v>SANGAT KETAT</x:v>
      </x:c>
      <x:c r="M1813" t="str">
        <x:v>SEDANG+</x:v>
      </x:c>
      <x:c r="N1813" t="str">
        <x:v>ELITE-1</x:v>
      </x:c>
      <x:c r="O1813" t="str">
        <x:v>SAINTEK</x:v>
      </x:c>
      <x:c r="P1813" t="str">
        <x:v>SAINS DASAR</x:v>
      </x:c>
      <x:c r="Q1813" s="18" t="n">
        <x:v>675</x:v>
      </x:c>
      <x:c r="R1813" s="18" t="n">
        <x:v>675</x:v>
      </x:c>
      <x:c r="S1813" s="18" t="n">
        <x:v>614.2433417815175</x:v>
      </x:c>
      <x:c r="T1813" s="18" t="n">
        <x:v>694</x:v>
      </x:c>
      <x:c r="U1813" s="18" t="n">
        <x:v>675</x:v>
      </x:c>
      <x:c r="V1813" s="20" t="n">
        <x:v>12</x:v>
      </x:c>
      <x:c r="W1813" s="20" t="n">
        <x:v>5</x:v>
      </x:c>
      <x:c r="X1813" s="20" t="n">
        <x:v>3</x:v>
      </x:c>
      <x:c r="Y1813" t="str">
        <x:v>Basis arsip 2025/2024</x:v>
      </x:c>
      <x:c r="Z1813" t="str">
        <x:v>https://snpmb.id/utbk-snbt/daya-tampung-snbt</x:v>
      </x:c>
      <x:c r="AA1813" t="str">
        <x:v>Tidak Ada</x:v>
      </x:c>
      <x:c r="AB1813" t="str">
        <x:v>Campus=100; Ratio=50.4; Prodi=50; RelDemand=10.5; Capacity=82.5</x:v>
      </x:c>
    </x:row>
    <x:row r="1814">
      <x:c r="A1814" t="n">
        <x:v>1811</x:v>
      </x:c>
      <x:c r="B1814" t="str">
        <x:v>PTN Akademik</x:v>
      </x:c>
      <x:c r="C1814" t="str">
        <x:v>UNIVERSITAS GADJAH MADA</x:v>
      </x:c>
      <x:c r="D1814" t="str">
        <x:v>KIMIA</x:v>
      </x:c>
      <x:c r="E1814" t="str">
        <x:v>Sarjana</x:v>
      </x:c>
      <x:c r="F1814" s="18" t="n">
        <x:v>45</x:v>
      </x:c>
      <x:c r="G1814" s="18" t="n">
        <x:v>414</x:v>
      </x:c>
      <x:c r="H1814" s="19" t="n">
        <x:v>9.2</x:v>
      </x:c>
      <x:c r="I1814" s="18" t="n">
        <x:f>ROUND(MIN(Model_Config_v3!$B$6,MAX(Q1814,R1814,S1814*Model_Config_v3!$B$4+T1814*Model_Config_v3!$B$5)),0)</x:f>
        <x:v>675</x:v>
      </x:c>
      <x:c r="J1814" s="18" t="n">
        <x:f>MIN(Model_Config_v3!$B$6,I1814+Model_Config_v3!$B$7)</x:f>
        <x:v>695</x:v>
      </x:c>
      <x:c r="K1814" s="20" t="n">
        <x:v>66.8</x:v>
      </x:c>
      <x:c r="L1814" t="str">
        <x:v>SANGAT KETAT</x:v>
      </x:c>
      <x:c r="M1814" t="str">
        <x:v>SEDANG+</x:v>
      </x:c>
      <x:c r="N1814" t="str">
        <x:v>ELITE-1</x:v>
      </x:c>
      <x:c r="O1814" t="str">
        <x:v>SAINTEK</x:v>
      </x:c>
      <x:c r="P1814" t="str">
        <x:v>SAINS DASAR</x:v>
      </x:c>
      <x:c r="Q1814" s="18" t="n">
        <x:v>675</x:v>
      </x:c>
      <x:c r="R1814" s="18" t="n">
        <x:v>675</x:v>
      </x:c>
      <x:c r="S1814" s="18" t="n">
        <x:v>626.016661008011</x:v>
      </x:c>
      <x:c r="T1814" s="18" t="n">
        <x:v>694</x:v>
      </x:c>
      <x:c r="U1814" s="18" t="n">
        <x:v>675</x:v>
      </x:c>
      <x:c r="V1814" s="20" t="n">
        <x:v>12</x:v>
      </x:c>
      <x:c r="W1814" s="20" t="n">
        <x:v>5</x:v>
      </x:c>
      <x:c r="X1814" s="20" t="n">
        <x:v>3</x:v>
      </x:c>
      <x:c r="Y1814" t="str">
        <x:v>Basis arsip 2025/2024</x:v>
      </x:c>
      <x:c r="Z1814" t="str">
        <x:v>https://snpmb.id/utbk-snbt/daya-tampung-snbt</x:v>
      </x:c>
      <x:c r="AA1814" t="str">
        <x:v>Tidak Ada</x:v>
      </x:c>
      <x:c r="AB1814" t="str">
        <x:v>Campus=100; Ratio=56.7; Prodi=50; RelDemand=13.5; Capacity=62.5</x:v>
      </x:c>
    </x:row>
    <x:row r="1815">
      <x:c r="A1815" t="n">
        <x:v>1812</x:v>
      </x:c>
      <x:c r="B1815" t="str">
        <x:v>PTN Akademik</x:v>
      </x:c>
      <x:c r="C1815" t="str">
        <x:v>UNIVERSITAS GADJAH MADA</x:v>
      </x:c>
      <x:c r="D1815" t="str">
        <x:v>MATEMATIKA</x:v>
      </x:c>
      <x:c r="E1815" t="str">
        <x:v>Sarjana</x:v>
      </x:c>
      <x:c r="F1815" s="18" t="n">
        <x:v>20</x:v>
      </x:c>
      <x:c r="G1815" s="18" t="n">
        <x:v>336</x:v>
      </x:c>
      <x:c r="H1815" s="19" t="n">
        <x:v>16.8</x:v>
      </x:c>
      <x:c r="I1815" s="18" t="n">
        <x:f>ROUND(MIN(Model_Config_v3!$B$6,MAX(Q1815,R1815,S1815*Model_Config_v3!$B$4+T1815*Model_Config_v3!$B$5)),0)</x:f>
        <x:v>692</x:v>
      </x:c>
      <x:c r="J1815" s="18" t="n">
        <x:f>MIN(Model_Config_v3!$B$6,I1815+Model_Config_v3!$B$7)</x:f>
        <x:v>712</x:v>
      </x:c>
      <x:c r="K1815" s="20" t="n">
        <x:v>73.8</x:v>
      </x:c>
      <x:c r="L1815" t="str">
        <x:v>SANGAT KETAT</x:v>
      </x:c>
      <x:c r="M1815" t="str">
        <x:v>SEDANG+</x:v>
      </x:c>
      <x:c r="N1815" t="str">
        <x:v>ELITE-1</x:v>
      </x:c>
      <x:c r="O1815" t="str">
        <x:v>SAINTEK</x:v>
      </x:c>
      <x:c r="P1815" t="str">
        <x:v>SAINS DASAR</x:v>
      </x:c>
      <x:c r="Q1815" s="18" t="n">
        <x:v>675</x:v>
      </x:c>
      <x:c r="R1815" s="18" t="n">
        <x:v>675</x:v>
      </x:c>
      <x:c r="S1815" s="18" t="n">
        <x:v>654.784020989845</x:v>
      </x:c>
      <x:c r="T1815" s="18" t="n">
        <x:v>708</x:v>
      </x:c>
      <x:c r="U1815" s="18" t="n">
        <x:v>675</x:v>
      </x:c>
      <x:c r="V1815" s="20" t="n">
        <x:v>12</x:v>
      </x:c>
      <x:c r="W1815" s="20" t="n">
        <x:v>5</x:v>
      </x:c>
      <x:c r="X1815" s="20" t="n">
        <x:v>3</x:v>
      </x:c>
      <x:c r="Y1815" t="str">
        <x:v>Basis arsip 2025/2024</x:v>
      </x:c>
      <x:c r="Z1815" t="str">
        <x:v>https://snpmb.id/utbk-snbt/daya-tampung-snbt</x:v>
      </x:c>
      <x:c r="AA1815" t="str">
        <x:v>Tidak Ada</x:v>
      </x:c>
      <x:c r="AB1815" t="str">
        <x:v>Campus=100; Ratio=72.1; Prodi=50; RelDemand=24.6; Capacity=83.3</x:v>
      </x:c>
    </x:row>
    <x:row r="1816">
      <x:c r="A1816" t="n">
        <x:v>1813</x:v>
      </x:c>
      <x:c r="B1816" t="str">
        <x:v>PTN Akademik</x:v>
      </x:c>
      <x:c r="C1816" t="str">
        <x:v>UNIVERSITAS GADJAH MADA</x:v>
      </x:c>
      <x:c r="D1816" t="str">
        <x:v>ILMU KOMPUTER</x:v>
      </x:c>
      <x:c r="E1816" t="str">
        <x:v>Sarjana</x:v>
      </x:c>
      <x:c r="F1816" s="18" t="n">
        <x:v>27</x:v>
      </x:c>
      <x:c r="G1816" s="18" t="n">
        <x:v>1219</x:v>
      </x:c>
      <x:c r="H1816" s="19" t="n">
        <x:v>45.148148148148145</x:v>
      </x:c>
      <x:c r="I1816" s="18" t="n">
        <x:f>ROUND(MIN(Model_Config_v3!$B$6,MAX(Q1816,R1816,S1816*Model_Config_v3!$B$4+T1816*Model_Config_v3!$B$5)),0)</x:f>
        <x:v>729</x:v>
      </x:c>
      <x:c r="J1816" s="18" t="n">
        <x:f>MIN(Model_Config_v3!$B$6,I1816+Model_Config_v3!$B$7)</x:f>
        <x:v>749</x:v>
      </x:c>
      <x:c r="K1816" s="20" t="n">
        <x:v>90.7</x:v>
      </x:c>
      <x:c r="L1816" t="str">
        <x:v>ULTRA ELITE</x:v>
      </x:c>
      <x:c r="M1816" t="str">
        <x:v>SEDANG+</x:v>
      </x:c>
      <x:c r="N1816" t="str">
        <x:v>ELITE-1</x:v>
      </x:c>
      <x:c r="O1816" t="str">
        <x:v>SAINTEK</x:v>
      </x:c>
      <x:c r="P1816" t="str">
        <x:v>KOMPUTER/INFORMATIKA</x:v>
      </x:c>
      <x:c r="Q1816" s="18" t="n">
        <x:v>675</x:v>
      </x:c>
      <x:c r="R1816" s="18" t="n">
        <x:v>715</x:v>
      </x:c>
      <x:c r="S1816" s="18" t="n">
        <x:v>702.0103935605334</x:v>
      </x:c>
      <x:c r="T1816" s="18" t="n">
        <x:v>741</x:v>
      </x:c>
      <x:c r="U1816" s="18" t="n">
        <x:v>727.0103935605334</x:v>
      </x:c>
      <x:c r="V1816" s="20" t="n">
        <x:v>12</x:v>
      </x:c>
      <x:c r="W1816" s="20" t="n">
        <x:v>5</x:v>
      </x:c>
      <x:c r="X1816" s="20" t="n">
        <x:v>3</x:v>
      </x:c>
      <x:c r="Y1816" t="str">
        <x:v>Basis arsip 2025/2024</x:v>
      </x:c>
      <x:c r="Z1816" t="str">
        <x:v>https://snpmb.id/utbk-snbt/daya-tampung-snbt</x:v>
      </x:c>
      <x:c r="AA1816" t="str">
        <x:v>Tidak Ada</x:v>
      </x:c>
      <x:c r="AB1816" t="str">
        <x:v>Campus=100; Ratio=97.4; Prodi=85; RelDemand=66.1; Capacity=77.5</x:v>
      </x:c>
    </x:row>
    <x:row r="1817">
      <x:c r="A1817" t="n">
        <x:v>1814</x:v>
      </x:c>
      <x:c r="B1817" t="str">
        <x:v>PTN Akademik</x:v>
      </x:c>
      <x:c r="C1817" t="str">
        <x:v>UNIVERSITAS GADJAH MADA</x:v>
      </x:c>
      <x:c r="D1817" t="str">
        <x:v>STATISTIKA</x:v>
      </x:c>
      <x:c r="E1817" t="str">
        <x:v>Sarjana</x:v>
      </x:c>
      <x:c r="F1817" s="18" t="n">
        <x:v>20</x:v>
      </x:c>
      <x:c r="G1817" s="18" t="n">
        <x:v>544</x:v>
      </x:c>
      <x:c r="H1817" s="19" t="n">
        <x:v>27.2</x:v>
      </x:c>
      <x:c r="I1817" s="18" t="n">
        <x:f>ROUND(MIN(Model_Config_v3!$B$6,MAX(Q1817,R1817,S1817*Model_Config_v3!$B$4+T1817*Model_Config_v3!$B$5)),0)</x:f>
        <x:v>708</x:v>
      </x:c>
      <x:c r="J1817" s="18" t="n">
        <x:f>MIN(Model_Config_v3!$B$6,I1817+Model_Config_v3!$B$7)</x:f>
        <x:v>728</x:v>
      </x:c>
      <x:c r="K1817" s="20" t="n">
        <x:v>80.4</x:v>
      </x:c>
      <x:c r="L1817" t="str">
        <x:v>ELITE</x:v>
      </x:c>
      <x:c r="M1817" t="str">
        <x:v>SEDANG+</x:v>
      </x:c>
      <x:c r="N1817" t="str">
        <x:v>ELITE-1</x:v>
      </x:c>
      <x:c r="O1817" t="str">
        <x:v>SAINTEK</x:v>
      </x:c>
      <x:c r="P1817" t="str">
        <x:v>TEKNIK/ARSITEKTUR/STATISTIKA/AKTUARIA</x:v>
      </x:c>
      <x:c r="Q1817" s="18" t="n">
        <x:v>675</x:v>
      </x:c>
      <x:c r="R1817" s="18" t="n">
        <x:v>690</x:v>
      </x:c>
      <x:c r="S1817" s="18" t="n">
        <x:v>677.8025794437618</x:v>
      </x:c>
      <x:c r="T1817" s="18" t="n">
        <x:v>721</x:v>
      </x:c>
      <x:c r="U1817" s="18" t="n">
        <x:v>687.8025794437618</x:v>
      </x:c>
      <x:c r="V1817" s="20" t="n">
        <x:v>12</x:v>
      </x:c>
      <x:c r="W1817" s="20" t="n">
        <x:v>5</x:v>
      </x:c>
      <x:c r="X1817" s="20" t="n">
        <x:v>3</x:v>
      </x:c>
      <x:c r="Y1817" t="str">
        <x:v>Basis arsip 2025/2024</x:v>
      </x:c>
      <x:c r="Z1817" t="str">
        <x:v>https://snpmb.id/utbk-snbt/daya-tampung-snbt</x:v>
      </x:c>
      <x:c r="AA1817" t="str">
        <x:v>Tidak Ada</x:v>
      </x:c>
      <x:c r="AB1817" t="str">
        <x:v>Campus=100; Ratio=84.4; Prodi=60; RelDemand=39.8; Capacity=83.3</x:v>
      </x:c>
    </x:row>
    <x:row r="1818">
      <x:c r="A1818" t="n">
        <x:v>1815</x:v>
      </x:c>
      <x:c r="B1818" t="str">
        <x:v>PTN Akademik</x:v>
      </x:c>
      <x:c r="C1818" t="str">
        <x:v>UNIVERSITAS GADJAH MADA</x:v>
      </x:c>
      <x:c r="D1818" t="str">
        <x:v>GEOFISIKA</x:v>
      </x:c>
      <x:c r="E1818" t="str">
        <x:v>Sarjana</x:v>
      </x:c>
      <x:c r="F1818" s="18" t="n">
        <x:v>21</x:v>
      </x:c>
      <x:c r="G1818" s="18" t="n">
        <x:v>217</x:v>
      </x:c>
      <x:c r="H1818" s="19" t="n">
        <x:v>10.333333333333334</x:v>
      </x:c>
      <x:c r="I1818" s="18" t="n">
        <x:f>ROUND(MIN(Model_Config_v3!$B$6,MAX(Q1818,R1818,S1818*Model_Config_v3!$B$4+T1818*Model_Config_v3!$B$5)),0)</x:f>
        <x:v>679</x:v>
      </x:c>
      <x:c r="J1818" s="18" t="n">
        <x:f>MIN(Model_Config_v3!$B$6,I1818+Model_Config_v3!$B$7)</x:f>
        <x:v>699</x:v>
      </x:c>
      <x:c r="K1818" s="20" t="n">
        <x:v>69.7</x:v>
      </x:c>
      <x:c r="L1818" t="str">
        <x:v>SANGAT KETAT</x:v>
      </x:c>
      <x:c r="M1818" t="str">
        <x:v>SEDANG+</x:v>
      </x:c>
      <x:c r="N1818" t="str">
        <x:v>ELITE-1</x:v>
      </x:c>
      <x:c r="O1818" t="str">
        <x:v>SAINTEK</x:v>
      </x:c>
      <x:c r="P1818" t="str">
        <x:v>SAINS DASAR</x:v>
      </x:c>
      <x:c r="Q1818" s="18" t="n">
        <x:v>675</x:v>
      </x:c>
      <x:c r="R1818" s="18" t="n">
        <x:v>675</x:v>
      </x:c>
      <x:c r="S1818" s="18" t="n">
        <x:v>631.5664483026071</x:v>
      </x:c>
      <x:c r="T1818" s="18" t="n">
        <x:v>699</x:v>
      </x:c>
      <x:c r="U1818" s="18" t="n">
        <x:v>675</x:v>
      </x:c>
      <x:c r="V1818" s="20" t="n">
        <x:v>12</x:v>
      </x:c>
      <x:c r="W1818" s="20" t="n">
        <x:v>5</x:v>
      </x:c>
      <x:c r="X1818" s="20" t="n">
        <x:v>3</x:v>
      </x:c>
      <x:c r="Y1818" t="str">
        <x:v>Basis arsip 2025/2024</x:v>
      </x:c>
      <x:c r="Z1818" t="str">
        <x:v>https://snpmb.id/utbk-snbt/daya-tampung-snbt</x:v>
      </x:c>
      <x:c r="AA1818" t="str">
        <x:v>Tidak Ada</x:v>
      </x:c>
      <x:c r="AB1818" t="str">
        <x:v>Campus=100; Ratio=59.7; Prodi=50; RelDemand=15.1; Capacity=82.5</x:v>
      </x:c>
    </x:row>
    <x:row r="1819">
      <x:c r="A1819" t="n">
        <x:v>1816</x:v>
      </x:c>
      <x:c r="B1819" t="str">
        <x:v>PTN Akademik</x:v>
      </x:c>
      <x:c r="C1819" t="str">
        <x:v>UNIVERSITAS GADJAH MADA</x:v>
      </x:c>
      <x:c r="D1819" t="str">
        <x:v>ELEKTRONIKA DAN INSTRUMENTASI</x:v>
      </x:c>
      <x:c r="E1819" t="str">
        <x:v>Sarjana</x:v>
      </x:c>
      <x:c r="F1819" s="18" t="n">
        <x:v>27</x:v>
      </x:c>
      <x:c r="G1819" s="18" t="n">
        <x:v>330</x:v>
      </x:c>
      <x:c r="H1819" s="19" t="n">
        <x:v>12.222222222222221</x:v>
      </x:c>
      <x:c r="I1819" s="18" t="n">
        <x:f>ROUND(MIN(Model_Config_v3!$B$6,MAX(Q1819,R1819,S1819*Model_Config_v3!$B$4+T1819*Model_Config_v3!$B$5)),0)</x:f>
        <x:v>680</x:v>
      </x:c>
      <x:c r="J1819" s="18" t="n">
        <x:f>MIN(Model_Config_v3!$B$6,I1819+Model_Config_v3!$B$7)</x:f>
        <x:v>700</x:v>
      </x:c>
      <x:c r="K1819" s="20" t="n">
        <x:v>68.5</x:v>
      </x:c>
      <x:c r="L1819" t="str">
        <x:v>SANGAT KETAT</x:v>
      </x:c>
      <x:c r="M1819" t="str">
        <x:v>SEDANG+</x:v>
      </x:c>
      <x:c r="N1819" t="str">
        <x:v>ELITE-1</x:v>
      </x:c>
      <x:c r="O1819" t="str">
        <x:v>CAMPURAN</x:v>
      </x:c>
      <x:c r="P1819" t="str">
        <x:v>UMUM</x:v>
      </x:c>
      <x:c r="Q1819" s="18" t="n">
        <x:v>675</x:v>
      </x:c>
      <x:c r="R1819" s="18" t="n">
        <x:v>0</x:v>
      </x:c>
      <x:c r="S1819" s="18" t="n">
        <x:v>639.586519329079</x:v>
      </x:c>
      <x:c r="T1819" s="18" t="n">
        <x:v>697</x:v>
      </x:c>
      <x:c r="U1819" s="18" t="n">
        <x:v>675</x:v>
      </x:c>
      <x:c r="V1819" s="20" t="n">
        <x:v>8.8</x:v>
      </x:c>
      <x:c r="W1819" s="20" t="n">
        <x:v>9.9</x:v>
      </x:c>
      <x:c r="X1819" s="20" t="n">
        <x:v>3.3</x:v>
      </x:c>
      <x:c r="Y1819" t="str">
        <x:v>Basis arsip 2025/2024</x:v>
      </x:c>
      <x:c r="Z1819" t="str">
        <x:v>https://snpmb.id/utbk-snbt/daya-tampung-snbt</x:v>
      </x:c>
      <x:c r="AA1819" t="str">
        <x:v>Tidak Ada</x:v>
      </x:c>
      <x:c r="AB1819" t="str">
        <x:v>Campus=100; Ratio=64.0; Prodi=40; RelDemand=17.9; Capacity=77.5</x:v>
      </x:c>
    </x:row>
    <x:row r="1820">
      <x:c r="A1820" t="n">
        <x:v>1817</x:v>
      </x:c>
      <x:c r="B1820" t="str">
        <x:v>PTN Akademik</x:v>
      </x:c>
      <x:c r="C1820" t="str">
        <x:v>UNIVERSITAS GADJAH MADA</x:v>
      </x:c>
      <x:c r="D1820" t="str">
        <x:v>AGRONOMI</x:v>
      </x:c>
      <x:c r="E1820" t="str">
        <x:v>Sarjana</x:v>
      </x:c>
      <x:c r="F1820" s="18" t="n">
        <x:v>24</x:v>
      </x:c>
      <x:c r="G1820" s="18" t="n">
        <x:v>241</x:v>
      </x:c>
      <x:c r="H1820" s="19" t="n">
        <x:v>10.041666666666666</x:v>
      </x:c>
      <x:c r="I1820" s="18" t="n">
        <x:f>ROUND(MIN(Model_Config_v3!$B$6,MAX(Q1820,R1820,S1820*Model_Config_v3!$B$4+T1820*Model_Config_v3!$B$5)),0)</x:f>
        <x:v>675</x:v>
      </x:c>
      <x:c r="J1820" s="18" t="n">
        <x:f>MIN(Model_Config_v3!$B$6,I1820+Model_Config_v3!$B$7)</x:f>
        <x:v>695</x:v>
      </x:c>
      <x:c r="K1820" s="20" t="n">
        <x:v>67.2</x:v>
      </x:c>
      <x:c r="L1820" t="str">
        <x:v>SANGAT KETAT</x:v>
      </x:c>
      <x:c r="M1820" t="str">
        <x:v>SEDANG+</x:v>
      </x:c>
      <x:c r="N1820" t="str">
        <x:v>ELITE-1</x:v>
      </x:c>
      <x:c r="O1820" t="str">
        <x:v>CAMPURAN</x:v>
      </x:c>
      <x:c r="P1820" t="str">
        <x:v>UMUM</x:v>
      </x:c>
      <x:c r="Q1820" s="18" t="n">
        <x:v>675</x:v>
      </x:c>
      <x:c r="R1820" s="18" t="n">
        <x:v>0</x:v>
      </x:c>
      <x:c r="S1820" s="18" t="n">
        <x:v>630.1986380949588</x:v>
      </x:c>
      <x:c r="T1820" s="18" t="n">
        <x:v>694</x:v>
      </x:c>
      <x:c r="U1820" s="18" t="n">
        <x:v>675</x:v>
      </x:c>
      <x:c r="V1820" s="20" t="n">
        <x:v>8.8</x:v>
      </x:c>
      <x:c r="W1820" s="20" t="n">
        <x:v>9.9</x:v>
      </x:c>
      <x:c r="X1820" s="20" t="n">
        <x:v>3.3</x:v>
      </x:c>
      <x:c r="Y1820" t="str">
        <x:v>Basis arsip 2025/2024</x:v>
      </x:c>
      <x:c r="Z1820" t="str">
        <x:v>https://snpmb.id/utbk-snbt/daya-tampung-snbt</x:v>
      </x:c>
      <x:c r="AA1820" t="str">
        <x:v>Tidak Ada</x:v>
      </x:c>
      <x:c r="AB1820" t="str">
        <x:v>Campus=100; Ratio=59.0; Prodi=40; RelDemand=14.7; Capacity=80.0</x:v>
      </x:c>
    </x:row>
    <x:row r="1821">
      <x:c r="A1821" t="n">
        <x:v>1818</x:v>
      </x:c>
      <x:c r="B1821" t="str">
        <x:v>PTN Akademik</x:v>
      </x:c>
      <x:c r="C1821" t="str">
        <x:v>UNIVERSITAS GADJAH MADA</x:v>
      </x:c>
      <x:c r="D1821" t="str">
        <x:v>ILMU TANAH</x:v>
      </x:c>
      <x:c r="E1821" t="str">
        <x:v>Sarjana</x:v>
      </x:c>
      <x:c r="F1821" s="18" t="n">
        <x:v>23</x:v>
      </x:c>
      <x:c r="G1821" s="18" t="n">
        <x:v>216</x:v>
      </x:c>
      <x:c r="H1821" s="19" t="n">
        <x:v>9.391304347826088</x:v>
      </x:c>
      <x:c r="I1821" s="18" t="n">
        <x:f>ROUND(MIN(Model_Config_v3!$B$6,MAX(Q1821,R1821,S1821*Model_Config_v3!$B$4+T1821*Model_Config_v3!$B$5)),0)</x:f>
        <x:v>675</x:v>
      </x:c>
      <x:c r="J1821" s="18" t="n">
        <x:f>MIN(Model_Config_v3!$B$6,I1821+Model_Config_v3!$B$7)</x:f>
        <x:v>695</x:v>
      </x:c>
      <x:c r="K1821" s="20" t="n">
        <x:v>66.8</x:v>
      </x:c>
      <x:c r="L1821" t="str">
        <x:v>SANGAT KETAT</x:v>
      </x:c>
      <x:c r="M1821" t="str">
        <x:v>SEDANG+</x:v>
      </x:c>
      <x:c r="N1821" t="str">
        <x:v>ELITE-1</x:v>
      </x:c>
      <x:c r="O1821" t="str">
        <x:v>CAMPURAN</x:v>
      </x:c>
      <x:c r="P1821" t="str">
        <x:v>UMUM</x:v>
      </x:c>
      <x:c r="Q1821" s="18" t="n">
        <x:v>675</x:v>
      </x:c>
      <x:c r="R1821" s="18" t="n">
        <x:v>0</x:v>
      </x:c>
      <x:c r="S1821" s="18" t="n">
        <x:v>626.9998506646672</x:v>
      </x:c>
      <x:c r="T1821" s="18" t="n">
        <x:v>694</x:v>
      </x:c>
      <x:c r="U1821" s="18" t="n">
        <x:v>675</x:v>
      </x:c>
      <x:c r="V1821" s="20" t="n">
        <x:v>8.8</x:v>
      </x:c>
      <x:c r="W1821" s="20" t="n">
        <x:v>9.9</x:v>
      </x:c>
      <x:c r="X1821" s="20" t="n">
        <x:v>3.3</x:v>
      </x:c>
      <x:c r="Y1821" t="str">
        <x:v>Basis arsip 2025/2024</x:v>
      </x:c>
      <x:c r="Z1821" t="str">
        <x:v>https://snpmb.id/utbk-snbt/daya-tampung-snbt</x:v>
      </x:c>
      <x:c r="AA1821" t="str">
        <x:v>Tidak Ada</x:v>
      </x:c>
      <x:c r="AB1821" t="str">
        <x:v>Campus=100; Ratio=57.3; Prodi=40; RelDemand=13.8; Capacity=80.8</x:v>
      </x:c>
    </x:row>
    <x:row r="1822">
      <x:c r="A1822" t="n">
        <x:v>1819</x:v>
      </x:c>
      <x:c r="B1822" t="str">
        <x:v>PTN Akademik</x:v>
      </x:c>
      <x:c r="C1822" t="str">
        <x:v>UNIVERSITAS GADJAH MADA</x:v>
      </x:c>
      <x:c r="D1822" t="str">
        <x:v>EKONOMI PERTANIAN DAN AGRIBISNIS</x:v>
      </x:c>
      <x:c r="E1822" t="str">
        <x:v>Sarjana</x:v>
      </x:c>
      <x:c r="F1822" s="18" t="n">
        <x:v>27</x:v>
      </x:c>
      <x:c r="G1822" s="18" t="n">
        <x:v>483</x:v>
      </x:c>
      <x:c r="H1822" s="19" t="n">
        <x:v>17.88888888888889</x:v>
      </x:c>
      <x:c r="I1822" s="18" t="n">
        <x:f>ROUND(MIN(Model_Config_v3!$B$6,MAX(Q1822,R1822,S1822*Model_Config_v3!$B$4+T1822*Model_Config_v3!$B$5)),0)</x:f>
        <x:v>700</x:v>
      </x:c>
      <x:c r="J1822" s="18" t="n">
        <x:f>MIN(Model_Config_v3!$B$6,I1822+Model_Config_v3!$B$7)</x:f>
        <x:v>720</x:v>
      </x:c>
      <x:c r="K1822" s="20" t="n">
        <x:v>76.8</x:v>
      </x:c>
      <x:c r="L1822" t="str">
        <x:v>ELITE</x:v>
      </x:c>
      <x:c r="M1822" t="str">
        <x:v>SEDANG+</x:v>
      </x:c>
      <x:c r="N1822" t="str">
        <x:v>ELITE-1</x:v>
      </x:c>
      <x:c r="O1822" t="str">
        <x:v>SAINTEK</x:v>
      </x:c>
      <x:c r="P1822" t="str">
        <x:v>BISNIS/EKONOMI/AKUNTANSI</x:v>
      </x:c>
      <x:c r="Q1822" s="18" t="n">
        <x:v>675</x:v>
      </x:c>
      <x:c r="R1822" s="18" t="n">
        <x:v>700</x:v>
      </x:c>
      <x:c r="S1822" s="18" t="n">
        <x:v>657.7841703251777</x:v>
      </x:c>
      <x:c r="T1822" s="18" t="n">
        <x:v>714</x:v>
      </x:c>
      <x:c r="U1822" s="18" t="n">
        <x:v>675</x:v>
      </x:c>
      <x:c r="V1822" s="20" t="n">
        <x:v>12</x:v>
      </x:c>
      <x:c r="W1822" s="20" t="n">
        <x:v>5</x:v>
      </x:c>
      <x:c r="X1822" s="20" t="n">
        <x:v>3</x:v>
      </x:c>
      <x:c r="Y1822" t="str">
        <x:v>Basis arsip 2025/2024</x:v>
      </x:c>
      <x:c r="Z1822" t="str">
        <x:v>https://snpmb.id/utbk-snbt/daya-tampung-snbt</x:v>
      </x:c>
      <x:c r="AA1822" t="str">
        <x:v>Tidak Ada</x:v>
      </x:c>
      <x:c r="AB1822" t="str">
        <x:v>Campus=100; Ratio=73.7; Prodi=65; RelDemand=26.2; Capacity=77.5</x:v>
      </x:c>
    </x:row>
    <x:row r="1823">
      <x:c r="A1823" t="n">
        <x:v>1820</x:v>
      </x:c>
      <x:c r="B1823" t="str">
        <x:v>PTN Akademik</x:v>
      </x:c>
      <x:c r="C1823" t="str">
        <x:v>UNIVERSITAS GADJAH MADA</x:v>
      </x:c>
      <x:c r="D1823" t="str">
        <x:v>PROTEKSI TANAMAN (ILMU HAMA DAN PENYAKIT TUMBUHAN)</x:v>
      </x:c>
      <x:c r="E1823" t="str">
        <x:v>Sarjana</x:v>
      </x:c>
      <x:c r="F1823" s="18" t="n">
        <x:v>23</x:v>
      </x:c>
      <x:c r="G1823" s="18" t="n">
        <x:v>305</x:v>
      </x:c>
      <x:c r="H1823" s="19" t="n">
        <x:v>13.26086956521739</x:v>
      </x:c>
      <x:c r="I1823" s="18" t="n">
        <x:f>ROUND(MIN(Model_Config_v3!$B$6,MAX(Q1823,R1823,S1823*Model_Config_v3!$B$4+T1823*Model_Config_v3!$B$5)),0)</x:f>
        <x:v>682</x:v>
      </x:c>
      <x:c r="J1823" s="18" t="n">
        <x:f>MIN(Model_Config_v3!$B$6,I1823+Model_Config_v3!$B$7)</x:f>
        <x:v>702</x:v>
      </x:c>
      <x:c r="K1823" s="20" t="n">
        <x:v>69.5</x:v>
      </x:c>
      <x:c r="L1823" t="str">
        <x:v>SANGAT KETAT</x:v>
      </x:c>
      <x:c r="M1823" t="str">
        <x:v>SEDANG+</x:v>
      </x:c>
      <x:c r="N1823" t="str">
        <x:v>ELITE-1</x:v>
      </x:c>
      <x:c r="O1823" t="str">
        <x:v>CAMPURAN</x:v>
      </x:c>
      <x:c r="P1823" t="str">
        <x:v>UMUM</x:v>
      </x:c>
      <x:c r="Q1823" s="18" t="n">
        <x:v>675</x:v>
      </x:c>
      <x:c r="R1823" s="18" t="n">
        <x:v>0</x:v>
      </x:c>
      <x:c r="S1823" s="18" t="n">
        <x:v>643.4829203662111</x:v>
      </x:c>
      <x:c r="T1823" s="18" t="n">
        <x:v>699</x:v>
      </x:c>
      <x:c r="U1823" s="18" t="n">
        <x:v>675</x:v>
      </x:c>
      <x:c r="V1823" s="20" t="n">
        <x:v>8.8</x:v>
      </x:c>
      <x:c r="W1823" s="20" t="n">
        <x:v>9.9</x:v>
      </x:c>
      <x:c r="X1823" s="20" t="n">
        <x:v>3.3</x:v>
      </x:c>
      <x:c r="Y1823" t="str">
        <x:v>Basis arsip 2025/2024</x:v>
      </x:c>
      <x:c r="Z1823" t="str">
        <x:v>https://snpmb.id/utbk-snbt/daya-tampung-snbt</x:v>
      </x:c>
      <x:c r="AA1823" t="str">
        <x:v>Tidak Ada</x:v>
      </x:c>
      <x:c r="AB1823" t="str">
        <x:v>Campus=100; Ratio=66.1; Prodi=40; RelDemand=19.4; Capacity=80.8</x:v>
      </x:c>
    </x:row>
    <x:row r="1824">
      <x:c r="A1824" t="n">
        <x:v>1821</x:v>
      </x:c>
      <x:c r="B1824" t="str">
        <x:v>PTN Akademik</x:v>
      </x:c>
      <x:c r="C1824" t="str">
        <x:v>UNIVERSITAS GADJAH MADA</x:v>
      </x:c>
      <x:c r="D1824" t="str">
        <x:v>PENYULUHAN DAN KOMUNIKASI PERTANIAN</x:v>
      </x:c>
      <x:c r="E1824" t="str">
        <x:v>Sarjana</x:v>
      </x:c>
      <x:c r="F1824" s="18" t="n">
        <x:v>9</x:v>
      </x:c>
      <x:c r="G1824" s="18" t="n">
        <x:v>162</x:v>
      </x:c>
      <x:c r="H1824" s="19" t="n">
        <x:v>18</x:v>
      </x:c>
      <x:c r="I1824" s="18" t="n">
        <x:f>ROUND(MIN(Model_Config_v3!$B$6,MAX(Q1824,R1824,S1824*Model_Config_v3!$B$4+T1824*Model_Config_v3!$B$5)),0)</x:f>
        <x:v>692</x:v>
      </x:c>
      <x:c r="J1824" s="18" t="n">
        <x:f>MIN(Model_Config_v3!$B$6,I1824+Model_Config_v3!$B$7)</x:f>
        <x:v>712</x:v>
      </x:c>
      <x:c r="K1824" s="20" t="n">
        <x:v>73.4</x:v>
      </x:c>
      <x:c r="L1824" t="str">
        <x:v>SANGAT KETAT</x:v>
      </x:c>
      <x:c r="M1824" t="str">
        <x:v>SEDANG+</x:v>
      </x:c>
      <x:c r="N1824" t="str">
        <x:v>ELITE-1</x:v>
      </x:c>
      <x:c r="O1824" t="str">
        <x:v>SAINTEK</x:v>
      </x:c>
      <x:c r="P1824" t="str">
        <x:v>UMUM</x:v>
      </x:c>
      <x:c r="Q1824" s="18" t="n">
        <x:v>675</x:v>
      </x:c>
      <x:c r="R1824" s="18" t="n">
        <x:v>0</x:v>
      </x:c>
      <x:c r="S1824" s="18" t="n">
        <x:v>658.0799755613637</x:v>
      </x:c>
      <x:c r="T1824" s="18" t="n">
        <x:v>707</x:v>
      </x:c>
      <x:c r="U1824" s="18" t="n">
        <x:v>675</x:v>
      </x:c>
      <x:c r="V1824" s="20" t="n">
        <x:v>12</x:v>
      </x:c>
      <x:c r="W1824" s="20" t="n">
        <x:v>5</x:v>
      </x:c>
      <x:c r="X1824" s="20" t="n">
        <x:v>3</x:v>
      </x:c>
      <x:c r="Y1824" t="str">
        <x:v>Basis arsip 2025/2024</x:v>
      </x:c>
      <x:c r="Z1824" t="str">
        <x:v>https://snpmb.id/utbk-snbt/daya-tampung-snbt</x:v>
      </x:c>
      <x:c r="AA1824" t="str">
        <x:v>Tidak Ada</x:v>
      </x:c>
      <x:c r="AB1824" t="str">
        <x:v>Campus=100; Ratio=73.9; Prodi=40; RelDemand=26.4; Capacity=92.5</x:v>
      </x:c>
    </x:row>
    <x:row r="1825">
      <x:c r="A1825" t="n">
        <x:v>1822</x:v>
      </x:c>
      <x:c r="B1825" t="str">
        <x:v>PTN Akademik</x:v>
      </x:c>
      <x:c r="C1825" t="str">
        <x:v>UNIVERSITAS GADJAH MADA</x:v>
      </x:c>
      <x:c r="D1825" t="str">
        <x:v>AKUAKULTUR (BUDIDAYA PERIKANAN)</x:v>
      </x:c>
      <x:c r="E1825" t="str">
        <x:v>Sarjana</x:v>
      </x:c>
      <x:c r="F1825" s="18" t="n">
        <x:v>23</x:v>
      </x:c>
      <x:c r="G1825" s="18" t="n">
        <x:v>228</x:v>
      </x:c>
      <x:c r="H1825" s="19" t="n">
        <x:v>9.91304347826087</x:v>
      </x:c>
      <x:c r="I1825" s="18" t="n">
        <x:f>ROUND(MIN(Model_Config_v3!$B$6,MAX(Q1825,R1825,S1825*Model_Config_v3!$B$4+T1825*Model_Config_v3!$B$5)),0)</x:f>
        <x:v>675</x:v>
      </x:c>
      <x:c r="J1825" s="18" t="n">
        <x:f>MIN(Model_Config_v3!$B$6,I1825+Model_Config_v3!$B$7)</x:f>
        <x:v>695</x:v>
      </x:c>
      <x:c r="K1825" s="20" t="n">
        <x:v>67.2</x:v>
      </x:c>
      <x:c r="L1825" t="str">
        <x:v>SANGAT KETAT</x:v>
      </x:c>
      <x:c r="M1825" t="str">
        <x:v>SEDANG+</x:v>
      </x:c>
      <x:c r="N1825" t="str">
        <x:v>ELITE-1</x:v>
      </x:c>
      <x:c r="O1825" t="str">
        <x:v>SAINTEK</x:v>
      </x:c>
      <x:c r="P1825" t="str">
        <x:v>UMUM</x:v>
      </x:c>
      <x:c r="Q1825" s="18" t="n">
        <x:v>675</x:v>
      </x:c>
      <x:c r="R1825" s="18" t="n">
        <x:v>0</x:v>
      </x:c>
      <x:c r="S1825" s="18" t="n">
        <x:v>629.5827712081147</x:v>
      </x:c>
      <x:c r="T1825" s="18" t="n">
        <x:v>694</x:v>
      </x:c>
      <x:c r="U1825" s="18" t="n">
        <x:v>675</x:v>
      </x:c>
      <x:c r="V1825" s="20" t="n">
        <x:v>12</x:v>
      </x:c>
      <x:c r="W1825" s="20" t="n">
        <x:v>5</x:v>
      </x:c>
      <x:c r="X1825" s="20" t="n">
        <x:v>3</x:v>
      </x:c>
      <x:c r="Y1825" t="str">
        <x:v>Basis arsip 2025/2024</x:v>
      </x:c>
      <x:c r="Z1825" t="str">
        <x:v>https://snpmb.id/utbk-snbt/daya-tampung-snbt</x:v>
      </x:c>
      <x:c r="AA1825" t="str">
        <x:v>Tidak Ada</x:v>
      </x:c>
      <x:c r="AB1825" t="str">
        <x:v>Campus=100; Ratio=58.6; Prodi=40; RelDemand=14.5; Capacity=80.8</x:v>
      </x:c>
    </x:row>
    <x:row r="1826">
      <x:c r="A1826" t="n">
        <x:v>1823</x:v>
      </x:c>
      <x:c r="B1826" t="str">
        <x:v>PTN Akademik</x:v>
      </x:c>
      <x:c r="C1826" t="str">
        <x:v>UNIVERSITAS GADJAH MADA</x:v>
      </x:c>
      <x:c r="D1826" t="str">
        <x:v>TEKNOLOGI HASIL PERIKANAN</x:v>
      </x:c>
      <x:c r="E1826" t="str">
        <x:v>Sarjana</x:v>
      </x:c>
      <x:c r="F1826" s="18" t="n">
        <x:v>23</x:v>
      </x:c>
      <x:c r="G1826" s="18" t="n">
        <x:v>129</x:v>
      </x:c>
      <x:c r="H1826" s="19" t="n">
        <x:v>5.608695652173913</x:v>
      </x:c>
      <x:c r="I1826" s="18" t="n">
        <x:f>ROUND(MIN(Model_Config_v3!$B$6,MAX(Q1826,R1826,S1826*Model_Config_v3!$B$4+T1826*Model_Config_v3!$B$5)),0)</x:f>
        <x:v>675</x:v>
      </x:c>
      <x:c r="J1826" s="18" t="n">
        <x:f>MIN(Model_Config_v3!$B$6,I1826+Model_Config_v3!$B$7)</x:f>
        <x:v>695</x:v>
      </x:c>
      <x:c r="K1826" s="20" t="n">
        <x:v>62.9</x:v>
      </x:c>
      <x:c r="L1826" t="str">
        <x:v>KETAT</x:v>
      </x:c>
      <x:c r="M1826" t="str">
        <x:v>SEDANG+</x:v>
      </x:c>
      <x:c r="N1826" t="str">
        <x:v>ELITE-1</x:v>
      </x:c>
      <x:c r="O1826" t="str">
        <x:v>SAINTEK</x:v>
      </x:c>
      <x:c r="P1826" t="str">
        <x:v>UMUM</x:v>
      </x:c>
      <x:c r="Q1826" s="18" t="n">
        <x:v>675</x:v>
      </x:c>
      <x:c r="R1826" s="18" t="n">
        <x:v>0</x:v>
      </x:c>
      <x:c r="S1826" s="18" t="n">
        <x:v>602.3748061709822</x:v>
      </x:c>
      <x:c r="T1826" s="18" t="n">
        <x:v>686</x:v>
      </x:c>
      <x:c r="U1826" s="18" t="n">
        <x:v>675</x:v>
      </x:c>
      <x:c r="V1826" s="20" t="n">
        <x:v>12</x:v>
      </x:c>
      <x:c r="W1826" s="20" t="n">
        <x:v>5</x:v>
      </x:c>
      <x:c r="X1826" s="20" t="n">
        <x:v>3</x:v>
      </x:c>
      <x:c r="Y1826" t="str">
        <x:v>Basis arsip 2025/2024</x:v>
      </x:c>
      <x:c r="Z1826" t="str">
        <x:v>https://snpmb.id/utbk-snbt/daya-tampung-snbt</x:v>
      </x:c>
      <x:c r="AA1826" t="str">
        <x:v>Tidak Ada</x:v>
      </x:c>
      <x:c r="AB1826" t="str">
        <x:v>Campus=100; Ratio=44.1; Prodi=40; RelDemand=8.2; Capacity=80.8</x:v>
      </x:c>
    </x:row>
    <x:row r="1827">
      <x:c r="A1827" t="n">
        <x:v>1824</x:v>
      </x:c>
      <x:c r="B1827" t="str">
        <x:v>PTN Akademik</x:v>
      </x:c>
      <x:c r="C1827" t="str">
        <x:v>UNIVERSITAS GADJAH MADA</x:v>
      </x:c>
      <x:c r="D1827" t="str">
        <x:v>MANAJEMEN SUMBERDAYA AKUATIK (MANAJEMEN SUMBER DAYA PERIKANAN)</x:v>
      </x:c>
      <x:c r="E1827" t="str">
        <x:v>Sarjana</x:v>
      </x:c>
      <x:c r="F1827" s="18" t="n">
        <x:v>23</x:v>
      </x:c>
      <x:c r="G1827" s="18" t="n">
        <x:v>273</x:v>
      </x:c>
      <x:c r="H1827" s="19" t="n">
        <x:v>11.869565217391305</x:v>
      </x:c>
      <x:c r="I1827" s="18" t="n">
        <x:f>ROUND(MIN(Model_Config_v3!$B$6,MAX(Q1827,R1827,S1827*Model_Config_v3!$B$4+T1827*Model_Config_v3!$B$5)),0)</x:f>
        <x:v>700</x:v>
      </x:c>
      <x:c r="J1827" s="18" t="n">
        <x:f>MIN(Model_Config_v3!$B$6,I1827+Model_Config_v3!$B$7)</x:f>
        <x:v>720</x:v>
      </x:c>
      <x:c r="K1827" s="20" t="n">
        <x:v>73.6</x:v>
      </x:c>
      <x:c r="L1827" t="str">
        <x:v>SANGAT KETAT</x:v>
      </x:c>
      <x:c r="M1827" t="str">
        <x:v>SEDANG+</x:v>
      </x:c>
      <x:c r="N1827" t="str">
        <x:v>ELITE-1</x:v>
      </x:c>
      <x:c r="O1827" t="str">
        <x:v>SAINTEK</x:v>
      </x:c>
      <x:c r="P1827" t="str">
        <x:v>BISNIS/EKONOMI/AKUNTANSI</x:v>
      </x:c>
      <x:c r="Q1827" s="18" t="n">
        <x:v>675</x:v>
      </x:c>
      <x:c r="R1827" s="18" t="n">
        <x:v>700</x:v>
      </x:c>
      <x:c r="S1827" s="18" t="n">
        <x:v>638.187829212548</x:v>
      </x:c>
      <x:c r="T1827" s="18" t="n">
        <x:v>707</x:v>
      </x:c>
      <x:c r="U1827" s="18" t="n">
        <x:v>675</x:v>
      </x:c>
      <x:c r="V1827" s="20" t="n">
        <x:v>12</x:v>
      </x:c>
      <x:c r="W1827" s="20" t="n">
        <x:v>5</x:v>
      </x:c>
      <x:c r="X1827" s="20" t="n">
        <x:v>3</x:v>
      </x:c>
      <x:c r="Y1827" t="str">
        <x:v>Basis arsip 2025/2024</x:v>
      </x:c>
      <x:c r="Z1827" t="str">
        <x:v>https://snpmb.id/utbk-snbt/daya-tampung-snbt</x:v>
      </x:c>
      <x:c r="AA1827" t="str">
        <x:v>Tidak Ada</x:v>
      </x:c>
      <x:c r="AB1827" t="str">
        <x:v>Campus=100; Ratio=63.2; Prodi=65; RelDemand=17.4; Capacity=80.8</x:v>
      </x:c>
    </x:row>
    <x:row r="1828">
      <x:c r="A1828" t="n">
        <x:v>1825</x:v>
      </x:c>
      <x:c r="B1828" t="str">
        <x:v>PTN Akademik</x:v>
      </x:c>
      <x:c r="C1828" t="str">
        <x:v>UNIVERSITAS GADJAH MADA</x:v>
      </x:c>
      <x:c r="D1828" t="str">
        <x:v>MIKROBIOLOGI PERTANIAN</x:v>
      </x:c>
      <x:c r="E1828" t="str">
        <x:v>Sarjana</x:v>
      </x:c>
      <x:c r="F1828" s="18" t="n">
        <x:v>11</x:v>
      </x:c>
      <x:c r="G1828" s="18" t="n">
        <x:v>134</x:v>
      </x:c>
      <x:c r="H1828" s="19" t="n">
        <x:v>12.181818181818182</x:v>
      </x:c>
      <x:c r="I1828" s="18" t="n">
        <x:f>ROUND(MIN(Model_Config_v3!$B$6,MAX(Q1828,R1828,S1828*Model_Config_v3!$B$4+T1828*Model_Config_v3!$B$5)),0)</x:f>
        <x:v>685</x:v>
      </x:c>
      <x:c r="J1828" s="18" t="n">
        <x:f>MIN(Model_Config_v3!$B$6,I1828+Model_Config_v3!$B$7)</x:f>
        <x:v>705</x:v>
      </x:c>
      <x:c r="K1828" s="20" t="n">
        <x:v>71.8</x:v>
      </x:c>
      <x:c r="L1828" t="str">
        <x:v>SANGAT KETAT</x:v>
      </x:c>
      <x:c r="M1828" t="str">
        <x:v>SEDANG+</x:v>
      </x:c>
      <x:c r="N1828" t="str">
        <x:v>ELITE-1</x:v>
      </x:c>
      <x:c r="O1828" t="str">
        <x:v>SAINTEK</x:v>
      </x:c>
      <x:c r="P1828" t="str">
        <x:v>SAINS DASAR</x:v>
      </x:c>
      <x:c r="Q1828" s="18" t="n">
        <x:v>675</x:v>
      </x:c>
      <x:c r="R1828" s="18" t="n">
        <x:v>675</x:v>
      </x:c>
      <x:c r="S1828" s="18" t="n">
        <x:v>639.4283324527241</x:v>
      </x:c>
      <x:c r="T1828" s="18" t="n">
        <x:v>704</x:v>
      </x:c>
      <x:c r="U1828" s="18" t="n">
        <x:v>675</x:v>
      </x:c>
      <x:c r="V1828" s="20" t="n">
        <x:v>12</x:v>
      </x:c>
      <x:c r="W1828" s="20" t="n">
        <x:v>5</x:v>
      </x:c>
      <x:c r="X1828" s="20" t="n">
        <x:v>3</x:v>
      </x:c>
      <x:c r="Y1828" t="str">
        <x:v>Basis arsip 2025/2024</x:v>
      </x:c>
      <x:c r="Z1828" t="str">
        <x:v>https://snpmb.id/utbk-snbt/daya-tampung-snbt</x:v>
      </x:c>
      <x:c r="AA1828" t="str">
        <x:v>Tidak Ada</x:v>
      </x:c>
      <x:c r="AB1828" t="str">
        <x:v>Campus=100; Ratio=63.9; Prodi=50; RelDemand=17.8; Capacity=90.8</x:v>
      </x:c>
    </x:row>
    <x:row r="1829">
      <x:c r="A1829" t="n">
        <x:v>1826</x:v>
      </x:c>
      <x:c r="B1829" t="str">
        <x:v>PTN Akademik</x:v>
      </x:c>
      <x:c r="C1829" t="str">
        <x:v>UNIVERSITAS GADJAH MADA</x:v>
      </x:c>
      <x:c r="D1829" t="str">
        <x:v>ILMU DAN INDUSTRI PETERNAKAN</x:v>
      </x:c>
      <x:c r="E1829" t="str">
        <x:v>Sarjana</x:v>
      </x:c>
      <x:c r="F1829" s="18" t="n">
        <x:v>90</x:v>
      </x:c>
      <x:c r="G1829" s="18" t="n">
        <x:v>694</x:v>
      </x:c>
      <x:c r="H1829" s="19" t="n">
        <x:v>7.711111111111111</x:v>
      </x:c>
      <x:c r="I1829" s="18" t="n">
        <x:f>ROUND(MIN(Model_Config_v3!$B$6,MAX(Q1829,R1829,S1829*Model_Config_v3!$B$4+T1829*Model_Config_v3!$B$5)),0)</x:f>
        <x:v>675</x:v>
      </x:c>
      <x:c r="J1829" s="18" t="n">
        <x:f>MIN(Model_Config_v3!$B$6,I1829+Model_Config_v3!$B$7)</x:f>
        <x:v>695</x:v>
      </x:c>
      <x:c r="K1829" s="20" t="n">
        <x:v>59.7</x:v>
      </x:c>
      <x:c r="L1829" t="str">
        <x:v>KETAT</x:v>
      </x:c>
      <x:c r="M1829" t="str">
        <x:v>SEDANG+</x:v>
      </x:c>
      <x:c r="N1829" t="str">
        <x:v>ELITE-1</x:v>
      </x:c>
      <x:c r="O1829" t="str">
        <x:v>SAINTEK</x:v>
      </x:c>
      <x:c r="P1829" t="str">
        <x:v>UMUM</x:v>
      </x:c>
      <x:c r="Q1829" s="18" t="n">
        <x:v>675</x:v>
      </x:c>
      <x:c r="R1829" s="18" t="n">
        <x:v>0</x:v>
      </x:c>
      <x:c r="S1829" s="18" t="n">
        <x:v>617.5828657117083</x:v>
      </x:c>
      <x:c r="T1829" s="18" t="n">
        <x:v>679</x:v>
      </x:c>
      <x:c r="U1829" s="18" t="n">
        <x:v>675</x:v>
      </x:c>
      <x:c r="V1829" s="20" t="n">
        <x:v>12</x:v>
      </x:c>
      <x:c r="W1829" s="20" t="n">
        <x:v>5</x:v>
      </x:c>
      <x:c r="X1829" s="20" t="n">
        <x:v>3</x:v>
      </x:c>
      <x:c r="Y1829" t="str">
        <x:v>Basis arsip 2025/2024</x:v>
      </x:c>
      <x:c r="Z1829" t="str">
        <x:v>https://snpmb.id/utbk-snbt/daya-tampung-snbt</x:v>
      </x:c>
      <x:c r="AA1829" t="str">
        <x:v>Tidak Ada</x:v>
      </x:c>
      <x:c r="AB1829" t="str">
        <x:v>Campus=100; Ratio=52.2; Prodi=40; RelDemand=11.3; Capacity=25.0</x:v>
      </x:c>
    </x:row>
    <x:row r="1830">
      <x:c r="A1830" t="n">
        <x:v>1827</x:v>
      </x:c>
      <x:c r="B1830" t="str">
        <x:v>PTN Akademik</x:v>
      </x:c>
      <x:c r="C1830" t="str">
        <x:v>UNIVERSITAS GADJAH MADA</x:v>
      </x:c>
      <x:c r="D1830" t="str">
        <x:v>ARSITEKTUR</x:v>
      </x:c>
      <x:c r="E1830" t="str">
        <x:v>Sarjana</x:v>
      </x:c>
      <x:c r="F1830" s="18" t="n">
        <x:v>24</x:v>
      </x:c>
      <x:c r="G1830" s="18" t="n">
        <x:v>944</x:v>
      </x:c>
      <x:c r="H1830" s="19" t="n">
        <x:v>39.333333333333336</x:v>
      </x:c>
      <x:c r="I1830" s="18" t="n">
        <x:f>ROUND(MIN(Model_Config_v3!$B$6,MAX(Q1830,R1830,S1830*Model_Config_v3!$B$4+T1830*Model_Config_v3!$B$5)),0)</x:f>
        <x:v>718</x:v>
      </x:c>
      <x:c r="J1830" s="18" t="n">
        <x:f>MIN(Model_Config_v3!$B$6,I1830+Model_Config_v3!$B$7)</x:f>
        <x:v>738</x:v>
      </x:c>
      <x:c r="K1830" s="20" t="n">
        <x:v>84.2</x:v>
      </x:c>
      <x:c r="L1830" t="str">
        <x:v>ELITE</x:v>
      </x:c>
      <x:c r="M1830" t="str">
        <x:v>SEDANG+</x:v>
      </x:c>
      <x:c r="N1830" t="str">
        <x:v>ELITE-1</x:v>
      </x:c>
      <x:c r="O1830" t="str">
        <x:v>SAINTEK</x:v>
      </x:c>
      <x:c r="P1830" t="str">
        <x:v>TEKNIK/ARSITEKTUR/STATISTIKA/AKTUARIA</x:v>
      </x:c>
      <x:c r="Q1830" s="18" t="n">
        <x:v>675</x:v>
      </x:c>
      <x:c r="R1830" s="18" t="n">
        <x:v>690</x:v>
      </x:c>
      <x:c r="S1830" s="18" t="n">
        <x:v>695.4236827845109</x:v>
      </x:c>
      <x:c r="T1830" s="18" t="n">
        <x:v>728</x:v>
      </x:c>
      <x:c r="U1830" s="18" t="n">
        <x:v>695.4236827845109</x:v>
      </x:c>
      <x:c r="V1830" s="20" t="n">
        <x:v>12</x:v>
      </x:c>
      <x:c r="W1830" s="20" t="n">
        <x:v>5</x:v>
      </x:c>
      <x:c r="X1830" s="20" t="n">
        <x:v>3</x:v>
      </x:c>
      <x:c r="Y1830" t="str">
        <x:v>Basis arsip 2025/2024</x:v>
      </x:c>
      <x:c r="Z1830" t="str">
        <x:v>https://snpmb.id/utbk-snbt/daya-tampung-snbt</x:v>
      </x:c>
      <x:c r="AA1830" t="str">
        <x:v>Tidak Ada</x:v>
      </x:c>
      <x:c r="AB1830" t="str">
        <x:v>Campus=100; Ratio=93.9; Prodi=60; RelDemand=57.6; Capacity=80.0</x:v>
      </x:c>
    </x:row>
    <x:row r="1831">
      <x:c r="A1831" t="n">
        <x:v>1828</x:v>
      </x:c>
      <x:c r="B1831" t="str">
        <x:v>PTN Akademik</x:v>
      </x:c>
      <x:c r="C1831" t="str">
        <x:v>UNIVERSITAS GADJAH MADA</x:v>
      </x:c>
      <x:c r="D1831" t="str">
        <x:v>PERENCANAAN WILAYAH DAN KOTA</x:v>
      </x:c>
      <x:c r="E1831" t="str">
        <x:v>Sarjana</x:v>
      </x:c>
      <x:c r="F1831" s="18" t="n">
        <x:v>18</x:v>
      </x:c>
      <x:c r="G1831" s="18" t="n">
        <x:v>674</x:v>
      </x:c>
      <x:c r="H1831" s="19" t="n">
        <x:v>37.44444444444444</x:v>
      </x:c>
      <x:c r="I1831" s="18" t="n">
        <x:f>ROUND(MIN(Model_Config_v3!$B$6,MAX(Q1831,R1831,S1831*Model_Config_v3!$B$4+T1831*Model_Config_v3!$B$5)),0)</x:f>
        <x:v>712</x:v>
      </x:c>
      <x:c r="J1831" s="18" t="n">
        <x:f>MIN(Model_Config_v3!$B$6,I1831+Model_Config_v3!$B$7)</x:f>
        <x:v>732</x:v>
      </x:c>
      <x:c r="K1831" s="20" t="n">
        <x:v>80.1</x:v>
      </x:c>
      <x:c r="L1831" t="str">
        <x:v>ELITE</x:v>
      </x:c>
      <x:c r="M1831" t="str">
        <x:v>SEDANG+</x:v>
      </x:c>
      <x:c r="N1831" t="str">
        <x:v>ELITE-1</x:v>
      </x:c>
      <x:c r="O1831" t="str">
        <x:v>CAMPURAN</x:v>
      </x:c>
      <x:c r="P1831" t="str">
        <x:v>UMUM</x:v>
      </x:c>
      <x:c r="Q1831" s="18" t="n">
        <x:v>675</x:v>
      </x:c>
      <x:c r="R1831" s="18" t="n">
        <x:v>0</x:v>
      </x:c>
      <x:c r="S1831" s="18" t="n">
        <x:v>693.0726130575215</x:v>
      </x:c>
      <x:c r="T1831" s="18" t="n">
        <x:v>720</x:v>
      </x:c>
      <x:c r="U1831" s="18" t="n">
        <x:v>693.0726130575215</x:v>
      </x:c>
      <x:c r="V1831" s="20" t="n">
        <x:v>8.8</x:v>
      </x:c>
      <x:c r="W1831" s="20" t="n">
        <x:v>9.9</x:v>
      </x:c>
      <x:c r="X1831" s="20" t="n">
        <x:v>3.3</x:v>
      </x:c>
      <x:c r="Y1831" t="str">
        <x:v>Basis arsip 2025/2024</x:v>
      </x:c>
      <x:c r="Z1831" t="str">
        <x:v>https://snpmb.id/utbk-snbt/daya-tampung-snbt</x:v>
      </x:c>
      <x:c r="AA1831" t="str">
        <x:v>Tidak Ada</x:v>
      </x:c>
      <x:c r="AB1831" t="str">
        <x:v>Campus=100; Ratio=92.6; Prodi=40; RelDemand=54.9; Capacity=85.0</x:v>
      </x:c>
    </x:row>
    <x:row r="1832">
      <x:c r="A1832" t="n">
        <x:v>1829</x:v>
      </x:c>
      <x:c r="B1832" t="str">
        <x:v>PTN Akademik</x:v>
      </x:c>
      <x:c r="C1832" t="str">
        <x:v>UNIVERSITAS GADJAH MADA</x:v>
      </x:c>
      <x:c r="D1832" t="str">
        <x:v>TEKNIK GEODESI</x:v>
      </x:c>
      <x:c r="E1832" t="str">
        <x:v>Sarjana</x:v>
      </x:c>
      <x:c r="F1832" s="18" t="n">
        <x:v>38</x:v>
      </x:c>
      <x:c r="G1832" s="18" t="n">
        <x:v>527</x:v>
      </x:c>
      <x:c r="H1832" s="19" t="n">
        <x:v>13.868421052631579</x:v>
      </x:c>
      <x:c r="I1832" s="18" t="n">
        <x:f>ROUND(MIN(Model_Config_v3!$B$6,MAX(Q1832,R1832,S1832*Model_Config_v3!$B$4+T1832*Model_Config_v3!$B$5)),0)</x:f>
        <x:v>690</x:v>
      </x:c>
      <x:c r="J1832" s="18" t="n">
        <x:f>MIN(Model_Config_v3!$B$6,I1832+Model_Config_v3!$B$7)</x:f>
        <x:v>710</x:v>
      </x:c>
      <x:c r="K1832" s="20" t="n">
        <x:v>72.7</x:v>
      </x:c>
      <x:c r="L1832" t="str">
        <x:v>SANGAT KETAT</x:v>
      </x:c>
      <x:c r="M1832" t="str">
        <x:v>SEDANG+</x:v>
      </x:c>
      <x:c r="N1832" t="str">
        <x:v>ELITE-1</x:v>
      </x:c>
      <x:c r="O1832" t="str">
        <x:v>SAINTEK</x:v>
      </x:c>
      <x:c r="P1832" t="str">
        <x:v>TEKNIK/ARSITEKTUR/STATISTIKA/AKTUARIA</x:v>
      </x:c>
      <x:c r="Q1832" s="18" t="n">
        <x:v>675</x:v>
      </x:c>
      <x:c r="R1832" s="18" t="n">
        <x:v>690</x:v>
      </x:c>
      <x:c r="S1832" s="18" t="n">
        <x:v>645.622972045531</x:v>
      </x:c>
      <x:c r="T1832" s="18" t="n">
        <x:v>705</x:v>
      </x:c>
      <x:c r="U1832" s="18" t="n">
        <x:v>675</x:v>
      </x:c>
      <x:c r="V1832" s="20" t="n">
        <x:v>12</x:v>
      </x:c>
      <x:c r="W1832" s="20" t="n">
        <x:v>5</x:v>
      </x:c>
      <x:c r="X1832" s="20" t="n">
        <x:v>3</x:v>
      </x:c>
      <x:c r="Y1832" t="str">
        <x:v>Basis arsip 2025/2024</x:v>
      </x:c>
      <x:c r="Z1832" t="str">
        <x:v>https://snpmb.id/utbk-snbt/daya-tampung-snbt</x:v>
      </x:c>
      <x:c r="AA1832" t="str">
        <x:v>Tidak Ada</x:v>
      </x:c>
      <x:c r="AB1832" t="str">
        <x:v>Campus=100; Ratio=67.2; Prodi=60; RelDemand=20.3; Capacity=68.3</x:v>
      </x:c>
    </x:row>
    <x:row r="1833">
      <x:c r="A1833" t="n">
        <x:v>1830</x:v>
      </x:c>
      <x:c r="B1833" t="str">
        <x:v>PTN Akademik</x:v>
      </x:c>
      <x:c r="C1833" t="str">
        <x:v>UNIVERSITAS GADJAH MADA</x:v>
      </x:c>
      <x:c r="D1833" t="str">
        <x:v>TEKNIK GEOLOGI</x:v>
      </x:c>
      <x:c r="E1833" t="str">
        <x:v>Sarjana</x:v>
      </x:c>
      <x:c r="F1833" s="18" t="n">
        <x:v>36</x:v>
      </x:c>
      <x:c r="G1833" s="18" t="n">
        <x:v>1105</x:v>
      </x:c>
      <x:c r="H1833" s="19" t="n">
        <x:v>30.694444444444443</x:v>
      </x:c>
      <x:c r="I1833" s="18" t="n">
        <x:f>ROUND(MIN(Model_Config_v3!$B$6,MAX(Q1833,R1833,S1833*Model_Config_v3!$B$4+T1833*Model_Config_v3!$B$5)),0)</x:f>
        <x:v>710</x:v>
      </x:c>
      <x:c r="J1833" s="18" t="n">
        <x:f>MIN(Model_Config_v3!$B$6,I1833+Model_Config_v3!$B$7)</x:f>
        <x:v>730</x:v>
      </x:c>
      <x:c r="K1833" s="20" t="n">
        <x:v>80.4</x:v>
      </x:c>
      <x:c r="L1833" t="str">
        <x:v>ELITE</x:v>
      </x:c>
      <x:c r="M1833" t="str">
        <x:v>SEDANG+</x:v>
      </x:c>
      <x:c r="N1833" t="str">
        <x:v>ELITE-1</x:v>
      </x:c>
      <x:c r="O1833" t="str">
        <x:v>SAINTEK</x:v>
      </x:c>
      <x:c r="P1833" t="str">
        <x:v>TEKNIK/ARSITEKTUR/STATISTIKA/AKTUARIA</x:v>
      </x:c>
      <x:c r="Q1833" s="18" t="n">
        <x:v>675</x:v>
      </x:c>
      <x:c r="R1833" s="18" t="n">
        <x:v>690</x:v>
      </x:c>
      <x:c r="S1833" s="18" t="n">
        <x:v>683.5765754979226</x:v>
      </x:c>
      <x:c r="T1833" s="18" t="n">
        <x:v>721</x:v>
      </x:c>
      <x:c r="U1833" s="18" t="n">
        <x:v>693.5765754979226</x:v>
      </x:c>
      <x:c r="V1833" s="20" t="n">
        <x:v>12</x:v>
      </x:c>
      <x:c r="W1833" s="20" t="n">
        <x:v>5</x:v>
      </x:c>
      <x:c r="X1833" s="20" t="n">
        <x:v>3</x:v>
      </x:c>
      <x:c r="Y1833" t="str">
        <x:v>Basis arsip 2025/2024</x:v>
      </x:c>
      <x:c r="Z1833" t="str">
        <x:v>https://snpmb.id/utbk-snbt/daya-tampung-snbt</x:v>
      </x:c>
      <x:c r="AA1833" t="str">
        <x:v>Tidak Ada</x:v>
      </x:c>
      <x:c r="AB1833" t="str">
        <x:v>Campus=100; Ratio=87.5; Prodi=60; RelDemand=45.0; Capacity=70.0</x:v>
      </x:c>
    </x:row>
    <x:row r="1834">
      <x:c r="A1834" t="n">
        <x:v>1831</x:v>
      </x:c>
      <x:c r="B1834" t="str">
        <x:v>PTN Akademik</x:v>
      </x:c>
      <x:c r="C1834" t="str">
        <x:v>UNIVERSITAS GADJAH MADA</x:v>
      </x:c>
      <x:c r="D1834" t="str">
        <x:v>TEKNIK KIMIA</x:v>
      </x:c>
      <x:c r="E1834" t="str">
        <x:v>Sarjana</x:v>
      </x:c>
      <x:c r="F1834" s="18" t="n">
        <x:v>42</x:v>
      </x:c>
      <x:c r="G1834" s="18" t="n">
        <x:v>800</x:v>
      </x:c>
      <x:c r="H1834" s="19" t="n">
        <x:v>19.047619047619047</x:v>
      </x:c>
      <x:c r="I1834" s="18" t="n">
        <x:f>ROUND(MIN(Model_Config_v3!$B$6,MAX(Q1834,R1834,S1834*Model_Config_v3!$B$4+T1834*Model_Config_v3!$B$5)),0)</x:f>
        <x:v>695</x:v>
      </x:c>
      <x:c r="J1834" s="18" t="n">
        <x:f>MIN(Model_Config_v3!$B$6,I1834+Model_Config_v3!$B$7)</x:f>
        <x:v>715</x:v>
      </x:c>
      <x:c r="K1834" s="20" t="n">
        <x:v>75.1</x:v>
      </x:c>
      <x:c r="L1834" t="str">
        <x:v>ELITE</x:v>
      </x:c>
      <x:c r="M1834" t="str">
        <x:v>SEDANG+</x:v>
      </x:c>
      <x:c r="N1834" t="str">
        <x:v>ELITE-1</x:v>
      </x:c>
      <x:c r="O1834" t="str">
        <x:v>SAINTEK</x:v>
      </x:c>
      <x:c r="P1834" t="str">
        <x:v>TEKNIK/ARSITEKTUR/STATISTIKA/AKTUARIA</x:v>
      </x:c>
      <x:c r="Q1834" s="18" t="n">
        <x:v>675</x:v>
      </x:c>
      <x:c r="R1834" s="18" t="n">
        <x:v>690</x:v>
      </x:c>
      <x:c r="S1834" s="18" t="n">
        <x:v>660.7824766253448</x:v>
      </x:c>
      <x:c r="T1834" s="18" t="n">
        <x:v>710</x:v>
      </x:c>
      <x:c r="U1834" s="18" t="n">
        <x:v>675</x:v>
      </x:c>
      <x:c r="V1834" s="20" t="n">
        <x:v>12</x:v>
      </x:c>
      <x:c r="W1834" s="20" t="n">
        <x:v>5</x:v>
      </x:c>
      <x:c r="X1834" s="20" t="n">
        <x:v>3</x:v>
      </x:c>
      <x:c r="Y1834" t="str">
        <x:v>Basis arsip 2025/2024</x:v>
      </x:c>
      <x:c r="Z1834" t="str">
        <x:v>https://snpmb.id/utbk-snbt/daya-tampung-snbt</x:v>
      </x:c>
      <x:c r="AA1834" t="str">
        <x:v>Tidak Ada</x:v>
      </x:c>
      <x:c r="AB1834" t="str">
        <x:v>Campus=100; Ratio=75.3; Prodi=60; RelDemand=27.9; Capacity=65.0</x:v>
      </x:c>
    </x:row>
    <x:row r="1835">
      <x:c r="A1835" t="n">
        <x:v>1832</x:v>
      </x:c>
      <x:c r="B1835" t="str">
        <x:v>PTN Akademik</x:v>
      </x:c>
      <x:c r="C1835" t="str">
        <x:v>UNIVERSITAS GADJAH MADA</x:v>
      </x:c>
      <x:c r="D1835" t="str">
        <x:v>TEKNIK ELEKTRO</x:v>
      </x:c>
      <x:c r="E1835" t="str">
        <x:v>Sarjana</x:v>
      </x:c>
      <x:c r="F1835" s="18" t="n">
        <x:v>30</x:v>
      </x:c>
      <x:c r="G1835" s="18" t="n">
        <x:v>755</x:v>
      </x:c>
      <x:c r="H1835" s="19" t="n">
        <x:v>25.166666666666668</x:v>
      </x:c>
      <x:c r="I1835" s="18" t="n">
        <x:f>ROUND(MIN(Model_Config_v3!$B$6,MAX(Q1835,R1835,S1835*Model_Config_v3!$B$4+T1835*Model_Config_v3!$B$5)),0)</x:f>
        <x:v>705</x:v>
      </x:c>
      <x:c r="J1835" s="18" t="n">
        <x:f>MIN(Model_Config_v3!$B$6,I1835+Model_Config_v3!$B$7)</x:f>
        <x:v>725</x:v>
      </x:c>
      <x:c r="K1835" s="20" t="n">
        <x:v>78.8</x:v>
      </x:c>
      <x:c r="L1835" t="str">
        <x:v>ELITE</x:v>
      </x:c>
      <x:c r="M1835" t="str">
        <x:v>SEDANG+</x:v>
      </x:c>
      <x:c r="N1835" t="str">
        <x:v>ELITE-1</x:v>
      </x:c>
      <x:c r="O1835" t="str">
        <x:v>SAINTEK</x:v>
      </x:c>
      <x:c r="P1835" t="str">
        <x:v>TEKNIK/ARSITEKTUR/STATISTIKA/AKTUARIA</x:v>
      </x:c>
      <x:c r="Q1835" s="18" t="n">
        <x:v>675</x:v>
      </x:c>
      <x:c r="R1835" s="18" t="n">
        <x:v>690</x:v>
      </x:c>
      <x:c r="S1835" s="18" t="n">
        <x:v>674.0908266600478</x:v>
      </x:c>
      <x:c r="T1835" s="18" t="n">
        <x:v>718</x:v>
      </x:c>
      <x:c r="U1835" s="18" t="n">
        <x:v>684.0908266600478</x:v>
      </x:c>
      <x:c r="V1835" s="20" t="n">
        <x:v>12</x:v>
      </x:c>
      <x:c r="W1835" s="20" t="n">
        <x:v>5</x:v>
      </x:c>
      <x:c r="X1835" s="20" t="n">
        <x:v>3</x:v>
      </x:c>
      <x:c r="Y1835" t="str">
        <x:v>Basis arsip 2025/2024</x:v>
      </x:c>
      <x:c r="Z1835" t="str">
        <x:v>https://snpmb.id/utbk-snbt/daya-tampung-snbt</x:v>
      </x:c>
      <x:c r="AA1835" t="str">
        <x:v>Tidak Ada</x:v>
      </x:c>
      <x:c r="AB1835" t="str">
        <x:v>Campus=100; Ratio=82.5; Prodi=60; RelDemand=36.9; Capacity=75.0</x:v>
      </x:c>
    </x:row>
    <x:row r="1836">
      <x:c r="A1836" t="n">
        <x:v>1833</x:v>
      </x:c>
      <x:c r="B1836" t="str">
        <x:v>PTN Akademik</x:v>
      </x:c>
      <x:c r="C1836" t="str">
        <x:v>UNIVERSITAS GADJAH MADA</x:v>
      </x:c>
      <x:c r="D1836" t="str">
        <x:v>TEKNIK MESIN</x:v>
      </x:c>
      <x:c r="E1836" t="str">
        <x:v>Sarjana</x:v>
      </x:c>
      <x:c r="F1836" s="18" t="n">
        <x:v>51</x:v>
      </x:c>
      <x:c r="G1836" s="18" t="n">
        <x:v>1019</x:v>
      </x:c>
      <x:c r="H1836" s="19" t="n">
        <x:v>19.980392156862745</x:v>
      </x:c>
      <x:c r="I1836" s="18" t="n">
        <x:f>ROUND(MIN(Model_Config_v3!$B$6,MAX(Q1836,R1836,S1836*Model_Config_v3!$B$4+T1836*Model_Config_v3!$B$5)),0)</x:f>
        <x:v>696</x:v>
      </x:c>
      <x:c r="J1836" s="18" t="n">
        <x:f>MIN(Model_Config_v3!$B$6,I1836+Model_Config_v3!$B$7)</x:f>
        <x:v>716</x:v>
      </x:c>
      <x:c r="K1836" s="20" t="n">
        <x:v>74.8</x:v>
      </x:c>
      <x:c r="L1836" t="str">
        <x:v>SANGAT KETAT</x:v>
      </x:c>
      <x:c r="M1836" t="str">
        <x:v>SEDANG+</x:v>
      </x:c>
      <x:c r="N1836" t="str">
        <x:v>ELITE-1</x:v>
      </x:c>
      <x:c r="O1836" t="str">
        <x:v>SAINTEK</x:v>
      </x:c>
      <x:c r="P1836" t="str">
        <x:v>TEKNIK/ARSITEKTUR/STATISTIKA/AKTUARIA</x:v>
      </x:c>
      <x:c r="Q1836" s="18" t="n">
        <x:v>675</x:v>
      </x:c>
      <x:c r="R1836" s="18" t="n">
        <x:v>690</x:v>
      </x:c>
      <x:c r="S1836" s="18" t="n">
        <x:v>663.0664408699339</x:v>
      </x:c>
      <x:c r="T1836" s="18" t="n">
        <x:v>710</x:v>
      </x:c>
      <x:c r="U1836" s="18" t="n">
        <x:v>675</x:v>
      </x:c>
      <x:c r="V1836" s="20" t="n">
        <x:v>12</x:v>
      </x:c>
      <x:c r="W1836" s="20" t="n">
        <x:v>5</x:v>
      </x:c>
      <x:c r="X1836" s="20" t="n">
        <x:v>3</x:v>
      </x:c>
      <x:c r="Y1836" t="str">
        <x:v>Basis arsip 2025/2024</x:v>
      </x:c>
      <x:c r="Z1836" t="str">
        <x:v>https://snpmb.id/utbk-snbt/daya-tampung-snbt</x:v>
      </x:c>
      <x:c r="AA1836" t="str">
        <x:v>Tidak Ada</x:v>
      </x:c>
      <x:c r="AB1836" t="str">
        <x:v>Campus=100; Ratio=76.6; Prodi=60; RelDemand=29.3; Capacity=57.5</x:v>
      </x:c>
    </x:row>
    <x:row r="1837">
      <x:c r="A1837" t="n">
        <x:v>1834</x:v>
      </x:c>
      <x:c r="B1837" t="str">
        <x:v>PTN Akademik</x:v>
      </x:c>
      <x:c r="C1837" t="str">
        <x:v>UNIVERSITAS GADJAH MADA</x:v>
      </x:c>
      <x:c r="D1837" t="str">
        <x:v>TEKNIK SIPIL</x:v>
      </x:c>
      <x:c r="E1837" t="str">
        <x:v>Sarjana</x:v>
      </x:c>
      <x:c r="F1837" s="18" t="n">
        <x:v>33</x:v>
      </x:c>
      <x:c r="G1837" s="18" t="n">
        <x:v>1336</x:v>
      </x:c>
      <x:c r="H1837" s="19" t="n">
        <x:v>40.484848484848484</x:v>
      </x:c>
      <x:c r="I1837" s="18" t="n">
        <x:f>ROUND(MIN(Model_Config_v3!$B$6,MAX(Q1837,R1837,S1837*Model_Config_v3!$B$4+T1837*Model_Config_v3!$B$5)),0)</x:f>
        <x:v>719</x:v>
      </x:c>
      <x:c r="J1837" s="18" t="n">
        <x:f>MIN(Model_Config_v3!$B$6,I1837+Model_Config_v3!$B$7)</x:f>
        <x:v>739</x:v>
      </x:c>
      <x:c r="K1837" s="20" t="n">
        <x:v>83.8</x:v>
      </x:c>
      <x:c r="L1837" t="str">
        <x:v>ELITE</x:v>
      </x:c>
      <x:c r="M1837" t="str">
        <x:v>SEDANG+</x:v>
      </x:c>
      <x:c r="N1837" t="str">
        <x:v>ELITE-1</x:v>
      </x:c>
      <x:c r="O1837" t="str">
        <x:v>SAINTEK</x:v>
      </x:c>
      <x:c r="P1837" t="str">
        <x:v>TEKNIK/ARSITEKTUR/STATISTIKA/AKTUARIA</x:v>
      </x:c>
      <x:c r="Q1837" s="18" t="n">
        <x:v>675</x:v>
      </x:c>
      <x:c r="R1837" s="18" t="n">
        <x:v>690</x:v>
      </x:c>
      <x:c r="S1837" s="18" t="n">
        <x:v>696.8021770087803</x:v>
      </x:c>
      <x:c r="T1837" s="18" t="n">
        <x:v>728</x:v>
      </x:c>
      <x:c r="U1837" s="18" t="n">
        <x:v>706.8021770087803</x:v>
      </x:c>
      <x:c r="V1837" s="20" t="n">
        <x:v>12</x:v>
      </x:c>
      <x:c r="W1837" s="20" t="n">
        <x:v>5</x:v>
      </x:c>
      <x:c r="X1837" s="20" t="n">
        <x:v>3</x:v>
      </x:c>
      <x:c r="Y1837" t="str">
        <x:v>Basis arsip 2025/2024</x:v>
      </x:c>
      <x:c r="Z1837" t="str">
        <x:v>https://snpmb.id/utbk-snbt/daya-tampung-snbt</x:v>
      </x:c>
      <x:c r="AA1837" t="str">
        <x:v>Tidak Ada</x:v>
      </x:c>
      <x:c r="AB1837" t="str">
        <x:v>Campus=100; Ratio=94.6; Prodi=60; RelDemand=59.3; Capacity=72.5</x:v>
      </x:c>
    </x:row>
    <x:row r="1838">
      <x:c r="A1838" t="n">
        <x:v>1835</x:v>
      </x:c>
      <x:c r="B1838" t="str">
        <x:v>PTN Akademik</x:v>
      </x:c>
      <x:c r="C1838" t="str">
        <x:v>UNIVERSITAS GADJAH MADA</x:v>
      </x:c>
      <x:c r="D1838" t="str">
        <x:v>TEKNIK NUKLIR</x:v>
      </x:c>
      <x:c r="E1838" t="str">
        <x:v>Sarjana</x:v>
      </x:c>
      <x:c r="F1838" s="18" t="n">
        <x:v>15</x:v>
      </x:c>
      <x:c r="G1838" s="18" t="n">
        <x:v>377</x:v>
      </x:c>
      <x:c r="H1838" s="19" t="n">
        <x:v>25.133333333333333</x:v>
      </x:c>
      <x:c r="I1838" s="18" t="n">
        <x:f>ROUND(MIN(Model_Config_v3!$B$6,MAX(Q1838,R1838,S1838*Model_Config_v3!$B$4+T1838*Model_Config_v3!$B$5)),0)</x:f>
        <x:v>706</x:v>
      </x:c>
      <x:c r="J1838" s="18" t="n">
        <x:f>MIN(Model_Config_v3!$B$6,I1838+Model_Config_v3!$B$7)</x:f>
        <x:v>726</x:v>
      </x:c>
      <x:c r="K1838" s="20" t="n">
        <x:v>80</x:v>
      </x:c>
      <x:c r="L1838" t="str">
        <x:v>ELITE</x:v>
      </x:c>
      <x:c r="M1838" t="str">
        <x:v>SEDANG+</x:v>
      </x:c>
      <x:c r="N1838" t="str">
        <x:v>ELITE-1</x:v>
      </x:c>
      <x:c r="O1838" t="str">
        <x:v>SAINTEK</x:v>
      </x:c>
      <x:c r="P1838" t="str">
        <x:v>TEKNIK/ARSITEKTUR/STATISTIKA/AKTUARIA</x:v>
      </x:c>
      <x:c r="Q1838" s="18" t="n">
        <x:v>675</x:v>
      </x:c>
      <x:c r="R1838" s="18" t="n">
        <x:v>690</x:v>
      </x:c>
      <x:c r="S1838" s="18" t="n">
        <x:v>674.0275100265122</x:v>
      </x:c>
      <x:c r="T1838" s="18" t="n">
        <x:v>720</x:v>
      </x:c>
      <x:c r="U1838" s="18" t="n">
        <x:v>684.0275100265122</x:v>
      </x:c>
      <x:c r="V1838" s="20" t="n">
        <x:v>12</x:v>
      </x:c>
      <x:c r="W1838" s="20" t="n">
        <x:v>5</x:v>
      </x:c>
      <x:c r="X1838" s="20" t="n">
        <x:v>3</x:v>
      </x:c>
      <x:c r="Y1838" t="str">
        <x:v>Basis arsip 2025/2024</x:v>
      </x:c>
      <x:c r="Z1838" t="str">
        <x:v>https://snpmb.id/utbk-snbt/daya-tampung-snbt</x:v>
      </x:c>
      <x:c r="AA1838" t="str">
        <x:v>Tidak Ada</x:v>
      </x:c>
      <x:c r="AB1838" t="str">
        <x:v>Campus=100; Ratio=82.4; Prodi=60; RelDemand=36.8; Capacity=87.5</x:v>
      </x:c>
    </x:row>
    <x:row r="1839">
      <x:c r="A1839" t="n">
        <x:v>1836</x:v>
      </x:c>
      <x:c r="B1839" t="str">
        <x:v>PTN Akademik</x:v>
      </x:c>
      <x:c r="C1839" t="str">
        <x:v>UNIVERSITAS GADJAH MADA</x:v>
      </x:c>
      <x:c r="D1839" t="str">
        <x:v>TEKNIK FISIKA</x:v>
      </x:c>
      <x:c r="E1839" t="str">
        <x:v>Sarjana</x:v>
      </x:c>
      <x:c r="F1839" s="18" t="n">
        <x:v>42</x:v>
      </x:c>
      <x:c r="G1839" s="18" t="n">
        <x:v>215</x:v>
      </x:c>
      <x:c r="H1839" s="19" t="n">
        <x:v>5.119047619047619</x:v>
      </x:c>
      <x:c r="I1839" s="18" t="n">
        <x:f>ROUND(MIN(Model_Config_v3!$B$6,MAX(Q1839,R1839,S1839*Model_Config_v3!$B$4+T1839*Model_Config_v3!$B$5)),0)</x:f>
        <x:v>690</x:v>
      </x:c>
      <x:c r="J1839" s="18" t="n">
        <x:f>MIN(Model_Config_v3!$B$6,I1839+Model_Config_v3!$B$7)</x:f>
        <x:v>710</x:v>
      </x:c>
      <x:c r="K1839" s="20" t="n">
        <x:v>64.7</x:v>
      </x:c>
      <x:c r="L1839" t="str">
        <x:v>KETAT</x:v>
      </x:c>
      <x:c r="M1839" t="str">
        <x:v>SEDANG+</x:v>
      </x:c>
      <x:c r="N1839" t="str">
        <x:v>ELITE-1</x:v>
      </x:c>
      <x:c r="O1839" t="str">
        <x:v>SAINTEK</x:v>
      </x:c>
      <x:c r="P1839" t="str">
        <x:v>TEKNIK/ARSITEKTUR/STATISTIKA/AKTUARIA</x:v>
      </x:c>
      <x:c r="Q1839" s="18" t="n">
        <x:v>675</x:v>
      </x:c>
      <x:c r="R1839" s="18" t="n">
        <x:v>690</x:v>
      </x:c>
      <x:c r="S1839" s="18" t="n">
        <x:v>598.0108086469476</x:v>
      </x:c>
      <x:c r="T1839" s="18" t="n">
        <x:v>689</x:v>
      </x:c>
      <x:c r="U1839" s="18" t="n">
        <x:v>675</x:v>
      </x:c>
      <x:c r="V1839" s="20" t="n">
        <x:v>12</x:v>
      </x:c>
      <x:c r="W1839" s="20" t="n">
        <x:v>5</x:v>
      </x:c>
      <x:c r="X1839" s="20" t="n">
        <x:v>3</x:v>
      </x:c>
      <x:c r="Y1839" t="str">
        <x:v>Basis arsip 2025/2024</x:v>
      </x:c>
      <x:c r="Z1839" t="str">
        <x:v>https://snpmb.id/utbk-snbt/daya-tampung-snbt</x:v>
      </x:c>
      <x:c r="AA1839" t="str">
        <x:v>Tidak Ada</x:v>
      </x:c>
      <x:c r="AB1839" t="str">
        <x:v>Campus=100; Ratio=41.7; Prodi=60; RelDemand=7.5; Capacity=65.0</x:v>
      </x:c>
    </x:row>
    <x:row r="1840">
      <x:c r="A1840" t="n">
        <x:v>1837</x:v>
      </x:c>
      <x:c r="B1840" t="str">
        <x:v>PTN Akademik</x:v>
      </x:c>
      <x:c r="C1840" t="str">
        <x:v>UNIVERSITAS GADJAH MADA</x:v>
      </x:c>
      <x:c r="D1840" t="str">
        <x:v>TEKNIK INDUSTRI</x:v>
      </x:c>
      <x:c r="E1840" t="str">
        <x:v>Sarjana</x:v>
      </x:c>
      <x:c r="F1840" s="18" t="n">
        <x:v>36</x:v>
      </x:c>
      <x:c r="G1840" s="18" t="n">
        <x:v>1429</x:v>
      </x:c>
      <x:c r="H1840" s="19" t="n">
        <x:v>39.69444444444444</x:v>
      </x:c>
      <x:c r="I1840" s="18" t="n">
        <x:f>ROUND(MIN(Model_Config_v3!$B$6,MAX(Q1840,R1840,S1840*Model_Config_v3!$B$4+T1840*Model_Config_v3!$B$5)),0)</x:f>
        <x:v>718</x:v>
      </x:c>
      <x:c r="J1840" s="18" t="n">
        <x:f>MIN(Model_Config_v3!$B$6,I1840+Model_Config_v3!$B$7)</x:f>
        <x:v>738</x:v>
      </x:c>
      <x:c r="K1840" s="20" t="n">
        <x:v>83.3</x:v>
      </x:c>
      <x:c r="L1840" t="str">
        <x:v>ELITE</x:v>
      </x:c>
      <x:c r="M1840" t="str">
        <x:v>SEDANG+</x:v>
      </x:c>
      <x:c r="N1840" t="str">
        <x:v>ELITE-1</x:v>
      </x:c>
      <x:c r="O1840" t="str">
        <x:v>SAINTEK</x:v>
      </x:c>
      <x:c r="P1840" t="str">
        <x:v>TEKNIK/ARSITEKTUR/STATISTIKA/AKTUARIA</x:v>
      </x:c>
      <x:c r="Q1840" s="18" t="n">
        <x:v>675</x:v>
      </x:c>
      <x:c r="R1840" s="18" t="n">
        <x:v>690</x:v>
      </x:c>
      <x:c r="S1840" s="18" t="n">
        <x:v>695.8602700826051</x:v>
      </x:c>
      <x:c r="T1840" s="18" t="n">
        <x:v>727</x:v>
      </x:c>
      <x:c r="U1840" s="18" t="n">
        <x:v>705.8602700826051</x:v>
      </x:c>
      <x:c r="V1840" s="20" t="n">
        <x:v>12</x:v>
      </x:c>
      <x:c r="W1840" s="20" t="n">
        <x:v>5</x:v>
      </x:c>
      <x:c r="X1840" s="20" t="n">
        <x:v>3</x:v>
      </x:c>
      <x:c r="Y1840" t="str">
        <x:v>Basis arsip 2025/2024</x:v>
      </x:c>
      <x:c r="Z1840" t="str">
        <x:v>https://snpmb.id/utbk-snbt/daya-tampung-snbt</x:v>
      </x:c>
      <x:c r="AA1840" t="str">
        <x:v>Tidak Ada</x:v>
      </x:c>
      <x:c r="AB1840" t="str">
        <x:v>Campus=100; Ratio=94.1; Prodi=60; RelDemand=58.2; Capacity=70.0</x:v>
      </x:c>
    </x:row>
    <x:row r="1841">
      <x:c r="A1841" t="n">
        <x:v>1838</x:v>
      </x:c>
      <x:c r="B1841" t="str">
        <x:v>PTN Akademik</x:v>
      </x:c>
      <x:c r="C1841" t="str">
        <x:v>UNIVERSITAS GADJAH MADA</x:v>
      </x:c>
      <x:c r="D1841" t="str">
        <x:v>TEKNIK PERTANIAN</x:v>
      </x:c>
      <x:c r="E1841" t="str">
        <x:v>Sarjana</x:v>
      </x:c>
      <x:c r="F1841" s="18" t="n">
        <x:v>27</x:v>
      </x:c>
      <x:c r="G1841" s="18" t="n">
        <x:v>303</x:v>
      </x:c>
      <x:c r="H1841" s="19" t="n">
        <x:v>11.222222222222221</x:v>
      </x:c>
      <x:c r="I1841" s="18" t="n">
        <x:f>ROUND(MIN(Model_Config_v3!$B$6,MAX(Q1841,R1841,S1841*Model_Config_v3!$B$4+T1841*Model_Config_v3!$B$5)),0)</x:f>
        <x:v>690</x:v>
      </x:c>
      <x:c r="J1841" s="18" t="n">
        <x:f>MIN(Model_Config_v3!$B$6,I1841+Model_Config_v3!$B$7)</x:f>
        <x:v>710</x:v>
      </x:c>
      <x:c r="K1841" s="20" t="n">
        <x:v>71.8</x:v>
      </x:c>
      <x:c r="L1841" t="str">
        <x:v>SANGAT KETAT</x:v>
      </x:c>
      <x:c r="M1841" t="str">
        <x:v>SEDANG+</x:v>
      </x:c>
      <x:c r="N1841" t="str">
        <x:v>ELITE-1</x:v>
      </x:c>
      <x:c r="O1841" t="str">
        <x:v>SAINTEK</x:v>
      </x:c>
      <x:c r="P1841" t="str">
        <x:v>TEKNIK/ARSITEKTUR/STATISTIKA/AKTUARIA</x:v>
      </x:c>
      <x:c r="Q1841" s="18" t="n">
        <x:v>675</x:v>
      </x:c>
      <x:c r="R1841" s="18" t="n">
        <x:v>690</x:v>
      </x:c>
      <x:c r="S1841" s="18" t="n">
        <x:v>635.5086750777649</x:v>
      </x:c>
      <x:c r="T1841" s="18" t="n">
        <x:v>704</x:v>
      </x:c>
      <x:c r="U1841" s="18" t="n">
        <x:v>675</x:v>
      </x:c>
      <x:c r="V1841" s="20" t="n">
        <x:v>12</x:v>
      </x:c>
      <x:c r="W1841" s="20" t="n">
        <x:v>5</x:v>
      </x:c>
      <x:c r="X1841" s="20" t="n">
        <x:v>3</x:v>
      </x:c>
      <x:c r="Y1841" t="str">
        <x:v>Basis arsip 2025/2024</x:v>
      </x:c>
      <x:c r="Z1841" t="str">
        <x:v>https://snpmb.id/utbk-snbt/daya-tampung-snbt</x:v>
      </x:c>
      <x:c r="AA1841" t="str">
        <x:v>Tidak Ada</x:v>
      </x:c>
      <x:c r="AB1841" t="str">
        <x:v>Campus=100; Ratio=61.8; Prodi=60; RelDemand=16.4; Capacity=77.5</x:v>
      </x:c>
    </x:row>
    <x:row r="1842">
      <x:c r="A1842" t="n">
        <x:v>1839</x:v>
      </x:c>
      <x:c r="B1842" t="str">
        <x:v>PTN Akademik</x:v>
      </x:c>
      <x:c r="C1842" t="str">
        <x:v>UNIVERSITAS GADJAH MADA</x:v>
      </x:c>
      <x:c r="D1842" t="str">
        <x:v>TEKNOLOGI PANGAN DAN HASIL PERTANIAN</x:v>
      </x:c>
      <x:c r="E1842" t="str">
        <x:v>Sarjana</x:v>
      </x:c>
      <x:c r="F1842" s="18" t="n">
        <x:v>33</x:v>
      </x:c>
      <x:c r="G1842" s="18" t="n">
        <x:v>1015</x:v>
      </x:c>
      <x:c r="H1842" s="19" t="n">
        <x:v>30.757575757575758</x:v>
      </x:c>
      <x:c r="I1842" s="18" t="n">
        <x:f>ROUND(MIN(Model_Config_v3!$B$6,MAX(Q1842,R1842,S1842*Model_Config_v3!$B$4+T1842*Model_Config_v3!$B$5)),0)</x:f>
        <x:v>704</x:v>
      </x:c>
      <x:c r="J1842" s="18" t="n">
        <x:f>MIN(Model_Config_v3!$B$6,I1842+Model_Config_v3!$B$7)</x:f>
        <x:v>724</x:v>
      </x:c>
      <x:c r="K1842" s="20" t="n">
        <x:v>76.7</x:v>
      </x:c>
      <x:c r="L1842" t="str">
        <x:v>ELITE</x:v>
      </x:c>
      <x:c r="M1842" t="str">
        <x:v>SEDANG+</x:v>
      </x:c>
      <x:c r="N1842" t="str">
        <x:v>ELITE-1</x:v>
      </x:c>
      <x:c r="O1842" t="str">
        <x:v>SAINTEK</x:v>
      </x:c>
      <x:c r="P1842" t="str">
        <x:v>UMUM</x:v>
      </x:c>
      <x:c r="Q1842" s="18" t="n">
        <x:v>675</x:v>
      </x:c>
      <x:c r="R1842" s="18" t="n">
        <x:v>0</x:v>
      </x:c>
      <x:c r="S1842" s="18" t="n">
        <x:v>683.6747312608478</x:v>
      </x:c>
      <x:c r="T1842" s="18" t="n">
        <x:v>713</x:v>
      </x:c>
      <x:c r="U1842" s="18" t="n">
        <x:v>683.6747312608478</x:v>
      </x:c>
      <x:c r="V1842" s="20" t="n">
        <x:v>12</x:v>
      </x:c>
      <x:c r="W1842" s="20" t="n">
        <x:v>5</x:v>
      </x:c>
      <x:c r="X1842" s="20" t="n">
        <x:v>3</x:v>
      </x:c>
      <x:c r="Y1842" t="str">
        <x:v>Basis arsip 2025/2024</x:v>
      </x:c>
      <x:c r="Z1842" t="str">
        <x:v>https://snpmb.id/utbk-snbt/daya-tampung-snbt</x:v>
      </x:c>
      <x:c r="AA1842" t="str">
        <x:v>Tidak Ada</x:v>
      </x:c>
      <x:c r="AB1842" t="str">
        <x:v>Campus=100; Ratio=87.6; Prodi=40; RelDemand=45.1; Capacity=72.5</x:v>
      </x:c>
    </x:row>
    <x:row r="1843">
      <x:c r="A1843" t="n">
        <x:v>1840</x:v>
      </x:c>
      <x:c r="B1843" t="str">
        <x:v>PTN Akademik</x:v>
      </x:c>
      <x:c r="C1843" t="str">
        <x:v>UNIVERSITAS GADJAH MADA</x:v>
      </x:c>
      <x:c r="D1843" t="str">
        <x:v>TEKNOLOGI INDUSTRI PERTANIAN</x:v>
      </x:c>
      <x:c r="E1843" t="str">
        <x:v>Sarjana</x:v>
      </x:c>
      <x:c r="F1843" s="18" t="n">
        <x:v>30</x:v>
      </x:c>
      <x:c r="G1843" s="18" t="n">
        <x:v>388</x:v>
      </x:c>
      <x:c r="H1843" s="19" t="n">
        <x:v>12.933333333333334</x:v>
      </x:c>
      <x:c r="I1843" s="18" t="n">
        <x:f>ROUND(MIN(Model_Config_v3!$B$6,MAX(Q1843,R1843,S1843*Model_Config_v3!$B$4+T1843*Model_Config_v3!$B$5)),0)</x:f>
        <x:v>681</x:v>
      </x:c>
      <x:c r="J1843" s="18" t="n">
        <x:f>MIN(Model_Config_v3!$B$6,I1843+Model_Config_v3!$B$7)</x:f>
        <x:v>701</x:v>
      </x:c>
      <x:c r="K1843" s="20" t="n">
        <x:v>68.8</x:v>
      </x:c>
      <x:c r="L1843" t="str">
        <x:v>SANGAT KETAT</x:v>
      </x:c>
      <x:c r="M1843" t="str">
        <x:v>SEDANG+</x:v>
      </x:c>
      <x:c r="N1843" t="str">
        <x:v>ELITE-1</x:v>
      </x:c>
      <x:c r="O1843" t="str">
        <x:v>SAINTEK</x:v>
      </x:c>
      <x:c r="P1843" t="str">
        <x:v>UMUM</x:v>
      </x:c>
      <x:c r="Q1843" s="18" t="n">
        <x:v>675</x:v>
      </x:c>
      <x:c r="R1843" s="18" t="n">
        <x:v>0</x:v>
      </x:c>
      <x:c r="S1843" s="18" t="n">
        <x:v>642.2881517961999</x:v>
      </x:c>
      <x:c r="T1843" s="18" t="n">
        <x:v>698</x:v>
      </x:c>
      <x:c r="U1843" s="18" t="n">
        <x:v>675</x:v>
      </x:c>
      <x:c r="V1843" s="20" t="n">
        <x:v>12</x:v>
      </x:c>
      <x:c r="W1843" s="20" t="n">
        <x:v>5</x:v>
      </x:c>
      <x:c r="X1843" s="20" t="n">
        <x:v>3</x:v>
      </x:c>
      <x:c r="Y1843" t="str">
        <x:v>Basis arsip 2025/2024</x:v>
      </x:c>
      <x:c r="Z1843" t="str">
        <x:v>https://snpmb.id/utbk-snbt/daya-tampung-snbt</x:v>
      </x:c>
      <x:c r="AA1843" t="str">
        <x:v>Tidak Ada</x:v>
      </x:c>
      <x:c r="AB1843" t="str">
        <x:v>Campus=100; Ratio=65.4; Prodi=40; RelDemand=18.9; Capacity=75.0</x:v>
      </x:c>
    </x:row>
    <x:row r="1844">
      <x:c r="A1844" t="n">
        <x:v>1841</x:v>
      </x:c>
      <x:c r="B1844" t="str">
        <x:v>PTN Akademik</x:v>
      </x:c>
      <x:c r="C1844" t="str">
        <x:v>UNIVERSITAS GADJAH MADA</x:v>
      </x:c>
      <x:c r="D1844" t="str">
        <x:v>HIGIENE GIGI</x:v>
      </x:c>
      <x:c r="E1844" t="str">
        <x:v>Sarjana</x:v>
      </x:c>
      <x:c r="F1844" s="18" t="n">
        <x:v>17</x:v>
      </x:c>
      <x:c r="G1844" s="18" t="n">
        <x:v>300</x:v>
      </x:c>
      <x:c r="H1844" s="19" t="n">
        <x:v>17.647058823529413</x:v>
      </x:c>
      <x:c r="I1844" s="18" t="n">
        <x:f>ROUND(MIN(Model_Config_v3!$B$6,MAX(Q1844,R1844,S1844*Model_Config_v3!$B$4+T1844*Model_Config_v3!$B$5)),0)</x:f>
        <x:v>691</x:v>
      </x:c>
      <x:c r="J1844" s="18" t="n">
        <x:f>MIN(Model_Config_v3!$B$6,I1844+Model_Config_v3!$B$7)</x:f>
        <x:v>711</x:v>
      </x:c>
      <x:c r="K1844" s="20" t="n">
        <x:v>72.5</x:v>
      </x:c>
      <x:c r="L1844" t="str">
        <x:v>SANGAT KETAT</x:v>
      </x:c>
      <x:c r="M1844" t="str">
        <x:v>SEDANG+</x:v>
      </x:c>
      <x:c r="N1844" t="str">
        <x:v>ELITE-1</x:v>
      </x:c>
      <x:c r="O1844" t="str">
        <x:v>CAMPURAN</x:v>
      </x:c>
      <x:c r="P1844" t="str">
        <x:v>UMUM</x:v>
      </x:c>
      <x:c r="Q1844" s="18" t="n">
        <x:v>675</x:v>
      </x:c>
      <x:c r="R1844" s="18" t="n">
        <x:v>0</x:v>
      </x:c>
      <x:c r="S1844" s="18" t="n">
        <x:v>657.1339566675528</x:v>
      </x:c>
      <x:c r="T1844" s="18" t="n">
        <x:v>705</x:v>
      </x:c>
      <x:c r="U1844" s="18" t="n">
        <x:v>675</x:v>
      </x:c>
      <x:c r="V1844" s="20" t="n">
        <x:v>8.8</x:v>
      </x:c>
      <x:c r="W1844" s="20" t="n">
        <x:v>9.9</x:v>
      </x:c>
      <x:c r="X1844" s="20" t="n">
        <x:v>3.3</x:v>
      </x:c>
      <x:c r="Y1844" t="str">
        <x:v>Basis arsip 2025/2024</x:v>
      </x:c>
      <x:c r="Z1844" t="str">
        <x:v>https://snpmb.id/utbk-snbt/daya-tampung-snbt</x:v>
      </x:c>
      <x:c r="AA1844" t="str">
        <x:v>Tidak Ada</x:v>
      </x:c>
      <x:c r="AB1844" t="str">
        <x:v>Campus=100; Ratio=73.4; Prodi=40; RelDemand=25.9; Capacity=85.8</x:v>
      </x:c>
    </x:row>
    <x:row r="1845">
      <x:c r="A1845" t="n">
        <x:v>1842</x:v>
      </x:c>
      <x:c r="B1845" t="str">
        <x:v>PTN Akademik</x:v>
      </x:c>
      <x:c r="C1845" t="str">
        <x:v>UNIVERSITAS GADJAH MADA</x:v>
      </x:c>
      <x:c r="D1845" t="str">
        <x:v>KEHUTANAN</x:v>
      </x:c>
      <x:c r="E1845" t="str">
        <x:v>Sarjana</x:v>
      </x:c>
      <x:c r="F1845" s="18" t="n">
        <x:v>90</x:v>
      </x:c>
      <x:c r="G1845" s="18" t="n">
        <x:v>1030</x:v>
      </x:c>
      <x:c r="H1845" s="19" t="n">
        <x:v>11.444444444444445</x:v>
      </x:c>
      <x:c r="I1845" s="18" t="n">
        <x:f>ROUND(MIN(Model_Config_v3!$B$6,MAX(Q1845,R1845,S1845*Model_Config_v3!$B$4+T1845*Model_Config_v3!$B$5)),0)</x:f>
        <x:v>675</x:v>
      </x:c>
      <x:c r="J1845" s="18" t="n">
        <x:f>MIN(Model_Config_v3!$B$6,I1845+Model_Config_v3!$B$7)</x:f>
        <x:v>695</x:v>
      </x:c>
      <x:c r="K1845" s="20" t="n">
        <x:v>62.8</x:v>
      </x:c>
      <x:c r="L1845" t="str">
        <x:v>KETAT</x:v>
      </x:c>
      <x:c r="M1845" t="str">
        <x:v>SEDANG+</x:v>
      </x:c>
      <x:c r="N1845" t="str">
        <x:v>ELITE-1</x:v>
      </x:c>
      <x:c r="O1845" t="str">
        <x:v>CAMPURAN</x:v>
      </x:c>
      <x:c r="P1845" t="str">
        <x:v>UMUM</x:v>
      </x:c>
      <x:c r="Q1845" s="18" t="n">
        <x:v>675</x:v>
      </x:c>
      <x:c r="R1845" s="18" t="n">
        <x:v>0</x:v>
      </x:c>
      <x:c r="S1845" s="18" t="n">
        <x:v>636.4454186792432</x:v>
      </x:c>
      <x:c r="T1845" s="18" t="n">
        <x:v>686</x:v>
      </x:c>
      <x:c r="U1845" s="18" t="n">
        <x:v>675</x:v>
      </x:c>
      <x:c r="V1845" s="20" t="n">
        <x:v>8.8</x:v>
      </x:c>
      <x:c r="W1845" s="20" t="n">
        <x:v>9.9</x:v>
      </x:c>
      <x:c r="X1845" s="20" t="n">
        <x:v>3.3</x:v>
      </x:c>
      <x:c r="Y1845" t="str">
        <x:v>Basis arsip 2025/2024</x:v>
      </x:c>
      <x:c r="Z1845" t="str">
        <x:v>https://snpmb.id/utbk-snbt/daya-tampung-snbt</x:v>
      </x:c>
      <x:c r="AA1845" t="str">
        <x:v>Tidak Ada</x:v>
      </x:c>
      <x:c r="AB1845" t="str">
        <x:v>Campus=100; Ratio=62.3; Prodi=40; RelDemand=16.8; Capacity=25.0</x:v>
      </x:c>
    </x:row>
    <x:row r="1846">
      <x:c r="A1846" t="n">
        <x:v>1843</x:v>
      </x:c>
      <x:c r="B1846" t="str">
        <x:v>PTN Akademik</x:v>
      </x:c>
      <x:c r="C1846" t="str">
        <x:v>UNIVERSITAS GADJAH MADA</x:v>
      </x:c>
      <x:c r="D1846" t="str">
        <x:v>TEKNOLOGI INFORMASI</x:v>
      </x:c>
      <x:c r="E1846" t="str">
        <x:v>Sarjana</x:v>
      </x:c>
      <x:c r="F1846" s="18" t="n">
        <x:v>24</x:v>
      </x:c>
      <x:c r="G1846" s="18" t="n">
        <x:v>1627</x:v>
      </x:c>
      <x:c r="H1846" s="19" t="n">
        <x:v>67.79166666666667</x:v>
      </x:c>
      <x:c r="I1846" s="18" t="n">
        <x:f>ROUND(MIN(Model_Config_v3!$B$6,MAX(Q1846,R1846,S1846*Model_Config_v3!$B$4+T1846*Model_Config_v3!$B$5)),0)</x:f>
        <x:v>729</x:v>
      </x:c>
      <x:c r="J1846" s="18" t="n">
        <x:f>MIN(Model_Config_v3!$B$6,I1846+Model_Config_v3!$B$7)</x:f>
        <x:v>749</x:v>
      </x:c>
      <x:c r="K1846" s="20" t="n">
        <x:v>85.9</x:v>
      </x:c>
      <x:c r="L1846" t="str">
        <x:v>ULTRA ELITE</x:v>
      </x:c>
      <x:c r="M1846" t="str">
        <x:v>SEDANG+</x:v>
      </x:c>
      <x:c r="N1846" t="str">
        <x:v>ELITE-1</x:v>
      </x:c>
      <x:c r="O1846" t="str">
        <x:v>SAINTEK</x:v>
      </x:c>
      <x:c r="P1846" t="str">
        <x:v>UMUM</x:v>
      </x:c>
      <x:c r="Q1846" s="18" t="n">
        <x:v>675</x:v>
      </x:c>
      <x:c r="R1846" s="18" t="n">
        <x:v>0</x:v>
      </x:c>
      <x:c r="S1846" s="18" t="n">
        <x:v>721.4293942347779</x:v>
      </x:c>
      <x:c r="T1846" s="18" t="n">
        <x:v>732</x:v>
      </x:c>
      <x:c r="U1846" s="18" t="n">
        <x:v>721.4293942347779</x:v>
      </x:c>
      <x:c r="V1846" s="20" t="n">
        <x:v>12</x:v>
      </x:c>
      <x:c r="W1846" s="20" t="n">
        <x:v>5</x:v>
      </x:c>
      <x:c r="X1846" s="20" t="n">
        <x:v>3</x:v>
      </x:c>
      <x:c r="Y1846" t="str">
        <x:v>Basis arsip 2025/2024</x:v>
      </x:c>
      <x:c r="Z1846" t="str">
        <x:v>https://snpmb.id/utbk-snbt/daya-tampung-snbt</x:v>
      </x:c>
      <x:c r="AA1846" t="str">
        <x:v>Tidak Ada</x:v>
      </x:c>
      <x:c r="AB1846" t="str">
        <x:v>Campus=100; Ratio=100.0; Prodi=40; RelDemand=99.3; Capacity=80.0</x:v>
      </x:c>
    </x:row>
    <x:row r="1847">
      <x:c r="A1847" t="n">
        <x:v>1844</x:v>
      </x:c>
      <x:c r="B1847" t="str">
        <x:v>PTN Akademik</x:v>
      </x:c>
      <x:c r="C1847" t="str">
        <x:v>UNIVERSITAS GADJAH MADA</x:v>
      </x:c>
      <x:c r="D1847" t="str">
        <x:v>ILMU AKTUARIA</x:v>
      </x:c>
      <x:c r="E1847" t="str">
        <x:v>Sarjana</x:v>
      </x:c>
      <x:c r="F1847" s="18" t="n">
        <x:v>17</x:v>
      </x:c>
      <x:c r="G1847" s="18" t="n">
        <x:v>417</x:v>
      </x:c>
      <x:c r="H1847" s="19" t="n">
        <x:v>24.529411764705884</x:v>
      </x:c>
      <x:c r="I1847" s="18" t="n">
        <x:f>ROUND(MIN(Model_Config_v3!$B$6,MAX(Q1847,R1847,S1847*Model_Config_v3!$B$4+T1847*Model_Config_v3!$B$5)),0)</x:f>
        <x:v>705</x:v>
      </x:c>
      <x:c r="J1847" s="18" t="n">
        <x:f>MIN(Model_Config_v3!$B$6,I1847+Model_Config_v3!$B$7)</x:f>
        <x:v>725</x:v>
      </x:c>
      <x:c r="K1847" s="20" t="n">
        <x:v>79.6</x:v>
      </x:c>
      <x:c r="L1847" t="str">
        <x:v>ELITE</x:v>
      </x:c>
      <x:c r="M1847" t="str">
        <x:v>SEDANG+</x:v>
      </x:c>
      <x:c r="N1847" t="str">
        <x:v>ELITE-1</x:v>
      </x:c>
      <x:c r="O1847" t="str">
        <x:v>SAINTEK</x:v>
      </x:c>
      <x:c r="P1847" t="str">
        <x:v>TEKNIK/ARSITEKTUR/STATISTIKA/AKTUARIA</x:v>
      </x:c>
      <x:c r="Q1847" s="18" t="n">
        <x:v>675</x:v>
      </x:c>
      <x:c r="R1847" s="18" t="n">
        <x:v>690</x:v>
      </x:c>
      <x:c r="S1847" s="18" t="n">
        <x:v>672.8655846955032</x:v>
      </x:c>
      <x:c r="T1847" s="18" t="n">
        <x:v>719</x:v>
      </x:c>
      <x:c r="U1847" s="18" t="n">
        <x:v>682.8655846955032</x:v>
      </x:c>
      <x:c r="V1847" s="20" t="n">
        <x:v>12</x:v>
      </x:c>
      <x:c r="W1847" s="20" t="n">
        <x:v>5</x:v>
      </x:c>
      <x:c r="X1847" s="20" t="n">
        <x:v>3</x:v>
      </x:c>
      <x:c r="Y1847" t="str">
        <x:v>Basis arsip 2025/2024</x:v>
      </x:c>
      <x:c r="Z1847" t="str">
        <x:v>https://snpmb.id/utbk-snbt/daya-tampung-snbt</x:v>
      </x:c>
      <x:c r="AA1847" t="str">
        <x:v>Tidak Ada</x:v>
      </x:c>
      <x:c r="AB1847" t="str">
        <x:v>Campus=100; Ratio=81.8; Prodi=60; RelDemand=35.9; Capacity=85.8</x:v>
      </x:c>
    </x:row>
    <x:row r="1848">
      <x:c r="A1848" t="n">
        <x:v>1845</x:v>
      </x:c>
      <x:c r="B1848" t="str">
        <x:v>PTN Akademik</x:v>
      </x:c>
      <x:c r="C1848" t="str">
        <x:v>UNIVERSITAS GADJAH MADA</x:v>
      </x:c>
      <x:c r="D1848" t="str">
        <x:v>TEKNIK BIOMEDIS</x:v>
      </x:c>
      <x:c r="E1848" t="str">
        <x:v>Sarjana</x:v>
      </x:c>
      <x:c r="F1848" s="18" t="n">
        <x:v>18</x:v>
      </x:c>
      <x:c r="G1848" s="18" t="n">
        <x:v>452</x:v>
      </x:c>
      <x:c r="H1848" s="19" t="n">
        <x:v>25.11111111111111</x:v>
      </x:c>
      <x:c r="I1848" s="18" t="n">
        <x:f>ROUND(MIN(Model_Config_v3!$B$6,MAX(Q1848,R1848,S1848*Model_Config_v3!$B$4+T1848*Model_Config_v3!$B$5)),0)</x:f>
        <x:v>706</x:v>
      </x:c>
      <x:c r="J1848" s="18" t="n">
        <x:f>MIN(Model_Config_v3!$B$6,I1848+Model_Config_v3!$B$7)</x:f>
        <x:v>726</x:v>
      </x:c>
      <x:c r="K1848" s="20" t="n">
        <x:v>79.8</x:v>
      </x:c>
      <x:c r="L1848" t="str">
        <x:v>ELITE</x:v>
      </x:c>
      <x:c r="M1848" t="str">
        <x:v>SEDANG+</x:v>
      </x:c>
      <x:c r="N1848" t="str">
        <x:v>ELITE-1</x:v>
      </x:c>
      <x:c r="O1848" t="str">
        <x:v>SAINTEK</x:v>
      </x:c>
      <x:c r="P1848" t="str">
        <x:v>TEKNIK/ARSITEKTUR/STATISTIKA/AKTUARIA</x:v>
      </x:c>
      <x:c r="Q1848" s="18" t="n">
        <x:v>675</x:v>
      </x:c>
      <x:c r="R1848" s="18" t="n">
        <x:v>690</x:v>
      </x:c>
      <x:c r="S1848" s="18" t="n">
        <x:v>673.9852522678884</x:v>
      </x:c>
      <x:c r="T1848" s="18" t="n">
        <x:v>720</x:v>
      </x:c>
      <x:c r="U1848" s="18" t="n">
        <x:v>683.9852522678884</x:v>
      </x:c>
      <x:c r="V1848" s="20" t="n">
        <x:v>12</x:v>
      </x:c>
      <x:c r="W1848" s="20" t="n">
        <x:v>5</x:v>
      </x:c>
      <x:c r="X1848" s="20" t="n">
        <x:v>3</x:v>
      </x:c>
      <x:c r="Y1848" t="str">
        <x:v>Basis arsip 2025/2024</x:v>
      </x:c>
      <x:c r="Z1848" t="str">
        <x:v>https://snpmb.id/utbk-snbt/daya-tampung-snbt</x:v>
      </x:c>
      <x:c r="AA1848" t="str">
        <x:v>Tidak Ada</x:v>
      </x:c>
      <x:c r="AB1848" t="str">
        <x:v>Campus=100; Ratio=82.4; Prodi=60; RelDemand=36.8; Capacity=85.0</x:v>
      </x:c>
    </x:row>
    <x:row r="1849">
      <x:c r="A1849" t="n">
        <x:v>1846</x:v>
      </x:c>
      <x:c r="B1849" t="str">
        <x:v>PTN Akademik</x:v>
      </x:c>
      <x:c r="C1849" t="str">
        <x:v>UNIVERSITAS GADJAH MADA</x:v>
      </x:c>
      <x:c r="D1849" t="str">
        <x:v>TEKNIK INFRASTRUKTUR LINGKUNGAN</x:v>
      </x:c>
      <x:c r="E1849" t="str">
        <x:v>Sarjana</x:v>
      </x:c>
      <x:c r="F1849" s="18" t="n">
        <x:v>15</x:v>
      </x:c>
      <x:c r="G1849" s="18" t="n">
        <x:v>557</x:v>
      </x:c>
      <x:c r="H1849" s="19" t="n">
        <x:v>37.13333333333333</x:v>
      </x:c>
      <x:c r="I1849" s="18" t="n">
        <x:f>ROUND(MIN(Model_Config_v3!$B$6,MAX(Q1849,R1849,S1849*Model_Config_v3!$B$4+T1849*Model_Config_v3!$B$5)),0)</x:f>
        <x:v>718</x:v>
      </x:c>
      <x:c r="J1849" s="18" t="n">
        <x:f>MIN(Model_Config_v3!$B$6,I1849+Model_Config_v3!$B$7)</x:f>
        <x:v>738</x:v>
      </x:c>
      <x:c r="K1849" s="20" t="n">
        <x:v>84.3</x:v>
      </x:c>
      <x:c r="L1849" t="str">
        <x:v>ELITE</x:v>
      </x:c>
      <x:c r="M1849" t="str">
        <x:v>SEDANG+</x:v>
      </x:c>
      <x:c r="N1849" t="str">
        <x:v>ELITE-1</x:v>
      </x:c>
      <x:c r="O1849" t="str">
        <x:v>SAINTEK</x:v>
      </x:c>
      <x:c r="P1849" t="str">
        <x:v>TEKNIK/ARSITEKTUR/STATISTIKA/AKTUARIA</x:v>
      </x:c>
      <x:c r="Q1849" s="18" t="n">
        <x:v>675</x:v>
      </x:c>
      <x:c r="R1849" s="18" t="n">
        <x:v>690</x:v>
      </x:c>
      <x:c r="S1849" s="18" t="n">
        <x:v>692.6740329729852</x:v>
      </x:c>
      <x:c r="T1849" s="18" t="n">
        <x:v>729</x:v>
      </x:c>
      <x:c r="U1849" s="18" t="n">
        <x:v>702.6740329729852</x:v>
      </x:c>
      <x:c r="V1849" s="20" t="n">
        <x:v>12</x:v>
      </x:c>
      <x:c r="W1849" s="20" t="n">
        <x:v>5</x:v>
      </x:c>
      <x:c r="X1849" s="20" t="n">
        <x:v>3</x:v>
      </x:c>
      <x:c r="Y1849" t="str">
        <x:v>Basis arsip 2025/2024</x:v>
      </x:c>
      <x:c r="Z1849" t="str">
        <x:v>https://snpmb.id/utbk-snbt/daya-tampung-snbt</x:v>
      </x:c>
      <x:c r="AA1849" t="str">
        <x:v>Tidak Ada</x:v>
      </x:c>
      <x:c r="AB1849" t="str">
        <x:v>Campus=100; Ratio=92.4; Prodi=60; RelDemand=54.4; Capacity=87.5</x:v>
      </x:c>
    </x:row>
    <x:row r="1850">
      <x:c r="A1850" t="n">
        <x:v>1847</x:v>
      </x:c>
      <x:c r="B1850" t="str">
        <x:v>PTN Akademik</x:v>
      </x:c>
      <x:c r="C1850" t="str">
        <x:v>UNIVERSITAS GADJAH MADA</x:v>
      </x:c>
      <x:c r="D1850" t="str">
        <x:v>ILMU EKONOMI</x:v>
      </x:c>
      <x:c r="E1850" t="str">
        <x:v>Sarjana</x:v>
      </x:c>
      <x:c r="F1850" s="18" t="n">
        <x:v>30</x:v>
      </x:c>
      <x:c r="G1850" s="18" t="n">
        <x:v>931</x:v>
      </x:c>
      <x:c r="H1850" s="19" t="n">
        <x:v>31.033333333333335</x:v>
      </x:c>
      <x:c r="I1850" s="18" t="n">
        <x:f>ROUND(MIN(Model_Config_v3!$B$6,MAX(Q1850,R1850,S1850*Model_Config_v3!$B$4+T1850*Model_Config_v3!$B$5)),0)</x:f>
        <x:v>712</x:v>
      </x:c>
      <x:c r="J1850" s="18" t="n">
        <x:f>MIN(Model_Config_v3!$B$6,I1850+Model_Config_v3!$B$7)</x:f>
        <x:v>732</x:v>
      </x:c>
      <x:c r="K1850" s="20" t="n">
        <x:v>82</x:v>
      </x:c>
      <x:c r="L1850" t="str">
        <x:v>ELITE</x:v>
      </x:c>
      <x:c r="M1850" t="str">
        <x:v>SEDANG+</x:v>
      </x:c>
      <x:c r="N1850" t="str">
        <x:v>ELITE-1</x:v>
      </x:c>
      <x:c r="O1850" t="str">
        <x:v>SOSHUM</x:v>
      </x:c>
      <x:c r="P1850" t="str">
        <x:v>BISNIS/EKONOMI/AKUNTANSI</x:v>
      </x:c>
      <x:c r="Q1850" s="18" t="n">
        <x:v>675</x:v>
      </x:c>
      <x:c r="R1850" s="18" t="n">
        <x:v>700</x:v>
      </x:c>
      <x:c r="S1850" s="18" t="n">
        <x:v>684.1011268887848</x:v>
      </x:c>
      <x:c r="T1850" s="18" t="n">
        <x:v>724</x:v>
      </x:c>
      <x:c r="U1850" s="18" t="n">
        <x:v>684.1011268887848</x:v>
      </x:c>
      <x:c r="V1850" s="20" t="n">
        <x:v>4.4</x:v>
      </x:c>
      <x:c r="W1850" s="20" t="n">
        <x:v>14.3</x:v>
      </x:c>
      <x:c r="X1850" s="20" t="n">
        <x:v>3.3</x:v>
      </x:c>
      <x:c r="Y1850" t="str">
        <x:v>Basis arsip 2025/2024</x:v>
      </x:c>
      <x:c r="Z1850" t="str">
        <x:v>https://snpmb.id/utbk-snbt/daya-tampung-snbt</x:v>
      </x:c>
      <x:c r="AA1850" t="str">
        <x:v>Tidak Ada</x:v>
      </x:c>
      <x:c r="AB1850" t="str">
        <x:v>Campus=100; Ratio=87.8; Prodi=65; RelDemand=45.5; Capacity=75.0</x:v>
      </x:c>
    </x:row>
    <x:row r="1851">
      <x:c r="A1851" t="n">
        <x:v>1848</x:v>
      </x:c>
      <x:c r="B1851" t="str">
        <x:v>PTN Akademik</x:v>
      </x:c>
      <x:c r="C1851" t="str">
        <x:v>UNIVERSITAS GADJAH MADA</x:v>
      </x:c>
      <x:c r="D1851" t="str">
        <x:v>MANAJEMEN</x:v>
      </x:c>
      <x:c r="E1851" t="str">
        <x:v>Sarjana</x:v>
      </x:c>
      <x:c r="F1851" s="18" t="n">
        <x:v>45</x:v>
      </x:c>
      <x:c r="G1851" s="18" t="n">
        <x:v>2604</x:v>
      </x:c>
      <x:c r="H1851" s="19" t="n">
        <x:v>57.86666666666667</x:v>
      </x:c>
      <x:c r="I1851" s="18" t="n">
        <x:f>ROUND(MIN(Model_Config_v3!$B$6,MAX(Q1851,R1851,S1851*Model_Config_v3!$B$4+T1851*Model_Config_v3!$B$5)),0)</x:f>
        <x:v>729</x:v>
      </x:c>
      <x:c r="J1851" s="18" t="n">
        <x:f>MIN(Model_Config_v3!$B$6,I1851+Model_Config_v3!$B$7)</x:f>
        <x:v>749</x:v>
      </x:c>
      <x:c r="K1851" s="20" t="n">
        <x:v>87.7</x:v>
      </x:c>
      <x:c r="L1851" t="str">
        <x:v>ULTRA ELITE</x:v>
      </x:c>
      <x:c r="M1851" t="str">
        <x:v>SEDANG+</x:v>
      </x:c>
      <x:c r="N1851" t="str">
        <x:v>ELITE-1</x:v>
      </x:c>
      <x:c r="O1851" t="str">
        <x:v>SOSHUM</x:v>
      </x:c>
      <x:c r="P1851" t="str">
        <x:v>BISNIS/EKONOMI/AKUNTANSI</x:v>
      </x:c>
      <x:c r="Q1851" s="18" t="n">
        <x:v>675</x:v>
      </x:c>
      <x:c r="R1851" s="18" t="n">
        <x:v>700</x:v>
      </x:c>
      <x:c r="S1851" s="18" t="n">
        <x:v>713.8671312732891</x:v>
      </x:c>
      <x:c r="T1851" s="18" t="n">
        <x:v>735</x:v>
      </x:c>
      <x:c r="U1851" s="18" t="n">
        <x:v>728.8671312732891</x:v>
      </x:c>
      <x:c r="V1851" s="20" t="n">
        <x:v>4.4</x:v>
      </x:c>
      <x:c r="W1851" s="20" t="n">
        <x:v>14.3</x:v>
      </x:c>
      <x:c r="X1851" s="20" t="n">
        <x:v>3.3</x:v>
      </x:c>
      <x:c r="Y1851" t="str">
        <x:v>Basis arsip 2025/2024</x:v>
      </x:c>
      <x:c r="Z1851" t="str">
        <x:v>https://snpmb.id/utbk-snbt/daya-tampung-snbt</x:v>
      </x:c>
      <x:c r="AA1851" t="str">
        <x:v>Tidak Ada</x:v>
      </x:c>
      <x:c r="AB1851" t="str">
        <x:v>Campus=100; Ratio=100.0; Prodi=65; RelDemand=84.8; Capacity=62.5</x:v>
      </x:c>
    </x:row>
    <x:row r="1852">
      <x:c r="A1852" t="n">
        <x:v>1849</x:v>
      </x:c>
      <x:c r="B1852" t="str">
        <x:v>PTN Akademik</x:v>
      </x:c>
      <x:c r="C1852" t="str">
        <x:v>UNIVERSITAS GADJAH MADA</x:v>
      </x:c>
      <x:c r="D1852" t="str">
        <x:v>AKUNTANSI</x:v>
      </x:c>
      <x:c r="E1852" t="str">
        <x:v>Sarjana</x:v>
      </x:c>
      <x:c r="F1852" s="18" t="n">
        <x:v>45</x:v>
      </x:c>
      <x:c r="G1852" s="18" t="n">
        <x:v>2325</x:v>
      </x:c>
      <x:c r="H1852" s="19" t="n">
        <x:v>51.666666666666664</x:v>
      </x:c>
      <x:c r="I1852" s="18" t="n">
        <x:f>ROUND(MIN(Model_Config_v3!$B$6,MAX(Q1852,R1852,S1852*Model_Config_v3!$B$4+T1852*Model_Config_v3!$B$5)),0)</x:f>
        <x:v>726</x:v>
      </x:c>
      <x:c r="J1852" s="18" t="n">
        <x:f>MIN(Model_Config_v3!$B$6,I1852+Model_Config_v3!$B$7)</x:f>
        <x:v>746</x:v>
      </x:c>
      <x:c r="K1852" s="20" t="n">
        <x:v>86.8</x:v>
      </x:c>
      <x:c r="L1852" t="str">
        <x:v>ULTRA ELITE</x:v>
      </x:c>
      <x:c r="M1852" t="str">
        <x:v>SEDANG+</x:v>
      </x:c>
      <x:c r="N1852" t="str">
        <x:v>ELITE-1</x:v>
      </x:c>
      <x:c r="O1852" t="str">
        <x:v>SOSHUM</x:v>
      </x:c>
      <x:c r="P1852" t="str">
        <x:v>BISNIS/EKONOMI/AKUNTANSI</x:v>
      </x:c>
      <x:c r="Q1852" s="18" t="n">
        <x:v>675</x:v>
      </x:c>
      <x:c r="R1852" s="18" t="n">
        <x:v>700</x:v>
      </x:c>
      <x:c r="S1852" s="18" t="n">
        <x:v>708.4531487795691</x:v>
      </x:c>
      <x:c r="T1852" s="18" t="n">
        <x:v>734</x:v>
      </x:c>
      <x:c r="U1852" s="18" t="n">
        <x:v>708.4531487795691</x:v>
      </x:c>
      <x:c r="V1852" s="20" t="n">
        <x:v>4.4</x:v>
      </x:c>
      <x:c r="W1852" s="20" t="n">
        <x:v>14.3</x:v>
      </x:c>
      <x:c r="X1852" s="20" t="n">
        <x:v>3.3</x:v>
      </x:c>
      <x:c r="Y1852" t="str">
        <x:v>Basis arsip 2025/2024</x:v>
      </x:c>
      <x:c r="Z1852" t="str">
        <x:v>https://snpmb.id/utbk-snbt/daya-tampung-snbt</x:v>
      </x:c>
      <x:c r="AA1852" t="str">
        <x:v>Tidak Ada</x:v>
      </x:c>
      <x:c r="AB1852" t="str">
        <x:v>Campus=100; Ratio=100.0; Prodi=65; RelDemand=75.7; Capacity=62.5</x:v>
      </x:c>
    </x:row>
    <x:row r="1853">
      <x:c r="A1853" t="n">
        <x:v>1850</x:v>
      </x:c>
      <x:c r="B1853" t="str">
        <x:v>PTN Akademik</x:v>
      </x:c>
      <x:c r="C1853" t="str">
        <x:v>UNIVERSITAS GADJAH MADA</x:v>
      </x:c>
      <x:c r="D1853" t="str">
        <x:v>FILSAFAT</x:v>
      </x:c>
      <x:c r="E1853" t="str">
        <x:v>Sarjana</x:v>
      </x:c>
      <x:c r="F1853" s="18" t="n">
        <x:v>45</x:v>
      </x:c>
      <x:c r="G1853" s="18" t="n">
        <x:v>535</x:v>
      </x:c>
      <x:c r="H1853" s="19" t="n">
        <x:v>11.88888888888889</x:v>
      </x:c>
      <x:c r="I1853" s="18" t="n">
        <x:f>ROUND(MIN(Model_Config_v3!$B$6,MAX(Q1853,R1853,S1853*Model_Config_v3!$B$4+T1853*Model_Config_v3!$B$5)),0)</x:f>
        <x:v>677</x:v>
      </x:c>
      <x:c r="J1853" s="18" t="n">
        <x:f>MIN(Model_Config_v3!$B$6,I1853+Model_Config_v3!$B$7)</x:f>
        <x:v>697</x:v>
      </x:c>
      <x:c r="K1853" s="20" t="n">
        <x:v>66.8</x:v>
      </x:c>
      <x:c r="L1853" t="str">
        <x:v>SANGAT KETAT</x:v>
      </x:c>
      <x:c r="M1853" t="str">
        <x:v>SEDANG+</x:v>
      </x:c>
      <x:c r="N1853" t="str">
        <x:v>ELITE-1</x:v>
      </x:c>
      <x:c r="O1853" t="str">
        <x:v>SOSHUM</x:v>
      </x:c>
      <x:c r="P1853" t="str">
        <x:v>UMUM</x:v>
      </x:c>
      <x:c r="Q1853" s="18" t="n">
        <x:v>675</x:v>
      </x:c>
      <x:c r="R1853" s="18" t="n">
        <x:v>0</x:v>
      </x:c>
      <x:c r="S1853" s="18" t="n">
        <x:v>638.2655395070473</x:v>
      </x:c>
      <x:c r="T1853" s="18" t="n">
        <x:v>694</x:v>
      </x:c>
      <x:c r="U1853" s="18" t="n">
        <x:v>675</x:v>
      </x:c>
      <x:c r="V1853" s="20" t="n">
        <x:v>4.4</x:v>
      </x:c>
      <x:c r="W1853" s="20" t="n">
        <x:v>14.3</x:v>
      </x:c>
      <x:c r="X1853" s="20" t="n">
        <x:v>3.3</x:v>
      </x:c>
      <x:c r="Y1853" t="str">
        <x:v>Basis arsip 2025/2024</x:v>
      </x:c>
      <x:c r="Z1853" t="str">
        <x:v>https://snpmb.id/utbk-snbt/daya-tampung-snbt</x:v>
      </x:c>
      <x:c r="AA1853" t="str">
        <x:v>Tidak Ada</x:v>
      </x:c>
      <x:c r="AB1853" t="str">
        <x:v>Campus=100; Ratio=63.3; Prodi=40; RelDemand=17.4; Capacity=62.5</x:v>
      </x:c>
    </x:row>
    <x:row r="1854">
      <x:c r="A1854" t="n">
        <x:v>1851</x:v>
      </x:c>
      <x:c r="B1854" t="str">
        <x:v>PTN Akademik</x:v>
      </x:c>
      <x:c r="C1854" t="str">
        <x:v>UNIVERSITAS GADJAH MADA</x:v>
      </x:c>
      <x:c r="D1854" t="str">
        <x:v>HUKUM</x:v>
      </x:c>
      <x:c r="E1854" t="str">
        <x:v>Sarjana</x:v>
      </x:c>
      <x:c r="F1854" s="18" t="n">
        <x:v>96</x:v>
      </x:c>
      <x:c r="G1854" s="18" t="n">
        <x:v>3584</x:v>
      </x:c>
      <x:c r="H1854" s="19" t="n">
        <x:v>37.333333333333336</x:v>
      </x:c>
      <x:c r="I1854" s="18" t="n">
        <x:f>ROUND(MIN(Model_Config_v3!$B$6,MAX(Q1854,R1854,S1854*Model_Config_v3!$B$4+T1854*Model_Config_v3!$B$5)),0)</x:f>
        <x:v>710</x:v>
      </x:c>
      <x:c r="J1854" s="18" t="n">
        <x:f>MIN(Model_Config_v3!$B$6,I1854+Model_Config_v3!$B$7)</x:f>
        <x:v>730</x:v>
      </x:c>
      <x:c r="K1854" s="20" t="n">
        <x:v>78.6</x:v>
      </x:c>
      <x:c r="L1854" t="str">
        <x:v>ELITE</x:v>
      </x:c>
      <x:c r="M1854" t="str">
        <x:v>SEDANG+</x:v>
      </x:c>
      <x:c r="N1854" t="str">
        <x:v>ELITE-1</x:v>
      </x:c>
      <x:c r="O1854" t="str">
        <x:v>SOSHUM</x:v>
      </x:c>
      <x:c r="P1854" t="str">
        <x:v>HUKUM</x:v>
      </x:c>
      <x:c r="Q1854" s="18" t="n">
        <x:v>675</x:v>
      </x:c>
      <x:c r="R1854" s="18" t="n">
        <x:v>695</x:v>
      </x:c>
      <x:c r="S1854" s="18" t="n">
        <x:v>692.9306444745571</x:v>
      </x:c>
      <x:c r="T1854" s="18" t="n">
        <x:v>717</x:v>
      </x:c>
      <x:c r="U1854" s="18" t="n">
        <x:v>707.9306444745571</x:v>
      </x:c>
      <x:c r="V1854" s="20" t="n">
        <x:v>4.4</x:v>
      </x:c>
      <x:c r="W1854" s="20" t="n">
        <x:v>14.3</x:v>
      </x:c>
      <x:c r="X1854" s="20" t="n">
        <x:v>3.3</x:v>
      </x:c>
      <x:c r="Y1854" t="str">
        <x:v>Basis arsip 2025/2024</x:v>
      </x:c>
      <x:c r="Z1854" t="str">
        <x:v>https://snpmb.id/utbk-snbt/daya-tampung-snbt</x:v>
      </x:c>
      <x:c r="AA1854" t="str">
        <x:v>Tidak Ada</x:v>
      </x:c>
      <x:c r="AB1854" t="str">
        <x:v>Campus=100; Ratio=92.5; Prodi=65; RelDemand=54.7; Capacity=20.0</x:v>
      </x:c>
    </x:row>
    <x:row r="1855">
      <x:c r="A1855" t="n">
        <x:v>1852</x:v>
      </x:c>
      <x:c r="B1855" t="str">
        <x:v>PTN Akademik</x:v>
      </x:c>
      <x:c r="C1855" t="str">
        <x:v>UNIVERSITAS GADJAH MADA</x:v>
      </x:c>
      <x:c r="D1855" t="str">
        <x:v>ANTROPOLOGI BUDAYA</x:v>
      </x:c>
      <x:c r="E1855" t="str">
        <x:v>Sarjana</x:v>
      </x:c>
      <x:c r="F1855" s="18" t="n">
        <x:v>30</x:v>
      </x:c>
      <x:c r="G1855" s="18" t="n">
        <x:v>451</x:v>
      </x:c>
      <x:c r="H1855" s="19" t="n">
        <x:v>15.033333333333333</x:v>
      </x:c>
      <x:c r="I1855" s="18" t="n">
        <x:f>ROUND(MIN(Model_Config_v3!$B$6,MAX(Q1855,R1855,S1855*Model_Config_v3!$B$4+T1855*Model_Config_v3!$B$5)),0)</x:f>
        <x:v>685</x:v>
      </x:c>
      <x:c r="J1855" s="18" t="n">
        <x:f>MIN(Model_Config_v3!$B$6,I1855+Model_Config_v3!$B$7)</x:f>
        <x:v>705</x:v>
      </x:c>
      <x:c r="K1855" s="20" t="n">
        <x:v>70</x:v>
      </x:c>
      <x:c r="L1855" t="str">
        <x:v>SANGAT KETAT</x:v>
      </x:c>
      <x:c r="M1855" t="str">
        <x:v>SEDANG+</x:v>
      </x:c>
      <x:c r="N1855" t="str">
        <x:v>ELITE-1</x:v>
      </x:c>
      <x:c r="O1855" t="str">
        <x:v>SOSHUM</x:v>
      </x:c>
      <x:c r="P1855" t="str">
        <x:v>UMUM</x:v>
      </x:c>
      <x:c r="Q1855" s="18" t="n">
        <x:v>675</x:v>
      </x:c>
      <x:c r="R1855" s="18" t="n">
        <x:v>0</x:v>
      </x:c>
      <x:c r="S1855" s="18" t="n">
        <x:v>649.4760815874128</x:v>
      </x:c>
      <x:c r="T1855" s="18" t="n">
        <x:v>700</x:v>
      </x:c>
      <x:c r="U1855" s="18" t="n">
        <x:v>675</x:v>
      </x:c>
      <x:c r="V1855" s="20" t="n">
        <x:v>4.4</x:v>
      </x:c>
      <x:c r="W1855" s="20" t="n">
        <x:v>14.3</x:v>
      </x:c>
      <x:c r="X1855" s="20" t="n">
        <x:v>3.3</x:v>
      </x:c>
      <x:c r="Y1855" t="str">
        <x:v>Basis arsip 2025/2024</x:v>
      </x:c>
      <x:c r="Z1855" t="str">
        <x:v>https://snpmb.id/utbk-snbt/daya-tampung-snbt</x:v>
      </x:c>
      <x:c r="AA1855" t="str">
        <x:v>Tidak Ada</x:v>
      </x:c>
      <x:c r="AB1855" t="str">
        <x:v>Campus=100; Ratio=69.3; Prodi=40; RelDemand=22.0; Capacity=75.0</x:v>
      </x:c>
    </x:row>
    <x:row r="1856">
      <x:c r="A1856" t="n">
        <x:v>1853</x:v>
      </x:c>
      <x:c r="B1856" t="str">
        <x:v>PTN Akademik</x:v>
      </x:c>
      <x:c r="C1856" t="str">
        <x:v>UNIVERSITAS GADJAH MADA</x:v>
      </x:c>
      <x:c r="D1856" t="str">
        <x:v>ARKEOLOGI</x:v>
      </x:c>
      <x:c r="E1856" t="str">
        <x:v>Sarjana</x:v>
      </x:c>
      <x:c r="F1856" s="18" t="n">
        <x:v>21</x:v>
      </x:c>
      <x:c r="G1856" s="18" t="n">
        <x:v>353</x:v>
      </x:c>
      <x:c r="H1856" s="19" t="n">
        <x:v>16.80952380952381</x:v>
      </x:c>
      <x:c r="I1856" s="18" t="n">
        <x:f>ROUND(MIN(Model_Config_v3!$B$6,MAX(Q1856,R1856,S1856*Model_Config_v3!$B$4+T1856*Model_Config_v3!$B$5)),0)</x:f>
        <x:v>689</x:v>
      </x:c>
      <x:c r="J1856" s="18" t="n">
        <x:f>MIN(Model_Config_v3!$B$6,I1856+Model_Config_v3!$B$7)</x:f>
        <x:v>709</x:v>
      </x:c>
      <x:c r="K1856" s="20" t="n">
        <x:v>71.7</x:v>
      </x:c>
      <x:c r="L1856" t="str">
        <x:v>SANGAT KETAT</x:v>
      </x:c>
      <x:c r="M1856" t="str">
        <x:v>SEDANG+</x:v>
      </x:c>
      <x:c r="N1856" t="str">
        <x:v>ELITE-1</x:v>
      </x:c>
      <x:c r="O1856" t="str">
        <x:v>CAMPURAN</x:v>
      </x:c>
      <x:c r="P1856" t="str">
        <x:v>UMUM</x:v>
      </x:c>
      <x:c r="Q1856" s="18" t="n">
        <x:v>675</x:v>
      </x:c>
      <x:c r="R1856" s="18" t="n">
        <x:v>0</x:v>
      </x:c>
      <x:c r="S1856" s="18" t="n">
        <x:v>654.8110951719293</x:v>
      </x:c>
      <x:c r="T1856" s="18" t="n">
        <x:v>703</x:v>
      </x:c>
      <x:c r="U1856" s="18" t="n">
        <x:v>675</x:v>
      </x:c>
      <x:c r="V1856" s="20" t="n">
        <x:v>8.8</x:v>
      </x:c>
      <x:c r="W1856" s="20" t="n">
        <x:v>9.9</x:v>
      </x:c>
      <x:c r="X1856" s="20" t="n">
        <x:v>3.3</x:v>
      </x:c>
      <x:c r="Y1856" t="str">
        <x:v>Basis arsip 2025/2024</x:v>
      </x:c>
      <x:c r="Z1856" t="str">
        <x:v>https://snpmb.id/utbk-snbt/daya-tampung-snbt</x:v>
      </x:c>
      <x:c r="AA1856" t="str">
        <x:v>Tidak Ada</x:v>
      </x:c>
      <x:c r="AB1856" t="str">
        <x:v>Campus=100; Ratio=72.1; Prodi=40; RelDemand=24.6; Capacity=82.5</x:v>
      </x:c>
    </x:row>
    <x:row r="1857">
      <x:c r="A1857" t="n">
        <x:v>1854</x:v>
      </x:c>
      <x:c r="B1857" t="str">
        <x:v>PTN Akademik</x:v>
      </x:c>
      <x:c r="C1857" t="str">
        <x:v>UNIVERSITAS GADJAH MADA</x:v>
      </x:c>
      <x:c r="D1857" t="str">
        <x:v>SEJARAH</x:v>
      </x:c>
      <x:c r="E1857" t="str">
        <x:v>Sarjana</x:v>
      </x:c>
      <x:c r="F1857" s="18" t="n">
        <x:v>15</x:v>
      </x:c>
      <x:c r="G1857" s="18" t="n">
        <x:v>248</x:v>
      </x:c>
      <x:c r="H1857" s="19" t="n">
        <x:v>16.533333333333335</x:v>
      </x:c>
      <x:c r="I1857" s="18" t="n">
        <x:f>ROUND(MIN(Model_Config_v3!$B$6,MAX(Q1857,R1857,S1857*Model_Config_v3!$B$4+T1857*Model_Config_v3!$B$5)),0)</x:f>
        <x:v>689</x:v>
      </x:c>
      <x:c r="J1857" s="18" t="n">
        <x:f>MIN(Model_Config_v3!$B$6,I1857+Model_Config_v3!$B$7)</x:f>
        <x:v>709</x:v>
      </x:c>
      <x:c r="K1857" s="20" t="n">
        <x:v>72.1</x:v>
      </x:c>
      <x:c r="L1857" t="str">
        <x:v>SANGAT KETAT</x:v>
      </x:c>
      <x:c r="M1857" t="str">
        <x:v>SEDANG+</x:v>
      </x:c>
      <x:c r="N1857" t="str">
        <x:v>ELITE-1</x:v>
      </x:c>
      <x:c r="O1857" t="str">
        <x:v>SOSHUM</x:v>
      </x:c>
      <x:c r="P1857" t="str">
        <x:v>UMUM</x:v>
      </x:c>
      <x:c r="Q1857" s="18" t="n">
        <x:v>675</x:v>
      </x:c>
      <x:c r="R1857" s="18" t="n">
        <x:v>0</x:v>
      </x:c>
      <x:c r="S1857" s="18" t="n">
        <x:v>654.0196463947589</x:v>
      </x:c>
      <x:c r="T1857" s="18" t="n">
        <x:v>704</x:v>
      </x:c>
      <x:c r="U1857" s="18" t="n">
        <x:v>675</x:v>
      </x:c>
      <x:c r="V1857" s="20" t="n">
        <x:v>4.4</x:v>
      </x:c>
      <x:c r="W1857" s="20" t="n">
        <x:v>14.3</x:v>
      </x:c>
      <x:c r="X1857" s="20" t="n">
        <x:v>3.3</x:v>
      </x:c>
      <x:c r="Y1857" t="str">
        <x:v>Basis arsip 2025/2024</x:v>
      </x:c>
      <x:c r="Z1857" t="str">
        <x:v>https://snpmb.id/utbk-snbt/daya-tampung-snbt</x:v>
      </x:c>
      <x:c r="AA1857" t="str">
        <x:v>Tidak Ada</x:v>
      </x:c>
      <x:c r="AB1857" t="str">
        <x:v>Campus=100; Ratio=71.7; Prodi=40; RelDemand=24.2; Capacity=87.5</x:v>
      </x:c>
    </x:row>
    <x:row r="1858">
      <x:c r="A1858" t="n">
        <x:v>1855</x:v>
      </x:c>
      <x:c r="B1858" t="str">
        <x:v>PTN Akademik</x:v>
      </x:c>
      <x:c r="C1858" t="str">
        <x:v>UNIVERSITAS GADJAH MADA</x:v>
      </x:c>
      <x:c r="D1858" t="str">
        <x:v>SASTRA ARAB</x:v>
      </x:c>
      <x:c r="E1858" t="str">
        <x:v>Sarjana</x:v>
      </x:c>
      <x:c r="F1858" s="18" t="n">
        <x:v>21</x:v>
      </x:c>
      <x:c r="G1858" s="18" t="n">
        <x:v>429</x:v>
      </x:c>
      <x:c r="H1858" s="19" t="n">
        <x:v>20.428571428571427</x:v>
      </x:c>
      <x:c r="I1858" s="18" t="n">
        <x:f>ROUND(MIN(Model_Config_v3!$B$6,MAX(Q1858,R1858,S1858*Model_Config_v3!$B$4+T1858*Model_Config_v3!$B$5)),0)</x:f>
        <x:v>694</x:v>
      </x:c>
      <x:c r="J1858" s="18" t="n">
        <x:f>MIN(Model_Config_v3!$B$6,I1858+Model_Config_v3!$B$7)</x:f>
        <x:v>714</x:v>
      </x:c>
      <x:c r="K1858" s="20" t="n">
        <x:v>73.5</x:v>
      </x:c>
      <x:c r="L1858" t="str">
        <x:v>SANGAT KETAT</x:v>
      </x:c>
      <x:c r="M1858" t="str">
        <x:v>SEDANG+</x:v>
      </x:c>
      <x:c r="N1858" t="str">
        <x:v>ELITE-1</x:v>
      </x:c>
      <x:c r="O1858" t="str">
        <x:v>SOSHUM</x:v>
      </x:c>
      <x:c r="P1858" t="str">
        <x:v>UMUM</x:v>
      </x:c>
      <x:c r="Q1858" s="18" t="n">
        <x:v>675</x:v>
      </x:c>
      <x:c r="R1858" s="18" t="n">
        <x:v>0</x:v>
      </x:c>
      <x:c r="S1858" s="18" t="n">
        <x:v>664.1261797195885</x:v>
      </x:c>
      <x:c r="T1858" s="18" t="n">
        <x:v>707</x:v>
      </x:c>
      <x:c r="U1858" s="18" t="n">
        <x:v>675</x:v>
      </x:c>
      <x:c r="V1858" s="20" t="n">
        <x:v>4.4</x:v>
      </x:c>
      <x:c r="W1858" s="20" t="n">
        <x:v>14.3</x:v>
      </x:c>
      <x:c r="X1858" s="20" t="n">
        <x:v>3.3</x:v>
      </x:c>
      <x:c r="Y1858" t="str">
        <x:v>Basis arsip 2025/2024</x:v>
      </x:c>
      <x:c r="Z1858" t="str">
        <x:v>https://snpmb.id/utbk-snbt/daya-tampung-snbt</x:v>
      </x:c>
      <x:c r="AA1858" t="str">
        <x:v>Tidak Ada</x:v>
      </x:c>
      <x:c r="AB1858" t="str">
        <x:v>Campus=100; Ratio=77.1; Prodi=40; RelDemand=29.9; Capacity=82.5</x:v>
      </x:c>
    </x:row>
    <x:row r="1859">
      <x:c r="A1859" t="n">
        <x:v>1856</x:v>
      </x:c>
      <x:c r="B1859" t="str">
        <x:v>PTN Akademik</x:v>
      </x:c>
      <x:c r="C1859" t="str">
        <x:v>UNIVERSITAS GADJAH MADA</x:v>
      </x:c>
      <x:c r="D1859" t="str">
        <x:v>BAHASA DAN SASTRA INDONESIA</x:v>
      </x:c>
      <x:c r="E1859" t="str">
        <x:v>Sarjana</x:v>
      </x:c>
      <x:c r="F1859" s="18" t="n">
        <x:v>27</x:v>
      </x:c>
      <x:c r="G1859" s="18" t="n">
        <x:v>448</x:v>
      </x:c>
      <x:c r="H1859" s="19" t="n">
        <x:v>16.59259259259259</x:v>
      </x:c>
      <x:c r="I1859" s="18" t="n">
        <x:f>ROUND(MIN(Model_Config_v3!$B$6,MAX(Q1859,R1859,S1859*Model_Config_v3!$B$4+T1859*Model_Config_v3!$B$5)),0)</x:f>
        <x:v>688</x:v>
      </x:c>
      <x:c r="J1859" s="18" t="n">
        <x:f>MIN(Model_Config_v3!$B$6,I1859+Model_Config_v3!$B$7)</x:f>
        <x:v>708</x:v>
      </x:c>
      <x:c r="K1859" s="20" t="n">
        <x:v>71.1</x:v>
      </x:c>
      <x:c r="L1859" t="str">
        <x:v>SANGAT KETAT</x:v>
      </x:c>
      <x:c r="M1859" t="str">
        <x:v>SEDANG+</x:v>
      </x:c>
      <x:c r="N1859" t="str">
        <x:v>ELITE-1</x:v>
      </x:c>
      <x:c r="O1859" t="str">
        <x:v>SOSHUM</x:v>
      </x:c>
      <x:c r="P1859" t="str">
        <x:v>UMUM</x:v>
      </x:c>
      <x:c r="Q1859" s="18" t="n">
        <x:v>675</x:v>
      </x:c>
      <x:c r="R1859" s="18" t="n">
        <x:v>0</x:v>
      </x:c>
      <x:c r="S1859" s="18" t="n">
        <x:v>654.1905674823072</x:v>
      </x:c>
      <x:c r="T1859" s="18" t="n">
        <x:v>702</x:v>
      </x:c>
      <x:c r="U1859" s="18" t="n">
        <x:v>675</x:v>
      </x:c>
      <x:c r="V1859" s="20" t="n">
        <x:v>4.4</x:v>
      </x:c>
      <x:c r="W1859" s="20" t="n">
        <x:v>14.3</x:v>
      </x:c>
      <x:c r="X1859" s="20" t="n">
        <x:v>3.3</x:v>
      </x:c>
      <x:c r="Y1859" t="str">
        <x:v>Basis arsip 2025/2024</x:v>
      </x:c>
      <x:c r="Z1859" t="str">
        <x:v>https://snpmb.id/utbk-snbt/daya-tampung-snbt</x:v>
      </x:c>
      <x:c r="AA1859" t="str">
        <x:v>Tidak Ada</x:v>
      </x:c>
      <x:c r="AB1859" t="str">
        <x:v>Campus=100; Ratio=71.8; Prodi=40; RelDemand=24.3; Capacity=77.5</x:v>
      </x:c>
    </x:row>
    <x:row r="1860">
      <x:c r="A1860" t="n">
        <x:v>1857</x:v>
      </x:c>
      <x:c r="B1860" t="str">
        <x:v>PTN Akademik</x:v>
      </x:c>
      <x:c r="C1860" t="str">
        <x:v>UNIVERSITAS GADJAH MADA</x:v>
      </x:c>
      <x:c r="D1860" t="str">
        <x:v>SASTRA INGGRIS</x:v>
      </x:c>
      <x:c r="E1860" t="str">
        <x:v>Sarjana</x:v>
      </x:c>
      <x:c r="F1860" s="18" t="n">
        <x:v>21</x:v>
      </x:c>
      <x:c r="G1860" s="18" t="n">
        <x:v>708</x:v>
      </x:c>
      <x:c r="H1860" s="19" t="n">
        <x:v>33.714285714285715</x:v>
      </x:c>
      <x:c r="I1860" s="18" t="n">
        <x:f>ROUND(MIN(Model_Config_v3!$B$6,MAX(Q1860,R1860,S1860*Model_Config_v3!$B$4+T1860*Model_Config_v3!$B$5)),0)</x:f>
        <x:v>708</x:v>
      </x:c>
      <x:c r="J1860" s="18" t="n">
        <x:f>MIN(Model_Config_v3!$B$6,I1860+Model_Config_v3!$B$7)</x:f>
        <x:v>728</x:v>
      </x:c>
      <x:c r="K1860" s="20" t="n">
        <x:v>78.7</x:v>
      </x:c>
      <x:c r="L1860" t="str">
        <x:v>ELITE</x:v>
      </x:c>
      <x:c r="M1860" t="str">
        <x:v>SEDANG+</x:v>
      </x:c>
      <x:c r="N1860" t="str">
        <x:v>ELITE-1</x:v>
      </x:c>
      <x:c r="O1860" t="str">
        <x:v>SOSHUM</x:v>
      </x:c>
      <x:c r="P1860" t="str">
        <x:v>UMUM</x:v>
      </x:c>
      <x:c r="Q1860" s="18" t="n">
        <x:v>675</x:v>
      </x:c>
      <x:c r="R1860" s="18" t="n">
        <x:v>0</x:v>
      </x:c>
      <x:c r="S1860" s="18" t="n">
        <x:v>688.0595359251435</x:v>
      </x:c>
      <x:c r="T1860" s="18" t="n">
        <x:v>717</x:v>
      </x:c>
      <x:c r="U1860" s="18" t="n">
        <x:v>688.0595359251435</x:v>
      </x:c>
      <x:c r="V1860" s="20" t="n">
        <x:v>4.4</x:v>
      </x:c>
      <x:c r="W1860" s="20" t="n">
        <x:v>14.3</x:v>
      </x:c>
      <x:c r="X1860" s="20" t="n">
        <x:v>3.3</x:v>
      </x:c>
      <x:c r="Y1860" t="str">
        <x:v>Basis arsip 2025/2024</x:v>
      </x:c>
      <x:c r="Z1860" t="str">
        <x:v>https://snpmb.id/utbk-snbt/daya-tampung-snbt</x:v>
      </x:c>
      <x:c r="AA1860" t="str">
        <x:v>Tidak Ada</x:v>
      </x:c>
      <x:c r="AB1860" t="str">
        <x:v>Campus=100; Ratio=89.9; Prodi=40; RelDemand=49.4; Capacity=82.5</x:v>
      </x:c>
    </x:row>
    <x:row r="1861">
      <x:c r="A1861" t="n">
        <x:v>1858</x:v>
      </x:c>
      <x:c r="B1861" t="str">
        <x:v>PTN Akademik</x:v>
      </x:c>
      <x:c r="C1861" t="str">
        <x:v>UNIVERSITAS GADJAH MADA</x:v>
      </x:c>
      <x:c r="D1861" t="str">
        <x:v>BAHASA, SASTRA, DAN BUDAYA JAWA</x:v>
      </x:c>
      <x:c r="E1861" t="str">
        <x:v>Sarjana</x:v>
      </x:c>
      <x:c r="F1861" s="18" t="n">
        <x:v>15</x:v>
      </x:c>
      <x:c r="G1861" s="18" t="n">
        <x:v>190</x:v>
      </x:c>
      <x:c r="H1861" s="19" t="n">
        <x:v>12.666666666666666</x:v>
      </x:c>
      <x:c r="I1861" s="18" t="n">
        <x:f>ROUND(MIN(Model_Config_v3!$B$6,MAX(Q1861,R1861,S1861*Model_Config_v3!$B$4+T1861*Model_Config_v3!$B$5)),0)</x:f>
        <x:v>682</x:v>
      </x:c>
      <x:c r="J1861" s="18" t="n">
        <x:f>MIN(Model_Config_v3!$B$6,I1861+Model_Config_v3!$B$7)</x:f>
        <x:v>702</x:v>
      </x:c>
      <x:c r="K1861" s="20" t="n">
        <x:v>69.8</x:v>
      </x:c>
      <x:c r="L1861" t="str">
        <x:v>SANGAT KETAT</x:v>
      </x:c>
      <x:c r="M1861" t="str">
        <x:v>SEDANG+</x:v>
      </x:c>
      <x:c r="N1861" t="str">
        <x:v>ELITE-1</x:v>
      </x:c>
      <x:c r="O1861" t="str">
        <x:v>SOSHUM</x:v>
      </x:c>
      <x:c r="P1861" t="str">
        <x:v>UMUM</x:v>
      </x:c>
      <x:c r="Q1861" s="18" t="n">
        <x:v>675</x:v>
      </x:c>
      <x:c r="R1861" s="18" t="n">
        <x:v>0</x:v>
      </x:c>
      <x:c r="S1861" s="18" t="n">
        <x:v>641.2928576086863</x:v>
      </x:c>
      <x:c r="T1861" s="18" t="n">
        <x:v>700</x:v>
      </x:c>
      <x:c r="U1861" s="18" t="n">
        <x:v>675</x:v>
      </x:c>
      <x:c r="V1861" s="20" t="n">
        <x:v>4.4</x:v>
      </x:c>
      <x:c r="W1861" s="20" t="n">
        <x:v>14.3</x:v>
      </x:c>
      <x:c r="X1861" s="20" t="n">
        <x:v>3.3</x:v>
      </x:c>
      <x:c r="Y1861" t="str">
        <x:v>Basis arsip 2025/2024</x:v>
      </x:c>
      <x:c r="Z1861" t="str">
        <x:v>https://snpmb.id/utbk-snbt/daya-tampung-snbt</x:v>
      </x:c>
      <x:c r="AA1861" t="str">
        <x:v>Tidak Ada</x:v>
      </x:c>
      <x:c r="AB1861" t="str">
        <x:v>Campus=100; Ratio=64.9; Prodi=40; RelDemand=18.6; Capacity=87.5</x:v>
      </x:c>
    </x:row>
    <x:row r="1862">
      <x:c r="A1862" t="n">
        <x:v>1859</x:v>
      </x:c>
      <x:c r="B1862" t="str">
        <x:v>PTN Akademik</x:v>
      </x:c>
      <x:c r="C1862" t="str">
        <x:v>UNIVERSITAS GADJAH MADA</x:v>
      </x:c>
      <x:c r="D1862" t="str">
        <x:v>BAHASA DAN SASTRA PRANCIS</x:v>
      </x:c>
      <x:c r="E1862" t="str">
        <x:v>Sarjana</x:v>
      </x:c>
      <x:c r="F1862" s="18" t="n">
        <x:v>14</x:v>
      </x:c>
      <x:c r="G1862" s="18" t="n">
        <x:v>134</x:v>
      </x:c>
      <x:c r="H1862" s="19" t="n">
        <x:v>9.571428571428571</x:v>
      </x:c>
      <x:c r="I1862" s="18" t="n">
        <x:f>ROUND(MIN(Model_Config_v3!$B$6,MAX(Q1862,R1862,S1862*Model_Config_v3!$B$4+T1862*Model_Config_v3!$B$5)),0)</x:f>
        <x:v>675</x:v>
      </x:c>
      <x:c r="J1862" s="18" t="n">
        <x:f>MIN(Model_Config_v3!$B$6,I1862+Model_Config_v3!$B$7)</x:f>
        <x:v>695</x:v>
      </x:c>
      <x:c r="K1862" s="20" t="n">
        <x:v>67.7</x:v>
      </x:c>
      <x:c r="L1862" t="str">
        <x:v>SANGAT KETAT</x:v>
      </x:c>
      <x:c r="M1862" t="str">
        <x:v>SEDANG+</x:v>
      </x:c>
      <x:c r="N1862" t="str">
        <x:v>ELITE-1</x:v>
      </x:c>
      <x:c r="O1862" t="str">
        <x:v>SOSHUM</x:v>
      </x:c>
      <x:c r="P1862" t="str">
        <x:v>UMUM</x:v>
      </x:c>
      <x:c r="Q1862" s="18" t="n">
        <x:v>675</x:v>
      </x:c>
      <x:c r="R1862" s="18" t="n">
        <x:v>0</x:v>
      </x:c>
      <x:c r="S1862" s="18" t="n">
        <x:v>627.9074438955226</x:v>
      </x:c>
      <x:c r="T1862" s="18" t="n">
        <x:v>695</x:v>
      </x:c>
      <x:c r="U1862" s="18" t="n">
        <x:v>675</x:v>
      </x:c>
      <x:c r="V1862" s="20" t="n">
        <x:v>4.4</x:v>
      </x:c>
      <x:c r="W1862" s="20" t="n">
        <x:v>14.3</x:v>
      </x:c>
      <x:c r="X1862" s="20" t="n">
        <x:v>3.3</x:v>
      </x:c>
      <x:c r="Y1862" t="str">
        <x:v>Basis arsip 2025/2024</x:v>
      </x:c>
      <x:c r="Z1862" t="str">
        <x:v>https://snpmb.id/utbk-snbt/daya-tampung-snbt</x:v>
      </x:c>
      <x:c r="AA1862" t="str">
        <x:v>Tidak Ada</x:v>
      </x:c>
      <x:c r="AB1862" t="str">
        <x:v>Campus=100; Ratio=57.7; Prodi=40; RelDemand=14.0; Capacity=88.3</x:v>
      </x:c>
    </x:row>
    <x:row r="1863">
      <x:c r="A1863" t="n">
        <x:v>1860</x:v>
      </x:c>
      <x:c r="B1863" t="str">
        <x:v>PTN Akademik</x:v>
      </x:c>
      <x:c r="C1863" t="str">
        <x:v>UNIVERSITAS GADJAH MADA</x:v>
      </x:c>
      <x:c r="D1863" t="str">
        <x:v>BAHASA DAN KEBUDAYAAN JEPANG</x:v>
      </x:c>
      <x:c r="E1863" t="str">
        <x:v>Sarjana</x:v>
      </x:c>
      <x:c r="F1863" s="18" t="n">
        <x:v>18</x:v>
      </x:c>
      <x:c r="G1863" s="18" t="n">
        <x:v>393</x:v>
      </x:c>
      <x:c r="H1863" s="19" t="n">
        <x:v>21.833333333333332</x:v>
      </x:c>
      <x:c r="I1863" s="18" t="n">
        <x:f>ROUND(MIN(Model_Config_v3!$B$6,MAX(Q1863,R1863,S1863*Model_Config_v3!$B$4+T1863*Model_Config_v3!$B$5)),0)</x:f>
        <x:v>696</x:v>
      </x:c>
      <x:c r="J1863" s="18" t="n">
        <x:f>MIN(Model_Config_v3!$B$6,I1863+Model_Config_v3!$B$7)</x:f>
        <x:v>716</x:v>
      </x:c>
      <x:c r="K1863" s="20" t="n">
        <x:v>74.4</x:v>
      </x:c>
      <x:c r="L1863" t="str">
        <x:v>SANGAT KETAT</x:v>
      </x:c>
      <x:c r="M1863" t="str">
        <x:v>SEDANG+</x:v>
      </x:c>
      <x:c r="N1863" t="str">
        <x:v>ELITE-1</x:v>
      </x:c>
      <x:c r="O1863" t="str">
        <x:v>SOSHUM</x:v>
      </x:c>
      <x:c r="P1863" t="str">
        <x:v>UMUM</x:v>
      </x:c>
      <x:c r="Q1863" s="18" t="n">
        <x:v>675</x:v>
      </x:c>
      <x:c r="R1863" s="18" t="n">
        <x:v>0</x:v>
      </x:c>
      <x:c r="S1863" s="18" t="n">
        <x:v>667.3032049799333</x:v>
      </x:c>
      <x:c r="T1863" s="18" t="n">
        <x:v>709</x:v>
      </x:c>
      <x:c r="U1863" s="18" t="n">
        <x:v>675</x:v>
      </x:c>
      <x:c r="V1863" s="20" t="n">
        <x:v>4.4</x:v>
      </x:c>
      <x:c r="W1863" s="20" t="n">
        <x:v>14.3</x:v>
      </x:c>
      <x:c r="X1863" s="20" t="n">
        <x:v>3.3</x:v>
      </x:c>
      <x:c r="Y1863" t="str">
        <x:v>Basis arsip 2025/2024</x:v>
      </x:c>
      <x:c r="Z1863" t="str">
        <x:v>https://snpmb.id/utbk-snbt/daya-tampung-snbt</x:v>
      </x:c>
      <x:c r="AA1863" t="str">
        <x:v>Tidak Ada</x:v>
      </x:c>
      <x:c r="AB1863" t="str">
        <x:v>Campus=100; Ratio=78.8; Prodi=40; RelDemand=32.0; Capacity=85.0</x:v>
      </x:c>
    </x:row>
    <x:row r="1864">
      <x:c r="A1864" t="n">
        <x:v>1861</x:v>
      </x:c>
      <x:c r="B1864" t="str">
        <x:v>PTN Akademik</x:v>
      </x:c>
      <x:c r="C1864" t="str">
        <x:v>UNIVERSITAS GADJAH MADA</x:v>
      </x:c>
      <x:c r="D1864" t="str">
        <x:v>BAHASA DAN KEBUDAYAAN KOREA</x:v>
      </x:c>
      <x:c r="E1864" t="str">
        <x:v>Sarjana</x:v>
      </x:c>
      <x:c r="F1864" s="18" t="n">
        <x:v>18</x:v>
      </x:c>
      <x:c r="G1864" s="18" t="n">
        <x:v>586</x:v>
      </x:c>
      <x:c r="H1864" s="19" t="n">
        <x:v>32.55555555555556</x:v>
      </x:c>
      <x:c r="I1864" s="18" t="n">
        <x:f>ROUND(MIN(Model_Config_v3!$B$6,MAX(Q1864,R1864,S1864*Model_Config_v3!$B$4+T1864*Model_Config_v3!$B$5)),0)</x:f>
        <x:v>708</x:v>
      </x:c>
      <x:c r="J1864" s="18" t="n">
        <x:f>MIN(Model_Config_v3!$B$6,I1864+Model_Config_v3!$B$7)</x:f>
        <x:v>728</x:v>
      </x:c>
      <x:c r="K1864" s="20" t="n">
        <x:v>78.5</x:v>
      </x:c>
      <x:c r="L1864" t="str">
        <x:v>ELITE</x:v>
      </x:c>
      <x:c r="M1864" t="str">
        <x:v>SEDANG+</x:v>
      </x:c>
      <x:c r="N1864" t="str">
        <x:v>ELITE-1</x:v>
      </x:c>
      <x:c r="O1864" t="str">
        <x:v>SOSHUM</x:v>
      </x:c>
      <x:c r="P1864" t="str">
        <x:v>UMUM</x:v>
      </x:c>
      <x:c r="Q1864" s="18" t="n">
        <x:v>675</x:v>
      </x:c>
      <x:c r="R1864" s="18" t="n">
        <x:v>0</x:v>
      </x:c>
      <x:c r="S1864" s="18" t="n">
        <x:v>686.3887622006263</x:v>
      </x:c>
      <x:c r="T1864" s="18" t="n">
        <x:v>717</x:v>
      </x:c>
      <x:c r="U1864" s="18" t="n">
        <x:v>686.3887622006263</x:v>
      </x:c>
      <x:c r="V1864" s="20" t="n">
        <x:v>4.4</x:v>
      </x:c>
      <x:c r="W1864" s="20" t="n">
        <x:v>14.3</x:v>
      </x:c>
      <x:c r="X1864" s="20" t="n">
        <x:v>3.3</x:v>
      </x:c>
      <x:c r="Y1864" t="str">
        <x:v>Basis arsip 2025/2024</x:v>
      </x:c>
      <x:c r="Z1864" t="str">
        <x:v>https://snpmb.id/utbk-snbt/daya-tampung-snbt</x:v>
      </x:c>
      <x:c r="AA1864" t="str">
        <x:v>Tidak Ada</x:v>
      </x:c>
      <x:c r="AB1864" t="str">
        <x:v>Campus=100; Ratio=89.0; Prodi=40; RelDemand=47.7; Capacity=85.0</x:v>
      </x:c>
    </x:row>
    <x:row r="1865">
      <x:c r="A1865" t="n">
        <x:v>1862</x:v>
      </x:c>
      <x:c r="B1865" t="str">
        <x:v>PTN Akademik</x:v>
      </x:c>
      <x:c r="C1865" t="str">
        <x:v>UNIVERSITAS GADJAH MADA</x:v>
      </x:c>
      <x:c r="D1865" t="str">
        <x:v>MANAJEMEN DAN KEBIJAKAN PUBLIK</x:v>
      </x:c>
      <x:c r="E1865" t="str">
        <x:v>Sarjana</x:v>
      </x:c>
      <x:c r="F1865" s="18" t="n">
        <x:v>24</x:v>
      </x:c>
      <x:c r="G1865" s="18" t="n">
        <x:v>1075</x:v>
      </x:c>
      <x:c r="H1865" s="19" t="n">
        <x:v>44.791666666666664</x:v>
      </x:c>
      <x:c r="I1865" s="18" t="n">
        <x:f>ROUND(MIN(Model_Config_v3!$B$6,MAX(Q1865,R1865,S1865*Model_Config_v3!$B$4+T1865*Model_Config_v3!$B$5)),0)</x:f>
        <x:v>724</x:v>
      </x:c>
      <x:c r="J1865" s="18" t="n">
        <x:f>MIN(Model_Config_v3!$B$6,I1865+Model_Config_v3!$B$7)</x:f>
        <x:v>744</x:v>
      </x:c>
      <x:c r="K1865" s="20" t="n">
        <x:v>86.9</x:v>
      </x:c>
      <x:c r="L1865" t="str">
        <x:v>ULTRA ELITE</x:v>
      </x:c>
      <x:c r="M1865" t="str">
        <x:v>SEDANG+</x:v>
      </x:c>
      <x:c r="N1865" t="str">
        <x:v>ELITE-1</x:v>
      </x:c>
      <x:c r="O1865" t="str">
        <x:v>SOSHUM</x:v>
      </x:c>
      <x:c r="P1865" t="str">
        <x:v>BISNIS/EKONOMI/AKUNTANSI</x:v>
      </x:c>
      <x:c r="Q1865" s="18" t="n">
        <x:v>675</x:v>
      </x:c>
      <x:c r="R1865" s="18" t="n">
        <x:v>700</x:v>
      </x:c>
      <x:c r="S1865" s="18" t="n">
        <x:v>701.631694479402</x:v>
      </x:c>
      <x:c r="T1865" s="18" t="n">
        <x:v>734</x:v>
      </x:c>
      <x:c r="U1865" s="18" t="n">
        <x:v>716.631694479402</x:v>
      </x:c>
      <x:c r="V1865" s="20" t="n">
        <x:v>4.4</x:v>
      </x:c>
      <x:c r="W1865" s="20" t="n">
        <x:v>14.3</x:v>
      </x:c>
      <x:c r="X1865" s="20" t="n">
        <x:v>3.3</x:v>
      </x:c>
      <x:c r="Y1865" t="str">
        <x:v>Basis arsip 2025/2024</x:v>
      </x:c>
      <x:c r="Z1865" t="str">
        <x:v>https://snpmb.id/utbk-snbt/daya-tampung-snbt</x:v>
      </x:c>
      <x:c r="AA1865" t="str">
        <x:v>Tidak Ada</x:v>
      </x:c>
      <x:c r="AB1865" t="str">
        <x:v>Campus=100; Ratio=97.2; Prodi=65; RelDemand=65.6; Capacity=80.0</x:v>
      </x:c>
    </x:row>
    <x:row r="1866">
      <x:c r="A1866" t="n">
        <x:v>1863</x:v>
      </x:c>
      <x:c r="B1866" t="str">
        <x:v>PTN Akademik</x:v>
      </x:c>
      <x:c r="C1866" t="str">
        <x:v>UNIVERSITAS GADJAH MADA</x:v>
      </x:c>
      <x:c r="D1866" t="str">
        <x:v>ILMU HUBUNGAN INTERNASIONAL</x:v>
      </x:c>
      <x:c r="E1866" t="str">
        <x:v>Sarjana</x:v>
      </x:c>
      <x:c r="F1866" s="18" t="n">
        <x:v>24</x:v>
      </x:c>
      <x:c r="G1866" s="18" t="n">
        <x:v>1482</x:v>
      </x:c>
      <x:c r="H1866" s="19" t="n">
        <x:v>61.75</x:v>
      </x:c>
      <x:c r="I1866" s="18" t="n">
        <x:f>ROUND(MIN(Model_Config_v3!$B$6,MAX(Q1866,R1866,S1866*Model_Config_v3!$B$4+T1866*Model_Config_v3!$B$5)),0)</x:f>
        <x:v>726</x:v>
      </x:c>
      <x:c r="J1866" s="18" t="n">
        <x:f>MIN(Model_Config_v3!$B$6,I1866+Model_Config_v3!$B$7)</x:f>
        <x:v>746</x:v>
      </x:c>
      <x:c r="K1866" s="20" t="n">
        <x:v>85</x:v>
      </x:c>
      <x:c r="L1866" t="str">
        <x:v>ULTRA ELITE</x:v>
      </x:c>
      <x:c r="M1866" t="str">
        <x:v>SEDANG+</x:v>
      </x:c>
      <x:c r="N1866" t="str">
        <x:v>ELITE-1</x:v>
      </x:c>
      <x:c r="O1866" t="str">
        <x:v>SOSHUM</x:v>
      </x:c>
      <x:c r="P1866" t="str">
        <x:v>UMUM</x:v>
      </x:c>
      <x:c r="Q1866" s="18" t="n">
        <x:v>675</x:v>
      </x:c>
      <x:c r="R1866" s="18" t="n">
        <x:v>0</x:v>
      </x:c>
      <x:c r="S1866" s="18" t="n">
        <x:v>716.9700658124873</x:v>
      </x:c>
      <x:c r="T1866" s="18" t="n">
        <x:v>730</x:v>
      </x:c>
      <x:c r="U1866" s="18" t="n">
        <x:v>716.9700658124873</x:v>
      </x:c>
      <x:c r="V1866" s="20" t="n">
        <x:v>4.4</x:v>
      </x:c>
      <x:c r="W1866" s="20" t="n">
        <x:v>14.3</x:v>
      </x:c>
      <x:c r="X1866" s="20" t="n">
        <x:v>3.3</x:v>
      </x:c>
      <x:c r="Y1866" t="str">
        <x:v>Basis arsip 2025/2024</x:v>
      </x:c>
      <x:c r="Z1866" t="str">
        <x:v>https://snpmb.id/utbk-snbt/daya-tampung-snbt</x:v>
      </x:c>
      <x:c r="AA1866" t="str">
        <x:v>Tidak Ada</x:v>
      </x:c>
      <x:c r="AB1866" t="str">
        <x:v>Campus=100; Ratio=100.0; Prodi=40; RelDemand=90.5; Capacity=80.0</x:v>
      </x:c>
    </x:row>
    <x:row r="1867">
      <x:c r="A1867" t="n">
        <x:v>1864</x:v>
      </x:c>
      <x:c r="B1867" t="str">
        <x:v>PTN Akademik</x:v>
      </x:c>
      <x:c r="C1867" t="str">
        <x:v>UNIVERSITAS GADJAH MADA</x:v>
      </x:c>
      <x:c r="D1867" t="str">
        <x:v>POLITIK DAN PEMERINTAHAN</x:v>
      </x:c>
      <x:c r="E1867" t="str">
        <x:v>Sarjana</x:v>
      </x:c>
      <x:c r="F1867" s="18" t="n">
        <x:v>24</x:v>
      </x:c>
      <x:c r="G1867" s="18" t="n">
        <x:v>659</x:v>
      </x:c>
      <x:c r="H1867" s="19" t="n">
        <x:v>27.458333333333332</x:v>
      </x:c>
      <x:c r="I1867" s="18" t="n">
        <x:f>ROUND(MIN(Model_Config_v3!$B$6,MAX(Q1867,R1867,S1867*Model_Config_v3!$B$4+T1867*Model_Config_v3!$B$5)),0)</x:f>
        <x:v>702</x:v>
      </x:c>
      <x:c r="J1867" s="18" t="n">
        <x:f>MIN(Model_Config_v3!$B$6,I1867+Model_Config_v3!$B$7)</x:f>
        <x:v>722</x:v>
      </x:c>
      <x:c r="K1867" s="20" t="n">
        <x:v>76.2</x:v>
      </x:c>
      <x:c r="L1867" t="str">
        <x:v>ELITE</x:v>
      </x:c>
      <x:c r="M1867" t="str">
        <x:v>SEDANG+</x:v>
      </x:c>
      <x:c r="N1867" t="str">
        <x:v>ELITE-1</x:v>
      </x:c>
      <x:c r="O1867" t="str">
        <x:v>SOSHUM</x:v>
      </x:c>
      <x:c r="P1867" t="str">
        <x:v>UMUM</x:v>
      </x:c>
      <x:c r="Q1867" s="18" t="n">
        <x:v>675</x:v>
      </x:c>
      <x:c r="R1867" s="18" t="n">
        <x:v>0</x:v>
      </x:c>
      <x:c r="S1867" s="18" t="n">
        <x:v>678.2541590170644</x:v>
      </x:c>
      <x:c r="T1867" s="18" t="n">
        <x:v>712</x:v>
      </x:c>
      <x:c r="U1867" s="18" t="n">
        <x:v>678.2541590170644</x:v>
      </x:c>
      <x:c r="V1867" s="20" t="n">
        <x:v>4.4</x:v>
      </x:c>
      <x:c r="W1867" s="20" t="n">
        <x:v>14.3</x:v>
      </x:c>
      <x:c r="X1867" s="20" t="n">
        <x:v>3.3</x:v>
      </x:c>
      <x:c r="Y1867" t="str">
        <x:v>Basis arsip 2025/2024</x:v>
      </x:c>
      <x:c r="Z1867" t="str">
        <x:v>https://snpmb.id/utbk-snbt/daya-tampung-snbt</x:v>
      </x:c>
      <x:c r="AA1867" t="str">
        <x:v>Tidak Ada</x:v>
      </x:c>
      <x:c r="AB1867" t="str">
        <x:v>Campus=100; Ratio=84.7; Prodi=40; RelDemand=40.2; Capacity=80.0</x:v>
      </x:c>
    </x:row>
    <x:row r="1868">
      <x:c r="A1868" t="n">
        <x:v>1865</x:v>
      </x:c>
      <x:c r="B1868" t="str">
        <x:v>PTN Akademik</x:v>
      </x:c>
      <x:c r="C1868" t="str">
        <x:v>UNIVERSITAS GADJAH MADA</x:v>
      </x:c>
      <x:c r="D1868" t="str">
        <x:v>PEMBANGUNAN SOSIAL DAN KESEJAHTERAAN</x:v>
      </x:c>
      <x:c r="E1868" t="str">
        <x:v>Sarjana</x:v>
      </x:c>
      <x:c r="F1868" s="18" t="n">
        <x:v>24</x:v>
      </x:c>
      <x:c r="G1868" s="18" t="n">
        <x:v>889</x:v>
      </x:c>
      <x:c r="H1868" s="19" t="n">
        <x:v>37.041666666666664</x:v>
      </x:c>
      <x:c r="I1868" s="18" t="n">
        <x:f>ROUND(MIN(Model_Config_v3!$B$6,MAX(Q1868,R1868,S1868*Model_Config_v3!$B$4+T1868*Model_Config_v3!$B$5)),0)</x:f>
        <x:v>711</x:v>
      </x:c>
      <x:c r="J1868" s="18" t="n">
        <x:f>MIN(Model_Config_v3!$B$6,I1868+Model_Config_v3!$B$7)</x:f>
        <x:v>731</x:v>
      </x:c>
      <x:c r="K1868" s="20" t="n">
        <x:v>79.5</x:v>
      </x:c>
      <x:c r="L1868" t="str">
        <x:v>ELITE</x:v>
      </x:c>
      <x:c r="M1868" t="str">
        <x:v>SEDANG+</x:v>
      </x:c>
      <x:c r="N1868" t="str">
        <x:v>ELITE-1</x:v>
      </x:c>
      <x:c r="O1868" t="str">
        <x:v>CAMPURAN</x:v>
      </x:c>
      <x:c r="P1868" t="str">
        <x:v>UMUM</x:v>
      </x:c>
      <x:c r="Q1868" s="18" t="n">
        <x:v>675</x:v>
      </x:c>
      <x:c r="R1868" s="18" t="n">
        <x:v>0</x:v>
      </x:c>
      <x:c r="S1868" s="18" t="n">
        <x:v>692.5559571184468</x:v>
      </x:c>
      <x:c r="T1868" s="18" t="n">
        <x:v>719</x:v>
      </x:c>
      <x:c r="U1868" s="18" t="n">
        <x:v>692.5559571184468</x:v>
      </x:c>
      <x:c r="V1868" s="20" t="n">
        <x:v>8.8</x:v>
      </x:c>
      <x:c r="W1868" s="20" t="n">
        <x:v>9.9</x:v>
      </x:c>
      <x:c r="X1868" s="20" t="n">
        <x:v>3.3</x:v>
      </x:c>
      <x:c r="Y1868" t="str">
        <x:v>Basis arsip 2025/2024</x:v>
      </x:c>
      <x:c r="Z1868" t="str">
        <x:v>https://snpmb.id/utbk-snbt/daya-tampung-snbt</x:v>
      </x:c>
      <x:c r="AA1868" t="str">
        <x:v>Tidak Ada</x:v>
      </x:c>
      <x:c r="AB1868" t="str">
        <x:v>Campus=100; Ratio=92.3; Prodi=40; RelDemand=54.3; Capacity=80.0</x:v>
      </x:c>
    </x:row>
    <x:row r="1869">
      <x:c r="A1869" t="n">
        <x:v>1866</x:v>
      </x:c>
      <x:c r="B1869" t="str">
        <x:v>PTN Akademik</x:v>
      </x:c>
      <x:c r="C1869" t="str">
        <x:v>UNIVERSITAS GADJAH MADA</x:v>
      </x:c>
      <x:c r="D1869" t="str">
        <x:v>ILMU KOMUNIKASI</x:v>
      </x:c>
      <x:c r="E1869" t="str">
        <x:v>Sarjana</x:v>
      </x:c>
      <x:c r="F1869" s="18" t="n">
        <x:v>24</x:v>
      </x:c>
      <x:c r="G1869" s="18" t="n">
        <x:v>1614</x:v>
      </x:c>
      <x:c r="H1869" s="19" t="n">
        <x:v>67.25</x:v>
      </x:c>
      <x:c r="I1869" s="18" t="n">
        <x:f>ROUND(MIN(Model_Config_v3!$B$6,MAX(Q1869,R1869,S1869*Model_Config_v3!$B$4+T1869*Model_Config_v3!$B$5)),0)</x:f>
        <x:v>729</x:v>
      </x:c>
      <x:c r="J1869" s="18" t="n">
        <x:f>MIN(Model_Config_v3!$B$6,I1869+Model_Config_v3!$B$7)</x:f>
        <x:v>749</x:v>
      </x:c>
      <x:c r="K1869" s="20" t="n">
        <x:v>85.9</x:v>
      </x:c>
      <x:c r="L1869" t="str">
        <x:v>ULTRA ELITE</x:v>
      </x:c>
      <x:c r="M1869" t="str">
        <x:v>SEDANG+</x:v>
      </x:c>
      <x:c r="N1869" t="str">
        <x:v>ELITE-1</x:v>
      </x:c>
      <x:c r="O1869" t="str">
        <x:v>SOSHUM</x:v>
      </x:c>
      <x:c r="P1869" t="str">
        <x:v>UMUM</x:v>
      </x:c>
      <x:c r="Q1869" s="18" t="n">
        <x:v>675</x:v>
      </x:c>
      <x:c r="R1869" s="18" t="n">
        <x:v>0</x:v>
      </x:c>
      <x:c r="S1869" s="18" t="n">
        <x:v>721.0461517541889</x:v>
      </x:c>
      <x:c r="T1869" s="18" t="n">
        <x:v>732</x:v>
      </x:c>
      <x:c r="U1869" s="18" t="n">
        <x:v>721.0461517541889</x:v>
      </x:c>
      <x:c r="V1869" s="20" t="n">
        <x:v>4.4</x:v>
      </x:c>
      <x:c r="W1869" s="20" t="n">
        <x:v>14.3</x:v>
      </x:c>
      <x:c r="X1869" s="20" t="n">
        <x:v>3.3</x:v>
      </x:c>
      <x:c r="Y1869" t="str">
        <x:v>Basis arsip 2025/2024</x:v>
      </x:c>
      <x:c r="Z1869" t="str">
        <x:v>https://snpmb.id/utbk-snbt/daya-tampung-snbt</x:v>
      </x:c>
      <x:c r="AA1869" t="str">
        <x:v>Tidak Ada</x:v>
      </x:c>
      <x:c r="AB1869" t="str">
        <x:v>Campus=100; Ratio=100.0; Prodi=40; RelDemand=98.5; Capacity=80.0</x:v>
      </x:c>
    </x:row>
    <x:row r="1870">
      <x:c r="A1870" t="n">
        <x:v>1867</x:v>
      </x:c>
      <x:c r="B1870" t="str">
        <x:v>PTN Akademik</x:v>
      </x:c>
      <x:c r="C1870" t="str">
        <x:v>UNIVERSITAS GADJAH MADA</x:v>
      </x:c>
      <x:c r="D1870" t="str">
        <x:v>SOSIOLOGI</x:v>
      </x:c>
      <x:c r="E1870" t="str">
        <x:v>Sarjana</x:v>
      </x:c>
      <x:c r="F1870" s="18" t="n">
        <x:v>24</x:v>
      </x:c>
      <x:c r="G1870" s="18" t="n">
        <x:v>420</x:v>
      </x:c>
      <x:c r="H1870" s="19" t="n">
        <x:v>17.5</x:v>
      </x:c>
      <x:c r="I1870" s="18" t="n">
        <x:f>ROUND(MIN(Model_Config_v3!$B$6,MAX(Q1870,R1870,S1870*Model_Config_v3!$B$4+T1870*Model_Config_v3!$B$5)),0)</x:f>
        <x:v>690</x:v>
      </x:c>
      <x:c r="J1870" s="18" t="n">
        <x:f>MIN(Model_Config_v3!$B$6,I1870+Model_Config_v3!$B$7)</x:f>
        <x:v>710</x:v>
      </x:c>
      <x:c r="K1870" s="20" t="n">
        <x:v>71.9</x:v>
      </x:c>
      <x:c r="L1870" t="str">
        <x:v>SANGAT KETAT</x:v>
      </x:c>
      <x:c r="M1870" t="str">
        <x:v>SEDANG+</x:v>
      </x:c>
      <x:c r="N1870" t="str">
        <x:v>ELITE-1</x:v>
      </x:c>
      <x:c r="O1870" t="str">
        <x:v>SOSHUM</x:v>
      </x:c>
      <x:c r="P1870" t="str">
        <x:v>UMUM</x:v>
      </x:c>
      <x:c r="Q1870" s="18" t="n">
        <x:v>675</x:v>
      </x:c>
      <x:c r="R1870" s="18" t="n">
        <x:v>0</x:v>
      </x:c>
      <x:c r="S1870" s="18" t="n">
        <x:v>656.7341853554924</x:v>
      </x:c>
      <x:c r="T1870" s="18" t="n">
        <x:v>704</x:v>
      </x:c>
      <x:c r="U1870" s="18" t="n">
        <x:v>675</x:v>
      </x:c>
      <x:c r="V1870" s="20" t="n">
        <x:v>4.4</x:v>
      </x:c>
      <x:c r="W1870" s="20" t="n">
        <x:v>14.3</x:v>
      </x:c>
      <x:c r="X1870" s="20" t="n">
        <x:v>3.3</x:v>
      </x:c>
      <x:c r="Y1870" t="str">
        <x:v>Basis arsip 2025/2024</x:v>
      </x:c>
      <x:c r="Z1870" t="str">
        <x:v>https://snpmb.id/utbk-snbt/daya-tampung-snbt</x:v>
      </x:c>
      <x:c r="AA1870" t="str">
        <x:v>Tidak Ada</x:v>
      </x:c>
      <x:c r="AB1870" t="str">
        <x:v>Campus=100; Ratio=73.2; Prodi=40; RelDemand=25.6; Capacity=80.0</x:v>
      </x:c>
    </x:row>
    <x:row r="1871">
      <x:c r="A1871" t="n">
        <x:v>1868</x:v>
      </x:c>
      <x:c r="B1871" t="str">
        <x:v>PTN Akademik</x:v>
      </x:c>
      <x:c r="C1871" t="str">
        <x:v>UNIVERSITAS GADJAH MADA</x:v>
      </x:c>
      <x:c r="D1871" t="str">
        <x:v>PSIKOLOGI</x:v>
      </x:c>
      <x:c r="E1871" t="str">
        <x:v>Sarjana</x:v>
      </x:c>
      <x:c r="F1871" s="18" t="n">
        <x:v>68</x:v>
      </x:c>
      <x:c r="G1871" s="18" t="n">
        <x:v>4022</x:v>
      </x:c>
      <x:c r="H1871" s="19" t="n">
        <x:v>59.14705882352941</x:v>
      </x:c>
      <x:c r="I1871" s="18" t="n">
        <x:f>ROUND(MIN(Model_Config_v3!$B$6,MAX(Q1871,R1871,S1871*Model_Config_v3!$B$4+T1871*Model_Config_v3!$B$5)),0)</x:f>
        <x:v>731</x:v>
      </x:c>
      <x:c r="J1871" s="18" t="n">
        <x:f>MIN(Model_Config_v3!$B$6,I1871+Model_Config_v3!$B$7)</x:f>
        <x:v>751</x:v>
      </x:c>
      <x:c r="K1871" s="20" t="n">
        <x:v>89</x:v>
      </x:c>
      <x:c r="L1871" t="str">
        <x:v>ULTRA ELITE</x:v>
      </x:c>
      <x:c r="M1871" t="str">
        <x:v>SEDANG+</x:v>
      </x:c>
      <x:c r="N1871" t="str">
        <x:v>ELITE-1</x:v>
      </x:c>
      <x:c r="O1871" t="str">
        <x:v>SOSHUM</x:v>
      </x:c>
      <x:c r="P1871" t="str">
        <x:v>PSIKOLOGI</x:v>
      </x:c>
      <x:c r="Q1871" s="18" t="n">
        <x:v>675</x:v>
      </x:c>
      <x:c r="R1871" s="18" t="n">
        <x:v>710</x:v>
      </x:c>
      <x:c r="S1871" s="18" t="n">
        <x:v>714.9126468909935</x:v>
      </x:c>
      <x:c r="T1871" s="18" t="n">
        <x:v>738</x:v>
      </x:c>
      <x:c r="U1871" s="18" t="n">
        <x:v>739.9126468909935</x:v>
      </x:c>
      <x:c r="V1871" s="20" t="n">
        <x:v>4.4</x:v>
      </x:c>
      <x:c r="W1871" s="20" t="n">
        <x:v>14.3</x:v>
      </x:c>
      <x:c r="X1871" s="20" t="n">
        <x:v>3.3</x:v>
      </x:c>
      <x:c r="Y1871" t="str">
        <x:v>Basis arsip 2025/2024</x:v>
      </x:c>
      <x:c r="Z1871" t="str">
        <x:v>https://snpmb.id/utbk-snbt/daya-tampung-snbt</x:v>
      </x:c>
      <x:c r="AA1871" t="str">
        <x:v>Tidak Ada</x:v>
      </x:c>
      <x:c r="AB1871" t="str">
        <x:v>Campus=100; Ratio=100.0; Prodi=80; RelDemand=86.7; Capacity=43.3</x:v>
      </x:c>
    </x:row>
    <x:row r="1872">
      <x:c r="A1872" t="n">
        <x:v>1869</x:v>
      </x:c>
      <x:c r="B1872" t="str">
        <x:v>PTN Akademik</x:v>
      </x:c>
      <x:c r="C1872" t="str">
        <x:v>UNIVERSITAS GADJAH MADA</x:v>
      </x:c>
      <x:c r="D1872" t="str">
        <x:v>PARIWISATA</x:v>
      </x:c>
      <x:c r="E1872" t="str">
        <x:v>Sarjana</x:v>
      </x:c>
      <x:c r="F1872" s="18" t="n">
        <x:v>21</x:v>
      </x:c>
      <x:c r="G1872" s="18" t="n">
        <x:v>874</x:v>
      </x:c>
      <x:c r="H1872" s="19" t="n">
        <x:v>41.61904761904762</x:v>
      </x:c>
      <x:c r="I1872" s="18" t="n">
        <x:f>ROUND(MIN(Model_Config_v3!$B$6,MAX(Q1872,R1872,S1872*Model_Config_v3!$B$4+T1872*Model_Config_v3!$B$5)),0)</x:f>
        <x:v>715</x:v>
      </x:c>
      <x:c r="J1872" s="18" t="n">
        <x:f>MIN(Model_Config_v3!$B$6,I1872+Model_Config_v3!$B$7)</x:f>
        <x:v>735</x:v>
      </x:c>
      <x:c r="K1872" s="20" t="n">
        <x:v>81.2</x:v>
      </x:c>
      <x:c r="L1872" t="str">
        <x:v>ELITE</x:v>
      </x:c>
      <x:c r="M1872" t="str">
        <x:v>SEDANG+</x:v>
      </x:c>
      <x:c r="N1872" t="str">
        <x:v>ELITE-1</x:v>
      </x:c>
      <x:c r="O1872" t="str">
        <x:v>CAMPURAN</x:v>
      </x:c>
      <x:c r="P1872" t="str">
        <x:v>UMUM</x:v>
      </x:c>
      <x:c r="Q1872" s="18" t="n">
        <x:v>675</x:v>
      </x:c>
      <x:c r="R1872" s="18" t="n">
        <x:v>0</x:v>
      </x:c>
      <x:c r="S1872" s="18" t="n">
        <x:v>698.1221351690532</x:v>
      </x:c>
      <x:c r="T1872" s="18" t="n">
        <x:v>722</x:v>
      </x:c>
      <x:c r="U1872" s="18" t="n">
        <x:v>698.1221351690532</x:v>
      </x:c>
      <x:c r="V1872" s="20" t="n">
        <x:v>8.8</x:v>
      </x:c>
      <x:c r="W1872" s="20" t="n">
        <x:v>9.9</x:v>
      </x:c>
      <x:c r="X1872" s="20" t="n">
        <x:v>3.3</x:v>
      </x:c>
      <x:c r="Y1872" t="str">
        <x:v>Basis arsip 2025/2024</x:v>
      </x:c>
      <x:c r="Z1872" t="str">
        <x:v>https://snpmb.id/utbk-snbt/daya-tampung-snbt</x:v>
      </x:c>
      <x:c r="AA1872" t="str">
        <x:v>Tidak Ada</x:v>
      </x:c>
      <x:c r="AB1872" t="str">
        <x:v>Campus=100; Ratio=95.3; Prodi=40; RelDemand=61.0; Capacity=82.5</x:v>
      </x:c>
    </x:row>
    <x:row r="1873">
      <x:c r="A1873" t="n">
        <x:v>1870</x:v>
      </x:c>
      <x:c r="B1873" t="str">
        <x:v>PTN Akademik</x:v>
      </x:c>
      <x:c r="C1873" t="str">
        <x:v>UNIVERSITAS GADJAH MADA</x:v>
      </x:c>
      <x:c r="D1873" t="str">
        <x:v>TEKNIK SUMBER DAYA AIR</x:v>
      </x:c>
      <x:c r="E1873" t="str">
        <x:v>Sarjana</x:v>
      </x:c>
      <x:c r="F1873" s="18" t="n">
        <x:v>15</x:v>
      </x:c>
      <x:c r="G1873" s="18" t="n">
        <x:v>353</x:v>
      </x:c>
      <x:c r="H1873" s="19" t="n">
        <x:v>23.533333333333335</x:v>
      </x:c>
      <x:c r="I1873" s="18" t="n">
        <x:f>ROUND(MIN(Model_Config_v3!$B$6,MAX(Q1873,R1873,S1873*Model_Config_v3!$B$4+T1873*Model_Config_v3!$B$5)),0)</x:f>
        <x:v>705</x:v>
      </x:c>
      <x:c r="J1873" s="18" t="n">
        <x:f>MIN(Model_Config_v3!$B$6,I1873+Model_Config_v3!$B$7)</x:f>
        <x:v>725</x:v>
      </x:c>
      <x:c r="K1873" s="20" t="n">
        <x:v>79.4</x:v>
      </x:c>
      <x:c r="L1873" t="str">
        <x:v>ELITE</x:v>
      </x:c>
      <x:c r="M1873" t="str">
        <x:v>SEDANG+</x:v>
      </x:c>
      <x:c r="N1873" t="str">
        <x:v>ELITE-1</x:v>
      </x:c>
      <x:c r="O1873" t="str">
        <x:v>SAINTEK</x:v>
      </x:c>
      <x:c r="P1873" t="str">
        <x:v>TEKNIK/ARSITEKTUR/STATISTIKA/AKTUARIA</x:v>
      </x:c>
      <x:c r="Q1873" s="18" t="n">
        <x:v>675</x:v>
      </x:c>
      <x:c r="R1873" s="18" t="n">
        <x:v>690</x:v>
      </x:c>
      <x:c r="S1873" s="18" t="n">
        <x:v>670.8851790965355</x:v>
      </x:c>
      <x:c r="T1873" s="18" t="n">
        <x:v>719</x:v>
      </x:c>
      <x:c r="U1873" s="18" t="n">
        <x:v>680.8851790965355</x:v>
      </x:c>
      <x:c r="V1873" s="20" t="n">
        <x:v>12</x:v>
      </x:c>
      <x:c r="W1873" s="20" t="n">
        <x:v>5</x:v>
      </x:c>
      <x:c r="X1873" s="20" t="n">
        <x:v>3</x:v>
      </x:c>
      <x:c r="Y1873" t="str">
        <x:v>Basis arsip 2025/2024</x:v>
      </x:c>
      <x:c r="Z1873" t="str">
        <x:v>https://snpmb.id/utbk-snbt/daya-tampung-snbt</x:v>
      </x:c>
      <x:c r="AA1873" t="str">
        <x:v>Tidak Ada</x:v>
      </x:c>
      <x:c r="AB1873" t="str">
        <x:v>Campus=100; Ratio=80.7; Prodi=60; RelDemand=34.5; Capacity=87.5</x:v>
      </x:c>
    </x:row>
    <x:row r="1874">
      <x:c r="A1874" t="n">
        <x:v>1871</x:v>
      </x:c>
      <x:c r="B1874" t="str">
        <x:v>PTN Akademik</x:v>
      </x:c>
      <x:c r="C1874" t="str">
        <x:v>UNIVERSITAS GADJAH MADA</x:v>
      </x:c>
      <x:c r="D1874" t="str">
        <x:v>MANAJEMEN INFORMASI KESEHATAN</x:v>
      </x:c>
      <x:c r="E1874" t="str">
        <x:v>Sarjana Terapan</x:v>
      </x:c>
      <x:c r="F1874" s="18" t="n">
        <x:v>36</x:v>
      </x:c>
      <x:c r="G1874" s="18" t="n">
        <x:v>3808</x:v>
      </x:c>
      <x:c r="H1874" s="19" t="n">
        <x:v>105.77777777777777</x:v>
      </x:c>
      <x:c r="I1874" s="18" t="n">
        <x:f>ROUND(MIN(Model_Config_v3!$B$6,MAX(Q1874,R1874,S1874*Model_Config_v3!$B$4+T1874*Model_Config_v3!$B$5)),0)</x:f>
        <x:v>741</x:v>
      </x:c>
      <x:c r="J1874" s="18" t="n">
        <x:f>MIN(Model_Config_v3!$B$6,I1874+Model_Config_v3!$B$7)</x:f>
        <x:v>761</x:v>
      </x:c>
      <x:c r="K1874" s="20" t="n">
        <x:v>90</x:v>
      </x:c>
      <x:c r="L1874" t="str">
        <x:v>ULTRA ELITE</x:v>
      </x:c>
      <x:c r="M1874" t="str">
        <x:v>SEDANG+</x:v>
      </x:c>
      <x:c r="N1874" t="str">
        <x:v>ELITE-1</x:v>
      </x:c>
      <x:c r="O1874" t="str">
        <x:v>SAINTEK</x:v>
      </x:c>
      <x:c r="P1874" t="str">
        <x:v>BISNIS/EKONOMI/AKUNTANSI</x:v>
      </x:c>
      <x:c r="Q1874" s="18" t="n">
        <x:v>675</x:v>
      </x:c>
      <x:c r="R1874" s="18" t="n">
        <x:v>700</x:v>
      </x:c>
      <x:c r="S1874" s="18" t="n">
        <x:v>742.6833882839665</x:v>
      </x:c>
      <x:c r="T1874" s="18" t="n">
        <x:v>740</x:v>
      </x:c>
      <x:c r="U1874" s="18" t="n">
        <x:v>757.6833882839665</x:v>
      </x:c>
      <x:c r="V1874" s="20" t="n">
        <x:v>12</x:v>
      </x:c>
      <x:c r="W1874" s="20" t="n">
        <x:v>5</x:v>
      </x:c>
      <x:c r="X1874" s="20" t="n">
        <x:v>3</x:v>
      </x:c>
      <x:c r="Y1874" t="str">
        <x:v>Basis arsip 2025/2024</x:v>
      </x:c>
      <x:c r="Z1874" t="str">
        <x:v>https://snpmb.id/utbk-snbt/daya-tampung-snbt</x:v>
      </x:c>
      <x:c r="AA1874" t="str">
        <x:v>Tidak Ada</x:v>
      </x:c>
      <x:c r="AB1874" t="str">
        <x:v>Campus=100; Ratio=100.0; Prodi=65; RelDemand=100.0; Capacity=70.0</x:v>
      </x:c>
    </x:row>
    <x:row r="1875">
      <x:c r="A1875" t="n">
        <x:v>1872</x:v>
      </x:c>
      <x:c r="B1875" t="str">
        <x:v>PTN Akademik</x:v>
      </x:c>
      <x:c r="C1875" t="str">
        <x:v>UNIVERSITAS GADJAH MADA</x:v>
      </x:c>
      <x:c r="D1875" t="str">
        <x:v>TEKNOLOGI REKAYASA PERANGKAT LUNAK</x:v>
      </x:c>
      <x:c r="E1875" t="str">
        <x:v>Sarjana Terapan</x:v>
      </x:c>
      <x:c r="F1875" s="18" t="n">
        <x:v>29</x:v>
      </x:c>
      <x:c r="G1875" s="18" t="n">
        <x:v>2167</x:v>
      </x:c>
      <x:c r="H1875" s="19" t="n">
        <x:v>74.72413793103448</x:v>
      </x:c>
      <x:c r="I1875" s="18" t="n">
        <x:f>ROUND(MIN(Model_Config_v3!$B$6,MAX(Q1875,R1875,S1875*Model_Config_v3!$B$4+T1875*Model_Config_v3!$B$5)),0)</x:f>
        <x:v>730</x:v>
      </x:c>
      <x:c r="J1875" s="18" t="n">
        <x:f>MIN(Model_Config_v3!$B$6,I1875+Model_Config_v3!$B$7)</x:f>
        <x:v>750</x:v>
      </x:c>
      <x:c r="K1875" s="20" t="n">
        <x:v>85.6</x:v>
      </x:c>
      <x:c r="L1875" t="str">
        <x:v>ULTRA ELITE</x:v>
      </x:c>
      <x:c r="M1875" t="str">
        <x:v>SEDANG+</x:v>
      </x:c>
      <x:c r="N1875" t="str">
        <x:v>ELITE-1</x:v>
      </x:c>
      <x:c r="O1875" t="str">
        <x:v>SAINTEK</x:v>
      </x:c>
      <x:c r="P1875" t="str">
        <x:v>UMUM</x:v>
      </x:c>
      <x:c r="Q1875" s="18" t="n">
        <x:v>675</x:v>
      </x:c>
      <x:c r="R1875" s="18" t="n">
        <x:v>0</x:v>
      </x:c>
      <x:c r="S1875" s="18" t="n">
        <x:v>726.0807004762947</x:v>
      </x:c>
      <x:c r="T1875" s="18" t="n">
        <x:v>731</x:v>
      </x:c>
      <x:c r="U1875" s="18" t="n">
        <x:v>726.0807004762947</x:v>
      </x:c>
      <x:c r="V1875" s="20" t="n">
        <x:v>12</x:v>
      </x:c>
      <x:c r="W1875" s="20" t="n">
        <x:v>5</x:v>
      </x:c>
      <x:c r="X1875" s="20" t="n">
        <x:v>3</x:v>
      </x:c>
      <x:c r="Y1875" t="str">
        <x:v>Basis arsip 2025/2024</x:v>
      </x:c>
      <x:c r="Z1875" t="str">
        <x:v>https://snpmb.id/utbk-snbt/daya-tampung-snbt</x:v>
      </x:c>
      <x:c r="AA1875" t="str">
        <x:v>Tidak Ada</x:v>
      </x:c>
      <x:c r="AB1875" t="str">
        <x:v>Campus=100; Ratio=100.0; Prodi=40; RelDemand=100.0; Capacity=75.8</x:v>
      </x:c>
    </x:row>
    <x:row r="1876">
      <x:c r="A1876" t="n">
        <x:v>1873</x:v>
      </x:c>
      <x:c r="B1876" t="str">
        <x:v>PTN Akademik</x:v>
      </x:c>
      <x:c r="C1876" t="str">
        <x:v>UNIVERSITAS GADJAH MADA</x:v>
      </x:c>
      <x:c r="D1876" t="str">
        <x:v>TEKNOLOGI REKAYASA ELEKTRO</x:v>
      </x:c>
      <x:c r="E1876" t="str">
        <x:v>Sarjana Terapan</x:v>
      </x:c>
      <x:c r="F1876" s="18" t="n">
        <x:v>22</x:v>
      </x:c>
      <x:c r="G1876" s="18" t="n">
        <x:v>1109</x:v>
      </x:c>
      <x:c r="H1876" s="19" t="n">
        <x:v>50.40909090909091</x:v>
      </x:c>
      <x:c r="I1876" s="18" t="n">
        <x:f>ROUND(MIN(Model_Config_v3!$B$6,MAX(Q1876,R1876,S1876*Model_Config_v3!$B$4+T1876*Model_Config_v3!$B$5)),0)</x:f>
        <x:v>721</x:v>
      </x:c>
      <x:c r="J1876" s="18" t="n">
        <x:f>MIN(Model_Config_v3!$B$6,I1876+Model_Config_v3!$B$7)</x:f>
        <x:v>741</x:v>
      </x:c>
      <x:c r="K1876" s="20" t="n">
        <x:v>83.6</x:v>
      </x:c>
      <x:c r="L1876" t="str">
        <x:v>ELITE</x:v>
      </x:c>
      <x:c r="M1876" t="str">
        <x:v>SEDANG+</x:v>
      </x:c>
      <x:c r="N1876" t="str">
        <x:v>ELITE-1</x:v>
      </x:c>
      <x:c r="O1876" t="str">
        <x:v>SAINTEK</x:v>
      </x:c>
      <x:c r="P1876" t="str">
        <x:v>UMUM</x:v>
      </x:c>
      <x:c r="Q1876" s="18" t="n">
        <x:v>675</x:v>
      </x:c>
      <x:c r="R1876" s="18" t="n">
        <x:v>0</x:v>
      </x:c>
      <x:c r="S1876" s="18" t="n">
        <x:v>707.2759751859649</x:v>
      </x:c>
      <x:c r="T1876" s="18" t="n">
        <x:v>727</x:v>
      </x:c>
      <x:c r="U1876" s="18" t="n">
        <x:v>707.2759751859649</x:v>
      </x:c>
      <x:c r="V1876" s="20" t="n">
        <x:v>12</x:v>
      </x:c>
      <x:c r="W1876" s="20" t="n">
        <x:v>5</x:v>
      </x:c>
      <x:c r="X1876" s="20" t="n">
        <x:v>3</x:v>
      </x:c>
      <x:c r="Y1876" t="str">
        <x:v>Basis arsip 2025/2024</x:v>
      </x:c>
      <x:c r="Z1876" t="str">
        <x:v>https://snpmb.id/utbk-snbt/daya-tampung-snbt</x:v>
      </x:c>
      <x:c r="AA1876" t="str">
        <x:v>Tidak Ada</x:v>
      </x:c>
      <x:c r="AB1876" t="str">
        <x:v>Campus=100; Ratio=100.0; Prodi=40; RelDemand=73.9; Capacity=81.7</x:v>
      </x:c>
    </x:row>
    <x:row r="1877">
      <x:c r="A1877" t="n">
        <x:v>1874</x:v>
      </x:c>
      <x:c r="B1877" t="str">
        <x:v>PTN Akademik</x:v>
      </x:c>
      <x:c r="C1877" t="str">
        <x:v>UNIVERSITAS GADJAH MADA</x:v>
      </x:c>
      <x:c r="D1877" t="str">
        <x:v>TEKNOLOGI REKAYASA INSTRUMENTASI DAN KONTROL</x:v>
      </x:c>
      <x:c r="E1877" t="str">
        <x:v>Sarjana Terapan</x:v>
      </x:c>
      <x:c r="F1877" s="18" t="n">
        <x:v>22</x:v>
      </x:c>
      <x:c r="G1877" s="18" t="n">
        <x:v>529</x:v>
      </x:c>
      <x:c r="H1877" s="19" t="n">
        <x:v>24.045454545454547</x:v>
      </x:c>
      <x:c r="I1877" s="18" t="n">
        <x:f>ROUND(MIN(Model_Config_v3!$B$6,MAX(Q1877,R1877,S1877*Model_Config_v3!$B$4+T1877*Model_Config_v3!$B$5)),0)</x:f>
        <x:v>699</x:v>
      </x:c>
      <x:c r="J1877" s="18" t="n">
        <x:f>MIN(Model_Config_v3!$B$6,I1877+Model_Config_v3!$B$7)</x:f>
        <x:v>719</x:v>
      </x:c>
      <x:c r="K1877" s="20" t="n">
        <x:v>75</x:v>
      </x:c>
      <x:c r="L1877" t="str">
        <x:v>ELITE</x:v>
      </x:c>
      <x:c r="M1877" t="str">
        <x:v>SEDANG+</x:v>
      </x:c>
      <x:c r="N1877" t="str">
        <x:v>ELITE-1</x:v>
      </x:c>
      <x:c r="O1877" t="str">
        <x:v>SAINTEK</x:v>
      </x:c>
      <x:c r="P1877" t="str">
        <x:v>UMUM</x:v>
      </x:c>
      <x:c r="Q1877" s="18" t="n">
        <x:v>675</x:v>
      </x:c>
      <x:c r="R1877" s="18" t="n">
        <x:v>0</x:v>
      </x:c>
      <x:c r="S1877" s="18" t="n">
        <x:v>671.9136290334277</x:v>
      </x:c>
      <x:c r="T1877" s="18" t="n">
        <x:v>710</x:v>
      </x:c>
      <x:c r="U1877" s="18" t="n">
        <x:v>675</x:v>
      </x:c>
      <x:c r="V1877" s="20" t="n">
        <x:v>12</x:v>
      </x:c>
      <x:c r="W1877" s="20" t="n">
        <x:v>5</x:v>
      </x:c>
      <x:c r="X1877" s="20" t="n">
        <x:v>3</x:v>
      </x:c>
      <x:c r="Y1877" t="str">
        <x:v>Basis arsip 2025/2024</x:v>
      </x:c>
      <x:c r="Z1877" t="str">
        <x:v>https://snpmb.id/utbk-snbt/daya-tampung-snbt</x:v>
      </x:c>
      <x:c r="AA1877" t="str">
        <x:v>Tidak Ada</x:v>
      </x:c>
      <x:c r="AB1877" t="str">
        <x:v>Campus=100; Ratio=81.3; Prodi=40; RelDemand=35.2; Capacity=81.7</x:v>
      </x:c>
    </x:row>
    <x:row r="1878">
      <x:c r="A1878" t="n">
        <x:v>1875</x:v>
      </x:c>
      <x:c r="B1878" t="str">
        <x:v>PTN Akademik</x:v>
      </x:c>
      <x:c r="C1878" t="str">
        <x:v>UNIVERSITAS GADJAH MADA</x:v>
      </x:c>
      <x:c r="D1878" t="str">
        <x:v>TEKNOLOGI REKAYASA INTERNET</x:v>
      </x:c>
      <x:c r="E1878" t="str">
        <x:v>Sarjana Terapan</x:v>
      </x:c>
      <x:c r="F1878" s="18" t="n">
        <x:v>29</x:v>
      </x:c>
      <x:c r="G1878" s="18" t="n">
        <x:v>1075</x:v>
      </x:c>
      <x:c r="H1878" s="19" t="n">
        <x:v>37.06896551724138</x:v>
      </x:c>
      <x:c r="I1878" s="18" t="n">
        <x:f>ROUND(MIN(Model_Config_v3!$B$6,MAX(Q1878,R1878,S1878*Model_Config_v3!$B$4+T1878*Model_Config_v3!$B$5)),0)</x:f>
        <x:v>710</x:v>
      </x:c>
      <x:c r="J1878" s="18" t="n">
        <x:f>MIN(Model_Config_v3!$B$6,I1878+Model_Config_v3!$B$7)</x:f>
        <x:v>730</x:v>
      </x:c>
      <x:c r="K1878" s="20" t="n">
        <x:v>79.1</x:v>
      </x:c>
      <x:c r="L1878" t="str">
        <x:v>ELITE</x:v>
      </x:c>
      <x:c r="M1878" t="str">
        <x:v>SEDANG+</x:v>
      </x:c>
      <x:c r="N1878" t="str">
        <x:v>ELITE-1</x:v>
      </x:c>
      <x:c r="O1878" t="str">
        <x:v>SAINTEK</x:v>
      </x:c>
      <x:c r="P1878" t="str">
        <x:v>UMUM</x:v>
      </x:c>
      <x:c r="Q1878" s="18" t="n">
        <x:v>675</x:v>
      </x:c>
      <x:c r="R1878" s="18" t="n">
        <x:v>0</x:v>
      </x:c>
      <x:c r="S1878" s="18" t="n">
        <x:v>692.5911512987934</x:v>
      </x:c>
      <x:c r="T1878" s="18" t="n">
        <x:v>718</x:v>
      </x:c>
      <x:c r="U1878" s="18" t="n">
        <x:v>692.5911512987934</x:v>
      </x:c>
      <x:c r="V1878" s="20" t="n">
        <x:v>12</x:v>
      </x:c>
      <x:c r="W1878" s="20" t="n">
        <x:v>5</x:v>
      </x:c>
      <x:c r="X1878" s="20" t="n">
        <x:v>3</x:v>
      </x:c>
      <x:c r="Y1878" t="str">
        <x:v>Basis arsip 2025/2024</x:v>
      </x:c>
      <x:c r="Z1878" t="str">
        <x:v>https://snpmb.id/utbk-snbt/daya-tampung-snbt</x:v>
      </x:c>
      <x:c r="AA1878" t="str">
        <x:v>Tidak Ada</x:v>
      </x:c>
      <x:c r="AB1878" t="str">
        <x:v>Campus=100; Ratio=92.4; Prodi=40; RelDemand=54.3; Capacity=75.8</x:v>
      </x:c>
    </x:row>
    <x:row r="1879">
      <x:c r="A1879" t="n">
        <x:v>1876</x:v>
      </x:c>
      <x:c r="B1879" t="str">
        <x:v>PTN Akademik</x:v>
      </x:c>
      <x:c r="C1879" t="str">
        <x:v>UNIVERSITAS GADJAH MADA</x:v>
      </x:c>
      <x:c r="D1879" t="str">
        <x:v>TEKNIK PENGELOLAAN DAN PEMELIHARAAN INFRASTRUKTUR SIPIL</x:v>
      </x:c>
      <x:c r="E1879" t="str">
        <x:v>Sarjana Terapan</x:v>
      </x:c>
      <x:c r="F1879" s="18" t="n">
        <x:v>18</x:v>
      </x:c>
      <x:c r="G1879" s="18" t="n">
        <x:v>1571</x:v>
      </x:c>
      <x:c r="H1879" s="19" t="n">
        <x:v>87.27777777777777</x:v>
      </x:c>
      <x:c r="I1879" s="18" t="n">
        <x:f>ROUND(MIN(Model_Config_v3!$B$6,MAX(Q1879,R1879,S1879*Model_Config_v3!$B$4+T1879*Model_Config_v3!$B$5)),0)</x:f>
        <x:v>739</x:v>
      </x:c>
      <x:c r="J1879" s="18" t="n">
        <x:f>MIN(Model_Config_v3!$B$6,I1879+Model_Config_v3!$B$7)</x:f>
        <x:v>759</x:v>
      </x:c>
      <x:c r="K1879" s="20" t="n">
        <x:v>90.5</x:v>
      </x:c>
      <x:c r="L1879" t="str">
        <x:v>ULTRA ELITE</x:v>
      </x:c>
      <x:c r="M1879" t="str">
        <x:v>SEDANG+</x:v>
      </x:c>
      <x:c r="N1879" t="str">
        <x:v>ELITE-1</x:v>
      </x:c>
      <x:c r="O1879" t="str">
        <x:v>SAINTEK</x:v>
      </x:c>
      <x:c r="P1879" t="str">
        <x:v>TEKNIK/ARSITEKTUR/STATISTIKA/AKTUARIA</x:v>
      </x:c>
      <x:c r="Q1879" s="18" t="n">
        <x:v>675</x:v>
      </x:c>
      <x:c r="R1879" s="18" t="n">
        <x:v>690</x:v>
      </x:c>
      <x:c r="S1879" s="18" t="n">
        <x:v>733.4994047930334</x:v>
      </x:c>
      <x:c r="T1879" s="18" t="n">
        <x:v>741</x:v>
      </x:c>
      <x:c r="U1879" s="18" t="n">
        <x:v>743.4994047930334</x:v>
      </x:c>
      <x:c r="V1879" s="20" t="n">
        <x:v>12</x:v>
      </x:c>
      <x:c r="W1879" s="20" t="n">
        <x:v>5</x:v>
      </x:c>
      <x:c r="X1879" s="20" t="n">
        <x:v>3</x:v>
      </x:c>
      <x:c r="Y1879" t="str">
        <x:v>Basis arsip 2025/2024</x:v>
      </x:c>
      <x:c r="Z1879" t="str">
        <x:v>https://snpmb.id/utbk-snbt/daya-tampung-snbt</x:v>
      </x:c>
      <x:c r="AA1879" t="str">
        <x:v>Tidak Ada</x:v>
      </x:c>
      <x:c r="AB1879" t="str">
        <x:v>Campus=100; Ratio=100.0; Prodi=60; RelDemand=100.0; Capacity=85.0</x:v>
      </x:c>
    </x:row>
    <x:row r="1880">
      <x:c r="A1880" t="n">
        <x:v>1877</x:v>
      </x:c>
      <x:c r="B1880" t="str">
        <x:v>PTN Akademik</x:v>
      </x:c>
      <x:c r="C1880" t="str">
        <x:v>UNIVERSITAS GADJAH MADA</x:v>
      </x:c>
      <x:c r="D1880" t="str">
        <x:v>TEKNOLOGI REKAYASA MESIN</x:v>
      </x:c>
      <x:c r="E1880" t="str">
        <x:v>Sarjana Terapan</x:v>
      </x:c>
      <x:c r="F1880" s="18" t="n">
        <x:v>18</x:v>
      </x:c>
      <x:c r="G1880" s="18" t="n">
        <x:v>929</x:v>
      </x:c>
      <x:c r="H1880" s="19" t="n">
        <x:v>51.611111111111114</x:v>
      </x:c>
      <x:c r="I1880" s="18" t="n">
        <x:f>ROUND(MIN(Model_Config_v3!$B$6,MAX(Q1880,R1880,S1880*Model_Config_v3!$B$4+T1880*Model_Config_v3!$B$5)),0)</x:f>
        <x:v>722</x:v>
      </x:c>
      <x:c r="J1880" s="18" t="n">
        <x:f>MIN(Model_Config_v3!$B$6,I1880+Model_Config_v3!$B$7)</x:f>
        <x:v>742</x:v>
      </x:c>
      <x:c r="K1880" s="20" t="n">
        <x:v>84.1</x:v>
      </x:c>
      <x:c r="L1880" t="str">
        <x:v>ELITE</x:v>
      </x:c>
      <x:c r="M1880" t="str">
        <x:v>SEDANG+</x:v>
      </x:c>
      <x:c r="N1880" t="str">
        <x:v>ELITE-1</x:v>
      </x:c>
      <x:c r="O1880" t="str">
        <x:v>SAINTEK</x:v>
      </x:c>
      <x:c r="P1880" t="str">
        <x:v>UMUM</x:v>
      </x:c>
      <x:c r="Q1880" s="18" t="n">
        <x:v>675</x:v>
      </x:c>
      <x:c r="R1880" s="18" t="n">
        <x:v>0</x:v>
      </x:c>
      <x:c r="S1880" s="18" t="n">
        <x:v>708.4017529779369</x:v>
      </x:c>
      <x:c r="T1880" s="18" t="n">
        <x:v>728</x:v>
      </x:c>
      <x:c r="U1880" s="18" t="n">
        <x:v>708.4017529779369</x:v>
      </x:c>
      <x:c r="V1880" s="20" t="n">
        <x:v>12</x:v>
      </x:c>
      <x:c r="W1880" s="20" t="n">
        <x:v>5</x:v>
      </x:c>
      <x:c r="X1880" s="20" t="n">
        <x:v>3</x:v>
      </x:c>
      <x:c r="Y1880" t="str">
        <x:v>Basis arsip 2025/2024</x:v>
      </x:c>
      <x:c r="Z1880" t="str">
        <x:v>https://snpmb.id/utbk-snbt/daya-tampung-snbt</x:v>
      </x:c>
      <x:c r="AA1880" t="str">
        <x:v>Tidak Ada</x:v>
      </x:c>
      <x:c r="AB1880" t="str">
        <x:v>Campus=100; Ratio=100.0; Prodi=40; RelDemand=75.6; Capacity=85.0</x:v>
      </x:c>
    </x:row>
    <x:row r="1881">
      <x:c r="A1881" t="n">
        <x:v>1878</x:v>
      </x:c>
      <x:c r="B1881" t="str">
        <x:v>PTN Akademik</x:v>
      </x:c>
      <x:c r="C1881" t="str">
        <x:v>UNIVERSITAS GADJAH MADA</x:v>
      </x:c>
      <x:c r="D1881" t="str">
        <x:v>TEKNIK PENGELOLAAN DAN PERAWATAN ALAT BERAT</x:v>
      </x:c>
      <x:c r="E1881" t="str">
        <x:v>Sarjana Terapan</x:v>
      </x:c>
      <x:c r="F1881" s="18" t="n">
        <x:v>18</x:v>
      </x:c>
      <x:c r="G1881" s="18" t="n">
        <x:v>788</x:v>
      </x:c>
      <x:c r="H1881" s="19" t="n">
        <x:v>43.77777777777778</x:v>
      </x:c>
      <x:c r="I1881" s="18" t="n">
        <x:f>ROUND(MIN(Model_Config_v3!$B$6,MAX(Q1881,R1881,S1881*Model_Config_v3!$B$4+T1881*Model_Config_v3!$B$5)),0)</x:f>
        <x:v>723</x:v>
      </x:c>
      <x:c r="J1881" s="18" t="n">
        <x:f>MIN(Model_Config_v3!$B$6,I1881+Model_Config_v3!$B$7)</x:f>
        <x:v>743</x:v>
      </x:c>
      <x:c r="K1881" s="20" t="n">
        <x:v>86.1</x:v>
      </x:c>
      <x:c r="L1881" t="str">
        <x:v>ULTRA ELITE</x:v>
      </x:c>
      <x:c r="M1881" t="str">
        <x:v>SEDANG+</x:v>
      </x:c>
      <x:c r="N1881" t="str">
        <x:v>ELITE-1</x:v>
      </x:c>
      <x:c r="O1881" t="str">
        <x:v>SAINTEK</x:v>
      </x:c>
      <x:c r="P1881" t="str">
        <x:v>TEKNIK/ARSITEKTUR/STATISTIKA/AKTUARIA</x:v>
      </x:c>
      <x:c r="Q1881" s="18" t="n">
        <x:v>675</x:v>
      </x:c>
      <x:c r="R1881" s="18" t="n">
        <x:v>690</x:v>
      </x:c>
      <x:c r="S1881" s="18" t="n">
        <x:v>700.5379083624873</x:v>
      </x:c>
      <x:c r="T1881" s="18" t="n">
        <x:v>732</x:v>
      </x:c>
      <x:c r="U1881" s="18" t="n">
        <x:v>710.5379083624873</x:v>
      </x:c>
      <x:c r="V1881" s="20" t="n">
        <x:v>12</x:v>
      </x:c>
      <x:c r="W1881" s="20" t="n">
        <x:v>5</x:v>
      </x:c>
      <x:c r="X1881" s="20" t="n">
        <x:v>3</x:v>
      </x:c>
      <x:c r="Y1881" t="str">
        <x:v>Basis arsip 2025/2024</x:v>
      </x:c>
      <x:c r="Z1881" t="str">
        <x:v>https://snpmb.id/utbk-snbt/daya-tampung-snbt</x:v>
      </x:c>
      <x:c r="AA1881" t="str">
        <x:v>Tidak Ada</x:v>
      </x:c>
      <x:c r="AB1881" t="str">
        <x:v>Campus=100; Ratio=96.6; Prodi=60; RelDemand=64.1; Capacity=85.0</x:v>
      </x:c>
    </x:row>
    <x:row r="1882">
      <x:c r="A1882" t="n">
        <x:v>1879</x:v>
      </x:c>
      <x:c r="B1882" t="str">
        <x:v>PTN Akademik</x:v>
      </x:c>
      <x:c r="C1882" t="str">
        <x:v>UNIVERSITAS GADJAH MADA</x:v>
      </x:c>
      <x:c r="D1882" t="str">
        <x:v>PENGELOLAAN HUTAN</x:v>
      </x:c>
      <x:c r="E1882" t="str">
        <x:v>Sarjana Terapan</x:v>
      </x:c>
      <x:c r="F1882" s="18" t="n">
        <x:v>27</x:v>
      </x:c>
      <x:c r="G1882" s="18" t="n">
        <x:v>1386</x:v>
      </x:c>
      <x:c r="H1882" s="19" t="n">
        <x:v>51.333333333333336</x:v>
      </x:c>
      <x:c r="I1882" s="18" t="n">
        <x:f>ROUND(MIN(Model_Config_v3!$B$6,MAX(Q1882,R1882,S1882*Model_Config_v3!$B$4+T1882*Model_Config_v3!$B$5)),0)</x:f>
        <x:v>721</x:v>
      </x:c>
      <x:c r="J1882" s="18" t="n">
        <x:f>MIN(Model_Config_v3!$B$6,I1882+Model_Config_v3!$B$7)</x:f>
        <x:v>741</x:v>
      </x:c>
      <x:c r="K1882" s="20" t="n">
        <x:v>83.3</x:v>
      </x:c>
      <x:c r="L1882" t="str">
        <x:v>ELITE</x:v>
      </x:c>
      <x:c r="M1882" t="str">
        <x:v>SEDANG+</x:v>
      </x:c>
      <x:c r="N1882" t="str">
        <x:v>ELITE-1</x:v>
      </x:c>
      <x:c r="O1882" t="str">
        <x:v>CAMPURAN</x:v>
      </x:c>
      <x:c r="P1882" t="str">
        <x:v>UMUM</x:v>
      </x:c>
      <x:c r="Q1882" s="18" t="n">
        <x:v>675</x:v>
      </x:c>
      <x:c r="R1882" s="18" t="n">
        <x:v>0</x:v>
      </x:c>
      <x:c r="S1882" s="18" t="n">
        <x:v>708.143941272848</x:v>
      </x:c>
      <x:c r="T1882" s="18" t="n">
        <x:v>727</x:v>
      </x:c>
      <x:c r="U1882" s="18" t="n">
        <x:v>708.143941272848</x:v>
      </x:c>
      <x:c r="V1882" s="20" t="n">
        <x:v>8.8</x:v>
      </x:c>
      <x:c r="W1882" s="20" t="n">
        <x:v>9.9</x:v>
      </x:c>
      <x:c r="X1882" s="20" t="n">
        <x:v>3.3</x:v>
      </x:c>
      <x:c r="Y1882" t="str">
        <x:v>Basis arsip 2025/2024</x:v>
      </x:c>
      <x:c r="Z1882" t="str">
        <x:v>https://snpmb.id/utbk-snbt/daya-tampung-snbt</x:v>
      </x:c>
      <x:c r="AA1882" t="str">
        <x:v>Tidak Ada</x:v>
      </x:c>
      <x:c r="AB1882" t="str">
        <x:v>Campus=100; Ratio=100.0; Prodi=40; RelDemand=75.2; Capacity=77.5</x:v>
      </x:c>
    </x:row>
    <x:row r="1883">
      <x:c r="A1883" t="n">
        <x:v>1880</x:v>
      </x:c>
      <x:c r="B1883" t="str">
        <x:v>PTN Akademik</x:v>
      </x:c>
      <x:c r="C1883" t="str">
        <x:v>UNIVERSITAS GADJAH MADA</x:v>
      </x:c>
      <x:c r="D1883" t="str">
        <x:v>TEKNOLOGI VETERINER</x:v>
      </x:c>
      <x:c r="E1883" t="str">
        <x:v>Sarjana Terapan</x:v>
      </x:c>
      <x:c r="F1883" s="18" t="n">
        <x:v>27</x:v>
      </x:c>
      <x:c r="G1883" s="18" t="n">
        <x:v>755</x:v>
      </x:c>
      <x:c r="H1883" s="19" t="n">
        <x:v>27.962962962962962</x:v>
      </x:c>
      <x:c r="I1883" s="18" t="n">
        <x:f>ROUND(MIN(Model_Config_v3!$B$6,MAX(Q1883,R1883,S1883*Model_Config_v3!$B$4+T1883*Model_Config_v3!$B$5)),0)</x:f>
        <x:v>702</x:v>
      </x:c>
      <x:c r="J1883" s="18" t="n">
        <x:f>MIN(Model_Config_v3!$B$6,I1883+Model_Config_v3!$B$7)</x:f>
        <x:v>722</x:v>
      </x:c>
      <x:c r="K1883" s="20" t="n">
        <x:v>76.1</x:v>
      </x:c>
      <x:c r="L1883" t="str">
        <x:v>ELITE</x:v>
      </x:c>
      <x:c r="M1883" t="str">
        <x:v>SEDANG+</x:v>
      </x:c>
      <x:c r="N1883" t="str">
        <x:v>ELITE-1</x:v>
      </x:c>
      <x:c r="O1883" t="str">
        <x:v>SAINTEK</x:v>
      </x:c>
      <x:c r="P1883" t="str">
        <x:v>UMUM</x:v>
      </x:c>
      <x:c r="Q1883" s="18" t="n">
        <x:v>675</x:v>
      </x:c>
      <x:c r="R1883" s="18" t="n">
        <x:v>0</x:v>
      </x:c>
      <x:c r="S1883" s="18" t="n">
        <x:v>679.124150621722</x:v>
      </x:c>
      <x:c r="T1883" s="18" t="n">
        <x:v>712</x:v>
      </x:c>
      <x:c r="U1883" s="18" t="n">
        <x:v>679.124150621722</x:v>
      </x:c>
      <x:c r="V1883" s="20" t="n">
        <x:v>12</x:v>
      </x:c>
      <x:c r="W1883" s="20" t="n">
        <x:v>5</x:v>
      </x:c>
      <x:c r="X1883" s="20" t="n">
        <x:v>3</x:v>
      </x:c>
      <x:c r="Y1883" t="str">
        <x:v>Basis arsip 2025/2024</x:v>
      </x:c>
      <x:c r="Z1883" t="str">
        <x:v>https://snpmb.id/utbk-snbt/daya-tampung-snbt</x:v>
      </x:c>
      <x:c r="AA1883" t="str">
        <x:v>Tidak Ada</x:v>
      </x:c>
      <x:c r="AB1883" t="str">
        <x:v>Campus=100; Ratio=85.1; Prodi=40; RelDemand=41.0; Capacity=77.5</x:v>
      </x:c>
    </x:row>
    <x:row r="1884">
      <x:c r="A1884" t="n">
        <x:v>1881</x:v>
      </x:c>
      <x:c r="B1884" t="str">
        <x:v>PTN Akademik</x:v>
      </x:c>
      <x:c r="C1884" t="str">
        <x:v>UNIVERSITAS GADJAH MADA</x:v>
      </x:c>
      <x:c r="D1884" t="str">
        <x:v>PENGEMBANGAN PRODUK AGROINDUSTRI</x:v>
      </x:c>
      <x:c r="E1884" t="str">
        <x:v>Sarjana Terapan</x:v>
      </x:c>
      <x:c r="F1884" s="18" t="n">
        <x:v>27</x:v>
      </x:c>
      <x:c r="G1884" s="18" t="n">
        <x:v>1201</x:v>
      </x:c>
      <x:c r="H1884" s="19" t="n">
        <x:v>44.48148148148148</x:v>
      </x:c>
      <x:c r="I1884" s="18" t="n">
        <x:f>ROUND(MIN(Model_Config_v3!$B$6,MAX(Q1884,R1884,S1884*Model_Config_v3!$B$4+T1884*Model_Config_v3!$B$5)),0)</x:f>
        <x:v>716</x:v>
      </x:c>
      <x:c r="J1884" s="18" t="n">
        <x:f>MIN(Model_Config_v3!$B$6,I1884+Model_Config_v3!$B$7)</x:f>
        <x:v>736</x:v>
      </x:c>
      <x:c r="K1884" s="20" t="n">
        <x:v>81.5</x:v>
      </x:c>
      <x:c r="L1884" t="str">
        <x:v>ELITE</x:v>
      </x:c>
      <x:c r="M1884" t="str">
        <x:v>SEDANG+</x:v>
      </x:c>
      <x:c r="N1884" t="str">
        <x:v>ELITE-1</x:v>
      </x:c>
      <x:c r="O1884" t="str">
        <x:v>CAMPURAN</x:v>
      </x:c>
      <x:c r="P1884" t="str">
        <x:v>UMUM</x:v>
      </x:c>
      <x:c r="Q1884" s="18" t="n">
        <x:v>675</x:v>
      </x:c>
      <x:c r="R1884" s="18" t="n">
        <x:v>0</x:v>
      </x:c>
      <x:c r="S1884" s="18" t="n">
        <x:v>701.299716756831</x:v>
      </x:c>
      <x:c r="T1884" s="18" t="n">
        <x:v>723</x:v>
      </x:c>
      <x:c r="U1884" s="18" t="n">
        <x:v>701.299716756831</x:v>
      </x:c>
      <x:c r="V1884" s="20" t="n">
        <x:v>8.8</x:v>
      </x:c>
      <x:c r="W1884" s="20" t="n">
        <x:v>9.9</x:v>
      </x:c>
      <x:c r="X1884" s="20" t="n">
        <x:v>3.3</x:v>
      </x:c>
      <x:c r="Y1884" t="str">
        <x:v>Basis arsip 2025/2024</x:v>
      </x:c>
      <x:c r="Z1884" t="str">
        <x:v>https://snpmb.id/utbk-snbt/daya-tampung-snbt</x:v>
      </x:c>
      <x:c r="AA1884" t="str">
        <x:v>Tidak Ada</x:v>
      </x:c>
      <x:c r="AB1884" t="str">
        <x:v>Campus=100; Ratio=97.0; Prodi=40; RelDemand=65.2; Capacity=77.5</x:v>
      </x:c>
    </x:row>
    <x:row r="1885">
      <x:c r="A1885" t="n">
        <x:v>1882</x:v>
      </x:c>
      <x:c r="B1885" t="str">
        <x:v>PTN Akademik</x:v>
      </x:c>
      <x:c r="C1885" t="str">
        <x:v>UNIVERSITAS GADJAH MADA</x:v>
      </x:c>
      <x:c r="D1885" t="str">
        <x:v>TEKNOLOGI SURVEI DAN PEMETAAN DASAR</x:v>
      </x:c>
      <x:c r="E1885" t="str">
        <x:v>Sarjana Terapan</x:v>
      </x:c>
      <x:c r="F1885" s="18" t="n">
        <x:v>18</x:v>
      </x:c>
      <x:c r="G1885" s="18" t="n">
        <x:v>568</x:v>
      </x:c>
      <x:c r="H1885" s="19" t="n">
        <x:v>31.555555555555557</x:v>
      </x:c>
      <x:c r="I1885" s="18" t="n">
        <x:f>ROUND(MIN(Model_Config_v3!$B$6,MAX(Q1885,R1885,S1885*Model_Config_v3!$B$4+T1885*Model_Config_v3!$B$5)),0)</x:f>
        <x:v>707</x:v>
      </x:c>
      <x:c r="J1885" s="18" t="n">
        <x:f>MIN(Model_Config_v3!$B$6,I1885+Model_Config_v3!$B$7)</x:f>
        <x:v>727</x:v>
      </x:c>
      <x:c r="K1885" s="20" t="n">
        <x:v>78.2</x:v>
      </x:c>
      <x:c r="L1885" t="str">
        <x:v>ELITE</x:v>
      </x:c>
      <x:c r="M1885" t="str">
        <x:v>SEDANG+</x:v>
      </x:c>
      <x:c r="N1885" t="str">
        <x:v>ELITE-1</x:v>
      </x:c>
      <x:c r="O1885" t="str">
        <x:v>SAINTEK</x:v>
      </x:c>
      <x:c r="P1885" t="str">
        <x:v>UMUM</x:v>
      </x:c>
      <x:c r="Q1885" s="18" t="n">
        <x:v>675</x:v>
      </x:c>
      <x:c r="R1885" s="18" t="n">
        <x:v>0</x:v>
      </x:c>
      <x:c r="S1885" s="18" t="n">
        <x:v>684.8983413668484</x:v>
      </x:c>
      <x:c r="T1885" s="18" t="n">
        <x:v>716</x:v>
      </x:c>
      <x:c r="U1885" s="18" t="n">
        <x:v>684.8983413668484</x:v>
      </x:c>
      <x:c r="V1885" s="20" t="n">
        <x:v>12</x:v>
      </x:c>
      <x:c r="W1885" s="20" t="n">
        <x:v>5</x:v>
      </x:c>
      <x:c r="X1885" s="20" t="n">
        <x:v>3</x:v>
      </x:c>
      <x:c r="Y1885" t="str">
        <x:v>Basis arsip 2025/2024</x:v>
      </x:c>
      <x:c r="Z1885" t="str">
        <x:v>https://snpmb.id/utbk-snbt/daya-tampung-snbt</x:v>
      </x:c>
      <x:c r="AA1885" t="str">
        <x:v>Tidak Ada</x:v>
      </x:c>
      <x:c r="AB1885" t="str">
        <x:v>Campus=100; Ratio=88.2; Prodi=40; RelDemand=46.2; Capacity=85.0</x:v>
      </x:c>
    </x:row>
    <x:row r="1886">
      <x:c r="A1886" t="n">
        <x:v>1883</x:v>
      </x:c>
      <x:c r="B1886" t="str">
        <x:v>PTN Akademik</x:v>
      </x:c>
      <x:c r="C1886" t="str">
        <x:v>UNIVERSITAS GADJAH MADA</x:v>
      </x:c>
      <x:c r="D1886" t="str">
        <x:v>SISTEM INFORMASI GEOGRAFIS</x:v>
      </x:c>
      <x:c r="E1886" t="str">
        <x:v>Sarjana Terapan</x:v>
      </x:c>
      <x:c r="F1886" s="18" t="n">
        <x:v>18</x:v>
      </x:c>
      <x:c r="G1886" s="18" t="n">
        <x:v>894</x:v>
      </x:c>
      <x:c r="H1886" s="19" t="n">
        <x:v>49.666666666666664</x:v>
      </x:c>
      <x:c r="I1886" s="18" t="n">
        <x:f>ROUND(MIN(Model_Config_v3!$B$6,MAX(Q1886,R1886,S1886*Model_Config_v3!$B$4+T1886*Model_Config_v3!$B$5)),0)</x:f>
        <x:v>733</x:v>
      </x:c>
      <x:c r="J1886" s="18" t="n">
        <x:f>MIN(Model_Config_v3!$B$6,I1886+Model_Config_v3!$B$7)</x:f>
        <x:v>753</x:v>
      </x:c>
      <x:c r="K1886" s="20" t="n">
        <x:v>92.7</x:v>
      </x:c>
      <x:c r="L1886" t="str">
        <x:v>ULTRA ELITE</x:v>
      </x:c>
      <x:c r="M1886" t="str">
        <x:v>SEDANG+</x:v>
      </x:c>
      <x:c r="N1886" t="str">
        <x:v>ELITE-1</x:v>
      </x:c>
      <x:c r="O1886" t="str">
        <x:v>CAMPURAN</x:v>
      </x:c>
      <x:c r="P1886" t="str">
        <x:v>KOMPUTER/INFORMATIKA</x:v>
      </x:c>
      <x:c r="Q1886" s="18" t="n">
        <x:v>675</x:v>
      </x:c>
      <x:c r="R1886" s="18" t="n">
        <x:v>715</x:v>
      </x:c>
      <x:c r="S1886" s="18" t="n">
        <x:v>706.5671515061872</x:v>
      </x:c>
      <x:c r="T1886" s="18" t="n">
        <x:v>745</x:v>
      </x:c>
      <x:c r="U1886" s="18" t="n">
        <x:v>731.5671515061872</x:v>
      </x:c>
      <x:c r="V1886" s="20" t="n">
        <x:v>8.8</x:v>
      </x:c>
      <x:c r="W1886" s="20" t="n">
        <x:v>9.9</x:v>
      </x:c>
      <x:c r="X1886" s="20" t="n">
        <x:v>3.3</x:v>
      </x:c>
      <x:c r="Y1886" t="str">
        <x:v>Basis arsip 2025/2024</x:v>
      </x:c>
      <x:c r="Z1886" t="str">
        <x:v>https://snpmb.id/utbk-snbt/daya-tampung-snbt</x:v>
      </x:c>
      <x:c r="AA1886" t="str">
        <x:v>Tidak Ada</x:v>
      </x:c>
      <x:c r="AB1886" t="str">
        <x:v>Campus=100; Ratio=99.8; Prodi=85; RelDemand=72.8; Capacity=85.0</x:v>
      </x:c>
    </x:row>
    <x:row r="1887">
      <x:c r="A1887" t="n">
        <x:v>1884</x:v>
      </x:c>
      <x:c r="B1887" t="str">
        <x:v>PTN Akademik</x:v>
      </x:c>
      <x:c r="C1887" t="str">
        <x:v>UNIVERSITAS GADJAH MADA</x:v>
      </x:c>
      <x:c r="D1887" t="str">
        <x:v>TEKNOLOGI REKAYASA PELAKSANAAN BANGUNAN SIPIL</x:v>
      </x:c>
      <x:c r="E1887" t="str">
        <x:v>Sarjana Terapan</x:v>
      </x:c>
      <x:c r="F1887" s="18" t="n">
        <x:v>18</x:v>
      </x:c>
      <x:c r="G1887" s="18" t="n">
        <x:v>953</x:v>
      </x:c>
      <x:c r="H1887" s="19" t="n">
        <x:v>52.94444444444444</x:v>
      </x:c>
      <x:c r="I1887" s="18" t="n">
        <x:f>ROUND(MIN(Model_Config_v3!$B$6,MAX(Q1887,R1887,S1887*Model_Config_v3!$B$4+T1887*Model_Config_v3!$B$5)),0)</x:f>
        <x:v>723</x:v>
      </x:c>
      <x:c r="J1887" s="18" t="n">
        <x:f>MIN(Model_Config_v3!$B$6,I1887+Model_Config_v3!$B$7)</x:f>
        <x:v>743</x:v>
      </x:c>
      <x:c r="K1887" s="20" t="n">
        <x:v>84.3</x:v>
      </x:c>
      <x:c r="L1887" t="str">
        <x:v>ELITE</x:v>
      </x:c>
      <x:c r="M1887" t="str">
        <x:v>SEDANG+</x:v>
      </x:c>
      <x:c r="N1887" t="str">
        <x:v>ELITE-1</x:v>
      </x:c>
      <x:c r="O1887" t="str">
        <x:v>SAINTEK</x:v>
      </x:c>
      <x:c r="P1887" t="str">
        <x:v>UMUM</x:v>
      </x:c>
      <x:c r="Q1887" s="18" t="n">
        <x:v>675</x:v>
      </x:c>
      <x:c r="R1887" s="18" t="n">
        <x:v>0</x:v>
      </x:c>
      <x:c r="S1887" s="18" t="n">
        <x:v>709.6202435088522</x:v>
      </x:c>
      <x:c r="T1887" s="18" t="n">
        <x:v>729</x:v>
      </x:c>
      <x:c r="U1887" s="18" t="n">
        <x:v>709.6202435088522</x:v>
      </x:c>
      <x:c r="V1887" s="20" t="n">
        <x:v>12</x:v>
      </x:c>
      <x:c r="W1887" s="20" t="n">
        <x:v>5</x:v>
      </x:c>
      <x:c r="X1887" s="20" t="n">
        <x:v>3</x:v>
      </x:c>
      <x:c r="Y1887" t="str">
        <x:v>Basis arsip 2025/2024</x:v>
      </x:c>
      <x:c r="Z1887" t="str">
        <x:v>https://snpmb.id/utbk-snbt/daya-tampung-snbt</x:v>
      </x:c>
      <x:c r="AA1887" t="str">
        <x:v>Tidak Ada</x:v>
      </x:c>
      <x:c r="AB1887" t="str">
        <x:v>Campus=100; Ratio=100.0; Prodi=40; RelDemand=77.6; Capacity=85.0</x:v>
      </x:c>
    </x:row>
    <x:row r="1888">
      <x:c r="A1888" t="n">
        <x:v>1885</x:v>
      </x:c>
      <x:c r="B1888" t="str">
        <x:v>PTN Akademik</x:v>
      </x:c>
      <x:c r="C1888" t="str">
        <x:v>UNIVERSITAS GADJAH MADA</x:v>
      </x:c>
      <x:c r="D1888" t="str">
        <x:v>MANAJEMEN DAN PENILAIAN PROPERTI</x:v>
      </x:c>
      <x:c r="E1888" t="str">
        <x:v>Sarjana Terapan</x:v>
      </x:c>
      <x:c r="F1888" s="18" t="n">
        <x:v>30</x:v>
      </x:c>
      <x:c r="G1888" s="18" t="n">
        <x:v>1663</x:v>
      </x:c>
      <x:c r="H1888" s="19" t="n">
        <x:v>55.43333333333333</x:v>
      </x:c>
      <x:c r="I1888" s="18" t="n">
        <x:f>ROUND(MIN(Model_Config_v3!$B$6,MAX(Q1888,R1888,S1888*Model_Config_v3!$B$4+T1888*Model_Config_v3!$B$5)),0)</x:f>
        <x:v>729</x:v>
      </x:c>
      <x:c r="J1888" s="18" t="n">
        <x:f>MIN(Model_Config_v3!$B$6,I1888+Model_Config_v3!$B$7)</x:f>
        <x:v>749</x:v>
      </x:c>
      <x:c r="K1888" s="20" t="n">
        <x:v>88.6</x:v>
      </x:c>
      <x:c r="L1888" t="str">
        <x:v>ULTRA ELITE</x:v>
      </x:c>
      <x:c r="M1888" t="str">
        <x:v>SEDANG+</x:v>
      </x:c>
      <x:c r="N1888" t="str">
        <x:v>ELITE-1</x:v>
      </x:c>
      <x:c r="O1888" t="str">
        <x:v>SOSHUM</x:v>
      </x:c>
      <x:c r="P1888" t="str">
        <x:v>BISNIS/EKONOMI/AKUNTANSI</x:v>
      </x:c>
      <x:c r="Q1888" s="18" t="n">
        <x:v>675</x:v>
      </x:c>
      <x:c r="R1888" s="18" t="n">
        <x:v>700</x:v>
      </x:c>
      <x:c r="S1888" s="18" t="n">
        <x:v>711.8148093949842</x:v>
      </x:c>
      <x:c r="T1888" s="18" t="n">
        <x:v>737</x:v>
      </x:c>
      <x:c r="U1888" s="18" t="n">
        <x:v>726.8148093949842</x:v>
      </x:c>
      <x:c r="V1888" s="20" t="n">
        <x:v>4.4</x:v>
      </x:c>
      <x:c r="W1888" s="20" t="n">
        <x:v>14.3</x:v>
      </x:c>
      <x:c r="X1888" s="20" t="n">
        <x:v>3.3</x:v>
      </x:c>
      <x:c r="Y1888" t="str">
        <x:v>Basis arsip 2025/2024</x:v>
      </x:c>
      <x:c r="Z1888" t="str">
        <x:v>https://snpmb.id/utbk-snbt/daya-tampung-snbt</x:v>
      </x:c>
      <x:c r="AA1888" t="str">
        <x:v>Tidak Ada</x:v>
      </x:c>
      <x:c r="AB1888" t="str">
        <x:v>Campus=100; Ratio=100.0; Prodi=65; RelDemand=81.2; Capacity=75.0</x:v>
      </x:c>
    </x:row>
    <x:row r="1889">
      <x:c r="A1889" t="n">
        <x:v>1886</x:v>
      </x:c>
      <x:c r="B1889" t="str">
        <x:v>PTN Akademik</x:v>
      </x:c>
      <x:c r="C1889" t="str">
        <x:v>UNIVERSITAS GADJAH MADA</x:v>
      </x:c>
      <x:c r="D1889" t="str">
        <x:v>PERBANKAN</x:v>
      </x:c>
      <x:c r="E1889" t="str">
        <x:v>Sarjana Terapan</x:v>
      </x:c>
      <x:c r="F1889" s="18" t="n">
        <x:v>36</x:v>
      </x:c>
      <x:c r="G1889" s="18" t="n">
        <x:v>2144</x:v>
      </x:c>
      <x:c r="H1889" s="19" t="n">
        <x:v>59.55555555555556</x:v>
      </x:c>
      <x:c r="I1889" s="18" t="n">
        <x:f>ROUND(MIN(Model_Config_v3!$B$6,MAX(Q1889,R1889,S1889*Model_Config_v3!$B$4+T1889*Model_Config_v3!$B$5)),0)</x:f>
        <x:v>723</x:v>
      </x:c>
      <x:c r="J1889" s="18" t="n">
        <x:f>MIN(Model_Config_v3!$B$6,I1889+Model_Config_v3!$B$7)</x:f>
        <x:v>743</x:v>
      </x:c>
      <x:c r="K1889" s="20" t="n">
        <x:v>83.7</x:v>
      </x:c>
      <x:c r="L1889" t="str">
        <x:v>ELITE</x:v>
      </x:c>
      <x:c r="M1889" t="str">
        <x:v>SEDANG+</x:v>
      </x:c>
      <x:c r="N1889" t="str">
        <x:v>ELITE-1</x:v>
      </x:c>
      <x:c r="O1889" t="str">
        <x:v>CAMPURAN</x:v>
      </x:c>
      <x:c r="P1889" t="str">
        <x:v>UMUM</x:v>
      </x:c>
      <x:c r="Q1889" s="18" t="n">
        <x:v>675</x:v>
      </x:c>
      <x:c r="R1889" s="18" t="n">
        <x:v>0</x:v>
      </x:c>
      <x:c r="S1889" s="18" t="n">
        <x:v>715.2414508278789</x:v>
      </x:c>
      <x:c r="T1889" s="18" t="n">
        <x:v>727</x:v>
      </x:c>
      <x:c r="U1889" s="18" t="n">
        <x:v>715.2414508278789</x:v>
      </x:c>
      <x:c r="V1889" s="20" t="n">
        <x:v>8.8</x:v>
      </x:c>
      <x:c r="W1889" s="20" t="n">
        <x:v>9.9</x:v>
      </x:c>
      <x:c r="X1889" s="20" t="n">
        <x:v>3.3</x:v>
      </x:c>
      <x:c r="Y1889" t="str">
        <x:v>Basis arsip 2025/2024</x:v>
      </x:c>
      <x:c r="Z1889" t="str">
        <x:v>https://snpmb.id/utbk-snbt/daya-tampung-snbt</x:v>
      </x:c>
      <x:c r="AA1889" t="str">
        <x:v>Tidak Ada</x:v>
      </x:c>
      <x:c r="AB1889" t="str">
        <x:v>Campus=100; Ratio=100.0; Prodi=40; RelDemand=87.3; Capacity=70.0</x:v>
      </x:c>
    </x:row>
    <x:row r="1890">
      <x:c r="A1890" t="n">
        <x:v>1887</x:v>
      </x:c>
      <x:c r="B1890" t="str">
        <x:v>PTN Akademik</x:v>
      </x:c>
      <x:c r="C1890" t="str">
        <x:v>UNIVERSITAS GADJAH MADA</x:v>
      </x:c>
      <x:c r="D1890" t="str">
        <x:v>AKUNTANSI SEKTOR PUBLIK</x:v>
      </x:c>
      <x:c r="E1890" t="str">
        <x:v>Sarjana Terapan</x:v>
      </x:c>
      <x:c r="F1890" s="18" t="n">
        <x:v>30</x:v>
      </x:c>
      <x:c r="G1890" s="18" t="n">
        <x:v>3606</x:v>
      </x:c>
      <x:c r="H1890" s="19" t="n">
        <x:v>120.2</x:v>
      </x:c>
      <x:c r="I1890" s="18" t="n">
        <x:f>ROUND(MIN(Model_Config_v3!$B$6,MAX(Q1890,R1890,S1890*Model_Config_v3!$B$4+T1890*Model_Config_v3!$B$5)),0)</x:f>
        <x:v>743</x:v>
      </x:c>
      <x:c r="J1890" s="18" t="n">
        <x:f>MIN(Model_Config_v3!$B$6,I1890+Model_Config_v3!$B$7)</x:f>
        <x:v>763</x:v>
      </x:c>
      <x:c r="K1890" s="20" t="n">
        <x:v>90.5</x:v>
      </x:c>
      <x:c r="L1890" t="str">
        <x:v>ULTRA ELITE</x:v>
      </x:c>
      <x:c r="M1890" t="str">
        <x:v>SEDANG+</x:v>
      </x:c>
      <x:c r="N1890" t="str">
        <x:v>ELITE-1</x:v>
      </x:c>
      <x:c r="O1890" t="str">
        <x:v>SOSHUM</x:v>
      </x:c>
      <x:c r="P1890" t="str">
        <x:v>BISNIS/EKONOMI/AKUNTANSI</x:v>
      </x:c>
      <x:c r="Q1890" s="18" t="n">
        <x:v>675</x:v>
      </x:c>
      <x:c r="R1890" s="18" t="n">
        <x:v>700</x:v>
      </x:c>
      <x:c r="S1890" s="18" t="n">
        <x:v>748.7894914433392</x:v>
      </x:c>
      <x:c r="T1890" s="18" t="n">
        <x:v>741</x:v>
      </x:c>
      <x:c r="U1890" s="18" t="n">
        <x:v>748.7894914433392</x:v>
      </x:c>
      <x:c r="V1890" s="20" t="n">
        <x:v>4.4</x:v>
      </x:c>
      <x:c r="W1890" s="20" t="n">
        <x:v>14.3</x:v>
      </x:c>
      <x:c r="X1890" s="20" t="n">
        <x:v>3.3</x:v>
      </x:c>
      <x:c r="Y1890" t="str">
        <x:v>Basis arsip 2025/2024</x:v>
      </x:c>
      <x:c r="Z1890" t="str">
        <x:v>https://snpmb.id/utbk-snbt/daya-tampung-snbt</x:v>
      </x:c>
      <x:c r="AA1890" t="str">
        <x:v>Tidak Ada</x:v>
      </x:c>
      <x:c r="AB1890" t="str">
        <x:v>Campus=100; Ratio=100.0; Prodi=65; RelDemand=100.0; Capacity=75.0</x:v>
      </x:c>
    </x:row>
    <x:row r="1891">
      <x:c r="A1891" t="n">
        <x:v>1888</x:v>
      </x:c>
      <x:c r="B1891" t="str">
        <x:v>PTN Akademik</x:v>
      </x:c>
      <x:c r="C1891" t="str">
        <x:v>UNIVERSITAS GADJAH MADA</x:v>
      </x:c>
      <x:c r="D1891" t="str">
        <x:v>PEMBANGUNAN EKONOMI KEWILAYAHAN</x:v>
      </x:c>
      <x:c r="E1891" t="str">
        <x:v>Sarjana Terapan</x:v>
      </x:c>
      <x:c r="F1891" s="18" t="n">
        <x:v>30</x:v>
      </x:c>
      <x:c r="G1891" s="18" t="n">
        <x:v>1607</x:v>
      </x:c>
      <x:c r="H1891" s="19" t="n">
        <x:v>53.56666666666667</x:v>
      </x:c>
      <x:c r="I1891" s="18" t="n">
        <x:f>ROUND(MIN(Model_Config_v3!$B$6,MAX(Q1891,R1891,S1891*Model_Config_v3!$B$4+T1891*Model_Config_v3!$B$5)),0)</x:f>
        <x:v>722</x:v>
      </x:c>
      <x:c r="J1891" s="18" t="n">
        <x:f>MIN(Model_Config_v3!$B$6,I1891+Model_Config_v3!$B$7)</x:f>
        <x:v>742</x:v>
      </x:c>
      <x:c r="K1891" s="20" t="n">
        <x:v>83.3</x:v>
      </x:c>
      <x:c r="L1891" t="str">
        <x:v>ELITE</x:v>
      </x:c>
      <x:c r="M1891" t="str">
        <x:v>SEDANG+</x:v>
      </x:c>
      <x:c r="N1891" t="str">
        <x:v>ELITE-1</x:v>
      </x:c>
      <x:c r="O1891" t="str">
        <x:v>SOSHUM</x:v>
      </x:c>
      <x:c r="P1891" t="str">
        <x:v>UMUM</x:v>
      </x:c>
      <x:c r="Q1891" s="18" t="n">
        <x:v>675</x:v>
      </x:c>
      <x:c r="R1891" s="18" t="n">
        <x:v>0</x:v>
      </x:c>
      <x:c r="S1891" s="18" t="n">
        <x:v>710.178408424805</x:v>
      </x:c>
      <x:c r="T1891" s="18" t="n">
        <x:v>727</x:v>
      </x:c>
      <x:c r="U1891" s="18" t="n">
        <x:v>710.178408424805</x:v>
      </x:c>
      <x:c r="V1891" s="20" t="n">
        <x:v>4.4</x:v>
      </x:c>
      <x:c r="W1891" s="20" t="n">
        <x:v>14.3</x:v>
      </x:c>
      <x:c r="X1891" s="20" t="n">
        <x:v>3.3</x:v>
      </x:c>
      <x:c r="Y1891" t="str">
        <x:v>Basis arsip 2025/2024</x:v>
      </x:c>
      <x:c r="Z1891" t="str">
        <x:v>https://snpmb.id/utbk-snbt/daya-tampung-snbt</x:v>
      </x:c>
      <x:c r="AA1891" t="str">
        <x:v>Tidak Ada</x:v>
      </x:c>
      <x:c r="AB1891" t="str">
        <x:v>Campus=100; Ratio=100.0; Prodi=40; RelDemand=78.5; Capacity=75.0</x:v>
      </x:c>
    </x:row>
    <x:row r="1892">
      <x:c r="A1892" t="n">
        <x:v>1889</x:v>
      </x:c>
      <x:c r="B1892" t="str">
        <x:v>PTN Akademik</x:v>
      </x:c>
      <x:c r="C1892" t="str">
        <x:v>UNIVERSITAS GADJAH MADA</x:v>
      </x:c>
      <x:c r="D1892" t="str">
        <x:v>PENGELOLAAN ARSIP DAN REKAMAN INFORMASI</x:v>
      </x:c>
      <x:c r="E1892" t="str">
        <x:v>Sarjana Terapan</x:v>
      </x:c>
      <x:c r="F1892" s="18" t="n">
        <x:v>18</x:v>
      </x:c>
      <x:c r="G1892" s="18" t="n">
        <x:v>1517</x:v>
      </x:c>
      <x:c r="H1892" s="19" t="n">
        <x:v>84.27777777777777</x:v>
      </x:c>
      <x:c r="I1892" s="18" t="n">
        <x:f>ROUND(MIN(Model_Config_v3!$B$6,MAX(Q1892,R1892,S1892*Model_Config_v3!$B$4+T1892*Model_Config_v3!$B$5)),0)</x:f>
        <x:v>733</x:v>
      </x:c>
      <x:c r="J1892" s="18" t="n">
        <x:f>MIN(Model_Config_v3!$B$6,I1892+Model_Config_v3!$B$7)</x:f>
        <x:v>753</x:v>
      </x:c>
      <x:c r="K1892" s="20" t="n">
        <x:v>86.5</x:v>
      </x:c>
      <x:c r="L1892" t="str">
        <x:v>ULTRA ELITE</x:v>
      </x:c>
      <x:c r="M1892" t="str">
        <x:v>SEDANG+</x:v>
      </x:c>
      <x:c r="N1892" t="str">
        <x:v>ELITE-1</x:v>
      </x:c>
      <x:c r="O1892" t="str">
        <x:v>CAMPURAN</x:v>
      </x:c>
      <x:c r="P1892" t="str">
        <x:v>UMUM</x:v>
      </x:c>
      <x:c r="Q1892" s="18" t="n">
        <x:v>675</x:v>
      </x:c>
      <x:c r="R1892" s="18" t="n">
        <x:v>0</x:v>
      </x:c>
      <x:c r="S1892" s="18" t="n">
        <x:v>731.8284383251766</x:v>
      </x:c>
      <x:c r="T1892" s="18" t="n">
        <x:v>733</x:v>
      </x:c>
      <x:c r="U1892" s="18" t="n">
        <x:v>731.8284383251766</x:v>
      </x:c>
      <x:c r="V1892" s="20" t="n">
        <x:v>8.8</x:v>
      </x:c>
      <x:c r="W1892" s="20" t="n">
        <x:v>9.9</x:v>
      </x:c>
      <x:c r="X1892" s="20" t="n">
        <x:v>3.3</x:v>
      </x:c>
      <x:c r="Y1892" t="str">
        <x:v>Basis arsip 2025/2024</x:v>
      </x:c>
      <x:c r="Z1892" t="str">
        <x:v>https://snpmb.id/utbk-snbt/daya-tampung-snbt</x:v>
      </x:c>
      <x:c r="AA1892" t="str">
        <x:v>Tidak Ada</x:v>
      </x:c>
      <x:c r="AB1892" t="str">
        <x:v>Campus=100; Ratio=100.0; Prodi=40; RelDemand=100.0; Capacity=85.0</x:v>
      </x:c>
    </x:row>
    <x:row r="1893">
      <x:c r="A1893" t="n">
        <x:v>1890</x:v>
      </x:c>
      <x:c r="B1893" t="str">
        <x:v>PTN Akademik</x:v>
      </x:c>
      <x:c r="C1893" t="str">
        <x:v>UNIVERSITAS GADJAH MADA</x:v>
      </x:c>
      <x:c r="D1893" t="str">
        <x:v>BAHASA INGGRIS</x:v>
      </x:c>
      <x:c r="E1893" t="str">
        <x:v>Sarjana Terapan</x:v>
      </x:c>
      <x:c r="F1893" s="18" t="n">
        <x:v>18</x:v>
      </x:c>
      <x:c r="G1893" s="18" t="n">
        <x:v>1971</x:v>
      </x:c>
      <x:c r="H1893" s="19" t="n">
        <x:v>109.5</x:v>
      </x:c>
      <x:c r="I1893" s="18" t="n">
        <x:f>ROUND(MIN(Model_Config_v3!$B$6,MAX(Q1893,R1893,S1893*Model_Config_v3!$B$4+T1893*Model_Config_v3!$B$5)),0)</x:f>
        <x:v>736</x:v>
      </x:c>
      <x:c r="J1893" s="18" t="n">
        <x:f>MIN(Model_Config_v3!$B$6,I1893+Model_Config_v3!$B$7)</x:f>
        <x:v>756</x:v>
      </x:c>
      <x:c r="K1893" s="20" t="n">
        <x:v>86.5</x:v>
      </x:c>
      <x:c r="L1893" t="str">
        <x:v>ULTRA ELITE</x:v>
      </x:c>
      <x:c r="M1893" t="str">
        <x:v>SEDANG+</x:v>
      </x:c>
      <x:c r="N1893" t="str">
        <x:v>ELITE-1</x:v>
      </x:c>
      <x:c r="O1893" t="str">
        <x:v>SOSHUM</x:v>
      </x:c>
      <x:c r="P1893" t="str">
        <x:v>UMUM</x:v>
      </x:c>
      <x:c r="Q1893" s="18" t="n">
        <x:v>675</x:v>
      </x:c>
      <x:c r="R1893" s="18" t="n">
        <x:v>0</x:v>
      </x:c>
      <x:c r="S1893" s="18" t="n">
        <x:v>744.335553109375</x:v>
      </x:c>
      <x:c r="T1893" s="18" t="n">
        <x:v>733</x:v>
      </x:c>
      <x:c r="U1893" s="18" t="n">
        <x:v>744.335553109375</x:v>
      </x:c>
      <x:c r="V1893" s="20" t="n">
        <x:v>4.4</x:v>
      </x:c>
      <x:c r="W1893" s="20" t="n">
        <x:v>14.3</x:v>
      </x:c>
      <x:c r="X1893" s="20" t="n">
        <x:v>3.3</x:v>
      </x:c>
      <x:c r="Y1893" t="str">
        <x:v>Basis arsip 2025/2024</x:v>
      </x:c>
      <x:c r="Z1893" t="str">
        <x:v>https://snpmb.id/utbk-snbt/daya-tampung-snbt</x:v>
      </x:c>
      <x:c r="AA1893" t="str">
        <x:v>Tidak Ada</x:v>
      </x:c>
      <x:c r="AB1893" t="str">
        <x:v>Campus=100; Ratio=100.0; Prodi=40; RelDemand=100.0; Capacity=85.0</x:v>
      </x:c>
    </x:row>
    <x:row r="1894">
      <x:c r="A1894" t="n">
        <x:v>1891</x:v>
      </x:c>
      <x:c r="B1894" t="str">
        <x:v>PTN Akademik</x:v>
      </x:c>
      <x:c r="C1894" t="str">
        <x:v>UNIVERSITAS GADJAH MADA</x:v>
      </x:c>
      <x:c r="D1894" t="str">
        <x:v>BISNIS PERJALANAN WISATA</x:v>
      </x:c>
      <x:c r="E1894" t="str">
        <x:v>Sarjana Terapan</x:v>
      </x:c>
      <x:c r="F1894" s="18" t="n">
        <x:v>27</x:v>
      </x:c>
      <x:c r="G1894" s="18" t="n">
        <x:v>1865</x:v>
      </x:c>
      <x:c r="H1894" s="19" t="n">
        <x:v>69.07407407407408</x:v>
      </x:c>
      <x:c r="I1894" s="18" t="n">
        <x:f>ROUND(MIN(Model_Config_v3!$B$6,MAX(Q1894,R1894,S1894*Model_Config_v3!$B$4+T1894*Model_Config_v3!$B$5)),0)</x:f>
        <x:v>736</x:v>
      </x:c>
      <x:c r="J1894" s="18" t="n">
        <x:f>MIN(Model_Config_v3!$B$6,I1894+Model_Config_v3!$B$7)</x:f>
        <x:v>756</x:v>
      </x:c>
      <x:c r="K1894" s="20" t="n">
        <x:v>90.8</x:v>
      </x:c>
      <x:c r="L1894" t="str">
        <x:v>ULTRA ELITE</x:v>
      </x:c>
      <x:c r="M1894" t="str">
        <x:v>SEDANG+</x:v>
      </x:c>
      <x:c r="N1894" t="str">
        <x:v>ELITE-1</x:v>
      </x:c>
      <x:c r="O1894" t="str">
        <x:v>SOSHUM</x:v>
      </x:c>
      <x:c r="P1894" t="str">
        <x:v>BISNIS/EKONOMI/AKUNTANSI</x:v>
      </x:c>
      <x:c r="Q1894" s="18" t="n">
        <x:v>675</x:v>
      </x:c>
      <x:c r="R1894" s="18" t="n">
        <x:v>700</x:v>
      </x:c>
      <x:c r="S1894" s="18" t="n">
        <x:v>722.3246579184291</x:v>
      </x:c>
      <x:c r="T1894" s="18" t="n">
        <x:v>742</x:v>
      </x:c>
      <x:c r="U1894" s="18" t="n">
        <x:v>737.3246579184291</x:v>
      </x:c>
      <x:c r="V1894" s="20" t="n">
        <x:v>4.4</x:v>
      </x:c>
      <x:c r="W1894" s="20" t="n">
        <x:v>14.3</x:v>
      </x:c>
      <x:c r="X1894" s="20" t="n">
        <x:v>3.3</x:v>
      </x:c>
      <x:c r="Y1894" t="str">
        <x:v>Basis arsip 2025/2024</x:v>
      </x:c>
      <x:c r="Z1894" t="str">
        <x:v>https://snpmb.id/utbk-snbt/daya-tampung-snbt</x:v>
      </x:c>
      <x:c r="AA1894" t="str">
        <x:v>Tidak Ada</x:v>
      </x:c>
      <x:c r="AB1894" t="str">
        <x:v>Campus=100; Ratio=100.0; Prodi=65; RelDemand=100.0; Capacity=77.5</x:v>
      </x:c>
    </x:row>
    <x:row r="1895">
      <x:c r="A1895" t="n">
        <x:v>1892</x:v>
      </x:c>
      <x:c r="B1895" t="str">
        <x:v>PTN Akademik</x:v>
      </x:c>
      <x:c r="C1895" t="str">
        <x:v>UNIVERSITAS GADJAH MADA</x:v>
      </x:c>
      <x:c r="D1895" t="str">
        <x:v>BAHASA JEPANG UNTUK KOMUNIKASI BISNIS DAN PROFESIONAL</x:v>
      </x:c>
      <x:c r="E1895" t="str">
        <x:v>Sarjana Terapan</x:v>
      </x:c>
      <x:c r="F1895" s="18" t="n">
        <x:v>15</x:v>
      </x:c>
      <x:c r="G1895" s="18" t="n">
        <x:v>1352</x:v>
      </x:c>
      <x:c r="H1895" s="19" t="n">
        <x:v>90.13333333333334</x:v>
      </x:c>
      <x:c r="I1895" s="18" t="n">
        <x:f>ROUND(MIN(Model_Config_v3!$B$6,MAX(Q1895,R1895,S1895*Model_Config_v3!$B$4+T1895*Model_Config_v3!$B$5)),0)</x:f>
        <x:v>741</x:v>
      </x:c>
      <x:c r="J1895" s="18" t="n">
        <x:f>MIN(Model_Config_v3!$B$6,I1895+Model_Config_v3!$B$7)</x:f>
        <x:v>761</x:v>
      </x:c>
      <x:c r="K1895" s="20" t="n">
        <x:v>91.8</x:v>
      </x:c>
      <x:c r="L1895" t="str">
        <x:v>ULTRA ELITE</x:v>
      </x:c>
      <x:c r="M1895" t="str">
        <x:v>SEDANG+</x:v>
      </x:c>
      <x:c r="N1895" t="str">
        <x:v>ELITE-1</x:v>
      </x:c>
      <x:c r="O1895" t="str">
        <x:v>SOSHUM</x:v>
      </x:c>
      <x:c r="P1895" t="str">
        <x:v>BISNIS/EKONOMI/AKUNTANSI</x:v>
      </x:c>
      <x:c r="Q1895" s="18" t="n">
        <x:v>675</x:v>
      </x:c>
      <x:c r="R1895" s="18" t="n">
        <x:v>700</x:v>
      </x:c>
      <x:c r="S1895" s="18" t="n">
        <x:v>735.0373975804929</x:v>
      </x:c>
      <x:c r="T1895" s="18" t="n">
        <x:v>744</x:v>
      </x:c>
      <x:c r="U1895" s="18" t="n">
        <x:v>750.0373975804929</x:v>
      </x:c>
      <x:c r="V1895" s="20" t="n">
        <x:v>4.4</x:v>
      </x:c>
      <x:c r="W1895" s="20" t="n">
        <x:v>14.3</x:v>
      </x:c>
      <x:c r="X1895" s="20" t="n">
        <x:v>3.3</x:v>
      </x:c>
      <x:c r="Y1895" t="str">
        <x:v>Basis arsip 2025/2024</x:v>
      </x:c>
      <x:c r="Z1895" t="str">
        <x:v>https://snpmb.id/utbk-snbt/daya-tampung-snbt</x:v>
      </x:c>
      <x:c r="AA1895" t="str">
        <x:v>Tidak Ada</x:v>
      </x:c>
      <x:c r="AB1895" t="str">
        <x:v>Campus=100; Ratio=100.0; Prodi=65; RelDemand=100.0; Capacity=87.5</x:v>
      </x:c>
    </x:row>
    <x:row r="1896">
      <x:c r="A1896" t="n">
        <x:v>1893</x:v>
      </x:c>
      <x:c r="B1896" t="str">
        <x:v>PTN Akademik</x:v>
      </x:c>
      <x:c r="C1896" t="str">
        <x:v>UNIVERSITAS NEGERI YOGYAKARTA</x:v>
      </x:c>
      <x:c r="D1896" t="str">
        <x:v>PENDIDIKAN MATEMATIKA</x:v>
      </x:c>
      <x:c r="E1896" t="str">
        <x:v>Sarjana</x:v>
      </x:c>
      <x:c r="F1896" s="18" t="n">
        <x:v>24</x:v>
      </x:c>
      <x:c r="G1896" s="18" t="n">
        <x:v>393</x:v>
      </x:c>
      <x:c r="H1896" s="19" t="n">
        <x:v>16.375</x:v>
      </x:c>
      <x:c r="I1896" s="18" t="n">
        <x:f>ROUND(MIN(Model_Config_v3!$B$6,MAX(Q1896,R1896,S1896*Model_Config_v3!$B$4+T1896*Model_Config_v3!$B$5)),0)</x:f>
        <x:v>681</x:v>
      </x:c>
      <x:c r="J1896" s="18" t="n">
        <x:f>MIN(Model_Config_v3!$B$6,I1896+Model_Config_v3!$B$7)</x:f>
        <x:v>701</x:v>
      </x:c>
      <x:c r="K1896" s="20" t="n">
        <x:v>66.4</x:v>
      </x:c>
      <x:c r="L1896" t="str">
        <x:v>SANGAT KETAT</x:v>
      </x:c>
      <x:c r="M1896" t="str">
        <x:v>SEDANG+</x:v>
      </x:c>
      <x:c r="N1896" t="str">
        <x:v>ELITE-3</x:v>
      </x:c>
      <x:c r="O1896" t="str">
        <x:v>SAINTEK</x:v>
      </x:c>
      <x:c r="P1896" t="str">
        <x:v>PENDIDIKAN</x:v>
      </x:c>
      <x:c r="Q1896" s="18" t="n">
        <x:v>625</x:v>
      </x:c>
      <x:c r="R1896" s="18" t="n">
        <x:v>0</x:v>
      </x:c>
      <x:c r="S1896" s="18" t="n">
        <x:v>653.5599439530203</x:v>
      </x:c>
      <x:c r="T1896" s="18" t="n">
        <x:v>693</x:v>
      </x:c>
      <x:c r="U1896" s="18" t="n">
        <x:v>653.5599439530203</x:v>
      </x:c>
      <x:c r="V1896" s="20" t="n">
        <x:v>12</x:v>
      </x:c>
      <x:c r="W1896" s="20" t="n">
        <x:v>5</x:v>
      </x:c>
      <x:c r="X1896" s="20" t="n">
        <x:v>3</x:v>
      </x:c>
      <x:c r="Y1896" t="str">
        <x:v>Basis arsip 2025/2024</x:v>
      </x:c>
      <x:c r="Z1896" t="str">
        <x:v>https://snpmb.id/utbk-snbt/daya-tampung-snbt</x:v>
      </x:c>
      <x:c r="AA1896" t="str">
        <x:v>Tidak Ada</x:v>
      </x:c>
      <x:c r="AB1896" t="str">
        <x:v>Campus=80; Ratio=71.5; Prodi=45; RelDemand=35.2; Capacity=80.0</x:v>
      </x:c>
    </x:row>
    <x:row r="1897">
      <x:c r="A1897" t="n">
        <x:v>1894</x:v>
      </x:c>
      <x:c r="B1897" t="str">
        <x:v>PTN Akademik</x:v>
      </x:c>
      <x:c r="C1897" t="str">
        <x:v>UNIVERSITAS NEGERI YOGYAKARTA</x:v>
      </x:c>
      <x:c r="D1897" t="str">
        <x:v>PENDIDIKAN FISIKA</x:v>
      </x:c>
      <x:c r="E1897" t="str">
        <x:v>Sarjana</x:v>
      </x:c>
      <x:c r="F1897" s="18" t="n">
        <x:v>28</x:v>
      </x:c>
      <x:c r="G1897" s="18" t="n">
        <x:v>108</x:v>
      </x:c>
      <x:c r="H1897" s="19" t="n">
        <x:v>3.857142857142857</x:v>
      </x:c>
      <x:c r="I1897" s="18" t="n">
        <x:f>ROUND(MIN(Model_Config_v3!$B$6,MAX(Q1897,R1897,S1897*Model_Config_v3!$B$4+T1897*Model_Config_v3!$B$5)),0)</x:f>
        <x:v>643</x:v>
      </x:c>
      <x:c r="J1897" s="18" t="n">
        <x:f>MIN(Model_Config_v3!$B$6,I1897+Model_Config_v3!$B$7)</x:f>
        <x:v>663</x:v>
      </x:c>
      <x:c r="K1897" s="20" t="n">
        <x:v>54.1</x:v>
      </x:c>
      <x:c r="L1897" t="str">
        <x:v>MENENGAH</x:v>
      </x:c>
      <x:c r="M1897" t="str">
        <x:v>SEDANG+</x:v>
      </x:c>
      <x:c r="N1897" t="str">
        <x:v>ELITE-3</x:v>
      </x:c>
      <x:c r="O1897" t="str">
        <x:v>SAINTEK</x:v>
      </x:c>
      <x:c r="P1897" t="str">
        <x:v>PENDIDIKAN</x:v>
      </x:c>
      <x:c r="Q1897" s="18" t="n">
        <x:v>625</x:v>
      </x:c>
      <x:c r="R1897" s="18" t="n">
        <x:v>0</x:v>
      </x:c>
      <x:c r="S1897" s="18" t="n">
        <x:v>584.4892296559203</x:v>
      </x:c>
      <x:c r="T1897" s="18" t="n">
        <x:v>668</x:v>
      </x:c>
      <x:c r="U1897" s="18" t="n">
        <x:v>625</x:v>
      </x:c>
      <x:c r="V1897" s="20" t="n">
        <x:v>12</x:v>
      </x:c>
      <x:c r="W1897" s="20" t="n">
        <x:v>5</x:v>
      </x:c>
      <x:c r="X1897" s="20" t="n">
        <x:v>3</x:v>
      </x:c>
      <x:c r="Y1897" t="str">
        <x:v>Basis arsip 2025/2024</x:v>
      </x:c>
      <x:c r="Z1897" t="str">
        <x:v>https://snpmb.id/utbk-snbt/daya-tampung-snbt</x:v>
      </x:c>
      <x:c r="AA1897" t="str">
        <x:v>Tidak Ada</x:v>
      </x:c>
      <x:c r="AB1897" t="str">
        <x:v>Campus=80; Ratio=34.5; Prodi=45; RelDemand=8.3; Capacity=76.7</x:v>
      </x:c>
    </x:row>
    <x:row r="1898">
      <x:c r="A1898" t="n">
        <x:v>1895</x:v>
      </x:c>
      <x:c r="B1898" t="str">
        <x:v>PTN Akademik</x:v>
      </x:c>
      <x:c r="C1898" t="str">
        <x:v>UNIVERSITAS NEGERI YOGYAKARTA</x:v>
      </x:c>
      <x:c r="D1898" t="str">
        <x:v>PENDIDIKAN KIMIA</x:v>
      </x:c>
      <x:c r="E1898" t="str">
        <x:v>Sarjana</x:v>
      </x:c>
      <x:c r="F1898" s="18" t="n">
        <x:v>24</x:v>
      </x:c>
      <x:c r="G1898" s="18" t="n">
        <x:v>124</x:v>
      </x:c>
      <x:c r="H1898" s="19" t="n">
        <x:v>5.166666666666667</x:v>
      </x:c>
      <x:c r="I1898" s="18" t="n">
        <x:f>ROUND(MIN(Model_Config_v3!$B$6,MAX(Q1898,R1898,S1898*Model_Config_v3!$B$4+T1898*Model_Config_v3!$B$5)),0)</x:f>
        <x:v>651</x:v>
      </x:c>
      <x:c r="J1898" s="18" t="n">
        <x:f>MIN(Model_Config_v3!$B$6,I1898+Model_Config_v3!$B$7)</x:f>
        <x:v>671</x:v>
      </x:c>
      <x:c r="K1898" s="20" t="n">
        <x:v>56.6</x:v>
      </x:c>
      <x:c r="L1898" t="str">
        <x:v>KETAT</x:v>
      </x:c>
      <x:c r="M1898" t="str">
        <x:v>SEDANG+</x:v>
      </x:c>
      <x:c r="N1898" t="str">
        <x:v>ELITE-3</x:v>
      </x:c>
      <x:c r="O1898" t="str">
        <x:v>SAINTEK</x:v>
      </x:c>
      <x:c r="P1898" t="str">
        <x:v>PENDIDIKAN</x:v>
      </x:c>
      <x:c r="Q1898" s="18" t="n">
        <x:v>625</x:v>
      </x:c>
      <x:c r="R1898" s="18" t="n">
        <x:v>0</x:v>
      </x:c>
      <x:c r="S1898" s="18" t="n">
        <x:v>598.4531487795692</x:v>
      </x:c>
      <x:c r="T1898" s="18" t="n">
        <x:v>673</x:v>
      </x:c>
      <x:c r="U1898" s="18" t="n">
        <x:v>625</x:v>
      </x:c>
      <x:c r="V1898" s="20" t="n">
        <x:v>12</x:v>
      </x:c>
      <x:c r="W1898" s="20" t="n">
        <x:v>5</x:v>
      </x:c>
      <x:c r="X1898" s="20" t="n">
        <x:v>3</x:v>
      </x:c>
      <x:c r="Y1898" t="str">
        <x:v>Basis arsip 2025/2024</x:v>
      </x:c>
      <x:c r="Z1898" t="str">
        <x:v>https://snpmb.id/utbk-snbt/daya-tampung-snbt</x:v>
      </x:c>
      <x:c r="AA1898" t="str">
        <x:v>Tidak Ada</x:v>
      </x:c>
      <x:c r="AB1898" t="str">
        <x:v>Campus=80; Ratio=42.0; Prodi=45; RelDemand=11.1; Capacity=80.0</x:v>
      </x:c>
    </x:row>
    <x:row r="1899">
      <x:c r="A1899" t="n">
        <x:v>1896</x:v>
      </x:c>
      <x:c r="B1899" t="str">
        <x:v>PTN Akademik</x:v>
      </x:c>
      <x:c r="C1899" t="str">
        <x:v>UNIVERSITAS NEGERI YOGYAKARTA</x:v>
      </x:c>
      <x:c r="D1899" t="str">
        <x:v>PENDIDIKAN BIOLOGI</x:v>
      </x:c>
      <x:c r="E1899" t="str">
        <x:v>Sarjana</x:v>
      </x:c>
      <x:c r="F1899" s="18" t="n">
        <x:v>24</x:v>
      </x:c>
      <x:c r="G1899" s="18" t="n">
        <x:v>259</x:v>
      </x:c>
      <x:c r="H1899" s="19" t="n">
        <x:v>10.791666666666666</x:v>
      </x:c>
      <x:c r="I1899" s="18" t="n">
        <x:f>ROUND(MIN(Model_Config_v3!$B$6,MAX(Q1899,R1899,S1899*Model_Config_v3!$B$4+T1899*Model_Config_v3!$B$5)),0)</x:f>
        <x:v>670</x:v>
      </x:c>
      <x:c r="J1899" s="18" t="n">
        <x:f>MIN(Model_Config_v3!$B$6,I1899+Model_Config_v3!$B$7)</x:f>
        <x:v>690</x:v>
      </x:c>
      <x:c r="K1899" s="20" t="n">
        <x:v>62.5</x:v>
      </x:c>
      <x:c r="L1899" t="str">
        <x:v>KETAT</x:v>
      </x:c>
      <x:c r="M1899" t="str">
        <x:v>SEDANG+</x:v>
      </x:c>
      <x:c r="N1899" t="str">
        <x:v>ELITE-3</x:v>
      </x:c>
      <x:c r="O1899" t="str">
        <x:v>SAINTEK</x:v>
      </x:c>
      <x:c r="P1899" t="str">
        <x:v>PENDIDIKAN</x:v>
      </x:c>
      <x:c r="Q1899" s="18" t="n">
        <x:v>625</x:v>
      </x:c>
      <x:c r="R1899" s="18" t="n">
        <x:v>0</x:v>
      </x:c>
      <x:c r="S1899" s="18" t="n">
        <x:v>633.6397374606611</x:v>
      </x:c>
      <x:c r="T1899" s="18" t="n">
        <x:v>685</x:v>
      </x:c>
      <x:c r="U1899" s="18" t="n">
        <x:v>633.6397374606611</x:v>
      </x:c>
      <x:c r="V1899" s="20" t="n">
        <x:v>12</x:v>
      </x:c>
      <x:c r="W1899" s="20" t="n">
        <x:v>5</x:v>
      </x:c>
      <x:c r="X1899" s="20" t="n">
        <x:v>3</x:v>
      </x:c>
      <x:c r="Y1899" t="str">
        <x:v>Basis arsip 2025/2024</x:v>
      </x:c>
      <x:c r="Z1899" t="str">
        <x:v>https://snpmb.id/utbk-snbt/daya-tampung-snbt</x:v>
      </x:c>
      <x:c r="AA1899" t="str">
        <x:v>Tidak Ada</x:v>
      </x:c>
      <x:c r="AB1899" t="str">
        <x:v>Campus=80; Ratio=60.8; Prodi=45; RelDemand=23.2; Capacity=80.0</x:v>
      </x:c>
    </x:row>
    <x:row r="1900">
      <x:c r="A1900" t="n">
        <x:v>1897</x:v>
      </x:c>
      <x:c r="B1900" t="str">
        <x:v>PTN Akademik</x:v>
      </x:c>
      <x:c r="C1900" t="str">
        <x:v>UNIVERSITAS NEGERI YOGYAKARTA</x:v>
      </x:c>
      <x:c r="D1900" t="str">
        <x:v>PENDIDIKAN TEKNIK ELEKTRONIKA</x:v>
      </x:c>
      <x:c r="E1900" t="str">
        <x:v>Sarjana</x:v>
      </x:c>
      <x:c r="F1900" s="18" t="n">
        <x:v>12</x:v>
      </x:c>
      <x:c r="G1900" s="18" t="n">
        <x:v>86</x:v>
      </x:c>
      <x:c r="H1900" s="19" t="n">
        <x:v>7.166666666666667</x:v>
      </x:c>
      <x:c r="I1900" s="18" t="n">
        <x:f>ROUND(MIN(Model_Config_v3!$B$6,MAX(Q1900,R1900,S1900*Model_Config_v3!$B$4+T1900*Model_Config_v3!$B$5)),0)</x:f>
        <x:v>660</x:v>
      </x:c>
      <x:c r="J1900" s="18" t="n">
        <x:f>MIN(Model_Config_v3!$B$6,I1900+Model_Config_v3!$B$7)</x:f>
        <x:v>680</x:v>
      </x:c>
      <x:c r="K1900" s="20" t="n">
        <x:v>60.1</x:v>
      </x:c>
      <x:c r="L1900" t="str">
        <x:v>KETAT</x:v>
      </x:c>
      <x:c r="M1900" t="str">
        <x:v>SEDANG+</x:v>
      </x:c>
      <x:c r="N1900" t="str">
        <x:v>ELITE-3</x:v>
      </x:c>
      <x:c r="O1900" t="str">
        <x:v>SAINTEK</x:v>
      </x:c>
      <x:c r="P1900" t="str">
        <x:v>PENDIDIKAN</x:v>
      </x:c>
      <x:c r="Q1900" s="18" t="n">
        <x:v>625</x:v>
      </x:c>
      <x:c r="R1900" s="18" t="n">
        <x:v>0</x:v>
      </x:c>
      <x:c r="S1900" s="18" t="n">
        <x:v>614.0848925715537</x:v>
      </x:c>
      <x:c r="T1900" s="18" t="n">
        <x:v>680</x:v>
      </x:c>
      <x:c r="U1900" s="18" t="n">
        <x:v>625</x:v>
      </x:c>
      <x:c r="V1900" s="20" t="n">
        <x:v>12</x:v>
      </x:c>
      <x:c r="W1900" s="20" t="n">
        <x:v>5</x:v>
      </x:c>
      <x:c r="X1900" s="20" t="n">
        <x:v>3</x:v>
      </x:c>
      <x:c r="Y1900" t="str">
        <x:v>Basis arsip 2025/2024</x:v>
      </x:c>
      <x:c r="Z1900" t="str">
        <x:v>https://snpmb.id/utbk-snbt/daya-tampung-snbt</x:v>
      </x:c>
      <x:c r="AA1900" t="str">
        <x:v>Tidak Ada</x:v>
      </x:c>
      <x:c r="AB1900" t="str">
        <x:v>Campus=80; Ratio=50.3; Prodi=45; RelDemand=15.4; Capacity=90.0</x:v>
      </x:c>
    </x:row>
    <x:row r="1901">
      <x:c r="A1901" t="n">
        <x:v>1898</x:v>
      </x:c>
      <x:c r="B1901" t="str">
        <x:v>PTN Akademik</x:v>
      </x:c>
      <x:c r="C1901" t="str">
        <x:v>UNIVERSITAS NEGERI YOGYAKARTA</x:v>
      </x:c>
      <x:c r="D1901" t="str">
        <x:v>PENDIDIKAN TEKNIK OTOMOTIF</x:v>
      </x:c>
      <x:c r="E1901" t="str">
        <x:v>Sarjana</x:v>
      </x:c>
      <x:c r="F1901" s="18" t="n">
        <x:v>24</x:v>
      </x:c>
      <x:c r="G1901" s="18" t="n">
        <x:v>228</x:v>
      </x:c>
      <x:c r="H1901" s="19" t="n">
        <x:v>9.5</x:v>
      </x:c>
      <x:c r="I1901" s="18" t="n">
        <x:f>ROUND(MIN(Model_Config_v3!$B$6,MAX(Q1901,R1901,S1901*Model_Config_v3!$B$4+T1901*Model_Config_v3!$B$5)),0)</x:f>
        <x:v>666</x:v>
      </x:c>
      <x:c r="J1901" s="18" t="n">
        <x:f>MIN(Model_Config_v3!$B$6,I1901+Model_Config_v3!$B$7)</x:f>
        <x:v>686</x:v>
      </x:c>
      <x:c r="K1901" s="20" t="n">
        <x:v>61.4</x:v>
      </x:c>
      <x:c r="L1901" t="str">
        <x:v>KETAT</x:v>
      </x:c>
      <x:c r="M1901" t="str">
        <x:v>SEDANG+</x:v>
      </x:c>
      <x:c r="N1901" t="str">
        <x:v>ELITE-3</x:v>
      </x:c>
      <x:c r="O1901" t="str">
        <x:v>SAINTEK</x:v>
      </x:c>
      <x:c r="P1901" t="str">
        <x:v>PENDIDIKAN</x:v>
      </x:c>
      <x:c r="Q1901" s="18" t="n">
        <x:v>625</x:v>
      </x:c>
      <x:c r="R1901" s="18" t="n">
        <x:v>0</x:v>
      </x:c>
      <x:c r="S1901" s="18" t="n">
        <x:v>627.5495965817732</x:v>
      </x:c>
      <x:c r="T1901" s="18" t="n">
        <x:v>683</x:v>
      </x:c>
      <x:c r="U1901" s="18" t="n">
        <x:v>637.5495965817732</x:v>
      </x:c>
      <x:c r="V1901" s="20" t="n">
        <x:v>12</x:v>
      </x:c>
      <x:c r="W1901" s="20" t="n">
        <x:v>5</x:v>
      </x:c>
      <x:c r="X1901" s="20" t="n">
        <x:v>3</x:v>
      </x:c>
      <x:c r="Y1901" t="str">
        <x:v>Basis arsip 2025/2024</x:v>
      </x:c>
      <x:c r="Z1901" t="str">
        <x:v>https://snpmb.id/utbk-snbt/daya-tampung-snbt</x:v>
      </x:c>
      <x:c r="AA1901" t="str">
        <x:v>Tidak Ada</x:v>
      </x:c>
      <x:c r="AB1901" t="str">
        <x:v>Campus=80; Ratio=57.5; Prodi=45; RelDemand=20.4; Capacity=80.0</x:v>
      </x:c>
    </x:row>
    <x:row r="1902">
      <x:c r="A1902" t="n">
        <x:v>1899</x:v>
      </x:c>
      <x:c r="B1902" t="str">
        <x:v>PTN Akademik</x:v>
      </x:c>
      <x:c r="C1902" t="str">
        <x:v>UNIVERSITAS NEGERI YOGYAKARTA</x:v>
      </x:c>
      <x:c r="D1902" t="str">
        <x:v>PENDIDIKAN TEKNIK MESIN</x:v>
      </x:c>
      <x:c r="E1902" t="str">
        <x:v>Sarjana</x:v>
      </x:c>
      <x:c r="F1902" s="18" t="n">
        <x:v>24</x:v>
      </x:c>
      <x:c r="G1902" s="18" t="n">
        <x:v>239</x:v>
      </x:c>
      <x:c r="H1902" s="19" t="n">
        <x:v>9.958333333333334</x:v>
      </x:c>
      <x:c r="I1902" s="18" t="n">
        <x:f>ROUND(MIN(Model_Config_v3!$B$6,MAX(Q1902,R1902,S1902*Model_Config_v3!$B$4+T1902*Model_Config_v3!$B$5)),0)</x:f>
        <x:v>668</x:v>
      </x:c>
      <x:c r="J1902" s="18" t="n">
        <x:f>MIN(Model_Config_v3!$B$6,I1902+Model_Config_v3!$B$7)</x:f>
        <x:v>688</x:v>
      </x:c>
      <x:c r="K1902" s="20" t="n">
        <x:v>61.8</x:v>
      </x:c>
      <x:c r="L1902" t="str">
        <x:v>KETAT</x:v>
      </x:c>
      <x:c r="M1902" t="str">
        <x:v>SEDANG+</x:v>
      </x:c>
      <x:c r="N1902" t="str">
        <x:v>ELITE-3</x:v>
      </x:c>
      <x:c r="O1902" t="str">
        <x:v>SAINTEK</x:v>
      </x:c>
      <x:c r="P1902" t="str">
        <x:v>PENDIDIKAN</x:v>
      </x:c>
      <x:c r="Q1902" s="18" t="n">
        <x:v>625</x:v>
      </x:c>
      <x:c r="R1902" s="18" t="n">
        <x:v>0</x:v>
      </x:c>
      <x:c r="S1902" s="18" t="n">
        <x:v>629.8005325160185</x:v>
      </x:c>
      <x:c r="T1902" s="18" t="n">
        <x:v>684</x:v>
      </x:c>
      <x:c r="U1902" s="18" t="n">
        <x:v>639.8005325160185</x:v>
      </x:c>
      <x:c r="V1902" s="20" t="n">
        <x:v>12</x:v>
      </x:c>
      <x:c r="W1902" s="20" t="n">
        <x:v>5</x:v>
      </x:c>
      <x:c r="X1902" s="20" t="n">
        <x:v>3</x:v>
      </x:c>
      <x:c r="Y1902" t="str">
        <x:v>Basis arsip 2025/2024</x:v>
      </x:c>
      <x:c r="Z1902" t="str">
        <x:v>https://snpmb.id/utbk-snbt/daya-tampung-snbt</x:v>
      </x:c>
      <x:c r="AA1902" t="str">
        <x:v>Tidak Ada</x:v>
      </x:c>
      <x:c r="AB1902" t="str">
        <x:v>Campus=80; Ratio=58.8; Prodi=45; RelDemand=21.4; Capacity=80.0</x:v>
      </x:c>
    </x:row>
    <x:row r="1903">
      <x:c r="A1903" t="n">
        <x:v>1900</x:v>
      </x:c>
      <x:c r="B1903" t="str">
        <x:v>PTN Akademik</x:v>
      </x:c>
      <x:c r="C1903" t="str">
        <x:v>UNIVERSITAS NEGERI YOGYAKARTA</x:v>
      </x:c>
      <x:c r="D1903" t="str">
        <x:v>PENDIDIKAN TEKNIK ELEKTRO</x:v>
      </x:c>
      <x:c r="E1903" t="str">
        <x:v>Sarjana</x:v>
      </x:c>
      <x:c r="F1903" s="18" t="n">
        <x:v>24</x:v>
      </x:c>
      <x:c r="G1903" s="18" t="n">
        <x:v>136</x:v>
      </x:c>
      <x:c r="H1903" s="19" t="n">
        <x:v>5.666666666666667</x:v>
      </x:c>
      <x:c r="I1903" s="18" t="n">
        <x:f>ROUND(MIN(Model_Config_v3!$B$6,MAX(Q1903,R1903,S1903*Model_Config_v3!$B$4+T1903*Model_Config_v3!$B$5)),0)</x:f>
        <x:v>653</x:v>
      </x:c>
      <x:c r="J1903" s="18" t="n">
        <x:f>MIN(Model_Config_v3!$B$6,I1903+Model_Config_v3!$B$7)</x:f>
        <x:v>673</x:v>
      </x:c>
      <x:c r="K1903" s="20" t="n">
        <x:v>57.3</x:v>
      </x:c>
      <x:c r="L1903" t="str">
        <x:v>KETAT</x:v>
      </x:c>
      <x:c r="M1903" t="str">
        <x:v>SEDANG+</x:v>
      </x:c>
      <x:c r="N1903" t="str">
        <x:v>ELITE-3</x:v>
      </x:c>
      <x:c r="O1903" t="str">
        <x:v>SAINTEK</x:v>
      </x:c>
      <x:c r="P1903" t="str">
        <x:v>PENDIDIKAN</x:v>
      </x:c>
      <x:c r="Q1903" s="18" t="n">
        <x:v>625</x:v>
      </x:c>
      <x:c r="R1903" s="18" t="n">
        <x:v>0</x:v>
      </x:c>
      <x:c r="S1903" s="18" t="n">
        <x:v>602.8660433324472</x:v>
      </x:c>
      <x:c r="T1903" s="18" t="n">
        <x:v>675</x:v>
      </x:c>
      <x:c r="U1903" s="18" t="n">
        <x:v>625</x:v>
      </x:c>
      <x:c r="V1903" s="20" t="n">
        <x:v>12</x:v>
      </x:c>
      <x:c r="W1903" s="20" t="n">
        <x:v>5</x:v>
      </x:c>
      <x:c r="X1903" s="20" t="n">
        <x:v>3</x:v>
      </x:c>
      <x:c r="Y1903" t="str">
        <x:v>Basis arsip 2025/2024</x:v>
      </x:c>
      <x:c r="Z1903" t="str">
        <x:v>https://snpmb.id/utbk-snbt/daya-tampung-snbt</x:v>
      </x:c>
      <x:c r="AA1903" t="str">
        <x:v>Tidak Ada</x:v>
      </x:c>
      <x:c r="AB1903" t="str">
        <x:v>Campus=80; Ratio=44.3; Prodi=45; RelDemand=12.2; Capacity=80.0</x:v>
      </x:c>
    </x:row>
    <x:row r="1904">
      <x:c r="A1904" t="n">
        <x:v>1901</x:v>
      </x:c>
      <x:c r="B1904" t="str">
        <x:v>PTN Akademik</x:v>
      </x:c>
      <x:c r="C1904" t="str">
        <x:v>UNIVERSITAS NEGERI YOGYAKARTA</x:v>
      </x:c>
      <x:c r="D1904" t="str">
        <x:v>PENDIDIKAN TEKNIK SIPIL &amp; PERENCANAAN</x:v>
      </x:c>
      <x:c r="E1904" t="str">
        <x:v>Sarjana</x:v>
      </x:c>
      <x:c r="F1904" s="18" t="n">
        <x:v>24</x:v>
      </x:c>
      <x:c r="G1904" s="18" t="n">
        <x:v>248</x:v>
      </x:c>
      <x:c r="H1904" s="19" t="n">
        <x:v>10.333333333333334</x:v>
      </x:c>
      <x:c r="I1904" s="18" t="n">
        <x:f>ROUND(MIN(Model_Config_v3!$B$6,MAX(Q1904,R1904,S1904*Model_Config_v3!$B$4+T1904*Model_Config_v3!$B$5)),0)</x:f>
        <x:v>668</x:v>
      </x:c>
      <x:c r="J1904" s="18" t="n">
        <x:f>MIN(Model_Config_v3!$B$6,I1904+Model_Config_v3!$B$7)</x:f>
        <x:v>688</x:v>
      </x:c>
      <x:c r="K1904" s="20" t="n">
        <x:v>62.1</x:v>
      </x:c>
      <x:c r="L1904" t="str">
        <x:v>KETAT</x:v>
      </x:c>
      <x:c r="M1904" t="str">
        <x:v>SEDANG+</x:v>
      </x:c>
      <x:c r="N1904" t="str">
        <x:v>ELITE-3</x:v>
      </x:c>
      <x:c r="O1904" t="str">
        <x:v>SAINTEK</x:v>
      </x:c>
      <x:c r="P1904" t="str">
        <x:v>PENDIDIKAN</x:v>
      </x:c>
      <x:c r="Q1904" s="18" t="n">
        <x:v>625</x:v>
      </x:c>
      <x:c r="R1904" s="18" t="n">
        <x:v>0</x:v>
      </x:c>
      <x:c r="S1904" s="18" t="n">
        <x:v>631.5664483026071</x:v>
      </x:c>
      <x:c r="T1904" s="18" t="n">
        <x:v>684</x:v>
      </x:c>
      <x:c r="U1904" s="18" t="n">
        <x:v>641.5664483026071</x:v>
      </x:c>
      <x:c r="V1904" s="20" t="n">
        <x:v>12</x:v>
      </x:c>
      <x:c r="W1904" s="20" t="n">
        <x:v>5</x:v>
      </x:c>
      <x:c r="X1904" s="20" t="n">
        <x:v>3</x:v>
      </x:c>
      <x:c r="Y1904" t="str">
        <x:v>Basis arsip 2025/2024</x:v>
      </x:c>
      <x:c r="Z1904" t="str">
        <x:v>https://snpmb.id/utbk-snbt/daya-tampung-snbt</x:v>
      </x:c>
      <x:c r="AA1904" t="str">
        <x:v>Tidak Ada</x:v>
      </x:c>
      <x:c r="AB1904" t="str">
        <x:v>Campus=80; Ratio=59.7; Prodi=45; RelDemand=22.2; Capacity=80.0</x:v>
      </x:c>
    </x:row>
    <x:row r="1905">
      <x:c r="A1905" t="n">
        <x:v>1902</x:v>
      </x:c>
      <x:c r="B1905" t="str">
        <x:v>PTN Akademik</x:v>
      </x:c>
      <x:c r="C1905" t="str">
        <x:v>UNIVERSITAS NEGERI YOGYAKARTA</x:v>
      </x:c>
      <x:c r="D1905" t="str">
        <x:v>MATEMATIKA</x:v>
      </x:c>
      <x:c r="E1905" t="str">
        <x:v>Sarjana</x:v>
      </x:c>
      <x:c r="F1905" s="18" t="n">
        <x:v>24</x:v>
      </x:c>
      <x:c r="G1905" s="18" t="n">
        <x:v>188</x:v>
      </x:c>
      <x:c r="H1905" s="19" t="n">
        <x:v>7.833333333333333</x:v>
      </x:c>
      <x:c r="I1905" s="18" t="n">
        <x:f>ROUND(MIN(Model_Config_v3!$B$6,MAX(Q1905,R1905,S1905*Model_Config_v3!$B$4+T1905*Model_Config_v3!$B$5)),0)</x:f>
        <x:v>663</x:v>
      </x:c>
      <x:c r="J1905" s="18" t="n">
        <x:f>MIN(Model_Config_v3!$B$6,I1905+Model_Config_v3!$B$7)</x:f>
        <x:v>683</x:v>
      </x:c>
      <x:c r="K1905" s="20" t="n">
        <x:v>60.8</x:v>
      </x:c>
      <x:c r="L1905" t="str">
        <x:v>KETAT</x:v>
      </x:c>
      <x:c r="M1905" t="str">
        <x:v>SEDANG+</x:v>
      </x:c>
      <x:c r="N1905" t="str">
        <x:v>ELITE-3</x:v>
      </x:c>
      <x:c r="O1905" t="str">
        <x:v>SAINTEK</x:v>
      </x:c>
      <x:c r="P1905" t="str">
        <x:v>SAINS DASAR</x:v>
      </x:c>
      <x:c r="Q1905" s="18" t="n">
        <x:v>625</x:v>
      </x:c>
      <x:c r="R1905" s="18" t="n">
        <x:v>0</x:v>
      </x:c>
      <x:c r="S1905" s="18" t="n">
        <x:v>618.3341268307281</x:v>
      </x:c>
      <x:c r="T1905" s="18" t="n">
        <x:v>682</x:v>
      </x:c>
      <x:c r="U1905" s="18" t="n">
        <x:v>625</x:v>
      </x:c>
      <x:c r="V1905" s="20" t="n">
        <x:v>12</x:v>
      </x:c>
      <x:c r="W1905" s="20" t="n">
        <x:v>5</x:v>
      </x:c>
      <x:c r="X1905" s="20" t="n">
        <x:v>3</x:v>
      </x:c>
      <x:c r="Y1905" t="str">
        <x:v>Basis arsip 2025/2024</x:v>
      </x:c>
      <x:c r="Z1905" t="str">
        <x:v>https://snpmb.id/utbk-snbt/daya-tampung-snbt</x:v>
      </x:c>
      <x:c r="AA1905" t="str">
        <x:v>Tidak Ada</x:v>
      </x:c>
      <x:c r="AB1905" t="str">
        <x:v>Campus=80; Ratio=52.6; Prodi=50; RelDemand=16.9; Capacity=80.0</x:v>
      </x:c>
    </x:row>
    <x:row r="1906">
      <x:c r="A1906" t="n">
        <x:v>1903</x:v>
      </x:c>
      <x:c r="B1906" t="str">
        <x:v>PTN Akademik</x:v>
      </x:c>
      <x:c r="C1906" t="str">
        <x:v>UNIVERSITAS NEGERI YOGYAKARTA</x:v>
      </x:c>
      <x:c r="D1906" t="str">
        <x:v>FISIKA</x:v>
      </x:c>
      <x:c r="E1906" t="str">
        <x:v>Sarjana</x:v>
      </x:c>
      <x:c r="F1906" s="18" t="n">
        <x:v>28</x:v>
      </x:c>
      <x:c r="G1906" s="18" t="n">
        <x:v>84</x:v>
      </x:c>
      <x:c r="H1906" s="19" t="n">
        <x:v>3</x:v>
      </x:c>
      <x:c r="I1906" s="18" t="n">
        <x:f>ROUND(MIN(Model_Config_v3!$B$6,MAX(Q1906,R1906,S1906*Model_Config_v3!$B$4+T1906*Model_Config_v3!$B$5)),0)</x:f>
        <x:v>639</x:v>
      </x:c>
      <x:c r="J1906" s="18" t="n">
        <x:f>MIN(Model_Config_v3!$B$6,I1906+Model_Config_v3!$B$7)</x:f>
        <x:v>659</x:v>
      </x:c>
      <x:c r="K1906" s="20" t="n">
        <x:v>53.3</x:v>
      </x:c>
      <x:c r="L1906" t="str">
        <x:v>MENENGAH</x:v>
      </x:c>
      <x:c r="M1906" t="str">
        <x:v>SEDANG+</x:v>
      </x:c>
      <x:c r="N1906" t="str">
        <x:v>ELITE-3</x:v>
      </x:c>
      <x:c r="O1906" t="str">
        <x:v>SAINTEK</x:v>
      </x:c>
      <x:c r="P1906" t="str">
        <x:v>SAINS DASAR</x:v>
      </x:c>
      <x:c r="Q1906" s="18" t="n">
        <x:v>625</x:v>
      </x:c>
      <x:c r="R1906" s="18" t="n">
        <x:v>0</x:v>
      </x:c>
      <x:c r="S1906" s="18" t="n">
        <x:v>572.4833380191628</x:v>
      </x:c>
      <x:c r="T1906" s="18" t="n">
        <x:v>667</x:v>
      </x:c>
      <x:c r="U1906" s="18" t="n">
        <x:v>625</x:v>
      </x:c>
      <x:c r="V1906" s="20" t="n">
        <x:v>12</x:v>
      </x:c>
      <x:c r="W1906" s="20" t="n">
        <x:v>5</x:v>
      </x:c>
      <x:c r="X1906" s="20" t="n">
        <x:v>3</x:v>
      </x:c>
      <x:c r="Y1906" t="str">
        <x:v>Basis arsip 2025/2024</x:v>
      </x:c>
      <x:c r="Z1906" t="str">
        <x:v>https://snpmb.id/utbk-snbt/daya-tampung-snbt</x:v>
      </x:c>
      <x:c r="AA1906" t="str">
        <x:v>Tidak Ada</x:v>
      </x:c>
      <x:c r="AB1906" t="str">
        <x:v>Campus=80; Ratio=28.1; Prodi=50; RelDemand=6.5; Capacity=76.7</x:v>
      </x:c>
    </x:row>
    <x:row r="1907">
      <x:c r="A1907" t="n">
        <x:v>1904</x:v>
      </x:c>
      <x:c r="B1907" t="str">
        <x:v>PTN Akademik</x:v>
      </x:c>
      <x:c r="C1907" t="str">
        <x:v>UNIVERSITAS NEGERI YOGYAKARTA</x:v>
      </x:c>
      <x:c r="D1907" t="str">
        <x:v>KIMIA</x:v>
      </x:c>
      <x:c r="E1907" t="str">
        <x:v>Sarjana</x:v>
      </x:c>
      <x:c r="F1907" s="18" t="n">
        <x:v>24</x:v>
      </x:c>
      <x:c r="G1907" s="18" t="n">
        <x:v>184</x:v>
      </x:c>
      <x:c r="H1907" s="19" t="n">
        <x:v>7.666666666666667</x:v>
      </x:c>
      <x:c r="I1907" s="18" t="n">
        <x:f>ROUND(MIN(Model_Config_v3!$B$6,MAX(Q1907,R1907,S1907*Model_Config_v3!$B$4+T1907*Model_Config_v3!$B$5)),0)</x:f>
        <x:v>662</x:v>
      </x:c>
      <x:c r="J1907" s="18" t="n">
        <x:f>MIN(Model_Config_v3!$B$6,I1907+Model_Config_v3!$B$7)</x:f>
        <x:v>682</x:v>
      </x:c>
      <x:c r="K1907" s="20" t="n">
        <x:v>60.7</x:v>
      </x:c>
      <x:c r="L1907" t="str">
        <x:v>KETAT</x:v>
      </x:c>
      <x:c r="M1907" t="str">
        <x:v>SEDANG+</x:v>
      </x:c>
      <x:c r="N1907" t="str">
        <x:v>ELITE-3</x:v>
      </x:c>
      <x:c r="O1907" t="str">
        <x:v>SAINTEK</x:v>
      </x:c>
      <x:c r="P1907" t="str">
        <x:v>SAINS DASAR</x:v>
      </x:c>
      <x:c r="Q1907" s="18" t="n">
        <x:v>625</x:v>
      </x:c>
      <x:c r="R1907" s="18" t="n">
        <x:v>0</x:v>
      </x:c>
      <x:c r="S1907" s="18" t="n">
        <x:v>617.3067239427724</x:v>
      </x:c>
      <x:c r="T1907" s="18" t="n">
        <x:v>681</x:v>
      </x:c>
      <x:c r="U1907" s="18" t="n">
        <x:v>625</x:v>
      </x:c>
      <x:c r="V1907" s="20" t="n">
        <x:v>12</x:v>
      </x:c>
      <x:c r="W1907" s="20" t="n">
        <x:v>5</x:v>
      </x:c>
      <x:c r="X1907" s="20" t="n">
        <x:v>3</x:v>
      </x:c>
      <x:c r="Y1907" t="str">
        <x:v>Basis arsip 2025/2024</x:v>
      </x:c>
      <x:c r="Z1907" t="str">
        <x:v>https://snpmb.id/utbk-snbt/daya-tampung-snbt</x:v>
      </x:c>
      <x:c r="AA1907" t="str">
        <x:v>Tidak Ada</x:v>
      </x:c>
      <x:c r="AB1907" t="str">
        <x:v>Campus=80; Ratio=52.1; Prodi=50; RelDemand=16.5; Capacity=80.0</x:v>
      </x:c>
    </x:row>
    <x:row r="1908">
      <x:c r="A1908" t="n">
        <x:v>1905</x:v>
      </x:c>
      <x:c r="B1908" t="str">
        <x:v>PTN Akademik</x:v>
      </x:c>
      <x:c r="C1908" t="str">
        <x:v>UNIVERSITAS NEGERI YOGYAKARTA</x:v>
      </x:c>
      <x:c r="D1908" t="str">
        <x:v>BIOLOGI</x:v>
      </x:c>
      <x:c r="E1908" t="str">
        <x:v>Sarjana</x:v>
      </x:c>
      <x:c r="F1908" s="18" t="n">
        <x:v>24</x:v>
      </x:c>
      <x:c r="G1908" s="18" t="n">
        <x:v>237</x:v>
      </x:c>
      <x:c r="H1908" s="19" t="n">
        <x:v>9.875</x:v>
      </x:c>
      <x:c r="I1908" s="18" t="n">
        <x:f>ROUND(MIN(Model_Config_v3!$B$6,MAX(Q1908,R1908,S1908*Model_Config_v3!$B$4+T1908*Model_Config_v3!$B$5)),0)</x:f>
        <x:v>669</x:v>
      </x:c>
      <x:c r="J1908" s="18" t="n">
        <x:f>MIN(Model_Config_v3!$B$6,I1908+Model_Config_v3!$B$7)</x:f>
        <x:v>689</x:v>
      </x:c>
      <x:c r="K1908" s="20" t="n">
        <x:v>62.8</x:v>
      </x:c>
      <x:c r="L1908" t="str">
        <x:v>KETAT</x:v>
      </x:c>
      <x:c r="M1908" t="str">
        <x:v>SEDANG+</x:v>
      </x:c>
      <x:c r="N1908" t="str">
        <x:v>ELITE-3</x:v>
      </x:c>
      <x:c r="O1908" t="str">
        <x:v>SAINTEK</x:v>
      </x:c>
      <x:c r="P1908" t="str">
        <x:v>SAINS DASAR</x:v>
      </x:c>
      <x:c r="Q1908" s="18" t="n">
        <x:v>625</x:v>
      </x:c>
      <x:c r="R1908" s="18" t="n">
        <x:v>0</x:v>
      </x:c>
      <x:c r="S1908" s="18" t="n">
        <x:v>629.3990814728347</x:v>
      </x:c>
      <x:c r="T1908" s="18" t="n">
        <x:v>686</x:v>
      </x:c>
      <x:c r="U1908" s="18" t="n">
        <x:v>629.3990814728347</x:v>
      </x:c>
      <x:c r="V1908" s="20" t="n">
        <x:v>12</x:v>
      </x:c>
      <x:c r="W1908" s="20" t="n">
        <x:v>5</x:v>
      </x:c>
      <x:c r="X1908" s="20" t="n">
        <x:v>3</x:v>
      </x:c>
      <x:c r="Y1908" t="str">
        <x:v>Basis arsip 2025/2024</x:v>
      </x:c>
      <x:c r="Z1908" t="str">
        <x:v>https://snpmb.id/utbk-snbt/daya-tampung-snbt</x:v>
      </x:c>
      <x:c r="AA1908" t="str">
        <x:v>Tidak Ada</x:v>
      </x:c>
      <x:c r="AB1908" t="str">
        <x:v>Campus=80; Ratio=58.5; Prodi=50; RelDemand=21.2; Capacity=80.0</x:v>
      </x:c>
    </x:row>
    <x:row r="1909">
      <x:c r="A1909" t="n">
        <x:v>1906</x:v>
      </x:c>
      <x:c r="B1909" t="str">
        <x:v>PTN Akademik</x:v>
      </x:c>
      <x:c r="C1909" t="str">
        <x:v>UNIVERSITAS NEGERI YOGYAKARTA</x:v>
      </x:c>
      <x:c r="D1909" t="str">
        <x:v>PENDIDIKAN TEKNIK MEKATRONIKA</x:v>
      </x:c>
      <x:c r="E1909" t="str">
        <x:v>Sarjana</x:v>
      </x:c>
      <x:c r="F1909" s="18" t="n">
        <x:v>24</x:v>
      </x:c>
      <x:c r="G1909" s="18" t="n">
        <x:v>107</x:v>
      </x:c>
      <x:c r="H1909" s="19" t="n">
        <x:v>4.458333333333333</x:v>
      </x:c>
      <x:c r="I1909" s="18" t="n">
        <x:f>ROUND(MIN(Model_Config_v3!$B$6,MAX(Q1909,R1909,S1909*Model_Config_v3!$B$4+T1909*Model_Config_v3!$B$5)),0)</x:f>
        <x:v>647</x:v>
      </x:c>
      <x:c r="J1909" s="18" t="n">
        <x:f>MIN(Model_Config_v3!$B$6,I1909+Model_Config_v3!$B$7)</x:f>
        <x:v>667</x:v>
      </x:c>
      <x:c r="K1909" s="20" t="n">
        <x:v>55.5</x:v>
      </x:c>
      <x:c r="L1909" t="str">
        <x:v>KETAT</x:v>
      </x:c>
      <x:c r="M1909" t="str">
        <x:v>SEDANG+</x:v>
      </x:c>
      <x:c r="N1909" t="str">
        <x:v>ELITE-3</x:v>
      </x:c>
      <x:c r="O1909" t="str">
        <x:v>SAINTEK</x:v>
      </x:c>
      <x:c r="P1909" t="str">
        <x:v>PENDIDIKAN</x:v>
      </x:c>
      <x:c r="Q1909" s="18" t="n">
        <x:v>625</x:v>
      </x:c>
      <x:c r="R1909" s="18" t="n">
        <x:v>0</x:v>
      </x:c>
      <x:c r="S1909" s="18" t="n">
        <x:v>591.4089789570963</x:v>
      </x:c>
      <x:c r="T1909" s="18" t="n">
        <x:v>671</x:v>
      </x:c>
      <x:c r="U1909" s="18" t="n">
        <x:v>625</x:v>
      </x:c>
      <x:c r="V1909" s="20" t="n">
        <x:v>12</x:v>
      </x:c>
      <x:c r="W1909" s="20" t="n">
        <x:v>5</x:v>
      </x:c>
      <x:c r="X1909" s="20" t="n">
        <x:v>3</x:v>
      </x:c>
      <x:c r="Y1909" t="str">
        <x:v>Basis arsip 2025/2024</x:v>
      </x:c>
      <x:c r="Z1909" t="str">
        <x:v>https://snpmb.id/utbk-snbt/daya-tampung-snbt</x:v>
      </x:c>
      <x:c r="AA1909" t="str">
        <x:v>Tidak Ada</x:v>
      </x:c>
      <x:c r="AB1909" t="str">
        <x:v>Campus=80; Ratio=38.2; Prodi=45; RelDemand=9.6; Capacity=80.0</x:v>
      </x:c>
    </x:row>
    <x:row r="1910">
      <x:c r="A1910" t="n">
        <x:v>1907</x:v>
      </x:c>
      <x:c r="B1910" t="str">
        <x:v>PTN Akademik</x:v>
      </x:c>
      <x:c r="C1910" t="str">
        <x:v>UNIVERSITAS NEGERI YOGYAKARTA</x:v>
      </x:c>
      <x:c r="D1910" t="str">
        <x:v>PENDIDIKAN TEKNIK INFORMATIKA</x:v>
      </x:c>
      <x:c r="E1910" t="str">
        <x:v>Sarjana</x:v>
      </x:c>
      <x:c r="F1910" s="18" t="n">
        <x:v>21</x:v>
      </x:c>
      <x:c r="G1910" s="18" t="n">
        <x:v>867</x:v>
      </x:c>
      <x:c r="H1910" s="19" t="n">
        <x:v>41.285714285714285</x:v>
      </x:c>
      <x:c r="I1910" s="18" t="n">
        <x:f>ROUND(MIN(Model_Config_v3!$B$6,MAX(Q1910,R1910,S1910*Model_Config_v3!$B$4+T1910*Model_Config_v3!$B$5)),0)</x:f>
        <x:v>722</x:v>
      </x:c>
      <x:c r="J1910" s="18" t="n">
        <x:f>MIN(Model_Config_v3!$B$6,I1910+Model_Config_v3!$B$7)</x:f>
        <x:v>742</x:v>
      </x:c>
      <x:c r="K1910" s="20" t="n">
        <x:v>85.9</x:v>
      </x:c>
      <x:c r="L1910" t="str">
        <x:v>ULTRA ELITE</x:v>
      </x:c>
      <x:c r="M1910" t="str">
        <x:v>SEDANG+</x:v>
      </x:c>
      <x:c r="N1910" t="str">
        <x:v>ELITE-3</x:v>
      </x:c>
      <x:c r="O1910" t="str">
        <x:v>SAINTEK</x:v>
      </x:c>
      <x:c r="P1910" t="str">
        <x:v>KOMPUTER/INFORMATIKA</x:v>
      </x:c>
      <x:c r="Q1910" s="18" t="n">
        <x:v>625</x:v>
      </x:c>
      <x:c r="R1910" s="18" t="n">
        <x:v>675</x:v>
      </x:c>
      <x:c r="S1910" s="18" t="n">
        <x:v>697.737978301652</x:v>
      </x:c>
      <x:c r="T1910" s="18" t="n">
        <x:v>732</x:v>
      </x:c>
      <x:c r="U1910" s="18" t="n">
        <x:v>722.737978301652</x:v>
      </x:c>
      <x:c r="V1910" s="20" t="n">
        <x:v>12</x:v>
      </x:c>
      <x:c r="W1910" s="20" t="n">
        <x:v>5</x:v>
      </x:c>
      <x:c r="X1910" s="20" t="n">
        <x:v>3</x:v>
      </x:c>
      <x:c r="Y1910" t="str">
        <x:v>Basis arsip 2025/2024</x:v>
      </x:c>
      <x:c r="Z1910" t="str">
        <x:v>https://snpmb.id/utbk-snbt/daya-tampung-snbt</x:v>
      </x:c>
      <x:c r="AA1910" t="str">
        <x:v>Tidak Ada</x:v>
      </x:c>
      <x:c r="AB1910" t="str">
        <x:v>Campus=80; Ratio=95.1; Prodi=85; RelDemand=88.8; Capacity=82.5</x:v>
      </x:c>
    </x:row>
    <x:row r="1911">
      <x:c r="A1911" t="n">
        <x:v>1908</x:v>
      </x:c>
      <x:c r="B1911" t="str">
        <x:v>PTN Akademik</x:v>
      </x:c>
      <x:c r="C1911" t="str">
        <x:v>UNIVERSITAS NEGERI YOGYAKARTA</x:v>
      </x:c>
      <x:c r="D1911" t="str">
        <x:v>PENDIDIKAN IPA</x:v>
      </x:c>
      <x:c r="E1911" t="str">
        <x:v>Sarjana</x:v>
      </x:c>
      <x:c r="F1911" s="18" t="n">
        <x:v>36</x:v>
      </x:c>
      <x:c r="G1911" s="18" t="n">
        <x:v>291</x:v>
      </x:c>
      <x:c r="H1911" s="19" t="n">
        <x:v>8.083333333333334</x:v>
      </x:c>
      <x:c r="I1911" s="18" t="n">
        <x:f>ROUND(MIN(Model_Config_v3!$B$6,MAX(Q1911,R1911,S1911*Model_Config_v3!$B$4+T1911*Model_Config_v3!$B$5)),0)</x:f>
        <x:v>661</x:v>
      </x:c>
      <x:c r="J1911" s="18" t="n">
        <x:f>MIN(Model_Config_v3!$B$6,I1911+Model_Config_v3!$B$7)</x:f>
        <x:v>681</x:v>
      </x:c>
      <x:c r="K1911" s="20" t="n">
        <x:v>59.1</x:v>
      </x:c>
      <x:c r="L1911" t="str">
        <x:v>KETAT</x:v>
      </x:c>
      <x:c r="M1911" t="str">
        <x:v>SEDANG+</x:v>
      </x:c>
      <x:c r="N1911" t="str">
        <x:v>ELITE-3</x:v>
      </x:c>
      <x:c r="O1911" t="str">
        <x:v>CAMPURAN</x:v>
      </x:c>
      <x:c r="P1911" t="str">
        <x:v>PENDIDIKAN</x:v>
      </x:c>
      <x:c r="Q1911" s="18" t="n">
        <x:v>625</x:v>
      </x:c>
      <x:c r="R1911" s="18" t="n">
        <x:v>0</x:v>
      </x:c>
      <x:c r="S1911" s="18" t="n">
        <x:v>619.8349537040482</x:v>
      </x:c>
      <x:c r="T1911" s="18" t="n">
        <x:v>678</x:v>
      </x:c>
      <x:c r="U1911" s="18" t="n">
        <x:v>625</x:v>
      </x:c>
      <x:c r="V1911" s="20" t="n">
        <x:v>8.8</x:v>
      </x:c>
      <x:c r="W1911" s="20" t="n">
        <x:v>9.9</x:v>
      </x:c>
      <x:c r="X1911" s="20" t="n">
        <x:v>3.3</x:v>
      </x:c>
      <x:c r="Y1911" t="str">
        <x:v>Basis arsip 2025/2024</x:v>
      </x:c>
      <x:c r="Z1911" t="str">
        <x:v>https://snpmb.id/utbk-snbt/daya-tampung-snbt</x:v>
      </x:c>
      <x:c r="AA1911" t="str">
        <x:v>Tidak Ada</x:v>
      </x:c>
      <x:c r="AB1911" t="str">
        <x:v>Campus=80; Ratio=53.4; Prodi=45; RelDemand=17.4; Capacity=70.0</x:v>
      </x:c>
    </x:row>
    <x:row r="1912">
      <x:c r="A1912" t="n">
        <x:v>1909</x:v>
      </x:c>
      <x:c r="B1912" t="str">
        <x:v>PTN Akademik</x:v>
      </x:c>
      <x:c r="C1912" t="str">
        <x:v>UNIVERSITAS NEGERI YOGYAKARTA</x:v>
      </x:c>
      <x:c r="D1912" t="str">
        <x:v>ILMU KEOLAHRAGAAN</x:v>
      </x:c>
      <x:c r="E1912" t="str">
        <x:v>Sarjana</x:v>
      </x:c>
      <x:c r="F1912" s="18" t="n">
        <x:v>36</x:v>
      </x:c>
      <x:c r="G1912" s="18" t="n">
        <x:v>301</x:v>
      </x:c>
      <x:c r="H1912" s="19" t="n">
        <x:v>8.36111111111111</x:v>
      </x:c>
      <x:c r="I1912" s="18" t="n">
        <x:f>ROUND(MIN(Model_Config_v3!$B$6,MAX(Q1912,R1912,S1912*Model_Config_v3!$B$4+T1912*Model_Config_v3!$B$5)),0)</x:f>
        <x:v>662</x:v>
      </x:c>
      <x:c r="J1912" s="18" t="n">
        <x:f>MIN(Model_Config_v3!$B$6,I1912+Model_Config_v3!$B$7)</x:f>
        <x:v>682</x:v>
      </x:c>
      <x:c r="K1912" s="20" t="n">
        <x:v>59.4</x:v>
      </x:c>
      <x:c r="L1912" t="str">
        <x:v>KETAT</x:v>
      </x:c>
      <x:c r="M1912" t="str">
        <x:v>PORTOFOLIO</x:v>
      </x:c>
      <x:c r="N1912" t="str">
        <x:v>ELITE-3</x:v>
      </x:c>
      <x:c r="O1912" t="str">
        <x:v>SENI/OLAHRAGA</x:v>
      </x:c>
      <x:c r="P1912" t="str">
        <x:v>SENI/OLAHRAGA</x:v>
      </x:c>
      <x:c r="Q1912" s="18" t="n">
        <x:v>625</x:v>
      </x:c>
      <x:c r="R1912" s="18" t="n">
        <x:v>0</x:v>
      </x:c>
      <x:c r="S1912" s="18" t="n">
        <x:v>621.4490394309212</x:v>
      </x:c>
      <x:c r="T1912" s="18" t="n">
        <x:v>679</x:v>
      </x:c>
      <x:c r="U1912" s="18" t="n">
        <x:v>625</x:v>
      </x:c>
      <x:c r="V1912" s="20" t="n">
        <x:v>4.4</x:v>
      </x:c>
      <x:c r="W1912" s="20" t="n">
        <x:v>9.9</x:v>
      </x:c>
      <x:c r="X1912" s="20" t="n">
        <x:v>7.7</x:v>
      </x:c>
      <x:c r="Y1912" t="str">
        <x:v>Basis arsip 2025/2024</x:v>
      </x:c>
      <x:c r="Z1912" t="str">
        <x:v>https://snpmb.id/utbk-snbt/daya-tampung-snbt</x:v>
      </x:c>
      <x:c r="AA1912" t="str">
        <x:v>Olahraga</x:v>
      </x:c>
      <x:c r="AB1912" t="str">
        <x:v>Campus=80; Ratio=54.3; Prodi=45; RelDemand=18.0; Capacity=70.0</x:v>
      </x:c>
    </x:row>
    <x:row r="1913">
      <x:c r="A1913" t="n">
        <x:v>1910</x:v>
      </x:c>
      <x:c r="B1913" t="str">
        <x:v>PTN Akademik</x:v>
      </x:c>
      <x:c r="C1913" t="str">
        <x:v>UNIVERSITAS NEGERI YOGYAKARTA</x:v>
      </x:c>
      <x:c r="D1913" t="str">
        <x:v>STATISTIKA</x:v>
      </x:c>
      <x:c r="E1913" t="str">
        <x:v>Sarjana</x:v>
      </x:c>
      <x:c r="F1913" s="18" t="n">
        <x:v>24</x:v>
      </x:c>
      <x:c r="G1913" s="18" t="n">
        <x:v>283</x:v>
      </x:c>
      <x:c r="H1913" s="19" t="n">
        <x:v>11.791666666666666</x:v>
      </x:c>
      <x:c r="I1913" s="18" t="n">
        <x:f>ROUND(MIN(Model_Config_v3!$B$6,MAX(Q1913,R1913,S1913*Model_Config_v3!$B$4+T1913*Model_Config_v3!$B$5)),0)</x:f>
        <x:v>676</x:v>
      </x:c>
      <x:c r="J1913" s="18" t="n">
        <x:f>MIN(Model_Config_v3!$B$6,I1913+Model_Config_v3!$B$7)</x:f>
        <x:v>696</x:v>
      </x:c>
      <x:c r="K1913" s="20" t="n">
        <x:v>66.3</x:v>
      </x:c>
      <x:c r="L1913" t="str">
        <x:v>SANGAT KETAT</x:v>
      </x:c>
      <x:c r="M1913" t="str">
        <x:v>SEDANG+</x:v>
      </x:c>
      <x:c r="N1913" t="str">
        <x:v>ELITE-3</x:v>
      </x:c>
      <x:c r="O1913" t="str">
        <x:v>SAINTEK</x:v>
      </x:c>
      <x:c r="P1913" t="str">
        <x:v>TEKNIK/ARSITEKTUR/STATISTIKA/AKTUARIA</x:v>
      </x:c>
      <x:c r="Q1913" s="18" t="n">
        <x:v>625</x:v>
      </x:c>
      <x:c r="R1913" s="18" t="n">
        <x:v>0</x:v>
      </x:c>
      <x:c r="S1913" s="18" t="n">
        <x:v>637.8732713193953</x:v>
      </x:c>
      <x:c r="T1913" s="18" t="n">
        <x:v>693</x:v>
      </x:c>
      <x:c r="U1913" s="18" t="n">
        <x:v>647.8732713193953</x:v>
      </x:c>
      <x:c r="V1913" s="20" t="n">
        <x:v>12</x:v>
      </x:c>
      <x:c r="W1913" s="20" t="n">
        <x:v>5</x:v>
      </x:c>
      <x:c r="X1913" s="20" t="n">
        <x:v>3</x:v>
      </x:c>
      <x:c r="Y1913" t="str">
        <x:v>Basis arsip 2025/2024</x:v>
      </x:c>
      <x:c r="Z1913" t="str">
        <x:v>https://snpmb.id/utbk-snbt/daya-tampung-snbt</x:v>
      </x:c>
      <x:c r="AA1913" t="str">
        <x:v>Tidak Ada</x:v>
      </x:c>
      <x:c r="AB1913" t="str">
        <x:v>Campus=80; Ratio=63.1; Prodi=60; RelDemand=25.4; Capacity=80.0</x:v>
      </x:c>
    </x:row>
    <x:row r="1914">
      <x:c r="A1914" t="n">
        <x:v>1911</x:v>
      </x:c>
      <x:c r="B1914" t="str">
        <x:v>PTN Akademik</x:v>
      </x:c>
      <x:c r="C1914" t="str">
        <x:v>UNIVERSITAS NEGERI YOGYAKARTA</x:v>
      </x:c>
      <x:c r="D1914" t="str">
        <x:v>PENDIDIKAN JASMANI KESEHATAN DAN REKREASI</x:v>
      </x:c>
      <x:c r="E1914" t="str">
        <x:v>Sarjana</x:v>
      </x:c>
      <x:c r="F1914" s="18" t="n">
        <x:v>60</x:v>
      </x:c>
      <x:c r="G1914" s="18" t="n">
        <x:v>870</x:v>
      </x:c>
      <x:c r="H1914" s="19" t="n">
        <x:v>14.5</x:v>
      </x:c>
      <x:c r="I1914" s="18" t="n">
        <x:f>ROUND(MIN(Model_Config_v3!$B$6,MAX(Q1914,R1914,S1914*Model_Config_v3!$B$4+T1914*Model_Config_v3!$B$5)),0)</x:f>
        <x:v>673</x:v>
      </x:c>
      <x:c r="J1914" s="18" t="n">
        <x:f>MIN(Model_Config_v3!$B$6,I1914+Model_Config_v3!$B$7)</x:f>
        <x:v>693</x:v>
      </x:c>
      <x:c r="K1914" s="20" t="n">
        <x:v>62.2</x:v>
      </x:c>
      <x:c r="L1914" t="str">
        <x:v>KETAT</x:v>
      </x:c>
      <x:c r="M1914" t="str">
        <x:v>PORTOFOLIO</x:v>
      </x:c>
      <x:c r="N1914" t="str">
        <x:v>ELITE-3</x:v>
      </x:c>
      <x:c r="O1914" t="str">
        <x:v>SENI/OLAHRAGA</x:v>
      </x:c>
      <x:c r="P1914" t="str">
        <x:v>SENI/OLAHRAGA</x:v>
      </x:c>
      <x:c r="Q1914" s="18" t="n">
        <x:v>625</x:v>
      </x:c>
      <x:c r="R1914" s="18" t="n">
        <x:v>0</x:v>
      </x:c>
      <x:c r="S1914" s="18" t="n">
        <x:v>647.7504802458473</x:v>
      </x:c>
      <x:c r="T1914" s="18" t="n">
        <x:v>684</x:v>
      </x:c>
      <x:c r="U1914" s="18" t="n">
        <x:v>647.7504802458473</x:v>
      </x:c>
      <x:c r="V1914" s="20" t="n">
        <x:v>4.4</x:v>
      </x:c>
      <x:c r="W1914" s="20" t="n">
        <x:v>9.9</x:v>
      </x:c>
      <x:c r="X1914" s="20" t="n">
        <x:v>7.7</x:v>
      </x:c>
      <x:c r="Y1914" t="str">
        <x:v>Basis arsip 2025/2024</x:v>
      </x:c>
      <x:c r="Z1914" t="str">
        <x:v>https://snpmb.id/utbk-snbt/daya-tampung-snbt</x:v>
      </x:c>
      <x:c r="AA1914" t="str">
        <x:v>Olahraga</x:v>
      </x:c>
      <x:c r="AB1914" t="str">
        <x:v>Campus=80; Ratio=68.4; Prodi=45; RelDemand=31.2; Capacity=50.0</x:v>
      </x:c>
    </x:row>
    <x:row r="1915">
      <x:c r="A1915" t="n">
        <x:v>1912</x:v>
      </x:c>
      <x:c r="B1915" t="str">
        <x:v>PTN Akademik</x:v>
      </x:c>
      <x:c r="C1915" t="str">
        <x:v>UNIVERSITAS NEGERI YOGYAKARTA</x:v>
      </x:c>
      <x:c r="D1915" t="str">
        <x:v>PENDIDIKAN KEPELATIHAN OLAHRAGA</x:v>
      </x:c>
      <x:c r="E1915" t="str">
        <x:v>Sarjana</x:v>
      </x:c>
      <x:c r="F1915" s="18" t="n">
        <x:v>60</x:v>
      </x:c>
      <x:c r="G1915" s="18" t="n">
        <x:v>440</x:v>
      </x:c>
      <x:c r="H1915" s="19" t="n">
        <x:v>7.333333333333333</x:v>
      </x:c>
      <x:c r="I1915" s="18" t="n">
        <x:f>ROUND(MIN(Model_Config_v3!$B$6,MAX(Q1915,R1915,S1915*Model_Config_v3!$B$4+T1915*Model_Config_v3!$B$5)),0)</x:f>
        <x:v>656</x:v>
      </x:c>
      <x:c r="J1915" s="18" t="n">
        <x:f>MIN(Model_Config_v3!$B$6,I1915+Model_Config_v3!$B$7)</x:f>
        <x:v>676</x:v>
      </x:c>
      <x:c r="K1915" s="20" t="n">
        <x:v>56.3</x:v>
      </x:c>
      <x:c r="L1915" t="str">
        <x:v>KETAT</x:v>
      </x:c>
      <x:c r="M1915" t="str">
        <x:v>PORTOFOLIO</x:v>
      </x:c>
      <x:c r="N1915" t="str">
        <x:v>ELITE-3</x:v>
      </x:c>
      <x:c r="O1915" t="str">
        <x:v>SENI/OLAHRAGA</x:v>
      </x:c>
      <x:c r="P1915" t="str">
        <x:v>SENI/OLAHRAGA</x:v>
      </x:c>
      <x:c r="Q1915" s="18" t="n">
        <x:v>625</x:v>
      </x:c>
      <x:c r="R1915" s="18" t="n">
        <x:v>0</x:v>
      </x:c>
      <x:c r="S1915" s="18" t="n">
        <x:v>615.1831568712798</x:v>
      </x:c>
      <x:c r="T1915" s="18" t="n">
        <x:v>673</x:v>
      </x:c>
      <x:c r="U1915" s="18" t="n">
        <x:v>625</x:v>
      </x:c>
      <x:c r="V1915" s="20" t="n">
        <x:v>4.4</x:v>
      </x:c>
      <x:c r="W1915" s="20" t="n">
        <x:v>9.9</x:v>
      </x:c>
      <x:c r="X1915" s="20" t="n">
        <x:v>7.7</x:v>
      </x:c>
      <x:c r="Y1915" t="str">
        <x:v>Basis arsip 2025/2024</x:v>
      </x:c>
      <x:c r="Z1915" t="str">
        <x:v>https://snpmb.id/utbk-snbt/daya-tampung-snbt</x:v>
      </x:c>
      <x:c r="AA1915" t="str">
        <x:v>Olahraga</x:v>
      </x:c>
      <x:c r="AB1915" t="str">
        <x:v>Campus=80; Ratio=50.9; Prodi=45; RelDemand=15.8; Capacity=50.0</x:v>
      </x:c>
    </x:row>
    <x:row r="1916">
      <x:c r="A1916" t="n">
        <x:v>1913</x:v>
      </x:c>
      <x:c r="B1916" t="str">
        <x:v>PTN Akademik</x:v>
      </x:c>
      <x:c r="C1916" t="str">
        <x:v>UNIVERSITAS NEGERI YOGYAKARTA</x:v>
      </x:c>
      <x:c r="D1916" t="str">
        <x:v>PENDIDIKAN JASMANI SEKOLAH DASAR</x:v>
      </x:c>
      <x:c r="E1916" t="str">
        <x:v>Sarjana</x:v>
      </x:c>
      <x:c r="F1916" s="18" t="n">
        <x:v>36</x:v>
      </x:c>
      <x:c r="G1916" s="18" t="n">
        <x:v>240</x:v>
      </x:c>
      <x:c r="H1916" s="19" t="n">
        <x:v>6.666666666666667</x:v>
      </x:c>
      <x:c r="I1916" s="18" t="n">
        <x:f>ROUND(MIN(Model_Config_v3!$B$6,MAX(Q1916,R1916,S1916*Model_Config_v3!$B$4+T1916*Model_Config_v3!$B$5)),0)</x:f>
        <x:v>656</x:v>
      </x:c>
      <x:c r="J1916" s="18" t="n">
        <x:f>MIN(Model_Config_v3!$B$6,I1916+Model_Config_v3!$B$7)</x:f>
        <x:v>676</x:v>
      </x:c>
      <x:c r="K1916" s="20" t="n">
        <x:v>57.6</x:v>
      </x:c>
      <x:c r="L1916" t="str">
        <x:v>KETAT</x:v>
      </x:c>
      <x:c r="M1916" t="str">
        <x:v>PORTOFOLIO</x:v>
      </x:c>
      <x:c r="N1916" t="str">
        <x:v>ELITE-3</x:v>
      </x:c>
      <x:c r="O1916" t="str">
        <x:v>SENI/OLAHRAGA</x:v>
      </x:c>
      <x:c r="P1916" t="str">
        <x:v>SENI/OLAHRAGA</x:v>
      </x:c>
      <x:c r="Q1916" s="18" t="n">
        <x:v>625</x:v>
      </x:c>
      <x:c r="R1916" s="18" t="n">
        <x:v>0</x:v>
      </x:c>
      <x:c r="S1916" s="18" t="n">
        <x:v>610.629961503875</x:v>
      </x:c>
      <x:c r="T1916" s="18" t="n">
        <x:v>675</x:v>
      </x:c>
      <x:c r="U1916" s="18" t="n">
        <x:v>625</x:v>
      </x:c>
      <x:c r="V1916" s="20" t="n">
        <x:v>4.4</x:v>
      </x:c>
      <x:c r="W1916" s="20" t="n">
        <x:v>9.9</x:v>
      </x:c>
      <x:c r="X1916" s="20" t="n">
        <x:v>7.7</x:v>
      </x:c>
      <x:c r="Y1916" t="str">
        <x:v>Basis arsip 2025/2024</x:v>
      </x:c>
      <x:c r="Z1916" t="str">
        <x:v>https://snpmb.id/utbk-snbt/daya-tampung-snbt</x:v>
      </x:c>
      <x:c r="AA1916" t="str">
        <x:v>Olahraga</x:v>
      </x:c>
      <x:c r="AB1916" t="str">
        <x:v>Campus=80; Ratio=48.5; Prodi=45; RelDemand=14.3; Capacity=70.0</x:v>
      </x:c>
    </x:row>
    <x:row r="1917">
      <x:c r="A1917" t="n">
        <x:v>1914</x:v>
      </x:c>
      <x:c r="B1917" t="str">
        <x:v>PTN Akademik</x:v>
      </x:c>
      <x:c r="C1917" t="str">
        <x:v>UNIVERSITAS NEGERI YOGYAKARTA</x:v>
      </x:c>
      <x:c r="D1917" t="str">
        <x:v>TEKNIK ELEKTRO</x:v>
      </x:c>
      <x:c r="E1917" t="str">
        <x:v>Sarjana</x:v>
      </x:c>
      <x:c r="F1917" s="18" t="n">
        <x:v>24</x:v>
      </x:c>
      <x:c r="G1917" s="18" t="n">
        <x:v>610</x:v>
      </x:c>
      <x:c r="H1917" s="19" t="n">
        <x:v>25.416666666666668</x:v>
      </x:c>
      <x:c r="I1917" s="18" t="n">
        <x:f>ROUND(MIN(Model_Config_v3!$B$6,MAX(Q1917,R1917,S1917*Model_Config_v3!$B$4+T1917*Model_Config_v3!$B$5)),0)</x:f>
        <x:v>698</x:v>
      </x:c>
      <x:c r="J1917" s="18" t="n">
        <x:f>MIN(Model_Config_v3!$B$6,I1917+Model_Config_v3!$B$7)</x:f>
        <x:v>718</x:v>
      </x:c>
      <x:c r="K1917" s="20" t="n">
        <x:v>74.1</x:v>
      </x:c>
      <x:c r="L1917" t="str">
        <x:v>SANGAT KETAT</x:v>
      </x:c>
      <x:c r="M1917" t="str">
        <x:v>SEDANG+</x:v>
      </x:c>
      <x:c r="N1917" t="str">
        <x:v>ELITE-3</x:v>
      </x:c>
      <x:c r="O1917" t="str">
        <x:v>SAINTEK</x:v>
      </x:c>
      <x:c r="P1917" t="str">
        <x:v>TEKNIK/ARSITEKTUR/STATISTIKA/AKTUARIA</x:v>
      </x:c>
      <x:c r="Q1917" s="18" t="n">
        <x:v>625</x:v>
      </x:c>
      <x:c r="R1917" s="18" t="n">
        <x:v>0</x:v>
      </x:c>
      <x:c r="S1917" s="18" t="n">
        <x:v>674.5630452629077</x:v>
      </x:c>
      <x:c r="T1917" s="18" t="n">
        <x:v>708</x:v>
      </x:c>
      <x:c r="U1917" s="18" t="n">
        <x:v>684.5630452629077</x:v>
      </x:c>
      <x:c r="V1917" s="20" t="n">
        <x:v>12</x:v>
      </x:c>
      <x:c r="W1917" s="20" t="n">
        <x:v>5</x:v>
      </x:c>
      <x:c r="X1917" s="20" t="n">
        <x:v>3</x:v>
      </x:c>
      <x:c r="Y1917" t="str">
        <x:v>Basis arsip 2025/2024</x:v>
      </x:c>
      <x:c r="Z1917" t="str">
        <x:v>https://snpmb.id/utbk-snbt/daya-tampung-snbt</x:v>
      </x:c>
      <x:c r="AA1917" t="str">
        <x:v>Tidak Ada</x:v>
      </x:c>
      <x:c r="AB1917" t="str">
        <x:v>Campus=80; Ratio=82.7; Prodi=60; RelDemand=54.7; Capacity=80.0</x:v>
      </x:c>
    </x:row>
    <x:row r="1918">
      <x:c r="A1918" t="n">
        <x:v>1915</x:v>
      </x:c>
      <x:c r="B1918" t="str">
        <x:v>PTN Akademik</x:v>
      </x:c>
      <x:c r="C1918" t="str">
        <x:v>UNIVERSITAS NEGERI YOGYAKARTA</x:v>
      </x:c>
      <x:c r="D1918" t="str">
        <x:v>TEKNOLOGI INFORMASI</x:v>
      </x:c>
      <x:c r="E1918" t="str">
        <x:v>Sarjana</x:v>
      </x:c>
      <x:c r="F1918" s="18" t="n">
        <x:v>33</x:v>
      </x:c>
      <x:c r="G1918" s="18" t="n">
        <x:v>1233</x:v>
      </x:c>
      <x:c r="H1918" s="19" t="n">
        <x:v>37.36363636363637</x:v>
      </x:c>
      <x:c r="I1918" s="18" t="n">
        <x:f>ROUND(MIN(Model_Config_v3!$B$6,MAX(Q1918,R1918,S1918*Model_Config_v3!$B$4+T1918*Model_Config_v3!$B$5)),0)</x:f>
        <x:v>704</x:v>
      </x:c>
      <x:c r="J1918" s="18" t="n">
        <x:f>MIN(Model_Config_v3!$B$6,I1918+Model_Config_v3!$B$7)</x:f>
        <x:v>724</x:v>
      </x:c>
      <x:c r="K1918" s="20" t="n">
        <x:v>74.4</x:v>
      </x:c>
      <x:c r="L1918" t="str">
        <x:v>SANGAT KETAT</x:v>
      </x:c>
      <x:c r="M1918" t="str">
        <x:v>SEDANG+</x:v>
      </x:c>
      <x:c r="N1918" t="str">
        <x:v>ELITE-3</x:v>
      </x:c>
      <x:c r="O1918" t="str">
        <x:v>SAINTEK</x:v>
      </x:c>
      <x:c r="P1918" t="str">
        <x:v>UMUM</x:v>
      </x:c>
      <x:c r="Q1918" s="18" t="n">
        <x:v>625</x:v>
      </x:c>
      <x:c r="R1918" s="18" t="n">
        <x:v>0</x:v>
      </x:c>
      <x:c r="S1918" s="18" t="n">
        <x:v>692.9694050389628</x:v>
      </x:c>
      <x:c r="T1918" s="18" t="n">
        <x:v>709</x:v>
      </x:c>
      <x:c r="U1918" s="18" t="n">
        <x:v>692.9694050389628</x:v>
      </x:c>
      <x:c r="V1918" s="20" t="n">
        <x:v>12</x:v>
      </x:c>
      <x:c r="W1918" s="20" t="n">
        <x:v>5</x:v>
      </x:c>
      <x:c r="X1918" s="20" t="n">
        <x:v>3</x:v>
      </x:c>
      <x:c r="Y1918" t="str">
        <x:v>Basis arsip 2025/2024</x:v>
      </x:c>
      <x:c r="Z1918" t="str">
        <x:v>https://snpmb.id/utbk-snbt/daya-tampung-snbt</x:v>
      </x:c>
      <x:c r="AA1918" t="str">
        <x:v>Tidak Ada</x:v>
      </x:c>
      <x:c r="AB1918" t="str">
        <x:v>Campus=80; Ratio=92.6; Prodi=40; RelDemand=80.4; Capacity=72.5</x:v>
      </x:c>
    </x:row>
    <x:row r="1919">
      <x:c r="A1919" t="n">
        <x:v>1916</x:v>
      </x:c>
      <x:c r="B1919" t="str">
        <x:v>PTN Akademik</x:v>
      </x:c>
      <x:c r="C1919" t="str">
        <x:v>UNIVERSITAS NEGERI YOGYAKARTA</x:v>
      </x:c>
      <x:c r="D1919" t="str">
        <x:v>TEKNIK MANUFAKTUR</x:v>
      </x:c>
      <x:c r="E1919" t="str">
        <x:v>Sarjana</x:v>
      </x:c>
      <x:c r="F1919" s="18" t="n">
        <x:v>24</x:v>
      </x:c>
      <x:c r="G1919" s="18" t="n">
        <x:v>269</x:v>
      </x:c>
      <x:c r="H1919" s="19" t="n">
        <x:v>11.208333333333334</x:v>
      </x:c>
      <x:c r="I1919" s="18" t="n">
        <x:f>ROUND(MIN(Model_Config_v3!$B$6,MAX(Q1919,R1919,S1919*Model_Config_v3!$B$4+T1919*Model_Config_v3!$B$5)),0)</x:f>
        <x:v>675</x:v>
      </x:c>
      <x:c r="J1919" s="18" t="n">
        <x:f>MIN(Model_Config_v3!$B$6,I1919+Model_Config_v3!$B$7)</x:f>
        <x:v>695</x:v>
      </x:c>
      <x:c r="K1919" s="20" t="n">
        <x:v>65.9</x:v>
      </x:c>
      <x:c r="L1919" t="str">
        <x:v>SANGAT KETAT</x:v>
      </x:c>
      <x:c r="M1919" t="str">
        <x:v>SEDANG+</x:v>
      </x:c>
      <x:c r="N1919" t="str">
        <x:v>ELITE-3</x:v>
      </x:c>
      <x:c r="O1919" t="str">
        <x:v>SAINTEK</x:v>
      </x:c>
      <x:c r="P1919" t="str">
        <x:v>TEKNIK/ARSITEKTUR/STATISTIKA/AKTUARIA</x:v>
      </x:c>
      <x:c r="Q1919" s="18" t="n">
        <x:v>625</x:v>
      </x:c>
      <x:c r="R1919" s="18" t="n">
        <x:v>0</x:v>
      </x:c>
      <x:c r="S1919" s="18" t="n">
        <x:v>635.4495142119882</x:v>
      </x:c>
      <x:c r="T1919" s="18" t="n">
        <x:v>692</x:v>
      </x:c>
      <x:c r="U1919" s="18" t="n">
        <x:v>645.4495142119882</x:v>
      </x:c>
      <x:c r="V1919" s="20" t="n">
        <x:v>12</x:v>
      </x:c>
      <x:c r="W1919" s="20" t="n">
        <x:v>5</x:v>
      </x:c>
      <x:c r="X1919" s="20" t="n">
        <x:v>3</x:v>
      </x:c>
      <x:c r="Y1919" t="str">
        <x:v>Basis arsip 2025/2024</x:v>
      </x:c>
      <x:c r="Z1919" t="str">
        <x:v>https://snpmb.id/utbk-snbt/daya-tampung-snbt</x:v>
      </x:c>
      <x:c r="AA1919" t="str">
        <x:v>Tidak Ada</x:v>
      </x:c>
      <x:c r="AB1919" t="str">
        <x:v>Campus=80; Ratio=61.8; Prodi=60; RelDemand=24.1; Capacity=80.0</x:v>
      </x:c>
    </x:row>
    <x:row r="1920">
      <x:c r="A1920" t="n">
        <x:v>1917</x:v>
      </x:c>
      <x:c r="B1920" t="str">
        <x:v>PTN Akademik</x:v>
      </x:c>
      <x:c r="C1920" t="str">
        <x:v>UNIVERSITAS NEGERI YOGYAKARTA</x:v>
      </x:c>
      <x:c r="D1920" t="str">
        <x:v>TEKNIK SIPIL</x:v>
      </x:c>
      <x:c r="E1920" t="str">
        <x:v>Sarjana</x:v>
      </x:c>
      <x:c r="F1920" s="18" t="n">
        <x:v>36</x:v>
      </x:c>
      <x:c r="G1920" s="18" t="n">
        <x:v>1062</x:v>
      </x:c>
      <x:c r="H1920" s="19" t="n">
        <x:v>29.5</x:v>
      </x:c>
      <x:c r="I1920" s="18" t="n">
        <x:f>ROUND(MIN(Model_Config_v3!$B$6,MAX(Q1920,R1920,S1920*Model_Config_v3!$B$4+T1920*Model_Config_v3!$B$5)),0)</x:f>
        <x:v>702</x:v>
      </x:c>
      <x:c r="J1920" s="18" t="n">
        <x:f>MIN(Model_Config_v3!$B$6,I1920+Model_Config_v3!$B$7)</x:f>
        <x:v>722</x:v>
      </x:c>
      <x:c r="K1920" s="20" t="n">
        <x:v>75</x:v>
      </x:c>
      <x:c r="L1920" t="str">
        <x:v>ELITE</x:v>
      </x:c>
      <x:c r="M1920" t="str">
        <x:v>SEDANG+</x:v>
      </x:c>
      <x:c r="N1920" t="str">
        <x:v>ELITE-3</x:v>
      </x:c>
      <x:c r="O1920" t="str">
        <x:v>SAINTEK</x:v>
      </x:c>
      <x:c r="P1920" t="str">
        <x:v>TEKNIK/ARSITEKTUR/STATISTIKA/AKTUARIA</x:v>
      </x:c>
      <x:c r="Q1920" s="18" t="n">
        <x:v>625</x:v>
      </x:c>
      <x:c r="R1920" s="18" t="n">
        <x:v>0</x:v>
      </x:c>
      <x:c r="S1920" s="18" t="n">
        <x:v>681.680421757598</x:v>
      </x:c>
      <x:c r="T1920" s="18" t="n">
        <x:v>710</x:v>
      </x:c>
      <x:c r="U1920" s="18" t="n">
        <x:v>691.680421757598</x:v>
      </x:c>
      <x:c r="V1920" s="20" t="n">
        <x:v>12</x:v>
      </x:c>
      <x:c r="W1920" s="20" t="n">
        <x:v>5</x:v>
      </x:c>
      <x:c r="X1920" s="20" t="n">
        <x:v>3</x:v>
      </x:c>
      <x:c r="Y1920" t="str">
        <x:v>Basis arsip 2025/2024</x:v>
      </x:c>
      <x:c r="Z1920" t="str">
        <x:v>https://snpmb.id/utbk-snbt/daya-tampung-snbt</x:v>
      </x:c>
      <x:c r="AA1920" t="str">
        <x:v>Tidak Ada</x:v>
      </x:c>
      <x:c r="AB1920" t="str">
        <x:v>Campus=80; Ratio=86.5; Prodi=60; RelDemand=63.5; Capacity=70.0</x:v>
      </x:c>
    </x:row>
    <x:row r="1921">
      <x:c r="A1921" t="n">
        <x:v>1918</x:v>
      </x:c>
      <x:c r="B1921" t="str">
        <x:v>PTN Akademik</x:v>
      </x:c>
      <x:c r="C1921" t="str">
        <x:v>UNIVERSITAS NEGERI YOGYAKARTA</x:v>
      </x:c>
      <x:c r="D1921" t="str">
        <x:v>MANAJEMEN PENDIDIKAN</x:v>
      </x:c>
      <x:c r="E1921" t="str">
        <x:v>Sarjana</x:v>
      </x:c>
      <x:c r="F1921" s="18" t="n">
        <x:v>24</x:v>
      </x:c>
      <x:c r="G1921" s="18" t="n">
        <x:v>411</x:v>
      </x:c>
      <x:c r="H1921" s="19" t="n">
        <x:v>17.125</x:v>
      </x:c>
      <x:c r="I1921" s="18" t="n">
        <x:f>ROUND(MIN(Model_Config_v3!$B$6,MAX(Q1921,R1921,S1921*Model_Config_v3!$B$4+T1921*Model_Config_v3!$B$5)),0)</x:f>
        <x:v>688</x:v>
      </x:c>
      <x:c r="J1921" s="18" t="n">
        <x:f>MIN(Model_Config_v3!$B$6,I1921+Model_Config_v3!$B$7)</x:f>
        <x:v>708</x:v>
      </x:c>
      <x:c r="K1921" s="20" t="n">
        <x:v>70.8</x:v>
      </x:c>
      <x:c r="L1921" t="str">
        <x:v>SANGAT KETAT</x:v>
      </x:c>
      <x:c r="M1921" t="str">
        <x:v>SEDANG+</x:v>
      </x:c>
      <x:c r="N1921" t="str">
        <x:v>ELITE-3</x:v>
      </x:c>
      <x:c r="O1921" t="str">
        <x:v>SOSHUM</x:v>
      </x:c>
      <x:c r="P1921" t="str">
        <x:v>BISNIS/EKONOMI/AKUNTANSI</x:v>
      </x:c>
      <x:c r="Q1921" s="18" t="n">
        <x:v>625</x:v>
      </x:c>
      <x:c r="R1921" s="18" t="n">
        <x:v>0</x:v>
      </x:c>
      <x:c r="S1921" s="18" t="n">
        <x:v>655.6993638180909</x:v>
      </x:c>
      <x:c r="T1921" s="18" t="n">
        <x:v>702</x:v>
      </x:c>
      <x:c r="U1921" s="18" t="n">
        <x:v>670.6993638180909</x:v>
      </x:c>
      <x:c r="V1921" s="20" t="n">
        <x:v>4.4</x:v>
      </x:c>
      <x:c r="W1921" s="20" t="n">
        <x:v>14.3</x:v>
      </x:c>
      <x:c r="X1921" s="20" t="n">
        <x:v>3.3</x:v>
      </x:c>
      <x:c r="Y1921" t="str">
        <x:v>Basis arsip 2025/2024</x:v>
      </x:c>
      <x:c r="Z1921" t="str">
        <x:v>https://snpmb.id/utbk-snbt/daya-tampung-snbt</x:v>
      </x:c>
      <x:c r="AA1921" t="str">
        <x:v>Tidak Ada</x:v>
      </x:c>
      <x:c r="AB1921" t="str">
        <x:v>Campus=80; Ratio=72.6; Prodi=65; RelDemand=36.8; Capacity=80.0</x:v>
      </x:c>
    </x:row>
    <x:row r="1922">
      <x:c r="A1922" t="n">
        <x:v>1919</x:v>
      </x:c>
      <x:c r="B1922" t="str">
        <x:v>PTN Akademik</x:v>
      </x:c>
      <x:c r="C1922" t="str">
        <x:v>UNIVERSITAS NEGERI YOGYAKARTA</x:v>
      </x:c>
      <x:c r="D1922" t="str">
        <x:v>BIMBINGAN &amp; KONSELING</x:v>
      </x:c>
      <x:c r="E1922" t="str">
        <x:v>Sarjana</x:v>
      </x:c>
      <x:c r="F1922" s="18" t="n">
        <x:v>36</x:v>
      </x:c>
      <x:c r="G1922" s="18" t="n">
        <x:v>934</x:v>
      </x:c>
      <x:c r="H1922" s="19" t="n">
        <x:v>25.944444444444443</x:v>
      </x:c>
      <x:c r="I1922" s="18" t="n">
        <x:f>ROUND(MIN(Model_Config_v3!$B$6,MAX(Q1922,R1922,S1922*Model_Config_v3!$B$4+T1922*Model_Config_v3!$B$5)),0)</x:f>
        <x:v>692</x:v>
      </x:c>
      <x:c r="J1922" s="18" t="n">
        <x:f>MIN(Model_Config_v3!$B$6,I1922+Model_Config_v3!$B$7)</x:f>
        <x:v>712</x:v>
      </x:c>
      <x:c r="K1922" s="20" t="n">
        <x:v>69.4</x:v>
      </x:c>
      <x:c r="L1922" t="str">
        <x:v>SANGAT KETAT</x:v>
      </x:c>
      <x:c r="M1922" t="str">
        <x:v>SEDANG+</x:v>
      </x:c>
      <x:c r="N1922" t="str">
        <x:v>ELITE-3</x:v>
      </x:c>
      <x:c r="O1922" t="str">
        <x:v>CAMPURAN</x:v>
      </x:c>
      <x:c r="P1922" t="str">
        <x:v>UMUM</x:v>
      </x:c>
      <x:c r="Q1922" s="18" t="n">
        <x:v>625</x:v>
      </x:c>
      <x:c r="R1922" s="18" t="n">
        <x:v>0</x:v>
      </x:c>
      <x:c r="S1922" s="18" t="n">
        <x:v>675.5448813009086</x:v>
      </x:c>
      <x:c r="T1922" s="18" t="n">
        <x:v>699</x:v>
      </x:c>
      <x:c r="U1922" s="18" t="n">
        <x:v>675.5448813009086</x:v>
      </x:c>
      <x:c r="V1922" s="20" t="n">
        <x:v>8.8</x:v>
      </x:c>
      <x:c r="W1922" s="20" t="n">
        <x:v>9.9</x:v>
      </x:c>
      <x:c r="X1922" s="20" t="n">
        <x:v>3.3</x:v>
      </x:c>
      <x:c r="Y1922" t="str">
        <x:v>Basis arsip 2025/2024</x:v>
      </x:c>
      <x:c r="Z1922" t="str">
        <x:v>https://snpmb.id/utbk-snbt/daya-tampung-snbt</x:v>
      </x:c>
      <x:c r="AA1922" t="str">
        <x:v>Tidak Ada</x:v>
      </x:c>
      <x:c r="AB1922" t="str">
        <x:v>Campus=80; Ratio=83.2; Prodi=40; RelDemand=55.8; Capacity=70.0</x:v>
      </x:c>
    </x:row>
    <x:row r="1923">
      <x:c r="A1923" t="n">
        <x:v>1920</x:v>
      </x:c>
      <x:c r="B1923" t="str">
        <x:v>PTN Akademik</x:v>
      </x:c>
      <x:c r="C1923" t="str">
        <x:v>UNIVERSITAS NEGERI YOGYAKARTA</x:v>
      </x:c>
      <x:c r="D1923" t="str">
        <x:v>TEKNOLOGI PENDIDIKAN</x:v>
      </x:c>
      <x:c r="E1923" t="str">
        <x:v>Sarjana</x:v>
      </x:c>
      <x:c r="F1923" s="18" t="n">
        <x:v>24</x:v>
      </x:c>
      <x:c r="G1923" s="18" t="n">
        <x:v>228</x:v>
      </x:c>
      <x:c r="H1923" s="19" t="n">
        <x:v>9.5</x:v>
      </x:c>
      <x:c r="I1923" s="18" t="n">
        <x:f>ROUND(MIN(Model_Config_v3!$B$6,MAX(Q1923,R1923,S1923*Model_Config_v3!$B$4+T1923*Model_Config_v3!$B$5)),0)</x:f>
        <x:v>665</x:v>
      </x:c>
      <x:c r="J1923" s="18" t="n">
        <x:f>MIN(Model_Config_v3!$B$6,I1923+Model_Config_v3!$B$7)</x:f>
        <x:v>685</x:v>
      </x:c>
      <x:c r="K1923" s="20" t="n">
        <x:v>60.4</x:v>
      </x:c>
      <x:c r="L1923" t="str">
        <x:v>KETAT</x:v>
      </x:c>
      <x:c r="M1923" t="str">
        <x:v>SEDANG+</x:v>
      </x:c>
      <x:c r="N1923" t="str">
        <x:v>ELITE-3</x:v>
      </x:c>
      <x:c r="O1923" t="str">
        <x:v>SAINTEK</x:v>
      </x:c>
      <x:c r="P1923" t="str">
        <x:v>UMUM</x:v>
      </x:c>
      <x:c r="Q1923" s="18" t="n">
        <x:v>625</x:v>
      </x:c>
      <x:c r="R1923" s="18" t="n">
        <x:v>0</x:v>
      </x:c>
      <x:c r="S1923" s="18" t="n">
        <x:v>627.5495965817732</x:v>
      </x:c>
      <x:c r="T1923" s="18" t="n">
        <x:v>681</x:v>
      </x:c>
      <x:c r="U1923" s="18" t="n">
        <x:v>627.5495965817732</x:v>
      </x:c>
      <x:c r="V1923" s="20" t="n">
        <x:v>12</x:v>
      </x:c>
      <x:c r="W1923" s="20" t="n">
        <x:v>5</x:v>
      </x:c>
      <x:c r="X1923" s="20" t="n">
        <x:v>3</x:v>
      </x:c>
      <x:c r="Y1923" t="str">
        <x:v>Basis arsip 2025/2024</x:v>
      </x:c>
      <x:c r="Z1923" t="str">
        <x:v>https://snpmb.id/utbk-snbt/daya-tampung-snbt</x:v>
      </x:c>
      <x:c r="AA1923" t="str">
        <x:v>Tidak Ada</x:v>
      </x:c>
      <x:c r="AB1923" t="str">
        <x:v>Campus=80; Ratio=57.5; Prodi=40; RelDemand=20.4; Capacity=80.0</x:v>
      </x:c>
    </x:row>
    <x:row r="1924">
      <x:c r="A1924" t="n">
        <x:v>1921</x:v>
      </x:c>
      <x:c r="B1924" t="str">
        <x:v>PTN Akademik</x:v>
      </x:c>
      <x:c r="C1924" t="str">
        <x:v>UNIVERSITAS NEGERI YOGYAKARTA</x:v>
      </x:c>
      <x:c r="D1924" t="str">
        <x:v>PENDIDIKAN LUAR BIASA</x:v>
      </x:c>
      <x:c r="E1924" t="str">
        <x:v>Sarjana</x:v>
      </x:c>
      <x:c r="F1924" s="18" t="n">
        <x:v>36</x:v>
      </x:c>
      <x:c r="G1924" s="18" t="n">
        <x:v>346</x:v>
      </x:c>
      <x:c r="H1924" s="19" t="n">
        <x:v>9.61111111111111</x:v>
      </x:c>
      <x:c r="I1924" s="18" t="n">
        <x:f>ROUND(MIN(Model_Config_v3!$B$6,MAX(Q1924,R1924,S1924*Model_Config_v3!$B$4+T1924*Model_Config_v3!$B$5)),0)</x:f>
        <x:v>665</x:v>
      </x:c>
      <x:c r="J1924" s="18" t="n">
        <x:f>MIN(Model_Config_v3!$B$6,I1924+Model_Config_v3!$B$7)</x:f>
        <x:v>685</x:v>
      </x:c>
      <x:c r="K1924" s="20" t="n">
        <x:v>60.5</x:v>
      </x:c>
      <x:c r="L1924" t="str">
        <x:v>KETAT</x:v>
      </x:c>
      <x:c r="M1924" t="str">
        <x:v>SEDANG+</x:v>
      </x:c>
      <x:c r="N1924" t="str">
        <x:v>ELITE-3</x:v>
      </x:c>
      <x:c r="O1924" t="str">
        <x:v>CAMPURAN</x:v>
      </x:c>
      <x:c r="P1924" t="str">
        <x:v>PENDIDIKAN</x:v>
      </x:c>
      <x:c r="Q1924" s="18" t="n">
        <x:v>625</x:v>
      </x:c>
      <x:c r="R1924" s="18" t="n">
        <x:v>0</x:v>
      </x:c>
      <x:c r="S1924" s="18" t="n">
        <x:v>628.1050957828038</x:v>
      </x:c>
      <x:c r="T1924" s="18" t="n">
        <x:v>681</x:v>
      </x:c>
      <x:c r="U1924" s="18" t="n">
        <x:v>628.1050957828038</x:v>
      </x:c>
      <x:c r="V1924" s="20" t="n">
        <x:v>8.8</x:v>
      </x:c>
      <x:c r="W1924" s="20" t="n">
        <x:v>9.9</x:v>
      </x:c>
      <x:c r="X1924" s="20" t="n">
        <x:v>3.3</x:v>
      </x:c>
      <x:c r="Y1924" t="str">
        <x:v>Basis arsip 2025/2024</x:v>
      </x:c>
      <x:c r="Z1924" t="str">
        <x:v>https://snpmb.id/utbk-snbt/daya-tampung-snbt</x:v>
      </x:c>
      <x:c r="AA1924" t="str">
        <x:v>Tidak Ada</x:v>
      </x:c>
      <x:c r="AB1924" t="str">
        <x:v>Campus=80; Ratio=57.8; Prodi=45; RelDemand=20.7; Capacity=70.0</x:v>
      </x:c>
    </x:row>
    <x:row r="1925">
      <x:c r="A1925" t="n">
        <x:v>1922</x:v>
      </x:c>
      <x:c r="B1925" t="str">
        <x:v>PTN Akademik</x:v>
      </x:c>
      <x:c r="C1925" t="str">
        <x:v>UNIVERSITAS NEGERI YOGYAKARTA</x:v>
      </x:c>
      <x:c r="D1925" t="str">
        <x:v>PENDIDIKAN LUAR SEKOLAH</x:v>
      </x:c>
      <x:c r="E1925" t="str">
        <x:v>Sarjana</x:v>
      </x:c>
      <x:c r="F1925" s="18" t="n">
        <x:v>24</x:v>
      </x:c>
      <x:c r="G1925" s="18" t="n">
        <x:v>158</x:v>
      </x:c>
      <x:c r="H1925" s="19" t="n">
        <x:v>6.583333333333333</x:v>
      </x:c>
      <x:c r="I1925" s="18" t="n">
        <x:f>ROUND(MIN(Model_Config_v3!$B$6,MAX(Q1925,R1925,S1925*Model_Config_v3!$B$4+T1925*Model_Config_v3!$B$5)),0)</x:f>
        <x:v>657</x:v>
      </x:c>
      <x:c r="J1925" s="18" t="n">
        <x:f>MIN(Model_Config_v3!$B$6,I1925+Model_Config_v3!$B$7)</x:f>
        <x:v>677</x:v>
      </x:c>
      <x:c r="K1925" s="20" t="n">
        <x:v>58.5</x:v>
      </x:c>
      <x:c r="L1925" t="str">
        <x:v>KETAT</x:v>
      </x:c>
      <x:c r="M1925" t="str">
        <x:v>SEDANG+</x:v>
      </x:c>
      <x:c r="N1925" t="str">
        <x:v>ELITE-3</x:v>
      </x:c>
      <x:c r="O1925" t="str">
        <x:v>CAMPURAN</x:v>
      </x:c>
      <x:c r="P1925" t="str">
        <x:v>PENDIDIKAN</x:v>
      </x:c>
      <x:c r="Q1925" s="18" t="n">
        <x:v>625</x:v>
      </x:c>
      <x:c r="R1925" s="18" t="n">
        <x:v>0</x:v>
      </x:c>
      <x:c r="S1925" s="18" t="n">
        <x:v>610.0290429767098</x:v>
      </x:c>
      <x:c r="T1925" s="18" t="n">
        <x:v>677</x:v>
      </x:c>
      <x:c r="U1925" s="18" t="n">
        <x:v>625</x:v>
      </x:c>
      <x:c r="V1925" s="20" t="n">
        <x:v>8.8</x:v>
      </x:c>
      <x:c r="W1925" s="20" t="n">
        <x:v>9.9</x:v>
      </x:c>
      <x:c r="X1925" s="20" t="n">
        <x:v>3.3</x:v>
      </x:c>
      <x:c r="Y1925" t="str">
        <x:v>Basis arsip 2025/2024</x:v>
      </x:c>
      <x:c r="Z1925" t="str">
        <x:v>https://snpmb.id/utbk-snbt/daya-tampung-snbt</x:v>
      </x:c>
      <x:c r="AA1925" t="str">
        <x:v>Tidak Ada</x:v>
      </x:c>
      <x:c r="AB1925" t="str">
        <x:v>Campus=80; Ratio=48.2; Prodi=45; RelDemand=14.2; Capacity=80.0</x:v>
      </x:c>
    </x:row>
    <x:row r="1926">
      <x:c r="A1926" t="n">
        <x:v>1923</x:v>
      </x:c>
      <x:c r="B1926" t="str">
        <x:v>PTN Akademik</x:v>
      </x:c>
      <x:c r="C1926" t="str">
        <x:v>UNIVERSITAS NEGERI YOGYAKARTA</x:v>
      </x:c>
      <x:c r="D1926" t="str">
        <x:v>PENDIDIKAN KRIYA</x:v>
      </x:c>
      <x:c r="E1926" t="str">
        <x:v>Sarjana</x:v>
      </x:c>
      <x:c r="F1926" s="18" t="n">
        <x:v>28</x:v>
      </x:c>
      <x:c r="G1926" s="18" t="n">
        <x:v>36</x:v>
      </x:c>
      <x:c r="H1926" s="19" t="n">
        <x:v>1.2857142857142858</x:v>
      </x:c>
      <x:c r="I1926" s="18" t="n">
        <x:f>ROUND(MIN(Model_Config_v3!$B$6,MAX(Q1926,R1926,S1926*Model_Config_v3!$B$4+T1926*Model_Config_v3!$B$5)),0)</x:f>
        <x:v>625</x:v>
      </x:c>
      <x:c r="J1926" s="18" t="n">
        <x:f>MIN(Model_Config_v3!$B$6,I1926+Model_Config_v3!$B$7)</x:f>
        <x:v>645</x:v>
      </x:c>
      <x:c r="K1926" s="20" t="n">
        <x:v>46.5</x:v>
      </x:c>
      <x:c r="L1926" t="str">
        <x:v>MENENGAH</x:v>
      </x:c>
      <x:c r="M1926" t="str">
        <x:v>PORTOFOLIO</x:v>
      </x:c>
      <x:c r="N1926" t="str">
        <x:v>ELITE-3</x:v>
      </x:c>
      <x:c r="O1926" t="str">
        <x:v>SENI/OLAHRAGA</x:v>
      </x:c>
      <x:c r="P1926" t="str">
        <x:v>SENI/OLAHRAGA</x:v>
      </x:c>
      <x:c r="Q1926" s="18" t="n">
        <x:v>625</x:v>
      </x:c>
      <x:c r="R1926" s="18" t="n">
        <x:v>0</x:v>
      </x:c>
      <x:c r="S1926" s="18" t="n">
        <x:v>532.0058916367575</x:v>
      </x:c>
      <x:c r="T1926" s="18" t="n">
        <x:v>653</x:v>
      </x:c>
      <x:c r="U1926" s="18" t="n">
        <x:v>625</x:v>
      </x:c>
      <x:c r="V1926" s="20" t="n">
        <x:v>4.4</x:v>
      </x:c>
      <x:c r="W1926" s="20" t="n">
        <x:v>9.9</x:v>
      </x:c>
      <x:c r="X1926" s="20" t="n">
        <x:v>7.7</x:v>
      </x:c>
      <x:c r="Y1926" t="str">
        <x:v>Basis arsip 2025/2024</x:v>
      </x:c>
      <x:c r="Z1926" t="str">
        <x:v>https://snpmb.id/utbk-snbt/daya-tampung-snbt</x:v>
      </x:c>
      <x:c r="AA1926" t="str">
        <x:v>Seni Rupa, Desain, dan Kriya</x:v>
      </x:c>
      <x:c r="AB1926" t="str">
        <x:v>Campus=80; Ratio=6.4; Prodi=45; RelDemand=2.8; Capacity=76.7</x:v>
      </x:c>
    </x:row>
    <x:row r="1927">
      <x:c r="A1927" t="n">
        <x:v>1924</x:v>
      </x:c>
      <x:c r="B1927" t="str">
        <x:v>PTN Akademik</x:v>
      </x:c>
      <x:c r="C1927" t="str">
        <x:v>UNIVERSITAS NEGERI YOGYAKARTA</x:v>
      </x:c>
      <x:c r="D1927" t="str">
        <x:v>PENDIDIKAN KEWARGANEGARAAN</x:v>
      </x:c>
      <x:c r="E1927" t="str">
        <x:v>Sarjana</x:v>
      </x:c>
      <x:c r="F1927" s="18" t="n">
        <x:v>24</x:v>
      </x:c>
      <x:c r="G1927" s="18" t="n">
        <x:v>293</x:v>
      </x:c>
      <x:c r="H1927" s="19" t="n">
        <x:v>12.208333333333334</x:v>
      </x:c>
      <x:c r="I1927" s="18" t="n">
        <x:f>ROUND(MIN(Model_Config_v3!$B$6,MAX(Q1927,R1927,S1927*Model_Config_v3!$B$4+T1927*Model_Config_v3!$B$5)),0)</x:f>
        <x:v>673</x:v>
      </x:c>
      <x:c r="J1927" s="18" t="n">
        <x:f>MIN(Model_Config_v3!$B$6,I1927+Model_Config_v3!$B$7)</x:f>
        <x:v>693</x:v>
      </x:c>
      <x:c r="K1927" s="20" t="n">
        <x:v>63.6</x:v>
      </x:c>
      <x:c r="L1927" t="str">
        <x:v>KETAT</x:v>
      </x:c>
      <x:c r="M1927" t="str">
        <x:v>SEDANG+</x:v>
      </x:c>
      <x:c r="N1927" t="str">
        <x:v>ELITE-3</x:v>
      </x:c>
      <x:c r="O1927" t="str">
        <x:v>CAMPURAN</x:v>
      </x:c>
      <x:c r="P1927" t="str">
        <x:v>PENDIDIKAN</x:v>
      </x:c>
      <x:c r="Q1927" s="18" t="n">
        <x:v>625</x:v>
      </x:c>
      <x:c r="R1927" s="18" t="n">
        <x:v>0</x:v>
      </x:c>
      <x:c r="S1927" s="18" t="n">
        <x:v>639.5322016506753</x:v>
      </x:c>
      <x:c r="T1927" s="18" t="n">
        <x:v>687</x:v>
      </x:c>
      <x:c r="U1927" s="18" t="n">
        <x:v>639.5322016506753</x:v>
      </x:c>
      <x:c r="V1927" s="20" t="n">
        <x:v>8.8</x:v>
      </x:c>
      <x:c r="W1927" s="20" t="n">
        <x:v>9.9</x:v>
      </x:c>
      <x:c r="X1927" s="20" t="n">
        <x:v>3.3</x:v>
      </x:c>
      <x:c r="Y1927" t="str">
        <x:v>Basis arsip 2025/2024</x:v>
      </x:c>
      <x:c r="Z1927" t="str">
        <x:v>https://snpmb.id/utbk-snbt/daya-tampung-snbt</x:v>
      </x:c>
      <x:c r="AA1927" t="str">
        <x:v>Tidak Ada</x:v>
      </x:c>
      <x:c r="AB1927" t="str">
        <x:v>Campus=80; Ratio=64.0; Prodi=45; RelDemand=26.3; Capacity=80.0</x:v>
      </x:c>
    </x:row>
    <x:row r="1928">
      <x:c r="A1928" t="n">
        <x:v>1925</x:v>
      </x:c>
      <x:c r="B1928" t="str">
        <x:v>PTN Akademik</x:v>
      </x:c>
      <x:c r="C1928" t="str">
        <x:v>UNIVERSITAS NEGERI YOGYAKARTA</x:v>
      </x:c>
      <x:c r="D1928" t="str">
        <x:v>PENDIDIKAN SEJARAH</x:v>
      </x:c>
      <x:c r="E1928" t="str">
        <x:v>Sarjana</x:v>
      </x:c>
      <x:c r="F1928" s="18" t="n">
        <x:v>36</x:v>
      </x:c>
      <x:c r="G1928" s="18" t="n">
        <x:v>306</x:v>
      </x:c>
      <x:c r="H1928" s="19" t="n">
        <x:v>8.5</x:v>
      </x:c>
      <x:c r="I1928" s="18" t="n">
        <x:f>ROUND(MIN(Model_Config_v3!$B$6,MAX(Q1928,R1928,S1928*Model_Config_v3!$B$4+T1928*Model_Config_v3!$B$5)),0)</x:f>
        <x:v>662</x:v>
      </x:c>
      <x:c r="J1928" s="18" t="n">
        <x:f>MIN(Model_Config_v3!$B$6,I1928+Model_Config_v3!$B$7)</x:f>
        <x:v>682</x:v>
      </x:c>
      <x:c r="K1928" s="20" t="n">
        <x:v>59.5</x:v>
      </x:c>
      <x:c r="L1928" t="str">
        <x:v>KETAT</x:v>
      </x:c>
      <x:c r="M1928" t="str">
        <x:v>SEDANG+</x:v>
      </x:c>
      <x:c r="N1928" t="str">
        <x:v>ELITE-3</x:v>
      </x:c>
      <x:c r="O1928" t="str">
        <x:v>SOSHUM</x:v>
      </x:c>
      <x:c r="P1928" t="str">
        <x:v>PENDIDIKAN</x:v>
      </x:c>
      <x:c r="Q1928" s="18" t="n">
        <x:v>625</x:v>
      </x:c>
      <x:c r="R1928" s="18" t="n">
        <x:v>0</x:v>
      </x:c>
      <x:c r="S1928" s="18" t="n">
        <x:v>622.2360818285722</x:v>
      </x:c>
      <x:c r="T1928" s="18" t="n">
        <x:v>679</x:v>
      </x:c>
      <x:c r="U1928" s="18" t="n">
        <x:v>625</x:v>
      </x:c>
      <x:c r="V1928" s="20" t="n">
        <x:v>4.4</x:v>
      </x:c>
      <x:c r="W1928" s="20" t="n">
        <x:v>14.3</x:v>
      </x:c>
      <x:c r="X1928" s="20" t="n">
        <x:v>3.3</x:v>
      </x:c>
      <x:c r="Y1928" t="str">
        <x:v>Basis arsip 2025/2024</x:v>
      </x:c>
      <x:c r="Z1928" t="str">
        <x:v>https://snpmb.id/utbk-snbt/daya-tampung-snbt</x:v>
      </x:c>
      <x:c r="AA1928" t="str">
        <x:v>Tidak Ada</x:v>
      </x:c>
      <x:c r="AB1928" t="str">
        <x:v>Campus=80; Ratio=54.7; Prodi=45; RelDemand=18.3; Capacity=70.0</x:v>
      </x:c>
    </x:row>
    <x:row r="1929">
      <x:c r="A1929" t="n">
        <x:v>1926</x:v>
      </x:c>
      <x:c r="B1929" t="str">
        <x:v>PTN Akademik</x:v>
      </x:c>
      <x:c r="C1929" t="str">
        <x:v>UNIVERSITAS NEGERI YOGYAKARTA</x:v>
      </x:c>
      <x:c r="D1929" t="str">
        <x:v>PENDIDIKAN GEOGRAFI</x:v>
      </x:c>
      <x:c r="E1929" t="str">
        <x:v>Sarjana</x:v>
      </x:c>
      <x:c r="F1929" s="18" t="n">
        <x:v>24</x:v>
      </x:c>
      <x:c r="G1929" s="18" t="n">
        <x:v>284</x:v>
      </x:c>
      <x:c r="H1929" s="19" t="n">
        <x:v>11.833333333333334</x:v>
      </x:c>
      <x:c r="I1929" s="18" t="n">
        <x:f>ROUND(MIN(Model_Config_v3!$B$6,MAX(Q1929,R1929,S1929*Model_Config_v3!$B$4+T1929*Model_Config_v3!$B$5)),0)</x:f>
        <x:v>672</x:v>
      </x:c>
      <x:c r="J1929" s="18" t="n">
        <x:f>MIN(Model_Config_v3!$B$6,I1929+Model_Config_v3!$B$7)</x:f>
        <x:v>692</x:v>
      </x:c>
      <x:c r="K1929" s="20" t="n">
        <x:v>63.3</x:v>
      </x:c>
      <x:c r="L1929" t="str">
        <x:v>KETAT</x:v>
      </x:c>
      <x:c r="M1929" t="str">
        <x:v>SEDANG+</x:v>
      </x:c>
      <x:c r="N1929" t="str">
        <x:v>ELITE-3</x:v>
      </x:c>
      <x:c r="O1929" t="str">
        <x:v>CAMPURAN</x:v>
      </x:c>
      <x:c r="P1929" t="str">
        <x:v>PENDIDIKAN</x:v>
      </x:c>
      <x:c r="Q1929" s="18" t="n">
        <x:v>625</x:v>
      </x:c>
      <x:c r="R1929" s="18" t="n">
        <x:v>0</x:v>
      </x:c>
      <x:c r="S1929" s="18" t="n">
        <x:v>638.0417808168975</x:v>
      </x:c>
      <x:c r="T1929" s="18" t="n">
        <x:v>687</x:v>
      </x:c>
      <x:c r="U1929" s="18" t="n">
        <x:v>638.0417808168975</x:v>
      </x:c>
      <x:c r="V1929" s="20" t="n">
        <x:v>8.8</x:v>
      </x:c>
      <x:c r="W1929" s="20" t="n">
        <x:v>9.9</x:v>
      </x:c>
      <x:c r="X1929" s="20" t="n">
        <x:v>3.3</x:v>
      </x:c>
      <x:c r="Y1929" t="str">
        <x:v>Basis arsip 2025/2024</x:v>
      </x:c>
      <x:c r="Z1929" t="str">
        <x:v>https://snpmb.id/utbk-snbt/daya-tampung-snbt</x:v>
      </x:c>
      <x:c r="AA1929" t="str">
        <x:v>Tidak Ada</x:v>
      </x:c>
      <x:c r="AB1929" t="str">
        <x:v>Campus=80; Ratio=63.2; Prodi=45; RelDemand=25.5; Capacity=80.0</x:v>
      </x:c>
    </x:row>
    <x:row r="1930">
      <x:c r="A1930" t="n">
        <x:v>1927</x:v>
      </x:c>
      <x:c r="B1930" t="str">
        <x:v>PTN Akademik</x:v>
      </x:c>
      <x:c r="C1930" t="str">
        <x:v>UNIVERSITAS NEGERI YOGYAKARTA</x:v>
      </x:c>
      <x:c r="D1930" t="str">
        <x:v>PENDIDIKAN TEKNIK BUSANA</x:v>
      </x:c>
      <x:c r="E1930" t="str">
        <x:v>Sarjana</x:v>
      </x:c>
      <x:c r="F1930" s="18" t="n">
        <x:v>24</x:v>
      </x:c>
      <x:c r="G1930" s="18" t="n">
        <x:v>612</x:v>
      </x:c>
      <x:c r="H1930" s="19" t="n">
        <x:v>25.5</x:v>
      </x:c>
      <x:c r="I1930" s="18" t="n">
        <x:f>ROUND(MIN(Model_Config_v3!$B$6,MAX(Q1930,R1930,S1930*Model_Config_v3!$B$4+T1930*Model_Config_v3!$B$5)),0)</x:f>
        <x:v>694</x:v>
      </x:c>
      <x:c r="J1930" s="18" t="n">
        <x:f>MIN(Model_Config_v3!$B$6,I1930+Model_Config_v3!$B$7)</x:f>
        <x:v>714</x:v>
      </x:c>
      <x:c r="K1930" s="20" t="n">
        <x:v>71.2</x:v>
      </x:c>
      <x:c r="L1930" t="str">
        <x:v>SANGAT KETAT</x:v>
      </x:c>
      <x:c r="M1930" t="str">
        <x:v>SEDANG+</x:v>
      </x:c>
      <x:c r="N1930" t="str">
        <x:v>ELITE-3</x:v>
      </x:c>
      <x:c r="O1930" t="str">
        <x:v>SAINTEK</x:v>
      </x:c>
      <x:c r="P1930" t="str">
        <x:v>PENDIDIKAN</x:v>
      </x:c>
      <x:c r="Q1930" s="18" t="n">
        <x:v>625</x:v>
      </x:c>
      <x:c r="R1930" s="18" t="n">
        <x:v>0</x:v>
      </x:c>
      <x:c r="S1930" s="18" t="n">
        <x:v>674.719419847735</x:v>
      </x:c>
      <x:c r="T1930" s="18" t="n">
        <x:v>702</x:v>
      </x:c>
      <x:c r="U1930" s="18" t="n">
        <x:v>684.719419847735</x:v>
      </x:c>
      <x:c r="V1930" s="20" t="n">
        <x:v>12</x:v>
      </x:c>
      <x:c r="W1930" s="20" t="n">
        <x:v>5</x:v>
      </x:c>
      <x:c r="X1930" s="20" t="n">
        <x:v>3</x:v>
      </x:c>
      <x:c r="Y1930" t="str">
        <x:v>Basis arsip 2025/2024</x:v>
      </x:c>
      <x:c r="Z1930" t="str">
        <x:v>https://snpmb.id/utbk-snbt/daya-tampung-snbt</x:v>
      </x:c>
      <x:c r="AA1930" t="str">
        <x:v>Tidak Ada</x:v>
      </x:c>
      <x:c r="AB1930" t="str">
        <x:v>Campus=80; Ratio=82.8; Prodi=45; RelDemand=54.9; Capacity=80.0</x:v>
      </x:c>
    </x:row>
    <x:row r="1931">
      <x:c r="A1931" t="n">
        <x:v>1928</x:v>
      </x:c>
      <x:c r="B1931" t="str">
        <x:v>PTN Akademik</x:v>
      </x:c>
      <x:c r="C1931" t="str">
        <x:v>UNIVERSITAS NEGERI YOGYAKARTA</x:v>
      </x:c>
      <x:c r="D1931" t="str">
        <x:v>PENDIDIKAN TEKNIK BOGA</x:v>
      </x:c>
      <x:c r="E1931" t="str">
        <x:v>Sarjana</x:v>
      </x:c>
      <x:c r="F1931" s="18" t="n">
        <x:v>24</x:v>
      </x:c>
      <x:c r="G1931" s="18" t="n">
        <x:v>820</x:v>
      </x:c>
      <x:c r="H1931" s="19" t="n">
        <x:v>34.166666666666664</x:v>
      </x:c>
      <x:c r="I1931" s="18" t="n">
        <x:f>ROUND(MIN(Model_Config_v3!$B$6,MAX(Q1931,R1931,S1931*Model_Config_v3!$B$4+T1931*Model_Config_v3!$B$5)),0)</x:f>
        <x:v>704</x:v>
      </x:c>
      <x:c r="J1931" s="18" t="n">
        <x:f>MIN(Model_Config_v3!$B$6,I1931+Model_Config_v3!$B$7)</x:f>
        <x:v>724</x:v>
      </x:c>
      <x:c r="K1931" s="20" t="n">
        <x:v>74.9</x:v>
      </x:c>
      <x:c r="L1931" t="str">
        <x:v>SANGAT KETAT</x:v>
      </x:c>
      <x:c r="M1931" t="str">
        <x:v>SEDANG+</x:v>
      </x:c>
      <x:c r="N1931" t="str">
        <x:v>ELITE-3</x:v>
      </x:c>
      <x:c r="O1931" t="str">
        <x:v>SAINTEK</x:v>
      </x:c>
      <x:c r="P1931" t="str">
        <x:v>PENDIDIKAN</x:v>
      </x:c>
      <x:c r="Q1931" s="18" t="n">
        <x:v>625</x:v>
      </x:c>
      <x:c r="R1931" s="18" t="n">
        <x:v>0</x:v>
      </x:c>
      <x:c r="S1931" s="18" t="n">
        <x:v>688.6962871739322</x:v>
      </x:c>
      <x:c r="T1931" s="18" t="n">
        <x:v>710</x:v>
      </x:c>
      <x:c r="U1931" s="18" t="n">
        <x:v>698.6962871739322</x:v>
      </x:c>
      <x:c r="V1931" s="20" t="n">
        <x:v>12</x:v>
      </x:c>
      <x:c r="W1931" s="20" t="n">
        <x:v>5</x:v>
      </x:c>
      <x:c r="X1931" s="20" t="n">
        <x:v>3</x:v>
      </x:c>
      <x:c r="Y1931" t="str">
        <x:v>Basis arsip 2025/2024</x:v>
      </x:c>
      <x:c r="Z1931" t="str">
        <x:v>https://snpmb.id/utbk-snbt/daya-tampung-snbt</x:v>
      </x:c>
      <x:c r="AA1931" t="str">
        <x:v>Tidak Ada</x:v>
      </x:c>
      <x:c r="AB1931" t="str">
        <x:v>Campus=80; Ratio=90.3; Prodi=45; RelDemand=73.5; Capacity=80.0</x:v>
      </x:c>
    </x:row>
    <x:row r="1932">
      <x:c r="A1932" t="n">
        <x:v>1929</x:v>
      </x:c>
      <x:c r="B1932" t="str">
        <x:v>PTN Akademik</x:v>
      </x:c>
      <x:c r="C1932" t="str">
        <x:v>UNIVERSITAS NEGERI YOGYAKARTA</x:v>
      </x:c>
      <x:c r="D1932" t="str">
        <x:v>PENDIDIKAN ADMINISTRASI PERKANTORAN</x:v>
      </x:c>
      <x:c r="E1932" t="str">
        <x:v>Sarjana</x:v>
      </x:c>
      <x:c r="F1932" s="18" t="n">
        <x:v>36</x:v>
      </x:c>
      <x:c r="G1932" s="18" t="n">
        <x:v>715</x:v>
      </x:c>
      <x:c r="H1932" s="19" t="n">
        <x:v>19.86111111111111</x:v>
      </x:c>
      <x:c r="I1932" s="18" t="n">
        <x:f>ROUND(MIN(Model_Config_v3!$B$6,MAX(Q1932,R1932,S1932*Model_Config_v3!$B$4+T1932*Model_Config_v3!$B$5)),0)</x:f>
        <x:v>685</x:v>
      </x:c>
      <x:c r="J1932" s="18" t="n">
        <x:f>MIN(Model_Config_v3!$B$6,I1932+Model_Config_v3!$B$7)</x:f>
        <x:v>705</x:v>
      </x:c>
      <x:c r="K1932" s="20" t="n">
        <x:v>67.4</x:v>
      </x:c>
      <x:c r="L1932" t="str">
        <x:v>SANGAT KETAT</x:v>
      </x:c>
      <x:c r="M1932" t="str">
        <x:v>SEDANG+</x:v>
      </x:c>
      <x:c r="N1932" t="str">
        <x:v>ELITE-3</x:v>
      </x:c>
      <x:c r="O1932" t="str">
        <x:v>SOSHUM</x:v>
      </x:c>
      <x:c r="P1932" t="str">
        <x:v>PENDIDIKAN</x:v>
      </x:c>
      <x:c r="Q1932" s="18" t="n">
        <x:v>625</x:v>
      </x:c>
      <x:c r="R1932" s="18" t="n">
        <x:v>0</x:v>
      </x:c>
      <x:c r="S1932" s="18" t="n">
        <x:v>662.7803895137172</x:v>
      </x:c>
      <x:c r="T1932" s="18" t="n">
        <x:v>695</x:v>
      </x:c>
      <x:c r="U1932" s="18" t="n">
        <x:v>662.7803895137172</x:v>
      </x:c>
      <x:c r="V1932" s="20" t="n">
        <x:v>4.4</x:v>
      </x:c>
      <x:c r="W1932" s="20" t="n">
        <x:v>14.3</x:v>
      </x:c>
      <x:c r="X1932" s="20" t="n">
        <x:v>3.3</x:v>
      </x:c>
      <x:c r="Y1932" t="str">
        <x:v>Basis arsip 2025/2024</x:v>
      </x:c>
      <x:c r="Z1932" t="str">
        <x:v>https://snpmb.id/utbk-snbt/daya-tampung-snbt</x:v>
      </x:c>
      <x:c r="AA1932" t="str">
        <x:v>Tidak Ada</x:v>
      </x:c>
      <x:c r="AB1932" t="str">
        <x:v>Campus=80; Ratio=76.4; Prodi=45; RelDemand=42.7; Capacity=70.0</x:v>
      </x:c>
    </x:row>
    <x:row r="1933">
      <x:c r="A1933" t="n">
        <x:v>1930</x:v>
      </x:c>
      <x:c r="B1933" t="str">
        <x:v>PTN Akademik</x:v>
      </x:c>
      <x:c r="C1933" t="str">
        <x:v>UNIVERSITAS NEGERI YOGYAKARTA</x:v>
      </x:c>
      <x:c r="D1933" t="str">
        <x:v>PENDIDIKAN AKUNTANSI</x:v>
      </x:c>
      <x:c r="E1933" t="str">
        <x:v>Sarjana</x:v>
      </x:c>
      <x:c r="F1933" s="18" t="n">
        <x:v>36</x:v>
      </x:c>
      <x:c r="G1933" s="18" t="n">
        <x:v>249</x:v>
      </x:c>
      <x:c r="H1933" s="19" t="n">
        <x:v>6.916666666666667</x:v>
      </x:c>
      <x:c r="I1933" s="18" t="n">
        <x:f>ROUND(MIN(Model_Config_v3!$B$6,MAX(Q1933,R1933,S1933*Model_Config_v3!$B$4+T1933*Model_Config_v3!$B$5)),0)</x:f>
        <x:v>663</x:v>
      </x:c>
      <x:c r="J1933" s="18" t="n">
        <x:f>MIN(Model_Config_v3!$B$6,I1933+Model_Config_v3!$B$7)</x:f>
        <x:v>683</x:v>
      </x:c>
      <x:c r="K1933" s="20" t="n">
        <x:v>61.8</x:v>
      </x:c>
      <x:c r="L1933" t="str">
        <x:v>KETAT</x:v>
      </x:c>
      <x:c r="M1933" t="str">
        <x:v>SEDANG+</x:v>
      </x:c>
      <x:c r="N1933" t="str">
        <x:v>ELITE-3</x:v>
      </x:c>
      <x:c r="O1933" t="str">
        <x:v>SOSHUM</x:v>
      </x:c>
      <x:c r="P1933" t="str">
        <x:v>BISNIS/EKONOMI/AKUNTANSI</x:v>
      </x:c>
      <x:c r="Q1933" s="18" t="n">
        <x:v>625</x:v>
      </x:c>
      <x:c r="R1933" s="18" t="n">
        <x:v>0</x:v>
      </x:c>
      <x:c r="S1933" s="18" t="n">
        <x:v>612.3886530961294</x:v>
      </x:c>
      <x:c r="T1933" s="18" t="n">
        <x:v>684</x:v>
      </x:c>
      <x:c r="U1933" s="18" t="n">
        <x:v>625</x:v>
      </x:c>
      <x:c r="V1933" s="20" t="n">
        <x:v>4.4</x:v>
      </x:c>
      <x:c r="W1933" s="20" t="n">
        <x:v>14.3</x:v>
      </x:c>
      <x:c r="X1933" s="20" t="n">
        <x:v>3.3</x:v>
      </x:c>
      <x:c r="Y1933" t="str">
        <x:v>Basis arsip 2025/2024</x:v>
      </x:c>
      <x:c r="Z1933" t="str">
        <x:v>https://snpmb.id/utbk-snbt/daya-tampung-snbt</x:v>
      </x:c>
      <x:c r="AA1933" t="str">
        <x:v>Tidak Ada</x:v>
      </x:c>
      <x:c r="AB1933" t="str">
        <x:v>Campus=80; Ratio=49.4; Prodi=65; RelDemand=14.9; Capacity=70.0</x:v>
      </x:c>
    </x:row>
    <x:row r="1934">
      <x:c r="A1934" t="n">
        <x:v>1931</x:v>
      </x:c>
      <x:c r="B1934" t="str">
        <x:v>PTN Akademik</x:v>
      </x:c>
      <x:c r="C1934" t="str">
        <x:v>UNIVERSITAS NEGERI YOGYAKARTA</x:v>
      </x:c>
      <x:c r="D1934" t="str">
        <x:v>PENDIDIKAN EKONOMI</x:v>
      </x:c>
      <x:c r="E1934" t="str">
        <x:v>Sarjana</x:v>
      </x:c>
      <x:c r="F1934" s="18" t="n">
        <x:v>36</x:v>
      </x:c>
      <x:c r="G1934" s="18" t="n">
        <x:v>328</x:v>
      </x:c>
      <x:c r="H1934" s="19" t="n">
        <x:v>9.11111111111111</x:v>
      </x:c>
      <x:c r="I1934" s="18" t="n">
        <x:f>ROUND(MIN(Model_Config_v3!$B$6,MAX(Q1934,R1934,S1934*Model_Config_v3!$B$4+T1934*Model_Config_v3!$B$5)),0)</x:f>
        <x:v>664</x:v>
      </x:c>
      <x:c r="J1934" s="18" t="n">
        <x:f>MIN(Model_Config_v3!$B$6,I1934+Model_Config_v3!$B$7)</x:f>
        <x:v>684</x:v>
      </x:c>
      <x:c r="K1934" s="20" t="n">
        <x:v>60.1</x:v>
      </x:c>
      <x:c r="L1934" t="str">
        <x:v>KETAT</x:v>
      </x:c>
      <x:c r="M1934" t="str">
        <x:v>SEDANG+</x:v>
      </x:c>
      <x:c r="N1934" t="str">
        <x:v>ELITE-3</x:v>
      </x:c>
      <x:c r="O1934" t="str">
        <x:v>SOSHUM</x:v>
      </x:c>
      <x:c r="P1934" t="str">
        <x:v>PENDIDIKAN</x:v>
      </x:c>
      <x:c r="Q1934" s="18" t="n">
        <x:v>625</x:v>
      </x:c>
      <x:c r="R1934" s="18" t="n">
        <x:v>0</x:v>
      </x:c>
      <x:c r="S1934" s="18" t="n">
        <x:v>625.5528477238831</x:v>
      </x:c>
      <x:c r="T1934" s="18" t="n">
        <x:v>680</x:v>
      </x:c>
      <x:c r="U1934" s="18" t="n">
        <x:v>625.5528477238831</x:v>
      </x:c>
      <x:c r="V1934" s="20" t="n">
        <x:v>4.4</x:v>
      </x:c>
      <x:c r="W1934" s="20" t="n">
        <x:v>14.3</x:v>
      </x:c>
      <x:c r="X1934" s="20" t="n">
        <x:v>3.3</x:v>
      </x:c>
      <x:c r="Y1934" t="str">
        <x:v>Basis arsip 2025/2024</x:v>
      </x:c>
      <x:c r="Z1934" t="str">
        <x:v>https://snpmb.id/utbk-snbt/daya-tampung-snbt</x:v>
      </x:c>
      <x:c r="AA1934" t="str">
        <x:v>Tidak Ada</x:v>
      </x:c>
      <x:c r="AB1934" t="str">
        <x:v>Campus=80; Ratio=56.5; Prodi=45; RelDemand=19.6; Capacity=70.0</x:v>
      </x:c>
    </x:row>
    <x:row r="1935">
      <x:c r="A1935" t="n">
        <x:v>1932</x:v>
      </x:c>
      <x:c r="B1935" t="str">
        <x:v>PTN Akademik</x:v>
      </x:c>
      <x:c r="C1935" t="str">
        <x:v>UNIVERSITAS NEGERI YOGYAKARTA</x:v>
      </x:c>
      <x:c r="D1935" t="str">
        <x:v>MANAJEMEN</x:v>
      </x:c>
      <x:c r="E1935" t="str">
        <x:v>Sarjana</x:v>
      </x:c>
      <x:c r="F1935" s="18" t="n">
        <x:v>72</x:v>
      </x:c>
      <x:c r="G1935" s="18" t="n">
        <x:v>3438</x:v>
      </x:c>
      <x:c r="H1935" s="19" t="n">
        <x:v>47.75</x:v>
      </x:c>
      <x:c r="I1935" s="18" t="n">
        <x:f>ROUND(MIN(Model_Config_v3!$B$6,MAX(Q1935,R1935,S1935*Model_Config_v3!$B$4+T1935*Model_Config_v3!$B$5)),0)</x:f>
        <x:v>715</x:v>
      </x:c>
      <x:c r="J1935" s="18" t="n">
        <x:f>MIN(Model_Config_v3!$B$6,I1935+Model_Config_v3!$B$7)</x:f>
        <x:v>735</x:v>
      </x:c>
      <x:c r="K1935" s="20" t="n">
        <x:v>79.7</x:v>
      </x:c>
      <x:c r="L1935" t="str">
        <x:v>ELITE</x:v>
      </x:c>
      <x:c r="M1935" t="str">
        <x:v>SEDANG+</x:v>
      </x:c>
      <x:c r="N1935" t="str">
        <x:v>ELITE-3</x:v>
      </x:c>
      <x:c r="O1935" t="str">
        <x:v>SOSHUM</x:v>
      </x:c>
      <x:c r="P1935" t="str">
        <x:v>BISNIS/EKONOMI/AKUNTANSI</x:v>
      </x:c>
      <x:c r="Q1935" s="18" t="n">
        <x:v>625</x:v>
      </x:c>
      <x:c r="R1935" s="18" t="n">
        <x:v>0</x:v>
      </x:c>
      <x:c r="S1935" s="18" t="n">
        <x:v>704.6870713511742</x:v>
      </x:c>
      <x:c r="T1935" s="18" t="n">
        <x:v>719</x:v>
      </x:c>
      <x:c r="U1935" s="18" t="n">
        <x:v>719.6870713511742</x:v>
      </x:c>
      <x:c r="V1935" s="20" t="n">
        <x:v>4.4</x:v>
      </x:c>
      <x:c r="W1935" s="20" t="n">
        <x:v>14.3</x:v>
      </x:c>
      <x:c r="X1935" s="20" t="n">
        <x:v>3.3</x:v>
      </x:c>
      <x:c r="Y1935" t="str">
        <x:v>Basis arsip 2025/2024</x:v>
      </x:c>
      <x:c r="Z1935" t="str">
        <x:v>https://snpmb.id/utbk-snbt/daya-tampung-snbt</x:v>
      </x:c>
      <x:c r="AA1935" t="str">
        <x:v>Tidak Ada</x:v>
      </x:c>
      <x:c r="AB1935" t="str">
        <x:v>Campus=80; Ratio=98.8; Prodi=65; RelDemand=100.0; Capacity=40.0</x:v>
      </x:c>
    </x:row>
    <x:row r="1936">
      <x:c r="A1936" t="n">
        <x:v>1933</x:v>
      </x:c>
      <x:c r="B1936" t="str">
        <x:v>PTN Akademik</x:v>
      </x:c>
      <x:c r="C1936" t="str">
        <x:v>UNIVERSITAS NEGERI YOGYAKARTA</x:v>
      </x:c>
      <x:c r="D1936" t="str">
        <x:v>ILMU SEJARAH</x:v>
      </x:c>
      <x:c r="E1936" t="str">
        <x:v>Sarjana</x:v>
      </x:c>
      <x:c r="F1936" s="18" t="n">
        <x:v>24</x:v>
      </x:c>
      <x:c r="G1936" s="18" t="n">
        <x:v>346</x:v>
      </x:c>
      <x:c r="H1936" s="19" t="n">
        <x:v>14.416666666666666</x:v>
      </x:c>
      <x:c r="I1936" s="18" t="n">
        <x:f>ROUND(MIN(Model_Config_v3!$B$6,MAX(Q1936,R1936,S1936*Model_Config_v3!$B$4+T1936*Model_Config_v3!$B$5)),0)</x:f>
        <x:v>676</x:v>
      </x:c>
      <x:c r="J1936" s="18" t="n">
        <x:f>MIN(Model_Config_v3!$B$6,I1936+Model_Config_v3!$B$7)</x:f>
        <x:v>696</x:v>
      </x:c>
      <x:c r="K1936" s="20" t="n">
        <x:v>64.2</x:v>
      </x:c>
      <x:c r="L1936" t="str">
        <x:v>KETAT</x:v>
      </x:c>
      <x:c r="M1936" t="str">
        <x:v>SEDANG+</x:v>
      </x:c>
      <x:c r="N1936" t="str">
        <x:v>ELITE-3</x:v>
      </x:c>
      <x:c r="O1936" t="str">
        <x:v>SOSHUM</x:v>
      </x:c>
      <x:c r="P1936" t="str">
        <x:v>UMUM</x:v>
      </x:c>
      <x:c r="Q1936" s="18" t="n">
        <x:v>625</x:v>
      </x:c>
      <x:c r="R1936" s="18" t="n">
        <x:v>0</x:v>
      </x:c>
      <x:c r="S1936" s="18" t="n">
        <x:v>647.4751342789287</x:v>
      </x:c>
      <x:c r="T1936" s="18" t="n">
        <x:v>688</x:v>
      </x:c>
      <x:c r="U1936" s="18" t="n">
        <x:v>647.4751342789287</x:v>
      </x:c>
      <x:c r="V1936" s="20" t="n">
        <x:v>4.4</x:v>
      </x:c>
      <x:c r="W1936" s="20" t="n">
        <x:v>14.3</x:v>
      </x:c>
      <x:c r="X1936" s="20" t="n">
        <x:v>3.3</x:v>
      </x:c>
      <x:c r="Y1936" t="str">
        <x:v>Basis arsip 2025/2024</x:v>
      </x:c>
      <x:c r="Z1936" t="str">
        <x:v>https://snpmb.id/utbk-snbt/daya-tampung-snbt</x:v>
      </x:c>
      <x:c r="AA1936" t="str">
        <x:v>Tidak Ada</x:v>
      </x:c>
      <x:c r="AB1936" t="str">
        <x:v>Campus=80; Ratio=68.2; Prodi=40; RelDemand=31.0; Capacity=80.0</x:v>
      </x:c>
    </x:row>
    <x:row r="1937">
      <x:c r="A1937" t="n">
        <x:v>1934</x:v>
      </x:c>
      <x:c r="B1937" t="str">
        <x:v>PTN Akademik</x:v>
      </x:c>
      <x:c r="C1937" t="str">
        <x:v>UNIVERSITAS NEGERI YOGYAKARTA</x:v>
      </x:c>
      <x:c r="D1937" t="str">
        <x:v>AKUNTANSI</x:v>
      </x:c>
      <x:c r="E1937" t="str">
        <x:v>Sarjana</x:v>
      </x:c>
      <x:c r="F1937" s="18" t="n">
        <x:v>45</x:v>
      </x:c>
      <x:c r="G1937" s="18" t="n">
        <x:v>1735</x:v>
      </x:c>
      <x:c r="H1937" s="19" t="n">
        <x:v>38.55555555555556</x:v>
      </x:c>
      <x:c r="I1937" s="18" t="n">
        <x:f>ROUND(MIN(Model_Config_v3!$B$6,MAX(Q1937,R1937,S1937*Model_Config_v3!$B$4+T1937*Model_Config_v3!$B$5)),0)</x:f>
        <x:v>711</x:v>
      </x:c>
      <x:c r="J1937" s="18" t="n">
        <x:f>MIN(Model_Config_v3!$B$6,I1937+Model_Config_v3!$B$7)</x:f>
        <x:v>731</x:v>
      </x:c>
      <x:c r="K1937" s="20" t="n">
        <x:v>78.9</x:v>
      </x:c>
      <x:c r="L1937" t="str">
        <x:v>ELITE</x:v>
      </x:c>
      <x:c r="M1937" t="str">
        <x:v>SEDANG+</x:v>
      </x:c>
      <x:c r="N1937" t="str">
        <x:v>ELITE-3</x:v>
      </x:c>
      <x:c r="O1937" t="str">
        <x:v>SOSHUM</x:v>
      </x:c>
      <x:c r="P1937" t="str">
        <x:v>BISNIS/EKONOMI/AKUNTANSI</x:v>
      </x:c>
      <x:c r="Q1937" s="18" t="n">
        <x:v>625</x:v>
      </x:c>
      <x:c r="R1937" s="18" t="n">
        <x:v>0</x:v>
      </x:c>
      <x:c r="S1937" s="18" t="n">
        <x:v>694.4695661886703</x:v>
      </x:c>
      <x:c r="T1937" s="18" t="n">
        <x:v>718</x:v>
      </x:c>
      <x:c r="U1937" s="18" t="n">
        <x:v>694.4695661886703</x:v>
      </x:c>
      <x:c r="V1937" s="20" t="n">
        <x:v>4.4</x:v>
      </x:c>
      <x:c r="W1937" s="20" t="n">
        <x:v>14.3</x:v>
      </x:c>
      <x:c r="X1937" s="20" t="n">
        <x:v>3.3</x:v>
      </x:c>
      <x:c r="Y1937" t="str">
        <x:v>Basis arsip 2025/2024</x:v>
      </x:c>
      <x:c r="Z1937" t="str">
        <x:v>https://snpmb.id/utbk-snbt/daya-tampung-snbt</x:v>
      </x:c>
      <x:c r="AA1937" t="str">
        <x:v>Tidak Ada</x:v>
      </x:c>
      <x:c r="AB1937" t="str">
        <x:v>Campus=80; Ratio=93.4; Prodi=65; RelDemand=82.9; Capacity=62.5</x:v>
      </x:c>
    </x:row>
    <x:row r="1938">
      <x:c r="A1938" t="n">
        <x:v>1935</x:v>
      </x:c>
      <x:c r="B1938" t="str">
        <x:v>PTN Akademik</x:v>
      </x:c>
      <x:c r="C1938" t="str">
        <x:v>UNIVERSITAS NEGERI YOGYAKARTA</x:v>
      </x:c>
      <x:c r="D1938" t="str">
        <x:v>PENDIDIKAN SOSIOLOGI</x:v>
      </x:c>
      <x:c r="E1938" t="str">
        <x:v>Sarjana</x:v>
      </x:c>
      <x:c r="F1938" s="18" t="n">
        <x:v>24</x:v>
      </x:c>
      <x:c r="G1938" s="18" t="n">
        <x:v>312</x:v>
      </x:c>
      <x:c r="H1938" s="19" t="n">
        <x:v>13</x:v>
      </x:c>
      <x:c r="I1938" s="18" t="n">
        <x:f>ROUND(MIN(Model_Config_v3!$B$6,MAX(Q1938,R1938,S1938*Model_Config_v3!$B$4+T1938*Model_Config_v3!$B$5)),0)</x:f>
        <x:v>674</x:v>
      </x:c>
      <x:c r="J1938" s="18" t="n">
        <x:f>MIN(Model_Config_v3!$B$6,I1938+Model_Config_v3!$B$7)</x:f>
        <x:v>694</x:v>
      </x:c>
      <x:c r="K1938" s="20" t="n">
        <x:v>64.2</x:v>
      </x:c>
      <x:c r="L1938" t="str">
        <x:v>KETAT</x:v>
      </x:c>
      <x:c r="M1938" t="str">
        <x:v>SEDANG+</x:v>
      </x:c>
      <x:c r="N1938" t="str">
        <x:v>ELITE-3</x:v>
      </x:c>
      <x:c r="O1938" t="str">
        <x:v>SOSHUM</x:v>
      </x:c>
      <x:c r="P1938" t="str">
        <x:v>PENDIDIKAN</x:v>
      </x:c>
      <x:c r="Q1938" s="18" t="n">
        <x:v>625</x:v>
      </x:c>
      <x:c r="R1938" s="18" t="n">
        <x:v>0</x:v>
      </x:c>
      <x:c r="S1938" s="18" t="n">
        <x:v>642.533768753752</x:v>
      </x:c>
      <x:c r="T1938" s="18" t="n">
        <x:v>688</x:v>
      </x:c>
      <x:c r="U1938" s="18" t="n">
        <x:v>642.533768753752</x:v>
      </x:c>
      <x:c r="V1938" s="20" t="n">
        <x:v>4.4</x:v>
      </x:c>
      <x:c r="W1938" s="20" t="n">
        <x:v>14.3</x:v>
      </x:c>
      <x:c r="X1938" s="20" t="n">
        <x:v>3.3</x:v>
      </x:c>
      <x:c r="Y1938" t="str">
        <x:v>Basis arsip 2025/2024</x:v>
      </x:c>
      <x:c r="Z1938" t="str">
        <x:v>https://snpmb.id/utbk-snbt/daya-tampung-snbt</x:v>
      </x:c>
      <x:c r="AA1938" t="str">
        <x:v>Tidak Ada</x:v>
      </x:c>
      <x:c r="AB1938" t="str">
        <x:v>Campus=80; Ratio=65.6; Prodi=45; RelDemand=28.0; Capacity=80.0</x:v>
      </x:c>
    </x:row>
    <x:row r="1939">
      <x:c r="A1939" t="n">
        <x:v>1936</x:v>
      </x:c>
      <x:c r="B1939" t="str">
        <x:v>PTN Akademik</x:v>
      </x:c>
      <x:c r="C1939" t="str">
        <x:v>UNIVERSITAS NEGERI YOGYAKARTA</x:v>
      </x:c>
      <x:c r="D1939" t="str">
        <x:v>PENDIDIKAN IPS</x:v>
      </x:c>
      <x:c r="E1939" t="str">
        <x:v>Sarjana</x:v>
      </x:c>
      <x:c r="F1939" s="18" t="n">
        <x:v>33</x:v>
      </x:c>
      <x:c r="G1939" s="18" t="n">
        <x:v>277</x:v>
      </x:c>
      <x:c r="H1939" s="19" t="n">
        <x:v>8.393939393939394</x:v>
      </x:c>
      <x:c r="I1939" s="18" t="n">
        <x:f>ROUND(MIN(Model_Config_v3!$B$6,MAX(Q1939,R1939,S1939*Model_Config_v3!$B$4+T1939*Model_Config_v3!$B$5)),0)</x:f>
        <x:v>662</x:v>
      </x:c>
      <x:c r="J1939" s="18" t="n">
        <x:f>MIN(Model_Config_v3!$B$6,I1939+Model_Config_v3!$B$7)</x:f>
        <x:v>682</x:v>
      </x:c>
      <x:c r="K1939" s="20" t="n">
        <x:v>59.7</x:v>
      </x:c>
      <x:c r="L1939" t="str">
        <x:v>KETAT</x:v>
      </x:c>
      <x:c r="M1939" t="str">
        <x:v>SEDANG+</x:v>
      </x:c>
      <x:c r="N1939" t="str">
        <x:v>ELITE-3</x:v>
      </x:c>
      <x:c r="O1939" t="str">
        <x:v>CAMPURAN</x:v>
      </x:c>
      <x:c r="P1939" t="str">
        <x:v>PENDIDIKAN</x:v>
      </x:c>
      <x:c r="Q1939" s="18" t="n">
        <x:v>625</x:v>
      </x:c>
      <x:c r="R1939" s="18" t="n">
        <x:v>0</x:v>
      </x:c>
      <x:c r="S1939" s="18" t="n">
        <x:v>621.6362412105217</x:v>
      </x:c>
      <x:c r="T1939" s="18" t="n">
        <x:v>679</x:v>
      </x:c>
      <x:c r="U1939" s="18" t="n">
        <x:v>625</x:v>
      </x:c>
      <x:c r="V1939" s="20" t="n">
        <x:v>8.8</x:v>
      </x:c>
      <x:c r="W1939" s="20" t="n">
        <x:v>9.9</x:v>
      </x:c>
      <x:c r="X1939" s="20" t="n">
        <x:v>3.3</x:v>
      </x:c>
      <x:c r="Y1939" t="str">
        <x:v>Basis arsip 2025/2024</x:v>
      </x:c>
      <x:c r="Z1939" t="str">
        <x:v>https://snpmb.id/utbk-snbt/daya-tampung-snbt</x:v>
      </x:c>
      <x:c r="AA1939" t="str">
        <x:v>Tidak Ada</x:v>
      </x:c>
      <x:c r="AB1939" t="str">
        <x:v>Campus=80; Ratio=54.4; Prodi=45; RelDemand=18.1; Capacity=72.5</x:v>
      </x:c>
    </x:row>
    <x:row r="1940">
      <x:c r="A1940" t="n">
        <x:v>1937</x:v>
      </x:c>
      <x:c r="B1940" t="str">
        <x:v>PTN Akademik</x:v>
      </x:c>
      <x:c r="C1940" t="str">
        <x:v>UNIVERSITAS NEGERI YOGYAKARTA</x:v>
      </x:c>
      <x:c r="D1940" t="str">
        <x:v>ADMINISTRASI PUBLIK</x:v>
      </x:c>
      <x:c r="E1940" t="str">
        <x:v>Sarjana</x:v>
      </x:c>
      <x:c r="F1940" s="18" t="n">
        <x:v>45</x:v>
      </x:c>
      <x:c r="G1940" s="18" t="n">
        <x:v>1658</x:v>
      </x:c>
      <x:c r="H1940" s="19" t="n">
        <x:v>36.84444444444444</x:v>
      </x:c>
      <x:c r="I1940" s="18" t="n">
        <x:f>ROUND(MIN(Model_Config_v3!$B$6,MAX(Q1940,R1940,S1940*Model_Config_v3!$B$4+T1940*Model_Config_v3!$B$5)),0)</x:f>
        <x:v>702</x:v>
      </x:c>
      <x:c r="J1940" s="18" t="n">
        <x:f>MIN(Model_Config_v3!$B$6,I1940+Model_Config_v3!$B$7)</x:f>
        <x:v>722</x:v>
      </x:c>
      <x:c r="K1940" s="20" t="n">
        <x:v>73.2</x:v>
      </x:c>
      <x:c r="L1940" t="str">
        <x:v>SANGAT KETAT</x:v>
      </x:c>
      <x:c r="M1940" t="str">
        <x:v>SEDANG+</x:v>
      </x:c>
      <x:c r="N1940" t="str">
        <x:v>ELITE-3</x:v>
      </x:c>
      <x:c r="O1940" t="str">
        <x:v>SOSHUM</x:v>
      </x:c>
      <x:c r="P1940" t="str">
        <x:v>UMUM</x:v>
      </x:c>
      <x:c r="Q1940" s="18" t="n">
        <x:v>625</x:v>
      </x:c>
      <x:c r="R1940" s="18" t="n">
        <x:v>0</x:v>
      </x:c>
      <x:c r="S1940" s="18" t="n">
        <x:v>692.3009213682802</x:v>
      </x:c>
      <x:c r="T1940" s="18" t="n">
        <x:v>706</x:v>
      </x:c>
      <x:c r="U1940" s="18" t="n">
        <x:v>692.3009213682802</x:v>
      </x:c>
      <x:c r="V1940" s="20" t="n">
        <x:v>4.4</x:v>
      </x:c>
      <x:c r="W1940" s="20" t="n">
        <x:v>14.3</x:v>
      </x:c>
      <x:c r="X1940" s="20" t="n">
        <x:v>3.3</x:v>
      </x:c>
      <x:c r="Y1940" t="str">
        <x:v>Basis arsip 2025/2024</x:v>
      </x:c>
      <x:c r="Z1940" t="str">
        <x:v>https://snpmb.id/utbk-snbt/daya-tampung-snbt</x:v>
      </x:c>
      <x:c r="AA1940" t="str">
        <x:v>Tidak Ada</x:v>
      </x:c>
      <x:c r="AB1940" t="str">
        <x:v>Campus=80; Ratio=92.2; Prodi=40; RelDemand=79.3; Capacity=62.5</x:v>
      </x:c>
    </x:row>
    <x:row r="1941">
      <x:c r="A1941" t="n">
        <x:v>1938</x:v>
      </x:c>
      <x:c r="B1941" t="str">
        <x:v>PTN Akademik</x:v>
      </x:c>
      <x:c r="C1941" t="str">
        <x:v>UNIVERSITAS NEGERI YOGYAKARTA</x:v>
      </x:c>
      <x:c r="D1941" t="str">
        <x:v>KEBIJAKAN PENDIDIKAN</x:v>
      </x:c>
      <x:c r="E1941" t="str">
        <x:v>Sarjana</x:v>
      </x:c>
      <x:c r="F1941" s="18" t="n">
        <x:v>24</x:v>
      </x:c>
      <x:c r="G1941" s="18" t="n">
        <x:v>147</x:v>
      </x:c>
      <x:c r="H1941" s="19" t="n">
        <x:v>6.125</x:v>
      </x:c>
      <x:c r="I1941" s="18" t="n">
        <x:f>ROUND(MIN(Model_Config_v3!$B$6,MAX(Q1941,R1941,S1941*Model_Config_v3!$B$4+T1941*Model_Config_v3!$B$5)),0)</x:f>
        <x:v>654</x:v>
      </x:c>
      <x:c r="J1941" s="18" t="n">
        <x:f>MIN(Model_Config_v3!$B$6,I1941+Model_Config_v3!$B$7)</x:f>
        <x:v>674</x:v>
      </x:c>
      <x:c r="K1941" s="20" t="n">
        <x:v>56.9</x:v>
      </x:c>
      <x:c r="L1941" t="str">
        <x:v>KETAT</x:v>
      </x:c>
      <x:c r="M1941" t="str">
        <x:v>SEDANG+</x:v>
      </x:c>
      <x:c r="N1941" t="str">
        <x:v>ELITE-3</x:v>
      </x:c>
      <x:c r="O1941" t="str">
        <x:v>CAMPURAN</x:v>
      </x:c>
      <x:c r="P1941" t="str">
        <x:v>UMUM</x:v>
      </x:c>
      <x:c r="Q1941" s="18" t="n">
        <x:v>625</x:v>
      </x:c>
      <x:c r="R1941" s="18" t="n">
        <x:v>0</x:v>
      </x:c>
      <x:c r="S1941" s="18" t="n">
        <x:v>606.5816702340227</x:v>
      </x:c>
      <x:c r="T1941" s="18" t="n">
        <x:v>674</x:v>
      </x:c>
      <x:c r="U1941" s="18" t="n">
        <x:v>625</x:v>
      </x:c>
      <x:c r="V1941" s="20" t="n">
        <x:v>8.8</x:v>
      </x:c>
      <x:c r="W1941" s="20" t="n">
        <x:v>9.9</x:v>
      </x:c>
      <x:c r="X1941" s="20" t="n">
        <x:v>3.3</x:v>
      </x:c>
      <x:c r="Y1941" t="str">
        <x:v>Basis arsip 2025/2024</x:v>
      </x:c>
      <x:c r="Z1941" t="str">
        <x:v>https://snpmb.id/utbk-snbt/daya-tampung-snbt</x:v>
      </x:c>
      <x:c r="AA1941" t="str">
        <x:v>Tidak Ada</x:v>
      </x:c>
      <x:c r="AB1941" t="str">
        <x:v>Campus=80; Ratio=46.3; Prodi=40; RelDemand=13.2; Capacity=80.0</x:v>
      </x:c>
    </x:row>
    <x:row r="1942">
      <x:c r="A1942" t="n">
        <x:v>1939</x:v>
      </x:c>
      <x:c r="B1942" t="str">
        <x:v>PTN Akademik</x:v>
      </x:c>
      <x:c r="C1942" t="str">
        <x:v>UNIVERSITAS NEGERI YOGYAKARTA</x:v>
      </x:c>
      <x:c r="D1942" t="str">
        <x:v>PENDIDIKAN GURU SEKOLAH DASAR</x:v>
      </x:c>
      <x:c r="E1942" t="str">
        <x:v>Sarjana</x:v>
      </x:c>
      <x:c r="F1942" s="18" t="n">
        <x:v>72</x:v>
      </x:c>
      <x:c r="G1942" s="18" t="n">
        <x:v>2067</x:v>
      </x:c>
      <x:c r="H1942" s="19" t="n">
        <x:v>28.708333333333332</x:v>
      </x:c>
      <x:c r="I1942" s="18" t="n">
        <x:f>ROUND(MIN(Model_Config_v3!$B$6,MAX(Q1942,R1942,S1942*Model_Config_v3!$B$4+T1942*Model_Config_v3!$B$5)),0)</x:f>
        <x:v>692</x:v>
      </x:c>
      <x:c r="J1942" s="18" t="n">
        <x:f>MIN(Model_Config_v3!$B$6,I1942+Model_Config_v3!$B$7)</x:f>
        <x:v>712</x:v>
      </x:c>
      <x:c r="K1942" s="20" t="n">
        <x:v>68.6</x:v>
      </x:c>
      <x:c r="L1942" t="str">
        <x:v>SANGAT KETAT</x:v>
      </x:c>
      <x:c r="M1942" t="str">
        <x:v>SEDANG+</x:v>
      </x:c>
      <x:c r="N1942" t="str">
        <x:v>ELITE-3</x:v>
      </x:c>
      <x:c r="O1942" t="str">
        <x:v>CAMPURAN</x:v>
      </x:c>
      <x:c r="P1942" t="str">
        <x:v>PENDIDIKAN</x:v>
      </x:c>
      <x:c r="Q1942" s="18" t="n">
        <x:v>625</x:v>
      </x:c>
      <x:c r="R1942" s="18" t="n">
        <x:v>0</x:v>
      </x:c>
      <x:c r="S1942" s="18" t="n">
        <x:v>680.3808778215622</x:v>
      </x:c>
      <x:c r="T1942" s="18" t="n">
        <x:v>697</x:v>
      </x:c>
      <x:c r="U1942" s="18" t="n">
        <x:v>680.3808778215622</x:v>
      </x:c>
      <x:c r="V1942" s="20" t="n">
        <x:v>8.8</x:v>
      </x:c>
      <x:c r="W1942" s="20" t="n">
        <x:v>9.9</x:v>
      </x:c>
      <x:c r="X1942" s="20" t="n">
        <x:v>3.3</x:v>
      </x:c>
      <x:c r="Y1942" t="str">
        <x:v>Basis arsip 2025/2024</x:v>
      </x:c>
      <x:c r="Z1942" t="str">
        <x:v>https://snpmb.id/utbk-snbt/daya-tampung-snbt</x:v>
      </x:c>
      <x:c r="AA1942" t="str">
        <x:v>Tidak Ada</x:v>
      </x:c>
      <x:c r="AB1942" t="str">
        <x:v>Campus=80; Ratio=85.8; Prodi=45; RelDemand=61.8; Capacity=40.0</x:v>
      </x:c>
    </x:row>
    <x:row r="1943">
      <x:c r="A1943" t="n">
        <x:v>1940</x:v>
      </x:c>
      <x:c r="B1943" t="str">
        <x:v>PTN Akademik</x:v>
      </x:c>
      <x:c r="C1943" t="str">
        <x:v>UNIVERSITAS NEGERI YOGYAKARTA</x:v>
      </x:c>
      <x:c r="D1943" t="str">
        <x:v>PENDIDIKAN GURU PAUD</x:v>
      </x:c>
      <x:c r="E1943" t="str">
        <x:v>Sarjana</x:v>
      </x:c>
      <x:c r="F1943" s="18" t="n">
        <x:v>24</x:v>
      </x:c>
      <x:c r="G1943" s="18" t="n">
        <x:v>333</x:v>
      </x:c>
      <x:c r="H1943" s="19" t="n">
        <x:v>13.875</x:v>
      </x:c>
      <x:c r="I1943" s="18" t="n">
        <x:f>ROUND(MIN(Model_Config_v3!$B$6,MAX(Q1943,R1943,S1943*Model_Config_v3!$B$4+T1943*Model_Config_v3!$B$5)),0)</x:f>
        <x:v>677</x:v>
      </x:c>
      <x:c r="J1943" s="18" t="n">
        <x:f>MIN(Model_Config_v3!$B$6,I1943+Model_Config_v3!$B$7)</x:f>
        <x:v>697</x:v>
      </x:c>
      <x:c r="K1943" s="20" t="n">
        <x:v>64.8</x:v>
      </x:c>
      <x:c r="L1943" t="str">
        <x:v>KETAT</x:v>
      </x:c>
      <x:c r="M1943" t="str">
        <x:v>SEDANG+</x:v>
      </x:c>
      <x:c r="N1943" t="str">
        <x:v>ELITE-3</x:v>
      </x:c>
      <x:c r="O1943" t="str">
        <x:v>CAMPURAN</x:v>
      </x:c>
      <x:c r="P1943" t="str">
        <x:v>PENDIDIKAN</x:v>
      </x:c>
      <x:c r="Q1943" s="18" t="n">
        <x:v>625</x:v>
      </x:c>
      <x:c r="R1943" s="18" t="n">
        <x:v>0</x:v>
      </x:c>
      <x:c r="S1943" s="18" t="n">
        <x:v>645.6456290974186</x:v>
      </x:c>
      <x:c r="T1943" s="18" t="n">
        <x:v>690</x:v>
      </x:c>
      <x:c r="U1943" s="18" t="n">
        <x:v>645.6456290974186</x:v>
      </x:c>
      <x:c r="V1943" s="20" t="n">
        <x:v>8.8</x:v>
      </x:c>
      <x:c r="W1943" s="20" t="n">
        <x:v>9.9</x:v>
      </x:c>
      <x:c r="X1943" s="20" t="n">
        <x:v>3.3</x:v>
      </x:c>
      <x:c r="Y1943" t="str">
        <x:v>Basis arsip 2025/2024</x:v>
      </x:c>
      <x:c r="Z1943" t="str">
        <x:v>https://snpmb.id/utbk-snbt/daya-tampung-snbt</x:v>
      </x:c>
      <x:c r="AA1943" t="str">
        <x:v>Tidak Ada</x:v>
      </x:c>
      <x:c r="AB1943" t="str">
        <x:v>Campus=80; Ratio=67.2; Prodi=45; RelDemand=29.8; Capacity=80.0</x:v>
      </x:c>
    </x:row>
    <x:row r="1944">
      <x:c r="A1944" t="n">
        <x:v>1941</x:v>
      </x:c>
      <x:c r="B1944" t="str">
        <x:v>PTN Akademik</x:v>
      </x:c>
      <x:c r="C1944" t="str">
        <x:v>UNIVERSITAS NEGERI YOGYAKARTA</x:v>
      </x:c>
      <x:c r="D1944" t="str">
        <x:v>PENDIDIKAN BAHASA INGGRIS</x:v>
      </x:c>
      <x:c r="E1944" t="str">
        <x:v>Sarjana</x:v>
      </x:c>
      <x:c r="F1944" s="18" t="n">
        <x:v>72</x:v>
      </x:c>
      <x:c r="G1944" s="18" t="n">
        <x:v>826</x:v>
      </x:c>
      <x:c r="H1944" s="19" t="n">
        <x:v>11.472222222222221</x:v>
      </x:c>
      <x:c r="I1944" s="18" t="n">
        <x:f>ROUND(MIN(Model_Config_v3!$B$6,MAX(Q1944,R1944,S1944*Model_Config_v3!$B$4+T1944*Model_Config_v3!$B$5)),0)</x:f>
        <x:v>666</x:v>
      </x:c>
      <x:c r="J1944" s="18" t="n">
        <x:f>MIN(Model_Config_v3!$B$6,I1944+Model_Config_v3!$B$7)</x:f>
        <x:v>686</x:v>
      </x:c>
      <x:c r="K1944" s="20" t="n">
        <x:v>59.1</x:v>
      </x:c>
      <x:c r="L1944" t="str">
        <x:v>KETAT</x:v>
      </x:c>
      <x:c r="M1944" t="str">
        <x:v>SEDANG+</x:v>
      </x:c>
      <x:c r="N1944" t="str">
        <x:v>ELITE-3</x:v>
      </x:c>
      <x:c r="O1944" t="str">
        <x:v>SOSHUM</x:v>
      </x:c>
      <x:c r="P1944" t="str">
        <x:v>PENDIDIKAN</x:v>
      </x:c>
      <x:c r="Q1944" s="18" t="n">
        <x:v>625</x:v>
      </x:c>
      <x:c r="R1944" s="18" t="n">
        <x:v>0</x:v>
      </x:c>
      <x:c r="S1944" s="18" t="n">
        <x:v>636.5612305978025</x:v>
      </x:c>
      <x:c r="T1944" s="18" t="n">
        <x:v>678</x:v>
      </x:c>
      <x:c r="U1944" s="18" t="n">
        <x:v>636.5612305978025</x:v>
      </x:c>
      <x:c r="V1944" s="20" t="n">
        <x:v>4.4</x:v>
      </x:c>
      <x:c r="W1944" s="20" t="n">
        <x:v>14.3</x:v>
      </x:c>
      <x:c r="X1944" s="20" t="n">
        <x:v>3.3</x:v>
      </x:c>
      <x:c r="Y1944" t="str">
        <x:v>Basis arsip 2025/2024</x:v>
      </x:c>
      <x:c r="Z1944" t="str">
        <x:v>https://snpmb.id/utbk-snbt/daya-tampung-snbt</x:v>
      </x:c>
      <x:c r="AA1944" t="str">
        <x:v>Tidak Ada</x:v>
      </x:c>
      <x:c r="AB1944" t="str">
        <x:v>Campus=80; Ratio=62.4; Prodi=45; RelDemand=24.7; Capacity=40.0</x:v>
      </x:c>
    </x:row>
    <x:row r="1945">
      <x:c r="A1945" t="n">
        <x:v>1942</x:v>
      </x:c>
      <x:c r="B1945" t="str">
        <x:v>PTN Akademik</x:v>
      </x:c>
      <x:c r="C1945" t="str">
        <x:v>UNIVERSITAS NEGERI YOGYAKARTA</x:v>
      </x:c>
      <x:c r="D1945" t="str">
        <x:v>PENDIDIKAN BAHASA JERMAN</x:v>
      </x:c>
      <x:c r="E1945" t="str">
        <x:v>Sarjana</x:v>
      </x:c>
      <x:c r="F1945" s="18" t="n">
        <x:v>24</x:v>
      </x:c>
      <x:c r="G1945" s="18" t="n">
        <x:v>116</x:v>
      </x:c>
      <x:c r="H1945" s="19" t="n">
        <x:v>4.833333333333333</x:v>
      </x:c>
      <x:c r="I1945" s="18" t="n">
        <x:f>ROUND(MIN(Model_Config_v3!$B$6,MAX(Q1945,R1945,S1945*Model_Config_v3!$B$4+T1945*Model_Config_v3!$B$5)),0)</x:f>
        <x:v>649</x:v>
      </x:c>
      <x:c r="J1945" s="18" t="n">
        <x:f>MIN(Model_Config_v3!$B$6,I1945+Model_Config_v3!$B$7)</x:f>
        <x:v>669</x:v>
      </x:c>
      <x:c r="K1945" s="20" t="n">
        <x:v>56.1</x:v>
      </x:c>
      <x:c r="L1945" t="str">
        <x:v>KETAT</x:v>
      </x:c>
      <x:c r="M1945" t="str">
        <x:v>SEDANG+</x:v>
      </x:c>
      <x:c r="N1945" t="str">
        <x:v>ELITE-3</x:v>
      </x:c>
      <x:c r="O1945" t="str">
        <x:v>SOSHUM</x:v>
      </x:c>
      <x:c r="P1945" t="str">
        <x:v>PENDIDIKAN</x:v>
      </x:c>
      <x:c r="Q1945" s="18" t="n">
        <x:v>625</x:v>
      </x:c>
      <x:c r="R1945" s="18" t="n">
        <x:v>0</x:v>
      </x:c>
      <x:c r="S1945" s="18" t="n">
        <x:v>595.2671422266843</x:v>
      </x:c>
      <x:c r="T1945" s="18" t="n">
        <x:v>672</x:v>
      </x:c>
      <x:c r="U1945" s="18" t="n">
        <x:v>625</x:v>
      </x:c>
      <x:c r="V1945" s="20" t="n">
        <x:v>4.4</x:v>
      </x:c>
      <x:c r="W1945" s="20" t="n">
        <x:v>14.3</x:v>
      </x:c>
      <x:c r="X1945" s="20" t="n">
        <x:v>3.3</x:v>
      </x:c>
      <x:c r="Y1945" t="str">
        <x:v>Basis arsip 2025/2024</x:v>
      </x:c>
      <x:c r="Z1945" t="str">
        <x:v>https://snpmb.id/utbk-snbt/daya-tampung-snbt</x:v>
      </x:c>
      <x:c r="AA1945" t="str">
        <x:v>Tidak Ada</x:v>
      </x:c>
      <x:c r="AB1945" t="str">
        <x:v>Campus=80; Ratio=40.3; Prodi=45; RelDemand=10.4; Capacity=80.0</x:v>
      </x:c>
    </x:row>
    <x:row r="1946">
      <x:c r="A1946" t="n">
        <x:v>1943</x:v>
      </x:c>
      <x:c r="B1946" t="str">
        <x:v>PTN Akademik</x:v>
      </x:c>
      <x:c r="C1946" t="str">
        <x:v>UNIVERSITAS NEGERI YOGYAKARTA</x:v>
      </x:c>
      <x:c r="D1946" t="str">
        <x:v>PENDIDIKAN BAHASA PRANCIS</x:v>
      </x:c>
      <x:c r="E1946" t="str">
        <x:v>Sarjana</x:v>
      </x:c>
      <x:c r="F1946" s="18" t="n">
        <x:v>28</x:v>
      </x:c>
      <x:c r="G1946" s="18" t="n">
        <x:v>68</x:v>
      </x:c>
      <x:c r="H1946" s="19" t="n">
        <x:v>2.4285714285714284</x:v>
      </x:c>
      <x:c r="I1946" s="18" t="n">
        <x:f>ROUND(MIN(Model_Config_v3!$B$6,MAX(Q1946,R1946,S1946*Model_Config_v3!$B$4+T1946*Model_Config_v3!$B$5)),0)</x:f>
        <x:v>632</x:v>
      </x:c>
      <x:c r="J1946" s="18" t="n">
        <x:f>MIN(Model_Config_v3!$B$6,I1946+Model_Config_v3!$B$7)</x:f>
        <x:v>652</x:v>
      </x:c>
      <x:c r="K1946" s="20" t="n">
        <x:v>50.9</x:v>
      </x:c>
      <x:c r="L1946" t="str">
        <x:v>MENENGAH</x:v>
      </x:c>
      <x:c r="M1946" t="str">
        <x:v>SEDANG+</x:v>
      </x:c>
      <x:c r="N1946" t="str">
        <x:v>ELITE-3</x:v>
      </x:c>
      <x:c r="O1946" t="str">
        <x:v>SOSHUM</x:v>
      </x:c>
      <x:c r="P1946" t="str">
        <x:v>PENDIDIKAN</x:v>
      </x:c>
      <x:c r="Q1946" s="18" t="n">
        <x:v>625</x:v>
      </x:c>
      <x:c r="R1946" s="18" t="n">
        <x:v>0</x:v>
      </x:c>
      <x:c r="S1946" s="18" t="n">
        <x:v>562.3885969500419</x:v>
      </x:c>
      <x:c r="T1946" s="18" t="n">
        <x:v>662</x:v>
      </x:c>
      <x:c r="U1946" s="18" t="n">
        <x:v>625</x:v>
      </x:c>
      <x:c r="V1946" s="20" t="n">
        <x:v>4.4</x:v>
      </x:c>
      <x:c r="W1946" s="20" t="n">
        <x:v>14.3</x:v>
      </x:c>
      <x:c r="X1946" s="20" t="n">
        <x:v>3.3</x:v>
      </x:c>
      <x:c r="Y1946" t="str">
        <x:v>Basis arsip 2025/2024</x:v>
      </x:c>
      <x:c r="Z1946" t="str">
        <x:v>https://snpmb.id/utbk-snbt/daya-tampung-snbt</x:v>
      </x:c>
      <x:c r="AA1946" t="str">
        <x:v>Tidak Ada</x:v>
      </x:c>
      <x:c r="AB1946" t="str">
        <x:v>Campus=80; Ratio=22.7; Prodi=45; RelDemand=5.2; Capacity=76.7</x:v>
      </x:c>
    </x:row>
    <x:row r="1947">
      <x:c r="A1947" t="n">
        <x:v>1944</x:v>
      </x:c>
      <x:c r="B1947" t="str">
        <x:v>PTN Akademik</x:v>
      </x:c>
      <x:c r="C1947" t="str">
        <x:v>UNIVERSITAS NEGERI YOGYAKARTA</x:v>
      </x:c>
      <x:c r="D1947" t="str">
        <x:v>PENDIDIKAN SENI RUPA</x:v>
      </x:c>
      <x:c r="E1947" t="str">
        <x:v>Sarjana</x:v>
      </x:c>
      <x:c r="F1947" s="18" t="n">
        <x:v>24</x:v>
      </x:c>
      <x:c r="G1947" s="18" t="n">
        <x:v>143</x:v>
      </x:c>
      <x:c r="H1947" s="19" t="n">
        <x:v>5.958333333333333</x:v>
      </x:c>
      <x:c r="I1947" s="18" t="n">
        <x:f>ROUND(MIN(Model_Config_v3!$B$6,MAX(Q1947,R1947,S1947*Model_Config_v3!$B$4+T1947*Model_Config_v3!$B$5)),0)</x:f>
        <x:v>654</x:v>
      </x:c>
      <x:c r="J1947" s="18" t="n">
        <x:f>MIN(Model_Config_v3!$B$6,I1947+Model_Config_v3!$B$7)</x:f>
        <x:v>674</x:v>
      </x:c>
      <x:c r="K1947" s="20" t="n">
        <x:v>57.7</x:v>
      </x:c>
      <x:c r="L1947" t="str">
        <x:v>KETAT</x:v>
      </x:c>
      <x:c r="M1947" t="str">
        <x:v>PORTOFOLIO</x:v>
      </x:c>
      <x:c r="N1947" t="str">
        <x:v>ELITE-3</x:v>
      </x:c>
      <x:c r="O1947" t="str">
        <x:v>SENI/OLAHRAGA</x:v>
      </x:c>
      <x:c r="P1947" t="str">
        <x:v>SENI/OLAHRAGA</x:v>
      </x:c>
      <x:c r="Q1947" s="18" t="n">
        <x:v>625</x:v>
      </x:c>
      <x:c r="R1947" s="18" t="n">
        <x:v>0</x:v>
      </x:c>
      <x:c r="S1947" s="18" t="n">
        <x:v>605.2637275328801</x:v>
      </x:c>
      <x:c r="T1947" s="18" t="n">
        <x:v>675</x:v>
      </x:c>
      <x:c r="U1947" s="18" t="n">
        <x:v>625</x:v>
      </x:c>
      <x:c r="V1947" s="20" t="n">
        <x:v>4.4</x:v>
      </x:c>
      <x:c r="W1947" s="20" t="n">
        <x:v>9.9</x:v>
      </x:c>
      <x:c r="X1947" s="20" t="n">
        <x:v>7.7</x:v>
      </x:c>
      <x:c r="Y1947" t="str">
        <x:v>Basis arsip 2025/2024</x:v>
      </x:c>
      <x:c r="Z1947" t="str">
        <x:v>https://snpmb.id/utbk-snbt/daya-tampung-snbt</x:v>
      </x:c>
      <x:c r="AA1947" t="str">
        <x:v>Seni Rupa, Desain, dan Kriya</x:v>
      </x:c>
      <x:c r="AB1947" t="str">
        <x:v>Campus=80; Ratio=45.6; Prodi=45; RelDemand=12.8; Capacity=80.0</x:v>
      </x:c>
    </x:row>
    <x:row r="1948">
      <x:c r="A1948" t="n">
        <x:v>1945</x:v>
      </x:c>
      <x:c r="B1948" t="str">
        <x:v>PTN Akademik</x:v>
      </x:c>
      <x:c r="C1948" t="str">
        <x:v>UNIVERSITAS NEGERI YOGYAKARTA</x:v>
      </x:c>
      <x:c r="D1948" t="str">
        <x:v>SASTRA INDONESIA</x:v>
      </x:c>
      <x:c r="E1948" t="str">
        <x:v>Sarjana</x:v>
      </x:c>
      <x:c r="F1948" s="18" t="n">
        <x:v>36</x:v>
      </x:c>
      <x:c r="G1948" s="18" t="n">
        <x:v>386</x:v>
      </x:c>
      <x:c r="H1948" s="19" t="n">
        <x:v>10.722222222222221</x:v>
      </x:c>
      <x:c r="I1948" s="18" t="n">
        <x:f>ROUND(MIN(Model_Config_v3!$B$6,MAX(Q1948,R1948,S1948*Model_Config_v3!$B$4+T1948*Model_Config_v3!$B$5)),0)</x:f>
        <x:v>667</x:v>
      </x:c>
      <x:c r="J1948" s="18" t="n">
        <x:f>MIN(Model_Config_v3!$B$6,I1948+Model_Config_v3!$B$7)</x:f>
        <x:v>687</x:v>
      </x:c>
      <x:c r="K1948" s="20" t="n">
        <x:v>60.5</x:v>
      </x:c>
      <x:c r="L1948" t="str">
        <x:v>KETAT</x:v>
      </x:c>
      <x:c r="M1948" t="str">
        <x:v>SEDANG+</x:v>
      </x:c>
      <x:c r="N1948" t="str">
        <x:v>ELITE-3</x:v>
      </x:c>
      <x:c r="O1948" t="str">
        <x:v>SOSHUM</x:v>
      </x:c>
      <x:c r="P1948" t="str">
        <x:v>UMUM</x:v>
      </x:c>
      <x:c r="Q1948" s="18" t="n">
        <x:v>625</x:v>
      </x:c>
      <x:c r="R1948" s="18" t="n">
        <x:v>0</x:v>
      </x:c>
      <x:c r="S1948" s="18" t="n">
        <x:v>633.3313284294915</x:v>
      </x:c>
      <x:c r="T1948" s="18" t="n">
        <x:v>681</x:v>
      </x:c>
      <x:c r="U1948" s="18" t="n">
        <x:v>633.3313284294915</x:v>
      </x:c>
      <x:c r="V1948" s="20" t="n">
        <x:v>4.4</x:v>
      </x:c>
      <x:c r="W1948" s="20" t="n">
        <x:v>14.3</x:v>
      </x:c>
      <x:c r="X1948" s="20" t="n">
        <x:v>3.3</x:v>
      </x:c>
      <x:c r="Y1948" t="str">
        <x:v>Basis arsip 2025/2024</x:v>
      </x:c>
      <x:c r="Z1948" t="str">
        <x:v>https://snpmb.id/utbk-snbt/daya-tampung-snbt</x:v>
      </x:c>
      <x:c r="AA1948" t="str">
        <x:v>Tidak Ada</x:v>
      </x:c>
      <x:c r="AB1948" t="str">
        <x:v>Campus=80; Ratio=60.6; Prodi=40; RelDemand=23.1; Capacity=70.0</x:v>
      </x:c>
    </x:row>
    <x:row r="1949">
      <x:c r="A1949" t="n">
        <x:v>1946</x:v>
      </x:c>
      <x:c r="B1949" t="str">
        <x:v>PTN Akademik</x:v>
      </x:c>
      <x:c r="C1949" t="str">
        <x:v>UNIVERSITAS NEGERI YOGYAKARTA</x:v>
      </x:c>
      <x:c r="D1949" t="str">
        <x:v>SASTRA INGGRIS</x:v>
      </x:c>
      <x:c r="E1949" t="str">
        <x:v>Sarjana</x:v>
      </x:c>
      <x:c r="F1949" s="18" t="n">
        <x:v>36</x:v>
      </x:c>
      <x:c r="G1949" s="18" t="n">
        <x:v>731</x:v>
      </x:c>
      <x:c r="H1949" s="19" t="n">
        <x:v>20.305555555555557</x:v>
      </x:c>
      <x:c r="I1949" s="18" t="n">
        <x:f>ROUND(MIN(Model_Config_v3!$B$6,MAX(Q1949,R1949,S1949*Model_Config_v3!$B$4+T1949*Model_Config_v3!$B$5)),0)</x:f>
        <x:v>684</x:v>
      </x:c>
      <x:c r="J1949" s="18" t="n">
        <x:f>MIN(Model_Config_v3!$B$6,I1949+Model_Config_v3!$B$7)</x:f>
        <x:v>704</x:v>
      </x:c>
      <x:c r="K1949" s="20" t="n">
        <x:v>66.6</x:v>
      </x:c>
      <x:c r="L1949" t="str">
        <x:v>SANGAT KETAT</x:v>
      </x:c>
      <x:c r="M1949" t="str">
        <x:v>SEDANG+</x:v>
      </x:c>
      <x:c r="N1949" t="str">
        <x:v>ELITE-3</x:v>
      </x:c>
      <x:c r="O1949" t="str">
        <x:v>SOSHUM</x:v>
      </x:c>
      <x:c r="P1949" t="str">
        <x:v>UMUM</x:v>
      </x:c>
      <x:c r="Q1949" s="18" t="n">
        <x:v>625</x:v>
      </x:c>
      <x:c r="R1949" s="18" t="n">
        <x:v>0</x:v>
      </x:c>
      <x:c r="S1949" s="18" t="n">
        <x:v>663.837636380963</x:v>
      </x:c>
      <x:c r="T1949" s="18" t="n">
        <x:v>693</x:v>
      </x:c>
      <x:c r="U1949" s="18" t="n">
        <x:v>663.837636380963</x:v>
      </x:c>
      <x:c r="V1949" s="20" t="n">
        <x:v>4.4</x:v>
      </x:c>
      <x:c r="W1949" s="20" t="n">
        <x:v>14.3</x:v>
      </x:c>
      <x:c r="X1949" s="20" t="n">
        <x:v>3.3</x:v>
      </x:c>
      <x:c r="Y1949" t="str">
        <x:v>Basis arsip 2025/2024</x:v>
      </x:c>
      <x:c r="Z1949" t="str">
        <x:v>https://snpmb.id/utbk-snbt/daya-tampung-snbt</x:v>
      </x:c>
      <x:c r="AA1949" t="str">
        <x:v>Tidak Ada</x:v>
      </x:c>
      <x:c r="AB1949" t="str">
        <x:v>Campus=80; Ratio=77.0; Prodi=40; RelDemand=43.7; Capacity=70.0</x:v>
      </x:c>
    </x:row>
    <x:row r="1950">
      <x:c r="A1950" t="n">
        <x:v>1947</x:v>
      </x:c>
      <x:c r="B1950" t="str">
        <x:v>PTN Akademik</x:v>
      </x:c>
      <x:c r="C1950" t="str">
        <x:v>UNIVERSITAS NEGERI YOGYAKARTA</x:v>
      </x:c>
      <x:c r="D1950" t="str">
        <x:v>PENDIDIKAN SENI TARI</x:v>
      </x:c>
      <x:c r="E1950" t="str">
        <x:v>Sarjana</x:v>
      </x:c>
      <x:c r="F1950" s="18" t="n">
        <x:v>28</x:v>
      </x:c>
      <x:c r="G1950" s="18" t="n">
        <x:v>148</x:v>
      </x:c>
      <x:c r="H1950" s="19" t="n">
        <x:v>5.285714285714286</x:v>
      </x:c>
      <x:c r="I1950" s="18" t="n">
        <x:f>ROUND(MIN(Model_Config_v3!$B$6,MAX(Q1950,R1950,S1950*Model_Config_v3!$B$4+T1950*Model_Config_v3!$B$5)),0)</x:f>
        <x:v>651</x:v>
      </x:c>
      <x:c r="J1950" s="18" t="n">
        <x:f>MIN(Model_Config_v3!$B$6,I1950+Model_Config_v3!$B$7)</x:f>
        <x:v>671</x:v>
      </x:c>
      <x:c r="K1950" s="20" t="n">
        <x:v>56.4</x:v>
      </x:c>
      <x:c r="L1950" t="str">
        <x:v>KETAT</x:v>
      </x:c>
      <x:c r="M1950" t="str">
        <x:v>PORTOFOLIO</x:v>
      </x:c>
      <x:c r="N1950" t="str">
        <x:v>ELITE-3</x:v>
      </x:c>
      <x:c r="O1950" t="str">
        <x:v>SENI/OLAHRAGA</x:v>
      </x:c>
      <x:c r="P1950" t="str">
        <x:v>SENI/OLAHRAGA</x:v>
      </x:c>
      <x:c r="Q1950" s="18" t="n">
        <x:v>625</x:v>
      </x:c>
      <x:c r="R1950" s="18" t="n">
        <x:v>0</x:v>
      </x:c>
      <x:c r="S1950" s="18" t="n">
        <x:v>599.5414052458012</x:v>
      </x:c>
      <x:c r="T1950" s="18" t="n">
        <x:v>673</x:v>
      </x:c>
      <x:c r="U1950" s="18" t="n">
        <x:v>625</x:v>
      </x:c>
      <x:c r="V1950" s="20" t="n">
        <x:v>4.4</x:v>
      </x:c>
      <x:c r="W1950" s="20" t="n">
        <x:v>9.9</x:v>
      </x:c>
      <x:c r="X1950" s="20" t="n">
        <x:v>7.7</x:v>
      </x:c>
      <x:c r="Y1950" t="str">
        <x:v>Basis arsip 2025/2024</x:v>
      </x:c>
      <x:c r="Z1950" t="str">
        <x:v>https://snpmb.id/utbk-snbt/daya-tampung-snbt</x:v>
      </x:c>
      <x:c r="AA1950" t="str">
        <x:v>Tari</x:v>
      </x:c>
      <x:c r="AB1950" t="str">
        <x:v>Campus=80; Ratio=42.6; Prodi=45; RelDemand=11.4; Capacity=76.7</x:v>
      </x:c>
    </x:row>
    <x:row r="1951">
      <x:c r="A1951" t="n">
        <x:v>1948</x:v>
      </x:c>
      <x:c r="B1951" t="str">
        <x:v>PTN Akademik</x:v>
      </x:c>
      <x:c r="C1951" t="str">
        <x:v>UNIVERSITAS NEGERI YOGYAKARTA</x:v>
      </x:c>
      <x:c r="D1951" t="str">
        <x:v>PENDIDIKAN SENI MUSIK</x:v>
      </x:c>
      <x:c r="E1951" t="str">
        <x:v>Sarjana</x:v>
      </x:c>
      <x:c r="F1951" s="18" t="n">
        <x:v>28</x:v>
      </x:c>
      <x:c r="G1951" s="18" t="n">
        <x:v>117</x:v>
      </x:c>
      <x:c r="H1951" s="19" t="n">
        <x:v>4.178571428571429</x:v>
      </x:c>
      <x:c r="I1951" s="18" t="n">
        <x:f>ROUND(MIN(Model_Config_v3!$B$6,MAX(Q1951,R1951,S1951*Model_Config_v3!$B$4+T1951*Model_Config_v3!$B$5)),0)</x:f>
        <x:v>645</x:v>
      </x:c>
      <x:c r="J1951" s="18" t="n">
        <x:f>MIN(Model_Config_v3!$B$6,I1951+Model_Config_v3!$B$7)</x:f>
        <x:v>665</x:v>
      </x:c>
      <x:c r="K1951" s="20" t="n">
        <x:v>54.7</x:v>
      </x:c>
      <x:c r="L1951" t="str">
        <x:v>MENENGAH</x:v>
      </x:c>
      <x:c r="M1951" t="str">
        <x:v>PORTOFOLIO</x:v>
      </x:c>
      <x:c r="N1951" t="str">
        <x:v>ELITE-3</x:v>
      </x:c>
      <x:c r="O1951" t="str">
        <x:v>SENI/OLAHRAGA</x:v>
      </x:c>
      <x:c r="P1951" t="str">
        <x:v>SENI/OLAHRAGA</x:v>
      </x:c>
      <x:c r="Q1951" s="18" t="n">
        <x:v>625</x:v>
      </x:c>
      <x:c r="R1951" s="18" t="n">
        <x:v>0</x:v>
      </x:c>
      <x:c r="S1951" s="18" t="n">
        <x:v>588.3130613444337</x:v>
      </x:c>
      <x:c r="T1951" s="18" t="n">
        <x:v>669</x:v>
      </x:c>
      <x:c r="U1951" s="18" t="n">
        <x:v>625</x:v>
      </x:c>
      <x:c r="V1951" s="20" t="n">
        <x:v>4.4</x:v>
      </x:c>
      <x:c r="W1951" s="20" t="n">
        <x:v>9.9</x:v>
      </x:c>
      <x:c r="X1951" s="20" t="n">
        <x:v>7.7</x:v>
      </x:c>
      <x:c r="Y1951" t="str">
        <x:v>Basis arsip 2025/2024</x:v>
      </x:c>
      <x:c r="Z1951" t="str">
        <x:v>https://snpmb.id/utbk-snbt/daya-tampung-snbt</x:v>
      </x:c>
      <x:c r="AA1951" t="str">
        <x:v>Musik</x:v>
      </x:c>
      <x:c r="AB1951" t="str">
        <x:v>Campus=80; Ratio=36.6; Prodi=45; RelDemand=9.0; Capacity=76.7</x:v>
      </x:c>
    </x:row>
    <x:row r="1952">
      <x:c r="A1952" t="n">
        <x:v>1949</x:v>
      </x:c>
      <x:c r="B1952" t="str">
        <x:v>PTN Akademik</x:v>
      </x:c>
      <x:c r="C1952" t="str">
        <x:v>UNIVERSITAS NEGERI YOGYAKARTA</x:v>
      </x:c>
      <x:c r="D1952" t="str">
        <x:v>PENDIDIKAN BAHASA DAN SASTRA INDONESIA</x:v>
      </x:c>
      <x:c r="E1952" t="str">
        <x:v>Sarjana</x:v>
      </x:c>
      <x:c r="F1952" s="18" t="n">
        <x:v>66</x:v>
      </x:c>
      <x:c r="G1952" s="18" t="n">
        <x:v>819</x:v>
      </x:c>
      <x:c r="H1952" s="19" t="n">
        <x:v>12.409090909090908</x:v>
      </x:c>
      <x:c r="I1952" s="18" t="n">
        <x:f>ROUND(MIN(Model_Config_v3!$B$6,MAX(Q1952,R1952,S1952*Model_Config_v3!$B$4+T1952*Model_Config_v3!$B$5)),0)</x:f>
        <x:v>669</x:v>
      </x:c>
      <x:c r="J1952" s="18" t="n">
        <x:f>MIN(Model_Config_v3!$B$6,I1952+Model_Config_v3!$B$7)</x:f>
        <x:v>689</x:v>
      </x:c>
      <x:c r="K1952" s="20" t="n">
        <x:v>60.3</x:v>
      </x:c>
      <x:c r="L1952" t="str">
        <x:v>KETAT</x:v>
      </x:c>
      <x:c r="M1952" t="str">
        <x:v>SEDANG+</x:v>
      </x:c>
      <x:c r="N1952" t="str">
        <x:v>ELITE-3</x:v>
      </x:c>
      <x:c r="O1952" t="str">
        <x:v>SOSHUM</x:v>
      </x:c>
      <x:c r="P1952" t="str">
        <x:v>PENDIDIKAN</x:v>
      </x:c>
      <x:c r="Q1952" s="18" t="n">
        <x:v>625</x:v>
      </x:c>
      <x:c r="R1952" s="18" t="n">
        <x:v>0</x:v>
      </x:c>
      <x:c r="S1952" s="18" t="n">
        <x:v>640.3113962840405</x:v>
      </x:c>
      <x:c r="T1952" s="18" t="n">
        <x:v>681</x:v>
      </x:c>
      <x:c r="U1952" s="18" t="n">
        <x:v>640.3113962840405</x:v>
      </x:c>
      <x:c r="V1952" s="20" t="n">
        <x:v>4.4</x:v>
      </x:c>
      <x:c r="W1952" s="20" t="n">
        <x:v>14.3</x:v>
      </x:c>
      <x:c r="X1952" s="20" t="n">
        <x:v>3.3</x:v>
      </x:c>
      <x:c r="Y1952" t="str">
        <x:v>Basis arsip 2025/2024</x:v>
      </x:c>
      <x:c r="Z1952" t="str">
        <x:v>https://snpmb.id/utbk-snbt/daya-tampung-snbt</x:v>
      </x:c>
      <x:c r="AA1952" t="str">
        <x:v>Tidak Ada</x:v>
      </x:c>
      <x:c r="AB1952" t="str">
        <x:v>Campus=80; Ratio=64.4; Prodi=45; RelDemand=26.7; Capacity=45.0</x:v>
      </x:c>
    </x:row>
    <x:row r="1953">
      <x:c r="A1953" t="n">
        <x:v>1950</x:v>
      </x:c>
      <x:c r="B1953" t="str">
        <x:v>PTN Akademik</x:v>
      </x:c>
      <x:c r="C1953" t="str">
        <x:v>UNIVERSITAS NEGERI YOGYAKARTA</x:v>
      </x:c>
      <x:c r="D1953" t="str">
        <x:v>PENDIDIKAN BAHASA JAWA</x:v>
      </x:c>
      <x:c r="E1953" t="str">
        <x:v>Sarjana</x:v>
      </x:c>
      <x:c r="F1953" s="18" t="n">
        <x:v>54</x:v>
      </x:c>
      <x:c r="G1953" s="18" t="n">
        <x:v>368</x:v>
      </x:c>
      <x:c r="H1953" s="19" t="n">
        <x:v>6.814814814814815</x:v>
      </x:c>
      <x:c r="I1953" s="18" t="n">
        <x:f>ROUND(MIN(Model_Config_v3!$B$6,MAX(Q1953,R1953,S1953*Model_Config_v3!$B$4+T1953*Model_Config_v3!$B$5)),0)</x:f>
        <x:v>654</x:v>
      </x:c>
      <x:c r="J1953" s="18" t="n">
        <x:f>MIN(Model_Config_v3!$B$6,I1953+Model_Config_v3!$B$7)</x:f>
        <x:v>674</x:v>
      </x:c>
      <x:c r="K1953" s="20" t="n">
        <x:v>56.2</x:v>
      </x:c>
      <x:c r="L1953" t="str">
        <x:v>KETAT</x:v>
      </x:c>
      <x:c r="M1953" t="str">
        <x:v>SEDANG+</x:v>
      </x:c>
      <x:c r="N1953" t="str">
        <x:v>ELITE-3</x:v>
      </x:c>
      <x:c r="O1953" t="str">
        <x:v>SOSHUM</x:v>
      </x:c>
      <x:c r="P1953" t="str">
        <x:v>PENDIDIKAN</x:v>
      </x:c>
      <x:c r="Q1953" s="18" t="n">
        <x:v>625</x:v>
      </x:c>
      <x:c r="R1953" s="18" t="n">
        <x:v>0</x:v>
      </x:c>
      <x:c r="S1953" s="18" t="n">
        <x:v>611.6799464735604</x:v>
      </x:c>
      <x:c r="T1953" s="18" t="n">
        <x:v>672</x:v>
      </x:c>
      <x:c r="U1953" s="18" t="n">
        <x:v>625</x:v>
      </x:c>
      <x:c r="V1953" s="20" t="n">
        <x:v>4.4</x:v>
      </x:c>
      <x:c r="W1953" s="20" t="n">
        <x:v>14.3</x:v>
      </x:c>
      <x:c r="X1953" s="20" t="n">
        <x:v>3.3</x:v>
      </x:c>
      <x:c r="Y1953" t="str">
        <x:v>Basis arsip 2025/2024</x:v>
      </x:c>
      <x:c r="Z1953" t="str">
        <x:v>https://snpmb.id/utbk-snbt/daya-tampung-snbt</x:v>
      </x:c>
      <x:c r="AA1953" t="str">
        <x:v>Tidak Ada</x:v>
      </x:c>
      <x:c r="AB1953" t="str">
        <x:v>Campus=80; Ratio=49.1; Prodi=45; RelDemand=14.7; Capacity=55.0</x:v>
      </x:c>
    </x:row>
    <x:row r="1954">
      <x:c r="A1954" t="n">
        <x:v>1951</x:v>
      </x:c>
      <x:c r="B1954" t="str">
        <x:v>PTN Akademik</x:v>
      </x:c>
      <x:c r="C1954" t="str">
        <x:v>UNIVERSITAS NEGERI YOGYAKARTA</x:v>
      </x:c>
      <x:c r="D1954" t="str">
        <x:v>ILMU KOMUNIKASI</x:v>
      </x:c>
      <x:c r="E1954" t="str">
        <x:v>Sarjana</x:v>
      </x:c>
      <x:c r="F1954" s="18" t="n">
        <x:v>54</x:v>
      </x:c>
      <x:c r="G1954" s="18" t="n">
        <x:v>2500</x:v>
      </x:c>
      <x:c r="H1954" s="19" t="n">
        <x:v>46.2962962962963</x:v>
      </x:c>
      <x:c r="I1954" s="18" t="n">
        <x:f>ROUND(MIN(Model_Config_v3!$B$6,MAX(Q1954,R1954,S1954*Model_Config_v3!$B$4+T1954*Model_Config_v3!$B$5)),0)</x:f>
        <x:v>709</x:v>
      </x:c>
      <x:c r="J1954" s="18" t="n">
        <x:f>MIN(Model_Config_v3!$B$6,I1954+Model_Config_v3!$B$7)</x:f>
        <x:v>729</x:v>
      </x:c>
      <x:c r="K1954" s="20" t="n">
        <x:v>76</x:v>
      </x:c>
      <x:c r="L1954" t="str">
        <x:v>ELITE</x:v>
      </x:c>
      <x:c r="M1954" t="str">
        <x:v>SEDANG+</x:v>
      </x:c>
      <x:c r="N1954" t="str">
        <x:v>ELITE-3</x:v>
      </x:c>
      <x:c r="O1954" t="str">
        <x:v>SOSHUM</x:v>
      </x:c>
      <x:c r="P1954" t="str">
        <x:v>UMUM</x:v>
      </x:c>
      <x:c r="Q1954" s="18" t="n">
        <x:v>625</x:v>
      </x:c>
      <x:c r="R1954" s="18" t="n">
        <x:v>0</x:v>
      </x:c>
      <x:c r="S1954" s="18" t="n">
        <x:v>703.2100873733976</x:v>
      </x:c>
      <x:c r="T1954" s="18" t="n">
        <x:v>712</x:v>
      </x:c>
      <x:c r="U1954" s="18" t="n">
        <x:v>703.2100873733976</x:v>
      </x:c>
      <x:c r="V1954" s="20" t="n">
        <x:v>4.4</x:v>
      </x:c>
      <x:c r="W1954" s="20" t="n">
        <x:v>14.3</x:v>
      </x:c>
      <x:c r="X1954" s="20" t="n">
        <x:v>3.3</x:v>
      </x:c>
      <x:c r="Y1954" t="str">
        <x:v>Basis arsip 2025/2024</x:v>
      </x:c>
      <x:c r="Z1954" t="str">
        <x:v>https://snpmb.id/utbk-snbt/daya-tampung-snbt</x:v>
      </x:c>
      <x:c r="AA1954" t="str">
        <x:v>Tidak Ada</x:v>
      </x:c>
      <x:c r="AB1954" t="str">
        <x:v>Campus=80; Ratio=98.0; Prodi=40; RelDemand=99.6; Capacity=55.0</x:v>
      </x:c>
    </x:row>
    <x:row r="1955">
      <x:c r="A1955" t="n">
        <x:v>1952</x:v>
      </x:c>
      <x:c r="B1955" t="str">
        <x:v>PTN Akademik</x:v>
      </x:c>
      <x:c r="C1955" t="str">
        <x:v>UNIVERSITAS NEGERI YOGYAKARTA</x:v>
      </x:c>
      <x:c r="D1955" t="str">
        <x:v>PSIKOLOGI</x:v>
      </x:c>
      <x:c r="E1955" t="str">
        <x:v>Sarjana</x:v>
      </x:c>
      <x:c r="F1955" s="18" t="n">
        <x:v>66</x:v>
      </x:c>
      <x:c r="G1955" s="18" t="n">
        <x:v>2894</x:v>
      </x:c>
      <x:c r="H1955" s="19" t="n">
        <x:v>43.84848484848485</x:v>
      </x:c>
      <x:c r="I1955" s="18" t="n">
        <x:f>ROUND(MIN(Model_Config_v3!$B$6,MAX(Q1955,R1955,S1955*Model_Config_v3!$B$4+T1955*Model_Config_v3!$B$5)),0)</x:f>
        <x:v>717</x:v>
      </x:c>
      <x:c r="J1955" s="18" t="n">
        <x:f>MIN(Model_Config_v3!$B$6,I1955+Model_Config_v3!$B$7)</x:f>
        <x:v>737</x:v>
      </x:c>
      <x:c r="K1955" s="20" t="n">
        <x:v>82.1</x:v>
      </x:c>
      <x:c r="L1955" t="str">
        <x:v>ELITE</x:v>
      </x:c>
      <x:c r="M1955" t="str">
        <x:v>SEDANG+</x:v>
      </x:c>
      <x:c r="N1955" t="str">
        <x:v>ELITE-3</x:v>
      </x:c>
      <x:c r="O1955" t="str">
        <x:v>SOSHUM</x:v>
      </x:c>
      <x:c r="P1955" t="str">
        <x:v>PSIKOLOGI</x:v>
      </x:c>
      <x:c r="Q1955" s="18" t="n">
        <x:v>625</x:v>
      </x:c>
      <x:c r="R1955" s="18" t="n">
        <x:v>670</x:v>
      </x:c>
      <x:c r="S1955" s="18" t="n">
        <x:v>700.6150050365266</x:v>
      </x:c>
      <x:c r="T1955" s="18" t="n">
        <x:v>724</x:v>
      </x:c>
      <x:c r="U1955" s="18" t="n">
        <x:v>725.6150050365266</x:v>
      </x:c>
      <x:c r="V1955" s="20" t="n">
        <x:v>4.4</x:v>
      </x:c>
      <x:c r="W1955" s="20" t="n">
        <x:v>14.3</x:v>
      </x:c>
      <x:c r="X1955" s="20" t="n">
        <x:v>3.3</x:v>
      </x:c>
      <x:c r="Y1955" t="str">
        <x:v>Basis arsip 2025/2024</x:v>
      </x:c>
      <x:c r="Z1955" t="str">
        <x:v>https://snpmb.id/utbk-snbt/daya-tampung-snbt</x:v>
      </x:c>
      <x:c r="AA1955" t="str">
        <x:v>Tidak Ada</x:v>
      </x:c>
      <x:c r="AB1955" t="str">
        <x:v>Campus=80; Ratio=96.6; Prodi=80; RelDemand=94.3; Capacity=45.0</x:v>
      </x:c>
    </x:row>
    <x:row r="1956">
      <x:c r="A1956" t="n">
        <x:v>1953</x:v>
      </x:c>
      <x:c r="B1956" t="str">
        <x:v>PTN Akademik</x:v>
      </x:c>
      <x:c r="C1956" t="str">
        <x:v>UNIVERSITAS NEGERI YOGYAKARTA</x:v>
      </x:c>
      <x:c r="D1956" t="str">
        <x:v>ARSITEKTUR</x:v>
      </x:c>
      <x:c r="E1956" t="str">
        <x:v>Sarjana</x:v>
      </x:c>
      <x:c r="F1956" s="18" t="n">
        <x:v>12</x:v>
      </x:c>
      <x:c r="G1956" s="18" t="n">
        <x:v>573</x:v>
      </x:c>
      <x:c r="H1956" s="19" t="n">
        <x:v>47.75</x:v>
      </x:c>
      <x:c r="I1956" s="18" t="n">
        <x:f>ROUND(MIN(Model_Config_v3!$B$6,MAX(Q1956,R1956,S1956*Model_Config_v3!$B$4+T1956*Model_Config_v3!$B$5)),0)</x:f>
        <x:v>720</x:v>
      </x:c>
      <x:c r="J1956" s="18" t="n">
        <x:f>MIN(Model_Config_v3!$B$6,I1956+Model_Config_v3!$B$7)</x:f>
        <x:v>740</x:v>
      </x:c>
      <x:c r="K1956" s="20" t="n">
        <x:v>83.7</x:v>
      </x:c>
      <x:c r="L1956" t="str">
        <x:v>ELITE</x:v>
      </x:c>
      <x:c r="M1956" t="str">
        <x:v>SEDANG+</x:v>
      </x:c>
      <x:c r="N1956" t="str">
        <x:v>ELITE-3</x:v>
      </x:c>
      <x:c r="O1956" t="str">
        <x:v>SAINTEK</x:v>
      </x:c>
      <x:c r="P1956" t="str">
        <x:v>TEKNIK/ARSITEKTUR/STATISTIKA/AKTUARIA</x:v>
      </x:c>
      <x:c r="Q1956" s="18" t="n">
        <x:v>625</x:v>
      </x:c>
      <x:c r="R1956" s="18" t="n">
        <x:v>0</x:v>
      </x:c>
      <x:c r="S1956" s="18" t="n">
        <x:v>704.6870713511742</x:v>
      </x:c>
      <x:c r="T1956" s="18" t="n">
        <x:v>727</x:v>
      </x:c>
      <x:c r="U1956" s="18" t="n">
        <x:v>704.6870713511742</x:v>
      </x:c>
      <x:c r="V1956" s="20" t="n">
        <x:v>12</x:v>
      </x:c>
      <x:c r="W1956" s="20" t="n">
        <x:v>5</x:v>
      </x:c>
      <x:c r="X1956" s="20" t="n">
        <x:v>3</x:v>
      </x:c>
      <x:c r="Y1956" t="str">
        <x:v>Basis arsip 2025/2024</x:v>
      </x:c>
      <x:c r="Z1956" t="str">
        <x:v>https://snpmb.id/utbk-snbt/daya-tampung-snbt</x:v>
      </x:c>
      <x:c r="AA1956" t="str">
        <x:v>Tidak Ada</x:v>
      </x:c>
      <x:c r="AB1956" t="str">
        <x:v>Campus=80; Ratio=98.8; Prodi=60; RelDemand=100.0; Capacity=90.0</x:v>
      </x:c>
    </x:row>
    <x:row r="1957">
      <x:c r="A1957" t="n">
        <x:v>1954</x:v>
      </x:c>
      <x:c r="B1957" t="str">
        <x:v>PTN Akademik</x:v>
      </x:c>
      <x:c r="C1957" t="str">
        <x:v>UNIVERSITAS NEGERI YOGYAKARTA</x:v>
      </x:c>
      <x:c r="D1957" t="str">
        <x:v>TEKNIK INDUSTRI</x:v>
      </x:c>
      <x:c r="E1957" t="str">
        <x:v>Sarjana</x:v>
      </x:c>
      <x:c r="F1957" s="18" t="n">
        <x:v>36</x:v>
      </x:c>
      <x:c r="G1957" s="18" t="n">
        <x:v>994</x:v>
      </x:c>
      <x:c r="H1957" s="19" t="n">
        <x:v>27.61111111111111</x:v>
      </x:c>
      <x:c r="I1957" s="18" t="n">
        <x:f>ROUND(MIN(Model_Config_v3!$B$6,MAX(Q1957,R1957,S1957*Model_Config_v3!$B$4+T1957*Model_Config_v3!$B$5)),0)</x:f>
        <x:v>699</x:v>
      </x:c>
      <x:c r="J1957" s="18" t="n">
        <x:f>MIN(Model_Config_v3!$B$6,I1957+Model_Config_v3!$B$7)</x:f>
        <x:v>719</x:v>
      </x:c>
      <x:c r="K1957" s="20" t="n">
        <x:v>74.1</x:v>
      </x:c>
      <x:c r="L1957" t="str">
        <x:v>SANGAT KETAT</x:v>
      </x:c>
      <x:c r="M1957" t="str">
        <x:v>SEDANG+</x:v>
      </x:c>
      <x:c r="N1957" t="str">
        <x:v>ELITE-3</x:v>
      </x:c>
      <x:c r="O1957" t="str">
        <x:v>SAINTEK</x:v>
      </x:c>
      <x:c r="P1957" t="str">
        <x:v>TEKNIK/ARSITEKTUR/STATISTIKA/AKTUARIA</x:v>
      </x:c>
      <x:c r="Q1957" s="18" t="n">
        <x:v>625</x:v>
      </x:c>
      <x:c r="R1957" s="18" t="n">
        <x:v>0</x:v>
      </x:c>
      <x:c r="S1957" s="18" t="n">
        <x:v>678.5192271993028</x:v>
      </x:c>
      <x:c r="T1957" s="18" t="n">
        <x:v>708</x:v>
      </x:c>
      <x:c r="U1957" s="18" t="n">
        <x:v>688.5192271993028</x:v>
      </x:c>
      <x:c r="V1957" s="20" t="n">
        <x:v>12</x:v>
      </x:c>
      <x:c r="W1957" s="20" t="n">
        <x:v>5</x:v>
      </x:c>
      <x:c r="X1957" s="20" t="n">
        <x:v>3</x:v>
      </x:c>
      <x:c r="Y1957" t="str">
        <x:v>Basis arsip 2025/2024</x:v>
      </x:c>
      <x:c r="Z1957" t="str">
        <x:v>https://snpmb.id/utbk-snbt/daya-tampung-snbt</x:v>
      </x:c>
      <x:c r="AA1957" t="str">
        <x:v>Tidak Ada</x:v>
      </x:c>
      <x:c r="AB1957" t="str">
        <x:v>Campus=80; Ratio=84.8; Prodi=60; RelDemand=59.4; Capacity=70.0</x:v>
      </x:c>
    </x:row>
    <x:row r="1958">
      <x:c r="A1958" t="n">
        <x:v>1955</x:v>
      </x:c>
      <x:c r="B1958" t="str">
        <x:v>PTN Akademik</x:v>
      </x:c>
      <x:c r="C1958" t="str">
        <x:v>UNIVERSITAS NEGERI YOGYAKARTA</x:v>
      </x:c>
      <x:c r="D1958" t="str">
        <x:v>PARIWISATA</x:v>
      </x:c>
      <x:c r="E1958" t="str">
        <x:v>Sarjana</x:v>
      </x:c>
      <x:c r="F1958" s="18" t="n">
        <x:v>36</x:v>
      </x:c>
      <x:c r="G1958" s="18" t="n">
        <x:v>1556</x:v>
      </x:c>
      <x:c r="H1958" s="19" t="n">
        <x:v>43.22222222222222</x:v>
      </x:c>
      <x:c r="I1958" s="18" t="n">
        <x:f>ROUND(MIN(Model_Config_v3!$B$6,MAX(Q1958,R1958,S1958*Model_Config_v3!$B$4+T1958*Model_Config_v3!$B$5)),0)</x:f>
        <x:v>709</x:v>
      </x:c>
      <x:c r="J1958" s="18" t="n">
        <x:f>MIN(Model_Config_v3!$B$6,I1958+Model_Config_v3!$B$7)</x:f>
        <x:v>729</x:v>
      </x:c>
      <x:c r="K1958" s="20" t="n">
        <x:v>76.4</x:v>
      </x:c>
      <x:c r="L1958" t="str">
        <x:v>ELITE</x:v>
      </x:c>
      <x:c r="M1958" t="str">
        <x:v>SEDANG+</x:v>
      </x:c>
      <x:c r="N1958" t="str">
        <x:v>ELITE-3</x:v>
      </x:c>
      <x:c r="O1958" t="str">
        <x:v>CAMPURAN</x:v>
      </x:c>
      <x:c r="P1958" t="str">
        <x:v>UMUM</x:v>
      </x:c>
      <x:c r="Q1958" s="18" t="n">
        <x:v>625</x:v>
      </x:c>
      <x:c r="R1958" s="18" t="n">
        <x:v>0</x:v>
      </x:c>
      <x:c r="S1958" s="18" t="n">
        <x:v>699.9277801075021</x:v>
      </x:c>
      <x:c r="T1958" s="18" t="n">
        <x:v>713</x:v>
      </x:c>
      <x:c r="U1958" s="18" t="n">
        <x:v>699.9277801075021</x:v>
      </x:c>
      <x:c r="V1958" s="20" t="n">
        <x:v>8.8</x:v>
      </x:c>
      <x:c r="W1958" s="20" t="n">
        <x:v>9.9</x:v>
      </x:c>
      <x:c r="X1958" s="20" t="n">
        <x:v>3.3</x:v>
      </x:c>
      <x:c r="Y1958" t="str">
        <x:v>Basis arsip 2025/2024</x:v>
      </x:c>
      <x:c r="Z1958" t="str">
        <x:v>https://snpmb.id/utbk-snbt/daya-tampung-snbt</x:v>
      </x:c>
      <x:c r="AA1958" t="str">
        <x:v>Tidak Ada</x:v>
      </x:c>
      <x:c r="AB1958" t="str">
        <x:v>Campus=80; Ratio=96.3; Prodi=40; RelDemand=93.0; Capacity=70.0</x:v>
      </x:c>
    </x:row>
    <x:row r="1959">
      <x:c r="A1959" t="n">
        <x:v>1956</x:v>
      </x:c>
      <x:c r="B1959" t="str">
        <x:v>PTN Akademik</x:v>
      </x:c>
      <x:c r="C1959" t="str">
        <x:v>UNIVERSITAS NEGERI YOGYAKARTA</x:v>
      </x:c>
      <x:c r="D1959" t="str">
        <x:v>ILMU POLITIK</x:v>
      </x:c>
      <x:c r="E1959" t="str">
        <x:v>Sarjana</x:v>
      </x:c>
      <x:c r="F1959" s="18" t="n">
        <x:v>24</x:v>
      </x:c>
      <x:c r="G1959" s="18"/>
      <x:c r="H1959" s="19" t="n">
        <x:v>0</x:v>
      </x:c>
      <x:c r="I1959" s="18" t="n">
        <x:f>ROUND(MIN(Model_Config_v3!$B$6,MAX(Q1959,R1959,S1959*Model_Config_v3!$B$4+T1959*Model_Config_v3!$B$5)),0)</x:f>
        <x:v>625</x:v>
      </x:c>
      <x:c r="J1959" s="18" t="n">
        <x:f>MIN(Model_Config_v3!$B$6,I1959+Model_Config_v3!$B$7)</x:f>
        <x:v>645</x:v>
      </x:c>
      <x:c r="K1959" s="20" t="n">
        <x:v>44</x:v>
      </x:c>
      <x:c r="L1959" t="str">
        <x:v>RELATIF LONGGAR</x:v>
      </x:c>
      <x:c r="M1959" t="str">
        <x:v>RENDAH</x:v>
      </x:c>
      <x:c r="N1959" t="str">
        <x:v>ELITE-3</x:v>
      </x:c>
      <x:c r="O1959" t="str">
        <x:v>SOSHUM</x:v>
      </x:c>
      <x:c r="P1959" t="str">
        <x:v>UMUM</x:v>
      </x:c>
      <x:c r="Q1959" s="18" t="n">
        <x:v>625</x:v>
      </x:c>
      <x:c r="R1959" s="18" t="n">
        <x:v>0</x:v>
      </x:c>
      <x:c r="S1959" s="18" t="n">
        <x:v>520</x:v>
      </x:c>
      <x:c r="T1959" s="18" t="n">
        <x:v>648</x:v>
      </x:c>
      <x:c r="U1959" s="18" t="n">
        <x:v>625</x:v>
      </x:c>
      <x:c r="V1959" s="20" t="n">
        <x:v>4.4</x:v>
      </x:c>
      <x:c r="W1959" s="20" t="n">
        <x:v>14.3</x:v>
      </x:c>
      <x:c r="X1959" s="20" t="n">
        <x:v>3.3</x:v>
      </x:c>
      <x:c r="Y1959" t="str">
        <x:v>Basis arsip 2025/2024</x:v>
      </x:c>
      <x:c r="Z1959" t="str">
        <x:v>https://snpmb.id/utbk-snbt/daya-tampung-snbt</x:v>
      </x:c>
      <x:c r="AA1959" t="str">
        <x:v>Tidak Ada</x:v>
      </x:c>
      <x:c r="AB1959" t="str">
        <x:v>Campus=80; Ratio=0.0; Prodi=40; RelDemand=0.0; Capacity=80.0</x:v>
      </x:c>
    </x:row>
    <x:row r="1960">
      <x:c r="A1960" t="n">
        <x:v>1957</x:v>
      </x:c>
      <x:c r="B1960" t="str">
        <x:v>PTN Akademik</x:v>
      </x:c>
      <x:c r="C1960" t="str">
        <x:v>UNIVERSITAS NEGERI YOGYAKARTA</x:v>
      </x:c>
      <x:c r="D1960" t="str">
        <x:v>ILMU HUKUM</x:v>
      </x:c>
      <x:c r="E1960" t="str">
        <x:v>Sarjana</x:v>
      </x:c>
      <x:c r="F1960" s="18" t="n">
        <x:v>36</x:v>
      </x:c>
      <x:c r="G1960" s="18"/>
      <x:c r="H1960" s="19" t="n">
        <x:v>0</x:v>
      </x:c>
      <x:c r="I1960" s="18" t="n">
        <x:f>ROUND(MIN(Model_Config_v3!$B$6,MAX(Q1960,R1960,S1960*Model_Config_v3!$B$4+T1960*Model_Config_v3!$B$5)),0)</x:f>
        <x:v>625</x:v>
      </x:c>
      <x:c r="J1960" s="18" t="n">
        <x:f>MIN(Model_Config_v3!$B$6,I1960+Model_Config_v3!$B$7)</x:f>
        <x:v>645</x:v>
      </x:c>
      <x:c r="K1960" s="20" t="n">
        <x:v>48</x:v>
      </x:c>
      <x:c r="L1960" t="str">
        <x:v>MENENGAH</x:v>
      </x:c>
      <x:c r="M1960" t="str">
        <x:v>RENDAH</x:v>
      </x:c>
      <x:c r="N1960" t="str">
        <x:v>ELITE-3</x:v>
      </x:c>
      <x:c r="O1960" t="str">
        <x:v>SOSHUM</x:v>
      </x:c>
      <x:c r="P1960" t="str">
        <x:v>HUKUM</x:v>
      </x:c>
      <x:c r="Q1960" s="18" t="n">
        <x:v>625</x:v>
      </x:c>
      <x:c r="R1960" s="18" t="n">
        <x:v>0</x:v>
      </x:c>
      <x:c r="S1960" s="18" t="n">
        <x:v>520</x:v>
      </x:c>
      <x:c r="T1960" s="18" t="n">
        <x:v>656</x:v>
      </x:c>
      <x:c r="U1960" s="18" t="n">
        <x:v>625</x:v>
      </x:c>
      <x:c r="V1960" s="20" t="n">
        <x:v>4.4</x:v>
      </x:c>
      <x:c r="W1960" s="20" t="n">
        <x:v>14.3</x:v>
      </x:c>
      <x:c r="X1960" s="20" t="n">
        <x:v>3.3</x:v>
      </x:c>
      <x:c r="Y1960" t="str">
        <x:v>Basis arsip 2025/2024</x:v>
      </x:c>
      <x:c r="Z1960" t="str">
        <x:v>https://snpmb.id/utbk-snbt/daya-tampung-snbt</x:v>
      </x:c>
      <x:c r="AA1960" t="str">
        <x:v>Tidak Ada</x:v>
      </x:c>
      <x:c r="AB1960" t="str">
        <x:v>Campus=80; Ratio=0.0; Prodi=65; RelDemand=0.0; Capacity=70.0</x:v>
      </x:c>
    </x:row>
    <x:row r="1961">
      <x:c r="A1961" t="n">
        <x:v>1958</x:v>
      </x:c>
      <x:c r="B1961" t="str">
        <x:v>PTN Akademik</x:v>
      </x:c>
      <x:c r="C1961" t="str">
        <x:v>UNIVERSITAS NEGERI YOGYAKARTA</x:v>
      </x:c>
      <x:c r="D1961" t="str">
        <x:v>KEDOKTERAN</x:v>
      </x:c>
      <x:c r="E1961" t="str">
        <x:v>Sarjana</x:v>
      </x:c>
      <x:c r="F1961" s="18" t="n">
        <x:v>15</x:v>
      </x:c>
      <x:c r="G1961" s="18"/>
      <x:c r="H1961" s="19" t="n">
        <x:v>0</x:v>
      </x:c>
      <x:c r="I1961" s="18" t="n">
        <x:f>ROUND(MIN(Model_Config_v3!$B$6,MAX(Q1961,R1961,S1961*Model_Config_v3!$B$4+T1961*Model_Config_v3!$B$5)),0)</x:f>
        <x:v>700</x:v>
      </x:c>
      <x:c r="J1961" s="18" t="n">
        <x:f>MIN(Model_Config_v3!$B$6,I1961+Model_Config_v3!$B$7)</x:f>
        <x:v>720</x:v>
      </x:c>
      <x:c r="K1961" s="20" t="n">
        <x:v>56.8</x:v>
      </x:c>
      <x:c r="L1961" t="str">
        <x:v>KETAT</x:v>
      </x:c>
      <x:c r="M1961" t="str">
        <x:v>RENDAH</x:v>
      </x:c>
      <x:c r="N1961" t="str">
        <x:v>ELITE-3</x:v>
      </x:c>
      <x:c r="O1961" t="str">
        <x:v>SAINTEK</x:v>
      </x:c>
      <x:c r="P1961" t="str">
        <x:v>KEDOKTERAN</x:v>
      </x:c>
      <x:c r="Q1961" s="18" t="n">
        <x:v>625</x:v>
      </x:c>
      <x:c r="R1961" s="18" t="n">
        <x:v>700</x:v>
      </x:c>
      <x:c r="S1961" s="18" t="n">
        <x:v>520</x:v>
      </x:c>
      <x:c r="T1961" s="18" t="n">
        <x:v>674</x:v>
      </x:c>
      <x:c r="U1961" s="18" t="n">
        <x:v>700</x:v>
      </x:c>
      <x:c r="V1961" s="20" t="n">
        <x:v>12</x:v>
      </x:c>
      <x:c r="W1961" s="20" t="n">
        <x:v>5</x:v>
      </x:c>
      <x:c r="X1961" s="20" t="n">
        <x:v>3</x:v>
      </x:c>
      <x:c r="Y1961" t="str">
        <x:v>Basis arsip 2025/2024</x:v>
      </x:c>
      <x:c r="Z1961" t="str">
        <x:v>https://snpmb.id/utbk-snbt/daya-tampung-snbt</x:v>
      </x:c>
      <x:c r="AA1961" t="str">
        <x:v>Tidak Ada</x:v>
      </x:c>
      <x:c r="AB1961" t="str">
        <x:v>Campus=80; Ratio=0.0; Prodi=100; RelDemand=0.0; Capacity=87.5</x:v>
      </x:c>
    </x:row>
    <x:row r="1962">
      <x:c r="A1962" t="n">
        <x:v>1959</x:v>
      </x:c>
      <x:c r="B1962" t="str">
        <x:v>PTN Akademik</x:v>
      </x:c>
      <x:c r="C1962" t="str">
        <x:v>UNIVERSITAS NEGERI YOGYAKARTA</x:v>
      </x:c>
      <x:c r="D1962" t="str">
        <x:v>DESAIN KOMUNIKASI VISUAL</x:v>
      </x:c>
      <x:c r="E1962" t="str">
        <x:v>Sarjana</x:v>
      </x:c>
      <x:c r="F1962" s="18" t="n">
        <x:v>24</x:v>
      </x:c>
      <x:c r="G1962" s="18"/>
      <x:c r="H1962" s="19" t="n">
        <x:v>0</x:v>
      </x:c>
      <x:c r="I1962" s="18" t="n">
        <x:f>ROUND(MIN(Model_Config_v3!$B$6,MAX(Q1962,R1962,S1962*Model_Config_v3!$B$4+T1962*Model_Config_v3!$B$5)),0)</x:f>
        <x:v>625</x:v>
      </x:c>
      <x:c r="J1962" s="18" t="n">
        <x:f>MIN(Model_Config_v3!$B$6,I1962+Model_Config_v3!$B$7)</x:f>
        <x:v>645</x:v>
      </x:c>
      <x:c r="K1962" s="20" t="n">
        <x:v>45</x:v>
      </x:c>
      <x:c r="L1962" t="str">
        <x:v>MENENGAH</x:v>
      </x:c>
      <x:c r="M1962" t="str">
        <x:v>PORTOFOLIO</x:v>
      </x:c>
      <x:c r="N1962" t="str">
        <x:v>ELITE-3</x:v>
      </x:c>
      <x:c r="O1962" t="str">
        <x:v>SENI/OLAHRAGA</x:v>
      </x:c>
      <x:c r="P1962" t="str">
        <x:v>SENI/OLAHRAGA</x:v>
      </x:c>
      <x:c r="Q1962" s="18" t="n">
        <x:v>625</x:v>
      </x:c>
      <x:c r="R1962" s="18" t="n">
        <x:v>0</x:v>
      </x:c>
      <x:c r="S1962" s="18" t="n">
        <x:v>520</x:v>
      </x:c>
      <x:c r="T1962" s="18" t="n">
        <x:v>650</x:v>
      </x:c>
      <x:c r="U1962" s="18" t="n">
        <x:v>625</x:v>
      </x:c>
      <x:c r="V1962" s="20" t="n">
        <x:v>4.4</x:v>
      </x:c>
      <x:c r="W1962" s="20" t="n">
        <x:v>9.9</x:v>
      </x:c>
      <x:c r="X1962" s="20" t="n">
        <x:v>7.7</x:v>
      </x:c>
      <x:c r="Y1962" t="str">
        <x:v>Basis arsip 2025/2024</x:v>
      </x:c>
      <x:c r="Z1962" t="str">
        <x:v>https://snpmb.id/utbk-snbt/daya-tampung-snbt</x:v>
      </x:c>
      <x:c r="AA1962" t="str">
        <x:v>Seni Rupa, Desain, dan Kriya</x:v>
      </x:c>
      <x:c r="AB1962" t="str">
        <x:v>Campus=80; Ratio=0.0; Prodi=45; RelDemand=0.0; Capacity=80.0</x:v>
      </x:c>
    </x:row>
    <x:row r="1963">
      <x:c r="A1963" t="n">
        <x:v>1960</x:v>
      </x:c>
      <x:c r="B1963" t="str">
        <x:v>PTN Akademik</x:v>
      </x:c>
      <x:c r="C1963" t="str">
        <x:v>UNIVERSITAS NEGERI YOGYAKARTA</x:v>
      </x:c>
      <x:c r="D1963" t="str">
        <x:v>TATA BUSANA</x:v>
      </x:c>
      <x:c r="E1963" t="str">
        <x:v>Sarjana Terapan</x:v>
      </x:c>
      <x:c r="F1963" s="18" t="n">
        <x:v>24</x:v>
      </x:c>
      <x:c r="G1963" s="18" t="n">
        <x:v>993</x:v>
      </x:c>
      <x:c r="H1963" s="19" t="n">
        <x:v>41.375</x:v>
      </x:c>
      <x:c r="I1963" s="18" t="n">
        <x:f>ROUND(MIN(Model_Config_v3!$B$6,MAX(Q1963,R1963,S1963*Model_Config_v3!$B$4+T1963*Model_Config_v3!$B$5)),0)</x:f>
        <x:v>708</x:v>
      </x:c>
      <x:c r="J1963" s="18" t="n">
        <x:f>MIN(Model_Config_v3!$B$6,I1963+Model_Config_v3!$B$7)</x:f>
        <x:v>728</x:v>
      </x:c>
      <x:c r="K1963" s="20" t="n">
        <x:v>76.7</x:v>
      </x:c>
      <x:c r="L1963" t="str">
        <x:v>ELITE</x:v>
      </x:c>
      <x:c r="M1963" t="str">
        <x:v>SEDANG+</x:v>
      </x:c>
      <x:c r="N1963" t="str">
        <x:v>ELITE-3</x:v>
      </x:c>
      <x:c r="O1963" t="str">
        <x:v>CAMPURAN</x:v>
      </x:c>
      <x:c r="P1963" t="str">
        <x:v>UMUM</x:v>
      </x:c>
      <x:c r="Q1963" s="18" t="n">
        <x:v>625</x:v>
      </x:c>
      <x:c r="R1963" s="18" t="n">
        <x:v>0</x:v>
      </x:c>
      <x:c r="S1963" s="18" t="n">
        <x:v>697.8411807462153</x:v>
      </x:c>
      <x:c r="T1963" s="18" t="n">
        <x:v>713</x:v>
      </x:c>
      <x:c r="U1963" s="18" t="n">
        <x:v>697.8411807462153</x:v>
      </x:c>
      <x:c r="V1963" s="20" t="n">
        <x:v>8.8</x:v>
      </x:c>
      <x:c r="W1963" s="20" t="n">
        <x:v>9.9</x:v>
      </x:c>
      <x:c r="X1963" s="20" t="n">
        <x:v>3.3</x:v>
      </x:c>
      <x:c r="Y1963" t="str">
        <x:v>Basis arsip 2025/2024</x:v>
      </x:c>
      <x:c r="Z1963" t="str">
        <x:v>https://snpmb.id/utbk-snbt/daya-tampung-snbt</x:v>
      </x:c>
      <x:c r="AA1963" t="str">
        <x:v>Tidak Ada</x:v>
      </x:c>
      <x:c r="AB1963" t="str">
        <x:v>Campus=80; Ratio=95.2; Prodi=40; RelDemand=89.0; Capacity=80.0</x:v>
      </x:c>
    </x:row>
    <x:row r="1964">
      <x:c r="A1964" t="n">
        <x:v>1961</x:v>
      </x:c>
      <x:c r="B1964" t="str">
        <x:v>PTN Akademik</x:v>
      </x:c>
      <x:c r="C1964" t="str">
        <x:v>UNIVERSITAS NEGERI YOGYAKARTA</x:v>
      </x:c>
      <x:c r="D1964" t="str">
        <x:v>TATA RIAS DAN KECANTIKAN</x:v>
      </x:c>
      <x:c r="E1964" t="str">
        <x:v>Sarjana Terapan</x:v>
      </x:c>
      <x:c r="F1964" s="18" t="n">
        <x:v>36</x:v>
      </x:c>
      <x:c r="G1964" s="18" t="n">
        <x:v>1005</x:v>
      </x:c>
      <x:c r="H1964" s="19" t="n">
        <x:v>27.916666666666668</x:v>
      </x:c>
      <x:c r="I1964" s="18" t="n">
        <x:f>ROUND(MIN(Model_Config_v3!$B$6,MAX(Q1964,R1964,S1964*Model_Config_v3!$B$4+T1964*Model_Config_v3!$B$5)),0)</x:f>
        <x:v>694</x:v>
      </x:c>
      <x:c r="J1964" s="18" t="n">
        <x:f>MIN(Model_Config_v3!$B$6,I1964+Model_Config_v3!$B$7)</x:f>
        <x:v>714</x:v>
      </x:c>
      <x:c r="K1964" s="20" t="n">
        <x:v>70.3</x:v>
      </x:c>
      <x:c r="L1964" t="str">
        <x:v>SANGAT KETAT</x:v>
      </x:c>
      <x:c r="M1964" t="str">
        <x:v>SEDANG+</x:v>
      </x:c>
      <x:c r="N1964" t="str">
        <x:v>ELITE-3</x:v>
      </x:c>
      <x:c r="O1964" t="str">
        <x:v>CAMPURAN</x:v>
      </x:c>
      <x:c r="P1964" t="str">
        <x:v>UMUM</x:v>
      </x:c>
      <x:c r="Q1964" s="18" t="n">
        <x:v>625</x:v>
      </x:c>
      <x:c r="R1964" s="18" t="n">
        <x:v>0</x:v>
      </x:c>
      <x:c r="S1964" s="18" t="n">
        <x:v>679.0449917088142</x:v>
      </x:c>
      <x:c r="T1964" s="18" t="n">
        <x:v>701</x:v>
      </x:c>
      <x:c r="U1964" s="18" t="n">
        <x:v>679.0449917088142</x:v>
      </x:c>
      <x:c r="V1964" s="20" t="n">
        <x:v>8.8</x:v>
      </x:c>
      <x:c r="W1964" s="20" t="n">
        <x:v>9.9</x:v>
      </x:c>
      <x:c r="X1964" s="20" t="n">
        <x:v>3.3</x:v>
      </x:c>
      <x:c r="Y1964" t="str">
        <x:v>Basis arsip 2025/2024</x:v>
      </x:c>
      <x:c r="Z1964" t="str">
        <x:v>https://snpmb.id/utbk-snbt/daya-tampung-snbt</x:v>
      </x:c>
      <x:c r="AA1964" t="str">
        <x:v>Tidak Ada</x:v>
      </x:c>
      <x:c r="AB1964" t="str">
        <x:v>Campus=80; Ratio=85.1; Prodi=40; RelDemand=60.1; Capacity=70.0</x:v>
      </x:c>
    </x:row>
    <x:row r="1965">
      <x:c r="A1965" t="n">
        <x:v>1962</x:v>
      </x:c>
      <x:c r="B1965" t="str">
        <x:v>PTN Akademik</x:v>
      </x:c>
      <x:c r="C1965" t="str">
        <x:v>UNIVERSITAS NEGERI YOGYAKARTA</x:v>
      </x:c>
      <x:c r="D1965" t="str">
        <x:v>TEKNIK ELEKTRONIKA</x:v>
      </x:c>
      <x:c r="E1965" t="str">
        <x:v>Sarjana Terapan</x:v>
      </x:c>
      <x:c r="F1965" s="18" t="n">
        <x:v>24</x:v>
      </x:c>
      <x:c r="G1965" s="18" t="n">
        <x:v>314</x:v>
      </x:c>
      <x:c r="H1965" s="19" t="n">
        <x:v>13.083333333333334</x:v>
      </x:c>
      <x:c r="I1965" s="18" t="n">
        <x:f>ROUND(MIN(Model_Config_v3!$B$6,MAX(Q1965,R1965,S1965*Model_Config_v3!$B$4+T1965*Model_Config_v3!$B$5)),0)</x:f>
        <x:v>679</x:v>
      </x:c>
      <x:c r="J1965" s="18" t="n">
        <x:f>MIN(Model_Config_v3!$B$6,I1965+Model_Config_v3!$B$7)</x:f>
        <x:v>699</x:v>
      </x:c>
      <x:c r="K1965" s="20" t="n">
        <x:v>67.2</x:v>
      </x:c>
      <x:c r="L1965" t="str">
        <x:v>SANGAT KETAT</x:v>
      </x:c>
      <x:c r="M1965" t="str">
        <x:v>SEDANG+</x:v>
      </x:c>
      <x:c r="N1965" t="str">
        <x:v>ELITE-3</x:v>
      </x:c>
      <x:c r="O1965" t="str">
        <x:v>SAINTEK</x:v>
      </x:c>
      <x:c r="P1965" t="str">
        <x:v>TEKNIK/ARSITEKTUR/STATISTIKA/AKTUARIA</x:v>
      </x:c>
      <x:c r="Q1965" s="18" t="n">
        <x:v>625</x:v>
      </x:c>
      <x:c r="R1965" s="18" t="n">
        <x:v>0</x:v>
      </x:c>
      <x:c r="S1965" s="18" t="n">
        <x:v>642.8390246997769</x:v>
      </x:c>
      <x:c r="T1965" s="18" t="n">
        <x:v>694</x:v>
      </x:c>
      <x:c r="U1965" s="18" t="n">
        <x:v>652.8390246997769</x:v>
      </x:c>
      <x:c r="V1965" s="20" t="n">
        <x:v>12</x:v>
      </x:c>
      <x:c r="W1965" s="20" t="n">
        <x:v>5</x:v>
      </x:c>
      <x:c r="X1965" s="20" t="n">
        <x:v>3</x:v>
      </x:c>
      <x:c r="Y1965" t="str">
        <x:v>Basis arsip 2025/2024</x:v>
      </x:c>
      <x:c r="Z1965" t="str">
        <x:v>https://snpmb.id/utbk-snbt/daya-tampung-snbt</x:v>
      </x:c>
      <x:c r="AA1965" t="str">
        <x:v>Tidak Ada</x:v>
      </x:c>
      <x:c r="AB1965" t="str">
        <x:v>Campus=80; Ratio=65.7; Prodi=60; RelDemand=28.1; Capacity=80.0</x:v>
      </x:c>
    </x:row>
    <x:row r="1966">
      <x:c r="A1966" t="n">
        <x:v>1963</x:v>
      </x:c>
      <x:c r="B1966" t="str">
        <x:v>PTN Akademik</x:v>
      </x:c>
      <x:c r="C1966" t="str">
        <x:v>UNIVERSITAS NEGERI YOGYAKARTA</x:v>
      </x:c>
      <x:c r="D1966" t="str">
        <x:v>AKUNTANSI</x:v>
      </x:c>
      <x:c r="E1966" t="str">
        <x:v>Sarjana Terapan</x:v>
      </x:c>
      <x:c r="F1966" s="18" t="n">
        <x:v>36</x:v>
      </x:c>
      <x:c r="G1966" s="18" t="n">
        <x:v>2517</x:v>
      </x:c>
      <x:c r="H1966" s="19" t="n">
        <x:v>69.91666666666667</x:v>
      </x:c>
      <x:c r="I1966" s="18" t="n">
        <x:f>ROUND(MIN(Model_Config_v3!$B$6,MAX(Q1966,R1966,S1966*Model_Config_v3!$B$4+T1966*Model_Config_v3!$B$5)),0)</x:f>
        <x:v>725</x:v>
      </x:c>
      <x:c r="J1966" s="18" t="n">
        <x:f>MIN(Model_Config_v3!$B$6,I1966+Model_Config_v3!$B$7)</x:f>
        <x:v>745</x:v>
      </x:c>
      <x:c r="K1966" s="20" t="n">
        <x:v>83</x:v>
      </x:c>
      <x:c r="L1966" t="str">
        <x:v>ELITE</x:v>
      </x:c>
      <x:c r="M1966" t="str">
        <x:v>SEDANG+</x:v>
      </x:c>
      <x:c r="N1966" t="str">
        <x:v>ELITE-3</x:v>
      </x:c>
      <x:c r="O1966" t="str">
        <x:v>SOSHUM</x:v>
      </x:c>
      <x:c r="P1966" t="str">
        <x:v>BISNIS/EKONOMI/AKUNTANSI</x:v>
      </x:c>
      <x:c r="Q1966" s="18" t="n">
        <x:v>625</x:v>
      </x:c>
      <x:c r="R1966" s="18" t="n">
        <x:v>0</x:v>
      </x:c>
      <x:c r="S1966" s="18" t="n">
        <x:v>722.9038786259183</x:v>
      </x:c>
      <x:c r="T1966" s="18" t="n">
        <x:v>726</x:v>
      </x:c>
      <x:c r="U1966" s="18" t="n">
        <x:v>722.9038786259183</x:v>
      </x:c>
      <x:c r="V1966" s="20" t="n">
        <x:v>4.4</x:v>
      </x:c>
      <x:c r="W1966" s="20" t="n">
        <x:v>14.3</x:v>
      </x:c>
      <x:c r="X1966" s="20" t="n">
        <x:v>3.3</x:v>
      </x:c>
      <x:c r="Y1966" t="str">
        <x:v>Basis arsip 2025/2024</x:v>
      </x:c>
      <x:c r="Z1966" t="str">
        <x:v>https://snpmb.id/utbk-snbt/daya-tampung-snbt</x:v>
      </x:c>
      <x:c r="AA1966" t="str">
        <x:v>Tidak Ada</x:v>
      </x:c>
      <x:c r="AB1966" t="str">
        <x:v>Campus=80; Ratio=100.0; Prodi=65; RelDemand=100.0; Capacity=70.0</x:v>
      </x:c>
    </x:row>
    <x:row r="1967">
      <x:c r="A1967" t="n">
        <x:v>1964</x:v>
      </x:c>
      <x:c r="B1967" t="str">
        <x:v>PTN Akademik</x:v>
      </x:c>
      <x:c r="C1967" t="str">
        <x:v>UNIVERSITAS NEGERI YOGYAKARTA</x:v>
      </x:c>
      <x:c r="D1967" t="str">
        <x:v>TEKNIK ELEKTRO</x:v>
      </x:c>
      <x:c r="E1967" t="str">
        <x:v>Sarjana Terapan</x:v>
      </x:c>
      <x:c r="F1967" s="18" t="n">
        <x:v>12</x:v>
      </x:c>
      <x:c r="G1967" s="18" t="n">
        <x:v>765</x:v>
      </x:c>
      <x:c r="H1967" s="19" t="n">
        <x:v>63.75</x:v>
      </x:c>
      <x:c r="I1967" s="18" t="n">
        <x:f>ROUND(MIN(Model_Config_v3!$B$6,MAX(Q1967,R1967,S1967*Model_Config_v3!$B$4+T1967*Model_Config_v3!$B$5)),0)</x:f>
        <x:v>725</x:v>
      </x:c>
      <x:c r="J1967" s="18" t="n">
        <x:f>MIN(Model_Config_v3!$B$6,I1967+Model_Config_v3!$B$7)</x:f>
        <x:v>745</x:v>
      </x:c>
      <x:c r="K1967" s="20" t="n">
        <x:v>84</x:v>
      </x:c>
      <x:c r="L1967" t="str">
        <x:v>ELITE</x:v>
      </x:c>
      <x:c r="M1967" t="str">
        <x:v>SEDANG+</x:v>
      </x:c>
      <x:c r="N1967" t="str">
        <x:v>ELITE-3</x:v>
      </x:c>
      <x:c r="O1967" t="str">
        <x:v>SAINTEK</x:v>
      </x:c>
      <x:c r="P1967" t="str">
        <x:v>TEKNIK/ARSITEKTUR/STATISTIKA/AKTUARIA</x:v>
      </x:c>
      <x:c r="Q1967" s="18" t="n">
        <x:v>625</x:v>
      </x:c>
      <x:c r="R1967" s="18" t="n">
        <x:v>0</x:v>
      </x:c>
      <x:c r="S1967" s="18" t="n">
        <x:v>718.4928208016593</x:v>
      </x:c>
      <x:c r="T1967" s="18" t="n">
        <x:v>728</x:v>
      </x:c>
      <x:c r="U1967" s="18" t="n">
        <x:v>728.4928208016593</x:v>
      </x:c>
      <x:c r="V1967" s="20" t="n">
        <x:v>12</x:v>
      </x:c>
      <x:c r="W1967" s="20" t="n">
        <x:v>5</x:v>
      </x:c>
      <x:c r="X1967" s="20" t="n">
        <x:v>3</x:v>
      </x:c>
      <x:c r="Y1967" t="str">
        <x:v>Basis arsip 2025/2024</x:v>
      </x:c>
      <x:c r="Z1967" t="str">
        <x:v>https://snpmb.id/utbk-snbt/daya-tampung-snbt</x:v>
      </x:c>
      <x:c r="AA1967" t="str">
        <x:v>Tidak Ada</x:v>
      </x:c>
      <x:c r="AB1967" t="str">
        <x:v>Campus=80; Ratio=100.0; Prodi=60; RelDemand=100.0; Capacity=90.0</x:v>
      </x:c>
    </x:row>
    <x:row r="1968">
      <x:c r="A1968" t="n">
        <x:v>1965</x:v>
      </x:c>
      <x:c r="B1968" t="str">
        <x:v>PTN Akademik</x:v>
      </x:c>
      <x:c r="C1968" t="str">
        <x:v>UNIVERSITAS NEGERI YOGYAKARTA</x:v>
      </x:c>
      <x:c r="D1968" t="str">
        <x:v>MANAJEMEN PEMASARAN</x:v>
      </x:c>
      <x:c r="E1968" t="str">
        <x:v>Sarjana Terapan</x:v>
      </x:c>
      <x:c r="F1968" s="18" t="n">
        <x:v>36</x:v>
      </x:c>
      <x:c r="G1968" s="18" t="n">
        <x:v>2672</x:v>
      </x:c>
      <x:c r="H1968" s="19" t="n">
        <x:v>74.22222222222223</x:v>
      </x:c>
      <x:c r="I1968" s="18" t="n">
        <x:f>ROUND(MIN(Model_Config_v3!$B$6,MAX(Q1968,R1968,S1968*Model_Config_v3!$B$4+T1968*Model_Config_v3!$B$5)),0)</x:f>
        <x:v>726</x:v>
      </x:c>
      <x:c r="J1968" s="18" t="n">
        <x:f>MIN(Model_Config_v3!$B$6,I1968+Model_Config_v3!$B$7)</x:f>
        <x:v>746</x:v>
      </x:c>
      <x:c r="K1968" s="20" t="n">
        <x:v>83</x:v>
      </x:c>
      <x:c r="L1968" t="str">
        <x:v>ELITE</x:v>
      </x:c>
      <x:c r="M1968" t="str">
        <x:v>SEDANG+</x:v>
      </x:c>
      <x:c r="N1968" t="str">
        <x:v>ELITE-3</x:v>
      </x:c>
      <x:c r="O1968" t="str">
        <x:v>SOSHUM</x:v>
      </x:c>
      <x:c r="P1968" t="str">
        <x:v>BISNIS/EKONOMI/AKUNTANSI</x:v>
      </x:c>
      <x:c r="Q1968" s="18" t="n">
        <x:v>625</x:v>
      </x:c>
      <x:c r="R1968" s="18" t="n">
        <x:v>0</x:v>
      </x:c>
      <x:c r="S1968" s="18" t="n">
        <x:v>725.7587348339842</x:v>
      </x:c>
      <x:c r="T1968" s="18" t="n">
        <x:v>726</x:v>
      </x:c>
      <x:c r="U1968" s="18" t="n">
        <x:v>740.7587348339842</x:v>
      </x:c>
      <x:c r="V1968" s="20" t="n">
        <x:v>4.4</x:v>
      </x:c>
      <x:c r="W1968" s="20" t="n">
        <x:v>14.3</x:v>
      </x:c>
      <x:c r="X1968" s="20" t="n">
        <x:v>3.3</x:v>
      </x:c>
      <x:c r="Y1968" t="str">
        <x:v>Basis arsip 2025/2024</x:v>
      </x:c>
      <x:c r="Z1968" t="str">
        <x:v>https://snpmb.id/utbk-snbt/daya-tampung-snbt</x:v>
      </x:c>
      <x:c r="AA1968" t="str">
        <x:v>Tidak Ada</x:v>
      </x:c>
      <x:c r="AB1968" t="str">
        <x:v>Campus=80; Ratio=100.0; Prodi=65; RelDemand=100.0; Capacity=70.0</x:v>
      </x:c>
    </x:row>
    <x:row r="1969">
      <x:c r="A1969" t="n">
        <x:v>1966</x:v>
      </x:c>
      <x:c r="B1969" t="str">
        <x:v>PTN Akademik</x:v>
      </x:c>
      <x:c r="C1969" t="str">
        <x:v>UNIVERSITAS NEGERI YOGYAKARTA</x:v>
      </x:c>
      <x:c r="D1969" t="str">
        <x:v>TEKNIK MESIN</x:v>
      </x:c>
      <x:c r="E1969" t="str">
        <x:v>Sarjana Terapan</x:v>
      </x:c>
      <x:c r="F1969" s="18" t="n">
        <x:v>12</x:v>
      </x:c>
      <x:c r="G1969" s="18" t="n">
        <x:v>935</x:v>
      </x:c>
      <x:c r="H1969" s="19" t="n">
        <x:v>77.91666666666667</x:v>
      </x:c>
      <x:c r="I1969" s="18" t="n">
        <x:f>ROUND(MIN(Model_Config_v3!$B$6,MAX(Q1969,R1969,S1969*Model_Config_v3!$B$4+T1969*Model_Config_v3!$B$5)),0)</x:f>
        <x:v>728</x:v>
      </x:c>
      <x:c r="J1969" s="18" t="n">
        <x:f>MIN(Model_Config_v3!$B$6,I1969+Model_Config_v3!$B$7)</x:f>
        <x:v>748</x:v>
      </x:c>
      <x:c r="K1969" s="20" t="n">
        <x:v>84</x:v>
      </x:c>
      <x:c r="L1969" t="str">
        <x:v>ELITE</x:v>
      </x:c>
      <x:c r="M1969" t="str">
        <x:v>SEDANG+</x:v>
      </x:c>
      <x:c r="N1969" t="str">
        <x:v>ELITE-3</x:v>
      </x:c>
      <x:c r="O1969" t="str">
        <x:v>SAINTEK</x:v>
      </x:c>
      <x:c r="P1969" t="str">
        <x:v>TEKNIK/ARSITEKTUR/STATISTIKA/AKTUARIA</x:v>
      </x:c>
      <x:c r="Q1969" s="18" t="n">
        <x:v>625</x:v>
      </x:c>
      <x:c r="R1969" s="18" t="n">
        <x:v>0</x:v>
      </x:c>
      <x:c r="S1969" s="18" t="n">
        <x:v>728.0793401307382</x:v>
      </x:c>
      <x:c r="T1969" s="18" t="n">
        <x:v>728</x:v>
      </x:c>
      <x:c r="U1969" s="18" t="n">
        <x:v>738.0793401307382</x:v>
      </x:c>
      <x:c r="V1969" s="20" t="n">
        <x:v>12</x:v>
      </x:c>
      <x:c r="W1969" s="20" t="n">
        <x:v>5</x:v>
      </x:c>
      <x:c r="X1969" s="20" t="n">
        <x:v>3</x:v>
      </x:c>
      <x:c r="Y1969" t="str">
        <x:v>Basis arsip 2025/2024</x:v>
      </x:c>
      <x:c r="Z1969" t="str">
        <x:v>https://snpmb.id/utbk-snbt/daya-tampung-snbt</x:v>
      </x:c>
      <x:c r="AA1969" t="str">
        <x:v>Tidak Ada</x:v>
      </x:c>
      <x:c r="AB1969" t="str">
        <x:v>Campus=80; Ratio=100.0; Prodi=60; RelDemand=100.0; Capacity=90.0</x:v>
      </x:c>
    </x:row>
    <x:row r="1970">
      <x:c r="A1970" t="n">
        <x:v>1967</x:v>
      </x:c>
      <x:c r="B1970" t="str">
        <x:v>PTN Akademik</x:v>
      </x:c>
      <x:c r="C1970" t="str">
        <x:v>UNIVERSITAS NEGERI YOGYAKARTA</x:v>
      </x:c>
      <x:c r="D1970" t="str">
        <x:v>TEKNIK SIPIL</x:v>
      </x:c>
      <x:c r="E1970" t="str">
        <x:v>Sarjana Terapan</x:v>
      </x:c>
      <x:c r="F1970" s="18" t="n">
        <x:v>12</x:v>
      </x:c>
      <x:c r="G1970" s="18" t="n">
        <x:v>1911</x:v>
      </x:c>
      <x:c r="H1970" s="19" t="n">
        <x:v>159.25</x:v>
      </x:c>
      <x:c r="I1970" s="18" t="n">
        <x:f>ROUND(MIN(Model_Config_v3!$B$6,MAX(Q1970,R1970,S1970*Model_Config_v3!$B$4+T1970*Model_Config_v3!$B$5)),0)</x:f>
        <x:v>738</x:v>
      </x:c>
      <x:c r="J1970" s="18" t="n">
        <x:f>MIN(Model_Config_v3!$B$6,I1970+Model_Config_v3!$B$7)</x:f>
        <x:v>758</x:v>
      </x:c>
      <x:c r="K1970" s="20" t="n">
        <x:v>84</x:v>
      </x:c>
      <x:c r="L1970" t="str">
        <x:v>ELITE</x:v>
      </x:c>
      <x:c r="M1970" t="str">
        <x:v>SEDANG+</x:v>
      </x:c>
      <x:c r="N1970" t="str">
        <x:v>ELITE-3</x:v>
      </x:c>
      <x:c r="O1970" t="str">
        <x:v>SAINTEK</x:v>
      </x:c>
      <x:c r="P1970" t="str">
        <x:v>TEKNIK/ARSITEKTUR/STATISTIKA/AKTUARIA</x:v>
      </x:c>
      <x:c r="Q1970" s="18" t="n">
        <x:v>625</x:v>
      </x:c>
      <x:c r="R1970" s="18" t="n">
        <x:v>0</x:v>
      </x:c>
      <x:c r="S1970" s="18" t="n">
        <x:v>762.2287385108127</x:v>
      </x:c>
      <x:c r="T1970" s="18" t="n">
        <x:v>728</x:v>
      </x:c>
      <x:c r="U1970" s="18" t="n">
        <x:v>772.2287385108127</x:v>
      </x:c>
      <x:c r="V1970" s="20" t="n">
        <x:v>12</x:v>
      </x:c>
      <x:c r="W1970" s="20" t="n">
        <x:v>5</x:v>
      </x:c>
      <x:c r="X1970" s="20" t="n">
        <x:v>3</x:v>
      </x:c>
      <x:c r="Y1970" t="str">
        <x:v>Basis arsip 2025/2024</x:v>
      </x:c>
      <x:c r="Z1970" t="str">
        <x:v>https://snpmb.id/utbk-snbt/daya-tampung-snbt</x:v>
      </x:c>
      <x:c r="AA1970" t="str">
        <x:v>Tidak Ada</x:v>
      </x:c>
      <x:c r="AB1970" t="str">
        <x:v>Campus=80; Ratio=100.0; Prodi=60; RelDemand=100.0; Capacity=90.0</x:v>
      </x:c>
    </x:row>
    <x:row r="1971">
      <x:c r="A1971" t="n">
        <x:v>1968</x:v>
      </x:c>
      <x:c r="B1971" t="str">
        <x:v>PTN Akademik</x:v>
      </x:c>
      <x:c r="C1971" t="str">
        <x:v>UNIVERSITAS NEGERI YOGYAKARTA</x:v>
      </x:c>
      <x:c r="D1971" t="str">
        <x:v>TATA BOGA</x:v>
      </x:c>
      <x:c r="E1971" t="str">
        <x:v>Sarjana Terapan</x:v>
      </x:c>
      <x:c r="F1971" s="18" t="n">
        <x:v>33</x:v>
      </x:c>
      <x:c r="G1971" s="18" t="n">
        <x:v>2466</x:v>
      </x:c>
      <x:c r="H1971" s="19" t="n">
        <x:v>74.72727272727273</x:v>
      </x:c>
      <x:c r="I1971" s="18" t="n">
        <x:f>ROUND(MIN(Model_Config_v3!$B$6,MAX(Q1971,R1971,S1971*Model_Config_v3!$B$4+T1971*Model_Config_v3!$B$5)),0)</x:f>
        <x:v>719</x:v>
      </x:c>
      <x:c r="J1971" s="18" t="n">
        <x:f>MIN(Model_Config_v3!$B$6,I1971+Model_Config_v3!$B$7)</x:f>
        <x:v>739</x:v>
      </x:c>
      <x:c r="K1971" s="20" t="n">
        <x:v>78.2</x:v>
      </x:c>
      <x:c r="L1971" t="str">
        <x:v>ELITE</x:v>
      </x:c>
      <x:c r="M1971" t="str">
        <x:v>SEDANG+</x:v>
      </x:c>
      <x:c r="N1971" t="str">
        <x:v>ELITE-3</x:v>
      </x:c>
      <x:c r="O1971" t="str">
        <x:v>CAMPURAN</x:v>
      </x:c>
      <x:c r="P1971" t="str">
        <x:v>UMUM</x:v>
      </x:c>
      <x:c r="Q1971" s="18" t="n">
        <x:v>625</x:v>
      </x:c>
      <x:c r="R1971" s="18" t="n">
        <x:v>0</x:v>
      </x:c>
      <x:c r="S1971" s="18" t="n">
        <x:v>726.0827045620008</x:v>
      </x:c>
      <x:c r="T1971" s="18" t="n">
        <x:v>716</x:v>
      </x:c>
      <x:c r="U1971" s="18" t="n">
        <x:v>726.0827045620008</x:v>
      </x:c>
      <x:c r="V1971" s="20" t="n">
        <x:v>8.8</x:v>
      </x:c>
      <x:c r="W1971" s="20" t="n">
        <x:v>9.9</x:v>
      </x:c>
      <x:c r="X1971" s="20" t="n">
        <x:v>3.3</x:v>
      </x:c>
      <x:c r="Y1971" t="str">
        <x:v>Basis arsip 2025/2024</x:v>
      </x:c>
      <x:c r="Z1971" t="str">
        <x:v>https://snpmb.id/utbk-snbt/daya-tampung-snbt</x:v>
      </x:c>
      <x:c r="AA1971" t="str">
        <x:v>Tidak Ada</x:v>
      </x:c>
      <x:c r="AB1971" t="str">
        <x:v>Campus=80; Ratio=100.0; Prodi=40; RelDemand=100.0; Capacity=72.5</x:v>
      </x:c>
    </x:row>
    <x:row r="1972">
      <x:c r="A1972" t="n">
        <x:v>1969</x:v>
      </x:c>
      <x:c r="B1972" t="str">
        <x:v>PTN Akademik</x:v>
      </x:c>
      <x:c r="C1972" t="str">
        <x:v>UNIVERSITAS NEGERI YOGYAKARTA</x:v>
      </x:c>
      <x:c r="D1972" t="str">
        <x:v>MESIN OTOMOTIF</x:v>
      </x:c>
      <x:c r="E1972" t="str">
        <x:v>Sarjana Terapan</x:v>
      </x:c>
      <x:c r="F1972" s="18" t="n">
        <x:v>12</x:v>
      </x:c>
      <x:c r="G1972" s="18" t="n">
        <x:v>534</x:v>
      </x:c>
      <x:c r="H1972" s="19" t="n">
        <x:v>44.5</x:v>
      </x:c>
      <x:c r="I1972" s="18" t="n">
        <x:f>ROUND(MIN(Model_Config_v3!$B$6,MAX(Q1972,R1972,S1972*Model_Config_v3!$B$4+T1972*Model_Config_v3!$B$5)),0)</x:f>
        <x:v>713</x:v>
      </x:c>
      <x:c r="J1972" s="18" t="n">
        <x:f>MIN(Model_Config_v3!$B$6,I1972+Model_Config_v3!$B$7)</x:f>
        <x:v>733</x:v>
      </x:c>
      <x:c r="K1972" s="20" t="n">
        <x:v>78.8</x:v>
      </x:c>
      <x:c r="L1972" t="str">
        <x:v>ELITE</x:v>
      </x:c>
      <x:c r="M1972" t="str">
        <x:v>SEDANG+</x:v>
      </x:c>
      <x:c r="N1972" t="str">
        <x:v>ELITE-3</x:v>
      </x:c>
      <x:c r="O1972" t="str">
        <x:v>CAMPURAN</x:v>
      </x:c>
      <x:c r="P1972" t="str">
        <x:v>UMUM</x:v>
      </x:c>
      <x:c r="Q1972" s="18" t="n">
        <x:v>625</x:v>
      </x:c>
      <x:c r="R1972" s="18" t="n">
        <x:v>0</x:v>
      </x:c>
      <x:c r="S1972" s="18" t="n">
        <x:v>701.3196012079025</x:v>
      </x:c>
      <x:c r="T1972" s="18" t="n">
        <x:v>718</x:v>
      </x:c>
      <x:c r="U1972" s="18" t="n">
        <x:v>701.3196012079025</x:v>
      </x:c>
      <x:c r="V1972" s="20" t="n">
        <x:v>8.8</x:v>
      </x:c>
      <x:c r="W1972" s="20" t="n">
        <x:v>9.9</x:v>
      </x:c>
      <x:c r="X1972" s="20" t="n">
        <x:v>3.3</x:v>
      </x:c>
      <x:c r="Y1972" t="str">
        <x:v>Basis arsip 2025/2024</x:v>
      </x:c>
      <x:c r="Z1972" t="str">
        <x:v>https://snpmb.id/utbk-snbt/daya-tampung-snbt</x:v>
      </x:c>
      <x:c r="AA1972" t="str">
        <x:v>Tidak Ada</x:v>
      </x:c>
      <x:c r="AB1972" t="str">
        <x:v>Campus=80; Ratio=97.0; Prodi=40; RelDemand=95.7; Capacity=90.0</x:v>
      </x:c>
    </x:row>
    <x:row r="1973">
      <x:c r="A1973" t="n">
        <x:v>1970</x:v>
      </x:c>
      <x:c r="B1973" t="str">
        <x:v>PTN Akademik</x:v>
      </x:c>
      <x:c r="C1973" t="str">
        <x:v>UNIVERSITAS NEGERI YOGYAKARTA</x:v>
      </x:c>
      <x:c r="D1973" t="str">
        <x:v>ADMINISTRASI PERKANTORAN</x:v>
      </x:c>
      <x:c r="E1973" t="str">
        <x:v>Sarjana Terapan</x:v>
      </x:c>
      <x:c r="F1973" s="18" t="n">
        <x:v>36</x:v>
      </x:c>
      <x:c r="G1973" s="18" t="n">
        <x:v>3888</x:v>
      </x:c>
      <x:c r="H1973" s="19" t="n">
        <x:v>108</x:v>
      </x:c>
      <x:c r="I1973" s="18" t="n">
        <x:f>ROUND(MIN(Model_Config_v3!$B$6,MAX(Q1973,R1973,S1973*Model_Config_v3!$B$4+T1973*Model_Config_v3!$B$5)),0)</x:f>
        <x:v>724</x:v>
      </x:c>
      <x:c r="J1973" s="18" t="n">
        <x:f>MIN(Model_Config_v3!$B$6,I1973+Model_Config_v3!$B$7)</x:f>
        <x:v>744</x:v>
      </x:c>
      <x:c r="K1973" s="20" t="n">
        <x:v>78</x:v>
      </x:c>
      <x:c r="L1973" t="str">
        <x:v>ELITE</x:v>
      </x:c>
      <x:c r="M1973" t="str">
        <x:v>SEDANG+</x:v>
      </x:c>
      <x:c r="N1973" t="str">
        <x:v>ELITE-3</x:v>
      </x:c>
      <x:c r="O1973" t="str">
        <x:v>SOSHUM</x:v>
      </x:c>
      <x:c r="P1973" t="str">
        <x:v>UMUM</x:v>
      </x:c>
      <x:c r="Q1973" s="18" t="n">
        <x:v>625</x:v>
      </x:c>
      <x:c r="R1973" s="18" t="n">
        <x:v>0</x:v>
      </x:c>
      <x:c r="S1973" s="18" t="n">
        <x:v>743.6766131035645</x:v>
      </x:c>
      <x:c r="T1973" s="18" t="n">
        <x:v>716</x:v>
      </x:c>
      <x:c r="U1973" s="18" t="n">
        <x:v>743.6766131035645</x:v>
      </x:c>
      <x:c r="V1973" s="20" t="n">
        <x:v>4.4</x:v>
      </x:c>
      <x:c r="W1973" s="20" t="n">
        <x:v>14.3</x:v>
      </x:c>
      <x:c r="X1973" s="20" t="n">
        <x:v>3.3</x:v>
      </x:c>
      <x:c r="Y1973" t="str">
        <x:v>Basis arsip 2025/2024</x:v>
      </x:c>
      <x:c r="Z1973" t="str">
        <x:v>https://snpmb.id/utbk-snbt/daya-tampung-snbt</x:v>
      </x:c>
      <x:c r="AA1973" t="str">
        <x:v>Tidak Ada</x:v>
      </x:c>
      <x:c r="AB1973" t="str">
        <x:v>Campus=80; Ratio=100.0; Prodi=40; RelDemand=100.0; Capacity=70.0</x:v>
      </x:c>
    </x:row>
    <x:row r="1974">
      <x:c r="A1974" t="n">
        <x:v>1971</x:v>
      </x:c>
      <x:c r="B1974" t="str">
        <x:v>PTN Akademik</x:v>
      </x:c>
      <x:c r="C1974" t="str">
        <x:v>UNIVERSITAS NEGERI YOGYAKARTA</x:v>
      </x:c>
      <x:c r="D1974" t="str">
        <x:v>PENGOBATAN TRADISIONAL INDONESIA</x:v>
      </x:c>
      <x:c r="E1974" t="str">
        <x:v>Sarjana Terapan</x:v>
      </x:c>
      <x:c r="F1974" s="18" t="n">
        <x:v>14</x:v>
      </x:c>
      <x:c r="G1974" s="18" t="n">
        <x:v>299</x:v>
      </x:c>
      <x:c r="H1974" s="19" t="n">
        <x:v>21.357142857142858</x:v>
      </x:c>
      <x:c r="I1974" s="18" t="n">
        <x:f>ROUND(MIN(Model_Config_v3!$B$6,MAX(Q1974,R1974,S1974*Model_Config_v3!$B$4+T1974*Model_Config_v3!$B$5)),0)</x:f>
        <x:v>688</x:v>
      </x:c>
      <x:c r="J1974" s="18" t="n">
        <x:f>MIN(Model_Config_v3!$B$6,I1974+Model_Config_v3!$B$7)</x:f>
        <x:v>708</x:v>
      </x:c>
      <x:c r="K1974" s="20" t="n">
        <x:v>69</x:v>
      </x:c>
      <x:c r="L1974" t="str">
        <x:v>SANGAT KETAT</x:v>
      </x:c>
      <x:c r="M1974" t="str">
        <x:v>SEDANG+</x:v>
      </x:c>
      <x:c r="N1974" t="str">
        <x:v>ELITE-3</x:v>
      </x:c>
      <x:c r="O1974" t="str">
        <x:v>CAMPURAN</x:v>
      </x:c>
      <x:c r="P1974" t="str">
        <x:v>UMUM</x:v>
      </x:c>
      <x:c r="Q1974" s="18" t="n">
        <x:v>625</x:v>
      </x:c>
      <x:c r="R1974" s="18" t="n">
        <x:v>0</x:v>
      </x:c>
      <x:c r="S1974" s="18" t="n">
        <x:v>666.2497467910811</x:v>
      </x:c>
      <x:c r="T1974" s="18" t="n">
        <x:v>698</x:v>
      </x:c>
      <x:c r="U1974" s="18" t="n">
        <x:v>666.2497467910811</x:v>
      </x:c>
      <x:c r="V1974" s="20" t="n">
        <x:v>8.8</x:v>
      </x:c>
      <x:c r="W1974" s="20" t="n">
        <x:v>9.9</x:v>
      </x:c>
      <x:c r="X1974" s="20" t="n">
        <x:v>3.3</x:v>
      </x:c>
      <x:c r="Y1974" t="str">
        <x:v>Basis arsip 2025/2024</x:v>
      </x:c>
      <x:c r="Z1974" t="str">
        <x:v>https://snpmb.id/utbk-snbt/daya-tampung-snbt</x:v>
      </x:c>
      <x:c r="AA1974" t="str">
        <x:v>Tidak Ada</x:v>
      </x:c>
      <x:c r="AB1974" t="str">
        <x:v>Campus=80; Ratio=78.3; Prodi=40; RelDemand=45.9; Capacity=88.3</x:v>
      </x:c>
    </x:row>
    <x:row r="1975">
      <x:c r="A1975" t="n">
        <x:v>1972</x:v>
      </x:c>
      <x:c r="B1975" t="str">
        <x:v>PTN Akademik</x:v>
      </x:c>
      <x:c r="C1975" t="str">
        <x:v>UNIVERSITAS NEGERI YOGYAKARTA</x:v>
      </x:c>
      <x:c r="D1975" t="str">
        <x:v>PENGELOLAAN USAHA REKREASI</x:v>
      </x:c>
      <x:c r="E1975" t="str">
        <x:v>Sarjana Terapan</x:v>
      </x:c>
      <x:c r="F1975" s="18" t="n">
        <x:v>14</x:v>
      </x:c>
      <x:c r="G1975" s="18" t="n">
        <x:v>382</x:v>
      </x:c>
      <x:c r="H1975" s="19" t="n">
        <x:v>27.285714285714285</x:v>
      </x:c>
      <x:c r="I1975" s="18" t="n">
        <x:f>ROUND(MIN(Model_Config_v3!$B$6,MAX(Q1975,R1975,S1975*Model_Config_v3!$B$4+T1975*Model_Config_v3!$B$5)),0)</x:f>
        <x:v>696</x:v>
      </x:c>
      <x:c r="J1975" s="18" t="n">
        <x:f>MIN(Model_Config_v3!$B$6,I1975+Model_Config_v3!$B$7)</x:f>
        <x:v>716</x:v>
      </x:c>
      <x:c r="K1975" s="20" t="n">
        <x:v>71.8</x:v>
      </x:c>
      <x:c r="L1975" t="str">
        <x:v>SANGAT KETAT</x:v>
      </x:c>
      <x:c r="M1975" t="str">
        <x:v>SEDANG+</x:v>
      </x:c>
      <x:c r="N1975" t="str">
        <x:v>ELITE-3</x:v>
      </x:c>
      <x:c r="O1975" t="str">
        <x:v>CAMPURAN</x:v>
      </x:c>
      <x:c r="P1975" t="str">
        <x:v>UMUM</x:v>
      </x:c>
      <x:c r="Q1975" s="18" t="n">
        <x:v>625</x:v>
      </x:c>
      <x:c r="R1975" s="18" t="n">
        <x:v>0</x:v>
      </x:c>
      <x:c r="S1975" s="18" t="n">
        <x:v>677.9528859956818</x:v>
      </x:c>
      <x:c r="T1975" s="18" t="n">
        <x:v>704</x:v>
      </x:c>
      <x:c r="U1975" s="18" t="n">
        <x:v>677.9528859956818</x:v>
      </x:c>
      <x:c r="V1975" s="20" t="n">
        <x:v>8.8</x:v>
      </x:c>
      <x:c r="W1975" s="20" t="n">
        <x:v>9.9</x:v>
      </x:c>
      <x:c r="X1975" s="20" t="n">
        <x:v>3.3</x:v>
      </x:c>
      <x:c r="Y1975" t="str">
        <x:v>Basis arsip 2025/2024</x:v>
      </x:c>
      <x:c r="Z1975" t="str">
        <x:v>https://snpmb.id/utbk-snbt/daya-tampung-snbt</x:v>
      </x:c>
      <x:c r="AA1975" t="str">
        <x:v>Tidak Ada</x:v>
      </x:c>
      <x:c r="AB1975" t="str">
        <x:v>Campus=80; Ratio=84.5; Prodi=40; RelDemand=58.7; Capacity=88.3</x:v>
      </x:c>
    </x:row>
    <x:row r="1976">
      <x:c r="A1976" t="n">
        <x:v>1973</x:v>
      </x:c>
      <x:c r="B1976" t="str">
        <x:v>PTN Akademik</x:v>
      </x:c>
      <x:c r="C1976" t="str">
        <x:v>UNIVERSITAS NEGERI YOGYAKARTA</x:v>
      </x:c>
      <x:c r="D1976" t="str">
        <x:v>PROMOSI KESEHATAN</x:v>
      </x:c>
      <x:c r="E1976" t="str">
        <x:v>Sarjana Terapan</x:v>
      </x:c>
      <x:c r="F1976" s="18" t="n">
        <x:v>12</x:v>
      </x:c>
      <x:c r="G1976" s="18" t="n">
        <x:v>807</x:v>
      </x:c>
      <x:c r="H1976" s="19" t="n">
        <x:v>67.25</x:v>
      </x:c>
      <x:c r="I1976" s="18" t="n">
        <x:f>ROUND(MIN(Model_Config_v3!$B$6,MAX(Q1976,R1976,S1976*Model_Config_v3!$B$4+T1976*Model_Config_v3!$B$5)),0)</x:f>
        <x:v>725</x:v>
      </x:c>
      <x:c r="J1976" s="18" t="n">
        <x:f>MIN(Model_Config_v3!$B$6,I1976+Model_Config_v3!$B$7)</x:f>
        <x:v>745</x:v>
      </x:c>
      <x:c r="K1976" s="20" t="n">
        <x:v>83</x:v>
      </x:c>
      <x:c r="L1976" t="str">
        <x:v>ELITE</x:v>
      </x:c>
      <x:c r="M1976" t="str">
        <x:v>SEDANG+</x:v>
      </x:c>
      <x:c r="N1976" t="str">
        <x:v>ELITE-3</x:v>
      </x:c>
      <x:c r="O1976" t="str">
        <x:v>SAINTEK</x:v>
      </x:c>
      <x:c r="P1976" t="str">
        <x:v>KESEHAT/GIZI/KEPERAWATAN</x:v>
      </x:c>
      <x:c r="Q1976" s="18" t="n">
        <x:v>625</x:v>
      </x:c>
      <x:c r="R1976" s="18" t="n">
        <x:v>0</x:v>
      </x:c>
      <x:c r="S1976" s="18" t="n">
        <x:v>721.0461517541889</x:v>
      </x:c>
      <x:c r="T1976" s="18" t="n">
        <x:v>726</x:v>
      </x:c>
      <x:c r="U1976" s="18" t="n">
        <x:v>721.0461517541889</x:v>
      </x:c>
      <x:c r="V1976" s="20" t="n">
        <x:v>12</x:v>
      </x:c>
      <x:c r="W1976" s="20" t="n">
        <x:v>5</x:v>
      </x:c>
      <x:c r="X1976" s="20" t="n">
        <x:v>3</x:v>
      </x:c>
      <x:c r="Y1976" t="str">
        <x:v>Basis arsip 2025/2024</x:v>
      </x:c>
      <x:c r="Z1976" t="str">
        <x:v>https://snpmb.id/utbk-snbt/daya-tampung-snbt</x:v>
      </x:c>
      <x:c r="AA1976" t="str">
        <x:v>Tidak Ada</x:v>
      </x:c>
      <x:c r="AB1976" t="str">
        <x:v>Campus=80; Ratio=100.0; Prodi=55; RelDemand=100.0; Capacity=90.0</x:v>
      </x:c>
    </x:row>
    <x:row r="1977">
      <x:c r="A1977" t="n">
        <x:v>1974</x:v>
      </x:c>
      <x:c r="B1977" t="str">
        <x:v>PTN Akademik</x:v>
      </x:c>
      <x:c r="C1977" t="str">
        <x:v>UPN "VETERAN" YOGYAKARTA</x:v>
      </x:c>
      <x:c r="D1977" t="str">
        <x:v>TEKNIK GEOLOGI</x:v>
      </x:c>
      <x:c r="E1977" t="str">
        <x:v>Sarjana</x:v>
      </x:c>
      <x:c r="F1977" s="18" t="n">
        <x:v>155</x:v>
      </x:c>
      <x:c r="G1977" s="18" t="n">
        <x:v>2007</x:v>
      </x:c>
      <x:c r="H1977" s="19" t="n">
        <x:v>12.948387096774194</x:v>
      </x:c>
      <x:c r="I1977" s="18" t="n">
        <x:f>ROUND(MIN(Model_Config_v3!$B$6,MAX(Q1977,R1977,S1977*Model_Config_v3!$B$4+T1977*Model_Config_v3!$B$5)),0)</x:f>
        <x:v>659</x:v>
      </x:c>
      <x:c r="J1977" s="18" t="n">
        <x:f>MIN(Model_Config_v3!$B$6,I1977+Model_Config_v3!$B$7)</x:f>
        <x:v>679</x:v>
      </x:c>
      <x:c r="K1977" s="20" t="n">
        <x:v>53.2</x:v>
      </x:c>
      <x:c r="L1977" t="str">
        <x:v>MENENGAH</x:v>
      </x:c>
      <x:c r="M1977" t="str">
        <x:v>SEDANG+</x:v>
      </x:c>
      <x:c r="N1977" t="str">
        <x:v>REGULER</x:v>
      </x:c>
      <x:c r="O1977" t="str">
        <x:v>SAINTEK</x:v>
      </x:c>
      <x:c r="P1977" t="str">
        <x:v>TEKNIK/ARSITEKTUR/STATISTIKA/AKTUARIA</x:v>
      </x:c>
      <x:c r="Q1977" s="18" t="n">
        <x:v>0</x:v>
      </x:c>
      <x:c r="R1977" s="18" t="n">
        <x:v>0</x:v>
      </x:c>
      <x:c r="S1977" s="18" t="n">
        <x:v>642.3437241748913</x:v>
      </x:c>
      <x:c r="T1977" s="18" t="n">
        <x:v>666</x:v>
      </x:c>
      <x:c r="U1977" s="18" t="n">
        <x:v>652.3437241748913</x:v>
      </x:c>
      <x:c r="V1977" s="20" t="n">
        <x:v>12</x:v>
      </x:c>
      <x:c r="W1977" s="20" t="n">
        <x:v>5</x:v>
      </x:c>
      <x:c r="X1977" s="20" t="n">
        <x:v>3</x:v>
      </x:c>
      <x:c r="Y1977" t="str">
        <x:v>Basis arsip 2025/2024</x:v>
      </x:c>
      <x:c r="Z1977" t="str">
        <x:v>https://snpmb.id/utbk-snbt/daya-tampung-snbt</x:v>
      </x:c>
      <x:c r="AA1977" t="str">
        <x:v>Tidak Ada</x:v>
      </x:c>
      <x:c r="AB1977" t="str">
        <x:v>Campus=55; Ratio=65.5; Prodi=60; RelDemand=55.4; Capacity=0.0</x:v>
      </x:c>
    </x:row>
    <x:row r="1978">
      <x:c r="A1978" t="n">
        <x:v>1975</x:v>
      </x:c>
      <x:c r="B1978" t="str">
        <x:v>PTN Akademik</x:v>
      </x:c>
      <x:c r="C1978" t="str">
        <x:v>UPN "VETERAN" YOGYAKARTA</x:v>
      </x:c>
      <x:c r="D1978" t="str">
        <x:v>TEKNIK PERTAMBANGAN</x:v>
      </x:c>
      <x:c r="E1978" t="str">
        <x:v>Sarjana</x:v>
      </x:c>
      <x:c r="F1978" s="18" t="n">
        <x:v>154</x:v>
      </x:c>
      <x:c r="G1978" s="18" t="n">
        <x:v>3673</x:v>
      </x:c>
      <x:c r="H1978" s="19" t="n">
        <x:v>23.850649350649352</x:v>
      </x:c>
      <x:c r="I1978" s="18" t="n">
        <x:f>ROUND(MIN(Model_Config_v3!$B$6,MAX(Q1978,R1978,S1978*Model_Config_v3!$B$4+T1978*Model_Config_v3!$B$5)),0)</x:f>
        <x:v>680</x:v>
      </x:c>
      <x:c r="J1978" s="18" t="n">
        <x:f>MIN(Model_Config_v3!$B$6,I1978+Model_Config_v3!$B$7)</x:f>
        <x:v>700</x:v>
      </x:c>
      <x:c r="K1978" s="20" t="n">
        <x:v>61.5</x:v>
      </x:c>
      <x:c r="L1978" t="str">
        <x:v>KETAT</x:v>
      </x:c>
      <x:c r="M1978" t="str">
        <x:v>SEDANG+</x:v>
      </x:c>
      <x:c r="N1978" t="str">
        <x:v>REGULER</x:v>
      </x:c>
      <x:c r="O1978" t="str">
        <x:v>SAINTEK</x:v>
      </x:c>
      <x:c r="P1978" t="str">
        <x:v>TEKNIK/ARSITEKTUR/STATISTIKA/AKTUARIA</x:v>
      </x:c>
      <x:c r="Q1978" s="18" t="n">
        <x:v>0</x:v>
      </x:c>
      <x:c r="R1978" s="18" t="n">
        <x:v>0</x:v>
      </x:c>
      <x:c r="S1978" s="18" t="n">
        <x:v>671.5250228259713</x:v>
      </x:c>
      <x:c r="T1978" s="18" t="n">
        <x:v>683</x:v>
      </x:c>
      <x:c r="U1978" s="18" t="n">
        <x:v>681.5250228259713</x:v>
      </x:c>
      <x:c r="V1978" s="20" t="n">
        <x:v>12</x:v>
      </x:c>
      <x:c r="W1978" s="20" t="n">
        <x:v>5</x:v>
      </x:c>
      <x:c r="X1978" s="20" t="n">
        <x:v>3</x:v>
      </x:c>
      <x:c r="Y1978" t="str">
        <x:v>Basis arsip 2025/2024</x:v>
      </x:c>
      <x:c r="Z1978" t="str">
        <x:v>https://snpmb.id/utbk-snbt/daya-tampung-snbt</x:v>
      </x:c>
      <x:c r="AA1978" t="str">
        <x:v>Tidak Ada</x:v>
      </x:c>
      <x:c r="AB1978" t="str">
        <x:v>Campus=55; Ratio=81.1; Prodi=60; RelDemand=100.0; Capacity=0.0</x:v>
      </x:c>
    </x:row>
    <x:row r="1979">
      <x:c r="A1979" t="n">
        <x:v>1976</x:v>
      </x:c>
      <x:c r="B1979" t="str">
        <x:v>PTN Akademik</x:v>
      </x:c>
      <x:c r="C1979" t="str">
        <x:v>UPN "VETERAN" YOGYAKARTA</x:v>
      </x:c>
      <x:c r="D1979" t="str">
        <x:v>TEKNIK PERMINYAKAN</x:v>
      </x:c>
      <x:c r="E1979" t="str">
        <x:v>Sarjana</x:v>
      </x:c>
      <x:c r="F1979" s="18" t="n">
        <x:v>158</x:v>
      </x:c>
      <x:c r="G1979" s="18" t="n">
        <x:v>1823</x:v>
      </x:c>
      <x:c r="H1979" s="19" t="n">
        <x:v>11.537974683544304</x:v>
      </x:c>
      <x:c r="I1979" s="18" t="n">
        <x:f>ROUND(MIN(Model_Config_v3!$B$6,MAX(Q1979,R1979,S1979*Model_Config_v3!$B$4+T1979*Model_Config_v3!$B$5)),0)</x:f>
        <x:v>656</x:v>
      </x:c>
      <x:c r="J1979" s="18" t="n">
        <x:f>MIN(Model_Config_v3!$B$6,I1979+Model_Config_v3!$B$7)</x:f>
        <x:v>676</x:v>
      </x:c>
      <x:c r="K1979" s="20" t="n">
        <x:v>51.8</x:v>
      </x:c>
      <x:c r="L1979" t="str">
        <x:v>MENENGAH</x:v>
      </x:c>
      <x:c r="M1979" t="str">
        <x:v>SEDANG+</x:v>
      </x:c>
      <x:c r="N1979" t="str">
        <x:v>REGULER</x:v>
      </x:c>
      <x:c r="O1979" t="str">
        <x:v>SAINTEK</x:v>
      </x:c>
      <x:c r="P1979" t="str">
        <x:v>TEKNIK/ARSITEKTUR/STATISTIKA/AKTUARIA</x:v>
      </x:c>
      <x:c r="Q1979" s="18" t="n">
        <x:v>0</x:v>
      </x:c>
      <x:c r="R1979" s="18" t="n">
        <x:v>0</x:v>
      </x:c>
      <x:c r="S1979" s="18" t="n">
        <x:v>636.834253987061</x:v>
      </x:c>
      <x:c r="T1979" s="18" t="n">
        <x:v>664</x:v>
      </x:c>
      <x:c r="U1979" s="18" t="n">
        <x:v>646.834253987061</x:v>
      </x:c>
      <x:c r="V1979" s="20" t="n">
        <x:v>12</x:v>
      </x:c>
      <x:c r="W1979" s="20" t="n">
        <x:v>5</x:v>
      </x:c>
      <x:c r="X1979" s="20" t="n">
        <x:v>3</x:v>
      </x:c>
      <x:c r="Y1979" t="str">
        <x:v>Basis arsip 2025/2024</x:v>
      </x:c>
      <x:c r="Z1979" t="str">
        <x:v>https://snpmb.id/utbk-snbt/daya-tampung-snbt</x:v>
      </x:c>
      <x:c r="AA1979" t="str">
        <x:v>Tidak Ada</x:v>
      </x:c>
      <x:c r="AB1979" t="str">
        <x:v>Campus=55; Ratio=62.5; Prodi=60; RelDemand=49.3; Capacity=0.0</x:v>
      </x:c>
    </x:row>
    <x:row r="1980">
      <x:c r="A1980" t="n">
        <x:v>1977</x:v>
      </x:c>
      <x:c r="B1980" t="str">
        <x:v>PTN Akademik</x:v>
      </x:c>
      <x:c r="C1980" t="str">
        <x:v>UPN "VETERAN" YOGYAKARTA</x:v>
      </x:c>
      <x:c r="D1980" t="str">
        <x:v>TEKNIK LINGKUNGAN</x:v>
      </x:c>
      <x:c r="E1980" t="str">
        <x:v>Sarjana</x:v>
      </x:c>
      <x:c r="F1980" s="18" t="n">
        <x:v>100</x:v>
      </x:c>
      <x:c r="G1980" s="18" t="n">
        <x:v>954</x:v>
      </x:c>
      <x:c r="H1980" s="19" t="n">
        <x:v>9.54</x:v>
      </x:c>
      <x:c r="I1980" s="18" t="n">
        <x:f>ROUND(MIN(Model_Config_v3!$B$6,MAX(Q1980,R1980,S1980*Model_Config_v3!$B$4+T1980*Model_Config_v3!$B$5)),0)</x:f>
        <x:v>652</x:v>
      </x:c>
      <x:c r="J1980" s="18" t="n">
        <x:f>MIN(Model_Config_v3!$B$6,I1980+Model_Config_v3!$B$7)</x:f>
        <x:v>672</x:v>
      </x:c>
      <x:c r="K1980" s="20" t="n">
        <x:v>51.4</x:v>
      </x:c>
      <x:c r="L1980" t="str">
        <x:v>MENENGAH</x:v>
      </x:c>
      <x:c r="M1980" t="str">
        <x:v>SEDANG+</x:v>
      </x:c>
      <x:c r="N1980" t="str">
        <x:v>REGULER</x:v>
      </x:c>
      <x:c r="O1980" t="str">
        <x:v>SAINTEK</x:v>
      </x:c>
      <x:c r="P1980" t="str">
        <x:v>TEKNIK/ARSITEKTUR/STATISTIKA/AKTUARIA</x:v>
      </x:c>
      <x:c r="Q1980" s="18" t="n">
        <x:v>0</x:v>
      </x:c>
      <x:c r="R1980" s="18" t="n">
        <x:v>0</x:v>
      </x:c>
      <x:c r="S1980" s="18" t="n">
        <x:v>627.7503212174505</x:v>
      </x:c>
      <x:c r="T1980" s="18" t="n">
        <x:v>663</x:v>
      </x:c>
      <x:c r="U1980" s="18" t="n">
        <x:v>637.7503212174505</x:v>
      </x:c>
      <x:c r="V1980" s="20" t="n">
        <x:v>12</x:v>
      </x:c>
      <x:c r="W1980" s="20" t="n">
        <x:v>5</x:v>
      </x:c>
      <x:c r="X1980" s="20" t="n">
        <x:v>3</x:v>
      </x:c>
      <x:c r="Y1980" t="str">
        <x:v>Basis arsip 2025/2024</x:v>
      </x:c>
      <x:c r="Z1980" t="str">
        <x:v>https://snpmb.id/utbk-snbt/daya-tampung-snbt</x:v>
      </x:c>
      <x:c r="AA1980" t="str">
        <x:v>Tidak Ada</x:v>
      </x:c>
      <x:c r="AB1980" t="str">
        <x:v>Campus=55; Ratio=57.7; Prodi=60; RelDemand=40.8; Capacity=16.7</x:v>
      </x:c>
    </x:row>
    <x:row r="1981">
      <x:c r="A1981" t="n">
        <x:v>1978</x:v>
      </x:c>
      <x:c r="B1981" t="str">
        <x:v>PTN Akademik</x:v>
      </x:c>
      <x:c r="C1981" t="str">
        <x:v>UPN "VETERAN" YOGYAKARTA</x:v>
      </x:c>
      <x:c r="D1981" t="str">
        <x:v>TEKNIK GEOFISIKA</x:v>
      </x:c>
      <x:c r="E1981" t="str">
        <x:v>Sarjana</x:v>
      </x:c>
      <x:c r="F1981" s="18" t="n">
        <x:v>66</x:v>
      </x:c>
      <x:c r="G1981" s="18" t="n">
        <x:v>324</x:v>
      </x:c>
      <x:c r="H1981" s="19" t="n">
        <x:v>4.909090909090909</x:v>
      </x:c>
      <x:c r="I1981" s="18" t="n">
        <x:f>ROUND(MIN(Model_Config_v3!$B$6,MAX(Q1981,R1981,S1981*Model_Config_v3!$B$4+T1981*Model_Config_v3!$B$5)),0)</x:f>
        <x:v>638</x:v>
      </x:c>
      <x:c r="J1981" s="18" t="n">
        <x:f>MIN(Model_Config_v3!$B$6,I1981+Model_Config_v3!$B$7)</x:f>
        <x:v>658</x:v>
      </x:c>
      <x:c r="K1981" s="20" t="n">
        <x:v>48</x:v>
      </x:c>
      <x:c r="L1981" t="str">
        <x:v>MENENGAH</x:v>
      </x:c>
      <x:c r="M1981" t="str">
        <x:v>SEDANG+</x:v>
      </x:c>
      <x:c r="N1981" t="str">
        <x:v>REGULER</x:v>
      </x:c>
      <x:c r="O1981" t="str">
        <x:v>SAINTEK</x:v>
      </x:c>
      <x:c r="P1981" t="str">
        <x:v>TEKNIK/ARSITEKTUR/STATISTIKA/AKTUARIA</x:v>
      </x:c>
      <x:c r="Q1981" s="18" t="n">
        <x:v>0</x:v>
      </x:c>
      <x:c r="R1981" s="18" t="n">
        <x:v>0</x:v>
      </x:c>
      <x:c r="S1981" s="18" t="n">
        <x:v>596.0101182131218</x:v>
      </x:c>
      <x:c r="T1981" s="18" t="n">
        <x:v>656</x:v>
      </x:c>
      <x:c r="U1981" s="18" t="n">
        <x:v>606.0101182131218</x:v>
      </x:c>
      <x:c r="V1981" s="20" t="n">
        <x:v>12</x:v>
      </x:c>
      <x:c r="W1981" s="20" t="n">
        <x:v>5</x:v>
      </x:c>
      <x:c r="X1981" s="20" t="n">
        <x:v>3</x:v>
      </x:c>
      <x:c r="Y1981" t="str">
        <x:v>Basis arsip 2025/2024</x:v>
      </x:c>
      <x:c r="Z1981" t="str">
        <x:v>https://snpmb.id/utbk-snbt/daya-tampung-snbt</x:v>
      </x:c>
      <x:c r="AA1981" t="str">
        <x:v>Tidak Ada</x:v>
      </x:c>
      <x:c r="AB1981" t="str">
        <x:v>Campus=55; Ratio=40.7; Prodi=60; RelDemand=21.0; Capacity=45.0</x:v>
      </x:c>
    </x:row>
    <x:row r="1982">
      <x:c r="A1982" t="n">
        <x:v>1979</x:v>
      </x:c>
      <x:c r="B1982" t="str">
        <x:v>PTN Akademik</x:v>
      </x:c>
      <x:c r="C1982" t="str">
        <x:v>UPN "VETERAN" YOGYAKARTA</x:v>
      </x:c>
      <x:c r="D1982" t="str">
        <x:v>TEKNIK KIMIA</x:v>
      </x:c>
      <x:c r="E1982" t="str">
        <x:v>Sarjana</x:v>
      </x:c>
      <x:c r="F1982" s="18" t="n">
        <x:v>144</x:v>
      </x:c>
      <x:c r="G1982" s="18" t="n">
        <x:v>587</x:v>
      </x:c>
      <x:c r="H1982" s="19" t="n">
        <x:v>4.076388888888889</x:v>
      </x:c>
      <x:c r="I1982" s="18" t="n">
        <x:f>ROUND(MIN(Model_Config_v3!$B$6,MAX(Q1982,R1982,S1982*Model_Config_v3!$B$4+T1982*Model_Config_v3!$B$5)),0)</x:f>
        <x:v>627</x:v>
      </x:c>
      <x:c r="J1982" s="18" t="n">
        <x:f>MIN(Model_Config_v3!$B$6,I1982+Model_Config_v3!$B$7)</x:f>
        <x:v>647</x:v>
      </x:c>
      <x:c r="K1982" s="20" t="n">
        <x:v>42</x:v>
      </x:c>
      <x:c r="L1982" t="str">
        <x:v>RELATIF LONGGAR</x:v>
      </x:c>
      <x:c r="M1982" t="str">
        <x:v>SEDANG+</x:v>
      </x:c>
      <x:c r="N1982" t="str">
        <x:v>REGULER</x:v>
      </x:c>
      <x:c r="O1982" t="str">
        <x:v>SAINTEK</x:v>
      </x:c>
      <x:c r="P1982" t="str">
        <x:v>TEKNIK/ARSITEKTUR/STATISTIKA/AKTUARIA</x:v>
      </x:c>
      <x:c r="Q1982" s="18" t="n">
        <x:v>0</x:v>
      </x:c>
      <x:c r="R1982" s="18" t="n">
        <x:v>0</x:v>
      </x:c>
      <x:c r="S1982" s="18" t="n">
        <x:v>587.1303170067602</x:v>
      </x:c>
      <x:c r="T1982" s="18" t="n">
        <x:v>644</x:v>
      </x:c>
      <x:c r="U1982" s="18" t="n">
        <x:v>597.1303170067602</x:v>
      </x:c>
      <x:c r="V1982" s="20" t="n">
        <x:v>12</x:v>
      </x:c>
      <x:c r="W1982" s="20" t="n">
        <x:v>5</x:v>
      </x:c>
      <x:c r="X1982" s="20" t="n">
        <x:v>3</x:v>
      </x:c>
      <x:c r="Y1982" t="str">
        <x:v>Basis arsip 2025/2024</x:v>
      </x:c>
      <x:c r="Z1982" t="str">
        <x:v>https://snpmb.id/utbk-snbt/daya-tampung-snbt</x:v>
      </x:c>
      <x:c r="AA1982" t="str">
        <x:v>Tidak Ada</x:v>
      </x:c>
      <x:c r="AB1982" t="str">
        <x:v>Campus=55; Ratio=35.9; Prodi=60; RelDemand=17.4; Capacity=0.0</x:v>
      </x:c>
    </x:row>
    <x:row r="1983">
      <x:c r="A1983" t="n">
        <x:v>1980</x:v>
      </x:c>
      <x:c r="B1983" t="str">
        <x:v>PTN Akademik</x:v>
      </x:c>
      <x:c r="C1983" t="str">
        <x:v>UPN "VETERAN" YOGYAKARTA</x:v>
      </x:c>
      <x:c r="D1983" t="str">
        <x:v>TEKNIK INDUSTRI</x:v>
      </x:c>
      <x:c r="E1983" t="str">
        <x:v>Sarjana</x:v>
      </x:c>
      <x:c r="F1983" s="18" t="n">
        <x:v>136</x:v>
      </x:c>
      <x:c r="G1983" s="18" t="n">
        <x:v>1526</x:v>
      </x:c>
      <x:c r="H1983" s="19" t="n">
        <x:v>11.220588235294118</x:v>
      </x:c>
      <x:c r="I1983" s="18" t="n">
        <x:f>ROUND(MIN(Model_Config_v3!$B$6,MAX(Q1983,R1983,S1983*Model_Config_v3!$B$4+T1983*Model_Config_v3!$B$5)),0)</x:f>
        <x:v>655</x:v>
      </x:c>
      <x:c r="J1983" s="18" t="n">
        <x:f>MIN(Model_Config_v3!$B$6,I1983+Model_Config_v3!$B$7)</x:f>
        <x:v>675</x:v>
      </x:c>
      <x:c r="K1983" s="20" t="n">
        <x:v>51.5</x:v>
      </x:c>
      <x:c r="L1983" t="str">
        <x:v>MENENGAH</x:v>
      </x:c>
      <x:c r="M1983" t="str">
        <x:v>SEDANG+</x:v>
      </x:c>
      <x:c r="N1983" t="str">
        <x:v>REGULER</x:v>
      </x:c>
      <x:c r="O1983" t="str">
        <x:v>SAINTEK</x:v>
      </x:c>
      <x:c r="P1983" t="str">
        <x:v>TEKNIK/ARSITEKTUR/STATISTIKA/AKTUARIA</x:v>
      </x:c>
      <x:c r="Q1983" s="18" t="n">
        <x:v>0</x:v>
      </x:c>
      <x:c r="R1983" s="18" t="n">
        <x:v>0</x:v>
      </x:c>
      <x:c r="S1983" s="18" t="n">
        <x:v>635.5017187773508</x:v>
      </x:c>
      <x:c r="T1983" s="18" t="n">
        <x:v>663</x:v>
      </x:c>
      <x:c r="U1983" s="18" t="n">
        <x:v>645.5017187773508</x:v>
      </x:c>
      <x:c r="V1983" s="20" t="n">
        <x:v>12</x:v>
      </x:c>
      <x:c r="W1983" s="20" t="n">
        <x:v>5</x:v>
      </x:c>
      <x:c r="X1983" s="20" t="n">
        <x:v>3</x:v>
      </x:c>
      <x:c r="Y1983" t="str">
        <x:v>Basis arsip 2025/2024</x:v>
      </x:c>
      <x:c r="Z1983" t="str">
        <x:v>https://snpmb.id/utbk-snbt/daya-tampung-snbt</x:v>
      </x:c>
      <x:c r="AA1983" t="str">
        <x:v>Tidak Ada</x:v>
      </x:c>
      <x:c r="AB1983" t="str">
        <x:v>Campus=55; Ratio=61.8; Prodi=60; RelDemand=48.0; Capacity=0.0</x:v>
      </x:c>
    </x:row>
    <x:row r="1984">
      <x:c r="A1984" t="n">
        <x:v>1981</x:v>
      </x:c>
      <x:c r="B1984" t="str">
        <x:v>PTN Akademik</x:v>
      </x:c>
      <x:c r="C1984" t="str">
        <x:v>UPN "VETERAN" YOGYAKARTA</x:v>
      </x:c>
      <x:c r="D1984" t="str">
        <x:v>TEKNIK INFORMATIKA</x:v>
      </x:c>
      <x:c r="E1984" t="str">
        <x:v>Sarjana</x:v>
      </x:c>
      <x:c r="F1984" s="18" t="n">
        <x:v>136</x:v>
      </x:c>
      <x:c r="G1984" s="18" t="n">
        <x:v>1594</x:v>
      </x:c>
      <x:c r="H1984" s="19" t="n">
        <x:v>11.720588235294118</x:v>
      </x:c>
      <x:c r="I1984" s="18" t="n">
        <x:f>ROUND(MIN(Model_Config_v3!$B$6,MAX(Q1984,R1984,S1984*Model_Config_v3!$B$4+T1984*Model_Config_v3!$B$5)),0)</x:f>
        <x:v>663</x:v>
      </x:c>
      <x:c r="J1984" s="18" t="n">
        <x:f>MIN(Model_Config_v3!$B$6,I1984+Model_Config_v3!$B$7)</x:f>
        <x:v>683</x:v>
      </x:c>
      <x:c r="K1984" s="20" t="n">
        <x:v>57</x:v>
      </x:c>
      <x:c r="L1984" t="str">
        <x:v>KETAT</x:v>
      </x:c>
      <x:c r="M1984" t="str">
        <x:v>SEDANG+</x:v>
      </x:c>
      <x:c r="N1984" t="str">
        <x:v>REGULER</x:v>
      </x:c>
      <x:c r="O1984" t="str">
        <x:v>SAINTEK</x:v>
      </x:c>
      <x:c r="P1984" t="str">
        <x:v>KOMPUTER/INFORMATIKA</x:v>
      </x:c>
      <x:c r="Q1984" s="18" t="n">
        <x:v>0</x:v>
      </x:c>
      <x:c r="R1984" s="18" t="n">
        <x:v>0</x:v>
      </x:c>
      <x:c r="S1984" s="18" t="n">
        <x:v>637.5844349558863</x:v>
      </x:c>
      <x:c r="T1984" s="18" t="n">
        <x:v>674</x:v>
      </x:c>
      <x:c r="U1984" s="18" t="n">
        <x:v>662.5844349558863</x:v>
      </x:c>
      <x:c r="V1984" s="20" t="n">
        <x:v>12</x:v>
      </x:c>
      <x:c r="W1984" s="20" t="n">
        <x:v>5</x:v>
      </x:c>
      <x:c r="X1984" s="20" t="n">
        <x:v>3</x:v>
      </x:c>
      <x:c r="Y1984" t="str">
        <x:v>Basis arsip 2025/2024</x:v>
      </x:c>
      <x:c r="Z1984" t="str">
        <x:v>https://snpmb.id/utbk-snbt/daya-tampung-snbt</x:v>
      </x:c>
      <x:c r="AA1984" t="str">
        <x:v>Tidak Ada</x:v>
      </x:c>
      <x:c r="AB1984" t="str">
        <x:v>Campus=55; Ratio=62.9; Prodi=85; RelDemand=50.1; Capacity=0.0</x:v>
      </x:c>
    </x:row>
    <x:row r="1985">
      <x:c r="A1985" t="n">
        <x:v>1982</x:v>
      </x:c>
      <x:c r="B1985" t="str">
        <x:v>PTN Akademik</x:v>
      </x:c>
      <x:c r="C1985" t="str">
        <x:v>UPN "VETERAN" YOGYAKARTA</x:v>
      </x:c>
      <x:c r="D1985" t="str">
        <x:v>AGROTEKNOLOGI</x:v>
      </x:c>
      <x:c r="E1985" t="str">
        <x:v>Sarjana</x:v>
      </x:c>
      <x:c r="F1985" s="18" t="n">
        <x:v>151</x:v>
      </x:c>
      <x:c r="G1985" s="18" t="n">
        <x:v>616</x:v>
      </x:c>
      <x:c r="H1985" s="19" t="n">
        <x:v>4.079470198675497</x:v>
      </x:c>
      <x:c r="I1985" s="18" t="n">
        <x:f>ROUND(MIN(Model_Config_v3!$B$6,MAX(Q1985,R1985,S1985*Model_Config_v3!$B$4+T1985*Model_Config_v3!$B$5)),0)</x:f>
        <x:v>621</x:v>
      </x:c>
      <x:c r="J1985" s="18" t="n">
        <x:f>MIN(Model_Config_v3!$B$6,I1985+Model_Config_v3!$B$7)</x:f>
        <x:v>641</x:v>
      </x:c>
      <x:c r="K1985" s="20" t="n">
        <x:v>38</x:v>
      </x:c>
      <x:c r="L1985" t="str">
        <x:v>RELATIF LONGGAR</x:v>
      </x:c>
      <x:c r="M1985" t="str">
        <x:v>SEDANG</x:v>
      </x:c>
      <x:c r="N1985" t="str">
        <x:v>REGULER</x:v>
      </x:c>
      <x:c r="O1985" t="str">
        <x:v>SAINTEK</x:v>
      </x:c>
      <x:c r="P1985" t="str">
        <x:v>UMUM</x:v>
      </x:c>
      <x:c r="Q1985" s="18" t="n">
        <x:v>0</x:v>
      </x:c>
      <x:c r="R1985" s="18" t="n">
        <x:v>0</x:v>
      </x:c>
      <x:c r="S1985" s="18" t="n">
        <x:v>587.1664141358382</x:v>
      </x:c>
      <x:c r="T1985" s="18" t="n">
        <x:v>636</x:v>
      </x:c>
      <x:c r="U1985" s="18" t="n">
        <x:v>587.1664141358382</x:v>
      </x:c>
      <x:c r="V1985" s="20" t="n">
        <x:v>12</x:v>
      </x:c>
      <x:c r="W1985" s="20" t="n">
        <x:v>5</x:v>
      </x:c>
      <x:c r="X1985" s="20" t="n">
        <x:v>3</x:v>
      </x:c>
      <x:c r="Y1985" t="str">
        <x:v>Basis arsip 2025/2024</x:v>
      </x:c>
      <x:c r="Z1985" t="str">
        <x:v>https://snpmb.id/utbk-snbt/daya-tampung-snbt</x:v>
      </x:c>
      <x:c r="AA1985" t="str">
        <x:v>Tidak Ada</x:v>
      </x:c>
      <x:c r="AB1985" t="str">
        <x:v>Campus=55; Ratio=35.9; Prodi=40; RelDemand=17.4; Capacity=0.0</x:v>
      </x:c>
    </x:row>
    <x:row r="1986">
      <x:c r="A1986" t="n">
        <x:v>1983</x:v>
      </x:c>
      <x:c r="B1986" t="str">
        <x:v>PTN Akademik</x:v>
      </x:c>
      <x:c r="C1986" t="str">
        <x:v>UPN "VETERAN" YOGYAKARTA</x:v>
      </x:c>
      <x:c r="D1986" t="str">
        <x:v>AGRIBISNIS</x:v>
      </x:c>
      <x:c r="E1986" t="str">
        <x:v>Sarjana</x:v>
      </x:c>
      <x:c r="F1986" s="18" t="n">
        <x:v>112</x:v>
      </x:c>
      <x:c r="G1986" s="18" t="n">
        <x:v>678</x:v>
      </x:c>
      <x:c r="H1986" s="19" t="n">
        <x:v>6.053571428571429</x:v>
      </x:c>
      <x:c r="I1986" s="18" t="n">
        <x:f>ROUND(MIN(Model_Config_v3!$B$6,MAX(Q1986,R1986,S1986*Model_Config_v3!$B$4+T1986*Model_Config_v3!$B$5)),0)</x:f>
        <x:v>640</x:v>
      </x:c>
      <x:c r="J1986" s="18" t="n">
        <x:f>MIN(Model_Config_v3!$B$6,I1986+Model_Config_v3!$B$7)</x:f>
        <x:v>660</x:v>
      </x:c>
      <x:c r="K1986" s="20" t="n">
        <x:v>47</x:v>
      </x:c>
      <x:c r="L1986" t="str">
        <x:v>MENENGAH</x:v>
      </x:c>
      <x:c r="M1986" t="str">
        <x:v>SEDANG+</x:v>
      </x:c>
      <x:c r="N1986" t="str">
        <x:v>REGULER</x:v>
      </x:c>
      <x:c r="O1986" t="str">
        <x:v>SOSHUM</x:v>
      </x:c>
      <x:c r="P1986" t="str">
        <x:v>BISNIS/EKONOMI/AKUNTANSI</x:v>
      </x:c>
      <x:c r="Q1986" s="18" t="n">
        <x:v>0</x:v>
      </x:c>
      <x:c r="R1986" s="18" t="n">
        <x:v>0</x:v>
      </x:c>
      <x:c r="S1986" s="18" t="n">
        <x:v>606.021283831657</x:v>
      </x:c>
      <x:c r="T1986" s="18" t="n">
        <x:v>654</x:v>
      </x:c>
      <x:c r="U1986" s="18" t="n">
        <x:v>621.021283831657</x:v>
      </x:c>
      <x:c r="V1986" s="20" t="n">
        <x:v>4.4</x:v>
      </x:c>
      <x:c r="W1986" s="20" t="n">
        <x:v>14.3</x:v>
      </x:c>
      <x:c r="X1986" s="20" t="n">
        <x:v>3.3</x:v>
      </x:c>
      <x:c r="Y1986" t="str">
        <x:v>Basis arsip 2025/2024</x:v>
      </x:c>
      <x:c r="Z1986" t="str">
        <x:v>https://snpmb.id/utbk-snbt/daya-tampung-snbt</x:v>
      </x:c>
      <x:c r="AA1986" t="str">
        <x:v>Tidak Ada</x:v>
      </x:c>
      <x:c r="AB1986" t="str">
        <x:v>Campus=55; Ratio=46.0; Prodi=65; RelDemand=25.9; Capacity=6.7</x:v>
      </x:c>
    </x:row>
    <x:row r="1987">
      <x:c r="A1987" t="n">
        <x:v>1984</x:v>
      </x:c>
      <x:c r="B1987" t="str">
        <x:v>PTN Akademik</x:v>
      </x:c>
      <x:c r="C1987" t="str">
        <x:v>UPN "VETERAN" YOGYAKARTA</x:v>
      </x:c>
      <x:c r="D1987" t="str">
        <x:v>METALURGI</x:v>
      </x:c>
      <x:c r="E1987" t="str">
        <x:v>Sarjana</x:v>
      </x:c>
      <x:c r="F1987" s="18" t="n">
        <x:v>67</x:v>
      </x:c>
      <x:c r="G1987" s="18" t="n">
        <x:v>930</x:v>
      </x:c>
      <x:c r="H1987" s="19" t="n">
        <x:v>13.880597014925373</x:v>
      </x:c>
      <x:c r="I1987" s="18" t="n">
        <x:f>ROUND(MIN(Model_Config_v3!$B$6,MAX(Q1987,R1987,S1987*Model_Config_v3!$B$4+T1987*Model_Config_v3!$B$5)),0)</x:f>
        <x:v>662</x:v>
      </x:c>
      <x:c r="J1987" s="18" t="n">
        <x:f>MIN(Model_Config_v3!$B$6,I1987+Model_Config_v3!$B$7)</x:f>
        <x:v>682</x:v>
      </x:c>
      <x:c r="K1987" s="20" t="n">
        <x:v>54.4</x:v>
      </x:c>
      <x:c r="L1987" t="str">
        <x:v>MENENGAH</x:v>
      </x:c>
      <x:c r="M1987" t="str">
        <x:v>SEDANG</x:v>
      </x:c>
      <x:c r="N1987" t="str">
        <x:v>REGULER</x:v>
      </x:c>
      <x:c r="O1987" t="str">
        <x:v>CAMPURAN</x:v>
      </x:c>
      <x:c r="P1987" t="str">
        <x:v>UMUM</x:v>
      </x:c>
      <x:c r="Q1987" s="18" t="n">
        <x:v>0</x:v>
      </x:c>
      <x:c r="R1987" s="18" t="n">
        <x:v>0</x:v>
      </x:c>
      <x:c r="S1987" s="18" t="n">
        <x:v>645.664896043842</x:v>
      </x:c>
      <x:c r="T1987" s="18" t="n">
        <x:v>669</x:v>
      </x:c>
      <x:c r="U1987" s="18" t="n">
        <x:v>645.664896043842</x:v>
      </x:c>
      <x:c r="V1987" s="20" t="n">
        <x:v>8.8</x:v>
      </x:c>
      <x:c r="W1987" s="20" t="n">
        <x:v>9.9</x:v>
      </x:c>
      <x:c r="X1987" s="20" t="n">
        <x:v>3.3</x:v>
      </x:c>
      <x:c r="Y1987" t="str">
        <x:v>Basis arsip 2025/2024</x:v>
      </x:c>
      <x:c r="Z1987" t="str">
        <x:v>https://snpmb.id/utbk-snbt/daya-tampung-snbt</x:v>
      </x:c>
      <x:c r="AA1987" t="str">
        <x:v>Tidak Ada</x:v>
      </x:c>
      <x:c r="AB1987" t="str">
        <x:v>Campus=55; Ratio=67.2; Prodi=40; RelDemand=59.4; Capacity=44.2</x:v>
      </x:c>
    </x:row>
    <x:row r="1988">
      <x:c r="A1988" t="n">
        <x:v>1985</x:v>
      </x:c>
      <x:c r="B1988" t="str">
        <x:v>PTN Akademik</x:v>
      </x:c>
      <x:c r="C1988" t="str">
        <x:v>UPN "VETERAN" YOGYAKARTA</x:v>
      </x:c>
      <x:c r="D1988" t="str">
        <x:v>ILMU TANAH</x:v>
      </x:c>
      <x:c r="E1988" t="str">
        <x:v>Sarjana</x:v>
      </x:c>
      <x:c r="F1988" s="18" t="n">
        <x:v>74</x:v>
      </x:c>
      <x:c r="G1988" s="18" t="n">
        <x:v>433</x:v>
      </x:c>
      <x:c r="H1988" s="19" t="n">
        <x:v>5.851351351351352</x:v>
      </x:c>
      <x:c r="I1988" s="18" t="n">
        <x:f>ROUND(MIN(Model_Config_v3!$B$6,MAX(Q1988,R1988,S1988*Model_Config_v3!$B$4+T1988*Model_Config_v3!$B$5)),0)</x:f>
        <x:v>636</x:v>
      </x:c>
      <x:c r="J1988" s="18" t="n">
        <x:f>MIN(Model_Config_v3!$B$6,I1988+Model_Config_v3!$B$7)</x:f>
        <x:v>656</x:v>
      </x:c>
      <x:c r="K1988" s="20" t="n">
        <x:v>44.9</x:v>
      </x:c>
      <x:c r="L1988" t="str">
        <x:v>RELATIF LONGGAR</x:v>
      </x:c>
      <x:c r="M1988" t="str">
        <x:v>SEDANG</x:v>
      </x:c>
      <x:c r="N1988" t="str">
        <x:v>REGULER</x:v>
      </x:c>
      <x:c r="O1988" t="str">
        <x:v>CAMPURAN</x:v>
      </x:c>
      <x:c r="P1988" t="str">
        <x:v>UMUM</x:v>
      </x:c>
      <x:c r="Q1988" s="18" t="n">
        <x:v>0</x:v>
      </x:c>
      <x:c r="R1988" s="18" t="n">
        <x:v>0</x:v>
      </x:c>
      <x:c r="S1988" s="18" t="n">
        <x:v>604.3981794284628</x:v>
      </x:c>
      <x:c r="T1988" s="18" t="n">
        <x:v>650</x:v>
      </x:c>
      <x:c r="U1988" s="18" t="n">
        <x:v>604.3981794284628</x:v>
      </x:c>
      <x:c r="V1988" s="20" t="n">
        <x:v>8.8</x:v>
      </x:c>
      <x:c r="W1988" s="20" t="n">
        <x:v>9.9</x:v>
      </x:c>
      <x:c r="X1988" s="20" t="n">
        <x:v>3.3</x:v>
      </x:c>
      <x:c r="Y1988" t="str">
        <x:v>Basis arsip 2025/2024</x:v>
      </x:c>
      <x:c r="Z1988" t="str">
        <x:v>https://snpmb.id/utbk-snbt/daya-tampung-snbt</x:v>
      </x:c>
      <x:c r="AA1988" t="str">
        <x:v>Tidak Ada</x:v>
      </x:c>
      <x:c r="AB1988" t="str">
        <x:v>Campus=55; Ratio=45.2; Prodi=40; RelDemand=25.0; Capacity=38.3</x:v>
      </x:c>
    </x:row>
    <x:row r="1989">
      <x:c r="A1989" t="n">
        <x:v>1986</x:v>
      </x:c>
      <x:c r="B1989" t="str">
        <x:v>PTN Akademik</x:v>
      </x:c>
      <x:c r="C1989" t="str">
        <x:v>UPN "VETERAN" YOGYAKARTA</x:v>
      </x:c>
      <x:c r="D1989" t="str">
        <x:v>SISTEM INFORMASI</x:v>
      </x:c>
      <x:c r="E1989" t="str">
        <x:v>Sarjana</x:v>
      </x:c>
      <x:c r="F1989" s="18" t="n">
        <x:v>115</x:v>
      </x:c>
      <x:c r="G1989" s="18" t="n">
        <x:v>1204</x:v>
      </x:c>
      <x:c r="H1989" s="19" t="n">
        <x:v>10.469565217391304</x:v>
      </x:c>
      <x:c r="I1989" s="18" t="n">
        <x:f>ROUND(MIN(Model_Config_v3!$B$6,MAX(Q1989,R1989,S1989*Model_Config_v3!$B$4+T1989*Model_Config_v3!$B$5)),0)</x:f>
        <x:v>660</x:v>
      </x:c>
      <x:c r="J1989" s="18" t="n">
        <x:f>MIN(Model_Config_v3!$B$6,I1989+Model_Config_v3!$B$7)</x:f>
        <x:v>680</x:v>
      </x:c>
      <x:c r="K1989" s="20" t="n">
        <x:v>56.2</x:v>
      </x:c>
      <x:c r="L1989" t="str">
        <x:v>KETAT</x:v>
      </x:c>
      <x:c r="M1989" t="str">
        <x:v>SEDANG+</x:v>
      </x:c>
      <x:c r="N1989" t="str">
        <x:v>REGULER</x:v>
      </x:c>
      <x:c r="O1989" t="str">
        <x:v>CAMPURAN</x:v>
      </x:c>
      <x:c r="P1989" t="str">
        <x:v>KOMPUTER/INFORMATIKA</x:v>
      </x:c>
      <x:c r="Q1989" s="18" t="n">
        <x:v>0</x:v>
      </x:c>
      <x:c r="R1989" s="18" t="n">
        <x:v>0</x:v>
      </x:c>
      <x:c r="S1989" s="18" t="n">
        <x:v>632.1921511225014</x:v>
      </x:c>
      <x:c r="T1989" s="18" t="n">
        <x:v>672</x:v>
      </x:c>
      <x:c r="U1989" s="18" t="n">
        <x:v>657.1921511225014</x:v>
      </x:c>
      <x:c r="V1989" s="20" t="n">
        <x:v>8.8</x:v>
      </x:c>
      <x:c r="W1989" s="20" t="n">
        <x:v>9.9</x:v>
      </x:c>
      <x:c r="X1989" s="20" t="n">
        <x:v>3.3</x:v>
      </x:c>
      <x:c r="Y1989" t="str">
        <x:v>Basis arsip 2025/2024</x:v>
      </x:c>
      <x:c r="Z1989" t="str">
        <x:v>https://snpmb.id/utbk-snbt/daya-tampung-snbt</x:v>
      </x:c>
      <x:c r="AA1989" t="str">
        <x:v>Tidak Ada</x:v>
      </x:c>
      <x:c r="AB1989" t="str">
        <x:v>Campus=55; Ratio=60.0; Prodi=85; RelDemand=44.8; Capacity=4.2</x:v>
      </x:c>
    </x:row>
    <x:row r="1990">
      <x:c r="A1990" t="n">
        <x:v>1987</x:v>
      </x:c>
      <x:c r="B1990" t="str">
        <x:v>PTN Akademik</x:v>
      </x:c>
      <x:c r="C1990" t="str">
        <x:v>UPN "VETERAN" YOGYAKARTA</x:v>
      </x:c>
      <x:c r="D1990" t="str">
        <x:v>TEKNIK GEOMATIKA</x:v>
      </x:c>
      <x:c r="E1990" t="str">
        <x:v>Sarjana</x:v>
      </x:c>
      <x:c r="F1990" s="18" t="n">
        <x:v>65</x:v>
      </x:c>
      <x:c r="G1990" s="18" t="n">
        <x:v>333</x:v>
      </x:c>
      <x:c r="H1990" s="19" t="n">
        <x:v>5.123076923076923</x:v>
      </x:c>
      <x:c r="I1990" s="18" t="n">
        <x:f>ROUND(MIN(Model_Config_v3!$B$6,MAX(Q1990,R1990,S1990*Model_Config_v3!$B$4+T1990*Model_Config_v3!$B$5)),0)</x:f>
        <x:v>639</x:v>
      </x:c>
      <x:c r="J1990" s="18" t="n">
        <x:f>MIN(Model_Config_v3!$B$6,I1990+Model_Config_v3!$B$7)</x:f>
        <x:v>659</x:v>
      </x:c>
      <x:c r="K1990" s="20" t="n">
        <x:v>48.5</x:v>
      </x:c>
      <x:c r="L1990" t="str">
        <x:v>MENENGAH</x:v>
      </x:c>
      <x:c r="M1990" t="str">
        <x:v>SEDANG+</x:v>
      </x:c>
      <x:c r="N1990" t="str">
        <x:v>REGULER</x:v>
      </x:c>
      <x:c r="O1990" t="str">
        <x:v>SAINTEK</x:v>
      </x:c>
      <x:c r="P1990" t="str">
        <x:v>TEKNIK/ARSITEKTUR/STATISTIKA/AKTUARIA</x:v>
      </x:c>
      <x:c r="Q1990" s="18" t="n">
        <x:v>0</x:v>
      </x:c>
      <x:c r="R1990" s="18" t="n">
        <x:v>0</x:v>
      </x:c>
      <x:c r="S1990" s="18" t="n">
        <x:v>598.048396454981</x:v>
      </x:c>
      <x:c r="T1990" s="18" t="n">
        <x:v>657</x:v>
      </x:c>
      <x:c r="U1990" s="18" t="n">
        <x:v>608.048396454981</x:v>
      </x:c>
      <x:c r="V1990" s="20" t="n">
        <x:v>12</x:v>
      </x:c>
      <x:c r="W1990" s="20" t="n">
        <x:v>5</x:v>
      </x:c>
      <x:c r="X1990" s="20" t="n">
        <x:v>3</x:v>
      </x:c>
      <x:c r="Y1990" t="str">
        <x:v>Basis arsip 2025/2024</x:v>
      </x:c>
      <x:c r="Z1990" t="str">
        <x:v>https://snpmb.id/utbk-snbt/daya-tampung-snbt</x:v>
      </x:c>
      <x:c r="AA1990" t="str">
        <x:v>Tidak Ada</x:v>
      </x:c>
      <x:c r="AB1990" t="str">
        <x:v>Campus=55; Ratio=41.8; Prodi=60; RelDemand=21.9; Capacity=45.8</x:v>
      </x:c>
    </x:row>
    <x:row r="1991">
      <x:c r="A1991" t="n">
        <x:v>1988</x:v>
      </x:c>
      <x:c r="B1991" t="str">
        <x:v>PTN Akademik</x:v>
      </x:c>
      <x:c r="C1991" t="str">
        <x:v>UPN "VETERAN" YOGYAKARTA</x:v>
      </x:c>
      <x:c r="D1991" t="str">
        <x:v>MANAJEMEN</x:v>
      </x:c>
      <x:c r="E1991" t="str">
        <x:v>Sarjana</x:v>
      </x:c>
      <x:c r="F1991" s="18" t="n">
        <x:v>433</x:v>
      </x:c>
      <x:c r="G1991" s="18" t="n">
        <x:v>2938</x:v>
      </x:c>
      <x:c r="H1991" s="19" t="n">
        <x:v>6.785219399538106</x:v>
      </x:c>
      <x:c r="I1991" s="18" t="n">
        <x:f>ROUND(MIN(Model_Config_v3!$B$6,MAX(Q1991,R1991,S1991*Model_Config_v3!$B$4+T1991*Model_Config_v3!$B$5)),0)</x:f>
        <x:v>642</x:v>
      </x:c>
      <x:c r="J1991" s="18" t="n">
        <x:f>MIN(Model_Config_v3!$B$6,I1991+Model_Config_v3!$B$7)</x:f>
        <x:v>662</x:v>
      </x:c>
      <x:c r="K1991" s="20" t="n">
        <x:v>47.4</x:v>
      </x:c>
      <x:c r="L1991" t="str">
        <x:v>MENENGAH</x:v>
      </x:c>
      <x:c r="M1991" t="str">
        <x:v>SEDANG+</x:v>
      </x:c>
      <x:c r="N1991" t="str">
        <x:v>REGULER</x:v>
      </x:c>
      <x:c r="O1991" t="str">
        <x:v>SOSHUM</x:v>
      </x:c>
      <x:c r="P1991" t="str">
        <x:v>BISNIS/EKONOMI/AKUNTANSI</x:v>
      </x:c>
      <x:c r="Q1991" s="18" t="n">
        <x:v>0</x:v>
      </x:c>
      <x:c r="R1991" s="18" t="n">
        <x:v>0</x:v>
      </x:c>
      <x:c r="S1991" s="18" t="n">
        <x:v>611.472028461096</x:v>
      </x:c>
      <x:c r="T1991" s="18" t="n">
        <x:v>655</x:v>
      </x:c>
      <x:c r="U1991" s="18" t="n">
        <x:v>626.472028461096</x:v>
      </x:c>
      <x:c r="V1991" s="20" t="n">
        <x:v>4.4</x:v>
      </x:c>
      <x:c r="W1991" s="20" t="n">
        <x:v>14.3</x:v>
      </x:c>
      <x:c r="X1991" s="20" t="n">
        <x:v>3.3</x:v>
      </x:c>
      <x:c r="Y1991" t="str">
        <x:v>Basis arsip 2025/2024</x:v>
      </x:c>
      <x:c r="Z1991" t="str">
        <x:v>https://snpmb.id/utbk-snbt/daya-tampung-snbt</x:v>
      </x:c>
      <x:c r="AA1991" t="str">
        <x:v>Tidak Ada</x:v>
      </x:c>
      <x:c r="AB1991" t="str">
        <x:v>Campus=55; Ratio=48.9; Prodi=65; RelDemand=29.0; Capacity=0.0</x:v>
      </x:c>
    </x:row>
    <x:row r="1992">
      <x:c r="A1992" t="n">
        <x:v>1989</x:v>
      </x:c>
      <x:c r="B1992" t="str">
        <x:v>PTN Akademik</x:v>
      </x:c>
      <x:c r="C1992" t="str">
        <x:v>UPN "VETERAN" YOGYAKARTA</x:v>
      </x:c>
      <x:c r="D1992" t="str">
        <x:v>AKUNTANSI</x:v>
      </x:c>
      <x:c r="E1992" t="str">
        <x:v>Sarjana</x:v>
      </x:c>
      <x:c r="F1992" s="18" t="n">
        <x:v>262</x:v>
      </x:c>
      <x:c r="G1992" s="18" t="n">
        <x:v>1711</x:v>
      </x:c>
      <x:c r="H1992" s="19" t="n">
        <x:v>6.530534351145038</x:v>
      </x:c>
      <x:c r="I1992" s="18" t="n">
        <x:f>ROUND(MIN(Model_Config_v3!$B$6,MAX(Q1992,R1992,S1992*Model_Config_v3!$B$4+T1992*Model_Config_v3!$B$5)),0)</x:f>
        <x:v>641</x:v>
      </x:c>
      <x:c r="J1992" s="18" t="n">
        <x:f>MIN(Model_Config_v3!$B$6,I1992+Model_Config_v3!$B$7)</x:f>
        <x:v>661</x:v>
      </x:c>
      <x:c r="K1992" s="20" t="n">
        <x:v>47</x:v>
      </x:c>
      <x:c r="L1992" t="str">
        <x:v>MENENGAH</x:v>
      </x:c>
      <x:c r="M1992" t="str">
        <x:v>SEDANG+</x:v>
      </x:c>
      <x:c r="N1992" t="str">
        <x:v>REGULER</x:v>
      </x:c>
      <x:c r="O1992" t="str">
        <x:v>SOSHUM</x:v>
      </x:c>
      <x:c r="P1992" t="str">
        <x:v>BISNIS/EKONOMI/AKUNTANSI</x:v>
      </x:c>
      <x:c r="Q1992" s="18" t="n">
        <x:v>0</x:v>
      </x:c>
      <x:c r="R1992" s="18" t="n">
        <x:v>0</x:v>
      </x:c>
      <x:c r="S1992" s="18" t="n">
        <x:v>609.644359004349</x:v>
      </x:c>
      <x:c r="T1992" s="18" t="n">
        <x:v>654</x:v>
      </x:c>
      <x:c r="U1992" s="18" t="n">
        <x:v>609.644359004349</x:v>
      </x:c>
      <x:c r="V1992" s="20" t="n">
        <x:v>4.4</x:v>
      </x:c>
      <x:c r="W1992" s="20" t="n">
        <x:v>14.3</x:v>
      </x:c>
      <x:c r="X1992" s="20" t="n">
        <x:v>3.3</x:v>
      </x:c>
      <x:c r="Y1992" t="str">
        <x:v>Basis arsip 2025/2024</x:v>
      </x:c>
      <x:c r="Z1992" t="str">
        <x:v>https://snpmb.id/utbk-snbt/daya-tampung-snbt</x:v>
      </x:c>
      <x:c r="AA1992" t="str">
        <x:v>Tidak Ada</x:v>
      </x:c>
      <x:c r="AB1992" t="str">
        <x:v>Campus=55; Ratio=48.0; Prodi=65; RelDemand=27.9; Capacity=0.0</x:v>
      </x:c>
    </x:row>
    <x:row r="1993">
      <x:c r="A1993" t="n">
        <x:v>1990</x:v>
      </x:c>
      <x:c r="B1993" t="str">
        <x:v>PTN Akademik</x:v>
      </x:c>
      <x:c r="C1993" t="str">
        <x:v>UPN "VETERAN" YOGYAKARTA</x:v>
      </x:c>
      <x:c r="D1993" t="str">
        <x:v>EKONOMI PEMBANGUNAN</x:v>
      </x:c>
      <x:c r="E1993" t="str">
        <x:v>Sarjana</x:v>
      </x:c>
      <x:c r="F1993" s="18" t="n">
        <x:v>185</x:v>
      </x:c>
      <x:c r="G1993" s="18" t="n">
        <x:v>787</x:v>
      </x:c>
      <x:c r="H1993" s="19" t="n">
        <x:v>4.254054054054054</x:v>
      </x:c>
      <x:c r="I1993" s="18" t="n">
        <x:f>ROUND(MIN(Model_Config_v3!$B$6,MAX(Q1993,R1993,S1993*Model_Config_v3!$B$4+T1993*Model_Config_v3!$B$5)),0)</x:f>
        <x:v>630</x:v>
      </x:c>
      <x:c r="J1993" s="18" t="n">
        <x:f>MIN(Model_Config_v3!$B$6,I1993+Model_Config_v3!$B$7)</x:f>
        <x:v>650</x:v>
      </x:c>
      <x:c r="K1993" s="20" t="n">
        <x:v>43.3</x:v>
      </x:c>
      <x:c r="L1993" t="str">
        <x:v>RELATIF LONGGAR</x:v>
      </x:c>
      <x:c r="M1993" t="str">
        <x:v>SEDANG+</x:v>
      </x:c>
      <x:c r="N1993" t="str">
        <x:v>REGULER</x:v>
      </x:c>
      <x:c r="O1993" t="str">
        <x:v>SOSHUM</x:v>
      </x:c>
      <x:c r="P1993" t="str">
        <x:v>BISNIS/EKONOMI/AKUNTANSI</x:v>
      </x:c>
      <x:c r="Q1993" s="18" t="n">
        <x:v>0</x:v>
      </x:c>
      <x:c r="R1993" s="18" t="n">
        <x:v>0</x:v>
      </x:c>
      <x:c r="S1993" s="18" t="n">
        <x:v>589.1683304351656</x:v>
      </x:c>
      <x:c r="T1993" s="18" t="n">
        <x:v>647</x:v>
      </x:c>
      <x:c r="U1993" s="18" t="n">
        <x:v>589.1683304351656</x:v>
      </x:c>
      <x:c r="V1993" s="20" t="n">
        <x:v>4.4</x:v>
      </x:c>
      <x:c r="W1993" s="20" t="n">
        <x:v>14.3</x:v>
      </x:c>
      <x:c r="X1993" s="20" t="n">
        <x:v>3.3</x:v>
      </x:c>
      <x:c r="Y1993" t="str">
        <x:v>Basis arsip 2025/2024</x:v>
      </x:c>
      <x:c r="Z1993" t="str">
        <x:v>https://snpmb.id/utbk-snbt/daya-tampung-snbt</x:v>
      </x:c>
      <x:c r="AA1993" t="str">
        <x:v>Tidak Ada</x:v>
      </x:c>
      <x:c r="AB1993" t="str">
        <x:v>Campus=55; Ratio=37.0; Prodi=65; RelDemand=18.2; Capacity=0.0</x:v>
      </x:c>
    </x:row>
    <x:row r="1994">
      <x:c r="A1994" t="n">
        <x:v>1991</x:v>
      </x:c>
      <x:c r="B1994" t="str">
        <x:v>PTN Akademik</x:v>
      </x:c>
      <x:c r="C1994" t="str">
        <x:v>UPN "VETERAN" YOGYAKARTA</x:v>
      </x:c>
      <x:c r="D1994" t="str">
        <x:v>ILMU HUBUNGAN INTERNASIONAL</x:v>
      </x:c>
      <x:c r="E1994" t="str">
        <x:v>Sarjana</x:v>
      </x:c>
      <x:c r="F1994" s="18" t="n">
        <x:v>126</x:v>
      </x:c>
      <x:c r="G1994" s="18" t="n">
        <x:v>964</x:v>
      </x:c>
      <x:c r="H1994" s="19" t="n">
        <x:v>7.650793650793651</x:v>
      </x:c>
      <x:c r="I1994" s="18" t="n">
        <x:f>ROUND(MIN(Model_Config_v3!$B$6,MAX(Q1994,R1994,S1994*Model_Config_v3!$B$4+T1994*Model_Config_v3!$B$5)),0)</x:f>
        <x:v>638</x:v>
      </x:c>
      <x:c r="J1994" s="18" t="n">
        <x:f>MIN(Model_Config_v3!$B$6,I1994+Model_Config_v3!$B$7)</x:f>
        <x:v>658</x:v>
      </x:c>
      <x:c r="K1994" s="20" t="n">
        <x:v>43.5</x:v>
      </x:c>
      <x:c r="L1994" t="str">
        <x:v>RELATIF LONGGAR</x:v>
      </x:c>
      <x:c r="M1994" t="str">
        <x:v>SEDANG</x:v>
      </x:c>
      <x:c r="N1994" t="str">
        <x:v>REGULER</x:v>
      </x:c>
      <x:c r="O1994" t="str">
        <x:v>SOSHUM</x:v>
      </x:c>
      <x:c r="P1994" t="str">
        <x:v>UMUM</x:v>
      </x:c>
      <x:c r="Q1994" s="18" t="n">
        <x:v>0</x:v>
      </x:c>
      <x:c r="R1994" s="18" t="n">
        <x:v>0</x:v>
      </x:c>
      <x:c r="S1994" s="18" t="n">
        <x:v>617.2077137663795</x:v>
      </x:c>
      <x:c r="T1994" s="18" t="n">
        <x:v>647</x:v>
      </x:c>
      <x:c r="U1994" s="18" t="n">
        <x:v>617.2077137663795</x:v>
      </x:c>
      <x:c r="V1994" s="20" t="n">
        <x:v>4.4</x:v>
      </x:c>
      <x:c r="W1994" s="20" t="n">
        <x:v>14.3</x:v>
      </x:c>
      <x:c r="X1994" s="20" t="n">
        <x:v>3.3</x:v>
      </x:c>
      <x:c r="Y1994" t="str">
        <x:v>Basis arsip 2025/2024</x:v>
      </x:c>
      <x:c r="Z1994" t="str">
        <x:v>https://snpmb.id/utbk-snbt/daya-tampung-snbt</x:v>
      </x:c>
      <x:c r="AA1994" t="str">
        <x:v>Tidak Ada</x:v>
      </x:c>
      <x:c r="AB1994" t="str">
        <x:v>Campus=55; Ratio=52.0; Prodi=40; RelDemand=32.7; Capacity=0.0</x:v>
      </x:c>
    </x:row>
    <x:row r="1995">
      <x:c r="A1995" t="n">
        <x:v>1992</x:v>
      </x:c>
      <x:c r="B1995" t="str">
        <x:v>PTN Akademik</x:v>
      </x:c>
      <x:c r="C1995" t="str">
        <x:v>UPN "VETERAN" YOGYAKARTA</x:v>
      </x:c>
      <x:c r="D1995" t="str">
        <x:v>ILMU ADMINISTRASI BISNIS</x:v>
      </x:c>
      <x:c r="E1995" t="str">
        <x:v>Sarjana</x:v>
      </x:c>
      <x:c r="F1995" s="18" t="n">
        <x:v>117</x:v>
      </x:c>
      <x:c r="G1995" s="18" t="n">
        <x:v>1652</x:v>
      </x:c>
      <x:c r="H1995" s="19" t="n">
        <x:v>14.11965811965812</x:v>
      </x:c>
      <x:c r="I1995" s="18" t="n">
        <x:f>ROUND(MIN(Model_Config_v3!$B$6,MAX(Q1995,R1995,S1995*Model_Config_v3!$B$4+T1995*Model_Config_v3!$B$5)),0)</x:f>
        <x:v>664</x:v>
      </x:c>
      <x:c r="J1995" s="18" t="n">
        <x:f>MIN(Model_Config_v3!$B$6,I1995+Model_Config_v3!$B$7)</x:f>
        <x:v>684</x:v>
      </x:c>
      <x:c r="K1995" s="20" t="n">
        <x:v>55.5</x:v>
      </x:c>
      <x:c r="L1995" t="str">
        <x:v>KETAT</x:v>
      </x:c>
      <x:c r="M1995" t="str">
        <x:v>SEDANG+</x:v>
      </x:c>
      <x:c r="N1995" t="str">
        <x:v>REGULER</x:v>
      </x:c>
      <x:c r="O1995" t="str">
        <x:v>SOSHUM</x:v>
      </x:c>
      <x:c r="P1995" t="str">
        <x:v>BISNIS/EKONOMI/AKUNTANSI</x:v>
      </x:c>
      <x:c r="Q1995" s="18" t="n">
        <x:v>0</x:v>
      </x:c>
      <x:c r="R1995" s="18" t="n">
        <x:v>0</x:v>
      </x:c>
      <x:c r="S1995" s="18" t="n">
        <x:v>646.4806599362022</x:v>
      </x:c>
      <x:c r="T1995" s="18" t="n">
        <x:v>671</x:v>
      </x:c>
      <x:c r="U1995" s="18" t="n">
        <x:v>661.4806599362022</x:v>
      </x:c>
      <x:c r="V1995" s="20" t="n">
        <x:v>4.4</x:v>
      </x:c>
      <x:c r="W1995" s="20" t="n">
        <x:v>14.3</x:v>
      </x:c>
      <x:c r="X1995" s="20" t="n">
        <x:v>3.3</x:v>
      </x:c>
      <x:c r="Y1995" t="str">
        <x:v>Basis arsip 2025/2024</x:v>
      </x:c>
      <x:c r="Z1995" t="str">
        <x:v>https://snpmb.id/utbk-snbt/daya-tampung-snbt</x:v>
      </x:c>
      <x:c r="AA1995" t="str">
        <x:v>Tidak Ada</x:v>
      </x:c>
      <x:c r="AB1995" t="str">
        <x:v>Campus=55; Ratio=67.7; Prodi=65; RelDemand=60.4; Capacity=2.5</x:v>
      </x:c>
    </x:row>
    <x:row r="1996">
      <x:c r="A1996" t="n">
        <x:v>1993</x:v>
      </x:c>
      <x:c r="B1996" t="str">
        <x:v>PTN Akademik</x:v>
      </x:c>
      <x:c r="C1996" t="str">
        <x:v>UPN "VETERAN" YOGYAKARTA</x:v>
      </x:c>
      <x:c r="D1996" t="str">
        <x:v>ILMU KOMUNIKASI</x:v>
      </x:c>
      <x:c r="E1996" t="str">
        <x:v>Sarjana</x:v>
      </x:c>
      <x:c r="F1996" s="18" t="n">
        <x:v>127</x:v>
      </x:c>
      <x:c r="G1996" s="18" t="n">
        <x:v>1857</x:v>
      </x:c>
      <x:c r="H1996" s="19" t="n">
        <x:v>14.622047244094489</x:v>
      </x:c>
      <x:c r="I1996" s="18" t="n">
        <x:f>ROUND(MIN(Model_Config_v3!$B$6,MAX(Q1996,R1996,S1996*Model_Config_v3!$B$4+T1996*Model_Config_v3!$B$5)),0)</x:f>
        <x:v>657</x:v>
      </x:c>
      <x:c r="J1996" s="18" t="n">
        <x:f>MIN(Model_Config_v3!$B$6,I1996+Model_Config_v3!$B$7)</x:f>
        <x:v>677</x:v>
      </x:c>
      <x:c r="K1996" s="20" t="n">
        <x:v>50.6</x:v>
      </x:c>
      <x:c r="L1996" t="str">
        <x:v>MENENGAH</x:v>
      </x:c>
      <x:c r="M1996" t="str">
        <x:v>SEDANG</x:v>
      </x:c>
      <x:c r="N1996" t="str">
        <x:v>REGULER</x:v>
      </x:c>
      <x:c r="O1996" t="str">
        <x:v>SOSHUM</x:v>
      </x:c>
      <x:c r="P1996" t="str">
        <x:v>UMUM</x:v>
      </x:c>
      <x:c r="Q1996" s="18" t="n">
        <x:v>0</x:v>
      </x:c>
      <x:c r="R1996" s="18" t="n">
        <x:v>0</x:v>
      </x:c>
      <x:c r="S1996" s="18" t="n">
        <x:v>648.1509001062205</x:v>
      </x:c>
      <x:c r="T1996" s="18" t="n">
        <x:v>661</x:v>
      </x:c>
      <x:c r="U1996" s="18" t="n">
        <x:v>648.1509001062205</x:v>
      </x:c>
      <x:c r="V1996" s="20" t="n">
        <x:v>4.4</x:v>
      </x:c>
      <x:c r="W1996" s="20" t="n">
        <x:v>14.3</x:v>
      </x:c>
      <x:c r="X1996" s="20" t="n">
        <x:v>3.3</x:v>
      </x:c>
      <x:c r="Y1996" t="str">
        <x:v>Basis arsip 2025/2024</x:v>
      </x:c>
      <x:c r="Z1996" t="str">
        <x:v>https://snpmb.id/utbk-snbt/daya-tampung-snbt</x:v>
      </x:c>
      <x:c r="AA1996" t="str">
        <x:v>Tidak Ada</x:v>
      </x:c>
      <x:c r="AB1996" t="str">
        <x:v>Campus=55; Ratio=68.6; Prodi=40; RelDemand=62.5; Capacity=0.0</x:v>
      </x:c>
    </x:row>
    <x:row r="1997">
      <x:c r="A1997" t="n">
        <x:v>1994</x:v>
      </x:c>
      <x:c r="B1997" t="str">
        <x:v>PTN Akademik</x:v>
      </x:c>
      <x:c r="C1997" t="str">
        <x:v>UPN "VETERAN" YOGYAKARTA</x:v>
      </x:c>
      <x:c r="D1997" t="str">
        <x:v>HUBUNGAN MASYARAKAT</x:v>
      </x:c>
      <x:c r="E1997" t="str">
        <x:v>Sarjana</x:v>
      </x:c>
      <x:c r="F1997" s="18" t="n">
        <x:v>107</x:v>
      </x:c>
      <x:c r="G1997" s="18" t="n">
        <x:v>1366</x:v>
      </x:c>
      <x:c r="H1997" s="19" t="n">
        <x:v>12.766355140186915</x:v>
      </x:c>
      <x:c r="I1997" s="18" t="n">
        <x:f>ROUND(MIN(Model_Config_v3!$B$6,MAX(Q1997,R1997,S1997*Model_Config_v3!$B$4+T1997*Model_Config_v3!$B$5)),0)</x:f>
        <x:v>655</x:v>
      </x:c>
      <x:c r="J1997" s="18" t="n">
        <x:f>MIN(Model_Config_v3!$B$6,I1997+Model_Config_v3!$B$7)</x:f>
        <x:v>675</x:v>
      </x:c>
      <x:c r="K1997" s="20" t="n">
        <x:v>50.1</x:v>
      </x:c>
      <x:c r="L1997" t="str">
        <x:v>MENENGAH</x:v>
      </x:c>
      <x:c r="M1997" t="str">
        <x:v>SEDANG</x:v>
      </x:c>
      <x:c r="N1997" t="str">
        <x:v>REGULER</x:v>
      </x:c>
      <x:c r="O1997" t="str">
        <x:v>CAMPURAN</x:v>
      </x:c>
      <x:c r="P1997" t="str">
        <x:v>UMUM</x:v>
      </x:c>
      <x:c r="Q1997" s="18" t="n">
        <x:v>0</x:v>
      </x:c>
      <x:c r="R1997" s="18" t="n">
        <x:v>0</x:v>
      </x:c>
      <x:c r="S1997" s="18" t="n">
        <x:v>641.6673613826334</x:v>
      </x:c>
      <x:c r="T1997" s="18" t="n">
        <x:v>660</x:v>
      </x:c>
      <x:c r="U1997" s="18" t="n">
        <x:v>641.6673613826334</x:v>
      </x:c>
      <x:c r="V1997" s="20" t="n">
        <x:v>8.8</x:v>
      </x:c>
      <x:c r="W1997" s="20" t="n">
        <x:v>9.9</x:v>
      </x:c>
      <x:c r="X1997" s="20" t="n">
        <x:v>3.3</x:v>
      </x:c>
      <x:c r="Y1997" t="str">
        <x:v>Basis arsip 2025/2024</x:v>
      </x:c>
      <x:c r="Z1997" t="str">
        <x:v>https://snpmb.id/utbk-snbt/daya-tampung-snbt</x:v>
      </x:c>
      <x:c r="AA1997" t="str">
        <x:v>Tidak Ada</x:v>
      </x:c>
      <x:c r="AB1997" t="str">
        <x:v>Campus=55; Ratio=65.1; Prodi=40; RelDemand=54.6; Capacity=10.8</x:v>
      </x:c>
    </x:row>
    <x:row r="1998">
      <x:c r="A1998" t="n">
        <x:v>1995</x:v>
      </x:c>
      <x:c r="B1998" t="str">
        <x:v>PTN Akademik</x:v>
      </x:c>
      <x:c r="C1998" t="str">
        <x:v>UPN "VETERAN" YOGYAKARTA</x:v>
      </x:c>
      <x:c r="D1998" t="str">
        <x:v>TEKNIK KIMIA</x:v>
      </x:c>
      <x:c r="E1998" t="str">
        <x:v>Diploma Tiga</x:v>
      </x:c>
      <x:c r="F1998" s="18" t="n">
        <x:v>40</x:v>
      </x:c>
      <x:c r="G1998" s="18" t="n">
        <x:v>2209</x:v>
      </x:c>
      <x:c r="H1998" s="19" t="n">
        <x:v>55.225</x:v>
      </x:c>
      <x:c r="I1998" s="18" t="n">
        <x:f>ROUND(MIN(Model_Config_v3!$B$6,MAX(Q1998,R1998,S1998*Model_Config_v3!$B$4+T1998*Model_Config_v3!$B$5)),0)</x:f>
        <x:v>708</x:v>
      </x:c>
      <x:c r="J1998" s="18" t="n">
        <x:f>MIN(Model_Config_v3!$B$6,I1998+Model_Config_v3!$B$7)</x:f>
        <x:v>728</x:v>
      </x:c>
      <x:c r="K1998" s="20" t="n">
        <x:v>72.9</x:v>
      </x:c>
      <x:c r="L1998" t="str">
        <x:v>SANGAT KETAT</x:v>
      </x:c>
      <x:c r="M1998" t="str">
        <x:v>SEDANG+</x:v>
      </x:c>
      <x:c r="N1998" t="str">
        <x:v>REGULER</x:v>
      </x:c>
      <x:c r="O1998" t="str">
        <x:v>SAINTEK</x:v>
      </x:c>
      <x:c r="P1998" t="str">
        <x:v>TEKNIK/ARSITEKTUR/STATISTIKA/AKTUARIA</x:v>
      </x:c>
      <x:c r="Q1998" s="18" t="n">
        <x:v>0</x:v>
      </x:c>
      <x:c r="R1998" s="18" t="n">
        <x:v>0</x:v>
      </x:c>
      <x:c r="S1998" s="18" t="n">
        <x:v>711.634929699782</x:v>
      </x:c>
      <x:c r="T1998" s="18" t="n">
        <x:v>706</x:v>
      </x:c>
      <x:c r="U1998" s="18" t="n">
        <x:v>721.634929699782</x:v>
      </x:c>
      <x:c r="V1998" s="20" t="n">
        <x:v>12</x:v>
      </x:c>
      <x:c r="W1998" s="20" t="n">
        <x:v>5</x:v>
      </x:c>
      <x:c r="X1998" s="20" t="n">
        <x:v>3</x:v>
      </x:c>
      <x:c r="Y1998" t="str">
        <x:v>Basis arsip 2025/2024</x:v>
      </x:c>
      <x:c r="Z1998" t="str">
        <x:v>https://snpmb.id/utbk-snbt/daya-tampung-snbt</x:v>
      </x:c>
      <x:c r="AA1998" t="str">
        <x:v>Tidak Ada</x:v>
      </x:c>
      <x:c r="AB1998" t="str">
        <x:v>Campus=55; Ratio=100.0; Prodi=60; RelDemand=100.0; Capacity=66.7</x:v>
      </x:c>
    </x:row>
    <x:row r="1999">
      <x:c r="A1999" t="n">
        <x:v>1996</x:v>
      </x:c>
      <x:c r="B1999" t="str">
        <x:v>PTN Akademik</x:v>
      </x:c>
      <x:c r="C1999" t="str">
        <x:v>ISI YOGYAKARTA</x:v>
      </x:c>
      <x:c r="D1999" t="str">
        <x:v>SENI TARI</x:v>
      </x:c>
      <x:c r="E1999" t="str">
        <x:v>Sarjana</x:v>
      </x:c>
      <x:c r="F1999" s="18" t="n">
        <x:v>32</x:v>
      </x:c>
      <x:c r="G1999" s="18" t="n">
        <x:v>159</x:v>
      </x:c>
      <x:c r="H1999" s="19" t="n">
        <x:v>4.96875</x:v>
      </x:c>
      <x:c r="I1999" s="18" t="n">
        <x:f>ROUND(MIN(Model_Config_v3!$B$6,MAX(Q1999,R1999,S1999*Model_Config_v3!$B$4+T1999*Model_Config_v3!$B$5)),0)</x:f>
        <x:v>640</x:v>
      </x:c>
      <x:c r="J1999" s="18" t="n">
        <x:f>MIN(Model_Config_v3!$B$6,I1999+Model_Config_v3!$B$7)</x:f>
        <x:v>660</x:v>
      </x:c>
      <x:c r="K1999" s="20" t="n">
        <x:v>49.7</x:v>
      </x:c>
      <x:c r="L1999" t="str">
        <x:v>MENENGAH</x:v>
      </x:c>
      <x:c r="M1999" t="str">
        <x:v>PORTOFOLIO</x:v>
      </x:c>
      <x:c r="N1999" t="str">
        <x:v>REGULER</x:v>
      </x:c>
      <x:c r="O1999" t="str">
        <x:v>SENI/OLAHRAGA</x:v>
      </x:c>
      <x:c r="P1999" t="str">
        <x:v>SENI/OLAHRAGA</x:v>
      </x:c>
      <x:c r="Q1999" s="18" t="n">
        <x:v>0</x:v>
      </x:c>
      <x:c r="R1999" s="18" t="n">
        <x:v>0</x:v>
      </x:c>
      <x:c r="S1999" s="18" t="n">
        <x:v>596.58718606006</x:v>
      </x:c>
      <x:c r="T1999" s="18" t="n">
        <x:v>659</x:v>
      </x:c>
      <x:c r="U1999" s="18" t="n">
        <x:v>596.58718606006</x:v>
      </x:c>
      <x:c r="V1999" s="20" t="n">
        <x:v>4.4</x:v>
      </x:c>
      <x:c r="W1999" s="20" t="n">
        <x:v>9.9</x:v>
      </x:c>
      <x:c r="X1999" s="20" t="n">
        <x:v>7.7</x:v>
      </x:c>
      <x:c r="Y1999" t="str">
        <x:v>Basis arsip 2025/2024</x:v>
      </x:c>
      <x:c r="Z1999" t="str">
        <x:v>https://snpmb.id/utbk-snbt/daya-tampung-snbt</x:v>
      </x:c>
      <x:c r="AA1999" t="str">
        <x:v>Tari</x:v>
      </x:c>
      <x:c r="AB1999" t="str">
        <x:v>Campus=55; Ratio=41.0; Prodi=45; RelDemand=38.7; Capacity=73.3</x:v>
      </x:c>
    </x:row>
    <x:row r="2000">
      <x:c r="A2000" t="n">
        <x:v>1997</x:v>
      </x:c>
      <x:c r="B2000" t="str">
        <x:v>PTN Akademik</x:v>
      </x:c>
      <x:c r="C2000" t="str">
        <x:v>ISI YOGYAKARTA</x:v>
      </x:c>
      <x:c r="D2000" t="str">
        <x:v>SENI MUSIK</x:v>
      </x:c>
      <x:c r="E2000" t="str">
        <x:v>Sarjana</x:v>
      </x:c>
      <x:c r="F2000" s="18" t="n">
        <x:v>50</x:v>
      </x:c>
      <x:c r="G2000" s="18" t="n">
        <x:v>181</x:v>
      </x:c>
      <x:c r="H2000" s="19" t="n">
        <x:v>3.62</x:v>
      </x:c>
      <x:c r="I2000" s="18" t="n">
        <x:f>ROUND(MIN(Model_Config_v3!$B$6,MAX(Q2000,R2000,S2000*Model_Config_v3!$B$4+T2000*Model_Config_v3!$B$5)),0)</x:f>
        <x:v>629</x:v>
      </x:c>
      <x:c r="J2000" s="18" t="n">
        <x:f>MIN(Model_Config_v3!$B$6,I2000+Model_Config_v3!$B$7)</x:f>
        <x:v>649</x:v>
      </x:c>
      <x:c r="K2000" s="20" t="n">
        <x:v>45.1</x:v>
      </x:c>
      <x:c r="L2000" t="str">
        <x:v>MENENGAH</x:v>
      </x:c>
      <x:c r="M2000" t="str">
        <x:v>PORTOFOLIO</x:v>
      </x:c>
      <x:c r="N2000" t="str">
        <x:v>REGULER</x:v>
      </x:c>
      <x:c r="O2000" t="str">
        <x:v>SENI/OLAHRAGA</x:v>
      </x:c>
      <x:c r="P2000" t="str">
        <x:v>SENI/OLAHRAGA</x:v>
      </x:c>
      <x:c r="Q2000" s="18" t="n">
        <x:v>0</x:v>
      </x:c>
      <x:c r="R2000" s="18" t="n">
        <x:v>0</x:v>
      </x:c>
      <x:c r="S2000" s="18" t="n">
        <x:v>581.4579427586482</x:v>
      </x:c>
      <x:c r="T2000" s="18" t="n">
        <x:v>650</x:v>
      </x:c>
      <x:c r="U2000" s="18" t="n">
        <x:v>581.4579427586482</x:v>
      </x:c>
      <x:c r="V2000" s="20" t="n">
        <x:v>4.4</x:v>
      </x:c>
      <x:c r="W2000" s="20" t="n">
        <x:v>9.9</x:v>
      </x:c>
      <x:c r="X2000" s="20" t="n">
        <x:v>7.7</x:v>
      </x:c>
      <x:c r="Y2000" t="str">
        <x:v>Basis arsip 2025/2024</x:v>
      </x:c>
      <x:c r="Z2000" t="str">
        <x:v>https://snpmb.id/utbk-snbt/daya-tampung-snbt</x:v>
      </x:c>
      <x:c r="AA2000" t="str">
        <x:v>Musik</x:v>
      </x:c>
      <x:c r="AB2000" t="str">
        <x:v>Campus=55; Ratio=32.9; Prodi=45; RelDemand=28.2; Capacity=58.3</x:v>
      </x:c>
    </x:row>
    <x:row r="2001">
      <x:c r="A2001" t="n">
        <x:v>1998</x:v>
      </x:c>
      <x:c r="B2001" t="str">
        <x:v>PTN Akademik</x:v>
      </x:c>
      <x:c r="C2001" t="str">
        <x:v>ISI YOGYAKARTA</x:v>
      </x:c>
      <x:c r="D2001" t="str">
        <x:v>PENDIDIKAN MUSIK</x:v>
      </x:c>
      <x:c r="E2001" t="str">
        <x:v>Sarjana</x:v>
      </x:c>
      <x:c r="F2001" s="18" t="n">
        <x:v>36</x:v>
      </x:c>
      <x:c r="G2001" s="18" t="n">
        <x:v>114</x:v>
      </x:c>
      <x:c r="H2001" s="19" t="n">
        <x:v>3.1666666666666665</x:v>
      </x:c>
      <x:c r="I2001" s="18" t="n">
        <x:f>ROUND(MIN(Model_Config_v3!$B$6,MAX(Q2001,R2001,S2001*Model_Config_v3!$B$4+T2001*Model_Config_v3!$B$5)),0)</x:f>
        <x:v>628</x:v>
      </x:c>
      <x:c r="J2001" s="18" t="n">
        <x:f>MIN(Model_Config_v3!$B$6,I2001+Model_Config_v3!$B$7)</x:f>
        <x:v>648</x:v>
      </x:c>
      <x:c r="K2001" s="20" t="n">
        <x:v>45.1</x:v>
      </x:c>
      <x:c r="L2001" t="str">
        <x:v>MENENGAH</x:v>
      </x:c>
      <x:c r="M2001" t="str">
        <x:v>PORTOFOLIO</x:v>
      </x:c>
      <x:c r="N2001" t="str">
        <x:v>REGULER</x:v>
      </x:c>
      <x:c r="O2001" t="str">
        <x:v>SENI/OLAHRAGA</x:v>
      </x:c>
      <x:c r="P2001" t="str">
        <x:v>SENI/OLAHRAGA</x:v>
      </x:c>
      <x:c r="Q2001" s="18" t="n">
        <x:v>0</x:v>
      </x:c>
      <x:c r="R2001" s="18" t="n">
        <x:v>0</x:v>
      </x:c>
      <x:c r="S2001" s="18" t="n">
        <x:v>575.0662585626104</x:v>
      </x:c>
      <x:c r="T2001" s="18" t="n">
        <x:v>650</x:v>
      </x:c>
      <x:c r="U2001" s="18" t="n">
        <x:v>575.0662585626104</x:v>
      </x:c>
      <x:c r="V2001" s="20" t="n">
        <x:v>4.4</x:v>
      </x:c>
      <x:c r="W2001" s="20" t="n">
        <x:v>9.9</x:v>
      </x:c>
      <x:c r="X2001" s="20" t="n">
        <x:v>7.7</x:v>
      </x:c>
      <x:c r="Y2001" t="str">
        <x:v>Basis arsip 2025/2024</x:v>
      </x:c>
      <x:c r="Z2001" t="str">
        <x:v>https://snpmb.id/utbk-snbt/daya-tampung-snbt</x:v>
      </x:c>
      <x:c r="AA2001" t="str">
        <x:v>Musik</x:v>
      </x:c>
      <x:c r="AB2001" t="str">
        <x:v>Campus=55; Ratio=29.5; Prodi=45; RelDemand=24.7; Capacity=70.0</x:v>
      </x:c>
    </x:row>
    <x:row r="2002">
      <x:c r="A2002" t="n">
        <x:v>1999</x:v>
      </x:c>
      <x:c r="B2002" t="str">
        <x:v>PTN Akademik</x:v>
      </x:c>
      <x:c r="C2002" t="str">
        <x:v>ISI YOGYAKARTA</x:v>
      </x:c>
      <x:c r="D2002" t="str">
        <x:v>PENCIPTAAN MUSIK</x:v>
      </x:c>
      <x:c r="E2002" t="str">
        <x:v>Sarjana</x:v>
      </x:c>
      <x:c r="F2002" s="18" t="n">
        <x:v>18</x:v>
      </x:c>
      <x:c r="G2002" s="18" t="n">
        <x:v>79</x:v>
      </x:c>
      <x:c r="H2002" s="19" t="n">
        <x:v>4.388888888888889</x:v>
      </x:c>
      <x:c r="I2002" s="18" t="n">
        <x:f>ROUND(MIN(Model_Config_v3!$B$6,MAX(Q2002,R2002,S2002*Model_Config_v3!$B$4+T2002*Model_Config_v3!$B$5)),0)</x:f>
        <x:v>638</x:v>
      </x:c>
      <x:c r="J2002" s="18" t="n">
        <x:f>MIN(Model_Config_v3!$B$6,I2002+Model_Config_v3!$B$7)</x:f>
        <x:v>658</x:v>
      </x:c>
      <x:c r="K2002" s="20" t="n">
        <x:v>49.6</x:v>
      </x:c>
      <x:c r="L2002" t="str">
        <x:v>MENENGAH</x:v>
      </x:c>
      <x:c r="M2002" t="str">
        <x:v>PORTOFOLIO</x:v>
      </x:c>
      <x:c r="N2002" t="str">
        <x:v>REGULER</x:v>
      </x:c>
      <x:c r="O2002" t="str">
        <x:v>SENI/OLAHRAGA</x:v>
      </x:c>
      <x:c r="P2002" t="str">
        <x:v>SENI/OLAHRAGA</x:v>
      </x:c>
      <x:c r="Q2002" s="18" t="n">
        <x:v>0</x:v>
      </x:c>
      <x:c r="R2002" s="18" t="n">
        <x:v>0</x:v>
      </x:c>
      <x:c r="S2002" s="18" t="n">
        <x:v>590.6590044805848</x:v>
      </x:c>
      <x:c r="T2002" s="18" t="n">
        <x:v>659</x:v>
      </x:c>
      <x:c r="U2002" s="18" t="n">
        <x:v>590.6590044805848</x:v>
      </x:c>
      <x:c r="V2002" s="20" t="n">
        <x:v>4.4</x:v>
      </x:c>
      <x:c r="W2002" s="20" t="n">
        <x:v>9.9</x:v>
      </x:c>
      <x:c r="X2002" s="20" t="n">
        <x:v>7.7</x:v>
      </x:c>
      <x:c r="Y2002" t="str">
        <x:v>Basis arsip 2025/2024</x:v>
      </x:c>
      <x:c r="Z2002" t="str">
        <x:v>https://snpmb.id/utbk-snbt/daya-tampung-snbt</x:v>
      </x:c>
      <x:c r="AA2002" t="str">
        <x:v>Musik</x:v>
      </x:c>
      <x:c r="AB2002" t="str">
        <x:v>Campus=55; Ratio=37.8; Prodi=45; RelDemand=34.2; Capacity=85.0</x:v>
      </x:c>
    </x:row>
    <x:row r="2003">
      <x:c r="A2003" t="n">
        <x:v>2000</x:v>
      </x:c>
      <x:c r="B2003" t="str">
        <x:v>PTN Akademik</x:v>
      </x:c>
      <x:c r="C2003" t="str">
        <x:v>ISI YOGYAKARTA</x:v>
      </x:c>
      <x:c r="D2003" t="str">
        <x:v>SENI TEATER</x:v>
      </x:c>
      <x:c r="E2003" t="str">
        <x:v>Sarjana</x:v>
      </x:c>
      <x:c r="F2003" s="18" t="n">
        <x:v>28</x:v>
      </x:c>
      <x:c r="G2003" s="18" t="n">
        <x:v>34</x:v>
      </x:c>
      <x:c r="H2003" s="19" t="n">
        <x:v>1.2142857142857142</x:v>
      </x:c>
      <x:c r="I2003" s="18" t="n">
        <x:f>ROUND(MIN(Model_Config_v3!$B$6,MAX(Q2003,R2003,S2003*Model_Config_v3!$B$4+T2003*Model_Config_v3!$B$5)),0)</x:f>
        <x:v>604</x:v>
      </x:c>
      <x:c r="J2003" s="18" t="n">
        <x:f>MIN(Model_Config_v3!$B$6,I2003+Model_Config_v3!$B$7)</x:f>
        <x:v>624</x:v>
      </x:c>
      <x:c r="K2003" s="20" t="n">
        <x:v>38.1</x:v>
      </x:c>
      <x:c r="L2003" t="str">
        <x:v>RELATIF LONGGAR</x:v>
      </x:c>
      <x:c r="M2003" t="str">
        <x:v>PORTOFOLIO</x:v>
      </x:c>
      <x:c r="N2003" t="str">
        <x:v>REGULER</x:v>
      </x:c>
      <x:c r="O2003" t="str">
        <x:v>SENI/OLAHRAGA</x:v>
      </x:c>
      <x:c r="P2003" t="str">
        <x:v>SENI/OLAHRAGA</x:v>
      </x:c>
      <x:c r="Q2003" s="18" t="n">
        <x:v>0</x:v>
      </x:c>
      <x:c r="R2003" s="18" t="n">
        <x:v>0</x:v>
      </x:c>
      <x:c r="S2003" s="18" t="n">
        <x:v>529.2752974270039</x:v>
      </x:c>
      <x:c r="T2003" s="18" t="n">
        <x:v>636</x:v>
      </x:c>
      <x:c r="U2003" s="18" t="n">
        <x:v>529.2752974270039</x:v>
      </x:c>
      <x:c r="V2003" s="20" t="n">
        <x:v>4.4</x:v>
      </x:c>
      <x:c r="W2003" s="20" t="n">
        <x:v>9.9</x:v>
      </x:c>
      <x:c r="X2003" s="20" t="n">
        <x:v>7.7</x:v>
      </x:c>
      <x:c r="Y2003" t="str">
        <x:v>Basis arsip 2025/2024</x:v>
      </x:c>
      <x:c r="Z2003" t="str">
        <x:v>https://snpmb.id/utbk-snbt/daya-tampung-snbt</x:v>
      </x:c>
      <x:c r="AA2003" t="str">
        <x:v>Teater</x:v>
      </x:c>
      <x:c r="AB2003" t="str">
        <x:v>Campus=55; Ratio=5.0; Prodi=45; RelDemand=9.5; Capacity=76.7</x:v>
      </x:c>
    </x:row>
    <x:row r="2004">
      <x:c r="A2004" t="n">
        <x:v>2001</x:v>
      </x:c>
      <x:c r="B2004" t="str">
        <x:v>PTN Akademik</x:v>
      </x:c>
      <x:c r="C2004" t="str">
        <x:v>ISI YOGYAKARTA</x:v>
      </x:c>
      <x:c r="D2004" t="str">
        <x:v>PENDIDIKAN SENI DRAMA, TARI, DAN MUSIK</x:v>
      </x:c>
      <x:c r="E2004" t="str">
        <x:v>Sarjana</x:v>
      </x:c>
      <x:c r="F2004" s="18" t="n">
        <x:v>18</x:v>
      </x:c>
      <x:c r="G2004" s="18" t="n">
        <x:v>35</x:v>
      </x:c>
      <x:c r="H2004" s="19" t="n">
        <x:v>1.9444444444444444</x:v>
      </x:c>
      <x:c r="I2004" s="18" t="n">
        <x:f>ROUND(MIN(Model_Config_v3!$B$6,MAX(Q2004,R2004,S2004*Model_Config_v3!$B$4+T2004*Model_Config_v3!$B$5)),0)</x:f>
        <x:v>617</x:v>
      </x:c>
      <x:c r="J2004" s="18" t="n">
        <x:f>MIN(Model_Config_v3!$B$6,I2004+Model_Config_v3!$B$7)</x:f>
        <x:v>637</x:v>
      </x:c>
      <x:c r="K2004" s="20" t="n">
        <x:v>42.5</x:v>
      </x:c>
      <x:c r="L2004" t="str">
        <x:v>RELATIF LONGGAR</x:v>
      </x:c>
      <x:c r="M2004" t="str">
        <x:v>PORTOFOLIO</x:v>
      </x:c>
      <x:c r="N2004" t="str">
        <x:v>REGULER</x:v>
      </x:c>
      <x:c r="O2004" t="str">
        <x:v>SENI/OLAHRAGA</x:v>
      </x:c>
      <x:c r="P2004" t="str">
        <x:v>SENI/OLAHRAGA</x:v>
      </x:c>
      <x:c r="Q2004" s="18" t="n">
        <x:v>0</x:v>
      </x:c>
      <x:c r="R2004" s="18" t="n">
        <x:v>0</x:v>
      </x:c>
      <x:c r="S2004" s="18" t="n">
        <x:v>551.7675093171666</x:v>
      </x:c>
      <x:c r="T2004" s="18" t="n">
        <x:v>645</x:v>
      </x:c>
      <x:c r="U2004" s="18" t="n">
        <x:v>551.7675093171666</x:v>
      </x:c>
      <x:c r="V2004" s="20" t="n">
        <x:v>4.4</x:v>
      </x:c>
      <x:c r="W2004" s="20" t="n">
        <x:v>9.9</x:v>
      </x:c>
      <x:c r="X2004" s="20" t="n">
        <x:v>7.7</x:v>
      </x:c>
      <x:c r="Y2004" t="str">
        <x:v>Basis arsip 2025/2024</x:v>
      </x:c>
      <x:c r="Z2004" t="str">
        <x:v>https://snpmb.id/utbk-snbt/daya-tampung-snbt</x:v>
      </x:c>
      <x:c r="AA2004" t="str">
        <x:v>Sendratasik</x:v>
      </x:c>
      <x:c r="AB2004" t="str">
        <x:v>Campus=55; Ratio=17.0; Prodi=45; RelDemand=15.2; Capacity=85.0</x:v>
      </x:c>
    </x:row>
    <x:row r="2005">
      <x:c r="A2005" t="n">
        <x:v>2002</x:v>
      </x:c>
      <x:c r="B2005" t="str">
        <x:v>PTN Akademik</x:v>
      </x:c>
      <x:c r="C2005" t="str">
        <x:v>ISI YOGYAKARTA</x:v>
      </x:c>
      <x:c r="D2005" t="str">
        <x:v>SENI RUPA MURNI</x:v>
      </x:c>
      <x:c r="E2005" t="str">
        <x:v>Sarjana</x:v>
      </x:c>
      <x:c r="F2005" s="18" t="n">
        <x:v>48</x:v>
      </x:c>
      <x:c r="G2005" s="18" t="n">
        <x:v>205</x:v>
      </x:c>
      <x:c r="H2005" s="19" t="n">
        <x:v>4.270833333333333</x:v>
      </x:c>
      <x:c r="I2005" s="18" t="n">
        <x:f>ROUND(MIN(Model_Config_v3!$B$6,MAX(Q2005,R2005,S2005*Model_Config_v3!$B$4+T2005*Model_Config_v3!$B$5)),0)</x:f>
        <x:v>635</x:v>
      </x:c>
      <x:c r="J2005" s="18" t="n">
        <x:f>MIN(Model_Config_v3!$B$6,I2005+Model_Config_v3!$B$7)</x:f>
        <x:v>655</x:v>
      </x:c>
      <x:c r="K2005" s="20" t="n">
        <x:v>46.9</x:v>
      </x:c>
      <x:c r="L2005" t="str">
        <x:v>MENENGAH</x:v>
      </x:c>
      <x:c r="M2005" t="str">
        <x:v>PORTOFOLIO</x:v>
      </x:c>
      <x:c r="N2005" t="str">
        <x:v>REGULER</x:v>
      </x:c>
      <x:c r="O2005" t="str">
        <x:v>SENI/OLAHRAGA</x:v>
      </x:c>
      <x:c r="P2005" t="str">
        <x:v>SENI/OLAHRAGA</x:v>
      </x:c>
      <x:c r="Q2005" s="18" t="n">
        <x:v>0</x:v>
      </x:c>
      <x:c r="R2005" s="18" t="n">
        <x:v>0</x:v>
      </x:c>
      <x:c r="S2005" s="18" t="n">
        <x:v>589.3563886048183</x:v>
      </x:c>
      <x:c r="T2005" s="18" t="n">
        <x:v>654</x:v>
      </x:c>
      <x:c r="U2005" s="18" t="n">
        <x:v>589.3563886048183</x:v>
      </x:c>
      <x:c r="V2005" s="20" t="n">
        <x:v>4.4</x:v>
      </x:c>
      <x:c r="W2005" s="20" t="n">
        <x:v>9.9</x:v>
      </x:c>
      <x:c r="X2005" s="20" t="n">
        <x:v>7.7</x:v>
      </x:c>
      <x:c r="Y2005" t="str">
        <x:v>Basis arsip 2025/2024</x:v>
      </x:c>
      <x:c r="Z2005" t="str">
        <x:v>https://snpmb.id/utbk-snbt/daya-tampung-snbt</x:v>
      </x:c>
      <x:c r="AA2005" t="str">
        <x:v>Seni Rupa, Desain, dan Kriya</x:v>
      </x:c>
      <x:c r="AB2005" t="str">
        <x:v>Campus=55; Ratio=37.1; Prodi=45; RelDemand=33.3; Capacity=60.0</x:v>
      </x:c>
    </x:row>
    <x:row r="2006">
      <x:c r="A2006" t="n">
        <x:v>2003</x:v>
      </x:c>
      <x:c r="B2006" t="str">
        <x:v>PTN Akademik</x:v>
      </x:c>
      <x:c r="C2006" t="str">
        <x:v>ISI YOGYAKARTA</x:v>
      </x:c>
      <x:c r="D2006" t="str">
        <x:v>KRIYA SENI</x:v>
      </x:c>
      <x:c r="E2006" t="str">
        <x:v>Sarjana</x:v>
      </x:c>
      <x:c r="F2006" s="18" t="n">
        <x:v>48</x:v>
      </x:c>
      <x:c r="G2006" s="18" t="n">
        <x:v>66</x:v>
      </x:c>
      <x:c r="H2006" s="19" t="n">
        <x:v>1.375</x:v>
      </x:c>
      <x:c r="I2006" s="18" t="n">
        <x:f>ROUND(MIN(Model_Config_v3!$B$6,MAX(Q2006,R2006,S2006*Model_Config_v3!$B$4+T2006*Model_Config_v3!$B$5)),0)</x:f>
        <x:v>605</x:v>
      </x:c>
      <x:c r="J2006" s="18" t="n">
        <x:f>MIN(Model_Config_v3!$B$6,I2006+Model_Config_v3!$B$7)</x:f>
        <x:v>625</x:v>
      </x:c>
      <x:c r="K2006" s="20" t="n">
        <x:v>37.4</x:v>
      </x:c>
      <x:c r="L2006" t="str">
        <x:v>RELATIF LONGGAR</x:v>
      </x:c>
      <x:c r="M2006" t="str">
        <x:v>PORTOFOLIO</x:v>
      </x:c>
      <x:c r="N2006" t="str">
        <x:v>REGULER</x:v>
      </x:c>
      <x:c r="O2006" t="str">
        <x:v>SENI/OLAHRAGA</x:v>
      </x:c>
      <x:c r="P2006" t="str">
        <x:v>SENI/OLAHRAGA</x:v>
      </x:c>
      <x:c r="Q2006" s="18" t="n">
        <x:v>0</x:v>
      </x:c>
      <x:c r="R2006" s="18" t="n">
        <x:v>0</x:v>
      </x:c>
      <x:c r="S2006" s="18" t="n">
        <x:v>535.2132967982909</x:v>
      </x:c>
      <x:c r="T2006" s="18" t="n">
        <x:v>635</x:v>
      </x:c>
      <x:c r="U2006" s="18" t="n">
        <x:v>535.2132967982909</x:v>
      </x:c>
      <x:c r="V2006" s="20" t="n">
        <x:v>4.4</x:v>
      </x:c>
      <x:c r="W2006" s="20" t="n">
        <x:v>9.9</x:v>
      </x:c>
      <x:c r="X2006" s="20" t="n">
        <x:v>7.7</x:v>
      </x:c>
      <x:c r="Y2006" t="str">
        <x:v>Basis arsip 2025/2024</x:v>
      </x:c>
      <x:c r="Z2006" t="str">
        <x:v>https://snpmb.id/utbk-snbt/daya-tampung-snbt</x:v>
      </x:c>
      <x:c r="AA2006" t="str">
        <x:v>Seni Rupa, Desain, dan Kriya</x:v>
      </x:c>
      <x:c r="AB2006" t="str">
        <x:v>Campus=55; Ratio=8.1; Prodi=45; RelDemand=10.7; Capacity=60.0</x:v>
      </x:c>
    </x:row>
    <x:row r="2007">
      <x:c r="A2007" t="n">
        <x:v>2004</x:v>
      </x:c>
      <x:c r="B2007" t="str">
        <x:v>PTN Akademik</x:v>
      </x:c>
      <x:c r="C2007" t="str">
        <x:v>ISI YOGYAKARTA</x:v>
      </x:c>
      <x:c r="D2007" t="str">
        <x:v>DESAIN INTERIOR</x:v>
      </x:c>
      <x:c r="E2007" t="str">
        <x:v>Sarjana</x:v>
      </x:c>
      <x:c r="F2007" s="18" t="n">
        <x:v>58</x:v>
      </x:c>
      <x:c r="G2007" s="18" t="n">
        <x:v>321</x:v>
      </x:c>
      <x:c r="H2007" s="19" t="n">
        <x:v>5.5344827586206895</x:v>
      </x:c>
      <x:c r="I2007" s="18" t="n">
        <x:f>ROUND(MIN(Model_Config_v3!$B$6,MAX(Q2007,R2007,S2007*Model_Config_v3!$B$4+T2007*Model_Config_v3!$B$5)),0)</x:f>
        <x:v>640</x:v>
      </x:c>
      <x:c r="J2007" s="18" t="n">
        <x:f>MIN(Model_Config_v3!$B$6,I2007+Model_Config_v3!$B$7)</x:f>
        <x:v>660</x:v>
      </x:c>
      <x:c r="K2007" s="20" t="n">
        <x:v>48.7</x:v>
      </x:c>
      <x:c r="L2007" t="str">
        <x:v>MENENGAH</x:v>
      </x:c>
      <x:c r="M2007" t="str">
        <x:v>PORTOFOLIO</x:v>
      </x:c>
      <x:c r="N2007" t="str">
        <x:v>REGULER</x:v>
      </x:c>
      <x:c r="O2007" t="str">
        <x:v>SENI/OLAHRAGA</x:v>
      </x:c>
      <x:c r="P2007" t="str">
        <x:v>SENI/OLAHRAGA</x:v>
      </x:c>
      <x:c r="Q2007" s="18" t="n">
        <x:v>0</x:v>
      </x:c>
      <x:c r="R2007" s="18" t="n">
        <x:v>0</x:v>
      </x:c>
      <x:c r="S2007" s="18" t="n">
        <x:v>601.7384742726128</x:v>
      </x:c>
      <x:c r="T2007" s="18" t="n">
        <x:v>657</x:v>
      </x:c>
      <x:c r="U2007" s="18" t="n">
        <x:v>601.7384742726128</x:v>
      </x:c>
      <x:c r="V2007" s="20" t="n">
        <x:v>4.4</x:v>
      </x:c>
      <x:c r="W2007" s="20" t="n">
        <x:v>9.9</x:v>
      </x:c>
      <x:c r="X2007" s="20" t="n">
        <x:v>7.7</x:v>
      </x:c>
      <x:c r="Y2007" t="str">
        <x:v>Basis arsip 2025/2024</x:v>
      </x:c>
      <x:c r="Z2007" t="str">
        <x:v>https://snpmb.id/utbk-snbt/daya-tampung-snbt</x:v>
      </x:c>
      <x:c r="AA2007" t="str">
        <x:v>Seni Rupa, Desain, dan Kriya</x:v>
      </x:c>
      <x:c r="AB2007" t="str">
        <x:v>Campus=55; Ratio=43.7; Prodi=45; RelDemand=43.2; Capacity=51.7</x:v>
      </x:c>
    </x:row>
    <x:row r="2008">
      <x:c r="A2008" t="n">
        <x:v>2005</x:v>
      </x:c>
      <x:c r="B2008" t="str">
        <x:v>PTN Akademik</x:v>
      </x:c>
      <x:c r="C2008" t="str">
        <x:v>ISI YOGYAKARTA</x:v>
      </x:c>
      <x:c r="D2008" t="str">
        <x:v>DESAIN KOMUNIKASI VISUAL</x:v>
      </x:c>
      <x:c r="E2008" t="str">
        <x:v>Sarjana</x:v>
      </x:c>
      <x:c r="F2008" s="18" t="n">
        <x:v>48</x:v>
      </x:c>
      <x:c r="G2008" s="18" t="n">
        <x:v>1422</x:v>
      </x:c>
      <x:c r="H2008" s="19" t="n">
        <x:v>29.625</x:v>
      </x:c>
      <x:c r="I2008" s="18" t="n">
        <x:f>ROUND(MIN(Model_Config_v3!$B$6,MAX(Q2008,R2008,S2008*Model_Config_v3!$B$4+T2008*Model_Config_v3!$B$5)),0)</x:f>
        <x:v>689</x:v>
      </x:c>
      <x:c r="J2008" s="18" t="n">
        <x:f>MIN(Model_Config_v3!$B$6,I2008+Model_Config_v3!$B$7)</x:f>
        <x:v>709</x:v>
      </x:c>
      <x:c r="K2008" s="20" t="n">
        <x:v>65.9</x:v>
      </x:c>
      <x:c r="L2008" t="str">
        <x:v>SANGAT KETAT</x:v>
      </x:c>
      <x:c r="M2008" t="str">
        <x:v>PORTOFOLIO</x:v>
      </x:c>
      <x:c r="N2008" t="str">
        <x:v>REGULER</x:v>
      </x:c>
      <x:c r="O2008" t="str">
        <x:v>SENI/OLAHRAGA</x:v>
      </x:c>
      <x:c r="P2008" t="str">
        <x:v>SENI/OLAHRAGA</x:v>
      </x:c>
      <x:c r="Q2008" s="18" t="n">
        <x:v>0</x:v>
      </x:c>
      <x:c r="R2008" s="18" t="n">
        <x:v>0</x:v>
      </x:c>
      <x:c r="S2008" s="18" t="n">
        <x:v>681.8824194919977</x:v>
      </x:c>
      <x:c r="T2008" s="18" t="n">
        <x:v>692</x:v>
      </x:c>
      <x:c r="U2008" s="18" t="n">
        <x:v>681.8824194919977</x:v>
      </x:c>
      <x:c r="V2008" s="20" t="n">
        <x:v>4.4</x:v>
      </x:c>
      <x:c r="W2008" s="20" t="n">
        <x:v>9.9</x:v>
      </x:c>
      <x:c r="X2008" s="20" t="n">
        <x:v>7.7</x:v>
      </x:c>
      <x:c r="Y2008" t="str">
        <x:v>Basis arsip 2025/2024</x:v>
      </x:c>
      <x:c r="Z2008" t="str">
        <x:v>https://snpmb.id/utbk-snbt/daya-tampung-snbt</x:v>
      </x:c>
      <x:c r="AA2008" t="str">
        <x:v>Seni Rupa, Desain, dan Kriya</x:v>
      </x:c>
      <x:c r="AB2008" t="str">
        <x:v>Campus=55; Ratio=86.6; Prodi=45; RelDemand=100.0; Capacity=60.0</x:v>
      </x:c>
    </x:row>
    <x:row r="2009">
      <x:c r="A2009" t="n">
        <x:v>2006</x:v>
      </x:c>
      <x:c r="B2009" t="str">
        <x:v>PTN Akademik</x:v>
      </x:c>
      <x:c r="C2009" t="str">
        <x:v>ISI YOGYAKARTA</x:v>
      </x:c>
      <x:c r="D2009" t="str">
        <x:v>DESAIN PRODUK</x:v>
      </x:c>
      <x:c r="E2009" t="str">
        <x:v>Sarjana</x:v>
      </x:c>
      <x:c r="F2009" s="18" t="n">
        <x:v>32</x:v>
      </x:c>
      <x:c r="G2009" s="18" t="n">
        <x:v>164</x:v>
      </x:c>
      <x:c r="H2009" s="19" t="n">
        <x:v>5.125</x:v>
      </x:c>
      <x:c r="I2009" s="18" t="n">
        <x:f>ROUND(MIN(Model_Config_v3!$B$6,MAX(Q2009,R2009,S2009*Model_Config_v3!$B$4+T2009*Model_Config_v3!$B$5)),0)</x:f>
        <x:v>641</x:v>
      </x:c>
      <x:c r="J2009" s="18" t="n">
        <x:f>MIN(Model_Config_v3!$B$6,I2009+Model_Config_v3!$B$7)</x:f>
        <x:v>661</x:v>
      </x:c>
      <x:c r="K2009" s="20" t="n">
        <x:v>50</x:v>
      </x:c>
      <x:c r="L2009" t="str">
        <x:v>MENENGAH</x:v>
      </x:c>
      <x:c r="M2009" t="str">
        <x:v>PORTOFOLIO</x:v>
      </x:c>
      <x:c r="N2009" t="str">
        <x:v>REGULER</x:v>
      </x:c>
      <x:c r="O2009" t="str">
        <x:v>SENI/OLAHRAGA</x:v>
      </x:c>
      <x:c r="P2009" t="str">
        <x:v>SENI/OLAHRAGA</x:v>
      </x:c>
      <x:c r="Q2009" s="18" t="n">
        <x:v>0</x:v>
      </x:c>
      <x:c r="R2009" s="18" t="n">
        <x:v>0</x:v>
      </x:c>
      <x:c r="S2009" s="18" t="n">
        <x:v>598.0663256700572</x:v>
      </x:c>
      <x:c r="T2009" s="18" t="n">
        <x:v>660</x:v>
      </x:c>
      <x:c r="U2009" s="18" t="n">
        <x:v>598.0663256700572</x:v>
      </x:c>
      <x:c r="V2009" s="20" t="n">
        <x:v>4.4</x:v>
      </x:c>
      <x:c r="W2009" s="20" t="n">
        <x:v>9.9</x:v>
      </x:c>
      <x:c r="X2009" s="20" t="n">
        <x:v>7.7</x:v>
      </x:c>
      <x:c r="Y2009" t="str">
        <x:v>Basis arsip 2025/2024</x:v>
      </x:c>
      <x:c r="Z2009" t="str">
        <x:v>https://snpmb.id/utbk-snbt/daya-tampung-snbt</x:v>
      </x:c>
      <x:c r="AA2009" t="str">
        <x:v>Seni Rupa, Desain, dan Kriya</x:v>
      </x:c>
      <x:c r="AB2009" t="str">
        <x:v>Campus=55; Ratio=41.8; Prodi=45; RelDemand=40.0; Capacity=73.3</x:v>
      </x:c>
    </x:row>
    <x:row r="2010">
      <x:c r="A2010" t="n">
        <x:v>2007</x:v>
      </x:c>
      <x:c r="B2010" t="str">
        <x:v>PTN Akademik</x:v>
      </x:c>
      <x:c r="C2010" t="str">
        <x:v>ISI YOGYAKARTA</x:v>
      </x:c>
      <x:c r="D2010" t="str">
        <x:v>TELEVISI DAN FILM</x:v>
      </x:c>
      <x:c r="E2010" t="str">
        <x:v>Sarjana</x:v>
      </x:c>
      <x:c r="F2010" s="18" t="n">
        <x:v>40</x:v>
      </x:c>
      <x:c r="G2010" s="18" t="n">
        <x:v>600</x:v>
      </x:c>
      <x:c r="H2010" s="19" t="n">
        <x:v>15</x:v>
      </x:c>
      <x:c r="I2010" s="18" t="n">
        <x:f>ROUND(MIN(Model_Config_v3!$B$6,MAX(Q2010,R2010,S2010*Model_Config_v3!$B$4+T2010*Model_Config_v3!$B$5)),0)</x:f>
        <x:v>674</x:v>
      </x:c>
      <x:c r="J2010" s="18" t="n">
        <x:f>MIN(Model_Config_v3!$B$6,I2010+Model_Config_v3!$B$7)</x:f>
        <x:v>694</x:v>
      </x:c>
      <x:c r="K2010" s="20" t="n">
        <x:v>62.2</x:v>
      </x:c>
      <x:c r="L2010" t="str">
        <x:v>KETAT</x:v>
      </x:c>
      <x:c r="M2010" t="str">
        <x:v>PORTOFOLIO</x:v>
      </x:c>
      <x:c r="N2010" t="str">
        <x:v>REGULER</x:v>
      </x:c>
      <x:c r="O2010" t="str">
        <x:v>SENI/OLAHRAGA</x:v>
      </x:c>
      <x:c r="P2010" t="str">
        <x:v>SENI/OLAHRAGA</x:v>
      </x:c>
      <x:c r="Q2010" s="18" t="n">
        <x:v>0</x:v>
      </x:c>
      <x:c r="R2010" s="18" t="n">
        <x:v>0</x:v>
      </x:c>
      <x:c r="S2010" s="18" t="n">
        <x:v>649.370038496125</x:v>
      </x:c>
      <x:c r="T2010" s="18" t="n">
        <x:v>684</x:v>
      </x:c>
      <x:c r="U2010" s="18" t="n">
        <x:v>649.370038496125</x:v>
      </x:c>
      <x:c r="V2010" s="20" t="n">
        <x:v>4.4</x:v>
      </x:c>
      <x:c r="W2010" s="20" t="n">
        <x:v>9.9</x:v>
      </x:c>
      <x:c r="X2010" s="20" t="n">
        <x:v>7.7</x:v>
      </x:c>
      <x:c r="Y2010" t="str">
        <x:v>Basis arsip 2025/2024</x:v>
      </x:c>
      <x:c r="Z2010" t="str">
        <x:v>https://snpmb.id/utbk-snbt/daya-tampung-snbt</x:v>
      </x:c>
      <x:c r="AA2010" t="str">
        <x:v>Film dan Televisi</x:v>
      </x:c>
      <x:c r="AB2010" t="str">
        <x:v>Campus=55; Ratio=69.2; Prodi=45; RelDemand=100.0; Capacity=66.7</x:v>
      </x:c>
    </x:row>
    <x:row r="2011">
      <x:c r="A2011" t="n">
        <x:v>2008</x:v>
      </x:c>
      <x:c r="B2011" t="str">
        <x:v>PTN Akademik</x:v>
      </x:c>
      <x:c r="C2011" t="str">
        <x:v>ISI YOGYAKARTA</x:v>
      </x:c>
      <x:c r="D2011" t="str">
        <x:v>FOTOGRAFI</x:v>
      </x:c>
      <x:c r="E2011" t="str">
        <x:v>Sarjana</x:v>
      </x:c>
      <x:c r="F2011" s="18" t="n">
        <x:v>48</x:v>
      </x:c>
      <x:c r="G2011" s="18" t="n">
        <x:v>243</x:v>
      </x:c>
      <x:c r="H2011" s="19" t="n">
        <x:v>5.0625</x:v>
      </x:c>
      <x:c r="I2011" s="18" t="n">
        <x:f>ROUND(MIN(Model_Config_v3!$B$6,MAX(Q2011,R2011,S2011*Model_Config_v3!$B$4+T2011*Model_Config_v3!$B$5)),0)</x:f>
        <x:v>639</x:v>
      </x:c>
      <x:c r="J2011" s="18" t="n">
        <x:f>MIN(Model_Config_v3!$B$6,I2011+Model_Config_v3!$B$7)</x:f>
        <x:v>659</x:v>
      </x:c>
      <x:c r="K2011" s="20" t="n">
        <x:v>48.6</x:v>
      </x:c>
      <x:c r="L2011" t="str">
        <x:v>MENENGAH</x:v>
      </x:c>
      <x:c r="M2011" t="str">
        <x:v>PORTOFOLIO</x:v>
      </x:c>
      <x:c r="N2011" t="str">
        <x:v>REGULER</x:v>
      </x:c>
      <x:c r="O2011" t="str">
        <x:v>SENI/OLAHRAGA</x:v>
      </x:c>
      <x:c r="P2011" t="str">
        <x:v>SENI/OLAHRAGA</x:v>
      </x:c>
      <x:c r="Q2011" s="18" t="n">
        <x:v>0</x:v>
      </x:c>
      <x:c r="R2011" s="18" t="n">
        <x:v>0</x:v>
      </x:c>
      <x:c r="S2011" s="18" t="n">
        <x:v>597.4801539844998</x:v>
      </x:c>
      <x:c r="T2011" s="18" t="n">
        <x:v>657</x:v>
      </x:c>
      <x:c r="U2011" s="18" t="n">
        <x:v>597.4801539844998</x:v>
      </x:c>
      <x:c r="V2011" s="20" t="n">
        <x:v>4.4</x:v>
      </x:c>
      <x:c r="W2011" s="20" t="n">
        <x:v>9.9</x:v>
      </x:c>
      <x:c r="X2011" s="20" t="n">
        <x:v>7.7</x:v>
      </x:c>
      <x:c r="Y2011" t="str">
        <x:v>Basis arsip 2025/2024</x:v>
      </x:c>
      <x:c r="Z2011" t="str">
        <x:v>https://snpmb.id/utbk-snbt/daya-tampung-snbt</x:v>
      </x:c>
      <x:c r="AA2011" t="str">
        <x:v>Fotografi</x:v>
      </x:c>
      <x:c r="AB2011" t="str">
        <x:v>Campus=55; Ratio=41.5; Prodi=45; RelDemand=39.5; Capacity=60.0</x:v>
      </x:c>
    </x:row>
    <x:row r="2012">
      <x:c r="A2012" t="n">
        <x:v>2009</x:v>
      </x:c>
      <x:c r="B2012" t="str">
        <x:v>PTN Akademik</x:v>
      </x:c>
      <x:c r="C2012" t="str">
        <x:v>ISI YOGYAKARTA</x:v>
      </x:c>
      <x:c r="D2012" t="str">
        <x:v>SENI KARAWITAN</x:v>
      </x:c>
      <x:c r="E2012" t="str">
        <x:v>Sarjana</x:v>
      </x:c>
      <x:c r="F2012" s="18" t="n">
        <x:v>20</x:v>
      </x:c>
      <x:c r="G2012" s="18" t="n">
        <x:v>35</x:v>
      </x:c>
      <x:c r="H2012" s="19" t="n">
        <x:v>1.75</x:v>
      </x:c>
      <x:c r="I2012" s="18" t="n">
        <x:f>ROUND(MIN(Model_Config_v3!$B$6,MAX(Q2012,R2012,S2012*Model_Config_v3!$B$4+T2012*Model_Config_v3!$B$5)),0)</x:f>
        <x:v>614</x:v>
      </x:c>
      <x:c r="J2012" s="18" t="n">
        <x:f>MIN(Model_Config_v3!$B$6,I2012+Model_Config_v3!$B$7)</x:f>
        <x:v>634</x:v>
      </x:c>
      <x:c r="K2012" s="20" t="n">
        <x:v>41.5</x:v>
      </x:c>
      <x:c r="L2012" t="str">
        <x:v>RELATIF LONGGAR</x:v>
      </x:c>
      <x:c r="M2012" t="str">
        <x:v>PORTOFOLIO</x:v>
      </x:c>
      <x:c r="N2012" t="str">
        <x:v>REGULER</x:v>
      </x:c>
      <x:c r="O2012" t="str">
        <x:v>SENI/OLAHRAGA</x:v>
      </x:c>
      <x:c r="P2012" t="str">
        <x:v>SENI/OLAHRAGA</x:v>
      </x:c>
      <x:c r="Q2012" s="18" t="n">
        <x:v>0</x:v>
      </x:c>
      <x:c r="R2012" s="18" t="n">
        <x:v>0</x:v>
      </x:c>
      <x:c r="S2012" s="18" t="n">
        <x:v>546.7341853554924</x:v>
      </x:c>
      <x:c r="T2012" s="18" t="n">
        <x:v>643</x:v>
      </x:c>
      <x:c r="U2012" s="18" t="n">
        <x:v>546.7341853554924</x:v>
      </x:c>
      <x:c r="V2012" s="20" t="n">
        <x:v>4.4</x:v>
      </x:c>
      <x:c r="W2012" s="20" t="n">
        <x:v>9.9</x:v>
      </x:c>
      <x:c r="X2012" s="20" t="n">
        <x:v>7.7</x:v>
      </x:c>
      <x:c r="Y2012" t="str">
        <x:v>Basis arsip 2025/2024</x:v>
      </x:c>
      <x:c r="Z2012" t="str">
        <x:v>https://snpmb.id/utbk-snbt/daya-tampung-snbt</x:v>
      </x:c>
      <x:c r="AA2012" t="str">
        <x:v>Seni Karawitan</x:v>
      </x:c>
      <x:c r="AB2012" t="str">
        <x:v>Campus=55; Ratio=14.3; Prodi=45; RelDemand=13.6; Capacity=83.3</x:v>
      </x:c>
    </x:row>
    <x:row r="2013">
      <x:c r="A2013" t="n">
        <x:v>2010</x:v>
      </x:c>
      <x:c r="B2013" t="str">
        <x:v>PTN Akademik</x:v>
      </x:c>
      <x:c r="C2013" t="str">
        <x:v>ISI YOGYAKARTA</x:v>
      </x:c>
      <x:c r="D2013" t="str">
        <x:v>ETNOMUSIKOLOGI</x:v>
      </x:c>
      <x:c r="E2013" t="str">
        <x:v>Sarjana</x:v>
      </x:c>
      <x:c r="F2013" s="18" t="n">
        <x:v>20</x:v>
      </x:c>
      <x:c r="G2013" s="18" t="n">
        <x:v>16</x:v>
      </x:c>
      <x:c r="H2013" s="19" t="n">
        <x:v>0.8</x:v>
      </x:c>
      <x:c r="I2013" s="18" t="n">
        <x:f>ROUND(MIN(Model_Config_v3!$B$6,MAX(Q2013,R2013,S2013*Model_Config_v3!$B$4+T2013*Model_Config_v3!$B$5)),0)</x:f>
        <x:v>600</x:v>
      </x:c>
      <x:c r="J2013" s="18" t="n">
        <x:f>MIN(Model_Config_v3!$B$6,I2013+Model_Config_v3!$B$7)</x:f>
        <x:v>620</x:v>
      </x:c>
      <x:c r="K2013" s="20" t="n">
        <x:v>37.2</x:v>
      </x:c>
      <x:c r="L2013" t="str">
        <x:v>RELATIF LONGGAR</x:v>
      </x:c>
      <x:c r="M2013" t="str">
        <x:v>PORTOFOLIO</x:v>
      </x:c>
      <x:c r="N2013" t="str">
        <x:v>REGULER</x:v>
      </x:c>
      <x:c r="O2013" t="str">
        <x:v>SENI/OLAHRAGA</x:v>
      </x:c>
      <x:c r="P2013" t="str">
        <x:v>SENI/OLAHRAGA</x:v>
      </x:c>
      <x:c r="Q2013" s="18" t="n">
        <x:v>0</x:v>
      </x:c>
      <x:c r="R2013" s="18" t="n">
        <x:v>0</x:v>
      </x:c>
      <x:c r="S2013" s="18" t="n">
        <x:v>520</x:v>
      </x:c>
      <x:c r="T2013" s="18" t="n">
        <x:v>634</x:v>
      </x:c>
      <x:c r="U2013" s="18" t="n">
        <x:v>520</x:v>
      </x:c>
      <x:c r="V2013" s="20" t="n">
        <x:v>4.4</x:v>
      </x:c>
      <x:c r="W2013" s="20" t="n">
        <x:v>9.9</x:v>
      </x:c>
      <x:c r="X2013" s="20" t="n">
        <x:v>7.7</x:v>
      </x:c>
      <x:c r="Y2013" t="str">
        <x:v>Basis arsip 2025/2024</x:v>
      </x:c>
      <x:c r="Z2013" t="str">
        <x:v>https://snpmb.id/utbk-snbt/daya-tampung-snbt</x:v>
      </x:c>
      <x:c r="AA2013" t="str">
        <x:v>Etnomusikologi</x:v>
      </x:c>
      <x:c r="AB2013" t="str">
        <x:v>Campus=55; Ratio=0.0; Prodi=45; RelDemand=6.2; Capacity=83.3</x:v>
      </x:c>
    </x:row>
    <x:row r="2014">
      <x:c r="A2014" t="n">
        <x:v>2011</x:v>
      </x:c>
      <x:c r="B2014" t="str">
        <x:v>PTN Akademik</x:v>
      </x:c>
      <x:c r="C2014" t="str">
        <x:v>ISI YOGYAKARTA</x:v>
      </x:c>
      <x:c r="D2014" t="str">
        <x:v>SENI PEDALANGAN</x:v>
      </x:c>
      <x:c r="E2014" t="str">
        <x:v>Sarjana</x:v>
      </x:c>
      <x:c r="F2014" s="18" t="n">
        <x:v>6</x:v>
      </x:c>
      <x:c r="G2014" s="18" t="n">
        <x:v>6</x:v>
      </x:c>
      <x:c r="H2014" s="19" t="n">
        <x:v>1</x:v>
      </x:c>
      <x:c r="I2014" s="18" t="n">
        <x:f>ROUND(MIN(Model_Config_v3!$B$6,MAX(Q2014,R2014,S2014*Model_Config_v3!$B$4+T2014*Model_Config_v3!$B$5)),0)</x:f>
        <x:v>602</x:v>
      </x:c>
      <x:c r="J2014" s="18" t="n">
        <x:f>MIN(Model_Config_v3!$B$6,I2014+Model_Config_v3!$B$7)</x:f>
        <x:v>622</x:v>
      </x:c>
      <x:c r="K2014" s="20" t="n">
        <x:v>38.5</x:v>
      </x:c>
      <x:c r="L2014" t="str">
        <x:v>RELATIF LONGGAR</x:v>
      </x:c>
      <x:c r="M2014" t="str">
        <x:v>PORTOFOLIO</x:v>
      </x:c>
      <x:c r="N2014" t="str">
        <x:v>REGULER</x:v>
      </x:c>
      <x:c r="O2014" t="str">
        <x:v>SENI/OLAHRAGA</x:v>
      </x:c>
      <x:c r="P2014" t="str">
        <x:v>SENI/OLAHRAGA</x:v>
      </x:c>
      <x:c r="Q2014" s="18" t="n">
        <x:v>0</x:v>
      </x:c>
      <x:c r="R2014" s="18" t="n">
        <x:v>0</x:v>
      </x:c>
      <x:c r="S2014" s="18" t="n">
        <x:v>520</x:v>
      </x:c>
      <x:c r="T2014" s="18" t="n">
        <x:v>637</x:v>
      </x:c>
      <x:c r="U2014" s="18" t="n">
        <x:v>520</x:v>
      </x:c>
      <x:c r="V2014" s="20" t="n">
        <x:v>4.4</x:v>
      </x:c>
      <x:c r="W2014" s="20" t="n">
        <x:v>9.9</x:v>
      </x:c>
      <x:c r="X2014" s="20" t="n">
        <x:v>7.7</x:v>
      </x:c>
      <x:c r="Y2014" t="str">
        <x:v>Basis arsip 2025/2024</x:v>
      </x:c>
      <x:c r="Z2014" t="str">
        <x:v>https://snpmb.id/utbk-snbt/daya-tampung-snbt</x:v>
      </x:c>
      <x:c r="AA2014" t="str">
        <x:v>Seni Pedalangan</x:v>
      </x:c>
      <x:c r="AB2014" t="str">
        <x:v>Campus=55; Ratio=0.0; Prodi=45; RelDemand=7.8; Capacity=95.0</x:v>
      </x:c>
    </x:row>
    <x:row r="2015">
      <x:c r="A2015" t="n">
        <x:v>2012</x:v>
      </x:c>
      <x:c r="B2015" t="str">
        <x:v>PTN Akademik</x:v>
      </x:c>
      <x:c r="C2015" t="str">
        <x:v>ISI YOGYAKARTA</x:v>
      </x:c>
      <x:c r="D2015" t="str">
        <x:v>TATA KELOLA SENI</x:v>
      </x:c>
      <x:c r="E2015" t="str">
        <x:v>Sarjana</x:v>
      </x:c>
      <x:c r="F2015" s="18" t="n">
        <x:v>30</x:v>
      </x:c>
      <x:c r="G2015" s="18" t="n">
        <x:v>117</x:v>
      </x:c>
      <x:c r="H2015" s="19" t="n">
        <x:v>3.9</x:v>
      </x:c>
      <x:c r="I2015" s="18" t="n">
        <x:f>ROUND(MIN(Model_Config_v3!$B$6,MAX(Q2015,R2015,S2015*Model_Config_v3!$B$4+T2015*Model_Config_v3!$B$5)),0)</x:f>
        <x:v>633</x:v>
      </x:c>
      <x:c r="J2015" s="18" t="n">
        <x:f>MIN(Model_Config_v3!$B$6,I2015+Model_Config_v3!$B$7)</x:f>
        <x:v>653</x:v>
      </x:c>
      <x:c r="K2015" s="20" t="n">
        <x:v>46.5</x:v>
      </x:c>
      <x:c r="L2015" t="str">
        <x:v>MENENGAH</x:v>
      </x:c>
      <x:c r="M2015" t="str">
        <x:v>SEDANG</x:v>
      </x:c>
      <x:c r="N2015" t="str">
        <x:v>REGULER</x:v>
      </x:c>
      <x:c r="O2015" t="str">
        <x:v>CAMPURAN</x:v>
      </x:c>
      <x:c r="P2015" t="str">
        <x:v>UMUM</x:v>
      </x:c>
      <x:c r="Q2015" s="18" t="n">
        <x:v>0</x:v>
      </x:c>
      <x:c r="R2015" s="18" t="n">
        <x:v>0</x:v>
      </x:c>
      <x:c r="S2015" s="18" t="n">
        <x:v>585.0171067729149</x:v>
      </x:c>
      <x:c r="T2015" s="18" t="n">
        <x:v>653</x:v>
      </x:c>
      <x:c r="U2015" s="18" t="n">
        <x:v>585.0171067729149</x:v>
      </x:c>
      <x:c r="V2015" s="20" t="n">
        <x:v>8.8</x:v>
      </x:c>
      <x:c r="W2015" s="20" t="n">
        <x:v>9.9</x:v>
      </x:c>
      <x:c r="X2015" s="20" t="n">
        <x:v>3.3</x:v>
      </x:c>
      <x:c r="Y2015" t="str">
        <x:v>Basis arsip 2025/2024</x:v>
      </x:c>
      <x:c r="Z2015" t="str">
        <x:v>https://snpmb.id/utbk-snbt/daya-tampung-snbt</x:v>
      </x:c>
      <x:c r="AA2015" t="str">
        <x:v>Tidak Ada</x:v>
      </x:c>
      <x:c r="AB2015" t="str">
        <x:v>Campus=55; Ratio=34.8; Prodi=40; RelDemand=30.4; Capacity=75.0</x:v>
      </x:c>
    </x:row>
    <x:row r="2016">
      <x:c r="A2016" t="n">
        <x:v>2013</x:v>
      </x:c>
      <x:c r="B2016" t="str">
        <x:v>PTN Akademik</x:v>
      </x:c>
      <x:c r="C2016" t="str">
        <x:v>ISI YOGYAKARTA</x:v>
      </x:c>
      <x:c r="D2016" t="str">
        <x:v>KONSERVASI SENI</x:v>
      </x:c>
      <x:c r="E2016" t="str">
        <x:v>Sarjana</x:v>
      </x:c>
      <x:c r="F2016" s="18" t="n">
        <x:v>14</x:v>
      </x:c>
      <x:c r="G2016" s="18" t="n">
        <x:v>14</x:v>
      </x:c>
      <x:c r="H2016" s="19" t="n">
        <x:v>1</x:v>
      </x:c>
      <x:c r="I2016" s="18" t="n">
        <x:f>ROUND(MIN(Model_Config_v3!$B$6,MAX(Q2016,R2016,S2016*Model_Config_v3!$B$4+T2016*Model_Config_v3!$B$5)),0)</x:f>
        <x:v>601</x:v>
      </x:c>
      <x:c r="J2016" s="18" t="n">
        <x:f>MIN(Model_Config_v3!$B$6,I2016+Model_Config_v3!$B$7)</x:f>
        <x:v>621</x:v>
      </x:c>
      <x:c r="K2016" s="20" t="n">
        <x:v>37.9</x:v>
      </x:c>
      <x:c r="L2016" t="str">
        <x:v>RELATIF LONGGAR</x:v>
      </x:c>
      <x:c r="M2016" t="str">
        <x:v>PORTOFOLIO</x:v>
      </x:c>
      <x:c r="N2016" t="str">
        <x:v>REGULER</x:v>
      </x:c>
      <x:c r="O2016" t="str">
        <x:v>SENI/OLAHRAGA</x:v>
      </x:c>
      <x:c r="P2016" t="str">
        <x:v>SENI/OLAHRAGA</x:v>
      </x:c>
      <x:c r="Q2016" s="18" t="n">
        <x:v>0</x:v>
      </x:c>
      <x:c r="R2016" s="18" t="n">
        <x:v>0</x:v>
      </x:c>
      <x:c r="S2016" s="18" t="n">
        <x:v>520</x:v>
      </x:c>
      <x:c r="T2016" s="18" t="n">
        <x:v>636</x:v>
      </x:c>
      <x:c r="U2016" s="18" t="n">
        <x:v>520</x:v>
      </x:c>
      <x:c r="V2016" s="20" t="n">
        <x:v>4.4</x:v>
      </x:c>
      <x:c r="W2016" s="20" t="n">
        <x:v>9.9</x:v>
      </x:c>
      <x:c r="X2016" s="20" t="n">
        <x:v>7.7</x:v>
      </x:c>
      <x:c r="Y2016" t="str">
        <x:v>Basis arsip 2025/2024</x:v>
      </x:c>
      <x:c r="Z2016" t="str">
        <x:v>https://snpmb.id/utbk-snbt/daya-tampung-snbt</x:v>
      </x:c>
      <x:c r="AA2016" t="str">
        <x:v>Seni Rupa, Desain, dan Kriya</x:v>
      </x:c>
      <x:c r="AB2016" t="str">
        <x:v>Campus=55; Ratio=0.0; Prodi=45; RelDemand=7.8; Capacity=88.3</x:v>
      </x:c>
    </x:row>
    <x:row r="2017">
      <x:c r="A2017" t="n">
        <x:v>2014</x:v>
      </x:c>
      <x:c r="B2017" t="str">
        <x:v>PTN Akademik</x:v>
      </x:c>
      <x:c r="C2017" t="str">
        <x:v>ISI YOGYAKARTA</x:v>
      </x:c>
      <x:c r="D2017" t="str">
        <x:v>PENYAJIAN MUSIK</x:v>
      </x:c>
      <x:c r="E2017" t="str">
        <x:v>Sarjana Terapan</x:v>
      </x:c>
      <x:c r="F2017" s="18" t="n">
        <x:v>18</x:v>
      </x:c>
      <x:c r="G2017" s="18" t="n">
        <x:v>180</x:v>
      </x:c>
      <x:c r="H2017" s="19" t="n">
        <x:v>10</x:v>
      </x:c>
      <x:c r="I2017" s="18" t="n">
        <x:f>ROUND(MIN(Model_Config_v3!$B$6,MAX(Q2017,R2017,S2017*Model_Config_v3!$B$4+T2017*Model_Config_v3!$B$5)),0)</x:f>
        <x:v>664</x:v>
      </x:c>
      <x:c r="J2017" s="18" t="n">
        <x:f>MIN(Model_Config_v3!$B$6,I2017+Model_Config_v3!$B$7)</x:f>
        <x:v>684</x:v>
      </x:c>
      <x:c r="K2017" s="20" t="n">
        <x:v>59.3</x:v>
      </x:c>
      <x:c r="L2017" t="str">
        <x:v>KETAT</x:v>
      </x:c>
      <x:c r="M2017" t="str">
        <x:v>PORTOFOLIO</x:v>
      </x:c>
      <x:c r="N2017" t="str">
        <x:v>REGULER</x:v>
      </x:c>
      <x:c r="O2017" t="str">
        <x:v>SENI/OLAHRAGA</x:v>
      </x:c>
      <x:c r="P2017" t="str">
        <x:v>SENI/OLAHRAGA</x:v>
      </x:c>
      <x:c r="Q2017" s="18" t="n">
        <x:v>0</x:v>
      </x:c>
      <x:c r="R2017" s="18" t="n">
        <x:v>0</x:v>
      </x:c>
      <x:c r="S2017" s="18" t="n">
        <x:v>630</x:v>
      </x:c>
      <x:c r="T2017" s="18" t="n">
        <x:v>679</x:v>
      </x:c>
      <x:c r="U2017" s="18" t="n">
        <x:v>630</x:v>
      </x:c>
      <x:c r="V2017" s="20" t="n">
        <x:v>4.4</x:v>
      </x:c>
      <x:c r="W2017" s="20" t="n">
        <x:v>9.9</x:v>
      </x:c>
      <x:c r="X2017" s="20" t="n">
        <x:v>7.7</x:v>
      </x:c>
      <x:c r="Y2017" t="str">
        <x:v>Basis arsip 2025/2024</x:v>
      </x:c>
      <x:c r="Z2017" t="str">
        <x:v>https://snpmb.id/utbk-snbt/daya-tampung-snbt</x:v>
      </x:c>
      <x:c r="AA2017" t="str">
        <x:v>Musik</x:v>
      </x:c>
      <x:c r="AB2017" t="str">
        <x:v>Campus=55; Ratio=58.9; Prodi=45; RelDemand=78.0; Capacity=85.0</x:v>
      </x:c>
    </x:row>
    <x:row r="2018">
      <x:c r="A2018" t="n">
        <x:v>2015</x:v>
      </x:c>
      <x:c r="B2018" t="str">
        <x:v>PTN Akademik</x:v>
      </x:c>
      <x:c r="C2018" t="str">
        <x:v>ISI YOGYAKARTA</x:v>
      </x:c>
      <x:c r="D2018" t="str">
        <x:v>ANIMASI</x:v>
      </x:c>
      <x:c r="E2018" t="str">
        <x:v>Sarjana Terapan</x:v>
      </x:c>
      <x:c r="F2018" s="18" t="n">
        <x:v>48</x:v>
      </x:c>
      <x:c r="G2018" s="18" t="n">
        <x:v>478</x:v>
      </x:c>
      <x:c r="H2018" s="19" t="n">
        <x:v>9.958333333333334</x:v>
      </x:c>
      <x:c r="I2018" s="18" t="n">
        <x:f>ROUND(MIN(Model_Config_v3!$B$6,MAX(Q2018,R2018,S2018*Model_Config_v3!$B$4+T2018*Model_Config_v3!$B$5)),0)</x:f>
        <x:v>660</x:v>
      </x:c>
      <x:c r="J2018" s="18" t="n">
        <x:f>MIN(Model_Config_v3!$B$6,I2018+Model_Config_v3!$B$7)</x:f>
        <x:v>680</x:v>
      </x:c>
      <x:c r="K2018" s="20" t="n">
        <x:v>56.7</x:v>
      </x:c>
      <x:c r="L2018" t="str">
        <x:v>KETAT</x:v>
      </x:c>
      <x:c r="M2018" t="str">
        <x:v>PORTOFOLIO</x:v>
      </x:c>
      <x:c r="N2018" t="str">
        <x:v>REGULER</x:v>
      </x:c>
      <x:c r="O2018" t="str">
        <x:v>SENI/OLAHRAGA</x:v>
      </x:c>
      <x:c r="P2018" t="str">
        <x:v>SENI/OLAHRAGA</x:v>
      </x:c>
      <x:c r="Q2018" s="18" t="n">
        <x:v>0</x:v>
      </x:c>
      <x:c r="R2018" s="18" t="n">
        <x:v>0</x:v>
      </x:c>
      <x:c r="S2018" s="18" t="n">
        <x:v>629.8005325160185</x:v>
      </x:c>
      <x:c r="T2018" s="18" t="n">
        <x:v>673</x:v>
      </x:c>
      <x:c r="U2018" s="18" t="n">
        <x:v>629.8005325160185</x:v>
      </x:c>
      <x:c r="V2018" s="20" t="n">
        <x:v>4.4</x:v>
      </x:c>
      <x:c r="W2018" s="20" t="n">
        <x:v>9.9</x:v>
      </x:c>
      <x:c r="X2018" s="20" t="n">
        <x:v>7.7</x:v>
      </x:c>
      <x:c r="Y2018" t="str">
        <x:v>Basis arsip 2025/2024</x:v>
      </x:c>
      <x:c r="Z2018" t="str">
        <x:v>https://snpmb.id/utbk-snbt/daya-tampung-snbt</x:v>
      </x:c>
      <x:c r="AA2018" t="str">
        <x:v>Seni Rupa, Desain, dan Kriya</x:v>
      </x:c>
      <x:c r="AB2018" t="str">
        <x:v>Campus=55; Ratio=58.8; Prodi=45; RelDemand=77.6; Capacity=60.0</x:v>
      </x:c>
    </x:row>
    <x:row r="2019">
      <x:c r="A2019" t="n">
        <x:v>2016</x:v>
      </x:c>
      <x:c r="B2019" t="str">
        <x:v>PTN Akademik</x:v>
      </x:c>
      <x:c r="C2019" t="str">
        <x:v>ISI YOGYAKARTA</x:v>
      </x:c>
      <x:c r="D2019" t="str">
        <x:v>DESAIN MODE KRIYA BATIK</x:v>
      </x:c>
      <x:c r="E2019" t="str">
        <x:v>Sarjana Terapan</x:v>
      </x:c>
      <x:c r="F2019" s="18" t="n">
        <x:v>30</x:v>
      </x:c>
      <x:c r="G2019" s="18" t="n">
        <x:v>67</x:v>
      </x:c>
      <x:c r="H2019" s="19" t="n">
        <x:v>2.2333333333333334</x:v>
      </x:c>
      <x:c r="I2019" s="18" t="n">
        <x:f>ROUND(MIN(Model_Config_v3!$B$6,MAX(Q2019,R2019,S2019*Model_Config_v3!$B$4+T2019*Model_Config_v3!$B$5)),0)</x:f>
        <x:v>619</x:v>
      </x:c>
      <x:c r="J2019" s="18" t="n">
        <x:f>MIN(Model_Config_v3!$B$6,I2019+Model_Config_v3!$B$7)</x:f>
        <x:v>639</x:v>
      </x:c>
      <x:c r="K2019" s="20" t="n">
        <x:v>42.6</x:v>
      </x:c>
      <x:c r="L2019" t="str">
        <x:v>RELATIF LONGGAR</x:v>
      </x:c>
      <x:c r="M2019" t="str">
        <x:v>PORTOFOLIO</x:v>
      </x:c>
      <x:c r="N2019" t="str">
        <x:v>REGULER</x:v>
      </x:c>
      <x:c r="O2019" t="str">
        <x:v>SENI/OLAHRAGA</x:v>
      </x:c>
      <x:c r="P2019" t="str">
        <x:v>SENI/OLAHRAGA</x:v>
      </x:c>
      <x:c r="Q2019" s="18" t="n">
        <x:v>0</x:v>
      </x:c>
      <x:c r="R2019" s="18" t="n">
        <x:v>0</x:v>
      </x:c>
      <x:c r="S2019" s="18" t="n">
        <x:v>558.384890277928</x:v>
      </x:c>
      <x:c r="T2019" s="18" t="n">
        <x:v>645</x:v>
      </x:c>
      <x:c r="U2019" s="18" t="n">
        <x:v>558.384890277928</x:v>
      </x:c>
      <x:c r="V2019" s="20" t="n">
        <x:v>4.4</x:v>
      </x:c>
      <x:c r="W2019" s="20" t="n">
        <x:v>9.9</x:v>
      </x:c>
      <x:c r="X2019" s="20" t="n">
        <x:v>7.7</x:v>
      </x:c>
      <x:c r="Y2019" t="str">
        <x:v>Basis arsip 2025/2024</x:v>
      </x:c>
      <x:c r="Z2019" t="str">
        <x:v>https://snpmb.id/utbk-snbt/daya-tampung-snbt</x:v>
      </x:c>
      <x:c r="AA2019" t="str">
        <x:v>Seni Rupa, Desain, dan Kriya</x:v>
      </x:c>
      <x:c r="AB2019" t="str">
        <x:v>Campus=55; Ratio=20.5; Prodi=45; RelDemand=17.4; Capacity=75.0</x:v>
      </x:c>
    </x:row>
    <x:row r="2020">
      <x:c r="A2020" t="n">
        <x:v>2017</x:v>
      </x:c>
      <x:c r="B2020" t="str">
        <x:v>PTN Akademik</x:v>
      </x:c>
      <x:c r="C2020" t="str">
        <x:v>ISI YOGYAKARTA</x:v>
      </x:c>
      <x:c r="D2020" t="str">
        <x:v>DESAIN MEDIA</x:v>
      </x:c>
      <x:c r="E2020" t="str">
        <x:v>Sarjana Terapan</x:v>
      </x:c>
      <x:c r="F2020" s="18" t="n">
        <x:v>28</x:v>
      </x:c>
      <x:c r="G2020" s="18" t="n">
        <x:v>337</x:v>
      </x:c>
      <x:c r="H2020" s="19" t="n">
        <x:v>12.035714285714286</x:v>
      </x:c>
      <x:c r="I2020" s="18" t="n">
        <x:f>ROUND(MIN(Model_Config_v3!$B$6,MAX(Q2020,R2020,S2020*Model_Config_v3!$B$4+T2020*Model_Config_v3!$B$5)),0)</x:f>
        <x:v>669</x:v>
      </x:c>
      <x:c r="J2020" s="18" t="n">
        <x:f>MIN(Model_Config_v3!$B$6,I2020+Model_Config_v3!$B$7)</x:f>
        <x:v>689</x:v>
      </x:c>
      <x:c r="K2020" s="20" t="n">
        <x:v>61.2</x:v>
      </x:c>
      <x:c r="L2020" t="str">
        <x:v>KETAT</x:v>
      </x:c>
      <x:c r="M2020" t="str">
        <x:v>PORTOFOLIO</x:v>
      </x:c>
      <x:c r="N2020" t="str">
        <x:v>REGULER</x:v>
      </x:c>
      <x:c r="O2020" t="str">
        <x:v>SENI/OLAHRAGA</x:v>
      </x:c>
      <x:c r="P2020" t="str">
        <x:v>SENI/OLAHRAGA</x:v>
      </x:c>
      <x:c r="Q2020" s="18" t="n">
        <x:v>0</x:v>
      </x:c>
      <x:c r="R2020" s="18" t="n">
        <x:v>0</x:v>
      </x:c>
      <x:c r="S2020" s="18" t="n">
        <x:v>638.8519056482031</x:v>
      </x:c>
      <x:c r="T2020" s="18" t="n">
        <x:v>682</x:v>
      </x:c>
      <x:c r="U2020" s="18" t="n">
        <x:v>638.8519056482031</x:v>
      </x:c>
      <x:c r="V2020" s="20" t="n">
        <x:v>4.4</x:v>
      </x:c>
      <x:c r="W2020" s="20" t="n">
        <x:v>9.9</x:v>
      </x:c>
      <x:c r="X2020" s="20" t="n">
        <x:v>7.7</x:v>
      </x:c>
      <x:c r="Y2020" t="str">
        <x:v>Basis arsip 2025/2024</x:v>
      </x:c>
      <x:c r="Z2020" t="str">
        <x:v>https://snpmb.id/utbk-snbt/daya-tampung-snbt</x:v>
      </x:c>
      <x:c r="AA2020" t="str">
        <x:v>Seni Rupa, Desain, dan Kriya</x:v>
      </x:c>
      <x:c r="AB2020" t="str">
        <x:v>Campus=55; Ratio=63.6; Prodi=45; RelDemand=93.8; Capacity=76.7</x:v>
      </x:c>
    </x:row>
    <x:row r="2021">
      <x:c r="A2021" t="n">
        <x:v>2018</x:v>
      </x:c>
      <x:c r="B2021" t="str">
        <x:v>PTN Akademik</x:v>
      </x:c>
      <x:c r="C2021" t="str">
        <x:v>ISI YOGYAKARTA</x:v>
      </x:c>
      <x:c r="D2021" t="str">
        <x:v>PRODUKSI FILM DAN TELEVISI</x:v>
      </x:c>
      <x:c r="E2021" t="str">
        <x:v>Sarjana Terapan</x:v>
      </x:c>
      <x:c r="F2021" s="18" t="n">
        <x:v>14</x:v>
      </x:c>
      <x:c r="G2021" s="18" t="n">
        <x:v>363</x:v>
      </x:c>
      <x:c r="H2021" s="19" t="n">
        <x:v>25.928571428571427</x:v>
      </x:c>
      <x:c r="I2021" s="18" t="n">
        <x:f>ROUND(MIN(Model_Config_v3!$B$6,MAX(Q2021,R2021,S2021*Model_Config_v3!$B$4+T2021*Model_Config_v3!$B$5)),0)</x:f>
        <x:v>690</x:v>
      </x:c>
      <x:c r="J2021" s="18" t="n">
        <x:f>MIN(Model_Config_v3!$B$6,I2021+Model_Config_v3!$B$7)</x:f>
        <x:v>710</x:v>
      </x:c>
      <x:c r="K2021" s="20" t="n">
        <x:v>67.9</x:v>
      </x:c>
      <x:c r="L2021" t="str">
        <x:v>SANGAT KETAT</x:v>
      </x:c>
      <x:c r="M2021" t="str">
        <x:v>PORTOFOLIO</x:v>
      </x:c>
      <x:c r="N2021" t="str">
        <x:v>REGULER</x:v>
      </x:c>
      <x:c r="O2021" t="str">
        <x:v>SENI/OLAHRAGA</x:v>
      </x:c>
      <x:c r="P2021" t="str">
        <x:v>SENI/OLAHRAGA</x:v>
      </x:c>
      <x:c r="Q2021" s="18" t="n">
        <x:v>0</x:v>
      </x:c>
      <x:c r="R2021" s="18" t="n">
        <x:v>0</x:v>
      </x:c>
      <x:c r="S2021" s="18" t="n">
        <x:v>675.5156448293662</x:v>
      </x:c>
      <x:c r="T2021" s="18" t="n">
        <x:v>696</x:v>
      </x:c>
      <x:c r="U2021" s="18" t="n">
        <x:v>675.5156448293662</x:v>
      </x:c>
      <x:c r="V2021" s="20" t="n">
        <x:v>4.4</x:v>
      </x:c>
      <x:c r="W2021" s="20" t="n">
        <x:v>9.9</x:v>
      </x:c>
      <x:c r="X2021" s="20" t="n">
        <x:v>7.7</x:v>
      </x:c>
      <x:c r="Y2021" t="str">
        <x:v>Basis arsip 2025/2024</x:v>
      </x:c>
      <x:c r="Z2021" t="str">
        <x:v>https://snpmb.id/utbk-snbt/daya-tampung-snbt</x:v>
      </x:c>
      <x:c r="AA2021" t="str">
        <x:v>Film dan Televisi</x:v>
      </x:c>
      <x:c r="AB2021" t="str">
        <x:v>Campus=55; Ratio=83.2; Prodi=45; RelDemand=100.0; Capacity=88.3</x:v>
      </x:c>
    </x:row>
    <x:row r="2022">
      <x:c r="A2022" t="n">
        <x:v>2019</x:v>
      </x:c>
      <x:c r="B2022" t="str">
        <x:v>PTN Akademik</x:v>
      </x:c>
      <x:c r="C2022" t="str">
        <x:v>ISI YOGYAKARTA</x:v>
      </x:c>
      <x:c r="D2022" t="str">
        <x:v>TEATER MUSIKAL</x:v>
      </x:c>
      <x:c r="E2022" t="str">
        <x:v>Sarjana Terapan</x:v>
      </x:c>
      <x:c r="F2022" s="18" t="n">
        <x:v>10</x:v>
      </x:c>
      <x:c r="G2022" s="18"/>
      <x:c r="H2022" s="19" t="n">
        <x:v>0</x:v>
      </x:c>
      <x:c r="I2022" s="18" t="n">
        <x:f>ROUND(MIN(Model_Config_v3!$B$6,MAX(Q2022,R2022,S2022*Model_Config_v3!$B$4+T2022*Model_Config_v3!$B$5)),0)</x:f>
        <x:v>601</x:v>
      </x:c>
      <x:c r="J2022" s="18" t="n">
        <x:f>MIN(Model_Config_v3!$B$6,I2022+Model_Config_v3!$B$7)</x:f>
        <x:v>621</x:v>
      </x:c>
      <x:c r="K2022" s="20" t="n">
        <x:v>37.4</x:v>
      </x:c>
      <x:c r="L2022" t="str">
        <x:v>RELATIF LONGGAR</x:v>
      </x:c>
      <x:c r="M2022" t="str">
        <x:v>PORTOFOLIO</x:v>
      </x:c>
      <x:c r="N2022" t="str">
        <x:v>REGULER</x:v>
      </x:c>
      <x:c r="O2022" t="str">
        <x:v>SENI/OLAHRAGA</x:v>
      </x:c>
      <x:c r="P2022" t="str">
        <x:v>SENI/OLAHRAGA</x:v>
      </x:c>
      <x:c r="Q2022" s="18" t="n">
        <x:v>0</x:v>
      </x:c>
      <x:c r="R2022" s="18" t="n">
        <x:v>0</x:v>
      </x:c>
      <x:c r="S2022" s="18" t="n">
        <x:v>520</x:v>
      </x:c>
      <x:c r="T2022" s="18" t="n">
        <x:v>635</x:v>
      </x:c>
      <x:c r="U2022" s="18" t="n">
        <x:v>520</x:v>
      </x:c>
      <x:c r="V2022" s="20" t="n">
        <x:v>4.4</x:v>
      </x:c>
      <x:c r="W2022" s="20" t="n">
        <x:v>9.9</x:v>
      </x:c>
      <x:c r="X2022" s="20" t="n">
        <x:v>7.7</x:v>
      </x:c>
      <x:c r="Y2022" t="str">
        <x:v>Basis arsip 2025/2024</x:v>
      </x:c>
      <x:c r="Z2022" t="str">
        <x:v>https://snpmb.id/utbk-snbt/daya-tampung-snbt</x:v>
      </x:c>
      <x:c r="AA2022" t="str">
        <x:v>Sendratasik</x:v>
      </x:c>
      <x:c r="AB2022" t="str">
        <x:v>Campus=55; Ratio=0.0; Prodi=45; RelDemand=0.0; Capacity=91.7</x:v>
      </x:c>
    </x:row>
    <x:row r="2023">
      <x:c r="A2023" t="n">
        <x:v>2020</x:v>
      </x:c>
      <x:c r="B2023" t="str">
        <x:v>PTN Akademik</x:v>
      </x:c>
      <x:c r="C2023" t="str">
        <x:v>UNIVERSITAS JEMBER</x:v>
      </x:c>
      <x:c r="D2023" t="str">
        <x:v>AGROTEKNOLOGI / AGROEKOTEKNOLOGI</x:v>
      </x:c>
      <x:c r="E2023" t="str">
        <x:v>Sarjana</x:v>
      </x:c>
      <x:c r="F2023" s="18" t="n">
        <x:v>80</x:v>
      </x:c>
      <x:c r="G2023" s="18" t="n">
        <x:v>292</x:v>
      </x:c>
      <x:c r="H2023" s="19" t="n">
        <x:v>3.65</x:v>
      </x:c>
      <x:c r="I2023" s="18" t="n">
        <x:f>ROUND(MIN(Model_Config_v3!$B$6,MAX(Q2023,R2023,S2023*Model_Config_v3!$B$4+T2023*Model_Config_v3!$B$5)),0)</x:f>
        <x:v>624</x:v>
      </x:c>
      <x:c r="J2023" s="18" t="n">
        <x:f>MIN(Model_Config_v3!$B$6,I2023+Model_Config_v3!$B$7)</x:f>
        <x:v>644</x:v>
      </x:c>
      <x:c r="K2023" s="20" t="n">
        <x:v>41</x:v>
      </x:c>
      <x:c r="L2023" t="str">
        <x:v>RELATIF LONGGAR</x:v>
      </x:c>
      <x:c r="M2023" t="str">
        <x:v>SEDANG</x:v>
      </x:c>
      <x:c r="N2023" t="str">
        <x:v>REGULER</x:v>
      </x:c>
      <x:c r="O2023" t="str">
        <x:v>SAINTEK</x:v>
      </x:c>
      <x:c r="P2023" t="str">
        <x:v>UMUM</x:v>
      </x:c>
      <x:c r="Q2023" s="18" t="n">
        <x:v>0</x:v>
      </x:c>
      <x:c r="R2023" s="18" t="n">
        <x:v>0</x:v>
      </x:c>
      <x:c r="S2023" s="18" t="n">
        <x:v>581.8522150902122</x:v>
      </x:c>
      <x:c r="T2023" s="18" t="n">
        <x:v>642</x:v>
      </x:c>
      <x:c r="U2023" s="18" t="n">
        <x:v>581.8522150902122</x:v>
      </x:c>
      <x:c r="V2023" s="20" t="n">
        <x:v>12</x:v>
      </x:c>
      <x:c r="W2023" s="20" t="n">
        <x:v>5</x:v>
      </x:c>
      <x:c r="X2023" s="20" t="n">
        <x:v>3</x:v>
      </x:c>
      <x:c r="Y2023" t="str">
        <x:v>Basis arsip 2025/2024</x:v>
      </x:c>
      <x:c r="Z2023" t="str">
        <x:v>https://snpmb.id/utbk-snbt/daya-tampung-snbt</x:v>
      </x:c>
      <x:c r="AA2023" t="str">
        <x:v>Tidak Ada</x:v>
      </x:c>
      <x:c r="AB2023" t="str">
        <x:v>Campus=55; Ratio=33.1; Prodi=40; RelDemand=21.3; Capacity=33.3</x:v>
      </x:c>
    </x:row>
    <x:row r="2024">
      <x:c r="A2024" t="n">
        <x:v>2021</x:v>
      </x:c>
      <x:c r="B2024" t="str">
        <x:v>PTN Akademik</x:v>
      </x:c>
      <x:c r="C2024" t="str">
        <x:v>UNIVERSITAS JEMBER</x:v>
      </x:c>
      <x:c r="D2024" t="str">
        <x:v>AGRIBISNIS</x:v>
      </x:c>
      <x:c r="E2024" t="str">
        <x:v>Sarjana</x:v>
      </x:c>
      <x:c r="F2024" s="18" t="n">
        <x:v>72</x:v>
      </x:c>
      <x:c r="G2024" s="18" t="n">
        <x:v>432</x:v>
      </x:c>
      <x:c r="H2024" s="19" t="n">
        <x:v>6</x:v>
      </x:c>
      <x:c r="I2024" s="18" t="n">
        <x:f>ROUND(MIN(Model_Config_v3!$B$6,MAX(Q2024,R2024,S2024*Model_Config_v3!$B$4+T2024*Model_Config_v3!$B$5)),0)</x:f>
        <x:v>645</x:v>
      </x:c>
      <x:c r="J2024" s="18" t="n">
        <x:f>MIN(Model_Config_v3!$B$6,I2024+Model_Config_v3!$B$7)</x:f>
        <x:v>665</x:v>
      </x:c>
      <x:c r="K2024" s="20" t="n">
        <x:v>51.2</x:v>
      </x:c>
      <x:c r="L2024" t="str">
        <x:v>MENENGAH</x:v>
      </x:c>
      <x:c r="M2024" t="str">
        <x:v>SEDANG+</x:v>
      </x:c>
      <x:c r="N2024" t="str">
        <x:v>REGULER</x:v>
      </x:c>
      <x:c r="O2024" t="str">
        <x:v>SOSHUM</x:v>
      </x:c>
      <x:c r="P2024" t="str">
        <x:v>BISNIS/EKONOMI/AKUNTANSI</x:v>
      </x:c>
      <x:c r="Q2024" s="18" t="n">
        <x:v>0</x:v>
      </x:c>
      <x:c r="R2024" s="18" t="n">
        <x:v>0</x:v>
      </x:c>
      <x:c r="S2024" s="18" t="n">
        <x:v>605.5966375422008</x:v>
      </x:c>
      <x:c r="T2024" s="18" t="n">
        <x:v>662</x:v>
      </x:c>
      <x:c r="U2024" s="18" t="n">
        <x:v>620.5966375422008</x:v>
      </x:c>
      <x:c r="V2024" s="20" t="n">
        <x:v>4.4</x:v>
      </x:c>
      <x:c r="W2024" s="20" t="n">
        <x:v>14.3</x:v>
      </x:c>
      <x:c r="X2024" s="20" t="n">
        <x:v>3.3</x:v>
      </x:c>
      <x:c r="Y2024" t="str">
        <x:v>Basis arsip 2025/2024</x:v>
      </x:c>
      <x:c r="Z2024" t="str">
        <x:v>https://snpmb.id/utbk-snbt/daya-tampung-snbt</x:v>
      </x:c>
      <x:c r="AA2024" t="str">
        <x:v>Tidak Ada</x:v>
      </x:c>
      <x:c r="AB2024" t="str">
        <x:v>Campus=55; Ratio=45.8; Prodi=65; RelDemand=35.1; Capacity=40.0</x:v>
      </x:c>
    </x:row>
    <x:row r="2025">
      <x:c r="A2025" t="n">
        <x:v>2022</x:v>
      </x:c>
      <x:c r="B2025" t="str">
        <x:v>PTN Akademik</x:v>
      </x:c>
      <x:c r="C2025" t="str">
        <x:v>UNIVERSITAS JEMBER</x:v>
      </x:c>
      <x:c r="D2025" t="str">
        <x:v>PENDIDIKAN MATEMATIKA</x:v>
      </x:c>
      <x:c r="E2025" t="str">
        <x:v>Sarjana</x:v>
      </x:c>
      <x:c r="F2025" s="18" t="n">
        <x:v>102</x:v>
      </x:c>
      <x:c r="G2025" s="18" t="n">
        <x:v>314</x:v>
      </x:c>
      <x:c r="H2025" s="19" t="n">
        <x:v>3.0784313725490198</x:v>
      </x:c>
      <x:c r="I2025" s="18" t="n">
        <x:f>ROUND(MIN(Model_Config_v3!$B$6,MAX(Q2025,R2025,S2025*Model_Config_v3!$B$4+T2025*Model_Config_v3!$B$5)),0)</x:f>
        <x:v>618</x:v>
      </x:c>
      <x:c r="J2025" s="18" t="n">
        <x:f>MIN(Model_Config_v3!$B$6,I2025+Model_Config_v3!$B$7)</x:f>
        <x:v>638</x:v>
      </x:c>
      <x:c r="K2025" s="20" t="n">
        <x:v>38.7</x:v>
      </x:c>
      <x:c r="L2025" t="str">
        <x:v>RELATIF LONGGAR</x:v>
      </x:c>
      <x:c r="M2025" t="str">
        <x:v>SEDANG+</x:v>
      </x:c>
      <x:c r="N2025" t="str">
        <x:v>REGULER</x:v>
      </x:c>
      <x:c r="O2025" t="str">
        <x:v>SAINTEK</x:v>
      </x:c>
      <x:c r="P2025" t="str">
        <x:v>PENDIDIKAN</x:v>
      </x:c>
      <x:c r="Q2025" s="18" t="n">
        <x:v>0</x:v>
      </x:c>
      <x:c r="R2025" s="18" t="n">
        <x:v>0</x:v>
      </x:c>
      <x:c r="S2025" s="18" t="n">
        <x:v>573.7162423942427</x:v>
      </x:c>
      <x:c r="T2025" s="18" t="n">
        <x:v>637</x:v>
      </x:c>
      <x:c r="U2025" s="18" t="n">
        <x:v>573.7162423942427</x:v>
      </x:c>
      <x:c r="V2025" s="20" t="n">
        <x:v>12</x:v>
      </x:c>
      <x:c r="W2025" s="20" t="n">
        <x:v>5</x:v>
      </x:c>
      <x:c r="X2025" s="20" t="n">
        <x:v>3</x:v>
      </x:c>
      <x:c r="Y2025" t="str">
        <x:v>Basis arsip 2025/2024</x:v>
      </x:c>
      <x:c r="Z2025" t="str">
        <x:v>https://snpmb.id/utbk-snbt/daya-tampung-snbt</x:v>
      </x:c>
      <x:c r="AA2025" t="str">
        <x:v>Tidak Ada</x:v>
      </x:c>
      <x:c r="AB2025" t="str">
        <x:v>Campus=55; Ratio=28.7; Prodi=45; RelDemand=18.0; Capacity=15.0</x:v>
      </x:c>
    </x:row>
    <x:row r="2026">
      <x:c r="A2026" t="n">
        <x:v>2023</x:v>
      </x:c>
      <x:c r="B2026" t="str">
        <x:v>PTN Akademik</x:v>
      </x:c>
      <x:c r="C2026" t="str">
        <x:v>UNIVERSITAS JEMBER</x:v>
      </x:c>
      <x:c r="D2026" t="str">
        <x:v>PENDIDIKAN FISIKA</x:v>
      </x:c>
      <x:c r="E2026" t="str">
        <x:v>Sarjana</x:v>
      </x:c>
      <x:c r="F2026" s="18" t="n">
        <x:v>66</x:v>
      </x:c>
      <x:c r="G2026" s="18" t="n">
        <x:v>75</x:v>
      </x:c>
      <x:c r="H2026" s="19" t="n">
        <x:v>1.1363636363636365</x:v>
      </x:c>
      <x:c r="I2026" s="18" t="n">
        <x:f>ROUND(MIN(Model_Config_v3!$B$6,MAX(Q2026,R2026,S2026*Model_Config_v3!$B$4+T2026*Model_Config_v3!$B$5)),0)</x:f>
        <x:v>597</x:v>
      </x:c>
      <x:c r="J2026" s="18" t="n">
        <x:f>MIN(Model_Config_v3!$B$6,I2026+Model_Config_v3!$B$7)</x:f>
        <x:v>617</x:v>
      </x:c>
      <x:c r="K2026" s="20" t="n">
        <x:v>34.2</x:v>
      </x:c>
      <x:c r="L2026" t="str">
        <x:v>RELATIF LONGGAR</x:v>
      </x:c>
      <x:c r="M2026" t="str">
        <x:v>SEDANG+</x:v>
      </x:c>
      <x:c r="N2026" t="str">
        <x:v>REGULER</x:v>
      </x:c>
      <x:c r="O2026" t="str">
        <x:v>SAINTEK</x:v>
      </x:c>
      <x:c r="P2026" t="str">
        <x:v>PENDIDIKAN</x:v>
      </x:c>
      <x:c r="Q2026" s="18" t="n">
        <x:v>0</x:v>
      </x:c>
      <x:c r="R2026" s="18" t="n">
        <x:v>0</x:v>
      </x:c>
      <x:c r="S2026" s="18" t="n">
        <x:v>526.1069060634815</x:v>
      </x:c>
      <x:c r="T2026" s="18" t="n">
        <x:v>628</x:v>
      </x:c>
      <x:c r="U2026" s="18" t="n">
        <x:v>526.1069060634815</x:v>
      </x:c>
      <x:c r="V2026" s="20" t="n">
        <x:v>12</x:v>
      </x:c>
      <x:c r="W2026" s="20" t="n">
        <x:v>5</x:v>
      </x:c>
      <x:c r="X2026" s="20" t="n">
        <x:v>3</x:v>
      </x:c>
      <x:c r="Y2026" t="str">
        <x:v>Basis arsip 2025/2024</x:v>
      </x:c>
      <x:c r="Z2026" t="str">
        <x:v>https://snpmb.id/utbk-snbt/daya-tampung-snbt</x:v>
      </x:c>
      <x:c r="AA2026" t="str">
        <x:v>Tidak Ada</x:v>
      </x:c>
      <x:c r="AB2026" t="str">
        <x:v>Campus=55; Ratio=3.3; Prodi=45; RelDemand=6.6; Capacity=45.0</x:v>
      </x:c>
    </x:row>
    <x:row r="2027">
      <x:c r="A2027" t="n">
        <x:v>2024</x:v>
      </x:c>
      <x:c r="B2027" t="str">
        <x:v>PTN Akademik</x:v>
      </x:c>
      <x:c r="C2027" t="str">
        <x:v>UNIVERSITAS JEMBER</x:v>
      </x:c>
      <x:c r="D2027" t="str">
        <x:v>PENDIDIKAN BIOLOGI</x:v>
      </x:c>
      <x:c r="E2027" t="str">
        <x:v>Sarjana</x:v>
      </x:c>
      <x:c r="F2027" s="18" t="n">
        <x:v>66</x:v>
      </x:c>
      <x:c r="G2027" s="18" t="n">
        <x:v>272</x:v>
      </x:c>
      <x:c r="H2027" s="19" t="n">
        <x:v>4.121212121212121</x:v>
      </x:c>
      <x:c r="I2027" s="18" t="n">
        <x:f>ROUND(MIN(Model_Config_v3!$B$6,MAX(Q2027,R2027,S2027*Model_Config_v3!$B$4+T2027*Model_Config_v3!$B$5)),0)</x:f>
        <x:v>630</x:v>
      </x:c>
      <x:c r="J2027" s="18" t="n">
        <x:f>MIN(Model_Config_v3!$B$6,I2027+Model_Config_v3!$B$7)</x:f>
        <x:v>650</x:v>
      </x:c>
      <x:c r="K2027" s="20" t="n">
        <x:v>44.2</x:v>
      </x:c>
      <x:c r="L2027" t="str">
        <x:v>RELATIF LONGGAR</x:v>
      </x:c>
      <x:c r="M2027" t="str">
        <x:v>SEDANG+</x:v>
      </x:c>
      <x:c r="N2027" t="str">
        <x:v>REGULER</x:v>
      </x:c>
      <x:c r="O2027" t="str">
        <x:v>SAINTEK</x:v>
      </x:c>
      <x:c r="P2027" t="str">
        <x:v>PENDIDIKAN</x:v>
      </x:c>
      <x:c r="Q2027" s="18" t="n">
        <x:v>0</x:v>
      </x:c>
      <x:c r="R2027" s="18" t="n">
        <x:v>0</x:v>
      </x:c>
      <x:c r="S2027" s="18" t="n">
        <x:v>587.6527465341563</x:v>
      </x:c>
      <x:c r="T2027" s="18" t="n">
        <x:v>648</x:v>
      </x:c>
      <x:c r="U2027" s="18" t="n">
        <x:v>587.6527465341563</x:v>
      </x:c>
      <x:c r="V2027" s="20" t="n">
        <x:v>12</x:v>
      </x:c>
      <x:c r="W2027" s="20" t="n">
        <x:v>5</x:v>
      </x:c>
      <x:c r="X2027" s="20" t="n">
        <x:v>3</x:v>
      </x:c>
      <x:c r="Y2027" t="str">
        <x:v>Basis arsip 2025/2024</x:v>
      </x:c>
      <x:c r="Z2027" t="str">
        <x:v>https://snpmb.id/utbk-snbt/daya-tampung-snbt</x:v>
      </x:c>
      <x:c r="AA2027" t="str">
        <x:v>Tidak Ada</x:v>
      </x:c>
      <x:c r="AB2027" t="str">
        <x:v>Campus=55; Ratio=36.2; Prodi=45; RelDemand=24.1; Capacity=45.0</x:v>
      </x:c>
    </x:row>
    <x:row r="2028">
      <x:c r="A2028" t="n">
        <x:v>2025</x:v>
      </x:c>
      <x:c r="B2028" t="str">
        <x:v>PTN Akademik</x:v>
      </x:c>
      <x:c r="C2028" t="str">
        <x:v>UNIVERSITAS JEMBER</x:v>
      </x:c>
      <x:c r="D2028" t="str">
        <x:v>TEKNOLOGI HASIL PERTANIAN</x:v>
      </x:c>
      <x:c r="E2028" t="str">
        <x:v>Sarjana</x:v>
      </x:c>
      <x:c r="F2028" s="18" t="n">
        <x:v>60</x:v>
      </x:c>
      <x:c r="G2028" s="18" t="n">
        <x:v>206</x:v>
      </x:c>
      <x:c r="H2028" s="19" t="n">
        <x:v>3.433333333333333</x:v>
      </x:c>
      <x:c r="I2028" s="18" t="n">
        <x:f>ROUND(MIN(Model_Config_v3!$B$6,MAX(Q2028,R2028,S2028*Model_Config_v3!$B$4+T2028*Model_Config_v3!$B$5)),0)</x:f>
        <x:v>624</x:v>
      </x:c>
      <x:c r="J2028" s="18" t="n">
        <x:f>MIN(Model_Config_v3!$B$6,I2028+Model_Config_v3!$B$7)</x:f>
        <x:v>644</x:v>
      </x:c>
      <x:c r="K2028" s="20" t="n">
        <x:v>42.1</x:v>
      </x:c>
      <x:c r="L2028" t="str">
        <x:v>RELATIF LONGGAR</x:v>
      </x:c>
      <x:c r="M2028" t="str">
        <x:v>SEDANG</x:v>
      </x:c>
      <x:c r="N2028" t="str">
        <x:v>REGULER</x:v>
      </x:c>
      <x:c r="O2028" t="str">
        <x:v>SAINTEK</x:v>
      </x:c>
      <x:c r="P2028" t="str">
        <x:v>UMUM</x:v>
      </x:c>
      <x:c r="Q2028" s="18" t="n">
        <x:v>0</x:v>
      </x:c>
      <x:c r="R2028" s="18" t="n">
        <x:v>0</x:v>
      </x:c>
      <x:c r="S2028" s="18" t="n">
        <x:v>578.9287566984061</x:v>
      </x:c>
      <x:c r="T2028" s="18" t="n">
        <x:v>644</x:v>
      </x:c>
      <x:c r="U2028" s="18" t="n">
        <x:v>578.9287566984061</x:v>
      </x:c>
      <x:c r="V2028" s="20" t="n">
        <x:v>12</x:v>
      </x:c>
      <x:c r="W2028" s="20" t="n">
        <x:v>5</x:v>
      </x:c>
      <x:c r="X2028" s="20" t="n">
        <x:v>3</x:v>
      </x:c>
      <x:c r="Y2028" t="str">
        <x:v>Basis arsip 2025/2024</x:v>
      </x:c>
      <x:c r="Z2028" t="str">
        <x:v>https://snpmb.id/utbk-snbt/daya-tampung-snbt</x:v>
      </x:c>
      <x:c r="AA2028" t="str">
        <x:v>Tidak Ada</x:v>
      </x:c>
      <x:c r="AB2028" t="str">
        <x:v>Campus=55; Ratio=31.5; Prodi=40; RelDemand=20.1; Capacity=50.0</x:v>
      </x:c>
    </x:row>
    <x:row r="2029">
      <x:c r="A2029" t="n">
        <x:v>2026</x:v>
      </x:c>
      <x:c r="B2029" t="str">
        <x:v>PTN Akademik</x:v>
      </x:c>
      <x:c r="C2029" t="str">
        <x:v>UNIVERSITAS JEMBER</x:v>
      </x:c>
      <x:c r="D2029" t="str">
        <x:v>TEKNIK PERTANIAN</x:v>
      </x:c>
      <x:c r="E2029" t="str">
        <x:v>Sarjana</x:v>
      </x:c>
      <x:c r="F2029" s="18" t="n">
        <x:v>60</x:v>
      </x:c>
      <x:c r="G2029" s="18" t="n">
        <x:v>200</x:v>
      </x:c>
      <x:c r="H2029" s="19" t="n">
        <x:v>3.3333333333333335</x:v>
      </x:c>
      <x:c r="I2029" s="18" t="n">
        <x:f>ROUND(MIN(Model_Config_v3!$B$6,MAX(Q2029,R2029,S2029*Model_Config_v3!$B$4+T2029*Model_Config_v3!$B$5)),0)</x:f>
        <x:v>630</x:v>
      </x:c>
      <x:c r="J2029" s="18" t="n">
        <x:f>MIN(Model_Config_v3!$B$6,I2029+Model_Config_v3!$B$7)</x:f>
        <x:v>650</x:v>
      </x:c>
      <x:c r="K2029" s="20" t="n">
        <x:v>45.9</x:v>
      </x:c>
      <x:c r="L2029" t="str">
        <x:v>MENENGAH</x:v>
      </x:c>
      <x:c r="M2029" t="str">
        <x:v>SEDANG+</x:v>
      </x:c>
      <x:c r="N2029" t="str">
        <x:v>REGULER</x:v>
      </x:c>
      <x:c r="O2029" t="str">
        <x:v>SAINTEK</x:v>
      </x:c>
      <x:c r="P2029" t="str">
        <x:v>TEKNIK/ARSITEKTUR/STATISTIKA/AKTUARIA</x:v>
      </x:c>
      <x:c r="Q2029" s="18" t="n">
        <x:v>0</x:v>
      </x:c>
      <x:c r="R2029" s="18" t="n">
        <x:v>0</x:v>
      </x:c>
      <x:c r="S2029" s="18" t="n">
        <x:v>577.5166619808372</x:v>
      </x:c>
      <x:c r="T2029" s="18" t="n">
        <x:v>652</x:v>
      </x:c>
      <x:c r="U2029" s="18" t="n">
        <x:v>587.5166619808372</x:v>
      </x:c>
      <x:c r="V2029" s="20" t="n">
        <x:v>12</x:v>
      </x:c>
      <x:c r="W2029" s="20" t="n">
        <x:v>5</x:v>
      </x:c>
      <x:c r="X2029" s="20" t="n">
        <x:v>3</x:v>
      </x:c>
      <x:c r="Y2029" t="str">
        <x:v>Basis arsip 2025/2024</x:v>
      </x:c>
      <x:c r="Z2029" t="str">
        <x:v>https://snpmb.id/utbk-snbt/daya-tampung-snbt</x:v>
      </x:c>
      <x:c r="AA2029" t="str">
        <x:v>Tidak Ada</x:v>
      </x:c>
      <x:c r="AB2029" t="str">
        <x:v>Campus=55; Ratio=30.8; Prodi=60; RelDemand=19.5; Capacity=50.0</x:v>
      </x:c>
    </x:row>
    <x:row r="2030">
      <x:c r="A2030" t="n">
        <x:v>2027</x:v>
      </x:c>
      <x:c r="B2030" t="str">
        <x:v>PTN Akademik</x:v>
      </x:c>
      <x:c r="C2030" t="str">
        <x:v>UNIVERSITAS JEMBER</x:v>
      </x:c>
      <x:c r="D2030" t="str">
        <x:v>PENDIDIKAN DOKTER GIGI</x:v>
      </x:c>
      <x:c r="E2030" t="str">
        <x:v>Sarjana</x:v>
      </x:c>
      <x:c r="F2030" s="18" t="n">
        <x:v>76</x:v>
      </x:c>
      <x:c r="G2030" s="18" t="n">
        <x:v>1252</x:v>
      </x:c>
      <x:c r="H2030" s="19" t="n">
        <x:v>16.473684210526315</x:v>
      </x:c>
      <x:c r="I2030" s="18" t="n">
        <x:f>ROUND(MIN(Model_Config_v3!$B$6,MAX(Q2030,R2030,S2030*Model_Config_v3!$B$4+T2030*Model_Config_v3!$B$5)),0)</x:f>
        <x:v>684</x:v>
      </x:c>
      <x:c r="J2030" s="18" t="n">
        <x:f>MIN(Model_Config_v3!$B$6,I2030+Model_Config_v3!$B$7)</x:f>
        <x:v>704</x:v>
      </x:c>
      <x:c r="K2030" s="20" t="n">
        <x:v>68.5</x:v>
      </x:c>
      <x:c r="L2030" t="str">
        <x:v>SANGAT KETAT</x:v>
      </x:c>
      <x:c r="M2030" t="str">
        <x:v>SEDANG+</x:v>
      </x:c>
      <x:c r="N2030" t="str">
        <x:v>REGULER</x:v>
      </x:c>
      <x:c r="O2030" t="str">
        <x:v>SAINTEK</x:v>
      </x:c>
      <x:c r="P2030" t="str">
        <x:v>KEDOKTERAN GIGI</x:v>
      </x:c>
      <x:c r="Q2030" s="18" t="n">
        <x:v>0</x:v>
      </x:c>
      <x:c r="R2030" s="18" t="n">
        <x:v>660</x:v>
      </x:c>
      <x:c r="S2030" s="18" t="n">
        <x:v>653.8469810252982</x:v>
      </x:c>
      <x:c r="T2030" s="18" t="n">
        <x:v>697</x:v>
      </x:c>
      <x:c r="U2030" s="18" t="n">
        <x:v>683.8469810252982</x:v>
      </x:c>
      <x:c r="V2030" s="20" t="n">
        <x:v>12</x:v>
      </x:c>
      <x:c r="W2030" s="20" t="n">
        <x:v>5</x:v>
      </x:c>
      <x:c r="X2030" s="20" t="n">
        <x:v>3</x:v>
      </x:c>
      <x:c r="Y2030" t="str">
        <x:v>Basis arsip 2025/2024</x:v>
      </x:c>
      <x:c r="Z2030" t="str">
        <x:v>https://snpmb.id/utbk-snbt/daya-tampung-snbt</x:v>
      </x:c>
      <x:c r="AA2030" t="str">
        <x:v>Tidak Ada</x:v>
      </x:c>
      <x:c r="AB2030" t="str">
        <x:v>Campus=55; Ratio=71.6; Prodi=90; RelDemand=96.3; Capacity=36.7</x:v>
      </x:c>
    </x:row>
    <x:row r="2031">
      <x:c r="A2031" t="n">
        <x:v>2028</x:v>
      </x:c>
      <x:c r="B2031" t="str">
        <x:v>PTN Akademik</x:v>
      </x:c>
      <x:c r="C2031" t="str">
        <x:v>UNIVERSITAS JEMBER</x:v>
      </x:c>
      <x:c r="D2031" t="str">
        <x:v>MATEMATIKA</x:v>
      </x:c>
      <x:c r="E2031" t="str">
        <x:v>Sarjana</x:v>
      </x:c>
      <x:c r="F2031" s="18" t="n">
        <x:v>54</x:v>
      </x:c>
      <x:c r="G2031" s="18" t="n">
        <x:v>125</x:v>
      </x:c>
      <x:c r="H2031" s="19" t="n">
        <x:v>2.314814814814815</x:v>
      </x:c>
      <x:c r="I2031" s="18" t="n">
        <x:f>ROUND(MIN(Model_Config_v3!$B$6,MAX(Q2031,R2031,S2031*Model_Config_v3!$B$4+T2031*Model_Config_v3!$B$5)),0)</x:f>
        <x:v>618</x:v>
      </x:c>
      <x:c r="J2031" s="18" t="n">
        <x:f>MIN(Model_Config_v3!$B$6,I2031+Model_Config_v3!$B$7)</x:f>
        <x:v>638</x:v>
      </x:c>
      <x:c r="K2031" s="20" t="n">
        <x:v>41.5</x:v>
      </x:c>
      <x:c r="L2031" t="str">
        <x:v>RELATIF LONGGAR</x:v>
      </x:c>
      <x:c r="M2031" t="str">
        <x:v>SEDANG+</x:v>
      </x:c>
      <x:c r="N2031" t="str">
        <x:v>REGULER</x:v>
      </x:c>
      <x:c r="O2031" t="str">
        <x:v>SAINTEK</x:v>
      </x:c>
      <x:c r="P2031" t="str">
        <x:v>SAINS DASAR</x:v>
      </x:c>
      <x:c r="Q2031" s="18" t="n">
        <x:v>0</x:v>
      </x:c>
      <x:c r="R2031" s="18" t="n">
        <x:v>0</x:v>
      </x:c>
      <x:c r="S2031" s="18" t="n">
        <x:v>560.0967878503596</x:v>
      </x:c>
      <x:c r="T2031" s="18" t="n">
        <x:v>643</x:v>
      </x:c>
      <x:c r="U2031" s="18" t="n">
        <x:v>560.0967878503596</x:v>
      </x:c>
      <x:c r="V2031" s="20" t="n">
        <x:v>12</x:v>
      </x:c>
      <x:c r="W2031" s="20" t="n">
        <x:v>5</x:v>
      </x:c>
      <x:c r="X2031" s="20" t="n">
        <x:v>3</x:v>
      </x:c>
      <x:c r="Y2031" t="str">
        <x:v>Basis arsip 2025/2024</x:v>
      </x:c>
      <x:c r="Z2031" t="str">
        <x:v>https://snpmb.id/utbk-snbt/daya-tampung-snbt</x:v>
      </x:c>
      <x:c r="AA2031" t="str">
        <x:v>Tidak Ada</x:v>
      </x:c>
      <x:c r="AB2031" t="str">
        <x:v>Campus=55; Ratio=21.5; Prodi=50; RelDemand=13.5; Capacity=55.0</x:v>
      </x:c>
    </x:row>
    <x:row r="2032">
      <x:c r="A2032" t="n">
        <x:v>2029</x:v>
      </x:c>
      <x:c r="B2032" t="str">
        <x:v>PTN Akademik</x:v>
      </x:c>
      <x:c r="C2032" t="str">
        <x:v>UNIVERSITAS JEMBER</x:v>
      </x:c>
      <x:c r="D2032" t="str">
        <x:v>FISIKA</x:v>
      </x:c>
      <x:c r="E2032" t="str">
        <x:v>Sarjana</x:v>
      </x:c>
      <x:c r="F2032" s="18" t="n">
        <x:v>48</x:v>
      </x:c>
      <x:c r="G2032" s="18" t="n">
        <x:v>63</x:v>
      </x:c>
      <x:c r="H2032" s="19" t="n">
        <x:v>1.3125</x:v>
      </x:c>
      <x:c r="I2032" s="18" t="n">
        <x:f>ROUND(MIN(Model_Config_v3!$B$6,MAX(Q2032,R2032,S2032*Model_Config_v3!$B$4+T2032*Model_Config_v3!$B$5)),0)</x:f>
        <x:v>605</x:v>
      </x:c>
      <x:c r="J2032" s="18" t="n">
        <x:f>MIN(Model_Config_v3!$B$6,I2032+Model_Config_v3!$B$7)</x:f>
        <x:v>625</x:v>
      </x:c>
      <x:c r="K2032" s="20" t="n">
        <x:v>37.8</x:v>
      </x:c>
      <x:c r="L2032" t="str">
        <x:v>RELATIF LONGGAR</x:v>
      </x:c>
      <x:c r="M2032" t="str">
        <x:v>SEDANG+</x:v>
      </x:c>
      <x:c r="N2032" t="str">
        <x:v>REGULER</x:v>
      </x:c>
      <x:c r="O2032" t="str">
        <x:v>SAINTEK</x:v>
      </x:c>
      <x:c r="P2032" t="str">
        <x:v>SAINS DASAR</x:v>
      </x:c>
      <x:c r="Q2032" s="18" t="n">
        <x:v>0</x:v>
      </x:c>
      <x:c r="R2032" s="18" t="n">
        <x:v>0</x:v>
      </x:c>
      <x:c r="S2032" s="18" t="n">
        <x:v>532.9909243285794</x:v>
      </x:c>
      <x:c r="T2032" s="18" t="n">
        <x:v>636</x:v>
      </x:c>
      <x:c r="U2032" s="18" t="n">
        <x:v>532.9909243285794</x:v>
      </x:c>
      <x:c r="V2032" s="20" t="n">
        <x:v>12</x:v>
      </x:c>
      <x:c r="W2032" s="20" t="n">
        <x:v>5</x:v>
      </x:c>
      <x:c r="X2032" s="20" t="n">
        <x:v>3</x:v>
      </x:c>
      <x:c r="Y2032" t="str">
        <x:v>Basis arsip 2025/2024</x:v>
      </x:c>
      <x:c r="Z2032" t="str">
        <x:v>https://snpmb.id/utbk-snbt/daya-tampung-snbt</x:v>
      </x:c>
      <x:c r="AA2032" t="str">
        <x:v>Tidak Ada</x:v>
      </x:c>
      <x:c r="AB2032" t="str">
        <x:v>Campus=55; Ratio=7.0; Prodi=50; RelDemand=7.7; Capacity=60.0</x:v>
      </x:c>
    </x:row>
    <x:row r="2033">
      <x:c r="A2033" t="n">
        <x:v>2030</x:v>
      </x:c>
      <x:c r="B2033" t="str">
        <x:v>PTN Akademik</x:v>
      </x:c>
      <x:c r="C2033" t="str">
        <x:v>UNIVERSITAS JEMBER</x:v>
      </x:c>
      <x:c r="D2033" t="str">
        <x:v>KIMIA</x:v>
      </x:c>
      <x:c r="E2033" t="str">
        <x:v>Sarjana</x:v>
      </x:c>
      <x:c r="F2033" s="18" t="n">
        <x:v>54</x:v>
      </x:c>
      <x:c r="G2033" s="18" t="n">
        <x:v>131</x:v>
      </x:c>
      <x:c r="H2033" s="19" t="n">
        <x:v>2.425925925925926</x:v>
      </x:c>
      <x:c r="I2033" s="18" t="n">
        <x:f>ROUND(MIN(Model_Config_v3!$B$6,MAX(Q2033,R2033,S2033*Model_Config_v3!$B$4+T2033*Model_Config_v3!$B$5)),0)</x:f>
        <x:v>620</x:v>
      </x:c>
      <x:c r="J2033" s="18" t="n">
        <x:f>MIN(Model_Config_v3!$B$6,I2033+Model_Config_v3!$B$7)</x:f>
        <x:v>640</x:v>
      </x:c>
      <x:c r="K2033" s="20" t="n">
        <x:v>41.8</x:v>
      </x:c>
      <x:c r="L2033" t="str">
        <x:v>RELATIF LONGGAR</x:v>
      </x:c>
      <x:c r="M2033" t="str">
        <x:v>SEDANG+</x:v>
      </x:c>
      <x:c r="N2033" t="str">
        <x:v>REGULER</x:v>
      </x:c>
      <x:c r="O2033" t="str">
        <x:v>SAINTEK</x:v>
      </x:c>
      <x:c r="P2033" t="str">
        <x:v>SAINS DASAR</x:v>
      </x:c>
      <x:c r="Q2033" s="18" t="n">
        <x:v>0</x:v>
      </x:c>
      <x:c r="R2033" s="18" t="n">
        <x:v>0</x:v>
      </x:c>
      <x:c r="S2033" s="18" t="n">
        <x:v>562.3365289416075</x:v>
      </x:c>
      <x:c r="T2033" s="18" t="n">
        <x:v>644</x:v>
      </x:c>
      <x:c r="U2033" s="18" t="n">
        <x:v>562.3365289416075</x:v>
      </x:c>
      <x:c r="V2033" s="20" t="n">
        <x:v>12</x:v>
      </x:c>
      <x:c r="W2033" s="20" t="n">
        <x:v>5</x:v>
      </x:c>
      <x:c r="X2033" s="20" t="n">
        <x:v>3</x:v>
      </x:c>
      <x:c r="Y2033" t="str">
        <x:v>Basis arsip 2025/2024</x:v>
      </x:c>
      <x:c r="Z2033" t="str">
        <x:v>https://snpmb.id/utbk-snbt/daya-tampung-snbt</x:v>
      </x:c>
      <x:c r="AA2033" t="str">
        <x:v>Tidak Ada</x:v>
      </x:c>
      <x:c r="AB2033" t="str">
        <x:v>Campus=55; Ratio=22.7; Prodi=50; RelDemand=14.2; Capacity=55.0</x:v>
      </x:c>
    </x:row>
    <x:row r="2034">
      <x:c r="A2034" t="n">
        <x:v>2031</x:v>
      </x:c>
      <x:c r="B2034" t="str">
        <x:v>PTN Akademik</x:v>
      </x:c>
      <x:c r="C2034" t="str">
        <x:v>UNIVERSITAS JEMBER</x:v>
      </x:c>
      <x:c r="D2034" t="str">
        <x:v>BIOLOGI</x:v>
      </x:c>
      <x:c r="E2034" t="str">
        <x:v>Sarjana</x:v>
      </x:c>
      <x:c r="F2034" s="18" t="n">
        <x:v>54</x:v>
      </x:c>
      <x:c r="G2034" s="18" t="n">
        <x:v>225</x:v>
      </x:c>
      <x:c r="H2034" s="19" t="n">
        <x:v>4.166666666666667</x:v>
      </x:c>
      <x:c r="I2034" s="18" t="n">
        <x:f>ROUND(MIN(Model_Config_v3!$B$6,MAX(Q2034,R2034,S2034*Model_Config_v3!$B$4+T2034*Model_Config_v3!$B$5)),0)</x:f>
        <x:v>634</x:v>
      </x:c>
      <x:c r="J2034" s="18" t="n">
        <x:f>MIN(Model_Config_v3!$B$6,I2034+Model_Config_v3!$B$7)</x:f>
        <x:v>654</x:v>
      </x:c>
      <x:c r="K2034" s="20" t="n">
        <x:v>46.3</x:v>
      </x:c>
      <x:c r="L2034" t="str">
        <x:v>MENENGAH</x:v>
      </x:c>
      <x:c r="M2034" t="str">
        <x:v>SEDANG+</x:v>
      </x:c>
      <x:c r="N2034" t="str">
        <x:v>REGULER</x:v>
      </x:c>
      <x:c r="O2034" t="str">
        <x:v>SAINTEK</x:v>
      </x:c>
      <x:c r="P2034" t="str">
        <x:v>SAINS DASAR</x:v>
      </x:c>
      <x:c r="Q2034" s="18" t="n">
        <x:v>0</x:v>
      </x:c>
      <x:c r="R2034" s="18" t="n">
        <x:v>0</x:v>
      </x:c>
      <x:c r="S2034" s="18" t="n">
        <x:v>588.1767634117233</x:v>
      </x:c>
      <x:c r="T2034" s="18" t="n">
        <x:v>653</x:v>
      </x:c>
      <x:c r="U2034" s="18" t="n">
        <x:v>588.1767634117233</x:v>
      </x:c>
      <x:c r="V2034" s="20" t="n">
        <x:v>12</x:v>
      </x:c>
      <x:c r="W2034" s="20" t="n">
        <x:v>5</x:v>
      </x:c>
      <x:c r="X2034" s="20" t="n">
        <x:v>3</x:v>
      </x:c>
      <x:c r="Y2034" t="str">
        <x:v>Basis arsip 2025/2024</x:v>
      </x:c>
      <x:c r="Z2034" t="str">
        <x:v>https://snpmb.id/utbk-snbt/daya-tampung-snbt</x:v>
      </x:c>
      <x:c r="AA2034" t="str">
        <x:v>Tidak Ada</x:v>
      </x:c>
      <x:c r="AB2034" t="str">
        <x:v>Campus=55; Ratio=36.5; Prodi=50; RelDemand=24.4; Capacity=55.0</x:v>
      </x:c>
    </x:row>
    <x:row r="2035">
      <x:c r="A2035" t="n">
        <x:v>2032</x:v>
      </x:c>
      <x:c r="B2035" t="str">
        <x:v>PTN Akademik</x:v>
      </x:c>
      <x:c r="C2035" t="str">
        <x:v>UNIVERSITAS JEMBER</x:v>
      </x:c>
      <x:c r="D2035" t="str">
        <x:v>PENDIDIKAN DOKTER</x:v>
      </x:c>
      <x:c r="E2035" t="str">
        <x:v>Sarjana</x:v>
      </x:c>
      <x:c r="F2035" s="18" t="n">
        <x:v>76</x:v>
      </x:c>
      <x:c r="G2035" s="18" t="n">
        <x:v>1791</x:v>
      </x:c>
      <x:c r="H2035" s="19" t="n">
        <x:v>23.56578947368421</x:v>
      </x:c>
      <x:c r="I2035" s="18" t="n">
        <x:f>ROUND(MIN(Model_Config_v3!$B$6,MAX(Q2035,R2035,S2035*Model_Config_v3!$B$4+T2035*Model_Config_v3!$B$5)),0)</x:f>
        <x:v>695</x:v>
      </x:c>
      <x:c r="J2035" s="18" t="n">
        <x:f>MIN(Model_Config_v3!$B$6,I2035+Model_Config_v3!$B$7)</x:f>
        <x:v>715</x:v>
      </x:c>
      <x:c r="K2035" s="20" t="n">
        <x:v>73.1</x:v>
      </x:c>
      <x:c r="L2035" t="str">
        <x:v>SANGAT KETAT</x:v>
      </x:c>
      <x:c r="M2035" t="str">
        <x:v>SEDANG+</x:v>
      </x:c>
      <x:c r="N2035" t="str">
        <x:v>REGULER</x:v>
      </x:c>
      <x:c r="O2035" t="str">
        <x:v>SAINTEK</x:v>
      </x:c>
      <x:c r="P2035" t="str">
        <x:v>KEDOKTERAN</x:v>
      </x:c>
      <x:c r="Q2035" s="18" t="n">
        <x:v>0</x:v>
      </x:c>
      <x:c r="R2035" s="18" t="n">
        <x:v>680</x:v>
      </x:c>
      <x:c r="S2035" s="18" t="n">
        <x:v>670.9510192925064</x:v>
      </x:c>
      <x:c r="T2035" s="18" t="n">
        <x:v>706</x:v>
      </x:c>
      <x:c r="U2035" s="18" t="n">
        <x:v>710.9510192925064</x:v>
      </x:c>
      <x:c r="V2035" s="20" t="n">
        <x:v>12</x:v>
      </x:c>
      <x:c r="W2035" s="20" t="n">
        <x:v>5</x:v>
      </x:c>
      <x:c r="X2035" s="20" t="n">
        <x:v>3</x:v>
      </x:c>
      <x:c r="Y2035" t="str">
        <x:v>Basis arsip 2025/2024</x:v>
      </x:c>
      <x:c r="Z2035" t="str">
        <x:v>https://snpmb.id/utbk-snbt/daya-tampung-snbt</x:v>
      </x:c>
      <x:c r="AA2035" t="str">
        <x:v>Tidak Ada</x:v>
      </x:c>
      <x:c r="AB2035" t="str">
        <x:v>Campus=55; Ratio=80.8; Prodi=100; RelDemand=100.0; Capacity=36.7</x:v>
      </x:c>
    </x:row>
    <x:row r="2036">
      <x:c r="A2036" t="n">
        <x:v>2033</x:v>
      </x:c>
      <x:c r="B2036" t="str">
        <x:v>PTN Akademik</x:v>
      </x:c>
      <x:c r="C2036" t="str">
        <x:v>UNIVERSITAS JEMBER</x:v>
      </x:c>
      <x:c r="D2036" t="str">
        <x:v>KESEHATAN MASYARAKAT</x:v>
      </x:c>
      <x:c r="E2036" t="str">
        <x:v>Sarjana</x:v>
      </x:c>
      <x:c r="F2036" s="18" t="n">
        <x:v>100</x:v>
      </x:c>
      <x:c r="G2036" s="18" t="n">
        <x:v>1076</x:v>
      </x:c>
      <x:c r="H2036" s="19" t="n">
        <x:v>10.76</x:v>
      </x:c>
      <x:c r="I2036" s="18" t="n">
        <x:f>ROUND(MIN(Model_Config_v3!$B$6,MAX(Q2036,R2036,S2036*Model_Config_v3!$B$4+T2036*Model_Config_v3!$B$5)),0)</x:f>
        <x:v>657</x:v>
      </x:c>
      <x:c r="J2036" s="18" t="n">
        <x:f>MIN(Model_Config_v3!$B$6,I2036+Model_Config_v3!$B$7)</x:f>
        <x:v>677</x:v>
      </x:c>
      <x:c r="K2036" s="20" t="n">
        <x:v>53.4</x:v>
      </x:c>
      <x:c r="L2036" t="str">
        <x:v>MENENGAH</x:v>
      </x:c>
      <x:c r="M2036" t="str">
        <x:v>SEDANG+</x:v>
      </x:c>
      <x:c r="N2036" t="str">
        <x:v>REGULER</x:v>
      </x:c>
      <x:c r="O2036" t="str">
        <x:v>SAINTEK</x:v>
      </x:c>
      <x:c r="P2036" t="str">
        <x:v>KESEHAT/GIZI/KEPERAWATAN</x:v>
      </x:c>
      <x:c r="Q2036" s="18" t="n">
        <x:v>0</x:v>
      </x:c>
      <x:c r="R2036" s="18" t="n">
        <x:v>0</x:v>
      </x:c>
      <x:c r="S2036" s="18" t="n">
        <x:v>633.4993498463407</x:v>
      </x:c>
      <x:c r="T2036" s="18" t="n">
        <x:v>667</x:v>
      </x:c>
      <x:c r="U2036" s="18" t="n">
        <x:v>633.4993498463407</x:v>
      </x:c>
      <x:c r="V2036" s="20" t="n">
        <x:v>12</x:v>
      </x:c>
      <x:c r="W2036" s="20" t="n">
        <x:v>5</x:v>
      </x:c>
      <x:c r="X2036" s="20" t="n">
        <x:v>3</x:v>
      </x:c>
      <x:c r="Y2036" t="str">
        <x:v>Basis arsip 2025/2024</x:v>
      </x:c>
      <x:c r="Z2036" t="str">
        <x:v>https://snpmb.id/utbk-snbt/daya-tampung-snbt</x:v>
      </x:c>
      <x:c r="AA2036" t="str">
        <x:v>Tidak Ada</x:v>
      </x:c>
      <x:c r="AB2036" t="str">
        <x:v>Campus=55; Ratio=60.7; Prodi=55; RelDemand=62.9; Capacity=16.7</x:v>
      </x:c>
    </x:row>
    <x:row r="2037">
      <x:c r="A2037" t="n">
        <x:v>2034</x:v>
      </x:c>
      <x:c r="B2037" t="str">
        <x:v>PTN Akademik</x:v>
      </x:c>
      <x:c r="C2037" t="str">
        <x:v>UNIVERSITAS JEMBER</x:v>
      </x:c>
      <x:c r="D2037" t="str">
        <x:v>TEKNIK MESIN</x:v>
      </x:c>
      <x:c r="E2037" t="str">
        <x:v>Sarjana</x:v>
      </x:c>
      <x:c r="F2037" s="18" t="n">
        <x:v>56</x:v>
      </x:c>
      <x:c r="G2037" s="18" t="n">
        <x:v>361</x:v>
      </x:c>
      <x:c r="H2037" s="19" t="n">
        <x:v>6.446428571428571</x:v>
      </x:c>
      <x:c r="I2037" s="18" t="n">
        <x:f>ROUND(MIN(Model_Config_v3!$B$6,MAX(Q2037,R2037,S2037*Model_Config_v3!$B$4+T2037*Model_Config_v3!$B$5)),0)</x:f>
        <x:v>648</x:v>
      </x:c>
      <x:c r="J2037" s="18" t="n">
        <x:f>MIN(Model_Config_v3!$B$6,I2037+Model_Config_v3!$B$7)</x:f>
        <x:v>668</x:v>
      </x:c>
      <x:c r="K2037" s="20" t="n">
        <x:v>52.3</x:v>
      </x:c>
      <x:c r="L2037" t="str">
        <x:v>MENENGAH</x:v>
      </x:c>
      <x:c r="M2037" t="str">
        <x:v>SEDANG+</x:v>
      </x:c>
      <x:c r="N2037" t="str">
        <x:v>REGULER</x:v>
      </x:c>
      <x:c r="O2037" t="str">
        <x:v>SAINTEK</x:v>
      </x:c>
      <x:c r="P2037" t="str">
        <x:v>TEKNIK/ARSITEKTUR/STATISTIKA/AKTUARIA</x:v>
      </x:c>
      <x:c r="Q2037" s="18" t="n">
        <x:v>0</x:v>
      </x:c>
      <x:c r="R2037" s="18" t="n">
        <x:v>0</x:v>
      </x:c>
      <x:c r="S2037" s="18" t="n">
        <x:v>609.0251092389403</x:v>
      </x:c>
      <x:c r="T2037" s="18" t="n">
        <x:v>665</x:v>
      </x:c>
      <x:c r="U2037" s="18" t="n">
        <x:v>619.0251092389403</x:v>
      </x:c>
      <x:c r="V2037" s="20" t="n">
        <x:v>12</x:v>
      </x:c>
      <x:c r="W2037" s="20" t="n">
        <x:v>5</x:v>
      </x:c>
      <x:c r="X2037" s="20" t="n">
        <x:v>3</x:v>
      </x:c>
      <x:c r="Y2037" t="str">
        <x:v>Basis arsip 2025/2024</x:v>
      </x:c>
      <x:c r="Z2037" t="str">
        <x:v>https://snpmb.id/utbk-snbt/daya-tampung-snbt</x:v>
      </x:c>
      <x:c r="AA2037" t="str">
        <x:v>Tidak Ada</x:v>
      </x:c>
      <x:c r="AB2037" t="str">
        <x:v>Campus=55; Ratio=47.6; Prodi=60; RelDemand=37.7; Capacity=53.3</x:v>
      </x:c>
    </x:row>
    <x:row r="2038">
      <x:c r="A2038" t="n">
        <x:v>2035</x:v>
      </x:c>
      <x:c r="B2038" t="str">
        <x:v>PTN Akademik</x:v>
      </x:c>
      <x:c r="C2038" t="str">
        <x:v>UNIVERSITAS JEMBER</x:v>
      </x:c>
      <x:c r="D2038" t="str">
        <x:v>TEKNIK ELEKTRO</x:v>
      </x:c>
      <x:c r="E2038" t="str">
        <x:v>Sarjana</x:v>
      </x:c>
      <x:c r="F2038" s="18" t="n">
        <x:v>56</x:v>
      </x:c>
      <x:c r="G2038" s="18" t="n">
        <x:v>337</x:v>
      </x:c>
      <x:c r="H2038" s="19" t="n">
        <x:v>6.017857142857143</x:v>
      </x:c>
      <x:c r="I2038" s="18" t="n">
        <x:f>ROUND(MIN(Model_Config_v3!$B$6,MAX(Q2038,R2038,S2038*Model_Config_v3!$B$4+T2038*Model_Config_v3!$B$5)),0)</x:f>
        <x:v>646</x:v>
      </x:c>
      <x:c r="J2038" s="18" t="n">
        <x:f>MIN(Model_Config_v3!$B$6,I2038+Model_Config_v3!$B$7)</x:f>
        <x:v>666</x:v>
      </x:c>
      <x:c r="K2038" s="20" t="n">
        <x:v>51.6</x:v>
      </x:c>
      <x:c r="L2038" t="str">
        <x:v>MENENGAH</x:v>
      </x:c>
      <x:c r="M2038" t="str">
        <x:v>SEDANG+</x:v>
      </x:c>
      <x:c r="N2038" t="str">
        <x:v>REGULER</x:v>
      </x:c>
      <x:c r="O2038" t="str">
        <x:v>SAINTEK</x:v>
      </x:c>
      <x:c r="P2038" t="str">
        <x:v>TEKNIK/ARSITEKTUR/STATISTIKA/AKTUARIA</x:v>
      </x:c>
      <x:c r="Q2038" s="18" t="n">
        <x:v>0</x:v>
      </x:c>
      <x:c r="R2038" s="18" t="n">
        <x:v>0</x:v>
      </x:c>
      <x:c r="S2038" s="18" t="n">
        <x:v>605.7386061251652</x:v>
      </x:c>
      <x:c r="T2038" s="18" t="n">
        <x:v>663</x:v>
      </x:c>
      <x:c r="U2038" s="18" t="n">
        <x:v>615.7386061251652</x:v>
      </x:c>
      <x:c r="V2038" s="20" t="n">
        <x:v>12</x:v>
      </x:c>
      <x:c r="W2038" s="20" t="n">
        <x:v>5</x:v>
      </x:c>
      <x:c r="X2038" s="20" t="n">
        <x:v>3</x:v>
      </x:c>
      <x:c r="Y2038" t="str">
        <x:v>Basis arsip 2025/2024</x:v>
      </x:c>
      <x:c r="Z2038" t="str">
        <x:v>https://snpmb.id/utbk-snbt/daya-tampung-snbt</x:v>
      </x:c>
      <x:c r="AA2038" t="str">
        <x:v>Tidak Ada</x:v>
      </x:c>
      <x:c r="AB2038" t="str">
        <x:v>Campus=55; Ratio=45.9; Prodi=60; RelDemand=35.2; Capacity=53.3</x:v>
      </x:c>
    </x:row>
    <x:row r="2039">
      <x:c r="A2039" t="n">
        <x:v>2036</x:v>
      </x:c>
      <x:c r="B2039" t="str">
        <x:v>PTN Akademik</x:v>
      </x:c>
      <x:c r="C2039" t="str">
        <x:v>UNIVERSITAS JEMBER</x:v>
      </x:c>
      <x:c r="D2039" t="str">
        <x:v>TEKNIK SIPIL</x:v>
      </x:c>
      <x:c r="E2039" t="str">
        <x:v>Sarjana</x:v>
      </x:c>
      <x:c r="F2039" s="18" t="n">
        <x:v>68</x:v>
      </x:c>
      <x:c r="G2039" s="18" t="n">
        <x:v>548</x:v>
      </x:c>
      <x:c r="H2039" s="19" t="n">
        <x:v>8.058823529411764</x:v>
      </x:c>
      <x:c r="I2039" s="18" t="n">
        <x:f>ROUND(MIN(Model_Config_v3!$B$6,MAX(Q2039,R2039,S2039*Model_Config_v3!$B$4+T2039*Model_Config_v3!$B$5)),0)</x:f>
        <x:v>653</x:v>
      </x:c>
      <x:c r="J2039" s="18" t="n">
        <x:f>MIN(Model_Config_v3!$B$6,I2039+Model_Config_v3!$B$7)</x:f>
        <x:v>673</x:v>
      </x:c>
      <x:c r="K2039" s="20" t="n">
        <x:v>53.6</x:v>
      </x:c>
      <x:c r="L2039" t="str">
        <x:v>MENENGAH</x:v>
      </x:c>
      <x:c r="M2039" t="str">
        <x:v>SEDANG+</x:v>
      </x:c>
      <x:c r="N2039" t="str">
        <x:v>REGULER</x:v>
      </x:c>
      <x:c r="O2039" t="str">
        <x:v>SAINTEK</x:v>
      </x:c>
      <x:c r="P2039" t="str">
        <x:v>TEKNIK/ARSITEKTUR/STATISTIKA/AKTUARIA</x:v>
      </x:c>
      <x:c r="Q2039" s="18" t="n">
        <x:v>0</x:v>
      </x:c>
      <x:c r="R2039" s="18" t="n">
        <x:v>0</x:v>
      </x:c>
      <x:c r="S2039" s="18" t="n">
        <x:v>619.6898810355946</x:v>
      </x:c>
      <x:c r="T2039" s="18" t="n">
        <x:v>667</x:v>
      </x:c>
      <x:c r="U2039" s="18" t="n">
        <x:v>629.6898810355946</x:v>
      </x:c>
      <x:c r="V2039" s="20" t="n">
        <x:v>12</x:v>
      </x:c>
      <x:c r="W2039" s="20" t="n">
        <x:v>5</x:v>
      </x:c>
      <x:c r="X2039" s="20" t="n">
        <x:v>3</x:v>
      </x:c>
      <x:c r="Y2039" t="str">
        <x:v>Basis arsip 2025/2024</x:v>
      </x:c>
      <x:c r="Z2039" t="str">
        <x:v>https://snpmb.id/utbk-snbt/daya-tampung-snbt</x:v>
      </x:c>
      <x:c r="AA2039" t="str">
        <x:v>Tidak Ada</x:v>
      </x:c>
      <x:c r="AB2039" t="str">
        <x:v>Campus=55; Ratio=53.3; Prodi=60; RelDemand=47.1; Capacity=43.3</x:v>
      </x:c>
    </x:row>
    <x:row r="2040">
      <x:c r="A2040" t="n">
        <x:v>2037</x:v>
      </x:c>
      <x:c r="B2040" t="str">
        <x:v>PTN Akademik</x:v>
      </x:c>
      <x:c r="C2040" t="str">
        <x:v>UNIVERSITAS JEMBER</x:v>
      </x:c>
      <x:c r="D2040" t="str">
        <x:v>FARMASI</x:v>
      </x:c>
      <x:c r="E2040" t="str">
        <x:v>Sarjana</x:v>
      </x:c>
      <x:c r="F2040" s="18" t="n">
        <x:v>72</x:v>
      </x:c>
      <x:c r="G2040" s="18" t="n">
        <x:v>1296</x:v>
      </x:c>
      <x:c r="H2040" s="19" t="n">
        <x:v>18</x:v>
      </x:c>
      <x:c r="I2040" s="18" t="n">
        <x:f>ROUND(MIN(Model_Config_v3!$B$6,MAX(Q2040,R2040,S2040*Model_Config_v3!$B$4+T2040*Model_Config_v3!$B$5)),0)</x:f>
        <x:v>683</x:v>
      </x:c>
      <x:c r="J2040" s="18" t="n">
        <x:f>MIN(Model_Config_v3!$B$6,I2040+Model_Config_v3!$B$7)</x:f>
        <x:v>703</x:v>
      </x:c>
      <x:c r="K2040" s="20" t="n">
        <x:v>66.7</x:v>
      </x:c>
      <x:c r="L2040" t="str">
        <x:v>SANGAT KETAT</x:v>
      </x:c>
      <x:c r="M2040" t="str">
        <x:v>SEDANG+</x:v>
      </x:c>
      <x:c r="N2040" t="str">
        <x:v>REGULER</x:v>
      </x:c>
      <x:c r="O2040" t="str">
        <x:v>SAINTEK</x:v>
      </x:c>
      <x:c r="P2040" t="str">
        <x:v>FARMASI</x:v>
      </x:c>
      <x:c r="Q2040" s="18" t="n">
        <x:v>0</x:v>
      </x:c>
      <x:c r="R2040" s="18" t="n">
        <x:v>0</x:v>
      </x:c>
      <x:c r="S2040" s="18" t="n">
        <x:v>658.0799755613637</x:v>
      </x:c>
      <x:c r="T2040" s="18" t="n">
        <x:v>693</x:v>
      </x:c>
      <x:c r="U2040" s="18" t="n">
        <x:v>678.0799755613637</x:v>
      </x:c>
      <x:c r="V2040" s="20" t="n">
        <x:v>12</x:v>
      </x:c>
      <x:c r="W2040" s="20" t="n">
        <x:v>5</x:v>
      </x:c>
      <x:c r="X2040" s="20" t="n">
        <x:v>3</x:v>
      </x:c>
      <x:c r="Y2040" t="str">
        <x:v>Basis arsip 2025/2024</x:v>
      </x:c>
      <x:c r="Z2040" t="str">
        <x:v>https://snpmb.id/utbk-snbt/daya-tampung-snbt</x:v>
      </x:c>
      <x:c r="AA2040" t="str">
        <x:v>Tidak Ada</x:v>
      </x:c>
      <x:c r="AB2040" t="str">
        <x:v>Campus=55; Ratio=73.9; Prodi=75; RelDemand=100.0; Capacity=40.0</x:v>
      </x:c>
    </x:row>
    <x:row r="2041">
      <x:c r="A2041" t="n">
        <x:v>2038</x:v>
      </x:c>
      <x:c r="B2041" t="str">
        <x:v>PTN Akademik</x:v>
      </x:c>
      <x:c r="C2041" t="str">
        <x:v>UNIVERSITAS JEMBER</x:v>
      </x:c>
      <x:c r="D2041" t="str">
        <x:v>ILMU KEPERAWATAN</x:v>
      </x:c>
      <x:c r="E2041" t="str">
        <x:v>Sarjana</x:v>
      </x:c>
      <x:c r="F2041" s="18" t="n">
        <x:v>92</x:v>
      </x:c>
      <x:c r="G2041" s="18" t="n">
        <x:v>1127</x:v>
      </x:c>
      <x:c r="H2041" s="19" t="n">
        <x:v>12.25</x:v>
      </x:c>
      <x:c r="I2041" s="18" t="n">
        <x:f>ROUND(MIN(Model_Config_v3!$B$6,MAX(Q2041,R2041,S2041*Model_Config_v3!$B$4+T2041*Model_Config_v3!$B$5)),0)</x:f>
        <x:v>662</x:v>
      </x:c>
      <x:c r="J2041" s="18" t="n">
        <x:f>MIN(Model_Config_v3!$B$6,I2041+Model_Config_v3!$B$7)</x:f>
        <x:v>682</x:v>
      </x:c>
      <x:c r="K2041" s="20" t="n">
        <x:v>55.8</x:v>
      </x:c>
      <x:c r="L2041" t="str">
        <x:v>KETAT</x:v>
      </x:c>
      <x:c r="M2041" t="str">
        <x:v>SEDANG+</x:v>
      </x:c>
      <x:c r="N2041" t="str">
        <x:v>REGULER</x:v>
      </x:c>
      <x:c r="O2041" t="str">
        <x:v>SAINTEK</x:v>
      </x:c>
      <x:c r="P2041" t="str">
        <x:v>KESEHAT/GIZI/KEPERAWATAN</x:v>
      </x:c>
      <x:c r="Q2041" s="18" t="n">
        <x:v>0</x:v>
      </x:c>
      <x:c r="R2041" s="18" t="n">
        <x:v>0</x:v>
      </x:c>
      <x:c r="S2041" s="18" t="n">
        <x:v>639.6949697570606</x:v>
      </x:c>
      <x:c r="T2041" s="18" t="n">
        <x:v>672</x:v>
      </x:c>
      <x:c r="U2041" s="18" t="n">
        <x:v>639.6949697570606</x:v>
      </x:c>
      <x:c r="V2041" s="20" t="n">
        <x:v>12</x:v>
      </x:c>
      <x:c r="W2041" s="20" t="n">
        <x:v>5</x:v>
      </x:c>
      <x:c r="X2041" s="20" t="n">
        <x:v>3</x:v>
      </x:c>
      <x:c r="Y2041" t="str">
        <x:v>Basis arsip 2025/2024</x:v>
      </x:c>
      <x:c r="Z2041" t="str">
        <x:v>https://snpmb.id/utbk-snbt/daya-tampung-snbt</x:v>
      </x:c>
      <x:c r="AA2041" t="str">
        <x:v>Tidak Ada</x:v>
      </x:c>
      <x:c r="AB2041" t="str">
        <x:v>Campus=55; Ratio=64.0; Prodi=55; RelDemand=71.6; Capacity=23.3</x:v>
      </x:c>
    </x:row>
    <x:row r="2042">
      <x:c r="A2042" t="n">
        <x:v>2039</x:v>
      </x:c>
      <x:c r="B2042" t="str">
        <x:v>PTN Akademik</x:v>
      </x:c>
      <x:c r="C2042" t="str">
        <x:v>UNIVERSITAS JEMBER</x:v>
      </x:c>
      <x:c r="D2042" t="str">
        <x:v>SISTEM INFORMASI</x:v>
      </x:c>
      <x:c r="E2042" t="str">
        <x:v>Sarjana</x:v>
      </x:c>
      <x:c r="F2042" s="18" t="n">
        <x:v>48</x:v>
      </x:c>
      <x:c r="G2042" s="18" t="n">
        <x:v>587</x:v>
      </x:c>
      <x:c r="H2042" s="19" t="n">
        <x:v>12.229166666666666</x:v>
      </x:c>
      <x:c r="I2042" s="18" t="n">
        <x:f>ROUND(MIN(Model_Config_v3!$B$6,MAX(Q2042,R2042,S2042*Model_Config_v3!$B$4+T2042*Model_Config_v3!$B$5)),0)</x:f>
        <x:v>676</x:v>
      </x:c>
      <x:c r="J2042" s="18" t="n">
        <x:f>MIN(Model_Config_v3!$B$6,I2042+Model_Config_v3!$B$7)</x:f>
        <x:v>696</x:v>
      </x:c>
      <x:c r="K2042" s="20" t="n">
        <x:v>65.4</x:v>
      </x:c>
      <x:c r="L2042" t="str">
        <x:v>SANGAT KETAT</x:v>
      </x:c>
      <x:c r="M2042" t="str">
        <x:v>SEDANG+</x:v>
      </x:c>
      <x:c r="N2042" t="str">
        <x:v>REGULER</x:v>
      </x:c>
      <x:c r="O2042" t="str">
        <x:v>CAMPURAN</x:v>
      </x:c>
      <x:c r="P2042" t="str">
        <x:v>KOMPUTER/INFORMATIKA</x:v>
      </x:c>
      <x:c r="Q2042" s="18" t="n">
        <x:v>0</x:v>
      </x:c>
      <x:c r="R2042" s="18" t="n">
        <x:v>0</x:v>
      </x:c>
      <x:c r="S2042" s="18" t="n">
        <x:v>639.613655025923</x:v>
      </x:c>
      <x:c r="T2042" s="18" t="n">
        <x:v>691</x:v>
      </x:c>
      <x:c r="U2042" s="18" t="n">
        <x:v>664.613655025923</x:v>
      </x:c>
      <x:c r="V2042" s="20" t="n">
        <x:v>8.8</x:v>
      </x:c>
      <x:c r="W2042" s="20" t="n">
        <x:v>9.9</x:v>
      </x:c>
      <x:c r="X2042" s="20" t="n">
        <x:v>3.3</x:v>
      </x:c>
      <x:c r="Y2042" t="str">
        <x:v>Basis arsip 2025/2024</x:v>
      </x:c>
      <x:c r="Z2042" t="str">
        <x:v>https://snpmb.id/utbk-snbt/daya-tampung-snbt</x:v>
      </x:c>
      <x:c r="AA2042" t="str">
        <x:v>Tidak Ada</x:v>
      </x:c>
      <x:c r="AB2042" t="str">
        <x:v>Campus=55; Ratio=64.0; Prodi=85; RelDemand=71.5; Capacity=60.0</x:v>
      </x:c>
    </x:row>
    <x:row r="2043">
      <x:c r="A2043" t="n">
        <x:v>2040</x:v>
      </x:c>
      <x:c r="B2043" t="str">
        <x:v>PTN Akademik</x:v>
      </x:c>
      <x:c r="C2043" t="str">
        <x:v>UNIVERSITAS JEMBER</x:v>
      </x:c>
      <x:c r="D2043" t="str">
        <x:v>TEKNOLOGI INDUSTRI PERTANIAN</x:v>
      </x:c>
      <x:c r="E2043" t="str">
        <x:v>Sarjana</x:v>
      </x:c>
      <x:c r="F2043" s="18" t="n">
        <x:v>58</x:v>
      </x:c>
      <x:c r="G2043" s="18" t="n">
        <x:v>195</x:v>
      </x:c>
      <x:c r="H2043" s="19" t="n">
        <x:v>3.3620689655172415</x:v>
      </x:c>
      <x:c r="I2043" s="18" t="n">
        <x:f>ROUND(MIN(Model_Config_v3!$B$6,MAX(Q2043,R2043,S2043*Model_Config_v3!$B$4+T2043*Model_Config_v3!$B$5)),0)</x:f>
        <x:v>624</x:v>
      </x:c>
      <x:c r="J2043" s="18" t="n">
        <x:f>MIN(Model_Config_v3!$B$6,I2043+Model_Config_v3!$B$7)</x:f>
        <x:v>644</x:v>
      </x:c>
      <x:c r="K2043" s="20" t="n">
        <x:v>42.1</x:v>
      </x:c>
      <x:c r="L2043" t="str">
        <x:v>RELATIF LONGGAR</x:v>
      </x:c>
      <x:c r="M2043" t="str">
        <x:v>SEDANG</x:v>
      </x:c>
      <x:c r="N2043" t="str">
        <x:v>REGULER</x:v>
      </x:c>
      <x:c r="O2043" t="str">
        <x:v>SAINTEK</x:v>
      </x:c>
      <x:c r="P2043" t="str">
        <x:v>UMUM</x:v>
      </x:c>
      <x:c r="Q2043" s="18" t="n">
        <x:v>0</x:v>
      </x:c>
      <x:c r="R2043" s="18" t="n">
        <x:v>0</x:v>
      </x:c>
      <x:c r="S2043" s="18" t="n">
        <x:v>577.9267279579539</x:v>
      </x:c>
      <x:c r="T2043" s="18" t="n">
        <x:v>644</x:v>
      </x:c>
      <x:c r="U2043" s="18" t="n">
        <x:v>577.9267279579539</x:v>
      </x:c>
      <x:c r="V2043" s="20" t="n">
        <x:v>12</x:v>
      </x:c>
      <x:c r="W2043" s="20" t="n">
        <x:v>5</x:v>
      </x:c>
      <x:c r="X2043" s="20" t="n">
        <x:v>3</x:v>
      </x:c>
      <x:c r="Y2043" t="str">
        <x:v>Basis arsip 2025/2024</x:v>
      </x:c>
      <x:c r="Z2043" t="str">
        <x:v>https://snpmb.id/utbk-snbt/daya-tampung-snbt</x:v>
      </x:c>
      <x:c r="AA2043" t="str">
        <x:v>Tidak Ada</x:v>
      </x:c>
      <x:c r="AB2043" t="str">
        <x:v>Campus=55; Ratio=31.0; Prodi=40; RelDemand=19.7; Capacity=51.7</x:v>
      </x:c>
    </x:row>
    <x:row r="2044">
      <x:c r="A2044" t="n">
        <x:v>2041</x:v>
      </x:c>
      <x:c r="B2044" t="str">
        <x:v>PTN Akademik</x:v>
      </x:c>
      <x:c r="C2044" t="str">
        <x:v>UNIVERSITAS JEMBER</x:v>
      </x:c>
      <x:c r="D2044" t="str">
        <x:v>ILMU TANAH</x:v>
      </x:c>
      <x:c r="E2044" t="str">
        <x:v>Sarjana</x:v>
      </x:c>
      <x:c r="F2044" s="18" t="n">
        <x:v>32</x:v>
      </x:c>
      <x:c r="G2044" s="18" t="n">
        <x:v>82</x:v>
      </x:c>
      <x:c r="H2044" s="19" t="n">
        <x:v>2.5625</x:v>
      </x:c>
      <x:c r="I2044" s="18" t="n">
        <x:f>ROUND(MIN(Model_Config_v3!$B$6,MAX(Q2044,R2044,S2044*Model_Config_v3!$B$4+T2044*Model_Config_v3!$B$5)),0)</x:f>
        <x:v>620</x:v>
      </x:c>
      <x:c r="J2044" s="18" t="n">
        <x:f>MIN(Model_Config_v3!$B$6,I2044+Model_Config_v3!$B$7)</x:f>
        <x:v>640</x:v>
      </x:c>
      <x:c r="K2044" s="20" t="n">
        <x:v>42.1</x:v>
      </x:c>
      <x:c r="L2044" t="str">
        <x:v>RELATIF LONGGAR</x:v>
      </x:c>
      <x:c r="M2044" t="str">
        <x:v>SEDANG</x:v>
      </x:c>
      <x:c r="N2044" t="str">
        <x:v>REGULER</x:v>
      </x:c>
      <x:c r="O2044" t="str">
        <x:v>CAMPURAN</x:v>
      </x:c>
      <x:c r="P2044" t="str">
        <x:v>UMUM</x:v>
      </x:c>
      <x:c r="Q2044" s="18" t="n">
        <x:v>0</x:v>
      </x:c>
      <x:c r="R2044" s="18" t="n">
        <x:v>0</x:v>
      </x:c>
      <x:c r="S2044" s="18" t="n">
        <x:v>564.9530261470192</x:v>
      </x:c>
      <x:c r="T2044" s="18" t="n">
        <x:v>644</x:v>
      </x:c>
      <x:c r="U2044" s="18" t="n">
        <x:v>564.9530261470192</x:v>
      </x:c>
      <x:c r="V2044" s="20" t="n">
        <x:v>8.8</x:v>
      </x:c>
      <x:c r="W2044" s="20" t="n">
        <x:v>9.9</x:v>
      </x:c>
      <x:c r="X2044" s="20" t="n">
        <x:v>3.3</x:v>
      </x:c>
      <x:c r="Y2044" t="str">
        <x:v>Basis arsip 2025/2024</x:v>
      </x:c>
      <x:c r="Z2044" t="str">
        <x:v>https://snpmb.id/utbk-snbt/daya-tampung-snbt</x:v>
      </x:c>
      <x:c r="AA2044" t="str">
        <x:v>Tidak Ada</x:v>
      </x:c>
      <x:c r="AB2044" t="str">
        <x:v>Campus=55; Ratio=24.1; Prodi=40; RelDemand=15.0; Capacity=73.3</x:v>
      </x:c>
    </x:row>
    <x:row r="2045">
      <x:c r="A2045" t="n">
        <x:v>2042</x:v>
      </x:c>
      <x:c r="B2045" t="str">
        <x:v>PTN Akademik</x:v>
      </x:c>
      <x:c r="C2045" t="str">
        <x:v>UNIVERSITAS JEMBER</x:v>
      </x:c>
      <x:c r="D2045" t="str">
        <x:v>PROTEKSI TANAMAN</x:v>
      </x:c>
      <x:c r="E2045" t="str">
        <x:v>Sarjana</x:v>
      </x:c>
      <x:c r="F2045" s="18" t="n">
        <x:v>36</x:v>
      </x:c>
      <x:c r="G2045" s="18" t="n">
        <x:v>101</x:v>
      </x:c>
      <x:c r="H2045" s="19" t="n">
        <x:v>2.8055555555555554</x:v>
      </x:c>
      <x:c r="I2045" s="18" t="n">
        <x:f>ROUND(MIN(Model_Config_v3!$B$6,MAX(Q2045,R2045,S2045*Model_Config_v3!$B$4+T2045*Model_Config_v3!$B$5)),0)</x:f>
        <x:v>622</x:v>
      </x:c>
      <x:c r="J2045" s="18" t="n">
        <x:f>MIN(Model_Config_v3!$B$6,I2045+Model_Config_v3!$B$7)</x:f>
        <x:v>642</x:v>
      </x:c>
      <x:c r="K2045" s="20" t="n">
        <x:v>42.5</x:v>
      </x:c>
      <x:c r="L2045" t="str">
        <x:v>RELATIF LONGGAR</x:v>
      </x:c>
      <x:c r="M2045" t="str">
        <x:v>SEDANG</x:v>
      </x:c>
      <x:c r="N2045" t="str">
        <x:v>REGULER</x:v>
      </x:c>
      <x:c r="O2045" t="str">
        <x:v>CAMPURAN</x:v>
      </x:c>
      <x:c r="P2045" t="str">
        <x:v>UMUM</x:v>
      </x:c>
      <x:c r="Q2045" s="18" t="n">
        <x:v>0</x:v>
      </x:c>
      <x:c r="R2045" s="18" t="n">
        <x:v>0</x:v>
      </x:c>
      <x:c r="S2045" s="18" t="n">
        <x:v>569.282076031689</x:v>
      </x:c>
      <x:c r="T2045" s="18" t="n">
        <x:v>645</x:v>
      </x:c>
      <x:c r="U2045" s="18" t="n">
        <x:v>569.282076031689</x:v>
      </x:c>
      <x:c r="V2045" s="20" t="n">
        <x:v>8.8</x:v>
      </x:c>
      <x:c r="W2045" s="20" t="n">
        <x:v>9.9</x:v>
      </x:c>
      <x:c r="X2045" s="20" t="n">
        <x:v>3.3</x:v>
      </x:c>
      <x:c r="Y2045" t="str">
        <x:v>Basis arsip 2025/2024</x:v>
      </x:c>
      <x:c r="Z2045" t="str">
        <x:v>https://snpmb.id/utbk-snbt/daya-tampung-snbt</x:v>
      </x:c>
      <x:c r="AA2045" t="str">
        <x:v>Tidak Ada</x:v>
      </x:c>
      <x:c r="AB2045" t="str">
        <x:v>Campus=55; Ratio=26.4; Prodi=40; RelDemand=16.4; Capacity=70.0</x:v>
      </x:c>
    </x:row>
    <x:row r="2046">
      <x:c r="A2046" t="n">
        <x:v>2043</x:v>
      </x:c>
      <x:c r="B2046" t="str">
        <x:v>PTN Akademik</x:v>
      </x:c>
      <x:c r="C2046" t="str">
        <x:v>UNIVERSITAS JEMBER</x:v>
      </x:c>
      <x:c r="D2046" t="str">
        <x:v>TEKNOLOGI INFORMASI</x:v>
      </x:c>
      <x:c r="E2046" t="str">
        <x:v>Sarjana</x:v>
      </x:c>
      <x:c r="F2046" s="18" t="n">
        <x:v>48</x:v>
      </x:c>
      <x:c r="G2046" s="18" t="n">
        <x:v>390</x:v>
      </x:c>
      <x:c r="H2046" s="19" t="n">
        <x:v>8.125</x:v>
      </x:c>
      <x:c r="I2046" s="18" t="n">
        <x:f>ROUND(MIN(Model_Config_v3!$B$6,MAX(Q2046,R2046,S2046*Model_Config_v3!$B$4+T2046*Model_Config_v3!$B$5)),0)</x:f>
        <x:v>650</x:v>
      </x:c>
      <x:c r="J2046" s="18" t="n">
        <x:f>MIN(Model_Config_v3!$B$6,I2046+Model_Config_v3!$B$7)</x:f>
        <x:v>670</x:v>
      </x:c>
      <x:c r="K2046" s="20" t="n">
        <x:v>51.4</x:v>
      </x:c>
      <x:c r="L2046" t="str">
        <x:v>MENENGAH</x:v>
      </x:c>
      <x:c r="M2046" t="str">
        <x:v>SEDANG</x:v>
      </x:c>
      <x:c r="N2046" t="str">
        <x:v>REGULER</x:v>
      </x:c>
      <x:c r="O2046" t="str">
        <x:v>SAINTEK</x:v>
      </x:c>
      <x:c r="P2046" t="str">
        <x:v>UMUM</x:v>
      </x:c>
      <x:c r="Q2046" s="18" t="n">
        <x:v>0</x:v>
      </x:c>
      <x:c r="R2046" s="18" t="n">
        <x:v>0</x:v>
      </x:c>
      <x:c r="S2046" s="18" t="n">
        <x:v>620.0805706616003</x:v>
      </x:c>
      <x:c r="T2046" s="18" t="n">
        <x:v>663</x:v>
      </x:c>
      <x:c r="U2046" s="18" t="n">
        <x:v>620.0805706616003</x:v>
      </x:c>
      <x:c r="V2046" s="20" t="n">
        <x:v>12</x:v>
      </x:c>
      <x:c r="W2046" s="20" t="n">
        <x:v>5</x:v>
      </x:c>
      <x:c r="X2046" s="20" t="n">
        <x:v>3</x:v>
      </x:c>
      <x:c r="Y2046" t="str">
        <x:v>Basis arsip 2025/2024</x:v>
      </x:c>
      <x:c r="Z2046" t="str">
        <x:v>https://snpmb.id/utbk-snbt/daya-tampung-snbt</x:v>
      </x:c>
      <x:c r="AA2046" t="str">
        <x:v>Tidak Ada</x:v>
      </x:c>
      <x:c r="AB2046" t="str">
        <x:v>Campus=55; Ratio=53.6; Prodi=40; RelDemand=47.5; Capacity=60.0</x:v>
      </x:c>
    </x:row>
    <x:row r="2047">
      <x:c r="A2047" t="n">
        <x:v>2044</x:v>
      </x:c>
      <x:c r="B2047" t="str">
        <x:v>PTN Akademik</x:v>
      </x:c>
      <x:c r="C2047" t="str">
        <x:v>UNIVERSITAS JEMBER</x:v>
      </x:c>
      <x:c r="D2047" t="str">
        <x:v>PENDIDIKAN IPA</x:v>
      </x:c>
      <x:c r="E2047" t="str">
        <x:v>Sarjana</x:v>
      </x:c>
      <x:c r="F2047" s="18" t="n">
        <x:v>66</x:v>
      </x:c>
      <x:c r="G2047" s="18" t="n">
        <x:v>252</x:v>
      </x:c>
      <x:c r="H2047" s="19" t="n">
        <x:v>3.8181818181818183</x:v>
      </x:c>
      <x:c r="I2047" s="18" t="n">
        <x:f>ROUND(MIN(Model_Config_v3!$B$6,MAX(Q2047,R2047,S2047*Model_Config_v3!$B$4+T2047*Model_Config_v3!$B$5)),0)</x:f>
        <x:v>628</x:v>
      </x:c>
      <x:c r="J2047" s="18" t="n">
        <x:f>MIN(Model_Config_v3!$B$6,I2047+Model_Config_v3!$B$7)</x:f>
        <x:v>648</x:v>
      </x:c>
      <x:c r="K2047" s="20" t="n">
        <x:v>43.5</x:v>
      </x:c>
      <x:c r="L2047" t="str">
        <x:v>RELATIF LONGGAR</x:v>
      </x:c>
      <x:c r="M2047" t="str">
        <x:v>SEDANG+</x:v>
      </x:c>
      <x:c r="N2047" t="str">
        <x:v>REGULER</x:v>
      </x:c>
      <x:c r="O2047" t="str">
        <x:v>CAMPURAN</x:v>
      </x:c>
      <x:c r="P2047" t="str">
        <x:v>PENDIDIKAN</x:v>
      </x:c>
      <x:c r="Q2047" s="18" t="n">
        <x:v>0</x:v>
      </x:c>
      <x:c r="R2047" s="18" t="n">
        <x:v>0</x:v>
      </x:c>
      <x:c r="S2047" s="18" t="n">
        <x:v>584.0042265763643</x:v>
      </x:c>
      <x:c r="T2047" s="18" t="n">
        <x:v>647</x:v>
      </x:c>
      <x:c r="U2047" s="18" t="n">
        <x:v>584.0042265763643</x:v>
      </x:c>
      <x:c r="V2047" s="20" t="n">
        <x:v>8.8</x:v>
      </x:c>
      <x:c r="W2047" s="20" t="n">
        <x:v>9.9</x:v>
      </x:c>
      <x:c r="X2047" s="20" t="n">
        <x:v>3.3</x:v>
      </x:c>
      <x:c r="Y2047" t="str">
        <x:v>Basis arsip 2025/2024</x:v>
      </x:c>
      <x:c r="Z2047" t="str">
        <x:v>https://snpmb.id/utbk-snbt/daya-tampung-snbt</x:v>
      </x:c>
      <x:c r="AA2047" t="str">
        <x:v>Tidak Ada</x:v>
      </x:c>
      <x:c r="AB2047" t="str">
        <x:v>Campus=55; Ratio=34.2; Prodi=45; RelDemand=22.3; Capacity=45.0</x:v>
      </x:c>
    </x:row>
    <x:row r="2048">
      <x:c r="A2048" t="n">
        <x:v>2045</x:v>
      </x:c>
      <x:c r="B2048" t="str">
        <x:v>PTN Akademik</x:v>
      </x:c>
      <x:c r="C2048" t="str">
        <x:v>UNIVERSITAS JEMBER</x:v>
      </x:c>
      <x:c r="D2048" t="str">
        <x:v>PERENCANAAN WILAYAH DAN KOTA</x:v>
      </x:c>
      <x:c r="E2048" t="str">
        <x:v>Sarjana</x:v>
      </x:c>
      <x:c r="F2048" s="18" t="n">
        <x:v>40</x:v>
      </x:c>
      <x:c r="G2048" s="18" t="n">
        <x:v>241</x:v>
      </x:c>
      <x:c r="H2048" s="19" t="n">
        <x:v>6.025</x:v>
      </x:c>
      <x:c r="I2048" s="18" t="n">
        <x:f>ROUND(MIN(Model_Config_v3!$B$6,MAX(Q2048,R2048,S2048*Model_Config_v3!$B$4+T2048*Model_Config_v3!$B$5)),0)</x:f>
        <x:v>642</x:v>
      </x:c>
      <x:c r="J2048" s="18" t="n">
        <x:f>MIN(Model_Config_v3!$B$6,I2048+Model_Config_v3!$B$7)</x:f>
        <x:v>662</x:v>
      </x:c>
      <x:c r="K2048" s="20" t="n">
        <x:v>48.9</x:v>
      </x:c>
      <x:c r="L2048" t="str">
        <x:v>MENENGAH</x:v>
      </x:c>
      <x:c r="M2048" t="str">
        <x:v>SEDANG</x:v>
      </x:c>
      <x:c r="N2048" t="str">
        <x:v>REGULER</x:v>
      </x:c>
      <x:c r="O2048" t="str">
        <x:v>CAMPURAN</x:v>
      </x:c>
      <x:c r="P2048" t="str">
        <x:v>UMUM</x:v>
      </x:c>
      <x:c r="Q2048" s="18" t="n">
        <x:v>0</x:v>
      </x:c>
      <x:c r="R2048" s="18" t="n">
        <x:v>0</x:v>
      </x:c>
      <x:c r="S2048" s="18" t="n">
        <x:v>605.7952756371596</x:v>
      </x:c>
      <x:c r="T2048" s="18" t="n">
        <x:v>658</x:v>
      </x:c>
      <x:c r="U2048" s="18" t="n">
        <x:v>605.7952756371596</x:v>
      </x:c>
      <x:c r="V2048" s="20" t="n">
        <x:v>8.8</x:v>
      </x:c>
      <x:c r="W2048" s="20" t="n">
        <x:v>9.9</x:v>
      </x:c>
      <x:c r="X2048" s="20" t="n">
        <x:v>3.3</x:v>
      </x:c>
      <x:c r="Y2048" t="str">
        <x:v>Basis arsip 2025/2024</x:v>
      </x:c>
      <x:c r="Z2048" t="str">
        <x:v>https://snpmb.id/utbk-snbt/daya-tampung-snbt</x:v>
      </x:c>
      <x:c r="AA2048" t="str">
        <x:v>Tidak Ada</x:v>
      </x:c>
      <x:c r="AB2048" t="str">
        <x:v>Campus=55; Ratio=45.9; Prodi=40; RelDemand=35.2; Capacity=66.7</x:v>
      </x:c>
    </x:row>
    <x:row r="2049">
      <x:c r="A2049" t="n">
        <x:v>2046</x:v>
      </x:c>
      <x:c r="B2049" t="str">
        <x:v>PTN Akademik</x:v>
      </x:c>
      <x:c r="C2049" t="str">
        <x:v>UNIVERSITAS JEMBER</x:v>
      </x:c>
      <x:c r="D2049" t="str">
        <x:v>TEKNIK KIMIA</x:v>
      </x:c>
      <x:c r="E2049" t="str">
        <x:v>Sarjana</x:v>
      </x:c>
      <x:c r="F2049" s="18" t="n">
        <x:v>28</x:v>
      </x:c>
      <x:c r="G2049" s="18" t="n">
        <x:v>131</x:v>
      </x:c>
      <x:c r="H2049" s="19" t="n">
        <x:v>4.678571428571429</x:v>
      </x:c>
      <x:c r="I2049" s="18" t="n">
        <x:f>ROUND(MIN(Model_Config_v3!$B$6,MAX(Q2049,R2049,S2049*Model_Config_v3!$B$4+T2049*Model_Config_v3!$B$5)),0)</x:f>
        <x:v>642</x:v>
      </x:c>
      <x:c r="J2049" s="18" t="n">
        <x:f>MIN(Model_Config_v3!$B$6,I2049+Model_Config_v3!$B$7)</x:f>
        <x:v>662</x:v>
      </x:c>
      <x:c r="K2049" s="20" t="n">
        <x:v>51.5</x:v>
      </x:c>
      <x:c r="L2049" t="str">
        <x:v>MENENGAH</x:v>
      </x:c>
      <x:c r="M2049" t="str">
        <x:v>SEDANG+</x:v>
      </x:c>
      <x:c r="N2049" t="str">
        <x:v>REGULER</x:v>
      </x:c>
      <x:c r="O2049" t="str">
        <x:v>SAINTEK</x:v>
      </x:c>
      <x:c r="P2049" t="str">
        <x:v>TEKNIK/ARSITEKTUR/STATISTIKA/AKTUARIA</x:v>
      </x:c>
      <x:c r="Q2049" s="18" t="n">
        <x:v>0</x:v>
      </x:c>
      <x:c r="R2049" s="18" t="n">
        <x:v>0</x:v>
      </x:c>
      <x:c r="S2049" s="18" t="n">
        <x:v>593.71245907449</x:v>
      </x:c>
      <x:c r="T2049" s="18" t="n">
        <x:v>663</x:v>
      </x:c>
      <x:c r="U2049" s="18" t="n">
        <x:v>603.71245907449</x:v>
      </x:c>
      <x:c r="V2049" s="20" t="n">
        <x:v>12</x:v>
      </x:c>
      <x:c r="W2049" s="20" t="n">
        <x:v>5</x:v>
      </x:c>
      <x:c r="X2049" s="20" t="n">
        <x:v>3</x:v>
      </x:c>
      <x:c r="Y2049" t="str">
        <x:v>Basis arsip 2025/2024</x:v>
      </x:c>
      <x:c r="Z2049" t="str">
        <x:v>https://snpmb.id/utbk-snbt/daya-tampung-snbt</x:v>
      </x:c>
      <x:c r="AA2049" t="str">
        <x:v>Tidak Ada</x:v>
      </x:c>
      <x:c r="AB2049" t="str">
        <x:v>Campus=55; Ratio=39.4; Prodi=60; RelDemand=27.3; Capacity=76.7</x:v>
      </x:c>
    </x:row>
    <x:row r="2050">
      <x:c r="A2050" t="n">
        <x:v>2047</x:v>
      </x:c>
      <x:c r="B2050" t="str">
        <x:v>PTN Akademik</x:v>
      </x:c>
      <x:c r="C2050" t="str">
        <x:v>UNIVERSITAS JEMBER</x:v>
      </x:c>
      <x:c r="D2050" t="str">
        <x:v>AGRONOMI</x:v>
      </x:c>
      <x:c r="E2050" t="str">
        <x:v>Sarjana</x:v>
      </x:c>
      <x:c r="F2050" s="18" t="n">
        <x:v>44</x:v>
      </x:c>
      <x:c r="G2050" s="18" t="n">
        <x:v>133</x:v>
      </x:c>
      <x:c r="H2050" s="19" t="n">
        <x:v>3.022727272727273</x:v>
      </x:c>
      <x:c r="I2050" s="18" t="n">
        <x:f>ROUND(MIN(Model_Config_v3!$B$6,MAX(Q2050,R2050,S2050*Model_Config_v3!$B$4+T2050*Model_Config_v3!$B$5)),0)</x:f>
        <x:v>623</x:v>
      </x:c>
      <x:c r="J2050" s="18" t="n">
        <x:f>MIN(Model_Config_v3!$B$6,I2050+Model_Config_v3!$B$7)</x:f>
        <x:v>643</x:v>
      </x:c>
      <x:c r="K2050" s="20" t="n">
        <x:v>42.4</x:v>
      </x:c>
      <x:c r="L2050" t="str">
        <x:v>RELATIF LONGGAR</x:v>
      </x:c>
      <x:c r="M2050" t="str">
        <x:v>SEDANG</x:v>
      </x:c>
      <x:c r="N2050" t="str">
        <x:v>REGULER</x:v>
      </x:c>
      <x:c r="O2050" t="str">
        <x:v>CAMPURAN</x:v>
      </x:c>
      <x:c r="P2050" t="str">
        <x:v>UMUM</x:v>
      </x:c>
      <x:c r="Q2050" s="18" t="n">
        <x:v>0</x:v>
      </x:c>
      <x:c r="R2050" s="18" t="n">
        <x:v>0</x:v>
      </x:c>
      <x:c r="S2050" s="18" t="n">
        <x:v>572.8438860928989</x:v>
      </x:c>
      <x:c r="T2050" s="18" t="n">
        <x:v>645</x:v>
      </x:c>
      <x:c r="U2050" s="18" t="n">
        <x:v>572.8438860928989</x:v>
      </x:c>
      <x:c r="V2050" s="20" t="n">
        <x:v>8.8</x:v>
      </x:c>
      <x:c r="W2050" s="20" t="n">
        <x:v>9.9</x:v>
      </x:c>
      <x:c r="X2050" s="20" t="n">
        <x:v>3.3</x:v>
      </x:c>
      <x:c r="Y2050" t="str">
        <x:v>Basis arsip 2025/2024</x:v>
      </x:c>
      <x:c r="Z2050" t="str">
        <x:v>https://snpmb.id/utbk-snbt/daya-tampung-snbt</x:v>
      </x:c>
      <x:c r="AA2050" t="str">
        <x:v>Tidak Ada</x:v>
      </x:c>
      <x:c r="AB2050" t="str">
        <x:v>Campus=55; Ratio=28.3; Prodi=40; RelDemand=17.7; Capacity=63.3</x:v>
      </x:c>
    </x:row>
    <x:row r="2051">
      <x:c r="A2051" t="n">
        <x:v>2048</x:v>
      </x:c>
      <x:c r="B2051" t="str">
        <x:v>PTN Akademik</x:v>
      </x:c>
      <x:c r="C2051" t="str">
        <x:v>UNIVERSITAS JEMBER</x:v>
      </x:c>
      <x:c r="D2051" t="str">
        <x:v>ILMU PERTANIAN</x:v>
      </x:c>
      <x:c r="E2051" t="str">
        <x:v>Sarjana</x:v>
      </x:c>
      <x:c r="F2051" s="18" t="n">
        <x:v>40</x:v>
      </x:c>
      <x:c r="G2051" s="18" t="n">
        <x:v>146</x:v>
      </x:c>
      <x:c r="H2051" s="19" t="n">
        <x:v>3.65</x:v>
      </x:c>
      <x:c r="I2051" s="18" t="n">
        <x:f>ROUND(MIN(Model_Config_v3!$B$6,MAX(Q2051,R2051,S2051*Model_Config_v3!$B$4+T2051*Model_Config_v3!$B$5)),0)</x:f>
        <x:v>629</x:v>
      </x:c>
      <x:c r="J2051" s="18" t="n">
        <x:f>MIN(Model_Config_v3!$B$6,I2051+Model_Config_v3!$B$7)</x:f>
        <x:v>649</x:v>
      </x:c>
      <x:c r="K2051" s="20" t="n">
        <x:v>44.3</x:v>
      </x:c>
      <x:c r="L2051" t="str">
        <x:v>RELATIF LONGGAR</x:v>
      </x:c>
      <x:c r="M2051" t="str">
        <x:v>SEDANG</x:v>
      </x:c>
      <x:c r="N2051" t="str">
        <x:v>REGULER</x:v>
      </x:c>
      <x:c r="O2051" t="str">
        <x:v>SAINTEK</x:v>
      </x:c>
      <x:c r="P2051" t="str">
        <x:v>UMUM</x:v>
      </x:c>
      <x:c r="Q2051" s="18" t="n">
        <x:v>0</x:v>
      </x:c>
      <x:c r="R2051" s="18" t="n">
        <x:v>0</x:v>
      </x:c>
      <x:c r="S2051" s="18" t="n">
        <x:v>581.8522150902122</x:v>
      </x:c>
      <x:c r="T2051" s="18" t="n">
        <x:v>649</x:v>
      </x:c>
      <x:c r="U2051" s="18" t="n">
        <x:v>581.8522150902122</x:v>
      </x:c>
      <x:c r="V2051" s="20" t="n">
        <x:v>12</x:v>
      </x:c>
      <x:c r="W2051" s="20" t="n">
        <x:v>5</x:v>
      </x:c>
      <x:c r="X2051" s="20" t="n">
        <x:v>3</x:v>
      </x:c>
      <x:c r="Y2051" t="str">
        <x:v>Basis arsip 2025/2024</x:v>
      </x:c>
      <x:c r="Z2051" t="str">
        <x:v>https://snpmb.id/utbk-snbt/daya-tampung-snbt</x:v>
      </x:c>
      <x:c r="AA2051" t="str">
        <x:v>Tidak Ada</x:v>
      </x:c>
      <x:c r="AB2051" t="str">
        <x:v>Campus=55; Ratio=33.1; Prodi=40; RelDemand=21.3; Capacity=66.7</x:v>
      </x:c>
    </x:row>
    <x:row r="2052">
      <x:c r="A2052" t="n">
        <x:v>2049</x:v>
      </x:c>
      <x:c r="B2052" t="str">
        <x:v>PTN Akademik</x:v>
      </x:c>
      <x:c r="C2052" t="str">
        <x:v>UNIVERSITAS JEMBER</x:v>
      </x:c>
      <x:c r="D2052" t="str">
        <x:v>INFORMATIKA</x:v>
      </x:c>
      <x:c r="E2052" t="str">
        <x:v>Sarjana</x:v>
      </x:c>
      <x:c r="F2052" s="18" t="n">
        <x:v>48</x:v>
      </x:c>
      <x:c r="G2052" s="18" t="n">
        <x:v>594</x:v>
      </x:c>
      <x:c r="H2052" s="19" t="n">
        <x:v>12.375</x:v>
      </x:c>
      <x:c r="I2052" s="18" t="n">
        <x:f>ROUND(MIN(Model_Config_v3!$B$6,MAX(Q2052,R2052,S2052*Model_Config_v3!$B$4+T2052*Model_Config_v3!$B$5)),0)</x:f>
        <x:v>676</x:v>
      </x:c>
      <x:c r="J2052" s="18" t="n">
        <x:f>MIN(Model_Config_v3!$B$6,I2052+Model_Config_v3!$B$7)</x:f>
        <x:v>696</x:v>
      </x:c>
      <x:c r="K2052" s="20" t="n">
        <x:v>65.6</x:v>
      </x:c>
      <x:c r="L2052" t="str">
        <x:v>SANGAT KETAT</x:v>
      </x:c>
      <x:c r="M2052" t="str">
        <x:v>SEDANG+</x:v>
      </x:c>
      <x:c r="N2052" t="str">
        <x:v>REGULER</x:v>
      </x:c>
      <x:c r="O2052" t="str">
        <x:v>SAINTEK</x:v>
      </x:c>
      <x:c r="P2052" t="str">
        <x:v>KOMPUTER/INFORMATIKA</x:v>
      </x:c>
      <x:c r="Q2052" s="18" t="n">
        <x:v>0</x:v>
      </x:c>
      <x:c r="R2052" s="18" t="n">
        <x:v>0</x:v>
      </x:c>
      <x:c r="S2052" s="18" t="n">
        <x:v>640.1799728366167</x:v>
      </x:c>
      <x:c r="T2052" s="18" t="n">
        <x:v>691</x:v>
      </x:c>
      <x:c r="U2052" s="18" t="n">
        <x:v>665.1799728366167</x:v>
      </x:c>
      <x:c r="V2052" s="20" t="n">
        <x:v>12</x:v>
      </x:c>
      <x:c r="W2052" s="20" t="n">
        <x:v>5</x:v>
      </x:c>
      <x:c r="X2052" s="20" t="n">
        <x:v>3</x:v>
      </x:c>
      <x:c r="Y2052" t="str">
        <x:v>Basis arsip 2025/2024</x:v>
      </x:c>
      <x:c r="Z2052" t="str">
        <x:v>https://snpmb.id/utbk-snbt/daya-tampung-snbt</x:v>
      </x:c>
      <x:c r="AA2052" t="str">
        <x:v>Tidak Ada</x:v>
      </x:c>
      <x:c r="AB2052" t="str">
        <x:v>Campus=55; Ratio=64.3; Prodi=85; RelDemand=72.3; Capacity=60.0</x:v>
      </x:c>
    </x:row>
    <x:row r="2053">
      <x:c r="A2053" t="n">
        <x:v>2050</x:v>
      </x:c>
      <x:c r="B2053" t="str">
        <x:v>PTN Akademik</x:v>
      </x:c>
      <x:c r="C2053" t="str">
        <x:v>UNIVERSITAS JEMBER</x:v>
      </x:c>
      <x:c r="D2053" t="str">
        <x:v>PENYULUHAN PERTANIAN</x:v>
      </x:c>
      <x:c r="E2053" t="str">
        <x:v>Sarjana</x:v>
      </x:c>
      <x:c r="F2053" s="18" t="n">
        <x:v>32</x:v>
      </x:c>
      <x:c r="G2053" s="18" t="n">
        <x:v>111</x:v>
      </x:c>
      <x:c r="H2053" s="19" t="n">
        <x:v>3.46875</x:v>
      </x:c>
      <x:c r="I2053" s="18" t="n">
        <x:f>ROUND(MIN(Model_Config_v3!$B$6,MAX(Q2053,R2053,S2053*Model_Config_v3!$B$4+T2053*Model_Config_v3!$B$5)),0)</x:f>
        <x:v>628</x:v>
      </x:c>
      <x:c r="J2053" s="18" t="n">
        <x:f>MIN(Model_Config_v3!$B$6,I2053+Model_Config_v3!$B$7)</x:f>
        <x:v>648</x:v>
      </x:c>
      <x:c r="K2053" s="20" t="n">
        <x:v>44.6</x:v>
      </x:c>
      <x:c r="L2053" t="str">
        <x:v>RELATIF LONGGAR</x:v>
      </x:c>
      <x:c r="M2053" t="str">
        <x:v>SEDANG</x:v>
      </x:c>
      <x:c r="N2053" t="str">
        <x:v>REGULER</x:v>
      </x:c>
      <x:c r="O2053" t="str">
        <x:v>SAINTEK</x:v>
      </x:c>
      <x:c r="P2053" t="str">
        <x:v>UMUM</x:v>
      </x:c>
      <x:c r="Q2053" s="18" t="n">
        <x:v>0</x:v>
      </x:c>
      <x:c r="R2053" s="18" t="n">
        <x:v>0</x:v>
      </x:c>
      <x:c r="S2053" s="18" t="n">
        <x:v>579.4190300513427</x:v>
      </x:c>
      <x:c r="T2053" s="18" t="n">
        <x:v>649</x:v>
      </x:c>
      <x:c r="U2053" s="18" t="n">
        <x:v>579.4190300513427</x:v>
      </x:c>
      <x:c r="V2053" s="20" t="n">
        <x:v>12</x:v>
      </x:c>
      <x:c r="W2053" s="20" t="n">
        <x:v>5</x:v>
      </x:c>
      <x:c r="X2053" s="20" t="n">
        <x:v>3</x:v>
      </x:c>
      <x:c r="Y2053" t="str">
        <x:v>Basis arsip 2025/2024</x:v>
      </x:c>
      <x:c r="Z2053" t="str">
        <x:v>https://snpmb.id/utbk-snbt/daya-tampung-snbt</x:v>
      </x:c>
      <x:c r="AA2053" t="str">
        <x:v>Tidak Ada</x:v>
      </x:c>
      <x:c r="AB2053" t="str">
        <x:v>Campus=55; Ratio=31.8; Prodi=40; RelDemand=20.3; Capacity=73.3</x:v>
      </x:c>
    </x:row>
    <x:row r="2054">
      <x:c r="A2054" t="n">
        <x:v>2051</x:v>
      </x:c>
      <x:c r="B2054" t="str">
        <x:v>PTN Akademik</x:v>
      </x:c>
      <x:c r="C2054" t="str">
        <x:v>UNIVERSITAS JEMBER</x:v>
      </x:c>
      <x:c r="D2054" t="str">
        <x:v>TEKNIK LINGKUNGAN</x:v>
      </x:c>
      <x:c r="E2054" t="str">
        <x:v>Sarjana</x:v>
      </x:c>
      <x:c r="F2054" s="18" t="n">
        <x:v>28</x:v>
      </x:c>
      <x:c r="G2054" s="18" t="n">
        <x:v>218</x:v>
      </x:c>
      <x:c r="H2054" s="19" t="n">
        <x:v>7.785714285714286</x:v>
      </x:c>
      <x:c r="I2054" s="18" t="n">
        <x:f>ROUND(MIN(Model_Config_v3!$B$6,MAX(Q2054,R2054,S2054*Model_Config_v3!$B$4+T2054*Model_Config_v3!$B$5)),0)</x:f>
        <x:v>657</x:v>
      </x:c>
      <x:c r="J2054" s="18" t="n">
        <x:f>MIN(Model_Config_v3!$B$6,I2054+Model_Config_v3!$B$7)</x:f>
        <x:v>677</x:v>
      </x:c>
      <x:c r="K2054" s="20" t="n">
        <x:v>56.6</x:v>
      </x:c>
      <x:c r="L2054" t="str">
        <x:v>KETAT</x:v>
      </x:c>
      <x:c r="M2054" t="str">
        <x:v>SEDANG+</x:v>
      </x:c>
      <x:c r="N2054" t="str">
        <x:v>REGULER</x:v>
      </x:c>
      <x:c r="O2054" t="str">
        <x:v>SAINTEK</x:v>
      </x:c>
      <x:c r="P2054" t="str">
        <x:v>TEKNIK/ARSITEKTUR/STATISTIKA/AKTUARIA</x:v>
      </x:c>
      <x:c r="Q2054" s="18" t="n">
        <x:v>0</x:v>
      </x:c>
      <x:c r="R2054" s="18" t="n">
        <x:v>0</x:v>
      </x:c>
      <x:c r="S2054" s="18" t="n">
        <x:v>618.0428308488624</x:v>
      </x:c>
      <x:c r="T2054" s="18" t="n">
        <x:v>673</x:v>
      </x:c>
      <x:c r="U2054" s="18" t="n">
        <x:v>628.0428308488624</x:v>
      </x:c>
      <x:c r="V2054" s="20" t="n">
        <x:v>12</x:v>
      </x:c>
      <x:c r="W2054" s="20" t="n">
        <x:v>5</x:v>
      </x:c>
      <x:c r="X2054" s="20" t="n">
        <x:v>3</x:v>
      </x:c>
      <x:c r="Y2054" t="str">
        <x:v>Basis arsip 2025/2024</x:v>
      </x:c>
      <x:c r="Z2054" t="str">
        <x:v>https://snpmb.id/utbk-snbt/daya-tampung-snbt</x:v>
      </x:c>
      <x:c r="AA2054" t="str">
        <x:v>Tidak Ada</x:v>
      </x:c>
      <x:c r="AB2054" t="str">
        <x:v>Campus=55; Ratio=52.5; Prodi=60; RelDemand=45.5; Capacity=76.7</x:v>
      </x:c>
    </x:row>
    <x:row r="2055">
      <x:c r="A2055" t="n">
        <x:v>2052</x:v>
      </x:c>
      <x:c r="B2055" t="str">
        <x:v>PTN Akademik</x:v>
      </x:c>
      <x:c r="C2055" t="str">
        <x:v>UNIVERSITAS JEMBER</x:v>
      </x:c>
      <x:c r="D2055" t="str">
        <x:v>TEKNIK KONSTRUKSI PERKAPALAN</x:v>
      </x:c>
      <x:c r="E2055" t="str">
        <x:v>Sarjana</x:v>
      </x:c>
      <x:c r="F2055" s="18" t="n">
        <x:v>24</x:v>
      </x:c>
      <x:c r="G2055" s="18" t="n">
        <x:v>121</x:v>
      </x:c>
      <x:c r="H2055" s="19" t="n">
        <x:v>5.041666666666667</x:v>
      </x:c>
      <x:c r="I2055" s="18" t="n">
        <x:f>ROUND(MIN(Model_Config_v3!$B$6,MAX(Q2055,R2055,S2055*Model_Config_v3!$B$4+T2055*Model_Config_v3!$B$5)),0)</x:f>
        <x:v>645</x:v>
      </x:c>
      <x:c r="J2055" s="18" t="n">
        <x:f>MIN(Model_Config_v3!$B$6,I2055+Model_Config_v3!$B$7)</x:f>
        <x:v>665</x:v>
      </x:c>
      <x:c r="K2055" s="20" t="n">
        <x:v>52.5</x:v>
      </x:c>
      <x:c r="L2055" t="str">
        <x:v>MENENGAH</x:v>
      </x:c>
      <x:c r="M2055" t="str">
        <x:v>SEDANG+</x:v>
      </x:c>
      <x:c r="N2055" t="str">
        <x:v>REGULER</x:v>
      </x:c>
      <x:c r="O2055" t="str">
        <x:v>SAINTEK</x:v>
      </x:c>
      <x:c r="P2055" t="str">
        <x:v>TEKNIK/ARSITEKTUR/STATISTIKA/AKTUARIA</x:v>
      </x:c>
      <x:c r="Q2055" s="18" t="n">
        <x:v>0</x:v>
      </x:c>
      <x:c r="R2055" s="18" t="n">
        <x:v>0</x:v>
      </x:c>
      <x:c r="S2055" s="18" t="n">
        <x:v>597.2831541465329</x:v>
      </x:c>
      <x:c r="T2055" s="18" t="n">
        <x:v>665</x:v>
      </x:c>
      <x:c r="U2055" s="18" t="n">
        <x:v>607.2831541465329</x:v>
      </x:c>
      <x:c r="V2055" s="20" t="n">
        <x:v>12</x:v>
      </x:c>
      <x:c r="W2055" s="20" t="n">
        <x:v>5</x:v>
      </x:c>
      <x:c r="X2055" s="20" t="n">
        <x:v>3</x:v>
      </x:c>
      <x:c r="Y2055" t="str">
        <x:v>Basis arsip 2025/2024</x:v>
      </x:c>
      <x:c r="Z2055" t="str">
        <x:v>https://snpmb.id/utbk-snbt/daya-tampung-snbt</x:v>
      </x:c>
      <x:c r="AA2055" t="str">
        <x:v>Tidak Ada</x:v>
      </x:c>
      <x:c r="AB2055" t="str">
        <x:v>Campus=55; Ratio=41.4; Prodi=60; RelDemand=29.5; Capacity=80.0</x:v>
      </x:c>
    </x:row>
    <x:row r="2056">
      <x:c r="A2056" t="n">
        <x:v>2053</x:v>
      </x:c>
      <x:c r="B2056" t="str">
        <x:v>PTN Akademik</x:v>
      </x:c>
      <x:c r="C2056" t="str">
        <x:v>UNIVERSITAS JEMBER</x:v>
      </x:c>
      <x:c r="D2056" t="str">
        <x:v>PETERNAKAN</x:v>
      </x:c>
      <x:c r="E2056" t="str">
        <x:v>Sarjana</x:v>
      </x:c>
      <x:c r="F2056" s="18" t="n">
        <x:v>40</x:v>
      </x:c>
      <x:c r="G2056" s="18" t="n">
        <x:v>157</x:v>
      </x:c>
      <x:c r="H2056" s="19" t="n">
        <x:v>3.925</x:v>
      </x:c>
      <x:c r="I2056" s="18" t="n">
        <x:f>ROUND(MIN(Model_Config_v3!$B$6,MAX(Q2056,R2056,S2056*Model_Config_v3!$B$4+T2056*Model_Config_v3!$B$5)),0)</x:f>
        <x:v>631</x:v>
      </x:c>
      <x:c r="J2056" s="18" t="n">
        <x:f>MIN(Model_Config_v3!$B$6,I2056+Model_Config_v3!$B$7)</x:f>
        <x:v>651</x:v>
      </x:c>
      <x:c r="K2056" s="20" t="n">
        <x:v>44.9</x:v>
      </x:c>
      <x:c r="L2056" t="str">
        <x:v>RELATIF LONGGAR</x:v>
      </x:c>
      <x:c r="M2056" t="str">
        <x:v>SEDANG</x:v>
      </x:c>
      <x:c r="N2056" t="str">
        <x:v>REGULER</x:v>
      </x:c>
      <x:c r="O2056" t="str">
        <x:v>SAINTEK</x:v>
      </x:c>
      <x:c r="P2056" t="str">
        <x:v>UMUM</x:v>
      </x:c>
      <x:c r="Q2056" s="18" t="n">
        <x:v>0</x:v>
      </x:c>
      <x:c r="R2056" s="18" t="n">
        <x:v>0</x:v>
      </x:c>
      <x:c r="S2056" s="18" t="n">
        <x:v>585.3223627189399</x:v>
      </x:c>
      <x:c r="T2056" s="18" t="n">
        <x:v>650</x:v>
      </x:c>
      <x:c r="U2056" s="18" t="n">
        <x:v>585.3223627189399</x:v>
      </x:c>
      <x:c r="V2056" s="20" t="n">
        <x:v>12</x:v>
      </x:c>
      <x:c r="W2056" s="20" t="n">
        <x:v>5</x:v>
      </x:c>
      <x:c r="X2056" s="20" t="n">
        <x:v>3</x:v>
      </x:c>
      <x:c r="Y2056" t="str">
        <x:v>Basis arsip 2025/2024</x:v>
      </x:c>
      <x:c r="Z2056" t="str">
        <x:v>https://snpmb.id/utbk-snbt/daya-tampung-snbt</x:v>
      </x:c>
      <x:c r="AA2056" t="str">
        <x:v>Tidak Ada</x:v>
      </x:c>
      <x:c r="AB2056" t="str">
        <x:v>Campus=55; Ratio=35.0; Prodi=40; RelDemand=22.9; Capacity=66.7</x:v>
      </x:c>
    </x:row>
    <x:row r="2057">
      <x:c r="A2057" t="n">
        <x:v>2054</x:v>
      </x:c>
      <x:c r="B2057" t="str">
        <x:v>PTN Akademik</x:v>
      </x:c>
      <x:c r="C2057" t="str">
        <x:v>UNIVERSITAS JEMBER</x:v>
      </x:c>
      <x:c r="D2057" t="str">
        <x:v>GIZI</x:v>
      </x:c>
      <x:c r="E2057" t="str">
        <x:v>Sarjana</x:v>
      </x:c>
      <x:c r="F2057" s="18" t="n">
        <x:v>36</x:v>
      </x:c>
      <x:c r="G2057" s="18" t="n">
        <x:v>549</x:v>
      </x:c>
      <x:c r="H2057" s="19" t="n">
        <x:v>15.25</x:v>
      </x:c>
      <x:c r="I2057" s="18" t="n">
        <x:f>ROUND(MIN(Model_Config_v3!$B$6,MAX(Q2057,R2057,S2057*Model_Config_v3!$B$4+T2057*Model_Config_v3!$B$5)),0)</x:f>
        <x:v>676</x:v>
      </x:c>
      <x:c r="J2057" s="18" t="n">
        <x:f>MIN(Model_Config_v3!$B$6,I2057+Model_Config_v3!$B$7)</x:f>
        <x:v>696</x:v>
      </x:c>
      <x:c r="K2057" s="20" t="n">
        <x:v>63.6</x:v>
      </x:c>
      <x:c r="L2057" t="str">
        <x:v>KETAT</x:v>
      </x:c>
      <x:c r="M2057" t="str">
        <x:v>SEDANG+</x:v>
      </x:c>
      <x:c r="N2057" t="str">
        <x:v>REGULER</x:v>
      </x:c>
      <x:c r="O2057" t="str">
        <x:v>SAINTEK</x:v>
      </x:c>
      <x:c r="P2057" t="str">
        <x:v>KESEHAT/GIZI/KEPERAWATAN</x:v>
      </x:c>
      <x:c r="Q2057" s="18" t="n">
        <x:v>0</x:v>
      </x:c>
      <x:c r="R2057" s="18" t="n">
        <x:v>0</x:v>
      </x:c>
      <x:c r="S2057" s="18" t="n">
        <x:v>650.1596828051084</x:v>
      </x:c>
      <x:c r="T2057" s="18" t="n">
        <x:v>687</x:v>
      </x:c>
      <x:c r="U2057" s="18" t="n">
        <x:v>650.1596828051084</x:v>
      </x:c>
      <x:c r="V2057" s="20" t="n">
        <x:v>12</x:v>
      </x:c>
      <x:c r="W2057" s="20" t="n">
        <x:v>5</x:v>
      </x:c>
      <x:c r="X2057" s="20" t="n">
        <x:v>3</x:v>
      </x:c>
      <x:c r="Y2057" t="str">
        <x:v>Basis arsip 2025/2024</x:v>
      </x:c>
      <x:c r="Z2057" t="str">
        <x:v>https://snpmb.id/utbk-snbt/daya-tampung-snbt</x:v>
      </x:c>
      <x:c r="AA2057" t="str">
        <x:v>Tidak Ada</x:v>
      </x:c>
      <x:c r="AB2057" t="str">
        <x:v>Campus=55; Ratio=69.6; Prodi=55; RelDemand=89.1; Capacity=70.0</x:v>
      </x:c>
    </x:row>
    <x:row r="2058">
      <x:c r="A2058" t="n">
        <x:v>2055</x:v>
      </x:c>
      <x:c r="B2058" t="str">
        <x:v>PTN Akademik</x:v>
      </x:c>
      <x:c r="C2058" t="str">
        <x:v>UNIVERSITAS JEMBER</x:v>
      </x:c>
      <x:c r="D2058" t="str">
        <x:v>TEKNIK PERTAMBANGAN</x:v>
      </x:c>
      <x:c r="E2058" t="str">
        <x:v>Sarjana</x:v>
      </x:c>
      <x:c r="F2058" s="18" t="n">
        <x:v>28</x:v>
      </x:c>
      <x:c r="G2058" s="18" t="n">
        <x:v>517</x:v>
      </x:c>
      <x:c r="H2058" s="19" t="n">
        <x:v>18.464285714285715</x:v>
      </x:c>
      <x:c r="I2058" s="18" t="n">
        <x:f>ROUND(MIN(Model_Config_v3!$B$6,MAX(Q2058,R2058,S2058*Model_Config_v3!$B$4+T2058*Model_Config_v3!$B$5)),0)</x:f>
        <x:v>684</x:v>
      </x:c>
      <x:c r="J2058" s="18" t="n">
        <x:f>MIN(Model_Config_v3!$B$6,I2058+Model_Config_v3!$B$7)</x:f>
        <x:v>704</x:v>
      </x:c>
      <x:c r="K2058" s="20" t="n">
        <x:v>67.6</x:v>
      </x:c>
      <x:c r="L2058" t="str">
        <x:v>SANGAT KETAT</x:v>
      </x:c>
      <x:c r="M2058" t="str">
        <x:v>SEDANG+</x:v>
      </x:c>
      <x:c r="N2058" t="str">
        <x:v>REGULER</x:v>
      </x:c>
      <x:c r="O2058" t="str">
        <x:v>SAINTEK</x:v>
      </x:c>
      <x:c r="P2058" t="str">
        <x:v>TEKNIK/ARSITEKTUR/STATISTIKA/AKTUARIA</x:v>
      </x:c>
      <x:c r="Q2058" s="18" t="n">
        <x:v>0</x:v>
      </x:c>
      <x:c r="R2058" s="18" t="n">
        <x:v>0</x:v>
      </x:c>
      <x:c r="S2058" s="18" t="n">
        <x:v>659.2965762926896</x:v>
      </x:c>
      <x:c r="T2058" s="18" t="n">
        <x:v>695</x:v>
      </x:c>
      <x:c r="U2058" s="18" t="n">
        <x:v>669.2965762926896</x:v>
      </x:c>
      <x:c r="V2058" s="20" t="n">
        <x:v>12</x:v>
      </x:c>
      <x:c r="W2058" s="20" t="n">
        <x:v>5</x:v>
      </x:c>
      <x:c r="X2058" s="20" t="n">
        <x:v>3</x:v>
      </x:c>
      <x:c r="Y2058" t="str">
        <x:v>Basis arsip 2025/2024</x:v>
      </x:c>
      <x:c r="Z2058" t="str">
        <x:v>https://snpmb.id/utbk-snbt/daya-tampung-snbt</x:v>
      </x:c>
      <x:c r="AA2058" t="str">
        <x:v>Tidak Ada</x:v>
      </x:c>
      <x:c r="AB2058" t="str">
        <x:v>Campus=55; Ratio=74.5; Prodi=60; RelDemand=100.0; Capacity=76.7</x:v>
      </x:c>
    </x:row>
    <x:row r="2059">
      <x:c r="A2059" t="n">
        <x:v>2056</x:v>
      </x:c>
      <x:c r="B2059" t="str">
        <x:v>PTN Akademik</x:v>
      </x:c>
      <x:c r="C2059" t="str">
        <x:v>UNIVERSITAS JEMBER</x:v>
      </x:c>
      <x:c r="D2059" t="str">
        <x:v>TEKNIK PERMINYAKAN</x:v>
      </x:c>
      <x:c r="E2059" t="str">
        <x:v>Sarjana</x:v>
      </x:c>
      <x:c r="F2059" s="18" t="n">
        <x:v>20</x:v>
      </x:c>
      <x:c r="G2059" s="18" t="n">
        <x:v>286</x:v>
      </x:c>
      <x:c r="H2059" s="19" t="n">
        <x:v>14.3</x:v>
      </x:c>
      <x:c r="I2059" s="18" t="n">
        <x:f>ROUND(MIN(Model_Config_v3!$B$6,MAX(Q2059,R2059,S2059*Model_Config_v3!$B$4+T2059*Model_Config_v3!$B$5)),0)</x:f>
        <x:v>677</x:v>
      </x:c>
      <x:c r="J2059" s="18" t="n">
        <x:f>MIN(Model_Config_v3!$B$6,I2059+Model_Config_v3!$B$7)</x:f>
        <x:v>697</x:v>
      </x:c>
      <x:c r="K2059" s="20" t="n">
        <x:v>64.9</x:v>
      </x:c>
      <x:c r="L2059" t="str">
        <x:v>KETAT</x:v>
      </x:c>
      <x:c r="M2059" t="str">
        <x:v>SEDANG+</x:v>
      </x:c>
      <x:c r="N2059" t="str">
        <x:v>REGULER</x:v>
      </x:c>
      <x:c r="O2059" t="str">
        <x:v>SAINTEK</x:v>
      </x:c>
      <x:c r="P2059" t="str">
        <x:v>TEKNIK/ARSITEKTUR/STATISTIKA/AKTUARIA</x:v>
      </x:c>
      <x:c r="Q2059" s="18" t="n">
        <x:v>0</x:v>
      </x:c>
      <x:c r="R2059" s="18" t="n">
        <x:v>0</x:v>
      </x:c>
      <x:c r="S2059" s="18" t="n">
        <x:v>647.0869641211568</x:v>
      </x:c>
      <x:c r="T2059" s="18" t="n">
        <x:v>690</x:v>
      </x:c>
      <x:c r="U2059" s="18" t="n">
        <x:v>657.0869641211568</x:v>
      </x:c>
      <x:c r="V2059" s="20" t="n">
        <x:v>12</x:v>
      </x:c>
      <x:c r="W2059" s="20" t="n">
        <x:v>5</x:v>
      </x:c>
      <x:c r="X2059" s="20" t="n">
        <x:v>3</x:v>
      </x:c>
      <x:c r="Y2059" t="str">
        <x:v>Basis arsip 2025/2024</x:v>
      </x:c>
      <x:c r="Z2059" t="str">
        <x:v>https://snpmb.id/utbk-snbt/daya-tampung-snbt</x:v>
      </x:c>
      <x:c r="AA2059" t="str">
        <x:v>Tidak Ada</x:v>
      </x:c>
      <x:c r="AB2059" t="str">
        <x:v>Campus=55; Ratio=68.0; Prodi=60; RelDemand=83.6; Capacity=83.3</x:v>
      </x:c>
    </x:row>
    <x:row r="2060">
      <x:c r="A2060" t="n">
        <x:v>2057</x:v>
      </x:c>
      <x:c r="B2060" t="str">
        <x:v>PTN Akademik</x:v>
      </x:c>
      <x:c r="C2060" t="str">
        <x:v>UNIVERSITAS JEMBER</x:v>
      </x:c>
      <x:c r="D2060" t="str">
        <x:v>ILMU HUKUM</x:v>
      </x:c>
      <x:c r="E2060" t="str">
        <x:v>Sarjana</x:v>
      </x:c>
      <x:c r="F2060" s="18" t="n">
        <x:v>180</x:v>
      </x:c>
      <x:c r="G2060" s="18" t="n">
        <x:v>1189</x:v>
      </x:c>
      <x:c r="H2060" s="19" t="n">
        <x:v>6.605555555555555</x:v>
      </x:c>
      <x:c r="I2060" s="18" t="n">
        <x:f>ROUND(MIN(Model_Config_v3!$B$6,MAX(Q2060,R2060,S2060*Model_Config_v3!$B$4+T2060*Model_Config_v3!$B$5)),0)</x:f>
        <x:v>642</x:v>
      </x:c>
      <x:c r="J2060" s="18" t="n">
        <x:f>MIN(Model_Config_v3!$B$6,I2060+Model_Config_v3!$B$7)</x:f>
        <x:v>662</x:v>
      </x:c>
      <x:c r="K2060" s="20" t="n">
        <x:v>48.2</x:v>
      </x:c>
      <x:c r="L2060" t="str">
        <x:v>MENENGAH</x:v>
      </x:c>
      <x:c r="M2060" t="str">
        <x:v>SEDANG+</x:v>
      </x:c>
      <x:c r="N2060" t="str">
        <x:v>REGULER</x:v>
      </x:c>
      <x:c r="O2060" t="str">
        <x:v>SOSHUM</x:v>
      </x:c>
      <x:c r="P2060" t="str">
        <x:v>HUKUM</x:v>
      </x:c>
      <x:c r="Q2060" s="18" t="n">
        <x:v>0</x:v>
      </x:c>
      <x:c r="R2060" s="18" t="n">
        <x:v>0</x:v>
      </x:c>
      <x:c r="S2060" s="18" t="n">
        <x:v>610.1900284466924</x:v>
      </x:c>
      <x:c r="T2060" s="18" t="n">
        <x:v>656</x:v>
      </x:c>
      <x:c r="U2060" s="18" t="n">
        <x:v>625.1900284466924</x:v>
      </x:c>
      <x:c r="V2060" s="20" t="n">
        <x:v>4.4</x:v>
      </x:c>
      <x:c r="W2060" s="20" t="n">
        <x:v>14.3</x:v>
      </x:c>
      <x:c r="X2060" s="20" t="n">
        <x:v>3.3</x:v>
      </x:c>
      <x:c r="Y2060" t="str">
        <x:v>Basis arsip 2025/2024</x:v>
      </x:c>
      <x:c r="Z2060" t="str">
        <x:v>https://snpmb.id/utbk-snbt/daya-tampung-snbt</x:v>
      </x:c>
      <x:c r="AA2060" t="str">
        <x:v>Tidak Ada</x:v>
      </x:c>
      <x:c r="AB2060" t="str">
        <x:v>Campus=55; Ratio=48.3; Prodi=65; RelDemand=38.6; Capacity=0.0</x:v>
      </x:c>
    </x:row>
    <x:row r="2061">
      <x:c r="A2061" t="n">
        <x:v>2058</x:v>
      </x:c>
      <x:c r="B2061" t="str">
        <x:v>PTN Akademik</x:v>
      </x:c>
      <x:c r="C2061" t="str">
        <x:v>UNIVERSITAS JEMBER</x:v>
      </x:c>
      <x:c r="D2061" t="str">
        <x:v>HUBUNGAN INTERNASIONAL</x:v>
      </x:c>
      <x:c r="E2061" t="str">
        <x:v>Sarjana</x:v>
      </x:c>
      <x:c r="F2061" s="18" t="n">
        <x:v>64</x:v>
      </x:c>
      <x:c r="G2061" s="18" t="n">
        <x:v>479</x:v>
      </x:c>
      <x:c r="H2061" s="19" t="n">
        <x:v>7.484375</x:v>
      </x:c>
      <x:c r="I2061" s="18" t="n">
        <x:f>ROUND(MIN(Model_Config_v3!$B$6,MAX(Q2061,R2061,S2061*Model_Config_v3!$B$4+T2061*Model_Config_v3!$B$5)),0)</x:f>
        <x:v>645</x:v>
      </x:c>
      <x:c r="J2061" s="18" t="n">
        <x:f>MIN(Model_Config_v3!$B$6,I2061+Model_Config_v3!$B$7)</x:f>
        <x:v>665</x:v>
      </x:c>
      <x:c r="K2061" s="20" t="n">
        <x:v>49.2</x:v>
      </x:c>
      <x:c r="L2061" t="str">
        <x:v>MENENGAH</x:v>
      </x:c>
      <x:c r="M2061" t="str">
        <x:v>SEDANG</x:v>
      </x:c>
      <x:c r="N2061" t="str">
        <x:v>REGULER</x:v>
      </x:c>
      <x:c r="O2061" t="str">
        <x:v>SOSHUM</x:v>
      </x:c>
      <x:c r="P2061" t="str">
        <x:v>UMUM</x:v>
      </x:c>
      <x:c r="Q2061" s="18" t="n">
        <x:v>0</x:v>
      </x:c>
      <x:c r="R2061" s="18" t="n">
        <x:v>0</x:v>
      </x:c>
      <x:c r="S2061" s="18" t="n">
        <x:v>616.1571093373743</x:v>
      </x:c>
      <x:c r="T2061" s="18" t="n">
        <x:v>658</x:v>
      </x:c>
      <x:c r="U2061" s="18" t="n">
        <x:v>616.1571093373743</x:v>
      </x:c>
      <x:c r="V2061" s="20" t="n">
        <x:v>4.4</x:v>
      </x:c>
      <x:c r="W2061" s="20" t="n">
        <x:v>14.3</x:v>
      </x:c>
      <x:c r="X2061" s="20" t="n">
        <x:v>3.3</x:v>
      </x:c>
      <x:c r="Y2061" t="str">
        <x:v>Basis arsip 2025/2024</x:v>
      </x:c>
      <x:c r="Z2061" t="str">
        <x:v>https://snpmb.id/utbk-snbt/daya-tampung-snbt</x:v>
      </x:c>
      <x:c r="AA2061" t="str">
        <x:v>Tidak Ada</x:v>
      </x:c>
      <x:c r="AB2061" t="str">
        <x:v>Campus=55; Ratio=51.5; Prodi=40; RelDemand=43.7; Capacity=46.7</x:v>
      </x:c>
    </x:row>
    <x:row r="2062">
      <x:c r="A2062" t="n">
        <x:v>2059</x:v>
      </x:c>
      <x:c r="B2062" t="str">
        <x:v>PTN Akademik</x:v>
      </x:c>
      <x:c r="C2062" t="str">
        <x:v>UNIVERSITAS JEMBER</x:v>
      </x:c>
      <x:c r="D2062" t="str">
        <x:v>ILMU ADMINISTRASI NEGARA</x:v>
      </x:c>
      <x:c r="E2062" t="str">
        <x:v>Sarjana</x:v>
      </x:c>
      <x:c r="F2062" s="18" t="n">
        <x:v>64</x:v>
      </x:c>
      <x:c r="G2062" s="18" t="n">
        <x:v>597</x:v>
      </x:c>
      <x:c r="H2062" s="19" t="n">
        <x:v>9.328125</x:v>
      </x:c>
      <x:c r="I2062" s="18" t="n">
        <x:f>ROUND(MIN(Model_Config_v3!$B$6,MAX(Q2062,R2062,S2062*Model_Config_v3!$B$4+T2062*Model_Config_v3!$B$5)),0)</x:f>
        <x:v>652</x:v>
      </x:c>
      <x:c r="J2062" s="18" t="n">
        <x:f>MIN(Model_Config_v3!$B$6,I2062+Model_Config_v3!$B$7)</x:f>
        <x:v>672</x:v>
      </x:c>
      <x:c r="K2062" s="20" t="n">
        <x:v>51.6</x:v>
      </x:c>
      <x:c r="L2062" t="str">
        <x:v>MENENGAH</x:v>
      </x:c>
      <x:c r="M2062" t="str">
        <x:v>SEDANG</x:v>
      </x:c>
      <x:c r="N2062" t="str">
        <x:v>REGULER</x:v>
      </x:c>
      <x:c r="O2062" t="str">
        <x:v>SOSHUM</x:v>
      </x:c>
      <x:c r="P2062" t="str">
        <x:v>UMUM</x:v>
      </x:c>
      <x:c r="Q2062" s="18" t="n">
        <x:v>0</x:v>
      </x:c>
      <x:c r="R2062" s="18" t="n">
        <x:v>0</x:v>
      </x:c>
      <x:c r="S2062" s="18" t="n">
        <x:v>626.677379286003</x:v>
      </x:c>
      <x:c r="T2062" s="18" t="n">
        <x:v>663</x:v>
      </x:c>
      <x:c r="U2062" s="18" t="n">
        <x:v>626.677379286003</x:v>
      </x:c>
      <x:c r="V2062" s="20" t="n">
        <x:v>4.4</x:v>
      </x:c>
      <x:c r="W2062" s="20" t="n">
        <x:v>14.3</x:v>
      </x:c>
      <x:c r="X2062" s="20" t="n">
        <x:v>3.3</x:v>
      </x:c>
      <x:c r="Y2062" t="str">
        <x:v>Basis arsip 2025/2024</x:v>
      </x:c>
      <x:c r="Z2062" t="str">
        <x:v>https://snpmb.id/utbk-snbt/daya-tampung-snbt</x:v>
      </x:c>
      <x:c r="AA2062" t="str">
        <x:v>Tidak Ada</x:v>
      </x:c>
      <x:c r="AB2062" t="str">
        <x:v>Campus=55; Ratio=57.1; Prodi=40; RelDemand=54.5; Capacity=46.7</x:v>
      </x:c>
    </x:row>
    <x:row r="2063">
      <x:c r="A2063" t="n">
        <x:v>2060</x:v>
      </x:c>
      <x:c r="B2063" t="str">
        <x:v>PTN Akademik</x:v>
      </x:c>
      <x:c r="C2063" t="str">
        <x:v>UNIVERSITAS JEMBER</x:v>
      </x:c>
      <x:c r="D2063" t="str">
        <x:v>ILMU ADMINISTRASI BISNIS</x:v>
      </x:c>
      <x:c r="E2063" t="str">
        <x:v>Sarjana</x:v>
      </x:c>
      <x:c r="F2063" s="18" t="n">
        <x:v>64</x:v>
      </x:c>
      <x:c r="G2063" s="18" t="n">
        <x:v>857</x:v>
      </x:c>
      <x:c r="H2063" s="19" t="n">
        <x:v>13.390625</x:v>
      </x:c>
      <x:c r="I2063" s="18" t="n">
        <x:f>ROUND(MIN(Model_Config_v3!$B$6,MAX(Q2063,R2063,S2063*Model_Config_v3!$B$4+T2063*Model_Config_v3!$B$5)),0)</x:f>
        <x:v>671</x:v>
      </x:c>
      <x:c r="J2063" s="18" t="n">
        <x:f>MIN(Model_Config_v3!$B$6,I2063+Model_Config_v3!$B$7)</x:f>
        <x:v>691</x:v>
      </x:c>
      <x:c r="K2063" s="20" t="n">
        <x:v>61.3</x:v>
      </x:c>
      <x:c r="L2063" t="str">
        <x:v>KETAT</x:v>
      </x:c>
      <x:c r="M2063" t="str">
        <x:v>SEDANG+</x:v>
      </x:c>
      <x:c r="N2063" t="str">
        <x:v>REGULER</x:v>
      </x:c>
      <x:c r="O2063" t="str">
        <x:v>SOSHUM</x:v>
      </x:c>
      <x:c r="P2063" t="str">
        <x:v>BISNIS/EKONOMI/AKUNTANSI</x:v>
      </x:c>
      <x:c r="Q2063" s="18" t="n">
        <x:v>0</x:v>
      </x:c>
      <x:c r="R2063" s="18" t="n">
        <x:v>0</x:v>
      </x:c>
      <x:c r="S2063" s="18" t="n">
        <x:v>643.9480932733243</x:v>
      </x:c>
      <x:c r="T2063" s="18" t="n">
        <x:v>683</x:v>
      </x:c>
      <x:c r="U2063" s="18" t="n">
        <x:v>658.9480932733243</x:v>
      </x:c>
      <x:c r="V2063" s="20" t="n">
        <x:v>4.4</x:v>
      </x:c>
      <x:c r="W2063" s="20" t="n">
        <x:v>14.3</x:v>
      </x:c>
      <x:c r="X2063" s="20" t="n">
        <x:v>3.3</x:v>
      </x:c>
      <x:c r="Y2063" t="str">
        <x:v>Basis arsip 2025/2024</x:v>
      </x:c>
      <x:c r="Z2063" t="str">
        <x:v>https://snpmb.id/utbk-snbt/daya-tampung-snbt</x:v>
      </x:c>
      <x:c r="AA2063" t="str">
        <x:v>Tidak Ada</x:v>
      </x:c>
      <x:c r="AB2063" t="str">
        <x:v>Campus=55; Ratio=66.3; Prodi=65; RelDemand=78.3; Capacity=46.7</x:v>
      </x:c>
    </x:row>
    <x:row r="2064">
      <x:c r="A2064" t="n">
        <x:v>2061</x:v>
      </x:c>
      <x:c r="B2064" t="str">
        <x:v>PTN Akademik</x:v>
      </x:c>
      <x:c r="C2064" t="str">
        <x:v>UNIVERSITAS JEMBER</x:v>
      </x:c>
      <x:c r="D2064" t="str">
        <x:v>ILMU KESEJAHTERAAN SOSIAL</x:v>
      </x:c>
      <x:c r="E2064" t="str">
        <x:v>Sarjana</x:v>
      </x:c>
      <x:c r="F2064" s="18" t="n">
        <x:v>64</x:v>
      </x:c>
      <x:c r="G2064" s="18" t="n">
        <x:v>289</x:v>
      </x:c>
      <x:c r="H2064" s="19" t="n">
        <x:v>4.515625</x:v>
      </x:c>
      <x:c r="I2064" s="18" t="n">
        <x:f>ROUND(MIN(Model_Config_v3!$B$6,MAX(Q2064,R2064,S2064*Model_Config_v3!$B$4+T2064*Model_Config_v3!$B$5)),0)</x:f>
        <x:v>631</x:v>
      </x:c>
      <x:c r="J2064" s="18" t="n">
        <x:f>MIN(Model_Config_v3!$B$6,I2064+Model_Config_v3!$B$7)</x:f>
        <x:v>651</x:v>
      </x:c>
      <x:c r="K2064" s="20" t="n">
        <x:v>44.2</x:v>
      </x:c>
      <x:c r="L2064" t="str">
        <x:v>RELATIF LONGGAR</x:v>
      </x:c>
      <x:c r="M2064" t="str">
        <x:v>SEDANG</x:v>
      </x:c>
      <x:c r="N2064" t="str">
        <x:v>REGULER</x:v>
      </x:c>
      <x:c r="O2064" t="str">
        <x:v>CAMPURAN</x:v>
      </x:c>
      <x:c r="P2064" t="str">
        <x:v>UMUM</x:v>
      </x:c>
      <x:c r="Q2064" s="18" t="n">
        <x:v>0</x:v>
      </x:c>
      <x:c r="R2064" s="18" t="n">
        <x:v>0</x:v>
      </x:c>
      <x:c r="S2064" s="18" t="n">
        <x:v>592.0189655649926</x:v>
      </x:c>
      <x:c r="T2064" s="18" t="n">
        <x:v>648</x:v>
      </x:c>
      <x:c r="U2064" s="18" t="n">
        <x:v>592.0189655649926</x:v>
      </x:c>
      <x:c r="V2064" s="20" t="n">
        <x:v>8.8</x:v>
      </x:c>
      <x:c r="W2064" s="20" t="n">
        <x:v>9.9</x:v>
      </x:c>
      <x:c r="X2064" s="20" t="n">
        <x:v>3.3</x:v>
      </x:c>
      <x:c r="Y2064" t="str">
        <x:v>Basis arsip 2025/2024</x:v>
      </x:c>
      <x:c r="Z2064" t="str">
        <x:v>https://snpmb.id/utbk-snbt/daya-tampung-snbt</x:v>
      </x:c>
      <x:c r="AA2064" t="str">
        <x:v>Tidak Ada</x:v>
      </x:c>
      <x:c r="AB2064" t="str">
        <x:v>Campus=55; Ratio=38.5; Prodi=40; RelDemand=26.4; Capacity=46.7</x:v>
      </x:c>
    </x:row>
    <x:row r="2065">
      <x:c r="A2065" t="n">
        <x:v>2062</x:v>
      </x:c>
      <x:c r="B2065" t="str">
        <x:v>PTN Akademik</x:v>
      </x:c>
      <x:c r="C2065" t="str">
        <x:v>UNIVERSITAS JEMBER</x:v>
      </x:c>
      <x:c r="D2065" t="str">
        <x:v>SOSIOLOGI</x:v>
      </x:c>
      <x:c r="E2065" t="str">
        <x:v>Sarjana</x:v>
      </x:c>
      <x:c r="F2065" s="18" t="n">
        <x:v>60</x:v>
      </x:c>
      <x:c r="G2065" s="18" t="n">
        <x:v>220</x:v>
      </x:c>
      <x:c r="H2065" s="19" t="n">
        <x:v>3.6666666666666665</x:v>
      </x:c>
      <x:c r="I2065" s="18" t="n">
        <x:f>ROUND(MIN(Model_Config_v3!$B$6,MAX(Q2065,R2065,S2065*Model_Config_v3!$B$4+T2065*Model_Config_v3!$B$5)),0)</x:f>
        <x:v>626</x:v>
      </x:c>
      <x:c r="J2065" s="18" t="n">
        <x:f>MIN(Model_Config_v3!$B$6,I2065+Model_Config_v3!$B$7)</x:f>
        <x:v>646</x:v>
      </x:c>
      <x:c r="K2065" s="20" t="n">
        <x:v>42.7</x:v>
      </x:c>
      <x:c r="L2065" t="str">
        <x:v>RELATIF LONGGAR</x:v>
      </x:c>
      <x:c r="M2065" t="str">
        <x:v>SEDANG</x:v>
      </x:c>
      <x:c r="N2065" t="str">
        <x:v>REGULER</x:v>
      </x:c>
      <x:c r="O2065" t="str">
        <x:v>SOSHUM</x:v>
      </x:c>
      <x:c r="P2065" t="str">
        <x:v>UMUM</x:v>
      </x:c>
      <x:c r="Q2065" s="18" t="n">
        <x:v>0</x:v>
      </x:c>
      <x:c r="R2065" s="18" t="n">
        <x:v>0</x:v>
      </x:c>
      <x:c r="S2065" s="18" t="n">
        <x:v>582.0698573482418</x:v>
      </x:c>
      <x:c r="T2065" s="18" t="n">
        <x:v>645</x:v>
      </x:c>
      <x:c r="U2065" s="18" t="n">
        <x:v>582.0698573482418</x:v>
      </x:c>
      <x:c r="V2065" s="20" t="n">
        <x:v>4.4</x:v>
      </x:c>
      <x:c r="W2065" s="20" t="n">
        <x:v>14.3</x:v>
      </x:c>
      <x:c r="X2065" s="20" t="n">
        <x:v>3.3</x:v>
      </x:c>
      <x:c r="Y2065" t="str">
        <x:v>Basis arsip 2025/2024</x:v>
      </x:c>
      <x:c r="Z2065" t="str">
        <x:v>https://snpmb.id/utbk-snbt/daya-tampung-snbt</x:v>
      </x:c>
      <x:c r="AA2065" t="str">
        <x:v>Tidak Ada</x:v>
      </x:c>
      <x:c r="AB2065" t="str">
        <x:v>Campus=55; Ratio=33.2; Prodi=40; RelDemand=21.4; Capacity=50.0</x:v>
      </x:c>
    </x:row>
    <x:row r="2066">
      <x:c r="A2066" t="n">
        <x:v>2063</x:v>
      </x:c>
      <x:c r="B2066" t="str">
        <x:v>PTN Akademik</x:v>
      </x:c>
      <x:c r="C2066" t="str">
        <x:v>UNIVERSITAS JEMBER</x:v>
      </x:c>
      <x:c r="D2066" t="str">
        <x:v>EKONOMI PEMBANGUNAN</x:v>
      </x:c>
      <x:c r="E2066" t="str">
        <x:v>Sarjana</x:v>
      </x:c>
      <x:c r="F2066" s="18" t="n">
        <x:v>84</x:v>
      </x:c>
      <x:c r="G2066" s="18" t="n">
        <x:v>472</x:v>
      </x:c>
      <x:c r="H2066" s="19" t="n">
        <x:v>5.619047619047619</x:v>
      </x:c>
      <x:c r="I2066" s="18" t="n">
        <x:f>ROUND(MIN(Model_Config_v3!$B$6,MAX(Q2066,R2066,S2066*Model_Config_v3!$B$4+T2066*Model_Config_v3!$B$5)),0)</x:f>
        <x:v>642</x:v>
      </x:c>
      <x:c r="J2066" s="18" t="n">
        <x:f>MIN(Model_Config_v3!$B$6,I2066+Model_Config_v3!$B$7)</x:f>
        <x:v>662</x:v>
      </x:c>
      <x:c r="K2066" s="20" t="n">
        <x:v>49.6</x:v>
      </x:c>
      <x:c r="L2066" t="str">
        <x:v>MENENGAH</x:v>
      </x:c>
      <x:c r="M2066" t="str">
        <x:v>SEDANG+</x:v>
      </x:c>
      <x:c r="N2066" t="str">
        <x:v>REGULER</x:v>
      </x:c>
      <x:c r="O2066" t="str">
        <x:v>SOSHUM</x:v>
      </x:c>
      <x:c r="P2066" t="str">
        <x:v>BISNIS/EKONOMI/AKUNTANSI</x:v>
      </x:c>
      <x:c r="Q2066" s="18" t="n">
        <x:v>0</x:v>
      </x:c>
      <x:c r="R2066" s="18" t="n">
        <x:v>0</x:v>
      </x:c>
      <x:c r="S2066" s="18" t="n">
        <x:v>602.4628983829426</x:v>
      </x:c>
      <x:c r="T2066" s="18" t="n">
        <x:v>659</x:v>
      </x:c>
      <x:c r="U2066" s="18" t="n">
        <x:v>602.4628983829426</x:v>
      </x:c>
      <x:c r="V2066" s="20" t="n">
        <x:v>4.4</x:v>
      </x:c>
      <x:c r="W2066" s="20" t="n">
        <x:v>14.3</x:v>
      </x:c>
      <x:c r="X2066" s="20" t="n">
        <x:v>3.3</x:v>
      </x:c>
      <x:c r="Y2066" t="str">
        <x:v>Basis arsip 2025/2024</x:v>
      </x:c>
      <x:c r="Z2066" t="str">
        <x:v>https://snpmb.id/utbk-snbt/daya-tampung-snbt</x:v>
      </x:c>
      <x:c r="AA2066" t="str">
        <x:v>Tidak Ada</x:v>
      </x:c>
      <x:c r="AB2066" t="str">
        <x:v>Campus=55; Ratio=44.1; Prodi=65; RelDemand=32.8; Capacity=30.0</x:v>
      </x:c>
    </x:row>
    <x:row r="2067">
      <x:c r="A2067" t="n">
        <x:v>2064</x:v>
      </x:c>
      <x:c r="B2067" t="str">
        <x:v>PTN Akademik</x:v>
      </x:c>
      <x:c r="C2067" t="str">
        <x:v>UNIVERSITAS JEMBER</x:v>
      </x:c>
      <x:c r="D2067" t="str">
        <x:v>MANAJEMEN</x:v>
      </x:c>
      <x:c r="E2067" t="str">
        <x:v>Sarjana</x:v>
      </x:c>
      <x:c r="F2067" s="18" t="n">
        <x:v>104</x:v>
      </x:c>
      <x:c r="G2067" s="18" t="n">
        <x:v>1125</x:v>
      </x:c>
      <x:c r="H2067" s="19" t="n">
        <x:v>10.817307692307692</x:v>
      </x:c>
      <x:c r="I2067" s="18" t="n">
        <x:f>ROUND(MIN(Model_Config_v3!$B$6,MAX(Q2067,R2067,S2067*Model_Config_v3!$B$4+T2067*Model_Config_v3!$B$5)),0)</x:f>
        <x:v>659</x:v>
      </x:c>
      <x:c r="J2067" s="18" t="n">
        <x:f>MIN(Model_Config_v3!$B$6,I2067+Model_Config_v3!$B$7)</x:f>
        <x:v>679</x:v>
      </x:c>
      <x:c r="K2067" s="20" t="n">
        <x:v>55.1</x:v>
      </x:c>
      <x:c r="L2067" t="str">
        <x:v>KETAT</x:v>
      </x:c>
      <x:c r="M2067" t="str">
        <x:v>SEDANG+</x:v>
      </x:c>
      <x:c r="N2067" t="str">
        <x:v>REGULER</x:v>
      </x:c>
      <x:c r="O2067" t="str">
        <x:v>SOSHUM</x:v>
      </x:c>
      <x:c r="P2067" t="str">
        <x:v>BISNIS/EKONOMI/AKUNTANSI</x:v>
      </x:c>
      <x:c r="Q2067" s="18" t="n">
        <x:v>0</x:v>
      </x:c>
      <x:c r="R2067" s="18" t="n">
        <x:v>0</x:v>
      </x:c>
      <x:c r="S2067" s="18" t="n">
        <x:v>633.7531101463461</x:v>
      </x:c>
      <x:c r="T2067" s="18" t="n">
        <x:v>670</x:v>
      </x:c>
      <x:c r="U2067" s="18" t="n">
        <x:v>648.7531101463461</x:v>
      </x:c>
      <x:c r="V2067" s="20" t="n">
        <x:v>4.4</x:v>
      </x:c>
      <x:c r="W2067" s="20" t="n">
        <x:v>14.3</x:v>
      </x:c>
      <x:c r="X2067" s="20" t="n">
        <x:v>3.3</x:v>
      </x:c>
      <x:c r="Y2067" t="str">
        <x:v>Basis arsip 2025/2024</x:v>
      </x:c>
      <x:c r="Z2067" t="str">
        <x:v>https://snpmb.id/utbk-snbt/daya-tampung-snbt</x:v>
      </x:c>
      <x:c r="AA2067" t="str">
        <x:v>Tidak Ada</x:v>
      </x:c>
      <x:c r="AB2067" t="str">
        <x:v>Campus=55; Ratio=60.9; Prodi=65; RelDemand=63.2; Capacity=13.3</x:v>
      </x:c>
    </x:row>
    <x:row r="2068">
      <x:c r="A2068" t="n">
        <x:v>2065</x:v>
      </x:c>
      <x:c r="B2068" t="str">
        <x:v>PTN Akademik</x:v>
      </x:c>
      <x:c r="C2068" t="str">
        <x:v>UNIVERSITAS JEMBER</x:v>
      </x:c>
      <x:c r="D2068" t="str">
        <x:v>AKUNTANSI</x:v>
      </x:c>
      <x:c r="E2068" t="str">
        <x:v>Sarjana</x:v>
      </x:c>
      <x:c r="F2068" s="18" t="n">
        <x:v>108</x:v>
      </x:c>
      <x:c r="G2068" s="18" t="n">
        <x:v>829</x:v>
      </x:c>
      <x:c r="H2068" s="19" t="n">
        <x:v>7.675925925925926</x:v>
      </x:c>
      <x:c r="I2068" s="18" t="n">
        <x:f>ROUND(MIN(Model_Config_v3!$B$6,MAX(Q2068,R2068,S2068*Model_Config_v3!$B$4+T2068*Model_Config_v3!$B$5)),0)</x:f>
        <x:v>649</x:v>
      </x:c>
      <x:c r="J2068" s="18" t="n">
        <x:f>MIN(Model_Config_v3!$B$6,I2068+Model_Config_v3!$B$7)</x:f>
        <x:v>669</x:v>
      </x:c>
      <x:c r="K2068" s="20" t="n">
        <x:v>50.8</x:v>
      </x:c>
      <x:c r="L2068" t="str">
        <x:v>MENENGAH</x:v>
      </x:c>
      <x:c r="M2068" t="str">
        <x:v>SEDANG+</x:v>
      </x:c>
      <x:c r="N2068" t="str">
        <x:v>REGULER</x:v>
      </x:c>
      <x:c r="O2068" t="str">
        <x:v>SOSHUM</x:v>
      </x:c>
      <x:c r="P2068" t="str">
        <x:v>BISNIS/EKONOMI/AKUNTANSI</x:v>
      </x:c>
      <x:c r="Q2068" s="18" t="n">
        <x:v>0</x:v>
      </x:c>
      <x:c r="R2068" s="18" t="n">
        <x:v>0</x:v>
      </x:c>
      <x:c r="S2068" s="18" t="n">
        <x:v>617.3643852569656</x:v>
      </x:c>
      <x:c r="T2068" s="18" t="n">
        <x:v>662</x:v>
      </x:c>
      <x:c r="U2068" s="18" t="n">
        <x:v>617.3643852569656</x:v>
      </x:c>
      <x:c r="V2068" s="20" t="n">
        <x:v>4.4</x:v>
      </x:c>
      <x:c r="W2068" s="20" t="n">
        <x:v>14.3</x:v>
      </x:c>
      <x:c r="X2068" s="20" t="n">
        <x:v>3.3</x:v>
      </x:c>
      <x:c r="Y2068" t="str">
        <x:v>Basis arsip 2025/2024</x:v>
      </x:c>
      <x:c r="Z2068" t="str">
        <x:v>https://snpmb.id/utbk-snbt/daya-tampung-snbt</x:v>
      </x:c>
      <x:c r="AA2068" t="str">
        <x:v>Tidak Ada</x:v>
      </x:c>
      <x:c r="AB2068" t="str">
        <x:v>Campus=55; Ratio=52.1; Prodi=65; RelDemand=44.9; Capacity=10.0</x:v>
      </x:c>
    </x:row>
    <x:row r="2069">
      <x:c r="A2069" t="n">
        <x:v>2066</x:v>
      </x:c>
      <x:c r="B2069" t="str">
        <x:v>PTN Akademik</x:v>
      </x:c>
      <x:c r="C2069" t="str">
        <x:v>UNIVERSITAS JEMBER</x:v>
      </x:c>
      <x:c r="D2069" t="str">
        <x:v>PENDIDIKAN LUAR SEKOLAH</x:v>
      </x:c>
      <x:c r="E2069" t="str">
        <x:v>Sarjana</x:v>
      </x:c>
      <x:c r="F2069" s="18" t="n">
        <x:v>48</x:v>
      </x:c>
      <x:c r="G2069" s="18" t="n">
        <x:v>93</x:v>
      </x:c>
      <x:c r="H2069" s="19" t="n">
        <x:v>1.9375</x:v>
      </x:c>
      <x:c r="I2069" s="18" t="n">
        <x:f>ROUND(MIN(Model_Config_v3!$B$6,MAX(Q2069,R2069,S2069*Model_Config_v3!$B$4+T2069*Model_Config_v3!$B$5)),0)</x:f>
        <x:v>613</x:v>
      </x:c>
      <x:c r="J2069" s="18" t="n">
        <x:f>MIN(Model_Config_v3!$B$6,I2069+Model_Config_v3!$B$7)</x:f>
        <x:v>633</x:v>
      </x:c>
      <x:c r="K2069" s="20" t="n">
        <x:v>39.6</x:v>
      </x:c>
      <x:c r="L2069" t="str">
        <x:v>RELATIF LONGGAR</x:v>
      </x:c>
      <x:c r="M2069" t="str">
        <x:v>SEDANG+</x:v>
      </x:c>
      <x:c r="N2069" t="str">
        <x:v>REGULER</x:v>
      </x:c>
      <x:c r="O2069" t="str">
        <x:v>CAMPURAN</x:v>
      </x:c>
      <x:c r="P2069" t="str">
        <x:v>PENDIDIKAN</x:v>
      </x:c>
      <x:c r="Q2069" s="18" t="n">
        <x:v>0</x:v>
      </x:c>
      <x:c r="R2069" s="18" t="n">
        <x:v>0</x:v>
      </x:c>
      <x:c r="S2069" s="18" t="n">
        <x:v>551.5965882296183</x:v>
      </x:c>
      <x:c r="T2069" s="18" t="n">
        <x:v>639</x:v>
      </x:c>
      <x:c r="U2069" s="18" t="n">
        <x:v>551.5965882296183</x:v>
      </x:c>
      <x:c r="V2069" s="20" t="n">
        <x:v>8.8</x:v>
      </x:c>
      <x:c r="W2069" s="20" t="n">
        <x:v>9.9</x:v>
      </x:c>
      <x:c r="X2069" s="20" t="n">
        <x:v>3.3</x:v>
      </x:c>
      <x:c r="Y2069" t="str">
        <x:v>Basis arsip 2025/2024</x:v>
      </x:c>
      <x:c r="Z2069" t="str">
        <x:v>https://snpmb.id/utbk-snbt/daya-tampung-snbt</x:v>
      </x:c>
      <x:c r="AA2069" t="str">
        <x:v>Tidak Ada</x:v>
      </x:c>
      <x:c r="AB2069" t="str">
        <x:v>Campus=55; Ratio=16.9; Prodi=45; RelDemand=11.3; Capacity=60.0</x:v>
      </x:c>
    </x:row>
    <x:row r="2070">
      <x:c r="A2070" t="n">
        <x:v>2067</x:v>
      </x:c>
      <x:c r="B2070" t="str">
        <x:v>PTN Akademik</x:v>
      </x:c>
      <x:c r="C2070" t="str">
        <x:v>UNIVERSITAS JEMBER</x:v>
      </x:c>
      <x:c r="D2070" t="str">
        <x:v>PENDIDIKAN EKONOMI</x:v>
      </x:c>
      <x:c r="E2070" t="str">
        <x:v>Sarjana</x:v>
      </x:c>
      <x:c r="F2070" s="18" t="n">
        <x:v>66</x:v>
      </x:c>
      <x:c r="G2070" s="18" t="n">
        <x:v>217</x:v>
      </x:c>
      <x:c r="H2070" s="19" t="n">
        <x:v>3.287878787878788</x:v>
      </x:c>
      <x:c r="I2070" s="18" t="n">
        <x:f>ROUND(MIN(Model_Config_v3!$B$6,MAX(Q2070,R2070,S2070*Model_Config_v3!$B$4+T2070*Model_Config_v3!$B$5)),0)</x:f>
        <x:v>625</x:v>
      </x:c>
      <x:c r="J2070" s="18" t="n">
        <x:f>MIN(Model_Config_v3!$B$6,I2070+Model_Config_v3!$B$7)</x:f>
        <x:v>645</x:v>
      </x:c>
      <x:c r="K2070" s="20" t="n">
        <x:v>42.3</x:v>
      </x:c>
      <x:c r="L2070" t="str">
        <x:v>RELATIF LONGGAR</x:v>
      </x:c>
      <x:c r="M2070" t="str">
        <x:v>SEDANG+</x:v>
      </x:c>
      <x:c r="N2070" t="str">
        <x:v>REGULER</x:v>
      </x:c>
      <x:c r="O2070" t="str">
        <x:v>SOSHUM</x:v>
      </x:c>
      <x:c r="P2070" t="str">
        <x:v>PENDIDIKAN</x:v>
      </x:c>
      <x:c r="Q2070" s="18" t="n">
        <x:v>0</x:v>
      </x:c>
      <x:c r="R2070" s="18" t="n">
        <x:v>0</x:v>
      </x:c>
      <x:c r="S2070" s="18" t="n">
        <x:v>576.8607378137327</x:v>
      </x:c>
      <x:c r="T2070" s="18" t="n">
        <x:v>645</x:v>
      </x:c>
      <x:c r="U2070" s="18" t="n">
        <x:v>576.8607378137327</x:v>
      </x:c>
      <x:c r="V2070" s="20" t="n">
        <x:v>4.4</x:v>
      </x:c>
      <x:c r="W2070" s="20" t="n">
        <x:v>14.3</x:v>
      </x:c>
      <x:c r="X2070" s="20" t="n">
        <x:v>3.3</x:v>
      </x:c>
      <x:c r="Y2070" t="str">
        <x:v>Basis arsip 2025/2024</x:v>
      </x:c>
      <x:c r="Z2070" t="str">
        <x:v>https://snpmb.id/utbk-snbt/daya-tampung-snbt</x:v>
      </x:c>
      <x:c r="AA2070" t="str">
        <x:v>Tidak Ada</x:v>
      </x:c>
      <x:c r="AB2070" t="str">
        <x:v>Campus=55; Ratio=30.4; Prodi=45; RelDemand=19.2; Capacity=45.0</x:v>
      </x:c>
    </x:row>
    <x:row r="2071">
      <x:c r="A2071" t="n">
        <x:v>2068</x:v>
      </x:c>
      <x:c r="B2071" t="str">
        <x:v>PTN Akademik</x:v>
      </x:c>
      <x:c r="C2071" t="str">
        <x:v>UNIVERSITAS JEMBER</x:v>
      </x:c>
      <x:c r="D2071" t="str">
        <x:v>PENDIDIKAN SEJARAH</x:v>
      </x:c>
      <x:c r="E2071" t="str">
        <x:v>Sarjana</x:v>
      </x:c>
      <x:c r="F2071" s="18" t="n">
        <x:v>48</x:v>
      </x:c>
      <x:c r="G2071" s="18" t="n">
        <x:v>200</x:v>
      </x:c>
      <x:c r="H2071" s="19" t="n">
        <x:v>4.166666666666667</x:v>
      </x:c>
      <x:c r="I2071" s="18" t="n">
        <x:f>ROUND(MIN(Model_Config_v3!$B$6,MAX(Q2071,R2071,S2071*Model_Config_v3!$B$4+T2071*Model_Config_v3!$B$5)),0)</x:f>
        <x:v>633</x:v>
      </x:c>
      <x:c r="J2071" s="18" t="n">
        <x:f>MIN(Model_Config_v3!$B$6,I2071+Model_Config_v3!$B$7)</x:f>
        <x:v>653</x:v>
      </x:c>
      <x:c r="K2071" s="20" t="n">
        <x:v>45.8</x:v>
      </x:c>
      <x:c r="L2071" t="str">
        <x:v>MENENGAH</x:v>
      </x:c>
      <x:c r="M2071" t="str">
        <x:v>SEDANG+</x:v>
      </x:c>
      <x:c r="N2071" t="str">
        <x:v>REGULER</x:v>
      </x:c>
      <x:c r="O2071" t="str">
        <x:v>SOSHUM</x:v>
      </x:c>
      <x:c r="P2071" t="str">
        <x:v>PENDIDIKAN</x:v>
      </x:c>
      <x:c r="Q2071" s="18" t="n">
        <x:v>0</x:v>
      </x:c>
      <x:c r="R2071" s="18" t="n">
        <x:v>0</x:v>
      </x:c>
      <x:c r="S2071" s="18" t="n">
        <x:v>588.1767634117233</x:v>
      </x:c>
      <x:c r="T2071" s="18" t="n">
        <x:v>652</x:v>
      </x:c>
      <x:c r="U2071" s="18" t="n">
        <x:v>588.1767634117233</x:v>
      </x:c>
      <x:c r="V2071" s="20" t="n">
        <x:v>4.4</x:v>
      </x:c>
      <x:c r="W2071" s="20" t="n">
        <x:v>14.3</x:v>
      </x:c>
      <x:c r="X2071" s="20" t="n">
        <x:v>3.3</x:v>
      </x:c>
      <x:c r="Y2071" t="str">
        <x:v>Basis arsip 2025/2024</x:v>
      </x:c>
      <x:c r="Z2071" t="str">
        <x:v>https://snpmb.id/utbk-snbt/daya-tampung-snbt</x:v>
      </x:c>
      <x:c r="AA2071" t="str">
        <x:v>Tidak Ada</x:v>
      </x:c>
      <x:c r="AB2071" t="str">
        <x:v>Campus=55; Ratio=36.5; Prodi=45; RelDemand=24.4; Capacity=60.0</x:v>
      </x:c>
    </x:row>
    <x:row r="2072">
      <x:c r="A2072" t="n">
        <x:v>2069</x:v>
      </x:c>
      <x:c r="B2072" t="str">
        <x:v>PTN Akademik</x:v>
      </x:c>
      <x:c r="C2072" t="str">
        <x:v>UNIVERSITAS JEMBER</x:v>
      </x:c>
      <x:c r="D2072" t="str">
        <x:v>PENDIDIKAN BAHASA INGGRIS</x:v>
      </x:c>
      <x:c r="E2072" t="str">
        <x:v>Sarjana</x:v>
      </x:c>
      <x:c r="F2072" s="18" t="n">
        <x:v>66</x:v>
      </x:c>
      <x:c r="G2072" s="18" t="n">
        <x:v>365</x:v>
      </x:c>
      <x:c r="H2072" s="19" t="n">
        <x:v>5.53030303030303</x:v>
      </x:c>
      <x:c r="I2072" s="18" t="n">
        <x:f>ROUND(MIN(Model_Config_v3!$B$6,MAX(Q2072,R2072,S2072*Model_Config_v3!$B$4+T2072*Model_Config_v3!$B$5)),0)</x:f>
        <x:v>638</x:v>
      </x:c>
      <x:c r="J2072" s="18" t="n">
        <x:f>MIN(Model_Config_v3!$B$6,I2072+Model_Config_v3!$B$7)</x:f>
        <x:v>658</x:v>
      </x:c>
      <x:c r="K2072" s="20" t="n">
        <x:v>46.9</x:v>
      </x:c>
      <x:c r="L2072" t="str">
        <x:v>MENENGAH</x:v>
      </x:c>
      <x:c r="M2072" t="str">
        <x:v>SEDANG+</x:v>
      </x:c>
      <x:c r="N2072" t="str">
        <x:v>REGULER</x:v>
      </x:c>
      <x:c r="O2072" t="str">
        <x:v>SOSHUM</x:v>
      </x:c>
      <x:c r="P2072" t="str">
        <x:v>PENDIDIKAN</x:v>
      </x:c>
      <x:c r="Q2072" s="18" t="n">
        <x:v>0</x:v>
      </x:c>
      <x:c r="R2072" s="18" t="n">
        <x:v>0</x:v>
      </x:c>
      <x:c r="S2072" s="18" t="n">
        <x:v>601.7023821806067</x:v>
      </x:c>
      <x:c r="T2072" s="18" t="n">
        <x:v>654</x:v>
      </x:c>
      <x:c r="U2072" s="18" t="n">
        <x:v>601.7023821806067</x:v>
      </x:c>
      <x:c r="V2072" s="20" t="n">
        <x:v>4.4</x:v>
      </x:c>
      <x:c r="W2072" s="20" t="n">
        <x:v>14.3</x:v>
      </x:c>
      <x:c r="X2072" s="20" t="n">
        <x:v>3.3</x:v>
      </x:c>
      <x:c r="Y2072" t="str">
        <x:v>Basis arsip 2025/2024</x:v>
      </x:c>
      <x:c r="Z2072" t="str">
        <x:v>https://snpmb.id/utbk-snbt/daya-tampung-snbt</x:v>
      </x:c>
      <x:c r="AA2072" t="str">
        <x:v>Tidak Ada</x:v>
      </x:c>
      <x:c r="AB2072" t="str">
        <x:v>Campus=55; Ratio=43.7; Prodi=45; RelDemand=32.3; Capacity=45.0</x:v>
      </x:c>
    </x:row>
    <x:row r="2073">
      <x:c r="A2073" t="n">
        <x:v>2070</x:v>
      </x:c>
      <x:c r="B2073" t="str">
        <x:v>PTN Akademik</x:v>
      </x:c>
      <x:c r="C2073" t="str">
        <x:v>UNIVERSITAS JEMBER</x:v>
      </x:c>
      <x:c r="D2073" t="str">
        <x:v>PENDIDIKAN BHS. &amp; SASTRA INDO.</x:v>
      </x:c>
      <x:c r="E2073" t="str">
        <x:v>Sarjana</x:v>
      </x:c>
      <x:c r="F2073" s="18" t="n">
        <x:v>66</x:v>
      </x:c>
      <x:c r="G2073" s="18" t="n">
        <x:v>426</x:v>
      </x:c>
      <x:c r="H2073" s="19" t="n">
        <x:v>6.454545454545454</x:v>
      </x:c>
      <x:c r="I2073" s="18" t="n">
        <x:f>ROUND(MIN(Model_Config_v3!$B$6,MAX(Q2073,R2073,S2073*Model_Config_v3!$B$4+T2073*Model_Config_v3!$B$5)),0)</x:f>
        <x:v>643</x:v>
      </x:c>
      <x:c r="J2073" s="18" t="n">
        <x:f>MIN(Model_Config_v3!$B$6,I2073+Model_Config_v3!$B$7)</x:f>
        <x:v>663</x:v>
      </x:c>
      <x:c r="K2073" s="20" t="n">
        <x:v>48.4</x:v>
      </x:c>
      <x:c r="L2073" t="str">
        <x:v>MENENGAH</x:v>
      </x:c>
      <x:c r="M2073" t="str">
        <x:v>SEDANG+</x:v>
      </x:c>
      <x:c r="N2073" t="str">
        <x:v>REGULER</x:v>
      </x:c>
      <x:c r="O2073" t="str">
        <x:v>SOSHUM</x:v>
      </x:c>
      <x:c r="P2073" t="str">
        <x:v>PENDIDIKAN</x:v>
      </x:c>
      <x:c r="Q2073" s="18" t="n">
        <x:v>0</x:v>
      </x:c>
      <x:c r="R2073" s="18" t="n">
        <x:v>0</x:v>
      </x:c>
      <x:c r="S2073" s="18" t="n">
        <x:v>609.0852229916935</x:v>
      </x:c>
      <x:c r="T2073" s="18" t="n">
        <x:v>657</x:v>
      </x:c>
      <x:c r="U2073" s="18" t="n">
        <x:v>609.0852229916935</x:v>
      </x:c>
      <x:c r="V2073" s="20" t="n">
        <x:v>4.4</x:v>
      </x:c>
      <x:c r="W2073" s="20" t="n">
        <x:v>14.3</x:v>
      </x:c>
      <x:c r="X2073" s="20" t="n">
        <x:v>3.3</x:v>
      </x:c>
      <x:c r="Y2073" t="str">
        <x:v>Basis arsip 2025/2024</x:v>
      </x:c>
      <x:c r="Z2073" t="str">
        <x:v>https://snpmb.id/utbk-snbt/daya-tampung-snbt</x:v>
      </x:c>
      <x:c r="AA2073" t="str">
        <x:v>Tidak Ada</x:v>
      </x:c>
      <x:c r="AB2073" t="str">
        <x:v>Campus=55; Ratio=47.7; Prodi=45; RelDemand=37.7; Capacity=45.0</x:v>
      </x:c>
    </x:row>
    <x:row r="2074">
      <x:c r="A2074" t="n">
        <x:v>2071</x:v>
      </x:c>
      <x:c r="B2074" t="str">
        <x:v>PTN Akademik</x:v>
      </x:c>
      <x:c r="C2074" t="str">
        <x:v>UNIVERSITAS JEMBER</x:v>
      </x:c>
      <x:c r="D2074" t="str">
        <x:v>PENDIDIKAN GURU SEKOLAH DASAR</x:v>
      </x:c>
      <x:c r="E2074" t="str">
        <x:v>Sarjana</x:v>
      </x:c>
      <x:c r="F2074" s="18" t="n">
        <x:v>66</x:v>
      </x:c>
      <x:c r="G2074" s="18" t="n">
        <x:v>883</x:v>
      </x:c>
      <x:c r="H2074" s="19" t="n">
        <x:v>13.378787878787879</x:v>
      </x:c>
      <x:c r="I2074" s="18" t="n">
        <x:f>ROUND(MIN(Model_Config_v3!$B$6,MAX(Q2074,R2074,S2074*Model_Config_v3!$B$4+T2074*Model_Config_v3!$B$5)),0)</x:f>
        <x:v>665</x:v>
      </x:c>
      <x:c r="J2074" s="18" t="n">
        <x:f>MIN(Model_Config_v3!$B$6,I2074+Model_Config_v3!$B$7)</x:f>
        <x:v>685</x:v>
      </x:c>
      <x:c r="K2074" s="20" t="n">
        <x:v>57.1</x:v>
      </x:c>
      <x:c r="L2074" t="str">
        <x:v>KETAT</x:v>
      </x:c>
      <x:c r="M2074" t="str">
        <x:v>SEDANG+</x:v>
      </x:c>
      <x:c r="N2074" t="str">
        <x:v>REGULER</x:v>
      </x:c>
      <x:c r="O2074" t="str">
        <x:v>CAMPURAN</x:v>
      </x:c>
      <x:c r="P2074" t="str">
        <x:v>PENDIDIKAN</x:v>
      </x:c>
      <x:c r="Q2074" s="18" t="n">
        <x:v>0</x:v>
      </x:c>
      <x:c r="R2074" s="18" t="n">
        <x:v>0</x:v>
      </x:c>
      <x:c r="S2074" s="18" t="n">
        <x:v>643.905844483927</x:v>
      </x:c>
      <x:c r="T2074" s="18" t="n">
        <x:v>674</x:v>
      </x:c>
      <x:c r="U2074" s="18" t="n">
        <x:v>643.905844483927</x:v>
      </x:c>
      <x:c r="V2074" s="20" t="n">
        <x:v>8.8</x:v>
      </x:c>
      <x:c r="W2074" s="20" t="n">
        <x:v>9.9</x:v>
      </x:c>
      <x:c r="X2074" s="20" t="n">
        <x:v>3.3</x:v>
      </x:c>
      <x:c r="Y2074" t="str">
        <x:v>Basis arsip 2025/2024</x:v>
      </x:c>
      <x:c r="Z2074" t="str">
        <x:v>https://snpmb.id/utbk-snbt/daya-tampung-snbt</x:v>
      </x:c>
      <x:c r="AA2074" t="str">
        <x:v>Tidak Ada</x:v>
      </x:c>
      <x:c r="AB2074" t="str">
        <x:v>Campus=55; Ratio=66.3; Prodi=45; RelDemand=78.2; Capacity=45.0</x:v>
      </x:c>
    </x:row>
    <x:row r="2075">
      <x:c r="A2075" t="n">
        <x:v>2072</x:v>
      </x:c>
      <x:c r="B2075" t="str">
        <x:v>PTN Akademik</x:v>
      </x:c>
      <x:c r="C2075" t="str">
        <x:v>UNIVERSITAS JEMBER</x:v>
      </x:c>
      <x:c r="D2075" t="str">
        <x:v>SASTRA INGGRIS</x:v>
      </x:c>
      <x:c r="E2075" t="str">
        <x:v>Sarjana</x:v>
      </x:c>
      <x:c r="F2075" s="18" t="n">
        <x:v>48</x:v>
      </x:c>
      <x:c r="G2075" s="18" t="n">
        <x:v>236</x:v>
      </x:c>
      <x:c r="H2075" s="19" t="n">
        <x:v>4.916666666666667</x:v>
      </x:c>
      <x:c r="I2075" s="18" t="n">
        <x:f>ROUND(MIN(Model_Config_v3!$B$6,MAX(Q2075,R2075,S2075*Model_Config_v3!$B$4+T2075*Model_Config_v3!$B$5)),0)</x:f>
        <x:v>636</x:v>
      </x:c>
      <x:c r="J2075" s="18" t="n">
        <x:f>MIN(Model_Config_v3!$B$6,I2075+Model_Config_v3!$B$7)</x:f>
        <x:v>656</x:v>
      </x:c>
      <x:c r="K2075" s="20" t="n">
        <x:v>46.3</x:v>
      </x:c>
      <x:c r="L2075" t="str">
        <x:v>MENENGAH</x:v>
      </x:c>
      <x:c r="M2075" t="str">
        <x:v>SEDANG</x:v>
      </x:c>
      <x:c r="N2075" t="str">
        <x:v>REGULER</x:v>
      </x:c>
      <x:c r="O2075" t="str">
        <x:v>SOSHUM</x:v>
      </x:c>
      <x:c r="P2075" t="str">
        <x:v>UMUM</x:v>
      </x:c>
      <x:c r="Q2075" s="18" t="n">
        <x:v>0</x:v>
      </x:c>
      <x:c r="R2075" s="18" t="n">
        <x:v>0</x:v>
      </x:c>
      <x:c r="S2075" s="18" t="n">
        <x:v>596.0837842153971</x:v>
      </x:c>
      <x:c r="T2075" s="18" t="n">
        <x:v>653</x:v>
      </x:c>
      <x:c r="U2075" s="18" t="n">
        <x:v>596.0837842153971</x:v>
      </x:c>
      <x:c r="V2075" s="20" t="n">
        <x:v>4.4</x:v>
      </x:c>
      <x:c r="W2075" s="20" t="n">
        <x:v>14.3</x:v>
      </x:c>
      <x:c r="X2075" s="20" t="n">
        <x:v>3.3</x:v>
      </x:c>
      <x:c r="Y2075" t="str">
        <x:v>Basis arsip 2025/2024</x:v>
      </x:c>
      <x:c r="Z2075" t="str">
        <x:v>https://snpmb.id/utbk-snbt/daya-tampung-snbt</x:v>
      </x:c>
      <x:c r="AA2075" t="str">
        <x:v>Tidak Ada</x:v>
      </x:c>
      <x:c r="AB2075" t="str">
        <x:v>Campus=55; Ratio=40.7; Prodi=40; RelDemand=28.7; Capacity=60.0</x:v>
      </x:c>
    </x:row>
    <x:row r="2076">
      <x:c r="A2076" t="n">
        <x:v>2073</x:v>
      </x:c>
      <x:c r="B2076" t="str">
        <x:v>PTN Akademik</x:v>
      </x:c>
      <x:c r="C2076" t="str">
        <x:v>UNIVERSITAS JEMBER</x:v>
      </x:c>
      <x:c r="D2076" t="str">
        <x:v>SASTRA INDONESIA</x:v>
      </x:c>
      <x:c r="E2076" t="str">
        <x:v>Sarjana</x:v>
      </x:c>
      <x:c r="F2076" s="18" t="n">
        <x:v>48</x:v>
      </x:c>
      <x:c r="G2076" s="18" t="n">
        <x:v>162</x:v>
      </x:c>
      <x:c r="H2076" s="19" t="n">
        <x:v>3.375</x:v>
      </x:c>
      <x:c r="I2076" s="18" t="n">
        <x:f>ROUND(MIN(Model_Config_v3!$B$6,MAX(Q2076,R2076,S2076*Model_Config_v3!$B$4+T2076*Model_Config_v3!$B$5)),0)</x:f>
        <x:v>626</x:v>
      </x:c>
      <x:c r="J2076" s="18" t="n">
        <x:f>MIN(Model_Config_v3!$B$6,I2076+Model_Config_v3!$B$7)</x:f>
        <x:v>646</x:v>
      </x:c>
      <x:c r="K2076" s="20" t="n">
        <x:v>43</x:v>
      </x:c>
      <x:c r="L2076" t="str">
        <x:v>RELATIF LONGGAR</x:v>
      </x:c>
      <x:c r="M2076" t="str">
        <x:v>SEDANG</x:v>
      </x:c>
      <x:c r="N2076" t="str">
        <x:v>REGULER</x:v>
      </x:c>
      <x:c r="O2076" t="str">
        <x:v>SOSHUM</x:v>
      </x:c>
      <x:c r="P2076" t="str">
        <x:v>UMUM</x:v>
      </x:c>
      <x:c r="Q2076" s="18" t="n">
        <x:v>0</x:v>
      </x:c>
      <x:c r="R2076" s="18" t="n">
        <x:v>0</x:v>
      </x:c>
      <x:c r="S2076" s="18" t="n">
        <x:v>578.1101154883748</x:v>
      </x:c>
      <x:c r="T2076" s="18" t="n">
        <x:v>646</x:v>
      </x:c>
      <x:c r="U2076" s="18" t="n">
        <x:v>578.1101154883748</x:v>
      </x:c>
      <x:c r="V2076" s="20" t="n">
        <x:v>4.4</x:v>
      </x:c>
      <x:c r="W2076" s="20" t="n">
        <x:v>14.3</x:v>
      </x:c>
      <x:c r="X2076" s="20" t="n">
        <x:v>3.3</x:v>
      </x:c>
      <x:c r="Y2076" t="str">
        <x:v>Basis arsip 2025/2024</x:v>
      </x:c>
      <x:c r="Z2076" t="str">
        <x:v>https://snpmb.id/utbk-snbt/daya-tampung-snbt</x:v>
      </x:c>
      <x:c r="AA2076" t="str">
        <x:v>Tidak Ada</x:v>
      </x:c>
      <x:c r="AB2076" t="str">
        <x:v>Campus=55; Ratio=31.1; Prodi=40; RelDemand=19.7; Capacity=60.0</x:v>
      </x:c>
    </x:row>
    <x:row r="2077">
      <x:c r="A2077" t="n">
        <x:v>2074</x:v>
      </x:c>
      <x:c r="B2077" t="str">
        <x:v>PTN Akademik</x:v>
      </x:c>
      <x:c r="C2077" t="str">
        <x:v>UNIVERSITAS JEMBER</x:v>
      </x:c>
      <x:c r="D2077" t="str">
        <x:v>ILMU SEJARAH</x:v>
      </x:c>
      <x:c r="E2077" t="str">
        <x:v>Sarjana</x:v>
      </x:c>
      <x:c r="F2077" s="18" t="n">
        <x:v>48</x:v>
      </x:c>
      <x:c r="G2077" s="18" t="n">
        <x:v>126</x:v>
      </x:c>
      <x:c r="H2077" s="19" t="n">
        <x:v>2.625</x:v>
      </x:c>
      <x:c r="I2077" s="18" t="n">
        <x:f>ROUND(MIN(Model_Config_v3!$B$6,MAX(Q2077,R2077,S2077*Model_Config_v3!$B$4+T2077*Model_Config_v3!$B$5)),0)</x:f>
        <x:v>619</x:v>
      </x:c>
      <x:c r="J2077" s="18" t="n">
        <x:f>MIN(Model_Config_v3!$B$6,I2077+Model_Config_v3!$B$7)</x:f>
        <x:v>639</x:v>
      </x:c>
      <x:c r="K2077" s="20" t="n">
        <x:v>41</x:v>
      </x:c>
      <x:c r="L2077" t="str">
        <x:v>RELATIF LONGGAR</x:v>
      </x:c>
      <x:c r="M2077" t="str">
        <x:v>SEDANG</x:v>
      </x:c>
      <x:c r="N2077" t="str">
        <x:v>REGULER</x:v>
      </x:c>
      <x:c r="O2077" t="str">
        <x:v>SOSHUM</x:v>
      </x:c>
      <x:c r="P2077" t="str">
        <x:v>UMUM</x:v>
      </x:c>
      <x:c r="Q2077" s="18" t="n">
        <x:v>0</x:v>
      </x:c>
      <x:c r="R2077" s="18" t="n">
        <x:v>0</x:v>
      </x:c>
      <x:c r="S2077" s="18" t="n">
        <x:v>566.1042238516173</x:v>
      </x:c>
      <x:c r="T2077" s="18" t="n">
        <x:v>642</x:v>
      </x:c>
      <x:c r="U2077" s="18" t="n">
        <x:v>566.1042238516173</x:v>
      </x:c>
      <x:c r="V2077" s="20" t="n">
        <x:v>4.4</x:v>
      </x:c>
      <x:c r="W2077" s="20" t="n">
        <x:v>14.3</x:v>
      </x:c>
      <x:c r="X2077" s="20" t="n">
        <x:v>3.3</x:v>
      </x:c>
      <x:c r="Y2077" t="str">
        <x:v>Basis arsip 2025/2024</x:v>
      </x:c>
      <x:c r="Z2077" t="str">
        <x:v>https://snpmb.id/utbk-snbt/daya-tampung-snbt</x:v>
      </x:c>
      <x:c r="AA2077" t="str">
        <x:v>Tidak Ada</x:v>
      </x:c>
      <x:c r="AB2077" t="str">
        <x:v>Campus=55; Ratio=24.7; Prodi=40; RelDemand=15.3; Capacity=60.0</x:v>
      </x:c>
    </x:row>
    <x:row r="2078">
      <x:c r="A2078" t="n">
        <x:v>2075</x:v>
      </x:c>
      <x:c r="B2078" t="str">
        <x:v>PTN Akademik</x:v>
      </x:c>
      <x:c r="C2078" t="str">
        <x:v>UNIVERSITAS JEMBER</x:v>
      </x:c>
      <x:c r="D2078" t="str">
        <x:v>TELEVISI &amp; FILM</x:v>
      </x:c>
      <x:c r="E2078" t="str">
        <x:v>Sarjana</x:v>
      </x:c>
      <x:c r="F2078" s="18" t="n">
        <x:v>48</x:v>
      </x:c>
      <x:c r="G2078" s="18" t="n">
        <x:v>288</x:v>
      </x:c>
      <x:c r="H2078" s="19" t="n">
        <x:v>6</x:v>
      </x:c>
      <x:c r="I2078" s="18" t="n">
        <x:f>ROUND(MIN(Model_Config_v3!$B$6,MAX(Q2078,R2078,S2078*Model_Config_v3!$B$4+T2078*Model_Config_v3!$B$5)),0)</x:f>
        <x:v>641</x:v>
      </x:c>
      <x:c r="J2078" s="18" t="n">
        <x:f>MIN(Model_Config_v3!$B$6,I2078+Model_Config_v3!$B$7)</x:f>
        <x:v>661</x:v>
      </x:c>
      <x:c r="K2078" s="20" t="n">
        <x:v>48.2</x:v>
      </x:c>
      <x:c r="L2078" t="str">
        <x:v>MENENGAH</x:v>
      </x:c>
      <x:c r="M2078" t="str">
        <x:v>SEDANG</x:v>
      </x:c>
      <x:c r="N2078" t="str">
        <x:v>REGULER</x:v>
      </x:c>
      <x:c r="O2078" t="str">
        <x:v>CAMPURAN</x:v>
      </x:c>
      <x:c r="P2078" t="str">
        <x:v>UMUM</x:v>
      </x:c>
      <x:c r="Q2078" s="18" t="n">
        <x:v>0</x:v>
      </x:c>
      <x:c r="R2078" s="18" t="n">
        <x:v>0</x:v>
      </x:c>
      <x:c r="S2078" s="18" t="n">
        <x:v>605.5966375422008</x:v>
      </x:c>
      <x:c r="T2078" s="18" t="n">
        <x:v>656</x:v>
      </x:c>
      <x:c r="U2078" s="18" t="n">
        <x:v>605.5966375422008</x:v>
      </x:c>
      <x:c r="V2078" s="20" t="n">
        <x:v>8.8</x:v>
      </x:c>
      <x:c r="W2078" s="20" t="n">
        <x:v>9.9</x:v>
      </x:c>
      <x:c r="X2078" s="20" t="n">
        <x:v>3.3</x:v>
      </x:c>
      <x:c r="Y2078" t="str">
        <x:v>Basis arsip 2025/2024</x:v>
      </x:c>
      <x:c r="Z2078" t="str">
        <x:v>https://snpmb.id/utbk-snbt/daya-tampung-snbt</x:v>
      </x:c>
      <x:c r="AA2078" t="str">
        <x:v>Tidak Ada</x:v>
      </x:c>
      <x:c r="AB2078" t="str">
        <x:v>Campus=55; Ratio=45.8; Prodi=40; RelDemand=35.1; Capacity=60.0</x:v>
      </x:c>
    </x:row>
    <x:row r="2079">
      <x:c r="A2079" t="n">
        <x:v>2076</x:v>
      </x:c>
      <x:c r="B2079" t="str">
        <x:v>PTN Akademik</x:v>
      </x:c>
      <x:c r="C2079" t="str">
        <x:v>UNIVERSITAS JEMBER</x:v>
      </x:c>
      <x:c r="D2079" t="str">
        <x:v>PG PAUD</x:v>
      </x:c>
      <x:c r="E2079" t="str">
        <x:v>Sarjana</x:v>
      </x:c>
      <x:c r="F2079" s="18" t="n">
        <x:v>66</x:v>
      </x:c>
      <x:c r="G2079" s="18" t="n">
        <x:v>139</x:v>
      </x:c>
      <x:c r="H2079" s="19" t="n">
        <x:v>2.106060606060606</x:v>
      </x:c>
      <x:c r="I2079" s="18" t="n">
        <x:f>ROUND(MIN(Model_Config_v3!$B$6,MAX(Q2079,R2079,S2079*Model_Config_v3!$B$4+T2079*Model_Config_v3!$B$5)),0)</x:f>
        <x:v>611</x:v>
      </x:c>
      <x:c r="J2079" s="18" t="n">
        <x:f>MIN(Model_Config_v3!$B$6,I2079+Model_Config_v3!$B$7)</x:f>
        <x:v>631</x:v>
      </x:c>
      <x:c r="K2079" s="20" t="n">
        <x:v>37.7</x:v>
      </x:c>
      <x:c r="L2079" t="str">
        <x:v>RELATIF LONGGAR</x:v>
      </x:c>
      <x:c r="M2079" t="str">
        <x:v>SEDANG</x:v>
      </x:c>
      <x:c r="N2079" t="str">
        <x:v>REGULER</x:v>
      </x:c>
      <x:c r="O2079" t="str">
        <x:v>CAMPURAN</x:v>
      </x:c>
      <x:c r="P2079" t="str">
        <x:v>UMUM</x:v>
      </x:c>
      <x:c r="Q2079" s="18" t="n">
        <x:v>0</x:v>
      </x:c>
      <x:c r="R2079" s="18" t="n">
        <x:v>0</x:v>
      </x:c>
      <x:c r="S2079" s="18" t="n">
        <x:v>555.5817951183449</x:v>
      </x:c>
      <x:c r="T2079" s="18" t="n">
        <x:v>635</x:v>
      </x:c>
      <x:c r="U2079" s="18" t="n">
        <x:v>555.5817951183449</x:v>
      </x:c>
      <x:c r="V2079" s="20" t="n">
        <x:v>8.8</x:v>
      </x:c>
      <x:c r="W2079" s="20" t="n">
        <x:v>9.9</x:v>
      </x:c>
      <x:c r="X2079" s="20" t="n">
        <x:v>3.3</x:v>
      </x:c>
      <x:c r="Y2079" t="str">
        <x:v>Basis arsip 2025/2024</x:v>
      </x:c>
      <x:c r="Z2079" t="str">
        <x:v>https://snpmb.id/utbk-snbt/daya-tampung-snbt</x:v>
      </x:c>
      <x:c r="AA2079" t="str">
        <x:v>Tidak Ada</x:v>
      </x:c>
      <x:c r="AB2079" t="str">
        <x:v>Campus=55; Ratio=19.0; Prodi=40; RelDemand=12.3; Capacity=45.0</x:v>
      </x:c>
    </x:row>
    <x:row r="2080">
      <x:c r="A2080" t="n">
        <x:v>2077</x:v>
      </x:c>
      <x:c r="B2080" t="str">
        <x:v>PTN Akademik</x:v>
      </x:c>
      <x:c r="C2080" t="str">
        <x:v>UNIVERSITAS JEMBER</x:v>
      </x:c>
      <x:c r="D2080" t="str">
        <x:v>EKONOMI SYARIAH</x:v>
      </x:c>
      <x:c r="E2080" t="str">
        <x:v>Sarjana</x:v>
      </x:c>
      <x:c r="F2080" s="18" t="n">
        <x:v>48</x:v>
      </x:c>
      <x:c r="G2080" s="18" t="n">
        <x:v>240</x:v>
      </x:c>
      <x:c r="H2080" s="19" t="n">
        <x:v>5</x:v>
      </x:c>
      <x:c r="I2080" s="18" t="n">
        <x:f>ROUND(MIN(Model_Config_v3!$B$6,MAX(Q2080,R2080,S2080*Model_Config_v3!$B$4+T2080*Model_Config_v3!$B$5)),0)</x:f>
        <x:v>636</x:v>
      </x:c>
      <x:c r="J2080" s="18" t="n">
        <x:f>MIN(Model_Config_v3!$B$6,I2080+Model_Config_v3!$B$7)</x:f>
        <x:v>656</x:v>
      </x:c>
      <x:c r="K2080" s="20" t="n">
        <x:v>46.5</x:v>
      </x:c>
      <x:c r="L2080" t="str">
        <x:v>MENENGAH</x:v>
      </x:c>
      <x:c r="M2080" t="str">
        <x:v>SEDANG</x:v>
      </x:c>
      <x:c r="N2080" t="str">
        <x:v>REGULER</x:v>
      </x:c>
      <x:c r="O2080" t="str">
        <x:v>SOSHUM</x:v>
      </x:c>
      <x:c r="P2080" t="str">
        <x:v>UMUM</x:v>
      </x:c>
      <x:c r="Q2080" s="18" t="n">
        <x:v>0</x:v>
      </x:c>
      <x:c r="R2080" s="18" t="n">
        <x:v>0</x:v>
      </x:c>
      <x:c r="S2080" s="18" t="n">
        <x:v>596.886700476962</x:v>
      </x:c>
      <x:c r="T2080" s="18" t="n">
        <x:v>653</x:v>
      </x:c>
      <x:c r="U2080" s="18" t="n">
        <x:v>596.886700476962</x:v>
      </x:c>
      <x:c r="V2080" s="20" t="n">
        <x:v>4.4</x:v>
      </x:c>
      <x:c r="W2080" s="20" t="n">
        <x:v>14.3</x:v>
      </x:c>
      <x:c r="X2080" s="20" t="n">
        <x:v>3.3</x:v>
      </x:c>
      <x:c r="Y2080" t="str">
        <x:v>Basis arsip 2025/2024</x:v>
      </x:c>
      <x:c r="Z2080" t="str">
        <x:v>https://snpmb.id/utbk-snbt/daya-tampung-snbt</x:v>
      </x:c>
      <x:c r="AA2080" t="str">
        <x:v>Tidak Ada</x:v>
      </x:c>
      <x:c r="AB2080" t="str">
        <x:v>Campus=55; Ratio=41.1; Prodi=40; RelDemand=29.2; Capacity=60.0</x:v>
      </x:c>
    </x:row>
    <x:row r="2081">
      <x:c r="A2081" t="n">
        <x:v>2078</x:v>
      </x:c>
      <x:c r="B2081" t="str">
        <x:v>PTN Akademik</x:v>
      </x:c>
      <x:c r="C2081" t="str">
        <x:v>UNIVERSITAS JEMBER</x:v>
      </x:c>
      <x:c r="D2081" t="str">
        <x:v>PENDIDIKAN GEOGRAFI</x:v>
      </x:c>
      <x:c r="E2081" t="str">
        <x:v>Sarjana</x:v>
      </x:c>
      <x:c r="F2081" s="18" t="n">
        <x:v>48</x:v>
      </x:c>
      <x:c r="G2081" s="18" t="n">
        <x:v>173</x:v>
      </x:c>
      <x:c r="H2081" s="19" t="n">
        <x:v>3.6041666666666665</x:v>
      </x:c>
      <x:c r="I2081" s="18" t="n">
        <x:f>ROUND(MIN(Model_Config_v3!$B$6,MAX(Q2081,R2081,S2081*Model_Config_v3!$B$4+T2081*Model_Config_v3!$B$5)),0)</x:f>
        <x:v>629</x:v>
      </x:c>
      <x:c r="J2081" s="18" t="n">
        <x:f>MIN(Model_Config_v3!$B$6,I2081+Model_Config_v3!$B$7)</x:f>
        <x:v>649</x:v>
      </x:c>
      <x:c r="K2081" s="20" t="n">
        <x:v>44.5</x:v>
      </x:c>
      <x:c r="L2081" t="str">
        <x:v>RELATIF LONGGAR</x:v>
      </x:c>
      <x:c r="M2081" t="str">
        <x:v>SEDANG+</x:v>
      </x:c>
      <x:c r="N2081" t="str">
        <x:v>REGULER</x:v>
      </x:c>
      <x:c r="O2081" t="str">
        <x:v>CAMPURAN</x:v>
      </x:c>
      <x:c r="P2081" t="str">
        <x:v>PENDIDIKAN</x:v>
      </x:c>
      <x:c r="Q2081" s="18" t="n">
        <x:v>0</x:v>
      </x:c>
      <x:c r="R2081" s="18" t="n">
        <x:v>0</x:v>
      </x:c>
      <x:c r="S2081" s="18" t="n">
        <x:v>581.2485352328529</x:v>
      </x:c>
      <x:c r="T2081" s="18" t="n">
        <x:v>649</x:v>
      </x:c>
      <x:c r="U2081" s="18" t="n">
        <x:v>581.2485352328529</x:v>
      </x:c>
      <x:c r="V2081" s="20" t="n">
        <x:v>8.8</x:v>
      </x:c>
      <x:c r="W2081" s="20" t="n">
        <x:v>9.9</x:v>
      </x:c>
      <x:c r="X2081" s="20" t="n">
        <x:v>3.3</x:v>
      </x:c>
      <x:c r="Y2081" t="str">
        <x:v>Basis arsip 2025/2024</x:v>
      </x:c>
      <x:c r="Z2081" t="str">
        <x:v>https://snpmb.id/utbk-snbt/daya-tampung-snbt</x:v>
      </x:c>
      <x:c r="AA2081" t="str">
        <x:v>Tidak Ada</x:v>
      </x:c>
      <x:c r="AB2081" t="str">
        <x:v>Campus=55; Ratio=32.8; Prodi=45; RelDemand=21.1; Capacity=60.0</x:v>
      </x:c>
    </x:row>
    <x:row r="2082">
      <x:c r="A2082" t="n">
        <x:v>2079</x:v>
      </x:c>
      <x:c r="B2082" t="str">
        <x:v>PTN Akademik</x:v>
      </x:c>
      <x:c r="C2082" t="str">
        <x:v>UNIVERSITAS JEMBER</x:v>
      </x:c>
      <x:c r="D2082" t="str">
        <x:v>EKONOMI SYARIAH KAMPUS BONDOWOSO</x:v>
      </x:c>
      <x:c r="E2082" t="str">
        <x:v>Sarjana</x:v>
      </x:c>
      <x:c r="F2082" s="18" t="n">
        <x:v>26</x:v>
      </x:c>
      <x:c r="G2082" s="18" t="n">
        <x:v>73</x:v>
      </x:c>
      <x:c r="H2082" s="19" t="n">
        <x:v>2.8076923076923075</x:v>
      </x:c>
      <x:c r="I2082" s="18" t="n">
        <x:f>ROUND(MIN(Model_Config_v3!$B$6,MAX(Q2082,R2082,S2082*Model_Config_v3!$B$4+T2082*Model_Config_v3!$B$5)),0)</x:f>
        <x:v>624</x:v>
      </x:c>
      <x:c r="J2082" s="18" t="n">
        <x:f>MIN(Model_Config_v3!$B$6,I2082+Model_Config_v3!$B$7)</x:f>
        <x:v>644</x:v>
      </x:c>
      <x:c r="K2082" s="20" t="n">
        <x:v>43.3</x:v>
      </x:c>
      <x:c r="L2082" t="str">
        <x:v>RELATIF LONGGAR</x:v>
      </x:c>
      <x:c r="M2082" t="str">
        <x:v>SEDANG</x:v>
      </x:c>
      <x:c r="N2082" t="str">
        <x:v>REGULER</x:v>
      </x:c>
      <x:c r="O2082" t="str">
        <x:v>SOSHUM</x:v>
      </x:c>
      <x:c r="P2082" t="str">
        <x:v>UMUM</x:v>
      </x:c>
      <x:c r="Q2082" s="18" t="n">
        <x:v>0</x:v>
      </x:c>
      <x:c r="R2082" s="18" t="n">
        <x:v>0</x:v>
      </x:c>
      <x:c r="S2082" s="18" t="n">
        <x:v>569.3184463364602</x:v>
      </x:c>
      <x:c r="T2082" s="18" t="n">
        <x:v>647</x:v>
      </x:c>
      <x:c r="U2082" s="18" t="n">
        <x:v>569.3184463364602</x:v>
      </x:c>
      <x:c r="V2082" s="20" t="n">
        <x:v>4.4</x:v>
      </x:c>
      <x:c r="W2082" s="20" t="n">
        <x:v>14.3</x:v>
      </x:c>
      <x:c r="X2082" s="20" t="n">
        <x:v>3.3</x:v>
      </x:c>
      <x:c r="Y2082" t="str">
        <x:v>Basis arsip 2025/2024</x:v>
      </x:c>
      <x:c r="Z2082" t="str">
        <x:v>https://snpmb.id/utbk-snbt/daya-tampung-snbt</x:v>
      </x:c>
      <x:c r="AA2082" t="str">
        <x:v>Tidak Ada</x:v>
      </x:c>
      <x:c r="AB2082" t="str">
        <x:v>Campus=55; Ratio=26.4; Prodi=40; RelDemand=16.4; Capacity=78.3</x:v>
      </x:c>
    </x:row>
    <x:row r="2083">
      <x:c r="A2083" t="n">
        <x:v>2080</x:v>
      </x:c>
      <x:c r="B2083" t="str">
        <x:v>PTN Akademik</x:v>
      </x:c>
      <x:c r="C2083" t="str">
        <x:v>UNIVERSITAS JEMBER</x:v>
      </x:c>
      <x:c r="D2083" t="str">
        <x:v>PEND. GURU SEKOLAH DASAR KAMPUS BONDOWOSO</x:v>
      </x:c>
      <x:c r="E2083" t="str">
        <x:v>Sarjana</x:v>
      </x:c>
      <x:c r="F2083" s="18" t="n">
        <x:v>48</x:v>
      </x:c>
      <x:c r="G2083" s="18" t="n">
        <x:v>205</x:v>
      </x:c>
      <x:c r="H2083" s="19" t="n">
        <x:v>4.270833333333333</x:v>
      </x:c>
      <x:c r="I2083" s="18" t="n">
        <x:f>ROUND(MIN(Model_Config_v3!$B$6,MAX(Q2083,R2083,S2083*Model_Config_v3!$B$4+T2083*Model_Config_v3!$B$5)),0)</x:f>
        <x:v>633</x:v>
      </x:c>
      <x:c r="J2083" s="18" t="n">
        <x:f>MIN(Model_Config_v3!$B$6,I2083+Model_Config_v3!$B$7)</x:f>
        <x:v>653</x:v>
      </x:c>
      <x:c r="K2083" s="20" t="n">
        <x:v>46</x:v>
      </x:c>
      <x:c r="L2083" t="str">
        <x:v>MENENGAH</x:v>
      </x:c>
      <x:c r="M2083" t="str">
        <x:v>SEDANG+</x:v>
      </x:c>
      <x:c r="N2083" t="str">
        <x:v>REGULER</x:v>
      </x:c>
      <x:c r="O2083" t="str">
        <x:v>CAMPURAN</x:v>
      </x:c>
      <x:c r="P2083" t="str">
        <x:v>PENDIDIKAN</x:v>
      </x:c>
      <x:c r="Q2083" s="18" t="n">
        <x:v>0</x:v>
      </x:c>
      <x:c r="R2083" s="18" t="n">
        <x:v>0</x:v>
      </x:c>
      <x:c r="S2083" s="18" t="n">
        <x:v>589.3563886048183</x:v>
      </x:c>
      <x:c r="T2083" s="18" t="n">
        <x:v>652</x:v>
      </x:c>
      <x:c r="U2083" s="18" t="n">
        <x:v>589.3563886048183</x:v>
      </x:c>
      <x:c r="V2083" s="20" t="n">
        <x:v>8.8</x:v>
      </x:c>
      <x:c r="W2083" s="20" t="n">
        <x:v>9.9</x:v>
      </x:c>
      <x:c r="X2083" s="20" t="n">
        <x:v>3.3</x:v>
      </x:c>
      <x:c r="Y2083" t="str">
        <x:v>Basis arsip 2025/2024</x:v>
      </x:c>
      <x:c r="Z2083" t="str">
        <x:v>https://snpmb.id/utbk-snbt/daya-tampung-snbt</x:v>
      </x:c>
      <x:c r="AA2083" t="str">
        <x:v>Tidak Ada</x:v>
      </x:c>
      <x:c r="AB2083" t="str">
        <x:v>Campus=55; Ratio=37.1; Prodi=45; RelDemand=25.0; Capacity=60.0</x:v>
      </x:c>
    </x:row>
    <x:row r="2084">
      <x:c r="A2084" t="n">
        <x:v>2081</x:v>
      </x:c>
      <x:c r="B2084" t="str">
        <x:v>PTN Akademik</x:v>
      </x:c>
      <x:c r="C2084" t="str">
        <x:v>UNIVERSITAS JEMBER</x:v>
      </x:c>
      <x:c r="D2084" t="str">
        <x:v>TEKNOLOGI REKAYASA KONSTRUKSI BANGUNAN GEDUNG</x:v>
      </x:c>
      <x:c r="E2084" t="str">
        <x:v>Sarjana Terapan</x:v>
      </x:c>
      <x:c r="F2084" s="18" t="n">
        <x:v>24</x:v>
      </x:c>
      <x:c r="G2084" s="18" t="n">
        <x:v>282</x:v>
      </x:c>
      <x:c r="H2084" s="19" t="n">
        <x:v>11.75</x:v>
      </x:c>
      <x:c r="I2084" s="18" t="n">
        <x:f>ROUND(MIN(Model_Config_v3!$B$6,MAX(Q2084,R2084,S2084*Model_Config_v3!$B$4+T2084*Model_Config_v3!$B$5)),0)</x:f>
        <x:v>665</x:v>
      </x:c>
      <x:c r="J2084" s="18" t="n">
        <x:f>MIN(Model_Config_v3!$B$6,I2084+Model_Config_v3!$B$7)</x:f>
        <x:v>685</x:v>
      </x:c>
      <x:c r="K2084" s="20" t="n">
        <x:v>57.9</x:v>
      </x:c>
      <x:c r="L2084" t="str">
        <x:v>KETAT</x:v>
      </x:c>
      <x:c r="M2084" t="str">
        <x:v>SEDANG</x:v>
      </x:c>
      <x:c r="N2084" t="str">
        <x:v>REGULER</x:v>
      </x:c>
      <x:c r="O2084" t="str">
        <x:v>SAINTEK</x:v>
      </x:c>
      <x:c r="P2084" t="str">
        <x:v>UMUM</x:v>
      </x:c>
      <x:c r="Q2084" s="18" t="n">
        <x:v>0</x:v>
      </x:c>
      <x:c r="R2084" s="18" t="n">
        <x:v>0</x:v>
      </x:c>
      <x:c r="S2084" s="18" t="n">
        <x:v>637.7041653268531</x:v>
      </x:c>
      <x:c r="T2084" s="18" t="n">
        <x:v>676</x:v>
      </x:c>
      <x:c r="U2084" s="18" t="n">
        <x:v>637.7041653268531</x:v>
      </x:c>
      <x:c r="V2084" s="20" t="n">
        <x:v>12</x:v>
      </x:c>
      <x:c r="W2084" s="20" t="n">
        <x:v>5</x:v>
      </x:c>
      <x:c r="X2084" s="20" t="n">
        <x:v>3</x:v>
      </x:c>
      <x:c r="Y2084" t="str">
        <x:v>Basis arsip 2025/2024</x:v>
      </x:c>
      <x:c r="Z2084" t="str">
        <x:v>https://snpmb.id/utbk-snbt/daya-tampung-snbt</x:v>
      </x:c>
      <x:c r="AA2084" t="str">
        <x:v>Tidak Ada</x:v>
      </x:c>
      <x:c r="AB2084" t="str">
        <x:v>Campus=55; Ratio=63.0; Prodi=40; RelDemand=68.7; Capacity=80.0</x:v>
      </x:c>
    </x:row>
    <x:row r="2085">
      <x:c r="A2085" t="n">
        <x:v>2082</x:v>
      </x:c>
      <x:c r="B2085" t="str">
        <x:v>PTN Akademik</x:v>
      </x:c>
      <x:c r="C2085" t="str">
        <x:v>UNIVERSITAS JEMBER</x:v>
      </x:c>
      <x:c r="D2085" t="str">
        <x:v>REKAYASA PERANCANGAN MEKANIK</x:v>
      </x:c>
      <x:c r="E2085" t="str">
        <x:v>Sarjana Terapan</x:v>
      </x:c>
      <x:c r="F2085" s="18" t="n">
        <x:v>24</x:v>
      </x:c>
      <x:c r="G2085" s="18" t="n">
        <x:v>89</x:v>
      </x:c>
      <x:c r="H2085" s="19" t="n">
        <x:v>3.7083333333333335</x:v>
      </x:c>
      <x:c r="I2085" s="18" t="n">
        <x:f>ROUND(MIN(Model_Config_v3!$B$6,MAX(Q2085,R2085,S2085*Model_Config_v3!$B$4+T2085*Model_Config_v3!$B$5)),0)</x:f>
        <x:v>631</x:v>
      </x:c>
      <x:c r="J2085" s="18" t="n">
        <x:f>MIN(Model_Config_v3!$B$6,I2085+Model_Config_v3!$B$7)</x:f>
        <x:v>651</x:v>
      </x:c>
      <x:c r="K2085" s="20" t="n">
        <x:v>45.8</x:v>
      </x:c>
      <x:c r="L2085" t="str">
        <x:v>MENENGAH</x:v>
      </x:c>
      <x:c r="M2085" t="str">
        <x:v>SEDANG</x:v>
      </x:c>
      <x:c r="N2085" t="str">
        <x:v>REGULER</x:v>
      </x:c>
      <x:c r="O2085" t="str">
        <x:v>CAMPURAN</x:v>
      </x:c>
      <x:c r="P2085" t="str">
        <x:v>UMUM</x:v>
      </x:c>
      <x:c r="Q2085" s="18" t="n">
        <x:v>0</x:v>
      </x:c>
      <x:c r="R2085" s="18" t="n">
        <x:v>0</x:v>
      </x:c>
      <x:c r="S2085" s="18" t="n">
        <x:v>582.6096641426637</x:v>
      </x:c>
      <x:c r="T2085" s="18" t="n">
        <x:v>652</x:v>
      </x:c>
      <x:c r="U2085" s="18" t="n">
        <x:v>582.6096641426637</x:v>
      </x:c>
      <x:c r="V2085" s="20" t="n">
        <x:v>8.8</x:v>
      </x:c>
      <x:c r="W2085" s="20" t="n">
        <x:v>9.9</x:v>
      </x:c>
      <x:c r="X2085" s="20" t="n">
        <x:v>3.3</x:v>
      </x:c>
      <x:c r="Y2085" t="str">
        <x:v>Basis arsip 2025/2024</x:v>
      </x:c>
      <x:c r="Z2085" t="str">
        <x:v>https://snpmb.id/utbk-snbt/daya-tampung-snbt</x:v>
      </x:c>
      <x:c r="AA2085" t="str">
        <x:v>Tidak Ada</x:v>
      </x:c>
      <x:c r="AB2085" t="str">
        <x:v>Campus=55; Ratio=33.5; Prodi=40; RelDemand=21.7; Capacity=80.0</x:v>
      </x:c>
    </x:row>
    <x:row r="2086">
      <x:c r="A2086" t="n">
        <x:v>2083</x:v>
      </x:c>
      <x:c r="B2086" t="str">
        <x:v>PTN Akademik</x:v>
      </x:c>
      <x:c r="C2086" t="str">
        <x:v>UNIVERSITAS JEMBER</x:v>
      </x:c>
      <x:c r="D2086" t="str">
        <x:v>TEKNOLOGI REKAYASA ELEKTRONIKA</x:v>
      </x:c>
      <x:c r="E2086" t="str">
        <x:v>Sarjana Terapan</x:v>
      </x:c>
      <x:c r="F2086" s="18" t="n">
        <x:v>24</x:v>
      </x:c>
      <x:c r="G2086" s="18" t="n">
        <x:v>179</x:v>
      </x:c>
      <x:c r="H2086" s="19" t="n">
        <x:v>7.458333333333333</x:v>
      </x:c>
      <x:c r="I2086" s="18" t="n">
        <x:f>ROUND(MIN(Model_Config_v3!$B$6,MAX(Q2086,R2086,S2086*Model_Config_v3!$B$4+T2086*Model_Config_v3!$B$5)),0)</x:f>
        <x:v>650</x:v>
      </x:c>
      <x:c r="J2086" s="18" t="n">
        <x:f>MIN(Model_Config_v3!$B$6,I2086+Model_Config_v3!$B$7)</x:f>
        <x:v>670</x:v>
      </x:c>
      <x:c r="K2086" s="20" t="n">
        <x:v>52.5</x:v>
      </x:c>
      <x:c r="L2086" t="str">
        <x:v>MENENGAH</x:v>
      </x:c>
      <x:c r="M2086" t="str">
        <x:v>SEDANG</x:v>
      </x:c>
      <x:c r="N2086" t="str">
        <x:v>REGULER</x:v>
      </x:c>
      <x:c r="O2086" t="str">
        <x:v>SAINTEK</x:v>
      </x:c>
      <x:c r="P2086" t="str">
        <x:v>UMUM</x:v>
      </x:c>
      <x:c r="Q2086" s="18" t="n">
        <x:v>0</x:v>
      </x:c>
      <x:c r="R2086" s="18" t="n">
        <x:v>0</x:v>
      </x:c>
      <x:c r="S2086" s="18" t="n">
        <x:v>615.9905968195116</x:v>
      </x:c>
      <x:c r="T2086" s="18" t="n">
        <x:v>665</x:v>
      </x:c>
      <x:c r="U2086" s="18" t="n">
        <x:v>615.9905968195116</x:v>
      </x:c>
      <x:c r="V2086" s="20" t="n">
        <x:v>12</x:v>
      </x:c>
      <x:c r="W2086" s="20" t="n">
        <x:v>5</x:v>
      </x:c>
      <x:c r="X2086" s="20" t="n">
        <x:v>3</x:v>
      </x:c>
      <x:c r="Y2086" t="str">
        <x:v>Basis arsip 2025/2024</x:v>
      </x:c>
      <x:c r="Z2086" t="str">
        <x:v>https://snpmb.id/utbk-snbt/daya-tampung-snbt</x:v>
      </x:c>
      <x:c r="AA2086" t="str">
        <x:v>Tidak Ada</x:v>
      </x:c>
      <x:c r="AB2086" t="str">
        <x:v>Campus=55; Ratio=51.4; Prodi=40; RelDemand=43.6; Capacity=80.0</x:v>
      </x:c>
    </x:row>
    <x:row r="2087">
      <x:c r="A2087" t="n">
        <x:v>2084</x:v>
      </x:c>
      <x:c r="B2087" t="str">
        <x:v>PTN Akademik</x:v>
      </x:c>
      <x:c r="C2087" t="str">
        <x:v>UNIVERSITAS JEMBER</x:v>
      </x:c>
      <x:c r="D2087" t="str">
        <x:v>ADMINISTRASI KEUANGAN</x:v>
      </x:c>
      <x:c r="E2087" t="str">
        <x:v>Diploma Tiga</x:v>
      </x:c>
      <x:c r="F2087" s="18" t="n">
        <x:v>32</x:v>
      </x:c>
      <x:c r="G2087" s="18" t="n">
        <x:v>960</x:v>
      </x:c>
      <x:c r="H2087" s="19" t="n">
        <x:v>30</x:v>
      </x:c>
      <x:c r="I2087" s="18" t="n">
        <x:f>ROUND(MIN(Model_Config_v3!$B$6,MAX(Q2087,R2087,S2087*Model_Config_v3!$B$4+T2087*Model_Config_v3!$B$5)),0)</x:f>
        <x:v>690</x:v>
      </x:c>
      <x:c r="J2087" s="18" t="n">
        <x:f>MIN(Model_Config_v3!$B$6,I2087+Model_Config_v3!$B$7)</x:f>
        <x:v>710</x:v>
      </x:c>
      <x:c r="K2087" s="20" t="n">
        <x:v>66.3</x:v>
      </x:c>
      <x:c r="L2087" t="str">
        <x:v>SANGAT KETAT</x:v>
      </x:c>
      <x:c r="M2087" t="str">
        <x:v>SEDANG</x:v>
      </x:c>
      <x:c r="N2087" t="str">
        <x:v>REGULER</x:v>
      </x:c>
      <x:c r="O2087" t="str">
        <x:v>SOSHUM</x:v>
      </x:c>
      <x:c r="P2087" t="str">
        <x:v>UMUM</x:v>
      </x:c>
      <x:c r="Q2087" s="18" t="n">
        <x:v>0</x:v>
      </x:c>
      <x:c r="R2087" s="18" t="n">
        <x:v>0</x:v>
      </x:c>
      <x:c r="S2087" s="18" t="n">
        <x:v>682.4833380191628</x:v>
      </x:c>
      <x:c r="T2087" s="18" t="n">
        <x:v>693</x:v>
      </x:c>
      <x:c r="U2087" s="18" t="n">
        <x:v>682.4833380191628</x:v>
      </x:c>
      <x:c r="V2087" s="20" t="n">
        <x:v>4.4</x:v>
      </x:c>
      <x:c r="W2087" s="20" t="n">
        <x:v>14.3</x:v>
      </x:c>
      <x:c r="X2087" s="20" t="n">
        <x:v>3.3</x:v>
      </x:c>
      <x:c r="Y2087" t="str">
        <x:v>Basis arsip 2025/2024</x:v>
      </x:c>
      <x:c r="Z2087" t="str">
        <x:v>https://snpmb.id/utbk-snbt/daya-tampung-snbt</x:v>
      </x:c>
      <x:c r="AA2087" t="str">
        <x:v>Tidak Ada</x:v>
      </x:c>
      <x:c r="AB2087" t="str">
        <x:v>Campus=55; Ratio=86.9; Prodi=40; RelDemand=100.0; Capacity=73.3</x:v>
      </x:c>
    </x:row>
    <x:row r="2088">
      <x:c r="A2088" t="n">
        <x:v>2085</x:v>
      </x:c>
      <x:c r="B2088" t="str">
        <x:v>PTN Akademik</x:v>
      </x:c>
      <x:c r="C2088" t="str">
        <x:v>UNIVERSITAS JEMBER</x:v>
      </x:c>
      <x:c r="D2088" t="str">
        <x:v>KEPERAWATAN</x:v>
      </x:c>
      <x:c r="E2088" t="str">
        <x:v>Diploma Tiga</x:v>
      </x:c>
      <x:c r="F2088" s="18" t="n">
        <x:v>72</x:v>
      </x:c>
      <x:c r="G2088" s="18" t="n">
        <x:v>1641</x:v>
      </x:c>
      <x:c r="H2088" s="19" t="n">
        <x:v>22.791666666666668</x:v>
      </x:c>
      <x:c r="I2088" s="18" t="n">
        <x:f>ROUND(MIN(Model_Config_v3!$B$6,MAX(Q2088,R2088,S2088*Model_Config_v3!$B$4+T2088*Model_Config_v3!$B$5)),0)</x:f>
        <x:v>682</x:v>
      </x:c>
      <x:c r="J2088" s="18" t="n">
        <x:f>MIN(Model_Config_v3!$B$6,I2088+Model_Config_v3!$B$7)</x:f>
        <x:v>702</x:v>
      </x:c>
      <x:c r="K2088" s="20" t="n">
        <x:v>64.2</x:v>
      </x:c>
      <x:c r="L2088" t="str">
        <x:v>KETAT</x:v>
      </x:c>
      <x:c r="M2088" t="str">
        <x:v>SEDANG+</x:v>
      </x:c>
      <x:c r="N2088" t="str">
        <x:v>REGULER</x:v>
      </x:c>
      <x:c r="O2088" t="str">
        <x:v>SAINTEK</x:v>
      </x:c>
      <x:c r="P2088" t="str">
        <x:v>KESEHAT/GIZI/KEPERAWATAN</x:v>
      </x:c>
      <x:c r="Q2088" s="18" t="n">
        <x:v>0</x:v>
      </x:c>
      <x:c r="R2088" s="18" t="n">
        <x:v>0</x:v>
      </x:c>
      <x:c r="S2088" s="18" t="n">
        <x:v>669.3553693084007</x:v>
      </x:c>
      <x:c r="T2088" s="18" t="n">
        <x:v>688</x:v>
      </x:c>
      <x:c r="U2088" s="18" t="n">
        <x:v>669.3553693084007</x:v>
      </x:c>
      <x:c r="V2088" s="20" t="n">
        <x:v>12</x:v>
      </x:c>
      <x:c r="W2088" s="20" t="n">
        <x:v>5</x:v>
      </x:c>
      <x:c r="X2088" s="20" t="n">
        <x:v>3</x:v>
      </x:c>
      <x:c r="Y2088" t="str">
        <x:v>Basis arsip 2025/2024</x:v>
      </x:c>
      <x:c r="Z2088" t="str">
        <x:v>https://snpmb.id/utbk-snbt/daya-tampung-snbt</x:v>
      </x:c>
      <x:c r="AA2088" t="str">
        <x:v>Tidak Ada</x:v>
      </x:c>
      <x:c r="AB2088" t="str">
        <x:v>Campus=55; Ratio=79.9; Prodi=55; RelDemand=100.0; Capacity=40.0</x:v>
      </x:c>
    </x:row>
    <x:row r="2089">
      <x:c r="A2089" t="n">
        <x:v>2086</x:v>
      </x:c>
      <x:c r="B2089" t="str">
        <x:v>PTN Akademik</x:v>
      </x:c>
      <x:c r="C2089" t="str">
        <x:v>UNIVERSITAS JEMBER</x:v>
      </x:c>
      <x:c r="D2089" t="str">
        <x:v>AKUNTANSI</x:v>
      </x:c>
      <x:c r="E2089" t="str">
        <x:v>Diploma Tiga</x:v>
      </x:c>
      <x:c r="F2089" s="18" t="n">
        <x:v>36</x:v>
      </x:c>
      <x:c r="G2089" s="18" t="n">
        <x:v>983</x:v>
      </x:c>
      <x:c r="H2089" s="19" t="n">
        <x:v>27.305555555555557</x:v>
      </x:c>
      <x:c r="I2089" s="18" t="n">
        <x:f>ROUND(MIN(Model_Config_v3!$B$6,MAX(Q2089,R2089,S2089*Model_Config_v3!$B$4+T2089*Model_Config_v3!$B$5)),0)</x:f>
        <x:v>694</x:v>
      </x:c>
      <x:c r="J2089" s="18" t="n">
        <x:f>MIN(Model_Config_v3!$B$6,I2089+Model_Config_v3!$B$7)</x:f>
        <x:v>714</x:v>
      </x:c>
      <x:c r="K2089" s="20" t="n">
        <x:v>70.4</x:v>
      </x:c>
      <x:c r="L2089" t="str">
        <x:v>SANGAT KETAT</x:v>
      </x:c>
      <x:c r="M2089" t="str">
        <x:v>SEDANG+</x:v>
      </x:c>
      <x:c r="N2089" t="str">
        <x:v>REGULER</x:v>
      </x:c>
      <x:c r="O2089" t="str">
        <x:v>SOSHUM</x:v>
      </x:c>
      <x:c r="P2089" t="str">
        <x:v>BISNIS/EKONOMI/AKUNTANSI</x:v>
      </x:c>
      <x:c r="Q2089" s="18" t="n">
        <x:v>0</x:v>
      </x:c>
      <x:c r="R2089" s="18" t="n">
        <x:v>0</x:v>
      </x:c>
      <x:c r="S2089" s="18" t="n">
        <x:v>677.9876118771333</x:v>
      </x:c>
      <x:c r="T2089" s="18" t="n">
        <x:v>701</x:v>
      </x:c>
      <x:c r="U2089" s="18" t="n">
        <x:v>677.9876118771333</x:v>
      </x:c>
      <x:c r="V2089" s="20" t="n">
        <x:v>4.4</x:v>
      </x:c>
      <x:c r="W2089" s="20" t="n">
        <x:v>14.3</x:v>
      </x:c>
      <x:c r="X2089" s="20" t="n">
        <x:v>3.3</x:v>
      </x:c>
      <x:c r="Y2089" t="str">
        <x:v>Basis arsip 2025/2024</x:v>
      </x:c>
      <x:c r="Z2089" t="str">
        <x:v>https://snpmb.id/utbk-snbt/daya-tampung-snbt</x:v>
      </x:c>
      <x:c r="AA2089" t="str">
        <x:v>Tidak Ada</x:v>
      </x:c>
      <x:c r="AB2089" t="str">
        <x:v>Campus=55; Ratio=84.5; Prodi=65; RelDemand=100.0; Capacity=70.0</x:v>
      </x:c>
    </x:row>
    <x:row r="2090">
      <x:c r="A2090" t="n">
        <x:v>2087</x:v>
      </x:c>
      <x:c r="B2090" t="str">
        <x:v>PTN Akademik</x:v>
      </x:c>
      <x:c r="C2090" t="str">
        <x:v>UNIVERSITAS JEMBER</x:v>
      </x:c>
      <x:c r="D2090" t="str">
        <x:v>PERPAJAKAN</x:v>
      </x:c>
      <x:c r="E2090" t="str">
        <x:v>Diploma Tiga</x:v>
      </x:c>
      <x:c r="F2090" s="18" t="n">
        <x:v>36</x:v>
      </x:c>
      <x:c r="G2090" s="18" t="n">
        <x:v>1095</x:v>
      </x:c>
      <x:c r="H2090" s="19" t="n">
        <x:v>30.416666666666668</x:v>
      </x:c>
      <x:c r="I2090" s="18" t="n">
        <x:f>ROUND(MIN(Model_Config_v3!$B$6,MAX(Q2090,R2090,S2090*Model_Config_v3!$B$4+T2090*Model_Config_v3!$B$5)),0)</x:f>
        <x:v>689</x:v>
      </x:c>
      <x:c r="J2090" s="18" t="n">
        <x:f>MIN(Model_Config_v3!$B$6,I2090+Model_Config_v3!$B$7)</x:f>
        <x:v>709</x:v>
      </x:c>
      <x:c r="K2090" s="20" t="n">
        <x:v>66.1</x:v>
      </x:c>
      <x:c r="L2090" t="str">
        <x:v>SANGAT KETAT</x:v>
      </x:c>
      <x:c r="M2090" t="str">
        <x:v>SEDANG</x:v>
      </x:c>
      <x:c r="N2090" t="str">
        <x:v>REGULER</x:v>
      </x:c>
      <x:c r="O2090" t="str">
        <x:v>CAMPURAN</x:v>
      </x:c>
      <x:c r="P2090" t="str">
        <x:v>UMUM</x:v>
      </x:c>
      <x:c r="Q2090" s="18" t="n">
        <x:v>0</x:v>
      </x:c>
      <x:c r="R2090" s="18" t="n">
        <x:v>0</x:v>
      </x:c>
      <x:c r="S2090" s="18" t="n">
        <x:v>683.1422780249735</x:v>
      </x:c>
      <x:c r="T2090" s="18" t="n">
        <x:v>692</x:v>
      </x:c>
      <x:c r="U2090" s="18" t="n">
        <x:v>683.1422780249735</x:v>
      </x:c>
      <x:c r="V2090" s="20" t="n">
        <x:v>8.8</x:v>
      </x:c>
      <x:c r="W2090" s="20" t="n">
        <x:v>9.9</x:v>
      </x:c>
      <x:c r="X2090" s="20" t="n">
        <x:v>3.3</x:v>
      </x:c>
      <x:c r="Y2090" t="str">
        <x:v>Basis arsip 2025/2024</x:v>
      </x:c>
      <x:c r="Z2090" t="str">
        <x:v>https://snpmb.id/utbk-snbt/daya-tampung-snbt</x:v>
      </x:c>
      <x:c r="AA2090" t="str">
        <x:v>Tidak Ada</x:v>
      </x:c>
      <x:c r="AB2090" t="str">
        <x:v>Campus=55; Ratio=87.3; Prodi=40; RelDemand=100.0; Capacity=70.0</x:v>
      </x:c>
    </x:row>
    <x:row r="2091">
      <x:c r="A2091" t="n">
        <x:v>2088</x:v>
      </x:c>
      <x:c r="B2091" t="str">
        <x:v>PTN Akademik</x:v>
      </x:c>
      <x:c r="C2091" t="str">
        <x:v>UNIVERSITAS JEMBER</x:v>
      </x:c>
      <x:c r="D2091" t="str">
        <x:v>KEPERAWATAN (KAMPUS KOTA PASURUAN)</x:v>
      </x:c>
      <x:c r="E2091" t="str">
        <x:v>Diploma Tiga</x:v>
      </x:c>
      <x:c r="F2091" s="18" t="n">
        <x:v>64</x:v>
      </x:c>
      <x:c r="G2091" s="18" t="n">
        <x:v>554</x:v>
      </x:c>
      <x:c r="H2091" s="19" t="n">
        <x:v>8.65625</x:v>
      </x:c>
      <x:c r="I2091" s="18" t="n">
        <x:f>ROUND(MIN(Model_Config_v3!$B$6,MAX(Q2091,R2091,S2091*Model_Config_v3!$B$4+T2091*Model_Config_v3!$B$5)),0)</x:f>
        <x:v>655</x:v>
      </x:c>
      <x:c r="J2091" s="18" t="n">
        <x:f>MIN(Model_Config_v3!$B$6,I2091+Model_Config_v3!$B$7)</x:f>
        <x:v>675</x:v>
      </x:c>
      <x:c r="K2091" s="20" t="n">
        <x:v>53.8</x:v>
      </x:c>
      <x:c r="L2091" t="str">
        <x:v>MENENGAH</x:v>
      </x:c>
      <x:c r="M2091" t="str">
        <x:v>SEDANG+</x:v>
      </x:c>
      <x:c r="N2091" t="str">
        <x:v>REGULER</x:v>
      </x:c>
      <x:c r="O2091" t="str">
        <x:v>SAINTEK</x:v>
      </x:c>
      <x:c r="P2091" t="str">
        <x:v>KESEHAT/GIZI/KEPERAWATAN</x:v>
      </x:c>
      <x:c r="Q2091" s="18" t="n">
        <x:v>0</x:v>
      </x:c>
      <x:c r="R2091" s="18" t="n">
        <x:v>0</x:v>
      </x:c>
      <x:c r="S2091" s="18" t="n">
        <x:v>623.1062769818997</x:v>
      </x:c>
      <x:c r="T2091" s="18" t="n">
        <x:v>668</x:v>
      </x:c>
      <x:c r="U2091" s="18" t="n">
        <x:v>623.1062769818997</x:v>
      </x:c>
      <x:c r="V2091" s="20" t="n">
        <x:v>12</x:v>
      </x:c>
      <x:c r="W2091" s="20" t="n">
        <x:v>5</x:v>
      </x:c>
      <x:c r="X2091" s="20" t="n">
        <x:v>3</x:v>
      </x:c>
      <x:c r="Y2091" t="str">
        <x:v>Basis arsip 2025/2024</x:v>
      </x:c>
      <x:c r="Z2091" t="str">
        <x:v>https://snpmb.id/utbk-snbt/daya-tampung-snbt</x:v>
      </x:c>
      <x:c r="AA2091" t="str">
        <x:v>Tidak Ada</x:v>
      </x:c>
      <x:c r="AB2091" t="str">
        <x:v>Campus=55; Ratio=55.2; Prodi=55; RelDemand=50.6; Capacity=46.7</x:v>
      </x:c>
    </x:row>
    <x:row r="2092">
      <x:c r="A2092" t="n">
        <x:v>2089</x:v>
      </x:c>
      <x:c r="B2092" t="str">
        <x:v>PTN Akademik</x:v>
      </x:c>
      <x:c r="C2092" t="str">
        <x:v>UNIVERSITAS JEMBER</x:v>
      </x:c>
      <x:c r="D2092" t="str">
        <x:v>MANAJEMEN PERUSAHAAN</x:v>
      </x:c>
      <x:c r="E2092" t="str">
        <x:v>Diploma Tiga</x:v>
      </x:c>
      <x:c r="F2092" s="18" t="n">
        <x:v>32</x:v>
      </x:c>
      <x:c r="G2092" s="18" t="n">
        <x:v>1177</x:v>
      </x:c>
      <x:c r="H2092" s="19" t="n">
        <x:v>36.78125</x:v>
      </x:c>
      <x:c r="I2092" s="18" t="n">
        <x:f>ROUND(MIN(Model_Config_v3!$B$6,MAX(Q2092,R2092,S2092*Model_Config_v3!$B$4+T2092*Model_Config_v3!$B$5)),0)</x:f>
        <x:v>701</x:v>
      </x:c>
      <x:c r="J2092" s="18" t="n">
        <x:f>MIN(Model_Config_v3!$B$6,I2092+Model_Config_v3!$B$7)</x:f>
        <x:v>721</x:v>
      </x:c>
      <x:c r="K2092" s="20" t="n">
        <x:v>72.6</x:v>
      </x:c>
      <x:c r="L2092" t="str">
        <x:v>SANGAT KETAT</x:v>
      </x:c>
      <x:c r="M2092" t="str">
        <x:v>SEDANG+</x:v>
      </x:c>
      <x:c r="N2092" t="str">
        <x:v>REGULER</x:v>
      </x:c>
      <x:c r="O2092" t="str">
        <x:v>SOSHUM</x:v>
      </x:c>
      <x:c r="P2092" t="str">
        <x:v>BISNIS/EKONOMI/AKUNTANSI</x:v>
      </x:c>
      <x:c r="Q2092" s="18" t="n">
        <x:v>0</x:v>
      </x:c>
      <x:c r="R2092" s="18" t="n">
        <x:v>0</x:v>
      </x:c>
      <x:c r="S2092" s="18" t="n">
        <x:v>692.2189132975882</x:v>
      </x:c>
      <x:c r="T2092" s="18" t="n">
        <x:v>705</x:v>
      </x:c>
      <x:c r="U2092" s="18" t="n">
        <x:v>707.2189132975882</x:v>
      </x:c>
      <x:c r="V2092" s="20" t="n">
        <x:v>4.4</x:v>
      </x:c>
      <x:c r="W2092" s="20" t="n">
        <x:v>14.3</x:v>
      </x:c>
      <x:c r="X2092" s="20" t="n">
        <x:v>3.3</x:v>
      </x:c>
      <x:c r="Y2092" t="str">
        <x:v>Basis arsip 2025/2024</x:v>
      </x:c>
      <x:c r="Z2092" t="str">
        <x:v>https://snpmb.id/utbk-snbt/daya-tampung-snbt</x:v>
      </x:c>
      <x:c r="AA2092" t="str">
        <x:v>Tidak Ada</x:v>
      </x:c>
      <x:c r="AB2092" t="str">
        <x:v>Campus=55; Ratio=92.2; Prodi=65; RelDemand=100.0; Capacity=73.3</x:v>
      </x:c>
    </x:row>
    <x:row r="2093">
      <x:c r="A2093" t="n">
        <x:v>2090</x:v>
      </x:c>
      <x:c r="B2093" t="str">
        <x:v>PTN Akademik</x:v>
      </x:c>
      <x:c r="C2093" t="str">
        <x:v>UNIVERSITAS JEMBER</x:v>
      </x:c>
      <x:c r="D2093" t="str">
        <x:v>KESEKRETARIATAN</x:v>
      </x:c>
      <x:c r="E2093" t="str">
        <x:v>Diploma Tiga</x:v>
      </x:c>
      <x:c r="F2093" s="18" t="n">
        <x:v>32</x:v>
      </x:c>
      <x:c r="G2093" s="18" t="n">
        <x:v>525</x:v>
      </x:c>
      <x:c r="H2093" s="19" t="n">
        <x:v>16.40625</x:v>
      </x:c>
      <x:c r="I2093" s="18" t="n">
        <x:f>ROUND(MIN(Model_Config_v3!$B$6,MAX(Q2093,R2093,S2093*Model_Config_v3!$B$4+T2093*Model_Config_v3!$B$5)),0)</x:f>
        <x:v>675</x:v>
      </x:c>
      <x:c r="J2093" s="18" t="n">
        <x:f>MIN(Model_Config_v3!$B$6,I2093+Model_Config_v3!$B$7)</x:f>
        <x:v>695</x:v>
      </x:c>
      <x:c r="K2093" s="20" t="n">
        <x:v>62.1</x:v>
      </x:c>
      <x:c r="L2093" t="str">
        <x:v>KETAT</x:v>
      </x:c>
      <x:c r="M2093" t="str">
        <x:v>SEDANG</x:v>
      </x:c>
      <x:c r="N2093" t="str">
        <x:v>REGULER</x:v>
      </x:c>
      <x:c r="O2093" t="str">
        <x:v>CAMPURAN</x:v>
      </x:c>
      <x:c r="P2093" t="str">
        <x:v>UMUM</x:v>
      </x:c>
      <x:c r="Q2093" s="18" t="n">
        <x:v>0</x:v>
      </x:c>
      <x:c r="R2093" s="18" t="n">
        <x:v>0</x:v>
      </x:c>
      <x:c r="S2093" s="18" t="n">
        <x:v>653.6510257594656</x:v>
      </x:c>
      <x:c r="T2093" s="18" t="n">
        <x:v>684</x:v>
      </x:c>
      <x:c r="U2093" s="18" t="n">
        <x:v>653.6510257594656</x:v>
      </x:c>
      <x:c r="V2093" s="20" t="n">
        <x:v>8.8</x:v>
      </x:c>
      <x:c r="W2093" s="20" t="n">
        <x:v>9.9</x:v>
      </x:c>
      <x:c r="X2093" s="20" t="n">
        <x:v>3.3</x:v>
      </x:c>
      <x:c r="Y2093" t="str">
        <x:v>Basis arsip 2025/2024</x:v>
      </x:c>
      <x:c r="Z2093" t="str">
        <x:v>https://snpmb.id/utbk-snbt/daya-tampung-snbt</x:v>
      </x:c>
      <x:c r="AA2093" t="str">
        <x:v>Tidak Ada</x:v>
      </x:c>
      <x:c r="AB2093" t="str">
        <x:v>Campus=55; Ratio=71.5; Prodi=40; RelDemand=95.9; Capacity=73.3</x:v>
      </x:c>
    </x:row>
    <x:row r="2094">
      <x:c r="A2094" t="n">
        <x:v>2091</x:v>
      </x:c>
      <x:c r="B2094" t="str">
        <x:v>PTN Akademik</x:v>
      </x:c>
      <x:c r="C2094" t="str">
        <x:v>UNIVERSITAS JEMBER</x:v>
      </x:c>
      <x:c r="D2094" t="str">
        <x:v>USAHA PERJALANAN WISATA</x:v>
      </x:c>
      <x:c r="E2094" t="str">
        <x:v>Diploma Tiga</x:v>
      </x:c>
      <x:c r="F2094" s="18" t="n">
        <x:v>36</x:v>
      </x:c>
      <x:c r="G2094" s="18" t="n">
        <x:v>526</x:v>
      </x:c>
      <x:c r="H2094" s="19" t="n">
        <x:v>14.61111111111111</x:v>
      </x:c>
      <x:c r="I2094" s="18" t="n">
        <x:f>ROUND(MIN(Model_Config_v3!$B$6,MAX(Q2094,R2094,S2094*Model_Config_v3!$B$4+T2094*Model_Config_v3!$B$5)),0)</x:f>
        <x:v>670</x:v>
      </x:c>
      <x:c r="J2094" s="18" t="n">
        <x:f>MIN(Model_Config_v3!$B$6,I2094+Model_Config_v3!$B$7)</x:f>
        <x:v>690</x:v>
      </x:c>
      <x:c r="K2094" s="20" t="n">
        <x:v>59.9</x:v>
      </x:c>
      <x:c r="L2094" t="str">
        <x:v>KETAT</x:v>
      </x:c>
      <x:c r="M2094" t="str">
        <x:v>SEDANG</x:v>
      </x:c>
      <x:c r="N2094" t="str">
        <x:v>REGULER</x:v>
      </x:c>
      <x:c r="O2094" t="str">
        <x:v>CAMPURAN</x:v>
      </x:c>
      <x:c r="P2094" t="str">
        <x:v>UMUM</x:v>
      </x:c>
      <x:c r="Q2094" s="18" t="n">
        <x:v>0</x:v>
      </x:c>
      <x:c r="R2094" s="18" t="n">
        <x:v>0</x:v>
      </x:c>
      <x:c r="S2094" s="18" t="n">
        <x:v>648.1151567725096</x:v>
      </x:c>
      <x:c r="T2094" s="18" t="n">
        <x:v>680</x:v>
      </x:c>
      <x:c r="U2094" s="18" t="n">
        <x:v>648.1151567725096</x:v>
      </x:c>
      <x:c r="V2094" s="20" t="n">
        <x:v>8.8</x:v>
      </x:c>
      <x:c r="W2094" s="20" t="n">
        <x:v>9.9</x:v>
      </x:c>
      <x:c r="X2094" s="20" t="n">
        <x:v>3.3</x:v>
      </x:c>
      <x:c r="Y2094" t="str">
        <x:v>Basis arsip 2025/2024</x:v>
      </x:c>
      <x:c r="Z2094" t="str">
        <x:v>https://snpmb.id/utbk-snbt/daya-tampung-snbt</x:v>
      </x:c>
      <x:c r="AA2094" t="str">
        <x:v>Tidak Ada</x:v>
      </x:c>
      <x:c r="AB2094" t="str">
        <x:v>Campus=55; Ratio=68.6; Prodi=40; RelDemand=85.4; Capacity=70.0</x:v>
      </x:c>
    </x:row>
    <x:row r="2095">
      <x:c r="A2095" t="n">
        <x:v>2092</x:v>
      </x:c>
      <x:c r="B2095" t="str">
        <x:v>PTN Akademik</x:v>
      </x:c>
      <x:c r="C2095" t="str">
        <x:v>UNIVERSITAS BRAWIJAYA</x:v>
      </x:c>
      <x:c r="D2095" t="str">
        <x:v>MANAJEMEN SUMBERDAYA PERAIRAN</x:v>
      </x:c>
      <x:c r="E2095" t="str">
        <x:v>Sarjana</x:v>
      </x:c>
      <x:c r="F2095" s="18" t="n">
        <x:v>60</x:v>
      </x:c>
      <x:c r="G2095" s="18" t="n">
        <x:v>225</x:v>
      </x:c>
      <x:c r="H2095" s="19" t="n">
        <x:v>3.75</x:v>
      </x:c>
      <x:c r="I2095" s="18" t="n">
        <x:f>ROUND(MIN(Model_Config_v3!$B$6,MAX(Q2095,R2095,S2095*Model_Config_v3!$B$4+T2095*Model_Config_v3!$B$5)),0)</x:f>
        <x:v>680</x:v>
      </x:c>
      <x:c r="J2095" s="18" t="n">
        <x:f>MIN(Model_Config_v3!$B$6,I2095+Model_Config_v3!$B$7)</x:f>
        <x:v>700</x:v>
      </x:c>
      <x:c r="K2095" s="20" t="n">
        <x:v>59.4</x:v>
      </x:c>
      <x:c r="L2095" t="str">
        <x:v>KETAT</x:v>
      </x:c>
      <x:c r="M2095" t="str">
        <x:v>SEDANG+</x:v>
      </x:c>
      <x:c r="N2095" t="str">
        <x:v>ELITE-2</x:v>
      </x:c>
      <x:c r="O2095" t="str">
        <x:v>SOSHUM</x:v>
      </x:c>
      <x:c r="P2095" t="str">
        <x:v>BISNIS/EKONOMI/AKUNTANSI</x:v>
      </x:c>
      <x:c r="Q2095" s="18" t="n">
        <x:v>650</x:v>
      </x:c>
      <x:c r="R2095" s="18" t="n">
        <x:v>680</x:v>
      </x:c>
      <x:c r="S2095" s="18" t="n">
        <x:v>583.1434394500491</x:v>
      </x:c>
      <x:c r="T2095" s="18" t="n">
        <x:v>679</x:v>
      </x:c>
      <x:c r="U2095" s="18" t="n">
        <x:v>650</x:v>
      </x:c>
      <x:c r="V2095" s="20" t="n">
        <x:v>4.4</x:v>
      </x:c>
      <x:c r="W2095" s="20" t="n">
        <x:v>14.3</x:v>
      </x:c>
      <x:c r="X2095" s="20" t="n">
        <x:v>3.3</x:v>
      </x:c>
      <x:c r="Y2095" t="str">
        <x:v>Basis arsip 2025/2024</x:v>
      </x:c>
      <x:c r="Z2095" t="str">
        <x:v>https://snpmb.id/utbk-snbt/daya-tampung-snbt</x:v>
      </x:c>
      <x:c r="AA2095" t="str">
        <x:v>Tidak Ada</x:v>
      </x:c>
      <x:c r="AB2095" t="str">
        <x:v>Campus=90; Ratio=33.8; Prodi=65; RelDemand=14.6; Capacity=50.0</x:v>
      </x:c>
    </x:row>
    <x:row r="2096">
      <x:c r="A2096" t="n">
        <x:v>2093</x:v>
      </x:c>
      <x:c r="B2096" t="str">
        <x:v>PTN Akademik</x:v>
      </x:c>
      <x:c r="C2096" t="str">
        <x:v>UNIVERSITAS BRAWIJAYA</x:v>
      </x:c>
      <x:c r="D2096" t="str">
        <x:v>BUDIDAYA PERAIRAN</x:v>
      </x:c>
      <x:c r="E2096" t="str">
        <x:v>Sarjana</x:v>
      </x:c>
      <x:c r="F2096" s="18" t="n">
        <x:v>53</x:v>
      </x:c>
      <x:c r="G2096" s="18" t="n">
        <x:v>180</x:v>
      </x:c>
      <x:c r="H2096" s="19" t="n">
        <x:v>3.3962264150943398</x:v>
      </x:c>
      <x:c r="I2096" s="18" t="n">
        <x:f>ROUND(MIN(Model_Config_v3!$B$6,MAX(Q2096,R2096,S2096*Model_Config_v3!$B$4+T2096*Model_Config_v3!$B$5)),0)</x:f>
        <x:v>650</x:v>
      </x:c>
      <x:c r="J2096" s="18" t="n">
        <x:f>MIN(Model_Config_v3!$B$6,I2096+Model_Config_v3!$B$7)</x:f>
        <x:v>670</x:v>
      </x:c>
      <x:c r="K2096" s="20" t="n">
        <x:v>54.2</x:v>
      </x:c>
      <x:c r="L2096" t="str">
        <x:v>MENENGAH</x:v>
      </x:c>
      <x:c r="M2096" t="str">
        <x:v>SEDANG+</x:v>
      </x:c>
      <x:c r="N2096" t="str">
        <x:v>ELITE-2</x:v>
      </x:c>
      <x:c r="O2096" t="str">
        <x:v>CAMPURAN</x:v>
      </x:c>
      <x:c r="P2096" t="str">
        <x:v>UMUM</x:v>
      </x:c>
      <x:c r="Q2096" s="18" t="n">
        <x:v>650</x:v>
      </x:c>
      <x:c r="R2096" s="18" t="n">
        <x:v>0</x:v>
      </x:c>
      <x:c r="S2096" s="18" t="n">
        <x:v>578.4096299052769</x:v>
      </x:c>
      <x:c r="T2096" s="18" t="n">
        <x:v>668</x:v>
      </x:c>
      <x:c r="U2096" s="18" t="n">
        <x:v>650</x:v>
      </x:c>
      <x:c r="V2096" s="20" t="n">
        <x:v>8.8</x:v>
      </x:c>
      <x:c r="W2096" s="20" t="n">
        <x:v>9.9</x:v>
      </x:c>
      <x:c r="X2096" s="20" t="n">
        <x:v>3.3</x:v>
      </x:c>
      <x:c r="Y2096" t="str">
        <x:v>Basis arsip 2025/2024</x:v>
      </x:c>
      <x:c r="Z2096" t="str">
        <x:v>https://snpmb.id/utbk-snbt/daya-tampung-snbt</x:v>
      </x:c>
      <x:c r="AA2096" t="str">
        <x:v>Tidak Ada</x:v>
      </x:c>
      <x:c r="AB2096" t="str">
        <x:v>Campus=90; Ratio=31.3; Prodi=40; RelDemand=13.2; Capacity=55.8</x:v>
      </x:c>
    </x:row>
    <x:row r="2097">
      <x:c r="A2097" t="n">
        <x:v>2094</x:v>
      </x:c>
      <x:c r="B2097" t="str">
        <x:v>PTN Akademik</x:v>
      </x:c>
      <x:c r="C2097" t="str">
        <x:v>UNIVERSITAS BRAWIJAYA</x:v>
      </x:c>
      <x:c r="D2097" t="str">
        <x:v>TEKNIK SIPIL</x:v>
      </x:c>
      <x:c r="E2097" t="str">
        <x:v>Sarjana</x:v>
      </x:c>
      <x:c r="F2097" s="18" t="n">
        <x:v>56</x:v>
      </x:c>
      <x:c r="G2097" s="18" t="n">
        <x:v>1195</x:v>
      </x:c>
      <x:c r="H2097" s="19" t="n">
        <x:v>21.339285714285715</x:v>
      </x:c>
      <x:c r="I2097" s="18" t="n">
        <x:f>ROUND(MIN(Model_Config_v3!$B$6,MAX(Q2097,R2097,S2097*Model_Config_v3!$B$4+T2097*Model_Config_v3!$B$5)),0)</x:f>
        <x:v>699</x:v>
      </x:c>
      <x:c r="J2097" s="18" t="n">
        <x:f>MIN(Model_Config_v3!$B$6,I2097+Model_Config_v3!$B$7)</x:f>
        <x:v>719</x:v>
      </x:c>
      <x:c r="K2097" s="20" t="n">
        <x:v>76.7</x:v>
      </x:c>
      <x:c r="L2097" t="str">
        <x:v>ELITE</x:v>
      </x:c>
      <x:c r="M2097" t="str">
        <x:v>SEDANG+</x:v>
      </x:c>
      <x:c r="N2097" t="str">
        <x:v>ELITE-2</x:v>
      </x:c>
      <x:c r="O2097" t="str">
        <x:v>SAINTEK</x:v>
      </x:c>
      <x:c r="P2097" t="str">
        <x:v>TEKNIK/ARSITEKTUR/STATISTIKA/AKTUARIA</x:v>
      </x:c>
      <x:c r="Q2097" s="18" t="n">
        <x:v>650</x:v>
      </x:c>
      <x:c r="R2097" s="18" t="n">
        <x:v>670</x:v>
      </x:c>
      <x:c r="S2097" s="18" t="n">
        <x:v>666.2097866105752</x:v>
      </x:c>
      <x:c r="T2097" s="18" t="n">
        <x:v>713</x:v>
      </x:c>
      <x:c r="U2097" s="18" t="n">
        <x:v>676.2097866105752</x:v>
      </x:c>
      <x:c r="V2097" s="20" t="n">
        <x:v>12</x:v>
      </x:c>
      <x:c r="W2097" s="20" t="n">
        <x:v>5</x:v>
      </x:c>
      <x:c r="X2097" s="20" t="n">
        <x:v>3</x:v>
      </x:c>
      <x:c r="Y2097" t="str">
        <x:v>Basis arsip 2025/2024</x:v>
      </x:c>
      <x:c r="Z2097" t="str">
        <x:v>https://snpmb.id/utbk-snbt/daya-tampung-snbt</x:v>
      </x:c>
      <x:c r="AA2097" t="str">
        <x:v>Tidak Ada</x:v>
      </x:c>
      <x:c r="AB2097" t="str">
        <x:v>Campus=90; Ratio=78.2; Prodi=60; RelDemand=83.1; Capacity=53.3</x:v>
      </x:c>
    </x:row>
    <x:row r="2098">
      <x:c r="A2098" t="n">
        <x:v>2095</x:v>
      </x:c>
      <x:c r="B2098" t="str">
        <x:v>PTN Akademik</x:v>
      </x:c>
      <x:c r="C2098" t="str">
        <x:v>UNIVERSITAS BRAWIJAYA</x:v>
      </x:c>
      <x:c r="D2098" t="str">
        <x:v>TEKNIK MESIN</x:v>
      </x:c>
      <x:c r="E2098" t="str">
        <x:v>Sarjana</x:v>
      </x:c>
      <x:c r="F2098" s="18" t="n">
        <x:v>66</x:v>
      </x:c>
      <x:c r="G2098" s="18" t="n">
        <x:v>977</x:v>
      </x:c>
      <x:c r="H2098" s="19" t="n">
        <x:v>14.803030303030303</x:v>
      </x:c>
      <x:c r="I2098" s="18" t="n">
        <x:f>ROUND(MIN(Model_Config_v3!$B$6,MAX(Q2098,R2098,S2098*Model_Config_v3!$B$4+T2098*Model_Config_v3!$B$5)),0)</x:f>
        <x:v>686</x:v>
      </x:c>
      <x:c r="J2098" s="18" t="n">
        <x:f>MIN(Model_Config_v3!$B$6,I2098+Model_Config_v3!$B$7)</x:f>
        <x:v>706</x:v>
      </x:c>
      <x:c r="K2098" s="20" t="n">
        <x:v>71</x:v>
      </x:c>
      <x:c r="L2098" t="str">
        <x:v>SANGAT KETAT</x:v>
      </x:c>
      <x:c r="M2098" t="str">
        <x:v>SEDANG+</x:v>
      </x:c>
      <x:c r="N2098" t="str">
        <x:v>ELITE-2</x:v>
      </x:c>
      <x:c r="O2098" t="str">
        <x:v>SAINTEK</x:v>
      </x:c>
      <x:c r="P2098" t="str">
        <x:v>TEKNIK/ARSITEKTUR/STATISTIKA/AKTUARIA</x:v>
      </x:c>
      <x:c r="Q2098" s="18" t="n">
        <x:v>650</x:v>
      </x:c>
      <x:c r="R2098" s="18" t="n">
        <x:v>670</x:v>
      </x:c>
      <x:c r="S2098" s="18" t="n">
        <x:v>648.7385690994595</x:v>
      </x:c>
      <x:c r="T2098" s="18" t="n">
        <x:v>702</x:v>
      </x:c>
      <x:c r="U2098" s="18" t="n">
        <x:v>658.7385690994595</x:v>
      </x:c>
      <x:c r="V2098" s="20" t="n">
        <x:v>12</x:v>
      </x:c>
      <x:c r="W2098" s="20" t="n">
        <x:v>5</x:v>
      </x:c>
      <x:c r="X2098" s="20" t="n">
        <x:v>3</x:v>
      </x:c>
      <x:c r="Y2098" t="str">
        <x:v>Basis arsip 2025/2024</x:v>
      </x:c>
      <x:c r="Z2098" t="str">
        <x:v>https://snpmb.id/utbk-snbt/daya-tampung-snbt</x:v>
      </x:c>
      <x:c r="AA2098" t="str">
        <x:v>Tidak Ada</x:v>
      </x:c>
      <x:c r="AB2098" t="str">
        <x:v>Campus=90; Ratio=68.9; Prodi=60; RelDemand=57.7; Capacity=45.0</x:v>
      </x:c>
    </x:row>
    <x:row r="2099">
      <x:c r="A2099" t="n">
        <x:v>2096</x:v>
      </x:c>
      <x:c r="B2099" t="str">
        <x:v>PTN Akademik</x:v>
      </x:c>
      <x:c r="C2099" t="str">
        <x:v>UNIVERSITAS BRAWIJAYA</x:v>
      </x:c>
      <x:c r="D2099" t="str">
        <x:v>TEKNIK ELEKTRO</x:v>
      </x:c>
      <x:c r="E2099" t="str">
        <x:v>Sarjana</x:v>
      </x:c>
      <x:c r="F2099" s="18" t="n">
        <x:v>66</x:v>
      </x:c>
      <x:c r="G2099" s="18" t="n">
        <x:v>784</x:v>
      </x:c>
      <x:c r="H2099" s="19" t="n">
        <x:v>11.878787878787879</x:v>
      </x:c>
      <x:c r="I2099" s="18" t="n">
        <x:f>ROUND(MIN(Model_Config_v3!$B$6,MAX(Q2099,R2099,S2099*Model_Config_v3!$B$4+T2099*Model_Config_v3!$B$5)),0)</x:f>
        <x:v>679</x:v>
      </x:c>
      <x:c r="J2099" s="18" t="n">
        <x:f>MIN(Model_Config_v3!$B$6,I2099+Model_Config_v3!$B$7)</x:f>
        <x:v>699</x:v>
      </x:c>
      <x:c r="K2099" s="20" t="n">
        <x:v>68.4</x:v>
      </x:c>
      <x:c r="L2099" t="str">
        <x:v>SANGAT KETAT</x:v>
      </x:c>
      <x:c r="M2099" t="str">
        <x:v>SEDANG+</x:v>
      </x:c>
      <x:c r="N2099" t="str">
        <x:v>ELITE-2</x:v>
      </x:c>
      <x:c r="O2099" t="str">
        <x:v>SAINTEK</x:v>
      </x:c>
      <x:c r="P2099" t="str">
        <x:v>TEKNIK/ARSITEKTUR/STATISTIKA/AKTUARIA</x:v>
      </x:c>
      <x:c r="Q2099" s="18" t="n">
        <x:v>650</x:v>
      </x:c>
      <x:c r="R2099" s="18" t="n">
        <x:v>670</x:v>
      </x:c>
      <x:c r="S2099" s="18" t="n">
        <x:v>638.2249339856827</x:v>
      </x:c>
      <x:c r="T2099" s="18" t="n">
        <x:v>697</x:v>
      </x:c>
      <x:c r="U2099" s="18" t="n">
        <x:v>650</x:v>
      </x:c>
      <x:c r="V2099" s="20" t="n">
        <x:v>12</x:v>
      </x:c>
      <x:c r="W2099" s="20" t="n">
        <x:v>5</x:v>
      </x:c>
      <x:c r="X2099" s="20" t="n">
        <x:v>3</x:v>
      </x:c>
      <x:c r="Y2099" t="str">
        <x:v>Basis arsip 2025/2024</x:v>
      </x:c>
      <x:c r="Z2099" t="str">
        <x:v>https://snpmb.id/utbk-snbt/daya-tampung-snbt</x:v>
      </x:c>
      <x:c r="AA2099" t="str">
        <x:v>Tidak Ada</x:v>
      </x:c>
      <x:c r="AB2099" t="str">
        <x:v>Campus=90; Ratio=63.3; Prodi=60; RelDemand=46.3; Capacity=45.0</x:v>
      </x:c>
    </x:row>
    <x:row r="2100">
      <x:c r="A2100" t="n">
        <x:v>2097</x:v>
      </x:c>
      <x:c r="B2100" t="str">
        <x:v>PTN Akademik</x:v>
      </x:c>
      <x:c r="C2100" t="str">
        <x:v>UNIVERSITAS BRAWIJAYA</x:v>
      </x:c>
      <x:c r="D2100" t="str">
        <x:v>ARSITEKTUR</x:v>
      </x:c>
      <x:c r="E2100" t="str">
        <x:v>Sarjana</x:v>
      </x:c>
      <x:c r="F2100" s="18" t="n">
        <x:v>56</x:v>
      </x:c>
      <x:c r="G2100" s="18" t="n">
        <x:v>935</x:v>
      </x:c>
      <x:c r="H2100" s="19" t="n">
        <x:v>16.696428571428573</x:v>
      </x:c>
      <x:c r="I2100" s="18" t="n">
        <x:f>ROUND(MIN(Model_Config_v3!$B$6,MAX(Q2100,R2100,S2100*Model_Config_v3!$B$4+T2100*Model_Config_v3!$B$5)),0)</x:f>
        <x:v>691</x:v>
      </x:c>
      <x:c r="J2100" s="18" t="n">
        <x:f>MIN(Model_Config_v3!$B$6,I2100+Model_Config_v3!$B$7)</x:f>
        <x:v>711</x:v>
      </x:c>
      <x:c r="K2100" s="20" t="n">
        <x:v>73.3</x:v>
      </x:c>
      <x:c r="L2100" t="str">
        <x:v>SANGAT KETAT</x:v>
      </x:c>
      <x:c r="M2100" t="str">
        <x:v>SEDANG+</x:v>
      </x:c>
      <x:c r="N2100" t="str">
        <x:v>ELITE-2</x:v>
      </x:c>
      <x:c r="O2100" t="str">
        <x:v>SAINTEK</x:v>
      </x:c>
      <x:c r="P2100" t="str">
        <x:v>TEKNIK/ARSITEKTUR/STATISTIKA/AKTUARIA</x:v>
      </x:c>
      <x:c r="Q2100" s="18" t="n">
        <x:v>650</x:v>
      </x:c>
      <x:c r="R2100" s="18" t="n">
        <x:v>670</x:v>
      </x:c>
      <x:c r="S2100" s="18" t="n">
        <x:v>654.488594225295</x:v>
      </x:c>
      <x:c r="T2100" s="18" t="n">
        <x:v>707</x:v>
      </x:c>
      <x:c r="U2100" s="18" t="n">
        <x:v>654.488594225295</x:v>
      </x:c>
      <x:c r="V2100" s="20" t="n">
        <x:v>12</x:v>
      </x:c>
      <x:c r="W2100" s="20" t="n">
        <x:v>5</x:v>
      </x:c>
      <x:c r="X2100" s="20" t="n">
        <x:v>3</x:v>
      </x:c>
      <x:c r="Y2100" t="str">
        <x:v>Basis arsip 2025/2024</x:v>
      </x:c>
      <x:c r="Z2100" t="str">
        <x:v>https://snpmb.id/utbk-snbt/daya-tampung-snbt</x:v>
      </x:c>
      <x:c r="AA2100" t="str">
        <x:v>Tidak Ada</x:v>
      </x:c>
      <x:c r="AB2100" t="str">
        <x:v>Campus=90; Ratio=72.0; Prodi=60; RelDemand=65.0; Capacity=53.3</x:v>
      </x:c>
    </x:row>
    <x:row r="2101">
      <x:c r="A2101" t="n">
        <x:v>2098</x:v>
      </x:c>
      <x:c r="B2101" t="str">
        <x:v>PTN Akademik</x:v>
      </x:c>
      <x:c r="C2101" t="str">
        <x:v>UNIVERSITAS BRAWIJAYA</x:v>
      </x:c>
      <x:c r="D2101" t="str">
        <x:v>TEKNIK PENGAIRAN</x:v>
      </x:c>
      <x:c r="E2101" t="str">
        <x:v>Sarjana</x:v>
      </x:c>
      <x:c r="F2101" s="18" t="n">
        <x:v>56</x:v>
      </x:c>
      <x:c r="G2101" s="18" t="n">
        <x:v>322</x:v>
      </x:c>
      <x:c r="H2101" s="19" t="n">
        <x:v>5.75</x:v>
      </x:c>
      <x:c r="I2101" s="18" t="n">
        <x:f>ROUND(MIN(Model_Config_v3!$B$6,MAX(Q2101,R2101,S2101*Model_Config_v3!$B$4+T2101*Model_Config_v3!$B$5)),0)</x:f>
        <x:v>670</x:v>
      </x:c>
      <x:c r="J2101" s="18" t="n">
        <x:f>MIN(Model_Config_v3!$B$6,I2101+Model_Config_v3!$B$7)</x:f>
        <x:v>690</x:v>
      </x:c>
      <x:c r="K2101" s="20" t="n">
        <x:v>62.3</x:v>
      </x:c>
      <x:c r="L2101" t="str">
        <x:v>KETAT</x:v>
      </x:c>
      <x:c r="M2101" t="str">
        <x:v>SEDANG+</x:v>
      </x:c>
      <x:c r="N2101" t="str">
        <x:v>ELITE-2</x:v>
      </x:c>
      <x:c r="O2101" t="str">
        <x:v>SAINTEK</x:v>
      </x:c>
      <x:c r="P2101" t="str">
        <x:v>TEKNIK/ARSITEKTUR/STATISTIKA/AKTUARIA</x:v>
      </x:c>
      <x:c r="Q2101" s="18" t="n">
        <x:v>650</x:v>
      </x:c>
      <x:c r="R2101" s="18" t="n">
        <x:v>670</x:v>
      </x:c>
      <x:c r="S2101" s="18" t="n">
        <x:v>603.5634629158593</x:v>
      </x:c>
      <x:c r="T2101" s="18" t="n">
        <x:v>685</x:v>
      </x:c>
      <x:c r="U2101" s="18" t="n">
        <x:v>650</x:v>
      </x:c>
      <x:c r="V2101" s="20" t="n">
        <x:v>12</x:v>
      </x:c>
      <x:c r="W2101" s="20" t="n">
        <x:v>5</x:v>
      </x:c>
      <x:c r="X2101" s="20" t="n">
        <x:v>3</x:v>
      </x:c>
      <x:c r="Y2101" t="str">
        <x:v>Basis arsip 2025/2024</x:v>
      </x:c>
      <x:c r="Z2101" t="str">
        <x:v>https://snpmb.id/utbk-snbt/daya-tampung-snbt</x:v>
      </x:c>
      <x:c r="AA2101" t="str">
        <x:v>Tidak Ada</x:v>
      </x:c>
      <x:c r="AB2101" t="str">
        <x:v>Campus=90; Ratio=44.7; Prodi=60; RelDemand=22.4; Capacity=53.3</x:v>
      </x:c>
    </x:row>
    <x:row r="2102">
      <x:c r="A2102" t="n">
        <x:v>2099</x:v>
      </x:c>
      <x:c r="B2102" t="str">
        <x:v>PTN Akademik</x:v>
      </x:c>
      <x:c r="C2102" t="str">
        <x:v>UNIVERSITAS BRAWIJAYA</x:v>
      </x:c>
      <x:c r="D2102" t="str">
        <x:v>KEDOKTERAN</x:v>
      </x:c>
      <x:c r="E2102" t="str">
        <x:v>Sarjana</x:v>
      </x:c>
      <x:c r="F2102" s="18" t="n">
        <x:v>105</x:v>
      </x:c>
      <x:c r="G2102" s="18" t="n">
        <x:v>3005</x:v>
      </x:c>
      <x:c r="H2102" s="19" t="n">
        <x:v>28.61904761904762</x:v>
      </x:c>
      <x:c r="I2102" s="18" t="n">
        <x:f>ROUND(MIN(Model_Config_v3!$B$6,MAX(Q2102,R2102,S2102*Model_Config_v3!$B$4+T2102*Model_Config_v3!$B$5)),0)</x:f>
        <x:v>725</x:v>
      </x:c>
      <x:c r="J2102" s="18" t="n">
        <x:f>MIN(Model_Config_v3!$B$6,I2102+Model_Config_v3!$B$7)</x:f>
        <x:v>745</x:v>
      </x:c>
      <x:c r="K2102" s="20" t="n">
        <x:v>84.2</x:v>
      </x:c>
      <x:c r="L2102" t="str">
        <x:v>ELITE</x:v>
      </x:c>
      <x:c r="M2102" t="str">
        <x:v>SEDANG+</x:v>
      </x:c>
      <x:c r="N2102" t="str">
        <x:v>ELITE-2</x:v>
      </x:c>
      <x:c r="O2102" t="str">
        <x:v>SAINTEK</x:v>
      </x:c>
      <x:c r="P2102" t="str">
        <x:v>KEDOKTERAN</x:v>
      </x:c>
      <x:c r="Q2102" s="18" t="n">
        <x:v>650</x:v>
      </x:c>
      <x:c r="R2102" s="18" t="n">
        <x:v>725</x:v>
      </x:c>
      <x:c r="S2102" s="18" t="n">
        <x:v>680.2320694995702</x:v>
      </x:c>
      <x:c r="T2102" s="18" t="n">
        <x:v>728</x:v>
      </x:c>
      <x:c r="U2102" s="18" t="n">
        <x:v>725</x:v>
      </x:c>
      <x:c r="V2102" s="20" t="n">
        <x:v>12</x:v>
      </x:c>
      <x:c r="W2102" s="20" t="n">
        <x:v>5</x:v>
      </x:c>
      <x:c r="X2102" s="20" t="n">
        <x:v>3</x:v>
      </x:c>
      <x:c r="Y2102" t="str">
        <x:v>Basis arsip 2025/2024</x:v>
      </x:c>
      <x:c r="Z2102" t="str">
        <x:v>https://snpmb.id/utbk-snbt/daya-tampung-snbt</x:v>
      </x:c>
      <x:c r="AA2102" t="str">
        <x:v>Tidak Ada</x:v>
      </x:c>
      <x:c r="AB2102" t="str">
        <x:v>Campus=90; Ratio=85.7; Prodi=100; RelDemand=100.0; Capacity=12.5</x:v>
      </x:c>
    </x:row>
    <x:row r="2103">
      <x:c r="A2103" t="n">
        <x:v>2100</x:v>
      </x:c>
      <x:c r="B2103" t="str">
        <x:v>PTN Akademik</x:v>
      </x:c>
      <x:c r="C2103" t="str">
        <x:v>UNIVERSITAS BRAWIJAYA</x:v>
      </x:c>
      <x:c r="D2103" t="str">
        <x:v>TEKNOLOGI PANGAN</x:v>
      </x:c>
      <x:c r="E2103" t="str">
        <x:v>Sarjana</x:v>
      </x:c>
      <x:c r="F2103" s="18" t="n">
        <x:v>75</x:v>
      </x:c>
      <x:c r="G2103" s="18" t="n">
        <x:v>1093</x:v>
      </x:c>
      <x:c r="H2103" s="19" t="n">
        <x:v>14.573333333333334</x:v>
      </x:c>
      <x:c r="I2103" s="18" t="n">
        <x:f>ROUND(MIN(Model_Config_v3!$B$6,MAX(Q2103,R2103,S2103*Model_Config_v3!$B$4+T2103*Model_Config_v3!$B$5)),0)</x:f>
        <x:v>679</x:v>
      </x:c>
      <x:c r="J2103" s="18" t="n">
        <x:f>MIN(Model_Config_v3!$B$6,I2103+Model_Config_v3!$B$7)</x:f>
        <x:v>699</x:v>
      </x:c>
      <x:c r="K2103" s="20" t="n">
        <x:v>66</x:v>
      </x:c>
      <x:c r="L2103" t="str">
        <x:v>SANGAT KETAT</x:v>
      </x:c>
      <x:c r="M2103" t="str">
        <x:v>SEDANG+</x:v>
      </x:c>
      <x:c r="N2103" t="str">
        <x:v>ELITE-2</x:v>
      </x:c>
      <x:c r="O2103" t="str">
        <x:v>SAINTEK</x:v>
      </x:c>
      <x:c r="P2103" t="str">
        <x:v>UMUM</x:v>
      </x:c>
      <x:c r="Q2103" s="18" t="n">
        <x:v>650</x:v>
      </x:c>
      <x:c r="R2103" s="18" t="n">
        <x:v>0</x:v>
      </x:c>
      <x:c r="S2103" s="18" t="n">
        <x:v>647.9914788413803</x:v>
      </x:c>
      <x:c r="T2103" s="18" t="n">
        <x:v>692</x:v>
      </x:c>
      <x:c r="U2103" s="18" t="n">
        <x:v>650</x:v>
      </x:c>
      <x:c r="V2103" s="20" t="n">
        <x:v>12</x:v>
      </x:c>
      <x:c r="W2103" s="20" t="n">
        <x:v>5</x:v>
      </x:c>
      <x:c r="X2103" s="20" t="n">
        <x:v>3</x:v>
      </x:c>
      <x:c r="Y2103" t="str">
        <x:v>Basis arsip 2025/2024</x:v>
      </x:c>
      <x:c r="Z2103" t="str">
        <x:v>https://snpmb.id/utbk-snbt/daya-tampung-snbt</x:v>
      </x:c>
      <x:c r="AA2103" t="str">
        <x:v>Tidak Ada</x:v>
      </x:c>
      <x:c r="AB2103" t="str">
        <x:v>Campus=90; Ratio=68.5; Prodi=40; RelDemand=56.8; Capacity=37.5</x:v>
      </x:c>
    </x:row>
    <x:row r="2104">
      <x:c r="A2104" t="n">
        <x:v>2101</x:v>
      </x:c>
      <x:c r="B2104" t="str">
        <x:v>PTN Akademik</x:v>
      </x:c>
      <x:c r="C2104" t="str">
        <x:v>UNIVERSITAS BRAWIJAYA</x:v>
      </x:c>
      <x:c r="D2104" t="str">
        <x:v>BIOLOGI</x:v>
      </x:c>
      <x:c r="E2104" t="str">
        <x:v>Sarjana</x:v>
      </x:c>
      <x:c r="F2104" s="18" t="n">
        <x:v>59</x:v>
      </x:c>
      <x:c r="G2104" s="18" t="n">
        <x:v>246</x:v>
      </x:c>
      <x:c r="H2104" s="19" t="n">
        <x:v>4.169491525423729</x:v>
      </x:c>
      <x:c r="I2104" s="18" t="n">
        <x:f>ROUND(MIN(Model_Config_v3!$B$6,MAX(Q2104,R2104,S2104*Model_Config_v3!$B$4+T2104*Model_Config_v3!$B$5)),0)</x:f>
        <x:v>650</x:v>
      </x:c>
      <x:c r="J2104" s="18" t="n">
        <x:f>MIN(Model_Config_v3!$B$6,I2104+Model_Config_v3!$B$7)</x:f>
        <x:v>670</x:v>
      </x:c>
      <x:c r="K2104" s="20" t="n">
        <x:v>57.3</x:v>
      </x:c>
      <x:c r="L2104" t="str">
        <x:v>KETAT</x:v>
      </x:c>
      <x:c r="M2104" t="str">
        <x:v>SEDANG+</x:v>
      </x:c>
      <x:c r="N2104" t="str">
        <x:v>ELITE-2</x:v>
      </x:c>
      <x:c r="O2104" t="str">
        <x:v>SAINTEK</x:v>
      </x:c>
      <x:c r="P2104" t="str">
        <x:v>SAINS DASAR</x:v>
      </x:c>
      <x:c r="Q2104" s="18" t="n">
        <x:v>650</x:v>
      </x:c>
      <x:c r="R2104" s="18" t="n">
        <x:v>0</x:v>
      </x:c>
      <x:c r="S2104" s="18" t="n">
        <x:v>588.2091405007359</x:v>
      </x:c>
      <x:c r="T2104" s="18" t="n">
        <x:v>675</x:v>
      </x:c>
      <x:c r="U2104" s="18" t="n">
        <x:v>650</x:v>
      </x:c>
      <x:c r="V2104" s="20" t="n">
        <x:v>12</x:v>
      </x:c>
      <x:c r="W2104" s="20" t="n">
        <x:v>5</x:v>
      </x:c>
      <x:c r="X2104" s="20" t="n">
        <x:v>3</x:v>
      </x:c>
      <x:c r="Y2104" t="str">
        <x:v>Basis arsip 2025/2024</x:v>
      </x:c>
      <x:c r="Z2104" t="str">
        <x:v>https://snpmb.id/utbk-snbt/daya-tampung-snbt</x:v>
      </x:c>
      <x:c r="AA2104" t="str">
        <x:v>Tidak Ada</x:v>
      </x:c>
      <x:c r="AB2104" t="str">
        <x:v>Campus=90; Ratio=36.5; Prodi=50; RelDemand=16.2; Capacity=50.8</x:v>
      </x:c>
    </x:row>
    <x:row r="2105">
      <x:c r="A2105" t="n">
        <x:v>2102</x:v>
      </x:c>
      <x:c r="B2105" t="str">
        <x:v>PTN Akademik</x:v>
      </x:c>
      <x:c r="C2105" t="str">
        <x:v>UNIVERSITAS BRAWIJAYA</x:v>
      </x:c>
      <x:c r="D2105" t="str">
        <x:v>FISIKA</x:v>
      </x:c>
      <x:c r="E2105" t="str">
        <x:v>Sarjana</x:v>
      </x:c>
      <x:c r="F2105" s="18" t="n">
        <x:v>33</x:v>
      </x:c>
      <x:c r="G2105" s="18" t="n">
        <x:v>101</x:v>
      </x:c>
      <x:c r="H2105" s="19" t="n">
        <x:v>3.0606060606060606</x:v>
      </x:c>
      <x:c r="I2105" s="18" t="n">
        <x:f>ROUND(MIN(Model_Config_v3!$B$6,MAX(Q2105,R2105,S2105*Model_Config_v3!$B$4+T2105*Model_Config_v3!$B$5)),0)</x:f>
        <x:v>650</x:v>
      </x:c>
      <x:c r="J2105" s="18" t="n">
        <x:f>MIN(Model_Config_v3!$B$6,I2105+Model_Config_v3!$B$7)</x:f>
        <x:v>670</x:v>
      </x:c>
      <x:c r="K2105" s="20" t="n">
        <x:v>57.1</x:v>
      </x:c>
      <x:c r="L2105" t="str">
        <x:v>KETAT</x:v>
      </x:c>
      <x:c r="M2105" t="str">
        <x:v>SEDANG+</x:v>
      </x:c>
      <x:c r="N2105" t="str">
        <x:v>ELITE-2</x:v>
      </x:c>
      <x:c r="O2105" t="str">
        <x:v>SAINTEK</x:v>
      </x:c>
      <x:c r="P2105" t="str">
        <x:v>SAINS DASAR</x:v>
      </x:c>
      <x:c r="Q2105" s="18" t="n">
        <x:v>650</x:v>
      </x:c>
      <x:c r="R2105" s="18" t="n">
        <x:v>0</x:v>
      </x:c>
      <x:c r="S2105" s="18" t="n">
        <x:v>573.4388177295231</x:v>
      </x:c>
      <x:c r="T2105" s="18" t="n">
        <x:v>674</x:v>
      </x:c>
      <x:c r="U2105" s="18" t="n">
        <x:v>650</x:v>
      </x:c>
      <x:c r="V2105" s="20" t="n">
        <x:v>12</x:v>
      </x:c>
      <x:c r="W2105" s="20" t="n">
        <x:v>5</x:v>
      </x:c>
      <x:c r="X2105" s="20" t="n">
        <x:v>3</x:v>
      </x:c>
      <x:c r="Y2105" t="str">
        <x:v>Basis arsip 2025/2024</x:v>
      </x:c>
      <x:c r="Z2105" t="str">
        <x:v>https://snpmb.id/utbk-snbt/daya-tampung-snbt</x:v>
      </x:c>
      <x:c r="AA2105" t="str">
        <x:v>Tidak Ada</x:v>
      </x:c>
      <x:c r="AB2105" t="str">
        <x:v>Campus=90; Ratio=28.6; Prodi=50; RelDemand=11.9; Capacity=72.5</x:v>
      </x:c>
    </x:row>
    <x:row r="2106">
      <x:c r="A2106" t="n">
        <x:v>2103</x:v>
      </x:c>
      <x:c r="B2106" t="str">
        <x:v>PTN Akademik</x:v>
      </x:c>
      <x:c r="C2106" t="str">
        <x:v>UNIVERSITAS BRAWIJAYA</x:v>
      </x:c>
      <x:c r="D2106" t="str">
        <x:v>KIMIA</x:v>
      </x:c>
      <x:c r="E2106" t="str">
        <x:v>Sarjana</x:v>
      </x:c>
      <x:c r="F2106" s="18" t="n">
        <x:v>63</x:v>
      </x:c>
      <x:c r="G2106" s="18" t="n">
        <x:v>258</x:v>
      </x:c>
      <x:c r="H2106" s="19" t="n">
        <x:v>4.095238095238095</x:v>
      </x:c>
      <x:c r="I2106" s="18" t="n">
        <x:f>ROUND(MIN(Model_Config_v3!$B$6,MAX(Q2106,R2106,S2106*Model_Config_v3!$B$4+T2106*Model_Config_v3!$B$5)),0)</x:f>
        <x:v>650</x:v>
      </x:c>
      <x:c r="J2106" s="18" t="n">
        <x:f>MIN(Model_Config_v3!$B$6,I2106+Model_Config_v3!$B$7)</x:f>
        <x:v>670</x:v>
      </x:c>
      <x:c r="K2106" s="20" t="n">
        <x:v>56.9</x:v>
      </x:c>
      <x:c r="L2106" t="str">
        <x:v>KETAT</x:v>
      </x:c>
      <x:c r="M2106" t="str">
        <x:v>SEDANG+</x:v>
      </x:c>
      <x:c r="N2106" t="str">
        <x:v>ELITE-2</x:v>
      </x:c>
      <x:c r="O2106" t="str">
        <x:v>SAINTEK</x:v>
      </x:c>
      <x:c r="P2106" t="str">
        <x:v>SAINS DASAR</x:v>
      </x:c>
      <x:c r="Q2106" s="18" t="n">
        <x:v>650</x:v>
      </x:c>
      <x:c r="R2106" s="18" t="n">
        <x:v>0</x:v>
      </x:c>
      <x:c r="S2106" s="18" t="n">
        <x:v>587.3507072160613</x:v>
      </x:c>
      <x:c r="T2106" s="18" t="n">
        <x:v>674</x:v>
      </x:c>
      <x:c r="U2106" s="18" t="n">
        <x:v>650</x:v>
      </x:c>
      <x:c r="V2106" s="20" t="n">
        <x:v>12</x:v>
      </x:c>
      <x:c r="W2106" s="20" t="n">
        <x:v>5</x:v>
      </x:c>
      <x:c r="X2106" s="20" t="n">
        <x:v>3</x:v>
      </x:c>
      <x:c r="Y2106" t="str">
        <x:v>Basis arsip 2025/2024</x:v>
      </x:c>
      <x:c r="Z2106" t="str">
        <x:v>https://snpmb.id/utbk-snbt/daya-tampung-snbt</x:v>
      </x:c>
      <x:c r="AA2106" t="str">
        <x:v>Tidak Ada</x:v>
      </x:c>
      <x:c r="AB2106" t="str">
        <x:v>Campus=90; Ratio=36.0; Prodi=50; RelDemand=16.0; Capacity=47.5</x:v>
      </x:c>
    </x:row>
    <x:row r="2107">
      <x:c r="A2107" t="n">
        <x:v>2104</x:v>
      </x:c>
      <x:c r="B2107" t="str">
        <x:v>PTN Akademik</x:v>
      </x:c>
      <x:c r="C2107" t="str">
        <x:v>UNIVERSITAS BRAWIJAYA</x:v>
      </x:c>
      <x:c r="D2107" t="str">
        <x:v>MATEMATIKA</x:v>
      </x:c>
      <x:c r="E2107" t="str">
        <x:v>Sarjana</x:v>
      </x:c>
      <x:c r="F2107" s="18" t="n">
        <x:v>60</x:v>
      </x:c>
      <x:c r="G2107" s="18" t="n">
        <x:v>254</x:v>
      </x:c>
      <x:c r="H2107" s="19" t="n">
        <x:v>4.233333333333333</x:v>
      </x:c>
      <x:c r="I2107" s="18" t="n">
        <x:f>ROUND(MIN(Model_Config_v3!$B$6,MAX(Q2107,R2107,S2107*Model_Config_v3!$B$4+T2107*Model_Config_v3!$B$5)),0)</x:f>
        <x:v>650</x:v>
      </x:c>
      <x:c r="J2107" s="18" t="n">
        <x:f>MIN(Model_Config_v3!$B$6,I2107+Model_Config_v3!$B$7)</x:f>
        <x:v>670</x:v>
      </x:c>
      <x:c r="K2107" s="20" t="n">
        <x:v>57.4</x:v>
      </x:c>
      <x:c r="L2107" t="str">
        <x:v>KETAT</x:v>
      </x:c>
      <x:c r="M2107" t="str">
        <x:v>SEDANG+</x:v>
      </x:c>
      <x:c r="N2107" t="str">
        <x:v>ELITE-2</x:v>
      </x:c>
      <x:c r="O2107" t="str">
        <x:v>SAINTEK</x:v>
      </x:c>
      <x:c r="P2107" t="str">
        <x:v>SAINS DASAR</x:v>
      </x:c>
      <x:c r="Q2107" s="18" t="n">
        <x:v>650</x:v>
      </x:c>
      <x:c r="R2107" s="18" t="n">
        <x:v>0</x:v>
      </x:c>
      <x:c r="S2107" s="18" t="n">
        <x:v>588.9350712859924</x:v>
      </x:c>
      <x:c r="T2107" s="18" t="n">
        <x:v>675</x:v>
      </x:c>
      <x:c r="U2107" s="18" t="n">
        <x:v>650</x:v>
      </x:c>
      <x:c r="V2107" s="20" t="n">
        <x:v>12</x:v>
      </x:c>
      <x:c r="W2107" s="20" t="n">
        <x:v>5</x:v>
      </x:c>
      <x:c r="X2107" s="20" t="n">
        <x:v>3</x:v>
      </x:c>
      <x:c r="Y2107" t="str">
        <x:v>Basis arsip 2025/2024</x:v>
      </x:c>
      <x:c r="Z2107" t="str">
        <x:v>https://snpmb.id/utbk-snbt/daya-tampung-snbt</x:v>
      </x:c>
      <x:c r="AA2107" t="str">
        <x:v>Tidak Ada</x:v>
      </x:c>
      <x:c r="AB2107" t="str">
        <x:v>Campus=90; Ratio=36.9; Prodi=50; RelDemand=16.5; Capacity=50.0</x:v>
      </x:c>
    </x:row>
    <x:row r="2108">
      <x:c r="A2108" t="n">
        <x:v>2105</x:v>
      </x:c>
      <x:c r="B2108" t="str">
        <x:v>PTN Akademik</x:v>
      </x:c>
      <x:c r="C2108" t="str">
        <x:v>UNIVERSITAS BRAWIJAYA</x:v>
      </x:c>
      <x:c r="D2108" t="str">
        <x:v>PEMANFAATAN SUMBERDAYA PERIKANAN</x:v>
      </x:c>
      <x:c r="E2108" t="str">
        <x:v>Sarjana</x:v>
      </x:c>
      <x:c r="F2108" s="18" t="n">
        <x:v>53</x:v>
      </x:c>
      <x:c r="G2108" s="18" t="n">
        <x:v>294</x:v>
      </x:c>
      <x:c r="H2108" s="19" t="n">
        <x:v>5.547169811320755</x:v>
      </x:c>
      <x:c r="I2108" s="18" t="n">
        <x:f>ROUND(MIN(Model_Config_v3!$B$6,MAX(Q2108,R2108,S2108*Model_Config_v3!$B$4+T2108*Model_Config_v3!$B$5)),0)</x:f>
        <x:v>654</x:v>
      </x:c>
      <x:c r="J2108" s="18" t="n">
        <x:f>MIN(Model_Config_v3!$B$6,I2108+Model_Config_v3!$B$7)</x:f>
        <x:v>674</x:v>
      </x:c>
      <x:c r="K2108" s="20" t="n">
        <x:v>58.2</x:v>
      </x:c>
      <x:c r="L2108" t="str">
        <x:v>KETAT</x:v>
      </x:c>
      <x:c r="M2108" t="str">
        <x:v>SEDANG+</x:v>
      </x:c>
      <x:c r="N2108" t="str">
        <x:v>ELITE-2</x:v>
      </x:c>
      <x:c r="O2108" t="str">
        <x:v>SAINTEK</x:v>
      </x:c>
      <x:c r="P2108" t="str">
        <x:v>UMUM</x:v>
      </x:c>
      <x:c r="Q2108" s="18" t="n">
        <x:v>650</x:v>
      </x:c>
      <x:c r="R2108" s="18" t="n">
        <x:v>0</x:v>
      </x:c>
      <x:c r="S2108" s="18" t="n">
        <x:v>601.8478606892505</x:v>
      </x:c>
      <x:c r="T2108" s="18" t="n">
        <x:v>676</x:v>
      </x:c>
      <x:c r="U2108" s="18" t="n">
        <x:v>650</x:v>
      </x:c>
      <x:c r="V2108" s="20" t="n">
        <x:v>12</x:v>
      </x:c>
      <x:c r="W2108" s="20" t="n">
        <x:v>5</x:v>
      </x:c>
      <x:c r="X2108" s="20" t="n">
        <x:v>3</x:v>
      </x:c>
      <x:c r="Y2108" t="str">
        <x:v>Basis arsip 2025/2024</x:v>
      </x:c>
      <x:c r="Z2108" t="str">
        <x:v>https://snpmb.id/utbk-snbt/daya-tampung-snbt</x:v>
      </x:c>
      <x:c r="AA2108" t="str">
        <x:v>Tidak Ada</x:v>
      </x:c>
      <x:c r="AB2108" t="str">
        <x:v>Campus=90; Ratio=43.8; Prodi=40; RelDemand=21.6; Capacity=55.8</x:v>
      </x:c>
    </x:row>
    <x:row r="2109">
      <x:c r="A2109" t="n">
        <x:v>2106</x:v>
      </x:c>
      <x:c r="B2109" t="str">
        <x:v>PTN Akademik</x:v>
      </x:c>
      <x:c r="C2109" t="str">
        <x:v>UNIVERSITAS BRAWIJAYA</x:v>
      </x:c>
      <x:c r="D2109" t="str">
        <x:v>TEKNOLOGI HASIL PERIKANAN</x:v>
      </x:c>
      <x:c r="E2109" t="str">
        <x:v>Sarjana</x:v>
      </x:c>
      <x:c r="F2109" s="18" t="n">
        <x:v>60</x:v>
      </x:c>
      <x:c r="G2109" s="18" t="n">
        <x:v>223</x:v>
      </x:c>
      <x:c r="H2109" s="19" t="n">
        <x:v>3.716666666666667</x:v>
      </x:c>
      <x:c r="I2109" s="18" t="n">
        <x:f>ROUND(MIN(Model_Config_v3!$B$6,MAX(Q2109,R2109,S2109*Model_Config_v3!$B$4+T2109*Model_Config_v3!$B$5)),0)</x:f>
        <x:v>650</x:v>
      </x:c>
      <x:c r="J2109" s="18" t="n">
        <x:f>MIN(Model_Config_v3!$B$6,I2109+Model_Config_v3!$B$7)</x:f>
        <x:v>670</x:v>
      </x:c>
      <x:c r="K2109" s="20" t="n">
        <x:v>54.3</x:v>
      </x:c>
      <x:c r="L2109" t="str">
        <x:v>MENENGAH</x:v>
      </x:c>
      <x:c r="M2109" t="str">
        <x:v>SEDANG+</x:v>
      </x:c>
      <x:c r="N2109" t="str">
        <x:v>ELITE-2</x:v>
      </x:c>
      <x:c r="O2109" t="str">
        <x:v>SAINTEK</x:v>
      </x:c>
      <x:c r="P2109" t="str">
        <x:v>UMUM</x:v>
      </x:c>
      <x:c r="Q2109" s="18" t="n">
        <x:v>650</x:v>
      </x:c>
      <x:c r="R2109" s="18" t="n">
        <x:v>0</x:v>
      </x:c>
      <x:c r="S2109" s="18" t="n">
        <x:v>582.7168973930968</x:v>
      </x:c>
      <x:c r="T2109" s="18" t="n">
        <x:v>669</x:v>
      </x:c>
      <x:c r="U2109" s="18" t="n">
        <x:v>650</x:v>
      </x:c>
      <x:c r="V2109" s="20" t="n">
        <x:v>12</x:v>
      </x:c>
      <x:c r="W2109" s="20" t="n">
        <x:v>5</x:v>
      </x:c>
      <x:c r="X2109" s="20" t="n">
        <x:v>3</x:v>
      </x:c>
      <x:c r="Y2109" t="str">
        <x:v>Basis arsip 2025/2024</x:v>
      </x:c>
      <x:c r="Z2109" t="str">
        <x:v>https://snpmb.id/utbk-snbt/daya-tampung-snbt</x:v>
      </x:c>
      <x:c r="AA2109" t="str">
        <x:v>Tidak Ada</x:v>
      </x:c>
      <x:c r="AB2109" t="str">
        <x:v>Campus=90; Ratio=33.6; Prodi=40; RelDemand=14.5; Capacity=50.0</x:v>
      </x:c>
    </x:row>
    <x:row r="2110">
      <x:c r="A2110" t="n">
        <x:v>2107</x:v>
      </x:c>
      <x:c r="B2110" t="str">
        <x:v>PTN Akademik</x:v>
      </x:c>
      <x:c r="C2110" t="str">
        <x:v>UNIVERSITAS BRAWIJAYA</x:v>
      </x:c>
      <x:c r="D2110" t="str">
        <x:v>AGROBISNIS PERIKANAN</x:v>
      </x:c>
      <x:c r="E2110" t="str">
        <x:v>Sarjana</x:v>
      </x:c>
      <x:c r="F2110" s="18" t="n">
        <x:v>53</x:v>
      </x:c>
      <x:c r="G2110" s="18" t="n">
        <x:v>181</x:v>
      </x:c>
      <x:c r="H2110" s="19" t="n">
        <x:v>3.4150943396226414</x:v>
      </x:c>
      <x:c r="I2110" s="18" t="n">
        <x:f>ROUND(MIN(Model_Config_v3!$B$6,MAX(Q2110,R2110,S2110*Model_Config_v3!$B$4+T2110*Model_Config_v3!$B$5)),0)</x:f>
        <x:v>680</x:v>
      </x:c>
      <x:c r="J2110" s="18" t="n">
        <x:f>MIN(Model_Config_v3!$B$6,I2110+Model_Config_v3!$B$7)</x:f>
        <x:v>700</x:v>
      </x:c>
      <x:c r="K2110" s="20" t="n">
        <x:v>59.3</x:v>
      </x:c>
      <x:c r="L2110" t="str">
        <x:v>KETAT</x:v>
      </x:c>
      <x:c r="M2110" t="str">
        <x:v>SEDANG+</x:v>
      </x:c>
      <x:c r="N2110" t="str">
        <x:v>ELITE-2</x:v>
      </x:c>
      <x:c r="O2110" t="str">
        <x:v>SAINTEK</x:v>
      </x:c>
      <x:c r="P2110" t="str">
        <x:v>BISNIS/EKONOMI/AKUNTANSI</x:v>
      </x:c>
      <x:c r="Q2110" s="18" t="n">
        <x:v>650</x:v>
      </x:c>
      <x:c r="R2110" s="18" t="n">
        <x:v>680</x:v>
      </x:c>
      <x:c r="S2110" s="18" t="n">
        <x:v>578.6742975795235</x:v>
      </x:c>
      <x:c r="T2110" s="18" t="n">
        <x:v>679</x:v>
      </x:c>
      <x:c r="U2110" s="18" t="n">
        <x:v>650</x:v>
      </x:c>
      <x:c r="V2110" s="20" t="n">
        <x:v>12</x:v>
      </x:c>
      <x:c r="W2110" s="20" t="n">
        <x:v>5</x:v>
      </x:c>
      <x:c r="X2110" s="20" t="n">
        <x:v>3</x:v>
      </x:c>
      <x:c r="Y2110" t="str">
        <x:v>Basis arsip 2025/2024</x:v>
      </x:c>
      <x:c r="Z2110" t="str">
        <x:v>https://snpmb.id/utbk-snbt/daya-tampung-snbt</x:v>
      </x:c>
      <x:c r="AA2110" t="str">
        <x:v>Tidak Ada</x:v>
      </x:c>
      <x:c r="AB2110" t="str">
        <x:v>Campus=90; Ratio=31.4; Prodi=65; RelDemand=13.3; Capacity=55.8</x:v>
      </x:c>
    </x:row>
    <x:row r="2111">
      <x:c r="A2111" t="n">
        <x:v>2108</x:v>
      </x:c>
      <x:c r="B2111" t="str">
        <x:v>PTN Akademik</x:v>
      </x:c>
      <x:c r="C2111" t="str">
        <x:v>UNIVERSITAS BRAWIJAYA</x:v>
      </x:c>
      <x:c r="D2111" t="str">
        <x:v>TEKNIK PERTANIAN DAN BIOSISTEM</x:v>
      </x:c>
      <x:c r="E2111" t="str">
        <x:v>Sarjana</x:v>
      </x:c>
      <x:c r="F2111" s="18" t="n">
        <x:v>50</x:v>
      </x:c>
      <x:c r="G2111" s="18" t="n">
        <x:v>324</x:v>
      </x:c>
      <x:c r="H2111" s="19" t="n">
        <x:v>6.48</x:v>
      </x:c>
      <x:c r="I2111" s="18" t="n">
        <x:f>ROUND(MIN(Model_Config_v3!$B$6,MAX(Q2111,R2111,S2111*Model_Config_v3!$B$4+T2111*Model_Config_v3!$B$5)),0)</x:f>
        <x:v>670</x:v>
      </x:c>
      <x:c r="J2111" s="18" t="n">
        <x:f>MIN(Model_Config_v3!$B$6,I2111+Model_Config_v3!$B$7)</x:f>
        <x:v>690</x:v>
      </x:c>
      <x:c r="K2111" s="20" t="n">
        <x:v>63.8</x:v>
      </x:c>
      <x:c r="L2111" t="str">
        <x:v>KETAT</x:v>
      </x:c>
      <x:c r="M2111" t="str">
        <x:v>SEDANG+</x:v>
      </x:c>
      <x:c r="N2111" t="str">
        <x:v>ELITE-2</x:v>
      </x:c>
      <x:c r="O2111" t="str">
        <x:v>SAINTEK</x:v>
      </x:c>
      <x:c r="P2111" t="str">
        <x:v>TEKNIK/ARSITEKTUR/STATISTIKA/AKTUARIA</x:v>
      </x:c>
      <x:c r="Q2111" s="18" t="n">
        <x:v>650</x:v>
      </x:c>
      <x:c r="R2111" s="18" t="n">
        <x:v>670</x:v>
      </x:c>
      <x:c r="S2111" s="18" t="n">
        <x:v>609.2732506457653</x:v>
      </x:c>
      <x:c r="T2111" s="18" t="n">
        <x:v>688</x:v>
      </x:c>
      <x:c r="U2111" s="18" t="n">
        <x:v>650</x:v>
      </x:c>
      <x:c r="V2111" s="20" t="n">
        <x:v>12</x:v>
      </x:c>
      <x:c r="W2111" s="20" t="n">
        <x:v>5</x:v>
      </x:c>
      <x:c r="X2111" s="20" t="n">
        <x:v>3</x:v>
      </x:c>
      <x:c r="Y2111" t="str">
        <x:v>Basis arsip 2025/2024</x:v>
      </x:c>
      <x:c r="Z2111" t="str">
        <x:v>https://snpmb.id/utbk-snbt/daya-tampung-snbt</x:v>
      </x:c>
      <x:c r="AA2111" t="str">
        <x:v>Tidak Ada</x:v>
      </x:c>
      <x:c r="AB2111" t="str">
        <x:v>Campus=90; Ratio=47.8; Prodi=60; RelDemand=25.2; Capacity=58.3</x:v>
      </x:c>
    </x:row>
    <x:row r="2112">
      <x:c r="A2112" t="n">
        <x:v>2109</x:v>
      </x:c>
      <x:c r="B2112" t="str">
        <x:v>PTN Akademik</x:v>
      </x:c>
      <x:c r="C2112" t="str">
        <x:v>UNIVERSITAS BRAWIJAYA</x:v>
      </x:c>
      <x:c r="D2112" t="str">
        <x:v>STATISTIKA</x:v>
      </x:c>
      <x:c r="E2112" t="str">
        <x:v>Sarjana</x:v>
      </x:c>
      <x:c r="F2112" s="18" t="n">
        <x:v>66</x:v>
      </x:c>
      <x:c r="G2112" s="18" t="n">
        <x:v>538</x:v>
      </x:c>
      <x:c r="H2112" s="19" t="n">
        <x:v>8.151515151515152</x:v>
      </x:c>
      <x:c r="I2112" s="18" t="n">
        <x:f>ROUND(MIN(Model_Config_v3!$B$6,MAX(Q2112,R2112,S2112*Model_Config_v3!$B$4+T2112*Model_Config_v3!$B$5)),0)</x:f>
        <x:v>670</x:v>
      </x:c>
      <x:c r="J2112" s="18" t="n">
        <x:f>MIN(Model_Config_v3!$B$6,I2112+Model_Config_v3!$B$7)</x:f>
        <x:v>690</x:v>
      </x:c>
      <x:c r="K2112" s="20" t="n">
        <x:v>64.6</x:v>
      </x:c>
      <x:c r="L2112" t="str">
        <x:v>KETAT</x:v>
      </x:c>
      <x:c r="M2112" t="str">
        <x:v>SEDANG+</x:v>
      </x:c>
      <x:c r="N2112" t="str">
        <x:v>ELITE-2</x:v>
      </x:c>
      <x:c r="O2112" t="str">
        <x:v>SAINTEK</x:v>
      </x:c>
      <x:c r="P2112" t="str">
        <x:v>TEKNIK/ARSITEKTUR/STATISTIKA/AKTUARIA</x:v>
      </x:c>
      <x:c r="Q2112" s="18" t="n">
        <x:v>650</x:v>
      </x:c>
      <x:c r="R2112" s="18" t="n">
        <x:v>670</x:v>
      </x:c>
      <x:c r="S2112" s="18" t="n">
        <x:v>620.2362174136972</x:v>
      </x:c>
      <x:c r="T2112" s="18" t="n">
        <x:v>689</x:v>
      </x:c>
      <x:c r="U2112" s="18" t="n">
        <x:v>650</x:v>
      </x:c>
      <x:c r="V2112" s="20" t="n">
        <x:v>12</x:v>
      </x:c>
      <x:c r="W2112" s="20" t="n">
        <x:v>5</x:v>
      </x:c>
      <x:c r="X2112" s="20" t="n">
        <x:v>3</x:v>
      </x:c>
      <x:c r="Y2112" t="str">
        <x:v>Basis arsip 2025/2024</x:v>
      </x:c>
      <x:c r="Z2112" t="str">
        <x:v>https://snpmb.id/utbk-snbt/daya-tampung-snbt</x:v>
      </x:c>
      <x:c r="AA2112" t="str">
        <x:v>Tidak Ada</x:v>
      </x:c>
      <x:c r="AB2112" t="str">
        <x:v>Campus=90; Ratio=53.6; Prodi=60; RelDemand=31.8; Capacity=45.0</x:v>
      </x:c>
    </x:row>
    <x:row r="2113">
      <x:c r="A2113" t="n">
        <x:v>2110</x:v>
      </x:c>
      <x:c r="B2113" t="str">
        <x:v>PTN Akademik</x:v>
      </x:c>
      <x:c r="C2113" t="str">
        <x:v>UNIVERSITAS BRAWIJAYA</x:v>
      </x:c>
      <x:c r="D2113" t="str">
        <x:v>PERENCANAAN WILAYAH &amp; KOTA</x:v>
      </x:c>
      <x:c r="E2113" t="str">
        <x:v>Sarjana</x:v>
      </x:c>
      <x:c r="F2113" s="18" t="n">
        <x:v>56</x:v>
      </x:c>
      <x:c r="G2113" s="18" t="n">
        <x:v>597</x:v>
      </x:c>
      <x:c r="H2113" s="19" t="n">
        <x:v>10.660714285714286</x:v>
      </x:c>
      <x:c r="I2113" s="18" t="n">
        <x:f>ROUND(MIN(Model_Config_v3!$B$6,MAX(Q2113,R2113,S2113*Model_Config_v3!$B$4+T2113*Model_Config_v3!$B$5)),0)</x:f>
        <x:v>672</x:v>
      </x:c>
      <x:c r="J2113" s="18" t="n">
        <x:f>MIN(Model_Config_v3!$B$6,I2113+Model_Config_v3!$B$7)</x:f>
        <x:v>692</x:v>
      </x:c>
      <x:c r="K2113" s="20" t="n">
        <x:v>64.1</x:v>
      </x:c>
      <x:c r="L2113" t="str">
        <x:v>KETAT</x:v>
      </x:c>
      <x:c r="M2113" t="str">
        <x:v>SEDANG+</x:v>
      </x:c>
      <x:c r="N2113" t="str">
        <x:v>ELITE-2</x:v>
      </x:c>
      <x:c r="O2113" t="str">
        <x:v>CAMPURAN</x:v>
      </x:c>
      <x:c r="P2113" t="str">
        <x:v>UMUM</x:v>
      </x:c>
      <x:c r="Q2113" s="18" t="n">
        <x:v>650</x:v>
      </x:c>
      <x:c r="R2113" s="18" t="n">
        <x:v>0</x:v>
      </x:c>
      <x:c r="S2113" s="18" t="n">
        <x:v>633.0564934535486</x:v>
      </x:c>
      <x:c r="T2113" s="18" t="n">
        <x:v>688</x:v>
      </x:c>
      <x:c r="U2113" s="18" t="n">
        <x:v>650</x:v>
      </x:c>
      <x:c r="V2113" s="20" t="n">
        <x:v>8.8</x:v>
      </x:c>
      <x:c r="W2113" s="20" t="n">
        <x:v>9.9</x:v>
      </x:c>
      <x:c r="X2113" s="20" t="n">
        <x:v>3.3</x:v>
      </x:c>
      <x:c r="Y2113" t="str">
        <x:v>Basis arsip 2025/2024</x:v>
      </x:c>
      <x:c r="Z2113" t="str">
        <x:v>https://snpmb.id/utbk-snbt/daya-tampung-snbt</x:v>
      </x:c>
      <x:c r="AA2113" t="str">
        <x:v>Tidak Ada</x:v>
      </x:c>
      <x:c r="AB2113" t="str">
        <x:v>Campus=90; Ratio=60.5; Prodi=40; RelDemand=41.5; Capacity=53.3</x:v>
      </x:c>
    </x:row>
    <x:row r="2114">
      <x:c r="A2114" t="n">
        <x:v>2111</x:v>
      </x:c>
      <x:c r="B2114" t="str">
        <x:v>PTN Akademik</x:v>
      </x:c>
      <x:c r="C2114" t="str">
        <x:v>UNIVERSITAS BRAWIJAYA</x:v>
      </x:c>
      <x:c r="D2114" t="str">
        <x:v>TEKNIK INDUSTRI PERTANIAN</x:v>
      </x:c>
      <x:c r="E2114" t="str">
        <x:v>Sarjana</x:v>
      </x:c>
      <x:c r="F2114" s="18" t="n">
        <x:v>105</x:v>
      </x:c>
      <x:c r="G2114" s="18" t="n">
        <x:v>541</x:v>
      </x:c>
      <x:c r="H2114" s="19" t="n">
        <x:v>5.152380952380953</x:v>
      </x:c>
      <x:c r="I2114" s="18" t="n">
        <x:f>ROUND(MIN(Model_Config_v3!$B$6,MAX(Q2114,R2114,S2114*Model_Config_v3!$B$4+T2114*Model_Config_v3!$B$5)),0)</x:f>
        <x:v>670</x:v>
      </x:c>
      <x:c r="J2114" s="18" t="n">
        <x:f>MIN(Model_Config_v3!$B$6,I2114+Model_Config_v3!$B$7)</x:f>
        <x:v>690</x:v>
      </x:c>
      <x:c r="K2114" s="20" t="n">
        <x:v>57.2</x:v>
      </x:c>
      <x:c r="L2114" t="str">
        <x:v>KETAT</x:v>
      </x:c>
      <x:c r="M2114" t="str">
        <x:v>SEDANG+</x:v>
      </x:c>
      <x:c r="N2114" t="str">
        <x:v>ELITE-2</x:v>
      </x:c>
      <x:c r="O2114" t="str">
        <x:v>SAINTEK</x:v>
      </x:c>
      <x:c r="P2114" t="str">
        <x:v>TEKNIK/ARSITEKTUR/STATISTIKA/AKTUARIA</x:v>
      </x:c>
      <x:c r="Q2114" s="18" t="n">
        <x:v>650</x:v>
      </x:c>
      <x:c r="R2114" s="18" t="n">
        <x:v>670</x:v>
      </x:c>
      <x:c r="S2114" s="18" t="n">
        <x:v>598.3208762640295</x:v>
      </x:c>
      <x:c r="T2114" s="18" t="n">
        <x:v>674</x:v>
      </x:c>
      <x:c r="U2114" s="18" t="n">
        <x:v>650</x:v>
      </x:c>
      <x:c r="V2114" s="20" t="n">
        <x:v>12</x:v>
      </x:c>
      <x:c r="W2114" s="20" t="n">
        <x:v>5</x:v>
      </x:c>
      <x:c r="X2114" s="20" t="n">
        <x:v>3</x:v>
      </x:c>
      <x:c r="Y2114" t="str">
        <x:v>Basis arsip 2025/2024</x:v>
      </x:c>
      <x:c r="Z2114" t="str">
        <x:v>https://snpmb.id/utbk-snbt/daya-tampung-snbt</x:v>
      </x:c>
      <x:c r="AA2114" t="str">
        <x:v>Tidak Ada</x:v>
      </x:c>
      <x:c r="AB2114" t="str">
        <x:v>Campus=90; Ratio=41.9; Prodi=60; RelDemand=20.1; Capacity=12.5</x:v>
      </x:c>
    </x:row>
    <x:row r="2115">
      <x:c r="A2115" t="n">
        <x:v>2112</x:v>
      </x:c>
      <x:c r="B2115" t="str">
        <x:v>PTN Akademik</x:v>
      </x:c>
      <x:c r="C2115" t="str">
        <x:v>UNIVERSITAS BRAWIJAYA</x:v>
      </x:c>
      <x:c r="D2115" t="str">
        <x:v>ILMU KEPERAWATAN</x:v>
      </x:c>
      <x:c r="E2115" t="str">
        <x:v>Sarjana</x:v>
      </x:c>
      <x:c r="F2115" s="18" t="n">
        <x:v>66</x:v>
      </x:c>
      <x:c r="G2115" s="18" t="n">
        <x:v>1180</x:v>
      </x:c>
      <x:c r="H2115" s="19" t="n">
        <x:v>17.87878787878788</x:v>
      </x:c>
      <x:c r="I2115" s="18" t="n">
        <x:f>ROUND(MIN(Model_Config_v3!$B$6,MAX(Q2115,R2115,S2115*Model_Config_v3!$B$4+T2115*Model_Config_v3!$B$5)),0)</x:f>
        <x:v>691</x:v>
      </x:c>
      <x:c r="J2115" s="18" t="n">
        <x:f>MIN(Model_Config_v3!$B$6,I2115+Model_Config_v3!$B$7)</x:f>
        <x:v>711</x:v>
      </x:c>
      <x:c r="K2115" s="20" t="n">
        <x:v>72.4</x:v>
      </x:c>
      <x:c r="L2115" t="str">
        <x:v>SANGAT KETAT</x:v>
      </x:c>
      <x:c r="M2115" t="str">
        <x:v>SEDANG+</x:v>
      </x:c>
      <x:c r="N2115" t="str">
        <x:v>ELITE-2</x:v>
      </x:c>
      <x:c r="O2115" t="str">
        <x:v>SAINTEK</x:v>
      </x:c>
      <x:c r="P2115" t="str">
        <x:v>KESEHAT/GIZI/KEPERAWATAN</x:v>
      </x:c>
      <x:c r="Q2115" s="18" t="n">
        <x:v>650</x:v>
      </x:c>
      <x:c r="R2115" s="18" t="n">
        <x:v>660</x:v>
      </x:c>
      <x:c r="S2115" s="18" t="n">
        <x:v>657.7571878940682</x:v>
      </x:c>
      <x:c r="T2115" s="18" t="n">
        <x:v>705</x:v>
      </x:c>
      <x:c r="U2115" s="18" t="n">
        <x:v>657.7571878940682</x:v>
      </x:c>
      <x:c r="V2115" s="20" t="n">
        <x:v>12</x:v>
      </x:c>
      <x:c r="W2115" s="20" t="n">
        <x:v>5</x:v>
      </x:c>
      <x:c r="X2115" s="20" t="n">
        <x:v>3</x:v>
      </x:c>
      <x:c r="Y2115" t="str">
        <x:v>Basis arsip 2025/2024</x:v>
      </x:c>
      <x:c r="Z2115" t="str">
        <x:v>https://snpmb.id/utbk-snbt/daya-tampung-snbt</x:v>
      </x:c>
      <x:c r="AA2115" t="str">
        <x:v>Tidak Ada</x:v>
      </x:c>
      <x:c r="AB2115" t="str">
        <x:v>Campus=90; Ratio=73.7; Prodi=55; RelDemand=69.7; Capacity=45.0</x:v>
      </x:c>
    </x:row>
    <x:row r="2116">
      <x:c r="A2116" t="n">
        <x:v>2113</x:v>
      </x:c>
      <x:c r="B2116" t="str">
        <x:v>PTN Akademik</x:v>
      </x:c>
      <x:c r="C2116" t="str">
        <x:v>UNIVERSITAS BRAWIJAYA</x:v>
      </x:c>
      <x:c r="D2116" t="str">
        <x:v>ILMU GIZI</x:v>
      </x:c>
      <x:c r="E2116" t="str">
        <x:v>Sarjana</x:v>
      </x:c>
      <x:c r="F2116" s="18" t="n">
        <x:v>54</x:v>
      </x:c>
      <x:c r="G2116" s="18" t="n">
        <x:v>919</x:v>
      </x:c>
      <x:c r="H2116" s="19" t="n">
        <x:v>17.01851851851852</x:v>
      </x:c>
      <x:c r="I2116" s="18" t="n">
        <x:f>ROUND(MIN(Model_Config_v3!$B$6,MAX(Q2116,R2116,S2116*Model_Config_v3!$B$4+T2116*Model_Config_v3!$B$5)),0)</x:f>
        <x:v>690</x:v>
      </x:c>
      <x:c r="J2116" s="18" t="n">
        <x:f>MIN(Model_Config_v3!$B$6,I2116+Model_Config_v3!$B$7)</x:f>
        <x:v>710</x:v>
      </x:c>
      <x:c r="K2116" s="20" t="n">
        <x:v>72.7</x:v>
      </x:c>
      <x:c r="L2116" t="str">
        <x:v>SANGAT KETAT</x:v>
      </x:c>
      <x:c r="M2116" t="str">
        <x:v>SEDANG+</x:v>
      </x:c>
      <x:c r="N2116" t="str">
        <x:v>ELITE-2</x:v>
      </x:c>
      <x:c r="O2116" t="str">
        <x:v>SAINTEK</x:v>
      </x:c>
      <x:c r="P2116" t="str">
        <x:v>KESEHAT/GIZI/KEPERAWATAN</x:v>
      </x:c>
      <x:c r="Q2116" s="18" t="n">
        <x:v>650</x:v>
      </x:c>
      <x:c r="R2116" s="18" t="n">
        <x:v>660</x:v>
      </x:c>
      <x:c r="S2116" s="18" t="n">
        <x:v>655.4013926719457</x:v>
      </x:c>
      <x:c r="T2116" s="18" t="n">
        <x:v>705</x:v>
      </x:c>
      <x:c r="U2116" s="18" t="n">
        <x:v>655.4013926719457</x:v>
      </x:c>
      <x:c r="V2116" s="20" t="n">
        <x:v>12</x:v>
      </x:c>
      <x:c r="W2116" s="20" t="n">
        <x:v>5</x:v>
      </x:c>
      <x:c r="X2116" s="20" t="n">
        <x:v>3</x:v>
      </x:c>
      <x:c r="Y2116" t="str">
        <x:v>Basis arsip 2025/2024</x:v>
      </x:c>
      <x:c r="Z2116" t="str">
        <x:v>https://snpmb.id/utbk-snbt/daya-tampung-snbt</x:v>
      </x:c>
      <x:c r="AA2116" t="str">
        <x:v>Tidak Ada</x:v>
      </x:c>
      <x:c r="AB2116" t="str">
        <x:v>Campus=90; Ratio=72.5; Prodi=55; RelDemand=66.3; Capacity=55.0</x:v>
      </x:c>
    </x:row>
    <x:row r="2117">
      <x:c r="A2117" t="n">
        <x:v>2114</x:v>
      </x:c>
      <x:c r="B2117" t="str">
        <x:v>PTN Akademik</x:v>
      </x:c>
      <x:c r="C2117" t="str">
        <x:v>UNIVERSITAS BRAWIJAYA</x:v>
      </x:c>
      <x:c r="D2117" t="str">
        <x:v>TEKNIK INDUSTRI</x:v>
      </x:c>
      <x:c r="E2117" t="str">
        <x:v>Sarjana</x:v>
      </x:c>
      <x:c r="F2117" s="18" t="n">
        <x:v>66</x:v>
      </x:c>
      <x:c r="G2117" s="18" t="n">
        <x:v>1233</x:v>
      </x:c>
      <x:c r="H2117" s="19" t="n">
        <x:v>18.681818181818183</x:v>
      </x:c>
      <x:c r="I2117" s="18" t="n">
        <x:f>ROUND(MIN(Model_Config_v3!$B$6,MAX(Q2117,R2117,S2117*Model_Config_v3!$B$4+T2117*Model_Config_v3!$B$5)),0)</x:f>
        <x:v>694</x:v>
      </x:c>
      <x:c r="J2117" s="18" t="n">
        <x:f>MIN(Model_Config_v3!$B$6,I2117+Model_Config_v3!$B$7)</x:f>
        <x:v>714</x:v>
      </x:c>
      <x:c r="K2117" s="20" t="n">
        <x:v>74</x:v>
      </x:c>
      <x:c r="L2117" t="str">
        <x:v>SANGAT KETAT</x:v>
      </x:c>
      <x:c r="M2117" t="str">
        <x:v>SEDANG+</x:v>
      </x:c>
      <x:c r="N2117" t="str">
        <x:v>ELITE-2</x:v>
      </x:c>
      <x:c r="O2117" t="str">
        <x:v>SAINTEK</x:v>
      </x:c>
      <x:c r="P2117" t="str">
        <x:v>TEKNIK/ARSITEKTUR/STATISTIKA/AKTUARIA</x:v>
      </x:c>
      <x:c r="Q2117" s="18" t="n">
        <x:v>650</x:v>
      </x:c>
      <x:c r="R2117" s="18" t="n">
        <x:v>670</x:v>
      </x:c>
      <x:c r="S2117" s="18" t="n">
        <x:v>659.8561055159249</x:v>
      </x:c>
      <x:c r="T2117" s="18" t="n">
        <x:v>708</x:v>
      </x:c>
      <x:c r="U2117" s="18" t="n">
        <x:v>669.8561055159249</x:v>
      </x:c>
      <x:c r="V2117" s="20" t="n">
        <x:v>12</x:v>
      </x:c>
      <x:c r="W2117" s="20" t="n">
        <x:v>5</x:v>
      </x:c>
      <x:c r="X2117" s="20" t="n">
        <x:v>3</x:v>
      </x:c>
      <x:c r="Y2117" t="str">
        <x:v>Basis arsip 2025/2024</x:v>
      </x:c>
      <x:c r="Z2117" t="str">
        <x:v>https://snpmb.id/utbk-snbt/daya-tampung-snbt</x:v>
      </x:c>
      <x:c r="AA2117" t="str">
        <x:v>Tidak Ada</x:v>
      </x:c>
      <x:c r="AB2117" t="str">
        <x:v>Campus=90; Ratio=74.8; Prodi=60; RelDemand=72.8; Capacity=45.0</x:v>
      </x:c>
    </x:row>
    <x:row r="2118">
      <x:c r="A2118" t="n">
        <x:v>2115</x:v>
      </x:c>
      <x:c r="B2118" t="str">
        <x:v>PTN Akademik</x:v>
      </x:c>
      <x:c r="C2118" t="str">
        <x:v>UNIVERSITAS BRAWIJAYA</x:v>
      </x:c>
      <x:c r="D2118" t="str">
        <x:v>TEKNIK INFORMATIKA</x:v>
      </x:c>
      <x:c r="E2118" t="str">
        <x:v>Sarjana</x:v>
      </x:c>
      <x:c r="F2118" s="18" t="n">
        <x:v>84</x:v>
      </x:c>
      <x:c r="G2118" s="18" t="n">
        <x:v>2422</x:v>
      </x:c>
      <x:c r="H2118" s="19" t="n">
        <x:v>28.833333333333332</x:v>
      </x:c>
      <x:c r="I2118" s="18" t="n">
        <x:f>ROUND(MIN(Model_Config_v3!$B$6,MAX(Q2118,R2118,S2118*Model_Config_v3!$B$4+T2118*Model_Config_v3!$B$5)),0)</x:f>
        <x:v>712</x:v>
      </x:c>
      <x:c r="J2118" s="18" t="n">
        <x:f>MIN(Model_Config_v3!$B$6,I2118+Model_Config_v3!$B$7)</x:f>
        <x:v>732</x:v>
      </x:c>
      <x:c r="K2118" s="20" t="n">
        <x:v>83</x:v>
      </x:c>
      <x:c r="L2118" t="str">
        <x:v>ELITE</x:v>
      </x:c>
      <x:c r="M2118" t="str">
        <x:v>SEDANG+</x:v>
      </x:c>
      <x:c r="N2118" t="str">
        <x:v>ELITE-2</x:v>
      </x:c>
      <x:c r="O2118" t="str">
        <x:v>SAINTEK</x:v>
      </x:c>
      <x:c r="P2118" t="str">
        <x:v>KOMPUTER/INFORMATIKA</x:v>
      </x:c>
      <x:c r="Q2118" s="18" t="n">
        <x:v>650</x:v>
      </x:c>
      <x:c r="R2118" s="18" t="n">
        <x:v>695</x:v>
      </x:c>
      <x:c r="S2118" s="18" t="n">
        <x:v>680.5884338019666</x:v>
      </x:c>
      <x:c r="T2118" s="18" t="n">
        <x:v>726</x:v>
      </x:c>
      <x:c r="U2118" s="18" t="n">
        <x:v>705.5884338019666</x:v>
      </x:c>
      <x:c r="V2118" s="20" t="n">
        <x:v>12</x:v>
      </x:c>
      <x:c r="W2118" s="20" t="n">
        <x:v>5</x:v>
      </x:c>
      <x:c r="X2118" s="20" t="n">
        <x:v>3</x:v>
      </x:c>
      <x:c r="Y2118" t="str">
        <x:v>Basis arsip 2025/2024</x:v>
      </x:c>
      <x:c r="Z2118" t="str">
        <x:v>https://snpmb.id/utbk-snbt/daya-tampung-snbt</x:v>
      </x:c>
      <x:c r="AA2118" t="str">
        <x:v>Tidak Ada</x:v>
      </x:c>
      <x:c r="AB2118" t="str">
        <x:v>Campus=90; Ratio=85.9; Prodi=85; RelDemand=100.0; Capacity=30.0</x:v>
      </x:c>
    </x:row>
    <x:row r="2119">
      <x:c r="A2119" t="n">
        <x:v>2116</x:v>
      </x:c>
      <x:c r="B2119" t="str">
        <x:v>PTN Akademik</x:v>
      </x:c>
      <x:c r="C2119" t="str">
        <x:v>UNIVERSITAS BRAWIJAYA</x:v>
      </x:c>
      <x:c r="D2119" t="str">
        <x:v>AGROEKOTEKNOLOGI</x:v>
      </x:c>
      <x:c r="E2119" t="str">
        <x:v>Sarjana</x:v>
      </x:c>
      <x:c r="F2119" s="18" t="n">
        <x:v>269</x:v>
      </x:c>
      <x:c r="G2119" s="18" t="n">
        <x:v>738</x:v>
      </x:c>
      <x:c r="H2119" s="19" t="n">
        <x:v>2.7434944237918217</x:v>
      </x:c>
      <x:c r="I2119" s="18" t="n">
        <x:f>ROUND(MIN(Model_Config_v3!$B$6,MAX(Q2119,R2119,S2119*Model_Config_v3!$B$4+T2119*Model_Config_v3!$B$5)),0)</x:f>
        <x:v>650</x:v>
      </x:c>
      <x:c r="J2119" s="18" t="n">
        <x:f>MIN(Model_Config_v3!$B$6,I2119+Model_Config_v3!$B$7)</x:f>
        <x:v>670</x:v>
      </x:c>
      <x:c r="K2119" s="20" t="n">
        <x:v>47</x:v>
      </x:c>
      <x:c r="L2119" t="str">
        <x:v>MENENGAH</x:v>
      </x:c>
      <x:c r="M2119" t="str">
        <x:v>SEDANG+</x:v>
      </x:c>
      <x:c r="N2119" t="str">
        <x:v>ELITE-2</x:v>
      </x:c>
      <x:c r="O2119" t="str">
        <x:v>SAINTEK</x:v>
      </x:c>
      <x:c r="P2119" t="str">
        <x:v>UMUM</x:v>
      </x:c>
      <x:c r="Q2119" s="18" t="n">
        <x:v>650</x:v>
      </x:c>
      <x:c r="R2119" s="18" t="n">
        <x:v>0</x:v>
      </x:c>
      <x:c r="S2119" s="18" t="n">
        <x:v>568.2134490002697</x:v>
      </x:c>
      <x:c r="T2119" s="18" t="n">
        <x:v>654</x:v>
      </x:c>
      <x:c r="U2119" s="18" t="n">
        <x:v>650</x:v>
      </x:c>
      <x:c r="V2119" s="20" t="n">
        <x:v>12</x:v>
      </x:c>
      <x:c r="W2119" s="20" t="n">
        <x:v>5</x:v>
      </x:c>
      <x:c r="X2119" s="20" t="n">
        <x:v>3</x:v>
      </x:c>
      <x:c r="Y2119" t="str">
        <x:v>Basis arsip 2025/2024</x:v>
      </x:c>
      <x:c r="Z2119" t="str">
        <x:v>https://snpmb.id/utbk-snbt/daya-tampung-snbt</x:v>
      </x:c>
      <x:c r="AA2119" t="str">
        <x:v>Tidak Ada</x:v>
      </x:c>
      <x:c r="AB2119" t="str">
        <x:v>Campus=90; Ratio=25.8; Prodi=40; RelDemand=10.7; Capacity=0.0</x:v>
      </x:c>
    </x:row>
    <x:row r="2120">
      <x:c r="A2120" t="n">
        <x:v>2117</x:v>
      </x:c>
      <x:c r="B2120" t="str">
        <x:v>PTN Akademik</x:v>
      </x:c>
      <x:c r="C2120" t="str">
        <x:v>UNIVERSITAS BRAWIJAYA</x:v>
      </x:c>
      <x:c r="D2120" t="str">
        <x:v>AGRIBISNIS</x:v>
      </x:c>
      <x:c r="E2120" t="str">
        <x:v>Sarjana</x:v>
      </x:c>
      <x:c r="F2120" s="18" t="n">
        <x:v>156</x:v>
      </x:c>
      <x:c r="G2120" s="18" t="n">
        <x:v>824</x:v>
      </x:c>
      <x:c r="H2120" s="19" t="n">
        <x:v>5.282051282051282</x:v>
      </x:c>
      <x:c r="I2120" s="18" t="n">
        <x:f>ROUND(MIN(Model_Config_v3!$B$6,MAX(Q2120,R2120,S2120*Model_Config_v3!$B$4+T2120*Model_Config_v3!$B$5)),0)</x:f>
        <x:v>680</x:v>
      </x:c>
      <x:c r="J2120" s="18" t="n">
        <x:f>MIN(Model_Config_v3!$B$6,I2120+Model_Config_v3!$B$7)</x:f>
        <x:v>700</x:v>
      </x:c>
      <x:c r="K2120" s="20" t="n">
        <x:v>57.2</x:v>
      </x:c>
      <x:c r="L2120" t="str">
        <x:v>KETAT</x:v>
      </x:c>
      <x:c r="M2120" t="str">
        <x:v>SEDANG+</x:v>
      </x:c>
      <x:c r="N2120" t="str">
        <x:v>ELITE-2</x:v>
      </x:c>
      <x:c r="O2120" t="str">
        <x:v>SOSHUM</x:v>
      </x:c>
      <x:c r="P2120" t="str">
        <x:v>BISNIS/EKONOMI/AKUNTANSI</x:v>
      </x:c>
      <x:c r="Q2120" s="18" t="n">
        <x:v>650</x:v>
      </x:c>
      <x:c r="R2120" s="18" t="n">
        <x:v>680</x:v>
      </x:c>
      <x:c r="S2120" s="18" t="n">
        <x:v>599.508287467692</x:v>
      </x:c>
      <x:c r="T2120" s="18" t="n">
        <x:v>674</x:v>
      </x:c>
      <x:c r="U2120" s="18" t="n">
        <x:v>650</x:v>
      </x:c>
      <x:c r="V2120" s="20" t="n">
        <x:v>4.4</x:v>
      </x:c>
      <x:c r="W2120" s="20" t="n">
        <x:v>14.3</x:v>
      </x:c>
      <x:c r="X2120" s="20" t="n">
        <x:v>3.3</x:v>
      </x:c>
      <x:c r="Y2120" t="str">
        <x:v>Basis arsip 2025/2024</x:v>
      </x:c>
      <x:c r="Z2120" t="str">
        <x:v>https://snpmb.id/utbk-snbt/daya-tampung-snbt</x:v>
      </x:c>
      <x:c r="AA2120" t="str">
        <x:v>Tidak Ada</x:v>
      </x:c>
      <x:c r="AB2120" t="str">
        <x:v>Campus=90; Ratio=42.5; Prodi=65; RelDemand=20.6; Capacity=0.0</x:v>
      </x:c>
    </x:row>
    <x:row r="2121">
      <x:c r="A2121" t="n">
        <x:v>2118</x:v>
      </x:c>
      <x:c r="B2121" t="str">
        <x:v>PTN Akademik</x:v>
      </x:c>
      <x:c r="C2121" t="str">
        <x:v>UNIVERSITAS BRAWIJAYA</x:v>
      </x:c>
      <x:c r="D2121" t="str">
        <x:v>PETERNAKAN</x:v>
      </x:c>
      <x:c r="E2121" t="str">
        <x:v>Sarjana</x:v>
      </x:c>
      <x:c r="F2121" s="18" t="n">
        <x:v>245</x:v>
      </x:c>
      <x:c r="G2121" s="18" t="n">
        <x:v>766</x:v>
      </x:c>
      <x:c r="H2121" s="19" t="n">
        <x:v>3.126530612244898</x:v>
      </x:c>
      <x:c r="I2121" s="18" t="n">
        <x:f>ROUND(MIN(Model_Config_v3!$B$6,MAX(Q2121,R2121,S2121*Model_Config_v3!$B$4+T2121*Model_Config_v3!$B$5)),0)</x:f>
        <x:v>650</x:v>
      </x:c>
      <x:c r="J2121" s="18" t="n">
        <x:f>MIN(Model_Config_v3!$B$6,I2121+Model_Config_v3!$B$7)</x:f>
        <x:v>670</x:v>
      </x:c>
      <x:c r="K2121" s="20" t="n">
        <x:v>48</x:v>
      </x:c>
      <x:c r="L2121" t="str">
        <x:v>MENENGAH</x:v>
      </x:c>
      <x:c r="M2121" t="str">
        <x:v>SEDANG+</x:v>
      </x:c>
      <x:c r="N2121" t="str">
        <x:v>ELITE-2</x:v>
      </x:c>
      <x:c r="O2121" t="str">
        <x:v>SAINTEK</x:v>
      </x:c>
      <x:c r="P2121" t="str">
        <x:v>UMUM</x:v>
      </x:c>
      <x:c r="Q2121" s="18" t="n">
        <x:v>650</x:v>
      </x:c>
      <x:c r="R2121" s="18" t="n">
        <x:v>0</x:v>
      </x:c>
      <x:c r="S2121" s="18" t="n">
        <x:v>574.4568953794878</x:v>
      </x:c>
      <x:c r="T2121" s="18" t="n">
        <x:v>656</x:v>
      </x:c>
      <x:c r="U2121" s="18" t="n">
        <x:v>650</x:v>
      </x:c>
      <x:c r="V2121" s="20" t="n">
        <x:v>12</x:v>
      </x:c>
      <x:c r="W2121" s="20" t="n">
        <x:v>5</x:v>
      </x:c>
      <x:c r="X2121" s="20" t="n">
        <x:v>3</x:v>
      </x:c>
      <x:c r="Y2121" t="str">
        <x:v>Basis arsip 2025/2024</x:v>
      </x:c>
      <x:c r="Z2121" t="str">
        <x:v>https://snpmb.id/utbk-snbt/daya-tampung-snbt</x:v>
      </x:c>
      <x:c r="AA2121" t="str">
        <x:v>Tidak Ada</x:v>
      </x:c>
      <x:c r="AB2121" t="str">
        <x:v>Campus=90; Ratio=29.1; Prodi=40; RelDemand=12.2; Capacity=0.0</x:v>
      </x:c>
    </x:row>
    <x:row r="2122">
      <x:c r="A2122" t="n">
        <x:v>2119</x:v>
      </x:c>
      <x:c r="B2122" t="str">
        <x:v>PTN Akademik</x:v>
      </x:c>
      <x:c r="C2122" t="str">
        <x:v>UNIVERSITAS BRAWIJAYA</x:v>
      </x:c>
      <x:c r="D2122" t="str">
        <x:v>PENDIDIKAN DOKTER HEWAN</x:v>
      </x:c>
      <x:c r="E2122" t="str">
        <x:v>Sarjana</x:v>
      </x:c>
      <x:c r="F2122" s="18" t="n">
        <x:v>72</x:v>
      </x:c>
      <x:c r="G2122" s="18" t="n">
        <x:v>801</x:v>
      </x:c>
      <x:c r="H2122" s="19" t="n">
        <x:v>11.125</x:v>
      </x:c>
      <x:c r="I2122" s="18" t="n">
        <x:f>ROUND(MIN(Model_Config_v3!$B$6,MAX(Q2122,R2122,S2122*Model_Config_v3!$B$4+T2122*Model_Config_v3!$B$5)),0)</x:f>
        <x:v>676</x:v>
      </x:c>
      <x:c r="J2122" s="18" t="n">
        <x:f>MIN(Model_Config_v3!$B$6,I2122+Model_Config_v3!$B$7)</x:f>
        <x:v>696</x:v>
      </x:c>
      <x:c r="K2122" s="20" t="n">
        <x:v>67.2</x:v>
      </x:c>
      <x:c r="L2122" t="str">
        <x:v>SANGAT KETAT</x:v>
      </x:c>
      <x:c r="M2122" t="str">
        <x:v>SEDANG+</x:v>
      </x:c>
      <x:c r="N2122" t="str">
        <x:v>ELITE-2</x:v>
      </x:c>
      <x:c r="O2122" t="str">
        <x:v>SAINTEK</x:v>
      </x:c>
      <x:c r="P2122" t="str">
        <x:v>VETERINER</x:v>
      </x:c>
      <x:c r="Q2122" s="18" t="n">
        <x:v>650</x:v>
      </x:c>
      <x:c r="R2122" s="18" t="n">
        <x:v>670</x:v>
      </x:c>
      <x:c r="S2122" s="18" t="n">
        <x:v>635.0930021618266</x:v>
      </x:c>
      <x:c r="T2122" s="18" t="n">
        <x:v>694</x:v>
      </x:c>
      <x:c r="U2122" s="18" t="n">
        <x:v>725</x:v>
      </x:c>
      <x:c r="V2122" s="20" t="n">
        <x:v>12</x:v>
      </x:c>
      <x:c r="W2122" s="20" t="n">
        <x:v>5</x:v>
      </x:c>
      <x:c r="X2122" s="20" t="n">
        <x:v>3</x:v>
      </x:c>
      <x:c r="Y2122" t="str">
        <x:v>Basis arsip 2025/2024</x:v>
      </x:c>
      <x:c r="Z2122" t="str">
        <x:v>https://snpmb.id/utbk-snbt/daya-tampung-snbt</x:v>
      </x:c>
      <x:c r="AA2122" t="str">
        <x:v>Tidak Ada</x:v>
      </x:c>
      <x:c r="AB2122" t="str">
        <x:v>Campus=90; Ratio=61.6; Prodi=60; RelDemand=43.3; Capacity=40.0</x:v>
      </x:c>
    </x:row>
    <x:row r="2123">
      <x:c r="A2123" t="n">
        <x:v>2120</x:v>
      </x:c>
      <x:c r="B2123" t="str">
        <x:v>PTN Akademik</x:v>
      </x:c>
      <x:c r="C2123" t="str">
        <x:v>UNIVERSITAS BRAWIJAYA</x:v>
      </x:c>
      <x:c r="D2123" t="str">
        <x:v>PENDIDIKAN DOKTER GIGI</x:v>
      </x:c>
      <x:c r="E2123" t="str">
        <x:v>Sarjana</x:v>
      </x:c>
      <x:c r="F2123" s="18" t="n">
        <x:v>50</x:v>
      </x:c>
      <x:c r="G2123" s="18" t="n">
        <x:v>1243</x:v>
      </x:c>
      <x:c r="H2123" s="19" t="n">
        <x:v>24.86</x:v>
      </x:c>
      <x:c r="I2123" s="18" t="n">
        <x:f>ROUND(MIN(Model_Config_v3!$B$6,MAX(Q2123,R2123,S2123*Model_Config_v3!$B$4+T2123*Model_Config_v3!$B$5)),0)</x:f>
        <x:v>714</x:v>
      </x:c>
      <x:c r="J2123" s="18" t="n">
        <x:f>MIN(Model_Config_v3!$B$6,I2123+Model_Config_v3!$B$7)</x:f>
        <x:v>734</x:v>
      </x:c>
      <x:c r="K2123" s="20" t="n">
        <x:v>85.6</x:v>
      </x:c>
      <x:c r="L2123" t="str">
        <x:v>ULTRA ELITE</x:v>
      </x:c>
      <x:c r="M2123" t="str">
        <x:v>SEDANG+</x:v>
      </x:c>
      <x:c r="N2123" t="str">
        <x:v>ELITE-2</x:v>
      </x:c>
      <x:c r="O2123" t="str">
        <x:v>SAINTEK</x:v>
      </x:c>
      <x:c r="P2123" t="str">
        <x:v>KEDOKTERAN GIGI</x:v>
      </x:c>
      <x:c r="Q2123" s="18" t="n">
        <x:v>650</x:v>
      </x:c>
      <x:c r="R2123" s="18" t="n">
        <x:v>700</x:v>
      </x:c>
      <x:c r="S2123" s="18" t="n">
        <x:v>673.5051236736189</x:v>
      </x:c>
      <x:c r="T2123" s="18" t="n">
        <x:v>731</x:v>
      </x:c>
      <x:c r="U2123" s="18" t="n">
        <x:v>703.5051236736189</x:v>
      </x:c>
      <x:c r="V2123" s="20" t="n">
        <x:v>12</x:v>
      </x:c>
      <x:c r="W2123" s="20" t="n">
        <x:v>5</x:v>
      </x:c>
      <x:c r="X2123" s="20" t="n">
        <x:v>3</x:v>
      </x:c>
      <x:c r="Y2123" t="str">
        <x:v>Basis arsip 2025/2024</x:v>
      </x:c>
      <x:c r="Z2123" t="str">
        <x:v>https://snpmb.id/utbk-snbt/daya-tampung-snbt</x:v>
      </x:c>
      <x:c r="AA2123" t="str">
        <x:v>Tidak Ada</x:v>
      </x:c>
      <x:c r="AB2123" t="str">
        <x:v>Campus=90; Ratio=82.1; Prodi=90; RelDemand=96.9; Capacity=58.3</x:v>
      </x:c>
    </x:row>
    <x:row r="2124">
      <x:c r="A2124" t="n">
        <x:v>2121</x:v>
      </x:c>
      <x:c r="B2124" t="str">
        <x:v>PTN Akademik</x:v>
      </x:c>
      <x:c r="C2124" t="str">
        <x:v>UNIVERSITAS BRAWIJAYA</x:v>
      </x:c>
      <x:c r="D2124" t="str">
        <x:v>ILMU KELAUTAN</x:v>
      </x:c>
      <x:c r="E2124" t="str">
        <x:v>Sarjana</x:v>
      </x:c>
      <x:c r="F2124" s="18" t="n">
        <x:v>60</x:v>
      </x:c>
      <x:c r="G2124" s="18" t="n">
        <x:v>459</x:v>
      </x:c>
      <x:c r="H2124" s="19" t="n">
        <x:v>7.65</x:v>
      </x:c>
      <x:c r="I2124" s="18" t="n">
        <x:f>ROUND(MIN(Model_Config_v3!$B$6,MAX(Q2124,R2124,S2124*Model_Config_v3!$B$4+T2124*Model_Config_v3!$B$5)),0)</x:f>
        <x:v>662</x:v>
      </x:c>
      <x:c r="J2124" s="18" t="n">
        <x:f>MIN(Model_Config_v3!$B$6,I2124+Model_Config_v3!$B$7)</x:f>
        <x:v>682</x:v>
      </x:c>
      <x:c r="K2124" s="20" t="n">
        <x:v>60.5</x:v>
      </x:c>
      <x:c r="L2124" t="str">
        <x:v>KETAT</x:v>
      </x:c>
      <x:c r="M2124" t="str">
        <x:v>SEDANG+</x:v>
      </x:c>
      <x:c r="N2124" t="str">
        <x:v>ELITE-2</x:v>
      </x:c>
      <x:c r="O2124" t="str">
        <x:v>SAINTEK</x:v>
      </x:c>
      <x:c r="P2124" t="str">
        <x:v>UMUM</x:v>
      </x:c>
      <x:c r="Q2124" s="18" t="n">
        <x:v>650</x:v>
      </x:c>
      <x:c r="R2124" s="18" t="n">
        <x:v>0</x:v>
      </x:c>
      <x:c r="S2124" s="18" t="n">
        <x:v>617.202757866898</x:v>
      </x:c>
      <x:c r="T2124" s="18" t="n">
        <x:v>681</x:v>
      </x:c>
      <x:c r="U2124" s="18" t="n">
        <x:v>650</x:v>
      </x:c>
      <x:c r="V2124" s="20" t="n">
        <x:v>12</x:v>
      </x:c>
      <x:c r="W2124" s="20" t="n">
        <x:v>5</x:v>
      </x:c>
      <x:c r="X2124" s="20" t="n">
        <x:v>3</x:v>
      </x:c>
      <x:c r="Y2124" t="str">
        <x:v>Basis arsip 2025/2024</x:v>
      </x:c>
      <x:c r="Z2124" t="str">
        <x:v>https://snpmb.id/utbk-snbt/daya-tampung-snbt</x:v>
      </x:c>
      <x:c r="AA2124" t="str">
        <x:v>Tidak Ada</x:v>
      </x:c>
      <x:c r="AB2124" t="str">
        <x:v>Campus=90; Ratio=52.0; Prodi=40; RelDemand=29.8; Capacity=50.0</x:v>
      </x:c>
    </x:row>
    <x:row r="2125">
      <x:c r="A2125" t="n">
        <x:v>2122</x:v>
      </x:c>
      <x:c r="B2125" t="str">
        <x:v>PTN Akademik</x:v>
      </x:c>
      <x:c r="C2125" t="str">
        <x:v>UNIVERSITAS BRAWIJAYA</x:v>
      </x:c>
      <x:c r="D2125" t="str">
        <x:v>KEBIDANAN</x:v>
      </x:c>
      <x:c r="E2125" t="str">
        <x:v>Sarjana</x:v>
      </x:c>
      <x:c r="F2125" s="18" t="n">
        <x:v>54</x:v>
      </x:c>
      <x:c r="G2125" s="18" t="n">
        <x:v>706</x:v>
      </x:c>
      <x:c r="H2125" s="19" t="n">
        <x:v>13.074074074074074</x:v>
      </x:c>
      <x:c r="I2125" s="18" t="n">
        <x:f>ROUND(MIN(Model_Config_v3!$B$6,MAX(Q2125,R2125,S2125*Model_Config_v3!$B$4+T2125*Model_Config_v3!$B$5)),0)</x:f>
        <x:v>682</x:v>
      </x:c>
      <x:c r="J2125" s="18" t="n">
        <x:f>MIN(Model_Config_v3!$B$6,I2125+Model_Config_v3!$B$7)</x:f>
        <x:v>702</x:v>
      </x:c>
      <x:c r="K2125" s="20" t="n">
        <x:v>69.5</x:v>
      </x:c>
      <x:c r="L2125" t="str">
        <x:v>SANGAT KETAT</x:v>
      </x:c>
      <x:c r="M2125" t="str">
        <x:v>SEDANG+</x:v>
      </x:c>
      <x:c r="N2125" t="str">
        <x:v>ELITE-2</x:v>
      </x:c>
      <x:c r="O2125" t="str">
        <x:v>SAINTEK</x:v>
      </x:c>
      <x:c r="P2125" t="str">
        <x:v>KESEHAT/GIZI/KEPERAWATAN</x:v>
      </x:c>
      <x:c r="Q2125" s="18" t="n">
        <x:v>650</x:v>
      </x:c>
      <x:c r="R2125" s="18" t="n">
        <x:v>660</x:v>
      </x:c>
      <x:c r="S2125" s="18" t="n">
        <x:v>642.8052035351718</x:v>
      </x:c>
      <x:c r="T2125" s="18" t="n">
        <x:v>699</x:v>
      </x:c>
      <x:c r="U2125" s="18" t="n">
        <x:v>650</x:v>
      </x:c>
      <x:c r="V2125" s="20" t="n">
        <x:v>12</x:v>
      </x:c>
      <x:c r="W2125" s="20" t="n">
        <x:v>5</x:v>
      </x:c>
      <x:c r="X2125" s="20" t="n">
        <x:v>3</x:v>
      </x:c>
      <x:c r="Y2125" t="str">
        <x:v>Basis arsip 2025/2024</x:v>
      </x:c>
      <x:c r="Z2125" t="str">
        <x:v>https://snpmb.id/utbk-snbt/daya-tampung-snbt</x:v>
      </x:c>
      <x:c r="AA2125" t="str">
        <x:v>Tidak Ada</x:v>
      </x:c>
      <x:c r="AB2125" t="str">
        <x:v>Campus=90; Ratio=65.7; Prodi=55; RelDemand=50.9; Capacity=55.0</x:v>
      </x:c>
    </x:row>
    <x:row r="2126">
      <x:c r="A2126" t="n">
        <x:v>2123</x:v>
      </x:c>
      <x:c r="B2126" t="str">
        <x:v>PTN Akademik</x:v>
      </x:c>
      <x:c r="C2126" t="str">
        <x:v>UNIVERSITAS BRAWIJAYA</x:v>
      </x:c>
      <x:c r="D2126" t="str">
        <x:v>FARMASI</x:v>
      </x:c>
      <x:c r="E2126" t="str">
        <x:v>Sarjana</x:v>
      </x:c>
      <x:c r="F2126" s="18" t="n">
        <x:v>54</x:v>
      </x:c>
      <x:c r="G2126" s="18" t="n">
        <x:v>1566</x:v>
      </x:c>
      <x:c r="H2126" s="19" t="n">
        <x:v>29</x:v>
      </x:c>
      <x:c r="I2126" s="18" t="n">
        <x:f>ROUND(MIN(Model_Config_v3!$B$6,MAX(Q2126,R2126,S2126*Model_Config_v3!$B$4+T2126*Model_Config_v3!$B$5)),0)</x:f>
        <x:v>713</x:v>
      </x:c>
      <x:c r="J2126" s="18" t="n">
        <x:f>MIN(Model_Config_v3!$B$6,I2126+Model_Config_v3!$B$7)</x:f>
        <x:v>733</x:v>
      </x:c>
      <x:c r="K2126" s="20" t="n">
        <x:v>83.5</x:v>
      </x:c>
      <x:c r="L2126" t="str">
        <x:v>ELITE</x:v>
      </x:c>
      <x:c r="M2126" t="str">
        <x:v>SEDANG+</x:v>
      </x:c>
      <x:c r="N2126" t="str">
        <x:v>ELITE-2</x:v>
      </x:c>
      <x:c r="O2126" t="str">
        <x:v>SAINTEK</x:v>
      </x:c>
      <x:c r="P2126" t="str">
        <x:v>FARMASI</x:v>
      </x:c>
      <x:c r="Q2126" s="18" t="n">
        <x:v>650</x:v>
      </x:c>
      <x:c r="R2126" s="18" t="n">
        <x:v>680</x:v>
      </x:c>
      <x:c r="S2126" s="18" t="n">
        <x:v>680.8637797688851</x:v>
      </x:c>
      <x:c r="T2126" s="18" t="n">
        <x:v>727</x:v>
      </x:c>
      <x:c r="U2126" s="18" t="n">
        <x:v>700.8637797688851</x:v>
      </x:c>
      <x:c r="V2126" s="20" t="n">
        <x:v>12</x:v>
      </x:c>
      <x:c r="W2126" s="20" t="n">
        <x:v>5</x:v>
      </x:c>
      <x:c r="X2126" s="20" t="n">
        <x:v>3</x:v>
      </x:c>
      <x:c r="Y2126" t="str">
        <x:v>Basis arsip 2025/2024</x:v>
      </x:c>
      <x:c r="Z2126" t="str">
        <x:v>https://snpmb.id/utbk-snbt/daya-tampung-snbt</x:v>
      </x:c>
      <x:c r="AA2126" t="str">
        <x:v>Tidak Ada</x:v>
      </x:c>
      <x:c r="AB2126" t="str">
        <x:v>Campus=90; Ratio=86.1; Prodi=75; RelDemand=100.0; Capacity=55.0</x:v>
      </x:c>
    </x:row>
    <x:row r="2127">
      <x:c r="A2127" t="n">
        <x:v>2124</x:v>
      </x:c>
      <x:c r="B2127" t="str">
        <x:v>PTN Akademik</x:v>
      </x:c>
      <x:c r="C2127" t="str">
        <x:v>UNIVERSITAS BRAWIJAYA</x:v>
      </x:c>
      <x:c r="D2127" t="str">
        <x:v>TEKNIK KOMPUTER</x:v>
      </x:c>
      <x:c r="E2127" t="str">
        <x:v>Sarjana</x:v>
      </x:c>
      <x:c r="F2127" s="18" t="n">
        <x:v>60</x:v>
      </x:c>
      <x:c r="G2127" s="18" t="n">
        <x:v>737</x:v>
      </x:c>
      <x:c r="H2127" s="19" t="n">
        <x:v>12.283333333333333</x:v>
      </x:c>
      <x:c r="I2127" s="18" t="n">
        <x:f>ROUND(MIN(Model_Config_v3!$B$6,MAX(Q2127,R2127,S2127*Model_Config_v3!$B$4+T2127*Model_Config_v3!$B$5)),0)</x:f>
        <x:v>695</x:v>
      </x:c>
      <x:c r="J2127" s="18" t="n">
        <x:f>MIN(Model_Config_v3!$B$6,I2127+Model_Config_v3!$B$7)</x:f>
        <x:v>715</x:v>
      </x:c>
      <x:c r="K2127" s="20" t="n">
        <x:v>74.3</x:v>
      </x:c>
      <x:c r="L2127" t="str">
        <x:v>SANGAT KETAT</x:v>
      </x:c>
      <x:c r="M2127" t="str">
        <x:v>SEDANG+</x:v>
      </x:c>
      <x:c r="N2127" t="str">
        <x:v>ELITE-2</x:v>
      </x:c>
      <x:c r="O2127" t="str">
        <x:v>SAINTEK</x:v>
      </x:c>
      <x:c r="P2127" t="str">
        <x:v>KOMPUTER/INFORMATIKA</x:v>
      </x:c>
      <x:c r="Q2127" s="18" t="n">
        <x:v>650</x:v>
      </x:c>
      <x:c r="R2127" s="18" t="n">
        <x:v>695</x:v>
      </x:c>
      <x:c r="S2127" s="18" t="n">
        <x:v>639.8247861222949</x:v>
      </x:c>
      <x:c r="T2127" s="18" t="n">
        <x:v>709</x:v>
      </x:c>
      <x:c r="U2127" s="18" t="n">
        <x:v>695</x:v>
      </x:c>
      <x:c r="V2127" s="20" t="n">
        <x:v>12</x:v>
      </x:c>
      <x:c r="W2127" s="20" t="n">
        <x:v>5</x:v>
      </x:c>
      <x:c r="X2127" s="20" t="n">
        <x:v>3</x:v>
      </x:c>
      <x:c r="Y2127" t="str">
        <x:v>Basis arsip 2025/2024</x:v>
      </x:c>
      <x:c r="Z2127" t="str">
        <x:v>https://snpmb.id/utbk-snbt/daya-tampung-snbt</x:v>
      </x:c>
      <x:c r="AA2127" t="str">
        <x:v>Tidak Ada</x:v>
      </x:c>
      <x:c r="AB2127" t="str">
        <x:v>Campus=90; Ratio=64.1; Prodi=85; RelDemand=47.9; Capacity=50.0</x:v>
      </x:c>
    </x:row>
    <x:row r="2128">
      <x:c r="A2128" t="n">
        <x:v>2125</x:v>
      </x:c>
      <x:c r="B2128" t="str">
        <x:v>PTN Akademik</x:v>
      </x:c>
      <x:c r="C2128" t="str">
        <x:v>UNIVERSITAS BRAWIJAYA</x:v>
      </x:c>
      <x:c r="D2128" t="str">
        <x:v>SISTEM INFORMASI</x:v>
      </x:c>
      <x:c r="E2128" t="str">
        <x:v>Sarjana</x:v>
      </x:c>
      <x:c r="F2128" s="18" t="n">
        <x:v>84</x:v>
      </x:c>
      <x:c r="G2128" s="18" t="n">
        <x:v>1624</x:v>
      </x:c>
      <x:c r="H2128" s="19" t="n">
        <x:v>19.333333333333332</x:v>
      </x:c>
      <x:c r="I2128" s="18" t="n">
        <x:f>ROUND(MIN(Model_Config_v3!$B$6,MAX(Q2128,R2128,S2128*Model_Config_v3!$B$4+T2128*Model_Config_v3!$B$5)),0)</x:f>
        <x:v>700</x:v>
      </x:c>
      <x:c r="J2128" s="18" t="n">
        <x:f>MIN(Model_Config_v3!$B$6,I2128+Model_Config_v3!$B$7)</x:f>
        <x:v>720</x:v>
      </x:c>
      <x:c r="K2128" s="20" t="n">
        <x:v>78</x:v>
      </x:c>
      <x:c r="L2128" t="str">
        <x:v>ELITE</x:v>
      </x:c>
      <x:c r="M2128" t="str">
        <x:v>SEDANG+</x:v>
      </x:c>
      <x:c r="N2128" t="str">
        <x:v>ELITE-2</x:v>
      </x:c>
      <x:c r="O2128" t="str">
        <x:v>CAMPURAN</x:v>
      </x:c>
      <x:c r="P2128" t="str">
        <x:v>KOMPUTER/INFORMATIKA</x:v>
      </x:c>
      <x:c r="Q2128" s="18" t="n">
        <x:v>650</x:v>
      </x:c>
      <x:c r="R2128" s="18" t="n">
        <x:v>695</x:v>
      </x:c>
      <x:c r="S2128" s="18" t="n">
        <x:v>661.4937412727602</x:v>
      </x:c>
      <x:c r="T2128" s="18" t="n">
        <x:v>716</x:v>
      </x:c>
      <x:c r="U2128" s="18" t="n">
        <x:v>695</x:v>
      </x:c>
      <x:c r="V2128" s="20" t="n">
        <x:v>8.8</x:v>
      </x:c>
      <x:c r="W2128" s="20" t="n">
        <x:v>9.9</x:v>
      </x:c>
      <x:c r="X2128" s="20" t="n">
        <x:v>3.3</x:v>
      </x:c>
      <x:c r="Y2128" t="str">
        <x:v>Basis arsip 2025/2024</x:v>
      </x:c>
      <x:c r="Z2128" t="str">
        <x:v>https://snpmb.id/utbk-snbt/daya-tampung-snbt</x:v>
      </x:c>
      <x:c r="AA2128" t="str">
        <x:v>Tidak Ada</x:v>
      </x:c>
      <x:c r="AB2128" t="str">
        <x:v>Campus=90; Ratio=75.7; Prodi=85; RelDemand=75.3; Capacity=30.0</x:v>
      </x:c>
    </x:row>
    <x:row r="2129">
      <x:c r="A2129" t="n">
        <x:v>2126</x:v>
      </x:c>
      <x:c r="B2129" t="str">
        <x:v>PTN Akademik</x:v>
      </x:c>
      <x:c r="C2129" t="str">
        <x:v>UNIVERSITAS BRAWIJAYA</x:v>
      </x:c>
      <x:c r="D2129" t="str">
        <x:v>TEKNIK KIMIA</x:v>
      </x:c>
      <x:c r="E2129" t="str">
        <x:v>Sarjana</x:v>
      </x:c>
      <x:c r="F2129" s="18" t="n">
        <x:v>45</x:v>
      </x:c>
      <x:c r="G2129" s="18" t="n">
        <x:v>608</x:v>
      </x:c>
      <x:c r="H2129" s="19" t="n">
        <x:v>13.511111111111111</x:v>
      </x:c>
      <x:c r="I2129" s="18" t="n">
        <x:f>ROUND(MIN(Model_Config_v3!$B$6,MAX(Q2129,R2129,S2129*Model_Config_v3!$B$4+T2129*Model_Config_v3!$B$5)),0)</x:f>
        <x:v>685</x:v>
      </x:c>
      <x:c r="J2129" s="18" t="n">
        <x:f>MIN(Model_Config_v3!$B$6,I2129+Model_Config_v3!$B$7)</x:f>
        <x:v>705</x:v>
      </x:c>
      <x:c r="K2129" s="20" t="n">
        <x:v>71.7</x:v>
      </x:c>
      <x:c r="L2129" t="str">
        <x:v>SANGAT KETAT</x:v>
      </x:c>
      <x:c r="M2129" t="str">
        <x:v>SEDANG+</x:v>
      </x:c>
      <x:c r="N2129" t="str">
        <x:v>ELITE-2</x:v>
      </x:c>
      <x:c r="O2129" t="str">
        <x:v>SAINTEK</x:v>
      </x:c>
      <x:c r="P2129" t="str">
        <x:v>TEKNIK/ARSITEKTUR/STATISTIKA/AKTUARIA</x:v>
      </x:c>
      <x:c r="Q2129" s="18" t="n">
        <x:v>650</x:v>
      </x:c>
      <x:c r="R2129" s="18" t="n">
        <x:v>670</x:v>
      </x:c>
      <x:c r="S2129" s="18" t="n">
        <x:v>644.376017204713</x:v>
      </x:c>
      <x:c r="T2129" s="18" t="n">
        <x:v>703</x:v>
      </x:c>
      <x:c r="U2129" s="18" t="n">
        <x:v>654.376017204713</x:v>
      </x:c>
      <x:c r="V2129" s="20" t="n">
        <x:v>12</x:v>
      </x:c>
      <x:c r="W2129" s="20" t="n">
        <x:v>5</x:v>
      </x:c>
      <x:c r="X2129" s="20" t="n">
        <x:v>3</x:v>
      </x:c>
      <x:c r="Y2129" t="str">
        <x:v>Basis arsip 2025/2024</x:v>
      </x:c>
      <x:c r="Z2129" t="str">
        <x:v>https://snpmb.id/utbk-snbt/daya-tampung-snbt</x:v>
      </x:c>
      <x:c r="AA2129" t="str">
        <x:v>Tidak Ada</x:v>
      </x:c>
      <x:c r="AB2129" t="str">
        <x:v>Campus=90; Ratio=66.6; Prodi=60; RelDemand=52.6; Capacity=62.5</x:v>
      </x:c>
    </x:row>
    <x:row r="2130">
      <x:c r="A2130" t="n">
        <x:v>2127</x:v>
      </x:c>
      <x:c r="B2130" t="str">
        <x:v>PTN Akademik</x:v>
      </x:c>
      <x:c r="C2130" t="str">
        <x:v>UNIVERSITAS BRAWIJAYA</x:v>
      </x:c>
      <x:c r="D2130" t="str">
        <x:v>INSTRUMENTASI</x:v>
      </x:c>
      <x:c r="E2130" t="str">
        <x:v>Sarjana</x:v>
      </x:c>
      <x:c r="F2130" s="18" t="n">
        <x:v>30</x:v>
      </x:c>
      <x:c r="G2130" s="18" t="n">
        <x:v>143</x:v>
      </x:c>
      <x:c r="H2130" s="19" t="n">
        <x:v>4.766666666666667</x:v>
      </x:c>
      <x:c r="I2130" s="18" t="n">
        <x:f>ROUND(MIN(Model_Config_v3!$B$6,MAX(Q2130,R2130,S2130*Model_Config_v3!$B$4+T2130*Model_Config_v3!$B$5)),0)</x:f>
        <x:v>653</x:v>
      </x:c>
      <x:c r="J2130" s="18" t="n">
        <x:f>MIN(Model_Config_v3!$B$6,I2130+Model_Config_v3!$B$7)</x:f>
        <x:v>673</x:v>
      </x:c>
      <x:c r="K2130" s="20" t="n">
        <x:v>58.8</x:v>
      </x:c>
      <x:c r="L2130" t="str">
        <x:v>KETAT</x:v>
      </x:c>
      <x:c r="M2130" t="str">
        <x:v>SEDANG+</x:v>
      </x:c>
      <x:c r="N2130" t="str">
        <x:v>ELITE-2</x:v>
      </x:c>
      <x:c r="O2130" t="str">
        <x:v>CAMPURAN</x:v>
      </x:c>
      <x:c r="P2130" t="str">
        <x:v>UMUM</x:v>
      </x:c>
      <x:c r="Q2130" s="18" t="n">
        <x:v>650</x:v>
      </x:c>
      <x:c r="R2130" s="18" t="n">
        <x:v>0</x:v>
      </x:c>
      <x:c r="S2130" s="18" t="n">
        <x:v>594.6036261019939</x:v>
      </x:c>
      <x:c r="T2130" s="18" t="n">
        <x:v>678</x:v>
      </x:c>
      <x:c r="U2130" s="18" t="n">
        <x:v>650</x:v>
      </x:c>
      <x:c r="V2130" s="20" t="n">
        <x:v>8.8</x:v>
      </x:c>
      <x:c r="W2130" s="20" t="n">
        <x:v>9.9</x:v>
      </x:c>
      <x:c r="X2130" s="20" t="n">
        <x:v>3.3</x:v>
      </x:c>
      <x:c r="Y2130" t="str">
        <x:v>Basis arsip 2025/2024</x:v>
      </x:c>
      <x:c r="Z2130" t="str">
        <x:v>https://snpmb.id/utbk-snbt/daya-tampung-snbt</x:v>
      </x:c>
      <x:c r="AA2130" t="str">
        <x:v>Tidak Ada</x:v>
      </x:c>
      <x:c r="AB2130" t="str">
        <x:v>Campus=90; Ratio=39.9; Prodi=40; RelDemand=18.6; Capacity=75.0</x:v>
      </x:c>
    </x:row>
    <x:row r="2131">
      <x:c r="A2131" t="n">
        <x:v>2128</x:v>
      </x:c>
      <x:c r="B2131" t="str">
        <x:v>PTN Akademik</x:v>
      </x:c>
      <x:c r="C2131" t="str">
        <x:v>UNIVERSITAS BRAWIJAYA</x:v>
      </x:c>
      <x:c r="D2131" t="str">
        <x:v>TEKNIK GEOFISIKA</x:v>
      </x:c>
      <x:c r="E2131" t="str">
        <x:v>Sarjana</x:v>
      </x:c>
      <x:c r="F2131" s="18" t="n">
        <x:v>29</x:v>
      </x:c>
      <x:c r="G2131" s="18" t="n">
        <x:v>296</x:v>
      </x:c>
      <x:c r="H2131" s="19" t="n">
        <x:v>10.206896551724139</x:v>
      </x:c>
      <x:c r="I2131" s="18" t="n">
        <x:f>ROUND(MIN(Model_Config_v3!$B$6,MAX(Q2131,R2131,S2131*Model_Config_v3!$B$4+T2131*Model_Config_v3!$B$5)),0)</x:f>
        <x:v>679</x:v>
      </x:c>
      <x:c r="J2131" s="18" t="n">
        <x:f>MIN(Model_Config_v3!$B$6,I2131+Model_Config_v3!$B$7)</x:f>
        <x:v>699</x:v>
      </x:c>
      <x:c r="K2131" s="20" t="n">
        <x:v>69.9</x:v>
      </x:c>
      <x:c r="L2131" t="str">
        <x:v>SANGAT KETAT</x:v>
      </x:c>
      <x:c r="M2131" t="str">
        <x:v>SEDANG+</x:v>
      </x:c>
      <x:c r="N2131" t="str">
        <x:v>ELITE-2</x:v>
      </x:c>
      <x:c r="O2131" t="str">
        <x:v>SAINTEK</x:v>
      </x:c>
      <x:c r="P2131" t="str">
        <x:v>TEKNIK/ARSITEKTUR/STATISTIKA/AKTUARIA</x:v>
      </x:c>
      <x:c r="Q2131" s="18" t="n">
        <x:v>650</x:v>
      </x:c>
      <x:c r="R2131" s="18" t="n">
        <x:v>670</x:v>
      </x:c>
      <x:c r="S2131" s="18" t="n">
        <x:v>630.978308447598</x:v>
      </x:c>
      <x:c r="T2131" s="18" t="n">
        <x:v>700</x:v>
      </x:c>
      <x:c r="U2131" s="18" t="n">
        <x:v>650</x:v>
      </x:c>
      <x:c r="V2131" s="20" t="n">
        <x:v>12</x:v>
      </x:c>
      <x:c r="W2131" s="20" t="n">
        <x:v>5</x:v>
      </x:c>
      <x:c r="X2131" s="20" t="n">
        <x:v>3</x:v>
      </x:c>
      <x:c r="Y2131" t="str">
        <x:v>Basis arsip 2025/2024</x:v>
      </x:c>
      <x:c r="Z2131" t="str">
        <x:v>https://snpmb.id/utbk-snbt/daya-tampung-snbt</x:v>
      </x:c>
      <x:c r="AA2131" t="str">
        <x:v>Tidak Ada</x:v>
      </x:c>
      <x:c r="AB2131" t="str">
        <x:v>Campus=90; Ratio=59.4; Prodi=60; RelDemand=39.8; Capacity=75.8</x:v>
      </x:c>
    </x:row>
    <x:row r="2132">
      <x:c r="A2132" t="n">
        <x:v>2129</x:v>
      </x:c>
      <x:c r="B2132" t="str">
        <x:v>PTN Akademik</x:v>
      </x:c>
      <x:c r="C2132" t="str">
        <x:v>UNIVERSITAS BRAWIJAYA</x:v>
      </x:c>
      <x:c r="D2132" t="str">
        <x:v>BIOTEKNOLOGI</x:v>
      </x:c>
      <x:c r="E2132" t="str">
        <x:v>Sarjana</x:v>
      </x:c>
      <x:c r="F2132" s="18" t="n">
        <x:v>54</x:v>
      </x:c>
      <x:c r="G2132" s="18" t="n">
        <x:v>555</x:v>
      </x:c>
      <x:c r="H2132" s="19" t="n">
        <x:v>10.277777777777779</x:v>
      </x:c>
      <x:c r="I2132" s="18" t="n">
        <x:f>ROUND(MIN(Model_Config_v3!$B$6,MAX(Q2132,R2132,S2132*Model_Config_v3!$B$4+T2132*Model_Config_v3!$B$5)),0)</x:f>
        <x:v>671</x:v>
      </x:c>
      <x:c r="J2132" s="18" t="n">
        <x:f>MIN(Model_Config_v3!$B$6,I2132+Model_Config_v3!$B$7)</x:f>
        <x:v>691</x:v>
      </x:c>
      <x:c r="K2132" s="20" t="n">
        <x:v>63.9</x:v>
      </x:c>
      <x:c r="L2132" t="str">
        <x:v>KETAT</x:v>
      </x:c>
      <x:c r="M2132" t="str">
        <x:v>SEDANG+</x:v>
      </x:c>
      <x:c r="N2132" t="str">
        <x:v>ELITE-2</x:v>
      </x:c>
      <x:c r="O2132" t="str">
        <x:v>SAINTEK</x:v>
      </x:c>
      <x:c r="P2132" t="str">
        <x:v>UMUM</x:v>
      </x:c>
      <x:c r="Q2132" s="18" t="n">
        <x:v>650</x:v>
      </x:c>
      <x:c r="R2132" s="18" t="n">
        <x:v>0</x:v>
      </x:c>
      <x:c r="S2132" s="18" t="n">
        <x:v>631.3089145629679</x:v>
      </x:c>
      <x:c r="T2132" s="18" t="n">
        <x:v>688</x:v>
      </x:c>
      <x:c r="U2132" s="18" t="n">
        <x:v>650</x:v>
      </x:c>
      <x:c r="V2132" s="20" t="n">
        <x:v>12</x:v>
      </x:c>
      <x:c r="W2132" s="20" t="n">
        <x:v>5</x:v>
      </x:c>
      <x:c r="X2132" s="20" t="n">
        <x:v>3</x:v>
      </x:c>
      <x:c r="Y2132" t="str">
        <x:v>Basis arsip 2025/2024</x:v>
      </x:c>
      <x:c r="Z2132" t="str">
        <x:v>https://snpmb.id/utbk-snbt/daya-tampung-snbt</x:v>
      </x:c>
      <x:c r="AA2132" t="str">
        <x:v>Tidak Ada</x:v>
      </x:c>
      <x:c r="AB2132" t="str">
        <x:v>Campus=90; Ratio=59.6; Prodi=40; RelDemand=40.0; Capacity=55.0</x:v>
      </x:c>
    </x:row>
    <x:row r="2133">
      <x:c r="A2133" t="n">
        <x:v>2130</x:v>
      </x:c>
      <x:c r="B2133" t="str">
        <x:v>PTN Akademik</x:v>
      </x:c>
      <x:c r="C2133" t="str">
        <x:v>UNIVERSITAS BRAWIJAYA</x:v>
      </x:c>
      <x:c r="D2133" t="str">
        <x:v>TEKNOLOGI BIOPROSES</x:v>
      </x:c>
      <x:c r="E2133" t="str">
        <x:v>Sarjana</x:v>
      </x:c>
      <x:c r="F2133" s="18" t="n">
        <x:v>38</x:v>
      </x:c>
      <x:c r="G2133" s="18" t="n">
        <x:v>238</x:v>
      </x:c>
      <x:c r="H2133" s="19" t="n">
        <x:v>6.2631578947368425</x:v>
      </x:c>
      <x:c r="I2133" s="18" t="n">
        <x:f>ROUND(MIN(Model_Config_v3!$B$6,MAX(Q2133,R2133,S2133*Model_Config_v3!$B$4+T2133*Model_Config_v3!$B$5)),0)</x:f>
        <x:v>659</x:v>
      </x:c>
      <x:c r="J2133" s="18" t="n">
        <x:f>MIN(Model_Config_v3!$B$6,I2133+Model_Config_v3!$B$7)</x:f>
        <x:v>679</x:v>
      </x:c>
      <x:c r="K2133" s="20" t="n">
        <x:v>60.5</x:v>
      </x:c>
      <x:c r="L2133" t="str">
        <x:v>KETAT</x:v>
      </x:c>
      <x:c r="M2133" t="str">
        <x:v>SEDANG+</x:v>
      </x:c>
      <x:c r="N2133" t="str">
        <x:v>ELITE-2</x:v>
      </x:c>
      <x:c r="O2133" t="str">
        <x:v>SAINTEK</x:v>
      </x:c>
      <x:c r="P2133" t="str">
        <x:v>UMUM</x:v>
      </x:c>
      <x:c r="Q2133" s="18" t="n">
        <x:v>650</x:v>
      </x:c>
      <x:c r="R2133" s="18" t="n">
        <x:v>0</x:v>
      </x:c>
      <x:c r="S2133" s="18" t="n">
        <x:v>607.6472696483672</x:v>
      </x:c>
      <x:c r="T2133" s="18" t="n">
        <x:v>681</x:v>
      </x:c>
      <x:c r="U2133" s="18" t="n">
        <x:v>650</x:v>
      </x:c>
      <x:c r="V2133" s="20" t="n">
        <x:v>12</x:v>
      </x:c>
      <x:c r="W2133" s="20" t="n">
        <x:v>5</x:v>
      </x:c>
      <x:c r="X2133" s="20" t="n">
        <x:v>3</x:v>
      </x:c>
      <x:c r="Y2133" t="str">
        <x:v>Basis arsip 2025/2024</x:v>
      </x:c>
      <x:c r="Z2133" t="str">
        <x:v>https://snpmb.id/utbk-snbt/daya-tampung-snbt</x:v>
      </x:c>
      <x:c r="AA2133" t="str">
        <x:v>Tidak Ada</x:v>
      </x:c>
      <x:c r="AB2133" t="str">
        <x:v>Campus=90; Ratio=46.9; Prodi=40; RelDemand=24.4; Capacity=68.3</x:v>
      </x:c>
    </x:row>
    <x:row r="2134">
      <x:c r="A2134" t="n">
        <x:v>2131</x:v>
      </x:c>
      <x:c r="B2134" t="str">
        <x:v>PTN Akademik</x:v>
      </x:c>
      <x:c r="C2134" t="str">
        <x:v>UNIVERSITAS BRAWIJAYA</x:v>
      </x:c>
      <x:c r="D2134" t="str">
        <x:v>TEKNIK LINGKUNGAN</x:v>
      </x:c>
      <x:c r="E2134" t="str">
        <x:v>Sarjana</x:v>
      </x:c>
      <x:c r="F2134" s="18" t="n">
        <x:v>60</x:v>
      </x:c>
      <x:c r="G2134" s="18" t="n">
        <x:v>662</x:v>
      </x:c>
      <x:c r="H2134" s="19" t="n">
        <x:v>11.033333333333333</x:v>
      </x:c>
      <x:c r="I2134" s="18" t="n">
        <x:f>ROUND(MIN(Model_Config_v3!$B$6,MAX(Q2134,R2134,S2134*Model_Config_v3!$B$4+T2134*Model_Config_v3!$B$5)),0)</x:f>
        <x:v>678</x:v>
      </x:c>
      <x:c r="J2134" s="18" t="n">
        <x:f>MIN(Model_Config_v3!$B$6,I2134+Model_Config_v3!$B$7)</x:f>
        <x:v>698</x:v>
      </x:c>
      <x:c r="K2134" s="20" t="n">
        <x:v>68.1</x:v>
      </x:c>
      <x:c r="L2134" t="str">
        <x:v>SANGAT KETAT</x:v>
      </x:c>
      <x:c r="M2134" t="str">
        <x:v>SEDANG+</x:v>
      </x:c>
      <x:c r="N2134" t="str">
        <x:v>ELITE-2</x:v>
      </x:c>
      <x:c r="O2134" t="str">
        <x:v>SAINTEK</x:v>
      </x:c>
      <x:c r="P2134" t="str">
        <x:v>TEKNIK/ARSITEKTUR/STATISTIKA/AKTUARIA</x:v>
      </x:c>
      <x:c r="Q2134" s="18" t="n">
        <x:v>650</x:v>
      </x:c>
      <x:c r="R2134" s="18" t="n">
        <x:v>670</x:v>
      </x:c>
      <x:c r="S2134" s="18" t="n">
        <x:v>634.6977412961662</x:v>
      </x:c>
      <x:c r="T2134" s="18" t="n">
        <x:v>696</x:v>
      </x:c>
      <x:c r="U2134" s="18" t="n">
        <x:v>650</x:v>
      </x:c>
      <x:c r="V2134" s="20" t="n">
        <x:v>12</x:v>
      </x:c>
      <x:c r="W2134" s="20" t="n">
        <x:v>5</x:v>
      </x:c>
      <x:c r="X2134" s="20" t="n">
        <x:v>3</x:v>
      </x:c>
      <x:c r="Y2134" t="str">
        <x:v>Basis arsip 2025/2024</x:v>
      </x:c>
      <x:c r="Z2134" t="str">
        <x:v>https://snpmb.id/utbk-snbt/daya-tampung-snbt</x:v>
      </x:c>
      <x:c r="AA2134" t="str">
        <x:v>Tidak Ada</x:v>
      </x:c>
      <x:c r="AB2134" t="str">
        <x:v>Campus=90; Ratio=61.4; Prodi=60; RelDemand=43.0; Capacity=50.0</x:v>
      </x:c>
    </x:row>
    <x:row r="2135">
      <x:c r="A2135" t="n">
        <x:v>2132</x:v>
      </x:c>
      <x:c r="B2135" t="str">
        <x:v>PTN Akademik</x:v>
      </x:c>
      <x:c r="C2135" t="str">
        <x:v>UNIVERSITAS BRAWIJAYA</x:v>
      </x:c>
      <x:c r="D2135" t="str">
        <x:v>PENDIDIKAN TEKNOLOGI INFORMASI</x:v>
      </x:c>
      <x:c r="E2135" t="str">
        <x:v>Sarjana</x:v>
      </x:c>
      <x:c r="F2135" s="18" t="n">
        <x:v>54</x:v>
      </x:c>
      <x:c r="G2135" s="18" t="n">
        <x:v>250</x:v>
      </x:c>
      <x:c r="H2135" s="19" t="n">
        <x:v>4.62962962962963</x:v>
      </x:c>
      <x:c r="I2135" s="18" t="n">
        <x:f>ROUND(MIN(Model_Config_v3!$B$6,MAX(Q2135,R2135,S2135*Model_Config_v3!$B$4+T2135*Model_Config_v3!$B$5)),0)</x:f>
        <x:v>650</x:v>
      </x:c>
      <x:c r="J2135" s="18" t="n">
        <x:f>MIN(Model_Config_v3!$B$6,I2135+Model_Config_v3!$B$7)</x:f>
        <x:v>670</x:v>
      </x:c>
      <x:c r="K2135" s="20" t="n">
        <x:v>57.6</x:v>
      </x:c>
      <x:c r="L2135" t="str">
        <x:v>KETAT</x:v>
      </x:c>
      <x:c r="M2135" t="str">
        <x:v>SEDANG+</x:v>
      </x:c>
      <x:c r="N2135" t="str">
        <x:v>ELITE-2</x:v>
      </x:c>
      <x:c r="O2135" t="str">
        <x:v>SAINTEK</x:v>
      </x:c>
      <x:c r="P2135" t="str">
        <x:v>PENDIDIKAN</x:v>
      </x:c>
      <x:c r="Q2135" s="18" t="n">
        <x:v>650</x:v>
      </x:c>
      <x:c r="R2135" s="18" t="n">
        <x:v>0</x:v>
      </x:c>
      <x:c r="S2135" s="18" t="n">
        <x:v>593.2100873733976</x:v>
      </x:c>
      <x:c r="T2135" s="18" t="n">
        <x:v>675</x:v>
      </x:c>
      <x:c r="U2135" s="18" t="n">
        <x:v>650</x:v>
      </x:c>
      <x:c r="V2135" s="20" t="n">
        <x:v>12</x:v>
      </x:c>
      <x:c r="W2135" s="20" t="n">
        <x:v>5</x:v>
      </x:c>
      <x:c r="X2135" s="20" t="n">
        <x:v>3</x:v>
      </x:c>
      <x:c r="Y2135" t="str">
        <x:v>Basis arsip 2025/2024</x:v>
      </x:c>
      <x:c r="Z2135" t="str">
        <x:v>https://snpmb.id/utbk-snbt/daya-tampung-snbt</x:v>
      </x:c>
      <x:c r="AA2135" t="str">
        <x:v>Tidak Ada</x:v>
      </x:c>
      <x:c r="AB2135" t="str">
        <x:v>Campus=90; Ratio=39.2; Prodi=45; RelDemand=18.0; Capacity=55.0</x:v>
      </x:c>
    </x:row>
    <x:row r="2136">
      <x:c r="A2136" t="n">
        <x:v>2133</x:v>
      </x:c>
      <x:c r="B2136" t="str">
        <x:v>PTN Akademik</x:v>
      </x:c>
      <x:c r="C2136" t="str">
        <x:v>UNIVERSITAS BRAWIJAYA</x:v>
      </x:c>
      <x:c r="D2136" t="str">
        <x:v>TEKNOLOGI INFORMASI</x:v>
      </x:c>
      <x:c r="E2136" t="str">
        <x:v>Sarjana</x:v>
      </x:c>
      <x:c r="F2136" s="18" t="n">
        <x:v>60</x:v>
      </x:c>
      <x:c r="G2136" s="18" t="n">
        <x:v>993</x:v>
      </x:c>
      <x:c r="H2136" s="19" t="n">
        <x:v>16.55</x:v>
      </x:c>
      <x:c r="I2136" s="18" t="n">
        <x:f>ROUND(MIN(Model_Config_v3!$B$6,MAX(Q2136,R2136,S2136*Model_Config_v3!$B$4+T2136*Model_Config_v3!$B$5)),0)</x:f>
        <x:v>685</x:v>
      </x:c>
      <x:c r="J2136" s="18" t="n">
        <x:f>MIN(Model_Config_v3!$B$6,I2136+Model_Config_v3!$B$7)</x:f>
        <x:v>705</x:v>
      </x:c>
      <x:c r="K2136" s="20" t="n">
        <x:v>68.9</x:v>
      </x:c>
      <x:c r="L2136" t="str">
        <x:v>SANGAT KETAT</x:v>
      </x:c>
      <x:c r="M2136" t="str">
        <x:v>SEDANG+</x:v>
      </x:c>
      <x:c r="N2136" t="str">
        <x:v>ELITE-2</x:v>
      </x:c>
      <x:c r="O2136" t="str">
        <x:v>SAINTEK</x:v>
      </x:c>
      <x:c r="P2136" t="str">
        <x:v>UMUM</x:v>
      </x:c>
      <x:c r="Q2136" s="18" t="n">
        <x:v>650</x:v>
      </x:c>
      <x:c r="R2136" s="18" t="n">
        <x:v>0</x:v>
      </x:c>
      <x:c r="S2136" s="18" t="n">
        <x:v>654.067779792291</x:v>
      </x:c>
      <x:c r="T2136" s="18" t="n">
        <x:v>698</x:v>
      </x:c>
      <x:c r="U2136" s="18" t="n">
        <x:v>654.067779792291</x:v>
      </x:c>
      <x:c r="V2136" s="20" t="n">
        <x:v>12</x:v>
      </x:c>
      <x:c r="W2136" s="20" t="n">
        <x:v>5</x:v>
      </x:c>
      <x:c r="X2136" s="20" t="n">
        <x:v>3</x:v>
      </x:c>
      <x:c r="Y2136" t="str">
        <x:v>Basis arsip 2025/2024</x:v>
      </x:c>
      <x:c r="Z2136" t="str">
        <x:v>https://snpmb.id/utbk-snbt/daya-tampung-snbt</x:v>
      </x:c>
      <x:c r="AA2136" t="str">
        <x:v>Tidak Ada</x:v>
      </x:c>
      <x:c r="AB2136" t="str">
        <x:v>Campus=90; Ratio=71.7; Prodi=40; RelDemand=64.5; Capacity=50.0</x:v>
      </x:c>
    </x:row>
    <x:row r="2137">
      <x:c r="A2137" t="n">
        <x:v>2134</x:v>
      </x:c>
      <x:c r="B2137" t="str">
        <x:v>PTN Akademik</x:v>
      </x:c>
      <x:c r="C2137" t="str">
        <x:v>UNIVERSITAS BRAWIJAYA</x:v>
      </x:c>
      <x:c r="D2137" t="str">
        <x:v>AGROEKOTEKNOLOGI (PSDKU KEDIRI)</x:v>
      </x:c>
      <x:c r="E2137" t="str">
        <x:v>Sarjana</x:v>
      </x:c>
      <x:c r="F2137" s="18" t="n">
        <x:v>42</x:v>
      </x:c>
      <x:c r="G2137" s="18" t="n">
        <x:v>222</x:v>
      </x:c>
      <x:c r="H2137" s="19" t="n">
        <x:v>5.285714285714286</x:v>
      </x:c>
      <x:c r="I2137" s="18" t="n">
        <x:f>ROUND(MIN(Model_Config_v3!$B$6,MAX(Q2137,R2137,S2137*Model_Config_v3!$B$4+T2137*Model_Config_v3!$B$5)),0)</x:f>
        <x:v>654</x:v>
      </x:c>
      <x:c r="J2137" s="18" t="n">
        <x:f>MIN(Model_Config_v3!$B$6,I2137+Model_Config_v3!$B$7)</x:f>
        <x:v>674</x:v>
      </x:c>
      <x:c r="K2137" s="20" t="n">
        <x:v>58.7</x:v>
      </x:c>
      <x:c r="L2137" t="str">
        <x:v>KETAT</x:v>
      </x:c>
      <x:c r="M2137" t="str">
        <x:v>SEDANG+</x:v>
      </x:c>
      <x:c r="N2137" t="str">
        <x:v>ELITE-2</x:v>
      </x:c>
      <x:c r="O2137" t="str">
        <x:v>SAINTEK</x:v>
      </x:c>
      <x:c r="P2137" t="str">
        <x:v>UMUM</x:v>
      </x:c>
      <x:c r="Q2137" s="18" t="n">
        <x:v>650</x:v>
      </x:c>
      <x:c r="R2137" s="18" t="n">
        <x:v>0</x:v>
      </x:c>
      <x:c r="S2137" s="18" t="n">
        <x:v>599.5414052458012</x:v>
      </x:c>
      <x:c r="T2137" s="18" t="n">
        <x:v>677</x:v>
      </x:c>
      <x:c r="U2137" s="18" t="n">
        <x:v>650</x:v>
      </x:c>
      <x:c r="V2137" s="20" t="n">
        <x:v>12</x:v>
      </x:c>
      <x:c r="W2137" s="20" t="n">
        <x:v>5</x:v>
      </x:c>
      <x:c r="X2137" s="20" t="n">
        <x:v>3</x:v>
      </x:c>
      <x:c r="Y2137" t="str">
        <x:v>Basis arsip 2025/2024</x:v>
      </x:c>
      <x:c r="Z2137" t="str">
        <x:v>https://snpmb.id/utbk-snbt/daya-tampung-snbt</x:v>
      </x:c>
      <x:c r="AA2137" t="str">
        <x:v>Tidak Ada</x:v>
      </x:c>
      <x:c r="AB2137" t="str">
        <x:v>Campus=90; Ratio=42.6; Prodi=40; RelDemand=20.6; Capacity=65.0</x:v>
      </x:c>
    </x:row>
    <x:row r="2138">
      <x:c r="A2138" t="n">
        <x:v>2135</x:v>
      </x:c>
      <x:c r="B2138" t="str">
        <x:v>PTN Akademik</x:v>
      </x:c>
      <x:c r="C2138" t="str">
        <x:v>UNIVERSITAS BRAWIJAYA</x:v>
      </x:c>
      <x:c r="D2138" t="str">
        <x:v>AGRIBISNIS (PSDKU KEDIRI)</x:v>
      </x:c>
      <x:c r="E2138" t="str">
        <x:v>Sarjana</x:v>
      </x:c>
      <x:c r="F2138" s="18" t="n">
        <x:v>42</x:v>
      </x:c>
      <x:c r="G2138" s="18" t="n">
        <x:v>292</x:v>
      </x:c>
      <x:c r="H2138" s="19" t="n">
        <x:v>6.9523809523809526</x:v>
      </x:c>
      <x:c r="I2138" s="18" t="n">
        <x:f>ROUND(MIN(Model_Config_v3!$B$6,MAX(Q2138,R2138,S2138*Model_Config_v3!$B$4+T2138*Model_Config_v3!$B$5)),0)</x:f>
        <x:v>680</x:v>
      </x:c>
      <x:c r="J2138" s="18" t="n">
        <x:f>MIN(Model_Config_v3!$B$6,I2138+Model_Config_v3!$B$7)</x:f>
        <x:v>700</x:v>
      </x:c>
      <x:c r="K2138" s="20" t="n">
        <x:v>66.1</x:v>
      </x:c>
      <x:c r="L2138" t="str">
        <x:v>SANGAT KETAT</x:v>
      </x:c>
      <x:c r="M2138" t="str">
        <x:v>SEDANG+</x:v>
      </x:c>
      <x:c r="N2138" t="str">
        <x:v>ELITE-2</x:v>
      </x:c>
      <x:c r="O2138" t="str">
        <x:v>SOSHUM</x:v>
      </x:c>
      <x:c r="P2138" t="str">
        <x:v>BISNIS/EKONOMI/AKUNTANSI</x:v>
      </x:c>
      <x:c r="Q2138" s="18" t="n">
        <x:v>650</x:v>
      </x:c>
      <x:c r="R2138" s="18" t="n">
        <x:v>680</x:v>
      </x:c>
      <x:c r="S2138" s="18" t="n">
        <x:v>612.634691715557</x:v>
      </x:c>
      <x:c r="T2138" s="18" t="n">
        <x:v>692</x:v>
      </x:c>
      <x:c r="U2138" s="18" t="n">
        <x:v>650</x:v>
      </x:c>
      <x:c r="V2138" s="20" t="n">
        <x:v>4.4</x:v>
      </x:c>
      <x:c r="W2138" s="20" t="n">
        <x:v>14.3</x:v>
      </x:c>
      <x:c r="X2138" s="20" t="n">
        <x:v>3.3</x:v>
      </x:c>
      <x:c r="Y2138" t="str">
        <x:v>Basis arsip 2025/2024</x:v>
      </x:c>
      <x:c r="Z2138" t="str">
        <x:v>https://snpmb.id/utbk-snbt/daya-tampung-snbt</x:v>
      </x:c>
      <x:c r="AA2138" t="str">
        <x:v>Tidak Ada</x:v>
      </x:c>
      <x:c r="AB2138" t="str">
        <x:v>Campus=90; Ratio=49.6; Prodi=65; RelDemand=27.1; Capacity=65.0</x:v>
      </x:c>
    </x:row>
    <x:row r="2139">
      <x:c r="A2139" t="n">
        <x:v>2136</x:v>
      </x:c>
      <x:c r="B2139" t="str">
        <x:v>PTN Akademik</x:v>
      </x:c>
      <x:c r="C2139" t="str">
        <x:v>UNIVERSITAS BRAWIJAYA</x:v>
      </x:c>
      <x:c r="D2139" t="str">
        <x:v>PETERNAKAN (PSDKU KEDIRI)</x:v>
      </x:c>
      <x:c r="E2139" t="str">
        <x:v>Sarjana</x:v>
      </x:c>
      <x:c r="F2139" s="18" t="n">
        <x:v>42</x:v>
      </x:c>
      <x:c r="G2139" s="18" t="n">
        <x:v>192</x:v>
      </x:c>
      <x:c r="H2139" s="19" t="n">
        <x:v>4.571428571428571</x:v>
      </x:c>
      <x:c r="I2139" s="18" t="n">
        <x:f>ROUND(MIN(Model_Config_v3!$B$6,MAX(Q2139,R2139,S2139*Model_Config_v3!$B$4+T2139*Model_Config_v3!$B$5)),0)</x:f>
        <x:v>650</x:v>
      </x:c>
      <x:c r="J2139" s="18" t="n">
        <x:f>MIN(Model_Config_v3!$B$6,I2139+Model_Config_v3!$B$7)</x:f>
        <x:v>670</x:v>
      </x:c>
      <x:c r="K2139" s="20" t="n">
        <x:v>57.5</x:v>
      </x:c>
      <x:c r="L2139" t="str">
        <x:v>KETAT</x:v>
      </x:c>
      <x:c r="M2139" t="str">
        <x:v>SEDANG+</x:v>
      </x:c>
      <x:c r="N2139" t="str">
        <x:v>ELITE-2</x:v>
      </x:c>
      <x:c r="O2139" t="str">
        <x:v>SAINTEK</x:v>
      </x:c>
      <x:c r="P2139" t="str">
        <x:v>UMUM</x:v>
      </x:c>
      <x:c r="Q2139" s="18" t="n">
        <x:v>650</x:v>
      </x:c>
      <x:c r="R2139" s="18" t="n">
        <x:v>0</x:v>
      </x:c>
      <x:c r="S2139" s="18" t="n">
        <x:v>592.6057132136214</x:v>
      </x:c>
      <x:c r="T2139" s="18" t="n">
        <x:v>675</x:v>
      </x:c>
      <x:c r="U2139" s="18" t="n">
        <x:v>650</x:v>
      </x:c>
      <x:c r="V2139" s="20" t="n">
        <x:v>12</x:v>
      </x:c>
      <x:c r="W2139" s="20" t="n">
        <x:v>5</x:v>
      </x:c>
      <x:c r="X2139" s="20" t="n">
        <x:v>3</x:v>
      </x:c>
      <x:c r="Y2139" t="str">
        <x:v>Basis arsip 2025/2024</x:v>
      </x:c>
      <x:c r="Z2139" t="str">
        <x:v>https://snpmb.id/utbk-snbt/daya-tampung-snbt</x:v>
      </x:c>
      <x:c r="AA2139" t="str">
        <x:v>Tidak Ada</x:v>
      </x:c>
      <x:c r="AB2139" t="str">
        <x:v>Campus=90; Ratio=38.9; Prodi=40; RelDemand=17.8; Capacity=65.0</x:v>
      </x:c>
    </x:row>
    <x:row r="2140">
      <x:c r="A2140" t="n">
        <x:v>2137</x:v>
      </x:c>
      <x:c r="B2140" t="str">
        <x:v>PTN Akademik</x:v>
      </x:c>
      <x:c r="C2140" t="str">
        <x:v>UNIVERSITAS BRAWIJAYA</x:v>
      </x:c>
      <x:c r="D2140" t="str">
        <x:v>AKUAKULTUR (PSDKU KEDIRI)</x:v>
      </x:c>
      <x:c r="E2140" t="str">
        <x:v>Sarjana</x:v>
      </x:c>
      <x:c r="F2140" s="18" t="n">
        <x:v>42</x:v>
      </x:c>
      <x:c r="G2140" s="18" t="n">
        <x:v>106</x:v>
      </x:c>
      <x:c r="H2140" s="19" t="n">
        <x:v>2.5238095238095237</x:v>
      </x:c>
      <x:c r="I2140" s="18" t="n">
        <x:f>ROUND(MIN(Model_Config_v3!$B$6,MAX(Q2140,R2140,S2140*Model_Config_v3!$B$4+T2140*Model_Config_v3!$B$5)),0)</x:f>
        <x:v>650</x:v>
      </x:c>
      <x:c r="J2140" s="18" t="n">
        <x:f>MIN(Model_Config_v3!$B$6,I2140+Model_Config_v3!$B$7)</x:f>
        <x:v>670</x:v>
      </x:c>
      <x:c r="K2140" s="20" t="n">
        <x:v>52.9</x:v>
      </x:c>
      <x:c r="L2140" t="str">
        <x:v>MENENGAH</x:v>
      </x:c>
      <x:c r="M2140" t="str">
        <x:v>SEDANG+</x:v>
      </x:c>
      <x:c r="N2140" t="str">
        <x:v>ELITE-2</x:v>
      </x:c>
      <x:c r="O2140" t="str">
        <x:v>CAMPURAN</x:v>
      </x:c>
      <x:c r="P2140" t="str">
        <x:v>UMUM</x:v>
      </x:c>
      <x:c r="Q2140" s="18" t="n">
        <x:v>650</x:v>
      </x:c>
      <x:c r="R2140" s="18" t="n">
        <x:v>0</x:v>
      </x:c>
      <x:c r="S2140" s="18" t="n">
        <x:v>564.2262232353556</x:v>
      </x:c>
      <x:c r="T2140" s="18" t="n">
        <x:v>666</x:v>
      </x:c>
      <x:c r="U2140" s="18" t="n">
        <x:v>650</x:v>
      </x:c>
      <x:c r="V2140" s="20" t="n">
        <x:v>8.8</x:v>
      </x:c>
      <x:c r="W2140" s="20" t="n">
        <x:v>9.9</x:v>
      </x:c>
      <x:c r="X2140" s="20" t="n">
        <x:v>3.3</x:v>
      </x:c>
      <x:c r="Y2140" t="str">
        <x:v>Basis arsip 2025/2024</x:v>
      </x:c>
      <x:c r="Z2140" t="str">
        <x:v>https://snpmb.id/utbk-snbt/daya-tampung-snbt</x:v>
      </x:c>
      <x:c r="AA2140" t="str">
        <x:v>Tidak Ada</x:v>
      </x:c>
      <x:c r="AB2140" t="str">
        <x:v>Campus=90; Ratio=23.7; Prodi=40; RelDemand=9.8; Capacity=65.0</x:v>
      </x:c>
    </x:row>
    <x:row r="2141">
      <x:c r="A2141" t="n">
        <x:v>2138</x:v>
      </x:c>
      <x:c r="B2141" t="str">
        <x:v>PTN Akademik</x:v>
      </x:c>
      <x:c r="C2141" t="str">
        <x:v>UNIVERSITAS BRAWIJAYA</x:v>
      </x:c>
      <x:c r="D2141" t="str">
        <x:v>SOSIAL EKONOMI PERIKANAN (PSDKU KEDIRI)</x:v>
      </x:c>
      <x:c r="E2141" t="str">
        <x:v>Sarjana</x:v>
      </x:c>
      <x:c r="F2141" s="18" t="n">
        <x:v>42</x:v>
      </x:c>
      <x:c r="G2141" s="18" t="n">
        <x:v>123</x:v>
      </x:c>
      <x:c r="H2141" s="19" t="n">
        <x:v>2.9285714285714284</x:v>
      </x:c>
      <x:c r="I2141" s="18" t="n">
        <x:f>ROUND(MIN(Model_Config_v3!$B$6,MAX(Q2141,R2141,S2141*Model_Config_v3!$B$4+T2141*Model_Config_v3!$B$5)),0)</x:f>
        <x:v>650</x:v>
      </x:c>
      <x:c r="J2141" s="18" t="n">
        <x:f>MIN(Model_Config_v3!$B$6,I2141+Model_Config_v3!$B$7)</x:f>
        <x:v>670</x:v>
      </x:c>
      <x:c r="K2141" s="20" t="n">
        <x:v>54</x:v>
      </x:c>
      <x:c r="L2141" t="str">
        <x:v>MENENGAH</x:v>
      </x:c>
      <x:c r="M2141" t="str">
        <x:v>SEDANG+</x:v>
      </x:c>
      <x:c r="N2141" t="str">
        <x:v>ELITE-2</x:v>
      </x:c>
      <x:c r="O2141" t="str">
        <x:v>SAINTEK</x:v>
      </x:c>
      <x:c r="P2141" t="str">
        <x:v>UMUM</x:v>
      </x:c>
      <x:c r="Q2141" s="18" t="n">
        <x:v>650</x:v>
      </x:c>
      <x:c r="R2141" s="18" t="n">
        <x:v>0</x:v>
      </x:c>
      <x:c r="S2141" s="18" t="n">
        <x:v>571.3321403145648</x:v>
      </x:c>
      <x:c r="T2141" s="18" t="n">
        <x:v>668</x:v>
      </x:c>
      <x:c r="U2141" s="18" t="n">
        <x:v>650</x:v>
      </x:c>
      <x:c r="V2141" s="20" t="n">
        <x:v>12</x:v>
      </x:c>
      <x:c r="W2141" s="20" t="n">
        <x:v>5</x:v>
      </x:c>
      <x:c r="X2141" s="20" t="n">
        <x:v>3</x:v>
      </x:c>
      <x:c r="Y2141" t="str">
        <x:v>Basis arsip 2025/2024</x:v>
      </x:c>
      <x:c r="Z2141" t="str">
        <x:v>https://snpmb.id/utbk-snbt/daya-tampung-snbt</x:v>
      </x:c>
      <x:c r="AA2141" t="str">
        <x:v>Tidak Ada</x:v>
      </x:c>
      <x:c r="AB2141" t="str">
        <x:v>Campus=90; Ratio=27.5; Prodi=40; RelDemand=11.4; Capacity=65.0</x:v>
      </x:c>
    </x:row>
    <x:row r="2142">
      <x:c r="A2142" t="n">
        <x:v>2139</x:v>
      </x:c>
      <x:c r="B2142" t="str">
        <x:v>PTN Akademik</x:v>
      </x:c>
      <x:c r="C2142" t="str">
        <x:v>UNIVERSITAS BRAWIJAYA</x:v>
      </x:c>
      <x:c r="D2142" t="str">
        <x:v>KEHUTANAN</x:v>
      </x:c>
      <x:c r="E2142" t="str">
        <x:v>Sarjana</x:v>
      </x:c>
      <x:c r="F2142" s="18" t="n">
        <x:v>30</x:v>
      </x:c>
      <x:c r="G2142" s="18" t="n">
        <x:v>525</x:v>
      </x:c>
      <x:c r="H2142" s="19" t="n">
        <x:v>17.5</x:v>
      </x:c>
      <x:c r="I2142" s="18" t="n">
        <x:f>ROUND(MIN(Model_Config_v3!$B$6,MAX(Q2142,R2142,S2142*Model_Config_v3!$B$4+T2142*Model_Config_v3!$B$5)),0)</x:f>
        <x:v>690</x:v>
      </x:c>
      <x:c r="J2142" s="18" t="n">
        <x:f>MIN(Model_Config_v3!$B$6,I2142+Model_Config_v3!$B$7)</x:f>
        <x:v>710</x:v>
      </x:c>
      <x:c r="K2142" s="20" t="n">
        <x:v>72.1</x:v>
      </x:c>
      <x:c r="L2142" t="str">
        <x:v>SANGAT KETAT</x:v>
      </x:c>
      <x:c r="M2142" t="str">
        <x:v>SEDANG+</x:v>
      </x:c>
      <x:c r="N2142" t="str">
        <x:v>ELITE-2</x:v>
      </x:c>
      <x:c r="O2142" t="str">
        <x:v>CAMPURAN</x:v>
      </x:c>
      <x:c r="P2142" t="str">
        <x:v>UMUM</x:v>
      </x:c>
      <x:c r="Q2142" s="18" t="n">
        <x:v>650</x:v>
      </x:c>
      <x:c r="R2142" s="18" t="n">
        <x:v>0</x:v>
      </x:c>
      <x:c r="S2142" s="18" t="n">
        <x:v>656.7341853554924</x:v>
      </x:c>
      <x:c r="T2142" s="18" t="n">
        <x:v>704</x:v>
      </x:c>
      <x:c r="U2142" s="18" t="n">
        <x:v>656.7341853554924</x:v>
      </x:c>
      <x:c r="V2142" s="20" t="n">
        <x:v>8.8</x:v>
      </x:c>
      <x:c r="W2142" s="20" t="n">
        <x:v>9.9</x:v>
      </x:c>
      <x:c r="X2142" s="20" t="n">
        <x:v>3.3</x:v>
      </x:c>
      <x:c r="Y2142" t="str">
        <x:v>Basis arsip 2025/2024</x:v>
      </x:c>
      <x:c r="Z2142" t="str">
        <x:v>https://snpmb.id/utbk-snbt/daya-tampung-snbt</x:v>
      </x:c>
      <x:c r="AA2142" t="str">
        <x:v>Tidak Ada</x:v>
      </x:c>
      <x:c r="AB2142" t="str">
        <x:v>Campus=90; Ratio=73.2; Prodi=40; RelDemand=68.2; Capacity=75.0</x:v>
      </x:c>
    </x:row>
    <x:row r="2143">
      <x:c r="A2143" t="n">
        <x:v>2140</x:v>
      </x:c>
      <x:c r="B2143" t="str">
        <x:v>PTN Akademik</x:v>
      </x:c>
      <x:c r="C2143" t="str">
        <x:v>UNIVERSITAS BRAWIJAYA</x:v>
      </x:c>
      <x:c r="D2143" t="str">
        <x:v>ILMU AKTUARIA</x:v>
      </x:c>
      <x:c r="E2143" t="str">
        <x:v>Sarjana</x:v>
      </x:c>
      <x:c r="F2143" s="18" t="n">
        <x:v>30</x:v>
      </x:c>
      <x:c r="G2143" s="18" t="n">
        <x:v>465</x:v>
      </x:c>
      <x:c r="H2143" s="19" t="n">
        <x:v>15.5</x:v>
      </x:c>
      <x:c r="I2143" s="18" t="n">
        <x:f>ROUND(MIN(Model_Config_v3!$B$6,MAX(Q2143,R2143,S2143*Model_Config_v3!$B$4+T2143*Model_Config_v3!$B$5)),0)</x:f>
        <x:v>692</x:v>
      </x:c>
      <x:c r="J2143" s="18" t="n">
        <x:f>MIN(Model_Config_v3!$B$6,I2143+Model_Config_v3!$B$7)</x:f>
        <x:v>712</x:v>
      </x:c>
      <x:c r="K2143" s="20" t="n">
        <x:v>74.6</x:v>
      </x:c>
      <x:c r="L2143" t="str">
        <x:v>SANGAT KETAT</x:v>
      </x:c>
      <x:c r="M2143" t="str">
        <x:v>SEDANG+</x:v>
      </x:c>
      <x:c r="N2143" t="str">
        <x:v>ELITE-2</x:v>
      </x:c>
      <x:c r="O2143" t="str">
        <x:v>SAINTEK</x:v>
      </x:c>
      <x:c r="P2143" t="str">
        <x:v>TEKNIK/ARSITEKTUR/STATISTIKA/AKTUARIA</x:v>
      </x:c>
      <x:c r="Q2143" s="18" t="n">
        <x:v>650</x:v>
      </x:c>
      <x:c r="R2143" s="18" t="n">
        <x:v>670</x:v>
      </x:c>
      <x:c r="S2143" s="18" t="n">
        <x:v>650.9364867987321</x:v>
      </x:c>
      <x:c r="T2143" s="18" t="n">
        <x:v>709</x:v>
      </x:c>
      <x:c r="U2143" s="18" t="n">
        <x:v>660.9364867987321</x:v>
      </x:c>
      <x:c r="V2143" s="20" t="n">
        <x:v>12</x:v>
      </x:c>
      <x:c r="W2143" s="20" t="n">
        <x:v>5</x:v>
      </x:c>
      <x:c r="X2143" s="20" t="n">
        <x:v>3</x:v>
      </x:c>
      <x:c r="Y2143" t="str">
        <x:v>Basis arsip 2025/2024</x:v>
      </x:c>
      <x:c r="Z2143" t="str">
        <x:v>https://snpmb.id/utbk-snbt/daya-tampung-snbt</x:v>
      </x:c>
      <x:c r="AA2143" t="str">
        <x:v>Tidak Ada</x:v>
      </x:c>
      <x:c r="AB2143" t="str">
        <x:v>Campus=90; Ratio=70.1; Prodi=60; RelDemand=60.4; Capacity=75.0</x:v>
      </x:c>
    </x:row>
    <x:row r="2144">
      <x:c r="A2144" t="n">
        <x:v>2141</x:v>
      </x:c>
      <x:c r="B2144" t="str">
        <x:v>PTN Akademik</x:v>
      </x:c>
      <x:c r="C2144" t="str">
        <x:v>UNIVERSITAS BRAWIJAYA</x:v>
      </x:c>
      <x:c r="D2144" t="str">
        <x:v>ILMU HUKUM</x:v>
      </x:c>
      <x:c r="E2144" t="str">
        <x:v>Sarjana</x:v>
      </x:c>
      <x:c r="F2144" s="18" t="n">
        <x:v>195</x:v>
      </x:c>
      <x:c r="G2144" s="18" t="n">
        <x:v>3255</x:v>
      </x:c>
      <x:c r="H2144" s="19" t="n">
        <x:v>16.692307692307693</x:v>
      </x:c>
      <x:c r="I2144" s="18" t="n">
        <x:f>ROUND(MIN(Model_Config_v3!$B$6,MAX(Q2144,R2144,S2144*Model_Config_v3!$B$4+T2144*Model_Config_v3!$B$5)),0)</x:f>
        <x:v>685</x:v>
      </x:c>
      <x:c r="J2144" s="18" t="n">
        <x:f>MIN(Model_Config_v3!$B$6,I2144+Model_Config_v3!$B$7)</x:f>
        <x:v>705</x:v>
      </x:c>
      <x:c r="K2144" s="20" t="n">
        <x:v>69</x:v>
      </x:c>
      <x:c r="L2144" t="str">
        <x:v>SANGAT KETAT</x:v>
      </x:c>
      <x:c r="M2144" t="str">
        <x:v>SEDANG+</x:v>
      </x:c>
      <x:c r="N2144" t="str">
        <x:v>ELITE-2</x:v>
      </x:c>
      <x:c r="O2144" t="str">
        <x:v>SOSHUM</x:v>
      </x:c>
      <x:c r="P2144" t="str">
        <x:v>HUKUM</x:v>
      </x:c>
      <x:c r="Q2144" s="18" t="n">
        <x:v>650</x:v>
      </x:c>
      <x:c r="R2144" s="18" t="n">
        <x:v>675</x:v>
      </x:c>
      <x:c r="S2144" s="18" t="n">
        <x:v>654.4768019695862</x:v>
      </x:c>
      <x:c r="T2144" s="18" t="n">
        <x:v>698</x:v>
      </x:c>
      <x:c r="U2144" s="18" t="n">
        <x:v>669.4768019695862</x:v>
      </x:c>
      <x:c r="V2144" s="20" t="n">
        <x:v>4.4</x:v>
      </x:c>
      <x:c r="W2144" s="20" t="n">
        <x:v>14.3</x:v>
      </x:c>
      <x:c r="X2144" s="20" t="n">
        <x:v>3.3</x:v>
      </x:c>
      <x:c r="Y2144" t="str">
        <x:v>Basis arsip 2025/2024</x:v>
      </x:c>
      <x:c r="Z2144" t="str">
        <x:v>https://snpmb.id/utbk-snbt/daya-tampung-snbt</x:v>
      </x:c>
      <x:c r="AA2144" t="str">
        <x:v>Tidak Ada</x:v>
      </x:c>
      <x:c r="AB2144" t="str">
        <x:v>Campus=90; Ratio=72.0; Prodi=65; RelDemand=65.0; Capacity=0.0</x:v>
      </x:c>
    </x:row>
    <x:row r="2145">
      <x:c r="A2145" t="n">
        <x:v>2142</x:v>
      </x:c>
      <x:c r="B2145" t="str">
        <x:v>PTN Akademik</x:v>
      </x:c>
      <x:c r="C2145" t="str">
        <x:v>UNIVERSITAS BRAWIJAYA</x:v>
      </x:c>
      <x:c r="D2145" t="str">
        <x:v>EKONOMI PEMBANGUNAN</x:v>
      </x:c>
      <x:c r="E2145" t="str">
        <x:v>Sarjana</x:v>
      </x:c>
      <x:c r="F2145" s="18" t="n">
        <x:v>53</x:v>
      </x:c>
      <x:c r="G2145" s="18" t="n">
        <x:v>605</x:v>
      </x:c>
      <x:c r="H2145" s="19" t="n">
        <x:v>11.415094339622641</x:v>
      </x:c>
      <x:c r="I2145" s="18" t="n">
        <x:f>ROUND(MIN(Model_Config_v3!$B$6,MAX(Q2145,R2145,S2145*Model_Config_v3!$B$4+T2145*Model_Config_v3!$B$5)),0)</x:f>
        <x:v>681</x:v>
      </x:c>
      <x:c r="J2145" s="18" t="n">
        <x:f>MIN(Model_Config_v3!$B$6,I2145+Model_Config_v3!$B$7)</x:f>
        <x:v>701</x:v>
      </x:c>
      <x:c r="K2145" s="20" t="n">
        <x:v>70.1</x:v>
      </x:c>
      <x:c r="L2145" t="str">
        <x:v>SANGAT KETAT</x:v>
      </x:c>
      <x:c r="M2145" t="str">
        <x:v>SEDANG+</x:v>
      </x:c>
      <x:c r="N2145" t="str">
        <x:v>ELITE-2</x:v>
      </x:c>
      <x:c r="O2145" t="str">
        <x:v>SOSHUM</x:v>
      </x:c>
      <x:c r="P2145" t="str">
        <x:v>BISNIS/EKONOMI/AKUNTANSI</x:v>
      </x:c>
      <x:c r="Q2145" s="18" t="n">
        <x:v>650</x:v>
      </x:c>
      <x:c r="R2145" s="18" t="n">
        <x:v>680</x:v>
      </x:c>
      <x:c r="S2145" s="18" t="n">
        <x:v>636.3227455556847</x:v>
      </x:c>
      <x:c r="T2145" s="18" t="n">
        <x:v>700</x:v>
      </x:c>
      <x:c r="U2145" s="18" t="n">
        <x:v>650</x:v>
      </x:c>
      <x:c r="V2145" s="20" t="n">
        <x:v>4.4</x:v>
      </x:c>
      <x:c r="W2145" s="20" t="n">
        <x:v>14.3</x:v>
      </x:c>
      <x:c r="X2145" s="20" t="n">
        <x:v>3.3</x:v>
      </x:c>
      <x:c r="Y2145" t="str">
        <x:v>Basis arsip 2025/2024</x:v>
      </x:c>
      <x:c r="Z2145" t="str">
        <x:v>https://snpmb.id/utbk-snbt/daya-tampung-snbt</x:v>
      </x:c>
      <x:c r="AA2145" t="str">
        <x:v>Tidak Ada</x:v>
      </x:c>
      <x:c r="AB2145" t="str">
        <x:v>Campus=90; Ratio=62.2; Prodi=65; RelDemand=44.5; Capacity=55.8</x:v>
      </x:c>
    </x:row>
    <x:row r="2146">
      <x:c r="A2146" t="n">
        <x:v>2143</x:v>
      </x:c>
      <x:c r="B2146" t="str">
        <x:v>PTN Akademik</x:v>
      </x:c>
      <x:c r="C2146" t="str">
        <x:v>UNIVERSITAS BRAWIJAYA</x:v>
      </x:c>
      <x:c r="D2146" t="str">
        <x:v>ADMINISTRASI PUBLIK</x:v>
      </x:c>
      <x:c r="E2146" t="str">
        <x:v>Sarjana</x:v>
      </x:c>
      <x:c r="F2146" s="18" t="n">
        <x:v>123</x:v>
      </x:c>
      <x:c r="G2146" s="18" t="n">
        <x:v>1590</x:v>
      </x:c>
      <x:c r="H2146" s="19" t="n">
        <x:v>12.926829268292684</x:v>
      </x:c>
      <x:c r="I2146" s="18" t="n">
        <x:f>ROUND(MIN(Model_Config_v3!$B$6,MAX(Q2146,R2146,S2146*Model_Config_v3!$B$4+T2146*Model_Config_v3!$B$5)),0)</x:f>
        <x:v>670</x:v>
      </x:c>
      <x:c r="J2146" s="18" t="n">
        <x:f>MIN(Model_Config_v3!$B$6,I2146+Model_Config_v3!$B$7)</x:f>
        <x:v>690</x:v>
      </x:c>
      <x:c r="K2146" s="20" t="n">
        <x:v>60.9</x:v>
      </x:c>
      <x:c r="L2146" t="str">
        <x:v>KETAT</x:v>
      </x:c>
      <x:c r="M2146" t="str">
        <x:v>SEDANG+</x:v>
      </x:c>
      <x:c r="N2146" t="str">
        <x:v>ELITE-2</x:v>
      </x:c>
      <x:c r="O2146" t="str">
        <x:v>SOSHUM</x:v>
      </x:c>
      <x:c r="P2146" t="str">
        <x:v>UMUM</x:v>
      </x:c>
      <x:c r="Q2146" s="18" t="n">
        <x:v>650</x:v>
      </x:c>
      <x:c r="R2146" s="18" t="n">
        <x:v>0</x:v>
      </x:c>
      <x:c r="S2146" s="18" t="n">
        <x:v>642.2641214169159</x:v>
      </x:c>
      <x:c r="T2146" s="18" t="n">
        <x:v>682</x:v>
      </x:c>
      <x:c r="U2146" s="18" t="n">
        <x:v>650</x:v>
      </x:c>
      <x:c r="V2146" s="20" t="n">
        <x:v>4.4</x:v>
      </x:c>
      <x:c r="W2146" s="20" t="n">
        <x:v>14.3</x:v>
      </x:c>
      <x:c r="X2146" s="20" t="n">
        <x:v>3.3</x:v>
      </x:c>
      <x:c r="Y2146" t="str">
        <x:v>Basis arsip 2025/2024</x:v>
      </x:c>
      <x:c r="Z2146" t="str">
        <x:v>https://snpmb.id/utbk-snbt/daya-tampung-snbt</x:v>
      </x:c>
      <x:c r="AA2146" t="str">
        <x:v>Tidak Ada</x:v>
      </x:c>
      <x:c r="AB2146" t="str">
        <x:v>Campus=90; Ratio=65.4; Prodi=40; RelDemand=50.4; Capacity=0.0</x:v>
      </x:c>
    </x:row>
    <x:row r="2147">
      <x:c r="A2147" t="n">
        <x:v>2144</x:v>
      </x:c>
      <x:c r="B2147" t="str">
        <x:v>PTN Akademik</x:v>
      </x:c>
      <x:c r="C2147" t="str">
        <x:v>UNIVERSITAS BRAWIJAYA</x:v>
      </x:c>
      <x:c r="D2147" t="str">
        <x:v>ADMINISTRASI BISNIS</x:v>
      </x:c>
      <x:c r="E2147" t="str">
        <x:v>Sarjana</x:v>
      </x:c>
      <x:c r="F2147" s="18" t="n">
        <x:v>140</x:v>
      </x:c>
      <x:c r="G2147" s="18" t="n">
        <x:v>2967</x:v>
      </x:c>
      <x:c r="H2147" s="19" t="n">
        <x:v>21.192857142857143</x:v>
      </x:c>
      <x:c r="I2147" s="18" t="n">
        <x:f>ROUND(MIN(Model_Config_v3!$B$6,MAX(Q2147,R2147,S2147*Model_Config_v3!$B$4+T2147*Model_Config_v3!$B$5)),0)</x:f>
        <x:v>693</x:v>
      </x:c>
      <x:c r="J2147" s="18" t="n">
        <x:f>MIN(Model_Config_v3!$B$6,I2147+Model_Config_v3!$B$7)</x:f>
        <x:v>713</x:v>
      </x:c>
      <x:c r="K2147" s="20" t="n">
        <x:v>72.3</x:v>
      </x:c>
      <x:c r="L2147" t="str">
        <x:v>SANGAT KETAT</x:v>
      </x:c>
      <x:c r="M2147" t="str">
        <x:v>SEDANG+</x:v>
      </x:c>
      <x:c r="N2147" t="str">
        <x:v>ELITE-2</x:v>
      </x:c>
      <x:c r="O2147" t="str">
        <x:v>SOSHUM</x:v>
      </x:c>
      <x:c r="P2147" t="str">
        <x:v>BISNIS/EKONOMI/AKUNTANSI</x:v>
      </x:c>
      <x:c r="Q2147" s="18" t="n">
        <x:v>650</x:v>
      </x:c>
      <x:c r="R2147" s="18" t="n">
        <x:v>680</x:v>
      </x:c>
      <x:c r="S2147" s="18" t="n">
        <x:v>665.8808461702464</x:v>
      </x:c>
      <x:c r="T2147" s="18" t="n">
        <x:v>705</x:v>
      </x:c>
      <x:c r="U2147" s="18" t="n">
        <x:v>680.8808461702464</x:v>
      </x:c>
      <x:c r="V2147" s="20" t="n">
        <x:v>4.4</x:v>
      </x:c>
      <x:c r="W2147" s="20" t="n">
        <x:v>14.3</x:v>
      </x:c>
      <x:c r="X2147" s="20" t="n">
        <x:v>3.3</x:v>
      </x:c>
      <x:c r="Y2147" t="str">
        <x:v>Basis arsip 2025/2024</x:v>
      </x:c>
      <x:c r="Z2147" t="str">
        <x:v>https://snpmb.id/utbk-snbt/daya-tampung-snbt</x:v>
      </x:c>
      <x:c r="AA2147" t="str">
        <x:v>Tidak Ada</x:v>
      </x:c>
      <x:c r="AB2147" t="str">
        <x:v>Campus=90; Ratio=78.1; Prodi=65; RelDemand=82.6; Capacity=0.0</x:v>
      </x:c>
    </x:row>
    <x:row r="2148">
      <x:c r="A2148" t="n">
        <x:v>2145</x:v>
      </x:c>
      <x:c r="B2148" t="str">
        <x:v>PTN Akademik</x:v>
      </x:c>
      <x:c r="C2148" t="str">
        <x:v>UNIVERSITAS BRAWIJAYA</x:v>
      </x:c>
      <x:c r="D2148" t="str">
        <x:v>MANAJEMEN</x:v>
      </x:c>
      <x:c r="E2148" t="str">
        <x:v>Sarjana</x:v>
      </x:c>
      <x:c r="F2148" s="18" t="n">
        <x:v>113</x:v>
      </x:c>
      <x:c r="G2148" s="18" t="n">
        <x:v>2480</x:v>
      </x:c>
      <x:c r="H2148" s="19" t="n">
        <x:v>21.946902654867255</x:v>
      </x:c>
      <x:c r="I2148" s="18" t="n">
        <x:f>ROUND(MIN(Model_Config_v3!$B$6,MAX(Q2148,R2148,S2148*Model_Config_v3!$B$4+T2148*Model_Config_v3!$B$5)),0)</x:f>
        <x:v>695</x:v>
      </x:c>
      <x:c r="J2148" s="18" t="n">
        <x:f>MIN(Model_Config_v3!$B$6,I2148+Model_Config_v3!$B$7)</x:f>
        <x:v>715</x:v>
      </x:c>
      <x:c r="K2148" s="20" t="n">
        <x:v>73.4</x:v>
      </x:c>
      <x:c r="L2148" t="str">
        <x:v>SANGAT KETAT</x:v>
      </x:c>
      <x:c r="M2148" t="str">
        <x:v>SEDANG+</x:v>
      </x:c>
      <x:c r="N2148" t="str">
        <x:v>ELITE-2</x:v>
      </x:c>
      <x:c r="O2148" t="str">
        <x:v>SOSHUM</x:v>
      </x:c>
      <x:c r="P2148" t="str">
        <x:v>BISNIS/EKONOMI/AKUNTANSI</x:v>
      </x:c>
      <x:c r="Q2148" s="18" t="n">
        <x:v>650</x:v>
      </x:c>
      <x:c r="R2148" s="18" t="n">
        <x:v>680</x:v>
      </x:c>
      <x:c r="S2148" s="18" t="n">
        <x:v>667.5510561077076</x:v>
      </x:c>
      <x:c r="T2148" s="18" t="n">
        <x:v>707</x:v>
      </x:c>
      <x:c r="U2148" s="18" t="n">
        <x:v>682.5510561077076</x:v>
      </x:c>
      <x:c r="V2148" s="20" t="n">
        <x:v>4.4</x:v>
      </x:c>
      <x:c r="W2148" s="20" t="n">
        <x:v>14.3</x:v>
      </x:c>
      <x:c r="X2148" s="20" t="n">
        <x:v>3.3</x:v>
      </x:c>
      <x:c r="Y2148" t="str">
        <x:v>Basis arsip 2025/2024</x:v>
      </x:c>
      <x:c r="Z2148" t="str">
        <x:v>https://snpmb.id/utbk-snbt/daya-tampung-snbt</x:v>
      </x:c>
      <x:c r="AA2148" t="str">
        <x:v>Tidak Ada</x:v>
      </x:c>
      <x:c r="AB2148" t="str">
        <x:v>Campus=90; Ratio=79.0; Prodi=65; RelDemand=85.5; Capacity=5.8</x:v>
      </x:c>
    </x:row>
    <x:row r="2149">
      <x:c r="A2149" t="n">
        <x:v>2146</x:v>
      </x:c>
      <x:c r="B2149" t="str">
        <x:v>PTN Akademik</x:v>
      </x:c>
      <x:c r="C2149" t="str">
        <x:v>UNIVERSITAS BRAWIJAYA</x:v>
      </x:c>
      <x:c r="D2149" t="str">
        <x:v>AKUNTANSI</x:v>
      </x:c>
      <x:c r="E2149" t="str">
        <x:v>Sarjana</x:v>
      </x:c>
      <x:c r="F2149" s="18" t="n">
        <x:v>137</x:v>
      </x:c>
      <x:c r="G2149" s="18" t="n">
        <x:v>2061</x:v>
      </x:c>
      <x:c r="H2149" s="19" t="n">
        <x:v>15.043795620437956</x:v>
      </x:c>
      <x:c r="I2149" s="18" t="n">
        <x:f>ROUND(MIN(Model_Config_v3!$B$6,MAX(Q2149,R2149,S2149*Model_Config_v3!$B$4+T2149*Model_Config_v3!$B$5)),0)</x:f>
        <x:v>681</x:v>
      </x:c>
      <x:c r="J2149" s="18" t="n">
        <x:f>MIN(Model_Config_v3!$B$6,I2149+Model_Config_v3!$B$7)</x:f>
        <x:v>701</x:v>
      </x:c>
      <x:c r="K2149" s="20" t="n">
        <x:v>67.7</x:v>
      </x:c>
      <x:c r="L2149" t="str">
        <x:v>SANGAT KETAT</x:v>
      </x:c>
      <x:c r="M2149" t="str">
        <x:v>SEDANG+</x:v>
      </x:c>
      <x:c r="N2149" t="str">
        <x:v>ELITE-2</x:v>
      </x:c>
      <x:c r="O2149" t="str">
        <x:v>SOSHUM</x:v>
      </x:c>
      <x:c r="P2149" t="str">
        <x:v>BISNIS/EKONOMI/AKUNTANSI</x:v>
      </x:c>
      <x:c r="Q2149" s="18" t="n">
        <x:v>650</x:v>
      </x:c>
      <x:c r="R2149" s="18" t="n">
        <x:v>680</x:v>
      </x:c>
      <x:c r="S2149" s="18" t="n">
        <x:v>649.5093167085087</x:v>
      </x:c>
      <x:c r="T2149" s="18" t="n">
        <x:v>695</x:v>
      </x:c>
      <x:c r="U2149" s="18" t="n">
        <x:v>650</x:v>
      </x:c>
      <x:c r="V2149" s="20" t="n">
        <x:v>4.4</x:v>
      </x:c>
      <x:c r="W2149" s="20" t="n">
        <x:v>14.3</x:v>
      </x:c>
      <x:c r="X2149" s="20" t="n">
        <x:v>3.3</x:v>
      </x:c>
      <x:c r="Y2149" t="str">
        <x:v>Basis arsip 2025/2024</x:v>
      </x:c>
      <x:c r="Z2149" t="str">
        <x:v>https://snpmb.id/utbk-snbt/daya-tampung-snbt</x:v>
      </x:c>
      <x:c r="AA2149" t="str">
        <x:v>Tidak Ada</x:v>
      </x:c>
      <x:c r="AB2149" t="str">
        <x:v>Campus=90; Ratio=69.3; Prodi=65; RelDemand=58.6; Capacity=0.0</x:v>
      </x:c>
    </x:row>
    <x:row r="2150">
      <x:c r="A2150" t="n">
        <x:v>2147</x:v>
      </x:c>
      <x:c r="B2150" t="str">
        <x:v>PTN Akademik</x:v>
      </x:c>
      <x:c r="C2150" t="str">
        <x:v>UNIVERSITAS BRAWIJAYA</x:v>
      </x:c>
      <x:c r="D2150" t="str">
        <x:v>SOSIOLOGI</x:v>
      </x:c>
      <x:c r="E2150" t="str">
        <x:v>Sarjana</x:v>
      </x:c>
      <x:c r="F2150" s="18" t="n">
        <x:v>66</x:v>
      </x:c>
      <x:c r="G2150" s="18" t="n">
        <x:v>439</x:v>
      </x:c>
      <x:c r="H2150" s="19" t="n">
        <x:v>6.651515151515151</x:v>
      </x:c>
      <x:c r="I2150" s="18" t="n">
        <x:f>ROUND(MIN(Model_Config_v3!$B$6,MAX(Q2150,R2150,S2150*Model_Config_v3!$B$4+T2150*Model_Config_v3!$B$5)),0)</x:f>
        <x:v>657</x:v>
      </x:c>
      <x:c r="J2150" s="18" t="n">
        <x:f>MIN(Model_Config_v3!$B$6,I2150+Model_Config_v3!$B$7)</x:f>
        <x:v>677</x:v>
      </x:c>
      <x:c r="K2150" s="20" t="n">
        <x:v>58.7</x:v>
      </x:c>
      <x:c r="L2150" t="str">
        <x:v>KETAT</x:v>
      </x:c>
      <x:c r="M2150" t="str">
        <x:v>SEDANG+</x:v>
      </x:c>
      <x:c r="N2150" t="str">
        <x:v>ELITE-2</x:v>
      </x:c>
      <x:c r="O2150" t="str">
        <x:v>SOSHUM</x:v>
      </x:c>
      <x:c r="P2150" t="str">
        <x:v>UMUM</x:v>
      </x:c>
      <x:c r="Q2150" s="18" t="n">
        <x:v>650</x:v>
      </x:c>
      <x:c r="R2150" s="18" t="n">
        <x:v>0</x:v>
      </x:c>
      <x:c r="S2150" s="18" t="n">
        <x:v>610.5212643170278</x:v>
      </x:c>
      <x:c r="T2150" s="18" t="n">
        <x:v>677</x:v>
      </x:c>
      <x:c r="U2150" s="18" t="n">
        <x:v>650</x:v>
      </x:c>
      <x:c r="V2150" s="20" t="n">
        <x:v>4.4</x:v>
      </x:c>
      <x:c r="W2150" s="20" t="n">
        <x:v>14.3</x:v>
      </x:c>
      <x:c r="X2150" s="20" t="n">
        <x:v>3.3</x:v>
      </x:c>
      <x:c r="Y2150" t="str">
        <x:v>Basis arsip 2025/2024</x:v>
      </x:c>
      <x:c r="Z2150" t="str">
        <x:v>https://snpmb.id/utbk-snbt/daya-tampung-snbt</x:v>
      </x:c>
      <x:c r="AA2150" t="str">
        <x:v>Tidak Ada</x:v>
      </x:c>
      <x:c r="AB2150" t="str">
        <x:v>Campus=90; Ratio=48.4; Prodi=40; RelDemand=25.9; Capacity=45.0</x:v>
      </x:c>
    </x:row>
    <x:row r="2151">
      <x:c r="A2151" t="n">
        <x:v>2148</x:v>
      </x:c>
      <x:c r="B2151" t="str">
        <x:v>PTN Akademik</x:v>
      </x:c>
      <x:c r="C2151" t="str">
        <x:v>UNIVERSITAS BRAWIJAYA</x:v>
      </x:c>
      <x:c r="D2151" t="str">
        <x:v>ILMU KOMUNIKASI</x:v>
      </x:c>
      <x:c r="E2151" t="str">
        <x:v>Sarjana</x:v>
      </x:c>
      <x:c r="F2151" s="18" t="n">
        <x:v>87</x:v>
      </x:c>
      <x:c r="G2151" s="18" t="n">
        <x:v>1819</x:v>
      </x:c>
      <x:c r="H2151" s="19" t="n">
        <x:v>20.908045977011493</x:v>
      </x:c>
      <x:c r="I2151" s="18" t="n">
        <x:f>ROUND(MIN(Model_Config_v3!$B$6,MAX(Q2151,R2151,S2151*Model_Config_v3!$B$4+T2151*Model_Config_v3!$B$5)),0)</x:f>
        <x:v>690</x:v>
      </x:c>
      <x:c r="J2151" s="18" t="n">
        <x:f>MIN(Model_Config_v3!$B$6,I2151+Model_Config_v3!$B$7)</x:f>
        <x:v>710</x:v>
      </x:c>
      <x:c r="K2151" s="20" t="n">
        <x:v>69.8</x:v>
      </x:c>
      <x:c r="L2151" t="str">
        <x:v>SANGAT KETAT</x:v>
      </x:c>
      <x:c r="M2151" t="str">
        <x:v>SEDANG+</x:v>
      </x:c>
      <x:c r="N2151" t="str">
        <x:v>ELITE-2</x:v>
      </x:c>
      <x:c r="O2151" t="str">
        <x:v>SOSHUM</x:v>
      </x:c>
      <x:c r="P2151" t="str">
        <x:v>UMUM</x:v>
      </x:c>
      <x:c r="Q2151" s="18" t="n">
        <x:v>650</x:v>
      </x:c>
      <x:c r="R2151" s="18" t="n">
        <x:v>0</x:v>
      </x:c>
      <x:c r="S2151" s="18" t="n">
        <x:v>665.2344791089351</x:v>
      </x:c>
      <x:c r="T2151" s="18" t="n">
        <x:v>700</x:v>
      </x:c>
      <x:c r="U2151" s="18" t="n">
        <x:v>665.2344791089351</x:v>
      </x:c>
      <x:c r="V2151" s="20" t="n">
        <x:v>4.4</x:v>
      </x:c>
      <x:c r="W2151" s="20" t="n">
        <x:v>14.3</x:v>
      </x:c>
      <x:c r="X2151" s="20" t="n">
        <x:v>3.3</x:v>
      </x:c>
      <x:c r="Y2151" t="str">
        <x:v>Basis arsip 2025/2024</x:v>
      </x:c>
      <x:c r="Z2151" t="str">
        <x:v>https://snpmb.id/utbk-snbt/daya-tampung-snbt</x:v>
      </x:c>
      <x:c r="AA2151" t="str">
        <x:v>Tidak Ada</x:v>
      </x:c>
      <x:c r="AB2151" t="str">
        <x:v>Campus=90; Ratio=77.7; Prodi=40; RelDemand=81.5; Capacity=27.5</x:v>
      </x:c>
    </x:row>
    <x:row r="2152">
      <x:c r="A2152" t="n">
        <x:v>2149</x:v>
      </x:c>
      <x:c r="B2152" t="str">
        <x:v>PTN Akademik</x:v>
      </x:c>
      <x:c r="C2152" t="str">
        <x:v>UNIVERSITAS BRAWIJAYA</x:v>
      </x:c>
      <x:c r="D2152" t="str">
        <x:v>PSIKOLOGI</x:v>
      </x:c>
      <x:c r="E2152" t="str">
        <x:v>Sarjana</x:v>
      </x:c>
      <x:c r="F2152" s="18" t="n">
        <x:v>90</x:v>
      </x:c>
      <x:c r="G2152" s="18" t="n">
        <x:v>2418</x:v>
      </x:c>
      <x:c r="H2152" s="19" t="n">
        <x:v>26.866666666666667</x:v>
      </x:c>
      <x:c r="I2152" s="18" t="n">
        <x:f>ROUND(MIN(Model_Config_v3!$B$6,MAX(Q2152,R2152,S2152*Model_Config_v3!$B$4+T2152*Model_Config_v3!$B$5)),0)</x:f>
        <x:v>709</x:v>
      </x:c>
      <x:c r="J2152" s="18" t="n">
        <x:f>MIN(Model_Config_v3!$B$6,I2152+Model_Config_v3!$B$7)</x:f>
        <x:v>729</x:v>
      </x:c>
      <x:c r="K2152" s="20" t="n">
        <x:v>81</x:v>
      </x:c>
      <x:c r="L2152" t="str">
        <x:v>ELITE</x:v>
      </x:c>
      <x:c r="M2152" t="str">
        <x:v>SEDANG+</x:v>
      </x:c>
      <x:c r="N2152" t="str">
        <x:v>ELITE-2</x:v>
      </x:c>
      <x:c r="O2152" t="str">
        <x:v>SOSHUM</x:v>
      </x:c>
      <x:c r="P2152" t="str">
        <x:v>PSIKOLOGI</x:v>
      </x:c>
      <x:c r="Q2152" s="18" t="n">
        <x:v>650</x:v>
      </x:c>
      <x:c r="R2152" s="18" t="n">
        <x:v>690</x:v>
      </x:c>
      <x:c r="S2152" s="18" t="n">
        <x:v>677.213516579397</x:v>
      </x:c>
      <x:c r="T2152" s="18" t="n">
        <x:v>722</x:v>
      </x:c>
      <x:c r="U2152" s="18" t="n">
        <x:v>702.213516579397</x:v>
      </x:c>
      <x:c r="V2152" s="20" t="n">
        <x:v>4.4</x:v>
      </x:c>
      <x:c r="W2152" s="20" t="n">
        <x:v>14.3</x:v>
      </x:c>
      <x:c r="X2152" s="20" t="n">
        <x:v>3.3</x:v>
      </x:c>
      <x:c r="Y2152" t="str">
        <x:v>Basis arsip 2025/2024</x:v>
      </x:c>
      <x:c r="Z2152" t="str">
        <x:v>https://snpmb.id/utbk-snbt/daya-tampung-snbt</x:v>
      </x:c>
      <x:c r="AA2152" t="str">
        <x:v>Tidak Ada</x:v>
      </x:c>
      <x:c r="AB2152" t="str">
        <x:v>Campus=90; Ratio=84.1; Prodi=80; RelDemand=100.0; Capacity=25.0</x:v>
      </x:c>
    </x:row>
    <x:row r="2153">
      <x:c r="A2153" t="n">
        <x:v>2150</x:v>
      </x:c>
      <x:c r="B2153" t="str">
        <x:v>PTN Akademik</x:v>
      </x:c>
      <x:c r="C2153" t="str">
        <x:v>UNIVERSITAS BRAWIJAYA</x:v>
      </x:c>
      <x:c r="D2153" t="str">
        <x:v>HUBUNGAN INTERNASIONAL</x:v>
      </x:c>
      <x:c r="E2153" t="str">
        <x:v>Sarjana</x:v>
      </x:c>
      <x:c r="F2153" s="18" t="n">
        <x:v>78</x:v>
      </x:c>
      <x:c r="G2153" s="18" t="n">
        <x:v>1384</x:v>
      </x:c>
      <x:c r="H2153" s="19" t="n">
        <x:v>17.743589743589745</x:v>
      </x:c>
      <x:c r="I2153" s="18" t="n">
        <x:f>ROUND(MIN(Model_Config_v3!$B$6,MAX(Q2153,R2153,S2153*Model_Config_v3!$B$4+T2153*Model_Config_v3!$B$5)),0)</x:f>
        <x:v>685</x:v>
      </x:c>
      <x:c r="J2153" s="18" t="n">
        <x:f>MIN(Model_Config_v3!$B$6,I2153+Model_Config_v3!$B$7)</x:f>
        <x:v>705</x:v>
      </x:c>
      <x:c r="K2153" s="20" t="n">
        <x:v>68.3</x:v>
      </x:c>
      <x:c r="L2153" t="str">
        <x:v>SANGAT KETAT</x:v>
      </x:c>
      <x:c r="M2153" t="str">
        <x:v>SEDANG+</x:v>
      </x:c>
      <x:c r="N2153" t="str">
        <x:v>ELITE-2</x:v>
      </x:c>
      <x:c r="O2153" t="str">
        <x:v>SOSHUM</x:v>
      </x:c>
      <x:c r="P2153" t="str">
        <x:v>UMUM</x:v>
      </x:c>
      <x:c r="Q2153" s="18" t="n">
        <x:v>650</x:v>
      </x:c>
      <x:c r="R2153" s="18" t="n">
        <x:v>0</x:v>
      </x:c>
      <x:c r="S2153" s="18" t="n">
        <x:v>657.3945636173285</x:v>
      </x:c>
      <x:c r="T2153" s="18" t="n">
        <x:v>697</x:v>
      </x:c>
      <x:c r="U2153" s="18" t="n">
        <x:v>657.3945636173285</x:v>
      </x:c>
      <x:c r="V2153" s="20" t="n">
        <x:v>4.4</x:v>
      </x:c>
      <x:c r="W2153" s="20" t="n">
        <x:v>14.3</x:v>
      </x:c>
      <x:c r="X2153" s="20" t="n">
        <x:v>3.3</x:v>
      </x:c>
      <x:c r="Y2153" t="str">
        <x:v>Basis arsip 2025/2024</x:v>
      </x:c>
      <x:c r="Z2153" t="str">
        <x:v>https://snpmb.id/utbk-snbt/daya-tampung-snbt</x:v>
      </x:c>
      <x:c r="AA2153" t="str">
        <x:v>Tidak Ada</x:v>
      </x:c>
      <x:c r="AB2153" t="str">
        <x:v>Campus=90; Ratio=73.5; Prodi=40; RelDemand=69.1; Capacity=35.0</x:v>
      </x:c>
    </x:row>
    <x:row r="2154">
      <x:c r="A2154" t="n">
        <x:v>2151</x:v>
      </x:c>
      <x:c r="B2154" t="str">
        <x:v>PTN Akademik</x:v>
      </x:c>
      <x:c r="C2154" t="str">
        <x:v>UNIVERSITAS BRAWIJAYA</x:v>
      </x:c>
      <x:c r="D2154" t="str">
        <x:v>SASTRA INGGRIS</x:v>
      </x:c>
      <x:c r="E2154" t="str">
        <x:v>Sarjana</x:v>
      </x:c>
      <x:c r="F2154" s="18" t="n">
        <x:v>83</x:v>
      </x:c>
      <x:c r="G2154" s="18" t="n">
        <x:v>684</x:v>
      </x:c>
      <x:c r="H2154" s="19" t="n">
        <x:v>8.240963855421686</x:v>
      </x:c>
      <x:c r="I2154" s="18" t="n">
        <x:f>ROUND(MIN(Model_Config_v3!$B$6,MAX(Q2154,R2154,S2154*Model_Config_v3!$B$4+T2154*Model_Config_v3!$B$5)),0)</x:f>
        <x:v>662</x:v>
      </x:c>
      <x:c r="J2154" s="18" t="n">
        <x:f>MIN(Model_Config_v3!$B$6,I2154+Model_Config_v3!$B$7)</x:f>
        <x:v>682</x:v>
      </x:c>
      <x:c r="K2154" s="20" t="n">
        <x:v>59.3</x:v>
      </x:c>
      <x:c r="L2154" t="str">
        <x:v>KETAT</x:v>
      </x:c>
      <x:c r="M2154" t="str">
        <x:v>SEDANG+</x:v>
      </x:c>
      <x:c r="N2154" t="str">
        <x:v>ELITE-2</x:v>
      </x:c>
      <x:c r="O2154" t="str">
        <x:v>SOSHUM</x:v>
      </x:c>
      <x:c r="P2154" t="str">
        <x:v>UMUM</x:v>
      </x:c>
      <x:c r="Q2154" s="18" t="n">
        <x:v>650</x:v>
      </x:c>
      <x:c r="R2154" s="18" t="n">
        <x:v>0</x:v>
      </x:c>
      <x:c r="S2154" s="18" t="n">
        <x:v>620.7575810278446</x:v>
      </x:c>
      <x:c r="T2154" s="18" t="n">
        <x:v>679</x:v>
      </x:c>
      <x:c r="U2154" s="18" t="n">
        <x:v>650</x:v>
      </x:c>
      <x:c r="V2154" s="20" t="n">
        <x:v>4.4</x:v>
      </x:c>
      <x:c r="W2154" s="20" t="n">
        <x:v>14.3</x:v>
      </x:c>
      <x:c r="X2154" s="20" t="n">
        <x:v>3.3</x:v>
      </x:c>
      <x:c r="Y2154" t="str">
        <x:v>Basis arsip 2025/2024</x:v>
      </x:c>
      <x:c r="Z2154" t="str">
        <x:v>https://snpmb.id/utbk-snbt/daya-tampung-snbt</x:v>
      </x:c>
      <x:c r="AA2154" t="str">
        <x:v>Tidak Ada</x:v>
      </x:c>
      <x:c r="AB2154" t="str">
        <x:v>Campus=90; Ratio=53.9; Prodi=40; RelDemand=32.1; Capacity=30.8</x:v>
      </x:c>
    </x:row>
    <x:row r="2155">
      <x:c r="A2155" t="n">
        <x:v>2152</x:v>
      </x:c>
      <x:c r="B2155" t="str">
        <x:v>PTN Akademik</x:v>
      </x:c>
      <x:c r="C2155" t="str">
        <x:v>UNIVERSITAS BRAWIJAYA</x:v>
      </x:c>
      <x:c r="D2155" t="str">
        <x:v>SASTRA JEPANG</x:v>
      </x:c>
      <x:c r="E2155" t="str">
        <x:v>Sarjana</x:v>
      </x:c>
      <x:c r="F2155" s="18" t="n">
        <x:v>53</x:v>
      </x:c>
      <x:c r="G2155" s="18" t="n">
        <x:v>415</x:v>
      </x:c>
      <x:c r="H2155" s="19" t="n">
        <x:v>7.830188679245283</x:v>
      </x:c>
      <x:c r="I2155" s="18" t="n">
        <x:f>ROUND(MIN(Model_Config_v3!$B$6,MAX(Q2155,R2155,S2155*Model_Config_v3!$B$4+T2155*Model_Config_v3!$B$5)),0)</x:f>
        <x:v>664</x:v>
      </x:c>
      <x:c r="J2155" s="18" t="n">
        <x:f>MIN(Model_Config_v3!$B$6,I2155+Model_Config_v3!$B$7)</x:f>
        <x:v>684</x:v>
      </x:c>
      <x:c r="K2155" s="20" t="n">
        <x:v>61.3</x:v>
      </x:c>
      <x:c r="L2155" t="str">
        <x:v>KETAT</x:v>
      </x:c>
      <x:c r="M2155" t="str">
        <x:v>SEDANG+</x:v>
      </x:c>
      <x:c r="N2155" t="str">
        <x:v>ELITE-2</x:v>
      </x:c>
      <x:c r="O2155" t="str">
        <x:v>SOSHUM</x:v>
      </x:c>
      <x:c r="P2155" t="str">
        <x:v>UMUM</x:v>
      </x:c>
      <x:c r="Q2155" s="18" t="n">
        <x:v>650</x:v>
      </x:c>
      <x:c r="R2155" s="18" t="n">
        <x:v>0</x:v>
      </x:c>
      <x:c r="S2155" s="18" t="n">
        <x:v>618.3149449822433</x:v>
      </x:c>
      <x:c r="T2155" s="18" t="n">
        <x:v>683</x:v>
      </x:c>
      <x:c r="U2155" s="18" t="n">
        <x:v>650</x:v>
      </x:c>
      <x:c r="V2155" s="20" t="n">
        <x:v>4.4</x:v>
      </x:c>
      <x:c r="W2155" s="20" t="n">
        <x:v>14.3</x:v>
      </x:c>
      <x:c r="X2155" s="20" t="n">
        <x:v>3.3</x:v>
      </x:c>
      <x:c r="Y2155" t="str">
        <x:v>Basis arsip 2025/2024</x:v>
      </x:c>
      <x:c r="Z2155" t="str">
        <x:v>https://snpmb.id/utbk-snbt/daya-tampung-snbt</x:v>
      </x:c>
      <x:c r="AA2155" t="str">
        <x:v>Tidak Ada</x:v>
      </x:c>
      <x:c r="AB2155" t="str">
        <x:v>Campus=90; Ratio=52.6; Prodi=40; RelDemand=30.5; Capacity=55.8</x:v>
      </x:c>
    </x:row>
    <x:row r="2156">
      <x:c r="A2156" t="n">
        <x:v>2153</x:v>
      </x:c>
      <x:c r="B2156" t="str">
        <x:v>PTN Akademik</x:v>
      </x:c>
      <x:c r="C2156" t="str">
        <x:v>UNIVERSITAS BRAWIJAYA</x:v>
      </x:c>
      <x:c r="D2156" t="str">
        <x:v>BAHASA DAN SASTRA PRANCIS</x:v>
      </x:c>
      <x:c r="E2156" t="str">
        <x:v>Sarjana</x:v>
      </x:c>
      <x:c r="F2156" s="18" t="n">
        <x:v>30</x:v>
      </x:c>
      <x:c r="G2156" s="18" t="n">
        <x:v>101</x:v>
      </x:c>
      <x:c r="H2156" s="19" t="n">
        <x:v>3.3666666666666667</x:v>
      </x:c>
      <x:c r="I2156" s="18" t="n">
        <x:f>ROUND(MIN(Model_Config_v3!$B$6,MAX(Q2156,R2156,S2156*Model_Config_v3!$B$4+T2156*Model_Config_v3!$B$5)),0)</x:f>
        <x:v>650</x:v>
      </x:c>
      <x:c r="J2156" s="18" t="n">
        <x:f>MIN(Model_Config_v3!$B$6,I2156+Model_Config_v3!$B$7)</x:f>
        <x:v>670</x:v>
      </x:c>
      <x:c r="K2156" s="20" t="n">
        <x:v>56.1</x:v>
      </x:c>
      <x:c r="L2156" t="str">
        <x:v>KETAT</x:v>
      </x:c>
      <x:c r="M2156" t="str">
        <x:v>SEDANG+</x:v>
      </x:c>
      <x:c r="N2156" t="str">
        <x:v>ELITE-2</x:v>
      </x:c>
      <x:c r="O2156" t="str">
        <x:v>SOSHUM</x:v>
      </x:c>
      <x:c r="P2156" t="str">
        <x:v>UMUM</x:v>
      </x:c>
      <x:c r="Q2156" s="18" t="n">
        <x:v>650</x:v>
      </x:c>
      <x:c r="R2156" s="18" t="n">
        <x:v>0</x:v>
      </x:c>
      <x:c r="S2156" s="18" t="n">
        <x:v>577.9920130969278</x:v>
      </x:c>
      <x:c r="T2156" s="18" t="n">
        <x:v>672</x:v>
      </x:c>
      <x:c r="U2156" s="18" t="n">
        <x:v>650</x:v>
      </x:c>
      <x:c r="V2156" s="20" t="n">
        <x:v>4.4</x:v>
      </x:c>
      <x:c r="W2156" s="20" t="n">
        <x:v>14.3</x:v>
      </x:c>
      <x:c r="X2156" s="20" t="n">
        <x:v>3.3</x:v>
      </x:c>
      <x:c r="Y2156" t="str">
        <x:v>Basis arsip 2025/2024</x:v>
      </x:c>
      <x:c r="Z2156" t="str">
        <x:v>https://snpmb.id/utbk-snbt/daya-tampung-snbt</x:v>
      </x:c>
      <x:c r="AA2156" t="str">
        <x:v>Tidak Ada</x:v>
      </x:c>
      <x:c r="AB2156" t="str">
        <x:v>Campus=90; Ratio=31.0; Prodi=40; RelDemand=13.1; Capacity=75.0</x:v>
      </x:c>
    </x:row>
    <x:row r="2157">
      <x:c r="A2157" t="n">
        <x:v>2154</x:v>
      </x:c>
      <x:c r="B2157" t="str">
        <x:v>PTN Akademik</x:v>
      </x:c>
      <x:c r="C2157" t="str">
        <x:v>UNIVERSITAS BRAWIJAYA</x:v>
      </x:c>
      <x:c r="D2157" t="str">
        <x:v>ILMU POLITIK</x:v>
      </x:c>
      <x:c r="E2157" t="str">
        <x:v>Sarjana</x:v>
      </x:c>
      <x:c r="F2157" s="18" t="n">
        <x:v>57</x:v>
      </x:c>
      <x:c r="G2157" s="18" t="n">
        <x:v>579</x:v>
      </x:c>
      <x:c r="H2157" s="19" t="n">
        <x:v>10.157894736842104</x:v>
      </x:c>
      <x:c r="I2157" s="18" t="n">
        <x:f>ROUND(MIN(Model_Config_v3!$B$6,MAX(Q2157,R2157,S2157*Model_Config_v3!$B$4+T2157*Model_Config_v3!$B$5)),0)</x:f>
        <x:v>670</x:v>
      </x:c>
      <x:c r="J2157" s="18" t="n">
        <x:f>MIN(Model_Config_v3!$B$6,I2157+Model_Config_v3!$B$7)</x:f>
        <x:v>690</x:v>
      </x:c>
      <x:c r="K2157" s="20" t="n">
        <x:v>63.5</x:v>
      </x:c>
      <x:c r="L2157" t="str">
        <x:v>KETAT</x:v>
      </x:c>
      <x:c r="M2157" t="str">
        <x:v>SEDANG+</x:v>
      </x:c>
      <x:c r="N2157" t="str">
        <x:v>ELITE-2</x:v>
      </x:c>
      <x:c r="O2157" t="str">
        <x:v>SOSHUM</x:v>
      </x:c>
      <x:c r="P2157" t="str">
        <x:v>UMUM</x:v>
      </x:c>
      <x:c r="Q2157" s="18" t="n">
        <x:v>650</x:v>
      </x:c>
      <x:c r="R2157" s="18" t="n">
        <x:v>0</x:v>
      </x:c>
      <x:c r="S2157" s="18" t="n">
        <x:v>630.7484078860439</x:v>
      </x:c>
      <x:c r="T2157" s="18" t="n">
        <x:v>687</x:v>
      </x:c>
      <x:c r="U2157" s="18" t="n">
        <x:v>650</x:v>
      </x:c>
      <x:c r="V2157" s="20" t="n">
        <x:v>4.4</x:v>
      </x:c>
      <x:c r="W2157" s="20" t="n">
        <x:v>14.3</x:v>
      </x:c>
      <x:c r="X2157" s="20" t="n">
        <x:v>3.3</x:v>
      </x:c>
      <x:c r="Y2157" t="str">
        <x:v>Basis arsip 2025/2024</x:v>
      </x:c>
      <x:c r="Z2157" t="str">
        <x:v>https://snpmb.id/utbk-snbt/daya-tampung-snbt</x:v>
      </x:c>
      <x:c r="AA2157" t="str">
        <x:v>Tidak Ada</x:v>
      </x:c>
      <x:c r="AB2157" t="str">
        <x:v>Campus=90; Ratio=59.3; Prodi=40; RelDemand=39.6; Capacity=52.5</x:v>
      </x:c>
    </x:row>
    <x:row r="2158">
      <x:c r="A2158" t="n">
        <x:v>2155</x:v>
      </x:c>
      <x:c r="B2158" t="str">
        <x:v>PTN Akademik</x:v>
      </x:c>
      <x:c r="C2158" t="str">
        <x:v>UNIVERSITAS BRAWIJAYA</x:v>
      </x:c>
      <x:c r="D2158" t="str">
        <x:v>ILMU PEMERINTAHAN</x:v>
      </x:c>
      <x:c r="E2158" t="str">
        <x:v>Sarjana</x:v>
      </x:c>
      <x:c r="F2158" s="18" t="n">
        <x:v>57</x:v>
      </x:c>
      <x:c r="G2158" s="18" t="n">
        <x:v>747</x:v>
      </x:c>
      <x:c r="H2158" s="19" t="n">
        <x:v>13.105263157894736</x:v>
      </x:c>
      <x:c r="I2158" s="18" t="n">
        <x:f>ROUND(MIN(Model_Config_v3!$B$6,MAX(Q2158,R2158,S2158*Model_Config_v3!$B$4+T2158*Model_Config_v3!$B$5)),0)</x:f>
        <x:v>678</x:v>
      </x:c>
      <x:c r="J2158" s="18" t="n">
        <x:f>MIN(Model_Config_v3!$B$6,I2158+Model_Config_v3!$B$7)</x:f>
        <x:v>698</x:v>
      </x:c>
      <x:c r="K2158" s="20" t="n">
        <x:v>66.3</x:v>
      </x:c>
      <x:c r="L2158" t="str">
        <x:v>SANGAT KETAT</x:v>
      </x:c>
      <x:c r="M2158" t="str">
        <x:v>SEDANG+</x:v>
      </x:c>
      <x:c r="N2158" t="str">
        <x:v>ELITE-2</x:v>
      </x:c>
      <x:c r="O2158" t="str">
        <x:v>CAMPURAN</x:v>
      </x:c>
      <x:c r="P2158" t="str">
        <x:v>UMUM</x:v>
      </x:c>
      <x:c r="Q2158" s="18" t="n">
        <x:v>650</x:v>
      </x:c>
      <x:c r="R2158" s="18" t="n">
        <x:v>0</x:v>
      </x:c>
      <x:c r="S2158" s="18" t="n">
        <x:v>642.9190320757198</x:v>
      </x:c>
      <x:c r="T2158" s="18" t="n">
        <x:v>693</x:v>
      </x:c>
      <x:c r="U2158" s="18" t="n">
        <x:v>650</x:v>
      </x:c>
      <x:c r="V2158" s="20" t="n">
        <x:v>8.8</x:v>
      </x:c>
      <x:c r="W2158" s="20" t="n">
        <x:v>9.9</x:v>
      </x:c>
      <x:c r="X2158" s="20" t="n">
        <x:v>3.3</x:v>
      </x:c>
      <x:c r="Y2158" t="str">
        <x:v>Basis arsip 2025/2024</x:v>
      </x:c>
      <x:c r="Z2158" t="str">
        <x:v>https://snpmb.id/utbk-snbt/daya-tampung-snbt</x:v>
      </x:c>
      <x:c r="AA2158" t="str">
        <x:v>Tidak Ada</x:v>
      </x:c>
      <x:c r="AB2158" t="str">
        <x:v>Campus=90; Ratio=65.8; Prodi=40; RelDemand=51.1; Capacity=52.5</x:v>
      </x:c>
    </x:row>
    <x:row r="2159">
      <x:c r="A2159" t="n">
        <x:v>2156</x:v>
      </x:c>
      <x:c r="B2159" t="str">
        <x:v>PTN Akademik</x:v>
      </x:c>
      <x:c r="C2159" t="str">
        <x:v>UNIVERSITAS BRAWIJAYA</x:v>
      </x:c>
      <x:c r="D2159" t="str">
        <x:v>PERPAJAKAN</x:v>
      </x:c>
      <x:c r="E2159" t="str">
        <x:v>Sarjana</x:v>
      </x:c>
      <x:c r="F2159" s="18" t="n">
        <x:v>83</x:v>
      </x:c>
      <x:c r="G2159" s="18" t="n">
        <x:v>1352</x:v>
      </x:c>
      <x:c r="H2159" s="19" t="n">
        <x:v>16.289156626506024</x:v>
      </x:c>
      <x:c r="I2159" s="18" t="n">
        <x:f>ROUND(MIN(Model_Config_v3!$B$6,MAX(Q2159,R2159,S2159*Model_Config_v3!$B$4+T2159*Model_Config_v3!$B$5)),0)</x:f>
        <x:v>682</x:v>
      </x:c>
      <x:c r="J2159" s="18" t="n">
        <x:f>MIN(Model_Config_v3!$B$6,I2159+Model_Config_v3!$B$7)</x:f>
        <x:v>702</x:v>
      </x:c>
      <x:c r="K2159" s="20" t="n">
        <x:v>66.8</x:v>
      </x:c>
      <x:c r="L2159" t="str">
        <x:v>SANGAT KETAT</x:v>
      </x:c>
      <x:c r="M2159" t="str">
        <x:v>SEDANG+</x:v>
      </x:c>
      <x:c r="N2159" t="str">
        <x:v>ELITE-2</x:v>
      </x:c>
      <x:c r="O2159" t="str">
        <x:v>CAMPURAN</x:v>
      </x:c>
      <x:c r="P2159" t="str">
        <x:v>UMUM</x:v>
      </x:c>
      <x:c r="Q2159" s="18" t="n">
        <x:v>650</x:v>
      </x:c>
      <x:c r="R2159" s="18" t="n">
        <x:v>0</x:v>
      </x:c>
      <x:c r="S2159" s="18" t="n">
        <x:v>653.3088459152498</x:v>
      </x:c>
      <x:c r="T2159" s="18" t="n">
        <x:v>694</x:v>
      </x:c>
      <x:c r="U2159" s="18" t="n">
        <x:v>653.3088459152498</x:v>
      </x:c>
      <x:c r="V2159" s="20" t="n">
        <x:v>8.8</x:v>
      </x:c>
      <x:c r="W2159" s="20" t="n">
        <x:v>9.9</x:v>
      </x:c>
      <x:c r="X2159" s="20" t="n">
        <x:v>3.3</x:v>
      </x:c>
      <x:c r="Y2159" t="str">
        <x:v>Basis arsip 2025/2024</x:v>
      </x:c>
      <x:c r="Z2159" t="str">
        <x:v>https://snpmb.id/utbk-snbt/daya-tampung-snbt</x:v>
      </x:c>
      <x:c r="AA2159" t="str">
        <x:v>Tidak Ada</x:v>
      </x:c>
      <x:c r="AB2159" t="str">
        <x:v>Campus=90; Ratio=71.3; Prodi=40; RelDemand=63.5; Capacity=30.8</x:v>
      </x:c>
    </x:row>
    <x:row r="2160">
      <x:c r="A2160" t="n">
        <x:v>2157</x:v>
      </x:c>
      <x:c r="B2160" t="str">
        <x:v>PTN Akademik</x:v>
      </x:c>
      <x:c r="C2160" t="str">
        <x:v>UNIVERSITAS BRAWIJAYA</x:v>
      </x:c>
      <x:c r="D2160" t="str">
        <x:v>EKONOMI ISLAM</x:v>
      </x:c>
      <x:c r="E2160" t="str">
        <x:v>Sarjana</x:v>
      </x:c>
      <x:c r="F2160" s="18" t="n">
        <x:v>47</x:v>
      </x:c>
      <x:c r="G2160" s="18" t="n">
        <x:v>386</x:v>
      </x:c>
      <x:c r="H2160" s="19" t="n">
        <x:v>8.212765957446809</x:v>
      </x:c>
      <x:c r="I2160" s="18" t="n">
        <x:f>ROUND(MIN(Model_Config_v3!$B$6,MAX(Q2160,R2160,S2160*Model_Config_v3!$B$4+T2160*Model_Config_v3!$B$5)),0)</x:f>
        <x:v>665</x:v>
      </x:c>
      <x:c r="J2160" s="18" t="n">
        <x:f>MIN(Model_Config_v3!$B$6,I2160+Model_Config_v3!$B$7)</x:f>
        <x:v>685</x:v>
      </x:c>
      <x:c r="K2160" s="20" t="n">
        <x:v>62.2</x:v>
      </x:c>
      <x:c r="L2160" t="str">
        <x:v>KETAT</x:v>
      </x:c>
      <x:c r="M2160" t="str">
        <x:v>SEDANG+</x:v>
      </x:c>
      <x:c r="N2160" t="str">
        <x:v>ELITE-2</x:v>
      </x:c>
      <x:c r="O2160" t="str">
        <x:v>SOSHUM</x:v>
      </x:c>
      <x:c r="P2160" t="str">
        <x:v>UMUM</x:v>
      </x:c>
      <x:c r="Q2160" s="18" t="n">
        <x:v>650</x:v>
      </x:c>
      <x:c r="R2160" s="18" t="n">
        <x:v>0</x:v>
      </x:c>
      <x:c r="S2160" s="18" t="n">
        <x:v>620.5938391409641</x:v>
      </x:c>
      <x:c r="T2160" s="18" t="n">
        <x:v>684</x:v>
      </x:c>
      <x:c r="U2160" s="18" t="n">
        <x:v>650</x:v>
      </x:c>
      <x:c r="V2160" s="20" t="n">
        <x:v>4.4</x:v>
      </x:c>
      <x:c r="W2160" s="20" t="n">
        <x:v>14.3</x:v>
      </x:c>
      <x:c r="X2160" s="20" t="n">
        <x:v>3.3</x:v>
      </x:c>
      <x:c r="Y2160" t="str">
        <x:v>Basis arsip 2025/2024</x:v>
      </x:c>
      <x:c r="Z2160" t="str">
        <x:v>https://snpmb.id/utbk-snbt/daya-tampung-snbt</x:v>
      </x:c>
      <x:c r="AA2160" t="str">
        <x:v>Tidak Ada</x:v>
      </x:c>
      <x:c r="AB2160" t="str">
        <x:v>Campus=90; Ratio=53.8; Prodi=40; RelDemand=32.0; Capacity=60.8</x:v>
      </x:c>
    </x:row>
    <x:row r="2161">
      <x:c r="A2161" t="n">
        <x:v>2158</x:v>
      </x:c>
      <x:c r="B2161" t="str">
        <x:v>PTN Akademik</x:v>
      </x:c>
      <x:c r="C2161" t="str">
        <x:v>UNIVERSITAS BRAWIJAYA</x:v>
      </x:c>
      <x:c r="D2161" t="str">
        <x:v>EKONOMI, KEUANGAN DAN PERBANKAN</x:v>
      </x:c>
      <x:c r="E2161" t="str">
        <x:v>Sarjana</x:v>
      </x:c>
      <x:c r="F2161" s="18" t="n">
        <x:v>71</x:v>
      </x:c>
      <x:c r="G2161" s="18" t="n">
        <x:v>1169</x:v>
      </x:c>
      <x:c r="H2161" s="19" t="n">
        <x:v>16.464788732394368</x:v>
      </x:c>
      <x:c r="I2161" s="18" t="n">
        <x:f>ROUND(MIN(Model_Config_v3!$B$6,MAX(Q2161,R2161,S2161*Model_Config_v3!$B$4+T2161*Model_Config_v3!$B$5)),0)</x:f>
        <x:v>683</x:v>
      </x:c>
      <x:c r="J2161" s="18" t="n">
        <x:f>MIN(Model_Config_v3!$B$6,I2161+Model_Config_v3!$B$7)</x:f>
        <x:v>703</x:v>
      </x:c>
      <x:c r="K2161" s="20" t="n">
        <x:v>67.9</x:v>
      </x:c>
      <x:c r="L2161" t="str">
        <x:v>SANGAT KETAT</x:v>
      </x:c>
      <x:c r="M2161" t="str">
        <x:v>SEDANG+</x:v>
      </x:c>
      <x:c r="N2161" t="str">
        <x:v>ELITE-2</x:v>
      </x:c>
      <x:c r="O2161" t="str">
        <x:v>SOSHUM</x:v>
      </x:c>
      <x:c r="P2161" t="str">
        <x:v>UMUM</x:v>
      </x:c>
      <x:c r="Q2161" s="18" t="n">
        <x:v>650</x:v>
      </x:c>
      <x:c r="R2161" s="18" t="n">
        <x:v>0</x:v>
      </x:c>
      <x:c r="S2161" s="18" t="n">
        <x:v>653.8211778687041</x:v>
      </x:c>
      <x:c r="T2161" s="18" t="n">
        <x:v>696</x:v>
      </x:c>
      <x:c r="U2161" s="18" t="n">
        <x:v>653.8211778687041</x:v>
      </x:c>
      <x:c r="V2161" s="20" t="n">
        <x:v>4.4</x:v>
      </x:c>
      <x:c r="W2161" s="20" t="n">
        <x:v>14.3</x:v>
      </x:c>
      <x:c r="X2161" s="20" t="n">
        <x:v>3.3</x:v>
      </x:c>
      <x:c r="Y2161" t="str">
        <x:v>Basis arsip 2025/2024</x:v>
      </x:c>
      <x:c r="Z2161" t="str">
        <x:v>https://snpmb.id/utbk-snbt/daya-tampung-snbt</x:v>
      </x:c>
      <x:c r="AA2161" t="str">
        <x:v>Tidak Ada</x:v>
      </x:c>
      <x:c r="AB2161" t="str">
        <x:v>Campus=90; Ratio=71.6; Prodi=40; RelDemand=64.1; Capacity=40.8</x:v>
      </x:c>
    </x:row>
    <x:row r="2162">
      <x:c r="A2162" t="n">
        <x:v>2159</x:v>
      </x:c>
      <x:c r="B2162" t="str">
        <x:v>PTN Akademik</x:v>
      </x:c>
      <x:c r="C2162" t="str">
        <x:v>UNIVERSITAS BRAWIJAYA</x:v>
      </x:c>
      <x:c r="D2162" t="str">
        <x:v>ILMU PERPUSTAKAAN</x:v>
      </x:c>
      <x:c r="E2162" t="str">
        <x:v>Sarjana</x:v>
      </x:c>
      <x:c r="F2162" s="18" t="n">
        <x:v>33</x:v>
      </x:c>
      <x:c r="G2162" s="18" t="n">
        <x:v>273</x:v>
      </x:c>
      <x:c r="H2162" s="19" t="n">
        <x:v>8.272727272727273</x:v>
      </x:c>
      <x:c r="I2162" s="18" t="n">
        <x:f>ROUND(MIN(Model_Config_v3!$B$6,MAX(Q2162,R2162,S2162*Model_Config_v3!$B$4+T2162*Model_Config_v3!$B$5)),0)</x:f>
        <x:v>667</x:v>
      </x:c>
      <x:c r="J2162" s="18" t="n">
        <x:f>MIN(Model_Config_v3!$B$6,I2162+Model_Config_v3!$B$7)</x:f>
        <x:v>687</x:v>
      </x:c>
      <x:c r="K2162" s="20" t="n">
        <x:v>63.5</x:v>
      </x:c>
      <x:c r="L2162" t="str">
        <x:v>KETAT</x:v>
      </x:c>
      <x:c r="M2162" t="str">
        <x:v>SEDANG+</x:v>
      </x:c>
      <x:c r="N2162" t="str">
        <x:v>ELITE-2</x:v>
      </x:c>
      <x:c r="O2162" t="str">
        <x:v>CAMPURAN</x:v>
      </x:c>
      <x:c r="P2162" t="str">
        <x:v>UMUM</x:v>
      </x:c>
      <x:c r="Q2162" s="18" t="n">
        <x:v>650</x:v>
      </x:c>
      <x:c r="R2162" s="18" t="n">
        <x:v>0</x:v>
      </x:c>
      <x:c r="S2162" s="18" t="n">
        <x:v>620.9413577879155</x:v>
      </x:c>
      <x:c r="T2162" s="18" t="n">
        <x:v>687</x:v>
      </x:c>
      <x:c r="U2162" s="18" t="n">
        <x:v>650</x:v>
      </x:c>
      <x:c r="V2162" s="20" t="n">
        <x:v>8.8</x:v>
      </x:c>
      <x:c r="W2162" s="20" t="n">
        <x:v>9.9</x:v>
      </x:c>
      <x:c r="X2162" s="20" t="n">
        <x:v>3.3</x:v>
      </x:c>
      <x:c r="Y2162" t="str">
        <x:v>Basis arsip 2025/2024</x:v>
      </x:c>
      <x:c r="Z2162" t="str">
        <x:v>https://snpmb.id/utbk-snbt/daya-tampung-snbt</x:v>
      </x:c>
      <x:c r="AA2162" t="str">
        <x:v>Tidak Ada</x:v>
      </x:c>
      <x:c r="AB2162" t="str">
        <x:v>Campus=90; Ratio=54.0; Prodi=40; RelDemand=32.2; Capacity=72.5</x:v>
      </x:c>
    </x:row>
    <x:row r="2163">
      <x:c r="A2163" t="n">
        <x:v>2160</x:v>
      </x:c>
      <x:c r="B2163" t="str">
        <x:v>PTN Akademik</x:v>
      </x:c>
      <x:c r="C2163" t="str">
        <x:v>UNIVERSITAS BRAWIJAYA</x:v>
      </x:c>
      <x:c r="D2163" t="str">
        <x:v>PARIWISATA</x:v>
      </x:c>
      <x:c r="E2163" t="str">
        <x:v>Sarjana</x:v>
      </x:c>
      <x:c r="F2163" s="18" t="n">
        <x:v>50</x:v>
      </x:c>
      <x:c r="G2163" s="18" t="n">
        <x:v>973</x:v>
      </x:c>
      <x:c r="H2163" s="19" t="n">
        <x:v>19.46</x:v>
      </x:c>
      <x:c r="I2163" s="18" t="n">
        <x:f>ROUND(MIN(Model_Config_v3!$B$6,MAX(Q2163,R2163,S2163*Model_Config_v3!$B$4+T2163*Model_Config_v3!$B$5)),0)</x:f>
        <x:v>691</x:v>
      </x:c>
      <x:c r="J2163" s="18" t="n">
        <x:f>MIN(Model_Config_v3!$B$6,I2163+Model_Config_v3!$B$7)</x:f>
        <x:v>711</x:v>
      </x:c>
      <x:c r="K2163" s="20" t="n">
        <x:v>71.9</x:v>
      </x:c>
      <x:c r="L2163" t="str">
        <x:v>SANGAT KETAT</x:v>
      </x:c>
      <x:c r="M2163" t="str">
        <x:v>SEDANG+</x:v>
      </x:c>
      <x:c r="N2163" t="str">
        <x:v>ELITE-2</x:v>
      </x:c>
      <x:c r="O2163" t="str">
        <x:v>CAMPURAN</x:v>
      </x:c>
      <x:c r="P2163" t="str">
        <x:v>UMUM</x:v>
      </x:c>
      <x:c r="Q2163" s="18" t="n">
        <x:v>650</x:v>
      </x:c>
      <x:c r="R2163" s="18" t="n">
        <x:v>0</x:v>
      </x:c>
      <x:c r="S2163" s="18" t="n">
        <x:v>661.8057119525566</x:v>
      </x:c>
      <x:c r="T2163" s="18" t="n">
        <x:v>704</x:v>
      </x:c>
      <x:c r="U2163" s="18" t="n">
        <x:v>661.8057119525566</x:v>
      </x:c>
      <x:c r="V2163" s="20" t="n">
        <x:v>8.8</x:v>
      </x:c>
      <x:c r="W2163" s="20" t="n">
        <x:v>9.9</x:v>
      </x:c>
      <x:c r="X2163" s="20" t="n">
        <x:v>3.3</x:v>
      </x:c>
      <x:c r="Y2163" t="str">
        <x:v>Basis arsip 2025/2024</x:v>
      </x:c>
      <x:c r="Z2163" t="str">
        <x:v>https://snpmb.id/utbk-snbt/daya-tampung-snbt</x:v>
      </x:c>
      <x:c r="AA2163" t="str">
        <x:v>Tidak Ada</x:v>
      </x:c>
      <x:c r="AB2163" t="str">
        <x:v>Campus=90; Ratio=75.9; Prodi=40; RelDemand=75.8; Capacity=58.3</x:v>
      </x:c>
    </x:row>
    <x:row r="2164">
      <x:c r="A2164" t="n">
        <x:v>2161</x:v>
      </x:c>
      <x:c r="B2164" t="str">
        <x:v>PTN Akademik</x:v>
      </x:c>
      <x:c r="C2164" t="str">
        <x:v>UNIVERSITAS BRAWIJAYA</x:v>
      </x:c>
      <x:c r="D2164" t="str">
        <x:v>PENDIDIKAN BAHASA INGGRIS</x:v>
      </x:c>
      <x:c r="E2164" t="str">
        <x:v>Sarjana</x:v>
      </x:c>
      <x:c r="F2164" s="18" t="n">
        <x:v>63</x:v>
      </x:c>
      <x:c r="G2164" s="18" t="n">
        <x:v>325</x:v>
      </x:c>
      <x:c r="H2164" s="19" t="n">
        <x:v>5.158730158730159</x:v>
      </x:c>
      <x:c r="I2164" s="18" t="n">
        <x:f>ROUND(MIN(Model_Config_v3!$B$6,MAX(Q2164,R2164,S2164*Model_Config_v3!$B$4+T2164*Model_Config_v3!$B$5)),0)</x:f>
        <x:v>652</x:v>
      </x:c>
      <x:c r="J2164" s="18" t="n">
        <x:f>MIN(Model_Config_v3!$B$6,I2164+Model_Config_v3!$B$7)</x:f>
        <x:v>672</x:v>
      </x:c>
      <x:c r="K2164" s="20" t="n">
        <x:v>57.7</x:v>
      </x:c>
      <x:c r="L2164" t="str">
        <x:v>KETAT</x:v>
      </x:c>
      <x:c r="M2164" t="str">
        <x:v>SEDANG+</x:v>
      </x:c>
      <x:c r="N2164" t="str">
        <x:v>ELITE-2</x:v>
      </x:c>
      <x:c r="O2164" t="str">
        <x:v>SOSHUM</x:v>
      </x:c>
      <x:c r="P2164" t="str">
        <x:v>PENDIDIKAN</x:v>
      </x:c>
      <x:c r="Q2164" s="18" t="n">
        <x:v>650</x:v>
      </x:c>
      <x:c r="R2164" s="18" t="n">
        <x:v>0</x:v>
      </x:c>
      <x:c r="S2164" s="18" t="n">
        <x:v>598.3797092677822</x:v>
      </x:c>
      <x:c r="T2164" s="18" t="n">
        <x:v>675</x:v>
      </x:c>
      <x:c r="U2164" s="18" t="n">
        <x:v>650</x:v>
      </x:c>
      <x:c r="V2164" s="20" t="n">
        <x:v>4.4</x:v>
      </x:c>
      <x:c r="W2164" s="20" t="n">
        <x:v>14.3</x:v>
      </x:c>
      <x:c r="X2164" s="20" t="n">
        <x:v>3.3</x:v>
      </x:c>
      <x:c r="Y2164" t="str">
        <x:v>Basis arsip 2025/2024</x:v>
      </x:c>
      <x:c r="Z2164" t="str">
        <x:v>https://snpmb.id/utbk-snbt/daya-tampung-snbt</x:v>
      </x:c>
      <x:c r="AA2164" t="str">
        <x:v>Tidak Ada</x:v>
      </x:c>
      <x:c r="AB2164" t="str">
        <x:v>Campus=90; Ratio=41.9; Prodi=45; RelDemand=20.1; Capacity=47.5</x:v>
      </x:c>
    </x:row>
    <x:row r="2165">
      <x:c r="A2165" t="n">
        <x:v>2162</x:v>
      </x:c>
      <x:c r="B2165" t="str">
        <x:v>PTN Akademik</x:v>
      </x:c>
      <x:c r="C2165" t="str">
        <x:v>UNIVERSITAS BRAWIJAYA</x:v>
      </x:c>
      <x:c r="D2165" t="str">
        <x:v>PENDIDIKAN BAHASA JEPANG</x:v>
      </x:c>
      <x:c r="E2165" t="str">
        <x:v>Sarjana</x:v>
      </x:c>
      <x:c r="F2165" s="18" t="n">
        <x:v>27</x:v>
      </x:c>
      <x:c r="G2165" s="18" t="n">
        <x:v>192</x:v>
      </x:c>
      <x:c r="H2165" s="19" t="n">
        <x:v>7.111111111111111</x:v>
      </x:c>
      <x:c r="I2165" s="18" t="n">
        <x:f>ROUND(MIN(Model_Config_v3!$B$6,MAX(Q2165,R2165,S2165*Model_Config_v3!$B$4+T2165*Model_Config_v3!$B$5)),0)</x:f>
        <x:v>665</x:v>
      </x:c>
      <x:c r="J2165" s="18" t="n">
        <x:f>MIN(Model_Config_v3!$B$6,I2165+Model_Config_v3!$B$7)</x:f>
        <x:v>685</x:v>
      </x:c>
      <x:c r="K2165" s="20" t="n">
        <x:v>63.6</x:v>
      </x:c>
      <x:c r="L2165" t="str">
        <x:v>KETAT</x:v>
      </x:c>
      <x:c r="M2165" t="str">
        <x:v>SEDANG+</x:v>
      </x:c>
      <x:c r="N2165" t="str">
        <x:v>ELITE-2</x:v>
      </x:c>
      <x:c r="O2165" t="str">
        <x:v>SOSHUM</x:v>
      </x:c>
      <x:c r="P2165" t="str">
        <x:v>PENDIDIKAN</x:v>
      </x:c>
      <x:c r="Q2165" s="18" t="n">
        <x:v>650</x:v>
      </x:c>
      <x:c r="R2165" s="18" t="n">
        <x:v>0</x:v>
      </x:c>
      <x:c r="S2165" s="18" t="n">
        <x:v>613.7131210999019</x:v>
      </x:c>
      <x:c r="T2165" s="18" t="n">
        <x:v>687</x:v>
      </x:c>
      <x:c r="U2165" s="18" t="n">
        <x:v>650</x:v>
      </x:c>
      <x:c r="V2165" s="20" t="n">
        <x:v>4.4</x:v>
      </x:c>
      <x:c r="W2165" s="20" t="n">
        <x:v>14.3</x:v>
      </x:c>
      <x:c r="X2165" s="20" t="n">
        <x:v>3.3</x:v>
      </x:c>
      <x:c r="Y2165" t="str">
        <x:v>Basis arsip 2025/2024</x:v>
      </x:c>
      <x:c r="Z2165" t="str">
        <x:v>https://snpmb.id/utbk-snbt/daya-tampung-snbt</x:v>
      </x:c>
      <x:c r="AA2165" t="str">
        <x:v>Tidak Ada</x:v>
      </x:c>
      <x:c r="AB2165" t="str">
        <x:v>Campus=90; Ratio=50.1; Prodi=45; RelDemand=27.7; Capacity=77.5</x:v>
      </x:c>
    </x:row>
    <x:row r="2166">
      <x:c r="A2166" t="n">
        <x:v>2163</x:v>
      </x:c>
      <x:c r="B2166" t="str">
        <x:v>PTN Akademik</x:v>
      </x:c>
      <x:c r="C2166" t="str">
        <x:v>UNIVERSITAS BRAWIJAYA</x:v>
      </x:c>
      <x:c r="D2166" t="str">
        <x:v>PENDIDIKAN BHS &amp; SASTRA INDONESIA</x:v>
      </x:c>
      <x:c r="E2166" t="str">
        <x:v>Sarjana</x:v>
      </x:c>
      <x:c r="F2166" s="18" t="n">
        <x:v>38</x:v>
      </x:c>
      <x:c r="G2166" s="18" t="n">
        <x:v>293</x:v>
      </x:c>
      <x:c r="H2166" s="19" t="n">
        <x:v>7.7105263157894735</x:v>
      </x:c>
      <x:c r="I2166" s="18" t="n">
        <x:f>ROUND(MIN(Model_Config_v3!$B$6,MAX(Q2166,R2166,S2166*Model_Config_v3!$B$4+T2166*Model_Config_v3!$B$5)),0)</x:f>
        <x:v>666</x:v>
      </x:c>
      <x:c r="J2166" s="18" t="n">
        <x:f>MIN(Model_Config_v3!$B$6,I2166+Model_Config_v3!$B$7)</x:f>
        <x:v>686</x:v>
      </x:c>
      <x:c r="K2166" s="20" t="n">
        <x:v>63.4</x:v>
      </x:c>
      <x:c r="L2166" t="str">
        <x:v>KETAT</x:v>
      </x:c>
      <x:c r="M2166" t="str">
        <x:v>SEDANG+</x:v>
      </x:c>
      <x:c r="N2166" t="str">
        <x:v>ELITE-2</x:v>
      </x:c>
      <x:c r="O2166" t="str">
        <x:v>SOSHUM</x:v>
      </x:c>
      <x:c r="P2166" t="str">
        <x:v>PENDIDIKAN</x:v>
      </x:c>
      <x:c r="Q2166" s="18" t="n">
        <x:v>650</x:v>
      </x:c>
      <x:c r="R2166" s="18" t="n">
        <x:v>0</x:v>
      </x:c>
      <x:c r="S2166" s="18" t="n">
        <x:v>617.5792426111029</x:v>
      </x:c>
      <x:c r="T2166" s="18" t="n">
        <x:v>687</x:v>
      </x:c>
      <x:c r="U2166" s="18" t="n">
        <x:v>650</x:v>
      </x:c>
      <x:c r="V2166" s="20" t="n">
        <x:v>4.4</x:v>
      </x:c>
      <x:c r="W2166" s="20" t="n">
        <x:v>14.3</x:v>
      </x:c>
      <x:c r="X2166" s="20" t="n">
        <x:v>3.3</x:v>
      </x:c>
      <x:c r="Y2166" t="str">
        <x:v>Basis arsip 2025/2024</x:v>
      </x:c>
      <x:c r="Z2166" t="str">
        <x:v>https://snpmb.id/utbk-snbt/daya-tampung-snbt</x:v>
      </x:c>
      <x:c r="AA2166" t="str">
        <x:v>Tidak Ada</x:v>
      </x:c>
      <x:c r="AB2166" t="str">
        <x:v>Campus=90; Ratio=52.2; Prodi=45; RelDemand=30.0; Capacity=68.3</x:v>
      </x:c>
    </x:row>
    <x:row r="2167">
      <x:c r="A2167" t="n">
        <x:v>2164</x:v>
      </x:c>
      <x:c r="B2167" t="str">
        <x:v>PTN Akademik</x:v>
      </x:c>
      <x:c r="C2167" t="str">
        <x:v>UNIVERSITAS BRAWIJAYA</x:v>
      </x:c>
      <x:c r="D2167" t="str">
        <x:v>ADMINISTRASI PENDIDIKAN</x:v>
      </x:c>
      <x:c r="E2167" t="str">
        <x:v>Sarjana</x:v>
      </x:c>
      <x:c r="F2167" s="18" t="n">
        <x:v>33</x:v>
      </x:c>
      <x:c r="G2167" s="18" t="n">
        <x:v>345</x:v>
      </x:c>
      <x:c r="H2167" s="19" t="n">
        <x:v>10.454545454545455</x:v>
      </x:c>
      <x:c r="I2167" s="18" t="n">
        <x:f>ROUND(MIN(Model_Config_v3!$B$6,MAX(Q2167,R2167,S2167*Model_Config_v3!$B$4+T2167*Model_Config_v3!$B$5)),0)</x:f>
        <x:v>674</x:v>
      </x:c>
      <x:c r="J2167" s="18" t="n">
        <x:f>MIN(Model_Config_v3!$B$6,I2167+Model_Config_v3!$B$7)</x:f>
        <x:v>694</x:v>
      </x:c>
      <x:c r="K2167" s="20" t="n">
        <x:v>65.8</x:v>
      </x:c>
      <x:c r="L2167" t="str">
        <x:v>SANGAT KETAT</x:v>
      </x:c>
      <x:c r="M2167" t="str">
        <x:v>SEDANG+</x:v>
      </x:c>
      <x:c r="N2167" t="str">
        <x:v>ELITE-2</x:v>
      </x:c>
      <x:c r="O2167" t="str">
        <x:v>SOSHUM</x:v>
      </x:c>
      <x:c r="P2167" t="str">
        <x:v>UMUM</x:v>
      </x:c>
      <x:c r="Q2167" s="18" t="n">
        <x:v>650</x:v>
      </x:c>
      <x:c r="R2167" s="18" t="n">
        <x:v>0</x:v>
      </x:c>
      <x:c r="S2167" s="18" t="n">
        <x:v>632.1235670714925</x:v>
      </x:c>
      <x:c r="T2167" s="18" t="n">
        <x:v>692</x:v>
      </x:c>
      <x:c r="U2167" s="18" t="n">
        <x:v>650</x:v>
      </x:c>
      <x:c r="V2167" s="20" t="n">
        <x:v>4.4</x:v>
      </x:c>
      <x:c r="W2167" s="20" t="n">
        <x:v>14.3</x:v>
      </x:c>
      <x:c r="X2167" s="20" t="n">
        <x:v>3.3</x:v>
      </x:c>
      <x:c r="Y2167" t="str">
        <x:v>Basis arsip 2025/2024</x:v>
      </x:c>
      <x:c r="Z2167" t="str">
        <x:v>https://snpmb.id/utbk-snbt/daya-tampung-snbt</x:v>
      </x:c>
      <x:c r="AA2167" t="str">
        <x:v>Tidak Ada</x:v>
      </x:c>
      <x:c r="AB2167" t="str">
        <x:v>Campus=90; Ratio=60.0; Prodi=40; RelDemand=40.7; Capacity=72.5</x:v>
      </x:c>
    </x:row>
    <x:row r="2168">
      <x:c r="A2168" t="n">
        <x:v>2165</x:v>
      </x:c>
      <x:c r="B2168" t="str">
        <x:v>PTN Akademik</x:v>
      </x:c>
      <x:c r="C2168" t="str">
        <x:v>UNIVERSITAS BRAWIJAYA</x:v>
      </x:c>
      <x:c r="D2168" t="str">
        <x:v>SENI RUPA MURNI</x:v>
      </x:c>
      <x:c r="E2168" t="str">
        <x:v>Sarjana</x:v>
      </x:c>
      <x:c r="F2168" s="18" t="n">
        <x:v>23</x:v>
      </x:c>
      <x:c r="G2168" s="18" t="n">
        <x:v>72</x:v>
      </x:c>
      <x:c r="H2168" s="19" t="n">
        <x:v>3.130434782608696</x:v>
      </x:c>
      <x:c r="I2168" s="18" t="n">
        <x:f>ROUND(MIN(Model_Config_v3!$B$6,MAX(Q2168,R2168,S2168*Model_Config_v3!$B$4+T2168*Model_Config_v3!$B$5)),0)</x:f>
        <x:v>650</x:v>
      </x:c>
      <x:c r="J2168" s="18" t="n">
        <x:f>MIN(Model_Config_v3!$B$6,I2168+Model_Config_v3!$B$7)</x:f>
        <x:v>670</x:v>
      </x:c>
      <x:c r="K2168" s="20" t="n">
        <x:v>57.1</x:v>
      </x:c>
      <x:c r="L2168" t="str">
        <x:v>KETAT</x:v>
      </x:c>
      <x:c r="M2168" t="str">
        <x:v>PORTOFOLIO</x:v>
      </x:c>
      <x:c r="N2168" t="str">
        <x:v>ELITE-2</x:v>
      </x:c>
      <x:c r="O2168" t="str">
        <x:v>SENI/OLAHRAGA</x:v>
      </x:c>
      <x:c r="P2168" t="str">
        <x:v>SENI/OLAHRAGA</x:v>
      </x:c>
      <x:c r="Q2168" s="18" t="n">
        <x:v>650</x:v>
      </x:c>
      <x:c r="R2168" s="18" t="n">
        <x:v>0</x:v>
      </x:c>
      <x:c r="S2168" s="18" t="n">
        <x:v>574.5165126455043</x:v>
      </x:c>
      <x:c r="T2168" s="18" t="n">
        <x:v>674</x:v>
      </x:c>
      <x:c r="U2168" s="18" t="n">
        <x:v>650</x:v>
      </x:c>
      <x:c r="V2168" s="20" t="n">
        <x:v>4.4</x:v>
      </x:c>
      <x:c r="W2168" s="20" t="n">
        <x:v>9.9</x:v>
      </x:c>
      <x:c r="X2168" s="20" t="n">
        <x:v>7.7</x:v>
      </x:c>
      <x:c r="Y2168" t="str">
        <x:v>Basis arsip 2025/2024</x:v>
      </x:c>
      <x:c r="Z2168" t="str">
        <x:v>https://snpmb.id/utbk-snbt/daya-tampung-snbt</x:v>
      </x:c>
      <x:c r="AA2168" t="str">
        <x:v>Seni Rupa, Desain, dan Kriya</x:v>
      </x:c>
      <x:c r="AB2168" t="str">
        <x:v>Campus=90; Ratio=29.2; Prodi=45; RelDemand=12.2; Capacity=80.8</x:v>
      </x:c>
    </x:row>
    <x:row r="2169">
      <x:c r="A2169" t="n">
        <x:v>2166</x:v>
      </x:c>
      <x:c r="B2169" t="str">
        <x:v>PTN Akademik</x:v>
      </x:c>
      <x:c r="C2169" t="str">
        <x:v>UNIVERSITAS BRAWIJAYA</x:v>
      </x:c>
      <x:c r="D2169" t="str">
        <x:v>SASTRA CINA</x:v>
      </x:c>
      <x:c r="E2169" t="str">
        <x:v>Sarjana</x:v>
      </x:c>
      <x:c r="F2169" s="18" t="n">
        <x:v>33</x:v>
      </x:c>
      <x:c r="G2169" s="18" t="n">
        <x:v>252</x:v>
      </x:c>
      <x:c r="H2169" s="19" t="n">
        <x:v>7.636363636363637</x:v>
      </x:c>
      <x:c r="I2169" s="18" t="n">
        <x:f>ROUND(MIN(Model_Config_v3!$B$6,MAX(Q2169,R2169,S2169*Model_Config_v3!$B$4+T2169*Model_Config_v3!$B$5)),0)</x:f>
        <x:v>665</x:v>
      </x:c>
      <x:c r="J2169" s="18" t="n">
        <x:f>MIN(Model_Config_v3!$B$6,I2169+Model_Config_v3!$B$7)</x:f>
        <x:v>685</x:v>
      </x:c>
      <x:c r="K2169" s="20" t="n">
        <x:v>62.7</x:v>
      </x:c>
      <x:c r="L2169" t="str">
        <x:v>KETAT</x:v>
      </x:c>
      <x:c r="M2169" t="str">
        <x:v>SEDANG+</x:v>
      </x:c>
      <x:c r="N2169" t="str">
        <x:v>ELITE-2</x:v>
      </x:c>
      <x:c r="O2169" t="str">
        <x:v>SOSHUM</x:v>
      </x:c>
      <x:c r="P2169" t="str">
        <x:v>UMUM</x:v>
      </x:c>
      <x:c r="Q2169" s="18" t="n">
        <x:v>650</x:v>
      </x:c>
      <x:c r="R2169" s="18" t="n">
        <x:v>0</x:v>
      </x:c>
      <x:c r="S2169" s="18" t="n">
        <x:v>617.1175260994022</x:v>
      </x:c>
      <x:c r="T2169" s="18" t="n">
        <x:v>685</x:v>
      </x:c>
      <x:c r="U2169" s="18" t="n">
        <x:v>650</x:v>
      </x:c>
      <x:c r="V2169" s="20" t="n">
        <x:v>4.4</x:v>
      </x:c>
      <x:c r="W2169" s="20" t="n">
        <x:v>14.3</x:v>
      </x:c>
      <x:c r="X2169" s="20" t="n">
        <x:v>3.3</x:v>
      </x:c>
      <x:c r="Y2169" t="str">
        <x:v>Basis arsip 2025/2024</x:v>
      </x:c>
      <x:c r="Z2169" t="str">
        <x:v>https://snpmb.id/utbk-snbt/daya-tampung-snbt</x:v>
      </x:c>
      <x:c r="AA2169" t="str">
        <x:v>Tidak Ada</x:v>
      </x:c>
      <x:c r="AB2169" t="str">
        <x:v>Campus=90; Ratio=52.0; Prodi=40; RelDemand=29.8; Capacity=72.5</x:v>
      </x:c>
    </x:row>
    <x:row r="2170">
      <x:c r="A2170" t="n">
        <x:v>2167</x:v>
      </x:c>
      <x:c r="B2170" t="str">
        <x:v>PTN Akademik</x:v>
      </x:c>
      <x:c r="C2170" t="str">
        <x:v>UNIVERSITAS BRAWIJAYA</x:v>
      </x:c>
      <x:c r="D2170" t="str">
        <x:v>ANTROPOLOGI</x:v>
      </x:c>
      <x:c r="E2170" t="str">
        <x:v>Sarjana</x:v>
      </x:c>
      <x:c r="F2170" s="18" t="n">
        <x:v>30</x:v>
      </x:c>
      <x:c r="G2170" s="18" t="n">
        <x:v>373</x:v>
      </x:c>
      <x:c r="H2170" s="19" t="n">
        <x:v>12.433333333333334</x:v>
      </x:c>
      <x:c r="I2170" s="18" t="n">
        <x:f>ROUND(MIN(Model_Config_v3!$B$6,MAX(Q2170,R2170,S2170*Model_Config_v3!$B$4+T2170*Model_Config_v3!$B$5)),0)</x:f>
        <x:v>679</x:v>
      </x:c>
      <x:c r="J2170" s="18" t="n">
        <x:f>MIN(Model_Config_v3!$B$6,I2170+Model_Config_v3!$B$7)</x:f>
        <x:v>699</x:v>
      </x:c>
      <x:c r="K2170" s="20" t="n">
        <x:v>68</x:v>
      </x:c>
      <x:c r="L2170" t="str">
        <x:v>SANGAT KETAT</x:v>
      </x:c>
      <x:c r="M2170" t="str">
        <x:v>SEDANG+</x:v>
      </x:c>
      <x:c r="N2170" t="str">
        <x:v>ELITE-2</x:v>
      </x:c>
      <x:c r="O2170" t="str">
        <x:v>SOSHUM</x:v>
      </x:c>
      <x:c r="P2170" t="str">
        <x:v>UMUM</x:v>
      </x:c>
      <x:c r="Q2170" s="18" t="n">
        <x:v>650</x:v>
      </x:c>
      <x:c r="R2170" s="18" t="n">
        <x:v>0</x:v>
      </x:c>
      <x:c r="S2170" s="18" t="n">
        <x:v>640.4046334797928</x:v>
      </x:c>
      <x:c r="T2170" s="18" t="n">
        <x:v>696</x:v>
      </x:c>
      <x:c r="U2170" s="18" t="n">
        <x:v>650</x:v>
      </x:c>
      <x:c r="V2170" s="20" t="n">
        <x:v>4.4</x:v>
      </x:c>
      <x:c r="W2170" s="20" t="n">
        <x:v>14.3</x:v>
      </x:c>
      <x:c r="X2170" s="20" t="n">
        <x:v>3.3</x:v>
      </x:c>
      <x:c r="Y2170" t="str">
        <x:v>Basis arsip 2025/2024</x:v>
      </x:c>
      <x:c r="Z2170" t="str">
        <x:v>https://snpmb.id/utbk-snbt/daya-tampung-snbt</x:v>
      </x:c>
      <x:c r="AA2170" t="str">
        <x:v>Tidak Ada</x:v>
      </x:c>
      <x:c r="AB2170" t="str">
        <x:v>Campus=90; Ratio=64.4; Prodi=40; RelDemand=48.4; Capacity=75.0</x:v>
      </x:c>
    </x:row>
    <x:row r="2171">
      <x:c r="A2171" t="n">
        <x:v>2168</x:v>
      </x:c>
      <x:c r="B2171" t="str">
        <x:v>PTN Akademik</x:v>
      </x:c>
      <x:c r="C2171" t="str">
        <x:v>UNIVERSITAS BRAWIJAYA</x:v>
      </x:c>
      <x:c r="D2171" t="str">
        <x:v>KEWIRAUSAHAAN</x:v>
      </x:c>
      <x:c r="E2171" t="str">
        <x:v>Sarjana</x:v>
      </x:c>
      <x:c r="F2171" s="18" t="n">
        <x:v>32</x:v>
      </x:c>
      <x:c r="G2171" s="18" t="n">
        <x:v>740</x:v>
      </x:c>
      <x:c r="H2171" s="19" t="n">
        <x:v>23.125</x:v>
      </x:c>
      <x:c r="I2171" s="18" t="n">
        <x:f>ROUND(MIN(Model_Config_v3!$B$6,MAX(Q2171,R2171,S2171*Model_Config_v3!$B$4+T2171*Model_Config_v3!$B$5)),0)</x:f>
        <x:v>699</x:v>
      </x:c>
      <x:c r="J2171" s="18" t="n">
        <x:f>MIN(Model_Config_v3!$B$6,I2171+Model_Config_v3!$B$7)</x:f>
        <x:v>719</x:v>
      </x:c>
      <x:c r="K2171" s="20" t="n">
        <x:v>75.9</x:v>
      </x:c>
      <x:c r="L2171" t="str">
        <x:v>ELITE</x:v>
      </x:c>
      <x:c r="M2171" t="str">
        <x:v>SEDANG+</x:v>
      </x:c>
      <x:c r="N2171" t="str">
        <x:v>ELITE-2</x:v>
      </x:c>
      <x:c r="O2171" t="str">
        <x:v>CAMPURAN</x:v>
      </x:c>
      <x:c r="P2171" t="str">
        <x:v>UMUM</x:v>
      </x:c>
      <x:c r="Q2171" s="18" t="n">
        <x:v>650</x:v>
      </x:c>
      <x:c r="R2171" s="18" t="n">
        <x:v>0</x:v>
      </x:c>
      <x:c r="S2171" s="18" t="n">
        <x:v>670.0489915552178</x:v>
      </x:c>
      <x:c r="T2171" s="18" t="n">
        <x:v>712</x:v>
      </x:c>
      <x:c r="U2171" s="18" t="n">
        <x:v>670.0489915552178</x:v>
      </x:c>
      <x:c r="V2171" s="20" t="n">
        <x:v>8.8</x:v>
      </x:c>
      <x:c r="W2171" s="20" t="n">
        <x:v>9.9</x:v>
      </x:c>
      <x:c r="X2171" s="20" t="n">
        <x:v>3.3</x:v>
      </x:c>
      <x:c r="Y2171" t="str">
        <x:v>Basis arsip 2025/2024</x:v>
      </x:c>
      <x:c r="Z2171" t="str">
        <x:v>https://snpmb.id/utbk-snbt/daya-tampung-snbt</x:v>
      </x:c>
      <x:c r="AA2171" t="str">
        <x:v>Tidak Ada</x:v>
      </x:c>
      <x:c r="AB2171" t="str">
        <x:v>Campus=90; Ratio=80.3; Prodi=40; RelDemand=90.1; Capacity=73.3</x:v>
      </x:c>
    </x:row>
    <x:row r="2172">
      <x:c r="A2172" t="n">
        <x:v>2169</x:v>
      </x:c>
      <x:c r="B2172" t="str">
        <x:v>PTN Akademik</x:v>
      </x:c>
      <x:c r="C2172" t="str">
        <x:v>UNIVERSITAS BRAWIJAYA</x:v>
      </x:c>
      <x:c r="D2172" t="str">
        <x:v>SAINS DATA</x:v>
      </x:c>
      <x:c r="E2172" t="str">
        <x:v>Sarjana</x:v>
      </x:c>
      <x:c r="F2172" s="18" t="n">
        <x:v>21</x:v>
      </x:c>
      <x:c r="G2172" s="18" t="n">
        <x:v>341</x:v>
      </x:c>
      <x:c r="H2172" s="19" t="n">
        <x:v>16.238095238095237</x:v>
      </x:c>
      <x:c r="I2172" s="18" t="n">
        <x:f>ROUND(MIN(Model_Config_v3!$B$6,MAX(Q2172,R2172,S2172*Model_Config_v3!$B$4+T2172*Model_Config_v3!$B$5)),0)</x:f>
        <x:v>689</x:v>
      </x:c>
      <x:c r="J2172" s="18" t="n">
        <x:f>MIN(Model_Config_v3!$B$6,I2172+Model_Config_v3!$B$7)</x:f>
        <x:v>709</x:v>
      </x:c>
      <x:c r="K2172" s="20" t="n">
        <x:v>71.9</x:v>
      </x:c>
      <x:c r="L2172" t="str">
        <x:v>SANGAT KETAT</x:v>
      </x:c>
      <x:c r="M2172" t="str">
        <x:v>SEDANG+</x:v>
      </x:c>
      <x:c r="N2172" t="str">
        <x:v>ELITE-2</x:v>
      </x:c>
      <x:c r="O2172" t="str">
        <x:v>CAMPURAN</x:v>
      </x:c>
      <x:c r="P2172" t="str">
        <x:v>UMUM</x:v>
      </x:c>
      <x:c r="Q2172" s="18" t="n">
        <x:v>650</x:v>
      </x:c>
      <x:c r="R2172" s="18" t="n">
        <x:v>0</x:v>
      </x:c>
      <x:c r="S2172" s="18" t="n">
        <x:v>653.1588592684436</x:v>
      </x:c>
      <x:c r="T2172" s="18" t="n">
        <x:v>704</x:v>
      </x:c>
      <x:c r="U2172" s="18" t="n">
        <x:v>653.1588592684436</x:v>
      </x:c>
      <x:c r="V2172" s="20" t="n">
        <x:v>8.8</x:v>
      </x:c>
      <x:c r="W2172" s="20" t="n">
        <x:v>9.9</x:v>
      </x:c>
      <x:c r="X2172" s="20" t="n">
        <x:v>3.3</x:v>
      </x:c>
      <x:c r="Y2172" t="str">
        <x:v>Basis arsip 2025/2024</x:v>
      </x:c>
      <x:c r="Z2172" t="str">
        <x:v>https://snpmb.id/utbk-snbt/daya-tampung-snbt</x:v>
      </x:c>
      <x:c r="AA2172" t="str">
        <x:v>Tidak Ada</x:v>
      </x:c>
      <x:c r="AB2172" t="str">
        <x:v>Campus=90; Ratio=71.3; Prodi=40; RelDemand=63.3; Capacity=82.5</x:v>
      </x:c>
    </x:row>
    <x:row r="2173">
      <x:c r="A2173" t="n">
        <x:v>2170</x:v>
      </x:c>
      <x:c r="B2173" t="str">
        <x:v>PTN Akademik</x:v>
      </x:c>
      <x:c r="C2173" t="str">
        <x:v>UNIVERSITAS BRAWIJAYA</x:v>
      </x:c>
      <x:c r="D2173" t="str">
        <x:v>BIOINFORMATIKA</x:v>
      </x:c>
      <x:c r="E2173" t="str">
        <x:v>Sarjana</x:v>
      </x:c>
      <x:c r="F2173" s="18" t="n">
        <x:v>42</x:v>
      </x:c>
      <x:c r="G2173" s="18"/>
      <x:c r="H2173" s="19" t="n">
        <x:v>0</x:v>
      </x:c>
      <x:c r="I2173" s="18" t="n">
        <x:f>ROUND(MIN(Model_Config_v3!$B$6,MAX(Q2173,R2173,S2173*Model_Config_v3!$B$4+T2173*Model_Config_v3!$B$5)),0)</x:f>
        <x:v>695</x:v>
      </x:c>
      <x:c r="J2173" s="18" t="n">
        <x:f>MIN(Model_Config_v3!$B$6,I2173+Model_Config_v3!$B$7)</x:f>
        <x:v>715</x:v>
      </x:c>
      <x:c r="K2173" s="20" t="n">
        <x:v>55</x:v>
      </x:c>
      <x:c r="L2173" t="str">
        <x:v>KETAT</x:v>
      </x:c>
      <x:c r="M2173" t="str">
        <x:v>RENDAH</x:v>
      </x:c>
      <x:c r="N2173" t="str">
        <x:v>ELITE-2</x:v>
      </x:c>
      <x:c r="O2173" t="str">
        <x:v>SAINTEK</x:v>
      </x:c>
      <x:c r="P2173" t="str">
        <x:v>KOMPUTER/INFORMATIKA</x:v>
      </x:c>
      <x:c r="Q2173" s="18" t="n">
        <x:v>650</x:v>
      </x:c>
      <x:c r="R2173" s="18" t="n">
        <x:v>695</x:v>
      </x:c>
      <x:c r="S2173" s="18" t="n">
        <x:v>520</x:v>
      </x:c>
      <x:c r="T2173" s="18" t="n">
        <x:v>670</x:v>
      </x:c>
      <x:c r="U2173" s="18" t="n">
        <x:v>695</x:v>
      </x:c>
      <x:c r="V2173" s="20" t="n">
        <x:v>12</x:v>
      </x:c>
      <x:c r="W2173" s="20" t="n">
        <x:v>5</x:v>
      </x:c>
      <x:c r="X2173" s="20" t="n">
        <x:v>3</x:v>
      </x:c>
      <x:c r="Y2173" t="str">
        <x:v>Basis arsip 2025/2024</x:v>
      </x:c>
      <x:c r="Z2173" t="str">
        <x:v>https://snpmb.id/utbk-snbt/daya-tampung-snbt</x:v>
      </x:c>
      <x:c r="AA2173" t="str">
        <x:v>Tidak Ada</x:v>
      </x:c>
      <x:c r="AB2173" t="str">
        <x:v>Campus=90; Ratio=0.0; Prodi=85; RelDemand=0.0; Capacity=65.0</x:v>
      </x:c>
    </x:row>
    <x:row r="2174">
      <x:c r="A2174" t="n">
        <x:v>2171</x:v>
      </x:c>
      <x:c r="B2174" t="str">
        <x:v>PTN Akademik</x:v>
      </x:c>
      <x:c r="C2174" t="str">
        <x:v>UNIVERSITAS BRAWIJAYA</x:v>
      </x:c>
      <x:c r="D2174" t="str">
        <x:v>INDUSTRI PETERNAKAN CERDAS</x:v>
      </x:c>
      <x:c r="E2174" t="str">
        <x:v>Sarjana</x:v>
      </x:c>
      <x:c r="F2174" s="18" t="n">
        <x:v>50</x:v>
      </x:c>
      <x:c r="G2174" s="18"/>
      <x:c r="H2174" s="19" t="n">
        <x:v>0</x:v>
      </x:c>
      <x:c r="I2174" s="18" t="n">
        <x:f>ROUND(MIN(Model_Config_v3!$B$6,MAX(Q2174,R2174,S2174*Model_Config_v3!$B$4+T2174*Model_Config_v3!$B$5)),0)</x:f>
        <x:v>650</x:v>
      </x:c>
      <x:c r="J2174" s="18" t="n">
        <x:f>MIN(Model_Config_v3!$B$6,I2174+Model_Config_v3!$B$7)</x:f>
        <x:v>670</x:v>
      </x:c>
      <x:c r="K2174" s="20" t="n">
        <x:v>45.3</x:v>
      </x:c>
      <x:c r="L2174" t="str">
        <x:v>MENENGAH</x:v>
      </x:c>
      <x:c r="M2174" t="str">
        <x:v>RENDAH</x:v>
      </x:c>
      <x:c r="N2174" t="str">
        <x:v>ELITE-2</x:v>
      </x:c>
      <x:c r="O2174" t="str">
        <x:v>SAINTEK</x:v>
      </x:c>
      <x:c r="P2174" t="str">
        <x:v>UMUM</x:v>
      </x:c>
      <x:c r="Q2174" s="18" t="n">
        <x:v>650</x:v>
      </x:c>
      <x:c r="R2174" s="18" t="n">
        <x:v>0</x:v>
      </x:c>
      <x:c r="S2174" s="18" t="n">
        <x:v>520</x:v>
      </x:c>
      <x:c r="T2174" s="18" t="n">
        <x:v>651</x:v>
      </x:c>
      <x:c r="U2174" s="18" t="n">
        <x:v>650</x:v>
      </x:c>
      <x:c r="V2174" s="20" t="n">
        <x:v>12</x:v>
      </x:c>
      <x:c r="W2174" s="20" t="n">
        <x:v>5</x:v>
      </x:c>
      <x:c r="X2174" s="20" t="n">
        <x:v>3</x:v>
      </x:c>
      <x:c r="Y2174" t="str">
        <x:v>Basis arsip 2025/2024</x:v>
      </x:c>
      <x:c r="Z2174" t="str">
        <x:v>https://snpmb.id/utbk-snbt/daya-tampung-snbt</x:v>
      </x:c>
      <x:c r="AA2174" t="str">
        <x:v>Tidak Ada</x:v>
      </x:c>
      <x:c r="AB2174" t="str">
        <x:v>Campus=90; Ratio=0.0; Prodi=40; RelDemand=0.0; Capacity=58.3</x:v>
      </x:c>
    </x:row>
    <x:row r="2175">
      <x:c r="A2175" t="n">
        <x:v>2172</x:v>
      </x:c>
      <x:c r="B2175" t="str">
        <x:v>PTN Akademik</x:v>
      </x:c>
      <x:c r="C2175" t="str">
        <x:v>UNIVERSITAS BRAWIJAYA</x:v>
      </x:c>
      <x:c r="D2175" t="str">
        <x:v>DESAIN GRAFIS</x:v>
      </x:c>
      <x:c r="E2175" t="str">
        <x:v>Sarjana Terapan</x:v>
      </x:c>
      <x:c r="F2175" s="18" t="n">
        <x:v>63</x:v>
      </x:c>
      <x:c r="G2175" s="18" t="n">
        <x:v>851</x:v>
      </x:c>
      <x:c r="H2175" s="19" t="n">
        <x:v>13.507936507936508</x:v>
      </x:c>
      <x:c r="I2175" s="18" t="n">
        <x:f>ROUND(MIN(Model_Config_v3!$B$6,MAX(Q2175,R2175,S2175*Model_Config_v3!$B$4+T2175*Model_Config_v3!$B$5)),0)</x:f>
        <x:v>679</x:v>
      </x:c>
      <x:c r="J2175" s="18" t="n">
        <x:f>MIN(Model_Config_v3!$B$6,I2175+Model_Config_v3!$B$7)</x:f>
        <x:v>699</x:v>
      </x:c>
      <x:c r="K2175" s="20" t="n">
        <x:v>67.1</x:v>
      </x:c>
      <x:c r="L2175" t="str">
        <x:v>SANGAT KETAT</x:v>
      </x:c>
      <x:c r="M2175" t="str">
        <x:v>PORTOFOLIO</x:v>
      </x:c>
      <x:c r="N2175" t="str">
        <x:v>ELITE-2</x:v>
      </x:c>
      <x:c r="O2175" t="str">
        <x:v>SENI/OLAHRAGA</x:v>
      </x:c>
      <x:c r="P2175" t="str">
        <x:v>SENI/OLAHRAGA</x:v>
      </x:c>
      <x:c r="Q2175" s="18" t="n">
        <x:v>650</x:v>
      </x:c>
      <x:c r="R2175" s="18" t="n">
        <x:v>0</x:v>
      </x:c>
      <x:c r="S2175" s="18" t="n">
        <x:v>644.3647911694106</x:v>
      </x:c>
      <x:c r="T2175" s="18" t="n">
        <x:v>694</x:v>
      </x:c>
      <x:c r="U2175" s="18" t="n">
        <x:v>650</x:v>
      </x:c>
      <x:c r="V2175" s="20" t="n">
        <x:v>4.4</x:v>
      </x:c>
      <x:c r="W2175" s="20" t="n">
        <x:v>9.9</x:v>
      </x:c>
      <x:c r="X2175" s="20" t="n">
        <x:v>7.7</x:v>
      </x:c>
      <x:c r="Y2175" t="str">
        <x:v>Basis arsip 2025/2024</x:v>
      </x:c>
      <x:c r="Z2175" t="str">
        <x:v>https://snpmb.id/utbk-snbt/daya-tampung-snbt</x:v>
      </x:c>
      <x:c r="AA2175" t="str">
        <x:v>Seni Rupa, Desain, dan Kriya</x:v>
      </x:c>
      <x:c r="AB2175" t="str">
        <x:v>Campus=90; Ratio=66.5; Prodi=45; RelDemand=52.6; Capacity=47.5</x:v>
      </x:c>
    </x:row>
    <x:row r="2176">
      <x:c r="A2176" t="n">
        <x:v>2173</x:v>
      </x:c>
      <x:c r="B2176" t="str">
        <x:v>PTN Akademik</x:v>
      </x:c>
      <x:c r="C2176" t="str">
        <x:v>UNIVERSITAS BRAWIJAYA</x:v>
      </x:c>
      <x:c r="D2176" t="str">
        <x:v>MANAJEMEN PERHOTELAN</x:v>
      </x:c>
      <x:c r="E2176" t="str">
        <x:v>Sarjana Terapan</x:v>
      </x:c>
      <x:c r="F2176" s="18" t="n">
        <x:v>69</x:v>
      </x:c>
      <x:c r="G2176" s="18" t="n">
        <x:v>1592</x:v>
      </x:c>
      <x:c r="H2176" s="19" t="n">
        <x:v>23.07246376811594</x:v>
      </x:c>
      <x:c r="I2176" s="18" t="n">
        <x:f>ROUND(MIN(Model_Config_v3!$B$6,MAX(Q2176,R2176,S2176*Model_Config_v3!$B$4+T2176*Model_Config_v3!$B$5)),0)</x:f>
        <x:v>702</x:v>
      </x:c>
      <x:c r="J2176" s="18" t="n">
        <x:f>MIN(Model_Config_v3!$B$6,I2176+Model_Config_v3!$B$7)</x:f>
        <x:v>722</x:v>
      </x:c>
      <x:c r="K2176" s="20" t="n">
        <x:v>77.8</x:v>
      </x:c>
      <x:c r="L2176" t="str">
        <x:v>ELITE</x:v>
      </x:c>
      <x:c r="M2176" t="str">
        <x:v>SEDANG+</x:v>
      </x:c>
      <x:c r="N2176" t="str">
        <x:v>ELITE-2</x:v>
      </x:c>
      <x:c r="O2176" t="str">
        <x:v>SOSHUM</x:v>
      </x:c>
      <x:c r="P2176" t="str">
        <x:v>BISNIS/EKONOMI/AKUNTANSI</x:v>
      </x:c>
      <x:c r="Q2176" s="18" t="n">
        <x:v>650</x:v>
      </x:c>
      <x:c r="R2176" s="18" t="n">
        <x:v>680</x:v>
      </x:c>
      <x:c r="S2176" s="18" t="n">
        <x:v>669.9403369930834</x:v>
      </x:c>
      <x:c r="T2176" s="18" t="n">
        <x:v>716</x:v>
      </x:c>
      <x:c r="U2176" s="18" t="n">
        <x:v>684.9403369930834</x:v>
      </x:c>
      <x:c r="V2176" s="20" t="n">
        <x:v>4.4</x:v>
      </x:c>
      <x:c r="W2176" s="20" t="n">
        <x:v>14.3</x:v>
      </x:c>
      <x:c r="X2176" s="20" t="n">
        <x:v>3.3</x:v>
      </x:c>
      <x:c r="Y2176" t="str">
        <x:v>Basis arsip 2025/2024</x:v>
      </x:c>
      <x:c r="Z2176" t="str">
        <x:v>https://snpmb.id/utbk-snbt/daya-tampung-snbt</x:v>
      </x:c>
      <x:c r="AA2176" t="str">
        <x:v>Tidak Ada</x:v>
      </x:c>
      <x:c r="AB2176" t="str">
        <x:v>Campus=90; Ratio=80.2; Prodi=65; RelDemand=89.9; Capacity=42.5</x:v>
      </x:c>
    </x:row>
    <x:row r="2177">
      <x:c r="A2177" t="n">
        <x:v>2174</x:v>
      </x:c>
      <x:c r="B2177" t="str">
        <x:v>PTN Akademik</x:v>
      </x:c>
      <x:c r="C2177" t="str">
        <x:v>UNIVERSITAS BRAWIJAYA</x:v>
      </x:c>
      <x:c r="D2177" t="str">
        <x:v>KEUANGAN DAN PERBANKAN</x:v>
      </x:c>
      <x:c r="E2177" t="str">
        <x:v>Diploma Tiga</x:v>
      </x:c>
      <x:c r="F2177" s="18" t="n">
        <x:v>90</x:v>
      </x:c>
      <x:c r="G2177" s="18" t="n">
        <x:v>3876</x:v>
      </x:c>
      <x:c r="H2177" s="19" t="n">
        <x:v>43.06666666666667</x:v>
      </x:c>
      <x:c r="I2177" s="18" t="n">
        <x:f>ROUND(MIN(Model_Config_v3!$B$6,MAX(Q2177,R2177,S2177*Model_Config_v3!$B$4+T2177*Model_Config_v3!$B$5)),0)</x:f>
        <x:v>708</x:v>
      </x:c>
      <x:c r="J2177" s="18" t="n">
        <x:f>MIN(Model_Config_v3!$B$6,I2177+Model_Config_v3!$B$7)</x:f>
        <x:v>728</x:v>
      </x:c>
      <x:c r="K2177" s="20" t="n">
        <x:v>76</x:v>
      </x:c>
      <x:c r="L2177" t="str">
        <x:v>ELITE</x:v>
      </x:c>
      <x:c r="M2177" t="str">
        <x:v>SEDANG+</x:v>
      </x:c>
      <x:c r="N2177" t="str">
        <x:v>ELITE-2</x:v>
      </x:c>
      <x:c r="O2177" t="str">
        <x:v>CAMPURAN</x:v>
      </x:c>
      <x:c r="P2177" t="str">
        <x:v>UMUM</x:v>
      </x:c>
      <x:c r="Q2177" s="18" t="n">
        <x:v>650</x:v>
      </x:c>
      <x:c r="R2177" s="18" t="n">
        <x:v>0</x:v>
      </x:c>
      <x:c r="S2177" s="18" t="n">
        <x:v>699.7555384833342</x:v>
      </x:c>
      <x:c r="T2177" s="18" t="n">
        <x:v>712</x:v>
      </x:c>
      <x:c r="U2177" s="18" t="n">
        <x:v>699.7555384833342</x:v>
      </x:c>
      <x:c r="V2177" s="20" t="n">
        <x:v>8.8</x:v>
      </x:c>
      <x:c r="W2177" s="20" t="n">
        <x:v>9.9</x:v>
      </x:c>
      <x:c r="X2177" s="20" t="n">
        <x:v>3.3</x:v>
      </x:c>
      <x:c r="Y2177" t="str">
        <x:v>Basis arsip 2025/2024</x:v>
      </x:c>
      <x:c r="Z2177" t="str">
        <x:v>https://snpmb.id/utbk-snbt/daya-tampung-snbt</x:v>
      </x:c>
      <x:c r="AA2177" t="str">
        <x:v>Tidak Ada</x:v>
      </x:c>
      <x:c r="AB2177" t="str">
        <x:v>Campus=90; Ratio=96.2; Prodi=40; RelDemand=100.0; Capacity=25.0</x:v>
      </x:c>
    </x:row>
    <x:row r="2178">
      <x:c r="A2178" t="n">
        <x:v>2175</x:v>
      </x:c>
      <x:c r="B2178" t="str">
        <x:v>PTN Akademik</x:v>
      </x:c>
      <x:c r="C2178" t="str">
        <x:v>UNIVERSITAS BRAWIJAYA</x:v>
      </x:c>
      <x:c r="D2178" t="str">
        <x:v>ADMINISTRASI BISNIS</x:v>
      </x:c>
      <x:c r="E2178" t="str">
        <x:v>Diploma Tiga</x:v>
      </x:c>
      <x:c r="F2178" s="18" t="n">
        <x:v>95</x:v>
      </x:c>
      <x:c r="G2178" s="18" t="n">
        <x:v>6371</x:v>
      </x:c>
      <x:c r="H2178" s="19" t="n">
        <x:v>67.06315789473685</x:v>
      </x:c>
      <x:c r="I2178" s="18" t="n">
        <x:f>ROUND(MIN(Model_Config_v3!$B$6,MAX(Q2178,R2178,S2178*Model_Config_v3!$B$4+T2178*Model_Config_v3!$B$5)),0)</x:f>
        <x:v>722</x:v>
      </x:c>
      <x:c r="J2178" s="18" t="n">
        <x:f>MIN(Model_Config_v3!$B$6,I2178+Model_Config_v3!$B$7)</x:f>
        <x:v>742</x:v>
      </x:c>
      <x:c r="K2178" s="20" t="n">
        <x:v>81.6</x:v>
      </x:c>
      <x:c r="L2178" t="str">
        <x:v>ELITE</x:v>
      </x:c>
      <x:c r="M2178" t="str">
        <x:v>SEDANG+</x:v>
      </x:c>
      <x:c r="N2178" t="str">
        <x:v>ELITE-2</x:v>
      </x:c>
      <x:c r="O2178" t="str">
        <x:v>SOSHUM</x:v>
      </x:c>
      <x:c r="P2178" t="str">
        <x:v>BISNIS/EKONOMI/AKUNTANSI</x:v>
      </x:c>
      <x:c r="Q2178" s="18" t="n">
        <x:v>650</x:v>
      </x:c>
      <x:c r="R2178" s="18" t="n">
        <x:v>680</x:v>
      </x:c>
      <x:c r="S2178" s="18" t="n">
        <x:v>720.9132399772512</x:v>
      </x:c>
      <x:c r="T2178" s="18" t="n">
        <x:v>723</x:v>
      </x:c>
      <x:c r="U2178" s="18" t="n">
        <x:v>735.9132399772512</x:v>
      </x:c>
      <x:c r="V2178" s="20" t="n">
        <x:v>4.4</x:v>
      </x:c>
      <x:c r="W2178" s="20" t="n">
        <x:v>14.3</x:v>
      </x:c>
      <x:c r="X2178" s="20" t="n">
        <x:v>3.3</x:v>
      </x:c>
      <x:c r="Y2178" t="str">
        <x:v>Basis arsip 2025/2024</x:v>
      </x:c>
      <x:c r="Z2178" t="str">
        <x:v>https://snpmb.id/utbk-snbt/daya-tampung-snbt</x:v>
      </x:c>
      <x:c r="AA2178" t="str">
        <x:v>Tidak Ada</x:v>
      </x:c>
      <x:c r="AB2178" t="str">
        <x:v>Campus=90; Ratio=100.0; Prodi=65; RelDemand=100.0; Capacity=20.8</x:v>
      </x:c>
    </x:row>
    <x:row r="2179">
      <x:c r="A2179" t="n">
        <x:v>2176</x:v>
      </x:c>
      <x:c r="B2179" t="str">
        <x:v>PTN Akademik</x:v>
      </x:c>
      <x:c r="C2179" t="str">
        <x:v>UNIVERSITAS BRAWIJAYA</x:v>
      </x:c>
      <x:c r="D2179" t="str">
        <x:v>TEKNOLOGI INFORMASI</x:v>
      </x:c>
      <x:c r="E2179" t="str">
        <x:v>Diploma Tiga</x:v>
      </x:c>
      <x:c r="F2179" s="18" t="n">
        <x:v>95</x:v>
      </x:c>
      <x:c r="G2179" s="18" t="n">
        <x:v>4321</x:v>
      </x:c>
      <x:c r="H2179" s="19" t="n">
        <x:v>45.48421052631579</x:v>
      </x:c>
      <x:c r="I2179" s="18" t="n">
        <x:f>ROUND(MIN(Model_Config_v3!$B$6,MAX(Q2179,R2179,S2179*Model_Config_v3!$B$4+T2179*Model_Config_v3!$B$5)),0)</x:f>
        <x:v>709</x:v>
      </x:c>
      <x:c r="J2179" s="18" t="n">
        <x:f>MIN(Model_Config_v3!$B$6,I2179+Model_Config_v3!$B$7)</x:f>
        <x:v>729</x:v>
      </x:c>
      <x:c r="K2179" s="20" t="n">
        <x:v>76</x:v>
      </x:c>
      <x:c r="L2179" t="str">
        <x:v>ELITE</x:v>
      </x:c>
      <x:c r="M2179" t="str">
        <x:v>SEDANG+</x:v>
      </x:c>
      <x:c r="N2179" t="str">
        <x:v>ELITE-2</x:v>
      </x:c>
      <x:c r="O2179" t="str">
        <x:v>SAINTEK</x:v>
      </x:c>
      <x:c r="P2179" t="str">
        <x:v>UMUM</x:v>
      </x:c>
      <x:c r="Q2179" s="18" t="n">
        <x:v>650</x:v>
      </x:c>
      <x:c r="R2179" s="18" t="n">
        <x:v>0</x:v>
      </x:c>
      <x:c r="S2179" s="18" t="n">
        <x:v>702.364672712462</x:v>
      </x:c>
      <x:c r="T2179" s="18" t="n">
        <x:v>712</x:v>
      </x:c>
      <x:c r="U2179" s="18" t="n">
        <x:v>702.364672712462</x:v>
      </x:c>
      <x:c r="V2179" s="20" t="n">
        <x:v>12</x:v>
      </x:c>
      <x:c r="W2179" s="20" t="n">
        <x:v>5</x:v>
      </x:c>
      <x:c r="X2179" s="20" t="n">
        <x:v>3</x:v>
      </x:c>
      <x:c r="Y2179" t="str">
        <x:v>Basis arsip 2025/2024</x:v>
      </x:c>
      <x:c r="Z2179" t="str">
        <x:v>https://snpmb.id/utbk-snbt/daya-tampung-snbt</x:v>
      </x:c>
      <x:c r="AA2179" t="str">
        <x:v>Tidak Ada</x:v>
      </x:c>
      <x:c r="AB2179" t="str">
        <x:v>Campus=90; Ratio=97.6; Prodi=40; RelDemand=100.0; Capacity=20.8</x:v>
      </x:c>
    </x:row>
    <x:row r="2180">
      <x:c r="A2180" t="n">
        <x:v>2177</x:v>
      </x:c>
      <x:c r="B2180" t="str">
        <x:v>PTN Akademik</x:v>
      </x:c>
      <x:c r="C2180" t="str">
        <x:v>UNIVERSITAS NEGERI MALANG</x:v>
      </x:c>
      <x:c r="D2180" t="str">
        <x:v>PENDIDIKAN MATEMATIKA</x:v>
      </x:c>
      <x:c r="E2180" t="str">
        <x:v>Sarjana</x:v>
      </x:c>
      <x:c r="F2180" s="18" t="n">
        <x:v>83</x:v>
      </x:c>
      <x:c r="G2180" s="18" t="n">
        <x:v>415</x:v>
      </x:c>
      <x:c r="H2180" s="19" t="n">
        <x:v>5</x:v>
      </x:c>
      <x:c r="I2180" s="18" t="n">
        <x:f>ROUND(MIN(Model_Config_v3!$B$6,MAX(Q2180,R2180,S2180*Model_Config_v3!$B$4+T2180*Model_Config_v3!$B$5)),0)</x:f>
        <x:v>645</x:v>
      </x:c>
      <x:c r="J2180" s="18" t="n">
        <x:f>MIN(Model_Config_v3!$B$6,I2180+Model_Config_v3!$B$7)</x:f>
        <x:v>665</x:v>
      </x:c>
      <x:c r="K2180" s="20" t="n">
        <x:v>52.5</x:v>
      </x:c>
      <x:c r="L2180" t="str">
        <x:v>MENENGAH</x:v>
      </x:c>
      <x:c r="M2180" t="str">
        <x:v>SEDANG+</x:v>
      </x:c>
      <x:c r="N2180" t="str">
        <x:v>ELITE-3</x:v>
      </x:c>
      <x:c r="O2180" t="str">
        <x:v>SAINTEK</x:v>
      </x:c>
      <x:c r="P2180" t="str">
        <x:v>PENDIDIKAN</x:v>
      </x:c>
      <x:c r="Q2180" s="18" t="n">
        <x:v>620</x:v>
      </x:c>
      <x:c r="R2180" s="18" t="n">
        <x:v>0</x:v>
      </x:c>
      <x:c r="S2180" s="18" t="n">
        <x:v>596.886700476962</x:v>
      </x:c>
      <x:c r="T2180" s="18" t="n">
        <x:v>665</x:v>
      </x:c>
      <x:c r="U2180" s="18" t="n">
        <x:v>620</x:v>
      </x:c>
      <x:c r="V2180" s="20" t="n">
        <x:v>12</x:v>
      </x:c>
      <x:c r="W2180" s="20" t="n">
        <x:v>5</x:v>
      </x:c>
      <x:c r="X2180" s="20" t="n">
        <x:v>3</x:v>
      </x:c>
      <x:c r="Y2180" t="str">
        <x:v>Basis arsip 2025/2024</x:v>
      </x:c>
      <x:c r="Z2180" t="str">
        <x:v>https://snpmb.id/utbk-snbt/daya-tampung-snbt</x:v>
      </x:c>
      <x:c r="AA2180" t="str">
        <x:v>Tidak Ada</x:v>
      </x:c>
      <x:c r="AB2180" t="str">
        <x:v>Campus=80; Ratio=41.1; Prodi=45; RelDemand=21.7; Capacity=30.8</x:v>
      </x:c>
    </x:row>
    <x:row r="2181">
      <x:c r="A2181" t="n">
        <x:v>2178</x:v>
      </x:c>
      <x:c r="B2181" t="str">
        <x:v>PTN Akademik</x:v>
      </x:c>
      <x:c r="C2181" t="str">
        <x:v>UNIVERSITAS NEGERI MALANG</x:v>
      </x:c>
      <x:c r="D2181" t="str">
        <x:v>PENDIDIKAN FISIKA</x:v>
      </x:c>
      <x:c r="E2181" t="str">
        <x:v>Sarjana</x:v>
      </x:c>
      <x:c r="F2181" s="18" t="n">
        <x:v>65</x:v>
      </x:c>
      <x:c r="G2181" s="18" t="n">
        <x:v>118</x:v>
      </x:c>
      <x:c r="H2181" s="19" t="n">
        <x:v>1.8153846153846154</x:v>
      </x:c>
      <x:c r="I2181" s="18" t="n">
        <x:f>ROUND(MIN(Model_Config_v3!$B$6,MAX(Q2181,R2181,S2181*Model_Config_v3!$B$4+T2181*Model_Config_v3!$B$5)),0)</x:f>
        <x:v>621</x:v>
      </x:c>
      <x:c r="J2181" s="18" t="n">
        <x:f>MIN(Model_Config_v3!$B$6,I2181+Model_Config_v3!$B$7)</x:f>
        <x:v>641</x:v>
      </x:c>
      <x:c r="K2181" s="20" t="n">
        <x:v>46.2</x:v>
      </x:c>
      <x:c r="L2181" t="str">
        <x:v>MENENGAH</x:v>
      </x:c>
      <x:c r="M2181" t="str">
        <x:v>SEDANG+</x:v>
      </x:c>
      <x:c r="N2181" t="str">
        <x:v>ELITE-3</x:v>
      </x:c>
      <x:c r="O2181" t="str">
        <x:v>SAINTEK</x:v>
      </x:c>
      <x:c r="P2181" t="str">
        <x:v>PENDIDIKAN</x:v>
      </x:c>
      <x:c r="Q2181" s="18" t="n">
        <x:v>620</x:v>
      </x:c>
      <x:c r="R2181" s="18" t="n">
        <x:v>0</x:v>
      </x:c>
      <x:c r="S2181" s="18" t="n">
        <x:v>548.4865515729597</x:v>
      </x:c>
      <x:c r="T2181" s="18" t="n">
        <x:v>652</x:v>
      </x:c>
      <x:c r="U2181" s="18" t="n">
        <x:v>620</x:v>
      </x:c>
      <x:c r="V2181" s="20" t="n">
        <x:v>12</x:v>
      </x:c>
      <x:c r="W2181" s="20" t="n">
        <x:v>5</x:v>
      </x:c>
      <x:c r="X2181" s="20" t="n">
        <x:v>3</x:v>
      </x:c>
      <x:c r="Y2181" t="str">
        <x:v>Basis arsip 2025/2024</x:v>
      </x:c>
      <x:c r="Z2181" t="str">
        <x:v>https://snpmb.id/utbk-snbt/daya-tampung-snbt</x:v>
      </x:c>
      <x:c r="AA2181" t="str">
        <x:v>Tidak Ada</x:v>
      </x:c>
      <x:c r="AB2181" t="str">
        <x:v>Campus=80; Ratio=15.2; Prodi=45; RelDemand=7.9; Capacity=45.8</x:v>
      </x:c>
    </x:row>
    <x:row r="2182">
      <x:c r="A2182" t="n">
        <x:v>2179</x:v>
      </x:c>
      <x:c r="B2182" t="str">
        <x:v>PTN Akademik</x:v>
      </x:c>
      <x:c r="C2182" t="str">
        <x:v>UNIVERSITAS NEGERI MALANG</x:v>
      </x:c>
      <x:c r="D2182" t="str">
        <x:v>PENDIDIKAN KIMIA</x:v>
      </x:c>
      <x:c r="E2182" t="str">
        <x:v>Sarjana</x:v>
      </x:c>
      <x:c r="F2182" s="18" t="n">
        <x:v>62</x:v>
      </x:c>
      <x:c r="G2182" s="18" t="n">
        <x:v>160</x:v>
      </x:c>
      <x:c r="H2182" s="19" t="n">
        <x:v>2.5806451612903225</x:v>
      </x:c>
      <x:c r="I2182" s="18" t="n">
        <x:f>ROUND(MIN(Model_Config_v3!$B$6,MAX(Q2182,R2182,S2182*Model_Config_v3!$B$4+T2182*Model_Config_v3!$B$5)),0)</x:f>
        <x:v>630</x:v>
      </x:c>
      <x:c r="J2182" s="18" t="n">
        <x:f>MIN(Model_Config_v3!$B$6,I2182+Model_Config_v3!$B$7)</x:f>
        <x:v>650</x:v>
      </x:c>
      <x:c r="K2182" s="20" t="n">
        <x:v>49</x:v>
      </x:c>
      <x:c r="L2182" t="str">
        <x:v>MENENGAH</x:v>
      </x:c>
      <x:c r="M2182" t="str">
        <x:v>SEDANG+</x:v>
      </x:c>
      <x:c r="N2182" t="str">
        <x:v>ELITE-3</x:v>
      </x:c>
      <x:c r="O2182" t="str">
        <x:v>SAINTEK</x:v>
      </x:c>
      <x:c r="P2182" t="str">
        <x:v>PENDIDIKAN</x:v>
      </x:c>
      <x:c r="Q2182" s="18" t="n">
        <x:v>620</x:v>
      </x:c>
      <x:c r="R2182" s="18" t="n">
        <x:v>0</x:v>
      </x:c>
      <x:c r="S2182" s="18" t="n">
        <x:v>565.2901122473438</x:v>
      </x:c>
      <x:c r="T2182" s="18" t="n">
        <x:v>658</x:v>
      </x:c>
      <x:c r="U2182" s="18" t="n">
        <x:v>620</x:v>
      </x:c>
      <x:c r="V2182" s="20" t="n">
        <x:v>12</x:v>
      </x:c>
      <x:c r="W2182" s="20" t="n">
        <x:v>5</x:v>
      </x:c>
      <x:c r="X2182" s="20" t="n">
        <x:v>3</x:v>
      </x:c>
      <x:c r="Y2182" t="str">
        <x:v>Basis arsip 2025/2024</x:v>
      </x:c>
      <x:c r="Z2182" t="str">
        <x:v>https://snpmb.id/utbk-snbt/daya-tampung-snbt</x:v>
      </x:c>
      <x:c r="AA2182" t="str">
        <x:v>Tidak Ada</x:v>
      </x:c>
      <x:c r="AB2182" t="str">
        <x:v>Campus=80; Ratio=24.2; Prodi=45; RelDemand=11.2; Capacity=48.3</x:v>
      </x:c>
    </x:row>
    <x:row r="2183">
      <x:c r="A2183" t="n">
        <x:v>2180</x:v>
      </x:c>
      <x:c r="B2183" t="str">
        <x:v>PTN Akademik</x:v>
      </x:c>
      <x:c r="C2183" t="str">
        <x:v>UNIVERSITAS NEGERI MALANG</x:v>
      </x:c>
      <x:c r="D2183" t="str">
        <x:v>PENDIDIKAN BIOLOGI</x:v>
      </x:c>
      <x:c r="E2183" t="str">
        <x:v>Sarjana</x:v>
      </x:c>
      <x:c r="F2183" s="18" t="n">
        <x:v>45</x:v>
      </x:c>
      <x:c r="G2183" s="18" t="n">
        <x:v>265</x:v>
      </x:c>
      <x:c r="H2183" s="19" t="n">
        <x:v>5.888888888888889</x:v>
      </x:c>
      <x:c r="I2183" s="18" t="n">
        <x:f>ROUND(MIN(Model_Config_v3!$B$6,MAX(Q2183,R2183,S2183*Model_Config_v3!$B$4+T2183*Model_Config_v3!$B$5)),0)</x:f>
        <x:v>653</x:v>
      </x:c>
      <x:c r="J2183" s="18" t="n">
        <x:f>MIN(Model_Config_v3!$B$6,I2183+Model_Config_v3!$B$7)</x:f>
        <x:v>673</x:v>
      </x:c>
      <x:c r="K2183" s="20" t="n">
        <x:v>57.1</x:v>
      </x:c>
      <x:c r="L2183" t="str">
        <x:v>KETAT</x:v>
      </x:c>
      <x:c r="M2183" t="str">
        <x:v>SEDANG+</x:v>
      </x:c>
      <x:c r="N2183" t="str">
        <x:v>ELITE-3</x:v>
      </x:c>
      <x:c r="O2183" t="str">
        <x:v>SAINTEK</x:v>
      </x:c>
      <x:c r="P2183" t="str">
        <x:v>PENDIDIKAN</x:v>
      </x:c>
      <x:c r="Q2183" s="18" t="n">
        <x:v>620</x:v>
      </x:c>
      <x:c r="R2183" s="18" t="n">
        <x:v>0</x:v>
      </x:c>
      <x:c r="S2183" s="18" t="n">
        <x:v>604.7036696177611</x:v>
      </x:c>
      <x:c r="T2183" s="18" t="n">
        <x:v>674</x:v>
      </x:c>
      <x:c r="U2183" s="18" t="n">
        <x:v>620</x:v>
      </x:c>
      <x:c r="V2183" s="20" t="n">
        <x:v>12</x:v>
      </x:c>
      <x:c r="W2183" s="20" t="n">
        <x:v>5</x:v>
      </x:c>
      <x:c r="X2183" s="20" t="n">
        <x:v>3</x:v>
      </x:c>
      <x:c r="Y2183" t="str">
        <x:v>Basis arsip 2025/2024</x:v>
      </x:c>
      <x:c r="Z2183" t="str">
        <x:v>https://snpmb.id/utbk-snbt/daya-tampung-snbt</x:v>
      </x:c>
      <x:c r="AA2183" t="str">
        <x:v>Tidak Ada</x:v>
      </x:c>
      <x:c r="AB2183" t="str">
        <x:v>Campus=80; Ratio=45.3; Prodi=45; RelDemand=25.5; Capacity=62.5</x:v>
      </x:c>
    </x:row>
    <x:row r="2184">
      <x:c r="A2184" t="n">
        <x:v>2181</x:v>
      </x:c>
      <x:c r="B2184" t="str">
        <x:v>PTN Akademik</x:v>
      </x:c>
      <x:c r="C2184" t="str">
        <x:v>UNIVERSITAS NEGERI MALANG</x:v>
      </x:c>
      <x:c r="D2184" t="str">
        <x:v>PENDIDIKAN TEKNIK MESIN</x:v>
      </x:c>
      <x:c r="E2184" t="str">
        <x:v>Sarjana</x:v>
      </x:c>
      <x:c r="F2184" s="18" t="n">
        <x:v>56</x:v>
      </x:c>
      <x:c r="G2184" s="18" t="n">
        <x:v>163</x:v>
      </x:c>
      <x:c r="H2184" s="19" t="n">
        <x:v>2.9107142857142856</x:v>
      </x:c>
      <x:c r="I2184" s="18" t="n">
        <x:f>ROUND(MIN(Model_Config_v3!$B$6,MAX(Q2184,R2184,S2184*Model_Config_v3!$B$4+T2184*Model_Config_v3!$B$5)),0)</x:f>
        <x:v>634</x:v>
      </x:c>
      <x:c r="J2184" s="18" t="n">
        <x:f>MIN(Model_Config_v3!$B$6,I2184+Model_Config_v3!$B$7)</x:f>
        <x:v>654</x:v>
      </x:c>
      <x:c r="K2184" s="20" t="n">
        <x:v>50.4</x:v>
      </x:c>
      <x:c r="L2184" t="str">
        <x:v>MENENGAH</x:v>
      </x:c>
      <x:c r="M2184" t="str">
        <x:v>SEDANG+</x:v>
      </x:c>
      <x:c r="N2184" t="str">
        <x:v>ELITE-3</x:v>
      </x:c>
      <x:c r="O2184" t="str">
        <x:v>SAINTEK</x:v>
      </x:c>
      <x:c r="P2184" t="str">
        <x:v>PENDIDIKAN</x:v>
      </x:c>
      <x:c r="Q2184" s="18" t="n">
        <x:v>620</x:v>
      </x:c>
      <x:c r="R2184" s="18" t="n">
        <x:v>0</x:v>
      </x:c>
      <x:c r="S2184" s="18" t="n">
        <x:v>571.0399535137533</x:v>
      </x:c>
      <x:c r="T2184" s="18" t="n">
        <x:v>661</x:v>
      </x:c>
      <x:c r="U2184" s="18" t="n">
        <x:v>620</x:v>
      </x:c>
      <x:c r="V2184" s="20" t="n">
        <x:v>12</x:v>
      </x:c>
      <x:c r="W2184" s="20" t="n">
        <x:v>5</x:v>
      </x:c>
      <x:c r="X2184" s="20" t="n">
        <x:v>3</x:v>
      </x:c>
      <x:c r="Y2184" t="str">
        <x:v>Basis arsip 2025/2024</x:v>
      </x:c>
      <x:c r="Z2184" t="str">
        <x:v>https://snpmb.id/utbk-snbt/daya-tampung-snbt</x:v>
      </x:c>
      <x:c r="AA2184" t="str">
        <x:v>Tidak Ada</x:v>
      </x:c>
      <x:c r="AB2184" t="str">
        <x:v>Campus=80; Ratio=27.3; Prodi=45; RelDemand=12.6; Capacity=53.3</x:v>
      </x:c>
    </x:row>
    <x:row r="2185">
      <x:c r="A2185" t="n">
        <x:v>2182</x:v>
      </x:c>
      <x:c r="B2185" t="str">
        <x:v>PTN Akademik</x:v>
      </x:c>
      <x:c r="C2185" t="str">
        <x:v>UNIVERSITAS NEGERI MALANG</x:v>
      </x:c>
      <x:c r="D2185" t="str">
        <x:v>PENDIDIKAN TEKNIK BANGUNAN</x:v>
      </x:c>
      <x:c r="E2185" t="str">
        <x:v>Sarjana</x:v>
      </x:c>
      <x:c r="F2185" s="18" t="n">
        <x:v>50</x:v>
      </x:c>
      <x:c r="G2185" s="18" t="n">
        <x:v>164</x:v>
      </x:c>
      <x:c r="H2185" s="19" t="n">
        <x:v>3.28</x:v>
      </x:c>
      <x:c r="I2185" s="18" t="n">
        <x:f>ROUND(MIN(Model_Config_v3!$B$6,MAX(Q2185,R2185,S2185*Model_Config_v3!$B$4+T2185*Model_Config_v3!$B$5)),0)</x:f>
        <x:v>638</x:v>
      </x:c>
      <x:c r="J2185" s="18" t="n">
        <x:f>MIN(Model_Config_v3!$B$6,I2185+Model_Config_v3!$B$7)</x:f>
        <x:v>658</x:v>
      </x:c>
      <x:c r="K2185" s="20" t="n">
        <x:v>51.8</x:v>
      </x:c>
      <x:c r="L2185" t="str">
        <x:v>MENENGAH</x:v>
      </x:c>
      <x:c r="M2185" t="str">
        <x:v>SEDANG+</x:v>
      </x:c>
      <x:c r="N2185" t="str">
        <x:v>ELITE-3</x:v>
      </x:c>
      <x:c r="O2185" t="str">
        <x:v>SAINTEK</x:v>
      </x:c>
      <x:c r="P2185" t="str">
        <x:v>PENDIDIKAN</x:v>
      </x:c>
      <x:c r="Q2185" s="18" t="n">
        <x:v>620</x:v>
      </x:c>
      <x:c r="R2185" s="18" t="n">
        <x:v>0</x:v>
      </x:c>
      <x:c r="S2185" s="18" t="n">
        <x:v>576.7461228082847</x:v>
      </x:c>
      <x:c r="T2185" s="18" t="n">
        <x:v>664</x:v>
      </x:c>
      <x:c r="U2185" s="18" t="n">
        <x:v>620</x:v>
      </x:c>
      <x:c r="V2185" s="20" t="n">
        <x:v>12</x:v>
      </x:c>
      <x:c r="W2185" s="20" t="n">
        <x:v>5</x:v>
      </x:c>
      <x:c r="X2185" s="20" t="n">
        <x:v>3</x:v>
      </x:c>
      <x:c r="Y2185" t="str">
        <x:v>Basis arsip 2025/2024</x:v>
      </x:c>
      <x:c r="Z2185" t="str">
        <x:v>https://snpmb.id/utbk-snbt/daya-tampung-snbt</x:v>
      </x:c>
      <x:c r="AA2185" t="str">
        <x:v>Tidak Ada</x:v>
      </x:c>
      <x:c r="AB2185" t="str">
        <x:v>Campus=80; Ratio=30.4; Prodi=45; RelDemand=14.2; Capacity=58.3</x:v>
      </x:c>
    </x:row>
    <x:row r="2186">
      <x:c r="A2186" t="n">
        <x:v>2183</x:v>
      </x:c>
      <x:c r="B2186" t="str">
        <x:v>PTN Akademik</x:v>
      </x:c>
      <x:c r="C2186" t="str">
        <x:v>UNIVERSITAS NEGERI MALANG</x:v>
      </x:c>
      <x:c r="D2186" t="str">
        <x:v>PENDIDIKAN TEKNIK INFORMATIKA</x:v>
      </x:c>
      <x:c r="E2186" t="str">
        <x:v>Sarjana</x:v>
      </x:c>
      <x:c r="F2186" s="18" t="n">
        <x:v>36</x:v>
      </x:c>
      <x:c r="G2186" s="18" t="n">
        <x:v>349</x:v>
      </x:c>
      <x:c r="H2186" s="19" t="n">
        <x:v>9.694444444444445</x:v>
      </x:c>
      <x:c r="I2186" s="18" t="n">
        <x:f>ROUND(MIN(Model_Config_v3!$B$6,MAX(Q2186,R2186,S2186*Model_Config_v3!$B$4+T2186*Model_Config_v3!$B$5)),0)</x:f>
        <x:v>679</x:v>
      </x:c>
      <x:c r="J2186" s="18" t="n">
        <x:f>MIN(Model_Config_v3!$B$6,I2186+Model_Config_v3!$B$7)</x:f>
        <x:v>699</x:v>
      </x:c>
      <x:c r="K2186" s="20" t="n">
        <x:v>70.7</x:v>
      </x:c>
      <x:c r="L2186" t="str">
        <x:v>SANGAT KETAT</x:v>
      </x:c>
      <x:c r="M2186" t="str">
        <x:v>SEDANG+</x:v>
      </x:c>
      <x:c r="N2186" t="str">
        <x:v>ELITE-3</x:v>
      </x:c>
      <x:c r="O2186" t="str">
        <x:v>SAINTEK</x:v>
      </x:c>
      <x:c r="P2186" t="str">
        <x:v>KOMPUTER/INFORMATIKA</x:v>
      </x:c>
      <x:c r="Q2186" s="18" t="n">
        <x:v>620</x:v>
      </x:c>
      <x:c r="R2186" s="18" t="n">
        <x:v>675</x:v>
      </x:c>
      <x:c r="S2186" s="18" t="n">
        <x:v>628.5175218811082</x:v>
      </x:c>
      <x:c r="T2186" s="18" t="n">
        <x:v>701</x:v>
      </x:c>
      <x:c r="U2186" s="18" t="n">
        <x:v>675</x:v>
      </x:c>
      <x:c r="V2186" s="20" t="n">
        <x:v>12</x:v>
      </x:c>
      <x:c r="W2186" s="20" t="n">
        <x:v>5</x:v>
      </x:c>
      <x:c r="X2186" s="20" t="n">
        <x:v>3</x:v>
      </x:c>
      <x:c r="Y2186" t="str">
        <x:v>Basis arsip 2025/2024</x:v>
      </x:c>
      <x:c r="Z2186" t="str">
        <x:v>https://snpmb.id/utbk-snbt/daya-tampung-snbt</x:v>
      </x:c>
      <x:c r="AA2186" t="str">
        <x:v>Tidak Ada</x:v>
      </x:c>
      <x:c r="AB2186" t="str">
        <x:v>Campus=80; Ratio=58.1; Prodi=85; RelDemand=42.0; Capacity=70.0</x:v>
      </x:c>
    </x:row>
    <x:row r="2187">
      <x:c r="A2187" t="n">
        <x:v>2184</x:v>
      </x:c>
      <x:c r="B2187" t="str">
        <x:v>PTN Akademik</x:v>
      </x:c>
      <x:c r="C2187" t="str">
        <x:v>UNIVERSITAS NEGERI MALANG</x:v>
      </x:c>
      <x:c r="D2187" t="str">
        <x:v>PENDIDIKAN TEKNIK OTOMOTIF</x:v>
      </x:c>
      <x:c r="E2187" t="str">
        <x:v>Sarjana</x:v>
      </x:c>
      <x:c r="F2187" s="18" t="n">
        <x:v>45</x:v>
      </x:c>
      <x:c r="G2187" s="18" t="n">
        <x:v>130</x:v>
      </x:c>
      <x:c r="H2187" s="19" t="n">
        <x:v>2.888888888888889</x:v>
      </x:c>
      <x:c r="I2187" s="18" t="n">
        <x:f>ROUND(MIN(Model_Config_v3!$B$6,MAX(Q2187,R2187,S2187*Model_Config_v3!$B$4+T2187*Model_Config_v3!$B$5)),0)</x:f>
        <x:v>635</x:v>
      </x:c>
      <x:c r="J2187" s="18" t="n">
        <x:f>MIN(Model_Config_v3!$B$6,I2187+Model_Config_v3!$B$7)</x:f>
        <x:v>655</x:v>
      </x:c>
      <x:c r="K2187" s="20" t="n">
        <x:v>51.3</x:v>
      </x:c>
      <x:c r="L2187" t="str">
        <x:v>MENENGAH</x:v>
      </x:c>
      <x:c r="M2187" t="str">
        <x:v>SEDANG+</x:v>
      </x:c>
      <x:c r="N2187" t="str">
        <x:v>ELITE-3</x:v>
      </x:c>
      <x:c r="O2187" t="str">
        <x:v>SAINTEK</x:v>
      </x:c>
      <x:c r="P2187" t="str">
        <x:v>PENDIDIKAN</x:v>
      </x:c>
      <x:c r="Q2187" s="18" t="n">
        <x:v>620</x:v>
      </x:c>
      <x:c r="R2187" s="18" t="n">
        <x:v>0</x:v>
      </x:c>
      <x:c r="S2187" s="18" t="n">
        <x:v>570.6803922384643</x:v>
      </x:c>
      <x:c r="T2187" s="18" t="n">
        <x:v>663</x:v>
      </x:c>
      <x:c r="U2187" s="18" t="n">
        <x:v>620</x:v>
      </x:c>
      <x:c r="V2187" s="20" t="n">
        <x:v>12</x:v>
      </x:c>
      <x:c r="W2187" s="20" t="n">
        <x:v>5</x:v>
      </x:c>
      <x:c r="X2187" s="20" t="n">
        <x:v>3</x:v>
      </x:c>
      <x:c r="Y2187" t="str">
        <x:v>Basis arsip 2025/2024</x:v>
      </x:c>
      <x:c r="Z2187" t="str">
        <x:v>https://snpmb.id/utbk-snbt/daya-tampung-snbt</x:v>
      </x:c>
      <x:c r="AA2187" t="str">
        <x:v>Tidak Ada</x:v>
      </x:c>
      <x:c r="AB2187" t="str">
        <x:v>Campus=80; Ratio=27.1; Prodi=45; RelDemand=12.5; Capacity=62.5</x:v>
      </x:c>
    </x:row>
    <x:row r="2188">
      <x:c r="A2188" t="n">
        <x:v>2185</x:v>
      </x:c>
      <x:c r="B2188" t="str">
        <x:v>PTN Akademik</x:v>
      </x:c>
      <x:c r="C2188" t="str">
        <x:v>UNIVERSITAS NEGERI MALANG</x:v>
      </x:c>
      <x:c r="D2188" t="str">
        <x:v>ILMU KEOLAHRAGAAN</x:v>
      </x:c>
      <x:c r="E2188" t="str">
        <x:v>Sarjana</x:v>
      </x:c>
      <x:c r="F2188" s="18" t="n">
        <x:v>63</x:v>
      </x:c>
      <x:c r="G2188" s="18" t="n">
        <x:v>202</x:v>
      </x:c>
      <x:c r="H2188" s="19" t="n">
        <x:v>3.2063492063492065</x:v>
      </x:c>
      <x:c r="I2188" s="18" t="n">
        <x:f>ROUND(MIN(Model_Config_v3!$B$6,MAX(Q2188,R2188,S2188*Model_Config_v3!$B$4+T2188*Model_Config_v3!$B$5)),0)</x:f>
        <x:v>635</x:v>
      </x:c>
      <x:c r="J2188" s="18" t="n">
        <x:f>MIN(Model_Config_v3!$B$6,I2188+Model_Config_v3!$B$7)</x:f>
        <x:v>655</x:v>
      </x:c>
      <x:c r="K2188" s="20" t="n">
        <x:v>50.6</x:v>
      </x:c>
      <x:c r="L2188" t="str">
        <x:v>MENENGAH</x:v>
      </x:c>
      <x:c r="M2188" t="str">
        <x:v>PORTOFOLIO</x:v>
      </x:c>
      <x:c r="N2188" t="str">
        <x:v>ELITE-3</x:v>
      </x:c>
      <x:c r="O2188" t="str">
        <x:v>SENI/OLAHRAGA</x:v>
      </x:c>
      <x:c r="P2188" t="str">
        <x:v>SENI/OLAHRAGA</x:v>
      </x:c>
      <x:c r="Q2188" s="18" t="n">
        <x:v>620</x:v>
      </x:c>
      <x:c r="R2188" s="18" t="n">
        <x:v>0</x:v>
      </x:c>
      <x:c r="S2188" s="18" t="n">
        <x:v>575.6611901992346</x:v>
      </x:c>
      <x:c r="T2188" s="18" t="n">
        <x:v>661</x:v>
      </x:c>
      <x:c r="U2188" s="18" t="n">
        <x:v>620</x:v>
      </x:c>
      <x:c r="V2188" s="20" t="n">
        <x:v>4.4</x:v>
      </x:c>
      <x:c r="W2188" s="20" t="n">
        <x:v>9.9</x:v>
      </x:c>
      <x:c r="X2188" s="20" t="n">
        <x:v>7.7</x:v>
      </x:c>
      <x:c r="Y2188" t="str">
        <x:v>Basis arsip 2025/2024</x:v>
      </x:c>
      <x:c r="Z2188" t="str">
        <x:v>https://snpmb.id/utbk-snbt/daya-tampung-snbt</x:v>
      </x:c>
      <x:c r="AA2188" t="str">
        <x:v>Olahraga</x:v>
      </x:c>
      <x:c r="AB2188" t="str">
        <x:v>Campus=80; Ratio=29.8; Prodi=45; RelDemand=13.9; Capacity=47.5</x:v>
      </x:c>
    </x:row>
    <x:row r="2189">
      <x:c r="A2189" t="n">
        <x:v>2186</x:v>
      </x:c>
      <x:c r="B2189" t="str">
        <x:v>PTN Akademik</x:v>
      </x:c>
      <x:c r="C2189" t="str">
        <x:v>UNIVERSITAS NEGERI MALANG</x:v>
      </x:c>
      <x:c r="D2189" t="str">
        <x:v>MATEMATIKA</x:v>
      </x:c>
      <x:c r="E2189" t="str">
        <x:v>Sarjana</x:v>
      </x:c>
      <x:c r="F2189" s="18" t="n">
        <x:v>70</x:v>
      </x:c>
      <x:c r="G2189" s="18" t="n">
        <x:v>254</x:v>
      </x:c>
      <x:c r="H2189" s="19" t="n">
        <x:v>3.6285714285714286</x:v>
      </x:c>
      <x:c r="I2189" s="18" t="n">
        <x:f>ROUND(MIN(Model_Config_v3!$B$6,MAX(Q2189,R2189,S2189*Model_Config_v3!$B$4+T2189*Model_Config_v3!$B$5)),0)</x:f>
        <x:v>639</x:v>
      </x:c>
      <x:c r="J2189" s="18" t="n">
        <x:f>MIN(Model_Config_v3!$B$6,I2189+Model_Config_v3!$B$7)</x:f>
        <x:v>659</x:v>
      </x:c>
      <x:c r="K2189" s="20" t="n">
        <x:v>52</x:v>
      </x:c>
      <x:c r="L2189" t="str">
        <x:v>MENENGAH</x:v>
      </x:c>
      <x:c r="M2189" t="str">
        <x:v>SEDANG+</x:v>
      </x:c>
      <x:c r="N2189" t="str">
        <x:v>ELITE-3</x:v>
      </x:c>
      <x:c r="O2189" t="str">
        <x:v>SAINTEK</x:v>
      </x:c>
      <x:c r="P2189" t="str">
        <x:v>SAINS DASAR</x:v>
      </x:c>
      <x:c r="Q2189" s="18" t="n">
        <x:v>620</x:v>
      </x:c>
      <x:c r="R2189" s="18" t="n">
        <x:v>0</x:v>
      </x:c>
      <x:c r="S2189" s="18" t="n">
        <x:v>581.570924426625</x:v>
      </x:c>
      <x:c r="T2189" s="18" t="n">
        <x:v>664</x:v>
      </x:c>
      <x:c r="U2189" s="18" t="n">
        <x:v>620</x:v>
      </x:c>
      <x:c r="V2189" s="20" t="n">
        <x:v>12</x:v>
      </x:c>
      <x:c r="W2189" s="20" t="n">
        <x:v>5</x:v>
      </x:c>
      <x:c r="X2189" s="20" t="n">
        <x:v>3</x:v>
      </x:c>
      <x:c r="Y2189" t="str">
        <x:v>Basis arsip 2025/2024</x:v>
      </x:c>
      <x:c r="Z2189" t="str">
        <x:v>https://snpmb.id/utbk-snbt/daya-tampung-snbt</x:v>
      </x:c>
      <x:c r="AA2189" t="str">
        <x:v>Tidak Ada</x:v>
      </x:c>
      <x:c r="AB2189" t="str">
        <x:v>Campus=80; Ratio=32.9; Prodi=50; RelDemand=15.7; Capacity=41.7</x:v>
      </x:c>
    </x:row>
    <x:row r="2190">
      <x:c r="A2190" t="n">
        <x:v>2187</x:v>
      </x:c>
      <x:c r="B2190" t="str">
        <x:v>PTN Akademik</x:v>
      </x:c>
      <x:c r="C2190" t="str">
        <x:v>UNIVERSITAS NEGERI MALANG</x:v>
      </x:c>
      <x:c r="D2190" t="str">
        <x:v>FISIKA</x:v>
      </x:c>
      <x:c r="E2190" t="str">
        <x:v>Sarjana</x:v>
      </x:c>
      <x:c r="F2190" s="18" t="n">
        <x:v>65</x:v>
      </x:c>
      <x:c r="G2190" s="18" t="n">
        <x:v>149</x:v>
      </x:c>
      <x:c r="H2190" s="19" t="n">
        <x:v>2.292307692307692</x:v>
      </x:c>
      <x:c r="I2190" s="18" t="n">
        <x:f>ROUND(MIN(Model_Config_v3!$B$6,MAX(Q2190,R2190,S2190*Model_Config_v3!$B$4+T2190*Model_Config_v3!$B$5)),0)</x:f>
        <x:v>628</x:v>
      </x:c>
      <x:c r="J2190" s="18" t="n">
        <x:f>MIN(Model_Config_v3!$B$6,I2190+Model_Config_v3!$B$7)</x:f>
        <x:v>648</x:v>
      </x:c>
      <x:c r="K2190" s="20" t="n">
        <x:v>48.9</x:v>
      </x:c>
      <x:c r="L2190" t="str">
        <x:v>MENENGAH</x:v>
      </x:c>
      <x:c r="M2190" t="str">
        <x:v>SEDANG+</x:v>
      </x:c>
      <x:c r="N2190" t="str">
        <x:v>ELITE-3</x:v>
      </x:c>
      <x:c r="O2190" t="str">
        <x:v>SAINTEK</x:v>
      </x:c>
      <x:c r="P2190" t="str">
        <x:v>SAINS DASAR</x:v>
      </x:c>
      <x:c r="Q2190" s="18" t="n">
        <x:v>620</x:v>
      </x:c>
      <x:c r="R2190" s="18" t="n">
        <x:v>0</x:v>
      </x:c>
      <x:c r="S2190" s="18" t="n">
        <x:v>559.630020294636</x:v>
      </x:c>
      <x:c r="T2190" s="18" t="n">
        <x:v>658</x:v>
      </x:c>
      <x:c r="U2190" s="18" t="n">
        <x:v>620</x:v>
      </x:c>
      <x:c r="V2190" s="20" t="n">
        <x:v>12</x:v>
      </x:c>
      <x:c r="W2190" s="20" t="n">
        <x:v>5</x:v>
      </x:c>
      <x:c r="X2190" s="20" t="n">
        <x:v>3</x:v>
      </x:c>
      <x:c r="Y2190" t="str">
        <x:v>Basis arsip 2025/2024</x:v>
      </x:c>
      <x:c r="Z2190" t="str">
        <x:v>https://snpmb.id/utbk-snbt/daya-tampung-snbt</x:v>
      </x:c>
      <x:c r="AA2190" t="str">
        <x:v>Tidak Ada</x:v>
      </x:c>
      <x:c r="AB2190" t="str">
        <x:v>Campus=80; Ratio=21.2; Prodi=50; RelDemand=9.9; Capacity=45.8</x:v>
      </x:c>
    </x:row>
    <x:row r="2191">
      <x:c r="A2191" t="n">
        <x:v>2188</x:v>
      </x:c>
      <x:c r="B2191" t="str">
        <x:v>PTN Akademik</x:v>
      </x:c>
      <x:c r="C2191" t="str">
        <x:v>UNIVERSITAS NEGERI MALANG</x:v>
      </x:c>
      <x:c r="D2191" t="str">
        <x:v>KIMIA</x:v>
      </x:c>
      <x:c r="E2191" t="str">
        <x:v>Sarjana</x:v>
      </x:c>
      <x:c r="F2191" s="18" t="n">
        <x:v>56</x:v>
      </x:c>
      <x:c r="G2191" s="18" t="n">
        <x:v>255</x:v>
      </x:c>
      <x:c r="H2191" s="19" t="n">
        <x:v>4.553571428571429</x:v>
      </x:c>
      <x:c r="I2191" s="18" t="n">
        <x:f>ROUND(MIN(Model_Config_v3!$B$6,MAX(Q2191,R2191,S2191*Model_Config_v3!$B$4+T2191*Model_Config_v3!$B$5)),0)</x:f>
        <x:v>647</x:v>
      </x:c>
      <x:c r="J2191" s="18" t="n">
        <x:f>MIN(Model_Config_v3!$B$6,I2191+Model_Config_v3!$B$7)</x:f>
        <x:v>667</x:v>
      </x:c>
      <x:c r="K2191" s="20" t="n">
        <x:v>55</x:v>
      </x:c>
      <x:c r="L2191" t="str">
        <x:v>KETAT</x:v>
      </x:c>
      <x:c r="M2191" t="str">
        <x:v>SEDANG+</x:v>
      </x:c>
      <x:c r="N2191" t="str">
        <x:v>ELITE-3</x:v>
      </x:c>
      <x:c r="O2191" t="str">
        <x:v>SAINTEK</x:v>
      </x:c>
      <x:c r="P2191" t="str">
        <x:v>SAINS DASAR</x:v>
      </x:c>
      <x:c r="Q2191" s="18" t="n">
        <x:v>620</x:v>
      </x:c>
      <x:c r="R2191" s="18" t="n">
        <x:v>0</x:v>
      </x:c>
      <x:c r="S2191" s="18" t="n">
        <x:v>592.418736877053</x:v>
      </x:c>
      <x:c r="T2191" s="18" t="n">
        <x:v>670</x:v>
      </x:c>
      <x:c r="U2191" s="18" t="n">
        <x:v>620</x:v>
      </x:c>
      <x:c r="V2191" s="20" t="n">
        <x:v>12</x:v>
      </x:c>
      <x:c r="W2191" s="20" t="n">
        <x:v>5</x:v>
      </x:c>
      <x:c r="X2191" s="20" t="n">
        <x:v>3</x:v>
      </x:c>
      <x:c r="Y2191" t="str">
        <x:v>Basis arsip 2025/2024</x:v>
      </x:c>
      <x:c r="Z2191" t="str">
        <x:v>https://snpmb.id/utbk-snbt/daya-tampung-snbt</x:v>
      </x:c>
      <x:c r="AA2191" t="str">
        <x:v>Tidak Ada</x:v>
      </x:c>
      <x:c r="AB2191" t="str">
        <x:v>Campus=80; Ratio=38.8; Prodi=50; RelDemand=19.7; Capacity=53.3</x:v>
      </x:c>
    </x:row>
    <x:row r="2192">
      <x:c r="A2192" t="n">
        <x:v>2189</x:v>
      </x:c>
      <x:c r="B2192" t="str">
        <x:v>PTN Akademik</x:v>
      </x:c>
      <x:c r="C2192" t="str">
        <x:v>UNIVERSITAS NEGERI MALANG</x:v>
      </x:c>
      <x:c r="D2192" t="str">
        <x:v>BIOLOGI</x:v>
      </x:c>
      <x:c r="E2192" t="str">
        <x:v>Sarjana</x:v>
      </x:c>
      <x:c r="F2192" s="18" t="n">
        <x:v>45</x:v>
      </x:c>
      <x:c r="G2192" s="18" t="n">
        <x:v>270</x:v>
      </x:c>
      <x:c r="H2192" s="19" t="n">
        <x:v>6</x:v>
      </x:c>
      <x:c r="I2192" s="18" t="n">
        <x:f>ROUND(MIN(Model_Config_v3!$B$6,MAX(Q2192,R2192,S2192*Model_Config_v3!$B$4+T2192*Model_Config_v3!$B$5)),0)</x:f>
        <x:v>656</x:v>
      </x:c>
      <x:c r="J2192" s="18" t="n">
        <x:f>MIN(Model_Config_v3!$B$6,I2192+Model_Config_v3!$B$7)</x:f>
        <x:v>676</x:v>
      </x:c>
      <x:c r="K2192" s="20" t="n">
        <x:v>58.3</x:v>
      </x:c>
      <x:c r="L2192" t="str">
        <x:v>KETAT</x:v>
      </x:c>
      <x:c r="M2192" t="str">
        <x:v>SEDANG+</x:v>
      </x:c>
      <x:c r="N2192" t="str">
        <x:v>ELITE-3</x:v>
      </x:c>
      <x:c r="O2192" t="str">
        <x:v>SAINTEK</x:v>
      </x:c>
      <x:c r="P2192" t="str">
        <x:v>SAINS DASAR</x:v>
      </x:c>
      <x:c r="Q2192" s="18" t="n">
        <x:v>620</x:v>
      </x:c>
      <x:c r="R2192" s="18" t="n">
        <x:v>0</x:v>
      </x:c>
      <x:c r="S2192" s="18" t="n">
        <x:v>605.5966375422008</x:v>
      </x:c>
      <x:c r="T2192" s="18" t="n">
        <x:v>677</x:v>
      </x:c>
      <x:c r="U2192" s="18" t="n">
        <x:v>620</x:v>
      </x:c>
      <x:c r="V2192" s="20" t="n">
        <x:v>12</x:v>
      </x:c>
      <x:c r="W2192" s="20" t="n">
        <x:v>5</x:v>
      </x:c>
      <x:c r="X2192" s="20" t="n">
        <x:v>3</x:v>
      </x:c>
      <x:c r="Y2192" t="str">
        <x:v>Basis arsip 2025/2024</x:v>
      </x:c>
      <x:c r="Z2192" t="str">
        <x:v>https://snpmb.id/utbk-snbt/daya-tampung-snbt</x:v>
      </x:c>
      <x:c r="AA2192" t="str">
        <x:v>Tidak Ada</x:v>
      </x:c>
      <x:c r="AB2192" t="str">
        <x:v>Campus=80; Ratio=45.8; Prodi=50; RelDemand=26.0; Capacity=62.5</x:v>
      </x:c>
    </x:row>
    <x:row r="2193">
      <x:c r="A2193" t="n">
        <x:v>2190</x:v>
      </x:c>
      <x:c r="B2193" t="str">
        <x:v>PTN Akademik</x:v>
      </x:c>
      <x:c r="C2193" t="str">
        <x:v>UNIVERSITAS NEGERI MALANG</x:v>
      </x:c>
      <x:c r="D2193" t="str">
        <x:v>PENDIDIKAN TEKNIK ELEKTRO</x:v>
      </x:c>
      <x:c r="E2193" t="str">
        <x:v>Sarjana</x:v>
      </x:c>
      <x:c r="F2193" s="18" t="n">
        <x:v>42</x:v>
      </x:c>
      <x:c r="G2193" s="18" t="n">
        <x:v>139</x:v>
      </x:c>
      <x:c r="H2193" s="19" t="n">
        <x:v>3.3095238095238093</x:v>
      </x:c>
      <x:c r="I2193" s="18" t="n">
        <x:f>ROUND(MIN(Model_Config_v3!$B$6,MAX(Q2193,R2193,S2193*Model_Config_v3!$B$4+T2193*Model_Config_v3!$B$5)),0)</x:f>
        <x:v>639</x:v>
      </x:c>
      <x:c r="J2193" s="18" t="n">
        <x:f>MIN(Model_Config_v3!$B$6,I2193+Model_Config_v3!$B$7)</x:f>
        <x:v>659</x:v>
      </x:c>
      <x:c r="K2193" s="20" t="n">
        <x:v>52.6</x:v>
      </x:c>
      <x:c r="L2193" t="str">
        <x:v>MENENGAH</x:v>
      </x:c>
      <x:c r="M2193" t="str">
        <x:v>SEDANG+</x:v>
      </x:c>
      <x:c r="N2193" t="str">
        <x:v>ELITE-3</x:v>
      </x:c>
      <x:c r="O2193" t="str">
        <x:v>SAINTEK</x:v>
      </x:c>
      <x:c r="P2193" t="str">
        <x:v>PENDIDIKAN</x:v>
      </x:c>
      <x:c r="Q2193" s="18" t="n">
        <x:v>620</x:v>
      </x:c>
      <x:c r="R2193" s="18" t="n">
        <x:v>0</x:v>
      </x:c>
      <x:c r="S2193" s="18" t="n">
        <x:v>577.1742060841814</x:v>
      </x:c>
      <x:c r="T2193" s="18" t="n">
        <x:v>665</x:v>
      </x:c>
      <x:c r="U2193" s="18" t="n">
        <x:v>620</x:v>
      </x:c>
      <x:c r="V2193" s="20" t="n">
        <x:v>12</x:v>
      </x:c>
      <x:c r="W2193" s="20" t="n">
        <x:v>5</x:v>
      </x:c>
      <x:c r="X2193" s="20" t="n">
        <x:v>3</x:v>
      </x:c>
      <x:c r="Y2193" t="str">
        <x:v>Basis arsip 2025/2024</x:v>
      </x:c>
      <x:c r="Z2193" t="str">
        <x:v>https://snpmb.id/utbk-snbt/daya-tampung-snbt</x:v>
      </x:c>
      <x:c r="AA2193" t="str">
        <x:v>Tidak Ada</x:v>
      </x:c>
      <x:c r="AB2193" t="str">
        <x:v>Campus=80; Ratio=30.6; Prodi=45; RelDemand=14.3; Capacity=65.0</x:v>
      </x:c>
    </x:row>
    <x:row r="2194">
      <x:c r="A2194" t="n">
        <x:v>2191</x:v>
      </x:c>
      <x:c r="B2194" t="str">
        <x:v>PTN Akademik</x:v>
      </x:c>
      <x:c r="C2194" t="str">
        <x:v>UNIVERSITAS NEGERI MALANG</x:v>
      </x:c>
      <x:c r="D2194" t="str">
        <x:v>TEKNIK SIPIL</x:v>
      </x:c>
      <x:c r="E2194" t="str">
        <x:v>Sarjana</x:v>
      </x:c>
      <x:c r="F2194" s="18" t="n">
        <x:v>45</x:v>
      </x:c>
      <x:c r="G2194" s="18" t="n">
        <x:v>844</x:v>
      </x:c>
      <x:c r="H2194" s="19" t="n">
        <x:v>18.755555555555556</x:v>
      </x:c>
      <x:c r="I2194" s="18" t="n">
        <x:f>ROUND(MIN(Model_Config_v3!$B$6,MAX(Q2194,R2194,S2194*Model_Config_v3!$B$4+T2194*Model_Config_v3!$B$5)),0)</x:f>
        <x:v>692</x:v>
      </x:c>
      <x:c r="J2194" s="18" t="n">
        <x:f>MIN(Model_Config_v3!$B$6,I2194+Model_Config_v3!$B$7)</x:f>
        <x:v>712</x:v>
      </x:c>
      <x:c r="K2194" s="20" t="n">
        <x:v>73.1</x:v>
      </x:c>
      <x:c r="L2194" t="str">
        <x:v>SANGAT KETAT</x:v>
      </x:c>
      <x:c r="M2194" t="str">
        <x:v>SEDANG+</x:v>
      </x:c>
      <x:c r="N2194" t="str">
        <x:v>ELITE-3</x:v>
      </x:c>
      <x:c r="O2194" t="str">
        <x:v>SAINTEK</x:v>
      </x:c>
      <x:c r="P2194" t="str">
        <x:v>TEKNIK/ARSITEKTUR/STATISTIKA/AKTUARIA</x:v>
      </x:c>
      <x:c r="Q2194" s="18" t="n">
        <x:v>620</x:v>
      </x:c>
      <x:c r="R2194" s="18" t="n">
        <x:v>0</x:v>
      </x:c>
      <x:c r="S2194" s="18" t="n">
        <x:v>660.0442926135343</x:v>
      </x:c>
      <x:c r="T2194" s="18" t="n">
        <x:v>706</x:v>
      </x:c>
      <x:c r="U2194" s="18" t="n">
        <x:v>670.0442926135343</x:v>
      </x:c>
      <x:c r="V2194" s="20" t="n">
        <x:v>12</x:v>
      </x:c>
      <x:c r="W2194" s="20" t="n">
        <x:v>5</x:v>
      </x:c>
      <x:c r="X2194" s="20" t="n">
        <x:v>3</x:v>
      </x:c>
      <x:c r="Y2194" t="str">
        <x:v>Basis arsip 2025/2024</x:v>
      </x:c>
      <x:c r="Z2194" t="str">
        <x:v>https://snpmb.id/utbk-snbt/daya-tampung-snbt</x:v>
      </x:c>
      <x:c r="AA2194" t="str">
        <x:v>Tidak Ada</x:v>
      </x:c>
      <x:c r="AB2194" t="str">
        <x:v>Campus=80; Ratio=74.9; Prodi=60; RelDemand=81.3; Capacity=62.5</x:v>
      </x:c>
    </x:row>
    <x:row r="2195">
      <x:c r="A2195" t="n">
        <x:v>2192</x:v>
      </x:c>
      <x:c r="B2195" t="str">
        <x:v>PTN Akademik</x:v>
      </x:c>
      <x:c r="C2195" t="str">
        <x:v>UNIVERSITAS NEGERI MALANG</x:v>
      </x:c>
      <x:c r="D2195" t="str">
        <x:v>PENDIDIKAN ILMU PENGETAHUAN ALAM</x:v>
      </x:c>
      <x:c r="E2195" t="str">
        <x:v>Sarjana</x:v>
      </x:c>
      <x:c r="F2195" s="18" t="n">
        <x:v>80</x:v>
      </x:c>
      <x:c r="G2195" s="18" t="n">
        <x:v>383</x:v>
      </x:c>
      <x:c r="H2195" s="19" t="n">
        <x:v>4.7875</x:v>
      </x:c>
      <x:c r="I2195" s="18" t="n">
        <x:f>ROUND(MIN(Model_Config_v3!$B$6,MAX(Q2195,R2195,S2195*Model_Config_v3!$B$4+T2195*Model_Config_v3!$B$5)),0)</x:f>
        <x:v>644</x:v>
      </x:c>
      <x:c r="J2195" s="18" t="n">
        <x:f>MIN(Model_Config_v3!$B$6,I2195+Model_Config_v3!$B$7)</x:f>
        <x:v>664</x:v>
      </x:c>
      <x:c r="K2195" s="20" t="n">
        <x:v>52.4</x:v>
      </x:c>
      <x:c r="L2195" t="str">
        <x:v>MENENGAH</x:v>
      </x:c>
      <x:c r="M2195" t="str">
        <x:v>SEDANG+</x:v>
      </x:c>
      <x:c r="N2195" t="str">
        <x:v>ELITE-3</x:v>
      </x:c>
      <x:c r="O2195" t="str">
        <x:v>CAMPURAN</x:v>
      </x:c>
      <x:c r="P2195" t="str">
        <x:v>PENDIDIKAN</x:v>
      </x:c>
      <x:c r="Q2195" s="18" t="n">
        <x:v>620</x:v>
      </x:c>
      <x:c r="R2195" s="18" t="n">
        <x:v>0</x:v>
      </x:c>
      <x:c r="S2195" s="18" t="n">
        <x:v>594.8119665674346</x:v>
      </x:c>
      <x:c r="T2195" s="18" t="n">
        <x:v>665</x:v>
      </x:c>
      <x:c r="U2195" s="18" t="n">
        <x:v>620</x:v>
      </x:c>
      <x:c r="V2195" s="20" t="n">
        <x:v>8.8</x:v>
      </x:c>
      <x:c r="W2195" s="20" t="n">
        <x:v>9.9</x:v>
      </x:c>
      <x:c r="X2195" s="20" t="n">
        <x:v>3.3</x:v>
      </x:c>
      <x:c r="Y2195" t="str">
        <x:v>Basis arsip 2025/2024</x:v>
      </x:c>
      <x:c r="Z2195" t="str">
        <x:v>https://snpmb.id/utbk-snbt/daya-tampung-snbt</x:v>
      </x:c>
      <x:c r="AA2195" t="str">
        <x:v>Tidak Ada</x:v>
      </x:c>
      <x:c r="AB2195" t="str">
        <x:v>Campus=80; Ratio=40.0; Prodi=45; RelDemand=20.8; Capacity=33.3</x:v>
      </x:c>
    </x:row>
    <x:row r="2196">
      <x:c r="A2196" t="n">
        <x:v>2193</x:v>
      </x:c>
      <x:c r="B2196" t="str">
        <x:v>PTN Akademik</x:v>
      </x:c>
      <x:c r="C2196" t="str">
        <x:v>UNIVERSITAS NEGERI MALANG</x:v>
      </x:c>
      <x:c r="D2196" t="str">
        <x:v>ILMU KESEHATAN MASYARAKAT</x:v>
      </x:c>
      <x:c r="E2196" t="str">
        <x:v>Sarjana</x:v>
      </x:c>
      <x:c r="F2196" s="18" t="n">
        <x:v>120</x:v>
      </x:c>
      <x:c r="G2196" s="18" t="n">
        <x:v>1675</x:v>
      </x:c>
      <x:c r="H2196" s="19" t="n">
        <x:v>13.958333333333334</x:v>
      </x:c>
      <x:c r="I2196" s="18" t="n">
        <x:f>ROUND(MIN(Model_Config_v3!$B$6,MAX(Q2196,R2196,S2196*Model_Config_v3!$B$4+T2196*Model_Config_v3!$B$5)),0)</x:f>
        <x:v>673</x:v>
      </x:c>
      <x:c r="J2196" s="18" t="n">
        <x:f>MIN(Model_Config_v3!$B$6,I2196+Model_Config_v3!$B$7)</x:f>
        <x:v>693</x:v>
      </x:c>
      <x:c r="K2196" s="20" t="n">
        <x:v>61.9</x:v>
      </x:c>
      <x:c r="L2196" t="str">
        <x:v>KETAT</x:v>
      </x:c>
      <x:c r="M2196" t="str">
        <x:v>SEDANG+</x:v>
      </x:c>
      <x:c r="N2196" t="str">
        <x:v>ELITE-3</x:v>
      </x:c>
      <x:c r="O2196" t="str">
        <x:v>SAINTEK</x:v>
      </x:c>
      <x:c r="P2196" t="str">
        <x:v>KESEHAT/GIZI/KEPERAWATAN</x:v>
      </x:c>
      <x:c r="Q2196" s="18" t="n">
        <x:v>620</x:v>
      </x:c>
      <x:c r="R2196" s="18" t="n">
        <x:v>0</x:v>
      </x:c>
      <x:c r="S2196" s="18" t="n">
        <x:v>645.9316921857763</x:v>
      </x:c>
      <x:c r="T2196" s="18" t="n">
        <x:v>684</x:v>
      </x:c>
      <x:c r="U2196" s="18" t="n">
        <x:v>645.9316921857763</x:v>
      </x:c>
      <x:c r="V2196" s="20" t="n">
        <x:v>12</x:v>
      </x:c>
      <x:c r="W2196" s="20" t="n">
        <x:v>5</x:v>
      </x:c>
      <x:c r="X2196" s="20" t="n">
        <x:v>3</x:v>
      </x:c>
      <x:c r="Y2196" t="str">
        <x:v>Basis arsip 2025/2024</x:v>
      </x:c>
      <x:c r="Z2196" t="str">
        <x:v>https://snpmb.id/utbk-snbt/daya-tampung-snbt</x:v>
      </x:c>
      <x:c r="AA2196" t="str">
        <x:v>Tidak Ada</x:v>
      </x:c>
      <x:c r="AB2196" t="str">
        <x:v>Campus=80; Ratio=67.4; Prodi=55; RelDemand=60.5; Capacity=0.0</x:v>
      </x:c>
    </x:row>
    <x:row r="2197">
      <x:c r="A2197" t="n">
        <x:v>2194</x:v>
      </x:c>
      <x:c r="B2197" t="str">
        <x:v>PTN Akademik</x:v>
      </x:c>
      <x:c r="C2197" t="str">
        <x:v>UNIVERSITAS NEGERI MALANG</x:v>
      </x:c>
      <x:c r="D2197" t="str">
        <x:v>TEKNIK MESIN</x:v>
      </x:c>
      <x:c r="E2197" t="str">
        <x:v>Sarjana</x:v>
      </x:c>
      <x:c r="F2197" s="18" t="n">
        <x:v>36</x:v>
      </x:c>
      <x:c r="G2197" s="18" t="n">
        <x:v>681</x:v>
      </x:c>
      <x:c r="H2197" s="19" t="n">
        <x:v>18.916666666666668</x:v>
      </x:c>
      <x:c r="I2197" s="18" t="n">
        <x:f>ROUND(MIN(Model_Config_v3!$B$6,MAX(Q2197,R2197,S2197*Model_Config_v3!$B$4+T2197*Model_Config_v3!$B$5)),0)</x:f>
        <x:v>694</x:v>
      </x:c>
      <x:c r="J2197" s="18" t="n">
        <x:f>MIN(Model_Config_v3!$B$6,I2197+Model_Config_v3!$B$7)</x:f>
        <x:v>714</x:v>
      </x:c>
      <x:c r="K2197" s="20" t="n">
        <x:v>74</x:v>
      </x:c>
      <x:c r="L2197" t="str">
        <x:v>SANGAT KETAT</x:v>
      </x:c>
      <x:c r="M2197" t="str">
        <x:v>SEDANG+</x:v>
      </x:c>
      <x:c r="N2197" t="str">
        <x:v>ELITE-3</x:v>
      </x:c>
      <x:c r="O2197" t="str">
        <x:v>SAINTEK</x:v>
      </x:c>
      <x:c r="P2197" t="str">
        <x:v>TEKNIK/ARSITEKTUR/STATISTIKA/AKTUARIA</x:v>
      </x:c>
      <x:c r="Q2197" s="18" t="n">
        <x:v>620</x:v>
      </x:c>
      <x:c r="R2197" s="18" t="n">
        <x:v>0</x:v>
      </x:c>
      <x:c r="S2197" s="18" t="n">
        <x:v>660.4529072260048</x:v>
      </x:c>
      <x:c r="T2197" s="18" t="n">
        <x:v>708</x:v>
      </x:c>
      <x:c r="U2197" s="18" t="n">
        <x:v>670.4529072260048</x:v>
      </x:c>
      <x:c r="V2197" s="20" t="n">
        <x:v>12</x:v>
      </x:c>
      <x:c r="W2197" s="20" t="n">
        <x:v>5</x:v>
      </x:c>
      <x:c r="X2197" s="20" t="n">
        <x:v>3</x:v>
      </x:c>
      <x:c r="Y2197" t="str">
        <x:v>Basis arsip 2025/2024</x:v>
      </x:c>
      <x:c r="Z2197" t="str">
        <x:v>https://snpmb.id/utbk-snbt/daya-tampung-snbt</x:v>
      </x:c>
      <x:c r="AA2197" t="str">
        <x:v>Tidak Ada</x:v>
      </x:c>
      <x:c r="AB2197" t="str">
        <x:v>Campus=80; Ratio=75.2; Prodi=60; RelDemand=82.0; Capacity=70.0</x:v>
      </x:c>
    </x:row>
    <x:row r="2198">
      <x:c r="A2198" t="n">
        <x:v>2195</x:v>
      </x:c>
      <x:c r="B2198" t="str">
        <x:v>PTN Akademik</x:v>
      </x:c>
      <x:c r="C2198" t="str">
        <x:v>UNIVERSITAS NEGERI MALANG</x:v>
      </x:c>
      <x:c r="D2198" t="str">
        <x:v>TEKNIK ELEKTRO</x:v>
      </x:c>
      <x:c r="E2198" t="str">
        <x:v>Sarjana</x:v>
      </x:c>
      <x:c r="F2198" s="18" t="n">
        <x:v>36</x:v>
      </x:c>
      <x:c r="G2198" s="18" t="n">
        <x:v>582</x:v>
      </x:c>
      <x:c r="H2198" s="19" t="n">
        <x:v>16.166666666666668</x:v>
      </x:c>
      <x:c r="I2198" s="18" t="n">
        <x:f>ROUND(MIN(Model_Config_v3!$B$6,MAX(Q2198,R2198,S2198*Model_Config_v3!$B$4+T2198*Model_Config_v3!$B$5)),0)</x:f>
        <x:v>689</x:v>
      </x:c>
      <x:c r="J2198" s="18" t="n">
        <x:f>MIN(Model_Config_v3!$B$6,I2198+Model_Config_v3!$B$7)</x:f>
        <x:v>709</x:v>
      </x:c>
      <x:c r="K2198" s="20" t="n">
        <x:v>71.8</x:v>
      </x:c>
      <x:c r="L2198" t="str">
        <x:v>SANGAT KETAT</x:v>
      </x:c>
      <x:c r="M2198" t="str">
        <x:v>SEDANG+</x:v>
      </x:c>
      <x:c r="N2198" t="str">
        <x:v>ELITE-3</x:v>
      </x:c>
      <x:c r="O2198" t="str">
        <x:v>SAINTEK</x:v>
      </x:c>
      <x:c r="P2198" t="str">
        <x:v>TEKNIK/ARSITEKTUR/STATISTIKA/AKTUARIA</x:v>
      </x:c>
      <x:c r="Q2198" s="18" t="n">
        <x:v>620</x:v>
      </x:c>
      <x:c r="R2198" s="18" t="n">
        <x:v>0</x:v>
      </x:c>
      <x:c r="S2198" s="18" t="n">
        <x:v>652.9482532270861</x:v>
      </x:c>
      <x:c r="T2198" s="18" t="n">
        <x:v>704</x:v>
      </x:c>
      <x:c r="U2198" s="18" t="n">
        <x:v>662.9482532270861</x:v>
      </x:c>
      <x:c r="V2198" s="20" t="n">
        <x:v>12</x:v>
      </x:c>
      <x:c r="W2198" s="20" t="n">
        <x:v>5</x:v>
      </x:c>
      <x:c r="X2198" s="20" t="n">
        <x:v>3</x:v>
      </x:c>
      <x:c r="Y2198" t="str">
        <x:v>Basis arsip 2025/2024</x:v>
      </x:c>
      <x:c r="Z2198" t="str">
        <x:v>https://snpmb.id/utbk-snbt/daya-tampung-snbt</x:v>
      </x:c>
      <x:c r="AA2198" t="str">
        <x:v>Tidak Ada</x:v>
      </x:c>
      <x:c r="AB2198" t="str">
        <x:v>Campus=80; Ratio=71.1; Prodi=60; RelDemand=70.1; Capacity=70.0</x:v>
      </x:c>
    </x:row>
    <x:row r="2199">
      <x:c r="A2199" t="n">
        <x:v>2196</x:v>
      </x:c>
      <x:c r="B2199" t="str">
        <x:v>PTN Akademik</x:v>
      </x:c>
      <x:c r="C2199" t="str">
        <x:v>UNIVERSITAS NEGERI MALANG</x:v>
      </x:c>
      <x:c r="D2199" t="str">
        <x:v>TEKNIK INFORMATIKA</x:v>
      </x:c>
      <x:c r="E2199" t="str">
        <x:v>Sarjana</x:v>
      </x:c>
      <x:c r="F2199" s="18" t="n">
        <x:v>36</x:v>
      </x:c>
      <x:c r="G2199" s="18" t="n">
        <x:v>1466</x:v>
      </x:c>
      <x:c r="H2199" s="19" t="n">
        <x:v>40.72222222222222</x:v>
      </x:c>
      <x:c r="I2199" s="18" t="n">
        <x:f>ROUND(MIN(Model_Config_v3!$B$6,MAX(Q2199,R2199,S2199*Model_Config_v3!$B$4+T2199*Model_Config_v3!$B$5)),0)</x:f>
        <x:v>721</x:v>
      </x:c>
      <x:c r="J2199" s="18" t="n">
        <x:f>MIN(Model_Config_v3!$B$6,I2199+Model_Config_v3!$B$7)</x:f>
        <x:v>741</x:v>
      </x:c>
      <x:c r="K2199" s="20" t="n">
        <x:v>85.7</x:v>
      </x:c>
      <x:c r="L2199" t="str">
        <x:v>ULTRA ELITE</x:v>
      </x:c>
      <x:c r="M2199" t="str">
        <x:v>SEDANG+</x:v>
      </x:c>
      <x:c r="N2199" t="str">
        <x:v>ELITE-3</x:v>
      </x:c>
      <x:c r="O2199" t="str">
        <x:v>SAINTEK</x:v>
      </x:c>
      <x:c r="P2199" t="str">
        <x:v>KOMPUTER/INFORMATIKA</x:v>
      </x:c>
      <x:c r="Q2199" s="18" t="n">
        <x:v>620</x:v>
      </x:c>
      <x:c r="R2199" s="18" t="n">
        <x:v>675</x:v>
      </x:c>
      <x:c r="S2199" s="18" t="n">
        <x:v>697.0814616491604</x:v>
      </x:c>
      <x:c r="T2199" s="18" t="n">
        <x:v>731</x:v>
      </x:c>
      <x:c r="U2199" s="18" t="n">
        <x:v>722.0814616491604</x:v>
      </x:c>
      <x:c r="V2199" s="20" t="n">
        <x:v>12</x:v>
      </x:c>
      <x:c r="W2199" s="20" t="n">
        <x:v>5</x:v>
      </x:c>
      <x:c r="X2199" s="20" t="n">
        <x:v>3</x:v>
      </x:c>
      <x:c r="Y2199" t="str">
        <x:v>Basis arsip 2025/2024</x:v>
      </x:c>
      <x:c r="Z2199" t="str">
        <x:v>https://snpmb.id/utbk-snbt/daya-tampung-snbt</x:v>
      </x:c>
      <x:c r="AA2199" t="str">
        <x:v>Tidak Ada</x:v>
      </x:c>
      <x:c r="AB2199" t="str">
        <x:v>Campus=80; Ratio=94.8; Prodi=85; RelDemand=100.0; Capacity=70.0</x:v>
      </x:c>
    </x:row>
    <x:row r="2200">
      <x:c r="A2200" t="n">
        <x:v>2197</x:v>
      </x:c>
      <x:c r="B2200" t="str">
        <x:v>PTN Akademik</x:v>
      </x:c>
      <x:c r="C2200" t="str">
        <x:v>UNIVERSITAS NEGERI MALANG</x:v>
      </x:c>
      <x:c r="D2200" t="str">
        <x:v>TEKNIK INDUSTRI</x:v>
      </x:c>
      <x:c r="E2200" t="str">
        <x:v>Sarjana</x:v>
      </x:c>
      <x:c r="F2200" s="18" t="n">
        <x:v>36</x:v>
      </x:c>
      <x:c r="G2200" s="18" t="n">
        <x:v>948</x:v>
      </x:c>
      <x:c r="H2200" s="19" t="n">
        <x:v>26.333333333333332</x:v>
      </x:c>
      <x:c r="I2200" s="18" t="n">
        <x:f>ROUND(MIN(Model_Config_v3!$B$6,MAX(Q2200,R2200,S2200*Model_Config_v3!$B$4+T2200*Model_Config_v3!$B$5)),0)</x:f>
        <x:v>704</x:v>
      </x:c>
      <x:c r="J2200" s="18" t="n">
        <x:f>MIN(Model_Config_v3!$B$6,I2200+Model_Config_v3!$B$7)</x:f>
        <x:v>724</x:v>
      </x:c>
      <x:c r="K2200" s="20" t="n">
        <x:v>77.9</x:v>
      </x:c>
      <x:c r="L2200" t="str">
        <x:v>ELITE</x:v>
      </x:c>
      <x:c r="M2200" t="str">
        <x:v>SEDANG+</x:v>
      </x:c>
      <x:c r="N2200" t="str">
        <x:v>ELITE-3</x:v>
      </x:c>
      <x:c r="O2200" t="str">
        <x:v>SAINTEK</x:v>
      </x:c>
      <x:c r="P2200" t="str">
        <x:v>TEKNIK/ARSITEKTUR/STATISTIKA/AKTUARIA</x:v>
      </x:c>
      <x:c r="Q2200" s="18" t="n">
        <x:v>620</x:v>
      </x:c>
      <x:c r="R2200" s="18" t="n">
        <x:v>0</x:v>
      </x:c>
      <x:c r="S2200" s="18" t="n">
        <x:v>676.2556420227857</x:v>
      </x:c>
      <x:c r="T2200" s="18" t="n">
        <x:v>716</x:v>
      </x:c>
      <x:c r="U2200" s="18" t="n">
        <x:v>686.2556420227857</x:v>
      </x:c>
      <x:c r="V2200" s="20" t="n">
        <x:v>12</x:v>
      </x:c>
      <x:c r="W2200" s="20" t="n">
        <x:v>5</x:v>
      </x:c>
      <x:c r="X2200" s="20" t="n">
        <x:v>3</x:v>
      </x:c>
      <x:c r="Y2200" t="str">
        <x:v>Basis arsip 2025/2024</x:v>
      </x:c>
      <x:c r="Z2200" t="str">
        <x:v>https://snpmb.id/utbk-snbt/daya-tampung-snbt</x:v>
      </x:c>
      <x:c r="AA2200" t="str">
        <x:v>Tidak Ada</x:v>
      </x:c>
      <x:c r="AB2200" t="str">
        <x:v>Campus=80; Ratio=83.6; Prodi=60; RelDemand=100.0; Capacity=70.0</x:v>
      </x:c>
    </x:row>
    <x:row r="2201">
      <x:c r="A2201" t="n">
        <x:v>2198</x:v>
      </x:c>
      <x:c r="B2201" t="str">
        <x:v>PTN Akademik</x:v>
      </x:c>
      <x:c r="C2201" t="str">
        <x:v>UNIVERSITAS NEGERI MALANG</x:v>
      </x:c>
      <x:c r="D2201" t="str">
        <x:v>BIOTEKNOLOGI</x:v>
      </x:c>
      <x:c r="E2201" t="str">
        <x:v>Sarjana</x:v>
      </x:c>
      <x:c r="F2201" s="18" t="n">
        <x:v>21</x:v>
      </x:c>
      <x:c r="G2201" s="18" t="n">
        <x:v>320</x:v>
      </x:c>
      <x:c r="H2201" s="19" t="n">
        <x:v>15.238095238095237</x:v>
      </x:c>
      <x:c r="I2201" s="18" t="n">
        <x:f>ROUND(MIN(Model_Config_v3!$B$6,MAX(Q2201,R2201,S2201*Model_Config_v3!$B$4+T2201*Model_Config_v3!$B$5)),0)</x:f>
        <x:v>683</x:v>
      </x:c>
      <x:c r="J2201" s="18" t="n">
        <x:f>MIN(Model_Config_v3!$B$6,I2201+Model_Config_v3!$B$7)</x:f>
        <x:v>703</x:v>
      </x:c>
      <x:c r="K2201" s="20" t="n">
        <x:v>68.3</x:v>
      </x:c>
      <x:c r="L2201" t="str">
        <x:v>SANGAT KETAT</x:v>
      </x:c>
      <x:c r="M2201" t="str">
        <x:v>SEDANG+</x:v>
      </x:c>
      <x:c r="N2201" t="str">
        <x:v>ELITE-3</x:v>
      </x:c>
      <x:c r="O2201" t="str">
        <x:v>SAINTEK</x:v>
      </x:c>
      <x:c r="P2201" t="str">
        <x:v>UMUM</x:v>
      </x:c>
      <x:c r="Q2201" s="18" t="n">
        <x:v>620</x:v>
      </x:c>
      <x:c r="R2201" s="18" t="n">
        <x:v>0</x:v>
      </x:c>
      <x:c r="S2201" s="18" t="n">
        <x:v>650.1223751944585</x:v>
      </x:c>
      <x:c r="T2201" s="18" t="n">
        <x:v>697</x:v>
      </x:c>
      <x:c r="U2201" s="18" t="n">
        <x:v>650.1223751944585</x:v>
      </x:c>
      <x:c r="V2201" s="20" t="n">
        <x:v>12</x:v>
      </x:c>
      <x:c r="W2201" s="20" t="n">
        <x:v>5</x:v>
      </x:c>
      <x:c r="X2201" s="20" t="n">
        <x:v>3</x:v>
      </x:c>
      <x:c r="Y2201" t="str">
        <x:v>Basis arsip 2025/2024</x:v>
      </x:c>
      <x:c r="Z2201" t="str">
        <x:v>https://snpmb.id/utbk-snbt/daya-tampung-snbt</x:v>
      </x:c>
      <x:c r="AA2201" t="str">
        <x:v>Tidak Ada</x:v>
      </x:c>
      <x:c r="AB2201" t="str">
        <x:v>Campus=80; Ratio=69.6; Prodi=40; RelDemand=66.1; Capacity=82.5</x:v>
      </x:c>
    </x:row>
    <x:row r="2202">
      <x:c r="A2202" t="n">
        <x:v>2199</x:v>
      </x:c>
      <x:c r="B2202" t="str">
        <x:v>PTN Akademik</x:v>
      </x:c>
      <x:c r="C2202" t="str">
        <x:v>UNIVERSITAS NEGERI MALANG</x:v>
      </x:c>
      <x:c r="D2202" t="str">
        <x:v>BIMBINGAN DAN KONSELING</x:v>
      </x:c>
      <x:c r="E2202" t="str">
        <x:v>Sarjana</x:v>
      </x:c>
      <x:c r="F2202" s="18" t="n">
        <x:v>66</x:v>
      </x:c>
      <x:c r="G2202" s="18" t="n">
        <x:v>702</x:v>
      </x:c>
      <x:c r="H2202" s="19" t="n">
        <x:v>10.636363636363637</x:v>
      </x:c>
      <x:c r="I2202" s="18" t="n">
        <x:f>ROUND(MIN(Model_Config_v3!$B$6,MAX(Q2202,R2202,S2202*Model_Config_v3!$B$4+T2202*Model_Config_v3!$B$5)),0)</x:f>
        <x:v>666</x:v>
      </x:c>
      <x:c r="J2202" s="18" t="n">
        <x:f>MIN(Model_Config_v3!$B$6,I2202+Model_Config_v3!$B$7)</x:f>
        <x:v>686</x:v>
      </x:c>
      <x:c r="K2202" s="20" t="n">
        <x:v>60.2</x:v>
      </x:c>
      <x:c r="L2202" t="str">
        <x:v>KETAT</x:v>
      </x:c>
      <x:c r="M2202" t="str">
        <x:v>SEDANG+</x:v>
      </x:c>
      <x:c r="N2202" t="str">
        <x:v>ELITE-3</x:v>
      </x:c>
      <x:c r="O2202" t="str">
        <x:v>CAMPURAN</x:v>
      </x:c>
      <x:c r="P2202" t="str">
        <x:v>UMUM</x:v>
      </x:c>
      <x:c r="Q2202" s="18" t="n">
        <x:v>620</x:v>
      </x:c>
      <x:c r="R2202" s="18" t="n">
        <x:v>0</x:v>
      </x:c>
      <x:c r="S2202" s="18" t="n">
        <x:v>632.947249424673</x:v>
      </x:c>
      <x:c r="T2202" s="18" t="n">
        <x:v>680</x:v>
      </x:c>
      <x:c r="U2202" s="18" t="n">
        <x:v>632.947249424673</x:v>
      </x:c>
      <x:c r="V2202" s="20" t="n">
        <x:v>8.8</x:v>
      </x:c>
      <x:c r="W2202" s="20" t="n">
        <x:v>9.9</x:v>
      </x:c>
      <x:c r="X2202" s="20" t="n">
        <x:v>3.3</x:v>
      </x:c>
      <x:c r="Y2202" t="str">
        <x:v>Basis arsip 2025/2024</x:v>
      </x:c>
      <x:c r="Z2202" t="str">
        <x:v>https://snpmb.id/utbk-snbt/daya-tampung-snbt</x:v>
      </x:c>
      <x:c r="AA2202" t="str">
        <x:v>Tidak Ada</x:v>
      </x:c>
      <x:c r="AB2202" t="str">
        <x:v>Campus=80; Ratio=60.4; Prodi=40; RelDemand=46.1; Capacity=45.0</x:v>
      </x:c>
    </x:row>
    <x:row r="2203">
      <x:c r="A2203" t="n">
        <x:v>2200</x:v>
      </x:c>
      <x:c r="B2203" t="str">
        <x:v>PTN Akademik</x:v>
      </x:c>
      <x:c r="C2203" t="str">
        <x:v>UNIVERSITAS NEGERI MALANG</x:v>
      </x:c>
      <x:c r="D2203" t="str">
        <x:v>PENDIDIKAN JASMANI, KESEHATAN, DAN REKREASI</x:v>
      </x:c>
      <x:c r="E2203" t="str">
        <x:v>Sarjana</x:v>
      </x:c>
      <x:c r="F2203" s="18" t="n">
        <x:v>84</x:v>
      </x:c>
      <x:c r="G2203" s="18" t="n">
        <x:v>517</x:v>
      </x:c>
      <x:c r="H2203" s="19" t="n">
        <x:v>6.154761904761905</x:v>
      </x:c>
      <x:c r="I2203" s="18" t="n">
        <x:f>ROUND(MIN(Model_Config_v3!$B$6,MAX(Q2203,R2203,S2203*Model_Config_v3!$B$4+T2203*Model_Config_v3!$B$5)),0)</x:f>
        <x:v>650</x:v>
      </x:c>
      <x:c r="J2203" s="18" t="n">
        <x:f>MIN(Model_Config_v3!$B$6,I2203+Model_Config_v3!$B$7)</x:f>
        <x:v>670</x:v>
      </x:c>
      <x:c r="K2203" s="20" t="n">
        <x:v>54.3</x:v>
      </x:c>
      <x:c r="L2203" t="str">
        <x:v>MENENGAH</x:v>
      </x:c>
      <x:c r="M2203" t="str">
        <x:v>PORTOFOLIO</x:v>
      </x:c>
      <x:c r="N2203" t="str">
        <x:v>ELITE-3</x:v>
      </x:c>
      <x:c r="O2203" t="str">
        <x:v>SENI/OLAHRAGA</x:v>
      </x:c>
      <x:c r="P2203" t="str">
        <x:v>SENI/OLAHRAGA</x:v>
      </x:c>
      <x:c r="Q2203" s="18" t="n">
        <x:v>620</x:v>
      </x:c>
      <x:c r="R2203" s="18" t="n">
        <x:v>0</x:v>
      </x:c>
      <x:c r="S2203" s="18" t="n">
        <x:v>606.8132382735266</x:v>
      </x:c>
      <x:c r="T2203" s="18" t="n">
        <x:v>669</x:v>
      </x:c>
      <x:c r="U2203" s="18" t="n">
        <x:v>620</x:v>
      </x:c>
      <x:c r="V2203" s="20" t="n">
        <x:v>4.4</x:v>
      </x:c>
      <x:c r="W2203" s="20" t="n">
        <x:v>9.9</x:v>
      </x:c>
      <x:c r="X2203" s="20" t="n">
        <x:v>7.7</x:v>
      </x:c>
      <x:c r="Y2203" t="str">
        <x:v>Basis arsip 2025/2024</x:v>
      </x:c>
      <x:c r="Z2203" t="str">
        <x:v>https://snpmb.id/utbk-snbt/daya-tampung-snbt</x:v>
      </x:c>
      <x:c r="AA2203" t="str">
        <x:v>Olahraga</x:v>
      </x:c>
      <x:c r="AB2203" t="str">
        <x:v>Campus=80; Ratio=46.5; Prodi=45; RelDemand=26.7; Capacity=30.0</x:v>
      </x:c>
    </x:row>
    <x:row r="2204">
      <x:c r="A2204" t="n">
        <x:v>2201</x:v>
      </x:c>
      <x:c r="B2204" t="str">
        <x:v>PTN Akademik</x:v>
      </x:c>
      <x:c r="C2204" t="str">
        <x:v>UNIVERSITAS NEGERI MALANG</x:v>
      </x:c>
      <x:c r="D2204" t="str">
        <x:v>TEKNOLOGI PENDIDIKAN</x:v>
      </x:c>
      <x:c r="E2204" t="str">
        <x:v>Sarjana</x:v>
      </x:c>
      <x:c r="F2204" s="18" t="n">
        <x:v>66</x:v>
      </x:c>
      <x:c r="G2204" s="18" t="n">
        <x:v>308</x:v>
      </x:c>
      <x:c r="H2204" s="19" t="n">
        <x:v>4.666666666666667</x:v>
      </x:c>
      <x:c r="I2204" s="18" t="n">
        <x:f>ROUND(MIN(Model_Config_v3!$B$6,MAX(Q2204,R2204,S2204*Model_Config_v3!$B$4+T2204*Model_Config_v3!$B$5)),0)</x:f>
        <x:v>644</x:v>
      </x:c>
      <x:c r="J2204" s="18" t="n">
        <x:f>MIN(Model_Config_v3!$B$6,I2204+Model_Config_v3!$B$7)</x:f>
        <x:v>664</x:v>
      </x:c>
      <x:c r="K2204" s="20" t="n">
        <x:v>52.4</x:v>
      </x:c>
      <x:c r="L2204" t="str">
        <x:v>MENENGAH</x:v>
      </x:c>
      <x:c r="M2204" t="str">
        <x:v>SEDANG+</x:v>
      </x:c>
      <x:c r="N2204" t="str">
        <x:v>ELITE-3</x:v>
      </x:c>
      <x:c r="O2204" t="str">
        <x:v>SAINTEK</x:v>
      </x:c>
      <x:c r="P2204" t="str">
        <x:v>UMUM</x:v>
      </x:c>
      <x:c r="Q2204" s="18" t="n">
        <x:v>620</x:v>
      </x:c>
      <x:c r="R2204" s="18" t="n">
        <x:v>0</x:v>
      </x:c>
      <x:c r="S2204" s="18" t="n">
        <x:v>593.5907459054433</x:v>
      </x:c>
      <x:c r="T2204" s="18" t="n">
        <x:v>665</x:v>
      </x:c>
      <x:c r="U2204" s="18" t="n">
        <x:v>620</x:v>
      </x:c>
      <x:c r="V2204" s="20" t="n">
        <x:v>12</x:v>
      </x:c>
      <x:c r="W2204" s="20" t="n">
        <x:v>5</x:v>
      </x:c>
      <x:c r="X2204" s="20" t="n">
        <x:v>3</x:v>
      </x:c>
      <x:c r="Y2204" t="str">
        <x:v>Basis arsip 2025/2024</x:v>
      </x:c>
      <x:c r="Z2204" t="str">
        <x:v>https://snpmb.id/utbk-snbt/daya-tampung-snbt</x:v>
      </x:c>
      <x:c r="AA2204" t="str">
        <x:v>Tidak Ada</x:v>
      </x:c>
      <x:c r="AB2204" t="str">
        <x:v>Campus=80; Ratio=39.4; Prodi=40; RelDemand=20.2; Capacity=45.0</x:v>
      </x:c>
    </x:row>
    <x:row r="2205">
      <x:c r="A2205" t="n">
        <x:v>2202</x:v>
      </x:c>
      <x:c r="B2205" t="str">
        <x:v>PTN Akademik</x:v>
      </x:c>
      <x:c r="C2205" t="str">
        <x:v>UNIVERSITAS NEGERI MALANG</x:v>
      </x:c>
      <x:c r="D2205" t="str">
        <x:v>PENDIDIKAN LUAR SEKOLAH</x:v>
      </x:c>
      <x:c r="E2205" t="str">
        <x:v>Sarjana</x:v>
      </x:c>
      <x:c r="F2205" s="18" t="n">
        <x:v>67</x:v>
      </x:c>
      <x:c r="G2205" s="18" t="n">
        <x:v>166</x:v>
      </x:c>
      <x:c r="H2205" s="19" t="n">
        <x:v>2.4776119402985075</x:v>
      </x:c>
      <x:c r="I2205" s="18" t="n">
        <x:f>ROUND(MIN(Model_Config_v3!$B$6,MAX(Q2205,R2205,S2205*Model_Config_v3!$B$4+T2205*Model_Config_v3!$B$5)),0)</x:f>
        <x:v>629</x:v>
      </x:c>
      <x:c r="J2205" s="18" t="n">
        <x:f>MIN(Model_Config_v3!$B$6,I2205+Model_Config_v3!$B$7)</x:f>
        <x:v>649</x:v>
      </x:c>
      <x:c r="K2205" s="20" t="n">
        <x:v>48.3</x:v>
      </x:c>
      <x:c r="L2205" t="str">
        <x:v>MENENGAH</x:v>
      </x:c>
      <x:c r="M2205" t="str">
        <x:v>SEDANG+</x:v>
      </x:c>
      <x:c r="N2205" t="str">
        <x:v>ELITE-3</x:v>
      </x:c>
      <x:c r="O2205" t="str">
        <x:v>CAMPURAN</x:v>
      </x:c>
      <x:c r="P2205" t="str">
        <x:v>PENDIDIKAN</x:v>
      </x:c>
      <x:c r="Q2205" s="18" t="n">
        <x:v>620</x:v>
      </x:c>
      <x:c r="R2205" s="18" t="n">
        <x:v>0</x:v>
      </x:c>
      <x:c r="S2205" s="18" t="n">
        <x:v>563.3436613873151</x:v>
      </x:c>
      <x:c r="T2205" s="18" t="n">
        <x:v>657</x:v>
      </x:c>
      <x:c r="U2205" s="18" t="n">
        <x:v>620</x:v>
      </x:c>
      <x:c r="V2205" s="20" t="n">
        <x:v>8.8</x:v>
      </x:c>
      <x:c r="W2205" s="20" t="n">
        <x:v>9.9</x:v>
      </x:c>
      <x:c r="X2205" s="20" t="n">
        <x:v>3.3</x:v>
      </x:c>
      <x:c r="Y2205" t="str">
        <x:v>Basis arsip 2025/2024</x:v>
      </x:c>
      <x:c r="Z2205" t="str">
        <x:v>https://snpmb.id/utbk-snbt/daya-tampung-snbt</x:v>
      </x:c>
      <x:c r="AA2205" t="str">
        <x:v>Tidak Ada</x:v>
      </x:c>
      <x:c r="AB2205" t="str">
        <x:v>Campus=80; Ratio=23.2; Prodi=45; RelDemand=10.7; Capacity=44.2</x:v>
      </x:c>
    </x:row>
    <x:row r="2206">
      <x:c r="A2206" t="n">
        <x:v>2203</x:v>
      </x:c>
      <x:c r="B2206" t="str">
        <x:v>PTN Akademik</x:v>
      </x:c>
      <x:c r="C2206" t="str">
        <x:v>UNIVERSITAS NEGERI MALANG</x:v>
      </x:c>
      <x:c r="D2206" t="str">
        <x:v>ADMINISTRASI PENDIDIKAN</x:v>
      </x:c>
      <x:c r="E2206" t="str">
        <x:v>Sarjana</x:v>
      </x:c>
      <x:c r="F2206" s="18" t="n">
        <x:v>73</x:v>
      </x:c>
      <x:c r="G2206" s="18" t="n">
        <x:v>543</x:v>
      </x:c>
      <x:c r="H2206" s="19" t="n">
        <x:v>7.438356164383562</x:v>
      </x:c>
      <x:c r="I2206" s="18" t="n">
        <x:f>ROUND(MIN(Model_Config_v3!$B$6,MAX(Q2206,R2206,S2206*Model_Config_v3!$B$4+T2206*Model_Config_v3!$B$5)),0)</x:f>
        <x:v>655</x:v>
      </x:c>
      <x:c r="J2206" s="18" t="n">
        <x:f>MIN(Model_Config_v3!$B$6,I2206+Model_Config_v3!$B$7)</x:f>
        <x:v>675</x:v>
      </x:c>
      <x:c r="K2206" s="20" t="n">
        <x:v>56</x:v>
      </x:c>
      <x:c r="L2206" t="str">
        <x:v>KETAT</x:v>
      </x:c>
      <x:c r="M2206" t="str">
        <x:v>SEDANG+</x:v>
      </x:c>
      <x:c r="N2206" t="str">
        <x:v>ELITE-3</x:v>
      </x:c>
      <x:c r="O2206" t="str">
        <x:v>SOSHUM</x:v>
      </x:c>
      <x:c r="P2206" t="str">
        <x:v>UMUM</x:v>
      </x:c>
      <x:c r="Q2206" s="18" t="n">
        <x:v>620</x:v>
      </x:c>
      <x:c r="R2206" s="18" t="n">
        <x:v>0</x:v>
      </x:c>
      <x:c r="S2206" s="18" t="n">
        <x:v>615.862466641523</x:v>
      </x:c>
      <x:c r="T2206" s="18" t="n">
        <x:v>672</x:v>
      </x:c>
      <x:c r="U2206" s="18" t="n">
        <x:v>620</x:v>
      </x:c>
      <x:c r="V2206" s="20" t="n">
        <x:v>4.4</x:v>
      </x:c>
      <x:c r="W2206" s="20" t="n">
        <x:v>14.3</x:v>
      </x:c>
      <x:c r="X2206" s="20" t="n">
        <x:v>3.3</x:v>
      </x:c>
      <x:c r="Y2206" t="str">
        <x:v>Basis arsip 2025/2024</x:v>
      </x:c>
      <x:c r="Z2206" t="str">
        <x:v>https://snpmb.id/utbk-snbt/daya-tampung-snbt</x:v>
      </x:c>
      <x:c r="AA2206" t="str">
        <x:v>Tidak Ada</x:v>
      </x:c>
      <x:c r="AB2206" t="str">
        <x:v>Campus=80; Ratio=51.3; Prodi=40; RelDemand=32.3; Capacity=39.2</x:v>
      </x:c>
    </x:row>
    <x:row r="2207">
      <x:c r="A2207" t="n">
        <x:v>2204</x:v>
      </x:c>
      <x:c r="B2207" t="str">
        <x:v>PTN Akademik</x:v>
      </x:c>
      <x:c r="C2207" t="str">
        <x:v>UNIVERSITAS NEGERI MALANG</x:v>
      </x:c>
      <x:c r="D2207" t="str">
        <x:v>PENDIDIKAN GURU SEKOLAH DASAR</x:v>
      </x:c>
      <x:c r="E2207" t="str">
        <x:v>Sarjana</x:v>
      </x:c>
      <x:c r="F2207" s="18" t="n">
        <x:v>155</x:v>
      </x:c>
      <x:c r="G2207" s="18" t="n">
        <x:v>1515</x:v>
      </x:c>
      <x:c r="H2207" s="19" t="n">
        <x:v>9.774193548387096</x:v>
      </x:c>
      <x:c r="I2207" s="18" t="n">
        <x:f>ROUND(MIN(Model_Config_v3!$B$6,MAX(Q2207,R2207,S2207*Model_Config_v3!$B$4+T2207*Model_Config_v3!$B$5)),0)</x:f>
        <x:v>659</x:v>
      </x:c>
      <x:c r="J2207" s="18" t="n">
        <x:f>MIN(Model_Config_v3!$B$6,I2207+Model_Config_v3!$B$7)</x:f>
        <x:v>679</x:v>
      </x:c>
      <x:c r="K2207" s="20" t="n">
        <x:v>55.8</x:v>
      </x:c>
      <x:c r="L2207" t="str">
        <x:v>KETAT</x:v>
      </x:c>
      <x:c r="M2207" t="str">
        <x:v>SEDANG+</x:v>
      </x:c>
      <x:c r="N2207" t="str">
        <x:v>ELITE-3</x:v>
      </x:c>
      <x:c r="O2207" t="str">
        <x:v>CAMPURAN</x:v>
      </x:c>
      <x:c r="P2207" t="str">
        <x:v>PENDIDIKAN</x:v>
      </x:c>
      <x:c r="Q2207" s="18" t="n">
        <x:v>620</x:v>
      </x:c>
      <x:c r="R2207" s="18" t="n">
        <x:v>0</x:v>
      </x:c>
      <x:c r="S2207" s="18" t="n">
        <x:v>628.9089028134836</x:v>
      </x:c>
      <x:c r="T2207" s="18" t="n">
        <x:v>672</x:v>
      </x:c>
      <x:c r="U2207" s="18" t="n">
        <x:v>628.9089028134836</x:v>
      </x:c>
      <x:c r="V2207" s="20" t="n">
        <x:v>8.8</x:v>
      </x:c>
      <x:c r="W2207" s="20" t="n">
        <x:v>9.9</x:v>
      </x:c>
      <x:c r="X2207" s="20" t="n">
        <x:v>3.3</x:v>
      </x:c>
      <x:c r="Y2207" t="str">
        <x:v>Basis arsip 2025/2024</x:v>
      </x:c>
      <x:c r="Z2207" t="str">
        <x:v>https://snpmb.id/utbk-snbt/daya-tampung-snbt</x:v>
      </x:c>
      <x:c r="AA2207" t="str">
        <x:v>Tidak Ada</x:v>
      </x:c>
      <x:c r="AB2207" t="str">
        <x:v>Campus=80; Ratio=58.3; Prodi=45; RelDemand=42.4; Capacity=0.0</x:v>
      </x:c>
    </x:row>
    <x:row r="2208">
      <x:c r="A2208" t="n">
        <x:v>2205</x:v>
      </x:c>
      <x:c r="B2208" t="str">
        <x:v>PTN Akademik</x:v>
      </x:c>
      <x:c r="C2208" t="str">
        <x:v>UNIVERSITAS NEGERI MALANG</x:v>
      </x:c>
      <x:c r="D2208" t="str">
        <x:v>PENDIDIKAN GURU PEND. ANAK USIA DINI</x:v>
      </x:c>
      <x:c r="E2208" t="str">
        <x:v>Sarjana</x:v>
      </x:c>
      <x:c r="F2208" s="18" t="n">
        <x:v>60</x:v>
      </x:c>
      <x:c r="G2208" s="18" t="n">
        <x:v>244</x:v>
      </x:c>
      <x:c r="H2208" s="19" t="n">
        <x:v>4.066666666666666</x:v>
      </x:c>
      <x:c r="I2208" s="18" t="n">
        <x:f>ROUND(MIN(Model_Config_v3!$B$6,MAX(Q2208,R2208,S2208*Model_Config_v3!$B$4+T2208*Model_Config_v3!$B$5)),0)</x:f>
        <x:v>642</x:v>
      </x:c>
      <x:c r="J2208" s="18" t="n">
        <x:f>MIN(Model_Config_v3!$B$6,I2208+Model_Config_v3!$B$7)</x:f>
        <x:v>662</x:v>
      </x:c>
      <x:c r="K2208" s="20" t="n">
        <x:v>52.7</x:v>
      </x:c>
      <x:c r="L2208" t="str">
        <x:v>MENENGAH</x:v>
      </x:c>
      <x:c r="M2208" t="str">
        <x:v>SEDANG+</x:v>
      </x:c>
      <x:c r="N2208" t="str">
        <x:v>ELITE-3</x:v>
      </x:c>
      <x:c r="O2208" t="str">
        <x:v>CAMPURAN</x:v>
      </x:c>
      <x:c r="P2208" t="str">
        <x:v>PENDIDIKAN</x:v>
      </x:c>
      <x:c r="Q2208" s="18" t="n">
        <x:v>620</x:v>
      </x:c>
      <x:c r="R2208" s="18" t="n">
        <x:v>0</x:v>
      </x:c>
      <x:c r="S2208" s="18" t="n">
        <x:v>587.0162433550595</x:v>
      </x:c>
      <x:c r="T2208" s="18" t="n">
        <x:v>665</x:v>
      </x:c>
      <x:c r="U2208" s="18" t="n">
        <x:v>620</x:v>
      </x:c>
      <x:c r="V2208" s="20" t="n">
        <x:v>8.8</x:v>
      </x:c>
      <x:c r="W2208" s="20" t="n">
        <x:v>9.9</x:v>
      </x:c>
      <x:c r="X2208" s="20" t="n">
        <x:v>3.3</x:v>
      </x:c>
      <x:c r="Y2208" t="str">
        <x:v>Basis arsip 2025/2024</x:v>
      </x:c>
      <x:c r="Z2208" t="str">
        <x:v>https://snpmb.id/utbk-snbt/daya-tampung-snbt</x:v>
      </x:c>
      <x:c r="AA2208" t="str">
        <x:v>Tidak Ada</x:v>
      </x:c>
      <x:c r="AB2208" t="str">
        <x:v>Campus=80; Ratio=35.9; Prodi=45; RelDemand=17.6; Capacity=50.0</x:v>
      </x:c>
    </x:row>
    <x:row r="2209">
      <x:c r="A2209" t="n">
        <x:v>2206</x:v>
      </x:c>
      <x:c r="B2209" t="str">
        <x:v>PTN Akademik</x:v>
      </x:c>
      <x:c r="C2209" t="str">
        <x:v>UNIVERSITAS NEGERI MALANG</x:v>
      </x:c>
      <x:c r="D2209" t="str">
        <x:v>PENDIDIKAN PANCASILA DAN KEWARGANEGARAAN</x:v>
      </x:c>
      <x:c r="E2209" t="str">
        <x:v>Sarjana</x:v>
      </x:c>
      <x:c r="F2209" s="18" t="n">
        <x:v>75</x:v>
      </x:c>
      <x:c r="G2209" s="18" t="n">
        <x:v>350</x:v>
      </x:c>
      <x:c r="H2209" s="19" t="n">
        <x:v>4.666666666666667</x:v>
      </x:c>
      <x:c r="I2209" s="18" t="n">
        <x:f>ROUND(MIN(Model_Config_v3!$B$6,MAX(Q2209,R2209,S2209*Model_Config_v3!$B$4+T2209*Model_Config_v3!$B$5)),0)</x:f>
        <x:v>644</x:v>
      </x:c>
      <x:c r="J2209" s="18" t="n">
        <x:f>MIN(Model_Config_v3!$B$6,I2209+Model_Config_v3!$B$7)</x:f>
        <x:v>664</x:v>
      </x:c>
      <x:c r="K2209" s="20" t="n">
        <x:v>52.6</x:v>
      </x:c>
      <x:c r="L2209" t="str">
        <x:v>MENENGAH</x:v>
      </x:c>
      <x:c r="M2209" t="str">
        <x:v>SEDANG+</x:v>
      </x:c>
      <x:c r="N2209" t="str">
        <x:v>ELITE-3</x:v>
      </x:c>
      <x:c r="O2209" t="str">
        <x:v>CAMPURAN</x:v>
      </x:c>
      <x:c r="P2209" t="str">
        <x:v>PENDIDIKAN</x:v>
      </x:c>
      <x:c r="Q2209" s="18" t="n">
        <x:v>620</x:v>
      </x:c>
      <x:c r="R2209" s="18" t="n">
        <x:v>0</x:v>
      </x:c>
      <x:c r="S2209" s="18" t="n">
        <x:v>593.5907459054433</x:v>
      </x:c>
      <x:c r="T2209" s="18" t="n">
        <x:v>665</x:v>
      </x:c>
      <x:c r="U2209" s="18" t="n">
        <x:v>620</x:v>
      </x:c>
      <x:c r="V2209" s="20" t="n">
        <x:v>8.8</x:v>
      </x:c>
      <x:c r="W2209" s="20" t="n">
        <x:v>9.9</x:v>
      </x:c>
      <x:c r="X2209" s="20" t="n">
        <x:v>3.3</x:v>
      </x:c>
      <x:c r="Y2209" t="str">
        <x:v>Basis arsip 2025/2024</x:v>
      </x:c>
      <x:c r="Z2209" t="str">
        <x:v>https://snpmb.id/utbk-snbt/daya-tampung-snbt</x:v>
      </x:c>
      <x:c r="AA2209" t="str">
        <x:v>Tidak Ada</x:v>
      </x:c>
      <x:c r="AB2209" t="str">
        <x:v>Campus=80; Ratio=39.4; Prodi=45; RelDemand=20.2; Capacity=37.5</x:v>
      </x:c>
    </x:row>
    <x:row r="2210">
      <x:c r="A2210" t="n">
        <x:v>2207</x:v>
      </x:c>
      <x:c r="B2210" t="str">
        <x:v>PTN Akademik</x:v>
      </x:c>
      <x:c r="C2210" t="str">
        <x:v>UNIVERSITAS NEGERI MALANG</x:v>
      </x:c>
      <x:c r="D2210" t="str">
        <x:v>PEND. BAHASA, SASTRA INDONESIA &amp; DAERAH</x:v>
      </x:c>
      <x:c r="E2210" t="str">
        <x:v>Sarjana</x:v>
      </x:c>
      <x:c r="F2210" s="18" t="n">
        <x:v>65</x:v>
      </x:c>
      <x:c r="G2210" s="18" t="n">
        <x:v>436</x:v>
      </x:c>
      <x:c r="H2210" s="19" t="n">
        <x:v>6.707692307692308</x:v>
      </x:c>
      <x:c r="I2210" s="18" t="n">
        <x:f>ROUND(MIN(Model_Config_v3!$B$6,MAX(Q2210,R2210,S2210*Model_Config_v3!$B$4+T2210*Model_Config_v3!$B$5)),0)</x:f>
        <x:v>654</x:v>
      </x:c>
      <x:c r="J2210" s="18" t="n">
        <x:f>MIN(Model_Config_v3!$B$6,I2210+Model_Config_v3!$B$7)</x:f>
        <x:v>674</x:v>
      </x:c>
      <x:c r="K2210" s="20" t="n">
        <x:v>56.7</x:v>
      </x:c>
      <x:c r="L2210" t="str">
        <x:v>KETAT</x:v>
      </x:c>
      <x:c r="M2210" t="str">
        <x:v>SEDANG+</x:v>
      </x:c>
      <x:c r="N2210" t="str">
        <x:v>ELITE-3</x:v>
      </x:c>
      <x:c r="O2210" t="str">
        <x:v>SOSHUM</x:v>
      </x:c>
      <x:c r="P2210" t="str">
        <x:v>PENDIDIKAN</x:v>
      </x:c>
      <x:c r="Q2210" s="18" t="n">
        <x:v>620</x:v>
      </x:c>
      <x:c r="R2210" s="18" t="n">
        <x:v>0</x:v>
      </x:c>
      <x:c r="S2210" s="18" t="n">
        <x:v>610.9230445888304</x:v>
      </x:c>
      <x:c r="T2210" s="18" t="n">
        <x:v>673</x:v>
      </x:c>
      <x:c r="U2210" s="18" t="n">
        <x:v>620</x:v>
      </x:c>
      <x:c r="V2210" s="20" t="n">
        <x:v>4.4</x:v>
      </x:c>
      <x:c r="W2210" s="20" t="n">
        <x:v>14.3</x:v>
      </x:c>
      <x:c r="X2210" s="20" t="n">
        <x:v>3.3</x:v>
      </x:c>
      <x:c r="Y2210" t="str">
        <x:v>Basis arsip 2025/2024</x:v>
      </x:c>
      <x:c r="Z2210" t="str">
        <x:v>https://snpmb.id/utbk-snbt/daya-tampung-snbt</x:v>
      </x:c>
      <x:c r="AA2210" t="str">
        <x:v>Tidak Ada</x:v>
      </x:c>
      <x:c r="AB2210" t="str">
        <x:v>Campus=80; Ratio=48.7; Prodi=45; RelDemand=29.1; Capacity=45.8</x:v>
      </x:c>
    </x:row>
    <x:row r="2211">
      <x:c r="A2211" t="n">
        <x:v>2208</x:v>
      </x:c>
      <x:c r="B2211" t="str">
        <x:v>PTN Akademik</x:v>
      </x:c>
      <x:c r="C2211" t="str">
        <x:v>UNIVERSITAS NEGERI MALANG</x:v>
      </x:c>
      <x:c r="D2211" t="str">
        <x:v>PENDIDIKAN BAHASA INGGRIS</x:v>
      </x:c>
      <x:c r="E2211" t="str">
        <x:v>Sarjana</x:v>
      </x:c>
      <x:c r="F2211" s="18" t="n">
        <x:v>56</x:v>
      </x:c>
      <x:c r="G2211" s="18" t="n">
        <x:v>548</x:v>
      </x:c>
      <x:c r="H2211" s="19" t="n">
        <x:v>9.785714285714286</x:v>
      </x:c>
      <x:c r="I2211" s="18" t="n">
        <x:f>ROUND(MIN(Model_Config_v3!$B$6,MAX(Q2211,R2211,S2211*Model_Config_v3!$B$4+T2211*Model_Config_v3!$B$5)),0)</x:f>
        <x:v>666</x:v>
      </x:c>
      <x:c r="J2211" s="18" t="n">
        <x:f>MIN(Model_Config_v3!$B$6,I2211+Model_Config_v3!$B$7)</x:f>
        <x:v>686</x:v>
      </x:c>
      <x:c r="K2211" s="20" t="n">
        <x:v>61.2</x:v>
      </x:c>
      <x:c r="L2211" t="str">
        <x:v>KETAT</x:v>
      </x:c>
      <x:c r="M2211" t="str">
        <x:v>SEDANG+</x:v>
      </x:c>
      <x:c r="N2211" t="str">
        <x:v>ELITE-3</x:v>
      </x:c>
      <x:c r="O2211" t="str">
        <x:v>SOSHUM</x:v>
      </x:c>
      <x:c r="P2211" t="str">
        <x:v>PENDIDIKAN</x:v>
      </x:c>
      <x:c r="Q2211" s="18" t="n">
        <x:v>620</x:v>
      </x:c>
      <x:c r="R2211" s="18" t="n">
        <x:v>0</x:v>
      </x:c>
      <x:c r="S2211" s="18" t="n">
        <x:v>628.9651784625985</x:v>
      </x:c>
      <x:c r="T2211" s="18" t="n">
        <x:v>682</x:v>
      </x:c>
      <x:c r="U2211" s="18" t="n">
        <x:v>628.9651784625985</x:v>
      </x:c>
      <x:c r="V2211" s="20" t="n">
        <x:v>4.4</x:v>
      </x:c>
      <x:c r="W2211" s="20" t="n">
        <x:v>14.3</x:v>
      </x:c>
      <x:c r="X2211" s="20" t="n">
        <x:v>3.3</x:v>
      </x:c>
      <x:c r="Y2211" t="str">
        <x:v>Basis arsip 2025/2024</x:v>
      </x:c>
      <x:c r="Z2211" t="str">
        <x:v>https://snpmb.id/utbk-snbt/daya-tampung-snbt</x:v>
      </x:c>
      <x:c r="AA2211" t="str">
        <x:v>Tidak Ada</x:v>
      </x:c>
      <x:c r="AB2211" t="str">
        <x:v>Campus=80; Ratio=58.3; Prodi=45; RelDemand=42.4; Capacity=53.3</x:v>
      </x:c>
    </x:row>
    <x:row r="2212">
      <x:c r="A2212" t="n">
        <x:v>2209</x:v>
      </x:c>
      <x:c r="B2212" t="str">
        <x:v>PTN Akademik</x:v>
      </x:c>
      <x:c r="C2212" t="str">
        <x:v>UNIVERSITAS NEGERI MALANG</x:v>
      </x:c>
      <x:c r="D2212" t="str">
        <x:v>PENDIDIKAN BAHASA ARAB</x:v>
      </x:c>
      <x:c r="E2212" t="str">
        <x:v>Sarjana</x:v>
      </x:c>
      <x:c r="F2212" s="18" t="n">
        <x:v>72</x:v>
      </x:c>
      <x:c r="G2212" s="18" t="n">
        <x:v>311</x:v>
      </x:c>
      <x:c r="H2212" s="19" t="n">
        <x:v>4.319444444444445</x:v>
      </x:c>
      <x:c r="I2212" s="18" t="n">
        <x:f>ROUND(MIN(Model_Config_v3!$B$6,MAX(Q2212,R2212,S2212*Model_Config_v3!$B$4+T2212*Model_Config_v3!$B$5)),0)</x:f>
        <x:v>642</x:v>
      </x:c>
      <x:c r="J2212" s="18" t="n">
        <x:f>MIN(Model_Config_v3!$B$6,I2212+Model_Config_v3!$B$7)</x:f>
        <x:v>662</x:v>
      </x:c>
      <x:c r="K2212" s="20" t="n">
        <x:v>52.2</x:v>
      </x:c>
      <x:c r="L2212" t="str">
        <x:v>MENENGAH</x:v>
      </x:c>
      <x:c r="M2212" t="str">
        <x:v>SEDANG+</x:v>
      </x:c>
      <x:c r="N2212" t="str">
        <x:v>ELITE-3</x:v>
      </x:c>
      <x:c r="O2212" t="str">
        <x:v>SOSHUM</x:v>
      </x:c>
      <x:c r="P2212" t="str">
        <x:v>PENDIDIKAN</x:v>
      </x:c>
      <x:c r="Q2212" s="18" t="n">
        <x:v>620</x:v>
      </x:c>
      <x:c r="R2212" s="18" t="n">
        <x:v>0</x:v>
      </x:c>
      <x:c r="S2212" s="18" t="n">
        <x:v>589.8970681855126</x:v>
      </x:c>
      <x:c r="T2212" s="18" t="n">
        <x:v>664</x:v>
      </x:c>
      <x:c r="U2212" s="18" t="n">
        <x:v>620</x:v>
      </x:c>
      <x:c r="V2212" s="20" t="n">
        <x:v>4.4</x:v>
      </x:c>
      <x:c r="W2212" s="20" t="n">
        <x:v>14.3</x:v>
      </x:c>
      <x:c r="X2212" s="20" t="n">
        <x:v>3.3</x:v>
      </x:c>
      <x:c r="Y2212" t="str">
        <x:v>Basis arsip 2025/2024</x:v>
      </x:c>
      <x:c r="Z2212" t="str">
        <x:v>https://snpmb.id/utbk-snbt/daya-tampung-snbt</x:v>
      </x:c>
      <x:c r="AA2212" t="str">
        <x:v>Tidak Ada</x:v>
      </x:c>
      <x:c r="AB2212" t="str">
        <x:v>Campus=80; Ratio=37.4; Prodi=45; RelDemand=18.7; Capacity=40.0</x:v>
      </x:c>
    </x:row>
    <x:row r="2213">
      <x:c r="A2213" t="n">
        <x:v>2210</x:v>
      </x:c>
      <x:c r="B2213" t="str">
        <x:v>PTN Akademik</x:v>
      </x:c>
      <x:c r="C2213" t="str">
        <x:v>UNIVERSITAS NEGERI MALANG</x:v>
      </x:c>
      <x:c r="D2213" t="str">
        <x:v>PENDIDIKAN SENI RUPA</x:v>
      </x:c>
      <x:c r="E2213" t="str">
        <x:v>Sarjana</x:v>
      </x:c>
      <x:c r="F2213" s="18" t="n">
        <x:v>50</x:v>
      </x:c>
      <x:c r="G2213" s="18" t="n">
        <x:v>118</x:v>
      </x:c>
      <x:c r="H2213" s="19" t="n">
        <x:v>2.36</x:v>
      </x:c>
      <x:c r="I2213" s="18" t="n">
        <x:f>ROUND(MIN(Model_Config_v3!$B$6,MAX(Q2213,R2213,S2213*Model_Config_v3!$B$4+T2213*Model_Config_v3!$B$5)),0)</x:f>
        <x:v>630</x:v>
      </x:c>
      <x:c r="J2213" s="18" t="n">
        <x:f>MIN(Model_Config_v3!$B$6,I2213+Model_Config_v3!$B$7)</x:f>
        <x:v>650</x:v>
      </x:c>
      <x:c r="K2213" s="20" t="n">
        <x:v>49.3</x:v>
      </x:c>
      <x:c r="L2213" t="str">
        <x:v>MENENGAH</x:v>
      </x:c>
      <x:c r="M2213" t="str">
        <x:v>PORTOFOLIO</x:v>
      </x:c>
      <x:c r="N2213" t="str">
        <x:v>ELITE-3</x:v>
      </x:c>
      <x:c r="O2213" t="str">
        <x:v>SENI/OLAHRAGA</x:v>
      </x:c>
      <x:c r="P2213" t="str">
        <x:v>SENI/OLAHRAGA</x:v>
      </x:c>
      <x:c r="Q2213" s="18" t="n">
        <x:v>620</x:v>
      </x:c>
      <x:c r="R2213" s="18" t="n">
        <x:v>0</x:v>
      </x:c>
      <x:c r="S2213" s="18" t="n">
        <x:v>561.0203203267117</x:v>
      </x:c>
      <x:c r="T2213" s="18" t="n">
        <x:v>659</x:v>
      </x:c>
      <x:c r="U2213" s="18" t="n">
        <x:v>620</x:v>
      </x:c>
      <x:c r="V2213" s="20" t="n">
        <x:v>4.4</x:v>
      </x:c>
      <x:c r="W2213" s="20" t="n">
        <x:v>9.9</x:v>
      </x:c>
      <x:c r="X2213" s="20" t="n">
        <x:v>7.7</x:v>
      </x:c>
      <x:c r="Y2213" t="str">
        <x:v>Basis arsip 2025/2024</x:v>
      </x:c>
      <x:c r="Z2213" t="str">
        <x:v>https://snpmb.id/utbk-snbt/daya-tampung-snbt</x:v>
      </x:c>
      <x:c r="AA2213" t="str">
        <x:v>Seni Rupa, Desain, dan Kriya</x:v>
      </x:c>
      <x:c r="AB2213" t="str">
        <x:v>Campus=80; Ratio=21.9; Prodi=45; RelDemand=10.2; Capacity=58.3</x:v>
      </x:c>
    </x:row>
    <x:row r="2214">
      <x:c r="A2214" t="n">
        <x:v>2211</x:v>
      </x:c>
      <x:c r="B2214" t="str">
        <x:v>PTN Akademik</x:v>
      </x:c>
      <x:c r="C2214" t="str">
        <x:v>UNIVERSITAS NEGERI MALANG</x:v>
      </x:c>
      <x:c r="D2214" t="str">
        <x:v>PENDIDIKAN BAHASA JERMAN</x:v>
      </x:c>
      <x:c r="E2214" t="str">
        <x:v>Sarjana</x:v>
      </x:c>
      <x:c r="F2214" s="18" t="n">
        <x:v>40</x:v>
      </x:c>
      <x:c r="G2214" s="18" t="n">
        <x:v>105</x:v>
      </x:c>
      <x:c r="H2214" s="19" t="n">
        <x:v>2.625</x:v>
      </x:c>
      <x:c r="I2214" s="18" t="n">
        <x:f>ROUND(MIN(Model_Config_v3!$B$6,MAX(Q2214,R2214,S2214*Model_Config_v3!$B$4+T2214*Model_Config_v3!$B$5)),0)</x:f>
        <x:v>633</x:v>
      </x:c>
      <x:c r="J2214" s="18" t="n">
        <x:f>MIN(Model_Config_v3!$B$6,I2214+Model_Config_v3!$B$7)</x:f>
        <x:v>653</x:v>
      </x:c>
      <x:c r="K2214" s="20" t="n">
        <x:v>51</x:v>
      </x:c>
      <x:c r="L2214" t="str">
        <x:v>MENENGAH</x:v>
      </x:c>
      <x:c r="M2214" t="str">
        <x:v>SEDANG+</x:v>
      </x:c>
      <x:c r="N2214" t="str">
        <x:v>ELITE-3</x:v>
      </x:c>
      <x:c r="O2214" t="str">
        <x:v>SOSHUM</x:v>
      </x:c>
      <x:c r="P2214" t="str">
        <x:v>PENDIDIKAN</x:v>
      </x:c>
      <x:c r="Q2214" s="18" t="n">
        <x:v>620</x:v>
      </x:c>
      <x:c r="R2214" s="18" t="n">
        <x:v>0</x:v>
      </x:c>
      <x:c r="S2214" s="18" t="n">
        <x:v>566.1042238516173</x:v>
      </x:c>
      <x:c r="T2214" s="18" t="n">
        <x:v>662</x:v>
      </x:c>
      <x:c r="U2214" s="18" t="n">
        <x:v>620</x:v>
      </x:c>
      <x:c r="V2214" s="20" t="n">
        <x:v>4.4</x:v>
      </x:c>
      <x:c r="W2214" s="20" t="n">
        <x:v>14.3</x:v>
      </x:c>
      <x:c r="X2214" s="20" t="n">
        <x:v>3.3</x:v>
      </x:c>
      <x:c r="Y2214" t="str">
        <x:v>Basis arsip 2025/2024</x:v>
      </x:c>
      <x:c r="Z2214" t="str">
        <x:v>https://snpmb.id/utbk-snbt/daya-tampung-snbt</x:v>
      </x:c>
      <x:c r="AA2214" t="str">
        <x:v>Tidak Ada</x:v>
      </x:c>
      <x:c r="AB2214" t="str">
        <x:v>Campus=80; Ratio=24.7; Prodi=45; RelDemand=11.4; Capacity=66.7</x:v>
      </x:c>
    </x:row>
    <x:row r="2215">
      <x:c r="A2215" t="n">
        <x:v>2212</x:v>
      </x:c>
      <x:c r="B2215" t="str">
        <x:v>PTN Akademik</x:v>
      </x:c>
      <x:c r="C2215" t="str">
        <x:v>UNIVERSITAS NEGERI MALANG</x:v>
      </x:c>
      <x:c r="D2215" t="str">
        <x:v>PENDIDIKAN SENI TARI DAN MUSIK</x:v>
      </x:c>
      <x:c r="E2215" t="str">
        <x:v>Sarjana</x:v>
      </x:c>
      <x:c r="F2215" s="18" t="n">
        <x:v>55</x:v>
      </x:c>
      <x:c r="G2215" s="18" t="n">
        <x:v>90</x:v>
      </x:c>
      <x:c r="H2215" s="19" t="n">
        <x:v>1.6363636363636365</x:v>
      </x:c>
      <x:c r="I2215" s="18" t="n">
        <x:f>ROUND(MIN(Model_Config_v3!$B$6,MAX(Q2215,R2215,S2215*Model_Config_v3!$B$4+T2215*Model_Config_v3!$B$5)),0)</x:f>
        <x:v>620</x:v>
      </x:c>
      <x:c r="J2215" s="18" t="n">
        <x:f>MIN(Model_Config_v3!$B$6,I2215+Model_Config_v3!$B$7)</x:f>
        <x:v>640</x:v>
      </x:c>
      <x:c r="K2215" s="20" t="n">
        <x:v>46.3</x:v>
      </x:c>
      <x:c r="L2215" t="str">
        <x:v>MENENGAH</x:v>
      </x:c>
      <x:c r="M2215" t="str">
        <x:v>PORTOFOLIO</x:v>
      </x:c>
      <x:c r="N2215" t="str">
        <x:v>ELITE-3</x:v>
      </x:c>
      <x:c r="O2215" t="str">
        <x:v>SENI/OLAHRAGA</x:v>
      </x:c>
      <x:c r="P2215" t="str">
        <x:v>SENI/OLAHRAGA</x:v>
      </x:c>
      <x:c r="Q2215" s="18" t="n">
        <x:v>620</x:v>
      </x:c>
      <x:c r="R2215" s="18" t="n">
        <x:v>0</x:v>
      </x:c>
      <x:c r="S2215" s="18" t="n">
        <x:v>543.5267801939589</x:v>
      </x:c>
      <x:c r="T2215" s="18" t="n">
        <x:v>653</x:v>
      </x:c>
      <x:c r="U2215" s="18" t="n">
        <x:v>620</x:v>
      </x:c>
      <x:c r="V2215" s="20" t="n">
        <x:v>4.4</x:v>
      </x:c>
      <x:c r="W2215" s="20" t="n">
        <x:v>9.9</x:v>
      </x:c>
      <x:c r="X2215" s="20" t="n">
        <x:v>7.7</x:v>
      </x:c>
      <x:c r="Y2215" t="str">
        <x:v>Basis arsip 2025/2024</x:v>
      </x:c>
      <x:c r="Z2215" t="str">
        <x:v>https://snpmb.id/utbk-snbt/daya-tampung-snbt</x:v>
      </x:c>
      <x:c r="AA2215" t="str">
        <x:v>Sendratasik</x:v>
      </x:c>
      <x:c r="AB2215" t="str">
        <x:v>Campus=80; Ratio=12.6; Prodi=45; RelDemand=7.1; Capacity=54.2</x:v>
      </x:c>
    </x:row>
    <x:row r="2216">
      <x:c r="A2216" t="n">
        <x:v>2213</x:v>
      </x:c>
      <x:c r="B2216" t="str">
        <x:v>PTN Akademik</x:v>
      </x:c>
      <x:c r="C2216" t="str">
        <x:v>UNIVERSITAS NEGERI MALANG</x:v>
      </x:c>
      <x:c r="D2216" t="str">
        <x:v>PENDIDIKAN SEJARAH</x:v>
      </x:c>
      <x:c r="E2216" t="str">
        <x:v>Sarjana</x:v>
      </x:c>
      <x:c r="F2216" s="18" t="n">
        <x:v>70</x:v>
      </x:c>
      <x:c r="G2216" s="18" t="n">
        <x:v>297</x:v>
      </x:c>
      <x:c r="H2216" s="19" t="n">
        <x:v>4.242857142857143</x:v>
      </x:c>
      <x:c r="I2216" s="18" t="n">
        <x:f>ROUND(MIN(Model_Config_v3!$B$6,MAX(Q2216,R2216,S2216*Model_Config_v3!$B$4+T2216*Model_Config_v3!$B$5)),0)</x:f>
        <x:v>642</x:v>
      </x:c>
      <x:c r="J2216" s="18" t="n">
        <x:f>MIN(Model_Config_v3!$B$6,I2216+Model_Config_v3!$B$7)</x:f>
        <x:v>662</x:v>
      </x:c>
      <x:c r="K2216" s="20" t="n">
        <x:v>52.2</x:v>
      </x:c>
      <x:c r="L2216" t="str">
        <x:v>MENENGAH</x:v>
      </x:c>
      <x:c r="M2216" t="str">
        <x:v>SEDANG+</x:v>
      </x:c>
      <x:c r="N2216" t="str">
        <x:v>ELITE-3</x:v>
      </x:c>
      <x:c r="O2216" t="str">
        <x:v>SOSHUM</x:v>
      </x:c>
      <x:c r="P2216" t="str">
        <x:v>PENDIDIKAN</x:v>
      </x:c>
      <x:c r="Q2216" s="18" t="n">
        <x:v>620</x:v>
      </x:c>
      <x:c r="R2216" s="18" t="n">
        <x:v>0</x:v>
      </x:c>
      <x:c r="S2216" s="18" t="n">
        <x:v>589.0424250233251</x:v>
      </x:c>
      <x:c r="T2216" s="18" t="n">
        <x:v>664</x:v>
      </x:c>
      <x:c r="U2216" s="18" t="n">
        <x:v>620</x:v>
      </x:c>
      <x:c r="V2216" s="20" t="n">
        <x:v>4.4</x:v>
      </x:c>
      <x:c r="W2216" s="20" t="n">
        <x:v>14.3</x:v>
      </x:c>
      <x:c r="X2216" s="20" t="n">
        <x:v>3.3</x:v>
      </x:c>
      <x:c r="Y2216" t="str">
        <x:v>Basis arsip 2025/2024</x:v>
      </x:c>
      <x:c r="Z2216" t="str">
        <x:v>https://snpmb.id/utbk-snbt/daya-tampung-snbt</x:v>
      </x:c>
      <x:c r="AA2216" t="str">
        <x:v>Tidak Ada</x:v>
      </x:c>
      <x:c r="AB2216" t="str">
        <x:v>Campus=80; Ratio=36.9; Prodi=45; RelDemand=18.4; Capacity=41.7</x:v>
      </x:c>
    </x:row>
    <x:row r="2217">
      <x:c r="A2217" t="n">
        <x:v>2214</x:v>
      </x:c>
      <x:c r="B2217" t="str">
        <x:v>PTN Akademik</x:v>
      </x:c>
      <x:c r="C2217" t="str">
        <x:v>UNIVERSITAS NEGERI MALANG</x:v>
      </x:c>
      <x:c r="D2217" t="str">
        <x:v>PENDIDIKAN EKONOMI</x:v>
      </x:c>
      <x:c r="E2217" t="str">
        <x:v>Sarjana</x:v>
      </x:c>
      <x:c r="F2217" s="18" t="n">
        <x:v>56</x:v>
      </x:c>
      <x:c r="G2217" s="18" t="n">
        <x:v>302</x:v>
      </x:c>
      <x:c r="H2217" s="19" t="n">
        <x:v>5.392857142857143</x:v>
      </x:c>
      <x:c r="I2217" s="18" t="n">
        <x:f>ROUND(MIN(Model_Config_v3!$B$6,MAX(Q2217,R2217,S2217*Model_Config_v3!$B$4+T2217*Model_Config_v3!$B$5)),0)</x:f>
        <x:v>650</x:v>
      </x:c>
      <x:c r="J2217" s="18" t="n">
        <x:f>MIN(Model_Config_v3!$B$6,I2217+Model_Config_v3!$B$7)</x:f>
        <x:v>670</x:v>
      </x:c>
      <x:c r="K2217" s="20" t="n">
        <x:v>55.4</x:v>
      </x:c>
      <x:c r="L2217" t="str">
        <x:v>KETAT</x:v>
      </x:c>
      <x:c r="M2217" t="str">
        <x:v>SEDANG+</x:v>
      </x:c>
      <x:c r="N2217" t="str">
        <x:v>ELITE-3</x:v>
      </x:c>
      <x:c r="O2217" t="str">
        <x:v>SOSHUM</x:v>
      </x:c>
      <x:c r="P2217" t="str">
        <x:v>PENDIDIKAN</x:v>
      </x:c>
      <x:c r="Q2217" s="18" t="n">
        <x:v>620</x:v>
      </x:c>
      <x:c r="R2217" s="18" t="n">
        <x:v>0</x:v>
      </x:c>
      <x:c r="S2217" s="18" t="n">
        <x:v>600.5000807546045</x:v>
      </x:c>
      <x:c r="T2217" s="18" t="n">
        <x:v>671</x:v>
      </x:c>
      <x:c r="U2217" s="18" t="n">
        <x:v>620</x:v>
      </x:c>
      <x:c r="V2217" s="20" t="n">
        <x:v>4.4</x:v>
      </x:c>
      <x:c r="W2217" s="20" t="n">
        <x:v>14.3</x:v>
      </x:c>
      <x:c r="X2217" s="20" t="n">
        <x:v>3.3</x:v>
      </x:c>
      <x:c r="Y2217" t="str">
        <x:v>Basis arsip 2025/2024</x:v>
      </x:c>
      <x:c r="Z2217" t="str">
        <x:v>https://snpmb.id/utbk-snbt/daya-tampung-snbt</x:v>
      </x:c>
      <x:c r="AA2217" t="str">
        <x:v>Tidak Ada</x:v>
      </x:c>
      <x:c r="AB2217" t="str">
        <x:v>Campus=80; Ratio=43.1; Prodi=45; RelDemand=23.4; Capacity=53.3</x:v>
      </x:c>
    </x:row>
    <x:row r="2218">
      <x:c r="A2218" t="n">
        <x:v>2215</x:v>
      </x:c>
      <x:c r="B2218" t="str">
        <x:v>PTN Akademik</x:v>
      </x:c>
      <x:c r="C2218" t="str">
        <x:v>UNIVERSITAS NEGERI MALANG</x:v>
      </x:c>
      <x:c r="D2218" t="str">
        <x:v>PENDIDIKAN TATA NIAGA</x:v>
      </x:c>
      <x:c r="E2218" t="str">
        <x:v>Sarjana</x:v>
      </x:c>
      <x:c r="F2218" s="18" t="n">
        <x:v>36</x:v>
      </x:c>
      <x:c r="G2218" s="18" t="n">
        <x:v>207</x:v>
      </x:c>
      <x:c r="H2218" s="19" t="n">
        <x:v>5.75</x:v>
      </x:c>
      <x:c r="I2218" s="18" t="n">
        <x:f>ROUND(MIN(Model_Config_v3!$B$6,MAX(Q2218,R2218,S2218*Model_Config_v3!$B$4+T2218*Model_Config_v3!$B$5)),0)</x:f>
        <x:v>654</x:v>
      </x:c>
      <x:c r="J2218" s="18" t="n">
        <x:f>MIN(Model_Config_v3!$B$6,I2218+Model_Config_v3!$B$7)</x:f>
        <x:v>674</x:v>
      </x:c>
      <x:c r="K2218" s="20" t="n">
        <x:v>57.7</x:v>
      </x:c>
      <x:c r="L2218" t="str">
        <x:v>KETAT</x:v>
      </x:c>
      <x:c r="M2218" t="str">
        <x:v>SEDANG+</x:v>
      </x:c>
      <x:c r="N2218" t="str">
        <x:v>ELITE-3</x:v>
      </x:c>
      <x:c r="O2218" t="str">
        <x:v>CAMPURAN</x:v>
      </x:c>
      <x:c r="P2218" t="str">
        <x:v>PENDIDIKAN</x:v>
      </x:c>
      <x:c r="Q2218" s="18" t="n">
        <x:v>620</x:v>
      </x:c>
      <x:c r="R2218" s="18" t="n">
        <x:v>0</x:v>
      </x:c>
      <x:c r="S2218" s="18" t="n">
        <x:v>603.5634629158593</x:v>
      </x:c>
      <x:c r="T2218" s="18" t="n">
        <x:v>675</x:v>
      </x:c>
      <x:c r="U2218" s="18" t="n">
        <x:v>620</x:v>
      </x:c>
      <x:c r="V2218" s="20" t="n">
        <x:v>8.8</x:v>
      </x:c>
      <x:c r="W2218" s="20" t="n">
        <x:v>9.9</x:v>
      </x:c>
      <x:c r="X2218" s="20" t="n">
        <x:v>3.3</x:v>
      </x:c>
      <x:c r="Y2218" t="str">
        <x:v>Basis arsip 2025/2024</x:v>
      </x:c>
      <x:c r="Z2218" t="str">
        <x:v>https://snpmb.id/utbk-snbt/daya-tampung-snbt</x:v>
      </x:c>
      <x:c r="AA2218" t="str">
        <x:v>Tidak Ada</x:v>
      </x:c>
      <x:c r="AB2218" t="str">
        <x:v>Campus=80; Ratio=44.7; Prodi=45; RelDemand=24.9; Capacity=70.0</x:v>
      </x:c>
    </x:row>
    <x:row r="2219">
      <x:c r="A2219" t="n">
        <x:v>2216</x:v>
      </x:c>
      <x:c r="B2219" t="str">
        <x:v>PTN Akademik</x:v>
      </x:c>
      <x:c r="C2219" t="str">
        <x:v>UNIVERSITAS NEGERI MALANG</x:v>
      </x:c>
      <x:c r="D2219" t="str">
        <x:v>PENDIDIKAN ADMINISTRASI PERKANTORAN</x:v>
      </x:c>
      <x:c r="E2219" t="str">
        <x:v>Sarjana</x:v>
      </x:c>
      <x:c r="F2219" s="18" t="n">
        <x:v>48</x:v>
      </x:c>
      <x:c r="G2219" s="18" t="n">
        <x:v>618</x:v>
      </x:c>
      <x:c r="H2219" s="19" t="n">
        <x:v>12.875</x:v>
      </x:c>
      <x:c r="I2219" s="18" t="n">
        <x:f>ROUND(MIN(Model_Config_v3!$B$6,MAX(Q2219,R2219,S2219*Model_Config_v3!$B$4+T2219*Model_Config_v3!$B$5)),0)</x:f>
        <x:v>676</x:v>
      </x:c>
      <x:c r="J2219" s="18" t="n">
        <x:f>MIN(Model_Config_v3!$B$6,I2219+Model_Config_v3!$B$7)</x:f>
        <x:v>696</x:v>
      </x:c>
      <x:c r="K2219" s="20" t="n">
        <x:v>64.9</x:v>
      </x:c>
      <x:c r="L2219" t="str">
        <x:v>KETAT</x:v>
      </x:c>
      <x:c r="M2219" t="str">
        <x:v>SEDANG+</x:v>
      </x:c>
      <x:c r="N2219" t="str">
        <x:v>ELITE-3</x:v>
      </x:c>
      <x:c r="O2219" t="str">
        <x:v>SOSHUM</x:v>
      </x:c>
      <x:c r="P2219" t="str">
        <x:v>PENDIDIKAN</x:v>
      </x:c>
      <x:c r="Q2219" s="18" t="n">
        <x:v>620</x:v>
      </x:c>
      <x:c r="R2219" s="18" t="n">
        <x:v>0</x:v>
      </x:c>
      <x:c r="S2219" s="18" t="n">
        <x:v>642.0721961484551</x:v>
      </x:c>
      <x:c r="T2219" s="18" t="n">
        <x:v>690</x:v>
      </x:c>
      <x:c r="U2219" s="18" t="n">
        <x:v>642.0721961484551</x:v>
      </x:c>
      <x:c r="V2219" s="20" t="n">
        <x:v>4.4</x:v>
      </x:c>
      <x:c r="W2219" s="20" t="n">
        <x:v>14.3</x:v>
      </x:c>
      <x:c r="X2219" s="20" t="n">
        <x:v>3.3</x:v>
      </x:c>
      <x:c r="Y2219" t="str">
        <x:v>Basis arsip 2025/2024</x:v>
      </x:c>
      <x:c r="Z2219" t="str">
        <x:v>https://snpmb.id/utbk-snbt/daya-tampung-snbt</x:v>
      </x:c>
      <x:c r="AA2219" t="str">
        <x:v>Tidak Ada</x:v>
      </x:c>
      <x:c r="AB2219" t="str">
        <x:v>Campus=80; Ratio=65.3; Prodi=45; RelDemand=55.8; Capacity=60.0</x:v>
      </x:c>
    </x:row>
    <x:row r="2220">
      <x:c r="A2220" t="n">
        <x:v>2217</x:v>
      </x:c>
      <x:c r="B2220" t="str">
        <x:v>PTN Akademik</x:v>
      </x:c>
      <x:c r="C2220" t="str">
        <x:v>UNIVERSITAS NEGERI MALANG</x:v>
      </x:c>
      <x:c r="D2220" t="str">
        <x:v>PENDIDIKAN AKUNTANSI</x:v>
      </x:c>
      <x:c r="E2220" t="str">
        <x:v>Sarjana</x:v>
      </x:c>
      <x:c r="F2220" s="18" t="n">
        <x:v>50</x:v>
      </x:c>
      <x:c r="G2220" s="18" t="n">
        <x:v>244</x:v>
      </x:c>
      <x:c r="H2220" s="19" t="n">
        <x:v>4.88</x:v>
      </x:c>
      <x:c r="I2220" s="18" t="n">
        <x:f>ROUND(MIN(Model_Config_v3!$B$6,MAX(Q2220,R2220,S2220*Model_Config_v3!$B$4+T2220*Model_Config_v3!$B$5)),0)</x:f>
        <x:v>653</x:v>
      </x:c>
      <x:c r="J2220" s="18" t="n">
        <x:f>MIN(Model_Config_v3!$B$6,I2220+Model_Config_v3!$B$7)</x:f>
        <x:v>673</x:v>
      </x:c>
      <x:c r="K2220" s="20" t="n">
        <x:v>59.1</x:v>
      </x:c>
      <x:c r="L2220" t="str">
        <x:v>KETAT</x:v>
      </x:c>
      <x:c r="M2220" t="str">
        <x:v>SEDANG+</x:v>
      </x:c>
      <x:c r="N2220" t="str">
        <x:v>ELITE-3</x:v>
      </x:c>
      <x:c r="O2220" t="str">
        <x:v>SOSHUM</x:v>
      </x:c>
      <x:c r="P2220" t="str">
        <x:v>BISNIS/EKONOMI/AKUNTANSI</x:v>
      </x:c>
      <x:c r="Q2220" s="18" t="n">
        <x:v>620</x:v>
      </x:c>
      <x:c r="R2220" s="18" t="n">
        <x:v>0</x:v>
      </x:c>
      <x:c r="S2220" s="18" t="n">
        <x:v>595.7261804202982</x:v>
      </x:c>
      <x:c r="T2220" s="18" t="n">
        <x:v>678</x:v>
      </x:c>
      <x:c r="U2220" s="18" t="n">
        <x:v>620</x:v>
      </x:c>
      <x:c r="V2220" s="20" t="n">
        <x:v>4.4</x:v>
      </x:c>
      <x:c r="W2220" s="20" t="n">
        <x:v>14.3</x:v>
      </x:c>
      <x:c r="X2220" s="20" t="n">
        <x:v>3.3</x:v>
      </x:c>
      <x:c r="Y2220" t="str">
        <x:v>Basis arsip 2025/2024</x:v>
      </x:c>
      <x:c r="Z2220" t="str">
        <x:v>https://snpmb.id/utbk-snbt/daya-tampung-snbt</x:v>
      </x:c>
      <x:c r="AA2220" t="str">
        <x:v>Tidak Ada</x:v>
      </x:c>
      <x:c r="AB2220" t="str">
        <x:v>Campus=80; Ratio=40.5; Prodi=65; RelDemand=21.2; Capacity=58.3</x:v>
      </x:c>
    </x:row>
    <x:row r="2221">
      <x:c r="A2221" t="n">
        <x:v>2218</x:v>
      </x:c>
      <x:c r="B2221" t="str">
        <x:v>PTN Akademik</x:v>
      </x:c>
      <x:c r="C2221" t="str">
        <x:v>UNIVERSITAS NEGERI MALANG</x:v>
      </x:c>
      <x:c r="D2221" t="str">
        <x:v>PENDIDIKAN TATA BOGA</x:v>
      </x:c>
      <x:c r="E2221" t="str">
        <x:v>Sarjana</x:v>
      </x:c>
      <x:c r="F2221" s="18" t="n">
        <x:v>36</x:v>
      </x:c>
      <x:c r="G2221" s="18" t="n">
        <x:v>522</x:v>
      </x:c>
      <x:c r="H2221" s="19" t="n">
        <x:v>14.5</x:v>
      </x:c>
      <x:c r="I2221" s="18" t="n">
        <x:f>ROUND(MIN(Model_Config_v3!$B$6,MAX(Q2221,R2221,S2221*Model_Config_v3!$B$4+T2221*Model_Config_v3!$B$5)),0)</x:f>
        <x:v>681</x:v>
      </x:c>
      <x:c r="J2221" s="18" t="n">
        <x:f>MIN(Model_Config_v3!$B$6,I2221+Model_Config_v3!$B$7)</x:f>
        <x:v>701</x:v>
      </x:c>
      <x:c r="K2221" s="20" t="n">
        <x:v>67.4</x:v>
      </x:c>
      <x:c r="L2221" t="str">
        <x:v>SANGAT KETAT</x:v>
      </x:c>
      <x:c r="M2221" t="str">
        <x:v>SEDANG+</x:v>
      </x:c>
      <x:c r="N2221" t="str">
        <x:v>ELITE-3</x:v>
      </x:c>
      <x:c r="O2221" t="str">
        <x:v>CAMPURAN</x:v>
      </x:c>
      <x:c r="P2221" t="str">
        <x:v>PENDIDIKAN</x:v>
      </x:c>
      <x:c r="Q2221" s="18" t="n">
        <x:v>620</x:v>
      </x:c>
      <x:c r="R2221" s="18" t="n">
        <x:v>0</x:v>
      </x:c>
      <x:c r="S2221" s="18" t="n">
        <x:v>647.7504802458473</x:v>
      </x:c>
      <x:c r="T2221" s="18" t="n">
        <x:v>695</x:v>
      </x:c>
      <x:c r="U2221" s="18" t="n">
        <x:v>647.7504802458473</x:v>
      </x:c>
      <x:c r="V2221" s="20" t="n">
        <x:v>8.8</x:v>
      </x:c>
      <x:c r="W2221" s="20" t="n">
        <x:v>9.9</x:v>
      </x:c>
      <x:c r="X2221" s="20" t="n">
        <x:v>3.3</x:v>
      </x:c>
      <x:c r="Y2221" t="str">
        <x:v>Basis arsip 2025/2024</x:v>
      </x:c>
      <x:c r="Z2221" t="str">
        <x:v>https://snpmb.id/utbk-snbt/daya-tampung-snbt</x:v>
      </x:c>
      <x:c r="AA2221" t="str">
        <x:v>Tidak Ada</x:v>
      </x:c>
      <x:c r="AB2221" t="str">
        <x:v>Campus=80; Ratio=68.4; Prodi=45; RelDemand=62.9; Capacity=70.0</x:v>
      </x:c>
    </x:row>
    <x:row r="2222">
      <x:c r="A2222" t="n">
        <x:v>2219</x:v>
      </x:c>
      <x:c r="B2222" t="str">
        <x:v>PTN Akademik</x:v>
      </x:c>
      <x:c r="C2222" t="str">
        <x:v>UNIVERSITAS NEGERI MALANG</x:v>
      </x:c>
      <x:c r="D2222" t="str">
        <x:v>PENDIDIKAN TATA BUSANA</x:v>
      </x:c>
      <x:c r="E2222" t="str">
        <x:v>Sarjana</x:v>
      </x:c>
      <x:c r="F2222" s="18" t="n">
        <x:v>36</x:v>
      </x:c>
      <x:c r="G2222" s="18" t="n">
        <x:v>415</x:v>
      </x:c>
      <x:c r="H2222" s="19" t="n">
        <x:v>11.527777777777779</x:v>
      </x:c>
      <x:c r="I2222" s="18" t="n">
        <x:f>ROUND(MIN(Model_Config_v3!$B$6,MAX(Q2222,R2222,S2222*Model_Config_v3!$B$4+T2222*Model_Config_v3!$B$5)),0)</x:f>
        <x:v>673</x:v>
      </x:c>
      <x:c r="J2222" s="18" t="n">
        <x:f>MIN(Model_Config_v3!$B$6,I2222+Model_Config_v3!$B$7)</x:f>
        <x:v>693</x:v>
      </x:c>
      <x:c r="K2222" s="20" t="n">
        <x:v>64.6</x:v>
      </x:c>
      <x:c r="L2222" t="str">
        <x:v>KETAT</x:v>
      </x:c>
      <x:c r="M2222" t="str">
        <x:v>SEDANG+</x:v>
      </x:c>
      <x:c r="N2222" t="str">
        <x:v>ELITE-3</x:v>
      </x:c>
      <x:c r="O2222" t="str">
        <x:v>CAMPURAN</x:v>
      </x:c>
      <x:c r="P2222" t="str">
        <x:v>PENDIDIKAN</x:v>
      </x:c>
      <x:c r="Q2222" s="18" t="n">
        <x:v>620</x:v>
      </x:c>
      <x:c r="R2222" s="18" t="n">
        <x:v>0</x:v>
      </x:c>
      <x:c r="S2222" s="18" t="n">
        <x:v>636.7920155539286</x:v>
      </x:c>
      <x:c r="T2222" s="18" t="n">
        <x:v>689</x:v>
      </x:c>
      <x:c r="U2222" s="18" t="n">
        <x:v>636.7920155539286</x:v>
      </x:c>
      <x:c r="V2222" s="20" t="n">
        <x:v>8.8</x:v>
      </x:c>
      <x:c r="W2222" s="20" t="n">
        <x:v>9.9</x:v>
      </x:c>
      <x:c r="X2222" s="20" t="n">
        <x:v>3.3</x:v>
      </x:c>
      <x:c r="Y2222" t="str">
        <x:v>Basis arsip 2025/2024</x:v>
      </x:c>
      <x:c r="Z2222" t="str">
        <x:v>https://snpmb.id/utbk-snbt/daya-tampung-snbt</x:v>
      </x:c>
      <x:c r="AA2222" t="str">
        <x:v>Tidak Ada</x:v>
      </x:c>
      <x:c r="AB2222" t="str">
        <x:v>Campus=80; Ratio=62.5; Prodi=45; RelDemand=50.0; Capacity=70.0</x:v>
      </x:c>
    </x:row>
    <x:row r="2223">
      <x:c r="A2223" t="n">
        <x:v>2220</x:v>
      </x:c>
      <x:c r="B2223" t="str">
        <x:v>PTN Akademik</x:v>
      </x:c>
      <x:c r="C2223" t="str">
        <x:v>UNIVERSITAS NEGERI MALANG</x:v>
      </x:c>
      <x:c r="D2223" t="str">
        <x:v>PSIKOLOGI</x:v>
      </x:c>
      <x:c r="E2223" t="str">
        <x:v>Sarjana</x:v>
      </x:c>
      <x:c r="F2223" s="18" t="n">
        <x:v>120</x:v>
      </x:c>
      <x:c r="G2223" s="18" t="n">
        <x:v>2592</x:v>
      </x:c>
      <x:c r="H2223" s="19" t="n">
        <x:v>21.6</x:v>
      </x:c>
      <x:c r="I2223" s="18" t="n">
        <x:f>ROUND(MIN(Model_Config_v3!$B$6,MAX(Q2223,R2223,S2223*Model_Config_v3!$B$4+T2223*Model_Config_v3!$B$5)),0)</x:f>
        <x:v>694</x:v>
      </x:c>
      <x:c r="J2223" s="18" t="n">
        <x:f>MIN(Model_Config_v3!$B$6,I2223+Model_Config_v3!$B$7)</x:f>
        <x:v>714</x:v>
      </x:c>
      <x:c r="K2223" s="20" t="n">
        <x:v>73</x:v>
      </x:c>
      <x:c r="L2223" t="str">
        <x:v>SANGAT KETAT</x:v>
      </x:c>
      <x:c r="M2223" t="str">
        <x:v>SEDANG+</x:v>
      </x:c>
      <x:c r="N2223" t="str">
        <x:v>ELITE-3</x:v>
      </x:c>
      <x:c r="O2223" t="str">
        <x:v>SOSHUM</x:v>
      </x:c>
      <x:c r="P2223" t="str">
        <x:v>PSIKOLOGI</x:v>
      </x:c>
      <x:c r="Q2223" s="18" t="n">
        <x:v>620</x:v>
      </x:c>
      <x:c r="R2223" s="18" t="n">
        <x:v>670</x:v>
      </x:c>
      <x:c r="S2223" s="18" t="n">
        <x:v>666.7899126266024</x:v>
      </x:c>
      <x:c r="T2223" s="18" t="n">
        <x:v>706</x:v>
      </x:c>
      <x:c r="U2223" s="18" t="n">
        <x:v>691.7899126266024</x:v>
      </x:c>
      <x:c r="V2223" s="20" t="n">
        <x:v>4.4</x:v>
      </x:c>
      <x:c r="W2223" s="20" t="n">
        <x:v>14.3</x:v>
      </x:c>
      <x:c r="X2223" s="20" t="n">
        <x:v>3.3</x:v>
      </x:c>
      <x:c r="Y2223" t="str">
        <x:v>Basis arsip 2025/2024</x:v>
      </x:c>
      <x:c r="Z2223" t="str">
        <x:v>https://snpmb.id/utbk-snbt/daya-tampung-snbt</x:v>
      </x:c>
      <x:c r="AA2223" t="str">
        <x:v>Tidak Ada</x:v>
      </x:c>
      <x:c r="AB2223" t="str">
        <x:v>Campus=80; Ratio=78.5; Prodi=80; RelDemand=93.7; Capacity=0.0</x:v>
      </x:c>
    </x:row>
    <x:row r="2224">
      <x:c r="A2224" t="n">
        <x:v>2221</x:v>
      </x:c>
      <x:c r="B2224" t="str">
        <x:v>PTN Akademik</x:v>
      </x:c>
      <x:c r="C2224" t="str">
        <x:v>UNIVERSITAS NEGERI MALANG</x:v>
      </x:c>
      <x:c r="D2224" t="str">
        <x:v>BAHASA DAN SASTRA INDONESIA</x:v>
      </x:c>
      <x:c r="E2224" t="str">
        <x:v>Sarjana</x:v>
      </x:c>
      <x:c r="F2224" s="18" t="n">
        <x:v>55</x:v>
      </x:c>
      <x:c r="G2224" s="18" t="n">
        <x:v>372</x:v>
      </x:c>
      <x:c r="H2224" s="19" t="n">
        <x:v>6.763636363636364</x:v>
      </x:c>
      <x:c r="I2224" s="18" t="n">
        <x:f>ROUND(MIN(Model_Config_v3!$B$6,MAX(Q2224,R2224,S2224*Model_Config_v3!$B$4+T2224*Model_Config_v3!$B$5)),0)</x:f>
        <x:v>654</x:v>
      </x:c>
      <x:c r="J2224" s="18" t="n">
        <x:f>MIN(Model_Config_v3!$B$6,I2224+Model_Config_v3!$B$7)</x:f>
        <x:v>674</x:v>
      </x:c>
      <x:c r="K2224" s="20" t="n">
        <x:v>56.6</x:v>
      </x:c>
      <x:c r="L2224" t="str">
        <x:v>KETAT</x:v>
      </x:c>
      <x:c r="M2224" t="str">
        <x:v>SEDANG+</x:v>
      </x:c>
      <x:c r="N2224" t="str">
        <x:v>ELITE-3</x:v>
      </x:c>
      <x:c r="O2224" t="str">
        <x:v>SOSHUM</x:v>
      </x:c>
      <x:c r="P2224" t="str">
        <x:v>UMUM</x:v>
      </x:c>
      <x:c r="Q2224" s="18" t="n">
        <x:v>620</x:v>
      </x:c>
      <x:c r="R2224" s="18" t="n">
        <x:v>0</x:v>
      </x:c>
      <x:c r="S2224" s="18" t="n">
        <x:v>611.3198275426419</x:v>
      </x:c>
      <x:c r="T2224" s="18" t="n">
        <x:v>673</x:v>
      </x:c>
      <x:c r="U2224" s="18" t="n">
        <x:v>620</x:v>
      </x:c>
      <x:c r="V2224" s="20" t="n">
        <x:v>4.4</x:v>
      </x:c>
      <x:c r="W2224" s="20" t="n">
        <x:v>14.3</x:v>
      </x:c>
      <x:c r="X2224" s="20" t="n">
        <x:v>3.3</x:v>
      </x:c>
      <x:c r="Y2224" t="str">
        <x:v>Basis arsip 2025/2024</x:v>
      </x:c>
      <x:c r="Z2224" t="str">
        <x:v>https://snpmb.id/utbk-snbt/daya-tampung-snbt</x:v>
      </x:c>
      <x:c r="AA2224" t="str">
        <x:v>Tidak Ada</x:v>
      </x:c>
      <x:c r="AB2224" t="str">
        <x:v>Campus=80; Ratio=48.9; Prodi=40; RelDemand=29.3; Capacity=54.2</x:v>
      </x:c>
    </x:row>
    <x:row r="2225">
      <x:c r="A2225" t="n">
        <x:v>2222</x:v>
      </x:c>
      <x:c r="B2225" t="str">
        <x:v>PTN Akademik</x:v>
      </x:c>
      <x:c r="C2225" t="str">
        <x:v>UNIVERSITAS NEGERI MALANG</x:v>
      </x:c>
      <x:c r="D2225" t="str">
        <x:v>BAHASA DAN SASTRA INGGRIS</x:v>
      </x:c>
      <x:c r="E2225" t="str">
        <x:v>Sarjana</x:v>
      </x:c>
      <x:c r="F2225" s="18" t="n">
        <x:v>40</x:v>
      </x:c>
      <x:c r="G2225" s="18" t="n">
        <x:v>522</x:v>
      </x:c>
      <x:c r="H2225" s="19" t="n">
        <x:v>13.05</x:v>
      </x:c>
      <x:c r="I2225" s="18" t="n">
        <x:f>ROUND(MIN(Model_Config_v3!$B$6,MAX(Q2225,R2225,S2225*Model_Config_v3!$B$4+T2225*Model_Config_v3!$B$5)),0)</x:f>
        <x:v>675</x:v>
      </x:c>
      <x:c r="J2225" s="18" t="n">
        <x:f>MIN(Model_Config_v3!$B$6,I2225+Model_Config_v3!$B$7)</x:f>
        <x:v>695</x:v>
      </x:c>
      <x:c r="K2225" s="20" t="n">
        <x:v>64.7</x:v>
      </x:c>
      <x:c r="L2225" t="str">
        <x:v>KETAT</x:v>
      </x:c>
      <x:c r="M2225" t="str">
        <x:v>SEDANG+</x:v>
      </x:c>
      <x:c r="N2225" t="str">
        <x:v>ELITE-3</x:v>
      </x:c>
      <x:c r="O2225" t="str">
        <x:v>SOSHUM</x:v>
      </x:c>
      <x:c r="P2225" t="str">
        <x:v>UMUM</x:v>
      </x:c>
      <x:c r="Q2225" s="18" t="n">
        <x:v>620</x:v>
      </x:c>
      <x:c r="R2225" s="18" t="n">
        <x:v>0</x:v>
      </x:c>
      <x:c r="S2225" s="18" t="n">
        <x:v>642.7171562841729</x:v>
      </x:c>
      <x:c r="T2225" s="18" t="n">
        <x:v>689</x:v>
      </x:c>
      <x:c r="U2225" s="18" t="n">
        <x:v>642.7171562841729</x:v>
      </x:c>
      <x:c r="V2225" s="20" t="n">
        <x:v>4.4</x:v>
      </x:c>
      <x:c r="W2225" s="20" t="n">
        <x:v>14.3</x:v>
      </x:c>
      <x:c r="X2225" s="20" t="n">
        <x:v>3.3</x:v>
      </x:c>
      <x:c r="Y2225" t="str">
        <x:v>Basis arsip 2025/2024</x:v>
      </x:c>
      <x:c r="Z2225" t="str">
        <x:v>https://snpmb.id/utbk-snbt/daya-tampung-snbt</x:v>
      </x:c>
      <x:c r="AA2225" t="str">
        <x:v>Tidak Ada</x:v>
      </x:c>
      <x:c r="AB2225" t="str">
        <x:v>Campus=80; Ratio=65.7; Prodi=40; RelDemand=56.6; Capacity=66.7</x:v>
      </x:c>
    </x:row>
    <x:row r="2226">
      <x:c r="A2226" t="n">
        <x:v>2223</x:v>
      </x:c>
      <x:c r="B2226" t="str">
        <x:v>PTN Akademik</x:v>
      </x:c>
      <x:c r="C2226" t="str">
        <x:v>UNIVERSITAS NEGERI MALANG</x:v>
      </x:c>
      <x:c r="D2226" t="str">
        <x:v>ILMU SEJARAH</x:v>
      </x:c>
      <x:c r="E2226" t="str">
        <x:v>Sarjana</x:v>
      </x:c>
      <x:c r="F2226" s="18" t="n">
        <x:v>30</x:v>
      </x:c>
      <x:c r="G2226" s="18" t="n">
        <x:v>186</x:v>
      </x:c>
      <x:c r="H2226" s="19" t="n">
        <x:v>6.2</x:v>
      </x:c>
      <x:c r="I2226" s="18" t="n">
        <x:f>ROUND(MIN(Model_Config_v3!$B$6,MAX(Q2226,R2226,S2226*Model_Config_v3!$B$4+T2226*Model_Config_v3!$B$5)),0)</x:f>
        <x:v>655</x:v>
      </x:c>
      <x:c r="J2226" s="18" t="n">
        <x:f>MIN(Model_Config_v3!$B$6,I2226+Model_Config_v3!$B$7)</x:f>
        <x:v>675</x:v>
      </x:c>
      <x:c r="K2226" s="20" t="n">
        <x:v>57.8</x:v>
      </x:c>
      <x:c r="L2226" t="str">
        <x:v>KETAT</x:v>
      </x:c>
      <x:c r="M2226" t="str">
        <x:v>SEDANG+</x:v>
      </x:c>
      <x:c r="N2226" t="str">
        <x:v>ELITE-3</x:v>
      </x:c>
      <x:c r="O2226" t="str">
        <x:v>SOSHUM</x:v>
      </x:c>
      <x:c r="P2226" t="str">
        <x:v>UMUM</x:v>
      </x:c>
      <x:c r="Q2226" s="18" t="n">
        <x:v>620</x:v>
      </x:c>
      <x:c r="R2226" s="18" t="n">
        <x:v>0</x:v>
      </x:c>
      <x:c r="S2226" s="18" t="n">
        <x:v>607.1630858448079</x:v>
      </x:c>
      <x:c r="T2226" s="18" t="n">
        <x:v>676</x:v>
      </x:c>
      <x:c r="U2226" s="18" t="n">
        <x:v>620</x:v>
      </x:c>
      <x:c r="V2226" s="20" t="n">
        <x:v>4.4</x:v>
      </x:c>
      <x:c r="W2226" s="20" t="n">
        <x:v>14.3</x:v>
      </x:c>
      <x:c r="X2226" s="20" t="n">
        <x:v>3.3</x:v>
      </x:c>
      <x:c r="Y2226" t="str">
        <x:v>Basis arsip 2025/2024</x:v>
      </x:c>
      <x:c r="Z2226" t="str">
        <x:v>https://snpmb.id/utbk-snbt/daya-tampung-snbt</x:v>
      </x:c>
      <x:c r="AA2226" t="str">
        <x:v>Tidak Ada</x:v>
      </x:c>
      <x:c r="AB2226" t="str">
        <x:v>Campus=80; Ratio=46.6; Prodi=40; RelDemand=26.9; Capacity=75.0</x:v>
      </x:c>
    </x:row>
    <x:row r="2227">
      <x:c r="A2227" t="n">
        <x:v>2224</x:v>
      </x:c>
      <x:c r="B2227" t="str">
        <x:v>PTN Akademik</x:v>
      </x:c>
      <x:c r="C2227" t="str">
        <x:v>UNIVERSITAS NEGERI MALANG</x:v>
      </x:c>
      <x:c r="D2227" t="str">
        <x:v>DESAIN KOMUNIKASI VISUAL</x:v>
      </x:c>
      <x:c r="E2227" t="str">
        <x:v>Sarjana</x:v>
      </x:c>
      <x:c r="F2227" s="18" t="n">
        <x:v>60</x:v>
      </x:c>
      <x:c r="G2227" s="18" t="n">
        <x:v>651</x:v>
      </x:c>
      <x:c r="H2227" s="19" t="n">
        <x:v>10.85</x:v>
      </x:c>
      <x:c r="I2227" s="18" t="n">
        <x:f>ROUND(MIN(Model_Config_v3!$B$6,MAX(Q2227,R2227,S2227*Model_Config_v3!$B$4+T2227*Model_Config_v3!$B$5)),0)</x:f>
        <x:v>669</x:v>
      </x:c>
      <x:c r="J2227" s="18" t="n">
        <x:f>MIN(Model_Config_v3!$B$6,I2227+Model_Config_v3!$B$7)</x:f>
        <x:v>689</x:v>
      </x:c>
      <x:c r="K2227" s="20" t="n">
        <x:v>61.9</x:v>
      </x:c>
      <x:c r="L2227" t="str">
        <x:v>KETAT</x:v>
      </x:c>
      <x:c r="M2227" t="str">
        <x:v>PORTOFOLIO</x:v>
      </x:c>
      <x:c r="N2227" t="str">
        <x:v>ELITE-3</x:v>
      </x:c>
      <x:c r="O2227" t="str">
        <x:v>SENI/OLAHRAGA</x:v>
      </x:c>
      <x:c r="P2227" t="str">
        <x:v>SENI/OLAHRAGA</x:v>
      </x:c>
      <x:c r="Q2227" s="18" t="n">
        <x:v>620</x:v>
      </x:c>
      <x:c r="R2227" s="18" t="n">
        <x:v>0</x:v>
      </x:c>
      <x:c r="S2227" s="18" t="n">
        <x:v>633.8972712003003</x:v>
      </x:c>
      <x:c r="T2227" s="18" t="n">
        <x:v>684</x:v>
      </x:c>
      <x:c r="U2227" s="18" t="n">
        <x:v>633.8972712003003</x:v>
      </x:c>
      <x:c r="V2227" s="20" t="n">
        <x:v>4.4</x:v>
      </x:c>
      <x:c r="W2227" s="20" t="n">
        <x:v>9.9</x:v>
      </x:c>
      <x:c r="X2227" s="20" t="n">
        <x:v>7.7</x:v>
      </x:c>
      <x:c r="Y2227" t="str">
        <x:v>Basis arsip 2025/2024</x:v>
      </x:c>
      <x:c r="Z2227" t="str">
        <x:v>https://snpmb.id/utbk-snbt/daya-tampung-snbt</x:v>
      </x:c>
      <x:c r="AA2227" t="str">
        <x:v>Seni Rupa, Desain, dan Kriya</x:v>
      </x:c>
      <x:c r="AB2227" t="str">
        <x:v>Campus=80; Ratio=60.9; Prodi=45; RelDemand=47.0; Capacity=50.0</x:v>
      </x:c>
    </x:row>
    <x:row r="2228">
      <x:c r="A2228" t="n">
        <x:v>2225</x:v>
      </x:c>
      <x:c r="B2228" t="str">
        <x:v>PTN Akademik</x:v>
      </x:c>
      <x:c r="C2228" t="str">
        <x:v>UNIVERSITAS NEGERI MALANG</x:v>
      </x:c>
      <x:c r="D2228" t="str">
        <x:v>AKUNTANSI</x:v>
      </x:c>
      <x:c r="E2228" t="str">
        <x:v>Sarjana</x:v>
      </x:c>
      <x:c r="F2228" s="18" t="n">
        <x:v>84</x:v>
      </x:c>
      <x:c r="G2228" s="18" t="n">
        <x:v>1371</x:v>
      </x:c>
      <x:c r="H2228" s="19" t="n">
        <x:v>16.321428571428573</x:v>
      </x:c>
      <x:c r="I2228" s="18" t="n">
        <x:f>ROUND(MIN(Model_Config_v3!$B$6,MAX(Q2228,R2228,S2228*Model_Config_v3!$B$4+T2228*Model_Config_v3!$B$5)),0)</x:f>
        <x:v>685</x:v>
      </x:c>
      <x:c r="J2228" s="18" t="n">
        <x:f>MIN(Model_Config_v3!$B$6,I2228+Model_Config_v3!$B$7)</x:f>
        <x:v>705</x:v>
      </x:c>
      <x:c r="K2228" s="20" t="n">
        <x:v>68.9</x:v>
      </x:c>
      <x:c r="L2228" t="str">
        <x:v>SANGAT KETAT</x:v>
      </x:c>
      <x:c r="M2228" t="str">
        <x:v>SEDANG+</x:v>
      </x:c>
      <x:c r="N2228" t="str">
        <x:v>ELITE-3</x:v>
      </x:c>
      <x:c r="O2228" t="str">
        <x:v>SOSHUM</x:v>
      </x:c>
      <x:c r="P2228" t="str">
        <x:v>BISNIS/EKONOMI/AKUNTANSI</x:v>
      </x:c>
      <x:c r="Q2228" s="18" t="n">
        <x:v>620</x:v>
      </x:c>
      <x:c r="R2228" s="18" t="n">
        <x:v>0</x:v>
      </x:c>
      <x:c r="S2228" s="18" t="n">
        <x:v>653.4033985600395</x:v>
      </x:c>
      <x:c r="T2228" s="18" t="n">
        <x:v>698</x:v>
      </x:c>
      <x:c r="U2228" s="18" t="n">
        <x:v>653.4033985600395</x:v>
      </x:c>
      <x:c r="V2228" s="20" t="n">
        <x:v>4.4</x:v>
      </x:c>
      <x:c r="W2228" s="20" t="n">
        <x:v>14.3</x:v>
      </x:c>
      <x:c r="X2228" s="20" t="n">
        <x:v>3.3</x:v>
      </x:c>
      <x:c r="Y2228" t="str">
        <x:v>Basis arsip 2025/2024</x:v>
      </x:c>
      <x:c r="Z2228" t="str">
        <x:v>https://snpmb.id/utbk-snbt/daya-tampung-snbt</x:v>
      </x:c>
      <x:c r="AA2228" t="str">
        <x:v>Tidak Ada</x:v>
      </x:c>
      <x:c r="AB2228" t="str">
        <x:v>Campus=80; Ratio=71.4; Prodi=65; RelDemand=70.8; Capacity=30.0</x:v>
      </x:c>
    </x:row>
    <x:row r="2229">
      <x:c r="A2229" t="n">
        <x:v>2226</x:v>
      </x:c>
      <x:c r="B2229" t="str">
        <x:v>PTN Akademik</x:v>
      </x:c>
      <x:c r="C2229" t="str">
        <x:v>UNIVERSITAS NEGERI MALANG</x:v>
      </x:c>
      <x:c r="D2229" t="str">
        <x:v>EKONOMI DAN STUDI PEMBANGUNAN</x:v>
      </x:c>
      <x:c r="E2229" t="str">
        <x:v>Sarjana</x:v>
      </x:c>
      <x:c r="F2229" s="18" t="n">
        <x:v>57</x:v>
      </x:c>
      <x:c r="G2229" s="18" t="n">
        <x:v>656</x:v>
      </x:c>
      <x:c r="H2229" s="19" t="n">
        <x:v>11.508771929824562</x:v>
      </x:c>
      <x:c r="I2229" s="18" t="n">
        <x:f>ROUND(MIN(Model_Config_v3!$B$6,MAX(Q2229,R2229,S2229*Model_Config_v3!$B$4+T2229*Model_Config_v3!$B$5)),0)</x:f>
        <x:v>670</x:v>
      </x:c>
      <x:c r="J2229" s="18" t="n">
        <x:f>MIN(Model_Config_v3!$B$6,I2229+Model_Config_v3!$B$7)</x:f>
        <x:v>690</x:v>
      </x:c>
      <x:c r="K2229" s="20" t="n">
        <x:v>61.9</x:v>
      </x:c>
      <x:c r="L2229" t="str">
        <x:v>KETAT</x:v>
      </x:c>
      <x:c r="M2229" t="str">
        <x:v>SEDANG+</x:v>
      </x:c>
      <x:c r="N2229" t="str">
        <x:v>ELITE-3</x:v>
      </x:c>
      <x:c r="O2229" t="str">
        <x:v>SOSHUM</x:v>
      </x:c>
      <x:c r="P2229" t="str">
        <x:v>UMUM</x:v>
      </x:c>
      <x:c r="Q2229" s="18" t="n">
        <x:v>620</x:v>
      </x:c>
      <x:c r="R2229" s="18" t="n">
        <x:v>0</x:v>
      </x:c>
      <x:c r="S2229" s="18" t="n">
        <x:v>636.7131882073486</x:v>
      </x:c>
      <x:c r="T2229" s="18" t="n">
        <x:v>684</x:v>
      </x:c>
      <x:c r="U2229" s="18" t="n">
        <x:v>636.7131882073486</x:v>
      </x:c>
      <x:c r="V2229" s="20" t="n">
        <x:v>4.4</x:v>
      </x:c>
      <x:c r="W2229" s="20" t="n">
        <x:v>14.3</x:v>
      </x:c>
      <x:c r="X2229" s="20" t="n">
        <x:v>3.3</x:v>
      </x:c>
      <x:c r="Y2229" t="str">
        <x:v>Basis arsip 2025/2024</x:v>
      </x:c>
      <x:c r="Z2229" t="str">
        <x:v>https://snpmb.id/utbk-snbt/daya-tampung-snbt</x:v>
      </x:c>
      <x:c r="AA2229" t="str">
        <x:v>Tidak Ada</x:v>
      </x:c>
      <x:c r="AB2229" t="str">
        <x:v>Campus=80; Ratio=62.5; Prodi=40; RelDemand=49.9; Capacity=52.5</x:v>
      </x:c>
    </x:row>
    <x:row r="2230">
      <x:c r="A2230" t="n">
        <x:v>2227</x:v>
      </x:c>
      <x:c r="B2230" t="str">
        <x:v>PTN Akademik</x:v>
      </x:c>
      <x:c r="C2230" t="str">
        <x:v>UNIVERSITAS NEGERI MALANG</x:v>
      </x:c>
      <x:c r="D2230" t="str">
        <x:v>MANAJEMEN</x:v>
      </x:c>
      <x:c r="E2230" t="str">
        <x:v>Sarjana</x:v>
      </x:c>
      <x:c r="F2230" s="18" t="n">
        <x:v>96</x:v>
      </x:c>
      <x:c r="G2230" s="18" t="n">
        <x:v>2329</x:v>
      </x:c>
      <x:c r="H2230" s="19" t="n">
        <x:v>24.260416666666668</x:v>
      </x:c>
      <x:c r="I2230" s="18" t="n">
        <x:f>ROUND(MIN(Model_Config_v3!$B$6,MAX(Q2230,R2230,S2230*Model_Config_v3!$B$4+T2230*Model_Config_v3!$B$5)),0)</x:f>
        <x:v>697</x:v>
      </x:c>
      <x:c r="J2230" s="18" t="n">
        <x:f>MIN(Model_Config_v3!$B$6,I2230+Model_Config_v3!$B$7)</x:f>
        <x:v>717</x:v>
      </x:c>
      <x:c r="K2230" s="20" t="n">
        <x:v>73.4</x:v>
      </x:c>
      <x:c r="L2230" t="str">
        <x:v>SANGAT KETAT</x:v>
      </x:c>
      <x:c r="M2230" t="str">
        <x:v>SEDANG+</x:v>
      </x:c>
      <x:c r="N2230" t="str">
        <x:v>ELITE-3</x:v>
      </x:c>
      <x:c r="O2230" t="str">
        <x:v>SOSHUM</x:v>
      </x:c>
      <x:c r="P2230" t="str">
        <x:v>BISNIS/EKONOMI/AKUNTANSI</x:v>
      </x:c>
      <x:c r="Q2230" s="18" t="n">
        <x:v>620</x:v>
      </x:c>
      <x:c r="R2230" s="18" t="n">
        <x:v>0</x:v>
      </x:c>
      <x:c r="S2230" s="18" t="n">
        <x:v>672.3388081044624</x:v>
      </x:c>
      <x:c r="T2230" s="18" t="n">
        <x:v>707</x:v>
      </x:c>
      <x:c r="U2230" s="18" t="n">
        <x:v>687.3388081044624</x:v>
      </x:c>
      <x:c r="V2230" s="20" t="n">
        <x:v>4.4</x:v>
      </x:c>
      <x:c r="W2230" s="20" t="n">
        <x:v>14.3</x:v>
      </x:c>
      <x:c r="X2230" s="20" t="n">
        <x:v>3.3</x:v>
      </x:c>
      <x:c r="Y2230" t="str">
        <x:v>Basis arsip 2025/2024</x:v>
      </x:c>
      <x:c r="Z2230" t="str">
        <x:v>https://snpmb.id/utbk-snbt/daya-tampung-snbt</x:v>
      </x:c>
      <x:c r="AA2230" t="str">
        <x:v>Tidak Ada</x:v>
      </x:c>
      <x:c r="AB2230" t="str">
        <x:v>Campus=80; Ratio=81.5; Prodi=65; RelDemand=100.0; Capacity=20.0</x:v>
      </x:c>
    </x:row>
    <x:row r="2231">
      <x:c r="A2231" t="n">
        <x:v>2228</x:v>
      </x:c>
      <x:c r="B2231" t="str">
        <x:v>PTN Akademik</x:v>
      </x:c>
      <x:c r="C2231" t="str">
        <x:v>UNIVERSITAS NEGERI MALANG</x:v>
      </x:c>
      <x:c r="D2231" t="str">
        <x:v>PENDIDIKAN LUAR BIASA</x:v>
      </x:c>
      <x:c r="E2231" t="str">
        <x:v>Sarjana</x:v>
      </x:c>
      <x:c r="F2231" s="18" t="n">
        <x:v>55</x:v>
      </x:c>
      <x:c r="G2231" s="18" t="n">
        <x:v>196</x:v>
      </x:c>
      <x:c r="H2231" s="19" t="n">
        <x:v>3.5636363636363635</x:v>
      </x:c>
      <x:c r="I2231" s="18" t="n">
        <x:f>ROUND(MIN(Model_Config_v3!$B$6,MAX(Q2231,R2231,S2231*Model_Config_v3!$B$4+T2231*Model_Config_v3!$B$5)),0)</x:f>
        <x:v>639</x:v>
      </x:c>
      <x:c r="J2231" s="18" t="n">
        <x:f>MIN(Model_Config_v3!$B$6,I2231+Model_Config_v3!$B$7)</x:f>
        <x:v>659</x:v>
      </x:c>
      <x:c r="K2231" s="20" t="n">
        <x:v>52.1</x:v>
      </x:c>
      <x:c r="L2231" t="str">
        <x:v>MENENGAH</x:v>
      </x:c>
      <x:c r="M2231" t="str">
        <x:v>SEDANG+</x:v>
      </x:c>
      <x:c r="N2231" t="str">
        <x:v>ELITE-3</x:v>
      </x:c>
      <x:c r="O2231" t="str">
        <x:v>CAMPURAN</x:v>
      </x:c>
      <x:c r="P2231" t="str">
        <x:v>PENDIDIKAN</x:v>
      </x:c>
      <x:c r="Q2231" s="18" t="n">
        <x:v>620</x:v>
      </x:c>
      <x:c r="R2231" s="18" t="n">
        <x:v>0</x:v>
      </x:c>
      <x:c r="S2231" s="18" t="n">
        <x:v>580.7082720048455</x:v>
      </x:c>
      <x:c r="T2231" s="18" t="n">
        <x:v>664</x:v>
      </x:c>
      <x:c r="U2231" s="18" t="n">
        <x:v>620</x:v>
      </x:c>
      <x:c r="V2231" s="20" t="n">
        <x:v>8.8</x:v>
      </x:c>
      <x:c r="W2231" s="20" t="n">
        <x:v>9.9</x:v>
      </x:c>
      <x:c r="X2231" s="20" t="n">
        <x:v>3.3</x:v>
      </x:c>
      <x:c r="Y2231" t="str">
        <x:v>Basis arsip 2025/2024</x:v>
      </x:c>
      <x:c r="Z2231" t="str">
        <x:v>https://snpmb.id/utbk-snbt/daya-tampung-snbt</x:v>
      </x:c>
      <x:c r="AA2231" t="str">
        <x:v>Tidak Ada</x:v>
      </x:c>
      <x:c r="AB2231" t="str">
        <x:v>Campus=80; Ratio=32.5; Prodi=45; RelDemand=15.5; Capacity=54.2</x:v>
      </x:c>
    </x:row>
    <x:row r="2232">
      <x:c r="A2232" t="n">
        <x:v>2229</x:v>
      </x:c>
      <x:c r="B2232" t="str">
        <x:v>PTN Akademik</x:v>
      </x:c>
      <x:c r="C2232" t="str">
        <x:v>UNIVERSITAS NEGERI MALANG</x:v>
      </x:c>
      <x:c r="D2232" t="str">
        <x:v>PENDIDIKAN GEOGRAFI</x:v>
      </x:c>
      <x:c r="E2232" t="str">
        <x:v>Sarjana</x:v>
      </x:c>
      <x:c r="F2232" s="18" t="n">
        <x:v>70</x:v>
      </x:c>
      <x:c r="G2232" s="18" t="n">
        <x:v>232</x:v>
      </x:c>
      <x:c r="H2232" s="19" t="n">
        <x:v>3.3142857142857145</x:v>
      </x:c>
      <x:c r="I2232" s="18" t="n">
        <x:f>ROUND(MIN(Model_Config_v3!$B$6,MAX(Q2232,R2232,S2232*Model_Config_v3!$B$4+T2232*Model_Config_v3!$B$5)),0)</x:f>
        <x:v>636</x:v>
      </x:c>
      <x:c r="J2232" s="18" t="n">
        <x:f>MIN(Model_Config_v3!$B$6,I2232+Model_Config_v3!$B$7)</x:f>
        <x:v>656</x:v>
      </x:c>
      <x:c r="K2232" s="20" t="n">
        <x:v>50.3</x:v>
      </x:c>
      <x:c r="L2232" t="str">
        <x:v>MENENGAH</x:v>
      </x:c>
      <x:c r="M2232" t="str">
        <x:v>SEDANG+</x:v>
      </x:c>
      <x:c r="N2232" t="str">
        <x:v>ELITE-3</x:v>
      </x:c>
      <x:c r="O2232" t="str">
        <x:v>CAMPURAN</x:v>
      </x:c>
      <x:c r="P2232" t="str">
        <x:v>PENDIDIKAN</x:v>
      </x:c>
      <x:c r="Q2232" s="18" t="n">
        <x:v>620</x:v>
      </x:c>
      <x:c r="R2232" s="18" t="n">
        <x:v>0</x:v>
      </x:c>
      <x:c r="S2232" s="18" t="n">
        <x:v>577.2428939364307</x:v>
      </x:c>
      <x:c r="T2232" s="18" t="n">
        <x:v>661</x:v>
      </x:c>
      <x:c r="U2232" s="18" t="n">
        <x:v>620</x:v>
      </x:c>
      <x:c r="V2232" s="20" t="n">
        <x:v>8.8</x:v>
      </x:c>
      <x:c r="W2232" s="20" t="n">
        <x:v>9.9</x:v>
      </x:c>
      <x:c r="X2232" s="20" t="n">
        <x:v>3.3</x:v>
      </x:c>
      <x:c r="Y2232" t="str">
        <x:v>Basis arsip 2025/2024</x:v>
      </x:c>
      <x:c r="Z2232" t="str">
        <x:v>https://snpmb.id/utbk-snbt/daya-tampung-snbt</x:v>
      </x:c>
      <x:c r="AA2232" t="str">
        <x:v>Tidak Ada</x:v>
      </x:c>
      <x:c r="AB2232" t="str">
        <x:v>Campus=80; Ratio=30.6; Prodi=45; RelDemand=14.4; Capacity=41.7</x:v>
      </x:c>
    </x:row>
    <x:row r="2233">
      <x:c r="A2233" t="n">
        <x:v>2230</x:v>
      </x:c>
      <x:c r="B2233" t="str">
        <x:v>PTN Akademik</x:v>
      </x:c>
      <x:c r="C2233" t="str">
        <x:v>UNIVERSITAS NEGERI MALANG</x:v>
      </x:c>
      <x:c r="D2233" t="str">
        <x:v>PENDIDIKAN BAHASA MANDARIN</x:v>
      </x:c>
      <x:c r="E2233" t="str">
        <x:v>Sarjana</x:v>
      </x:c>
      <x:c r="F2233" s="18" t="n">
        <x:v>35</x:v>
      </x:c>
      <x:c r="G2233" s="18" t="n">
        <x:v>94</x:v>
      </x:c>
      <x:c r="H2233" s="19" t="n">
        <x:v>2.6857142857142855</x:v>
      </x:c>
      <x:c r="I2233" s="18" t="n">
        <x:f>ROUND(MIN(Model_Config_v3!$B$6,MAX(Q2233,R2233,S2233*Model_Config_v3!$B$4+T2233*Model_Config_v3!$B$5)),0)</x:f>
        <x:v>634</x:v>
      </x:c>
      <x:c r="J2233" s="18" t="n">
        <x:f>MIN(Model_Config_v3!$B$6,I2233+Model_Config_v3!$B$7)</x:f>
        <x:v>654</x:v>
      </x:c>
      <x:c r="K2233" s="20" t="n">
        <x:v>51.6</x:v>
      </x:c>
      <x:c r="L2233" t="str">
        <x:v>MENENGAH</x:v>
      </x:c>
      <x:c r="M2233" t="str">
        <x:v>SEDANG+</x:v>
      </x:c>
      <x:c r="N2233" t="str">
        <x:v>ELITE-3</x:v>
      </x:c>
      <x:c r="O2233" t="str">
        <x:v>SOSHUM</x:v>
      </x:c>
      <x:c r="P2233" t="str">
        <x:v>PENDIDIKAN</x:v>
      </x:c>
      <x:c r="Q2233" s="18" t="n">
        <x:v>620</x:v>
      </x:c>
      <x:c r="R2233" s="18" t="n">
        <x:v>0</x:v>
      </x:c>
      <x:c r="S2233" s="18" t="n">
        <x:v>567.1965790174365</x:v>
      </x:c>
      <x:c r="T2233" s="18" t="n">
        <x:v>663</x:v>
      </x:c>
      <x:c r="U2233" s="18" t="n">
        <x:v>620</x:v>
      </x:c>
      <x:c r="V2233" s="20" t="n">
        <x:v>4.4</x:v>
      </x:c>
      <x:c r="W2233" s="20" t="n">
        <x:v>14.3</x:v>
      </x:c>
      <x:c r="X2233" s="20" t="n">
        <x:v>3.3</x:v>
      </x:c>
      <x:c r="Y2233" t="str">
        <x:v>Basis arsip 2025/2024</x:v>
      </x:c>
      <x:c r="Z2233" t="str">
        <x:v>https://snpmb.id/utbk-snbt/daya-tampung-snbt</x:v>
      </x:c>
      <x:c r="AA2233" t="str">
        <x:v>Tidak Ada</x:v>
      </x:c>
      <x:c r="AB2233" t="str">
        <x:v>Campus=80; Ratio=25.3; Prodi=45; RelDemand=11.6; Capacity=70.8</x:v>
      </x:c>
    </x:row>
    <x:row r="2234">
      <x:c r="A2234" t="n">
        <x:v>2231</x:v>
      </x:c>
      <x:c r="B2234" t="str">
        <x:v>PTN Akademik</x:v>
      </x:c>
      <x:c r="C2234" t="str">
        <x:v>UNIVERSITAS NEGERI MALANG</x:v>
      </x:c>
      <x:c r="D2234" t="str">
        <x:v>PENDIDIKAN ILMU PENGETAHUAN SOSIAL</x:v>
      </x:c>
      <x:c r="E2234" t="str">
        <x:v>Sarjana</x:v>
      </x:c>
      <x:c r="F2234" s="18" t="n">
        <x:v>50</x:v>
      </x:c>
      <x:c r="G2234" s="18" t="n">
        <x:v>239</x:v>
      </x:c>
      <x:c r="H2234" s="19" t="n">
        <x:v>4.78</x:v>
      </x:c>
      <x:c r="I2234" s="18" t="n">
        <x:f>ROUND(MIN(Model_Config_v3!$B$6,MAX(Q2234,R2234,S2234*Model_Config_v3!$B$4+T2234*Model_Config_v3!$B$5)),0)</x:f>
        <x:v>647</x:v>
      </x:c>
      <x:c r="J2234" s="18" t="n">
        <x:f>MIN(Model_Config_v3!$B$6,I2234+Model_Config_v3!$B$7)</x:f>
        <x:v>667</x:v>
      </x:c>
      <x:c r="K2234" s="20" t="n">
        <x:v>54.9</x:v>
      </x:c>
      <x:c r="L2234" t="str">
        <x:v>MENENGAH</x:v>
      </x:c>
      <x:c r="M2234" t="str">
        <x:v>SEDANG+</x:v>
      </x:c>
      <x:c r="N2234" t="str">
        <x:v>ELITE-3</x:v>
      </x:c>
      <x:c r="O2234" t="str">
        <x:v>CAMPURAN</x:v>
      </x:c>
      <x:c r="P2234" t="str">
        <x:v>PENDIDIKAN</x:v>
      </x:c>
      <x:c r="Q2234" s="18" t="n">
        <x:v>620</x:v>
      </x:c>
      <x:c r="R2234" s="18" t="n">
        <x:v>0</x:v>
      </x:c>
      <x:c r="S2234" s="18" t="n">
        <x:v>594.7370686273331</x:v>
      </x:c>
      <x:c r="T2234" s="18" t="n">
        <x:v>670</x:v>
      </x:c>
      <x:c r="U2234" s="18" t="n">
        <x:v>620</x:v>
      </x:c>
      <x:c r="V2234" s="20" t="n">
        <x:v>8.8</x:v>
      </x:c>
      <x:c r="W2234" s="20" t="n">
        <x:v>9.9</x:v>
      </x:c>
      <x:c r="X2234" s="20" t="n">
        <x:v>3.3</x:v>
      </x:c>
      <x:c r="Y2234" t="str">
        <x:v>Basis arsip 2025/2024</x:v>
      </x:c>
      <x:c r="Z2234" t="str">
        <x:v>https://snpmb.id/utbk-snbt/daya-tampung-snbt</x:v>
      </x:c>
      <x:c r="AA2234" t="str">
        <x:v>Tidak Ada</x:v>
      </x:c>
      <x:c r="AB2234" t="str">
        <x:v>Campus=80; Ratio=40.0; Prodi=45; RelDemand=20.7; Capacity=58.3</x:v>
      </x:c>
    </x:row>
    <x:row r="2235">
      <x:c r="A2235" t="n">
        <x:v>2232</x:v>
      </x:c>
      <x:c r="B2235" t="str">
        <x:v>PTN Akademik</x:v>
      </x:c>
      <x:c r="C2235" t="str">
        <x:v>UNIVERSITAS NEGERI MALANG</x:v>
      </x:c>
      <x:c r="D2235" t="str">
        <x:v>PENDIDIKAN KEPELATIHAN OLAHRAGA</x:v>
      </x:c>
      <x:c r="E2235" t="str">
        <x:v>Sarjana</x:v>
      </x:c>
      <x:c r="F2235" s="18" t="n">
        <x:v>60</x:v>
      </x:c>
      <x:c r="G2235" s="18" t="n">
        <x:v>267</x:v>
      </x:c>
      <x:c r="H2235" s="19" t="n">
        <x:v>4.45</x:v>
      </x:c>
      <x:c r="I2235" s="18" t="n">
        <x:f>ROUND(MIN(Model_Config_v3!$B$6,MAX(Q2235,R2235,S2235*Model_Config_v3!$B$4+T2235*Model_Config_v3!$B$5)),0)</x:f>
        <x:v>644</x:v>
      </x:c>
      <x:c r="J2235" s="18" t="n">
        <x:f>MIN(Model_Config_v3!$B$6,I2235+Model_Config_v3!$B$7)</x:f>
        <x:v>664</x:v>
      </x:c>
      <x:c r="K2235" s="20" t="n">
        <x:v>53.5</x:v>
      </x:c>
      <x:c r="L2235" t="str">
        <x:v>MENENGAH</x:v>
      </x:c>
      <x:c r="M2235" t="str">
        <x:v>PORTOFOLIO</x:v>
      </x:c>
      <x:c r="N2235" t="str">
        <x:v>ELITE-3</x:v>
      </x:c>
      <x:c r="O2235" t="str">
        <x:v>SENI/OLAHRAGA</x:v>
      </x:c>
      <x:c r="P2235" t="str">
        <x:v>SENI/OLAHRAGA</x:v>
      </x:c>
      <x:c r="Q2235" s="18" t="n">
        <x:v>620</x:v>
      </x:c>
      <x:c r="R2235" s="18" t="n">
        <x:v>0</x:v>
      </x:c>
      <x:c r="S2235" s="18" t="n">
        <x:v>591.3196012079025</x:v>
      </x:c>
      <x:c r="T2235" s="18" t="n">
        <x:v>667</x:v>
      </x:c>
      <x:c r="U2235" s="18" t="n">
        <x:v>620</x:v>
      </x:c>
      <x:c r="V2235" s="20" t="n">
        <x:v>4.4</x:v>
      </x:c>
      <x:c r="W2235" s="20" t="n">
        <x:v>9.9</x:v>
      </x:c>
      <x:c r="X2235" s="20" t="n">
        <x:v>7.7</x:v>
      </x:c>
      <x:c r="Y2235" t="str">
        <x:v>Basis arsip 2025/2024</x:v>
      </x:c>
      <x:c r="Z2235" t="str">
        <x:v>https://snpmb.id/utbk-snbt/daya-tampung-snbt</x:v>
      </x:c>
      <x:c r="AA2235" t="str">
        <x:v>Olahraga</x:v>
      </x:c>
      <x:c r="AB2235" t="str">
        <x:v>Campus=80; Ratio=38.2; Prodi=45; RelDemand=19.3; Capacity=50.0</x:v>
      </x:c>
    </x:row>
    <x:row r="2236">
      <x:c r="A2236" t="n">
        <x:v>2233</x:v>
      </x:c>
      <x:c r="B2236" t="str">
        <x:v>PTN Akademik</x:v>
      </x:c>
      <x:c r="C2236" t="str">
        <x:v>UNIVERSITAS NEGERI MALANG</x:v>
      </x:c>
      <x:c r="D2236" t="str">
        <x:v>GEOGRAFI</x:v>
      </x:c>
      <x:c r="E2236" t="str">
        <x:v>Sarjana</x:v>
      </x:c>
      <x:c r="F2236" s="18" t="n">
        <x:v>60</x:v>
      </x:c>
      <x:c r="G2236" s="18" t="n">
        <x:v>299</x:v>
      </x:c>
      <x:c r="H2236" s="19" t="n">
        <x:v>4.983333333333333</x:v>
      </x:c>
      <x:c r="I2236" s="18" t="n">
        <x:f>ROUND(MIN(Model_Config_v3!$B$6,MAX(Q2236,R2236,S2236*Model_Config_v3!$B$4+T2236*Model_Config_v3!$B$5)),0)</x:f>
        <x:v>646</x:v>
      </x:c>
      <x:c r="J2236" s="18" t="n">
        <x:f>MIN(Model_Config_v3!$B$6,I2236+Model_Config_v3!$B$7)</x:f>
        <x:v>666</x:v>
      </x:c>
      <x:c r="K2236" s="20" t="n">
        <x:v>53.4</x:v>
      </x:c>
      <x:c r="L2236" t="str">
        <x:v>MENENGAH</x:v>
      </x:c>
      <x:c r="M2236" t="str">
        <x:v>SEDANG+</x:v>
      </x:c>
      <x:c r="N2236" t="str">
        <x:v>ELITE-3</x:v>
      </x:c>
      <x:c r="O2236" t="str">
        <x:v>CAMPURAN</x:v>
      </x:c>
      <x:c r="P2236" t="str">
        <x:v>UMUM</x:v>
      </x:c>
      <x:c r="Q2236" s="18" t="n">
        <x:v>620</x:v>
      </x:c>
      <x:c r="R2236" s="18" t="n">
        <x:v>0</x:v>
      </x:c>
      <x:c r="S2236" s="18" t="n">
        <x:v>596.7271931734865</x:v>
      </x:c>
      <x:c r="T2236" s="18" t="n">
        <x:v>667</x:v>
      </x:c>
      <x:c r="U2236" s="18" t="n">
        <x:v>620</x:v>
      </x:c>
      <x:c r="V2236" s="20" t="n">
        <x:v>8.8</x:v>
      </x:c>
      <x:c r="W2236" s="20" t="n">
        <x:v>9.9</x:v>
      </x:c>
      <x:c r="X2236" s="20" t="n">
        <x:v>3.3</x:v>
      </x:c>
      <x:c r="Y2236" t="str">
        <x:v>Basis arsip 2025/2024</x:v>
      </x:c>
      <x:c r="Z2236" t="str">
        <x:v>https://snpmb.id/utbk-snbt/daya-tampung-snbt</x:v>
      </x:c>
      <x:c r="AA2236" t="str">
        <x:v>Tidak Ada</x:v>
      </x:c>
      <x:c r="AB2236" t="str">
        <x:v>Campus=80; Ratio=41.1; Prodi=40; RelDemand=21.6; Capacity=50.0</x:v>
      </x:c>
    </x:row>
    <x:row r="2237">
      <x:c r="A2237" t="n">
        <x:v>2234</x:v>
      </x:c>
      <x:c r="B2237" t="str">
        <x:v>PTN Akademik</x:v>
      </x:c>
      <x:c r="C2237" t="str">
        <x:v>UNIVERSITAS NEGERI MALANG</x:v>
      </x:c>
      <x:c r="D2237" t="str">
        <x:v>PENDIDIKAN SOSIOLOGI</x:v>
      </x:c>
      <x:c r="E2237" t="str">
        <x:v>Sarjana</x:v>
      </x:c>
      <x:c r="F2237" s="18" t="n">
        <x:v>65</x:v>
      </x:c>
      <x:c r="G2237" s="18" t="n">
        <x:v>307</x:v>
      </x:c>
      <x:c r="H2237" s="19" t="n">
        <x:v>4.723076923076923</x:v>
      </x:c>
      <x:c r="I2237" s="18" t="n">
        <x:f>ROUND(MIN(Model_Config_v3!$B$6,MAX(Q2237,R2237,S2237*Model_Config_v3!$B$4+T2237*Model_Config_v3!$B$5)),0)</x:f>
        <x:v>645</x:v>
      </x:c>
      <x:c r="J2237" s="18" t="n">
        <x:f>MIN(Model_Config_v3!$B$6,I2237+Model_Config_v3!$B$7)</x:f>
        <x:v>665</x:v>
      </x:c>
      <x:c r="K2237" s="20" t="n">
        <x:v>53.6</x:v>
      </x:c>
      <x:c r="L2237" t="str">
        <x:v>MENENGAH</x:v>
      </x:c>
      <x:c r="M2237" t="str">
        <x:v>SEDANG+</x:v>
      </x:c>
      <x:c r="N2237" t="str">
        <x:v>ELITE-3</x:v>
      </x:c>
      <x:c r="O2237" t="str">
        <x:v>SOSHUM</x:v>
      </x:c>
      <x:c r="P2237" t="str">
        <x:v>PENDIDIKAN</x:v>
      </x:c>
      <x:c r="Q2237" s="18" t="n">
        <x:v>620</x:v>
      </x:c>
      <x:c r="R2237" s="18" t="n">
        <x:v>0</x:v>
      </x:c>
      <x:c r="S2237" s="18" t="n">
        <x:v>594.1647520717764</x:v>
      </x:c>
      <x:c r="T2237" s="18" t="n">
        <x:v>667</x:v>
      </x:c>
      <x:c r="U2237" s="18" t="n">
        <x:v>620</x:v>
      </x:c>
      <x:c r="V2237" s="20" t="n">
        <x:v>4.4</x:v>
      </x:c>
      <x:c r="W2237" s="20" t="n">
        <x:v>14.3</x:v>
      </x:c>
      <x:c r="X2237" s="20" t="n">
        <x:v>3.3</x:v>
      </x:c>
      <x:c r="Y2237" t="str">
        <x:v>Basis arsip 2025/2024</x:v>
      </x:c>
      <x:c r="Z2237" t="str">
        <x:v>https://snpmb.id/utbk-snbt/daya-tampung-snbt</x:v>
      </x:c>
      <x:c r="AA2237" t="str">
        <x:v>Tidak Ada</x:v>
      </x:c>
      <x:c r="AB2237" t="str">
        <x:v>Campus=80; Ratio=39.7; Prodi=45; RelDemand=20.5; Capacity=45.8</x:v>
      </x:c>
    </x:row>
    <x:row r="2238">
      <x:c r="A2238" t="n">
        <x:v>2235</x:v>
      </x:c>
      <x:c r="B2238" t="str">
        <x:v>PTN Akademik</x:v>
      </x:c>
      <x:c r="C2238" t="str">
        <x:v>UNIVERSITAS NEGERI MALANG</x:v>
      </x:c>
      <x:c r="D2238" t="str">
        <x:v>ILMU PERPUSTAKAAN</x:v>
      </x:c>
      <x:c r="E2238" t="str">
        <x:v>Sarjana</x:v>
      </x:c>
      <x:c r="F2238" s="18" t="n">
        <x:v>45</x:v>
      </x:c>
      <x:c r="G2238" s="18" t="n">
        <x:v>344</x:v>
      </x:c>
      <x:c r="H2238" s="19" t="n">
        <x:v>7.644444444444445</x:v>
      </x:c>
      <x:c r="I2238" s="18" t="n">
        <x:f>ROUND(MIN(Model_Config_v3!$B$6,MAX(Q2238,R2238,S2238*Model_Config_v3!$B$4+T2238*Model_Config_v3!$B$5)),0)</x:f>
        <x:v>659</x:v>
      </x:c>
      <x:c r="J2238" s="18" t="n">
        <x:f>MIN(Model_Config_v3!$B$6,I2238+Model_Config_v3!$B$7)</x:f>
        <x:v>679</x:v>
      </x:c>
      <x:c r="K2238" s="20" t="n">
        <x:v>58.6</x:v>
      </x:c>
      <x:c r="L2238" t="str">
        <x:v>KETAT</x:v>
      </x:c>
      <x:c r="M2238" t="str">
        <x:v>SEDANG+</x:v>
      </x:c>
      <x:c r="N2238" t="str">
        <x:v>ELITE-3</x:v>
      </x:c>
      <x:c r="O2238" t="str">
        <x:v>CAMPURAN</x:v>
      </x:c>
      <x:c r="P2238" t="str">
        <x:v>UMUM</x:v>
      </x:c>
      <x:c r="Q2238" s="18" t="n">
        <x:v>620</x:v>
      </x:c>
      <x:c r="R2238" s="18" t="n">
        <x:v>0</x:v>
      </x:c>
      <x:c r="S2238" s="18" t="n">
        <x:v>617.1680521675805</x:v>
      </x:c>
      <x:c r="T2238" s="18" t="n">
        <x:v>677</x:v>
      </x:c>
      <x:c r="U2238" s="18" t="n">
        <x:v>620</x:v>
      </x:c>
      <x:c r="V2238" s="20" t="n">
        <x:v>8.8</x:v>
      </x:c>
      <x:c r="W2238" s="20" t="n">
        <x:v>9.9</x:v>
      </x:c>
      <x:c r="X2238" s="20" t="n">
        <x:v>3.3</x:v>
      </x:c>
      <x:c r="Y2238" t="str">
        <x:v>Basis arsip 2025/2024</x:v>
      </x:c>
      <x:c r="Z2238" t="str">
        <x:v>https://snpmb.id/utbk-snbt/daya-tampung-snbt</x:v>
      </x:c>
      <x:c r="AA2238" t="str">
        <x:v>Tidak Ada</x:v>
      </x:c>
      <x:c r="AB2238" t="str">
        <x:v>Campus=80; Ratio=52.0; Prodi=40; RelDemand=33.1; Capacity=62.5</x:v>
      </x:c>
    </x:row>
    <x:row r="2239">
      <x:c r="A2239" t="n">
        <x:v>2236</x:v>
      </x:c>
      <x:c r="B2239" t="str">
        <x:v>PTN Akademik</x:v>
      </x:c>
      <x:c r="C2239" t="str">
        <x:v>UNIVERSITAS NEGERI MALANG</x:v>
      </x:c>
      <x:c r="D2239" t="str">
        <x:v>GIZI</x:v>
      </x:c>
      <x:c r="E2239" t="str">
        <x:v>Sarjana</x:v>
      </x:c>
      <x:c r="F2239" s="18" t="n">
        <x:v>24</x:v>
      </x:c>
      <x:c r="G2239" s="18" t="n">
        <x:v>635</x:v>
      </x:c>
      <x:c r="H2239" s="19" t="n">
        <x:v>26.458333333333332</x:v>
      </x:c>
      <x:c r="I2239" s="18" t="n">
        <x:f>ROUND(MIN(Model_Config_v3!$B$6,MAX(Q2239,R2239,S2239*Model_Config_v3!$B$4+T2239*Model_Config_v3!$B$5)),0)</x:f>
        <x:v>704</x:v>
      </x:c>
      <x:c r="J2239" s="18" t="n">
        <x:f>MIN(Model_Config_v3!$B$6,I2239+Model_Config_v3!$B$7)</x:f>
        <x:v>724</x:v>
      </x:c>
      <x:c r="K2239" s="20" t="n">
        <x:v>77.9</x:v>
      </x:c>
      <x:c r="L2239" t="str">
        <x:v>ELITE</x:v>
      </x:c>
      <x:c r="M2239" t="str">
        <x:v>SEDANG+</x:v>
      </x:c>
      <x:c r="N2239" t="str">
        <x:v>ELITE-3</x:v>
      </x:c>
      <x:c r="O2239" t="str">
        <x:v>SAINTEK</x:v>
      </x:c>
      <x:c r="P2239" t="str">
        <x:v>KESEHAT/GIZI/KEPERAWATAN</x:v>
      </x:c>
      <x:c r="Q2239" s="18" t="n">
        <x:v>620</x:v>
      </x:c>
      <x:c r="R2239" s="18" t="n">
        <x:v>0</x:v>
      </x:c>
      <x:c r="S2239" s="18" t="n">
        <x:v>676.4818731938407</x:v>
      </x:c>
      <x:c r="T2239" s="18" t="n">
        <x:v>716</x:v>
      </x:c>
      <x:c r="U2239" s="18" t="n">
        <x:v>676.4818731938407</x:v>
      </x:c>
      <x:c r="V2239" s="20" t="n">
        <x:v>12</x:v>
      </x:c>
      <x:c r="W2239" s="20" t="n">
        <x:v>5</x:v>
      </x:c>
      <x:c r="X2239" s="20" t="n">
        <x:v>3</x:v>
      </x:c>
      <x:c r="Y2239" t="str">
        <x:v>Basis arsip 2025/2024</x:v>
      </x:c>
      <x:c r="Z2239" t="str">
        <x:v>https://snpmb.id/utbk-snbt/daya-tampung-snbt</x:v>
      </x:c>
      <x:c r="AA2239" t="str">
        <x:v>Tidak Ada</x:v>
      </x:c>
      <x:c r="AB2239" t="str">
        <x:v>Campus=80; Ratio=83.7; Prodi=55; RelDemand=100.0; Capacity=80.0</x:v>
      </x:c>
    </x:row>
    <x:row r="2240">
      <x:c r="A2240" t="n">
        <x:v>2237</x:v>
      </x:c>
      <x:c r="B2240" t="str">
        <x:v>PTN Akademik</x:v>
      </x:c>
      <x:c r="C2240" t="str">
        <x:v>UNIVERSITAS NEGERI MALANG</x:v>
      </x:c>
      <x:c r="D2240" t="str">
        <x:v>ILMU KOMUNIKASI</x:v>
      </x:c>
      <x:c r="E2240" t="str">
        <x:v>Sarjana</x:v>
      </x:c>
      <x:c r="F2240" s="18" t="n">
        <x:v>54</x:v>
      </x:c>
      <x:c r="G2240" s="18" t="n">
        <x:v>1344</x:v>
      </x:c>
      <x:c r="H2240" s="19" t="n">
        <x:v>24.88888888888889</x:v>
      </x:c>
      <x:c r="I2240" s="18" t="n">
        <x:f>ROUND(MIN(Model_Config_v3!$B$6,MAX(Q2240,R2240,S2240*Model_Config_v3!$B$4+T2240*Model_Config_v3!$B$5)),0)</x:f>
        <x:v>695</x:v>
      </x:c>
      <x:c r="J2240" s="18" t="n">
        <x:f>MIN(Model_Config_v3!$B$6,I2240+Model_Config_v3!$B$7)</x:f>
        <x:v>715</x:v>
      </x:c>
      <x:c r="K2240" s="20" t="n">
        <x:v>72</x:v>
      </x:c>
      <x:c r="L2240" t="str">
        <x:v>SANGAT KETAT</x:v>
      </x:c>
      <x:c r="M2240" t="str">
        <x:v>SEDANG+</x:v>
      </x:c>
      <x:c r="N2240" t="str">
        <x:v>ELITE-3</x:v>
      </x:c>
      <x:c r="O2240" t="str">
        <x:v>SOSHUM</x:v>
      </x:c>
      <x:c r="P2240" t="str">
        <x:v>UMUM</x:v>
      </x:c>
      <x:c r="Q2240" s="18" t="n">
        <x:v>620</x:v>
      </x:c>
      <x:c r="R2240" s="18" t="n">
        <x:v>0</x:v>
      </x:c>
      <x:c r="S2240" s="18" t="n">
        <x:v>673.5606059784321</x:v>
      </x:c>
      <x:c r="T2240" s="18" t="n">
        <x:v>704</x:v>
      </x:c>
      <x:c r="U2240" s="18" t="n">
        <x:v>673.5606059784321</x:v>
      </x:c>
      <x:c r="V2240" s="20" t="n">
        <x:v>4.4</x:v>
      </x:c>
      <x:c r="W2240" s="20" t="n">
        <x:v>14.3</x:v>
      </x:c>
      <x:c r="X2240" s="20" t="n">
        <x:v>3.3</x:v>
      </x:c>
      <x:c r="Y2240" t="str">
        <x:v>Basis arsip 2025/2024</x:v>
      </x:c>
      <x:c r="Z2240" t="str">
        <x:v>https://snpmb.id/utbk-snbt/daya-tampung-snbt</x:v>
      </x:c>
      <x:c r="AA2240" t="str">
        <x:v>Tidak Ada</x:v>
      </x:c>
      <x:c r="AB2240" t="str">
        <x:v>Campus=80; Ratio=82.2; Prodi=40; RelDemand=100.0; Capacity=55.0</x:v>
      </x:c>
    </x:row>
    <x:row r="2241">
      <x:c r="A2241" t="n">
        <x:v>2238</x:v>
      </x:c>
      <x:c r="B2241" t="str">
        <x:v>PTN Akademik</x:v>
      </x:c>
      <x:c r="C2241" t="str">
        <x:v>UNIVERSITAS NEGERI MALANG</x:v>
      </x:c>
      <x:c r="D2241" t="str">
        <x:v>KEDOKTERAN</x:v>
      </x:c>
      <x:c r="E2241" t="str">
        <x:v>Sarjana</x:v>
      </x:c>
      <x:c r="F2241" s="18" t="n">
        <x:v>15</x:v>
      </x:c>
      <x:c r="G2241" s="18" t="n">
        <x:v>813</x:v>
      </x:c>
      <x:c r="H2241" s="19" t="n">
        <x:v>54.2</x:v>
      </x:c>
      <x:c r="I2241" s="18" t="n">
        <x:f>ROUND(MIN(Model_Config_v3!$B$6,MAX(Q2241,R2241,S2241*Model_Config_v3!$B$4+T2241*Model_Config_v3!$B$5)),0)</x:f>
        <x:v>734</x:v>
      </x:c>
      <x:c r="J2241" s="18" t="n">
        <x:f>MIN(Model_Config_v3!$B$6,I2241+Model_Config_v3!$B$7)</x:f>
        <x:v>754</x:v>
      </x:c>
      <x:c r="K2241" s="20" t="n">
        <x:v>91.8</x:v>
      </x:c>
      <x:c r="L2241" t="str">
        <x:v>ULTRA ELITE</x:v>
      </x:c>
      <x:c r="M2241" t="str">
        <x:v>SEDANG+</x:v>
      </x:c>
      <x:c r="N2241" t="str">
        <x:v>ELITE-3</x:v>
      </x:c>
      <x:c r="O2241" t="str">
        <x:v>SAINTEK</x:v>
      </x:c>
      <x:c r="P2241" t="str">
        <x:v>KEDOKTERAN</x:v>
      </x:c>
      <x:c r="Q2241" s="18" t="n">
        <x:v>620</x:v>
      </x:c>
      <x:c r="R2241" s="18" t="n">
        <x:v>700</x:v>
      </x:c>
      <x:c r="S2241" s="18" t="n">
        <x:v>710.7399215192225</x:v>
      </x:c>
      <x:c r="T2241" s="18" t="n">
        <x:v>744</x:v>
      </x:c>
      <x:c r="U2241" s="18" t="n">
        <x:v>750.7399215192225</x:v>
      </x:c>
      <x:c r="V2241" s="20" t="n">
        <x:v>12</x:v>
      </x:c>
      <x:c r="W2241" s="20" t="n">
        <x:v>5</x:v>
      </x:c>
      <x:c r="X2241" s="20" t="n">
        <x:v>3</x:v>
      </x:c>
      <x:c r="Y2241" t="str">
        <x:v>Basis arsip 2025/2024</x:v>
      </x:c>
      <x:c r="Z2241" t="str">
        <x:v>https://snpmb.id/utbk-snbt/daya-tampung-snbt</x:v>
      </x:c>
      <x:c r="AA2241" t="str">
        <x:v>Tidak Ada</x:v>
      </x:c>
      <x:c r="AB2241" t="str">
        <x:v>Campus=80; Ratio=100.0; Prodi=100; RelDemand=100.0; Capacity=87.5</x:v>
      </x:c>
    </x:row>
    <x:row r="2242">
      <x:c r="A2242" t="n">
        <x:v>2239</x:v>
      </x:c>
      <x:c r="B2242" t="str">
        <x:v>PTN Akademik</x:v>
      </x:c>
      <x:c r="C2242" t="str">
        <x:v>UNIVERSITAS NEGERI MALANG</x:v>
      </x:c>
      <x:c r="D2242" t="str">
        <x:v>KEPERAWATAN</x:v>
      </x:c>
      <x:c r="E2242" t="str">
        <x:v>Sarjana</x:v>
      </x:c>
      <x:c r="F2242" s="18" t="n">
        <x:v>15</x:v>
      </x:c>
      <x:c r="G2242" s="18" t="n">
        <x:v>732</x:v>
      </x:c>
      <x:c r="H2242" s="19" t="n">
        <x:v>48.8</x:v>
      </x:c>
      <x:c r="I2242" s="18" t="n">
        <x:f>ROUND(MIN(Model_Config_v3!$B$6,MAX(Q2242,R2242,S2242*Model_Config_v3!$B$4+T2242*Model_Config_v3!$B$5)),0)</x:f>
        <x:v>719</x:v>
      </x:c>
      <x:c r="J2242" s="18" t="n">
        <x:f>MIN(Model_Config_v3!$B$6,I2242+Model_Config_v3!$B$7)</x:f>
        <x:v>739</x:v>
      </x:c>
      <x:c r="K2242" s="20" t="n">
        <x:v>82.6</x:v>
      </x:c>
      <x:c r="L2242" t="str">
        <x:v>ELITE</x:v>
      </x:c>
      <x:c r="M2242" t="str">
        <x:v>SEDANG+</x:v>
      </x:c>
      <x:c r="N2242" t="str">
        <x:v>ELITE-3</x:v>
      </x:c>
      <x:c r="O2242" t="str">
        <x:v>SAINTEK</x:v>
      </x:c>
      <x:c r="P2242" t="str">
        <x:v>KESEHAT/GIZI/KEPERAWATAN</x:v>
      </x:c>
      <x:c r="Q2242" s="18" t="n">
        <x:v>620</x:v>
      </x:c>
      <x:c r="R2242" s="18" t="n">
        <x:v>0</x:v>
      </x:c>
      <x:c r="S2242" s="18" t="n">
        <x:v>705.7261804202982</x:v>
      </x:c>
      <x:c r="T2242" s="18" t="n">
        <x:v>725</x:v>
      </x:c>
      <x:c r="U2242" s="18" t="n">
        <x:v>705.7261804202982</x:v>
      </x:c>
      <x:c r="V2242" s="20" t="n">
        <x:v>12</x:v>
      </x:c>
      <x:c r="W2242" s="20" t="n">
        <x:v>5</x:v>
      </x:c>
      <x:c r="X2242" s="20" t="n">
        <x:v>3</x:v>
      </x:c>
      <x:c r="Y2242" t="str">
        <x:v>Basis arsip 2025/2024</x:v>
      </x:c>
      <x:c r="Z2242" t="str">
        <x:v>https://snpmb.id/utbk-snbt/daya-tampung-snbt</x:v>
      </x:c>
      <x:c r="AA2242" t="str">
        <x:v>Tidak Ada</x:v>
      </x:c>
      <x:c r="AB2242" t="str">
        <x:v>Campus=80; Ratio=99.4; Prodi=55; RelDemand=100.0; Capacity=87.5</x:v>
      </x:c>
    </x:row>
    <x:row r="2243">
      <x:c r="A2243" t="n">
        <x:v>2240</x:v>
      </x:c>
      <x:c r="B2243" t="str">
        <x:v>PTN Akademik</x:v>
      </x:c>
      <x:c r="C2243" t="str">
        <x:v>UNIVERSITAS NEGERI MALANG</x:v>
      </x:c>
      <x:c r="D2243" t="str">
        <x:v>KEBIDANAN</x:v>
      </x:c>
      <x:c r="E2243" t="str">
        <x:v>Sarjana</x:v>
      </x:c>
      <x:c r="F2243" s="18" t="n">
        <x:v>15</x:v>
      </x:c>
      <x:c r="G2243" s="18" t="n">
        <x:v>265</x:v>
      </x:c>
      <x:c r="H2243" s="19" t="n">
        <x:v>17.666666666666668</x:v>
      </x:c>
      <x:c r="I2243" s="18" t="n">
        <x:f>ROUND(MIN(Model_Config_v3!$B$6,MAX(Q2243,R2243,S2243*Model_Config_v3!$B$4+T2243*Model_Config_v3!$B$5)),0)</x:f>
        <x:v>693</x:v>
      </x:c>
      <x:c r="J2243" s="18" t="n">
        <x:f>MIN(Model_Config_v3!$B$6,I2243+Model_Config_v3!$B$7)</x:f>
        <x:v>713</x:v>
      </x:c>
      <x:c r="K2243" s="20" t="n">
        <x:v>73.8</x:v>
      </x:c>
      <x:c r="L2243" t="str">
        <x:v>SANGAT KETAT</x:v>
      </x:c>
      <x:c r="M2243" t="str">
        <x:v>SEDANG+</x:v>
      </x:c>
      <x:c r="N2243" t="str">
        <x:v>ELITE-3</x:v>
      </x:c>
      <x:c r="O2243" t="str">
        <x:v>SAINTEK</x:v>
      </x:c>
      <x:c r="P2243" t="str">
        <x:v>KESEHAT/GIZI/KEPERAWATAN</x:v>
      </x:c>
      <x:c r="Q2243" s="18" t="n">
        <x:v>620</x:v>
      </x:c>
      <x:c r="R2243" s="18" t="n">
        <x:v>0</x:v>
      </x:c>
      <x:c r="S2243" s="18" t="n">
        <x:v>657.1870076369239</x:v>
      </x:c>
      <x:c r="T2243" s="18" t="n">
        <x:v>708</x:v>
      </x:c>
      <x:c r="U2243" s="18" t="n">
        <x:v>657.1870076369239</x:v>
      </x:c>
      <x:c r="V2243" s="20" t="n">
        <x:v>12</x:v>
      </x:c>
      <x:c r="W2243" s="20" t="n">
        <x:v>5</x:v>
      </x:c>
      <x:c r="X2243" s="20" t="n">
        <x:v>3</x:v>
      </x:c>
      <x:c r="Y2243" t="str">
        <x:v>Basis arsip 2025/2024</x:v>
      </x:c>
      <x:c r="Z2243" t="str">
        <x:v>https://snpmb.id/utbk-snbt/daya-tampung-snbt</x:v>
      </x:c>
      <x:c r="AA2243" t="str">
        <x:v>Tidak Ada</x:v>
      </x:c>
      <x:c r="AB2243" t="str">
        <x:v>Campus=80; Ratio=73.4; Prodi=55; RelDemand=76.6; Capacity=87.5</x:v>
      </x:c>
    </x:row>
    <x:row r="2244">
      <x:c r="A2244" t="n">
        <x:v>2241</x:v>
      </x:c>
      <x:c r="B2244" t="str">
        <x:v>PTN Akademik</x:v>
      </x:c>
      <x:c r="C2244" t="str">
        <x:v>UNIVERSITAS NEGERI MALANG</x:v>
      </x:c>
      <x:c r="D2244" t="str">
        <x:v>HUKUM</x:v>
      </x:c>
      <x:c r="E2244" t="str">
        <x:v>Sarjana</x:v>
      </x:c>
      <x:c r="F2244" s="18" t="n">
        <x:v>60</x:v>
      </x:c>
      <x:c r="G2244" s="18"/>
      <x:c r="H2244" s="19" t="n">
        <x:v>0</x:v>
      </x:c>
      <x:c r="I2244" s="18" t="n">
        <x:f>ROUND(MIN(Model_Config_v3!$B$6,MAX(Q2244,R2244,S2244*Model_Config_v3!$B$4+T2244*Model_Config_v3!$B$5)),0)</x:f>
        <x:v>620</x:v>
      </x:c>
      <x:c r="J2244" s="18" t="n">
        <x:f>MIN(Model_Config_v3!$B$6,I2244+Model_Config_v3!$B$7)</x:f>
        <x:v>640</x:v>
      </x:c>
      <x:c r="K2244" s="20" t="n">
        <x:v>46</x:v>
      </x:c>
      <x:c r="L2244" t="str">
        <x:v>MENENGAH</x:v>
      </x:c>
      <x:c r="M2244" t="str">
        <x:v>RENDAH</x:v>
      </x:c>
      <x:c r="N2244" t="str">
        <x:v>ELITE-3</x:v>
      </x:c>
      <x:c r="O2244" t="str">
        <x:v>SOSHUM</x:v>
      </x:c>
      <x:c r="P2244" t="str">
        <x:v>HUKUM</x:v>
      </x:c>
      <x:c r="Q2244" s="18" t="n">
        <x:v>620</x:v>
      </x:c>
      <x:c r="R2244" s="18" t="n">
        <x:v>0</x:v>
      </x:c>
      <x:c r="S2244" s="18" t="n">
        <x:v>520</x:v>
      </x:c>
      <x:c r="T2244" s="18" t="n">
        <x:v>652</x:v>
      </x:c>
      <x:c r="U2244" s="18" t="n">
        <x:v>620</x:v>
      </x:c>
      <x:c r="V2244" s="20" t="n">
        <x:v>4.4</x:v>
      </x:c>
      <x:c r="W2244" s="20" t="n">
        <x:v>14.3</x:v>
      </x:c>
      <x:c r="X2244" s="20" t="n">
        <x:v>3.3</x:v>
      </x:c>
      <x:c r="Y2244" t="str">
        <x:v>Basis arsip 2025/2024</x:v>
      </x:c>
      <x:c r="Z2244" t="str">
        <x:v>https://snpmb.id/utbk-snbt/daya-tampung-snbt</x:v>
      </x:c>
      <x:c r="AA2244" t="str">
        <x:v>Tidak Ada</x:v>
      </x:c>
      <x:c r="AB2244" t="str">
        <x:v>Campus=80; Ratio=0.0; Prodi=65; RelDemand=0.0; Capacity=50.0</x:v>
      </x:c>
    </x:row>
    <x:row r="2245">
      <x:c r="A2245" t="n">
        <x:v>2242</x:v>
      </x:c>
      <x:c r="B2245" t="str">
        <x:v>PTN Akademik</x:v>
      </x:c>
      <x:c r="C2245" t="str">
        <x:v>UNIVERSITAS NEGERI MALANG</x:v>
      </x:c>
      <x:c r="D2245" t="str">
        <x:v>PARIWISATA</x:v>
      </x:c>
      <x:c r="E2245" t="str">
        <x:v>Sarjana</x:v>
      </x:c>
      <x:c r="F2245" s="18" t="n">
        <x:v>42</x:v>
      </x:c>
      <x:c r="G2245" s="18"/>
      <x:c r="H2245" s="19" t="n">
        <x:v>0</x:v>
      </x:c>
      <x:c r="I2245" s="18" t="n">
        <x:f>ROUND(MIN(Model_Config_v3!$B$6,MAX(Q2245,R2245,S2245*Model_Config_v3!$B$4+T2245*Model_Config_v3!$B$5)),0)</x:f>
        <x:v>620</x:v>
      </x:c>
      <x:c r="J2245" s="18" t="n">
        <x:f>MIN(Model_Config_v3!$B$6,I2245+Model_Config_v3!$B$7)</x:f>
        <x:v>640</x:v>
      </x:c>
      <x:c r="K2245" s="20" t="n">
        <x:v>42.5</x:v>
      </x:c>
      <x:c r="L2245" t="str">
        <x:v>RELATIF LONGGAR</x:v>
      </x:c>
      <x:c r="M2245" t="str">
        <x:v>RENDAH</x:v>
      </x:c>
      <x:c r="N2245" t="str">
        <x:v>ELITE-3</x:v>
      </x:c>
      <x:c r="O2245" t="str">
        <x:v>CAMPURAN</x:v>
      </x:c>
      <x:c r="P2245" t="str">
        <x:v>UMUM</x:v>
      </x:c>
      <x:c r="Q2245" s="18" t="n">
        <x:v>620</x:v>
      </x:c>
      <x:c r="R2245" s="18" t="n">
        <x:v>0</x:v>
      </x:c>
      <x:c r="S2245" s="18" t="n">
        <x:v>520</x:v>
      </x:c>
      <x:c r="T2245" s="18" t="n">
        <x:v>645</x:v>
      </x:c>
      <x:c r="U2245" s="18" t="n">
        <x:v>620</x:v>
      </x:c>
      <x:c r="V2245" s="20" t="n">
        <x:v>8.8</x:v>
      </x:c>
      <x:c r="W2245" s="20" t="n">
        <x:v>9.9</x:v>
      </x:c>
      <x:c r="X2245" s="20" t="n">
        <x:v>3.3</x:v>
      </x:c>
      <x:c r="Y2245" t="str">
        <x:v>Basis arsip 2025/2024</x:v>
      </x:c>
      <x:c r="Z2245" t="str">
        <x:v>https://snpmb.id/utbk-snbt/daya-tampung-snbt</x:v>
      </x:c>
      <x:c r="AA2245" t="str">
        <x:v>Tidak Ada</x:v>
      </x:c>
      <x:c r="AB2245" t="str">
        <x:v>Campus=80; Ratio=0.0; Prodi=40; RelDemand=0.0; Capacity=65.0</x:v>
      </x:c>
    </x:row>
    <x:row r="2246">
      <x:c r="A2246" t="n">
        <x:v>2243</x:v>
      </x:c>
      <x:c r="B2246" t="str">
        <x:v>PTN Akademik</x:v>
      </x:c>
      <x:c r="C2246" t="str">
        <x:v>UNIVERSITAS NEGERI MALANG</x:v>
      </x:c>
      <x:c r="D2246" t="str">
        <x:v>ARSITEKTUR</x:v>
      </x:c>
      <x:c r="E2246" t="str">
        <x:v>Sarjana</x:v>
      </x:c>
      <x:c r="F2246" s="18" t="n">
        <x:v>24</x:v>
      </x:c>
      <x:c r="G2246" s="18"/>
      <x:c r="H2246" s="19" t="n">
        <x:v>0</x:v>
      </x:c>
      <x:c r="I2246" s="18" t="n">
        <x:f>ROUND(MIN(Model_Config_v3!$B$6,MAX(Q2246,R2246,S2246*Model_Config_v3!$B$4+T2246*Model_Config_v3!$B$5)),0)</x:f>
        <x:v>620</x:v>
      </x:c>
      <x:c r="J2246" s="18" t="n">
        <x:f>MIN(Model_Config_v3!$B$6,I2246+Model_Config_v3!$B$7)</x:f>
        <x:v>640</x:v>
      </x:c>
      <x:c r="K2246" s="20" t="n">
        <x:v>48</x:v>
      </x:c>
      <x:c r="L2246" t="str">
        <x:v>MENENGAH</x:v>
      </x:c>
      <x:c r="M2246" t="str">
        <x:v>RENDAH</x:v>
      </x:c>
      <x:c r="N2246" t="str">
        <x:v>ELITE-3</x:v>
      </x:c>
      <x:c r="O2246" t="str">
        <x:v>SAINTEK</x:v>
      </x:c>
      <x:c r="P2246" t="str">
        <x:v>TEKNIK/ARSITEKTUR/STATISTIKA/AKTUARIA</x:v>
      </x:c>
      <x:c r="Q2246" s="18" t="n">
        <x:v>620</x:v>
      </x:c>
      <x:c r="R2246" s="18" t="n">
        <x:v>0</x:v>
      </x:c>
      <x:c r="S2246" s="18" t="n">
        <x:v>520</x:v>
      </x:c>
      <x:c r="T2246" s="18" t="n">
        <x:v>656</x:v>
      </x:c>
      <x:c r="U2246" s="18" t="n">
        <x:v>620</x:v>
      </x:c>
      <x:c r="V2246" s="20" t="n">
        <x:v>12</x:v>
      </x:c>
      <x:c r="W2246" s="20" t="n">
        <x:v>5</x:v>
      </x:c>
      <x:c r="X2246" s="20" t="n">
        <x:v>3</x:v>
      </x:c>
      <x:c r="Y2246" t="str">
        <x:v>Basis arsip 2025/2024</x:v>
      </x:c>
      <x:c r="Z2246" t="str">
        <x:v>https://snpmb.id/utbk-snbt/daya-tampung-snbt</x:v>
      </x:c>
      <x:c r="AA2246" t="str">
        <x:v>Tidak Ada</x:v>
      </x:c>
      <x:c r="AB2246" t="str">
        <x:v>Campus=80; Ratio=0.0; Prodi=60; RelDemand=0.0; Capacity=80.0</x:v>
      </x:c>
    </x:row>
    <x:row r="2247">
      <x:c r="A2247" t="n">
        <x:v>2244</x:v>
      </x:c>
      <x:c r="B2247" t="str">
        <x:v>PTN Akademik</x:v>
      </x:c>
      <x:c r="C2247" t="str">
        <x:v>UNIVERSITAS NEGERI MALANG</x:v>
      </x:c>
      <x:c r="D2247" t="str">
        <x:v>TEKNIK LINGKUNGAN</x:v>
      </x:c>
      <x:c r="E2247" t="str">
        <x:v>Sarjana</x:v>
      </x:c>
      <x:c r="F2247" s="18" t="n">
        <x:v>24</x:v>
      </x:c>
      <x:c r="G2247" s="18"/>
      <x:c r="H2247" s="19" t="n">
        <x:v>0</x:v>
      </x:c>
      <x:c r="I2247" s="18" t="n">
        <x:f>ROUND(MIN(Model_Config_v3!$B$6,MAX(Q2247,R2247,S2247*Model_Config_v3!$B$4+T2247*Model_Config_v3!$B$5)),0)</x:f>
        <x:v>620</x:v>
      </x:c>
      <x:c r="J2247" s="18" t="n">
        <x:f>MIN(Model_Config_v3!$B$6,I2247+Model_Config_v3!$B$7)</x:f>
        <x:v>640</x:v>
      </x:c>
      <x:c r="K2247" s="20" t="n">
        <x:v>48</x:v>
      </x:c>
      <x:c r="L2247" t="str">
        <x:v>MENENGAH</x:v>
      </x:c>
      <x:c r="M2247" t="str">
        <x:v>RENDAH</x:v>
      </x:c>
      <x:c r="N2247" t="str">
        <x:v>ELITE-3</x:v>
      </x:c>
      <x:c r="O2247" t="str">
        <x:v>SAINTEK</x:v>
      </x:c>
      <x:c r="P2247" t="str">
        <x:v>TEKNIK/ARSITEKTUR/STATISTIKA/AKTUARIA</x:v>
      </x:c>
      <x:c r="Q2247" s="18" t="n">
        <x:v>620</x:v>
      </x:c>
      <x:c r="R2247" s="18" t="n">
        <x:v>0</x:v>
      </x:c>
      <x:c r="S2247" s="18" t="n">
        <x:v>520</x:v>
      </x:c>
      <x:c r="T2247" s="18" t="n">
        <x:v>656</x:v>
      </x:c>
      <x:c r="U2247" s="18" t="n">
        <x:v>620</x:v>
      </x:c>
      <x:c r="V2247" s="20" t="n">
        <x:v>12</x:v>
      </x:c>
      <x:c r="W2247" s="20" t="n">
        <x:v>5</x:v>
      </x:c>
      <x:c r="X2247" s="20" t="n">
        <x:v>3</x:v>
      </x:c>
      <x:c r="Y2247" t="str">
        <x:v>Basis arsip 2025/2024</x:v>
      </x:c>
      <x:c r="Z2247" t="str">
        <x:v>https://snpmb.id/utbk-snbt/daya-tampung-snbt</x:v>
      </x:c>
      <x:c r="AA2247" t="str">
        <x:v>Tidak Ada</x:v>
      </x:c>
      <x:c r="AB2247" t="str">
        <x:v>Campus=80; Ratio=0.0; Prodi=60; RelDemand=0.0; Capacity=80.0</x:v>
      </x:c>
    </x:row>
    <x:row r="2248">
      <x:c r="A2248" t="n">
        <x:v>2245</x:v>
      </x:c>
      <x:c r="B2248" t="str">
        <x:v>PTN Akademik</x:v>
      </x:c>
      <x:c r="C2248" t="str">
        <x:v>UNIVERSITAS NEGERI MALANG</x:v>
      </x:c>
      <x:c r="D2248" t="str">
        <x:v>SAINS AKTUARIA</x:v>
      </x:c>
      <x:c r="E2248" t="str">
        <x:v>Sarjana</x:v>
      </x:c>
      <x:c r="F2248" s="18" t="n">
        <x:v>42</x:v>
      </x:c>
      <x:c r="G2248" s="18"/>
      <x:c r="H2248" s="19" t="n">
        <x:v>0</x:v>
      </x:c>
      <x:c r="I2248" s="18" t="n">
        <x:f>ROUND(MIN(Model_Config_v3!$B$6,MAX(Q2248,R2248,S2248*Model_Config_v3!$B$4+T2248*Model_Config_v3!$B$5)),0)</x:f>
        <x:v>620</x:v>
      </x:c>
      <x:c r="J2248" s="18" t="n">
        <x:f>MIN(Model_Config_v3!$B$6,I2248+Model_Config_v3!$B$7)</x:f>
        <x:v>640</x:v>
      </x:c>
      <x:c r="K2248" s="20" t="n">
        <x:v>46.5</x:v>
      </x:c>
      <x:c r="L2248" t="str">
        <x:v>MENENGAH</x:v>
      </x:c>
      <x:c r="M2248" t="str">
        <x:v>RENDAH</x:v>
      </x:c>
      <x:c r="N2248" t="str">
        <x:v>ELITE-3</x:v>
      </x:c>
      <x:c r="O2248" t="str">
        <x:v>SAINTEK</x:v>
      </x:c>
      <x:c r="P2248" t="str">
        <x:v>TEKNIK/ARSITEKTUR/STATISTIKA/AKTUARIA</x:v>
      </x:c>
      <x:c r="Q2248" s="18" t="n">
        <x:v>620</x:v>
      </x:c>
      <x:c r="R2248" s="18" t="n">
        <x:v>0</x:v>
      </x:c>
      <x:c r="S2248" s="18" t="n">
        <x:v>520</x:v>
      </x:c>
      <x:c r="T2248" s="18" t="n">
        <x:v>653</x:v>
      </x:c>
      <x:c r="U2248" s="18" t="n">
        <x:v>620</x:v>
      </x:c>
      <x:c r="V2248" s="20" t="n">
        <x:v>12</x:v>
      </x:c>
      <x:c r="W2248" s="20" t="n">
        <x:v>5</x:v>
      </x:c>
      <x:c r="X2248" s="20" t="n">
        <x:v>3</x:v>
      </x:c>
      <x:c r="Y2248" t="str">
        <x:v>Basis arsip 2025/2024</x:v>
      </x:c>
      <x:c r="Z2248" t="str">
        <x:v>https://snpmb.id/utbk-snbt/daya-tampung-snbt</x:v>
      </x:c>
      <x:c r="AA2248" t="str">
        <x:v>Tidak Ada</x:v>
      </x:c>
      <x:c r="AB2248" t="str">
        <x:v>Campus=80; Ratio=0.0; Prodi=60; RelDemand=0.0; Capacity=65.0</x:v>
      </x:c>
    </x:row>
    <x:row r="2249">
      <x:c r="A2249" t="n">
        <x:v>2246</x:v>
      </x:c>
      <x:c r="B2249" t="str">
        <x:v>PTN Akademik</x:v>
      </x:c>
      <x:c r="C2249" t="str">
        <x:v>UNIVERSITAS NEGERI MALANG</x:v>
      </x:c>
      <x:c r="D2249" t="str">
        <x:v>TEKNOLOGI REKAYASA MANUFAKTUR</x:v>
      </x:c>
      <x:c r="E2249" t="str">
        <x:v>Sarjana Terapan</x:v>
      </x:c>
      <x:c r="F2249" s="18" t="n">
        <x:v>35</x:v>
      </x:c>
      <x:c r="G2249" s="18" t="n">
        <x:v>219</x:v>
      </x:c>
      <x:c r="H2249" s="19" t="n">
        <x:v>6.257142857142857</x:v>
      </x:c>
      <x:c r="I2249" s="18" t="n">
        <x:f>ROUND(MIN(Model_Config_v3!$B$6,MAX(Q2249,R2249,S2249*Model_Config_v3!$B$4+T2249*Model_Config_v3!$B$5)),0)</x:f>
        <x:v>655</x:v>
      </x:c>
      <x:c r="J2249" s="18" t="n">
        <x:f>MIN(Model_Config_v3!$B$6,I2249+Model_Config_v3!$B$7)</x:f>
        <x:v>675</x:v>
      </x:c>
      <x:c r="K2249" s="20" t="n">
        <x:v>57.5</x:v>
      </x:c>
      <x:c r="L2249" t="str">
        <x:v>KETAT</x:v>
      </x:c>
      <x:c r="M2249" t="str">
        <x:v>SEDANG+</x:v>
      </x:c>
      <x:c r="N2249" t="str">
        <x:v>ELITE-3</x:v>
      </x:c>
      <x:c r="O2249" t="str">
        <x:v>SAINTEK</x:v>
      </x:c>
      <x:c r="P2249" t="str">
        <x:v>UMUM</x:v>
      </x:c>
      <x:c r="Q2249" s="18" t="n">
        <x:v>620</x:v>
      </x:c>
      <x:c r="R2249" s="18" t="n">
        <x:v>0</x:v>
      </x:c>
      <x:c r="S2249" s="18" t="n">
        <x:v>607.6013677538826</x:v>
      </x:c>
      <x:c r="T2249" s="18" t="n">
        <x:v>675</x:v>
      </x:c>
      <x:c r="U2249" s="18" t="n">
        <x:v>620</x:v>
      </x:c>
      <x:c r="V2249" s="20" t="n">
        <x:v>12</x:v>
      </x:c>
      <x:c r="W2249" s="20" t="n">
        <x:v>5</x:v>
      </x:c>
      <x:c r="X2249" s="20" t="n">
        <x:v>3</x:v>
      </x:c>
      <x:c r="Y2249" t="str">
        <x:v>Basis arsip 2025/2024</x:v>
      </x:c>
      <x:c r="Z2249" t="str">
        <x:v>https://snpmb.id/utbk-snbt/daya-tampung-snbt</x:v>
      </x:c>
      <x:c r="AA2249" t="str">
        <x:v>Tidak Ada</x:v>
      </x:c>
      <x:c r="AB2249" t="str">
        <x:v>Campus=80; Ratio=46.9; Prodi=40; RelDemand=27.1; Capacity=70.8</x:v>
      </x:c>
    </x:row>
    <x:row r="2250">
      <x:c r="A2250" t="n">
        <x:v>2247</x:v>
      </x:c>
      <x:c r="B2250" t="str">
        <x:v>PTN Akademik</x:v>
      </x:c>
      <x:c r="C2250" t="str">
        <x:v>UNIVERSITAS NEGERI MALANG</x:v>
      </x:c>
      <x:c r="D2250" t="str">
        <x:v>TEKNOLOGI REKAYASA OTOMOTIF</x:v>
      </x:c>
      <x:c r="E2250" t="str">
        <x:v>Sarjana Terapan</x:v>
      </x:c>
      <x:c r="F2250" s="18" t="n">
        <x:v>35</x:v>
      </x:c>
      <x:c r="G2250" s="18" t="n">
        <x:v>203</x:v>
      </x:c>
      <x:c r="H2250" s="19" t="n">
        <x:v>5.8</x:v>
      </x:c>
      <x:c r="I2250" s="18" t="n">
        <x:f>ROUND(MIN(Model_Config_v3!$B$6,MAX(Q2250,R2250,S2250*Model_Config_v3!$B$4+T2250*Model_Config_v3!$B$5)),0)</x:f>
        <x:v>653</x:v>
      </x:c>
      <x:c r="J2250" s="18" t="n">
        <x:f>MIN(Model_Config_v3!$B$6,I2250+Model_Config_v3!$B$7)</x:f>
        <x:v>673</x:v>
      </x:c>
      <x:c r="K2250" s="20" t="n">
        <x:v>56.8</x:v>
      </x:c>
      <x:c r="L2250" t="str">
        <x:v>KETAT</x:v>
      </x:c>
      <x:c r="M2250" t="str">
        <x:v>SEDANG+</x:v>
      </x:c>
      <x:c r="N2250" t="str">
        <x:v>ELITE-3</x:v>
      </x:c>
      <x:c r="O2250" t="str">
        <x:v>SAINTEK</x:v>
      </x:c>
      <x:c r="P2250" t="str">
        <x:v>UMUM</x:v>
      </x:c>
      <x:c r="Q2250" s="18" t="n">
        <x:v>620</x:v>
      </x:c>
      <x:c r="R2250" s="18" t="n">
        <x:v>0</x:v>
      </x:c>
      <x:c r="S2250" s="18" t="n">
        <x:v>603.9770792919231</x:v>
      </x:c>
      <x:c r="T2250" s="18" t="n">
        <x:v>674</x:v>
      </x:c>
      <x:c r="U2250" s="18" t="n">
        <x:v>620</x:v>
      </x:c>
      <x:c r="V2250" s="20" t="n">
        <x:v>12</x:v>
      </x:c>
      <x:c r="W2250" s="20" t="n">
        <x:v>5</x:v>
      </x:c>
      <x:c r="X2250" s="20" t="n">
        <x:v>3</x:v>
      </x:c>
      <x:c r="Y2250" t="str">
        <x:v>Basis arsip 2025/2024</x:v>
      </x:c>
      <x:c r="Z2250" t="str">
        <x:v>https://snpmb.id/utbk-snbt/daya-tampung-snbt</x:v>
      </x:c>
      <x:c r="AA2250" t="str">
        <x:v>Tidak Ada</x:v>
      </x:c>
      <x:c r="AB2250" t="str">
        <x:v>Campus=80; Ratio=44.9; Prodi=40; RelDemand=25.1; Capacity=70.8</x:v>
      </x:c>
    </x:row>
    <x:row r="2251">
      <x:c r="A2251" t="n">
        <x:v>2248</x:v>
      </x:c>
      <x:c r="B2251" t="str">
        <x:v>PTN Akademik</x:v>
      </x:c>
      <x:c r="C2251" t="str">
        <x:v>UNIVERSITAS NEGERI MALANG</x:v>
      </x:c>
      <x:c r="D2251" t="str">
        <x:v>TEKNOLOGI REKAYASA DAN PEMELIHARAAN BANGUNAN SIPIL</x:v>
      </x:c>
      <x:c r="E2251" t="str">
        <x:v>Sarjana Terapan</x:v>
      </x:c>
      <x:c r="F2251" s="18" t="n">
        <x:v>35</x:v>
      </x:c>
      <x:c r="G2251" s="18" t="n">
        <x:v>617</x:v>
      </x:c>
      <x:c r="H2251" s="19" t="n">
        <x:v>17.62857142857143</x:v>
      </x:c>
      <x:c r="I2251" s="18" t="n">
        <x:f>ROUND(MIN(Model_Config_v3!$B$6,MAX(Q2251,R2251,S2251*Model_Config_v3!$B$4+T2251*Model_Config_v3!$B$5)),0)</x:f>
        <x:v>686</x:v>
      </x:c>
      <x:c r="J2251" s="18" t="n">
        <x:f>MIN(Model_Config_v3!$B$6,I2251+Model_Config_v3!$B$7)</x:f>
        <x:v>706</x:v>
      </x:c>
      <x:c r="K2251" s="20" t="n">
        <x:v>69.1</x:v>
      </x:c>
      <x:c r="L2251" t="str">
        <x:v>SANGAT KETAT</x:v>
      </x:c>
      <x:c r="M2251" t="str">
        <x:v>SEDANG+</x:v>
      </x:c>
      <x:c r="N2251" t="str">
        <x:v>ELITE-3</x:v>
      </x:c>
      <x:c r="O2251" t="str">
        <x:v>SAINTEK</x:v>
      </x:c>
      <x:c r="P2251" t="str">
        <x:v>UMUM</x:v>
      </x:c>
      <x:c r="Q2251" s="18" t="n">
        <x:v>620</x:v>
      </x:c>
      <x:c r="R2251" s="18" t="n">
        <x:v>0</x:v>
      </x:c>
      <x:c r="S2251" s="18" t="n">
        <x:v>657.0838831651263</x:v>
      </x:c>
      <x:c r="T2251" s="18" t="n">
        <x:v>698</x:v>
      </x:c>
      <x:c r="U2251" s="18" t="n">
        <x:v>657.0838831651263</x:v>
      </x:c>
      <x:c r="V2251" s="20" t="n">
        <x:v>12</x:v>
      </x:c>
      <x:c r="W2251" s="20" t="n">
        <x:v>5</x:v>
      </x:c>
      <x:c r="X2251" s="20" t="n">
        <x:v>3</x:v>
      </x:c>
      <x:c r="Y2251" t="str">
        <x:v>Basis arsip 2025/2024</x:v>
      </x:c>
      <x:c r="Z2251" t="str">
        <x:v>https://snpmb.id/utbk-snbt/daya-tampung-snbt</x:v>
      </x:c>
      <x:c r="AA2251" t="str">
        <x:v>Tidak Ada</x:v>
      </x:c>
      <x:c r="AB2251" t="str">
        <x:v>Campus=80; Ratio=73.4; Prodi=40; RelDemand=76.4; Capacity=70.8</x:v>
      </x:c>
    </x:row>
    <x:row r="2252">
      <x:c r="A2252" t="n">
        <x:v>2249</x:v>
      </x:c>
      <x:c r="B2252" t="str">
        <x:v>PTN Akademik</x:v>
      </x:c>
      <x:c r="C2252" t="str">
        <x:v>UNIVERSITAS NEGERI MALANG</x:v>
      </x:c>
      <x:c r="D2252" t="str">
        <x:v>TEKNOLOGI REKAYASA PEMBANGKIT ENERGI</x:v>
      </x:c>
      <x:c r="E2252" t="str">
        <x:v>Sarjana Terapan</x:v>
      </x:c>
      <x:c r="F2252" s="18" t="n">
        <x:v>35</x:v>
      </x:c>
      <x:c r="G2252" s="18" t="n">
        <x:v>259</x:v>
      </x:c>
      <x:c r="H2252" s="19" t="n">
        <x:v>7.4</x:v>
      </x:c>
      <x:c r="I2252" s="18" t="n">
        <x:f>ROUND(MIN(Model_Config_v3!$B$6,MAX(Q2252,R2252,S2252*Model_Config_v3!$B$4+T2252*Model_Config_v3!$B$5)),0)</x:f>
        <x:v>659</x:v>
      </x:c>
      <x:c r="J2252" s="18" t="n">
        <x:f>MIN(Model_Config_v3!$B$6,I2252+Model_Config_v3!$B$7)</x:f>
        <x:v>679</x:v>
      </x:c>
      <x:c r="K2252" s="20" t="n">
        <x:v>59.1</x:v>
      </x:c>
      <x:c r="L2252" t="str">
        <x:v>KETAT</x:v>
      </x:c>
      <x:c r="M2252" t="str">
        <x:v>SEDANG+</x:v>
      </x:c>
      <x:c r="N2252" t="str">
        <x:v>ELITE-3</x:v>
      </x:c>
      <x:c r="O2252" t="str">
        <x:v>SAINTEK</x:v>
      </x:c>
      <x:c r="P2252" t="str">
        <x:v>UMUM</x:v>
      </x:c>
      <x:c r="Q2252" s="18" t="n">
        <x:v>620</x:v>
      </x:c>
      <x:c r="R2252" s="18" t="n">
        <x:v>0</x:v>
      </x:c>
      <x:c r="S2252" s="18" t="n">
        <x:v>615.6154891704074</x:v>
      </x:c>
      <x:c r="T2252" s="18" t="n">
        <x:v>678</x:v>
      </x:c>
      <x:c r="U2252" s="18" t="n">
        <x:v>620</x:v>
      </x:c>
      <x:c r="V2252" s="20" t="n">
        <x:v>12</x:v>
      </x:c>
      <x:c r="W2252" s="20" t="n">
        <x:v>5</x:v>
      </x:c>
      <x:c r="X2252" s="20" t="n">
        <x:v>3</x:v>
      </x:c>
      <x:c r="Y2252" t="str">
        <x:v>Basis arsip 2025/2024</x:v>
      </x:c>
      <x:c r="Z2252" t="str">
        <x:v>https://snpmb.id/utbk-snbt/daya-tampung-snbt</x:v>
      </x:c>
      <x:c r="AA2252" t="str">
        <x:v>Tidak Ada</x:v>
      </x:c>
      <x:c r="AB2252" t="str">
        <x:v>Campus=80; Ratio=51.2; Prodi=40; RelDemand=32.1; Capacity=70.8</x:v>
      </x:c>
    </x:row>
    <x:row r="2253">
      <x:c r="A2253" t="n">
        <x:v>2250</x:v>
      </x:c>
      <x:c r="B2253" t="str">
        <x:v>PTN Akademik</x:v>
      </x:c>
      <x:c r="C2253" t="str">
        <x:v>UNIVERSITAS NEGERI MALANG</x:v>
      </x:c>
      <x:c r="D2253" t="str">
        <x:v>TEKNOLOGI REKAYASA SISTEM ELEKTRONIKA</x:v>
      </x:c>
      <x:c r="E2253" t="str">
        <x:v>Sarjana Terapan</x:v>
      </x:c>
      <x:c r="F2253" s="18" t="n">
        <x:v>35</x:v>
      </x:c>
      <x:c r="G2253" s="18" t="n">
        <x:v>267</x:v>
      </x:c>
      <x:c r="H2253" s="19" t="n">
        <x:v>7.628571428571429</x:v>
      </x:c>
      <x:c r="I2253" s="18" t="n">
        <x:f>ROUND(MIN(Model_Config_v3!$B$6,MAX(Q2253,R2253,S2253*Model_Config_v3!$B$4+T2253*Model_Config_v3!$B$5)),0)</x:f>
        <x:v>660</x:v>
      </x:c>
      <x:c r="J2253" s="18" t="n">
        <x:f>MIN(Model_Config_v3!$B$6,I2253+Model_Config_v3!$B$7)</x:f>
        <x:v>680</x:v>
      </x:c>
      <x:c r="K2253" s="20" t="n">
        <x:v>59.4</x:v>
      </x:c>
      <x:c r="L2253" t="str">
        <x:v>KETAT</x:v>
      </x:c>
      <x:c r="M2253" t="str">
        <x:v>SEDANG+</x:v>
      </x:c>
      <x:c r="N2253" t="str">
        <x:v>ELITE-3</x:v>
      </x:c>
      <x:c r="O2253" t="str">
        <x:v>SAINTEK</x:v>
      </x:c>
      <x:c r="P2253" t="str">
        <x:v>UMUM</x:v>
      </x:c>
      <x:c r="Q2253" s="18" t="n">
        <x:v>620</x:v>
      </x:c>
      <x:c r="R2253" s="18" t="n">
        <x:v>0</x:v>
      </x:c>
      <x:c r="S2253" s="18" t="n">
        <x:v>617.0687538715729</x:v>
      </x:c>
      <x:c r="T2253" s="18" t="n">
        <x:v>679</x:v>
      </x:c>
      <x:c r="U2253" s="18" t="n">
        <x:v>620</x:v>
      </x:c>
      <x:c r="V2253" s="20" t="n">
        <x:v>12</x:v>
      </x:c>
      <x:c r="W2253" s="20" t="n">
        <x:v>5</x:v>
      </x:c>
      <x:c r="X2253" s="20" t="n">
        <x:v>3</x:v>
      </x:c>
      <x:c r="Y2253" t="str">
        <x:v>Basis arsip 2025/2024</x:v>
      </x:c>
      <x:c r="Z2253" t="str">
        <x:v>https://snpmb.id/utbk-snbt/daya-tampung-snbt</x:v>
      </x:c>
      <x:c r="AA2253" t="str">
        <x:v>Tidak Ada</x:v>
      </x:c>
      <x:c r="AB2253" t="str">
        <x:v>Campus=80; Ratio=51.9; Prodi=40; RelDemand=33.1; Capacity=70.8</x:v>
      </x:c>
    </x:row>
    <x:row r="2254">
      <x:c r="A2254" t="n">
        <x:v>2251</x:v>
      </x:c>
      <x:c r="B2254" t="str">
        <x:v>PTN Akademik</x:v>
      </x:c>
      <x:c r="C2254" t="str">
        <x:v>UNIVERSITAS NEGERI MALANG</x:v>
      </x:c>
      <x:c r="D2254" t="str">
        <x:v>PERPUSTAKAAN DIGITAL</x:v>
      </x:c>
      <x:c r="E2254" t="str">
        <x:v>Sarjana Terapan</x:v>
      </x:c>
      <x:c r="F2254" s="18" t="n">
        <x:v>30</x:v>
      </x:c>
      <x:c r="G2254" s="18" t="n">
        <x:v>698</x:v>
      </x:c>
      <x:c r="H2254" s="19" t="n">
        <x:v>23.266666666666666</x:v>
      </x:c>
      <x:c r="I2254" s="18" t="n">
        <x:f>ROUND(MIN(Model_Config_v3!$B$6,MAX(Q2254,R2254,S2254*Model_Config_v3!$B$4+T2254*Model_Config_v3!$B$5)),0)</x:f>
        <x:v>696</x:v>
      </x:c>
      <x:c r="J2254" s="18" t="n">
        <x:f>MIN(Model_Config_v3!$B$6,I2254+Model_Config_v3!$B$7)</x:f>
        <x:v>716</x:v>
      </x:c>
      <x:c r="K2254" s="20" t="n">
        <x:v>73.6</x:v>
      </x:c>
      <x:c r="L2254" t="str">
        <x:v>SANGAT KETAT</x:v>
      </x:c>
      <x:c r="M2254" t="str">
        <x:v>SEDANG+</x:v>
      </x:c>
      <x:c r="N2254" t="str">
        <x:v>ELITE-3</x:v>
      </x:c>
      <x:c r="O2254" t="str">
        <x:v>CAMPURAN</x:v>
      </x:c>
      <x:c r="P2254" t="str">
        <x:v>UMUM</x:v>
      </x:c>
      <x:c r="Q2254" s="18" t="n">
        <x:v>620</x:v>
      </x:c>
      <x:c r="R2254" s="18" t="n">
        <x:v>0</x:v>
      </x:c>
      <x:c r="S2254" s="18" t="n">
        <x:v>670.3407584693848</x:v>
      </x:c>
      <x:c r="T2254" s="18" t="n">
        <x:v>707</x:v>
      </x:c>
      <x:c r="U2254" s="18" t="n">
        <x:v>670.3407584693848</x:v>
      </x:c>
      <x:c r="V2254" s="20" t="n">
        <x:v>8.8</x:v>
      </x:c>
      <x:c r="W2254" s="20" t="n">
        <x:v>9.9</x:v>
      </x:c>
      <x:c r="X2254" s="20" t="n">
        <x:v>3.3</x:v>
      </x:c>
      <x:c r="Y2254" t="str">
        <x:v>Basis arsip 2025/2024</x:v>
      </x:c>
      <x:c r="Z2254" t="str">
        <x:v>https://snpmb.id/utbk-snbt/daya-tampung-snbt</x:v>
      </x:c>
      <x:c r="AA2254" t="str">
        <x:v>Tidak Ada</x:v>
      </x:c>
      <x:c r="AB2254" t="str">
        <x:v>Campus=80; Ratio=80.4; Prodi=40; RelDemand=100.0; Capacity=75.0</x:v>
      </x:c>
    </x:row>
    <x:row r="2255">
      <x:c r="A2255" t="n">
        <x:v>2252</x:v>
      </x:c>
      <x:c r="B2255" t="str">
        <x:v>PTN Akademik</x:v>
      </x:c>
      <x:c r="C2255" t="str">
        <x:v>UNIVERSITAS NEGERI MALANG</x:v>
      </x:c>
      <x:c r="D2255" t="str">
        <x:v>ANIMASI</x:v>
      </x:c>
      <x:c r="E2255" t="str">
        <x:v>Sarjana Terapan</x:v>
      </x:c>
      <x:c r="F2255" s="18" t="n">
        <x:v>42</x:v>
      </x:c>
      <x:c r="G2255" s="18" t="n">
        <x:v>252</x:v>
      </x:c>
      <x:c r="H2255" s="19" t="n">
        <x:v>6</x:v>
      </x:c>
      <x:c r="I2255" s="18" t="n">
        <x:f>ROUND(MIN(Model_Config_v3!$B$6,MAX(Q2255,R2255,S2255*Model_Config_v3!$B$4+T2255*Model_Config_v3!$B$5)),0)</x:f>
        <x:v>654</x:v>
      </x:c>
      <x:c r="J2255" s="18" t="n">
        <x:f>MIN(Model_Config_v3!$B$6,I2255+Model_Config_v3!$B$7)</x:f>
        <x:v>674</x:v>
      </x:c>
      <x:c r="K2255" s="20" t="n">
        <x:v>57.6</x:v>
      </x:c>
      <x:c r="L2255" t="str">
        <x:v>KETAT</x:v>
      </x:c>
      <x:c r="M2255" t="str">
        <x:v>PORTOFOLIO</x:v>
      </x:c>
      <x:c r="N2255" t="str">
        <x:v>ELITE-3</x:v>
      </x:c>
      <x:c r="O2255" t="str">
        <x:v>SENI/OLAHRAGA</x:v>
      </x:c>
      <x:c r="P2255" t="str">
        <x:v>SENI/OLAHRAGA</x:v>
      </x:c>
      <x:c r="Q2255" s="18" t="n">
        <x:v>620</x:v>
      </x:c>
      <x:c r="R2255" s="18" t="n">
        <x:v>0</x:v>
      </x:c>
      <x:c r="S2255" s="18" t="n">
        <x:v>605.5966375422008</x:v>
      </x:c>
      <x:c r="T2255" s="18" t="n">
        <x:v>675</x:v>
      </x:c>
      <x:c r="U2255" s="18" t="n">
        <x:v>620</x:v>
      </x:c>
      <x:c r="V2255" s="20" t="n">
        <x:v>4.4</x:v>
      </x:c>
      <x:c r="W2255" s="20" t="n">
        <x:v>9.9</x:v>
      </x:c>
      <x:c r="X2255" s="20" t="n">
        <x:v>7.7</x:v>
      </x:c>
      <x:c r="Y2255" t="str">
        <x:v>Basis arsip 2025/2024</x:v>
      </x:c>
      <x:c r="Z2255" t="str">
        <x:v>https://snpmb.id/utbk-snbt/daya-tampung-snbt</x:v>
      </x:c>
      <x:c r="AA2255" t="str">
        <x:v>Seni Rupa, Desain, dan Kriya</x:v>
      </x:c>
      <x:c r="AB2255" t="str">
        <x:v>Campus=80; Ratio=45.8; Prodi=45; RelDemand=26.0; Capacity=65.0</x:v>
      </x:c>
    </x:row>
    <x:row r="2256">
      <x:c r="A2256" t="n">
        <x:v>2253</x:v>
      </x:c>
      <x:c r="B2256" t="str">
        <x:v>PTN Akademik</x:v>
      </x:c>
      <x:c r="C2256" t="str">
        <x:v>UNIVERSITAS NEGERI MALANG</x:v>
      </x:c>
      <x:c r="D2256" t="str">
        <x:v>MANAJEMEN PEMASARAN</x:v>
      </x:c>
      <x:c r="E2256" t="str">
        <x:v>Sarjana Terapan</x:v>
      </x:c>
      <x:c r="F2256" s="18" t="n">
        <x:v>39</x:v>
      </x:c>
      <x:c r="G2256" s="18" t="n">
        <x:v>2402</x:v>
      </x:c>
      <x:c r="H2256" s="19" t="n">
        <x:v>61.58974358974359</x:v>
      </x:c>
      <x:c r="I2256" s="18" t="n">
        <x:f>ROUND(MIN(Model_Config_v3!$B$6,MAX(Q2256,R2256,S2256*Model_Config_v3!$B$4+T2256*Model_Config_v3!$B$5)),0)</x:f>
        <x:v>723</x:v>
      </x:c>
      <x:c r="J2256" s="18" t="n">
        <x:f>MIN(Model_Config_v3!$B$6,I2256+Model_Config_v3!$B$7)</x:f>
        <x:v>743</x:v>
      </x:c>
      <x:c r="K2256" s="20" t="n">
        <x:v>82.8</x:v>
      </x:c>
      <x:c r="L2256" t="str">
        <x:v>ELITE</x:v>
      </x:c>
      <x:c r="M2256" t="str">
        <x:v>SEDANG+</x:v>
      </x:c>
      <x:c r="N2256" t="str">
        <x:v>ELITE-3</x:v>
      </x:c>
      <x:c r="O2256" t="str">
        <x:v>SOSHUM</x:v>
      </x:c>
      <x:c r="P2256" t="str">
        <x:v>BISNIS/EKONOMI/AKUNTANSI</x:v>
      </x:c>
      <x:c r="Q2256" s="18" t="n">
        <x:v>620</x:v>
      </x:c>
      <x:c r="R2256" s="18" t="n">
        <x:v>0</x:v>
      </x:c>
      <x:c r="S2256" s="18" t="n">
        <x:v>716.8459235644427</x:v>
      </x:c>
      <x:c r="T2256" s="18" t="n">
        <x:v>726</x:v>
      </x:c>
      <x:c r="U2256" s="18" t="n">
        <x:v>731.8459235644427</x:v>
      </x:c>
      <x:c r="V2256" s="20" t="n">
        <x:v>4.4</x:v>
      </x:c>
      <x:c r="W2256" s="20" t="n">
        <x:v>14.3</x:v>
      </x:c>
      <x:c r="X2256" s="20" t="n">
        <x:v>3.3</x:v>
      </x:c>
      <x:c r="Y2256" t="str">
        <x:v>Basis arsip 2025/2024</x:v>
      </x:c>
      <x:c r="Z2256" t="str">
        <x:v>https://snpmb.id/utbk-snbt/daya-tampung-snbt</x:v>
      </x:c>
      <x:c r="AA2256" t="str">
        <x:v>Tidak Ada</x:v>
      </x:c>
      <x:c r="AB2256" t="str">
        <x:v>Campus=80; Ratio=100.0; Prodi=65; RelDemand=100.0; Capacity=67.5</x:v>
      </x:c>
    </x:row>
    <x:row r="2257">
      <x:c r="A2257" t="n">
        <x:v>2254</x:v>
      </x:c>
      <x:c r="B2257" t="str">
        <x:v>PTN Akademik</x:v>
      </x:c>
      <x:c r="C2257" t="str">
        <x:v>UNIVERSITAS NEGERI MALANG</x:v>
      </x:c>
      <x:c r="D2257" t="str">
        <x:v>AKUNTANSI</x:v>
      </x:c>
      <x:c r="E2257" t="str">
        <x:v>Sarjana Terapan</x:v>
      </x:c>
      <x:c r="F2257" s="18" t="n">
        <x:v>39</x:v>
      </x:c>
      <x:c r="G2257" s="18" t="n">
        <x:v>2520</x:v>
      </x:c>
      <x:c r="H2257" s="19" t="n">
        <x:v>64.61538461538461</x:v>
      </x:c>
      <x:c r="I2257" s="18" t="n">
        <x:f>ROUND(MIN(Model_Config_v3!$B$6,MAX(Q2257,R2257,S2257*Model_Config_v3!$B$4+T2257*Model_Config_v3!$B$5)),0)</x:f>
        <x:v>724</x:v>
      </x:c>
      <x:c r="J2257" s="18" t="n">
        <x:f>MIN(Model_Config_v3!$B$6,I2257+Model_Config_v3!$B$7)</x:f>
        <x:v>744</x:v>
      </x:c>
      <x:c r="K2257" s="20" t="n">
        <x:v>82.8</x:v>
      </x:c>
      <x:c r="L2257" t="str">
        <x:v>ELITE</x:v>
      </x:c>
      <x:c r="M2257" t="str">
        <x:v>SEDANG+</x:v>
      </x:c>
      <x:c r="N2257" t="str">
        <x:v>ELITE-3</x:v>
      </x:c>
      <x:c r="O2257" t="str">
        <x:v>SOSHUM</x:v>
      </x:c>
      <x:c r="P2257" t="str">
        <x:v>BISNIS/EKONOMI/AKUNTANSI</x:v>
      </x:c>
      <x:c r="Q2257" s="18" t="n">
        <x:v>620</x:v>
      </x:c>
      <x:c r="R2257" s="18" t="n">
        <x:v>0</x:v>
      </x:c>
      <x:c r="S2257" s="18" t="n">
        <x:v>719.1369527130549</x:v>
      </x:c>
      <x:c r="T2257" s="18" t="n">
        <x:v>726</x:v>
      </x:c>
      <x:c r="U2257" s="18" t="n">
        <x:v>719.1369527130549</x:v>
      </x:c>
      <x:c r="V2257" s="20" t="n">
        <x:v>4.4</x:v>
      </x:c>
      <x:c r="W2257" s="20" t="n">
        <x:v>14.3</x:v>
      </x:c>
      <x:c r="X2257" s="20" t="n">
        <x:v>3.3</x:v>
      </x:c>
      <x:c r="Y2257" t="str">
        <x:v>Basis arsip 2025/2024</x:v>
      </x:c>
      <x:c r="Z2257" t="str">
        <x:v>https://snpmb.id/utbk-snbt/daya-tampung-snbt</x:v>
      </x:c>
      <x:c r="AA2257" t="str">
        <x:v>Tidak Ada</x:v>
      </x:c>
      <x:c r="AB2257" t="str">
        <x:v>Campus=80; Ratio=100.0; Prodi=65; RelDemand=100.0; Capacity=67.5</x:v>
      </x:c>
    </x:row>
    <x:row r="2258">
      <x:c r="A2258" t="n">
        <x:v>2255</x:v>
      </x:c>
      <x:c r="B2258" t="str">
        <x:v>PTN Akademik</x:v>
      </x:c>
      <x:c r="C2258" t="str">
        <x:v>UNIVERSITAS NEGERI MALANG</x:v>
      </x:c>
      <x:c r="D2258" t="str">
        <x:v>TATA BOGA</x:v>
      </x:c>
      <x:c r="E2258" t="str">
        <x:v>Sarjana Terapan</x:v>
      </x:c>
      <x:c r="F2258" s="18" t="n">
        <x:v>30</x:v>
      </x:c>
      <x:c r="G2258" s="18" t="n">
        <x:v>1297</x:v>
      </x:c>
      <x:c r="H2258" s="19" t="n">
        <x:v>43.233333333333334</x:v>
      </x:c>
      <x:c r="I2258" s="18" t="n">
        <x:f>ROUND(MIN(Model_Config_v3!$B$6,MAX(Q2258,R2258,S2258*Model_Config_v3!$B$4+T2258*Model_Config_v3!$B$5)),0)</x:f>
        <x:v>710</x:v>
      </x:c>
      <x:c r="J2258" s="18" t="n">
        <x:f>MIN(Model_Config_v3!$B$6,I2258+Model_Config_v3!$B$7)</x:f>
        <x:v>730</x:v>
      </x:c>
      <x:c r="K2258" s="20" t="n">
        <x:v>77.6</x:v>
      </x:c>
      <x:c r="L2258" t="str">
        <x:v>ELITE</x:v>
      </x:c>
      <x:c r="M2258" t="str">
        <x:v>SEDANG+</x:v>
      </x:c>
      <x:c r="N2258" t="str">
        <x:v>ELITE-3</x:v>
      </x:c>
      <x:c r="O2258" t="str">
        <x:v>CAMPURAN</x:v>
      </x:c>
      <x:c r="P2258" t="str">
        <x:v>UMUM</x:v>
      </x:c>
      <x:c r="Q2258" s="18" t="n">
        <x:v>620</x:v>
      </x:c>
      <x:c r="R2258" s="18" t="n">
        <x:v>0</x:v>
      </x:c>
      <x:c r="S2258" s="18" t="n">
        <x:v>699.9400593500859</x:v>
      </x:c>
      <x:c r="T2258" s="18" t="n">
        <x:v>715</x:v>
      </x:c>
      <x:c r="U2258" s="18" t="n">
        <x:v>699.9400593500859</x:v>
      </x:c>
      <x:c r="V2258" s="20" t="n">
        <x:v>8.8</x:v>
      </x:c>
      <x:c r="W2258" s="20" t="n">
        <x:v>9.9</x:v>
      </x:c>
      <x:c r="X2258" s="20" t="n">
        <x:v>3.3</x:v>
      </x:c>
      <x:c r="Y2258" t="str">
        <x:v>Basis arsip 2025/2024</x:v>
      </x:c>
      <x:c r="Z2258" t="str">
        <x:v>https://snpmb.id/utbk-snbt/daya-tampung-snbt</x:v>
      </x:c>
      <x:c r="AA2258" t="str">
        <x:v>Tidak Ada</x:v>
      </x:c>
      <x:c r="AB2258" t="str">
        <x:v>Campus=80; Ratio=96.3; Prodi=40; RelDemand=100.0; Capacity=75.0</x:v>
      </x:c>
    </x:row>
    <x:row r="2259">
      <x:c r="A2259" t="n">
        <x:v>2256</x:v>
      </x:c>
      <x:c r="B2259" t="str">
        <x:v>PTN Akademik</x:v>
      </x:c>
      <x:c r="C2259" t="str">
        <x:v>UNIVERSITAS NEGERI MALANG</x:v>
      </x:c>
      <x:c r="D2259" t="str">
        <x:v>DESAIN MODE</x:v>
      </x:c>
      <x:c r="E2259" t="str">
        <x:v>Sarjana Terapan</x:v>
      </x:c>
      <x:c r="F2259" s="18" t="n">
        <x:v>35</x:v>
      </x:c>
      <x:c r="G2259" s="18" t="n">
        <x:v>420</x:v>
      </x:c>
      <x:c r="H2259" s="19" t="n">
        <x:v>12</x:v>
      </x:c>
      <x:c r="I2259" s="18" t="n">
        <x:f>ROUND(MIN(Model_Config_v3!$B$6,MAX(Q2259,R2259,S2259*Model_Config_v3!$B$4+T2259*Model_Config_v3!$B$5)),0)</x:f>
        <x:v>675</x:v>
      </x:c>
      <x:c r="J2259" s="18" t="n">
        <x:f>MIN(Model_Config_v3!$B$6,I2259+Model_Config_v3!$B$7)</x:f>
        <x:v>695</x:v>
      </x:c>
      <x:c r="K2259" s="20" t="n">
        <x:v>65.2</x:v>
      </x:c>
      <x:c r="L2259" t="str">
        <x:v>SANGAT KETAT</x:v>
      </x:c>
      <x:c r="M2259" t="str">
        <x:v>PORTOFOLIO</x:v>
      </x:c>
      <x:c r="N2259" t="str">
        <x:v>ELITE-3</x:v>
      </x:c>
      <x:c r="O2259" t="str">
        <x:v>SENI/OLAHRAGA</x:v>
      </x:c>
      <x:c r="P2259" t="str">
        <x:v>SENI/OLAHRAGA</x:v>
      </x:c>
      <x:c r="Q2259" s="18" t="n">
        <x:v>620</x:v>
      </x:c>
      <x:c r="R2259" s="18" t="n">
        <x:v>0</x:v>
      </x:c>
      <x:c r="S2259" s="18" t="n">
        <x:v>638.7099370652387</x:v>
      </x:c>
      <x:c r="T2259" s="18" t="n">
        <x:v>690</x:v>
      </x:c>
      <x:c r="U2259" s="18" t="n">
        <x:v>638.7099370652387</x:v>
      </x:c>
      <x:c r="V2259" s="20" t="n">
        <x:v>4.4</x:v>
      </x:c>
      <x:c r="W2259" s="20" t="n">
        <x:v>9.9</x:v>
      </x:c>
      <x:c r="X2259" s="20" t="n">
        <x:v>7.7</x:v>
      </x:c>
      <x:c r="Y2259" t="str">
        <x:v>Basis arsip 2025/2024</x:v>
      </x:c>
      <x:c r="Z2259" t="str">
        <x:v>https://snpmb.id/utbk-snbt/daya-tampung-snbt</x:v>
      </x:c>
      <x:c r="AA2259" t="str">
        <x:v>Seni Rupa, Desain, dan Kriya</x:v>
      </x:c>
      <x:c r="AB2259" t="str">
        <x:v>Campus=80; Ratio=63.5; Prodi=45; RelDemand=52.0; Capacity=70.8</x:v>
      </x:c>
    </x:row>
    <x:row r="2260">
      <x:c r="A2260" t="n">
        <x:v>2257</x:v>
      </x:c>
      <x:c r="B2260" t="str">
        <x:v>PTN Akademik</x:v>
      </x:c>
      <x:c r="C2260" t="str">
        <x:v>UNIVERSITAS AIRLANGGA</x:v>
      </x:c>
      <x:c r="D2260" t="str">
        <x:v>KEDOKTERAN</x:v>
      </x:c>
      <x:c r="E2260" t="str">
        <x:v>Sarjana</x:v>
      </x:c>
      <x:c r="F2260" s="18" t="n">
        <x:v>90</x:v>
      </x:c>
      <x:c r="G2260" s="18" t="n">
        <x:v>3102</x:v>
      </x:c>
      <x:c r="H2260" s="19" t="n">
        <x:v>34.46666666666667</x:v>
      </x:c>
      <x:c r="I2260" s="18" t="n">
        <x:f>ROUND(MIN(Model_Config_v3!$B$6,MAX(Q2260,R2260,S2260*Model_Config_v3!$B$4+T2260*Model_Config_v3!$B$5)),0)</x:f>
        <x:v>725</x:v>
      </x:c>
      <x:c r="J2260" s="18" t="n">
        <x:f>MIN(Model_Config_v3!$B$6,I2260+Model_Config_v3!$B$7)</x:f>
        <x:v>745</x:v>
      </x:c>
      <x:c r="K2260" s="20" t="n">
        <x:v>85</x:v>
      </x:c>
      <x:c r="L2260" t="str">
        <x:v>ULTRA ELITE</x:v>
      </x:c>
      <x:c r="M2260" t="str">
        <x:v>SEDANG+</x:v>
      </x:c>
      <x:c r="N2260" t="str">
        <x:v>ELITE-2</x:v>
      </x:c>
      <x:c r="O2260" t="str">
        <x:v>SAINTEK</x:v>
      </x:c>
      <x:c r="P2260" t="str">
        <x:v>KEDOKTERAN</x:v>
      </x:c>
      <x:c r="Q2260" s="18" t="n">
        <x:v>655</x:v>
      </x:c>
      <x:c r="R2260" s="18" t="n">
        <x:v>725</x:v>
      </x:c>
      <x:c r="S2260" s="18" t="n">
        <x:v>689.1139212442088</x:v>
      </x:c>
      <x:c r="T2260" s="18" t="n">
        <x:v>730</x:v>
      </x:c>
      <x:c r="U2260" s="18" t="n">
        <x:v>729.1139212442088</x:v>
      </x:c>
      <x:c r="V2260" s="20" t="n">
        <x:v>12</x:v>
      </x:c>
      <x:c r="W2260" s="20" t="n">
        <x:v>5</x:v>
      </x:c>
      <x:c r="X2260" s="20" t="n">
        <x:v>3</x:v>
      </x:c>
      <x:c r="Y2260" t="str">
        <x:v>Basis arsip 2025/2024</x:v>
      </x:c>
      <x:c r="Z2260" t="str">
        <x:v>https://snpmb.id/utbk-snbt/daya-tampung-snbt</x:v>
      </x:c>
      <x:c r="AA2260" t="str">
        <x:v>Tidak Ada</x:v>
      </x:c>
      <x:c r="AB2260" t="str">
        <x:v>Campus=90; Ratio=90.5; Prodi=100; RelDemand=83.4; Capacity=25.0</x:v>
      </x:c>
    </x:row>
    <x:row r="2261">
      <x:c r="A2261" t="n">
        <x:v>2258</x:v>
      </x:c>
      <x:c r="B2261" t="str">
        <x:v>PTN Akademik</x:v>
      </x:c>
      <x:c r="C2261" t="str">
        <x:v>UNIVERSITAS AIRLANGGA</x:v>
      </x:c>
      <x:c r="D2261" t="str">
        <x:v>KEDOKTERAN GIGI</x:v>
      </x:c>
      <x:c r="E2261" t="str">
        <x:v>Sarjana</x:v>
      </x:c>
      <x:c r="F2261" s="18" t="n">
        <x:v>75</x:v>
      </x:c>
      <x:c r="G2261" s="18" t="n">
        <x:v>1592</x:v>
      </x:c>
      <x:c r="H2261" s="19" t="n">
        <x:v>21.226666666666667</x:v>
      </x:c>
      <x:c r="I2261" s="18" t="n">
        <x:f>ROUND(MIN(Model_Config_v3!$B$6,MAX(Q2261,R2261,S2261*Model_Config_v3!$B$4+T2261*Model_Config_v3!$B$5)),0)</x:f>
        <x:v>701</x:v>
      </x:c>
      <x:c r="J2261" s="18" t="n">
        <x:f>MIN(Model_Config_v3!$B$6,I2261+Model_Config_v3!$B$7)</x:f>
        <x:v>721</x:v>
      </x:c>
      <x:c r="K2261" s="20" t="n">
        <x:v>77.9</x:v>
      </x:c>
      <x:c r="L2261" t="str">
        <x:v>ELITE</x:v>
      </x:c>
      <x:c r="M2261" t="str">
        <x:v>SEDANG+</x:v>
      </x:c>
      <x:c r="N2261" t="str">
        <x:v>ELITE-2</x:v>
      </x:c>
      <x:c r="O2261" t="str">
        <x:v>SAINTEK</x:v>
      </x:c>
      <x:c r="P2261" t="str">
        <x:v>KEDOKTERAN GIGI</x:v>
      </x:c>
      <x:c r="Q2261" s="18" t="n">
        <x:v>655</x:v>
      </x:c>
      <x:c r="R2261" s="18" t="n">
        <x:v>700</x:v>
      </x:c>
      <x:c r="S2261" s="18" t="n">
        <x:v>665.9569980010945</x:v>
      </x:c>
      <x:c r="T2261" s="18" t="n">
        <x:v>716</x:v>
      </x:c>
      <x:c r="U2261" s="18" t="n">
        <x:v>700</x:v>
      </x:c>
      <x:c r="V2261" s="20" t="n">
        <x:v>12</x:v>
      </x:c>
      <x:c r="W2261" s="20" t="n">
        <x:v>5</x:v>
      </x:c>
      <x:c r="X2261" s="20" t="n">
        <x:v>3</x:v>
      </x:c>
      <x:c r="Y2261" t="str">
        <x:v>Basis arsip 2025/2024</x:v>
      </x:c>
      <x:c r="Z2261" t="str">
        <x:v>https://snpmb.id/utbk-snbt/daya-tampung-snbt</x:v>
      </x:c>
      <x:c r="AA2261" t="str">
        <x:v>Tidak Ada</x:v>
      </x:c>
      <x:c r="AB2261" t="str">
        <x:v>Campus=90; Ratio=78.1; Prodi=90; RelDemand=51.4; Capacity=37.5</x:v>
      </x:c>
    </x:row>
    <x:row r="2262">
      <x:c r="A2262" t="n">
        <x:v>2259</x:v>
      </x:c>
      <x:c r="B2262" t="str">
        <x:v>PTN Akademik</x:v>
      </x:c>
      <x:c r="C2262" t="str">
        <x:v>UNIVERSITAS AIRLANGGA</x:v>
      </x:c>
      <x:c r="D2262" t="str">
        <x:v>FARMASI</x:v>
      </x:c>
      <x:c r="E2262" t="str">
        <x:v>Sarjana</x:v>
      </x:c>
      <x:c r="F2262" s="18" t="n">
        <x:v>112</x:v>
      </x:c>
      <x:c r="G2262" s="18" t="n">
        <x:v>1965</x:v>
      </x:c>
      <x:c r="H2262" s="19" t="n">
        <x:v>17.544642857142858</x:v>
      </x:c>
      <x:c r="I2262" s="18" t="n">
        <x:f>ROUND(MIN(Model_Config_v3!$B$6,MAX(Q2262,R2262,S2262*Model_Config_v3!$B$4+T2262*Model_Config_v3!$B$5)),0)</x:f>
        <x:v>686</x:v>
      </x:c>
      <x:c r="J2262" s="18" t="n">
        <x:f>MIN(Model_Config_v3!$B$6,I2262+Model_Config_v3!$B$7)</x:f>
        <x:v>706</x:v>
      </x:c>
      <x:c r="K2262" s="20" t="n">
        <x:v>69.7</x:v>
      </x:c>
      <x:c r="L2262" t="str">
        <x:v>SANGAT KETAT</x:v>
      </x:c>
      <x:c r="M2262" t="str">
        <x:v>SEDANG+</x:v>
      </x:c>
      <x:c r="N2262" t="str">
        <x:v>ELITE-2</x:v>
      </x:c>
      <x:c r="O2262" t="str">
        <x:v>SAINTEK</x:v>
      </x:c>
      <x:c r="P2262" t="str">
        <x:v>FARMASI</x:v>
      </x:c>
      <x:c r="Q2262" s="18" t="n">
        <x:v>655</x:v>
      </x:c>
      <x:c r="R2262" s="18" t="n">
        <x:v>680</x:v>
      </x:c>
      <x:c r="S2262" s="18" t="n">
        <x:v>656.855898524539</x:v>
      </x:c>
      <x:c r="T2262" s="18" t="n">
        <x:v>699</x:v>
      </x:c>
      <x:c r="U2262" s="18" t="n">
        <x:v>680</x:v>
      </x:c>
      <x:c r="V2262" s="20" t="n">
        <x:v>12</x:v>
      </x:c>
      <x:c r="W2262" s="20" t="n">
        <x:v>5</x:v>
      </x:c>
      <x:c r="X2262" s="20" t="n">
        <x:v>3</x:v>
      </x:c>
      <x:c r="Y2262" t="str">
        <x:v>Basis arsip 2025/2024</x:v>
      </x:c>
      <x:c r="Z2262" t="str">
        <x:v>https://snpmb.id/utbk-snbt/daya-tampung-snbt</x:v>
      </x:c>
      <x:c r="AA2262" t="str">
        <x:v>Tidak Ada</x:v>
      </x:c>
      <x:c r="AB2262" t="str">
        <x:v>Campus=90; Ratio=73.2; Prodi=75; RelDemand=42.5; Capacity=6.7</x:v>
      </x:c>
    </x:row>
    <x:row r="2263">
      <x:c r="A2263" t="n">
        <x:v>2260</x:v>
      </x:c>
      <x:c r="B2263" t="str">
        <x:v>PTN Akademik</x:v>
      </x:c>
      <x:c r="C2263" t="str">
        <x:v>UNIVERSITAS AIRLANGGA</x:v>
      </x:c>
      <x:c r="D2263" t="str">
        <x:v>KEDOKTERAN HEWAN</x:v>
      </x:c>
      <x:c r="E2263" t="str">
        <x:v>Sarjana</x:v>
      </x:c>
      <x:c r="F2263" s="18" t="n">
        <x:v>96</x:v>
      </x:c>
      <x:c r="G2263" s="18" t="n">
        <x:v>815</x:v>
      </x:c>
      <x:c r="H2263" s="19" t="n">
        <x:v>8.489583333333334</x:v>
      </x:c>
      <x:c r="I2263" s="18" t="n">
        <x:f>ROUND(MIN(Model_Config_v3!$B$6,MAX(Q2263,R2263,S2263*Model_Config_v3!$B$4+T2263*Model_Config_v3!$B$5)),0)</x:f>
        <x:v>670</x:v>
      </x:c>
      <x:c r="J2263" s="18" t="n">
        <x:f>MIN(Model_Config_v3!$B$6,I2263+Model_Config_v3!$B$7)</x:f>
        <x:v>690</x:v>
      </x:c>
      <x:c r="K2263" s="20" t="n">
        <x:v>61.2</x:v>
      </x:c>
      <x:c r="L2263" t="str">
        <x:v>KETAT</x:v>
      </x:c>
      <x:c r="M2263" t="str">
        <x:v>SEDANG+</x:v>
      </x:c>
      <x:c r="N2263" t="str">
        <x:v>ELITE-2</x:v>
      </x:c>
      <x:c r="O2263" t="str">
        <x:v>SAINTEK</x:v>
      </x:c>
      <x:c r="P2263" t="str">
        <x:v>VETERINER</x:v>
      </x:c>
      <x:c r="Q2263" s="18" t="n">
        <x:v>655</x:v>
      </x:c>
      <x:c r="R2263" s="18" t="n">
        <x:v>670</x:v>
      </x:c>
      <x:c r="S2263" s="18" t="n">
        <x:v>622.1775013270449</x:v>
      </x:c>
      <x:c r="T2263" s="18" t="n">
        <x:v>682</x:v>
      </x:c>
      <x:c r="U2263" s="18" t="n">
        <x:v>655</x:v>
      </x:c>
      <x:c r="V2263" s="20" t="n">
        <x:v>12</x:v>
      </x:c>
      <x:c r="W2263" s="20" t="n">
        <x:v>5</x:v>
      </x:c>
      <x:c r="X2263" s="20" t="n">
        <x:v>3</x:v>
      </x:c>
      <x:c r="Y2263" t="str">
        <x:v>Basis arsip 2025/2024</x:v>
      </x:c>
      <x:c r="Z2263" t="str">
        <x:v>https://snpmb.id/utbk-snbt/daya-tampung-snbt</x:v>
      </x:c>
      <x:c r="AA2263" t="str">
        <x:v>Tidak Ada</x:v>
      </x:c>
      <x:c r="AB2263" t="str">
        <x:v>Campus=90; Ratio=54.7; Prodi=60; RelDemand=20.5; Capacity=20.0</x:v>
      </x:c>
    </x:row>
    <x:row r="2264">
      <x:c r="A2264" t="n">
        <x:v>2261</x:v>
      </x:c>
      <x:c r="B2264" t="str">
        <x:v>PTN Akademik</x:v>
      </x:c>
      <x:c r="C2264" t="str">
        <x:v>UNIVERSITAS AIRLANGGA</x:v>
      </x:c>
      <x:c r="D2264" t="str">
        <x:v>MATEMATIKA</x:v>
      </x:c>
      <x:c r="E2264" t="str">
        <x:v>Sarjana</x:v>
      </x:c>
      <x:c r="F2264" s="18" t="n">
        <x:v>40</x:v>
      </x:c>
      <x:c r="G2264" s="18" t="n">
        <x:v>123</x:v>
      </x:c>
      <x:c r="H2264" s="19" t="n">
        <x:v>3.075</x:v>
      </x:c>
      <x:c r="I2264" s="18" t="n">
        <x:f>ROUND(MIN(Model_Config_v3!$B$6,MAX(Q2264,R2264,S2264*Model_Config_v3!$B$4+T2264*Model_Config_v3!$B$5)),0)</x:f>
        <x:v>655</x:v>
      </x:c>
      <x:c r="J2264" s="18" t="n">
        <x:f>MIN(Model_Config_v3!$B$6,I2264+Model_Config_v3!$B$7)</x:f>
        <x:v>675</x:v>
      </x:c>
      <x:c r="K2264" s="20" t="n">
        <x:v>56.1</x:v>
      </x:c>
      <x:c r="L2264" t="str">
        <x:v>KETAT</x:v>
      </x:c>
      <x:c r="M2264" t="str">
        <x:v>SEDANG+</x:v>
      </x:c>
      <x:c r="N2264" t="str">
        <x:v>ELITE-2</x:v>
      </x:c>
      <x:c r="O2264" t="str">
        <x:v>SAINTEK</x:v>
      </x:c>
      <x:c r="P2264" t="str">
        <x:v>SAINS DASAR</x:v>
      </x:c>
      <x:c r="Q2264" s="18" t="n">
        <x:v>655</x:v>
      </x:c>
      <x:c r="R2264" s="18" t="n">
        <x:v>0</x:v>
      </x:c>
      <x:c r="S2264" s="18" t="n">
        <x:v>573.6629632122579</x:v>
      </x:c>
      <x:c r="T2264" s="18" t="n">
        <x:v>672</x:v>
      </x:c>
      <x:c r="U2264" s="18" t="n">
        <x:v>655</x:v>
      </x:c>
      <x:c r="V2264" s="20" t="n">
        <x:v>12</x:v>
      </x:c>
      <x:c r="W2264" s="20" t="n">
        <x:v>5</x:v>
      </x:c>
      <x:c r="X2264" s="20" t="n">
        <x:v>3</x:v>
      </x:c>
      <x:c r="Y2264" t="str">
        <x:v>Basis arsip 2025/2024</x:v>
      </x:c>
      <x:c r="Z2264" t="str">
        <x:v>https://snpmb.id/utbk-snbt/daya-tampung-snbt</x:v>
      </x:c>
      <x:c r="AA2264" t="str">
        <x:v>Tidak Ada</x:v>
      </x:c>
      <x:c r="AB2264" t="str">
        <x:v>Campus=90; Ratio=28.7; Prodi=50; RelDemand=7.4; Capacity=66.7</x:v>
      </x:c>
    </x:row>
    <x:row r="2265">
      <x:c r="A2265" t="n">
        <x:v>2262</x:v>
      </x:c>
      <x:c r="B2265" t="str">
        <x:v>PTN Akademik</x:v>
      </x:c>
      <x:c r="C2265" t="str">
        <x:v>UNIVERSITAS AIRLANGGA</x:v>
      </x:c>
      <x:c r="D2265" t="str">
        <x:v>BIOLOGI</x:v>
      </x:c>
      <x:c r="E2265" t="str">
        <x:v>Sarjana</x:v>
      </x:c>
      <x:c r="F2265" s="18" t="n">
        <x:v>36</x:v>
      </x:c>
      <x:c r="G2265" s="18" t="n">
        <x:v>194</x:v>
      </x:c>
      <x:c r="H2265" s="19" t="n">
        <x:v>5.388888888888889</x:v>
      </x:c>
      <x:c r="I2265" s="18" t="n">
        <x:f>ROUND(MIN(Model_Config_v3!$B$6,MAX(Q2265,R2265,S2265*Model_Config_v3!$B$4+T2265*Model_Config_v3!$B$5)),0)</x:f>
        <x:v>657</x:v>
      </x:c>
      <x:c r="J2265" s="18" t="n">
        <x:f>MIN(Model_Config_v3!$B$6,I2265+Model_Config_v3!$B$7)</x:f>
        <x:v>677</x:v>
      </x:c>
      <x:c r="K2265" s="20" t="n">
        <x:v>60.6</x:v>
      </x:c>
      <x:c r="L2265" t="str">
        <x:v>KETAT</x:v>
      </x:c>
      <x:c r="M2265" t="str">
        <x:v>SEDANG+</x:v>
      </x:c>
      <x:c r="N2265" t="str">
        <x:v>ELITE-2</x:v>
      </x:c>
      <x:c r="O2265" t="str">
        <x:v>SAINTEK</x:v>
      </x:c>
      <x:c r="P2265" t="str">
        <x:v>SAINS DASAR</x:v>
      </x:c>
      <x:c r="Q2265" s="18" t="n">
        <x:v>655</x:v>
      </x:c>
      <x:c r="R2265" s="18" t="n">
        <x:v>0</x:v>
      </x:c>
      <x:c r="S2265" s="18" t="n">
        <x:v>600.4649152079232</x:v>
      </x:c>
      <x:c r="T2265" s="18" t="n">
        <x:v>681</x:v>
      </x:c>
      <x:c r="U2265" s="18" t="n">
        <x:v>655</x:v>
      </x:c>
      <x:c r="V2265" s="20" t="n">
        <x:v>12</x:v>
      </x:c>
      <x:c r="W2265" s="20" t="n">
        <x:v>5</x:v>
      </x:c>
      <x:c r="X2265" s="20" t="n">
        <x:v>3</x:v>
      </x:c>
      <x:c r="Y2265" t="str">
        <x:v>Basis arsip 2025/2024</x:v>
      </x:c>
      <x:c r="Z2265" t="str">
        <x:v>https://snpmb.id/utbk-snbt/daya-tampung-snbt</x:v>
      </x:c>
      <x:c r="AA2265" t="str">
        <x:v>Tidak Ada</x:v>
      </x:c>
      <x:c r="AB2265" t="str">
        <x:v>Campus=90; Ratio=43.1; Prodi=50; RelDemand=13.0; Capacity=70.0</x:v>
      </x:c>
    </x:row>
    <x:row r="2266">
      <x:c r="A2266" t="n">
        <x:v>2263</x:v>
      </x:c>
      <x:c r="B2266" t="str">
        <x:v>PTN Akademik</x:v>
      </x:c>
      <x:c r="C2266" t="str">
        <x:v>UNIVERSITAS AIRLANGGA</x:v>
      </x:c>
      <x:c r="D2266" t="str">
        <x:v>FISIKA</x:v>
      </x:c>
      <x:c r="E2266" t="str">
        <x:v>Sarjana</x:v>
      </x:c>
      <x:c r="F2266" s="18" t="n">
        <x:v>32</x:v>
      </x:c>
      <x:c r="G2266" s="18" t="n">
        <x:v>79</x:v>
      </x:c>
      <x:c r="H2266" s="19" t="n">
        <x:v>2.46875</x:v>
      </x:c>
      <x:c r="I2266" s="18" t="n">
        <x:f>ROUND(MIN(Model_Config_v3!$B$6,MAX(Q2266,R2266,S2266*Model_Config_v3!$B$4+T2266*Model_Config_v3!$B$5)),0)</x:f>
        <x:v>655</x:v>
      </x:c>
      <x:c r="J2266" s="18" t="n">
        <x:f>MIN(Model_Config_v3!$B$6,I2266+Model_Config_v3!$B$7)</x:f>
        <x:v>675</x:v>
      </x:c>
      <x:c r="K2266" s="20" t="n">
        <x:v>55.2</x:v>
      </x:c>
      <x:c r="L2266" t="str">
        <x:v>KETAT</x:v>
      </x:c>
      <x:c r="M2266" t="str">
        <x:v>SEDANG+</x:v>
      </x:c>
      <x:c r="N2266" t="str">
        <x:v>ELITE-2</x:v>
      </x:c>
      <x:c r="O2266" t="str">
        <x:v>SAINTEK</x:v>
      </x:c>
      <x:c r="P2266" t="str">
        <x:v>SAINS DASAR</x:v>
      </x:c>
      <x:c r="Q2266" s="18" t="n">
        <x:v>655</x:v>
      </x:c>
      <x:c r="R2266" s="18" t="n">
        <x:v>0</x:v>
      </x:c>
      <x:c r="S2266" s="18" t="n">
        <x:v>563.1724824267588</x:v>
      </x:c>
      <x:c r="T2266" s="18" t="n">
        <x:v>670</x:v>
      </x:c>
      <x:c r="U2266" s="18" t="n">
        <x:v>655</x:v>
      </x:c>
      <x:c r="V2266" s="20" t="n">
        <x:v>12</x:v>
      </x:c>
      <x:c r="W2266" s="20" t="n">
        <x:v>5</x:v>
      </x:c>
      <x:c r="X2266" s="20" t="n">
        <x:v>3</x:v>
      </x:c>
      <x:c r="Y2266" t="str">
        <x:v>Basis arsip 2025/2024</x:v>
      </x:c>
      <x:c r="Z2266" t="str">
        <x:v>https://snpmb.id/utbk-snbt/daya-tampung-snbt</x:v>
      </x:c>
      <x:c r="AA2266" t="str">
        <x:v>Tidak Ada</x:v>
      </x:c>
      <x:c r="AB2266" t="str">
        <x:v>Campus=90; Ratio=23.1; Prodi=50; RelDemand=6.0; Capacity=73.3</x:v>
      </x:c>
    </x:row>
    <x:row r="2267">
      <x:c r="A2267" t="n">
        <x:v>2264</x:v>
      </x:c>
      <x:c r="B2267" t="str">
        <x:v>PTN Akademik</x:v>
      </x:c>
      <x:c r="C2267" t="str">
        <x:v>UNIVERSITAS AIRLANGGA</x:v>
      </x:c>
      <x:c r="D2267" t="str">
        <x:v>KIMIA</x:v>
      </x:c>
      <x:c r="E2267" t="str">
        <x:v>Sarjana</x:v>
      </x:c>
      <x:c r="F2267" s="18" t="n">
        <x:v>36</x:v>
      </x:c>
      <x:c r="G2267" s="18" t="n">
        <x:v>213</x:v>
      </x:c>
      <x:c r="H2267" s="19" t="n">
        <x:v>5.916666666666667</x:v>
      </x:c>
      <x:c r="I2267" s="18" t="n">
        <x:f>ROUND(MIN(Model_Config_v3!$B$6,MAX(Q2267,R2267,S2267*Model_Config_v3!$B$4+T2267*Model_Config_v3!$B$5)),0)</x:f>
        <x:v>660</x:v>
      </x:c>
      <x:c r="J2267" s="18" t="n">
        <x:f>MIN(Model_Config_v3!$B$6,I2267+Model_Config_v3!$B$7)</x:f>
        <x:v>680</x:v>
      </x:c>
      <x:c r="K2267" s="20" t="n">
        <x:v>61.3</x:v>
      </x:c>
      <x:c r="L2267" t="str">
        <x:v>KETAT</x:v>
      </x:c>
      <x:c r="M2267" t="str">
        <x:v>SEDANG+</x:v>
      </x:c>
      <x:c r="N2267" t="str">
        <x:v>ELITE-2</x:v>
      </x:c>
      <x:c r="O2267" t="str">
        <x:v>SAINTEK</x:v>
      </x:c>
      <x:c r="P2267" t="str">
        <x:v>SAINS DASAR</x:v>
      </x:c>
      <x:c r="Q2267" s="18" t="n">
        <x:v>655</x:v>
      </x:c>
      <x:c r="R2267" s="18" t="n">
        <x:v>0</x:v>
      </x:c>
      <x:c r="S2267" s="18" t="n">
        <x:v>604.9284812938595</x:v>
      </x:c>
      <x:c r="T2267" s="18" t="n">
        <x:v>683</x:v>
      </x:c>
      <x:c r="U2267" s="18" t="n">
        <x:v>655</x:v>
      </x:c>
      <x:c r="V2267" s="20" t="n">
        <x:v>12</x:v>
      </x:c>
      <x:c r="W2267" s="20" t="n">
        <x:v>5</x:v>
      </x:c>
      <x:c r="X2267" s="20" t="n">
        <x:v>3</x:v>
      </x:c>
      <x:c r="Y2267" t="str">
        <x:v>Basis arsip 2025/2024</x:v>
      </x:c>
      <x:c r="Z2267" t="str">
        <x:v>https://snpmb.id/utbk-snbt/daya-tampung-snbt</x:v>
      </x:c>
      <x:c r="AA2267" t="str">
        <x:v>Tidak Ada</x:v>
      </x:c>
      <x:c r="AB2267" t="str">
        <x:v>Campus=90; Ratio=45.4; Prodi=50; RelDemand=14.3; Capacity=70.0</x:v>
      </x:c>
    </x:row>
    <x:row r="2268">
      <x:c r="A2268" t="n">
        <x:v>2265</x:v>
      </x:c>
      <x:c r="B2268" t="str">
        <x:v>PTN Akademik</x:v>
      </x:c>
      <x:c r="C2268" t="str">
        <x:v>UNIVERSITAS AIRLANGGA</x:v>
      </x:c>
      <x:c r="D2268" t="str">
        <x:v>KESEHATAN MASYARAKAT</x:v>
      </x:c>
      <x:c r="E2268" t="str">
        <x:v>Sarjana</x:v>
      </x:c>
      <x:c r="F2268" s="18" t="n">
        <x:v>72</x:v>
      </x:c>
      <x:c r="G2268" s="18" t="n">
        <x:v>1497</x:v>
      </x:c>
      <x:c r="H2268" s="19" t="n">
        <x:v>20.791666666666668</x:v>
      </x:c>
      <x:c r="I2268" s="18" t="n">
        <x:f>ROUND(MIN(Model_Config_v3!$B$6,MAX(Q2268,R2268,S2268*Model_Config_v3!$B$4+T2268*Model_Config_v3!$B$5)),0)</x:f>
        <x:v>691</x:v>
      </x:c>
      <x:c r="J2268" s="18" t="n">
        <x:f>MIN(Model_Config_v3!$B$6,I2268+Model_Config_v3!$B$7)</x:f>
        <x:v>711</x:v>
      </x:c>
      <x:c r="K2268" s="20" t="n">
        <x:v>70.9</x:v>
      </x:c>
      <x:c r="L2268" t="str">
        <x:v>SANGAT KETAT</x:v>
      </x:c>
      <x:c r="M2268" t="str">
        <x:v>SEDANG+</x:v>
      </x:c>
      <x:c r="N2268" t="str">
        <x:v>ELITE-2</x:v>
      </x:c>
      <x:c r="O2268" t="str">
        <x:v>SAINTEK</x:v>
      </x:c>
      <x:c r="P2268" t="str">
        <x:v>KESEHAT/GIZI/KEPERAWATAN</x:v>
      </x:c>
      <x:c r="Q2268" s="18" t="n">
        <x:v>655</x:v>
      </x:c>
      <x:c r="R2268" s="18" t="n">
        <x:v>660</x:v>
      </x:c>
      <x:c r="S2268" s="18" t="n">
        <x:v>664.9678234302962</x:v>
      </x:c>
      <x:c r="T2268" s="18" t="n">
        <x:v>702</x:v>
      </x:c>
      <x:c r="U2268" s="18" t="n">
        <x:v>664.9678234302962</x:v>
      </x:c>
      <x:c r="V2268" s="20" t="n">
        <x:v>12</x:v>
      </x:c>
      <x:c r="W2268" s="20" t="n">
        <x:v>5</x:v>
      </x:c>
      <x:c r="X2268" s="20" t="n">
        <x:v>3</x:v>
      </x:c>
      <x:c r="Y2268" t="str">
        <x:v>Basis arsip 2025/2024</x:v>
      </x:c>
      <x:c r="Z2268" t="str">
        <x:v>https://snpmb.id/utbk-snbt/daya-tampung-snbt</x:v>
      </x:c>
      <x:c r="AA2268" t="str">
        <x:v>Tidak Ada</x:v>
      </x:c>
      <x:c r="AB2268" t="str">
        <x:v>Campus=90; Ratio=77.6; Prodi=55; RelDemand=50.3; Capacity=40.0</x:v>
      </x:c>
    </x:row>
    <x:row r="2269">
      <x:c r="A2269" t="n">
        <x:v>2266</x:v>
      </x:c>
      <x:c r="B2269" t="str">
        <x:v>PTN Akademik</x:v>
      </x:c>
      <x:c r="C2269" t="str">
        <x:v>UNIVERSITAS AIRLANGGA</x:v>
      </x:c>
      <x:c r="D2269" t="str">
        <x:v>KEPERAWATAN</x:v>
      </x:c>
      <x:c r="E2269" t="str">
        <x:v>Sarjana</x:v>
      </x:c>
      <x:c r="F2269" s="18" t="n">
        <x:v>72</x:v>
      </x:c>
      <x:c r="G2269" s="18" t="n">
        <x:v>1432</x:v>
      </x:c>
      <x:c r="H2269" s="19" t="n">
        <x:v>19.88888888888889</x:v>
      </x:c>
      <x:c r="I2269" s="18" t="n">
        <x:f>ROUND(MIN(Model_Config_v3!$B$6,MAX(Q2269,R2269,S2269*Model_Config_v3!$B$4+T2269*Model_Config_v3!$B$5)),0)</x:f>
        <x:v>690</x:v>
      </x:c>
      <x:c r="J2269" s="18" t="n">
        <x:f>MIN(Model_Config_v3!$B$6,I2269+Model_Config_v3!$B$7)</x:f>
        <x:v>710</x:v>
      </x:c>
      <x:c r="K2269" s="20" t="n">
        <x:v>70.4</x:v>
      </x:c>
      <x:c r="L2269" t="str">
        <x:v>SANGAT KETAT</x:v>
      </x:c>
      <x:c r="M2269" t="str">
        <x:v>SEDANG+</x:v>
      </x:c>
      <x:c r="N2269" t="str">
        <x:v>ELITE-2</x:v>
      </x:c>
      <x:c r="O2269" t="str">
        <x:v>SAINTEK</x:v>
      </x:c>
      <x:c r="P2269" t="str">
        <x:v>KESEHAT/GIZI/KEPERAWATAN</x:v>
      </x:c>
      <x:c r="Q2269" s="18" t="n">
        <x:v>655</x:v>
      </x:c>
      <x:c r="R2269" s="18" t="n">
        <x:v>660</x:v>
      </x:c>
      <x:c r="S2269" s="18" t="n">
        <x:v>662.8471573694625</x:v>
      </x:c>
      <x:c r="T2269" s="18" t="n">
        <x:v>701</x:v>
      </x:c>
      <x:c r="U2269" s="18" t="n">
        <x:v>662.8471573694625</x:v>
      </x:c>
      <x:c r="V2269" s="20" t="n">
        <x:v>12</x:v>
      </x:c>
      <x:c r="W2269" s="20" t="n">
        <x:v>5</x:v>
      </x:c>
      <x:c r="X2269" s="20" t="n">
        <x:v>3</x:v>
      </x:c>
      <x:c r="Y2269" t="str">
        <x:v>Basis arsip 2025/2024</x:v>
      </x:c>
      <x:c r="Z2269" t="str">
        <x:v>https://snpmb.id/utbk-snbt/daya-tampung-snbt</x:v>
      </x:c>
      <x:c r="AA2269" t="str">
        <x:v>Tidak Ada</x:v>
      </x:c>
      <x:c r="AB2269" t="str">
        <x:v>Campus=90; Ratio=76.4; Prodi=55; RelDemand=48.1; Capacity=40.0</x:v>
      </x:c>
    </x:row>
    <x:row r="2270">
      <x:c r="A2270" t="n">
        <x:v>2267</x:v>
      </x:c>
      <x:c r="B2270" t="str">
        <x:v>PTN Akademik</x:v>
      </x:c>
      <x:c r="C2270" t="str">
        <x:v>UNIVERSITAS AIRLANGGA</x:v>
      </x:c>
      <x:c r="D2270" t="str">
        <x:v>AKUAKULTUR</x:v>
      </x:c>
      <x:c r="E2270" t="str">
        <x:v>Sarjana</x:v>
      </x:c>
      <x:c r="F2270" s="18" t="n">
        <x:v>64</x:v>
      </x:c>
      <x:c r="G2270" s="18" t="n">
        <x:v>230</x:v>
      </x:c>
      <x:c r="H2270" s="19" t="n">
        <x:v>3.59375</x:v>
      </x:c>
      <x:c r="I2270" s="18" t="n">
        <x:f>ROUND(MIN(Model_Config_v3!$B$6,MAX(Q2270,R2270,S2270*Model_Config_v3!$B$4+T2270*Model_Config_v3!$B$5)),0)</x:f>
        <x:v>655</x:v>
      </x:c>
      <x:c r="J2270" s="18" t="n">
        <x:f>MIN(Model_Config_v3!$B$6,I2270+Model_Config_v3!$B$7)</x:f>
        <x:v>675</x:v>
      </x:c>
      <x:c r="K2270" s="20" t="n">
        <x:v>53.2</x:v>
      </x:c>
      <x:c r="L2270" t="str">
        <x:v>MENENGAH</x:v>
      </x:c>
      <x:c r="M2270" t="str">
        <x:v>SEDANG+</x:v>
      </x:c>
      <x:c r="N2270" t="str">
        <x:v>ELITE-2</x:v>
      </x:c>
      <x:c r="O2270" t="str">
        <x:v>CAMPURAN</x:v>
      </x:c>
      <x:c r="P2270" t="str">
        <x:v>UMUM</x:v>
      </x:c>
      <x:c r="Q2270" s="18" t="n">
        <x:v>655</x:v>
      </x:c>
      <x:c r="R2270" s="18" t="n">
        <x:v>0</x:v>
      </x:c>
      <x:c r="S2270" s="18" t="n">
        <x:v>581.1102648237077</x:v>
      </x:c>
      <x:c r="T2270" s="18" t="n">
        <x:v>666</x:v>
      </x:c>
      <x:c r="U2270" s="18" t="n">
        <x:v>655</x:v>
      </x:c>
      <x:c r="V2270" s="20" t="n">
        <x:v>8.8</x:v>
      </x:c>
      <x:c r="W2270" s="20" t="n">
        <x:v>9.9</x:v>
      </x:c>
      <x:c r="X2270" s="20" t="n">
        <x:v>3.3</x:v>
      </x:c>
      <x:c r="Y2270" t="str">
        <x:v>Basis arsip 2025/2024</x:v>
      </x:c>
      <x:c r="Z2270" t="str">
        <x:v>https://snpmb.id/utbk-snbt/daya-tampung-snbt</x:v>
      </x:c>
      <x:c r="AA2270" t="str">
        <x:v>Tidak Ada</x:v>
      </x:c>
      <x:c r="AB2270" t="str">
        <x:v>Campus=90; Ratio=32.7; Prodi=40; RelDemand=8.7; Capacity=46.7</x:v>
      </x:c>
    </x:row>
    <x:row r="2271">
      <x:c r="A2271" t="n">
        <x:v>2268</x:v>
      </x:c>
      <x:c r="B2271" t="str">
        <x:v>PTN Akademik</x:v>
      </x:c>
      <x:c r="C2271" t="str">
        <x:v>UNIVERSITAS AIRLANGGA</x:v>
      </x:c>
      <x:c r="D2271" t="str">
        <x:v>KEBIDANAN</x:v>
      </x:c>
      <x:c r="E2271" t="str">
        <x:v>Sarjana</x:v>
      </x:c>
      <x:c r="F2271" s="18" t="n">
        <x:v>30</x:v>
      </x:c>
      <x:c r="G2271" s="18" t="n">
        <x:v>436</x:v>
      </x:c>
      <x:c r="H2271" s="19" t="n">
        <x:v>14.533333333333333</x:v>
      </x:c>
      <x:c r="I2271" s="18" t="n">
        <x:f>ROUND(MIN(Model_Config_v3!$B$6,MAX(Q2271,R2271,S2271*Model_Config_v3!$B$4+T2271*Model_Config_v3!$B$5)),0)</x:f>
        <x:v>685</x:v>
      </x:c>
      <x:c r="J2271" s="18" t="n">
        <x:f>MIN(Model_Config_v3!$B$6,I2271+Model_Config_v3!$B$7)</x:f>
        <x:v>705</x:v>
      </x:c>
      <x:c r="K2271" s="20" t="n">
        <x:v>70.6</x:v>
      </x:c>
      <x:c r="L2271" t="str">
        <x:v>SANGAT KETAT</x:v>
      </x:c>
      <x:c r="M2271" t="str">
        <x:v>SEDANG+</x:v>
      </x:c>
      <x:c r="N2271" t="str">
        <x:v>ELITE-2</x:v>
      </x:c>
      <x:c r="O2271" t="str">
        <x:v>SAINTEK</x:v>
      </x:c>
      <x:c r="P2271" t="str">
        <x:v>KESEHAT/GIZI/KEPERAWATAN</x:v>
      </x:c>
      <x:c r="Q2271" s="18" t="n">
        <x:v>655</x:v>
      </x:c>
      <x:c r="R2271" s="18" t="n">
        <x:v>660</x:v>
      </x:c>
      <x:c r="S2271" s="18" t="n">
        <x:v>647.8601758003816</x:v>
      </x:c>
      <x:c r="T2271" s="18" t="n">
        <x:v>701</x:v>
      </x:c>
      <x:c r="U2271" s="18" t="n">
        <x:v>655</x:v>
      </x:c>
      <x:c r="V2271" s="20" t="n">
        <x:v>12</x:v>
      </x:c>
      <x:c r="W2271" s="20" t="n">
        <x:v>5</x:v>
      </x:c>
      <x:c r="X2271" s="20" t="n">
        <x:v>3</x:v>
      </x:c>
      <x:c r="Y2271" t="str">
        <x:v>Basis arsip 2025/2024</x:v>
      </x:c>
      <x:c r="Z2271" t="str">
        <x:v>https://snpmb.id/utbk-snbt/daya-tampung-snbt</x:v>
      </x:c>
      <x:c r="AA2271" t="str">
        <x:v>Tidak Ada</x:v>
      </x:c>
      <x:c r="AB2271" t="str">
        <x:v>Campus=90; Ratio=68.4; Prodi=55; RelDemand=35.2; Capacity=75.0</x:v>
      </x:c>
    </x:row>
    <x:row r="2272">
      <x:c r="A2272" t="n">
        <x:v>2269</x:v>
      </x:c>
      <x:c r="B2272" t="str">
        <x:v>PTN Akademik</x:v>
      </x:c>
      <x:c r="C2272" t="str">
        <x:v>UNIVERSITAS AIRLANGGA</x:v>
      </x:c>
      <x:c r="D2272" t="str">
        <x:v>TEKNIK BIOMEDIS</x:v>
      </x:c>
      <x:c r="E2272" t="str">
        <x:v>Sarjana</x:v>
      </x:c>
      <x:c r="F2272" s="18" t="n">
        <x:v>27</x:v>
      </x:c>
      <x:c r="G2272" s="18" t="n">
        <x:v>492</x:v>
      </x:c>
      <x:c r="H2272" s="19" t="n">
        <x:v>18.22222222222222</x:v>
      </x:c>
      <x:c r="I2272" s="18" t="n">
        <x:f>ROUND(MIN(Model_Config_v3!$B$6,MAX(Q2272,R2272,S2272*Model_Config_v3!$B$4+T2272*Model_Config_v3!$B$5)),0)</x:f>
        <x:v>693</x:v>
      </x:c>
      <x:c r="J2272" s="18" t="n">
        <x:f>MIN(Model_Config_v3!$B$6,I2272+Model_Config_v3!$B$7)</x:f>
        <x:v>713</x:v>
      </x:c>
      <x:c r="K2272" s="20" t="n">
        <x:v>74.2</x:v>
      </x:c>
      <x:c r="L2272" t="str">
        <x:v>SANGAT KETAT</x:v>
      </x:c>
      <x:c r="M2272" t="str">
        <x:v>SEDANG+</x:v>
      </x:c>
      <x:c r="N2272" t="str">
        <x:v>ELITE-2</x:v>
      </x:c>
      <x:c r="O2272" t="str">
        <x:v>SAINTEK</x:v>
      </x:c>
      <x:c r="P2272" t="str">
        <x:v>TEKNIK/ARSITEKTUR/STATISTIKA/AKTUARIA</x:v>
      </x:c>
      <x:c r="Q2272" s="18" t="n">
        <x:v>655</x:v>
      </x:c>
      <x:c r="R2272" s="18" t="n">
        <x:v>670</x:v>
      </x:c>
      <x:c r="S2272" s="18" t="n">
        <x:v>658.666147246921</x:v>
      </x:c>
      <x:c r="T2272" s="18" t="n">
        <x:v>708</x:v>
      </x:c>
      <x:c r="U2272" s="18" t="n">
        <x:v>668.666147246921</x:v>
      </x:c>
      <x:c r="V2272" s="20" t="n">
        <x:v>12</x:v>
      </x:c>
      <x:c r="W2272" s="20" t="n">
        <x:v>5</x:v>
      </x:c>
      <x:c r="X2272" s="20" t="n">
        <x:v>3</x:v>
      </x:c>
      <x:c r="Y2272" t="str">
        <x:v>Basis arsip 2025/2024</x:v>
      </x:c>
      <x:c r="Z2272" t="str">
        <x:v>https://snpmb.id/utbk-snbt/daya-tampung-snbt</x:v>
      </x:c>
      <x:c r="AA2272" t="str">
        <x:v>Tidak Ada</x:v>
      </x:c>
      <x:c r="AB2272" t="str">
        <x:v>Campus=90; Ratio=74.2; Prodi=60; RelDemand=44.1; Capacity=77.5</x:v>
      </x:c>
    </x:row>
    <x:row r="2273">
      <x:c r="A2273" t="n">
        <x:v>2270</x:v>
      </x:c>
      <x:c r="B2273" t="str">
        <x:v>PTN Akademik</x:v>
      </x:c>
      <x:c r="C2273" t="str">
        <x:v>UNIVERSITAS AIRLANGGA</x:v>
      </x:c>
      <x:c r="D2273" t="str">
        <x:v>TEKNIK LINGKUNGAN</x:v>
      </x:c>
      <x:c r="E2273" t="str">
        <x:v>Sarjana</x:v>
      </x:c>
      <x:c r="F2273" s="18" t="n">
        <x:v>33</x:v>
      </x:c>
      <x:c r="G2273" s="18" t="n">
        <x:v>422</x:v>
      </x:c>
      <x:c r="H2273" s="19" t="n">
        <x:v>12.787878787878787</x:v>
      </x:c>
      <x:c r="I2273" s="18" t="n">
        <x:f>ROUND(MIN(Model_Config_v3!$B$6,MAX(Q2273,R2273,S2273*Model_Config_v3!$B$4+T2273*Model_Config_v3!$B$5)),0)</x:f>
        <x:v>683</x:v>
      </x:c>
      <x:c r="J2273" s="18" t="n">
        <x:f>MIN(Model_Config_v3!$B$6,I2273+Model_Config_v3!$B$7)</x:f>
        <x:v>703</x:v>
      </x:c>
      <x:c r="K2273" s="20" t="n">
        <x:v>70.1</x:v>
      </x:c>
      <x:c r="L2273" t="str">
        <x:v>SANGAT KETAT</x:v>
      </x:c>
      <x:c r="M2273" t="str">
        <x:v>SEDANG+</x:v>
      </x:c>
      <x:c r="N2273" t="str">
        <x:v>ELITE-2</x:v>
      </x:c>
      <x:c r="O2273" t="str">
        <x:v>SAINTEK</x:v>
      </x:c>
      <x:c r="P2273" t="str">
        <x:v>TEKNIK/ARSITEKTUR/STATISTIKA/AKTUARIA</x:v>
      </x:c>
      <x:c r="Q2273" s="18" t="n">
        <x:v>655</x:v>
      </x:c>
      <x:c r="R2273" s="18" t="n">
        <x:v>670</x:v>
      </x:c>
      <x:c r="S2273" s="18" t="n">
        <x:v>641.7478362192164</x:v>
      </x:c>
      <x:c r="T2273" s="18" t="n">
        <x:v>700</x:v>
      </x:c>
      <x:c r="U2273" s="18" t="n">
        <x:v>655</x:v>
      </x:c>
      <x:c r="V2273" s="20" t="n">
        <x:v>12</x:v>
      </x:c>
      <x:c r="W2273" s="20" t="n">
        <x:v>5</x:v>
      </x:c>
      <x:c r="X2273" s="20" t="n">
        <x:v>3</x:v>
      </x:c>
      <x:c r="Y2273" t="str">
        <x:v>Basis arsip 2025/2024</x:v>
      </x:c>
      <x:c r="Z2273" t="str">
        <x:v>https://snpmb.id/utbk-snbt/daya-tampung-snbt</x:v>
      </x:c>
      <x:c r="AA2273" t="str">
        <x:v>Tidak Ada</x:v>
      </x:c>
      <x:c r="AB2273" t="str">
        <x:v>Campus=90; Ratio=65.1; Prodi=60; RelDemand=30.9; Capacity=72.5</x:v>
      </x:c>
    </x:row>
    <x:row r="2274">
      <x:c r="A2274" t="n">
        <x:v>2271</x:v>
      </x:c>
      <x:c r="B2274" t="str">
        <x:v>PTN Akademik</x:v>
      </x:c>
      <x:c r="C2274" t="str">
        <x:v>UNIVERSITAS AIRLANGGA</x:v>
      </x:c>
      <x:c r="D2274" t="str">
        <x:v>SISTEM INFORMASI</x:v>
      </x:c>
      <x:c r="E2274" t="str">
        <x:v>Sarjana</x:v>
      </x:c>
      <x:c r="F2274" s="18" t="n">
        <x:v>36</x:v>
      </x:c>
      <x:c r="G2274" s="18" t="n">
        <x:v>864</x:v>
      </x:c>
      <x:c r="H2274" s="19" t="n">
        <x:v>24</x:v>
      </x:c>
      <x:c r="I2274" s="18" t="n">
        <x:f>ROUND(MIN(Model_Config_v3!$B$6,MAX(Q2274,R2274,S2274*Model_Config_v3!$B$4+T2274*Model_Config_v3!$B$5)),0)</x:f>
        <x:v>708</x:v>
      </x:c>
      <x:c r="J2274" s="18" t="n">
        <x:f>MIN(Model_Config_v3!$B$6,I2274+Model_Config_v3!$B$7)</x:f>
        <x:v>728</x:v>
      </x:c>
      <x:c r="K2274" s="20" t="n">
        <x:v>81.6</x:v>
      </x:c>
      <x:c r="L2274" t="str">
        <x:v>ELITE</x:v>
      </x:c>
      <x:c r="M2274" t="str">
        <x:v>SEDANG+</x:v>
      </x:c>
      <x:c r="N2274" t="str">
        <x:v>ELITE-2</x:v>
      </x:c>
      <x:c r="O2274" t="str">
        <x:v>CAMPURAN</x:v>
      </x:c>
      <x:c r="P2274" t="str">
        <x:v>KOMPUTER/INFORMATIKA</x:v>
      </x:c>
      <x:c r="Q2274" s="18" t="n">
        <x:v>655</x:v>
      </x:c>
      <x:c r="R2274" s="18" t="n">
        <x:v>695</x:v>
      </x:c>
      <x:c r="S2274" s="18" t="n">
        <x:v>671.8232365882766</x:v>
      </x:c>
      <x:c r="T2274" s="18" t="n">
        <x:v>723</x:v>
      </x:c>
      <x:c r="U2274" s="18" t="n">
        <x:v>696.8232365882766</x:v>
      </x:c>
      <x:c r="V2274" s="20" t="n">
        <x:v>8.8</x:v>
      </x:c>
      <x:c r="W2274" s="20" t="n">
        <x:v>9.9</x:v>
      </x:c>
      <x:c r="X2274" s="20" t="n">
        <x:v>3.3</x:v>
      </x:c>
      <x:c r="Y2274" t="str">
        <x:v>Basis arsip 2025/2024</x:v>
      </x:c>
      <x:c r="Z2274" t="str">
        <x:v>https://snpmb.id/utbk-snbt/daya-tampung-snbt</x:v>
      </x:c>
      <x:c r="AA2274" t="str">
        <x:v>Tidak Ada</x:v>
      </x:c>
      <x:c r="AB2274" t="str">
        <x:v>Campus=90; Ratio=81.2; Prodi=85; RelDemand=58.1; Capacity=70.0</x:v>
      </x:c>
    </x:row>
    <x:row r="2275">
      <x:c r="A2275" t="n">
        <x:v>2272</x:v>
      </x:c>
      <x:c r="B2275" t="str">
        <x:v>PTN Akademik</x:v>
      </x:c>
      <x:c r="C2275" t="str">
        <x:v>UNIVERSITAS AIRLANGGA</x:v>
      </x:c>
      <x:c r="D2275" t="str">
        <x:v>STATISTIKA</x:v>
      </x:c>
      <x:c r="E2275" t="str">
        <x:v>Sarjana</x:v>
      </x:c>
      <x:c r="F2275" s="18" t="n">
        <x:v>36</x:v>
      </x:c>
      <x:c r="G2275" s="18" t="n">
        <x:v>429</x:v>
      </x:c>
      <x:c r="H2275" s="19" t="n">
        <x:v>11.916666666666666</x:v>
      </x:c>
      <x:c r="I2275" s="18" t="n">
        <x:f>ROUND(MIN(Model_Config_v3!$B$6,MAX(Q2275,R2275,S2275*Model_Config_v3!$B$4+T2275*Model_Config_v3!$B$5)),0)</x:f>
        <x:v>680</x:v>
      </x:c>
      <x:c r="J2275" s="18" t="n">
        <x:f>MIN(Model_Config_v3!$B$6,I2275+Model_Config_v3!$B$7)</x:f>
        <x:v>700</x:v>
      </x:c>
      <x:c r="K2275" s="20" t="n">
        <x:v>69.2</x:v>
      </x:c>
      <x:c r="L2275" t="str">
        <x:v>SANGAT KETAT</x:v>
      </x:c>
      <x:c r="M2275" t="str">
        <x:v>SEDANG+</x:v>
      </x:c>
      <x:c r="N2275" t="str">
        <x:v>ELITE-2</x:v>
      </x:c>
      <x:c r="O2275" t="str">
        <x:v>SAINTEK</x:v>
      </x:c>
      <x:c r="P2275" t="str">
        <x:v>TEKNIK/ARSITEKTUR/STATISTIKA/AKTUARIA</x:v>
      </x:c>
      <x:c r="Q2275" s="18" t="n">
        <x:v>655</x:v>
      </x:c>
      <x:c r="R2275" s="18" t="n">
        <x:v>670</x:v>
      </x:c>
      <x:c r="S2275" s="18" t="n">
        <x:v>638.377027055918</x:v>
      </x:c>
      <x:c r="T2275" s="18" t="n">
        <x:v>698</x:v>
      </x:c>
      <x:c r="U2275" s="18" t="n">
        <x:v>655</x:v>
      </x:c>
      <x:c r="V2275" s="20" t="n">
        <x:v>12</x:v>
      </x:c>
      <x:c r="W2275" s="20" t="n">
        <x:v>5</x:v>
      </x:c>
      <x:c r="X2275" s="20" t="n">
        <x:v>3</x:v>
      </x:c>
      <x:c r="Y2275" t="str">
        <x:v>Basis arsip 2025/2024</x:v>
      </x:c>
      <x:c r="Z2275" t="str">
        <x:v>https://snpmb.id/utbk-snbt/daya-tampung-snbt</x:v>
      </x:c>
      <x:c r="AA2275" t="str">
        <x:v>Tidak Ada</x:v>
      </x:c>
      <x:c r="AB2275" t="str">
        <x:v>Campus=90; Ratio=63.3; Prodi=60; RelDemand=28.8; Capacity=70.0</x:v>
      </x:c>
    </x:row>
    <x:row r="2276">
      <x:c r="A2276" t="n">
        <x:v>2273</x:v>
      </x:c>
      <x:c r="B2276" t="str">
        <x:v>PTN Akademik</x:v>
      </x:c>
      <x:c r="C2276" t="str">
        <x:v>UNIVERSITAS AIRLANGGA</x:v>
      </x:c>
      <x:c r="D2276" t="str">
        <x:v>GIZI</x:v>
      </x:c>
      <x:c r="E2276" t="str">
        <x:v>Sarjana</x:v>
      </x:c>
      <x:c r="F2276" s="18" t="n">
        <x:v>48</x:v>
      </x:c>
      <x:c r="G2276" s="18" t="n">
        <x:v>954</x:v>
      </x:c>
      <x:c r="H2276" s="19" t="n">
        <x:v>19.875</x:v>
      </x:c>
      <x:c r="I2276" s="18" t="n">
        <x:f>ROUND(MIN(Model_Config_v3!$B$6,MAX(Q2276,R2276,S2276*Model_Config_v3!$B$4+T2276*Model_Config_v3!$B$5)),0)</x:f>
        <x:v>692</x:v>
      </x:c>
      <x:c r="J2276" s="18" t="n">
        <x:f>MIN(Model_Config_v3!$B$6,I2276+Model_Config_v3!$B$7)</x:f>
        <x:v>712</x:v>
      </x:c>
      <x:c r="K2276" s="20" t="n">
        <x:v>72.4</x:v>
      </x:c>
      <x:c r="L2276" t="str">
        <x:v>SANGAT KETAT</x:v>
      </x:c>
      <x:c r="M2276" t="str">
        <x:v>SEDANG+</x:v>
      </x:c>
      <x:c r="N2276" t="str">
        <x:v>ELITE-2</x:v>
      </x:c>
      <x:c r="O2276" t="str">
        <x:v>SAINTEK</x:v>
      </x:c>
      <x:c r="P2276" t="str">
        <x:v>KESEHAT/GIZI/KEPERAWATAN</x:v>
      </x:c>
      <x:c r="Q2276" s="18" t="n">
        <x:v>655</x:v>
      </x:c>
      <x:c r="R2276" s="18" t="n">
        <x:v>660</x:v>
      </x:c>
      <x:c r="S2276" s="18" t="n">
        <x:v>662.8137851061358</x:v>
      </x:c>
      <x:c r="T2276" s="18" t="n">
        <x:v>705</x:v>
      </x:c>
      <x:c r="U2276" s="18" t="n">
        <x:v>662.8137851061358</x:v>
      </x:c>
      <x:c r="V2276" s="20" t="n">
        <x:v>12</x:v>
      </x:c>
      <x:c r="W2276" s="20" t="n">
        <x:v>5</x:v>
      </x:c>
      <x:c r="X2276" s="20" t="n">
        <x:v>3</x:v>
      </x:c>
      <x:c r="Y2276" t="str">
        <x:v>Basis arsip 2025/2024</x:v>
      </x:c>
      <x:c r="Z2276" t="str">
        <x:v>https://snpmb.id/utbk-snbt/daya-tampung-snbt</x:v>
      </x:c>
      <x:c r="AA2276" t="str">
        <x:v>Tidak Ada</x:v>
      </x:c>
      <x:c r="AB2276" t="str">
        <x:v>Campus=90; Ratio=76.4; Prodi=55; RelDemand=48.1; Capacity=60.0</x:v>
      </x:c>
    </x:row>
    <x:row r="2277">
      <x:c r="A2277" t="n">
        <x:v>2274</x:v>
      </x:c>
      <x:c r="B2277" t="str">
        <x:v>PTN Akademik</x:v>
      </x:c>
      <x:c r="C2277" t="str">
        <x:v>UNIVERSITAS AIRLANGGA</x:v>
      </x:c>
      <x:c r="D2277" t="str">
        <x:v>KEDOKTERAN HEWAN (FIKKIA BANYUWANGI)</x:v>
      </x:c>
      <x:c r="E2277" t="str">
        <x:v>Sarjana</x:v>
      </x:c>
      <x:c r="F2277" s="18" t="n">
        <x:v>50</x:v>
      </x:c>
      <x:c r="G2277" s="18" t="n">
        <x:v>289</x:v>
      </x:c>
      <x:c r="H2277" s="19" t="n">
        <x:v>5.78</x:v>
      </x:c>
      <x:c r="I2277" s="18" t="n">
        <x:f>ROUND(MIN(Model_Config_v3!$B$6,MAX(Q2277,R2277,S2277*Model_Config_v3!$B$4+T2277*Model_Config_v3!$B$5)),0)</x:f>
        <x:v>670</x:v>
      </x:c>
      <x:c r="J2277" s="18" t="n">
        <x:f>MIN(Model_Config_v3!$B$6,I2277+Model_Config_v3!$B$7)</x:f>
        <x:v>690</x:v>
      </x:c>
      <x:c r="K2277" s="20" t="n">
        <x:v>61.9</x:v>
      </x:c>
      <x:c r="L2277" t="str">
        <x:v>KETAT</x:v>
      </x:c>
      <x:c r="M2277" t="str">
        <x:v>SEDANG+</x:v>
      </x:c>
      <x:c r="N2277" t="str">
        <x:v>ELITE-2</x:v>
      </x:c>
      <x:c r="O2277" t="str">
        <x:v>SAINTEK</x:v>
      </x:c>
      <x:c r="P2277" t="str">
        <x:v>VETERINER</x:v>
      </x:c>
      <x:c r="Q2277" s="18" t="n">
        <x:v>655</x:v>
      </x:c>
      <x:c r="R2277" s="18" t="n">
        <x:v>670</x:v>
      </x:c>
      <x:c r="S2277" s="18" t="n">
        <x:v>603.8120622262581</x:v>
      </x:c>
      <x:c r="T2277" s="18" t="n">
        <x:v>684</x:v>
      </x:c>
      <x:c r="U2277" s="18" t="n">
        <x:v>655</x:v>
      </x:c>
      <x:c r="V2277" s="20" t="n">
        <x:v>12</x:v>
      </x:c>
      <x:c r="W2277" s="20" t="n">
        <x:v>5</x:v>
      </x:c>
      <x:c r="X2277" s="20" t="n">
        <x:v>3</x:v>
      </x:c>
      <x:c r="Y2277" t="str">
        <x:v>Basis arsip 2025/2024</x:v>
      </x:c>
      <x:c r="Z2277" t="str">
        <x:v>https://snpmb.id/utbk-snbt/daya-tampung-snbt</x:v>
      </x:c>
      <x:c r="AA2277" t="str">
        <x:v>Tidak Ada</x:v>
      </x:c>
      <x:c r="AB2277" t="str">
        <x:v>Campus=90; Ratio=44.8; Prodi=60; RelDemand=14.0; Capacity=58.3</x:v>
      </x:c>
    </x:row>
    <x:row r="2278">
      <x:c r="A2278" t="n">
        <x:v>2275</x:v>
      </x:c>
      <x:c r="B2278" t="str">
        <x:v>PTN Akademik</x:v>
      </x:c>
      <x:c r="C2278" t="str">
        <x:v>UNIVERSITAS AIRLANGGA</x:v>
      </x:c>
      <x:c r="D2278" t="str">
        <x:v>KESEHATAN MASYARAKAT (FIKKIA BANYUWANGI)</x:v>
      </x:c>
      <x:c r="E2278" t="str">
        <x:v>Sarjana</x:v>
      </x:c>
      <x:c r="F2278" s="18" t="n">
        <x:v>50</x:v>
      </x:c>
      <x:c r="G2278" s="18" t="n">
        <x:v>307</x:v>
      </x:c>
      <x:c r="H2278" s="19" t="n">
        <x:v>6.14</x:v>
      </x:c>
      <x:c r="I2278" s="18" t="n">
        <x:f>ROUND(MIN(Model_Config_v3!$B$6,MAX(Q2278,R2278,S2278*Model_Config_v3!$B$4+T2278*Model_Config_v3!$B$5)),0)</x:f>
        <x:v>660</x:v>
      </x:c>
      <x:c r="J2278" s="18" t="n">
        <x:f>MIN(Model_Config_v3!$B$6,I2278+Model_Config_v3!$B$7)</x:f>
        <x:v>680</x:v>
      </x:c>
      <x:c r="K2278" s="20" t="n">
        <x:v>61.4</x:v>
      </x:c>
      <x:c r="L2278" t="str">
        <x:v>KETAT</x:v>
      </x:c>
      <x:c r="M2278" t="str">
        <x:v>SEDANG+</x:v>
      </x:c>
      <x:c r="N2278" t="str">
        <x:v>ELITE-2</x:v>
      </x:c>
      <x:c r="O2278" t="str">
        <x:v>SAINTEK</x:v>
      </x:c>
      <x:c r="P2278" t="str">
        <x:v>KESEHAT/GIZI/KEPERAWATAN</x:v>
      </x:c>
      <x:c r="Q2278" s="18" t="n">
        <x:v>655</x:v>
      </x:c>
      <x:c r="R2278" s="18" t="n">
        <x:v>660</x:v>
      </x:c>
      <x:c r="S2278" s="18" t="n">
        <x:v>606.6985208255285</x:v>
      </x:c>
      <x:c r="T2278" s="18" t="n">
        <x:v>683</x:v>
      </x:c>
      <x:c r="U2278" s="18" t="n">
        <x:v>655</x:v>
      </x:c>
      <x:c r="V2278" s="20" t="n">
        <x:v>12</x:v>
      </x:c>
      <x:c r="W2278" s="20" t="n">
        <x:v>5</x:v>
      </x:c>
      <x:c r="X2278" s="20" t="n">
        <x:v>3</x:v>
      </x:c>
      <x:c r="Y2278" t="str">
        <x:v>Basis arsip 2025/2024</x:v>
      </x:c>
      <x:c r="Z2278" t="str">
        <x:v>https://snpmb.id/utbk-snbt/daya-tampung-snbt</x:v>
      </x:c>
      <x:c r="AA2278" t="str">
        <x:v>Tidak Ada</x:v>
      </x:c>
      <x:c r="AB2278" t="str">
        <x:v>Campus=90; Ratio=46.4; Prodi=55; RelDemand=14.9; Capacity=58.3</x:v>
      </x:c>
    </x:row>
    <x:row r="2279">
      <x:c r="A2279" t="n">
        <x:v>2276</x:v>
      </x:c>
      <x:c r="B2279" t="str">
        <x:v>PTN Akademik</x:v>
      </x:c>
      <x:c r="C2279" t="str">
        <x:v>UNIVERSITAS AIRLANGGA</x:v>
      </x:c>
      <x:c r="D2279" t="str">
        <x:v>AKUAKULTUR (FIKKIA BANYUWANGI)</x:v>
      </x:c>
      <x:c r="E2279" t="str">
        <x:v>Sarjana</x:v>
      </x:c>
      <x:c r="F2279" s="18" t="n">
        <x:v>38</x:v>
      </x:c>
      <x:c r="G2279" s="18" t="n">
        <x:v>68</x:v>
      </x:c>
      <x:c r="H2279" s="19" t="n">
        <x:v>1.7894736842105263</x:v>
      </x:c>
      <x:c r="I2279" s="18" t="n">
        <x:f>ROUND(MIN(Model_Config_v3!$B$6,MAX(Q2279,R2279,S2279*Model_Config_v3!$B$4+T2279*Model_Config_v3!$B$5)),0)</x:f>
        <x:v>655</x:v>
      </x:c>
      <x:c r="J2279" s="18" t="n">
        <x:f>MIN(Model_Config_v3!$B$6,I2279+Model_Config_v3!$B$7)</x:f>
        <x:v>675</x:v>
      </x:c>
      <x:c r="K2279" s="20" t="n">
        <x:v>50.5</x:v>
      </x:c>
      <x:c r="L2279" t="str">
        <x:v>MENENGAH</x:v>
      </x:c>
      <x:c r="M2279" t="str">
        <x:v>SEDANG+</x:v>
      </x:c>
      <x:c r="N2279" t="str">
        <x:v>ELITE-2</x:v>
      </x:c>
      <x:c r="O2279" t="str">
        <x:v>CAMPURAN</x:v>
      </x:c>
      <x:c r="P2279" t="str">
        <x:v>UMUM</x:v>
      </x:c>
      <x:c r="Q2279" s="18" t="n">
        <x:v>655</x:v>
      </x:c>
      <x:c r="R2279" s="18" t="n">
        <x:v>0</x:v>
      </x:c>
      <x:c r="S2279" s="18" t="n">
        <x:v>547.7997847698368</x:v>
      </x:c>
      <x:c r="T2279" s="18" t="n">
        <x:v>661</x:v>
      </x:c>
      <x:c r="U2279" s="18" t="n">
        <x:v>655</x:v>
      </x:c>
      <x:c r="V2279" s="20" t="n">
        <x:v>8.8</x:v>
      </x:c>
      <x:c r="W2279" s="20" t="n">
        <x:v>9.9</x:v>
      </x:c>
      <x:c r="X2279" s="20" t="n">
        <x:v>3.3</x:v>
      </x:c>
      <x:c r="Y2279" t="str">
        <x:v>Basis arsip 2025/2024</x:v>
      </x:c>
      <x:c r="Z2279" t="str">
        <x:v>https://snpmb.id/utbk-snbt/daya-tampung-snbt</x:v>
      </x:c>
      <x:c r="AA2279" t="str">
        <x:v>Tidak Ada</x:v>
      </x:c>
      <x:c r="AB2279" t="str">
        <x:v>Campus=90; Ratio=14.9; Prodi=40; RelDemand=4.3; Capacity=68.3</x:v>
      </x:c>
    </x:row>
    <x:row r="2280">
      <x:c r="A2280" t="n">
        <x:v>2277</x:v>
      </x:c>
      <x:c r="B2280" t="str">
        <x:v>PTN Akademik</x:v>
      </x:c>
      <x:c r="C2280" t="str">
        <x:v>UNIVERSITAS AIRLANGGA</x:v>
      </x:c>
      <x:c r="D2280" t="str">
        <x:v>TEKNOLOGI HASIL PERIKANAN</x:v>
      </x:c>
      <x:c r="E2280" t="str">
        <x:v>Sarjana</x:v>
      </x:c>
      <x:c r="F2280" s="18" t="n">
        <x:v>56</x:v>
      </x:c>
      <x:c r="G2280" s="18" t="n">
        <x:v>218</x:v>
      </x:c>
      <x:c r="H2280" s="19" t="n">
        <x:v>3.892857142857143</x:v>
      </x:c>
      <x:c r="I2280" s="18" t="n">
        <x:f>ROUND(MIN(Model_Config_v3!$B$6,MAX(Q2280,R2280,S2280*Model_Config_v3!$B$4+T2280*Model_Config_v3!$B$5)),0)</x:f>
        <x:v>655</x:v>
      </x:c>
      <x:c r="J2280" s="18" t="n">
        <x:f>MIN(Model_Config_v3!$B$6,I2280+Model_Config_v3!$B$7)</x:f>
        <x:v>675</x:v>
      </x:c>
      <x:c r="K2280" s="20" t="n">
        <x:v>54.5</x:v>
      </x:c>
      <x:c r="L2280" t="str">
        <x:v>MENENGAH</x:v>
      </x:c>
      <x:c r="M2280" t="str">
        <x:v>SEDANG+</x:v>
      </x:c>
      <x:c r="N2280" t="str">
        <x:v>ELITE-2</x:v>
      </x:c>
      <x:c r="O2280" t="str">
        <x:v>SAINTEK</x:v>
      </x:c>
      <x:c r="P2280" t="str">
        <x:v>UMUM</x:v>
      </x:c>
      <x:c r="Q2280" s="18" t="n">
        <x:v>655</x:v>
      </x:c>
      <x:c r="R2280" s="18" t="n">
        <x:v>0</x:v>
      </x:c>
      <x:c r="S2280" s="18" t="n">
        <x:v>584.9295313258244</x:v>
      </x:c>
      <x:c r="T2280" s="18" t="n">
        <x:v>669</x:v>
      </x:c>
      <x:c r="U2280" s="18" t="n">
        <x:v>655</x:v>
      </x:c>
      <x:c r="V2280" s="20" t="n">
        <x:v>12</x:v>
      </x:c>
      <x:c r="W2280" s="20" t="n">
        <x:v>5</x:v>
      </x:c>
      <x:c r="X2280" s="20" t="n">
        <x:v>3</x:v>
      </x:c>
      <x:c r="Y2280" t="str">
        <x:v>Basis arsip 2025/2024</x:v>
      </x:c>
      <x:c r="Z2280" t="str">
        <x:v>https://snpmb.id/utbk-snbt/daya-tampung-snbt</x:v>
      </x:c>
      <x:c r="AA2280" t="str">
        <x:v>Tidak Ada</x:v>
      </x:c>
      <x:c r="AB2280" t="str">
        <x:v>Campus=90; Ratio=34.7; Prodi=40; RelDemand=9.4; Capacity=53.3</x:v>
      </x:c>
    </x:row>
    <x:row r="2281">
      <x:c r="A2281" t="n">
        <x:v>2278</x:v>
      </x:c>
      <x:c r="B2281" t="str">
        <x:v>PTN Akademik</x:v>
      </x:c>
      <x:c r="C2281" t="str">
        <x:v>UNIVERSITAS AIRLANGGA</x:v>
      </x:c>
      <x:c r="D2281" t="str">
        <x:v>TEKNIK INDUSTRI</x:v>
      </x:c>
      <x:c r="E2281" t="str">
        <x:v>Sarjana</x:v>
      </x:c>
      <x:c r="F2281" s="18" t="n">
        <x:v>36</x:v>
      </x:c>
      <x:c r="G2281" s="18" t="n">
        <x:v>632</x:v>
      </x:c>
      <x:c r="H2281" s="19" t="n">
        <x:v>17.555555555555557</x:v>
      </x:c>
      <x:c r="I2281" s="18" t="n">
        <x:f>ROUND(MIN(Model_Config_v3!$B$6,MAX(Q2281,R2281,S2281*Model_Config_v3!$B$4+T2281*Model_Config_v3!$B$5)),0)</x:f>
        <x:v>691</x:v>
      </x:c>
      <x:c r="J2281" s="18" t="n">
        <x:f>MIN(Model_Config_v3!$B$6,I2281+Model_Config_v3!$B$7)</x:f>
        <x:v>711</x:v>
      </x:c>
      <x:c r="K2281" s="20" t="n">
        <x:v>73.1</x:v>
      </x:c>
      <x:c r="L2281" t="str">
        <x:v>SANGAT KETAT</x:v>
      </x:c>
      <x:c r="M2281" t="str">
        <x:v>SEDANG+</x:v>
      </x:c>
      <x:c r="N2281" t="str">
        <x:v>ELITE-2</x:v>
      </x:c>
      <x:c r="O2281" t="str">
        <x:v>SAINTEK</x:v>
      </x:c>
      <x:c r="P2281" t="str">
        <x:v>TEKNIK/ARSITEKTUR/STATISTIKA/AKTUARIA</x:v>
      </x:c>
      <x:c r="Q2281" s="18" t="n">
        <x:v>655</x:v>
      </x:c>
      <x:c r="R2281" s="18" t="n">
        <x:v>670</x:v>
      </x:c>
      <x:c r="S2281" s="18" t="n">
        <x:v>656.8856035266607</x:v>
      </x:c>
      <x:c r="T2281" s="18" t="n">
        <x:v>706</x:v>
      </x:c>
      <x:c r="U2281" s="18" t="n">
        <x:v>666.8856035266607</x:v>
      </x:c>
      <x:c r="V2281" s="20" t="n">
        <x:v>12</x:v>
      </x:c>
      <x:c r="W2281" s="20" t="n">
        <x:v>5</x:v>
      </x:c>
      <x:c r="X2281" s="20" t="n">
        <x:v>3</x:v>
      </x:c>
      <x:c r="Y2281" t="str">
        <x:v>Basis arsip 2025/2024</x:v>
      </x:c>
      <x:c r="Z2281" t="str">
        <x:v>https://snpmb.id/utbk-snbt/daya-tampung-snbt</x:v>
      </x:c>
      <x:c r="AA2281" t="str">
        <x:v>Tidak Ada</x:v>
      </x:c>
      <x:c r="AB2281" t="str">
        <x:v>Campus=90; Ratio=73.2; Prodi=60; RelDemand=42.5; Capacity=70.0</x:v>
      </x:c>
    </x:row>
    <x:row r="2282">
      <x:c r="A2282" t="n">
        <x:v>2279</x:v>
      </x:c>
      <x:c r="B2282" t="str">
        <x:v>PTN Akademik</x:v>
      </x:c>
      <x:c r="C2282" t="str">
        <x:v>UNIVERSITAS AIRLANGGA</x:v>
      </x:c>
      <x:c r="D2282" t="str">
        <x:v>TEKNIK ELEKTRO</x:v>
      </x:c>
      <x:c r="E2282" t="str">
        <x:v>Sarjana</x:v>
      </x:c>
      <x:c r="F2282" s="18" t="n">
        <x:v>30</x:v>
      </x:c>
      <x:c r="G2282" s="18" t="n">
        <x:v>349</x:v>
      </x:c>
      <x:c r="H2282" s="19" t="n">
        <x:v>11.633333333333333</x:v>
      </x:c>
      <x:c r="I2282" s="18" t="n">
        <x:f>ROUND(MIN(Model_Config_v3!$B$6,MAX(Q2282,R2282,S2282*Model_Config_v3!$B$4+T2282*Model_Config_v3!$B$5)),0)</x:f>
        <x:v>680</x:v>
      </x:c>
      <x:c r="J2282" s="18" t="n">
        <x:f>MIN(Model_Config_v3!$B$6,I2282+Model_Config_v3!$B$7)</x:f>
        <x:v>700</x:v>
      </x:c>
      <x:c r="K2282" s="20" t="n">
        <x:v>69.5</x:v>
      </x:c>
      <x:c r="L2282" t="str">
        <x:v>SANGAT KETAT</x:v>
      </x:c>
      <x:c r="M2282" t="str">
        <x:v>SEDANG+</x:v>
      </x:c>
      <x:c r="N2282" t="str">
        <x:v>ELITE-2</x:v>
      </x:c>
      <x:c r="O2282" t="str">
        <x:v>SAINTEK</x:v>
      </x:c>
      <x:c r="P2282" t="str">
        <x:v>TEKNIK/ARSITEKTUR/STATISTIKA/AKTUARIA</x:v>
      </x:c>
      <x:c r="Q2282" s="18" t="n">
        <x:v>655</x:v>
      </x:c>
      <x:c r="R2282" s="18" t="n">
        <x:v>670</x:v>
      </x:c>
      <x:c r="S2282" s="18" t="n">
        <x:v>637.2274589463469</x:v>
      </x:c>
      <x:c r="T2282" s="18" t="n">
        <x:v>699</x:v>
      </x:c>
      <x:c r="U2282" s="18" t="n">
        <x:v>655</x:v>
      </x:c>
      <x:c r="V2282" s="20" t="n">
        <x:v>12</x:v>
      </x:c>
      <x:c r="W2282" s="20" t="n">
        <x:v>5</x:v>
      </x:c>
      <x:c r="X2282" s="20" t="n">
        <x:v>3</x:v>
      </x:c>
      <x:c r="Y2282" t="str">
        <x:v>Basis arsip 2025/2024</x:v>
      </x:c>
      <x:c r="Z2282" t="str">
        <x:v>https://snpmb.id/utbk-snbt/daya-tampung-snbt</x:v>
      </x:c>
      <x:c r="AA2282" t="str">
        <x:v>Tidak Ada</x:v>
      </x:c>
      <x:c r="AB2282" t="str">
        <x:v>Campus=90; Ratio=62.7; Prodi=60; RelDemand=28.2; Capacity=75.0</x:v>
      </x:c>
    </x:row>
    <x:row r="2283">
      <x:c r="A2283" t="n">
        <x:v>2280</x:v>
      </x:c>
      <x:c r="B2283" t="str">
        <x:v>PTN Akademik</x:v>
      </x:c>
      <x:c r="C2283" t="str">
        <x:v>UNIVERSITAS AIRLANGGA</x:v>
      </x:c>
      <x:c r="D2283" t="str">
        <x:v>REKAYASA NANOTEKNOLOGI</x:v>
      </x:c>
      <x:c r="E2283" t="str">
        <x:v>Sarjana</x:v>
      </x:c>
      <x:c r="F2283" s="18" t="n">
        <x:v>30</x:v>
      </x:c>
      <x:c r="G2283" s="18" t="n">
        <x:v>218</x:v>
      </x:c>
      <x:c r="H2283" s="19" t="n">
        <x:v>7.266666666666667</x:v>
      </x:c>
      <x:c r="I2283" s="18" t="n">
        <x:f>ROUND(MIN(Model_Config_v3!$B$6,MAX(Q2283,R2283,S2283*Model_Config_v3!$B$4+T2283*Model_Config_v3!$B$5)),0)</x:f>
        <x:v>663</x:v>
      </x:c>
      <x:c r="J2283" s="18" t="n">
        <x:f>MIN(Model_Config_v3!$B$6,I2283+Model_Config_v3!$B$7)</x:f>
        <x:v>683</x:v>
      </x:c>
      <x:c r="K2283" s="20" t="n">
        <x:v>61.4</x:v>
      </x:c>
      <x:c r="L2283" t="str">
        <x:v>KETAT</x:v>
      </x:c>
      <x:c r="M2283" t="str">
        <x:v>SEDANG+</x:v>
      </x:c>
      <x:c r="N2283" t="str">
        <x:v>ELITE-2</x:v>
      </x:c>
      <x:c r="O2283" t="str">
        <x:v>SAINTEK</x:v>
      </x:c>
      <x:c r="P2283" t="str">
        <x:v>UMUM</x:v>
      </x:c>
      <x:c r="Q2283" s="18" t="n">
        <x:v>655</x:v>
      </x:c>
      <x:c r="R2283" s="18" t="n">
        <x:v>0</x:v>
      </x:c>
      <x:c r="S2283" s="18" t="n">
        <x:v>614.7468762773436</x:v>
      </x:c>
      <x:c r="T2283" s="18" t="n">
        <x:v>683</x:v>
      </x:c>
      <x:c r="U2283" s="18" t="n">
        <x:v>655</x:v>
      </x:c>
      <x:c r="V2283" s="20" t="n">
        <x:v>12</x:v>
      </x:c>
      <x:c r="W2283" s="20" t="n">
        <x:v>5</x:v>
      </x:c>
      <x:c r="X2283" s="20" t="n">
        <x:v>3</x:v>
      </x:c>
      <x:c r="Y2283" t="str">
        <x:v>Basis arsip 2025/2024</x:v>
      </x:c>
      <x:c r="Z2283" t="str">
        <x:v>https://snpmb.id/utbk-snbt/daya-tampung-snbt</x:v>
      </x:c>
      <x:c r="AA2283" t="str">
        <x:v>Tidak Ada</x:v>
      </x:c>
      <x:c r="AB2283" t="str">
        <x:v>Campus=90; Ratio=50.7; Prodi=40; RelDemand=17.6; Capacity=75.0</x:v>
      </x:c>
    </x:row>
    <x:row r="2284">
      <x:c r="A2284" t="n">
        <x:v>2281</x:v>
      </x:c>
      <x:c r="B2284" t="str">
        <x:v>PTN Akademik</x:v>
      </x:c>
      <x:c r="C2284" t="str">
        <x:v>UNIVERSITAS AIRLANGGA</x:v>
      </x:c>
      <x:c r="D2284" t="str">
        <x:v>TEKNOLOGI SAINS DATA</x:v>
      </x:c>
      <x:c r="E2284" t="str">
        <x:v>Sarjana</x:v>
      </x:c>
      <x:c r="F2284" s="18" t="n">
        <x:v>36</x:v>
      </x:c>
      <x:c r="G2284" s="18" t="n">
        <x:v>447</x:v>
      </x:c>
      <x:c r="H2284" s="19" t="n">
        <x:v>12.416666666666666</x:v>
      </x:c>
      <x:c r="I2284" s="18" t="n">
        <x:f>ROUND(MIN(Model_Config_v3!$B$6,MAX(Q2284,R2284,S2284*Model_Config_v3!$B$4+T2284*Model_Config_v3!$B$5)),0)</x:f>
        <x:v>676</x:v>
      </x:c>
      <x:c r="J2284" s="18" t="n">
        <x:f>MIN(Model_Config_v3!$B$6,I2284+Model_Config_v3!$B$7)</x:f>
        <x:v>696</x:v>
      </x:c>
      <x:c r="K2284" s="20" t="n">
        <x:v>65.6</x:v>
      </x:c>
      <x:c r="L2284" t="str">
        <x:v>SANGAT KETAT</x:v>
      </x:c>
      <x:c r="M2284" t="str">
        <x:v>SEDANG+</x:v>
      </x:c>
      <x:c r="N2284" t="str">
        <x:v>ELITE-2</x:v>
      </x:c>
      <x:c r="O2284" t="str">
        <x:v>SAINTEK</x:v>
      </x:c>
      <x:c r="P2284" t="str">
        <x:v>UMUM</x:v>
      </x:c>
      <x:c r="Q2284" s="18" t="n">
        <x:v>655</x:v>
      </x:c>
      <x:c r="R2284" s="18" t="n">
        <x:v>0</x:v>
      </x:c>
      <x:c r="S2284" s="18" t="n">
        <x:v>640.3405524601114</x:v>
      </x:c>
      <x:c r="T2284" s="18" t="n">
        <x:v>691</x:v>
      </x:c>
      <x:c r="U2284" s="18" t="n">
        <x:v>655</x:v>
      </x:c>
      <x:c r="V2284" s="20" t="n">
        <x:v>12</x:v>
      </x:c>
      <x:c r="W2284" s="20" t="n">
        <x:v>5</x:v>
      </x:c>
      <x:c r="X2284" s="20" t="n">
        <x:v>3</x:v>
      </x:c>
      <x:c r="Y2284" t="str">
        <x:v>Basis arsip 2025/2024</x:v>
      </x:c>
      <x:c r="Z2284" t="str">
        <x:v>https://snpmb.id/utbk-snbt/daya-tampung-snbt</x:v>
      </x:c>
      <x:c r="AA2284" t="str">
        <x:v>Tidak Ada</x:v>
      </x:c>
      <x:c r="AB2284" t="str">
        <x:v>Campus=90; Ratio=64.4; Prodi=40; RelDemand=30.0; Capacity=70.0</x:v>
      </x:c>
    </x:row>
    <x:row r="2285">
      <x:c r="A2285" t="n">
        <x:v>2282</x:v>
      </x:c>
      <x:c r="B2285" t="str">
        <x:v>PTN Akademik</x:v>
      </x:c>
      <x:c r="C2285" t="str">
        <x:v>UNIVERSITAS AIRLANGGA</x:v>
      </x:c>
      <x:c r="D2285" t="str">
        <x:v>TEKNIK ROBOTIKA DAN KECERDASAN BUATAN</x:v>
      </x:c>
      <x:c r="E2285" t="str">
        <x:v>Sarjana</x:v>
      </x:c>
      <x:c r="F2285" s="18" t="n">
        <x:v>30</x:v>
      </x:c>
      <x:c r="G2285" s="18" t="n">
        <x:v>378</x:v>
      </x:c>
      <x:c r="H2285" s="19" t="n">
        <x:v>12.6</x:v>
      </x:c>
      <x:c r="I2285" s="18" t="n">
        <x:f>ROUND(MIN(Model_Config_v3!$B$6,MAX(Q2285,R2285,S2285*Model_Config_v3!$B$4+T2285*Model_Config_v3!$B$5)),0)</x:f>
        <x:v>682</x:v>
      </x:c>
      <x:c r="J2285" s="18" t="n">
        <x:f>MIN(Model_Config_v3!$B$6,I2285+Model_Config_v3!$B$7)</x:f>
        <x:v>702</x:v>
      </x:c>
      <x:c r="K2285" s="20" t="n">
        <x:v>70.2</x:v>
      </x:c>
      <x:c r="L2285" t="str">
        <x:v>SANGAT KETAT</x:v>
      </x:c>
      <x:c r="M2285" t="str">
        <x:v>SEDANG+</x:v>
      </x:c>
      <x:c r="N2285" t="str">
        <x:v>ELITE-2</x:v>
      </x:c>
      <x:c r="O2285" t="str">
        <x:v>SAINTEK</x:v>
      </x:c>
      <x:c r="P2285" t="str">
        <x:v>TEKNIK/ARSITEKTUR/STATISTIKA/AKTUARIA</x:v>
      </x:c>
      <x:c r="Q2285" s="18" t="n">
        <x:v>655</x:v>
      </x:c>
      <x:c r="R2285" s="18" t="n">
        <x:v>670</x:v>
      </x:c>
      <x:c r="S2285" s="18" t="n">
        <x:v>641.0407599629319</x:v>
      </x:c>
      <x:c r="T2285" s="18" t="n">
        <x:v>700</x:v>
      </x:c>
      <x:c r="U2285" s="18" t="n">
        <x:v>655</x:v>
      </x:c>
      <x:c r="V2285" s="20" t="n">
        <x:v>12</x:v>
      </x:c>
      <x:c r="W2285" s="20" t="n">
        <x:v>5</x:v>
      </x:c>
      <x:c r="X2285" s="20" t="n">
        <x:v>3</x:v>
      </x:c>
      <x:c r="Y2285" t="str">
        <x:v>Basis arsip 2025/2024</x:v>
      </x:c>
      <x:c r="Z2285" t="str">
        <x:v>https://snpmb.id/utbk-snbt/daya-tampung-snbt</x:v>
      </x:c>
      <x:c r="AA2285" t="str">
        <x:v>Tidak Ada</x:v>
      </x:c>
      <x:c r="AB2285" t="str">
        <x:v>Campus=90; Ratio=64.8; Prodi=60; RelDemand=30.5; Capacity=75.0</x:v>
      </x:c>
    </x:row>
    <x:row r="2286">
      <x:c r="A2286" t="n">
        <x:v>2283</x:v>
      </x:c>
      <x:c r="B2286" t="str">
        <x:v>PTN Akademik</x:v>
      </x:c>
      <x:c r="C2286" t="str">
        <x:v>UNIVERSITAS AIRLANGGA</x:v>
      </x:c>
      <x:c r="D2286" t="str">
        <x:v>ILMU HUKUM</x:v>
      </x:c>
      <x:c r="E2286" t="str">
        <x:v>Sarjana</x:v>
      </x:c>
      <x:c r="F2286" s="18" t="n">
        <x:v>111</x:v>
      </x:c>
      <x:c r="G2286" s="18" t="n">
        <x:v>2103</x:v>
      </x:c>
      <x:c r="H2286" s="19" t="n">
        <x:v>18.945945945945947</x:v>
      </x:c>
      <x:c r="I2286" s="18" t="n">
        <x:f>ROUND(MIN(Model_Config_v3!$B$6,MAX(Q2286,R2286,S2286*Model_Config_v3!$B$4+T2286*Model_Config_v3!$B$5)),0)</x:f>
        <x:v>686</x:v>
      </x:c>
      <x:c r="J2286" s="18" t="n">
        <x:f>MIN(Model_Config_v3!$B$6,I2286+Model_Config_v3!$B$7)</x:f>
        <x:v>706</x:v>
      </x:c>
      <x:c r="K2286" s="20" t="n">
        <x:v>68.6</x:v>
      </x:c>
      <x:c r="L2286" t="str">
        <x:v>SANGAT KETAT</x:v>
      </x:c>
      <x:c r="M2286" t="str">
        <x:v>SEDANG+</x:v>
      </x:c>
      <x:c r="N2286" t="str">
        <x:v>ELITE-2</x:v>
      </x:c>
      <x:c r="O2286" t="str">
        <x:v>SOSHUM</x:v>
      </x:c>
      <x:c r="P2286" t="str">
        <x:v>HUKUM</x:v>
      </x:c>
      <x:c r="Q2286" s="18" t="n">
        <x:v>655</x:v>
      </x:c>
      <x:c r="R2286" s="18" t="n">
        <x:v>675</x:v>
      </x:c>
      <x:c r="S2286" s="18" t="n">
        <x:v>660.526792328963</x:v>
      </x:c>
      <x:c r="T2286" s="18" t="n">
        <x:v>697</x:v>
      </x:c>
      <x:c r="U2286" s="18" t="n">
        <x:v>675.526792328963</x:v>
      </x:c>
      <x:c r="V2286" s="20" t="n">
        <x:v>4.4</x:v>
      </x:c>
      <x:c r="W2286" s="20" t="n">
        <x:v>14.3</x:v>
      </x:c>
      <x:c r="X2286" s="20" t="n">
        <x:v>3.3</x:v>
      </x:c>
      <x:c r="Y2286" t="str">
        <x:v>Basis arsip 2025/2024</x:v>
      </x:c>
      <x:c r="Z2286" t="str">
        <x:v>https://snpmb.id/utbk-snbt/daya-tampung-snbt</x:v>
      </x:c>
      <x:c r="AA2286" t="str">
        <x:v>Tidak Ada</x:v>
      </x:c>
      <x:c r="AB2286" t="str">
        <x:v>Campus=90; Ratio=75.2; Prodi=65; RelDemand=45.8; Capacity=7.5</x:v>
      </x:c>
    </x:row>
    <x:row r="2287">
      <x:c r="A2287" t="n">
        <x:v>2284</x:v>
      </x:c>
      <x:c r="B2287" t="str">
        <x:v>PTN Akademik</x:v>
      </x:c>
      <x:c r="C2287" t="str">
        <x:v>UNIVERSITAS AIRLANGGA</x:v>
      </x:c>
      <x:c r="D2287" t="str">
        <x:v>ADMINISTRASI PUBLIK</x:v>
      </x:c>
      <x:c r="E2287" t="str">
        <x:v>Sarjana</x:v>
      </x:c>
      <x:c r="F2287" s="18" t="n">
        <x:v>42</x:v>
      </x:c>
      <x:c r="G2287" s="18" t="n">
        <x:v>895</x:v>
      </x:c>
      <x:c r="H2287" s="19" t="n">
        <x:v>21.30952380952381</x:v>
      </x:c>
      <x:c r="I2287" s="18" t="n">
        <x:f>ROUND(MIN(Model_Config_v3!$B$6,MAX(Q2287,R2287,S2287*Model_Config_v3!$B$4+T2287*Model_Config_v3!$B$5)),0)</x:f>
        <x:v>691</x:v>
      </x:c>
      <x:c r="J2287" s="18" t="n">
        <x:f>MIN(Model_Config_v3!$B$6,I2287+Model_Config_v3!$B$7)</x:f>
        <x:v>711</x:v>
      </x:c>
      <x:c r="K2287" s="20" t="n">
        <x:v>70.7</x:v>
      </x:c>
      <x:c r="L2287" t="str">
        <x:v>SANGAT KETAT</x:v>
      </x:c>
      <x:c r="M2287" t="str">
        <x:v>SEDANG+</x:v>
      </x:c>
      <x:c r="N2287" t="str">
        <x:v>ELITE-2</x:v>
      </x:c>
      <x:c r="O2287" t="str">
        <x:v>SOSHUM</x:v>
      </x:c>
      <x:c r="P2287" t="str">
        <x:v>UMUM</x:v>
      </x:c>
      <x:c r="Q2287" s="18" t="n">
        <x:v>655</x:v>
      </x:c>
      <x:c r="R2287" s="18" t="n">
        <x:v>0</x:v>
      </x:c>
      <x:c r="S2287" s="18" t="n">
        <x:v>666.1431119409813</x:v>
      </x:c>
      <x:c r="T2287" s="18" t="n">
        <x:v>701</x:v>
      </x:c>
      <x:c r="U2287" s="18" t="n">
        <x:v>666.1431119409813</x:v>
      </x:c>
      <x:c r="V2287" s="20" t="n">
        <x:v>4.4</x:v>
      </x:c>
      <x:c r="W2287" s="20" t="n">
        <x:v>14.3</x:v>
      </x:c>
      <x:c r="X2287" s="20" t="n">
        <x:v>3.3</x:v>
      </x:c>
      <x:c r="Y2287" t="str">
        <x:v>Basis arsip 2025/2024</x:v>
      </x:c>
      <x:c r="Z2287" t="str">
        <x:v>https://snpmb.id/utbk-snbt/daya-tampung-snbt</x:v>
      </x:c>
      <x:c r="AA2287" t="str">
        <x:v>Tidak Ada</x:v>
      </x:c>
      <x:c r="AB2287" t="str">
        <x:v>Campus=90; Ratio=78.2; Prodi=40; RelDemand=51.6; Capacity=65.0</x:v>
      </x:c>
    </x:row>
    <x:row r="2288">
      <x:c r="A2288" t="n">
        <x:v>2285</x:v>
      </x:c>
      <x:c r="B2288" t="str">
        <x:v>PTN Akademik</x:v>
      </x:c>
      <x:c r="C2288" t="str">
        <x:v>UNIVERSITAS AIRLANGGA</x:v>
      </x:c>
      <x:c r="D2288" t="str">
        <x:v>PSIKOLOGI</x:v>
      </x:c>
      <x:c r="E2288" t="str">
        <x:v>Sarjana</x:v>
      </x:c>
      <x:c r="F2288" s="18" t="n">
        <x:v>81</x:v>
      </x:c>
      <x:c r="G2288" s="18" t="n">
        <x:v>2078</x:v>
      </x:c>
      <x:c r="H2288" s="19" t="n">
        <x:v>25.65432098765432</x:v>
      </x:c>
      <x:c r="I2288" s="18" t="n">
        <x:f>ROUND(MIN(Model_Config_v3!$B$6,MAX(Q2288,R2288,S2288*Model_Config_v3!$B$4+T2288*Model_Config_v3!$B$5)),0)</x:f>
        <x:v>703</x:v>
      </x:c>
      <x:c r="J2288" s="18" t="n">
        <x:f>MIN(Model_Config_v3!$B$6,I2288+Model_Config_v3!$B$7)</x:f>
        <x:v>723</x:v>
      </x:c>
      <x:c r="K2288" s="20" t="n">
        <x:v>77.7</x:v>
      </x:c>
      <x:c r="L2288" t="str">
        <x:v>ELITE</x:v>
      </x:c>
      <x:c r="M2288" t="str">
        <x:v>SEDANG+</x:v>
      </x:c>
      <x:c r="N2288" t="str">
        <x:v>ELITE-2</x:v>
      </x:c>
      <x:c r="O2288" t="str">
        <x:v>SOSHUM</x:v>
      </x:c>
      <x:c r="P2288" t="str">
        <x:v>PSIKOLOGI</x:v>
      </x:c>
      <x:c r="Q2288" s="18" t="n">
        <x:v>655</x:v>
      </x:c>
      <x:c r="R2288" s="18" t="n">
        <x:v>690</x:v>
      </x:c>
      <x:c r="S2288" s="18" t="n">
        <x:v>675.007657677676</x:v>
      </x:c>
      <x:c r="T2288" s="18" t="n">
        <x:v>715</x:v>
      </x:c>
      <x:c r="U2288" s="18" t="n">
        <x:v>700.007657677676</x:v>
      </x:c>
      <x:c r="V2288" s="20" t="n">
        <x:v>4.4</x:v>
      </x:c>
      <x:c r="W2288" s="20" t="n">
        <x:v>14.3</x:v>
      </x:c>
      <x:c r="X2288" s="20" t="n">
        <x:v>3.3</x:v>
      </x:c>
      <x:c r="Y2288" t="str">
        <x:v>Basis arsip 2025/2024</x:v>
      </x:c>
      <x:c r="Z2288" t="str">
        <x:v>https://snpmb.id/utbk-snbt/daya-tampung-snbt</x:v>
      </x:c>
      <x:c r="AA2288" t="str">
        <x:v>Tidak Ada</x:v>
      </x:c>
      <x:c r="AB2288" t="str">
        <x:v>Campus=90; Ratio=82.9; Prodi=80; RelDemand=62.1; Capacity=32.5</x:v>
      </x:c>
    </x:row>
    <x:row r="2289">
      <x:c r="A2289" t="n">
        <x:v>2286</x:v>
      </x:c>
      <x:c r="B2289" t="str">
        <x:v>PTN Akademik</x:v>
      </x:c>
      <x:c r="C2289" t="str">
        <x:v>UNIVERSITAS AIRLANGGA</x:v>
      </x:c>
      <x:c r="D2289" t="str">
        <x:v>SOSIOLOGI</x:v>
      </x:c>
      <x:c r="E2289" t="str">
        <x:v>Sarjana</x:v>
      </x:c>
      <x:c r="F2289" s="18" t="n">
        <x:v>39</x:v>
      </x:c>
      <x:c r="G2289" s="18" t="n">
        <x:v>296</x:v>
      </x:c>
      <x:c r="H2289" s="19" t="n">
        <x:v>7.589743589743589</x:v>
      </x:c>
      <x:c r="I2289" s="18" t="n">
        <x:f>ROUND(MIN(Model_Config_v3!$B$6,MAX(Q2289,R2289,S2289*Model_Config_v3!$B$4+T2289*Model_Config_v3!$B$5)),0)</x:f>
        <x:v>662</x:v>
      </x:c>
      <x:c r="J2289" s="18" t="n">
        <x:f>MIN(Model_Config_v3!$B$6,I2289+Model_Config_v3!$B$7)</x:f>
        <x:v>682</x:v>
      </x:c>
      <x:c r="K2289" s="20" t="n">
        <x:v>61</x:v>
      </x:c>
      <x:c r="L2289" t="str">
        <x:v>KETAT</x:v>
      </x:c>
      <x:c r="M2289" t="str">
        <x:v>SEDANG+</x:v>
      </x:c>
      <x:c r="N2289" t="str">
        <x:v>ELITE-2</x:v>
      </x:c>
      <x:c r="O2289" t="str">
        <x:v>SOSHUM</x:v>
      </x:c>
      <x:c r="P2289" t="str">
        <x:v>UMUM</x:v>
      </x:c>
      <x:c r="Q2289" s="18" t="n">
        <x:v>655</x:v>
      </x:c>
      <x:c r="R2289" s="18" t="n">
        <x:v>0</x:v>
      </x:c>
      <x:c r="S2289" s="18" t="n">
        <x:v>616.8249814435683</x:v>
      </x:c>
      <x:c r="T2289" s="18" t="n">
        <x:v>682</x:v>
      </x:c>
      <x:c r="U2289" s="18" t="n">
        <x:v>655</x:v>
      </x:c>
      <x:c r="V2289" s="20" t="n">
        <x:v>4.4</x:v>
      </x:c>
      <x:c r="W2289" s="20" t="n">
        <x:v>14.3</x:v>
      </x:c>
      <x:c r="X2289" s="20" t="n">
        <x:v>3.3</x:v>
      </x:c>
      <x:c r="Y2289" t="str">
        <x:v>Basis arsip 2025/2024</x:v>
      </x:c>
      <x:c r="Z2289" t="str">
        <x:v>https://snpmb.id/utbk-snbt/daya-tampung-snbt</x:v>
      </x:c>
      <x:c r="AA2289" t="str">
        <x:v>Tidak Ada</x:v>
      </x:c>
      <x:c r="AB2289" t="str">
        <x:v>Campus=90; Ratio=51.8; Prodi=40; RelDemand=18.4; Capacity=67.5</x:v>
      </x:c>
    </x:row>
    <x:row r="2290">
      <x:c r="A2290" t="n">
        <x:v>2287</x:v>
      </x:c>
      <x:c r="B2290" t="str">
        <x:v>PTN Akademik</x:v>
      </x:c>
      <x:c r="C2290" t="str">
        <x:v>UNIVERSITAS AIRLANGGA</x:v>
      </x:c>
      <x:c r="D2290" t="str">
        <x:v>ILMU POLITIK</x:v>
      </x:c>
      <x:c r="E2290" t="str">
        <x:v>Sarjana</x:v>
      </x:c>
      <x:c r="F2290" s="18" t="n">
        <x:v>33</x:v>
      </x:c>
      <x:c r="G2290" s="18" t="n">
        <x:v>380</x:v>
      </x:c>
      <x:c r="H2290" s="19" t="n">
        <x:v>11.515151515151516</x:v>
      </x:c>
      <x:c r="I2290" s="18" t="n">
        <x:f>ROUND(MIN(Model_Config_v3!$B$6,MAX(Q2290,R2290,S2290*Model_Config_v3!$B$4+T2290*Model_Config_v3!$B$5)),0)</x:f>
        <x:v>674</x:v>
      </x:c>
      <x:c r="J2290" s="18" t="n">
        <x:f>MIN(Model_Config_v3!$B$6,I2290+Model_Config_v3!$B$7)</x:f>
        <x:v>694</x:v>
      </x:c>
      <x:c r="K2290" s="20" t="n">
        <x:v>65.2</x:v>
      </x:c>
      <x:c r="L2290" t="str">
        <x:v>SANGAT KETAT</x:v>
      </x:c>
      <x:c r="M2290" t="str">
        <x:v>SEDANG+</x:v>
      </x:c>
      <x:c r="N2290" t="str">
        <x:v>ELITE-2</x:v>
      </x:c>
      <x:c r="O2290" t="str">
        <x:v>SOSHUM</x:v>
      </x:c>
      <x:c r="P2290" t="str">
        <x:v>UMUM</x:v>
      </x:c>
      <x:c r="Q2290" s="18" t="n">
        <x:v>655</x:v>
      </x:c>
      <x:c r="R2290" s="18" t="n">
        <x:v>0</x:v>
      </x:c>
      <x:c r="S2290" s="18" t="n">
        <x:v>636.7396622412815</x:v>
      </x:c>
      <x:c r="T2290" s="18" t="n">
        <x:v>690</x:v>
      </x:c>
      <x:c r="U2290" s="18" t="n">
        <x:v>655</x:v>
      </x:c>
      <x:c r="V2290" s="20" t="n">
        <x:v>4.4</x:v>
      </x:c>
      <x:c r="W2290" s="20" t="n">
        <x:v>14.3</x:v>
      </x:c>
      <x:c r="X2290" s="20" t="n">
        <x:v>3.3</x:v>
      </x:c>
      <x:c r="Y2290" t="str">
        <x:v>Basis arsip 2025/2024</x:v>
      </x:c>
      <x:c r="Z2290" t="str">
        <x:v>https://snpmb.id/utbk-snbt/daya-tampung-snbt</x:v>
      </x:c>
      <x:c r="AA2290" t="str">
        <x:v>Tidak Ada</x:v>
      </x:c>
      <x:c r="AB2290" t="str">
        <x:v>Campus=90; Ratio=62.5; Prodi=40; RelDemand=27.9; Capacity=72.5</x:v>
      </x:c>
    </x:row>
    <x:row r="2291">
      <x:c r="A2291" t="n">
        <x:v>2288</x:v>
      </x:c>
      <x:c r="B2291" t="str">
        <x:v>PTN Akademik</x:v>
      </x:c>
      <x:c r="C2291" t="str">
        <x:v>UNIVERSITAS AIRLANGGA</x:v>
      </x:c>
      <x:c r="D2291" t="str">
        <x:v>ILMU HUBUNGAN INTERNASIONAL</x:v>
      </x:c>
      <x:c r="E2291" t="str">
        <x:v>Sarjana</x:v>
      </x:c>
      <x:c r="F2291" s="18" t="n">
        <x:v>45</x:v>
      </x:c>
      <x:c r="G2291" s="18" t="n">
        <x:v>1000</x:v>
      </x:c>
      <x:c r="H2291" s="19" t="n">
        <x:v>22.22222222222222</x:v>
      </x:c>
      <x:c r="I2291" s="18" t="n">
        <x:f>ROUND(MIN(Model_Config_v3!$B$6,MAX(Q2291,R2291,S2291*Model_Config_v3!$B$4+T2291*Model_Config_v3!$B$5)),0)</x:f>
        <x:v>692</x:v>
      </x:c>
      <x:c r="J2291" s="18" t="n">
        <x:f>MIN(Model_Config_v3!$B$6,I2291+Model_Config_v3!$B$7)</x:f>
        <x:v>712</x:v>
      </x:c>
      <x:c r="K2291" s="20" t="n">
        <x:v>70.9</x:v>
      </x:c>
      <x:c r="L2291" t="str">
        <x:v>SANGAT KETAT</x:v>
      </x:c>
      <x:c r="M2291" t="str">
        <x:v>SEDANG+</x:v>
      </x:c>
      <x:c r="N2291" t="str">
        <x:v>ELITE-2</x:v>
      </x:c>
      <x:c r="O2291" t="str">
        <x:v>SOSHUM</x:v>
      </x:c>
      <x:c r="P2291" t="str">
        <x:v>UMUM</x:v>
      </x:c>
      <x:c r="Q2291" s="18" t="n">
        <x:v>655</x:v>
      </x:c>
      <x:c r="R2291" s="18" t="n">
        <x:v>0</x:v>
      </x:c>
      <x:c r="S2291" s="18" t="n">
        <x:v>668.1466234847121</x:v>
      </x:c>
      <x:c r="T2291" s="18" t="n">
        <x:v>702</x:v>
      </x:c>
      <x:c r="U2291" s="18" t="n">
        <x:v>668.1466234847121</x:v>
      </x:c>
      <x:c r="V2291" s="20" t="n">
        <x:v>4.4</x:v>
      </x:c>
      <x:c r="W2291" s="20" t="n">
        <x:v>14.3</x:v>
      </x:c>
      <x:c r="X2291" s="20" t="n">
        <x:v>3.3</x:v>
      </x:c>
      <x:c r="Y2291" t="str">
        <x:v>Basis arsip 2025/2024</x:v>
      </x:c>
      <x:c r="Z2291" t="str">
        <x:v>https://snpmb.id/utbk-snbt/daya-tampung-snbt</x:v>
      </x:c>
      <x:c r="AA2291" t="str">
        <x:v>Tidak Ada</x:v>
      </x:c>
      <x:c r="AB2291" t="str">
        <x:v>Campus=90; Ratio=79.3; Prodi=40; RelDemand=53.8; Capacity=62.5</x:v>
      </x:c>
    </x:row>
    <x:row r="2292">
      <x:c r="A2292" t="n">
        <x:v>2289</x:v>
      </x:c>
      <x:c r="B2292" t="str">
        <x:v>PTN Akademik</x:v>
      </x:c>
      <x:c r="C2292" t="str">
        <x:v>UNIVERSITAS AIRLANGGA</x:v>
      </x:c>
      <x:c r="D2292" t="str">
        <x:v>ANTROPOLOGI</x:v>
      </x:c>
      <x:c r="E2292" t="str">
        <x:v>Sarjana</x:v>
      </x:c>
      <x:c r="F2292" s="18" t="n">
        <x:v>40</x:v>
      </x:c>
      <x:c r="G2292" s="18" t="n">
        <x:v>321</x:v>
      </x:c>
      <x:c r="H2292" s="19" t="n">
        <x:v>8.025</x:v>
      </x:c>
      <x:c r="I2292" s="18" t="n">
        <x:f>ROUND(MIN(Model_Config_v3!$B$6,MAX(Q2292,R2292,S2292*Model_Config_v3!$B$4+T2292*Model_Config_v3!$B$5)),0)</x:f>
        <x:v>664</x:v>
      </x:c>
      <x:c r="J2292" s="18" t="n">
        <x:f>MIN(Model_Config_v3!$B$6,I2292+Model_Config_v3!$B$7)</x:f>
        <x:v>684</x:v>
      </x:c>
      <x:c r="K2292" s="20" t="n">
        <x:v>61.4</x:v>
      </x:c>
      <x:c r="L2292" t="str">
        <x:v>KETAT</x:v>
      </x:c>
      <x:c r="M2292" t="str">
        <x:v>SEDANG+</x:v>
      </x:c>
      <x:c r="N2292" t="str">
        <x:v>ELITE-2</x:v>
      </x:c>
      <x:c r="O2292" t="str">
        <x:v>SOSHUM</x:v>
      </x:c>
      <x:c r="P2292" t="str">
        <x:v>UMUM</x:v>
      </x:c>
      <x:c r="Q2292" s="18" t="n">
        <x:v>655</x:v>
      </x:c>
      <x:c r="R2292" s="18" t="n">
        <x:v>0</x:v>
      </x:c>
      <x:c r="S2292" s="18" t="n">
        <x:v>619.4889545184601</x:v>
      </x:c>
      <x:c r="T2292" s="18" t="n">
        <x:v>683</x:v>
      </x:c>
      <x:c r="U2292" s="18" t="n">
        <x:v>655</x:v>
      </x:c>
      <x:c r="V2292" s="20" t="n">
        <x:v>4.4</x:v>
      </x:c>
      <x:c r="W2292" s="20" t="n">
        <x:v>14.3</x:v>
      </x:c>
      <x:c r="X2292" s="20" t="n">
        <x:v>3.3</x:v>
      </x:c>
      <x:c r="Y2292" t="str">
        <x:v>Basis arsip 2025/2024</x:v>
      </x:c>
      <x:c r="Z2292" t="str">
        <x:v>https://snpmb.id/utbk-snbt/daya-tampung-snbt</x:v>
      </x:c>
      <x:c r="AA2292" t="str">
        <x:v>Tidak Ada</x:v>
      </x:c>
      <x:c r="AB2292" t="str">
        <x:v>Campus=90; Ratio=53.2; Prodi=40; RelDemand=19.4; Capacity=66.7</x:v>
      </x:c>
    </x:row>
    <x:row r="2293">
      <x:c r="A2293" t="n">
        <x:v>2290</x:v>
      </x:c>
      <x:c r="B2293" t="str">
        <x:v>PTN Akademik</x:v>
      </x:c>
      <x:c r="C2293" t="str">
        <x:v>UNIVERSITAS AIRLANGGA</x:v>
      </x:c>
      <x:c r="D2293" t="str">
        <x:v>EKONOMI PEMBANGUNAN</x:v>
      </x:c>
      <x:c r="E2293" t="str">
        <x:v>Sarjana</x:v>
      </x:c>
      <x:c r="F2293" s="18" t="n">
        <x:v>66</x:v>
      </x:c>
      <x:c r="G2293" s="18" t="n">
        <x:v>736</x:v>
      </x:c>
      <x:c r="H2293" s="19" t="n">
        <x:v>11.151515151515152</x:v>
      </x:c>
      <x:c r="I2293" s="18" t="n">
        <x:f>ROUND(MIN(Model_Config_v3!$B$6,MAX(Q2293,R2293,S2293*Model_Config_v3!$B$4+T2293*Model_Config_v3!$B$5)),0)</x:f>
        <x:v>680</x:v>
      </x:c>
      <x:c r="J2293" s="18" t="n">
        <x:f>MIN(Model_Config_v3!$B$6,I2293+Model_Config_v3!$B$7)</x:f>
        <x:v>700</x:v>
      </x:c>
      <x:c r="K2293" s="20" t="n">
        <x:v>67.1</x:v>
      </x:c>
      <x:c r="L2293" t="str">
        <x:v>SANGAT KETAT</x:v>
      </x:c>
      <x:c r="M2293" t="str">
        <x:v>SEDANG+</x:v>
      </x:c>
      <x:c r="N2293" t="str">
        <x:v>ELITE-2</x:v>
      </x:c>
      <x:c r="O2293" t="str">
        <x:v>SOSHUM</x:v>
      </x:c>
      <x:c r="P2293" t="str">
        <x:v>BISNIS/EKONOMI/AKUNTANSI</x:v>
      </x:c>
      <x:c r="Q2293" s="18" t="n">
        <x:v>655</x:v>
      </x:c>
      <x:c r="R2293" s="18" t="n">
        <x:v>680</x:v>
      </x:c>
      <x:c r="S2293" s="18" t="n">
        <x:v>635.2067266675193</x:v>
      </x:c>
      <x:c r="T2293" s="18" t="n">
        <x:v>694</x:v>
      </x:c>
      <x:c r="U2293" s="18" t="n">
        <x:v>655</x:v>
      </x:c>
      <x:c r="V2293" s="20" t="n">
        <x:v>4.4</x:v>
      </x:c>
      <x:c r="W2293" s="20" t="n">
        <x:v>14.3</x:v>
      </x:c>
      <x:c r="X2293" s="20" t="n">
        <x:v>3.3</x:v>
      </x:c>
      <x:c r="Y2293" t="str">
        <x:v>Basis arsip 2025/2024</x:v>
      </x:c>
      <x:c r="Z2293" t="str">
        <x:v>https://snpmb.id/utbk-snbt/daya-tampung-snbt</x:v>
      </x:c>
      <x:c r="AA2293" t="str">
        <x:v>Tidak Ada</x:v>
      </x:c>
      <x:c r="AB2293" t="str">
        <x:v>Campus=90; Ratio=61.6; Prodi=65; RelDemand=27.0; Capacity=45.0</x:v>
      </x:c>
    </x:row>
    <x:row r="2294">
      <x:c r="A2294" t="n">
        <x:v>2291</x:v>
      </x:c>
      <x:c r="B2294" t="str">
        <x:v>PTN Akademik</x:v>
      </x:c>
      <x:c r="C2294" t="str">
        <x:v>UNIVERSITAS AIRLANGGA</x:v>
      </x:c>
      <x:c r="D2294" t="str">
        <x:v>MANAJEMEN</x:v>
      </x:c>
      <x:c r="E2294" t="str">
        <x:v>Sarjana</x:v>
      </x:c>
      <x:c r="F2294" s="18" t="n">
        <x:v>90</x:v>
      </x:c>
      <x:c r="G2294" s="18" t="n">
        <x:v>1899</x:v>
      </x:c>
      <x:c r="H2294" s="19" t="n">
        <x:v>21.1</x:v>
      </x:c>
      <x:c r="I2294" s="18" t="n">
        <x:f>ROUND(MIN(Model_Config_v3!$B$6,MAX(Q2294,R2294,S2294*Model_Config_v3!$B$4+T2294*Model_Config_v3!$B$5)),0)</x:f>
        <x:v>692</x:v>
      </x:c>
      <x:c r="J2294" s="18" t="n">
        <x:f>MIN(Model_Config_v3!$B$6,I2294+Model_Config_v3!$B$7)</x:f>
        <x:v>712</x:v>
      </x:c>
      <x:c r="K2294" s="20" t="n">
        <x:v>71.6</x:v>
      </x:c>
      <x:c r="L2294" t="str">
        <x:v>SANGAT KETAT</x:v>
      </x:c>
      <x:c r="M2294" t="str">
        <x:v>SEDANG+</x:v>
      </x:c>
      <x:c r="N2294" t="str">
        <x:v>ELITE-2</x:v>
      </x:c>
      <x:c r="O2294" t="str">
        <x:v>SOSHUM</x:v>
      </x:c>
      <x:c r="P2294" t="str">
        <x:v>BISNIS/EKONOMI/AKUNTANSI</x:v>
      </x:c>
      <x:c r="Q2294" s="18" t="n">
        <x:v>655</x:v>
      </x:c>
      <x:c r="R2294" s="18" t="n">
        <x:v>680</x:v>
      </x:c>
      <x:c r="S2294" s="18" t="n">
        <x:v>665.6710700827462</x:v>
      </x:c>
      <x:c r="T2294" s="18" t="n">
        <x:v>703</x:v>
      </x:c>
      <x:c r="U2294" s="18" t="n">
        <x:v>680.6710700827462</x:v>
      </x:c>
      <x:c r="V2294" s="20" t="n">
        <x:v>4.4</x:v>
      </x:c>
      <x:c r="W2294" s="20" t="n">
        <x:v>14.3</x:v>
      </x:c>
      <x:c r="X2294" s="20" t="n">
        <x:v>3.3</x:v>
      </x:c>
      <x:c r="Y2294" t="str">
        <x:v>Basis arsip 2025/2024</x:v>
      </x:c>
      <x:c r="Z2294" t="str">
        <x:v>https://snpmb.id/utbk-snbt/daya-tampung-snbt</x:v>
      </x:c>
      <x:c r="AA2294" t="str">
        <x:v>Tidak Ada</x:v>
      </x:c>
      <x:c r="AB2294" t="str">
        <x:v>Campus=90; Ratio=77.9; Prodi=65; RelDemand=51.1; Capacity=25.0</x:v>
      </x:c>
    </x:row>
    <x:row r="2295">
      <x:c r="A2295" t="n">
        <x:v>2292</x:v>
      </x:c>
      <x:c r="B2295" t="str">
        <x:v>PTN Akademik</x:v>
      </x:c>
      <x:c r="C2295" t="str">
        <x:v>UNIVERSITAS AIRLANGGA</x:v>
      </x:c>
      <x:c r="D2295" t="str">
        <x:v>AKUNTANSI</x:v>
      </x:c>
      <x:c r="E2295" t="str">
        <x:v>Sarjana</x:v>
      </x:c>
      <x:c r="F2295" s="18" t="n">
        <x:v>75</x:v>
      </x:c>
      <x:c r="G2295" s="18" t="n">
        <x:v>1682</x:v>
      </x:c>
      <x:c r="H2295" s="19" t="n">
        <x:v>22.426666666666666</x:v>
      </x:c>
      <x:c r="I2295" s="18" t="n">
        <x:f>ROUND(MIN(Model_Config_v3!$B$6,MAX(Q2295,R2295,S2295*Model_Config_v3!$B$4+T2295*Model_Config_v3!$B$5)),0)</x:f>
        <x:v>695</x:v>
      </x:c>
      <x:c r="J2295" s="18" t="n">
        <x:f>MIN(Model_Config_v3!$B$6,I2295+Model_Config_v3!$B$7)</x:f>
        <x:v>715</x:v>
      </x:c>
      <x:c r="K2295" s="20" t="n">
        <x:v>73.6</x:v>
      </x:c>
      <x:c r="L2295" t="str">
        <x:v>SANGAT KETAT</x:v>
      </x:c>
      <x:c r="M2295" t="str">
        <x:v>SEDANG+</x:v>
      </x:c>
      <x:c r="N2295" t="str">
        <x:v>ELITE-2</x:v>
      </x:c>
      <x:c r="O2295" t="str">
        <x:v>SOSHUM</x:v>
      </x:c>
      <x:c r="P2295" t="str">
        <x:v>BISNIS/EKONOMI/AKUNTANSI</x:v>
      </x:c>
      <x:c r="Q2295" s="18" t="n">
        <x:v>655</x:v>
      </x:c>
      <x:c r="R2295" s="18" t="n">
        <x:v>680</x:v>
      </x:c>
      <x:c r="S2295" s="18" t="n">
        <x:v>668.5841200877212</x:v>
      </x:c>
      <x:c r="T2295" s="18" t="n">
        <x:v>707</x:v>
      </x:c>
      <x:c r="U2295" s="18" t="n">
        <x:v>668.5841200877212</x:v>
      </x:c>
      <x:c r="V2295" s="20" t="n">
        <x:v>4.4</x:v>
      </x:c>
      <x:c r="W2295" s="20" t="n">
        <x:v>14.3</x:v>
      </x:c>
      <x:c r="X2295" s="20" t="n">
        <x:v>3.3</x:v>
      </x:c>
      <x:c r="Y2295" t="str">
        <x:v>Basis arsip 2025/2024</x:v>
      </x:c>
      <x:c r="Z2295" t="str">
        <x:v>https://snpmb.id/utbk-snbt/daya-tampung-snbt</x:v>
      </x:c>
      <x:c r="AA2295" t="str">
        <x:v>Tidak Ada</x:v>
      </x:c>
      <x:c r="AB2295" t="str">
        <x:v>Campus=90; Ratio=79.5; Prodi=65; RelDemand=54.3; Capacity=37.5</x:v>
      </x:c>
    </x:row>
    <x:row r="2296">
      <x:c r="A2296" t="n">
        <x:v>2293</x:v>
      </x:c>
      <x:c r="B2296" t="str">
        <x:v>PTN Akademik</x:v>
      </x:c>
      <x:c r="C2296" t="str">
        <x:v>UNIVERSITAS AIRLANGGA</x:v>
      </x:c>
      <x:c r="D2296" t="str">
        <x:v>ILMU KOMUNIKASI</x:v>
      </x:c>
      <x:c r="E2296" t="str">
        <x:v>Sarjana</x:v>
      </x:c>
      <x:c r="F2296" s="18" t="n">
        <x:v>45</x:v>
      </x:c>
      <x:c r="G2296" s="18" t="n">
        <x:v>1189</x:v>
      </x:c>
      <x:c r="H2296" s="19" t="n">
        <x:v>26.42222222222222</x:v>
      </x:c>
      <x:c r="I2296" s="18" t="n">
        <x:f>ROUND(MIN(Model_Config_v3!$B$6,MAX(Q2296,R2296,S2296*Model_Config_v3!$B$4+T2296*Model_Config_v3!$B$5)),0)</x:f>
        <x:v>697</x:v>
      </x:c>
      <x:c r="J2296" s="18" t="n">
        <x:f>MIN(Model_Config_v3!$B$6,I2296+Model_Config_v3!$B$7)</x:f>
        <x:v>717</x:v>
      </x:c>
      <x:c r="K2296" s="20" t="n">
        <x:v>73.1</x:v>
      </x:c>
      <x:c r="L2296" t="str">
        <x:v>SANGAT KETAT</x:v>
      </x:c>
      <x:c r="M2296" t="str">
        <x:v>SEDANG+</x:v>
      </x:c>
      <x:c r="N2296" t="str">
        <x:v>ELITE-2</x:v>
      </x:c>
      <x:c r="O2296" t="str">
        <x:v>SOSHUM</x:v>
      </x:c>
      <x:c r="P2296" t="str">
        <x:v>UMUM</x:v>
      </x:c>
      <x:c r="Q2296" s="18" t="n">
        <x:v>655</x:v>
      </x:c>
      <x:c r="R2296" s="18" t="n">
        <x:v>0</x:v>
      </x:c>
      <x:c r="S2296" s="18" t="n">
        <x:v>676.4166274927683</x:v>
      </x:c>
      <x:c r="T2296" s="18" t="n">
        <x:v>706</x:v>
      </x:c>
      <x:c r="U2296" s="18" t="n">
        <x:v>676.4166274927683</x:v>
      </x:c>
      <x:c r="V2296" s="20" t="n">
        <x:v>4.4</x:v>
      </x:c>
      <x:c r="W2296" s="20" t="n">
        <x:v>14.3</x:v>
      </x:c>
      <x:c r="X2296" s="20" t="n">
        <x:v>3.3</x:v>
      </x:c>
      <x:c r="Y2296" t="str">
        <x:v>Basis arsip 2025/2024</x:v>
      </x:c>
      <x:c r="Z2296" t="str">
        <x:v>https://snpmb.id/utbk-snbt/daya-tampung-snbt</x:v>
      </x:c>
      <x:c r="AA2296" t="str">
        <x:v>Tidak Ada</x:v>
      </x:c>
      <x:c r="AB2296" t="str">
        <x:v>Campus=90; Ratio=83.7; Prodi=40; RelDemand=63.9; Capacity=62.5</x:v>
      </x:c>
    </x:row>
    <x:row r="2297">
      <x:c r="A2297" t="n">
        <x:v>2294</x:v>
      </x:c>
      <x:c r="B2297" t="str">
        <x:v>PTN Akademik</x:v>
      </x:c>
      <x:c r="C2297" t="str">
        <x:v>UNIVERSITAS AIRLANGGA</x:v>
      </x:c>
      <x:c r="D2297" t="str">
        <x:v>ILMU SEJARAH</x:v>
      </x:c>
      <x:c r="E2297" t="str">
        <x:v>Sarjana</x:v>
      </x:c>
      <x:c r="F2297" s="18" t="n">
        <x:v>32</x:v>
      </x:c>
      <x:c r="G2297" s="18" t="n">
        <x:v>189</x:v>
      </x:c>
      <x:c r="H2297" s="19" t="n">
        <x:v>5.90625</x:v>
      </x:c>
      <x:c r="I2297" s="18" t="n">
        <x:f>ROUND(MIN(Model_Config_v3!$B$6,MAX(Q2297,R2297,S2297*Model_Config_v3!$B$4+T2297*Model_Config_v3!$B$5)),0)</x:f>
        <x:v>657</x:v>
      </x:c>
      <x:c r="J2297" s="18" t="n">
        <x:f>MIN(Model_Config_v3!$B$6,I2297+Model_Config_v3!$B$7)</x:f>
        <x:v>677</x:v>
      </x:c>
      <x:c r="K2297" s="20" t="n">
        <x:v>59.6</x:v>
      </x:c>
      <x:c r="L2297" t="str">
        <x:v>KETAT</x:v>
      </x:c>
      <x:c r="M2297" t="str">
        <x:v>SEDANG+</x:v>
      </x:c>
      <x:c r="N2297" t="str">
        <x:v>ELITE-2</x:v>
      </x:c>
      <x:c r="O2297" t="str">
        <x:v>SOSHUM</x:v>
      </x:c>
      <x:c r="P2297" t="str">
        <x:v>UMUM</x:v>
      </x:c>
      <x:c r="Q2297" s="18" t="n">
        <x:v>655</x:v>
      </x:c>
      <x:c r="R2297" s="18" t="n">
        <x:v>0</x:v>
      </x:c>
      <x:c r="S2297" s="18" t="n">
        <x:v>604.8443008438671</x:v>
      </x:c>
      <x:c r="T2297" s="18" t="n">
        <x:v>679</x:v>
      </x:c>
      <x:c r="U2297" s="18" t="n">
        <x:v>655</x:v>
      </x:c>
      <x:c r="V2297" s="20" t="n">
        <x:v>4.4</x:v>
      </x:c>
      <x:c r="W2297" s="20" t="n">
        <x:v>14.3</x:v>
      </x:c>
      <x:c r="X2297" s="20" t="n">
        <x:v>3.3</x:v>
      </x:c>
      <x:c r="Y2297" t="str">
        <x:v>Basis arsip 2025/2024</x:v>
      </x:c>
      <x:c r="Z2297" t="str">
        <x:v>https://snpmb.id/utbk-snbt/daya-tampung-snbt</x:v>
      </x:c>
      <x:c r="AA2297" t="str">
        <x:v>Tidak Ada</x:v>
      </x:c>
      <x:c r="AB2297" t="str">
        <x:v>Campus=90; Ratio=45.4; Prodi=40; RelDemand=14.3; Capacity=73.3</x:v>
      </x:c>
    </x:row>
    <x:row r="2298">
      <x:c r="A2298" t="n">
        <x:v>2295</x:v>
      </x:c>
      <x:c r="B2298" t="str">
        <x:v>PTN Akademik</x:v>
      </x:c>
      <x:c r="C2298" t="str">
        <x:v>UNIVERSITAS AIRLANGGA</x:v>
      </x:c>
      <x:c r="D2298" t="str">
        <x:v>ILMU INFORMASI DAN PERPUSTAKAAN</x:v>
      </x:c>
      <x:c r="E2298" t="str">
        <x:v>Sarjana</x:v>
      </x:c>
      <x:c r="F2298" s="18" t="n">
        <x:v>52</x:v>
      </x:c>
      <x:c r="G2298" s="18" t="n">
        <x:v>442</x:v>
      </x:c>
      <x:c r="H2298" s="19" t="n">
        <x:v>8.5</x:v>
      </x:c>
      <x:c r="I2298" s="18" t="n">
        <x:f>ROUND(MIN(Model_Config_v3!$B$6,MAX(Q2298,R2298,S2298*Model_Config_v3!$B$4+T2298*Model_Config_v3!$B$5)),0)</x:f>
        <x:v>664</x:v>
      </x:c>
      <x:c r="J2298" s="18" t="n">
        <x:f>MIN(Model_Config_v3!$B$6,I2298+Model_Config_v3!$B$7)</x:f>
        <x:v>684</x:v>
      </x:c>
      <x:c r="K2298" s="20" t="n">
        <x:v>60.9</x:v>
      </x:c>
      <x:c r="L2298" t="str">
        <x:v>KETAT</x:v>
      </x:c>
      <x:c r="M2298" t="str">
        <x:v>SEDANG+</x:v>
      </x:c>
      <x:c r="N2298" t="str">
        <x:v>ELITE-2</x:v>
      </x:c>
      <x:c r="O2298" t="str">
        <x:v>CAMPURAN</x:v>
      </x:c>
      <x:c r="P2298" t="str">
        <x:v>UMUM</x:v>
      </x:c>
      <x:c r="Q2298" s="18" t="n">
        <x:v>655</x:v>
      </x:c>
      <x:c r="R2298" s="18" t="n">
        <x:v>0</x:v>
      </x:c>
      <x:c r="S2298" s="18" t="n">
        <x:v>622.2360818285722</x:v>
      </x:c>
      <x:c r="T2298" s="18" t="n">
        <x:v>682</x:v>
      </x:c>
      <x:c r="U2298" s="18" t="n">
        <x:v>655</x:v>
      </x:c>
      <x:c r="V2298" s="20" t="n">
        <x:v>8.8</x:v>
      </x:c>
      <x:c r="W2298" s="20" t="n">
        <x:v>9.9</x:v>
      </x:c>
      <x:c r="X2298" s="20" t="n">
        <x:v>3.3</x:v>
      </x:c>
      <x:c r="Y2298" t="str">
        <x:v>Basis arsip 2025/2024</x:v>
      </x:c>
      <x:c r="Z2298" t="str">
        <x:v>https://snpmb.id/utbk-snbt/daya-tampung-snbt</x:v>
      </x:c>
      <x:c r="AA2298" t="str">
        <x:v>Tidak Ada</x:v>
      </x:c>
      <x:c r="AB2298" t="str">
        <x:v>Campus=90; Ratio=54.7; Prodi=40; RelDemand=20.6; Capacity=56.7</x:v>
      </x:c>
    </x:row>
    <x:row r="2299">
      <x:c r="A2299" t="n">
        <x:v>2296</x:v>
      </x:c>
      <x:c r="B2299" t="str">
        <x:v>PTN Akademik</x:v>
      </x:c>
      <x:c r="C2299" t="str">
        <x:v>UNIVERSITAS AIRLANGGA</x:v>
      </x:c>
      <x:c r="D2299" t="str">
        <x:v>BAHASA DAN SASTRA INGGRIS</x:v>
      </x:c>
      <x:c r="E2299" t="str">
        <x:v>Sarjana</x:v>
      </x:c>
      <x:c r="F2299" s="18" t="n">
        <x:v>75</x:v>
      </x:c>
      <x:c r="G2299" s="18" t="n">
        <x:v>667</x:v>
      </x:c>
      <x:c r="H2299" s="19" t="n">
        <x:v>8.893333333333333</x:v>
      </x:c>
      <x:c r="I2299" s="18" t="n">
        <x:f>ROUND(MIN(Model_Config_v3!$B$6,MAX(Q2299,R2299,S2299*Model_Config_v3!$B$4+T2299*Model_Config_v3!$B$5)),0)</x:f>
        <x:v>663</x:v>
      </x:c>
      <x:c r="J2299" s="18" t="n">
        <x:f>MIN(Model_Config_v3!$B$6,I2299+Model_Config_v3!$B$7)</x:f>
        <x:v>683</x:v>
      </x:c>
      <x:c r="K2299" s="20" t="n">
        <x:v>59.4</x:v>
      </x:c>
      <x:c r="L2299" t="str">
        <x:v>KETAT</x:v>
      </x:c>
      <x:c r="M2299" t="str">
        <x:v>SEDANG+</x:v>
      </x:c>
      <x:c r="N2299" t="str">
        <x:v>ELITE-2</x:v>
      </x:c>
      <x:c r="O2299" t="str">
        <x:v>SOSHUM</x:v>
      </x:c>
      <x:c r="P2299" t="str">
        <x:v>UMUM</x:v>
      </x:c>
      <x:c r="Q2299" s="18" t="n">
        <x:v>655</x:v>
      </x:c>
      <x:c r="R2299" s="18" t="n">
        <x:v>0</x:v>
      </x:c>
      <x:c r="S2299" s="18" t="n">
        <x:v>624.3971027577334</x:v>
      </x:c>
      <x:c r="T2299" s="18" t="n">
        <x:v>679</x:v>
      </x:c>
      <x:c r="U2299" s="18" t="n">
        <x:v>655</x:v>
      </x:c>
      <x:c r="V2299" s="20" t="n">
        <x:v>4.4</x:v>
      </x:c>
      <x:c r="W2299" s="20" t="n">
        <x:v>14.3</x:v>
      </x:c>
      <x:c r="X2299" s="20" t="n">
        <x:v>3.3</x:v>
      </x:c>
      <x:c r="Y2299" t="str">
        <x:v>Basis arsip 2025/2024</x:v>
      </x:c>
      <x:c r="Z2299" t="str">
        <x:v>https://snpmb.id/utbk-snbt/daya-tampung-snbt</x:v>
      </x:c>
      <x:c r="AA2299" t="str">
        <x:v>Tidak Ada</x:v>
      </x:c>
      <x:c r="AB2299" t="str">
        <x:v>Campus=90; Ratio=55.9; Prodi=40; RelDemand=21.5; Capacity=37.5</x:v>
      </x:c>
    </x:row>
    <x:row r="2300">
      <x:c r="A2300" t="n">
        <x:v>2297</x:v>
      </x:c>
      <x:c r="B2300" t="str">
        <x:v>PTN Akademik</x:v>
      </x:c>
      <x:c r="C2300" t="str">
        <x:v>UNIVERSITAS AIRLANGGA</x:v>
      </x:c>
      <x:c r="D2300" t="str">
        <x:v>BAHASA DAN SASTRA INDONESIA</x:v>
      </x:c>
      <x:c r="E2300" t="str">
        <x:v>Sarjana</x:v>
      </x:c>
      <x:c r="F2300" s="18" t="n">
        <x:v>40</x:v>
      </x:c>
      <x:c r="G2300" s="18" t="n">
        <x:v>273</x:v>
      </x:c>
      <x:c r="H2300" s="19" t="n">
        <x:v>6.825</x:v>
      </x:c>
      <x:c r="I2300" s="18" t="n">
        <x:f>ROUND(MIN(Model_Config_v3!$B$6,MAX(Q2300,R2300,S2300*Model_Config_v3!$B$4+T2300*Model_Config_v3!$B$5)),0)</x:f>
        <x:v>660</x:v>
      </x:c>
      <x:c r="J2300" s="18" t="n">
        <x:f>MIN(Model_Config_v3!$B$6,I2300+Model_Config_v3!$B$7)</x:f>
        <x:v>680</x:v>
      </x:c>
      <x:c r="K2300" s="20" t="n">
        <x:v>60.1</x:v>
      </x:c>
      <x:c r="L2300" t="str">
        <x:v>KETAT</x:v>
      </x:c>
      <x:c r="M2300" t="str">
        <x:v>SEDANG+</x:v>
      </x:c>
      <x:c r="N2300" t="str">
        <x:v>ELITE-2</x:v>
      </x:c>
      <x:c r="O2300" t="str">
        <x:v>SOSHUM</x:v>
      </x:c>
      <x:c r="P2300" t="str">
        <x:v>UMUM</x:v>
      </x:c>
      <x:c r="Q2300" s="18" t="n">
        <x:v>655</x:v>
      </x:c>
      <x:c r="R2300" s="18" t="n">
        <x:v>0</x:v>
      </x:c>
      <x:c r="S2300" s="18" t="n">
        <x:v>611.7512921284073</x:v>
      </x:c>
      <x:c r="T2300" s="18" t="n">
        <x:v>680</x:v>
      </x:c>
      <x:c r="U2300" s="18" t="n">
        <x:v>655</x:v>
      </x:c>
      <x:c r="V2300" s="20" t="n">
        <x:v>4.4</x:v>
      </x:c>
      <x:c r="W2300" s="20" t="n">
        <x:v>14.3</x:v>
      </x:c>
      <x:c r="X2300" s="20" t="n">
        <x:v>3.3</x:v>
      </x:c>
      <x:c r="Y2300" t="str">
        <x:v>Basis arsip 2025/2024</x:v>
      </x:c>
      <x:c r="Z2300" t="str">
        <x:v>https://snpmb.id/utbk-snbt/daya-tampung-snbt</x:v>
      </x:c>
      <x:c r="AA2300" t="str">
        <x:v>Tidak Ada</x:v>
      </x:c>
      <x:c r="AB2300" t="str">
        <x:v>Campus=90; Ratio=49.1; Prodi=40; RelDemand=16.5; Capacity=66.7</x:v>
      </x:c>
    </x:row>
    <x:row r="2301">
      <x:c r="A2301" t="n">
        <x:v>2298</x:v>
      </x:c>
      <x:c r="B2301" t="str">
        <x:v>PTN Akademik</x:v>
      </x:c>
      <x:c r="C2301" t="str">
        <x:v>UNIVERSITAS AIRLANGGA</x:v>
      </x:c>
      <x:c r="D2301" t="str">
        <x:v>BAHASA DAN SASTRA JEPANG</x:v>
      </x:c>
      <x:c r="E2301" t="str">
        <x:v>Sarjana</x:v>
      </x:c>
      <x:c r="F2301" s="18" t="n">
        <x:v>40</x:v>
      </x:c>
      <x:c r="G2301" s="18" t="n">
        <x:v>271</x:v>
      </x:c>
      <x:c r="H2301" s="19" t="n">
        <x:v>6.775</x:v>
      </x:c>
      <x:c r="I2301" s="18" t="n">
        <x:f>ROUND(MIN(Model_Config_v3!$B$6,MAX(Q2301,R2301,S2301*Model_Config_v3!$B$4+T2301*Model_Config_v3!$B$5)),0)</x:f>
        <x:v>659</x:v>
      </x:c>
      <x:c r="J2301" s="18" t="n">
        <x:f>MIN(Model_Config_v3!$B$6,I2301+Model_Config_v3!$B$7)</x:f>
        <x:v>679</x:v>
      </x:c>
      <x:c r="K2301" s="20" t="n">
        <x:v>60</x:v>
      </x:c>
      <x:c r="L2301" t="str">
        <x:v>KETAT</x:v>
      </x:c>
      <x:c r="M2301" t="str">
        <x:v>SEDANG+</x:v>
      </x:c>
      <x:c r="N2301" t="str">
        <x:v>ELITE-2</x:v>
      </x:c>
      <x:c r="O2301" t="str">
        <x:v>SOSHUM</x:v>
      </x:c>
      <x:c r="P2301" t="str">
        <x:v>UMUM</x:v>
      </x:c>
      <x:c r="Q2301" s="18" t="n">
        <x:v>655</x:v>
      </x:c>
      <x:c r="R2301" s="18" t="n">
        <x:v>0</x:v>
      </x:c>
      <x:c r="S2301" s="18" t="n">
        <x:v>611.4000229501088</x:v>
      </x:c>
      <x:c r="T2301" s="18" t="n">
        <x:v>680</x:v>
      </x:c>
      <x:c r="U2301" s="18" t="n">
        <x:v>655</x:v>
      </x:c>
      <x:c r="V2301" s="20" t="n">
        <x:v>4.4</x:v>
      </x:c>
      <x:c r="W2301" s="20" t="n">
        <x:v>14.3</x:v>
      </x:c>
      <x:c r="X2301" s="20" t="n">
        <x:v>3.3</x:v>
      </x:c>
      <x:c r="Y2301" t="str">
        <x:v>Basis arsip 2025/2024</x:v>
      </x:c>
      <x:c r="Z2301" t="str">
        <x:v>https://snpmb.id/utbk-snbt/daya-tampung-snbt</x:v>
      </x:c>
      <x:c r="AA2301" t="str">
        <x:v>Tidak Ada</x:v>
      </x:c>
      <x:c r="AB2301" t="str">
        <x:v>Campus=90; Ratio=48.9; Prodi=40; RelDemand=16.4; Capacity=66.7</x:v>
      </x:c>
    </x:row>
    <x:row r="2302">
      <x:c r="A2302" t="n">
        <x:v>2299</x:v>
      </x:c>
      <x:c r="B2302" t="str">
        <x:v>PTN Akademik</x:v>
      </x:c>
      <x:c r="C2302" t="str">
        <x:v>UNIVERSITAS AIRLANGGA</x:v>
      </x:c>
      <x:c r="D2302" t="str">
        <x:v>EKONOMI ISLAM</x:v>
      </x:c>
      <x:c r="E2302" t="str">
        <x:v>Sarjana</x:v>
      </x:c>
      <x:c r="F2302" s="18" t="n">
        <x:v>60</x:v>
      </x:c>
      <x:c r="G2302" s="18" t="n">
        <x:v>485</x:v>
      </x:c>
      <x:c r="H2302" s="19" t="n">
        <x:v>8.083333333333334</x:v>
      </x:c>
      <x:c r="I2302" s="18" t="n">
        <x:f>ROUND(MIN(Model_Config_v3!$B$6,MAX(Q2302,R2302,S2302*Model_Config_v3!$B$4+T2302*Model_Config_v3!$B$5)),0)</x:f>
        <x:v>662</x:v>
      </x:c>
      <x:c r="J2302" s="18" t="n">
        <x:f>MIN(Model_Config_v3!$B$6,I2302+Model_Config_v3!$B$7)</x:f>
        <x:v>682</x:v>
      </x:c>
      <x:c r="K2302" s="20" t="n">
        <x:v>59.8</x:v>
      </x:c>
      <x:c r="L2302" t="str">
        <x:v>KETAT</x:v>
      </x:c>
      <x:c r="M2302" t="str">
        <x:v>SEDANG+</x:v>
      </x:c>
      <x:c r="N2302" t="str">
        <x:v>ELITE-2</x:v>
      </x:c>
      <x:c r="O2302" t="str">
        <x:v>SOSHUM</x:v>
      </x:c>
      <x:c r="P2302" t="str">
        <x:v>UMUM</x:v>
      </x:c>
      <x:c r="Q2302" s="18" t="n">
        <x:v>655</x:v>
      </x:c>
      <x:c r="R2302" s="18" t="n">
        <x:v>0</x:v>
      </x:c>
      <x:c r="S2302" s="18" t="n">
        <x:v>619.8349537040482</x:v>
      </x:c>
      <x:c r="T2302" s="18" t="n">
        <x:v>680</x:v>
      </x:c>
      <x:c r="U2302" s="18" t="n">
        <x:v>655</x:v>
      </x:c>
      <x:c r="V2302" s="20" t="n">
        <x:v>4.4</x:v>
      </x:c>
      <x:c r="W2302" s="20" t="n">
        <x:v>14.3</x:v>
      </x:c>
      <x:c r="X2302" s="20" t="n">
        <x:v>3.3</x:v>
      </x:c>
      <x:c r="Y2302" t="str">
        <x:v>Basis arsip 2025/2024</x:v>
      </x:c>
      <x:c r="Z2302" t="str">
        <x:v>https://snpmb.id/utbk-snbt/daya-tampung-snbt</x:v>
      </x:c>
      <x:c r="AA2302" t="str">
        <x:v>Tidak Ada</x:v>
      </x:c>
      <x:c r="AB2302" t="str">
        <x:v>Campus=90; Ratio=53.4; Prodi=40; RelDemand=19.6; Capacity=50.0</x:v>
      </x:c>
    </x:row>
    <x:row r="2303">
      <x:c r="A2303" t="n">
        <x:v>2300</x:v>
      </x:c>
      <x:c r="B2303" t="str">
        <x:v>PTN Akademik</x:v>
      </x:c>
      <x:c r="C2303" t="str">
        <x:v>UNIVERSITAS AIRLANGGA</x:v>
      </x:c>
      <x:c r="D2303" t="str">
        <x:v>KEDOKTERAN (FIKKIA BANYUWANGI)</x:v>
      </x:c>
      <x:c r="E2303" t="str">
        <x:v>Sarjana</x:v>
      </x:c>
      <x:c r="F2303" s="18" t="n">
        <x:v>15</x:v>
      </x:c>
      <x:c r="G2303" s="18"/>
      <x:c r="H2303" s="19" t="n">
        <x:v>0</x:v>
      </x:c>
      <x:c r="I2303" s="18" t="n">
        <x:f>ROUND(MIN(Model_Config_v3!$B$6,MAX(Q2303,R2303,S2303*Model_Config_v3!$B$4+T2303*Model_Config_v3!$B$5)),0)</x:f>
        <x:v>725</x:v>
      </x:c>
      <x:c r="J2303" s="18" t="n">
        <x:f>MIN(Model_Config_v3!$B$6,I2303+Model_Config_v3!$B$7)</x:f>
        <x:v>745</x:v>
      </x:c>
      <x:c r="K2303" s="20" t="n">
        <x:v>60.2</x:v>
      </x:c>
      <x:c r="L2303" t="str">
        <x:v>KETAT</x:v>
      </x:c>
      <x:c r="M2303" t="str">
        <x:v>RENDAH</x:v>
      </x:c>
      <x:c r="N2303" t="str">
        <x:v>ELITE-2</x:v>
      </x:c>
      <x:c r="O2303" t="str">
        <x:v>SAINTEK</x:v>
      </x:c>
      <x:c r="P2303" t="str">
        <x:v>KEDOKTERAN</x:v>
      </x:c>
      <x:c r="Q2303" s="18" t="n">
        <x:v>655</x:v>
      </x:c>
      <x:c r="R2303" s="18" t="n">
        <x:v>725</x:v>
      </x:c>
      <x:c r="S2303" s="18" t="n">
        <x:v>520</x:v>
      </x:c>
      <x:c r="T2303" s="18" t="n">
        <x:v>680</x:v>
      </x:c>
      <x:c r="U2303" s="18" t="n">
        <x:v>655</x:v>
      </x:c>
      <x:c r="V2303" s="20" t="n">
        <x:v>12</x:v>
      </x:c>
      <x:c r="W2303" s="20" t="n">
        <x:v>5</x:v>
      </x:c>
      <x:c r="X2303" s="20" t="n">
        <x:v>3</x:v>
      </x:c>
      <x:c r="Y2303" t="str">
        <x:v>Basis arsip 2025/2024</x:v>
      </x:c>
      <x:c r="Z2303" t="str">
        <x:v>https://snpmb.id/utbk-snbt/daya-tampung-snbt</x:v>
      </x:c>
      <x:c r="AA2303" t="str">
        <x:v>Tidak Ada</x:v>
      </x:c>
      <x:c r="AB2303" t="str">
        <x:v>Campus=90; Ratio=0.0; Prodi=100; RelDemand=0.0; Capacity=87.5</x:v>
      </x:c>
    </x:row>
    <x:row r="2304">
      <x:c r="A2304" t="n">
        <x:v>2301</x:v>
      </x:c>
      <x:c r="B2304" t="str">
        <x:v>PTN Akademik</x:v>
      </x:c>
      <x:c r="C2304" t="str">
        <x:v>UNIVERSITAS AIRLANGGA</x:v>
      </x:c>
      <x:c r="D2304" t="str">
        <x:v>KESELAMATAN DAN KESEHATAN KERJA</x:v>
      </x:c>
      <x:c r="E2304" t="str">
        <x:v>Sarjana Terapan</x:v>
      </x:c>
      <x:c r="F2304" s="18" t="n">
        <x:v>60</x:v>
      </x:c>
      <x:c r="G2304" s="18" t="n">
        <x:v>4658</x:v>
      </x:c>
      <x:c r="H2304" s="19" t="n">
        <x:v>77.63333333333334</x:v>
      </x:c>
      <x:c r="I2304" s="18" t="n">
        <x:f>ROUND(MIN(Model_Config_v3!$B$6,MAX(Q2304,R2304,S2304*Model_Config_v3!$B$4+T2304*Model_Config_v3!$B$5)),0)</x:f>
        <x:v>726</x:v>
      </x:c>
      <x:c r="J2304" s="18" t="n">
        <x:f>MIN(Model_Config_v3!$B$6,I2304+Model_Config_v3!$B$7)</x:f>
        <x:v>746</x:v>
      </x:c>
      <x:c r="K2304" s="20" t="n">
        <x:v>82.5</x:v>
      </x:c>
      <x:c r="L2304" t="str">
        <x:v>ELITE</x:v>
      </x:c>
      <x:c r="M2304" t="str">
        <x:v>SEDANG+</x:v>
      </x:c>
      <x:c r="N2304" t="str">
        <x:v>ELITE-2</x:v>
      </x:c>
      <x:c r="O2304" t="str">
        <x:v>SAINTEK</x:v>
      </x:c>
      <x:c r="P2304" t="str">
        <x:v>KESEHAT/GIZI/KEPERAWATAN</x:v>
      </x:c>
      <x:c r="Q2304" s="18" t="n">
        <x:v>655</x:v>
      </x:c>
      <x:c r="R2304" s="18" t="n">
        <x:v>660</x:v>
      </x:c>
      <x:c r="S2304" s="18" t="n">
        <x:v>727.905305719652</x:v>
      </x:c>
      <x:c r="T2304" s="18" t="n">
        <x:v>725</x:v>
      </x:c>
      <x:c r="U2304" s="18" t="n">
        <x:v>727.905305719652</x:v>
      </x:c>
      <x:c r="V2304" s="20" t="n">
        <x:v>12</x:v>
      </x:c>
      <x:c r="W2304" s="20" t="n">
        <x:v>5</x:v>
      </x:c>
      <x:c r="X2304" s="20" t="n">
        <x:v>3</x:v>
      </x:c>
      <x:c r="Y2304" t="str">
        <x:v>Basis arsip 2025/2024</x:v>
      </x:c>
      <x:c r="Z2304" t="str">
        <x:v>https://snpmb.id/utbk-snbt/daya-tampung-snbt</x:v>
      </x:c>
      <x:c r="AA2304" t="str">
        <x:v>Tidak Ada</x:v>
      </x:c>
      <x:c r="AB2304" t="str">
        <x:v>Campus=90; Ratio=100.0; Prodi=55; RelDemand=100.0; Capacity=50.0</x:v>
      </x:c>
    </x:row>
    <x:row r="2305">
      <x:c r="A2305" t="n">
        <x:v>2302</x:v>
      </x:c>
      <x:c r="B2305" t="str">
        <x:v>PTN Akademik</x:v>
      </x:c>
      <x:c r="C2305" t="str">
        <x:v>UNIVERSITAS AIRLANGGA</x:v>
      </x:c>
      <x:c r="D2305" t="str">
        <x:v>MANAJEMEN PERHOTELAN</x:v>
      </x:c>
      <x:c r="E2305" t="str">
        <x:v>Sarjana Terapan</x:v>
      </x:c>
      <x:c r="F2305" s="18" t="n">
        <x:v>40</x:v>
      </x:c>
      <x:c r="G2305" s="18" t="n">
        <x:v>808</x:v>
      </x:c>
      <x:c r="H2305" s="19" t="n">
        <x:v>20.2</x:v>
      </x:c>
      <x:c r="I2305" s="18" t="n">
        <x:f>ROUND(MIN(Model_Config_v3!$B$6,MAX(Q2305,R2305,S2305*Model_Config_v3!$B$4+T2305*Model_Config_v3!$B$5)),0)</x:f>
        <x:v>697</x:v>
      </x:c>
      <x:c r="J2305" s="18" t="n">
        <x:f>MIN(Model_Config_v3!$B$6,I2305+Model_Config_v3!$B$7)</x:f>
        <x:v>717</x:v>
      </x:c>
      <x:c r="K2305" s="20" t="n">
        <x:v>75.3</x:v>
      </x:c>
      <x:c r="L2305" t="str">
        <x:v>ELITE</x:v>
      </x:c>
      <x:c r="M2305" t="str">
        <x:v>SEDANG+</x:v>
      </x:c>
      <x:c r="N2305" t="str">
        <x:v>ELITE-2</x:v>
      </x:c>
      <x:c r="O2305" t="str">
        <x:v>SOSHUM</x:v>
      </x:c>
      <x:c r="P2305" t="str">
        <x:v>BISNIS/EKONOMI/AKUNTANSI</x:v>
      </x:c>
      <x:c r="Q2305" s="18" t="n">
        <x:v>655</x:v>
      </x:c>
      <x:c r="R2305" s="18" t="n">
        <x:v>680</x:v>
      </x:c>
      <x:c r="S2305" s="18" t="n">
        <x:v>663.5886506391287</x:v>
      </x:c>
      <x:c r="T2305" s="18" t="n">
        <x:v>711</x:v>
      </x:c>
      <x:c r="U2305" s="18" t="n">
        <x:v>678.5886506391287</x:v>
      </x:c>
      <x:c r="V2305" s="20" t="n">
        <x:v>4.4</x:v>
      </x:c>
      <x:c r="W2305" s="20" t="n">
        <x:v>14.3</x:v>
      </x:c>
      <x:c r="X2305" s="20" t="n">
        <x:v>3.3</x:v>
      </x:c>
      <x:c r="Y2305" t="str">
        <x:v>Basis arsip 2025/2024</x:v>
      </x:c>
      <x:c r="Z2305" t="str">
        <x:v>https://snpmb.id/utbk-snbt/daya-tampung-snbt</x:v>
      </x:c>
      <x:c r="AA2305" t="str">
        <x:v>Tidak Ada</x:v>
      </x:c>
      <x:c r="AB2305" t="str">
        <x:v>Campus=90; Ratio=76.8; Prodi=65; RelDemand=48.9; Capacity=66.7</x:v>
      </x:c>
    </x:row>
    <x:row r="2306">
      <x:c r="A2306" t="n">
        <x:v>2303</x:v>
      </x:c>
      <x:c r="B2306" t="str">
        <x:v>PTN Akademik</x:v>
      </x:c>
      <x:c r="C2306" t="str">
        <x:v>UNIVERSITAS AIRLANGGA</x:v>
      </x:c>
      <x:c r="D2306" t="str">
        <x:v>DESTINASI PARIWISATA</x:v>
      </x:c>
      <x:c r="E2306" t="str">
        <x:v>Sarjana Terapan</x:v>
      </x:c>
      <x:c r="F2306" s="18" t="n">
        <x:v>44</x:v>
      </x:c>
      <x:c r="G2306" s="18" t="n">
        <x:v>1117</x:v>
      </x:c>
      <x:c r="H2306" s="19" t="n">
        <x:v>25.386363636363637</x:v>
      </x:c>
      <x:c r="I2306" s="18" t="n">
        <x:f>ROUND(MIN(Model_Config_v3!$B$6,MAX(Q2306,R2306,S2306*Model_Config_v3!$B$4+T2306*Model_Config_v3!$B$5)),0)</x:f>
        <x:v>696</x:v>
      </x:c>
      <x:c r="J2306" s="18" t="n">
        <x:f>MIN(Model_Config_v3!$B$6,I2306+Model_Config_v3!$B$7)</x:f>
        <x:v>716</x:v>
      </x:c>
      <x:c r="K2306" s="20" t="n">
        <x:v>72.6</x:v>
      </x:c>
      <x:c r="L2306" t="str">
        <x:v>SANGAT KETAT</x:v>
      </x:c>
      <x:c r="M2306" t="str">
        <x:v>SEDANG+</x:v>
      </x:c>
      <x:c r="N2306" t="str">
        <x:v>ELITE-2</x:v>
      </x:c>
      <x:c r="O2306" t="str">
        <x:v>CAMPURAN</x:v>
      </x:c>
      <x:c r="P2306" t="str">
        <x:v>UMUM</x:v>
      </x:c>
      <x:c r="Q2306" s="18" t="n">
        <x:v>655</x:v>
      </x:c>
      <x:c r="R2306" s="18" t="n">
        <x:v>0</x:v>
      </x:c>
      <x:c r="S2306" s="18" t="n">
        <x:v>674.5060546292364</x:v>
      </x:c>
      <x:c r="T2306" s="18" t="n">
        <x:v>705</x:v>
      </x:c>
      <x:c r="U2306" s="18" t="n">
        <x:v>674.5060546292364</x:v>
      </x:c>
      <x:c r="V2306" s="20" t="n">
        <x:v>8.8</x:v>
      </x:c>
      <x:c r="W2306" s="20" t="n">
        <x:v>9.9</x:v>
      </x:c>
      <x:c r="X2306" s="20" t="n">
        <x:v>3.3</x:v>
      </x:c>
      <x:c r="Y2306" t="str">
        <x:v>Basis arsip 2025/2024</x:v>
      </x:c>
      <x:c r="Z2306" t="str">
        <x:v>https://snpmb.id/utbk-snbt/daya-tampung-snbt</x:v>
      </x:c>
      <x:c r="AA2306" t="str">
        <x:v>Tidak Ada</x:v>
      </x:c>
      <x:c r="AB2306" t="str">
        <x:v>Campus=90; Ratio=82.7; Prodi=40; RelDemand=61.4; Capacity=63.3</x:v>
      </x:c>
    </x:row>
    <x:row r="2307">
      <x:c r="A2307" t="n">
        <x:v>2304</x:v>
      </x:c>
      <x:c r="B2307" t="str">
        <x:v>PTN Akademik</x:v>
      </x:c>
      <x:c r="C2307" t="str">
        <x:v>UNIVERSITAS AIRLANGGA</x:v>
      </x:c>
      <x:c r="D2307" t="str">
        <x:v>TEKNOLOGI LABORATORIUM MEDIK</x:v>
      </x:c>
      <x:c r="E2307" t="str">
        <x:v>Sarjana Terapan</x:v>
      </x:c>
      <x:c r="F2307" s="18" t="n">
        <x:v>45</x:v>
      </x:c>
      <x:c r="G2307" s="18" t="n">
        <x:v>2755</x:v>
      </x:c>
      <x:c r="H2307" s="19" t="n">
        <x:v>61.22222222222222</x:v>
      </x:c>
      <x:c r="I2307" s="18" t="n">
        <x:f>ROUND(MIN(Model_Config_v3!$B$6,MAX(Q2307,R2307,S2307*Model_Config_v3!$B$4+T2307*Model_Config_v3!$B$5)),0)</x:f>
        <x:v>720</x:v>
      </x:c>
      <x:c r="J2307" s="18" t="n">
        <x:f>MIN(Model_Config_v3!$B$6,I2307+Model_Config_v3!$B$7)</x:f>
        <x:v>740</x:v>
      </x:c>
      <x:c r="K2307" s="20" t="n">
        <x:v>80.8</x:v>
      </x:c>
      <x:c r="L2307" t="str">
        <x:v>ELITE</x:v>
      </x:c>
      <x:c r="M2307" t="str">
        <x:v>SEDANG+</x:v>
      </x:c>
      <x:c r="N2307" t="str">
        <x:v>ELITE-2</x:v>
      </x:c>
      <x:c r="O2307" t="str">
        <x:v>SAINTEK</x:v>
      </x:c>
      <x:c r="P2307" t="str">
        <x:v>UMUM</x:v>
      </x:c>
      <x:c r="Q2307" s="18" t="n">
        <x:v>655</x:v>
      </x:c>
      <x:c r="R2307" s="18" t="n">
        <x:v>0</x:v>
      </x:c>
      <x:c r="S2307" s="18" t="n">
        <x:v>716.5599998353706</x:v>
      </x:c>
      <x:c r="T2307" s="18" t="n">
        <x:v>722</x:v>
      </x:c>
      <x:c r="U2307" s="18" t="n">
        <x:v>716.5599998353706</x:v>
      </x:c>
      <x:c r="V2307" s="20" t="n">
        <x:v>12</x:v>
      </x:c>
      <x:c r="W2307" s="20" t="n">
        <x:v>5</x:v>
      </x:c>
      <x:c r="X2307" s="20" t="n">
        <x:v>3</x:v>
      </x:c>
      <x:c r="Y2307" t="str">
        <x:v>Basis arsip 2025/2024</x:v>
      </x:c>
      <x:c r="Z2307" t="str">
        <x:v>https://snpmb.id/utbk-snbt/daya-tampung-snbt</x:v>
      </x:c>
      <x:c r="AA2307" t="str">
        <x:v>Tidak Ada</x:v>
      </x:c>
      <x:c r="AB2307" t="str">
        <x:v>Campus=90; Ratio=100.0; Prodi=40; RelDemand=100.0; Capacity=62.5</x:v>
      </x:c>
    </x:row>
    <x:row r="2308">
      <x:c r="A2308" t="n">
        <x:v>2305</x:v>
      </x:c>
      <x:c r="B2308" t="str">
        <x:v>PTN Akademik</x:v>
      </x:c>
      <x:c r="C2308" t="str">
        <x:v>UNIVERSITAS AIRLANGGA</x:v>
      </x:c>
      <x:c r="D2308" t="str">
        <x:v>PERBANKAN DAN KEUANGAN</x:v>
      </x:c>
      <x:c r="E2308" t="str">
        <x:v>Sarjana Terapan</x:v>
      </x:c>
      <x:c r="F2308" s="18" t="n">
        <x:v>56</x:v>
      </x:c>
      <x:c r="G2308" s="18" t="n">
        <x:v>2380</x:v>
      </x:c>
      <x:c r="H2308" s="19" t="n">
        <x:v>42.5</x:v>
      </x:c>
      <x:c r="I2308" s="18" t="n">
        <x:f>ROUND(MIN(Model_Config_v3!$B$6,MAX(Q2308,R2308,S2308*Model_Config_v3!$B$4+T2308*Model_Config_v3!$B$5)),0)</x:f>
        <x:v>712</x:v>
      </x:c>
      <x:c r="J2308" s="18" t="n">
        <x:f>MIN(Model_Config_v3!$B$6,I2308+Model_Config_v3!$B$7)</x:f>
        <x:v>732</x:v>
      </x:c>
      <x:c r="K2308" s="20" t="n">
        <x:v>78.8</x:v>
      </x:c>
      <x:c r="L2308" t="str">
        <x:v>ELITE</x:v>
      </x:c>
      <x:c r="M2308" t="str">
        <x:v>SEDANG+</x:v>
      </x:c>
      <x:c r="N2308" t="str">
        <x:v>ELITE-2</x:v>
      </x:c>
      <x:c r="O2308" t="str">
        <x:v>CAMPURAN</x:v>
      </x:c>
      <x:c r="P2308" t="str">
        <x:v>UMUM</x:v>
      </x:c>
      <x:c r="Q2308" s="18" t="n">
        <x:v>655</x:v>
      </x:c>
      <x:c r="R2308" s="18" t="n">
        <x:v>0</x:v>
      </x:c>
      <x:c r="S2308" s="18" t="n">
        <x:v>699.1227823055342</x:v>
      </x:c>
      <x:c r="T2308" s="18" t="n">
        <x:v>718</x:v>
      </x:c>
      <x:c r="U2308" s="18" t="n">
        <x:v>699.1227823055342</x:v>
      </x:c>
      <x:c r="V2308" s="20" t="n">
        <x:v>8.8</x:v>
      </x:c>
      <x:c r="W2308" s="20" t="n">
        <x:v>9.9</x:v>
      </x:c>
      <x:c r="X2308" s="20" t="n">
        <x:v>3.3</x:v>
      </x:c>
      <x:c r="Y2308" t="str">
        <x:v>Basis arsip 2025/2024</x:v>
      </x:c>
      <x:c r="Z2308" t="str">
        <x:v>https://snpmb.id/utbk-snbt/daya-tampung-snbt</x:v>
      </x:c>
      <x:c r="AA2308" t="str">
        <x:v>Tidak Ada</x:v>
      </x:c>
      <x:c r="AB2308" t="str">
        <x:v>Campus=90; Ratio=95.8; Prodi=40; RelDemand=100.0; Capacity=53.3</x:v>
      </x:c>
    </x:row>
    <x:row r="2309">
      <x:c r="A2309" t="n">
        <x:v>2306</x:v>
      </x:c>
      <x:c r="B2309" t="str">
        <x:v>PTN Akademik</x:v>
      </x:c>
      <x:c r="C2309" t="str">
        <x:v>UNIVERSITAS AIRLANGGA</x:v>
      </x:c>
      <x:c r="D2309" t="str">
        <x:v>TEKNOLOGI REKAYASA INSTRUMENTASI DAN KONTROL</x:v>
      </x:c>
      <x:c r="E2309" t="str">
        <x:v>Sarjana Terapan</x:v>
      </x:c>
      <x:c r="F2309" s="18" t="n">
        <x:v>35</x:v>
      </x:c>
      <x:c r="G2309" s="18" t="n">
        <x:v>468</x:v>
      </x:c>
      <x:c r="H2309" s="19" t="n">
        <x:v>13.371428571428572</x:v>
      </x:c>
      <x:c r="I2309" s="18" t="n">
        <x:f>ROUND(MIN(Model_Config_v3!$B$6,MAX(Q2309,R2309,S2309*Model_Config_v3!$B$4+T2309*Model_Config_v3!$B$5)),0)</x:f>
        <x:v>678</x:v>
      </x:c>
      <x:c r="J2309" s="18" t="n">
        <x:f>MIN(Model_Config_v3!$B$6,I2309+Model_Config_v3!$B$7)</x:f>
        <x:v>698</x:v>
      </x:c>
      <x:c r="K2309" s="20" t="n">
        <x:v>66.4</x:v>
      </x:c>
      <x:c r="L2309" t="str">
        <x:v>SANGAT KETAT</x:v>
      </x:c>
      <x:c r="M2309" t="str">
        <x:v>SEDANG+</x:v>
      </x:c>
      <x:c r="N2309" t="str">
        <x:v>ELITE-2</x:v>
      </x:c>
      <x:c r="O2309" t="str">
        <x:v>SAINTEK</x:v>
      </x:c>
      <x:c r="P2309" t="str">
        <x:v>UMUM</x:v>
      </x:c>
      <x:c r="Q2309" s="18" t="n">
        <x:v>655</x:v>
      </x:c>
      <x:c r="R2309" s="18" t="n">
        <x:v>0</x:v>
      </x:c>
      <x:c r="S2309" s="18" t="n">
        <x:v>643.8795589596233</x:v>
      </x:c>
      <x:c r="T2309" s="18" t="n">
        <x:v>693</x:v>
      </x:c>
      <x:c r="U2309" s="18" t="n">
        <x:v>655</x:v>
      </x:c>
      <x:c r="V2309" s="20" t="n">
        <x:v>12</x:v>
      </x:c>
      <x:c r="W2309" s="20" t="n">
        <x:v>5</x:v>
      </x:c>
      <x:c r="X2309" s="20" t="n">
        <x:v>3</x:v>
      </x:c>
      <x:c r="Y2309" t="str">
        <x:v>Basis arsip 2025/2024</x:v>
      </x:c>
      <x:c r="Z2309" t="str">
        <x:v>https://snpmb.id/utbk-snbt/daya-tampung-snbt</x:v>
      </x:c>
      <x:c r="AA2309" t="str">
        <x:v>Tidak Ada</x:v>
      </x:c>
      <x:c r="AB2309" t="str">
        <x:v>Campus=90; Ratio=66.3; Prodi=40; RelDemand=32.4; Capacity=70.8</x:v>
      </x:c>
    </x:row>
    <x:row r="2310">
      <x:c r="A2310" t="n">
        <x:v>2307</x:v>
      </x:c>
      <x:c r="B2310" t="str">
        <x:v>PTN Akademik</x:v>
      </x:c>
      <x:c r="C2310" t="str">
        <x:v>UNIVERSITAS AIRLANGGA</x:v>
      </x:c>
      <x:c r="D2310" t="str">
        <x:v>MANAJEMEN PERKANTORAN DIGITAL</x:v>
      </x:c>
      <x:c r="E2310" t="str">
        <x:v>Sarjana Terapan</x:v>
      </x:c>
      <x:c r="F2310" s="18" t="n">
        <x:v>64</x:v>
      </x:c>
      <x:c r="G2310" s="18" t="n">
        <x:v>1880</x:v>
      </x:c>
      <x:c r="H2310" s="19" t="n">
        <x:v>29.375</x:v>
      </x:c>
      <x:c r="I2310" s="18" t="n">
        <x:f>ROUND(MIN(Model_Config_v3!$B$6,MAX(Q2310,R2310,S2310*Model_Config_v3!$B$4+T2310*Model_Config_v3!$B$5)),0)</x:f>
        <x:v>706</x:v>
      </x:c>
      <x:c r="J2310" s="18" t="n">
        <x:f>MIN(Model_Config_v3!$B$6,I2310+Model_Config_v3!$B$7)</x:f>
        <x:v>726</x:v>
      </x:c>
      <x:c r="K2310" s="20" t="n">
        <x:v>77.9</x:v>
      </x:c>
      <x:c r="L2310" t="str">
        <x:v>ELITE</x:v>
      </x:c>
      <x:c r="M2310" t="str">
        <x:v>SEDANG+</x:v>
      </x:c>
      <x:c r="N2310" t="str">
        <x:v>ELITE-2</x:v>
      </x:c>
      <x:c r="O2310" t="str">
        <x:v>SOSHUM</x:v>
      </x:c>
      <x:c r="P2310" t="str">
        <x:v>BISNIS/EKONOMI/AKUNTANSI</x:v>
      </x:c>
      <x:c r="Q2310" s="18" t="n">
        <x:v>655</x:v>
      </x:c>
      <x:c r="R2310" s="18" t="n">
        <x:v>680</x:v>
      </x:c>
      <x:c r="S2310" s="18" t="n">
        <x:v>681.4775662807772</x:v>
      </x:c>
      <x:c r="T2310" s="18" t="n">
        <x:v>716</x:v>
      </x:c>
      <x:c r="U2310" s="18" t="n">
        <x:v>696.4775662807772</x:v>
      </x:c>
      <x:c r="V2310" s="20" t="n">
        <x:v>4.4</x:v>
      </x:c>
      <x:c r="W2310" s="20" t="n">
        <x:v>14.3</x:v>
      </x:c>
      <x:c r="X2310" s="20" t="n">
        <x:v>3.3</x:v>
      </x:c>
      <x:c r="Y2310" t="str">
        <x:v>Basis arsip 2025/2024</x:v>
      </x:c>
      <x:c r="Z2310" t="str">
        <x:v>https://snpmb.id/utbk-snbt/daya-tampung-snbt</x:v>
      </x:c>
      <x:c r="AA2310" t="str">
        <x:v>Tidak Ada</x:v>
      </x:c>
      <x:c r="AB2310" t="str">
        <x:v>Campus=90; Ratio=86.4; Prodi=65; RelDemand=71.1; Capacity=46.7</x:v>
      </x:c>
    </x:row>
    <x:row r="2311">
      <x:c r="A2311" t="n">
        <x:v>2308</x:v>
      </x:c>
      <x:c r="B2311" t="str">
        <x:v>PTN Akademik</x:v>
      </x:c>
      <x:c r="C2311" t="str">
        <x:v>UNIVERSITAS AIRLANGGA</x:v>
      </x:c>
      <x:c r="D2311" t="str">
        <x:v>PENGOBAT TRADISIONAL</x:v>
      </x:c>
      <x:c r="E2311" t="str">
        <x:v>Sarjana Terapan</x:v>
      </x:c>
      <x:c r="F2311" s="18" t="n">
        <x:v>20</x:v>
      </x:c>
      <x:c r="G2311" s="18" t="n">
        <x:v>211</x:v>
      </x:c>
      <x:c r="H2311" s="19" t="n">
        <x:v>10.55</x:v>
      </x:c>
      <x:c r="I2311" s="18" t="n">
        <x:f>ROUND(MIN(Model_Config_v3!$B$6,MAX(Q2311,R2311,S2311*Model_Config_v3!$B$4+T2311*Model_Config_v3!$B$5)),0)</x:f>
        <x:v>673</x:v>
      </x:c>
      <x:c r="J2311" s="18" t="n">
        <x:f>MIN(Model_Config_v3!$B$6,I2311+Model_Config_v3!$B$7)</x:f>
        <x:v>693</x:v>
      </x:c>
      <x:c r="K2311" s="20" t="n">
        <x:v>65.4</x:v>
      </x:c>
      <x:c r="L2311" t="str">
        <x:v>SANGAT KETAT</x:v>
      </x:c>
      <x:c r="M2311" t="str">
        <x:v>SEDANG+</x:v>
      </x:c>
      <x:c r="N2311" t="str">
        <x:v>ELITE-2</x:v>
      </x:c>
      <x:c r="O2311" t="str">
        <x:v>CAMPURAN</x:v>
      </x:c>
      <x:c r="P2311" t="str">
        <x:v>UMUM</x:v>
      </x:c>
      <x:c r="Q2311" s="18" t="n">
        <x:v>655</x:v>
      </x:c>
      <x:c r="R2311" s="18" t="n">
        <x:v>0</x:v>
      </x:c>
      <x:c r="S2311" s="18" t="n">
        <x:v>632.5577705597083</x:v>
      </x:c>
      <x:c r="T2311" s="18" t="n">
        <x:v>691</x:v>
      </x:c>
      <x:c r="U2311" s="18" t="n">
        <x:v>655</x:v>
      </x:c>
      <x:c r="V2311" s="20" t="n">
        <x:v>8.8</x:v>
      </x:c>
      <x:c r="W2311" s="20" t="n">
        <x:v>9.9</x:v>
      </x:c>
      <x:c r="X2311" s="20" t="n">
        <x:v>3.3</x:v>
      </x:c>
      <x:c r="Y2311" t="str">
        <x:v>Basis arsip 2025/2024</x:v>
      </x:c>
      <x:c r="Z2311" t="str">
        <x:v>https://snpmb.id/utbk-snbt/daya-tampung-snbt</x:v>
      </x:c>
      <x:c r="AA2311" t="str">
        <x:v>Tidak Ada</x:v>
      </x:c>
      <x:c r="AB2311" t="str">
        <x:v>Campus=90; Ratio=60.2; Prodi=40; RelDemand=25.5; Capacity=83.3</x:v>
      </x:c>
    </x:row>
    <x:row r="2312">
      <x:c r="A2312" t="n">
        <x:v>2309</x:v>
      </x:c>
      <x:c r="B2312" t="str">
        <x:v>PTN Akademik</x:v>
      </x:c>
      <x:c r="C2312" t="str">
        <x:v>UNIVERSITAS AIRLANGGA</x:v>
      </x:c>
      <x:c r="D2312" t="str">
        <x:v>FISIOTERAPI</x:v>
      </x:c>
      <x:c r="E2312" t="str">
        <x:v>Sarjana Terapan</x:v>
      </x:c>
      <x:c r="F2312" s="18" t="n">
        <x:v>36</x:v>
      </x:c>
      <x:c r="G2312" s="18" t="n">
        <x:v>1790</x:v>
      </x:c>
      <x:c r="H2312" s="19" t="n">
        <x:v>49.72222222222222</x:v>
      </x:c>
      <x:c r="I2312" s="18" t="n">
        <x:f>ROUND(MIN(Model_Config_v3!$B$6,MAX(Q2312,R2312,S2312*Model_Config_v3!$B$4+T2312*Model_Config_v3!$B$5)),0)</x:f>
        <x:v>722</x:v>
      </x:c>
      <x:c r="J2312" s="18" t="n">
        <x:f>MIN(Model_Config_v3!$B$6,I2312+Model_Config_v3!$B$7)</x:f>
        <x:v>742</x:v>
      </x:c>
      <x:c r="K2312" s="20" t="n">
        <x:v>84.5</x:v>
      </x:c>
      <x:c r="L2312" t="str">
        <x:v>ELITE</x:v>
      </x:c>
      <x:c r="M2312" t="str">
        <x:v>SEDANG+</x:v>
      </x:c>
      <x:c r="N2312" t="str">
        <x:v>ELITE-2</x:v>
      </x:c>
      <x:c r="O2312" t="str">
        <x:v>CAMPURAN</x:v>
      </x:c>
      <x:c r="P2312" t="str">
        <x:v>KESEHAT/GIZI/KEPERAWATAN</x:v>
      </x:c>
      <x:c r="Q2312" s="18" t="n">
        <x:v>655</x:v>
      </x:c>
      <x:c r="R2312" s="18" t="n">
        <x:v>660</x:v>
      </x:c>
      <x:c r="S2312" s="18" t="n">
        <x:v>706.6205583233866</x:v>
      </x:c>
      <x:c r="T2312" s="18" t="n">
        <x:v>729</x:v>
      </x:c>
      <x:c r="U2312" s="18" t="n">
        <x:v>706.6205583233866</x:v>
      </x:c>
      <x:c r="V2312" s="20" t="n">
        <x:v>8.8</x:v>
      </x:c>
      <x:c r="W2312" s="20" t="n">
        <x:v>9.9</x:v>
      </x:c>
      <x:c r="X2312" s="20" t="n">
        <x:v>3.3</x:v>
      </x:c>
      <x:c r="Y2312" t="str">
        <x:v>Basis arsip 2025/2024</x:v>
      </x:c>
      <x:c r="Z2312" t="str">
        <x:v>https://snpmb.id/utbk-snbt/daya-tampung-snbt</x:v>
      </x:c>
      <x:c r="AA2312" t="str">
        <x:v>Tidak Ada</x:v>
      </x:c>
      <x:c r="AB2312" t="str">
        <x:v>Campus=90; Ratio=99.9; Prodi=55; RelDemand=100.0; Capacity=70.0</x:v>
      </x:c>
    </x:row>
    <x:row r="2313">
      <x:c r="A2313" t="n">
        <x:v>2310</x:v>
      </x:c>
      <x:c r="B2313" t="str">
        <x:v>PTN Akademik</x:v>
      </x:c>
      <x:c r="C2313" t="str">
        <x:v>UNIVERSITAS AIRLANGGA</x:v>
      </x:c>
      <x:c r="D2313" t="str">
        <x:v>TEKNOLOGI RADIOLOGI PENCITRAAN</x:v>
      </x:c>
      <x:c r="E2313" t="str">
        <x:v>Sarjana Terapan</x:v>
      </x:c>
      <x:c r="F2313" s="18" t="n">
        <x:v>60</x:v>
      </x:c>
      <x:c r="G2313" s="18" t="n">
        <x:v>2039</x:v>
      </x:c>
      <x:c r="H2313" s="19" t="n">
        <x:v>33.983333333333334</x:v>
      </x:c>
      <x:c r="I2313" s="18" t="n">
        <x:f>ROUND(MIN(Model_Config_v3!$B$6,MAX(Q2313,R2313,S2313*Model_Config_v3!$B$4+T2313*Model_Config_v3!$B$5)),0)</x:f>
        <x:v>704</x:v>
      </x:c>
      <x:c r="J2313" s="18" t="n">
        <x:f>MIN(Model_Config_v3!$B$6,I2313+Model_Config_v3!$B$7)</x:f>
        <x:v>724</x:v>
      </x:c>
      <x:c r="K2313" s="20" t="n">
        <x:v>75.3</x:v>
      </x:c>
      <x:c r="L2313" t="str">
        <x:v>ELITE</x:v>
      </x:c>
      <x:c r="M2313" t="str">
        <x:v>SEDANG+</x:v>
      </x:c>
      <x:c r="N2313" t="str">
        <x:v>ELITE-2</x:v>
      </x:c>
      <x:c r="O2313" t="str">
        <x:v>SAINTEK</x:v>
      </x:c>
      <x:c r="P2313" t="str">
        <x:v>UMUM</x:v>
      </x:c>
      <x:c r="Q2313" s="18" t="n">
        <x:v>655</x:v>
      </x:c>
      <x:c r="R2313" s="18" t="n">
        <x:v>0</x:v>
      </x:c>
      <x:c r="S2313" s="18" t="n">
        <x:v>688.4392572933946</x:v>
      </x:c>
      <x:c r="T2313" s="18" t="n">
        <x:v>711</x:v>
      </x:c>
      <x:c r="U2313" s="18" t="n">
        <x:v>688.4392572933946</x:v>
      </x:c>
      <x:c r="V2313" s="20" t="n">
        <x:v>12</x:v>
      </x:c>
      <x:c r="W2313" s="20" t="n">
        <x:v>5</x:v>
      </x:c>
      <x:c r="X2313" s="20" t="n">
        <x:v>3</x:v>
      </x:c>
      <x:c r="Y2313" t="str">
        <x:v>Basis arsip 2025/2024</x:v>
      </x:c>
      <x:c r="Z2313" t="str">
        <x:v>https://snpmb.id/utbk-snbt/daya-tampung-snbt</x:v>
      </x:c>
      <x:c r="AA2313" t="str">
        <x:v>Tidak Ada</x:v>
      </x:c>
      <x:c r="AB2313" t="str">
        <x:v>Campus=90; Ratio=90.1; Prodi=40; RelDemand=82.2; Capacity=50.0</x:v>
      </x:c>
    </x:row>
    <x:row r="2314">
      <x:c r="A2314" t="n">
        <x:v>2311</x:v>
      </x:c>
      <x:c r="B2314" t="str">
        <x:v>PTN Akademik</x:v>
      </x:c>
      <x:c r="C2314" t="str">
        <x:v>UNIVERSITAS AIRLANGGA</x:v>
      </x:c>
      <x:c r="D2314" t="str">
        <x:v>TEKNIK INFORMATIKA</x:v>
      </x:c>
      <x:c r="E2314" t="str">
        <x:v>Sarjana Terapan</x:v>
      </x:c>
      <x:c r="F2314" s="18" t="n">
        <x:v>60</x:v>
      </x:c>
      <x:c r="G2314" s="18" t="n">
        <x:v>2682</x:v>
      </x:c>
      <x:c r="H2314" s="19" t="n">
        <x:v>44.7</x:v>
      </x:c>
      <x:c r="I2314" s="18" t="n">
        <x:f>ROUND(MIN(Model_Config_v3!$B$6,MAX(Q2314,R2314,S2314*Model_Config_v3!$B$4+T2314*Model_Config_v3!$B$5)),0)</x:f>
        <x:v>726</x:v>
      </x:c>
      <x:c r="J2314" s="18" t="n">
        <x:f>MIN(Model_Config_v3!$B$6,I2314+Model_Config_v3!$B$7)</x:f>
        <x:v>746</x:v>
      </x:c>
      <x:c r="K2314" s="20" t="n">
        <x:v>87.8</x:v>
      </x:c>
      <x:c r="L2314" t="str">
        <x:v>ULTRA ELITE</x:v>
      </x:c>
      <x:c r="M2314" t="str">
        <x:v>SEDANG+</x:v>
      </x:c>
      <x:c r="N2314" t="str">
        <x:v>ELITE-2</x:v>
      </x:c>
      <x:c r="O2314" t="str">
        <x:v>SAINTEK</x:v>
      </x:c>
      <x:c r="P2314" t="str">
        <x:v>KOMPUTER/INFORMATIKA</x:v>
      </x:c>
      <x:c r="Q2314" s="18" t="n">
        <x:v>655</x:v>
      </x:c>
      <x:c r="R2314" s="18" t="n">
        <x:v>695</x:v>
      </x:c>
      <x:c r="S2314" s="18" t="n">
        <x:v>701.533827544513</x:v>
      </x:c>
      <x:c r="T2314" s="18" t="n">
        <x:v>736</x:v>
      </x:c>
      <x:c r="U2314" s="18" t="n">
        <x:v>726.533827544513</x:v>
      </x:c>
      <x:c r="V2314" s="20" t="n">
        <x:v>12</x:v>
      </x:c>
      <x:c r="W2314" s="20" t="n">
        <x:v>5</x:v>
      </x:c>
      <x:c r="X2314" s="20" t="n">
        <x:v>3</x:v>
      </x:c>
      <x:c r="Y2314" t="str">
        <x:v>Basis arsip 2025/2024</x:v>
      </x:c>
      <x:c r="Z2314" t="str">
        <x:v>https://snpmb.id/utbk-snbt/daya-tampung-snbt</x:v>
      </x:c>
      <x:c r="AA2314" t="str">
        <x:v>Tidak Ada</x:v>
      </x:c>
      <x:c r="AB2314" t="str">
        <x:v>Campus=90; Ratio=97.1; Prodi=85; RelDemand=100.0; Capacity=50.0</x:v>
      </x:c>
    </x:row>
    <x:row r="2315">
      <x:c r="A2315" t="n">
        <x:v>2312</x:v>
      </x:c>
      <x:c r="B2315" t="str">
        <x:v>PTN Akademik</x:v>
      </x:c>
      <x:c r="C2315" t="str">
        <x:v>UNIVERSITAS AIRLANGGA</x:v>
      </x:c>
      <x:c r="D2315" t="str">
        <x:v>TEKNOLOGI KESEHATAN GIGI</x:v>
      </x:c>
      <x:c r="E2315" t="str">
        <x:v>Sarjana Terapan</x:v>
      </x:c>
      <x:c r="F2315" s="18" t="n">
        <x:v>35</x:v>
      </x:c>
      <x:c r="G2315" s="18"/>
      <x:c r="H2315" s="19" t="n">
        <x:v>0</x:v>
      </x:c>
      <x:c r="I2315" s="18" t="n">
        <x:f>ROUND(MIN(Model_Config_v3!$B$6,MAX(Q2315,R2315,S2315*Model_Config_v3!$B$4+T2315*Model_Config_v3!$B$5)),0)</x:f>
        <x:v>660</x:v>
      </x:c>
      <x:c r="J2315" s="18" t="n">
        <x:f>MIN(Model_Config_v3!$B$6,I2315+Model_Config_v3!$B$7)</x:f>
        <x:v>680</x:v>
      </x:c>
      <x:c r="K2315" s="20" t="n">
        <x:v>49.6</x:v>
      </x:c>
      <x:c r="L2315" t="str">
        <x:v>MENENGAH</x:v>
      </x:c>
      <x:c r="M2315" t="str">
        <x:v>RENDAH</x:v>
      </x:c>
      <x:c r="N2315" t="str">
        <x:v>ELITE-2</x:v>
      </x:c>
      <x:c r="O2315" t="str">
        <x:v>SAINTEK</x:v>
      </x:c>
      <x:c r="P2315" t="str">
        <x:v>KESEHAT/GIZI/KEPERAWATAN</x:v>
      </x:c>
      <x:c r="Q2315" s="18" t="n">
        <x:v>655</x:v>
      </x:c>
      <x:c r="R2315" s="18" t="n">
        <x:v>660</x:v>
      </x:c>
      <x:c r="S2315" s="18" t="n">
        <x:v>520</x:v>
      </x:c>
      <x:c r="T2315" s="18" t="n">
        <x:v>659</x:v>
      </x:c>
      <x:c r="U2315" s="18" t="n">
        <x:v>655</x:v>
      </x:c>
      <x:c r="V2315" s="20" t="n">
        <x:v>12</x:v>
      </x:c>
      <x:c r="W2315" s="20" t="n">
        <x:v>5</x:v>
      </x:c>
      <x:c r="X2315" s="20" t="n">
        <x:v>3</x:v>
      </x:c>
      <x:c r="Y2315" t="str">
        <x:v>Basis arsip 2025/2024</x:v>
      </x:c>
      <x:c r="Z2315" t="str">
        <x:v>https://snpmb.id/utbk-snbt/daya-tampung-snbt</x:v>
      </x:c>
      <x:c r="AA2315" t="str">
        <x:v>Tidak Ada</x:v>
      </x:c>
      <x:c r="AB2315" t="str">
        <x:v>Campus=90; Ratio=0.0; Prodi=55; RelDemand=0.0; Capacity=70.8</x:v>
      </x:c>
    </x:row>
    <x:row r="2316">
      <x:c r="A2316" t="n">
        <x:v>2313</x:v>
      </x:c>
      <x:c r="B2316" t="str">
        <x:v>PTN Akademik</x:v>
      </x:c>
      <x:c r="C2316" t="str">
        <x:v>UNIVERSITAS AIRLANGGA</x:v>
      </x:c>
      <x:c r="D2316" t="str">
        <x:v>TEKNOLOGI VETERINER</x:v>
      </x:c>
      <x:c r="E2316" t="str">
        <x:v>Sarjana Terapan</x:v>
      </x:c>
      <x:c r="F2316" s="18" t="n">
        <x:v>30</x:v>
      </x:c>
      <x:c r="G2316" s="18"/>
      <x:c r="H2316" s="19" t="n">
        <x:v>0</x:v>
      </x:c>
      <x:c r="I2316" s="18" t="n">
        <x:f>ROUND(MIN(Model_Config_v3!$B$6,MAX(Q2316,R2316,S2316*Model_Config_v3!$B$4+T2316*Model_Config_v3!$B$5)),0)</x:f>
        <x:v>655</x:v>
      </x:c>
      <x:c r="J2316" s="18" t="n">
        <x:f>MIN(Model_Config_v3!$B$6,I2316+Model_Config_v3!$B$7)</x:f>
        <x:v>675</x:v>
      </x:c>
      <x:c r="K2316" s="20" t="n">
        <x:v>47</x:v>
      </x:c>
      <x:c r="L2316" t="str">
        <x:v>MENENGAH</x:v>
      </x:c>
      <x:c r="M2316" t="str">
        <x:v>RENDAH</x:v>
      </x:c>
      <x:c r="N2316" t="str">
        <x:v>ELITE-2</x:v>
      </x:c>
      <x:c r="O2316" t="str">
        <x:v>SAINTEK</x:v>
      </x:c>
      <x:c r="P2316" t="str">
        <x:v>UMUM</x:v>
      </x:c>
      <x:c r="Q2316" s="18" t="n">
        <x:v>655</x:v>
      </x:c>
      <x:c r="R2316" s="18" t="n">
        <x:v>0</x:v>
      </x:c>
      <x:c r="S2316" s="18" t="n">
        <x:v>520</x:v>
      </x:c>
      <x:c r="T2316" s="18" t="n">
        <x:v>654</x:v>
      </x:c>
      <x:c r="U2316" s="18" t="n">
        <x:v>655</x:v>
      </x:c>
      <x:c r="V2316" s="20" t="n">
        <x:v>12</x:v>
      </x:c>
      <x:c r="W2316" s="20" t="n">
        <x:v>5</x:v>
      </x:c>
      <x:c r="X2316" s="20" t="n">
        <x:v>3</x:v>
      </x:c>
      <x:c r="Y2316" t="str">
        <x:v>Basis arsip 2025/2024</x:v>
      </x:c>
      <x:c r="Z2316" t="str">
        <x:v>https://snpmb.id/utbk-snbt/daya-tampung-snbt</x:v>
      </x:c>
      <x:c r="AA2316" t="str">
        <x:v>Tidak Ada</x:v>
      </x:c>
      <x:c r="AB2316" t="str">
        <x:v>Campus=90; Ratio=0.0; Prodi=40; RelDemand=0.0; Capacity=75.0</x:v>
      </x:c>
    </x:row>
    <x:row r="2317">
      <x:c r="A2317" t="n">
        <x:v>2314</x:v>
      </x:c>
      <x:c r="B2317" t="str">
        <x:v>PTN Akademik</x:v>
      </x:c>
      <x:c r="C2317" t="str">
        <x:v>UNIVERSITAS AIRLANGGA</x:v>
      </x:c>
      <x:c r="D2317" t="str">
        <x:v>KEARSIPAN DAN INFORMASI DIGITAL</x:v>
      </x:c>
      <x:c r="E2317" t="str">
        <x:v>Sarjana Terapan</x:v>
      </x:c>
      <x:c r="F2317" s="18" t="n">
        <x:v>32</x:v>
      </x:c>
      <x:c r="G2317" s="18"/>
      <x:c r="H2317" s="19" t="n">
        <x:v>0</x:v>
      </x:c>
      <x:c r="I2317" s="18" t="n">
        <x:f>ROUND(MIN(Model_Config_v3!$B$6,MAX(Q2317,R2317,S2317*Model_Config_v3!$B$4+T2317*Model_Config_v3!$B$5)),0)</x:f>
        <x:v>655</x:v>
      </x:c>
      <x:c r="J2317" s="18" t="n">
        <x:f>MIN(Model_Config_v3!$B$6,I2317+Model_Config_v3!$B$7)</x:f>
        <x:v>675</x:v>
      </x:c>
      <x:c r="K2317" s="20" t="n">
        <x:v>46.8</x:v>
      </x:c>
      <x:c r="L2317" t="str">
        <x:v>MENENGAH</x:v>
      </x:c>
      <x:c r="M2317" t="str">
        <x:v>RENDAH</x:v>
      </x:c>
      <x:c r="N2317" t="str">
        <x:v>ELITE-2</x:v>
      </x:c>
      <x:c r="O2317" t="str">
        <x:v>CAMPURAN</x:v>
      </x:c>
      <x:c r="P2317" t="str">
        <x:v>UMUM</x:v>
      </x:c>
      <x:c r="Q2317" s="18" t="n">
        <x:v>655</x:v>
      </x:c>
      <x:c r="R2317" s="18" t="n">
        <x:v>0</x:v>
      </x:c>
      <x:c r="S2317" s="18" t="n">
        <x:v>520</x:v>
      </x:c>
      <x:c r="T2317" s="18" t="n">
        <x:v>654</x:v>
      </x:c>
      <x:c r="U2317" s="18" t="n">
        <x:v>655</x:v>
      </x:c>
      <x:c r="V2317" s="20" t="n">
        <x:v>8.8</x:v>
      </x:c>
      <x:c r="W2317" s="20" t="n">
        <x:v>9.9</x:v>
      </x:c>
      <x:c r="X2317" s="20" t="n">
        <x:v>3.3</x:v>
      </x:c>
      <x:c r="Y2317" t="str">
        <x:v>Basis arsip 2025/2024</x:v>
      </x:c>
      <x:c r="Z2317" t="str">
        <x:v>https://snpmb.id/utbk-snbt/daya-tampung-snbt</x:v>
      </x:c>
      <x:c r="AA2317" t="str">
        <x:v>Tidak Ada</x:v>
      </x:c>
      <x:c r="AB2317" t="str">
        <x:v>Campus=90; Ratio=0.0; Prodi=40; RelDemand=0.0; Capacity=73.3</x:v>
      </x:c>
    </x:row>
    <x:row r="2318">
      <x:c r="A2318" t="n">
        <x:v>2315</x:v>
      </x:c>
      <x:c r="B2318" t="str">
        <x:v>PTN Akademik</x:v>
      </x:c>
      <x:c r="C2318" t="str">
        <x:v>UNIVERSITAS AIRLANGGA</x:v>
      </x:c>
      <x:c r="D2318" t="str">
        <x:v>BAHASA INGGRIS</x:v>
      </x:c>
      <x:c r="E2318" t="str">
        <x:v>Diploma Tiga</x:v>
      </x:c>
      <x:c r="F2318" s="18" t="n">
        <x:v>38</x:v>
      </x:c>
      <x:c r="G2318" s="18" t="n">
        <x:v>2011</x:v>
      </x:c>
      <x:c r="H2318" s="19" t="n">
        <x:v>52.921052631578945</x:v>
      </x:c>
      <x:c r="I2318" s="18" t="n">
        <x:f>ROUND(MIN(Model_Config_v3!$B$6,MAX(Q2318,R2318,S2318*Model_Config_v3!$B$4+T2318*Model_Config_v3!$B$5)),0)</x:f>
        <x:v>719</x:v>
      </x:c>
      <x:c r="J2318" s="18" t="n">
        <x:f>MIN(Model_Config_v3!$B$6,I2318+Model_Config_v3!$B$7)</x:f>
        <x:v>739</x:v>
      </x:c>
      <x:c r="K2318" s="20" t="n">
        <x:v>81.3</x:v>
      </x:c>
      <x:c r="L2318" t="str">
        <x:v>ELITE</x:v>
      </x:c>
      <x:c r="M2318" t="str">
        <x:v>SEDANG+</x:v>
      </x:c>
      <x:c r="N2318" t="str">
        <x:v>ELITE-2</x:v>
      </x:c>
      <x:c r="O2318" t="str">
        <x:v>SOSHUM</x:v>
      </x:c>
      <x:c r="P2318" t="str">
        <x:v>UMUM</x:v>
      </x:c>
      <x:c r="Q2318" s="18" t="n">
        <x:v>655</x:v>
      </x:c>
      <x:c r="R2318" s="18" t="n">
        <x:v>0</x:v>
      </x:c>
      <x:c r="S2318" s="18" t="n">
        <x:v>709.5991321377925</x:v>
      </x:c>
      <x:c r="T2318" s="18" t="n">
        <x:v>723</x:v>
      </x:c>
      <x:c r="U2318" s="18" t="n">
        <x:v>709.5991321377925</x:v>
      </x:c>
      <x:c r="V2318" s="20" t="n">
        <x:v>4.4</x:v>
      </x:c>
      <x:c r="W2318" s="20" t="n">
        <x:v>14.3</x:v>
      </x:c>
      <x:c r="X2318" s="20" t="n">
        <x:v>3.3</x:v>
      </x:c>
      <x:c r="Y2318" t="str">
        <x:v>Basis arsip 2025/2024</x:v>
      </x:c>
      <x:c r="Z2318" t="str">
        <x:v>https://snpmb.id/utbk-snbt/daya-tampung-snbt</x:v>
      </x:c>
      <x:c r="AA2318" t="str">
        <x:v>Tidak Ada</x:v>
      </x:c>
      <x:c r="AB2318" t="str">
        <x:v>Campus=90; Ratio=100.0; Prodi=40; RelDemand=100.0; Capacity=68.3</x:v>
      </x:c>
    </x:row>
    <x:row r="2319">
      <x:c r="A2319" t="n">
        <x:v>2316</x:v>
      </x:c>
      <x:c r="B2319" t="str">
        <x:v>PTN Akademik</x:v>
      </x:c>
      <x:c r="C2319" t="str">
        <x:v>UNIVERSITAS AIRLANGGA</x:v>
      </x:c>
      <x:c r="D2319" t="str">
        <x:v>PERPAJAKAN</x:v>
      </x:c>
      <x:c r="E2319" t="str">
        <x:v>Diploma Tiga</x:v>
      </x:c>
      <x:c r="F2319" s="18" t="n">
        <x:v>60</x:v>
      </x:c>
      <x:c r="G2319" s="18" t="n">
        <x:v>3910</x:v>
      </x:c>
      <x:c r="H2319" s="19" t="n">
        <x:v>65.16666666666667</x:v>
      </x:c>
      <x:c r="I2319" s="18" t="n">
        <x:f>ROUND(MIN(Model_Config_v3!$B$6,MAX(Q2319,R2319,S2319*Model_Config_v3!$B$4+T2319*Model_Config_v3!$B$5)),0)</x:f>
        <x:v>719</x:v>
      </x:c>
      <x:c r="J2319" s="18" t="n">
        <x:f>MIN(Model_Config_v3!$B$6,I2319+Model_Config_v3!$B$7)</x:f>
        <x:v>739</x:v>
      </x:c>
      <x:c r="K2319" s="20" t="n">
        <x:v>79.5</x:v>
      </x:c>
      <x:c r="L2319" t="str">
        <x:v>ELITE</x:v>
      </x:c>
      <x:c r="M2319" t="str">
        <x:v>SEDANG+</x:v>
      </x:c>
      <x:c r="N2319" t="str">
        <x:v>ELITE-2</x:v>
      </x:c>
      <x:c r="O2319" t="str">
        <x:v>CAMPURAN</x:v>
      </x:c>
      <x:c r="P2319" t="str">
        <x:v>UMUM</x:v>
      </x:c>
      <x:c r="Q2319" s="18" t="n">
        <x:v>655</x:v>
      </x:c>
      <x:c r="R2319" s="18" t="n">
        <x:v>0</x:v>
      </x:c>
      <x:c r="S2319" s="18" t="n">
        <x:v>719.5428057713445</x:v>
      </x:c>
      <x:c r="T2319" s="18" t="n">
        <x:v>719</x:v>
      </x:c>
      <x:c r="U2319" s="18" t="n">
        <x:v>719.5428057713445</x:v>
      </x:c>
      <x:c r="V2319" s="20" t="n">
        <x:v>8.8</x:v>
      </x:c>
      <x:c r="W2319" s="20" t="n">
        <x:v>9.9</x:v>
      </x:c>
      <x:c r="X2319" s="20" t="n">
        <x:v>3.3</x:v>
      </x:c>
      <x:c r="Y2319" t="str">
        <x:v>Basis arsip 2025/2024</x:v>
      </x:c>
      <x:c r="Z2319" t="str">
        <x:v>https://snpmb.id/utbk-snbt/daya-tampung-snbt</x:v>
      </x:c>
      <x:c r="AA2319" t="str">
        <x:v>Tidak Ada</x:v>
      </x:c>
      <x:c r="AB2319" t="str">
        <x:v>Campus=90; Ratio=100.0; Prodi=40; RelDemand=100.0; Capacity=50.0</x:v>
      </x:c>
    </x:row>
    <x:row r="2320">
      <x:c r="A2320" t="n">
        <x:v>2317</x:v>
      </x:c>
      <x:c r="B2320" t="str">
        <x:v>PTN Akademik</x:v>
      </x:c>
      <x:c r="C2320" t="str">
        <x:v>UNIVERSITAS AIRLANGGA</x:v>
      </x:c>
      <x:c r="D2320" t="str">
        <x:v>AKUNTANSI</x:v>
      </x:c>
      <x:c r="E2320" t="str">
        <x:v>Diploma Tiga</x:v>
      </x:c>
      <x:c r="F2320" s="18" t="n">
        <x:v>52</x:v>
      </x:c>
      <x:c r="G2320" s="18" t="n">
        <x:v>3232</x:v>
      </x:c>
      <x:c r="H2320" s="19" t="n">
        <x:v>62.15384615384615</x:v>
      </x:c>
      <x:c r="I2320" s="18" t="n">
        <x:f>ROUND(MIN(Model_Config_v3!$B$6,MAX(Q2320,R2320,S2320*Model_Config_v3!$B$4+T2320*Model_Config_v3!$B$5)),0)</x:f>
        <x:v>726</x:v>
      </x:c>
      <x:c r="J2320" s="18" t="n">
        <x:f>MIN(Model_Config_v3!$B$6,I2320+Model_Config_v3!$B$7)</x:f>
        <x:v>746</x:v>
      </x:c>
      <x:c r="K2320" s="20" t="n">
        <x:v>85.2</x:v>
      </x:c>
      <x:c r="L2320" t="str">
        <x:v>ULTRA ELITE</x:v>
      </x:c>
      <x:c r="M2320" t="str">
        <x:v>SEDANG+</x:v>
      </x:c>
      <x:c r="N2320" t="str">
        <x:v>ELITE-2</x:v>
      </x:c>
      <x:c r="O2320" t="str">
        <x:v>SOSHUM</x:v>
      </x:c>
      <x:c r="P2320" t="str">
        <x:v>BISNIS/EKONOMI/AKUNTANSI</x:v>
      </x:c>
      <x:c r="Q2320" s="18" t="n">
        <x:v>655</x:v>
      </x:c>
      <x:c r="R2320" s="18" t="n">
        <x:v>680</x:v>
      </x:c>
      <x:c r="S2320" s="18" t="n">
        <x:v>717.2814809314524</x:v>
      </x:c>
      <x:c r="T2320" s="18" t="n">
        <x:v>730</x:v>
      </x:c>
      <x:c r="U2320" s="18" t="n">
        <x:v>717.2814809314524</x:v>
      </x:c>
      <x:c r="V2320" s="20" t="n">
        <x:v>4.4</x:v>
      </x:c>
      <x:c r="W2320" s="20" t="n">
        <x:v>14.3</x:v>
      </x:c>
      <x:c r="X2320" s="20" t="n">
        <x:v>3.3</x:v>
      </x:c>
      <x:c r="Y2320" t="str">
        <x:v>Basis arsip 2025/2024</x:v>
      </x:c>
      <x:c r="Z2320" t="str">
        <x:v>https://snpmb.id/utbk-snbt/daya-tampung-snbt</x:v>
      </x:c>
      <x:c r="AA2320" t="str">
        <x:v>Tidak Ada</x:v>
      </x:c>
      <x:c r="AB2320" t="str">
        <x:v>Campus=90; Ratio=100.0; Prodi=65; RelDemand=100.0; Capacity=56.7</x:v>
      </x:c>
    </x:row>
    <x:row r="2321">
      <x:c r="A2321" t="n">
        <x:v>2318</x:v>
      </x:c>
      <x:c r="B2321" t="str">
        <x:v>PTN Akademik</x:v>
      </x:c>
      <x:c r="C2321" t="str">
        <x:v>UNIVERSITAS AIRLANGGA</x:v>
      </x:c>
      <x:c r="D2321" t="str">
        <x:v>MANAJEMEN PEMASARAN</x:v>
      </x:c>
      <x:c r="E2321" t="str">
        <x:v>Diploma Tiga</x:v>
      </x:c>
      <x:c r="F2321" s="18" t="n">
        <x:v>48</x:v>
      </x:c>
      <x:c r="G2321" s="18" t="n">
        <x:v>3369</x:v>
      </x:c>
      <x:c r="H2321" s="19" t="n">
        <x:v>70.1875</x:v>
      </x:c>
      <x:c r="I2321" s="18" t="n">
        <x:f>ROUND(MIN(Model_Config_v3!$B$6,MAX(Q2321,R2321,S2321*Model_Config_v3!$B$4+T2321*Model_Config_v3!$B$5)),0)</x:f>
        <x:v>729</x:v>
      </x:c>
      <x:c r="J2321" s="18" t="n">
        <x:f>MIN(Model_Config_v3!$B$6,I2321+Model_Config_v3!$B$7)</x:f>
        <x:v>749</x:v>
      </x:c>
      <x:c r="K2321" s="20" t="n">
        <x:v>85.5</x:v>
      </x:c>
      <x:c r="L2321" t="str">
        <x:v>ULTRA ELITE</x:v>
      </x:c>
      <x:c r="M2321" t="str">
        <x:v>SEDANG+</x:v>
      </x:c>
      <x:c r="N2321" t="str">
        <x:v>ELITE-2</x:v>
      </x:c>
      <x:c r="O2321" t="str">
        <x:v>SOSHUM</x:v>
      </x:c>
      <x:c r="P2321" t="str">
        <x:v>BISNIS/EKONOMI/AKUNTANSI</x:v>
      </x:c>
      <x:c r="Q2321" s="18" t="n">
        <x:v>655</x:v>
      </x:c>
      <x:c r="R2321" s="18" t="n">
        <x:v>680</x:v>
      </x:c>
      <x:c r="S2321" s="18" t="n">
        <x:v>723.0885750966086</x:v>
      </x:c>
      <x:c r="T2321" s="18" t="n">
        <x:v>731</x:v>
      </x:c>
      <x:c r="U2321" s="18" t="n">
        <x:v>738.0885750966086</x:v>
      </x:c>
      <x:c r="V2321" s="20" t="n">
        <x:v>4.4</x:v>
      </x:c>
      <x:c r="W2321" s="20" t="n">
        <x:v>14.3</x:v>
      </x:c>
      <x:c r="X2321" s="20" t="n">
        <x:v>3.3</x:v>
      </x:c>
      <x:c r="Y2321" t="str">
        <x:v>Basis arsip 2025/2024</x:v>
      </x:c>
      <x:c r="Z2321" t="str">
        <x:v>https://snpmb.id/utbk-snbt/daya-tampung-snbt</x:v>
      </x:c>
      <x:c r="AA2321" t="str">
        <x:v>Tidak Ada</x:v>
      </x:c>
      <x:c r="AB2321" t="str">
        <x:v>Campus=90; Ratio=100.0; Prodi=65; RelDemand=100.0; Capacity=60.0</x:v>
      </x:c>
    </x:row>
    <x:row r="2322">
      <x:c r="A2322" t="n">
        <x:v>2319</x:v>
      </x:c>
      <x:c r="B2322" t="str">
        <x:v>PTN Akademik</x:v>
      </x:c>
      <x:c r="C2322" t="str">
        <x:v>UNIVERSITAS AIRLANGGA</x:v>
      </x:c>
      <x:c r="D2322" t="str">
        <x:v>KEPERAWATAN</x:v>
      </x:c>
      <x:c r="E2322" t="str">
        <x:v>Diploma Tiga</x:v>
      </x:c>
      <x:c r="F2322" s="18" t="n">
        <x:v>60</x:v>
      </x:c>
      <x:c r="G2322" s="18" t="n">
        <x:v>4680</x:v>
      </x:c>
      <x:c r="H2322" s="19" t="n">
        <x:v>78</x:v>
      </x:c>
      <x:c r="I2322" s="18" t="n">
        <x:f>ROUND(MIN(Model_Config_v3!$B$6,MAX(Q2322,R2322,S2322*Model_Config_v3!$B$4+T2322*Model_Config_v3!$B$5)),0)</x:f>
        <x:v>726</x:v>
      </x:c>
      <x:c r="J2322" s="18" t="n">
        <x:f>MIN(Model_Config_v3!$B$6,I2322+Model_Config_v3!$B$7)</x:f>
        <x:v>746</x:v>
      </x:c>
      <x:c r="K2322" s="20" t="n">
        <x:v>82.5</x:v>
      </x:c>
      <x:c r="L2322" t="str">
        <x:v>ELITE</x:v>
      </x:c>
      <x:c r="M2322" t="str">
        <x:v>SEDANG+</x:v>
      </x:c>
      <x:c r="N2322" t="str">
        <x:v>ELITE-2</x:v>
      </x:c>
      <x:c r="O2322" t="str">
        <x:v>SAINTEK</x:v>
      </x:c>
      <x:c r="P2322" t="str">
        <x:v>KESEHAT/GIZI/KEPERAWATAN</x:v>
      </x:c>
      <x:c r="Q2322" s="18" t="n">
        <x:v>655</x:v>
      </x:c>
      <x:c r="R2322" s="18" t="n">
        <x:v>660</x:v>
      </x:c>
      <x:c r="S2322" s="18" t="n">
        <x:v>728.1304062959528</x:v>
      </x:c>
      <x:c r="T2322" s="18" t="n">
        <x:v>725</x:v>
      </x:c>
      <x:c r="U2322" s="18" t="n">
        <x:v>728.1304062959528</x:v>
      </x:c>
      <x:c r="V2322" s="20" t="n">
        <x:v>12</x:v>
      </x:c>
      <x:c r="W2322" s="20" t="n">
        <x:v>5</x:v>
      </x:c>
      <x:c r="X2322" s="20" t="n">
        <x:v>3</x:v>
      </x:c>
      <x:c r="Y2322" t="str">
        <x:v>Basis arsip 2025/2024</x:v>
      </x:c>
      <x:c r="Z2322" t="str">
        <x:v>https://snpmb.id/utbk-snbt/daya-tampung-snbt</x:v>
      </x:c>
      <x:c r="AA2322" t="str">
        <x:v>Tidak Ada</x:v>
      </x:c>
      <x:c r="AB2322" t="str">
        <x:v>Campus=90; Ratio=100.0; Prodi=55; RelDemand=100.0; Capacity=50.0</x:v>
      </x:c>
    </x:row>
    <x:row r="2323">
      <x:c r="A2323" t="n">
        <x:v>2320</x:v>
      </x:c>
      <x:c r="B2323" t="str">
        <x:v>PTN Akademik</x:v>
      </x:c>
      <x:c r="C2323" t="str">
        <x:v>INSTITUT TEKNOLOGI SEPULUH NOPEMBER</x:v>
      </x:c>
      <x:c r="D2323" t="str">
        <x:v>FISIKA</x:v>
      </x:c>
      <x:c r="E2323" t="str">
        <x:v>Sarjana</x:v>
      </x:c>
      <x:c r="F2323" s="18" t="n">
        <x:v>68</x:v>
      </x:c>
      <x:c r="G2323" s="18" t="n">
        <x:v>144</x:v>
      </x:c>
      <x:c r="H2323" s="19" t="n">
        <x:v>2.1176470588235294</x:v>
      </x:c>
      <x:c r="I2323" s="18" t="n">
        <x:f>ROUND(MIN(Model_Config_v3!$B$6,MAX(Q2323,R2323,S2323*Model_Config_v3!$B$4+T2323*Model_Config_v3!$B$5)),0)</x:f>
        <x:v>655</x:v>
      </x:c>
      <x:c r="J2323" s="18" t="n">
        <x:f>MIN(Model_Config_v3!$B$6,I2323+Model_Config_v3!$B$7)</x:f>
        <x:v>675</x:v>
      </x:c>
      <x:c r="K2323" s="20" t="n">
        <x:v>51.5</x:v>
      </x:c>
      <x:c r="L2323" t="str">
        <x:v>MENENGAH</x:v>
      </x:c>
      <x:c r="M2323" t="str">
        <x:v>SEDANG+</x:v>
      </x:c>
      <x:c r="N2323" t="str">
        <x:v>ELITE-2</x:v>
      </x:c>
      <x:c r="O2323" t="str">
        <x:v>SAINTEK</x:v>
      </x:c>
      <x:c r="P2323" t="str">
        <x:v>SAINS DASAR</x:v>
      </x:c>
      <x:c r="Q2323" s="18" t="n">
        <x:v>655</x:v>
      </x:c>
      <x:c r="R2323" s="18" t="n">
        <x:v>0</x:v>
      </x:c>
      <x:c r="S2323" s="18" t="n">
        <x:v>555.8438937327915</x:v>
      </x:c>
      <x:c r="T2323" s="18" t="n">
        <x:v>663</x:v>
      </x:c>
      <x:c r="U2323" s="18" t="n">
        <x:v>655</x:v>
      </x:c>
      <x:c r="V2323" s="20" t="n">
        <x:v>12</x:v>
      </x:c>
      <x:c r="W2323" s="20" t="n">
        <x:v>5</x:v>
      </x:c>
      <x:c r="X2323" s="20" t="n">
        <x:v>3</x:v>
      </x:c>
      <x:c r="Y2323" t="str">
        <x:v>Basis arsip 2025/2024</x:v>
      </x:c>
      <x:c r="Z2323" t="str">
        <x:v>https://snpmb.id/utbk-snbt/daya-tampung-snbt</x:v>
      </x:c>
      <x:c r="AA2323" t="str">
        <x:v>Tidak Ada</x:v>
      </x:c>
      <x:c r="AB2323" t="str">
        <x:v>Campus=90; Ratio=19.2; Prodi=50; RelDemand=8.5; Capacity=43.3</x:v>
      </x:c>
    </x:row>
    <x:row r="2324">
      <x:c r="A2324" t="n">
        <x:v>2321</x:v>
      </x:c>
      <x:c r="B2324" t="str">
        <x:v>PTN Akademik</x:v>
      </x:c>
      <x:c r="C2324" t="str">
        <x:v>INSTITUT TEKNOLOGI SEPULUH NOPEMBER</x:v>
      </x:c>
      <x:c r="D2324" t="str">
        <x:v>MATEMATIKA</x:v>
      </x:c>
      <x:c r="E2324" t="str">
        <x:v>Sarjana</x:v>
      </x:c>
      <x:c r="F2324" s="18" t="n">
        <x:v>80</x:v>
      </x:c>
      <x:c r="G2324" s="18" t="n">
        <x:v>269</x:v>
      </x:c>
      <x:c r="H2324" s="19" t="n">
        <x:v>3.3625</x:v>
      </x:c>
      <x:c r="I2324" s="18" t="n">
        <x:f>ROUND(MIN(Model_Config_v3!$B$6,MAX(Q2324,R2324,S2324*Model_Config_v3!$B$4+T2324*Model_Config_v3!$B$5)),0)</x:f>
        <x:v>655</x:v>
      </x:c>
      <x:c r="J2324" s="18" t="n">
        <x:f>MIN(Model_Config_v3!$B$6,I2324+Model_Config_v3!$B$7)</x:f>
        <x:v>675</x:v>
      </x:c>
      <x:c r="K2324" s="20" t="n">
        <x:v>53.9</x:v>
      </x:c>
      <x:c r="L2324" t="str">
        <x:v>MENENGAH</x:v>
      </x:c>
      <x:c r="M2324" t="str">
        <x:v>SEDANG+</x:v>
      </x:c>
      <x:c r="N2324" t="str">
        <x:v>ELITE-2</x:v>
      </x:c>
      <x:c r="O2324" t="str">
        <x:v>SAINTEK</x:v>
      </x:c>
      <x:c r="P2324" t="str">
        <x:v>SAINS DASAR</x:v>
      </x:c>
      <x:c r="Q2324" s="18" t="n">
        <x:v>655</x:v>
      </x:c>
      <x:c r="R2324" s="18" t="n">
        <x:v>0</x:v>
      </x:c>
      <x:c r="S2324" s="18" t="n">
        <x:v>577.9328522311511</x:v>
      </x:c>
      <x:c r="T2324" s="18" t="n">
        <x:v>668</x:v>
      </x:c>
      <x:c r="U2324" s="18" t="n">
        <x:v>655</x:v>
      </x:c>
      <x:c r="V2324" s="20" t="n">
        <x:v>12</x:v>
      </x:c>
      <x:c r="W2324" s="20" t="n">
        <x:v>5</x:v>
      </x:c>
      <x:c r="X2324" s="20" t="n">
        <x:v>3</x:v>
      </x:c>
      <x:c r="Y2324" t="str">
        <x:v>Basis arsip 2025/2024</x:v>
      </x:c>
      <x:c r="Z2324" t="str">
        <x:v>https://snpmb.id/utbk-snbt/daya-tampung-snbt</x:v>
      </x:c>
      <x:c r="AA2324" t="str">
        <x:v>Tidak Ada</x:v>
      </x:c>
      <x:c r="AB2324" t="str">
        <x:v>Campus=90; Ratio=31.0; Prodi=50; RelDemand=13.4; Capacity=33.3</x:v>
      </x:c>
    </x:row>
    <x:row r="2325">
      <x:c r="A2325" t="n">
        <x:v>2322</x:v>
      </x:c>
      <x:c r="B2325" t="str">
        <x:v>PTN Akademik</x:v>
      </x:c>
      <x:c r="C2325" t="str">
        <x:v>INSTITUT TEKNOLOGI SEPULUH NOPEMBER</x:v>
      </x:c>
      <x:c r="D2325" t="str">
        <x:v>STATISTIKA</x:v>
      </x:c>
      <x:c r="E2325" t="str">
        <x:v>Sarjana</x:v>
      </x:c>
      <x:c r="F2325" s="18" t="n">
        <x:v>60</x:v>
      </x:c>
      <x:c r="G2325" s="18" t="n">
        <x:v>583</x:v>
      </x:c>
      <x:c r="H2325" s="19" t="n">
        <x:v>9.716666666666667</x:v>
      </x:c>
      <x:c r="I2325" s="18" t="n">
        <x:f>ROUND(MIN(Model_Config_v3!$B$6,MAX(Q2325,R2325,S2325*Model_Config_v3!$B$4+T2325*Model_Config_v3!$B$5)),0)</x:f>
        <x:v>674</x:v>
      </x:c>
      <x:c r="J2325" s="18" t="n">
        <x:f>MIN(Model_Config_v3!$B$6,I2325+Model_Config_v3!$B$7)</x:f>
        <x:v>694</x:v>
      </x:c>
      <x:c r="K2325" s="20" t="n">
        <x:v>66.9</x:v>
      </x:c>
      <x:c r="L2325" t="str">
        <x:v>SANGAT KETAT</x:v>
      </x:c>
      <x:c r="M2325" t="str">
        <x:v>SEDANG+</x:v>
      </x:c>
      <x:c r="N2325" t="str">
        <x:v>ELITE-2</x:v>
      </x:c>
      <x:c r="O2325" t="str">
        <x:v>SAINTEK</x:v>
      </x:c>
      <x:c r="P2325" t="str">
        <x:v>TEKNIK/ARSITEKTUR/STATISTIKA/AKTUARIA</x:v>
      </x:c>
      <x:c r="Q2325" s="18" t="n">
        <x:v>655</x:v>
      </x:c>
      <x:c r="R2325" s="18" t="n">
        <x:v>670</x:v>
      </x:c>
      <x:c r="S2325" s="18" t="n">
        <x:v>628.6269034812908</x:v>
      </x:c>
      <x:c r="T2325" s="18" t="n">
        <x:v>694</x:v>
      </x:c>
      <x:c r="U2325" s="18" t="n">
        <x:v>655</x:v>
      </x:c>
      <x:c r="V2325" s="20" t="n">
        <x:v>12</x:v>
      </x:c>
      <x:c r="W2325" s="20" t="n">
        <x:v>5</x:v>
      </x:c>
      <x:c r="X2325" s="20" t="n">
        <x:v>3</x:v>
      </x:c>
      <x:c r="Y2325" t="str">
        <x:v>Basis arsip 2025/2024</x:v>
      </x:c>
      <x:c r="Z2325" t="str">
        <x:v>https://snpmb.id/utbk-snbt/daya-tampung-snbt</x:v>
      </x:c>
      <x:c r="AA2325" t="str">
        <x:v>Tidak Ada</x:v>
      </x:c>
      <x:c r="AB2325" t="str">
        <x:v>Campus=90; Ratio=58.1; Prodi=60; RelDemand=38.8; Capacity=50.0</x:v>
      </x:c>
    </x:row>
    <x:row r="2326">
      <x:c r="A2326" t="n">
        <x:v>2323</x:v>
      </x:c>
      <x:c r="B2326" t="str">
        <x:v>PTN Akademik</x:v>
      </x:c>
      <x:c r="C2326" t="str">
        <x:v>INSTITUT TEKNOLOGI SEPULUH NOPEMBER</x:v>
      </x:c>
      <x:c r="D2326" t="str">
        <x:v>KIMIA</x:v>
      </x:c>
      <x:c r="E2326" t="str">
        <x:v>Sarjana</x:v>
      </x:c>
      <x:c r="F2326" s="18" t="n">
        <x:v>80</x:v>
      </x:c>
      <x:c r="G2326" s="18" t="n">
        <x:v>332</x:v>
      </x:c>
      <x:c r="H2326" s="19" t="n">
        <x:v>4.15</x:v>
      </x:c>
      <x:c r="I2326" s="18" t="n">
        <x:f>ROUND(MIN(Model_Config_v3!$B$6,MAX(Q2326,R2326,S2326*Model_Config_v3!$B$4+T2326*Model_Config_v3!$B$5)),0)</x:f>
        <x:v>655</x:v>
      </x:c>
      <x:c r="J2326" s="18" t="n">
        <x:f>MIN(Model_Config_v3!$B$6,I2326+Model_Config_v3!$B$7)</x:f>
        <x:v>675</x:v>
      </x:c>
      <x:c r="K2326" s="20" t="n">
        <x:v>55.6</x:v>
      </x:c>
      <x:c r="L2326" t="str">
        <x:v>KETAT</x:v>
      </x:c>
      <x:c r="M2326" t="str">
        <x:v>SEDANG+</x:v>
      </x:c>
      <x:c r="N2326" t="str">
        <x:v>ELITE-2</x:v>
      </x:c>
      <x:c r="O2326" t="str">
        <x:v>SAINTEK</x:v>
      </x:c>
      <x:c r="P2326" t="str">
        <x:v>SAINS DASAR</x:v>
      </x:c>
      <x:c r="Q2326" s="18" t="n">
        <x:v>655</x:v>
      </x:c>
      <x:c r="R2326" s="18" t="n">
        <x:v>0</x:v>
      </x:c>
      <x:c r="S2326" s="18" t="n">
        <x:v>587.9852906383302</x:v>
      </x:c>
      <x:c r="T2326" s="18" t="n">
        <x:v>671</x:v>
      </x:c>
      <x:c r="U2326" s="18" t="n">
        <x:v>655</x:v>
      </x:c>
      <x:c r="V2326" s="20" t="n">
        <x:v>12</x:v>
      </x:c>
      <x:c r="W2326" s="20" t="n">
        <x:v>5</x:v>
      </x:c>
      <x:c r="X2326" s="20" t="n">
        <x:v>3</x:v>
      </x:c>
      <x:c r="Y2326" t="str">
        <x:v>Basis arsip 2025/2024</x:v>
      </x:c>
      <x:c r="Z2326" t="str">
        <x:v>https://snpmb.id/utbk-snbt/daya-tampung-snbt</x:v>
      </x:c>
      <x:c r="AA2326" t="str">
        <x:v>Tidak Ada</x:v>
      </x:c>
      <x:c r="AB2326" t="str">
        <x:v>Campus=90; Ratio=36.4; Prodi=50; RelDemand=16.6; Capacity=33.3</x:v>
      </x:c>
    </x:row>
    <x:row r="2327">
      <x:c r="A2327" t="n">
        <x:v>2324</x:v>
      </x:c>
      <x:c r="B2327" t="str">
        <x:v>PTN Akademik</x:v>
      </x:c>
      <x:c r="C2327" t="str">
        <x:v>INSTITUT TEKNOLOGI SEPULUH NOPEMBER</x:v>
      </x:c>
      <x:c r="D2327" t="str">
        <x:v>BIOLOGI</x:v>
      </x:c>
      <x:c r="E2327" t="str">
        <x:v>Sarjana</x:v>
      </x:c>
      <x:c r="F2327" s="18" t="n">
        <x:v>48</x:v>
      </x:c>
      <x:c r="G2327" s="18" t="n">
        <x:v>168</x:v>
      </x:c>
      <x:c r="H2327" s="19" t="n">
        <x:v>3.5</x:v>
      </x:c>
      <x:c r="I2327" s="18" t="n">
        <x:f>ROUND(MIN(Model_Config_v3!$B$6,MAX(Q2327,R2327,S2327*Model_Config_v3!$B$4+T2327*Model_Config_v3!$B$5)),0)</x:f>
        <x:v>655</x:v>
      </x:c>
      <x:c r="J2327" s="18" t="n">
        <x:f>MIN(Model_Config_v3!$B$6,I2327+Model_Config_v3!$B$7)</x:f>
        <x:v>675</x:v>
      </x:c>
      <x:c r="K2327" s="20" t="n">
        <x:v>56.9</x:v>
      </x:c>
      <x:c r="L2327" t="str">
        <x:v>KETAT</x:v>
      </x:c>
      <x:c r="M2327" t="str">
        <x:v>SEDANG+</x:v>
      </x:c>
      <x:c r="N2327" t="str">
        <x:v>ELITE-2</x:v>
      </x:c>
      <x:c r="O2327" t="str">
        <x:v>SAINTEK</x:v>
      </x:c>
      <x:c r="P2327" t="str">
        <x:v>SAINS DASAR</x:v>
      </x:c>
      <x:c r="Q2327" s="18" t="n">
        <x:v>655</x:v>
      </x:c>
      <x:c r="R2327" s="18" t="n">
        <x:v>0</x:v>
      </x:c>
      <x:c r="S2327" s="18" t="n">
        <x:v>579.8474848785303</x:v>
      </x:c>
      <x:c r="T2327" s="18" t="n">
        <x:v>674</x:v>
      </x:c>
      <x:c r="U2327" s="18" t="n">
        <x:v>655</x:v>
      </x:c>
      <x:c r="V2327" s="20" t="n">
        <x:v>12</x:v>
      </x:c>
      <x:c r="W2327" s="20" t="n">
        <x:v>5</x:v>
      </x:c>
      <x:c r="X2327" s="20" t="n">
        <x:v>3</x:v>
      </x:c>
      <x:c r="Y2327" t="str">
        <x:v>Basis arsip 2025/2024</x:v>
      </x:c>
      <x:c r="Z2327" t="str">
        <x:v>https://snpmb.id/utbk-snbt/daya-tampung-snbt</x:v>
      </x:c>
      <x:c r="AA2327" t="str">
        <x:v>Tidak Ada</x:v>
      </x:c>
      <x:c r="AB2327" t="str">
        <x:v>Campus=90; Ratio=32.0; Prodi=50; RelDemand=14.0; Capacity=60.0</x:v>
      </x:c>
    </x:row>
    <x:row r="2328">
      <x:c r="A2328" t="n">
        <x:v>2325</x:v>
      </x:c>
      <x:c r="B2328" t="str">
        <x:v>PTN Akademik</x:v>
      </x:c>
      <x:c r="C2328" t="str">
        <x:v>INSTITUT TEKNOLOGI SEPULUH NOPEMBER</x:v>
      </x:c>
      <x:c r="D2328" t="str">
        <x:v>TEKNIK MESIN</x:v>
      </x:c>
      <x:c r="E2328" t="str">
        <x:v>Sarjana</x:v>
      </x:c>
      <x:c r="F2328" s="18" t="n">
        <x:v>60</x:v>
      </x:c>
      <x:c r="G2328" s="18" t="n">
        <x:v>1080</x:v>
      </x:c>
      <x:c r="H2328" s="19" t="n">
        <x:v>18</x:v>
      </x:c>
      <x:c r="I2328" s="18" t="n">
        <x:f>ROUND(MIN(Model_Config_v3!$B$6,MAX(Q2328,R2328,S2328*Model_Config_v3!$B$4+T2328*Model_Config_v3!$B$5)),0)</x:f>
        <x:v>693</x:v>
      </x:c>
      <x:c r="J2328" s="18" t="n">
        <x:f>MIN(Model_Config_v3!$B$6,I2328+Model_Config_v3!$B$7)</x:f>
        <x:v>713</x:v>
      </x:c>
      <x:c r="K2328" s="20" t="n">
        <x:v>74.2</x:v>
      </x:c>
      <x:c r="L2328" t="str">
        <x:v>SANGAT KETAT</x:v>
      </x:c>
      <x:c r="M2328" t="str">
        <x:v>SEDANG+</x:v>
      </x:c>
      <x:c r="N2328" t="str">
        <x:v>ELITE-2</x:v>
      </x:c>
      <x:c r="O2328" t="str">
        <x:v>SAINTEK</x:v>
      </x:c>
      <x:c r="P2328" t="str">
        <x:v>TEKNIK/ARSITEKTUR/STATISTIKA/AKTUARIA</x:v>
      </x:c>
      <x:c r="Q2328" s="18" t="n">
        <x:v>655</x:v>
      </x:c>
      <x:c r="R2328" s="18" t="n">
        <x:v>670</x:v>
      </x:c>
      <x:c r="S2328" s="18" t="n">
        <x:v>658.0799755613637</x:v>
      </x:c>
      <x:c r="T2328" s="18" t="n">
        <x:v>708</x:v>
      </x:c>
      <x:c r="U2328" s="18" t="n">
        <x:v>668.0799755613637</x:v>
      </x:c>
      <x:c r="V2328" s="20" t="n">
        <x:v>12</x:v>
      </x:c>
      <x:c r="W2328" s="20" t="n">
        <x:v>5</x:v>
      </x:c>
      <x:c r="X2328" s="20" t="n">
        <x:v>3</x:v>
      </x:c>
      <x:c r="Y2328" t="str">
        <x:v>Basis arsip 2025/2024</x:v>
      </x:c>
      <x:c r="Z2328" t="str">
        <x:v>https://snpmb.id/utbk-snbt/daya-tampung-snbt</x:v>
      </x:c>
      <x:c r="AA2328" t="str">
        <x:v>Tidak Ada</x:v>
      </x:c>
      <x:c r="AB2328" t="str">
        <x:v>Campus=90; Ratio=73.9; Prodi=60; RelDemand=71.9; Capacity=50.0</x:v>
      </x:c>
    </x:row>
    <x:row r="2329">
      <x:c r="A2329" t="n">
        <x:v>2326</x:v>
      </x:c>
      <x:c r="B2329" t="str">
        <x:v>PTN Akademik</x:v>
      </x:c>
      <x:c r="C2329" t="str">
        <x:v>INSTITUT TEKNOLOGI SEPULUH NOPEMBER</x:v>
      </x:c>
      <x:c r="D2329" t="str">
        <x:v>TEKNIK ELEKTRO</x:v>
      </x:c>
      <x:c r="E2329" t="str">
        <x:v>Sarjana</x:v>
      </x:c>
      <x:c r="F2329" s="18" t="n">
        <x:v>72</x:v>
      </x:c>
      <x:c r="G2329" s="18" t="n">
        <x:v>1078</x:v>
      </x:c>
      <x:c r="H2329" s="19" t="n">
        <x:v>14.972222222222221</x:v>
      </x:c>
      <x:c r="I2329" s="18" t="n">
        <x:f>ROUND(MIN(Model_Config_v3!$B$6,MAX(Q2329,R2329,S2329*Model_Config_v3!$B$4+T2329*Model_Config_v3!$B$5)),0)</x:f>
        <x:v>686</x:v>
      </x:c>
      <x:c r="J2329" s="18" t="n">
        <x:f>MIN(Model_Config_v3!$B$6,I2329+Model_Config_v3!$B$7)</x:f>
        <x:v>706</x:v>
      </x:c>
      <x:c r="K2329" s="20" t="n">
        <x:v>70.8</x:v>
      </x:c>
      <x:c r="L2329" t="str">
        <x:v>SANGAT KETAT</x:v>
      </x:c>
      <x:c r="M2329" t="str">
        <x:v>SEDANG+</x:v>
      </x:c>
      <x:c r="N2329" t="str">
        <x:v>ELITE-2</x:v>
      </x:c>
      <x:c r="O2329" t="str">
        <x:v>SAINTEK</x:v>
      </x:c>
      <x:c r="P2329" t="str">
        <x:v>TEKNIK/ARSITEKTUR/STATISTIKA/AKTUARIA</x:v>
      </x:c>
      <x:c r="Q2329" s="18" t="n">
        <x:v>655</x:v>
      </x:c>
      <x:c r="R2329" s="18" t="n">
        <x:v>670</x:v>
      </x:c>
      <x:c r="S2329" s="18" t="n">
        <x:v>649.2814890861396</x:v>
      </x:c>
      <x:c r="T2329" s="18" t="n">
        <x:v>702</x:v>
      </x:c>
      <x:c r="U2329" s="18" t="n">
        <x:v>659.2814890861396</x:v>
      </x:c>
      <x:c r="V2329" s="20" t="n">
        <x:v>12</x:v>
      </x:c>
      <x:c r="W2329" s="20" t="n">
        <x:v>5</x:v>
      </x:c>
      <x:c r="X2329" s="20" t="n">
        <x:v>3</x:v>
      </x:c>
      <x:c r="Y2329" t="str">
        <x:v>Basis arsip 2025/2024</x:v>
      </x:c>
      <x:c r="Z2329" t="str">
        <x:v>https://snpmb.id/utbk-snbt/daya-tampung-snbt</x:v>
      </x:c>
      <x:c r="AA2329" t="str">
        <x:v>Tidak Ada</x:v>
      </x:c>
      <x:c r="AB2329" t="str">
        <x:v>Campus=90; Ratio=69.2; Prodi=60; RelDemand=59.8; Capacity=40.0</x:v>
      </x:c>
    </x:row>
    <x:row r="2330">
      <x:c r="A2330" t="n">
        <x:v>2327</x:v>
      </x:c>
      <x:c r="B2330" t="str">
        <x:v>PTN Akademik</x:v>
      </x:c>
      <x:c r="C2330" t="str">
        <x:v>INSTITUT TEKNOLOGI SEPULUH NOPEMBER</x:v>
      </x:c>
      <x:c r="D2330" t="str">
        <x:v>TEKNIK KIMIA</x:v>
      </x:c>
      <x:c r="E2330" t="str">
        <x:v>Sarjana</x:v>
      </x:c>
      <x:c r="F2330" s="18" t="n">
        <x:v>60</x:v>
      </x:c>
      <x:c r="G2330" s="18" t="n">
        <x:v>764</x:v>
      </x:c>
      <x:c r="H2330" s="19" t="n">
        <x:v>12.733333333333333</x:v>
      </x:c>
      <x:c r="I2330" s="18" t="n">
        <x:f>ROUND(MIN(Model_Config_v3!$B$6,MAX(Q2330,R2330,S2330*Model_Config_v3!$B$4+T2330*Model_Config_v3!$B$5)),0)</x:f>
        <x:v>682</x:v>
      </x:c>
      <x:c r="J2330" s="18" t="n">
        <x:f>MIN(Model_Config_v3!$B$6,I2330+Model_Config_v3!$B$7)</x:f>
        <x:v>702</x:v>
      </x:c>
      <x:c r="K2330" s="20" t="n">
        <x:v>69.8</x:v>
      </x:c>
      <x:c r="L2330" t="str">
        <x:v>SANGAT KETAT</x:v>
      </x:c>
      <x:c r="M2330" t="str">
        <x:v>SEDANG+</x:v>
      </x:c>
      <x:c r="N2330" t="str">
        <x:v>ELITE-2</x:v>
      </x:c>
      <x:c r="O2330" t="str">
        <x:v>SAINTEK</x:v>
      </x:c>
      <x:c r="P2330" t="str">
        <x:v>TEKNIK/ARSITEKTUR/STATISTIKA/AKTUARIA</x:v>
      </x:c>
      <x:c r="Q2330" s="18" t="n">
        <x:v>655</x:v>
      </x:c>
      <x:c r="R2330" s="18" t="n">
        <x:v>670</x:v>
      </x:c>
      <x:c r="S2330" s="18" t="n">
        <x:v>641.5436319011251</x:v>
      </x:c>
      <x:c r="T2330" s="18" t="n">
        <x:v>700</x:v>
      </x:c>
      <x:c r="U2330" s="18" t="n">
        <x:v>655</x:v>
      </x:c>
      <x:c r="V2330" s="20" t="n">
        <x:v>12</x:v>
      </x:c>
      <x:c r="W2330" s="20" t="n">
        <x:v>5</x:v>
      </x:c>
      <x:c r="X2330" s="20" t="n">
        <x:v>3</x:v>
      </x:c>
      <x:c r="Y2330" t="str">
        <x:v>Basis arsip 2025/2024</x:v>
      </x:c>
      <x:c r="Z2330" t="str">
        <x:v>https://snpmb.id/utbk-snbt/daya-tampung-snbt</x:v>
      </x:c>
      <x:c r="AA2330" t="str">
        <x:v>Tidak Ada</x:v>
      </x:c>
      <x:c r="AB2330" t="str">
        <x:v>Campus=90; Ratio=65.0; Prodi=60; RelDemand=50.8; Capacity=50.0</x:v>
      </x:c>
    </x:row>
    <x:row r="2331">
      <x:c r="A2331" t="n">
        <x:v>2328</x:v>
      </x:c>
      <x:c r="B2331" t="str">
        <x:v>PTN Akademik</x:v>
      </x:c>
      <x:c r="C2331" t="str">
        <x:v>INSTITUT TEKNOLOGI SEPULUH NOPEMBER</x:v>
      </x:c>
      <x:c r="D2331" t="str">
        <x:v>TEKNIK FISIKA</x:v>
      </x:c>
      <x:c r="E2331" t="str">
        <x:v>Sarjana</x:v>
      </x:c>
      <x:c r="F2331" s="18" t="n">
        <x:v>60</x:v>
      </x:c>
      <x:c r="G2331" s="18" t="n">
        <x:v>293</x:v>
      </x:c>
      <x:c r="H2331" s="19" t="n">
        <x:v>4.883333333333334</x:v>
      </x:c>
      <x:c r="I2331" s="18" t="n">
        <x:f>ROUND(MIN(Model_Config_v3!$B$6,MAX(Q2331,R2331,S2331*Model_Config_v3!$B$4+T2331*Model_Config_v3!$B$5)),0)</x:f>
        <x:v>670</x:v>
      </x:c>
      <x:c r="J2331" s="18" t="n">
        <x:f>MIN(Model_Config_v3!$B$6,I2331+Model_Config_v3!$B$7)</x:f>
        <x:v>690</x:v>
      </x:c>
      <x:c r="K2331" s="20" t="n">
        <x:v>60.6</x:v>
      </x:c>
      <x:c r="L2331" t="str">
        <x:v>KETAT</x:v>
      </x:c>
      <x:c r="M2331" t="str">
        <x:v>SEDANG+</x:v>
      </x:c>
      <x:c r="N2331" t="str">
        <x:v>ELITE-2</x:v>
      </x:c>
      <x:c r="O2331" t="str">
        <x:v>SAINTEK</x:v>
      </x:c>
      <x:c r="P2331" t="str">
        <x:v>TEKNIK/ARSITEKTUR/STATISTIKA/AKTUARIA</x:v>
      </x:c>
      <x:c r="Q2331" s="18" t="n">
        <x:v>655</x:v>
      </x:c>
      <x:c r="R2331" s="18" t="n">
        <x:v>670</x:v>
      </x:c>
      <x:c r="S2331" s="18" t="n">
        <x:v>595.7588006967512</x:v>
      </x:c>
      <x:c r="T2331" s="18" t="n">
        <x:v>681</x:v>
      </x:c>
      <x:c r="U2331" s="18" t="n">
        <x:v>655</x:v>
      </x:c>
      <x:c r="V2331" s="20" t="n">
        <x:v>12</x:v>
      </x:c>
      <x:c r="W2331" s="20" t="n">
        <x:v>5</x:v>
      </x:c>
      <x:c r="X2331" s="20" t="n">
        <x:v>3</x:v>
      </x:c>
      <x:c r="Y2331" t="str">
        <x:v>Basis arsip 2025/2024</x:v>
      </x:c>
      <x:c r="Z2331" t="str">
        <x:v>https://snpmb.id/utbk-snbt/daya-tampung-snbt</x:v>
      </x:c>
      <x:c r="AA2331" t="str">
        <x:v>Tidak Ada</x:v>
      </x:c>
      <x:c r="AB2331" t="str">
        <x:v>Campus=90; Ratio=40.5; Prodi=60; RelDemand=19.5; Capacity=50.0</x:v>
      </x:c>
    </x:row>
    <x:row r="2332">
      <x:c r="A2332" t="n">
        <x:v>2329</x:v>
      </x:c>
      <x:c r="B2332" t="str">
        <x:v>PTN Akademik</x:v>
      </x:c>
      <x:c r="C2332" t="str">
        <x:v>INSTITUT TEKNOLOGI SEPULUH NOPEMBER</x:v>
      </x:c>
      <x:c r="D2332" t="str">
        <x:v>TEKNIK INDUSTRI</x:v>
      </x:c>
      <x:c r="E2332" t="str">
        <x:v>Sarjana</x:v>
      </x:c>
      <x:c r="F2332" s="18" t="n">
        <x:v>60</x:v>
      </x:c>
      <x:c r="G2332" s="18" t="n">
        <x:v>1284</x:v>
      </x:c>
      <x:c r="H2332" s="19" t="n">
        <x:v>21.4</x:v>
      </x:c>
      <x:c r="I2332" s="18" t="n">
        <x:f>ROUND(MIN(Model_Config_v3!$B$6,MAX(Q2332,R2332,S2332*Model_Config_v3!$B$4+T2332*Model_Config_v3!$B$5)),0)</x:f>
        <x:v>699</x:v>
      </x:c>
      <x:c r="J2332" s="18" t="n">
        <x:f>MIN(Model_Config_v3!$B$6,I2332+Model_Config_v3!$B$7)</x:f>
        <x:v>719</x:v>
      </x:c>
      <x:c r="K2332" s="20" t="n">
        <x:v>76.6</x:v>
      </x:c>
      <x:c r="L2332" t="str">
        <x:v>ELITE</x:v>
      </x:c>
      <x:c r="M2332" t="str">
        <x:v>SEDANG+</x:v>
      </x:c>
      <x:c r="N2332" t="str">
        <x:v>ELITE-2</x:v>
      </x:c>
      <x:c r="O2332" t="str">
        <x:v>SAINTEK</x:v>
      </x:c>
      <x:c r="P2332" t="str">
        <x:v>TEKNIK/ARSITEKTUR/STATISTIKA/AKTUARIA</x:v>
      </x:c>
      <x:c r="Q2332" s="18" t="n">
        <x:v>655</x:v>
      </x:c>
      <x:c r="R2332" s="18" t="n">
        <x:v>670</x:v>
      </x:c>
      <x:c r="S2332" s="18" t="n">
        <x:v>666.345515068411</x:v>
      </x:c>
      <x:c r="T2332" s="18" t="n">
        <x:v>713</x:v>
      </x:c>
      <x:c r="U2332" s="18" t="n">
        <x:v>676.345515068411</x:v>
      </x:c>
      <x:c r="V2332" s="20" t="n">
        <x:v>12</x:v>
      </x:c>
      <x:c r="W2332" s="20" t="n">
        <x:v>5</x:v>
      </x:c>
      <x:c r="X2332" s="20" t="n">
        <x:v>3</x:v>
      </x:c>
      <x:c r="Y2332" t="str">
        <x:v>Basis arsip 2025/2024</x:v>
      </x:c>
      <x:c r="Z2332" t="str">
        <x:v>https://snpmb.id/utbk-snbt/daya-tampung-snbt</x:v>
      </x:c>
      <x:c r="AA2332" t="str">
        <x:v>Tidak Ada</x:v>
      </x:c>
      <x:c r="AB2332" t="str">
        <x:v>Campus=90; Ratio=78.3; Prodi=60; RelDemand=85.4; Capacity=50.0</x:v>
      </x:c>
    </x:row>
    <x:row r="2333">
      <x:c r="A2333" t="n">
        <x:v>2330</x:v>
      </x:c>
      <x:c r="B2333" t="str">
        <x:v>PTN Akademik</x:v>
      </x:c>
      <x:c r="C2333" t="str">
        <x:v>INSTITUT TEKNOLOGI SEPULUH NOPEMBER</x:v>
      </x:c>
      <x:c r="D2333" t="str">
        <x:v>TEKNIK MATERIAL</x:v>
      </x:c>
      <x:c r="E2333" t="str">
        <x:v>Sarjana</x:v>
      </x:c>
      <x:c r="F2333" s="18" t="n">
        <x:v>60</x:v>
      </x:c>
      <x:c r="G2333" s="18" t="n">
        <x:v>707</x:v>
      </x:c>
      <x:c r="H2333" s="19" t="n">
        <x:v>11.783333333333333</x:v>
      </x:c>
      <x:c r="I2333" s="18" t="n">
        <x:f>ROUND(MIN(Model_Config_v3!$B$6,MAX(Q2333,R2333,S2333*Model_Config_v3!$B$4+T2333*Model_Config_v3!$B$5)),0)</x:f>
        <x:v>680</x:v>
      </x:c>
      <x:c r="J2333" s="18" t="n">
        <x:f>MIN(Model_Config_v3!$B$6,I2333+Model_Config_v3!$B$7)</x:f>
        <x:v>700</x:v>
      </x:c>
      <x:c r="K2333" s="20" t="n">
        <x:v>69</x:v>
      </x:c>
      <x:c r="L2333" t="str">
        <x:v>SANGAT KETAT</x:v>
      </x:c>
      <x:c r="M2333" t="str">
        <x:v>SEDANG+</x:v>
      </x:c>
      <x:c r="N2333" t="str">
        <x:v>ELITE-2</x:v>
      </x:c>
      <x:c r="O2333" t="str">
        <x:v>SAINTEK</x:v>
      </x:c>
      <x:c r="P2333" t="str">
        <x:v>TEKNIK/ARSITEKTUR/STATISTIKA/AKTUARIA</x:v>
      </x:c>
      <x:c r="Q2333" s="18" t="n">
        <x:v>655</x:v>
      </x:c>
      <x:c r="R2333" s="18" t="n">
        <x:v>670</x:v>
      </x:c>
      <x:c r="S2333" s="18" t="n">
        <x:v>637.8394979754581</x:v>
      </x:c>
      <x:c r="T2333" s="18" t="n">
        <x:v>698</x:v>
      </x:c>
      <x:c r="U2333" s="18" t="n">
        <x:v>655</x:v>
      </x:c>
      <x:c r="V2333" s="20" t="n">
        <x:v>12</x:v>
      </x:c>
      <x:c r="W2333" s="20" t="n">
        <x:v>5</x:v>
      </x:c>
      <x:c r="X2333" s="20" t="n">
        <x:v>3</x:v>
      </x:c>
      <x:c r="Y2333" t="str">
        <x:v>Basis arsip 2025/2024</x:v>
      </x:c>
      <x:c r="Z2333" t="str">
        <x:v>https://snpmb.id/utbk-snbt/daya-tampung-snbt</x:v>
      </x:c>
      <x:c r="AA2333" t="str">
        <x:v>Tidak Ada</x:v>
      </x:c>
      <x:c r="AB2333" t="str">
        <x:v>Campus=90; Ratio=63.1; Prodi=60; RelDemand=47.0; Capacity=50.0</x:v>
      </x:c>
    </x:row>
    <x:row r="2334">
      <x:c r="A2334" t="n">
        <x:v>2331</x:v>
      </x:c>
      <x:c r="B2334" t="str">
        <x:v>PTN Akademik</x:v>
      </x:c>
      <x:c r="C2334" t="str">
        <x:v>INSTITUT TEKNOLOGI SEPULUH NOPEMBER</x:v>
      </x:c>
      <x:c r="D2334" t="str">
        <x:v>TEKNIK SIPIL</x:v>
      </x:c>
      <x:c r="E2334" t="str">
        <x:v>Sarjana</x:v>
      </x:c>
      <x:c r="F2334" s="18" t="n">
        <x:v>54</x:v>
      </x:c>
      <x:c r="G2334" s="18" t="n">
        <x:v>1140</x:v>
      </x:c>
      <x:c r="H2334" s="19" t="n">
        <x:v>21.11111111111111</x:v>
      </x:c>
      <x:c r="I2334" s="18" t="n">
        <x:f>ROUND(MIN(Model_Config_v3!$B$6,MAX(Q2334,R2334,S2334*Model_Config_v3!$B$4+T2334*Model_Config_v3!$B$5)),0)</x:f>
        <x:v>700</x:v>
      </x:c>
      <x:c r="J2334" s="18" t="n">
        <x:f>MIN(Model_Config_v3!$B$6,I2334+Model_Config_v3!$B$7)</x:f>
        <x:v>720</x:v>
      </x:c>
      <x:c r="K2334" s="20" t="n">
        <x:v>76.9</x:v>
      </x:c>
      <x:c r="L2334" t="str">
        <x:v>ELITE</x:v>
      </x:c>
      <x:c r="M2334" t="str">
        <x:v>SEDANG+</x:v>
      </x:c>
      <x:c r="N2334" t="str">
        <x:v>ELITE-2</x:v>
      </x:c>
      <x:c r="O2334" t="str">
        <x:v>SAINTEK</x:v>
      </x:c>
      <x:c r="P2334" t="str">
        <x:v>TEKNIK/ARSITEKTUR/STATISTIKA/AKTUARIA</x:v>
      </x:c>
      <x:c r="Q2334" s="18" t="n">
        <x:v>655</x:v>
      </x:c>
      <x:c r="R2334" s="18" t="n">
        <x:v>670</x:v>
      </x:c>
      <x:c r="S2334" s="18" t="n">
        <x:v>665.6962200664855</x:v>
      </x:c>
      <x:c r="T2334" s="18" t="n">
        <x:v>714</x:v>
      </x:c>
      <x:c r="U2334" s="18" t="n">
        <x:v>675.6962200664855</x:v>
      </x:c>
      <x:c r="V2334" s="20" t="n">
        <x:v>12</x:v>
      </x:c>
      <x:c r="W2334" s="20" t="n">
        <x:v>5</x:v>
      </x:c>
      <x:c r="X2334" s="20" t="n">
        <x:v>3</x:v>
      </x:c>
      <x:c r="Y2334" t="str">
        <x:v>Basis arsip 2025/2024</x:v>
      </x:c>
      <x:c r="Z2334" t="str">
        <x:v>https://snpmb.id/utbk-snbt/daya-tampung-snbt</x:v>
      </x:c>
      <x:c r="AA2334" t="str">
        <x:v>Tidak Ada</x:v>
      </x:c>
      <x:c r="AB2334" t="str">
        <x:v>Campus=90; Ratio=78.0; Prodi=60; RelDemand=84.3; Capacity=55.0</x:v>
      </x:c>
    </x:row>
    <x:row r="2335">
      <x:c r="A2335" t="n">
        <x:v>2332</x:v>
      </x:c>
      <x:c r="B2335" t="str">
        <x:v>PTN Akademik</x:v>
      </x:c>
      <x:c r="C2335" t="str">
        <x:v>INSTITUT TEKNOLOGI SEPULUH NOPEMBER</x:v>
      </x:c>
      <x:c r="D2335" t="str">
        <x:v>ARSITEKTUR</x:v>
      </x:c>
      <x:c r="E2335" t="str">
        <x:v>Sarjana</x:v>
      </x:c>
      <x:c r="F2335" s="18" t="n">
        <x:v>36</x:v>
      </x:c>
      <x:c r="G2335" s="18" t="n">
        <x:v>688</x:v>
      </x:c>
      <x:c r="H2335" s="19" t="n">
        <x:v>19.11111111111111</x:v>
      </x:c>
      <x:c r="I2335" s="18" t="n">
        <x:f>ROUND(MIN(Model_Config_v3!$B$6,MAX(Q2335,R2335,S2335*Model_Config_v3!$B$4+T2335*Model_Config_v3!$B$5)),0)</x:f>
        <x:v>698</x:v>
      </x:c>
      <x:c r="J2335" s="18" t="n">
        <x:f>MIN(Model_Config_v3!$B$6,I2335+Model_Config_v3!$B$7)</x:f>
        <x:v>718</x:v>
      </x:c>
      <x:c r="K2335" s="20" t="n">
        <x:v>77</x:v>
      </x:c>
      <x:c r="L2335" t="str">
        <x:v>ELITE</x:v>
      </x:c>
      <x:c r="M2335" t="str">
        <x:v>SEDANG+</x:v>
      </x:c>
      <x:c r="N2335" t="str">
        <x:v>ELITE-2</x:v>
      </x:c>
      <x:c r="O2335" t="str">
        <x:v>SAINTEK</x:v>
      </x:c>
      <x:c r="P2335" t="str">
        <x:v>TEKNIK/ARSITEKTUR/STATISTIKA/AKTUARIA</x:v>
      </x:c>
      <x:c r="Q2335" s="18" t="n">
        <x:v>655</x:v>
      </x:c>
      <x:c r="R2335" s="18" t="n">
        <x:v>670</x:v>
      </x:c>
      <x:c r="S2335" s="18" t="n">
        <x:v>660.9414531215047</x:v>
      </x:c>
      <x:c r="T2335" s="18" t="n">
        <x:v>714</x:v>
      </x:c>
      <x:c r="U2335" s="18" t="n">
        <x:v>660.9414531215047</x:v>
      </x:c>
      <x:c r="V2335" s="20" t="n">
        <x:v>12</x:v>
      </x:c>
      <x:c r="W2335" s="20" t="n">
        <x:v>5</x:v>
      </x:c>
      <x:c r="X2335" s="20" t="n">
        <x:v>3</x:v>
      </x:c>
      <x:c r="Y2335" t="str">
        <x:v>Basis arsip 2025/2024</x:v>
      </x:c>
      <x:c r="Z2335" t="str">
        <x:v>https://snpmb.id/utbk-snbt/daya-tampung-snbt</x:v>
      </x:c>
      <x:c r="AA2335" t="str">
        <x:v>Tidak Ada</x:v>
      </x:c>
      <x:c r="AB2335" t="str">
        <x:v>Campus=90; Ratio=75.4; Prodi=60; RelDemand=76.3; Capacity=70.0</x:v>
      </x:c>
    </x:row>
    <x:row r="2336">
      <x:c r="A2336" t="n">
        <x:v>2333</x:v>
      </x:c>
      <x:c r="B2336" t="str">
        <x:v>PTN Akademik</x:v>
      </x:c>
      <x:c r="C2336" t="str">
        <x:v>INSTITUT TEKNOLOGI SEPULUH NOPEMBER</x:v>
      </x:c>
      <x:c r="D2336" t="str">
        <x:v>TEKNIK LINGKUNGAN</x:v>
      </x:c>
      <x:c r="E2336" t="str">
        <x:v>Sarjana</x:v>
      </x:c>
      <x:c r="F2336" s="18" t="n">
        <x:v>39</x:v>
      </x:c>
      <x:c r="G2336" s="18" t="n">
        <x:v>519</x:v>
      </x:c>
      <x:c r="H2336" s="19" t="n">
        <x:v>13.307692307692308</x:v>
      </x:c>
      <x:c r="I2336" s="18" t="n">
        <x:f>ROUND(MIN(Model_Config_v3!$B$6,MAX(Q2336,R2336,S2336*Model_Config_v3!$B$4+T2336*Model_Config_v3!$B$5)),0)</x:f>
        <x:v>686</x:v>
      </x:c>
      <x:c r="J2336" s="18" t="n">
        <x:f>MIN(Model_Config_v3!$B$6,I2336+Model_Config_v3!$B$7)</x:f>
        <x:v>706</x:v>
      </x:c>
      <x:c r="K2336" s="20" t="n">
        <x:v>72.1</x:v>
      </x:c>
      <x:c r="L2336" t="str">
        <x:v>SANGAT KETAT</x:v>
      </x:c>
      <x:c r="M2336" t="str">
        <x:v>SEDANG+</x:v>
      </x:c>
      <x:c r="N2336" t="str">
        <x:v>ELITE-2</x:v>
      </x:c>
      <x:c r="O2336" t="str">
        <x:v>SAINTEK</x:v>
      </x:c>
      <x:c r="P2336" t="str">
        <x:v>TEKNIK/ARSITEKTUR/STATISTIKA/AKTUARIA</x:v>
      </x:c>
      <x:c r="Q2336" s="18" t="n">
        <x:v>655</x:v>
      </x:c>
      <x:c r="R2336" s="18" t="n">
        <x:v>670</x:v>
      </x:c>
      <x:c r="S2336" s="18" t="n">
        <x:v>643.6513025904154</x:v>
      </x:c>
      <x:c r="T2336" s="18" t="n">
        <x:v>704</x:v>
      </x:c>
      <x:c r="U2336" s="18" t="n">
        <x:v>655</x:v>
      </x:c>
      <x:c r="V2336" s="20" t="n">
        <x:v>12</x:v>
      </x:c>
      <x:c r="W2336" s="20" t="n">
        <x:v>5</x:v>
      </x:c>
      <x:c r="X2336" s="20" t="n">
        <x:v>3</x:v>
      </x:c>
      <x:c r="Y2336" t="str">
        <x:v>Basis arsip 2025/2024</x:v>
      </x:c>
      <x:c r="Z2336" t="str">
        <x:v>https://snpmb.id/utbk-snbt/daya-tampung-snbt</x:v>
      </x:c>
      <x:c r="AA2336" t="str">
        <x:v>Tidak Ada</x:v>
      </x:c>
      <x:c r="AB2336" t="str">
        <x:v>Campus=90; Ratio=66.2; Prodi=60; RelDemand=53.1; Capacity=67.5</x:v>
      </x:c>
    </x:row>
    <x:row r="2337">
      <x:c r="A2337" t="n">
        <x:v>2334</x:v>
      </x:c>
      <x:c r="B2337" t="str">
        <x:v>PTN Akademik</x:v>
      </x:c>
      <x:c r="C2337" t="str">
        <x:v>INSTITUT TEKNOLOGI SEPULUH NOPEMBER</x:v>
      </x:c>
      <x:c r="D2337" t="str">
        <x:v>TEKNIK GEOMATIKA</x:v>
      </x:c>
      <x:c r="E2337" t="str">
        <x:v>Sarjana</x:v>
      </x:c>
      <x:c r="F2337" s="18" t="n">
        <x:v>39</x:v>
      </x:c>
      <x:c r="G2337" s="18" t="n">
        <x:v>304</x:v>
      </x:c>
      <x:c r="H2337" s="19" t="n">
        <x:v>7.794871794871795</x:v>
      </x:c>
      <x:c r="I2337" s="18" t="n">
        <x:f>ROUND(MIN(Model_Config_v3!$B$6,MAX(Q2337,R2337,S2337*Model_Config_v3!$B$4+T2337*Model_Config_v3!$B$5)),0)</x:f>
        <x:v>671</x:v>
      </x:c>
      <x:c r="J2337" s="18" t="n">
        <x:f>MIN(Model_Config_v3!$B$6,I2337+Model_Config_v3!$B$7)</x:f>
        <x:v>691</x:v>
      </x:c>
      <x:c r="K2337" s="20" t="n">
        <x:v>66.5</x:v>
      </x:c>
      <x:c r="L2337" t="str">
        <x:v>SANGAT KETAT</x:v>
      </x:c>
      <x:c r="M2337" t="str">
        <x:v>SEDANG+</x:v>
      </x:c>
      <x:c r="N2337" t="str">
        <x:v>ELITE-2</x:v>
      </x:c>
      <x:c r="O2337" t="str">
        <x:v>SAINTEK</x:v>
      </x:c>
      <x:c r="P2337" t="str">
        <x:v>TEKNIK/ARSITEKTUR/STATISTIKA/AKTUARIA</x:v>
      </x:c>
      <x:c r="Q2337" s="18" t="n">
        <x:v>655</x:v>
      </x:c>
      <x:c r="R2337" s="18" t="n">
        <x:v>670</x:v>
      </x:c>
      <x:c r="S2337" s="18" t="n">
        <x:v>618.098987424048</x:v>
      </x:c>
      <x:c r="T2337" s="18" t="n">
        <x:v>693</x:v>
      </x:c>
      <x:c r="U2337" s="18" t="n">
        <x:v>655</x:v>
      </x:c>
      <x:c r="V2337" s="20" t="n">
        <x:v>12</x:v>
      </x:c>
      <x:c r="W2337" s="20" t="n">
        <x:v>5</x:v>
      </x:c>
      <x:c r="X2337" s="20" t="n">
        <x:v>3</x:v>
      </x:c>
      <x:c r="Y2337" t="str">
        <x:v>Basis arsip 2025/2024</x:v>
      </x:c>
      <x:c r="Z2337" t="str">
        <x:v>https://snpmb.id/utbk-snbt/daya-tampung-snbt</x:v>
      </x:c>
      <x:c r="AA2337" t="str">
        <x:v>Tidak Ada</x:v>
      </x:c>
      <x:c r="AB2337" t="str">
        <x:v>Campus=90; Ratio=52.5; Prodi=60; RelDemand=31.1; Capacity=67.5</x:v>
      </x:c>
    </x:row>
    <x:row r="2338">
      <x:c r="A2338" t="n">
        <x:v>2335</x:v>
      </x:c>
      <x:c r="B2338" t="str">
        <x:v>PTN Akademik</x:v>
      </x:c>
      <x:c r="C2338" t="str">
        <x:v>INSTITUT TEKNOLOGI SEPULUH NOPEMBER</x:v>
      </x:c>
      <x:c r="D2338" t="str">
        <x:v>PERENCANAAN WILAYAH DAN KOTA</x:v>
      </x:c>
      <x:c r="E2338" t="str">
        <x:v>Sarjana</x:v>
      </x:c>
      <x:c r="F2338" s="18" t="n">
        <x:v>51</x:v>
      </x:c>
      <x:c r="G2338" s="18" t="n">
        <x:v>606</x:v>
      </x:c>
      <x:c r="H2338" s="19" t="n">
        <x:v>11.882352941176471</x:v>
      </x:c>
      <x:c r="I2338" s="18" t="n">
        <x:f>ROUND(MIN(Model_Config_v3!$B$6,MAX(Q2338,R2338,S2338*Model_Config_v3!$B$4+T2338*Model_Config_v3!$B$5)),0)</x:f>
        <x:v>676</x:v>
      </x:c>
      <x:c r="J2338" s="18" t="n">
        <x:f>MIN(Model_Config_v3!$B$6,I2338+Model_Config_v3!$B$7)</x:f>
        <x:v>696</x:v>
      </x:c>
      <x:c r="K2338" s="20" t="n">
        <x:v>65.8</x:v>
      </x:c>
      <x:c r="L2338" t="str">
        <x:v>SANGAT KETAT</x:v>
      </x:c>
      <x:c r="M2338" t="str">
        <x:v>SEDANG+</x:v>
      </x:c>
      <x:c r="N2338" t="str">
        <x:v>ELITE-2</x:v>
      </x:c>
      <x:c r="O2338" t="str">
        <x:v>CAMPURAN</x:v>
      </x:c>
      <x:c r="P2338" t="str">
        <x:v>UMUM</x:v>
      </x:c>
      <x:c r="Q2338" s="18" t="n">
        <x:v>655</x:v>
      </x:c>
      <x:c r="R2338" s="18" t="n">
        <x:v>0</x:v>
      </x:c>
      <x:c r="S2338" s="18" t="n">
        <x:v>638.2392692875185</x:v>
      </x:c>
      <x:c r="T2338" s="18" t="n">
        <x:v>692</x:v>
      </x:c>
      <x:c r="U2338" s="18" t="n">
        <x:v>655</x:v>
      </x:c>
      <x:c r="V2338" s="20" t="n">
        <x:v>8.8</x:v>
      </x:c>
      <x:c r="W2338" s="20" t="n">
        <x:v>9.9</x:v>
      </x:c>
      <x:c r="X2338" s="20" t="n">
        <x:v>3.3</x:v>
      </x:c>
      <x:c r="Y2338" t="str">
        <x:v>Basis arsip 2025/2024</x:v>
      </x:c>
      <x:c r="Z2338" t="str">
        <x:v>https://snpmb.id/utbk-snbt/daya-tampung-snbt</x:v>
      </x:c>
      <x:c r="AA2338" t="str">
        <x:v>Tidak Ada</x:v>
      </x:c>
      <x:c r="AB2338" t="str">
        <x:v>Campus=90; Ratio=63.3; Prodi=40; RelDemand=47.4; Capacity=57.5</x:v>
      </x:c>
    </x:row>
    <x:row r="2339">
      <x:c r="A2339" t="n">
        <x:v>2336</x:v>
      </x:c>
      <x:c r="B2339" t="str">
        <x:v>PTN Akademik</x:v>
      </x:c>
      <x:c r="C2339" t="str">
        <x:v>INSTITUT TEKNOLOGI SEPULUH NOPEMBER</x:v>
      </x:c>
      <x:c r="D2339" t="str">
        <x:v>TEKNIK PERKAPALAN</x:v>
      </x:c>
      <x:c r="E2339" t="str">
        <x:v>Sarjana</x:v>
      </x:c>
      <x:c r="F2339" s="18" t="n">
        <x:v>54</x:v>
      </x:c>
      <x:c r="G2339" s="18" t="n">
        <x:v>591</x:v>
      </x:c>
      <x:c r="H2339" s="19" t="n">
        <x:v>10.944444444444445</x:v>
      </x:c>
      <x:c r="I2339" s="18" t="n">
        <x:f>ROUND(MIN(Model_Config_v3!$B$6,MAX(Q2339,R2339,S2339*Model_Config_v3!$B$4+T2339*Model_Config_v3!$B$5)),0)</x:f>
        <x:v>678</x:v>
      </x:c>
      <x:c r="J2339" s="18" t="n">
        <x:f>MIN(Model_Config_v3!$B$6,I2339+Model_Config_v3!$B$7)</x:f>
        <x:v>698</x:v>
      </x:c>
      <x:c r="K2339" s="20" t="n">
        <x:v>68.7</x:v>
      </x:c>
      <x:c r="L2339" t="str">
        <x:v>SANGAT KETAT</x:v>
      </x:c>
      <x:c r="M2339" t="str">
        <x:v>SEDANG+</x:v>
      </x:c>
      <x:c r="N2339" t="str">
        <x:v>ELITE-2</x:v>
      </x:c>
      <x:c r="O2339" t="str">
        <x:v>SAINTEK</x:v>
      </x:c>
      <x:c r="P2339" t="str">
        <x:v>TEKNIK/ARSITEKTUR/STATISTIKA/AKTUARIA</x:v>
      </x:c>
      <x:c r="Q2339" s="18" t="n">
        <x:v>655</x:v>
      </x:c>
      <x:c r="R2339" s="18" t="n">
        <x:v>670</x:v>
      </x:c>
      <x:c r="S2339" s="18" t="n">
        <x:v>634.3113093164116</x:v>
      </x:c>
      <x:c r="T2339" s="18" t="n">
        <x:v>697</x:v>
      </x:c>
      <x:c r="U2339" s="18" t="n">
        <x:v>655</x:v>
      </x:c>
      <x:c r="V2339" s="20" t="n">
        <x:v>12</x:v>
      </x:c>
      <x:c r="W2339" s="20" t="n">
        <x:v>5</x:v>
      </x:c>
      <x:c r="X2339" s="20" t="n">
        <x:v>3</x:v>
      </x:c>
      <x:c r="Y2339" t="str">
        <x:v>Basis arsip 2025/2024</x:v>
      </x:c>
      <x:c r="Z2339" t="str">
        <x:v>https://snpmb.id/utbk-snbt/daya-tampung-snbt</x:v>
      </x:c>
      <x:c r="AA2339" t="str">
        <x:v>Tidak Ada</x:v>
      </x:c>
      <x:c r="AB2339" t="str">
        <x:v>Campus=90; Ratio=61.2; Prodi=60; RelDemand=43.7; Capacity=55.0</x:v>
      </x:c>
    </x:row>
    <x:row r="2340">
      <x:c r="A2340" t="n">
        <x:v>2337</x:v>
      </x:c>
      <x:c r="B2340" t="str">
        <x:v>PTN Akademik</x:v>
      </x:c>
      <x:c r="C2340" t="str">
        <x:v>INSTITUT TEKNOLOGI SEPULUH NOPEMBER</x:v>
      </x:c>
      <x:c r="D2340" t="str">
        <x:v>TEKNIK KELAUTAN</x:v>
      </x:c>
      <x:c r="E2340" t="str">
        <x:v>Sarjana</x:v>
      </x:c>
      <x:c r="F2340" s="18" t="n">
        <x:v>54</x:v>
      </x:c>
      <x:c r="G2340" s="18" t="n">
        <x:v>366</x:v>
      </x:c>
      <x:c r="H2340" s="19" t="n">
        <x:v>6.777777777777778</x:v>
      </x:c>
      <x:c r="I2340" s="18" t="n">
        <x:f>ROUND(MIN(Model_Config_v3!$B$6,MAX(Q2340,R2340,S2340*Model_Config_v3!$B$4+T2340*Model_Config_v3!$B$5)),0)</x:f>
        <x:v>670</x:v>
      </x:c>
      <x:c r="J2340" s="18" t="n">
        <x:f>MIN(Model_Config_v3!$B$6,I2340+Model_Config_v3!$B$7)</x:f>
        <x:v>690</x:v>
      </x:c>
      <x:c r="K2340" s="20" t="n">
        <x:v>63.9</x:v>
      </x:c>
      <x:c r="L2340" t="str">
        <x:v>KETAT</x:v>
      </x:c>
      <x:c r="M2340" t="str">
        <x:v>SEDANG+</x:v>
      </x:c>
      <x:c r="N2340" t="str">
        <x:v>ELITE-2</x:v>
      </x:c>
      <x:c r="O2340" t="str">
        <x:v>SAINTEK</x:v>
      </x:c>
      <x:c r="P2340" t="str">
        <x:v>TEKNIK/ARSITEKTUR/STATISTIKA/AKTUARIA</x:v>
      </x:c>
      <x:c r="Q2340" s="18" t="n">
        <x:v>655</x:v>
      </x:c>
      <x:c r="R2340" s="18" t="n">
        <x:v>670</x:v>
      </x:c>
      <x:c r="S2340" s="18" t="n">
        <x:v>611.4196058128587</x:v>
      </x:c>
      <x:c r="T2340" s="18" t="n">
        <x:v>688</x:v>
      </x:c>
      <x:c r="U2340" s="18" t="n">
        <x:v>655</x:v>
      </x:c>
      <x:c r="V2340" s="20" t="n">
        <x:v>12</x:v>
      </x:c>
      <x:c r="W2340" s="20" t="n">
        <x:v>5</x:v>
      </x:c>
      <x:c r="X2340" s="20" t="n">
        <x:v>3</x:v>
      </x:c>
      <x:c r="Y2340" t="str">
        <x:v>Basis arsip 2025/2024</x:v>
      </x:c>
      <x:c r="Z2340" t="str">
        <x:v>https://snpmb.id/utbk-snbt/daya-tampung-snbt</x:v>
      </x:c>
      <x:c r="AA2340" t="str">
        <x:v>Tidak Ada</x:v>
      </x:c>
      <x:c r="AB2340" t="str">
        <x:v>Campus=90; Ratio=48.9; Prodi=60; RelDemand=27.1; Capacity=55.0</x:v>
      </x:c>
    </x:row>
    <x:row r="2341">
      <x:c r="A2341" t="n">
        <x:v>2338</x:v>
      </x:c>
      <x:c r="B2341" t="str">
        <x:v>PTN Akademik</x:v>
      </x:c>
      <x:c r="C2341" t="str">
        <x:v>INSTITUT TEKNOLOGI SEPULUH NOPEMBER</x:v>
      </x:c>
      <x:c r="D2341" t="str">
        <x:v>TEKNIK SISTEM PERKAPALAN</x:v>
      </x:c>
      <x:c r="E2341" t="str">
        <x:v>Sarjana</x:v>
      </x:c>
      <x:c r="F2341" s="18" t="n">
        <x:v>63</x:v>
      </x:c>
      <x:c r="G2341" s="18" t="n">
        <x:v>426</x:v>
      </x:c>
      <x:c r="H2341" s="19" t="n">
        <x:v>6.761904761904762</x:v>
      </x:c>
      <x:c r="I2341" s="18" t="n">
        <x:f>ROUND(MIN(Model_Config_v3!$B$6,MAX(Q2341,R2341,S2341*Model_Config_v3!$B$4+T2341*Model_Config_v3!$B$5)),0)</x:f>
        <x:v>670</x:v>
      </x:c>
      <x:c r="J2341" s="18" t="n">
        <x:f>MIN(Model_Config_v3!$B$6,I2341+Model_Config_v3!$B$7)</x:f>
        <x:v>690</x:v>
      </x:c>
      <x:c r="K2341" s="20" t="n">
        <x:v>63.2</x:v>
      </x:c>
      <x:c r="L2341" t="str">
        <x:v>KETAT</x:v>
      </x:c>
      <x:c r="M2341" t="str">
        <x:v>SEDANG+</x:v>
      </x:c>
      <x:c r="N2341" t="str">
        <x:v>ELITE-2</x:v>
      </x:c>
      <x:c r="O2341" t="str">
        <x:v>SAINTEK</x:v>
      </x:c>
      <x:c r="P2341" t="str">
        <x:v>TEKNIK/ARSITEKTUR/STATISTIKA/AKTUARIA</x:v>
      </x:c>
      <x:c r="Q2341" s="18" t="n">
        <x:v>655</x:v>
      </x:c>
      <x:c r="R2341" s="18" t="n">
        <x:v>670</x:v>
      </x:c>
      <x:c r="S2341" s="18" t="n">
        <x:v>611.3075954614051</x:v>
      </x:c>
      <x:c r="T2341" s="18" t="n">
        <x:v>686</x:v>
      </x:c>
      <x:c r="U2341" s="18" t="n">
        <x:v>655</x:v>
      </x:c>
      <x:c r="V2341" s="20" t="n">
        <x:v>12</x:v>
      </x:c>
      <x:c r="W2341" s="20" t="n">
        <x:v>5</x:v>
      </x:c>
      <x:c r="X2341" s="20" t="n">
        <x:v>3</x:v>
      </x:c>
      <x:c r="Y2341" t="str">
        <x:v>Basis arsip 2025/2024</x:v>
      </x:c>
      <x:c r="Z2341" t="str">
        <x:v>https://snpmb.id/utbk-snbt/daya-tampung-snbt</x:v>
      </x:c>
      <x:c r="AA2341" t="str">
        <x:v>Tidak Ada</x:v>
      </x:c>
      <x:c r="AB2341" t="str">
        <x:v>Campus=90; Ratio=48.9; Prodi=60; RelDemand=27.0; Capacity=47.5</x:v>
      </x:c>
    </x:row>
    <x:row r="2342">
      <x:c r="A2342" t="n">
        <x:v>2339</x:v>
      </x:c>
      <x:c r="B2342" t="str">
        <x:v>PTN Akademik</x:v>
      </x:c>
      <x:c r="C2342" t="str">
        <x:v>INSTITUT TEKNOLOGI SEPULUH NOPEMBER</x:v>
      </x:c>
      <x:c r="D2342" t="str">
        <x:v>TEKNIK INFORMATIKA</x:v>
      </x:c>
      <x:c r="E2342" t="str">
        <x:v>Sarjana</x:v>
      </x:c>
      <x:c r="F2342" s="18" t="n">
        <x:v>84</x:v>
      </x:c>
      <x:c r="G2342" s="18" t="n">
        <x:v>2225</x:v>
      </x:c>
      <x:c r="H2342" s="19" t="n">
        <x:v>26.488095238095237</x:v>
      </x:c>
      <x:c r="I2342" s="18" t="n">
        <x:f>ROUND(MIN(Model_Config_v3!$B$6,MAX(Q2342,R2342,S2342*Model_Config_v3!$B$4+T2342*Model_Config_v3!$B$5)),0)</x:f>
        <x:v>710</x:v>
      </x:c>
      <x:c r="J2342" s="18" t="n">
        <x:f>MIN(Model_Config_v3!$B$6,I2342+Model_Config_v3!$B$7)</x:f>
        <x:v>730</x:v>
      </x:c>
      <x:c r="K2342" s="20" t="n">
        <x:v>82.4</x:v>
      </x:c>
      <x:c r="L2342" t="str">
        <x:v>ELITE</x:v>
      </x:c>
      <x:c r="M2342" t="str">
        <x:v>SEDANG+</x:v>
      </x:c>
      <x:c r="N2342" t="str">
        <x:v>ELITE-2</x:v>
      </x:c>
      <x:c r="O2342" t="str">
        <x:v>SAINTEK</x:v>
      </x:c>
      <x:c r="P2342" t="str">
        <x:v>KOMPUTER/INFORMATIKA</x:v>
      </x:c>
      <x:c r="Q2342" s="18" t="n">
        <x:v>655</x:v>
      </x:c>
      <x:c r="R2342" s="18" t="n">
        <x:v>695</x:v>
      </x:c>
      <x:c r="S2342" s="18" t="n">
        <x:v>676.5355802180575</x:v>
      </x:c>
      <x:c r="T2342" s="18" t="n">
        <x:v>725</x:v>
      </x:c>
      <x:c r="U2342" s="18" t="n">
        <x:v>701.5355802180575</x:v>
      </x:c>
      <x:c r="V2342" s="20" t="n">
        <x:v>12</x:v>
      </x:c>
      <x:c r="W2342" s="20" t="n">
        <x:v>5</x:v>
      </x:c>
      <x:c r="X2342" s="20" t="n">
        <x:v>3</x:v>
      </x:c>
      <x:c r="Y2342" t="str">
        <x:v>Basis arsip 2025/2024</x:v>
      </x:c>
      <x:c r="Z2342" t="str">
        <x:v>https://snpmb.id/utbk-snbt/daya-tampung-snbt</x:v>
      </x:c>
      <x:c r="AA2342" t="str">
        <x:v>Tidak Ada</x:v>
      </x:c>
      <x:c r="AB2342" t="str">
        <x:v>Campus=90; Ratio=83.8; Prodi=85; RelDemand=100.0; Capacity=30.0</x:v>
      </x:c>
    </x:row>
    <x:row r="2343">
      <x:c r="A2343" t="n">
        <x:v>2340</x:v>
      </x:c>
      <x:c r="B2343" t="str">
        <x:v>PTN Akademik</x:v>
      </x:c>
      <x:c r="C2343" t="str">
        <x:v>INSTITUT TEKNOLOGI SEPULUH NOPEMBER</x:v>
      </x:c>
      <x:c r="D2343" t="str">
        <x:v>SISTEM INFORMASI</x:v>
      </x:c>
      <x:c r="E2343" t="str">
        <x:v>Sarjana</x:v>
      </x:c>
      <x:c r="F2343" s="18" t="n">
        <x:v>63</x:v>
      </x:c>
      <x:c r="G2343" s="18" t="n">
        <x:v>1156</x:v>
      </x:c>
      <x:c r="H2343" s="19" t="n">
        <x:v>18.349206349206348</x:v>
      </x:c>
      <x:c r="I2343" s="18" t="n">
        <x:f>ROUND(MIN(Model_Config_v3!$B$6,MAX(Q2343,R2343,S2343*Model_Config_v3!$B$4+T2343*Model_Config_v3!$B$5)),0)</x:f>
        <x:v>700</x:v>
      </x:c>
      <x:c r="J2343" s="18" t="n">
        <x:f>MIN(Model_Config_v3!$B$6,I2343+Model_Config_v3!$B$7)</x:f>
        <x:v>720</x:v>
      </x:c>
      <x:c r="K2343" s="20" t="n">
        <x:v>79.2</x:v>
      </x:c>
      <x:c r="L2343" t="str">
        <x:v>ELITE</x:v>
      </x:c>
      <x:c r="M2343" t="str">
        <x:v>SEDANG+</x:v>
      </x:c>
      <x:c r="N2343" t="str">
        <x:v>ELITE-2</x:v>
      </x:c>
      <x:c r="O2343" t="str">
        <x:v>CAMPURAN</x:v>
      </x:c>
      <x:c r="P2343" t="str">
        <x:v>KOMPUTER/INFORMATIKA</x:v>
      </x:c>
      <x:c r="Q2343" s="18" t="n">
        <x:v>655</x:v>
      </x:c>
      <x:c r="R2343" s="18" t="n">
        <x:v>695</x:v>
      </x:c>
      <x:c r="S2343" s="18" t="n">
        <x:v>658.9979013094021</x:v>
      </x:c>
      <x:c r="T2343" s="18" t="n">
        <x:v>718</x:v>
      </x:c>
      <x:c r="U2343" s="18" t="n">
        <x:v>695</x:v>
      </x:c>
      <x:c r="V2343" s="20" t="n">
        <x:v>8.8</x:v>
      </x:c>
      <x:c r="W2343" s="20" t="n">
        <x:v>9.9</x:v>
      </x:c>
      <x:c r="X2343" s="20" t="n">
        <x:v>3.3</x:v>
      </x:c>
      <x:c r="Y2343" t="str">
        <x:v>Basis arsip 2025/2024</x:v>
      </x:c>
      <x:c r="Z2343" t="str">
        <x:v>https://snpmb.id/utbk-snbt/daya-tampung-snbt</x:v>
      </x:c>
      <x:c r="AA2343" t="str">
        <x:v>Tidak Ada</x:v>
      </x:c>
      <x:c r="AB2343" t="str">
        <x:v>Campus=90; Ratio=74.4; Prodi=85; RelDemand=73.2; Capacity=47.5</x:v>
      </x:c>
    </x:row>
    <x:row r="2344">
      <x:c r="A2344" t="n">
        <x:v>2341</x:v>
      </x:c>
      <x:c r="B2344" t="str">
        <x:v>PTN Akademik</x:v>
      </x:c>
      <x:c r="C2344" t="str">
        <x:v>INSTITUT TEKNOLOGI SEPULUH NOPEMBER</x:v>
      </x:c>
      <x:c r="D2344" t="str">
        <x:v>DESAIN PRODUK INDUSTRI</x:v>
      </x:c>
      <x:c r="E2344" t="str">
        <x:v>Sarjana</x:v>
      </x:c>
      <x:c r="F2344" s="18" t="n">
        <x:v>48</x:v>
      </x:c>
      <x:c r="G2344" s="18" t="n">
        <x:v>182</x:v>
      </x:c>
      <x:c r="H2344" s="19" t="n">
        <x:v>3.7916666666666665</x:v>
      </x:c>
      <x:c r="I2344" s="18" t="n">
        <x:f>ROUND(MIN(Model_Config_v3!$B$6,MAX(Q2344,R2344,S2344*Model_Config_v3!$B$4+T2344*Model_Config_v3!$B$5)),0)</x:f>
        <x:v>655</x:v>
      </x:c>
      <x:c r="J2344" s="18" t="n">
        <x:f>MIN(Model_Config_v3!$B$6,I2344+Model_Config_v3!$B$7)</x:f>
        <x:v>675</x:v>
      </x:c>
      <x:c r="K2344" s="20" t="n">
        <x:v>56.5</x:v>
      </x:c>
      <x:c r="L2344" t="str">
        <x:v>KETAT</x:v>
      </x:c>
      <x:c r="M2344" t="str">
        <x:v>PORTOFOLIO</x:v>
      </x:c>
      <x:c r="N2344" t="str">
        <x:v>ELITE-2</x:v>
      </x:c>
      <x:c r="O2344" t="str">
        <x:v>SENI/OLAHRAGA</x:v>
      </x:c>
      <x:c r="P2344" t="str">
        <x:v>SENI/OLAHRAGA</x:v>
      </x:c>
      <x:c r="Q2344" s="18" t="n">
        <x:v>655</x:v>
      </x:c>
      <x:c r="R2344" s="18" t="n">
        <x:v>0</x:v>
      </x:c>
      <x:c r="S2344" s="18" t="n">
        <x:v>583.6713165670436</x:v>
      </x:c>
      <x:c r="T2344" s="18" t="n">
        <x:v>673</x:v>
      </x:c>
      <x:c r="U2344" s="18" t="n">
        <x:v>655</x:v>
      </x:c>
      <x:c r="V2344" s="20" t="n">
        <x:v>4.4</x:v>
      </x:c>
      <x:c r="W2344" s="20" t="n">
        <x:v>9.9</x:v>
      </x:c>
      <x:c r="X2344" s="20" t="n">
        <x:v>7.7</x:v>
      </x:c>
      <x:c r="Y2344" t="str">
        <x:v>Basis arsip 2025/2024</x:v>
      </x:c>
      <x:c r="Z2344" t="str">
        <x:v>https://snpmb.id/utbk-snbt/daya-tampung-snbt</x:v>
      </x:c>
      <x:c r="AA2344" t="str">
        <x:v>Seni Rupa, Desain, dan Kriya</x:v>
      </x:c>
      <x:c r="AB2344" t="str">
        <x:v>Campus=90; Ratio=34.1; Prodi=45; RelDemand=15.1; Capacity=60.0</x:v>
      </x:c>
    </x:row>
    <x:row r="2345">
      <x:c r="A2345" t="n">
        <x:v>2342</x:v>
      </x:c>
      <x:c r="B2345" t="str">
        <x:v>PTN Akademik</x:v>
      </x:c>
      <x:c r="C2345" t="str">
        <x:v>INSTITUT TEKNOLOGI SEPULUH NOPEMBER</x:v>
      </x:c>
      <x:c r="D2345" t="str">
        <x:v>TEKNIK TRANSPORTASI LAUT</x:v>
      </x:c>
      <x:c r="E2345" t="str">
        <x:v>Sarjana</x:v>
      </x:c>
      <x:c r="F2345" s="18" t="n">
        <x:v>36</x:v>
      </x:c>
      <x:c r="G2345" s="18" t="n">
        <x:v>231</x:v>
      </x:c>
      <x:c r="H2345" s="19" t="n">
        <x:v>6.416666666666667</x:v>
      </x:c>
      <x:c r="I2345" s="18" t="n">
        <x:f>ROUND(MIN(Model_Config_v3!$B$6,MAX(Q2345,R2345,S2345*Model_Config_v3!$B$4+T2345*Model_Config_v3!$B$5)),0)</x:f>
        <x:v>670</x:v>
      </x:c>
      <x:c r="J2345" s="18" t="n">
        <x:f>MIN(Model_Config_v3!$B$6,I2345+Model_Config_v3!$B$7)</x:f>
        <x:v>690</x:v>
      </x:c>
      <x:c r="K2345" s="20" t="n">
        <x:v>64.9</x:v>
      </x:c>
      <x:c r="L2345" t="str">
        <x:v>KETAT</x:v>
      </x:c>
      <x:c r="M2345" t="str">
        <x:v>SEDANG+</x:v>
      </x:c>
      <x:c r="N2345" t="str">
        <x:v>ELITE-2</x:v>
      </x:c>
      <x:c r="O2345" t="str">
        <x:v>SAINTEK</x:v>
      </x:c>
      <x:c r="P2345" t="str">
        <x:v>TEKNIK/ARSITEKTUR/STATISTIKA/AKTUARIA</x:v>
      </x:c>
      <x:c r="Q2345" s="18" t="n">
        <x:v>655</x:v>
      </x:c>
      <x:c r="R2345" s="18" t="n">
        <x:v>670</x:v>
      </x:c>
      <x:c r="S2345" s="18" t="n">
        <x:v>608.8040427037342</x:v>
      </x:c>
      <x:c r="T2345" s="18" t="n">
        <x:v>690</x:v>
      </x:c>
      <x:c r="U2345" s="18" t="n">
        <x:v>655</x:v>
      </x:c>
      <x:c r="V2345" s="20" t="n">
        <x:v>12</x:v>
      </x:c>
      <x:c r="W2345" s="20" t="n">
        <x:v>5</x:v>
      </x:c>
      <x:c r="X2345" s="20" t="n">
        <x:v>3</x:v>
      </x:c>
      <x:c r="Y2345" t="str">
        <x:v>Basis arsip 2025/2024</x:v>
      </x:c>
      <x:c r="Z2345" t="str">
        <x:v>https://snpmb.id/utbk-snbt/daya-tampung-snbt</x:v>
      </x:c>
      <x:c r="AA2345" t="str">
        <x:v>Tidak Ada</x:v>
      </x:c>
      <x:c r="AB2345" t="str">
        <x:v>Campus=90; Ratio=47.5; Prodi=60; RelDemand=25.6; Capacity=70.0</x:v>
      </x:c>
    </x:row>
    <x:row r="2346">
      <x:c r="A2346" t="n">
        <x:v>2343</x:v>
      </x:c>
      <x:c r="B2346" t="str">
        <x:v>PTN Akademik</x:v>
      </x:c>
      <x:c r="C2346" t="str">
        <x:v>INSTITUT TEKNOLOGI SEPULUH NOPEMBER</x:v>
      </x:c>
      <x:c r="D2346" t="str">
        <x:v>TEK. SIST PERKAPALAN (GLR GANDA ITS-JERMAN)</x:v>
      </x:c>
      <x:c r="E2346" t="str">
        <x:v>Sarjana</x:v>
      </x:c>
      <x:c r="F2346" s="18" t="n">
        <x:v>27</x:v>
      </x:c>
      <x:c r="G2346" s="18" t="n">
        <x:v>136</x:v>
      </x:c>
      <x:c r="H2346" s="19" t="n">
        <x:v>5.037037037037037</x:v>
      </x:c>
      <x:c r="I2346" s="18" t="n">
        <x:f>ROUND(MIN(Model_Config_v3!$B$6,MAX(Q2346,R2346,S2346*Model_Config_v3!$B$4+T2346*Model_Config_v3!$B$5)),0)</x:f>
        <x:v>655</x:v>
      </x:c>
      <x:c r="J2346" s="18" t="n">
        <x:f>MIN(Model_Config_v3!$B$6,I2346+Model_Config_v3!$B$7)</x:f>
        <x:v>675</x:v>
      </x:c>
      <x:c r="K2346" s="20" t="n">
        <x:v>59.6</x:v>
      </x:c>
      <x:c r="L2346" t="str">
        <x:v>KETAT</x:v>
      </x:c>
      <x:c r="M2346" t="str">
        <x:v>SEDANG+</x:v>
      </x:c>
      <x:c r="N2346" t="str">
        <x:v>ELITE-2</x:v>
      </x:c>
      <x:c r="O2346" t="str">
        <x:v>CAMPURAN</x:v>
      </x:c>
      <x:c r="P2346" t="str">
        <x:v>UMUM</x:v>
      </x:c>
      <x:c r="Q2346" s="18" t="n">
        <x:v>655</x:v>
      </x:c>
      <x:c r="R2346" s="18" t="n">
        <x:v>0</x:v>
      </x:c>
      <x:c r="S2346" s="18" t="n">
        <x:v>597.2392658632353</x:v>
      </x:c>
      <x:c r="T2346" s="18" t="n">
        <x:v>679</x:v>
      </x:c>
      <x:c r="U2346" s="18" t="n">
        <x:v>655</x:v>
      </x:c>
      <x:c r="V2346" s="20" t="n">
        <x:v>8.8</x:v>
      </x:c>
      <x:c r="W2346" s="20" t="n">
        <x:v>9.9</x:v>
      </x:c>
      <x:c r="X2346" s="20" t="n">
        <x:v>3.3</x:v>
      </x:c>
      <x:c r="Y2346" t="str">
        <x:v>Basis arsip 2025/2024</x:v>
      </x:c>
      <x:c r="Z2346" t="str">
        <x:v>https://snpmb.id/utbk-snbt/daya-tampung-snbt</x:v>
      </x:c>
      <x:c r="AA2346" t="str">
        <x:v>Tidak Ada</x:v>
      </x:c>
      <x:c r="AB2346" t="str">
        <x:v>Campus=90; Ratio=41.3; Prodi=40; RelDemand=20.1; Capacity=77.5</x:v>
      </x:c>
    </x:row>
    <x:row r="2347">
      <x:c r="A2347" t="n">
        <x:v>2344</x:v>
      </x:c>
      <x:c r="B2347" t="str">
        <x:v>PTN Akademik</x:v>
      </x:c>
      <x:c r="C2347" t="str">
        <x:v>INSTITUT TEKNOLOGI SEPULUH NOPEMBER</x:v>
      </x:c>
      <x:c r="D2347" t="str">
        <x:v>TEKNIK KOMPUTER</x:v>
      </x:c>
      <x:c r="E2347" t="str">
        <x:v>Sarjana</x:v>
      </x:c>
      <x:c r="F2347" s="18" t="n">
        <x:v>42</x:v>
      </x:c>
      <x:c r="G2347" s="18" t="n">
        <x:v>496</x:v>
      </x:c>
      <x:c r="H2347" s="19" t="n">
        <x:v>11.80952380952381</x:v>
      </x:c>
      <x:c r="I2347" s="18" t="n">
        <x:f>ROUND(MIN(Model_Config_v3!$B$6,MAX(Q2347,R2347,S2347*Model_Config_v3!$B$4+T2347*Model_Config_v3!$B$5)),0)</x:f>
        <x:v>695</x:v>
      </x:c>
      <x:c r="J2347" s="18" t="n">
        <x:f>MIN(Model_Config_v3!$B$6,I2347+Model_Config_v3!$B$7)</x:f>
        <x:v>715</x:v>
      </x:c>
      <x:c r="K2347" s="20" t="n">
        <x:v>75.5</x:v>
      </x:c>
      <x:c r="L2347" t="str">
        <x:v>ELITE</x:v>
      </x:c>
      <x:c r="M2347" t="str">
        <x:v>SEDANG+</x:v>
      </x:c>
      <x:c r="N2347" t="str">
        <x:v>ELITE-2</x:v>
      </x:c>
      <x:c r="O2347" t="str">
        <x:v>SAINTEK</x:v>
      </x:c>
      <x:c r="P2347" t="str">
        <x:v>KOMPUTER/INFORMATIKA</x:v>
      </x:c>
      <x:c r="Q2347" s="18" t="n">
        <x:v>655</x:v>
      </x:c>
      <x:c r="R2347" s="18" t="n">
        <x:v>695</x:v>
      </x:c>
      <x:c r="S2347" s="18" t="n">
        <x:v>637.9455624701527</x:v>
      </x:c>
      <x:c r="T2347" s="18" t="n">
        <x:v>711</x:v>
      </x:c>
      <x:c r="U2347" s="18" t="n">
        <x:v>695</x:v>
      </x:c>
      <x:c r="V2347" s="20" t="n">
        <x:v>12</x:v>
      </x:c>
      <x:c r="W2347" s="20" t="n">
        <x:v>5</x:v>
      </x:c>
      <x:c r="X2347" s="20" t="n">
        <x:v>3</x:v>
      </x:c>
      <x:c r="Y2347" t="str">
        <x:v>Basis arsip 2025/2024</x:v>
      </x:c>
      <x:c r="Z2347" t="str">
        <x:v>https://snpmb.id/utbk-snbt/daya-tampung-snbt</x:v>
      </x:c>
      <x:c r="AA2347" t="str">
        <x:v>Tidak Ada</x:v>
      </x:c>
      <x:c r="AB2347" t="str">
        <x:v>Campus=90; Ratio=63.1; Prodi=85; RelDemand=47.1; Capacity=65.0</x:v>
      </x:c>
    </x:row>
    <x:row r="2348">
      <x:c r="A2348" t="n">
        <x:v>2345</x:v>
      </x:c>
      <x:c r="B2348" t="str">
        <x:v>PTN Akademik</x:v>
      </x:c>
      <x:c r="C2348" t="str">
        <x:v>INSTITUT TEKNOLOGI SEPULUH NOPEMBER</x:v>
      </x:c>
      <x:c r="D2348" t="str">
        <x:v>TEKNIK GEOFISIKA</x:v>
      </x:c>
      <x:c r="E2348" t="str">
        <x:v>Sarjana</x:v>
      </x:c>
      <x:c r="F2348" s="18" t="n">
        <x:v>27</x:v>
      </x:c>
      <x:c r="G2348" s="18" t="n">
        <x:v>275</x:v>
      </x:c>
      <x:c r="H2348" s="19" t="n">
        <x:v>10.185185185185185</x:v>
      </x:c>
      <x:c r="I2348" s="18" t="n">
        <x:f>ROUND(MIN(Model_Config_v3!$B$6,MAX(Q2348,R2348,S2348*Model_Config_v3!$B$4+T2348*Model_Config_v3!$B$5)),0)</x:f>
        <x:v>679</x:v>
      </x:c>
      <x:c r="J2348" s="18" t="n">
        <x:f>MIN(Model_Config_v3!$B$6,I2348+Model_Config_v3!$B$7)</x:f>
        <x:v>699</x:v>
      </x:c>
      <x:c r="K2348" s="20" t="n">
        <x:v>70.1</x:v>
      </x:c>
      <x:c r="L2348" t="str">
        <x:v>SANGAT KETAT</x:v>
      </x:c>
      <x:c r="M2348" t="str">
        <x:v>SEDANG+</x:v>
      </x:c>
      <x:c r="N2348" t="str">
        <x:v>ELITE-2</x:v>
      </x:c>
      <x:c r="O2348" t="str">
        <x:v>SAINTEK</x:v>
      </x:c>
      <x:c r="P2348" t="str">
        <x:v>TEKNIK/ARSITEKTUR/STATISTIKA/AKTUARIA</x:v>
      </x:c>
      <x:c r="Q2348" s="18" t="n">
        <x:v>655</x:v>
      </x:c>
      <x:c r="R2348" s="18" t="n">
        <x:v>670</x:v>
      </x:c>
      <x:c r="S2348" s="18" t="n">
        <x:v>630.8765822638403</x:v>
      </x:c>
      <x:c r="T2348" s="18" t="n">
        <x:v>700</x:v>
      </x:c>
      <x:c r="U2348" s="18" t="n">
        <x:v>655</x:v>
      </x:c>
      <x:c r="V2348" s="20" t="n">
        <x:v>12</x:v>
      </x:c>
      <x:c r="W2348" s="20" t="n">
        <x:v>5</x:v>
      </x:c>
      <x:c r="X2348" s="20" t="n">
        <x:v>3</x:v>
      </x:c>
      <x:c r="Y2348" t="str">
        <x:v>Basis arsip 2025/2024</x:v>
      </x:c>
      <x:c r="Z2348" t="str">
        <x:v>https://snpmb.id/utbk-snbt/daya-tampung-snbt</x:v>
      </x:c>
      <x:c r="AA2348" t="str">
        <x:v>Tidak Ada</x:v>
      </x:c>
      <x:c r="AB2348" t="str">
        <x:v>Campus=90; Ratio=59.3; Prodi=60; RelDemand=40.7; Capacity=77.5</x:v>
      </x:c>
    </x:row>
    <x:row r="2349">
      <x:c r="A2349" t="n">
        <x:v>2346</x:v>
      </x:c>
      <x:c r="B2349" t="str">
        <x:v>PTN Akademik</x:v>
      </x:c>
      <x:c r="C2349" t="str">
        <x:v>INSTITUT TEKNOLOGI SEPULUH NOPEMBER</x:v>
      </x:c>
      <x:c r="D2349" t="str">
        <x:v>DESAIN INTERIOR</x:v>
      </x:c>
      <x:c r="E2349" t="str">
        <x:v>Sarjana</x:v>
      </x:c>
      <x:c r="F2349" s="18" t="n">
        <x:v>36</x:v>
      </x:c>
      <x:c r="G2349" s="18" t="n">
        <x:v>209</x:v>
      </x:c>
      <x:c r="H2349" s="19" t="n">
        <x:v>5.805555555555555</x:v>
      </x:c>
      <x:c r="I2349" s="18" t="n">
        <x:f>ROUND(MIN(Model_Config_v3!$B$6,MAX(Q2349,R2349,S2349*Model_Config_v3!$B$4+T2349*Model_Config_v3!$B$5)),0)</x:f>
        <x:v>659</x:v>
      </x:c>
      <x:c r="J2349" s="18" t="n">
        <x:f>MIN(Model_Config_v3!$B$6,I2349+Model_Config_v3!$B$7)</x:f>
        <x:v>679</x:v>
      </x:c>
      <x:c r="K2349" s="20" t="n">
        <x:v>61.1</x:v>
      </x:c>
      <x:c r="L2349" t="str">
        <x:v>KETAT</x:v>
      </x:c>
      <x:c r="M2349" t="str">
        <x:v>PORTOFOLIO</x:v>
      </x:c>
      <x:c r="N2349" t="str">
        <x:v>ELITE-2</x:v>
      </x:c>
      <x:c r="O2349" t="str">
        <x:v>SENI/OLAHRAGA</x:v>
      </x:c>
      <x:c r="P2349" t="str">
        <x:v>SENI/OLAHRAGA</x:v>
      </x:c>
      <x:c r="Q2349" s="18" t="n">
        <x:v>655</x:v>
      </x:c>
      <x:c r="R2349" s="18" t="n">
        <x:v>0</x:v>
      </x:c>
      <x:c r="S2349" s="18" t="n">
        <x:v>604.0228163878144</x:v>
      </x:c>
      <x:c r="T2349" s="18" t="n">
        <x:v>682</x:v>
      </x:c>
      <x:c r="U2349" s="18" t="n">
        <x:v>655</x:v>
      </x:c>
      <x:c r="V2349" s="20" t="n">
        <x:v>4.4</x:v>
      </x:c>
      <x:c r="W2349" s="20" t="n">
        <x:v>9.9</x:v>
      </x:c>
      <x:c r="X2349" s="20" t="n">
        <x:v>7.7</x:v>
      </x:c>
      <x:c r="Y2349" t="str">
        <x:v>Basis arsip 2025/2024</x:v>
      </x:c>
      <x:c r="Z2349" t="str">
        <x:v>https://snpmb.id/utbk-snbt/daya-tampung-snbt</x:v>
      </x:c>
      <x:c r="AA2349" t="str">
        <x:v>Seni Rupa, Desain, dan Kriya</x:v>
      </x:c>
      <x:c r="AB2349" t="str">
        <x:v>Campus=90; Ratio=45.0; Prodi=45; RelDemand=23.2; Capacity=70.0</x:v>
      </x:c>
    </x:row>
    <x:row r="2350">
      <x:c r="A2350" t="n">
        <x:v>2347</x:v>
      </x:c>
      <x:c r="B2350" t="str">
        <x:v>PTN Akademik</x:v>
      </x:c>
      <x:c r="C2350" t="str">
        <x:v>INSTITUT TEKNOLOGI SEPULUH NOPEMBER</x:v>
      </x:c>
      <x:c r="D2350" t="str">
        <x:v>TEKNIK BIOMEDIK</x:v>
      </x:c>
      <x:c r="E2350" t="str">
        <x:v>Sarjana</x:v>
      </x:c>
      <x:c r="F2350" s="18" t="n">
        <x:v>36</x:v>
      </x:c>
      <x:c r="G2350" s="18" t="n">
        <x:v>436</x:v>
      </x:c>
      <x:c r="H2350" s="19" t="n">
        <x:v>12.11111111111111</x:v>
      </x:c>
      <x:c r="I2350" s="18" t="n">
        <x:f>ROUND(MIN(Model_Config_v3!$B$6,MAX(Q2350,R2350,S2350*Model_Config_v3!$B$4+T2350*Model_Config_v3!$B$5)),0)</x:f>
        <x:v>684</x:v>
      </x:c>
      <x:c r="J2350" s="18" t="n">
        <x:f>MIN(Model_Config_v3!$B$6,I2350+Model_Config_v3!$B$7)</x:f>
        <x:v>704</x:v>
      </x:c>
      <x:c r="K2350" s="20" t="n">
        <x:v>71.3</x:v>
      </x:c>
      <x:c r="L2350" t="str">
        <x:v>SANGAT KETAT</x:v>
      </x:c>
      <x:c r="M2350" t="str">
        <x:v>SEDANG+</x:v>
      </x:c>
      <x:c r="N2350" t="str">
        <x:v>ELITE-2</x:v>
      </x:c>
      <x:c r="O2350" t="str">
        <x:v>SAINTEK</x:v>
      </x:c>
      <x:c r="P2350" t="str">
        <x:v>TEKNIK/ARSITEKTUR/STATISTIKA/AKTUARIA</x:v>
      </x:c>
      <x:c r="Q2350" s="18" t="n">
        <x:v>655</x:v>
      </x:c>
      <x:c r="R2350" s="18" t="n">
        <x:v>670</x:v>
      </x:c>
      <x:c r="S2350" s="18" t="n">
        <x:v>639.1502387351428</x:v>
      </x:c>
      <x:c r="T2350" s="18" t="n">
        <x:v>703</x:v>
      </x:c>
      <x:c r="U2350" s="18" t="n">
        <x:v>655</x:v>
      </x:c>
      <x:c r="V2350" s="20" t="n">
        <x:v>12</x:v>
      </x:c>
      <x:c r="W2350" s="20" t="n">
        <x:v>5</x:v>
      </x:c>
      <x:c r="X2350" s="20" t="n">
        <x:v>3</x:v>
      </x:c>
      <x:c r="Y2350" t="str">
        <x:v>Basis arsip 2025/2024</x:v>
      </x:c>
      <x:c r="Z2350" t="str">
        <x:v>https://snpmb.id/utbk-snbt/daya-tampung-snbt</x:v>
      </x:c>
      <x:c r="AA2350" t="str">
        <x:v>Tidak Ada</x:v>
      </x:c>
      <x:c r="AB2350" t="str">
        <x:v>Campus=90; Ratio=63.8; Prodi=60; RelDemand=48.3; Capacity=70.0</x:v>
      </x:c>
    </x:row>
    <x:row r="2351">
      <x:c r="A2351" t="n">
        <x:v>2348</x:v>
      </x:c>
      <x:c r="B2351" t="str">
        <x:v>PTN Akademik</x:v>
      </x:c>
      <x:c r="C2351" t="str">
        <x:v>INSTITUT TEKNOLOGI SEPULUH NOPEMBER</x:v>
      </x:c>
      <x:c r="D2351" t="str">
        <x:v>SAINS AKTUARIA</x:v>
      </x:c>
      <x:c r="E2351" t="str">
        <x:v>Sarjana</x:v>
      </x:c>
      <x:c r="F2351" s="18" t="n">
        <x:v>36</x:v>
      </x:c>
      <x:c r="G2351" s="18" t="n">
        <x:v>346</x:v>
      </x:c>
      <x:c r="H2351" s="19" t="n">
        <x:v>9.61111111111111</x:v>
      </x:c>
      <x:c r="I2351" s="18" t="n">
        <x:f>ROUND(MIN(Model_Config_v3!$B$6,MAX(Q2351,R2351,S2351*Model_Config_v3!$B$4+T2351*Model_Config_v3!$B$5)),0)</x:f>
        <x:v>677</x:v>
      </x:c>
      <x:c r="J2351" s="18" t="n">
        <x:f>MIN(Model_Config_v3!$B$6,I2351+Model_Config_v3!$B$7)</x:f>
        <x:v>697</x:v>
      </x:c>
      <x:c r="K2351" s="20" t="n">
        <x:v>68.8</x:v>
      </x:c>
      <x:c r="L2351" t="str">
        <x:v>SANGAT KETAT</x:v>
      </x:c>
      <x:c r="M2351" t="str">
        <x:v>SEDANG+</x:v>
      </x:c>
      <x:c r="N2351" t="str">
        <x:v>ELITE-2</x:v>
      </x:c>
      <x:c r="O2351" t="str">
        <x:v>SAINTEK</x:v>
      </x:c>
      <x:c r="P2351" t="str">
        <x:v>TEKNIK/ARSITEKTUR/STATISTIKA/AKTUARIA</x:v>
      </x:c>
      <x:c r="Q2351" s="18" t="n">
        <x:v>655</x:v>
      </x:c>
      <x:c r="R2351" s="18" t="n">
        <x:v>670</x:v>
      </x:c>
      <x:c r="S2351" s="18" t="n">
        <x:v>628.1050957828038</x:v>
      </x:c>
      <x:c r="T2351" s="18" t="n">
        <x:v>698</x:v>
      </x:c>
      <x:c r="U2351" s="18" t="n">
        <x:v>655</x:v>
      </x:c>
      <x:c r="V2351" s="20" t="n">
        <x:v>12</x:v>
      </x:c>
      <x:c r="W2351" s="20" t="n">
        <x:v>5</x:v>
      </x:c>
      <x:c r="X2351" s="20" t="n">
        <x:v>3</x:v>
      </x:c>
      <x:c r="Y2351" t="str">
        <x:v>Basis arsip 2025/2024</x:v>
      </x:c>
      <x:c r="Z2351" t="str">
        <x:v>https://snpmb.id/utbk-snbt/daya-tampung-snbt</x:v>
      </x:c>
      <x:c r="AA2351" t="str">
        <x:v>Tidak Ada</x:v>
      </x:c>
      <x:c r="AB2351" t="str">
        <x:v>Campus=90; Ratio=57.8; Prodi=60; RelDemand=38.4; Capacity=70.0</x:v>
      </x:c>
    </x:row>
    <x:row r="2352">
      <x:c r="A2352" t="n">
        <x:v>2349</x:v>
      </x:c>
      <x:c r="B2352" t="str">
        <x:v>PTN Akademik</x:v>
      </x:c>
      <x:c r="C2352" t="str">
        <x:v>INSTITUT TEKNOLOGI SEPULUH NOPEMBER</x:v>
      </x:c>
      <x:c r="D2352" t="str">
        <x:v>TEKNOLOGI INFORMASI</x:v>
      </x:c>
      <x:c r="E2352" t="str">
        <x:v>Sarjana</x:v>
      </x:c>
      <x:c r="F2352" s="18" t="n">
        <x:v>39</x:v>
      </x:c>
      <x:c r="G2352" s="18" t="n">
        <x:v>541</x:v>
      </x:c>
      <x:c r="H2352" s="19" t="n">
        <x:v>13.871794871794872</x:v>
      </x:c>
      <x:c r="I2352" s="18" t="n">
        <x:f>ROUND(MIN(Model_Config_v3!$B$6,MAX(Q2352,R2352,S2352*Model_Config_v3!$B$4+T2352*Model_Config_v3!$B$5)),0)</x:f>
        <x:v>682</x:v>
      </x:c>
      <x:c r="J2352" s="18" t="n">
        <x:f>MIN(Model_Config_v3!$B$6,I2352+Model_Config_v3!$B$7)</x:f>
        <x:v>702</x:v>
      </x:c>
      <x:c r="K2352" s="20" t="n">
        <x:v>68.6</x:v>
      </x:c>
      <x:c r="L2352" t="str">
        <x:v>SANGAT KETAT</x:v>
      </x:c>
      <x:c r="M2352" t="str">
        <x:v>SEDANG+</x:v>
      </x:c>
      <x:c r="N2352" t="str">
        <x:v>ELITE-2</x:v>
      </x:c>
      <x:c r="O2352" t="str">
        <x:v>SAINTEK</x:v>
      </x:c>
      <x:c r="P2352" t="str">
        <x:v>UMUM</x:v>
      </x:c>
      <x:c r="Q2352" s="18" t="n">
        <x:v>655</x:v>
      </x:c>
      <x:c r="R2352" s="18" t="n">
        <x:v>0</x:v>
      </x:c>
      <x:c r="S2352" s="18" t="n">
        <x:v>645.6345923888077</x:v>
      </x:c>
      <x:c r="T2352" s="18" t="n">
        <x:v>697</x:v>
      </x:c>
      <x:c r="U2352" s="18" t="n">
        <x:v>655</x:v>
      </x:c>
      <x:c r="V2352" s="20" t="n">
        <x:v>12</x:v>
      </x:c>
      <x:c r="W2352" s="20" t="n">
        <x:v>5</x:v>
      </x:c>
      <x:c r="X2352" s="20" t="n">
        <x:v>3</x:v>
      </x:c>
      <x:c r="Y2352" t="str">
        <x:v>Basis arsip 2025/2024</x:v>
      </x:c>
      <x:c r="Z2352" t="str">
        <x:v>https://snpmb.id/utbk-snbt/daya-tampung-snbt</x:v>
      </x:c>
      <x:c r="AA2352" t="str">
        <x:v>Tidak Ada</x:v>
      </x:c>
      <x:c r="AB2352" t="str">
        <x:v>Campus=90; Ratio=67.2; Prodi=40; RelDemand=55.4; Capacity=67.5</x:v>
      </x:c>
    </x:row>
    <x:row r="2353">
      <x:c r="A2353" t="n">
        <x:v>2350</x:v>
      </x:c>
      <x:c r="B2353" t="str">
        <x:v>PTN Akademik</x:v>
      </x:c>
      <x:c r="C2353" t="str">
        <x:v>INSTITUT TEKNOLOGI SEPULUH NOPEMBER</x:v>
      </x:c>
      <x:c r="D2353" t="str">
        <x:v>DESAIN KOMUNIKASI VISUAL</x:v>
      </x:c>
      <x:c r="E2353" t="str">
        <x:v>Sarjana</x:v>
      </x:c>
      <x:c r="F2353" s="18" t="n">
        <x:v>48</x:v>
      </x:c>
      <x:c r="G2353" s="18" t="n">
        <x:v>644</x:v>
      </x:c>
      <x:c r="H2353" s="19" t="n">
        <x:v>13.416666666666666</x:v>
      </x:c>
      <x:c r="I2353" s="18" t="n">
        <x:f>ROUND(MIN(Model_Config_v3!$B$6,MAX(Q2353,R2353,S2353*Model_Config_v3!$B$4+T2353*Model_Config_v3!$B$5)),0)</x:f>
        <x:v>681</x:v>
      </x:c>
      <x:c r="J2353" s="18" t="n">
        <x:f>MIN(Model_Config_v3!$B$6,I2353+Model_Config_v3!$B$7)</x:f>
        <x:v>701</x:v>
      </x:c>
      <x:c r="K2353" s="20" t="n">
        <x:v>68.4</x:v>
      </x:c>
      <x:c r="L2353" t="str">
        <x:v>SANGAT KETAT</x:v>
      </x:c>
      <x:c r="M2353" t="str">
        <x:v>PORTOFOLIO</x:v>
      </x:c>
      <x:c r="N2353" t="str">
        <x:v>ELITE-2</x:v>
      </x:c>
      <x:c r="O2353" t="str">
        <x:v>SENI/OLAHRAGA</x:v>
      </x:c>
      <x:c r="P2353" t="str">
        <x:v>SENI/OLAHRAGA</x:v>
      </x:c>
      <x:c r="Q2353" s="18" t="n">
        <x:v>655</x:v>
      </x:c>
      <x:c r="R2353" s="18" t="n">
        <x:v>0</x:v>
      </x:c>
      <x:c r="S2353" s="18" t="n">
        <x:v>644.0409092982648</x:v>
      </x:c>
      <x:c r="T2353" s="18" t="n">
        <x:v>697</x:v>
      </x:c>
      <x:c r="U2353" s="18" t="n">
        <x:v>655</x:v>
      </x:c>
      <x:c r="V2353" s="20" t="n">
        <x:v>4.4</x:v>
      </x:c>
      <x:c r="W2353" s="20" t="n">
        <x:v>9.9</x:v>
      </x:c>
      <x:c r="X2353" s="20" t="n">
        <x:v>7.7</x:v>
      </x:c>
      <x:c r="Y2353" t="str">
        <x:v>Basis arsip 2025/2024</x:v>
      </x:c>
      <x:c r="Z2353" t="str">
        <x:v>https://snpmb.id/utbk-snbt/daya-tampung-snbt</x:v>
      </x:c>
      <x:c r="AA2353" t="str">
        <x:v>Seni Rupa, Desain, dan Kriya</x:v>
      </x:c>
      <x:c r="AB2353" t="str">
        <x:v>Campus=90; Ratio=66.4; Prodi=45; RelDemand=53.6; Capacity=60.0</x:v>
      </x:c>
    </x:row>
    <x:row r="2354">
      <x:c r="A2354" t="n">
        <x:v>2351</x:v>
      </x:c>
      <x:c r="B2354" t="str">
        <x:v>PTN Akademik</x:v>
      </x:c>
      <x:c r="C2354" t="str">
        <x:v>INSTITUT TEKNOLOGI SEPULUH NOPEMBER</x:v>
      </x:c>
      <x:c r="D2354" t="str">
        <x:v>TEKNIK LEPAS PANTAI</x:v>
      </x:c>
      <x:c r="E2354" t="str">
        <x:v>Sarjana</x:v>
      </x:c>
      <x:c r="F2354" s="18" t="n">
        <x:v>36</x:v>
      </x:c>
      <x:c r="G2354" s="18" t="n">
        <x:v>284</x:v>
      </x:c>
      <x:c r="H2354" s="19" t="n">
        <x:v>7.888888888888889</x:v>
      </x:c>
      <x:c r="I2354" s="18" t="n">
        <x:f>ROUND(MIN(Model_Config_v3!$B$6,MAX(Q2354,R2354,S2354*Model_Config_v3!$B$4+T2354*Model_Config_v3!$B$5)),0)</x:f>
        <x:v>671</x:v>
      </x:c>
      <x:c r="J2354" s="18" t="n">
        <x:f>MIN(Model_Config_v3!$B$6,I2354+Model_Config_v3!$B$7)</x:f>
        <x:v>691</x:v>
      </x:c>
      <x:c r="K2354" s="20" t="n">
        <x:v>66.8</x:v>
      </x:c>
      <x:c r="L2354" t="str">
        <x:v>SANGAT KETAT</x:v>
      </x:c>
      <x:c r="M2354" t="str">
        <x:v>SEDANG+</x:v>
      </x:c>
      <x:c r="N2354" t="str">
        <x:v>ELITE-2</x:v>
      </x:c>
      <x:c r="O2354" t="str">
        <x:v>SAINTEK</x:v>
      </x:c>
      <x:c r="P2354" t="str">
        <x:v>TEKNIK/ARSITEKTUR/STATISTIKA/AKTUARIA</x:v>
      </x:c>
      <x:c r="Q2354" s="18" t="n">
        <x:v>655</x:v>
      </x:c>
      <x:c r="R2354" s="18" t="n">
        <x:v>670</x:v>
      </x:c>
      <x:c r="S2354" s="18" t="n">
        <x:v>618.6717423207725</x:v>
      </x:c>
      <x:c r="T2354" s="18" t="n">
        <x:v>694</x:v>
      </x:c>
      <x:c r="U2354" s="18" t="n">
        <x:v>655</x:v>
      </x:c>
      <x:c r="V2354" s="20" t="n">
        <x:v>12</x:v>
      </x:c>
      <x:c r="W2354" s="20" t="n">
        <x:v>5</x:v>
      </x:c>
      <x:c r="X2354" s="20" t="n">
        <x:v>3</x:v>
      </x:c>
      <x:c r="Y2354" t="str">
        <x:v>Basis arsip 2025/2024</x:v>
      </x:c>
      <x:c r="Z2354" t="str">
        <x:v>https://snpmb.id/utbk-snbt/daya-tampung-snbt</x:v>
      </x:c>
      <x:c r="AA2354" t="str">
        <x:v>Tidak Ada</x:v>
      </x:c>
      <x:c r="AB2354" t="str">
        <x:v>Campus=90; Ratio=52.8; Prodi=60; RelDemand=31.5; Capacity=70.0</x:v>
      </x:c>
    </x:row>
    <x:row r="2355">
      <x:c r="A2355" t="n">
        <x:v>2352</x:v>
      </x:c>
      <x:c r="B2355" t="str">
        <x:v>PTN Akademik</x:v>
      </x:c>
      <x:c r="C2355" t="str">
        <x:v>INSTITUT TEKNOLOGI SEPULUH NOPEMBER</x:v>
      </x:c>
      <x:c r="D2355" t="str">
        <x:v>TEKNIK PANGAN</x:v>
      </x:c>
      <x:c r="E2355" t="str">
        <x:v>Sarjana</x:v>
      </x:c>
      <x:c r="F2355" s="18" t="n">
        <x:v>24</x:v>
      </x:c>
      <x:c r="G2355" s="18" t="n">
        <x:v>330</x:v>
      </x:c>
      <x:c r="H2355" s="19" t="n">
        <x:v>13.75</x:v>
      </x:c>
      <x:c r="I2355" s="18" t="n">
        <x:f>ROUND(MIN(Model_Config_v3!$B$6,MAX(Q2355,R2355,S2355*Model_Config_v3!$B$4+T2355*Model_Config_v3!$B$5)),0)</x:f>
        <x:v>688</x:v>
      </x:c>
      <x:c r="J2355" s="18" t="n">
        <x:f>MIN(Model_Config_v3!$B$6,I2355+Model_Config_v3!$B$7)</x:f>
        <x:v>708</x:v>
      </x:c>
      <x:c r="K2355" s="20" t="n">
        <x:v>73.7</x:v>
      </x:c>
      <x:c r="L2355" t="str">
        <x:v>SANGAT KETAT</x:v>
      </x:c>
      <x:c r="M2355" t="str">
        <x:v>SEDANG+</x:v>
      </x:c>
      <x:c r="N2355" t="str">
        <x:v>ELITE-2</x:v>
      </x:c>
      <x:c r="O2355" t="str">
        <x:v>SAINTEK</x:v>
      </x:c>
      <x:c r="P2355" t="str">
        <x:v>TEKNIK/ARSITEKTUR/STATISTIKA/AKTUARIA</x:v>
      </x:c>
      <x:c r="Q2355" s="18" t="n">
        <x:v>655</x:v>
      </x:c>
      <x:c r="R2355" s="18" t="n">
        <x:v>670</x:v>
      </x:c>
      <x:c r="S2355" s="18" t="n">
        <x:v>645.2132967982909</x:v>
      </x:c>
      <x:c r="T2355" s="18" t="n">
        <x:v>707</x:v>
      </x:c>
      <x:c r="U2355" s="18" t="n">
        <x:v>655.2132967982909</x:v>
      </x:c>
      <x:c r="V2355" s="20" t="n">
        <x:v>12</x:v>
      </x:c>
      <x:c r="W2355" s="20" t="n">
        <x:v>5</x:v>
      </x:c>
      <x:c r="X2355" s="20" t="n">
        <x:v>3</x:v>
      </x:c>
      <x:c r="Y2355" t="str">
        <x:v>Basis arsip 2025/2024</x:v>
      </x:c>
      <x:c r="Z2355" t="str">
        <x:v>https://snpmb.id/utbk-snbt/daya-tampung-snbt</x:v>
      </x:c>
      <x:c r="AA2355" t="str">
        <x:v>Tidak Ada</x:v>
      </x:c>
      <x:c r="AB2355" t="str">
        <x:v>Campus=90; Ratio=67.0; Prodi=60; RelDemand=54.9; Capacity=80.0</x:v>
      </x:c>
    </x:row>
    <x:row r="2356">
      <x:c r="A2356" t="n">
        <x:v>2353</x:v>
      </x:c>
      <x:c r="B2356" t="str">
        <x:v>PTN Akademik</x:v>
      </x:c>
      <x:c r="C2356" t="str">
        <x:v>INSTITUT TEKNOLOGI SEPULUH NOPEMBER</x:v>
      </x:c>
      <x:c r="D2356" t="str">
        <x:v>MANAJEMEN BISNIS</x:v>
      </x:c>
      <x:c r="E2356" t="str">
        <x:v>Sarjana</x:v>
      </x:c>
      <x:c r="F2356" s="18" t="n">
        <x:v>36</x:v>
      </x:c>
      <x:c r="G2356" s="18" t="n">
        <x:v>992</x:v>
      </x:c>
      <x:c r="H2356" s="19" t="n">
        <x:v>27.555555555555557</x:v>
      </x:c>
      <x:c r="I2356" s="18" t="n">
        <x:f>ROUND(MIN(Model_Config_v3!$B$6,MAX(Q2356,R2356,S2356*Model_Config_v3!$B$4+T2356*Model_Config_v3!$B$5)),0)</x:f>
        <x:v>711</x:v>
      </x:c>
      <x:c r="J2356" s="18" t="n">
        <x:f>MIN(Model_Config_v3!$B$6,I2356+Model_Config_v3!$B$7)</x:f>
        <x:v>731</x:v>
      </x:c>
      <x:c r="K2356" s="20" t="n">
        <x:v>82.7</x:v>
      </x:c>
      <x:c r="L2356" t="str">
        <x:v>ELITE</x:v>
      </x:c>
      <x:c r="M2356" t="str">
        <x:v>SEDANG+</x:v>
      </x:c>
      <x:c r="N2356" t="str">
        <x:v>ELITE-2</x:v>
      </x:c>
      <x:c r="O2356" t="str">
        <x:v>SOSHUM</x:v>
      </x:c>
      <x:c r="P2356" t="str">
        <x:v>BISNIS/EKONOMI/AKUNTANSI</x:v>
      </x:c>
      <x:c r="Q2356" s="18" t="n">
        <x:v>655</x:v>
      </x:c>
      <x:c r="R2356" s="18" t="n">
        <x:v>680</x:v>
      </x:c>
      <x:c r="S2356" s="18" t="n">
        <x:v>678.423008852558</x:v>
      </x:c>
      <x:c r="T2356" s="18" t="n">
        <x:v>725</x:v>
      </x:c>
      <x:c r="U2356" s="18" t="n">
        <x:v>693.423008852558</x:v>
      </x:c>
      <x:c r="V2356" s="20" t="n">
        <x:v>4.4</x:v>
      </x:c>
      <x:c r="W2356" s="20" t="n">
        <x:v>14.3</x:v>
      </x:c>
      <x:c r="X2356" s="20" t="n">
        <x:v>3.3</x:v>
      </x:c>
      <x:c r="Y2356" t="str">
        <x:v>Basis arsip 2025/2024</x:v>
      </x:c>
      <x:c r="Z2356" t="str">
        <x:v>https://snpmb.id/utbk-snbt/daya-tampung-snbt</x:v>
      </x:c>
      <x:c r="AA2356" t="str">
        <x:v>Tidak Ada</x:v>
      </x:c>
      <x:c r="AB2356" t="str">
        <x:v>Campus=90; Ratio=84.8; Prodi=65; RelDemand=100.0; Capacity=70.0</x:v>
      </x:c>
    </x:row>
    <x:row r="2357">
      <x:c r="A2357" t="n">
        <x:v>2354</x:v>
      </x:c>
      <x:c r="B2357" t="str">
        <x:v>PTN Akademik</x:v>
      </x:c>
      <x:c r="C2357" t="str">
        <x:v>INSTITUT TEKNOLOGI SEPULUH NOPEMBER</x:v>
      </x:c>
      <x:c r="D2357" t="str">
        <x:v>STUDI PEMBANGUNAN</x:v>
      </x:c>
      <x:c r="E2357" t="str">
        <x:v>Sarjana</x:v>
      </x:c>
      <x:c r="F2357" s="18" t="n">
        <x:v>54</x:v>
      </x:c>
      <x:c r="G2357" s="18" t="n">
        <x:v>326</x:v>
      </x:c>
      <x:c r="H2357" s="19" t="n">
        <x:v>6.037037037037037</x:v>
      </x:c>
      <x:c r="I2357" s="18" t="n">
        <x:f>ROUND(MIN(Model_Config_v3!$B$6,MAX(Q2357,R2357,S2357*Model_Config_v3!$B$4+T2357*Model_Config_v3!$B$5)),0)</x:f>
        <x:v>656</x:v>
      </x:c>
      <x:c r="J2357" s="18" t="n">
        <x:f>MIN(Model_Config_v3!$B$6,I2357+Model_Config_v3!$B$7)</x:f>
        <x:v>676</x:v>
      </x:c>
      <x:c r="K2357" s="20" t="n">
        <x:v>58.9</x:v>
      </x:c>
      <x:c r="L2357" t="str">
        <x:v>KETAT</x:v>
      </x:c>
      <x:c r="M2357" t="str">
        <x:v>SEDANG+</x:v>
      </x:c>
      <x:c r="N2357" t="str">
        <x:v>ELITE-2</x:v>
      </x:c>
      <x:c r="O2357" t="str">
        <x:v>CAMPURAN</x:v>
      </x:c>
      <x:c r="P2357" t="str">
        <x:v>UMUM</x:v>
      </x:c>
      <x:c r="Q2357" s="18" t="n">
        <x:v>655</x:v>
      </x:c>
      <x:c r="R2357" s="18" t="n">
        <x:v>0</x:v>
      </x:c>
      <x:c r="S2357" s="18" t="n">
        <x:v>605.8906224269467</x:v>
      </x:c>
      <x:c r="T2357" s="18" t="n">
        <x:v>678</x:v>
      </x:c>
      <x:c r="U2357" s="18" t="n">
        <x:v>655</x:v>
      </x:c>
      <x:c r="V2357" s="20" t="n">
        <x:v>8.8</x:v>
      </x:c>
      <x:c r="W2357" s="20" t="n">
        <x:v>9.9</x:v>
      </x:c>
      <x:c r="X2357" s="20" t="n">
        <x:v>3.3</x:v>
      </x:c>
      <x:c r="Y2357" t="str">
        <x:v>Basis arsip 2025/2024</x:v>
      </x:c>
      <x:c r="Z2357" t="str">
        <x:v>https://snpmb.id/utbk-snbt/daya-tampung-snbt</x:v>
      </x:c>
      <x:c r="AA2357" t="str">
        <x:v>Tidak Ada</x:v>
      </x:c>
      <x:c r="AB2357" t="str">
        <x:v>Campus=90; Ratio=46.0; Prodi=40; RelDemand=24.1; Capacity=55.0</x:v>
      </x:c>
    </x:row>
    <x:row r="2358">
      <x:c r="A2358" t="n">
        <x:v>2355</x:v>
      </x:c>
      <x:c r="B2358" t="str">
        <x:v>PTN Akademik</x:v>
      </x:c>
      <x:c r="C2358" t="str">
        <x:v>INSTITUT TEKNOLOGI SEPULUH NOPEMBER</x:v>
      </x:c>
      <x:c r="D2358" t="str">
        <x:v>TEKNIK TELEKOMUNIKASI</x:v>
      </x:c>
      <x:c r="E2358" t="str">
        <x:v>Sarjana</x:v>
      </x:c>
      <x:c r="F2358" s="18" t="n">
        <x:v>24</x:v>
      </x:c>
      <x:c r="G2358" s="18" t="n">
        <x:v>256</x:v>
      </x:c>
      <x:c r="H2358" s="19" t="n">
        <x:v>10.666666666666666</x:v>
      </x:c>
      <x:c r="I2358" s="18" t="n">
        <x:f>ROUND(MIN(Model_Config_v3!$B$6,MAX(Q2358,R2358,S2358*Model_Config_v3!$B$4+T2358*Model_Config_v3!$B$5)),0)</x:f>
        <x:v>681</x:v>
      </x:c>
      <x:c r="J2358" s="18" t="n">
        <x:f>MIN(Model_Config_v3!$B$6,I2358+Model_Config_v3!$B$7)</x:f>
        <x:v>701</x:v>
      </x:c>
      <x:c r="K2358" s="20" t="n">
        <x:v>70.9</x:v>
      </x:c>
      <x:c r="L2358" t="str">
        <x:v>SANGAT KETAT</x:v>
      </x:c>
      <x:c r="M2358" t="str">
        <x:v>SEDANG+</x:v>
      </x:c>
      <x:c r="N2358" t="str">
        <x:v>ELITE-2</x:v>
      </x:c>
      <x:c r="O2358" t="str">
        <x:v>SAINTEK</x:v>
      </x:c>
      <x:c r="P2358" t="str">
        <x:v>TEKNIK/ARSITEKTUR/STATISTIKA/AKTUARIA</x:v>
      </x:c>
      <x:c r="Q2358" s="18" t="n">
        <x:v>655</x:v>
      </x:c>
      <x:c r="R2358" s="18" t="n">
        <x:v>670</x:v>
      </x:c>
      <x:c r="S2358" s="18" t="n">
        <x:v>633.0831595960268</x:v>
      </x:c>
      <x:c r="T2358" s="18" t="n">
        <x:v>702</x:v>
      </x:c>
      <x:c r="U2358" s="18" t="n">
        <x:v>655</x:v>
      </x:c>
      <x:c r="V2358" s="20" t="n">
        <x:v>12</x:v>
      </x:c>
      <x:c r="W2358" s="20" t="n">
        <x:v>5</x:v>
      </x:c>
      <x:c r="X2358" s="20" t="n">
        <x:v>3</x:v>
      </x:c>
      <x:c r="Y2358" t="str">
        <x:v>Basis arsip 2025/2024</x:v>
      </x:c>
      <x:c r="Z2358" t="str">
        <x:v>https://snpmb.id/utbk-snbt/daya-tampung-snbt</x:v>
      </x:c>
      <x:c r="AA2358" t="str">
        <x:v>Tidak Ada</x:v>
      </x:c>
      <x:c r="AB2358" t="str">
        <x:v>Campus=90; Ratio=60.5; Prodi=60; RelDemand=42.6; Capacity=80.0</x:v>
      </x:c>
    </x:row>
    <x:row r="2359">
      <x:c r="A2359" t="n">
        <x:v>2356</x:v>
      </x:c>
      <x:c r="B2359" t="str">
        <x:v>PTN Akademik</x:v>
      </x:c>
      <x:c r="C2359" t="str">
        <x:v>INSTITUT TEKNOLOGI SEPULUH NOPEMBER</x:v>
      </x:c>
      <x:c r="D2359" t="str">
        <x:v>TEKNOLOGI KEDOKTERAN</x:v>
      </x:c>
      <x:c r="E2359" t="str">
        <x:v>Sarjana</x:v>
      </x:c>
      <x:c r="F2359" s="18" t="n">
        <x:v>36</x:v>
      </x:c>
      <x:c r="G2359" s="18" t="n">
        <x:v>311</x:v>
      </x:c>
      <x:c r="H2359" s="19" t="n">
        <x:v>8.63888888888889</x:v>
      </x:c>
      <x:c r="I2359" s="18" t="n">
        <x:f>ROUND(MIN(Model_Config_v3!$B$6,MAX(Q2359,R2359,S2359*Model_Config_v3!$B$4+T2359*Model_Config_v3!$B$5)),0)</x:f>
        <x:v>725</x:v>
      </x:c>
      <x:c r="J2359" s="18" t="n">
        <x:f>MIN(Model_Config_v3!$B$6,I2359+Model_Config_v3!$B$7)</x:f>
        <x:v>745</x:v>
      </x:c>
      <x:c r="K2359" s="20" t="n">
        <x:v>75.7</x:v>
      </x:c>
      <x:c r="L2359" t="str">
        <x:v>ELITE</x:v>
      </x:c>
      <x:c r="M2359" t="str">
        <x:v>SEDANG+</x:v>
      </x:c>
      <x:c r="N2359" t="str">
        <x:v>ELITE-2</x:v>
      </x:c>
      <x:c r="O2359" t="str">
        <x:v>SAINTEK</x:v>
      </x:c>
      <x:c r="P2359" t="str">
        <x:v>KEDOKTERAN</x:v>
      </x:c>
      <x:c r="Q2359" s="18" t="n">
        <x:v>655</x:v>
      </x:c>
      <x:c r="R2359" s="18" t="n">
        <x:v>725</x:v>
      </x:c>
      <x:c r="S2359" s="18" t="n">
        <x:v>623.0103677085506</x:v>
      </x:c>
      <x:c r="T2359" s="18" t="n">
        <x:v>711</x:v>
      </x:c>
      <x:c r="U2359" s="18" t="n">
        <x:v>655</x:v>
      </x:c>
      <x:c r="V2359" s="20" t="n">
        <x:v>12</x:v>
      </x:c>
      <x:c r="W2359" s="20" t="n">
        <x:v>5</x:v>
      </x:c>
      <x:c r="X2359" s="20" t="n">
        <x:v>3</x:v>
      </x:c>
      <x:c r="Y2359" t="str">
        <x:v>Basis arsip 2025/2024</x:v>
      </x:c>
      <x:c r="Z2359" t="str">
        <x:v>https://snpmb.id/utbk-snbt/daya-tampung-snbt</x:v>
      </x:c>
      <x:c r="AA2359" t="str">
        <x:v>Tidak Ada</x:v>
      </x:c>
      <x:c r="AB2359" t="str">
        <x:v>Campus=90; Ratio=55.1; Prodi=100; RelDemand=34.5; Capacity=70.0</x:v>
      </x:c>
    </x:row>
    <x:row r="2360">
      <x:c r="A2360" t="n">
        <x:v>2357</x:v>
      </x:c>
      <x:c r="B2360" t="str">
        <x:v>PTN Akademik</x:v>
      </x:c>
      <x:c r="C2360" t="str">
        <x:v>INSTITUT TEKNOLOGI SEPULUH NOPEMBER</x:v>
      </x:c>
      <x:c r="D2360" t="str">
        <x:v>SAINS ANALITIK DAN INSTRUMENTASI KIMIA</x:v>
      </x:c>
      <x:c r="E2360" t="str">
        <x:v>Sarjana</x:v>
      </x:c>
      <x:c r="F2360" s="18" t="n">
        <x:v>18</x:v>
      </x:c>
      <x:c r="G2360" s="18" t="n">
        <x:v>117</x:v>
      </x:c>
      <x:c r="H2360" s="19" t="n">
        <x:v>6.5</x:v>
      </x:c>
      <x:c r="I2360" s="18" t="n">
        <x:f>ROUND(MIN(Model_Config_v3!$B$6,MAX(Q2360,R2360,S2360*Model_Config_v3!$B$4+T2360*Model_Config_v3!$B$5)),0)</x:f>
        <x:v>665</x:v>
      </x:c>
      <x:c r="J2360" s="18" t="n">
        <x:f>MIN(Model_Config_v3!$B$6,I2360+Model_Config_v3!$B$7)</x:f>
        <x:v>685</x:v>
      </x:c>
      <x:c r="K2360" s="20" t="n">
        <x:v>64.6</x:v>
      </x:c>
      <x:c r="L2360" t="str">
        <x:v>KETAT</x:v>
      </x:c>
      <x:c r="M2360" t="str">
        <x:v>SEDANG+</x:v>
      </x:c>
      <x:c r="N2360" t="str">
        <x:v>ELITE-2</x:v>
      </x:c>
      <x:c r="O2360" t="str">
        <x:v>SAINTEK</x:v>
      </x:c>
      <x:c r="P2360" t="str">
        <x:v>SAINS DASAR</x:v>
      </x:c>
      <x:c r="Q2360" s="18" t="n">
        <x:v>655</x:v>
      </x:c>
      <x:c r="R2360" s="18" t="n">
        <x:v>0</x:v>
      </x:c>
      <x:c r="S2360" s="18" t="n">
        <x:v>609.4204692307142</x:v>
      </x:c>
      <x:c r="T2360" s="18" t="n">
        <x:v>689</x:v>
      </x:c>
      <x:c r="U2360" s="18" t="n">
        <x:v>655</x:v>
      </x:c>
      <x:c r="V2360" s="20" t="n">
        <x:v>12</x:v>
      </x:c>
      <x:c r="W2360" s="20" t="n">
        <x:v>5</x:v>
      </x:c>
      <x:c r="X2360" s="20" t="n">
        <x:v>3</x:v>
      </x:c>
      <x:c r="Y2360" t="str">
        <x:v>Basis arsip 2025/2024</x:v>
      </x:c>
      <x:c r="Z2360" t="str">
        <x:v>https://snpmb.id/utbk-snbt/daya-tampung-snbt</x:v>
      </x:c>
      <x:c r="AA2360" t="str">
        <x:v>Tidak Ada</x:v>
      </x:c>
      <x:c r="AB2360" t="str">
        <x:v>Campus=90; Ratio=47.8; Prodi=50; RelDemand=25.9; Capacity=85.0</x:v>
      </x:c>
    </x:row>
    <x:row r="2361">
      <x:c r="A2361" t="n">
        <x:v>2358</x:v>
      </x:c>
      <x:c r="B2361" t="str">
        <x:v>PTN Akademik</x:v>
      </x:c>
      <x:c r="C2361" t="str">
        <x:v>INSTITUT TEKNOLOGI SEPULUH NOPEMBER</x:v>
      </x:c>
      <x:c r="D2361" t="str">
        <x:v>KEDOKTERAN</x:v>
      </x:c>
      <x:c r="E2361" t="str">
        <x:v>Sarjana</x:v>
      </x:c>
      <x:c r="F2361" s="18" t="n">
        <x:v>15</x:v>
      </x:c>
      <x:c r="G2361" s="18" t="n">
        <x:v>522</x:v>
      </x:c>
      <x:c r="H2361" s="19" t="n">
        <x:v>34.8</x:v>
      </x:c>
      <x:c r="I2361" s="18" t="n">
        <x:f>ROUND(MIN(Model_Config_v3!$B$6,MAX(Q2361,R2361,S2361*Model_Config_v3!$B$4+T2361*Model_Config_v3!$B$5)),0)</x:f>
        <x:v>729</x:v>
      </x:c>
      <x:c r="J2361" s="18" t="n">
        <x:f>MIN(Model_Config_v3!$B$6,I2361+Model_Config_v3!$B$7)</x:f>
        <x:v>749</x:v>
      </x:c>
      <x:c r="K2361" s="20" t="n">
        <x:v>92.9</x:v>
      </x:c>
      <x:c r="L2361" t="str">
        <x:v>ULTRA ELITE</x:v>
      </x:c>
      <x:c r="M2361" t="str">
        <x:v>SEDANG+</x:v>
      </x:c>
      <x:c r="N2361" t="str">
        <x:v>ELITE-2</x:v>
      </x:c>
      <x:c r="O2361" t="str">
        <x:v>SAINTEK</x:v>
      </x:c>
      <x:c r="P2361" t="str">
        <x:v>KEDOKTERAN</x:v>
      </x:c>
      <x:c r="Q2361" s="18" t="n">
        <x:v>655</x:v>
      </x:c>
      <x:c r="R2361" s="18" t="n">
        <x:v>725</x:v>
      </x:c>
      <x:c r="S2361" s="18" t="n">
        <x:v>689.5737168341238</x:v>
      </x:c>
      <x:c r="T2361" s="18" t="n">
        <x:v>746</x:v>
      </x:c>
      <x:c r="U2361" s="18" t="n">
        <x:v>729.5737168341238</x:v>
      </x:c>
      <x:c r="V2361" s="20" t="n">
        <x:v>12</x:v>
      </x:c>
      <x:c r="W2361" s="20" t="n">
        <x:v>5</x:v>
      </x:c>
      <x:c r="X2361" s="20" t="n">
        <x:v>3</x:v>
      </x:c>
      <x:c r="Y2361" t="str">
        <x:v>Basis arsip 2025/2024</x:v>
      </x:c>
      <x:c r="Z2361" t="str">
        <x:v>https://snpmb.id/utbk-snbt/daya-tampung-snbt</x:v>
      </x:c>
      <x:c r="AA2361" t="str">
        <x:v>Tidak Ada</x:v>
      </x:c>
      <x:c r="AB2361" t="str">
        <x:v>Campus=90; Ratio=90.7; Prodi=100; RelDemand=100.0; Capacity=87.5</x:v>
      </x:c>
    </x:row>
    <x:row r="2362">
      <x:c r="A2362" t="n">
        <x:v>2359</x:v>
      </x:c>
      <x:c r="B2362" t="str">
        <x:v>PTN Akademik</x:v>
      </x:c>
      <x:c r="C2362" t="str">
        <x:v>INSTITUT TEKNOLOGI SEPULUH NOPEMBER</x:v>
      </x:c>
      <x:c r="D2362" t="str">
        <x:v>SAINS DATA</x:v>
      </x:c>
      <x:c r="E2362" t="str">
        <x:v>Sarjana</x:v>
      </x:c>
      <x:c r="F2362" s="18" t="n">
        <x:v>14</x:v>
      </x:c>
      <x:c r="G2362" s="18" t="n">
        <x:v>313</x:v>
      </x:c>
      <x:c r="H2362" s="19" t="n">
        <x:v>22.357142857142858</x:v>
      </x:c>
      <x:c r="I2362" s="18" t="n">
        <x:f>ROUND(MIN(Model_Config_v3!$B$6,MAX(Q2362,R2362,S2362*Model_Config_v3!$B$4+T2362*Model_Config_v3!$B$5)),0)</x:f>
        <x:v>700</x:v>
      </x:c>
      <x:c r="J2362" s="18" t="n">
        <x:f>MIN(Model_Config_v3!$B$6,I2362+Model_Config_v3!$B$7)</x:f>
        <x:v>720</x:v>
      </x:c>
      <x:c r="K2362" s="20" t="n">
        <x:v>77.1</x:v>
      </x:c>
      <x:c r="L2362" t="str">
        <x:v>ELITE</x:v>
      </x:c>
      <x:c r="M2362" t="str">
        <x:v>SEDANG+</x:v>
      </x:c>
      <x:c r="N2362" t="str">
        <x:v>ELITE-2</x:v>
      </x:c>
      <x:c r="O2362" t="str">
        <x:v>CAMPURAN</x:v>
      </x:c>
      <x:c r="P2362" t="str">
        <x:v>UMUM</x:v>
      </x:c>
      <x:c r="Q2362" s="18" t="n">
        <x:v>655</x:v>
      </x:c>
      <x:c r="R2362" s="18" t="n">
        <x:v>0</x:v>
      </x:c>
      <x:c r="S2362" s="18" t="n">
        <x:v>668.4357932055032</x:v>
      </x:c>
      <x:c r="T2362" s="18" t="n">
        <x:v>714</x:v>
      </x:c>
      <x:c r="U2362" s="18" t="n">
        <x:v>668.4357932055032</x:v>
      </x:c>
      <x:c r="V2362" s="20" t="n">
        <x:v>8.8</x:v>
      </x:c>
      <x:c r="W2362" s="20" t="n">
        <x:v>9.9</x:v>
      </x:c>
      <x:c r="X2362" s="20" t="n">
        <x:v>3.3</x:v>
      </x:c>
      <x:c r="Y2362" t="str">
        <x:v>Basis arsip 2025/2024</x:v>
      </x:c>
      <x:c r="Z2362" t="str">
        <x:v>https://snpmb.id/utbk-snbt/daya-tampung-snbt</x:v>
      </x:c>
      <x:c r="AA2362" t="str">
        <x:v>Tidak Ada</x:v>
      </x:c>
      <x:c r="AB2362" t="str">
        <x:v>Campus=90; Ratio=79.4; Prodi=40; RelDemand=89.2; Capacity=88.3</x:v>
      </x:c>
    </x:row>
    <x:row r="2363">
      <x:c r="A2363" t="n">
        <x:v>2360</x:v>
      </x:c>
      <x:c r="B2363" t="str">
        <x:v>PTN Akademik</x:v>
      </x:c>
      <x:c r="C2363" t="str">
        <x:v>INSTITUT TEKNOLOGI SEPULUH NOPEMBER</x:v>
      </x:c>
      <x:c r="D2363" t="str">
        <x:v>INOVASI DIGITAL</x:v>
      </x:c>
      <x:c r="E2363" t="str">
        <x:v>Sarjana</x:v>
      </x:c>
      <x:c r="F2363" s="18" t="n">
        <x:v>15</x:v>
      </x:c>
      <x:c r="G2363" s="18" t="n">
        <x:v>145</x:v>
      </x:c>
      <x:c r="H2363" s="19" t="n">
        <x:v>9.666666666666666</x:v>
      </x:c>
      <x:c r="I2363" s="18" t="n">
        <x:f>ROUND(MIN(Model_Config_v3!$B$6,MAX(Q2363,R2363,S2363*Model_Config_v3!$B$4+T2363*Model_Config_v3!$B$5)),0)</x:f>
        <x:v>674</x:v>
      </x:c>
      <x:c r="J2363" s="18" t="n">
        <x:f>MIN(Model_Config_v3!$B$6,I2363+Model_Config_v3!$B$7)</x:f>
        <x:v>694</x:v>
      </x:c>
      <x:c r="K2363" s="20" t="n">
        <x:v>66.6</x:v>
      </x:c>
      <x:c r="L2363" t="str">
        <x:v>SANGAT KETAT</x:v>
      </x:c>
      <x:c r="M2363" t="str">
        <x:v>SEDANG+</x:v>
      </x:c>
      <x:c r="N2363" t="str">
        <x:v>ELITE-2</x:v>
      </x:c>
      <x:c r="O2363" t="str">
        <x:v>CAMPURAN</x:v>
      </x:c>
      <x:c r="P2363" t="str">
        <x:v>UMUM</x:v>
      </x:c>
      <x:c r="Q2363" s="18" t="n">
        <x:v>655</x:v>
      </x:c>
      <x:c r="R2363" s="18" t="n">
        <x:v>0</x:v>
      </x:c>
      <x:c r="S2363" s="18" t="n">
        <x:v>628.3804417497223</x:v>
      </x:c>
      <x:c r="T2363" s="18" t="n">
        <x:v>693</x:v>
      </x:c>
      <x:c r="U2363" s="18" t="n">
        <x:v>655</x:v>
      </x:c>
      <x:c r="V2363" s="20" t="n">
        <x:v>8.8</x:v>
      </x:c>
      <x:c r="W2363" s="20" t="n">
        <x:v>9.9</x:v>
      </x:c>
      <x:c r="X2363" s="20" t="n">
        <x:v>3.3</x:v>
      </x:c>
      <x:c r="Y2363" t="str">
        <x:v>Basis arsip 2025/2024</x:v>
      </x:c>
      <x:c r="Z2363" t="str">
        <x:v>https://snpmb.id/utbk-snbt/daya-tampung-snbt</x:v>
      </x:c>
      <x:c r="AA2363" t="str">
        <x:v>Tidak Ada</x:v>
      </x:c>
      <x:c r="AB2363" t="str">
        <x:v>Campus=90; Ratio=58.0; Prodi=40; RelDemand=38.6; Capacity=87.5</x:v>
      </x:c>
    </x:row>
    <x:row r="2364">
      <x:c r="A2364" t="n">
        <x:v>2361</x:v>
      </x:c>
      <x:c r="B2364" t="str">
        <x:v>PTN Akademik</x:v>
      </x:c>
      <x:c r="C2364" t="str">
        <x:v>INSTITUT TEKNOLOGI SEPULUH NOPEMBER</x:v>
      </x:c>
      <x:c r="D2364" t="str">
        <x:v>REKAYASA KECERDASAN ARTIFISIAL</x:v>
      </x:c>
      <x:c r="E2364" t="str">
        <x:v>Sarjana</x:v>
      </x:c>
      <x:c r="F2364" s="18" t="n">
        <x:v>18</x:v>
      </x:c>
      <x:c r="G2364" s="18" t="n">
        <x:v>488</x:v>
      </x:c>
      <x:c r="H2364" s="19" t="n">
        <x:v>27.11111111111111</x:v>
      </x:c>
      <x:c r="I2364" s="18" t="n">
        <x:f>ROUND(MIN(Model_Config_v3!$B$6,MAX(Q2364,R2364,S2364*Model_Config_v3!$B$4+T2364*Model_Config_v3!$B$5)),0)</x:f>
        <x:v>706</x:v>
      </x:c>
      <x:c r="J2364" s="18" t="n">
        <x:f>MIN(Model_Config_v3!$B$6,I2364+Model_Config_v3!$B$7)</x:f>
        <x:v>726</x:v>
      </x:c>
      <x:c r="K2364" s="20" t="n">
        <x:v>79.1</x:v>
      </x:c>
      <x:c r="L2364" t="str">
        <x:v>ELITE</x:v>
      </x:c>
      <x:c r="M2364" t="str">
        <x:v>SEDANG+</x:v>
      </x:c>
      <x:c r="N2364" t="str">
        <x:v>ELITE-2</x:v>
      </x:c>
      <x:c r="O2364" t="str">
        <x:v>CAMPURAN</x:v>
      </x:c>
      <x:c r="P2364" t="str">
        <x:v>UMUM</x:v>
      </x:c>
      <x:c r="Q2364" s="18" t="n">
        <x:v>655</x:v>
      </x:c>
      <x:c r="R2364" s="18" t="n">
        <x:v>0</x:v>
      </x:c>
      <x:c r="S2364" s="18" t="n">
        <x:v>677.6462048589344</x:v>
      </x:c>
      <x:c r="T2364" s="18" t="n">
        <x:v>718</x:v>
      </x:c>
      <x:c r="U2364" s="18" t="n">
        <x:v>677.6462048589344</x:v>
      </x:c>
      <x:c r="V2364" s="20" t="n">
        <x:v>8.8</x:v>
      </x:c>
      <x:c r="W2364" s="20" t="n">
        <x:v>9.9</x:v>
      </x:c>
      <x:c r="X2364" s="20" t="n">
        <x:v>3.3</x:v>
      </x:c>
      <x:c r="Y2364" t="str">
        <x:v>Basis arsip 2025/2024</x:v>
      </x:c>
      <x:c r="Z2364" t="str">
        <x:v>https://snpmb.id/utbk-snbt/daya-tampung-snbt</x:v>
      </x:c>
      <x:c r="AA2364" t="str">
        <x:v>Tidak Ada</x:v>
      </x:c>
      <x:c r="AB2364" t="str">
        <x:v>Campus=90; Ratio=84.4; Prodi=40; RelDemand=100.0; Capacity=85.0</x:v>
      </x:c>
    </x:row>
    <x:row r="2365">
      <x:c r="A2365" t="n">
        <x:v>2362</x:v>
      </x:c>
      <x:c r="B2365" t="str">
        <x:v>PTN Akademik</x:v>
      </x:c>
      <x:c r="C2365" t="str">
        <x:v>INSTITUT TEKNOLOGI SEPULUH NOPEMBER</x:v>
      </x:c>
      <x:c r="D2365" t="str">
        <x:v>REKAYASA PERANGKAT LUNAK</x:v>
      </x:c>
      <x:c r="E2365" t="str">
        <x:v>Sarjana</x:v>
      </x:c>
      <x:c r="F2365" s="18" t="n">
        <x:v>18</x:v>
      </x:c>
      <x:c r="G2365" s="18" t="n">
        <x:v>306</x:v>
      </x:c>
      <x:c r="H2365" s="19" t="n">
        <x:v>17</x:v>
      </x:c>
      <x:c r="I2365" s="18" t="n">
        <x:f>ROUND(MIN(Model_Config_v3!$B$6,MAX(Q2365,R2365,S2365*Model_Config_v3!$B$4+T2365*Model_Config_v3!$B$5)),0)</x:f>
        <x:v>691</x:v>
      </x:c>
      <x:c r="J2365" s="18" t="n">
        <x:f>MIN(Model_Config_v3!$B$6,I2365+Model_Config_v3!$B$7)</x:f>
        <x:v>711</x:v>
      </x:c>
      <x:c r="K2365" s="20" t="n">
        <x:v>72.9</x:v>
      </x:c>
      <x:c r="L2365" t="str">
        <x:v>SANGAT KETAT</x:v>
      </x:c>
      <x:c r="M2365" t="str">
        <x:v>SEDANG+</x:v>
      </x:c>
      <x:c r="N2365" t="str">
        <x:v>ELITE-2</x:v>
      </x:c>
      <x:c r="O2365" t="str">
        <x:v>CAMPURAN</x:v>
      </x:c>
      <x:c r="P2365" t="str">
        <x:v>UMUM</x:v>
      </x:c>
      <x:c r="Q2365" s="18" t="n">
        <x:v>655</x:v>
      </x:c>
      <x:c r="R2365" s="18" t="n">
        <x:v>0</x:v>
      </x:c>
      <x:c r="S2365" s="18" t="n">
        <x:v>655.3493813516102</x:v>
      </x:c>
      <x:c r="T2365" s="18" t="n">
        <x:v>706</x:v>
      </x:c>
      <x:c r="U2365" s="18" t="n">
        <x:v>655.3493813516102</x:v>
      </x:c>
      <x:c r="V2365" s="20" t="n">
        <x:v>8.8</x:v>
      </x:c>
      <x:c r="W2365" s="20" t="n">
        <x:v>9.9</x:v>
      </x:c>
      <x:c r="X2365" s="20" t="n">
        <x:v>3.3</x:v>
      </x:c>
      <x:c r="Y2365" t="str">
        <x:v>Basis arsip 2025/2024</x:v>
      </x:c>
      <x:c r="Z2365" t="str">
        <x:v>https://snpmb.id/utbk-snbt/daya-tampung-snbt</x:v>
      </x:c>
      <x:c r="AA2365" t="str">
        <x:v>Tidak Ada</x:v>
      </x:c>
      <x:c r="AB2365" t="str">
        <x:v>Campus=90; Ratio=72.4; Prodi=40; RelDemand=67.9; Capacity=85.0</x:v>
      </x:c>
    </x:row>
    <x:row r="2366">
      <x:c r="A2366" t="n">
        <x:v>2363</x:v>
      </x:c>
      <x:c r="B2366" t="str">
        <x:v>PTN Akademik</x:v>
      </x:c>
      <x:c r="C2366" t="str">
        <x:v>INSTITUT TEKNOLOGI SEPULUH NOPEMBER</x:v>
      </x:c>
      <x:c r="D2366" t="str">
        <x:v>BISNIS DIGITAL</x:v>
      </x:c>
      <x:c r="E2366" t="str">
        <x:v>Sarjana</x:v>
      </x:c>
      <x:c r="F2366" s="18" t="n">
        <x:v>15</x:v>
      </x:c>
      <x:c r="G2366" s="18"/>
      <x:c r="H2366" s="19" t="n">
        <x:v>0</x:v>
      </x:c>
      <x:c r="I2366" s="18" t="n">
        <x:f>ROUND(MIN(Model_Config_v3!$B$6,MAX(Q2366,R2366,S2366*Model_Config_v3!$B$4+T2366*Model_Config_v3!$B$5)),0)</x:f>
        <x:v>680</x:v>
      </x:c>
      <x:c r="J2366" s="18" t="n">
        <x:f>MIN(Model_Config_v3!$B$6,I2366+Model_Config_v3!$B$7)</x:f>
        <x:v>700</x:v>
      </x:c>
      <x:c r="K2366" s="20" t="n">
        <x:v>53.2</x:v>
      </x:c>
      <x:c r="L2366" t="str">
        <x:v>MENENGAH</x:v>
      </x:c>
      <x:c r="M2366" t="str">
        <x:v>RENDAH</x:v>
      </x:c>
      <x:c r="N2366" t="str">
        <x:v>ELITE-2</x:v>
      </x:c>
      <x:c r="O2366" t="str">
        <x:v>SOSHUM</x:v>
      </x:c>
      <x:c r="P2366" t="str">
        <x:v>BISNIS/EKONOMI/AKUNTANSI</x:v>
      </x:c>
      <x:c r="Q2366" s="18" t="n">
        <x:v>655</x:v>
      </x:c>
      <x:c r="R2366" s="18" t="n">
        <x:v>680</x:v>
      </x:c>
      <x:c r="S2366" s="18" t="n">
        <x:v>520</x:v>
      </x:c>
      <x:c r="T2366" s="18" t="n">
        <x:v>666</x:v>
      </x:c>
      <x:c r="U2366" s="18" t="n">
        <x:v>655</x:v>
      </x:c>
      <x:c r="V2366" s="20" t="n">
        <x:v>4.4</x:v>
      </x:c>
      <x:c r="W2366" s="20" t="n">
        <x:v>14.3</x:v>
      </x:c>
      <x:c r="X2366" s="20" t="n">
        <x:v>3.3</x:v>
      </x:c>
      <x:c r="Y2366" t="str">
        <x:v>Basis arsip 2025/2024</x:v>
      </x:c>
      <x:c r="Z2366" t="str">
        <x:v>https://snpmb.id/utbk-snbt/daya-tampung-snbt</x:v>
      </x:c>
      <x:c r="AA2366" t="str">
        <x:v>Tidak Ada</x:v>
      </x:c>
      <x:c r="AB2366" t="str">
        <x:v>Campus=90; Ratio=0.0; Prodi=65; RelDemand=0.0; Capacity=87.5</x:v>
      </x:c>
    </x:row>
    <x:row r="2367">
      <x:c r="A2367" t="n">
        <x:v>2364</x:v>
      </x:c>
      <x:c r="B2367" t="str">
        <x:v>PTN Akademik</x:v>
      </x:c>
      <x:c r="C2367" t="str">
        <x:v>INSTITUT TEKNOLOGI SEPULUH NOPEMBER</x:v>
      </x:c>
      <x:c r="D2367" t="str">
        <x:v>REKAYASA KESELAMATAN PROSES</x:v>
      </x:c>
      <x:c r="E2367" t="str">
        <x:v>Sarjana</x:v>
      </x:c>
      <x:c r="F2367" s="18" t="n">
        <x:v>12</x:v>
      </x:c>
      <x:c r="G2367" s="18"/>
      <x:c r="H2367" s="19" t="n">
        <x:v>0</x:v>
      </x:c>
      <x:c r="I2367" s="18" t="n">
        <x:f>ROUND(MIN(Model_Config_v3!$B$6,MAX(Q2367,R2367,S2367*Model_Config_v3!$B$4+T2367*Model_Config_v3!$B$5)),0)</x:f>
        <x:v>655</x:v>
      </x:c>
      <x:c r="J2367" s="18" t="n">
        <x:f>MIN(Model_Config_v3!$B$6,I2367+Model_Config_v3!$B$7)</x:f>
        <x:v>675</x:v>
      </x:c>
      <x:c r="K2367" s="20" t="n">
        <x:v>48.5</x:v>
      </x:c>
      <x:c r="L2367" t="str">
        <x:v>MENENGAH</x:v>
      </x:c>
      <x:c r="M2367" t="str">
        <x:v>RENDAH</x:v>
      </x:c>
      <x:c r="N2367" t="str">
        <x:v>ELITE-2</x:v>
      </x:c>
      <x:c r="O2367" t="str">
        <x:v>CAMPURAN</x:v>
      </x:c>
      <x:c r="P2367" t="str">
        <x:v>UMUM</x:v>
      </x:c>
      <x:c r="Q2367" s="18" t="n">
        <x:v>655</x:v>
      </x:c>
      <x:c r="R2367" s="18" t="n">
        <x:v>0</x:v>
      </x:c>
      <x:c r="S2367" s="18" t="n">
        <x:v>520</x:v>
      </x:c>
      <x:c r="T2367" s="18" t="n">
        <x:v>657</x:v>
      </x:c>
      <x:c r="U2367" s="18" t="n">
        <x:v>655</x:v>
      </x:c>
      <x:c r="V2367" s="20" t="n">
        <x:v>8.8</x:v>
      </x:c>
      <x:c r="W2367" s="20" t="n">
        <x:v>9.9</x:v>
      </x:c>
      <x:c r="X2367" s="20" t="n">
        <x:v>3.3</x:v>
      </x:c>
      <x:c r="Y2367" t="str">
        <x:v>Basis arsip 2025/2024</x:v>
      </x:c>
      <x:c r="Z2367" t="str">
        <x:v>https://snpmb.id/utbk-snbt/daya-tampung-snbt</x:v>
      </x:c>
      <x:c r="AA2367" t="str">
        <x:v>Tidak Ada</x:v>
      </x:c>
      <x:c r="AB2367" t="str">
        <x:v>Campus=90; Ratio=0.0; Prodi=40; RelDemand=0.0; Capacity=90.0</x:v>
      </x:c>
    </x:row>
    <x:row r="2368">
      <x:c r="A2368" t="n">
        <x:v>2365</x:v>
      </x:c>
      <x:c r="B2368" t="str">
        <x:v>PTN Akademik</x:v>
      </x:c>
      <x:c r="C2368" t="str">
        <x:v>INSTITUT TEKNOLOGI SEPULUH NOPEMBER</x:v>
      </x:c>
      <x:c r="D2368" t="str">
        <x:v>SAINS KOMUNIKASI</x:v>
      </x:c>
      <x:c r="E2368" t="str">
        <x:v>Sarjana</x:v>
      </x:c>
      <x:c r="F2368" s="18" t="n">
        <x:v>18</x:v>
      </x:c>
      <x:c r="G2368" s="18"/>
      <x:c r="H2368" s="19" t="n">
        <x:v>0</x:v>
      </x:c>
      <x:c r="I2368" s="18" t="n">
        <x:f>ROUND(MIN(Model_Config_v3!$B$6,MAX(Q2368,R2368,S2368*Model_Config_v3!$B$4+T2368*Model_Config_v3!$B$5)),0)</x:f>
        <x:v>655</x:v>
      </x:c>
      <x:c r="J2368" s="18" t="n">
        <x:f>MIN(Model_Config_v3!$B$6,I2368+Model_Config_v3!$B$7)</x:f>
        <x:v>675</x:v>
      </x:c>
      <x:c r="K2368" s="20" t="n">
        <x:v>48</x:v>
      </x:c>
      <x:c r="L2368" t="str">
        <x:v>MENENGAH</x:v>
      </x:c>
      <x:c r="M2368" t="str">
        <x:v>RENDAH</x:v>
      </x:c>
      <x:c r="N2368" t="str">
        <x:v>ELITE-2</x:v>
      </x:c>
      <x:c r="O2368" t="str">
        <x:v>SOSHUM</x:v>
      </x:c>
      <x:c r="P2368" t="str">
        <x:v>UMUM</x:v>
      </x:c>
      <x:c r="Q2368" s="18" t="n">
        <x:v>655</x:v>
      </x:c>
      <x:c r="R2368" s="18" t="n">
        <x:v>0</x:v>
      </x:c>
      <x:c r="S2368" s="18" t="n">
        <x:v>520</x:v>
      </x:c>
      <x:c r="T2368" s="18" t="n">
        <x:v>656</x:v>
      </x:c>
      <x:c r="U2368" s="18" t="n">
        <x:v>655</x:v>
      </x:c>
      <x:c r="V2368" s="20" t="n">
        <x:v>4.4</x:v>
      </x:c>
      <x:c r="W2368" s="20" t="n">
        <x:v>14.3</x:v>
      </x:c>
      <x:c r="X2368" s="20" t="n">
        <x:v>3.3</x:v>
      </x:c>
      <x:c r="Y2368" t="str">
        <x:v>Basis arsip 2025/2024</x:v>
      </x:c>
      <x:c r="Z2368" t="str">
        <x:v>https://snpmb.id/utbk-snbt/daya-tampung-snbt</x:v>
      </x:c>
      <x:c r="AA2368" t="str">
        <x:v>Tidak Ada</x:v>
      </x:c>
      <x:c r="AB2368" t="str">
        <x:v>Campus=90; Ratio=0.0; Prodi=40; RelDemand=0.0; Capacity=85.0</x:v>
      </x:c>
    </x:row>
    <x:row r="2369">
      <x:c r="A2369" t="n">
        <x:v>2366</x:v>
      </x:c>
      <x:c r="B2369" t="str">
        <x:v>PTN Akademik</x:v>
      </x:c>
      <x:c r="C2369" t="str">
        <x:v>INSTITUT TEKNOLOGI SEPULUH NOPEMBER</x:v>
      </x:c>
      <x:c r="D2369" t="str">
        <x:v>BIOTEKNOLOGI</x:v>
      </x:c>
      <x:c r="E2369" t="str">
        <x:v>Sarjana</x:v>
      </x:c>
      <x:c r="F2369" s="18" t="n">
        <x:v>16</x:v>
      </x:c>
      <x:c r="G2369" s="18"/>
      <x:c r="H2369" s="19" t="n">
        <x:v>0</x:v>
      </x:c>
      <x:c r="I2369" s="18" t="n">
        <x:f>ROUND(MIN(Model_Config_v3!$B$6,MAX(Q2369,R2369,S2369*Model_Config_v3!$B$4+T2369*Model_Config_v3!$B$5)),0)</x:f>
        <x:v>655</x:v>
      </x:c>
      <x:c r="J2369" s="18" t="n">
        <x:f>MIN(Model_Config_v3!$B$6,I2369+Model_Config_v3!$B$7)</x:f>
        <x:v>675</x:v>
      </x:c>
      <x:c r="K2369" s="20" t="n">
        <x:v>48.2</x:v>
      </x:c>
      <x:c r="L2369" t="str">
        <x:v>MENENGAH</x:v>
      </x:c>
      <x:c r="M2369" t="str">
        <x:v>RENDAH</x:v>
      </x:c>
      <x:c r="N2369" t="str">
        <x:v>ELITE-2</x:v>
      </x:c>
      <x:c r="O2369" t="str">
        <x:v>SAINTEK</x:v>
      </x:c>
      <x:c r="P2369" t="str">
        <x:v>UMUM</x:v>
      </x:c>
      <x:c r="Q2369" s="18" t="n">
        <x:v>655</x:v>
      </x:c>
      <x:c r="R2369" s="18" t="n">
        <x:v>0</x:v>
      </x:c>
      <x:c r="S2369" s="18" t="n">
        <x:v>520</x:v>
      </x:c>
      <x:c r="T2369" s="18" t="n">
        <x:v>656</x:v>
      </x:c>
      <x:c r="U2369" s="18" t="n">
        <x:v>655</x:v>
      </x:c>
      <x:c r="V2369" s="20" t="n">
        <x:v>12</x:v>
      </x:c>
      <x:c r="W2369" s="20" t="n">
        <x:v>5</x:v>
      </x:c>
      <x:c r="X2369" s="20" t="n">
        <x:v>3</x:v>
      </x:c>
      <x:c r="Y2369" t="str">
        <x:v>Basis arsip 2025/2024</x:v>
      </x:c>
      <x:c r="Z2369" t="str">
        <x:v>https://snpmb.id/utbk-snbt/daya-tampung-snbt</x:v>
      </x:c>
      <x:c r="AA2369" t="str">
        <x:v>Tidak Ada</x:v>
      </x:c>
      <x:c r="AB2369" t="str">
        <x:v>Campus=90; Ratio=0.0; Prodi=40; RelDemand=0.0; Capacity=86.7</x:v>
      </x:c>
    </x:row>
    <x:row r="2370">
      <x:c r="A2370" t="n">
        <x:v>2367</x:v>
      </x:c>
      <x:c r="B2370" t="str">
        <x:v>PTN Akademik</x:v>
      </x:c>
      <x:c r="C2370" t="str">
        <x:v>INSTITUT TEKNOLOGI SEPULUH NOPEMBER</x:v>
      </x:c>
      <x:c r="D2370" t="str">
        <x:v>TEKNIK SIPIL</x:v>
      </x:c>
      <x:c r="E2370" t="str">
        <x:v>Sarjana Terapan</x:v>
      </x:c>
      <x:c r="F2370" s="18" t="n">
        <x:v>36</x:v>
      </x:c>
      <x:c r="G2370" s="18" t="n">
        <x:v>2296</x:v>
      </x:c>
      <x:c r="H2370" s="19" t="n">
        <x:v>63.77777777777778</x:v>
      </x:c>
      <x:c r="I2370" s="18" t="n">
        <x:f>ROUND(MIN(Model_Config_v3!$B$6,MAX(Q2370,R2370,S2370*Model_Config_v3!$B$4+T2370*Model_Config_v3!$B$5)),0)</x:f>
        <x:v>727</x:v>
      </x:c>
      <x:c r="J2370" s="18" t="n">
        <x:f>MIN(Model_Config_v3!$B$6,I2370+Model_Config_v3!$B$7)</x:f>
        <x:v>747</x:v>
      </x:c>
      <x:c r="K2370" s="20" t="n">
        <x:v>85.5</x:v>
      </x:c>
      <x:c r="L2370" t="str">
        <x:v>ULTRA ELITE</x:v>
      </x:c>
      <x:c r="M2370" t="str">
        <x:v>SEDANG+</x:v>
      </x:c>
      <x:c r="N2370" t="str">
        <x:v>ELITE-2</x:v>
      </x:c>
      <x:c r="O2370" t="str">
        <x:v>SAINTEK</x:v>
      </x:c>
      <x:c r="P2370" t="str">
        <x:v>TEKNIK/ARSITEKTUR/STATISTIKA/AKTUARIA</x:v>
      </x:c>
      <x:c r="Q2370" s="18" t="n">
        <x:v>655</x:v>
      </x:c>
      <x:c r="R2370" s="18" t="n">
        <x:v>670</x:v>
      </x:c>
      <x:c r="S2370" s="18" t="n">
        <x:v>718.5136321254513</x:v>
      </x:c>
      <x:c r="T2370" s="18" t="n">
        <x:v>731</x:v>
      </x:c>
      <x:c r="U2370" s="18" t="n">
        <x:v>728.5136321254513</x:v>
      </x:c>
      <x:c r="V2370" s="20" t="n">
        <x:v>12</x:v>
      </x:c>
      <x:c r="W2370" s="20" t="n">
        <x:v>5</x:v>
      </x:c>
      <x:c r="X2370" s="20" t="n">
        <x:v>3</x:v>
      </x:c>
      <x:c r="Y2370" t="str">
        <x:v>Basis arsip 2025/2024</x:v>
      </x:c>
      <x:c r="Z2370" t="str">
        <x:v>https://snpmb.id/utbk-snbt/daya-tampung-snbt</x:v>
      </x:c>
      <x:c r="AA2370" t="str">
        <x:v>Tidak Ada</x:v>
      </x:c>
      <x:c r="AB2370" t="str">
        <x:v>Campus=90; Ratio=100.0; Prodi=60; RelDemand=100.0; Capacity=70.0</x:v>
      </x:c>
    </x:row>
    <x:row r="2371">
      <x:c r="A2371" t="n">
        <x:v>2368</x:v>
      </x:c>
      <x:c r="B2371" t="str">
        <x:v>PTN Akademik</x:v>
      </x:c>
      <x:c r="C2371" t="str">
        <x:v>INSTITUT TEKNOLOGI SEPULUH NOPEMBER</x:v>
      </x:c>
      <x:c r="D2371" t="str">
        <x:v>TEKNOLOGI REKAYASA KONSTRUKSI BANGUNAN AIR</x:v>
      </x:c>
      <x:c r="E2371" t="str">
        <x:v>Sarjana Terapan</x:v>
      </x:c>
      <x:c r="F2371" s="18" t="n">
        <x:v>36</x:v>
      </x:c>
      <x:c r="G2371" s="18" t="n">
        <x:v>280</x:v>
      </x:c>
      <x:c r="H2371" s="19" t="n">
        <x:v>7.777777777777778</x:v>
      </x:c>
      <x:c r="I2371" s="18" t="n">
        <x:f>ROUND(MIN(Model_Config_v3!$B$6,MAX(Q2371,R2371,S2371*Model_Config_v3!$B$4+T2371*Model_Config_v3!$B$5)),0)</x:f>
        <x:v>665</x:v>
      </x:c>
      <x:c r="J2371" s="18" t="n">
        <x:f>MIN(Model_Config_v3!$B$6,I2371+Model_Config_v3!$B$7)</x:f>
        <x:v>685</x:v>
      </x:c>
      <x:c r="K2371" s="20" t="n">
        <x:v>62.7</x:v>
      </x:c>
      <x:c r="L2371" t="str">
        <x:v>KETAT</x:v>
      </x:c>
      <x:c r="M2371" t="str">
        <x:v>SEDANG+</x:v>
      </x:c>
      <x:c r="N2371" t="str">
        <x:v>ELITE-2</x:v>
      </x:c>
      <x:c r="O2371" t="str">
        <x:v>SAINTEK</x:v>
      </x:c>
      <x:c r="P2371" t="str">
        <x:v>UMUM</x:v>
      </x:c>
      <x:c r="Q2371" s="18" t="n">
        <x:v>655</x:v>
      </x:c>
      <x:c r="R2371" s="18" t="n">
        <x:v>0</x:v>
      </x:c>
      <x:c r="S2371" s="18" t="n">
        <x:v>617.9941083632425</x:v>
      </x:c>
      <x:c r="T2371" s="18" t="n">
        <x:v>685</x:v>
      </x:c>
      <x:c r="U2371" s="18" t="n">
        <x:v>655</x:v>
      </x:c>
      <x:c r="V2371" s="20" t="n">
        <x:v>12</x:v>
      </x:c>
      <x:c r="W2371" s="20" t="n">
        <x:v>5</x:v>
      </x:c>
      <x:c r="X2371" s="20" t="n">
        <x:v>3</x:v>
      </x:c>
      <x:c r="Y2371" t="str">
        <x:v>Basis arsip 2025/2024</x:v>
      </x:c>
      <x:c r="Z2371" t="str">
        <x:v>https://snpmb.id/utbk-snbt/daya-tampung-snbt</x:v>
      </x:c>
      <x:c r="AA2371" t="str">
        <x:v>Tidak Ada</x:v>
      </x:c>
      <x:c r="AB2371" t="str">
        <x:v>Campus=90; Ratio=52.4; Prodi=40; RelDemand=31.0; Capacity=70.0</x:v>
      </x:c>
    </x:row>
    <x:row r="2372">
      <x:c r="A2372" t="n">
        <x:v>2369</x:v>
      </x:c>
      <x:c r="B2372" t="str">
        <x:v>PTN Akademik</x:v>
      </x:c>
      <x:c r="C2372" t="str">
        <x:v>INSTITUT TEKNOLOGI SEPULUH NOPEMBER</x:v>
      </x:c>
      <x:c r="D2372" t="str">
        <x:v>TEKNOLOGI REKAYASA MANUFAKTUR</x:v>
      </x:c>
      <x:c r="E2372" t="str">
        <x:v>Sarjana Terapan</x:v>
      </x:c>
      <x:c r="F2372" s="18" t="n">
        <x:v>36</x:v>
      </x:c>
      <x:c r="G2372" s="18" t="n">
        <x:v>468</x:v>
      </x:c>
      <x:c r="H2372" s="19" t="n">
        <x:v>13</x:v>
      </x:c>
      <x:c r="I2372" s="18" t="n">
        <x:f>ROUND(MIN(Model_Config_v3!$B$6,MAX(Q2372,R2372,S2372*Model_Config_v3!$B$4+T2372*Model_Config_v3!$B$5)),0)</x:f>
        <x:v>680</x:v>
      </x:c>
      <x:c r="J2372" s="18" t="n">
        <x:f>MIN(Model_Config_v3!$B$6,I2372+Model_Config_v3!$B$7)</x:f>
        <x:v>700</x:v>
      </x:c>
      <x:c r="K2372" s="20" t="n">
        <x:v>68.1</x:v>
      </x:c>
      <x:c r="L2372" t="str">
        <x:v>SANGAT KETAT</x:v>
      </x:c>
      <x:c r="M2372" t="str">
        <x:v>SEDANG+</x:v>
      </x:c>
      <x:c r="N2372" t="str">
        <x:v>ELITE-2</x:v>
      </x:c>
      <x:c r="O2372" t="str">
        <x:v>SAINTEK</x:v>
      </x:c>
      <x:c r="P2372" t="str">
        <x:v>UMUM</x:v>
      </x:c>
      <x:c r="Q2372" s="18" t="n">
        <x:v>655</x:v>
      </x:c>
      <x:c r="R2372" s="18" t="n">
        <x:v>0</x:v>
      </x:c>
      <x:c r="S2372" s="18" t="n">
        <x:v>642.533768753752</x:v>
      </x:c>
      <x:c r="T2372" s="18" t="n">
        <x:v>696</x:v>
      </x:c>
      <x:c r="U2372" s="18" t="n">
        <x:v>655</x:v>
      </x:c>
      <x:c r="V2372" s="20" t="n">
        <x:v>12</x:v>
      </x:c>
      <x:c r="W2372" s="20" t="n">
        <x:v>5</x:v>
      </x:c>
      <x:c r="X2372" s="20" t="n">
        <x:v>3</x:v>
      </x:c>
      <x:c r="Y2372" t="str">
        <x:v>Basis arsip 2025/2024</x:v>
      </x:c>
      <x:c r="Z2372" t="str">
        <x:v>https://snpmb.id/utbk-snbt/daya-tampung-snbt</x:v>
      </x:c>
      <x:c r="AA2372" t="str">
        <x:v>Tidak Ada</x:v>
      </x:c>
      <x:c r="AB2372" t="str">
        <x:v>Campus=90; Ratio=65.6; Prodi=40; RelDemand=51.9; Capacity=70.0</x:v>
      </x:c>
    </x:row>
    <x:row r="2373">
      <x:c r="A2373" t="n">
        <x:v>2370</x:v>
      </x:c>
      <x:c r="B2373" t="str">
        <x:v>PTN Akademik</x:v>
      </x:c>
      <x:c r="C2373" t="str">
        <x:v>INSTITUT TEKNOLOGI SEPULUH NOPEMBER</x:v>
      </x:c>
      <x:c r="D2373" t="str">
        <x:v>TEKNOLOGI REKAYASA KONVERSI ENERGI</x:v>
      </x:c>
      <x:c r="E2373" t="str">
        <x:v>Sarjana Terapan</x:v>
      </x:c>
      <x:c r="F2373" s="18" t="n">
        <x:v>36</x:v>
      </x:c>
      <x:c r="G2373" s="18" t="n">
        <x:v>505</x:v>
      </x:c>
      <x:c r="H2373" s="19" t="n">
        <x:v>14.027777777777779</x:v>
      </x:c>
      <x:c r="I2373" s="18" t="n">
        <x:f>ROUND(MIN(Model_Config_v3!$B$6,MAX(Q2373,R2373,S2373*Model_Config_v3!$B$4+T2373*Model_Config_v3!$B$5)),0)</x:f>
        <x:v>682</x:v>
      </x:c>
      <x:c r="J2373" s="18" t="n">
        <x:f>MIN(Model_Config_v3!$B$6,I2373+Model_Config_v3!$B$7)</x:f>
        <x:v>702</x:v>
      </x:c>
      <x:c r="K2373" s="20" t="n">
        <x:v>69</x:v>
      </x:c>
      <x:c r="L2373" t="str">
        <x:v>SANGAT KETAT</x:v>
      </x:c>
      <x:c r="M2373" t="str">
        <x:v>SEDANG+</x:v>
      </x:c>
      <x:c r="N2373" t="str">
        <x:v>ELITE-2</x:v>
      </x:c>
      <x:c r="O2373" t="str">
        <x:v>SAINTEK</x:v>
      </x:c>
      <x:c r="P2373" t="str">
        <x:v>UMUM</x:v>
      </x:c>
      <x:c r="Q2373" s="18" t="n">
        <x:v>655</x:v>
      </x:c>
      <x:c r="R2373" s="18" t="n">
        <x:v>0</x:v>
      </x:c>
      <x:c r="S2373" s="18" t="n">
        <x:v>646.1687765086511</x:v>
      </x:c>
      <x:c r="T2373" s="18" t="n">
        <x:v>698</x:v>
      </x:c>
      <x:c r="U2373" s="18" t="n">
        <x:v>655</x:v>
      </x:c>
      <x:c r="V2373" s="20" t="n">
        <x:v>12</x:v>
      </x:c>
      <x:c r="W2373" s="20" t="n">
        <x:v>5</x:v>
      </x:c>
      <x:c r="X2373" s="20" t="n">
        <x:v>3</x:v>
      </x:c>
      <x:c r="Y2373" t="str">
        <x:v>Basis arsip 2025/2024</x:v>
      </x:c>
      <x:c r="Z2373" t="str">
        <x:v>https://snpmb.id/utbk-snbt/daya-tampung-snbt</x:v>
      </x:c>
      <x:c r="AA2373" t="str">
        <x:v>Tidak Ada</x:v>
      </x:c>
      <x:c r="AB2373" t="str">
        <x:v>Campus=90; Ratio=67.5; Prodi=40; RelDemand=56.0; Capacity=70.0</x:v>
      </x:c>
    </x:row>
    <x:row r="2374">
      <x:c r="A2374" t="n">
        <x:v>2371</x:v>
      </x:c>
      <x:c r="B2374" t="str">
        <x:v>PTN Akademik</x:v>
      </x:c>
      <x:c r="C2374" t="str">
        <x:v>INSTITUT TEKNOLOGI SEPULUH NOPEMBER</x:v>
      </x:c>
      <x:c r="D2374" t="str">
        <x:v>TEKNOLOGI REKAYASA OTOMASI</x:v>
      </x:c>
      <x:c r="E2374" t="str">
        <x:v>Sarjana Terapan</x:v>
      </x:c>
      <x:c r="F2374" s="18" t="n">
        <x:v>52</x:v>
      </x:c>
      <x:c r="G2374" s="18" t="n">
        <x:v>401</x:v>
      </x:c>
      <x:c r="H2374" s="19" t="n">
        <x:v>7.711538461538462</x:v>
      </x:c>
      <x:c r="I2374" s="18" t="n">
        <x:f>ROUND(MIN(Model_Config_v3!$B$6,MAX(Q2374,R2374,S2374*Model_Config_v3!$B$4+T2374*Model_Config_v3!$B$5)),0)</x:f>
        <x:v>663</x:v>
      </x:c>
      <x:c r="J2374" s="18" t="n">
        <x:f>MIN(Model_Config_v3!$B$6,I2374+Model_Config_v3!$B$7)</x:f>
        <x:v>683</x:v>
      </x:c>
      <x:c r="K2374" s="20" t="n">
        <x:v>61.3</x:v>
      </x:c>
      <x:c r="L2374" t="str">
        <x:v>KETAT</x:v>
      </x:c>
      <x:c r="M2374" t="str">
        <x:v>SEDANG+</x:v>
      </x:c>
      <x:c r="N2374" t="str">
        <x:v>ELITE-2</x:v>
      </x:c>
      <x:c r="O2374" t="str">
        <x:v>SAINTEK</x:v>
      </x:c>
      <x:c r="P2374" t="str">
        <x:v>UMUM</x:v>
      </x:c>
      <x:c r="Q2374" s="18" t="n">
        <x:v>655</x:v>
      </x:c>
      <x:c r="R2374" s="18" t="n">
        <x:v>0</x:v>
      </x:c>
      <x:c r="S2374" s="18" t="n">
        <x:v>617.5855131883922</x:v>
      </x:c>
      <x:c r="T2374" s="18" t="n">
        <x:v>683</x:v>
      </x:c>
      <x:c r="U2374" s="18" t="n">
        <x:v>655</x:v>
      </x:c>
      <x:c r="V2374" s="20" t="n">
        <x:v>12</x:v>
      </x:c>
      <x:c r="W2374" s="20" t="n">
        <x:v>5</x:v>
      </x:c>
      <x:c r="X2374" s="20" t="n">
        <x:v>3</x:v>
      </x:c>
      <x:c r="Y2374" t="str">
        <x:v>Basis arsip 2025/2024</x:v>
      </x:c>
      <x:c r="Z2374" t="str">
        <x:v>https://snpmb.id/utbk-snbt/daya-tampung-snbt</x:v>
      </x:c>
      <x:c r="AA2374" t="str">
        <x:v>Tidak Ada</x:v>
      </x:c>
      <x:c r="AB2374" t="str">
        <x:v>Campus=90; Ratio=52.2; Prodi=40; RelDemand=30.8; Capacity=56.7</x:v>
      </x:c>
    </x:row>
    <x:row r="2375">
      <x:c r="A2375" t="n">
        <x:v>2372</x:v>
      </x:c>
      <x:c r="B2375" t="str">
        <x:v>PTN Akademik</x:v>
      </x:c>
      <x:c r="C2375" t="str">
        <x:v>INSTITUT TEKNOLOGI SEPULUH NOPEMBER</x:v>
      </x:c>
      <x:c r="D2375" t="str">
        <x:v>TEKNOLOGI REKAYASA KIMIA INDUSTRI</x:v>
      </x:c>
      <x:c r="E2375" t="str">
        <x:v>Sarjana Terapan</x:v>
      </x:c>
      <x:c r="F2375" s="18" t="n">
        <x:v>52</x:v>
      </x:c>
      <x:c r="G2375" s="18" t="n">
        <x:v>1131</x:v>
      </x:c>
      <x:c r="H2375" s="19" t="n">
        <x:v>21.75</x:v>
      </x:c>
      <x:c r="I2375" s="18" t="n">
        <x:f>ROUND(MIN(Model_Config_v3!$B$6,MAX(Q2375,R2375,S2375*Model_Config_v3!$B$4+T2375*Model_Config_v3!$B$5)),0)</x:f>
        <x:v>698</x:v>
      </x:c>
      <x:c r="J2375" s="18" t="n">
        <x:f>MIN(Model_Config_v3!$B$6,I2375+Model_Config_v3!$B$7)</x:f>
        <x:v>718</x:v>
      </x:c>
      <x:c r="K2375" s="20" t="n">
        <x:v>75.5</x:v>
      </x:c>
      <x:c r="L2375" t="str">
        <x:v>ELITE</x:v>
      </x:c>
      <x:c r="M2375" t="str">
        <x:v>SEDANG+</x:v>
      </x:c>
      <x:c r="N2375" t="str">
        <x:v>ELITE-2</x:v>
      </x:c>
      <x:c r="O2375" t="str">
        <x:v>SAINTEK</x:v>
      </x:c>
      <x:c r="P2375" t="str">
        <x:v>SAINS DASAR</x:v>
      </x:c>
      <x:c r="Q2375" s="18" t="n">
        <x:v>655</x:v>
      </x:c>
      <x:c r="R2375" s="18" t="n">
        <x:v>0</x:v>
      </x:c>
      <x:c r="S2375" s="18" t="n">
        <x:v>667.1205187419721</x:v>
      </x:c>
      <x:c r="T2375" s="18" t="n">
        <x:v>711</x:v>
      </x:c>
      <x:c r="U2375" s="18" t="n">
        <x:v>667.1205187419721</x:v>
      </x:c>
      <x:c r="V2375" s="20" t="n">
        <x:v>12</x:v>
      </x:c>
      <x:c r="W2375" s="20" t="n">
        <x:v>5</x:v>
      </x:c>
      <x:c r="X2375" s="20" t="n">
        <x:v>3</x:v>
      </x:c>
      <x:c r="Y2375" t="str">
        <x:v>Basis arsip 2025/2024</x:v>
      </x:c>
      <x:c r="Z2375" t="str">
        <x:v>https://snpmb.id/utbk-snbt/daya-tampung-snbt</x:v>
      </x:c>
      <x:c r="AA2375" t="str">
        <x:v>Tidak Ada</x:v>
      </x:c>
      <x:c r="AB2375" t="str">
        <x:v>Campus=90; Ratio=78.7; Prodi=50; RelDemand=86.8; Capacity=56.7</x:v>
      </x:c>
    </x:row>
    <x:row r="2376">
      <x:c r="A2376" t="n">
        <x:v>2373</x:v>
      </x:c>
      <x:c r="B2376" t="str">
        <x:v>PTN Akademik</x:v>
      </x:c>
      <x:c r="C2376" t="str">
        <x:v>INSTITUT TEKNOLOGI SEPULUH NOPEMBER</x:v>
      </x:c>
      <x:c r="D2376" t="str">
        <x:v>TEKNOLOGI REKAYASA INSTRUMENTASI</x:v>
      </x:c>
      <x:c r="E2376" t="str">
        <x:v>Sarjana Terapan</x:v>
      </x:c>
      <x:c r="F2376" s="18" t="n">
        <x:v>52</x:v>
      </x:c>
      <x:c r="G2376" s="18" t="n">
        <x:v>420</x:v>
      </x:c>
      <x:c r="H2376" s="19" t="n">
        <x:v>8.076923076923077</x:v>
      </x:c>
      <x:c r="I2376" s="18" t="n">
        <x:f>ROUND(MIN(Model_Config_v3!$B$6,MAX(Q2376,R2376,S2376*Model_Config_v3!$B$4+T2376*Model_Config_v3!$B$5)),0)</x:f>
        <x:v>664</x:v>
      </x:c>
      <x:c r="J2376" s="18" t="n">
        <x:f>MIN(Model_Config_v3!$B$6,I2376+Model_Config_v3!$B$7)</x:f>
        <x:v>684</x:v>
      </x:c>
      <x:c r="K2376" s="20" t="n">
        <x:v>61.7</x:v>
      </x:c>
      <x:c r="L2376" t="str">
        <x:v>KETAT</x:v>
      </x:c>
      <x:c r="M2376" t="str">
        <x:v>SEDANG+</x:v>
      </x:c>
      <x:c r="N2376" t="str">
        <x:v>ELITE-2</x:v>
      </x:c>
      <x:c r="O2376" t="str">
        <x:v>SAINTEK</x:v>
      </x:c>
      <x:c r="P2376" t="str">
        <x:v>UMUM</x:v>
      </x:c>
      <x:c r="Q2376" s="18" t="n">
        <x:v>655</x:v>
      </x:c>
      <x:c r="R2376" s="18" t="n">
        <x:v>0</x:v>
      </x:c>
      <x:c r="S2376" s="18" t="n">
        <x:v>619.7970541439412</x:v>
      </x:c>
      <x:c r="T2376" s="18" t="n">
        <x:v>683</x:v>
      </x:c>
      <x:c r="U2376" s="18" t="n">
        <x:v>655</x:v>
      </x:c>
      <x:c r="V2376" s="20" t="n">
        <x:v>12</x:v>
      </x:c>
      <x:c r="W2376" s="20" t="n">
        <x:v>5</x:v>
      </x:c>
      <x:c r="X2376" s="20" t="n">
        <x:v>3</x:v>
      </x:c>
      <x:c r="Y2376" t="str">
        <x:v>Basis arsip 2025/2024</x:v>
      </x:c>
      <x:c r="Z2376" t="str">
        <x:v>https://snpmb.id/utbk-snbt/daya-tampung-snbt</x:v>
      </x:c>
      <x:c r="AA2376" t="str">
        <x:v>Tidak Ada</x:v>
      </x:c>
      <x:c r="AB2376" t="str">
        <x:v>Campus=90; Ratio=53.4; Prodi=40; RelDemand=32.2; Capacity=56.7</x:v>
      </x:c>
    </x:row>
    <x:row r="2377">
      <x:c r="A2377" t="n">
        <x:v>2374</x:v>
      </x:c>
      <x:c r="B2377" t="str">
        <x:v>PTN Akademik</x:v>
      </x:c>
      <x:c r="C2377" t="str">
        <x:v>INSTITUT TEKNOLOGI SEPULUH NOPEMBER</x:v>
      </x:c>
      <x:c r="D2377" t="str">
        <x:v>STATISTIKA BISNIS</x:v>
      </x:c>
      <x:c r="E2377" t="str">
        <x:v>Sarjana Terapan</x:v>
      </x:c>
      <x:c r="F2377" s="18" t="n">
        <x:v>52</x:v>
      </x:c>
      <x:c r="G2377" s="18" t="n">
        <x:v>1670</x:v>
      </x:c>
      <x:c r="H2377" s="19" t="n">
        <x:v>32.11538461538461</x:v>
      </x:c>
      <x:c r="I2377" s="18" t="n">
        <x:f>ROUND(MIN(Model_Config_v3!$B$6,MAX(Q2377,R2377,S2377*Model_Config_v3!$B$4+T2377*Model_Config_v3!$B$5)),0)</x:f>
        <x:v>713</x:v>
      </x:c>
      <x:c r="J2377" s="18" t="n">
        <x:f>MIN(Model_Config_v3!$B$6,I2377+Model_Config_v3!$B$7)</x:f>
        <x:v>733</x:v>
      </x:c>
      <x:c r="K2377" s="20" t="n">
        <x:v>82.3</x:v>
      </x:c>
      <x:c r="L2377" t="str">
        <x:v>ELITE</x:v>
      </x:c>
      <x:c r="M2377" t="str">
        <x:v>SEDANG+</x:v>
      </x:c>
      <x:c r="N2377" t="str">
        <x:v>ELITE-2</x:v>
      </x:c>
      <x:c r="O2377" t="str">
        <x:v>SAINTEK</x:v>
      </x:c>
      <x:c r="P2377" t="str">
        <x:v>BISNIS/EKONOMI/AKUNTANSI</x:v>
      </x:c>
      <x:c r="Q2377" s="18" t="n">
        <x:v>655</x:v>
      </x:c>
      <x:c r="R2377" s="18" t="n">
        <x:v>680</x:v>
      </x:c>
      <x:c r="S2377" s="18" t="n">
        <x:v>685.7384440264062</x:v>
      </x:c>
      <x:c r="T2377" s="18" t="n">
        <x:v>725</x:v>
      </x:c>
      <x:c r="U2377" s="18" t="n">
        <x:v>700.7384440264062</x:v>
      </x:c>
      <x:c r="V2377" s="20" t="n">
        <x:v>12</x:v>
      </x:c>
      <x:c r="W2377" s="20" t="n">
        <x:v>5</x:v>
      </x:c>
      <x:c r="X2377" s="20" t="n">
        <x:v>3</x:v>
      </x:c>
      <x:c r="Y2377" t="str">
        <x:v>Basis arsip 2025/2024</x:v>
      </x:c>
      <x:c r="Z2377" t="str">
        <x:v>https://snpmb.id/utbk-snbt/daya-tampung-snbt</x:v>
      </x:c>
      <x:c r="AA2377" t="str">
        <x:v>Tidak Ada</x:v>
      </x:c>
      <x:c r="AB2377" t="str">
        <x:v>Campus=90; Ratio=88.7; Prodi=65; RelDemand=100.0; Capacity=56.7</x:v>
      </x:c>
    </x:row>
    <x:row r="2378">
      <x:c r="A2378" t="n">
        <x:v>2375</x:v>
      </x:c>
      <x:c r="B2378" t="str">
        <x:v>PTN Akademik</x:v>
      </x:c>
      <x:c r="C2378" t="str">
        <x:v>INSTITUT TEKNOLOGI SEPULUH NOPEMBER</x:v>
      </x:c>
      <x:c r="D2378" t="str">
        <x:v>ANALITIKA LOGISTIK TERAPAN</x:v>
      </x:c>
      <x:c r="E2378" t="str">
        <x:v>Sarjana Terapan</x:v>
      </x:c>
      <x:c r="F2378" s="18" t="n">
        <x:v>16</x:v>
      </x:c>
      <x:c r="G2378" s="18"/>
      <x:c r="H2378" s="19" t="n">
        <x:v>0</x:v>
      </x:c>
      <x:c r="I2378" s="18" t="n">
        <x:f>ROUND(MIN(Model_Config_v3!$B$6,MAX(Q2378,R2378,S2378*Model_Config_v3!$B$4+T2378*Model_Config_v3!$B$5)),0)</x:f>
        <x:v>655</x:v>
      </x:c>
      <x:c r="J2378" s="18" t="n">
        <x:f>MIN(Model_Config_v3!$B$6,I2378+Model_Config_v3!$B$7)</x:f>
        <x:v>675</x:v>
      </x:c>
      <x:c r="K2378" s="20" t="n">
        <x:v>48.2</x:v>
      </x:c>
      <x:c r="L2378" t="str">
        <x:v>MENENGAH</x:v>
      </x:c>
      <x:c r="M2378" t="str">
        <x:v>RENDAH</x:v>
      </x:c>
      <x:c r="N2378" t="str">
        <x:v>ELITE-2</x:v>
      </x:c>
      <x:c r="O2378" t="str">
        <x:v>CAMPURAN</x:v>
      </x:c>
      <x:c r="P2378" t="str">
        <x:v>UMUM</x:v>
      </x:c>
      <x:c r="Q2378" s="18" t="n">
        <x:v>655</x:v>
      </x:c>
      <x:c r="R2378" s="18" t="n">
        <x:v>0</x:v>
      </x:c>
      <x:c r="S2378" s="18" t="n">
        <x:v>520</x:v>
      </x:c>
      <x:c r="T2378" s="18" t="n">
        <x:v>656</x:v>
      </x:c>
      <x:c r="U2378" s="18" t="n">
        <x:v>655</x:v>
      </x:c>
      <x:c r="V2378" s="20" t="n">
        <x:v>8.8</x:v>
      </x:c>
      <x:c r="W2378" s="20" t="n">
        <x:v>9.9</x:v>
      </x:c>
      <x:c r="X2378" s="20" t="n">
        <x:v>3.3</x:v>
      </x:c>
      <x:c r="Y2378" t="str">
        <x:v>Basis arsip 2025/2024</x:v>
      </x:c>
      <x:c r="Z2378" t="str">
        <x:v>https://snpmb.id/utbk-snbt/daya-tampung-snbt</x:v>
      </x:c>
      <x:c r="AA2378" t="str">
        <x:v>Tidak Ada</x:v>
      </x:c>
      <x:c r="AB2378" t="str">
        <x:v>Campus=90; Ratio=0.0; Prodi=40; RelDemand=0.0; Capacity=86.7</x:v>
      </x:c>
    </x:row>
    <x:row r="2379">
      <x:c r="A2379" t="n">
        <x:v>2376</x:v>
      </x:c>
      <x:c r="B2379" t="str">
        <x:v>PTN Akademik</x:v>
      </x:c>
      <x:c r="C2379" t="str">
        <x:v>UNIVERSITAS NEGERI SURABAYA</x:v>
      </x:c>
      <x:c r="D2379" t="str">
        <x:v>PENDIDIKAN MATEMATIKA</x:v>
      </x:c>
      <x:c r="E2379" t="str">
        <x:v>Sarjana</x:v>
      </x:c>
      <x:c r="F2379" s="18" t="n">
        <x:v>124</x:v>
      </x:c>
      <x:c r="G2379" s="18" t="n">
        <x:v>401</x:v>
      </x:c>
      <x:c r="H2379" s="19" t="n">
        <x:v>3.2338709677419355</x:v>
      </x:c>
      <x:c r="I2379" s="18" t="n">
        <x:f>ROUND(MIN(Model_Config_v3!$B$6,MAX(Q2379,R2379,S2379*Model_Config_v3!$B$4+T2379*Model_Config_v3!$B$5)),0)</x:f>
        <x:v>631</x:v>
      </x:c>
      <x:c r="J2379" s="18" t="n">
        <x:f>MIN(Model_Config_v3!$B$6,I2379+Model_Config_v3!$B$7)</x:f>
        <x:v>651</x:v>
      </x:c>
      <x:c r="K2379" s="20" t="n">
        <x:v>47.3</x:v>
      </x:c>
      <x:c r="L2379" t="str">
        <x:v>MENENGAH</x:v>
      </x:c>
      <x:c r="M2379" t="str">
        <x:v>SEDANG+</x:v>
      </x:c>
      <x:c r="N2379" t="str">
        <x:v>ELITE-3</x:v>
      </x:c>
      <x:c r="O2379" t="str">
        <x:v>SAINTEK</x:v>
      </x:c>
      <x:c r="P2379" t="str">
        <x:v>PENDIDIKAN</x:v>
      </x:c>
      <x:c r="Q2379" s="18" t="n">
        <x:v>620</x:v>
      </x:c>
      <x:c r="R2379" s="18" t="n">
        <x:v>0</x:v>
      </x:c>
      <x:c r="S2379" s="18" t="n">
        <x:v>576.0694956203741</x:v>
      </x:c>
      <x:c r="T2379" s="18" t="n">
        <x:v>655</x:v>
      </x:c>
      <x:c r="U2379" s="18" t="n">
        <x:v>620</x:v>
      </x:c>
      <x:c r="V2379" s="20" t="n">
        <x:v>12</x:v>
      </x:c>
      <x:c r="W2379" s="20" t="n">
        <x:v>5</x:v>
      </x:c>
      <x:c r="X2379" s="20" t="n">
        <x:v>3</x:v>
      </x:c>
      <x:c r="Y2379" t="str">
        <x:v>Basis arsip 2025/2024</x:v>
      </x:c>
      <x:c r="Z2379" t="str">
        <x:v>https://snpmb.id/utbk-snbt/daya-tampung-snbt</x:v>
      </x:c>
      <x:c r="AA2379" t="str">
        <x:v>Tidak Ada</x:v>
      </x:c>
      <x:c r="AB2379" t="str">
        <x:v>Campus=80; Ratio=30.0; Prodi=45; RelDemand=27.7; Capacity=0.0</x:v>
      </x:c>
    </x:row>
    <x:row r="2380">
      <x:c r="A2380" t="n">
        <x:v>2377</x:v>
      </x:c>
      <x:c r="B2380" t="str">
        <x:v>PTN Akademik</x:v>
      </x:c>
      <x:c r="C2380" t="str">
        <x:v>UNIVERSITAS NEGERI SURABAYA</x:v>
      </x:c>
      <x:c r="D2380" t="str">
        <x:v>PENDIDIKAN FISIKA</x:v>
      </x:c>
      <x:c r="E2380" t="str">
        <x:v>Sarjana</x:v>
      </x:c>
      <x:c r="F2380" s="18" t="n">
        <x:v>70</x:v>
      </x:c>
      <x:c r="G2380" s="18" t="n">
        <x:v>102</x:v>
      </x:c>
      <x:c r="H2380" s="19" t="n">
        <x:v>1.457142857142857</x:v>
      </x:c>
      <x:c r="I2380" s="18" t="n">
        <x:f>ROUND(MIN(Model_Config_v3!$B$6,MAX(Q2380,R2380,S2380*Model_Config_v3!$B$4+T2380*Model_Config_v3!$B$5)),0)</x:f>
        <x:v>620</x:v>
      </x:c>
      <x:c r="J2380" s="18" t="n">
        <x:f>MIN(Model_Config_v3!$B$6,I2380+Model_Config_v3!$B$7)</x:f>
        <x:v>640</x:v>
      </x:c>
      <x:c r="K2380" s="20" t="n">
        <x:v>44.8</x:v>
      </x:c>
      <x:c r="L2380" t="str">
        <x:v>RELATIF LONGGAR</x:v>
      </x:c>
      <x:c r="M2380" t="str">
        <x:v>SEDANG+</x:v>
      </x:c>
      <x:c r="N2380" t="str">
        <x:v>ELITE-3</x:v>
      </x:c>
      <x:c r="O2380" t="str">
        <x:v>SAINTEK</x:v>
      </x:c>
      <x:c r="P2380" t="str">
        <x:v>PENDIDIKAN</x:v>
      </x:c>
      <x:c r="Q2380" s="18" t="n">
        <x:v>620</x:v>
      </x:c>
      <x:c r="R2380" s="18" t="n">
        <x:v>0</x:v>
      </x:c>
      <x:c r="S2380" s="18" t="n">
        <x:v>537.9852344922426</x:v>
      </x:c>
      <x:c r="T2380" s="18" t="n">
        <x:v>650</x:v>
      </x:c>
      <x:c r="U2380" s="18" t="n">
        <x:v>620</x:v>
      </x:c>
      <x:c r="V2380" s="20" t="n">
        <x:v>12</x:v>
      </x:c>
      <x:c r="W2380" s="20" t="n">
        <x:v>5</x:v>
      </x:c>
      <x:c r="X2380" s="20" t="n">
        <x:v>3</x:v>
      </x:c>
      <x:c r="Y2380" t="str">
        <x:v>Basis arsip 2025/2024</x:v>
      </x:c>
      <x:c r="Z2380" t="str">
        <x:v>https://snpmb.id/utbk-snbt/daya-tampung-snbt</x:v>
      </x:c>
      <x:c r="AA2380" t="str">
        <x:v>Tidak Ada</x:v>
      </x:c>
      <x:c r="AB2380" t="str">
        <x:v>Campus=80; Ratio=9.6; Prodi=45; RelDemand=12.5; Capacity=41.7</x:v>
      </x:c>
    </x:row>
    <x:row r="2381">
      <x:c r="A2381" t="n">
        <x:v>2378</x:v>
      </x:c>
      <x:c r="B2381" t="str">
        <x:v>PTN Akademik</x:v>
      </x:c>
      <x:c r="C2381" t="str">
        <x:v>UNIVERSITAS NEGERI SURABAYA</x:v>
      </x:c>
      <x:c r="D2381" t="str">
        <x:v>PENDIDIKAN KIMIA</x:v>
      </x:c>
      <x:c r="E2381" t="str">
        <x:v>Sarjana</x:v>
      </x:c>
      <x:c r="F2381" s="18" t="n">
        <x:v>70</x:v>
      </x:c>
      <x:c r="G2381" s="18" t="n">
        <x:v>146</x:v>
      </x:c>
      <x:c r="H2381" s="19" t="n">
        <x:v>2.085714285714286</x:v>
      </x:c>
      <x:c r="I2381" s="18" t="n">
        <x:f>ROUND(MIN(Model_Config_v3!$B$6,MAX(Q2381,R2381,S2381*Model_Config_v3!$B$4+T2381*Model_Config_v3!$B$5)),0)</x:f>
        <x:v>625</x:v>
      </x:c>
      <x:c r="J2381" s="18" t="n">
        <x:f>MIN(Model_Config_v3!$B$6,I2381+Model_Config_v3!$B$7)</x:f>
        <x:v>645</x:v>
      </x:c>
      <x:c r="K2381" s="20" t="n">
        <x:v>47.6</x:v>
      </x:c>
      <x:c r="L2381" t="str">
        <x:v>MENENGAH</x:v>
      </x:c>
      <x:c r="M2381" t="str">
        <x:v>SEDANG+</x:v>
      </x:c>
      <x:c r="N2381" t="str">
        <x:v>ELITE-3</x:v>
      </x:c>
      <x:c r="O2381" t="str">
        <x:v>SAINTEK</x:v>
      </x:c>
      <x:c r="P2381" t="str">
        <x:v>PENDIDIKAN</x:v>
      </x:c>
      <x:c r="Q2381" s="18" t="n">
        <x:v>620</x:v>
      </x:c>
      <x:c r="R2381" s="18" t="n">
        <x:v>0</x:v>
      </x:c>
      <x:c r="S2381" s="18" t="n">
        <x:v>555.1180297347198</x:v>
      </x:c>
      <x:c r="T2381" s="18" t="n">
        <x:v>655</x:v>
      </x:c>
      <x:c r="U2381" s="18" t="n">
        <x:v>620</x:v>
      </x:c>
      <x:c r="V2381" s="20" t="n">
        <x:v>12</x:v>
      </x:c>
      <x:c r="W2381" s="20" t="n">
        <x:v>5</x:v>
      </x:c>
      <x:c r="X2381" s="20" t="n">
        <x:v>3</x:v>
      </x:c>
      <x:c r="Y2381" t="str">
        <x:v>Basis arsip 2025/2024</x:v>
      </x:c>
      <x:c r="Z2381" t="str">
        <x:v>https://snpmb.id/utbk-snbt/daya-tampung-snbt</x:v>
      </x:c>
      <x:c r="AA2381" t="str">
        <x:v>Tidak Ada</x:v>
      </x:c>
      <x:c r="AB2381" t="str">
        <x:v>Campus=80; Ratio=18.8; Prodi=45; RelDemand=17.8; Capacity=41.7</x:v>
      </x:c>
    </x:row>
    <x:row r="2382">
      <x:c r="A2382" t="n">
        <x:v>2379</x:v>
      </x:c>
      <x:c r="B2382" t="str">
        <x:v>PTN Akademik</x:v>
      </x:c>
      <x:c r="C2382" t="str">
        <x:v>UNIVERSITAS NEGERI SURABAYA</x:v>
      </x:c>
      <x:c r="D2382" t="str">
        <x:v>PENDIDIKAN BIOLOGI</x:v>
      </x:c>
      <x:c r="E2382" t="str">
        <x:v>Sarjana</x:v>
      </x:c>
      <x:c r="F2382" s="18" t="n">
        <x:v>120</x:v>
      </x:c>
      <x:c r="G2382" s="18" t="n">
        <x:v>505</x:v>
      </x:c>
      <x:c r="H2382" s="19" t="n">
        <x:v>4.208333333333333</x:v>
      </x:c>
      <x:c r="I2382" s="18" t="n">
        <x:f>ROUND(MIN(Model_Config_v3!$B$6,MAX(Q2382,R2382,S2382*Model_Config_v3!$B$4+T2382*Model_Config_v3!$B$5)),0)</x:f>
        <x:v>639</x:v>
      </x:c>
      <x:c r="J2382" s="18" t="n">
        <x:f>MIN(Model_Config_v3!$B$6,I2382+Model_Config_v3!$B$7)</x:f>
        <x:v>659</x:v>
      </x:c>
      <x:c r="K2382" s="20" t="n">
        <x:v>49.8</x:v>
      </x:c>
      <x:c r="L2382" t="str">
        <x:v>MENENGAH</x:v>
      </x:c>
      <x:c r="M2382" t="str">
        <x:v>SEDANG+</x:v>
      </x:c>
      <x:c r="N2382" t="str">
        <x:v>ELITE-3</x:v>
      </x:c>
      <x:c r="O2382" t="str">
        <x:v>SAINTEK</x:v>
      </x:c>
      <x:c r="P2382" t="str">
        <x:v>PENDIDIKAN</x:v>
      </x:c>
      <x:c r="Q2382" s="18" t="n">
        <x:v>620</x:v>
      </x:c>
      <x:c r="R2382" s="18" t="n">
        <x:v>0</x:v>
      </x:c>
      <x:c r="S2382" s="18" t="n">
        <x:v>588.652114527814</x:v>
      </x:c>
      <x:c r="T2382" s="18" t="n">
        <x:v>660</x:v>
      </x:c>
      <x:c r="U2382" s="18" t="n">
        <x:v>620</x:v>
      </x:c>
      <x:c r="V2382" s="20" t="n">
        <x:v>12</x:v>
      </x:c>
      <x:c r="W2382" s="20" t="n">
        <x:v>5</x:v>
      </x:c>
      <x:c r="X2382" s="20" t="n">
        <x:v>3</x:v>
      </x:c>
      <x:c r="Y2382" t="str">
        <x:v>Basis arsip 2025/2024</x:v>
      </x:c>
      <x:c r="Z2382" t="str">
        <x:v>https://snpmb.id/utbk-snbt/daya-tampung-snbt</x:v>
      </x:c>
      <x:c r="AA2382" t="str">
        <x:v>Tidak Ada</x:v>
      </x:c>
      <x:c r="AB2382" t="str">
        <x:v>Campus=80; Ratio=36.7; Prodi=45; RelDemand=36.0; Capacity=0.0</x:v>
      </x:c>
    </x:row>
    <x:row r="2383">
      <x:c r="A2383" t="n">
        <x:v>2380</x:v>
      </x:c>
      <x:c r="B2383" t="str">
        <x:v>PTN Akademik</x:v>
      </x:c>
      <x:c r="C2383" t="str">
        <x:v>UNIVERSITAS NEGERI SURABAYA</x:v>
      </x:c>
      <x:c r="D2383" t="str">
        <x:v>MATEMATIKA</x:v>
      </x:c>
      <x:c r="E2383" t="str">
        <x:v>Sarjana</x:v>
      </x:c>
      <x:c r="F2383" s="18" t="n">
        <x:v>99</x:v>
      </x:c>
      <x:c r="G2383" s="18" t="n">
        <x:v>185</x:v>
      </x:c>
      <x:c r="H2383" s="19" t="n">
        <x:v>1.8686868686868687</x:v>
      </x:c>
      <x:c r="I2383" s="18" t="n">
        <x:f>ROUND(MIN(Model_Config_v3!$B$6,MAX(Q2383,R2383,S2383*Model_Config_v3!$B$4+T2383*Model_Config_v3!$B$5)),0)</x:f>
        <x:v>621</x:v>
      </x:c>
      <x:c r="J2383" s="18" t="n">
        <x:f>MIN(Model_Config_v3!$B$6,I2383+Model_Config_v3!$B$7)</x:f>
        <x:v>641</x:v>
      </x:c>
      <x:c r="K2383" s="20" t="n">
        <x:v>45.3</x:v>
      </x:c>
      <x:c r="L2383" t="str">
        <x:v>MENENGAH</x:v>
      </x:c>
      <x:c r="M2383" t="str">
        <x:v>SEDANG+</x:v>
      </x:c>
      <x:c r="N2383" t="str">
        <x:v>ELITE-3</x:v>
      </x:c>
      <x:c r="O2383" t="str">
        <x:v>SAINTEK</x:v>
      </x:c>
      <x:c r="P2383" t="str">
        <x:v>SAINS DASAR</x:v>
      </x:c>
      <x:c r="Q2383" s="18" t="n">
        <x:v>620</x:v>
      </x:c>
      <x:c r="R2383" s="18" t="n">
        <x:v>0</x:v>
      </x:c>
      <x:c r="S2383" s="18" t="n">
        <x:v>549.8690187186011</x:v>
      </x:c>
      <x:c r="T2383" s="18" t="n">
        <x:v>651</x:v>
      </x:c>
      <x:c r="U2383" s="18" t="n">
        <x:v>620</x:v>
      </x:c>
      <x:c r="V2383" s="20" t="n">
        <x:v>12</x:v>
      </x:c>
      <x:c r="W2383" s="20" t="n">
        <x:v>5</x:v>
      </x:c>
      <x:c r="X2383" s="20" t="n">
        <x:v>3</x:v>
      </x:c>
      <x:c r="Y2383" t="str">
        <x:v>Basis arsip 2025/2024</x:v>
      </x:c>
      <x:c r="Z2383" t="str">
        <x:v>https://snpmb.id/utbk-snbt/daya-tampung-snbt</x:v>
      </x:c>
      <x:c r="AA2383" t="str">
        <x:v>Tidak Ada</x:v>
      </x:c>
      <x:c r="AB2383" t="str">
        <x:v>Campus=80; Ratio=16.0; Prodi=50; RelDemand=16.0; Capacity=17.5</x:v>
      </x:c>
    </x:row>
    <x:row r="2384">
      <x:c r="A2384" t="n">
        <x:v>2381</x:v>
      </x:c>
      <x:c r="B2384" t="str">
        <x:v>PTN Akademik</x:v>
      </x:c>
      <x:c r="C2384" t="str">
        <x:v>UNIVERSITAS NEGERI SURABAYA</x:v>
      </x:c>
      <x:c r="D2384" t="str">
        <x:v>FISIKA</x:v>
      </x:c>
      <x:c r="E2384" t="str">
        <x:v>Sarjana</x:v>
      </x:c>
      <x:c r="F2384" s="18" t="n">
        <x:v>52</x:v>
      </x:c>
      <x:c r="G2384" s="18" t="n">
        <x:v>84</x:v>
      </x:c>
      <x:c r="H2384" s="19" t="n">
        <x:v>1.6153846153846154</x:v>
      </x:c>
      <x:c r="I2384" s="18" t="n">
        <x:f>ROUND(MIN(Model_Config_v3!$B$6,MAX(Q2384,R2384,S2384*Model_Config_v3!$B$4+T2384*Model_Config_v3!$B$5)),0)</x:f>
        <x:v>622</x:v>
      </x:c>
      <x:c r="J2384" s="18" t="n">
        <x:f>MIN(Model_Config_v3!$B$6,I2384+Model_Config_v3!$B$7)</x:f>
        <x:v>642</x:v>
      </x:c>
      <x:c r="K2384" s="20" t="n">
        <x:v>48.1</x:v>
      </x:c>
      <x:c r="L2384" t="str">
        <x:v>MENENGAH</x:v>
      </x:c>
      <x:c r="M2384" t="str">
        <x:v>SEDANG+</x:v>
      </x:c>
      <x:c r="N2384" t="str">
        <x:v>ELITE-3</x:v>
      </x:c>
      <x:c r="O2384" t="str">
        <x:v>SAINTEK</x:v>
      </x:c>
      <x:c r="P2384" t="str">
        <x:v>SAINS DASAR</x:v>
      </x:c>
      <x:c r="Q2384" s="18" t="n">
        <x:v>620</x:v>
      </x:c>
      <x:c r="R2384" s="18" t="n">
        <x:v>0</x:v>
      </x:c>
      <x:c r="S2384" s="18" t="n">
        <x:v>542.9103536669791</x:v>
      </x:c>
      <x:c r="T2384" s="18" t="n">
        <x:v>656</x:v>
      </x:c>
      <x:c r="U2384" s="18" t="n">
        <x:v>620</x:v>
      </x:c>
      <x:c r="V2384" s="20" t="n">
        <x:v>12</x:v>
      </x:c>
      <x:c r="W2384" s="20" t="n">
        <x:v>5</x:v>
      </x:c>
      <x:c r="X2384" s="20" t="n">
        <x:v>3</x:v>
      </x:c>
      <x:c r="Y2384" t="str">
        <x:v>Basis arsip 2025/2024</x:v>
      </x:c>
      <x:c r="Z2384" t="str">
        <x:v>https://snpmb.id/utbk-snbt/daya-tampung-snbt</x:v>
      </x:c>
      <x:c r="AA2384" t="str">
        <x:v>Tidak Ada</x:v>
      </x:c>
      <x:c r="AB2384" t="str">
        <x:v>Campus=80; Ratio=12.3; Prodi=50; RelDemand=13.8; Capacity=56.7</x:v>
      </x:c>
    </x:row>
    <x:row r="2385">
      <x:c r="A2385" t="n">
        <x:v>2382</x:v>
      </x:c>
      <x:c r="B2385" t="str">
        <x:v>PTN Akademik</x:v>
      </x:c>
      <x:c r="C2385" t="str">
        <x:v>UNIVERSITAS NEGERI SURABAYA</x:v>
      </x:c>
      <x:c r="D2385" t="str">
        <x:v>KIMIA</x:v>
      </x:c>
      <x:c r="E2385" t="str">
        <x:v>Sarjana</x:v>
      </x:c>
      <x:c r="F2385" s="18" t="n">
        <x:v>64</x:v>
      </x:c>
      <x:c r="G2385" s="18" t="n">
        <x:v>313</x:v>
      </x:c>
      <x:c r="H2385" s="19" t="n">
        <x:v>4.890625</x:v>
      </x:c>
      <x:c r="I2385" s="18" t="n">
        <x:f>ROUND(MIN(Model_Config_v3!$B$6,MAX(Q2385,R2385,S2385*Model_Config_v3!$B$4+T2385*Model_Config_v3!$B$5)),0)</x:f>
        <x:v>651</x:v>
      </x:c>
      <x:c r="J2385" s="18" t="n">
        <x:f>MIN(Model_Config_v3!$B$6,I2385+Model_Config_v3!$B$7)</x:f>
        <x:v>671</x:v>
      </x:c>
      <x:c r="K2385" s="20" t="n">
        <x:v>57</x:v>
      </x:c>
      <x:c r="L2385" t="str">
        <x:v>KETAT</x:v>
      </x:c>
      <x:c r="M2385" t="str">
        <x:v>SEDANG+</x:v>
      </x:c>
      <x:c r="N2385" t="str">
        <x:v>ELITE-3</x:v>
      </x:c>
      <x:c r="O2385" t="str">
        <x:v>SAINTEK</x:v>
      </x:c>
      <x:c r="P2385" t="str">
        <x:v>SAINS DASAR</x:v>
      </x:c>
      <x:c r="Q2385" s="18" t="n">
        <x:v>620</x:v>
      </x:c>
      <x:c r="R2385" s="18" t="n">
        <x:v>0</x:v>
      </x:c>
      <x:c r="S2385" s="18" t="n">
        <x:v>595.8300799918817</x:v>
      </x:c>
      <x:c r="T2385" s="18" t="n">
        <x:v>674</x:v>
      </x:c>
      <x:c r="U2385" s="18" t="n">
        <x:v>620</x:v>
      </x:c>
      <x:c r="V2385" s="20" t="n">
        <x:v>12</x:v>
      </x:c>
      <x:c r="W2385" s="20" t="n">
        <x:v>5</x:v>
      </x:c>
      <x:c r="X2385" s="20" t="n">
        <x:v>3</x:v>
      </x:c>
      <x:c r="Y2385" t="str">
        <x:v>Basis arsip 2025/2024</x:v>
      </x:c>
      <x:c r="Z2385" t="str">
        <x:v>https://snpmb.id/utbk-snbt/daya-tampung-snbt</x:v>
      </x:c>
      <x:c r="AA2385" t="str">
        <x:v>Tidak Ada</x:v>
      </x:c>
      <x:c r="AB2385" t="str">
        <x:v>Campus=80; Ratio=40.6; Prodi=50; RelDemand=41.8; Capacity=46.7</x:v>
      </x:c>
    </x:row>
    <x:row r="2386">
      <x:c r="A2386" t="n">
        <x:v>2383</x:v>
      </x:c>
      <x:c r="B2386" t="str">
        <x:v>PTN Akademik</x:v>
      </x:c>
      <x:c r="C2386" t="str">
        <x:v>UNIVERSITAS NEGERI SURABAYA</x:v>
      </x:c>
      <x:c r="D2386" t="str">
        <x:v>BIOLOGI</x:v>
      </x:c>
      <x:c r="E2386" t="str">
        <x:v>Sarjana</x:v>
      </x:c>
      <x:c r="F2386" s="18" t="n">
        <x:v>84</x:v>
      </x:c>
      <x:c r="G2386" s="18" t="n">
        <x:v>376</x:v>
      </x:c>
      <x:c r="H2386" s="19" t="n">
        <x:v>4.476190476190476</x:v>
      </x:c>
      <x:c r="I2386" s="18" t="n">
        <x:f>ROUND(MIN(Model_Config_v3!$B$6,MAX(Q2386,R2386,S2386*Model_Config_v3!$B$4+T2386*Model_Config_v3!$B$5)),0)</x:f>
        <x:v>646</x:v>
      </x:c>
      <x:c r="J2386" s="18" t="n">
        <x:f>MIN(Model_Config_v3!$B$6,I2386+Model_Config_v3!$B$7)</x:f>
        <x:v>666</x:v>
      </x:c>
      <x:c r="K2386" s="20" t="n">
        <x:v>54.4</x:v>
      </x:c>
      <x:c r="L2386" t="str">
        <x:v>MENENGAH</x:v>
      </x:c>
      <x:c r="M2386" t="str">
        <x:v>SEDANG+</x:v>
      </x:c>
      <x:c r="N2386" t="str">
        <x:v>ELITE-3</x:v>
      </x:c>
      <x:c r="O2386" t="str">
        <x:v>SAINTEK</x:v>
      </x:c>
      <x:c r="P2386" t="str">
        <x:v>SAINS DASAR</x:v>
      </x:c>
      <x:c r="Q2386" s="18" t="n">
        <x:v>620</x:v>
      </x:c>
      <x:c r="R2386" s="18" t="n">
        <x:v>0</x:v>
      </x:c>
      <x:c r="S2386" s="18" t="n">
        <x:v>591.5999414752357</x:v>
      </x:c>
      <x:c r="T2386" s="18" t="n">
        <x:v>669</x:v>
      </x:c>
      <x:c r="U2386" s="18" t="n">
        <x:v>620</x:v>
      </x:c>
      <x:c r="V2386" s="20" t="n">
        <x:v>12</x:v>
      </x:c>
      <x:c r="W2386" s="20" t="n">
        <x:v>5</x:v>
      </x:c>
      <x:c r="X2386" s="20" t="n">
        <x:v>3</x:v>
      </x:c>
      <x:c r="Y2386" t="str">
        <x:v>Basis arsip 2025/2024</x:v>
      </x:c>
      <x:c r="Z2386" t="str">
        <x:v>https://snpmb.id/utbk-snbt/daya-tampung-snbt</x:v>
      </x:c>
      <x:c r="AA2386" t="str">
        <x:v>Tidak Ada</x:v>
      </x:c>
      <x:c r="AB2386" t="str">
        <x:v>Campus=80; Ratio=38.3; Prodi=50; RelDemand=38.3; Capacity=30.0</x:v>
      </x:c>
    </x:row>
    <x:row r="2387">
      <x:c r="A2387" t="n">
        <x:v>2384</x:v>
      </x:c>
      <x:c r="B2387" t="str">
        <x:v>PTN Akademik</x:v>
      </x:c>
      <x:c r="C2387" t="str">
        <x:v>UNIVERSITAS NEGERI SURABAYA</x:v>
      </x:c>
      <x:c r="D2387" t="str">
        <x:v>PENDIDIKAN ILMU PENGETAHUAN ALAM</x:v>
      </x:c>
      <x:c r="E2387" t="str">
        <x:v>Sarjana</x:v>
      </x:c>
      <x:c r="F2387" s="18" t="n">
        <x:v>105</x:v>
      </x:c>
      <x:c r="G2387" s="18" t="n">
        <x:v>345</x:v>
      </x:c>
      <x:c r="H2387" s="19" t="n">
        <x:v>3.2857142857142856</x:v>
      </x:c>
      <x:c r="I2387" s="18" t="n">
        <x:f>ROUND(MIN(Model_Config_v3!$B$6,MAX(Q2387,R2387,S2387*Model_Config_v3!$B$4+T2387*Model_Config_v3!$B$5)),0)</x:f>
        <x:v>633</x:v>
      </x:c>
      <x:c r="J2387" s="18" t="n">
        <x:f>MIN(Model_Config_v3!$B$6,I2387+Model_Config_v3!$B$7)</x:f>
        <x:v>653</x:v>
      </x:c>
      <x:c r="K2387" s="20" t="n">
        <x:v>48.7</x:v>
      </x:c>
      <x:c r="L2387" t="str">
        <x:v>MENENGAH</x:v>
      </x:c>
      <x:c r="M2387" t="str">
        <x:v>SEDANG+</x:v>
      </x:c>
      <x:c r="N2387" t="str">
        <x:v>ELITE-3</x:v>
      </x:c>
      <x:c r="O2387" t="str">
        <x:v>CAMPURAN</x:v>
      </x:c>
      <x:c r="P2387" t="str">
        <x:v>PENDIDIKAN</x:v>
      </x:c>
      <x:c r="Q2387" s="18" t="n">
        <x:v>620</x:v>
      </x:c>
      <x:c r="R2387" s="18" t="n">
        <x:v>0</x:v>
      </x:c>
      <x:c r="S2387" s="18" t="n">
        <x:v>576.829277560367</x:v>
      </x:c>
      <x:c r="T2387" s="18" t="n">
        <x:v>657</x:v>
      </x:c>
      <x:c r="U2387" s="18" t="n">
        <x:v>620</x:v>
      </x:c>
      <x:c r="V2387" s="20" t="n">
        <x:v>8.8</x:v>
      </x:c>
      <x:c r="W2387" s="20" t="n">
        <x:v>9.9</x:v>
      </x:c>
      <x:c r="X2387" s="20" t="n">
        <x:v>3.3</x:v>
      </x:c>
      <x:c r="Y2387" t="str">
        <x:v>Basis arsip 2025/2024</x:v>
      </x:c>
      <x:c r="Z2387" t="str">
        <x:v>https://snpmb.id/utbk-snbt/daya-tampung-snbt</x:v>
      </x:c>
      <x:c r="AA2387" t="str">
        <x:v>Tidak Ada</x:v>
      </x:c>
      <x:c r="AB2387" t="str">
        <x:v>Campus=80; Ratio=30.4; Prodi=45; RelDemand=28.1; Capacity=12.5</x:v>
      </x:c>
    </x:row>
    <x:row r="2388">
      <x:c r="A2388" t="n">
        <x:v>2385</x:v>
      </x:c>
      <x:c r="B2388" t="str">
        <x:v>PTN Akademik</x:v>
      </x:c>
      <x:c r="C2388" t="str">
        <x:v>UNIVERSITAS NEGERI SURABAYA</x:v>
      </x:c>
      <x:c r="D2388" t="str">
        <x:v>PENDIDIKAN TEKNIK ELEKTRO</x:v>
      </x:c>
      <x:c r="E2388" t="str">
        <x:v>Sarjana</x:v>
      </x:c>
      <x:c r="F2388" s="18" t="n">
        <x:v>60</x:v>
      </x:c>
      <x:c r="G2388" s="18" t="n">
        <x:v>152</x:v>
      </x:c>
      <x:c r="H2388" s="19" t="n">
        <x:v>2.533333333333333</x:v>
      </x:c>
      <x:c r="I2388" s="18" t="n">
        <x:f>ROUND(MIN(Model_Config_v3!$B$6,MAX(Q2388,R2388,S2388*Model_Config_v3!$B$4+T2388*Model_Config_v3!$B$5)),0)</x:f>
        <x:v>631</x:v>
      </x:c>
      <x:c r="J2388" s="18" t="n">
        <x:f>MIN(Model_Config_v3!$B$6,I2388+Model_Config_v3!$B$7)</x:f>
        <x:v>651</x:v>
      </x:c>
      <x:c r="K2388" s="20" t="n">
        <x:v>50.1</x:v>
      </x:c>
      <x:c r="L2388" t="str">
        <x:v>MENENGAH</x:v>
      </x:c>
      <x:c r="M2388" t="str">
        <x:v>SEDANG+</x:v>
      </x:c>
      <x:c r="N2388" t="str">
        <x:v>ELITE-3</x:v>
      </x:c>
      <x:c r="O2388" t="str">
        <x:v>SAINTEK</x:v>
      </x:c>
      <x:c r="P2388" t="str">
        <x:v>PENDIDIKAN</x:v>
      </x:c>
      <x:c r="Q2388" s="18" t="n">
        <x:v>620</x:v>
      </x:c>
      <x:c r="R2388" s="18" t="n">
        <x:v>0</x:v>
      </x:c>
      <x:c r="S2388" s="18" t="n">
        <x:v>564.4061571317242</x:v>
      </x:c>
      <x:c r="T2388" s="18" t="n">
        <x:v>660</x:v>
      </x:c>
      <x:c r="U2388" s="18" t="n">
        <x:v>620</x:v>
      </x:c>
      <x:c r="V2388" s="20" t="n">
        <x:v>12</x:v>
      </x:c>
      <x:c r="W2388" s="20" t="n">
        <x:v>5</x:v>
      </x:c>
      <x:c r="X2388" s="20" t="n">
        <x:v>3</x:v>
      </x:c>
      <x:c r="Y2388" t="str">
        <x:v>Basis arsip 2025/2024</x:v>
      </x:c>
      <x:c r="Z2388" t="str">
        <x:v>https://snpmb.id/utbk-snbt/daya-tampung-snbt</x:v>
      </x:c>
      <x:c r="AA2388" t="str">
        <x:v>Tidak Ada</x:v>
      </x:c>
      <x:c r="AB2388" t="str">
        <x:v>Campus=80; Ratio=23.8; Prodi=45; RelDemand=21.7; Capacity=50.0</x:v>
      </x:c>
    </x:row>
    <x:row r="2389">
      <x:c r="A2389" t="n">
        <x:v>2386</x:v>
      </x:c>
      <x:c r="B2389" t="str">
        <x:v>PTN Akademik</x:v>
      </x:c>
      <x:c r="C2389" t="str">
        <x:v>UNIVERSITAS NEGERI SURABAYA</x:v>
      </x:c>
      <x:c r="D2389" t="str">
        <x:v>PENDIDIKAN TEKNIK MESIN</x:v>
      </x:c>
      <x:c r="E2389" t="str">
        <x:v>Sarjana</x:v>
      </x:c>
      <x:c r="F2389" s="18" t="n">
        <x:v>63</x:v>
      </x:c>
      <x:c r="G2389" s="18" t="n">
        <x:v>162</x:v>
      </x:c>
      <x:c r="H2389" s="19" t="n">
        <x:v>2.5714285714285716</x:v>
      </x:c>
      <x:c r="I2389" s="18" t="n">
        <x:f>ROUND(MIN(Model_Config_v3!$B$6,MAX(Q2389,R2389,S2389*Model_Config_v3!$B$4+T2389*Model_Config_v3!$B$5)),0)</x:f>
        <x:v>632</x:v>
      </x:c>
      <x:c r="J2389" s="18" t="n">
        <x:f>MIN(Model_Config_v3!$B$6,I2389+Model_Config_v3!$B$7)</x:f>
        <x:v>652</x:v>
      </x:c>
      <x:c r="K2389" s="20" t="n">
        <x:v>50</x:v>
      </x:c>
      <x:c r="L2389" t="str">
        <x:v>MENENGAH</x:v>
      </x:c>
      <x:c r="M2389" t="str">
        <x:v>SEDANG+</x:v>
      </x:c>
      <x:c r="N2389" t="str">
        <x:v>ELITE-3</x:v>
      </x:c>
      <x:c r="O2389" t="str">
        <x:v>SAINTEK</x:v>
      </x:c>
      <x:c r="P2389" t="str">
        <x:v>PENDIDIKAN</x:v>
      </x:c>
      <x:c r="Q2389" s="18" t="n">
        <x:v>620</x:v>
      </x:c>
      <x:c r="R2389" s="18" t="n">
        <x:v>0</x:v>
      </x:c>
      <x:c r="S2389" s="18" t="n">
        <x:v>565.1191911597954</x:v>
      </x:c>
      <x:c r="T2389" s="18" t="n">
        <x:v>660</x:v>
      </x:c>
      <x:c r="U2389" s="18" t="n">
        <x:v>620</x:v>
      </x:c>
      <x:c r="V2389" s="20" t="n">
        <x:v>12</x:v>
      </x:c>
      <x:c r="W2389" s="20" t="n">
        <x:v>5</x:v>
      </x:c>
      <x:c r="X2389" s="20" t="n">
        <x:v>3</x:v>
      </x:c>
      <x:c r="Y2389" t="str">
        <x:v>Basis arsip 2025/2024</x:v>
      </x:c>
      <x:c r="Z2389" t="str">
        <x:v>https://snpmb.id/utbk-snbt/daya-tampung-snbt</x:v>
      </x:c>
      <x:c r="AA2389" t="str">
        <x:v>Tidak Ada</x:v>
      </x:c>
      <x:c r="AB2389" t="str">
        <x:v>Campus=80; Ratio=24.1; Prodi=45; RelDemand=22.0; Capacity=47.5</x:v>
      </x:c>
    </x:row>
    <x:row r="2390">
      <x:c r="A2390" t="n">
        <x:v>2387</x:v>
      </x:c>
      <x:c r="B2390" t="str">
        <x:v>PTN Akademik</x:v>
      </x:c>
      <x:c r="C2390" t="str">
        <x:v>UNIVERSITAS NEGERI SURABAYA</x:v>
      </x:c>
      <x:c r="D2390" t="str">
        <x:v>PENDIDIKAN TEKNIK BANGUNAN</x:v>
      </x:c>
      <x:c r="E2390" t="str">
        <x:v>Sarjana</x:v>
      </x:c>
      <x:c r="F2390" s="18" t="n">
        <x:v>58</x:v>
      </x:c>
      <x:c r="G2390" s="18" t="n">
        <x:v>145</x:v>
      </x:c>
      <x:c r="H2390" s="19" t="n">
        <x:v>2.5</x:v>
      </x:c>
      <x:c r="I2390" s="18" t="n">
        <x:f>ROUND(MIN(Model_Config_v3!$B$6,MAX(Q2390,R2390,S2390*Model_Config_v3!$B$4+T2390*Model_Config_v3!$B$5)),0)</x:f>
        <x:v>631</x:v>
      </x:c>
      <x:c r="J2390" s="18" t="n">
        <x:f>MIN(Model_Config_v3!$B$6,I2390+Model_Config_v3!$B$7)</x:f>
        <x:v>651</x:v>
      </x:c>
      <x:c r="K2390" s="20" t="n">
        <x:v>50.2</x:v>
      </x:c>
      <x:c r="L2390" t="str">
        <x:v>MENENGAH</x:v>
      </x:c>
      <x:c r="M2390" t="str">
        <x:v>SEDANG+</x:v>
      </x:c>
      <x:c r="N2390" t="str">
        <x:v>ELITE-3</x:v>
      </x:c>
      <x:c r="O2390" t="str">
        <x:v>SAINTEK</x:v>
      </x:c>
      <x:c r="P2390" t="str">
        <x:v>PENDIDIKAN</x:v>
      </x:c>
      <x:c r="Q2390" s="18" t="n">
        <x:v>620</x:v>
      </x:c>
      <x:c r="R2390" s="18" t="n">
        <x:v>0</x:v>
      </x:c>
      <x:c r="S2390" s="18" t="n">
        <x:v>563.7734009539241</x:v>
      </x:c>
      <x:c r="T2390" s="18" t="n">
        <x:v>660</x:v>
      </x:c>
      <x:c r="U2390" s="18" t="n">
        <x:v>620</x:v>
      </x:c>
      <x:c r="V2390" s="20" t="n">
        <x:v>12</x:v>
      </x:c>
      <x:c r="W2390" s="20" t="n">
        <x:v>5</x:v>
      </x:c>
      <x:c r="X2390" s="20" t="n">
        <x:v>3</x:v>
      </x:c>
      <x:c r="Y2390" t="str">
        <x:v>Basis arsip 2025/2024</x:v>
      </x:c>
      <x:c r="Z2390" t="str">
        <x:v>https://snpmb.id/utbk-snbt/daya-tampung-snbt</x:v>
      </x:c>
      <x:c r="AA2390" t="str">
        <x:v>Tidak Ada</x:v>
      </x:c>
      <x:c r="AB2390" t="str">
        <x:v>Campus=80; Ratio=23.4; Prodi=45; RelDemand=21.4; Capacity=51.7</x:v>
      </x:c>
    </x:row>
    <x:row r="2391">
      <x:c r="A2391" t="n">
        <x:v>2388</x:v>
      </x:c>
      <x:c r="B2391" t="str">
        <x:v>PTN Akademik</x:v>
      </x:c>
      <x:c r="C2391" t="str">
        <x:v>UNIVERSITAS NEGERI SURABAYA</x:v>
      </x:c>
      <x:c r="D2391" t="str">
        <x:v>ILMU KEOLAHRAGAAN</x:v>
      </x:c>
      <x:c r="E2391" t="str">
        <x:v>Sarjana</x:v>
      </x:c>
      <x:c r="F2391" s="18" t="n">
        <x:v>100</x:v>
      </x:c>
      <x:c r="G2391" s="18" t="n">
        <x:v>223</x:v>
      </x:c>
      <x:c r="H2391" s="19" t="n">
        <x:v>2.23</x:v>
      </x:c>
      <x:c r="I2391" s="18" t="n">
        <x:f>ROUND(MIN(Model_Config_v3!$B$6,MAX(Q2391,R2391,S2391*Model_Config_v3!$B$4+T2391*Model_Config_v3!$B$5)),0)</x:f>
        <x:v>623</x:v>
      </x:c>
      <x:c r="J2391" s="18" t="n">
        <x:f>MIN(Model_Config_v3!$B$6,I2391+Model_Config_v3!$B$7)</x:f>
        <x:v>643</x:v>
      </x:c>
      <x:c r="K2391" s="20" t="n">
        <x:v>45.7</x:v>
      </x:c>
      <x:c r="L2391" t="str">
        <x:v>MENENGAH</x:v>
      </x:c>
      <x:c r="M2391" t="str">
        <x:v>PORTOFOLIO</x:v>
      </x:c>
      <x:c r="N2391" t="str">
        <x:v>ELITE-3</x:v>
      </x:c>
      <x:c r="O2391" t="str">
        <x:v>SENI/OLAHRAGA</x:v>
      </x:c>
      <x:c r="P2391" t="str">
        <x:v>SENI/OLAHRAGA</x:v>
      </x:c>
      <x:c r="Q2391" s="18" t="n">
        <x:v>620</x:v>
      </x:c>
      <x:c r="R2391" s="18" t="n">
        <x:v>0</x:v>
      </x:c>
      <x:c r="S2391" s="18" t="n">
        <x:v>558.3135349352976</x:v>
      </x:c>
      <x:c r="T2391" s="18" t="n">
        <x:v>651</x:v>
      </x:c>
      <x:c r="U2391" s="18" t="n">
        <x:v>620</x:v>
      </x:c>
      <x:c r="V2391" s="20" t="n">
        <x:v>4.4</x:v>
      </x:c>
      <x:c r="W2391" s="20" t="n">
        <x:v>9.9</x:v>
      </x:c>
      <x:c r="X2391" s="20" t="n">
        <x:v>7.7</x:v>
      </x:c>
      <x:c r="Y2391" t="str">
        <x:v>Basis arsip 2025/2024</x:v>
      </x:c>
      <x:c r="Z2391" t="str">
        <x:v>https://snpmb.id/utbk-snbt/daya-tampung-snbt</x:v>
      </x:c>
      <x:c r="AA2391" t="str">
        <x:v>Olahraga</x:v>
      </x:c>
      <x:c r="AB2391" t="str">
        <x:v>Campus=80; Ratio=20.5; Prodi=45; RelDemand=19.1; Capacity=16.7</x:v>
      </x:c>
    </x:row>
    <x:row r="2392">
      <x:c r="A2392" t="n">
        <x:v>2389</x:v>
      </x:c>
      <x:c r="B2392" t="str">
        <x:v>PTN Akademik</x:v>
      </x:c>
      <x:c r="C2392" t="str">
        <x:v>UNIVERSITAS NEGERI SURABAYA</x:v>
      </x:c>
      <x:c r="D2392" t="str">
        <x:v>TEKNIK SIPIL</x:v>
      </x:c>
      <x:c r="E2392" t="str">
        <x:v>Sarjana</x:v>
      </x:c>
      <x:c r="F2392" s="18" t="n">
        <x:v>105</x:v>
      </x:c>
      <x:c r="G2392" s="18" t="n">
        <x:v>986</x:v>
      </x:c>
      <x:c r="H2392" s="19" t="n">
        <x:v>9.39047619047619</x:v>
      </x:c>
      <x:c r="I2392" s="18" t="n">
        <x:f>ROUND(MIN(Model_Config_v3!$B$6,MAX(Q2392,R2392,S2392*Model_Config_v3!$B$4+T2392*Model_Config_v3!$B$5)),0)</x:f>
        <x:v>669</x:v>
      </x:c>
      <x:c r="J2392" s="18" t="n">
        <x:f>MIN(Model_Config_v3!$B$6,I2392+Model_Config_v3!$B$7)</x:f>
        <x:v>689</x:v>
      </x:c>
      <x:c r="K2392" s="20" t="n">
        <x:v>63.6</x:v>
      </x:c>
      <x:c r="L2392" t="str">
        <x:v>KETAT</x:v>
      </x:c>
      <x:c r="M2392" t="str">
        <x:v>SEDANG+</x:v>
      </x:c>
      <x:c r="N2392" t="str">
        <x:v>ELITE-3</x:v>
      </x:c>
      <x:c r="O2392" t="str">
        <x:v>SAINTEK</x:v>
      </x:c>
      <x:c r="P2392" t="str">
        <x:v>TEKNIK/ARSITEKTUR/STATISTIKA/AKTUARIA</x:v>
      </x:c>
      <x:c r="Q2392" s="18" t="n">
        <x:v>620</x:v>
      </x:c>
      <x:c r="R2392" s="18" t="n">
        <x:v>0</x:v>
      </x:c>
      <x:c r="S2392" s="18" t="n">
        <x:v>626.99563774584</x:v>
      </x:c>
      <x:c r="T2392" s="18" t="n">
        <x:v>687</x:v>
      </x:c>
      <x:c r="U2392" s="18" t="n">
        <x:v>636.99563774584</x:v>
      </x:c>
      <x:c r="V2392" s="20" t="n">
        <x:v>12</x:v>
      </x:c>
      <x:c r="W2392" s="20" t="n">
        <x:v>5</x:v>
      </x:c>
      <x:c r="X2392" s="20" t="n">
        <x:v>3</x:v>
      </x:c>
      <x:c r="Y2392" t="str">
        <x:v>Basis arsip 2025/2024</x:v>
      </x:c>
      <x:c r="Z2392" t="str">
        <x:v>https://snpmb.id/utbk-snbt/daya-tampung-snbt</x:v>
      </x:c>
      <x:c r="AA2392" t="str">
        <x:v>Tidak Ada</x:v>
      </x:c>
      <x:c r="AB2392" t="str">
        <x:v>Campus=80; Ratio=57.3; Prodi=60; RelDemand=80.4; Capacity=12.5</x:v>
      </x:c>
    </x:row>
    <x:row r="2393">
      <x:c r="A2393" t="n">
        <x:v>2390</x:v>
      </x:c>
      <x:c r="B2393" t="str">
        <x:v>PTN Akademik</x:v>
      </x:c>
      <x:c r="C2393" t="str">
        <x:v>UNIVERSITAS NEGERI SURABAYA</x:v>
      </x:c>
      <x:c r="D2393" t="str">
        <x:v>PENDIDIKAN TEKNOLOGI INFORMASI</x:v>
      </x:c>
      <x:c r="E2393" t="str">
        <x:v>Sarjana</x:v>
      </x:c>
      <x:c r="F2393" s="18" t="n">
        <x:v>101</x:v>
      </x:c>
      <x:c r="G2393" s="18" t="n">
        <x:v>343</x:v>
      </x:c>
      <x:c r="H2393" s="19" t="n">
        <x:v>3.396039603960396</x:v>
      </x:c>
      <x:c r="I2393" s="18" t="n">
        <x:f>ROUND(MIN(Model_Config_v3!$B$6,MAX(Q2393,R2393,S2393*Model_Config_v3!$B$4+T2393*Model_Config_v3!$B$5)),0)</x:f>
        <x:v>635</x:v>
      </x:c>
      <x:c r="J2393" s="18" t="n">
        <x:f>MIN(Model_Config_v3!$B$6,I2393+Model_Config_v3!$B$7)</x:f>
        <x:v>655</x:v>
      </x:c>
      <x:c r="K2393" s="20" t="n">
        <x:v>49.3</x:v>
      </x:c>
      <x:c r="L2393" t="str">
        <x:v>MENENGAH</x:v>
      </x:c>
      <x:c r="M2393" t="str">
        <x:v>SEDANG+</x:v>
      </x:c>
      <x:c r="N2393" t="str">
        <x:v>ELITE-3</x:v>
      </x:c>
      <x:c r="O2393" t="str">
        <x:v>SAINTEK</x:v>
      </x:c>
      <x:c r="P2393" t="str">
        <x:v>PENDIDIKAN</x:v>
      </x:c>
      <x:c r="Q2393" s="18" t="n">
        <x:v>620</x:v>
      </x:c>
      <x:c r="R2393" s="18" t="n">
        <x:v>0</x:v>
      </x:c>
      <x:c r="S2393" s="18" t="n">
        <x:v>578.407002088614</x:v>
      </x:c>
      <x:c r="T2393" s="18" t="n">
        <x:v>659</x:v>
      </x:c>
      <x:c r="U2393" s="18" t="n">
        <x:v>620</x:v>
      </x:c>
      <x:c r="V2393" s="20" t="n">
        <x:v>12</x:v>
      </x:c>
      <x:c r="W2393" s="20" t="n">
        <x:v>5</x:v>
      </x:c>
      <x:c r="X2393" s="20" t="n">
        <x:v>3</x:v>
      </x:c>
      <x:c r="Y2393" t="str">
        <x:v>Basis arsip 2025/2024</x:v>
      </x:c>
      <x:c r="Z2393" t="str">
        <x:v>https://snpmb.id/utbk-snbt/daya-tampung-snbt</x:v>
      </x:c>
      <x:c r="AA2393" t="str">
        <x:v>Tidak Ada</x:v>
      </x:c>
      <x:c r="AB2393" t="str">
        <x:v>Campus=80; Ratio=31.3; Prodi=45; RelDemand=29.1; Capacity=15.8</x:v>
      </x:c>
    </x:row>
    <x:row r="2394">
      <x:c r="A2394" t="n">
        <x:v>2391</x:v>
      </x:c>
      <x:c r="B2394" t="str">
        <x:v>PTN Akademik</x:v>
      </x:c>
      <x:c r="C2394" t="str">
        <x:v>UNIVERSITAS NEGERI SURABAYA</x:v>
      </x:c>
      <x:c r="D2394" t="str">
        <x:v>TEKNIK ELEKTRO</x:v>
      </x:c>
      <x:c r="E2394" t="str">
        <x:v>Sarjana</x:v>
      </x:c>
      <x:c r="F2394" s="18" t="n">
        <x:v>85</x:v>
      </x:c>
      <x:c r="G2394" s="18" t="n">
        <x:v>748</x:v>
      </x:c>
      <x:c r="H2394" s="19" t="n">
        <x:v>8.8</x:v>
      </x:c>
      <x:c r="I2394" s="18" t="n">
        <x:f>ROUND(MIN(Model_Config_v3!$B$6,MAX(Q2394,R2394,S2394*Model_Config_v3!$B$4+T2394*Model_Config_v3!$B$5)),0)</x:f>
        <x:v>669</x:v>
      </x:c>
      <x:c r="J2394" s="18" t="n">
        <x:f>MIN(Model_Config_v3!$B$6,I2394+Model_Config_v3!$B$7)</x:f>
        <x:v>689</x:v>
      </x:c>
      <x:c r="K2394" s="20" t="n">
        <x:v>64.3</x:v>
      </x:c>
      <x:c r="L2394" t="str">
        <x:v>KETAT</x:v>
      </x:c>
      <x:c r="M2394" t="str">
        <x:v>SEDANG+</x:v>
      </x:c>
      <x:c r="N2394" t="str">
        <x:v>ELITE-3</x:v>
      </x:c>
      <x:c r="O2394" t="str">
        <x:v>SAINTEK</x:v>
      </x:c>
      <x:c r="P2394" t="str">
        <x:v>TEKNIK/ARSITEKTUR/STATISTIKA/AKTUARIA</x:v>
      </x:c>
      <x:c r="Q2394" s="18" t="n">
        <x:v>620</x:v>
      </x:c>
      <x:c r="R2394" s="18" t="n">
        <x:v>0</x:v>
      </x:c>
      <x:c r="S2394" s="18" t="n">
        <x:v>623.8930939365185</x:v>
      </x:c>
      <x:c r="T2394" s="18" t="n">
        <x:v>689</x:v>
      </x:c>
      <x:c r="U2394" s="18" t="n">
        <x:v>633.8930939365185</x:v>
      </x:c>
      <x:c r="V2394" s="20" t="n">
        <x:v>12</x:v>
      </x:c>
      <x:c r="W2394" s="20" t="n">
        <x:v>5</x:v>
      </x:c>
      <x:c r="X2394" s="20" t="n">
        <x:v>3</x:v>
      </x:c>
      <x:c r="Y2394" t="str">
        <x:v>Basis arsip 2025/2024</x:v>
      </x:c>
      <x:c r="Z2394" t="str">
        <x:v>https://snpmb.id/utbk-snbt/daya-tampung-snbt</x:v>
      </x:c>
      <x:c r="AA2394" t="str">
        <x:v>Tidak Ada</x:v>
      </x:c>
      <x:c r="AB2394" t="str">
        <x:v>Campus=80; Ratio=55.6; Prodi=60; RelDemand=75.3; Capacity=29.2</x:v>
      </x:c>
    </x:row>
    <x:row r="2395">
      <x:c r="A2395" t="n">
        <x:v>2392</x:v>
      </x:c>
      <x:c r="B2395" t="str">
        <x:v>PTN Akademik</x:v>
      </x:c>
      <x:c r="C2395" t="str">
        <x:v>UNIVERSITAS NEGERI SURABAYA</x:v>
      </x:c>
      <x:c r="D2395" t="str">
        <x:v>TEKNIK MESIN</x:v>
      </x:c>
      <x:c r="E2395" t="str">
        <x:v>Sarjana</x:v>
      </x:c>
      <x:c r="F2395" s="18" t="n">
        <x:v>88</x:v>
      </x:c>
      <x:c r="G2395" s="18" t="n">
        <x:v>751</x:v>
      </x:c>
      <x:c r="H2395" s="19" t="n">
        <x:v>8.534090909090908</x:v>
      </x:c>
      <x:c r="I2395" s="18" t="n">
        <x:f>ROUND(MIN(Model_Config_v3!$B$6,MAX(Q2395,R2395,S2395*Model_Config_v3!$B$4+T2395*Model_Config_v3!$B$5)),0)</x:f>
        <x:v>668</x:v>
      </x:c>
      <x:c r="J2395" s="18" t="n">
        <x:f>MIN(Model_Config_v3!$B$6,I2395+Model_Config_v3!$B$7)</x:f>
        <x:v>688</x:v>
      </x:c>
      <x:c r="K2395" s="20" t="n">
        <x:v>63.7</x:v>
      </x:c>
      <x:c r="L2395" t="str">
        <x:v>KETAT</x:v>
      </x:c>
      <x:c r="M2395" t="str">
        <x:v>SEDANG+</x:v>
      </x:c>
      <x:c r="N2395" t="str">
        <x:v>ELITE-3</x:v>
      </x:c>
      <x:c r="O2395" t="str">
        <x:v>SAINTEK</x:v>
      </x:c>
      <x:c r="P2395" t="str">
        <x:v>TEKNIK/ARSITEKTUR/STATISTIKA/AKTUARIA</x:v>
      </x:c>
      <x:c r="Q2395" s="18" t="n">
        <x:v>620</x:v>
      </x:c>
      <x:c r="R2395" s="18" t="n">
        <x:v>0</x:v>
      </x:c>
      <x:c r="S2395" s="18" t="n">
        <x:v>622.42729913394</x:v>
      </x:c>
      <x:c r="T2395" s="18" t="n">
        <x:v>687</x:v>
      </x:c>
      <x:c r="U2395" s="18" t="n">
        <x:v>632.42729913394</x:v>
      </x:c>
      <x:c r="V2395" s="20" t="n">
        <x:v>12</x:v>
      </x:c>
      <x:c r="W2395" s="20" t="n">
        <x:v>5</x:v>
      </x:c>
      <x:c r="X2395" s="20" t="n">
        <x:v>3</x:v>
      </x:c>
      <x:c r="Y2395" t="str">
        <x:v>Basis arsip 2025/2024</x:v>
      </x:c>
      <x:c r="Z2395" t="str">
        <x:v>https://snpmb.id/utbk-snbt/daya-tampung-snbt</x:v>
      </x:c>
      <x:c r="AA2395" t="str">
        <x:v>Tidak Ada</x:v>
      </x:c>
      <x:c r="AB2395" t="str">
        <x:v>Campus=80; Ratio=54.8; Prodi=60; RelDemand=73.0; Capacity=26.7</x:v>
      </x:c>
    </x:row>
    <x:row r="2396">
      <x:c r="A2396" t="n">
        <x:v>2393</x:v>
      </x:c>
      <x:c r="B2396" t="str">
        <x:v>PTN Akademik</x:v>
      </x:c>
      <x:c r="C2396" t="str">
        <x:v>UNIVERSITAS NEGERI SURABAYA</x:v>
      </x:c>
      <x:c r="D2396" t="str">
        <x:v>SISTEM INFORMASI</x:v>
      </x:c>
      <x:c r="E2396" t="str">
        <x:v>Sarjana</x:v>
      </x:c>
      <x:c r="F2396" s="18" t="n">
        <x:v>85</x:v>
      </x:c>
      <x:c r="G2396" s="18" t="n">
        <x:v>1019</x:v>
      </x:c>
      <x:c r="H2396" s="19" t="n">
        <x:v>11.988235294117647</x:v>
      </x:c>
      <x:c r="I2396" s="18" t="n">
        <x:f>ROUND(MIN(Model_Config_v3!$B$6,MAX(Q2396,R2396,S2396*Model_Config_v3!$B$4+T2396*Model_Config_v3!$B$5)),0)</x:f>
        <x:v>687</x:v>
      </x:c>
      <x:c r="J2396" s="18" t="n">
        <x:f>MIN(Model_Config_v3!$B$6,I2396+Model_Config_v3!$B$7)</x:f>
        <x:v>707</x:v>
      </x:c>
      <x:c r="K2396" s="20" t="n">
        <x:v>73.8</x:v>
      </x:c>
      <x:c r="L2396" t="str">
        <x:v>SANGAT KETAT</x:v>
      </x:c>
      <x:c r="M2396" t="str">
        <x:v>SEDANG+</x:v>
      </x:c>
      <x:c r="N2396" t="str">
        <x:v>ELITE-3</x:v>
      </x:c>
      <x:c r="O2396" t="str">
        <x:v>CAMPURAN</x:v>
      </x:c>
      <x:c r="P2396" t="str">
        <x:v>KOMPUTER/INFORMATIKA</x:v>
      </x:c>
      <x:c r="Q2396" s="18" t="n">
        <x:v>620</x:v>
      </x:c>
      <x:c r="R2396" s="18" t="n">
        <x:v>675</x:v>
      </x:c>
      <x:c r="S2396" s="18" t="n">
        <x:v>638.6630784121347</x:v>
      </x:c>
      <x:c r="T2396" s="18" t="n">
        <x:v>708</x:v>
      </x:c>
      <x:c r="U2396" s="18" t="n">
        <x:v>675</x:v>
      </x:c>
      <x:c r="V2396" s="20" t="n">
        <x:v>8.8</x:v>
      </x:c>
      <x:c r="W2396" s="20" t="n">
        <x:v>9.9</x:v>
      </x:c>
      <x:c r="X2396" s="20" t="n">
        <x:v>3.3</x:v>
      </x:c>
      <x:c r="Y2396" t="str">
        <x:v>Basis arsip 2025/2024</x:v>
      </x:c>
      <x:c r="Z2396" t="str">
        <x:v>https://snpmb.id/utbk-snbt/daya-tampung-snbt</x:v>
      </x:c>
      <x:c r="AA2396" t="str">
        <x:v>Tidak Ada</x:v>
      </x:c>
      <x:c r="AB2396" t="str">
        <x:v>Campus=80; Ratio=63.5; Prodi=85; RelDemand=100.0; Capacity=29.2</x:v>
      </x:c>
    </x:row>
    <x:row r="2397">
      <x:c r="A2397" t="n">
        <x:v>2394</x:v>
      </x:c>
      <x:c r="B2397" t="str">
        <x:v>PTN Akademik</x:v>
      </x:c>
      <x:c r="C2397" t="str">
        <x:v>UNIVERSITAS NEGERI SURABAYA</x:v>
      </x:c>
      <x:c r="D2397" t="str">
        <x:v>TEKNIK INFORMATIKA</x:v>
      </x:c>
      <x:c r="E2397" t="str">
        <x:v>Sarjana</x:v>
      </x:c>
      <x:c r="F2397" s="18" t="n">
        <x:v>84</x:v>
      </x:c>
      <x:c r="G2397" s="18" t="n">
        <x:v>1381</x:v>
      </x:c>
      <x:c r="H2397" s="19" t="n">
        <x:v>16.44047619047619</x:v>
      </x:c>
      <x:c r="I2397" s="18" t="n">
        <x:f>ROUND(MIN(Model_Config_v3!$B$6,MAX(Q2397,R2397,S2397*Model_Config_v3!$B$4+T2397*Model_Config_v3!$B$5)),0)</x:f>
        <x:v>695</x:v>
      </x:c>
      <x:c r="J2397" s="18" t="n">
        <x:f>MIN(Model_Config_v3!$B$6,I2397+Model_Config_v3!$B$7)</x:f>
        <x:v>715</x:v>
      </x:c>
      <x:c r="K2397" s="20" t="n">
        <x:v>75.9</x:v>
      </x:c>
      <x:c r="L2397" t="str">
        <x:v>ELITE</x:v>
      </x:c>
      <x:c r="M2397" t="str">
        <x:v>SEDANG+</x:v>
      </x:c>
      <x:c r="N2397" t="str">
        <x:v>ELITE-3</x:v>
      </x:c>
      <x:c r="O2397" t="str">
        <x:v>SAINTEK</x:v>
      </x:c>
      <x:c r="P2397" t="str">
        <x:v>KOMPUTER/INFORMATIKA</x:v>
      </x:c>
      <x:c r="Q2397" s="18" t="n">
        <x:v>620</x:v>
      </x:c>
      <x:c r="R2397" s="18" t="n">
        <x:v>675</x:v>
      </x:c>
      <x:c r="S2397" s="18" t="n">
        <x:v>653.7505831768424</x:v>
      </x:c>
      <x:c r="T2397" s="18" t="n">
        <x:v>712</x:v>
      </x:c>
      <x:c r="U2397" s="18" t="n">
        <x:v>678.7505831768424</x:v>
      </x:c>
      <x:c r="V2397" s="20" t="n">
        <x:v>12</x:v>
      </x:c>
      <x:c r="W2397" s="20" t="n">
        <x:v>5</x:v>
      </x:c>
      <x:c r="X2397" s="20" t="n">
        <x:v>3</x:v>
      </x:c>
      <x:c r="Y2397" t="str">
        <x:v>Basis arsip 2025/2024</x:v>
      </x:c>
      <x:c r="Z2397" t="str">
        <x:v>https://snpmb.id/utbk-snbt/daya-tampung-snbt</x:v>
      </x:c>
      <x:c r="AA2397" t="str">
        <x:v>Tidak Ada</x:v>
      </x:c>
      <x:c r="AB2397" t="str">
        <x:v>Campus=80; Ratio=71.6; Prodi=85; RelDemand=100.0; Capacity=30.0</x:v>
      </x:c>
    </x:row>
    <x:row r="2398">
      <x:c r="A2398" t="n">
        <x:v>2395</x:v>
      </x:c>
      <x:c r="B2398" t="str">
        <x:v>PTN Akademik</x:v>
      </x:c>
      <x:c r="C2398" t="str">
        <x:v>UNIVERSITAS NEGERI SURABAYA</x:v>
      </x:c>
      <x:c r="D2398" t="str">
        <x:v>GIZI</x:v>
      </x:c>
      <x:c r="E2398" t="str">
        <x:v>Sarjana</x:v>
      </x:c>
      <x:c r="F2398" s="18" t="n">
        <x:v>84</x:v>
      </x:c>
      <x:c r="G2398" s="18" t="n">
        <x:v>1254</x:v>
      </x:c>
      <x:c r="H2398" s="19" t="n">
        <x:v>14.928571428571429</x:v>
      </x:c>
      <x:c r="I2398" s="18" t="n">
        <x:f>ROUND(MIN(Model_Config_v3!$B$6,MAX(Q2398,R2398,S2398*Model_Config_v3!$B$4+T2398*Model_Config_v3!$B$5)),0)</x:f>
        <x:v>684</x:v>
      </x:c>
      <x:c r="J2398" s="18" t="n">
        <x:f>MIN(Model_Config_v3!$B$6,I2398+Model_Config_v3!$B$7)</x:f>
        <x:v>704</x:v>
      </x:c>
      <x:c r="K2398" s="20" t="n">
        <x:v>69.3</x:v>
      </x:c>
      <x:c r="L2398" t="str">
        <x:v>SANGAT KETAT</x:v>
      </x:c>
      <x:c r="M2398" t="str">
        <x:v>SEDANG+</x:v>
      </x:c>
      <x:c r="N2398" t="str">
        <x:v>ELITE-3</x:v>
      </x:c>
      <x:c r="O2398" t="str">
        <x:v>SAINTEK</x:v>
      </x:c>
      <x:c r="P2398" t="str">
        <x:v>KESEHAT/GIZI/KEPERAWATAN</x:v>
      </x:c>
      <x:c r="Q2398" s="18" t="n">
        <x:v>620</x:v>
      </x:c>
      <x:c r="R2398" s="18" t="n">
        <x:v>0</x:v>
      </x:c>
      <x:c r="S2398" s="18" t="n">
        <x:v>649.1420075476098</x:v>
      </x:c>
      <x:c r="T2398" s="18" t="n">
        <x:v>699</x:v>
      </x:c>
      <x:c r="U2398" s="18" t="n">
        <x:v>649.1420075476098</x:v>
      </x:c>
      <x:c r="V2398" s="20" t="n">
        <x:v>12</x:v>
      </x:c>
      <x:c r="W2398" s="20" t="n">
        <x:v>5</x:v>
      </x:c>
      <x:c r="X2398" s="20" t="n">
        <x:v>3</x:v>
      </x:c>
      <x:c r="Y2398" t="str">
        <x:v>Basis arsip 2025/2024</x:v>
      </x:c>
      <x:c r="Z2398" t="str">
        <x:v>https://snpmb.id/utbk-snbt/daya-tampung-snbt</x:v>
      </x:c>
      <x:c r="AA2398" t="str">
        <x:v>Tidak Ada</x:v>
      </x:c>
      <x:c r="AB2398" t="str">
        <x:v>Campus=80; Ratio=69.1; Prodi=55; RelDemand=100.0; Capacity=30.0</x:v>
      </x:c>
    </x:row>
    <x:row r="2399">
      <x:c r="A2399" t="n">
        <x:v>2396</x:v>
      </x:c>
      <x:c r="B2399" t="str">
        <x:v>PTN Akademik</x:v>
      </x:c>
      <x:c r="C2399" t="str">
        <x:v>UNIVERSITAS NEGERI SURABAYA</x:v>
      </x:c>
      <x:c r="D2399" t="str">
        <x:v>BIMBINGAN DAN KONSELING</x:v>
      </x:c>
      <x:c r="E2399" t="str">
        <x:v>Sarjana</x:v>
      </x:c>
      <x:c r="F2399" s="18" t="n">
        <x:v>105</x:v>
      </x:c>
      <x:c r="G2399" s="18" t="n">
        <x:v>943</x:v>
      </x:c>
      <x:c r="H2399" s="19" t="n">
        <x:v>8.980952380952381</x:v>
      </x:c>
      <x:c r="I2399" s="18" t="n">
        <x:f>ROUND(MIN(Model_Config_v3!$B$6,MAX(Q2399,R2399,S2399*Model_Config_v3!$B$4+T2399*Model_Config_v3!$B$5)),0)</x:f>
        <x:v>662</x:v>
      </x:c>
      <x:c r="J2399" s="18" t="n">
        <x:f>MIN(Model_Config_v3!$B$6,I2399+Model_Config_v3!$B$7)</x:f>
        <x:v>682</x:v>
      </x:c>
      <x:c r="K2399" s="20" t="n">
        <x:v>59</x:v>
      </x:c>
      <x:c r="L2399" t="str">
        <x:v>KETAT</x:v>
      </x:c>
      <x:c r="M2399" t="str">
        <x:v>SEDANG+</x:v>
      </x:c>
      <x:c r="N2399" t="str">
        <x:v>ELITE-3</x:v>
      </x:c>
      <x:c r="O2399" t="str">
        <x:v>CAMPURAN</x:v>
      </x:c>
      <x:c r="P2399" t="str">
        <x:v>UMUM</x:v>
      </x:c>
      <x:c r="Q2399" s="18" t="n">
        <x:v>620</x:v>
      </x:c>
      <x:c r="R2399" s="18" t="n">
        <x:v>0</x:v>
      </x:c>
      <x:c r="S2399" s="18" t="n">
        <x:v>624.865463303413</x:v>
      </x:c>
      <x:c r="T2399" s="18" t="n">
        <x:v>678</x:v>
      </x:c>
      <x:c r="U2399" s="18" t="n">
        <x:v>624.865463303413</x:v>
      </x:c>
      <x:c r="V2399" s="20" t="n">
        <x:v>8.8</x:v>
      </x:c>
      <x:c r="W2399" s="20" t="n">
        <x:v>9.9</x:v>
      </x:c>
      <x:c r="X2399" s="20" t="n">
        <x:v>3.3</x:v>
      </x:c>
      <x:c r="Y2399" t="str">
        <x:v>Basis arsip 2025/2024</x:v>
      </x:c>
      <x:c r="Z2399" t="str">
        <x:v>https://snpmb.id/utbk-snbt/daya-tampung-snbt</x:v>
      </x:c>
      <x:c r="AA2399" t="str">
        <x:v>Tidak Ada</x:v>
      </x:c>
      <x:c r="AB2399" t="str">
        <x:v>Campus=80; Ratio=56.1; Prodi=40; RelDemand=76.9; Capacity=12.5</x:v>
      </x:c>
    </x:row>
    <x:row r="2400">
      <x:c r="A2400" t="n">
        <x:v>2397</x:v>
      </x:c>
      <x:c r="B2400" t="str">
        <x:v>PTN Akademik</x:v>
      </x:c>
      <x:c r="C2400" t="str">
        <x:v>UNIVERSITAS NEGERI SURABAYA</x:v>
      </x:c>
      <x:c r="D2400" t="str">
        <x:v>TEKNOLOGI PENDIDIKAN</x:v>
      </x:c>
      <x:c r="E2400" t="str">
        <x:v>Sarjana</x:v>
      </x:c>
      <x:c r="F2400" s="18" t="n">
        <x:v>100</x:v>
      </x:c>
      <x:c r="G2400" s="18" t="n">
        <x:v>264</x:v>
      </x:c>
      <x:c r="H2400" s="19" t="n">
        <x:v>2.64</x:v>
      </x:c>
      <x:c r="I2400" s="18" t="n">
        <x:f>ROUND(MIN(Model_Config_v3!$B$6,MAX(Q2400,R2400,S2400*Model_Config_v3!$B$4+T2400*Model_Config_v3!$B$5)),0)</x:f>
        <x:v>626</x:v>
      </x:c>
      <x:c r="J2400" s="18" t="n">
        <x:f>MIN(Model_Config_v3!$B$6,I2400+Model_Config_v3!$B$7)</x:f>
        <x:v>646</x:v>
      </x:c>
      <x:c r="K2400" s="20" t="n">
        <x:v>46.1</x:v>
      </x:c>
      <x:c r="L2400" t="str">
        <x:v>MENENGAH</x:v>
      </x:c>
      <x:c r="M2400" t="str">
        <x:v>SEDANG+</x:v>
      </x:c>
      <x:c r="N2400" t="str">
        <x:v>ELITE-3</x:v>
      </x:c>
      <x:c r="O2400" t="str">
        <x:v>SAINTEK</x:v>
      </x:c>
      <x:c r="P2400" t="str">
        <x:v>UMUM</x:v>
      </x:c>
      <x:c r="Q2400" s="18" t="n">
        <x:v>620</x:v>
      </x:c>
      <x:c r="R2400" s="18" t="n">
        <x:v>0</x:v>
      </x:c>
      <x:c r="S2400" s="18" t="n">
        <x:v>566.3764319556814</x:v>
      </x:c>
      <x:c r="T2400" s="18" t="n">
        <x:v>652</x:v>
      </x:c>
      <x:c r="U2400" s="18" t="n">
        <x:v>620</x:v>
      </x:c>
      <x:c r="V2400" s="20" t="n">
        <x:v>12</x:v>
      </x:c>
      <x:c r="W2400" s="20" t="n">
        <x:v>5</x:v>
      </x:c>
      <x:c r="X2400" s="20" t="n">
        <x:v>3</x:v>
      </x:c>
      <x:c r="Y2400" t="str">
        <x:v>Basis arsip 2025/2024</x:v>
      </x:c>
      <x:c r="Z2400" t="str">
        <x:v>https://snpmb.id/utbk-snbt/daya-tampung-snbt</x:v>
      </x:c>
      <x:c r="AA2400" t="str">
        <x:v>Tidak Ada</x:v>
      </x:c>
      <x:c r="AB2400" t="str">
        <x:v>Campus=80; Ratio=24.8; Prodi=40; RelDemand=22.6; Capacity=16.7</x:v>
      </x:c>
    </x:row>
    <x:row r="2401">
      <x:c r="A2401" t="n">
        <x:v>2398</x:v>
      </x:c>
      <x:c r="B2401" t="str">
        <x:v>PTN Akademik</x:v>
      </x:c>
      <x:c r="C2401" t="str">
        <x:v>UNIVERSITAS NEGERI SURABAYA</x:v>
      </x:c>
      <x:c r="D2401" t="str">
        <x:v>PENDIDIKAN LUAR SEKOLAH</x:v>
      </x:c>
      <x:c r="E2401" t="str">
        <x:v>Sarjana</x:v>
      </x:c>
      <x:c r="F2401" s="18" t="n">
        <x:v>74</x:v>
      </x:c>
      <x:c r="G2401" s="18" t="n">
        <x:v>139</x:v>
      </x:c>
      <x:c r="H2401" s="19" t="n">
        <x:v>1.8783783783783783</x:v>
      </x:c>
      <x:c r="I2401" s="18" t="n">
        <x:f>ROUND(MIN(Model_Config_v3!$B$6,MAX(Q2401,R2401,S2401*Model_Config_v3!$B$4+T2401*Model_Config_v3!$B$5)),0)</x:f>
        <x:v>622</x:v>
      </x:c>
      <x:c r="J2401" s="18" t="n">
        <x:f>MIN(Model_Config_v3!$B$6,I2401+Model_Config_v3!$B$7)</x:f>
        <x:v>642</x:v>
      </x:c>
      <x:c r="K2401" s="20" t="n">
        <x:v>46.5</x:v>
      </x:c>
      <x:c r="L2401" t="str">
        <x:v>MENENGAH</x:v>
      </x:c>
      <x:c r="M2401" t="str">
        <x:v>SEDANG+</x:v>
      </x:c>
      <x:c r="N2401" t="str">
        <x:v>ELITE-3</x:v>
      </x:c>
      <x:c r="O2401" t="str">
        <x:v>CAMPURAN</x:v>
      </x:c>
      <x:c r="P2401" t="str">
        <x:v>PENDIDIKAN</x:v>
      </x:c>
      <x:c r="Q2401" s="18" t="n">
        <x:v>620</x:v>
      </x:c>
      <x:c r="R2401" s="18" t="n">
        <x:v>0</x:v>
      </x:c>
      <x:c r="S2401" s="18" t="n">
        <x:v>550.1161388575431</x:v>
      </x:c>
      <x:c r="T2401" s="18" t="n">
        <x:v>653</x:v>
      </x:c>
      <x:c r="U2401" s="18" t="n">
        <x:v>620</x:v>
      </x:c>
      <x:c r="V2401" s="20" t="n">
        <x:v>8.8</x:v>
      </x:c>
      <x:c r="W2401" s="20" t="n">
        <x:v>9.9</x:v>
      </x:c>
      <x:c r="X2401" s="20" t="n">
        <x:v>3.3</x:v>
      </x:c>
      <x:c r="Y2401" t="str">
        <x:v>Basis arsip 2025/2024</x:v>
      </x:c>
      <x:c r="Z2401" t="str">
        <x:v>https://snpmb.id/utbk-snbt/daya-tampung-snbt</x:v>
      </x:c>
      <x:c r="AA2401" t="str">
        <x:v>Tidak Ada</x:v>
      </x:c>
      <x:c r="AB2401" t="str">
        <x:v>Campus=80; Ratio=16.1; Prodi=45; RelDemand=16.1; Capacity=38.3</x:v>
      </x:c>
    </x:row>
    <x:row r="2402">
      <x:c r="A2402" t="n">
        <x:v>2399</x:v>
      </x:c>
      <x:c r="B2402" t="str">
        <x:v>PTN Akademik</x:v>
      </x:c>
      <x:c r="C2402" t="str">
        <x:v>UNIVERSITAS NEGERI SURABAYA</x:v>
      </x:c>
      <x:c r="D2402" t="str">
        <x:v>PENDIDIKAN LUAR BIASA</x:v>
      </x:c>
      <x:c r="E2402" t="str">
        <x:v>Sarjana</x:v>
      </x:c>
      <x:c r="F2402" s="18" t="n">
        <x:v>81</x:v>
      </x:c>
      <x:c r="G2402" s="18" t="n">
        <x:v>217</x:v>
      </x:c>
      <x:c r="H2402" s="19" t="n">
        <x:v>2.6790123456790123</x:v>
      </x:c>
      <x:c r="I2402" s="18" t="n">
        <x:f>ROUND(MIN(Model_Config_v3!$B$6,MAX(Q2402,R2402,S2402*Model_Config_v3!$B$4+T2402*Model_Config_v3!$B$5)),0)</x:f>
        <x:v>631</x:v>
      </x:c>
      <x:c r="J2402" s="18" t="n">
        <x:f>MIN(Model_Config_v3!$B$6,I2402+Model_Config_v3!$B$7)</x:f>
        <x:v>651</x:v>
      </x:c>
      <x:c r="K2402" s="20" t="n">
        <x:v>48.8</x:v>
      </x:c>
      <x:c r="L2402" t="str">
        <x:v>MENENGAH</x:v>
      </x:c>
      <x:c r="M2402" t="str">
        <x:v>SEDANG+</x:v>
      </x:c>
      <x:c r="N2402" t="str">
        <x:v>ELITE-3</x:v>
      </x:c>
      <x:c r="O2402" t="str">
        <x:v>CAMPURAN</x:v>
      </x:c>
      <x:c r="P2402" t="str">
        <x:v>PENDIDIKAN</x:v>
      </x:c>
      <x:c r="Q2402" s="18" t="n">
        <x:v>620</x:v>
      </x:c>
      <x:c r="R2402" s="18" t="n">
        <x:v>0</x:v>
      </x:c>
      <x:c r="S2402" s="18" t="n">
        <x:v>567.0772186466868</x:v>
      </x:c>
      <x:c r="T2402" s="18" t="n">
        <x:v>658</x:v>
      </x:c>
      <x:c r="U2402" s="18" t="n">
        <x:v>620</x:v>
      </x:c>
      <x:c r="V2402" s="20" t="n">
        <x:v>8.8</x:v>
      </x:c>
      <x:c r="W2402" s="20" t="n">
        <x:v>9.9</x:v>
      </x:c>
      <x:c r="X2402" s="20" t="n">
        <x:v>3.3</x:v>
      </x:c>
      <x:c r="Y2402" t="str">
        <x:v>Basis arsip 2025/2024</x:v>
      </x:c>
      <x:c r="Z2402" t="str">
        <x:v>https://snpmb.id/utbk-snbt/daya-tampung-snbt</x:v>
      </x:c>
      <x:c r="AA2402" t="str">
        <x:v>Tidak Ada</x:v>
      </x:c>
      <x:c r="AB2402" t="str">
        <x:v>Campus=80; Ratio=25.2; Prodi=45; RelDemand=22.9; Capacity=32.5</x:v>
      </x:c>
    </x:row>
    <x:row r="2403">
      <x:c r="A2403" t="n">
        <x:v>2400</x:v>
      </x:c>
      <x:c r="B2403" t="str">
        <x:v>PTN Akademik</x:v>
      </x:c>
      <x:c r="C2403" t="str">
        <x:v>UNIVERSITAS NEGERI SURABAYA</x:v>
      </x:c>
      <x:c r="D2403" t="str">
        <x:v>PENDIDIKAN GURU SEKOLAH DASAR</x:v>
      </x:c>
      <x:c r="E2403" t="str">
        <x:v>Sarjana</x:v>
      </x:c>
      <x:c r="F2403" s="18" t="n">
        <x:v>145</x:v>
      </x:c>
      <x:c r="G2403" s="18" t="n">
        <x:v>1945</x:v>
      </x:c>
      <x:c r="H2403" s="19" t="n">
        <x:v>13.413793103448276</x:v>
      </x:c>
      <x:c r="I2403" s="18" t="n">
        <x:f>ROUND(MIN(Model_Config_v3!$B$6,MAX(Q2403,R2403,S2403*Model_Config_v3!$B$4+T2403*Model_Config_v3!$B$5)),0)</x:f>
        <x:v>674</x:v>
      </x:c>
      <x:c r="J2403" s="18" t="n">
        <x:f>MIN(Model_Config_v3!$B$6,I2403+Model_Config_v3!$B$7)</x:f>
        <x:v>694</x:v>
      </x:c>
      <x:c r="K2403" s="20" t="n">
        <x:v>63.6</x:v>
      </x:c>
      <x:c r="L2403" t="str">
        <x:v>KETAT</x:v>
      </x:c>
      <x:c r="M2403" t="str">
        <x:v>SEDANG+</x:v>
      </x:c>
      <x:c r="N2403" t="str">
        <x:v>ELITE-3</x:v>
      </x:c>
      <x:c r="O2403" t="str">
        <x:v>CAMPURAN</x:v>
      </x:c>
      <x:c r="P2403" t="str">
        <x:v>PENDIDIKAN</x:v>
      </x:c>
      <x:c r="Q2403" s="18" t="n">
        <x:v>620</x:v>
      </x:c>
      <x:c r="R2403" s="18" t="n">
        <x:v>0</x:v>
      </x:c>
      <x:c r="S2403" s="18" t="n">
        <x:v>644.0306763769427</x:v>
      </x:c>
      <x:c r="T2403" s="18" t="n">
        <x:v>687</x:v>
      </x:c>
      <x:c r="U2403" s="18" t="n">
        <x:v>644.0306763769427</x:v>
      </x:c>
      <x:c r="V2403" s="20" t="n">
        <x:v>8.8</x:v>
      </x:c>
      <x:c r="W2403" s="20" t="n">
        <x:v>9.9</x:v>
      </x:c>
      <x:c r="X2403" s="20" t="n">
        <x:v>3.3</x:v>
      </x:c>
      <x:c r="Y2403" t="str">
        <x:v>Basis arsip 2025/2024</x:v>
      </x:c>
      <x:c r="Z2403" t="str">
        <x:v>https://snpmb.id/utbk-snbt/daya-tampung-snbt</x:v>
      </x:c>
      <x:c r="AA2403" t="str">
        <x:v>Tidak Ada</x:v>
      </x:c>
      <x:c r="AB2403" t="str">
        <x:v>Campus=80; Ratio=66.4; Prodi=45; RelDemand=100.0; Capacity=0.0</x:v>
      </x:c>
    </x:row>
    <x:row r="2404">
      <x:c r="A2404" t="n">
        <x:v>2401</x:v>
      </x:c>
      <x:c r="B2404" t="str">
        <x:v>PTN Akademik</x:v>
      </x:c>
      <x:c r="C2404" t="str">
        <x:v>UNIVERSITAS NEGERI SURABAYA</x:v>
      </x:c>
      <x:c r="D2404" t="str">
        <x:v>PSIKOLOGI</x:v>
      </x:c>
      <x:c r="E2404" t="str">
        <x:v>Sarjana</x:v>
      </x:c>
      <x:c r="F2404" s="18" t="n">
        <x:v>172</x:v>
      </x:c>
      <x:c r="G2404" s="18" t="n">
        <x:v>2459</x:v>
      </x:c>
      <x:c r="H2404" s="19" t="n">
        <x:v>14.296511627906977</x:v>
      </x:c>
      <x:c r="I2404" s="18" t="n">
        <x:f>ROUND(MIN(Model_Config_v3!$B$6,MAX(Q2404,R2404,S2404*Model_Config_v3!$B$4+T2404*Model_Config_v3!$B$5)),0)</x:f>
        <x:v>686</x:v>
      </x:c>
      <x:c r="J2404" s="18" t="n">
        <x:f>MIN(Model_Config_v3!$B$6,I2404+Model_Config_v3!$B$7)</x:f>
        <x:v>706</x:v>
      </x:c>
      <x:c r="K2404" s="20" t="n">
        <x:v>71</x:v>
      </x:c>
      <x:c r="L2404" t="str">
        <x:v>SANGAT KETAT</x:v>
      </x:c>
      <x:c r="M2404" t="str">
        <x:v>SEDANG+</x:v>
      </x:c>
      <x:c r="N2404" t="str">
        <x:v>ELITE-3</x:v>
      </x:c>
      <x:c r="O2404" t="str">
        <x:v>SOSHUM</x:v>
      </x:c>
      <x:c r="P2404" t="str">
        <x:v>PSIKOLOGI</x:v>
      </x:c>
      <x:c r="Q2404" s="18" t="n">
        <x:v>620</x:v>
      </x:c>
      <x:c r="R2404" s="18" t="n">
        <x:v>670</x:v>
      </x:c>
      <x:c r="S2404" s="18" t="n">
        <x:v>647.0753090014284</x:v>
      </x:c>
      <x:c r="T2404" s="18" t="n">
        <x:v>702</x:v>
      </x:c>
      <x:c r="U2404" s="18" t="n">
        <x:v>672.0753090014284</x:v>
      </x:c>
      <x:c r="V2404" s="20" t="n">
        <x:v>4.4</x:v>
      </x:c>
      <x:c r="W2404" s="20" t="n">
        <x:v>14.3</x:v>
      </x:c>
      <x:c r="X2404" s="20" t="n">
        <x:v>3.3</x:v>
      </x:c>
      <x:c r="Y2404" t="str">
        <x:v>Basis arsip 2025/2024</x:v>
      </x:c>
      <x:c r="Z2404" t="str">
        <x:v>https://snpmb.id/utbk-snbt/daya-tampung-snbt</x:v>
      </x:c>
      <x:c r="AA2404" t="str">
        <x:v>Tidak Ada</x:v>
      </x:c>
      <x:c r="AB2404" t="str">
        <x:v>Campus=80; Ratio=68.0; Prodi=80; RelDemand=100.0; Capacity=0.0</x:v>
      </x:c>
    </x:row>
    <x:row r="2405">
      <x:c r="A2405" t="n">
        <x:v>2402</x:v>
      </x:c>
      <x:c r="B2405" t="str">
        <x:v>PTN Akademik</x:v>
      </x:c>
      <x:c r="C2405" t="str">
        <x:v>UNIVERSITAS NEGERI SURABAYA</x:v>
      </x:c>
      <x:c r="D2405" t="str">
        <x:v>PENDIDIKAN GURU PENDIDIKAN ANAK USIA DINI</x:v>
      </x:c>
      <x:c r="E2405" t="str">
        <x:v>Sarjana</x:v>
      </x:c>
      <x:c r="F2405" s="18" t="n">
        <x:v>120</x:v>
      </x:c>
      <x:c r="G2405" s="18" t="n">
        <x:v>406</x:v>
      </x:c>
      <x:c r="H2405" s="19" t="n">
        <x:v>3.3833333333333333</x:v>
      </x:c>
      <x:c r="I2405" s="18" t="n">
        <x:f>ROUND(MIN(Model_Config_v3!$B$6,MAX(Q2405,R2405,S2405*Model_Config_v3!$B$4+T2405*Model_Config_v3!$B$5)),0)</x:f>
        <x:v>632</x:v>
      </x:c>
      <x:c r="J2405" s="18" t="n">
        <x:f>MIN(Model_Config_v3!$B$6,I2405+Model_Config_v3!$B$7)</x:f>
        <x:v>652</x:v>
      </x:c>
      <x:c r="K2405" s="20" t="n">
        <x:v>47.7</x:v>
      </x:c>
      <x:c r="L2405" t="str">
        <x:v>MENENGAH</x:v>
      </x:c>
      <x:c r="M2405" t="str">
        <x:v>SEDANG+</x:v>
      </x:c>
      <x:c r="N2405" t="str">
        <x:v>ELITE-3</x:v>
      </x:c>
      <x:c r="O2405" t="str">
        <x:v>CAMPURAN</x:v>
      </x:c>
      <x:c r="P2405" t="str">
        <x:v>PENDIDIKAN</x:v>
      </x:c>
      <x:c r="Q2405" s="18" t="n">
        <x:v>620</x:v>
      </x:c>
      <x:c r="R2405" s="18" t="n">
        <x:v>0</x:v>
      </x:c>
      <x:c r="S2405" s="18" t="n">
        <x:v>578.2279266282526</x:v>
      </x:c>
      <x:c r="T2405" s="18" t="n">
        <x:v>655</x:v>
      </x:c>
      <x:c r="U2405" s="18" t="n">
        <x:v>620</x:v>
      </x:c>
      <x:c r="V2405" s="20" t="n">
        <x:v>8.8</x:v>
      </x:c>
      <x:c r="W2405" s="20" t="n">
        <x:v>9.9</x:v>
      </x:c>
      <x:c r="X2405" s="20" t="n">
        <x:v>3.3</x:v>
      </x:c>
      <x:c r="Y2405" t="str">
        <x:v>Basis arsip 2025/2024</x:v>
      </x:c>
      <x:c r="Z2405" t="str">
        <x:v>https://snpmb.id/utbk-snbt/daya-tampung-snbt</x:v>
      </x:c>
      <x:c r="AA2405" t="str">
        <x:v>Tidak Ada</x:v>
      </x:c>
      <x:c r="AB2405" t="str">
        <x:v>Campus=80; Ratio=31.2; Prodi=45; RelDemand=29.0; Capacity=0.0</x:v>
      </x:c>
    </x:row>
    <x:row r="2406">
      <x:c r="A2406" t="n">
        <x:v>2403</x:v>
      </x:c>
      <x:c r="B2406" t="str">
        <x:v>PTN Akademik</x:v>
      </x:c>
      <x:c r="C2406" t="str">
        <x:v>UNIVERSITAS NEGERI SURABAYA</x:v>
      </x:c>
      <x:c r="D2406" t="str">
        <x:v>PENDIDIKAN BAHASA DAN SASTRA INDONESIA</x:v>
      </x:c>
      <x:c r="E2406" t="str">
        <x:v>Sarjana</x:v>
      </x:c>
      <x:c r="F2406" s="18" t="n">
        <x:v>118</x:v>
      </x:c>
      <x:c r="G2406" s="18" t="n">
        <x:v>793</x:v>
      </x:c>
      <x:c r="H2406" s="19" t="n">
        <x:v>6.720338983050848</x:v>
      </x:c>
      <x:c r="I2406" s="18" t="n">
        <x:f>ROUND(MIN(Model_Config_v3!$B$6,MAX(Q2406,R2406,S2406*Model_Config_v3!$B$4+T2406*Model_Config_v3!$B$5)),0)</x:f>
        <x:v>652</x:v>
      </x:c>
      <x:c r="J2406" s="18" t="n">
        <x:f>MIN(Model_Config_v3!$B$6,I2406+Model_Config_v3!$B$7)</x:f>
        <x:v>672</x:v>
      </x:c>
      <x:c r="K2406" s="20" t="n">
        <x:v>55.1</x:v>
      </x:c>
      <x:c r="L2406" t="str">
        <x:v>KETAT</x:v>
      </x:c>
      <x:c r="M2406" t="str">
        <x:v>SEDANG+</x:v>
      </x:c>
      <x:c r="N2406" t="str">
        <x:v>ELITE-3</x:v>
      </x:c>
      <x:c r="O2406" t="str">
        <x:v>SOSHUM</x:v>
      </x:c>
      <x:c r="P2406" t="str">
        <x:v>PENDIDIKAN</x:v>
      </x:c>
      <x:c r="Q2406" s="18" t="n">
        <x:v>620</x:v>
      </x:c>
      <x:c r="R2406" s="18" t="n">
        <x:v>0</x:v>
      </x:c>
      <x:c r="S2406" s="18" t="n">
        <x:v>611.0130298012626</x:v>
      </x:c>
      <x:c r="T2406" s="18" t="n">
        <x:v>670</x:v>
      </x:c>
      <x:c r="U2406" s="18" t="n">
        <x:v>620</x:v>
      </x:c>
      <x:c r="V2406" s="20" t="n">
        <x:v>4.4</x:v>
      </x:c>
      <x:c r="W2406" s="20" t="n">
        <x:v>14.3</x:v>
      </x:c>
      <x:c r="X2406" s="20" t="n">
        <x:v>3.3</x:v>
      </x:c>
      <x:c r="Y2406" t="str">
        <x:v>Basis arsip 2025/2024</x:v>
      </x:c>
      <x:c r="Z2406" t="str">
        <x:v>https://snpmb.id/utbk-snbt/daya-tampung-snbt</x:v>
      </x:c>
      <x:c r="AA2406" t="str">
        <x:v>Tidak Ada</x:v>
      </x:c>
      <x:c r="AB2406" t="str">
        <x:v>Campus=80; Ratio=48.7; Prodi=45; RelDemand=57.5; Capacity=1.7</x:v>
      </x:c>
    </x:row>
    <x:row r="2407">
      <x:c r="A2407" t="n">
        <x:v>2404</x:v>
      </x:c>
      <x:c r="B2407" t="str">
        <x:v>PTN Akademik</x:v>
      </x:c>
      <x:c r="C2407" t="str">
        <x:v>UNIVERSITAS NEGERI SURABAYA</x:v>
      </x:c>
      <x:c r="D2407" t="str">
        <x:v>PENDIDIKAN BAHASA INGGRIS</x:v>
      </x:c>
      <x:c r="E2407" t="str">
        <x:v>Sarjana</x:v>
      </x:c>
      <x:c r="F2407" s="18" t="n">
        <x:v>118</x:v>
      </x:c>
      <x:c r="G2407" s="18" t="n">
        <x:v>716</x:v>
      </x:c>
      <x:c r="H2407" s="19" t="n">
        <x:v>6.067796610169491</x:v>
      </x:c>
      <x:c r="I2407" s="18" t="n">
        <x:f>ROUND(MIN(Model_Config_v3!$B$6,MAX(Q2407,R2407,S2407*Model_Config_v3!$B$4+T2407*Model_Config_v3!$B$5)),0)</x:f>
        <x:v>649</x:v>
      </x:c>
      <x:c r="J2407" s="18" t="n">
        <x:f>MIN(Model_Config_v3!$B$6,I2407+Model_Config_v3!$B$7)</x:f>
        <x:v>669</x:v>
      </x:c>
      <x:c r="K2407" s="20" t="n">
        <x:v>53.9</x:v>
      </x:c>
      <x:c r="L2407" t="str">
        <x:v>MENENGAH</x:v>
      </x:c>
      <x:c r="M2407" t="str">
        <x:v>SEDANG+</x:v>
      </x:c>
      <x:c r="N2407" t="str">
        <x:v>ELITE-3</x:v>
      </x:c>
      <x:c r="O2407" t="str">
        <x:v>SOSHUM</x:v>
      </x:c>
      <x:c r="P2407" t="str">
        <x:v>PENDIDIKAN</x:v>
      </x:c>
      <x:c r="Q2407" s="18" t="n">
        <x:v>620</x:v>
      </x:c>
      <x:c r="R2407" s="18" t="n">
        <x:v>0</x:v>
      </x:c>
      <x:c r="S2407" s="18" t="n">
        <x:v>606.1334116501903</x:v>
      </x:c>
      <x:c r="T2407" s="18" t="n">
        <x:v>668</x:v>
      </x:c>
      <x:c r="U2407" s="18" t="n">
        <x:v>620</x:v>
      </x:c>
      <x:c r="V2407" s="20" t="n">
        <x:v>4.4</x:v>
      </x:c>
      <x:c r="W2407" s="20" t="n">
        <x:v>14.3</x:v>
      </x:c>
      <x:c r="X2407" s="20" t="n">
        <x:v>3.3</x:v>
      </x:c>
      <x:c r="Y2407" t="str">
        <x:v>Basis arsip 2025/2024</x:v>
      </x:c>
      <x:c r="Z2407" t="str">
        <x:v>https://snpmb.id/utbk-snbt/daya-tampung-snbt</x:v>
      </x:c>
      <x:c r="AA2407" t="str">
        <x:v>Tidak Ada</x:v>
      </x:c>
      <x:c r="AB2407" t="str">
        <x:v>Campus=80; Ratio=46.1; Prodi=45; RelDemand=51.9; Capacity=1.7</x:v>
      </x:c>
    </x:row>
    <x:row r="2408">
      <x:c r="A2408" t="n">
        <x:v>2405</x:v>
      </x:c>
      <x:c r="B2408" t="str">
        <x:v>PTN Akademik</x:v>
      </x:c>
      <x:c r="C2408" t="str">
        <x:v>UNIVERSITAS NEGERI SURABAYA</x:v>
      </x:c>
      <x:c r="D2408" t="str">
        <x:v>PENDIDIKAN BAHASA JERMAN</x:v>
      </x:c>
      <x:c r="E2408" t="str">
        <x:v>Sarjana</x:v>
      </x:c>
      <x:c r="F2408" s="18" t="n">
        <x:v>45</x:v>
      </x:c>
      <x:c r="G2408" s="18" t="n">
        <x:v>70</x:v>
      </x:c>
      <x:c r="H2408" s="19" t="n">
        <x:v>1.5555555555555556</x:v>
      </x:c>
      <x:c r="I2408" s="18" t="n">
        <x:f>ROUND(MIN(Model_Config_v3!$B$6,MAX(Q2408,R2408,S2408*Model_Config_v3!$B$4+T2408*Model_Config_v3!$B$5)),0)</x:f>
        <x:v>621</x:v>
      </x:c>
      <x:c r="J2408" s="18" t="n">
        <x:f>MIN(Model_Config_v3!$B$6,I2408+Model_Config_v3!$B$7)</x:f>
        <x:v>641</x:v>
      </x:c>
      <x:c r="K2408" s="20" t="n">
        <x:v>47.4</x:v>
      </x:c>
      <x:c r="L2408" t="str">
        <x:v>MENENGAH</x:v>
      </x:c>
      <x:c r="M2408" t="str">
        <x:v>SEDANG+</x:v>
      </x:c>
      <x:c r="N2408" t="str">
        <x:v>ELITE-3</x:v>
      </x:c>
      <x:c r="O2408" t="str">
        <x:v>SOSHUM</x:v>
      </x:c>
      <x:c r="P2408" t="str">
        <x:v>PENDIDIKAN</x:v>
      </x:c>
      <x:c r="Q2408" s="18" t="n">
        <x:v>620</x:v>
      </x:c>
      <x:c r="R2408" s="18" t="n">
        <x:v>0</x:v>
      </x:c>
      <x:c r="S2408" s="18" t="n">
        <x:v>541.1074078862805</x:v>
      </x:c>
      <x:c r="T2408" s="18" t="n">
        <x:v>655</x:v>
      </x:c>
      <x:c r="U2408" s="18" t="n">
        <x:v>620</x:v>
      </x:c>
      <x:c r="V2408" s="20" t="n">
        <x:v>4.4</x:v>
      </x:c>
      <x:c r="W2408" s="20" t="n">
        <x:v>14.3</x:v>
      </x:c>
      <x:c r="X2408" s="20" t="n">
        <x:v>3.3</x:v>
      </x:c>
      <x:c r="Y2408" t="str">
        <x:v>Basis arsip 2025/2024</x:v>
      </x:c>
      <x:c r="Z2408" t="str">
        <x:v>https://snpmb.id/utbk-snbt/daya-tampung-snbt</x:v>
      </x:c>
      <x:c r="AA2408" t="str">
        <x:v>Tidak Ada</x:v>
      </x:c>
      <x:c r="AB2408" t="str">
        <x:v>Campus=80; Ratio=11.3; Prodi=45; RelDemand=13.3; Capacity=62.5</x:v>
      </x:c>
    </x:row>
    <x:row r="2409">
      <x:c r="A2409" t="n">
        <x:v>2406</x:v>
      </x:c>
      <x:c r="B2409" t="str">
        <x:v>PTN Akademik</x:v>
      </x:c>
      <x:c r="C2409" t="str">
        <x:v>UNIVERSITAS NEGERI SURABAYA</x:v>
      </x:c>
      <x:c r="D2409" t="str">
        <x:v>PENDIDIKAN BAHASA JEPANG</x:v>
      </x:c>
      <x:c r="E2409" t="str">
        <x:v>Sarjana</x:v>
      </x:c>
      <x:c r="F2409" s="18" t="n">
        <x:v>129</x:v>
      </x:c>
      <x:c r="G2409" s="18" t="n">
        <x:v>365</x:v>
      </x:c>
      <x:c r="H2409" s="19" t="n">
        <x:v>2.8294573643410854</x:v>
      </x:c>
      <x:c r="I2409" s="18" t="n">
        <x:f>ROUND(MIN(Model_Config_v3!$B$6,MAX(Q2409,R2409,S2409*Model_Config_v3!$B$4+T2409*Model_Config_v3!$B$5)),0)</x:f>
        <x:v>627</x:v>
      </x:c>
      <x:c r="J2409" s="18" t="n">
        <x:f>MIN(Model_Config_v3!$B$6,I2409+Model_Config_v3!$B$7)</x:f>
        <x:v>647</x:v>
      </x:c>
      <x:c r="K2409" s="20" t="n">
        <x:v>46.1</x:v>
      </x:c>
      <x:c r="L2409" t="str">
        <x:v>MENENGAH</x:v>
      </x:c>
      <x:c r="M2409" t="str">
        <x:v>SEDANG+</x:v>
      </x:c>
      <x:c r="N2409" t="str">
        <x:v>ELITE-3</x:v>
      </x:c>
      <x:c r="O2409" t="str">
        <x:v>SOSHUM</x:v>
      </x:c>
      <x:c r="P2409" t="str">
        <x:v>PENDIDIKAN</x:v>
      </x:c>
      <x:c r="Q2409" s="18" t="n">
        <x:v>620</x:v>
      </x:c>
      <x:c r="R2409" s="18" t="n">
        <x:v>0</x:v>
      </x:c>
      <x:c r="S2409" s="18" t="n">
        <x:v>569.6873469572948</x:v>
      </x:c>
      <x:c r="T2409" s="18" t="n">
        <x:v>652</x:v>
      </x:c>
      <x:c r="U2409" s="18" t="n">
        <x:v>620</x:v>
      </x:c>
      <x:c r="V2409" s="20" t="n">
        <x:v>4.4</x:v>
      </x:c>
      <x:c r="W2409" s="20" t="n">
        <x:v>14.3</x:v>
      </x:c>
      <x:c r="X2409" s="20" t="n">
        <x:v>3.3</x:v>
      </x:c>
      <x:c r="Y2409" t="str">
        <x:v>Basis arsip 2025/2024</x:v>
      </x:c>
      <x:c r="Z2409" t="str">
        <x:v>https://snpmb.id/utbk-snbt/daya-tampung-snbt</x:v>
      </x:c>
      <x:c r="AA2409" t="str">
        <x:v>Tidak Ada</x:v>
      </x:c>
      <x:c r="AB2409" t="str">
        <x:v>Campus=80; Ratio=26.6; Prodi=45; RelDemand=24.2; Capacity=0.0</x:v>
      </x:c>
    </x:row>
    <x:row r="2410">
      <x:c r="A2410" t="n">
        <x:v>2407</x:v>
      </x:c>
      <x:c r="B2410" t="str">
        <x:v>PTN Akademik</x:v>
      </x:c>
      <x:c r="C2410" t="str">
        <x:v>UNIVERSITAS NEGERI SURABAYA</x:v>
      </x:c>
      <x:c r="D2410" t="str">
        <x:v>PENDIDIKAN BAHASA DAN SASTRA JAWA</x:v>
      </x:c>
      <x:c r="E2410" t="str">
        <x:v>Sarjana</x:v>
      </x:c>
      <x:c r="F2410" s="18" t="n">
        <x:v>74</x:v>
      </x:c>
      <x:c r="G2410" s="18" t="n">
        <x:v>252</x:v>
      </x:c>
      <x:c r="H2410" s="19" t="n">
        <x:v>3.4054054054054053</x:v>
      </x:c>
      <x:c r="I2410" s="18" t="n">
        <x:f>ROUND(MIN(Model_Config_v3!$B$6,MAX(Q2410,R2410,S2410*Model_Config_v3!$B$4+T2410*Model_Config_v3!$B$5)),0)</x:f>
        <x:v>638</x:v>
      </x:c>
      <x:c r="J2410" s="18" t="n">
        <x:f>MIN(Model_Config_v3!$B$6,I2410+Model_Config_v3!$B$7)</x:f>
        <x:v>658</x:v>
      </x:c>
      <x:c r="K2410" s="20" t="n">
        <x:v>51.6</x:v>
      </x:c>
      <x:c r="L2410" t="str">
        <x:v>MENENGAH</x:v>
      </x:c>
      <x:c r="M2410" t="str">
        <x:v>SEDANG+</x:v>
      </x:c>
      <x:c r="N2410" t="str">
        <x:v>ELITE-3</x:v>
      </x:c>
      <x:c r="O2410" t="str">
        <x:v>SOSHUM</x:v>
      </x:c>
      <x:c r="P2410" t="str">
        <x:v>PENDIDIKAN</x:v>
      </x:c>
      <x:c r="Q2410" s="18" t="n">
        <x:v>620</x:v>
      </x:c>
      <x:c r="R2410" s="18" t="n">
        <x:v>0</x:v>
      </x:c>
      <x:c r="S2410" s="18" t="n">
        <x:v>578.5385703155624</x:v>
      </x:c>
      <x:c r="T2410" s="18" t="n">
        <x:v>663</x:v>
      </x:c>
      <x:c r="U2410" s="18" t="n">
        <x:v>620</x:v>
      </x:c>
      <x:c r="V2410" s="20" t="n">
        <x:v>4.4</x:v>
      </x:c>
      <x:c r="W2410" s="20" t="n">
        <x:v>14.3</x:v>
      </x:c>
      <x:c r="X2410" s="20" t="n">
        <x:v>3.3</x:v>
      </x:c>
      <x:c r="Y2410" t="str">
        <x:v>Basis arsip 2025/2024</x:v>
      </x:c>
      <x:c r="Z2410" t="str">
        <x:v>https://snpmb.id/utbk-snbt/daya-tampung-snbt</x:v>
      </x:c>
      <x:c r="AA2410" t="str">
        <x:v>Tidak Ada</x:v>
      </x:c>
      <x:c r="AB2410" t="str">
        <x:v>Campus=80; Ratio=31.3; Prodi=45; RelDemand=29.1; Capacity=38.3</x:v>
      </x:c>
    </x:row>
    <x:row r="2411">
      <x:c r="A2411" t="n">
        <x:v>2408</x:v>
      </x:c>
      <x:c r="B2411" t="str">
        <x:v>PTN Akademik</x:v>
      </x:c>
      <x:c r="C2411" t="str">
        <x:v>UNIVERSITAS NEGERI SURABAYA</x:v>
      </x:c>
      <x:c r="D2411" t="str">
        <x:v>PENDIDIKAN SENI RUPA</x:v>
      </x:c>
      <x:c r="E2411" t="str">
        <x:v>Sarjana</x:v>
      </x:c>
      <x:c r="F2411" s="18" t="n">
        <x:v>63</x:v>
      </x:c>
      <x:c r="G2411" s="18" t="n">
        <x:v>95</x:v>
      </x:c>
      <x:c r="H2411" s="19" t="n">
        <x:v>1.507936507936508</x:v>
      </x:c>
      <x:c r="I2411" s="18" t="n">
        <x:f>ROUND(MIN(Model_Config_v3!$B$6,MAX(Q2411,R2411,S2411*Model_Config_v3!$B$4+T2411*Model_Config_v3!$B$5)),0)</x:f>
        <x:v>620</x:v>
      </x:c>
      <x:c r="J2411" s="18" t="n">
        <x:f>MIN(Model_Config_v3!$B$6,I2411+Model_Config_v3!$B$7)</x:f>
        <x:v>640</x:v>
      </x:c>
      <x:c r="K2411" s="20" t="n">
        <x:v>45.7</x:v>
      </x:c>
      <x:c r="L2411" t="str">
        <x:v>MENENGAH</x:v>
      </x:c>
      <x:c r="M2411" t="str">
        <x:v>PORTOFOLIO</x:v>
      </x:c>
      <x:c r="N2411" t="str">
        <x:v>ELITE-3</x:v>
      </x:c>
      <x:c r="O2411" t="str">
        <x:v>SENI/OLAHRAGA</x:v>
      </x:c>
      <x:c r="P2411" t="str">
        <x:v>SENI/OLAHRAGA</x:v>
      </x:c>
      <x:c r="Q2411" s="18" t="n">
        <x:v>620</x:v>
      </x:c>
      <x:c r="R2411" s="18" t="n">
        <x:v>0</x:v>
      </x:c>
      <x:c r="S2411" s="18" t="n">
        <x:v>539.6221361418793</x:v>
      </x:c>
      <x:c r="T2411" s="18" t="n">
        <x:v>651</x:v>
      </x:c>
      <x:c r="U2411" s="18" t="n">
        <x:v>620</x:v>
      </x:c>
      <x:c r="V2411" s="20" t="n">
        <x:v>4.4</x:v>
      </x:c>
      <x:c r="W2411" s="20" t="n">
        <x:v>9.9</x:v>
      </x:c>
      <x:c r="X2411" s="20" t="n">
        <x:v>7.7</x:v>
      </x:c>
      <x:c r="Y2411" t="str">
        <x:v>Basis arsip 2025/2024</x:v>
      </x:c>
      <x:c r="Z2411" t="str">
        <x:v>https://snpmb.id/utbk-snbt/daya-tampung-snbt</x:v>
      </x:c>
      <x:c r="AA2411" t="str">
        <x:v>Seni Rupa, Desain, dan Kriya</x:v>
      </x:c>
      <x:c r="AB2411" t="str">
        <x:v>Campus=80; Ratio=10.5; Prodi=45; RelDemand=12.9; Capacity=47.5</x:v>
      </x:c>
    </x:row>
    <x:row r="2412">
      <x:c r="A2412" t="n">
        <x:v>2409</x:v>
      </x:c>
      <x:c r="B2412" t="str">
        <x:v>PTN Akademik</x:v>
      </x:c>
      <x:c r="C2412" t="str">
        <x:v>UNIVERSITAS NEGERI SURABAYA</x:v>
      </x:c>
      <x:c r="D2412" t="str">
        <x:v>PENDIDIKAN SENI DRAMA, TARI, DAN MUSIK</x:v>
      </x:c>
      <x:c r="E2412" t="str">
        <x:v>Sarjana</x:v>
      </x:c>
      <x:c r="F2412" s="18" t="n">
        <x:v>63</x:v>
      </x:c>
      <x:c r="G2412" s="18" t="n">
        <x:v>124</x:v>
      </x:c>
      <x:c r="H2412" s="19" t="n">
        <x:v>1.9682539682539681</x:v>
      </x:c>
      <x:c r="I2412" s="18" t="n">
        <x:f>ROUND(MIN(Model_Config_v3!$B$6,MAX(Q2412,R2412,S2412*Model_Config_v3!$B$4+T2412*Model_Config_v3!$B$5)),0)</x:f>
        <x:v>625</x:v>
      </x:c>
      <x:c r="J2412" s="18" t="n">
        <x:f>MIN(Model_Config_v3!$B$6,I2412+Model_Config_v3!$B$7)</x:f>
        <x:v>645</x:v>
      </x:c>
      <x:c r="K2412" s="20" t="n">
        <x:v>47.8</x:v>
      </x:c>
      <x:c r="L2412" t="str">
        <x:v>MENENGAH</x:v>
      </x:c>
      <x:c r="M2412" t="str">
        <x:v>PORTOFOLIO</x:v>
      </x:c>
      <x:c r="N2412" t="str">
        <x:v>ELITE-3</x:v>
      </x:c>
      <x:c r="O2412" t="str">
        <x:v>SENI/OLAHRAGA</x:v>
      </x:c>
      <x:c r="P2412" t="str">
        <x:v>SENI/OLAHRAGA</x:v>
      </x:c>
      <x:c r="Q2412" s="18" t="n">
        <x:v>620</x:v>
      </x:c>
      <x:c r="R2412" s="18" t="n">
        <x:v>0</x:v>
      </x:c>
      <x:c r="S2412" s="18" t="n">
        <x:v>552.3489249279519</x:v>
      </x:c>
      <x:c r="T2412" s="18" t="n">
        <x:v>656</x:v>
      </x:c>
      <x:c r="U2412" s="18" t="n">
        <x:v>620</x:v>
      </x:c>
      <x:c r="V2412" s="20" t="n">
        <x:v>4.4</x:v>
      </x:c>
      <x:c r="W2412" s="20" t="n">
        <x:v>9.9</x:v>
      </x:c>
      <x:c r="X2412" s="20" t="n">
        <x:v>7.7</x:v>
      </x:c>
      <x:c r="Y2412" t="str">
        <x:v>Basis arsip 2025/2024</x:v>
      </x:c>
      <x:c r="Z2412" t="str">
        <x:v>https://snpmb.id/utbk-snbt/daya-tampung-snbt</x:v>
      </x:c>
      <x:c r="AA2412" t="str">
        <x:v>Sendratasik</x:v>
      </x:c>
      <x:c r="AB2412" t="str">
        <x:v>Campus=80; Ratio=17.3; Prodi=45; RelDemand=16.8; Capacity=47.5</x:v>
      </x:c>
    </x:row>
    <x:row r="2413">
      <x:c r="A2413" t="n">
        <x:v>2410</x:v>
      </x:c>
      <x:c r="B2413" t="str">
        <x:v>PTN Akademik</x:v>
      </x:c>
      <x:c r="C2413" t="str">
        <x:v>UNIVERSITAS NEGERI SURABAYA</x:v>
      </x:c>
      <x:c r="D2413" t="str">
        <x:v>SASTRA INDONESIA</x:v>
      </x:c>
      <x:c r="E2413" t="str">
        <x:v>Sarjana</x:v>
      </x:c>
      <x:c r="F2413" s="18" t="n">
        <x:v>100</x:v>
      </x:c>
      <x:c r="G2413" s="18" t="n">
        <x:v>293</x:v>
      </x:c>
      <x:c r="H2413" s="19" t="n">
        <x:v>2.93</x:v>
      </x:c>
      <x:c r="I2413" s="18" t="n">
        <x:f>ROUND(MIN(Model_Config_v3!$B$6,MAX(Q2413,R2413,S2413*Model_Config_v3!$B$4+T2413*Model_Config_v3!$B$5)),0)</x:f>
        <x:v>629</x:v>
      </x:c>
      <x:c r="J2413" s="18" t="n">
        <x:f>MIN(Model_Config_v3!$B$6,I2413+Model_Config_v3!$B$7)</x:f>
        <x:v>649</x:v>
      </x:c>
      <x:c r="K2413" s="20" t="n">
        <x:v>47</x:v>
      </x:c>
      <x:c r="L2413" t="str">
        <x:v>MENENGAH</x:v>
      </x:c>
      <x:c r="M2413" t="str">
        <x:v>SEDANG+</x:v>
      </x:c>
      <x:c r="N2413" t="str">
        <x:v>ELITE-3</x:v>
      </x:c>
      <x:c r="O2413" t="str">
        <x:v>SOSHUM</x:v>
      </x:c>
      <x:c r="P2413" t="str">
        <x:v>UMUM</x:v>
      </x:c>
      <x:c r="Q2413" s="18" t="n">
        <x:v>620</x:v>
      </x:c>
      <x:c r="R2413" s="18" t="n">
        <x:v>0</x:v>
      </x:c>
      <x:c r="S2413" s="18" t="n">
        <x:v>571.355438238952</x:v>
      </x:c>
      <x:c r="T2413" s="18" t="n">
        <x:v>654</x:v>
      </x:c>
      <x:c r="U2413" s="18" t="n">
        <x:v>620</x:v>
      </x:c>
      <x:c r="V2413" s="20" t="n">
        <x:v>4.4</x:v>
      </x:c>
      <x:c r="W2413" s="20" t="n">
        <x:v>14.3</x:v>
      </x:c>
      <x:c r="X2413" s="20" t="n">
        <x:v>3.3</x:v>
      </x:c>
      <x:c r="Y2413" t="str">
        <x:v>Basis arsip 2025/2024</x:v>
      </x:c>
      <x:c r="Z2413" t="str">
        <x:v>https://snpmb.id/utbk-snbt/daya-tampung-snbt</x:v>
      </x:c>
      <x:c r="AA2413" t="str">
        <x:v>Tidak Ada</x:v>
      </x:c>
      <x:c r="AB2413" t="str">
        <x:v>Campus=80; Ratio=27.5; Prodi=40; RelDemand=25.1; Capacity=16.7</x:v>
      </x:c>
    </x:row>
    <x:row r="2414">
      <x:c r="A2414" t="n">
        <x:v>2411</x:v>
      </x:c>
      <x:c r="B2414" t="str">
        <x:v>PTN Akademik</x:v>
      </x:c>
      <x:c r="C2414" t="str">
        <x:v>UNIVERSITAS NEGERI SURABAYA</x:v>
      </x:c>
      <x:c r="D2414" t="str">
        <x:v>SASTRA INGGRIS</x:v>
      </x:c>
      <x:c r="E2414" t="str">
        <x:v>Sarjana</x:v>
      </x:c>
      <x:c r="F2414" s="18" t="n">
        <x:v>90</x:v>
      </x:c>
      <x:c r="G2414" s="18" t="n">
        <x:v>632</x:v>
      </x:c>
      <x:c r="H2414" s="19" t="n">
        <x:v>7.022222222222222</x:v>
      </x:c>
      <x:c r="I2414" s="18" t="n">
        <x:f>ROUND(MIN(Model_Config_v3!$B$6,MAX(Q2414,R2414,S2414*Model_Config_v3!$B$4+T2414*Model_Config_v3!$B$5)),0)</x:f>
        <x:v>656</x:v>
      </x:c>
      <x:c r="J2414" s="18" t="n">
        <x:f>MIN(Model_Config_v3!$B$6,I2414+Model_Config_v3!$B$7)</x:f>
        <x:v>676</x:v>
      </x:c>
      <x:c r="K2414" s="20" t="n">
        <x:v>57</x:v>
      </x:c>
      <x:c r="L2414" t="str">
        <x:v>KETAT</x:v>
      </x:c>
      <x:c r="M2414" t="str">
        <x:v>SEDANG+</x:v>
      </x:c>
      <x:c r="N2414" t="str">
        <x:v>ELITE-3</x:v>
      </x:c>
      <x:c r="O2414" t="str">
        <x:v>SOSHUM</x:v>
      </x:c>
      <x:c r="P2414" t="str">
        <x:v>UMUM</x:v>
      </x:c>
      <x:c r="Q2414" s="18" t="n">
        <x:v>620</x:v>
      </x:c>
      <x:c r="R2414" s="18" t="n">
        <x:v>0</x:v>
      </x:c>
      <x:c r="S2414" s="18" t="n">
        <x:v>613.1122025727366</x:v>
      </x:c>
      <x:c r="T2414" s="18" t="n">
        <x:v>674</x:v>
      </x:c>
      <x:c r="U2414" s="18" t="n">
        <x:v>620</x:v>
      </x:c>
      <x:c r="V2414" s="20" t="n">
        <x:v>4.4</x:v>
      </x:c>
      <x:c r="W2414" s="20" t="n">
        <x:v>14.3</x:v>
      </x:c>
      <x:c r="X2414" s="20" t="n">
        <x:v>3.3</x:v>
      </x:c>
      <x:c r="Y2414" t="str">
        <x:v>Basis arsip 2025/2024</x:v>
      </x:c>
      <x:c r="Z2414" t="str">
        <x:v>https://snpmb.id/utbk-snbt/daya-tampung-snbt</x:v>
      </x:c>
      <x:c r="AA2414" t="str">
        <x:v>Tidak Ada</x:v>
      </x:c>
      <x:c r="AB2414" t="str">
        <x:v>Campus=80; Ratio=49.8; Prodi=40; RelDemand=60.1; Capacity=25.0</x:v>
      </x:c>
    </x:row>
    <x:row r="2415">
      <x:c r="A2415" t="n">
        <x:v>2412</x:v>
      </x:c>
      <x:c r="B2415" t="str">
        <x:v>PTN Akademik</x:v>
      </x:c>
      <x:c r="C2415" t="str">
        <x:v>UNIVERSITAS NEGERI SURABAYA</x:v>
      </x:c>
      <x:c r="D2415" t="str">
        <x:v>SASTRA JERMAN</x:v>
      </x:c>
      <x:c r="E2415" t="str">
        <x:v>Sarjana</x:v>
      </x:c>
      <x:c r="F2415" s="18" t="n">
        <x:v>52</x:v>
      </x:c>
      <x:c r="G2415" s="18" t="n">
        <x:v>103</x:v>
      </x:c>
      <x:c r="H2415" s="19" t="n">
        <x:v>1.9807692307692308</x:v>
      </x:c>
      <x:c r="I2415" s="18" t="n">
        <x:f>ROUND(MIN(Model_Config_v3!$B$6,MAX(Q2415,R2415,S2415*Model_Config_v3!$B$4+T2415*Model_Config_v3!$B$5)),0)</x:f>
        <x:v>624</x:v>
      </x:c>
      <x:c r="J2415" s="18" t="n">
        <x:f>MIN(Model_Config_v3!$B$6,I2415+Model_Config_v3!$B$7)</x:f>
        <x:v>644</x:v>
      </x:c>
      <x:c r="K2415" s="20" t="n">
        <x:v>47.7</x:v>
      </x:c>
      <x:c r="L2415" t="str">
        <x:v>MENENGAH</x:v>
      </x:c>
      <x:c r="M2415" t="str">
        <x:v>SEDANG+</x:v>
      </x:c>
      <x:c r="N2415" t="str">
        <x:v>ELITE-3</x:v>
      </x:c>
      <x:c r="O2415" t="str">
        <x:v>SOSHUM</x:v>
      </x:c>
      <x:c r="P2415" t="str">
        <x:v>UMUM</x:v>
      </x:c>
      <x:c r="Q2415" s="18" t="n">
        <x:v>620</x:v>
      </x:c>
      <x:c r="R2415" s="18" t="n">
        <x:v>0</x:v>
      </x:c>
      <x:c r="S2415" s="18" t="n">
        <x:v>552.651726917741</x:v>
      </x:c>
      <x:c r="T2415" s="18" t="n">
        <x:v>655</x:v>
      </x:c>
      <x:c r="U2415" s="18" t="n">
        <x:v>620</x:v>
      </x:c>
      <x:c r="V2415" s="20" t="n">
        <x:v>4.4</x:v>
      </x:c>
      <x:c r="W2415" s="20" t="n">
        <x:v>14.3</x:v>
      </x:c>
      <x:c r="X2415" s="20" t="n">
        <x:v>3.3</x:v>
      </x:c>
      <x:c r="Y2415" t="str">
        <x:v>Basis arsip 2025/2024</x:v>
      </x:c>
      <x:c r="Z2415" t="str">
        <x:v>https://snpmb.id/utbk-snbt/daya-tampung-snbt</x:v>
      </x:c>
      <x:c r="AA2415" t="str">
        <x:v>Tidak Ada</x:v>
      </x:c>
      <x:c r="AB2415" t="str">
        <x:v>Campus=80; Ratio=17.5; Prodi=40; RelDemand=16.9; Capacity=56.7</x:v>
      </x:c>
    </x:row>
    <x:row r="2416">
      <x:c r="A2416" t="n">
        <x:v>2413</x:v>
      </x:c>
      <x:c r="B2416" t="str">
        <x:v>PTN Akademik</x:v>
      </x:c>
      <x:c r="C2416" t="str">
        <x:v>UNIVERSITAS NEGERI SURABAYA</x:v>
      </x:c>
      <x:c r="D2416" t="str">
        <x:v>PENDIDIKAN PANCASILA DAN KEWARGANEGARAAN</x:v>
      </x:c>
      <x:c r="E2416" t="str">
        <x:v>Sarjana</x:v>
      </x:c>
      <x:c r="F2416" s="18" t="n">
        <x:v>82</x:v>
      </x:c>
      <x:c r="G2416" s="18" t="n">
        <x:v>337</x:v>
      </x:c>
      <x:c r="H2416" s="19" t="n">
        <x:v>4.109756097560975</x:v>
      </x:c>
      <x:c r="I2416" s="18" t="n">
        <x:f>ROUND(MIN(Model_Config_v3!$B$6,MAX(Q2416,R2416,S2416*Model_Config_v3!$B$4+T2416*Model_Config_v3!$B$5)),0)</x:f>
        <x:v>642</x:v>
      </x:c>
      <x:c r="J2416" s="18" t="n">
        <x:f>MIN(Model_Config_v3!$B$6,I2416+Model_Config_v3!$B$7)</x:f>
        <x:v>662</x:v>
      </x:c>
      <x:c r="K2416" s="20" t="n">
        <x:v>52.7</x:v>
      </x:c>
      <x:c r="L2416" t="str">
        <x:v>MENENGAH</x:v>
      </x:c>
      <x:c r="M2416" t="str">
        <x:v>SEDANG+</x:v>
      </x:c>
      <x:c r="N2416" t="str">
        <x:v>ELITE-3</x:v>
      </x:c>
      <x:c r="O2416" t="str">
        <x:v>CAMPURAN</x:v>
      </x:c>
      <x:c r="P2416" t="str">
        <x:v>PENDIDIKAN</x:v>
      </x:c>
      <x:c r="Q2416" s="18" t="n">
        <x:v>620</x:v>
      </x:c>
      <x:c r="R2416" s="18" t="n">
        <x:v>0</x:v>
      </x:c>
      <x:c r="S2416" s="18" t="n">
        <x:v>587.5197653336384</x:v>
      </x:c>
      <x:c r="T2416" s="18" t="n">
        <x:v>665</x:v>
      </x:c>
      <x:c r="U2416" s="18" t="n">
        <x:v>620</x:v>
      </x:c>
      <x:c r="V2416" s="20" t="n">
        <x:v>8.8</x:v>
      </x:c>
      <x:c r="W2416" s="20" t="n">
        <x:v>9.9</x:v>
      </x:c>
      <x:c r="X2416" s="20" t="n">
        <x:v>3.3</x:v>
      </x:c>
      <x:c r="Y2416" t="str">
        <x:v>Basis arsip 2025/2024</x:v>
      </x:c>
      <x:c r="Z2416" t="str">
        <x:v>https://snpmb.id/utbk-snbt/daya-tampung-snbt</x:v>
      </x:c>
      <x:c r="AA2416" t="str">
        <x:v>Tidak Ada</x:v>
      </x:c>
      <x:c r="AB2416" t="str">
        <x:v>Campus=80; Ratio=36.1; Prodi=45; RelDemand=35.2; Capacity=31.7</x:v>
      </x:c>
    </x:row>
    <x:row r="2417">
      <x:c r="A2417" t="n">
        <x:v>2414</x:v>
      </x:c>
      <x:c r="B2417" t="str">
        <x:v>PTN Akademik</x:v>
      </x:c>
      <x:c r="C2417" t="str">
        <x:v>UNIVERSITAS NEGERI SURABAYA</x:v>
      </x:c>
      <x:c r="D2417" t="str">
        <x:v>PENDIDIKAN GEOGRAFI</x:v>
      </x:c>
      <x:c r="E2417" t="str">
        <x:v>Sarjana</x:v>
      </x:c>
      <x:c r="F2417" s="18" t="n">
        <x:v>103</x:v>
      </x:c>
      <x:c r="G2417" s="18" t="n">
        <x:v>255</x:v>
      </x:c>
      <x:c r="H2417" s="19" t="n">
        <x:v>2.4757281553398056</x:v>
      </x:c>
      <x:c r="I2417" s="18" t="n">
        <x:f>ROUND(MIN(Model_Config_v3!$B$6,MAX(Q2417,R2417,S2417*Model_Config_v3!$B$4+T2417*Model_Config_v3!$B$5)),0)</x:f>
        <x:v>626</x:v>
      </x:c>
      <x:c r="J2417" s="18" t="n">
        <x:f>MIN(Model_Config_v3!$B$6,I2417+Model_Config_v3!$B$7)</x:f>
        <x:v>646</x:v>
      </x:c>
      <x:c r="K2417" s="20" t="n">
        <x:v>46.3</x:v>
      </x:c>
      <x:c r="L2417" t="str">
        <x:v>MENENGAH</x:v>
      </x:c>
      <x:c r="M2417" t="str">
        <x:v>SEDANG+</x:v>
      </x:c>
      <x:c r="N2417" t="str">
        <x:v>ELITE-3</x:v>
      </x:c>
      <x:c r="O2417" t="str">
        <x:v>CAMPURAN</x:v>
      </x:c>
      <x:c r="P2417" t="str">
        <x:v>PENDIDIKAN</x:v>
      </x:c>
      <x:c r="Q2417" s="18" t="n">
        <x:v>620</x:v>
      </x:c>
      <x:c r="R2417" s="18" t="n">
        <x:v>0</x:v>
      </x:c>
      <x:c r="S2417" s="18" t="n">
        <x:v>563.3073251301661</x:v>
      </x:c>
      <x:c r="T2417" s="18" t="n">
        <x:v>653</x:v>
      </x:c>
      <x:c r="U2417" s="18" t="n">
        <x:v>620</x:v>
      </x:c>
      <x:c r="V2417" s="20" t="n">
        <x:v>8.8</x:v>
      </x:c>
      <x:c r="W2417" s="20" t="n">
        <x:v>9.9</x:v>
      </x:c>
      <x:c r="X2417" s="20" t="n">
        <x:v>3.3</x:v>
      </x:c>
      <x:c r="Y2417" t="str">
        <x:v>Basis arsip 2025/2024</x:v>
      </x:c>
      <x:c r="Z2417" t="str">
        <x:v>https://snpmb.id/utbk-snbt/daya-tampung-snbt</x:v>
      </x:c>
      <x:c r="AA2417" t="str">
        <x:v>Tidak Ada</x:v>
      </x:c>
      <x:c r="AB2417" t="str">
        <x:v>Campus=80; Ratio=23.2; Prodi=45; RelDemand=21.2; Capacity=14.2</x:v>
      </x:c>
    </x:row>
    <x:row r="2418">
      <x:c r="A2418" t="n">
        <x:v>2415</x:v>
      </x:c>
      <x:c r="B2418" t="str">
        <x:v>PTN Akademik</x:v>
      </x:c>
      <x:c r="C2418" t="str">
        <x:v>UNIVERSITAS NEGERI SURABAYA</x:v>
      </x:c>
      <x:c r="D2418" t="str">
        <x:v>PENDIDIKAN SEJARAH</x:v>
      </x:c>
      <x:c r="E2418" t="str">
        <x:v>Sarjana</x:v>
      </x:c>
      <x:c r="F2418" s="18" t="n">
        <x:v>103</x:v>
      </x:c>
      <x:c r="G2418" s="18" t="n">
        <x:v>362</x:v>
      </x:c>
      <x:c r="H2418" s="19" t="n">
        <x:v>3.5145631067961167</x:v>
      </x:c>
      <x:c r="I2418" s="18" t="n">
        <x:f>ROUND(MIN(Model_Config_v3!$B$6,MAX(Q2418,R2418,S2418*Model_Config_v3!$B$4+T2418*Model_Config_v3!$B$5)),0)</x:f>
        <x:v>635</x:v>
      </x:c>
      <x:c r="J2418" s="18" t="n">
        <x:f>MIN(Model_Config_v3!$B$6,I2418+Model_Config_v3!$B$7)</x:f>
        <x:v>655</x:v>
      </x:c>
      <x:c r="K2418" s="20" t="n">
        <x:v>49.5</x:v>
      </x:c>
      <x:c r="L2418" t="str">
        <x:v>MENENGAH</x:v>
      </x:c>
      <x:c r="M2418" t="str">
        <x:v>SEDANG+</x:v>
      </x:c>
      <x:c r="N2418" t="str">
        <x:v>ELITE-3</x:v>
      </x:c>
      <x:c r="O2418" t="str">
        <x:v>SOSHUM</x:v>
      </x:c>
      <x:c r="P2418" t="str">
        <x:v>PENDIDIKAN</x:v>
      </x:c>
      <x:c r="Q2418" s="18" t="n">
        <x:v>620</x:v>
      </x:c>
      <x:c r="R2418" s="18" t="n">
        <x:v>0</x:v>
      </x:c>
      <x:c r="S2418" s="18" t="n">
        <x:v>580.0458480410792</x:v>
      </x:c>
      <x:c r="T2418" s="18" t="n">
        <x:v>659</x:v>
      </x:c>
      <x:c r="U2418" s="18" t="n">
        <x:v>620</x:v>
      </x:c>
      <x:c r="V2418" s="20" t="n">
        <x:v>4.4</x:v>
      </x:c>
      <x:c r="W2418" s="20" t="n">
        <x:v>14.3</x:v>
      </x:c>
      <x:c r="X2418" s="20" t="n">
        <x:v>3.3</x:v>
      </x:c>
      <x:c r="Y2418" t="str">
        <x:v>Basis arsip 2025/2024</x:v>
      </x:c>
      <x:c r="Z2418" t="str">
        <x:v>https://snpmb.id/utbk-snbt/daya-tampung-snbt</x:v>
      </x:c>
      <x:c r="AA2418" t="str">
        <x:v>Tidak Ada</x:v>
      </x:c>
      <x:c r="AB2418" t="str">
        <x:v>Campus=80; Ratio=32.1; Prodi=45; RelDemand=30.1; Capacity=14.2</x:v>
      </x:c>
    </x:row>
    <x:row r="2419">
      <x:c r="A2419" t="n">
        <x:v>2416</x:v>
      </x:c>
      <x:c r="B2419" t="str">
        <x:v>PTN Akademik</x:v>
      </x:c>
      <x:c r="C2419" t="str">
        <x:v>UNIVERSITAS NEGERI SURABAYA</x:v>
      </x:c>
      <x:c r="D2419" t="str">
        <x:v>SOSIOLOGI</x:v>
      </x:c>
      <x:c r="E2419" t="str">
        <x:v>Sarjana</x:v>
      </x:c>
      <x:c r="F2419" s="18" t="n">
        <x:v>120</x:v>
      </x:c>
      <x:c r="G2419" s="18" t="n">
        <x:v>633</x:v>
      </x:c>
      <x:c r="H2419" s="19" t="n">
        <x:v>5.275</x:v>
      </x:c>
      <x:c r="I2419" s="18" t="n">
        <x:f>ROUND(MIN(Model_Config_v3!$B$6,MAX(Q2419,R2419,S2419*Model_Config_v3!$B$4+T2419*Model_Config_v3!$B$5)),0)</x:f>
        <x:v>643</x:v>
      </x:c>
      <x:c r="J2419" s="18" t="n">
        <x:f>MIN(Model_Config_v3!$B$6,I2419+Model_Config_v3!$B$7)</x:f>
        <x:v>663</x:v>
      </x:c>
      <x:c r="K2419" s="20" t="n">
        <x:v>51.1</x:v>
      </x:c>
      <x:c r="L2419" t="str">
        <x:v>MENENGAH</x:v>
      </x:c>
      <x:c r="M2419" t="str">
        <x:v>SEDANG+</x:v>
      </x:c>
      <x:c r="N2419" t="str">
        <x:v>ELITE-3</x:v>
      </x:c>
      <x:c r="O2419" t="str">
        <x:v>SOSHUM</x:v>
      </x:c>
      <x:c r="P2419" t="str">
        <x:v>UMUM</x:v>
      </x:c>
      <x:c r="Q2419" s="18" t="n">
        <x:v>620</x:v>
      </x:c>
      <x:c r="R2419" s="18" t="n">
        <x:v>0</x:v>
      </x:c>
      <x:c r="S2419" s="18" t="n">
        <x:v>599.4444710366703</x:v>
      </x:c>
      <x:c r="T2419" s="18" t="n">
        <x:v>662</x:v>
      </x:c>
      <x:c r="U2419" s="18" t="n">
        <x:v>620</x:v>
      </x:c>
      <x:c r="V2419" s="20" t="n">
        <x:v>4.4</x:v>
      </x:c>
      <x:c r="W2419" s="20" t="n">
        <x:v>14.3</x:v>
      </x:c>
      <x:c r="X2419" s="20" t="n">
        <x:v>3.3</x:v>
      </x:c>
      <x:c r="Y2419" t="str">
        <x:v>Basis arsip 2025/2024</x:v>
      </x:c>
      <x:c r="Z2419" t="str">
        <x:v>https://snpmb.id/utbk-snbt/daya-tampung-snbt</x:v>
      </x:c>
      <x:c r="AA2419" t="str">
        <x:v>Tidak Ada</x:v>
      </x:c>
      <x:c r="AB2419" t="str">
        <x:v>Campus=80; Ratio=42.5; Prodi=40; RelDemand=45.1; Capacity=0.0</x:v>
      </x:c>
    </x:row>
    <x:row r="2420">
      <x:c r="A2420" t="n">
        <x:v>2417</x:v>
      </x:c>
      <x:c r="B2420" t="str">
        <x:v>PTN Akademik</x:v>
      </x:c>
      <x:c r="C2420" t="str">
        <x:v>UNIVERSITAS NEGERI SURABAYA</x:v>
      </x:c>
      <x:c r="D2420" t="str">
        <x:v>ILMU ADMINISTRASI NEGARA</x:v>
      </x:c>
      <x:c r="E2420" t="str">
        <x:v>Sarjana</x:v>
      </x:c>
      <x:c r="F2420" s="18" t="n">
        <x:v>118</x:v>
      </x:c>
      <x:c r="G2420" s="18" t="n">
        <x:v>1497</x:v>
      </x:c>
      <x:c r="H2420" s="19" t="n">
        <x:v>12.686440677966102</x:v>
      </x:c>
      <x:c r="I2420" s="18" t="n">
        <x:f>ROUND(MIN(Model_Config_v3!$B$6,MAX(Q2420,R2420,S2420*Model_Config_v3!$B$4+T2420*Model_Config_v3!$B$5)),0)</x:f>
        <x:v>672</x:v>
      </x:c>
      <x:c r="J2420" s="18" t="n">
        <x:f>MIN(Model_Config_v3!$B$6,I2420+Model_Config_v3!$B$7)</x:f>
        <x:v>692</x:v>
      </x:c>
      <x:c r="K2420" s="20" t="n">
        <x:v>62.4</x:v>
      </x:c>
      <x:c r="L2420" t="str">
        <x:v>KETAT</x:v>
      </x:c>
      <x:c r="M2420" t="str">
        <x:v>SEDANG+</x:v>
      </x:c>
      <x:c r="N2420" t="str">
        <x:v>ELITE-3</x:v>
      </x:c>
      <x:c r="O2420" t="str">
        <x:v>SOSHUM</x:v>
      </x:c>
      <x:c r="P2420" t="str">
        <x:v>UMUM</x:v>
      </x:c>
      <x:c r="Q2420" s="18" t="n">
        <x:v>620</x:v>
      </x:c>
      <x:c r="R2420" s="18" t="n">
        <x:v>0</x:v>
      </x:c>
      <x:c r="S2420" s="18" t="n">
        <x:v>641.3673772340619</x:v>
      </x:c>
      <x:c r="T2420" s="18" t="n">
        <x:v>685</x:v>
      </x:c>
      <x:c r="U2420" s="18" t="n">
        <x:v>641.3673772340619</x:v>
      </x:c>
      <x:c r="V2420" s="20" t="n">
        <x:v>4.4</x:v>
      </x:c>
      <x:c r="W2420" s="20" t="n">
        <x:v>14.3</x:v>
      </x:c>
      <x:c r="X2420" s="20" t="n">
        <x:v>3.3</x:v>
      </x:c>
      <x:c r="Y2420" t="str">
        <x:v>Basis arsip 2025/2024</x:v>
      </x:c>
      <x:c r="Z2420" t="str">
        <x:v>https://snpmb.id/utbk-snbt/daya-tampung-snbt</x:v>
      </x:c>
      <x:c r="AA2420" t="str">
        <x:v>Tidak Ada</x:v>
      </x:c>
      <x:c r="AB2420" t="str">
        <x:v>Campus=80; Ratio=64.9; Prodi=40; RelDemand=100.0; Capacity=1.7</x:v>
      </x:c>
    </x:row>
    <x:row r="2421">
      <x:c r="A2421" t="n">
        <x:v>2418</x:v>
      </x:c>
      <x:c r="B2421" t="str">
        <x:v>PTN Akademik</x:v>
      </x:c>
      <x:c r="C2421" t="str">
        <x:v>UNIVERSITAS NEGERI SURABAYA</x:v>
      </x:c>
      <x:c r="D2421" t="str">
        <x:v>PENDIDIKAN JASMANI, KESEHATAN, DAN REKREASI</x:v>
      </x:c>
      <x:c r="E2421" t="str">
        <x:v>Sarjana</x:v>
      </x:c>
      <x:c r="F2421" s="18" t="n">
        <x:v>120</x:v>
      </x:c>
      <x:c r="G2421" s="18" t="n">
        <x:v>689</x:v>
      </x:c>
      <x:c r="H2421" s="19" t="n">
        <x:v>5.741666666666666</x:v>
      </x:c>
      <x:c r="I2421" s="18" t="n">
        <x:f>ROUND(MIN(Model_Config_v3!$B$6,MAX(Q2421,R2421,S2421*Model_Config_v3!$B$4+T2421*Model_Config_v3!$B$5)),0)</x:f>
        <x:v>647</x:v>
      </x:c>
      <x:c r="J2421" s="18" t="n">
        <x:f>MIN(Model_Config_v3!$B$6,I2421+Model_Config_v3!$B$7)</x:f>
        <x:v>667</x:v>
      </x:c>
      <x:c r="K2421" s="20" t="n">
        <x:v>53.1</x:v>
      </x:c>
      <x:c r="L2421" t="str">
        <x:v>MENENGAH</x:v>
      </x:c>
      <x:c r="M2421" t="str">
        <x:v>PORTOFOLIO</x:v>
      </x:c>
      <x:c r="N2421" t="str">
        <x:v>ELITE-3</x:v>
      </x:c>
      <x:c r="O2421" t="str">
        <x:v>SENI/OLAHRAGA</x:v>
      </x:c>
      <x:c r="P2421" t="str">
        <x:v>SENI/OLAHRAGA</x:v>
      </x:c>
      <x:c r="Q2421" s="18" t="n">
        <x:v>620</x:v>
      </x:c>
      <x:c r="R2421" s="18" t="n">
        <x:v>0</x:v>
      </x:c>
      <x:c r="S2421" s="18" t="n">
        <x:v>603.4941773446001</x:v>
      </x:c>
      <x:c r="T2421" s="18" t="n">
        <x:v>666</x:v>
      </x:c>
      <x:c r="U2421" s="18" t="n">
        <x:v>620</x:v>
      </x:c>
      <x:c r="V2421" s="20" t="n">
        <x:v>4.4</x:v>
      </x:c>
      <x:c r="W2421" s="20" t="n">
        <x:v>9.9</x:v>
      </x:c>
      <x:c r="X2421" s="20" t="n">
        <x:v>7.7</x:v>
      </x:c>
      <x:c r="Y2421" t="str">
        <x:v>Basis arsip 2025/2024</x:v>
      </x:c>
      <x:c r="Z2421" t="str">
        <x:v>https://snpmb.id/utbk-snbt/daya-tampung-snbt</x:v>
      </x:c>
      <x:c r="AA2421" t="str">
        <x:v>Olahraga</x:v>
      </x:c>
      <x:c r="AB2421" t="str">
        <x:v>Campus=80; Ratio=44.7; Prodi=45; RelDemand=49.1; Capacity=0.0</x:v>
      </x:c>
    </x:row>
    <x:row r="2422">
      <x:c r="A2422" t="n">
        <x:v>2419</x:v>
      </x:c>
      <x:c r="B2422" t="str">
        <x:v>PTN Akademik</x:v>
      </x:c>
      <x:c r="C2422" t="str">
        <x:v>UNIVERSITAS NEGERI SURABAYA</x:v>
      </x:c>
      <x:c r="D2422" t="str">
        <x:v>PENDIDIKAN KEPELATIHAN OLAHRAGA</x:v>
      </x:c>
      <x:c r="E2422" t="str">
        <x:v>Sarjana</x:v>
      </x:c>
      <x:c r="F2422" s="18" t="n">
        <x:v>135</x:v>
      </x:c>
      <x:c r="G2422" s="18" t="n">
        <x:v>508</x:v>
      </x:c>
      <x:c r="H2422" s="19" t="n">
        <x:v>3.762962962962963</x:v>
      </x:c>
      <x:c r="I2422" s="18" t="n">
        <x:f>ROUND(MIN(Model_Config_v3!$B$6,MAX(Q2422,R2422,S2422*Model_Config_v3!$B$4+T2422*Model_Config_v3!$B$5)),0)</x:f>
        <x:v>635</x:v>
      </x:c>
      <x:c r="J2422" s="18" t="n">
        <x:f>MIN(Model_Config_v3!$B$6,I2422+Model_Config_v3!$B$7)</x:f>
        <x:v>655</x:v>
      </x:c>
      <x:c r="K2422" s="20" t="n">
        <x:v>48.7</x:v>
      </x:c>
      <x:c r="L2422" t="str">
        <x:v>MENENGAH</x:v>
      </x:c>
      <x:c r="M2422" t="str">
        <x:v>PORTOFOLIO</x:v>
      </x:c>
      <x:c r="N2422" t="str">
        <x:v>ELITE-3</x:v>
      </x:c>
      <x:c r="O2422" t="str">
        <x:v>SENI/OLAHRAGA</x:v>
      </x:c>
      <x:c r="P2422" t="str">
        <x:v>SENI/OLAHRAGA</x:v>
      </x:c>
      <x:c r="Q2422" s="18" t="n">
        <x:v>620</x:v>
      </x:c>
      <x:c r="R2422" s="18" t="n">
        <x:v>0</x:v>
      </x:c>
      <x:c r="S2422" s="18" t="n">
        <x:v>583.3082938167804</x:v>
      </x:c>
      <x:c r="T2422" s="18" t="n">
        <x:v>657</x:v>
      </x:c>
      <x:c r="U2422" s="18" t="n">
        <x:v>620</x:v>
      </x:c>
      <x:c r="V2422" s="20" t="n">
        <x:v>4.4</x:v>
      </x:c>
      <x:c r="W2422" s="20" t="n">
        <x:v>9.9</x:v>
      </x:c>
      <x:c r="X2422" s="20" t="n">
        <x:v>7.7</x:v>
      </x:c>
      <x:c r="Y2422" t="str">
        <x:v>Basis arsip 2025/2024</x:v>
      </x:c>
      <x:c r="Z2422" t="str">
        <x:v>https://snpmb.id/utbk-snbt/daya-tampung-snbt</x:v>
      </x:c>
      <x:c r="AA2422" t="str">
        <x:v>Olahraga</x:v>
      </x:c>
      <x:c r="AB2422" t="str">
        <x:v>Campus=80; Ratio=33.9; Prodi=45; RelDemand=32.2; Capacity=0.0</x:v>
      </x:c>
    </x:row>
    <x:row r="2423">
      <x:c r="A2423" t="n">
        <x:v>2420</x:v>
      </x:c>
      <x:c r="B2423" t="str">
        <x:v>PTN Akademik</x:v>
      </x:c>
      <x:c r="C2423" t="str">
        <x:v>UNIVERSITAS NEGERI SURABAYA</x:v>
      </x:c>
      <x:c r="D2423" t="str">
        <x:v>PENDIDIKAN EKONOMI</x:v>
      </x:c>
      <x:c r="E2423" t="str">
        <x:v>Sarjana</x:v>
      </x:c>
      <x:c r="F2423" s="18" t="n">
        <x:v>86</x:v>
      </x:c>
      <x:c r="G2423" s="18" t="n">
        <x:v>339</x:v>
      </x:c>
      <x:c r="H2423" s="19" t="n">
        <x:v>3.941860465116279</x:v>
      </x:c>
      <x:c r="I2423" s="18" t="n">
        <x:f>ROUND(MIN(Model_Config_v3!$B$6,MAX(Q2423,R2423,S2423*Model_Config_v3!$B$4+T2423*Model_Config_v3!$B$5)),0)</x:f>
        <x:v>640</x:v>
      </x:c>
      <x:c r="J2423" s="18" t="n">
        <x:f>MIN(Model_Config_v3!$B$6,I2423+Model_Config_v3!$B$7)</x:f>
        <x:v>660</x:v>
      </x:c>
      <x:c r="K2423" s="20" t="n">
        <x:v>52</x:v>
      </x:c>
      <x:c r="L2423" t="str">
        <x:v>MENENGAH</x:v>
      </x:c>
      <x:c r="M2423" t="str">
        <x:v>SEDANG+</x:v>
      </x:c>
      <x:c r="N2423" t="str">
        <x:v>ELITE-3</x:v>
      </x:c>
      <x:c r="O2423" t="str">
        <x:v>SOSHUM</x:v>
      </x:c>
      <x:c r="P2423" t="str">
        <x:v>PENDIDIKAN</x:v>
      </x:c>
      <x:c r="Q2423" s="18" t="n">
        <x:v>620</x:v>
      </x:c>
      <x:c r="R2423" s="18" t="n">
        <x:v>0</x:v>
      </x:c>
      <x:c r="S2423" s="18" t="n">
        <x:v>585.5271371655466</x:v>
      </x:c>
      <x:c r="T2423" s="18" t="n">
        <x:v>664</x:v>
      </x:c>
      <x:c r="U2423" s="18" t="n">
        <x:v>620</x:v>
      </x:c>
      <x:c r="V2423" s="20" t="n">
        <x:v>4.4</x:v>
      </x:c>
      <x:c r="W2423" s="20" t="n">
        <x:v>14.3</x:v>
      </x:c>
      <x:c r="X2423" s="20" t="n">
        <x:v>3.3</x:v>
      </x:c>
      <x:c r="Y2423" t="str">
        <x:v>Basis arsip 2025/2024</x:v>
      </x:c>
      <x:c r="Z2423" t="str">
        <x:v>https://snpmb.id/utbk-snbt/daya-tampung-snbt</x:v>
      </x:c>
      <x:c r="AA2423" t="str">
        <x:v>Tidak Ada</x:v>
      </x:c>
      <x:c r="AB2423" t="str">
        <x:v>Campus=80; Ratio=35.1; Prodi=45; RelDemand=33.7; Capacity=28.3</x:v>
      </x:c>
    </x:row>
    <x:row r="2424">
      <x:c r="A2424" t="n">
        <x:v>2421</x:v>
      </x:c>
      <x:c r="B2424" t="str">
        <x:v>PTN Akademik</x:v>
      </x:c>
      <x:c r="C2424" t="str">
        <x:v>UNIVERSITAS NEGERI SURABAYA</x:v>
      </x:c>
      <x:c r="D2424" t="str">
        <x:v>MANAJEMEN</x:v>
      </x:c>
      <x:c r="E2424" t="str">
        <x:v>Sarjana</x:v>
      </x:c>
      <x:c r="F2424" s="18" t="n">
        <x:v>105</x:v>
      </x:c>
      <x:c r="G2424" s="18" t="n">
        <x:v>2410</x:v>
      </x:c>
      <x:c r="H2424" s="19" t="n">
        <x:v>22.952380952380953</x:v>
      </x:c>
      <x:c r="I2424" s="18" t="n">
        <x:f>ROUND(MIN(Model_Config_v3!$B$6,MAX(Q2424,R2424,S2424*Model_Config_v3!$B$4+T2424*Model_Config_v3!$B$5)),0)</x:f>
        <x:v>694</x:v>
      </x:c>
      <x:c r="J2424" s="18" t="n">
        <x:f>MIN(Model_Config_v3!$B$6,I2424+Model_Config_v3!$B$7)</x:f>
        <x:v>714</x:v>
      </x:c>
      <x:c r="K2424" s="20" t="n">
        <x:v>72.3</x:v>
      </x:c>
      <x:c r="L2424" t="str">
        <x:v>SANGAT KETAT</x:v>
      </x:c>
      <x:c r="M2424" t="str">
        <x:v>SEDANG+</x:v>
      </x:c>
      <x:c r="N2424" t="str">
        <x:v>ELITE-3</x:v>
      </x:c>
      <x:c r="O2424" t="str">
        <x:v>SOSHUM</x:v>
      </x:c>
      <x:c r="P2424" t="str">
        <x:v>BISNIS/EKONOMI/AKUNTANSI</x:v>
      </x:c>
      <x:c r="Q2424" s="18" t="n">
        <x:v>620</x:v>
      </x:c>
      <x:c r="R2424" s="18" t="n">
        <x:v>0</x:v>
      </x:c>
      <x:c r="S2424" s="18" t="n">
        <x:v>669.6910517855423</x:v>
      </x:c>
      <x:c r="T2424" s="18" t="n">
        <x:v>705</x:v>
      </x:c>
      <x:c r="U2424" s="18" t="n">
        <x:v>684.6910517855423</x:v>
      </x:c>
      <x:c r="V2424" s="20" t="n">
        <x:v>4.4</x:v>
      </x:c>
      <x:c r="W2424" s="20" t="n">
        <x:v>14.3</x:v>
      </x:c>
      <x:c r="X2424" s="20" t="n">
        <x:v>3.3</x:v>
      </x:c>
      <x:c r="Y2424" t="str">
        <x:v>Basis arsip 2025/2024</x:v>
      </x:c>
      <x:c r="Z2424" t="str">
        <x:v>https://snpmb.id/utbk-snbt/daya-tampung-snbt</x:v>
      </x:c>
      <x:c r="AA2424" t="str">
        <x:v>Tidak Ada</x:v>
      </x:c>
      <x:c r="AB2424" t="str">
        <x:v>Campus=80; Ratio=80.1; Prodi=65; RelDemand=100.0; Capacity=12.5</x:v>
      </x:c>
    </x:row>
    <x:row r="2425">
      <x:c r="A2425" t="n">
        <x:v>2422</x:v>
      </x:c>
      <x:c r="B2425" t="str">
        <x:v>PTN Akademik</x:v>
      </x:c>
      <x:c r="C2425" t="str">
        <x:v>UNIVERSITAS NEGERI SURABAYA</x:v>
      </x:c>
      <x:c r="D2425" t="str">
        <x:v>AKUNTANSI</x:v>
      </x:c>
      <x:c r="E2425" t="str">
        <x:v>Sarjana</x:v>
      </x:c>
      <x:c r="F2425" s="18" t="n">
        <x:v>118</x:v>
      </x:c>
      <x:c r="G2425" s="18" t="n">
        <x:v>1500</x:v>
      </x:c>
      <x:c r="H2425" s="19" t="n">
        <x:v>12.711864406779661</x:v>
      </x:c>
      <x:c r="I2425" s="18" t="n">
        <x:f>ROUND(MIN(Model_Config_v3!$B$6,MAX(Q2425,R2425,S2425*Model_Config_v3!$B$4+T2425*Model_Config_v3!$B$5)),0)</x:f>
        <x:v>679</x:v>
      </x:c>
      <x:c r="J2425" s="18" t="n">
        <x:f>MIN(Model_Config_v3!$B$6,I2425+Model_Config_v3!$B$7)</x:f>
        <x:v>699</x:v>
      </x:c>
      <x:c r="K2425" s="20" t="n">
        <x:v>67.4</x:v>
      </x:c>
      <x:c r="L2425" t="str">
        <x:v>SANGAT KETAT</x:v>
      </x:c>
      <x:c r="M2425" t="str">
        <x:v>SEDANG+</x:v>
      </x:c>
      <x:c r="N2425" t="str">
        <x:v>ELITE-3</x:v>
      </x:c>
      <x:c r="O2425" t="str">
        <x:v>SOSHUM</x:v>
      </x:c>
      <x:c r="P2425" t="str">
        <x:v>BISNIS/EKONOMI/AKUNTANSI</x:v>
      </x:c>
      <x:c r="Q2425" s="18" t="n">
        <x:v>620</x:v>
      </x:c>
      <x:c r="R2425" s="18" t="n">
        <x:v>0</x:v>
      </x:c>
      <x:c r="S2425" s="18" t="n">
        <x:v>641.4630176924511</x:v>
      </x:c>
      <x:c r="T2425" s="18" t="n">
        <x:v>695</x:v>
      </x:c>
      <x:c r="U2425" s="18" t="n">
        <x:v>641.4630176924511</x:v>
      </x:c>
      <x:c r="V2425" s="20" t="n">
        <x:v>4.4</x:v>
      </x:c>
      <x:c r="W2425" s="20" t="n">
        <x:v>14.3</x:v>
      </x:c>
      <x:c r="X2425" s="20" t="n">
        <x:v>3.3</x:v>
      </x:c>
      <x:c r="Y2425" t="str">
        <x:v>Basis arsip 2025/2024</x:v>
      </x:c>
      <x:c r="Z2425" t="str">
        <x:v>https://snpmb.id/utbk-snbt/daya-tampung-snbt</x:v>
      </x:c>
      <x:c r="AA2425" t="str">
        <x:v>Tidak Ada</x:v>
      </x:c>
      <x:c r="AB2425" t="str">
        <x:v>Campus=80; Ratio=65.0; Prodi=65; RelDemand=100.0; Capacity=1.7</x:v>
      </x:c>
    </x:row>
    <x:row r="2426">
      <x:c r="A2426" t="n">
        <x:v>2423</x:v>
      </x:c>
      <x:c r="B2426" t="str">
        <x:v>PTN Akademik</x:v>
      </x:c>
      <x:c r="C2426" t="str">
        <x:v>UNIVERSITAS NEGERI SURABAYA</x:v>
      </x:c>
      <x:c r="D2426" t="str">
        <x:v>PENDIDIKAN TATA RIAS</x:v>
      </x:c>
      <x:c r="E2426" t="str">
        <x:v>Sarjana</x:v>
      </x:c>
      <x:c r="F2426" s="18" t="n">
        <x:v>84</x:v>
      </x:c>
      <x:c r="G2426" s="18" t="n">
        <x:v>471</x:v>
      </x:c>
      <x:c r="H2426" s="19" t="n">
        <x:v>5.607142857142857</x:v>
      </x:c>
      <x:c r="I2426" s="18" t="n">
        <x:f>ROUND(MIN(Model_Config_v3!$B$6,MAX(Q2426,R2426,S2426*Model_Config_v3!$B$4+T2426*Model_Config_v3!$B$5)),0)</x:f>
        <x:v>651</x:v>
      </x:c>
      <x:c r="J2426" s="18" t="n">
        <x:f>MIN(Model_Config_v3!$B$6,I2426+Model_Config_v3!$B$7)</x:f>
        <x:v>671</x:v>
      </x:c>
      <x:c r="K2426" s="20" t="n">
        <x:v>55.8</x:v>
      </x:c>
      <x:c r="L2426" t="str">
        <x:v>KETAT</x:v>
      </x:c>
      <x:c r="M2426" t="str">
        <x:v>SEDANG+</x:v>
      </x:c>
      <x:c r="N2426" t="str">
        <x:v>ELITE-3</x:v>
      </x:c>
      <x:c r="O2426" t="str">
        <x:v>CAMPURAN</x:v>
      </x:c>
      <x:c r="P2426" t="str">
        <x:v>PENDIDIKAN</x:v>
      </x:c>
      <x:c r="Q2426" s="18" t="n">
        <x:v>620</x:v>
      </x:c>
      <x:c r="R2426" s="18" t="n">
        <x:v>0</x:v>
      </x:c>
      <x:c r="S2426" s="18" t="n">
        <x:v>602.3615783173716</x:v>
      </x:c>
      <x:c r="T2426" s="18" t="n">
        <x:v>672</x:v>
      </x:c>
      <x:c r="U2426" s="18" t="n">
        <x:v>620</x:v>
      </x:c>
      <x:c r="V2426" s="20" t="n">
        <x:v>8.8</x:v>
      </x:c>
      <x:c r="W2426" s="20" t="n">
        <x:v>9.9</x:v>
      </x:c>
      <x:c r="X2426" s="20" t="n">
        <x:v>3.3</x:v>
      </x:c>
      <x:c r="Y2426" t="str">
        <x:v>Basis arsip 2025/2024</x:v>
      </x:c>
      <x:c r="Z2426" t="str">
        <x:v>https://snpmb.id/utbk-snbt/daya-tampung-snbt</x:v>
      </x:c>
      <x:c r="AA2426" t="str">
        <x:v>Tidak Ada</x:v>
      </x:c>
      <x:c r="AB2426" t="str">
        <x:v>Campus=80; Ratio=44.1; Prodi=45; RelDemand=48.0; Capacity=30.0</x:v>
      </x:c>
    </x:row>
    <x:row r="2427">
      <x:c r="A2427" t="n">
        <x:v>2424</x:v>
      </x:c>
      <x:c r="B2427" t="str">
        <x:v>PTN Akademik</x:v>
      </x:c>
      <x:c r="C2427" t="str">
        <x:v>UNIVERSITAS NEGERI SURABAYA</x:v>
      </x:c>
      <x:c r="D2427" t="str">
        <x:v>MANAJEMEN PENDIDIKAN</x:v>
      </x:c>
      <x:c r="E2427" t="str">
        <x:v>Sarjana</x:v>
      </x:c>
      <x:c r="F2427" s="18" t="n">
        <x:v>120</x:v>
      </x:c>
      <x:c r="G2427" s="18" t="n">
        <x:v>468</x:v>
      </x:c>
      <x:c r="H2427" s="19" t="n">
        <x:v>3.9</x:v>
      </x:c>
      <x:c r="I2427" s="18" t="n">
        <x:f>ROUND(MIN(Model_Config_v3!$B$6,MAX(Q2427,R2427,S2427*Model_Config_v3!$B$4+T2427*Model_Config_v3!$B$5)),0)</x:f>
        <x:v>642</x:v>
      </x:c>
      <x:c r="J2427" s="18" t="n">
        <x:f>MIN(Model_Config_v3!$B$6,I2427+Model_Config_v3!$B$7)</x:f>
        <x:v>662</x:v>
      </x:c>
      <x:c r="K2427" s="20" t="n">
        <x:v>53</x:v>
      </x:c>
      <x:c r="L2427" t="str">
        <x:v>MENENGAH</x:v>
      </x:c>
      <x:c r="M2427" t="str">
        <x:v>SEDANG+</x:v>
      </x:c>
      <x:c r="N2427" t="str">
        <x:v>ELITE-3</x:v>
      </x:c>
      <x:c r="O2427" t="str">
        <x:v>SOSHUM</x:v>
      </x:c>
      <x:c r="P2427" t="str">
        <x:v>BISNIS/EKONOMI/AKUNTANSI</x:v>
      </x:c>
      <x:c r="Q2427" s="18" t="n">
        <x:v>620</x:v>
      </x:c>
      <x:c r="R2427" s="18" t="n">
        <x:v>0</x:v>
      </x:c>
      <x:c r="S2427" s="18" t="n">
        <x:v>585.0171067729149</x:v>
      </x:c>
      <x:c r="T2427" s="18" t="n">
        <x:v>666</x:v>
      </x:c>
      <x:c r="U2427" s="18" t="n">
        <x:v>620</x:v>
      </x:c>
      <x:c r="V2427" s="20" t="n">
        <x:v>4.4</x:v>
      </x:c>
      <x:c r="W2427" s="20" t="n">
        <x:v>14.3</x:v>
      </x:c>
      <x:c r="X2427" s="20" t="n">
        <x:v>3.3</x:v>
      </x:c>
      <x:c r="Y2427" t="str">
        <x:v>Basis arsip 2025/2024</x:v>
      </x:c>
      <x:c r="Z2427" t="str">
        <x:v>https://snpmb.id/utbk-snbt/daya-tampung-snbt</x:v>
      </x:c>
      <x:c r="AA2427" t="str">
        <x:v>Tidak Ada</x:v>
      </x:c>
      <x:c r="AB2427" t="str">
        <x:v>Campus=80; Ratio=34.8; Prodi=65; RelDemand=33.4; Capacity=0.0</x:v>
      </x:c>
    </x:row>
    <x:row r="2428">
      <x:c r="A2428" t="n">
        <x:v>2425</x:v>
      </x:c>
      <x:c r="B2428" t="str">
        <x:v>PTN Akademik</x:v>
      </x:c>
      <x:c r="C2428" t="str">
        <x:v>UNIVERSITAS NEGERI SURABAYA</x:v>
      </x:c>
      <x:c r="D2428" t="str">
        <x:v>ILMU HUKUM</x:v>
      </x:c>
      <x:c r="E2428" t="str">
        <x:v>Sarjana</x:v>
      </x:c>
      <x:c r="F2428" s="18" t="n">
        <x:v>160</x:v>
      </x:c>
      <x:c r="G2428" s="18" t="n">
        <x:v>1694</x:v>
      </x:c>
      <x:c r="H2428" s="19" t="n">
        <x:v>10.5875</x:v>
      </x:c>
      <x:c r="I2428" s="18" t="n">
        <x:f>ROUND(MIN(Model_Config_v3!$B$6,MAX(Q2428,R2428,S2428*Model_Config_v3!$B$4+T2428*Model_Config_v3!$B$5)),0)</x:f>
        <x:v>673</x:v>
      </x:c>
      <x:c r="J2428" s="18" t="n">
        <x:f>MIN(Model_Config_v3!$B$6,I2428+Model_Config_v3!$B$7)</x:f>
        <x:v>693</x:v>
      </x:c>
      <x:c r="K2428" s="20" t="n">
        <x:v>65.1</x:v>
      </x:c>
      <x:c r="L2428" t="str">
        <x:v>SANGAT KETAT</x:v>
      </x:c>
      <x:c r="M2428" t="str">
        <x:v>SEDANG+</x:v>
      </x:c>
      <x:c r="N2428" t="str">
        <x:v>ELITE-3</x:v>
      </x:c>
      <x:c r="O2428" t="str">
        <x:v>SOSHUM</x:v>
      </x:c>
      <x:c r="P2428" t="str">
        <x:v>HUKUM</x:v>
      </x:c>
      <x:c r="Q2428" s="18" t="n">
        <x:v>620</x:v>
      </x:c>
      <x:c r="R2428" s="18" t="n">
        <x:v>0</x:v>
      </x:c>
      <x:c r="S2428" s="18" t="n">
        <x:v>632.727276567264</x:v>
      </x:c>
      <x:c r="T2428" s="18" t="n">
        <x:v>690</x:v>
      </x:c>
      <x:c r="U2428" s="18" t="n">
        <x:v>647.727276567264</x:v>
      </x:c>
      <x:c r="V2428" s="20" t="n">
        <x:v>4.4</x:v>
      </x:c>
      <x:c r="W2428" s="20" t="n">
        <x:v>14.3</x:v>
      </x:c>
      <x:c r="X2428" s="20" t="n">
        <x:v>3.3</x:v>
      </x:c>
      <x:c r="Y2428" t="str">
        <x:v>Basis arsip 2025/2024</x:v>
      </x:c>
      <x:c r="Z2428" t="str">
        <x:v>https://snpmb.id/utbk-snbt/daya-tampung-snbt</x:v>
      </x:c>
      <x:c r="AA2428" t="str">
        <x:v>Tidak Ada</x:v>
      </x:c>
      <x:c r="AB2428" t="str">
        <x:v>Campus=80; Ratio=60.3; Prodi=65; RelDemand=90.6; Capacity=0.0</x:v>
      </x:c>
    </x:row>
    <x:row r="2429">
      <x:c r="A2429" t="n">
        <x:v>2426</x:v>
      </x:c>
      <x:c r="B2429" t="str">
        <x:v>PTN Akademik</x:v>
      </x:c>
      <x:c r="C2429" t="str">
        <x:v>UNIVERSITAS NEGERI SURABAYA</x:v>
      </x:c>
      <x:c r="D2429" t="str">
        <x:v>PENDIDIKAN BAHASA MANDARIN</x:v>
      </x:c>
      <x:c r="E2429" t="str">
        <x:v>Sarjana</x:v>
      </x:c>
      <x:c r="F2429" s="18" t="n">
        <x:v>81</x:v>
      </x:c>
      <x:c r="G2429" s="18" t="n">
        <x:v>165</x:v>
      </x:c>
      <x:c r="H2429" s="19" t="n">
        <x:v>2.037037037037037</x:v>
      </x:c>
      <x:c r="I2429" s="18" t="n">
        <x:f>ROUND(MIN(Model_Config_v3!$B$6,MAX(Q2429,R2429,S2429*Model_Config_v3!$B$4+T2429*Model_Config_v3!$B$5)),0)</x:f>
        <x:v>623</x:v>
      </x:c>
      <x:c r="J2429" s="18" t="n">
        <x:f>MIN(Model_Config_v3!$B$6,I2429+Model_Config_v3!$B$7)</x:f>
        <x:v>643</x:v>
      </x:c>
      <x:c r="K2429" s="20" t="n">
        <x:v>46.5</x:v>
      </x:c>
      <x:c r="L2429" t="str">
        <x:v>MENENGAH</x:v>
      </x:c>
      <x:c r="M2429" t="str">
        <x:v>SEDANG+</x:v>
      </x:c>
      <x:c r="N2429" t="str">
        <x:v>ELITE-3</x:v>
      </x:c>
      <x:c r="O2429" t="str">
        <x:v>SOSHUM</x:v>
      </x:c>
      <x:c r="P2429" t="str">
        <x:v>PENDIDIKAN</x:v>
      </x:c>
      <x:c r="Q2429" s="18" t="n">
        <x:v>620</x:v>
      </x:c>
      <x:c r="R2429" s="18" t="n">
        <x:v>0</x:v>
      </x:c>
      <x:c r="S2429" s="18" t="n">
        <x:v>553.9898817868782</x:v>
      </x:c>
      <x:c r="T2429" s="18" t="n">
        <x:v>653</x:v>
      </x:c>
      <x:c r="U2429" s="18" t="n">
        <x:v>620</x:v>
      </x:c>
      <x:c r="V2429" s="20" t="n">
        <x:v>4.4</x:v>
      </x:c>
      <x:c r="W2429" s="20" t="n">
        <x:v>14.3</x:v>
      </x:c>
      <x:c r="X2429" s="20" t="n">
        <x:v>3.3</x:v>
      </x:c>
      <x:c r="Y2429" t="str">
        <x:v>Basis arsip 2025/2024</x:v>
      </x:c>
      <x:c r="Z2429" t="str">
        <x:v>https://snpmb.id/utbk-snbt/daya-tampung-snbt</x:v>
      </x:c>
      <x:c r="AA2429" t="str">
        <x:v>Tidak Ada</x:v>
      </x:c>
      <x:c r="AB2429" t="str">
        <x:v>Campus=80; Ratio=18.2; Prodi=45; RelDemand=17.4; Capacity=32.5</x:v>
      </x:c>
    </x:row>
    <x:row r="2430">
      <x:c r="A2430" t="n">
        <x:v>2427</x:v>
      </x:c>
      <x:c r="B2430" t="str">
        <x:v>PTN Akademik</x:v>
      </x:c>
      <x:c r="C2430" t="str">
        <x:v>UNIVERSITAS NEGERI SURABAYA</x:v>
      </x:c>
      <x:c r="D2430" t="str">
        <x:v>PENDIDIKAN TATA BOGA</x:v>
      </x:c>
      <x:c r="E2430" t="str">
        <x:v>Sarjana</x:v>
      </x:c>
      <x:c r="F2430" s="18" t="n">
        <x:v>140</x:v>
      </x:c>
      <x:c r="G2430" s="18" t="n">
        <x:v>580</x:v>
      </x:c>
      <x:c r="H2430" s="19" t="n">
        <x:v>4.142857142857143</x:v>
      </x:c>
      <x:c r="I2430" s="18" t="n">
        <x:f>ROUND(MIN(Model_Config_v3!$B$6,MAX(Q2430,R2430,S2430*Model_Config_v3!$B$4+T2430*Model_Config_v3!$B$5)),0)</x:f>
        <x:v>638</x:v>
      </x:c>
      <x:c r="J2430" s="18" t="n">
        <x:f>MIN(Model_Config_v3!$B$6,I2430+Model_Config_v3!$B$7)</x:f>
        <x:v>658</x:v>
      </x:c>
      <x:c r="K2430" s="20" t="n">
        <x:v>49.6</x:v>
      </x:c>
      <x:c r="L2430" t="str">
        <x:v>MENENGAH</x:v>
      </x:c>
      <x:c r="M2430" t="str">
        <x:v>SEDANG+</x:v>
      </x:c>
      <x:c r="N2430" t="str">
        <x:v>ELITE-3</x:v>
      </x:c>
      <x:c r="O2430" t="str">
        <x:v>CAMPURAN</x:v>
      </x:c>
      <x:c r="P2430" t="str">
        <x:v>PENDIDIKAN</x:v>
      </x:c>
      <x:c r="Q2430" s="18" t="n">
        <x:v>620</x:v>
      </x:c>
      <x:c r="R2430" s="18" t="n">
        <x:v>0</x:v>
      </x:c>
      <x:c r="S2430" s="18" t="n">
        <x:v>587.9029953673169</x:v>
      </x:c>
      <x:c r="T2430" s="18" t="n">
        <x:v>659</x:v>
      </x:c>
      <x:c r="U2430" s="18" t="n">
        <x:v>620</x:v>
      </x:c>
      <x:c r="V2430" s="20" t="n">
        <x:v>8.8</x:v>
      </x:c>
      <x:c r="W2430" s="20" t="n">
        <x:v>9.9</x:v>
      </x:c>
      <x:c r="X2430" s="20" t="n">
        <x:v>3.3</x:v>
      </x:c>
      <x:c r="Y2430" t="str">
        <x:v>Basis arsip 2025/2024</x:v>
      </x:c>
      <x:c r="Z2430" t="str">
        <x:v>https://snpmb.id/utbk-snbt/daya-tampung-snbt</x:v>
      </x:c>
      <x:c r="AA2430" t="str">
        <x:v>Tidak Ada</x:v>
      </x:c>
      <x:c r="AB2430" t="str">
        <x:v>Campus=80; Ratio=36.3; Prodi=45; RelDemand=35.5; Capacity=0.0</x:v>
      </x:c>
    </x:row>
    <x:row r="2431">
      <x:c r="A2431" t="n">
        <x:v>2428</x:v>
      </x:c>
      <x:c r="B2431" t="str">
        <x:v>PTN Akademik</x:v>
      </x:c>
      <x:c r="C2431" t="str">
        <x:v>UNIVERSITAS NEGERI SURABAYA</x:v>
      </x:c>
      <x:c r="D2431" t="str">
        <x:v>PENDIDIKAN TATA BUSANA</x:v>
      </x:c>
      <x:c r="E2431" t="str">
        <x:v>Sarjana</x:v>
      </x:c>
      <x:c r="F2431" s="18" t="n">
        <x:v>130</x:v>
      </x:c>
      <x:c r="G2431" s="18" t="n">
        <x:v>429</x:v>
      </x:c>
      <x:c r="H2431" s="19" t="n">
        <x:v>3.3</x:v>
      </x:c>
      <x:c r="I2431" s="18" t="n">
        <x:f>ROUND(MIN(Model_Config_v3!$B$6,MAX(Q2431,R2431,S2431*Model_Config_v3!$B$4+T2431*Model_Config_v3!$B$5)),0)</x:f>
        <x:v>632</x:v>
      </x:c>
      <x:c r="J2431" s="18" t="n">
        <x:f>MIN(Model_Config_v3!$B$6,I2431+Model_Config_v3!$B$7)</x:f>
        <x:v>652</x:v>
      </x:c>
      <x:c r="K2431" s="20" t="n">
        <x:v>47.5</x:v>
      </x:c>
      <x:c r="L2431" t="str">
        <x:v>MENENGAH</x:v>
      </x:c>
      <x:c r="M2431" t="str">
        <x:v>SEDANG+</x:v>
      </x:c>
      <x:c r="N2431" t="str">
        <x:v>ELITE-3</x:v>
      </x:c>
      <x:c r="O2431" t="str">
        <x:v>CAMPURAN</x:v>
      </x:c>
      <x:c r="P2431" t="str">
        <x:v>PENDIDIKAN</x:v>
      </x:c>
      <x:c r="Q2431" s="18" t="n">
        <x:v>620</x:v>
      </x:c>
      <x:c r="R2431" s="18" t="n">
        <x:v>0</x:v>
      </x:c>
      <x:c r="S2431" s="18" t="n">
        <x:v>577.0365333865676</x:v>
      </x:c>
      <x:c r="T2431" s="18" t="n">
        <x:v>655</x:v>
      </x:c>
      <x:c r="U2431" s="18" t="n">
        <x:v>620</x:v>
      </x:c>
      <x:c r="V2431" s="20" t="n">
        <x:v>8.8</x:v>
      </x:c>
      <x:c r="W2431" s="20" t="n">
        <x:v>9.9</x:v>
      </x:c>
      <x:c r="X2431" s="20" t="n">
        <x:v>3.3</x:v>
      </x:c>
      <x:c r="Y2431" t="str">
        <x:v>Basis arsip 2025/2024</x:v>
      </x:c>
      <x:c r="Z2431" t="str">
        <x:v>https://snpmb.id/utbk-snbt/daya-tampung-snbt</x:v>
      </x:c>
      <x:c r="AA2431" t="str">
        <x:v>Tidak Ada</x:v>
      </x:c>
      <x:c r="AB2431" t="str">
        <x:v>Campus=80; Ratio=30.5; Prodi=45; RelDemand=28.2; Capacity=0.0</x:v>
      </x:c>
    </x:row>
    <x:row r="2432">
      <x:c r="A2432" t="n">
        <x:v>2429</x:v>
      </x:c>
      <x:c r="B2432" t="str">
        <x:v>PTN Akademik</x:v>
      </x:c>
      <x:c r="C2432" t="str">
        <x:v>UNIVERSITAS NEGERI SURABAYA</x:v>
      </x:c>
      <x:c r="D2432" t="str">
        <x:v>PENDIDIKAN AKUNTANSI</x:v>
      </x:c>
      <x:c r="E2432" t="str">
        <x:v>Sarjana</x:v>
      </x:c>
      <x:c r="F2432" s="18" t="n">
        <x:v>103</x:v>
      </x:c>
      <x:c r="G2432" s="18" t="n">
        <x:v>285</x:v>
      </x:c>
      <x:c r="H2432" s="19" t="n">
        <x:v>2.766990291262136</x:v>
      </x:c>
      <x:c r="I2432" s="18" t="n">
        <x:f>ROUND(MIN(Model_Config_v3!$B$6,MAX(Q2432,R2432,S2432*Model_Config_v3!$B$4+T2432*Model_Config_v3!$B$5)),0)</x:f>
        <x:v>635</x:v>
      </x:c>
      <x:c r="J2432" s="18" t="n">
        <x:f>MIN(Model_Config_v3!$B$6,I2432+Model_Config_v3!$B$7)</x:f>
        <x:v>655</x:v>
      </x:c>
      <x:c r="K2432" s="20" t="n">
        <x:v>51.3</x:v>
      </x:c>
      <x:c r="L2432" t="str">
        <x:v>MENENGAH</x:v>
      </x:c>
      <x:c r="M2432" t="str">
        <x:v>SEDANG+</x:v>
      </x:c>
      <x:c r="N2432" t="str">
        <x:v>ELITE-3</x:v>
      </x:c>
      <x:c r="O2432" t="str">
        <x:v>SOSHUM</x:v>
      </x:c>
      <x:c r="P2432" t="str">
        <x:v>BISNIS/EKONOMI/AKUNTANSI</x:v>
      </x:c>
      <x:c r="Q2432" s="18" t="n">
        <x:v>620</x:v>
      </x:c>
      <x:c r="R2432" s="18" t="n">
        <x:v>0</x:v>
      </x:c>
      <x:c r="S2432" s="18" t="n">
        <x:v>568.6208398833671</x:v>
      </x:c>
      <x:c r="T2432" s="18" t="n">
        <x:v>663</x:v>
      </x:c>
      <x:c r="U2432" s="18" t="n">
        <x:v>620</x:v>
      </x:c>
      <x:c r="V2432" s="20" t="n">
        <x:v>4.4</x:v>
      </x:c>
      <x:c r="W2432" s="20" t="n">
        <x:v>14.3</x:v>
      </x:c>
      <x:c r="X2432" s="20" t="n">
        <x:v>3.3</x:v>
      </x:c>
      <x:c r="Y2432" t="str">
        <x:v>Basis arsip 2025/2024</x:v>
      </x:c>
      <x:c r="Z2432" t="str">
        <x:v>https://snpmb.id/utbk-snbt/daya-tampung-snbt</x:v>
      </x:c>
      <x:c r="AA2432" t="str">
        <x:v>Tidak Ada</x:v>
      </x:c>
      <x:c r="AB2432" t="str">
        <x:v>Campus=80; Ratio=26.0; Prodi=65; RelDemand=23.7; Capacity=14.2</x:v>
      </x:c>
    </x:row>
    <x:row r="2433">
      <x:c r="A2433" t="n">
        <x:v>2430</x:v>
      </x:c>
      <x:c r="B2433" t="str">
        <x:v>PTN Akademik</x:v>
      </x:c>
      <x:c r="C2433" t="str">
        <x:v>UNIVERSITAS NEGERI SURABAYA</x:v>
      </x:c>
      <x:c r="D2433" t="str">
        <x:v>PENDIDIKAN BISNIS</x:v>
      </x:c>
      <x:c r="E2433" t="str">
        <x:v>Sarjana</x:v>
      </x:c>
      <x:c r="F2433" s="18" t="n">
        <x:v>51</x:v>
      </x:c>
      <x:c r="G2433" s="18" t="n">
        <x:v>246</x:v>
      </x:c>
      <x:c r="H2433" s="19" t="n">
        <x:v>4.823529411764706</x:v>
      </x:c>
      <x:c r="I2433" s="18" t="n">
        <x:f>ROUND(MIN(Model_Config_v3!$B$6,MAX(Q2433,R2433,S2433*Model_Config_v3!$B$4+T2433*Model_Config_v3!$B$5)),0)</x:f>
        <x:v>656</x:v>
      </x:c>
      <x:c r="J2433" s="18" t="n">
        <x:f>MIN(Model_Config_v3!$B$6,I2433+Model_Config_v3!$B$7)</x:f>
        <x:v>676</x:v>
      </x:c>
      <x:c r="K2433" s="20" t="n">
        <x:v>60.9</x:v>
      </x:c>
      <x:c r="L2433" t="str">
        <x:v>KETAT</x:v>
      </x:c>
      <x:c r="M2433" t="str">
        <x:v>SEDANG+</x:v>
      </x:c>
      <x:c r="N2433" t="str">
        <x:v>ELITE-3</x:v>
      </x:c>
      <x:c r="O2433" t="str">
        <x:v>SOSHUM</x:v>
      </x:c>
      <x:c r="P2433" t="str">
        <x:v>BISNIS/EKONOMI/AKUNTANSI</x:v>
      </x:c>
      <x:c r="Q2433" s="18" t="n">
        <x:v>620</x:v>
      </x:c>
      <x:c r="R2433" s="18" t="n">
        <x:v>0</x:v>
      </x:c>
      <x:c r="S2433" s="18" t="n">
        <x:v>595.1701424105987</x:v>
      </x:c>
      <x:c r="T2433" s="18" t="n">
        <x:v>682</x:v>
      </x:c>
      <x:c r="U2433" s="18" t="n">
        <x:v>620</x:v>
      </x:c>
      <x:c r="V2433" s="20" t="n">
        <x:v>4.4</x:v>
      </x:c>
      <x:c r="W2433" s="20" t="n">
        <x:v>14.3</x:v>
      </x:c>
      <x:c r="X2433" s="20" t="n">
        <x:v>3.3</x:v>
      </x:c>
      <x:c r="Y2433" t="str">
        <x:v>Basis arsip 2025/2024</x:v>
      </x:c>
      <x:c r="Z2433" t="str">
        <x:v>https://snpmb.id/utbk-snbt/daya-tampung-snbt</x:v>
      </x:c>
      <x:c r="AA2433" t="str">
        <x:v>Tidak Ada</x:v>
      </x:c>
      <x:c r="AB2433" t="str">
        <x:v>Campus=80; Ratio=40.2; Prodi=65; RelDemand=41.3; Capacity=57.5</x:v>
      </x:c>
    </x:row>
    <x:row r="2434">
      <x:c r="A2434" t="n">
        <x:v>2431</x:v>
      </x:c>
      <x:c r="B2434" t="str">
        <x:v>PTN Akademik</x:v>
      </x:c>
      <x:c r="C2434" t="str">
        <x:v>UNIVERSITAS NEGERI SURABAYA</x:v>
      </x:c>
      <x:c r="D2434" t="str">
        <x:v>PENDIDIKAN ADMINISTRASI PERKANTORAN</x:v>
      </x:c>
      <x:c r="E2434" t="str">
        <x:v>Sarjana</x:v>
      </x:c>
      <x:c r="F2434" s="18" t="n">
        <x:v>105</x:v>
      </x:c>
      <x:c r="G2434" s="18" t="n">
        <x:v>1045</x:v>
      </x:c>
      <x:c r="H2434" s="19" t="n">
        <x:v>9.952380952380953</x:v>
      </x:c>
      <x:c r="I2434" s="18" t="n">
        <x:f>ROUND(MIN(Model_Config_v3!$B$6,MAX(Q2434,R2434,S2434*Model_Config_v3!$B$4+T2434*Model_Config_v3!$B$5)),0)</x:f>
        <x:v>667</x:v>
      </x:c>
      <x:c r="J2434" s="18" t="n">
        <x:f>MIN(Model_Config_v3!$B$6,I2434+Model_Config_v3!$B$7)</x:f>
        <x:v>687</x:v>
      </x:c>
      <x:c r="K2434" s="20" t="n">
        <x:v>61.5</x:v>
      </x:c>
      <x:c r="L2434" t="str">
        <x:v>KETAT</x:v>
      </x:c>
      <x:c r="M2434" t="str">
        <x:v>SEDANG+</x:v>
      </x:c>
      <x:c r="N2434" t="str">
        <x:v>ELITE-3</x:v>
      </x:c>
      <x:c r="O2434" t="str">
        <x:v>SOSHUM</x:v>
      </x:c>
      <x:c r="P2434" t="str">
        <x:v>PENDIDIKAN</x:v>
      </x:c>
      <x:c r="Q2434" s="18" t="n">
        <x:v>620</x:v>
      </x:c>
      <x:c r="R2434" s="18" t="n">
        <x:v>0</x:v>
      </x:c>
      <x:c r="S2434" s="18" t="n">
        <x:v>629.7719690514848</x:v>
      </x:c>
      <x:c r="T2434" s="18" t="n">
        <x:v>683</x:v>
      </x:c>
      <x:c r="U2434" s="18" t="n">
        <x:v>629.7719690514848</x:v>
      </x:c>
      <x:c r="V2434" s="20" t="n">
        <x:v>4.4</x:v>
      </x:c>
      <x:c r="W2434" s="20" t="n">
        <x:v>14.3</x:v>
      </x:c>
      <x:c r="X2434" s="20" t="n">
        <x:v>3.3</x:v>
      </x:c>
      <x:c r="Y2434" t="str">
        <x:v>Basis arsip 2025/2024</x:v>
      </x:c>
      <x:c r="Z2434" t="str">
        <x:v>https://snpmb.id/utbk-snbt/daya-tampung-snbt</x:v>
      </x:c>
      <x:c r="AA2434" t="str">
        <x:v>Tidak Ada</x:v>
      </x:c>
      <x:c r="AB2434" t="str">
        <x:v>Campus=80; Ratio=58.7; Prodi=45; RelDemand=85.2; Capacity=12.5</x:v>
      </x:c>
    </x:row>
    <x:row r="2435">
      <x:c r="A2435" t="n">
        <x:v>2432</x:v>
      </x:c>
      <x:c r="B2435" t="str">
        <x:v>PTN Akademik</x:v>
      </x:c>
      <x:c r="C2435" t="str">
        <x:v>UNIVERSITAS NEGERI SURABAYA</x:v>
      </x:c>
      <x:c r="D2435" t="str">
        <x:v>ILMU KOMUNIKASI</x:v>
      </x:c>
      <x:c r="E2435" t="str">
        <x:v>Sarjana</x:v>
      </x:c>
      <x:c r="F2435" s="18" t="n">
        <x:v>105</x:v>
      </x:c>
      <x:c r="G2435" s="18" t="n">
        <x:v>1948</x:v>
      </x:c>
      <x:c r="H2435" s="19" t="n">
        <x:v>18.552380952380954</x:v>
      </x:c>
      <x:c r="I2435" s="18" t="n">
        <x:f>ROUND(MIN(Model_Config_v3!$B$6,MAX(Q2435,R2435,S2435*Model_Config_v3!$B$4+T2435*Model_Config_v3!$B$5)),0)</x:f>
        <x:v>682</x:v>
      </x:c>
      <x:c r="J2435" s="18" t="n">
        <x:f>MIN(Model_Config_v3!$B$6,I2435+Model_Config_v3!$B$7)</x:f>
        <x:v>702</x:v>
      </x:c>
      <x:c r="K2435" s="20" t="n">
        <x:v>65.9</x:v>
      </x:c>
      <x:c r="L2435" t="str">
        <x:v>SANGAT KETAT</x:v>
      </x:c>
      <x:c r="M2435" t="str">
        <x:v>SEDANG+</x:v>
      </x:c>
      <x:c r="N2435" t="str">
        <x:v>ELITE-3</x:v>
      </x:c>
      <x:c r="O2435" t="str">
        <x:v>SOSHUM</x:v>
      </x:c>
      <x:c r="P2435" t="str">
        <x:v>UMUM</x:v>
      </x:c>
      <x:c r="Q2435" s="18" t="n">
        <x:v>620</x:v>
      </x:c>
      <x:c r="R2435" s="18" t="n">
        <x:v>0</x:v>
      </x:c>
      <x:c r="S2435" s="18" t="n">
        <x:v>659.5239618819924</x:v>
      </x:c>
      <x:c r="T2435" s="18" t="n">
        <x:v>692</x:v>
      </x:c>
      <x:c r="U2435" s="18" t="n">
        <x:v>659.5239618819924</x:v>
      </x:c>
      <x:c r="V2435" s="20" t="n">
        <x:v>4.4</x:v>
      </x:c>
      <x:c r="W2435" s="20" t="n">
        <x:v>14.3</x:v>
      </x:c>
      <x:c r="X2435" s="20" t="n">
        <x:v>3.3</x:v>
      </x:c>
      <x:c r="Y2435" t="str">
        <x:v>Basis arsip 2025/2024</x:v>
      </x:c>
      <x:c r="Z2435" t="str">
        <x:v>https://snpmb.id/utbk-snbt/daya-tampung-snbt</x:v>
      </x:c>
      <x:c r="AA2435" t="str">
        <x:v>Tidak Ada</x:v>
      </x:c>
      <x:c r="AB2435" t="str">
        <x:v>Campus=80; Ratio=74.7; Prodi=40; RelDemand=100.0; Capacity=12.5</x:v>
      </x:c>
    </x:row>
    <x:row r="2436">
      <x:c r="A2436" t="n">
        <x:v>2433</x:v>
      </x:c>
      <x:c r="B2436" t="str">
        <x:v>PTN Akademik</x:v>
      </x:c>
      <x:c r="C2436" t="str">
        <x:v>UNIVERSITAS NEGERI SURABAYA</x:v>
      </x:c>
      <x:c r="D2436" t="str">
        <x:v>MUSIK</x:v>
      </x:c>
      <x:c r="E2436" t="str">
        <x:v>Sarjana</x:v>
      </x:c>
      <x:c r="F2436" s="18" t="n">
        <x:v>52</x:v>
      </x:c>
      <x:c r="G2436" s="18" t="n">
        <x:v>54</x:v>
      </x:c>
      <x:c r="H2436" s="19" t="n">
        <x:v>1.0384615384615385</x:v>
      </x:c>
      <x:c r="I2436" s="18" t="n">
        <x:f>ROUND(MIN(Model_Config_v3!$B$6,MAX(Q2436,R2436,S2436*Model_Config_v3!$B$4+T2436*Model_Config_v3!$B$5)),0)</x:f>
        <x:v>620</x:v>
      </x:c>
      <x:c r="J2436" s="18" t="n">
        <x:f>MIN(Model_Config_v3!$B$6,I2436+Model_Config_v3!$B$7)</x:f>
        <x:v>640</x:v>
      </x:c>
      <x:c r="K2436" s="20" t="n">
        <x:v>43.8</x:v>
      </x:c>
      <x:c r="L2436" t="str">
        <x:v>RELATIF LONGGAR</x:v>
      </x:c>
      <x:c r="M2436" t="str">
        <x:v>PORTOFOLIO</x:v>
      </x:c>
      <x:c r="N2436" t="str">
        <x:v>ELITE-3</x:v>
      </x:c>
      <x:c r="O2436" t="str">
        <x:v>SENI/OLAHRAGA</x:v>
      </x:c>
      <x:c r="P2436" t="str">
        <x:v>SENI/OLAHRAGA</x:v>
      </x:c>
      <x:c r="Q2436" s="18" t="n">
        <x:v>620</x:v>
      </x:c>
      <x:c r="R2436" s="18" t="n">
        <x:v>0</x:v>
      </x:c>
      <x:c r="S2436" s="18" t="n">
        <x:v>521.8029457806987</x:v>
      </x:c>
      <x:c r="T2436" s="18" t="n">
        <x:v>648</x:v>
      </x:c>
      <x:c r="U2436" s="18" t="n">
        <x:v>620</x:v>
      </x:c>
      <x:c r="V2436" s="20" t="n">
        <x:v>4.4</x:v>
      </x:c>
      <x:c r="W2436" s="20" t="n">
        <x:v>9.9</x:v>
      </x:c>
      <x:c r="X2436" s="20" t="n">
        <x:v>7.7</x:v>
      </x:c>
      <x:c r="Y2436" t="str">
        <x:v>Basis arsip 2025/2024</x:v>
      </x:c>
      <x:c r="Z2436" t="str">
        <x:v>https://snpmb.id/utbk-snbt/daya-tampung-snbt</x:v>
      </x:c>
      <x:c r="AA2436" t="str">
        <x:v>Musik</x:v>
      </x:c>
      <x:c r="AB2436" t="str">
        <x:v>Campus=80; Ratio=1.0; Prodi=45; RelDemand=8.9; Capacity=56.7</x:v>
      </x:c>
    </x:row>
    <x:row r="2437">
      <x:c r="A2437" t="n">
        <x:v>2434</x:v>
      </x:c>
      <x:c r="B2437" t="str">
        <x:v>PTN Akademik</x:v>
      </x:c>
      <x:c r="C2437" t="str">
        <x:v>UNIVERSITAS NEGERI SURABAYA</x:v>
      </x:c>
      <x:c r="D2437" t="str">
        <x:v>DESAIN KOMUNIKASI VISUAL</x:v>
      </x:c>
      <x:c r="E2437" t="str">
        <x:v>Sarjana</x:v>
      </x:c>
      <x:c r="F2437" s="18" t="n">
        <x:v>100</x:v>
      </x:c>
      <x:c r="G2437" s="18" t="n">
        <x:v>599</x:v>
      </x:c>
      <x:c r="H2437" s="19" t="n">
        <x:v>5.99</x:v>
      </x:c>
      <x:c r="I2437" s="18" t="n">
        <x:f>ROUND(MIN(Model_Config_v3!$B$6,MAX(Q2437,R2437,S2437*Model_Config_v3!$B$4+T2437*Model_Config_v3!$B$5)),0)</x:f>
        <x:v>651</x:v>
      </x:c>
      <x:c r="J2437" s="18" t="n">
        <x:f>MIN(Model_Config_v3!$B$6,I2437+Model_Config_v3!$B$7)</x:f>
        <x:v>671</x:v>
      </x:c>
      <x:c r="K2437" s="20" t="n">
        <x:v>55.2</x:v>
      </x:c>
      <x:c r="L2437" t="str">
        <x:v>KETAT</x:v>
      </x:c>
      <x:c r="M2437" t="str">
        <x:v>PORTOFOLIO</x:v>
      </x:c>
      <x:c r="N2437" t="str">
        <x:v>ELITE-3</x:v>
      </x:c>
      <x:c r="O2437" t="str">
        <x:v>SENI/OLAHRAGA</x:v>
      </x:c>
      <x:c r="P2437" t="str">
        <x:v>SENI/OLAHRAGA</x:v>
      </x:c>
      <x:c r="Q2437" s="18" t="n">
        <x:v>620</x:v>
      </x:c>
      <x:c r="R2437" s="18" t="n">
        <x:v>0</x:v>
      </x:c>
      <x:c r="S2437" s="18" t="n">
        <x:v>605.5169504628243</x:v>
      </x:c>
      <x:c r="T2437" s="18" t="n">
        <x:v>670</x:v>
      </x:c>
      <x:c r="U2437" s="18" t="n">
        <x:v>620</x:v>
      </x:c>
      <x:c r="V2437" s="20" t="n">
        <x:v>4.4</x:v>
      </x:c>
      <x:c r="W2437" s="20" t="n">
        <x:v>9.9</x:v>
      </x:c>
      <x:c r="X2437" s="20" t="n">
        <x:v>7.7</x:v>
      </x:c>
      <x:c r="Y2437" t="str">
        <x:v>Basis arsip 2025/2024</x:v>
      </x:c>
      <x:c r="Z2437" t="str">
        <x:v>https://snpmb.id/utbk-snbt/daya-tampung-snbt</x:v>
      </x:c>
      <x:c r="AA2437" t="str">
        <x:v>Seni Rupa, Desain, dan Kriya</x:v>
      </x:c>
      <x:c r="AB2437" t="str">
        <x:v>Campus=80; Ratio=45.8; Prodi=45; RelDemand=51.3; Capacity=16.7</x:v>
      </x:c>
    </x:row>
    <x:row r="2438">
      <x:c r="A2438" t="n">
        <x:v>2435</x:v>
      </x:c>
      <x:c r="B2438" t="str">
        <x:v>PTN Akademik</x:v>
      </x:c>
      <x:c r="C2438" t="str">
        <x:v>UNIVERSITAS NEGERI SURABAYA</x:v>
      </x:c>
      <x:c r="D2438" t="str">
        <x:v>SENI RUPA MURNI</x:v>
      </x:c>
      <x:c r="E2438" t="str">
        <x:v>Sarjana</x:v>
      </x:c>
      <x:c r="F2438" s="18" t="n">
        <x:v>38</x:v>
      </x:c>
      <x:c r="G2438" s="18" t="n">
        <x:v>63</x:v>
      </x:c>
      <x:c r="H2438" s="19" t="n">
        <x:v>1.6578947368421053</x:v>
      </x:c>
      <x:c r="I2438" s="18" t="n">
        <x:f>ROUND(MIN(Model_Config_v3!$B$6,MAX(Q2438,R2438,S2438*Model_Config_v3!$B$4+T2438*Model_Config_v3!$B$5)),0)</x:f>
        <x:v>623</x:v>
      </x:c>
      <x:c r="J2438" s="18" t="n">
        <x:f>MIN(Model_Config_v3!$B$6,I2438+Model_Config_v3!$B$7)</x:f>
        <x:v>643</x:v>
      </x:c>
      <x:c r="K2438" s="20" t="n">
        <x:v>48.5</x:v>
      </x:c>
      <x:c r="L2438" t="str">
        <x:v>MENENGAH</x:v>
      </x:c>
      <x:c r="M2438" t="str">
        <x:v>PORTOFOLIO</x:v>
      </x:c>
      <x:c r="N2438" t="str">
        <x:v>ELITE-3</x:v>
      </x:c>
      <x:c r="O2438" t="str">
        <x:v>SENI/OLAHRAGA</x:v>
      </x:c>
      <x:c r="P2438" t="str">
        <x:v>SENI/OLAHRAGA</x:v>
      </x:c>
      <x:c r="Q2438" s="18" t="n">
        <x:v>620</x:v>
      </x:c>
      <x:c r="R2438" s="18" t="n">
        <x:v>0</x:v>
      </x:c>
      <x:c r="S2438" s="18" t="n">
        <x:v>544.1512648120448</x:v>
      </x:c>
      <x:c r="T2438" s="18" t="n">
        <x:v>657</x:v>
      </x:c>
      <x:c r="U2438" s="18" t="n">
        <x:v>620</x:v>
      </x:c>
      <x:c r="V2438" s="20" t="n">
        <x:v>4.4</x:v>
      </x:c>
      <x:c r="W2438" s="20" t="n">
        <x:v>9.9</x:v>
      </x:c>
      <x:c r="X2438" s="20" t="n">
        <x:v>7.7</x:v>
      </x:c>
      <x:c r="Y2438" t="str">
        <x:v>Basis arsip 2025/2024</x:v>
      </x:c>
      <x:c r="Z2438" t="str">
        <x:v>https://snpmb.id/utbk-snbt/daya-tampung-snbt</x:v>
      </x:c>
      <x:c r="AA2438" t="str">
        <x:v>Seni Rupa, Desain, dan Kriya</x:v>
      </x:c>
      <x:c r="AB2438" t="str">
        <x:v>Campus=80; Ratio=12.9; Prodi=45; RelDemand=14.2; Capacity=68.3</x:v>
      </x:c>
    </x:row>
    <x:row r="2439">
      <x:c r="A2439" t="n">
        <x:v>2436</x:v>
      </x:c>
      <x:c r="B2439" t="str">
        <x:v>PTN Akademik</x:v>
      </x:c>
      <x:c r="C2439" t="str">
        <x:v>UNIVERSITAS NEGERI SURABAYA</x:v>
      </x:c>
      <x:c r="D2439" t="str">
        <x:v>EKONOMI ISLAM</x:v>
      </x:c>
      <x:c r="E2439" t="str">
        <x:v>Sarjana</x:v>
      </x:c>
      <x:c r="F2439" s="18" t="n">
        <x:v>105</x:v>
      </x:c>
      <x:c r="G2439" s="18" t="n">
        <x:v>436</x:v>
      </x:c>
      <x:c r="H2439" s="19" t="n">
        <x:v>4.152380952380953</x:v>
      </x:c>
      <x:c r="I2439" s="18" t="n">
        <x:f>ROUND(MIN(Model_Config_v3!$B$6,MAX(Q2439,R2439,S2439*Model_Config_v3!$B$4+T2439*Model_Config_v3!$B$5)),0)</x:f>
        <x:v>638</x:v>
      </x:c>
      <x:c r="J2439" s="18" t="n">
        <x:f>MIN(Model_Config_v3!$B$6,I2439+Model_Config_v3!$B$7)</x:f>
        <x:v>658</x:v>
      </x:c>
      <x:c r="K2439" s="20" t="n">
        <x:v>49.9</x:v>
      </x:c>
      <x:c r="L2439" t="str">
        <x:v>MENENGAH</x:v>
      </x:c>
      <x:c r="M2439" t="str">
        <x:v>SEDANG+</x:v>
      </x:c>
      <x:c r="N2439" t="str">
        <x:v>ELITE-3</x:v>
      </x:c>
      <x:c r="O2439" t="str">
        <x:v>SOSHUM</x:v>
      </x:c>
      <x:c r="P2439" t="str">
        <x:v>UMUM</x:v>
      </x:c>
      <x:c r="Q2439" s="18" t="n">
        <x:v>620</x:v>
      </x:c>
      <x:c r="R2439" s="18" t="n">
        <x:v>0</x:v>
      </x:c>
      <x:c r="S2439" s="18" t="n">
        <x:v>588.0126909218512</x:v>
      </x:c>
      <x:c r="T2439" s="18" t="n">
        <x:v>660</x:v>
      </x:c>
      <x:c r="U2439" s="18" t="n">
        <x:v>620</x:v>
      </x:c>
      <x:c r="V2439" s="20" t="n">
        <x:v>4.4</x:v>
      </x:c>
      <x:c r="W2439" s="20" t="n">
        <x:v>14.3</x:v>
      </x:c>
      <x:c r="X2439" s="20" t="n">
        <x:v>3.3</x:v>
      </x:c>
      <x:c r="Y2439" t="str">
        <x:v>Basis arsip 2025/2024</x:v>
      </x:c>
      <x:c r="Z2439" t="str">
        <x:v>https://snpmb.id/utbk-snbt/daya-tampung-snbt</x:v>
      </x:c>
      <x:c r="AA2439" t="str">
        <x:v>Tidak Ada</x:v>
      </x:c>
      <x:c r="AB2439" t="str">
        <x:v>Campus=80; Ratio=36.4; Prodi=40; RelDemand=35.5; Capacity=12.5</x:v>
      </x:c>
    </x:row>
    <x:row r="2440">
      <x:c r="A2440" t="n">
        <x:v>2437</x:v>
      </x:c>
      <x:c r="B2440" t="str">
        <x:v>PTN Akademik</x:v>
      </x:c>
      <x:c r="C2440" t="str">
        <x:v>UNIVERSITAS NEGERI SURABAYA</x:v>
      </x:c>
      <x:c r="D2440" t="str">
        <x:v>PENDIDIKAN IPS</x:v>
      </x:c>
      <x:c r="E2440" t="str">
        <x:v>Sarjana</x:v>
      </x:c>
      <x:c r="F2440" s="18" t="n">
        <x:v>103</x:v>
      </x:c>
      <x:c r="G2440" s="18" t="n">
        <x:v>312</x:v>
      </x:c>
      <x:c r="H2440" s="19" t="n">
        <x:v>3.029126213592233</x:v>
      </x:c>
      <x:c r="I2440" s="18" t="n">
        <x:f>ROUND(MIN(Model_Config_v3!$B$6,MAX(Q2440,R2440,S2440*Model_Config_v3!$B$4+T2440*Model_Config_v3!$B$5)),0)</x:f>
        <x:v>631</x:v>
      </x:c>
      <x:c r="J2440" s="18" t="n">
        <x:f>MIN(Model_Config_v3!$B$6,I2440+Model_Config_v3!$B$7)</x:f>
        <x:v>651</x:v>
      </x:c>
      <x:c r="K2440" s="20" t="n">
        <x:v>48.1</x:v>
      </x:c>
      <x:c r="L2440" t="str">
        <x:v>MENENGAH</x:v>
      </x:c>
      <x:c r="M2440" t="str">
        <x:v>SEDANG+</x:v>
      </x:c>
      <x:c r="N2440" t="str">
        <x:v>ELITE-3</x:v>
      </x:c>
      <x:c r="O2440" t="str">
        <x:v>CAMPURAN</x:v>
      </x:c>
      <x:c r="P2440" t="str">
        <x:v>PENDIDIKAN</x:v>
      </x:c>
      <x:c r="Q2440" s="18" t="n">
        <x:v>620</x:v>
      </x:c>
      <x:c r="R2440" s="18" t="n">
        <x:v>0</x:v>
      </x:c>
      <x:c r="S2440" s="18" t="n">
        <x:v>572.9449106244598</x:v>
      </x:c>
      <x:c r="T2440" s="18" t="n">
        <x:v>656</x:v>
      </x:c>
      <x:c r="U2440" s="18" t="n">
        <x:v>620</x:v>
      </x:c>
      <x:c r="V2440" s="20" t="n">
        <x:v>8.8</x:v>
      </x:c>
      <x:c r="W2440" s="20" t="n">
        <x:v>9.9</x:v>
      </x:c>
      <x:c r="X2440" s="20" t="n">
        <x:v>3.3</x:v>
      </x:c>
      <x:c r="Y2440" t="str">
        <x:v>Basis arsip 2025/2024</x:v>
      </x:c>
      <x:c r="Z2440" t="str">
        <x:v>https://snpmb.id/utbk-snbt/daya-tampung-snbt</x:v>
      </x:c>
      <x:c r="AA2440" t="str">
        <x:v>Tidak Ada</x:v>
      </x:c>
      <x:c r="AB2440" t="str">
        <x:v>Campus=80; Ratio=28.3; Prodi=45; RelDemand=25.9; Capacity=14.2</x:v>
      </x:c>
    </x:row>
    <x:row r="2441">
      <x:c r="A2441" t="n">
        <x:v>2438</x:v>
      </x:c>
      <x:c r="B2441" t="str">
        <x:v>PTN Akademik</x:v>
      </x:c>
      <x:c r="C2441" t="str">
        <x:v>UNIVERSITAS NEGERI SURABAYA</x:v>
      </x:c>
      <x:c r="D2441" t="str">
        <x:v>EKONOMI</x:v>
      </x:c>
      <x:c r="E2441" t="str">
        <x:v>Sarjana</x:v>
      </x:c>
      <x:c r="F2441" s="18" t="n">
        <x:v>120</x:v>
      </x:c>
      <x:c r="G2441" s="18" t="n">
        <x:v>809</x:v>
      </x:c>
      <x:c r="H2441" s="19" t="n">
        <x:v>6.741666666666666</x:v>
      </x:c>
      <x:c r="I2441" s="18" t="n">
        <x:f>ROUND(MIN(Model_Config_v3!$B$6,MAX(Q2441,R2441,S2441*Model_Config_v3!$B$4+T2441*Model_Config_v3!$B$5)),0)</x:f>
        <x:v>651</x:v>
      </x:c>
      <x:c r="J2441" s="18" t="n">
        <x:f>MIN(Model_Config_v3!$B$6,I2441+Model_Config_v3!$B$7)</x:f>
        <x:v>671</x:v>
      </x:c>
      <x:c r="K2441" s="20" t="n">
        <x:v>54</x:v>
      </x:c>
      <x:c r="L2441" t="str">
        <x:v>MENENGAH</x:v>
      </x:c>
      <x:c r="M2441" t="str">
        <x:v>SEDANG+</x:v>
      </x:c>
      <x:c r="N2441" t="str">
        <x:v>ELITE-3</x:v>
      </x:c>
      <x:c r="O2441" t="str">
        <x:v>SOSHUM</x:v>
      </x:c>
      <x:c r="P2441" t="str">
        <x:v>UMUM</x:v>
      </x:c>
      <x:c r="Q2441" s="18" t="n">
        <x:v>620</x:v>
      </x:c>
      <x:c r="R2441" s="18" t="n">
        <x:v>0</x:v>
      </x:c>
      <x:c r="S2441" s="18" t="n">
        <x:v>611.1644003121112</x:v>
      </x:c>
      <x:c r="T2441" s="18" t="n">
        <x:v>668</x:v>
      </x:c>
      <x:c r="U2441" s="18" t="n">
        <x:v>620</x:v>
      </x:c>
      <x:c r="V2441" s="20" t="n">
        <x:v>4.4</x:v>
      </x:c>
      <x:c r="W2441" s="20" t="n">
        <x:v>14.3</x:v>
      </x:c>
      <x:c r="X2441" s="20" t="n">
        <x:v>3.3</x:v>
      </x:c>
      <x:c r="Y2441" t="str">
        <x:v>Basis arsip 2025/2024</x:v>
      </x:c>
      <x:c r="Z2441" t="str">
        <x:v>https://snpmb.id/utbk-snbt/daya-tampung-snbt</x:v>
      </x:c>
      <x:c r="AA2441" t="str">
        <x:v>Tidak Ada</x:v>
      </x:c>
      <x:c r="AB2441" t="str">
        <x:v>Campus=80; Ratio=48.8; Prodi=40; RelDemand=57.7; Capacity=0.0</x:v>
      </x:c>
    </x:row>
    <x:row r="2442">
      <x:c r="A2442" t="n">
        <x:v>2439</x:v>
      </x:c>
      <x:c r="B2442" t="str">
        <x:v>PTN Akademik</x:v>
      </x:c>
      <x:c r="C2442" t="str">
        <x:v>UNIVERSITAS NEGERI SURABAYA</x:v>
      </x:c>
      <x:c r="D2442" t="str">
        <x:v>BISNIS DIGITAL</x:v>
      </x:c>
      <x:c r="E2442" t="str">
        <x:v>Sarjana</x:v>
      </x:c>
      <x:c r="F2442" s="18" t="n">
        <x:v>118</x:v>
      </x:c>
      <x:c r="G2442" s="18" t="n">
        <x:v>1518</x:v>
      </x:c>
      <x:c r="H2442" s="19" t="n">
        <x:v>12.864406779661017</x:v>
      </x:c>
      <x:c r="I2442" s="18" t="n">
        <x:f>ROUND(MIN(Model_Config_v3!$B$6,MAX(Q2442,R2442,S2442*Model_Config_v3!$B$4+T2442*Model_Config_v3!$B$5)),0)</x:f>
        <x:v>679</x:v>
      </x:c>
      <x:c r="J2442" s="18" t="n">
        <x:f>MIN(Model_Config_v3!$B$6,I2442+Model_Config_v3!$B$7)</x:f>
        <x:v>699</x:v>
      </x:c>
      <x:c r="K2442" s="20" t="n">
        <x:v>67.5</x:v>
      </x:c>
      <x:c r="L2442" t="str">
        <x:v>SANGAT KETAT</x:v>
      </x:c>
      <x:c r="M2442" t="str">
        <x:v>SEDANG+</x:v>
      </x:c>
      <x:c r="N2442" t="str">
        <x:v>ELITE-3</x:v>
      </x:c>
      <x:c r="O2442" t="str">
        <x:v>SOSHUM</x:v>
      </x:c>
      <x:c r="P2442" t="str">
        <x:v>BISNIS/EKONOMI/AKUNTANSI</x:v>
      </x:c>
      <x:c r="Q2442" s="18" t="n">
        <x:v>620</x:v>
      </x:c>
      <x:c r="R2442" s="18" t="n">
        <x:v>0</x:v>
      </x:c>
      <x:c r="S2442" s="18" t="n">
        <x:v>642.0328740678669</x:v>
      </x:c>
      <x:c r="T2442" s="18" t="n">
        <x:v>695</x:v>
      </x:c>
      <x:c r="U2442" s="18" t="n">
        <x:v>657.0328740678669</x:v>
      </x:c>
      <x:c r="V2442" s="20" t="n">
        <x:v>4.4</x:v>
      </x:c>
      <x:c r="W2442" s="20" t="n">
        <x:v>14.3</x:v>
      </x:c>
      <x:c r="X2442" s="20" t="n">
        <x:v>3.3</x:v>
      </x:c>
      <x:c r="Y2442" t="str">
        <x:v>Basis arsip 2025/2024</x:v>
      </x:c>
      <x:c r="Z2442" t="str">
        <x:v>https://snpmb.id/utbk-snbt/daya-tampung-snbt</x:v>
      </x:c>
      <x:c r="AA2442" t="str">
        <x:v>Tidak Ada</x:v>
      </x:c>
      <x:c r="AB2442" t="str">
        <x:v>Campus=80; Ratio=65.3; Prodi=65; RelDemand=100.0; Capacity=1.7</x:v>
      </x:c>
    </x:row>
    <x:row r="2443">
      <x:c r="A2443" t="n">
        <x:v>2440</x:v>
      </x:c>
      <x:c r="B2443" t="str">
        <x:v>PTN Akademik</x:v>
      </x:c>
      <x:c r="C2443" t="str">
        <x:v>UNIVERSITAS NEGERI SURABAYA</x:v>
      </x:c>
      <x:c r="D2443" t="str">
        <x:v>SAINS DATA</x:v>
      </x:c>
      <x:c r="E2443" t="str">
        <x:v>Sarjana</x:v>
      </x:c>
      <x:c r="F2443" s="18" t="n">
        <x:v>118</x:v>
      </x:c>
      <x:c r="G2443" s="18" t="n">
        <x:v>566</x:v>
      </x:c>
      <x:c r="H2443" s="19" t="n">
        <x:v>4.796610169491525</x:v>
      </x:c>
      <x:c r="I2443" s="18" t="n">
        <x:f>ROUND(MIN(Model_Config_v3!$B$6,MAX(Q2443,R2443,S2443*Model_Config_v3!$B$4+T2443*Model_Config_v3!$B$5)),0)</x:f>
        <x:v>641</x:v>
      </x:c>
      <x:c r="J2443" s="18" t="n">
        <x:f>MIN(Model_Config_v3!$B$6,I2443+Model_Config_v3!$B$7)</x:f>
        <x:v>661</x:v>
      </x:c>
      <x:c r="K2443" s="20" t="n">
        <x:v>50.3</x:v>
      </x:c>
      <x:c r="L2443" t="str">
        <x:v>MENENGAH</x:v>
      </x:c>
      <x:c r="M2443" t="str">
        <x:v>SEDANG+</x:v>
      </x:c>
      <x:c r="N2443" t="str">
        <x:v>ELITE-3</x:v>
      </x:c>
      <x:c r="O2443" t="str">
        <x:v>CAMPURAN</x:v>
      </x:c>
      <x:c r="P2443" t="str">
        <x:v>UMUM</x:v>
      </x:c>
      <x:c r="Q2443" s="18" t="n">
        <x:v>620</x:v>
      </x:c>
      <x:c r="R2443" s="18" t="n">
        <x:v>0</x:v>
      </x:c>
      <x:c r="S2443" s="18" t="n">
        <x:v>594.902786627036</x:v>
      </x:c>
      <x:c r="T2443" s="18" t="n">
        <x:v>661</x:v>
      </x:c>
      <x:c r="U2443" s="18" t="n">
        <x:v>620</x:v>
      </x:c>
      <x:c r="V2443" s="20" t="n">
        <x:v>8.8</x:v>
      </x:c>
      <x:c r="W2443" s="20" t="n">
        <x:v>9.9</x:v>
      </x:c>
      <x:c r="X2443" s="20" t="n">
        <x:v>3.3</x:v>
      </x:c>
      <x:c r="Y2443" t="str">
        <x:v>Basis arsip 2025/2024</x:v>
      </x:c>
      <x:c r="Z2443" t="str">
        <x:v>https://snpmb.id/utbk-snbt/daya-tampung-snbt</x:v>
      </x:c>
      <x:c r="AA2443" t="str">
        <x:v>Tidak Ada</x:v>
      </x:c>
      <x:c r="AB2443" t="str">
        <x:v>Campus=80; Ratio=40.1; Prodi=40; RelDemand=41.0; Capacity=1.7</x:v>
      </x:c>
    </x:row>
    <x:row r="2444">
      <x:c r="A2444" t="n">
        <x:v>2441</x:v>
      </x:c>
      <x:c r="B2444" t="str">
        <x:v>PTN Akademik</x:v>
      </x:c>
      <x:c r="C2444" t="str">
        <x:v>UNIVERSITAS NEGERI SURABAYA</x:v>
      </x:c>
      <x:c r="D2444" t="str">
        <x:v>MANAJEMEN OLAHRAGA</x:v>
      </x:c>
      <x:c r="E2444" t="str">
        <x:v>Sarjana</x:v>
      </x:c>
      <x:c r="F2444" s="18" t="n">
        <x:v>54</x:v>
      </x:c>
      <x:c r="G2444" s="18" t="n">
        <x:v>86</x:v>
      </x:c>
      <x:c r="H2444" s="19" t="n">
        <x:v>1.5925925925925926</x:v>
      </x:c>
      <x:c r="I2444" s="18" t="n">
        <x:f>ROUND(MIN(Model_Config_v3!$B$6,MAX(Q2444,R2444,S2444*Model_Config_v3!$B$4+T2444*Model_Config_v3!$B$5)),0)</x:f>
        <x:v>620</x:v>
      </x:c>
      <x:c r="J2444" s="18" t="n">
        <x:f>MIN(Model_Config_v3!$B$6,I2444+Model_Config_v3!$B$7)</x:f>
        <x:v>640</x:v>
      </x:c>
      <x:c r="K2444" s="20" t="n">
        <x:v>46.8</x:v>
      </x:c>
      <x:c r="L2444" t="str">
        <x:v>MENENGAH</x:v>
      </x:c>
      <x:c r="M2444" t="str">
        <x:v>PORTOFOLIO</x:v>
      </x:c>
      <x:c r="N2444" t="str">
        <x:v>ELITE-3</x:v>
      </x:c>
      <x:c r="O2444" t="str">
        <x:v>SENI/OLAHRAGA</x:v>
      </x:c>
      <x:c r="P2444" t="str">
        <x:v>SENI/OLAHRAGA</x:v>
      </x:c>
      <x:c r="Q2444" s="18" t="n">
        <x:v>620</x:v>
      </x:c>
      <x:c r="R2444" s="18" t="n">
        <x:v>0</x:v>
      </x:c>
      <x:c r="S2444" s="18" t="n">
        <x:v>542.231516056266</x:v>
      </x:c>
      <x:c r="T2444" s="18" t="n">
        <x:v>654</x:v>
      </x:c>
      <x:c r="U2444" s="18" t="n">
        <x:v>620</x:v>
      </x:c>
      <x:c r="V2444" s="20" t="n">
        <x:v>4.4</x:v>
      </x:c>
      <x:c r="W2444" s="20" t="n">
        <x:v>9.9</x:v>
      </x:c>
      <x:c r="X2444" s="20" t="n">
        <x:v>7.7</x:v>
      </x:c>
      <x:c r="Y2444" t="str">
        <x:v>Basis arsip 2025/2024</x:v>
      </x:c>
      <x:c r="Z2444" t="str">
        <x:v>https://snpmb.id/utbk-snbt/daya-tampung-snbt</x:v>
      </x:c>
      <x:c r="AA2444" t="str">
        <x:v>Olahraga</x:v>
      </x:c>
      <x:c r="AB2444" t="str">
        <x:v>Campus=80; Ratio=11.9; Prodi=45; RelDemand=13.6; Capacity=55.0</x:v>
      </x:c>
    </x:row>
    <x:row r="2445">
      <x:c r="A2445" t="n">
        <x:v>2442</x:v>
      </x:c>
      <x:c r="B2445" t="str">
        <x:v>PTN Akademik</x:v>
      </x:c>
      <x:c r="C2445" t="str">
        <x:v>UNIVERSITAS NEGERI SURABAYA</x:v>
      </x:c>
      <x:c r="D2445" t="str">
        <x:v>ILMU POLITIK</x:v>
      </x:c>
      <x:c r="E2445" t="str">
        <x:v>Sarjana</x:v>
      </x:c>
      <x:c r="F2445" s="18" t="n">
        <x:v>82</x:v>
      </x:c>
      <x:c r="G2445" s="18" t="n">
        <x:v>368</x:v>
      </x:c>
      <x:c r="H2445" s="19" t="n">
        <x:v>4.487804878048781</x:v>
      </x:c>
      <x:c r="I2445" s="18" t="n">
        <x:f>ROUND(MIN(Model_Config_v3!$B$6,MAX(Q2445,R2445,S2445*Model_Config_v3!$B$4+T2445*Model_Config_v3!$B$5)),0)</x:f>
        <x:v>643</x:v>
      </x:c>
      <x:c r="J2445" s="18" t="n">
        <x:f>MIN(Model_Config_v3!$B$6,I2445+Model_Config_v3!$B$7)</x:f>
        <x:v>663</x:v>
      </x:c>
      <x:c r="K2445" s="20" t="n">
        <x:v>52.6</x:v>
      </x:c>
      <x:c r="L2445" t="str">
        <x:v>MENENGAH</x:v>
      </x:c>
      <x:c r="M2445" t="str">
        <x:v>SEDANG+</x:v>
      </x:c>
      <x:c r="N2445" t="str">
        <x:v>ELITE-3</x:v>
      </x:c>
      <x:c r="O2445" t="str">
        <x:v>SOSHUM</x:v>
      </x:c>
      <x:c r="P2445" t="str">
        <x:v>UMUM</x:v>
      </x:c>
      <x:c r="Q2445" s="18" t="n">
        <x:v>620</x:v>
      </x:c>
      <x:c r="R2445" s="18" t="n">
        <x:v>0</x:v>
      </x:c>
      <x:c r="S2445" s="18" t="n">
        <x:v>591.7237362918781</x:v>
      </x:c>
      <x:c r="T2445" s="18" t="n">
        <x:v>665</x:v>
      </x:c>
      <x:c r="U2445" s="18" t="n">
        <x:v>620</x:v>
      </x:c>
      <x:c r="V2445" s="20" t="n">
        <x:v>4.4</x:v>
      </x:c>
      <x:c r="W2445" s="20" t="n">
        <x:v>14.3</x:v>
      </x:c>
      <x:c r="X2445" s="20" t="n">
        <x:v>3.3</x:v>
      </x:c>
      <x:c r="Y2445" t="str">
        <x:v>Basis arsip 2025/2024</x:v>
      </x:c>
      <x:c r="Z2445" t="str">
        <x:v>https://snpmb.id/utbk-snbt/daya-tampung-snbt</x:v>
      </x:c>
      <x:c r="AA2445" t="str">
        <x:v>Tidak Ada</x:v>
      </x:c>
      <x:c r="AB2445" t="str">
        <x:v>Campus=80; Ratio=38.4; Prodi=40; RelDemand=38.4; Capacity=31.7</x:v>
      </x:c>
    </x:row>
    <x:row r="2446">
      <x:c r="A2446" t="n">
        <x:v>2443</x:v>
      </x:c>
      <x:c r="B2446" t="str">
        <x:v>PTN Akademik</x:v>
      </x:c>
      <x:c r="C2446" t="str">
        <x:v>UNIVERSITAS NEGERI SURABAYA</x:v>
      </x:c>
      <x:c r="D2446" t="str">
        <x:v>KEDOKTERAN</x:v>
      </x:c>
      <x:c r="E2446" t="str">
        <x:v>Sarjana</x:v>
      </x:c>
      <x:c r="F2446" s="18" t="n">
        <x:v>15</x:v>
      </x:c>
      <x:c r="G2446" s="18" t="n">
        <x:v>655</x:v>
      </x:c>
      <x:c r="H2446" s="19" t="n">
        <x:v>43.666666666666664</x:v>
      </x:c>
      <x:c r="I2446" s="18" t="n">
        <x:f>ROUND(MIN(Model_Config_v3!$B$6,MAX(Q2446,R2446,S2446*Model_Config_v3!$B$4+T2446*Model_Config_v3!$B$5)),0)</x:f>
        <x:v>730</x:v>
      </x:c>
      <x:c r="J2446" s="18" t="n">
        <x:f>MIN(Model_Config_v3!$B$6,I2446+Model_Config_v3!$B$7)</x:f>
        <x:v>750</x:v>
      </x:c>
      <x:c r="K2446" s="20" t="n">
        <x:v>90.9</x:v>
      </x:c>
      <x:c r="L2446" t="str">
        <x:v>ULTRA ELITE</x:v>
      </x:c>
      <x:c r="M2446" t="str">
        <x:v>SEDANG+</x:v>
      </x:c>
      <x:c r="N2446" t="str">
        <x:v>ELITE-3</x:v>
      </x:c>
      <x:c r="O2446" t="str">
        <x:v>SAINTEK</x:v>
      </x:c>
      <x:c r="P2446" t="str">
        <x:v>KEDOKTERAN</x:v>
      </x:c>
      <x:c r="Q2446" s="18" t="n">
        <x:v>620</x:v>
      </x:c>
      <x:c r="R2446" s="18" t="n">
        <x:v>700</x:v>
      </x:c>
      <x:c r="S2446" s="18" t="n">
        <x:v>700.4165045029712</x:v>
      </x:c>
      <x:c r="T2446" s="18" t="n">
        <x:v>742</x:v>
      </x:c>
      <x:c r="U2446" s="18" t="n">
        <x:v>740.4165045029712</x:v>
      </x:c>
      <x:c r="V2446" s="20" t="n">
        <x:v>12</x:v>
      </x:c>
      <x:c r="W2446" s="20" t="n">
        <x:v>5</x:v>
      </x:c>
      <x:c r="X2446" s="20" t="n">
        <x:v>3</x:v>
      </x:c>
      <x:c r="Y2446" t="str">
        <x:v>Basis arsip 2025/2024</x:v>
      </x:c>
      <x:c r="Z2446" t="str">
        <x:v>https://snpmb.id/utbk-snbt/daya-tampung-snbt</x:v>
      </x:c>
      <x:c r="AA2446" t="str">
        <x:v>Tidak Ada</x:v>
      </x:c>
      <x:c r="AB2446" t="str">
        <x:v>Campus=80; Ratio=96.5; Prodi=100; RelDemand=100.0; Capacity=87.5</x:v>
      </x:c>
    </x:row>
    <x:row r="2447">
      <x:c r="A2447" t="n">
        <x:v>2444</x:v>
      </x:c>
      <x:c r="B2447" t="str">
        <x:v>PTN Akademik</x:v>
      </x:c>
      <x:c r="C2447" t="str">
        <x:v>UNIVERSITAS NEGERI SURABAYA</x:v>
      </x:c>
      <x:c r="D2447" t="str">
        <x:v>PENDIDIKAN JASMANI, KESEHATAN, DAN REKREASI (UNESA KAMPUS MAGETAN)</x:v>
      </x:c>
      <x:c r="E2447" t="str">
        <x:v>Sarjana</x:v>
      </x:c>
      <x:c r="F2447" s="18" t="n">
        <x:v>54</x:v>
      </x:c>
      <x:c r="G2447" s="18" t="n">
        <x:v>76</x:v>
      </x:c>
      <x:c r="H2447" s="19" t="n">
        <x:v>1.4074074074074074</x:v>
      </x:c>
      <x:c r="I2447" s="18" t="n">
        <x:f>ROUND(MIN(Model_Config_v3!$B$6,MAX(Q2447,R2447,S2447*Model_Config_v3!$B$4+T2447*Model_Config_v3!$B$5)),0)</x:f>
        <x:v>620</x:v>
      </x:c>
      <x:c r="J2447" s="18" t="n">
        <x:f>MIN(Model_Config_v3!$B$6,I2447+Model_Config_v3!$B$7)</x:f>
        <x:v>640</x:v>
      </x:c>
      <x:c r="K2447" s="20" t="n">
        <x:v>45.9</x:v>
      </x:c>
      <x:c r="L2447" t="str">
        <x:v>MENENGAH</x:v>
      </x:c>
      <x:c r="M2447" t="str">
        <x:v>PORTOFOLIO</x:v>
      </x:c>
      <x:c r="N2447" t="str">
        <x:v>ELITE-3</x:v>
      </x:c>
      <x:c r="O2447" t="str">
        <x:v>SENI/OLAHRAGA</x:v>
      </x:c>
      <x:c r="P2447" t="str">
        <x:v>SENI/OLAHRAGA</x:v>
      </x:c>
      <x:c r="Q2447" s="18" t="n">
        <x:v>620</x:v>
      </x:c>
      <x:c r="R2447" s="18" t="n">
        <x:v>0</x:v>
      </x:c>
      <x:c r="S2447" s="18" t="n">
        <x:v>536.3261815703605</x:v>
      </x:c>
      <x:c r="T2447" s="18" t="n">
        <x:v>652</x:v>
      </x:c>
      <x:c r="U2447" s="18" t="n">
        <x:v>620</x:v>
      </x:c>
      <x:c r="V2447" s="20" t="n">
        <x:v>4.4</x:v>
      </x:c>
      <x:c r="W2447" s="20" t="n">
        <x:v>9.9</x:v>
      </x:c>
      <x:c r="X2447" s="20" t="n">
        <x:v>7.7</x:v>
      </x:c>
      <x:c r="Y2447" t="str">
        <x:v>Basis arsip 2025/2024</x:v>
      </x:c>
      <x:c r="Z2447" t="str">
        <x:v>https://snpmb.id/utbk-snbt/daya-tampung-snbt</x:v>
      </x:c>
      <x:c r="AA2447" t="str">
        <x:v>Olahraga</x:v>
      </x:c>
      <x:c r="AB2447" t="str">
        <x:v>Campus=80; Ratio=8.7; Prodi=45; RelDemand=12.0; Capacity=55.0</x:v>
      </x:c>
    </x:row>
    <x:row r="2448">
      <x:c r="A2448" t="n">
        <x:v>2445</x:v>
      </x:c>
      <x:c r="B2448" t="str">
        <x:v>PTN Akademik</x:v>
      </x:c>
      <x:c r="C2448" t="str">
        <x:v>UNIVERSITAS NEGERI SURABAYA</x:v>
      </x:c>
      <x:c r="D2448" t="str">
        <x:v>PENDIDIKAN GURU SEKOLAH DASAR (UNESA KAMPUS MAGETAN)</x:v>
      </x:c>
      <x:c r="E2448" t="str">
        <x:v>Sarjana</x:v>
      </x:c>
      <x:c r="F2448" s="18" t="n">
        <x:v>81</x:v>
      </x:c>
      <x:c r="G2448" s="18" t="n">
        <x:v>282</x:v>
      </x:c>
      <x:c r="H2448" s="19" t="n">
        <x:v>3.4814814814814814</x:v>
      </x:c>
      <x:c r="I2448" s="18" t="n">
        <x:f>ROUND(MIN(Model_Config_v3!$B$6,MAX(Q2448,R2448,S2448*Model_Config_v3!$B$4+T2448*Model_Config_v3!$B$5)),0)</x:f>
        <x:v>637</x:v>
      </x:c>
      <x:c r="J2448" s="18" t="n">
        <x:f>MIN(Model_Config_v3!$B$6,I2448+Model_Config_v3!$B$7)</x:f>
        <x:v>657</x:v>
      </x:c>
      <x:c r="K2448" s="20" t="n">
        <x:v>51.2</x:v>
      </x:c>
      <x:c r="L2448" t="str">
        <x:v>MENENGAH</x:v>
      </x:c>
      <x:c r="M2448" t="str">
        <x:v>SEDANG+</x:v>
      </x:c>
      <x:c r="N2448" t="str">
        <x:v>ELITE-3</x:v>
      </x:c>
      <x:c r="O2448" t="str">
        <x:v>CAMPURAN</x:v>
      </x:c>
      <x:c r="P2448" t="str">
        <x:v>PENDIDIKAN</x:v>
      </x:c>
      <x:c r="Q2448" s="18" t="n">
        <x:v>620</x:v>
      </x:c>
      <x:c r="R2448" s="18" t="n">
        <x:v>0</x:v>
      </x:c>
      <x:c r="S2448" s="18" t="n">
        <x:v>579.5940498384782</x:v>
      </x:c>
      <x:c r="T2448" s="18" t="n">
        <x:v>662</x:v>
      </x:c>
      <x:c r="U2448" s="18" t="n">
        <x:v>620</x:v>
      </x:c>
      <x:c r="V2448" s="20" t="n">
        <x:v>8.8</x:v>
      </x:c>
      <x:c r="W2448" s="20" t="n">
        <x:v>9.9</x:v>
      </x:c>
      <x:c r="X2448" s="20" t="n">
        <x:v>3.3</x:v>
      </x:c>
      <x:c r="Y2448" t="str">
        <x:v>Basis arsip 2025/2024</x:v>
      </x:c>
      <x:c r="Z2448" t="str">
        <x:v>https://snpmb.id/utbk-snbt/daya-tampung-snbt</x:v>
      </x:c>
      <x:c r="AA2448" t="str">
        <x:v>Tidak Ada</x:v>
      </x:c>
      <x:c r="AB2448" t="str">
        <x:v>Campus=80; Ratio=31.9; Prodi=45; RelDemand=29.8; Capacity=32.5</x:v>
      </x:c>
    </x:row>
    <x:row r="2449">
      <x:c r="A2449" t="n">
        <x:v>2446</x:v>
      </x:c>
      <x:c r="B2449" t="str">
        <x:v>PTN Akademik</x:v>
      </x:c>
      <x:c r="C2449" t="str">
        <x:v>UNIVERSITAS NEGERI SURABAYA</x:v>
      </x:c>
      <x:c r="D2449" t="str">
        <x:v>PENDIDIKAN MATEMATIKA (UNESA KAMPUS MAGETAN)</x:v>
      </x:c>
      <x:c r="E2449" t="str">
        <x:v>Sarjana</x:v>
      </x:c>
      <x:c r="F2449" s="18" t="n">
        <x:v>45</x:v>
      </x:c>
      <x:c r="G2449" s="18" t="n">
        <x:v>40</x:v>
      </x:c>
      <x:c r="H2449" s="19" t="n">
        <x:v>0.8888888888888888</x:v>
      </x:c>
      <x:c r="I2449" s="18" t="n">
        <x:f>ROUND(MIN(Model_Config_v3!$B$6,MAX(Q2449,R2449,S2449*Model_Config_v3!$B$4+T2449*Model_Config_v3!$B$5)),0)</x:f>
        <x:v>620</x:v>
      </x:c>
      <x:c r="J2449" s="18" t="n">
        <x:f>MIN(Model_Config_v3!$B$6,I2449+Model_Config_v3!$B$7)</x:f>
        <x:v>640</x:v>
      </x:c>
      <x:c r="K2449" s="20" t="n">
        <x:v>44</x:v>
      </x:c>
      <x:c r="L2449" t="str">
        <x:v>RELATIF LONGGAR</x:v>
      </x:c>
      <x:c r="M2449" t="str">
        <x:v>SEDANG+</x:v>
      </x:c>
      <x:c r="N2449" t="str">
        <x:v>ELITE-3</x:v>
      </x:c>
      <x:c r="O2449" t="str">
        <x:v>SAINTEK</x:v>
      </x:c>
      <x:c r="P2449" t="str">
        <x:v>PENDIDIKAN</x:v>
      </x:c>
      <x:c r="Q2449" s="18" t="n">
        <x:v>620</x:v>
      </x:c>
      <x:c r="R2449" s="18" t="n">
        <x:v>0</x:v>
      </x:c>
      <x:c r="S2449" s="18" t="n">
        <x:v>520</x:v>
      </x:c>
      <x:c r="T2449" s="18" t="n">
        <x:v>648</x:v>
      </x:c>
      <x:c r="U2449" s="18" t="n">
        <x:v>620</x:v>
      </x:c>
      <x:c r="V2449" s="20" t="n">
        <x:v>12</x:v>
      </x:c>
      <x:c r="W2449" s="20" t="n">
        <x:v>5</x:v>
      </x:c>
      <x:c r="X2449" s="20" t="n">
        <x:v>3</x:v>
      </x:c>
      <x:c r="Y2449" t="str">
        <x:v>Basis arsip 2025/2024</x:v>
      </x:c>
      <x:c r="Z2449" t="str">
        <x:v>https://snpmb.id/utbk-snbt/daya-tampung-snbt</x:v>
      </x:c>
      <x:c r="AA2449" t="str">
        <x:v>Tidak Ada</x:v>
      </x:c>
      <x:c r="AB2449" t="str">
        <x:v>Campus=80; Ratio=0.0; Prodi=45; RelDemand=7.6; Capacity=62.5</x:v>
      </x:c>
    </x:row>
    <x:row r="2450">
      <x:c r="A2450" t="n">
        <x:v>2447</x:v>
      </x:c>
      <x:c r="B2450" t="str">
        <x:v>PTN Akademik</x:v>
      </x:c>
      <x:c r="C2450" t="str">
        <x:v>UNIVERSITAS NEGERI SURABAYA</x:v>
      </x:c>
      <x:c r="D2450" t="str">
        <x:v>ILMU HUKUM (UNESA KAMPUS MAGETAN)</x:v>
      </x:c>
      <x:c r="E2450" t="str">
        <x:v>Sarjana</x:v>
      </x:c>
      <x:c r="F2450" s="18" t="n">
        <x:v>81</x:v>
      </x:c>
      <x:c r="G2450" s="18" t="n">
        <x:v>183</x:v>
      </x:c>
      <x:c r="H2450" s="19" t="n">
        <x:v>2.259259259259259</x:v>
      </x:c>
      <x:c r="I2450" s="18" t="n">
        <x:f>ROUND(MIN(Model_Config_v3!$B$6,MAX(Q2450,R2450,S2450*Model_Config_v3!$B$4+T2450*Model_Config_v3!$B$5)),0)</x:f>
        <x:v>632</x:v>
      </x:c>
      <x:c r="J2450" s="18" t="n">
        <x:f>MIN(Model_Config_v3!$B$6,I2450+Model_Config_v3!$B$7)</x:f>
        <x:v>652</x:v>
      </x:c>
      <x:c r="K2450" s="20" t="n">
        <x:v>51.4</x:v>
      </x:c>
      <x:c r="L2450" t="str">
        <x:v>MENENGAH</x:v>
      </x:c>
      <x:c r="M2450" t="str">
        <x:v>SEDANG+</x:v>
      </x:c>
      <x:c r="N2450" t="str">
        <x:v>ELITE-3</x:v>
      </x:c>
      <x:c r="O2450" t="str">
        <x:v>SOSHUM</x:v>
      </x:c>
      <x:c r="P2450" t="str">
        <x:v>HUKUM</x:v>
      </x:c>
      <x:c r="Q2450" s="18" t="n">
        <x:v>620</x:v>
      </x:c>
      <x:c r="R2450" s="18" t="n">
        <x:v>0</x:v>
      </x:c>
      <x:c r="S2450" s="18" t="n">
        <x:v>558.9362677936957</x:v>
      </x:c>
      <x:c r="T2450" s="18" t="n">
        <x:v>663</x:v>
      </x:c>
      <x:c r="U2450" s="18" t="n">
        <x:v>620</x:v>
      </x:c>
      <x:c r="V2450" s="20" t="n">
        <x:v>4.4</x:v>
      </x:c>
      <x:c r="W2450" s="20" t="n">
        <x:v>14.3</x:v>
      </x:c>
      <x:c r="X2450" s="20" t="n">
        <x:v>3.3</x:v>
      </x:c>
      <x:c r="Y2450" t="str">
        <x:v>Basis arsip 2025/2024</x:v>
      </x:c>
      <x:c r="Z2450" t="str">
        <x:v>https://snpmb.id/utbk-snbt/daya-tampung-snbt</x:v>
      </x:c>
      <x:c r="AA2450" t="str">
        <x:v>Tidak Ada</x:v>
      </x:c>
      <x:c r="AB2450" t="str">
        <x:v>Campus=80; Ratio=20.8; Prodi=65; RelDemand=19.3; Capacity=32.5</x:v>
      </x:c>
    </x:row>
    <x:row r="2451">
      <x:c r="A2451" t="n">
        <x:v>2448</x:v>
      </x:c>
      <x:c r="B2451" t="str">
        <x:v>PTN Akademik</x:v>
      </x:c>
      <x:c r="C2451" t="str">
        <x:v>UNIVERSITAS NEGERI SURABAYA</x:v>
      </x:c>
      <x:c r="D2451" t="str">
        <x:v>ILMU KOMUNIKASI (UNESA KAMPUS MAGETAN)</x:v>
      </x:c>
      <x:c r="E2451" t="str">
        <x:v>Sarjana</x:v>
      </x:c>
      <x:c r="F2451" s="18" t="n">
        <x:v>81</x:v>
      </x:c>
      <x:c r="G2451" s="18" t="n">
        <x:v>311</x:v>
      </x:c>
      <x:c r="H2451" s="19" t="n">
        <x:v>3.8395061728395063</x:v>
      </x:c>
      <x:c r="I2451" s="18" t="n">
        <x:f>ROUND(MIN(Model_Config_v3!$B$6,MAX(Q2451,R2451,S2451*Model_Config_v3!$B$4+T2451*Model_Config_v3!$B$5)),0)</x:f>
        <x:v>639</x:v>
      </x:c>
      <x:c r="J2451" s="18" t="n">
        <x:f>MIN(Model_Config_v3!$B$6,I2451+Model_Config_v3!$B$7)</x:f>
        <x:v>659</x:v>
      </x:c>
      <x:c r="K2451" s="20" t="n">
        <x:v>51.1</x:v>
      </x:c>
      <x:c r="L2451" t="str">
        <x:v>MENENGAH</x:v>
      </x:c>
      <x:c r="M2451" t="str">
        <x:v>SEDANG+</x:v>
      </x:c>
      <x:c r="N2451" t="str">
        <x:v>ELITE-3</x:v>
      </x:c>
      <x:c r="O2451" t="str">
        <x:v>SOSHUM</x:v>
      </x:c>
      <x:c r="P2451" t="str">
        <x:v>UMUM</x:v>
      </x:c>
      <x:c r="Q2451" s="18" t="n">
        <x:v>620</x:v>
      </x:c>
      <x:c r="R2451" s="18" t="n">
        <x:v>0</x:v>
      </x:c>
      <x:c r="S2451" s="18" t="n">
        <x:v>584.2702907163007</x:v>
      </x:c>
      <x:c r="T2451" s="18" t="n">
        <x:v>662</x:v>
      </x:c>
      <x:c r="U2451" s="18" t="n">
        <x:v>620</x:v>
      </x:c>
      <x:c r="V2451" s="20" t="n">
        <x:v>4.4</x:v>
      </x:c>
      <x:c r="W2451" s="20" t="n">
        <x:v>14.3</x:v>
      </x:c>
      <x:c r="X2451" s="20" t="n">
        <x:v>3.3</x:v>
      </x:c>
      <x:c r="Y2451" t="str">
        <x:v>Basis arsip 2025/2024</x:v>
      </x:c>
      <x:c r="Z2451" t="str">
        <x:v>https://snpmb.id/utbk-snbt/daya-tampung-snbt</x:v>
      </x:c>
      <x:c r="AA2451" t="str">
        <x:v>Tidak Ada</x:v>
      </x:c>
      <x:c r="AB2451" t="str">
        <x:v>Campus=80; Ratio=34.4; Prodi=40; RelDemand=32.9; Capacity=32.5</x:v>
      </x:c>
    </x:row>
    <x:row r="2452">
      <x:c r="A2452" t="n">
        <x:v>2449</x:v>
      </x:c>
      <x:c r="B2452" t="str">
        <x:v>PTN Akademik</x:v>
      </x:c>
      <x:c r="C2452" t="str">
        <x:v>UNIVERSITAS NEGERI SURABAYA</x:v>
      </x:c>
      <x:c r="D2452" t="str">
        <x:v>MANAJEMEN (UNESA KAMPUS MAGETAN)</x:v>
      </x:c>
      <x:c r="E2452" t="str">
        <x:v>Sarjana</x:v>
      </x:c>
      <x:c r="F2452" s="18" t="n">
        <x:v>81</x:v>
      </x:c>
      <x:c r="G2452" s="18" t="n">
        <x:v>418</x:v>
      </x:c>
      <x:c r="H2452" s="19" t="n">
        <x:v>5.160493827160494</x:v>
      </x:c>
      <x:c r="I2452" s="18" t="n">
        <x:f>ROUND(MIN(Model_Config_v3!$B$6,MAX(Q2452,R2452,S2452*Model_Config_v3!$B$4+T2452*Model_Config_v3!$B$5)),0)</x:f>
        <x:v>654</x:v>
      </x:c>
      <x:c r="J2452" s="18" t="n">
        <x:f>MIN(Model_Config_v3!$B$6,I2452+Model_Config_v3!$B$7)</x:f>
        <x:v>674</x:v>
      </x:c>
      <x:c r="K2452" s="20" t="n">
        <x:v>59.2</x:v>
      </x:c>
      <x:c r="L2452" t="str">
        <x:v>KETAT</x:v>
      </x:c>
      <x:c r="M2452" t="str">
        <x:v>SEDANG+</x:v>
      </x:c>
      <x:c r="N2452" t="str">
        <x:v>ELITE-3</x:v>
      </x:c>
      <x:c r="O2452" t="str">
        <x:v>SOSHUM</x:v>
      </x:c>
      <x:c r="P2452" t="str">
        <x:v>BISNIS/EKONOMI/AKUNTANSI</x:v>
      </x:c>
      <x:c r="Q2452" s="18" t="n">
        <x:v>620</x:v>
      </x:c>
      <x:c r="R2452" s="18" t="n">
        <x:v>0</x:v>
      </x:c>
      <x:c r="S2452" s="18" t="n">
        <x:v>598.3960389186024</x:v>
      </x:c>
      <x:c r="T2452" s="18" t="n">
        <x:v>678</x:v>
      </x:c>
      <x:c r="U2452" s="18" t="n">
        <x:v>620</x:v>
      </x:c>
      <x:c r="V2452" s="20" t="n">
        <x:v>4.4</x:v>
      </x:c>
      <x:c r="W2452" s="20" t="n">
        <x:v>14.3</x:v>
      </x:c>
      <x:c r="X2452" s="20" t="n">
        <x:v>3.3</x:v>
      </x:c>
      <x:c r="Y2452" t="str">
        <x:v>Basis arsip 2025/2024</x:v>
      </x:c>
      <x:c r="Z2452" t="str">
        <x:v>https://snpmb.id/utbk-snbt/daya-tampung-snbt</x:v>
      </x:c>
      <x:c r="AA2452" t="str">
        <x:v>Tidak Ada</x:v>
      </x:c>
      <x:c r="AB2452" t="str">
        <x:v>Campus=80; Ratio=41.9; Prodi=65; RelDemand=44.2; Capacity=32.5</x:v>
      </x:c>
    </x:row>
    <x:row r="2453">
      <x:c r="A2453" t="n">
        <x:v>2450</x:v>
      </x:c>
      <x:c r="B2453" t="str">
        <x:v>PTN Akademik</x:v>
      </x:c>
      <x:c r="C2453" t="str">
        <x:v>UNIVERSITAS NEGERI SURABAYA</x:v>
      </x:c>
      <x:c r="D2453" t="str">
        <x:v>SASTRA INGGRIS (UNESA KAMPUS MAGETAN)</x:v>
      </x:c>
      <x:c r="E2453" t="str">
        <x:v>Sarjana</x:v>
      </x:c>
      <x:c r="F2453" s="18" t="n">
        <x:v>45</x:v>
      </x:c>
      <x:c r="G2453" s="18" t="n">
        <x:v>41</x:v>
      </x:c>
      <x:c r="H2453" s="19" t="n">
        <x:v>0.9111111111111111</x:v>
      </x:c>
      <x:c r="I2453" s="18" t="n">
        <x:f>ROUND(MIN(Model_Config_v3!$B$6,MAX(Q2453,R2453,S2453*Model_Config_v3!$B$4+T2453*Model_Config_v3!$B$5)),0)</x:f>
        <x:v>620</x:v>
      </x:c>
      <x:c r="J2453" s="18" t="n">
        <x:f>MIN(Model_Config_v3!$B$6,I2453+Model_Config_v3!$B$7)</x:f>
        <x:v>640</x:v>
      </x:c>
      <x:c r="K2453" s="20" t="n">
        <x:v>43</x:v>
      </x:c>
      <x:c r="L2453" t="str">
        <x:v>RELATIF LONGGAR</x:v>
      </x:c>
      <x:c r="M2453" t="str">
        <x:v>SEDANG+</x:v>
      </x:c>
      <x:c r="N2453" t="str">
        <x:v>ELITE-3</x:v>
      </x:c>
      <x:c r="O2453" t="str">
        <x:v>SOSHUM</x:v>
      </x:c>
      <x:c r="P2453" t="str">
        <x:v>UMUM</x:v>
      </x:c>
      <x:c r="Q2453" s="18" t="n">
        <x:v>620</x:v>
      </x:c>
      <x:c r="R2453" s="18" t="n">
        <x:v>0</x:v>
      </x:c>
      <x:c r="S2453" s="18" t="n">
        <x:v>520</x:v>
      </x:c>
      <x:c r="T2453" s="18" t="n">
        <x:v>646</x:v>
      </x:c>
      <x:c r="U2453" s="18" t="n">
        <x:v>620</x:v>
      </x:c>
      <x:c r="V2453" s="20" t="n">
        <x:v>4.4</x:v>
      </x:c>
      <x:c r="W2453" s="20" t="n">
        <x:v>14.3</x:v>
      </x:c>
      <x:c r="X2453" s="20" t="n">
        <x:v>3.3</x:v>
      </x:c>
      <x:c r="Y2453" t="str">
        <x:v>Basis arsip 2025/2024</x:v>
      </x:c>
      <x:c r="Z2453" t="str">
        <x:v>https://snpmb.id/utbk-snbt/daya-tampung-snbt</x:v>
      </x:c>
      <x:c r="AA2453" t="str">
        <x:v>Tidak Ada</x:v>
      </x:c>
      <x:c r="AB2453" t="str">
        <x:v>Campus=80; Ratio=0.0; Prodi=40; RelDemand=7.8; Capacity=62.5</x:v>
      </x:c>
    </x:row>
    <x:row r="2454">
      <x:c r="A2454" t="n">
        <x:v>2451</x:v>
      </x:c>
      <x:c r="B2454" t="str">
        <x:v>PTN Akademik</x:v>
      </x:c>
      <x:c r="C2454" t="str">
        <x:v>UNIVERSITAS NEGERI SURABAYA</x:v>
      </x:c>
      <x:c r="D2454" t="str">
        <x:v>PENDIDIKAN TATA RIAS (UNESA KAMPUS MAGETAN)</x:v>
      </x:c>
      <x:c r="E2454" t="str">
        <x:v>Sarjana</x:v>
      </x:c>
      <x:c r="F2454" s="18" t="n">
        <x:v>45</x:v>
      </x:c>
      <x:c r="G2454" s="18" t="n">
        <x:v>50</x:v>
      </x:c>
      <x:c r="H2454" s="19" t="n">
        <x:v>1.1111111111111112</x:v>
      </x:c>
      <x:c r="I2454" s="18" t="n">
        <x:f>ROUND(MIN(Model_Config_v3!$B$6,MAX(Q2454,R2454,S2454*Model_Config_v3!$B$4+T2454*Model_Config_v3!$B$5)),0)</x:f>
        <x:v>620</x:v>
      </x:c>
      <x:c r="J2454" s="18" t="n">
        <x:f>MIN(Model_Config_v3!$B$6,I2454+Model_Config_v3!$B$7)</x:f>
        <x:v>640</x:v>
      </x:c>
      <x:c r="K2454" s="20" t="n">
        <x:v>44.9</x:v>
      </x:c>
      <x:c r="L2454" t="str">
        <x:v>RELATIF LONGGAR</x:v>
      </x:c>
      <x:c r="M2454" t="str">
        <x:v>SEDANG+</x:v>
      </x:c>
      <x:c r="N2454" t="str">
        <x:v>ELITE-3</x:v>
      </x:c>
      <x:c r="O2454" t="str">
        <x:v>CAMPURAN</x:v>
      </x:c>
      <x:c r="P2454" t="str">
        <x:v>PENDIDIKAN</x:v>
      </x:c>
      <x:c r="Q2454" s="18" t="n">
        <x:v>620</x:v>
      </x:c>
      <x:c r="R2454" s="18" t="n">
        <x:v>0</x:v>
      </x:c>
      <x:c r="S2454" s="18" t="n">
        <x:v>525.0333239616742</x:v>
      </x:c>
      <x:c r="T2454" s="18" t="n">
        <x:v>650</x:v>
      </x:c>
      <x:c r="U2454" s="18" t="n">
        <x:v>620</x:v>
      </x:c>
      <x:c r="V2454" s="20" t="n">
        <x:v>8.8</x:v>
      </x:c>
      <x:c r="W2454" s="20" t="n">
        <x:v>9.9</x:v>
      </x:c>
      <x:c r="X2454" s="20" t="n">
        <x:v>3.3</x:v>
      </x:c>
      <x:c r="Y2454" t="str">
        <x:v>Basis arsip 2025/2024</x:v>
      </x:c>
      <x:c r="Z2454" t="str">
        <x:v>https://snpmb.id/utbk-snbt/daya-tampung-snbt</x:v>
      </x:c>
      <x:c r="AA2454" t="str">
        <x:v>Tidak Ada</x:v>
      </x:c>
      <x:c r="AB2454" t="str">
        <x:v>Campus=80; Ratio=2.7; Prodi=45; RelDemand=9.5; Capacity=62.5</x:v>
      </x:c>
    </x:row>
    <x:row r="2455">
      <x:c r="A2455" t="n">
        <x:v>2452</x:v>
      </x:c>
      <x:c r="B2455" t="str">
        <x:v>PTN Akademik</x:v>
      </x:c>
      <x:c r="C2455" t="str">
        <x:v>UNIVERSITAS NEGERI SURABAYA</x:v>
      </x:c>
      <x:c r="D2455" t="str">
        <x:v>MASASE</x:v>
      </x:c>
      <x:c r="E2455" t="str">
        <x:v>Sarjana</x:v>
      </x:c>
      <x:c r="F2455" s="18" t="n">
        <x:v>45</x:v>
      </x:c>
      <x:c r="G2455" s="18" t="n">
        <x:v>16</x:v>
      </x:c>
      <x:c r="H2455" s="19" t="n">
        <x:v>0.35555555555555557</x:v>
      </x:c>
      <x:c r="I2455" s="18" t="n">
        <x:f>ROUND(MIN(Model_Config_v3!$B$6,MAX(Q2455,R2455,S2455*Model_Config_v3!$B$4+T2455*Model_Config_v3!$B$5)),0)</x:f>
        <x:v>620</x:v>
      </x:c>
      <x:c r="J2455" s="18" t="n">
        <x:f>MIN(Model_Config_v3!$B$6,I2455+Model_Config_v3!$B$7)</x:f>
        <x:v>640</x:v>
      </x:c>
      <x:c r="K2455" s="20" t="n">
        <x:v>43.6</x:v>
      </x:c>
      <x:c r="L2455" t="str">
        <x:v>RELATIF LONGGAR</x:v>
      </x:c>
      <x:c r="M2455" t="str">
        <x:v>PORTOFOLIO</x:v>
      </x:c>
      <x:c r="N2455" t="str">
        <x:v>ELITE-3</x:v>
      </x:c>
      <x:c r="O2455" t="str">
        <x:v>SENI/OLAHRAGA</x:v>
      </x:c>
      <x:c r="P2455" t="str">
        <x:v>SENI/OLAHRAGA</x:v>
      </x:c>
      <x:c r="Q2455" s="18" t="n">
        <x:v>620</x:v>
      </x:c>
      <x:c r="R2455" s="18" t="n">
        <x:v>0</x:v>
      </x:c>
      <x:c r="S2455" s="18" t="n">
        <x:v>520</x:v>
      </x:c>
      <x:c r="T2455" s="18" t="n">
        <x:v>647</x:v>
      </x:c>
      <x:c r="U2455" s="18" t="n">
        <x:v>620</x:v>
      </x:c>
      <x:c r="V2455" s="20" t="n">
        <x:v>4.4</x:v>
      </x:c>
      <x:c r="W2455" s="20" t="n">
        <x:v>9.9</x:v>
      </x:c>
      <x:c r="X2455" s="20" t="n">
        <x:v>7.7</x:v>
      </x:c>
      <x:c r="Y2455" t="str">
        <x:v>Basis arsip 2025/2024</x:v>
      </x:c>
      <x:c r="Z2455" t="str">
        <x:v>https://snpmb.id/utbk-snbt/daya-tampung-snbt</x:v>
      </x:c>
      <x:c r="AA2455" t="str">
        <x:v>Olahraga</x:v>
      </x:c>
      <x:c r="AB2455" t="str">
        <x:v>Campus=80; Ratio=0.0; Prodi=45; RelDemand=3.0; Capacity=62.5</x:v>
      </x:c>
    </x:row>
    <x:row r="2456">
      <x:c r="A2456" t="n">
        <x:v>2453</x:v>
      </x:c>
      <x:c r="B2456" t="str">
        <x:v>PTN Akademik</x:v>
      </x:c>
      <x:c r="C2456" t="str">
        <x:v>UNIVERSITAS NEGERI SURABAYA</x:v>
      </x:c>
      <x:c r="D2456" t="str">
        <x:v>FISIOTERAPI</x:v>
      </x:c>
      <x:c r="E2456" t="str">
        <x:v>Sarjana</x:v>
      </x:c>
      <x:c r="F2456" s="18" t="n">
        <x:v>15</x:v>
      </x:c>
      <x:c r="G2456" s="18"/>
      <x:c r="H2456" s="19" t="n">
        <x:v>0</x:v>
      </x:c>
      <x:c r="I2456" s="18" t="n">
        <x:f>ROUND(MIN(Model_Config_v3!$B$6,MAX(Q2456,R2456,S2456*Model_Config_v3!$B$4+T2456*Model_Config_v3!$B$5)),0)</x:f>
        <x:v>620</x:v>
      </x:c>
      <x:c r="J2456" s="18" t="n">
        <x:f>MIN(Model_Config_v3!$B$6,I2456+Model_Config_v3!$B$7)</x:f>
        <x:v>640</x:v>
      </x:c>
      <x:c r="K2456" s="20" t="n">
        <x:v>47.8</x:v>
      </x:c>
      <x:c r="L2456" t="str">
        <x:v>MENENGAH</x:v>
      </x:c>
      <x:c r="M2456" t="str">
        <x:v>RENDAH</x:v>
      </x:c>
      <x:c r="N2456" t="str">
        <x:v>ELITE-3</x:v>
      </x:c>
      <x:c r="O2456" t="str">
        <x:v>CAMPURAN</x:v>
      </x:c>
      <x:c r="P2456" t="str">
        <x:v>KESEHAT/GIZI/KEPERAWATAN</x:v>
      </x:c>
      <x:c r="Q2456" s="18" t="n">
        <x:v>620</x:v>
      </x:c>
      <x:c r="R2456" s="18" t="n">
        <x:v>0</x:v>
      </x:c>
      <x:c r="S2456" s="18" t="n">
        <x:v>520</x:v>
      </x:c>
      <x:c r="T2456" s="18" t="n">
        <x:v>656</x:v>
      </x:c>
      <x:c r="U2456" s="18" t="n">
        <x:v>620</x:v>
      </x:c>
      <x:c r="V2456" s="20" t="n">
        <x:v>8.8</x:v>
      </x:c>
      <x:c r="W2456" s="20" t="n">
        <x:v>9.9</x:v>
      </x:c>
      <x:c r="X2456" s="20" t="n">
        <x:v>3.3</x:v>
      </x:c>
      <x:c r="Y2456" t="str">
        <x:v>Basis arsip 2025/2024</x:v>
      </x:c>
      <x:c r="Z2456" t="str">
        <x:v>https://snpmb.id/utbk-snbt/daya-tampung-snbt</x:v>
      </x:c>
      <x:c r="AA2456" t="str">
        <x:v>Tidak Ada</x:v>
      </x:c>
      <x:c r="AB2456" t="str">
        <x:v>Campus=80; Ratio=0.0; Prodi=55; RelDemand=0.0; Capacity=87.5</x:v>
      </x:c>
    </x:row>
    <x:row r="2457">
      <x:c r="A2457" t="n">
        <x:v>2454</x:v>
      </x:c>
      <x:c r="B2457" t="str">
        <x:v>PTN Akademik</x:v>
      </x:c>
      <x:c r="C2457" t="str">
        <x:v>UNIVERSITAS NEGERI SURABAYA</x:v>
      </x:c>
      <x:c r="D2457" t="str">
        <x:v>KEBIDANAN</x:v>
      </x:c>
      <x:c r="E2457" t="str">
        <x:v>Sarjana</x:v>
      </x:c>
      <x:c r="F2457" s="18" t="n">
        <x:v>15</x:v>
      </x:c>
      <x:c r="G2457" s="18"/>
      <x:c r="H2457" s="19" t="n">
        <x:v>0</x:v>
      </x:c>
      <x:c r="I2457" s="18" t="n">
        <x:f>ROUND(MIN(Model_Config_v3!$B$6,MAX(Q2457,R2457,S2457*Model_Config_v3!$B$4+T2457*Model_Config_v3!$B$5)),0)</x:f>
        <x:v>620</x:v>
      </x:c>
      <x:c r="J2457" s="18" t="n">
        <x:f>MIN(Model_Config_v3!$B$6,I2457+Model_Config_v3!$B$7)</x:f>
        <x:v>640</x:v>
      </x:c>
      <x:c r="K2457" s="20" t="n">
        <x:v>47.8</x:v>
      </x:c>
      <x:c r="L2457" t="str">
        <x:v>MENENGAH</x:v>
      </x:c>
      <x:c r="M2457" t="str">
        <x:v>RENDAH</x:v>
      </x:c>
      <x:c r="N2457" t="str">
        <x:v>ELITE-3</x:v>
      </x:c>
      <x:c r="O2457" t="str">
        <x:v>SAINTEK</x:v>
      </x:c>
      <x:c r="P2457" t="str">
        <x:v>KESEHAT/GIZI/KEPERAWATAN</x:v>
      </x:c>
      <x:c r="Q2457" s="18" t="n">
        <x:v>620</x:v>
      </x:c>
      <x:c r="R2457" s="18" t="n">
        <x:v>0</x:v>
      </x:c>
      <x:c r="S2457" s="18" t="n">
        <x:v>520</x:v>
      </x:c>
      <x:c r="T2457" s="18" t="n">
        <x:v>656</x:v>
      </x:c>
      <x:c r="U2457" s="18" t="n">
        <x:v>620</x:v>
      </x:c>
      <x:c r="V2457" s="20" t="n">
        <x:v>12</x:v>
      </x:c>
      <x:c r="W2457" s="20" t="n">
        <x:v>5</x:v>
      </x:c>
      <x:c r="X2457" s="20" t="n">
        <x:v>3</x:v>
      </x:c>
      <x:c r="Y2457" t="str">
        <x:v>Basis arsip 2025/2024</x:v>
      </x:c>
      <x:c r="Z2457" t="str">
        <x:v>https://snpmb.id/utbk-snbt/daya-tampung-snbt</x:v>
      </x:c>
      <x:c r="AA2457" t="str">
        <x:v>Tidak Ada</x:v>
      </x:c>
      <x:c r="AB2457" t="str">
        <x:v>Campus=80; Ratio=0.0; Prodi=55; RelDemand=0.0; Capacity=87.5</x:v>
      </x:c>
    </x:row>
    <x:row r="2458">
      <x:c r="A2458" t="n">
        <x:v>2455</x:v>
      </x:c>
      <x:c r="B2458" t="str">
        <x:v>PTN Akademik</x:v>
      </x:c>
      <x:c r="C2458" t="str">
        <x:v>UNIVERSITAS NEGERI SURABAYA</x:v>
      </x:c>
      <x:c r="D2458" t="str">
        <x:v>KEPERAWATAN</x:v>
      </x:c>
      <x:c r="E2458" t="str">
        <x:v>Sarjana</x:v>
      </x:c>
      <x:c r="F2458" s="18" t="n">
        <x:v>15</x:v>
      </x:c>
      <x:c r="G2458" s="18"/>
      <x:c r="H2458" s="19" t="n">
        <x:v>0</x:v>
      </x:c>
      <x:c r="I2458" s="18" t="n">
        <x:f>ROUND(MIN(Model_Config_v3!$B$6,MAX(Q2458,R2458,S2458*Model_Config_v3!$B$4+T2458*Model_Config_v3!$B$5)),0)</x:f>
        <x:v>620</x:v>
      </x:c>
      <x:c r="J2458" s="18" t="n">
        <x:f>MIN(Model_Config_v3!$B$6,I2458+Model_Config_v3!$B$7)</x:f>
        <x:v>640</x:v>
      </x:c>
      <x:c r="K2458" s="20" t="n">
        <x:v>47.8</x:v>
      </x:c>
      <x:c r="L2458" t="str">
        <x:v>MENENGAH</x:v>
      </x:c>
      <x:c r="M2458" t="str">
        <x:v>RENDAH</x:v>
      </x:c>
      <x:c r="N2458" t="str">
        <x:v>ELITE-3</x:v>
      </x:c>
      <x:c r="O2458" t="str">
        <x:v>SAINTEK</x:v>
      </x:c>
      <x:c r="P2458" t="str">
        <x:v>KESEHAT/GIZI/KEPERAWATAN</x:v>
      </x:c>
      <x:c r="Q2458" s="18" t="n">
        <x:v>620</x:v>
      </x:c>
      <x:c r="R2458" s="18" t="n">
        <x:v>0</x:v>
      </x:c>
      <x:c r="S2458" s="18" t="n">
        <x:v>520</x:v>
      </x:c>
      <x:c r="T2458" s="18" t="n">
        <x:v>656</x:v>
      </x:c>
      <x:c r="U2458" s="18" t="n">
        <x:v>620</x:v>
      </x:c>
      <x:c r="V2458" s="20" t="n">
        <x:v>12</x:v>
      </x:c>
      <x:c r="W2458" s="20" t="n">
        <x:v>5</x:v>
      </x:c>
      <x:c r="X2458" s="20" t="n">
        <x:v>3</x:v>
      </x:c>
      <x:c r="Y2458" t="str">
        <x:v>Basis arsip 2025/2024</x:v>
      </x:c>
      <x:c r="Z2458" t="str">
        <x:v>https://snpmb.id/utbk-snbt/daya-tampung-snbt</x:v>
      </x:c>
      <x:c r="AA2458" t="str">
        <x:v>Tidak Ada</x:v>
      </x:c>
      <x:c r="AB2458" t="str">
        <x:v>Campus=80; Ratio=0.0; Prodi=55; RelDemand=0.0; Capacity=87.5</x:v>
      </x:c>
    </x:row>
    <x:row r="2459">
      <x:c r="A2459" t="n">
        <x:v>2456</x:v>
      </x:c>
      <x:c r="B2459" t="str">
        <x:v>PTN Akademik</x:v>
      </x:c>
      <x:c r="C2459" t="str">
        <x:v>UNIVERSITAS NEGERI SURABAYA</x:v>
      </x:c>
      <x:c r="D2459" t="str">
        <x:v>HUBUNGAN INTERNASIONAL</x:v>
      </x:c>
      <x:c r="E2459" t="str">
        <x:v>Sarjana</x:v>
      </x:c>
      <x:c r="F2459" s="18" t="n">
        <x:v>63</x:v>
      </x:c>
      <x:c r="G2459" s="18"/>
      <x:c r="H2459" s="19" t="n">
        <x:v>0</x:v>
      </x:c>
      <x:c r="I2459" s="18" t="n">
        <x:f>ROUND(MIN(Model_Config_v3!$B$6,MAX(Q2459,R2459,S2459*Model_Config_v3!$B$4+T2459*Model_Config_v3!$B$5)),0)</x:f>
        <x:v>620</x:v>
      </x:c>
      <x:c r="J2459" s="18" t="n">
        <x:f>MIN(Model_Config_v3!$B$6,I2459+Model_Config_v3!$B$7)</x:f>
        <x:v>640</x:v>
      </x:c>
      <x:c r="K2459" s="20" t="n">
        <x:v>40.8</x:v>
      </x:c>
      <x:c r="L2459" t="str">
        <x:v>RELATIF LONGGAR</x:v>
      </x:c>
      <x:c r="M2459" t="str">
        <x:v>RENDAH</x:v>
      </x:c>
      <x:c r="N2459" t="str">
        <x:v>ELITE-3</x:v>
      </x:c>
      <x:c r="O2459" t="str">
        <x:v>SOSHUM</x:v>
      </x:c>
      <x:c r="P2459" t="str">
        <x:v>UMUM</x:v>
      </x:c>
      <x:c r="Q2459" s="18" t="n">
        <x:v>620</x:v>
      </x:c>
      <x:c r="R2459" s="18" t="n">
        <x:v>0</x:v>
      </x:c>
      <x:c r="S2459" s="18" t="n">
        <x:v>520</x:v>
      </x:c>
      <x:c r="T2459" s="18" t="n">
        <x:v>642</x:v>
      </x:c>
      <x:c r="U2459" s="18" t="n">
        <x:v>620</x:v>
      </x:c>
      <x:c r="V2459" s="20" t="n">
        <x:v>4.4</x:v>
      </x:c>
      <x:c r="W2459" s="20" t="n">
        <x:v>14.3</x:v>
      </x:c>
      <x:c r="X2459" s="20" t="n">
        <x:v>3.3</x:v>
      </x:c>
      <x:c r="Y2459" t="str">
        <x:v>Basis arsip 2025/2024</x:v>
      </x:c>
      <x:c r="Z2459" t="str">
        <x:v>https://snpmb.id/utbk-snbt/daya-tampung-snbt</x:v>
      </x:c>
      <x:c r="AA2459" t="str">
        <x:v>Tidak Ada</x:v>
      </x:c>
      <x:c r="AB2459" t="str">
        <x:v>Campus=80; Ratio=0.0; Prodi=40; RelDemand=0.0; Capacity=47.5</x:v>
      </x:c>
    </x:row>
    <x:row r="2460">
      <x:c r="A2460" t="n">
        <x:v>2457</x:v>
      </x:c>
      <x:c r="B2460" t="str">
        <x:v>PTN Akademik</x:v>
      </x:c>
      <x:c r="C2460" t="str">
        <x:v>UNIVERSITAS NEGERI SURABAYA</x:v>
      </x:c>
      <x:c r="D2460" t="str">
        <x:v>PERENCANAAN WILAYAH DAN KOTA</x:v>
      </x:c>
      <x:c r="E2460" t="str">
        <x:v>Sarjana</x:v>
      </x:c>
      <x:c r="F2460" s="18" t="n">
        <x:v>49</x:v>
      </x:c>
      <x:c r="G2460" s="18"/>
      <x:c r="H2460" s="19" t="n">
        <x:v>0</x:v>
      </x:c>
      <x:c r="I2460" s="18" t="n">
        <x:f>ROUND(MIN(Model_Config_v3!$B$6,MAX(Q2460,R2460,S2460*Model_Config_v3!$B$4+T2460*Model_Config_v3!$B$5)),0)</x:f>
        <x:v>620</x:v>
      </x:c>
      <x:c r="J2460" s="18" t="n">
        <x:f>MIN(Model_Config_v3!$B$6,I2460+Model_Config_v3!$B$7)</x:f>
        <x:v>640</x:v>
      </x:c>
      <x:c r="K2460" s="20" t="n">
        <x:v>41.9</x:v>
      </x:c>
      <x:c r="L2460" t="str">
        <x:v>RELATIF LONGGAR</x:v>
      </x:c>
      <x:c r="M2460" t="str">
        <x:v>RENDAH</x:v>
      </x:c>
      <x:c r="N2460" t="str">
        <x:v>ELITE-3</x:v>
      </x:c>
      <x:c r="O2460" t="str">
        <x:v>CAMPURAN</x:v>
      </x:c>
      <x:c r="P2460" t="str">
        <x:v>UMUM</x:v>
      </x:c>
      <x:c r="Q2460" s="18" t="n">
        <x:v>620</x:v>
      </x:c>
      <x:c r="R2460" s="18" t="n">
        <x:v>0</x:v>
      </x:c>
      <x:c r="S2460" s="18" t="n">
        <x:v>520</x:v>
      </x:c>
      <x:c r="T2460" s="18" t="n">
        <x:v>644</x:v>
      </x:c>
      <x:c r="U2460" s="18" t="n">
        <x:v>620</x:v>
      </x:c>
      <x:c r="V2460" s="20" t="n">
        <x:v>8.8</x:v>
      </x:c>
      <x:c r="W2460" s="20" t="n">
        <x:v>9.9</x:v>
      </x:c>
      <x:c r="X2460" s="20" t="n">
        <x:v>3.3</x:v>
      </x:c>
      <x:c r="Y2460" t="str">
        <x:v>Basis arsip 2025/2024</x:v>
      </x:c>
      <x:c r="Z2460" t="str">
        <x:v>https://snpmb.id/utbk-snbt/daya-tampung-snbt</x:v>
      </x:c>
      <x:c r="AA2460" t="str">
        <x:v>Tidak Ada</x:v>
      </x:c>
      <x:c r="AB2460" t="str">
        <x:v>Campus=80; Ratio=0.0; Prodi=40; RelDemand=0.0; Capacity=59.2</x:v>
      </x:c>
    </x:row>
    <x:row r="2461">
      <x:c r="A2461" t="n">
        <x:v>2458</x:v>
      </x:c>
      <x:c r="B2461" t="str">
        <x:v>PTN Akademik</x:v>
      </x:c>
      <x:c r="C2461" t="str">
        <x:v>UNIVERSITAS NEGERI SURABAYA</x:v>
      </x:c>
      <x:c r="D2461" t="str">
        <x:v>SAINS AKTUARIA</x:v>
      </x:c>
      <x:c r="E2461" t="str">
        <x:v>Sarjana</x:v>
      </x:c>
      <x:c r="F2461" s="18" t="n">
        <x:v>42</x:v>
      </x:c>
      <x:c r="G2461" s="18"/>
      <x:c r="H2461" s="19" t="n">
        <x:v>0</x:v>
      </x:c>
      <x:c r="I2461" s="18" t="n">
        <x:f>ROUND(MIN(Model_Config_v3!$B$6,MAX(Q2461,R2461,S2461*Model_Config_v3!$B$4+T2461*Model_Config_v3!$B$5)),0)</x:f>
        <x:v>620</x:v>
      </x:c>
      <x:c r="J2461" s="18" t="n">
        <x:f>MIN(Model_Config_v3!$B$6,I2461+Model_Config_v3!$B$7)</x:f>
        <x:v>640</x:v>
      </x:c>
      <x:c r="K2461" s="20" t="n">
        <x:v>46.5</x:v>
      </x:c>
      <x:c r="L2461" t="str">
        <x:v>MENENGAH</x:v>
      </x:c>
      <x:c r="M2461" t="str">
        <x:v>RENDAH</x:v>
      </x:c>
      <x:c r="N2461" t="str">
        <x:v>ELITE-3</x:v>
      </x:c>
      <x:c r="O2461" t="str">
        <x:v>SAINTEK</x:v>
      </x:c>
      <x:c r="P2461" t="str">
        <x:v>TEKNIK/ARSITEKTUR/STATISTIKA/AKTUARIA</x:v>
      </x:c>
      <x:c r="Q2461" s="18" t="n">
        <x:v>620</x:v>
      </x:c>
      <x:c r="R2461" s="18" t="n">
        <x:v>0</x:v>
      </x:c>
      <x:c r="S2461" s="18" t="n">
        <x:v>520</x:v>
      </x:c>
      <x:c r="T2461" s="18" t="n">
        <x:v>653</x:v>
      </x:c>
      <x:c r="U2461" s="18" t="n">
        <x:v>620</x:v>
      </x:c>
      <x:c r="V2461" s="20" t="n">
        <x:v>12</x:v>
      </x:c>
      <x:c r="W2461" s="20" t="n">
        <x:v>5</x:v>
      </x:c>
      <x:c r="X2461" s="20" t="n">
        <x:v>3</x:v>
      </x:c>
      <x:c r="Y2461" t="str">
        <x:v>Basis arsip 2025/2024</x:v>
      </x:c>
      <x:c r="Z2461" t="str">
        <x:v>https://snpmb.id/utbk-snbt/daya-tampung-snbt</x:v>
      </x:c>
      <x:c r="AA2461" t="str">
        <x:v>Tidak Ada</x:v>
      </x:c>
      <x:c r="AB2461" t="str">
        <x:v>Campus=80; Ratio=0.0; Prodi=60; RelDemand=0.0; Capacity=65.0</x:v>
      </x:c>
    </x:row>
    <x:row r="2462">
      <x:c r="A2462" t="n">
        <x:v>2459</x:v>
      </x:c>
      <x:c r="B2462" t="str">
        <x:v>PTN Akademik</x:v>
      </x:c>
      <x:c r="C2462" t="str">
        <x:v>UNIVERSITAS NEGERI SURABAYA</x:v>
      </x:c>
      <x:c r="D2462" t="str">
        <x:v>PENDIDIKAN GURU PENDIDIKAN ANAK USIA DINI (KAMPUS KABUPATEN MAGETAN)</x:v>
      </x:c>
      <x:c r="E2462" t="str">
        <x:v>Sarjana</x:v>
      </x:c>
      <x:c r="F2462" s="18" t="n">
        <x:v>45</x:v>
      </x:c>
      <x:c r="G2462" s="18"/>
      <x:c r="H2462" s="19" t="n">
        <x:v>0</x:v>
      </x:c>
      <x:c r="I2462" s="18" t="n">
        <x:f>ROUND(MIN(Model_Config_v3!$B$6,MAX(Q2462,R2462,S2462*Model_Config_v3!$B$4+T2462*Model_Config_v3!$B$5)),0)</x:f>
        <x:v>620</x:v>
      </x:c>
      <x:c r="J2462" s="18" t="n">
        <x:f>MIN(Model_Config_v3!$B$6,I2462+Model_Config_v3!$B$7)</x:f>
        <x:v>640</x:v>
      </x:c>
      <x:c r="K2462" s="20" t="n">
        <x:v>43.2</x:v>
      </x:c>
      <x:c r="L2462" t="str">
        <x:v>RELATIF LONGGAR</x:v>
      </x:c>
      <x:c r="M2462" t="str">
        <x:v>RENDAH</x:v>
      </x:c>
      <x:c r="N2462" t="str">
        <x:v>ELITE-3</x:v>
      </x:c>
      <x:c r="O2462" t="str">
        <x:v>CAMPURAN</x:v>
      </x:c>
      <x:c r="P2462" t="str">
        <x:v>PENDIDIKAN</x:v>
      </x:c>
      <x:c r="Q2462" s="18" t="n">
        <x:v>620</x:v>
      </x:c>
      <x:c r="R2462" s="18" t="n">
        <x:v>0</x:v>
      </x:c>
      <x:c r="S2462" s="18" t="n">
        <x:v>520</x:v>
      </x:c>
      <x:c r="T2462" s="18" t="n">
        <x:v>646</x:v>
      </x:c>
      <x:c r="U2462" s="18" t="n">
        <x:v>620</x:v>
      </x:c>
      <x:c r="V2462" s="20" t="n">
        <x:v>8.8</x:v>
      </x:c>
      <x:c r="W2462" s="20" t="n">
        <x:v>9.9</x:v>
      </x:c>
      <x:c r="X2462" s="20" t="n">
        <x:v>3.3</x:v>
      </x:c>
      <x:c r="Y2462" t="str">
        <x:v>Basis arsip 2025/2024</x:v>
      </x:c>
      <x:c r="Z2462" t="str">
        <x:v>https://snpmb.id/utbk-snbt/daya-tampung-snbt</x:v>
      </x:c>
      <x:c r="AA2462" t="str">
        <x:v>Tidak Ada</x:v>
      </x:c>
      <x:c r="AB2462" t="str">
        <x:v>Campus=80; Ratio=0.0; Prodi=45; RelDemand=0.0; Capacity=62.5</x:v>
      </x:c>
    </x:row>
    <x:row r="2463">
      <x:c r="A2463" t="n">
        <x:v>2460</x:v>
      </x:c>
      <x:c r="B2463" t="str">
        <x:v>PTN Akademik</x:v>
      </x:c>
      <x:c r="C2463" t="str">
        <x:v>UNIVERSITAS NEGERI SURABAYA</x:v>
      </x:c>
      <x:c r="D2463" t="str">
        <x:v>TEKNOLOGI PENDIDIKAN (KAMPUS KABUPATEN MAGETAN)</x:v>
      </x:c>
      <x:c r="E2463" t="str">
        <x:v>Sarjana</x:v>
      </x:c>
      <x:c r="F2463" s="18" t="n">
        <x:v>45</x:v>
      </x:c>
      <x:c r="G2463" s="18"/>
      <x:c r="H2463" s="19" t="n">
        <x:v>0</x:v>
      </x:c>
      <x:c r="I2463" s="18" t="n">
        <x:f>ROUND(MIN(Model_Config_v3!$B$6,MAX(Q2463,R2463,S2463*Model_Config_v3!$B$4+T2463*Model_Config_v3!$B$5)),0)</x:f>
        <x:v>620</x:v>
      </x:c>
      <x:c r="J2463" s="18" t="n">
        <x:f>MIN(Model_Config_v3!$B$6,I2463+Model_Config_v3!$B$7)</x:f>
        <x:v>640</x:v>
      </x:c>
      <x:c r="K2463" s="20" t="n">
        <x:v>43.2</x:v>
      </x:c>
      <x:c r="L2463" t="str">
        <x:v>RELATIF LONGGAR</x:v>
      </x:c>
      <x:c r="M2463" t="str">
        <x:v>RENDAH</x:v>
      </x:c>
      <x:c r="N2463" t="str">
        <x:v>ELITE-3</x:v>
      </x:c>
      <x:c r="O2463" t="str">
        <x:v>SAINTEK</x:v>
      </x:c>
      <x:c r="P2463" t="str">
        <x:v>PENDIDIKAN</x:v>
      </x:c>
      <x:c r="Q2463" s="18" t="n">
        <x:v>620</x:v>
      </x:c>
      <x:c r="R2463" s="18" t="n">
        <x:v>0</x:v>
      </x:c>
      <x:c r="S2463" s="18" t="n">
        <x:v>520</x:v>
      </x:c>
      <x:c r="T2463" s="18" t="n">
        <x:v>646</x:v>
      </x:c>
      <x:c r="U2463" s="18" t="n">
        <x:v>620</x:v>
      </x:c>
      <x:c r="V2463" s="20" t="n">
        <x:v>12</x:v>
      </x:c>
      <x:c r="W2463" s="20" t="n">
        <x:v>5</x:v>
      </x:c>
      <x:c r="X2463" s="20" t="n">
        <x:v>3</x:v>
      </x:c>
      <x:c r="Y2463" t="str">
        <x:v>Basis arsip 2025/2024</x:v>
      </x:c>
      <x:c r="Z2463" t="str">
        <x:v>https://snpmb.id/utbk-snbt/daya-tampung-snbt</x:v>
      </x:c>
      <x:c r="AA2463" t="str">
        <x:v>Tidak Ada</x:v>
      </x:c>
      <x:c r="AB2463" t="str">
        <x:v>Campus=80; Ratio=0.0; Prodi=45; RelDemand=0.0; Capacity=62.5</x:v>
      </x:c>
    </x:row>
    <x:row r="2464">
      <x:c r="A2464" t="n">
        <x:v>2461</x:v>
      </x:c>
      <x:c r="B2464" t="str">
        <x:v>PTN Akademik</x:v>
      </x:c>
      <x:c r="C2464" t="str">
        <x:v>UNIVERSITAS NEGERI SURABAYA</x:v>
      </x:c>
      <x:c r="D2464" t="str">
        <x:v>BIMBINGAN DAN KONSELING (KAMPUS KABUPATEN MAGETAN)</x:v>
      </x:c>
      <x:c r="E2464" t="str">
        <x:v>Sarjana</x:v>
      </x:c>
      <x:c r="F2464" s="18" t="n">
        <x:v>45</x:v>
      </x:c>
      <x:c r="G2464" s="18"/>
      <x:c r="H2464" s="19" t="n">
        <x:v>0</x:v>
      </x:c>
      <x:c r="I2464" s="18" t="n">
        <x:f>ROUND(MIN(Model_Config_v3!$B$6,MAX(Q2464,R2464,S2464*Model_Config_v3!$B$4+T2464*Model_Config_v3!$B$5)),0)</x:f>
        <x:v>620</x:v>
      </x:c>
      <x:c r="J2464" s="18" t="n">
        <x:f>MIN(Model_Config_v3!$B$6,I2464+Model_Config_v3!$B$7)</x:f>
        <x:v>640</x:v>
      </x:c>
      <x:c r="K2464" s="20" t="n">
        <x:v>42.2</x:v>
      </x:c>
      <x:c r="L2464" t="str">
        <x:v>RELATIF LONGGAR</x:v>
      </x:c>
      <x:c r="M2464" t="str">
        <x:v>RENDAH</x:v>
      </x:c>
      <x:c r="N2464" t="str">
        <x:v>ELITE-3</x:v>
      </x:c>
      <x:c r="O2464" t="str">
        <x:v>CAMPURAN</x:v>
      </x:c>
      <x:c r="P2464" t="str">
        <x:v>UMUM</x:v>
      </x:c>
      <x:c r="Q2464" s="18" t="n">
        <x:v>620</x:v>
      </x:c>
      <x:c r="R2464" s="18" t="n">
        <x:v>0</x:v>
      </x:c>
      <x:c r="S2464" s="18" t="n">
        <x:v>520</x:v>
      </x:c>
      <x:c r="T2464" s="18" t="n">
        <x:v>644</x:v>
      </x:c>
      <x:c r="U2464" s="18" t="n">
        <x:v>620</x:v>
      </x:c>
      <x:c r="V2464" s="20" t="n">
        <x:v>8.8</x:v>
      </x:c>
      <x:c r="W2464" s="20" t="n">
        <x:v>9.9</x:v>
      </x:c>
      <x:c r="X2464" s="20" t="n">
        <x:v>3.3</x:v>
      </x:c>
      <x:c r="Y2464" t="str">
        <x:v>Basis arsip 2025/2024</x:v>
      </x:c>
      <x:c r="Z2464" t="str">
        <x:v>https://snpmb.id/utbk-snbt/daya-tampung-snbt</x:v>
      </x:c>
      <x:c r="AA2464" t="str">
        <x:v>Tidak Ada</x:v>
      </x:c>
      <x:c r="AB2464" t="str">
        <x:v>Campus=80; Ratio=0.0; Prodi=40; RelDemand=0.0; Capacity=62.5</x:v>
      </x:c>
    </x:row>
    <x:row r="2465">
      <x:c r="A2465" t="n">
        <x:v>2462</x:v>
      </x:c>
      <x:c r="B2465" t="str">
        <x:v>PTN Akademik</x:v>
      </x:c>
      <x:c r="C2465" t="str">
        <x:v>UNIVERSITAS NEGERI SURABAYA</x:v>
      </x:c>
      <x:c r="D2465" t="str">
        <x:v>PENDIDIKAN KEPELATIHAN OLAHRAGA (KAMPUS KABUPATEN MAGETAN)</x:v>
      </x:c>
      <x:c r="E2465" t="str">
        <x:v>Sarjana</x:v>
      </x:c>
      <x:c r="F2465" s="18" t="n">
        <x:v>45</x:v>
      </x:c>
      <x:c r="G2465" s="18"/>
      <x:c r="H2465" s="19" t="n">
        <x:v>0</x:v>
      </x:c>
      <x:c r="I2465" s="18" t="n">
        <x:f>ROUND(MIN(Model_Config_v3!$B$6,MAX(Q2465,R2465,S2465*Model_Config_v3!$B$4+T2465*Model_Config_v3!$B$5)),0)</x:f>
        <x:v>620</x:v>
      </x:c>
      <x:c r="J2465" s="18" t="n">
        <x:f>MIN(Model_Config_v3!$B$6,I2465+Model_Config_v3!$B$7)</x:f>
        <x:v>640</x:v>
      </x:c>
      <x:c r="K2465" s="20" t="n">
        <x:v>43.2</x:v>
      </x:c>
      <x:c r="L2465" t="str">
        <x:v>RELATIF LONGGAR</x:v>
      </x:c>
      <x:c r="M2465" t="str">
        <x:v>PORTOFOLIO</x:v>
      </x:c>
      <x:c r="N2465" t="str">
        <x:v>ELITE-3</x:v>
      </x:c>
      <x:c r="O2465" t="str">
        <x:v>SENI/OLAHRAGA</x:v>
      </x:c>
      <x:c r="P2465" t="str">
        <x:v>SENI/OLAHRAGA</x:v>
      </x:c>
      <x:c r="Q2465" s="18" t="n">
        <x:v>620</x:v>
      </x:c>
      <x:c r="R2465" s="18" t="n">
        <x:v>0</x:v>
      </x:c>
      <x:c r="S2465" s="18" t="n">
        <x:v>520</x:v>
      </x:c>
      <x:c r="T2465" s="18" t="n">
        <x:v>646</x:v>
      </x:c>
      <x:c r="U2465" s="18" t="n">
        <x:v>620</x:v>
      </x:c>
      <x:c r="V2465" s="20" t="n">
        <x:v>4.4</x:v>
      </x:c>
      <x:c r="W2465" s="20" t="n">
        <x:v>9.9</x:v>
      </x:c>
      <x:c r="X2465" s="20" t="n">
        <x:v>7.7</x:v>
      </x:c>
      <x:c r="Y2465" t="str">
        <x:v>Basis arsip 2025/2024</x:v>
      </x:c>
      <x:c r="Z2465" t="str">
        <x:v>https://snpmb.id/utbk-snbt/daya-tampung-snbt</x:v>
      </x:c>
      <x:c r="AA2465" t="str">
        <x:v>Olahraga</x:v>
      </x:c>
      <x:c r="AB2465" t="str">
        <x:v>Campus=80; Ratio=0.0; Prodi=45; RelDemand=0.0; Capacity=62.5</x:v>
      </x:c>
    </x:row>
    <x:row r="2466">
      <x:c r="A2466" t="n">
        <x:v>2463</x:v>
      </x:c>
      <x:c r="B2466" t="str">
        <x:v>PTN Akademik</x:v>
      </x:c>
      <x:c r="C2466" t="str">
        <x:v>UNIVERSITAS NEGERI SURABAYA</x:v>
      </x:c>
      <x:c r="D2466" t="str">
        <x:v>PENDIDIKAN BAHASA DAN SASTRA INDONESIA (KAMPUS KABUPATEN MAGETAN)</x:v>
      </x:c>
      <x:c r="E2466" t="str">
        <x:v>Sarjana</x:v>
      </x:c>
      <x:c r="F2466" s="18" t="n">
        <x:v>45</x:v>
      </x:c>
      <x:c r="G2466" s="18"/>
      <x:c r="H2466" s="19" t="n">
        <x:v>0</x:v>
      </x:c>
      <x:c r="I2466" s="18" t="n">
        <x:f>ROUND(MIN(Model_Config_v3!$B$6,MAX(Q2466,R2466,S2466*Model_Config_v3!$B$4+T2466*Model_Config_v3!$B$5)),0)</x:f>
        <x:v>620</x:v>
      </x:c>
      <x:c r="J2466" s="18" t="n">
        <x:f>MIN(Model_Config_v3!$B$6,I2466+Model_Config_v3!$B$7)</x:f>
        <x:v>640</x:v>
      </x:c>
      <x:c r="K2466" s="20" t="n">
        <x:v>43.2</x:v>
      </x:c>
      <x:c r="L2466" t="str">
        <x:v>RELATIF LONGGAR</x:v>
      </x:c>
      <x:c r="M2466" t="str">
        <x:v>RENDAH</x:v>
      </x:c>
      <x:c r="N2466" t="str">
        <x:v>ELITE-3</x:v>
      </x:c>
      <x:c r="O2466" t="str">
        <x:v>SOSHUM</x:v>
      </x:c>
      <x:c r="P2466" t="str">
        <x:v>PENDIDIKAN</x:v>
      </x:c>
      <x:c r="Q2466" s="18" t="n">
        <x:v>620</x:v>
      </x:c>
      <x:c r="R2466" s="18" t="n">
        <x:v>0</x:v>
      </x:c>
      <x:c r="S2466" s="18" t="n">
        <x:v>520</x:v>
      </x:c>
      <x:c r="T2466" s="18" t="n">
        <x:v>646</x:v>
      </x:c>
      <x:c r="U2466" s="18" t="n">
        <x:v>620</x:v>
      </x:c>
      <x:c r="V2466" s="20" t="n">
        <x:v>4.4</x:v>
      </x:c>
      <x:c r="W2466" s="20" t="n">
        <x:v>14.3</x:v>
      </x:c>
      <x:c r="X2466" s="20" t="n">
        <x:v>3.3</x:v>
      </x:c>
      <x:c r="Y2466" t="str">
        <x:v>Basis arsip 2025/2024</x:v>
      </x:c>
      <x:c r="Z2466" t="str">
        <x:v>https://snpmb.id/utbk-snbt/daya-tampung-snbt</x:v>
      </x:c>
      <x:c r="AA2466" t="str">
        <x:v>Tidak Ada</x:v>
      </x:c>
      <x:c r="AB2466" t="str">
        <x:v>Campus=80; Ratio=0.0; Prodi=45; RelDemand=0.0; Capacity=62.5</x:v>
      </x:c>
    </x:row>
    <x:row r="2467">
      <x:c r="A2467" t="n">
        <x:v>2464</x:v>
      </x:c>
      <x:c r="B2467" t="str">
        <x:v>PTN Akademik</x:v>
      </x:c>
      <x:c r="C2467" t="str">
        <x:v>UNIVERSITAS NEGERI SURABAYA</x:v>
      </x:c>
      <x:c r="D2467" t="str">
        <x:v>TEKNOLOGI PANGAN DAN HASIL PERTANIAN</x:v>
      </x:c>
      <x:c r="E2467" t="str">
        <x:v>Sarjana</x:v>
      </x:c>
      <x:c r="F2467" s="18" t="n">
        <x:v>40</x:v>
      </x:c>
      <x:c r="G2467" s="18"/>
      <x:c r="H2467" s="19" t="n">
        <x:v>0</x:v>
      </x:c>
      <x:c r="I2467" s="18" t="n">
        <x:f>ROUND(MIN(Model_Config_v3!$B$6,MAX(Q2467,R2467,S2467*Model_Config_v3!$B$4+T2467*Model_Config_v3!$B$5)),0)</x:f>
        <x:v>620</x:v>
      </x:c>
      <x:c r="J2467" s="18" t="n">
        <x:f>MIN(Model_Config_v3!$B$6,I2467+Model_Config_v3!$B$7)</x:f>
        <x:v>640</x:v>
      </x:c>
      <x:c r="K2467" s="20" t="n">
        <x:v>42.7</x:v>
      </x:c>
      <x:c r="L2467" t="str">
        <x:v>RELATIF LONGGAR</x:v>
      </x:c>
      <x:c r="M2467" t="str">
        <x:v>RENDAH</x:v>
      </x:c>
      <x:c r="N2467" t="str">
        <x:v>ELITE-3</x:v>
      </x:c>
      <x:c r="O2467" t="str">
        <x:v>SAINTEK</x:v>
      </x:c>
      <x:c r="P2467" t="str">
        <x:v>UMUM</x:v>
      </x:c>
      <x:c r="Q2467" s="18" t="n">
        <x:v>620</x:v>
      </x:c>
      <x:c r="R2467" s="18" t="n">
        <x:v>0</x:v>
      </x:c>
      <x:c r="S2467" s="18" t="n">
        <x:v>520</x:v>
      </x:c>
      <x:c r="T2467" s="18" t="n">
        <x:v>645</x:v>
      </x:c>
      <x:c r="U2467" s="18" t="n">
        <x:v>620</x:v>
      </x:c>
      <x:c r="V2467" s="20" t="n">
        <x:v>12</x:v>
      </x:c>
      <x:c r="W2467" s="20" t="n">
        <x:v>5</x:v>
      </x:c>
      <x:c r="X2467" s="20" t="n">
        <x:v>3</x:v>
      </x:c>
      <x:c r="Y2467" t="str">
        <x:v>Basis arsip 2025/2024</x:v>
      </x:c>
      <x:c r="Z2467" t="str">
        <x:v>https://snpmb.id/utbk-snbt/daya-tampung-snbt</x:v>
      </x:c>
      <x:c r="AA2467" t="str">
        <x:v>Tidak Ada</x:v>
      </x:c>
      <x:c r="AB2467" t="str">
        <x:v>Campus=80; Ratio=0.0; Prodi=40; RelDemand=0.0; Capacity=66.7</x:v>
      </x:c>
    </x:row>
    <x:row r="2468">
      <x:c r="A2468" t="n">
        <x:v>2465</x:v>
      </x:c>
      <x:c r="B2468" t="str">
        <x:v>PTN Akademik</x:v>
      </x:c>
      <x:c r="C2468" t="str">
        <x:v>UNIVERSITAS NEGERI SURABAYA</x:v>
      </x:c>
      <x:c r="D2468" t="str">
        <x:v>AKUAKULTUR</x:v>
      </x:c>
      <x:c r="E2468" t="str">
        <x:v>Sarjana</x:v>
      </x:c>
      <x:c r="F2468" s="18" t="n">
        <x:v>40</x:v>
      </x:c>
      <x:c r="G2468" s="18"/>
      <x:c r="H2468" s="19" t="n">
        <x:v>0</x:v>
      </x:c>
      <x:c r="I2468" s="18" t="n">
        <x:f>ROUND(MIN(Model_Config_v3!$B$6,MAX(Q2468,R2468,S2468*Model_Config_v3!$B$4+T2468*Model_Config_v3!$B$5)),0)</x:f>
        <x:v>620</x:v>
      </x:c>
      <x:c r="J2468" s="18" t="n">
        <x:f>MIN(Model_Config_v3!$B$6,I2468+Model_Config_v3!$B$7)</x:f>
        <x:v>640</x:v>
      </x:c>
      <x:c r="K2468" s="20" t="n">
        <x:v>42.7</x:v>
      </x:c>
      <x:c r="L2468" t="str">
        <x:v>RELATIF LONGGAR</x:v>
      </x:c>
      <x:c r="M2468" t="str">
        <x:v>RENDAH</x:v>
      </x:c>
      <x:c r="N2468" t="str">
        <x:v>ELITE-3</x:v>
      </x:c>
      <x:c r="O2468" t="str">
        <x:v>CAMPURAN</x:v>
      </x:c>
      <x:c r="P2468" t="str">
        <x:v>UMUM</x:v>
      </x:c>
      <x:c r="Q2468" s="18" t="n">
        <x:v>620</x:v>
      </x:c>
      <x:c r="R2468" s="18" t="n">
        <x:v>0</x:v>
      </x:c>
      <x:c r="S2468" s="18" t="n">
        <x:v>520</x:v>
      </x:c>
      <x:c r="T2468" s="18" t="n">
        <x:v>645</x:v>
      </x:c>
      <x:c r="U2468" s="18" t="n">
        <x:v>620</x:v>
      </x:c>
      <x:c r="V2468" s="20" t="n">
        <x:v>8.8</x:v>
      </x:c>
      <x:c r="W2468" s="20" t="n">
        <x:v>9.9</x:v>
      </x:c>
      <x:c r="X2468" s="20" t="n">
        <x:v>3.3</x:v>
      </x:c>
      <x:c r="Y2468" t="str">
        <x:v>Basis arsip 2025/2024</x:v>
      </x:c>
      <x:c r="Z2468" t="str">
        <x:v>https://snpmb.id/utbk-snbt/daya-tampung-snbt</x:v>
      </x:c>
      <x:c r="AA2468" t="str">
        <x:v>Tidak Ada</x:v>
      </x:c>
      <x:c r="AB2468" t="str">
        <x:v>Campus=80; Ratio=0.0; Prodi=40; RelDemand=0.0; Capacity=66.7</x:v>
      </x:c>
    </x:row>
    <x:row r="2469">
      <x:c r="A2469" t="n">
        <x:v>2466</x:v>
      </x:c>
      <x:c r="B2469" t="str">
        <x:v>PTN Akademik</x:v>
      </x:c>
      <x:c r="C2469" t="str">
        <x:v>UNIVERSITAS NEGERI SURABAYA</x:v>
      </x:c>
      <x:c r="D2469" t="str">
        <x:v>PARIWISATA</x:v>
      </x:c>
      <x:c r="E2469" t="str">
        <x:v>Sarjana</x:v>
      </x:c>
      <x:c r="F2469" s="18" t="n">
        <x:v>40</x:v>
      </x:c>
      <x:c r="G2469" s="18"/>
      <x:c r="H2469" s="19" t="n">
        <x:v>0</x:v>
      </x:c>
      <x:c r="I2469" s="18" t="n">
        <x:f>ROUND(MIN(Model_Config_v3!$B$6,MAX(Q2469,R2469,S2469*Model_Config_v3!$B$4+T2469*Model_Config_v3!$B$5)),0)</x:f>
        <x:v>620</x:v>
      </x:c>
      <x:c r="J2469" s="18" t="n">
        <x:f>MIN(Model_Config_v3!$B$6,I2469+Model_Config_v3!$B$7)</x:f>
        <x:v>640</x:v>
      </x:c>
      <x:c r="K2469" s="20" t="n">
        <x:v>42.7</x:v>
      </x:c>
      <x:c r="L2469" t="str">
        <x:v>RELATIF LONGGAR</x:v>
      </x:c>
      <x:c r="M2469" t="str">
        <x:v>RENDAH</x:v>
      </x:c>
      <x:c r="N2469" t="str">
        <x:v>ELITE-3</x:v>
      </x:c>
      <x:c r="O2469" t="str">
        <x:v>CAMPURAN</x:v>
      </x:c>
      <x:c r="P2469" t="str">
        <x:v>UMUM</x:v>
      </x:c>
      <x:c r="Q2469" s="18" t="n">
        <x:v>620</x:v>
      </x:c>
      <x:c r="R2469" s="18" t="n">
        <x:v>0</x:v>
      </x:c>
      <x:c r="S2469" s="18" t="n">
        <x:v>520</x:v>
      </x:c>
      <x:c r="T2469" s="18" t="n">
        <x:v>645</x:v>
      </x:c>
      <x:c r="U2469" s="18" t="n">
        <x:v>620</x:v>
      </x:c>
      <x:c r="V2469" s="20" t="n">
        <x:v>8.8</x:v>
      </x:c>
      <x:c r="W2469" s="20" t="n">
        <x:v>9.9</x:v>
      </x:c>
      <x:c r="X2469" s="20" t="n">
        <x:v>3.3</x:v>
      </x:c>
      <x:c r="Y2469" t="str">
        <x:v>Basis arsip 2025/2024</x:v>
      </x:c>
      <x:c r="Z2469" t="str">
        <x:v>https://snpmb.id/utbk-snbt/daya-tampung-snbt</x:v>
      </x:c>
      <x:c r="AA2469" t="str">
        <x:v>Tidak Ada</x:v>
      </x:c>
      <x:c r="AB2469" t="str">
        <x:v>Campus=80; Ratio=0.0; Prodi=40; RelDemand=0.0; Capacity=66.7</x:v>
      </x:c>
    </x:row>
    <x:row r="2470">
      <x:c r="A2470" t="n">
        <x:v>2467</x:v>
      </x:c>
      <x:c r="B2470" t="str">
        <x:v>PTN Akademik</x:v>
      </x:c>
      <x:c r="C2470" t="str">
        <x:v>UNIVERSITAS NEGERI SURABAYA</x:v>
      </x:c>
      <x:c r="D2470" t="str">
        <x:v>FILM DAN ANIMASI</x:v>
      </x:c>
      <x:c r="E2470" t="str">
        <x:v>Sarjana</x:v>
      </x:c>
      <x:c r="F2470" s="18" t="n">
        <x:v>40</x:v>
      </x:c>
      <x:c r="G2470" s="18"/>
      <x:c r="H2470" s="19" t="n">
        <x:v>0</x:v>
      </x:c>
      <x:c r="I2470" s="18" t="n">
        <x:f>ROUND(MIN(Model_Config_v3!$B$6,MAX(Q2470,R2470,S2470*Model_Config_v3!$B$4+T2470*Model_Config_v3!$B$5)),0)</x:f>
        <x:v>620</x:v>
      </x:c>
      <x:c r="J2470" s="18" t="n">
        <x:f>MIN(Model_Config_v3!$B$6,I2470+Model_Config_v3!$B$7)</x:f>
        <x:v>640</x:v>
      </x:c>
      <x:c r="K2470" s="20" t="n">
        <x:v>43.7</x:v>
      </x:c>
      <x:c r="L2470" t="str">
        <x:v>RELATIF LONGGAR</x:v>
      </x:c>
      <x:c r="M2470" t="str">
        <x:v>PORTOFOLIO</x:v>
      </x:c>
      <x:c r="N2470" t="str">
        <x:v>ELITE-3</x:v>
      </x:c>
      <x:c r="O2470" t="str">
        <x:v>SENI/OLAHRAGA</x:v>
      </x:c>
      <x:c r="P2470" t="str">
        <x:v>SENI/OLAHRAGA</x:v>
      </x:c>
      <x:c r="Q2470" s="18" t="n">
        <x:v>620</x:v>
      </x:c>
      <x:c r="R2470" s="18" t="n">
        <x:v>0</x:v>
      </x:c>
      <x:c r="S2470" s="18" t="n">
        <x:v>520</x:v>
      </x:c>
      <x:c r="T2470" s="18" t="n">
        <x:v>647</x:v>
      </x:c>
      <x:c r="U2470" s="18" t="n">
        <x:v>620</x:v>
      </x:c>
      <x:c r="V2470" s="20" t="n">
        <x:v>4.4</x:v>
      </x:c>
      <x:c r="W2470" s="20" t="n">
        <x:v>9.9</x:v>
      </x:c>
      <x:c r="X2470" s="20" t="n">
        <x:v>7.7</x:v>
      </x:c>
      <x:c r="Y2470" t="str">
        <x:v>Basis arsip 2025/2024</x:v>
      </x:c>
      <x:c r="Z2470" t="str">
        <x:v>https://snpmb.id/utbk-snbt/daya-tampung-snbt</x:v>
      </x:c>
      <x:c r="AA2470" t="str">
        <x:v>Film dan Televisi</x:v>
      </x:c>
      <x:c r="AB2470" t="str">
        <x:v>Campus=80; Ratio=0.0; Prodi=45; RelDemand=0.0; Capacity=66.7</x:v>
      </x:c>
    </x:row>
    <x:row r="2471">
      <x:c r="A2471" t="n">
        <x:v>2468</x:v>
      </x:c>
      <x:c r="B2471" t="str">
        <x:v>PTN Akademik</x:v>
      </x:c>
      <x:c r="C2471" t="str">
        <x:v>UNIVERSITAS NEGERI SURABAYA</x:v>
      </x:c>
      <x:c r="D2471" t="str">
        <x:v>BIOSAINS HEWAN</x:v>
      </x:c>
      <x:c r="E2471" t="str">
        <x:v>Sarjana</x:v>
      </x:c>
      <x:c r="F2471" s="18" t="n">
        <x:v>40</x:v>
      </x:c>
      <x:c r="G2471" s="18"/>
      <x:c r="H2471" s="19" t="n">
        <x:v>0</x:v>
      </x:c>
      <x:c r="I2471" s="18" t="n">
        <x:f>ROUND(MIN(Model_Config_v3!$B$6,MAX(Q2471,R2471,S2471*Model_Config_v3!$B$4+T2471*Model_Config_v3!$B$5)),0)</x:f>
        <x:v>620</x:v>
      </x:c>
      <x:c r="J2471" s="18" t="n">
        <x:f>MIN(Model_Config_v3!$B$6,I2471+Model_Config_v3!$B$7)</x:f>
        <x:v>640</x:v>
      </x:c>
      <x:c r="K2471" s="20" t="n">
        <x:v>42.7</x:v>
      </x:c>
      <x:c r="L2471" t="str">
        <x:v>RELATIF LONGGAR</x:v>
      </x:c>
      <x:c r="M2471" t="str">
        <x:v>RENDAH</x:v>
      </x:c>
      <x:c r="N2471" t="str">
        <x:v>ELITE-3</x:v>
      </x:c>
      <x:c r="O2471" t="str">
        <x:v>CAMPURAN</x:v>
      </x:c>
      <x:c r="P2471" t="str">
        <x:v>UMUM</x:v>
      </x:c>
      <x:c r="Q2471" s="18" t="n">
        <x:v>620</x:v>
      </x:c>
      <x:c r="R2471" s="18" t="n">
        <x:v>0</x:v>
      </x:c>
      <x:c r="S2471" s="18" t="n">
        <x:v>520</x:v>
      </x:c>
      <x:c r="T2471" s="18" t="n">
        <x:v>645</x:v>
      </x:c>
      <x:c r="U2471" s="18" t="n">
        <x:v>620</x:v>
      </x:c>
      <x:c r="V2471" s="20" t="n">
        <x:v>8.8</x:v>
      </x:c>
      <x:c r="W2471" s="20" t="n">
        <x:v>9.9</x:v>
      </x:c>
      <x:c r="X2471" s="20" t="n">
        <x:v>3.3</x:v>
      </x:c>
      <x:c r="Y2471" t="str">
        <x:v>Basis arsip 2025/2024</x:v>
      </x:c>
      <x:c r="Z2471" t="str">
        <x:v>https://snpmb.id/utbk-snbt/daya-tampung-snbt</x:v>
      </x:c>
      <x:c r="AA2471" t="str">
        <x:v>Tidak Ada</x:v>
      </x:c>
      <x:c r="AB2471" t="str">
        <x:v>Campus=80; Ratio=0.0; Prodi=40; RelDemand=0.0; Capacity=66.7</x:v>
      </x:c>
    </x:row>
    <x:row r="2472">
      <x:c r="A2472" t="n">
        <x:v>2469</x:v>
      </x:c>
      <x:c r="B2472" t="str">
        <x:v>PTN Akademik</x:v>
      </x:c>
      <x:c r="C2472" t="str">
        <x:v>UNIVERSITAS NEGERI SURABAYA</x:v>
      </x:c>
      <x:c r="D2472" t="str">
        <x:v>AGRIBISNIS DIGITAL</x:v>
      </x:c>
      <x:c r="E2472" t="str">
        <x:v>Sarjana</x:v>
      </x:c>
      <x:c r="F2472" s="18" t="n">
        <x:v>40</x:v>
      </x:c>
      <x:c r="G2472" s="18"/>
      <x:c r="H2472" s="19" t="n">
        <x:v>0</x:v>
      </x:c>
      <x:c r="I2472" s="18" t="n">
        <x:f>ROUND(MIN(Model_Config_v3!$B$6,MAX(Q2472,R2472,S2472*Model_Config_v3!$B$4+T2472*Model_Config_v3!$B$5)),0)</x:f>
        <x:v>620</x:v>
      </x:c>
      <x:c r="J2472" s="18" t="n">
        <x:f>MIN(Model_Config_v3!$B$6,I2472+Model_Config_v3!$B$7)</x:f>
        <x:v>640</x:v>
      </x:c>
      <x:c r="K2472" s="20" t="n">
        <x:v>47.7</x:v>
      </x:c>
      <x:c r="L2472" t="str">
        <x:v>MENENGAH</x:v>
      </x:c>
      <x:c r="M2472" t="str">
        <x:v>RENDAH</x:v>
      </x:c>
      <x:c r="N2472" t="str">
        <x:v>ELITE-3</x:v>
      </x:c>
      <x:c r="O2472" t="str">
        <x:v>SOSHUM</x:v>
      </x:c>
      <x:c r="P2472" t="str">
        <x:v>BISNIS/EKONOMI/AKUNTANSI</x:v>
      </x:c>
      <x:c r="Q2472" s="18" t="n">
        <x:v>620</x:v>
      </x:c>
      <x:c r="R2472" s="18" t="n">
        <x:v>0</x:v>
      </x:c>
      <x:c r="S2472" s="18" t="n">
        <x:v>520</x:v>
      </x:c>
      <x:c r="T2472" s="18" t="n">
        <x:v>655</x:v>
      </x:c>
      <x:c r="U2472" s="18" t="n">
        <x:v>620</x:v>
      </x:c>
      <x:c r="V2472" s="20" t="n">
        <x:v>4.4</x:v>
      </x:c>
      <x:c r="W2472" s="20" t="n">
        <x:v>14.3</x:v>
      </x:c>
      <x:c r="X2472" s="20" t="n">
        <x:v>3.3</x:v>
      </x:c>
      <x:c r="Y2472" t="str">
        <x:v>Basis arsip 2025/2024</x:v>
      </x:c>
      <x:c r="Z2472" t="str">
        <x:v>https://snpmb.id/utbk-snbt/daya-tampung-snbt</x:v>
      </x:c>
      <x:c r="AA2472" t="str">
        <x:v>Tidak Ada</x:v>
      </x:c>
      <x:c r="AB2472" t="str">
        <x:v>Campus=80; Ratio=0.0; Prodi=65; RelDemand=0.0; Capacity=66.7</x:v>
      </x:c>
    </x:row>
    <x:row r="2473">
      <x:c r="A2473" t="n">
        <x:v>2470</x:v>
      </x:c>
      <x:c r="B2473" t="str">
        <x:v>PTN Akademik</x:v>
      </x:c>
      <x:c r="C2473" t="str">
        <x:v>UNIVERSITAS NEGERI SURABAYA</x:v>
      </x:c>
      <x:c r="D2473" t="str">
        <x:v>KECERDASAN ARTIFISIAL</x:v>
      </x:c>
      <x:c r="E2473" t="str">
        <x:v>Sarjana</x:v>
      </x:c>
      <x:c r="F2473" s="18" t="n">
        <x:v>40</x:v>
      </x:c>
      <x:c r="G2473" s="18"/>
      <x:c r="H2473" s="19" t="n">
        <x:v>0</x:v>
      </x:c>
      <x:c r="I2473" s="18" t="n">
        <x:f>ROUND(MIN(Model_Config_v3!$B$6,MAX(Q2473,R2473,S2473*Model_Config_v3!$B$4+T2473*Model_Config_v3!$B$5)),0)</x:f>
        <x:v>620</x:v>
      </x:c>
      <x:c r="J2473" s="18" t="n">
        <x:f>MIN(Model_Config_v3!$B$6,I2473+Model_Config_v3!$B$7)</x:f>
        <x:v>640</x:v>
      </x:c>
      <x:c r="K2473" s="20" t="n">
        <x:v>42.7</x:v>
      </x:c>
      <x:c r="L2473" t="str">
        <x:v>RELATIF LONGGAR</x:v>
      </x:c>
      <x:c r="M2473" t="str">
        <x:v>RENDAH</x:v>
      </x:c>
      <x:c r="N2473" t="str">
        <x:v>ELITE-3</x:v>
      </x:c>
      <x:c r="O2473" t="str">
        <x:v>CAMPURAN</x:v>
      </x:c>
      <x:c r="P2473" t="str">
        <x:v>UMUM</x:v>
      </x:c>
      <x:c r="Q2473" s="18" t="n">
        <x:v>620</x:v>
      </x:c>
      <x:c r="R2473" s="18" t="n">
        <x:v>0</x:v>
      </x:c>
      <x:c r="S2473" s="18" t="n">
        <x:v>520</x:v>
      </x:c>
      <x:c r="T2473" s="18" t="n">
        <x:v>645</x:v>
      </x:c>
      <x:c r="U2473" s="18" t="n">
        <x:v>620</x:v>
      </x:c>
      <x:c r="V2473" s="20" t="n">
        <x:v>8.8</x:v>
      </x:c>
      <x:c r="W2473" s="20" t="n">
        <x:v>9.9</x:v>
      </x:c>
      <x:c r="X2473" s="20" t="n">
        <x:v>3.3</x:v>
      </x:c>
      <x:c r="Y2473" t="str">
        <x:v>Basis arsip 2025/2024</x:v>
      </x:c>
      <x:c r="Z2473" t="str">
        <x:v>https://snpmb.id/utbk-snbt/daya-tampung-snbt</x:v>
      </x:c>
      <x:c r="AA2473" t="str">
        <x:v>Tidak Ada</x:v>
      </x:c>
      <x:c r="AB2473" t="str">
        <x:v>Campus=80; Ratio=0.0; Prodi=40; RelDemand=0.0; Capacity=66.7</x:v>
      </x:c>
    </x:row>
    <x:row r="2474">
      <x:c r="A2474" t="n">
        <x:v>2471</x:v>
      </x:c>
      <x:c r="B2474" t="str">
        <x:v>PTN Akademik</x:v>
      </x:c>
      <x:c r="C2474" t="str">
        <x:v>UNIVERSITAS NEGERI SURABAYA</x:v>
      </x:c>
      <x:c r="D2474" t="str">
        <x:v>ILMU ADMINISTRASI NEGARA (PSDKU MAGETAN)</x:v>
      </x:c>
      <x:c r="E2474" t="str">
        <x:v>Sarjana</x:v>
      </x:c>
      <x:c r="F2474" s="18" t="n">
        <x:v>45</x:v>
      </x:c>
      <x:c r="G2474" s="18"/>
      <x:c r="H2474" s="19" t="n">
        <x:v>0</x:v>
      </x:c>
      <x:c r="I2474" s="18" t="n">
        <x:f>ROUND(MIN(Model_Config_v3!$B$6,MAX(Q2474,R2474,S2474*Model_Config_v3!$B$4+T2474*Model_Config_v3!$B$5)),0)</x:f>
        <x:v>620</x:v>
      </x:c>
      <x:c r="J2474" s="18" t="n">
        <x:f>MIN(Model_Config_v3!$B$6,I2474+Model_Config_v3!$B$7)</x:f>
        <x:v>640</x:v>
      </x:c>
      <x:c r="K2474" s="20" t="n">
        <x:v>42.2</x:v>
      </x:c>
      <x:c r="L2474" t="str">
        <x:v>RELATIF LONGGAR</x:v>
      </x:c>
      <x:c r="M2474" t="str">
        <x:v>RENDAH</x:v>
      </x:c>
      <x:c r="N2474" t="str">
        <x:v>ELITE-3</x:v>
      </x:c>
      <x:c r="O2474" t="str">
        <x:v>SOSHUM</x:v>
      </x:c>
      <x:c r="P2474" t="str">
        <x:v>UMUM</x:v>
      </x:c>
      <x:c r="Q2474" s="18" t="n">
        <x:v>620</x:v>
      </x:c>
      <x:c r="R2474" s="18" t="n">
        <x:v>0</x:v>
      </x:c>
      <x:c r="S2474" s="18" t="n">
        <x:v>520</x:v>
      </x:c>
      <x:c r="T2474" s="18" t="n">
        <x:v>644</x:v>
      </x:c>
      <x:c r="U2474" s="18" t="n">
        <x:v>620</x:v>
      </x:c>
      <x:c r="V2474" s="20" t="n">
        <x:v>4.4</x:v>
      </x:c>
      <x:c r="W2474" s="20" t="n">
        <x:v>14.3</x:v>
      </x:c>
      <x:c r="X2474" s="20" t="n">
        <x:v>3.3</x:v>
      </x:c>
      <x:c r="Y2474" t="str">
        <x:v>Basis arsip 2025/2024</x:v>
      </x:c>
      <x:c r="Z2474" t="str">
        <x:v>https://snpmb.id/utbk-snbt/daya-tampung-snbt</x:v>
      </x:c>
      <x:c r="AA2474" t="str">
        <x:v>Tidak Ada</x:v>
      </x:c>
      <x:c r="AB2474" t="str">
        <x:v>Campus=80; Ratio=0.0; Prodi=40; RelDemand=0.0; Capacity=62.5</x:v>
      </x:c>
    </x:row>
    <x:row r="2475">
      <x:c r="A2475" t="n">
        <x:v>2472</x:v>
      </x:c>
      <x:c r="B2475" t="str">
        <x:v>PTN Akademik</x:v>
      </x:c>
      <x:c r="C2475" t="str">
        <x:v>UNIVERSITAS NEGERI SURABAYA</x:v>
      </x:c>
      <x:c r="D2475" t="str">
        <x:v>AKUNTANSI (KAMPUS KABUPATEN MAGETAN)</x:v>
      </x:c>
      <x:c r="E2475" t="str">
        <x:v>Sarjana</x:v>
      </x:c>
      <x:c r="F2475" s="18" t="n">
        <x:v>60</x:v>
      </x:c>
      <x:c r="G2475" s="18"/>
      <x:c r="H2475" s="19" t="n">
        <x:v>0</x:v>
      </x:c>
      <x:c r="I2475" s="18" t="n">
        <x:f>ROUND(MIN(Model_Config_v3!$B$6,MAX(Q2475,R2475,S2475*Model_Config_v3!$B$4+T2475*Model_Config_v3!$B$5)),0)</x:f>
        <x:v>620</x:v>
      </x:c>
      <x:c r="J2475" s="18" t="n">
        <x:f>MIN(Model_Config_v3!$B$6,I2475+Model_Config_v3!$B$7)</x:f>
        <x:v>640</x:v>
      </x:c>
      <x:c r="K2475" s="20" t="n">
        <x:v>46</x:v>
      </x:c>
      <x:c r="L2475" t="str">
        <x:v>MENENGAH</x:v>
      </x:c>
      <x:c r="M2475" t="str">
        <x:v>RENDAH</x:v>
      </x:c>
      <x:c r="N2475" t="str">
        <x:v>ELITE-3</x:v>
      </x:c>
      <x:c r="O2475" t="str">
        <x:v>SOSHUM</x:v>
      </x:c>
      <x:c r="P2475" t="str">
        <x:v>BISNIS/EKONOMI/AKUNTANSI</x:v>
      </x:c>
      <x:c r="Q2475" s="18" t="n">
        <x:v>620</x:v>
      </x:c>
      <x:c r="R2475" s="18" t="n">
        <x:v>0</x:v>
      </x:c>
      <x:c r="S2475" s="18" t="n">
        <x:v>520</x:v>
      </x:c>
      <x:c r="T2475" s="18" t="n">
        <x:v>652</x:v>
      </x:c>
      <x:c r="U2475" s="18" t="n">
        <x:v>620</x:v>
      </x:c>
      <x:c r="V2475" s="20" t="n">
        <x:v>4.4</x:v>
      </x:c>
      <x:c r="W2475" s="20" t="n">
        <x:v>14.3</x:v>
      </x:c>
      <x:c r="X2475" s="20" t="n">
        <x:v>3.3</x:v>
      </x:c>
      <x:c r="Y2475" t="str">
        <x:v>Basis arsip 2025/2024</x:v>
      </x:c>
      <x:c r="Z2475" t="str">
        <x:v>https://snpmb.id/utbk-snbt/daya-tampung-snbt</x:v>
      </x:c>
      <x:c r="AA2475" t="str">
        <x:v>Tidak Ada</x:v>
      </x:c>
      <x:c r="AB2475" t="str">
        <x:v>Campus=80; Ratio=0.0; Prodi=65; RelDemand=0.0; Capacity=50.0</x:v>
      </x:c>
    </x:row>
    <x:row r="2476">
      <x:c r="A2476" t="n">
        <x:v>2473</x:v>
      </x:c>
      <x:c r="B2476" t="str">
        <x:v>PTN Akademik</x:v>
      </x:c>
      <x:c r="C2476" t="str">
        <x:v>UNIVERSITAS NEGERI SURABAYA</x:v>
      </x:c>
      <x:c r="D2476" t="str">
        <x:v>MANAJEMEN INFORMATIKA</x:v>
      </x:c>
      <x:c r="E2476" t="str">
        <x:v>Sarjana Terapan</x:v>
      </x:c>
      <x:c r="F2476" s="18" t="n">
        <x:v>66</x:v>
      </x:c>
      <x:c r="G2476" s="18" t="n">
        <x:v>2133</x:v>
      </x:c>
      <x:c r="H2476" s="19" t="n">
        <x:v>32.31818181818182</x:v>
      </x:c>
      <x:c r="I2476" s="18" t="n">
        <x:f>ROUND(MIN(Model_Config_v3!$B$6,MAX(Q2476,R2476,S2476*Model_Config_v3!$B$4+T2476*Model_Config_v3!$B$5)),0)</x:f>
        <x:v>712</x:v>
      </x:c>
      <x:c r="J2476" s="18" t="n">
        <x:f>MIN(Model_Config_v3!$B$6,I2476+Model_Config_v3!$B$7)</x:f>
        <x:v>732</x:v>
      </x:c>
      <x:c r="K2476" s="20" t="n">
        <x:v>81.7</x:v>
      </x:c>
      <x:c r="L2476" t="str">
        <x:v>ELITE</x:v>
      </x:c>
      <x:c r="M2476" t="str">
        <x:v>SEDANG+</x:v>
      </x:c>
      <x:c r="N2476" t="str">
        <x:v>ELITE-3</x:v>
      </x:c>
      <x:c r="O2476" t="str">
        <x:v>SAINTEK</x:v>
      </x:c>
      <x:c r="P2476" t="str">
        <x:v>KOMPUTER/INFORMATIKA</x:v>
      </x:c>
      <x:c r="Q2476" s="18" t="n">
        <x:v>620</x:v>
      </x:c>
      <x:c r="R2476" s="18" t="n">
        <x:v>675</x:v>
      </x:c>
      <x:c r="S2476" s="18" t="n">
        <x:v>686.0391611898316</x:v>
      </x:c>
      <x:c r="T2476" s="18" t="n">
        <x:v>723</x:v>
      </x:c>
      <x:c r="U2476" s="18" t="n">
        <x:v>711.0391611898316</x:v>
      </x:c>
      <x:c r="V2476" s="20" t="n">
        <x:v>12</x:v>
      </x:c>
      <x:c r="W2476" s="20" t="n">
        <x:v>5</x:v>
      </x:c>
      <x:c r="X2476" s="20" t="n">
        <x:v>3</x:v>
      </x:c>
      <x:c r="Y2476" t="str">
        <x:v>Basis arsip 2025/2024</x:v>
      </x:c>
      <x:c r="Z2476" t="str">
        <x:v>https://snpmb.id/utbk-snbt/daya-tampung-snbt</x:v>
      </x:c>
      <x:c r="AA2476" t="str">
        <x:v>Tidak Ada</x:v>
      </x:c>
      <x:c r="AB2476" t="str">
        <x:v>Campus=80; Ratio=88.8; Prodi=85; RelDemand=100.0; Capacity=45.0</x:v>
      </x:c>
    </x:row>
    <x:row r="2477">
      <x:c r="A2477" t="n">
        <x:v>2474</x:v>
      </x:c>
      <x:c r="B2477" t="str">
        <x:v>PTN Akademik</x:v>
      </x:c>
      <x:c r="C2477" t="str">
        <x:v>UNIVERSITAS NEGERI SURABAYA</x:v>
      </x:c>
      <x:c r="D2477" t="str">
        <x:v>TEKNIK MESIN</x:v>
      </x:c>
      <x:c r="E2477" t="str">
        <x:v>Sarjana Terapan</x:v>
      </x:c>
      <x:c r="F2477" s="18" t="n">
        <x:v>29</x:v>
      </x:c>
      <x:c r="G2477" s="18" t="n">
        <x:v>655</x:v>
      </x:c>
      <x:c r="H2477" s="19" t="n">
        <x:v>22.586206896551722</x:v>
      </x:c>
      <x:c r="I2477" s="18" t="n">
        <x:f>ROUND(MIN(Model_Config_v3!$B$6,MAX(Q2477,R2477,S2477*Model_Config_v3!$B$4+T2477*Model_Config_v3!$B$5)),0)</x:f>
        <x:v>701</x:v>
      </x:c>
      <x:c r="J2477" s="18" t="n">
        <x:f>MIN(Model_Config_v3!$B$6,I2477+Model_Config_v3!$B$7)</x:f>
        <x:v>721</x:v>
      </x:c>
      <x:c r="K2477" s="20" t="n">
        <x:v>77.5</x:v>
      </x:c>
      <x:c r="L2477" t="str">
        <x:v>ELITE</x:v>
      </x:c>
      <x:c r="M2477" t="str">
        <x:v>SEDANG+</x:v>
      </x:c>
      <x:c r="N2477" t="str">
        <x:v>ELITE-3</x:v>
      </x:c>
      <x:c r="O2477" t="str">
        <x:v>SAINTEK</x:v>
      </x:c>
      <x:c r="P2477" t="str">
        <x:v>TEKNIK/ARSITEKTUR/STATISTIKA/AKTUARIA</x:v>
      </x:c>
      <x:c r="Q2477" s="18" t="n">
        <x:v>620</x:v>
      </x:c>
      <x:c r="R2477" s="18" t="n">
        <x:v>0</x:v>
      </x:c>
      <x:c r="S2477" s="18" t="n">
        <x:v>668.922763230211</x:v>
      </x:c>
      <x:c r="T2477" s="18" t="n">
        <x:v>715</x:v>
      </x:c>
      <x:c r="U2477" s="18" t="n">
        <x:v>678.922763230211</x:v>
      </x:c>
      <x:c r="V2477" s="20" t="n">
        <x:v>12</x:v>
      </x:c>
      <x:c r="W2477" s="20" t="n">
        <x:v>5</x:v>
      </x:c>
      <x:c r="X2477" s="20" t="n">
        <x:v>3</x:v>
      </x:c>
      <x:c r="Y2477" t="str">
        <x:v>Basis arsip 2025/2024</x:v>
      </x:c>
      <x:c r="Z2477" t="str">
        <x:v>https://snpmb.id/utbk-snbt/daya-tampung-snbt</x:v>
      </x:c>
      <x:c r="AA2477" t="str">
        <x:v>Tidak Ada</x:v>
      </x:c>
      <x:c r="AB2477" t="str">
        <x:v>Campus=80; Ratio=79.7; Prodi=60; RelDemand=100.0; Capacity=75.8</x:v>
      </x:c>
    </x:row>
    <x:row r="2478">
      <x:c r="A2478" t="n">
        <x:v>2475</x:v>
      </x:c>
      <x:c r="B2478" t="str">
        <x:v>PTN Akademik</x:v>
      </x:c>
      <x:c r="C2478" t="str">
        <x:v>UNIVERSITAS NEGERI SURABAYA</x:v>
      </x:c>
      <x:c r="D2478" t="str">
        <x:v>TEKNIK SIPIL</x:v>
      </x:c>
      <x:c r="E2478" t="str">
        <x:v>Sarjana Terapan</x:v>
      </x:c>
      <x:c r="F2478" s="18" t="n">
        <x:v>57</x:v>
      </x:c>
      <x:c r="G2478" s="18" t="n">
        <x:v>1483</x:v>
      </x:c>
      <x:c r="H2478" s="19" t="n">
        <x:v>26.017543859649123</x:v>
      </x:c>
      <x:c r="I2478" s="18" t="n">
        <x:f>ROUND(MIN(Model_Config_v3!$B$6,MAX(Q2478,R2478,S2478*Model_Config_v3!$B$4+T2478*Model_Config_v3!$B$5)),0)</x:f>
        <x:v>701</x:v>
      </x:c>
      <x:c r="J2478" s="18" t="n">
        <x:f>MIN(Model_Config_v3!$B$6,I2478+Model_Config_v3!$B$7)</x:f>
        <x:v>721</x:v>
      </x:c>
      <x:c r="K2478" s="20" t="n">
        <x:v>76.1</x:v>
      </x:c>
      <x:c r="L2478" t="str">
        <x:v>ELITE</x:v>
      </x:c>
      <x:c r="M2478" t="str">
        <x:v>SEDANG+</x:v>
      </x:c>
      <x:c r="N2478" t="str">
        <x:v>ELITE-3</x:v>
      </x:c>
      <x:c r="O2478" t="str">
        <x:v>SAINTEK</x:v>
      </x:c>
      <x:c r="P2478" t="str">
        <x:v>TEKNIK/ARSITEKTUR/STATISTIKA/AKTUARIA</x:v>
      </x:c>
      <x:c r="Q2478" s="18" t="n">
        <x:v>620</x:v>
      </x:c>
      <x:c r="R2478" s="18" t="n">
        <x:v>0</x:v>
      </x:c>
      <x:c r="S2478" s="18" t="n">
        <x:v>675.679292489148</x:v>
      </x:c>
      <x:c r="T2478" s="18" t="n">
        <x:v>712</x:v>
      </x:c>
      <x:c r="U2478" s="18" t="n">
        <x:v>685.679292489148</x:v>
      </x:c>
      <x:c r="V2478" s="20" t="n">
        <x:v>12</x:v>
      </x:c>
      <x:c r="W2478" s="20" t="n">
        <x:v>5</x:v>
      </x:c>
      <x:c r="X2478" s="20" t="n">
        <x:v>3</x:v>
      </x:c>
      <x:c r="Y2478" t="str">
        <x:v>Basis arsip 2025/2024</x:v>
      </x:c>
      <x:c r="Z2478" t="str">
        <x:v>https://snpmb.id/utbk-snbt/daya-tampung-snbt</x:v>
      </x:c>
      <x:c r="AA2478" t="str">
        <x:v>Tidak Ada</x:v>
      </x:c>
      <x:c r="AB2478" t="str">
        <x:v>Campus=80; Ratio=83.3; Prodi=60; RelDemand=100.0; Capacity=52.5</x:v>
      </x:c>
    </x:row>
    <x:row r="2479">
      <x:c r="A2479" t="n">
        <x:v>2476</x:v>
      </x:c>
      <x:c r="B2479" t="str">
        <x:v>PTN Akademik</x:v>
      </x:c>
      <x:c r="C2479" t="str">
        <x:v>UNIVERSITAS NEGERI SURABAYA</x:v>
      </x:c>
      <x:c r="D2479" t="str">
        <x:v>TRANSPORTASI</x:v>
      </x:c>
      <x:c r="E2479" t="str">
        <x:v>Sarjana Terapan</x:v>
      </x:c>
      <x:c r="F2479" s="18" t="n">
        <x:v>44</x:v>
      </x:c>
      <x:c r="G2479" s="18" t="n">
        <x:v>545</x:v>
      </x:c>
      <x:c r="H2479" s="19" t="n">
        <x:v>12.386363636363637</x:v>
      </x:c>
      <x:c r="I2479" s="18" t="n">
        <x:f>ROUND(MIN(Model_Config_v3!$B$6,MAX(Q2479,R2479,S2479*Model_Config_v3!$B$4+T2479*Model_Config_v3!$B$5)),0)</x:f>
        <x:v>680</x:v>
      </x:c>
      <x:c r="J2479" s="18" t="n">
        <x:f>MIN(Model_Config_v3!$B$6,I2479+Model_Config_v3!$B$7)</x:f>
        <x:v>700</x:v>
      </x:c>
      <x:c r="K2479" s="20" t="n">
        <x:v>68.4</x:v>
      </x:c>
      <x:c r="L2479" t="str">
        <x:v>SANGAT KETAT</x:v>
      </x:c>
      <x:c r="M2479" t="str">
        <x:v>SEDANG+</x:v>
      </x:c>
      <x:c r="N2479" t="str">
        <x:v>ELITE-3</x:v>
      </x:c>
      <x:c r="O2479" t="str">
        <x:v>CAMPURAN</x:v>
      </x:c>
      <x:c r="P2479" t="str">
        <x:v>UMUM</x:v>
      </x:c>
      <x:c r="Q2479" s="18" t="n">
        <x:v>620</x:v>
      </x:c>
      <x:c r="R2479" s="18" t="n">
        <x:v>0</x:v>
      </x:c>
      <x:c r="S2479" s="18" t="n">
        <x:v>640.22382083695</x:v>
      </x:c>
      <x:c r="T2479" s="18" t="n">
        <x:v>697</x:v>
      </x:c>
      <x:c r="U2479" s="18" t="n">
        <x:v>640.22382083695</x:v>
      </x:c>
      <x:c r="V2479" s="20" t="n">
        <x:v>8.8</x:v>
      </x:c>
      <x:c r="W2479" s="20" t="n">
        <x:v>9.9</x:v>
      </x:c>
      <x:c r="X2479" s="20" t="n">
        <x:v>3.3</x:v>
      </x:c>
      <x:c r="Y2479" t="str">
        <x:v>Basis arsip 2025/2024</x:v>
      </x:c>
      <x:c r="Z2479" t="str">
        <x:v>https://snpmb.id/utbk-snbt/daya-tampung-snbt</x:v>
      </x:c>
      <x:c r="AA2479" t="str">
        <x:v>Tidak Ada</x:v>
      </x:c>
      <x:c r="AB2479" t="str">
        <x:v>Campus=80; Ratio=64.3; Prodi=40; RelDemand=100.0; Capacity=63.3</x:v>
      </x:c>
    </x:row>
    <x:row r="2480">
      <x:c r="A2480" t="n">
        <x:v>2477</x:v>
      </x:c>
      <x:c r="B2480" t="str">
        <x:v>PTN Akademik</x:v>
      </x:c>
      <x:c r="C2480" t="str">
        <x:v>UNIVERSITAS NEGERI SURABAYA</x:v>
      </x:c>
      <x:c r="D2480" t="str">
        <x:v>KEPELATIHAN OLAHRAGA</x:v>
      </x:c>
      <x:c r="E2480" t="str">
        <x:v>Sarjana Terapan</x:v>
      </x:c>
      <x:c r="F2480" s="18" t="n">
        <x:v>39</x:v>
      </x:c>
      <x:c r="G2480" s="18" t="n">
        <x:v>522</x:v>
      </x:c>
      <x:c r="H2480" s="19" t="n">
        <x:v>13.384615384615385</x:v>
      </x:c>
      <x:c r="I2480" s="18" t="n">
        <x:f>ROUND(MIN(Model_Config_v3!$B$6,MAX(Q2480,R2480,S2480*Model_Config_v3!$B$4+T2480*Model_Config_v3!$B$5)),0)</x:f>
        <x:v>684</x:v>
      </x:c>
      <x:c r="J2480" s="18" t="n">
        <x:f>MIN(Model_Config_v3!$B$6,I2480+Model_Config_v3!$B$7)</x:f>
        <x:v>704</x:v>
      </x:c>
      <x:c r="K2480" s="20" t="n">
        <x:v>70.3</x:v>
      </x:c>
      <x:c r="L2480" t="str">
        <x:v>SANGAT KETAT</x:v>
      </x:c>
      <x:c r="M2480" t="str">
        <x:v>PORTOFOLIO</x:v>
      </x:c>
      <x:c r="N2480" t="str">
        <x:v>ELITE-3</x:v>
      </x:c>
      <x:c r="O2480" t="str">
        <x:v>SENI/OLAHRAGA</x:v>
      </x:c>
      <x:c r="P2480" t="str">
        <x:v>SENI/OLAHRAGA</x:v>
      </x:c>
      <x:c r="Q2480" s="18" t="n">
        <x:v>620</x:v>
      </x:c>
      <x:c r="R2480" s="18" t="n">
        <x:v>0</x:v>
      </x:c>
      <x:c r="S2480" s="18" t="n">
        <x:v>643.9266485573339</x:v>
      </x:c>
      <x:c r="T2480" s="18" t="n">
        <x:v>701</x:v>
      </x:c>
      <x:c r="U2480" s="18" t="n">
        <x:v>643.9266485573339</x:v>
      </x:c>
      <x:c r="V2480" s="20" t="n">
        <x:v>4.4</x:v>
      </x:c>
      <x:c r="W2480" s="20" t="n">
        <x:v>9.9</x:v>
      </x:c>
      <x:c r="X2480" s="20" t="n">
        <x:v>7.7</x:v>
      </x:c>
      <x:c r="Y2480" t="str">
        <x:v>Basis arsip 2025/2024</x:v>
      </x:c>
      <x:c r="Z2480" t="str">
        <x:v>https://snpmb.id/utbk-snbt/daya-tampung-snbt</x:v>
      </x:c>
      <x:c r="AA2480" t="str">
        <x:v>Olahraga</x:v>
      </x:c>
      <x:c r="AB2480" t="str">
        <x:v>Campus=80; Ratio=66.3; Prodi=45; RelDemand=100.0; Capacity=67.5</x:v>
      </x:c>
    </x:row>
    <x:row r="2481">
      <x:c r="A2481" t="n">
        <x:v>2478</x:v>
      </x:c>
      <x:c r="B2481" t="str">
        <x:v>PTN Akademik</x:v>
      </x:c>
      <x:c r="C2481" t="str">
        <x:v>UNIVERSITAS NEGERI SURABAYA</x:v>
      </x:c>
      <x:c r="D2481" t="str">
        <x:v>TEKNIK LISTRIK</x:v>
      </x:c>
      <x:c r="E2481" t="str">
        <x:v>Sarjana Terapan</x:v>
      </x:c>
      <x:c r="F2481" s="18" t="n">
        <x:v>48</x:v>
      </x:c>
      <x:c r="G2481" s="18" t="n">
        <x:v>336</x:v>
      </x:c>
      <x:c r="H2481" s="19" t="n">
        <x:v>7</x:v>
      </x:c>
      <x:c r="I2481" s="18" t="n">
        <x:f>ROUND(MIN(Model_Config_v3!$B$6,MAX(Q2481,R2481,S2481*Model_Config_v3!$B$4+T2481*Model_Config_v3!$B$5)),0)</x:f>
        <x:v>666</x:v>
      </x:c>
      <x:c r="J2481" s="18" t="n">
        <x:f>MIN(Model_Config_v3!$B$6,I2481+Model_Config_v3!$B$7)</x:f>
        <x:v>686</x:v>
      </x:c>
      <x:c r="K2481" s="20" t="n">
        <x:v>64.4</x:v>
      </x:c>
      <x:c r="L2481" t="str">
        <x:v>KETAT</x:v>
      </x:c>
      <x:c r="M2481" t="str">
        <x:v>SEDANG+</x:v>
      </x:c>
      <x:c r="N2481" t="str">
        <x:v>ELITE-3</x:v>
      </x:c>
      <x:c r="O2481" t="str">
        <x:v>SAINTEK</x:v>
      </x:c>
      <x:c r="P2481" t="str">
        <x:v>TEKNIK/ARSITEKTUR/STATISTIKA/AKTUARIA</x:v>
      </x:c>
      <x:c r="Q2481" s="18" t="n">
        <x:v>620</x:v>
      </x:c>
      <x:c r="R2481" s="18" t="n">
        <x:v>0</x:v>
      </x:c>
      <x:c r="S2481" s="18" t="n">
        <x:v>612.9607844015683</x:v>
      </x:c>
      <x:c r="T2481" s="18" t="n">
        <x:v>689</x:v>
      </x:c>
      <x:c r="U2481" s="18" t="n">
        <x:v>622.9607844015683</x:v>
      </x:c>
      <x:c r="V2481" s="20" t="n">
        <x:v>12</x:v>
      </x:c>
      <x:c r="W2481" s="20" t="n">
        <x:v>5</x:v>
      </x:c>
      <x:c r="X2481" s="20" t="n">
        <x:v>3</x:v>
      </x:c>
      <x:c r="Y2481" t="str">
        <x:v>Basis arsip 2025/2024</x:v>
      </x:c>
      <x:c r="Z2481" t="str">
        <x:v>https://snpmb.id/utbk-snbt/daya-tampung-snbt</x:v>
      </x:c>
      <x:c r="AA2481" t="str">
        <x:v>Tidak Ada</x:v>
      </x:c>
      <x:c r="AB2481" t="str">
        <x:v>Campus=80; Ratio=49.7; Prodi=60; RelDemand=59.9; Capacity=60.0</x:v>
      </x:c>
    </x:row>
    <x:row r="2482">
      <x:c r="A2482" t="n">
        <x:v>2479</x:v>
      </x:c>
      <x:c r="B2482" t="str">
        <x:v>PTN Akademik</x:v>
      </x:c>
      <x:c r="C2482" t="str">
        <x:v>UNIVERSITAS NEGERI SURABAYA</x:v>
      </x:c>
      <x:c r="D2482" t="str">
        <x:v>DESAIN GRAFIS</x:v>
      </x:c>
      <x:c r="E2482" t="str">
        <x:v>Sarjana Terapan</x:v>
      </x:c>
      <x:c r="F2482" s="18" t="n">
        <x:v>63</x:v>
      </x:c>
      <x:c r="G2482" s="18" t="n">
        <x:v>535</x:v>
      </x:c>
      <x:c r="H2482" s="19" t="n">
        <x:v>8.492063492063492</x:v>
      </x:c>
      <x:c r="I2482" s="18" t="n">
        <x:f>ROUND(MIN(Model_Config_v3!$B$6,MAX(Q2482,R2482,S2482*Model_Config_v3!$B$4+T2482*Model_Config_v3!$B$5)),0)</x:f>
        <x:v>666</x:v>
      </x:c>
      <x:c r="J2482" s="18" t="n">
        <x:f>MIN(Model_Config_v3!$B$6,I2482+Model_Config_v3!$B$7)</x:f>
        <x:v>686</x:v>
      </x:c>
      <x:c r="K2482" s="20" t="n">
        <x:v>62.7</x:v>
      </x:c>
      <x:c r="L2482" t="str">
        <x:v>KETAT</x:v>
      </x:c>
      <x:c r="M2482" t="str">
        <x:v>PORTOFOLIO</x:v>
      </x:c>
      <x:c r="N2482" t="str">
        <x:v>ELITE-3</x:v>
      </x:c>
      <x:c r="O2482" t="str">
        <x:v>SENI/OLAHRAGA</x:v>
      </x:c>
      <x:c r="P2482" t="str">
        <x:v>SENI/OLAHRAGA</x:v>
      </x:c>
      <x:c r="Q2482" s="18" t="n">
        <x:v>620</x:v>
      </x:c>
      <x:c r="R2482" s="18" t="n">
        <x:v>0</x:v>
      </x:c>
      <x:c r="S2482" s="18" t="n">
        <x:v>622.1914555824411</x:v>
      </x:c>
      <x:c r="T2482" s="18" t="n">
        <x:v>685</x:v>
      </x:c>
      <x:c r="U2482" s="18" t="n">
        <x:v>622.1914555824411</x:v>
      </x:c>
      <x:c r="V2482" s="20" t="n">
        <x:v>4.4</x:v>
      </x:c>
      <x:c r="W2482" s="20" t="n">
        <x:v>9.9</x:v>
      </x:c>
      <x:c r="X2482" s="20" t="n">
        <x:v>7.7</x:v>
      </x:c>
      <x:c r="Y2482" t="str">
        <x:v>Basis arsip 2025/2024</x:v>
      </x:c>
      <x:c r="Z2482" t="str">
        <x:v>https://snpmb.id/utbk-snbt/daya-tampung-snbt</x:v>
      </x:c>
      <x:c r="AA2482" t="str">
        <x:v>Seni Rupa, Desain, dan Kriya</x:v>
      </x:c>
      <x:c r="AB2482" t="str">
        <x:v>Campus=80; Ratio=54.7; Prodi=45; RelDemand=72.7; Capacity=47.5</x:v>
      </x:c>
    </x:row>
    <x:row r="2483">
      <x:c r="A2483" t="n">
        <x:v>2480</x:v>
      </x:c>
      <x:c r="B2483" t="str">
        <x:v>PTN Akademik</x:v>
      </x:c>
      <x:c r="C2483" t="str">
        <x:v>UNIVERSITAS NEGERI SURABAYA</x:v>
      </x:c>
      <x:c r="D2483" t="str">
        <x:v>ADMINISTRASI NEGARA</x:v>
      </x:c>
      <x:c r="E2483" t="str">
        <x:v>Sarjana Terapan</x:v>
      </x:c>
      <x:c r="F2483" s="18" t="n">
        <x:v>99</x:v>
      </x:c>
      <x:c r="G2483" s="18" t="n">
        <x:v>4968</x:v>
      </x:c>
      <x:c r="H2483" s="19" t="n">
        <x:v>50.18181818181818</x:v>
      </x:c>
      <x:c r="I2483" s="18" t="n">
        <x:f>ROUND(MIN(Model_Config_v3!$B$6,MAX(Q2483,R2483,S2483*Model_Config_v3!$B$4+T2483*Model_Config_v3!$B$5)),0)</x:f>
        <x:v>706</x:v>
      </x:c>
      <x:c r="J2483" s="18" t="n">
        <x:f>MIN(Model_Config_v3!$B$6,I2483+Model_Config_v3!$B$7)</x:f>
        <x:v>726</x:v>
      </x:c>
      <x:c r="K2483" s="20" t="n">
        <x:v>72.8</x:v>
      </x:c>
      <x:c r="L2483" t="str">
        <x:v>SANGAT KETAT</x:v>
      </x:c>
      <x:c r="M2483" t="str">
        <x:v>SEDANG+</x:v>
      </x:c>
      <x:c r="N2483" t="str">
        <x:v>ELITE-3</x:v>
      </x:c>
      <x:c r="O2483" t="str">
        <x:v>SOSHUM</x:v>
      </x:c>
      <x:c r="P2483" t="str">
        <x:v>UMUM</x:v>
      </x:c>
      <x:c r="Q2483" s="18" t="n">
        <x:v>620</x:v>
      </x:c>
      <x:c r="R2483" s="18" t="n">
        <x:v>0</x:v>
      </x:c>
      <x:c r="S2483" s="18" t="n">
        <x:v>707.0601031828071</x:v>
      </x:c>
      <x:c r="T2483" s="18" t="n">
        <x:v>706</x:v>
      </x:c>
      <x:c r="U2483" s="18" t="n">
        <x:v>707.0601031828071</x:v>
      </x:c>
      <x:c r="V2483" s="20" t="n">
        <x:v>4.4</x:v>
      </x:c>
      <x:c r="W2483" s="20" t="n">
        <x:v>14.3</x:v>
      </x:c>
      <x:c r="X2483" s="20" t="n">
        <x:v>3.3</x:v>
      </x:c>
      <x:c r="Y2483" t="str">
        <x:v>Basis arsip 2025/2024</x:v>
      </x:c>
      <x:c r="Z2483" t="str">
        <x:v>https://snpmb.id/utbk-snbt/daya-tampung-snbt</x:v>
      </x:c>
      <x:c r="AA2483" t="str">
        <x:v>Tidak Ada</x:v>
      </x:c>
      <x:c r="AB2483" t="str">
        <x:v>Campus=80; Ratio=100.0; Prodi=40; RelDemand=100.0; Capacity=17.5</x:v>
      </x:c>
    </x:row>
    <x:row r="2484">
      <x:c r="A2484" t="n">
        <x:v>2481</x:v>
      </x:c>
      <x:c r="B2484" t="str">
        <x:v>PTN Akademik</x:v>
      </x:c>
      <x:c r="C2484" t="str">
        <x:v>UNIVERSITAS NEGERI SURABAYA</x:v>
      </x:c>
      <x:c r="D2484" t="str">
        <x:v>TATA BOGA</x:v>
      </x:c>
      <x:c r="E2484" t="str">
        <x:v>Sarjana Terapan</x:v>
      </x:c>
      <x:c r="F2484" s="18" t="n">
        <x:v>105</x:v>
      </x:c>
      <x:c r="G2484" s="18" t="n">
        <x:v>1663</x:v>
      </x:c>
      <x:c r="H2484" s="19" t="n">
        <x:v>15.838095238095239</x:v>
      </x:c>
      <x:c r="I2484" s="18" t="n">
        <x:f>ROUND(MIN(Model_Config_v3!$B$6,MAX(Q2484,R2484,S2484*Model_Config_v3!$B$4+T2484*Model_Config_v3!$B$5)),0)</x:f>
        <x:v>679</x:v>
      </x:c>
      <x:c r="J2484" s="18" t="n">
        <x:f>MIN(Model_Config_v3!$B$6,I2484+Model_Config_v3!$B$7)</x:f>
        <x:v>699</x:v>
      </x:c>
      <x:c r="K2484" s="20" t="n">
        <x:v>64.9</x:v>
      </x:c>
      <x:c r="L2484" t="str">
        <x:v>KETAT</x:v>
      </x:c>
      <x:c r="M2484" t="str">
        <x:v>SEDANG+</x:v>
      </x:c>
      <x:c r="N2484" t="str">
        <x:v>ELITE-3</x:v>
      </x:c>
      <x:c r="O2484" t="str">
        <x:v>CAMPURAN</x:v>
      </x:c>
      <x:c r="P2484" t="str">
        <x:v>UMUM</x:v>
      </x:c>
      <x:c r="Q2484" s="18" t="n">
        <x:v>620</x:v>
      </x:c>
      <x:c r="R2484" s="18" t="n">
        <x:v>0</x:v>
      </x:c>
      <x:c r="S2484" s="18" t="n">
        <x:v>651.9673245164539</x:v>
      </x:c>
      <x:c r="T2484" s="18" t="n">
        <x:v>690</x:v>
      </x:c>
      <x:c r="U2484" s="18" t="n">
        <x:v>651.9673245164539</x:v>
      </x:c>
      <x:c r="V2484" s="20" t="n">
        <x:v>8.8</x:v>
      </x:c>
      <x:c r="W2484" s="20" t="n">
        <x:v>9.9</x:v>
      </x:c>
      <x:c r="X2484" s="20" t="n">
        <x:v>3.3</x:v>
      </x:c>
      <x:c r="Y2484" t="str">
        <x:v>Basis arsip 2025/2024</x:v>
      </x:c>
      <x:c r="Z2484" t="str">
        <x:v>https://snpmb.id/utbk-snbt/daya-tampung-snbt</x:v>
      </x:c>
      <x:c r="AA2484" t="str">
        <x:v>Tidak Ada</x:v>
      </x:c>
      <x:c r="AB2484" t="str">
        <x:v>Campus=80; Ratio=70.6; Prodi=40; RelDemand=100.0; Capacity=12.5</x:v>
      </x:c>
    </x:row>
    <x:row r="2485">
      <x:c r="A2485" t="n">
        <x:v>2482</x:v>
      </x:c>
      <x:c r="B2485" t="str">
        <x:v>PTN Akademik</x:v>
      </x:c>
      <x:c r="C2485" t="str">
        <x:v>UNIVERSITAS NEGERI SURABAYA</x:v>
      </x:c>
      <x:c r="D2485" t="str">
        <x:v>TATA BUSANA</x:v>
      </x:c>
      <x:c r="E2485" t="str">
        <x:v>Sarjana Terapan</x:v>
      </x:c>
      <x:c r="F2485" s="18" t="n">
        <x:v>80</x:v>
      </x:c>
      <x:c r="G2485" s="18" t="n">
        <x:v>685</x:v>
      </x:c>
      <x:c r="H2485" s="19" t="n">
        <x:v>8.5625</x:v>
      </x:c>
      <x:c r="I2485" s="18" t="n">
        <x:f>ROUND(MIN(Model_Config_v3!$B$6,MAX(Q2485,R2485,S2485*Model_Config_v3!$B$4+T2485*Model_Config_v3!$B$5)),0)</x:f>
        <x:v>663</x:v>
      </x:c>
      <x:c r="J2485" s="18" t="n">
        <x:f>MIN(Model_Config_v3!$B$6,I2485+Model_Config_v3!$B$7)</x:f>
        <x:v>683</x:v>
      </x:c>
      <x:c r="K2485" s="20" t="n">
        <x:v>60.4</x:v>
      </x:c>
      <x:c r="L2485" t="str">
        <x:v>KETAT</x:v>
      </x:c>
      <x:c r="M2485" t="str">
        <x:v>SEDANG+</x:v>
      </x:c>
      <x:c r="N2485" t="str">
        <x:v>ELITE-3</x:v>
      </x:c>
      <x:c r="O2485" t="str">
        <x:v>CAMPURAN</x:v>
      </x:c>
      <x:c r="P2485" t="str">
        <x:v>UMUM</x:v>
      </x:c>
      <x:c r="Q2485" s="18" t="n">
        <x:v>620</x:v>
      </x:c>
      <x:c r="R2485" s="18" t="n">
        <x:v>0</x:v>
      </x:c>
      <x:c r="S2485" s="18" t="n">
        <x:v>622.586064295053</x:v>
      </x:c>
      <x:c r="T2485" s="18" t="n">
        <x:v>681</x:v>
      </x:c>
      <x:c r="U2485" s="18" t="n">
        <x:v>622.586064295053</x:v>
      </x:c>
      <x:c r="V2485" s="20" t="n">
        <x:v>8.8</x:v>
      </x:c>
      <x:c r="W2485" s="20" t="n">
        <x:v>9.9</x:v>
      </x:c>
      <x:c r="X2485" s="20" t="n">
        <x:v>3.3</x:v>
      </x:c>
      <x:c r="Y2485" t="str">
        <x:v>Basis arsip 2025/2024</x:v>
      </x:c>
      <x:c r="Z2485" t="str">
        <x:v>https://snpmb.id/utbk-snbt/daya-tampung-snbt</x:v>
      </x:c>
      <x:c r="AA2485" t="str">
        <x:v>Tidak Ada</x:v>
      </x:c>
      <x:c r="AB2485" t="str">
        <x:v>Campus=80; Ratio=54.9; Prodi=40; RelDemand=73.3; Capacity=33.3</x:v>
      </x:c>
    </x:row>
    <x:row r="2486">
      <x:c r="A2486" t="n">
        <x:v>2483</x:v>
      </x:c>
      <x:c r="B2486" t="str">
        <x:v>PTN Akademik</x:v>
      </x:c>
      <x:c r="C2486" t="str">
        <x:v>UNIVERSITAS NEGERI SURABAYA</x:v>
      </x:c>
      <x:c r="D2486" t="str">
        <x:v>TEKNOLOGI REKAYASA OTOMOTIF</x:v>
      </x:c>
      <x:c r="E2486" t="str">
        <x:v>Sarjana Terapan</x:v>
      </x:c>
      <x:c r="F2486" s="18" t="n">
        <x:v>52</x:v>
      </x:c>
      <x:c r="G2486" s="18"/>
      <x:c r="H2486" s="19" t="n">
        <x:v>0</x:v>
      </x:c>
      <x:c r="I2486" s="18" t="n">
        <x:f>ROUND(MIN(Model_Config_v3!$B$6,MAX(Q2486,R2486,S2486*Model_Config_v3!$B$4+T2486*Model_Config_v3!$B$5)),0)</x:f>
        <x:v>620</x:v>
      </x:c>
      <x:c r="J2486" s="18" t="n">
        <x:f>MIN(Model_Config_v3!$B$6,I2486+Model_Config_v3!$B$7)</x:f>
        <x:v>640</x:v>
      </x:c>
      <x:c r="K2486" s="20" t="n">
        <x:v>41.7</x:v>
      </x:c>
      <x:c r="L2486" t="str">
        <x:v>RELATIF LONGGAR</x:v>
      </x:c>
      <x:c r="M2486" t="str">
        <x:v>RENDAH</x:v>
      </x:c>
      <x:c r="N2486" t="str">
        <x:v>ELITE-3</x:v>
      </x:c>
      <x:c r="O2486" t="str">
        <x:v>SAINTEK</x:v>
      </x:c>
      <x:c r="P2486" t="str">
        <x:v>UMUM</x:v>
      </x:c>
      <x:c r="Q2486" s="18" t="n">
        <x:v>620</x:v>
      </x:c>
      <x:c r="R2486" s="18" t="n">
        <x:v>0</x:v>
      </x:c>
      <x:c r="S2486" s="18" t="n">
        <x:v>520</x:v>
      </x:c>
      <x:c r="T2486" s="18" t="n">
        <x:v>643</x:v>
      </x:c>
      <x:c r="U2486" s="18" t="n">
        <x:v>620</x:v>
      </x:c>
      <x:c r="V2486" s="20" t="n">
        <x:v>12</x:v>
      </x:c>
      <x:c r="W2486" s="20" t="n">
        <x:v>5</x:v>
      </x:c>
      <x:c r="X2486" s="20" t="n">
        <x:v>3</x:v>
      </x:c>
      <x:c r="Y2486" t="str">
        <x:v>Basis arsip 2025/2024</x:v>
      </x:c>
      <x:c r="Z2486" t="str">
        <x:v>https://snpmb.id/utbk-snbt/daya-tampung-snbt</x:v>
      </x:c>
      <x:c r="AA2486" t="str">
        <x:v>Tidak Ada</x:v>
      </x:c>
      <x:c r="AB2486" t="str">
        <x:v>Campus=80; Ratio=0.0; Prodi=40; RelDemand=0.0; Capacity=56.7</x:v>
      </x:c>
    </x:row>
    <x:row r="2487">
      <x:c r="A2487" t="n">
        <x:v>2484</x:v>
      </x:c>
      <x:c r="B2487" t="str">
        <x:v>PTN Akademik</x:v>
      </x:c>
      <x:c r="C2487" t="str">
        <x:v>UNIVERSITAS NEGERI SURABAYA</x:v>
      </x:c>
      <x:c r="D2487" t="str">
        <x:v>PRODUKSI MEDIA</x:v>
      </x:c>
      <x:c r="E2487" t="str">
        <x:v>Sarjana Terapan</x:v>
      </x:c>
      <x:c r="F2487" s="18" t="n">
        <x:v>52</x:v>
      </x:c>
      <x:c r="G2487" s="18"/>
      <x:c r="H2487" s="19" t="n">
        <x:v>0</x:v>
      </x:c>
      <x:c r="I2487" s="18" t="n">
        <x:f>ROUND(MIN(Model_Config_v3!$B$6,MAX(Q2487,R2487,S2487*Model_Config_v3!$B$4+T2487*Model_Config_v3!$B$5)),0)</x:f>
        <x:v>620</x:v>
      </x:c>
      <x:c r="J2487" s="18" t="n">
        <x:f>MIN(Model_Config_v3!$B$6,I2487+Model_Config_v3!$B$7)</x:f>
        <x:v>640</x:v>
      </x:c>
      <x:c r="K2487" s="20" t="n">
        <x:v>41.7</x:v>
      </x:c>
      <x:c r="L2487" t="str">
        <x:v>RELATIF LONGGAR</x:v>
      </x:c>
      <x:c r="M2487" t="str">
        <x:v>RENDAH</x:v>
      </x:c>
      <x:c r="N2487" t="str">
        <x:v>ELITE-3</x:v>
      </x:c>
      <x:c r="O2487" t="str">
        <x:v>CAMPURAN</x:v>
      </x:c>
      <x:c r="P2487" t="str">
        <x:v>UMUM</x:v>
      </x:c>
      <x:c r="Q2487" s="18" t="n">
        <x:v>620</x:v>
      </x:c>
      <x:c r="R2487" s="18" t="n">
        <x:v>0</x:v>
      </x:c>
      <x:c r="S2487" s="18" t="n">
        <x:v>520</x:v>
      </x:c>
      <x:c r="T2487" s="18" t="n">
        <x:v>643</x:v>
      </x:c>
      <x:c r="U2487" s="18" t="n">
        <x:v>620</x:v>
      </x:c>
      <x:c r="V2487" s="20" t="n">
        <x:v>8.8</x:v>
      </x:c>
      <x:c r="W2487" s="20" t="n">
        <x:v>9.9</x:v>
      </x:c>
      <x:c r="X2487" s="20" t="n">
        <x:v>3.3</x:v>
      </x:c>
      <x:c r="Y2487" t="str">
        <x:v>Basis arsip 2025/2024</x:v>
      </x:c>
      <x:c r="Z2487" t="str">
        <x:v>https://snpmb.id/utbk-snbt/daya-tampung-snbt</x:v>
      </x:c>
      <x:c r="AA2487" t="str">
        <x:v>Tidak Ada</x:v>
      </x:c>
      <x:c r="AB2487" t="str">
        <x:v>Campus=80; Ratio=0.0; Prodi=40; RelDemand=0.0; Capacity=56.7</x:v>
      </x:c>
    </x:row>
    <x:row r="2488">
      <x:c r="A2488" t="n">
        <x:v>2485</x:v>
      </x:c>
      <x:c r="B2488" t="str">
        <x:v>PTN Akademik</x:v>
      </x:c>
      <x:c r="C2488" t="str">
        <x:v>UNIVERSITAS NEGERI SURABAYA</x:v>
      </x:c>
      <x:c r="D2488" t="str">
        <x:v>ANALISIS PERFORMA OLAHRAGA</x:v>
      </x:c>
      <x:c r="E2488" t="str">
        <x:v>Sarjana Terapan</x:v>
      </x:c>
      <x:c r="F2488" s="18" t="n">
        <x:v>40</x:v>
      </x:c>
      <x:c r="G2488" s="18"/>
      <x:c r="H2488" s="19" t="n">
        <x:v>0</x:v>
      </x:c>
      <x:c r="I2488" s="18" t="n">
        <x:f>ROUND(MIN(Model_Config_v3!$B$6,MAX(Q2488,R2488,S2488*Model_Config_v3!$B$4+T2488*Model_Config_v3!$B$5)),0)</x:f>
        <x:v>620</x:v>
      </x:c>
      <x:c r="J2488" s="18" t="n">
        <x:f>MIN(Model_Config_v3!$B$6,I2488+Model_Config_v3!$B$7)</x:f>
        <x:v>640</x:v>
      </x:c>
      <x:c r="K2488" s="20" t="n">
        <x:v>43.7</x:v>
      </x:c>
      <x:c r="L2488" t="str">
        <x:v>RELATIF LONGGAR</x:v>
      </x:c>
      <x:c r="M2488" t="str">
        <x:v>PORTOFOLIO</x:v>
      </x:c>
      <x:c r="N2488" t="str">
        <x:v>ELITE-3</x:v>
      </x:c>
      <x:c r="O2488" t="str">
        <x:v>SENI/OLAHRAGA</x:v>
      </x:c>
      <x:c r="P2488" t="str">
        <x:v>SENI/OLAHRAGA</x:v>
      </x:c>
      <x:c r="Q2488" s="18" t="n">
        <x:v>620</x:v>
      </x:c>
      <x:c r="R2488" s="18" t="n">
        <x:v>0</x:v>
      </x:c>
      <x:c r="S2488" s="18" t="n">
        <x:v>520</x:v>
      </x:c>
      <x:c r="T2488" s="18" t="n">
        <x:v>647</x:v>
      </x:c>
      <x:c r="U2488" s="18" t="n">
        <x:v>620</x:v>
      </x:c>
      <x:c r="V2488" s="20" t="n">
        <x:v>4.4</x:v>
      </x:c>
      <x:c r="W2488" s="20" t="n">
        <x:v>9.9</x:v>
      </x:c>
      <x:c r="X2488" s="20" t="n">
        <x:v>7.7</x:v>
      </x:c>
      <x:c r="Y2488" t="str">
        <x:v>Basis arsip 2025/2024</x:v>
      </x:c>
      <x:c r="Z2488" t="str">
        <x:v>https://snpmb.id/utbk-snbt/daya-tampung-snbt</x:v>
      </x:c>
      <x:c r="AA2488" t="str">
        <x:v>Olahraga</x:v>
      </x:c>
      <x:c r="AB2488" t="str">
        <x:v>Campus=80; Ratio=0.0; Prodi=45; RelDemand=0.0; Capacity=66.7</x:v>
      </x:c>
    </x:row>
    <x:row r="2489">
      <x:c r="A2489" t="n">
        <x:v>2486</x:v>
      </x:c>
      <x:c r="B2489" t="str">
        <x:v>PTN Akademik</x:v>
      </x:c>
      <x:c r="C2489" t="str">
        <x:v>UNIVERSITAS TRUNOJOYO MADURA</x:v>
      </x:c>
      <x:c r="D2489" t="str">
        <x:v>AGROEKOTEKNOLOGI</x:v>
      </x:c>
      <x:c r="E2489" t="str">
        <x:v>Sarjana</x:v>
      </x:c>
      <x:c r="F2489" s="18" t="n">
        <x:v>80</x:v>
      </x:c>
      <x:c r="G2489" s="18" t="n">
        <x:v>76</x:v>
      </x:c>
      <x:c r="H2489" s="19" t="n">
        <x:v>0.95</x:v>
      </x:c>
      <x:c r="I2489" s="18" t="n">
        <x:f>ROUND(MIN(Model_Config_v3!$B$6,MAX(Q2489,R2489,S2489*Model_Config_v3!$B$4+T2489*Model_Config_v3!$B$5)),0)</x:f>
        <x:v>593</x:v>
      </x:c>
      <x:c r="J2489" s="18" t="n">
        <x:f>MIN(Model_Config_v3!$B$6,I2489+Model_Config_v3!$B$7)</x:f>
        <x:v>613</x:v>
      </x:c>
      <x:c r="K2489" s="20" t="n">
        <x:v>32</x:v>
      </x:c>
      <x:c r="L2489" t="str">
        <x:v>RELATIF LONGGAR</x:v>
      </x:c>
      <x:c r="M2489" t="str">
        <x:v>SEDANG</x:v>
      </x:c>
      <x:c r="N2489" t="str">
        <x:v>REGULER</x:v>
      </x:c>
      <x:c r="O2489" t="str">
        <x:v>SAINTEK</x:v>
      </x:c>
      <x:c r="P2489" t="str">
        <x:v>UMUM</x:v>
      </x:c>
      <x:c r="Q2489" s="18" t="n">
        <x:v>0</x:v>
      </x:c>
      <x:c r="R2489" s="18" t="n">
        <x:v>0</x:v>
      </x:c>
      <x:c r="S2489" s="18" t="n">
        <x:v>520</x:v>
      </x:c>
      <x:c r="T2489" s="18" t="n">
        <x:v>624</x:v>
      </x:c>
      <x:c r="U2489" s="18" t="n">
        <x:v>520</x:v>
      </x:c>
      <x:c r="V2489" s="20" t="n">
        <x:v>12</x:v>
      </x:c>
      <x:c r="W2489" s="20" t="n">
        <x:v>5</x:v>
      </x:c>
      <x:c r="X2489" s="20" t="n">
        <x:v>3</x:v>
      </x:c>
      <x:c r="Y2489" t="str">
        <x:v>Basis arsip 2025/2024</x:v>
      </x:c>
      <x:c r="Z2489" t="str">
        <x:v>https://snpmb.id/utbk-snbt/daya-tampung-snbt</x:v>
      </x:c>
      <x:c r="AA2489" t="str">
        <x:v>Tidak Ada</x:v>
      </x:c>
      <x:c r="AB2489" t="str">
        <x:v>Campus=55; Ratio=0.0; Prodi=40; RelDemand=13.7; Capacity=33.3</x:v>
      </x:c>
    </x:row>
    <x:row r="2490">
      <x:c r="A2490" t="n">
        <x:v>2487</x:v>
      </x:c>
      <x:c r="B2490" t="str">
        <x:v>PTN Akademik</x:v>
      </x:c>
      <x:c r="C2490" t="str">
        <x:v>UNIVERSITAS TRUNOJOYO MADURA</x:v>
      </x:c>
      <x:c r="D2490" t="str">
        <x:v>AGRIBISNIS</x:v>
      </x:c>
      <x:c r="E2490" t="str">
        <x:v>Sarjana</x:v>
      </x:c>
      <x:c r="F2490" s="18" t="n">
        <x:v>80</x:v>
      </x:c>
      <x:c r="G2490" s="18" t="n">
        <x:v>133</x:v>
      </x:c>
      <x:c r="H2490" s="19" t="n">
        <x:v>1.6625</x:v>
      </x:c>
      <x:c r="I2490" s="18" t="n">
        <x:f>ROUND(MIN(Model_Config_v3!$B$6,MAX(Q2490,R2490,S2490*Model_Config_v3!$B$4+T2490*Model_Config_v3!$B$5)),0)</x:f>
        <x:v>613</x:v>
      </x:c>
      <x:c r="J2490" s="18" t="n">
        <x:f>MIN(Model_Config_v3!$B$6,I2490+Model_Config_v3!$B$7)</x:f>
        <x:v>633</x:v>
      </x:c>
      <x:c r="K2490" s="20" t="n">
        <x:v>41.2</x:v>
      </x:c>
      <x:c r="L2490" t="str">
        <x:v>RELATIF LONGGAR</x:v>
      </x:c>
      <x:c r="M2490" t="str">
        <x:v>SEDANG+</x:v>
      </x:c>
      <x:c r="N2490" t="str">
        <x:v>REGULER</x:v>
      </x:c>
      <x:c r="O2490" t="str">
        <x:v>SOSHUM</x:v>
      </x:c>
      <x:c r="P2490" t="str">
        <x:v>BISNIS/EKONOMI/AKUNTANSI</x:v>
      </x:c>
      <x:c r="Q2490" s="18" t="n">
        <x:v>0</x:v>
      </x:c>
      <x:c r="R2490" s="18" t="n">
        <x:v>0</x:v>
      </x:c>
      <x:c r="S2490" s="18" t="n">
        <x:v>544.2837819372656</x:v>
      </x:c>
      <x:c r="T2490" s="18" t="n">
        <x:v>642</x:v>
      </x:c>
      <x:c r="U2490" s="18" t="n">
        <x:v>559.2837819372656</x:v>
      </x:c>
      <x:c r="V2490" s="20" t="n">
        <x:v>4.4</x:v>
      </x:c>
      <x:c r="W2490" s="20" t="n">
        <x:v>14.3</x:v>
      </x:c>
      <x:c r="X2490" s="20" t="n">
        <x:v>3.3</x:v>
      </x:c>
      <x:c r="Y2490" t="str">
        <x:v>Basis arsip 2025/2024</x:v>
      </x:c>
      <x:c r="Z2490" t="str">
        <x:v>https://snpmb.id/utbk-snbt/daya-tampung-snbt</x:v>
      </x:c>
      <x:c r="AA2490" t="str">
        <x:v>Tidak Ada</x:v>
      </x:c>
      <x:c r="AB2490" t="str">
        <x:v>Campus=55; Ratio=13.0; Prodi=65; RelDemand=24.0; Capacity=33.3</x:v>
      </x:c>
    </x:row>
    <x:row r="2491">
      <x:c r="A2491" t="n">
        <x:v>2488</x:v>
      </x:c>
      <x:c r="B2491" t="str">
        <x:v>PTN Akademik</x:v>
      </x:c>
      <x:c r="C2491" t="str">
        <x:v>UNIVERSITAS TRUNOJOYO MADURA</x:v>
      </x:c>
      <x:c r="D2491" t="str">
        <x:v>TEKNOLOGI INDUSTRI PERTANIAN</x:v>
      </x:c>
      <x:c r="E2491" t="str">
        <x:v>Sarjana</x:v>
      </x:c>
      <x:c r="F2491" s="18" t="n">
        <x:v>80</x:v>
      </x:c>
      <x:c r="G2491" s="18" t="n">
        <x:v>79</x:v>
      </x:c>
      <x:c r="H2491" s="19" t="n">
        <x:v>0.9875</x:v>
      </x:c>
      <x:c r="I2491" s="18" t="n">
        <x:f>ROUND(MIN(Model_Config_v3!$B$6,MAX(Q2491,R2491,S2491*Model_Config_v3!$B$4+T2491*Model_Config_v3!$B$5)),0)</x:f>
        <x:v>593</x:v>
      </x:c>
      <x:c r="J2491" s="18" t="n">
        <x:f>MIN(Model_Config_v3!$B$6,I2491+Model_Config_v3!$B$7)</x:f>
        <x:v>613</x:v>
      </x:c>
      <x:c r="K2491" s="20" t="n">
        <x:v>32</x:v>
      </x:c>
      <x:c r="L2491" t="str">
        <x:v>RELATIF LONGGAR</x:v>
      </x:c>
      <x:c r="M2491" t="str">
        <x:v>SEDANG</x:v>
      </x:c>
      <x:c r="N2491" t="str">
        <x:v>REGULER</x:v>
      </x:c>
      <x:c r="O2491" t="str">
        <x:v>SAINTEK</x:v>
      </x:c>
      <x:c r="P2491" t="str">
        <x:v>UMUM</x:v>
      </x:c>
      <x:c r="Q2491" s="18" t="n">
        <x:v>0</x:v>
      </x:c>
      <x:c r="R2491" s="18" t="n">
        <x:v>0</x:v>
      </x:c>
      <x:c r="S2491" s="18" t="n">
        <x:v>520</x:v>
      </x:c>
      <x:c r="T2491" s="18" t="n">
        <x:v>624</x:v>
      </x:c>
      <x:c r="U2491" s="18" t="n">
        <x:v>520</x:v>
      </x:c>
      <x:c r="V2491" s="20" t="n">
        <x:v>12</x:v>
      </x:c>
      <x:c r="W2491" s="20" t="n">
        <x:v>5</x:v>
      </x:c>
      <x:c r="X2491" s="20" t="n">
        <x:v>3</x:v>
      </x:c>
      <x:c r="Y2491" t="str">
        <x:v>Basis arsip 2025/2024</x:v>
      </x:c>
      <x:c r="Z2491" t="str">
        <x:v>https://snpmb.id/utbk-snbt/daya-tampung-snbt</x:v>
      </x:c>
      <x:c r="AA2491" t="str">
        <x:v>Tidak Ada</x:v>
      </x:c>
      <x:c r="AB2491" t="str">
        <x:v>Campus=55; Ratio=0.0; Prodi=40; RelDemand=14.3; Capacity=33.3</x:v>
      </x:c>
    </x:row>
    <x:row r="2492">
      <x:c r="A2492" t="n">
        <x:v>2489</x:v>
      </x:c>
      <x:c r="B2492" t="str">
        <x:v>PTN Akademik</x:v>
      </x:c>
      <x:c r="C2492" t="str">
        <x:v>UNIVERSITAS TRUNOJOYO MADURA</x:v>
      </x:c>
      <x:c r="D2492" t="str">
        <x:v>ILMU KELAUTAN</x:v>
      </x:c>
      <x:c r="E2492" t="str">
        <x:v>Sarjana</x:v>
      </x:c>
      <x:c r="F2492" s="18" t="n">
        <x:v>80</x:v>
      </x:c>
      <x:c r="G2492" s="18" t="n">
        <x:v>82</x:v>
      </x:c>
      <x:c r="H2492" s="19" t="n">
        <x:v>1.025</x:v>
      </x:c>
      <x:c r="I2492" s="18" t="n">
        <x:f>ROUND(MIN(Model_Config_v3!$B$6,MAX(Q2492,R2492,S2492*Model_Config_v3!$B$4+T2492*Model_Config_v3!$B$5)),0)</x:f>
        <x:v>593</x:v>
      </x:c>
      <x:c r="J2492" s="18" t="n">
        <x:f>MIN(Model_Config_v3!$B$6,I2492+Model_Config_v3!$B$7)</x:f>
        <x:v>613</x:v>
      </x:c>
      <x:c r="K2492" s="20" t="n">
        <x:v>32.2</x:v>
      </x:c>
      <x:c r="L2492" t="str">
        <x:v>RELATIF LONGGAR</x:v>
      </x:c>
      <x:c r="M2492" t="str">
        <x:v>SEDANG</x:v>
      </x:c>
      <x:c r="N2492" t="str">
        <x:v>REGULER</x:v>
      </x:c>
      <x:c r="O2492" t="str">
        <x:v>SAINTEK</x:v>
      </x:c>
      <x:c r="P2492" t="str">
        <x:v>UMUM</x:v>
      </x:c>
      <x:c r="Q2492" s="18" t="n">
        <x:v>0</x:v>
      </x:c>
      <x:c r="R2492" s="18" t="n">
        <x:v>0</x:v>
      </x:c>
      <x:c r="S2492" s="18" t="n">
        <x:v>521.179625193095</x:v>
      </x:c>
      <x:c r="T2492" s="18" t="n">
        <x:v>624</x:v>
      </x:c>
      <x:c r="U2492" s="18" t="n">
        <x:v>521.179625193095</x:v>
      </x:c>
      <x:c r="V2492" s="20" t="n">
        <x:v>12</x:v>
      </x:c>
      <x:c r="W2492" s="20" t="n">
        <x:v>5</x:v>
      </x:c>
      <x:c r="X2492" s="20" t="n">
        <x:v>3</x:v>
      </x:c>
      <x:c r="Y2492" t="str">
        <x:v>Basis arsip 2025/2024</x:v>
      </x:c>
      <x:c r="Z2492" t="str">
        <x:v>https://snpmb.id/utbk-snbt/daya-tampung-snbt</x:v>
      </x:c>
      <x:c r="AA2492" t="str">
        <x:v>Tidak Ada</x:v>
      </x:c>
      <x:c r="AB2492" t="str">
        <x:v>Campus=55; Ratio=0.6; Prodi=40; RelDemand=14.8; Capacity=33.3</x:v>
      </x:c>
    </x:row>
    <x:row r="2493">
      <x:c r="A2493" t="n">
        <x:v>2490</x:v>
      </x:c>
      <x:c r="B2493" t="str">
        <x:v>PTN Akademik</x:v>
      </x:c>
      <x:c r="C2493" t="str">
        <x:v>UNIVERSITAS TRUNOJOYO MADURA</x:v>
      </x:c>
      <x:c r="D2493" t="str">
        <x:v>TEKNIK INDUSTRI</x:v>
      </x:c>
      <x:c r="E2493" t="str">
        <x:v>Sarjana</x:v>
      </x:c>
      <x:c r="F2493" s="18" t="n">
        <x:v>100</x:v>
      </x:c>
      <x:c r="G2493" s="18" t="n">
        <x:v>198</x:v>
      </x:c>
      <x:c r="H2493" s="19" t="n">
        <x:v>1.98</x:v>
      </x:c>
      <x:c r="I2493" s="18" t="n">
        <x:f>ROUND(MIN(Model_Config_v3!$B$6,MAX(Q2493,R2493,S2493*Model_Config_v3!$B$4+T2493*Model_Config_v3!$B$5)),0)</x:f>
        <x:v>614</x:v>
      </x:c>
      <x:c r="J2493" s="18" t="n">
        <x:f>MIN(Model_Config_v3!$B$6,I2493+Model_Config_v3!$B$7)</x:f>
        <x:v>634</x:v>
      </x:c>
      <x:c r="K2493" s="20" t="n">
        <x:v>40.1</x:v>
      </x:c>
      <x:c r="L2493" t="str">
        <x:v>RELATIF LONGGAR</x:v>
      </x:c>
      <x:c r="M2493" t="str">
        <x:v>SEDANG+</x:v>
      </x:c>
      <x:c r="N2493" t="str">
        <x:v>REGULER</x:v>
      </x:c>
      <x:c r="O2493" t="str">
        <x:v>SAINTEK</x:v>
      </x:c>
      <x:c r="P2493" t="str">
        <x:v>TEKNIK/ARSITEKTUR/STATISTIKA/AKTUARIA</x:v>
      </x:c>
      <x:c r="Q2493" s="18" t="n">
        <x:v>0</x:v>
      </x:c>
      <x:c r="R2493" s="18" t="n">
        <x:v>0</x:v>
      </x:c>
      <x:c r="S2493" s="18" t="n">
        <x:v>552.6331709287684</x:v>
      </x:c>
      <x:c r="T2493" s="18" t="n">
        <x:v>640</x:v>
      </x:c>
      <x:c r="U2493" s="18" t="n">
        <x:v>562.6331709287684</x:v>
      </x:c>
      <x:c r="V2493" s="20" t="n">
        <x:v>12</x:v>
      </x:c>
      <x:c r="W2493" s="20" t="n">
        <x:v>5</x:v>
      </x:c>
      <x:c r="X2493" s="20" t="n">
        <x:v>3</x:v>
      </x:c>
      <x:c r="Y2493" t="str">
        <x:v>Basis arsip 2025/2024</x:v>
      </x:c>
      <x:c r="Z2493" t="str">
        <x:v>https://snpmb.id/utbk-snbt/daya-tampung-snbt</x:v>
      </x:c>
      <x:c r="AA2493" t="str">
        <x:v>Tidak Ada</x:v>
      </x:c>
      <x:c r="AB2493" t="str">
        <x:v>Campus=55; Ratio=17.5; Prodi=60; RelDemand=28.6; Capacity=16.7</x:v>
      </x:c>
    </x:row>
    <x:row r="2494">
      <x:c r="A2494" t="n">
        <x:v>2491</x:v>
      </x:c>
      <x:c r="B2494" t="str">
        <x:v>PTN Akademik</x:v>
      </x:c>
      <x:c r="C2494" t="str">
        <x:v>UNIVERSITAS TRUNOJOYO MADURA</x:v>
      </x:c>
      <x:c r="D2494" t="str">
        <x:v>TEKNIK INFORMATIKA</x:v>
      </x:c>
      <x:c r="E2494" t="str">
        <x:v>Sarjana</x:v>
      </x:c>
      <x:c r="F2494" s="18" t="n">
        <x:v>100</x:v>
      </x:c>
      <x:c r="G2494" s="18" t="n">
        <x:v>316</x:v>
      </x:c>
      <x:c r="H2494" s="19" t="n">
        <x:v>3.16</x:v>
      </x:c>
      <x:c r="I2494" s="18" t="n">
        <x:f>ROUND(MIN(Model_Config_v3!$B$6,MAX(Q2494,R2494,S2494*Model_Config_v3!$B$4+T2494*Model_Config_v3!$B$5)),0)</x:f>
        <x:v>634</x:v>
      </x:c>
      <x:c r="J2494" s="18" t="n">
        <x:f>MIN(Model_Config_v3!$B$6,I2494+Model_Config_v3!$B$7)</x:f>
        <x:v>654</x:v>
      </x:c>
      <x:c r="K2494" s="20" t="n">
        <x:v>49.8</x:v>
      </x:c>
      <x:c r="L2494" t="str">
        <x:v>MENENGAH</x:v>
      </x:c>
      <x:c r="M2494" t="str">
        <x:v>SEDANG+</x:v>
      </x:c>
      <x:c r="N2494" t="str">
        <x:v>REGULER</x:v>
      </x:c>
      <x:c r="O2494" t="str">
        <x:v>SAINTEK</x:v>
      </x:c>
      <x:c r="P2494" t="str">
        <x:v>KOMPUTER/INFORMATIKA</x:v>
      </x:c>
      <x:c r="Q2494" s="18" t="n">
        <x:v>0</x:v>
      </x:c>
      <x:c r="R2494" s="18" t="n">
        <x:v>0</x:v>
      </x:c>
      <x:c r="S2494" s="18" t="n">
        <x:v>574.9655790880245</x:v>
      </x:c>
      <x:c r="T2494" s="18" t="n">
        <x:v>660</x:v>
      </x:c>
      <x:c r="U2494" s="18" t="n">
        <x:v>599.9655790880245</x:v>
      </x:c>
      <x:c r="V2494" s="20" t="n">
        <x:v>12</x:v>
      </x:c>
      <x:c r="W2494" s="20" t="n">
        <x:v>5</x:v>
      </x:c>
      <x:c r="X2494" s="20" t="n">
        <x:v>3</x:v>
      </x:c>
      <x:c r="Y2494" t="str">
        <x:v>Basis arsip 2025/2024</x:v>
      </x:c>
      <x:c r="Z2494" t="str">
        <x:v>https://snpmb.id/utbk-snbt/daya-tampung-snbt</x:v>
      </x:c>
      <x:c r="AA2494" t="str">
        <x:v>Tidak Ada</x:v>
      </x:c>
      <x:c r="AB2494" t="str">
        <x:v>Campus=55; Ratio=29.4; Prodi=85; RelDemand=45.7; Capacity=16.7</x:v>
      </x:c>
    </x:row>
    <x:row r="2495">
      <x:c r="A2495" t="n">
        <x:v>2492</x:v>
      </x:c>
      <x:c r="B2495" t="str">
        <x:v>PTN Akademik</x:v>
      </x:c>
      <x:c r="C2495" t="str">
        <x:v>UNIVERSITAS TRUNOJOYO MADURA</x:v>
      </x:c>
      <x:c r="D2495" t="str">
        <x:v>TEKNIK ELEKTRO</x:v>
      </x:c>
      <x:c r="E2495" t="str">
        <x:v>Sarjana</x:v>
      </x:c>
      <x:c r="F2495" s="18" t="n">
        <x:v>60</x:v>
      </x:c>
      <x:c r="G2495" s="18" t="n">
        <x:v>100</x:v>
      </x:c>
      <x:c r="H2495" s="19" t="n">
        <x:v>1.6666666666666667</x:v>
      </x:c>
      <x:c r="I2495" s="18" t="n">
        <x:f>ROUND(MIN(Model_Config_v3!$B$6,MAX(Q2495,R2495,S2495*Model_Config_v3!$B$4+T2495*Model_Config_v3!$B$5)),0)</x:f>
        <x:v>614</x:v>
      </x:c>
      <x:c r="J2495" s="18" t="n">
        <x:f>MIN(Model_Config_v3!$B$6,I2495+Model_Config_v3!$B$7)</x:f>
        <x:v>634</x:v>
      </x:c>
      <x:c r="K2495" s="20" t="n">
        <x:v>41.9</x:v>
      </x:c>
      <x:c r="L2495" t="str">
        <x:v>RELATIF LONGGAR</x:v>
      </x:c>
      <x:c r="M2495" t="str">
        <x:v>SEDANG+</x:v>
      </x:c>
      <x:c r="N2495" t="str">
        <x:v>REGULER</x:v>
      </x:c>
      <x:c r="O2495" t="str">
        <x:v>SAINTEK</x:v>
      </x:c>
      <x:c r="P2495" t="str">
        <x:v>TEKNIK/ARSITEKTUR/STATISTIKA/AKTUARIA</x:v>
      </x:c>
      <x:c r="Q2495" s="18" t="n">
        <x:v>0</x:v>
      </x:c>
      <x:c r="R2495" s="18" t="n">
        <x:v>0</x:v>
      </x:c>
      <x:c r="S2495" s="18" t="n">
        <x:v>544.4033624577992</x:v>
      </x:c>
      <x:c r="T2495" s="18" t="n">
        <x:v>644</x:v>
      </x:c>
      <x:c r="U2495" s="18" t="n">
        <x:v>554.4033624577992</x:v>
      </x:c>
      <x:c r="V2495" s="20" t="n">
        <x:v>12</x:v>
      </x:c>
      <x:c r="W2495" s="20" t="n">
        <x:v>5</x:v>
      </x:c>
      <x:c r="X2495" s="20" t="n">
        <x:v>3</x:v>
      </x:c>
      <x:c r="Y2495" t="str">
        <x:v>Basis arsip 2025/2024</x:v>
      </x:c>
      <x:c r="Z2495" t="str">
        <x:v>https://snpmb.id/utbk-snbt/daya-tampung-snbt</x:v>
      </x:c>
      <x:c r="AA2495" t="str">
        <x:v>Tidak Ada</x:v>
      </x:c>
      <x:c r="AB2495" t="str">
        <x:v>Campus=55; Ratio=13.1; Prodi=60; RelDemand=24.1; Capacity=50.0</x:v>
      </x:c>
    </x:row>
    <x:row r="2496">
      <x:c r="A2496" t="n">
        <x:v>2493</x:v>
      </x:c>
      <x:c r="B2496" t="str">
        <x:v>PTN Akademik</x:v>
      </x:c>
      <x:c r="C2496" t="str">
        <x:v>UNIVERSITAS TRUNOJOYO MADURA</x:v>
      </x:c>
      <x:c r="D2496" t="str">
        <x:v>PENDIDIKAN INFORMATIKA</x:v>
      </x:c>
      <x:c r="E2496" t="str">
        <x:v>Sarjana</x:v>
      </x:c>
      <x:c r="F2496" s="18" t="n">
        <x:v>60</x:v>
      </x:c>
      <x:c r="G2496" s="18" t="n">
        <x:v>90</x:v>
      </x:c>
      <x:c r="H2496" s="19" t="n">
        <x:v>1.5</x:v>
      </x:c>
      <x:c r="I2496" s="18" t="n">
        <x:f>ROUND(MIN(Model_Config_v3!$B$6,MAX(Q2496,R2496,S2496*Model_Config_v3!$B$4+T2496*Model_Config_v3!$B$5)),0)</x:f>
        <x:v>618</x:v>
      </x:c>
      <x:c r="J2496" s="18" t="n">
        <x:f>MIN(Model_Config_v3!$B$6,I2496+Model_Config_v3!$B$7)</x:f>
        <x:v>638</x:v>
      </x:c>
      <x:c r="K2496" s="20" t="n">
        <x:v>46</x:v>
      </x:c>
      <x:c r="L2496" t="str">
        <x:v>MENENGAH</x:v>
      </x:c>
      <x:c r="M2496" t="str">
        <x:v>SEDANG+</x:v>
      </x:c>
      <x:c r="N2496" t="str">
        <x:v>REGULER</x:v>
      </x:c>
      <x:c r="O2496" t="str">
        <x:v>SAINTEK</x:v>
      </x:c>
      <x:c r="P2496" t="str">
        <x:v>KOMPUTER/INFORMATIKA</x:v>
      </x:c>
      <x:c r="Q2496" s="18" t="n">
        <x:v>0</x:v>
      </x:c>
      <x:c r="R2496" s="18" t="n">
        <x:v>0</x:v>
      </x:c>
      <x:c r="S2496" s="18" t="n">
        <x:v>539.370038496125</x:v>
      </x:c>
      <x:c r="T2496" s="18" t="n">
        <x:v>652</x:v>
      </x:c>
      <x:c r="U2496" s="18" t="n">
        <x:v>564.370038496125</x:v>
      </x:c>
      <x:c r="V2496" s="20" t="n">
        <x:v>12</x:v>
      </x:c>
      <x:c r="W2496" s="20" t="n">
        <x:v>5</x:v>
      </x:c>
      <x:c r="X2496" s="20" t="n">
        <x:v>3</x:v>
      </x:c>
      <x:c r="Y2496" t="str">
        <x:v>Basis arsip 2025/2024</x:v>
      </x:c>
      <x:c r="Z2496" t="str">
        <x:v>https://snpmb.id/utbk-snbt/daya-tampung-snbt</x:v>
      </x:c>
      <x:c r="AA2496" t="str">
        <x:v>Tidak Ada</x:v>
      </x:c>
      <x:c r="AB2496" t="str">
        <x:v>Campus=55; Ratio=10.4; Prodi=85; RelDemand=21.7; Capacity=50.0</x:v>
      </x:c>
    </x:row>
    <x:row r="2497">
      <x:c r="A2497" t="n">
        <x:v>2494</x:v>
      </x:c>
      <x:c r="B2497" t="str">
        <x:v>PTN Akademik</x:v>
      </x:c>
      <x:c r="C2497" t="str">
        <x:v>UNIVERSITAS TRUNOJOYO MADURA</x:v>
      </x:c>
      <x:c r="D2497" t="str">
        <x:v>PENDIDIKAN ILMU PENGETAHUAN ALAM</x:v>
      </x:c>
      <x:c r="E2497" t="str">
        <x:v>Sarjana</x:v>
      </x:c>
      <x:c r="F2497" s="18" t="n">
        <x:v>80</x:v>
      </x:c>
      <x:c r="G2497" s="18" t="n">
        <x:v>131</x:v>
      </x:c>
      <x:c r="H2497" s="19" t="n">
        <x:v>1.6375</x:v>
      </x:c>
      <x:c r="I2497" s="18" t="n">
        <x:f>ROUND(MIN(Model_Config_v3!$B$6,MAX(Q2497,R2497,S2497*Model_Config_v3!$B$4+T2497*Model_Config_v3!$B$5)),0)</x:f>
        <x:v>607</x:v>
      </x:c>
      <x:c r="J2497" s="18" t="n">
        <x:f>MIN(Model_Config_v3!$B$6,I2497+Model_Config_v3!$B$7)</x:f>
        <x:v>627</x:v>
      </x:c>
      <x:c r="K2497" s="20" t="n">
        <x:v>37.1</x:v>
      </x:c>
      <x:c r="L2497" t="str">
        <x:v>RELATIF LONGGAR</x:v>
      </x:c>
      <x:c r="M2497" t="str">
        <x:v>SEDANG+</x:v>
      </x:c>
      <x:c r="N2497" t="str">
        <x:v>REGULER</x:v>
      </x:c>
      <x:c r="O2497" t="str">
        <x:v>CAMPURAN</x:v>
      </x:c>
      <x:c r="P2497" t="str">
        <x:v>PENDIDIKAN</x:v>
      </x:c>
      <x:c r="Q2497" s="18" t="n">
        <x:v>0</x:v>
      </x:c>
      <x:c r="R2497" s="18" t="n">
        <x:v>0</x:v>
      </x:c>
      <x:c r="S2497" s="18" t="n">
        <x:v>543.5599439530203</x:v>
      </x:c>
      <x:c r="T2497" s="18" t="n">
        <x:v>634</x:v>
      </x:c>
      <x:c r="U2497" s="18" t="n">
        <x:v>543.5599439530203</x:v>
      </x:c>
      <x:c r="V2497" s="20" t="n">
        <x:v>8.8</x:v>
      </x:c>
      <x:c r="W2497" s="20" t="n">
        <x:v>9.9</x:v>
      </x:c>
      <x:c r="X2497" s="20" t="n">
        <x:v>3.3</x:v>
      </x:c>
      <x:c r="Y2497" t="str">
        <x:v>Basis arsip 2025/2024</x:v>
      </x:c>
      <x:c r="Z2497" t="str">
        <x:v>https://snpmb.id/utbk-snbt/daya-tampung-snbt</x:v>
      </x:c>
      <x:c r="AA2497" t="str">
        <x:v>Tidak Ada</x:v>
      </x:c>
      <x:c r="AB2497" t="str">
        <x:v>Campus=55; Ratio=12.6; Prodi=45; RelDemand=23.7; Capacity=33.3</x:v>
      </x:c>
    </x:row>
    <x:row r="2498">
      <x:c r="A2498" t="n">
        <x:v>2495</x:v>
      </x:c>
      <x:c r="B2498" t="str">
        <x:v>PTN Akademik</x:v>
      </x:c>
      <x:c r="C2498" t="str">
        <x:v>UNIVERSITAS TRUNOJOYO MADURA</x:v>
      </x:c>
      <x:c r="D2498" t="str">
        <x:v>MANAJEMEN SUMBERDAYA PERAIRAN</x:v>
      </x:c>
      <x:c r="E2498" t="str">
        <x:v>Sarjana</x:v>
      </x:c>
      <x:c r="F2498" s="18" t="n">
        <x:v>60</x:v>
      </x:c>
      <x:c r="G2498" s="18" t="n">
        <x:v>35</x:v>
      </x:c>
      <x:c r="H2498" s="19" t="n">
        <x:v>0.5833333333333334</x:v>
      </x:c>
      <x:c r="I2498" s="18" t="n">
        <x:f>ROUND(MIN(Model_Config_v3!$B$6,MAX(Q2498,R2498,S2498*Model_Config_v3!$B$4+T2498*Model_Config_v3!$B$5)),0)</x:f>
        <x:v>601</x:v>
      </x:c>
      <x:c r="J2498" s="18" t="n">
        <x:f>MIN(Model_Config_v3!$B$6,I2498+Model_Config_v3!$B$7)</x:f>
        <x:v>621</x:v>
      </x:c>
      <x:c r="K2498" s="20" t="n">
        <x:v>38.1</x:v>
      </x:c>
      <x:c r="L2498" t="str">
        <x:v>RELATIF LONGGAR</x:v>
      </x:c>
      <x:c r="M2498" t="str">
        <x:v>SEDANG+</x:v>
      </x:c>
      <x:c r="N2498" t="str">
        <x:v>REGULER</x:v>
      </x:c>
      <x:c r="O2498" t="str">
        <x:v>SOSHUM</x:v>
      </x:c>
      <x:c r="P2498" t="str">
        <x:v>BISNIS/EKONOMI/AKUNTANSI</x:v>
      </x:c>
      <x:c r="Q2498" s="18" t="n">
        <x:v>0</x:v>
      </x:c>
      <x:c r="R2498" s="18" t="n">
        <x:v>0</x:v>
      </x:c>
      <x:c r="S2498" s="18" t="n">
        <x:v>520</x:v>
      </x:c>
      <x:c r="T2498" s="18" t="n">
        <x:v>636</x:v>
      </x:c>
      <x:c r="U2498" s="18" t="n">
        <x:v>535</x:v>
      </x:c>
      <x:c r="V2498" s="20" t="n">
        <x:v>4.4</x:v>
      </x:c>
      <x:c r="W2498" s="20" t="n">
        <x:v>14.3</x:v>
      </x:c>
      <x:c r="X2498" s="20" t="n">
        <x:v>3.3</x:v>
      </x:c>
      <x:c r="Y2498" t="str">
        <x:v>Basis arsip 2025/2024</x:v>
      </x:c>
      <x:c r="Z2498" t="str">
        <x:v>https://snpmb.id/utbk-snbt/daya-tampung-snbt</x:v>
      </x:c>
      <x:c r="AA2498" t="str">
        <x:v>Tidak Ada</x:v>
      </x:c>
      <x:c r="AB2498" t="str">
        <x:v>Campus=55; Ratio=0.0; Prodi=65; RelDemand=8.4; Capacity=50.0</x:v>
      </x:c>
    </x:row>
    <x:row r="2499">
      <x:c r="A2499" t="n">
        <x:v>2496</x:v>
      </x:c>
      <x:c r="B2499" t="str">
        <x:v>PTN Akademik</x:v>
      </x:c>
      <x:c r="C2499" t="str">
        <x:v>UNIVERSITAS TRUNOJOYO MADURA</x:v>
      </x:c>
      <x:c r="D2499" t="str">
        <x:v>TEKNIK MESIN</x:v>
      </x:c>
      <x:c r="E2499" t="str">
        <x:v>Sarjana</x:v>
      </x:c>
      <x:c r="F2499" s="18" t="n">
        <x:v>40</x:v>
      </x:c>
      <x:c r="G2499" s="18" t="n">
        <x:v>103</x:v>
      </x:c>
      <x:c r="H2499" s="19" t="n">
        <x:v>2.575</x:v>
      </x:c>
      <x:c r="I2499" s="18" t="n">
        <x:f>ROUND(MIN(Model_Config_v3!$B$6,MAX(Q2499,R2499,S2499*Model_Config_v3!$B$4+T2499*Model_Config_v3!$B$5)),0)</x:f>
        <x:v>628</x:v>
      </x:c>
      <x:c r="J2499" s="18" t="n">
        <x:f>MIN(Model_Config_v3!$B$6,I2499+Model_Config_v3!$B$7)</x:f>
        <x:v>648</x:v>
      </x:c>
      <x:c r="K2499" s="20" t="n">
        <x:v>47.7</x:v>
      </x:c>
      <x:c r="L2499" t="str">
        <x:v>MENENGAH</x:v>
      </x:c>
      <x:c r="M2499" t="str">
        <x:v>SEDANG+</x:v>
      </x:c>
      <x:c r="N2499" t="str">
        <x:v>REGULER</x:v>
      </x:c>
      <x:c r="O2499" t="str">
        <x:v>SAINTEK</x:v>
      </x:c>
      <x:c r="P2499" t="str">
        <x:v>TEKNIK/ARSITEKTUR/STATISTIKA/AKTUARIA</x:v>
      </x:c>
      <x:c r="Q2499" s="18" t="n">
        <x:v>0</x:v>
      </x:c>
      <x:c r="R2499" s="18" t="n">
        <x:v>0</x:v>
      </x:c>
      <x:c r="S2499" s="18" t="n">
        <x:v>565.1854956714931</x:v>
      </x:c>
      <x:c r="T2499" s="18" t="n">
        <x:v>655</x:v>
      </x:c>
      <x:c r="U2499" s="18" t="n">
        <x:v>575.1854956714931</x:v>
      </x:c>
      <x:c r="V2499" s="20" t="n">
        <x:v>12</x:v>
      </x:c>
      <x:c r="W2499" s="20" t="n">
        <x:v>5</x:v>
      </x:c>
      <x:c r="X2499" s="20" t="n">
        <x:v>3</x:v>
      </x:c>
      <x:c r="Y2499" t="str">
        <x:v>Basis arsip 2025/2024</x:v>
      </x:c>
      <x:c r="Z2499" t="str">
        <x:v>https://snpmb.id/utbk-snbt/daya-tampung-snbt</x:v>
      </x:c>
      <x:c r="AA2499" t="str">
        <x:v>Tidak Ada</x:v>
      </x:c>
      <x:c r="AB2499" t="str">
        <x:v>Campus=55; Ratio=24.2; Prodi=60; RelDemand=37.2; Capacity=66.7</x:v>
      </x:c>
    </x:row>
    <x:row r="2500">
      <x:c r="A2500" t="n">
        <x:v>2497</x:v>
      </x:c>
      <x:c r="B2500" t="str">
        <x:v>PTN Akademik</x:v>
      </x:c>
      <x:c r="C2500" t="str">
        <x:v>UNIVERSITAS TRUNOJOYO MADURA</x:v>
      </x:c>
      <x:c r="D2500" t="str">
        <x:v>TEKNIK MEKATRONIKA</x:v>
      </x:c>
      <x:c r="E2500" t="str">
        <x:v>Sarjana</x:v>
      </x:c>
      <x:c r="F2500" s="18" t="n">
        <x:v>40</x:v>
      </x:c>
      <x:c r="G2500" s="18" t="n">
        <x:v>43</x:v>
      </x:c>
      <x:c r="H2500" s="19" t="n">
        <x:v>1.075</x:v>
      </x:c>
      <x:c r="I2500" s="18" t="n">
        <x:f>ROUND(MIN(Model_Config_v3!$B$6,MAX(Q2500,R2500,S2500*Model_Config_v3!$B$4+T2500*Model_Config_v3!$B$5)),0)</x:f>
        <x:v>605</x:v>
      </x:c>
      <x:c r="J2500" s="18" t="n">
        <x:f>MIN(Model_Config_v3!$B$6,I2500+Model_Config_v3!$B$7)</x:f>
        <x:v>625</x:v>
      </x:c>
      <x:c r="K2500" s="20" t="n">
        <x:v>39.9</x:v>
      </x:c>
      <x:c r="L2500" t="str">
        <x:v>RELATIF LONGGAR</x:v>
      </x:c>
      <x:c r="M2500" t="str">
        <x:v>SEDANG+</x:v>
      </x:c>
      <x:c r="N2500" t="str">
        <x:v>REGULER</x:v>
      </x:c>
      <x:c r="O2500" t="str">
        <x:v>SAINTEK</x:v>
      </x:c>
      <x:c r="P2500" t="str">
        <x:v>TEKNIK/ARSITEKTUR/STATISTIKA/AKTUARIA</x:v>
      </x:c>
      <x:c r="Q2500" s="18" t="n">
        <x:v>0</x:v>
      </x:c>
      <x:c r="R2500" s="18" t="n">
        <x:v>0</x:v>
      </x:c>
      <x:c r="S2500" s="18" t="n">
        <x:v>523.4549310676787</x:v>
      </x:c>
      <x:c r="T2500" s="18" t="n">
        <x:v>640</x:v>
      </x:c>
      <x:c r="U2500" s="18" t="n">
        <x:v>533.4549310676787</x:v>
      </x:c>
      <x:c r="V2500" s="20" t="n">
        <x:v>12</x:v>
      </x:c>
      <x:c r="W2500" s="20" t="n">
        <x:v>5</x:v>
      </x:c>
      <x:c r="X2500" s="20" t="n">
        <x:v>3</x:v>
      </x:c>
      <x:c r="Y2500" t="str">
        <x:v>Basis arsip 2025/2024</x:v>
      </x:c>
      <x:c r="Z2500" t="str">
        <x:v>https://snpmb.id/utbk-snbt/daya-tampung-snbt</x:v>
      </x:c>
      <x:c r="AA2500" t="str">
        <x:v>Tidak Ada</x:v>
      </x:c>
      <x:c r="AB2500" t="str">
        <x:v>Campus=55; Ratio=1.8; Prodi=60; RelDemand=15.5; Capacity=66.7</x:v>
      </x:c>
    </x:row>
    <x:row r="2501">
      <x:c r="A2501" t="n">
        <x:v>2498</x:v>
      </x:c>
      <x:c r="B2501" t="str">
        <x:v>PTN Akademik</x:v>
      </x:c>
      <x:c r="C2501" t="str">
        <x:v>UNIVERSITAS TRUNOJOYO MADURA</x:v>
      </x:c>
      <x:c r="D2501" t="str">
        <x:v>SISTEM INFORMASI</x:v>
      </x:c>
      <x:c r="E2501" t="str">
        <x:v>Sarjana</x:v>
      </x:c>
      <x:c r="F2501" s="18" t="n">
        <x:v>80</x:v>
      </x:c>
      <x:c r="G2501" s="18" t="n">
        <x:v>168</x:v>
      </x:c>
      <x:c r="H2501" s="19" t="n">
        <x:v>2.1</x:v>
      </x:c>
      <x:c r="I2501" s="18" t="n">
        <x:f>ROUND(MIN(Model_Config_v3!$B$6,MAX(Q2501,R2501,S2501*Model_Config_v3!$B$4+T2501*Model_Config_v3!$B$5)),0)</x:f>
        <x:v>625</x:v>
      </x:c>
      <x:c r="J2501" s="18" t="n">
        <x:f>MIN(Model_Config_v3!$B$6,I2501+Model_Config_v3!$B$7)</x:f>
        <x:v>645</x:v>
      </x:c>
      <x:c r="K2501" s="20" t="n">
        <x:v>47.4</x:v>
      </x:c>
      <x:c r="L2501" t="str">
        <x:v>MENENGAH</x:v>
      </x:c>
      <x:c r="M2501" t="str">
        <x:v>SEDANG+</x:v>
      </x:c>
      <x:c r="N2501" t="str">
        <x:v>REGULER</x:v>
      </x:c>
      <x:c r="O2501" t="str">
        <x:v>CAMPURAN</x:v>
      </x:c>
      <x:c r="P2501" t="str">
        <x:v>KOMPUTER/INFORMATIKA</x:v>
      </x:c>
      <x:c r="Q2501" s="18" t="n">
        <x:v>0</x:v>
      </x:c>
      <x:c r="R2501" s="18" t="n">
        <x:v>0</x:v>
      </x:c>
      <x:c r="S2501" s="18" t="n">
        <x:v>555.4441224207311</x:v>
      </x:c>
      <x:c r="T2501" s="18" t="n">
        <x:v>655</x:v>
      </x:c>
      <x:c r="U2501" s="18" t="n">
        <x:v>580.4441224207311</x:v>
      </x:c>
      <x:c r="V2501" s="20" t="n">
        <x:v>8.8</x:v>
      </x:c>
      <x:c r="W2501" s="20" t="n">
        <x:v>9.9</x:v>
      </x:c>
      <x:c r="X2501" s="20" t="n">
        <x:v>3.3</x:v>
      </x:c>
      <x:c r="Y2501" t="str">
        <x:v>Basis arsip 2025/2024</x:v>
      </x:c>
      <x:c r="Z2501" t="str">
        <x:v>https://snpmb.id/utbk-snbt/daya-tampung-snbt</x:v>
      </x:c>
      <x:c r="AA2501" t="str">
        <x:v>Tidak Ada</x:v>
      </x:c>
      <x:c r="AB2501" t="str">
        <x:v>Campus=55; Ratio=19.0; Prodi=85; RelDemand=30.4; Capacity=33.3</x:v>
      </x:c>
    </x:row>
    <x:row r="2502">
      <x:c r="A2502" t="n">
        <x:v>2499</x:v>
      </x:c>
      <x:c r="B2502" t="str">
        <x:v>PTN Akademik</x:v>
      </x:c>
      <x:c r="C2502" t="str">
        <x:v>UNIVERSITAS TRUNOJOYO MADURA</x:v>
      </x:c>
      <x:c r="D2502" t="str">
        <x:v>ILMU HUKUM</x:v>
      </x:c>
      <x:c r="E2502" t="str">
        <x:v>Sarjana</x:v>
      </x:c>
      <x:c r="F2502" s="18" t="n">
        <x:v>180</x:v>
      </x:c>
      <x:c r="G2502" s="18" t="n">
        <x:v>368</x:v>
      </x:c>
      <x:c r="H2502" s="19" t="n">
        <x:v>2.0444444444444443</x:v>
      </x:c>
      <x:c r="I2502" s="18" t="n">
        <x:f>ROUND(MIN(Model_Config_v3!$B$6,MAX(Q2502,R2502,S2502*Model_Config_v3!$B$4+T2502*Model_Config_v3!$B$5)),0)</x:f>
        <x:v>614</x:v>
      </x:c>
      <x:c r="J2502" s="18" t="n">
        <x:f>MIN(Model_Config_v3!$B$6,I2502+Model_Config_v3!$B$7)</x:f>
        <x:v>634</x:v>
      </x:c>
      <x:c r="K2502" s="20" t="n">
        <x:v>39.8</x:v>
      </x:c>
      <x:c r="L2502" t="str">
        <x:v>RELATIF LONGGAR</x:v>
      </x:c>
      <x:c r="M2502" t="str">
        <x:v>SEDANG+</x:v>
      </x:c>
      <x:c r="N2502" t="str">
        <x:v>REGULER</x:v>
      </x:c>
      <x:c r="O2502" t="str">
        <x:v>SOSHUM</x:v>
      </x:c>
      <x:c r="P2502" t="str">
        <x:v>HUKUM</x:v>
      </x:c>
      <x:c r="Q2502" s="18" t="n">
        <x:v>0</x:v>
      </x:c>
      <x:c r="R2502" s="18" t="n">
        <x:v>0</x:v>
      </x:c>
      <x:c r="S2502" s="18" t="n">
        <x:v>554.1632844927233</x:v>
      </x:c>
      <x:c r="T2502" s="18" t="n">
        <x:v>640</x:v>
      </x:c>
      <x:c r="U2502" s="18" t="n">
        <x:v>569.1632844927233</x:v>
      </x:c>
      <x:c r="V2502" s="20" t="n">
        <x:v>4.4</x:v>
      </x:c>
      <x:c r="W2502" s="20" t="n">
        <x:v>14.3</x:v>
      </x:c>
      <x:c r="X2502" s="20" t="n">
        <x:v>3.3</x:v>
      </x:c>
      <x:c r="Y2502" t="str">
        <x:v>Basis arsip 2025/2024</x:v>
      </x:c>
      <x:c r="Z2502" t="str">
        <x:v>https://snpmb.id/utbk-snbt/daya-tampung-snbt</x:v>
      </x:c>
      <x:c r="AA2502" t="str">
        <x:v>Tidak Ada</x:v>
      </x:c>
      <x:c r="AB2502" t="str">
        <x:v>Campus=55; Ratio=18.3; Prodi=65; RelDemand=29.6; Capacity=0.0</x:v>
      </x:c>
    </x:row>
    <x:row r="2503">
      <x:c r="A2503" t="n">
        <x:v>2500</x:v>
      </x:c>
      <x:c r="B2503" t="str">
        <x:v>PTN Akademik</x:v>
      </x:c>
      <x:c r="C2503" t="str">
        <x:v>UNIVERSITAS TRUNOJOYO MADURA</x:v>
      </x:c>
      <x:c r="D2503" t="str">
        <x:v>SASTRA INGGRIS</x:v>
      </x:c>
      <x:c r="E2503" t="str">
        <x:v>Sarjana</x:v>
      </x:c>
      <x:c r="F2503" s="18" t="n">
        <x:v>100</x:v>
      </x:c>
      <x:c r="G2503" s="18" t="n">
        <x:v>100</x:v>
      </x:c>
      <x:c r="H2503" s="19" t="n">
        <x:v>1</x:v>
      </x:c>
      <x:c r="I2503" s="18" t="n">
        <x:f>ROUND(MIN(Model_Config_v3!$B$6,MAX(Q2503,R2503,S2503*Model_Config_v3!$B$4+T2503*Model_Config_v3!$B$5)),0)</x:f>
        <x:v>591</x:v>
      </x:c>
      <x:c r="J2503" s="18" t="n">
        <x:f>MIN(Model_Config_v3!$B$6,I2503+Model_Config_v3!$B$7)</x:f>
        <x:v>611</x:v>
      </x:c>
      <x:c r="K2503" s="20" t="n">
        <x:v>30.4</x:v>
      </x:c>
      <x:c r="L2503" t="str">
        <x:v>RELATIF LONGGAR</x:v>
      </x:c>
      <x:c r="M2503" t="str">
        <x:v>SEDANG</x:v>
      </x:c>
      <x:c r="N2503" t="str">
        <x:v>REGULER</x:v>
      </x:c>
      <x:c r="O2503" t="str">
        <x:v>SOSHUM</x:v>
      </x:c>
      <x:c r="P2503" t="str">
        <x:v>UMUM</x:v>
      </x:c>
      <x:c r="Q2503" s="18" t="n">
        <x:v>0</x:v>
      </x:c>
      <x:c r="R2503" s="18" t="n">
        <x:v>0</x:v>
      </x:c>
      <x:c r="S2503" s="18" t="n">
        <x:v>520</x:v>
      </x:c>
      <x:c r="T2503" s="18" t="n">
        <x:v>621</x:v>
      </x:c>
      <x:c r="U2503" s="18" t="n">
        <x:v>520</x:v>
      </x:c>
      <x:c r="V2503" s="20" t="n">
        <x:v>4.4</x:v>
      </x:c>
      <x:c r="W2503" s="20" t="n">
        <x:v>14.3</x:v>
      </x:c>
      <x:c r="X2503" s="20" t="n">
        <x:v>3.3</x:v>
      </x:c>
      <x:c r="Y2503" t="str">
        <x:v>Basis arsip 2025/2024</x:v>
      </x:c>
      <x:c r="Z2503" t="str">
        <x:v>https://snpmb.id/utbk-snbt/daya-tampung-snbt</x:v>
      </x:c>
      <x:c r="AA2503" t="str">
        <x:v>Tidak Ada</x:v>
      </x:c>
      <x:c r="AB2503" t="str">
        <x:v>Campus=55; Ratio=0.0; Prodi=40; RelDemand=14.5; Capacity=16.7</x:v>
      </x:c>
    </x:row>
    <x:row r="2504">
      <x:c r="A2504" t="n">
        <x:v>2501</x:v>
      </x:c>
      <x:c r="B2504" t="str">
        <x:v>PTN Akademik</x:v>
      </x:c>
      <x:c r="C2504" t="str">
        <x:v>UNIVERSITAS TRUNOJOYO MADURA</x:v>
      </x:c>
      <x:c r="D2504" t="str">
        <x:v>SOSIOLOGI</x:v>
      </x:c>
      <x:c r="E2504" t="str">
        <x:v>Sarjana</x:v>
      </x:c>
      <x:c r="F2504" s="18" t="n">
        <x:v>100</x:v>
      </x:c>
      <x:c r="G2504" s="18" t="n">
        <x:v>117</x:v>
      </x:c>
      <x:c r="H2504" s="19" t="n">
        <x:v>1.17</x:v>
      </x:c>
      <x:c r="I2504" s="18" t="n">
        <x:f>ROUND(MIN(Model_Config_v3!$B$6,MAX(Q2504,R2504,S2504*Model_Config_v3!$B$4+T2504*Model_Config_v3!$B$5)),0)</x:f>
        <x:v>594</x:v>
      </x:c>
      <x:c r="J2504" s="18" t="n">
        <x:f>MIN(Model_Config_v3!$B$6,I2504+Model_Config_v3!$B$7)</x:f>
        <x:v>614</x:v>
      </x:c>
      <x:c r="K2504" s="20" t="n">
        <x:v>31.6</x:v>
      </x:c>
      <x:c r="L2504" t="str">
        <x:v>RELATIF LONGGAR</x:v>
      </x:c>
      <x:c r="M2504" t="str">
        <x:v>SEDANG</x:v>
      </x:c>
      <x:c r="N2504" t="str">
        <x:v>REGULER</x:v>
      </x:c>
      <x:c r="O2504" t="str">
        <x:v>SOSHUM</x:v>
      </x:c>
      <x:c r="P2504" t="str">
        <x:v>UMUM</x:v>
      </x:c>
      <x:c r="Q2504" s="18" t="n">
        <x:v>0</x:v>
      </x:c>
      <x:c r="R2504" s="18" t="n">
        <x:v>0</x:v>
      </x:c>
      <x:c r="S2504" s="18" t="n">
        <x:v>527.5004447920778</x:v>
      </x:c>
      <x:c r="T2504" s="18" t="n">
        <x:v>623</x:v>
      </x:c>
      <x:c r="U2504" s="18" t="n">
        <x:v>527.5004447920778</x:v>
      </x:c>
      <x:c r="V2504" s="20" t="n">
        <x:v>4.4</x:v>
      </x:c>
      <x:c r="W2504" s="20" t="n">
        <x:v>14.3</x:v>
      </x:c>
      <x:c r="X2504" s="20" t="n">
        <x:v>3.3</x:v>
      </x:c>
      <x:c r="Y2504" t="str">
        <x:v>Basis arsip 2025/2024</x:v>
      </x:c>
      <x:c r="Z2504" t="str">
        <x:v>https://snpmb.id/utbk-snbt/daya-tampung-snbt</x:v>
      </x:c>
      <x:c r="AA2504" t="str">
        <x:v>Tidak Ada</x:v>
      </x:c>
      <x:c r="AB2504" t="str">
        <x:v>Campus=55; Ratio=4.0; Prodi=40; RelDemand=16.9; Capacity=16.7</x:v>
      </x:c>
    </x:row>
    <x:row r="2505">
      <x:c r="A2505" t="n">
        <x:v>2502</x:v>
      </x:c>
      <x:c r="B2505" t="str">
        <x:v>PTN Akademik</x:v>
      </x:c>
      <x:c r="C2505" t="str">
        <x:v>UNIVERSITAS TRUNOJOYO MADURA</x:v>
      </x:c>
      <x:c r="D2505" t="str">
        <x:v>ILMU KOMUNIKASI</x:v>
      </x:c>
      <x:c r="E2505" t="str">
        <x:v>Sarjana</x:v>
      </x:c>
      <x:c r="F2505" s="18" t="n">
        <x:v>100</x:v>
      </x:c>
      <x:c r="G2505" s="18" t="n">
        <x:v>310</x:v>
      </x:c>
      <x:c r="H2505" s="19" t="n">
        <x:v>3.1</x:v>
      </x:c>
      <x:c r="I2505" s="18" t="n">
        <x:f>ROUND(MIN(Model_Config_v3!$B$6,MAX(Q2505,R2505,S2505*Model_Config_v3!$B$4+T2505*Model_Config_v3!$B$5)),0)</x:f>
        <x:v>621</x:v>
      </x:c>
      <x:c r="J2505" s="18" t="n">
        <x:f>MIN(Model_Config_v3!$B$6,I2505+Model_Config_v3!$B$7)</x:f>
        <x:v>641</x:v>
      </x:c>
      <x:c r="K2505" s="20" t="n">
        <x:v>40.6</x:v>
      </x:c>
      <x:c r="L2505" t="str">
        <x:v>RELATIF LONGGAR</x:v>
      </x:c>
      <x:c r="M2505" t="str">
        <x:v>SEDANG</x:v>
      </x:c>
      <x:c r="N2505" t="str">
        <x:v>REGULER</x:v>
      </x:c>
      <x:c r="O2505" t="str">
        <x:v>SOSHUM</x:v>
      </x:c>
      <x:c r="P2505" t="str">
        <x:v>UMUM</x:v>
      </x:c>
      <x:c r="Q2505" s="18" t="n">
        <x:v>0</x:v>
      </x:c>
      <x:c r="R2505" s="18" t="n">
        <x:v>0</x:v>
      </x:c>
      <x:c r="S2505" s="18" t="n">
        <x:v>574.04978632177</x:v>
      </x:c>
      <x:c r="T2505" s="18" t="n">
        <x:v>641</x:v>
      </x:c>
      <x:c r="U2505" s="18" t="n">
        <x:v>574.04978632177</x:v>
      </x:c>
      <x:c r="V2505" s="20" t="n">
        <x:v>4.4</x:v>
      </x:c>
      <x:c r="W2505" s="20" t="n">
        <x:v>14.3</x:v>
      </x:c>
      <x:c r="X2505" s="20" t="n">
        <x:v>3.3</x:v>
      </x:c>
      <x:c r="Y2505" t="str">
        <x:v>Basis arsip 2025/2024</x:v>
      </x:c>
      <x:c r="Z2505" t="str">
        <x:v>https://snpmb.id/utbk-snbt/daya-tampung-snbt</x:v>
      </x:c>
      <x:c r="AA2505" t="str">
        <x:v>Tidak Ada</x:v>
      </x:c>
      <x:c r="AB2505" t="str">
        <x:v>Campus=55; Ratio=28.9; Prodi=40; RelDemand=44.8; Capacity=16.7</x:v>
      </x:c>
    </x:row>
    <x:row r="2506">
      <x:c r="A2506" t="n">
        <x:v>2503</x:v>
      </x:c>
      <x:c r="B2506" t="str">
        <x:v>PTN Akademik</x:v>
      </x:c>
      <x:c r="C2506" t="str">
        <x:v>UNIVERSITAS TRUNOJOYO MADURA</x:v>
      </x:c>
      <x:c r="D2506" t="str">
        <x:v>MANAJEMEN</x:v>
      </x:c>
      <x:c r="E2506" t="str">
        <x:v>Sarjana</x:v>
      </x:c>
      <x:c r="F2506" s="18" t="n">
        <x:v>140</x:v>
      </x:c>
      <x:c r="G2506" s="18" t="n">
        <x:v>559</x:v>
      </x:c>
      <x:c r="H2506" s="19" t="n">
        <x:v>3.992857142857143</x:v>
      </x:c>
      <x:c r="I2506" s="18" t="n">
        <x:f>ROUND(MIN(Model_Config_v3!$B$6,MAX(Q2506,R2506,S2506*Model_Config_v3!$B$4+T2506*Model_Config_v3!$B$5)),0)</x:f>
        <x:v>634</x:v>
      </x:c>
      <x:c r="J2506" s="18" t="n">
        <x:f>MIN(Model_Config_v3!$B$6,I2506+Model_Config_v3!$B$7)</x:f>
        <x:v>654</x:v>
      </x:c>
      <x:c r="K2506" s="20" t="n">
        <x:v>46.9</x:v>
      </x:c>
      <x:c r="L2506" t="str">
        <x:v>MENENGAH</x:v>
      </x:c>
      <x:c r="M2506" t="str">
        <x:v>SEDANG+</x:v>
      </x:c>
      <x:c r="N2506" t="str">
        <x:v>REGULER</x:v>
      </x:c>
      <x:c r="O2506" t="str">
        <x:v>SOSHUM</x:v>
      </x:c>
      <x:c r="P2506" t="str">
        <x:v>BISNIS/EKONOMI/AKUNTANSI</x:v>
      </x:c>
      <x:c r="Q2506" s="18" t="n">
        <x:v>0</x:v>
      </x:c>
      <x:c r="R2506" s="18" t="n">
        <x:v>0</x:v>
      </x:c>
      <x:c r="S2506" s="18" t="n">
        <x:v>586.1412149429004</x:v>
      </x:c>
      <x:c r="T2506" s="18" t="n">
        <x:v>654</x:v>
      </x:c>
      <x:c r="U2506" s="18" t="n">
        <x:v>601.1412149429004</x:v>
      </x:c>
      <x:c r="V2506" s="20" t="n">
        <x:v>4.4</x:v>
      </x:c>
      <x:c r="W2506" s="20" t="n">
        <x:v>14.3</x:v>
      </x:c>
      <x:c r="X2506" s="20" t="n">
        <x:v>3.3</x:v>
      </x:c>
      <x:c r="Y2506" t="str">
        <x:v>Basis arsip 2025/2024</x:v>
      </x:c>
      <x:c r="Z2506" t="str">
        <x:v>https://snpmb.id/utbk-snbt/daya-tampung-snbt</x:v>
      </x:c>
      <x:c r="AA2506" t="str">
        <x:v>Tidak Ada</x:v>
      </x:c>
      <x:c r="AB2506" t="str">
        <x:v>Campus=55; Ratio=35.4; Prodi=65; RelDemand=57.7; Capacity=0.0</x:v>
      </x:c>
    </x:row>
    <x:row r="2507">
      <x:c r="A2507" t="n">
        <x:v>2504</x:v>
      </x:c>
      <x:c r="B2507" t="str">
        <x:v>PTN Akademik</x:v>
      </x:c>
      <x:c r="C2507" t="str">
        <x:v>UNIVERSITAS TRUNOJOYO MADURA</x:v>
      </x:c>
      <x:c r="D2507" t="str">
        <x:v>AKUNTANSI</x:v>
      </x:c>
      <x:c r="E2507" t="str">
        <x:v>Sarjana</x:v>
      </x:c>
      <x:c r="F2507" s="18" t="n">
        <x:v>140</x:v>
      </x:c>
      <x:c r="G2507" s="18" t="n">
        <x:v>315</x:v>
      </x:c>
      <x:c r="H2507" s="19" t="n">
        <x:v>2.25</x:v>
      </x:c>
      <x:c r="I2507" s="18" t="n">
        <x:f>ROUND(MIN(Model_Config_v3!$B$6,MAX(Q2507,R2507,S2507*Model_Config_v3!$B$4+T2507*Model_Config_v3!$B$5)),0)</x:f>
        <x:v>616</x:v>
      </x:c>
      <x:c r="J2507" s="18" t="n">
        <x:f>MIN(Model_Config_v3!$B$6,I2507+Model_Config_v3!$B$7)</x:f>
        <x:v>636</x:v>
      </x:c>
      <x:c r="K2507" s="20" t="n">
        <x:v>40.7</x:v>
      </x:c>
      <x:c r="L2507" t="str">
        <x:v>RELATIF LONGGAR</x:v>
      </x:c>
      <x:c r="M2507" t="str">
        <x:v>SEDANG+</x:v>
      </x:c>
      <x:c r="N2507" t="str">
        <x:v>REGULER</x:v>
      </x:c>
      <x:c r="O2507" t="str">
        <x:v>SOSHUM</x:v>
      </x:c>
      <x:c r="P2507" t="str">
        <x:v>BISNIS/EKONOMI/AKUNTANSI</x:v>
      </x:c>
      <x:c r="Q2507" s="18" t="n">
        <x:v>0</x:v>
      </x:c>
      <x:c r="R2507" s="18" t="n">
        <x:v>0</x:v>
      </x:c>
      <x:c r="S2507" s="18" t="n">
        <x:v>558.7400769922499</x:v>
      </x:c>
      <x:c r="T2507" s="18" t="n">
        <x:v>641</x:v>
      </x:c>
      <x:c r="U2507" s="18" t="n">
        <x:v>558.7400769922499</x:v>
      </x:c>
      <x:c r="V2507" s="20" t="n">
        <x:v>4.4</x:v>
      </x:c>
      <x:c r="W2507" s="20" t="n">
        <x:v>14.3</x:v>
      </x:c>
      <x:c r="X2507" s="20" t="n">
        <x:v>3.3</x:v>
      </x:c>
      <x:c r="Y2507" t="str">
        <x:v>Basis arsip 2025/2024</x:v>
      </x:c>
      <x:c r="Z2507" t="str">
        <x:v>https://snpmb.id/utbk-snbt/daya-tampung-snbt</x:v>
      </x:c>
      <x:c r="AA2507" t="str">
        <x:v>Tidak Ada</x:v>
      </x:c>
      <x:c r="AB2507" t="str">
        <x:v>Campus=55; Ratio=20.7; Prodi=65; RelDemand=32.5; Capacity=0.0</x:v>
      </x:c>
    </x:row>
    <x:row r="2508">
      <x:c r="A2508" t="n">
        <x:v>2505</x:v>
      </x:c>
      <x:c r="B2508" t="str">
        <x:v>PTN Akademik</x:v>
      </x:c>
      <x:c r="C2508" t="str">
        <x:v>UNIVERSITAS TRUNOJOYO MADURA</x:v>
      </x:c>
      <x:c r="D2508" t="str">
        <x:v>EKONOMI PEMBANGUNAN</x:v>
      </x:c>
      <x:c r="E2508" t="str">
        <x:v>Sarjana</x:v>
      </x:c>
      <x:c r="F2508" s="18" t="n">
        <x:v>100</x:v>
      </x:c>
      <x:c r="G2508" s="18" t="n">
        <x:v>170</x:v>
      </x:c>
      <x:c r="H2508" s="19" t="n">
        <x:v>1.7</x:v>
      </x:c>
      <x:c r="I2508" s="18" t="n">
        <x:f>ROUND(MIN(Model_Config_v3!$B$6,MAX(Q2508,R2508,S2508*Model_Config_v3!$B$4+T2508*Model_Config_v3!$B$5)),0)</x:f>
        <x:v>612</x:v>
      </x:c>
      <x:c r="J2508" s="18" t="n">
        <x:f>MIN(Model_Config_v3!$B$6,I2508+Model_Config_v3!$B$7)</x:f>
        <x:v>632</x:v>
      </x:c>
      <x:c r="K2508" s="20" t="n">
        <x:v>39.8</x:v>
      </x:c>
      <x:c r="L2508" t="str">
        <x:v>RELATIF LONGGAR</x:v>
      </x:c>
      <x:c r="M2508" t="str">
        <x:v>SEDANG+</x:v>
      </x:c>
      <x:c r="N2508" t="str">
        <x:v>REGULER</x:v>
      </x:c>
      <x:c r="O2508" t="str">
        <x:v>SOSHUM</x:v>
      </x:c>
      <x:c r="P2508" t="str">
        <x:v>BISNIS/EKONOMI/AKUNTANSI</x:v>
      </x:c>
      <x:c r="Q2508" s="18" t="n">
        <x:v>0</x:v>
      </x:c>
      <x:c r="R2508" s="18" t="n">
        <x:v>0</x:v>
      </x:c>
      <x:c r="S2508" s="18" t="n">
        <x:v>545.3493813516101</x:v>
      </x:c>
      <x:c r="T2508" s="18" t="n">
        <x:v>640</x:v>
      </x:c>
      <x:c r="U2508" s="18" t="n">
        <x:v>545.3493813516101</x:v>
      </x:c>
      <x:c r="V2508" s="20" t="n">
        <x:v>4.4</x:v>
      </x:c>
      <x:c r="W2508" s="20" t="n">
        <x:v>14.3</x:v>
      </x:c>
      <x:c r="X2508" s="20" t="n">
        <x:v>3.3</x:v>
      </x:c>
      <x:c r="Y2508" t="str">
        <x:v>Basis arsip 2025/2024</x:v>
      </x:c>
      <x:c r="Z2508" t="str">
        <x:v>https://snpmb.id/utbk-snbt/daya-tampung-snbt</x:v>
      </x:c>
      <x:c r="AA2508" t="str">
        <x:v>Tidak Ada</x:v>
      </x:c>
      <x:c r="AB2508" t="str">
        <x:v>Campus=55; Ratio=13.6; Prodi=65; RelDemand=24.6; Capacity=16.7</x:v>
      </x:c>
    </x:row>
    <x:row r="2509">
      <x:c r="A2509" t="n">
        <x:v>2506</x:v>
      </x:c>
      <x:c r="B2509" t="str">
        <x:v>PTN Akademik</x:v>
      </x:c>
      <x:c r="C2509" t="str">
        <x:v>UNIVERSITAS TRUNOJOYO MADURA</x:v>
      </x:c>
      <x:c r="D2509" t="str">
        <x:v>PSIKOLOGI</x:v>
      </x:c>
      <x:c r="E2509" t="str">
        <x:v>Sarjana</x:v>
      </x:c>
      <x:c r="F2509" s="18" t="n">
        <x:v>80</x:v>
      </x:c>
      <x:c r="G2509" s="18" t="n">
        <x:v>355</x:v>
      </x:c>
      <x:c r="H2509" s="19" t="n">
        <x:v>4.4375</x:v>
      </x:c>
      <x:c r="I2509" s="18" t="n">
        <x:f>ROUND(MIN(Model_Config_v3!$B$6,MAX(Q2509,R2509,S2509*Model_Config_v3!$B$4+T2509*Model_Config_v3!$B$5)),0)</x:f>
        <x:v>646</x:v>
      </x:c>
      <x:c r="J2509" s="18" t="n">
        <x:f>MIN(Model_Config_v3!$B$6,I2509+Model_Config_v3!$B$7)</x:f>
        <x:v>666</x:v>
      </x:c>
      <x:c r="K2509" s="20" t="n">
        <x:v>54.5</x:v>
      </x:c>
      <x:c r="L2509" t="str">
        <x:v>MENENGAH</x:v>
      </x:c>
      <x:c r="M2509" t="str">
        <x:v>SEDANG+</x:v>
      </x:c>
      <x:c r="N2509" t="str">
        <x:v>REGULER</x:v>
      </x:c>
      <x:c r="O2509" t="str">
        <x:v>SOSHUM</x:v>
      </x:c>
      <x:c r="P2509" t="str">
        <x:v>PSIKOLOGI</x:v>
      </x:c>
      <x:c r="Q2509" s="18" t="n">
        <x:v>0</x:v>
      </x:c>
      <x:c r="R2509" s="18" t="n">
        <x:v>0</x:v>
      </x:c>
      <x:c r="S2509" s="18" t="n">
        <x:v>591.1852202669465</x:v>
      </x:c>
      <x:c r="T2509" s="18" t="n">
        <x:v>669</x:v>
      </x:c>
      <x:c r="U2509" s="18" t="n">
        <x:v>616.1852202669465</x:v>
      </x:c>
      <x:c r="V2509" s="20" t="n">
        <x:v>4.4</x:v>
      </x:c>
      <x:c r="W2509" s="20" t="n">
        <x:v>14.3</x:v>
      </x:c>
      <x:c r="X2509" s="20" t="n">
        <x:v>3.3</x:v>
      </x:c>
      <x:c r="Y2509" t="str">
        <x:v>Basis arsip 2025/2024</x:v>
      </x:c>
      <x:c r="Z2509" t="str">
        <x:v>https://snpmb.id/utbk-snbt/daya-tampung-snbt</x:v>
      </x:c>
      <x:c r="AA2509" t="str">
        <x:v>Tidak Ada</x:v>
      </x:c>
      <x:c r="AB2509" t="str">
        <x:v>Campus=55; Ratio=38.1; Prodi=80; RelDemand=64.2; Capacity=33.3</x:v>
      </x:c>
    </x:row>
    <x:row r="2510">
      <x:c r="A2510" t="n">
        <x:v>2507</x:v>
      </x:c>
      <x:c r="B2510" t="str">
        <x:v>PTN Akademik</x:v>
      </x:c>
      <x:c r="C2510" t="str">
        <x:v>UNIVERSITAS TRUNOJOYO MADURA</x:v>
      </x:c>
      <x:c r="D2510" t="str">
        <x:v>PGSD</x:v>
      </x:c>
      <x:c r="E2510" t="str">
        <x:v>Sarjana</x:v>
      </x:c>
      <x:c r="F2510" s="18" t="n">
        <x:v>100</x:v>
      </x:c>
      <x:c r="G2510" s="18" t="n">
        <x:v>540</x:v>
      </x:c>
      <x:c r="H2510" s="19" t="n">
        <x:v>5.4</x:v>
      </x:c>
      <x:c r="I2510" s="18" t="n">
        <x:f>ROUND(MIN(Model_Config_v3!$B$6,MAX(Q2510,R2510,S2510*Model_Config_v3!$B$4+T2510*Model_Config_v3!$B$5)),0)</x:f>
        <x:v>639</x:v>
      </x:c>
      <x:c r="J2510" s="18" t="n">
        <x:f>MIN(Model_Config_v3!$B$6,I2510+Model_Config_v3!$B$7)</x:f>
        <x:v>659</x:v>
      </x:c>
      <x:c r="K2510" s="20" t="n">
        <x:v>47.5</x:v>
      </x:c>
      <x:c r="L2510" t="str">
        <x:v>MENENGAH</x:v>
      </x:c>
      <x:c r="M2510" t="str">
        <x:v>SEDANG</x:v>
      </x:c>
      <x:c r="N2510" t="str">
        <x:v>REGULER</x:v>
      </x:c>
      <x:c r="O2510" t="str">
        <x:v>CAMPURAN</x:v>
      </x:c>
      <x:c r="P2510" t="str">
        <x:v>UMUM</x:v>
      </x:c>
      <x:c r="Q2510" s="18" t="n">
        <x:v>0</x:v>
      </x:c>
      <x:c r="R2510" s="18" t="n">
        <x:v>0</x:v>
      </x:c>
      <x:c r="S2510" s="18" t="n">
        <x:v>600.5633135805265</x:v>
      </x:c>
      <x:c r="T2510" s="18" t="n">
        <x:v>655</x:v>
      </x:c>
      <x:c r="U2510" s="18" t="n">
        <x:v>600.5633135805265</x:v>
      </x:c>
      <x:c r="V2510" s="20" t="n">
        <x:v>8.8</x:v>
      </x:c>
      <x:c r="W2510" s="20" t="n">
        <x:v>9.9</x:v>
      </x:c>
      <x:c r="X2510" s="20" t="n">
        <x:v>3.3</x:v>
      </x:c>
      <x:c r="Y2510" t="str">
        <x:v>Basis arsip 2025/2024</x:v>
      </x:c>
      <x:c r="Z2510" t="str">
        <x:v>https://snpmb.id/utbk-snbt/daya-tampung-snbt</x:v>
      </x:c>
      <x:c r="AA2510" t="str">
        <x:v>Tidak Ada</x:v>
      </x:c>
      <x:c r="AB2510" t="str">
        <x:v>Campus=55; Ratio=43.1; Prodi=40; RelDemand=78.1; Capacity=16.7</x:v>
      </x:c>
    </x:row>
    <x:row r="2511">
      <x:c r="A2511" t="n">
        <x:v>2508</x:v>
      </x:c>
      <x:c r="B2511" t="str">
        <x:v>PTN Akademik</x:v>
      </x:c>
      <x:c r="C2511" t="str">
        <x:v>UNIVERSITAS TRUNOJOYO MADURA</x:v>
      </x:c>
      <x:c r="D2511" t="str">
        <x:v>HUKUM BISNIS SYARIAH</x:v>
      </x:c>
      <x:c r="E2511" t="str">
        <x:v>Sarjana</x:v>
      </x:c>
      <x:c r="F2511" s="18" t="n">
        <x:v>80</x:v>
      </x:c>
      <x:c r="G2511" s="18" t="n">
        <x:v>49</x:v>
      </x:c>
      <x:c r="H2511" s="19" t="n">
        <x:v>0.6125</x:v>
      </x:c>
      <x:c r="I2511" s="18" t="n">
        <x:f>ROUND(MIN(Model_Config_v3!$B$6,MAX(Q2511,R2511,S2511*Model_Config_v3!$B$4+T2511*Model_Config_v3!$B$5)),0)</x:f>
        <x:v>599</x:v>
      </x:c>
      <x:c r="J2511" s="18" t="n">
        <x:f>MIN(Model_Config_v3!$B$6,I2511+Model_Config_v3!$B$7)</x:f>
        <x:v>619</x:v>
      </x:c>
      <x:c r="K2511" s="20" t="n">
        <x:v>36.5</x:v>
      </x:c>
      <x:c r="L2511" t="str">
        <x:v>RELATIF LONGGAR</x:v>
      </x:c>
      <x:c r="M2511" t="str">
        <x:v>SEDANG+</x:v>
      </x:c>
      <x:c r="N2511" t="str">
        <x:v>REGULER</x:v>
      </x:c>
      <x:c r="O2511" t="str">
        <x:v>SOSHUM</x:v>
      </x:c>
      <x:c r="P2511" t="str">
        <x:v>HUKUM</x:v>
      </x:c>
      <x:c r="Q2511" s="18" t="n">
        <x:v>0</x:v>
      </x:c>
      <x:c r="R2511" s="18" t="n">
        <x:v>0</x:v>
      </x:c>
      <x:c r="S2511" s="18" t="n">
        <x:v>520</x:v>
      </x:c>
      <x:c r="T2511" s="18" t="n">
        <x:v>633</x:v>
      </x:c>
      <x:c r="U2511" s="18" t="n">
        <x:v>535</x:v>
      </x:c>
      <x:c r="V2511" s="20" t="n">
        <x:v>4.4</x:v>
      </x:c>
      <x:c r="W2511" s="20" t="n">
        <x:v>14.3</x:v>
      </x:c>
      <x:c r="X2511" s="20" t="n">
        <x:v>3.3</x:v>
      </x:c>
      <x:c r="Y2511" t="str">
        <x:v>Basis arsip 2025/2024</x:v>
      </x:c>
      <x:c r="Z2511" t="str">
        <x:v>https://snpmb.id/utbk-snbt/daya-tampung-snbt</x:v>
      </x:c>
      <x:c r="AA2511" t="str">
        <x:v>Tidak Ada</x:v>
      </x:c>
      <x:c r="AB2511" t="str">
        <x:v>Campus=55; Ratio=0.0; Prodi=65; RelDemand=8.9; Capacity=33.3</x:v>
      </x:c>
    </x:row>
    <x:row r="2512">
      <x:c r="A2512" t="n">
        <x:v>2509</x:v>
      </x:c>
      <x:c r="B2512" t="str">
        <x:v>PTN Akademik</x:v>
      </x:c>
      <x:c r="C2512" t="str">
        <x:v>UNIVERSITAS TRUNOJOYO MADURA</x:v>
      </x:c>
      <x:c r="D2512" t="str">
        <x:v>EKONOMI SYARIAH</x:v>
      </x:c>
      <x:c r="E2512" t="str">
        <x:v>Sarjana</x:v>
      </x:c>
      <x:c r="F2512" s="18" t="n">
        <x:v>140</x:v>
      </x:c>
      <x:c r="G2512" s="18" t="n">
        <x:v>147</x:v>
      </x:c>
      <x:c r="H2512" s="19" t="n">
        <x:v>1.05</x:v>
      </x:c>
      <x:c r="I2512" s="18" t="n">
        <x:f>ROUND(MIN(Model_Config_v3!$B$6,MAX(Q2512,R2512,S2512*Model_Config_v3!$B$4+T2512*Model_Config_v3!$B$5)),0)</x:f>
        <x:v>589</x:v>
      </x:c>
      <x:c r="J2512" s="18" t="n">
        <x:f>MIN(Model_Config_v3!$B$6,I2512+Model_Config_v3!$B$7)</x:f>
        <x:v>609</x:v>
      </x:c>
      <x:c r="K2512" s="20" t="n">
        <x:v>29.1</x:v>
      </x:c>
      <x:c r="L2512" t="str">
        <x:v>RELATIF LONGGAR</x:v>
      </x:c>
      <x:c r="M2512" t="str">
        <x:v>SEDANG</x:v>
      </x:c>
      <x:c r="N2512" t="str">
        <x:v>REGULER</x:v>
      </x:c>
      <x:c r="O2512" t="str">
        <x:v>SOSHUM</x:v>
      </x:c>
      <x:c r="P2512" t="str">
        <x:v>UMUM</x:v>
      </x:c>
      <x:c r="Q2512" s="18" t="n">
        <x:v>0</x:v>
      </x:c>
      <x:c r="R2512" s="18" t="n">
        <x:v>0</x:v>
      </x:c>
      <x:c r="S2512" s="18" t="n">
        <x:v>522.3308228976932</x:v>
      </x:c>
      <x:c r="T2512" s="18" t="n">
        <x:v>618</x:v>
      </x:c>
      <x:c r="U2512" s="18" t="n">
        <x:v>522.3308228976932</x:v>
      </x:c>
      <x:c r="V2512" s="20" t="n">
        <x:v>4.4</x:v>
      </x:c>
      <x:c r="W2512" s="20" t="n">
        <x:v>14.3</x:v>
      </x:c>
      <x:c r="X2512" s="20" t="n">
        <x:v>3.3</x:v>
      </x:c>
      <x:c r="Y2512" t="str">
        <x:v>Basis arsip 2025/2024</x:v>
      </x:c>
      <x:c r="Z2512" t="str">
        <x:v>https://snpmb.id/utbk-snbt/daya-tampung-snbt</x:v>
      </x:c>
      <x:c r="AA2512" t="str">
        <x:v>Tidak Ada</x:v>
      </x:c>
      <x:c r="AB2512" t="str">
        <x:v>Campus=55; Ratio=1.2; Prodi=40; RelDemand=15.2; Capacity=0.0</x:v>
      </x:c>
    </x:row>
    <x:row r="2513">
      <x:c r="A2513" t="n">
        <x:v>2510</x:v>
      </x:c>
      <x:c r="B2513" t="str">
        <x:v>PTN Akademik</x:v>
      </x:c>
      <x:c r="C2513" t="str">
        <x:v>UNIVERSITAS TRUNOJOYO MADURA</x:v>
      </x:c>
      <x:c r="D2513" t="str">
        <x:v>PENDIDIKAN BAHASA DAN SASTRA INDONESIA</x:v>
      </x:c>
      <x:c r="E2513" t="str">
        <x:v>Sarjana</x:v>
      </x:c>
      <x:c r="F2513" s="18" t="n">
        <x:v>80</x:v>
      </x:c>
      <x:c r="G2513" s="18" t="n">
        <x:v>190</x:v>
      </x:c>
      <x:c r="H2513" s="19" t="n">
        <x:v>2.375</x:v>
      </x:c>
      <x:c r="I2513" s="18" t="n">
        <x:f>ROUND(MIN(Model_Config_v3!$B$6,MAX(Q2513,R2513,S2513*Model_Config_v3!$B$4+T2513*Model_Config_v3!$B$5)),0)</x:f>
        <x:v>617</x:v>
      </x:c>
      <x:c r="J2513" s="18" t="n">
        <x:f>MIN(Model_Config_v3!$B$6,I2513+Model_Config_v3!$B$7)</x:f>
        <x:v>637</x:v>
      </x:c>
      <x:c r="K2513" s="20" t="n">
        <x:v>40.5</x:v>
      </x:c>
      <x:c r="L2513" t="str">
        <x:v>RELATIF LONGGAR</x:v>
      </x:c>
      <x:c r="M2513" t="str">
        <x:v>SEDANG+</x:v>
      </x:c>
      <x:c r="N2513" t="str">
        <x:v>REGULER</x:v>
      </x:c>
      <x:c r="O2513" t="str">
        <x:v>SOSHUM</x:v>
      </x:c>
      <x:c r="P2513" t="str">
        <x:v>PENDIDIKAN</x:v>
      </x:c>
      <x:c r="Q2513" s="18" t="n">
        <x:v>0</x:v>
      </x:c>
      <x:c r="R2513" s="18" t="n">
        <x:v>0</x:v>
      </x:c>
      <x:c r="S2513" s="18" t="n">
        <x:v>561.3229975356974</x:v>
      </x:c>
      <x:c r="T2513" s="18" t="n">
        <x:v>641</x:v>
      </x:c>
      <x:c r="U2513" s="18" t="n">
        <x:v>561.3229975356974</x:v>
      </x:c>
      <x:c r="V2513" s="20" t="n">
        <x:v>4.4</x:v>
      </x:c>
      <x:c r="W2513" s="20" t="n">
        <x:v>14.3</x:v>
      </x:c>
      <x:c r="X2513" s="20" t="n">
        <x:v>3.3</x:v>
      </x:c>
      <x:c r="Y2513" t="str">
        <x:v>Basis arsip 2025/2024</x:v>
      </x:c>
      <x:c r="Z2513" t="str">
        <x:v>https://snpmb.id/utbk-snbt/daya-tampung-snbt</x:v>
      </x:c>
      <x:c r="AA2513" t="str">
        <x:v>Tidak Ada</x:v>
      </x:c>
      <x:c r="AB2513" t="str">
        <x:v>Campus=55; Ratio=22.1; Prodi=45; RelDemand=34.3; Capacity=33.3</x:v>
      </x:c>
    </x:row>
    <x:row r="2514">
      <x:c r="A2514" t="n">
        <x:v>2511</x:v>
      </x:c>
      <x:c r="B2514" t="str">
        <x:v>PTN Akademik</x:v>
      </x:c>
      <x:c r="C2514" t="str">
        <x:v>UNIVERSITAS TRUNOJOYO MADURA</x:v>
      </x:c>
      <x:c r="D2514" t="str">
        <x:v>PENDIDIKAN GURU ANAK USIA DINI</x:v>
      </x:c>
      <x:c r="E2514" t="str">
        <x:v>Sarjana</x:v>
      </x:c>
      <x:c r="F2514" s="18" t="n">
        <x:v>80</x:v>
      </x:c>
      <x:c r="G2514" s="18" t="n">
        <x:v>112</x:v>
      </x:c>
      <x:c r="H2514" s="19" t="n">
        <x:v>1.4</x:v>
      </x:c>
      <x:c r="I2514" s="18" t="n">
        <x:f>ROUND(MIN(Model_Config_v3!$B$6,MAX(Q2514,R2514,S2514*Model_Config_v3!$B$4+T2514*Model_Config_v3!$B$5)),0)</x:f>
        <x:v>603</x:v>
      </x:c>
      <x:c r="J2514" s="18" t="n">
        <x:f>MIN(Model_Config_v3!$B$6,I2514+Model_Config_v3!$B$7)</x:f>
        <x:v>623</x:v>
      </x:c>
      <x:c r="K2514" s="20" t="n">
        <x:v>35.8</x:v>
      </x:c>
      <x:c r="L2514" t="str">
        <x:v>RELATIF LONGGAR</x:v>
      </x:c>
      <x:c r="M2514" t="str">
        <x:v>SEDANG+</x:v>
      </x:c>
      <x:c r="N2514" t="str">
        <x:v>REGULER</x:v>
      </x:c>
      <x:c r="O2514" t="str">
        <x:v>CAMPURAN</x:v>
      </x:c>
      <x:c r="P2514" t="str">
        <x:v>PENDIDIKAN</x:v>
      </x:c>
      <x:c r="Q2514" s="18" t="n">
        <x:v>0</x:v>
      </x:c>
      <x:c r="R2514" s="18" t="n">
        <x:v>0</x:v>
      </x:c>
      <x:c r="S2514" s="18" t="n">
        <x:v>536.0740839246062</x:v>
      </x:c>
      <x:c r="T2514" s="18" t="n">
        <x:v>632</x:v>
      </x:c>
      <x:c r="U2514" s="18" t="n">
        <x:v>536.0740839246062</x:v>
      </x:c>
      <x:c r="V2514" s="20" t="n">
        <x:v>8.8</x:v>
      </x:c>
      <x:c r="W2514" s="20" t="n">
        <x:v>9.9</x:v>
      </x:c>
      <x:c r="X2514" s="20" t="n">
        <x:v>3.3</x:v>
      </x:c>
      <x:c r="Y2514" t="str">
        <x:v>Basis arsip 2025/2024</x:v>
      </x:c>
      <x:c r="Z2514" t="str">
        <x:v>https://snpmb.id/utbk-snbt/daya-tampung-snbt</x:v>
      </x:c>
      <x:c r="AA2514" t="str">
        <x:v>Tidak Ada</x:v>
      </x:c>
      <x:c r="AB2514" t="str">
        <x:v>Campus=55; Ratio=8.6; Prodi=45; RelDemand=20.2; Capacity=33.3</x:v>
      </x:c>
    </x:row>
    <x:row r="2515">
      <x:c r="A2515" t="n">
        <x:v>2512</x:v>
      </x:c>
      <x:c r="B2515" t="str">
        <x:v>PTN Akademik</x:v>
      </x:c>
      <x:c r="C2515" t="str">
        <x:v>UNIVERSITAS TRUNOJOYO MADURA</x:v>
      </x:c>
      <x:c r="D2515" t="str">
        <x:v>AKUNTANSI</x:v>
      </x:c>
      <x:c r="E2515" t="str">
        <x:v>Diploma Tiga</x:v>
      </x:c>
      <x:c r="F2515" s="18" t="n">
        <x:v>20</x:v>
      </x:c>
      <x:c r="G2515" s="18" t="n">
        <x:v>563</x:v>
      </x:c>
      <x:c r="H2515" s="19" t="n">
        <x:v>28.15</x:v>
      </x:c>
      <x:c r="I2515" s="18" t="n">
        <x:f>ROUND(MIN(Model_Config_v3!$B$6,MAX(Q2515,R2515,S2515*Model_Config_v3!$B$4+T2515*Model_Config_v3!$B$5)),0)</x:f>
        <x:v>697</x:v>
      </x:c>
      <x:c r="J2515" s="18" t="n">
        <x:f>MIN(Model_Config_v3!$B$6,I2515+Model_Config_v3!$B$7)</x:f>
        <x:v>717</x:v>
      </x:c>
      <x:c r="K2515" s="20" t="n">
        <x:v>71.9</x:v>
      </x:c>
      <x:c r="L2515" t="str">
        <x:v>SANGAT KETAT</x:v>
      </x:c>
      <x:c r="M2515" t="str">
        <x:v>SEDANG+</x:v>
      </x:c>
      <x:c r="N2515" t="str">
        <x:v>REGULER</x:v>
      </x:c>
      <x:c r="O2515" t="str">
        <x:v>SOSHUM</x:v>
      </x:c>
      <x:c r="P2515" t="str">
        <x:v>BISNIS/EKONOMI/AKUNTANSI</x:v>
      </x:c>
      <x:c r="Q2515" s="18" t="n">
        <x:v>0</x:v>
      </x:c>
      <x:c r="R2515" s="18" t="n">
        <x:v>0</x:v>
      </x:c>
      <x:c r="S2515" s="18" t="n">
        <x:v>679.4426239106101</x:v>
      </x:c>
      <x:c r="T2515" s="18" t="n">
        <x:v>704</x:v>
      </x:c>
      <x:c r="U2515" s="18" t="n">
        <x:v>679.4426239106101</x:v>
      </x:c>
      <x:c r="V2515" s="20" t="n">
        <x:v>4.4</x:v>
      </x:c>
      <x:c r="W2515" s="20" t="n">
        <x:v>14.3</x:v>
      </x:c>
      <x:c r="X2515" s="20" t="n">
        <x:v>3.3</x:v>
      </x:c>
      <x:c r="Y2515" t="str">
        <x:v>Basis arsip 2025/2024</x:v>
      </x:c>
      <x:c r="Z2515" t="str">
        <x:v>https://snpmb.id/utbk-snbt/daya-tampung-snbt</x:v>
      </x:c>
      <x:c r="AA2515" t="str">
        <x:v>Tidak Ada</x:v>
      </x:c>
      <x:c r="AB2515" t="str">
        <x:v>Campus=55; Ratio=85.3; Prodi=65; RelDemand=100.0; Capacity=83.3</x:v>
      </x:c>
    </x:row>
    <x:row r="2516">
      <x:c r="A2516" t="n">
        <x:v>2513</x:v>
      </x:c>
      <x:c r="B2516" t="str">
        <x:v>PTN Akademik</x:v>
      </x:c>
      <x:c r="C2516" t="str">
        <x:v>UNIVERSITAS TRUNOJOYO MADURA</x:v>
      </x:c>
      <x:c r="D2516" t="str">
        <x:v>ENTERPRENEURSHIP</x:v>
      </x:c>
      <x:c r="E2516" t="str">
        <x:v>Diploma Tiga</x:v>
      </x:c>
      <x:c r="F2516" s="18" t="n">
        <x:v>20</x:v>
      </x:c>
      <x:c r="G2516" s="18" t="n">
        <x:v>345</x:v>
      </x:c>
      <x:c r="H2516" s="19" t="n">
        <x:v>17.25</x:v>
      </x:c>
      <x:c r="I2516" s="18" t="n">
        <x:f>ROUND(MIN(Model_Config_v3!$B$6,MAX(Q2516,R2516,S2516*Model_Config_v3!$B$4+T2516*Model_Config_v3!$B$5)),0)</x:f>
        <x:v>678</x:v>
      </x:c>
      <x:c r="J2516" s="18" t="n">
        <x:f>MIN(Model_Config_v3!$B$6,I2516+Model_Config_v3!$B$7)</x:f>
        <x:v>698</x:v>
      </x:c>
      <x:c r="K2516" s="20" t="n">
        <x:v>63.8</x:v>
      </x:c>
      <x:c r="L2516" t="str">
        <x:v>KETAT</x:v>
      </x:c>
      <x:c r="M2516" t="str">
        <x:v>SEDANG</x:v>
      </x:c>
      <x:c r="N2516" t="str">
        <x:v>REGULER</x:v>
      </x:c>
      <x:c r="O2516" t="str">
        <x:v>CAMPURAN</x:v>
      </x:c>
      <x:c r="P2516" t="str">
        <x:v>UMUM</x:v>
      </x:c>
      <x:c r="Q2516" s="18" t="n">
        <x:v>0</x:v>
      </x:c>
      <x:c r="R2516" s="18" t="n">
        <x:v>0</x:v>
      </x:c>
      <x:c r="S2516" s="18" t="n">
        <x:v>656.0468009350222</x:v>
      </x:c>
      <x:c r="T2516" s="18" t="n">
        <x:v>688</x:v>
      </x:c>
      <x:c r="U2516" s="18" t="n">
        <x:v>656.0468009350222</x:v>
      </x:c>
      <x:c r="V2516" s="20" t="n">
        <x:v>8.8</x:v>
      </x:c>
      <x:c r="W2516" s="20" t="n">
        <x:v>9.9</x:v>
      </x:c>
      <x:c r="X2516" s="20" t="n">
        <x:v>3.3</x:v>
      </x:c>
      <x:c r="Y2516" t="str">
        <x:v>Basis arsip 2025/2024</x:v>
      </x:c>
      <x:c r="Z2516" t="str">
        <x:v>https://snpmb.id/utbk-snbt/daya-tampung-snbt</x:v>
      </x:c>
      <x:c r="AA2516" t="str">
        <x:v>Tidak Ada</x:v>
      </x:c>
      <x:c r="AB2516" t="str">
        <x:v>Campus=55; Ratio=72.8; Prodi=40; RelDemand=100.0; Capacity=83.3</x:v>
      </x:c>
    </x:row>
    <x:row r="2517">
      <x:c r="A2517" t="n">
        <x:v>2514</x:v>
      </x:c>
      <x:c r="B2517" t="str">
        <x:v>PTN Akademik</x:v>
      </x:c>
      <x:c r="C2517" t="str">
        <x:v>UPN "VETERAN" JAWA TIMUR</x:v>
      </x:c>
      <x:c r="D2517" t="str">
        <x:v>AGRIBISNIS</x:v>
      </x:c>
      <x:c r="E2517" t="str">
        <x:v>Sarjana</x:v>
      </x:c>
      <x:c r="F2517" s="18" t="n">
        <x:v>108</x:v>
      </x:c>
      <x:c r="G2517" s="18" t="n">
        <x:v>486</x:v>
      </x:c>
      <x:c r="H2517" s="19" t="n">
        <x:v>4.5</x:v>
      </x:c>
      <x:c r="I2517" s="18" t="n">
        <x:f>ROUND(MIN(Model_Config_v3!$B$6,MAX(Q2517,R2517,S2517*Model_Config_v3!$B$4+T2517*Model_Config_v3!$B$5)),0)</x:f>
        <x:v>633</x:v>
      </x:c>
      <x:c r="J2517" s="18" t="n">
        <x:f>MIN(Model_Config_v3!$B$6,I2517+Model_Config_v3!$B$7)</x:f>
        <x:v>653</x:v>
      </x:c>
      <x:c r="K2517" s="20" t="n">
        <x:v>45.3</x:v>
      </x:c>
      <x:c r="L2517" t="str">
        <x:v>MENENGAH</x:v>
      </x:c>
      <x:c r="M2517" t="str">
        <x:v>SEDANG+</x:v>
      </x:c>
      <x:c r="N2517" t="str">
        <x:v>REGULER</x:v>
      </x:c>
      <x:c r="O2517" t="str">
        <x:v>SOSHUM</x:v>
      </x:c>
      <x:c r="P2517" t="str">
        <x:v>BISNIS/EKONOMI/AKUNTANSI</x:v>
      </x:c>
      <x:c r="Q2517" s="18" t="n">
        <x:v>0</x:v>
      </x:c>
      <x:c r="R2517" s="18" t="n">
        <x:v>0</x:v>
      </x:c>
      <x:c r="S2517" s="18" t="n">
        <x:v>591.8533765152878</x:v>
      </x:c>
      <x:c r="T2517" s="18" t="n">
        <x:v>651</x:v>
      </x:c>
      <x:c r="U2517" s="18" t="n">
        <x:v>606.8533765152878</x:v>
      </x:c>
      <x:c r="V2517" s="20" t="n">
        <x:v>4.4</x:v>
      </x:c>
      <x:c r="W2517" s="20" t="n">
        <x:v>14.3</x:v>
      </x:c>
      <x:c r="X2517" s="20" t="n">
        <x:v>3.3</x:v>
      </x:c>
      <x:c r="Y2517" t="str">
        <x:v>Basis arsip 2025/2024</x:v>
      </x:c>
      <x:c r="Z2517" t="str">
        <x:v>https://snpmb.id/utbk-snbt/daya-tampung-snbt</x:v>
      </x:c>
      <x:c r="AA2517" t="str">
        <x:v>Tidak Ada</x:v>
      </x:c>
      <x:c r="AB2517" t="str">
        <x:v>Campus=55; Ratio=38.4; Prodi=65; RelDemand=24.9; Capacity=10.0</x:v>
      </x:c>
    </x:row>
    <x:row r="2518">
      <x:c r="A2518" t="n">
        <x:v>2515</x:v>
      </x:c>
      <x:c r="B2518" t="str">
        <x:v>PTN Akademik</x:v>
      </x:c>
      <x:c r="C2518" t="str">
        <x:v>UPN "VETERAN" JAWA TIMUR</x:v>
      </x:c>
      <x:c r="D2518" t="str">
        <x:v>AGROTEKNOLOGI</x:v>
      </x:c>
      <x:c r="E2518" t="str">
        <x:v>Sarjana</x:v>
      </x:c>
      <x:c r="F2518" s="18" t="n">
        <x:v>110</x:v>
      </x:c>
      <x:c r="G2518" s="18" t="n">
        <x:v>409</x:v>
      </x:c>
      <x:c r="H2518" s="19" t="n">
        <x:v>3.7181818181818183</x:v>
      </x:c>
      <x:c r="I2518" s="18" t="n">
        <x:f>ROUND(MIN(Model_Config_v3!$B$6,MAX(Q2518,R2518,S2518*Model_Config_v3!$B$4+T2518*Model_Config_v3!$B$5)),0)</x:f>
        <x:v>621</x:v>
      </x:c>
      <x:c r="J2518" s="18" t="n">
        <x:f>MIN(Model_Config_v3!$B$6,I2518+Model_Config_v3!$B$7)</x:f>
        <x:v>641</x:v>
      </x:c>
      <x:c r="K2518" s="20" t="n">
        <x:v>38.5</x:v>
      </x:c>
      <x:c r="L2518" t="str">
        <x:v>RELATIF LONGGAR</x:v>
      </x:c>
      <x:c r="M2518" t="str">
        <x:v>SEDANG</x:v>
      </x:c>
      <x:c r="N2518" t="str">
        <x:v>REGULER</x:v>
      </x:c>
      <x:c r="O2518" t="str">
        <x:v>SAINTEK</x:v>
      </x:c>
      <x:c r="P2518" t="str">
        <x:v>UMUM</x:v>
      </x:c>
      <x:c r="Q2518" s="18" t="n">
        <x:v>0</x:v>
      </x:c>
      <x:c r="R2518" s="18" t="n">
        <x:v>0</x:v>
      </x:c>
      <x:c r="S2518" s="18" t="n">
        <x:v>582.7363685134028</x:v>
      </x:c>
      <x:c r="T2518" s="18" t="n">
        <x:v>637</x:v>
      </x:c>
      <x:c r="U2518" s="18" t="n">
        <x:v>582.7363685134028</x:v>
      </x:c>
      <x:c r="V2518" s="20" t="n">
        <x:v>12</x:v>
      </x:c>
      <x:c r="W2518" s="20" t="n">
        <x:v>5</x:v>
      </x:c>
      <x:c r="X2518" s="20" t="n">
        <x:v>3</x:v>
      </x:c>
      <x:c r="Y2518" t="str">
        <x:v>Basis arsip 2025/2024</x:v>
      </x:c>
      <x:c r="Z2518" t="str">
        <x:v>https://snpmb.id/utbk-snbt/daya-tampung-snbt</x:v>
      </x:c>
      <x:c r="AA2518" t="str">
        <x:v>Tidak Ada</x:v>
      </x:c>
      <x:c r="AB2518" t="str">
        <x:v>Campus=55; Ratio=33.6; Prodi=40; RelDemand=20.5; Capacity=8.3</x:v>
      </x:c>
    </x:row>
    <x:row r="2519">
      <x:c r="A2519" t="n">
        <x:v>2516</x:v>
      </x:c>
      <x:c r="B2519" t="str">
        <x:v>PTN Akademik</x:v>
      </x:c>
      <x:c r="C2519" t="str">
        <x:v>UPN "VETERAN" JAWA TIMUR</x:v>
      </x:c>
      <x:c r="D2519" t="str">
        <x:v>TEKNIK KIMIA</x:v>
      </x:c>
      <x:c r="E2519" t="str">
        <x:v>Sarjana</x:v>
      </x:c>
      <x:c r="F2519" s="18" t="n">
        <x:v>114</x:v>
      </x:c>
      <x:c r="G2519" s="18" t="n">
        <x:v>554</x:v>
      </x:c>
      <x:c r="H2519" s="19" t="n">
        <x:v>4.859649122807017</x:v>
      </x:c>
      <x:c r="I2519" s="18" t="n">
        <x:f>ROUND(MIN(Model_Config_v3!$B$6,MAX(Q2519,R2519,S2519*Model_Config_v3!$B$4+T2519*Model_Config_v3!$B$5)),0)</x:f>
        <x:v>633</x:v>
      </x:c>
      <x:c r="J2519" s="18" t="n">
        <x:f>MIN(Model_Config_v3!$B$6,I2519+Model_Config_v3!$B$7)</x:f>
        <x:v>653</x:v>
      </x:c>
      <x:c r="K2519" s="20" t="n">
        <x:v>44.5</x:v>
      </x:c>
      <x:c r="L2519" t="str">
        <x:v>RELATIF LONGGAR</x:v>
      </x:c>
      <x:c r="M2519" t="str">
        <x:v>SEDANG+</x:v>
      </x:c>
      <x:c r="N2519" t="str">
        <x:v>REGULER</x:v>
      </x:c>
      <x:c r="O2519" t="str">
        <x:v>SAINTEK</x:v>
      </x:c>
      <x:c r="P2519" t="str">
        <x:v>TEKNIK/ARSITEKTUR/STATISTIKA/AKTUARIA</x:v>
      </x:c>
      <x:c r="Q2519" s="18" t="n">
        <x:v>0</x:v>
      </x:c>
      <x:c r="R2519" s="18" t="n">
        <x:v>0</x:v>
      </x:c>
      <x:c r="S2519" s="18" t="n">
        <x:v>595.5265404731152</x:v>
      </x:c>
      <x:c r="T2519" s="18" t="n">
        <x:v>649</x:v>
      </x:c>
      <x:c r="U2519" s="18" t="n">
        <x:v>605.5265404731152</x:v>
      </x:c>
      <x:c r="V2519" s="20" t="n">
        <x:v>12</x:v>
      </x:c>
      <x:c r="W2519" s="20" t="n">
        <x:v>5</x:v>
      </x:c>
      <x:c r="X2519" s="20" t="n">
        <x:v>3</x:v>
      </x:c>
      <x:c r="Y2519" t="str">
        <x:v>Basis arsip 2025/2024</x:v>
      </x:c>
      <x:c r="Z2519" t="str">
        <x:v>https://snpmb.id/utbk-snbt/daya-tampung-snbt</x:v>
      </x:c>
      <x:c r="AA2519" t="str">
        <x:v>Tidak Ada</x:v>
      </x:c>
      <x:c r="AB2519" t="str">
        <x:v>Campus=55; Ratio=40.4; Prodi=60; RelDemand=26.9; Capacity=5.0</x:v>
      </x:c>
    </x:row>
    <x:row r="2520">
      <x:c r="A2520" t="n">
        <x:v>2517</x:v>
      </x:c>
      <x:c r="B2520" t="str">
        <x:v>PTN Akademik</x:v>
      </x:c>
      <x:c r="C2520" t="str">
        <x:v>UPN "VETERAN" JAWA TIMUR</x:v>
      </x:c>
      <x:c r="D2520" t="str">
        <x:v>TEKNIK INDUSTRI</x:v>
      </x:c>
      <x:c r="E2520" t="str">
        <x:v>Sarjana</x:v>
      </x:c>
      <x:c r="F2520" s="18" t="n">
        <x:v>114</x:v>
      </x:c>
      <x:c r="G2520" s="18" t="n">
        <x:v>1121</x:v>
      </x:c>
      <x:c r="H2520" s="19" t="n">
        <x:v>9.833333333333334</x:v>
      </x:c>
      <x:c r="I2520" s="18" t="n">
        <x:f>ROUND(MIN(Model_Config_v3!$B$6,MAX(Q2520,R2520,S2520*Model_Config_v3!$B$4+T2520*Model_Config_v3!$B$5)),0)</x:f>
        <x:v>654</x:v>
      </x:c>
      <x:c r="J2520" s="18" t="n">
        <x:f>MIN(Model_Config_v3!$B$6,I2520+Model_Config_v3!$B$7)</x:f>
        <x:v>674</x:v>
      </x:c>
      <x:c r="K2520" s="20" t="n">
        <x:v>51.8</x:v>
      </x:c>
      <x:c r="L2520" t="str">
        <x:v>MENENGAH</x:v>
      </x:c>
      <x:c r="M2520" t="str">
        <x:v>SEDANG+</x:v>
      </x:c>
      <x:c r="N2520" t="str">
        <x:v>REGULER</x:v>
      </x:c>
      <x:c r="O2520" t="str">
        <x:v>SAINTEK</x:v>
      </x:c>
      <x:c r="P2520" t="str">
        <x:v>TEKNIK/ARSITEKTUR/STATISTIKA/AKTUARIA</x:v>
      </x:c>
      <x:c r="Q2520" s="18" t="n">
        <x:v>0</x:v>
      </x:c>
      <x:c r="R2520" s="18" t="n">
        <x:v>0</x:v>
      </x:c>
      <x:c r="S2520" s="18" t="n">
        <x:v>629.197083738435</x:v>
      </x:c>
      <x:c r="T2520" s="18" t="n">
        <x:v>664</x:v>
      </x:c>
      <x:c r="U2520" s="18" t="n">
        <x:v>639.197083738435</x:v>
      </x:c>
      <x:c r="V2520" s="20" t="n">
        <x:v>12</x:v>
      </x:c>
      <x:c r="W2520" s="20" t="n">
        <x:v>5</x:v>
      </x:c>
      <x:c r="X2520" s="20" t="n">
        <x:v>3</x:v>
      </x:c>
      <x:c r="Y2520" t="str">
        <x:v>Basis arsip 2025/2024</x:v>
      </x:c>
      <x:c r="Z2520" t="str">
        <x:v>https://snpmb.id/utbk-snbt/daya-tampung-snbt</x:v>
      </x:c>
      <x:c r="AA2520" t="str">
        <x:v>Tidak Ada</x:v>
      </x:c>
      <x:c r="AB2520" t="str">
        <x:v>Campus=55; Ratio=58.4; Prodi=60; RelDemand=54.3; Capacity=5.0</x:v>
      </x:c>
    </x:row>
    <x:row r="2521">
      <x:c r="A2521" t="n">
        <x:v>2518</x:v>
      </x:c>
      <x:c r="B2521" t="str">
        <x:v>PTN Akademik</x:v>
      </x:c>
      <x:c r="C2521" t="str">
        <x:v>UPN "VETERAN" JAWA TIMUR</x:v>
      </x:c>
      <x:c r="D2521" t="str">
        <x:v>TEKNOLOGI PANGAN</x:v>
      </x:c>
      <x:c r="E2521" t="str">
        <x:v>Sarjana</x:v>
      </x:c>
      <x:c r="F2521" s="18" t="n">
        <x:v>72</x:v>
      </x:c>
      <x:c r="G2521" s="18" t="n">
        <x:v>719</x:v>
      </x:c>
      <x:c r="H2521" s="19" t="n">
        <x:v>9.98611111111111</x:v>
      </x:c>
      <x:c r="I2521" s="18" t="n">
        <x:f>ROUND(MIN(Model_Config_v3!$B$6,MAX(Q2521,R2521,S2521*Model_Config_v3!$B$4+T2521*Model_Config_v3!$B$5)),0)</x:f>
        <x:v>653</x:v>
      </x:c>
      <x:c r="J2521" s="18" t="n">
        <x:f>MIN(Model_Config_v3!$B$6,I2521+Model_Config_v3!$B$7)</x:f>
        <x:v>673</x:v>
      </x:c>
      <x:c r="K2521" s="20" t="n">
        <x:v>51.5</x:v>
      </x:c>
      <x:c r="L2521" t="str">
        <x:v>MENENGAH</x:v>
      </x:c>
      <x:c r="M2521" t="str">
        <x:v>SEDANG</x:v>
      </x:c>
      <x:c r="N2521" t="str">
        <x:v>REGULER</x:v>
      </x:c>
      <x:c r="O2521" t="str">
        <x:v>SAINTEK</x:v>
      </x:c>
      <x:c r="P2521" t="str">
        <x:v>UMUM</x:v>
      </x:c>
      <x:c r="Q2521" s="18" t="n">
        <x:v>0</x:v>
      </x:c>
      <x:c r="R2521" s="18" t="n">
        <x:v>0</x:v>
      </x:c>
      <x:c r="S2521" s="18" t="n">
        <x:v>629.9336033346775</x:v>
      </x:c>
      <x:c r="T2521" s="18" t="n">
        <x:v>663</x:v>
      </x:c>
      <x:c r="U2521" s="18" t="n">
        <x:v>629.9336033346775</x:v>
      </x:c>
      <x:c r="V2521" s="20" t="n">
        <x:v>12</x:v>
      </x:c>
      <x:c r="W2521" s="20" t="n">
        <x:v>5</x:v>
      </x:c>
      <x:c r="X2521" s="20" t="n">
        <x:v>3</x:v>
      </x:c>
      <x:c r="Y2521" t="str">
        <x:v>Basis arsip 2025/2024</x:v>
      </x:c>
      <x:c r="Z2521" t="str">
        <x:v>https://snpmb.id/utbk-snbt/daya-tampung-snbt</x:v>
      </x:c>
      <x:c r="AA2521" t="str">
        <x:v>Tidak Ada</x:v>
      </x:c>
      <x:c r="AB2521" t="str">
        <x:v>Campus=55; Ratio=58.8; Prodi=40; RelDemand=55.2; Capacity=40.0</x:v>
      </x:c>
    </x:row>
    <x:row r="2522">
      <x:c r="A2522" t="n">
        <x:v>2519</x:v>
      </x:c>
      <x:c r="B2522" t="str">
        <x:v>PTN Akademik</x:v>
      </x:c>
      <x:c r="C2522" t="str">
        <x:v>UPN "VETERAN" JAWA TIMUR</x:v>
      </x:c>
      <x:c r="D2522" t="str">
        <x:v>INFORMATIKA</x:v>
      </x:c>
      <x:c r="E2522" t="str">
        <x:v>Sarjana</x:v>
      </x:c>
      <x:c r="F2522" s="18" t="n">
        <x:v>148</x:v>
      </x:c>
      <x:c r="G2522" s="18" t="n">
        <x:v>895</x:v>
      </x:c>
      <x:c r="H2522" s="19" t="n">
        <x:v>6.047297297297297</x:v>
      </x:c>
      <x:c r="I2522" s="18" t="n">
        <x:f>ROUND(MIN(Model_Config_v3!$B$6,MAX(Q2522,R2522,S2522*Model_Config_v3!$B$4+T2522*Model_Config_v3!$B$5)),0)</x:f>
        <x:v>645</x:v>
      </x:c>
      <x:c r="J2522" s="18" t="n">
        <x:f>MIN(Model_Config_v3!$B$6,I2522+Model_Config_v3!$B$7)</x:f>
        <x:v>665</x:v>
      </x:c>
      <x:c r="K2522" s="20" t="n">
        <x:v>51.1</x:v>
      </x:c>
      <x:c r="L2522" t="str">
        <x:v>MENENGAH</x:v>
      </x:c>
      <x:c r="M2522" t="str">
        <x:v>SEDANG+</x:v>
      </x:c>
      <x:c r="N2522" t="str">
        <x:v>REGULER</x:v>
      </x:c>
      <x:c r="O2522" t="str">
        <x:v>SAINTEK</x:v>
      </x:c>
      <x:c r="P2522" t="str">
        <x:v>KOMPUTER/INFORMATIKA</x:v>
      </x:c>
      <x:c r="Q2522" s="18" t="n">
        <x:v>0</x:v>
      </x:c>
      <x:c r="R2522" s="18" t="n">
        <x:v>0</x:v>
      </x:c>
      <x:c r="S2522" s="18" t="n">
        <x:v>605.971745191305</x:v>
      </x:c>
      <x:c r="T2522" s="18" t="n">
        <x:v>662</x:v>
      </x:c>
      <x:c r="U2522" s="18" t="n">
        <x:v>630.971745191305</x:v>
      </x:c>
      <x:c r="V2522" s="20" t="n">
        <x:v>12</x:v>
      </x:c>
      <x:c r="W2522" s="20" t="n">
        <x:v>5</x:v>
      </x:c>
      <x:c r="X2522" s="20" t="n">
        <x:v>3</x:v>
      </x:c>
      <x:c r="Y2522" t="str">
        <x:v>Basis arsip 2025/2024</x:v>
      </x:c>
      <x:c r="Z2522" t="str">
        <x:v>https://snpmb.id/utbk-snbt/daya-tampung-snbt</x:v>
      </x:c>
      <x:c r="AA2522" t="str">
        <x:v>Tidak Ada</x:v>
      </x:c>
      <x:c r="AB2522" t="str">
        <x:v>Campus=55; Ratio=46.0; Prodi=85; RelDemand=33.4; Capacity=0.0</x:v>
      </x:c>
    </x:row>
    <x:row r="2523">
      <x:c r="A2523" t="n">
        <x:v>2520</x:v>
      </x:c>
      <x:c r="B2523" t="str">
        <x:v>PTN Akademik</x:v>
      </x:c>
      <x:c r="C2523" t="str">
        <x:v>UPN "VETERAN" JAWA TIMUR</x:v>
      </x:c>
      <x:c r="D2523" t="str">
        <x:v>SISTEM INFORMASI</x:v>
      </x:c>
      <x:c r="E2523" t="str">
        <x:v>Sarjana</x:v>
      </x:c>
      <x:c r="F2523" s="18" t="n">
        <x:v>116</x:v>
      </x:c>
      <x:c r="G2523" s="18" t="n">
        <x:v>961</x:v>
      </x:c>
      <x:c r="H2523" s="19" t="n">
        <x:v>8.28448275862069</x:v>
      </x:c>
      <x:c r="I2523" s="18" t="n">
        <x:f>ROUND(MIN(Model_Config_v3!$B$6,MAX(Q2523,R2523,S2523*Model_Config_v3!$B$4+T2523*Model_Config_v3!$B$5)),0)</x:f>
        <x:v>655</x:v>
      </x:c>
      <x:c r="J2523" s="18" t="n">
        <x:f>MIN(Model_Config_v3!$B$6,I2523+Model_Config_v3!$B$7)</x:f>
        <x:v>675</x:v>
      </x:c>
      <x:c r="K2523" s="20" t="n">
        <x:v>54.7</x:v>
      </x:c>
      <x:c r="L2523" t="str">
        <x:v>MENENGAH</x:v>
      </x:c>
      <x:c r="M2523" t="str">
        <x:v>SEDANG+</x:v>
      </x:c>
      <x:c r="N2523" t="str">
        <x:v>REGULER</x:v>
      </x:c>
      <x:c r="O2523" t="str">
        <x:v>CAMPURAN</x:v>
      </x:c>
      <x:c r="P2523" t="str">
        <x:v>KOMPUTER/INFORMATIKA</x:v>
      </x:c>
      <x:c r="Q2523" s="18" t="n">
        <x:v>0</x:v>
      </x:c>
      <x:c r="R2523" s="18" t="n">
        <x:v>0</x:v>
      </x:c>
      <x:c r="S2523" s="18" t="n">
        <x:v>621.009193828579</x:v>
      </x:c>
      <x:c r="T2523" s="18" t="n">
        <x:v>669</x:v>
      </x:c>
      <x:c r="U2523" s="18" t="n">
        <x:v>646.009193828579</x:v>
      </x:c>
      <x:c r="V2523" s="20" t="n">
        <x:v>8.8</x:v>
      </x:c>
      <x:c r="W2523" s="20" t="n">
        <x:v>9.9</x:v>
      </x:c>
      <x:c r="X2523" s="20" t="n">
        <x:v>3.3</x:v>
      </x:c>
      <x:c r="Y2523" t="str">
        <x:v>Basis arsip 2025/2024</x:v>
      </x:c>
      <x:c r="Z2523" t="str">
        <x:v>https://snpmb.id/utbk-snbt/daya-tampung-snbt</x:v>
      </x:c>
      <x:c r="AA2523" t="str">
        <x:v>Tidak Ada</x:v>
      </x:c>
      <x:c r="AB2523" t="str">
        <x:v>Campus=55; Ratio=54.0; Prodi=85; RelDemand=45.8; Capacity=3.3</x:v>
      </x:c>
    </x:row>
    <x:row r="2524">
      <x:c r="A2524" t="n">
        <x:v>2521</x:v>
      </x:c>
      <x:c r="B2524" t="str">
        <x:v>PTN Akademik</x:v>
      </x:c>
      <x:c r="C2524" t="str">
        <x:v>UPN "VETERAN" JAWA TIMUR</x:v>
      </x:c>
      <x:c r="D2524" t="str">
        <x:v>ARSITEKTUR</x:v>
      </x:c>
      <x:c r="E2524" t="str">
        <x:v>Sarjana</x:v>
      </x:c>
      <x:c r="F2524" s="18" t="n">
        <x:v>74</x:v>
      </x:c>
      <x:c r="G2524" s="18" t="n">
        <x:v>469</x:v>
      </x:c>
      <x:c r="H2524" s="19" t="n">
        <x:v>6.337837837837838</x:v>
      </x:c>
      <x:c r="I2524" s="18" t="n">
        <x:f>ROUND(MIN(Model_Config_v3!$B$6,MAX(Q2524,R2524,S2524*Model_Config_v3!$B$4+T2524*Model_Config_v3!$B$5)),0)</x:f>
        <x:v>645</x:v>
      </x:c>
      <x:c r="J2524" s="18" t="n">
        <x:f>MIN(Model_Config_v3!$B$6,I2524+Model_Config_v3!$B$7)</x:f>
        <x:v>665</x:v>
      </x:c>
      <x:c r="K2524" s="20" t="n">
        <x:v>50.4</x:v>
      </x:c>
      <x:c r="L2524" t="str">
        <x:v>MENENGAH</x:v>
      </x:c>
      <x:c r="M2524" t="str">
        <x:v>SEDANG+</x:v>
      </x:c>
      <x:c r="N2524" t="str">
        <x:v>REGULER</x:v>
      </x:c>
      <x:c r="O2524" t="str">
        <x:v>SAINTEK</x:v>
      </x:c>
      <x:c r="P2524" t="str">
        <x:v>TEKNIK/ARSITEKTUR/STATISTIKA/AKTUARIA</x:v>
      </x:c>
      <x:c r="Q2524" s="18" t="n">
        <x:v>0</x:v>
      </x:c>
      <x:c r="R2524" s="18" t="n">
        <x:v>0</x:v>
      </x:c>
      <x:c r="S2524" s="18" t="n">
        <x:v>608.2135235282518</x:v>
      </x:c>
      <x:c r="T2524" s="18" t="n">
        <x:v>661</x:v>
      </x:c>
      <x:c r="U2524" s="18" t="n">
        <x:v>608.2135235282518</x:v>
      </x:c>
      <x:c r="V2524" s="20" t="n">
        <x:v>12</x:v>
      </x:c>
      <x:c r="W2524" s="20" t="n">
        <x:v>5</x:v>
      </x:c>
      <x:c r="X2524" s="20" t="n">
        <x:v>3</x:v>
      </x:c>
      <x:c r="Y2524" t="str">
        <x:v>Basis arsip 2025/2024</x:v>
      </x:c>
      <x:c r="Z2524" t="str">
        <x:v>https://snpmb.id/utbk-snbt/daya-tampung-snbt</x:v>
      </x:c>
      <x:c r="AA2524" t="str">
        <x:v>Tidak Ada</x:v>
      </x:c>
      <x:c r="AB2524" t="str">
        <x:v>Campus=55; Ratio=47.2; Prodi=60; RelDemand=35.0; Capacity=38.3</x:v>
      </x:c>
    </x:row>
    <x:row r="2525">
      <x:c r="A2525" t="n">
        <x:v>2522</x:v>
      </x:c>
      <x:c r="B2525" t="str">
        <x:v>PTN Akademik</x:v>
      </x:c>
      <x:c r="C2525" t="str">
        <x:v>UPN "VETERAN" JAWA TIMUR</x:v>
      </x:c>
      <x:c r="D2525" t="str">
        <x:v>TEKNIK LINGKUNGAN</x:v>
      </x:c>
      <x:c r="E2525" t="str">
        <x:v>Sarjana</x:v>
      </x:c>
      <x:c r="F2525" s="18" t="n">
        <x:v>78</x:v>
      </x:c>
      <x:c r="G2525" s="18" t="n">
        <x:v>630</x:v>
      </x:c>
      <x:c r="H2525" s="19" t="n">
        <x:v>8.076923076923077</x:v>
      </x:c>
      <x:c r="I2525" s="18" t="n">
        <x:f>ROUND(MIN(Model_Config_v3!$B$6,MAX(Q2525,R2525,S2525*Model_Config_v3!$B$4+T2525*Model_Config_v3!$B$5)),0)</x:f>
        <x:v>651</x:v>
      </x:c>
      <x:c r="J2525" s="18" t="n">
        <x:f>MIN(Model_Config_v3!$B$6,I2525+Model_Config_v3!$B$7)</x:f>
        <x:v>671</x:v>
      </x:c>
      <x:c r="K2525" s="20" t="n">
        <x:v>52.6</x:v>
      </x:c>
      <x:c r="L2525" t="str">
        <x:v>MENENGAH</x:v>
      </x:c>
      <x:c r="M2525" t="str">
        <x:v>SEDANG+</x:v>
      </x:c>
      <x:c r="N2525" t="str">
        <x:v>REGULER</x:v>
      </x:c>
      <x:c r="O2525" t="str">
        <x:v>SAINTEK</x:v>
      </x:c>
      <x:c r="P2525" t="str">
        <x:v>TEKNIK/ARSITEKTUR/STATISTIKA/AKTUARIA</x:v>
      </x:c>
      <x:c r="Q2525" s="18" t="n">
        <x:v>0</x:v>
      </x:c>
      <x:c r="R2525" s="18" t="n">
        <x:v>0</x:v>
      </x:c>
      <x:c r="S2525" s="18" t="n">
        <x:v>619.7970541439412</x:v>
      </x:c>
      <x:c r="T2525" s="18" t="n">
        <x:v>665</x:v>
      </x:c>
      <x:c r="U2525" s="18" t="n">
        <x:v>629.7970541439412</x:v>
      </x:c>
      <x:c r="V2525" s="20" t="n">
        <x:v>12</x:v>
      </x:c>
      <x:c r="W2525" s="20" t="n">
        <x:v>5</x:v>
      </x:c>
      <x:c r="X2525" s="20" t="n">
        <x:v>3</x:v>
      </x:c>
      <x:c r="Y2525" t="str">
        <x:v>Basis arsip 2025/2024</x:v>
      </x:c>
      <x:c r="Z2525" t="str">
        <x:v>https://snpmb.id/utbk-snbt/daya-tampung-snbt</x:v>
      </x:c>
      <x:c r="AA2525" t="str">
        <x:v>Tidak Ada</x:v>
      </x:c>
      <x:c r="AB2525" t="str">
        <x:v>Campus=55; Ratio=53.4; Prodi=60; RelDemand=44.6; Capacity=35.0</x:v>
      </x:c>
    </x:row>
    <x:row r="2526">
      <x:c r="A2526" t="n">
        <x:v>2523</x:v>
      </x:c>
      <x:c r="B2526" t="str">
        <x:v>PTN Akademik</x:v>
      </x:c>
      <x:c r="C2526" t="str">
        <x:v>UPN "VETERAN" JAWA TIMUR</x:v>
      </x:c>
      <x:c r="D2526" t="str">
        <x:v>TEKNIK SIPIL</x:v>
      </x:c>
      <x:c r="E2526" t="str">
        <x:v>Sarjana</x:v>
      </x:c>
      <x:c r="F2526" s="18" t="n">
        <x:v>78</x:v>
      </x:c>
      <x:c r="G2526" s="18" t="n">
        <x:v>676</x:v>
      </x:c>
      <x:c r="H2526" s="19" t="n">
        <x:v>8.666666666666666</x:v>
      </x:c>
      <x:c r="I2526" s="18" t="n">
        <x:f>ROUND(MIN(Model_Config_v3!$B$6,MAX(Q2526,R2526,S2526*Model_Config_v3!$B$4+T2526*Model_Config_v3!$B$5)),0)</x:f>
        <x:v>654</x:v>
      </x:c>
      <x:c r="J2526" s="18" t="n">
        <x:f>MIN(Model_Config_v3!$B$6,I2526+Model_Config_v3!$B$7)</x:f>
        <x:v>674</x:v>
      </x:c>
      <x:c r="K2526" s="20" t="n">
        <x:v>53.3</x:v>
      </x:c>
      <x:c r="L2526" t="str">
        <x:v>MENENGAH</x:v>
      </x:c>
      <x:c r="M2526" t="str">
        <x:v>SEDANG+</x:v>
      </x:c>
      <x:c r="N2526" t="str">
        <x:v>REGULER</x:v>
      </x:c>
      <x:c r="O2526" t="str">
        <x:v>SAINTEK</x:v>
      </x:c>
      <x:c r="P2526" t="str">
        <x:v>TEKNIK/ARSITEKTUR/STATISTIKA/AKTUARIA</x:v>
      </x:c>
      <x:c r="Q2526" s="18" t="n">
        <x:v>0</x:v>
      </x:c>
      <x:c r="R2526" s="18" t="n">
        <x:v>0</x:v>
      </x:c>
      <x:c r="S2526" s="18" t="n">
        <x:v>623.1637302576271</x:v>
      </x:c>
      <x:c r="T2526" s="18" t="n">
        <x:v>667</x:v>
      </x:c>
      <x:c r="U2526" s="18" t="n">
        <x:v>633.1637302576271</x:v>
      </x:c>
      <x:c r="V2526" s="20" t="n">
        <x:v>12</x:v>
      </x:c>
      <x:c r="W2526" s="20" t="n">
        <x:v>5</x:v>
      </x:c>
      <x:c r="X2526" s="20" t="n">
        <x:v>3</x:v>
      </x:c>
      <x:c r="Y2526" t="str">
        <x:v>Basis arsip 2025/2024</x:v>
      </x:c>
      <x:c r="Z2526" t="str">
        <x:v>https://snpmb.id/utbk-snbt/daya-tampung-snbt</x:v>
      </x:c>
      <x:c r="AA2526" t="str">
        <x:v>Tidak Ada</x:v>
      </x:c>
      <x:c r="AB2526" t="str">
        <x:v>Campus=55; Ratio=55.2; Prodi=60; RelDemand=47.9; Capacity=35.0</x:v>
      </x:c>
    </x:row>
    <x:row r="2527">
      <x:c r="A2527" t="n">
        <x:v>2524</x:v>
      </x:c>
      <x:c r="B2527" t="str">
        <x:v>PTN Akademik</x:v>
      </x:c>
      <x:c r="C2527" t="str">
        <x:v>UPN "VETERAN" JAWA TIMUR</x:v>
      </x:c>
      <x:c r="D2527" t="str">
        <x:v>DESAIN KOMUNIKASI VISUAL</x:v>
      </x:c>
      <x:c r="E2527" t="str">
        <x:v>Sarjana</x:v>
      </x:c>
      <x:c r="F2527" s="18" t="n">
        <x:v>74</x:v>
      </x:c>
      <x:c r="G2527" s="18" t="n">
        <x:v>383</x:v>
      </x:c>
      <x:c r="H2527" s="19" t="n">
        <x:v>5.175675675675675</x:v>
      </x:c>
      <x:c r="I2527" s="18" t="n">
        <x:f>ROUND(MIN(Model_Config_v3!$B$6,MAX(Q2527,R2527,S2527*Model_Config_v3!$B$4+T2527*Model_Config_v3!$B$5)),0)</x:f>
        <x:v>635</x:v>
      </x:c>
      <x:c r="J2527" s="18" t="n">
        <x:f>MIN(Model_Config_v3!$B$6,I2527+Model_Config_v3!$B$7)</x:f>
        <x:v>655</x:v>
      </x:c>
      <x:c r="K2527" s="20" t="n">
        <x:v>45.4</x:v>
      </x:c>
      <x:c r="L2527" t="str">
        <x:v>MENENGAH</x:v>
      </x:c>
      <x:c r="M2527" t="str">
        <x:v>PORTOFOLIO</x:v>
      </x:c>
      <x:c r="N2527" t="str">
        <x:v>REGULER</x:v>
      </x:c>
      <x:c r="O2527" t="str">
        <x:v>SENI/OLAHRAGA</x:v>
      </x:c>
      <x:c r="P2527" t="str">
        <x:v>SENI/OLAHRAGA</x:v>
      </x:c>
      <x:c r="Q2527" s="18" t="n">
        <x:v>0</x:v>
      </x:c>
      <x:c r="R2527" s="18" t="n">
        <x:v>0</x:v>
      </x:c>
      <x:c r="S2527" s="18" t="n">
        <x:v>598.5363759661411</x:v>
      </x:c>
      <x:c r="T2527" s="18" t="n">
        <x:v>651</x:v>
      </x:c>
      <x:c r="U2527" s="18" t="n">
        <x:v>598.5363759661411</x:v>
      </x:c>
      <x:c r="V2527" s="20" t="n">
        <x:v>4.4</x:v>
      </x:c>
      <x:c r="W2527" s="20" t="n">
        <x:v>9.9</x:v>
      </x:c>
      <x:c r="X2527" s="20" t="n">
        <x:v>7.7</x:v>
      </x:c>
      <x:c r="Y2527" t="str">
        <x:v>Basis arsip 2025/2024</x:v>
      </x:c>
      <x:c r="Z2527" t="str">
        <x:v>https://snpmb.id/utbk-snbt/daya-tampung-snbt</x:v>
      </x:c>
      <x:c r="AA2527" t="str">
        <x:v>Seni Rupa, Desain, dan Kriya</x:v>
      </x:c>
      <x:c r="AB2527" t="str">
        <x:v>Campus=55; Ratio=42.0; Prodi=45; RelDemand=28.6; Capacity=38.3</x:v>
      </x:c>
    </x:row>
    <x:row r="2528">
      <x:c r="A2528" t="n">
        <x:v>2525</x:v>
      </x:c>
      <x:c r="B2528" t="str">
        <x:v>PTN Akademik</x:v>
      </x:c>
      <x:c r="C2528" t="str">
        <x:v>UPN "VETERAN" JAWA TIMUR</x:v>
      </x:c>
      <x:c r="D2528" t="str">
        <x:v>SAINS DATA</x:v>
      </x:c>
      <x:c r="E2528" t="str">
        <x:v>Sarjana</x:v>
      </x:c>
      <x:c r="F2528" s="18" t="n">
        <x:v>66</x:v>
      </x:c>
      <x:c r="G2528" s="18" t="n">
        <x:v>325</x:v>
      </x:c>
      <x:c r="H2528" s="19" t="n">
        <x:v>4.924242424242424</x:v>
      </x:c>
      <x:c r="I2528" s="18" t="n">
        <x:f>ROUND(MIN(Model_Config_v3!$B$6,MAX(Q2528,R2528,S2528*Model_Config_v3!$B$4+T2528*Model_Config_v3!$B$5)),0)</x:f>
        <x:v>633</x:v>
      </x:c>
      <x:c r="J2528" s="18" t="n">
        <x:f>MIN(Model_Config_v3!$B$6,I2528+Model_Config_v3!$B$7)</x:f>
        <x:v>653</x:v>
      </x:c>
      <x:c r="K2528" s="20" t="n">
        <x:v>44.7</x:v>
      </x:c>
      <x:c r="L2528" t="str">
        <x:v>RELATIF LONGGAR</x:v>
      </x:c>
      <x:c r="M2528" t="str">
        <x:v>SEDANG</x:v>
      </x:c>
      <x:c r="N2528" t="str">
        <x:v>REGULER</x:v>
      </x:c>
      <x:c r="O2528" t="str">
        <x:v>CAMPURAN</x:v>
      </x:c>
      <x:c r="P2528" t="str">
        <x:v>UMUM</x:v>
      </x:c>
      <x:c r="Q2528" s="18" t="n">
        <x:v>0</x:v>
      </x:c>
      <x:c r="R2528" s="18" t="n">
        <x:v>0</x:v>
      </x:c>
      <x:c r="S2528" s="18" t="n">
        <x:v>596.1573367980707</x:v>
      </x:c>
      <x:c r="T2528" s="18" t="n">
        <x:v>649</x:v>
      </x:c>
      <x:c r="U2528" s="18" t="n">
        <x:v>596.1573367980707</x:v>
      </x:c>
      <x:c r="V2528" s="20" t="n">
        <x:v>8.8</x:v>
      </x:c>
      <x:c r="W2528" s="20" t="n">
        <x:v>9.9</x:v>
      </x:c>
      <x:c r="X2528" s="20" t="n">
        <x:v>3.3</x:v>
      </x:c>
      <x:c r="Y2528" t="str">
        <x:v>Basis arsip 2025/2024</x:v>
      </x:c>
      <x:c r="Z2528" t="str">
        <x:v>https://snpmb.id/utbk-snbt/daya-tampung-snbt</x:v>
      </x:c>
      <x:c r="AA2528" t="str">
        <x:v>Tidak Ada</x:v>
      </x:c>
      <x:c r="AB2528" t="str">
        <x:v>Campus=55; Ratio=40.8; Prodi=40; RelDemand=27.2; Capacity=45.0</x:v>
      </x:c>
    </x:row>
    <x:row r="2529">
      <x:c r="A2529" t="n">
        <x:v>2526</x:v>
      </x:c>
      <x:c r="B2529" t="str">
        <x:v>PTN Akademik</x:v>
      </x:c>
      <x:c r="C2529" t="str">
        <x:v>UPN "VETERAN" JAWA TIMUR</x:v>
      </x:c>
      <x:c r="D2529" t="str">
        <x:v>TEKNIK MESIN</x:v>
      </x:c>
      <x:c r="E2529" t="str">
        <x:v>Sarjana</x:v>
      </x:c>
      <x:c r="F2529" s="18" t="n">
        <x:v>58</x:v>
      </x:c>
      <x:c r="G2529" s="18" t="n">
        <x:v>431</x:v>
      </x:c>
      <x:c r="H2529" s="19" t="n">
        <x:v>7.431034482758621</x:v>
      </x:c>
      <x:c r="I2529" s="18" t="n">
        <x:f>ROUND(MIN(Model_Config_v3!$B$6,MAX(Q2529,R2529,S2529*Model_Config_v3!$B$4+T2529*Model_Config_v3!$B$5)),0)</x:f>
        <x:v>652</x:v>
      </x:c>
      <x:c r="J2529" s="18" t="n">
        <x:f>MIN(Model_Config_v3!$B$6,I2529+Model_Config_v3!$B$7)</x:f>
        <x:v>672</x:v>
      </x:c>
      <x:c r="K2529" s="20" t="n">
        <x:v>53.3</x:v>
      </x:c>
      <x:c r="L2529" t="str">
        <x:v>MENENGAH</x:v>
      </x:c>
      <x:c r="M2529" t="str">
        <x:v>SEDANG+</x:v>
      </x:c>
      <x:c r="N2529" t="str">
        <x:v>REGULER</x:v>
      </x:c>
      <x:c r="O2529" t="str">
        <x:v>SAINTEK</x:v>
      </x:c>
      <x:c r="P2529" t="str">
        <x:v>TEKNIK/ARSITEKTUR/STATISTIKA/AKTUARIA</x:v>
      </x:c>
      <x:c r="Q2529" s="18" t="n">
        <x:v>0</x:v>
      </x:c>
      <x:c r="R2529" s="18" t="n">
        <x:v>0</x:v>
      </x:c>
      <x:c r="S2529" s="18" t="n">
        <x:v>615.8154204257573</x:v>
      </x:c>
      <x:c r="T2529" s="18" t="n">
        <x:v>667</x:v>
      </x:c>
      <x:c r="U2529" s="18" t="n">
        <x:v>625.8154204257573</x:v>
      </x:c>
      <x:c r="V2529" s="20" t="n">
        <x:v>12</x:v>
      </x:c>
      <x:c r="W2529" s="20" t="n">
        <x:v>5</x:v>
      </x:c>
      <x:c r="X2529" s="20" t="n">
        <x:v>3</x:v>
      </x:c>
      <x:c r="Y2529" t="str">
        <x:v>Basis arsip 2025/2024</x:v>
      </x:c>
      <x:c r="Z2529" t="str">
        <x:v>https://snpmb.id/utbk-snbt/daya-tampung-snbt</x:v>
      </x:c>
      <x:c r="AA2529" t="str">
        <x:v>Tidak Ada</x:v>
      </x:c>
      <x:c r="AB2529" t="str">
        <x:v>Campus=55; Ratio=51.3; Prodi=60; RelDemand=41.1; Capacity=51.7</x:v>
      </x:c>
    </x:row>
    <x:row r="2530">
      <x:c r="A2530" t="n">
        <x:v>2527</x:v>
      </x:c>
      <x:c r="B2530" t="str">
        <x:v>PTN Akademik</x:v>
      </x:c>
      <x:c r="C2530" t="str">
        <x:v>UPN "VETERAN" JAWA TIMUR</x:v>
      </x:c>
      <x:c r="D2530" t="str">
        <x:v>EKONOMI PEMBANGUNAN</x:v>
      </x:c>
      <x:c r="E2530" t="str">
        <x:v>Sarjana</x:v>
      </x:c>
      <x:c r="F2530" s="18" t="n">
        <x:v>114</x:v>
      </x:c>
      <x:c r="G2530" s="18" t="n">
        <x:v>810</x:v>
      </x:c>
      <x:c r="H2530" s="19" t="n">
        <x:v>7.105263157894737</x:v>
      </x:c>
      <x:c r="I2530" s="18" t="n">
        <x:f>ROUND(MIN(Model_Config_v3!$B$6,MAX(Q2530,R2530,S2530*Model_Config_v3!$B$4+T2530*Model_Config_v3!$B$5)),0)</x:f>
        <x:v>645</x:v>
      </x:c>
      <x:c r="J2530" s="18" t="n">
        <x:f>MIN(Model_Config_v3!$B$6,I2530+Model_Config_v3!$B$7)</x:f>
        <x:v>665</x:v>
      </x:c>
      <x:c r="K2530" s="20" t="n">
        <x:v>49.2</x:v>
      </x:c>
      <x:c r="L2530" t="str">
        <x:v>MENENGAH</x:v>
      </x:c>
      <x:c r="M2530" t="str">
        <x:v>SEDANG+</x:v>
      </x:c>
      <x:c r="N2530" t="str">
        <x:v>REGULER</x:v>
      </x:c>
      <x:c r="O2530" t="str">
        <x:v>SOSHUM</x:v>
      </x:c>
      <x:c r="P2530" t="str">
        <x:v>BISNIS/EKONOMI/AKUNTANSI</x:v>
      </x:c>
      <x:c r="Q2530" s="18" t="n">
        <x:v>0</x:v>
      </x:c>
      <x:c r="R2530" s="18" t="n">
        <x:v>0</x:v>
      </x:c>
      <x:c r="S2530" s="18" t="n">
        <x:v>613.6738184296395</x:v>
      </x:c>
      <x:c r="T2530" s="18" t="n">
        <x:v>658</x:v>
      </x:c>
      <x:c r="U2530" s="18" t="n">
        <x:v>613.6738184296395</x:v>
      </x:c>
      <x:c r="V2530" s="20" t="n">
        <x:v>4.4</x:v>
      </x:c>
      <x:c r="W2530" s="20" t="n">
        <x:v>14.3</x:v>
      </x:c>
      <x:c r="X2530" s="20" t="n">
        <x:v>3.3</x:v>
      </x:c>
      <x:c r="Y2530" t="str">
        <x:v>Basis arsip 2025/2024</x:v>
      </x:c>
      <x:c r="Z2530" t="str">
        <x:v>https://snpmb.id/utbk-snbt/daya-tampung-snbt</x:v>
      </x:c>
      <x:c r="AA2530" t="str">
        <x:v>Tidak Ada</x:v>
      </x:c>
      <x:c r="AB2530" t="str">
        <x:v>Campus=55; Ratio=50.1; Prodi=65; RelDemand=39.3; Capacity=5.0</x:v>
      </x:c>
    </x:row>
    <x:row r="2531">
      <x:c r="A2531" t="n">
        <x:v>2528</x:v>
      </x:c>
      <x:c r="B2531" t="str">
        <x:v>PTN Akademik</x:v>
      </x:c>
      <x:c r="C2531" t="str">
        <x:v>UPN "VETERAN" JAWA TIMUR</x:v>
      </x:c>
      <x:c r="D2531" t="str">
        <x:v>MANAJEMEN</x:v>
      </x:c>
      <x:c r="E2531" t="str">
        <x:v>Sarjana</x:v>
      </x:c>
      <x:c r="F2531" s="18" t="n">
        <x:v>214</x:v>
      </x:c>
      <x:c r="G2531" s="18" t="n">
        <x:v>1654</x:v>
      </x:c>
      <x:c r="H2531" s="19" t="n">
        <x:v>7.728971962616822</x:v>
      </x:c>
      <x:c r="I2531" s="18" t="n">
        <x:f>ROUND(MIN(Model_Config_v3!$B$6,MAX(Q2531,R2531,S2531*Model_Config_v3!$B$4+T2531*Model_Config_v3!$B$5)),0)</x:f>
        <x:v>647</x:v>
      </x:c>
      <x:c r="J2531" s="18" t="n">
        <x:f>MIN(Model_Config_v3!$B$6,I2531+Model_Config_v3!$B$7)</x:f>
        <x:v>667</x:v>
      </x:c>
      <x:c r="K2531" s="20" t="n">
        <x:v>49.6</x:v>
      </x:c>
      <x:c r="L2531" t="str">
        <x:v>MENENGAH</x:v>
      </x:c>
      <x:c r="M2531" t="str">
        <x:v>SEDANG+</x:v>
      </x:c>
      <x:c r="N2531" t="str">
        <x:v>REGULER</x:v>
      </x:c>
      <x:c r="O2531" t="str">
        <x:v>SOSHUM</x:v>
      </x:c>
      <x:c r="P2531" t="str">
        <x:v>BISNIS/EKONOMI/AKUNTANSI</x:v>
      </x:c>
      <x:c r="Q2531" s="18" t="n">
        <x:v>0</x:v>
      </x:c>
      <x:c r="R2531" s="18" t="n">
        <x:v>0</x:v>
      </x:c>
      <x:c r="S2531" s="18" t="n">
        <x:v>617.693390505407</x:v>
      </x:c>
      <x:c r="T2531" s="18" t="n">
        <x:v>659</x:v>
      </x:c>
      <x:c r="U2531" s="18" t="n">
        <x:v>632.693390505407</x:v>
      </x:c>
      <x:c r="V2531" s="20" t="n">
        <x:v>4.4</x:v>
      </x:c>
      <x:c r="W2531" s="20" t="n">
        <x:v>14.3</x:v>
      </x:c>
      <x:c r="X2531" s="20" t="n">
        <x:v>3.3</x:v>
      </x:c>
      <x:c r="Y2531" t="str">
        <x:v>Basis arsip 2025/2024</x:v>
      </x:c>
      <x:c r="Z2531" t="str">
        <x:v>https://snpmb.id/utbk-snbt/daya-tampung-snbt</x:v>
      </x:c>
      <x:c r="AA2531" t="str">
        <x:v>Tidak Ada</x:v>
      </x:c>
      <x:c r="AB2531" t="str">
        <x:v>Campus=55; Ratio=52.3; Prodi=65; RelDemand=42.7; Capacity=0.0</x:v>
      </x:c>
    </x:row>
    <x:row r="2532">
      <x:c r="A2532" t="n">
        <x:v>2529</x:v>
      </x:c>
      <x:c r="B2532" t="str">
        <x:v>PTN Akademik</x:v>
      </x:c>
      <x:c r="C2532" t="str">
        <x:v>UPN "VETERAN" JAWA TIMUR</x:v>
      </x:c>
      <x:c r="D2532" t="str">
        <x:v>AKUNTANSI</x:v>
      </x:c>
      <x:c r="E2532" t="str">
        <x:v>Sarjana</x:v>
      </x:c>
      <x:c r="F2532" s="18" t="n">
        <x:v>172</x:v>
      </x:c>
      <x:c r="G2532" s="18" t="n">
        <x:v>1082</x:v>
      </x:c>
      <x:c r="H2532" s="19" t="n">
        <x:v>6.290697674418604</x:v>
      </x:c>
      <x:c r="I2532" s="18" t="n">
        <x:f>ROUND(MIN(Model_Config_v3!$B$6,MAX(Q2532,R2532,S2532*Model_Config_v3!$B$4+T2532*Model_Config_v3!$B$5)),0)</x:f>
        <x:v>641</x:v>
      </x:c>
      <x:c r="J2532" s="18" t="n">
        <x:f>MIN(Model_Config_v3!$B$6,I2532+Model_Config_v3!$B$7)</x:f>
        <x:v>661</x:v>
      </x:c>
      <x:c r="K2532" s="20" t="n">
        <x:v>47.5</x:v>
      </x:c>
      <x:c r="L2532" t="str">
        <x:v>MENENGAH</x:v>
      </x:c>
      <x:c r="M2532" t="str">
        <x:v>SEDANG+</x:v>
      </x:c>
      <x:c r="N2532" t="str">
        <x:v>REGULER</x:v>
      </x:c>
      <x:c r="O2532" t="str">
        <x:v>SOSHUM</x:v>
      </x:c>
      <x:c r="P2532" t="str">
        <x:v>BISNIS/EKONOMI/AKUNTANSI</x:v>
      </x:c>
      <x:c r="Q2532" s="18" t="n">
        <x:v>0</x:v>
      </x:c>
      <x:c r="R2532" s="18" t="n">
        <x:v>0</x:v>
      </x:c>
      <x:c r="S2532" s="18" t="n">
        <x:v>607.8568695249302</x:v>
      </x:c>
      <x:c r="T2532" s="18" t="n">
        <x:v>655</x:v>
      </x:c>
      <x:c r="U2532" s="18" t="n">
        <x:v>607.8568695249302</x:v>
      </x:c>
      <x:c r="V2532" s="20" t="n">
        <x:v>4.4</x:v>
      </x:c>
      <x:c r="W2532" s="20" t="n">
        <x:v>14.3</x:v>
      </x:c>
      <x:c r="X2532" s="20" t="n">
        <x:v>3.3</x:v>
      </x:c>
      <x:c r="Y2532" t="str">
        <x:v>Basis arsip 2025/2024</x:v>
      </x:c>
      <x:c r="Z2532" t="str">
        <x:v>https://snpmb.id/utbk-snbt/daya-tampung-snbt</x:v>
      </x:c>
      <x:c r="AA2532" t="str">
        <x:v>Tidak Ada</x:v>
      </x:c>
      <x:c r="AB2532" t="str">
        <x:v>Campus=55; Ratio=47.0; Prodi=65; RelDemand=34.8; Capacity=0.0</x:v>
      </x:c>
    </x:row>
    <x:row r="2533">
      <x:c r="A2533" t="n">
        <x:v>2530</x:v>
      </x:c>
      <x:c r="B2533" t="str">
        <x:v>PTN Akademik</x:v>
      </x:c>
      <x:c r="C2533" t="str">
        <x:v>UPN "VETERAN" JAWA TIMUR</x:v>
      </x:c>
      <x:c r="D2533" t="str">
        <x:v>ADMINISTRASI PUBLIK</x:v>
      </x:c>
      <x:c r="E2533" t="str">
        <x:v>Sarjana</x:v>
      </x:c>
      <x:c r="F2533" s="18" t="n">
        <x:v>140</x:v>
      </x:c>
      <x:c r="G2533" s="18" t="n">
        <x:v>919</x:v>
      </x:c>
      <x:c r="H2533" s="19" t="n">
        <x:v>6.564285714285714</x:v>
      </x:c>
      <x:c r="I2533" s="18" t="n">
        <x:f>ROUND(MIN(Model_Config_v3!$B$6,MAX(Q2533,R2533,S2533*Model_Config_v3!$B$4+T2533*Model_Config_v3!$B$5)),0)</x:f>
        <x:v>635</x:v>
      </x:c>
      <x:c r="J2533" s="18" t="n">
        <x:f>MIN(Model_Config_v3!$B$6,I2533+Model_Config_v3!$B$7)</x:f>
        <x:v>655</x:v>
      </x:c>
      <x:c r="K2533" s="20" t="n">
        <x:v>42.9</x:v>
      </x:c>
      <x:c r="L2533" t="str">
        <x:v>RELATIF LONGGAR</x:v>
      </x:c>
      <x:c r="M2533" t="str">
        <x:v>SEDANG</x:v>
      </x:c>
      <x:c r="N2533" t="str">
        <x:v>REGULER</x:v>
      </x:c>
      <x:c r="O2533" t="str">
        <x:v>SOSHUM</x:v>
      </x:c>
      <x:c r="P2533" t="str">
        <x:v>UMUM</x:v>
      </x:c>
      <x:c r="Q2533" s="18" t="n">
        <x:v>0</x:v>
      </x:c>
      <x:c r="R2533" s="18" t="n">
        <x:v>0</x:v>
      </x:c>
      <x:c r="S2533" s="18" t="n">
        <x:v>609.890622327866</x:v>
      </x:c>
      <x:c r="T2533" s="18" t="n">
        <x:v>646</x:v>
      </x:c>
      <x:c r="U2533" s="18" t="n">
        <x:v>609.890622327866</x:v>
      </x:c>
      <x:c r="V2533" s="20" t="n">
        <x:v>4.4</x:v>
      </x:c>
      <x:c r="W2533" s="20" t="n">
        <x:v>14.3</x:v>
      </x:c>
      <x:c r="X2533" s="20" t="n">
        <x:v>3.3</x:v>
      </x:c>
      <x:c r="Y2533" t="str">
        <x:v>Basis arsip 2025/2024</x:v>
      </x:c>
      <x:c r="Z2533" t="str">
        <x:v>https://snpmb.id/utbk-snbt/daya-tampung-snbt</x:v>
      </x:c>
      <x:c r="AA2533" t="str">
        <x:v>Tidak Ada</x:v>
      </x:c>
      <x:c r="AB2533" t="str">
        <x:v>Campus=55; Ratio=48.1; Prodi=40; RelDemand=36.3; Capacity=0.0</x:v>
      </x:c>
    </x:row>
    <x:row r="2534">
      <x:c r="A2534" t="n">
        <x:v>2531</x:v>
      </x:c>
      <x:c r="B2534" t="str">
        <x:v>PTN Akademik</x:v>
      </x:c>
      <x:c r="C2534" t="str">
        <x:v>UPN "VETERAN" JAWA TIMUR</x:v>
      </x:c>
      <x:c r="D2534" t="str">
        <x:v>ADMINISTRASI BISNIS</x:v>
      </x:c>
      <x:c r="E2534" t="str">
        <x:v>Sarjana</x:v>
      </x:c>
      <x:c r="F2534" s="18" t="n">
        <x:v>142</x:v>
      </x:c>
      <x:c r="G2534" s="18" t="n">
        <x:v>1497</x:v>
      </x:c>
      <x:c r="H2534" s="19" t="n">
        <x:v>10.54225352112676</x:v>
      </x:c>
      <x:c r="I2534" s="18" t="n">
        <x:f>ROUND(MIN(Model_Config_v3!$B$6,MAX(Q2534,R2534,S2534*Model_Config_v3!$B$4+T2534*Model_Config_v3!$B$5)),0)</x:f>
        <x:v>656</x:v>
      </x:c>
      <x:c r="J2534" s="18" t="n">
        <x:f>MIN(Model_Config_v3!$B$6,I2534+Model_Config_v3!$B$7)</x:f>
        <x:v>676</x:v>
      </x:c>
      <x:c r="K2534" s="20" t="n">
        <x:v>53.1</x:v>
      </x:c>
      <x:c r="L2534" t="str">
        <x:v>MENENGAH</x:v>
      </x:c>
      <x:c r="M2534" t="str">
        <x:v>SEDANG+</x:v>
      </x:c>
      <x:c r="N2534" t="str">
        <x:v>REGULER</x:v>
      </x:c>
      <x:c r="O2534" t="str">
        <x:v>SOSHUM</x:v>
      </x:c>
      <x:c r="P2534" t="str">
        <x:v>BISNIS/EKONOMI/AKUNTANSI</x:v>
      </x:c>
      <x:c r="Q2534" s="18" t="n">
        <x:v>0</x:v>
      </x:c>
      <x:c r="R2534" s="18" t="n">
        <x:v>0</x:v>
      </x:c>
      <x:c r="S2534" s="18" t="n">
        <x:v>632.5226801555996</x:v>
      </x:c>
      <x:c r="T2534" s="18" t="n">
        <x:v>666</x:v>
      </x:c>
      <x:c r="U2534" s="18" t="n">
        <x:v>647.5226801555996</x:v>
      </x:c>
      <x:c r="V2534" s="20" t="n">
        <x:v>4.4</x:v>
      </x:c>
      <x:c r="W2534" s="20" t="n">
        <x:v>14.3</x:v>
      </x:c>
      <x:c r="X2534" s="20" t="n">
        <x:v>3.3</x:v>
      </x:c>
      <x:c r="Y2534" t="str">
        <x:v>Basis arsip 2025/2024</x:v>
      </x:c>
      <x:c r="Z2534" t="str">
        <x:v>https://snpmb.id/utbk-snbt/daya-tampung-snbt</x:v>
      </x:c>
      <x:c r="AA2534" t="str">
        <x:v>Tidak Ada</x:v>
      </x:c>
      <x:c r="AB2534" t="str">
        <x:v>Campus=55; Ratio=60.2; Prodi=65; RelDemand=58.3; Capacity=0.0</x:v>
      </x:c>
    </x:row>
    <x:row r="2535">
      <x:c r="A2535" t="n">
        <x:v>2532</x:v>
      </x:c>
      <x:c r="B2535" t="str">
        <x:v>PTN Akademik</x:v>
      </x:c>
      <x:c r="C2535" t="str">
        <x:v>UPN "VETERAN" JAWA TIMUR</x:v>
      </x:c>
      <x:c r="D2535" t="str">
        <x:v>ILMU KOMUNIKASI</x:v>
      </x:c>
      <x:c r="E2535" t="str">
        <x:v>Sarjana</x:v>
      </x:c>
      <x:c r="F2535" s="18" t="n">
        <x:v>154</x:v>
      </x:c>
      <x:c r="G2535" s="18" t="n">
        <x:v>1435</x:v>
      </x:c>
      <x:c r="H2535" s="19" t="n">
        <x:v>9.318181818181818</x:v>
      </x:c>
      <x:c r="I2535" s="18" t="n">
        <x:f>ROUND(MIN(Model_Config_v3!$B$6,MAX(Q2535,R2535,S2535*Model_Config_v3!$B$4+T2535*Model_Config_v3!$B$5)),0)</x:f>
        <x:v>645</x:v>
      </x:c>
      <x:c r="J2535" s="18" t="n">
        <x:f>MIN(Model_Config_v3!$B$6,I2535+Model_Config_v3!$B$7)</x:f>
        <x:v>665</x:v>
      </x:c>
      <x:c r="K2535" s="20" t="n">
        <x:v>46.7</x:v>
      </x:c>
      <x:c r="L2535" t="str">
        <x:v>MENENGAH</x:v>
      </x:c>
      <x:c r="M2535" t="str">
        <x:v>SEDANG</x:v>
      </x:c>
      <x:c r="N2535" t="str">
        <x:v>REGULER</x:v>
      </x:c>
      <x:c r="O2535" t="str">
        <x:v>SOSHUM</x:v>
      </x:c>
      <x:c r="P2535" t="str">
        <x:v>UMUM</x:v>
      </x:c>
      <x:c r="Q2535" s="18" t="n">
        <x:v>0</x:v>
      </x:c>
      <x:c r="R2535" s="18" t="n">
        <x:v>0</x:v>
      </x:c>
      <x:c r="S2535" s="18" t="n">
        <x:v>626.6264298256903</x:v>
      </x:c>
      <x:c r="T2535" s="18" t="n">
        <x:v>653</x:v>
      </x:c>
      <x:c r="U2535" s="18" t="n">
        <x:v>626.6264298256903</x:v>
      </x:c>
      <x:c r="V2535" s="20" t="n">
        <x:v>4.4</x:v>
      </x:c>
      <x:c r="W2535" s="20" t="n">
        <x:v>14.3</x:v>
      </x:c>
      <x:c r="X2535" s="20" t="n">
        <x:v>3.3</x:v>
      </x:c>
      <x:c r="Y2535" t="str">
        <x:v>Basis arsip 2025/2024</x:v>
      </x:c>
      <x:c r="Z2535" t="str">
        <x:v>https://snpmb.id/utbk-snbt/daya-tampung-snbt</x:v>
      </x:c>
      <x:c r="AA2535" t="str">
        <x:v>Tidak Ada</x:v>
      </x:c>
      <x:c r="AB2535" t="str">
        <x:v>Campus=55; Ratio=57.1; Prodi=40; RelDemand=51.5; Capacity=0.0</x:v>
      </x:c>
    </x:row>
    <x:row r="2536">
      <x:c r="A2536" t="n">
        <x:v>2533</x:v>
      </x:c>
      <x:c r="B2536" t="str">
        <x:v>PTN Akademik</x:v>
      </x:c>
      <x:c r="C2536" t="str">
        <x:v>UPN "VETERAN" JAWA TIMUR</x:v>
      </x:c>
      <x:c r="D2536" t="str">
        <x:v>HUBUNGAN INTERNASIONAL</x:v>
      </x:c>
      <x:c r="E2536" t="str">
        <x:v>Sarjana</x:v>
      </x:c>
      <x:c r="F2536" s="18" t="n">
        <x:v>70</x:v>
      </x:c>
      <x:c r="G2536" s="18" t="n">
        <x:v>572</x:v>
      </x:c>
      <x:c r="H2536" s="19" t="n">
        <x:v>8.17142857142857</x:v>
      </x:c>
      <x:c r="I2536" s="18" t="n">
        <x:f>ROUND(MIN(Model_Config_v3!$B$6,MAX(Q2536,R2536,S2536*Model_Config_v3!$B$4+T2536*Model_Config_v3!$B$5)),0)</x:f>
        <x:v>647</x:v>
      </x:c>
      <x:c r="J2536" s="18" t="n">
        <x:f>MIN(Model_Config_v3!$B$6,I2536+Model_Config_v3!$B$7)</x:f>
        <x:v>667</x:v>
      </x:c>
      <x:c r="K2536" s="20" t="n">
        <x:v>49.4</x:v>
      </x:c>
      <x:c r="L2536" t="str">
        <x:v>MENENGAH</x:v>
      </x:c>
      <x:c r="M2536" t="str">
        <x:v>SEDANG</x:v>
      </x:c>
      <x:c r="N2536" t="str">
        <x:v>REGULER</x:v>
      </x:c>
      <x:c r="O2536" t="str">
        <x:v>SOSHUM</x:v>
      </x:c>
      <x:c r="P2536" t="str">
        <x:v>UMUM</x:v>
      </x:c>
      <x:c r="Q2536" s="18" t="n">
        <x:v>0</x:v>
      </x:c>
      <x:c r="R2536" s="18" t="n">
        <x:v>0</x:v>
      </x:c>
      <x:c r="S2536" s="18" t="n">
        <x:v>620.3527787656644</x:v>
      </x:c>
      <x:c r="T2536" s="18" t="n">
        <x:v>659</x:v>
      </x:c>
      <x:c r="U2536" s="18" t="n">
        <x:v>620.3527787656644</x:v>
      </x:c>
      <x:c r="V2536" s="20" t="n">
        <x:v>4.4</x:v>
      </x:c>
      <x:c r="W2536" s="20" t="n">
        <x:v>14.3</x:v>
      </x:c>
      <x:c r="X2536" s="20" t="n">
        <x:v>3.3</x:v>
      </x:c>
      <x:c r="Y2536" t="str">
        <x:v>Basis arsip 2025/2024</x:v>
      </x:c>
      <x:c r="Z2536" t="str">
        <x:v>https://snpmb.id/utbk-snbt/daya-tampung-snbt</x:v>
      </x:c>
      <x:c r="AA2536" t="str">
        <x:v>Tidak Ada</x:v>
      </x:c>
      <x:c r="AB2536" t="str">
        <x:v>Campus=55; Ratio=53.7; Prodi=40; RelDemand=45.2; Capacity=41.7</x:v>
      </x:c>
    </x:row>
    <x:row r="2537">
      <x:c r="A2537" t="n">
        <x:v>2534</x:v>
      </x:c>
      <x:c r="B2537" t="str">
        <x:v>PTN Akademik</x:v>
      </x:c>
      <x:c r="C2537" t="str">
        <x:v>UPN "VETERAN" JAWA TIMUR</x:v>
      </x:c>
      <x:c r="D2537" t="str">
        <x:v>HUKUM</x:v>
      </x:c>
      <x:c r="E2537" t="str">
        <x:v>Sarjana</x:v>
      </x:c>
      <x:c r="F2537" s="18" t="n">
        <x:v>152</x:v>
      </x:c>
      <x:c r="G2537" s="18" t="n">
        <x:v>1225</x:v>
      </x:c>
      <x:c r="H2537" s="19" t="n">
        <x:v>8.05921052631579</x:v>
      </x:c>
      <x:c r="I2537" s="18" t="n">
        <x:f>ROUND(MIN(Model_Config_v3!$B$6,MAX(Q2537,R2537,S2537*Model_Config_v3!$B$4+T2537*Model_Config_v3!$B$5)),0)</x:f>
        <x:v>648</x:v>
      </x:c>
      <x:c r="J2537" s="18" t="n">
        <x:f>MIN(Model_Config_v3!$B$6,I2537+Model_Config_v3!$B$7)</x:f>
        <x:v>668</x:v>
      </x:c>
      <x:c r="K2537" s="20" t="n">
        <x:v>50</x:v>
      </x:c>
      <x:c r="L2537" t="str">
        <x:v>MENENGAH</x:v>
      </x:c>
      <x:c r="M2537" t="str">
        <x:v>SEDANG+</x:v>
      </x:c>
      <x:c r="N2537" t="str">
        <x:v>REGULER</x:v>
      </x:c>
      <x:c r="O2537" t="str">
        <x:v>SOSHUM</x:v>
      </x:c>
      <x:c r="P2537" t="str">
        <x:v>HUKUM</x:v>
      </x:c>
      <x:c r="Q2537" s="18" t="n">
        <x:v>0</x:v>
      </x:c>
      <x:c r="R2537" s="18" t="n">
        <x:v>0</x:v>
      </x:c>
      <x:c r="S2537" s="18" t="n">
        <x:v>619.6921750831357</x:v>
      </x:c>
      <x:c r="T2537" s="18" t="n">
        <x:v>660</x:v>
      </x:c>
      <x:c r="U2537" s="18" t="n">
        <x:v>634.6921750831357</x:v>
      </x:c>
      <x:c r="V2537" s="20" t="n">
        <x:v>4.4</x:v>
      </x:c>
      <x:c r="W2537" s="20" t="n">
        <x:v>14.3</x:v>
      </x:c>
      <x:c r="X2537" s="20" t="n">
        <x:v>3.3</x:v>
      </x:c>
      <x:c r="Y2537" t="str">
        <x:v>Basis arsip 2025/2024</x:v>
      </x:c>
      <x:c r="Z2537" t="str">
        <x:v>https://snpmb.id/utbk-snbt/daya-tampung-snbt</x:v>
      </x:c>
      <x:c r="AA2537" t="str">
        <x:v>Tidak Ada</x:v>
      </x:c>
      <x:c r="AB2537" t="str">
        <x:v>Campus=55; Ratio=53.3; Prodi=65; RelDemand=44.5; Capacity=0.0</x:v>
      </x:c>
    </x:row>
    <x:row r="2538">
      <x:c r="A2538" t="n">
        <x:v>2535</x:v>
      </x:c>
      <x:c r="B2538" t="str">
        <x:v>PTN Akademik</x:v>
      </x:c>
      <x:c r="C2538" t="str">
        <x:v>UPN "VETERAN" JAWA TIMUR</x:v>
      </x:c>
      <x:c r="D2538" t="str">
        <x:v>PARIWISATA</x:v>
      </x:c>
      <x:c r="E2538" t="str">
        <x:v>Sarjana</x:v>
      </x:c>
      <x:c r="F2538" s="18" t="n">
        <x:v>54</x:v>
      </x:c>
      <x:c r="G2538" s="18" t="n">
        <x:v>501</x:v>
      </x:c>
      <x:c r="H2538" s="19" t="n">
        <x:v>9.277777777777779</x:v>
      </x:c>
      <x:c r="I2538" s="18" t="n">
        <x:f>ROUND(MIN(Model_Config_v3!$B$6,MAX(Q2538,R2538,S2538*Model_Config_v3!$B$4+T2538*Model_Config_v3!$B$5)),0)</x:f>
        <x:v>653</x:v>
      </x:c>
      <x:c r="J2538" s="18" t="n">
        <x:f>MIN(Model_Config_v3!$B$6,I2538+Model_Config_v3!$B$7)</x:f>
        <x:v>673</x:v>
      </x:c>
      <x:c r="K2538" s="20" t="n">
        <x:v>52.1</x:v>
      </x:c>
      <x:c r="L2538" t="str">
        <x:v>MENENGAH</x:v>
      </x:c>
      <x:c r="M2538" t="str">
        <x:v>SEDANG</x:v>
      </x:c>
      <x:c r="N2538" t="str">
        <x:v>REGULER</x:v>
      </x:c>
      <x:c r="O2538" t="str">
        <x:v>CAMPURAN</x:v>
      </x:c>
      <x:c r="P2538" t="str">
        <x:v>UMUM</x:v>
      </x:c>
      <x:c r="Q2538" s="18" t="n">
        <x:v>0</x:v>
      </x:c>
      <x:c r="R2538" s="18" t="n">
        <x:v>0</x:v>
      </x:c>
      <x:c r="S2538" s="18" t="n">
        <x:v>626.4188362648705</x:v>
      </x:c>
      <x:c r="T2538" s="18" t="n">
        <x:v>664</x:v>
      </x:c>
      <x:c r="U2538" s="18" t="n">
        <x:v>626.4188362648705</x:v>
      </x:c>
      <x:c r="V2538" s="20" t="n">
        <x:v>8.8</x:v>
      </x:c>
      <x:c r="W2538" s="20" t="n">
        <x:v>9.9</x:v>
      </x:c>
      <x:c r="X2538" s="20" t="n">
        <x:v>3.3</x:v>
      </x:c>
      <x:c r="Y2538" t="str">
        <x:v>Basis arsip 2025/2024</x:v>
      </x:c>
      <x:c r="Z2538" t="str">
        <x:v>https://snpmb.id/utbk-snbt/daya-tampung-snbt</x:v>
      </x:c>
      <x:c r="AA2538" t="str">
        <x:v>Tidak Ada</x:v>
      </x:c>
      <x:c r="AB2538" t="str">
        <x:v>Campus=55; Ratio=56.9; Prodi=40; RelDemand=51.3; Capacity=55.0</x:v>
      </x:c>
    </x:row>
    <x:row r="2539">
      <x:c r="A2539" t="n">
        <x:v>2536</x:v>
      </x:c>
      <x:c r="B2539" t="str">
        <x:v>PTN Akademik</x:v>
      </x:c>
      <x:c r="C2539" t="str">
        <x:v>UPN "VETERAN" JAWA TIMUR</x:v>
      </x:c>
      <x:c r="D2539" t="str">
        <x:v>KEWIRAUSAHAAN</x:v>
      </x:c>
      <x:c r="E2539" t="str">
        <x:v>Sarjana</x:v>
      </x:c>
      <x:c r="F2539" s="18" t="n">
        <x:v>46</x:v>
      </x:c>
      <x:c r="G2539" s="18" t="n">
        <x:v>410</x:v>
      </x:c>
      <x:c r="H2539" s="19" t="n">
        <x:v>8.91304347826087</x:v>
      </x:c>
      <x:c r="I2539" s="18" t="n">
        <x:f>ROUND(MIN(Model_Config_v3!$B$6,MAX(Q2539,R2539,S2539*Model_Config_v3!$B$4+T2539*Model_Config_v3!$B$5)),0)</x:f>
        <x:v>653</x:v>
      </x:c>
      <x:c r="J2539" s="18" t="n">
        <x:f>MIN(Model_Config_v3!$B$6,I2539+Model_Config_v3!$B$7)</x:f>
        <x:v>673</x:v>
      </x:c>
      <x:c r="K2539" s="20" t="n">
        <x:v>52.3</x:v>
      </x:c>
      <x:c r="L2539" t="str">
        <x:v>MENENGAH</x:v>
      </x:c>
      <x:c r="M2539" t="str">
        <x:v>SEDANG</x:v>
      </x:c>
      <x:c r="N2539" t="str">
        <x:v>REGULER</x:v>
      </x:c>
      <x:c r="O2539" t="str">
        <x:v>CAMPURAN</x:v>
      </x:c>
      <x:c r="P2539" t="str">
        <x:v>UMUM</x:v>
      </x:c>
      <x:c r="Q2539" s="18" t="n">
        <x:v>0</x:v>
      </x:c>
      <x:c r="R2539" s="18" t="n">
        <x:v>0</x:v>
      </x:c>
      <x:c r="S2539" s="18" t="n">
        <x:v>624.5028627541977</x:v>
      </x:c>
      <x:c r="T2539" s="18" t="n">
        <x:v>665</x:v>
      </x:c>
      <x:c r="U2539" s="18" t="n">
        <x:v>624.5028627541977</x:v>
      </x:c>
      <x:c r="V2539" s="20" t="n">
        <x:v>8.8</x:v>
      </x:c>
      <x:c r="W2539" s="20" t="n">
        <x:v>9.9</x:v>
      </x:c>
      <x:c r="X2539" s="20" t="n">
        <x:v>3.3</x:v>
      </x:c>
      <x:c r="Y2539" t="str">
        <x:v>Basis arsip 2025/2024</x:v>
      </x:c>
      <x:c r="Z2539" t="str">
        <x:v>https://snpmb.id/utbk-snbt/daya-tampung-snbt</x:v>
      </x:c>
      <x:c r="AA2539" t="str">
        <x:v>Tidak Ada</x:v>
      </x:c>
      <x:c r="AB2539" t="str">
        <x:v>Campus=55; Ratio=55.9; Prodi=40; RelDemand=49.3; Capacity=61.7</x:v>
      </x:c>
    </x:row>
    <x:row r="2540">
      <x:c r="A2540" t="n">
        <x:v>2537</x:v>
      </x:c>
      <x:c r="B2540" t="str">
        <x:v>PTN Akademik</x:v>
      </x:c>
      <x:c r="C2540" t="str">
        <x:v>UPN "VETERAN" JAWA TIMUR</x:v>
      </x:c>
      <x:c r="D2540" t="str">
        <x:v>FISIKA</x:v>
      </x:c>
      <x:c r="E2540" t="str">
        <x:v>Sarjana</x:v>
      </x:c>
      <x:c r="F2540" s="18" t="n">
        <x:v>32</x:v>
      </x:c>
      <x:c r="G2540" s="18" t="n">
        <x:v>96</x:v>
      </x:c>
      <x:c r="H2540" s="19" t="n">
        <x:v>3</x:v>
      </x:c>
      <x:c r="I2540" s="18" t="n">
        <x:f>ROUND(MIN(Model_Config_v3!$B$6,MAX(Q2540,R2540,S2540*Model_Config_v3!$B$4+T2540*Model_Config_v3!$B$5)),0)</x:f>
        <x:v>627</x:v>
      </x:c>
      <x:c r="J2540" s="18" t="n">
        <x:f>MIN(Model_Config_v3!$B$6,I2540+Model_Config_v3!$B$7)</x:f>
        <x:v>647</x:v>
      </x:c>
      <x:c r="K2540" s="20" t="n">
        <x:v>45.3</x:v>
      </x:c>
      <x:c r="L2540" t="str">
        <x:v>MENENGAH</x:v>
      </x:c>
      <x:c r="M2540" t="str">
        <x:v>SEDANG+</x:v>
      </x:c>
      <x:c r="N2540" t="str">
        <x:v>REGULER</x:v>
      </x:c>
      <x:c r="O2540" t="str">
        <x:v>SAINTEK</x:v>
      </x:c>
      <x:c r="P2540" t="str">
        <x:v>SAINS DASAR</x:v>
      </x:c>
      <x:c r="Q2540" s="18" t="n">
        <x:v>0</x:v>
      </x:c>
      <x:c r="R2540" s="18" t="n">
        <x:v>0</x:v>
      </x:c>
      <x:c r="S2540" s="18" t="n">
        <x:v>572.4833380191628</x:v>
      </x:c>
      <x:c r="T2540" s="18" t="n">
        <x:v>651</x:v>
      </x:c>
      <x:c r="U2540" s="18" t="n">
        <x:v>572.4833380191628</x:v>
      </x:c>
      <x:c r="V2540" s="20" t="n">
        <x:v>12</x:v>
      </x:c>
      <x:c r="W2540" s="20" t="n">
        <x:v>5</x:v>
      </x:c>
      <x:c r="X2540" s="20" t="n">
        <x:v>3</x:v>
      </x:c>
      <x:c r="Y2540" t="str">
        <x:v>Basis arsip 2025/2024</x:v>
      </x:c>
      <x:c r="Z2540" t="str">
        <x:v>https://snpmb.id/utbk-snbt/daya-tampung-snbt</x:v>
      </x:c>
      <x:c r="AA2540" t="str">
        <x:v>Tidak Ada</x:v>
      </x:c>
      <x:c r="AB2540" t="str">
        <x:v>Campus=55; Ratio=28.1; Prodi=50; RelDemand=16.6; Capacity=73.3</x:v>
      </x:c>
    </x:row>
    <x:row r="2541">
      <x:c r="A2541" t="n">
        <x:v>2538</x:v>
      </x:c>
      <x:c r="B2541" t="str">
        <x:v>PTN Akademik</x:v>
      </x:c>
      <x:c r="C2541" t="str">
        <x:v>UPN "VETERAN" JAWA TIMUR</x:v>
      </x:c>
      <x:c r="D2541" t="str">
        <x:v>DESAIN INTERIOR</x:v>
      </x:c>
      <x:c r="E2541" t="str">
        <x:v>Sarjana</x:v>
      </x:c>
      <x:c r="F2541" s="18" t="n">
        <x:v>36</x:v>
      </x:c>
      <x:c r="G2541" s="18" t="n">
        <x:v>101</x:v>
      </x:c>
      <x:c r="H2541" s="19" t="n">
        <x:v>2.8055555555555554</x:v>
      </x:c>
      <x:c r="I2541" s="18" t="n">
        <x:f>ROUND(MIN(Model_Config_v3!$B$6,MAX(Q2541,R2541,S2541*Model_Config_v3!$B$4+T2541*Model_Config_v3!$B$5)),0)</x:f>
        <x:v>624</x:v>
      </x:c>
      <x:c r="J2541" s="18" t="n">
        <x:f>MIN(Model_Config_v3!$B$6,I2541+Model_Config_v3!$B$7)</x:f>
        <x:v>644</x:v>
      </x:c>
      <x:c r="K2541" s="20" t="n">
        <x:v>43.4</x:v>
      </x:c>
      <x:c r="L2541" t="str">
        <x:v>RELATIF LONGGAR</x:v>
      </x:c>
      <x:c r="M2541" t="str">
        <x:v>PORTOFOLIO</x:v>
      </x:c>
      <x:c r="N2541" t="str">
        <x:v>REGULER</x:v>
      </x:c>
      <x:c r="O2541" t="str">
        <x:v>SENI/OLAHRAGA</x:v>
      </x:c>
      <x:c r="P2541" t="str">
        <x:v>SENI/OLAHRAGA</x:v>
      </x:c>
      <x:c r="Q2541" s="18" t="n">
        <x:v>0</x:v>
      </x:c>
      <x:c r="R2541" s="18" t="n">
        <x:v>0</x:v>
      </x:c>
      <x:c r="S2541" s="18" t="n">
        <x:v>569.282076031689</x:v>
      </x:c>
      <x:c r="T2541" s="18" t="n">
        <x:v>647</x:v>
      </x:c>
      <x:c r="U2541" s="18" t="n">
        <x:v>569.282076031689</x:v>
      </x:c>
      <x:c r="V2541" s="20" t="n">
        <x:v>4.4</x:v>
      </x:c>
      <x:c r="W2541" s="20" t="n">
        <x:v>9.9</x:v>
      </x:c>
      <x:c r="X2541" s="20" t="n">
        <x:v>7.7</x:v>
      </x:c>
      <x:c r="Y2541" t="str">
        <x:v>Basis arsip 2025/2024</x:v>
      </x:c>
      <x:c r="Z2541" t="str">
        <x:v>https://snpmb.id/utbk-snbt/daya-tampung-snbt</x:v>
      </x:c>
      <x:c r="AA2541" t="str">
        <x:v>Seni Rupa, Desain, dan Kriya</x:v>
      </x:c>
      <x:c r="AB2541" t="str">
        <x:v>Campus=55; Ratio=26.4; Prodi=45; RelDemand=15.5; Capacity=70.0</x:v>
      </x:c>
    </x:row>
    <x:row r="2542">
      <x:c r="A2542" t="n">
        <x:v>2539</x:v>
      </x:c>
      <x:c r="B2542" t="str">
        <x:v>PTN Akademik</x:v>
      </x:c>
      <x:c r="C2542" t="str">
        <x:v>UPN "VETERAN" JAWA TIMUR</x:v>
      </x:c>
      <x:c r="D2542" t="str">
        <x:v>LINGUISTIK INDONESIA</x:v>
      </x:c>
      <x:c r="E2542" t="str">
        <x:v>Sarjana</x:v>
      </x:c>
      <x:c r="F2542" s="18" t="n">
        <x:v>24</x:v>
      </x:c>
      <x:c r="G2542" s="18" t="n">
        <x:v>94</x:v>
      </x:c>
      <x:c r="H2542" s="19" t="n">
        <x:v>3.9166666666666665</x:v>
      </x:c>
      <x:c r="I2542" s="18" t="n">
        <x:f>ROUND(MIN(Model_Config_v3!$B$6,MAX(Q2542,R2542,S2542*Model_Config_v3!$B$4+T2542*Model_Config_v3!$B$5)),0)</x:f>
        <x:v>632</x:v>
      </x:c>
      <x:c r="J2542" s="18" t="n">
        <x:f>MIN(Model_Config_v3!$B$6,I2542+Model_Config_v3!$B$7)</x:f>
        <x:v>652</x:v>
      </x:c>
      <x:c r="K2542" s="20" t="n">
        <x:v>46.1</x:v>
      </x:c>
      <x:c r="L2542" t="str">
        <x:v>MENENGAH</x:v>
      </x:c>
      <x:c r="M2542" t="str">
        <x:v>SEDANG</x:v>
      </x:c>
      <x:c r="N2542" t="str">
        <x:v>REGULER</x:v>
      </x:c>
      <x:c r="O2542" t="str">
        <x:v>CAMPURAN</x:v>
      </x:c>
      <x:c r="P2542" t="str">
        <x:v>UMUM</x:v>
      </x:c>
      <x:c r="Q2542" s="18" t="n">
        <x:v>0</x:v>
      </x:c>
      <x:c r="R2542" s="18" t="n">
        <x:v>0</x:v>
      </x:c>
      <x:c r="S2542" s="18" t="n">
        <x:v>585.2208273076902</x:v>
      </x:c>
      <x:c r="T2542" s="18" t="n">
        <x:v>652</x:v>
      </x:c>
      <x:c r="U2542" s="18" t="n">
        <x:v>585.2208273076902</x:v>
      </x:c>
      <x:c r="V2542" s="20" t="n">
        <x:v>8.8</x:v>
      </x:c>
      <x:c r="W2542" s="20" t="n">
        <x:v>9.9</x:v>
      </x:c>
      <x:c r="X2542" s="20" t="n">
        <x:v>3.3</x:v>
      </x:c>
      <x:c r="Y2542" t="str">
        <x:v>Basis arsip 2025/2024</x:v>
      </x:c>
      <x:c r="Z2542" t="str">
        <x:v>https://snpmb.id/utbk-snbt/daya-tampung-snbt</x:v>
      </x:c>
      <x:c r="AA2542" t="str">
        <x:v>Tidak Ada</x:v>
      </x:c>
      <x:c r="AB2542" t="str">
        <x:v>Campus=55; Ratio=34.9; Prodi=40; RelDemand=21.6; Capacity=80.0</x:v>
      </x:c>
    </x:row>
    <x:row r="2543">
      <x:c r="A2543" t="n">
        <x:v>2540</x:v>
      </x:c>
      <x:c r="B2543" t="str">
        <x:v>PTN Akademik</x:v>
      </x:c>
      <x:c r="C2543" t="str">
        <x:v>UPN "VETERAN" JAWA TIMUR</x:v>
      </x:c>
      <x:c r="D2543" t="str">
        <x:v>BISNIS DIGITAL</x:v>
      </x:c>
      <x:c r="E2543" t="str">
        <x:v>Sarjana</x:v>
      </x:c>
      <x:c r="F2543" s="18" t="n">
        <x:v>26</x:v>
      </x:c>
      <x:c r="G2543" s="18" t="n">
        <x:v>464</x:v>
      </x:c>
      <x:c r="H2543" s="19" t="n">
        <x:v>17.846153846153847</x:v>
      </x:c>
      <x:c r="I2543" s="18" t="n">
        <x:f>ROUND(MIN(Model_Config_v3!$B$6,MAX(Q2543,R2543,S2543*Model_Config_v3!$B$4+T2543*Model_Config_v3!$B$5)),0)</x:f>
        <x:v>685</x:v>
      </x:c>
      <x:c r="J2543" s="18" t="n">
        <x:f>MIN(Model_Config_v3!$B$6,I2543+Model_Config_v3!$B$7)</x:f>
        <x:v>705</x:v>
      </x:c>
      <x:c r="K2543" s="20" t="n">
        <x:v>68.4</x:v>
      </x:c>
      <x:c r="L2543" t="str">
        <x:v>SANGAT KETAT</x:v>
      </x:c>
      <x:c r="M2543" t="str">
        <x:v>SEDANG+</x:v>
      </x:c>
      <x:c r="N2543" t="str">
        <x:v>REGULER</x:v>
      </x:c>
      <x:c r="O2543" t="str">
        <x:v>SOSHUM</x:v>
      </x:c>
      <x:c r="P2543" t="str">
        <x:v>BISNIS/EKONOMI/AKUNTANSI</x:v>
      </x:c>
      <x:c r="Q2543" s="18" t="n">
        <x:v>0</x:v>
      </x:c>
      <x:c r="R2543" s="18" t="n">
        <x:v>0</x:v>
      </x:c>
      <x:c r="S2543" s="18" t="n">
        <x:v>657.6699095842469</x:v>
      </x:c>
      <x:c r="T2543" s="18" t="n">
        <x:v>697</x:v>
      </x:c>
      <x:c r="U2543" s="18" t="n">
        <x:v>672.6699095842469</x:v>
      </x:c>
      <x:c r="V2543" s="20" t="n">
        <x:v>4.4</x:v>
      </x:c>
      <x:c r="W2543" s="20" t="n">
        <x:v>14.3</x:v>
      </x:c>
      <x:c r="X2543" s="20" t="n">
        <x:v>3.3</x:v>
      </x:c>
      <x:c r="Y2543" t="str">
        <x:v>Basis arsip 2025/2024</x:v>
      </x:c>
      <x:c r="Z2543" t="str">
        <x:v>https://snpmb.id/utbk-snbt/daya-tampung-snbt</x:v>
      </x:c>
      <x:c r="AA2543" t="str">
        <x:v>Tidak Ada</x:v>
      </x:c>
      <x:c r="AB2543" t="str">
        <x:v>Campus=55; Ratio=73.7; Prodi=65; RelDemand=98.6; Capacity=78.3</x:v>
      </x:c>
    </x:row>
    <x:row r="2544">
      <x:c r="A2544" t="n">
        <x:v>2541</x:v>
      </x:c>
      <x:c r="B2544" t="str">
        <x:v>PTN Akademik</x:v>
      </x:c>
      <x:c r="C2544" t="str">
        <x:v>UPN "VETERAN" JAWA TIMUR</x:v>
      </x:c>
      <x:c r="D2544" t="str">
        <x:v>KEDOKTERAN</x:v>
      </x:c>
      <x:c r="E2544" t="str">
        <x:v>Sarjana</x:v>
      </x:c>
      <x:c r="F2544" s="18" t="n">
        <x:v>20</x:v>
      </x:c>
      <x:c r="G2544" s="18" t="n">
        <x:v>692</x:v>
      </x:c>
      <x:c r="H2544" s="19" t="n">
        <x:v>34.6</x:v>
      </x:c>
      <x:c r="I2544" s="18" t="n">
        <x:f>ROUND(MIN(Model_Config_v3!$B$6,MAX(Q2544,R2544,S2544*Model_Config_v3!$B$4+T2544*Model_Config_v3!$B$5)),0)</x:f>
        <x:v>711</x:v>
      </x:c>
      <x:c r="J2544" s="18" t="n">
        <x:f>MIN(Model_Config_v3!$B$6,I2544+Model_Config_v3!$B$7)</x:f>
        <x:v>731</x:v>
      </x:c>
      <x:c r="K2544" s="20" t="n">
        <x:v>80.2</x:v>
      </x:c>
      <x:c r="L2544" t="str">
        <x:v>ELITE</x:v>
      </x:c>
      <x:c r="M2544" t="str">
        <x:v>SEDANG+</x:v>
      </x:c>
      <x:c r="N2544" t="str">
        <x:v>REGULER</x:v>
      </x:c>
      <x:c r="O2544" t="str">
        <x:v>SAINTEK</x:v>
      </x:c>
      <x:c r="P2544" t="str">
        <x:v>KEDOKTERAN</x:v>
      </x:c>
      <x:c r="Q2544" s="18" t="n">
        <x:v>0</x:v>
      </x:c>
      <x:c r="R2544" s="18" t="n">
        <x:v>680</x:v>
      </x:c>
      <x:c r="S2544" s="18" t="n">
        <x:v>689.2983708672054</x:v>
      </x:c>
      <x:c r="T2544" s="18" t="n">
        <x:v>720</x:v>
      </x:c>
      <x:c r="U2544" s="18" t="n">
        <x:v>729.2983708672054</x:v>
      </x:c>
      <x:c r="V2544" s="20" t="n">
        <x:v>12</x:v>
      </x:c>
      <x:c r="W2544" s="20" t="n">
        <x:v>5</x:v>
      </x:c>
      <x:c r="X2544" s="20" t="n">
        <x:v>3</x:v>
      </x:c>
      <x:c r="Y2544" t="str">
        <x:v>Basis arsip 2025/2024</x:v>
      </x:c>
      <x:c r="Z2544" t="str">
        <x:v>https://snpmb.id/utbk-snbt/daya-tampung-snbt</x:v>
      </x:c>
      <x:c r="AA2544" t="str">
        <x:v>Tidak Ada</x:v>
      </x:c>
      <x:c r="AB2544" t="str">
        <x:v>Campus=55; Ratio=90.6; Prodi=100; RelDemand=100.0; Capacity=83.3</x:v>
      </x:c>
    </x:row>
    <x:row r="2545">
      <x:c r="A2545" t="n">
        <x:v>2542</x:v>
      </x:c>
      <x:c r="B2545" t="str">
        <x:v>PTN Akademik</x:v>
      </x:c>
      <x:c r="C2545" t="str">
        <x:v>UPN "VETERAN" JAWA TIMUR</x:v>
      </x:c>
      <x:c r="D2545" t="str">
        <x:v>BAHASA INGGRIS UNTUK KOMUNIKASI BISNIS DAN PROFESIONAL</x:v>
      </x:c>
      <x:c r="E2545" t="str">
        <x:v>Sarjana Terapan</x:v>
      </x:c>
      <x:c r="F2545" s="18" t="n">
        <x:v>24</x:v>
      </x:c>
      <x:c r="G2545" s="18" t="n">
        <x:v>730</x:v>
      </x:c>
      <x:c r="H2545" s="19" t="n">
        <x:v>30.416666666666668</x:v>
      </x:c>
      <x:c r="I2545" s="18" t="n">
        <x:f>ROUND(MIN(Model_Config_v3!$B$6,MAX(Q2545,R2545,S2545*Model_Config_v3!$B$4+T2545*Model_Config_v3!$B$5)),0)</x:f>
        <x:v>698</x:v>
      </x:c>
      <x:c r="J2545" s="18" t="n">
        <x:f>MIN(Model_Config_v3!$B$6,I2545+Model_Config_v3!$B$7)</x:f>
        <x:v>718</x:v>
      </x:c>
      <x:c r="K2545" s="20" t="n">
        <x:v>72.1</x:v>
      </x:c>
      <x:c r="L2545" t="str">
        <x:v>SANGAT KETAT</x:v>
      </x:c>
      <x:c r="M2545" t="str">
        <x:v>SEDANG+</x:v>
      </x:c>
      <x:c r="N2545" t="str">
        <x:v>REGULER</x:v>
      </x:c>
      <x:c r="O2545" t="str">
        <x:v>SOSHUM</x:v>
      </x:c>
      <x:c r="P2545" t="str">
        <x:v>BISNIS/EKONOMI/AKUNTANSI</x:v>
      </x:c>
      <x:c r="Q2545" s="18" t="n">
        <x:v>0</x:v>
      </x:c>
      <x:c r="R2545" s="18" t="n">
        <x:v>0</x:v>
      </x:c>
      <x:c r="S2545" s="18" t="n">
        <x:v>683.1422780249735</x:v>
      </x:c>
      <x:c r="T2545" s="18" t="n">
        <x:v>704</x:v>
      </x:c>
      <x:c r="U2545" s="18" t="n">
        <x:v>698.1422780249735</x:v>
      </x:c>
      <x:c r="V2545" s="20" t="n">
        <x:v>4.4</x:v>
      </x:c>
      <x:c r="W2545" s="20" t="n">
        <x:v>14.3</x:v>
      </x:c>
      <x:c r="X2545" s="20" t="n">
        <x:v>3.3</x:v>
      </x:c>
      <x:c r="Y2545" t="str">
        <x:v>Basis arsip 2025/2024</x:v>
      </x:c>
      <x:c r="Z2545" t="str">
        <x:v>https://snpmb.id/utbk-snbt/daya-tampung-snbt</x:v>
      </x:c>
      <x:c r="AA2545" t="str">
        <x:v>Tidak Ada</x:v>
      </x:c>
      <x:c r="AB2545" t="str">
        <x:v>Campus=55; Ratio=87.3; Prodi=65; RelDemand=100.0; Capacity=80.0</x:v>
      </x:c>
    </x:row>
    <x:row r="2546">
      <x:c r="A2546" t="n">
        <x:v>2543</x:v>
      </x:c>
      <x:c r="B2546" t="str">
        <x:v>PTN Akademik</x:v>
      </x:c>
      <x:c r="C2546" t="str">
        <x:v>UNIVERSITAS TANJUNGPURA</x:v>
      </x:c>
      <x:c r="D2546" t="str">
        <x:v>AGRIBISNIS</x:v>
      </x:c>
      <x:c r="E2546" t="str">
        <x:v>Sarjana</x:v>
      </x:c>
      <x:c r="F2546" s="18" t="n">
        <x:v>75</x:v>
      </x:c>
      <x:c r="G2546" s="18" t="n">
        <x:v>337</x:v>
      </x:c>
      <x:c r="H2546" s="19" t="n">
        <x:v>4.493333333333333</x:v>
      </x:c>
      <x:c r="I2546" s="18" t="n">
        <x:f>ROUND(MIN(Model_Config_v3!$B$6,MAX(Q2546,R2546,S2546*Model_Config_v3!$B$4+T2546*Model_Config_v3!$B$5)),0)</x:f>
        <x:v>640</x:v>
      </x:c>
      <x:c r="J2546" s="18" t="n">
        <x:f>MIN(Model_Config_v3!$B$6,I2546+Model_Config_v3!$B$7)</x:f>
        <x:v>660</x:v>
      </x:c>
      <x:c r="K2546" s="20" t="n">
        <x:v>49.8</x:v>
      </x:c>
      <x:c r="L2546" t="str">
        <x:v>MENENGAH</x:v>
      </x:c>
      <x:c r="M2546" t="str">
        <x:v>SEDANG+</x:v>
      </x:c>
      <x:c r="N2546" t="str">
        <x:v>REGULER</x:v>
      </x:c>
      <x:c r="O2546" t="str">
        <x:v>SOSHUM</x:v>
      </x:c>
      <x:c r="P2546" t="str">
        <x:v>BISNIS/EKONOMI/AKUNTANSI</x:v>
      </x:c>
      <x:c r="Q2546" s="18" t="n">
        <x:v>0</x:v>
      </x:c>
      <x:c r="R2546" s="18" t="n">
        <x:v>0</x:v>
      </x:c>
      <x:c r="S2546" s="18" t="n">
        <x:v>591.7825501227602</x:v>
      </x:c>
      <x:c r="T2546" s="18" t="n">
        <x:v>660</x:v>
      </x:c>
      <x:c r="U2546" s="18" t="n">
        <x:v>606.7825501227602</x:v>
      </x:c>
      <x:c r="V2546" s="20" t="n">
        <x:v>4.4</x:v>
      </x:c>
      <x:c r="W2546" s="20" t="n">
        <x:v>14.3</x:v>
      </x:c>
      <x:c r="X2546" s="20" t="n">
        <x:v>3.3</x:v>
      </x:c>
      <x:c r="Y2546" t="str">
        <x:v>Basis arsip 2025/2024</x:v>
      </x:c>
      <x:c r="Z2546" t="str">
        <x:v>https://snpmb.id/utbk-snbt/daya-tampung-snbt</x:v>
      </x:c>
      <x:c r="AA2546" t="str">
        <x:v>Tidak Ada</x:v>
      </x:c>
      <x:c r="AB2546" t="str">
        <x:v>Campus=55; Ratio=38.4; Prodi=65; RelDemand=41.9; Capacity=37.5</x:v>
      </x:c>
    </x:row>
    <x:row r="2547">
      <x:c r="A2547" t="n">
        <x:v>2544</x:v>
      </x:c>
      <x:c r="B2547" t="str">
        <x:v>PTN Akademik</x:v>
      </x:c>
      <x:c r="C2547" t="str">
        <x:v>UNIVERSITAS TANJUNGPURA</x:v>
      </x:c>
      <x:c r="D2547" t="str">
        <x:v>TEKNIK SIPIL</x:v>
      </x:c>
      <x:c r="E2547" t="str">
        <x:v>Sarjana</x:v>
      </x:c>
      <x:c r="F2547" s="18" t="n">
        <x:v>80</x:v>
      </x:c>
      <x:c r="G2547" s="18" t="n">
        <x:v>431</x:v>
      </x:c>
      <x:c r="H2547" s="19" t="n">
        <x:v>5.3875</x:v>
      </x:c>
      <x:c r="I2547" s="18" t="n">
        <x:f>ROUND(MIN(Model_Config_v3!$B$6,MAX(Q2547,R2547,S2547*Model_Config_v3!$B$4+T2547*Model_Config_v3!$B$5)),0)</x:f>
        <x:v>643</x:v>
      </x:c>
      <x:c r="J2547" s="18" t="n">
        <x:f>MIN(Model_Config_v3!$B$6,I2547+Model_Config_v3!$B$7)</x:f>
        <x:v>663</x:v>
      </x:c>
      <x:c r="K2547" s="20" t="n">
        <x:v>50.4</x:v>
      </x:c>
      <x:c r="L2547" t="str">
        <x:v>MENENGAH</x:v>
      </x:c>
      <x:c r="M2547" t="str">
        <x:v>SEDANG+</x:v>
      </x:c>
      <x:c r="N2547" t="str">
        <x:v>REGULER</x:v>
      </x:c>
      <x:c r="O2547" t="str">
        <x:v>SAINTEK</x:v>
      </x:c>
      <x:c r="P2547" t="str">
        <x:v>TEKNIK/ARSITEKTUR/STATISTIKA/AKTUARIA</x:v>
      </x:c>
      <x:c r="Q2547" s="18" t="n">
        <x:v>0</x:v>
      </x:c>
      <x:c r="R2547" s="18" t="n">
        <x:v>0</x:v>
      </x:c>
      <x:c r="S2547" s="18" t="n">
        <x:v>600.4526011485667</x:v>
      </x:c>
      <x:c r="T2547" s="18" t="n">
        <x:v>661</x:v>
      </x:c>
      <x:c r="U2547" s="18" t="n">
        <x:v>610.4526011485667</x:v>
      </x:c>
      <x:c r="V2547" s="20" t="n">
        <x:v>12</x:v>
      </x:c>
      <x:c r="W2547" s="20" t="n">
        <x:v>5</x:v>
      </x:c>
      <x:c r="X2547" s="20" t="n">
        <x:v>3</x:v>
      </x:c>
      <x:c r="Y2547" t="str">
        <x:v>Basis arsip 2025/2024</x:v>
      </x:c>
      <x:c r="Z2547" t="str">
        <x:v>https://snpmb.id/utbk-snbt/daya-tampung-snbt</x:v>
      </x:c>
      <x:c r="AA2547" t="str">
        <x:v>Tidak Ada</x:v>
      </x:c>
      <x:c r="AB2547" t="str">
        <x:v>Campus=55; Ratio=43.0; Prodi=60; RelDemand=50.2; Capacity=33.3</x:v>
      </x:c>
    </x:row>
    <x:row r="2548">
      <x:c r="A2548" t="n">
        <x:v>2545</x:v>
      </x:c>
      <x:c r="B2548" t="str">
        <x:v>PTN Akademik</x:v>
      </x:c>
      <x:c r="C2548" t="str">
        <x:v>UNIVERSITAS TANJUNGPURA</x:v>
      </x:c>
      <x:c r="D2548" t="str">
        <x:v>TEKNIK ELEKTRO</x:v>
      </x:c>
      <x:c r="E2548" t="str">
        <x:v>Sarjana</x:v>
      </x:c>
      <x:c r="F2548" s="18" t="n">
        <x:v>60</x:v>
      </x:c>
      <x:c r="G2548" s="18" t="n">
        <x:v>137</x:v>
      </x:c>
      <x:c r="H2548" s="19" t="n">
        <x:v>2.283333333333333</x:v>
      </x:c>
      <x:c r="I2548" s="18" t="n">
        <x:f>ROUND(MIN(Model_Config_v3!$B$6,MAX(Q2548,R2548,S2548*Model_Config_v3!$B$4+T2548*Model_Config_v3!$B$5)),0)</x:f>
        <x:v>621</x:v>
      </x:c>
      <x:c r="J2548" s="18" t="n">
        <x:f>MIN(Model_Config_v3!$B$6,I2548+Model_Config_v3!$B$7)</x:f>
        <x:v>641</x:v>
      </x:c>
      <x:c r="K2548" s="20" t="n">
        <x:v>43.7</x:v>
      </x:c>
      <x:c r="L2548" t="str">
        <x:v>RELATIF LONGGAR</x:v>
      </x:c>
      <x:c r="M2548" t="str">
        <x:v>SEDANG+</x:v>
      </x:c>
      <x:c r="N2548" t="str">
        <x:v>REGULER</x:v>
      </x:c>
      <x:c r="O2548" t="str">
        <x:v>SAINTEK</x:v>
      </x:c>
      <x:c r="P2548" t="str">
        <x:v>TEKNIK/ARSITEKTUR/STATISTIKA/AKTUARIA</x:v>
      </x:c>
      <x:c r="Q2548" s="18" t="n">
        <x:v>0</x:v>
      </x:c>
      <x:c r="R2548" s="18" t="n">
        <x:v>0</x:v>
      </x:c>
      <x:c r="S2548" s="18" t="n">
        <x:v>559.4426248450039</x:v>
      </x:c>
      <x:c r="T2548" s="18" t="n">
        <x:v>647</x:v>
      </x:c>
      <x:c r="U2548" s="18" t="n">
        <x:v>569.4426248450039</x:v>
      </x:c>
      <x:c r="V2548" s="20" t="n">
        <x:v>12</x:v>
      </x:c>
      <x:c r="W2548" s="20" t="n">
        <x:v>5</x:v>
      </x:c>
      <x:c r="X2548" s="20" t="n">
        <x:v>3</x:v>
      </x:c>
      <x:c r="Y2548" t="str">
        <x:v>Basis arsip 2025/2024</x:v>
      </x:c>
      <x:c r="Z2548" t="str">
        <x:v>https://snpmb.id/utbk-snbt/daya-tampung-snbt</x:v>
      </x:c>
      <x:c r="AA2548" t="str">
        <x:v>Tidak Ada</x:v>
      </x:c>
      <x:c r="AB2548" t="str">
        <x:v>Campus=55; Ratio=21.1; Prodi=60; RelDemand=21.3; Capacity=50.0</x:v>
      </x:c>
    </x:row>
    <x:row r="2549">
      <x:c r="A2549" t="n">
        <x:v>2546</x:v>
      </x:c>
      <x:c r="B2549" t="str">
        <x:v>PTN Akademik</x:v>
      </x:c>
      <x:c r="C2549" t="str">
        <x:v>UNIVERSITAS TANJUNGPURA</x:v>
      </x:c>
      <x:c r="D2549" t="str">
        <x:v>ARSITEKTUR</x:v>
      </x:c>
      <x:c r="E2549" t="str">
        <x:v>Sarjana</x:v>
      </x:c>
      <x:c r="F2549" s="18" t="n">
        <x:v>50</x:v>
      </x:c>
      <x:c r="G2549" s="18" t="n">
        <x:v>186</x:v>
      </x:c>
      <x:c r="H2549" s="19" t="n">
        <x:v>3.72</x:v>
      </x:c>
      <x:c r="I2549" s="18" t="n">
        <x:f>ROUND(MIN(Model_Config_v3!$B$6,MAX(Q2549,R2549,S2549*Model_Config_v3!$B$4+T2549*Model_Config_v3!$B$5)),0)</x:f>
        <x:v>635</x:v>
      </x:c>
      <x:c r="J2549" s="18" t="n">
        <x:f>MIN(Model_Config_v3!$B$6,I2549+Model_Config_v3!$B$7)</x:f>
        <x:v>655</x:v>
      </x:c>
      <x:c r="K2549" s="20" t="n">
        <x:v>48.9</x:v>
      </x:c>
      <x:c r="L2549" t="str">
        <x:v>MENENGAH</x:v>
      </x:c>
      <x:c r="M2549" t="str">
        <x:v>SEDANG+</x:v>
      </x:c>
      <x:c r="N2549" t="str">
        <x:v>REGULER</x:v>
      </x:c>
      <x:c r="O2549" t="str">
        <x:v>SAINTEK</x:v>
      </x:c>
      <x:c r="P2549" t="str">
        <x:v>TEKNIK/ARSITEKTUR/STATISTIKA/AKTUARIA</x:v>
      </x:c>
      <x:c r="Q2549" s="18" t="n">
        <x:v>0</x:v>
      </x:c>
      <x:c r="R2549" s="18" t="n">
        <x:v>0</x:v>
      </x:c>
      <x:c r="S2549" s="18" t="n">
        <x:v>582.7597233870088</x:v>
      </x:c>
      <x:c r="T2549" s="18" t="n">
        <x:v>658</x:v>
      </x:c>
      <x:c r="U2549" s="18" t="n">
        <x:v>582.7597233870088</x:v>
      </x:c>
      <x:c r="V2549" s="20" t="n">
        <x:v>12</x:v>
      </x:c>
      <x:c r="W2549" s="20" t="n">
        <x:v>5</x:v>
      </x:c>
      <x:c r="X2549" s="20" t="n">
        <x:v>3</x:v>
      </x:c>
      <x:c r="Y2549" t="str">
        <x:v>Basis arsip 2025/2024</x:v>
      </x:c>
      <x:c r="Z2549" t="str">
        <x:v>https://snpmb.id/utbk-snbt/daya-tampung-snbt</x:v>
      </x:c>
      <x:c r="AA2549" t="str">
        <x:v>Tidak Ada</x:v>
      </x:c>
      <x:c r="AB2549" t="str">
        <x:v>Campus=55; Ratio=33.6; Prodi=60; RelDemand=34.7; Capacity=58.3</x:v>
      </x:c>
    </x:row>
    <x:row r="2550">
      <x:c r="A2550" t="n">
        <x:v>2547</x:v>
      </x:c>
      <x:c r="B2550" t="str">
        <x:v>PTN Akademik</x:v>
      </x:c>
      <x:c r="C2550" t="str">
        <x:v>UNIVERSITAS TANJUNGPURA</x:v>
      </x:c>
      <x:c r="D2550" t="str">
        <x:v>TEKNIK INFORMATIKA</x:v>
      </x:c>
      <x:c r="E2550" t="str">
        <x:v>Sarjana</x:v>
      </x:c>
      <x:c r="F2550" s="18" t="n">
        <x:v>75</x:v>
      </x:c>
      <x:c r="G2550" s="18" t="n">
        <x:v>897</x:v>
      </x:c>
      <x:c r="H2550" s="19" t="n">
        <x:v>11.96</x:v>
      </x:c>
      <x:c r="I2550" s="18" t="n">
        <x:f>ROUND(MIN(Model_Config_v3!$B$6,MAX(Q2550,R2550,S2550*Model_Config_v3!$B$4+T2550*Model_Config_v3!$B$5)),0)</x:f>
        <x:v>676</x:v>
      </x:c>
      <x:c r="J2550" s="18" t="n">
        <x:f>MIN(Model_Config_v3!$B$6,I2550+Model_Config_v3!$B$7)</x:f>
        <x:v>696</x:v>
      </x:c>
      <x:c r="K2550" s="20" t="n">
        <x:v>65.9</x:v>
      </x:c>
      <x:c r="L2550" t="str">
        <x:v>SANGAT KETAT</x:v>
      </x:c>
      <x:c r="M2550" t="str">
        <x:v>SEDANG+</x:v>
      </x:c>
      <x:c r="N2550" t="str">
        <x:v>REGULER</x:v>
      </x:c>
      <x:c r="O2550" t="str">
        <x:v>SAINTEK</x:v>
      </x:c>
      <x:c r="P2550" t="str">
        <x:v>KOMPUTER/INFORMATIKA</x:v>
      </x:c>
      <x:c r="Q2550" s="18" t="n">
        <x:v>0</x:v>
      </x:c>
      <x:c r="R2550" s="18" t="n">
        <x:v>0</x:v>
      </x:c>
      <x:c r="S2550" s="18" t="n">
        <x:v>638.5504297617631</x:v>
      </x:c>
      <x:c r="T2550" s="18" t="n">
        <x:v>692</x:v>
      </x:c>
      <x:c r="U2550" s="18" t="n">
        <x:v>663.5504297617631</x:v>
      </x:c>
      <x:c r="V2550" s="20" t="n">
        <x:v>12</x:v>
      </x:c>
      <x:c r="W2550" s="20" t="n">
        <x:v>5</x:v>
      </x:c>
      <x:c r="X2550" s="20" t="n">
        <x:v>3</x:v>
      </x:c>
      <x:c r="Y2550" t="str">
        <x:v>Basis arsip 2025/2024</x:v>
      </x:c>
      <x:c r="Z2550" t="str">
        <x:v>https://snpmb.id/utbk-snbt/daya-tampung-snbt</x:v>
      </x:c>
      <x:c r="AA2550" t="str">
        <x:v>Tidak Ada</x:v>
      </x:c>
      <x:c r="AB2550" t="str">
        <x:v>Campus=55; Ratio=63.4; Prodi=85; RelDemand=100.0; Capacity=37.5</x:v>
      </x:c>
    </x:row>
    <x:row r="2551">
      <x:c r="A2551" t="n">
        <x:v>2548</x:v>
      </x:c>
      <x:c r="B2551" t="str">
        <x:v>PTN Akademik</x:v>
      </x:c>
      <x:c r="C2551" t="str">
        <x:v>UNIVERSITAS TANJUNGPURA</x:v>
      </x:c>
      <x:c r="D2551" t="str">
        <x:v>TEKNIK INDUSTRI</x:v>
      </x:c>
      <x:c r="E2551" t="str">
        <x:v>Sarjana</x:v>
      </x:c>
      <x:c r="F2551" s="18" t="n">
        <x:v>45</x:v>
      </x:c>
      <x:c r="G2551" s="18" t="n">
        <x:v>269</x:v>
      </x:c>
      <x:c r="H2551" s="19" t="n">
        <x:v>5.977777777777778</x:v>
      </x:c>
      <x:c r="I2551" s="18" t="n">
        <x:f>ROUND(MIN(Model_Config_v3!$B$6,MAX(Q2551,R2551,S2551*Model_Config_v3!$B$4+T2551*Model_Config_v3!$B$5)),0)</x:f>
        <x:v>650</x:v>
      </x:c>
      <x:c r="J2551" s="18" t="n">
        <x:f>MIN(Model_Config_v3!$B$6,I2551+Model_Config_v3!$B$7)</x:f>
        <x:v>670</x:v>
      </x:c>
      <x:c r="K2551" s="20" t="n">
        <x:v>54.5</x:v>
      </x:c>
      <x:c r="L2551" t="str">
        <x:v>MENENGAH</x:v>
      </x:c>
      <x:c r="M2551" t="str">
        <x:v>SEDANG+</x:v>
      </x:c>
      <x:c r="N2551" t="str">
        <x:v>REGULER</x:v>
      </x:c>
      <x:c r="O2551" t="str">
        <x:v>SAINTEK</x:v>
      </x:c>
      <x:c r="P2551" t="str">
        <x:v>TEKNIK/ARSITEKTUR/STATISTIKA/AKTUARIA</x:v>
      </x:c>
      <x:c r="Q2551" s="18" t="n">
        <x:v>0</x:v>
      </x:c>
      <x:c r="R2551" s="18" t="n">
        <x:v>0</x:v>
      </x:c>
      <x:c r="S2551" s="18" t="n">
        <x:v>605.419374284977</x:v>
      </x:c>
      <x:c r="T2551" s="18" t="n">
        <x:v>669</x:v>
      </x:c>
      <x:c r="U2551" s="18" t="n">
        <x:v>615.419374284977</x:v>
      </x:c>
      <x:c r="V2551" s="20" t="n">
        <x:v>12</x:v>
      </x:c>
      <x:c r="W2551" s="20" t="n">
        <x:v>5</x:v>
      </x:c>
      <x:c r="X2551" s="20" t="n">
        <x:v>3</x:v>
      </x:c>
      <x:c r="Y2551" t="str">
        <x:v>Basis arsip 2025/2024</x:v>
      </x:c>
      <x:c r="Z2551" t="str">
        <x:v>https://snpmb.id/utbk-snbt/daya-tampung-snbt</x:v>
      </x:c>
      <x:c r="AA2551" t="str">
        <x:v>Tidak Ada</x:v>
      </x:c>
      <x:c r="AB2551" t="str">
        <x:v>Campus=55; Ratio=45.7; Prodi=60; RelDemand=55.7; Capacity=62.5</x:v>
      </x:c>
    </x:row>
    <x:row r="2552">
      <x:c r="A2552" t="n">
        <x:v>2549</x:v>
      </x:c>
      <x:c r="B2552" t="str">
        <x:v>PTN Akademik</x:v>
      </x:c>
      <x:c r="C2552" t="str">
        <x:v>UNIVERSITAS TANJUNGPURA</x:v>
      </x:c>
      <x:c r="D2552" t="str">
        <x:v>TEKNIK LINGKUNGAN</x:v>
      </x:c>
      <x:c r="E2552" t="str">
        <x:v>Sarjana</x:v>
      </x:c>
      <x:c r="F2552" s="18" t="n">
        <x:v>45</x:v>
      </x:c>
      <x:c r="G2552" s="18" t="n">
        <x:v>167</x:v>
      </x:c>
      <x:c r="H2552" s="19" t="n">
        <x:v>3.7111111111111112</x:v>
      </x:c>
      <x:c r="I2552" s="18" t="n">
        <x:f>ROUND(MIN(Model_Config_v3!$B$6,MAX(Q2552,R2552,S2552*Model_Config_v3!$B$4+T2552*Model_Config_v3!$B$5)),0)</x:f>
        <x:v>636</x:v>
      </x:c>
      <x:c r="J2552" s="18" t="n">
        <x:f>MIN(Model_Config_v3!$B$6,I2552+Model_Config_v3!$B$7)</x:f>
        <x:v>656</x:v>
      </x:c>
      <x:c r="K2552" s="20" t="n">
        <x:v>49.3</x:v>
      </x:c>
      <x:c r="L2552" t="str">
        <x:v>MENENGAH</x:v>
      </x:c>
      <x:c r="M2552" t="str">
        <x:v>SEDANG+</x:v>
      </x:c>
      <x:c r="N2552" t="str">
        <x:v>REGULER</x:v>
      </x:c>
      <x:c r="O2552" t="str">
        <x:v>SAINTEK</x:v>
      </x:c>
      <x:c r="P2552" t="str">
        <x:v>TEKNIK/ARSITEKTUR/STATISTIKA/AKTUARIA</x:v>
      </x:c>
      <x:c r="Q2552" s="18" t="n">
        <x:v>0</x:v>
      </x:c>
      <x:c r="R2552" s="18" t="n">
        <x:v>0</x:v>
      </x:c>
      <x:c r="S2552" s="18" t="n">
        <x:v>582.6454353109464</x:v>
      </x:c>
      <x:c r="T2552" s="18" t="n">
        <x:v>659</x:v>
      </x:c>
      <x:c r="U2552" s="18" t="n">
        <x:v>592.6454353109464</x:v>
      </x:c>
      <x:c r="V2552" s="20" t="n">
        <x:v>12</x:v>
      </x:c>
      <x:c r="W2552" s="20" t="n">
        <x:v>5</x:v>
      </x:c>
      <x:c r="X2552" s="20" t="n">
        <x:v>3</x:v>
      </x:c>
      <x:c r="Y2552" t="str">
        <x:v>Basis arsip 2025/2024</x:v>
      </x:c>
      <x:c r="Z2552" t="str">
        <x:v>https://snpmb.id/utbk-snbt/daya-tampung-snbt</x:v>
      </x:c>
      <x:c r="AA2552" t="str">
        <x:v>Tidak Ada</x:v>
      </x:c>
      <x:c r="AB2552" t="str">
        <x:v>Campus=55; Ratio=33.5; Prodi=60; RelDemand=34.6; Capacity=62.5</x:v>
      </x:c>
    </x:row>
    <x:row r="2553">
      <x:c r="A2553" t="n">
        <x:v>2550</x:v>
      </x:c>
      <x:c r="B2553" t="str">
        <x:v>PTN Akademik</x:v>
      </x:c>
      <x:c r="C2553" t="str">
        <x:v>UNIVERSITAS TANJUNGPURA</x:v>
      </x:c>
      <x:c r="D2553" t="str">
        <x:v>PEND. MATEMATIKA</x:v>
      </x:c>
      <x:c r="E2553" t="str">
        <x:v>Sarjana</x:v>
      </x:c>
      <x:c r="F2553" s="18" t="n">
        <x:v>44</x:v>
      </x:c>
      <x:c r="G2553" s="18" t="n">
        <x:v>174</x:v>
      </x:c>
      <x:c r="H2553" s="19" t="n">
        <x:v>3.9545454545454546</x:v>
      </x:c>
      <x:c r="I2553" s="18" t="n">
        <x:f>ROUND(MIN(Model_Config_v3!$B$6,MAX(Q2553,R2553,S2553*Model_Config_v3!$B$4+T2553*Model_Config_v3!$B$5)),0)</x:f>
        <x:v>634</x:v>
      </x:c>
      <x:c r="J2553" s="18" t="n">
        <x:f>MIN(Model_Config_v3!$B$6,I2553+Model_Config_v3!$B$7)</x:f>
        <x:v>654</x:v>
      </x:c>
      <x:c r="K2553" s="20" t="n">
        <x:v>47.1</x:v>
      </x:c>
      <x:c r="L2553" t="str">
        <x:v>MENENGAH</x:v>
      </x:c>
      <x:c r="M2553" t="str">
        <x:v>SEDANG+</x:v>
      </x:c>
      <x:c r="N2553" t="str">
        <x:v>REGULER</x:v>
      </x:c>
      <x:c r="O2553" t="str">
        <x:v>SAINTEK</x:v>
      </x:c>
      <x:c r="P2553" t="str">
        <x:v>PENDIDIKAN</x:v>
      </x:c>
      <x:c r="Q2553" s="18" t="n">
        <x:v>0</x:v>
      </x:c>
      <x:c r="R2553" s="18" t="n">
        <x:v>0</x:v>
      </x:c>
      <x:c r="S2553" s="18" t="n">
        <x:v>585.6806228976053</x:v>
      </x:c>
      <x:c r="T2553" s="18" t="n">
        <x:v>654</x:v>
      </x:c>
      <x:c r="U2553" s="18" t="n">
        <x:v>585.6806228976053</x:v>
      </x:c>
      <x:c r="V2553" s="20" t="n">
        <x:v>12</x:v>
      </x:c>
      <x:c r="W2553" s="20" t="n">
        <x:v>5</x:v>
      </x:c>
      <x:c r="X2553" s="20" t="n">
        <x:v>3</x:v>
      </x:c>
      <x:c r="Y2553" t="str">
        <x:v>Basis arsip 2025/2024</x:v>
      </x:c>
      <x:c r="Z2553" t="str">
        <x:v>https://snpmb.id/utbk-snbt/daya-tampung-snbt</x:v>
      </x:c>
      <x:c r="AA2553" t="str">
        <x:v>Tidak Ada</x:v>
      </x:c>
      <x:c r="AB2553" t="str">
        <x:v>Campus=55; Ratio=35.1; Prodi=45; RelDemand=36.9; Capacity=63.3</x:v>
      </x:c>
    </x:row>
    <x:row r="2554">
      <x:c r="A2554" t="n">
        <x:v>2551</x:v>
      </x:c>
      <x:c r="B2554" t="str">
        <x:v>PTN Akademik</x:v>
      </x:c>
      <x:c r="C2554" t="str">
        <x:v>UNIVERSITAS TANJUNGPURA</x:v>
      </x:c>
      <x:c r="D2554" t="str">
        <x:v>PEND. BIOLOGI</x:v>
      </x:c>
      <x:c r="E2554" t="str">
        <x:v>Sarjana</x:v>
      </x:c>
      <x:c r="F2554" s="18" t="n">
        <x:v>44</x:v>
      </x:c>
      <x:c r="G2554" s="18" t="n">
        <x:v>129</x:v>
      </x:c>
      <x:c r="H2554" s="19" t="n">
        <x:v>2.9318181818181817</x:v>
      </x:c>
      <x:c r="I2554" s="18" t="n">
        <x:f>ROUND(MIN(Model_Config_v3!$B$6,MAX(Q2554,R2554,S2554*Model_Config_v3!$B$4+T2554*Model_Config_v3!$B$5)),0)</x:f>
        <x:v>625</x:v>
      </x:c>
      <x:c r="J2554" s="18" t="n">
        <x:f>MIN(Model_Config_v3!$B$6,I2554+Model_Config_v3!$B$7)</x:f>
        <x:v>645</x:v>
      </x:c>
      <x:c r="K2554" s="20" t="n">
        <x:v>44.2</x:v>
      </x:c>
      <x:c r="L2554" t="str">
        <x:v>RELATIF LONGGAR</x:v>
      </x:c>
      <x:c r="M2554" t="str">
        <x:v>SEDANG+</x:v>
      </x:c>
      <x:c r="N2554" t="str">
        <x:v>REGULER</x:v>
      </x:c>
      <x:c r="O2554" t="str">
        <x:v>SAINTEK</x:v>
      </x:c>
      <x:c r="P2554" t="str">
        <x:v>PENDIDIKAN</x:v>
      </x:c>
      <x:c r="Q2554" s="18" t="n">
        <x:v>0</x:v>
      </x:c>
      <x:c r="R2554" s="18" t="n">
        <x:v>0</x:v>
      </x:c>
      <x:c r="S2554" s="18" t="n">
        <x:v>571.3850737194367</x:v>
      </x:c>
      <x:c r="T2554" s="18" t="n">
        <x:v>648</x:v>
      </x:c>
      <x:c r="U2554" s="18" t="n">
        <x:v>571.3850737194367</x:v>
      </x:c>
      <x:c r="V2554" s="20" t="n">
        <x:v>12</x:v>
      </x:c>
      <x:c r="W2554" s="20" t="n">
        <x:v>5</x:v>
      </x:c>
      <x:c r="X2554" s="20" t="n">
        <x:v>3</x:v>
      </x:c>
      <x:c r="Y2554" t="str">
        <x:v>Basis arsip 2025/2024</x:v>
      </x:c>
      <x:c r="Z2554" t="str">
        <x:v>https://snpmb.id/utbk-snbt/daya-tampung-snbt</x:v>
      </x:c>
      <x:c r="AA2554" t="str">
        <x:v>Tidak Ada</x:v>
      </x:c>
      <x:c r="AB2554" t="str">
        <x:v>Campus=55; Ratio=27.5; Prodi=45; RelDemand=27.3; Capacity=63.3</x:v>
      </x:c>
    </x:row>
    <x:row r="2555">
      <x:c r="A2555" t="n">
        <x:v>2552</x:v>
      </x:c>
      <x:c r="B2555" t="str">
        <x:v>PTN Akademik</x:v>
      </x:c>
      <x:c r="C2555" t="str">
        <x:v>UNIVERSITAS TANJUNGPURA</x:v>
      </x:c>
      <x:c r="D2555" t="str">
        <x:v>PEND. FISIKA</x:v>
      </x:c>
      <x:c r="E2555" t="str">
        <x:v>Sarjana</x:v>
      </x:c>
      <x:c r="F2555" s="18" t="n">
        <x:v>43</x:v>
      </x:c>
      <x:c r="G2555" s="18" t="n">
        <x:v>48</x:v>
      </x:c>
      <x:c r="H2555" s="19" t="n">
        <x:v>1.1162790697674418</x:v>
      </x:c>
      <x:c r="I2555" s="18" t="n">
        <x:f>ROUND(MIN(Model_Config_v3!$B$6,MAX(Q2555,R2555,S2555*Model_Config_v3!$B$4+T2555*Model_Config_v3!$B$5)),0)</x:f>
        <x:v>601</x:v>
      </x:c>
      <x:c r="J2555" s="18" t="n">
        <x:f>MIN(Model_Config_v3!$B$6,I2555+Model_Config_v3!$B$7)</x:f>
        <x:v>621</x:v>
      </x:c>
      <x:c r="K2555" s="20" t="n">
        <x:v>36.4</x:v>
      </x:c>
      <x:c r="L2555" t="str">
        <x:v>RELATIF LONGGAR</x:v>
      </x:c>
      <x:c r="M2555" t="str">
        <x:v>SEDANG+</x:v>
      </x:c>
      <x:c r="N2555" t="str">
        <x:v>REGULER</x:v>
      </x:c>
      <x:c r="O2555" t="str">
        <x:v>SAINTEK</x:v>
      </x:c>
      <x:c r="P2555" t="str">
        <x:v>PENDIDIKAN</x:v>
      </x:c>
      <x:c r="Q2555" s="18" t="n">
        <x:v>0</x:v>
      </x:c>
      <x:c r="R2555" s="18" t="n">
        <x:v>0</x:v>
      </x:c>
      <x:c r="S2555" s="18" t="n">
        <x:v>525.25500599756</x:v>
      </x:c>
      <x:c r="T2555" s="18" t="n">
        <x:v>633</x:v>
      </x:c>
      <x:c r="U2555" s="18" t="n">
        <x:v>525.25500599756</x:v>
      </x:c>
      <x:c r="V2555" s="20" t="n">
        <x:v>12</x:v>
      </x:c>
      <x:c r="W2555" s="20" t="n">
        <x:v>5</x:v>
      </x:c>
      <x:c r="X2555" s="20" t="n">
        <x:v>3</x:v>
      </x:c>
      <x:c r="Y2555" t="str">
        <x:v>Basis arsip 2025/2024</x:v>
      </x:c>
      <x:c r="Z2555" t="str">
        <x:v>https://snpmb.id/utbk-snbt/daya-tampung-snbt</x:v>
      </x:c>
      <x:c r="AA2555" t="str">
        <x:v>Tidak Ada</x:v>
      </x:c>
      <x:c r="AB2555" t="str">
        <x:v>Campus=55; Ratio=2.8; Prodi=45; RelDemand=10.4; Capacity=64.2</x:v>
      </x:c>
    </x:row>
    <x:row r="2556">
      <x:c r="A2556" t="n">
        <x:v>2553</x:v>
      </x:c>
      <x:c r="B2556" t="str">
        <x:v>PTN Akademik</x:v>
      </x:c>
      <x:c r="C2556" t="str">
        <x:v>UNIVERSITAS TANJUNGPURA</x:v>
      </x:c>
      <x:c r="D2556" t="str">
        <x:v>PEND. KIMIA</x:v>
      </x:c>
      <x:c r="E2556" t="str">
        <x:v>Sarjana</x:v>
      </x:c>
      <x:c r="F2556" s="18" t="n">
        <x:v>38</x:v>
      </x:c>
      <x:c r="G2556" s="18" t="n">
        <x:v>66</x:v>
      </x:c>
      <x:c r="H2556" s="19" t="n">
        <x:v>1.736842105263158</x:v>
      </x:c>
      <x:c r="I2556" s="18" t="n">
        <x:f>ROUND(MIN(Model_Config_v3!$B$6,MAX(Q2556,R2556,S2556*Model_Config_v3!$B$4+T2556*Model_Config_v3!$B$5)),0)</x:f>
        <x:v>612</x:v>
      </x:c>
      <x:c r="J2556" s="18" t="n">
        <x:f>MIN(Model_Config_v3!$B$6,I2556+Model_Config_v3!$B$7)</x:f>
        <x:v>632</x:v>
      </x:c>
      <x:c r="K2556" s="20" t="n">
        <x:v>40.2</x:v>
      </x:c>
      <x:c r="L2556" t="str">
        <x:v>RELATIF LONGGAR</x:v>
      </x:c>
      <x:c r="M2556" t="str">
        <x:v>SEDANG+</x:v>
      </x:c>
      <x:c r="N2556" t="str">
        <x:v>REGULER</x:v>
      </x:c>
      <x:c r="O2556" t="str">
        <x:v>SAINTEK</x:v>
      </x:c>
      <x:c r="P2556" t="str">
        <x:v>PENDIDIKAN</x:v>
      </x:c>
      <x:c r="Q2556" s="18" t="n">
        <x:v>0</x:v>
      </x:c>
      <x:c r="R2556" s="18" t="n">
        <x:v>0</x:v>
      </x:c>
      <x:c r="S2556" s="18" t="n">
        <x:v>546.3736372817565</x:v>
      </x:c>
      <x:c r="T2556" s="18" t="n">
        <x:v>640</x:v>
      </x:c>
      <x:c r="U2556" s="18" t="n">
        <x:v>546.3736372817565</x:v>
      </x:c>
      <x:c r="V2556" s="20" t="n">
        <x:v>12</x:v>
      </x:c>
      <x:c r="W2556" s="20" t="n">
        <x:v>5</x:v>
      </x:c>
      <x:c r="X2556" s="20" t="n">
        <x:v>3</x:v>
      </x:c>
      <x:c r="Y2556" t="str">
        <x:v>Basis arsip 2025/2024</x:v>
      </x:c>
      <x:c r="Z2556" t="str">
        <x:v>https://snpmb.id/utbk-snbt/daya-tampung-snbt</x:v>
      </x:c>
      <x:c r="AA2556" t="str">
        <x:v>Tidak Ada</x:v>
      </x:c>
      <x:c r="AB2556" t="str">
        <x:v>Campus=55; Ratio=14.1; Prodi=45; RelDemand=16.2; Capacity=68.3</x:v>
      </x:c>
    </x:row>
    <x:row r="2557">
      <x:c r="A2557" t="n">
        <x:v>2554</x:v>
      </x:c>
      <x:c r="B2557" t="str">
        <x:v>PTN Akademik</x:v>
      </x:c>
      <x:c r="C2557" t="str">
        <x:v>UNIVERSITAS TANJUNGPURA</x:v>
      </x:c>
      <x:c r="D2557" t="str">
        <x:v>MATEMATIKA</x:v>
      </x:c>
      <x:c r="E2557" t="str">
        <x:v>Sarjana</x:v>
      </x:c>
      <x:c r="F2557" s="18" t="n">
        <x:v>36</x:v>
      </x:c>
      <x:c r="G2557" s="18" t="n">
        <x:v>43</x:v>
      </x:c>
      <x:c r="H2557" s="19" t="n">
        <x:v>1.1944444444444444</x:v>
      </x:c>
      <x:c r="I2557" s="18" t="n">
        <x:f>ROUND(MIN(Model_Config_v3!$B$6,MAX(Q2557,R2557,S2557*Model_Config_v3!$B$4+T2557*Model_Config_v3!$B$5)),0)</x:f>
        <x:v>604</x:v>
      </x:c>
      <x:c r="J2557" s="18" t="n">
        <x:f>MIN(Model_Config_v3!$B$6,I2557+Model_Config_v3!$B$7)</x:f>
        <x:v>624</x:v>
      </x:c>
      <x:c r="K2557" s="20" t="n">
        <x:v>38.5</x:v>
      </x:c>
      <x:c r="L2557" t="str">
        <x:v>RELATIF LONGGAR</x:v>
      </x:c>
      <x:c r="M2557" t="str">
        <x:v>SEDANG+</x:v>
      </x:c>
      <x:c r="N2557" t="str">
        <x:v>REGULER</x:v>
      </x:c>
      <x:c r="O2557" t="str">
        <x:v>SAINTEK</x:v>
      </x:c>
      <x:c r="P2557" t="str">
        <x:v>SAINS DASAR</x:v>
      </x:c>
      <x:c r="Q2557" s="18" t="n">
        <x:v>0</x:v>
      </x:c>
      <x:c r="R2557" s="18" t="n">
        <x:v>0</x:v>
      </x:c>
      <x:c r="S2557" s="18" t="n">
        <x:v>528.4882550293529</x:v>
      </x:c>
      <x:c r="T2557" s="18" t="n">
        <x:v>637</x:v>
      </x:c>
      <x:c r="U2557" s="18" t="n">
        <x:v>528.4882550293529</x:v>
      </x:c>
      <x:c r="V2557" s="20" t="n">
        <x:v>12</x:v>
      </x:c>
      <x:c r="W2557" s="20" t="n">
        <x:v>5</x:v>
      </x:c>
      <x:c r="X2557" s="20" t="n">
        <x:v>3</x:v>
      </x:c>
      <x:c r="Y2557" t="str">
        <x:v>Basis arsip 2025/2024</x:v>
      </x:c>
      <x:c r="Z2557" t="str">
        <x:v>https://snpmb.id/utbk-snbt/daya-tampung-snbt</x:v>
      </x:c>
      <x:c r="AA2557" t="str">
        <x:v>Tidak Ada</x:v>
      </x:c>
      <x:c r="AB2557" t="str">
        <x:v>Campus=55; Ratio=4.5; Prodi=50; RelDemand=11.1; Capacity=70.0</x:v>
      </x:c>
    </x:row>
    <x:row r="2558">
      <x:c r="A2558" t="n">
        <x:v>2555</x:v>
      </x:c>
      <x:c r="B2558" t="str">
        <x:v>PTN Akademik</x:v>
      </x:c>
      <x:c r="C2558" t="str">
        <x:v>UNIVERSITAS TANJUNGPURA</x:v>
      </x:c>
      <x:c r="D2558" t="str">
        <x:v>FISIKA</x:v>
      </x:c>
      <x:c r="E2558" t="str">
        <x:v>Sarjana</x:v>
      </x:c>
      <x:c r="F2558" s="18" t="n">
        <x:v>28</x:v>
      </x:c>
      <x:c r="G2558" s="18" t="n">
        <x:v>22</x:v>
      </x:c>
      <x:c r="H2558" s="19" t="n">
        <x:v>0.7857142857142857</x:v>
      </x:c>
      <x:c r="I2558" s="18" t="n">
        <x:f>ROUND(MIN(Model_Config_v3!$B$6,MAX(Q2558,R2558,S2558*Model_Config_v3!$B$4+T2558*Model_Config_v3!$B$5)),0)</x:f>
        <x:v>601</x:v>
      </x:c>
      <x:c r="J2558" s="18" t="n">
        <x:f>MIN(Model_Config_v3!$B$6,I2558+Model_Config_v3!$B$7)</x:f>
        <x:v>621</x:v>
      </x:c>
      <x:c r="K2558" s="20" t="n">
        <x:v>37.6</x:v>
      </x:c>
      <x:c r="L2558" t="str">
        <x:v>RELATIF LONGGAR</x:v>
      </x:c>
      <x:c r="M2558" t="str">
        <x:v>SEDANG+</x:v>
      </x:c>
      <x:c r="N2558" t="str">
        <x:v>REGULER</x:v>
      </x:c>
      <x:c r="O2558" t="str">
        <x:v>SAINTEK</x:v>
      </x:c>
      <x:c r="P2558" t="str">
        <x:v>SAINS DASAR</x:v>
      </x:c>
      <x:c r="Q2558" s="18" t="n">
        <x:v>0</x:v>
      </x:c>
      <x:c r="R2558" s="18" t="n">
        <x:v>0</x:v>
      </x:c>
      <x:c r="S2558" s="18" t="n">
        <x:v>520</x:v>
      </x:c>
      <x:c r="T2558" s="18" t="n">
        <x:v>635</x:v>
      </x:c>
      <x:c r="U2558" s="18" t="n">
        <x:v>520</x:v>
      </x:c>
      <x:c r="V2558" s="20" t="n">
        <x:v>12</x:v>
      </x:c>
      <x:c r="W2558" s="20" t="n">
        <x:v>5</x:v>
      </x:c>
      <x:c r="X2558" s="20" t="n">
        <x:v>3</x:v>
      </x:c>
      <x:c r="Y2558" t="str">
        <x:v>Basis arsip 2025/2024</x:v>
      </x:c>
      <x:c r="Z2558" t="str">
        <x:v>https://snpmb.id/utbk-snbt/daya-tampung-snbt</x:v>
      </x:c>
      <x:c r="AA2558" t="str">
        <x:v>Tidak Ada</x:v>
      </x:c>
      <x:c r="AB2558" t="str">
        <x:v>Campus=55; Ratio=0.0; Prodi=50; RelDemand=7.3; Capacity=76.7</x:v>
      </x:c>
    </x:row>
    <x:row r="2559">
      <x:c r="A2559" t="n">
        <x:v>2556</x:v>
      </x:c>
      <x:c r="B2559" t="str">
        <x:v>PTN Akademik</x:v>
      </x:c>
      <x:c r="C2559" t="str">
        <x:v>UNIVERSITAS TANJUNGPURA</x:v>
      </x:c>
      <x:c r="D2559" t="str">
        <x:v>KIMIA</x:v>
      </x:c>
      <x:c r="E2559" t="str">
        <x:v>Sarjana</x:v>
      </x:c>
      <x:c r="F2559" s="18" t="n">
        <x:v>48</x:v>
      </x:c>
      <x:c r="G2559" s="18" t="n">
        <x:v>43</x:v>
      </x:c>
      <x:c r="H2559" s="19" t="n">
        <x:v>0.8958333333333334</x:v>
      </x:c>
      <x:c r="I2559" s="18" t="n">
        <x:f>ROUND(MIN(Model_Config_v3!$B$6,MAX(Q2559,R2559,S2559*Model_Config_v3!$B$4+T2559*Model_Config_v3!$B$5)),0)</x:f>
        <x:v>598</x:v>
      </x:c>
      <x:c r="J2559" s="18" t="n">
        <x:f>MIN(Model_Config_v3!$B$6,I2559+Model_Config_v3!$B$7)</x:f>
        <x:v>618</x:v>
      </x:c>
      <x:c r="K2559" s="20" t="n">
        <x:v>36.1</x:v>
      </x:c>
      <x:c r="L2559" t="str">
        <x:v>RELATIF LONGGAR</x:v>
      </x:c>
      <x:c r="M2559" t="str">
        <x:v>SEDANG+</x:v>
      </x:c>
      <x:c r="N2559" t="str">
        <x:v>REGULER</x:v>
      </x:c>
      <x:c r="O2559" t="str">
        <x:v>SAINTEK</x:v>
      </x:c>
      <x:c r="P2559" t="str">
        <x:v>SAINS DASAR</x:v>
      </x:c>
      <x:c r="Q2559" s="18" t="n">
        <x:v>0</x:v>
      </x:c>
      <x:c r="R2559" s="18" t="n">
        <x:v>0</x:v>
      </x:c>
      <x:c r="S2559" s="18" t="n">
        <x:v>520</x:v>
      </x:c>
      <x:c r="T2559" s="18" t="n">
        <x:v>632</x:v>
      </x:c>
      <x:c r="U2559" s="18" t="n">
        <x:v>520</x:v>
      </x:c>
      <x:c r="V2559" s="20" t="n">
        <x:v>12</x:v>
      </x:c>
      <x:c r="W2559" s="20" t="n">
        <x:v>5</x:v>
      </x:c>
      <x:c r="X2559" s="20" t="n">
        <x:v>3</x:v>
      </x:c>
      <x:c r="Y2559" t="str">
        <x:v>Basis arsip 2025/2024</x:v>
      </x:c>
      <x:c r="Z2559" t="str">
        <x:v>https://snpmb.id/utbk-snbt/daya-tampung-snbt</x:v>
      </x:c>
      <x:c r="AA2559" t="str">
        <x:v>Tidak Ada</x:v>
      </x:c>
      <x:c r="AB2559" t="str">
        <x:v>Campus=55; Ratio=0.0; Prodi=50; RelDemand=8.4; Capacity=60.0</x:v>
      </x:c>
    </x:row>
    <x:row r="2560">
      <x:c r="A2560" t="n">
        <x:v>2557</x:v>
      </x:c>
      <x:c r="B2560" t="str">
        <x:v>PTN Akademik</x:v>
      </x:c>
      <x:c r="C2560" t="str">
        <x:v>UNIVERSITAS TANJUNGPURA</x:v>
      </x:c>
      <x:c r="D2560" t="str">
        <x:v>BIOLOGI</x:v>
      </x:c>
      <x:c r="E2560" t="str">
        <x:v>Sarjana</x:v>
      </x:c>
      <x:c r="F2560" s="18" t="n">
        <x:v>32</x:v>
      </x:c>
      <x:c r="G2560" s="18" t="n">
        <x:v>66</x:v>
      </x:c>
      <x:c r="H2560" s="19" t="n">
        <x:v>2.0625</x:v>
      </x:c>
      <x:c r="I2560" s="18" t="n">
        <x:f>ROUND(MIN(Model_Config_v3!$B$6,MAX(Q2560,R2560,S2560*Model_Config_v3!$B$4+T2560*Model_Config_v3!$B$5)),0)</x:f>
        <x:v>619</x:v>
      </x:c>
      <x:c r="J2560" s="18" t="n">
        <x:f>MIN(Model_Config_v3!$B$6,I2560+Model_Config_v3!$B$7)</x:f>
        <x:v>639</x:v>
      </x:c>
      <x:c r="K2560" s="20" t="n">
        <x:v>43.1</x:v>
      </x:c>
      <x:c r="L2560" t="str">
        <x:v>RELATIF LONGGAR</x:v>
      </x:c>
      <x:c r="M2560" t="str">
        <x:v>SEDANG+</x:v>
      </x:c>
      <x:c r="N2560" t="str">
        <x:v>REGULER</x:v>
      </x:c>
      <x:c r="O2560" t="str">
        <x:v>SAINTEK</x:v>
      </x:c>
      <x:c r="P2560" t="str">
        <x:v>SAINS DASAR</x:v>
      </x:c>
      <x:c r="Q2560" s="18" t="n">
        <x:v>0</x:v>
      </x:c>
      <x:c r="R2560" s="18" t="n">
        <x:v>0</x:v>
      </x:c>
      <x:c r="S2560" s="18" t="n">
        <x:v>554.5833352944159</x:v>
      </x:c>
      <x:c r="T2560" s="18" t="n">
        <x:v>646</x:v>
      </x:c>
      <x:c r="U2560" s="18" t="n">
        <x:v>554.5833352944159</x:v>
      </x:c>
      <x:c r="V2560" s="20" t="n">
        <x:v>12</x:v>
      </x:c>
      <x:c r="W2560" s="20" t="n">
        <x:v>5</x:v>
      </x:c>
      <x:c r="X2560" s="20" t="n">
        <x:v>3</x:v>
      </x:c>
      <x:c r="Y2560" t="str">
        <x:v>Basis arsip 2025/2024</x:v>
      </x:c>
      <x:c r="Z2560" t="str">
        <x:v>https://snpmb.id/utbk-snbt/daya-tampung-snbt</x:v>
      </x:c>
      <x:c r="AA2560" t="str">
        <x:v>Tidak Ada</x:v>
      </x:c>
      <x:c r="AB2560" t="str">
        <x:v>Campus=55; Ratio=18.5; Prodi=50; RelDemand=19.2; Capacity=73.3</x:v>
      </x:c>
    </x:row>
    <x:row r="2561">
      <x:c r="A2561" t="n">
        <x:v>2558</x:v>
      </x:c>
      <x:c r="B2561" t="str">
        <x:v>PTN Akademik</x:v>
      </x:c>
      <x:c r="C2561" t="str">
        <x:v>UNIVERSITAS TANJUNGPURA</x:v>
      </x:c>
      <x:c r="D2561" t="str">
        <x:v>KEDOKTERAN</x:v>
      </x:c>
      <x:c r="E2561" t="str">
        <x:v>Sarjana</x:v>
      </x:c>
      <x:c r="F2561" s="18" t="n">
        <x:v>55</x:v>
      </x:c>
      <x:c r="G2561" s="18" t="n">
        <x:v>772</x:v>
      </x:c>
      <x:c r="H2561" s="19" t="n">
        <x:v>14.036363636363637</x:v>
      </x:c>
      <x:c r="I2561" s="18" t="n">
        <x:f>ROUND(MIN(Model_Config_v3!$B$6,MAX(Q2561,R2561,S2561*Model_Config_v3!$B$4+T2561*Model_Config_v3!$B$5)),0)</x:f>
        <x:v>686</x:v>
      </x:c>
      <x:c r="J2561" s="18" t="n">
        <x:f>MIN(Model_Config_v3!$B$6,I2561+Model_Config_v3!$B$7)</x:f>
        <x:v>706</x:v>
      </x:c>
      <x:c r="K2561" s="20" t="n">
        <x:v>71.5</x:v>
      </x:c>
      <x:c r="L2561" t="str">
        <x:v>SANGAT KETAT</x:v>
      </x:c>
      <x:c r="M2561" t="str">
        <x:v>SEDANG+</x:v>
      </x:c>
      <x:c r="N2561" t="str">
        <x:v>REGULER</x:v>
      </x:c>
      <x:c r="O2561" t="str">
        <x:v>SAINTEK</x:v>
      </x:c>
      <x:c r="P2561" t="str">
        <x:v>KEDOKTERAN</x:v>
      </x:c>
      <x:c r="Q2561" s="18" t="n">
        <x:v>0</x:v>
      </x:c>
      <x:c r="R2561" s="18" t="n">
        <x:v>680</x:v>
      </x:c>
      <x:c r="S2561" s="18" t="n">
        <x:v>646.1980071925641</x:v>
      </x:c>
      <x:c r="T2561" s="18" t="n">
        <x:v>703</x:v>
      </x:c>
      <x:c r="U2561" s="18" t="n">
        <x:v>686.1980071925641</x:v>
      </x:c>
      <x:c r="V2561" s="20" t="n">
        <x:v>12</x:v>
      </x:c>
      <x:c r="W2561" s="20" t="n">
        <x:v>5</x:v>
      </x:c>
      <x:c r="X2561" s="20" t="n">
        <x:v>3</x:v>
      </x:c>
      <x:c r="Y2561" t="str">
        <x:v>Basis arsip 2025/2024</x:v>
      </x:c>
      <x:c r="Z2561" t="str">
        <x:v>https://snpmb.id/utbk-snbt/daya-tampung-snbt</x:v>
      </x:c>
      <x:c r="AA2561" t="str">
        <x:v>Tidak Ada</x:v>
      </x:c>
      <x:c r="AB2561" t="str">
        <x:v>Campus=55; Ratio=67.5; Prodi=100; RelDemand=100.0; Capacity=54.2</x:v>
      </x:c>
    </x:row>
    <x:row r="2562">
      <x:c r="A2562" t="n">
        <x:v>2559</x:v>
      </x:c>
      <x:c r="B2562" t="str">
        <x:v>PTN Akademik</x:v>
      </x:c>
      <x:c r="C2562" t="str">
        <x:v>UNIVERSITAS TANJUNGPURA</x:v>
      </x:c>
      <x:c r="D2562" t="str">
        <x:v>FARMASI</x:v>
      </x:c>
      <x:c r="E2562" t="str">
        <x:v>Sarjana</x:v>
      </x:c>
      <x:c r="F2562" s="18" t="n">
        <x:v>96</x:v>
      </x:c>
      <x:c r="G2562" s="18" t="n">
        <x:v>1077</x:v>
      </x:c>
      <x:c r="H2562" s="19" t="n">
        <x:v>11.21875</x:v>
      </x:c>
      <x:c r="I2562" s="18" t="n">
        <x:f>ROUND(MIN(Model_Config_v3!$B$6,MAX(Q2562,R2562,S2562*Model_Config_v3!$B$4+T2562*Model_Config_v3!$B$5)),0)</x:f>
        <x:v>669</x:v>
      </x:c>
      <x:c r="J2562" s="18" t="n">
        <x:f>MIN(Model_Config_v3!$B$6,I2562+Model_Config_v3!$B$7)</x:f>
        <x:v>689</x:v>
      </x:c>
      <x:c r="K2562" s="20" t="n">
        <x:v>61.7</x:v>
      </x:c>
      <x:c r="L2562" t="str">
        <x:v>KETAT</x:v>
      </x:c>
      <x:c r="M2562" t="str">
        <x:v>SEDANG+</x:v>
      </x:c>
      <x:c r="N2562" t="str">
        <x:v>REGULER</x:v>
      </x:c>
      <x:c r="O2562" t="str">
        <x:v>SAINTEK</x:v>
      </x:c>
      <x:c r="P2562" t="str">
        <x:v>FARMASI</x:v>
      </x:c>
      <x:c r="Q2562" s="18" t="n">
        <x:v>0</x:v>
      </x:c>
      <x:c r="R2562" s="18" t="n">
        <x:v>0</x:v>
      </x:c>
      <x:c r="S2562" s="18" t="n">
        <x:v>635.4938917284254</x:v>
      </x:c>
      <x:c r="T2562" s="18" t="n">
        <x:v>683</x:v>
      </x:c>
      <x:c r="U2562" s="18" t="n">
        <x:v>655.4938917284254</x:v>
      </x:c>
      <x:c r="V2562" s="20" t="n">
        <x:v>12</x:v>
      </x:c>
      <x:c r="W2562" s="20" t="n">
        <x:v>5</x:v>
      </x:c>
      <x:c r="X2562" s="20" t="n">
        <x:v>3</x:v>
      </x:c>
      <x:c r="Y2562" t="str">
        <x:v>Basis arsip 2025/2024</x:v>
      </x:c>
      <x:c r="Z2562" t="str">
        <x:v>https://snpmb.id/utbk-snbt/daya-tampung-snbt</x:v>
      </x:c>
      <x:c r="AA2562" t="str">
        <x:v>Tidak Ada</x:v>
      </x:c>
      <x:c r="AB2562" t="str">
        <x:v>Campus=55; Ratio=61.8; Prodi=75; RelDemand=100.0; Capacity=20.0</x:v>
      </x:c>
    </x:row>
    <x:row r="2563">
      <x:c r="A2563" t="n">
        <x:v>2560</x:v>
      </x:c>
      <x:c r="B2563" t="str">
        <x:v>PTN Akademik</x:v>
      </x:c>
      <x:c r="C2563" t="str">
        <x:v>UNIVERSITAS TANJUNGPURA</x:v>
      </x:c>
      <x:c r="D2563" t="str">
        <x:v>SISTEM KOMPUTER</x:v>
      </x:c>
      <x:c r="E2563" t="str">
        <x:v>Sarjana</x:v>
      </x:c>
      <x:c r="F2563" s="18" t="n">
        <x:v>48</x:v>
      </x:c>
      <x:c r="G2563" s="18" t="n">
        <x:v>331</x:v>
      </x:c>
      <x:c r="H2563" s="19" t="n">
        <x:v>6.895833333333333</x:v>
      </x:c>
      <x:c r="I2563" s="18" t="n">
        <x:f>ROUND(MIN(Model_Config_v3!$B$6,MAX(Q2563,R2563,S2563*Model_Config_v3!$B$4+T2563*Model_Config_v3!$B$5)),0)</x:f>
        <x:v>648</x:v>
      </x:c>
      <x:c r="J2563" s="18" t="n">
        <x:f>MIN(Model_Config_v3!$B$6,I2563+Model_Config_v3!$B$7)</x:f>
        <x:v>668</x:v>
      </x:c>
      <x:c r="K2563" s="20" t="n">
        <x:v>52</x:v>
      </x:c>
      <x:c r="L2563" t="str">
        <x:v>MENENGAH</x:v>
      </x:c>
      <x:c r="M2563" t="str">
        <x:v>SEDANG</x:v>
      </x:c>
      <x:c r="N2563" t="str">
        <x:v>REGULER</x:v>
      </x:c>
      <x:c r="O2563" t="str">
        <x:v>SAINTEK</x:v>
      </x:c>
      <x:c r="P2563" t="str">
        <x:v>UMUM</x:v>
      </x:c>
      <x:c r="Q2563" s="18" t="n">
        <x:v>0</x:v>
      </x:c>
      <x:c r="R2563" s="18" t="n">
        <x:v>0</x:v>
      </x:c>
      <x:c r="S2563" s="18" t="n">
        <x:v>612.2445432040145</x:v>
      </x:c>
      <x:c r="T2563" s="18" t="n">
        <x:v>664</x:v>
      </x:c>
      <x:c r="U2563" s="18" t="n">
        <x:v>612.2445432040145</x:v>
      </x:c>
      <x:c r="V2563" s="20" t="n">
        <x:v>12</x:v>
      </x:c>
      <x:c r="W2563" s="20" t="n">
        <x:v>5</x:v>
      </x:c>
      <x:c r="X2563" s="20" t="n">
        <x:v>3</x:v>
      </x:c>
      <x:c r="Y2563" t="str">
        <x:v>Basis arsip 2025/2024</x:v>
      </x:c>
      <x:c r="Z2563" t="str">
        <x:v>https://snpmb.id/utbk-snbt/daya-tampung-snbt</x:v>
      </x:c>
      <x:c r="AA2563" t="str">
        <x:v>Tidak Ada</x:v>
      </x:c>
      <x:c r="AB2563" t="str">
        <x:v>Campus=55; Ratio=49.4; Prodi=40; RelDemand=64.3; Capacity=60.0</x:v>
      </x:c>
    </x:row>
    <x:row r="2564">
      <x:c r="A2564" t="n">
        <x:v>2561</x:v>
      </x:c>
      <x:c r="B2564" t="str">
        <x:v>PTN Akademik</x:v>
      </x:c>
      <x:c r="C2564" t="str">
        <x:v>UNIVERSITAS TANJUNGPURA</x:v>
      </x:c>
      <x:c r="D2564" t="str">
        <x:v>AGROTEKNOLOGI</x:v>
      </x:c>
      <x:c r="E2564" t="str">
        <x:v>Sarjana</x:v>
      </x:c>
      <x:c r="F2564" s="18" t="n">
        <x:v>150</x:v>
      </x:c>
      <x:c r="G2564" s="18" t="n">
        <x:v>288</x:v>
      </x:c>
      <x:c r="H2564" s="19" t="n">
        <x:v>1.92</x:v>
      </x:c>
      <x:c r="I2564" s="18" t="n">
        <x:f>ROUND(MIN(Model_Config_v3!$B$6,MAX(Q2564,R2564,S2564*Model_Config_v3!$B$4+T2564*Model_Config_v3!$B$5)),0)</x:f>
        <x:v>604</x:v>
      </x:c>
      <x:c r="J2564" s="18" t="n">
        <x:f>MIN(Model_Config_v3!$B$6,I2564+Model_Config_v3!$B$7)</x:f>
        <x:v>624</x:v>
      </x:c>
      <x:c r="K2564" s="20" t="n">
        <x:v>33.2</x:v>
      </x:c>
      <x:c r="L2564" t="str">
        <x:v>RELATIF LONGGAR</x:v>
      </x:c>
      <x:c r="M2564" t="str">
        <x:v>SEDANG</x:v>
      </x:c>
      <x:c r="N2564" t="str">
        <x:v>REGULER</x:v>
      </x:c>
      <x:c r="O2564" t="str">
        <x:v>SAINTEK</x:v>
      </x:c>
      <x:c r="P2564" t="str">
        <x:v>UMUM</x:v>
      </x:c>
      <x:c r="Q2564" s="18" t="n">
        <x:v>0</x:v>
      </x:c>
      <x:c r="R2564" s="18" t="n">
        <x:v>0</x:v>
      </x:c>
      <x:c r="S2564" s="18" t="n">
        <x:v>551.1631351573905</x:v>
      </x:c>
      <x:c r="T2564" s="18" t="n">
        <x:v>626</x:v>
      </x:c>
      <x:c r="U2564" s="18" t="n">
        <x:v>551.1631351573905</x:v>
      </x:c>
      <x:c r="V2564" s="20" t="n">
        <x:v>12</x:v>
      </x:c>
      <x:c r="W2564" s="20" t="n">
        <x:v>5</x:v>
      </x:c>
      <x:c r="X2564" s="20" t="n">
        <x:v>3</x:v>
      </x:c>
      <x:c r="Y2564" t="str">
        <x:v>Basis arsip 2025/2024</x:v>
      </x:c>
      <x:c r="Z2564" t="str">
        <x:v>https://snpmb.id/utbk-snbt/daya-tampung-snbt</x:v>
      </x:c>
      <x:c r="AA2564" t="str">
        <x:v>Tidak Ada</x:v>
      </x:c>
      <x:c r="AB2564" t="str">
        <x:v>Campus=55; Ratio=16.7; Prodi=40; RelDemand=17.9; Capacity=0.0</x:v>
      </x:c>
    </x:row>
    <x:row r="2565">
      <x:c r="A2565" t="n">
        <x:v>2562</x:v>
      </x:c>
      <x:c r="B2565" t="str">
        <x:v>PTN Akademik</x:v>
      </x:c>
      <x:c r="C2565" t="str">
        <x:v>UNIVERSITAS TANJUNGPURA</x:v>
      </x:c>
      <x:c r="D2565" t="str">
        <x:v>KEHUTANAN</x:v>
      </x:c>
      <x:c r="E2565" t="str">
        <x:v>Sarjana</x:v>
      </x:c>
      <x:c r="F2565" s="18" t="n">
        <x:v>208</x:v>
      </x:c>
      <x:c r="G2565" s="18" t="n">
        <x:v>399</x:v>
      </x:c>
      <x:c r="H2565" s="19" t="n">
        <x:v>1.9182692307692308</x:v>
      </x:c>
      <x:c r="I2565" s="18" t="n">
        <x:f>ROUND(MIN(Model_Config_v3!$B$6,MAX(Q2565,R2565,S2565*Model_Config_v3!$B$4+T2565*Model_Config_v3!$B$5)),0)</x:f>
        <x:v>604</x:v>
      </x:c>
      <x:c r="J2565" s="18" t="n">
        <x:f>MIN(Model_Config_v3!$B$6,I2565+Model_Config_v3!$B$7)</x:f>
        <x:v>624</x:v>
      </x:c>
      <x:c r="K2565" s="20" t="n">
        <x:v>33.2</x:v>
      </x:c>
      <x:c r="L2565" t="str">
        <x:v>RELATIF LONGGAR</x:v>
      </x:c>
      <x:c r="M2565" t="str">
        <x:v>SEDANG</x:v>
      </x:c>
      <x:c r="N2565" t="str">
        <x:v>REGULER</x:v>
      </x:c>
      <x:c r="O2565" t="str">
        <x:v>CAMPURAN</x:v>
      </x:c>
      <x:c r="P2565" t="str">
        <x:v>UMUM</x:v>
      </x:c>
      <x:c r="Q2565" s="18" t="n">
        <x:v>0</x:v>
      </x:c>
      <x:c r="R2565" s="18" t="n">
        <x:v>0</x:v>
      </x:c>
      <x:c r="S2565" s="18" t="n">
        <x:v>551.1200516796386</x:v>
      </x:c>
      <x:c r="T2565" s="18" t="n">
        <x:v>626</x:v>
      </x:c>
      <x:c r="U2565" s="18" t="n">
        <x:v>551.1200516796386</x:v>
      </x:c>
      <x:c r="V2565" s="20" t="n">
        <x:v>8.8</x:v>
      </x:c>
      <x:c r="W2565" s="20" t="n">
        <x:v>9.9</x:v>
      </x:c>
      <x:c r="X2565" s="20" t="n">
        <x:v>3.3</x:v>
      </x:c>
      <x:c r="Y2565" t="str">
        <x:v>Basis arsip 2025/2024</x:v>
      </x:c>
      <x:c r="Z2565" t="str">
        <x:v>https://snpmb.id/utbk-snbt/daya-tampung-snbt</x:v>
      </x:c>
      <x:c r="AA2565" t="str">
        <x:v>Tidak Ada</x:v>
      </x:c>
      <x:c r="AB2565" t="str">
        <x:v>Campus=55; Ratio=16.7; Prodi=40; RelDemand=17.9; Capacity=0.0</x:v>
      </x:c>
    </x:row>
    <x:row r="2566">
      <x:c r="A2566" t="n">
        <x:v>2563</x:v>
      </x:c>
      <x:c r="B2566" t="str">
        <x:v>PTN Akademik</x:v>
      </x:c>
      <x:c r="C2566" t="str">
        <x:v>UNIVERSITAS TANJUNGPURA</x:v>
      </x:c>
      <x:c r="D2566" t="str">
        <x:v>KEPERAWATAN</x:v>
      </x:c>
      <x:c r="E2566" t="str">
        <x:v>Sarjana</x:v>
      </x:c>
      <x:c r="F2566" s="18" t="n">
        <x:v>73</x:v>
      </x:c>
      <x:c r="G2566" s="18" t="n">
        <x:v>746</x:v>
      </x:c>
      <x:c r="H2566" s="19" t="n">
        <x:v>10.219178082191782</x:v>
      </x:c>
      <x:c r="I2566" s="18" t="n">
        <x:f>ROUND(MIN(Model_Config_v3!$B$6,MAX(Q2566,R2566,S2566*Model_Config_v3!$B$4+T2566*Model_Config_v3!$B$5)),0)</x:f>
        <x:v>663</x:v>
      </x:c>
      <x:c r="J2566" s="18" t="n">
        <x:f>MIN(Model_Config_v3!$B$6,I2566+Model_Config_v3!$B$7)</x:f>
        <x:v>683</x:v>
      </x:c>
      <x:c r="K2566" s="20" t="n">
        <x:v>58.5</x:v>
      </x:c>
      <x:c r="L2566" t="str">
        <x:v>KETAT</x:v>
      </x:c>
      <x:c r="M2566" t="str">
        <x:v>SEDANG+</x:v>
      </x:c>
      <x:c r="N2566" t="str">
        <x:v>REGULER</x:v>
      </x:c>
      <x:c r="O2566" t="str">
        <x:v>SAINTEK</x:v>
      </x:c>
      <x:c r="P2566" t="str">
        <x:v>KESEHAT/GIZI/KEPERAWATAN</x:v>
      </x:c>
      <x:c r="Q2566" s="18" t="n">
        <x:v>0</x:v>
      </x:c>
      <x:c r="R2566" s="18" t="n">
        <x:v>0</x:v>
      </x:c>
      <x:c r="S2566" s="18" t="n">
        <x:v>631.0357564087434</x:v>
      </x:c>
      <x:c r="T2566" s="18" t="n">
        <x:v>677</x:v>
      </x:c>
      <x:c r="U2566" s="18" t="n">
        <x:v>631.0357564087434</x:v>
      </x:c>
      <x:c r="V2566" s="20" t="n">
        <x:v>12</x:v>
      </x:c>
      <x:c r="W2566" s="20" t="n">
        <x:v>5</x:v>
      </x:c>
      <x:c r="X2566" s="20" t="n">
        <x:v>3</x:v>
      </x:c>
      <x:c r="Y2566" t="str">
        <x:v>Basis arsip 2025/2024</x:v>
      </x:c>
      <x:c r="Z2566" t="str">
        <x:v>https://snpmb.id/utbk-snbt/daya-tampung-snbt</x:v>
      </x:c>
      <x:c r="AA2566" t="str">
        <x:v>Tidak Ada</x:v>
      </x:c>
      <x:c r="AB2566" t="str">
        <x:v>Campus=55; Ratio=59.4; Prodi=55; RelDemand=95.3; Capacity=39.2</x:v>
      </x:c>
    </x:row>
    <x:row r="2567">
      <x:c r="A2567" t="n">
        <x:v>2564</x:v>
      </x:c>
      <x:c r="B2567" t="str">
        <x:v>PTN Akademik</x:v>
      </x:c>
      <x:c r="C2567" t="str">
        <x:v>UNIVERSITAS TANJUNGPURA</x:v>
      </x:c>
      <x:c r="D2567" t="str">
        <x:v>GEOFISIKA</x:v>
      </x:c>
      <x:c r="E2567" t="str">
        <x:v>Sarjana</x:v>
      </x:c>
      <x:c r="F2567" s="18" t="n">
        <x:v>28</x:v>
      </x:c>
      <x:c r="G2567" s="18" t="n">
        <x:v>38</x:v>
      </x:c>
      <x:c r="H2567" s="19" t="n">
        <x:v>1.3571428571428572</x:v>
      </x:c>
      <x:c r="I2567" s="18" t="n">
        <x:f>ROUND(MIN(Model_Config_v3!$B$6,MAX(Q2567,R2567,S2567*Model_Config_v3!$B$4+T2567*Model_Config_v3!$B$5)),0)</x:f>
        <x:v>608</x:v>
      </x:c>
      <x:c r="J2567" s="18" t="n">
        <x:f>MIN(Model_Config_v3!$B$6,I2567+Model_Config_v3!$B$7)</x:f>
        <x:v>628</x:v>
      </x:c>
      <x:c r="K2567" s="20" t="n">
        <x:v>40.1</x:v>
      </x:c>
      <x:c r="L2567" t="str">
        <x:v>RELATIF LONGGAR</x:v>
      </x:c>
      <x:c r="M2567" t="str">
        <x:v>SEDANG+</x:v>
      </x:c>
      <x:c r="N2567" t="str">
        <x:v>REGULER</x:v>
      </x:c>
      <x:c r="O2567" t="str">
        <x:v>SAINTEK</x:v>
      </x:c>
      <x:c r="P2567" t="str">
        <x:v>SAINS DASAR</x:v>
      </x:c>
      <x:c r="Q2567" s="18" t="n">
        <x:v>0</x:v>
      </x:c>
      <x:c r="R2567" s="18" t="n">
        <x:v>0</x:v>
      </x:c>
      <x:c r="S2567" s="18" t="n">
        <x:v>534.588812180205</x:v>
      </x:c>
      <x:c r="T2567" s="18" t="n">
        <x:v>640</x:v>
      </x:c>
      <x:c r="U2567" s="18" t="n">
        <x:v>534.588812180205</x:v>
      </x:c>
      <x:c r="V2567" s="20" t="n">
        <x:v>12</x:v>
      </x:c>
      <x:c r="W2567" s="20" t="n">
        <x:v>5</x:v>
      </x:c>
      <x:c r="X2567" s="20" t="n">
        <x:v>3</x:v>
      </x:c>
      <x:c r="Y2567" t="str">
        <x:v>Basis arsip 2025/2024</x:v>
      </x:c>
      <x:c r="Z2567" t="str">
        <x:v>https://snpmb.id/utbk-snbt/daya-tampung-snbt</x:v>
      </x:c>
      <x:c r="AA2567" t="str">
        <x:v>Tidak Ada</x:v>
      </x:c>
      <x:c r="AB2567" t="str">
        <x:v>Campus=55; Ratio=7.8; Prodi=50; RelDemand=12.7; Capacity=76.7</x:v>
      </x:c>
    </x:row>
    <x:row r="2568">
      <x:c r="A2568" t="n">
        <x:v>2565</x:v>
      </x:c>
      <x:c r="B2568" t="str">
        <x:v>PTN Akademik</x:v>
      </x:c>
      <x:c r="C2568" t="str">
        <x:v>UNIVERSITAS TANJUNGPURA</x:v>
      </x:c>
      <x:c r="D2568" t="str">
        <x:v>ILMU KELAUTAN</x:v>
      </x:c>
      <x:c r="E2568" t="str">
        <x:v>Sarjana</x:v>
      </x:c>
      <x:c r="F2568" s="18" t="n">
        <x:v>36</x:v>
      </x:c>
      <x:c r="G2568" s="18" t="n">
        <x:v>38</x:v>
      </x:c>
      <x:c r="H2568" s="19" t="n">
        <x:v>1.0555555555555556</x:v>
      </x:c>
      <x:c r="I2568" s="18" t="n">
        <x:f>ROUND(MIN(Model_Config_v3!$B$6,MAX(Q2568,R2568,S2568*Model_Config_v3!$B$4+T2568*Model_Config_v3!$B$5)),0)</x:f>
        <x:v>598</x:v>
      </x:c>
      <x:c r="J2568" s="18" t="n">
        <x:f>MIN(Model_Config_v3!$B$6,I2568+Model_Config_v3!$B$7)</x:f>
        <x:v>618</x:v>
      </x:c>
      <x:c r="K2568" s="20" t="n">
        <x:v>35.6</x:v>
      </x:c>
      <x:c r="L2568" t="str">
        <x:v>RELATIF LONGGAR</x:v>
      </x:c>
      <x:c r="M2568" t="str">
        <x:v>SEDANG</x:v>
      </x:c>
      <x:c r="N2568" t="str">
        <x:v>REGULER</x:v>
      </x:c>
      <x:c r="O2568" t="str">
        <x:v>SAINTEK</x:v>
      </x:c>
      <x:c r="P2568" t="str">
        <x:v>UMUM</x:v>
      </x:c>
      <x:c r="Q2568" s="18" t="n">
        <x:v>0</x:v>
      </x:c>
      <x:c r="R2568" s="18" t="n">
        <x:v>0</x:v>
      </x:c>
      <x:c r="S2568" s="18" t="n">
        <x:v>522.5829205434475</x:v>
      </x:c>
      <x:c r="T2568" s="18" t="n">
        <x:v>631</x:v>
      </x:c>
      <x:c r="U2568" s="18" t="n">
        <x:v>522.5829205434475</x:v>
      </x:c>
      <x:c r="V2568" s="20" t="n">
        <x:v>12</x:v>
      </x:c>
      <x:c r="W2568" s="20" t="n">
        <x:v>5</x:v>
      </x:c>
      <x:c r="X2568" s="20" t="n">
        <x:v>3</x:v>
      </x:c>
      <x:c r="Y2568" t="str">
        <x:v>Basis arsip 2025/2024</x:v>
      </x:c>
      <x:c r="Z2568" t="str">
        <x:v>https://snpmb.id/utbk-snbt/daya-tampung-snbt</x:v>
      </x:c>
      <x:c r="AA2568" t="str">
        <x:v>Tidak Ada</x:v>
      </x:c>
      <x:c r="AB2568" t="str">
        <x:v>Campus=55; Ratio=1.4; Prodi=40; RelDemand=9.8; Capacity=70.0</x:v>
      </x:c>
    </x:row>
    <x:row r="2569">
      <x:c r="A2569" t="n">
        <x:v>2566</x:v>
      </x:c>
      <x:c r="B2569" t="str">
        <x:v>PTN Akademik</x:v>
      </x:c>
      <x:c r="C2569" t="str">
        <x:v>UNIVERSITAS TANJUNGPURA</x:v>
      </x:c>
      <x:c r="D2569" t="str">
        <x:v>PERENCANAAN WILAYAH DAN KOTA</x:v>
      </x:c>
      <x:c r="E2569" t="str">
        <x:v>Sarjana</x:v>
      </x:c>
      <x:c r="F2569" s="18" t="n">
        <x:v>30</x:v>
      </x:c>
      <x:c r="G2569" s="18" t="n">
        <x:v>157</x:v>
      </x:c>
      <x:c r="H2569" s="19" t="n">
        <x:v>5.233333333333333</x:v>
      </x:c>
      <x:c r="I2569" s="18" t="n">
        <x:f>ROUND(MIN(Model_Config_v3!$B$6,MAX(Q2569,R2569,S2569*Model_Config_v3!$B$4+T2569*Model_Config_v3!$B$5)),0)</x:f>
        <x:v>642</x:v>
      </x:c>
      <x:c r="J2569" s="18" t="n">
        <x:f>MIN(Model_Config_v3!$B$6,I2569+Model_Config_v3!$B$7)</x:f>
        <x:v>662</x:v>
      </x:c>
      <x:c r="K2569" s="20" t="n">
        <x:v>50.2</x:v>
      </x:c>
      <x:c r="L2569" t="str">
        <x:v>MENENGAH</x:v>
      </x:c>
      <x:c r="M2569" t="str">
        <x:v>SEDANG</x:v>
      </x:c>
      <x:c r="N2569" t="str">
        <x:v>REGULER</x:v>
      </x:c>
      <x:c r="O2569" t="str">
        <x:v>CAMPURAN</x:v>
      </x:c>
      <x:c r="P2569" t="str">
        <x:v>UMUM</x:v>
      </x:c>
      <x:c r="Q2569" s="18" t="n">
        <x:v>0</x:v>
      </x:c>
      <x:c r="R2569" s="18" t="n">
        <x:v>0</x:v>
      </x:c>
      <x:c r="S2569" s="18" t="n">
        <x:v>599.0656237458528</x:v>
      </x:c>
      <x:c r="T2569" s="18" t="n">
        <x:v>660</x:v>
      </x:c>
      <x:c r="U2569" s="18" t="n">
        <x:v>599.0656237458528</x:v>
      </x:c>
      <x:c r="V2569" s="20" t="n">
        <x:v>8.8</x:v>
      </x:c>
      <x:c r="W2569" s="20" t="n">
        <x:v>9.9</x:v>
      </x:c>
      <x:c r="X2569" s="20" t="n">
        <x:v>3.3</x:v>
      </x:c>
      <x:c r="Y2569" t="str">
        <x:v>Basis arsip 2025/2024</x:v>
      </x:c>
      <x:c r="Z2569" t="str">
        <x:v>https://snpmb.id/utbk-snbt/daya-tampung-snbt</x:v>
      </x:c>
      <x:c r="AA2569" t="str">
        <x:v>Tidak Ada</x:v>
      </x:c>
      <x:c r="AB2569" t="str">
        <x:v>Campus=55; Ratio=42.3; Prodi=40; RelDemand=48.8; Capacity=75.0</x:v>
      </x:c>
    </x:row>
    <x:row r="2570">
      <x:c r="A2570" t="n">
        <x:v>2567</x:v>
      </x:c>
      <x:c r="B2570" t="str">
        <x:v>PTN Akademik</x:v>
      </x:c>
      <x:c r="C2570" t="str">
        <x:v>UNIVERSITAS TANJUNGPURA</x:v>
      </x:c>
      <x:c r="D2570" t="str">
        <x:v>ILMU DAN TEKNOLOGI PANGAN</x:v>
      </x:c>
      <x:c r="E2570" t="str">
        <x:v>Sarjana</x:v>
      </x:c>
      <x:c r="F2570" s="18" t="n">
        <x:v>50</x:v>
      </x:c>
      <x:c r="G2570" s="18" t="n">
        <x:v>166</x:v>
      </x:c>
      <x:c r="H2570" s="19" t="n">
        <x:v>3.32</x:v>
      </x:c>
      <x:c r="I2570" s="18" t="n">
        <x:f>ROUND(MIN(Model_Config_v3!$B$6,MAX(Q2570,R2570,S2570*Model_Config_v3!$B$4+T2570*Model_Config_v3!$B$5)),0)</x:f>
        <x:v>627</x:v>
      </x:c>
      <x:c r="J2570" s="18" t="n">
        <x:f>MIN(Model_Config_v3!$B$6,I2570+Model_Config_v3!$B$7)</x:f>
        <x:v>647</x:v>
      </x:c>
      <x:c r="K2570" s="20" t="n">
        <x:v>43.8</x:v>
      </x:c>
      <x:c r="L2570" t="str">
        <x:v>RELATIF LONGGAR</x:v>
      </x:c>
      <x:c r="M2570" t="str">
        <x:v>SEDANG</x:v>
      </x:c>
      <x:c r="N2570" t="str">
        <x:v>REGULER</x:v>
      </x:c>
      <x:c r="O2570" t="str">
        <x:v>SAINTEK</x:v>
      </x:c>
      <x:c r="P2570" t="str">
        <x:v>UMUM</x:v>
      </x:c>
      <x:c r="Q2570" s="18" t="n">
        <x:v>0</x:v>
      </x:c>
      <x:c r="R2570" s="18" t="n">
        <x:v>0</x:v>
      </x:c>
      <x:c r="S2570" s="18" t="n">
        <x:v>577.3251892074439</x:v>
      </x:c>
      <x:c r="T2570" s="18" t="n">
        <x:v>648</x:v>
      </x:c>
      <x:c r="U2570" s="18" t="n">
        <x:v>577.3251892074439</x:v>
      </x:c>
      <x:c r="V2570" s="20" t="n">
        <x:v>12</x:v>
      </x:c>
      <x:c r="W2570" s="20" t="n">
        <x:v>5</x:v>
      </x:c>
      <x:c r="X2570" s="20" t="n">
        <x:v>3</x:v>
      </x:c>
      <x:c r="Y2570" t="str">
        <x:v>Basis arsip 2025/2024</x:v>
      </x:c>
      <x:c r="Z2570" t="str">
        <x:v>https://snpmb.id/utbk-snbt/daya-tampung-snbt</x:v>
      </x:c>
      <x:c r="AA2570" t="str">
        <x:v>Tidak Ada</x:v>
      </x:c>
      <x:c r="AB2570" t="str">
        <x:v>Campus=55; Ratio=30.7; Prodi=40; RelDemand=31.0; Capacity=58.3</x:v>
      </x:c>
    </x:row>
    <x:row r="2571">
      <x:c r="A2571" t="n">
        <x:v>2568</x:v>
      </x:c>
      <x:c r="B2571" t="str">
        <x:v>PTN Akademik</x:v>
      </x:c>
      <x:c r="C2571" t="str">
        <x:v>UNIVERSITAS TANJUNGPURA</x:v>
      </x:c>
      <x:c r="D2571" t="str">
        <x:v>TEKNIK PERTAMBANGAN</x:v>
      </x:c>
      <x:c r="E2571" t="str">
        <x:v>Sarjana</x:v>
      </x:c>
      <x:c r="F2571" s="18" t="n">
        <x:v>40</x:v>
      </x:c>
      <x:c r="G2571" s="18" t="n">
        <x:v>330</x:v>
      </x:c>
      <x:c r="H2571" s="19" t="n">
        <x:v>8.25</x:v>
      </x:c>
      <x:c r="I2571" s="18" t="n">
        <x:f>ROUND(MIN(Model_Config_v3!$B$6,MAX(Q2571,R2571,S2571*Model_Config_v3!$B$4+T2571*Model_Config_v3!$B$5)),0)</x:f>
        <x:v>661</x:v>
      </x:c>
      <x:c r="J2571" s="18" t="n">
        <x:f>MIN(Model_Config_v3!$B$6,I2571+Model_Config_v3!$B$7)</x:f>
        <x:v>681</x:v>
      </x:c>
      <x:c r="K2571" s="20" t="n">
        <x:v>59.1</x:v>
      </x:c>
      <x:c r="L2571" t="str">
        <x:v>KETAT</x:v>
      </x:c>
      <x:c r="M2571" t="str">
        <x:v>SEDANG+</x:v>
      </x:c>
      <x:c r="N2571" t="str">
        <x:v>REGULER</x:v>
      </x:c>
      <x:c r="O2571" t="str">
        <x:v>SAINTEK</x:v>
      </x:c>
      <x:c r="P2571" t="str">
        <x:v>TEKNIK/ARSITEKTUR/STATISTIKA/AKTUARIA</x:v>
      </x:c>
      <x:c r="Q2571" s="18" t="n">
        <x:v>0</x:v>
      </x:c>
      <x:c r="R2571" s="18" t="n">
        <x:v>0</x:v>
      </x:c>
      <x:c r="S2571" s="18" t="n">
        <x:v>620.8099343404917</x:v>
      </x:c>
      <x:c r="T2571" s="18" t="n">
        <x:v>678</x:v>
      </x:c>
      <x:c r="U2571" s="18" t="n">
        <x:v>630.8099343404917</x:v>
      </x:c>
      <x:c r="V2571" s="20" t="n">
        <x:v>12</x:v>
      </x:c>
      <x:c r="W2571" s="20" t="n">
        <x:v>5</x:v>
      </x:c>
      <x:c r="X2571" s="20" t="n">
        <x:v>3</x:v>
      </x:c>
      <x:c r="Y2571" t="str">
        <x:v>Basis arsip 2025/2024</x:v>
      </x:c>
      <x:c r="Z2571" t="str">
        <x:v>https://snpmb.id/utbk-snbt/daya-tampung-snbt</x:v>
      </x:c>
      <x:c r="AA2571" t="str">
        <x:v>Tidak Ada</x:v>
      </x:c>
      <x:c r="AB2571" t="str">
        <x:v>Campus=55; Ratio=53.9; Prodi=60; RelDemand=76.9; Capacity=66.7</x:v>
      </x:c>
    </x:row>
    <x:row r="2572">
      <x:c r="A2572" t="n">
        <x:v>2569</x:v>
      </x:c>
      <x:c r="B2572" t="str">
        <x:v>PTN Akademik</x:v>
      </x:c>
      <x:c r="C2572" t="str">
        <x:v>UNIVERSITAS TANJUNGPURA</x:v>
      </x:c>
      <x:c r="D2572" t="str">
        <x:v>PETERNAKAN</x:v>
      </x:c>
      <x:c r="E2572" t="str">
        <x:v>Sarjana</x:v>
      </x:c>
      <x:c r="F2572" s="18" t="n">
        <x:v>30</x:v>
      </x:c>
      <x:c r="G2572" s="18" t="n">
        <x:v>57</x:v>
      </x:c>
      <x:c r="H2572" s="19" t="n">
        <x:v>1.9</x:v>
      </x:c>
      <x:c r="I2572" s="18" t="n">
        <x:f>ROUND(MIN(Model_Config_v3!$B$6,MAX(Q2572,R2572,S2572*Model_Config_v3!$B$4+T2572*Model_Config_v3!$B$5)),0)</x:f>
        <x:v>614</x:v>
      </x:c>
      <x:c r="J2572" s="18" t="n">
        <x:f>MIN(Model_Config_v3!$B$6,I2572+Model_Config_v3!$B$7)</x:f>
        <x:v>634</x:v>
      </x:c>
      <x:c r="K2572" s="20" t="n">
        <x:v>40.6</x:v>
      </x:c>
      <x:c r="L2572" t="str">
        <x:v>RELATIF LONGGAR</x:v>
      </x:c>
      <x:c r="M2572" t="str">
        <x:v>SEDANG</x:v>
      </x:c>
      <x:c r="N2572" t="str">
        <x:v>REGULER</x:v>
      </x:c>
      <x:c r="O2572" t="str">
        <x:v>SAINTEK</x:v>
      </x:c>
      <x:c r="P2572" t="str">
        <x:v>UMUM</x:v>
      </x:c>
      <x:c r="Q2572" s="18" t="n">
        <x:v>0</x:v>
      </x:c>
      <x:c r="R2572" s="18" t="n">
        <x:v>0</x:v>
      </x:c>
      <x:c r="S2572" s="18" t="n">
        <x:v>550.6628961048111</x:v>
      </x:c>
      <x:c r="T2572" s="18" t="n">
        <x:v>641</x:v>
      </x:c>
      <x:c r="U2572" s="18" t="n">
        <x:v>550.6628961048111</x:v>
      </x:c>
      <x:c r="V2572" s="20" t="n">
        <x:v>12</x:v>
      </x:c>
      <x:c r="W2572" s="20" t="n">
        <x:v>5</x:v>
      </x:c>
      <x:c r="X2572" s="20" t="n">
        <x:v>3</x:v>
      </x:c>
      <x:c r="Y2572" t="str">
        <x:v>Basis arsip 2025/2024</x:v>
      </x:c>
      <x:c r="Z2572" t="str">
        <x:v>https://snpmb.id/utbk-snbt/daya-tampung-snbt</x:v>
      </x:c>
      <x:c r="AA2572" t="str">
        <x:v>Tidak Ada</x:v>
      </x:c>
      <x:c r="AB2572" t="str">
        <x:v>Campus=55; Ratio=16.4; Prodi=40; RelDemand=17.7; Capacity=75.0</x:v>
      </x:c>
    </x:row>
    <x:row r="2573">
      <x:c r="A2573" t="n">
        <x:v>2570</x:v>
      </x:c>
      <x:c r="B2573" t="str">
        <x:v>PTN Akademik</x:v>
      </x:c>
      <x:c r="C2573" t="str">
        <x:v>UNIVERSITAS TANJUNGPURA</x:v>
      </x:c>
      <x:c r="D2573" t="str">
        <x:v>STATISTIK</x:v>
      </x:c>
      <x:c r="E2573" t="str">
        <x:v>Sarjana</x:v>
      </x:c>
      <x:c r="F2573" s="18" t="n">
        <x:v>36</x:v>
      </x:c>
      <x:c r="G2573" s="18" t="n">
        <x:v>96</x:v>
      </x:c>
      <x:c r="H2573" s="19" t="n">
        <x:v>2.6666666666666665</x:v>
      </x:c>
      <x:c r="I2573" s="18" t="n">
        <x:f>ROUND(MIN(Model_Config_v3!$B$6,MAX(Q2573,R2573,S2573*Model_Config_v3!$B$4+T2573*Model_Config_v3!$B$5)),0)</x:f>
        <x:v>628</x:v>
      </x:c>
      <x:c r="J2573" s="18" t="n">
        <x:f>MIN(Model_Config_v3!$B$6,I2573+Model_Config_v3!$B$7)</x:f>
        <x:v>648</x:v>
      </x:c>
      <x:c r="K2573" s="20" t="n">
        <x:v>47</x:v>
      </x:c>
      <x:c r="L2573" t="str">
        <x:v>MENENGAH</x:v>
      </x:c>
      <x:c r="M2573" t="str">
        <x:v>SEDANG+</x:v>
      </x:c>
      <x:c r="N2573" t="str">
        <x:v>REGULER</x:v>
      </x:c>
      <x:c r="O2573" t="str">
        <x:v>SAINTEK</x:v>
      </x:c>
      <x:c r="P2573" t="str">
        <x:v>TEKNIK/ARSITEKTUR/STATISTIKA/AKTUARIA</x:v>
      </x:c>
      <x:c r="Q2573" s="18" t="n">
        <x:v>0</x:v>
      </x:c>
      <x:c r="R2573" s="18" t="n">
        <x:v>0</x:v>
      </x:c>
      <x:c r="S2573" s="18" t="n">
        <x:v>566.8565605499509</x:v>
      </x:c>
      <x:c r="T2573" s="18" t="n">
        <x:v>654</x:v>
      </x:c>
      <x:c r="U2573" s="18" t="n">
        <x:v>576.8565605499509</x:v>
      </x:c>
      <x:c r="V2573" s="20" t="n">
        <x:v>12</x:v>
      </x:c>
      <x:c r="W2573" s="20" t="n">
        <x:v>5</x:v>
      </x:c>
      <x:c r="X2573" s="20" t="n">
        <x:v>3</x:v>
      </x:c>
      <x:c r="Y2573" t="str">
        <x:v>Basis arsip 2025/2024</x:v>
      </x:c>
      <x:c r="Z2573" t="str">
        <x:v>https://snpmb.id/utbk-snbt/daya-tampung-snbt</x:v>
      </x:c>
      <x:c r="AA2573" t="str">
        <x:v>Tidak Ada</x:v>
      </x:c>
      <x:c r="AB2573" t="str">
        <x:v>Campus=55; Ratio=25.1; Prodi=60; RelDemand=24.9; Capacity=70.0</x:v>
      </x:c>
    </x:row>
    <x:row r="2574">
      <x:c r="A2574" t="n">
        <x:v>2571</x:v>
      </x:c>
      <x:c r="B2574" t="str">
        <x:v>PTN Akademik</x:v>
      </x:c>
      <x:c r="C2574" t="str">
        <x:v>UNIVERSITAS TANJUNGPURA</x:v>
      </x:c>
      <x:c r="D2574" t="str">
        <x:v>TEKNIK KELAUTAN</x:v>
      </x:c>
      <x:c r="E2574" t="str">
        <x:v>Sarjana</x:v>
      </x:c>
      <x:c r="F2574" s="18" t="n">
        <x:v>27</x:v>
      </x:c>
      <x:c r="G2574" s="18" t="n">
        <x:v>42</x:v>
      </x:c>
      <x:c r="H2574" s="19" t="n">
        <x:v>1.5555555555555556</x:v>
      </x:c>
      <x:c r="I2574" s="18" t="n">
        <x:f>ROUND(MIN(Model_Config_v3!$B$6,MAX(Q2574,R2574,S2574*Model_Config_v3!$B$4+T2574*Model_Config_v3!$B$5)),0)</x:f>
        <x:v>615</x:v>
      </x:c>
      <x:c r="J2574" s="18" t="n">
        <x:f>MIN(Model_Config_v3!$B$6,I2574+Model_Config_v3!$B$7)</x:f>
        <x:v>635</x:v>
      </x:c>
      <x:c r="K2574" s="20" t="n">
        <x:v>43.3</x:v>
      </x:c>
      <x:c r="L2574" t="str">
        <x:v>RELATIF LONGGAR</x:v>
      </x:c>
      <x:c r="M2574" t="str">
        <x:v>SEDANG+</x:v>
      </x:c>
      <x:c r="N2574" t="str">
        <x:v>REGULER</x:v>
      </x:c>
      <x:c r="O2574" t="str">
        <x:v>SAINTEK</x:v>
      </x:c>
      <x:c r="P2574" t="str">
        <x:v>TEKNIK/ARSITEKTUR/STATISTIKA/AKTUARIA</x:v>
      </x:c>
      <x:c r="Q2574" s="18" t="n">
        <x:v>0</x:v>
      </x:c>
      <x:c r="R2574" s="18" t="n">
        <x:v>0</x:v>
      </x:c>
      <x:c r="S2574" s="18" t="n">
        <x:v>541.1074078862805</x:v>
      </x:c>
      <x:c r="T2574" s="18" t="n">
        <x:v>647</x:v>
      </x:c>
      <x:c r="U2574" s="18" t="n">
        <x:v>551.1074078862805</x:v>
      </x:c>
      <x:c r="V2574" s="20" t="n">
        <x:v>12</x:v>
      </x:c>
      <x:c r="W2574" s="20" t="n">
        <x:v>5</x:v>
      </x:c>
      <x:c r="X2574" s="20" t="n">
        <x:v>3</x:v>
      </x:c>
      <x:c r="Y2574" t="str">
        <x:v>Basis arsip 2025/2024</x:v>
      </x:c>
      <x:c r="Z2574" t="str">
        <x:v>https://snpmb.id/utbk-snbt/daya-tampung-snbt</x:v>
      </x:c>
      <x:c r="AA2574" t="str">
        <x:v>Tidak Ada</x:v>
      </x:c>
      <x:c r="AB2574" t="str">
        <x:v>Campus=55; Ratio=11.3; Prodi=60; RelDemand=14.5; Capacity=77.5</x:v>
      </x:c>
    </x:row>
    <x:row r="2575">
      <x:c r="A2575" t="n">
        <x:v>2572</x:v>
      </x:c>
      <x:c r="B2575" t="str">
        <x:v>PTN Akademik</x:v>
      </x:c>
      <x:c r="C2575" t="str">
        <x:v>UNIVERSITAS TANJUNGPURA</x:v>
      </x:c>
      <x:c r="D2575" t="str">
        <x:v>TEKNIK KIMIA</x:v>
      </x:c>
      <x:c r="E2575" t="str">
        <x:v>Sarjana</x:v>
      </x:c>
      <x:c r="F2575" s="18" t="n">
        <x:v>30</x:v>
      </x:c>
      <x:c r="G2575" s="18" t="n">
        <x:v>43</x:v>
      </x:c>
      <x:c r="H2575" s="19" t="n">
        <x:v>1.4333333333333333</x:v>
      </x:c>
      <x:c r="I2575" s="18" t="n">
        <x:f>ROUND(MIN(Model_Config_v3!$B$6,MAX(Q2575,R2575,S2575*Model_Config_v3!$B$4+T2575*Model_Config_v3!$B$5)),0)</x:f>
        <x:v>613</x:v>
      </x:c>
      <x:c r="J2575" s="18" t="n">
        <x:f>MIN(Model_Config_v3!$B$6,I2575+Model_Config_v3!$B$7)</x:f>
        <x:v>633</x:v>
      </x:c>
      <x:c r="K2575" s="20" t="n">
        <x:v>42.4</x:v>
      </x:c>
      <x:c r="L2575" t="str">
        <x:v>RELATIF LONGGAR</x:v>
      </x:c>
      <x:c r="M2575" t="str">
        <x:v>SEDANG+</x:v>
      </x:c>
      <x:c r="N2575" t="str">
        <x:v>REGULER</x:v>
      </x:c>
      <x:c r="O2575" t="str">
        <x:v>SAINTEK</x:v>
      </x:c>
      <x:c r="P2575" t="str">
        <x:v>TEKNIK/ARSITEKTUR/STATISTIKA/AKTUARIA</x:v>
      </x:c>
      <x:c r="Q2575" s="18" t="n">
        <x:v>0</x:v>
      </x:c>
      <x:c r="R2575" s="18" t="n">
        <x:v>0</x:v>
      </x:c>
      <x:c r="S2575" s="18" t="n">
        <x:v>537.1981920945916</x:v>
      </x:c>
      <x:c r="T2575" s="18" t="n">
        <x:v>645</x:v>
      </x:c>
      <x:c r="U2575" s="18" t="n">
        <x:v>547.1981920945916</x:v>
      </x:c>
      <x:c r="V2575" s="20" t="n">
        <x:v>12</x:v>
      </x:c>
      <x:c r="W2575" s="20" t="n">
        <x:v>5</x:v>
      </x:c>
      <x:c r="X2575" s="20" t="n">
        <x:v>3</x:v>
      </x:c>
      <x:c r="Y2575" t="str">
        <x:v>Basis arsip 2025/2024</x:v>
      </x:c>
      <x:c r="Z2575" t="str">
        <x:v>https://snpmb.id/utbk-snbt/daya-tampung-snbt</x:v>
      </x:c>
      <x:c r="AA2575" t="str">
        <x:v>Tidak Ada</x:v>
      </x:c>
      <x:c r="AB2575" t="str">
        <x:v>Campus=55; Ratio=9.2; Prodi=60; RelDemand=13.4; Capacity=75.0</x:v>
      </x:c>
    </x:row>
    <x:row r="2576">
      <x:c r="A2576" t="n">
        <x:v>2573</x:v>
      </x:c>
      <x:c r="B2576" t="str">
        <x:v>PTN Akademik</x:v>
      </x:c>
      <x:c r="C2576" t="str">
        <x:v>UNIVERSITAS TANJUNGPURA</x:v>
      </x:c>
      <x:c r="D2576" t="str">
        <x:v>TEKNIK MESIN</x:v>
      </x:c>
      <x:c r="E2576" t="str">
        <x:v>Sarjana</x:v>
      </x:c>
      <x:c r="F2576" s="18" t="n">
        <x:v>28</x:v>
      </x:c>
      <x:c r="G2576" s="18" t="n">
        <x:v>112</x:v>
      </x:c>
      <x:c r="H2576" s="19" t="n">
        <x:v>4</x:v>
      </x:c>
      <x:c r="I2576" s="18" t="n">
        <x:f>ROUND(MIN(Model_Config_v3!$B$6,MAX(Q2576,R2576,S2576*Model_Config_v3!$B$4+T2576*Model_Config_v3!$B$5)),0)</x:f>
        <x:v>640</x:v>
      </x:c>
      <x:c r="J2576" s="18" t="n">
        <x:f>MIN(Model_Config_v3!$B$6,I2576+Model_Config_v3!$B$7)</x:f>
        <x:v>660</x:v>
      </x:c>
      <x:c r="K2576" s="20" t="n">
        <x:v>51.5</x:v>
      </x:c>
      <x:c r="L2576" t="str">
        <x:v>MENENGAH</x:v>
      </x:c>
      <x:c r="M2576" t="str">
        <x:v>SEDANG+</x:v>
      </x:c>
      <x:c r="N2576" t="str">
        <x:v>REGULER</x:v>
      </x:c>
      <x:c r="O2576" t="str">
        <x:v>SAINTEK</x:v>
      </x:c>
      <x:c r="P2576" t="str">
        <x:v>TEKNIK/ARSITEKTUR/STATISTIKA/AKTUARIA</x:v>
      </x:c>
      <x:c r="Q2576" s="18" t="n">
        <x:v>0</x:v>
      </x:c>
      <x:c r="R2576" s="18" t="n">
        <x:v>0</x:v>
      </x:c>
      <x:c r="S2576" s="18" t="n">
        <x:v>586.2265990460759</x:v>
      </x:c>
      <x:c r="T2576" s="18" t="n">
        <x:v>663</x:v>
      </x:c>
      <x:c r="U2576" s="18" t="n">
        <x:v>596.2265990460759</x:v>
      </x:c>
      <x:c r="V2576" s="20" t="n">
        <x:v>12</x:v>
      </x:c>
      <x:c r="W2576" s="20" t="n">
        <x:v>5</x:v>
      </x:c>
      <x:c r="X2576" s="20" t="n">
        <x:v>3</x:v>
      </x:c>
      <x:c r="Y2576" t="str">
        <x:v>Basis arsip 2025/2024</x:v>
      </x:c>
      <x:c r="Z2576" t="str">
        <x:v>https://snpmb.id/utbk-snbt/daya-tampung-snbt</x:v>
      </x:c>
      <x:c r="AA2576" t="str">
        <x:v>Tidak Ada</x:v>
      </x:c>
      <x:c r="AB2576" t="str">
        <x:v>Campus=55; Ratio=35.4; Prodi=60; RelDemand=37.3; Capacity=76.7</x:v>
      </x:c>
    </x:row>
    <x:row r="2577">
      <x:c r="A2577" t="n">
        <x:v>2574</x:v>
      </x:c>
      <x:c r="B2577" t="str">
        <x:v>PTN Akademik</x:v>
      </x:c>
      <x:c r="C2577" t="str">
        <x:v>UNIVERSITAS TANJUNGPURA</x:v>
      </x:c>
      <x:c r="D2577" t="str">
        <x:v>ILMU TANAH</x:v>
      </x:c>
      <x:c r="E2577" t="str">
        <x:v>Sarjana</x:v>
      </x:c>
      <x:c r="F2577" s="18" t="n">
        <x:v>60</x:v>
      </x:c>
      <x:c r="G2577" s="18" t="n">
        <x:v>98</x:v>
      </x:c>
      <x:c r="H2577" s="19" t="n">
        <x:v>1.6333333333333333</x:v>
      </x:c>
      <x:c r="I2577" s="18" t="n">
        <x:f>ROUND(MIN(Model_Config_v3!$B$6,MAX(Q2577,R2577,S2577*Model_Config_v3!$B$4+T2577*Model_Config_v3!$B$5)),0)</x:f>
        <x:v>607</x:v>
      </x:c>
      <x:c r="J2577" s="18" t="n">
        <x:f>MIN(Model_Config_v3!$B$6,I2577+Model_Config_v3!$B$7)</x:f>
        <x:v>627</x:v>
      </x:c>
      <x:c r="K2577" s="20" t="n">
        <x:v>36.9</x:v>
      </x:c>
      <x:c r="L2577" t="str">
        <x:v>RELATIF LONGGAR</x:v>
      </x:c>
      <x:c r="M2577" t="str">
        <x:v>SEDANG</x:v>
      </x:c>
      <x:c r="N2577" t="str">
        <x:v>REGULER</x:v>
      </x:c>
      <x:c r="O2577" t="str">
        <x:v>CAMPURAN</x:v>
      </x:c>
      <x:c r="P2577" t="str">
        <x:v>UMUM</x:v>
      </x:c>
      <x:c r="Q2577" s="18" t="n">
        <x:v>0</x:v>
      </x:c>
      <x:c r="R2577" s="18" t="n">
        <x:v>0</x:v>
      </x:c>
      <x:c r="S2577" s="18" t="n">
        <x:v>543.4382307839736</x:v>
      </x:c>
      <x:c r="T2577" s="18" t="n">
        <x:v>634</x:v>
      </x:c>
      <x:c r="U2577" s="18" t="n">
        <x:v>543.4382307839736</x:v>
      </x:c>
      <x:c r="V2577" s="20" t="n">
        <x:v>8.8</x:v>
      </x:c>
      <x:c r="W2577" s="20" t="n">
        <x:v>9.9</x:v>
      </x:c>
      <x:c r="X2577" s="20" t="n">
        <x:v>3.3</x:v>
      </x:c>
      <x:c r="Y2577" t="str">
        <x:v>Basis arsip 2025/2024</x:v>
      </x:c>
      <x:c r="Z2577" t="str">
        <x:v>https://snpmb.id/utbk-snbt/daya-tampung-snbt</x:v>
      </x:c>
      <x:c r="AA2577" t="str">
        <x:v>Tidak Ada</x:v>
      </x:c>
      <x:c r="AB2577" t="str">
        <x:v>Campus=55; Ratio=12.5; Prodi=40; RelDemand=15.2; Capacity=50.0</x:v>
      </x:c>
    </x:row>
    <x:row r="2578">
      <x:c r="A2578" t="n">
        <x:v>2575</x:v>
      </x:c>
      <x:c r="B2578" t="str">
        <x:v>PTN Akademik</x:v>
      </x:c>
      <x:c r="C2578" t="str">
        <x:v>UNIVERSITAS TANJUNGPURA</x:v>
      </x:c>
      <x:c r="D2578" t="str">
        <x:v>SISTEM INFORMASI</x:v>
      </x:c>
      <x:c r="E2578" t="str">
        <x:v>Sarjana</x:v>
      </x:c>
      <x:c r="F2578" s="18" t="n">
        <x:v>36</x:v>
      </x:c>
      <x:c r="G2578" s="18" t="n">
        <x:v>467</x:v>
      </x:c>
      <x:c r="H2578" s="19" t="n">
        <x:v>12.972222222222221</x:v>
      </x:c>
      <x:c r="I2578" s="18" t="n">
        <x:f>ROUND(MIN(Model_Config_v3!$B$6,MAX(Q2578,R2578,S2578*Model_Config_v3!$B$4+T2578*Model_Config_v3!$B$5)),0)</x:f>
        <x:v>682</x:v>
      </x:c>
      <x:c r="J2578" s="18" t="n">
        <x:f>MIN(Model_Config_v3!$B$6,I2578+Model_Config_v3!$B$7)</x:f>
        <x:v>702</x:v>
      </x:c>
      <x:c r="K2578" s="20" t="n">
        <x:v>69.6</x:v>
      </x:c>
      <x:c r="L2578" t="str">
        <x:v>SANGAT KETAT</x:v>
      </x:c>
      <x:c r="M2578" t="str">
        <x:v>SEDANG+</x:v>
      </x:c>
      <x:c r="N2578" t="str">
        <x:v>REGULER</x:v>
      </x:c>
      <x:c r="O2578" t="str">
        <x:v>CAMPURAN</x:v>
      </x:c>
      <x:c r="P2578" t="str">
        <x:v>KOMPUTER/INFORMATIKA</x:v>
      </x:c>
      <x:c r="Q2578" s="18" t="n">
        <x:v>0</x:v>
      </x:c>
      <x:c r="R2578" s="18" t="n">
        <x:v>0</x:v>
      </x:c>
      <x:c r="S2578" s="18" t="n">
        <x:v>642.4315817778707</x:v>
      </x:c>
      <x:c r="T2578" s="18" t="n">
        <x:v>699</x:v>
      </x:c>
      <x:c r="U2578" s="18" t="n">
        <x:v>667.4315817778707</x:v>
      </x:c>
      <x:c r="V2578" s="20" t="n">
        <x:v>8.8</x:v>
      </x:c>
      <x:c r="W2578" s="20" t="n">
        <x:v>9.9</x:v>
      </x:c>
      <x:c r="X2578" s="20" t="n">
        <x:v>3.3</x:v>
      </x:c>
      <x:c r="Y2578" t="str">
        <x:v>Basis arsip 2025/2024</x:v>
      </x:c>
      <x:c r="Z2578" t="str">
        <x:v>https://snpmb.id/utbk-snbt/daya-tampung-snbt</x:v>
      </x:c>
      <x:c r="AA2578" t="str">
        <x:v>Tidak Ada</x:v>
      </x:c>
      <x:c r="AB2578" t="str">
        <x:v>Campus=55; Ratio=65.5; Prodi=85; RelDemand=100.0; Capacity=70.0</x:v>
      </x:c>
    </x:row>
    <x:row r="2579">
      <x:c r="A2579" t="n">
        <x:v>2576</x:v>
      </x:c>
      <x:c r="B2579" t="str">
        <x:v>PTN Akademik</x:v>
      </x:c>
      <x:c r="C2579" t="str">
        <x:v>UNIVERSITAS TANJUNGPURA</x:v>
      </x:c>
      <x:c r="D2579" t="str">
        <x:v>MANAJEMEN SUMBER DAYA PERAIRAN</x:v>
      </x:c>
      <x:c r="E2579" t="str">
        <x:v>Sarjana</x:v>
      </x:c>
      <x:c r="F2579" s="18" t="n">
        <x:v>30</x:v>
      </x:c>
      <x:c r="G2579" s="18" t="n">
        <x:v>60</x:v>
      </x:c>
      <x:c r="H2579" s="19" t="n">
        <x:v>2</x:v>
      </x:c>
      <x:c r="I2579" s="18" t="n">
        <x:f>ROUND(MIN(Model_Config_v3!$B$6,MAX(Q2579,R2579,S2579*Model_Config_v3!$B$4+T2579*Model_Config_v3!$B$5)),0)</x:f>
        <x:v>622</x:v>
      </x:c>
      <x:c r="J2579" s="18" t="n">
        <x:f>MIN(Model_Config_v3!$B$6,I2579+Model_Config_v3!$B$7)</x:f>
        <x:v>642</x:v>
      </x:c>
      <x:c r="K2579" s="20" t="n">
        <x:v>46</x:v>
      </x:c>
      <x:c r="L2579" t="str">
        <x:v>MENENGAH</x:v>
      </x:c>
      <x:c r="M2579" t="str">
        <x:v>SEDANG+</x:v>
      </x:c>
      <x:c r="N2579" t="str">
        <x:v>REGULER</x:v>
      </x:c>
      <x:c r="O2579" t="str">
        <x:v>SOSHUM</x:v>
      </x:c>
      <x:c r="P2579" t="str">
        <x:v>BISNIS/EKONOMI/AKUNTANSI</x:v>
      </x:c>
      <x:c r="Q2579" s="18" t="n">
        <x:v>0</x:v>
      </x:c>
      <x:c r="R2579" s="18" t="n">
        <x:v>0</x:v>
      </x:c>
      <x:c r="S2579" s="18" t="n">
        <x:v>553.1132995230379</x:v>
      </x:c>
      <x:c r="T2579" s="18" t="n">
        <x:v>652</x:v>
      </x:c>
      <x:c r="U2579" s="18" t="n">
        <x:v>568.1132995230379</x:v>
      </x:c>
      <x:c r="V2579" s="20" t="n">
        <x:v>4.4</x:v>
      </x:c>
      <x:c r="W2579" s="20" t="n">
        <x:v>14.3</x:v>
      </x:c>
      <x:c r="X2579" s="20" t="n">
        <x:v>3.3</x:v>
      </x:c>
      <x:c r="Y2579" t="str">
        <x:v>Basis arsip 2025/2024</x:v>
      </x:c>
      <x:c r="Z2579" t="str">
        <x:v>https://snpmb.id/utbk-snbt/daya-tampung-snbt</x:v>
      </x:c>
      <x:c r="AA2579" t="str">
        <x:v>Tidak Ada</x:v>
      </x:c>
      <x:c r="AB2579" t="str">
        <x:v>Campus=55; Ratio=17.7; Prodi=65; RelDemand=18.7; Capacity=75.0</x:v>
      </x:c>
    </x:row>
    <x:row r="2580">
      <x:c r="A2580" t="n">
        <x:v>2577</x:v>
      </x:c>
      <x:c r="B2580" t="str">
        <x:v>PTN Akademik</x:v>
      </x:c>
      <x:c r="C2580" t="str">
        <x:v>UNIVERSITAS TANJUNGPURA</x:v>
      </x:c>
      <x:c r="D2580" t="str">
        <x:v>ILMU HUKUM</x:v>
      </x:c>
      <x:c r="E2580" t="str">
        <x:v>Sarjana</x:v>
      </x:c>
      <x:c r="F2580" s="18" t="n">
        <x:v>268</x:v>
      </x:c>
      <x:c r="G2580" s="18" t="n">
        <x:v>1066</x:v>
      </x:c>
      <x:c r="H2580" s="19" t="n">
        <x:v>3.9776119402985075</x:v>
      </x:c>
      <x:c r="I2580" s="18" t="n">
        <x:f>ROUND(MIN(Model_Config_v3!$B$6,MAX(Q2580,R2580,S2580*Model_Config_v3!$B$4+T2580*Model_Config_v3!$B$5)),0)</x:f>
        <x:v>631</x:v>
      </x:c>
      <x:c r="J2580" s="18" t="n">
        <x:f>MIN(Model_Config_v3!$B$6,I2580+Model_Config_v3!$B$7)</x:f>
        <x:v>651</x:v>
      </x:c>
      <x:c r="K2580" s="20" t="n">
        <x:v>44.8</x:v>
      </x:c>
      <x:c r="L2580" t="str">
        <x:v>RELATIF LONGGAR</x:v>
      </x:c>
      <x:c r="M2580" t="str">
        <x:v>SEDANG+</x:v>
      </x:c>
      <x:c r="N2580" t="str">
        <x:v>REGULER</x:v>
      </x:c>
      <x:c r="O2580" t="str">
        <x:v>SOSHUM</x:v>
      </x:c>
      <x:c r="P2580" t="str">
        <x:v>HUKUM</x:v>
      </x:c>
      <x:c r="Q2580" s="18" t="n">
        <x:v>0</x:v>
      </x:c>
      <x:c r="R2580" s="18" t="n">
        <x:v>0</x:v>
      </x:c>
      <x:c r="S2580" s="18" t="n">
        <x:v>585.9584651727941</x:v>
      </x:c>
      <x:c r="T2580" s="18" t="n">
        <x:v>650</x:v>
      </x:c>
      <x:c r="U2580" s="18" t="n">
        <x:v>600.9584651727941</x:v>
      </x:c>
      <x:c r="V2580" s="20" t="n">
        <x:v>4.4</x:v>
      </x:c>
      <x:c r="W2580" s="20" t="n">
        <x:v>14.3</x:v>
      </x:c>
      <x:c r="X2580" s="20" t="n">
        <x:v>3.3</x:v>
      </x:c>
      <x:c r="Y2580" t="str">
        <x:v>Basis arsip 2025/2024</x:v>
      </x:c>
      <x:c r="Z2580" t="str">
        <x:v>https://snpmb.id/utbk-snbt/daya-tampung-snbt</x:v>
      </x:c>
      <x:c r="AA2580" t="str">
        <x:v>Tidak Ada</x:v>
      </x:c>
      <x:c r="AB2580" t="str">
        <x:v>Campus=55; Ratio=35.3; Prodi=65; RelDemand=37.1; Capacity=0.0</x:v>
      </x:c>
    </x:row>
    <x:row r="2581">
      <x:c r="A2581" t="n">
        <x:v>2578</x:v>
      </x:c>
      <x:c r="B2581" t="str">
        <x:v>PTN Akademik</x:v>
      </x:c>
      <x:c r="C2581" t="str">
        <x:v>UNIVERSITAS TANJUNGPURA</x:v>
      </x:c>
      <x:c r="D2581" t="str">
        <x:v>EKONOMI PEMBANGUAN</x:v>
      </x:c>
      <x:c r="E2581" t="str">
        <x:v>Sarjana</x:v>
      </x:c>
      <x:c r="F2581" s="18" t="n">
        <x:v>145</x:v>
      </x:c>
      <x:c r="G2581" s="18" t="n">
        <x:v>367</x:v>
      </x:c>
      <x:c r="H2581" s="19" t="n">
        <x:v>2.5310344827586206</x:v>
      </x:c>
      <x:c r="I2581" s="18" t="n">
        <x:f>ROUND(MIN(Model_Config_v3!$B$6,MAX(Q2581,R2581,S2581*Model_Config_v3!$B$4+T2581*Model_Config_v3!$B$5)),0)</x:f>
        <x:v>611</x:v>
      </x:c>
      <x:c r="J2581" s="18" t="n">
        <x:f>MIN(Model_Config_v3!$B$6,I2581+Model_Config_v3!$B$7)</x:f>
        <x:v>631</x:v>
      </x:c>
      <x:c r="K2581" s="20" t="n">
        <x:v>35.5</x:v>
      </x:c>
      <x:c r="L2581" t="str">
        <x:v>RELATIF LONGGAR</x:v>
      </x:c>
      <x:c r="M2581" t="str">
        <x:v>SEDANG</x:v>
      </x:c>
      <x:c r="N2581" t="str">
        <x:v>REGULER</x:v>
      </x:c>
      <x:c r="O2581" t="str">
        <x:v>SOSHUM</x:v>
      </x:c>
      <x:c r="P2581" t="str">
        <x:v>UMUM</x:v>
      </x:c>
      <x:c r="Q2581" s="18" t="n">
        <x:v>0</x:v>
      </x:c>
      <x:c r="R2581" s="18" t="n">
        <x:v>0</x:v>
      </x:c>
      <x:c r="S2581" s="18" t="n">
        <x:v>564.3627868218825</x:v>
      </x:c>
      <x:c r="T2581" s="18" t="n">
        <x:v>631</x:v>
      </x:c>
      <x:c r="U2581" s="18" t="n">
        <x:v>564.3627868218825</x:v>
      </x:c>
      <x:c r="V2581" s="20" t="n">
        <x:v>4.4</x:v>
      </x:c>
      <x:c r="W2581" s="20" t="n">
        <x:v>14.3</x:v>
      </x:c>
      <x:c r="X2581" s="20" t="n">
        <x:v>3.3</x:v>
      </x:c>
      <x:c r="Y2581" t="str">
        <x:v>Basis arsip 2025/2024</x:v>
      </x:c>
      <x:c r="Z2581" t="str">
        <x:v>https://snpmb.id/utbk-snbt/daya-tampung-snbt</x:v>
      </x:c>
      <x:c r="AA2581" t="str">
        <x:v>Tidak Ada</x:v>
      </x:c>
      <x:c r="AB2581" t="str">
        <x:v>Campus=55; Ratio=23.7; Prodi=40; RelDemand=23.6; Capacity=0.0</x:v>
      </x:c>
    </x:row>
    <x:row r="2582">
      <x:c r="A2582" t="n">
        <x:v>2579</x:v>
      </x:c>
      <x:c r="B2582" t="str">
        <x:v>PTN Akademik</x:v>
      </x:c>
      <x:c r="C2582" t="str">
        <x:v>UNIVERSITAS TANJUNGPURA</x:v>
      </x:c>
      <x:c r="D2582" t="str">
        <x:v>MANAJEMEN</x:v>
      </x:c>
      <x:c r="E2582" t="str">
        <x:v>Sarjana</x:v>
      </x:c>
      <x:c r="F2582" s="18" t="n">
        <x:v>145</x:v>
      </x:c>
      <x:c r="G2582" s="18" t="n">
        <x:v>1637</x:v>
      </x:c>
      <x:c r="H2582" s="19" t="n">
        <x:v>11.289655172413793</x:v>
      </x:c>
      <x:c r="I2582" s="18" t="n">
        <x:f>ROUND(MIN(Model_Config_v3!$B$6,MAX(Q2582,R2582,S2582*Model_Config_v3!$B$4+T2582*Model_Config_v3!$B$5)),0)</x:f>
        <x:v>663</x:v>
      </x:c>
      <x:c r="J2582" s="18" t="n">
        <x:f>MIN(Model_Config_v3!$B$6,I2582+Model_Config_v3!$B$7)</x:f>
        <x:v>683</x:v>
      </x:c>
      <x:c r="K2582" s="20" t="n">
        <x:v>57.7</x:v>
      </x:c>
      <x:c r="L2582" t="str">
        <x:v>KETAT</x:v>
      </x:c>
      <x:c r="M2582" t="str">
        <x:v>SEDANG+</x:v>
      </x:c>
      <x:c r="N2582" t="str">
        <x:v>REGULER</x:v>
      </x:c>
      <x:c r="O2582" t="str">
        <x:v>SOSHUM</x:v>
      </x:c>
      <x:c r="P2582" t="str">
        <x:v>BISNIS/EKONOMI/AKUNTANSI</x:v>
      </x:c>
      <x:c r="Q2582" s="18" t="n">
        <x:v>0</x:v>
      </x:c>
      <x:c r="R2582" s="18" t="n">
        <x:v>0</x:v>
      </x:c>
      <x:c r="S2582" s="18" t="n">
        <x:v>635.7948744894663</x:v>
      </x:c>
      <x:c r="T2582" s="18" t="n">
        <x:v>675</x:v>
      </x:c>
      <x:c r="U2582" s="18" t="n">
        <x:v>650.7948744894663</x:v>
      </x:c>
      <x:c r="V2582" s="20" t="n">
        <x:v>4.4</x:v>
      </x:c>
      <x:c r="W2582" s="20" t="n">
        <x:v>14.3</x:v>
      </x:c>
      <x:c r="X2582" s="20" t="n">
        <x:v>3.3</x:v>
      </x:c>
      <x:c r="Y2582" t="str">
        <x:v>Basis arsip 2025/2024</x:v>
      </x:c>
      <x:c r="Z2582" t="str">
        <x:v>https://snpmb.id/utbk-snbt/daya-tampung-snbt</x:v>
      </x:c>
      <x:c r="AA2582" t="str">
        <x:v>Tidak Ada</x:v>
      </x:c>
      <x:c r="AB2582" t="str">
        <x:v>Campus=55; Ratio=62.0; Prodi=65; RelDemand=100.0; Capacity=0.0</x:v>
      </x:c>
    </x:row>
    <x:row r="2583">
      <x:c r="A2583" t="n">
        <x:v>2580</x:v>
      </x:c>
      <x:c r="B2583" t="str">
        <x:v>PTN Akademik</x:v>
      </x:c>
      <x:c r="C2583" t="str">
        <x:v>UNIVERSITAS TANJUNGPURA</x:v>
      </x:c>
      <x:c r="D2583" t="str">
        <x:v>AKUNTANSI</x:v>
      </x:c>
      <x:c r="E2583" t="str">
        <x:v>Sarjana</x:v>
      </x:c>
      <x:c r="F2583" s="18" t="n">
        <x:v>142</x:v>
      </x:c>
      <x:c r="G2583" s="18" t="n">
        <x:v>959</x:v>
      </x:c>
      <x:c r="H2583" s="19" t="n">
        <x:v>6.753521126760563</x:v>
      </x:c>
      <x:c r="I2583" s="18" t="n">
        <x:f>ROUND(MIN(Model_Config_v3!$B$6,MAX(Q2583,R2583,S2583*Model_Config_v3!$B$4+T2583*Model_Config_v3!$B$5)),0)</x:f>
        <x:v>647</x:v>
      </x:c>
      <x:c r="J2583" s="18" t="n">
        <x:f>MIN(Model_Config_v3!$B$6,I2583+Model_Config_v3!$B$7)</x:f>
        <x:v>667</x:v>
      </x:c>
      <x:c r="K2583" s="20" t="n">
        <x:v>50.8</x:v>
      </x:c>
      <x:c r="L2583" t="str">
        <x:v>MENENGAH</x:v>
      </x:c>
      <x:c r="M2583" t="str">
        <x:v>SEDANG+</x:v>
      </x:c>
      <x:c r="N2583" t="str">
        <x:v>REGULER</x:v>
      </x:c>
      <x:c r="O2583" t="str">
        <x:v>SOSHUM</x:v>
      </x:c>
      <x:c r="P2583" t="str">
        <x:v>BISNIS/EKONOMI/AKUNTANSI</x:v>
      </x:c>
      <x:c r="Q2583" s="18" t="n">
        <x:v>0</x:v>
      </x:c>
      <x:c r="R2583" s="18" t="n">
        <x:v>0</x:v>
      </x:c>
      <x:c r="S2583" s="18" t="n">
        <x:v>611.2483289066367</x:v>
      </x:c>
      <x:c r="T2583" s="18" t="n">
        <x:v>662</x:v>
      </x:c>
      <x:c r="U2583" s="18" t="n">
        <x:v>611.2483289066367</x:v>
      </x:c>
      <x:c r="V2583" s="20" t="n">
        <x:v>4.4</x:v>
      </x:c>
      <x:c r="W2583" s="20" t="n">
        <x:v>14.3</x:v>
      </x:c>
      <x:c r="X2583" s="20" t="n">
        <x:v>3.3</x:v>
      </x:c>
      <x:c r="Y2583" t="str">
        <x:v>Basis arsip 2025/2024</x:v>
      </x:c>
      <x:c r="Z2583" t="str">
        <x:v>https://snpmb.id/utbk-snbt/daya-tampung-snbt</x:v>
      </x:c>
      <x:c r="AA2583" t="str">
        <x:v>Tidak Ada</x:v>
      </x:c>
      <x:c r="AB2583" t="str">
        <x:v>Campus=55; Ratio=48.8; Prodi=65; RelDemand=63.0; Capacity=0.0</x:v>
      </x:c>
    </x:row>
    <x:row r="2584">
      <x:c r="A2584" t="n">
        <x:v>2581</x:v>
      </x:c>
      <x:c r="B2584" t="str">
        <x:v>PTN Akademik</x:v>
      </x:c>
      <x:c r="C2584" t="str">
        <x:v>UNIVERSITAS TANJUNGPURA</x:v>
      </x:c>
      <x:c r="D2584" t="str">
        <x:v>ADMINISTRASI PUBLIK</x:v>
      </x:c>
      <x:c r="E2584" t="str">
        <x:v>Sarjana</x:v>
      </x:c>
      <x:c r="F2584" s="18" t="n">
        <x:v>58</x:v>
      </x:c>
      <x:c r="G2584" s="18" t="n">
        <x:v>682</x:v>
      </x:c>
      <x:c r="H2584" s="19" t="n">
        <x:v>11.758620689655173</x:v>
      </x:c>
      <x:c r="I2584" s="18" t="n">
        <x:f>ROUND(MIN(Model_Config_v3!$B$6,MAX(Q2584,R2584,S2584*Model_Config_v3!$B$4+T2584*Model_Config_v3!$B$5)),0)</x:f>
        <x:v>665</x:v>
      </x:c>
      <x:c r="J2584" s="18" t="n">
        <x:f>MIN(Model_Config_v3!$B$6,I2584+Model_Config_v3!$B$7)</x:f>
        <x:v>685</x:v>
      </x:c>
      <x:c r="K2584" s="20" t="n">
        <x:v>58.2</x:v>
      </x:c>
      <x:c r="L2584" t="str">
        <x:v>KETAT</x:v>
      </x:c>
      <x:c r="M2584" t="str">
        <x:v>SEDANG</x:v>
      </x:c>
      <x:c r="N2584" t="str">
        <x:v>REGULER</x:v>
      </x:c>
      <x:c r="O2584" t="str">
        <x:v>SOSHUM</x:v>
      </x:c>
      <x:c r="P2584" t="str">
        <x:v>UMUM</x:v>
      </x:c>
      <x:c r="Q2584" s="18" t="n">
        <x:v>0</x:v>
      </x:c>
      <x:c r="R2584" s="18" t="n">
        <x:v>0</x:v>
      </x:c>
      <x:c r="S2584" s="18" t="n">
        <x:v>637.7392019202896</x:v>
      </x:c>
      <x:c r="T2584" s="18" t="n">
        <x:v>676</x:v>
      </x:c>
      <x:c r="U2584" s="18" t="n">
        <x:v>637.7392019202896</x:v>
      </x:c>
      <x:c r="V2584" s="20" t="n">
        <x:v>4.4</x:v>
      </x:c>
      <x:c r="W2584" s="20" t="n">
        <x:v>14.3</x:v>
      </x:c>
      <x:c r="X2584" s="20" t="n">
        <x:v>3.3</x:v>
      </x:c>
      <x:c r="Y2584" t="str">
        <x:v>Basis arsip 2025/2024</x:v>
      </x:c>
      <x:c r="Z2584" t="str">
        <x:v>https://snpmb.id/utbk-snbt/daya-tampung-snbt</x:v>
      </x:c>
      <x:c r="AA2584" t="str">
        <x:v>Tidak Ada</x:v>
      </x:c>
      <x:c r="AB2584" t="str">
        <x:v>Campus=55; Ratio=63.0; Prodi=40; RelDemand=100.0; Capacity=51.7</x:v>
      </x:c>
    </x:row>
    <x:row r="2585">
      <x:c r="A2585" t="n">
        <x:v>2582</x:v>
      </x:c>
      <x:c r="B2585" t="str">
        <x:v>PTN Akademik</x:v>
      </x:c>
      <x:c r="C2585" t="str">
        <x:v>UNIVERSITAS TANJUNGPURA</x:v>
      </x:c>
      <x:c r="D2585" t="str">
        <x:v>PEMBANGUNAN SOSIAL</x:v>
      </x:c>
      <x:c r="E2585" t="str">
        <x:v>Sarjana</x:v>
      </x:c>
      <x:c r="F2585" s="18" t="n">
        <x:v>56</x:v>
      </x:c>
      <x:c r="G2585" s="18" t="n">
        <x:v>96</x:v>
      </x:c>
      <x:c r="H2585" s="19" t="n">
        <x:v>1.7142857142857142</x:v>
      </x:c>
      <x:c r="I2585" s="18" t="n">
        <x:f>ROUND(MIN(Model_Config_v3!$B$6,MAX(Q2585,R2585,S2585*Model_Config_v3!$B$4+T2585*Model_Config_v3!$B$5)),0)</x:f>
        <x:v>608</x:v>
      </x:c>
      <x:c r="J2585" s="18" t="n">
        <x:f>MIN(Model_Config_v3!$B$6,I2585+Model_Config_v3!$B$7)</x:f>
        <x:v>628</x:v>
      </x:c>
      <x:c r="K2585" s="20" t="n">
        <x:v>37.6</x:v>
      </x:c>
      <x:c r="L2585" t="str">
        <x:v>RELATIF LONGGAR</x:v>
      </x:c>
      <x:c r="M2585" t="str">
        <x:v>SEDANG</x:v>
      </x:c>
      <x:c r="N2585" t="str">
        <x:v>REGULER</x:v>
      </x:c>
      <x:c r="O2585" t="str">
        <x:v>CAMPURAN</x:v>
      </x:c>
      <x:c r="P2585" t="str">
        <x:v>UMUM</x:v>
      </x:c>
      <x:c r="Q2585" s="18" t="n">
        <x:v>0</x:v>
      </x:c>
      <x:c r="R2585" s="18" t="n">
        <x:v>0</x:v>
      </x:c>
      <x:c r="S2585" s="18" t="n">
        <x:v>545.7491526636704</x:v>
      </x:c>
      <x:c r="T2585" s="18" t="n">
        <x:v>635</x:v>
      </x:c>
      <x:c r="U2585" s="18" t="n">
        <x:v>545.7491526636704</x:v>
      </x:c>
      <x:c r="V2585" s="20" t="n">
        <x:v>8.8</x:v>
      </x:c>
      <x:c r="W2585" s="20" t="n">
        <x:v>9.9</x:v>
      </x:c>
      <x:c r="X2585" s="20" t="n">
        <x:v>3.3</x:v>
      </x:c>
      <x:c r="Y2585" t="str">
        <x:v>Basis arsip 2025/2024</x:v>
      </x:c>
      <x:c r="Z2585" t="str">
        <x:v>https://snpmb.id/utbk-snbt/daya-tampung-snbt</x:v>
      </x:c>
      <x:c r="AA2585" t="str">
        <x:v>Tidak Ada</x:v>
      </x:c>
      <x:c r="AB2585" t="str">
        <x:v>Campus=55; Ratio=13.8; Prodi=40; RelDemand=16.0; Capacity=53.3</x:v>
      </x:c>
    </x:row>
    <x:row r="2586">
      <x:c r="A2586" t="n">
        <x:v>2583</x:v>
      </x:c>
      <x:c r="B2586" t="str">
        <x:v>PTN Akademik</x:v>
      </x:c>
      <x:c r="C2586" t="str">
        <x:v>UNIVERSITAS TANJUNGPURA</x:v>
      </x:c>
      <x:c r="D2586" t="str">
        <x:v>PEND. BAHASA INGGRIS</x:v>
      </x:c>
      <x:c r="E2586" t="str">
        <x:v>Sarjana</x:v>
      </x:c>
      <x:c r="F2586" s="18" t="n">
        <x:v>54</x:v>
      </x:c>
      <x:c r="G2586" s="18" t="n">
        <x:v>361</x:v>
      </x:c>
      <x:c r="H2586" s="19" t="n">
        <x:v>6.685185185185185</x:v>
      </x:c>
      <x:c r="I2586" s="18" t="n">
        <x:f>ROUND(MIN(Model_Config_v3!$B$6,MAX(Q2586,R2586,S2586*Model_Config_v3!$B$4+T2586*Model_Config_v3!$B$5)),0)</x:f>
        <x:v>648</x:v>
      </x:c>
      <x:c r="J2586" s="18" t="n">
        <x:f>MIN(Model_Config_v3!$B$6,I2586+Model_Config_v3!$B$7)</x:f>
        <x:v>668</x:v>
      </x:c>
      <x:c r="K2586" s="20" t="n">
        <x:v>52.1</x:v>
      </x:c>
      <x:c r="L2586" t="str">
        <x:v>MENENGAH</x:v>
      </x:c>
      <x:c r="M2586" t="str">
        <x:v>SEDANG+</x:v>
      </x:c>
      <x:c r="N2586" t="str">
        <x:v>REGULER</x:v>
      </x:c>
      <x:c r="O2586" t="str">
        <x:v>SOSHUM</x:v>
      </x:c>
      <x:c r="P2586" t="str">
        <x:v>PENDIDIKAN</x:v>
      </x:c>
      <x:c r="Q2586" s="18" t="n">
        <x:v>0</x:v>
      </x:c>
      <x:c r="R2586" s="18" t="n">
        <x:v>0</x:v>
      </x:c>
      <x:c r="S2586" s="18" t="n">
        <x:v>610.7624786290958</x:v>
      </x:c>
      <x:c r="T2586" s="18" t="n">
        <x:v>664</x:v>
      </x:c>
      <x:c r="U2586" s="18" t="n">
        <x:v>610.7624786290958</x:v>
      </x:c>
      <x:c r="V2586" s="20" t="n">
        <x:v>4.4</x:v>
      </x:c>
      <x:c r="W2586" s="20" t="n">
        <x:v>14.3</x:v>
      </x:c>
      <x:c r="X2586" s="20" t="n">
        <x:v>3.3</x:v>
      </x:c>
      <x:c r="Y2586" t="str">
        <x:v>Basis arsip 2025/2024</x:v>
      </x:c>
      <x:c r="Z2586" t="str">
        <x:v>https://snpmb.id/utbk-snbt/daya-tampung-snbt</x:v>
      </x:c>
      <x:c r="AA2586" t="str">
        <x:v>Tidak Ada</x:v>
      </x:c>
      <x:c r="AB2586" t="str">
        <x:v>Campus=55; Ratio=48.6; Prodi=45; RelDemand=62.3; Capacity=55.0</x:v>
      </x:c>
    </x:row>
    <x:row r="2587">
      <x:c r="A2587" t="n">
        <x:v>2584</x:v>
      </x:c>
      <x:c r="B2587" t="str">
        <x:v>PTN Akademik</x:v>
      </x:c>
      <x:c r="C2587" t="str">
        <x:v>UNIVERSITAS TANJUNGPURA</x:v>
      </x:c>
      <x:c r="D2587" t="str">
        <x:v>PENDIDIKAN BAHASA INDONESIA</x:v>
      </x:c>
      <x:c r="E2587" t="str">
        <x:v>Sarjana</x:v>
      </x:c>
      <x:c r="F2587" s="18" t="n">
        <x:v>54</x:v>
      </x:c>
      <x:c r="G2587" s="18" t="n">
        <x:v>369</x:v>
      </x:c>
      <x:c r="H2587" s="19" t="n">
        <x:v>6.833333333333333</x:v>
      </x:c>
      <x:c r="I2587" s="18" t="n">
        <x:f>ROUND(MIN(Model_Config_v3!$B$6,MAX(Q2587,R2587,S2587*Model_Config_v3!$B$4+T2587*Model_Config_v3!$B$5)),0)</x:f>
        <x:v>649</x:v>
      </x:c>
      <x:c r="J2587" s="18" t="n">
        <x:f>MIN(Model_Config_v3!$B$6,I2587+Model_Config_v3!$B$7)</x:f>
        <x:v>669</x:v>
      </x:c>
      <x:c r="K2587" s="20" t="n">
        <x:v>52.4</x:v>
      </x:c>
      <x:c r="L2587" t="str">
        <x:v>MENENGAH</x:v>
      </x:c>
      <x:c r="M2587" t="str">
        <x:v>SEDANG+</x:v>
      </x:c>
      <x:c r="N2587" t="str">
        <x:v>REGULER</x:v>
      </x:c>
      <x:c r="O2587" t="str">
        <x:v>SOSHUM</x:v>
      </x:c>
      <x:c r="P2587" t="str">
        <x:v>PENDIDIKAN</x:v>
      </x:c>
      <x:c r="Q2587" s="18" t="n">
        <x:v>0</x:v>
      </x:c>
      <x:c r="R2587" s="18" t="n">
        <x:v>0</x:v>
      </x:c>
      <x:c r="S2587" s="18" t="n">
        <x:v>611.8095866969701</x:v>
      </x:c>
      <x:c r="T2587" s="18" t="n">
        <x:v>665</x:v>
      </x:c>
      <x:c r="U2587" s="18" t="n">
        <x:v>611.8095866969701</x:v>
      </x:c>
      <x:c r="V2587" s="20" t="n">
        <x:v>4.4</x:v>
      </x:c>
      <x:c r="W2587" s="20" t="n">
        <x:v>14.3</x:v>
      </x:c>
      <x:c r="X2587" s="20" t="n">
        <x:v>3.3</x:v>
      </x:c>
      <x:c r="Y2587" t="str">
        <x:v>Basis arsip 2025/2024</x:v>
      </x:c>
      <x:c r="Z2587" t="str">
        <x:v>https://snpmb.id/utbk-snbt/daya-tampung-snbt</x:v>
      </x:c>
      <x:c r="AA2587" t="str">
        <x:v>Tidak Ada</x:v>
      </x:c>
      <x:c r="AB2587" t="str">
        <x:v>Campus=55; Ratio=49.1; Prodi=45; RelDemand=63.7; Capacity=55.0</x:v>
      </x:c>
    </x:row>
    <x:row r="2588">
      <x:c r="A2588" t="n">
        <x:v>2585</x:v>
      </x:c>
      <x:c r="B2588" t="str">
        <x:v>PTN Akademik</x:v>
      </x:c>
      <x:c r="C2588" t="str">
        <x:v>UNIVERSITAS TANJUNGPURA</x:v>
      </x:c>
      <x:c r="D2588" t="str">
        <x:v>PEND. EKONOMI</x:v>
      </x:c>
      <x:c r="E2588" t="str">
        <x:v>Sarjana</x:v>
      </x:c>
      <x:c r="F2588" s="18" t="n">
        <x:v>48</x:v>
      </x:c>
      <x:c r="G2588" s="18" t="n">
        <x:v>113</x:v>
      </x:c>
      <x:c r="H2588" s="19" t="n">
        <x:v>2.3541666666666665</x:v>
      </x:c>
      <x:c r="I2588" s="18" t="n">
        <x:f>ROUND(MIN(Model_Config_v3!$B$6,MAX(Q2588,R2588,S2588*Model_Config_v3!$B$4+T2588*Model_Config_v3!$B$5)),0)</x:f>
        <x:v>619</x:v>
      </x:c>
      <x:c r="J2588" s="18" t="n">
        <x:f>MIN(Model_Config_v3!$B$6,I2588+Model_Config_v3!$B$7)</x:f>
        <x:v>639</x:v>
      </x:c>
      <x:c r="K2588" s="20" t="n">
        <x:v>41.9</x:v>
      </x:c>
      <x:c r="L2588" t="str">
        <x:v>RELATIF LONGGAR</x:v>
      </x:c>
      <x:c r="M2588" t="str">
        <x:v>SEDANG+</x:v>
      </x:c>
      <x:c r="N2588" t="str">
        <x:v>REGULER</x:v>
      </x:c>
      <x:c r="O2588" t="str">
        <x:v>SOSHUM</x:v>
      </x:c>
      <x:c r="P2588" t="str">
        <x:v>PENDIDIKAN</x:v>
      </x:c>
      <x:c r="Q2588" s="18" t="n">
        <x:v>0</x:v>
      </x:c>
      <x:c r="R2588" s="18" t="n">
        <x:v>0</x:v>
      </x:c>
      <x:c r="S2588" s="18" t="n">
        <x:v>560.9020926718615</x:v>
      </x:c>
      <x:c r="T2588" s="18" t="n">
        <x:v>644</x:v>
      </x:c>
      <x:c r="U2588" s="18" t="n">
        <x:v>560.9020926718615</x:v>
      </x:c>
      <x:c r="V2588" s="20" t="n">
        <x:v>4.4</x:v>
      </x:c>
      <x:c r="W2588" s="20" t="n">
        <x:v>14.3</x:v>
      </x:c>
      <x:c r="X2588" s="20" t="n">
        <x:v>3.3</x:v>
      </x:c>
      <x:c r="Y2588" t="str">
        <x:v>Basis arsip 2025/2024</x:v>
      </x:c>
      <x:c r="Z2588" t="str">
        <x:v>https://snpmb.id/utbk-snbt/daya-tampung-snbt</x:v>
      </x:c>
      <x:c r="AA2588" t="str">
        <x:v>Tidak Ada</x:v>
      </x:c>
      <x:c r="AB2588" t="str">
        <x:v>Campus=55; Ratio=21.9; Prodi=45; RelDemand=22.0; Capacity=60.0</x:v>
      </x:c>
    </x:row>
    <x:row r="2589">
      <x:c r="A2589" t="n">
        <x:v>2586</x:v>
      </x:c>
      <x:c r="B2589" t="str">
        <x:v>PTN Akademik</x:v>
      </x:c>
      <x:c r="C2589" t="str">
        <x:v>UNIVERSITAS TANJUNGPURA</x:v>
      </x:c>
      <x:c r="D2589" t="str">
        <x:v>PEND. SOSIOLOGI</x:v>
      </x:c>
      <x:c r="E2589" t="str">
        <x:v>Sarjana</x:v>
      </x:c>
      <x:c r="F2589" s="18" t="n">
        <x:v>36</x:v>
      </x:c>
      <x:c r="G2589" s="18" t="n">
        <x:v>117</x:v>
      </x:c>
      <x:c r="H2589" s="19" t="n">
        <x:v>3.25</x:v>
      </x:c>
      <x:c r="I2589" s="18" t="n">
        <x:f>ROUND(MIN(Model_Config_v3!$B$6,MAX(Q2589,R2589,S2589*Model_Config_v3!$B$4+T2589*Model_Config_v3!$B$5)),0)</x:f>
        <x:v>629</x:v>
      </x:c>
      <x:c r="J2589" s="18" t="n">
        <x:f>MIN(Model_Config_v3!$B$6,I2589+Model_Config_v3!$B$7)</x:f>
        <x:v>649</x:v>
      </x:c>
      <x:c r="K2589" s="20" t="n">
        <x:v>45.8</x:v>
      </x:c>
      <x:c r="L2589" t="str">
        <x:v>MENENGAH</x:v>
      </x:c>
      <x:c r="M2589" t="str">
        <x:v>SEDANG+</x:v>
      </x:c>
      <x:c r="N2589" t="str">
        <x:v>REGULER</x:v>
      </x:c>
      <x:c r="O2589" t="str">
        <x:v>SOSHUM</x:v>
      </x:c>
      <x:c r="P2589" t="str">
        <x:v>PENDIDIKAN</x:v>
      </x:c>
      <x:c r="Q2589" s="18" t="n">
        <x:v>0</x:v>
      </x:c>
      <x:c r="R2589" s="18" t="n">
        <x:v>0</x:v>
      </x:c>
      <x:c r="S2589" s="18" t="n">
        <x:v>576.3071697076762</x:v>
      </x:c>
      <x:c r="T2589" s="18" t="n">
        <x:v>652</x:v>
      </x:c>
      <x:c r="U2589" s="18" t="n">
        <x:v>576.3071697076762</x:v>
      </x:c>
      <x:c r="V2589" s="20" t="n">
        <x:v>4.4</x:v>
      </x:c>
      <x:c r="W2589" s="20" t="n">
        <x:v>14.3</x:v>
      </x:c>
      <x:c r="X2589" s="20" t="n">
        <x:v>3.3</x:v>
      </x:c>
      <x:c r="Y2589" t="str">
        <x:v>Basis arsip 2025/2024</x:v>
      </x:c>
      <x:c r="Z2589" t="str">
        <x:v>https://snpmb.id/utbk-snbt/daya-tampung-snbt</x:v>
      </x:c>
      <x:c r="AA2589" t="str">
        <x:v>Tidak Ada</x:v>
      </x:c>
      <x:c r="AB2589" t="str">
        <x:v>Campus=55; Ratio=30.1; Prodi=45; RelDemand=30.3; Capacity=70.0</x:v>
      </x:c>
    </x:row>
    <x:row r="2590">
      <x:c r="A2590" t="n">
        <x:v>2587</x:v>
      </x:c>
      <x:c r="B2590" t="str">
        <x:v>PTN Akademik</x:v>
      </x:c>
      <x:c r="C2590" t="str">
        <x:v>UNIVERSITAS TANJUNGPURA</x:v>
      </x:c>
      <x:c r="D2590" t="str">
        <x:v>PEND. GURU PEND. ANAK USIA DINI (PGPAUD)</x:v>
      </x:c>
      <x:c r="E2590" t="str">
        <x:v>Sarjana</x:v>
      </x:c>
      <x:c r="F2590" s="18" t="n">
        <x:v>27</x:v>
      </x:c>
      <x:c r="G2590" s="18" t="n">
        <x:v>114</x:v>
      </x:c>
      <x:c r="H2590" s="19" t="n">
        <x:v>4.222222222222222</x:v>
      </x:c>
      <x:c r="I2590" s="18" t="n">
        <x:f>ROUND(MIN(Model_Config_v3!$B$6,MAX(Q2590,R2590,S2590*Model_Config_v3!$B$4+T2590*Model_Config_v3!$B$5)),0)</x:f>
        <x:v>637</x:v>
      </x:c>
      <x:c r="J2590" s="18" t="n">
        <x:f>MIN(Model_Config_v3!$B$6,I2590+Model_Config_v3!$B$7)</x:f>
        <x:v>657</x:v>
      </x:c>
      <x:c r="K2590" s="20" t="n">
        <x:v>49.1</x:v>
      </x:c>
      <x:c r="L2590" t="str">
        <x:v>MENENGAH</x:v>
      </x:c>
      <x:c r="M2590" t="str">
        <x:v>SEDANG+</x:v>
      </x:c>
      <x:c r="N2590" t="str">
        <x:v>REGULER</x:v>
      </x:c>
      <x:c r="O2590" t="str">
        <x:v>CAMPURAN</x:v>
      </x:c>
      <x:c r="P2590" t="str">
        <x:v>PENDIDIKAN</x:v>
      </x:c>
      <x:c r="Q2590" s="18" t="n">
        <x:v>0</x:v>
      </x:c>
      <x:c r="R2590" s="18" t="n">
        <x:v>0</x:v>
      </x:c>
      <x:c r="S2590" s="18" t="n">
        <x:v>588.8095195895233</x:v>
      </x:c>
      <x:c r="T2590" s="18" t="n">
        <x:v>658</x:v>
      </x:c>
      <x:c r="U2590" s="18" t="n">
        <x:v>588.8095195895233</x:v>
      </x:c>
      <x:c r="V2590" s="20" t="n">
        <x:v>8.8</x:v>
      </x:c>
      <x:c r="W2590" s="20" t="n">
        <x:v>9.9</x:v>
      </x:c>
      <x:c r="X2590" s="20" t="n">
        <x:v>3.3</x:v>
      </x:c>
      <x:c r="Y2590" t="str">
        <x:v>Basis arsip 2025/2024</x:v>
      </x:c>
      <x:c r="Z2590" t="str">
        <x:v>https://snpmb.id/utbk-snbt/daya-tampung-snbt</x:v>
      </x:c>
      <x:c r="AA2590" t="str">
        <x:v>Tidak Ada</x:v>
      </x:c>
      <x:c r="AB2590" t="str">
        <x:v>Campus=55; Ratio=36.8; Prodi=45; RelDemand=39.4; Capacity=77.5</x:v>
      </x:c>
    </x:row>
    <x:row r="2591">
      <x:c r="A2591" t="n">
        <x:v>2588</x:v>
      </x:c>
      <x:c r="B2591" t="str">
        <x:v>PTN Akademik</x:v>
      </x:c>
      <x:c r="C2591" t="str">
        <x:v>UNIVERSITAS TANJUNGPURA</x:v>
      </x:c>
      <x:c r="D2591" t="str">
        <x:v>PENDIDIKAN JASMANI</x:v>
      </x:c>
      <x:c r="E2591" t="str">
        <x:v>Sarjana</x:v>
      </x:c>
      <x:c r="F2591" s="18" t="n">
        <x:v>54</x:v>
      </x:c>
      <x:c r="G2591" s="18" t="n">
        <x:v>67</x:v>
      </x:c>
      <x:c r="H2591" s="19" t="n">
        <x:v>1.2407407407407407</x:v>
      </x:c>
      <x:c r="I2591" s="18" t="n">
        <x:f>ROUND(MIN(Model_Config_v3!$B$6,MAX(Q2591,R2591,S2591*Model_Config_v3!$B$4+T2591*Model_Config_v3!$B$5)),0)</x:f>
        <x:v>602</x:v>
      </x:c>
      <x:c r="J2591" s="18" t="n">
        <x:f>MIN(Model_Config_v3!$B$6,I2591+Model_Config_v3!$B$7)</x:f>
        <x:v>622</x:v>
      </x:c>
      <x:c r="K2591" s="20" t="n">
        <x:v>36.3</x:v>
      </x:c>
      <x:c r="L2591" t="str">
        <x:v>RELATIF LONGGAR</x:v>
      </x:c>
      <x:c r="M2591" t="str">
        <x:v>PORTOFOLIO</x:v>
      </x:c>
      <x:c r="N2591" t="str">
        <x:v>REGULER</x:v>
      </x:c>
      <x:c r="O2591" t="str">
        <x:v>SENI/OLAHRAGA</x:v>
      </x:c>
      <x:c r="P2591" t="str">
        <x:v>SENI/OLAHRAGA</x:v>
      </x:c>
      <x:c r="Q2591" s="18" t="n">
        <x:v>0</x:v>
      </x:c>
      <x:c r="R2591" s="18" t="n">
        <x:v>0</x:v>
      </x:c>
      <x:c r="S2591" s="18" t="n">
        <x:v>530.3049147165643</x:v>
      </x:c>
      <x:c r="T2591" s="18" t="n">
        <x:v>633</x:v>
      </x:c>
      <x:c r="U2591" s="18" t="n">
        <x:v>530.3049147165643</x:v>
      </x:c>
      <x:c r="V2591" s="20" t="n">
        <x:v>4.4</x:v>
      </x:c>
      <x:c r="W2591" s="20" t="n">
        <x:v>9.9</x:v>
      </x:c>
      <x:c r="X2591" s="20" t="n">
        <x:v>7.7</x:v>
      </x:c>
      <x:c r="Y2591" t="str">
        <x:v>Basis arsip 2025/2024</x:v>
      </x:c>
      <x:c r="Z2591" t="str">
        <x:v>https://snpmb.id/utbk-snbt/daya-tampung-snbt</x:v>
      </x:c>
      <x:c r="AA2591" t="str">
        <x:v>Olahraga</x:v>
      </x:c>
      <x:c r="AB2591" t="str">
        <x:v>Campus=55; Ratio=5.5; Prodi=45; RelDemand=11.6; Capacity=55.0</x:v>
      </x:c>
    </x:row>
    <x:row r="2592">
      <x:c r="A2592" t="n">
        <x:v>2589</x:v>
      </x:c>
      <x:c r="B2592" t="str">
        <x:v>PTN Akademik</x:v>
      </x:c>
      <x:c r="C2592" t="str">
        <x:v>UNIVERSITAS TANJUNGPURA</x:v>
      </x:c>
      <x:c r="D2592" t="str">
        <x:v>PENDIDIKAN SENI PERTUNJUKAN</x:v>
      </x:c>
      <x:c r="E2592" t="str">
        <x:v>Sarjana</x:v>
      </x:c>
      <x:c r="F2592" s="18" t="n">
        <x:v>54</x:v>
      </x:c>
      <x:c r="G2592" s="18" t="n">
        <x:v>29</x:v>
      </x:c>
      <x:c r="H2592" s="19" t="n">
        <x:v>0.5370370370370371</x:v>
      </x:c>
      <x:c r="I2592" s="18" t="n">
        <x:f>ROUND(MIN(Model_Config_v3!$B$6,MAX(Q2592,R2592,S2592*Model_Config_v3!$B$4+T2592*Model_Config_v3!$B$5)),0)</x:f>
        <x:v>596</x:v>
      </x:c>
      <x:c r="J2592" s="18" t="n">
        <x:f>MIN(Model_Config_v3!$B$6,I2592+Model_Config_v3!$B$7)</x:f>
        <x:v>616</x:v>
      </x:c>
      <x:c r="K2592" s="20" t="n">
        <x:v>34.3</x:v>
      </x:c>
      <x:c r="L2592" t="str">
        <x:v>RELATIF LONGGAR</x:v>
      </x:c>
      <x:c r="M2592" t="str">
        <x:v>PORTOFOLIO</x:v>
      </x:c>
      <x:c r="N2592" t="str">
        <x:v>REGULER</x:v>
      </x:c>
      <x:c r="O2592" t="str">
        <x:v>SENI/OLAHRAGA</x:v>
      </x:c>
      <x:c r="P2592" t="str">
        <x:v>SENI/OLAHRAGA</x:v>
      </x:c>
      <x:c r="Q2592" s="18" t="n">
        <x:v>0</x:v>
      </x:c>
      <x:c r="R2592" s="18" t="n">
        <x:v>0</x:v>
      </x:c>
      <x:c r="S2592" s="18" t="n">
        <x:v>520</x:v>
      </x:c>
      <x:c r="T2592" s="18" t="n">
        <x:v>629</x:v>
      </x:c>
      <x:c r="U2592" s="18" t="n">
        <x:v>520</x:v>
      </x:c>
      <x:c r="V2592" s="20" t="n">
        <x:v>4.4</x:v>
      </x:c>
      <x:c r="W2592" s="20" t="n">
        <x:v>9.9</x:v>
      </x:c>
      <x:c r="X2592" s="20" t="n">
        <x:v>7.7</x:v>
      </x:c>
      <x:c r="Y2592" t="str">
        <x:v>Basis arsip 2025/2024</x:v>
      </x:c>
      <x:c r="Z2592" t="str">
        <x:v>https://snpmb.id/utbk-snbt/daya-tampung-snbt</x:v>
      </x:c>
      <x:c r="AA2592" t="str">
        <x:v>Sendratasik</x:v>
      </x:c>
      <x:c r="AB2592" t="str">
        <x:v>Campus=55; Ratio=0.0; Prodi=45; RelDemand=5.0; Capacity=55.0</x:v>
      </x:c>
    </x:row>
    <x:row r="2593">
      <x:c r="A2593" t="n">
        <x:v>2590</x:v>
      </x:c>
      <x:c r="B2593" t="str">
        <x:v>PTN Akademik</x:v>
      </x:c>
      <x:c r="C2593" t="str">
        <x:v>UNIVERSITAS TANJUNGPURA</x:v>
      </x:c>
      <x:c r="D2593" t="str">
        <x:v>ILMU POLITIK</x:v>
      </x:c>
      <x:c r="E2593" t="str">
        <x:v>Sarjana</x:v>
      </x:c>
      <x:c r="F2593" s="18" t="n">
        <x:v>56</x:v>
      </x:c>
      <x:c r="G2593" s="18" t="n">
        <x:v>142</x:v>
      </x:c>
      <x:c r="H2593" s="19" t="n">
        <x:v>2.5357142857142856</x:v>
      </x:c>
      <x:c r="I2593" s="18" t="n">
        <x:f>ROUND(MIN(Model_Config_v3!$B$6,MAX(Q2593,R2593,S2593*Model_Config_v3!$B$4+T2593*Model_Config_v3!$B$5)),0)</x:f>
        <x:v>619</x:v>
      </x:c>
      <x:c r="J2593" s="18" t="n">
        <x:f>MIN(Model_Config_v3!$B$6,I2593+Model_Config_v3!$B$7)</x:f>
        <x:v>639</x:v>
      </x:c>
      <x:c r="K2593" s="20" t="n">
        <x:v>40.9</x:v>
      </x:c>
      <x:c r="L2593" t="str">
        <x:v>RELATIF LONGGAR</x:v>
      </x:c>
      <x:c r="M2593" t="str">
        <x:v>SEDANG</x:v>
      </x:c>
      <x:c r="N2593" t="str">
        <x:v>REGULER</x:v>
      </x:c>
      <x:c r="O2593" t="str">
        <x:v>SOSHUM</x:v>
      </x:c>
      <x:c r="P2593" t="str">
        <x:v>UMUM</x:v>
      </x:c>
      <x:c r="Q2593" s="18" t="n">
        <x:v>0</x:v>
      </x:c>
      <x:c r="R2593" s="18" t="n">
        <x:v>0</x:v>
      </x:c>
      <x:c r="S2593" s="18" t="n">
        <x:v>564.4510349114541</x:v>
      </x:c>
      <x:c r="T2593" s="18" t="n">
        <x:v>642</x:v>
      </x:c>
      <x:c r="U2593" s="18" t="n">
        <x:v>564.4510349114541</x:v>
      </x:c>
      <x:c r="V2593" s="20" t="n">
        <x:v>4.4</x:v>
      </x:c>
      <x:c r="W2593" s="20" t="n">
        <x:v>14.3</x:v>
      </x:c>
      <x:c r="X2593" s="20" t="n">
        <x:v>3.3</x:v>
      </x:c>
      <x:c r="Y2593" t="str">
        <x:v>Basis arsip 2025/2024</x:v>
      </x:c>
      <x:c r="Z2593" t="str">
        <x:v>https://snpmb.id/utbk-snbt/daya-tampung-snbt</x:v>
      </x:c>
      <x:c r="AA2593" t="str">
        <x:v>Tidak Ada</x:v>
      </x:c>
      <x:c r="AB2593" t="str">
        <x:v>Campus=55; Ratio=23.8; Prodi=40; RelDemand=23.6; Capacity=53.3</x:v>
      </x:c>
    </x:row>
    <x:row r="2594">
      <x:c r="A2594" t="n">
        <x:v>2591</x:v>
      </x:c>
      <x:c r="B2594" t="str">
        <x:v>PTN Akademik</x:v>
      </x:c>
      <x:c r="C2594" t="str">
        <x:v>UNIVERSITAS TANJUNGPURA</x:v>
      </x:c>
      <x:c r="D2594" t="str">
        <x:v>SOSIOLOGI</x:v>
      </x:c>
      <x:c r="E2594" t="str">
        <x:v>Sarjana</x:v>
      </x:c>
      <x:c r="F2594" s="18" t="n">
        <x:v>56</x:v>
      </x:c>
      <x:c r="G2594" s="18" t="n">
        <x:v>114</x:v>
      </x:c>
      <x:c r="H2594" s="19" t="n">
        <x:v>2.0357142857142856</x:v>
      </x:c>
      <x:c r="I2594" s="18" t="n">
        <x:f>ROUND(MIN(Model_Config_v3!$B$6,MAX(Q2594,R2594,S2594*Model_Config_v3!$B$4+T2594*Model_Config_v3!$B$5)),0)</x:f>
        <x:v>613</x:v>
      </x:c>
      <x:c r="J2594" s="18" t="n">
        <x:f>MIN(Model_Config_v3!$B$6,I2594+Model_Config_v3!$B$7)</x:f>
        <x:v>633</x:v>
      </x:c>
      <x:c r="K2594" s="20" t="n">
        <x:v>39</x:v>
      </x:c>
      <x:c r="L2594" t="str">
        <x:v>RELATIF LONGGAR</x:v>
      </x:c>
      <x:c r="M2594" t="str">
        <x:v>SEDANG</x:v>
      </x:c>
      <x:c r="N2594" t="str">
        <x:v>REGULER</x:v>
      </x:c>
      <x:c r="O2594" t="str">
        <x:v>SOSHUM</x:v>
      </x:c>
      <x:c r="P2594" t="str">
        <x:v>UMUM</x:v>
      </x:c>
      <x:c r="Q2594" s="18" t="n">
        <x:v>0</x:v>
      </x:c>
      <x:c r="R2594" s="18" t="n">
        <x:v>0</x:v>
      </x:c>
      <x:c r="S2594" s="18" t="n">
        <x:v>553.9588506763299</x:v>
      </x:c>
      <x:c r="T2594" s="18" t="n">
        <x:v>638</x:v>
      </x:c>
      <x:c r="U2594" s="18" t="n">
        <x:v>553.9588506763299</x:v>
      </x:c>
      <x:c r="V2594" s="20" t="n">
        <x:v>4.4</x:v>
      </x:c>
      <x:c r="W2594" s="20" t="n">
        <x:v>14.3</x:v>
      </x:c>
      <x:c r="X2594" s="20" t="n">
        <x:v>3.3</x:v>
      </x:c>
      <x:c r="Y2594" t="str">
        <x:v>Basis arsip 2025/2024</x:v>
      </x:c>
      <x:c r="Z2594" t="str">
        <x:v>https://snpmb.id/utbk-snbt/daya-tampung-snbt</x:v>
      </x:c>
      <x:c r="AA2594" t="str">
        <x:v>Tidak Ada</x:v>
      </x:c>
      <x:c r="AB2594" t="str">
        <x:v>Campus=55; Ratio=18.2; Prodi=40; RelDemand=19.0; Capacity=53.3</x:v>
      </x:c>
    </x:row>
    <x:row r="2595">
      <x:c r="A2595" t="n">
        <x:v>2592</x:v>
      </x:c>
      <x:c r="B2595" t="str">
        <x:v>PTN Akademik</x:v>
      </x:c>
      <x:c r="C2595" t="str">
        <x:v>UNIVERSITAS TANJUNGPURA</x:v>
      </x:c>
      <x:c r="D2595" t="str">
        <x:v>PEND. BAHASA MANDARIN</x:v>
      </x:c>
      <x:c r="E2595" t="str">
        <x:v>Sarjana</x:v>
      </x:c>
      <x:c r="F2595" s="18" t="n">
        <x:v>36</x:v>
      </x:c>
      <x:c r="G2595" s="18" t="n">
        <x:v>66</x:v>
      </x:c>
      <x:c r="H2595" s="19" t="n">
        <x:v>1.8333333333333333</x:v>
      </x:c>
      <x:c r="I2595" s="18" t="n">
        <x:f>ROUND(MIN(Model_Config_v3!$B$6,MAX(Q2595,R2595,S2595*Model_Config_v3!$B$4+T2595*Model_Config_v3!$B$5)),0)</x:f>
        <x:v>614</x:v>
      </x:c>
      <x:c r="J2595" s="18" t="n">
        <x:f>MIN(Model_Config_v3!$B$6,I2595+Model_Config_v3!$B$7)</x:f>
        <x:v>634</x:v>
      </x:c>
      <x:c r="K2595" s="20" t="n">
        <x:v>40.8</x:v>
      </x:c>
      <x:c r="L2595" t="str">
        <x:v>RELATIF LONGGAR</x:v>
      </x:c>
      <x:c r="M2595" t="str">
        <x:v>SEDANG+</x:v>
      </x:c>
      <x:c r="N2595" t="str">
        <x:v>REGULER</x:v>
      </x:c>
      <x:c r="O2595" t="str">
        <x:v>SOSHUM</x:v>
      </x:c>
      <x:c r="P2595" t="str">
        <x:v>PENDIDIKAN</x:v>
      </x:c>
      <x:c r="Q2595" s="18" t="n">
        <x:v>0</x:v>
      </x:c>
      <x:c r="R2595" s="18" t="n">
        <x:v>0</x:v>
      </x:c>
      <x:c r="S2595" s="18" t="n">
        <x:v>548.956557825204</x:v>
      </x:c>
      <x:c r="T2595" s="18" t="n">
        <x:v>642</x:v>
      </x:c>
      <x:c r="U2595" s="18" t="n">
        <x:v>548.956557825204</x:v>
      </x:c>
      <x:c r="V2595" s="20" t="n">
        <x:v>4.4</x:v>
      </x:c>
      <x:c r="W2595" s="20" t="n">
        <x:v>14.3</x:v>
      </x:c>
      <x:c r="X2595" s="20" t="n">
        <x:v>3.3</x:v>
      </x:c>
      <x:c r="Y2595" t="str">
        <x:v>Basis arsip 2025/2024</x:v>
      </x:c>
      <x:c r="Z2595" t="str">
        <x:v>https://snpmb.id/utbk-snbt/daya-tampung-snbt</x:v>
      </x:c>
      <x:c r="AA2595" t="str">
        <x:v>Tidak Ada</x:v>
      </x:c>
      <x:c r="AB2595" t="str">
        <x:v>Campus=55; Ratio=15.5; Prodi=45; RelDemand=17.1; Capacity=70.0</x:v>
      </x:c>
    </x:row>
    <x:row r="2596">
      <x:c r="A2596" t="n">
        <x:v>2593</x:v>
      </x:c>
      <x:c r="B2596" t="str">
        <x:v>PTN Akademik</x:v>
      </x:c>
      <x:c r="C2596" t="str">
        <x:v>UNIVERSITAS TANJUNGPURA</x:v>
      </x:c>
      <x:c r="D2596" t="str">
        <x:v>MANAJEMEN (KELAS INTERNASIONAL)</x:v>
      </x:c>
      <x:c r="E2596" t="str">
        <x:v>Sarjana</x:v>
      </x:c>
      <x:c r="F2596" s="18" t="n">
        <x:v>25</x:v>
      </x:c>
      <x:c r="G2596" s="18" t="n">
        <x:v>119</x:v>
      </x:c>
      <x:c r="H2596" s="19" t="n">
        <x:v>4.76</x:v>
      </x:c>
      <x:c r="I2596" s="18" t="n">
        <x:f>ROUND(MIN(Model_Config_v3!$B$6,MAX(Q2596,R2596,S2596*Model_Config_v3!$B$4+T2596*Model_Config_v3!$B$5)),0)</x:f>
        <x:v>647</x:v>
      </x:c>
      <x:c r="J2596" s="18" t="n">
        <x:f>MIN(Model_Config_v3!$B$6,I2596+Model_Config_v3!$B$7)</x:f>
        <x:v>667</x:v>
      </x:c>
      <x:c r="K2596" s="20" t="n">
        <x:v>54.6</x:v>
      </x:c>
      <x:c r="L2596" t="str">
        <x:v>MENENGAH</x:v>
      </x:c>
      <x:c r="M2596" t="str">
        <x:v>SEDANG+</x:v>
      </x:c>
      <x:c r="N2596" t="str">
        <x:v>REGULER</x:v>
      </x:c>
      <x:c r="O2596" t="str">
        <x:v>SOSHUM</x:v>
      </x:c>
      <x:c r="P2596" t="str">
        <x:v>BISNIS/EKONOMI/AKUNTANSI</x:v>
      </x:c>
      <x:c r="Q2596" s="18" t="n">
        <x:v>0</x:v>
      </x:c>
      <x:c r="R2596" s="18" t="n">
        <x:v>0</x:v>
      </x:c>
      <x:c r="S2596" s="18" t="n">
        <x:v>594.5367647992542</x:v>
      </x:c>
      <x:c r="T2596" s="18" t="n">
        <x:v>669</x:v>
      </x:c>
      <x:c r="U2596" s="18" t="n">
        <x:v>609.5367647992542</x:v>
      </x:c>
      <x:c r="V2596" s="20" t="n">
        <x:v>4.4</x:v>
      </x:c>
      <x:c r="W2596" s="20" t="n">
        <x:v>14.3</x:v>
      </x:c>
      <x:c r="X2596" s="20" t="n">
        <x:v>3.3</x:v>
      </x:c>
      <x:c r="Y2596" t="str">
        <x:v>Basis arsip 2025/2024</x:v>
      </x:c>
      <x:c r="Z2596" t="str">
        <x:v>https://snpmb.id/utbk-snbt/daya-tampung-snbt</x:v>
      </x:c>
      <x:c r="AA2596" t="str">
        <x:v>Tidak Ada</x:v>
      </x:c>
      <x:c r="AB2596" t="str">
        <x:v>Campus=55; Ratio=39.9; Prodi=65; RelDemand=44.4; Capacity=79.2</x:v>
      </x:c>
    </x:row>
    <x:row r="2597">
      <x:c r="A2597" t="n">
        <x:v>2594</x:v>
      </x:c>
      <x:c r="B2597" t="str">
        <x:v>PTN Akademik</x:v>
      </x:c>
      <x:c r="C2597" t="str">
        <x:v>UNIVERSITAS TANJUNGPURA</x:v>
      </x:c>
      <x:c r="D2597" t="str">
        <x:v>PEND. GURU SEKOLAH DASAR (PGSD)</x:v>
      </x:c>
      <x:c r="E2597" t="str">
        <x:v>Sarjana</x:v>
      </x:c>
      <x:c r="F2597" s="18" t="n">
        <x:v>72</x:v>
      </x:c>
      <x:c r="G2597" s="18" t="n">
        <x:v>1138</x:v>
      </x:c>
      <x:c r="H2597" s="19" t="n">
        <x:v>15.805555555555555</x:v>
      </x:c>
      <x:c r="I2597" s="18" t="n">
        <x:f>ROUND(MIN(Model_Config_v3!$B$6,MAX(Q2597,R2597,S2597*Model_Config_v3!$B$4+T2597*Model_Config_v3!$B$5)),0)</x:f>
        <x:v>672</x:v>
      </x:c>
      <x:c r="J2597" s="18" t="n">
        <x:f>MIN(Model_Config_v3!$B$6,I2597+Model_Config_v3!$B$7)</x:f>
        <x:v>692</x:v>
      </x:c>
      <x:c r="K2597" s="20" t="n">
        <x:v>59.9</x:v>
      </x:c>
      <x:c r="L2597" t="str">
        <x:v>KETAT</x:v>
      </x:c>
      <x:c r="M2597" t="str">
        <x:v>SEDANG+</x:v>
      </x:c>
      <x:c r="N2597" t="str">
        <x:v>REGULER</x:v>
      </x:c>
      <x:c r="O2597" t="str">
        <x:v>CAMPURAN</x:v>
      </x:c>
      <x:c r="P2597" t="str">
        <x:v>PENDIDIKAN</x:v>
      </x:c>
      <x:c r="Q2597" s="18" t="n">
        <x:v>0</x:v>
      </x:c>
      <x:c r="R2597" s="18" t="n">
        <x:v>0</x:v>
      </x:c>
      <x:c r="S2597" s="18" t="n">
        <x:v>651.8690742190562</x:v>
      </x:c>
      <x:c r="T2597" s="18" t="n">
        <x:v>680</x:v>
      </x:c>
      <x:c r="U2597" s="18" t="n">
        <x:v>651.8690742190562</x:v>
      </x:c>
      <x:c r="V2597" s="20" t="n">
        <x:v>8.8</x:v>
      </x:c>
      <x:c r="W2597" s="20" t="n">
        <x:v>9.9</x:v>
      </x:c>
      <x:c r="X2597" s="20" t="n">
        <x:v>3.3</x:v>
      </x:c>
      <x:c r="Y2597" t="str">
        <x:v>Basis arsip 2025/2024</x:v>
      </x:c>
      <x:c r="Z2597" t="str">
        <x:v>https://snpmb.id/utbk-snbt/daya-tampung-snbt</x:v>
      </x:c>
      <x:c r="AA2597" t="str">
        <x:v>Tidak Ada</x:v>
      </x:c>
      <x:c r="AB2597" t="str">
        <x:v>Campus=55; Ratio=70.6; Prodi=45; RelDemand=100.0; Capacity=40.0</x:v>
      </x:c>
    </x:row>
    <x:row r="2598">
      <x:c r="A2598" t="n">
        <x:v>2595</x:v>
      </x:c>
      <x:c r="B2598" t="str">
        <x:v>PTN Akademik</x:v>
      </x:c>
      <x:c r="C2598" t="str">
        <x:v>UNIVERSITAS TANJUNGPURA</x:v>
      </x:c>
      <x:c r="D2598" t="str">
        <x:v>BIMBINGAN DAN KONSELING</x:v>
      </x:c>
      <x:c r="E2598" t="str">
        <x:v>Sarjana</x:v>
      </x:c>
      <x:c r="F2598" s="18" t="n">
        <x:v>36</x:v>
      </x:c>
      <x:c r="G2598" s="18" t="n">
        <x:v>154</x:v>
      </x:c>
      <x:c r="H2598" s="19" t="n">
        <x:v>4.277777777777778</x:v>
      </x:c>
      <x:c r="I2598" s="18" t="n">
        <x:f>ROUND(MIN(Model_Config_v3!$B$6,MAX(Q2598,R2598,S2598*Model_Config_v3!$B$4+T2598*Model_Config_v3!$B$5)),0)</x:f>
        <x:v>635</x:v>
      </x:c>
      <x:c r="J2598" s="18" t="n">
        <x:f>MIN(Model_Config_v3!$B$6,I2598+Model_Config_v3!$B$7)</x:f>
        <x:v>655</x:v>
      </x:c>
      <x:c r="K2598" s="20" t="n">
        <x:v>47.5</x:v>
      </x:c>
      <x:c r="L2598" t="str">
        <x:v>MENENGAH</x:v>
      </x:c>
      <x:c r="M2598" t="str">
        <x:v>SEDANG</x:v>
      </x:c>
      <x:c r="N2598" t="str">
        <x:v>REGULER</x:v>
      </x:c>
      <x:c r="O2598" t="str">
        <x:v>CAMPURAN</x:v>
      </x:c>
      <x:c r="P2598" t="str">
        <x:v>UMUM</x:v>
      </x:c>
      <x:c r="Q2598" s="18" t="n">
        <x:v>0</x:v>
      </x:c>
      <x:c r="R2598" s="18" t="n">
        <x:v>0</x:v>
      </x:c>
      <x:c r="S2598" s="18" t="n">
        <x:v>589.4340042076093</x:v>
      </x:c>
      <x:c r="T2598" s="18" t="n">
        <x:v>655</x:v>
      </x:c>
      <x:c r="U2598" s="18" t="n">
        <x:v>589.4340042076093</x:v>
      </x:c>
      <x:c r="V2598" s="20" t="n">
        <x:v>8.8</x:v>
      </x:c>
      <x:c r="W2598" s="20" t="n">
        <x:v>9.9</x:v>
      </x:c>
      <x:c r="X2598" s="20" t="n">
        <x:v>3.3</x:v>
      </x:c>
      <x:c r="Y2598" t="str">
        <x:v>Basis arsip 2025/2024</x:v>
      </x:c>
      <x:c r="Z2598" t="str">
        <x:v>https://snpmb.id/utbk-snbt/daya-tampung-snbt</x:v>
      </x:c>
      <x:c r="AA2598" t="str">
        <x:v>Tidak Ada</x:v>
      </x:c>
      <x:c r="AB2598" t="str">
        <x:v>Campus=55; Ratio=37.2; Prodi=40; RelDemand=39.9; Capacity=70.0</x:v>
      </x:c>
    </x:row>
    <x:row r="2599">
      <x:c r="A2599" t="n">
        <x:v>2596</x:v>
      </x:c>
      <x:c r="B2599" t="str">
        <x:v>PTN Akademik</x:v>
      </x:c>
      <x:c r="C2599" t="str">
        <x:v>UNIVERSITAS TANJUNGPURA</x:v>
      </x:c>
      <x:c r="D2599" t="str">
        <x:v>AKUNTANSI (KELAS INTERNASIONAL)</x:v>
      </x:c>
      <x:c r="E2599" t="str">
        <x:v>Sarjana</x:v>
      </x:c>
      <x:c r="F2599" s="18" t="n">
        <x:v>25</x:v>
      </x:c>
      <x:c r="G2599" s="18" t="n">
        <x:v>63</x:v>
      </x:c>
      <x:c r="H2599" s="19" t="n">
        <x:v>2.52</x:v>
      </x:c>
      <x:c r="I2599" s="18" t="n">
        <x:f>ROUND(MIN(Model_Config_v3!$B$6,MAX(Q2599,R2599,S2599*Model_Config_v3!$B$4+T2599*Model_Config_v3!$B$5)),0)</x:f>
        <x:v>629</x:v>
      </x:c>
      <x:c r="J2599" s="18" t="n">
        <x:f>MIN(Model_Config_v3!$B$6,I2599+Model_Config_v3!$B$7)</x:f>
        <x:v>649</x:v>
      </x:c>
      <x:c r="K2599" s="20" t="n">
        <x:v>48.4</x:v>
      </x:c>
      <x:c r="L2599" t="str">
        <x:v>MENENGAH</x:v>
      </x:c>
      <x:c r="M2599" t="str">
        <x:v>SEDANG+</x:v>
      </x:c>
      <x:c r="N2599" t="str">
        <x:v>REGULER</x:v>
      </x:c>
      <x:c r="O2599" t="str">
        <x:v>SOSHUM</x:v>
      </x:c>
      <x:c r="P2599" t="str">
        <x:v>BISNIS/EKONOMI/AKUNTANSI</x:v>
      </x:c>
      <x:c r="Q2599" s="18" t="n">
        <x:v>0</x:v>
      </x:c>
      <x:c r="R2599" s="18" t="n">
        <x:v>0</x:v>
      </x:c>
      <x:c r="S2599" s="18" t="n">
        <x:v>564.1540594859698</x:v>
      </x:c>
      <x:c r="T2599" s="18" t="n">
        <x:v>657</x:v>
      </x:c>
      <x:c r="U2599" s="18" t="n">
        <x:v>564.1540594859698</x:v>
      </x:c>
      <x:c r="V2599" s="20" t="n">
        <x:v>4.4</x:v>
      </x:c>
      <x:c r="W2599" s="20" t="n">
        <x:v>14.3</x:v>
      </x:c>
      <x:c r="X2599" s="20" t="n">
        <x:v>3.3</x:v>
      </x:c>
      <x:c r="Y2599" t="str">
        <x:v>Basis arsip 2025/2024</x:v>
      </x:c>
      <x:c r="Z2599" t="str">
        <x:v>https://snpmb.id/utbk-snbt/daya-tampung-snbt</x:v>
      </x:c>
      <x:c r="AA2599" t="str">
        <x:v>Tidak Ada</x:v>
      </x:c>
      <x:c r="AB2599" t="str">
        <x:v>Campus=55; Ratio=23.6; Prodi=65; RelDemand=23.5; Capacity=79.2</x:v>
      </x:c>
    </x:row>
    <x:row r="2600">
      <x:c r="A2600" t="n">
        <x:v>2597</x:v>
      </x:c>
      <x:c r="B2600" t="str">
        <x:v>PTN Akademik</x:v>
      </x:c>
      <x:c r="C2600" t="str">
        <x:v>UNIVERSITAS TANJUNGPURA</x:v>
      </x:c>
      <x:c r="D2600" t="str">
        <x:v>ILMU KOMUNIKASI</x:v>
      </x:c>
      <x:c r="E2600" t="str">
        <x:v>Sarjana</x:v>
      </x:c>
      <x:c r="F2600" s="18" t="n">
        <x:v>41</x:v>
      </x:c>
      <x:c r="G2600" s="18" t="n">
        <x:v>562</x:v>
      </x:c>
      <x:c r="H2600" s="19" t="n">
        <x:v>13.707317073170731</x:v>
      </x:c>
      <x:c r="I2600" s="18" t="n">
        <x:f>ROUND(MIN(Model_Config_v3!$B$6,MAX(Q2600,R2600,S2600*Model_Config_v3!$B$4+T2600*Model_Config_v3!$B$5)),0)</x:f>
        <x:v>670</x:v>
      </x:c>
      <x:c r="J2600" s="18" t="n">
        <x:f>MIN(Model_Config_v3!$B$6,I2600+Model_Config_v3!$B$7)</x:f>
        <x:v>690</x:v>
      </x:c>
      <x:c r="K2600" s="20" t="n">
        <x:v>60.6</x:v>
      </x:c>
      <x:c r="L2600" t="str">
        <x:v>KETAT</x:v>
      </x:c>
      <x:c r="M2600" t="str">
        <x:v>SEDANG</x:v>
      </x:c>
      <x:c r="N2600" t="str">
        <x:v>REGULER</x:v>
      </x:c>
      <x:c r="O2600" t="str">
        <x:v>SOSHUM</x:v>
      </x:c>
      <x:c r="P2600" t="str">
        <x:v>UMUM</x:v>
      </x:c>
      <x:c r="Q2600" s="18" t="n">
        <x:v>0</x:v>
      </x:c>
      <x:c r="R2600" s="18" t="n">
        <x:v>0</x:v>
      </x:c>
      <x:c r="S2600" s="18" t="n">
        <x:v>645.0647704734258</x:v>
      </x:c>
      <x:c r="T2600" s="18" t="n">
        <x:v>681</x:v>
      </x:c>
      <x:c r="U2600" s="18" t="n">
        <x:v>645.0647704734258</x:v>
      </x:c>
      <x:c r="V2600" s="20" t="n">
        <x:v>4.4</x:v>
      </x:c>
      <x:c r="W2600" s="20" t="n">
        <x:v>14.3</x:v>
      </x:c>
      <x:c r="X2600" s="20" t="n">
        <x:v>3.3</x:v>
      </x:c>
      <x:c r="Y2600" t="str">
        <x:v>Basis arsip 2025/2024</x:v>
      </x:c>
      <x:c r="Z2600" t="str">
        <x:v>https://snpmb.id/utbk-snbt/daya-tampung-snbt</x:v>
      </x:c>
      <x:c r="AA2600" t="str">
        <x:v>Tidak Ada</x:v>
      </x:c>
      <x:c r="AB2600" t="str">
        <x:v>Campus=55; Ratio=66.9; Prodi=40; RelDemand=100.0; Capacity=65.8</x:v>
      </x:c>
    </x:row>
    <x:row r="2601">
      <x:c r="A2601" t="n">
        <x:v>2598</x:v>
      </x:c>
      <x:c r="B2601" t="str">
        <x:v>PTN Akademik</x:v>
      </x:c>
      <x:c r="C2601" t="str">
        <x:v>UNIVERSITAS TANJUNGPURA</x:v>
      </x:c>
      <x:c r="D2601" t="str">
        <x:v>ILMU PEMERINTAHAN</x:v>
      </x:c>
      <x:c r="E2601" t="str">
        <x:v>Sarjana</x:v>
      </x:c>
      <x:c r="F2601" s="18" t="n">
        <x:v>56</x:v>
      </x:c>
      <x:c r="G2601" s="18" t="n">
        <x:v>450</x:v>
      </x:c>
      <x:c r="H2601" s="19" t="n">
        <x:v>8.035714285714286</x:v>
      </x:c>
      <x:c r="I2601" s="18" t="n">
        <x:f>ROUND(MIN(Model_Config_v3!$B$6,MAX(Q2601,R2601,S2601*Model_Config_v3!$B$4+T2601*Model_Config_v3!$B$5)),0)</x:f>
        <x:v>653</x:v>
      </x:c>
      <x:c r="J2601" s="18" t="n">
        <x:f>MIN(Model_Config_v3!$B$6,I2601+Model_Config_v3!$B$7)</x:f>
        <x:v>673</x:v>
      </x:c>
      <x:c r="K2601" s="20" t="n">
        <x:v>53.4</x:v>
      </x:c>
      <x:c r="L2601" t="str">
        <x:v>MENENGAH</x:v>
      </x:c>
      <x:c r="M2601" t="str">
        <x:v>SEDANG</x:v>
      </x:c>
      <x:c r="N2601" t="str">
        <x:v>REGULER</x:v>
      </x:c>
      <x:c r="O2601" t="str">
        <x:v>CAMPURAN</x:v>
      </x:c>
      <x:c r="P2601" t="str">
        <x:v>UMUM</x:v>
      </x:c>
      <x:c r="Q2601" s="18" t="n">
        <x:v>0</x:v>
      </x:c>
      <x:c r="R2601" s="18" t="n">
        <x:v>0</x:v>
      </x:c>
      <x:c r="S2601" s="18" t="n">
        <x:v>619.5526935446057</x:v>
      </x:c>
      <x:c r="T2601" s="18" t="n">
        <x:v>667</x:v>
      </x:c>
      <x:c r="U2601" s="18" t="n">
        <x:v>619.5526935446057</x:v>
      </x:c>
      <x:c r="V2601" s="20" t="n">
        <x:v>8.8</x:v>
      </x:c>
      <x:c r="W2601" s="20" t="n">
        <x:v>9.9</x:v>
      </x:c>
      <x:c r="X2601" s="20" t="n">
        <x:v>3.3</x:v>
      </x:c>
      <x:c r="Y2601" t="str">
        <x:v>Basis arsip 2025/2024</x:v>
      </x:c>
      <x:c r="Z2601" t="str">
        <x:v>https://snpmb.id/utbk-snbt/daya-tampung-snbt</x:v>
      </x:c>
      <x:c r="AA2601" t="str">
        <x:v>Tidak Ada</x:v>
      </x:c>
      <x:c r="AB2601" t="str">
        <x:v>Campus=55; Ratio=53.3; Prodi=40; RelDemand=74.9; Capacity=53.3</x:v>
      </x:c>
    </x:row>
    <x:row r="2602">
      <x:c r="A2602" t="n">
        <x:v>2599</x:v>
      </x:c>
      <x:c r="B2602" t="str">
        <x:v>PTN Akademik</x:v>
      </x:c>
      <x:c r="C2602" t="str">
        <x:v>UNIVERSITAS TANJUNGPURA</x:v>
      </x:c>
      <x:c r="D2602" t="str">
        <x:v>EKONOMI ISLAM</x:v>
      </x:c>
      <x:c r="E2602" t="str">
        <x:v>Sarjana</x:v>
      </x:c>
      <x:c r="F2602" s="18" t="n">
        <x:v>40</x:v>
      </x:c>
      <x:c r="G2602" s="18" t="n">
        <x:v>102</x:v>
      </x:c>
      <x:c r="H2602" s="19" t="n">
        <x:v>2.55</x:v>
      </x:c>
      <x:c r="I2602" s="18" t="n">
        <x:f>ROUND(MIN(Model_Config_v3!$B$6,MAX(Q2602,R2602,S2602*Model_Config_v3!$B$4+T2602*Model_Config_v3!$B$5)),0)</x:f>
        <x:v>621</x:v>
      </x:c>
      <x:c r="J2602" s="18" t="n">
        <x:f>MIN(Model_Config_v3!$B$6,I2602+Model_Config_v3!$B$7)</x:f>
        <x:v>641</x:v>
      </x:c>
      <x:c r="K2602" s="20" t="n">
        <x:v>42.3</x:v>
      </x:c>
      <x:c r="L2602" t="str">
        <x:v>RELATIF LONGGAR</x:v>
      </x:c>
      <x:c r="M2602" t="str">
        <x:v>SEDANG</x:v>
      </x:c>
      <x:c r="N2602" t="str">
        <x:v>REGULER</x:v>
      </x:c>
      <x:c r="O2602" t="str">
        <x:v>SOSHUM</x:v>
      </x:c>
      <x:c r="P2602" t="str">
        <x:v>UMUM</x:v>
      </x:c>
      <x:c r="Q2602" s="18" t="n">
        <x:v>0</x:v>
      </x:c>
      <x:c r="R2602" s="18" t="n">
        <x:v>0</x:v>
      </x:c>
      <x:c r="S2602" s="18" t="n">
        <x:v>564.719419847735</x:v>
      </x:c>
      <x:c r="T2602" s="18" t="n">
        <x:v>645</x:v>
      </x:c>
      <x:c r="U2602" s="18" t="n">
        <x:v>564.719419847735</x:v>
      </x:c>
      <x:c r="V2602" s="20" t="n">
        <x:v>4.4</x:v>
      </x:c>
      <x:c r="W2602" s="20" t="n">
        <x:v>14.3</x:v>
      </x:c>
      <x:c r="X2602" s="20" t="n">
        <x:v>3.3</x:v>
      </x:c>
      <x:c r="Y2602" t="str">
        <x:v>Basis arsip 2025/2024</x:v>
      </x:c>
      <x:c r="Z2602" t="str">
        <x:v>https://snpmb.id/utbk-snbt/daya-tampung-snbt</x:v>
      </x:c>
      <x:c r="AA2602" t="str">
        <x:v>Tidak Ada</x:v>
      </x:c>
      <x:c r="AB2602" t="str">
        <x:v>Campus=55; Ratio=23.9; Prodi=40; RelDemand=23.8; Capacity=66.7</x:v>
      </x:c>
    </x:row>
    <x:row r="2603">
      <x:c r="A2603" t="n">
        <x:v>2600</x:v>
      </x:c>
      <x:c r="B2603" t="str">
        <x:v>PTN Akademik</x:v>
      </x:c>
      <x:c r="C2603" t="str">
        <x:v>UNIVERSITAS TANJUNGPURA</x:v>
      </x:c>
      <x:c r="D2603" t="str">
        <x:v>PENDIDIKAN PANCASILA DAN KEWARGANEGARAAN</x:v>
      </x:c>
      <x:c r="E2603" t="str">
        <x:v>Sarjana</x:v>
      </x:c>
      <x:c r="F2603" s="18" t="n">
        <x:v>18</x:v>
      </x:c>
      <x:c r="G2603" s="18" t="n">
        <x:v>79</x:v>
      </x:c>
      <x:c r="H2603" s="19" t="n">
        <x:v>4.388888888888889</x:v>
      </x:c>
      <x:c r="I2603" s="18" t="n">
        <x:f>ROUND(MIN(Model_Config_v3!$B$6,MAX(Q2603,R2603,S2603*Model_Config_v3!$B$4+T2603*Model_Config_v3!$B$5)),0)</x:f>
        <x:v>640</x:v>
      </x:c>
      <x:c r="J2603" s="18" t="n">
        <x:f>MIN(Model_Config_v3!$B$6,I2603+Model_Config_v3!$B$7)</x:f>
        <x:v>660</x:v>
      </x:c>
      <x:c r="K2603" s="20" t="n">
        <x:v>50.3</x:v>
      </x:c>
      <x:c r="L2603" t="str">
        <x:v>MENENGAH</x:v>
      </x:c>
      <x:c r="M2603" t="str">
        <x:v>SEDANG+</x:v>
      </x:c>
      <x:c r="N2603" t="str">
        <x:v>REGULER</x:v>
      </x:c>
      <x:c r="O2603" t="str">
        <x:v>CAMPURAN</x:v>
      </x:c>
      <x:c r="P2603" t="str">
        <x:v>PENDIDIKAN</x:v>
      </x:c>
      <x:c r="Q2603" s="18" t="n">
        <x:v>0</x:v>
      </x:c>
      <x:c r="R2603" s="18" t="n">
        <x:v>0</x:v>
      </x:c>
      <x:c r="S2603" s="18" t="n">
        <x:v>590.6590044805848</x:v>
      </x:c>
      <x:c r="T2603" s="18" t="n">
        <x:v>661</x:v>
      </x:c>
      <x:c r="U2603" s="18" t="n">
        <x:v>590.6590044805848</x:v>
      </x:c>
      <x:c r="V2603" s="20" t="n">
        <x:v>8.8</x:v>
      </x:c>
      <x:c r="W2603" s="20" t="n">
        <x:v>9.9</x:v>
      </x:c>
      <x:c r="X2603" s="20" t="n">
        <x:v>3.3</x:v>
      </x:c>
      <x:c r="Y2603" t="str">
        <x:v>Basis arsip 2025/2024</x:v>
      </x:c>
      <x:c r="Z2603" t="str">
        <x:v>https://snpmb.id/utbk-snbt/daya-tampung-snbt</x:v>
      </x:c>
      <x:c r="AA2603" t="str">
        <x:v>Tidak Ada</x:v>
      </x:c>
      <x:c r="AB2603" t="str">
        <x:v>Campus=55; Ratio=37.8; Prodi=45; RelDemand=40.9; Capacity=85.0</x:v>
      </x:c>
    </x:row>
    <x:row r="2604">
      <x:c r="A2604" t="n">
        <x:v>2601</x:v>
      </x:c>
      <x:c r="B2604" t="str">
        <x:v>PTN Akademik</x:v>
      </x:c>
      <x:c r="C2604" t="str">
        <x:v>UNIVERSITAS TANJUNGPURA</x:v>
      </x:c>
      <x:c r="D2604" t="str">
        <x:v>PENDIDIKAN SEJARAH</x:v>
      </x:c>
      <x:c r="E2604" t="str">
        <x:v>Sarjana</x:v>
      </x:c>
      <x:c r="F2604" s="18" t="n">
        <x:v>36</x:v>
      </x:c>
      <x:c r="G2604" s="18" t="n">
        <x:v>94</x:v>
      </x:c>
      <x:c r="H2604" s="19" t="n">
        <x:v>2.611111111111111</x:v>
      </x:c>
      <x:c r="I2604" s="18" t="n">
        <x:f>ROUND(MIN(Model_Config_v3!$B$6,MAX(Q2604,R2604,S2604*Model_Config_v3!$B$4+T2604*Model_Config_v3!$B$5)),0)</x:f>
        <x:v>623</x:v>
      </x:c>
      <x:c r="J2604" s="18" t="n">
        <x:f>MIN(Model_Config_v3!$B$6,I2604+Model_Config_v3!$B$7)</x:f>
        <x:v>643</x:v>
      </x:c>
      <x:c r="K2604" s="20" t="n">
        <x:v>43.8</x:v>
      </x:c>
      <x:c r="L2604" t="str">
        <x:v>RELATIF LONGGAR</x:v>
      </x:c>
      <x:c r="M2604" t="str">
        <x:v>SEDANG+</x:v>
      </x:c>
      <x:c r="N2604" t="str">
        <x:v>REGULER</x:v>
      </x:c>
      <x:c r="O2604" t="str">
        <x:v>SOSHUM</x:v>
      </x:c>
      <x:c r="P2604" t="str">
        <x:v>PENDIDIKAN</x:v>
      </x:c>
      <x:c r="Q2604" s="18" t="n">
        <x:v>0</x:v>
      </x:c>
      <x:c r="R2604" s="18" t="n">
        <x:v>0</x:v>
      </x:c>
      <x:c r="S2604" s="18" t="n">
        <x:v>565.8507888115653</x:v>
      </x:c>
      <x:c r="T2604" s="18" t="n">
        <x:v>648</x:v>
      </x:c>
      <x:c r="U2604" s="18" t="n">
        <x:v>565.8507888115653</x:v>
      </x:c>
      <x:c r="V2604" s="20" t="n">
        <x:v>4.4</x:v>
      </x:c>
      <x:c r="W2604" s="20" t="n">
        <x:v>14.3</x:v>
      </x:c>
      <x:c r="X2604" s="20" t="n">
        <x:v>3.3</x:v>
      </x:c>
      <x:c r="Y2604" t="str">
        <x:v>Basis arsip 2025/2024</x:v>
      </x:c>
      <x:c r="Z2604" t="str">
        <x:v>https://snpmb.id/utbk-snbt/daya-tampung-snbt</x:v>
      </x:c>
      <x:c r="AA2604" t="str">
        <x:v>Tidak Ada</x:v>
      </x:c>
      <x:c r="AB2604" t="str">
        <x:v>Campus=55; Ratio=24.5; Prodi=45; RelDemand=24.3; Capacity=70.0</x:v>
      </x:c>
    </x:row>
    <x:row r="2605">
      <x:c r="A2605" t="n">
        <x:v>2602</x:v>
      </x:c>
      <x:c r="B2605" t="str">
        <x:v>PTN Akademik</x:v>
      </x:c>
      <x:c r="C2605" t="str">
        <x:v>UNIVERSITAS TANJUNGPURA</x:v>
      </x:c>
      <x:c r="D2605" t="str">
        <x:v>PENDIDIKAN GEOGRAFI</x:v>
      </x:c>
      <x:c r="E2605" t="str">
        <x:v>Sarjana</x:v>
      </x:c>
      <x:c r="F2605" s="18" t="n">
        <x:v>18</x:v>
      </x:c>
      <x:c r="G2605" s="18" t="n">
        <x:v>47</x:v>
      </x:c>
      <x:c r="H2605" s="19" t="n">
        <x:v>2.611111111111111</x:v>
      </x:c>
      <x:c r="I2605" s="18" t="n">
        <x:f>ROUND(MIN(Model_Config_v3!$B$6,MAX(Q2605,R2605,S2605*Model_Config_v3!$B$4+T2605*Model_Config_v3!$B$5)),0)</x:f>
        <x:v>625</x:v>
      </x:c>
      <x:c r="J2605" s="18" t="n">
        <x:f>MIN(Model_Config_v3!$B$6,I2605+Model_Config_v3!$B$7)</x:f>
        <x:v>645</x:v>
      </x:c>
      <x:c r="K2605" s="20" t="n">
        <x:v>45.3</x:v>
      </x:c>
      <x:c r="L2605" t="str">
        <x:v>MENENGAH</x:v>
      </x:c>
      <x:c r="M2605" t="str">
        <x:v>SEDANG+</x:v>
      </x:c>
      <x:c r="N2605" t="str">
        <x:v>REGULER</x:v>
      </x:c>
      <x:c r="O2605" t="str">
        <x:v>CAMPURAN</x:v>
      </x:c>
      <x:c r="P2605" t="str">
        <x:v>PENDIDIKAN</x:v>
      </x:c>
      <x:c r="Q2605" s="18" t="n">
        <x:v>0</x:v>
      </x:c>
      <x:c r="R2605" s="18" t="n">
        <x:v>0</x:v>
      </x:c>
      <x:c r="S2605" s="18" t="n">
        <x:v>565.8507888115653</x:v>
      </x:c>
      <x:c r="T2605" s="18" t="n">
        <x:v>651</x:v>
      </x:c>
      <x:c r="U2605" s="18" t="n">
        <x:v>565.8507888115653</x:v>
      </x:c>
      <x:c r="V2605" s="20" t="n">
        <x:v>8.8</x:v>
      </x:c>
      <x:c r="W2605" s="20" t="n">
        <x:v>9.9</x:v>
      </x:c>
      <x:c r="X2605" s="20" t="n">
        <x:v>3.3</x:v>
      </x:c>
      <x:c r="Y2605" t="str">
        <x:v>Basis arsip 2025/2024</x:v>
      </x:c>
      <x:c r="Z2605" t="str">
        <x:v>https://snpmb.id/utbk-snbt/daya-tampung-snbt</x:v>
      </x:c>
      <x:c r="AA2605" t="str">
        <x:v>Tidak Ada</x:v>
      </x:c>
      <x:c r="AB2605" t="str">
        <x:v>Campus=55; Ratio=24.5; Prodi=45; RelDemand=24.3; Capacity=85.0</x:v>
      </x:c>
    </x:row>
    <x:row r="2606">
      <x:c r="A2606" t="n">
        <x:v>2603</x:v>
      </x:c>
      <x:c r="B2606" t="str">
        <x:v>PTN Akademik</x:v>
      </x:c>
      <x:c r="C2606" t="str">
        <x:v>UNIVERSITAS TANJUNGPURA</x:v>
      </x:c>
      <x:c r="D2606" t="str">
        <x:v>PENDIDIKAN KEPELATIHAN OLAHRAGA</x:v>
      </x:c>
      <x:c r="E2606" t="str">
        <x:v>Sarjana</x:v>
      </x:c>
      <x:c r="F2606" s="18" t="n">
        <x:v>32</x:v>
      </x:c>
      <x:c r="G2606" s="18" t="n">
        <x:v>26</x:v>
      </x:c>
      <x:c r="H2606" s="19" t="n">
        <x:v>0.8125</x:v>
      </x:c>
      <x:c r="I2606" s="18" t="n">
        <x:f>ROUND(MIN(Model_Config_v3!$B$6,MAX(Q2606,R2606,S2606*Model_Config_v3!$B$4+T2606*Model_Config_v3!$B$5)),0)</x:f>
        <x:v>599</x:v>
      </x:c>
      <x:c r="J2606" s="18" t="n">
        <x:f>MIN(Model_Config_v3!$B$6,I2606+Model_Config_v3!$B$7)</x:f>
        <x:v>619</x:v>
      </x:c>
      <x:c r="K2606" s="20" t="n">
        <x:v>36.3</x:v>
      </x:c>
      <x:c r="L2606" t="str">
        <x:v>RELATIF LONGGAR</x:v>
      </x:c>
      <x:c r="M2606" t="str">
        <x:v>PORTOFOLIO</x:v>
      </x:c>
      <x:c r="N2606" t="str">
        <x:v>REGULER</x:v>
      </x:c>
      <x:c r="O2606" t="str">
        <x:v>SENI/OLAHRAGA</x:v>
      </x:c>
      <x:c r="P2606" t="str">
        <x:v>SENI/OLAHRAGA</x:v>
      </x:c>
      <x:c r="Q2606" s="18" t="n">
        <x:v>0</x:v>
      </x:c>
      <x:c r="R2606" s="18" t="n">
        <x:v>0</x:v>
      </x:c>
      <x:c r="S2606" s="18" t="n">
        <x:v>520</x:v>
      </x:c>
      <x:c r="T2606" s="18" t="n">
        <x:v>633</x:v>
      </x:c>
      <x:c r="U2606" s="18" t="n">
        <x:v>520</x:v>
      </x:c>
      <x:c r="V2606" s="20" t="n">
        <x:v>4.4</x:v>
      </x:c>
      <x:c r="W2606" s="20" t="n">
        <x:v>9.9</x:v>
      </x:c>
      <x:c r="X2606" s="20" t="n">
        <x:v>7.7</x:v>
      </x:c>
      <x:c r="Y2606" t="str">
        <x:v>Basis arsip 2025/2024</x:v>
      </x:c>
      <x:c r="Z2606" t="str">
        <x:v>https://snpmb.id/utbk-snbt/daya-tampung-snbt</x:v>
      </x:c>
      <x:c r="AA2606" t="str">
        <x:v>Olahraga</x:v>
      </x:c>
      <x:c r="AB2606" t="str">
        <x:v>Campus=55; Ratio=0.0; Prodi=45; RelDemand=7.6; Capacity=73.3</x:v>
      </x:c>
    </x:row>
    <x:row r="2607">
      <x:c r="A2607" t="n">
        <x:v>2604</x:v>
      </x:c>
      <x:c r="B2607" t="str">
        <x:v>PTN Akademik</x:v>
      </x:c>
      <x:c r="C2607" t="str">
        <x:v>UNIVERSITAS TANJUNGPURA</x:v>
      </x:c>
      <x:c r="D2607" t="str">
        <x:v>PENDIDIKAN ILMU PENGETAHUAN SOSIAL</x:v>
      </x:c>
      <x:c r="E2607" t="str">
        <x:v>Sarjana</x:v>
      </x:c>
      <x:c r="F2607" s="18" t="n">
        <x:v>18</x:v>
      </x:c>
      <x:c r="G2607" s="18" t="n">
        <x:v>73</x:v>
      </x:c>
      <x:c r="H2607" s="19" t="n">
        <x:v>4.055555555555555</x:v>
      </x:c>
      <x:c r="I2607" s="18" t="n">
        <x:f>ROUND(MIN(Model_Config_v3!$B$6,MAX(Q2607,R2607,S2607*Model_Config_v3!$B$4+T2607*Model_Config_v3!$B$5)),0)</x:f>
        <x:v>637</x:v>
      </x:c>
      <x:c r="J2607" s="18" t="n">
        <x:f>MIN(Model_Config_v3!$B$6,I2607+Model_Config_v3!$B$7)</x:f>
        <x:v>657</x:v>
      </x:c>
      <x:c r="K2607" s="20" t="n">
        <x:v>49.5</x:v>
      </x:c>
      <x:c r="L2607" t="str">
        <x:v>MENENGAH</x:v>
      </x:c>
      <x:c r="M2607" t="str">
        <x:v>SEDANG+</x:v>
      </x:c>
      <x:c r="N2607" t="str">
        <x:v>REGULER</x:v>
      </x:c>
      <x:c r="O2607" t="str">
        <x:v>CAMPURAN</x:v>
      </x:c>
      <x:c r="P2607" t="str">
        <x:v>PENDIDIKAN</x:v>
      </x:c>
      <x:c r="Q2607" s="18" t="n">
        <x:v>0</x:v>
      </x:c>
      <x:c r="R2607" s="18" t="n">
        <x:v>0</x:v>
      </x:c>
      <x:c r="S2607" s="18" t="n">
        <x:v>586.8855390518864</x:v>
      </x:c>
      <x:c r="T2607" s="18" t="n">
        <x:v>659</x:v>
      </x:c>
      <x:c r="U2607" s="18" t="n">
        <x:v>586.8855390518864</x:v>
      </x:c>
      <x:c r="V2607" s="20" t="n">
        <x:v>8.8</x:v>
      </x:c>
      <x:c r="W2607" s="20" t="n">
        <x:v>9.9</x:v>
      </x:c>
      <x:c r="X2607" s="20" t="n">
        <x:v>3.3</x:v>
      </x:c>
      <x:c r="Y2607" t="str">
        <x:v>Basis arsip 2025/2024</x:v>
      </x:c>
      <x:c r="Z2607" t="str">
        <x:v>https://snpmb.id/utbk-snbt/daya-tampung-snbt</x:v>
      </x:c>
      <x:c r="AA2607" t="str">
        <x:v>Tidak Ada</x:v>
      </x:c>
      <x:c r="AB2607" t="str">
        <x:v>Campus=55; Ratio=35.8; Prodi=45; RelDemand=37.8; Capacity=85.0</x:v>
      </x:c>
    </x:row>
    <x:row r="2608">
      <x:c r="A2608" t="n">
        <x:v>2605</x:v>
      </x:c>
      <x:c r="B2608" t="str">
        <x:v>PTN Akademik</x:v>
      </x:c>
      <x:c r="C2608" t="str">
        <x:v>UNIVERSITAS TANJUNGPURA</x:v>
      </x:c>
      <x:c r="D2608" t="str">
        <x:v>ILMU HUBUNGAN INTERNASIONAL</x:v>
      </x:c>
      <x:c r="E2608" t="str">
        <x:v>Sarjana</x:v>
      </x:c>
      <x:c r="F2608" s="18" t="n">
        <x:v>56</x:v>
      </x:c>
      <x:c r="G2608" s="18" t="n">
        <x:v>361</x:v>
      </x:c>
      <x:c r="H2608" s="19" t="n">
        <x:v>6.446428571428571</x:v>
      </x:c>
      <x:c r="I2608" s="18" t="n">
        <x:f>ROUND(MIN(Model_Config_v3!$B$6,MAX(Q2608,R2608,S2608*Model_Config_v3!$B$4+T2608*Model_Config_v3!$B$5)),0)</x:f>
        <x:v>645</x:v>
      </x:c>
      <x:c r="J2608" s="18" t="n">
        <x:f>MIN(Model_Config_v3!$B$6,I2608+Model_Config_v3!$B$7)</x:f>
        <x:v>665</x:v>
      </x:c>
      <x:c r="K2608" s="20" t="n">
        <x:v>50.5</x:v>
      </x:c>
      <x:c r="L2608" t="str">
        <x:v>MENENGAH</x:v>
      </x:c>
      <x:c r="M2608" t="str">
        <x:v>SEDANG</x:v>
      </x:c>
      <x:c r="N2608" t="str">
        <x:v>REGULER</x:v>
      </x:c>
      <x:c r="O2608" t="str">
        <x:v>SOSHUM</x:v>
      </x:c>
      <x:c r="P2608" t="str">
        <x:v>UMUM</x:v>
      </x:c>
      <x:c r="Q2608" s="18" t="n">
        <x:v>0</x:v>
      </x:c>
      <x:c r="R2608" s="18" t="n">
        <x:v>0</x:v>
      </x:c>
      <x:c r="S2608" s="18" t="n">
        <x:v>609.0251092389403</x:v>
      </x:c>
      <x:c r="T2608" s="18" t="n">
        <x:v>661</x:v>
      </x:c>
      <x:c r="U2608" s="18" t="n">
        <x:v>609.0251092389403</x:v>
      </x:c>
      <x:c r="V2608" s="20" t="n">
        <x:v>4.4</x:v>
      </x:c>
      <x:c r="W2608" s="20" t="n">
        <x:v>14.3</x:v>
      </x:c>
      <x:c r="X2608" s="20" t="n">
        <x:v>3.3</x:v>
      </x:c>
      <x:c r="Y2608" t="str">
        <x:v>Basis arsip 2025/2024</x:v>
      </x:c>
      <x:c r="Z2608" t="str">
        <x:v>https://snpmb.id/utbk-snbt/daya-tampung-snbt</x:v>
      </x:c>
      <x:c r="AA2608" t="str">
        <x:v>Tidak Ada</x:v>
      </x:c>
      <x:c r="AB2608" t="str">
        <x:v>Campus=55; Ratio=47.6; Prodi=40; RelDemand=60.1; Capacity=53.3</x:v>
      </x:c>
    </x:row>
    <x:row r="2609">
      <x:c r="A2609" t="n">
        <x:v>2606</x:v>
      </x:c>
      <x:c r="B2609" t="str">
        <x:v>PTN Akademik</x:v>
      </x:c>
      <x:c r="C2609" t="str">
        <x:v>UNIVERSITAS TANJUNGPURA</x:v>
      </x:c>
      <x:c r="D2609" t="str">
        <x:v>ANTROPOLOGI SOSIAL</x:v>
      </x:c>
      <x:c r="E2609" t="str">
        <x:v>Sarjana</x:v>
      </x:c>
      <x:c r="F2609" s="18" t="n">
        <x:v>41</x:v>
      </x:c>
      <x:c r="G2609" s="18" t="n">
        <x:v>94</x:v>
      </x:c>
      <x:c r="H2609" s="19" t="n">
        <x:v>2.292682926829268</x:v>
      </x:c>
      <x:c r="I2609" s="18" t="n">
        <x:f>ROUND(MIN(Model_Config_v3!$B$6,MAX(Q2609,R2609,S2609*Model_Config_v3!$B$4+T2609*Model_Config_v3!$B$5)),0)</x:f>
        <x:v>618</x:v>
      </x:c>
      <x:c r="J2609" s="18" t="n">
        <x:f>MIN(Model_Config_v3!$B$6,I2609+Model_Config_v3!$B$7)</x:f>
        <x:v>638</x:v>
      </x:c>
      <x:c r="K2609" s="20" t="n">
        <x:v>41.3</x:v>
      </x:c>
      <x:c r="L2609" t="str">
        <x:v>RELATIF LONGGAR</x:v>
      </x:c>
      <x:c r="M2609" t="str">
        <x:v>SEDANG</x:v>
      </x:c>
      <x:c r="N2609" t="str">
        <x:v>REGULER</x:v>
      </x:c>
      <x:c r="O2609" t="str">
        <x:v>SOSHUM</x:v>
      </x:c>
      <x:c r="P2609" t="str">
        <x:v>UMUM</x:v>
      </x:c>
      <x:c r="Q2609" s="18" t="n">
        <x:v>0</x:v>
      </x:c>
      <x:c r="R2609" s="18" t="n">
        <x:v>0</x:v>
      </x:c>
      <x:c r="S2609" s="18" t="n">
        <x:v>559.6378396567959</x:v>
      </x:c>
      <x:c r="T2609" s="18" t="n">
        <x:v>643</x:v>
      </x:c>
      <x:c r="U2609" s="18" t="n">
        <x:v>559.6378396567959</x:v>
      </x:c>
      <x:c r="V2609" s="20" t="n">
        <x:v>4.4</x:v>
      </x:c>
      <x:c r="W2609" s="20" t="n">
        <x:v>14.3</x:v>
      </x:c>
      <x:c r="X2609" s="20" t="n">
        <x:v>3.3</x:v>
      </x:c>
      <x:c r="Y2609" t="str">
        <x:v>Basis arsip 2025/2024</x:v>
      </x:c>
      <x:c r="Z2609" t="str">
        <x:v>https://snpmb.id/utbk-snbt/daya-tampung-snbt</x:v>
      </x:c>
      <x:c r="AA2609" t="str">
        <x:v>Tidak Ada</x:v>
      </x:c>
      <x:c r="AB2609" t="str">
        <x:v>Campus=55; Ratio=21.2; Prodi=40; RelDemand=21.4; Capacity=65.8</x:v>
      </x:c>
    </x:row>
    <x:row r="2610">
      <x:c r="A2610" t="n">
        <x:v>2607</x:v>
      </x:c>
      <x:c r="B2610" t="str">
        <x:v>PTN Akademik</x:v>
      </x:c>
      <x:c r="C2610" t="str">
        <x:v>UNIVERSITAS TANJUNGPURA</x:v>
      </x:c>
      <x:c r="D2610" t="str">
        <x:v>BUDIDAYA TANAMAN PERKEBUNAN</x:v>
      </x:c>
      <x:c r="E2610" t="str">
        <x:v>Diploma Tiga</x:v>
      </x:c>
      <x:c r="F2610" s="18" t="n">
        <x:v>20</x:v>
      </x:c>
      <x:c r="G2610" s="18" t="n">
        <x:v>316</x:v>
      </x:c>
      <x:c r="H2610" s="19" t="n">
        <x:v>15.8</x:v>
      </x:c>
      <x:c r="I2610" s="18" t="n">
        <x:f>ROUND(MIN(Model_Config_v3!$B$6,MAX(Q2610,R2610,S2610*Model_Config_v3!$B$4+T2610*Model_Config_v3!$B$5)),0)</x:f>
        <x:v>676</x:v>
      </x:c>
      <x:c r="J2610" s="18" t="n">
        <x:f>MIN(Model_Config_v3!$B$6,I2610+Model_Config_v3!$B$7)</x:f>
        <x:v>696</x:v>
      </x:c>
      <x:c r="K2610" s="20" t="n">
        <x:v>63.2</x:v>
      </x:c>
      <x:c r="L2610" t="str">
        <x:v>KETAT</x:v>
      </x:c>
      <x:c r="M2610" t="str">
        <x:v>SEDANG</x:v>
      </x:c>
      <x:c r="N2610" t="str">
        <x:v>REGULER</x:v>
      </x:c>
      <x:c r="O2610" t="str">
        <x:v>CAMPURAN</x:v>
      </x:c>
      <x:c r="P2610" t="str">
        <x:v>UMUM</x:v>
      </x:c>
      <x:c r="Q2610" s="18" t="n">
        <x:v>0</x:v>
      </x:c>
      <x:c r="R2610" s="18" t="n">
        <x:v>0</x:v>
      </x:c>
      <x:c r="S2610" s="18" t="n">
        <x:v>651.8522795649865</x:v>
      </x:c>
      <x:c r="T2610" s="18" t="n">
        <x:v>686</x:v>
      </x:c>
      <x:c r="U2610" s="18" t="n">
        <x:v>651.8522795649865</x:v>
      </x:c>
      <x:c r="V2610" s="20" t="n">
        <x:v>8.8</x:v>
      </x:c>
      <x:c r="W2610" s="20" t="n">
        <x:v>9.9</x:v>
      </x:c>
      <x:c r="X2610" s="20" t="n">
        <x:v>3.3</x:v>
      </x:c>
      <x:c r="Y2610" t="str">
        <x:v>Basis arsip 2025/2024</x:v>
      </x:c>
      <x:c r="Z2610" t="str">
        <x:v>https://snpmb.id/utbk-snbt/daya-tampung-snbt</x:v>
      </x:c>
      <x:c r="AA2610" t="str">
        <x:v>Tidak Ada</x:v>
      </x:c>
      <x:c r="AB2610" t="str">
        <x:v>Campus=55; Ratio=70.6; Prodi=40; RelDemand=100.0; Capacity=83.3</x:v>
      </x:c>
    </x:row>
    <x:row r="2611">
      <x:c r="A2611" t="n">
        <x:v>2608</x:v>
      </x:c>
      <x:c r="B2611" t="str">
        <x:v>PTN Akademik</x:v>
      </x:c>
      <x:c r="C2611" t="str">
        <x:v>UNIVERSITAS TANJUNGPURA</x:v>
      </x:c>
      <x:c r="D2611" t="str">
        <x:v>KEARSIPAN</x:v>
      </x:c>
      <x:c r="E2611" t="str">
        <x:v>Diploma Tiga</x:v>
      </x:c>
      <x:c r="F2611" s="18" t="n">
        <x:v>41</x:v>
      </x:c>
      <x:c r="G2611" s="18" t="n">
        <x:v>357</x:v>
      </x:c>
      <x:c r="H2611" s="19" t="n">
        <x:v>8.707317073170731</x:v>
      </x:c>
      <x:c r="I2611" s="18" t="n">
        <x:f>ROUND(MIN(Model_Config_v3!$B$6,MAX(Q2611,R2611,S2611*Model_Config_v3!$B$4+T2611*Model_Config_v3!$B$5)),0)</x:f>
        <x:v>657</x:v>
      </x:c>
      <x:c r="J2611" s="18" t="n">
        <x:f>MIN(Model_Config_v3!$B$6,I2611+Model_Config_v3!$B$7)</x:f>
        <x:v>677</x:v>
      </x:c>
      <x:c r="K2611" s="20" t="n">
        <x:v>55.8</x:v>
      </x:c>
      <x:c r="L2611" t="str">
        <x:v>KETAT</x:v>
      </x:c>
      <x:c r="M2611" t="str">
        <x:v>SEDANG</x:v>
      </x:c>
      <x:c r="N2611" t="str">
        <x:v>REGULER</x:v>
      </x:c>
      <x:c r="O2611" t="str">
        <x:v>CAMPURAN</x:v>
      </x:c>
      <x:c r="P2611" t="str">
        <x:v>UMUM</x:v>
      </x:c>
      <x:c r="Q2611" s="18" t="n">
        <x:v>0</x:v>
      </x:c>
      <x:c r="R2611" s="18" t="n">
        <x:v>0</x:v>
      </x:c>
      <x:c r="S2611" s="18" t="n">
        <x:v>623.3872795331704</x:v>
      </x:c>
      <x:c r="T2611" s="18" t="n">
        <x:v>672</x:v>
      </x:c>
      <x:c r="U2611" s="18" t="n">
        <x:v>623.3872795331704</x:v>
      </x:c>
      <x:c r="V2611" s="20" t="n">
        <x:v>8.8</x:v>
      </x:c>
      <x:c r="W2611" s="20" t="n">
        <x:v>9.9</x:v>
      </x:c>
      <x:c r="X2611" s="20" t="n">
        <x:v>3.3</x:v>
      </x:c>
      <x:c r="Y2611" t="str">
        <x:v>Basis arsip 2025/2024</x:v>
      </x:c>
      <x:c r="Z2611" t="str">
        <x:v>https://snpmb.id/utbk-snbt/daya-tampung-snbt</x:v>
      </x:c>
      <x:c r="AA2611" t="str">
        <x:v>Tidak Ada</x:v>
      </x:c>
      <x:c r="AB2611" t="str">
        <x:v>Campus=55; Ratio=55.3; Prodi=40; RelDemand=81.2; Capacity=65.8</x:v>
      </x:c>
    </x:row>
    <x:row r="2612">
      <x:c r="A2612" t="n">
        <x:v>2609</x:v>
      </x:c>
      <x:c r="B2612" t="str">
        <x:v>PTN Akademik</x:v>
      </x:c>
      <x:c r="C2612" t="str">
        <x:v>UNIVERSITAS TANJUNGPURA</x:v>
      </x:c>
      <x:c r="D2612" t="str">
        <x:v>PERPUSTAKAAN</x:v>
      </x:c>
      <x:c r="E2612" t="str">
        <x:v>Diploma Tiga</x:v>
      </x:c>
      <x:c r="F2612" s="18" t="n">
        <x:v>18</x:v>
      </x:c>
      <x:c r="G2612" s="18" t="n">
        <x:v>246</x:v>
      </x:c>
      <x:c r="H2612" s="19" t="n">
        <x:v>13.666666666666666</x:v>
      </x:c>
      <x:c r="I2612" s="18" t="n">
        <x:f>ROUND(MIN(Model_Config_v3!$B$6,MAX(Q2612,R2612,S2612*Model_Config_v3!$B$4+T2612*Model_Config_v3!$B$5)),0)</x:f>
        <x:v>673</x:v>
      </x:c>
      <x:c r="J2612" s="18" t="n">
        <x:f>MIN(Model_Config_v3!$B$6,I2612+Model_Config_v3!$B$7)</x:f>
        <x:v>693</x:v>
      </x:c>
      <x:c r="K2612" s="20" t="n">
        <x:v>62.5</x:v>
      </x:c>
      <x:c r="L2612" t="str">
        <x:v>KETAT</x:v>
      </x:c>
      <x:c r="M2612" t="str">
        <x:v>SEDANG</x:v>
      </x:c>
      <x:c r="N2612" t="str">
        <x:v>REGULER</x:v>
      </x:c>
      <x:c r="O2612" t="str">
        <x:v>CAMPURAN</x:v>
      </x:c>
      <x:c r="P2612" t="str">
        <x:v>UMUM</x:v>
      </x:c>
      <x:c r="Q2612" s="18" t="n">
        <x:v>0</x:v>
      </x:c>
      <x:c r="R2612" s="18" t="n">
        <x:v>0</x:v>
      </x:c>
      <x:c r="S2612" s="18" t="n">
        <x:v>644.922886220008</x:v>
      </x:c>
      <x:c r="T2612" s="18" t="n">
        <x:v>685</x:v>
      </x:c>
      <x:c r="U2612" s="18" t="n">
        <x:v>644.922886220008</x:v>
      </x:c>
      <x:c r="V2612" s="20" t="n">
        <x:v>8.8</x:v>
      </x:c>
      <x:c r="W2612" s="20" t="n">
        <x:v>9.9</x:v>
      </x:c>
      <x:c r="X2612" s="20" t="n">
        <x:v>3.3</x:v>
      </x:c>
      <x:c r="Y2612" t="str">
        <x:v>Basis arsip 2025/2024</x:v>
      </x:c>
      <x:c r="Z2612" t="str">
        <x:v>https://snpmb.id/utbk-snbt/daya-tampung-snbt</x:v>
      </x:c>
      <x:c r="AA2612" t="str">
        <x:v>Tidak Ada</x:v>
      </x:c>
      <x:c r="AB2612" t="str">
        <x:v>Campus=55; Ratio=66.8; Prodi=40; RelDemand=100.0; Capacity=85.0</x:v>
      </x:c>
    </x:row>
    <x:row r="2613">
      <x:c r="A2613" t="n">
        <x:v>2610</x:v>
      </x:c>
      <x:c r="B2613" t="str">
        <x:v>PTN Akademik</x:v>
      </x:c>
      <x:c r="C2613" t="str">
        <x:v>UNIVERSITAS TANJUNGPURA</x:v>
      </x:c>
      <x:c r="D2613" t="str">
        <x:v>KESEKRETARIATAN</x:v>
      </x:c>
      <x:c r="E2613" t="str">
        <x:v>Diploma Tiga</x:v>
      </x:c>
      <x:c r="F2613" s="18" t="n">
        <x:v>41</x:v>
      </x:c>
      <x:c r="G2613" s="18" t="n">
        <x:v>364</x:v>
      </x:c>
      <x:c r="H2613" s="19" t="n">
        <x:v>8.878048780487806</x:v>
      </x:c>
      <x:c r="I2613" s="18" t="n">
        <x:f>ROUND(MIN(Model_Config_v3!$B$6,MAX(Q2613,R2613,S2613*Model_Config_v3!$B$4+T2613*Model_Config_v3!$B$5)),0)</x:f>
        <x:v>658</x:v>
      </x:c>
      <x:c r="J2613" s="18" t="n">
        <x:f>MIN(Model_Config_v3!$B$6,I2613+Model_Config_v3!$B$7)</x:f>
        <x:v>678</x:v>
      </x:c>
      <x:c r="K2613" s="20" t="n">
        <x:v>56.1</x:v>
      </x:c>
      <x:c r="L2613" t="str">
        <x:v>KETAT</x:v>
      </x:c>
      <x:c r="M2613" t="str">
        <x:v>SEDANG</x:v>
      </x:c>
      <x:c r="N2613" t="str">
        <x:v>REGULER</x:v>
      </x:c>
      <x:c r="O2613" t="str">
        <x:v>CAMPURAN</x:v>
      </x:c>
      <x:c r="P2613" t="str">
        <x:v>UMUM</x:v>
      </x:c>
      <x:c r="Q2613" s="18" t="n">
        <x:v>0</x:v>
      </x:c>
      <x:c r="R2613" s="18" t="n">
        <x:v>0</x:v>
      </x:c>
      <x:c r="S2613" s="18" t="n">
        <x:v>624.3149279622253</x:v>
      </x:c>
      <x:c r="T2613" s="18" t="n">
        <x:v>672</x:v>
      </x:c>
      <x:c r="U2613" s="18" t="n">
        <x:v>624.3149279622253</x:v>
      </x:c>
      <x:c r="V2613" s="20" t="n">
        <x:v>8.8</x:v>
      </x:c>
      <x:c r="W2613" s="20" t="n">
        <x:v>9.9</x:v>
      </x:c>
      <x:c r="X2613" s="20" t="n">
        <x:v>3.3</x:v>
      </x:c>
      <x:c r="Y2613" t="str">
        <x:v>Basis arsip 2025/2024</x:v>
      </x:c>
      <x:c r="Z2613" t="str">
        <x:v>https://snpmb.id/utbk-snbt/daya-tampung-snbt</x:v>
      </x:c>
      <x:c r="AA2613" t="str">
        <x:v>Tidak Ada</x:v>
      </x:c>
      <x:c r="AB2613" t="str">
        <x:v>Campus=55; Ratio=55.8; Prodi=40; RelDemand=82.8; Capacity=65.8</x:v>
      </x:c>
    </x:row>
    <x:row r="2614">
      <x:c r="A2614" t="n">
        <x:v>2611</x:v>
      </x:c>
      <x:c r="B2614" t="str">
        <x:v>PTN Akademik</x:v>
      </x:c>
      <x:c r="C2614" t="str">
        <x:v>UNIVERSITAS TANJUNGPURA</x:v>
      </x:c>
      <x:c r="D2614" t="str">
        <x:v>ADMINISTRASI PERKANTORAN</x:v>
      </x:c>
      <x:c r="E2614" t="str">
        <x:v>Diploma Tiga</x:v>
      </x:c>
      <x:c r="F2614" s="18" t="n">
        <x:v>41</x:v>
      </x:c>
      <x:c r="G2614" s="18" t="n">
        <x:v>1340</x:v>
      </x:c>
      <x:c r="H2614" s="19" t="n">
        <x:v>32.68292682926829</x:v>
      </x:c>
      <x:c r="I2614" s="18" t="n">
        <x:f>ROUND(MIN(Model_Config_v3!$B$6,MAX(Q2614,R2614,S2614*Model_Config_v3!$B$4+T2614*Model_Config_v3!$B$5)),0)</x:f>
        <x:v>690</x:v>
      </x:c>
      <x:c r="J2614" s="18" t="n">
        <x:f>MIN(Model_Config_v3!$B$6,I2614+Model_Config_v3!$B$7)</x:f>
        <x:v>710</x:v>
      </x:c>
      <x:c r="K2614" s="20" t="n">
        <x:v>66.1</x:v>
      </x:c>
      <x:c r="L2614" t="str">
        <x:v>SANGAT KETAT</x:v>
      </x:c>
      <x:c r="M2614" t="str">
        <x:v>SEDANG</x:v>
      </x:c>
      <x:c r="N2614" t="str">
        <x:v>REGULER</x:v>
      </x:c>
      <x:c r="O2614" t="str">
        <x:v>SOSHUM</x:v>
      </x:c>
      <x:c r="P2614" t="str">
        <x:v>UMUM</x:v>
      </x:c>
      <x:c r="Q2614" s="18" t="n">
        <x:v>0</x:v>
      </x:c>
      <x:c r="R2614" s="18" t="n">
        <x:v>0</x:v>
      </x:c>
      <x:c r="S2614" s="18" t="n">
        <x:v>686.5753035809579</x:v>
      </x:c>
      <x:c r="T2614" s="18" t="n">
        <x:v>692</x:v>
      </x:c>
      <x:c r="U2614" s="18" t="n">
        <x:v>686.5753035809579</x:v>
      </x:c>
      <x:c r="V2614" s="20" t="n">
        <x:v>4.4</x:v>
      </x:c>
      <x:c r="W2614" s="20" t="n">
        <x:v>14.3</x:v>
      </x:c>
      <x:c r="X2614" s="20" t="n">
        <x:v>3.3</x:v>
      </x:c>
      <x:c r="Y2614" t="str">
        <x:v>Basis arsip 2025/2024</x:v>
      </x:c>
      <x:c r="Z2614" t="str">
        <x:v>https://snpmb.id/utbk-snbt/daya-tampung-snbt</x:v>
      </x:c>
      <x:c r="AA2614" t="str">
        <x:v>Tidak Ada</x:v>
      </x:c>
      <x:c r="AB2614" t="str">
        <x:v>Campus=55; Ratio=89.1; Prodi=40; RelDemand=100.0; Capacity=65.8</x:v>
      </x:c>
    </x:row>
    <x:row r="2615">
      <x:c r="A2615" t="n">
        <x:v>2612</x:v>
      </x:c>
      <x:c r="B2615" t="str">
        <x:v>PTN Akademik</x:v>
      </x:c>
      <x:c r="C2615" t="str">
        <x:v>UNIVERSITAS PALANGKARAYA</x:v>
      </x:c>
      <x:c r="D2615" t="str">
        <x:v>ILMU SOSIAL EKONOMI PERTANIAN (AGRIBISNIS)</x:v>
      </x:c>
      <x:c r="E2615" t="str">
        <x:v>Sarjana</x:v>
      </x:c>
      <x:c r="F2615" s="18" t="n">
        <x:v>60</x:v>
      </x:c>
      <x:c r="G2615" s="18" t="n">
        <x:v>97</x:v>
      </x:c>
      <x:c r="H2615" s="19" t="n">
        <x:v>1.6166666666666667</x:v>
      </x:c>
      <x:c r="I2615" s="18" t="n">
        <x:f>ROUND(MIN(Model_Config_v3!$B$6,MAX(Q2615,R2615,S2615*Model_Config_v3!$B$4+T2615*Model_Config_v3!$B$5)),0)</x:f>
        <x:v>615</x:v>
      </x:c>
      <x:c r="J2615" s="18" t="n">
        <x:f>MIN(Model_Config_v3!$B$6,I2615+Model_Config_v3!$B$7)</x:f>
        <x:v>635</x:v>
      </x:c>
      <x:c r="K2615" s="20" t="n">
        <x:v>43</x:v>
      </x:c>
      <x:c r="L2615" t="str">
        <x:v>RELATIF LONGGAR</x:v>
      </x:c>
      <x:c r="M2615" t="str">
        <x:v>SEDANG+</x:v>
      </x:c>
      <x:c r="N2615" t="str">
        <x:v>REGULER</x:v>
      </x:c>
      <x:c r="O2615" t="str">
        <x:v>SAINTEK</x:v>
      </x:c>
      <x:c r="P2615" t="str">
        <x:v>BISNIS/EKONOMI/AKUNTANSI</x:v>
      </x:c>
      <x:c r="Q2615" s="18" t="n">
        <x:v>0</x:v>
      </x:c>
      <x:c r="R2615" s="18" t="n">
        <x:v>0</x:v>
      </x:c>
      <x:c r="S2615" s="18" t="n">
        <x:v>542.9482532270862</x:v>
      </x:c>
      <x:c r="T2615" s="18" t="n">
        <x:v>646</x:v>
      </x:c>
      <x:c r="U2615" s="18" t="n">
        <x:v>557.9482532270862</x:v>
      </x:c>
      <x:c r="V2615" s="20" t="n">
        <x:v>12</x:v>
      </x:c>
      <x:c r="W2615" s="20" t="n">
        <x:v>5</x:v>
      </x:c>
      <x:c r="X2615" s="20" t="n">
        <x:v>3</x:v>
      </x:c>
      <x:c r="Y2615" t="str">
        <x:v>Basis arsip 2025/2024</x:v>
      </x:c>
      <x:c r="Z2615" t="str">
        <x:v>https://snpmb.id/utbk-snbt/daya-tampung-snbt</x:v>
      </x:c>
      <x:c r="AA2615" t="str">
        <x:v>Tidak Ada</x:v>
      </x:c>
      <x:c r="AB2615" t="str">
        <x:v>Campus=55; Ratio=12.3; Prodi=65; RelDemand=26.6; Capacity=50.0</x:v>
      </x:c>
    </x:row>
    <x:row r="2616">
      <x:c r="A2616" t="n">
        <x:v>2613</x:v>
      </x:c>
      <x:c r="B2616" t="str">
        <x:v>PTN Akademik</x:v>
      </x:c>
      <x:c r="C2616" t="str">
        <x:v>UNIVERSITAS PALANGKARAYA</x:v>
      </x:c>
      <x:c r="D2616" t="str">
        <x:v>MANAJEMEN SUMBERDAYA PERAIRAN</x:v>
      </x:c>
      <x:c r="E2616" t="str">
        <x:v>Sarjana</x:v>
      </x:c>
      <x:c r="F2616" s="18" t="n">
        <x:v>20</x:v>
      </x:c>
      <x:c r="G2616" s="18" t="n">
        <x:v>25</x:v>
      </x:c>
      <x:c r="H2616" s="19" t="n">
        <x:v>1.25</x:v>
      </x:c>
      <x:c r="I2616" s="18" t="n">
        <x:f>ROUND(MIN(Model_Config_v3!$B$6,MAX(Q2616,R2616,S2616*Model_Config_v3!$B$4+T2616*Model_Config_v3!$B$5)),0)</x:f>
        <x:v>613</x:v>
      </x:c>
      <x:c r="J2616" s="18" t="n">
        <x:f>MIN(Model_Config_v3!$B$6,I2616+Model_Config_v3!$B$7)</x:f>
        <x:v>633</x:v>
      </x:c>
      <x:c r="K2616" s="20" t="n">
        <x:v>44.1</x:v>
      </x:c>
      <x:c r="L2616" t="str">
        <x:v>RELATIF LONGGAR</x:v>
      </x:c>
      <x:c r="M2616" t="str">
        <x:v>SEDANG+</x:v>
      </x:c>
      <x:c r="N2616" t="str">
        <x:v>REGULER</x:v>
      </x:c>
      <x:c r="O2616" t="str">
        <x:v>SOSHUM</x:v>
      </x:c>
      <x:c r="P2616" t="str">
        <x:v>BISNIS/EKONOMI/AKUNTANSI</x:v>
      </x:c>
      <x:c r="Q2616" s="18" t="n">
        <x:v>0</x:v>
      </x:c>
      <x:c r="R2616" s="18" t="n">
        <x:v>0</x:v>
      </x:c>
      <x:c r="S2616" s="18" t="n">
        <x:v>530.6601014308862</x:v>
      </x:c>
      <x:c r="T2616" s="18" t="n">
        <x:v>648</x:v>
      </x:c>
      <x:c r="U2616" s="18" t="n">
        <x:v>545.6601014308862</x:v>
      </x:c>
      <x:c r="V2616" s="20" t="n">
        <x:v>4.4</x:v>
      </x:c>
      <x:c r="W2616" s="20" t="n">
        <x:v>14.3</x:v>
      </x:c>
      <x:c r="X2616" s="20" t="n">
        <x:v>3.3</x:v>
      </x:c>
      <x:c r="Y2616" t="str">
        <x:v>Basis arsip 2025/2024</x:v>
      </x:c>
      <x:c r="Z2616" t="str">
        <x:v>https://snpmb.id/utbk-snbt/daya-tampung-snbt</x:v>
      </x:c>
      <x:c r="AA2616" t="str">
        <x:v>Tidak Ada</x:v>
      </x:c>
      <x:c r="AB2616" t="str">
        <x:v>Campus=55; Ratio=5.7; Prodi=65; RelDemand=20.5; Capacity=83.3</x:v>
      </x:c>
    </x:row>
    <x:row r="2617">
      <x:c r="A2617" t="n">
        <x:v>2614</x:v>
      </x:c>
      <x:c r="B2617" t="str">
        <x:v>PTN Akademik</x:v>
      </x:c>
      <x:c r="C2617" t="str">
        <x:v>UNIVERSITAS PALANGKARAYA</x:v>
      </x:c>
      <x:c r="D2617" t="str">
        <x:v>BUDIDAYA PERAIRAN</x:v>
      </x:c>
      <x:c r="E2617" t="str">
        <x:v>Sarjana</x:v>
      </x:c>
      <x:c r="F2617" s="18" t="n">
        <x:v>12</x:v>
      </x:c>
      <x:c r="G2617" s="18" t="n">
        <x:v>14</x:v>
      </x:c>
      <x:c r="H2617" s="19" t="n">
        <x:v>1.1666666666666667</x:v>
      </x:c>
      <x:c r="I2617" s="18" t="n">
        <x:f>ROUND(MIN(Model_Config_v3!$B$6,MAX(Q2617,R2617,S2617*Model_Config_v3!$B$4+T2617*Model_Config_v3!$B$5)),0)</x:f>
        <x:v>605</x:v>
      </x:c>
      <x:c r="J2617" s="18" t="n">
        <x:f>MIN(Model_Config_v3!$B$6,I2617+Model_Config_v3!$B$7)</x:f>
        <x:v>625</x:v>
      </x:c>
      <x:c r="K2617" s="20" t="n">
        <x:v>39.2</x:v>
      </x:c>
      <x:c r="L2617" t="str">
        <x:v>RELATIF LONGGAR</x:v>
      </x:c>
      <x:c r="M2617" t="str">
        <x:v>SEDANG</x:v>
      </x:c>
      <x:c r="N2617" t="str">
        <x:v>REGULER</x:v>
      </x:c>
      <x:c r="O2617" t="str">
        <x:v>CAMPURAN</x:v>
      </x:c>
      <x:c r="P2617" t="str">
        <x:v>UMUM</x:v>
      </x:c>
      <x:c r="Q2617" s="18" t="n">
        <x:v>0</x:v>
      </x:c>
      <x:c r="R2617" s="18" t="n">
        <x:v>0</x:v>
      </x:c>
      <x:c r="S2617" s="18" t="n">
        <x:v>527.3641468593675</x:v>
      </x:c>
      <x:c r="T2617" s="18" t="n">
        <x:v>638</x:v>
      </x:c>
      <x:c r="U2617" s="18" t="n">
        <x:v>527.3641468593675</x:v>
      </x:c>
      <x:c r="V2617" s="20" t="n">
        <x:v>8.8</x:v>
      </x:c>
      <x:c r="W2617" s="20" t="n">
        <x:v>9.9</x:v>
      </x:c>
      <x:c r="X2617" s="20" t="n">
        <x:v>3.3</x:v>
      </x:c>
      <x:c r="Y2617" t="str">
        <x:v>Basis arsip 2025/2024</x:v>
      </x:c>
      <x:c r="Z2617" t="str">
        <x:v>https://snpmb.id/utbk-snbt/daya-tampung-snbt</x:v>
      </x:c>
      <x:c r="AA2617" t="str">
        <x:v>Tidak Ada</x:v>
      </x:c>
      <x:c r="AB2617" t="str">
        <x:v>Campus=55; Ratio=3.9; Prodi=40; RelDemand=19.2; Capacity=90.0</x:v>
      </x:c>
    </x:row>
    <x:row r="2618">
      <x:c r="A2618" t="n">
        <x:v>2615</x:v>
      </x:c>
      <x:c r="B2618" t="str">
        <x:v>PTN Akademik</x:v>
      </x:c>
      <x:c r="C2618" t="str">
        <x:v>UNIVERSITAS PALANGKARAYA</x:v>
      </x:c>
      <x:c r="D2618" t="str">
        <x:v>TEKNIK SIPIL</x:v>
      </x:c>
      <x:c r="E2618" t="str">
        <x:v>Sarjana</x:v>
      </x:c>
      <x:c r="F2618" s="18" t="n">
        <x:v>64</x:v>
      </x:c>
      <x:c r="G2618" s="18" t="n">
        <x:v>168</x:v>
      </x:c>
      <x:c r="H2618" s="19" t="n">
        <x:v>2.625</x:v>
      </x:c>
      <x:c r="I2618" s="18" t="n">
        <x:f>ROUND(MIN(Model_Config_v3!$B$6,MAX(Q2618,R2618,S2618*Model_Config_v3!$B$4+T2618*Model_Config_v3!$B$5)),0)</x:f>
        <x:v>627</x:v>
      </x:c>
      <x:c r="J2618" s="18" t="n">
        <x:f>MIN(Model_Config_v3!$B$6,I2618+Model_Config_v3!$B$7)</x:f>
        <x:v>647</x:v>
      </x:c>
      <x:c r="K2618" s="20" t="n">
        <x:v>46.4</x:v>
      </x:c>
      <x:c r="L2618" t="str">
        <x:v>MENENGAH</x:v>
      </x:c>
      <x:c r="M2618" t="str">
        <x:v>SEDANG+</x:v>
      </x:c>
      <x:c r="N2618" t="str">
        <x:v>REGULER</x:v>
      </x:c>
      <x:c r="O2618" t="str">
        <x:v>SAINTEK</x:v>
      </x:c>
      <x:c r="P2618" t="str">
        <x:v>TEKNIK/ARSITEKTUR/STATISTIKA/AKTUARIA</x:v>
      </x:c>
      <x:c r="Q2618" s="18" t="n">
        <x:v>0</x:v>
      </x:c>
      <x:c r="R2618" s="18" t="n">
        <x:v>0</x:v>
      </x:c>
      <x:c r="S2618" s="18" t="n">
        <x:v>566.1042238516173</x:v>
      </x:c>
      <x:c r="T2618" s="18" t="n">
        <x:v>653</x:v>
      </x:c>
      <x:c r="U2618" s="18" t="n">
        <x:v>576.1042238516173</x:v>
      </x:c>
      <x:c r="V2618" s="20" t="n">
        <x:v>12</x:v>
      </x:c>
      <x:c r="W2618" s="20" t="n">
        <x:v>5</x:v>
      </x:c>
      <x:c r="X2618" s="20" t="n">
        <x:v>3</x:v>
      </x:c>
      <x:c r="Y2618" t="str">
        <x:v>Basis arsip 2025/2024</x:v>
      </x:c>
      <x:c r="Z2618" t="str">
        <x:v>https://snpmb.id/utbk-snbt/daya-tampung-snbt</x:v>
      </x:c>
      <x:c r="AA2618" t="str">
        <x:v>Tidak Ada</x:v>
      </x:c>
      <x:c r="AB2618" t="str">
        <x:v>Campus=55; Ratio=24.7; Prodi=60; RelDemand=43.1; Capacity=46.7</x:v>
      </x:c>
    </x:row>
    <x:row r="2619">
      <x:c r="A2619" t="n">
        <x:v>2616</x:v>
      </x:c>
      <x:c r="B2619" t="str">
        <x:v>PTN Akademik</x:v>
      </x:c>
      <x:c r="C2619" t="str">
        <x:v>UNIVERSITAS PALANGKARAYA</x:v>
      </x:c>
      <x:c r="D2619" t="str">
        <x:v>ARSITEKTUR</x:v>
      </x:c>
      <x:c r="E2619" t="str">
        <x:v>Sarjana</x:v>
      </x:c>
      <x:c r="F2619" s="18" t="n">
        <x:v>32</x:v>
      </x:c>
      <x:c r="G2619" s="18" t="n">
        <x:v>46</x:v>
      </x:c>
      <x:c r="H2619" s="19" t="n">
        <x:v>1.4375</x:v>
      </x:c>
      <x:c r="I2619" s="18" t="n">
        <x:f>ROUND(MIN(Model_Config_v3!$B$6,MAX(Q2619,R2619,S2619*Model_Config_v3!$B$4+T2619*Model_Config_v3!$B$5)),0)</x:f>
        <x:v>614</x:v>
      </x:c>
      <x:c r="J2619" s="18" t="n">
        <x:f>MIN(Model_Config_v3!$B$6,I2619+Model_Config_v3!$B$7)</x:f>
        <x:v>634</x:v>
      </x:c>
      <x:c r="K2619" s="20" t="n">
        <x:v>43.3</x:v>
      </x:c>
      <x:c r="L2619" t="str">
        <x:v>RELATIF LONGGAR</x:v>
      </x:c>
      <x:c r="M2619" t="str">
        <x:v>SEDANG+</x:v>
      </x:c>
      <x:c r="N2619" t="str">
        <x:v>REGULER</x:v>
      </x:c>
      <x:c r="O2619" t="str">
        <x:v>SAINTEK</x:v>
      </x:c>
      <x:c r="P2619" t="str">
        <x:v>TEKNIK/ARSITEKTUR/STATISTIKA/AKTUARIA</x:v>
      </x:c>
      <x:c r="Q2619" s="18" t="n">
        <x:v>0</x:v>
      </x:c>
      <x:c r="R2619" s="18" t="n">
        <x:v>0</x:v>
      </x:c>
      <x:c r="S2619" s="18" t="n">
        <x:v>537.3368638697835</x:v>
      </x:c>
      <x:c r="T2619" s="18" t="n">
        <x:v>647</x:v>
      </x:c>
      <x:c r="U2619" s="18" t="n">
        <x:v>537.3368638697835</x:v>
      </x:c>
      <x:c r="V2619" s="20" t="n">
        <x:v>12</x:v>
      </x:c>
      <x:c r="W2619" s="20" t="n">
        <x:v>5</x:v>
      </x:c>
      <x:c r="X2619" s="20" t="n">
        <x:v>3</x:v>
      </x:c>
      <x:c r="Y2619" t="str">
        <x:v>Basis arsip 2025/2024</x:v>
      </x:c>
      <x:c r="Z2619" t="str">
        <x:v>https://snpmb.id/utbk-snbt/daya-tampung-snbt</x:v>
      </x:c>
      <x:c r="AA2619" t="str">
        <x:v>Tidak Ada</x:v>
      </x:c>
      <x:c r="AB2619" t="str">
        <x:v>Campus=55; Ratio=9.3; Prodi=60; RelDemand=23.6; Capacity=73.3</x:v>
      </x:c>
    </x:row>
    <x:row r="2620">
      <x:c r="A2620" t="n">
        <x:v>2617</x:v>
      </x:c>
      <x:c r="B2620" t="str">
        <x:v>PTN Akademik</x:v>
      </x:c>
      <x:c r="C2620" t="str">
        <x:v>UNIVERSITAS PALANGKARAYA</x:v>
      </x:c>
      <x:c r="D2620" t="str">
        <x:v>TEKNIK INFORMATIKA</x:v>
      </x:c>
      <x:c r="E2620" t="str">
        <x:v>Sarjana</x:v>
      </x:c>
      <x:c r="F2620" s="18" t="n">
        <x:v>40</x:v>
      </x:c>
      <x:c r="G2620" s="18" t="n">
        <x:v>454</x:v>
      </x:c>
      <x:c r="H2620" s="19" t="n">
        <x:v>11.35</x:v>
      </x:c>
      <x:c r="I2620" s="18" t="n">
        <x:f>ROUND(MIN(Model_Config_v3!$B$6,MAX(Q2620,R2620,S2620*Model_Config_v3!$B$4+T2620*Model_Config_v3!$B$5)),0)</x:f>
        <x:v>679</x:v>
      </x:c>
      <x:c r="J2620" s="18" t="n">
        <x:f>MIN(Model_Config_v3!$B$6,I2620+Model_Config_v3!$B$7)</x:f>
        <x:v>699</x:v>
      </x:c>
      <x:c r="K2620" s="20" t="n">
        <x:v>68.4</x:v>
      </x:c>
      <x:c r="L2620" t="str">
        <x:v>SANGAT KETAT</x:v>
      </x:c>
      <x:c r="M2620" t="str">
        <x:v>SEDANG+</x:v>
      </x:c>
      <x:c r="N2620" t="str">
        <x:v>REGULER</x:v>
      </x:c>
      <x:c r="O2620" t="str">
        <x:v>SAINTEK</x:v>
      </x:c>
      <x:c r="P2620" t="str">
        <x:v>KOMPUTER/INFORMATIKA</x:v>
      </x:c>
      <x:c r="Q2620" s="18" t="n">
        <x:v>0</x:v>
      </x:c>
      <x:c r="R2620" s="18" t="n">
        <x:v>0</x:v>
      </x:c>
      <x:c r="S2620" s="18" t="n">
        <x:v>636.0495447682056</x:v>
      </x:c>
      <x:c r="T2620" s="18" t="n">
        <x:v>697</x:v>
      </x:c>
      <x:c r="U2620" s="18" t="n">
        <x:v>661.0495447682056</x:v>
      </x:c>
      <x:c r="V2620" s="20" t="n">
        <x:v>12</x:v>
      </x:c>
      <x:c r="W2620" s="20" t="n">
        <x:v>5</x:v>
      </x:c>
      <x:c r="X2620" s="20" t="n">
        <x:v>3</x:v>
      </x:c>
      <x:c r="Y2620" t="str">
        <x:v>Basis arsip 2025/2024</x:v>
      </x:c>
      <x:c r="Z2620" t="str">
        <x:v>https://snpmb.id/utbk-snbt/daya-tampung-snbt</x:v>
      </x:c>
      <x:c r="AA2620" t="str">
        <x:v>Tidak Ada</x:v>
      </x:c>
      <x:c r="AB2620" t="str">
        <x:v>Campus=55; Ratio=62.1; Prodi=85; RelDemand=100.0; Capacity=66.7</x:v>
      </x:c>
    </x:row>
    <x:row r="2621">
      <x:c r="A2621" t="n">
        <x:v>2618</x:v>
      </x:c>
      <x:c r="B2621" t="str">
        <x:v>PTN Akademik</x:v>
      </x:c>
      <x:c r="C2621" t="str">
        <x:v>UNIVERSITAS PALANGKARAYA</x:v>
      </x:c>
      <x:c r="D2621" t="str">
        <x:v>PEND. MATEMATIKA</x:v>
      </x:c>
      <x:c r="E2621" t="str">
        <x:v>Sarjana</x:v>
      </x:c>
      <x:c r="F2621" s="18" t="n">
        <x:v>24</x:v>
      </x:c>
      <x:c r="G2621" s="18" t="n">
        <x:v>26</x:v>
      </x:c>
      <x:c r="H2621" s="19" t="n">
        <x:v>1.0833333333333333</x:v>
      </x:c>
      <x:c r="I2621" s="18" t="n">
        <x:f>ROUND(MIN(Model_Config_v3!$B$6,MAX(Q2621,R2621,S2621*Model_Config_v3!$B$4+T2621*Model_Config_v3!$B$5)),0)</x:f>
        <x:v>603</x:v>
      </x:c>
      <x:c r="J2621" s="18" t="n">
        <x:f>MIN(Model_Config_v3!$B$6,I2621+Model_Config_v3!$B$7)</x:f>
        <x:v>623</x:v>
      </x:c>
      <x:c r="K2621" s="20" t="n">
        <x:v>38.5</x:v>
      </x:c>
      <x:c r="L2621" t="str">
        <x:v>RELATIF LONGGAR</x:v>
      </x:c>
      <x:c r="M2621" t="str">
        <x:v>SEDANG+</x:v>
      </x:c>
      <x:c r="N2621" t="str">
        <x:v>REGULER</x:v>
      </x:c>
      <x:c r="O2621" t="str">
        <x:v>SAINTEK</x:v>
      </x:c>
      <x:c r="P2621" t="str">
        <x:v>PENDIDIKAN</x:v>
      </x:c>
      <x:c r="Q2621" s="18" t="n">
        <x:v>0</x:v>
      </x:c>
      <x:c r="R2621" s="18" t="n">
        <x:v>0</x:v>
      </x:c>
      <x:c r="S2621" s="18" t="n">
        <x:v>523.8238316885133</x:v>
      </x:c>
      <x:c r="T2621" s="18" t="n">
        <x:v>637</x:v>
      </x:c>
      <x:c r="U2621" s="18" t="n">
        <x:v>523.8238316885133</x:v>
      </x:c>
      <x:c r="V2621" s="20" t="n">
        <x:v>12</x:v>
      </x:c>
      <x:c r="W2621" s="20" t="n">
        <x:v>5</x:v>
      </x:c>
      <x:c r="X2621" s="20" t="n">
        <x:v>3</x:v>
      </x:c>
      <x:c r="Y2621" t="str">
        <x:v>Basis arsip 2025/2024</x:v>
      </x:c>
      <x:c r="Z2621" t="str">
        <x:v>https://snpmb.id/utbk-snbt/daya-tampung-snbt</x:v>
      </x:c>
      <x:c r="AA2621" t="str">
        <x:v>Tidak Ada</x:v>
      </x:c>
      <x:c r="AB2621" t="str">
        <x:v>Campus=55; Ratio=2.0; Prodi=45; RelDemand=17.8; Capacity=80.0</x:v>
      </x:c>
    </x:row>
    <x:row r="2622">
      <x:c r="A2622" t="n">
        <x:v>2619</x:v>
      </x:c>
      <x:c r="B2622" t="str">
        <x:v>PTN Akademik</x:v>
      </x:c>
      <x:c r="C2622" t="str">
        <x:v>UNIVERSITAS PALANGKARAYA</x:v>
      </x:c>
      <x:c r="D2622" t="str">
        <x:v>PEND. FISIKA</x:v>
      </x:c>
      <x:c r="E2622" t="str">
        <x:v>Sarjana</x:v>
      </x:c>
      <x:c r="F2622" s="18" t="n">
        <x:v>12</x:v>
      </x:c>
      <x:c r="G2622" s="18" t="n">
        <x:v>4</x:v>
      </x:c>
      <x:c r="H2622" s="19" t="n">
        <x:v>0.3333333333333333</x:v>
      </x:c>
      <x:c r="I2622" s="18" t="n">
        <x:f>ROUND(MIN(Model_Config_v3!$B$6,MAX(Q2622,R2622,S2622*Model_Config_v3!$B$4+T2622*Model_Config_v3!$B$5)),0)</x:f>
        <x:v>601</x:v>
      </x:c>
      <x:c r="J2622" s="18" t="n">
        <x:f>MIN(Model_Config_v3!$B$6,I2622+Model_Config_v3!$B$7)</x:f>
        <x:v>621</x:v>
      </x:c>
      <x:c r="K2622" s="20" t="n">
        <x:v>37.8</x:v>
      </x:c>
      <x:c r="L2622" t="str">
        <x:v>RELATIF LONGGAR</x:v>
      </x:c>
      <x:c r="M2622" t="str">
        <x:v>SEDANG+</x:v>
      </x:c>
      <x:c r="N2622" t="str">
        <x:v>REGULER</x:v>
      </x:c>
      <x:c r="O2622" t="str">
        <x:v>SAINTEK</x:v>
      </x:c>
      <x:c r="P2622" t="str">
        <x:v>PENDIDIKAN</x:v>
      </x:c>
      <x:c r="Q2622" s="18" t="n">
        <x:v>0</x:v>
      </x:c>
      <x:c r="R2622" s="18" t="n">
        <x:v>0</x:v>
      </x:c>
      <x:c r="S2622" s="18" t="n">
        <x:v>520</x:v>
      </x:c>
      <x:c r="T2622" s="18" t="n">
        <x:v>636</x:v>
      </x:c>
      <x:c r="U2622" s="18" t="n">
        <x:v>520</x:v>
      </x:c>
      <x:c r="V2622" s="20" t="n">
        <x:v>12</x:v>
      </x:c>
      <x:c r="W2622" s="20" t="n">
        <x:v>5</x:v>
      </x:c>
      <x:c r="X2622" s="20" t="n">
        <x:v>3</x:v>
      </x:c>
      <x:c r="Y2622" t="str">
        <x:v>Basis arsip 2025/2024</x:v>
      </x:c>
      <x:c r="Z2622" t="str">
        <x:v>https://snpmb.id/utbk-snbt/daya-tampung-snbt</x:v>
      </x:c>
      <x:c r="AA2622" t="str">
        <x:v>Tidak Ada</x:v>
      </x:c>
      <x:c r="AB2622" t="str">
        <x:v>Campus=55; Ratio=0.0; Prodi=45; RelDemand=5.5; Capacity=90.0</x:v>
      </x:c>
    </x:row>
    <x:row r="2623">
      <x:c r="A2623" t="n">
        <x:v>2620</x:v>
      </x:c>
      <x:c r="B2623" t="str">
        <x:v>PTN Akademik</x:v>
      </x:c>
      <x:c r="C2623" t="str">
        <x:v>UNIVERSITAS PALANGKARAYA</x:v>
      </x:c>
      <x:c r="D2623" t="str">
        <x:v>PEND. KIMIA</x:v>
      </x:c>
      <x:c r="E2623" t="str">
        <x:v>Sarjana</x:v>
      </x:c>
      <x:c r="F2623" s="18" t="n">
        <x:v>10</x:v>
      </x:c>
      <x:c r="G2623" s="18" t="n">
        <x:v>15</x:v>
      </x:c>
      <x:c r="H2623" s="19" t="n">
        <x:v>1.5</x:v>
      </x:c>
      <x:c r="I2623" s="18" t="n">
        <x:f>ROUND(MIN(Model_Config_v3!$B$6,MAX(Q2623,R2623,S2623*Model_Config_v3!$B$4+T2623*Model_Config_v3!$B$5)),0)</x:f>
        <x:v>613</x:v>
      </x:c>
      <x:c r="J2623" s="18" t="n">
        <x:f>MIN(Model_Config_v3!$B$6,I2623+Model_Config_v3!$B$7)</x:f>
        <x:v>633</x:v>
      </x:c>
      <x:c r="K2623" s="20" t="n">
        <x:v>42.5</x:v>
      </x:c>
      <x:c r="L2623" t="str">
        <x:v>RELATIF LONGGAR</x:v>
      </x:c>
      <x:c r="M2623" t="str">
        <x:v>SEDANG+</x:v>
      </x:c>
      <x:c r="N2623" t="str">
        <x:v>REGULER</x:v>
      </x:c>
      <x:c r="O2623" t="str">
        <x:v>SAINTEK</x:v>
      </x:c>
      <x:c r="P2623" t="str">
        <x:v>PENDIDIKAN</x:v>
      </x:c>
      <x:c r="Q2623" s="18" t="n">
        <x:v>0</x:v>
      </x:c>
      <x:c r="R2623" s="18" t="n">
        <x:v>0</x:v>
      </x:c>
      <x:c r="S2623" s="18" t="n">
        <x:v>539.370038496125</x:v>
      </x:c>
      <x:c r="T2623" s="18" t="n">
        <x:v>645</x:v>
      </x:c>
      <x:c r="U2623" s="18" t="n">
        <x:v>539.370038496125</x:v>
      </x:c>
      <x:c r="V2623" s="20" t="n">
        <x:v>12</x:v>
      </x:c>
      <x:c r="W2623" s="20" t="n">
        <x:v>5</x:v>
      </x:c>
      <x:c r="X2623" s="20" t="n">
        <x:v>3</x:v>
      </x:c>
      <x:c r="Y2623" t="str">
        <x:v>Basis arsip 2025/2024</x:v>
      </x:c>
      <x:c r="Z2623" t="str">
        <x:v>https://snpmb.id/utbk-snbt/daya-tampung-snbt</x:v>
      </x:c>
      <x:c r="AA2623" t="str">
        <x:v>Tidak Ada</x:v>
      </x:c>
      <x:c r="AB2623" t="str">
        <x:v>Campus=55; Ratio=10.4; Prodi=45; RelDemand=24.7; Capacity=91.7</x:v>
      </x:c>
    </x:row>
    <x:row r="2624">
      <x:c r="A2624" t="n">
        <x:v>2621</x:v>
      </x:c>
      <x:c r="B2624" t="str">
        <x:v>PTN Akademik</x:v>
      </x:c>
      <x:c r="C2624" t="str">
        <x:v>UNIVERSITAS PALANGKARAYA</x:v>
      </x:c>
      <x:c r="D2624" t="str">
        <x:v>PEND. BIOLOGI</x:v>
      </x:c>
      <x:c r="E2624" t="str">
        <x:v>Sarjana</x:v>
      </x:c>
      <x:c r="F2624" s="18" t="n">
        <x:v>24</x:v>
      </x:c>
      <x:c r="G2624" s="18" t="n">
        <x:v>28</x:v>
      </x:c>
      <x:c r="H2624" s="19" t="n">
        <x:v>1.1666666666666667</x:v>
      </x:c>
      <x:c r="I2624" s="18" t="n">
        <x:f>ROUND(MIN(Model_Config_v3!$B$6,MAX(Q2624,R2624,S2624*Model_Config_v3!$B$4+T2624*Model_Config_v3!$B$5)),0)</x:f>
        <x:v>605</x:v>
      </x:c>
      <x:c r="J2624" s="18" t="n">
        <x:f>MIN(Model_Config_v3!$B$6,I2624+Model_Config_v3!$B$7)</x:f>
        <x:v>625</x:v>
      </x:c>
      <x:c r="K2624" s="20" t="n">
        <x:v>39.2</x:v>
      </x:c>
      <x:c r="L2624" t="str">
        <x:v>RELATIF LONGGAR</x:v>
      </x:c>
      <x:c r="M2624" t="str">
        <x:v>SEDANG+</x:v>
      </x:c>
      <x:c r="N2624" t="str">
        <x:v>REGULER</x:v>
      </x:c>
      <x:c r="O2624" t="str">
        <x:v>SAINTEK</x:v>
      </x:c>
      <x:c r="P2624" t="str">
        <x:v>PENDIDIKAN</x:v>
      </x:c>
      <x:c r="Q2624" s="18" t="n">
        <x:v>0</x:v>
      </x:c>
      <x:c r="R2624" s="18" t="n">
        <x:v>0</x:v>
      </x:c>
      <x:c r="S2624" s="18" t="n">
        <x:v>527.3641468593675</x:v>
      </x:c>
      <x:c r="T2624" s="18" t="n">
        <x:v>638</x:v>
      </x:c>
      <x:c r="U2624" s="18" t="n">
        <x:v>527.3641468593675</x:v>
      </x:c>
      <x:c r="V2624" s="20" t="n">
        <x:v>12</x:v>
      </x:c>
      <x:c r="W2624" s="20" t="n">
        <x:v>5</x:v>
      </x:c>
      <x:c r="X2624" s="20" t="n">
        <x:v>3</x:v>
      </x:c>
      <x:c r="Y2624" t="str">
        <x:v>Basis arsip 2025/2024</x:v>
      </x:c>
      <x:c r="Z2624" t="str">
        <x:v>https://snpmb.id/utbk-snbt/daya-tampung-snbt</x:v>
      </x:c>
      <x:c r="AA2624" t="str">
        <x:v>Tidak Ada</x:v>
      </x:c>
      <x:c r="AB2624" t="str">
        <x:v>Campus=55; Ratio=3.9; Prodi=45; RelDemand=19.2; Capacity=80.0</x:v>
      </x:c>
    </x:row>
    <x:row r="2625">
      <x:c r="A2625" t="n">
        <x:v>2622</x:v>
      </x:c>
      <x:c r="B2625" t="str">
        <x:v>PTN Akademik</x:v>
      </x:c>
      <x:c r="C2625" t="str">
        <x:v>UNIVERSITAS PALANGKARAYA</x:v>
      </x:c>
      <x:c r="D2625" t="str">
        <x:v>PEND. TEKNIK MESIN</x:v>
      </x:c>
      <x:c r="E2625" t="str">
        <x:v>Sarjana</x:v>
      </x:c>
      <x:c r="F2625" s="18" t="n">
        <x:v>24</x:v>
      </x:c>
      <x:c r="G2625" s="18" t="n">
        <x:v>27</x:v>
      </x:c>
      <x:c r="H2625" s="19" t="n">
        <x:v>1.125</x:v>
      </x:c>
      <x:c r="I2625" s="18" t="n">
        <x:f>ROUND(MIN(Model_Config_v3!$B$6,MAX(Q2625,R2625,S2625*Model_Config_v3!$B$4+T2625*Model_Config_v3!$B$5)),0)</x:f>
        <x:v>604</x:v>
      </x:c>
      <x:c r="J2625" s="18" t="n">
        <x:f>MIN(Model_Config_v3!$B$6,I2625+Model_Config_v3!$B$7)</x:f>
        <x:v>624</x:v>
      </x:c>
      <x:c r="K2625" s="20" t="n">
        <x:v>38.9</x:v>
      </x:c>
      <x:c r="L2625" t="str">
        <x:v>RELATIF LONGGAR</x:v>
      </x:c>
      <x:c r="M2625" t="str">
        <x:v>SEDANG+</x:v>
      </x:c>
      <x:c r="N2625" t="str">
        <x:v>REGULER</x:v>
      </x:c>
      <x:c r="O2625" t="str">
        <x:v>SAINTEK</x:v>
      </x:c>
      <x:c r="P2625" t="str">
        <x:v>PENDIDIKAN</x:v>
      </x:c>
      <x:c r="Q2625" s="18" t="n">
        <x:v>0</x:v>
      </x:c>
      <x:c r="R2625" s="18" t="n">
        <x:v>0</x:v>
      </x:c>
      <x:c r="S2625" s="18" t="n">
        <x:v>525.6267774692119</x:v>
      </x:c>
      <x:c r="T2625" s="18" t="n">
        <x:v>638</x:v>
      </x:c>
      <x:c r="U2625" s="18" t="n">
        <x:v>535.6267774692119</x:v>
      </x:c>
      <x:c r="V2625" s="20" t="n">
        <x:v>12</x:v>
      </x:c>
      <x:c r="W2625" s="20" t="n">
        <x:v>5</x:v>
      </x:c>
      <x:c r="X2625" s="20" t="n">
        <x:v>3</x:v>
      </x:c>
      <x:c r="Y2625" t="str">
        <x:v>Basis arsip 2025/2024</x:v>
      </x:c>
      <x:c r="Z2625" t="str">
        <x:v>https://snpmb.id/utbk-snbt/daya-tampung-snbt</x:v>
      </x:c>
      <x:c r="AA2625" t="str">
        <x:v>Tidak Ada</x:v>
      </x:c>
      <x:c r="AB2625" t="str">
        <x:v>Campus=55; Ratio=3.0; Prodi=45; RelDemand=18.5; Capacity=80.0</x:v>
      </x:c>
    </x:row>
    <x:row r="2626">
      <x:c r="A2626" t="n">
        <x:v>2623</x:v>
      </x:c>
      <x:c r="B2626" t="str">
        <x:v>PTN Akademik</x:v>
      </x:c>
      <x:c r="C2626" t="str">
        <x:v>UNIVERSITAS PALANGKARAYA</x:v>
      </x:c>
      <x:c r="D2626" t="str">
        <x:v>TEKNIK PERTAMBANGAN</x:v>
      </x:c>
      <x:c r="E2626" t="str">
        <x:v>Sarjana</x:v>
      </x:c>
      <x:c r="F2626" s="18" t="n">
        <x:v>40</x:v>
      </x:c>
      <x:c r="G2626" s="18" t="n">
        <x:v>352</x:v>
      </x:c>
      <x:c r="H2626" s="19" t="n">
        <x:v>8.8</x:v>
      </x:c>
      <x:c r="I2626" s="18" t="n">
        <x:f>ROUND(MIN(Model_Config_v3!$B$6,MAX(Q2626,R2626,S2626*Model_Config_v3!$B$4+T2626*Model_Config_v3!$B$5)),0)</x:f>
        <x:v>666</x:v>
      </x:c>
      <x:c r="J2626" s="18" t="n">
        <x:f>MIN(Model_Config_v3!$B$6,I2626+Model_Config_v3!$B$7)</x:f>
        <x:v>686</x:v>
      </x:c>
      <x:c r="K2626" s="20" t="n">
        <x:v>61.8</x:v>
      </x:c>
      <x:c r="L2626" t="str">
        <x:v>KETAT</x:v>
      </x:c>
      <x:c r="M2626" t="str">
        <x:v>SEDANG+</x:v>
      </x:c>
      <x:c r="N2626" t="str">
        <x:v>REGULER</x:v>
      </x:c>
      <x:c r="O2626" t="str">
        <x:v>SAINTEK</x:v>
      </x:c>
      <x:c r="P2626" t="str">
        <x:v>TEKNIK/ARSITEKTUR/STATISTIKA/AKTUARIA</x:v>
      </x:c>
      <x:c r="Q2626" s="18" t="n">
        <x:v>0</x:v>
      </x:c>
      <x:c r="R2626" s="18" t="n">
        <x:v>0</x:v>
      </x:c>
      <x:c r="S2626" s="18" t="n">
        <x:v>623.8930939365185</x:v>
      </x:c>
      <x:c r="T2626" s="18" t="n">
        <x:v>684</x:v>
      </x:c>
      <x:c r="U2626" s="18" t="n">
        <x:v>633.8930939365185</x:v>
      </x:c>
      <x:c r="V2626" s="20" t="n">
        <x:v>12</x:v>
      </x:c>
      <x:c r="W2626" s="20" t="n">
        <x:v>5</x:v>
      </x:c>
      <x:c r="X2626" s="20" t="n">
        <x:v>3</x:v>
      </x:c>
      <x:c r="Y2626" t="str">
        <x:v>Basis arsip 2025/2024</x:v>
      </x:c>
      <x:c r="Z2626" t="str">
        <x:v>https://snpmb.id/utbk-snbt/daya-tampung-snbt</x:v>
      </x:c>
      <x:c r="AA2626" t="str">
        <x:v>Tidak Ada</x:v>
      </x:c>
      <x:c r="AB2626" t="str">
        <x:v>Campus=55; Ratio=55.6; Prodi=60; RelDemand=100.0; Capacity=66.7</x:v>
      </x:c>
    </x:row>
    <x:row r="2627">
      <x:c r="A2627" t="n">
        <x:v>2624</x:v>
      </x:c>
      <x:c r="B2627" t="str">
        <x:v>PTN Akademik</x:v>
      </x:c>
      <x:c r="C2627" t="str">
        <x:v>UNIVERSITAS PALANGKARAYA</x:v>
      </x:c>
      <x:c r="D2627" t="str">
        <x:v>AGROTEKNOLOGI</x:v>
      </x:c>
      <x:c r="E2627" t="str">
        <x:v>Sarjana</x:v>
      </x:c>
      <x:c r="F2627" s="18" t="n">
        <x:v>60</x:v>
      </x:c>
      <x:c r="G2627" s="18" t="n">
        <x:v>85</x:v>
      </x:c>
      <x:c r="H2627" s="19" t="n">
        <x:v>1.4166666666666667</x:v>
      </x:c>
      <x:c r="I2627" s="18" t="n">
        <x:f>ROUND(MIN(Model_Config_v3!$B$6,MAX(Q2627,R2627,S2627*Model_Config_v3!$B$4+T2627*Model_Config_v3!$B$5)),0)</x:f>
        <x:v>605</x:v>
      </x:c>
      <x:c r="J2627" s="18" t="n">
        <x:f>MIN(Model_Config_v3!$B$6,I2627+Model_Config_v3!$B$7)</x:f>
        <x:v>625</x:v>
      </x:c>
      <x:c r="K2627" s="20" t="n">
        <x:v>36.8</x:v>
      </x:c>
      <x:c r="L2627" t="str">
        <x:v>RELATIF LONGGAR</x:v>
      </x:c>
      <x:c r="M2627" t="str">
        <x:v>SEDANG</x:v>
      </x:c>
      <x:c r="N2627" t="str">
        <x:v>REGULER</x:v>
      </x:c>
      <x:c r="O2627" t="str">
        <x:v>SAINTEK</x:v>
      </x:c>
      <x:c r="P2627" t="str">
        <x:v>UMUM</x:v>
      </x:c>
      <x:c r="Q2627" s="18" t="n">
        <x:v>0</x:v>
      </x:c>
      <x:c r="R2627" s="18" t="n">
        <x:v>0</x:v>
      </x:c>
      <x:c r="S2627" s="18" t="n">
        <x:v>536.6394442863714</x:v>
      </x:c>
      <x:c r="T2627" s="18" t="n">
        <x:v>634</x:v>
      </x:c>
      <x:c r="U2627" s="18" t="n">
        <x:v>536.6394442863714</x:v>
      </x:c>
      <x:c r="V2627" s="20" t="n">
        <x:v>12</x:v>
      </x:c>
      <x:c r="W2627" s="20" t="n">
        <x:v>5</x:v>
      </x:c>
      <x:c r="X2627" s="20" t="n">
        <x:v>3</x:v>
      </x:c>
      <x:c r="Y2627" t="str">
        <x:v>Basis arsip 2025/2024</x:v>
      </x:c>
      <x:c r="Z2627" t="str">
        <x:v>https://snpmb.id/utbk-snbt/daya-tampung-snbt</x:v>
      </x:c>
      <x:c r="AA2627" t="str">
        <x:v>Tidak Ada</x:v>
      </x:c>
      <x:c r="AB2627" t="str">
        <x:v>Campus=55; Ratio=8.9; Prodi=40; RelDemand=23.3; Capacity=50.0</x:v>
      </x:c>
    </x:row>
    <x:row r="2628">
      <x:c r="A2628" t="n">
        <x:v>2625</x:v>
      </x:c>
      <x:c r="B2628" t="str">
        <x:v>PTN Akademik</x:v>
      </x:c>
      <x:c r="C2628" t="str">
        <x:v>UNIVERSITAS PALANGKARAYA</x:v>
      </x:c>
      <x:c r="D2628" t="str">
        <x:v>KEHUTANAN</x:v>
      </x:c>
      <x:c r="E2628" t="str">
        <x:v>Sarjana</x:v>
      </x:c>
      <x:c r="F2628" s="18" t="n">
        <x:v>60</x:v>
      </x:c>
      <x:c r="G2628" s="18" t="n">
        <x:v>127</x:v>
      </x:c>
      <x:c r="H2628" s="19" t="n">
        <x:v>2.1166666666666667</x:v>
      </x:c>
      <x:c r="I2628" s="18" t="n">
        <x:f>ROUND(MIN(Model_Config_v3!$B$6,MAX(Q2628,R2628,S2628*Model_Config_v3!$B$4+T2628*Model_Config_v3!$B$5)),0)</x:f>
        <x:v>615</x:v>
      </x:c>
      <x:c r="J2628" s="18" t="n">
        <x:f>MIN(Model_Config_v3!$B$6,I2628+Model_Config_v3!$B$7)</x:f>
        <x:v>635</x:v>
      </x:c>
      <x:c r="K2628" s="20" t="n">
        <x:v>40.5</x:v>
      </x:c>
      <x:c r="L2628" t="str">
        <x:v>RELATIF LONGGAR</x:v>
      </x:c>
      <x:c r="M2628" t="str">
        <x:v>SEDANG</x:v>
      </x:c>
      <x:c r="N2628" t="str">
        <x:v>REGULER</x:v>
      </x:c>
      <x:c r="O2628" t="str">
        <x:v>CAMPURAN</x:v>
      </x:c>
      <x:c r="P2628" t="str">
        <x:v>UMUM</x:v>
      </x:c>
      <x:c r="Q2628" s="18" t="n">
        <x:v>0</x:v>
      </x:c>
      <x:c r="R2628" s="18" t="n">
        <x:v>0</x:v>
      </x:c>
      <x:c r="S2628" s="18" t="n">
        <x:v>555.8217717629544</x:v>
      </x:c>
      <x:c r="T2628" s="18" t="n">
        <x:v>641</x:v>
      </x:c>
      <x:c r="U2628" s="18" t="n">
        <x:v>555.8217717629544</x:v>
      </x:c>
      <x:c r="V2628" s="20" t="n">
        <x:v>8.8</x:v>
      </x:c>
      <x:c r="W2628" s="20" t="n">
        <x:v>9.9</x:v>
      </x:c>
      <x:c r="X2628" s="20" t="n">
        <x:v>3.3</x:v>
      </x:c>
      <x:c r="Y2628" t="str">
        <x:v>Basis arsip 2025/2024</x:v>
      </x:c>
      <x:c r="Z2628" t="str">
        <x:v>https://snpmb.id/utbk-snbt/daya-tampung-snbt</x:v>
      </x:c>
      <x:c r="AA2628" t="str">
        <x:v>Tidak Ada</x:v>
      </x:c>
      <x:c r="AB2628" t="str">
        <x:v>Campus=55; Ratio=19.2; Prodi=40; RelDemand=34.8; Capacity=50.0</x:v>
      </x:c>
    </x:row>
    <x:row r="2629">
      <x:c r="A2629" t="n">
        <x:v>2626</x:v>
      </x:c>
      <x:c r="B2629" t="str">
        <x:v>PTN Akademik</x:v>
      </x:c>
      <x:c r="C2629" t="str">
        <x:v>UNIVERSITAS PALANGKARAYA</x:v>
      </x:c>
      <x:c r="D2629" t="str">
        <x:v>TEKNOLOGI HASIL PERIKANAN</x:v>
      </x:c>
      <x:c r="E2629" t="str">
        <x:v>Sarjana</x:v>
      </x:c>
      <x:c r="F2629" s="18" t="n">
        <x:v>10</x:v>
      </x:c>
      <x:c r="G2629" s="18" t="n">
        <x:v>8</x:v>
      </x:c>
      <x:c r="H2629" s="19" t="n">
        <x:v>0.8</x:v>
      </x:c>
      <x:c r="I2629" s="18" t="n">
        <x:f>ROUND(MIN(Model_Config_v3!$B$6,MAX(Q2629,R2629,S2629*Model_Config_v3!$B$4+T2629*Model_Config_v3!$B$5)),0)</x:f>
        <x:v>601</x:v>
      </x:c>
      <x:c r="J2629" s="18" t="n">
        <x:f>MIN(Model_Config_v3!$B$6,I2629+Model_Config_v3!$B$7)</x:f>
        <x:v>621</x:v>
      </x:c>
      <x:c r="K2629" s="20" t="n">
        <x:v>37.7</x:v>
      </x:c>
      <x:c r="L2629" t="str">
        <x:v>RELATIF LONGGAR</x:v>
      </x:c>
      <x:c r="M2629" t="str">
        <x:v>SEDANG</x:v>
      </x:c>
      <x:c r="N2629" t="str">
        <x:v>REGULER</x:v>
      </x:c>
      <x:c r="O2629" t="str">
        <x:v>SAINTEK</x:v>
      </x:c>
      <x:c r="P2629" t="str">
        <x:v>UMUM</x:v>
      </x:c>
      <x:c r="Q2629" s="18" t="n">
        <x:v>0</x:v>
      </x:c>
      <x:c r="R2629" s="18" t="n">
        <x:v>0</x:v>
      </x:c>
      <x:c r="S2629" s="18" t="n">
        <x:v>520</x:v>
      </x:c>
      <x:c r="T2629" s="18" t="n">
        <x:v>635</x:v>
      </x:c>
      <x:c r="U2629" s="18" t="n">
        <x:v>520</x:v>
      </x:c>
      <x:c r="V2629" s="20" t="n">
        <x:v>12</x:v>
      </x:c>
      <x:c r="W2629" s="20" t="n">
        <x:v>5</x:v>
      </x:c>
      <x:c r="X2629" s="20" t="n">
        <x:v>3</x:v>
      </x:c>
      <x:c r="Y2629" t="str">
        <x:v>Basis arsip 2025/2024</x:v>
      </x:c>
      <x:c r="Z2629" t="str">
        <x:v>https://snpmb.id/utbk-snbt/daya-tampung-snbt</x:v>
      </x:c>
      <x:c r="AA2629" t="str">
        <x:v>Tidak Ada</x:v>
      </x:c>
      <x:c r="AB2629" t="str">
        <x:v>Campus=55; Ratio=0.0; Prodi=40; RelDemand=13.1; Capacity=91.7</x:v>
      </x:c>
    </x:row>
    <x:row r="2630">
      <x:c r="A2630" t="n">
        <x:v>2627</x:v>
      </x:c>
      <x:c r="B2630" t="str">
        <x:v>PTN Akademik</x:v>
      </x:c>
      <x:c r="C2630" t="str">
        <x:v>UNIVERSITAS PALANGKARAYA</x:v>
      </x:c>
      <x:c r="D2630" t="str">
        <x:v>PETERNAKAN</x:v>
      </x:c>
      <x:c r="E2630" t="str">
        <x:v>Sarjana</x:v>
      </x:c>
      <x:c r="F2630" s="18" t="n">
        <x:v>20</x:v>
      </x:c>
      <x:c r="G2630" s="18" t="n">
        <x:v>29</x:v>
      </x:c>
      <x:c r="H2630" s="19" t="n">
        <x:v>1.45</x:v>
      </x:c>
      <x:c r="I2630" s="18" t="n">
        <x:f>ROUND(MIN(Model_Config_v3!$B$6,MAX(Q2630,R2630,S2630*Model_Config_v3!$B$4+T2630*Model_Config_v3!$B$5)),0)</x:f>
        <x:v>610</x:v>
      </x:c>
      <x:c r="J2630" s="18" t="n">
        <x:f>MIN(Model_Config_v3!$B$6,I2630+Model_Config_v3!$B$7)</x:f>
        <x:v>630</x:v>
      </x:c>
      <x:c r="K2630" s="20" t="n">
        <x:v>40.3</x:v>
      </x:c>
      <x:c r="L2630" t="str">
        <x:v>RELATIF LONGGAR</x:v>
      </x:c>
      <x:c r="M2630" t="str">
        <x:v>SEDANG</x:v>
      </x:c>
      <x:c r="N2630" t="str">
        <x:v>REGULER</x:v>
      </x:c>
      <x:c r="O2630" t="str">
        <x:v>SAINTEK</x:v>
      </x:c>
      <x:c r="P2630" t="str">
        <x:v>UMUM</x:v>
      </x:c>
      <x:c r="Q2630" s="18" t="n">
        <x:v>0</x:v>
      </x:c>
      <x:c r="R2630" s="18" t="n">
        <x:v>0</x:v>
      </x:c>
      <x:c r="S2630" s="18" t="n">
        <x:v>537.7504802458473</x:v>
      </x:c>
      <x:c r="T2630" s="18" t="n">
        <x:v>641</x:v>
      </x:c>
      <x:c r="U2630" s="18" t="n">
        <x:v>537.7504802458473</x:v>
      </x:c>
      <x:c r="V2630" s="20" t="n">
        <x:v>12</x:v>
      </x:c>
      <x:c r="W2630" s="20" t="n">
        <x:v>5</x:v>
      </x:c>
      <x:c r="X2630" s="20" t="n">
        <x:v>3</x:v>
      </x:c>
      <x:c r="Y2630" t="str">
        <x:v>Basis arsip 2025/2024</x:v>
      </x:c>
      <x:c r="Z2630" t="str">
        <x:v>https://snpmb.id/utbk-snbt/daya-tampung-snbt</x:v>
      </x:c>
      <x:c r="AA2630" t="str">
        <x:v>Tidak Ada</x:v>
      </x:c>
      <x:c r="AB2630" t="str">
        <x:v>Campus=55; Ratio=9.5; Prodi=40; RelDemand=23.8; Capacity=83.3</x:v>
      </x:c>
    </x:row>
    <x:row r="2631">
      <x:c r="A2631" t="n">
        <x:v>2628</x:v>
      </x:c>
      <x:c r="B2631" t="str">
        <x:v>PTN Akademik</x:v>
      </x:c>
      <x:c r="C2631" t="str">
        <x:v>UNIVERSITAS PALANGKARAYA</x:v>
      </x:c>
      <x:c r="D2631" t="str">
        <x:v>PENDIDIKAN TEKNIK BANGUNAN</x:v>
      </x:c>
      <x:c r="E2631" t="str">
        <x:v>Sarjana</x:v>
      </x:c>
      <x:c r="F2631" s="18" t="n">
        <x:v>10</x:v>
      </x:c>
      <x:c r="G2631" s="18" t="n">
        <x:v>7</x:v>
      </x:c>
      <x:c r="H2631" s="19" t="n">
        <x:v>0.7</x:v>
      </x:c>
      <x:c r="I2631" s="18" t="n">
        <x:f>ROUND(MIN(Model_Config_v3!$B$6,MAX(Q2631,R2631,S2631*Model_Config_v3!$B$4+T2631*Model_Config_v3!$B$5)),0)</x:f>
        <x:v>602</x:v>
      </x:c>
      <x:c r="J2631" s="18" t="n">
        <x:f>MIN(Model_Config_v3!$B$6,I2631+Model_Config_v3!$B$7)</x:f>
        <x:v>622</x:v>
      </x:c>
      <x:c r="K2631" s="20" t="n">
        <x:v>38.6</x:v>
      </x:c>
      <x:c r="L2631" t="str">
        <x:v>RELATIF LONGGAR</x:v>
      </x:c>
      <x:c r="M2631" t="str">
        <x:v>SEDANG+</x:v>
      </x:c>
      <x:c r="N2631" t="str">
        <x:v>REGULER</x:v>
      </x:c>
      <x:c r="O2631" t="str">
        <x:v>SAINTEK</x:v>
      </x:c>
      <x:c r="P2631" t="str">
        <x:v>PENDIDIKAN</x:v>
      </x:c>
      <x:c r="Q2631" s="18" t="n">
        <x:v>0</x:v>
      </x:c>
      <x:c r="R2631" s="18" t="n">
        <x:v>0</x:v>
      </x:c>
      <x:c r="S2631" s="18" t="n">
        <x:v>520</x:v>
      </x:c>
      <x:c r="T2631" s="18" t="n">
        <x:v>637</x:v>
      </x:c>
      <x:c r="U2631" s="18" t="n">
        <x:v>530</x:v>
      </x:c>
      <x:c r="V2631" s="20" t="n">
        <x:v>12</x:v>
      </x:c>
      <x:c r="W2631" s="20" t="n">
        <x:v>5</x:v>
      </x:c>
      <x:c r="X2631" s="20" t="n">
        <x:v>3</x:v>
      </x:c>
      <x:c r="Y2631" t="str">
        <x:v>Basis arsip 2025/2024</x:v>
      </x:c>
      <x:c r="Z2631" t="str">
        <x:v>https://snpmb.id/utbk-snbt/daya-tampung-snbt</x:v>
      </x:c>
      <x:c r="AA2631" t="str">
        <x:v>Tidak Ada</x:v>
      </x:c>
      <x:c r="AB2631" t="str">
        <x:v>Campus=55; Ratio=0.0; Prodi=45; RelDemand=11.5; Capacity=91.7</x:v>
      </x:c>
    </x:row>
    <x:row r="2632">
      <x:c r="A2632" t="n">
        <x:v>2629</x:v>
      </x:c>
      <x:c r="B2632" t="str">
        <x:v>PTN Akademik</x:v>
      </x:c>
      <x:c r="C2632" t="str">
        <x:v>UNIVERSITAS PALANGKARAYA</x:v>
      </x:c>
      <x:c r="D2632" t="str">
        <x:v>KEDOKTERAN</x:v>
      </x:c>
      <x:c r="E2632" t="str">
        <x:v>Sarjana</x:v>
      </x:c>
      <x:c r="F2632" s="18" t="n">
        <x:v>46</x:v>
      </x:c>
      <x:c r="G2632" s="18" t="n">
        <x:v>615</x:v>
      </x:c>
      <x:c r="H2632" s="19" t="n">
        <x:v>13.369565217391305</x:v>
      </x:c>
      <x:c r="I2632" s="18" t="n">
        <x:f>ROUND(MIN(Model_Config_v3!$B$6,MAX(Q2632,R2632,S2632*Model_Config_v3!$B$4+T2632*Model_Config_v3!$B$5)),0)</x:f>
        <x:v>686</x:v>
      </x:c>
      <x:c r="J2632" s="18" t="n">
        <x:f>MIN(Model_Config_v3!$B$6,I2632+Model_Config_v3!$B$7)</x:f>
        <x:v>706</x:v>
      </x:c>
      <x:c r="K2632" s="20" t="n">
        <x:v>72</x:v>
      </x:c>
      <x:c r="L2632" t="str">
        <x:v>SANGAT KETAT</x:v>
      </x:c>
      <x:c r="M2632" t="str">
        <x:v>SEDANG+</x:v>
      </x:c>
      <x:c r="N2632" t="str">
        <x:v>REGULER</x:v>
      </x:c>
      <x:c r="O2632" t="str">
        <x:v>SAINTEK</x:v>
      </x:c>
      <x:c r="P2632" t="str">
        <x:v>KEDOKTERAN</x:v>
      </x:c>
      <x:c r="Q2632" s="18" t="n">
        <x:v>0</x:v>
      </x:c>
      <x:c r="R2632" s="18" t="n">
        <x:v>680</x:v>
      </x:c>
      <x:c r="S2632" s="18" t="n">
        <x:v>643.8729012503227</x:v>
      </x:c>
      <x:c r="T2632" s="18" t="n">
        <x:v>704</x:v>
      </x:c>
      <x:c r="U2632" s="18" t="n">
        <x:v>683.8729012503227</x:v>
      </x:c>
      <x:c r="V2632" s="20" t="n">
        <x:v>12</x:v>
      </x:c>
      <x:c r="W2632" s="20" t="n">
        <x:v>5</x:v>
      </x:c>
      <x:c r="X2632" s="20" t="n">
        <x:v>3</x:v>
      </x:c>
      <x:c r="Y2632" t="str">
        <x:v>Basis arsip 2025/2024</x:v>
      </x:c>
      <x:c r="Z2632" t="str">
        <x:v>https://snpmb.id/utbk-snbt/daya-tampung-snbt</x:v>
      </x:c>
      <x:c r="AA2632" t="str">
        <x:v>Tidak Ada</x:v>
      </x:c>
      <x:c r="AB2632" t="str">
        <x:v>Campus=55; Ratio=66.3; Prodi=100; RelDemand=100.0; Capacity=61.7</x:v>
      </x:c>
    </x:row>
    <x:row r="2633">
      <x:c r="A2633" t="n">
        <x:v>2630</x:v>
      </x:c>
      <x:c r="B2633" t="str">
        <x:v>PTN Akademik</x:v>
      </x:c>
      <x:c r="C2633" t="str">
        <x:v>UNIVERSITAS PALANGKARAYA</x:v>
      </x:c>
      <x:c r="D2633" t="str">
        <x:v>TEKNOLOGI INDUSTRI PERTANIAN</x:v>
      </x:c>
      <x:c r="E2633" t="str">
        <x:v>Sarjana</x:v>
      </x:c>
      <x:c r="F2633" s="18" t="n">
        <x:v>20</x:v>
      </x:c>
      <x:c r="G2633" s="18" t="n">
        <x:v>50</x:v>
      </x:c>
      <x:c r="H2633" s="19" t="n">
        <x:v>2.5</x:v>
      </x:c>
      <x:c r="I2633" s="18" t="n">
        <x:f>ROUND(MIN(Model_Config_v3!$B$6,MAX(Q2633,R2633,S2633*Model_Config_v3!$B$4+T2633*Model_Config_v3!$B$5)),0)</x:f>
        <x:v>625</x:v>
      </x:c>
      <x:c r="J2633" s="18" t="n">
        <x:f>MIN(Model_Config_v3!$B$6,I2633+Model_Config_v3!$B$7)</x:f>
        <x:v>645</x:v>
      </x:c>
      <x:c r="K2633" s="20" t="n">
        <x:v>45.5</x:v>
      </x:c>
      <x:c r="L2633" t="str">
        <x:v>MENENGAH</x:v>
      </x:c>
      <x:c r="M2633" t="str">
        <x:v>SEDANG</x:v>
      </x:c>
      <x:c r="N2633" t="str">
        <x:v>REGULER</x:v>
      </x:c>
      <x:c r="O2633" t="str">
        <x:v>SAINTEK</x:v>
      </x:c>
      <x:c r="P2633" t="str">
        <x:v>UMUM</x:v>
      </x:c>
      <x:c r="Q2633" s="18" t="n">
        <x:v>0</x:v>
      </x:c>
      <x:c r="R2633" s="18" t="n">
        <x:v>0</x:v>
      </x:c>
      <x:c r="S2633" s="18" t="n">
        <x:v>563.7734009539241</x:v>
      </x:c>
      <x:c r="T2633" s="18" t="n">
        <x:v>651</x:v>
      </x:c>
      <x:c r="U2633" s="18" t="n">
        <x:v>563.7734009539241</x:v>
      </x:c>
      <x:c r="V2633" s="20" t="n">
        <x:v>12</x:v>
      </x:c>
      <x:c r="W2633" s="20" t="n">
        <x:v>5</x:v>
      </x:c>
      <x:c r="X2633" s="20" t="n">
        <x:v>3</x:v>
      </x:c>
      <x:c r="Y2633" t="str">
        <x:v>Basis arsip 2025/2024</x:v>
      </x:c>
      <x:c r="Z2633" t="str">
        <x:v>https://snpmb.id/utbk-snbt/daya-tampung-snbt</x:v>
      </x:c>
      <x:c r="AA2633" t="str">
        <x:v>Tidak Ada</x:v>
      </x:c>
      <x:c r="AB2633" t="str">
        <x:v>Campus=55; Ratio=23.4; Prodi=40; RelDemand=41.1; Capacity=83.3</x:v>
      </x:c>
    </x:row>
    <x:row r="2634">
      <x:c r="A2634" t="n">
        <x:v>2631</x:v>
      </x:c>
      <x:c r="B2634" t="str">
        <x:v>PTN Akademik</x:v>
      </x:c>
      <x:c r="C2634" t="str">
        <x:v>UNIVERSITAS PALANGKARAYA</x:v>
      </x:c>
      <x:c r="D2634" t="str">
        <x:v>FISIKA</x:v>
      </x:c>
      <x:c r="E2634" t="str">
        <x:v>Sarjana</x:v>
      </x:c>
      <x:c r="F2634" s="18" t="n">
        <x:v>10</x:v>
      </x:c>
      <x:c r="G2634" s="18" t="n">
        <x:v>6</x:v>
      </x:c>
      <x:c r="H2634" s="19" t="n">
        <x:v>0.6</x:v>
      </x:c>
      <x:c r="I2634" s="18" t="n">
        <x:f>ROUND(MIN(Model_Config_v3!$B$6,MAX(Q2634,R2634,S2634*Model_Config_v3!$B$4+T2634*Model_Config_v3!$B$5)),0)</x:f>
        <x:v>603</x:v>
      </x:c>
      <x:c r="J2634" s="18" t="n">
        <x:f>MIN(Model_Config_v3!$B$6,I2634+Model_Config_v3!$B$7)</x:f>
        <x:v>623</x:v>
      </x:c>
      <x:c r="K2634" s="20" t="n">
        <x:v>39.4</x:v>
      </x:c>
      <x:c r="L2634" t="str">
        <x:v>RELATIF LONGGAR</x:v>
      </x:c>
      <x:c r="M2634" t="str">
        <x:v>SEDANG+</x:v>
      </x:c>
      <x:c r="N2634" t="str">
        <x:v>REGULER</x:v>
      </x:c>
      <x:c r="O2634" t="str">
        <x:v>SAINTEK</x:v>
      </x:c>
      <x:c r="P2634" t="str">
        <x:v>SAINS DASAR</x:v>
      </x:c>
      <x:c r="Q2634" s="18" t="n">
        <x:v>0</x:v>
      </x:c>
      <x:c r="R2634" s="18" t="n">
        <x:v>0</x:v>
      </x:c>
      <x:c r="S2634" s="18" t="n">
        <x:v>520</x:v>
      </x:c>
      <x:c r="T2634" s="18" t="n">
        <x:v>639</x:v>
      </x:c>
      <x:c r="U2634" s="18" t="n">
        <x:v>520</x:v>
      </x:c>
      <x:c r="V2634" s="20" t="n">
        <x:v>12</x:v>
      </x:c>
      <x:c r="W2634" s="20" t="n">
        <x:v>5</x:v>
      </x:c>
      <x:c r="X2634" s="20" t="n">
        <x:v>3</x:v>
      </x:c>
      <x:c r="Y2634" t="str">
        <x:v>Basis arsip 2025/2024</x:v>
      </x:c>
      <x:c r="Z2634" t="str">
        <x:v>https://snpmb.id/utbk-snbt/daya-tampung-snbt</x:v>
      </x:c>
      <x:c r="AA2634" t="str">
        <x:v>Tidak Ada</x:v>
      </x:c>
      <x:c r="AB2634" t="str">
        <x:v>Campus=55; Ratio=0.0; Prodi=50; RelDemand=9.9; Capacity=91.7</x:v>
      </x:c>
    </x:row>
    <x:row r="2635">
      <x:c r="A2635" t="n">
        <x:v>2632</x:v>
      </x:c>
      <x:c r="B2635" t="str">
        <x:v>PTN Akademik</x:v>
      </x:c>
      <x:c r="C2635" t="str">
        <x:v>UNIVERSITAS PALANGKARAYA</x:v>
      </x:c>
      <x:c r="D2635" t="str">
        <x:v>KIMIA</x:v>
      </x:c>
      <x:c r="E2635" t="str">
        <x:v>Sarjana</x:v>
      </x:c>
      <x:c r="F2635" s="18" t="n">
        <x:v>18</x:v>
      </x:c>
      <x:c r="G2635" s="18" t="n">
        <x:v>19</x:v>
      </x:c>
      <x:c r="H2635" s="19" t="n">
        <x:v>1.0555555555555556</x:v>
      </x:c>
      <x:c r="I2635" s="18" t="n">
        <x:f>ROUND(MIN(Model_Config_v3!$B$6,MAX(Q2635,R2635,S2635*Model_Config_v3!$B$4+T2635*Model_Config_v3!$B$5)),0)</x:f>
        <x:v>605</x:v>
      </x:c>
      <x:c r="J2635" s="18" t="n">
        <x:f>MIN(Model_Config_v3!$B$6,I2635+Model_Config_v3!$B$7)</x:f>
        <x:v>625</x:v>
      </x:c>
      <x:c r="K2635" s="20" t="n">
        <x:v>39.8</x:v>
      </x:c>
      <x:c r="L2635" t="str">
        <x:v>RELATIF LONGGAR</x:v>
      </x:c>
      <x:c r="M2635" t="str">
        <x:v>SEDANG+</x:v>
      </x:c>
      <x:c r="N2635" t="str">
        <x:v>REGULER</x:v>
      </x:c>
      <x:c r="O2635" t="str">
        <x:v>SAINTEK</x:v>
      </x:c>
      <x:c r="P2635" t="str">
        <x:v>SAINS DASAR</x:v>
      </x:c>
      <x:c r="Q2635" s="18" t="n">
        <x:v>0</x:v>
      </x:c>
      <x:c r="R2635" s="18" t="n">
        <x:v>0</x:v>
      </x:c>
      <x:c r="S2635" s="18" t="n">
        <x:v>522.5829205434475</x:v>
      </x:c>
      <x:c r="T2635" s="18" t="n">
        <x:v>640</x:v>
      </x:c>
      <x:c r="U2635" s="18" t="n">
        <x:v>522.5829205434475</x:v>
      </x:c>
      <x:c r="V2635" s="20" t="n">
        <x:v>12</x:v>
      </x:c>
      <x:c r="W2635" s="20" t="n">
        <x:v>5</x:v>
      </x:c>
      <x:c r="X2635" s="20" t="n">
        <x:v>3</x:v>
      </x:c>
      <x:c r="Y2635" t="str">
        <x:v>Basis arsip 2025/2024</x:v>
      </x:c>
      <x:c r="Z2635" t="str">
        <x:v>https://snpmb.id/utbk-snbt/daya-tampung-snbt</x:v>
      </x:c>
      <x:c r="AA2635" t="str">
        <x:v>Tidak Ada</x:v>
      </x:c>
      <x:c r="AB2635" t="str">
        <x:v>Campus=55; Ratio=1.4; Prodi=50; RelDemand=17.3; Capacity=85.0</x:v>
      </x:c>
    </x:row>
    <x:row r="2636">
      <x:c r="A2636" t="n">
        <x:v>2633</x:v>
      </x:c>
      <x:c r="B2636" t="str">
        <x:v>PTN Akademik</x:v>
      </x:c>
      <x:c r="C2636" t="str">
        <x:v>UNIVERSITAS PALANGKARAYA</x:v>
      </x:c>
      <x:c r="D2636" t="str">
        <x:v>BIOLOGI</x:v>
      </x:c>
      <x:c r="E2636" t="str">
        <x:v>Sarjana</x:v>
      </x:c>
      <x:c r="F2636" s="18" t="n">
        <x:v>24</x:v>
      </x:c>
      <x:c r="G2636" s="18" t="n">
        <x:v>23</x:v>
      </x:c>
      <x:c r="H2636" s="19" t="n">
        <x:v>0.9583333333333334</x:v>
      </x:c>
      <x:c r="I2636" s="18" t="n">
        <x:f>ROUND(MIN(Model_Config_v3!$B$6,MAX(Q2636,R2636,S2636*Model_Config_v3!$B$4+T2636*Model_Config_v3!$B$5)),0)</x:f>
        <x:v>603</x:v>
      </x:c>
      <x:c r="J2636" s="18" t="n">
        <x:f>MIN(Model_Config_v3!$B$6,I2636+Model_Config_v3!$B$7)</x:f>
        <x:v>623</x:v>
      </x:c>
      <x:c r="K2636" s="20" t="n">
        <x:v>38.8</x:v>
      </x:c>
      <x:c r="L2636" t="str">
        <x:v>RELATIF LONGGAR</x:v>
      </x:c>
      <x:c r="M2636" t="str">
        <x:v>SEDANG+</x:v>
      </x:c>
      <x:c r="N2636" t="str">
        <x:v>REGULER</x:v>
      </x:c>
      <x:c r="O2636" t="str">
        <x:v>SAINTEK</x:v>
      </x:c>
      <x:c r="P2636" t="str">
        <x:v>SAINS DASAR</x:v>
      </x:c>
      <x:c r="Q2636" s="18" t="n">
        <x:v>0</x:v>
      </x:c>
      <x:c r="R2636" s="18" t="n">
        <x:v>0</x:v>
      </x:c>
      <x:c r="S2636" s="18" t="n">
        <x:v>520</x:v>
      </x:c>
      <x:c r="T2636" s="18" t="n">
        <x:v>638</x:v>
      </x:c>
      <x:c r="U2636" s="18" t="n">
        <x:v>520</x:v>
      </x:c>
      <x:c r="V2636" s="20" t="n">
        <x:v>12</x:v>
      </x:c>
      <x:c r="W2636" s="20" t="n">
        <x:v>5</x:v>
      </x:c>
      <x:c r="X2636" s="20" t="n">
        <x:v>3</x:v>
      </x:c>
      <x:c r="Y2636" t="str">
        <x:v>Basis arsip 2025/2024</x:v>
      </x:c>
      <x:c r="Z2636" t="str">
        <x:v>https://snpmb.id/utbk-snbt/daya-tampung-snbt</x:v>
      </x:c>
      <x:c r="AA2636" t="str">
        <x:v>Tidak Ada</x:v>
      </x:c>
      <x:c r="AB2636" t="str">
        <x:v>Campus=55; Ratio=0.0; Prodi=50; RelDemand=15.8; Capacity=80.0</x:v>
      </x:c>
    </x:row>
    <x:row r="2637">
      <x:c r="A2637" t="n">
        <x:v>2634</x:v>
      </x:c>
      <x:c r="B2637" t="str">
        <x:v>PTN Akademik</x:v>
      </x:c>
      <x:c r="C2637" t="str">
        <x:v>UNIVERSITAS PALANGKARAYA</x:v>
      </x:c>
      <x:c r="D2637" t="str">
        <x:v>PEND. PANCASILA &amp; KEWARGANEGARAAN (PPKN)</x:v>
      </x:c>
      <x:c r="E2637" t="str">
        <x:v>Sarjana</x:v>
      </x:c>
      <x:c r="F2637" s="18" t="n">
        <x:v>24</x:v>
      </x:c>
      <x:c r="G2637" s="18" t="n">
        <x:v>44</x:v>
      </x:c>
      <x:c r="H2637" s="19" t="n">
        <x:v>1.8333333333333333</x:v>
      </x:c>
      <x:c r="I2637" s="18" t="n">
        <x:f>ROUND(MIN(Model_Config_v3!$B$6,MAX(Q2637,R2637,S2637*Model_Config_v3!$B$4+T2637*Model_Config_v3!$B$5)),0)</x:f>
        <x:v>617</x:v>
      </x:c>
      <x:c r="J2637" s="18" t="n">
        <x:f>MIN(Model_Config_v3!$B$6,I2637+Model_Config_v3!$B$7)</x:f>
        <x:v>637</x:v>
      </x:c>
      <x:c r="K2637" s="20" t="n">
        <x:v>43.1</x:v>
      </x:c>
      <x:c r="L2637" t="str">
        <x:v>RELATIF LONGGAR</x:v>
      </x:c>
      <x:c r="M2637" t="str">
        <x:v>SEDANG+</x:v>
      </x:c>
      <x:c r="N2637" t="str">
        <x:v>REGULER</x:v>
      </x:c>
      <x:c r="O2637" t="str">
        <x:v>CAMPURAN</x:v>
      </x:c>
      <x:c r="P2637" t="str">
        <x:v>PENDIDIKAN</x:v>
      </x:c>
      <x:c r="Q2637" s="18" t="n">
        <x:v>0</x:v>
      </x:c>
      <x:c r="R2637" s="18" t="n">
        <x:v>0</x:v>
      </x:c>
      <x:c r="S2637" s="18" t="n">
        <x:v>548.956557825204</x:v>
      </x:c>
      <x:c r="T2637" s="18" t="n">
        <x:v>646</x:v>
      </x:c>
      <x:c r="U2637" s="18" t="n">
        <x:v>548.956557825204</x:v>
      </x:c>
      <x:c r="V2637" s="20" t="n">
        <x:v>8.8</x:v>
      </x:c>
      <x:c r="W2637" s="20" t="n">
        <x:v>9.9</x:v>
      </x:c>
      <x:c r="X2637" s="20" t="n">
        <x:v>3.3</x:v>
      </x:c>
      <x:c r="Y2637" t="str">
        <x:v>Basis arsip 2025/2024</x:v>
      </x:c>
      <x:c r="Z2637" t="str">
        <x:v>https://snpmb.id/utbk-snbt/daya-tampung-snbt</x:v>
      </x:c>
      <x:c r="AA2637" t="str">
        <x:v>Tidak Ada</x:v>
      </x:c>
      <x:c r="AB2637" t="str">
        <x:v>Campus=55; Ratio=15.5; Prodi=45; RelDemand=30.1; Capacity=80.0</x:v>
      </x:c>
    </x:row>
    <x:row r="2638">
      <x:c r="A2638" t="n">
        <x:v>2635</x:v>
      </x:c>
      <x:c r="B2638" t="str">
        <x:v>PTN Akademik</x:v>
      </x:c>
      <x:c r="C2638" t="str">
        <x:v>UNIVERSITAS PALANGKARAYA</x:v>
      </x:c>
      <x:c r="D2638" t="str">
        <x:v>PEND. EKONOMI</x:v>
      </x:c>
      <x:c r="E2638" t="str">
        <x:v>Sarjana</x:v>
      </x:c>
      <x:c r="F2638" s="18" t="n">
        <x:v>24</x:v>
      </x:c>
      <x:c r="G2638" s="18" t="n">
        <x:v>34</x:v>
      </x:c>
      <x:c r="H2638" s="19" t="n">
        <x:v>1.4166666666666667</x:v>
      </x:c>
      <x:c r="I2638" s="18" t="n">
        <x:f>ROUND(MIN(Model_Config_v3!$B$6,MAX(Q2638,R2638,S2638*Model_Config_v3!$B$4+T2638*Model_Config_v3!$B$5)),0)</x:f>
        <x:v>610</x:v>
      </x:c>
      <x:c r="J2638" s="18" t="n">
        <x:f>MIN(Model_Config_v3!$B$6,I2638+Model_Config_v3!$B$7)</x:f>
        <x:v>630</x:v>
      </x:c>
      <x:c r="K2638" s="20" t="n">
        <x:v>40.8</x:v>
      </x:c>
      <x:c r="L2638" t="str">
        <x:v>RELATIF LONGGAR</x:v>
      </x:c>
      <x:c r="M2638" t="str">
        <x:v>SEDANG+</x:v>
      </x:c>
      <x:c r="N2638" t="str">
        <x:v>REGULER</x:v>
      </x:c>
      <x:c r="O2638" t="str">
        <x:v>SOSHUM</x:v>
      </x:c>
      <x:c r="P2638" t="str">
        <x:v>PENDIDIKAN</x:v>
      </x:c>
      <x:c r="Q2638" s="18" t="n">
        <x:v>0</x:v>
      </x:c>
      <x:c r="R2638" s="18" t="n">
        <x:v>0</x:v>
      </x:c>
      <x:c r="S2638" s="18" t="n">
        <x:v>536.6394442863714</x:v>
      </x:c>
      <x:c r="T2638" s="18" t="n">
        <x:v>642</x:v>
      </x:c>
      <x:c r="U2638" s="18" t="n">
        <x:v>536.6394442863714</x:v>
      </x:c>
      <x:c r="V2638" s="20" t="n">
        <x:v>4.4</x:v>
      </x:c>
      <x:c r="W2638" s="20" t="n">
        <x:v>14.3</x:v>
      </x:c>
      <x:c r="X2638" s="20" t="n">
        <x:v>3.3</x:v>
      </x:c>
      <x:c r="Y2638" t="str">
        <x:v>Basis arsip 2025/2024</x:v>
      </x:c>
      <x:c r="Z2638" t="str">
        <x:v>https://snpmb.id/utbk-snbt/daya-tampung-snbt</x:v>
      </x:c>
      <x:c r="AA2638" t="str">
        <x:v>Tidak Ada</x:v>
      </x:c>
      <x:c r="AB2638" t="str">
        <x:v>Campus=55; Ratio=8.9; Prodi=45; RelDemand=23.3; Capacity=80.0</x:v>
      </x:c>
    </x:row>
    <x:row r="2639">
      <x:c r="A2639" t="n">
        <x:v>2636</x:v>
      </x:c>
      <x:c r="B2639" t="str">
        <x:v>PTN Akademik</x:v>
      </x:c>
      <x:c r="C2639" t="str">
        <x:v>UNIVERSITAS PALANGKARAYA</x:v>
      </x:c>
      <x:c r="D2639" t="str">
        <x:v>PEND. BAHASA INGGRIS</x:v>
      </x:c>
      <x:c r="E2639" t="str">
        <x:v>Sarjana</x:v>
      </x:c>
      <x:c r="F2639" s="18" t="n">
        <x:v>48</x:v>
      </x:c>
      <x:c r="G2639" s="18" t="n">
        <x:v>88</x:v>
      </x:c>
      <x:c r="H2639" s="19" t="n">
        <x:v>1.8333333333333333</x:v>
      </x:c>
      <x:c r="I2639" s="18" t="n">
        <x:f>ROUND(MIN(Model_Config_v3!$B$6,MAX(Q2639,R2639,S2639*Model_Config_v3!$B$4+T2639*Model_Config_v3!$B$5)),0)</x:f>
        <x:v>614</x:v>
      </x:c>
      <x:c r="J2639" s="18" t="n">
        <x:f>MIN(Model_Config_v3!$B$6,I2639+Model_Config_v3!$B$7)</x:f>
        <x:v>634</x:v>
      </x:c>
      <x:c r="K2639" s="20" t="n">
        <x:v>41.1</x:v>
      </x:c>
      <x:c r="L2639" t="str">
        <x:v>RELATIF LONGGAR</x:v>
      </x:c>
      <x:c r="M2639" t="str">
        <x:v>SEDANG+</x:v>
      </x:c>
      <x:c r="N2639" t="str">
        <x:v>REGULER</x:v>
      </x:c>
      <x:c r="O2639" t="str">
        <x:v>SOSHUM</x:v>
      </x:c>
      <x:c r="P2639" t="str">
        <x:v>PENDIDIKAN</x:v>
      </x:c>
      <x:c r="Q2639" s="18" t="n">
        <x:v>0</x:v>
      </x:c>
      <x:c r="R2639" s="18" t="n">
        <x:v>0</x:v>
      </x:c>
      <x:c r="S2639" s="18" t="n">
        <x:v>548.956557825204</x:v>
      </x:c>
      <x:c r="T2639" s="18" t="n">
        <x:v>642</x:v>
      </x:c>
      <x:c r="U2639" s="18" t="n">
        <x:v>548.956557825204</x:v>
      </x:c>
      <x:c r="V2639" s="20" t="n">
        <x:v>4.4</x:v>
      </x:c>
      <x:c r="W2639" s="20" t="n">
        <x:v>14.3</x:v>
      </x:c>
      <x:c r="X2639" s="20" t="n">
        <x:v>3.3</x:v>
      </x:c>
      <x:c r="Y2639" t="str">
        <x:v>Basis arsip 2025/2024</x:v>
      </x:c>
      <x:c r="Z2639" t="str">
        <x:v>https://snpmb.id/utbk-snbt/daya-tampung-snbt</x:v>
      </x:c>
      <x:c r="AA2639" t="str">
        <x:v>Tidak Ada</x:v>
      </x:c>
      <x:c r="AB2639" t="str">
        <x:v>Campus=55; Ratio=15.5; Prodi=45; RelDemand=30.1; Capacity=60.0</x:v>
      </x:c>
    </x:row>
    <x:row r="2640">
      <x:c r="A2640" t="n">
        <x:v>2637</x:v>
      </x:c>
      <x:c r="B2640" t="str">
        <x:v>PTN Akademik</x:v>
      </x:c>
      <x:c r="C2640" t="str">
        <x:v>UNIVERSITAS PALANGKARAYA</x:v>
      </x:c>
      <x:c r="D2640" t="str">
        <x:v>PENDIDIKAN BAHASA DAN SASTRA INDONESIA</x:v>
      </x:c>
      <x:c r="E2640" t="str">
        <x:v>Sarjana</x:v>
      </x:c>
      <x:c r="F2640" s="18" t="n">
        <x:v>32</x:v>
      </x:c>
      <x:c r="G2640" s="18" t="n">
        <x:v>80</x:v>
      </x:c>
      <x:c r="H2640" s="19" t="n">
        <x:v>2.5</x:v>
      </x:c>
      <x:c r="I2640" s="18" t="n">
        <x:f>ROUND(MIN(Model_Config_v3!$B$6,MAX(Q2640,R2640,S2640*Model_Config_v3!$B$4+T2640*Model_Config_v3!$B$5)),0)</x:f>
        <x:v>625</x:v>
      </x:c>
      <x:c r="J2640" s="18" t="n">
        <x:f>MIN(Model_Config_v3!$B$6,I2640+Model_Config_v3!$B$7)</x:f>
        <x:v>645</x:v>
      </x:c>
      <x:c r="K2640" s="20" t="n">
        <x:v>45.5</x:v>
      </x:c>
      <x:c r="L2640" t="str">
        <x:v>MENENGAH</x:v>
      </x:c>
      <x:c r="M2640" t="str">
        <x:v>SEDANG+</x:v>
      </x:c>
      <x:c r="N2640" t="str">
        <x:v>REGULER</x:v>
      </x:c>
      <x:c r="O2640" t="str">
        <x:v>SOSHUM</x:v>
      </x:c>
      <x:c r="P2640" t="str">
        <x:v>PENDIDIKAN</x:v>
      </x:c>
      <x:c r="Q2640" s="18" t="n">
        <x:v>0</x:v>
      </x:c>
      <x:c r="R2640" s="18" t="n">
        <x:v>0</x:v>
      </x:c>
      <x:c r="S2640" s="18" t="n">
        <x:v>563.7734009539241</x:v>
      </x:c>
      <x:c r="T2640" s="18" t="n">
        <x:v>651</x:v>
      </x:c>
      <x:c r="U2640" s="18" t="n">
        <x:v>563.7734009539241</x:v>
      </x:c>
      <x:c r="V2640" s="20" t="n">
        <x:v>4.4</x:v>
      </x:c>
      <x:c r="W2640" s="20" t="n">
        <x:v>14.3</x:v>
      </x:c>
      <x:c r="X2640" s="20" t="n">
        <x:v>3.3</x:v>
      </x:c>
      <x:c r="Y2640" t="str">
        <x:v>Basis arsip 2025/2024</x:v>
      </x:c>
      <x:c r="Z2640" t="str">
        <x:v>https://snpmb.id/utbk-snbt/daya-tampung-snbt</x:v>
      </x:c>
      <x:c r="AA2640" t="str">
        <x:v>Tidak Ada</x:v>
      </x:c>
      <x:c r="AB2640" t="str">
        <x:v>Campus=55; Ratio=23.4; Prodi=45; RelDemand=41.1; Capacity=73.3</x:v>
      </x:c>
    </x:row>
    <x:row r="2641">
      <x:c r="A2641" t="n">
        <x:v>2638</x:v>
      </x:c>
      <x:c r="B2641" t="str">
        <x:v>PTN Akademik</x:v>
      </x:c>
      <x:c r="C2641" t="str">
        <x:v>UNIVERSITAS PALANGKARAYA</x:v>
      </x:c>
      <x:c r="D2641" t="str">
        <x:v>PEND. GURU SEKOLAH DASAR (PGSD)</x:v>
      </x:c>
      <x:c r="E2641" t="str">
        <x:v>Sarjana</x:v>
      </x:c>
      <x:c r="F2641" s="18" t="n">
        <x:v>68</x:v>
      </x:c>
      <x:c r="G2641" s="18" t="n">
        <x:v>300</x:v>
      </x:c>
      <x:c r="H2641" s="19" t="n">
        <x:v>4.411764705882353</x:v>
      </x:c>
      <x:c r="I2641" s="18" t="n">
        <x:f>ROUND(MIN(Model_Config_v3!$B$6,MAX(Q2641,R2641,S2641*Model_Config_v3!$B$4+T2641*Model_Config_v3!$B$5)),0)</x:f>
        <x:v>639</x:v>
      </x:c>
      <x:c r="J2641" s="18" t="n">
        <x:f>MIN(Model_Config_v3!$B$6,I2641+Model_Config_v3!$B$7)</x:f>
        <x:v>659</x:v>
      </x:c>
      <x:c r="K2641" s="20" t="n">
        <x:v>49.3</x:v>
      </x:c>
      <x:c r="L2641" t="str">
        <x:v>MENENGAH</x:v>
      </x:c>
      <x:c r="M2641" t="str">
        <x:v>SEDANG+</x:v>
      </x:c>
      <x:c r="N2641" t="str">
        <x:v>REGULER</x:v>
      </x:c>
      <x:c r="O2641" t="str">
        <x:v>CAMPURAN</x:v>
      </x:c>
      <x:c r="P2641" t="str">
        <x:v>PENDIDIKAN</x:v>
      </x:c>
      <x:c r="Q2641" s="18" t="n">
        <x:v>0</x:v>
      </x:c>
      <x:c r="R2641" s="18" t="n">
        <x:v>0</x:v>
      </x:c>
      <x:c r="S2641" s="18" t="n">
        <x:v>590.9073576214769</x:v>
      </x:c>
      <x:c r="T2641" s="18" t="n">
        <x:v>659</x:v>
      </x:c>
      <x:c r="U2641" s="18" t="n">
        <x:v>590.9073576214769</x:v>
      </x:c>
      <x:c r="V2641" s="20" t="n">
        <x:v>8.8</x:v>
      </x:c>
      <x:c r="W2641" s="20" t="n">
        <x:v>9.9</x:v>
      </x:c>
      <x:c r="X2641" s="20" t="n">
        <x:v>3.3</x:v>
      </x:c>
      <x:c r="Y2641" t="str">
        <x:v>Basis arsip 2025/2024</x:v>
      </x:c>
      <x:c r="Z2641" t="str">
        <x:v>https://snpmb.id/utbk-snbt/daya-tampung-snbt</x:v>
      </x:c>
      <x:c r="AA2641" t="str">
        <x:v>Tidak Ada</x:v>
      </x:c>
      <x:c r="AB2641" t="str">
        <x:v>Campus=55; Ratio=37.9; Prodi=45; RelDemand=72.5; Capacity=43.3</x:v>
      </x:c>
    </x:row>
    <x:row r="2642">
      <x:c r="A2642" t="n">
        <x:v>2639</x:v>
      </x:c>
      <x:c r="B2642" t="str">
        <x:v>PTN Akademik</x:v>
      </x:c>
      <x:c r="C2642" t="str">
        <x:v>UNIVERSITAS PALANGKARAYA</x:v>
      </x:c>
      <x:c r="D2642" t="str">
        <x:v>PEND. JASMANI, KESEHATAN DAN REKREASI</x:v>
      </x:c>
      <x:c r="E2642" t="str">
        <x:v>Sarjana</x:v>
      </x:c>
      <x:c r="F2642" s="18" t="n">
        <x:v>28</x:v>
      </x:c>
      <x:c r="G2642" s="18" t="n">
        <x:v>34</x:v>
      </x:c>
      <x:c r="H2642" s="19" t="n">
        <x:v>1.2142857142857142</x:v>
      </x:c>
      <x:c r="I2642" s="18" t="n">
        <x:f>ROUND(MIN(Model_Config_v3!$B$6,MAX(Q2642,R2642,S2642*Model_Config_v3!$B$4+T2642*Model_Config_v3!$B$5)),0)</x:f>
        <x:v>605</x:v>
      </x:c>
      <x:c r="J2642" s="18" t="n">
        <x:f>MIN(Model_Config_v3!$B$6,I2642+Model_Config_v3!$B$7)</x:f>
        <x:v>625</x:v>
      </x:c>
      <x:c r="K2642" s="20" t="n">
        <x:v>39.2</x:v>
      </x:c>
      <x:c r="L2642" t="str">
        <x:v>RELATIF LONGGAR</x:v>
      </x:c>
      <x:c r="M2642" t="str">
        <x:v>PORTOFOLIO</x:v>
      </x:c>
      <x:c r="N2642" t="str">
        <x:v>REGULER</x:v>
      </x:c>
      <x:c r="O2642" t="str">
        <x:v>SENI/OLAHRAGA</x:v>
      </x:c>
      <x:c r="P2642" t="str">
        <x:v>SENI/OLAHRAGA</x:v>
      </x:c>
      <x:c r="Q2642" s="18" t="n">
        <x:v>0</x:v>
      </x:c>
      <x:c r="R2642" s="18" t="n">
        <x:v>0</x:v>
      </x:c>
      <x:c r="S2642" s="18" t="n">
        <x:v>529.2752974270039</x:v>
      </x:c>
      <x:c r="T2642" s="18" t="n">
        <x:v>638</x:v>
      </x:c>
      <x:c r="U2642" s="18" t="n">
        <x:v>529.2752974270039</x:v>
      </x:c>
      <x:c r="V2642" s="20" t="n">
        <x:v>4.4</x:v>
      </x:c>
      <x:c r="W2642" s="20" t="n">
        <x:v>9.9</x:v>
      </x:c>
      <x:c r="X2642" s="20" t="n">
        <x:v>7.7</x:v>
      </x:c>
      <x:c r="Y2642" t="str">
        <x:v>Basis arsip 2025/2024</x:v>
      </x:c>
      <x:c r="Z2642" t="str">
        <x:v>https://snpmb.id/utbk-snbt/daya-tampung-snbt</x:v>
      </x:c>
      <x:c r="AA2642" t="str">
        <x:v>Olahraga</x:v>
      </x:c>
      <x:c r="AB2642" t="str">
        <x:v>Campus=55; Ratio=5.0; Prodi=45; RelDemand=20.0; Capacity=76.7</x:v>
      </x:c>
    </x:row>
    <x:row r="2643">
      <x:c r="A2643" t="n">
        <x:v>2640</x:v>
      </x:c>
      <x:c r="B2643" t="str">
        <x:v>PTN Akademik</x:v>
      </x:c>
      <x:c r="C2643" t="str">
        <x:v>UNIVERSITAS PALANGKARAYA</x:v>
      </x:c>
      <x:c r="D2643" t="str">
        <x:v>PEND. GURU PEND ANAK USIA DINI (PG PAUD)</x:v>
      </x:c>
      <x:c r="E2643" t="str">
        <x:v>Sarjana</x:v>
      </x:c>
      <x:c r="F2643" s="18" t="n">
        <x:v>24</x:v>
      </x:c>
      <x:c r="G2643" s="18" t="n">
        <x:v>39</x:v>
      </x:c>
      <x:c r="H2643" s="19" t="n">
        <x:v>1.625</x:v>
      </x:c>
      <x:c r="I2643" s="18" t="n">
        <x:f>ROUND(MIN(Model_Config_v3!$B$6,MAX(Q2643,R2643,S2643*Model_Config_v3!$B$4+T2643*Model_Config_v3!$B$5)),0)</x:f>
        <x:v>614</x:v>
      </x:c>
      <x:c r="J2643" s="18" t="n">
        <x:f>MIN(Model_Config_v3!$B$6,I2643+Model_Config_v3!$B$7)</x:f>
        <x:v>634</x:v>
      </x:c>
      <x:c r="K2643" s="20" t="n">
        <x:v>42</x:v>
      </x:c>
      <x:c r="L2643" t="str">
        <x:v>RELATIF LONGGAR</x:v>
      </x:c>
      <x:c r="M2643" t="str">
        <x:v>SEDANG+</x:v>
      </x:c>
      <x:c r="N2643" t="str">
        <x:v>REGULER</x:v>
      </x:c>
      <x:c r="O2643" t="str">
        <x:v>CAMPURAN</x:v>
      </x:c>
      <x:c r="P2643" t="str">
        <x:v>PENDIDIKAN</x:v>
      </x:c>
      <x:c r="Q2643" s="18" t="n">
        <x:v>0</x:v>
      </x:c>
      <x:c r="R2643" s="18" t="n">
        <x:v>0</x:v>
      </x:c>
      <x:c r="S2643" s="18" t="n">
        <x:v>543.1938701846383</x:v>
      </x:c>
      <x:c r="T2643" s="18" t="n">
        <x:v>644</x:v>
      </x:c>
      <x:c r="U2643" s="18" t="n">
        <x:v>543.1938701846383</x:v>
      </x:c>
      <x:c r="V2643" s="20" t="n">
        <x:v>8.8</x:v>
      </x:c>
      <x:c r="W2643" s="20" t="n">
        <x:v>9.9</x:v>
      </x:c>
      <x:c r="X2643" s="20" t="n">
        <x:v>3.3</x:v>
      </x:c>
      <x:c r="Y2643" t="str">
        <x:v>Basis arsip 2025/2024</x:v>
      </x:c>
      <x:c r="Z2643" t="str">
        <x:v>https://snpmb.id/utbk-snbt/daya-tampung-snbt</x:v>
      </x:c>
      <x:c r="AA2643" t="str">
        <x:v>Tidak Ada</x:v>
      </x:c>
      <x:c r="AB2643" t="str">
        <x:v>Campus=55; Ratio=12.4; Prodi=45; RelDemand=26.7; Capacity=80.0</x:v>
      </x:c>
    </x:row>
    <x:row r="2644">
      <x:c r="A2644" t="n">
        <x:v>2641</x:v>
      </x:c>
      <x:c r="B2644" t="str">
        <x:v>PTN Akademik</x:v>
      </x:c>
      <x:c r="C2644" t="str">
        <x:v>UNIVERSITAS PALANGKARAYA</x:v>
      </x:c>
      <x:c r="D2644" t="str">
        <x:v>PEND. LUAR SEKOLAH</x:v>
      </x:c>
      <x:c r="E2644" t="str">
        <x:v>Sarjana</x:v>
      </x:c>
      <x:c r="F2644" s="18" t="n">
        <x:v>6</x:v>
      </x:c>
      <x:c r="G2644" s="18" t="n">
        <x:v>3</x:v>
      </x:c>
      <x:c r="H2644" s="19" t="n">
        <x:v>0.5</x:v>
      </x:c>
      <x:c r="I2644" s="18" t="n">
        <x:f>ROUND(MIN(Model_Config_v3!$B$6,MAX(Q2644,R2644,S2644*Model_Config_v3!$B$4+T2644*Model_Config_v3!$B$5)),0)</x:f>
        <x:v>602</x:v>
      </x:c>
      <x:c r="J2644" s="18" t="n">
        <x:f>MIN(Model_Config_v3!$B$6,I2644+Model_Config_v3!$B$7)</x:f>
        <x:v>622</x:v>
      </x:c>
      <x:c r="K2644" s="20" t="n">
        <x:v>38.6</x:v>
      </x:c>
      <x:c r="L2644" t="str">
        <x:v>RELATIF LONGGAR</x:v>
      </x:c>
      <x:c r="M2644" t="str">
        <x:v>SEDANG+</x:v>
      </x:c>
      <x:c r="N2644" t="str">
        <x:v>REGULER</x:v>
      </x:c>
      <x:c r="O2644" t="str">
        <x:v>CAMPURAN</x:v>
      </x:c>
      <x:c r="P2644" t="str">
        <x:v>PENDIDIKAN</x:v>
      </x:c>
      <x:c r="Q2644" s="18" t="n">
        <x:v>0</x:v>
      </x:c>
      <x:c r="R2644" s="18" t="n">
        <x:v>0</x:v>
      </x:c>
      <x:c r="S2644" s="18" t="n">
        <x:v>520</x:v>
      </x:c>
      <x:c r="T2644" s="18" t="n">
        <x:v>637</x:v>
      </x:c>
      <x:c r="U2644" s="18" t="n">
        <x:v>520</x:v>
      </x:c>
      <x:c r="V2644" s="20" t="n">
        <x:v>8.8</x:v>
      </x:c>
      <x:c r="W2644" s="20" t="n">
        <x:v>9.9</x:v>
      </x:c>
      <x:c r="X2644" s="20" t="n">
        <x:v>3.3</x:v>
      </x:c>
      <x:c r="Y2644" t="str">
        <x:v>Basis arsip 2025/2024</x:v>
      </x:c>
      <x:c r="Z2644" t="str">
        <x:v>https://snpmb.id/utbk-snbt/daya-tampung-snbt</x:v>
      </x:c>
      <x:c r="AA2644" t="str">
        <x:v>Tidak Ada</x:v>
      </x:c>
      <x:c r="AB2644" t="str">
        <x:v>Campus=55; Ratio=0.0; Prodi=45; RelDemand=8.2; Capacity=95.0</x:v>
      </x:c>
    </x:row>
    <x:row r="2645">
      <x:c r="A2645" t="n">
        <x:v>2642</x:v>
      </x:c>
      <x:c r="B2645" t="str">
        <x:v>PTN Akademik</x:v>
      </x:c>
      <x:c r="C2645" t="str">
        <x:v>UNIVERSITAS PALANGKARAYA</x:v>
      </x:c>
      <x:c r="D2645" t="str">
        <x:v>BIMBINGAN DAN KONSELING</x:v>
      </x:c>
      <x:c r="E2645" t="str">
        <x:v>Sarjana</x:v>
      </x:c>
      <x:c r="F2645" s="18" t="n">
        <x:v>20</x:v>
      </x:c>
      <x:c r="G2645" s="18" t="n">
        <x:v>46</x:v>
      </x:c>
      <x:c r="H2645" s="19" t="n">
        <x:v>2.3</x:v>
      </x:c>
      <x:c r="I2645" s="18" t="n">
        <x:f>ROUND(MIN(Model_Config_v3!$B$6,MAX(Q2645,R2645,S2645*Model_Config_v3!$B$4+T2645*Model_Config_v3!$B$5)),0)</x:f>
        <x:v>622</x:v>
      </x:c>
      <x:c r="J2645" s="18" t="n">
        <x:f>MIN(Model_Config_v3!$B$6,I2645+Model_Config_v3!$B$7)</x:f>
        <x:v>642</x:v>
      </x:c>
      <x:c r="K2645" s="20" t="n">
        <x:v>44.7</x:v>
      </x:c>
      <x:c r="L2645" t="str">
        <x:v>RELATIF LONGGAR</x:v>
      </x:c>
      <x:c r="M2645" t="str">
        <x:v>SEDANG</x:v>
      </x:c>
      <x:c r="N2645" t="str">
        <x:v>REGULER</x:v>
      </x:c>
      <x:c r="O2645" t="str">
        <x:v>CAMPURAN</x:v>
      </x:c>
      <x:c r="P2645" t="str">
        <x:v>UMUM</x:v>
      </x:c>
      <x:c r="Q2645" s="18" t="n">
        <x:v>0</x:v>
      </x:c>
      <x:c r="R2645" s="18" t="n">
        <x:v>0</x:v>
      </x:c>
      <x:c r="S2645" s="18" t="n">
        <x:v>559.7900619619352</x:v>
      </x:c>
      <x:c r="T2645" s="18" t="n">
        <x:v>649</x:v>
      </x:c>
      <x:c r="U2645" s="18" t="n">
        <x:v>559.7900619619352</x:v>
      </x:c>
      <x:c r="V2645" s="20" t="n">
        <x:v>8.8</x:v>
      </x:c>
      <x:c r="W2645" s="20" t="n">
        <x:v>9.9</x:v>
      </x:c>
      <x:c r="X2645" s="20" t="n">
        <x:v>3.3</x:v>
      </x:c>
      <x:c r="Y2645" t="str">
        <x:v>Basis arsip 2025/2024</x:v>
      </x:c>
      <x:c r="Z2645" t="str">
        <x:v>https://snpmb.id/utbk-snbt/daya-tampung-snbt</x:v>
      </x:c>
      <x:c r="AA2645" t="str">
        <x:v>Tidak Ada</x:v>
      </x:c>
      <x:c r="AB2645" t="str">
        <x:v>Campus=55; Ratio=21.3; Prodi=40; RelDemand=37.8; Capacity=83.3</x:v>
      </x:c>
    </x:row>
    <x:row r="2646">
      <x:c r="A2646" t="n">
        <x:v>2643</x:v>
      </x:c>
      <x:c r="B2646" t="str">
        <x:v>PTN Akademik</x:v>
      </x:c>
      <x:c r="C2646" t="str">
        <x:v>UNIVERSITAS PALANGKARAYA</x:v>
      </x:c>
      <x:c r="D2646" t="str">
        <x:v>EKONOMI PEMBANGUNAN</x:v>
      </x:c>
      <x:c r="E2646" t="str">
        <x:v>Sarjana</x:v>
      </x:c>
      <x:c r="F2646" s="18" t="n">
        <x:v>60</x:v>
      </x:c>
      <x:c r="G2646" s="18" t="n">
        <x:v>47</x:v>
      </x:c>
      <x:c r="H2646" s="19" t="n">
        <x:v>0.7833333333333333</x:v>
      </x:c>
      <x:c r="I2646" s="18" t="n">
        <x:f>ROUND(MIN(Model_Config_v3!$B$6,MAX(Q2646,R2646,S2646*Model_Config_v3!$B$4+T2646*Model_Config_v3!$B$5)),0)</x:f>
        <x:v>602</x:v>
      </x:c>
      <x:c r="J2646" s="18" t="n">
        <x:f>MIN(Model_Config_v3!$B$6,I2646+Model_Config_v3!$B$7)</x:f>
        <x:v>622</x:v>
      </x:c>
      <x:c r="K2646" s="20" t="n">
        <x:v>38.5</x:v>
      </x:c>
      <x:c r="L2646" t="str">
        <x:v>RELATIF LONGGAR</x:v>
      </x:c>
      <x:c r="M2646" t="str">
        <x:v>SEDANG+</x:v>
      </x:c>
      <x:c r="N2646" t="str">
        <x:v>REGULER</x:v>
      </x:c>
      <x:c r="O2646" t="str">
        <x:v>SOSHUM</x:v>
      </x:c>
      <x:c r="P2646" t="str">
        <x:v>BISNIS/EKONOMI/AKUNTANSI</x:v>
      </x:c>
      <x:c r="Q2646" s="18" t="n">
        <x:v>0</x:v>
      </x:c>
      <x:c r="R2646" s="18" t="n">
        <x:v>0</x:v>
      </x:c>
      <x:c r="S2646" s="18" t="n">
        <x:v>520</x:v>
      </x:c>
      <x:c r="T2646" s="18" t="n">
        <x:v>637</x:v>
      </x:c>
      <x:c r="U2646" s="18" t="n">
        <x:v>520</x:v>
      </x:c>
      <x:c r="V2646" s="20" t="n">
        <x:v>4.4</x:v>
      </x:c>
      <x:c r="W2646" s="20" t="n">
        <x:v>14.3</x:v>
      </x:c>
      <x:c r="X2646" s="20" t="n">
        <x:v>3.3</x:v>
      </x:c>
      <x:c r="Y2646" t="str">
        <x:v>Basis arsip 2025/2024</x:v>
      </x:c>
      <x:c r="Z2646" t="str">
        <x:v>https://snpmb.id/utbk-snbt/daya-tampung-snbt</x:v>
      </x:c>
      <x:c r="AA2646" t="str">
        <x:v>Tidak Ada</x:v>
      </x:c>
      <x:c r="AB2646" t="str">
        <x:v>Campus=55; Ratio=0.0; Prodi=65; RelDemand=12.9; Capacity=50.0</x:v>
      </x:c>
    </x:row>
    <x:row r="2647">
      <x:c r="A2647" t="n">
        <x:v>2644</x:v>
      </x:c>
      <x:c r="B2647" t="str">
        <x:v>PTN Akademik</x:v>
      </x:c>
      <x:c r="C2647" t="str">
        <x:v>UNIVERSITAS PALANGKARAYA</x:v>
      </x:c>
      <x:c r="D2647" t="str">
        <x:v>MANAJEMEN</x:v>
      </x:c>
      <x:c r="E2647" t="str">
        <x:v>Sarjana</x:v>
      </x:c>
      <x:c r="F2647" s="18" t="n">
        <x:v>120</x:v>
      </x:c>
      <x:c r="G2647" s="18" t="n">
        <x:v>483</x:v>
      </x:c>
      <x:c r="H2647" s="19" t="n">
        <x:v>4.025</x:v>
      </x:c>
      <x:c r="I2647" s="18" t="n">
        <x:f>ROUND(MIN(Model_Config_v3!$B$6,MAX(Q2647,R2647,S2647*Model_Config_v3!$B$4+T2647*Model_Config_v3!$B$5)),0)</x:f>
        <x:v>635</x:v>
      </x:c>
      <x:c r="J2647" s="18" t="n">
        <x:f>MIN(Model_Config_v3!$B$6,I2647+Model_Config_v3!$B$7)</x:f>
        <x:v>655</x:v>
      </x:c>
      <x:c r="K2647" s="20" t="n">
        <x:v>47.8</x:v>
      </x:c>
      <x:c r="L2647" t="str">
        <x:v>MENENGAH</x:v>
      </x:c>
      <x:c r="M2647" t="str">
        <x:v>SEDANG+</x:v>
      </x:c>
      <x:c r="N2647" t="str">
        <x:v>REGULER</x:v>
      </x:c>
      <x:c r="O2647" t="str">
        <x:v>SOSHUM</x:v>
      </x:c>
      <x:c r="P2647" t="str">
        <x:v>BISNIS/EKONOMI/AKUNTANSI</x:v>
      </x:c>
      <x:c r="Q2647" s="18" t="n">
        <x:v>0</x:v>
      </x:c>
      <x:c r="R2647" s="18" t="n">
        <x:v>0</x:v>
      </x:c>
      <x:c r="S2647" s="18" t="n">
        <x:v>586.5242473174276</x:v>
      </x:c>
      <x:c r="T2647" s="18" t="n">
        <x:v>656</x:v>
      </x:c>
      <x:c r="U2647" s="18" t="n">
        <x:v>601.5242473174276</x:v>
      </x:c>
      <x:c r="V2647" s="20" t="n">
        <x:v>4.4</x:v>
      </x:c>
      <x:c r="W2647" s="20" t="n">
        <x:v>14.3</x:v>
      </x:c>
      <x:c r="X2647" s="20" t="n">
        <x:v>3.3</x:v>
      </x:c>
      <x:c r="Y2647" t="str">
        <x:v>Basis arsip 2025/2024</x:v>
      </x:c>
      <x:c r="Z2647" t="str">
        <x:v>https://snpmb.id/utbk-snbt/daya-tampung-snbt</x:v>
      </x:c>
      <x:c r="AA2647" t="str">
        <x:v>Tidak Ada</x:v>
      </x:c>
      <x:c r="AB2647" t="str">
        <x:v>Campus=55; Ratio=35.6; Prodi=65; RelDemand=66.2; Capacity=0.0</x:v>
      </x:c>
    </x:row>
    <x:row r="2648">
      <x:c r="A2648" t="n">
        <x:v>2645</x:v>
      </x:c>
      <x:c r="B2648" t="str">
        <x:v>PTN Akademik</x:v>
      </x:c>
      <x:c r="C2648" t="str">
        <x:v>UNIVERSITAS PALANGKARAYA</x:v>
      </x:c>
      <x:c r="D2648" t="str">
        <x:v>AKUNTANSI</x:v>
      </x:c>
      <x:c r="E2648" t="str">
        <x:v>Sarjana</x:v>
      </x:c>
      <x:c r="F2648" s="18" t="n">
        <x:v>100</x:v>
      </x:c>
      <x:c r="G2648" s="18" t="n">
        <x:v>309</x:v>
      </x:c>
      <x:c r="H2648" s="19" t="n">
        <x:v>3.09</x:v>
      </x:c>
      <x:c r="I2648" s="18" t="n">
        <x:f>ROUND(MIN(Model_Config_v3!$B$6,MAX(Q2648,R2648,S2648*Model_Config_v3!$B$4+T2648*Model_Config_v3!$B$5)),0)</x:f>
        <x:v>629</x:v>
      </x:c>
      <x:c r="J2648" s="18" t="n">
        <x:f>MIN(Model_Config_v3!$B$6,I2648+Model_Config_v3!$B$7)</x:f>
        <x:v>649</x:v>
      </x:c>
      <x:c r="K2648" s="20" t="n">
        <x:v>46.2</x:v>
      </x:c>
      <x:c r="L2648" t="str">
        <x:v>MENENGAH</x:v>
      </x:c>
      <x:c r="M2648" t="str">
        <x:v>SEDANG+</x:v>
      </x:c>
      <x:c r="N2648" t="str">
        <x:v>REGULER</x:v>
      </x:c>
      <x:c r="O2648" t="str">
        <x:v>SOSHUM</x:v>
      </x:c>
      <x:c r="P2648" t="str">
        <x:v>BISNIS/EKONOMI/AKUNTANSI</x:v>
      </x:c>
      <x:c r="Q2648" s="18" t="n">
        <x:v>0</x:v>
      </x:c>
      <x:c r="R2648" s="18" t="n">
        <x:v>0</x:v>
      </x:c>
      <x:c r="S2648" s="18" t="n">
        <x:v>573.8954327367318</x:v>
      </x:c>
      <x:c r="T2648" s="18" t="n">
        <x:v>652</x:v>
      </x:c>
      <x:c r="U2648" s="18" t="n">
        <x:v>573.8954327367318</x:v>
      </x:c>
      <x:c r="V2648" s="20" t="n">
        <x:v>4.4</x:v>
      </x:c>
      <x:c r="W2648" s="20" t="n">
        <x:v>14.3</x:v>
      </x:c>
      <x:c r="X2648" s="20" t="n">
        <x:v>3.3</x:v>
      </x:c>
      <x:c r="Y2648" t="str">
        <x:v>Basis arsip 2025/2024</x:v>
      </x:c>
      <x:c r="Z2648" t="str">
        <x:v>https://snpmb.id/utbk-snbt/daya-tampung-snbt</x:v>
      </x:c>
      <x:c r="AA2648" t="str">
        <x:v>Tidak Ada</x:v>
      </x:c>
      <x:c r="AB2648" t="str">
        <x:v>Campus=55; Ratio=28.8; Prodi=65; RelDemand=50.8; Capacity=16.7</x:v>
      </x:c>
    </x:row>
    <x:row r="2649">
      <x:c r="A2649" t="n">
        <x:v>2646</x:v>
      </x:c>
      <x:c r="B2649" t="str">
        <x:v>PTN Akademik</x:v>
      </x:c>
      <x:c r="C2649" t="str">
        <x:v>UNIVERSITAS PALANGKARAYA</x:v>
      </x:c>
      <x:c r="D2649" t="str">
        <x:v>SOSIOLOGI</x:v>
      </x:c>
      <x:c r="E2649" t="str">
        <x:v>Sarjana</x:v>
      </x:c>
      <x:c r="F2649" s="18" t="n">
        <x:v>60</x:v>
      </x:c>
      <x:c r="G2649" s="18" t="n">
        <x:v>53</x:v>
      </x:c>
      <x:c r="H2649" s="19" t="n">
        <x:v>0.8833333333333333</x:v>
      </x:c>
      <x:c r="I2649" s="18" t="n">
        <x:f>ROUND(MIN(Model_Config_v3!$B$6,MAX(Q2649,R2649,S2649*Model_Config_v3!$B$4+T2649*Model_Config_v3!$B$5)),0)</x:f>
        <x:v>595</x:v>
      </x:c>
      <x:c r="J2649" s="18" t="n">
        <x:f>MIN(Model_Config_v3!$B$6,I2649+Model_Config_v3!$B$7)</x:f>
        <x:v>615</x:v>
      </x:c>
      <x:c r="K2649" s="20" t="n">
        <x:v>33.7</x:v>
      </x:c>
      <x:c r="L2649" t="str">
        <x:v>RELATIF LONGGAR</x:v>
      </x:c>
      <x:c r="M2649" t="str">
        <x:v>SEDANG</x:v>
      </x:c>
      <x:c r="N2649" t="str">
        <x:v>REGULER</x:v>
      </x:c>
      <x:c r="O2649" t="str">
        <x:v>SOSHUM</x:v>
      </x:c>
      <x:c r="P2649" t="str">
        <x:v>UMUM</x:v>
      </x:c>
      <x:c r="Q2649" s="18" t="n">
        <x:v>0</x:v>
      </x:c>
      <x:c r="R2649" s="18" t="n">
        <x:v>0</x:v>
      </x:c>
      <x:c r="S2649" s="18" t="n">
        <x:v>520</x:v>
      </x:c>
      <x:c r="T2649" s="18" t="n">
        <x:v>627</x:v>
      </x:c>
      <x:c r="U2649" s="18" t="n">
        <x:v>520</x:v>
      </x:c>
      <x:c r="V2649" s="20" t="n">
        <x:v>4.4</x:v>
      </x:c>
      <x:c r="W2649" s="20" t="n">
        <x:v>14.3</x:v>
      </x:c>
      <x:c r="X2649" s="20" t="n">
        <x:v>3.3</x:v>
      </x:c>
      <x:c r="Y2649" t="str">
        <x:v>Basis arsip 2025/2024</x:v>
      </x:c>
      <x:c r="Z2649" t="str">
        <x:v>https://snpmb.id/utbk-snbt/daya-tampung-snbt</x:v>
      </x:c>
      <x:c r="AA2649" t="str">
        <x:v>Tidak Ada</x:v>
      </x:c>
      <x:c r="AB2649" t="str">
        <x:v>Campus=55; Ratio=0.0; Prodi=40; RelDemand=14.5; Capacity=50.0</x:v>
      </x:c>
    </x:row>
    <x:row r="2650">
      <x:c r="A2650" t="n">
        <x:v>2647</x:v>
      </x:c>
      <x:c r="B2650" t="str">
        <x:v>PTN Akademik</x:v>
      </x:c>
      <x:c r="C2650" t="str">
        <x:v>UNIVERSITAS PALANGKARAYA</x:v>
      </x:c>
      <x:c r="D2650" t="str">
        <x:v>ILMU ADMINISTRASI NEGARA</x:v>
      </x:c>
      <x:c r="E2650" t="str">
        <x:v>Sarjana</x:v>
      </x:c>
      <x:c r="F2650" s="18" t="n">
        <x:v>60</x:v>
      </x:c>
      <x:c r="G2650" s="18" t="n">
        <x:v>295</x:v>
      </x:c>
      <x:c r="H2650" s="19" t="n">
        <x:v>4.916666666666667</x:v>
      </x:c>
      <x:c r="I2650" s="18" t="n">
        <x:f>ROUND(MIN(Model_Config_v3!$B$6,MAX(Q2650,R2650,S2650*Model_Config_v3!$B$4+T2650*Model_Config_v3!$B$5)),0)</x:f>
        <x:v>642</x:v>
      </x:c>
      <x:c r="J2650" s="18" t="n">
        <x:f>MIN(Model_Config_v3!$B$6,I2650+Model_Config_v3!$B$7)</x:f>
        <x:v>662</x:v>
      </x:c>
      <x:c r="K2650" s="20" t="n">
        <x:v>50.5</x:v>
      </x:c>
      <x:c r="L2650" t="str">
        <x:v>MENENGAH</x:v>
      </x:c>
      <x:c r="M2650" t="str">
        <x:v>SEDANG</x:v>
      </x:c>
      <x:c r="N2650" t="str">
        <x:v>REGULER</x:v>
      </x:c>
      <x:c r="O2650" t="str">
        <x:v>SOSHUM</x:v>
      </x:c>
      <x:c r="P2650" t="str">
        <x:v>UMUM</x:v>
      </x:c>
      <x:c r="Q2650" s="18" t="n">
        <x:v>0</x:v>
      </x:c>
      <x:c r="R2650" s="18" t="n">
        <x:v>0</x:v>
      </x:c>
      <x:c r="S2650" s="18" t="n">
        <x:v>596.0837842153971</x:v>
      </x:c>
      <x:c r="T2650" s="18" t="n">
        <x:v>661</x:v>
      </x:c>
      <x:c r="U2650" s="18" t="n">
        <x:v>596.0837842153971</x:v>
      </x:c>
      <x:c r="V2650" s="20" t="n">
        <x:v>4.4</x:v>
      </x:c>
      <x:c r="W2650" s="20" t="n">
        <x:v>14.3</x:v>
      </x:c>
      <x:c r="X2650" s="20" t="n">
        <x:v>3.3</x:v>
      </x:c>
      <x:c r="Y2650" t="str">
        <x:v>Basis arsip 2025/2024</x:v>
      </x:c>
      <x:c r="Z2650" t="str">
        <x:v>https://snpmb.id/utbk-snbt/daya-tampung-snbt</x:v>
      </x:c>
      <x:c r="AA2650" t="str">
        <x:v>Tidak Ada</x:v>
      </x:c>
      <x:c r="AB2650" t="str">
        <x:v>Campus=55; Ratio=40.7; Prodi=40; RelDemand=80.8; Capacity=50.0</x:v>
      </x:c>
    </x:row>
    <x:row r="2651">
      <x:c r="A2651" t="n">
        <x:v>2648</x:v>
      </x:c>
      <x:c r="B2651" t="str">
        <x:v>PTN Akademik</x:v>
      </x:c>
      <x:c r="C2651" t="str">
        <x:v>UNIVERSITAS PALANGKARAYA</x:v>
      </x:c>
      <x:c r="D2651" t="str">
        <x:v>ILMU HUKUM</x:v>
      </x:c>
      <x:c r="E2651" t="str">
        <x:v>Sarjana</x:v>
      </x:c>
      <x:c r="F2651" s="18" t="n">
        <x:v>140</x:v>
      </x:c>
      <x:c r="G2651" s="18" t="n">
        <x:v>297</x:v>
      </x:c>
      <x:c r="H2651" s="19" t="n">
        <x:v>2.1214285714285714</x:v>
      </x:c>
      <x:c r="I2651" s="18" t="n">
        <x:f>ROUND(MIN(Model_Config_v3!$B$6,MAX(Q2651,R2651,S2651*Model_Config_v3!$B$4+T2651*Model_Config_v3!$B$5)),0)</x:f>
        <x:v>615</x:v>
      </x:c>
      <x:c r="J2651" s="18" t="n">
        <x:f>MIN(Model_Config_v3!$B$6,I2651+Model_Config_v3!$B$7)</x:f>
        <x:v>635</x:v>
      </x:c>
      <x:c r="K2651" s="20" t="n">
        <x:v>40.5</x:v>
      </x:c>
      <x:c r="L2651" t="str">
        <x:v>RELATIF LONGGAR</x:v>
      </x:c>
      <x:c r="M2651" t="str">
        <x:v>SEDANG+</x:v>
      </x:c>
      <x:c r="N2651" t="str">
        <x:v>REGULER</x:v>
      </x:c>
      <x:c r="O2651" t="str">
        <x:v>SOSHUM</x:v>
      </x:c>
      <x:c r="P2651" t="str">
        <x:v>HUKUM</x:v>
      </x:c>
      <x:c r="Q2651" s="18" t="n">
        <x:v>0</x:v>
      </x:c>
      <x:c r="R2651" s="18" t="n">
        <x:v>0</x:v>
      </x:c>
      <x:c r="S2651" s="18" t="n">
        <x:v>555.9291255002872</x:v>
      </x:c>
      <x:c r="T2651" s="18" t="n">
        <x:v>641</x:v>
      </x:c>
      <x:c r="U2651" s="18" t="n">
        <x:v>570.9291255002872</x:v>
      </x:c>
      <x:c r="V2651" s="20" t="n">
        <x:v>4.4</x:v>
      </x:c>
      <x:c r="W2651" s="20" t="n">
        <x:v>14.3</x:v>
      </x:c>
      <x:c r="X2651" s="20" t="n">
        <x:v>3.3</x:v>
      </x:c>
      <x:c r="Y2651" t="str">
        <x:v>Basis arsip 2025/2024</x:v>
      </x:c>
      <x:c r="Z2651" t="str">
        <x:v>https://snpmb.id/utbk-snbt/daya-tampung-snbt</x:v>
      </x:c>
      <x:c r="AA2651" t="str">
        <x:v>Tidak Ada</x:v>
      </x:c>
      <x:c r="AB2651" t="str">
        <x:v>Campus=55; Ratio=19.2; Prodi=65; RelDemand=34.9; Capacity=0.0</x:v>
      </x:c>
    </x:row>
    <x:row r="2652">
      <x:c r="A2652" t="n">
        <x:v>2649</x:v>
      </x:c>
      <x:c r="B2652" t="str">
        <x:v>PTN Akademik</x:v>
      </x:c>
      <x:c r="C2652" t="str">
        <x:v>UNIVERSITAS PALANGKARAYA</x:v>
      </x:c>
      <x:c r="D2652" t="str">
        <x:v>TEKNOLOGI PENDIDIKAN</x:v>
      </x:c>
      <x:c r="E2652" t="str">
        <x:v>Sarjana</x:v>
      </x:c>
      <x:c r="F2652" s="18" t="n">
        <x:v>20</x:v>
      </x:c>
      <x:c r="G2652" s="18" t="n">
        <x:v>26</x:v>
      </x:c>
      <x:c r="H2652" s="19" t="n">
        <x:v>1.3</x:v>
      </x:c>
      <x:c r="I2652" s="18" t="n">
        <x:f>ROUND(MIN(Model_Config_v3!$B$6,MAX(Q2652,R2652,S2652*Model_Config_v3!$B$4+T2652*Model_Config_v3!$B$5)),0)</x:f>
        <x:v>607</x:v>
      </x:c>
      <x:c r="J2652" s="18" t="n">
        <x:f>MIN(Model_Config_v3!$B$6,I2652+Model_Config_v3!$B$7)</x:f>
        <x:v>627</x:v>
      </x:c>
      <x:c r="K2652" s="20" t="n">
        <x:v>39.4</x:v>
      </x:c>
      <x:c r="L2652" t="str">
        <x:v>RELATIF LONGGAR</x:v>
      </x:c>
      <x:c r="M2652" t="str">
        <x:v>SEDANG</x:v>
      </x:c>
      <x:c r="N2652" t="str">
        <x:v>REGULER</x:v>
      </x:c>
      <x:c r="O2652" t="str">
        <x:v>SAINTEK</x:v>
      </x:c>
      <x:c r="P2652" t="str">
        <x:v>UMUM</x:v>
      </x:c>
      <x:c r="Q2652" s="18" t="n">
        <x:v>0</x:v>
      </x:c>
      <x:c r="R2652" s="18" t="n">
        <x:v>0</x:v>
      </x:c>
      <x:c r="S2652" s="18" t="n">
        <x:v>532.533768753752</x:v>
      </x:c>
      <x:c r="T2652" s="18" t="n">
        <x:v>639</x:v>
      </x:c>
      <x:c r="U2652" s="18" t="n">
        <x:v>532.533768753752</x:v>
      </x:c>
      <x:c r="V2652" s="20" t="n">
        <x:v>12</x:v>
      </x:c>
      <x:c r="W2652" s="20" t="n">
        <x:v>5</x:v>
      </x:c>
      <x:c r="X2652" s="20" t="n">
        <x:v>3</x:v>
      </x:c>
      <x:c r="Y2652" t="str">
        <x:v>Basis arsip 2025/2024</x:v>
      </x:c>
      <x:c r="Z2652" t="str">
        <x:v>https://snpmb.id/utbk-snbt/daya-tampung-snbt</x:v>
      </x:c>
      <x:c r="AA2652" t="str">
        <x:v>Tidak Ada</x:v>
      </x:c>
      <x:c r="AB2652" t="str">
        <x:v>Campus=55; Ratio=6.7; Prodi=40; RelDemand=21.4; Capacity=83.3</x:v>
      </x:c>
    </x:row>
    <x:row r="2653">
      <x:c r="A2653" t="n">
        <x:v>2650</x:v>
      </x:c>
      <x:c r="B2653" t="str">
        <x:v>PTN Akademik</x:v>
      </x:c>
      <x:c r="C2653" t="str">
        <x:v>UNIVERSITAS PALANGKARAYA</x:v>
      </x:c>
      <x:c r="D2653" t="str">
        <x:v>MANAJEMEN PENDIDIKAN</x:v>
      </x:c>
      <x:c r="E2653" t="str">
        <x:v>Sarjana</x:v>
      </x:c>
      <x:c r="F2653" s="18" t="n">
        <x:v>20</x:v>
      </x:c>
      <x:c r="G2653" s="18" t="n">
        <x:v>21</x:v>
      </x:c>
      <x:c r="H2653" s="19" t="n">
        <x:v>1.05</x:v>
      </x:c>
      <x:c r="I2653" s="18" t="n">
        <x:f>ROUND(MIN(Model_Config_v3!$B$6,MAX(Q2653,R2653,S2653*Model_Config_v3!$B$4+T2653*Model_Config_v3!$B$5)),0)</x:f>
        <x:v>608</x:v>
      </x:c>
      <x:c r="J2653" s="18" t="n">
        <x:f>MIN(Model_Config_v3!$B$6,I2653+Model_Config_v3!$B$7)</x:f>
        <x:v>628</x:v>
      </x:c>
      <x:c r="K2653" s="20" t="n">
        <x:v>42.6</x:v>
      </x:c>
      <x:c r="L2653" t="str">
        <x:v>RELATIF LONGGAR</x:v>
      </x:c>
      <x:c r="M2653" t="str">
        <x:v>SEDANG+</x:v>
      </x:c>
      <x:c r="N2653" t="str">
        <x:v>REGULER</x:v>
      </x:c>
      <x:c r="O2653" t="str">
        <x:v>SOSHUM</x:v>
      </x:c>
      <x:c r="P2653" t="str">
        <x:v>BISNIS/EKONOMI/AKUNTANSI</x:v>
      </x:c>
      <x:c r="Q2653" s="18" t="n">
        <x:v>0</x:v>
      </x:c>
      <x:c r="R2653" s="18" t="n">
        <x:v>0</x:v>
      </x:c>
      <x:c r="S2653" s="18" t="n">
        <x:v>522.3308228976932</x:v>
      </x:c>
      <x:c r="T2653" s="18" t="n">
        <x:v>645</x:v>
      </x:c>
      <x:c r="U2653" s="18" t="n">
        <x:v>537.3308228976932</x:v>
      </x:c>
      <x:c r="V2653" s="20" t="n">
        <x:v>4.4</x:v>
      </x:c>
      <x:c r="W2653" s="20" t="n">
        <x:v>14.3</x:v>
      </x:c>
      <x:c r="X2653" s="20" t="n">
        <x:v>3.3</x:v>
      </x:c>
      <x:c r="Y2653" t="str">
        <x:v>Basis arsip 2025/2024</x:v>
      </x:c>
      <x:c r="Z2653" t="str">
        <x:v>https://snpmb.id/utbk-snbt/daya-tampung-snbt</x:v>
      </x:c>
      <x:c r="AA2653" t="str">
        <x:v>Tidak Ada</x:v>
      </x:c>
      <x:c r="AB2653" t="str">
        <x:v>Campus=55; Ratio=1.2; Prodi=65; RelDemand=17.3; Capacity=83.3</x:v>
      </x:c>
    </x:row>
    <x:row r="2654">
      <x:c r="A2654" t="n">
        <x:v>2651</x:v>
      </x:c>
      <x:c r="B2654" t="str">
        <x:v>PTN Akademik</x:v>
      </x:c>
      <x:c r="C2654" t="str">
        <x:v>UNIVERSITAS PALANGKARAYA</x:v>
      </x:c>
      <x:c r="D2654" t="str">
        <x:v>ILMU PEMERINTAHAN</x:v>
      </x:c>
      <x:c r="E2654" t="str">
        <x:v>Sarjana</x:v>
      </x:c>
      <x:c r="F2654" s="18" t="n">
        <x:v>60</x:v>
      </x:c>
      <x:c r="G2654" s="18" t="n">
        <x:v>208</x:v>
      </x:c>
      <x:c r="H2654" s="19" t="n">
        <x:v>3.466666666666667</x:v>
      </x:c>
      <x:c r="I2654" s="18" t="n">
        <x:f>ROUND(MIN(Model_Config_v3!$B$6,MAX(Q2654,R2654,S2654*Model_Config_v3!$B$4+T2654*Model_Config_v3!$B$5)),0)</x:f>
        <x:v>630</x:v>
      </x:c>
      <x:c r="J2654" s="18" t="n">
        <x:f>MIN(Model_Config_v3!$B$6,I2654+Model_Config_v3!$B$7)</x:f>
        <x:v>650</x:v>
      </x:c>
      <x:c r="K2654" s="20" t="n">
        <x:v>45.9</x:v>
      </x:c>
      <x:c r="L2654" t="str">
        <x:v>MENENGAH</x:v>
      </x:c>
      <x:c r="M2654" t="str">
        <x:v>SEDANG</x:v>
      </x:c>
      <x:c r="N2654" t="str">
        <x:v>REGULER</x:v>
      </x:c>
      <x:c r="O2654" t="str">
        <x:v>CAMPURAN</x:v>
      </x:c>
      <x:c r="P2654" t="str">
        <x:v>UMUM</x:v>
      </x:c>
      <x:c r="Q2654" s="18" t="n">
        <x:v>0</x:v>
      </x:c>
      <x:c r="R2654" s="18" t="n">
        <x:v>0</x:v>
      </x:c>
      <x:c r="S2654" s="18" t="n">
        <x:v>579.390329303703</x:v>
      </x:c>
      <x:c r="T2654" s="18" t="n">
        <x:v>652</x:v>
      </x:c>
      <x:c r="U2654" s="18" t="n">
        <x:v>579.390329303703</x:v>
      </x:c>
      <x:c r="V2654" s="20" t="n">
        <x:v>8.8</x:v>
      </x:c>
      <x:c r="W2654" s="20" t="n">
        <x:v>9.9</x:v>
      </x:c>
      <x:c r="X2654" s="20" t="n">
        <x:v>3.3</x:v>
      </x:c>
      <x:c r="Y2654" t="str">
        <x:v>Basis arsip 2025/2024</x:v>
      </x:c>
      <x:c r="Z2654" t="str">
        <x:v>https://snpmb.id/utbk-snbt/daya-tampung-snbt</x:v>
      </x:c>
      <x:c r="AA2654" t="str">
        <x:v>Tidak Ada</x:v>
      </x:c>
      <x:c r="AB2654" t="str">
        <x:v>Campus=55; Ratio=31.8; Prodi=40; RelDemand=57.0; Capacity=50.0</x:v>
      </x:c>
    </x:row>
    <x:row r="2655">
      <x:c r="A2655" t="n">
        <x:v>2652</x:v>
      </x:c>
      <x:c r="B2655" t="str">
        <x:v>PTN Akademik</x:v>
      </x:c>
      <x:c r="C2655" t="str">
        <x:v>UNIVERSITAS PALANGKARAYA</x:v>
      </x:c>
      <x:c r="D2655" t="str">
        <x:v>PENDIDIKAN SENI DRAMA TARI DAN MUSIK</x:v>
      </x:c>
      <x:c r="E2655" t="str">
        <x:v>Sarjana</x:v>
      </x:c>
      <x:c r="F2655" s="18" t="n">
        <x:v>16</x:v>
      </x:c>
      <x:c r="G2655" s="18" t="n">
        <x:v>17</x:v>
      </x:c>
      <x:c r="H2655" s="19" t="n">
        <x:v>1.0625</x:v>
      </x:c>
      <x:c r="I2655" s="18" t="n">
        <x:f>ROUND(MIN(Model_Config_v3!$B$6,MAX(Q2655,R2655,S2655*Model_Config_v3!$B$4+T2655*Model_Config_v3!$B$5)),0)</x:f>
        <x:v>603</x:v>
      </x:c>
      <x:c r="J2655" s="18" t="n">
        <x:f>MIN(Model_Config_v3!$B$6,I2655+Model_Config_v3!$B$7)</x:f>
        <x:v>623</x:v>
      </x:c>
      <x:c r="K2655" s="20" t="n">
        <x:v>39.1</x:v>
      </x:c>
      <x:c r="L2655" t="str">
        <x:v>RELATIF LONGGAR</x:v>
      </x:c>
      <x:c r="M2655" t="str">
        <x:v>PORTOFOLIO</x:v>
      </x:c>
      <x:c r="N2655" t="str">
        <x:v>REGULER</x:v>
      </x:c>
      <x:c r="O2655" t="str">
        <x:v>SENI/OLAHRAGA</x:v>
      </x:c>
      <x:c r="P2655" t="str">
        <x:v>SENI/OLAHRAGA</x:v>
      </x:c>
      <x:c r="Q2655" s="18" t="n">
        <x:v>0</x:v>
      </x:c>
      <x:c r="R2655" s="18" t="n">
        <x:v>0</x:v>
      </x:c>
      <x:c r="S2655" s="18" t="n">
        <x:v>522.8961832594584</x:v>
      </x:c>
      <x:c r="T2655" s="18" t="n">
        <x:v>638</x:v>
      </x:c>
      <x:c r="U2655" s="18" t="n">
        <x:v>522.8961832594584</x:v>
      </x:c>
      <x:c r="V2655" s="20" t="n">
        <x:v>4.4</x:v>
      </x:c>
      <x:c r="W2655" s="20" t="n">
        <x:v>9.9</x:v>
      </x:c>
      <x:c r="X2655" s="20" t="n">
        <x:v>7.7</x:v>
      </x:c>
      <x:c r="Y2655" t="str">
        <x:v>Basis arsip 2025/2024</x:v>
      </x:c>
      <x:c r="Z2655" t="str">
        <x:v>https://snpmb.id/utbk-snbt/daya-tampung-snbt</x:v>
      </x:c>
      <x:c r="AA2655" t="str">
        <x:v>Sendratasik</x:v>
      </x:c>
      <x:c r="AB2655" t="str">
        <x:v>Campus=55; Ratio=1.5; Prodi=45; RelDemand=17.5; Capacity=86.7</x:v>
      </x:c>
    </x:row>
    <x:row r="2656">
      <x:c r="A2656" t="n">
        <x:v>2653</x:v>
      </x:c>
      <x:c r="B2656" t="str">
        <x:v>PTN Akademik</x:v>
      </x:c>
      <x:c r="C2656" t="str">
        <x:v>UNIVERSITAS PALANGKARAYA</x:v>
      </x:c>
      <x:c r="D2656" t="str">
        <x:v>MATEMATIKA</x:v>
      </x:c>
      <x:c r="E2656" t="str">
        <x:v>Sarjana</x:v>
      </x:c>
      <x:c r="F2656" s="18" t="n">
        <x:v>12</x:v>
      </x:c>
      <x:c r="G2656" s="18" t="n">
        <x:v>18</x:v>
      </x:c>
      <x:c r="H2656" s="19" t="n">
        <x:v>1.5</x:v>
      </x:c>
      <x:c r="I2656" s="18" t="n">
        <x:f>ROUND(MIN(Model_Config_v3!$B$6,MAX(Q2656,R2656,S2656*Model_Config_v3!$B$4+T2656*Model_Config_v3!$B$5)),0)</x:f>
        <x:v>615</x:v>
      </x:c>
      <x:c r="J2656" s="18" t="n">
        <x:f>MIN(Model_Config_v3!$B$6,I2656+Model_Config_v3!$B$7)</x:f>
        <x:v>635</x:v>
      </x:c>
      <x:c r="K2656" s="20" t="n">
        <x:v>43.3</x:v>
      </x:c>
      <x:c r="L2656" t="str">
        <x:v>RELATIF LONGGAR</x:v>
      </x:c>
      <x:c r="M2656" t="str">
        <x:v>SEDANG+</x:v>
      </x:c>
      <x:c r="N2656" t="str">
        <x:v>REGULER</x:v>
      </x:c>
      <x:c r="O2656" t="str">
        <x:v>SAINTEK</x:v>
      </x:c>
      <x:c r="P2656" t="str">
        <x:v>SAINS DASAR</x:v>
      </x:c>
      <x:c r="Q2656" s="18" t="n">
        <x:v>0</x:v>
      </x:c>
      <x:c r="R2656" s="18" t="n">
        <x:v>0</x:v>
      </x:c>
      <x:c r="S2656" s="18" t="n">
        <x:v>539.370038496125</x:v>
      </x:c>
      <x:c r="T2656" s="18" t="n">
        <x:v>647</x:v>
      </x:c>
      <x:c r="U2656" s="18" t="n">
        <x:v>539.370038496125</x:v>
      </x:c>
      <x:c r="V2656" s="20" t="n">
        <x:v>12</x:v>
      </x:c>
      <x:c r="W2656" s="20" t="n">
        <x:v>5</x:v>
      </x:c>
      <x:c r="X2656" s="20" t="n">
        <x:v>3</x:v>
      </x:c>
      <x:c r="Y2656" t="str">
        <x:v>Basis arsip 2025/2024</x:v>
      </x:c>
      <x:c r="Z2656" t="str">
        <x:v>https://snpmb.id/utbk-snbt/daya-tampung-snbt</x:v>
      </x:c>
      <x:c r="AA2656" t="str">
        <x:v>Tidak Ada</x:v>
      </x:c>
      <x:c r="AB2656" t="str">
        <x:v>Campus=55; Ratio=10.4; Prodi=50; RelDemand=24.7; Capacity=90.0</x:v>
      </x:c>
    </x:row>
    <x:row r="2657">
      <x:c r="A2657" t="n">
        <x:v>2654</x:v>
      </x:c>
      <x:c r="B2657" t="str">
        <x:v>PTN Akademik</x:v>
      </x:c>
      <x:c r="C2657" t="str">
        <x:v>UNIVERSITAS PALANGKARAYA</x:v>
      </x:c>
      <x:c r="D2657" t="str">
        <x:v>FARMASI</x:v>
      </x:c>
      <x:c r="E2657" t="str">
        <x:v>Sarjana</x:v>
      </x:c>
      <x:c r="F2657" s="18" t="n">
        <x:v>24</x:v>
      </x:c>
      <x:c r="G2657" s="18" t="n">
        <x:v>312</x:v>
      </x:c>
      <x:c r="H2657" s="19" t="n">
        <x:v>13</x:v>
      </x:c>
      <x:c r="I2657" s="18" t="n">
        <x:f>ROUND(MIN(Model_Config_v3!$B$6,MAX(Q2657,R2657,S2657*Model_Config_v3!$B$4+T2657*Model_Config_v3!$B$5)),0)</x:f>
        <x:v>681</x:v>
      </x:c>
      <x:c r="J2657" s="18" t="n">
        <x:f>MIN(Model_Config_v3!$B$6,I2657+Model_Config_v3!$B$7)</x:f>
        <x:v>701</x:v>
      </x:c>
      <x:c r="K2657" s="20" t="n">
        <x:v>68.6</x:v>
      </x:c>
      <x:c r="L2657" t="str">
        <x:v>SANGAT KETAT</x:v>
      </x:c>
      <x:c r="M2657" t="str">
        <x:v>SEDANG+</x:v>
      </x:c>
      <x:c r="N2657" t="str">
        <x:v>REGULER</x:v>
      </x:c>
      <x:c r="O2657" t="str">
        <x:v>SAINTEK</x:v>
      </x:c>
      <x:c r="P2657" t="str">
        <x:v>FARMASI</x:v>
      </x:c>
      <x:c r="Q2657" s="18" t="n">
        <x:v>0</x:v>
      </x:c>
      <x:c r="R2657" s="18" t="n">
        <x:v>0</x:v>
      </x:c>
      <x:c r="S2657" s="18" t="n">
        <x:v>642.533768753752</x:v>
      </x:c>
      <x:c r="T2657" s="18" t="n">
        <x:v>697</x:v>
      </x:c>
      <x:c r="U2657" s="18" t="n">
        <x:v>662.533768753752</x:v>
      </x:c>
      <x:c r="V2657" s="20" t="n">
        <x:v>12</x:v>
      </x:c>
      <x:c r="W2657" s="20" t="n">
        <x:v>5</x:v>
      </x:c>
      <x:c r="X2657" s="20" t="n">
        <x:v>3</x:v>
      </x:c>
      <x:c r="Y2657" t="str">
        <x:v>Basis arsip 2025/2024</x:v>
      </x:c>
      <x:c r="Z2657" t="str">
        <x:v>https://snpmb.id/utbk-snbt/daya-tampung-snbt</x:v>
      </x:c>
      <x:c r="AA2657" t="str">
        <x:v>Tidak Ada</x:v>
      </x:c>
      <x:c r="AB2657" t="str">
        <x:v>Campus=55; Ratio=65.6; Prodi=75; RelDemand=100.0; Capacity=80.0</x:v>
      </x:c>
    </x:row>
    <x:row r="2658">
      <x:c r="A2658" t="n">
        <x:v>2655</x:v>
      </x:c>
      <x:c r="B2658" t="str">
        <x:v>PTN Akademik</x:v>
      </x:c>
      <x:c r="C2658" t="str">
        <x:v>UNIVERSITAS PALANGKARAYA</x:v>
      </x:c>
      <x:c r="D2658" t="str">
        <x:v>TEKNOLOGI LABORATORIUM MEDIS</x:v>
      </x:c>
      <x:c r="E2658" t="str">
        <x:v>Sarjana Terapan</x:v>
      </x:c>
      <x:c r="F2658" s="18" t="n">
        <x:v>20</x:v>
      </x:c>
      <x:c r="G2658" s="18" t="n">
        <x:v>412</x:v>
      </x:c>
      <x:c r="H2658" s="19" t="n">
        <x:v>20.6</x:v>
      </x:c>
      <x:c r="I2658" s="18" t="n">
        <x:f>ROUND(MIN(Model_Config_v3!$B$6,MAX(Q2658,R2658,S2658*Model_Config_v3!$B$4+T2658*Model_Config_v3!$B$5)),0)</x:f>
        <x:v>682</x:v>
      </x:c>
      <x:c r="J2658" s="18" t="n">
        <x:f>MIN(Model_Config_v3!$B$6,I2658+Model_Config_v3!$B$7)</x:f>
        <x:v>702</x:v>
      </x:c>
      <x:c r="K2658" s="20" t="n">
        <x:v>64.9</x:v>
      </x:c>
      <x:c r="L2658" t="str">
        <x:v>KETAT</x:v>
      </x:c>
      <x:c r="M2658" t="str">
        <x:v>SEDANG</x:v>
      </x:c>
      <x:c r="N2658" t="str">
        <x:v>REGULER</x:v>
      </x:c>
      <x:c r="O2658" t="str">
        <x:v>SAINTEK</x:v>
      </x:c>
      <x:c r="P2658" t="str">
        <x:v>UMUM</x:v>
      </x:c>
      <x:c r="Q2658" s="18" t="n">
        <x:v>0</x:v>
      </x:c>
      <x:c r="R2658" s="18" t="n">
        <x:v>0</x:v>
      </x:c>
      <x:c r="S2658" s="18" t="n">
        <x:v>664.5253942406068</x:v>
      </x:c>
      <x:c r="T2658" s="18" t="n">
        <x:v>690</x:v>
      </x:c>
      <x:c r="U2658" s="18" t="n">
        <x:v>664.5253942406068</x:v>
      </x:c>
      <x:c r="V2658" s="20" t="n">
        <x:v>12</x:v>
      </x:c>
      <x:c r="W2658" s="20" t="n">
        <x:v>5</x:v>
      </x:c>
      <x:c r="X2658" s="20" t="n">
        <x:v>3</x:v>
      </x:c>
      <x:c r="Y2658" t="str">
        <x:v>Basis arsip 2025/2024</x:v>
      </x:c>
      <x:c r="Z2658" t="str">
        <x:v>https://snpmb.id/utbk-snbt/daya-tampung-snbt</x:v>
      </x:c>
      <x:c r="AA2658" t="str">
        <x:v>Tidak Ada</x:v>
      </x:c>
      <x:c r="AB2658" t="str">
        <x:v>Campus=55; Ratio=77.3; Prodi=40; RelDemand=100.0; Capacity=83.3</x:v>
      </x:c>
    </x:row>
    <x:row r="2659">
      <x:c r="A2659" t="n">
        <x:v>2656</x:v>
      </x:c>
      <x:c r="B2659" t="str">
        <x:v>PTN Akademik</x:v>
      </x:c>
      <x:c r="C2659" t="str">
        <x:v>UNIVERSITAS LAMBUNG MANGKURAT</x:v>
      </x:c>
      <x:c r="D2659" t="str">
        <x:v>PENDIDIKAN MATEMATIKA</x:v>
      </x:c>
      <x:c r="E2659" t="str">
        <x:v>Sarjana</x:v>
      </x:c>
      <x:c r="F2659" s="18" t="n">
        <x:v>40</x:v>
      </x:c>
      <x:c r="G2659" s="18" t="n">
        <x:v>109</x:v>
      </x:c>
      <x:c r="H2659" s="19" t="n">
        <x:v>2.725</x:v>
      </x:c>
      <x:c r="I2659" s="18" t="n">
        <x:f>ROUND(MIN(Model_Config_v3!$B$6,MAX(Q2659,R2659,S2659*Model_Config_v3!$B$4+T2659*Model_Config_v3!$B$5)),0)</x:f>
        <x:v>624</x:v>
      </x:c>
      <x:c r="J2659" s="18" t="n">
        <x:f>MIN(Model_Config_v3!$B$6,I2659+Model_Config_v3!$B$7)</x:f>
        <x:v>644</x:v>
      </x:c>
      <x:c r="K2659" s="20" t="n">
        <x:v>44</x:v>
      </x:c>
      <x:c r="L2659" t="str">
        <x:v>RELATIF LONGGAR</x:v>
      </x:c>
      <x:c r="M2659" t="str">
        <x:v>SEDANG+</x:v>
      </x:c>
      <x:c r="N2659" t="str">
        <x:v>REGULER</x:v>
      </x:c>
      <x:c r="O2659" t="str">
        <x:v>SAINTEK</x:v>
      </x:c>
      <x:c r="P2659" t="str">
        <x:v>PENDIDIKAN</x:v>
      </x:c>
      <x:c r="Q2659" s="18" t="n">
        <x:v>0</x:v>
      </x:c>
      <x:c r="R2659" s="18" t="n">
        <x:v>0</x:v>
      </x:c>
      <x:c r="S2659" s="18" t="n">
        <x:v>567.8903157273927</x:v>
      </x:c>
      <x:c r="T2659" s="18" t="n">
        <x:v>648</x:v>
      </x:c>
      <x:c r="U2659" s="18" t="n">
        <x:v>567.8903157273927</x:v>
      </x:c>
      <x:c r="V2659" s="20" t="n">
        <x:v>12</x:v>
      </x:c>
      <x:c r="W2659" s="20" t="n">
        <x:v>5</x:v>
      </x:c>
      <x:c r="X2659" s="20" t="n">
        <x:v>3</x:v>
      </x:c>
      <x:c r="Y2659" t="str">
        <x:v>Basis arsip 2025/2024</x:v>
      </x:c>
      <x:c r="Z2659" t="str">
        <x:v>https://snpmb.id/utbk-snbt/daya-tampung-snbt</x:v>
      </x:c>
      <x:c r="AA2659" t="str">
        <x:v>Tidak Ada</x:v>
      </x:c>
      <x:c r="AB2659" t="str">
        <x:v>Campus=55; Ratio=25.6; Prodi=45; RelDemand=27.2; Capacity=66.7</x:v>
      </x:c>
    </x:row>
    <x:row r="2660">
      <x:c r="A2660" t="n">
        <x:v>2657</x:v>
      </x:c>
      <x:c r="B2660" t="str">
        <x:v>PTN Akademik</x:v>
      </x:c>
      <x:c r="C2660" t="str">
        <x:v>UNIVERSITAS LAMBUNG MANGKURAT</x:v>
      </x:c>
      <x:c r="D2660" t="str">
        <x:v>PENDIDIKAN BIOLOGI</x:v>
      </x:c>
      <x:c r="E2660" t="str">
        <x:v>Sarjana</x:v>
      </x:c>
      <x:c r="F2660" s="18" t="n">
        <x:v>32</x:v>
      </x:c>
      <x:c r="G2660" s="18" t="n">
        <x:v>60</x:v>
      </x:c>
      <x:c r="H2660" s="19" t="n">
        <x:v>1.875</x:v>
      </x:c>
      <x:c r="I2660" s="18" t="n">
        <x:f>ROUND(MIN(Model_Config_v3!$B$6,MAX(Q2660,R2660,S2660*Model_Config_v3!$B$4+T2660*Model_Config_v3!$B$5)),0)</x:f>
        <x:v>615</x:v>
      </x:c>
      <x:c r="J2660" s="18" t="n">
        <x:f>MIN(Model_Config_v3!$B$6,I2660+Model_Config_v3!$B$7)</x:f>
        <x:v>635</x:v>
      </x:c>
      <x:c r="K2660" s="20" t="n">
        <x:v>41.5</x:v>
      </x:c>
      <x:c r="L2660" t="str">
        <x:v>RELATIF LONGGAR</x:v>
      </x:c>
      <x:c r="M2660" t="str">
        <x:v>SEDANG+</x:v>
      </x:c>
      <x:c r="N2660" t="str">
        <x:v>REGULER</x:v>
      </x:c>
      <x:c r="O2660" t="str">
        <x:v>SAINTEK</x:v>
      </x:c>
      <x:c r="P2660" t="str">
        <x:v>PENDIDIKAN</x:v>
      </x:c>
      <x:c r="Q2660" s="18" t="n">
        <x:v>0</x:v>
      </x:c>
      <x:c r="R2660" s="18" t="n">
        <x:v>0</x:v>
      </x:c>
      <x:c r="S2660" s="18" t="n">
        <x:v>550.0301399270111</x:v>
      </x:c>
      <x:c r="T2660" s="18" t="n">
        <x:v>643</x:v>
      </x:c>
      <x:c r="U2660" s="18" t="n">
        <x:v>550.0301399270111</x:v>
      </x:c>
      <x:c r="V2660" s="20" t="n">
        <x:v>12</x:v>
      </x:c>
      <x:c r="W2660" s="20" t="n">
        <x:v>5</x:v>
      </x:c>
      <x:c r="X2660" s="20" t="n">
        <x:v>3</x:v>
      </x:c>
      <x:c r="Y2660" t="str">
        <x:v>Basis arsip 2025/2024</x:v>
      </x:c>
      <x:c r="Z2660" t="str">
        <x:v>https://snpmb.id/utbk-snbt/daya-tampung-snbt</x:v>
      </x:c>
      <x:c r="AA2660" t="str">
        <x:v>Tidak Ada</x:v>
      </x:c>
      <x:c r="AB2660" t="str">
        <x:v>Campus=55; Ratio=16.1; Prodi=45; RelDemand=18.7; Capacity=73.3</x:v>
      </x:c>
    </x:row>
    <x:row r="2661">
      <x:c r="A2661" t="n">
        <x:v>2658</x:v>
      </x:c>
      <x:c r="B2661" t="str">
        <x:v>PTN Akademik</x:v>
      </x:c>
      <x:c r="C2661" t="str">
        <x:v>UNIVERSITAS LAMBUNG MANGKURAT</x:v>
      </x:c>
      <x:c r="D2661" t="str">
        <x:v>PENDIDIKAN KIMIA</x:v>
      </x:c>
      <x:c r="E2661" t="str">
        <x:v>Sarjana</x:v>
      </x:c>
      <x:c r="F2661" s="18" t="n">
        <x:v>45</x:v>
      </x:c>
      <x:c r="G2661" s="18" t="n">
        <x:v>15</x:v>
      </x:c>
      <x:c r="H2661" s="19" t="n">
        <x:v>0.3333333333333333</x:v>
      </x:c>
      <x:c r="I2661" s="18" t="n">
        <x:f>ROUND(MIN(Model_Config_v3!$B$6,MAX(Q2661,R2661,S2661*Model_Config_v3!$B$4+T2661*Model_Config_v3!$B$5)),0)</x:f>
        <x:v>597</x:v>
      </x:c>
      <x:c r="J2661" s="18" t="n">
        <x:f>MIN(Model_Config_v3!$B$6,I2661+Model_Config_v3!$B$7)</x:f>
        <x:v>617</x:v>
      </x:c>
      <x:c r="K2661" s="20" t="n">
        <x:v>34.8</x:v>
      </x:c>
      <x:c r="L2661" t="str">
        <x:v>RELATIF LONGGAR</x:v>
      </x:c>
      <x:c r="M2661" t="str">
        <x:v>SEDANG+</x:v>
      </x:c>
      <x:c r="N2661" t="str">
        <x:v>REGULER</x:v>
      </x:c>
      <x:c r="O2661" t="str">
        <x:v>SAINTEK</x:v>
      </x:c>
      <x:c r="P2661" t="str">
        <x:v>PENDIDIKAN</x:v>
      </x:c>
      <x:c r="Q2661" s="18" t="n">
        <x:v>0</x:v>
      </x:c>
      <x:c r="R2661" s="18" t="n">
        <x:v>0</x:v>
      </x:c>
      <x:c r="S2661" s="18" t="n">
        <x:v>520</x:v>
      </x:c>
      <x:c r="T2661" s="18" t="n">
        <x:v>630</x:v>
      </x:c>
      <x:c r="U2661" s="18" t="n">
        <x:v>520</x:v>
      </x:c>
      <x:c r="V2661" s="20" t="n">
        <x:v>12</x:v>
      </x:c>
      <x:c r="W2661" s="20" t="n">
        <x:v>5</x:v>
      </x:c>
      <x:c r="X2661" s="20" t="n">
        <x:v>3</x:v>
      </x:c>
      <x:c r="Y2661" t="str">
        <x:v>Basis arsip 2025/2024</x:v>
      </x:c>
      <x:c r="Z2661" t="str">
        <x:v>https://snpmb.id/utbk-snbt/daya-tampung-snbt</x:v>
      </x:c>
      <x:c r="AA2661" t="str">
        <x:v>Tidak Ada</x:v>
      </x:c>
      <x:c r="AB2661" t="str">
        <x:v>Campus=55; Ratio=0.0; Prodi=45; RelDemand=3.3; Capacity=62.5</x:v>
      </x:c>
    </x:row>
    <x:row r="2662">
      <x:c r="A2662" t="n">
        <x:v>2659</x:v>
      </x:c>
      <x:c r="B2662" t="str">
        <x:v>PTN Akademik</x:v>
      </x:c>
      <x:c r="C2662" t="str">
        <x:v>UNIVERSITAS LAMBUNG MANGKURAT</x:v>
      </x:c>
      <x:c r="D2662" t="str">
        <x:v>AGROEKOTEKNOLOGI</x:v>
      </x:c>
      <x:c r="E2662" t="str">
        <x:v>Sarjana</x:v>
      </x:c>
      <x:c r="F2662" s="18" t="n">
        <x:v>60</x:v>
      </x:c>
      <x:c r="G2662" s="18" t="n">
        <x:v>69</x:v>
      </x:c>
      <x:c r="H2662" s="19" t="n">
        <x:v>1.15</x:v>
      </x:c>
      <x:c r="I2662" s="18" t="n">
        <x:f>ROUND(MIN(Model_Config_v3!$B$6,MAX(Q2662,R2662,S2662*Model_Config_v3!$B$4+T2662*Model_Config_v3!$B$5)),0)</x:f>
        <x:v>598</x:v>
      </x:c>
      <x:c r="J2662" s="18" t="n">
        <x:f>MIN(Model_Config_v3!$B$6,I2662+Model_Config_v3!$B$7)</x:f>
        <x:v>618</x:v>
      </x:c>
      <x:c r="K2662" s="20" t="n">
        <x:v>34.3</x:v>
      </x:c>
      <x:c r="L2662" t="str">
        <x:v>RELATIF LONGGAR</x:v>
      </x:c>
      <x:c r="M2662" t="str">
        <x:v>SEDANG</x:v>
      </x:c>
      <x:c r="N2662" t="str">
        <x:v>REGULER</x:v>
      </x:c>
      <x:c r="O2662" t="str">
        <x:v>SAINTEK</x:v>
      </x:c>
      <x:c r="P2662" t="str">
        <x:v>UMUM</x:v>
      </x:c>
      <x:c r="Q2662" s="18" t="n">
        <x:v>0</x:v>
      </x:c>
      <x:c r="R2662" s="18" t="n">
        <x:v>0</x:v>
      </x:c>
      <x:c r="S2662" s="18" t="n">
        <x:v>526.6767624388973</x:v>
      </x:c>
      <x:c r="T2662" s="18" t="n">
        <x:v>629</x:v>
      </x:c>
      <x:c r="U2662" s="18" t="n">
        <x:v>526.6767624388973</x:v>
      </x:c>
      <x:c r="V2662" s="20" t="n">
        <x:v>12</x:v>
      </x:c>
      <x:c r="W2662" s="20" t="n">
        <x:v>5</x:v>
      </x:c>
      <x:c r="X2662" s="20" t="n">
        <x:v>3</x:v>
      </x:c>
      <x:c r="Y2662" t="str">
        <x:v>Basis arsip 2025/2024</x:v>
      </x:c>
      <x:c r="Z2662" t="str">
        <x:v>https://snpmb.id/utbk-snbt/daya-tampung-snbt</x:v>
      </x:c>
      <x:c r="AA2662" t="str">
        <x:v>Tidak Ada</x:v>
      </x:c>
      <x:c r="AB2662" t="str">
        <x:v>Campus=55; Ratio=3.6; Prodi=40; RelDemand=11.5; Capacity=50.0</x:v>
      </x:c>
    </x:row>
    <x:row r="2663">
      <x:c r="A2663" t="n">
        <x:v>2660</x:v>
      </x:c>
      <x:c r="B2663" t="str">
        <x:v>PTN Akademik</x:v>
      </x:c>
      <x:c r="C2663" t="str">
        <x:v>UNIVERSITAS LAMBUNG MANGKURAT</x:v>
      </x:c>
      <x:c r="D2663" t="str">
        <x:v>AGRIBISNIS</x:v>
      </x:c>
      <x:c r="E2663" t="str">
        <x:v>Sarjana</x:v>
      </x:c>
      <x:c r="F2663" s="18" t="n">
        <x:v>50</x:v>
      </x:c>
      <x:c r="G2663" s="18" t="n">
        <x:v>155</x:v>
      </x:c>
      <x:c r="H2663" s="19" t="n">
        <x:v>3.1</x:v>
      </x:c>
      <x:c r="I2663" s="18" t="n">
        <x:f>ROUND(MIN(Model_Config_v3!$B$6,MAX(Q2663,R2663,S2663*Model_Config_v3!$B$4+T2663*Model_Config_v3!$B$5)),0)</x:f>
        <x:v>632</x:v>
      </x:c>
      <x:c r="J2663" s="18" t="n">
        <x:f>MIN(Model_Config_v3!$B$6,I2663+Model_Config_v3!$B$7)</x:f>
        <x:v>652</x:v>
      </x:c>
      <x:c r="K2663" s="20" t="n">
        <x:v>48.4</x:v>
      </x:c>
      <x:c r="L2663" t="str">
        <x:v>MENENGAH</x:v>
      </x:c>
      <x:c r="M2663" t="str">
        <x:v>SEDANG+</x:v>
      </x:c>
      <x:c r="N2663" t="str">
        <x:v>REGULER</x:v>
      </x:c>
      <x:c r="O2663" t="str">
        <x:v>SOSHUM</x:v>
      </x:c>
      <x:c r="P2663" t="str">
        <x:v>BISNIS/EKONOMI/AKUNTANSI</x:v>
      </x:c>
      <x:c r="Q2663" s="18" t="n">
        <x:v>0</x:v>
      </x:c>
      <x:c r="R2663" s="18" t="n">
        <x:v>0</x:v>
      </x:c>
      <x:c r="S2663" s="18" t="n">
        <x:v>574.04978632177</x:v>
      </x:c>
      <x:c r="T2663" s="18" t="n">
        <x:v>657</x:v>
      </x:c>
      <x:c r="U2663" s="18" t="n">
        <x:v>589.04978632177</x:v>
      </x:c>
      <x:c r="V2663" s="20" t="n">
        <x:v>4.4</x:v>
      </x:c>
      <x:c r="W2663" s="20" t="n">
        <x:v>14.3</x:v>
      </x:c>
      <x:c r="X2663" s="20" t="n">
        <x:v>3.3</x:v>
      </x:c>
      <x:c r="Y2663" t="str">
        <x:v>Basis arsip 2025/2024</x:v>
      </x:c>
      <x:c r="Z2663" t="str">
        <x:v>https://snpmb.id/utbk-snbt/daya-tampung-snbt</x:v>
      </x:c>
      <x:c r="AA2663" t="str">
        <x:v>Tidak Ada</x:v>
      </x:c>
      <x:c r="AB2663" t="str">
        <x:v>Campus=55; Ratio=28.9; Prodi=65; RelDemand=31.0; Capacity=58.3</x:v>
      </x:c>
    </x:row>
    <x:row r="2664">
      <x:c r="A2664" t="n">
        <x:v>2661</x:v>
      </x:c>
      <x:c r="B2664" t="str">
        <x:v>PTN Akademik</x:v>
      </x:c>
      <x:c r="C2664" t="str">
        <x:v>UNIVERSITAS LAMBUNG MANGKURAT</x:v>
      </x:c>
      <x:c r="D2664" t="str">
        <x:v>PETERNAKAN</x:v>
      </x:c>
      <x:c r="E2664" t="str">
        <x:v>Sarjana</x:v>
      </x:c>
      <x:c r="F2664" s="18" t="n">
        <x:v>40</x:v>
      </x:c>
      <x:c r="G2664" s="18" t="n">
        <x:v>56</x:v>
      </x:c>
      <x:c r="H2664" s="19" t="n">
        <x:v>1.4</x:v>
      </x:c>
      <x:c r="I2664" s="18" t="n">
        <x:f>ROUND(MIN(Model_Config_v3!$B$6,MAX(Q2664,R2664,S2664*Model_Config_v3!$B$4+T2664*Model_Config_v3!$B$5)),0)</x:f>
        <x:v>605</x:v>
      </x:c>
      <x:c r="J2664" s="18" t="n">
        <x:f>MIN(Model_Config_v3!$B$6,I2664+Model_Config_v3!$B$7)</x:f>
        <x:v>625</x:v>
      </x:c>
      <x:c r="K2664" s="20" t="n">
        <x:v>37.5</x:v>
      </x:c>
      <x:c r="L2664" t="str">
        <x:v>RELATIF LONGGAR</x:v>
      </x:c>
      <x:c r="M2664" t="str">
        <x:v>SEDANG</x:v>
      </x:c>
      <x:c r="N2664" t="str">
        <x:v>REGULER</x:v>
      </x:c>
      <x:c r="O2664" t="str">
        <x:v>SAINTEK</x:v>
      </x:c>
      <x:c r="P2664" t="str">
        <x:v>UMUM</x:v>
      </x:c>
      <x:c r="Q2664" s="18" t="n">
        <x:v>0</x:v>
      </x:c>
      <x:c r="R2664" s="18" t="n">
        <x:v>0</x:v>
      </x:c>
      <x:c r="S2664" s="18" t="n">
        <x:v>536.0740839246062</x:v>
      </x:c>
      <x:c r="T2664" s="18" t="n">
        <x:v>635</x:v>
      </x:c>
      <x:c r="U2664" s="18" t="n">
        <x:v>536.0740839246062</x:v>
      </x:c>
      <x:c r="V2664" s="20" t="n">
        <x:v>12</x:v>
      </x:c>
      <x:c r="W2664" s="20" t="n">
        <x:v>5</x:v>
      </x:c>
      <x:c r="X2664" s="20" t="n">
        <x:v>3</x:v>
      </x:c>
      <x:c r="Y2664" t="str">
        <x:v>Basis arsip 2025/2024</x:v>
      </x:c>
      <x:c r="Z2664" t="str">
        <x:v>https://snpmb.id/utbk-snbt/daya-tampung-snbt</x:v>
      </x:c>
      <x:c r="AA2664" t="str">
        <x:v>Tidak Ada</x:v>
      </x:c>
      <x:c r="AB2664" t="str">
        <x:v>Campus=55; Ratio=8.6; Prodi=40; RelDemand=14.0; Capacity=66.7</x:v>
      </x:c>
    </x:row>
    <x:row r="2665">
      <x:c r="A2665" t="n">
        <x:v>2662</x:v>
      </x:c>
      <x:c r="B2665" t="str">
        <x:v>PTN Akademik</x:v>
      </x:c>
      <x:c r="C2665" t="str">
        <x:v>UNIVERSITAS LAMBUNG MANGKURAT</x:v>
      </x:c>
      <x:c r="D2665" t="str">
        <x:v>TEKNOLOGI INDUSTRI PERTANIAN</x:v>
      </x:c>
      <x:c r="E2665" t="str">
        <x:v>Sarjana</x:v>
      </x:c>
      <x:c r="F2665" s="18" t="n">
        <x:v>34</x:v>
      </x:c>
      <x:c r="G2665" s="18" t="n">
        <x:v>87</x:v>
      </x:c>
      <x:c r="H2665" s="19" t="n">
        <x:v>2.5588235294117645</x:v>
      </x:c>
      <x:c r="I2665" s="18" t="n">
        <x:f>ROUND(MIN(Model_Config_v3!$B$6,MAX(Q2665,R2665,S2665*Model_Config_v3!$B$4+T2665*Model_Config_v3!$B$5)),0)</x:f>
        <x:v>622</x:v>
      </x:c>
      <x:c r="J2665" s="18" t="n">
        <x:f>MIN(Model_Config_v3!$B$6,I2665+Model_Config_v3!$B$7)</x:f>
        <x:v>642</x:v>
      </x:c>
      <x:c r="K2665" s="20" t="n">
        <x:v>43</x:v>
      </x:c>
      <x:c r="L2665" t="str">
        <x:v>RELATIF LONGGAR</x:v>
      </x:c>
      <x:c r="M2665" t="str">
        <x:v>SEDANG</x:v>
      </x:c>
      <x:c r="N2665" t="str">
        <x:v>REGULER</x:v>
      </x:c>
      <x:c r="O2665" t="str">
        <x:v>SAINTEK</x:v>
      </x:c>
      <x:c r="P2665" t="str">
        <x:v>UMUM</x:v>
      </x:c>
      <x:c r="Q2665" s="18" t="n">
        <x:v>0</x:v>
      </x:c>
      <x:c r="R2665" s="18" t="n">
        <x:v>0</x:v>
      </x:c>
      <x:c r="S2665" s="18" t="n">
        <x:v>564.8844369134</x:v>
      </x:c>
      <x:c r="T2665" s="18" t="n">
        <x:v>646</x:v>
      </x:c>
      <x:c r="U2665" s="18" t="n">
        <x:v>564.8844369134</x:v>
      </x:c>
      <x:c r="V2665" s="20" t="n">
        <x:v>12</x:v>
      </x:c>
      <x:c r="W2665" s="20" t="n">
        <x:v>5</x:v>
      </x:c>
      <x:c r="X2665" s="20" t="n">
        <x:v>3</x:v>
      </x:c>
      <x:c r="Y2665" t="str">
        <x:v>Basis arsip 2025/2024</x:v>
      </x:c>
      <x:c r="Z2665" t="str">
        <x:v>https://snpmb.id/utbk-snbt/daya-tampung-snbt</x:v>
      </x:c>
      <x:c r="AA2665" t="str">
        <x:v>Tidak Ada</x:v>
      </x:c>
      <x:c r="AB2665" t="str">
        <x:v>Campus=55; Ratio=24.0; Prodi=40; RelDemand=25.6; Capacity=71.7</x:v>
      </x:c>
    </x:row>
    <x:row r="2666">
      <x:c r="A2666" t="n">
        <x:v>2663</x:v>
      </x:c>
      <x:c r="B2666" t="str">
        <x:v>PTN Akademik</x:v>
      </x:c>
      <x:c r="C2666" t="str">
        <x:v>UNIVERSITAS LAMBUNG MANGKURAT</x:v>
      </x:c>
      <x:c r="D2666" t="str">
        <x:v>TEKNOLOGI HASIL PERIKANAN</x:v>
      </x:c>
      <x:c r="E2666" t="str">
        <x:v>Sarjana</x:v>
      </x:c>
      <x:c r="F2666" s="18" t="n">
        <x:v>29</x:v>
      </x:c>
      <x:c r="G2666" s="18" t="n">
        <x:v>19</x:v>
      </x:c>
      <x:c r="H2666" s="19" t="n">
        <x:v>0.6551724137931034</x:v>
      </x:c>
      <x:c r="I2666" s="18" t="n">
        <x:f>ROUND(MIN(Model_Config_v3!$B$6,MAX(Q2666,R2666,S2666*Model_Config_v3!$B$4+T2666*Model_Config_v3!$B$5)),0)</x:f>
        <x:v>598</x:v>
      </x:c>
      <x:c r="J2666" s="18" t="n">
        <x:f>MIN(Model_Config_v3!$B$6,I2666+Model_Config_v3!$B$7)</x:f>
        <x:v>618</x:v>
      </x:c>
      <x:c r="K2666" s="20" t="n">
        <x:v>35.5</x:v>
      </x:c>
      <x:c r="L2666" t="str">
        <x:v>RELATIF LONGGAR</x:v>
      </x:c>
      <x:c r="M2666" t="str">
        <x:v>SEDANG</x:v>
      </x:c>
      <x:c r="N2666" t="str">
        <x:v>REGULER</x:v>
      </x:c>
      <x:c r="O2666" t="str">
        <x:v>SAINTEK</x:v>
      </x:c>
      <x:c r="P2666" t="str">
        <x:v>UMUM</x:v>
      </x:c>
      <x:c r="Q2666" s="18" t="n">
        <x:v>0</x:v>
      </x:c>
      <x:c r="R2666" s="18" t="n">
        <x:v>0</x:v>
      </x:c>
      <x:c r="S2666" s="18" t="n">
        <x:v>520</x:v>
      </x:c>
      <x:c r="T2666" s="18" t="n">
        <x:v>631</x:v>
      </x:c>
      <x:c r="U2666" s="18" t="n">
        <x:v>520</x:v>
      </x:c>
      <x:c r="V2666" s="20" t="n">
        <x:v>12</x:v>
      </x:c>
      <x:c r="W2666" s="20" t="n">
        <x:v>5</x:v>
      </x:c>
      <x:c r="X2666" s="20" t="n">
        <x:v>3</x:v>
      </x:c>
      <x:c r="Y2666" t="str">
        <x:v>Basis arsip 2025/2024</x:v>
      </x:c>
      <x:c r="Z2666" t="str">
        <x:v>https://snpmb.id/utbk-snbt/daya-tampung-snbt</x:v>
      </x:c>
      <x:c r="AA2666" t="str">
        <x:v>Tidak Ada</x:v>
      </x:c>
      <x:c r="AB2666" t="str">
        <x:v>Campus=55; Ratio=0.0; Prodi=40; RelDemand=6.5; Capacity=75.8</x:v>
      </x:c>
    </x:row>
    <x:row r="2667">
      <x:c r="A2667" t="n">
        <x:v>2664</x:v>
      </x:c>
      <x:c r="B2667" t="str">
        <x:v>PTN Akademik</x:v>
      </x:c>
      <x:c r="C2667" t="str">
        <x:v>UNIVERSITAS LAMBUNG MANGKURAT</x:v>
      </x:c>
      <x:c r="D2667" t="str">
        <x:v>AKUAKULTUR</x:v>
      </x:c>
      <x:c r="E2667" t="str">
        <x:v>Sarjana</x:v>
      </x:c>
      <x:c r="F2667" s="18" t="n">
        <x:v>29</x:v>
      </x:c>
      <x:c r="G2667" s="18" t="n">
        <x:v>14</x:v>
      </x:c>
      <x:c r="H2667" s="19" t="n">
        <x:v>0.4827586206896552</x:v>
      </x:c>
      <x:c r="I2667" s="18" t="n">
        <x:f>ROUND(MIN(Model_Config_v3!$B$6,MAX(Q2667,R2667,S2667*Model_Config_v3!$B$4+T2667*Model_Config_v3!$B$5)),0)</x:f>
        <x:v>598</x:v>
      </x:c>
      <x:c r="J2667" s="18" t="n">
        <x:f>MIN(Model_Config_v3!$B$6,I2667+Model_Config_v3!$B$7)</x:f>
        <x:v>618</x:v>
      </x:c>
      <x:c r="K2667" s="20" t="n">
        <x:v>35.3</x:v>
      </x:c>
      <x:c r="L2667" t="str">
        <x:v>RELATIF LONGGAR</x:v>
      </x:c>
      <x:c r="M2667" t="str">
        <x:v>SEDANG</x:v>
      </x:c>
      <x:c r="N2667" t="str">
        <x:v>REGULER</x:v>
      </x:c>
      <x:c r="O2667" t="str">
        <x:v>CAMPURAN</x:v>
      </x:c>
      <x:c r="P2667" t="str">
        <x:v>UMUM</x:v>
      </x:c>
      <x:c r="Q2667" s="18" t="n">
        <x:v>0</x:v>
      </x:c>
      <x:c r="R2667" s="18" t="n">
        <x:v>0</x:v>
      </x:c>
      <x:c r="S2667" s="18" t="n">
        <x:v>520</x:v>
      </x:c>
      <x:c r="T2667" s="18" t="n">
        <x:v>631</x:v>
      </x:c>
      <x:c r="U2667" s="18" t="n">
        <x:v>520</x:v>
      </x:c>
      <x:c r="V2667" s="20" t="n">
        <x:v>8.8</x:v>
      </x:c>
      <x:c r="W2667" s="20" t="n">
        <x:v>9.9</x:v>
      </x:c>
      <x:c r="X2667" s="20" t="n">
        <x:v>3.3</x:v>
      </x:c>
      <x:c r="Y2667" t="str">
        <x:v>Basis arsip 2025/2024</x:v>
      </x:c>
      <x:c r="Z2667" t="str">
        <x:v>https://snpmb.id/utbk-snbt/daya-tampung-snbt</x:v>
      </x:c>
      <x:c r="AA2667" t="str">
        <x:v>Tidak Ada</x:v>
      </x:c>
      <x:c r="AB2667" t="str">
        <x:v>Campus=55; Ratio=0.0; Prodi=40; RelDemand=4.8; Capacity=75.8</x:v>
      </x:c>
    </x:row>
    <x:row r="2668">
      <x:c r="A2668" t="n">
        <x:v>2665</x:v>
      </x:c>
      <x:c r="B2668" t="str">
        <x:v>PTN Akademik</x:v>
      </x:c>
      <x:c r="C2668" t="str">
        <x:v>UNIVERSITAS LAMBUNG MANGKURAT</x:v>
      </x:c>
      <x:c r="D2668" t="str">
        <x:v>PERIKANAN TANGKAP</x:v>
      </x:c>
      <x:c r="E2668" t="str">
        <x:v>Sarjana</x:v>
      </x:c>
      <x:c r="F2668" s="18" t="n">
        <x:v>29</x:v>
      </x:c>
      <x:c r="G2668" s="18" t="n">
        <x:v>9</x:v>
      </x:c>
      <x:c r="H2668" s="19" t="n">
        <x:v>0.3103448275862069</x:v>
      </x:c>
      <x:c r="I2668" s="18" t="n">
        <x:f>ROUND(MIN(Model_Config_v3!$B$6,MAX(Q2668,R2668,S2668*Model_Config_v3!$B$4+T2668*Model_Config_v3!$B$5)),0)</x:f>
        <x:v>597</x:v>
      </x:c>
      <x:c r="J2668" s="18" t="n">
        <x:f>MIN(Model_Config_v3!$B$6,I2668+Model_Config_v3!$B$7)</x:f>
        <x:v>617</x:v>
      </x:c>
      <x:c r="K2668" s="20" t="n">
        <x:v>35.1</x:v>
      </x:c>
      <x:c r="L2668" t="str">
        <x:v>RELATIF LONGGAR</x:v>
      </x:c>
      <x:c r="M2668" t="str">
        <x:v>SEDANG</x:v>
      </x:c>
      <x:c r="N2668" t="str">
        <x:v>REGULER</x:v>
      </x:c>
      <x:c r="O2668" t="str">
        <x:v>SAINTEK</x:v>
      </x:c>
      <x:c r="P2668" t="str">
        <x:v>UMUM</x:v>
      </x:c>
      <x:c r="Q2668" s="18" t="n">
        <x:v>0</x:v>
      </x:c>
      <x:c r="R2668" s="18" t="n">
        <x:v>0</x:v>
      </x:c>
      <x:c r="S2668" s="18" t="n">
        <x:v>520</x:v>
      </x:c>
      <x:c r="T2668" s="18" t="n">
        <x:v>630</x:v>
      </x:c>
      <x:c r="U2668" s="18" t="n">
        <x:v>520</x:v>
      </x:c>
      <x:c r="V2668" s="20" t="n">
        <x:v>12</x:v>
      </x:c>
      <x:c r="W2668" s="20" t="n">
        <x:v>5</x:v>
      </x:c>
      <x:c r="X2668" s="20" t="n">
        <x:v>3</x:v>
      </x:c>
      <x:c r="Y2668" t="str">
        <x:v>Basis arsip 2025/2024</x:v>
      </x:c>
      <x:c r="Z2668" t="str">
        <x:v>https://snpmb.id/utbk-snbt/daya-tampung-snbt</x:v>
      </x:c>
      <x:c r="AA2668" t="str">
        <x:v>Tidak Ada</x:v>
      </x:c>
      <x:c r="AB2668" t="str">
        <x:v>Campus=55; Ratio=0.0; Prodi=40; RelDemand=3.1; Capacity=75.8</x:v>
      </x:c>
    </x:row>
    <x:row r="2669">
      <x:c r="A2669" t="n">
        <x:v>2666</x:v>
      </x:c>
      <x:c r="B2669" t="str">
        <x:v>PTN Akademik</x:v>
      </x:c>
      <x:c r="C2669" t="str">
        <x:v>UNIVERSITAS LAMBUNG MANGKURAT</x:v>
      </x:c>
      <x:c r="D2669" t="str">
        <x:v>MANAJEMEN SUMBER DAYA PERAIRAN</x:v>
      </x:c>
      <x:c r="E2669" t="str">
        <x:v>Sarjana</x:v>
      </x:c>
      <x:c r="F2669" s="18" t="n">
        <x:v>29</x:v>
      </x:c>
      <x:c r="G2669" s="18" t="n">
        <x:v>35</x:v>
      </x:c>
      <x:c r="H2669" s="19" t="n">
        <x:v>1.206896551724138</x:v>
      </x:c>
      <x:c r="I2669" s="18" t="n">
        <x:f>ROUND(MIN(Model_Config_v3!$B$6,MAX(Q2669,R2669,S2669*Model_Config_v3!$B$4+T2669*Model_Config_v3!$B$5)),0)</x:f>
        <x:v>609</x:v>
      </x:c>
      <x:c r="J2669" s="18" t="n">
        <x:f>MIN(Model_Config_v3!$B$6,I2669+Model_Config_v3!$B$7)</x:f>
        <x:v>629</x:v>
      </x:c>
      <x:c r="K2669" s="20" t="n">
        <x:v>42.2</x:v>
      </x:c>
      <x:c r="L2669" t="str">
        <x:v>RELATIF LONGGAR</x:v>
      </x:c>
      <x:c r="M2669" t="str">
        <x:v>SEDANG+</x:v>
      </x:c>
      <x:c r="N2669" t="str">
        <x:v>REGULER</x:v>
      </x:c>
      <x:c r="O2669" t="str">
        <x:v>SOSHUM</x:v>
      </x:c>
      <x:c r="P2669" t="str">
        <x:v>BISNIS/EKONOMI/AKUNTANSI</x:v>
      </x:c>
      <x:c r="Q2669" s="18" t="n">
        <x:v>0</x:v>
      </x:c>
      <x:c r="R2669" s="18" t="n">
        <x:v>0</x:v>
      </x:c>
      <x:c r="S2669" s="18" t="n">
        <x:v>528.9837051096451</x:v>
      </x:c>
      <x:c r="T2669" s="18" t="n">
        <x:v>644</x:v>
      </x:c>
      <x:c r="U2669" s="18" t="n">
        <x:v>543.9837051096451</x:v>
      </x:c>
      <x:c r="V2669" s="20" t="n">
        <x:v>4.4</x:v>
      </x:c>
      <x:c r="W2669" s="20" t="n">
        <x:v>14.3</x:v>
      </x:c>
      <x:c r="X2669" s="20" t="n">
        <x:v>3.3</x:v>
      </x:c>
      <x:c r="Y2669" t="str">
        <x:v>Basis arsip 2025/2024</x:v>
      </x:c>
      <x:c r="Z2669" t="str">
        <x:v>https://snpmb.id/utbk-snbt/daya-tampung-snbt</x:v>
      </x:c>
      <x:c r="AA2669" t="str">
        <x:v>Tidak Ada</x:v>
      </x:c>
      <x:c r="AB2669" t="str">
        <x:v>Campus=55; Ratio=4.8; Prodi=65; RelDemand=12.1; Capacity=75.8</x:v>
      </x:c>
    </x:row>
    <x:row r="2670">
      <x:c r="A2670" t="n">
        <x:v>2667</x:v>
      </x:c>
      <x:c r="B2670" t="str">
        <x:v>PTN Akademik</x:v>
      </x:c>
      <x:c r="C2670" t="str">
        <x:v>UNIVERSITAS LAMBUNG MANGKURAT</x:v>
      </x:c>
      <x:c r="D2670" t="str">
        <x:v>SOSIAL EKONOMI PERIKANAN</x:v>
      </x:c>
      <x:c r="E2670" t="str">
        <x:v>Sarjana</x:v>
      </x:c>
      <x:c r="F2670" s="18" t="n">
        <x:v>29</x:v>
      </x:c>
      <x:c r="G2670" s="18" t="n">
        <x:v>5</x:v>
      </x:c>
      <x:c r="H2670" s="19" t="n">
        <x:v>0.1724137931034483</x:v>
      </x:c>
      <x:c r="I2670" s="18" t="n">
        <x:f>ROUND(MIN(Model_Config_v3!$B$6,MAX(Q2670,R2670,S2670*Model_Config_v3!$B$4+T2670*Model_Config_v3!$B$5)),0)</x:f>
        <x:v>597</x:v>
      </x:c>
      <x:c r="J2670" s="18" t="n">
        <x:f>MIN(Model_Config_v3!$B$6,I2670+Model_Config_v3!$B$7)</x:f>
        <x:v>617</x:v>
      </x:c>
      <x:c r="K2670" s="20" t="n">
        <x:v>35</x:v>
      </x:c>
      <x:c r="L2670" t="str">
        <x:v>RELATIF LONGGAR</x:v>
      </x:c>
      <x:c r="M2670" t="str">
        <x:v>SEDANG</x:v>
      </x:c>
      <x:c r="N2670" t="str">
        <x:v>REGULER</x:v>
      </x:c>
      <x:c r="O2670" t="str">
        <x:v>SAINTEK</x:v>
      </x:c>
      <x:c r="P2670" t="str">
        <x:v>UMUM</x:v>
      </x:c>
      <x:c r="Q2670" s="18" t="n">
        <x:v>0</x:v>
      </x:c>
      <x:c r="R2670" s="18" t="n">
        <x:v>0</x:v>
      </x:c>
      <x:c r="S2670" s="18" t="n">
        <x:v>520</x:v>
      </x:c>
      <x:c r="T2670" s="18" t="n">
        <x:v>630</x:v>
      </x:c>
      <x:c r="U2670" s="18" t="n">
        <x:v>520</x:v>
      </x:c>
      <x:c r="V2670" s="20" t="n">
        <x:v>12</x:v>
      </x:c>
      <x:c r="W2670" s="20" t="n">
        <x:v>5</x:v>
      </x:c>
      <x:c r="X2670" s="20" t="n">
        <x:v>3</x:v>
      </x:c>
      <x:c r="Y2670" t="str">
        <x:v>Basis arsip 2025/2024</x:v>
      </x:c>
      <x:c r="Z2670" t="str">
        <x:v>https://snpmb.id/utbk-snbt/daya-tampung-snbt</x:v>
      </x:c>
      <x:c r="AA2670" t="str">
        <x:v>Tidak Ada</x:v>
      </x:c>
      <x:c r="AB2670" t="str">
        <x:v>Campus=55; Ratio=0.0; Prodi=40; RelDemand=1.7; Capacity=75.8</x:v>
      </x:c>
    </x:row>
    <x:row r="2671">
      <x:c r="A2671" t="n">
        <x:v>2668</x:v>
      </x:c>
      <x:c r="B2671" t="str">
        <x:v>PTN Akademik</x:v>
      </x:c>
      <x:c r="C2671" t="str">
        <x:v>UNIVERSITAS LAMBUNG MANGKURAT</x:v>
      </x:c>
      <x:c r="D2671" t="str">
        <x:v>ILMU KELAUTAN</x:v>
      </x:c>
      <x:c r="E2671" t="str">
        <x:v>Sarjana</x:v>
      </x:c>
      <x:c r="F2671" s="18" t="n">
        <x:v>29</x:v>
      </x:c>
      <x:c r="G2671" s="18" t="n">
        <x:v>56</x:v>
      </x:c>
      <x:c r="H2671" s="19" t="n">
        <x:v>1.9310344827586208</x:v>
      </x:c>
      <x:c r="I2671" s="18" t="n">
        <x:f>ROUND(MIN(Model_Config_v3!$B$6,MAX(Q2671,R2671,S2671*Model_Config_v3!$B$4+T2671*Model_Config_v3!$B$5)),0)</x:f>
        <x:v>615</x:v>
      </x:c>
      <x:c r="J2671" s="18" t="n">
        <x:f>MIN(Model_Config_v3!$B$6,I2671+Model_Config_v3!$B$7)</x:f>
        <x:v>635</x:v>
      </x:c>
      <x:c r="K2671" s="20" t="n">
        <x:v>41</x:v>
      </x:c>
      <x:c r="L2671" t="str">
        <x:v>RELATIF LONGGAR</x:v>
      </x:c>
      <x:c r="M2671" t="str">
        <x:v>SEDANG</x:v>
      </x:c>
      <x:c r="N2671" t="str">
        <x:v>REGULER</x:v>
      </x:c>
      <x:c r="O2671" t="str">
        <x:v>SAINTEK</x:v>
      </x:c>
      <x:c r="P2671" t="str">
        <x:v>UMUM</x:v>
      </x:c>
      <x:c r="Q2671" s="18" t="n">
        <x:v>0</x:v>
      </x:c>
      <x:c r="R2671" s="18" t="n">
        <x:v>0</x:v>
      </x:c>
      <x:c r="S2671" s="18" t="n">
        <x:v>551.4369032017969</x:v>
      </x:c>
      <x:c r="T2671" s="18" t="n">
        <x:v>642</x:v>
      </x:c>
      <x:c r="U2671" s="18" t="n">
        <x:v>551.4369032017969</x:v>
      </x:c>
      <x:c r="V2671" s="20" t="n">
        <x:v>12</x:v>
      </x:c>
      <x:c r="W2671" s="20" t="n">
        <x:v>5</x:v>
      </x:c>
      <x:c r="X2671" s="20" t="n">
        <x:v>3</x:v>
      </x:c>
      <x:c r="Y2671" t="str">
        <x:v>Basis arsip 2025/2024</x:v>
      </x:c>
      <x:c r="Z2671" t="str">
        <x:v>https://snpmb.id/utbk-snbt/daya-tampung-snbt</x:v>
      </x:c>
      <x:c r="AA2671" t="str">
        <x:v>Tidak Ada</x:v>
      </x:c>
      <x:c r="AB2671" t="str">
        <x:v>Campus=55; Ratio=16.8; Prodi=40; RelDemand=19.3; Capacity=75.8</x:v>
      </x:c>
    </x:row>
    <x:row r="2672">
      <x:c r="A2672" t="n">
        <x:v>2669</x:v>
      </x:c>
      <x:c r="B2672" t="str">
        <x:v>PTN Akademik</x:v>
      </x:c>
      <x:c r="C2672" t="str">
        <x:v>UNIVERSITAS LAMBUNG MANGKURAT</x:v>
      </x:c>
      <x:c r="D2672" t="str">
        <x:v>TEKNIK SIPIL</x:v>
      </x:c>
      <x:c r="E2672" t="str">
        <x:v>Sarjana</x:v>
      </x:c>
      <x:c r="F2672" s="18" t="n">
        <x:v>80</x:v>
      </x:c>
      <x:c r="G2672" s="18" t="n">
        <x:v>543</x:v>
      </x:c>
      <x:c r="H2672" s="19" t="n">
        <x:v>6.7875</x:v>
      </x:c>
      <x:c r="I2672" s="18" t="n">
        <x:f>ROUND(MIN(Model_Config_v3!$B$6,MAX(Q2672,R2672,S2672*Model_Config_v3!$B$4+T2672*Model_Config_v3!$B$5)),0)</x:f>
        <x:v>650</x:v>
      </x:c>
      <x:c r="J2672" s="18" t="n">
        <x:f>MIN(Model_Config_v3!$B$6,I2672+Model_Config_v3!$B$7)</x:f>
        <x:v>670</x:v>
      </x:c>
      <x:c r="K2672" s="20" t="n">
        <x:v>53.6</x:v>
      </x:c>
      <x:c r="L2672" t="str">
        <x:v>MENENGAH</x:v>
      </x:c>
      <x:c r="M2672" t="str">
        <x:v>SEDANG+</x:v>
      </x:c>
      <x:c r="N2672" t="str">
        <x:v>REGULER</x:v>
      </x:c>
      <x:c r="O2672" t="str">
        <x:v>SAINTEK</x:v>
      </x:c>
      <x:c r="P2672" t="str">
        <x:v>TEKNIK/ARSITEKTUR/STATISTIKA/AKTUARIA</x:v>
      </x:c>
      <x:c r="Q2672" s="18" t="n">
        <x:v>0</x:v>
      </x:c>
      <x:c r="R2672" s="18" t="n">
        <x:v>0</x:v>
      </x:c>
      <x:c r="S2672" s="18" t="n">
        <x:v>611.4880826856594</x:v>
      </x:c>
      <x:c r="T2672" s="18" t="n">
        <x:v>667</x:v>
      </x:c>
      <x:c r="U2672" s="18" t="n">
        <x:v>621.4880826856594</x:v>
      </x:c>
      <x:c r="V2672" s="20" t="n">
        <x:v>12</x:v>
      </x:c>
      <x:c r="W2672" s="20" t="n">
        <x:v>5</x:v>
      </x:c>
      <x:c r="X2672" s="20" t="n">
        <x:v>3</x:v>
      </x:c>
      <x:c r="Y2672" t="str">
        <x:v>Basis arsip 2025/2024</x:v>
      </x:c>
      <x:c r="Z2672" t="str">
        <x:v>https://snpmb.id/utbk-snbt/daya-tampung-snbt</x:v>
      </x:c>
      <x:c r="AA2672" t="str">
        <x:v>Tidak Ada</x:v>
      </x:c>
      <x:c r="AB2672" t="str">
        <x:v>Campus=55; Ratio=49.0; Prodi=60; RelDemand=67.8; Capacity=33.3</x:v>
      </x:c>
    </x:row>
    <x:row r="2673">
      <x:c r="A2673" t="n">
        <x:v>2670</x:v>
      </x:c>
      <x:c r="B2673" t="str">
        <x:v>PTN Akademik</x:v>
      </x:c>
      <x:c r="C2673" t="str">
        <x:v>UNIVERSITAS LAMBUNG MANGKURAT</x:v>
      </x:c>
      <x:c r="D2673" t="str">
        <x:v>ARSITEKTUR</x:v>
      </x:c>
      <x:c r="E2673" t="str">
        <x:v>Sarjana</x:v>
      </x:c>
      <x:c r="F2673" s="18" t="n">
        <x:v>32</x:v>
      </x:c>
      <x:c r="G2673" s="18" t="n">
        <x:v>188</x:v>
      </x:c>
      <x:c r="H2673" s="19" t="n">
        <x:v>5.875</x:v>
      </x:c>
      <x:c r="I2673" s="18" t="n">
        <x:f>ROUND(MIN(Model_Config_v3!$B$6,MAX(Q2673,R2673,S2673*Model_Config_v3!$B$4+T2673*Model_Config_v3!$B$5)),0)</x:f>
        <x:v>652</x:v>
      </x:c>
      <x:c r="J2673" s="18" t="n">
        <x:f>MIN(Model_Config_v3!$B$6,I2673+Model_Config_v3!$B$7)</x:f>
        <x:v>672</x:v>
      </x:c>
      <x:c r="K2673" s="20" t="n">
        <x:v>55.8</x:v>
      </x:c>
      <x:c r="L2673" t="str">
        <x:v>KETAT</x:v>
      </x:c>
      <x:c r="M2673" t="str">
        <x:v>SEDANG+</x:v>
      </x:c>
      <x:c r="N2673" t="str">
        <x:v>REGULER</x:v>
      </x:c>
      <x:c r="O2673" t="str">
        <x:v>SAINTEK</x:v>
      </x:c>
      <x:c r="P2673" t="str">
        <x:v>TEKNIK/ARSITEKTUR/STATISTIKA/AKTUARIA</x:v>
      </x:c>
      <x:c r="Q2673" s="18" t="n">
        <x:v>0</x:v>
      </x:c>
      <x:c r="R2673" s="18" t="n">
        <x:v>0</x:v>
      </x:c>
      <x:c r="S2673" s="18" t="n">
        <x:v>604.5908658038152</x:v>
      </x:c>
      <x:c r="T2673" s="18" t="n">
        <x:v>672</x:v>
      </x:c>
      <x:c r="U2673" s="18" t="n">
        <x:v>604.5908658038152</x:v>
      </x:c>
      <x:c r="V2673" s="20" t="n">
        <x:v>12</x:v>
      </x:c>
      <x:c r="W2673" s="20" t="n">
        <x:v>5</x:v>
      </x:c>
      <x:c r="X2673" s="20" t="n">
        <x:v>3</x:v>
      </x:c>
      <x:c r="Y2673" t="str">
        <x:v>Basis arsip 2025/2024</x:v>
      </x:c>
      <x:c r="Z2673" t="str">
        <x:v>https://snpmb.id/utbk-snbt/daya-tampung-snbt</x:v>
      </x:c>
      <x:c r="AA2673" t="str">
        <x:v>Tidak Ada</x:v>
      </x:c>
      <x:c r="AB2673" t="str">
        <x:v>Campus=55; Ratio=45.3; Prodi=60; RelDemand=58.7; Capacity=73.3</x:v>
      </x:c>
    </x:row>
    <x:row r="2674">
      <x:c r="A2674" t="n">
        <x:v>2671</x:v>
      </x:c>
      <x:c r="B2674" t="str">
        <x:v>PTN Akademik</x:v>
      </x:c>
      <x:c r="C2674" t="str">
        <x:v>UNIVERSITAS LAMBUNG MANGKURAT</x:v>
      </x:c>
      <x:c r="D2674" t="str">
        <x:v>TEKNIK PERTAMBANGAN</x:v>
      </x:c>
      <x:c r="E2674" t="str">
        <x:v>Sarjana</x:v>
      </x:c>
      <x:c r="F2674" s="18" t="n">
        <x:v>36</x:v>
      </x:c>
      <x:c r="G2674" s="18" t="n">
        <x:v>606</x:v>
      </x:c>
      <x:c r="H2674" s="19" t="n">
        <x:v>16.833333333333332</x:v>
      </x:c>
      <x:c r="I2674" s="18" t="n">
        <x:f>ROUND(MIN(Model_Config_v3!$B$6,MAX(Q2674,R2674,S2674*Model_Config_v3!$B$4+T2674*Model_Config_v3!$B$5)),0)</x:f>
        <x:v>682</x:v>
      </x:c>
      <x:c r="J2674" s="18" t="n">
        <x:f>MIN(Model_Config_v3!$B$6,I2674+Model_Config_v3!$B$7)</x:f>
        <x:v>702</x:v>
      </x:c>
      <x:c r="K2674" s="20" t="n">
        <x:v>66.3</x:v>
      </x:c>
      <x:c r="L2674" t="str">
        <x:v>SANGAT KETAT</x:v>
      </x:c>
      <x:c r="M2674" t="str">
        <x:v>SEDANG+</x:v>
      </x:c>
      <x:c r="N2674" t="str">
        <x:v>REGULER</x:v>
      </x:c>
      <x:c r="O2674" t="str">
        <x:v>SAINTEK</x:v>
      </x:c>
      <x:c r="P2674" t="str">
        <x:v>TEKNIK/ARSITEKTUR/STATISTIKA/AKTUARIA</x:v>
      </x:c>
      <x:c r="Q2674" s="18" t="n">
        <x:v>0</x:v>
      </x:c>
      <x:c r="R2674" s="18" t="n">
        <x:v>0</x:v>
      </x:c>
      <x:c r="S2674" s="18" t="n">
        <x:v>654.8787135738899</x:v>
      </x:c>
      <x:c r="T2674" s="18" t="n">
        <x:v>693</x:v>
      </x:c>
      <x:c r="U2674" s="18" t="n">
        <x:v>664.8787135738899</x:v>
      </x:c>
      <x:c r="V2674" s="20" t="n">
        <x:v>12</x:v>
      </x:c>
      <x:c r="W2674" s="20" t="n">
        <x:v>5</x:v>
      </x:c>
      <x:c r="X2674" s="20" t="n">
        <x:v>3</x:v>
      </x:c>
      <x:c r="Y2674" t="str">
        <x:v>Basis arsip 2025/2024</x:v>
      </x:c>
      <x:c r="Z2674" t="str">
        <x:v>https://snpmb.id/utbk-snbt/daya-tampung-snbt</x:v>
      </x:c>
      <x:c r="AA2674" t="str">
        <x:v>Tidak Ada</x:v>
      </x:c>
      <x:c r="AB2674" t="str">
        <x:v>Campus=55; Ratio=72.2; Prodi=60; RelDemand=100.0; Capacity=70.0</x:v>
      </x:c>
    </x:row>
    <x:row r="2675">
      <x:c r="A2675" t="n">
        <x:v>2672</x:v>
      </x:c>
      <x:c r="B2675" t="str">
        <x:v>PTN Akademik</x:v>
      </x:c>
      <x:c r="C2675" t="str">
        <x:v>UNIVERSITAS LAMBUNG MANGKURAT</x:v>
      </x:c>
      <x:c r="D2675" t="str">
        <x:v>TEKNIK KIMIA</x:v>
      </x:c>
      <x:c r="E2675" t="str">
        <x:v>Sarjana</x:v>
      </x:c>
      <x:c r="F2675" s="18" t="n">
        <x:v>32</x:v>
      </x:c>
      <x:c r="G2675" s="18" t="n">
        <x:v>87</x:v>
      </x:c>
      <x:c r="H2675" s="19" t="n">
        <x:v>2.71875</x:v>
      </x:c>
      <x:c r="I2675" s="18" t="n">
        <x:f>ROUND(MIN(Model_Config_v3!$B$6,MAX(Q2675,R2675,S2675*Model_Config_v3!$B$4+T2675*Model_Config_v3!$B$5)),0)</x:f>
        <x:v>629</x:v>
      </x:c>
      <x:c r="J2675" s="18" t="n">
        <x:f>MIN(Model_Config_v3!$B$6,I2675+Model_Config_v3!$B$7)</x:f>
        <x:v>649</x:v>
      </x:c>
      <x:c r="K2675" s="20" t="n">
        <x:v>47.7</x:v>
      </x:c>
      <x:c r="L2675" t="str">
        <x:v>MENENGAH</x:v>
      </x:c>
      <x:c r="M2675" t="str">
        <x:v>SEDANG+</x:v>
      </x:c>
      <x:c r="N2675" t="str">
        <x:v>REGULER</x:v>
      </x:c>
      <x:c r="O2675" t="str">
        <x:v>SAINTEK</x:v>
      </x:c>
      <x:c r="P2675" t="str">
        <x:v>TEKNIK/ARSITEKTUR/STATISTIKA/AKTUARIA</x:v>
      </x:c>
      <x:c r="Q2675" s="18" t="n">
        <x:v>0</x:v>
      </x:c>
      <x:c r="R2675" s="18" t="n">
        <x:v>0</x:v>
      </x:c>
      <x:c r="S2675" s="18" t="n">
        <x:v>567.7806201728583</x:v>
      </x:c>
      <x:c r="T2675" s="18" t="n">
        <x:v>655</x:v>
      </x:c>
      <x:c r="U2675" s="18" t="n">
        <x:v>577.7806201728583</x:v>
      </x:c>
      <x:c r="V2675" s="20" t="n">
        <x:v>12</x:v>
      </x:c>
      <x:c r="W2675" s="20" t="n">
        <x:v>5</x:v>
      </x:c>
      <x:c r="X2675" s="20" t="n">
        <x:v>3</x:v>
      </x:c>
      <x:c r="Y2675" t="str">
        <x:v>Basis arsip 2025/2024</x:v>
      </x:c>
      <x:c r="Z2675" t="str">
        <x:v>https://snpmb.id/utbk-snbt/daya-tampung-snbt</x:v>
      </x:c>
      <x:c r="AA2675" t="str">
        <x:v>Tidak Ada</x:v>
      </x:c>
      <x:c r="AB2675" t="str">
        <x:v>Campus=55; Ratio=25.6; Prodi=60; RelDemand=27.2; Capacity=73.3</x:v>
      </x:c>
    </x:row>
    <x:row r="2676">
      <x:c r="A2676" t="n">
        <x:v>2673</x:v>
      </x:c>
      <x:c r="B2676" t="str">
        <x:v>PTN Akademik</x:v>
      </x:c>
      <x:c r="C2676" t="str">
        <x:v>UNIVERSITAS LAMBUNG MANGKURAT</x:v>
      </x:c>
      <x:c r="D2676" t="str">
        <x:v>TEKNIK LINGKUNGAN</x:v>
      </x:c>
      <x:c r="E2676" t="str">
        <x:v>Sarjana</x:v>
      </x:c>
      <x:c r="F2676" s="18" t="n">
        <x:v>32</x:v>
      </x:c>
      <x:c r="G2676" s="18" t="n">
        <x:v>325</x:v>
      </x:c>
      <x:c r="H2676" s="19" t="n">
        <x:v>10.15625</x:v>
      </x:c>
      <x:c r="I2676" s="18" t="n">
        <x:f>ROUND(MIN(Model_Config_v3!$B$6,MAX(Q2676,R2676,S2676*Model_Config_v3!$B$4+T2676*Model_Config_v3!$B$5)),0)</x:f>
        <x:v>670</x:v>
      </x:c>
      <x:c r="J2676" s="18" t="n">
        <x:f>MIN(Model_Config_v3!$B$6,I2676+Model_Config_v3!$B$7)</x:f>
        <x:v>690</x:v>
      </x:c>
      <x:c r="K2676" s="20" t="n">
        <x:v>63.4</x:v>
      </x:c>
      <x:c r="L2676" t="str">
        <x:v>KETAT</x:v>
      </x:c>
      <x:c r="M2676" t="str">
        <x:v>SEDANG+</x:v>
      </x:c>
      <x:c r="N2676" t="str">
        <x:v>REGULER</x:v>
      </x:c>
      <x:c r="O2676" t="str">
        <x:v>SAINTEK</x:v>
      </x:c>
      <x:c r="P2676" t="str">
        <x:v>TEKNIK/ARSITEKTUR/STATISTIKA/AKTUARIA</x:v>
      </x:c>
      <x:c r="Q2676" s="18" t="n">
        <x:v>0</x:v>
      </x:c>
      <x:c r="R2676" s="18" t="n">
        <x:v>0</x:v>
      </x:c>
      <x:c r="S2676" s="18" t="n">
        <x:v>630.7406720924865</x:v>
      </x:c>
      <x:c r="T2676" s="18" t="n">
        <x:v>687</x:v>
      </x:c>
      <x:c r="U2676" s="18" t="n">
        <x:v>640.7406720924865</x:v>
      </x:c>
      <x:c r="V2676" s="20" t="n">
        <x:v>12</x:v>
      </x:c>
      <x:c r="W2676" s="20" t="n">
        <x:v>5</x:v>
      </x:c>
      <x:c r="X2676" s="20" t="n">
        <x:v>3</x:v>
      </x:c>
      <x:c r="Y2676" t="str">
        <x:v>Basis arsip 2025/2024</x:v>
      </x:c>
      <x:c r="Z2676" t="str">
        <x:v>https://snpmb.id/utbk-snbt/daya-tampung-snbt</x:v>
      </x:c>
      <x:c r="AA2676" t="str">
        <x:v>Tidak Ada</x:v>
      </x:c>
      <x:c r="AB2676" t="str">
        <x:v>Campus=55; Ratio=59.3; Prodi=60; RelDemand=100.0; Capacity=73.3</x:v>
      </x:c>
    </x:row>
    <x:row r="2677">
      <x:c r="A2677" t="n">
        <x:v>2674</x:v>
      </x:c>
      <x:c r="B2677" t="str">
        <x:v>PTN Akademik</x:v>
      </x:c>
      <x:c r="C2677" t="str">
        <x:v>UNIVERSITAS LAMBUNG MANGKURAT</x:v>
      </x:c>
      <x:c r="D2677" t="str">
        <x:v>TEKNIK MESIN</x:v>
      </x:c>
      <x:c r="E2677" t="str">
        <x:v>Sarjana</x:v>
      </x:c>
      <x:c r="F2677" s="18" t="n">
        <x:v>36</x:v>
      </x:c>
      <x:c r="G2677" s="18" t="n">
        <x:v>181</x:v>
      </x:c>
      <x:c r="H2677" s="19" t="n">
        <x:v>5.027777777777778</x:v>
      </x:c>
      <x:c r="I2677" s="18" t="n">
        <x:f>ROUND(MIN(Model_Config_v3!$B$6,MAX(Q2677,R2677,S2677*Model_Config_v3!$B$4+T2677*Model_Config_v3!$B$5)),0)</x:f>
        <x:v>646</x:v>
      </x:c>
      <x:c r="J2677" s="18" t="n">
        <x:f>MIN(Model_Config_v3!$B$6,I2677+Model_Config_v3!$B$7)</x:f>
        <x:v>666</x:v>
      </x:c>
      <x:c r="K2677" s="20" t="n">
        <x:v>53.6</x:v>
      </x:c>
      <x:c r="L2677" t="str">
        <x:v>MENENGAH</x:v>
      </x:c>
      <x:c r="M2677" t="str">
        <x:v>SEDANG+</x:v>
      </x:c>
      <x:c r="N2677" t="str">
        <x:v>REGULER</x:v>
      </x:c>
      <x:c r="O2677" t="str">
        <x:v>SAINTEK</x:v>
      </x:c>
      <x:c r="P2677" t="str">
        <x:v>TEKNIK/ARSITEKTUR/STATISTIKA/AKTUARIA</x:v>
      </x:c>
      <x:c r="Q2677" s="18" t="n">
        <x:v>0</x:v>
      </x:c>
      <x:c r="R2677" s="18" t="n">
        <x:v>0</x:v>
      </x:c>
      <x:c r="S2677" s="18" t="n">
        <x:v>597.1513681512087</x:v>
      </x:c>
      <x:c r="T2677" s="18" t="n">
        <x:v>667</x:v>
      </x:c>
      <x:c r="U2677" s="18" t="n">
        <x:v>607.1513681512087</x:v>
      </x:c>
      <x:c r="V2677" s="20" t="n">
        <x:v>12</x:v>
      </x:c>
      <x:c r="W2677" s="20" t="n">
        <x:v>5</x:v>
      </x:c>
      <x:c r="X2677" s="20" t="n">
        <x:v>3</x:v>
      </x:c>
      <x:c r="Y2677" t="str">
        <x:v>Basis arsip 2025/2024</x:v>
      </x:c>
      <x:c r="Z2677" t="str">
        <x:v>https://snpmb.id/utbk-snbt/daya-tampung-snbt</x:v>
      </x:c>
      <x:c r="AA2677" t="str">
        <x:v>Tidak Ada</x:v>
      </x:c>
      <x:c r="AB2677" t="str">
        <x:v>Campus=55; Ratio=41.3; Prodi=60; RelDemand=50.2; Capacity=70.0</x:v>
      </x:c>
    </x:row>
    <x:row r="2678">
      <x:c r="A2678" t="n">
        <x:v>2675</x:v>
      </x:c>
      <x:c r="B2678" t="str">
        <x:v>PTN Akademik</x:v>
      </x:c>
      <x:c r="C2678" t="str">
        <x:v>UNIVERSITAS LAMBUNG MANGKURAT</x:v>
      </x:c>
      <x:c r="D2678" t="str">
        <x:v>KEDOKTERAN</x:v>
      </x:c>
      <x:c r="E2678" t="str">
        <x:v>Sarjana</x:v>
      </x:c>
      <x:c r="F2678" s="18" t="n">
        <x:v>75</x:v>
      </x:c>
      <x:c r="G2678" s="18" t="n">
        <x:v>1361</x:v>
      </x:c>
      <x:c r="H2678" s="19" t="n">
        <x:v>18.14666666666667</x:v>
      </x:c>
      <x:c r="I2678" s="18" t="n">
        <x:f>ROUND(MIN(Model_Config_v3!$B$6,MAX(Q2678,R2678,S2678*Model_Config_v3!$B$4+T2678*Model_Config_v3!$B$5)),0)</x:f>
        <x:v>690</x:v>
      </x:c>
      <x:c r="J2678" s="18" t="n">
        <x:f>MIN(Model_Config_v3!$B$6,I2678+Model_Config_v3!$B$7)</x:f>
        <x:v>710</x:v>
      </x:c>
      <x:c r="K2678" s="20" t="n">
        <x:v>71.5</x:v>
      </x:c>
      <x:c r="L2678" t="str">
        <x:v>SANGAT KETAT</x:v>
      </x:c>
      <x:c r="M2678" t="str">
        <x:v>SEDANG+</x:v>
      </x:c>
      <x:c r="N2678" t="str">
        <x:v>REGULER</x:v>
      </x:c>
      <x:c r="O2678" t="str">
        <x:v>SAINTEK</x:v>
      </x:c>
      <x:c r="P2678" t="str">
        <x:v>KEDOKTERAN</x:v>
      </x:c>
      <x:c r="Q2678" s="18" t="n">
        <x:v>0</x:v>
      </x:c>
      <x:c r="R2678" s="18" t="n">
        <x:v>680</x:v>
      </x:c>
      <x:c r="S2678" s="18" t="n">
        <x:v>658.4676547992798</x:v>
      </x:c>
      <x:c r="T2678" s="18" t="n">
        <x:v>703</x:v>
      </x:c>
      <x:c r="U2678" s="18" t="n">
        <x:v>698.4676547992798</x:v>
      </x:c>
      <x:c r="V2678" s="20" t="n">
        <x:v>12</x:v>
      </x:c>
      <x:c r="W2678" s="20" t="n">
        <x:v>5</x:v>
      </x:c>
      <x:c r="X2678" s="20" t="n">
        <x:v>3</x:v>
      </x:c>
      <x:c r="Y2678" t="str">
        <x:v>Basis arsip 2025/2024</x:v>
      </x:c>
      <x:c r="Z2678" t="str">
        <x:v>https://snpmb.id/utbk-snbt/daya-tampung-snbt</x:v>
      </x:c>
      <x:c r="AA2678" t="str">
        <x:v>Tidak Ada</x:v>
      </x:c>
      <x:c r="AB2678" t="str">
        <x:v>Campus=55; Ratio=74.1; Prodi=100; RelDemand=100.0; Capacity=37.5</x:v>
      </x:c>
    </x:row>
    <x:row r="2679">
      <x:c r="A2679" t="n">
        <x:v>2676</x:v>
      </x:c>
      <x:c r="B2679" t="str">
        <x:v>PTN Akademik</x:v>
      </x:c>
      <x:c r="C2679" t="str">
        <x:v>UNIVERSITAS LAMBUNG MANGKURAT</x:v>
      </x:c>
      <x:c r="D2679" t="str">
        <x:v>KESEHATAN MASYARAKAT</x:v>
      </x:c>
      <x:c r="E2679" t="str">
        <x:v>Sarjana</x:v>
      </x:c>
      <x:c r="F2679" s="18" t="n">
        <x:v>63</x:v>
      </x:c>
      <x:c r="G2679" s="18" t="n">
        <x:v>726</x:v>
      </x:c>
      <x:c r="H2679" s="19" t="n">
        <x:v>11.523809523809524</x:v>
      </x:c>
      <x:c r="I2679" s="18" t="n">
        <x:f>ROUND(MIN(Model_Config_v3!$B$6,MAX(Q2679,R2679,S2679*Model_Config_v3!$B$4+T2679*Model_Config_v3!$B$5)),0)</x:f>
        <x:v>668</x:v>
      </x:c>
      <x:c r="J2679" s="18" t="n">
        <x:f>MIN(Model_Config_v3!$B$6,I2679+Model_Config_v3!$B$7)</x:f>
        <x:v>688</x:v>
      </x:c>
      <x:c r="K2679" s="20" t="n">
        <x:v>60.6</x:v>
      </x:c>
      <x:c r="L2679" t="str">
        <x:v>KETAT</x:v>
      </x:c>
      <x:c r="M2679" t="str">
        <x:v>SEDANG+</x:v>
      </x:c>
      <x:c r="N2679" t="str">
        <x:v>REGULER</x:v>
      </x:c>
      <x:c r="O2679" t="str">
        <x:v>SAINTEK</x:v>
      </x:c>
      <x:c r="P2679" t="str">
        <x:v>KESEHAT/GIZI/KEPERAWATAN</x:v>
      </x:c>
      <x:c r="Q2679" s="18" t="n">
        <x:v>0</x:v>
      </x:c>
      <x:c r="R2679" s="18" t="n">
        <x:v>0</x:v>
      </x:c>
      <x:c r="S2679" s="18" t="n">
        <x:v>636.7755678371163</x:v>
      </x:c>
      <x:c r="T2679" s="18" t="n">
        <x:v>681</x:v>
      </x:c>
      <x:c r="U2679" s="18" t="n">
        <x:v>636.7755678371163</x:v>
      </x:c>
      <x:c r="V2679" s="20" t="n">
        <x:v>12</x:v>
      </x:c>
      <x:c r="W2679" s="20" t="n">
        <x:v>5</x:v>
      </x:c>
      <x:c r="X2679" s="20" t="n">
        <x:v>3</x:v>
      </x:c>
      <x:c r="Y2679" t="str">
        <x:v>Basis arsip 2025/2024</x:v>
      </x:c>
      <x:c r="Z2679" t="str">
        <x:v>https://snpmb.id/utbk-snbt/daya-tampung-snbt</x:v>
      </x:c>
      <x:c r="AA2679" t="str">
        <x:v>Tidak Ada</x:v>
      </x:c>
      <x:c r="AB2679" t="str">
        <x:v>Campus=55; Ratio=62.5; Prodi=55; RelDemand=100.0; Capacity=47.5</x:v>
      </x:c>
    </x:row>
    <x:row r="2680">
      <x:c r="A2680" t="n">
        <x:v>2677</x:v>
      </x:c>
      <x:c r="B2680" t="str">
        <x:v>PTN Akademik</x:v>
      </x:c>
      <x:c r="C2680" t="str">
        <x:v>UNIVERSITAS LAMBUNG MANGKURAT</x:v>
      </x:c>
      <x:c r="D2680" t="str">
        <x:v>MATEMATIKA</x:v>
      </x:c>
      <x:c r="E2680" t="str">
        <x:v>Sarjana</x:v>
      </x:c>
      <x:c r="F2680" s="18" t="n">
        <x:v>30</x:v>
      </x:c>
      <x:c r="G2680" s="18" t="n">
        <x:v>59</x:v>
      </x:c>
      <x:c r="H2680" s="19" t="n">
        <x:v>1.9666666666666666</x:v>
      </x:c>
      <x:c r="I2680" s="18" t="n">
        <x:f>ROUND(MIN(Model_Config_v3!$B$6,MAX(Q2680,R2680,S2680*Model_Config_v3!$B$4+T2680*Model_Config_v3!$B$5)),0)</x:f>
        <x:v>618</x:v>
      </x:c>
      <x:c r="J2680" s="18" t="n">
        <x:f>MIN(Model_Config_v3!$B$6,I2680+Model_Config_v3!$B$7)</x:f>
        <x:v>638</x:v>
      </x:c>
      <x:c r="K2680" s="20" t="n">
        <x:v>43</x:v>
      </x:c>
      <x:c r="L2680" t="str">
        <x:v>RELATIF LONGGAR</x:v>
      </x:c>
      <x:c r="M2680" t="str">
        <x:v>SEDANG+</x:v>
      </x:c>
      <x:c r="N2680" t="str">
        <x:v>REGULER</x:v>
      </x:c>
      <x:c r="O2680" t="str">
        <x:v>SAINTEK</x:v>
      </x:c>
      <x:c r="P2680" t="str">
        <x:v>SAINS DASAR</x:v>
      </x:c>
      <x:c r="Q2680" s="18" t="n">
        <x:v>0</x:v>
      </x:c>
      <x:c r="R2680" s="18" t="n">
        <x:v>0</x:v>
      </x:c>
      <x:c r="S2680" s="18" t="n">
        <x:v>552.310383261473</x:v>
      </x:c>
      <x:c r="T2680" s="18" t="n">
        <x:v>646</x:v>
      </x:c>
      <x:c r="U2680" s="18" t="n">
        <x:v>552.310383261473</x:v>
      </x:c>
      <x:c r="V2680" s="20" t="n">
        <x:v>12</x:v>
      </x:c>
      <x:c r="W2680" s="20" t="n">
        <x:v>5</x:v>
      </x:c>
      <x:c r="X2680" s="20" t="n">
        <x:v>3</x:v>
      </x:c>
      <x:c r="Y2680" t="str">
        <x:v>Basis arsip 2025/2024</x:v>
      </x:c>
      <x:c r="Z2680" t="str">
        <x:v>https://snpmb.id/utbk-snbt/daya-tampung-snbt</x:v>
      </x:c>
      <x:c r="AA2680" t="str">
        <x:v>Tidak Ada</x:v>
      </x:c>
      <x:c r="AB2680" t="str">
        <x:v>Campus=55; Ratio=17.3; Prodi=50; RelDemand=19.6; Capacity=75.0</x:v>
      </x:c>
    </x:row>
    <x:row r="2681">
      <x:c r="A2681" t="n">
        <x:v>2678</x:v>
      </x:c>
      <x:c r="B2681" t="str">
        <x:v>PTN Akademik</x:v>
      </x:c>
      <x:c r="C2681" t="str">
        <x:v>UNIVERSITAS LAMBUNG MANGKURAT</x:v>
      </x:c>
      <x:c r="D2681" t="str">
        <x:v>KIMIA</x:v>
      </x:c>
      <x:c r="E2681" t="str">
        <x:v>Sarjana</x:v>
      </x:c>
      <x:c r="F2681" s="18" t="n">
        <x:v>30</x:v>
      </x:c>
      <x:c r="G2681" s="18" t="n">
        <x:v>30</x:v>
      </x:c>
      <x:c r="H2681" s="19" t="n">
        <x:v>1</x:v>
      </x:c>
      <x:c r="I2681" s="18" t="n">
        <x:f>ROUND(MIN(Model_Config_v3!$B$6,MAX(Q2681,R2681,S2681*Model_Config_v3!$B$4+T2681*Model_Config_v3!$B$5)),0)</x:f>
        <x:v>601</x:v>
      </x:c>
      <x:c r="J2681" s="18" t="n">
        <x:f>MIN(Model_Config_v3!$B$6,I2681+Model_Config_v3!$B$7)</x:f>
        <x:v>621</x:v>
      </x:c>
      <x:c r="K2681" s="20" t="n">
        <x:v>37.7</x:v>
      </x:c>
      <x:c r="L2681" t="str">
        <x:v>RELATIF LONGGAR</x:v>
      </x:c>
      <x:c r="M2681" t="str">
        <x:v>SEDANG+</x:v>
      </x:c>
      <x:c r="N2681" t="str">
        <x:v>REGULER</x:v>
      </x:c>
      <x:c r="O2681" t="str">
        <x:v>SAINTEK</x:v>
      </x:c>
      <x:c r="P2681" t="str">
        <x:v>SAINS DASAR</x:v>
      </x:c>
      <x:c r="Q2681" s="18" t="n">
        <x:v>0</x:v>
      </x:c>
      <x:c r="R2681" s="18" t="n">
        <x:v>0</x:v>
      </x:c>
      <x:c r="S2681" s="18" t="n">
        <x:v>520</x:v>
      </x:c>
      <x:c r="T2681" s="18" t="n">
        <x:v>635</x:v>
      </x:c>
      <x:c r="U2681" s="18" t="n">
        <x:v>520</x:v>
      </x:c>
      <x:c r="V2681" s="20" t="n">
        <x:v>12</x:v>
      </x:c>
      <x:c r="W2681" s="20" t="n">
        <x:v>5</x:v>
      </x:c>
      <x:c r="X2681" s="20" t="n">
        <x:v>3</x:v>
      </x:c>
      <x:c r="Y2681" t="str">
        <x:v>Basis arsip 2025/2024</x:v>
      </x:c>
      <x:c r="Z2681" t="str">
        <x:v>https://snpmb.id/utbk-snbt/daya-tampung-snbt</x:v>
      </x:c>
      <x:c r="AA2681" t="str">
        <x:v>Tidak Ada</x:v>
      </x:c>
      <x:c r="AB2681" t="str">
        <x:v>Campus=55; Ratio=0.0; Prodi=50; RelDemand=10.0; Capacity=75.0</x:v>
      </x:c>
    </x:row>
    <x:row r="2682">
      <x:c r="A2682" t="n">
        <x:v>2679</x:v>
      </x:c>
      <x:c r="B2682" t="str">
        <x:v>PTN Akademik</x:v>
      </x:c>
      <x:c r="C2682" t="str">
        <x:v>UNIVERSITAS LAMBUNG MANGKURAT</x:v>
      </x:c>
      <x:c r="D2682" t="str">
        <x:v>BIOLOGI</x:v>
      </x:c>
      <x:c r="E2682" t="str">
        <x:v>Sarjana</x:v>
      </x:c>
      <x:c r="F2682" s="18" t="n">
        <x:v>30</x:v>
      </x:c>
      <x:c r="G2682" s="18" t="n">
        <x:v>58</x:v>
      </x:c>
      <x:c r="H2682" s="19" t="n">
        <x:v>1.9333333333333333</x:v>
      </x:c>
      <x:c r="I2682" s="18" t="n">
        <x:f>ROUND(MIN(Model_Config_v3!$B$6,MAX(Q2682,R2682,S2682*Model_Config_v3!$B$4+T2682*Model_Config_v3!$B$5)),0)</x:f>
        <x:v>618</x:v>
      </x:c>
      <x:c r="J2682" s="18" t="n">
        <x:f>MIN(Model_Config_v3!$B$6,I2682+Model_Config_v3!$B$7)</x:f>
        <x:v>638</x:v>
      </x:c>
      <x:c r="K2682" s="20" t="n">
        <x:v>42.9</x:v>
      </x:c>
      <x:c r="L2682" t="str">
        <x:v>RELATIF LONGGAR</x:v>
      </x:c>
      <x:c r="M2682" t="str">
        <x:v>SEDANG+</x:v>
      </x:c>
      <x:c r="N2682" t="str">
        <x:v>REGULER</x:v>
      </x:c>
      <x:c r="O2682" t="str">
        <x:v>SAINTEK</x:v>
      </x:c>
      <x:c r="P2682" t="str">
        <x:v>SAINS DASAR</x:v>
      </x:c>
      <x:c r="Q2682" s="18" t="n">
        <x:v>0</x:v>
      </x:c>
      <x:c r="R2682" s="18" t="n">
        <x:v>0</x:v>
      </x:c>
      <x:c r="S2682" s="18" t="n">
        <x:v>551.4937412727602</x:v>
      </x:c>
      <x:c r="T2682" s="18" t="n">
        <x:v>646</x:v>
      </x:c>
      <x:c r="U2682" s="18" t="n">
        <x:v>551.4937412727602</x:v>
      </x:c>
      <x:c r="V2682" s="20" t="n">
        <x:v>12</x:v>
      </x:c>
      <x:c r="W2682" s="20" t="n">
        <x:v>5</x:v>
      </x:c>
      <x:c r="X2682" s="20" t="n">
        <x:v>3</x:v>
      </x:c>
      <x:c r="Y2682" t="str">
        <x:v>Basis arsip 2025/2024</x:v>
      </x:c>
      <x:c r="Z2682" t="str">
        <x:v>https://snpmb.id/utbk-snbt/daya-tampung-snbt</x:v>
      </x:c>
      <x:c r="AA2682" t="str">
        <x:v>Tidak Ada</x:v>
      </x:c>
      <x:c r="AB2682" t="str">
        <x:v>Campus=55; Ratio=16.9; Prodi=50; RelDemand=19.3; Capacity=75.0</x:v>
      </x:c>
    </x:row>
    <x:row r="2683">
      <x:c r="A2683" t="n">
        <x:v>2680</x:v>
      </x:c>
      <x:c r="B2683" t="str">
        <x:v>PTN Akademik</x:v>
      </x:c>
      <x:c r="C2683" t="str">
        <x:v>UNIVERSITAS LAMBUNG MANGKURAT</x:v>
      </x:c>
      <x:c r="D2683" t="str">
        <x:v>FISIKA</x:v>
      </x:c>
      <x:c r="E2683" t="str">
        <x:v>Sarjana</x:v>
      </x:c>
      <x:c r="F2683" s="18" t="n">
        <x:v>30</x:v>
      </x:c>
      <x:c r="G2683" s="18" t="n">
        <x:v>18</x:v>
      </x:c>
      <x:c r="H2683" s="19" t="n">
        <x:v>0.6</x:v>
      </x:c>
      <x:c r="I2683" s="18" t="n">
        <x:f>ROUND(MIN(Model_Config_v3!$B$6,MAX(Q2683,R2683,S2683*Model_Config_v3!$B$4+T2683*Model_Config_v3!$B$5)),0)</x:f>
        <x:v>601</x:v>
      </x:c>
      <x:c r="J2683" s="18" t="n">
        <x:f>MIN(Model_Config_v3!$B$6,I2683+Model_Config_v3!$B$7)</x:f>
        <x:v>621</x:v>
      </x:c>
      <x:c r="K2683" s="20" t="n">
        <x:v>37.3</x:v>
      </x:c>
      <x:c r="L2683" t="str">
        <x:v>RELATIF LONGGAR</x:v>
      </x:c>
      <x:c r="M2683" t="str">
        <x:v>SEDANG+</x:v>
      </x:c>
      <x:c r="N2683" t="str">
        <x:v>REGULER</x:v>
      </x:c>
      <x:c r="O2683" t="str">
        <x:v>SAINTEK</x:v>
      </x:c>
      <x:c r="P2683" t="str">
        <x:v>SAINS DASAR</x:v>
      </x:c>
      <x:c r="Q2683" s="18" t="n">
        <x:v>0</x:v>
      </x:c>
      <x:c r="R2683" s="18" t="n">
        <x:v>0</x:v>
      </x:c>
      <x:c r="S2683" s="18" t="n">
        <x:v>520</x:v>
      </x:c>
      <x:c r="T2683" s="18" t="n">
        <x:v>635</x:v>
      </x:c>
      <x:c r="U2683" s="18" t="n">
        <x:v>520</x:v>
      </x:c>
      <x:c r="V2683" s="20" t="n">
        <x:v>12</x:v>
      </x:c>
      <x:c r="W2683" s="20" t="n">
        <x:v>5</x:v>
      </x:c>
      <x:c r="X2683" s="20" t="n">
        <x:v>3</x:v>
      </x:c>
      <x:c r="Y2683" t="str">
        <x:v>Basis arsip 2025/2024</x:v>
      </x:c>
      <x:c r="Z2683" t="str">
        <x:v>https://snpmb.id/utbk-snbt/daya-tampung-snbt</x:v>
      </x:c>
      <x:c r="AA2683" t="str">
        <x:v>Tidak Ada</x:v>
      </x:c>
      <x:c r="AB2683" t="str">
        <x:v>Campus=55; Ratio=0.0; Prodi=50; RelDemand=6.0; Capacity=75.0</x:v>
      </x:c>
    </x:row>
    <x:row r="2684">
      <x:c r="A2684" t="n">
        <x:v>2681</x:v>
      </x:c>
      <x:c r="B2684" t="str">
        <x:v>PTN Akademik</x:v>
      </x:c>
      <x:c r="C2684" t="str">
        <x:v>UNIVERSITAS LAMBUNG MANGKURAT</x:v>
      </x:c>
      <x:c r="D2684" t="str">
        <x:v>FARMASI</x:v>
      </x:c>
      <x:c r="E2684" t="str">
        <x:v>Sarjana</x:v>
      </x:c>
      <x:c r="F2684" s="18" t="n">
        <x:v>40</x:v>
      </x:c>
      <x:c r="G2684" s="18" t="n">
        <x:v>846</x:v>
      </x:c>
      <x:c r="H2684" s="19" t="n">
        <x:v>21.15</x:v>
      </x:c>
      <x:c r="I2684" s="18" t="n">
        <x:f>ROUND(MIN(Model_Config_v3!$B$6,MAX(Q2684,R2684,S2684*Model_Config_v3!$B$4+T2684*Model_Config_v3!$B$5)),0)</x:f>
        <x:v>690</x:v>
      </x:c>
      <x:c r="J2684" s="18" t="n">
        <x:f>MIN(Model_Config_v3!$B$6,I2684+Model_Config_v3!$B$7)</x:f>
        <x:v>710</x:v>
      </x:c>
      <x:c r="K2684" s="20" t="n">
        <x:v>70.4</x:v>
      </x:c>
      <x:c r="L2684" t="str">
        <x:v>SANGAT KETAT</x:v>
      </x:c>
      <x:c r="M2684" t="str">
        <x:v>SEDANG+</x:v>
      </x:c>
      <x:c r="N2684" t="str">
        <x:v>REGULER</x:v>
      </x:c>
      <x:c r="O2684" t="str">
        <x:v>SAINTEK</x:v>
      </x:c>
      <x:c r="P2684" t="str">
        <x:v>FARMASI</x:v>
      </x:c>
      <x:c r="Q2684" s="18" t="n">
        <x:v>0</x:v>
      </x:c>
      <x:c r="R2684" s="18" t="n">
        <x:v>0</x:v>
      </x:c>
      <x:c r="S2684" s="18" t="n">
        <x:v>665.7841408882167</x:v>
      </x:c>
      <x:c r="T2684" s="18" t="n">
        <x:v>701</x:v>
      </x:c>
      <x:c r="U2684" s="18" t="n">
        <x:v>685.7841408882167</x:v>
      </x:c>
      <x:c r="V2684" s="20" t="n">
        <x:v>12</x:v>
      </x:c>
      <x:c r="W2684" s="20" t="n">
        <x:v>5</x:v>
      </x:c>
      <x:c r="X2684" s="20" t="n">
        <x:v>3</x:v>
      </x:c>
      <x:c r="Y2684" t="str">
        <x:v>Basis arsip 2025/2024</x:v>
      </x:c>
      <x:c r="Z2684" t="str">
        <x:v>https://snpmb.id/utbk-snbt/daya-tampung-snbt</x:v>
      </x:c>
      <x:c r="AA2684" t="str">
        <x:v>Tidak Ada</x:v>
      </x:c>
      <x:c r="AB2684" t="str">
        <x:v>Campus=55; Ratio=78.0; Prodi=75; RelDemand=100.0; Capacity=66.7</x:v>
      </x:c>
    </x:row>
    <x:row r="2685">
      <x:c r="A2685" t="n">
        <x:v>2682</x:v>
      </x:c>
      <x:c r="B2685" t="str">
        <x:v>PTN Akademik</x:v>
      </x:c>
      <x:c r="C2685" t="str">
        <x:v>UNIVERSITAS LAMBUNG MANGKURAT</x:v>
      </x:c>
      <x:c r="D2685" t="str">
        <x:v>ILMU KOMPUTER</x:v>
      </x:c>
      <x:c r="E2685" t="str">
        <x:v>Sarjana</x:v>
      </x:c>
      <x:c r="F2685" s="18" t="n">
        <x:v>35</x:v>
      </x:c>
      <x:c r="G2685" s="18" t="n">
        <x:v>594</x:v>
      </x:c>
      <x:c r="H2685" s="19" t="n">
        <x:v>16.97142857142857</x:v>
      </x:c>
      <x:c r="I2685" s="18" t="n">
        <x:f>ROUND(MIN(Model_Config_v3!$B$6,MAX(Q2685,R2685,S2685*Model_Config_v3!$B$4+T2685*Model_Config_v3!$B$5)),0)</x:f>
        <x:v>689</x:v>
      </x:c>
      <x:c r="J2685" s="18" t="n">
        <x:f>MIN(Model_Config_v3!$B$6,I2685+Model_Config_v3!$B$7)</x:f>
        <x:v>709</x:v>
      </x:c>
      <x:c r="K2685" s="20" t="n">
        <x:v>71.4</x:v>
      </x:c>
      <x:c r="L2685" t="str">
        <x:v>SANGAT KETAT</x:v>
      </x:c>
      <x:c r="M2685" t="str">
        <x:v>SEDANG+</x:v>
      </x:c>
      <x:c r="N2685" t="str">
        <x:v>REGULER</x:v>
      </x:c>
      <x:c r="O2685" t="str">
        <x:v>SAINTEK</x:v>
      </x:c>
      <x:c r="P2685" t="str">
        <x:v>KOMPUTER/INFORMATIKA</x:v>
      </x:c>
      <x:c r="Q2685" s="18" t="n">
        <x:v>0</x:v>
      </x:c>
      <x:c r="R2685" s="18" t="n">
        <x:v>0</x:v>
      </x:c>
      <x:c r="S2685" s="18" t="n">
        <x:v>655.269024069401</x:v>
      </x:c>
      <x:c r="T2685" s="18" t="n">
        <x:v>703</x:v>
      </x:c>
      <x:c r="U2685" s="18" t="n">
        <x:v>680.269024069401</x:v>
      </x:c>
      <x:c r="V2685" s="20" t="n">
        <x:v>12</x:v>
      </x:c>
      <x:c r="W2685" s="20" t="n">
        <x:v>5</x:v>
      </x:c>
      <x:c r="X2685" s="20" t="n">
        <x:v>3</x:v>
      </x:c>
      <x:c r="Y2685" t="str">
        <x:v>Basis arsip 2025/2024</x:v>
      </x:c>
      <x:c r="Z2685" t="str">
        <x:v>https://snpmb.id/utbk-snbt/daya-tampung-snbt</x:v>
      </x:c>
      <x:c r="AA2685" t="str">
        <x:v>Tidak Ada</x:v>
      </x:c>
      <x:c r="AB2685" t="str">
        <x:v>Campus=55; Ratio=72.4; Prodi=85; RelDemand=100.0; Capacity=70.8</x:v>
      </x:c>
    </x:row>
    <x:row r="2686">
      <x:c r="A2686" t="n">
        <x:v>2683</x:v>
      </x:c>
      <x:c r="B2686" t="str">
        <x:v>PTN Akademik</x:v>
      </x:c>
      <x:c r="C2686" t="str">
        <x:v>UNIVERSITAS LAMBUNG MANGKURAT</x:v>
      </x:c>
      <x:c r="D2686" t="str">
        <x:v>KEHUTANAN</x:v>
      </x:c>
      <x:c r="E2686" t="str">
        <x:v>Sarjana</x:v>
      </x:c>
      <x:c r="F2686" s="18" t="n">
        <x:v>163</x:v>
      </x:c>
      <x:c r="G2686" s="18" t="n">
        <x:v>235</x:v>
      </x:c>
      <x:c r="H2686" s="19" t="n">
        <x:v>1.4417177914110428</x:v>
      </x:c>
      <x:c r="I2686" s="18" t="n">
        <x:f>ROUND(MIN(Model_Config_v3!$B$6,MAX(Q2686,R2686,S2686*Model_Config_v3!$B$4+T2686*Model_Config_v3!$B$5)),0)</x:f>
        <x:v>597</x:v>
      </x:c>
      <x:c r="J2686" s="18" t="n">
        <x:f>MIN(Model_Config_v3!$B$6,I2686+Model_Config_v3!$B$7)</x:f>
        <x:v>617</x:v>
      </x:c>
      <x:c r="K2686" s="20" t="n">
        <x:v>31</x:v>
      </x:c>
      <x:c r="L2686" t="str">
        <x:v>RELATIF LONGGAR</x:v>
      </x:c>
      <x:c r="M2686" t="str">
        <x:v>SEDANG</x:v>
      </x:c>
      <x:c r="N2686" t="str">
        <x:v>REGULER</x:v>
      </x:c>
      <x:c r="O2686" t="str">
        <x:v>CAMPURAN</x:v>
      </x:c>
      <x:c r="P2686" t="str">
        <x:v>UMUM</x:v>
      </x:c>
      <x:c r="Q2686" s="18" t="n">
        <x:v>0</x:v>
      </x:c>
      <x:c r="R2686" s="18" t="n">
        <x:v>0</x:v>
      </x:c>
      <x:c r="S2686" s="18" t="n">
        <x:v>537.4768283654556</x:v>
      </x:c>
      <x:c r="T2686" s="18" t="n">
        <x:v>622</x:v>
      </x:c>
      <x:c r="U2686" s="18" t="n">
        <x:v>537.4768283654556</x:v>
      </x:c>
      <x:c r="V2686" s="20" t="n">
        <x:v>8.8</x:v>
      </x:c>
      <x:c r="W2686" s="20" t="n">
        <x:v>9.9</x:v>
      </x:c>
      <x:c r="X2686" s="20" t="n">
        <x:v>3.3</x:v>
      </x:c>
      <x:c r="Y2686" t="str">
        <x:v>Basis arsip 2025/2024</x:v>
      </x:c>
      <x:c r="Z2686" t="str">
        <x:v>https://snpmb.id/utbk-snbt/daya-tampung-snbt</x:v>
      </x:c>
      <x:c r="AA2686" t="str">
        <x:v>Tidak Ada</x:v>
      </x:c>
      <x:c r="AB2686" t="str">
        <x:v>Campus=55; Ratio=9.4; Prodi=40; RelDemand=14.4; Capacity=0.0</x:v>
      </x:c>
    </x:row>
    <x:row r="2687">
      <x:c r="A2687" t="n">
        <x:v>2684</x:v>
      </x:c>
      <x:c r="B2687" t="str">
        <x:v>PTN Akademik</x:v>
      </x:c>
      <x:c r="C2687" t="str">
        <x:v>UNIVERSITAS LAMBUNG MANGKURAT</x:v>
      </x:c>
      <x:c r="D2687" t="str">
        <x:v>PENDIDIKAN FISIKA</x:v>
      </x:c>
      <x:c r="E2687" t="str">
        <x:v>Sarjana</x:v>
      </x:c>
      <x:c r="F2687" s="18" t="n">
        <x:v>30</x:v>
      </x:c>
      <x:c r="G2687" s="18" t="n">
        <x:v>13</x:v>
      </x:c>
      <x:c r="H2687" s="19" t="n">
        <x:v>0.43333333333333335</x:v>
      </x:c>
      <x:c r="I2687" s="18" t="n">
        <x:f>ROUND(MIN(Model_Config_v3!$B$6,MAX(Q2687,R2687,S2687*Model_Config_v3!$B$4+T2687*Model_Config_v3!$B$5)),0)</x:f>
        <x:v>598</x:v>
      </x:c>
      <x:c r="J2687" s="18" t="n">
        <x:f>MIN(Model_Config_v3!$B$6,I2687+Model_Config_v3!$B$7)</x:f>
        <x:v>618</x:v>
      </x:c>
      <x:c r="K2687" s="20" t="n">
        <x:v>36.2</x:v>
      </x:c>
      <x:c r="L2687" t="str">
        <x:v>RELATIF LONGGAR</x:v>
      </x:c>
      <x:c r="M2687" t="str">
        <x:v>SEDANG+</x:v>
      </x:c>
      <x:c r="N2687" t="str">
        <x:v>REGULER</x:v>
      </x:c>
      <x:c r="O2687" t="str">
        <x:v>SAINTEK</x:v>
      </x:c>
      <x:c r="P2687" t="str">
        <x:v>PENDIDIKAN</x:v>
      </x:c>
      <x:c r="Q2687" s="18" t="n">
        <x:v>0</x:v>
      </x:c>
      <x:c r="R2687" s="18" t="n">
        <x:v>0</x:v>
      </x:c>
      <x:c r="S2687" s="18" t="n">
        <x:v>520</x:v>
      </x:c>
      <x:c r="T2687" s="18" t="n">
        <x:v>632</x:v>
      </x:c>
      <x:c r="U2687" s="18" t="n">
        <x:v>520</x:v>
      </x:c>
      <x:c r="V2687" s="20" t="n">
        <x:v>12</x:v>
      </x:c>
      <x:c r="W2687" s="20" t="n">
        <x:v>5</x:v>
      </x:c>
      <x:c r="X2687" s="20" t="n">
        <x:v>3</x:v>
      </x:c>
      <x:c r="Y2687" t="str">
        <x:v>Basis arsip 2025/2024</x:v>
      </x:c>
      <x:c r="Z2687" t="str">
        <x:v>https://snpmb.id/utbk-snbt/daya-tampung-snbt</x:v>
      </x:c>
      <x:c r="AA2687" t="str">
        <x:v>Tidak Ada</x:v>
      </x:c>
      <x:c r="AB2687" t="str">
        <x:v>Campus=55; Ratio=0.0; Prodi=45; RelDemand=4.3; Capacity=75.0</x:v>
      </x:c>
    </x:row>
    <x:row r="2688">
      <x:c r="A2688" t="n">
        <x:v>2685</x:v>
      </x:c>
      <x:c r="B2688" t="str">
        <x:v>PTN Akademik</x:v>
      </x:c>
      <x:c r="C2688" t="str">
        <x:v>UNIVERSITAS LAMBUNG MANGKURAT</x:v>
      </x:c>
      <x:c r="D2688" t="str">
        <x:v>KEPERAWATAN</x:v>
      </x:c>
      <x:c r="E2688" t="str">
        <x:v>Sarjana</x:v>
      </x:c>
      <x:c r="F2688" s="18" t="n">
        <x:v>60</x:v>
      </x:c>
      <x:c r="G2688" s="18" t="n">
        <x:v>581</x:v>
      </x:c>
      <x:c r="H2688" s="19" t="n">
        <x:v>9.683333333333334</x:v>
      </x:c>
      <x:c r="I2688" s="18" t="n">
        <x:f>ROUND(MIN(Model_Config_v3!$B$6,MAX(Q2688,R2688,S2688*Model_Config_v3!$B$4+T2688*Model_Config_v3!$B$5)),0)</x:f>
        <x:v>664</x:v>
      </x:c>
      <x:c r="J2688" s="18" t="n">
        <x:f>MIN(Model_Config_v3!$B$6,I2688+Model_Config_v3!$B$7)</x:f>
        <x:v>684</x:v>
      </x:c>
      <x:c r="K2688" s="20" t="n">
        <x:v>59.4</x:v>
      </x:c>
      <x:c r="L2688" t="str">
        <x:v>KETAT</x:v>
      </x:c>
      <x:c r="M2688" t="str">
        <x:v>SEDANG+</x:v>
      </x:c>
      <x:c r="N2688" t="str">
        <x:v>REGULER</x:v>
      </x:c>
      <x:c r="O2688" t="str">
        <x:v>SAINTEK</x:v>
      </x:c>
      <x:c r="P2688" t="str">
        <x:v>KESEHAT/GIZI/KEPERAWATAN</x:v>
      </x:c>
      <x:c r="Q2688" s="18" t="n">
        <x:v>0</x:v>
      </x:c>
      <x:c r="R2688" s="18" t="n">
        <x:v>0</x:v>
      </x:c>
      <x:c r="S2688" s="18" t="n">
        <x:v>628.4627370207355</x:v>
      </x:c>
      <x:c r="T2688" s="18" t="n">
        <x:v>679</x:v>
      </x:c>
      <x:c r="U2688" s="18" t="n">
        <x:v>628.4627370207355</x:v>
      </x:c>
      <x:c r="V2688" s="20" t="n">
        <x:v>12</x:v>
      </x:c>
      <x:c r="W2688" s="20" t="n">
        <x:v>5</x:v>
      </x:c>
      <x:c r="X2688" s="20" t="n">
        <x:v>3</x:v>
      </x:c>
      <x:c r="Y2688" t="str">
        <x:v>Basis arsip 2025/2024</x:v>
      </x:c>
      <x:c r="Z2688" t="str">
        <x:v>https://snpmb.id/utbk-snbt/daya-tampung-snbt</x:v>
      </x:c>
      <x:c r="AA2688" t="str">
        <x:v>Tidak Ada</x:v>
      </x:c>
      <x:c r="AB2688" t="str">
        <x:v>Campus=55; Ratio=58.0; Prodi=55; RelDemand=96.8; Capacity=50.0</x:v>
      </x:c>
    </x:row>
    <x:row r="2689">
      <x:c r="A2689" t="n">
        <x:v>2686</x:v>
      </x:c>
      <x:c r="B2689" t="str">
        <x:v>PTN Akademik</x:v>
      </x:c>
      <x:c r="C2689" t="str">
        <x:v>UNIVERSITAS LAMBUNG MANGKURAT</x:v>
      </x:c>
      <x:c r="D2689" t="str">
        <x:v>ILMU TANAH</x:v>
      </x:c>
      <x:c r="E2689" t="str">
        <x:v>Sarjana</x:v>
      </x:c>
      <x:c r="F2689" s="18" t="n">
        <x:v>38</x:v>
      </x:c>
      <x:c r="G2689" s="18" t="n">
        <x:v>33</x:v>
      </x:c>
      <x:c r="H2689" s="19" t="n">
        <x:v>0.868421052631579</x:v>
      </x:c>
      <x:c r="I2689" s="18" t="n">
        <x:f>ROUND(MIN(Model_Config_v3!$B$6,MAX(Q2689,R2689,S2689*Model_Config_v3!$B$4+T2689*Model_Config_v3!$B$5)),0)</x:f>
        <x:v>597</x:v>
      </x:c>
      <x:c r="J2689" s="18" t="n">
        <x:f>MIN(Model_Config_v3!$B$6,I2689+Model_Config_v3!$B$7)</x:f>
        <x:v>617</x:v>
      </x:c>
      <x:c r="K2689" s="20" t="n">
        <x:v>35</x:v>
      </x:c>
      <x:c r="L2689" t="str">
        <x:v>RELATIF LONGGAR</x:v>
      </x:c>
      <x:c r="M2689" t="str">
        <x:v>SEDANG</x:v>
      </x:c>
      <x:c r="N2689" t="str">
        <x:v>REGULER</x:v>
      </x:c>
      <x:c r="O2689" t="str">
        <x:v>CAMPURAN</x:v>
      </x:c>
      <x:c r="P2689" t="str">
        <x:v>UMUM</x:v>
      </x:c>
      <x:c r="Q2689" s="18" t="n">
        <x:v>0</x:v>
      </x:c>
      <x:c r="R2689" s="18" t="n">
        <x:v>0</x:v>
      </x:c>
      <x:c r="S2689" s="18" t="n">
        <x:v>520</x:v>
      </x:c>
      <x:c r="T2689" s="18" t="n">
        <x:v>630</x:v>
      </x:c>
      <x:c r="U2689" s="18" t="n">
        <x:v>520</x:v>
      </x:c>
      <x:c r="V2689" s="20" t="n">
        <x:v>8.8</x:v>
      </x:c>
      <x:c r="W2689" s="20" t="n">
        <x:v>9.9</x:v>
      </x:c>
      <x:c r="X2689" s="20" t="n">
        <x:v>3.3</x:v>
      </x:c>
      <x:c r="Y2689" t="str">
        <x:v>Basis arsip 2025/2024</x:v>
      </x:c>
      <x:c r="Z2689" t="str">
        <x:v>https://snpmb.id/utbk-snbt/daya-tampung-snbt</x:v>
      </x:c>
      <x:c r="AA2689" t="str">
        <x:v>Tidak Ada</x:v>
      </x:c>
      <x:c r="AB2689" t="str">
        <x:v>Campus=55; Ratio=0.0; Prodi=40; RelDemand=8.7; Capacity=68.3</x:v>
      </x:c>
    </x:row>
    <x:row r="2690">
      <x:c r="A2690" t="n">
        <x:v>2687</x:v>
      </x:c>
      <x:c r="B2690" t="str">
        <x:v>PTN Akademik</x:v>
      </x:c>
      <x:c r="C2690" t="str">
        <x:v>UNIVERSITAS LAMBUNG MANGKURAT</x:v>
      </x:c>
      <x:c r="D2690" t="str">
        <x:v>PROTEKSI TANAMAN</x:v>
      </x:c>
      <x:c r="E2690" t="str">
        <x:v>Sarjana</x:v>
      </x:c>
      <x:c r="F2690" s="18" t="n">
        <x:v>38</x:v>
      </x:c>
      <x:c r="G2690" s="18" t="n">
        <x:v>18</x:v>
      </x:c>
      <x:c r="H2690" s="19" t="n">
        <x:v>0.47368421052631576</x:v>
      </x:c>
      <x:c r="I2690" s="18" t="n">
        <x:f>ROUND(MIN(Model_Config_v3!$B$6,MAX(Q2690,R2690,S2690*Model_Config_v3!$B$4+T2690*Model_Config_v3!$B$5)),0)</x:f>
        <x:v>596</x:v>
      </x:c>
      <x:c r="J2690" s="18" t="n">
        <x:f>MIN(Model_Config_v3!$B$6,I2690+Model_Config_v3!$B$7)</x:f>
        <x:v>616</x:v>
      </x:c>
      <x:c r="K2690" s="20" t="n">
        <x:v>34.6</x:v>
      </x:c>
      <x:c r="L2690" t="str">
        <x:v>RELATIF LONGGAR</x:v>
      </x:c>
      <x:c r="M2690" t="str">
        <x:v>SEDANG</x:v>
      </x:c>
      <x:c r="N2690" t="str">
        <x:v>REGULER</x:v>
      </x:c>
      <x:c r="O2690" t="str">
        <x:v>CAMPURAN</x:v>
      </x:c>
      <x:c r="P2690" t="str">
        <x:v>UMUM</x:v>
      </x:c>
      <x:c r="Q2690" s="18" t="n">
        <x:v>0</x:v>
      </x:c>
      <x:c r="R2690" s="18" t="n">
        <x:v>0</x:v>
      </x:c>
      <x:c r="S2690" s="18" t="n">
        <x:v>520</x:v>
      </x:c>
      <x:c r="T2690" s="18" t="n">
        <x:v>629</x:v>
      </x:c>
      <x:c r="U2690" s="18" t="n">
        <x:v>520</x:v>
      </x:c>
      <x:c r="V2690" s="20" t="n">
        <x:v>8.8</x:v>
      </x:c>
      <x:c r="W2690" s="20" t="n">
        <x:v>9.9</x:v>
      </x:c>
      <x:c r="X2690" s="20" t="n">
        <x:v>3.3</x:v>
      </x:c>
      <x:c r="Y2690" t="str">
        <x:v>Basis arsip 2025/2024</x:v>
      </x:c>
      <x:c r="Z2690" t="str">
        <x:v>https://snpmb.id/utbk-snbt/daya-tampung-snbt</x:v>
      </x:c>
      <x:c r="AA2690" t="str">
        <x:v>Tidak Ada</x:v>
      </x:c>
      <x:c r="AB2690" t="str">
        <x:v>Campus=55; Ratio=0.0; Prodi=40; RelDemand=4.7; Capacity=68.3</x:v>
      </x:c>
    </x:row>
    <x:row r="2691">
      <x:c r="A2691" t="n">
        <x:v>2688</x:v>
      </x:c>
      <x:c r="B2691" t="str">
        <x:v>PTN Akademik</x:v>
      </x:c>
      <x:c r="C2691" t="str">
        <x:v>UNIVERSITAS LAMBUNG MANGKURAT</x:v>
      </x:c>
      <x:c r="D2691" t="str">
        <x:v>AGRONOMI</x:v>
      </x:c>
      <x:c r="E2691" t="str">
        <x:v>Sarjana</x:v>
      </x:c>
      <x:c r="F2691" s="18" t="n">
        <x:v>37</x:v>
      </x:c>
      <x:c r="G2691" s="18" t="n">
        <x:v>55</x:v>
      </x:c>
      <x:c r="H2691" s="19" t="n">
        <x:v>1.4864864864864864</x:v>
      </x:c>
      <x:c r="I2691" s="18" t="n">
        <x:f>ROUND(MIN(Model_Config_v3!$B$6,MAX(Q2691,R2691,S2691*Model_Config_v3!$B$4+T2691*Model_Config_v3!$B$5)),0)</x:f>
        <x:v>607</x:v>
      </x:c>
      <x:c r="J2691" s="18" t="n">
        <x:f>MIN(Model_Config_v3!$B$6,I2691+Model_Config_v3!$B$7)</x:f>
        <x:v>627</x:v>
      </x:c>
      <x:c r="K2691" s="20" t="n">
        <x:v>38.2</x:v>
      </x:c>
      <x:c r="L2691" t="str">
        <x:v>RELATIF LONGGAR</x:v>
      </x:c>
      <x:c r="M2691" t="str">
        <x:v>SEDANG</x:v>
      </x:c>
      <x:c r="N2691" t="str">
        <x:v>REGULER</x:v>
      </x:c>
      <x:c r="O2691" t="str">
        <x:v>CAMPURAN</x:v>
      </x:c>
      <x:c r="P2691" t="str">
        <x:v>UMUM</x:v>
      </x:c>
      <x:c r="Q2691" s="18" t="n">
        <x:v>0</x:v>
      </x:c>
      <x:c r="R2691" s="18" t="n">
        <x:v>0</x:v>
      </x:c>
      <x:c r="S2691" s="18" t="n">
        <x:v>538.9377061969974</x:v>
      </x:c>
      <x:c r="T2691" s="18" t="n">
        <x:v>636</x:v>
      </x:c>
      <x:c r="U2691" s="18" t="n">
        <x:v>538.9377061969974</x:v>
      </x:c>
      <x:c r="V2691" s="20" t="n">
        <x:v>8.8</x:v>
      </x:c>
      <x:c r="W2691" s="20" t="n">
        <x:v>9.9</x:v>
      </x:c>
      <x:c r="X2691" s="20" t="n">
        <x:v>3.3</x:v>
      </x:c>
      <x:c r="Y2691" t="str">
        <x:v>Basis arsip 2025/2024</x:v>
      </x:c>
      <x:c r="Z2691" t="str">
        <x:v>https://snpmb.id/utbk-snbt/daya-tampung-snbt</x:v>
      </x:c>
      <x:c r="AA2691" t="str">
        <x:v>Tidak Ada</x:v>
      </x:c>
      <x:c r="AB2691" t="str">
        <x:v>Campus=55; Ratio=10.1; Prodi=40; RelDemand=14.9; Capacity=69.2</x:v>
      </x:c>
    </x:row>
    <x:row r="2692">
      <x:c r="A2692" t="n">
        <x:v>2689</x:v>
      </x:c>
      <x:c r="B2692" t="str">
        <x:v>PTN Akademik</x:v>
      </x:c>
      <x:c r="C2692" t="str">
        <x:v>UNIVERSITAS LAMBUNG MANGKURAT</x:v>
      </x:c>
      <x:c r="D2692" t="str">
        <x:v>KEDOKTERAN GIGI</x:v>
      </x:c>
      <x:c r="E2692" t="str">
        <x:v>Sarjana</x:v>
      </x:c>
      <x:c r="F2692" s="18" t="n">
        <x:v>50</x:v>
      </x:c>
      <x:c r="G2692" s="18" t="n">
        <x:v>642</x:v>
      </x:c>
      <x:c r="H2692" s="19" t="n">
        <x:v>12.84</x:v>
      </x:c>
      <x:c r="I2692" s="18" t="n">
        <x:f>ROUND(MIN(Model_Config_v3!$B$6,MAX(Q2692,R2692,S2692*Model_Config_v3!$B$4+T2692*Model_Config_v3!$B$5)),0)</x:f>
        <x:v>682</x:v>
      </x:c>
      <x:c r="J2692" s="18" t="n">
        <x:f>MIN(Model_Config_v3!$B$6,I2692+Model_Config_v3!$B$7)</x:f>
        <x:v>702</x:v>
      </x:c>
      <x:c r="K2692" s="20" t="n">
        <x:v>69.4</x:v>
      </x:c>
      <x:c r="L2692" t="str">
        <x:v>SANGAT KETAT</x:v>
      </x:c>
      <x:c r="M2692" t="str">
        <x:v>SEDANG+</x:v>
      </x:c>
      <x:c r="N2692" t="str">
        <x:v>REGULER</x:v>
      </x:c>
      <x:c r="O2692" t="str">
        <x:v>SAINTEK</x:v>
      </x:c>
      <x:c r="P2692" t="str">
        <x:v>KEDOKTERAN GIGI</x:v>
      </x:c>
      <x:c r="Q2692" s="18" t="n">
        <x:v>0</x:v>
      </x:c>
      <x:c r="R2692" s="18" t="n">
        <x:v>660</x:v>
      </x:c>
      <x:c r="S2692" s="18" t="n">
        <x:v>641.9421526106117</x:v>
      </x:c>
      <x:c r="T2692" s="18" t="n">
        <x:v>699</x:v>
      </x:c>
      <x:c r="U2692" s="18" t="n">
        <x:v>671.9421526106117</x:v>
      </x:c>
      <x:c r="V2692" s="20" t="n">
        <x:v>12</x:v>
      </x:c>
      <x:c r="W2692" s="20" t="n">
        <x:v>5</x:v>
      </x:c>
      <x:c r="X2692" s="20" t="n">
        <x:v>3</x:v>
      </x:c>
      <x:c r="Y2692" t="str">
        <x:v>Basis arsip 2025/2024</x:v>
      </x:c>
      <x:c r="Z2692" t="str">
        <x:v>https://snpmb.id/utbk-snbt/daya-tampung-snbt</x:v>
      </x:c>
      <x:c r="AA2692" t="str">
        <x:v>Tidak Ada</x:v>
      </x:c>
      <x:c r="AB2692" t="str">
        <x:v>Campus=55; Ratio=65.2; Prodi=90; RelDemand=100.0; Capacity=58.3</x:v>
      </x:c>
    </x:row>
    <x:row r="2693">
      <x:c r="A2693" t="n">
        <x:v>2690</x:v>
      </x:c>
      <x:c r="B2693" t="str">
        <x:v>PTN Akademik</x:v>
      </x:c>
      <x:c r="C2693" t="str">
        <x:v>UNIVERSITAS LAMBUNG MANGKURAT</x:v>
      </x:c>
      <x:c r="D2693" t="str">
        <x:v>PENDIDIKAN KOMPUTER</x:v>
      </x:c>
      <x:c r="E2693" t="str">
        <x:v>Sarjana</x:v>
      </x:c>
      <x:c r="F2693" s="18" t="n">
        <x:v>45</x:v>
      </x:c>
      <x:c r="G2693" s="18" t="n">
        <x:v>118</x:v>
      </x:c>
      <x:c r="H2693" s="19" t="n">
        <x:v>2.6222222222222222</x:v>
      </x:c>
      <x:c r="I2693" s="18" t="n">
        <x:f>ROUND(MIN(Model_Config_v3!$B$6,MAX(Q2693,R2693,S2693*Model_Config_v3!$B$4+T2693*Model_Config_v3!$B$5)),0)</x:f>
        <x:v>623</x:v>
      </x:c>
      <x:c r="J2693" s="18" t="n">
        <x:f>MIN(Model_Config_v3!$B$6,I2693+Model_Config_v3!$B$7)</x:f>
        <x:v>643</x:v>
      </x:c>
      <x:c r="K2693" s="20" t="n">
        <x:v>43.3</x:v>
      </x:c>
      <x:c r="L2693" t="str">
        <x:v>RELATIF LONGGAR</x:v>
      </x:c>
      <x:c r="M2693" t="str">
        <x:v>SEDANG+</x:v>
      </x:c>
      <x:c r="N2693" t="str">
        <x:v>REGULER</x:v>
      </x:c>
      <x:c r="O2693" t="str">
        <x:v>SAINTEK</x:v>
      </x:c>
      <x:c r="P2693" t="str">
        <x:v>PENDIDIKAN</x:v>
      </x:c>
      <x:c r="Q2693" s="18" t="n">
        <x:v>0</x:v>
      </x:c>
      <x:c r="R2693" s="18" t="n">
        <x:v>0</x:v>
      </x:c>
      <x:c r="S2693" s="18" t="n">
        <x:v>566.053644288386</x:v>
      </x:c>
      <x:c r="T2693" s="18" t="n">
        <x:v>647</x:v>
      </x:c>
      <x:c r="U2693" s="18" t="n">
        <x:v>566.053644288386</x:v>
      </x:c>
      <x:c r="V2693" s="20" t="n">
        <x:v>12</x:v>
      </x:c>
      <x:c r="W2693" s="20" t="n">
        <x:v>5</x:v>
      </x:c>
      <x:c r="X2693" s="20" t="n">
        <x:v>3</x:v>
      </x:c>
      <x:c r="Y2693" t="str">
        <x:v>Basis arsip 2025/2024</x:v>
      </x:c>
      <x:c r="Z2693" t="str">
        <x:v>https://snpmb.id/utbk-snbt/daya-tampung-snbt</x:v>
      </x:c>
      <x:c r="AA2693" t="str">
        <x:v>Tidak Ada</x:v>
      </x:c>
      <x:c r="AB2693" t="str">
        <x:v>Campus=55; Ratio=24.6; Prodi=45; RelDemand=26.2; Capacity=62.5</x:v>
      </x:c>
    </x:row>
    <x:row r="2694">
      <x:c r="A2694" t="n">
        <x:v>2691</x:v>
      </x:c>
      <x:c r="B2694" t="str">
        <x:v>PTN Akademik</x:v>
      </x:c>
      <x:c r="C2694" t="str">
        <x:v>UNIVERSITAS LAMBUNG MANGKURAT</x:v>
      </x:c>
      <x:c r="D2694" t="str">
        <x:v>PENDIDIKAN IPA</x:v>
      </x:c>
      <x:c r="E2694" t="str">
        <x:v>Sarjana</x:v>
      </x:c>
      <x:c r="F2694" s="18" t="n">
        <x:v>55</x:v>
      </x:c>
      <x:c r="G2694" s="18" t="n">
        <x:v>53</x:v>
      </x:c>
      <x:c r="H2694" s="19" t="n">
        <x:v>0.9636363636363636</x:v>
      </x:c>
      <x:c r="I2694" s="18" t="n">
        <x:f>ROUND(MIN(Model_Config_v3!$B$6,MAX(Q2694,R2694,S2694*Model_Config_v3!$B$4+T2694*Model_Config_v3!$B$5)),0)</x:f>
        <x:v>596</x:v>
      </x:c>
      <x:c r="J2694" s="18" t="n">
        <x:f>MIN(Model_Config_v3!$B$6,I2694+Model_Config_v3!$B$7)</x:f>
        <x:v>616</x:v>
      </x:c>
      <x:c r="K2694" s="20" t="n">
        <x:v>34.6</x:v>
      </x:c>
      <x:c r="L2694" t="str">
        <x:v>RELATIF LONGGAR</x:v>
      </x:c>
      <x:c r="M2694" t="str">
        <x:v>SEDANG+</x:v>
      </x:c>
      <x:c r="N2694" t="str">
        <x:v>REGULER</x:v>
      </x:c>
      <x:c r="O2694" t="str">
        <x:v>CAMPURAN</x:v>
      </x:c>
      <x:c r="P2694" t="str">
        <x:v>PENDIDIKAN</x:v>
      </x:c>
      <x:c r="Q2694" s="18" t="n">
        <x:v>0</x:v>
      </x:c>
      <x:c r="R2694" s="18" t="n">
        <x:v>0</x:v>
      </x:c>
      <x:c r="S2694" s="18" t="n">
        <x:v>520</x:v>
      </x:c>
      <x:c r="T2694" s="18" t="n">
        <x:v>629</x:v>
      </x:c>
      <x:c r="U2694" s="18" t="n">
        <x:v>520</x:v>
      </x:c>
      <x:c r="V2694" s="20" t="n">
        <x:v>8.8</x:v>
      </x:c>
      <x:c r="W2694" s="20" t="n">
        <x:v>9.9</x:v>
      </x:c>
      <x:c r="X2694" s="20" t="n">
        <x:v>3.3</x:v>
      </x:c>
      <x:c r="Y2694" t="str">
        <x:v>Basis arsip 2025/2024</x:v>
      </x:c>
      <x:c r="Z2694" t="str">
        <x:v>https://snpmb.id/utbk-snbt/daya-tampung-snbt</x:v>
      </x:c>
      <x:c r="AA2694" t="str">
        <x:v>Tidak Ada</x:v>
      </x:c>
      <x:c r="AB2694" t="str">
        <x:v>Campus=55; Ratio=0.0; Prodi=45; RelDemand=9.6; Capacity=54.2</x:v>
      </x:c>
    </x:row>
    <x:row r="2695">
      <x:c r="A2695" t="n">
        <x:v>2692</x:v>
      </x:c>
      <x:c r="B2695" t="str">
        <x:v>PTN Akademik</x:v>
      </x:c>
      <x:c r="C2695" t="str">
        <x:v>UNIVERSITAS LAMBUNG MANGKURAT</x:v>
      </x:c>
      <x:c r="D2695" t="str">
        <x:v>TEKNOLOGI INFORMASI</x:v>
      </x:c>
      <x:c r="E2695" t="str">
        <x:v>Sarjana</x:v>
      </x:c>
      <x:c r="F2695" s="18" t="n">
        <x:v>30</x:v>
      </x:c>
      <x:c r="G2695" s="18" t="n">
        <x:v>707</x:v>
      </x:c>
      <x:c r="H2695" s="19" t="n">
        <x:v>23.566666666666666</x:v>
      </x:c>
      <x:c r="I2695" s="18" t="n">
        <x:f>ROUND(MIN(Model_Config_v3!$B$6,MAX(Q2695,R2695,S2695*Model_Config_v3!$B$4+T2695*Model_Config_v3!$B$5)),0)</x:f>
        <x:v>684</x:v>
      </x:c>
      <x:c r="J2695" s="18" t="n">
        <x:f>MIN(Model_Config_v3!$B$6,I2695+Model_Config_v3!$B$7)</x:f>
        <x:v>704</x:v>
      </x:c>
      <x:c r="K2695" s="20" t="n">
        <x:v>64.9</x:v>
      </x:c>
      <x:c r="L2695" t="str">
        <x:v>KETAT</x:v>
      </x:c>
      <x:c r="M2695" t="str">
        <x:v>SEDANG</x:v>
      </x:c>
      <x:c r="N2695" t="str">
        <x:v>REGULER</x:v>
      </x:c>
      <x:c r="O2695" t="str">
        <x:v>SAINTEK</x:v>
      </x:c>
      <x:c r="P2695" t="str">
        <x:v>UMUM</x:v>
      </x:c>
      <x:c r="Q2695" s="18" t="n">
        <x:v>0</x:v>
      </x:c>
      <x:c r="R2695" s="18" t="n">
        <x:v>0</x:v>
      </x:c>
      <x:c r="S2695" s="18" t="n">
        <x:v>670.952797498496</x:v>
      </x:c>
      <x:c r="T2695" s="18" t="n">
        <x:v>690</x:v>
      </x:c>
      <x:c r="U2695" s="18" t="n">
        <x:v>670.952797498496</x:v>
      </x:c>
      <x:c r="V2695" s="20" t="n">
        <x:v>12</x:v>
      </x:c>
      <x:c r="W2695" s="20" t="n">
        <x:v>5</x:v>
      </x:c>
      <x:c r="X2695" s="20" t="n">
        <x:v>3</x:v>
      </x:c>
      <x:c r="Y2695" t="str">
        <x:v>Basis arsip 2025/2024</x:v>
      </x:c>
      <x:c r="Z2695" t="str">
        <x:v>https://snpmb.id/utbk-snbt/daya-tampung-snbt</x:v>
      </x:c>
      <x:c r="AA2695" t="str">
        <x:v>Tidak Ada</x:v>
      </x:c>
      <x:c r="AB2695" t="str">
        <x:v>Campus=55; Ratio=80.8; Prodi=40; RelDemand=100.0; Capacity=75.0</x:v>
      </x:c>
    </x:row>
    <x:row r="2696">
      <x:c r="A2696" t="n">
        <x:v>2693</x:v>
      </x:c>
      <x:c r="B2696" t="str">
        <x:v>PTN Akademik</x:v>
      </x:c>
      <x:c r="C2696" t="str">
        <x:v>UNIVERSITAS LAMBUNG MANGKURAT</x:v>
      </x:c>
      <x:c r="D2696" t="str">
        <x:v>STATISTIKA</x:v>
      </x:c>
      <x:c r="E2696" t="str">
        <x:v>Sarjana</x:v>
      </x:c>
      <x:c r="F2696" s="18" t="n">
        <x:v>30</x:v>
      </x:c>
      <x:c r="G2696" s="18" t="n">
        <x:v>131</x:v>
      </x:c>
      <x:c r="H2696" s="19" t="n">
        <x:v>4.366666666666666</x:v>
      </x:c>
      <x:c r="I2696" s="18" t="n">
        <x:f>ROUND(MIN(Model_Config_v3!$B$6,MAX(Q2696,R2696,S2696*Model_Config_v3!$B$4+T2696*Model_Config_v3!$B$5)),0)</x:f>
        <x:v>643</x:v>
      </x:c>
      <x:c r="J2696" s="18" t="n">
        <x:f>MIN(Model_Config_v3!$B$6,I2696+Model_Config_v3!$B$7)</x:f>
        <x:v>663</x:v>
      </x:c>
      <x:c r="K2696" s="20" t="n">
        <x:v>52.5</x:v>
      </x:c>
      <x:c r="L2696" t="str">
        <x:v>MENENGAH</x:v>
      </x:c>
      <x:c r="M2696" t="str">
        <x:v>SEDANG+</x:v>
      </x:c>
      <x:c r="N2696" t="str">
        <x:v>REGULER</x:v>
      </x:c>
      <x:c r="O2696" t="str">
        <x:v>SAINTEK</x:v>
      </x:c>
      <x:c r="P2696" t="str">
        <x:v>TEKNIK/ARSITEKTUR/STATISTIKA/AKTUARIA</x:v>
      </x:c>
      <x:c r="Q2696" s="18" t="n">
        <x:v>0</x:v>
      </x:c>
      <x:c r="R2696" s="18" t="n">
        <x:v>0</x:v>
      </x:c>
      <x:c r="S2696" s="18" t="n">
        <x:v>590.4165045029712</x:v>
      </x:c>
      <x:c r="T2696" s="18" t="n">
        <x:v>665</x:v>
      </x:c>
      <x:c r="U2696" s="18" t="n">
        <x:v>600.4165045029712</x:v>
      </x:c>
      <x:c r="V2696" s="20" t="n">
        <x:v>12</x:v>
      </x:c>
      <x:c r="W2696" s="20" t="n">
        <x:v>5</x:v>
      </x:c>
      <x:c r="X2696" s="20" t="n">
        <x:v>3</x:v>
      </x:c>
      <x:c r="Y2696" t="str">
        <x:v>Basis arsip 2025/2024</x:v>
      </x:c>
      <x:c r="Z2696" t="str">
        <x:v>https://snpmb.id/utbk-snbt/daya-tampung-snbt</x:v>
      </x:c>
      <x:c r="AA2696" t="str">
        <x:v>Tidak Ada</x:v>
      </x:c>
      <x:c r="AB2696" t="str">
        <x:v>Campus=55; Ratio=37.7; Prodi=60; RelDemand=43.6; Capacity=75.0</x:v>
      </x:c>
    </x:row>
    <x:row r="2697">
      <x:c r="A2697" t="n">
        <x:v>2694</x:v>
      </x:c>
      <x:c r="B2697" t="str">
        <x:v>PTN Akademik</x:v>
      </x:c>
      <x:c r="C2697" t="str">
        <x:v>UNIVERSITAS LAMBUNG MANGKURAT</x:v>
      </x:c>
      <x:c r="D2697" t="str">
        <x:v>GEOGRAFI</x:v>
      </x:c>
      <x:c r="E2697" t="str">
        <x:v>Sarjana</x:v>
      </x:c>
      <x:c r="F2697" s="18" t="n">
        <x:v>75</x:v>
      </x:c>
      <x:c r="G2697" s="18" t="n">
        <x:v>65</x:v>
      </x:c>
      <x:c r="H2697" s="19" t="n">
        <x:v>0.8666666666666667</x:v>
      </x:c>
      <x:c r="I2697" s="18" t="n">
        <x:f>ROUND(MIN(Model_Config_v3!$B$6,MAX(Q2697,R2697,S2697*Model_Config_v3!$B$4+T2697*Model_Config_v3!$B$5)),0)</x:f>
        <x:v>593</x:v>
      </x:c>
      <x:c r="J2697" s="18" t="n">
        <x:f>MIN(Model_Config_v3!$B$6,I2697+Model_Config_v3!$B$7)</x:f>
        <x:v>613</x:v>
      </x:c>
      <x:c r="K2697" s="20" t="n">
        <x:v>31.9</x:v>
      </x:c>
      <x:c r="L2697" t="str">
        <x:v>RELATIF LONGGAR</x:v>
      </x:c>
      <x:c r="M2697" t="str">
        <x:v>SEDANG</x:v>
      </x:c>
      <x:c r="N2697" t="str">
        <x:v>REGULER</x:v>
      </x:c>
      <x:c r="O2697" t="str">
        <x:v>CAMPURAN</x:v>
      </x:c>
      <x:c r="P2697" t="str">
        <x:v>UMUM</x:v>
      </x:c>
      <x:c r="Q2697" s="18" t="n">
        <x:v>0</x:v>
      </x:c>
      <x:c r="R2697" s="18" t="n">
        <x:v>0</x:v>
      </x:c>
      <x:c r="S2697" s="18" t="n">
        <x:v>520</x:v>
      </x:c>
      <x:c r="T2697" s="18" t="n">
        <x:v>624</x:v>
      </x:c>
      <x:c r="U2697" s="18" t="n">
        <x:v>520</x:v>
      </x:c>
      <x:c r="V2697" s="20" t="n">
        <x:v>8.8</x:v>
      </x:c>
      <x:c r="W2697" s="20" t="n">
        <x:v>9.9</x:v>
      </x:c>
      <x:c r="X2697" s="20" t="n">
        <x:v>3.3</x:v>
      </x:c>
      <x:c r="Y2697" t="str">
        <x:v>Basis arsip 2025/2024</x:v>
      </x:c>
      <x:c r="Z2697" t="str">
        <x:v>https://snpmb.id/utbk-snbt/daya-tampung-snbt</x:v>
      </x:c>
      <x:c r="AA2697" t="str">
        <x:v>Tidak Ada</x:v>
      </x:c>
      <x:c r="AB2697" t="str">
        <x:v>Campus=55; Ratio=0.0; Prodi=40; RelDemand=8.7; Capacity=37.5</x:v>
      </x:c>
    </x:row>
    <x:row r="2698">
      <x:c r="A2698" t="n">
        <x:v>2695</x:v>
      </x:c>
      <x:c r="B2698" t="str">
        <x:v>PTN Akademik</x:v>
      </x:c>
      <x:c r="C2698" t="str">
        <x:v>UNIVERSITAS LAMBUNG MANGKURAT</x:v>
      </x:c>
      <x:c r="D2698" t="str">
        <x:v>PENDIDIKAN SEJARAH</x:v>
      </x:c>
      <x:c r="E2698" t="str">
        <x:v>Sarjana</x:v>
      </x:c>
      <x:c r="F2698" s="18" t="n">
        <x:v>26</x:v>
      </x:c>
      <x:c r="G2698" s="18" t="n">
        <x:v>43</x:v>
      </x:c>
      <x:c r="H2698" s="19" t="n">
        <x:v>1.6538461538461537</x:v>
      </x:c>
      <x:c r="I2698" s="18" t="n">
        <x:f>ROUND(MIN(Model_Config_v3!$B$6,MAX(Q2698,R2698,S2698*Model_Config_v3!$B$4+T2698*Model_Config_v3!$B$5)),0)</x:f>
        <x:v>613</x:v>
      </x:c>
      <x:c r="J2698" s="18" t="n">
        <x:f>MIN(Model_Config_v3!$B$6,I2698+Model_Config_v3!$B$7)</x:f>
        <x:v>633</x:v>
      </x:c>
      <x:c r="K2698" s="20" t="n">
        <x:v>41</x:v>
      </x:c>
      <x:c r="L2698" t="str">
        <x:v>RELATIF LONGGAR</x:v>
      </x:c>
      <x:c r="M2698" t="str">
        <x:v>SEDANG+</x:v>
      </x:c>
      <x:c r="N2698" t="str">
        <x:v>REGULER</x:v>
      </x:c>
      <x:c r="O2698" t="str">
        <x:v>SOSHUM</x:v>
      </x:c>
      <x:c r="P2698" t="str">
        <x:v>PENDIDIKAN</x:v>
      </x:c>
      <x:c r="Q2698" s="18" t="n">
        <x:v>0</x:v>
      </x:c>
      <x:c r="R2698" s="18" t="n">
        <x:v>0</x:v>
      </x:c>
      <x:c r="S2698" s="18" t="n">
        <x:v>544.0344618369645</x:v>
      </x:c>
      <x:c r="T2698" s="18" t="n">
        <x:v>642</x:v>
      </x:c>
      <x:c r="U2698" s="18" t="n">
        <x:v>544.0344618369645</x:v>
      </x:c>
      <x:c r="V2698" s="20" t="n">
        <x:v>4.4</x:v>
      </x:c>
      <x:c r="W2698" s="20" t="n">
        <x:v>14.3</x:v>
      </x:c>
      <x:c r="X2698" s="20" t="n">
        <x:v>3.3</x:v>
      </x:c>
      <x:c r="Y2698" t="str">
        <x:v>Basis arsip 2025/2024</x:v>
      </x:c>
      <x:c r="Z2698" t="str">
        <x:v>https://snpmb.id/utbk-snbt/daya-tampung-snbt</x:v>
      </x:c>
      <x:c r="AA2698" t="str">
        <x:v>Tidak Ada</x:v>
      </x:c>
      <x:c r="AB2698" t="str">
        <x:v>Campus=55; Ratio=12.9; Prodi=45; RelDemand=16.5; Capacity=78.3</x:v>
      </x:c>
    </x:row>
    <x:row r="2699">
      <x:c r="A2699" t="n">
        <x:v>2696</x:v>
      </x:c>
      <x:c r="B2699" t="str">
        <x:v>PTN Akademik</x:v>
      </x:c>
      <x:c r="C2699" t="str">
        <x:v>UNIVERSITAS LAMBUNG MANGKURAT</x:v>
      </x:c>
      <x:c r="D2699" t="str">
        <x:v>PENDIDIKAN PANCASILA DAN KEWARGANEGARAAN</x:v>
      </x:c>
      <x:c r="E2699" t="str">
        <x:v>Sarjana</x:v>
      </x:c>
      <x:c r="F2699" s="18" t="n">
        <x:v>45</x:v>
      </x:c>
      <x:c r="G2699" s="18" t="n">
        <x:v>84</x:v>
      </x:c>
      <x:c r="H2699" s="19" t="n">
        <x:v>1.8666666666666667</x:v>
      </x:c>
      <x:c r="I2699" s="18" t="n">
        <x:f>ROUND(MIN(Model_Config_v3!$B$6,MAX(Q2699,R2699,S2699*Model_Config_v3!$B$4+T2699*Model_Config_v3!$B$5)),0)</x:f>
        <x:v>614</x:v>
      </x:c>
      <x:c r="J2699" s="18" t="n">
        <x:f>MIN(Model_Config_v3!$B$6,I2699+Model_Config_v3!$B$7)</x:f>
        <x:v>634</x:v>
      </x:c>
      <x:c r="K2699" s="20" t="n">
        <x:v>40.4</x:v>
      </x:c>
      <x:c r="L2699" t="str">
        <x:v>RELATIF LONGGAR</x:v>
      </x:c>
      <x:c r="M2699" t="str">
        <x:v>SEDANG+</x:v>
      </x:c>
      <x:c r="N2699" t="str">
        <x:v>REGULER</x:v>
      </x:c>
      <x:c r="O2699" t="str">
        <x:v>CAMPURAN</x:v>
      </x:c>
      <x:c r="P2699" t="str">
        <x:v>PENDIDIKAN</x:v>
      </x:c>
      <x:c r="Q2699" s="18" t="n">
        <x:v>0</x:v>
      </x:c>
      <x:c r="R2699" s="18" t="n">
        <x:v>0</x:v>
      </x:c>
      <x:c r="S2699" s="18" t="n">
        <x:v>549.8173449515192</x:v>
      </x:c>
      <x:c r="T2699" s="18" t="n">
        <x:v>641</x:v>
      </x:c>
      <x:c r="U2699" s="18" t="n">
        <x:v>549.8173449515192</x:v>
      </x:c>
      <x:c r="V2699" s="20" t="n">
        <x:v>8.8</x:v>
      </x:c>
      <x:c r="W2699" s="20" t="n">
        <x:v>9.9</x:v>
      </x:c>
      <x:c r="X2699" s="20" t="n">
        <x:v>3.3</x:v>
      </x:c>
      <x:c r="Y2699" t="str">
        <x:v>Basis arsip 2025/2024</x:v>
      </x:c>
      <x:c r="Z2699" t="str">
        <x:v>https://snpmb.id/utbk-snbt/daya-tampung-snbt</x:v>
      </x:c>
      <x:c r="AA2699" t="str">
        <x:v>Tidak Ada</x:v>
      </x:c>
      <x:c r="AB2699" t="str">
        <x:v>Campus=55; Ratio=16.0; Prodi=45; RelDemand=18.7; Capacity=62.5</x:v>
      </x:c>
    </x:row>
    <x:row r="2700">
      <x:c r="A2700" t="n">
        <x:v>2697</x:v>
      </x:c>
      <x:c r="B2700" t="str">
        <x:v>PTN Akademik</x:v>
      </x:c>
      <x:c r="C2700" t="str">
        <x:v>UNIVERSITAS LAMBUNG MANGKURAT</x:v>
      </x:c>
      <x:c r="D2700" t="str">
        <x:v>PENDIDIKAN EKONOMI</x:v>
      </x:c>
      <x:c r="E2700" t="str">
        <x:v>Sarjana</x:v>
      </x:c>
      <x:c r="F2700" s="18" t="n">
        <x:v>24</x:v>
      </x:c>
      <x:c r="G2700" s="18" t="n">
        <x:v>60</x:v>
      </x:c>
      <x:c r="H2700" s="19" t="n">
        <x:v>2.5</x:v>
      </x:c>
      <x:c r="I2700" s="18" t="n">
        <x:f>ROUND(MIN(Model_Config_v3!$B$6,MAX(Q2700,R2700,S2700*Model_Config_v3!$B$4+T2700*Model_Config_v3!$B$5)),0)</x:f>
        <x:v>623</x:v>
      </x:c>
      <x:c r="J2700" s="18" t="n">
        <x:f>MIN(Model_Config_v3!$B$6,I2700+Model_Config_v3!$B$7)</x:f>
        <x:v>643</x:v>
      </x:c>
      <x:c r="K2700" s="20" t="n">
        <x:v>44.6</x:v>
      </x:c>
      <x:c r="L2700" t="str">
        <x:v>RELATIF LONGGAR</x:v>
      </x:c>
      <x:c r="M2700" t="str">
        <x:v>SEDANG+</x:v>
      </x:c>
      <x:c r="N2700" t="str">
        <x:v>REGULER</x:v>
      </x:c>
      <x:c r="O2700" t="str">
        <x:v>SOSHUM</x:v>
      </x:c>
      <x:c r="P2700" t="str">
        <x:v>PENDIDIKAN</x:v>
      </x:c>
      <x:c r="Q2700" s="18" t="n">
        <x:v>0</x:v>
      </x:c>
      <x:c r="R2700" s="18" t="n">
        <x:v>0</x:v>
      </x:c>
      <x:c r="S2700" s="18" t="n">
        <x:v>563.7734009539241</x:v>
      </x:c>
      <x:c r="T2700" s="18" t="n">
        <x:v>649</x:v>
      </x:c>
      <x:c r="U2700" s="18" t="n">
        <x:v>563.7734009539241</x:v>
      </x:c>
      <x:c r="V2700" s="20" t="n">
        <x:v>4.4</x:v>
      </x:c>
      <x:c r="W2700" s="20" t="n">
        <x:v>14.3</x:v>
      </x:c>
      <x:c r="X2700" s="20" t="n">
        <x:v>3.3</x:v>
      </x:c>
      <x:c r="Y2700" t="str">
        <x:v>Basis arsip 2025/2024</x:v>
      </x:c>
      <x:c r="Z2700" t="str">
        <x:v>https://snpmb.id/utbk-snbt/daya-tampung-snbt</x:v>
      </x:c>
      <x:c r="AA2700" t="str">
        <x:v>Tidak Ada</x:v>
      </x:c>
      <x:c r="AB2700" t="str">
        <x:v>Campus=55; Ratio=23.4; Prodi=45; RelDemand=25.0; Capacity=80.0</x:v>
      </x:c>
    </x:row>
    <x:row r="2701">
      <x:c r="A2701" t="n">
        <x:v>2698</x:v>
      </x:c>
      <x:c r="B2701" t="str">
        <x:v>PTN Akademik</x:v>
      </x:c>
      <x:c r="C2701" t="str">
        <x:v>UNIVERSITAS LAMBUNG MANGKURAT</x:v>
      </x:c>
      <x:c r="D2701" t="str">
        <x:v>PENDIDIKAN BAHASA DAN SASTRA INDONESIA</x:v>
      </x:c>
      <x:c r="E2701" t="str">
        <x:v>Sarjana</x:v>
      </x:c>
      <x:c r="F2701" s="18" t="n">
        <x:v>30</x:v>
      </x:c>
      <x:c r="G2701" s="18" t="n">
        <x:v>117</x:v>
      </x:c>
      <x:c r="H2701" s="19" t="n">
        <x:v>3.9</x:v>
      </x:c>
      <x:c r="I2701" s="18" t="n">
        <x:f>ROUND(MIN(Model_Config_v3!$B$6,MAX(Q2701,R2701,S2701*Model_Config_v3!$B$4+T2701*Model_Config_v3!$B$5)),0)</x:f>
        <x:v>635</x:v>
      </x:c>
      <x:c r="J2701" s="18" t="n">
        <x:f>MIN(Model_Config_v3!$B$6,I2701+Model_Config_v3!$B$7)</x:f>
        <x:v>655</x:v>
      </x:c>
      <x:c r="K2701" s="20" t="n">
        <x:v>48.3</x:v>
      </x:c>
      <x:c r="L2701" t="str">
        <x:v>MENENGAH</x:v>
      </x:c>
      <x:c r="M2701" t="str">
        <x:v>SEDANG+</x:v>
      </x:c>
      <x:c r="N2701" t="str">
        <x:v>REGULER</x:v>
      </x:c>
      <x:c r="O2701" t="str">
        <x:v>SOSHUM</x:v>
      </x:c>
      <x:c r="P2701" t="str">
        <x:v>PENDIDIKAN</x:v>
      </x:c>
      <x:c r="Q2701" s="18" t="n">
        <x:v>0</x:v>
      </x:c>
      <x:c r="R2701" s="18" t="n">
        <x:v>0</x:v>
      </x:c>
      <x:c r="S2701" s="18" t="n">
        <x:v>585.0171067729149</x:v>
      </x:c>
      <x:c r="T2701" s="18" t="n">
        <x:v>657</x:v>
      </x:c>
      <x:c r="U2701" s="18" t="n">
        <x:v>585.0171067729149</x:v>
      </x:c>
      <x:c r="V2701" s="20" t="n">
        <x:v>4.4</x:v>
      </x:c>
      <x:c r="W2701" s="20" t="n">
        <x:v>14.3</x:v>
      </x:c>
      <x:c r="X2701" s="20" t="n">
        <x:v>3.3</x:v>
      </x:c>
      <x:c r="Y2701" t="str">
        <x:v>Basis arsip 2025/2024</x:v>
      </x:c>
      <x:c r="Z2701" t="str">
        <x:v>https://snpmb.id/utbk-snbt/daya-tampung-snbt</x:v>
      </x:c>
      <x:c r="AA2701" t="str">
        <x:v>Tidak Ada</x:v>
      </x:c>
      <x:c r="AB2701" t="str">
        <x:v>Campus=55; Ratio=34.8; Prodi=45; RelDemand=39.0; Capacity=75.0</x:v>
      </x:c>
    </x:row>
    <x:row r="2702">
      <x:c r="A2702" t="n">
        <x:v>2699</x:v>
      </x:c>
      <x:c r="B2702" t="str">
        <x:v>PTN Akademik</x:v>
      </x:c>
      <x:c r="C2702" t="str">
        <x:v>UNIVERSITAS LAMBUNG MANGKURAT</x:v>
      </x:c>
      <x:c r="D2702" t="str">
        <x:v>PENDIDIKAN BAHASA INGGRIS</x:v>
      </x:c>
      <x:c r="E2702" t="str">
        <x:v>Sarjana</x:v>
      </x:c>
      <x:c r="F2702" s="18" t="n">
        <x:v>32</x:v>
      </x:c>
      <x:c r="G2702" s="18" t="n">
        <x:v>240</x:v>
      </x:c>
      <x:c r="H2702" s="19" t="n">
        <x:v>7.5</x:v>
      </x:c>
      <x:c r="I2702" s="18" t="n">
        <x:f>ROUND(MIN(Model_Config_v3!$B$6,MAX(Q2702,R2702,S2702*Model_Config_v3!$B$4+T2702*Model_Config_v3!$B$5)),0)</x:f>
        <x:v>655</x:v>
      </x:c>
      <x:c r="J2702" s="18" t="n">
        <x:f>MIN(Model_Config_v3!$B$6,I2702+Model_Config_v3!$B$7)</x:f>
        <x:v>675</x:v>
      </x:c>
      <x:c r="K2702" s="20" t="n">
        <x:v>56</x:v>
      </x:c>
      <x:c r="L2702" t="str">
        <x:v>KETAT</x:v>
      </x:c>
      <x:c r="M2702" t="str">
        <x:v>SEDANG+</x:v>
      </x:c>
      <x:c r="N2702" t="str">
        <x:v>REGULER</x:v>
      </x:c>
      <x:c r="O2702" t="str">
        <x:v>SOSHUM</x:v>
      </x:c>
      <x:c r="P2702" t="str">
        <x:v>PENDIDIKAN</x:v>
      </x:c>
      <x:c r="Q2702" s="18" t="n">
        <x:v>0</x:v>
      </x:c>
      <x:c r="R2702" s="18" t="n">
        <x:v>0</x:v>
      </x:c>
      <x:c r="S2702" s="18" t="n">
        <x:v>616.256738973087</x:v>
      </x:c>
      <x:c r="T2702" s="18" t="n">
        <x:v>672</x:v>
      </x:c>
      <x:c r="U2702" s="18" t="n">
        <x:v>616.256738973087</x:v>
      </x:c>
      <x:c r="V2702" s="20" t="n">
        <x:v>4.4</x:v>
      </x:c>
      <x:c r="W2702" s="20" t="n">
        <x:v>14.3</x:v>
      </x:c>
      <x:c r="X2702" s="20" t="n">
        <x:v>3.3</x:v>
      </x:c>
      <x:c r="Y2702" t="str">
        <x:v>Basis arsip 2025/2024</x:v>
      </x:c>
      <x:c r="Z2702" t="str">
        <x:v>https://snpmb.id/utbk-snbt/daya-tampung-snbt</x:v>
      </x:c>
      <x:c r="AA2702" t="str">
        <x:v>Tidak Ada</x:v>
      </x:c>
      <x:c r="AB2702" t="str">
        <x:v>Campus=55; Ratio=51.5; Prodi=45; RelDemand=74.9; Capacity=73.3</x:v>
      </x:c>
    </x:row>
    <x:row r="2703">
      <x:c r="A2703" t="n">
        <x:v>2700</x:v>
      </x:c>
      <x:c r="B2703" t="str">
        <x:v>PTN Akademik</x:v>
      </x:c>
      <x:c r="C2703" t="str">
        <x:v>UNIVERSITAS LAMBUNG MANGKURAT</x:v>
      </x:c>
      <x:c r="D2703" t="str">
        <x:v>HUKUM</x:v>
      </x:c>
      <x:c r="E2703" t="str">
        <x:v>Sarjana</x:v>
      </x:c>
      <x:c r="F2703" s="18" t="n">
        <x:v>240</x:v>
      </x:c>
      <x:c r="G2703" s="18" t="n">
        <x:v>994</x:v>
      </x:c>
      <x:c r="H2703" s="19" t="n">
        <x:v>4.141666666666667</x:v>
      </x:c>
      <x:c r="I2703" s="18" t="n">
        <x:f>ROUND(MIN(Model_Config_v3!$B$6,MAX(Q2703,R2703,S2703*Model_Config_v3!$B$4+T2703*Model_Config_v3!$B$5)),0)</x:f>
        <x:v>632</x:v>
      </x:c>
      <x:c r="J2703" s="18" t="n">
        <x:f>MIN(Model_Config_v3!$B$6,I2703+Model_Config_v3!$B$7)</x:f>
        <x:v>652</x:v>
      </x:c>
      <x:c r="K2703" s="20" t="n">
        <x:v>45.5</x:v>
      </x:c>
      <x:c r="L2703" t="str">
        <x:v>MENENGAH</x:v>
      </x:c>
      <x:c r="M2703" t="str">
        <x:v>SEDANG+</x:v>
      </x:c>
      <x:c r="N2703" t="str">
        <x:v>REGULER</x:v>
      </x:c>
      <x:c r="O2703" t="str">
        <x:v>SOSHUM</x:v>
      </x:c>
      <x:c r="P2703" t="str">
        <x:v>HUKUM</x:v>
      </x:c>
      <x:c r="Q2703" s="18" t="n">
        <x:v>0</x:v>
      </x:c>
      <x:c r="R2703" s="18" t="n">
        <x:v>0</x:v>
      </x:c>
      <x:c r="S2703" s="18" t="n">
        <x:v>587.8892656954278</x:v>
      </x:c>
      <x:c r="T2703" s="18" t="n">
        <x:v>651</x:v>
      </x:c>
      <x:c r="U2703" s="18" t="n">
        <x:v>602.8892656954278</x:v>
      </x:c>
      <x:c r="V2703" s="20" t="n">
        <x:v>4.4</x:v>
      </x:c>
      <x:c r="W2703" s="20" t="n">
        <x:v>14.3</x:v>
      </x:c>
      <x:c r="X2703" s="20" t="n">
        <x:v>3.3</x:v>
      </x:c>
      <x:c r="Y2703" t="str">
        <x:v>Basis arsip 2025/2024</x:v>
      </x:c>
      <x:c r="Z2703" t="str">
        <x:v>https://snpmb.id/utbk-snbt/daya-tampung-snbt</x:v>
      </x:c>
      <x:c r="AA2703" t="str">
        <x:v>Tidak Ada</x:v>
      </x:c>
      <x:c r="AB2703" t="str">
        <x:v>Campus=55; Ratio=36.3; Prodi=65; RelDemand=41.4; Capacity=0.0</x:v>
      </x:c>
    </x:row>
    <x:row r="2704">
      <x:c r="A2704" t="n">
        <x:v>2701</x:v>
      </x:c>
      <x:c r="B2704" t="str">
        <x:v>PTN Akademik</x:v>
      </x:c>
      <x:c r="C2704" t="str">
        <x:v>UNIVERSITAS LAMBUNG MANGKURAT</x:v>
      </x:c>
      <x:c r="D2704" t="str">
        <x:v>EKONOMI PEMBANGUNAN</x:v>
      </x:c>
      <x:c r="E2704" t="str">
        <x:v>Sarjana</x:v>
      </x:c>
      <x:c r="F2704" s="18" t="n">
        <x:v>80</x:v>
      </x:c>
      <x:c r="G2704" s="18" t="n">
        <x:v>213</x:v>
      </x:c>
      <x:c r="H2704" s="19" t="n">
        <x:v>2.6625</x:v>
      </x:c>
      <x:c r="I2704" s="18" t="n">
        <x:f>ROUND(MIN(Model_Config_v3!$B$6,MAX(Q2704,R2704,S2704*Model_Config_v3!$B$4+T2704*Model_Config_v3!$B$5)),0)</x:f>
        <x:v>624</x:v>
      </x:c>
      <x:c r="J2704" s="18" t="n">
        <x:f>MIN(Model_Config_v3!$B$6,I2704+Model_Config_v3!$B$7)</x:f>
        <x:v>644</x:v>
      </x:c>
      <x:c r="K2704" s="20" t="n">
        <x:v>44.5</x:v>
      </x:c>
      <x:c r="L2704" t="str">
        <x:v>RELATIF LONGGAR</x:v>
      </x:c>
      <x:c r="M2704" t="str">
        <x:v>SEDANG+</x:v>
      </x:c>
      <x:c r="N2704" t="str">
        <x:v>REGULER</x:v>
      </x:c>
      <x:c r="O2704" t="str">
        <x:v>SOSHUM</x:v>
      </x:c>
      <x:c r="P2704" t="str">
        <x:v>BISNIS/EKONOMI/AKUNTANSI</x:v>
      </x:c>
      <x:c r="Q2704" s="18" t="n">
        <x:v>0</x:v>
      </x:c>
      <x:c r="R2704" s="18" t="n">
        <x:v>0</x:v>
      </x:c>
      <x:c r="S2704" s="18" t="n">
        <x:v>566.7818578091474</x:v>
      </x:c>
      <x:c r="T2704" s="18" t="n">
        <x:v>649</x:v>
      </x:c>
      <x:c r="U2704" s="18" t="n">
        <x:v>566.7818578091474</x:v>
      </x:c>
      <x:c r="V2704" s="20" t="n">
        <x:v>4.4</x:v>
      </x:c>
      <x:c r="W2704" s="20" t="n">
        <x:v>14.3</x:v>
      </x:c>
      <x:c r="X2704" s="20" t="n">
        <x:v>3.3</x:v>
      </x:c>
      <x:c r="Y2704" t="str">
        <x:v>Basis arsip 2025/2024</x:v>
      </x:c>
      <x:c r="Z2704" t="str">
        <x:v>https://snpmb.id/utbk-snbt/daya-tampung-snbt</x:v>
      </x:c>
      <x:c r="AA2704" t="str">
        <x:v>Tidak Ada</x:v>
      </x:c>
      <x:c r="AB2704" t="str">
        <x:v>Campus=55; Ratio=25.0; Prodi=65; RelDemand=26.6; Capacity=33.3</x:v>
      </x:c>
    </x:row>
    <x:row r="2705">
      <x:c r="A2705" t="n">
        <x:v>2702</x:v>
      </x:c>
      <x:c r="B2705" t="str">
        <x:v>PTN Akademik</x:v>
      </x:c>
      <x:c r="C2705" t="str">
        <x:v>UNIVERSITAS LAMBUNG MANGKURAT</x:v>
      </x:c>
      <x:c r="D2705" t="str">
        <x:v>MANAJEMEN</x:v>
      </x:c>
      <x:c r="E2705" t="str">
        <x:v>Sarjana</x:v>
      </x:c>
      <x:c r="F2705" s="18" t="n">
        <x:v>125</x:v>
      </x:c>
      <x:c r="G2705" s="18" t="n">
        <x:v>1316</x:v>
      </x:c>
      <x:c r="H2705" s="19" t="n">
        <x:v>10.528</x:v>
      </x:c>
      <x:c r="I2705" s="18" t="n">
        <x:f>ROUND(MIN(Model_Config_v3!$B$6,MAX(Q2705,R2705,S2705*Model_Config_v3!$B$4+T2705*Model_Config_v3!$B$5)),0)</x:f>
        <x:v>662</x:v>
      </x:c>
      <x:c r="J2705" s="18" t="n">
        <x:f>MIN(Model_Config_v3!$B$6,I2705+Model_Config_v3!$B$7)</x:f>
        <x:v>682</x:v>
      </x:c>
      <x:c r="K2705" s="20" t="n">
        <x:v>57.3</x:v>
      </x:c>
      <x:c r="L2705" t="str">
        <x:v>KETAT</x:v>
      </x:c>
      <x:c r="M2705" t="str">
        <x:v>SEDANG+</x:v>
      </x:c>
      <x:c r="N2705" t="str">
        <x:v>REGULER</x:v>
      </x:c>
      <x:c r="O2705" t="str">
        <x:v>SOSHUM</x:v>
      </x:c>
      <x:c r="P2705" t="str">
        <x:v>BISNIS/EKONOMI/AKUNTANSI</x:v>
      </x:c>
      <x:c r="Q2705" s="18" t="n">
        <x:v>0</x:v>
      </x:c>
      <x:c r="R2705" s="18" t="n">
        <x:v>0</x:v>
      </x:c>
      <x:c r="S2705" s="18" t="n">
        <x:v>632.4580463896868</x:v>
      </x:c>
      <x:c r="T2705" s="18" t="n">
        <x:v>675</x:v>
      </x:c>
      <x:c r="U2705" s="18" t="n">
        <x:v>647.4580463896868</x:v>
      </x:c>
      <x:c r="V2705" s="20" t="n">
        <x:v>4.4</x:v>
      </x:c>
      <x:c r="W2705" s="20" t="n">
        <x:v>14.3</x:v>
      </x:c>
      <x:c r="X2705" s="20" t="n">
        <x:v>3.3</x:v>
      </x:c>
      <x:c r="Y2705" t="str">
        <x:v>Basis arsip 2025/2024</x:v>
      </x:c>
      <x:c r="Z2705" t="str">
        <x:v>https://snpmb.id/utbk-snbt/daya-tampung-snbt</x:v>
      </x:c>
      <x:c r="AA2705" t="str">
        <x:v>Tidak Ada</x:v>
      </x:c>
      <x:c r="AB2705" t="str">
        <x:v>Campus=55; Ratio=60.2; Prodi=65; RelDemand=100.0; Capacity=0.0</x:v>
      </x:c>
    </x:row>
    <x:row r="2706">
      <x:c r="A2706" t="n">
        <x:v>2703</x:v>
      </x:c>
      <x:c r="B2706" t="str">
        <x:v>PTN Akademik</x:v>
      </x:c>
      <x:c r="C2706" t="str">
        <x:v>UNIVERSITAS LAMBUNG MANGKURAT</x:v>
      </x:c>
      <x:c r="D2706" t="str">
        <x:v>AKUNTANSI</x:v>
      </x:c>
      <x:c r="E2706" t="str">
        <x:v>Sarjana</x:v>
      </x:c>
      <x:c r="F2706" s="18" t="n">
        <x:v>105</x:v>
      </x:c>
      <x:c r="G2706" s="18" t="n">
        <x:v>782</x:v>
      </x:c>
      <x:c r="H2706" s="19" t="n">
        <x:v>7.447619047619048</x:v>
      </x:c>
      <x:c r="I2706" s="18" t="n">
        <x:f>ROUND(MIN(Model_Config_v3!$B$6,MAX(Q2706,R2706,S2706*Model_Config_v3!$B$4+T2706*Model_Config_v3!$B$5)),0)</x:f>
        <x:v>652</x:v>
      </x:c>
      <x:c r="J2706" s="18" t="n">
        <x:f>MIN(Model_Config_v3!$B$6,I2706+Model_Config_v3!$B$7)</x:f>
        <x:v>672</x:v>
      </x:c>
      <x:c r="K2706" s="20" t="n">
        <x:v>53.8</x:v>
      </x:c>
      <x:c r="L2706" t="str">
        <x:v>MENENGAH</x:v>
      </x:c>
      <x:c r="M2706" t="str">
        <x:v>SEDANG+</x:v>
      </x:c>
      <x:c r="N2706" t="str">
        <x:v>REGULER</x:v>
      </x:c>
      <x:c r="O2706" t="str">
        <x:v>SOSHUM</x:v>
      </x:c>
      <x:c r="P2706" t="str">
        <x:v>BISNIS/EKONOMI/AKUNTANSI</x:v>
      </x:c>
      <x:c r="Q2706" s="18" t="n">
        <x:v>0</x:v>
      </x:c>
      <x:c r="R2706" s="18" t="n">
        <x:v>0</x:v>
      </x:c>
      <x:c r="S2706" s="18" t="n">
        <x:v>615.9219199388901</x:v>
      </x:c>
      <x:c r="T2706" s="18" t="n">
        <x:v>668</x:v>
      </x:c>
      <x:c r="U2706" s="18" t="n">
        <x:v>615.9219199388901</x:v>
      </x:c>
      <x:c r="V2706" s="20" t="n">
        <x:v>4.4</x:v>
      </x:c>
      <x:c r="W2706" s="20" t="n">
        <x:v>14.3</x:v>
      </x:c>
      <x:c r="X2706" s="20" t="n">
        <x:v>3.3</x:v>
      </x:c>
      <x:c r="Y2706" t="str">
        <x:v>Basis arsip 2025/2024</x:v>
      </x:c>
      <x:c r="Z2706" t="str">
        <x:v>https://snpmb.id/utbk-snbt/daya-tampung-snbt</x:v>
      </x:c>
      <x:c r="AA2706" t="str">
        <x:v>Tidak Ada</x:v>
      </x:c>
      <x:c r="AB2706" t="str">
        <x:v>Campus=55; Ratio=51.3; Prodi=65; RelDemand=74.4; Capacity=12.5</x:v>
      </x:c>
    </x:row>
    <x:row r="2707">
      <x:c r="A2707" t="n">
        <x:v>2704</x:v>
      </x:c>
      <x:c r="B2707" t="str">
        <x:v>PTN Akademik</x:v>
      </x:c>
      <x:c r="C2707" t="str">
        <x:v>UNIVERSITAS LAMBUNG MANGKURAT</x:v>
      </x:c>
      <x:c r="D2707" t="str">
        <x:v>ADMINISTRASI PUBLIK</x:v>
      </x:c>
      <x:c r="E2707" t="str">
        <x:v>Sarjana</x:v>
      </x:c>
      <x:c r="F2707" s="18" t="n">
        <x:v>75</x:v>
      </x:c>
      <x:c r="G2707" s="18" t="n">
        <x:v>624</x:v>
      </x:c>
      <x:c r="H2707" s="19" t="n">
        <x:v>8.32</x:v>
      </x:c>
      <x:c r="I2707" s="18" t="n">
        <x:f>ROUND(MIN(Model_Config_v3!$B$6,MAX(Q2707,R2707,S2707*Model_Config_v3!$B$4+T2707*Model_Config_v3!$B$5)),0)</x:f>
        <x:v>653</x:v>
      </x:c>
      <x:c r="J2707" s="18" t="n">
        <x:f>MIN(Model_Config_v3!$B$6,I2707+Model_Config_v3!$B$7)</x:f>
        <x:v>673</x:v>
      </x:c>
      <x:c r="K2707" s="20" t="n">
        <x:v>52.9</x:v>
      </x:c>
      <x:c r="L2707" t="str">
        <x:v>MENENGAH</x:v>
      </x:c>
      <x:c r="M2707" t="str">
        <x:v>SEDANG</x:v>
      </x:c>
      <x:c r="N2707" t="str">
        <x:v>REGULER</x:v>
      </x:c>
      <x:c r="O2707" t="str">
        <x:v>SOSHUM</x:v>
      </x:c>
      <x:c r="P2707" t="str">
        <x:v>UMUM</x:v>
      </x:c>
      <x:c r="Q2707" s="18" t="n">
        <x:v>0</x:v>
      </x:c>
      <x:c r="R2707" s="18" t="n">
        <x:v>0</x:v>
      </x:c>
      <x:c r="S2707" s="18" t="n">
        <x:v>621.2135658919797</x:v>
      </x:c>
      <x:c r="T2707" s="18" t="n">
        <x:v>666</x:v>
      </x:c>
      <x:c r="U2707" s="18" t="n">
        <x:v>621.2135658919797</x:v>
      </x:c>
      <x:c r="V2707" s="20" t="n">
        <x:v>4.4</x:v>
      </x:c>
      <x:c r="W2707" s="20" t="n">
        <x:v>14.3</x:v>
      </x:c>
      <x:c r="X2707" s="20" t="n">
        <x:v>3.3</x:v>
      </x:c>
      <x:c r="Y2707" t="str">
        <x:v>Basis arsip 2025/2024</x:v>
      </x:c>
      <x:c r="Z2707" t="str">
        <x:v>https://snpmb.id/utbk-snbt/daya-tampung-snbt</x:v>
      </x:c>
      <x:c r="AA2707" t="str">
        <x:v>Tidak Ada</x:v>
      </x:c>
      <x:c r="AB2707" t="str">
        <x:v>Campus=55; Ratio=54.2; Prodi=40; RelDemand=83.1; Capacity=37.5</x:v>
      </x:c>
    </x:row>
    <x:row r="2708">
      <x:c r="A2708" t="n">
        <x:v>2705</x:v>
      </x:c>
      <x:c r="B2708" t="str">
        <x:v>PTN Akademik</x:v>
      </x:c>
      <x:c r="C2708" t="str">
        <x:v>UNIVERSITAS LAMBUNG MANGKURAT</x:v>
      </x:c>
      <x:c r="D2708" t="str">
        <x:v>ADMINISTRASI BISNIS</x:v>
      </x:c>
      <x:c r="E2708" t="str">
        <x:v>Sarjana</x:v>
      </x:c>
      <x:c r="F2708" s="18" t="n">
        <x:v>75</x:v>
      </x:c>
      <x:c r="G2708" s="18" t="n">
        <x:v>806</x:v>
      </x:c>
      <x:c r="H2708" s="19" t="n">
        <x:v>10.746666666666666</x:v>
      </x:c>
      <x:c r="I2708" s="18" t="n">
        <x:f>ROUND(MIN(Model_Config_v3!$B$6,MAX(Q2708,R2708,S2708*Model_Config_v3!$B$4+T2708*Model_Config_v3!$B$5)),0)</x:f>
        <x:v>667</x:v>
      </x:c>
      <x:c r="J2708" s="18" t="n">
        <x:f>MIN(Model_Config_v3!$B$6,I2708+Model_Config_v3!$B$7)</x:f>
        <x:v>687</x:v>
      </x:c>
      <x:c r="K2708" s="20" t="n">
        <x:v>61.2</x:v>
      </x:c>
      <x:c r="L2708" t="str">
        <x:v>KETAT</x:v>
      </x:c>
      <x:c r="M2708" t="str">
        <x:v>SEDANG+</x:v>
      </x:c>
      <x:c r="N2708" t="str">
        <x:v>REGULER</x:v>
      </x:c>
      <x:c r="O2708" t="str">
        <x:v>SOSHUM</x:v>
      </x:c>
      <x:c r="P2708" t="str">
        <x:v>BISNIS/EKONOMI/AKUNTANSI</x:v>
      </x:c>
      <x:c r="Q2708" s="18" t="n">
        <x:v>0</x:v>
      </x:c>
      <x:c r="R2708" s="18" t="n">
        <x:v>0</x:v>
      </x:c>
      <x:c r="S2708" s="18" t="n">
        <x:v>633.4401156254729</x:v>
      </x:c>
      <x:c r="T2708" s="18" t="n">
        <x:v>682</x:v>
      </x:c>
      <x:c r="U2708" s="18" t="n">
        <x:v>648.4401156254729</x:v>
      </x:c>
      <x:c r="V2708" s="20" t="n">
        <x:v>4.4</x:v>
      </x:c>
      <x:c r="W2708" s="20" t="n">
        <x:v>14.3</x:v>
      </x:c>
      <x:c r="X2708" s="20" t="n">
        <x:v>3.3</x:v>
      </x:c>
      <x:c r="Y2708" t="str">
        <x:v>Basis arsip 2025/2024</x:v>
      </x:c>
      <x:c r="Z2708" t="str">
        <x:v>https://snpmb.id/utbk-snbt/daya-tampung-snbt</x:v>
      </x:c>
      <x:c r="AA2708" t="str">
        <x:v>Tidak Ada</x:v>
      </x:c>
      <x:c r="AB2708" t="str">
        <x:v>Campus=55; Ratio=60.7; Prodi=65; RelDemand=100.0; Capacity=37.5</x:v>
      </x:c>
    </x:row>
    <x:row r="2709">
      <x:c r="A2709" t="n">
        <x:v>2706</x:v>
      </x:c>
      <x:c r="B2709" t="str">
        <x:v>PTN Akademik</x:v>
      </x:c>
      <x:c r="C2709" t="str">
        <x:v>UNIVERSITAS LAMBUNG MANGKURAT</x:v>
      </x:c>
      <x:c r="D2709" t="str">
        <x:v>ILMU PEMERINTAHAN</x:v>
      </x:c>
      <x:c r="E2709" t="str">
        <x:v>Sarjana</x:v>
      </x:c>
      <x:c r="F2709" s="18" t="n">
        <x:v>75</x:v>
      </x:c>
      <x:c r="G2709" s="18" t="n">
        <x:v>328</x:v>
      </x:c>
      <x:c r="H2709" s="19" t="n">
        <x:v>4.373333333333333</x:v>
      </x:c>
      <x:c r="I2709" s="18" t="n">
        <x:f>ROUND(MIN(Model_Config_v3!$B$6,MAX(Q2709,R2709,S2709*Model_Config_v3!$B$4+T2709*Model_Config_v3!$B$5)),0)</x:f>
        <x:v>632</x:v>
      </x:c>
      <x:c r="J2709" s="18" t="n">
        <x:f>MIN(Model_Config_v3!$B$6,I2709+Model_Config_v3!$B$7)</x:f>
        <x:v>652</x:v>
      </x:c>
      <x:c r="K2709" s="20" t="n">
        <x:v>44.8</x:v>
      </x:c>
      <x:c r="L2709" t="str">
        <x:v>RELATIF LONGGAR</x:v>
      </x:c>
      <x:c r="M2709" t="str">
        <x:v>SEDANG</x:v>
      </x:c>
      <x:c r="N2709" t="str">
        <x:v>REGULER</x:v>
      </x:c>
      <x:c r="O2709" t="str">
        <x:v>CAMPURAN</x:v>
      </x:c>
      <x:c r="P2709" t="str">
        <x:v>UMUM</x:v>
      </x:c>
      <x:c r="Q2709" s="18" t="n">
        <x:v>0</x:v>
      </x:c>
      <x:c r="R2709" s="18" t="n">
        <x:v>0</x:v>
      </x:c>
      <x:c r="S2709" s="18" t="n">
        <x:v>590.4893838351977</x:v>
      </x:c>
      <x:c r="T2709" s="18" t="n">
        <x:v>650</x:v>
      </x:c>
      <x:c r="U2709" s="18" t="n">
        <x:v>590.4893838351977</x:v>
      </x:c>
      <x:c r="V2709" s="20" t="n">
        <x:v>8.8</x:v>
      </x:c>
      <x:c r="W2709" s="20" t="n">
        <x:v>9.9</x:v>
      </x:c>
      <x:c r="X2709" s="20" t="n">
        <x:v>3.3</x:v>
      </x:c>
      <x:c r="Y2709" t="str">
        <x:v>Basis arsip 2025/2024</x:v>
      </x:c>
      <x:c r="Z2709" t="str">
        <x:v>https://snpmb.id/utbk-snbt/daya-tampung-snbt</x:v>
      </x:c>
      <x:c r="AA2709" t="str">
        <x:v>Tidak Ada</x:v>
      </x:c>
      <x:c r="AB2709" t="str">
        <x:v>Campus=55; Ratio=37.7; Prodi=40; RelDemand=43.7; Capacity=37.5</x:v>
      </x:c>
    </x:row>
    <x:row r="2710">
      <x:c r="A2710" t="n">
        <x:v>2707</x:v>
      </x:c>
      <x:c r="B2710" t="str">
        <x:v>PTN Akademik</x:v>
      </x:c>
      <x:c r="C2710" t="str">
        <x:v>UNIVERSITAS LAMBUNG MANGKURAT</x:v>
      </x:c>
      <x:c r="D2710" t="str">
        <x:v>ILMU KOMUNIKASI</x:v>
      </x:c>
      <x:c r="E2710" t="str">
        <x:v>Sarjana</x:v>
      </x:c>
      <x:c r="F2710" s="18" t="n">
        <x:v>75</x:v>
      </x:c>
      <x:c r="G2710" s="18" t="n">
        <x:v>665</x:v>
      </x:c>
      <x:c r="H2710" s="19" t="n">
        <x:v>8.866666666666667</x:v>
      </x:c>
      <x:c r="I2710" s="18" t="n">
        <x:f>ROUND(MIN(Model_Config_v3!$B$6,MAX(Q2710,R2710,S2710*Model_Config_v3!$B$4+T2710*Model_Config_v3!$B$5)),0)</x:f>
        <x:v>655</x:v>
      </x:c>
      <x:c r="J2710" s="18" t="n">
        <x:f>MIN(Model_Config_v3!$B$6,I2710+Model_Config_v3!$B$7)</x:f>
        <x:v>675</x:v>
      </x:c>
      <x:c r="K2710" s="20" t="n">
        <x:v>53.8</x:v>
      </x:c>
      <x:c r="L2710" t="str">
        <x:v>MENENGAH</x:v>
      </x:c>
      <x:c r="M2710" t="str">
        <x:v>SEDANG</x:v>
      </x:c>
      <x:c r="N2710" t="str">
        <x:v>REGULER</x:v>
      </x:c>
      <x:c r="O2710" t="str">
        <x:v>SOSHUM</x:v>
      </x:c>
      <x:c r="P2710" t="str">
        <x:v>UMUM</x:v>
      </x:c>
      <x:c r="Q2710" s="18" t="n">
        <x:v>0</x:v>
      </x:c>
      <x:c r="R2710" s="18" t="n">
        <x:v>0</x:v>
      </x:c>
      <x:c r="S2710" s="18" t="n">
        <x:v>624.2536420102545</x:v>
      </x:c>
      <x:c r="T2710" s="18" t="n">
        <x:v>668</x:v>
      </x:c>
      <x:c r="U2710" s="18" t="n">
        <x:v>624.2536420102545</x:v>
      </x:c>
      <x:c r="V2710" s="20" t="n">
        <x:v>4.4</x:v>
      </x:c>
      <x:c r="W2710" s="20" t="n">
        <x:v>14.3</x:v>
      </x:c>
      <x:c r="X2710" s="20" t="n">
        <x:v>3.3</x:v>
      </x:c>
      <x:c r="Y2710" t="str">
        <x:v>Basis arsip 2025/2024</x:v>
      </x:c>
      <x:c r="Z2710" t="str">
        <x:v>https://snpmb.id/utbk-snbt/daya-tampung-snbt</x:v>
      </x:c>
      <x:c r="AA2710" t="str">
        <x:v>Tidak Ada</x:v>
      </x:c>
      <x:c r="AB2710" t="str">
        <x:v>Campus=55; Ratio=55.8; Prodi=40; RelDemand=88.6; Capacity=37.5</x:v>
      </x:c>
    </x:row>
    <x:row r="2711">
      <x:c r="A2711" t="n">
        <x:v>2708</x:v>
      </x:c>
      <x:c r="B2711" t="str">
        <x:v>PTN Akademik</x:v>
      </x:c>
      <x:c r="C2711" t="str">
        <x:v>UNIVERSITAS LAMBUNG MANGKURAT</x:v>
      </x:c>
      <x:c r="D2711" t="str">
        <x:v>PENDIDIKAN GEOGRAFI</x:v>
      </x:c>
      <x:c r="E2711" t="str">
        <x:v>Sarjana</x:v>
      </x:c>
      <x:c r="F2711" s="18" t="n">
        <x:v>24</x:v>
      </x:c>
      <x:c r="G2711" s="18" t="n">
        <x:v>43</x:v>
      </x:c>
      <x:c r="H2711" s="19" t="n">
        <x:v>1.7916666666666667</x:v>
      </x:c>
      <x:c r="I2711" s="18" t="n">
        <x:f>ROUND(MIN(Model_Config_v3!$B$6,MAX(Q2711,R2711,S2711*Model_Config_v3!$B$4+T2711*Model_Config_v3!$B$5)),0)</x:f>
        <x:v>615</x:v>
      </x:c>
      <x:c r="J2711" s="18" t="n">
        <x:f>MIN(Model_Config_v3!$B$6,I2711+Model_Config_v3!$B$7)</x:f>
        <x:v>635</x:v>
      </x:c>
      <x:c r="K2711" s="20" t="n">
        <x:v>41.8</x:v>
      </x:c>
      <x:c r="L2711" t="str">
        <x:v>RELATIF LONGGAR</x:v>
      </x:c>
      <x:c r="M2711" t="str">
        <x:v>SEDANG+</x:v>
      </x:c>
      <x:c r="N2711" t="str">
        <x:v>REGULER</x:v>
      </x:c>
      <x:c r="O2711" t="str">
        <x:v>CAMPURAN</x:v>
      </x:c>
      <x:c r="P2711" t="str">
        <x:v>PENDIDIKAN</x:v>
      </x:c>
      <x:c r="Q2711" s="18" t="n">
        <x:v>0</x:v>
      </x:c>
      <x:c r="R2711" s="18" t="n">
        <x:v>0</x:v>
      </x:c>
      <x:c r="S2711" s="18" t="n">
        <x:v>547.8582935254778</x:v>
      </x:c>
      <x:c r="T2711" s="18" t="n">
        <x:v>644</x:v>
      </x:c>
      <x:c r="U2711" s="18" t="n">
        <x:v>547.8582935254778</x:v>
      </x:c>
      <x:c r="V2711" s="20" t="n">
        <x:v>8.8</x:v>
      </x:c>
      <x:c r="W2711" s="20" t="n">
        <x:v>9.9</x:v>
      </x:c>
      <x:c r="X2711" s="20" t="n">
        <x:v>3.3</x:v>
      </x:c>
      <x:c r="Y2711" t="str">
        <x:v>Basis arsip 2025/2024</x:v>
      </x:c>
      <x:c r="Z2711" t="str">
        <x:v>https://snpmb.id/utbk-snbt/daya-tampung-snbt</x:v>
      </x:c>
      <x:c r="AA2711" t="str">
        <x:v>Tidak Ada</x:v>
      </x:c>
      <x:c r="AB2711" t="str">
        <x:v>Campus=55; Ratio=14.9; Prodi=45; RelDemand=17.9; Capacity=80.0</x:v>
      </x:c>
    </x:row>
    <x:row r="2712">
      <x:c r="A2712" t="n">
        <x:v>2709</x:v>
      </x:c>
      <x:c r="B2712" t="str">
        <x:v>PTN Akademik</x:v>
      </x:c>
      <x:c r="C2712" t="str">
        <x:v>UNIVERSITAS LAMBUNG MANGKURAT</x:v>
      </x:c>
      <x:c r="D2712" t="str">
        <x:v>PENDIDIKAN SOSIOLOGI</x:v>
      </x:c>
      <x:c r="E2712" t="str">
        <x:v>Sarjana</x:v>
      </x:c>
      <x:c r="F2712" s="18" t="n">
        <x:v>40</x:v>
      </x:c>
      <x:c r="G2712" s="18" t="n">
        <x:v>49</x:v>
      </x:c>
      <x:c r="H2712" s="19" t="n">
        <x:v>1.225</x:v>
      </x:c>
      <x:c r="I2712" s="18" t="n">
        <x:f>ROUND(MIN(Model_Config_v3!$B$6,MAX(Q2712,R2712,S2712*Model_Config_v3!$B$4+T2712*Model_Config_v3!$B$5)),0)</x:f>
        <x:v>603</x:v>
      </x:c>
      <x:c r="J2712" s="18" t="n">
        <x:f>MIN(Model_Config_v3!$B$6,I2712+Model_Config_v3!$B$7)</x:f>
        <x:v>623</x:v>
      </x:c>
      <x:c r="K2712" s="20" t="n">
        <x:v>37.4</x:v>
      </x:c>
      <x:c r="L2712" t="str">
        <x:v>RELATIF LONGGAR</x:v>
      </x:c>
      <x:c r="M2712" t="str">
        <x:v>SEDANG+</x:v>
      </x:c>
      <x:c r="N2712" t="str">
        <x:v>REGULER</x:v>
      </x:c>
      <x:c r="O2712" t="str">
        <x:v>SOSHUM</x:v>
      </x:c>
      <x:c r="P2712" t="str">
        <x:v>PENDIDIKAN</x:v>
      </x:c>
      <x:c r="Q2712" s="18" t="n">
        <x:v>0</x:v>
      </x:c>
      <x:c r="R2712" s="18" t="n">
        <x:v>0</x:v>
      </x:c>
      <x:c r="S2712" s="18" t="n">
        <x:v>529.6949697570607</x:v>
      </x:c>
      <x:c r="T2712" s="18" t="n">
        <x:v>635</x:v>
      </x:c>
      <x:c r="U2712" s="18" t="n">
        <x:v>529.6949697570607</x:v>
      </x:c>
      <x:c r="V2712" s="20" t="n">
        <x:v>4.4</x:v>
      </x:c>
      <x:c r="W2712" s="20" t="n">
        <x:v>14.3</x:v>
      </x:c>
      <x:c r="X2712" s="20" t="n">
        <x:v>3.3</x:v>
      </x:c>
      <x:c r="Y2712" t="str">
        <x:v>Basis arsip 2025/2024</x:v>
      </x:c>
      <x:c r="Z2712" t="str">
        <x:v>https://snpmb.id/utbk-snbt/daya-tampung-snbt</x:v>
      </x:c>
      <x:c r="AA2712" t="str">
        <x:v>Tidak Ada</x:v>
      </x:c>
      <x:c r="AB2712" t="str">
        <x:v>Campus=55; Ratio=5.2; Prodi=45; RelDemand=12.2; Capacity=66.7</x:v>
      </x:c>
    </x:row>
    <x:row r="2713">
      <x:c r="A2713" t="n">
        <x:v>2710</x:v>
      </x:c>
      <x:c r="B2713" t="str">
        <x:v>PTN Akademik</x:v>
      </x:c>
      <x:c r="C2713" t="str">
        <x:v>UNIVERSITAS LAMBUNG MANGKURAT</x:v>
      </x:c>
      <x:c r="D2713" t="str">
        <x:v>BIMBINGAN DAN KONSELING</x:v>
      </x:c>
      <x:c r="E2713" t="str">
        <x:v>Sarjana</x:v>
      </x:c>
      <x:c r="F2713" s="18" t="n">
        <x:v>40</x:v>
      </x:c>
      <x:c r="G2713" s="18" t="n">
        <x:v>128</x:v>
      </x:c>
      <x:c r="H2713" s="19" t="n">
        <x:v>3.2</x:v>
      </x:c>
      <x:c r="I2713" s="18" t="n">
        <x:f>ROUND(MIN(Model_Config_v3!$B$6,MAX(Q2713,R2713,S2713*Model_Config_v3!$B$4+T2713*Model_Config_v3!$B$5)),0)</x:f>
        <x:v>627</x:v>
      </x:c>
      <x:c r="J2713" s="18" t="n">
        <x:f>MIN(Model_Config_v3!$B$6,I2713+Model_Config_v3!$B$7)</x:f>
        <x:v>647</x:v>
      </x:c>
      <x:c r="K2713" s="20" t="n">
        <x:v>44.5</x:v>
      </x:c>
      <x:c r="L2713" t="str">
        <x:v>RELATIF LONGGAR</x:v>
      </x:c>
      <x:c r="M2713" t="str">
        <x:v>SEDANG</x:v>
      </x:c>
      <x:c r="N2713" t="str">
        <x:v>REGULER</x:v>
      </x:c>
      <x:c r="O2713" t="str">
        <x:v>CAMPURAN</x:v>
      </x:c>
      <x:c r="P2713" t="str">
        <x:v>UMUM</x:v>
      </x:c>
      <x:c r="Q2713" s="18" t="n">
        <x:v>0</x:v>
      </x:c>
      <x:c r="R2713" s="18" t="n">
        <x:v>0</x:v>
      </x:c>
      <x:c r="S2713" s="18" t="n">
        <x:v>575.5664976151896</x:v>
      </x:c>
      <x:c r="T2713" s="18" t="n">
        <x:v>649</x:v>
      </x:c>
      <x:c r="U2713" s="18" t="n">
        <x:v>575.5664976151896</x:v>
      </x:c>
      <x:c r="V2713" s="20" t="n">
        <x:v>8.8</x:v>
      </x:c>
      <x:c r="W2713" s="20" t="n">
        <x:v>9.9</x:v>
      </x:c>
      <x:c r="X2713" s="20" t="n">
        <x:v>3.3</x:v>
      </x:c>
      <x:c r="Y2713" t="str">
        <x:v>Basis arsip 2025/2024</x:v>
      </x:c>
      <x:c r="Z2713" t="str">
        <x:v>https://snpmb.id/utbk-snbt/daya-tampung-snbt</x:v>
      </x:c>
      <x:c r="AA2713" t="str">
        <x:v>Tidak Ada</x:v>
      </x:c>
      <x:c r="AB2713" t="str">
        <x:v>Campus=55; Ratio=29.7; Prodi=40; RelDemand=32.0; Capacity=66.7</x:v>
      </x:c>
    </x:row>
    <x:row r="2714">
      <x:c r="A2714" t="n">
        <x:v>2711</x:v>
      </x:c>
      <x:c r="B2714" t="str">
        <x:v>PTN Akademik</x:v>
      </x:c>
      <x:c r="C2714" t="str">
        <x:v>UNIVERSITAS LAMBUNG MANGKURAT</x:v>
      </x:c>
      <x:c r="D2714" t="str">
        <x:v>PENDIDIKAN KHUSUS</x:v>
      </x:c>
      <x:c r="E2714" t="str">
        <x:v>Sarjana</x:v>
      </x:c>
      <x:c r="F2714" s="18" t="n">
        <x:v>32</x:v>
      </x:c>
      <x:c r="G2714" s="18" t="n">
        <x:v>53</x:v>
      </x:c>
      <x:c r="H2714" s="19" t="n">
        <x:v>1.65625</x:v>
      </x:c>
      <x:c r="I2714" s="18" t="n">
        <x:f>ROUND(MIN(Model_Config_v3!$B$6,MAX(Q2714,R2714,S2714*Model_Config_v3!$B$4+T2714*Model_Config_v3!$B$5)),0)</x:f>
        <x:v>612</x:v>
      </x:c>
      <x:c r="J2714" s="18" t="n">
        <x:f>MIN(Model_Config_v3!$B$6,I2714+Model_Config_v3!$B$7)</x:f>
        <x:v>632</x:v>
      </x:c>
      <x:c r="K2714" s="20" t="n">
        <x:v>40.5</x:v>
      </x:c>
      <x:c r="L2714" t="str">
        <x:v>RELATIF LONGGAR</x:v>
      </x:c>
      <x:c r="M2714" t="str">
        <x:v>SEDANG+</x:v>
      </x:c>
      <x:c r="N2714" t="str">
        <x:v>REGULER</x:v>
      </x:c>
      <x:c r="O2714" t="str">
        <x:v>CAMPURAN</x:v>
      </x:c>
      <x:c r="P2714" t="str">
        <x:v>PENDIDIKAN</x:v>
      </x:c>
      <x:c r="Q2714" s="18" t="n">
        <x:v>0</x:v>
      </x:c>
      <x:c r="R2714" s="18" t="n">
        <x:v>0</x:v>
      </x:c>
      <x:c r="S2714" s="18" t="n">
        <x:v>544.1038480408971</x:v>
      </x:c>
      <x:c r="T2714" s="18" t="n">
        <x:v>641</x:v>
      </x:c>
      <x:c r="U2714" s="18" t="n">
        <x:v>544.1038480408971</x:v>
      </x:c>
      <x:c r="V2714" s="20" t="n">
        <x:v>8.8</x:v>
      </x:c>
      <x:c r="W2714" s="20" t="n">
        <x:v>9.9</x:v>
      </x:c>
      <x:c r="X2714" s="20" t="n">
        <x:v>3.3</x:v>
      </x:c>
      <x:c r="Y2714" t="str">
        <x:v>Basis arsip 2025/2024</x:v>
      </x:c>
      <x:c r="Z2714" t="str">
        <x:v>https://snpmb.id/utbk-snbt/daya-tampung-snbt</x:v>
      </x:c>
      <x:c r="AA2714" t="str">
        <x:v>Tidak Ada</x:v>
      </x:c>
      <x:c r="AB2714" t="str">
        <x:v>Campus=55; Ratio=12.9; Prodi=45; RelDemand=16.5; Capacity=73.3</x:v>
      </x:c>
    </x:row>
    <x:row r="2715">
      <x:c r="A2715" t="n">
        <x:v>2712</x:v>
      </x:c>
      <x:c r="B2715" t="str">
        <x:v>PTN Akademik</x:v>
      </x:c>
      <x:c r="C2715" t="str">
        <x:v>UNIVERSITAS LAMBUNG MANGKURAT</x:v>
      </x:c>
      <x:c r="D2715" t="str">
        <x:v>PENDIDIKAN JASMANI</x:v>
      </x:c>
      <x:c r="E2715" t="str">
        <x:v>Sarjana</x:v>
      </x:c>
      <x:c r="F2715" s="18" t="n">
        <x:v>70</x:v>
      </x:c>
      <x:c r="G2715" s="18" t="n">
        <x:v>95</x:v>
      </x:c>
      <x:c r="H2715" s="19" t="n">
        <x:v>1.3571428571428572</x:v>
      </x:c>
      <x:c r="I2715" s="18" t="n">
        <x:f>ROUND(MIN(Model_Config_v3!$B$6,MAX(Q2715,R2715,S2715*Model_Config_v3!$B$4+T2715*Model_Config_v3!$B$5)),0)</x:f>
        <x:v>602</x:v>
      </x:c>
      <x:c r="J2715" s="18" t="n">
        <x:f>MIN(Model_Config_v3!$B$6,I2715+Model_Config_v3!$B$7)</x:f>
        <x:v>622</x:v>
      </x:c>
      <x:c r="K2715" s="20" t="n">
        <x:v>35.7</x:v>
      </x:c>
      <x:c r="L2715" t="str">
        <x:v>RELATIF LONGGAR</x:v>
      </x:c>
      <x:c r="M2715" t="str">
        <x:v>PORTOFOLIO</x:v>
      </x:c>
      <x:c r="N2715" t="str">
        <x:v>REGULER</x:v>
      </x:c>
      <x:c r="O2715" t="str">
        <x:v>SENI/OLAHRAGA</x:v>
      </x:c>
      <x:c r="P2715" t="str">
        <x:v>SENI/OLAHRAGA</x:v>
      </x:c>
      <x:c r="Q2715" s="18" t="n">
        <x:v>0</x:v>
      </x:c>
      <x:c r="R2715" s="18" t="n">
        <x:v>0</x:v>
      </x:c>
      <x:c r="S2715" s="18" t="n">
        <x:v>534.588812180205</x:v>
      </x:c>
      <x:c r="T2715" s="18" t="n">
        <x:v>631</x:v>
      </x:c>
      <x:c r="U2715" s="18" t="n">
        <x:v>534.588812180205</x:v>
      </x:c>
      <x:c r="V2715" s="20" t="n">
        <x:v>4.4</x:v>
      </x:c>
      <x:c r="W2715" s="20" t="n">
        <x:v>9.9</x:v>
      </x:c>
      <x:c r="X2715" s="20" t="n">
        <x:v>7.7</x:v>
      </x:c>
      <x:c r="Y2715" t="str">
        <x:v>Basis arsip 2025/2024</x:v>
      </x:c>
      <x:c r="Z2715" t="str">
        <x:v>https://snpmb.id/utbk-snbt/daya-tampung-snbt</x:v>
      </x:c>
      <x:c r="AA2715" t="str">
        <x:v>Olahraga</x:v>
      </x:c>
      <x:c r="AB2715" t="str">
        <x:v>Campus=55; Ratio=7.8; Prodi=45; RelDemand=13.6; Capacity=41.7</x:v>
      </x:c>
    </x:row>
    <x:row r="2716">
      <x:c r="A2716" t="n">
        <x:v>2713</x:v>
      </x:c>
      <x:c r="B2716" t="str">
        <x:v>PTN Akademik</x:v>
      </x:c>
      <x:c r="C2716" t="str">
        <x:v>UNIVERSITAS LAMBUNG MANGKURAT</x:v>
      </x:c>
      <x:c r="D2716" t="str">
        <x:v>PENDIDIKAN GURU SEKOLAH DASAR</x:v>
      </x:c>
      <x:c r="E2716" t="str">
        <x:v>Sarjana</x:v>
      </x:c>
      <x:c r="F2716" s="18" t="n">
        <x:v>138</x:v>
      </x:c>
      <x:c r="G2716" s="18" t="n">
        <x:v>583</x:v>
      </x:c>
      <x:c r="H2716" s="19" t="n">
        <x:v>4.22463768115942</x:v>
      </x:c>
      <x:c r="I2716" s="18" t="n">
        <x:f>ROUND(MIN(Model_Config_v3!$B$6,MAX(Q2716,R2716,S2716*Model_Config_v3!$B$4+T2716*Model_Config_v3!$B$5)),0)</x:f>
        <x:v>627</x:v>
      </x:c>
      <x:c r="J2716" s="18" t="n">
        <x:f>MIN(Model_Config_v3!$B$6,I2716+Model_Config_v3!$B$7)</x:f>
        <x:v>647</x:v>
      </x:c>
      <x:c r="K2716" s="20" t="n">
        <x:v>41.7</x:v>
      </x:c>
      <x:c r="L2716" t="str">
        <x:v>RELATIF LONGGAR</x:v>
      </x:c>
      <x:c r="M2716" t="str">
        <x:v>SEDANG+</x:v>
      </x:c>
      <x:c r="N2716" t="str">
        <x:v>REGULER</x:v>
      </x:c>
      <x:c r="O2716" t="str">
        <x:v>CAMPURAN</x:v>
      </x:c>
      <x:c r="P2716" t="str">
        <x:v>PENDIDIKAN</x:v>
      </x:c>
      <x:c r="Q2716" s="18" t="n">
        <x:v>0</x:v>
      </x:c>
      <x:c r="R2716" s="18" t="n">
        <x:v>0</x:v>
      </x:c>
      <x:c r="S2716" s="18" t="n">
        <x:v>588.8368415193555</x:v>
      </x:c>
      <x:c r="T2716" s="18" t="n">
        <x:v>643</x:v>
      </x:c>
      <x:c r="U2716" s="18" t="n">
        <x:v>588.8368415193555</x:v>
      </x:c>
      <x:c r="V2716" s="20" t="n">
        <x:v>8.8</x:v>
      </x:c>
      <x:c r="W2716" s="20" t="n">
        <x:v>9.9</x:v>
      </x:c>
      <x:c r="X2716" s="20" t="n">
        <x:v>3.3</x:v>
      </x:c>
      <x:c r="Y2716" t="str">
        <x:v>Basis arsip 2025/2024</x:v>
      </x:c>
      <x:c r="Z2716" t="str">
        <x:v>https://snpmb.id/utbk-snbt/daya-tampung-snbt</x:v>
      </x:c>
      <x:c r="AA2716" t="str">
        <x:v>Tidak Ada</x:v>
      </x:c>
      <x:c r="AB2716" t="str">
        <x:v>Campus=55; Ratio=36.8; Prodi=45; RelDemand=42.2; Capacity=0.0</x:v>
      </x:c>
    </x:row>
    <x:row r="2717">
      <x:c r="A2717" t="n">
        <x:v>2714</x:v>
      </x:c>
      <x:c r="B2717" t="str">
        <x:v>PTN Akademik</x:v>
      </x:c>
      <x:c r="C2717" t="str">
        <x:v>UNIVERSITAS LAMBUNG MANGKURAT</x:v>
      </x:c>
      <x:c r="D2717" t="str">
        <x:v>PENDIDIKAN GURU PENDIDIKAN ANAK USIA DINI</x:v>
      </x:c>
      <x:c r="E2717" t="str">
        <x:v>Sarjana</x:v>
      </x:c>
      <x:c r="F2717" s="18" t="n">
        <x:v>72</x:v>
      </x:c>
      <x:c r="G2717" s="18" t="n">
        <x:v>92</x:v>
      </x:c>
      <x:c r="H2717" s="19" t="n">
        <x:v>1.2777777777777777</x:v>
      </x:c>
      <x:c r="I2717" s="18" t="n">
        <x:f>ROUND(MIN(Model_Config_v3!$B$6,MAX(Q2717,R2717,S2717*Model_Config_v3!$B$4+T2717*Model_Config_v3!$B$5)),0)</x:f>
        <x:v>601</x:v>
      </x:c>
      <x:c r="J2717" s="18" t="n">
        <x:f>MIN(Model_Config_v3!$B$6,I2717+Model_Config_v3!$B$7)</x:f>
        <x:v>621</x:v>
      </x:c>
      <x:c r="K2717" s="20" t="n">
        <x:v>35.1</x:v>
      </x:c>
      <x:c r="L2717" t="str">
        <x:v>RELATIF LONGGAR</x:v>
      </x:c>
      <x:c r="M2717" t="str">
        <x:v>SEDANG+</x:v>
      </x:c>
      <x:c r="N2717" t="str">
        <x:v>REGULER</x:v>
      </x:c>
      <x:c r="O2717" t="str">
        <x:v>CAMPURAN</x:v>
      </x:c>
      <x:c r="P2717" t="str">
        <x:v>PENDIDIKAN</x:v>
      </x:c>
      <x:c r="Q2717" s="18" t="n">
        <x:v>0</x:v>
      </x:c>
      <x:c r="R2717" s="18" t="n">
        <x:v>0</x:v>
      </x:c>
      <x:c r="S2717" s="18" t="n">
        <x:v>531.7100864005715</x:v>
      </x:c>
      <x:c r="T2717" s="18" t="n">
        <x:v>630</x:v>
      </x:c>
      <x:c r="U2717" s="18" t="n">
        <x:v>531.7100864005715</x:v>
      </x:c>
      <x:c r="V2717" s="20" t="n">
        <x:v>8.8</x:v>
      </x:c>
      <x:c r="W2717" s="20" t="n">
        <x:v>9.9</x:v>
      </x:c>
      <x:c r="X2717" s="20" t="n">
        <x:v>3.3</x:v>
      </x:c>
      <x:c r="Y2717" t="str">
        <x:v>Basis arsip 2025/2024</x:v>
      </x:c>
      <x:c r="Z2717" t="str">
        <x:v>https://snpmb.id/utbk-snbt/daya-tampung-snbt</x:v>
      </x:c>
      <x:c r="AA2717" t="str">
        <x:v>Tidak Ada</x:v>
      </x:c>
      <x:c r="AB2717" t="str">
        <x:v>Campus=55; Ratio=6.3; Prodi=45; RelDemand=12.8; Capacity=40.0</x:v>
      </x:c>
    </x:row>
    <x:row r="2718">
      <x:c r="A2718" t="n">
        <x:v>2715</x:v>
      </x:c>
      <x:c r="B2718" t="str">
        <x:v>PTN Akademik</x:v>
      </x:c>
      <x:c r="C2718" t="str">
        <x:v>UNIVERSITAS LAMBUNG MANGKURAT</x:v>
      </x:c>
      <x:c r="D2718" t="str">
        <x:v>PENDIDIKAN SENI PERTUNJUKAN</x:v>
      </x:c>
      <x:c r="E2718" t="str">
        <x:v>Sarjana</x:v>
      </x:c>
      <x:c r="F2718" s="18" t="n">
        <x:v>40</x:v>
      </x:c>
      <x:c r="G2718" s="18" t="n">
        <x:v>32</x:v>
      </x:c>
      <x:c r="H2718" s="19" t="n">
        <x:v>0.8</x:v>
      </x:c>
      <x:c r="I2718" s="18" t="n">
        <x:f>ROUND(MIN(Model_Config_v3!$B$6,MAX(Q2718,R2718,S2718*Model_Config_v3!$B$4+T2718*Model_Config_v3!$B$5)),0)</x:f>
        <x:v>598</x:v>
      </x:c>
      <x:c r="J2718" s="18" t="n">
        <x:f>MIN(Model_Config_v3!$B$6,I2718+Model_Config_v3!$B$7)</x:f>
        <x:v>618</x:v>
      </x:c>
      <x:c r="K2718" s="20" t="n">
        <x:v>35.7</x:v>
      </x:c>
      <x:c r="L2718" t="str">
        <x:v>RELATIF LONGGAR</x:v>
      </x:c>
      <x:c r="M2718" t="str">
        <x:v>PORTOFOLIO</x:v>
      </x:c>
      <x:c r="N2718" t="str">
        <x:v>REGULER</x:v>
      </x:c>
      <x:c r="O2718" t="str">
        <x:v>SENI/OLAHRAGA</x:v>
      </x:c>
      <x:c r="P2718" t="str">
        <x:v>SENI/OLAHRAGA</x:v>
      </x:c>
      <x:c r="Q2718" s="18" t="n">
        <x:v>0</x:v>
      </x:c>
      <x:c r="R2718" s="18" t="n">
        <x:v>0</x:v>
      </x:c>
      <x:c r="S2718" s="18" t="n">
        <x:v>520</x:v>
      </x:c>
      <x:c r="T2718" s="18" t="n">
        <x:v>631</x:v>
      </x:c>
      <x:c r="U2718" s="18" t="n">
        <x:v>520</x:v>
      </x:c>
      <x:c r="V2718" s="20" t="n">
        <x:v>4.4</x:v>
      </x:c>
      <x:c r="W2718" s="20" t="n">
        <x:v>9.9</x:v>
      </x:c>
      <x:c r="X2718" s="20" t="n">
        <x:v>7.7</x:v>
      </x:c>
      <x:c r="Y2718" t="str">
        <x:v>Basis arsip 2025/2024</x:v>
      </x:c>
      <x:c r="Z2718" t="str">
        <x:v>https://snpmb.id/utbk-snbt/daya-tampung-snbt</x:v>
      </x:c>
      <x:c r="AA2718" t="str">
        <x:v>Sendratasik</x:v>
      </x:c>
      <x:c r="AB2718" t="str">
        <x:v>Campus=55; Ratio=0.0; Prodi=45; RelDemand=8.0; Capacity=66.7</x:v>
      </x:c>
    </x:row>
    <x:row r="2719">
      <x:c r="A2719" t="n">
        <x:v>2716</x:v>
      </x:c>
      <x:c r="B2719" t="str">
        <x:v>PTN Akademik</x:v>
      </x:c>
      <x:c r="C2719" t="str">
        <x:v>UNIVERSITAS LAMBUNG MANGKURAT</x:v>
      </x:c>
      <x:c r="D2719" t="str">
        <x:v>TEKNOLOGI PENDIDIKAN</x:v>
      </x:c>
      <x:c r="E2719" t="str">
        <x:v>Sarjana</x:v>
      </x:c>
      <x:c r="F2719" s="18" t="n">
        <x:v>24</x:v>
      </x:c>
      <x:c r="G2719" s="18" t="n">
        <x:v>53</x:v>
      </x:c>
      <x:c r="H2719" s="19" t="n">
        <x:v>2.2083333333333335</x:v>
      </x:c>
      <x:c r="I2719" s="18" t="n">
        <x:f>ROUND(MIN(Model_Config_v3!$B$6,MAX(Q2719,R2719,S2719*Model_Config_v3!$B$4+T2719*Model_Config_v3!$B$5)),0)</x:f>
        <x:v>619</x:v>
      </x:c>
      <x:c r="J2719" s="18" t="n">
        <x:f>MIN(Model_Config_v3!$B$6,I2719+Model_Config_v3!$B$7)</x:f>
        <x:v>639</x:v>
      </x:c>
      <x:c r="K2719" s="20" t="n">
        <x:v>42.5</x:v>
      </x:c>
      <x:c r="L2719" t="str">
        <x:v>RELATIF LONGGAR</x:v>
      </x:c>
      <x:c r="M2719" t="str">
        <x:v>SEDANG</x:v>
      </x:c>
      <x:c r="N2719" t="str">
        <x:v>REGULER</x:v>
      </x:c>
      <x:c r="O2719" t="str">
        <x:v>SAINTEK</x:v>
      </x:c>
      <x:c r="P2719" t="str">
        <x:v>UMUM</x:v>
      </x:c>
      <x:c r="Q2719" s="18" t="n">
        <x:v>0</x:v>
      </x:c>
      <x:c r="R2719" s="18" t="n">
        <x:v>0</x:v>
      </x:c>
      <x:c r="S2719" s="18" t="n">
        <x:v>557.8471090678102</x:v>
      </x:c>
      <x:c r="T2719" s="18" t="n">
        <x:v>645</x:v>
      </x:c>
      <x:c r="U2719" s="18" t="n">
        <x:v>557.8471090678102</x:v>
      </x:c>
      <x:c r="V2719" s="20" t="n">
        <x:v>12</x:v>
      </x:c>
      <x:c r="W2719" s="20" t="n">
        <x:v>5</x:v>
      </x:c>
      <x:c r="X2719" s="20" t="n">
        <x:v>3</x:v>
      </x:c>
      <x:c r="Y2719" t="str">
        <x:v>Basis arsip 2025/2024</x:v>
      </x:c>
      <x:c r="Z2719" t="str">
        <x:v>https://snpmb.id/utbk-snbt/daya-tampung-snbt</x:v>
      </x:c>
      <x:c r="AA2719" t="str">
        <x:v>Tidak Ada</x:v>
      </x:c>
      <x:c r="AB2719" t="str">
        <x:v>Campus=55; Ratio=20.3; Prodi=40; RelDemand=22.1; Capacity=80.0</x:v>
      </x:c>
    </x:row>
    <x:row r="2720">
      <x:c r="A2720" t="n">
        <x:v>2717</x:v>
      </x:c>
      <x:c r="B2720" t="str">
        <x:v>PTN Akademik</x:v>
      </x:c>
      <x:c r="C2720" t="str">
        <x:v>UNIVERSITAS LAMBUNG MANGKURAT</x:v>
      </x:c>
      <x:c r="D2720" t="str">
        <x:v>PENDIDIKAN IPS</x:v>
      </x:c>
      <x:c r="E2720" t="str">
        <x:v>Sarjana</x:v>
      </x:c>
      <x:c r="F2720" s="18" t="n">
        <x:v>35</x:v>
      </x:c>
      <x:c r="G2720" s="18" t="n">
        <x:v>35</x:v>
      </x:c>
      <x:c r="H2720" s="19" t="n">
        <x:v>1</x:v>
      </x:c>
      <x:c r="I2720" s="18" t="n">
        <x:f>ROUND(MIN(Model_Config_v3!$B$6,MAX(Q2720,R2720,S2720*Model_Config_v3!$B$4+T2720*Model_Config_v3!$B$5)),0)</x:f>
        <x:v>599</x:v>
      </x:c>
      <x:c r="J2720" s="18" t="n">
        <x:f>MIN(Model_Config_v3!$B$6,I2720+Model_Config_v3!$B$7)</x:f>
        <x:v>619</x:v>
      </x:c>
      <x:c r="K2720" s="20" t="n">
        <x:v>36.3</x:v>
      </x:c>
      <x:c r="L2720" t="str">
        <x:v>RELATIF LONGGAR</x:v>
      </x:c>
      <x:c r="M2720" t="str">
        <x:v>SEDANG+</x:v>
      </x:c>
      <x:c r="N2720" t="str">
        <x:v>REGULER</x:v>
      </x:c>
      <x:c r="O2720" t="str">
        <x:v>CAMPURAN</x:v>
      </x:c>
      <x:c r="P2720" t="str">
        <x:v>PENDIDIKAN</x:v>
      </x:c>
      <x:c r="Q2720" s="18" t="n">
        <x:v>0</x:v>
      </x:c>
      <x:c r="R2720" s="18" t="n">
        <x:v>0</x:v>
      </x:c>
      <x:c r="S2720" s="18" t="n">
        <x:v>520</x:v>
      </x:c>
      <x:c r="T2720" s="18" t="n">
        <x:v>633</x:v>
      </x:c>
      <x:c r="U2720" s="18" t="n">
        <x:v>520</x:v>
      </x:c>
      <x:c r="V2720" s="20" t="n">
        <x:v>8.8</x:v>
      </x:c>
      <x:c r="W2720" s="20" t="n">
        <x:v>9.9</x:v>
      </x:c>
      <x:c r="X2720" s="20" t="n">
        <x:v>3.3</x:v>
      </x:c>
      <x:c r="Y2720" t="str">
        <x:v>Basis arsip 2025/2024</x:v>
      </x:c>
      <x:c r="Z2720" t="str">
        <x:v>https://snpmb.id/utbk-snbt/daya-tampung-snbt</x:v>
      </x:c>
      <x:c r="AA2720" t="str">
        <x:v>Tidak Ada</x:v>
      </x:c>
      <x:c r="AB2720" t="str">
        <x:v>Campus=55; Ratio=0.0; Prodi=45; RelDemand=10.0; Capacity=70.8</x:v>
      </x:c>
    </x:row>
    <x:row r="2721">
      <x:c r="A2721" t="n">
        <x:v>2718</x:v>
      </x:c>
      <x:c r="B2721" t="str">
        <x:v>PTN Akademik</x:v>
      </x:c>
      <x:c r="C2721" t="str">
        <x:v>UNIVERSITAS LAMBUNG MANGKURAT</x:v>
      </x:c>
      <x:c r="D2721" t="str">
        <x:v>PSIKOLOGI</x:v>
      </x:c>
      <x:c r="E2721" t="str">
        <x:v>Sarjana</x:v>
      </x:c>
      <x:c r="F2721" s="18" t="n">
        <x:v>60</x:v>
      </x:c>
      <x:c r="G2721" s="18" t="n">
        <x:v>754</x:v>
      </x:c>
      <x:c r="H2721" s="19" t="n">
        <x:v>12.566666666666666</x:v>
      </x:c>
      <x:c r="I2721" s="18" t="n">
        <x:f>ROUND(MIN(Model_Config_v3!$B$6,MAX(Q2721,R2721,S2721*Model_Config_v3!$B$4+T2721*Model_Config_v3!$B$5)),0)</x:f>
        <x:v>677</x:v>
      </x:c>
      <x:c r="J2721" s="18" t="n">
        <x:f>MIN(Model_Config_v3!$B$6,I2721+Model_Config_v3!$B$7)</x:f>
        <x:v>697</x:v>
      </x:c>
      <x:c r="K2721" s="20" t="n">
        <x:v>66.4</x:v>
      </x:c>
      <x:c r="L2721" t="str">
        <x:v>SANGAT KETAT</x:v>
      </x:c>
      <x:c r="M2721" t="str">
        <x:v>SEDANG+</x:v>
      </x:c>
      <x:c r="N2721" t="str">
        <x:v>REGULER</x:v>
      </x:c>
      <x:c r="O2721" t="str">
        <x:v>SOSHUM</x:v>
      </x:c>
      <x:c r="P2721" t="str">
        <x:v>PSIKOLOGI</x:v>
      </x:c>
      <x:c r="Q2721" s="18" t="n">
        <x:v>0</x:v>
      </x:c>
      <x:c r="R2721" s="18" t="n">
        <x:v>0</x:v>
      </x:c>
      <x:c r="S2721" s="18" t="n">
        <x:v>640.9142105034744</x:v>
      </x:c>
      <x:c r="T2721" s="18" t="n">
        <x:v>693</x:v>
      </x:c>
      <x:c r="U2721" s="18" t="n">
        <x:v>665.9142105034744</x:v>
      </x:c>
      <x:c r="V2721" s="20" t="n">
        <x:v>4.4</x:v>
      </x:c>
      <x:c r="W2721" s="20" t="n">
        <x:v>14.3</x:v>
      </x:c>
      <x:c r="X2721" s="20" t="n">
        <x:v>3.3</x:v>
      </x:c>
      <x:c r="Y2721" t="str">
        <x:v>Basis arsip 2025/2024</x:v>
      </x:c>
      <x:c r="Z2721" t="str">
        <x:v>https://snpmb.id/utbk-snbt/daya-tampung-snbt</x:v>
      </x:c>
      <x:c r="AA2721" t="str">
        <x:v>Tidak Ada</x:v>
      </x:c>
      <x:c r="AB2721" t="str">
        <x:v>Campus=55; Ratio=64.7; Prodi=80; RelDemand=100.0; Capacity=50.0</x:v>
      </x:c>
    </x:row>
    <x:row r="2722">
      <x:c r="A2722" t="n">
        <x:v>2719</x:v>
      </x:c>
      <x:c r="B2722" t="str">
        <x:v>PTN Akademik</x:v>
      </x:c>
      <x:c r="C2722" t="str">
        <x:v>UNIVERSITAS LAMBUNG MANGKURAT</x:v>
      </x:c>
      <x:c r="D2722" t="str">
        <x:v>SOSIOLOGI</x:v>
      </x:c>
      <x:c r="E2722" t="str">
        <x:v>Sarjana</x:v>
      </x:c>
      <x:c r="F2722" s="18" t="n">
        <x:v>75</x:v>
      </x:c>
      <x:c r="G2722" s="18" t="n">
        <x:v>71</x:v>
      </x:c>
      <x:c r="H2722" s="19" t="n">
        <x:v>0.9466666666666667</x:v>
      </x:c>
      <x:c r="I2722" s="18" t="n">
        <x:f>ROUND(MIN(Model_Config_v3!$B$6,MAX(Q2722,R2722,S2722*Model_Config_v3!$B$4+T2722*Model_Config_v3!$B$5)),0)</x:f>
        <x:v>593</x:v>
      </x:c>
      <x:c r="J2722" s="18" t="n">
        <x:f>MIN(Model_Config_v3!$B$6,I2722+Model_Config_v3!$B$7)</x:f>
        <x:v>613</x:v>
      </x:c>
      <x:c r="K2722" s="20" t="n">
        <x:v>31.9</x:v>
      </x:c>
      <x:c r="L2722" t="str">
        <x:v>RELATIF LONGGAR</x:v>
      </x:c>
      <x:c r="M2722" t="str">
        <x:v>SEDANG</x:v>
      </x:c>
      <x:c r="N2722" t="str">
        <x:v>REGULER</x:v>
      </x:c>
      <x:c r="O2722" t="str">
        <x:v>SOSHUM</x:v>
      </x:c>
      <x:c r="P2722" t="str">
        <x:v>UMUM</x:v>
      </x:c>
      <x:c r="Q2722" s="18" t="n">
        <x:v>0</x:v>
      </x:c>
      <x:c r="R2722" s="18" t="n">
        <x:v>0</x:v>
      </x:c>
      <x:c r="S2722" s="18" t="n">
        <x:v>520</x:v>
      </x:c>
      <x:c r="T2722" s="18" t="n">
        <x:v>624</x:v>
      </x:c>
      <x:c r="U2722" s="18" t="n">
        <x:v>520</x:v>
      </x:c>
      <x:c r="V2722" s="20" t="n">
        <x:v>4.4</x:v>
      </x:c>
      <x:c r="W2722" s="20" t="n">
        <x:v>14.3</x:v>
      </x:c>
      <x:c r="X2722" s="20" t="n">
        <x:v>3.3</x:v>
      </x:c>
      <x:c r="Y2722" t="str">
        <x:v>Basis arsip 2025/2024</x:v>
      </x:c>
      <x:c r="Z2722" t="str">
        <x:v>https://snpmb.id/utbk-snbt/daya-tampung-snbt</x:v>
      </x:c>
      <x:c r="AA2722" t="str">
        <x:v>Tidak Ada</x:v>
      </x:c>
      <x:c r="AB2722" t="str">
        <x:v>Campus=55; Ratio=0.0; Prodi=40; RelDemand=9.5; Capacity=37.5</x:v>
      </x:c>
    </x:row>
    <x:row r="2723">
      <x:c r="A2723" t="n">
        <x:v>2720</x:v>
      </x:c>
      <x:c r="B2723" t="str">
        <x:v>PTN Akademik</x:v>
      </x:c>
      <x:c r="C2723" t="str">
        <x:v>UNIVERSITAS LAMBUNG MANGKURAT</x:v>
      </x:c>
      <x:c r="D2723" t="str">
        <x:v>REKAYASA GEOLOGI</x:v>
      </x:c>
      <x:c r="E2723" t="str">
        <x:v>Sarjana</x:v>
      </x:c>
      <x:c r="F2723" s="18" t="n">
        <x:v>14</x:v>
      </x:c>
      <x:c r="G2723" s="18" t="n">
        <x:v>68</x:v>
      </x:c>
      <x:c r="H2723" s="19" t="n">
        <x:v>4.857142857142857</x:v>
      </x:c>
      <x:c r="I2723" s="18" t="n">
        <x:f>ROUND(MIN(Model_Config_v3!$B$6,MAX(Q2723,R2723,S2723*Model_Config_v3!$B$4+T2723*Model_Config_v3!$B$5)),0)</x:f>
        <x:v>642</x:v>
      </x:c>
      <x:c r="J2723" s="18" t="n">
        <x:f>MIN(Model_Config_v3!$B$6,I2723+Model_Config_v3!$B$7)</x:f>
        <x:v>662</x:v>
      </x:c>
      <x:c r="K2723" s="20" t="n">
        <x:v>51</x:v>
      </x:c>
      <x:c r="L2723" t="str">
        <x:v>MENENGAH</x:v>
      </x:c>
      <x:c r="M2723" t="str">
        <x:v>SEDANG</x:v>
      </x:c>
      <x:c r="N2723" t="str">
        <x:v>REGULER</x:v>
      </x:c>
      <x:c r="O2723" t="str">
        <x:v>SAINTEK</x:v>
      </x:c>
      <x:c r="P2723" t="str">
        <x:v>UMUM</x:v>
      </x:c>
      <x:c r="Q2723" s="18" t="n">
        <x:v>0</x:v>
      </x:c>
      <x:c r="R2723" s="18" t="n">
        <x:v>0</x:v>
      </x:c>
      <x:c r="S2723" s="18" t="n">
        <x:v>595.5018964730798</x:v>
      </x:c>
      <x:c r="T2723" s="18" t="n">
        <x:v>662</x:v>
      </x:c>
      <x:c r="U2723" s="18" t="n">
        <x:v>595.5018964730798</x:v>
      </x:c>
      <x:c r="V2723" s="20" t="n">
        <x:v>12</x:v>
      </x:c>
      <x:c r="W2723" s="20" t="n">
        <x:v>5</x:v>
      </x:c>
      <x:c r="X2723" s="20" t="n">
        <x:v>3</x:v>
      </x:c>
      <x:c r="Y2723" t="str">
        <x:v>Basis arsip 2025/2024</x:v>
      </x:c>
      <x:c r="Z2723" t="str">
        <x:v>https://snpmb.id/utbk-snbt/daya-tampung-snbt</x:v>
      </x:c>
      <x:c r="AA2723" t="str">
        <x:v>Tidak Ada</x:v>
      </x:c>
      <x:c r="AB2723" t="str">
        <x:v>Campus=55; Ratio=40.4; Prodi=40; RelDemand=48.5; Capacity=88.3</x:v>
      </x:c>
    </x:row>
    <x:row r="2724">
      <x:c r="A2724" t="n">
        <x:v>2721</x:v>
      </x:c>
      <x:c r="B2724" t="str">
        <x:v>PTN Akademik</x:v>
      </x:c>
      <x:c r="C2724" t="str">
        <x:v>UNIVERSITAS LAMBUNG MANGKURAT</x:v>
      </x:c>
      <x:c r="D2724" t="str">
        <x:v>REKAYASA ELEKTRO</x:v>
      </x:c>
      <x:c r="E2724" t="str">
        <x:v>Sarjana</x:v>
      </x:c>
      <x:c r="F2724" s="18" t="n">
        <x:v>14</x:v>
      </x:c>
      <x:c r="G2724" s="18" t="n">
        <x:v>47</x:v>
      </x:c>
      <x:c r="H2724" s="19" t="n">
        <x:v>3.357142857142857</x:v>
      </x:c>
      <x:c r="I2724" s="18" t="n">
        <x:f>ROUND(MIN(Model_Config_v3!$B$6,MAX(Q2724,R2724,S2724*Model_Config_v3!$B$4+T2724*Model_Config_v3!$B$5)),0)</x:f>
        <x:v>631</x:v>
      </x:c>
      <x:c r="J2724" s="18" t="n">
        <x:f>MIN(Model_Config_v3!$B$6,I2724+Model_Config_v3!$B$7)</x:f>
        <x:v>651</x:v>
      </x:c>
      <x:c r="K2724" s="20" t="n">
        <x:v>47.2</x:v>
      </x:c>
      <x:c r="L2724" t="str">
        <x:v>MENENGAH</x:v>
      </x:c>
      <x:c r="M2724" t="str">
        <x:v>SEDANG</x:v>
      </x:c>
      <x:c r="N2724" t="str">
        <x:v>REGULER</x:v>
      </x:c>
      <x:c r="O2724" t="str">
        <x:v>CAMPURAN</x:v>
      </x:c>
      <x:c r="P2724" t="str">
        <x:v>UMUM</x:v>
      </x:c>
      <x:c r="Q2724" s="18" t="n">
        <x:v>0</x:v>
      </x:c>
      <x:c r="R2724" s="18" t="n">
        <x:v>0</x:v>
      </x:c>
      <x:c r="S2724" s="18" t="n">
        <x:v>577.8566804483228</x:v>
      </x:c>
      <x:c r="T2724" s="18" t="n">
        <x:v>654</x:v>
      </x:c>
      <x:c r="U2724" s="18" t="n">
        <x:v>577.8566804483228</x:v>
      </x:c>
      <x:c r="V2724" s="20" t="n">
        <x:v>8.8</x:v>
      </x:c>
      <x:c r="W2724" s="20" t="n">
        <x:v>9.9</x:v>
      </x:c>
      <x:c r="X2724" s="20" t="n">
        <x:v>3.3</x:v>
      </x:c>
      <x:c r="Y2724" t="str">
        <x:v>Basis arsip 2025/2024</x:v>
      </x:c>
      <x:c r="Z2724" t="str">
        <x:v>https://snpmb.id/utbk-snbt/daya-tampung-snbt</x:v>
      </x:c>
      <x:c r="AA2724" t="str">
        <x:v>Tidak Ada</x:v>
      </x:c>
      <x:c r="AB2724" t="str">
        <x:v>Campus=55; Ratio=31.0; Prodi=40; RelDemand=33.5; Capacity=88.3</x:v>
      </x:c>
    </x:row>
    <x:row r="2725">
      <x:c r="A2725" t="n">
        <x:v>2722</x:v>
      </x:c>
      <x:c r="B2725" t="str">
        <x:v>PTN Akademik</x:v>
      </x:c>
      <x:c r="C2725" t="str">
        <x:v>UNIVERSITAS LAMBUNG MANGKURAT</x:v>
      </x:c>
      <x:c r="D2725" t="str">
        <x:v>ANTROPOLOGI</x:v>
      </x:c>
      <x:c r="E2725" t="str">
        <x:v>Sarjana</x:v>
      </x:c>
      <x:c r="F2725" s="18" t="n">
        <x:v>20</x:v>
      </x:c>
      <x:c r="G2725" s="18"/>
      <x:c r="H2725" s="19" t="n">
        <x:v>0</x:v>
      </x:c>
      <x:c r="I2725" s="18" t="n">
        <x:f>ROUND(MIN(Model_Config_v3!$B$6,MAX(Q2725,R2725,S2725*Model_Config_v3!$B$4+T2725*Model_Config_v3!$B$5)),0)</x:f>
        <x:v>598</x:v>
      </x:c>
      <x:c r="J2725" s="18" t="n">
        <x:f>MIN(Model_Config_v3!$B$6,I2725+Model_Config_v3!$B$7)</x:f>
        <x:v>618</x:v>
      </x:c>
      <x:c r="K2725" s="20" t="n">
        <x:v>35.6</x:v>
      </x:c>
      <x:c r="L2725" t="str">
        <x:v>RELATIF LONGGAR</x:v>
      </x:c>
      <x:c r="M2725" t="str">
        <x:v>RENDAH</x:v>
      </x:c>
      <x:c r="N2725" t="str">
        <x:v>REGULER</x:v>
      </x:c>
      <x:c r="O2725" t="str">
        <x:v>SOSHUM</x:v>
      </x:c>
      <x:c r="P2725" t="str">
        <x:v>UMUM</x:v>
      </x:c>
      <x:c r="Q2725" s="18" t="n">
        <x:v>0</x:v>
      </x:c>
      <x:c r="R2725" s="18" t="n">
        <x:v>0</x:v>
      </x:c>
      <x:c r="S2725" s="18" t="n">
        <x:v>520</x:v>
      </x:c>
      <x:c r="T2725" s="18" t="n">
        <x:v>631</x:v>
      </x:c>
      <x:c r="U2725" s="18" t="n">
        <x:v>520</x:v>
      </x:c>
      <x:c r="V2725" s="20" t="n">
        <x:v>4.4</x:v>
      </x:c>
      <x:c r="W2725" s="20" t="n">
        <x:v>14.3</x:v>
      </x:c>
      <x:c r="X2725" s="20" t="n">
        <x:v>3.3</x:v>
      </x:c>
      <x:c r="Y2725" t="str">
        <x:v>Basis arsip 2025/2024</x:v>
      </x:c>
      <x:c r="Z2725" t="str">
        <x:v>https://snpmb.id/utbk-snbt/daya-tampung-snbt</x:v>
      </x:c>
      <x:c r="AA2725" t="str">
        <x:v>Tidak Ada</x:v>
      </x:c>
      <x:c r="AB2725" t="str">
        <x:v>Campus=55; Ratio=0.0; Prodi=40; RelDemand=0.0; Capacity=83.3</x:v>
      </x:c>
    </x:row>
    <x:row r="2726">
      <x:c r="A2726" t="n">
        <x:v>2723</x:v>
      </x:c>
      <x:c r="B2726" t="str">
        <x:v>PTN Akademik</x:v>
      </x:c>
      <x:c r="C2726" t="str">
        <x:v>UNIVERSITAS LAMBUNG MANGKURAT</x:v>
      </x:c>
      <x:c r="D2726" t="str">
        <x:v>PERPAJAKAN</x:v>
      </x:c>
      <x:c r="E2726" t="str">
        <x:v>Diploma Tiga</x:v>
      </x:c>
      <x:c r="F2726" s="18" t="n">
        <x:v>60</x:v>
      </x:c>
      <x:c r="G2726" s="18" t="n">
        <x:v>1047</x:v>
      </x:c>
      <x:c r="H2726" s="19" t="n">
        <x:v>17.45</x:v>
      </x:c>
      <x:c r="I2726" s="18" t="n">
        <x:f>ROUND(MIN(Model_Config_v3!$B$6,MAX(Q2726,R2726,S2726*Model_Config_v3!$B$4+T2726*Model_Config_v3!$B$5)),0)</x:f>
        <x:v>674</x:v>
      </x:c>
      <x:c r="J2726" s="18" t="n">
        <x:f>MIN(Model_Config_v3!$B$6,I2726+Model_Config_v3!$B$7)</x:f>
        <x:v>694</x:v>
      </x:c>
      <x:c r="K2726" s="20" t="n">
        <x:v>60.5</x:v>
      </x:c>
      <x:c r="L2726" t="str">
        <x:v>KETAT</x:v>
      </x:c>
      <x:c r="M2726" t="str">
        <x:v>SEDANG</x:v>
      </x:c>
      <x:c r="N2726" t="str">
        <x:v>REGULER</x:v>
      </x:c>
      <x:c r="O2726" t="str">
        <x:v>CAMPURAN</x:v>
      </x:c>
      <x:c r="P2726" t="str">
        <x:v>UMUM</x:v>
      </x:c>
      <x:c r="Q2726" s="18" t="n">
        <x:v>0</x:v>
      </x:c>
      <x:c r="R2726" s="18" t="n">
        <x:v>0</x:v>
      </x:c>
      <x:c r="S2726" s="18" t="n">
        <x:v>656.5974974424719</x:v>
      </x:c>
      <x:c r="T2726" s="18" t="n">
        <x:v>681</x:v>
      </x:c>
      <x:c r="U2726" s="18" t="n">
        <x:v>656.5974974424719</x:v>
      </x:c>
      <x:c r="V2726" s="20" t="n">
        <x:v>8.8</x:v>
      </x:c>
      <x:c r="W2726" s="20" t="n">
        <x:v>9.9</x:v>
      </x:c>
      <x:c r="X2726" s="20" t="n">
        <x:v>3.3</x:v>
      </x:c>
      <x:c r="Y2726" t="str">
        <x:v>Basis arsip 2025/2024</x:v>
      </x:c>
      <x:c r="Z2726" t="str">
        <x:v>https://snpmb.id/utbk-snbt/daya-tampung-snbt</x:v>
      </x:c>
      <x:c r="AA2726" t="str">
        <x:v>Tidak Ada</x:v>
      </x:c>
      <x:c r="AB2726" t="str">
        <x:v>Campus=55; Ratio=73.1; Prodi=40; RelDemand=100.0; Capacity=50.0</x:v>
      </x:c>
    </x:row>
    <x:row r="2727">
      <x:c r="A2727" t="n">
        <x:v>2724</x:v>
      </x:c>
      <x:c r="B2727" t="str">
        <x:v>PTN Akademik</x:v>
      </x:c>
      <x:c r="C2727" t="str">
        <x:v>UNIVERSITAS LAMBUNG MANGKURAT</x:v>
      </x:c>
      <x:c r="D2727" t="str">
        <x:v>AKUNTANSI</x:v>
      </x:c>
      <x:c r="E2727" t="str">
        <x:v>Diploma Tiga</x:v>
      </x:c>
      <x:c r="F2727" s="18" t="n">
        <x:v>78</x:v>
      </x:c>
      <x:c r="G2727" s="18" t="n">
        <x:v>1144</x:v>
      </x:c>
      <x:c r="H2727" s="19" t="n">
        <x:v>14.666666666666666</x:v>
      </x:c>
      <x:c r="I2727" s="18" t="n">
        <x:f>ROUND(MIN(Model_Config_v3!$B$6,MAX(Q2727,R2727,S2727*Model_Config_v3!$B$4+T2727*Model_Config_v3!$B$5)),0)</x:f>
        <x:v>675</x:v>
      </x:c>
      <x:c r="J2727" s="18" t="n">
        <x:f>MIN(Model_Config_v3!$B$6,I2727+Model_Config_v3!$B$7)</x:f>
        <x:v>695</x:v>
      </x:c>
      <x:c r="K2727" s="20" t="n">
        <x:v>62.9</x:v>
      </x:c>
      <x:c r="L2727" t="str">
        <x:v>KETAT</x:v>
      </x:c>
      <x:c r="M2727" t="str">
        <x:v>SEDANG+</x:v>
      </x:c>
      <x:c r="N2727" t="str">
        <x:v>REGULER</x:v>
      </x:c>
      <x:c r="O2727" t="str">
        <x:v>SOSHUM</x:v>
      </x:c>
      <x:c r="P2727" t="str">
        <x:v>BISNIS/EKONOMI/AKUNTANSI</x:v>
      </x:c>
      <x:c r="Q2727" s="18" t="n">
        <x:v>0</x:v>
      </x:c>
      <x:c r="R2727" s="18" t="n">
        <x:v>0</x:v>
      </x:c>
      <x:c r="S2727" s="18" t="n">
        <x:v>648.2964563943177</x:v>
      </x:c>
      <x:c r="T2727" s="18" t="n">
        <x:v>686</x:v>
      </x:c>
      <x:c r="U2727" s="18" t="n">
        <x:v>648.2964563943177</x:v>
      </x:c>
      <x:c r="V2727" s="20" t="n">
        <x:v>4.4</x:v>
      </x:c>
      <x:c r="W2727" s="20" t="n">
        <x:v>14.3</x:v>
      </x:c>
      <x:c r="X2727" s="20" t="n">
        <x:v>3.3</x:v>
      </x:c>
      <x:c r="Y2727" t="str">
        <x:v>Basis arsip 2025/2024</x:v>
      </x:c>
      <x:c r="Z2727" t="str">
        <x:v>https://snpmb.id/utbk-snbt/daya-tampung-snbt</x:v>
      </x:c>
      <x:c r="AA2727" t="str">
        <x:v>Tidak Ada</x:v>
      </x:c>
      <x:c r="AB2727" t="str">
        <x:v>Campus=55; Ratio=68.6; Prodi=65; RelDemand=100.0; Capacity=35.0</x:v>
      </x:c>
    </x:row>
    <x:row r="2728">
      <x:c r="A2728" t="n">
        <x:v>2725</x:v>
      </x:c>
      <x:c r="B2728" t="str">
        <x:v>PTN Akademik</x:v>
      </x:c>
      <x:c r="C2728" t="str">
        <x:v>UNIVERSITAS MULAWARMAN</x:v>
      </x:c>
      <x:c r="D2728" t="str">
        <x:v>AGROEKOTEKNOLOGI</x:v>
      </x:c>
      <x:c r="E2728" t="str">
        <x:v>Sarjana</x:v>
      </x:c>
      <x:c r="F2728" s="18" t="n">
        <x:v>63</x:v>
      </x:c>
      <x:c r="G2728" s="18" t="n">
        <x:v>119</x:v>
      </x:c>
      <x:c r="H2728" s="19" t="n">
        <x:v>1.8888888888888888</x:v>
      </x:c>
      <x:c r="I2728" s="18" t="n">
        <x:f>ROUND(MIN(Model_Config_v3!$B$6,MAX(Q2728,R2728,S2728*Model_Config_v3!$B$4+T2728*Model_Config_v3!$B$5)),0)</x:f>
        <x:v>610</x:v>
      </x:c>
      <x:c r="J2728" s="18" t="n">
        <x:f>MIN(Model_Config_v3!$B$6,I2728+Model_Config_v3!$B$7)</x:f>
        <x:v>630</x:v>
      </x:c>
      <x:c r="K2728" s="20" t="n">
        <x:v>37.4</x:v>
      </x:c>
      <x:c r="L2728" t="str">
        <x:v>RELATIF LONGGAR</x:v>
      </x:c>
      <x:c r="M2728" t="str">
        <x:v>SEDANG</x:v>
      </x:c>
      <x:c r="N2728" t="str">
        <x:v>REGULER</x:v>
      </x:c>
      <x:c r="O2728" t="str">
        <x:v>SAINTEK</x:v>
      </x:c>
      <x:c r="P2728" t="str">
        <x:v>UMUM</x:v>
      </x:c>
      <x:c r="Q2728" s="18" t="n">
        <x:v>0</x:v>
      </x:c>
      <x:c r="R2728" s="18" t="n">
        <x:v>0</x:v>
      </x:c>
      <x:c r="S2728" s="18" t="n">
        <x:v>550.3827053132844</x:v>
      </x:c>
      <x:c r="T2728" s="18" t="n">
        <x:v>635</x:v>
      </x:c>
      <x:c r="U2728" s="18" t="n">
        <x:v>550.3827053132844</x:v>
      </x:c>
      <x:c r="V2728" s="20" t="n">
        <x:v>12</x:v>
      </x:c>
      <x:c r="W2728" s="20" t="n">
        <x:v>5</x:v>
      </x:c>
      <x:c r="X2728" s="20" t="n">
        <x:v>3</x:v>
      </x:c>
      <x:c r="Y2728" t="str">
        <x:v>Basis arsip 2025/2024</x:v>
      </x:c>
      <x:c r="Z2728" t="str">
        <x:v>https://snpmb.id/utbk-snbt/daya-tampung-snbt</x:v>
      </x:c>
      <x:c r="AA2728" t="str">
        <x:v>Tidak Ada</x:v>
      </x:c>
      <x:c r="AB2728" t="str">
        <x:v>Campus=55; Ratio=16.3; Prodi=40; RelDemand=13.6; Capacity=47.5</x:v>
      </x:c>
    </x:row>
    <x:row r="2729">
      <x:c r="A2729" t="n">
        <x:v>2726</x:v>
      </x:c>
      <x:c r="B2729" t="str">
        <x:v>PTN Akademik</x:v>
      </x:c>
      <x:c r="C2729" t="str">
        <x:v>UNIVERSITAS MULAWARMAN</x:v>
      </x:c>
      <x:c r="D2729" t="str">
        <x:v>AGRIBISNIS</x:v>
      </x:c>
      <x:c r="E2729" t="str">
        <x:v>Sarjana</x:v>
      </x:c>
      <x:c r="F2729" s="18" t="n">
        <x:v>45</x:v>
      </x:c>
      <x:c r="G2729" s="18" t="n">
        <x:v>152</x:v>
      </x:c>
      <x:c r="H2729" s="19" t="n">
        <x:v>3.3777777777777778</x:v>
      </x:c>
      <x:c r="I2729" s="18" t="n">
        <x:f>ROUND(MIN(Model_Config_v3!$B$6,MAX(Q2729,R2729,S2729*Model_Config_v3!$B$4+T2729*Model_Config_v3!$B$5)),0)</x:f>
        <x:v>633</x:v>
      </x:c>
      <x:c r="J2729" s="18" t="n">
        <x:f>MIN(Model_Config_v3!$B$6,I2729+Model_Config_v3!$B$7)</x:f>
        <x:v>653</x:v>
      </x:c>
      <x:c r="K2729" s="20" t="n">
        <x:v>48.7</x:v>
      </x:c>
      <x:c r="L2729" t="str">
        <x:v>MENENGAH</x:v>
      </x:c>
      <x:c r="M2729" t="str">
        <x:v>SEDANG+</x:v>
      </x:c>
      <x:c r="N2729" t="str">
        <x:v>REGULER</x:v>
      </x:c>
      <x:c r="O2729" t="str">
        <x:v>SOSHUM</x:v>
      </x:c>
      <x:c r="P2729" t="str">
        <x:v>BISNIS/EKONOMI/AKUNTANSI</x:v>
      </x:c>
      <x:c r="Q2729" s="18" t="n">
        <x:v>0</x:v>
      </x:c>
      <x:c r="R2729" s="18" t="n">
        <x:v>0</x:v>
      </x:c>
      <x:c r="S2729" s="18" t="n">
        <x:v>578.1494181586372</x:v>
      </x:c>
      <x:c r="T2729" s="18" t="n">
        <x:v>657</x:v>
      </x:c>
      <x:c r="U2729" s="18" t="n">
        <x:v>593.1494181586372</x:v>
      </x:c>
      <x:c r="V2729" s="20" t="n">
        <x:v>4.4</x:v>
      </x:c>
      <x:c r="W2729" s="20" t="n">
        <x:v>14.3</x:v>
      </x:c>
      <x:c r="X2729" s="20" t="n">
        <x:v>3.3</x:v>
      </x:c>
      <x:c r="Y2729" t="str">
        <x:v>Basis arsip 2025/2024</x:v>
      </x:c>
      <x:c r="Z2729" t="str">
        <x:v>https://snpmb.id/utbk-snbt/daya-tampung-snbt</x:v>
      </x:c>
      <x:c r="AA2729" t="str">
        <x:v>Tidak Ada</x:v>
      </x:c>
      <x:c r="AB2729" t="str">
        <x:v>Campus=55; Ratio=31.1; Prodi=65; RelDemand=24.3; Capacity=62.5</x:v>
      </x:c>
    </x:row>
    <x:row r="2730">
      <x:c r="A2730" t="n">
        <x:v>2727</x:v>
      </x:c>
      <x:c r="B2730" t="str">
        <x:v>PTN Akademik</x:v>
      </x:c>
      <x:c r="C2730" t="str">
        <x:v>UNIVERSITAS MULAWARMAN</x:v>
      </x:c>
      <x:c r="D2730" t="str">
        <x:v>TEKNOLOGI HASIL PERTANIAN</x:v>
      </x:c>
      <x:c r="E2730" t="str">
        <x:v>Sarjana</x:v>
      </x:c>
      <x:c r="F2730" s="18" t="n">
        <x:v>45</x:v>
      </x:c>
      <x:c r="G2730" s="18" t="n">
        <x:v>75</x:v>
      </x:c>
      <x:c r="H2730" s="19" t="n">
        <x:v>1.6666666666666667</x:v>
      </x:c>
      <x:c r="I2730" s="18" t="n">
        <x:f>ROUND(MIN(Model_Config_v3!$B$6,MAX(Q2730,R2730,S2730*Model_Config_v3!$B$4+T2730*Model_Config_v3!$B$5)),0)</x:f>
        <x:v>609</x:v>
      </x:c>
      <x:c r="J2730" s="18" t="n">
        <x:f>MIN(Model_Config_v3!$B$6,I2730+Model_Config_v3!$B$7)</x:f>
        <x:v>629</x:v>
      </x:c>
      <x:c r="K2730" s="20" t="n">
        <x:v>38</x:v>
      </x:c>
      <x:c r="L2730" t="str">
        <x:v>RELATIF LONGGAR</x:v>
      </x:c>
      <x:c r="M2730" t="str">
        <x:v>SEDANG</x:v>
      </x:c>
      <x:c r="N2730" t="str">
        <x:v>REGULER</x:v>
      </x:c>
      <x:c r="O2730" t="str">
        <x:v>SAINTEK</x:v>
      </x:c>
      <x:c r="P2730" t="str">
        <x:v>UMUM</x:v>
      </x:c>
      <x:c r="Q2730" s="18" t="n">
        <x:v>0</x:v>
      </x:c>
      <x:c r="R2730" s="18" t="n">
        <x:v>0</x:v>
      </x:c>
      <x:c r="S2730" s="18" t="n">
        <x:v>544.4033624577992</x:v>
      </x:c>
      <x:c r="T2730" s="18" t="n">
        <x:v>636</x:v>
      </x:c>
      <x:c r="U2730" s="18" t="n">
        <x:v>544.4033624577992</x:v>
      </x:c>
      <x:c r="V2730" s="20" t="n">
        <x:v>12</x:v>
      </x:c>
      <x:c r="W2730" s="20" t="n">
        <x:v>5</x:v>
      </x:c>
      <x:c r="X2730" s="20" t="n">
        <x:v>3</x:v>
      </x:c>
      <x:c r="Y2730" t="str">
        <x:v>Basis arsip 2025/2024</x:v>
      </x:c>
      <x:c r="Z2730" t="str">
        <x:v>https://snpmb.id/utbk-snbt/daya-tampung-snbt</x:v>
      </x:c>
      <x:c r="AA2730" t="str">
        <x:v>Tidak Ada</x:v>
      </x:c>
      <x:c r="AB2730" t="str">
        <x:v>Campus=55; Ratio=13.1; Prodi=40; RelDemand=12.0; Capacity=62.5</x:v>
      </x:c>
    </x:row>
    <x:row r="2731">
      <x:c r="A2731" t="n">
        <x:v>2728</x:v>
      </x:c>
      <x:c r="B2731" t="str">
        <x:v>PTN Akademik</x:v>
      </x:c>
      <x:c r="C2731" t="str">
        <x:v>UNIVERSITAS MULAWARMAN</x:v>
      </x:c>
      <x:c r="D2731" t="str">
        <x:v>KEHUTANAN</x:v>
      </x:c>
      <x:c r="E2731" t="str">
        <x:v>Sarjana</x:v>
      </x:c>
      <x:c r="F2731" s="18" t="n">
        <x:v>176</x:v>
      </x:c>
      <x:c r="G2731" s="18" t="n">
        <x:v>368</x:v>
      </x:c>
      <x:c r="H2731" s="19" t="n">
        <x:v>2.090909090909091</x:v>
      </x:c>
      <x:c r="I2731" s="18" t="n">
        <x:f>ROUND(MIN(Model_Config_v3!$B$6,MAX(Q2731,R2731,S2731*Model_Config_v3!$B$4+T2731*Model_Config_v3!$B$5)),0)</x:f>
        <x:v>605</x:v>
      </x:c>
      <x:c r="J2731" s="18" t="n">
        <x:f>MIN(Model_Config_v3!$B$6,I2731+Model_Config_v3!$B$7)</x:f>
        <x:v>625</x:v>
      </x:c>
      <x:c r="K2731" s="20" t="n">
        <x:v>33.5</x:v>
      </x:c>
      <x:c r="L2731" t="str">
        <x:v>RELATIF LONGGAR</x:v>
      </x:c>
      <x:c r="M2731" t="str">
        <x:v>SEDANG</x:v>
      </x:c>
      <x:c r="N2731" t="str">
        <x:v>REGULER</x:v>
      </x:c>
      <x:c r="O2731" t="str">
        <x:v>CAMPURAN</x:v>
      </x:c>
      <x:c r="P2731" t="str">
        <x:v>UMUM</x:v>
      </x:c>
      <x:c r="Q2731" s="18" t="n">
        <x:v>0</x:v>
      </x:c>
      <x:c r="R2731" s="18" t="n">
        <x:v>0</x:v>
      </x:c>
      <x:c r="S2731" s="18" t="n">
        <x:v>555.2368665945305</x:v>
      </x:c>
      <x:c r="T2731" s="18" t="n">
        <x:v>627</x:v>
      </x:c>
      <x:c r="U2731" s="18" t="n">
        <x:v>555.2368665945305</x:v>
      </x:c>
      <x:c r="V2731" s="20" t="n">
        <x:v>8.8</x:v>
      </x:c>
      <x:c r="W2731" s="20" t="n">
        <x:v>9.9</x:v>
      </x:c>
      <x:c r="X2731" s="20" t="n">
        <x:v>3.3</x:v>
      </x:c>
      <x:c r="Y2731" t="str">
        <x:v>Basis arsip 2025/2024</x:v>
      </x:c>
      <x:c r="Z2731" t="str">
        <x:v>https://snpmb.id/utbk-snbt/daya-tampung-snbt</x:v>
      </x:c>
      <x:c r="AA2731" t="str">
        <x:v>Tidak Ada</x:v>
      </x:c>
      <x:c r="AB2731" t="str">
        <x:v>Campus=55; Ratio=18.9; Prodi=40; RelDemand=15.1; Capacity=0.0</x:v>
      </x:c>
    </x:row>
    <x:row r="2732">
      <x:c r="A2732" t="n">
        <x:v>2729</x:v>
      </x:c>
      <x:c r="B2732" t="str">
        <x:v>PTN Akademik</x:v>
      </x:c>
      <x:c r="C2732" t="str">
        <x:v>UNIVERSITAS MULAWARMAN</x:v>
      </x:c>
      <x:c r="D2732" t="str">
        <x:v>PENDIDIKAN BIOLOGI</x:v>
      </x:c>
      <x:c r="E2732" t="str">
        <x:v>Sarjana</x:v>
      </x:c>
      <x:c r="F2732" s="18" t="n">
        <x:v>32</x:v>
      </x:c>
      <x:c r="G2732" s="18" t="n">
        <x:v>74</x:v>
      </x:c>
      <x:c r="H2732" s="19" t="n">
        <x:v>2.3125</x:v>
      </x:c>
      <x:c r="I2732" s="18" t="n">
        <x:f>ROUND(MIN(Model_Config_v3!$B$6,MAX(Q2732,R2732,S2732*Model_Config_v3!$B$4+T2732*Model_Config_v3!$B$5)),0)</x:f>
        <x:v>620</x:v>
      </x:c>
      <x:c r="J2732" s="18" t="n">
        <x:f>MIN(Model_Config_v3!$B$6,I2732+Model_Config_v3!$B$7)</x:f>
        <x:v>640</x:v>
      </x:c>
      <x:c r="K2732" s="20" t="n">
        <x:v>42.6</x:v>
      </x:c>
      <x:c r="L2732" t="str">
        <x:v>RELATIF LONGGAR</x:v>
      </x:c>
      <x:c r="M2732" t="str">
        <x:v>SEDANG+</x:v>
      </x:c>
      <x:c r="N2732" t="str">
        <x:v>REGULER</x:v>
      </x:c>
      <x:c r="O2732" t="str">
        <x:v>SAINTEK</x:v>
      </x:c>
      <x:c r="P2732" t="str">
        <x:v>PENDIDIKAN</x:v>
      </x:c>
      <x:c r="Q2732" s="18" t="n">
        <x:v>0</x:v>
      </x:c>
      <x:c r="R2732" s="18" t="n">
        <x:v>0</x:v>
      </x:c>
      <x:c r="S2732" s="18" t="n">
        <x:v>560.0489915552178</x:v>
      </x:c>
      <x:c r="T2732" s="18" t="n">
        <x:v>645</x:v>
      </x:c>
      <x:c r="U2732" s="18" t="n">
        <x:v>560.0489915552178</x:v>
      </x:c>
      <x:c r="V2732" s="20" t="n">
        <x:v>12</x:v>
      </x:c>
      <x:c r="W2732" s="20" t="n">
        <x:v>5</x:v>
      </x:c>
      <x:c r="X2732" s="20" t="n">
        <x:v>3</x:v>
      </x:c>
      <x:c r="Y2732" t="str">
        <x:v>Basis arsip 2025/2024</x:v>
      </x:c>
      <x:c r="Z2732" t="str">
        <x:v>https://snpmb.id/utbk-snbt/daya-tampung-snbt</x:v>
      </x:c>
      <x:c r="AA2732" t="str">
        <x:v>Tidak Ada</x:v>
      </x:c>
      <x:c r="AB2732" t="str">
        <x:v>Campus=55; Ratio=21.4; Prodi=45; RelDemand=16.7; Capacity=73.3</x:v>
      </x:c>
    </x:row>
    <x:row r="2733">
      <x:c r="A2733" t="n">
        <x:v>2730</x:v>
      </x:c>
      <x:c r="B2733" t="str">
        <x:v>PTN Akademik</x:v>
      </x:c>
      <x:c r="C2733" t="str">
        <x:v>UNIVERSITAS MULAWARMAN</x:v>
      </x:c>
      <x:c r="D2733" t="str">
        <x:v>PENDIDIKAN KIMIA</x:v>
      </x:c>
      <x:c r="E2733" t="str">
        <x:v>Sarjana</x:v>
      </x:c>
      <x:c r="F2733" s="18" t="n">
        <x:v>16</x:v>
      </x:c>
      <x:c r="G2733" s="18" t="n">
        <x:v>19</x:v>
      </x:c>
      <x:c r="H2733" s="19" t="n">
        <x:v>1.1875</x:v>
      </x:c>
      <x:c r="I2733" s="18" t="n">
        <x:f>ROUND(MIN(Model_Config_v3!$B$6,MAX(Q2733,R2733,S2733*Model_Config_v3!$B$4+T2733*Model_Config_v3!$B$5)),0)</x:f>
        <x:v>605</x:v>
      </x:c>
      <x:c r="J2733" s="18" t="n">
        <x:f>MIN(Model_Config_v3!$B$6,I2733+Model_Config_v3!$B$7)</x:f>
        <x:v>625</x:v>
      </x:c>
      <x:c r="K2733" s="20" t="n">
        <x:v>38.9</x:v>
      </x:c>
      <x:c r="L2733" t="str">
        <x:v>RELATIF LONGGAR</x:v>
      </x:c>
      <x:c r="M2733" t="str">
        <x:v>SEDANG+</x:v>
      </x:c>
      <x:c r="N2733" t="str">
        <x:v>REGULER</x:v>
      </x:c>
      <x:c r="O2733" t="str">
        <x:v>SAINTEK</x:v>
      </x:c>
      <x:c r="P2733" t="str">
        <x:v>PENDIDIKAN</x:v>
      </x:c>
      <x:c r="Q2733" s="18" t="n">
        <x:v>0</x:v>
      </x:c>
      <x:c r="R2733" s="18" t="n">
        <x:v>0</x:v>
      </x:c>
      <x:c r="S2733" s="18" t="n">
        <x:v>528.2096980126595</x:v>
      </x:c>
      <x:c r="T2733" s="18" t="n">
        <x:v>638</x:v>
      </x:c>
      <x:c r="U2733" s="18" t="n">
        <x:v>528.2096980126595</x:v>
      </x:c>
      <x:c r="V2733" s="20" t="n">
        <x:v>12</x:v>
      </x:c>
      <x:c r="W2733" s="20" t="n">
        <x:v>5</x:v>
      </x:c>
      <x:c r="X2733" s="20" t="n">
        <x:v>3</x:v>
      </x:c>
      <x:c r="Y2733" t="str">
        <x:v>Basis arsip 2025/2024</x:v>
      </x:c>
      <x:c r="Z2733" t="str">
        <x:v>https://snpmb.id/utbk-snbt/daya-tampung-snbt</x:v>
      </x:c>
      <x:c r="AA2733" t="str">
        <x:v>Tidak Ada</x:v>
      </x:c>
      <x:c r="AB2733" t="str">
        <x:v>Campus=55; Ratio=4.4; Prodi=45; RelDemand=8.6; Capacity=86.7</x:v>
      </x:c>
    </x:row>
    <x:row r="2734">
      <x:c r="A2734" t="n">
        <x:v>2731</x:v>
      </x:c>
      <x:c r="B2734" t="str">
        <x:v>PTN Akademik</x:v>
      </x:c>
      <x:c r="C2734" t="str">
        <x:v>UNIVERSITAS MULAWARMAN</x:v>
      </x:c>
      <x:c r="D2734" t="str">
        <x:v>PENDIDIKAN FISIKA</x:v>
      </x:c>
      <x:c r="E2734" t="str">
        <x:v>Sarjana</x:v>
      </x:c>
      <x:c r="F2734" s="18" t="n">
        <x:v>32</x:v>
      </x:c>
      <x:c r="G2734" s="18" t="n">
        <x:v>15</x:v>
      </x:c>
      <x:c r="H2734" s="19" t="n">
        <x:v>0.46875</x:v>
      </x:c>
      <x:c r="I2734" s="18" t="n">
        <x:f>ROUND(MIN(Model_Config_v3!$B$6,MAX(Q2734,R2734,S2734*Model_Config_v3!$B$4+T2734*Model_Config_v3!$B$5)),0)</x:f>
        <x:v>598</x:v>
      </x:c>
      <x:c r="J2734" s="18" t="n">
        <x:f>MIN(Model_Config_v3!$B$6,I2734+Model_Config_v3!$B$7)</x:f>
        <x:v>618</x:v>
      </x:c>
      <x:c r="K2734" s="20" t="n">
        <x:v>35.9</x:v>
      </x:c>
      <x:c r="L2734" t="str">
        <x:v>RELATIF LONGGAR</x:v>
      </x:c>
      <x:c r="M2734" t="str">
        <x:v>SEDANG+</x:v>
      </x:c>
      <x:c r="N2734" t="str">
        <x:v>REGULER</x:v>
      </x:c>
      <x:c r="O2734" t="str">
        <x:v>SAINTEK</x:v>
      </x:c>
      <x:c r="P2734" t="str">
        <x:v>PENDIDIKAN</x:v>
      </x:c>
      <x:c r="Q2734" s="18" t="n">
        <x:v>0</x:v>
      </x:c>
      <x:c r="R2734" s="18" t="n">
        <x:v>0</x:v>
      </x:c>
      <x:c r="S2734" s="18" t="n">
        <x:v>520</x:v>
      </x:c>
      <x:c r="T2734" s="18" t="n">
        <x:v>632</x:v>
      </x:c>
      <x:c r="U2734" s="18" t="n">
        <x:v>520</x:v>
      </x:c>
      <x:c r="V2734" s="20" t="n">
        <x:v>12</x:v>
      </x:c>
      <x:c r="W2734" s="20" t="n">
        <x:v>5</x:v>
      </x:c>
      <x:c r="X2734" s="20" t="n">
        <x:v>3</x:v>
      </x:c>
      <x:c r="Y2734" t="str">
        <x:v>Basis arsip 2025/2024</x:v>
      </x:c>
      <x:c r="Z2734" t="str">
        <x:v>https://snpmb.id/utbk-snbt/daya-tampung-snbt</x:v>
      </x:c>
      <x:c r="AA2734" t="str">
        <x:v>Tidak Ada</x:v>
      </x:c>
      <x:c r="AB2734" t="str">
        <x:v>Campus=55; Ratio=0.0; Prodi=45; RelDemand=3.4; Capacity=73.3</x:v>
      </x:c>
    </x:row>
    <x:row r="2735">
      <x:c r="A2735" t="n">
        <x:v>2732</x:v>
      </x:c>
      <x:c r="B2735" t="str">
        <x:v>PTN Akademik</x:v>
      </x:c>
      <x:c r="C2735" t="str">
        <x:v>UNIVERSITAS MULAWARMAN</x:v>
      </x:c>
      <x:c r="D2735" t="str">
        <x:v>PENDIDIKAN MATEMATIKA</x:v>
      </x:c>
      <x:c r="E2735" t="str">
        <x:v>Sarjana</x:v>
      </x:c>
      <x:c r="F2735" s="18" t="n">
        <x:v>32</x:v>
      </x:c>
      <x:c r="G2735" s="18" t="n">
        <x:v>69</x:v>
      </x:c>
      <x:c r="H2735" s="19" t="n">
        <x:v>2.15625</x:v>
      </x:c>
      <x:c r="I2735" s="18" t="n">
        <x:f>ROUND(MIN(Model_Config_v3!$B$6,MAX(Q2735,R2735,S2735*Model_Config_v3!$B$4+T2735*Model_Config_v3!$B$5)),0)</x:f>
        <x:v>618</x:v>
      </x:c>
      <x:c r="J2735" s="18" t="n">
        <x:f>MIN(Model_Config_v3!$B$6,I2735+Model_Config_v3!$B$7)</x:f>
        <x:v>638</x:v>
      </x:c>
      <x:c r="K2735" s="20" t="n">
        <x:v>42</x:v>
      </x:c>
      <x:c r="L2735" t="str">
        <x:v>RELATIF LONGGAR</x:v>
      </x:c>
      <x:c r="M2735" t="str">
        <x:v>SEDANG+</x:v>
      </x:c>
      <x:c r="N2735" t="str">
        <x:v>REGULER</x:v>
      </x:c>
      <x:c r="O2735" t="str">
        <x:v>SAINTEK</x:v>
      </x:c>
      <x:c r="P2735" t="str">
        <x:v>PENDIDIKAN</x:v>
      </x:c>
      <x:c r="Q2735" s="18" t="n">
        <x:v>0</x:v>
      </x:c>
      <x:c r="R2735" s="18" t="n">
        <x:v>0</x:v>
      </x:c>
      <x:c r="S2735" s="18" t="n">
        <x:v>556.7069023659084</x:v>
      </x:c>
      <x:c r="T2735" s="18" t="n">
        <x:v>644</x:v>
      </x:c>
      <x:c r="U2735" s="18" t="n">
        <x:v>556.7069023659084</x:v>
      </x:c>
      <x:c r="V2735" s="20" t="n">
        <x:v>12</x:v>
      </x:c>
      <x:c r="W2735" s="20" t="n">
        <x:v>5</x:v>
      </x:c>
      <x:c r="X2735" s="20" t="n">
        <x:v>3</x:v>
      </x:c>
      <x:c r="Y2735" t="str">
        <x:v>Basis arsip 2025/2024</x:v>
      </x:c>
      <x:c r="Z2735" t="str">
        <x:v>https://snpmb.id/utbk-snbt/daya-tampung-snbt</x:v>
      </x:c>
      <x:c r="AA2735" t="str">
        <x:v>Tidak Ada</x:v>
      </x:c>
      <x:c r="AB2735" t="str">
        <x:v>Campus=55; Ratio=19.6; Prodi=45; RelDemand=15.5; Capacity=73.3</x:v>
      </x:c>
    </x:row>
    <x:row r="2736">
      <x:c r="A2736" t="n">
        <x:v>2733</x:v>
      </x:c>
      <x:c r="B2736" t="str">
        <x:v>PTN Akademik</x:v>
      </x:c>
      <x:c r="C2736" t="str">
        <x:v>UNIVERSITAS MULAWARMAN</x:v>
      </x:c>
      <x:c r="D2736" t="str">
        <x:v>AKUAKULTUR</x:v>
      </x:c>
      <x:c r="E2736" t="str">
        <x:v>Sarjana</x:v>
      </x:c>
      <x:c r="F2736" s="18" t="n">
        <x:v>24</x:v>
      </x:c>
      <x:c r="G2736" s="18" t="n">
        <x:v>23</x:v>
      </x:c>
      <x:c r="H2736" s="19" t="n">
        <x:v>0.9583333333333334</x:v>
      </x:c>
      <x:c r="I2736" s="18" t="n">
        <x:f>ROUND(MIN(Model_Config_v3!$B$6,MAX(Q2736,R2736,S2736*Model_Config_v3!$B$4+T2736*Model_Config_v3!$B$5)),0)</x:f>
        <x:v>598</x:v>
      </x:c>
      <x:c r="J2736" s="18" t="n">
        <x:f>MIN(Model_Config_v3!$B$6,I2736+Model_Config_v3!$B$7)</x:f>
        <x:v>618</x:v>
      </x:c>
      <x:c r="K2736" s="20" t="n">
        <x:v>35.9</x:v>
      </x:c>
      <x:c r="L2736" t="str">
        <x:v>RELATIF LONGGAR</x:v>
      </x:c>
      <x:c r="M2736" t="str">
        <x:v>SEDANG</x:v>
      </x:c>
      <x:c r="N2736" t="str">
        <x:v>REGULER</x:v>
      </x:c>
      <x:c r="O2736" t="str">
        <x:v>CAMPURAN</x:v>
      </x:c>
      <x:c r="P2736" t="str">
        <x:v>UMUM</x:v>
      </x:c>
      <x:c r="Q2736" s="18" t="n">
        <x:v>0</x:v>
      </x:c>
      <x:c r="R2736" s="18" t="n">
        <x:v>0</x:v>
      </x:c>
      <x:c r="S2736" s="18" t="n">
        <x:v>520</x:v>
      </x:c>
      <x:c r="T2736" s="18" t="n">
        <x:v>632</x:v>
      </x:c>
      <x:c r="U2736" s="18" t="n">
        <x:v>520</x:v>
      </x:c>
      <x:c r="V2736" s="20" t="n">
        <x:v>8.8</x:v>
      </x:c>
      <x:c r="W2736" s="20" t="n">
        <x:v>9.9</x:v>
      </x:c>
      <x:c r="X2736" s="20" t="n">
        <x:v>3.3</x:v>
      </x:c>
      <x:c r="Y2736" t="str">
        <x:v>Basis arsip 2025/2024</x:v>
      </x:c>
      <x:c r="Z2736" t="str">
        <x:v>https://snpmb.id/utbk-snbt/daya-tampung-snbt</x:v>
      </x:c>
      <x:c r="AA2736" t="str">
        <x:v>Tidak Ada</x:v>
      </x:c>
      <x:c r="AB2736" t="str">
        <x:v>Campus=55; Ratio=0.0; Prodi=40; RelDemand=6.9; Capacity=80.0</x:v>
      </x:c>
    </x:row>
    <x:row r="2737">
      <x:c r="A2737" t="n">
        <x:v>2734</x:v>
      </x:c>
      <x:c r="B2737" t="str">
        <x:v>PTN Akademik</x:v>
      </x:c>
      <x:c r="C2737" t="str">
        <x:v>UNIVERSITAS MULAWARMAN</x:v>
      </x:c>
      <x:c r="D2737" t="str">
        <x:v>SOSIAL EKONOMI PERIKANAN</x:v>
      </x:c>
      <x:c r="E2737" t="str">
        <x:v>Sarjana</x:v>
      </x:c>
      <x:c r="F2737" s="18" t="n">
        <x:v>24</x:v>
      </x:c>
      <x:c r="G2737" s="18" t="n">
        <x:v>23</x:v>
      </x:c>
      <x:c r="H2737" s="19" t="n">
        <x:v>0.9583333333333334</x:v>
      </x:c>
      <x:c r="I2737" s="18" t="n">
        <x:f>ROUND(MIN(Model_Config_v3!$B$6,MAX(Q2737,R2737,S2737*Model_Config_v3!$B$4+T2737*Model_Config_v3!$B$5)),0)</x:f>
        <x:v>598</x:v>
      </x:c>
      <x:c r="J2737" s="18" t="n">
        <x:f>MIN(Model_Config_v3!$B$6,I2737+Model_Config_v3!$B$7)</x:f>
        <x:v>618</x:v>
      </x:c>
      <x:c r="K2737" s="20" t="n">
        <x:v>35.9</x:v>
      </x:c>
      <x:c r="L2737" t="str">
        <x:v>RELATIF LONGGAR</x:v>
      </x:c>
      <x:c r="M2737" t="str">
        <x:v>SEDANG</x:v>
      </x:c>
      <x:c r="N2737" t="str">
        <x:v>REGULER</x:v>
      </x:c>
      <x:c r="O2737" t="str">
        <x:v>SAINTEK</x:v>
      </x:c>
      <x:c r="P2737" t="str">
        <x:v>UMUM</x:v>
      </x:c>
      <x:c r="Q2737" s="18" t="n">
        <x:v>0</x:v>
      </x:c>
      <x:c r="R2737" s="18" t="n">
        <x:v>0</x:v>
      </x:c>
      <x:c r="S2737" s="18" t="n">
        <x:v>520</x:v>
      </x:c>
      <x:c r="T2737" s="18" t="n">
        <x:v>632</x:v>
      </x:c>
      <x:c r="U2737" s="18" t="n">
        <x:v>520</x:v>
      </x:c>
      <x:c r="V2737" s="20" t="n">
        <x:v>12</x:v>
      </x:c>
      <x:c r="W2737" s="20" t="n">
        <x:v>5</x:v>
      </x:c>
      <x:c r="X2737" s="20" t="n">
        <x:v>3</x:v>
      </x:c>
      <x:c r="Y2737" t="str">
        <x:v>Basis arsip 2025/2024</x:v>
      </x:c>
      <x:c r="Z2737" t="str">
        <x:v>https://snpmb.id/utbk-snbt/daya-tampung-snbt</x:v>
      </x:c>
      <x:c r="AA2737" t="str">
        <x:v>Tidak Ada</x:v>
      </x:c>
      <x:c r="AB2737" t="str">
        <x:v>Campus=55; Ratio=0.0; Prodi=40; RelDemand=6.9; Capacity=80.0</x:v>
      </x:c>
    </x:row>
    <x:row r="2738">
      <x:c r="A2738" t="n">
        <x:v>2735</x:v>
      </x:c>
      <x:c r="B2738" t="str">
        <x:v>PTN Akademik</x:v>
      </x:c>
      <x:c r="C2738" t="str">
        <x:v>UNIVERSITAS MULAWARMAN</x:v>
      </x:c>
      <x:c r="D2738" t="str">
        <x:v>PENGELOLAAN SUMBERDAYA PERIKANAN</x:v>
      </x:c>
      <x:c r="E2738" t="str">
        <x:v>Sarjana</x:v>
      </x:c>
      <x:c r="F2738" s="18" t="n">
        <x:v>24</x:v>
      </x:c>
      <x:c r="G2738" s="18" t="n">
        <x:v>36</x:v>
      </x:c>
      <x:c r="H2738" s="19" t="n">
        <x:v>1.5</x:v>
      </x:c>
      <x:c r="I2738" s="18" t="n">
        <x:f>ROUND(MIN(Model_Config_v3!$B$6,MAX(Q2738,R2738,S2738*Model_Config_v3!$B$4+T2738*Model_Config_v3!$B$5)),0)</x:f>
        <x:v>608</x:v>
      </x:c>
      <x:c r="J2738" s="18" t="n">
        <x:f>MIN(Model_Config_v3!$B$6,I2738+Model_Config_v3!$B$7)</x:f>
        <x:v>628</x:v>
      </x:c>
      <x:c r="K2738" s="20" t="n">
        <x:v>38.9</x:v>
      </x:c>
      <x:c r="L2738" t="str">
        <x:v>RELATIF LONGGAR</x:v>
      </x:c>
      <x:c r="M2738" t="str">
        <x:v>SEDANG</x:v>
      </x:c>
      <x:c r="N2738" t="str">
        <x:v>REGULER</x:v>
      </x:c>
      <x:c r="O2738" t="str">
        <x:v>SAINTEK</x:v>
      </x:c>
      <x:c r="P2738" t="str">
        <x:v>UMUM</x:v>
      </x:c>
      <x:c r="Q2738" s="18" t="n">
        <x:v>0</x:v>
      </x:c>
      <x:c r="R2738" s="18" t="n">
        <x:v>0</x:v>
      </x:c>
      <x:c r="S2738" s="18" t="n">
        <x:v>539.370038496125</x:v>
      </x:c>
      <x:c r="T2738" s="18" t="n">
        <x:v>638</x:v>
      </x:c>
      <x:c r="U2738" s="18" t="n">
        <x:v>539.370038496125</x:v>
      </x:c>
      <x:c r="V2738" s="20" t="n">
        <x:v>12</x:v>
      </x:c>
      <x:c r="W2738" s="20" t="n">
        <x:v>5</x:v>
      </x:c>
      <x:c r="X2738" s="20" t="n">
        <x:v>3</x:v>
      </x:c>
      <x:c r="Y2738" t="str">
        <x:v>Basis arsip 2025/2024</x:v>
      </x:c>
      <x:c r="Z2738" t="str">
        <x:v>https://snpmb.id/utbk-snbt/daya-tampung-snbt</x:v>
      </x:c>
      <x:c r="AA2738" t="str">
        <x:v>Tidak Ada</x:v>
      </x:c>
      <x:c r="AB2738" t="str">
        <x:v>Campus=55; Ratio=10.4; Prodi=40; RelDemand=10.8; Capacity=80.0</x:v>
      </x:c>
    </x:row>
    <x:row r="2739">
      <x:c r="A2739" t="n">
        <x:v>2736</x:v>
      </x:c>
      <x:c r="B2739" t="str">
        <x:v>PTN Akademik</x:v>
      </x:c>
      <x:c r="C2739" t="str">
        <x:v>UNIVERSITAS MULAWARMAN</x:v>
      </x:c>
      <x:c r="D2739" t="str">
        <x:v>STATISTIKA</x:v>
      </x:c>
      <x:c r="E2739" t="str">
        <x:v>Sarjana</x:v>
      </x:c>
      <x:c r="F2739" s="18" t="n">
        <x:v>41</x:v>
      </x:c>
      <x:c r="G2739" s="18" t="n">
        <x:v>93</x:v>
      </x:c>
      <x:c r="H2739" s="19" t="n">
        <x:v>2.268292682926829</x:v>
      </x:c>
      <x:c r="I2739" s="18" t="n">
        <x:f>ROUND(MIN(Model_Config_v3!$B$6,MAX(Q2739,R2739,S2739*Model_Config_v3!$B$4+T2739*Model_Config_v3!$B$5)),0)</x:f>
        <x:v>622</x:v>
      </x:c>
      <x:c r="J2739" s="18" t="n">
        <x:f>MIN(Model_Config_v3!$B$6,I2739+Model_Config_v3!$B$7)</x:f>
        <x:v>642</x:v>
      </x:c>
      <x:c r="K2739" s="20" t="n">
        <x:v>44.7</x:v>
      </x:c>
      <x:c r="L2739" t="str">
        <x:v>RELATIF LONGGAR</x:v>
      </x:c>
      <x:c r="M2739" t="str">
        <x:v>SEDANG+</x:v>
      </x:c>
      <x:c r="N2739" t="str">
        <x:v>REGULER</x:v>
      </x:c>
      <x:c r="O2739" t="str">
        <x:v>SAINTEK</x:v>
      </x:c>
      <x:c r="P2739" t="str">
        <x:v>TEKNIK/ARSITEKTUR/STATISTIKA/AKTUARIA</x:v>
      </x:c>
      <x:c r="Q2739" s="18" t="n">
        <x:v>0</x:v>
      </x:c>
      <x:c r="R2739" s="18" t="n">
        <x:v>0</x:v>
      </x:c>
      <x:c r="S2739" s="18" t="n">
        <x:v>559.126900101762</x:v>
      </x:c>
      <x:c r="T2739" s="18" t="n">
        <x:v>649</x:v>
      </x:c>
      <x:c r="U2739" s="18" t="n">
        <x:v>569.126900101762</x:v>
      </x:c>
      <x:c r="V2739" s="20" t="n">
        <x:v>12</x:v>
      </x:c>
      <x:c r="W2739" s="20" t="n">
        <x:v>5</x:v>
      </x:c>
      <x:c r="X2739" s="20" t="n">
        <x:v>3</x:v>
      </x:c>
      <x:c r="Y2739" t="str">
        <x:v>Basis arsip 2025/2024</x:v>
      </x:c>
      <x:c r="Z2739" t="str">
        <x:v>https://snpmb.id/utbk-snbt/daya-tampung-snbt</x:v>
      </x:c>
      <x:c r="AA2739" t="str">
        <x:v>Tidak Ada</x:v>
      </x:c>
      <x:c r="AB2739" t="str">
        <x:v>Campus=55; Ratio=20.9; Prodi=60; RelDemand=16.3; Capacity=65.8</x:v>
      </x:c>
    </x:row>
    <x:row r="2740">
      <x:c r="A2740" t="n">
        <x:v>2737</x:v>
      </x:c>
      <x:c r="B2740" t="str">
        <x:v>PTN Akademik</x:v>
      </x:c>
      <x:c r="C2740" t="str">
        <x:v>UNIVERSITAS MULAWARMAN</x:v>
      </x:c>
      <x:c r="D2740" t="str">
        <x:v>BIOLOGI</x:v>
      </x:c>
      <x:c r="E2740" t="str">
        <x:v>Sarjana</x:v>
      </x:c>
      <x:c r="F2740" s="18" t="n">
        <x:v>40</x:v>
      </x:c>
      <x:c r="G2740" s="18" t="n">
        <x:v>47</x:v>
      </x:c>
      <x:c r="H2740" s="19" t="n">
        <x:v>1.175</x:v>
      </x:c>
      <x:c r="I2740" s="18" t="n">
        <x:f>ROUND(MIN(Model_Config_v3!$B$6,MAX(Q2740,R2740,S2740*Model_Config_v3!$B$4+T2740*Model_Config_v3!$B$5)),0)</x:f>
        <x:v>604</x:v>
      </x:c>
      <x:c r="J2740" s="18" t="n">
        <x:f>MIN(Model_Config_v3!$B$6,I2740+Model_Config_v3!$B$7)</x:f>
        <x:v>624</x:v>
      </x:c>
      <x:c r="K2740" s="20" t="n">
        <x:v>37.8</x:v>
      </x:c>
      <x:c r="L2740" t="str">
        <x:v>RELATIF LONGGAR</x:v>
      </x:c>
      <x:c r="M2740" t="str">
        <x:v>SEDANG+</x:v>
      </x:c>
      <x:c r="N2740" t="str">
        <x:v>REGULER</x:v>
      </x:c>
      <x:c r="O2740" t="str">
        <x:v>SAINTEK</x:v>
      </x:c>
      <x:c r="P2740" t="str">
        <x:v>SAINS DASAR</x:v>
      </x:c>
      <x:c r="Q2740" s="18" t="n">
        <x:v>0</x:v>
      </x:c>
      <x:c r="R2740" s="18" t="n">
        <x:v>0</x:v>
      </x:c>
      <x:c r="S2740" s="18" t="n">
        <x:v>527.7041653268531</x:v>
      </x:c>
      <x:c r="T2740" s="18" t="n">
        <x:v>636</x:v>
      </x:c>
      <x:c r="U2740" s="18" t="n">
        <x:v>527.7041653268531</x:v>
      </x:c>
      <x:c r="V2740" s="20" t="n">
        <x:v>12</x:v>
      </x:c>
      <x:c r="W2740" s="20" t="n">
        <x:v>5</x:v>
      </x:c>
      <x:c r="X2740" s="20" t="n">
        <x:v>3</x:v>
      </x:c>
      <x:c r="Y2740" t="str">
        <x:v>Basis arsip 2025/2024</x:v>
      </x:c>
      <x:c r="Z2740" t="str">
        <x:v>https://snpmb.id/utbk-snbt/daya-tampung-snbt</x:v>
      </x:c>
      <x:c r="AA2740" t="str">
        <x:v>Tidak Ada</x:v>
      </x:c>
      <x:c r="AB2740" t="str">
        <x:v>Campus=55; Ratio=4.1; Prodi=50; RelDemand=8.5; Capacity=66.7</x:v>
      </x:c>
    </x:row>
    <x:row r="2741">
      <x:c r="A2741" t="n">
        <x:v>2738</x:v>
      </x:c>
      <x:c r="B2741" t="str">
        <x:v>PTN Akademik</x:v>
      </x:c>
      <x:c r="C2741" t="str">
        <x:v>UNIVERSITAS MULAWARMAN</x:v>
      </x:c>
      <x:c r="D2741" t="str">
        <x:v>KIMIA</x:v>
      </x:c>
      <x:c r="E2741" t="str">
        <x:v>Sarjana</x:v>
      </x:c>
      <x:c r="F2741" s="18" t="n">
        <x:v>35</x:v>
      </x:c>
      <x:c r="G2741" s="18" t="n">
        <x:v>49</x:v>
      </x:c>
      <x:c r="H2741" s="19" t="n">
        <x:v>1.4</x:v>
      </x:c>
      <x:c r="I2741" s="18" t="n">
        <x:f>ROUND(MIN(Model_Config_v3!$B$6,MAX(Q2741,R2741,S2741*Model_Config_v3!$B$4+T2741*Model_Config_v3!$B$5)),0)</x:f>
        <x:v>608</x:v>
      </x:c>
      <x:c r="J2741" s="18" t="n">
        <x:f>MIN(Model_Config_v3!$B$6,I2741+Model_Config_v3!$B$7)</x:f>
        <x:v>628</x:v>
      </x:c>
      <x:c r="K2741" s="20" t="n">
        <x:v>39.5</x:v>
      </x:c>
      <x:c r="L2741" t="str">
        <x:v>RELATIF LONGGAR</x:v>
      </x:c>
      <x:c r="M2741" t="str">
        <x:v>SEDANG+</x:v>
      </x:c>
      <x:c r="N2741" t="str">
        <x:v>REGULER</x:v>
      </x:c>
      <x:c r="O2741" t="str">
        <x:v>SAINTEK</x:v>
      </x:c>
      <x:c r="P2741" t="str">
        <x:v>SAINS DASAR</x:v>
      </x:c>
      <x:c r="Q2741" s="18" t="n">
        <x:v>0</x:v>
      </x:c>
      <x:c r="R2741" s="18" t="n">
        <x:v>0</x:v>
      </x:c>
      <x:c r="S2741" s="18" t="n">
        <x:v>536.0740839246062</x:v>
      </x:c>
      <x:c r="T2741" s="18" t="n">
        <x:v>639</x:v>
      </x:c>
      <x:c r="U2741" s="18" t="n">
        <x:v>536.0740839246062</x:v>
      </x:c>
      <x:c r="V2741" s="20" t="n">
        <x:v>12</x:v>
      </x:c>
      <x:c r="W2741" s="20" t="n">
        <x:v>5</x:v>
      </x:c>
      <x:c r="X2741" s="20" t="n">
        <x:v>3</x:v>
      </x:c>
      <x:c r="Y2741" t="str">
        <x:v>Basis arsip 2025/2024</x:v>
      </x:c>
      <x:c r="Z2741" t="str">
        <x:v>https://snpmb.id/utbk-snbt/daya-tampung-snbt</x:v>
      </x:c>
      <x:c r="AA2741" t="str">
        <x:v>Tidak Ada</x:v>
      </x:c>
      <x:c r="AB2741" t="str">
        <x:v>Campus=55; Ratio=8.6; Prodi=50; RelDemand=10.1; Capacity=70.8</x:v>
      </x:c>
    </x:row>
    <x:row r="2742">
      <x:c r="A2742" t="n">
        <x:v>2739</x:v>
      </x:c>
      <x:c r="B2742" t="str">
        <x:v>PTN Akademik</x:v>
      </x:c>
      <x:c r="C2742" t="str">
        <x:v>UNIVERSITAS MULAWARMAN</x:v>
      </x:c>
      <x:c r="D2742" t="str">
        <x:v>FISIKA</x:v>
      </x:c>
      <x:c r="E2742" t="str">
        <x:v>Sarjana</x:v>
      </x:c>
      <x:c r="F2742" s="18" t="n">
        <x:v>20</x:v>
      </x:c>
      <x:c r="G2742" s="18" t="n">
        <x:v>14</x:v>
      </x:c>
      <x:c r="H2742" s="19" t="n">
        <x:v>0.7</x:v>
      </x:c>
      <x:c r="I2742" s="18" t="n">
        <x:f>ROUND(MIN(Model_Config_v3!$B$6,MAX(Q2742,R2742,S2742*Model_Config_v3!$B$4+T2742*Model_Config_v3!$B$5)),0)</x:f>
        <x:v>601</x:v>
      </x:c>
      <x:c r="J2742" s="18" t="n">
        <x:f>MIN(Model_Config_v3!$B$6,I2742+Model_Config_v3!$B$7)</x:f>
        <x:v>621</x:v>
      </x:c>
      <x:c r="K2742" s="20" t="n">
        <x:v>38.1</x:v>
      </x:c>
      <x:c r="L2742" t="str">
        <x:v>RELATIF LONGGAR</x:v>
      </x:c>
      <x:c r="M2742" t="str">
        <x:v>SEDANG+</x:v>
      </x:c>
      <x:c r="N2742" t="str">
        <x:v>REGULER</x:v>
      </x:c>
      <x:c r="O2742" t="str">
        <x:v>SAINTEK</x:v>
      </x:c>
      <x:c r="P2742" t="str">
        <x:v>SAINS DASAR</x:v>
      </x:c>
      <x:c r="Q2742" s="18" t="n">
        <x:v>0</x:v>
      </x:c>
      <x:c r="R2742" s="18" t="n">
        <x:v>0</x:v>
      </x:c>
      <x:c r="S2742" s="18" t="n">
        <x:v>520</x:v>
      </x:c>
      <x:c r="T2742" s="18" t="n">
        <x:v>636</x:v>
      </x:c>
      <x:c r="U2742" s="18" t="n">
        <x:v>520</x:v>
      </x:c>
      <x:c r="V2742" s="20" t="n">
        <x:v>12</x:v>
      </x:c>
      <x:c r="W2742" s="20" t="n">
        <x:v>5</x:v>
      </x:c>
      <x:c r="X2742" s="20" t="n">
        <x:v>3</x:v>
      </x:c>
      <x:c r="Y2742" t="str">
        <x:v>Basis arsip 2025/2024</x:v>
      </x:c>
      <x:c r="Z2742" t="str">
        <x:v>https://snpmb.id/utbk-snbt/daya-tampung-snbt</x:v>
      </x:c>
      <x:c r="AA2742" t="str">
        <x:v>Tidak Ada</x:v>
      </x:c>
      <x:c r="AB2742" t="str">
        <x:v>Campus=55; Ratio=0.0; Prodi=50; RelDemand=5.0; Capacity=83.3</x:v>
      </x:c>
    </x:row>
    <x:row r="2743">
      <x:c r="A2743" t="n">
        <x:v>2740</x:v>
      </x:c>
      <x:c r="B2743" t="str">
        <x:v>PTN Akademik</x:v>
      </x:c>
      <x:c r="C2743" t="str">
        <x:v>UNIVERSITAS MULAWARMAN</x:v>
      </x:c>
      <x:c r="D2743" t="str">
        <x:v>TEKNIK SIPIL</x:v>
      </x:c>
      <x:c r="E2743" t="str">
        <x:v>Sarjana</x:v>
      </x:c>
      <x:c r="F2743" s="18" t="n">
        <x:v>28</x:v>
      </x:c>
      <x:c r="G2743" s="18" t="n">
        <x:v>551</x:v>
      </x:c>
      <x:c r="H2743" s="19" t="n">
        <x:v>19.678571428571427</x:v>
      </x:c>
      <x:c r="I2743" s="18" t="n">
        <x:f>ROUND(MIN(Model_Config_v3!$B$6,MAX(Q2743,R2743,S2743*Model_Config_v3!$B$4+T2743*Model_Config_v3!$B$5)),0)</x:f>
        <x:v>686</x:v>
      </x:c>
      <x:c r="J2743" s="18" t="n">
        <x:f>MIN(Model_Config_v3!$B$6,I2743+Model_Config_v3!$B$7)</x:f>
        <x:v>706</x:v>
      </x:c>
      <x:c r="K2743" s="20" t="n">
        <x:v>68</x:v>
      </x:c>
      <x:c r="L2743" t="str">
        <x:v>SANGAT KETAT</x:v>
      </x:c>
      <x:c r="M2743" t="str">
        <x:v>SEDANG+</x:v>
      </x:c>
      <x:c r="N2743" t="str">
        <x:v>REGULER</x:v>
      </x:c>
      <x:c r="O2743" t="str">
        <x:v>SAINTEK</x:v>
      </x:c>
      <x:c r="P2743" t="str">
        <x:v>TEKNIK/ARSITEKTUR/STATISTIKA/AKTUARIA</x:v>
      </x:c>
      <x:c r="Q2743" s="18" t="n">
        <x:v>0</x:v>
      </x:c>
      <x:c r="R2743" s="18" t="n">
        <x:v>0</x:v>
      </x:c>
      <x:c r="S2743" s="18" t="n">
        <x:v>662.3392924260522</x:v>
      </x:c>
      <x:c r="T2743" s="18" t="n">
        <x:v>696</x:v>
      </x:c>
      <x:c r="U2743" s="18" t="n">
        <x:v>672.3392924260522</x:v>
      </x:c>
      <x:c r="V2743" s="20" t="n">
        <x:v>12</x:v>
      </x:c>
      <x:c r="W2743" s="20" t="n">
        <x:v>5</x:v>
      </x:c>
      <x:c r="X2743" s="20" t="n">
        <x:v>3</x:v>
      </x:c>
      <x:c r="Y2743" t="str">
        <x:v>Basis arsip 2025/2024</x:v>
      </x:c>
      <x:c r="Z2743" t="str">
        <x:v>https://snpmb.id/utbk-snbt/daya-tampung-snbt</x:v>
      </x:c>
      <x:c r="AA2743" t="str">
        <x:v>Tidak Ada</x:v>
      </x:c>
      <x:c r="AB2743" t="str">
        <x:v>Campus=55; Ratio=76.2; Prodi=60; RelDemand=100.0; Capacity=76.7</x:v>
      </x:c>
    </x:row>
    <x:row r="2744">
      <x:c r="A2744" t="n">
        <x:v>2741</x:v>
      </x:c>
      <x:c r="B2744" t="str">
        <x:v>PTN Akademik</x:v>
      </x:c>
      <x:c r="C2744" t="str">
        <x:v>UNIVERSITAS MULAWARMAN</x:v>
      </x:c>
      <x:c r="D2744" t="str">
        <x:v>TEKNIK INDUSTRI</x:v>
      </x:c>
      <x:c r="E2744" t="str">
        <x:v>Sarjana</x:v>
      </x:c>
      <x:c r="F2744" s="18" t="n">
        <x:v>28</x:v>
      </x:c>
      <x:c r="G2744" s="18" t="n">
        <x:v>349</x:v>
      </x:c>
      <x:c r="H2744" s="19" t="n">
        <x:v>12.464285714285714</x:v>
      </x:c>
      <x:c r="I2744" s="18" t="n">
        <x:f>ROUND(MIN(Model_Config_v3!$B$6,MAX(Q2744,R2744,S2744*Model_Config_v3!$B$4+T2744*Model_Config_v3!$B$5)),0)</x:f>
        <x:v>674</x:v>
      </x:c>
      <x:c r="J2744" s="18" t="n">
        <x:f>MIN(Model_Config_v3!$B$6,I2744+Model_Config_v3!$B$7)</x:f>
        <x:v>694</x:v>
      </x:c>
      <x:c r="K2744" s="20" t="n">
        <x:v>64</x:v>
      </x:c>
      <x:c r="L2744" t="str">
        <x:v>KETAT</x:v>
      </x:c>
      <x:c r="M2744" t="str">
        <x:v>SEDANG+</x:v>
      </x:c>
      <x:c r="N2744" t="str">
        <x:v>REGULER</x:v>
      </x:c>
      <x:c r="O2744" t="str">
        <x:v>SAINTEK</x:v>
      </x:c>
      <x:c r="P2744" t="str">
        <x:v>TEKNIK/ARSITEKTUR/STATISTIKA/AKTUARIA</x:v>
      </x:c>
      <x:c r="Q2744" s="18" t="n">
        <x:v>0</x:v>
      </x:c>
      <x:c r="R2744" s="18" t="n">
        <x:v>0</x:v>
      </x:c>
      <x:c r="S2744" s="18" t="n">
        <x:v>640.5234135178656</x:v>
      </x:c>
      <x:c r="T2744" s="18" t="n">
        <x:v>688</x:v>
      </x:c>
      <x:c r="U2744" s="18" t="n">
        <x:v>650.5234135178656</x:v>
      </x:c>
      <x:c r="V2744" s="20" t="n">
        <x:v>12</x:v>
      </x:c>
      <x:c r="W2744" s="20" t="n">
        <x:v>5</x:v>
      </x:c>
      <x:c r="X2744" s="20" t="n">
        <x:v>3</x:v>
      </x:c>
      <x:c r="Y2744" t="str">
        <x:v>Basis arsip 2025/2024</x:v>
      </x:c>
      <x:c r="Z2744" t="str">
        <x:v>https://snpmb.id/utbk-snbt/daya-tampung-snbt</x:v>
      </x:c>
      <x:c r="AA2744" t="str">
        <x:v>Tidak Ada</x:v>
      </x:c>
      <x:c r="AB2744" t="str">
        <x:v>Campus=55; Ratio=64.5; Prodi=60; RelDemand=89.8; Capacity=76.7</x:v>
      </x:c>
    </x:row>
    <x:row r="2745">
      <x:c r="A2745" t="n">
        <x:v>2742</x:v>
      </x:c>
      <x:c r="B2745" t="str">
        <x:v>PTN Akademik</x:v>
      </x:c>
      <x:c r="C2745" t="str">
        <x:v>UNIVERSITAS MULAWARMAN</x:v>
      </x:c>
      <x:c r="D2745" t="str">
        <x:v>TEKNIK LINGKUNGAN</x:v>
      </x:c>
      <x:c r="E2745" t="str">
        <x:v>Sarjana</x:v>
      </x:c>
      <x:c r="F2745" s="18" t="n">
        <x:v>28</x:v>
      </x:c>
      <x:c r="G2745" s="18" t="n">
        <x:v>324</x:v>
      </x:c>
      <x:c r="H2745" s="19" t="n">
        <x:v>11.571428571428571</x:v>
      </x:c>
      <x:c r="I2745" s="18" t="n">
        <x:f>ROUND(MIN(Model_Config_v3!$B$6,MAX(Q2745,R2745,S2745*Model_Config_v3!$B$4+T2745*Model_Config_v3!$B$5)),0)</x:f>
        <x:v>671</x:v>
      </x:c>
      <x:c r="J2745" s="18" t="n">
        <x:f>MIN(Model_Config_v3!$B$6,I2745+Model_Config_v3!$B$7)</x:f>
        <x:v>691</x:v>
      </x:c>
      <x:c r="K2745" s="20" t="n">
        <x:v>62.9</x:v>
      </x:c>
      <x:c r="L2745" t="str">
        <x:v>KETAT</x:v>
      </x:c>
      <x:c r="M2745" t="str">
        <x:v>SEDANG+</x:v>
      </x:c>
      <x:c r="N2745" t="str">
        <x:v>REGULER</x:v>
      </x:c>
      <x:c r="O2745" t="str">
        <x:v>SAINTEK</x:v>
      </x:c>
      <x:c r="P2745" t="str">
        <x:v>TEKNIK/ARSITEKTUR/STATISTIKA/AKTUARIA</x:v>
      </x:c>
      <x:c r="Q2745" s="18" t="n">
        <x:v>0</x:v>
      </x:c>
      <x:c r="R2745" s="18" t="n">
        <x:v>0</x:v>
      </x:c>
      <x:c r="S2745" s="18" t="n">
        <x:v>636.9725676750832</x:v>
      </x:c>
      <x:c r="T2745" s="18" t="n">
        <x:v>686</x:v>
      </x:c>
      <x:c r="U2745" s="18" t="n">
        <x:v>646.9725676750832</x:v>
      </x:c>
      <x:c r="V2745" s="20" t="n">
        <x:v>12</x:v>
      </x:c>
      <x:c r="W2745" s="20" t="n">
        <x:v>5</x:v>
      </x:c>
      <x:c r="X2745" s="20" t="n">
        <x:v>3</x:v>
      </x:c>
      <x:c r="Y2745" t="str">
        <x:v>Basis arsip 2025/2024</x:v>
      </x:c>
      <x:c r="Z2745" t="str">
        <x:v>https://snpmb.id/utbk-snbt/daya-tampung-snbt</x:v>
      </x:c>
      <x:c r="AA2745" t="str">
        <x:v>Tidak Ada</x:v>
      </x:c>
      <x:c r="AB2745" t="str">
        <x:v>Campus=55; Ratio=62.6; Prodi=60; RelDemand=83.4; Capacity=76.7</x:v>
      </x:c>
    </x:row>
    <x:row r="2746">
      <x:c r="A2746" t="n">
        <x:v>2743</x:v>
      </x:c>
      <x:c r="B2746" t="str">
        <x:v>PTN Akademik</x:v>
      </x:c>
      <x:c r="C2746" t="str">
        <x:v>UNIVERSITAS MULAWARMAN</x:v>
      </x:c>
      <x:c r="D2746" t="str">
        <x:v>TEKNIK PERTAMBANGAN</x:v>
      </x:c>
      <x:c r="E2746" t="str">
        <x:v>Sarjana</x:v>
      </x:c>
      <x:c r="F2746" s="18" t="n">
        <x:v>28</x:v>
      </x:c>
      <x:c r="G2746" s="18" t="n">
        <x:v>716</x:v>
      </x:c>
      <x:c r="H2746" s="19" t="n">
        <x:v>25.571428571428573</x:v>
      </x:c>
      <x:c r="I2746" s="18" t="n">
        <x:f>ROUND(MIN(Model_Config_v3!$B$6,MAX(Q2746,R2746,S2746*Model_Config_v3!$B$4+T2746*Model_Config_v3!$B$5)),0)</x:f>
        <x:v>692</x:v>
      </x:c>
      <x:c r="J2746" s="18" t="n">
        <x:f>MIN(Model_Config_v3!$B$6,I2746+Model_Config_v3!$B$7)</x:f>
        <x:v>712</x:v>
      </x:c>
      <x:c r="K2746" s="20" t="n">
        <x:v>69.6</x:v>
      </x:c>
      <x:c r="L2746" t="str">
        <x:v>SANGAT KETAT</x:v>
      </x:c>
      <x:c r="M2746" t="str">
        <x:v>SEDANG+</x:v>
      </x:c>
      <x:c r="N2746" t="str">
        <x:v>REGULER</x:v>
      </x:c>
      <x:c r="O2746" t="str">
        <x:v>SAINTEK</x:v>
      </x:c>
      <x:c r="P2746" t="str">
        <x:v>TEKNIK/ARSITEKTUR/STATISTIKA/AKTUARIA</x:v>
      </x:c>
      <x:c r="Q2746" s="18" t="n">
        <x:v>0</x:v>
      </x:c>
      <x:c r="R2746" s="18" t="n">
        <x:v>0</x:v>
      </x:c>
      <x:c r="S2746" s="18" t="n">
        <x:v>674.85304900622</x:v>
      </x:c>
      <x:c r="T2746" s="18" t="n">
        <x:v>699</x:v>
      </x:c>
      <x:c r="U2746" s="18" t="n">
        <x:v>684.85304900622</x:v>
      </x:c>
      <x:c r="V2746" s="20" t="n">
        <x:v>12</x:v>
      </x:c>
      <x:c r="W2746" s="20" t="n">
        <x:v>5</x:v>
      </x:c>
      <x:c r="X2746" s="20" t="n">
        <x:v>3</x:v>
      </x:c>
      <x:c r="Y2746" t="str">
        <x:v>Basis arsip 2025/2024</x:v>
      </x:c>
      <x:c r="Z2746" t="str">
        <x:v>https://snpmb.id/utbk-snbt/daya-tampung-snbt</x:v>
      </x:c>
      <x:c r="AA2746" t="str">
        <x:v>Tidak Ada</x:v>
      </x:c>
      <x:c r="AB2746" t="str">
        <x:v>Campus=55; Ratio=82.9; Prodi=60; RelDemand=100.0; Capacity=76.7</x:v>
      </x:c>
    </x:row>
    <x:row r="2747">
      <x:c r="A2747" t="n">
        <x:v>2744</x:v>
      </x:c>
      <x:c r="B2747" t="str">
        <x:v>PTN Akademik</x:v>
      </x:c>
      <x:c r="C2747" t="str">
        <x:v>UNIVERSITAS MULAWARMAN</x:v>
      </x:c>
      <x:c r="D2747" t="str">
        <x:v>PENDIDIKAN DOKTER</x:v>
      </x:c>
      <x:c r="E2747" t="str">
        <x:v>Sarjana</x:v>
      </x:c>
      <x:c r="F2747" s="18" t="n">
        <x:v>61</x:v>
      </x:c>
      <x:c r="G2747" s="18" t="n">
        <x:v>972</x:v>
      </x:c>
      <x:c r="H2747" s="19" t="n">
        <x:v>15.934426229508198</x:v>
      </x:c>
      <x:c r="I2747" s="18" t="n">
        <x:f>ROUND(MIN(Model_Config_v3!$B$6,MAX(Q2747,R2747,S2747*Model_Config_v3!$B$4+T2747*Model_Config_v3!$B$5)),0)</x:f>
        <x:v>688</x:v>
      </x:c>
      <x:c r="J2747" s="18" t="n">
        <x:f>MIN(Model_Config_v3!$B$6,I2747+Model_Config_v3!$B$7)</x:f>
        <x:v>708</x:v>
      </x:c>
      <x:c r="K2747" s="20" t="n">
        <x:v>71.9</x:v>
      </x:c>
      <x:c r="L2747" t="str">
        <x:v>SANGAT KETAT</x:v>
      </x:c>
      <x:c r="M2747" t="str">
        <x:v>SEDANG+</x:v>
      </x:c>
      <x:c r="N2747" t="str">
        <x:v>REGULER</x:v>
      </x:c>
      <x:c r="O2747" t="str">
        <x:v>SAINTEK</x:v>
      </x:c>
      <x:c r="P2747" t="str">
        <x:v>KEDOKTERAN</x:v>
      </x:c>
      <x:c r="Q2747" s="18" t="n">
        <x:v>0</x:v>
      </x:c>
      <x:c r="R2747" s="18" t="n">
        <x:v>680</x:v>
      </x:c>
      <x:c r="S2747" s="18" t="n">
        <x:v>652.2570072907058</x:v>
      </x:c>
      <x:c r="T2747" s="18" t="n">
        <x:v>704</x:v>
      </x:c>
      <x:c r="U2747" s="18" t="n">
        <x:v>692.2570072907058</x:v>
      </x:c>
      <x:c r="V2747" s="20" t="n">
        <x:v>12</x:v>
      </x:c>
      <x:c r="W2747" s="20" t="n">
        <x:v>5</x:v>
      </x:c>
      <x:c r="X2747" s="20" t="n">
        <x:v>3</x:v>
      </x:c>
      <x:c r="Y2747" t="str">
        <x:v>Basis arsip 2025/2024</x:v>
      </x:c>
      <x:c r="Z2747" t="str">
        <x:v>https://snpmb.id/utbk-snbt/daya-tampung-snbt</x:v>
      </x:c>
      <x:c r="AA2747" t="str">
        <x:v>Tidak Ada</x:v>
      </x:c>
      <x:c r="AB2747" t="str">
        <x:v>Campus=55; Ratio=70.8; Prodi=100; RelDemand=100.0; Capacity=49.2</x:v>
      </x:c>
    </x:row>
    <x:row r="2748">
      <x:c r="A2748" t="n">
        <x:v>2745</x:v>
      </x:c>
      <x:c r="B2748" t="str">
        <x:v>PTN Akademik</x:v>
      </x:c>
      <x:c r="C2748" t="str">
        <x:v>UNIVERSITAS MULAWARMAN</x:v>
      </x:c>
      <x:c r="D2748" t="str">
        <x:v>KESEHATAN MASYARAKAT</x:v>
      </x:c>
      <x:c r="E2748" t="str">
        <x:v>Sarjana</x:v>
      </x:c>
      <x:c r="F2748" s="18" t="n">
        <x:v>50</x:v>
      </x:c>
      <x:c r="G2748" s="18" t="n">
        <x:v>765</x:v>
      </x:c>
      <x:c r="H2748" s="19" t="n">
        <x:v>15.3</x:v>
      </x:c>
      <x:c r="I2748" s="18" t="n">
        <x:f>ROUND(MIN(Model_Config_v3!$B$6,MAX(Q2748,R2748,S2748*Model_Config_v3!$B$4+T2748*Model_Config_v3!$B$5)),0)</x:f>
        <x:v>676</x:v>
      </x:c>
      <x:c r="J2748" s="18" t="n">
        <x:f>MIN(Model_Config_v3!$B$6,I2748+Model_Config_v3!$B$7)</x:f>
        <x:v>696</x:v>
      </x:c>
      <x:c r="K2748" s="20" t="n">
        <x:v>63.5</x:v>
      </x:c>
      <x:c r="L2748" t="str">
        <x:v>KETAT</x:v>
      </x:c>
      <x:c r="M2748" t="str">
        <x:v>SEDANG+</x:v>
      </x:c>
      <x:c r="N2748" t="str">
        <x:v>REGULER</x:v>
      </x:c>
      <x:c r="O2748" t="str">
        <x:v>SAINTEK</x:v>
      </x:c>
      <x:c r="P2748" t="str">
        <x:v>KESEHAT/GIZI/KEPERAWATAN</x:v>
      </x:c>
      <x:c r="Q2748" s="18" t="n">
        <x:v>0</x:v>
      </x:c>
      <x:c r="R2748" s="18" t="n">
        <x:v>0</x:v>
      </x:c>
      <x:c r="S2748" s="18" t="n">
        <x:v>650.3160573899358</x:v>
      </x:c>
      <x:c r="T2748" s="18" t="n">
        <x:v>687</x:v>
      </x:c>
      <x:c r="U2748" s="18" t="n">
        <x:v>650.3160573899358</x:v>
      </x:c>
      <x:c r="V2748" s="20" t="n">
        <x:v>12</x:v>
      </x:c>
      <x:c r="W2748" s="20" t="n">
        <x:v>5</x:v>
      </x:c>
      <x:c r="X2748" s="20" t="n">
        <x:v>3</x:v>
      </x:c>
      <x:c r="Y2748" t="str">
        <x:v>Basis arsip 2025/2024</x:v>
      </x:c>
      <x:c r="Z2748" t="str">
        <x:v>https://snpmb.id/utbk-snbt/daya-tampung-snbt</x:v>
      </x:c>
      <x:c r="AA2748" t="str">
        <x:v>Tidak Ada</x:v>
      </x:c>
      <x:c r="AB2748" t="str">
        <x:v>Campus=55; Ratio=69.7; Prodi=55; RelDemand=100.0; Capacity=58.3</x:v>
      </x:c>
    </x:row>
    <x:row r="2749">
      <x:c r="A2749" t="n">
        <x:v>2746</x:v>
      </x:c>
      <x:c r="B2749" t="str">
        <x:v>PTN Akademik</x:v>
      </x:c>
      <x:c r="C2749" t="str">
        <x:v>UNIVERSITAS MULAWARMAN</x:v>
      </x:c>
      <x:c r="D2749" t="str">
        <x:v>FARMASI</x:v>
      </x:c>
      <x:c r="E2749" t="str">
        <x:v>Sarjana</x:v>
      </x:c>
      <x:c r="F2749" s="18" t="n">
        <x:v>80</x:v>
      </x:c>
      <x:c r="G2749" s="18" t="n">
        <x:v>743</x:v>
      </x:c>
      <x:c r="H2749" s="19" t="n">
        <x:v>9.2875</x:v>
      </x:c>
      <x:c r="I2749" s="18" t="n">
        <x:f>ROUND(MIN(Model_Config_v3!$B$6,MAX(Q2749,R2749,S2749*Model_Config_v3!$B$4+T2749*Model_Config_v3!$B$5)),0)</x:f>
        <x:v>662</x:v>
      </x:c>
      <x:c r="J2749" s="18" t="n">
        <x:f>MIN(Model_Config_v3!$B$6,I2749+Model_Config_v3!$B$7)</x:f>
        <x:v>682</x:v>
      </x:c>
      <x:c r="K2749" s="20" t="n">
        <x:v>58.5</x:v>
      </x:c>
      <x:c r="L2749" t="str">
        <x:v>KETAT</x:v>
      </x:c>
      <x:c r="M2749" t="str">
        <x:v>SEDANG+</x:v>
      </x:c>
      <x:c r="N2749" t="str">
        <x:v>REGULER</x:v>
      </x:c>
      <x:c r="O2749" t="str">
        <x:v>SAINTEK</x:v>
      </x:c>
      <x:c r="P2749" t="str">
        <x:v>FARMASI</x:v>
      </x:c>
      <x:c r="Q2749" s="18" t="n">
        <x:v>0</x:v>
      </x:c>
      <x:c r="R2749" s="18" t="n">
        <x:v>0</x:v>
      </x:c>
      <x:c r="S2749" s="18" t="n">
        <x:v>626.4688709445495</x:v>
      </x:c>
      <x:c r="T2749" s="18" t="n">
        <x:v>677</x:v>
      </x:c>
      <x:c r="U2749" s="18" t="n">
        <x:v>646.4688709445495</x:v>
      </x:c>
      <x:c r="V2749" s="20" t="n">
        <x:v>12</x:v>
      </x:c>
      <x:c r="W2749" s="20" t="n">
        <x:v>5</x:v>
      </x:c>
      <x:c r="X2749" s="20" t="n">
        <x:v>3</x:v>
      </x:c>
      <x:c r="Y2749" t="str">
        <x:v>Basis arsip 2025/2024</x:v>
      </x:c>
      <x:c r="Z2749" t="str">
        <x:v>https://snpmb.id/utbk-snbt/daya-tampung-snbt</x:v>
      </x:c>
      <x:c r="AA2749" t="str">
        <x:v>Tidak Ada</x:v>
      </x:c>
      <x:c r="AB2749" t="str">
        <x:v>Campus=55; Ratio=57.0; Prodi=75; RelDemand=66.9; Capacity=33.3</x:v>
      </x:c>
    </x:row>
    <x:row r="2750">
      <x:c r="A2750" t="n">
        <x:v>2747</x:v>
      </x:c>
      <x:c r="B2750" t="str">
        <x:v>PTN Akademik</x:v>
      </x:c>
      <x:c r="C2750" t="str">
        <x:v>UNIVERSITAS MULAWARMAN</x:v>
      </x:c>
      <x:c r="D2750" t="str">
        <x:v>PETERNAKAN</x:v>
      </x:c>
      <x:c r="E2750" t="str">
        <x:v>Sarjana</x:v>
      </x:c>
      <x:c r="F2750" s="18" t="n">
        <x:v>51</x:v>
      </x:c>
      <x:c r="G2750" s="18" t="n">
        <x:v>69</x:v>
      </x:c>
      <x:c r="H2750" s="19" t="n">
        <x:v>1.3529411764705883</x:v>
      </x:c>
      <x:c r="I2750" s="18" t="n">
        <x:f>ROUND(MIN(Model_Config_v3!$B$6,MAX(Q2750,R2750,S2750*Model_Config_v3!$B$4+T2750*Model_Config_v3!$B$5)),0)</x:f>
        <x:v>603</x:v>
      </x:c>
      <x:c r="J2750" s="18" t="n">
        <x:f>MIN(Model_Config_v3!$B$6,I2750+Model_Config_v3!$B$7)</x:f>
        <x:v>623</x:v>
      </x:c>
      <x:c r="K2750" s="20" t="n">
        <x:v>35.9</x:v>
      </x:c>
      <x:c r="L2750" t="str">
        <x:v>RELATIF LONGGAR</x:v>
      </x:c>
      <x:c r="M2750" t="str">
        <x:v>SEDANG</x:v>
      </x:c>
      <x:c r="N2750" t="str">
        <x:v>REGULER</x:v>
      </x:c>
      <x:c r="O2750" t="str">
        <x:v>SAINTEK</x:v>
      </x:c>
      <x:c r="P2750" t="str">
        <x:v>UMUM</x:v>
      </x:c>
      <x:c r="Q2750" s="18" t="n">
        <x:v>0</x:v>
      </x:c>
      <x:c r="R2750" s="18" t="n">
        <x:v>0</x:v>
      </x:c>
      <x:c r="S2750" s="18" t="n">
        <x:v>534.4406806103251</x:v>
      </x:c>
      <x:c r="T2750" s="18" t="n">
        <x:v>632</x:v>
      </x:c>
      <x:c r="U2750" s="18" t="n">
        <x:v>534.4406806103251</x:v>
      </x:c>
      <x:c r="V2750" s="20" t="n">
        <x:v>12</x:v>
      </x:c>
      <x:c r="W2750" s="20" t="n">
        <x:v>5</x:v>
      </x:c>
      <x:c r="X2750" s="20" t="n">
        <x:v>3</x:v>
      </x:c>
      <x:c r="Y2750" t="str">
        <x:v>Basis arsip 2025/2024</x:v>
      </x:c>
      <x:c r="Z2750" t="str">
        <x:v>https://snpmb.id/utbk-snbt/daya-tampung-snbt</x:v>
      </x:c>
      <x:c r="AA2750" t="str">
        <x:v>Tidak Ada</x:v>
      </x:c>
      <x:c r="AB2750" t="str">
        <x:v>Campus=55; Ratio=7.7; Prodi=40; RelDemand=9.7; Capacity=57.5</x:v>
      </x:c>
    </x:row>
    <x:row r="2751">
      <x:c r="A2751" t="n">
        <x:v>2748</x:v>
      </x:c>
      <x:c r="B2751" t="str">
        <x:v>PTN Akademik</x:v>
      </x:c>
      <x:c r="C2751" t="str">
        <x:v>UNIVERSITAS MULAWARMAN</x:v>
      </x:c>
      <x:c r="D2751" t="str">
        <x:v>TEKNIK KIMIA</x:v>
      </x:c>
      <x:c r="E2751" t="str">
        <x:v>Sarjana</x:v>
      </x:c>
      <x:c r="F2751" s="18" t="n">
        <x:v>28</x:v>
      </x:c>
      <x:c r="G2751" s="18" t="n">
        <x:v>70</x:v>
      </x:c>
      <x:c r="H2751" s="19" t="n">
        <x:v>2.5</x:v>
      </x:c>
      <x:c r="I2751" s="18" t="n">
        <x:f>ROUND(MIN(Model_Config_v3!$B$6,MAX(Q2751,R2751,S2751*Model_Config_v3!$B$4+T2751*Model_Config_v3!$B$5)),0)</x:f>
        <x:v>626</x:v>
      </x:c>
      <x:c r="J2751" s="18" t="n">
        <x:f>MIN(Model_Config_v3!$B$6,I2751+Model_Config_v3!$B$7)</x:f>
        <x:v>646</x:v>
      </x:c>
      <x:c r="K2751" s="20" t="n">
        <x:v>46.6</x:v>
      </x:c>
      <x:c r="L2751" t="str">
        <x:v>MENENGAH</x:v>
      </x:c>
      <x:c r="M2751" t="str">
        <x:v>SEDANG+</x:v>
      </x:c>
      <x:c r="N2751" t="str">
        <x:v>REGULER</x:v>
      </x:c>
      <x:c r="O2751" t="str">
        <x:v>SAINTEK</x:v>
      </x:c>
      <x:c r="P2751" t="str">
        <x:v>TEKNIK/ARSITEKTUR/STATISTIKA/AKTUARIA</x:v>
      </x:c>
      <x:c r="Q2751" s="18" t="n">
        <x:v>0</x:v>
      </x:c>
      <x:c r="R2751" s="18" t="n">
        <x:v>0</x:v>
      </x:c>
      <x:c r="S2751" s="18" t="n">
        <x:v>563.7734009539241</x:v>
      </x:c>
      <x:c r="T2751" s="18" t="n">
        <x:v>653</x:v>
      </x:c>
      <x:c r="U2751" s="18" t="n">
        <x:v>573.7734009539241</x:v>
      </x:c>
      <x:c r="V2751" s="20" t="n">
        <x:v>12</x:v>
      </x:c>
      <x:c r="W2751" s="20" t="n">
        <x:v>5</x:v>
      </x:c>
      <x:c r="X2751" s="20" t="n">
        <x:v>3</x:v>
      </x:c>
      <x:c r="Y2751" t="str">
        <x:v>Basis arsip 2025/2024</x:v>
      </x:c>
      <x:c r="Z2751" t="str">
        <x:v>https://snpmb.id/utbk-snbt/daya-tampung-snbt</x:v>
      </x:c>
      <x:c r="AA2751" t="str">
        <x:v>Tidak Ada</x:v>
      </x:c>
      <x:c r="AB2751" t="str">
        <x:v>Campus=55; Ratio=23.4; Prodi=60; RelDemand=18.0; Capacity=76.7</x:v>
      </x:c>
    </x:row>
    <x:row r="2752">
      <x:c r="A2752" t="n">
        <x:v>2749</x:v>
      </x:c>
      <x:c r="B2752" t="str">
        <x:v>PTN Akademik</x:v>
      </x:c>
      <x:c r="C2752" t="str">
        <x:v>UNIVERSITAS MULAWARMAN</x:v>
      </x:c>
      <x:c r="D2752" t="str">
        <x:v>INFORMATIKA</x:v>
      </x:c>
      <x:c r="E2752" t="str">
        <x:v>Sarjana</x:v>
      </x:c>
      <x:c r="F2752" s="18" t="n">
        <x:v>55</x:v>
      </x:c>
      <x:c r="G2752" s="18" t="n">
        <x:v>829</x:v>
      </x:c>
      <x:c r="H2752" s="19" t="n">
        <x:v>15.072727272727272</x:v>
      </x:c>
      <x:c r="I2752" s="18" t="n">
        <x:f>ROUND(MIN(Model_Config_v3!$B$6,MAX(Q2752,R2752,S2752*Model_Config_v3!$B$4+T2752*Model_Config_v3!$B$5)),0)</x:f>
        <x:v>683</x:v>
      </x:c>
      <x:c r="J2752" s="18" t="n">
        <x:f>MIN(Model_Config_v3!$B$6,I2752+Model_Config_v3!$B$7)</x:f>
        <x:v>703</x:v>
      </x:c>
      <x:c r="K2752" s="20" t="n">
        <x:v>69</x:v>
      </x:c>
      <x:c r="L2752" t="str">
        <x:v>SANGAT KETAT</x:v>
      </x:c>
      <x:c r="M2752" t="str">
        <x:v>SEDANG+</x:v>
      </x:c>
      <x:c r="N2752" t="str">
        <x:v>REGULER</x:v>
      </x:c>
      <x:c r="O2752" t="str">
        <x:v>SAINTEK</x:v>
      </x:c>
      <x:c r="P2752" t="str">
        <x:v>KOMPUTER/INFORMATIKA</x:v>
      </x:c>
      <x:c r="Q2752" s="18" t="n">
        <x:v>0</x:v>
      </x:c>
      <x:c r="R2752" s="18" t="n">
        <x:v>0</x:v>
      </x:c>
      <x:c r="S2752" s="18" t="n">
        <x:v>649.6011025161632</x:v>
      </x:c>
      <x:c r="T2752" s="18" t="n">
        <x:v>698</x:v>
      </x:c>
      <x:c r="U2752" s="18" t="n">
        <x:v>674.6011025161632</x:v>
      </x:c>
      <x:c r="V2752" s="20" t="n">
        <x:v>12</x:v>
      </x:c>
      <x:c r="W2752" s="20" t="n">
        <x:v>5</x:v>
      </x:c>
      <x:c r="X2752" s="20" t="n">
        <x:v>3</x:v>
      </x:c>
      <x:c r="Y2752" t="str">
        <x:v>Basis arsip 2025/2024</x:v>
      </x:c>
      <x:c r="Z2752" t="str">
        <x:v>https://snpmb.id/utbk-snbt/daya-tampung-snbt</x:v>
      </x:c>
      <x:c r="AA2752" t="str">
        <x:v>Tidak Ada</x:v>
      </x:c>
      <x:c r="AB2752" t="str">
        <x:v>Campus=55; Ratio=69.3; Prodi=85; RelDemand=100.0; Capacity=54.2</x:v>
      </x:c>
    </x:row>
    <x:row r="2753">
      <x:c r="A2753" t="n">
        <x:v>2750</x:v>
      </x:c>
      <x:c r="B2753" t="str">
        <x:v>PTN Akademik</x:v>
      </x:c>
      <x:c r="C2753" t="str">
        <x:v>UNIVERSITAS MULAWARMAN</x:v>
      </x:c>
      <x:c r="D2753" t="str">
        <x:v>ARSITEKTUR</x:v>
      </x:c>
      <x:c r="E2753" t="str">
        <x:v>Sarjana</x:v>
      </x:c>
      <x:c r="F2753" s="18" t="n">
        <x:v>28</x:v>
      </x:c>
      <x:c r="G2753" s="18" t="n">
        <x:v>140</x:v>
      </x:c>
      <x:c r="H2753" s="19" t="n">
        <x:v>5</x:v>
      </x:c>
      <x:c r="I2753" s="18" t="n">
        <x:f>ROUND(MIN(Model_Config_v3!$B$6,MAX(Q2753,R2753,S2753*Model_Config_v3!$B$4+T2753*Model_Config_v3!$B$5)),0)</x:f>
        <x:v>645</x:v>
      </x:c>
      <x:c r="J2753" s="18" t="n">
        <x:f>MIN(Model_Config_v3!$B$6,I2753+Model_Config_v3!$B$7)</x:f>
        <x:v>665</x:v>
      </x:c>
      <x:c r="K2753" s="20" t="n">
        <x:v>52.8</x:v>
      </x:c>
      <x:c r="L2753" t="str">
        <x:v>MENENGAH</x:v>
      </x:c>
      <x:c r="M2753" t="str">
        <x:v>SEDANG+</x:v>
      </x:c>
      <x:c r="N2753" t="str">
        <x:v>REGULER</x:v>
      </x:c>
      <x:c r="O2753" t="str">
        <x:v>SAINTEK</x:v>
      </x:c>
      <x:c r="P2753" t="str">
        <x:v>TEKNIK/ARSITEKTUR/STATISTIKA/AKTUARIA</x:v>
      </x:c>
      <x:c r="Q2753" s="18" t="n">
        <x:v>0</x:v>
      </x:c>
      <x:c r="R2753" s="18" t="n">
        <x:v>0</x:v>
      </x:c>
      <x:c r="S2753" s="18" t="n">
        <x:v>596.886700476962</x:v>
      </x:c>
      <x:c r="T2753" s="18" t="n">
        <x:v>666</x:v>
      </x:c>
      <x:c r="U2753" s="18" t="n">
        <x:v>596.886700476962</x:v>
      </x:c>
      <x:c r="V2753" s="20" t="n">
        <x:v>12</x:v>
      </x:c>
      <x:c r="W2753" s="20" t="n">
        <x:v>5</x:v>
      </x:c>
      <x:c r="X2753" s="20" t="n">
        <x:v>3</x:v>
      </x:c>
      <x:c r="Y2753" t="str">
        <x:v>Basis arsip 2025/2024</x:v>
      </x:c>
      <x:c r="Z2753" t="str">
        <x:v>https://snpmb.id/utbk-snbt/daya-tampung-snbt</x:v>
      </x:c>
      <x:c r="AA2753" t="str">
        <x:v>Tidak Ada</x:v>
      </x:c>
      <x:c r="AB2753" t="str">
        <x:v>Campus=55; Ratio=41.1; Prodi=60; RelDemand=36.0; Capacity=76.7</x:v>
      </x:c>
    </x:row>
    <x:row r="2754">
      <x:c r="A2754" t="n">
        <x:v>2751</x:v>
      </x:c>
      <x:c r="B2754" t="str">
        <x:v>PTN Akademik</x:v>
      </x:c>
      <x:c r="C2754" t="str">
        <x:v>UNIVERSITAS MULAWARMAN</x:v>
      </x:c>
      <x:c r="D2754" t="str">
        <x:v>TEKNIK GEOLOGI</x:v>
      </x:c>
      <x:c r="E2754" t="str">
        <x:v>Sarjana</x:v>
      </x:c>
      <x:c r="F2754" s="18" t="n">
        <x:v>28</x:v>
      </x:c>
      <x:c r="G2754" s="18" t="n">
        <x:v>283</x:v>
      </x:c>
      <x:c r="H2754" s="19" t="n">
        <x:v>10.107142857142858</x:v>
      </x:c>
      <x:c r="I2754" s="18" t="n">
        <x:f>ROUND(MIN(Model_Config_v3!$B$6,MAX(Q2754,R2754,S2754*Model_Config_v3!$B$4+T2754*Model_Config_v3!$B$5)),0)</x:f>
        <x:v>667</x:v>
      </x:c>
      <x:c r="J2754" s="18" t="n">
        <x:f>MIN(Model_Config_v3!$B$6,I2754+Model_Config_v3!$B$7)</x:f>
        <x:v>687</x:v>
      </x:c>
      <x:c r="K2754" s="20" t="n">
        <x:v>61</x:v>
      </x:c>
      <x:c r="L2754" t="str">
        <x:v>KETAT</x:v>
      </x:c>
      <x:c r="M2754" t="str">
        <x:v>SEDANG+</x:v>
      </x:c>
      <x:c r="N2754" t="str">
        <x:v>REGULER</x:v>
      </x:c>
      <x:c r="O2754" t="str">
        <x:v>SAINTEK</x:v>
      </x:c>
      <x:c r="P2754" t="str">
        <x:v>TEKNIK/ARSITEKTUR/STATISTIKA/AKTUARIA</x:v>
      </x:c>
      <x:c r="Q2754" s="18" t="n">
        <x:v>0</x:v>
      </x:c>
      <x:c r="R2754" s="18" t="n">
        <x:v>0</x:v>
      </x:c>
      <x:c r="S2754" s="18" t="n">
        <x:v>630.5091244600278</x:v>
      </x:c>
      <x:c r="T2754" s="18" t="n">
        <x:v>682</x:v>
      </x:c>
      <x:c r="U2754" s="18" t="n">
        <x:v>640.5091244600278</x:v>
      </x:c>
      <x:c r="V2754" s="20" t="n">
        <x:v>12</x:v>
      </x:c>
      <x:c r="W2754" s="20" t="n">
        <x:v>5</x:v>
      </x:c>
      <x:c r="X2754" s="20" t="n">
        <x:v>3</x:v>
      </x:c>
      <x:c r="Y2754" t="str">
        <x:v>Basis arsip 2025/2024</x:v>
      </x:c>
      <x:c r="Z2754" t="str">
        <x:v>https://snpmb.id/utbk-snbt/daya-tampung-snbt</x:v>
      </x:c>
      <x:c r="AA2754" t="str">
        <x:v>Tidak Ada</x:v>
      </x:c>
      <x:c r="AB2754" t="str">
        <x:v>Campus=55; Ratio=59.1; Prodi=60; RelDemand=72.8; Capacity=76.7</x:v>
      </x:c>
    </x:row>
    <x:row r="2755">
      <x:c r="A2755" t="n">
        <x:v>2752</x:v>
      </x:c>
      <x:c r="B2755" t="str">
        <x:v>PTN Akademik</x:v>
      </x:c>
      <x:c r="C2755" t="str">
        <x:v>UNIVERSITAS MULAWARMAN</x:v>
      </x:c>
      <x:c r="D2755" t="str">
        <x:v>TEKNIK ELEKTRO</x:v>
      </x:c>
      <x:c r="E2755" t="str">
        <x:v>Sarjana</x:v>
      </x:c>
      <x:c r="F2755" s="18" t="n">
        <x:v>28</x:v>
      </x:c>
      <x:c r="G2755" s="18" t="n">
        <x:v>144</x:v>
      </x:c>
      <x:c r="H2755" s="19" t="n">
        <x:v>5.142857142857143</x:v>
      </x:c>
      <x:c r="I2755" s="18" t="n">
        <x:f>ROUND(MIN(Model_Config_v3!$B$6,MAX(Q2755,R2755,S2755*Model_Config_v3!$B$4+T2755*Model_Config_v3!$B$5)),0)</x:f>
        <x:v>646</x:v>
      </x:c>
      <x:c r="J2755" s="18" t="n">
        <x:f>MIN(Model_Config_v3!$B$6,I2755+Model_Config_v3!$B$7)</x:f>
        <x:v>666</x:v>
      </x:c>
      <x:c r="K2755" s="20" t="n">
        <x:v>53.1</x:v>
      </x:c>
      <x:c r="L2755" t="str">
        <x:v>MENENGAH</x:v>
      </x:c>
      <x:c r="M2755" t="str">
        <x:v>SEDANG+</x:v>
      </x:c>
      <x:c r="N2755" t="str">
        <x:v>REGULER</x:v>
      </x:c>
      <x:c r="O2755" t="str">
        <x:v>SAINTEK</x:v>
      </x:c>
      <x:c r="P2755" t="str">
        <x:v>TEKNIK/ARSITEKTUR/STATISTIKA/AKTUARIA</x:v>
      </x:c>
      <x:c r="Q2755" s="18" t="n">
        <x:v>0</x:v>
      </x:c>
      <x:c r="R2755" s="18" t="n">
        <x:v>0</x:v>
      </x:c>
      <x:c r="S2755" s="18" t="n">
        <x:v>598.2324906828334</x:v>
      </x:c>
      <x:c r="T2755" s="18" t="n">
        <x:v>666</x:v>
      </x:c>
      <x:c r="U2755" s="18" t="n">
        <x:v>608.2324906828334</x:v>
      </x:c>
      <x:c r="V2755" s="20" t="n">
        <x:v>12</x:v>
      </x:c>
      <x:c r="W2755" s="20" t="n">
        <x:v>5</x:v>
      </x:c>
      <x:c r="X2755" s="20" t="n">
        <x:v>3</x:v>
      </x:c>
      <x:c r="Y2755" t="str">
        <x:v>Basis arsip 2025/2024</x:v>
      </x:c>
      <x:c r="Z2755" t="str">
        <x:v>https://snpmb.id/utbk-snbt/daya-tampung-snbt</x:v>
      </x:c>
      <x:c r="AA2755" t="str">
        <x:v>Tidak Ada</x:v>
      </x:c>
      <x:c r="AB2755" t="str">
        <x:v>Campus=55; Ratio=41.9; Prodi=60; RelDemand=37.0; Capacity=76.7</x:v>
      </x:c>
    </x:row>
    <x:row r="2756">
      <x:c r="A2756" t="n">
        <x:v>2753</x:v>
      </x:c>
      <x:c r="B2756" t="str">
        <x:v>PTN Akademik</x:v>
      </x:c>
      <x:c r="C2756" t="str">
        <x:v>UNIVERSITAS MULAWARMAN</x:v>
      </x:c>
      <x:c r="D2756" t="str">
        <x:v>TEKNOLOGI HASIL PERIKANAN</x:v>
      </x:c>
      <x:c r="E2756" t="str">
        <x:v>Sarjana</x:v>
      </x:c>
      <x:c r="F2756" s="18" t="n">
        <x:v>24</x:v>
      </x:c>
      <x:c r="G2756" s="18" t="n">
        <x:v>36</x:v>
      </x:c>
      <x:c r="H2756" s="19" t="n">
        <x:v>1.5</x:v>
      </x:c>
      <x:c r="I2756" s="18" t="n">
        <x:f>ROUND(MIN(Model_Config_v3!$B$6,MAX(Q2756,R2756,S2756*Model_Config_v3!$B$4+T2756*Model_Config_v3!$B$5)),0)</x:f>
        <x:v>608</x:v>
      </x:c>
      <x:c r="J2756" s="18" t="n">
        <x:f>MIN(Model_Config_v3!$B$6,I2756+Model_Config_v3!$B$7)</x:f>
        <x:v>628</x:v>
      </x:c>
      <x:c r="K2756" s="20" t="n">
        <x:v>38.9</x:v>
      </x:c>
      <x:c r="L2756" t="str">
        <x:v>RELATIF LONGGAR</x:v>
      </x:c>
      <x:c r="M2756" t="str">
        <x:v>SEDANG</x:v>
      </x:c>
      <x:c r="N2756" t="str">
        <x:v>REGULER</x:v>
      </x:c>
      <x:c r="O2756" t="str">
        <x:v>SAINTEK</x:v>
      </x:c>
      <x:c r="P2756" t="str">
        <x:v>UMUM</x:v>
      </x:c>
      <x:c r="Q2756" s="18" t="n">
        <x:v>0</x:v>
      </x:c>
      <x:c r="R2756" s="18" t="n">
        <x:v>0</x:v>
      </x:c>
      <x:c r="S2756" s="18" t="n">
        <x:v>539.370038496125</x:v>
      </x:c>
      <x:c r="T2756" s="18" t="n">
        <x:v>638</x:v>
      </x:c>
      <x:c r="U2756" s="18" t="n">
        <x:v>539.370038496125</x:v>
      </x:c>
      <x:c r="V2756" s="20" t="n">
        <x:v>12</x:v>
      </x:c>
      <x:c r="W2756" s="20" t="n">
        <x:v>5</x:v>
      </x:c>
      <x:c r="X2756" s="20" t="n">
        <x:v>3</x:v>
      </x:c>
      <x:c r="Y2756" t="str">
        <x:v>Basis arsip 2025/2024</x:v>
      </x:c>
      <x:c r="Z2756" t="str">
        <x:v>https://snpmb.id/utbk-snbt/daya-tampung-snbt</x:v>
      </x:c>
      <x:c r="AA2756" t="str">
        <x:v>Tidak Ada</x:v>
      </x:c>
      <x:c r="AB2756" t="str">
        <x:v>Campus=55; Ratio=10.4; Prodi=40; RelDemand=10.8; Capacity=80.0</x:v>
      </x:c>
    </x:row>
    <x:row r="2757">
      <x:c r="A2757" t="n">
        <x:v>2754</x:v>
      </x:c>
      <x:c r="B2757" t="str">
        <x:v>PTN Akademik</x:v>
      </x:c>
      <x:c r="C2757" t="str">
        <x:v>UNIVERSITAS MULAWARMAN</x:v>
      </x:c>
      <x:c r="D2757" t="str">
        <x:v>KEDOKTERAN GIGI</x:v>
      </x:c>
      <x:c r="E2757" t="str">
        <x:v>Sarjana</x:v>
      </x:c>
      <x:c r="F2757" s="18" t="n">
        <x:v>30</x:v>
      </x:c>
      <x:c r="G2757" s="18" t="n">
        <x:v>491</x:v>
      </x:c>
      <x:c r="H2757" s="19" t="n">
        <x:v>16.366666666666667</x:v>
      </x:c>
      <x:c r="I2757" s="18" t="n">
        <x:f>ROUND(MIN(Model_Config_v3!$B$6,MAX(Q2757,R2757,S2757*Model_Config_v3!$B$4+T2757*Model_Config_v3!$B$5)),0)</x:f>
        <x:v>690</x:v>
      </x:c>
      <x:c r="J2757" s="18" t="n">
        <x:f>MIN(Model_Config_v3!$B$6,I2757+Model_Config_v3!$B$7)</x:f>
        <x:v>710</x:v>
      </x:c>
      <x:c r="K2757" s="20" t="n">
        <x:v>72.6</x:v>
      </x:c>
      <x:c r="L2757" t="str">
        <x:v>SANGAT KETAT</x:v>
      </x:c>
      <x:c r="M2757" t="str">
        <x:v>SEDANG+</x:v>
      </x:c>
      <x:c r="N2757" t="str">
        <x:v>REGULER</x:v>
      </x:c>
      <x:c r="O2757" t="str">
        <x:v>SAINTEK</x:v>
      </x:c>
      <x:c r="P2757" t="str">
        <x:v>KEDOKTERAN GIGI</x:v>
      </x:c>
      <x:c r="Q2757" s="18" t="n">
        <x:v>0</x:v>
      </x:c>
      <x:c r="R2757" s="18" t="n">
        <x:v>660</x:v>
      </x:c>
      <x:c r="S2757" s="18" t="n">
        <x:v>653.5356261143636</x:v>
      </x:c>
      <x:c r="T2757" s="18" t="n">
        <x:v>705</x:v>
      </x:c>
      <x:c r="U2757" s="18" t="n">
        <x:v>683.5356261143636</x:v>
      </x:c>
      <x:c r="V2757" s="20" t="n">
        <x:v>12</x:v>
      </x:c>
      <x:c r="W2757" s="20" t="n">
        <x:v>5</x:v>
      </x:c>
      <x:c r="X2757" s="20" t="n">
        <x:v>3</x:v>
      </x:c>
      <x:c r="Y2757" t="str">
        <x:v>Basis arsip 2025/2024</x:v>
      </x:c>
      <x:c r="Z2757" t="str">
        <x:v>https://snpmb.id/utbk-snbt/daya-tampung-snbt</x:v>
      </x:c>
      <x:c r="AA2757" t="str">
        <x:v>Tidak Ada</x:v>
      </x:c>
      <x:c r="AB2757" t="str">
        <x:v>Campus=55; Ratio=71.5; Prodi=90; RelDemand=100.0; Capacity=75.0</x:v>
      </x:c>
    </x:row>
    <x:row r="2758">
      <x:c r="A2758" t="n">
        <x:v>2755</x:v>
      </x:c>
      <x:c r="B2758" t="str">
        <x:v>PTN Akademik</x:v>
      </x:c>
      <x:c r="C2758" t="str">
        <x:v>UNIVERSITAS MULAWARMAN</x:v>
      </x:c>
      <x:c r="D2758" t="str">
        <x:v>MATEMATIKA</x:v>
      </x:c>
      <x:c r="E2758" t="str">
        <x:v>Sarjana</x:v>
      </x:c>
      <x:c r="F2758" s="18" t="n">
        <x:v>28</x:v>
      </x:c>
      <x:c r="G2758" s="18" t="n">
        <x:v>21</x:v>
      </x:c>
      <x:c r="H2758" s="19" t="n">
        <x:v>0.75</x:v>
      </x:c>
      <x:c r="I2758" s="18" t="n">
        <x:f>ROUND(MIN(Model_Config_v3!$B$6,MAX(Q2758,R2758,S2758*Model_Config_v3!$B$4+T2758*Model_Config_v3!$B$5)),0)</x:f>
        <x:v>601</x:v>
      </x:c>
      <x:c r="J2758" s="18" t="n">
        <x:f>MIN(Model_Config_v3!$B$6,I2758+Model_Config_v3!$B$7)</x:f>
        <x:v>621</x:v>
      </x:c>
      <x:c r="K2758" s="20" t="n">
        <x:v>37.5</x:v>
      </x:c>
      <x:c r="L2758" t="str">
        <x:v>RELATIF LONGGAR</x:v>
      </x:c>
      <x:c r="M2758" t="str">
        <x:v>SEDANG+</x:v>
      </x:c>
      <x:c r="N2758" t="str">
        <x:v>REGULER</x:v>
      </x:c>
      <x:c r="O2758" t="str">
        <x:v>SAINTEK</x:v>
      </x:c>
      <x:c r="P2758" t="str">
        <x:v>SAINS DASAR</x:v>
      </x:c>
      <x:c r="Q2758" s="18" t="n">
        <x:v>0</x:v>
      </x:c>
      <x:c r="R2758" s="18" t="n">
        <x:v>0</x:v>
      </x:c>
      <x:c r="S2758" s="18" t="n">
        <x:v>520</x:v>
      </x:c>
      <x:c r="T2758" s="18" t="n">
        <x:v>635</x:v>
      </x:c>
      <x:c r="U2758" s="18" t="n">
        <x:v>520</x:v>
      </x:c>
      <x:c r="V2758" s="20" t="n">
        <x:v>12</x:v>
      </x:c>
      <x:c r="W2758" s="20" t="n">
        <x:v>5</x:v>
      </x:c>
      <x:c r="X2758" s="20" t="n">
        <x:v>3</x:v>
      </x:c>
      <x:c r="Y2758" t="str">
        <x:v>Basis arsip 2025/2024</x:v>
      </x:c>
      <x:c r="Z2758" t="str">
        <x:v>https://snpmb.id/utbk-snbt/daya-tampung-snbt</x:v>
      </x:c>
      <x:c r="AA2758" t="str">
        <x:v>Tidak Ada</x:v>
      </x:c>
      <x:c r="AB2758" t="str">
        <x:v>Campus=55; Ratio=0.0; Prodi=50; RelDemand=5.4; Capacity=76.7</x:v>
      </x:c>
    </x:row>
    <x:row r="2759">
      <x:c r="A2759" t="n">
        <x:v>2756</x:v>
      </x:c>
      <x:c r="B2759" t="str">
        <x:v>PTN Akademik</x:v>
      </x:c>
      <x:c r="C2759" t="str">
        <x:v>UNIVERSITAS MULAWARMAN</x:v>
      </x:c>
      <x:c r="D2759" t="str">
        <x:v>ILMU KELAUTAN</x:v>
      </x:c>
      <x:c r="E2759" t="str">
        <x:v>Sarjana</x:v>
      </x:c>
      <x:c r="F2759" s="18" t="n">
        <x:v>24</x:v>
      </x:c>
      <x:c r="G2759" s="18" t="n">
        <x:v>57</x:v>
      </x:c>
      <x:c r="H2759" s="19" t="n">
        <x:v>2.375</x:v>
      </x:c>
      <x:c r="I2759" s="18" t="n">
        <x:f>ROUND(MIN(Model_Config_v3!$B$6,MAX(Q2759,R2759,S2759*Model_Config_v3!$B$4+T2759*Model_Config_v3!$B$5)),0)</x:f>
        <x:v>620</x:v>
      </x:c>
      <x:c r="J2759" s="18" t="n">
        <x:f>MIN(Model_Config_v3!$B$6,I2759+Model_Config_v3!$B$7)</x:f>
        <x:v>640</x:v>
      </x:c>
      <x:c r="K2759" s="20" t="n">
        <x:v>42.5</x:v>
      </x:c>
      <x:c r="L2759" t="str">
        <x:v>RELATIF LONGGAR</x:v>
      </x:c>
      <x:c r="M2759" t="str">
        <x:v>SEDANG</x:v>
      </x:c>
      <x:c r="N2759" t="str">
        <x:v>REGULER</x:v>
      </x:c>
      <x:c r="O2759" t="str">
        <x:v>SAINTEK</x:v>
      </x:c>
      <x:c r="P2759" t="str">
        <x:v>UMUM</x:v>
      </x:c>
      <x:c r="Q2759" s="18" t="n">
        <x:v>0</x:v>
      </x:c>
      <x:c r="R2759" s="18" t="n">
        <x:v>0</x:v>
      </x:c>
      <x:c r="S2759" s="18" t="n">
        <x:v>561.3229975356974</x:v>
      </x:c>
      <x:c r="T2759" s="18" t="n">
        <x:v>645</x:v>
      </x:c>
      <x:c r="U2759" s="18" t="n">
        <x:v>561.3229975356974</x:v>
      </x:c>
      <x:c r="V2759" s="20" t="n">
        <x:v>12</x:v>
      </x:c>
      <x:c r="W2759" s="20" t="n">
        <x:v>5</x:v>
      </x:c>
      <x:c r="X2759" s="20" t="n">
        <x:v>3</x:v>
      </x:c>
      <x:c r="Y2759" t="str">
        <x:v>Basis arsip 2025/2024</x:v>
      </x:c>
      <x:c r="Z2759" t="str">
        <x:v>https://snpmb.id/utbk-snbt/daya-tampung-snbt</x:v>
      </x:c>
      <x:c r="AA2759" t="str">
        <x:v>Tidak Ada</x:v>
      </x:c>
      <x:c r="AB2759" t="str">
        <x:v>Campus=55; Ratio=22.1; Prodi=40; RelDemand=17.1; Capacity=80.0</x:v>
      </x:c>
    </x:row>
    <x:row r="2760">
      <x:c r="A2760" t="n">
        <x:v>2757</x:v>
      </x:c>
      <x:c r="B2760" t="str">
        <x:v>PTN Akademik</x:v>
      </x:c>
      <x:c r="C2760" t="str">
        <x:v>UNIVERSITAS MULAWARMAN</x:v>
      </x:c>
      <x:c r="D2760" t="str">
        <x:v>GEOFISIKA</x:v>
      </x:c>
      <x:c r="E2760" t="str">
        <x:v>Sarjana</x:v>
      </x:c>
      <x:c r="F2760" s="18" t="n">
        <x:v>20</x:v>
      </x:c>
      <x:c r="G2760" s="18" t="n">
        <x:v>33</x:v>
      </x:c>
      <x:c r="H2760" s="19" t="n">
        <x:v>1.65</x:v>
      </x:c>
      <x:c r="I2760" s="18" t="n">
        <x:f>ROUND(MIN(Model_Config_v3!$B$6,MAX(Q2760,R2760,S2760*Model_Config_v3!$B$4+T2760*Model_Config_v3!$B$5)),0)</x:f>
        <x:v>614</x:v>
      </x:c>
      <x:c r="J2760" s="18" t="n">
        <x:f>MIN(Model_Config_v3!$B$6,I2760+Model_Config_v3!$B$7)</x:f>
        <x:v>634</x:v>
      </x:c>
      <x:c r="K2760" s="20" t="n">
        <x:v>42</x:v>
      </x:c>
      <x:c r="L2760" t="str">
        <x:v>RELATIF LONGGAR</x:v>
      </x:c>
      <x:c r="M2760" t="str">
        <x:v>SEDANG+</x:v>
      </x:c>
      <x:c r="N2760" t="str">
        <x:v>REGULER</x:v>
      </x:c>
      <x:c r="O2760" t="str">
        <x:v>SAINTEK</x:v>
      </x:c>
      <x:c r="P2760" t="str">
        <x:v>SAINS DASAR</x:v>
      </x:c>
      <x:c r="Q2760" s="18" t="n">
        <x:v>0</x:v>
      </x:c>
      <x:c r="R2760" s="18" t="n">
        <x:v>0</x:v>
      </x:c>
      <x:c r="S2760" s="18" t="n">
        <x:v>543.9232338635297</x:v>
      </x:c>
      <x:c r="T2760" s="18" t="n">
        <x:v>644</x:v>
      </x:c>
      <x:c r="U2760" s="18" t="n">
        <x:v>543.9232338635297</x:v>
      </x:c>
      <x:c r="V2760" s="20" t="n">
        <x:v>12</x:v>
      </x:c>
      <x:c r="W2760" s="20" t="n">
        <x:v>5</x:v>
      </x:c>
      <x:c r="X2760" s="20" t="n">
        <x:v>3</x:v>
      </x:c>
      <x:c r="Y2760" t="str">
        <x:v>Basis arsip 2025/2024</x:v>
      </x:c>
      <x:c r="Z2760" t="str">
        <x:v>https://snpmb.id/utbk-snbt/daya-tampung-snbt</x:v>
      </x:c>
      <x:c r="AA2760" t="str">
        <x:v>Tidak Ada</x:v>
      </x:c>
      <x:c r="AB2760" t="str">
        <x:v>Campus=55; Ratio=12.8; Prodi=50; RelDemand=11.9; Capacity=83.3</x:v>
      </x:c>
    </x:row>
    <x:row r="2761">
      <x:c r="A2761" t="n">
        <x:v>2758</x:v>
      </x:c>
      <x:c r="B2761" t="str">
        <x:v>PTN Akademik</x:v>
      </x:c>
      <x:c r="C2761" t="str">
        <x:v>UNIVERSITAS MULAWARMAN</x:v>
      </x:c>
      <x:c r="D2761" t="str">
        <x:v>PENDIDIKAN KOMPUTER</x:v>
      </x:c>
      <x:c r="E2761" t="str">
        <x:v>Sarjana</x:v>
      </x:c>
      <x:c r="F2761" s="18" t="n">
        <x:v>32</x:v>
      </x:c>
      <x:c r="G2761" s="18" t="n">
        <x:v>185</x:v>
      </x:c>
      <x:c r="H2761" s="19" t="n">
        <x:v>5.78125</x:v>
      </x:c>
      <x:c r="I2761" s="18" t="n">
        <x:f>ROUND(MIN(Model_Config_v3!$B$6,MAX(Q2761,R2761,S2761*Model_Config_v3!$B$4+T2761*Model_Config_v3!$B$5)),0)</x:f>
        <x:v>645</x:v>
      </x:c>
      <x:c r="J2761" s="18" t="n">
        <x:f>MIN(Model_Config_v3!$B$6,I2761+Model_Config_v3!$B$7)</x:f>
        <x:v>665</x:v>
      </x:c>
      <x:c r="K2761" s="20" t="n">
        <x:v>51</x:v>
      </x:c>
      <x:c r="L2761" t="str">
        <x:v>MENENGAH</x:v>
      </x:c>
      <x:c r="M2761" t="str">
        <x:v>SEDANG+</x:v>
      </x:c>
      <x:c r="N2761" t="str">
        <x:v>REGULER</x:v>
      </x:c>
      <x:c r="O2761" t="str">
        <x:v>SAINTEK</x:v>
      </x:c>
      <x:c r="P2761" t="str">
        <x:v>PENDIDIKAN</x:v>
      </x:c>
      <x:c r="Q2761" s="18" t="n">
        <x:v>0</x:v>
      </x:c>
      <x:c r="R2761" s="18" t="n">
        <x:v>0</x:v>
      </x:c>
      <x:c r="S2761" s="18" t="n">
        <x:v>603.8223925091419</x:v>
      </x:c>
      <x:c r="T2761" s="18" t="n">
        <x:v>662</x:v>
      </x:c>
      <x:c r="U2761" s="18" t="n">
        <x:v>603.8223925091419</x:v>
      </x:c>
      <x:c r="V2761" s="20" t="n">
        <x:v>12</x:v>
      </x:c>
      <x:c r="W2761" s="20" t="n">
        <x:v>5</x:v>
      </x:c>
      <x:c r="X2761" s="20" t="n">
        <x:v>3</x:v>
      </x:c>
      <x:c r="Y2761" t="str">
        <x:v>Basis arsip 2025/2024</x:v>
      </x:c>
      <x:c r="Z2761" t="str">
        <x:v>https://snpmb.id/utbk-snbt/daya-tampung-snbt</x:v>
      </x:c>
      <x:c r="AA2761" t="str">
        <x:v>Tidak Ada</x:v>
      </x:c>
      <x:c r="AB2761" t="str">
        <x:v>Campus=55; Ratio=44.9; Prodi=45; RelDemand=41.6; Capacity=73.3</x:v>
      </x:c>
    </x:row>
    <x:row r="2762">
      <x:c r="A2762" t="n">
        <x:v>2759</x:v>
      </x:c>
      <x:c r="B2762" t="str">
        <x:v>PTN Akademik</x:v>
      </x:c>
      <x:c r="C2762" t="str">
        <x:v>UNIVERSITAS MULAWARMAN</x:v>
      </x:c>
      <x:c r="D2762" t="str">
        <x:v>SISTEM INFORMASI</x:v>
      </x:c>
      <x:c r="E2762" t="str">
        <x:v>Sarjana</x:v>
      </x:c>
      <x:c r="F2762" s="18" t="n">
        <x:v>55</x:v>
      </x:c>
      <x:c r="G2762" s="18" t="n">
        <x:v>537</x:v>
      </x:c>
      <x:c r="H2762" s="19" t="n">
        <x:v>9.763636363636364</x:v>
      </x:c>
      <x:c r="I2762" s="18" t="n">
        <x:f>ROUND(MIN(Model_Config_v3!$B$6,MAX(Q2762,R2762,S2762*Model_Config_v3!$B$4+T2762*Model_Config_v3!$B$5)),0)</x:f>
        <x:v>670</x:v>
      </x:c>
      <x:c r="J2762" s="18" t="n">
        <x:f>MIN(Model_Config_v3!$B$6,I2762+Model_Config_v3!$B$7)</x:f>
        <x:v>690</x:v>
      </x:c>
      <x:c r="K2762" s="20" t="n">
        <x:v>63.3</x:v>
      </x:c>
      <x:c r="L2762" t="str">
        <x:v>KETAT</x:v>
      </x:c>
      <x:c r="M2762" t="str">
        <x:v>SEDANG+</x:v>
      </x:c>
      <x:c r="N2762" t="str">
        <x:v>REGULER</x:v>
      </x:c>
      <x:c r="O2762" t="str">
        <x:v>CAMPURAN</x:v>
      </x:c>
      <x:c r="P2762" t="str">
        <x:v>KOMPUTER/INFORMATIKA</x:v>
      </x:c>
      <x:c r="Q2762" s="18" t="n">
        <x:v>0</x:v>
      </x:c>
      <x:c r="R2762" s="18" t="n">
        <x:v>0</x:v>
      </x:c>
      <x:c r="S2762" s="18" t="n">
        <x:v>628.8572755825843</x:v>
      </x:c>
      <x:c r="T2762" s="18" t="n">
        <x:v>687</x:v>
      </x:c>
      <x:c r="U2762" s="18" t="n">
        <x:v>653.8572755825843</x:v>
      </x:c>
      <x:c r="V2762" s="20" t="n">
        <x:v>8.8</x:v>
      </x:c>
      <x:c r="W2762" s="20" t="n">
        <x:v>9.9</x:v>
      </x:c>
      <x:c r="X2762" s="20" t="n">
        <x:v>3.3</x:v>
      </x:c>
      <x:c r="Y2762" t="str">
        <x:v>Basis arsip 2025/2024</x:v>
      </x:c>
      <x:c r="Z2762" t="str">
        <x:v>https://snpmb.id/utbk-snbt/daya-tampung-snbt</x:v>
      </x:c>
      <x:c r="AA2762" t="str">
        <x:v>Tidak Ada</x:v>
      </x:c>
      <x:c r="AB2762" t="str">
        <x:v>Campus=55; Ratio=58.2; Prodi=85; RelDemand=70.3; Capacity=54.2</x:v>
      </x:c>
    </x:row>
    <x:row r="2763">
      <x:c r="A2763" t="n">
        <x:v>2760</x:v>
      </x:c>
      <x:c r="B2763" t="str">
        <x:v>PTN Akademik</x:v>
      </x:c>
      <x:c r="C2763" t="str">
        <x:v>UNIVERSITAS MULAWARMAN</x:v>
      </x:c>
      <x:c r="D2763" t="str">
        <x:v>MANAJEMEN</x:v>
      </x:c>
      <x:c r="E2763" t="str">
        <x:v>Sarjana</x:v>
      </x:c>
      <x:c r="F2763" s="18" t="n">
        <x:v>138</x:v>
      </x:c>
      <x:c r="G2763" s="18" t="n">
        <x:v>1474</x:v>
      </x:c>
      <x:c r="H2763" s="19" t="n">
        <x:v>10.681159420289855</x:v>
      </x:c>
      <x:c r="I2763" s="18" t="n">
        <x:f>ROUND(MIN(Model_Config_v3!$B$6,MAX(Q2763,R2763,S2763*Model_Config_v3!$B$4+T2763*Model_Config_v3!$B$5)),0)</x:f>
        <x:v>659</x:v>
      </x:c>
      <x:c r="J2763" s="18" t="n">
        <x:f>MIN(Model_Config_v3!$B$6,I2763+Model_Config_v3!$B$7)</x:f>
        <x:v>679</x:v>
      </x:c>
      <x:c r="K2763" s="20" t="n">
        <x:v>55.1</x:v>
      </x:c>
      <x:c r="L2763" t="str">
        <x:v>KETAT</x:v>
      </x:c>
      <x:c r="M2763" t="str">
        <x:v>SEDANG+</x:v>
      </x:c>
      <x:c r="N2763" t="str">
        <x:v>REGULER</x:v>
      </x:c>
      <x:c r="O2763" t="str">
        <x:v>SOSHUM</x:v>
      </x:c>
      <x:c r="P2763" t="str">
        <x:v>BISNIS/EKONOMI/AKUNTANSI</x:v>
      </x:c>
      <x:c r="Q2763" s="18" t="n">
        <x:v>0</x:v>
      </x:c>
      <x:c r="R2763" s="18" t="n">
        <x:v>0</x:v>
      </x:c>
      <x:c r="S2763" s="18" t="n">
        <x:v>633.1480236833976</x:v>
      </x:c>
      <x:c r="T2763" s="18" t="n">
        <x:v>670</x:v>
      </x:c>
      <x:c r="U2763" s="18" t="n">
        <x:v>648.1480236833976</x:v>
      </x:c>
      <x:c r="V2763" s="20" t="n">
        <x:v>4.4</x:v>
      </x:c>
      <x:c r="W2763" s="20" t="n">
        <x:v>14.3</x:v>
      </x:c>
      <x:c r="X2763" s="20" t="n">
        <x:v>3.3</x:v>
      </x:c>
      <x:c r="Y2763" t="str">
        <x:v>Basis arsip 2025/2024</x:v>
      </x:c>
      <x:c r="Z2763" t="str">
        <x:v>https://snpmb.id/utbk-snbt/daya-tampung-snbt</x:v>
      </x:c>
      <x:c r="AA2763" t="str">
        <x:v>Tidak Ada</x:v>
      </x:c>
      <x:c r="AB2763" t="str">
        <x:v>Campus=55; Ratio=60.5; Prodi=65; RelDemand=76.9; Capacity=0.0</x:v>
      </x:c>
    </x:row>
    <x:row r="2764">
      <x:c r="A2764" t="n">
        <x:v>2761</x:v>
      </x:c>
      <x:c r="B2764" t="str">
        <x:v>PTN Akademik</x:v>
      </x:c>
      <x:c r="C2764" t="str">
        <x:v>UNIVERSITAS MULAWARMAN</x:v>
      </x:c>
      <x:c r="D2764" t="str">
        <x:v>EKONOMI PEMBANGUNAN</x:v>
      </x:c>
      <x:c r="E2764" t="str">
        <x:v>Sarjana</x:v>
      </x:c>
      <x:c r="F2764" s="18" t="n">
        <x:v>90</x:v>
      </x:c>
      <x:c r="G2764" s="18" t="n">
        <x:v>301</x:v>
      </x:c>
      <x:c r="H2764" s="19" t="n">
        <x:v>3.3444444444444446</x:v>
      </x:c>
      <x:c r="I2764" s="18" t="n">
        <x:f>ROUND(MIN(Model_Config_v3!$B$6,MAX(Q2764,R2764,S2764*Model_Config_v3!$B$4+T2764*Model_Config_v3!$B$5)),0)</x:f>
        <x:v>628</x:v>
      </x:c>
      <x:c r="J2764" s="18" t="n">
        <x:f>MIN(Model_Config_v3!$B$6,I2764+Model_Config_v3!$B$7)</x:f>
        <x:v>648</x:v>
      </x:c>
      <x:c r="K2764" s="20" t="n">
        <x:v>44.9</x:v>
      </x:c>
      <x:c r="L2764" t="str">
        <x:v>RELATIF LONGGAR</x:v>
      </x:c>
      <x:c r="M2764" t="str">
        <x:v>SEDANG+</x:v>
      </x:c>
      <x:c r="N2764" t="str">
        <x:v>REGULER</x:v>
      </x:c>
      <x:c r="O2764" t="str">
        <x:v>SOSHUM</x:v>
      </x:c>
      <x:c r="P2764" t="str">
        <x:v>BISNIS/EKONOMI/AKUNTANSI</x:v>
      </x:c>
      <x:c r="Q2764" s="18" t="n">
        <x:v>0</x:v>
      </x:c>
      <x:c r="R2764" s="18" t="n">
        <x:v>0</x:v>
      </x:c>
      <x:c r="S2764" s="18" t="n">
        <x:v>577.675638476997</x:v>
      </x:c>
      <x:c r="T2764" s="18" t="n">
        <x:v>650</x:v>
      </x:c>
      <x:c r="U2764" s="18" t="n">
        <x:v>577.675638476997</x:v>
      </x:c>
      <x:c r="V2764" s="20" t="n">
        <x:v>4.4</x:v>
      </x:c>
      <x:c r="W2764" s="20" t="n">
        <x:v>14.3</x:v>
      </x:c>
      <x:c r="X2764" s="20" t="n">
        <x:v>3.3</x:v>
      </x:c>
      <x:c r="Y2764" t="str">
        <x:v>Basis arsip 2025/2024</x:v>
      </x:c>
      <x:c r="Z2764" t="str">
        <x:v>https://snpmb.id/utbk-snbt/daya-tampung-snbt</x:v>
      </x:c>
      <x:c r="AA2764" t="str">
        <x:v>Tidak Ada</x:v>
      </x:c>
      <x:c r="AB2764" t="str">
        <x:v>Campus=55; Ratio=30.9; Prodi=65; RelDemand=24.1; Capacity=25.0</x:v>
      </x:c>
    </x:row>
    <x:row r="2765">
      <x:c r="A2765" t="n">
        <x:v>2762</x:v>
      </x:c>
      <x:c r="B2765" t="str">
        <x:v>PTN Akademik</x:v>
      </x:c>
      <x:c r="C2765" t="str">
        <x:v>UNIVERSITAS MULAWARMAN</x:v>
      </x:c>
      <x:c r="D2765" t="str">
        <x:v>AKUNTANSI</x:v>
      </x:c>
      <x:c r="E2765" t="str">
        <x:v>Sarjana</x:v>
      </x:c>
      <x:c r="F2765" s="18" t="n">
        <x:v>138</x:v>
      </x:c>
      <x:c r="G2765" s="18" t="n">
        <x:v>737</x:v>
      </x:c>
      <x:c r="H2765" s="19" t="n">
        <x:v>5.340579710144928</x:v>
      </x:c>
      <x:c r="I2765" s="18" t="n">
        <x:f>ROUND(MIN(Model_Config_v3!$B$6,MAX(Q2765,R2765,S2765*Model_Config_v3!$B$4+T2765*Model_Config_v3!$B$5)),0)</x:f>
        <x:v>638</x:v>
      </x:c>
      <x:c r="J2765" s="18" t="n">
        <x:f>MIN(Model_Config_v3!$B$6,I2765+Model_Config_v3!$B$7)</x:f>
        <x:v>658</x:v>
      </x:c>
      <x:c r="K2765" s="20" t="n">
        <x:v>46.8</x:v>
      </x:c>
      <x:c r="L2765" t="str">
        <x:v>MENENGAH</x:v>
      </x:c>
      <x:c r="M2765" t="str">
        <x:v>SEDANG+</x:v>
      </x:c>
      <x:c r="N2765" t="str">
        <x:v>REGULER</x:v>
      </x:c>
      <x:c r="O2765" t="str">
        <x:v>SOSHUM</x:v>
      </x:c>
      <x:c r="P2765" t="str">
        <x:v>BISNIS/EKONOMI/AKUNTANSI</x:v>
      </x:c>
      <x:c r="Q2765" s="18" t="n">
        <x:v>0</x:v>
      </x:c>
      <x:c r="R2765" s="18" t="n">
        <x:v>0</x:v>
      </x:c>
      <x:c r="S2765" s="18" t="n">
        <x:v>600.0347241603597</x:v>
      </x:c>
      <x:c r="T2765" s="18" t="n">
        <x:v>654</x:v>
      </x:c>
      <x:c r="U2765" s="18" t="n">
        <x:v>600.0347241603597</x:v>
      </x:c>
      <x:c r="V2765" s="20" t="n">
        <x:v>4.4</x:v>
      </x:c>
      <x:c r="W2765" s="20" t="n">
        <x:v>14.3</x:v>
      </x:c>
      <x:c r="X2765" s="20" t="n">
        <x:v>3.3</x:v>
      </x:c>
      <x:c r="Y2765" t="str">
        <x:v>Basis arsip 2025/2024</x:v>
      </x:c>
      <x:c r="Z2765" t="str">
        <x:v>https://snpmb.id/utbk-snbt/daya-tampung-snbt</x:v>
      </x:c>
      <x:c r="AA2765" t="str">
        <x:v>Tidak Ada</x:v>
      </x:c>
      <x:c r="AB2765" t="str">
        <x:v>Campus=55; Ratio=42.8; Prodi=65; RelDemand=38.5; Capacity=0.0</x:v>
      </x:c>
    </x:row>
    <x:row r="2766">
      <x:c r="A2766" t="n">
        <x:v>2763</x:v>
      </x:c>
      <x:c r="B2766" t="str">
        <x:v>PTN Akademik</x:v>
      </x:c>
      <x:c r="C2766" t="str">
        <x:v>UNIVERSITAS MULAWARMAN</x:v>
      </x:c>
      <x:c r="D2766" t="str">
        <x:v>ADMINISTRASI PUBLIK</x:v>
      </x:c>
      <x:c r="E2766" t="str">
        <x:v>Sarjana</x:v>
      </x:c>
      <x:c r="F2766" s="18" t="n">
        <x:v>32</x:v>
      </x:c>
      <x:c r="G2766" s="18" t="n">
        <x:v>512</x:v>
      </x:c>
      <x:c r="H2766" s="19" t="n">
        <x:v>16</x:v>
      </x:c>
      <x:c r="I2766" s="18" t="n">
        <x:f>ROUND(MIN(Model_Config_v3!$B$6,MAX(Q2766,R2766,S2766*Model_Config_v3!$B$4+T2766*Model_Config_v3!$B$5)),0)</x:f>
        <x:v>675</x:v>
      </x:c>
      <x:c r="J2766" s="18" t="n">
        <x:f>MIN(Model_Config_v3!$B$6,I2766+Model_Config_v3!$B$7)</x:f>
        <x:v>695</x:v>
      </x:c>
      <x:c r="K2766" s="20" t="n">
        <x:v>62.3</x:v>
      </x:c>
      <x:c r="L2766" t="str">
        <x:v>KETAT</x:v>
      </x:c>
      <x:c r="M2766" t="str">
        <x:v>SEDANG</x:v>
      </x:c>
      <x:c r="N2766" t="str">
        <x:v>REGULER</x:v>
      </x:c>
      <x:c r="O2766" t="str">
        <x:v>SOSHUM</x:v>
      </x:c>
      <x:c r="P2766" t="str">
        <x:v>UMUM</x:v>
      </x:c>
      <x:c r="Q2766" s="18" t="n">
        <x:v>0</x:v>
      </x:c>
      <x:c r="R2766" s="18" t="n">
        <x:v>0</x:v>
      </x:c>
      <x:c r="S2766" s="18" t="n">
        <x:v>652.4531980921518</x:v>
      </x:c>
      <x:c r="T2766" s="18" t="n">
        <x:v>685</x:v>
      </x:c>
      <x:c r="U2766" s="18" t="n">
        <x:v>652.4531980921518</x:v>
      </x:c>
      <x:c r="V2766" s="20" t="n">
        <x:v>4.4</x:v>
      </x:c>
      <x:c r="W2766" s="20" t="n">
        <x:v>14.3</x:v>
      </x:c>
      <x:c r="X2766" s="20" t="n">
        <x:v>3.3</x:v>
      </x:c>
      <x:c r="Y2766" t="str">
        <x:v>Basis arsip 2025/2024</x:v>
      </x:c>
      <x:c r="Z2766" t="str">
        <x:v>https://snpmb.id/utbk-snbt/daya-tampung-snbt</x:v>
      </x:c>
      <x:c r="AA2766" t="str">
        <x:v>Tidak Ada</x:v>
      </x:c>
      <x:c r="AB2766" t="str">
        <x:v>Campus=55; Ratio=70.9; Prodi=40; RelDemand=100.0; Capacity=73.3</x:v>
      </x:c>
    </x:row>
    <x:row r="2767">
      <x:c r="A2767" t="n">
        <x:v>2764</x:v>
      </x:c>
      <x:c r="B2767" t="str">
        <x:v>PTN Akademik</x:v>
      </x:c>
      <x:c r="C2767" t="str">
        <x:v>UNIVERSITAS MULAWARMAN</x:v>
      </x:c>
      <x:c r="D2767" t="str">
        <x:v>ILMU PEMERINTAHAN</x:v>
      </x:c>
      <x:c r="E2767" t="str">
        <x:v>Sarjana</x:v>
      </x:c>
      <x:c r="F2767" s="18" t="n">
        <x:v>32</x:v>
      </x:c>
      <x:c r="G2767" s="18" t="n">
        <x:v>400</x:v>
      </x:c>
      <x:c r="H2767" s="19" t="n">
        <x:v>12.5</x:v>
      </x:c>
      <x:c r="I2767" s="18" t="n">
        <x:f>ROUND(MIN(Model_Config_v3!$B$6,MAX(Q2767,R2767,S2767*Model_Config_v3!$B$4+T2767*Model_Config_v3!$B$5)),0)</x:f>
        <x:v>667</x:v>
      </x:c>
      <x:c r="J2767" s="18" t="n">
        <x:f>MIN(Model_Config_v3!$B$6,I2767+Model_Config_v3!$B$7)</x:f>
        <x:v>687</x:v>
      </x:c>
      <x:c r="K2767" s="20" t="n">
        <x:v>59.7</x:v>
      </x:c>
      <x:c r="L2767" t="str">
        <x:v>KETAT</x:v>
      </x:c>
      <x:c r="M2767" t="str">
        <x:v>SEDANG</x:v>
      </x:c>
      <x:c r="N2767" t="str">
        <x:v>REGULER</x:v>
      </x:c>
      <x:c r="O2767" t="str">
        <x:v>CAMPURAN</x:v>
      </x:c>
      <x:c r="P2767" t="str">
        <x:v>UMUM</x:v>
      </x:c>
      <x:c r="Q2767" s="18" t="n">
        <x:v>0</x:v>
      </x:c>
      <x:c r="R2767" s="18" t="n">
        <x:v>0</x:v>
      </x:c>
      <x:c r="S2767" s="18" t="n">
        <x:v>640.6601014308862</x:v>
      </x:c>
      <x:c r="T2767" s="18" t="n">
        <x:v>679</x:v>
      </x:c>
      <x:c r="U2767" s="18" t="n">
        <x:v>640.6601014308862</x:v>
      </x:c>
      <x:c r="V2767" s="20" t="n">
        <x:v>8.8</x:v>
      </x:c>
      <x:c r="W2767" s="20" t="n">
        <x:v>9.9</x:v>
      </x:c>
      <x:c r="X2767" s="20" t="n">
        <x:v>3.3</x:v>
      </x:c>
      <x:c r="Y2767" t="str">
        <x:v>Basis arsip 2025/2024</x:v>
      </x:c>
      <x:c r="Z2767" t="str">
        <x:v>https://snpmb.id/utbk-snbt/daya-tampung-snbt</x:v>
      </x:c>
      <x:c r="AA2767" t="str">
        <x:v>Tidak Ada</x:v>
      </x:c>
      <x:c r="AB2767" t="str">
        <x:v>Campus=55; Ratio=64.6; Prodi=40; RelDemand=90.0; Capacity=73.3</x:v>
      </x:c>
    </x:row>
    <x:row r="2768">
      <x:c r="A2768" t="n">
        <x:v>2765</x:v>
      </x:c>
      <x:c r="B2768" t="str">
        <x:v>PTN Akademik</x:v>
      </x:c>
      <x:c r="C2768" t="str">
        <x:v>UNIVERSITAS MULAWARMAN</x:v>
      </x:c>
      <x:c r="D2768" t="str">
        <x:v>PEMBANGUNAN SOSIAL</x:v>
      </x:c>
      <x:c r="E2768" t="str">
        <x:v>Sarjana</x:v>
      </x:c>
      <x:c r="F2768" s="18" t="n">
        <x:v>32</x:v>
      </x:c>
      <x:c r="G2768" s="18" t="n">
        <x:v>98</x:v>
      </x:c>
      <x:c r="H2768" s="19" t="n">
        <x:v>3.0625</x:v>
      </x:c>
      <x:c r="I2768" s="18" t="n">
        <x:f>ROUND(MIN(Model_Config_v3!$B$6,MAX(Q2768,R2768,S2768*Model_Config_v3!$B$4+T2768*Model_Config_v3!$B$5)),0)</x:f>
        <x:v>626</x:v>
      </x:c>
      <x:c r="J2768" s="18" t="n">
        <x:f>MIN(Model_Config_v3!$B$6,I2768+Model_Config_v3!$B$7)</x:f>
        <x:v>646</x:v>
      </x:c>
      <x:c r="K2768" s="20" t="n">
        <x:v>43.9</x:v>
      </x:c>
      <x:c r="L2768" t="str">
        <x:v>RELATIF LONGGAR</x:v>
      </x:c>
      <x:c r="M2768" t="str">
        <x:v>SEDANG</x:v>
      </x:c>
      <x:c r="N2768" t="str">
        <x:v>REGULER</x:v>
      </x:c>
      <x:c r="O2768" t="str">
        <x:v>CAMPURAN</x:v>
      </x:c>
      <x:c r="P2768" t="str">
        <x:v>UMUM</x:v>
      </x:c>
      <x:c r="Q2768" s="18" t="n">
        <x:v>0</x:v>
      </x:c>
      <x:c r="R2768" s="18" t="n">
        <x:v>0</x:v>
      </x:c>
      <x:c r="S2768" s="18" t="n">
        <x:v>573.4683707109848</x:v>
      </x:c>
      <x:c r="T2768" s="18" t="n">
        <x:v>648</x:v>
      </x:c>
      <x:c r="U2768" s="18" t="n">
        <x:v>573.4683707109848</x:v>
      </x:c>
      <x:c r="V2768" s="20" t="n">
        <x:v>8.8</x:v>
      </x:c>
      <x:c r="W2768" s="20" t="n">
        <x:v>9.9</x:v>
      </x:c>
      <x:c r="X2768" s="20" t="n">
        <x:v>3.3</x:v>
      </x:c>
      <x:c r="Y2768" t="str">
        <x:v>Basis arsip 2025/2024</x:v>
      </x:c>
      <x:c r="Z2768" t="str">
        <x:v>https://snpmb.id/utbk-snbt/daya-tampung-snbt</x:v>
      </x:c>
      <x:c r="AA2768" t="str">
        <x:v>Tidak Ada</x:v>
      </x:c>
      <x:c r="AB2768" t="str">
        <x:v>Campus=55; Ratio=28.6; Prodi=40; RelDemand=22.1; Capacity=73.3</x:v>
      </x:c>
    </x:row>
    <x:row r="2769">
      <x:c r="A2769" t="n">
        <x:v>2766</x:v>
      </x:c>
      <x:c r="B2769" t="str">
        <x:v>PTN Akademik</x:v>
      </x:c>
      <x:c r="C2769" t="str">
        <x:v>UNIVERSITAS MULAWARMAN</x:v>
      </x:c>
      <x:c r="D2769" t="str">
        <x:v>ILMU HUBUNGAN INTERNASIONAL</x:v>
      </x:c>
      <x:c r="E2769" t="str">
        <x:v>Sarjana</x:v>
      </x:c>
      <x:c r="F2769" s="18" t="n">
        <x:v>32</x:v>
      </x:c>
      <x:c r="G2769" s="18" t="n">
        <x:v>323</x:v>
      </x:c>
      <x:c r="H2769" s="19" t="n">
        <x:v>10.09375</x:v>
      </x:c>
      <x:c r="I2769" s="18" t="n">
        <x:f>ROUND(MIN(Model_Config_v3!$B$6,MAX(Q2769,R2769,S2769*Model_Config_v3!$B$4+T2769*Model_Config_v3!$B$5)),0)</x:f>
        <x:v>660</x:v>
      </x:c>
      <x:c r="J2769" s="18" t="n">
        <x:f>MIN(Model_Config_v3!$B$6,I2769+Model_Config_v3!$B$7)</x:f>
        <x:v>680</x:v>
      </x:c>
      <x:c r="K2769" s="20" t="n">
        <x:v>56.6</x:v>
      </x:c>
      <x:c r="L2769" t="str">
        <x:v>KETAT</x:v>
      </x:c>
      <x:c r="M2769" t="str">
        <x:v>SEDANG</x:v>
      </x:c>
      <x:c r="N2769" t="str">
        <x:v>REGULER</x:v>
      </x:c>
      <x:c r="O2769" t="str">
        <x:v>SOSHUM</x:v>
      </x:c>
      <x:c r="P2769" t="str">
        <x:v>UMUM</x:v>
      </x:c>
      <x:c r="Q2769" s="18" t="n">
        <x:v>0</x:v>
      </x:c>
      <x:c r="R2769" s="18" t="n">
        <x:v>0</x:v>
      </x:c>
      <x:c r="S2769" s="18" t="n">
        <x:v>630.4457798412317</x:v>
      </x:c>
      <x:c r="T2769" s="18" t="n">
        <x:v>673</x:v>
      </x:c>
      <x:c r="U2769" s="18" t="n">
        <x:v>630.4457798412317</x:v>
      </x:c>
      <x:c r="V2769" s="20" t="n">
        <x:v>4.4</x:v>
      </x:c>
      <x:c r="W2769" s="20" t="n">
        <x:v>14.3</x:v>
      </x:c>
      <x:c r="X2769" s="20" t="n">
        <x:v>3.3</x:v>
      </x:c>
      <x:c r="Y2769" t="str">
        <x:v>Basis arsip 2025/2024</x:v>
      </x:c>
      <x:c r="Z2769" t="str">
        <x:v>https://snpmb.id/utbk-snbt/daya-tampung-snbt</x:v>
      </x:c>
      <x:c r="AA2769" t="str">
        <x:v>Tidak Ada</x:v>
      </x:c>
      <x:c r="AB2769" t="str">
        <x:v>Campus=55; Ratio=59.1; Prodi=40; RelDemand=72.7; Capacity=73.3</x:v>
      </x:c>
    </x:row>
    <x:row r="2770">
      <x:c r="A2770" t="n">
        <x:v>2767</x:v>
      </x:c>
      <x:c r="B2770" t="str">
        <x:v>PTN Akademik</x:v>
      </x:c>
      <x:c r="C2770" t="str">
        <x:v>UNIVERSITAS MULAWARMAN</x:v>
      </x:c>
      <x:c r="D2770" t="str">
        <x:v>ILMU KOMUNIKASI</x:v>
      </x:c>
      <x:c r="E2770" t="str">
        <x:v>Sarjana</x:v>
      </x:c>
      <x:c r="F2770" s="18" t="n">
        <x:v>32</x:v>
      </x:c>
      <x:c r="G2770" s="18" t="n">
        <x:v>661</x:v>
      </x:c>
      <x:c r="H2770" s="19" t="n">
        <x:v>20.65625</x:v>
      </x:c>
      <x:c r="I2770" s="18" t="n">
        <x:f>ROUND(MIN(Model_Config_v3!$B$6,MAX(Q2770,R2770,S2770*Model_Config_v3!$B$4+T2770*Model_Config_v3!$B$5)),0)</x:f>
        <x:v>681</x:v>
      </x:c>
      <x:c r="J2770" s="18" t="n">
        <x:f>MIN(Model_Config_v3!$B$6,I2770+Model_Config_v3!$B$7)</x:f>
        <x:v>701</x:v>
      </x:c>
      <x:c r="K2770" s="20" t="n">
        <x:v>63.9</x:v>
      </x:c>
      <x:c r="L2770" t="str">
        <x:v>KETAT</x:v>
      </x:c>
      <x:c r="M2770" t="str">
        <x:v>SEDANG</x:v>
      </x:c>
      <x:c r="N2770" t="str">
        <x:v>REGULER</x:v>
      </x:c>
      <x:c r="O2770" t="str">
        <x:v>SOSHUM</x:v>
      </x:c>
      <x:c r="P2770" t="str">
        <x:v>UMUM</x:v>
      </x:c>
      <x:c r="Q2770" s="18" t="n">
        <x:v>0</x:v>
      </x:c>
      <x:c r="R2770" s="18" t="n">
        <x:v>0</x:v>
      </x:c>
      <x:c r="S2770" s="18" t="n">
        <x:v>664.6556629282308</x:v>
      </x:c>
      <x:c r="T2770" s="18" t="n">
        <x:v>688</x:v>
      </x:c>
      <x:c r="U2770" s="18" t="n">
        <x:v>664.6556629282308</x:v>
      </x:c>
      <x:c r="V2770" s="20" t="n">
        <x:v>4.4</x:v>
      </x:c>
      <x:c r="W2770" s="20" t="n">
        <x:v>14.3</x:v>
      </x:c>
      <x:c r="X2770" s="20" t="n">
        <x:v>3.3</x:v>
      </x:c>
      <x:c r="Y2770" t="str">
        <x:v>Basis arsip 2025/2024</x:v>
      </x:c>
      <x:c r="Z2770" t="str">
        <x:v>https://snpmb.id/utbk-snbt/daya-tampung-snbt</x:v>
      </x:c>
      <x:c r="AA2770" t="str">
        <x:v>Tidak Ada</x:v>
      </x:c>
      <x:c r="AB2770" t="str">
        <x:v>Campus=55; Ratio=77.4; Prodi=40; RelDemand=100.0; Capacity=73.3</x:v>
      </x:c>
    </x:row>
    <x:row r="2771">
      <x:c r="A2771" t="n">
        <x:v>2768</x:v>
      </x:c>
      <x:c r="B2771" t="str">
        <x:v>PTN Akademik</x:v>
      </x:c>
      <x:c r="C2771" t="str">
        <x:v>UNIVERSITAS MULAWARMAN</x:v>
      </x:c>
      <x:c r="D2771" t="str">
        <x:v>ADMINISTRASI BISNIS</x:v>
      </x:c>
      <x:c r="E2771" t="str">
        <x:v>Sarjana</x:v>
      </x:c>
      <x:c r="F2771" s="18" t="n">
        <x:v>32</x:v>
      </x:c>
      <x:c r="G2771" s="18" t="n">
        <x:v>933</x:v>
      </x:c>
      <x:c r="H2771" s="19" t="n">
        <x:v>29.15625</x:v>
      </x:c>
      <x:c r="I2771" s="18" t="n">
        <x:f>ROUND(MIN(Model_Config_v3!$B$6,MAX(Q2771,R2771,S2771*Model_Config_v3!$B$4+T2771*Model_Config_v3!$B$5)),0)</x:f>
        <x:v>696</x:v>
      </x:c>
      <x:c r="J2771" s="18" t="n">
        <x:f>MIN(Model_Config_v3!$B$6,I2771+Model_Config_v3!$B$7)</x:f>
        <x:v>716</x:v>
      </x:c>
      <x:c r="K2771" s="20" t="n">
        <x:v>71.1</x:v>
      </x:c>
      <x:c r="L2771" t="str">
        <x:v>SANGAT KETAT</x:v>
      </x:c>
      <x:c r="M2771" t="str">
        <x:v>SEDANG+</x:v>
      </x:c>
      <x:c r="N2771" t="str">
        <x:v>REGULER</x:v>
      </x:c>
      <x:c r="O2771" t="str">
        <x:v>SOSHUM</x:v>
      </x:c>
      <x:c r="P2771" t="str">
        <x:v>BISNIS/EKONOMI/AKUNTANSI</x:v>
      </x:c>
      <x:c r="Q2771" s="18" t="n">
        <x:v>0</x:v>
      </x:c>
      <x:c r="R2771" s="18" t="n">
        <x:v>0</x:v>
      </x:c>
      <x:c r="S2771" s="18" t="n">
        <x:v>681.1204831969253</x:v>
      </x:c>
      <x:c r="T2771" s="18" t="n">
        <x:v>702</x:v>
      </x:c>
      <x:c r="U2771" s="18" t="n">
        <x:v>696.1204831969253</x:v>
      </x:c>
      <x:c r="V2771" s="20" t="n">
        <x:v>4.4</x:v>
      </x:c>
      <x:c r="W2771" s="20" t="n">
        <x:v>14.3</x:v>
      </x:c>
      <x:c r="X2771" s="20" t="n">
        <x:v>3.3</x:v>
      </x:c>
      <x:c r="Y2771" t="str">
        <x:v>Basis arsip 2025/2024</x:v>
      </x:c>
      <x:c r="Z2771" t="str">
        <x:v>https://snpmb.id/utbk-snbt/daya-tampung-snbt</x:v>
      </x:c>
      <x:c r="AA2771" t="str">
        <x:v>Tidak Ada</x:v>
      </x:c>
      <x:c r="AB2771" t="str">
        <x:v>Campus=55; Ratio=86.2; Prodi=65; RelDemand=100.0; Capacity=73.3</x:v>
      </x:c>
    </x:row>
    <x:row r="2772">
      <x:c r="A2772" t="n">
        <x:v>2769</x:v>
      </x:c>
      <x:c r="B2772" t="str">
        <x:v>PTN Akademik</x:v>
      </x:c>
      <x:c r="C2772" t="str">
        <x:v>UNIVERSITAS MULAWARMAN</x:v>
      </x:c>
      <x:c r="D2772" t="str">
        <x:v>PEND. PANCASILA DAN KEWARGANEGARAAN</x:v>
      </x:c>
      <x:c r="E2772" t="str">
        <x:v>Sarjana</x:v>
      </x:c>
      <x:c r="F2772" s="18" t="n">
        <x:v>32</x:v>
      </x:c>
      <x:c r="G2772" s="18" t="n">
        <x:v>80</x:v>
      </x:c>
      <x:c r="H2772" s="19" t="n">
        <x:v>2.5</x:v>
      </x:c>
      <x:c r="I2772" s="18" t="n">
        <x:f>ROUND(MIN(Model_Config_v3!$B$6,MAX(Q2772,R2772,S2772*Model_Config_v3!$B$4+T2772*Model_Config_v3!$B$5)),0)</x:f>
        <x:v>621</x:v>
      </x:c>
      <x:c r="J2772" s="18" t="n">
        <x:f>MIN(Model_Config_v3!$B$6,I2772+Model_Config_v3!$B$7)</x:f>
        <x:v>641</x:v>
      </x:c>
      <x:c r="K2772" s="20" t="n">
        <x:v>43.2</x:v>
      </x:c>
      <x:c r="L2772" t="str">
        <x:v>RELATIF LONGGAR</x:v>
      </x:c>
      <x:c r="M2772" t="str">
        <x:v>SEDANG+</x:v>
      </x:c>
      <x:c r="N2772" t="str">
        <x:v>REGULER</x:v>
      </x:c>
      <x:c r="O2772" t="str">
        <x:v>CAMPURAN</x:v>
      </x:c>
      <x:c r="P2772" t="str">
        <x:v>PENDIDIKAN</x:v>
      </x:c>
      <x:c r="Q2772" s="18" t="n">
        <x:v>0</x:v>
      </x:c>
      <x:c r="R2772" s="18" t="n">
        <x:v>0</x:v>
      </x:c>
      <x:c r="S2772" s="18" t="n">
        <x:v>563.7734009539241</x:v>
      </x:c>
      <x:c r="T2772" s="18" t="n">
        <x:v>646</x:v>
      </x:c>
      <x:c r="U2772" s="18" t="n">
        <x:v>563.7734009539241</x:v>
      </x:c>
      <x:c r="V2772" s="20" t="n">
        <x:v>8.8</x:v>
      </x:c>
      <x:c r="W2772" s="20" t="n">
        <x:v>9.9</x:v>
      </x:c>
      <x:c r="X2772" s="20" t="n">
        <x:v>3.3</x:v>
      </x:c>
      <x:c r="Y2772" t="str">
        <x:v>Basis arsip 2025/2024</x:v>
      </x:c>
      <x:c r="Z2772" t="str">
        <x:v>https://snpmb.id/utbk-snbt/daya-tampung-snbt</x:v>
      </x:c>
      <x:c r="AA2772" t="str">
        <x:v>Tidak Ada</x:v>
      </x:c>
      <x:c r="AB2772" t="str">
        <x:v>Campus=55; Ratio=23.4; Prodi=45; RelDemand=18.0; Capacity=73.3</x:v>
      </x:c>
    </x:row>
    <x:row r="2773">
      <x:c r="A2773" t="n">
        <x:v>2770</x:v>
      </x:c>
      <x:c r="B2773" t="str">
        <x:v>PTN Akademik</x:v>
      </x:c>
      <x:c r="C2773" t="str">
        <x:v>UNIVERSITAS MULAWARMAN</x:v>
      </x:c>
      <x:c r="D2773" t="str">
        <x:v>PENDIDIKAN EKONOMI</x:v>
      </x:c>
      <x:c r="E2773" t="str">
        <x:v>Sarjana</x:v>
      </x:c>
      <x:c r="F2773" s="18" t="n">
        <x:v>28</x:v>
      </x:c>
      <x:c r="G2773" s="18" t="n">
        <x:v>78</x:v>
      </x:c>
      <x:c r="H2773" s="19" t="n">
        <x:v>2.7857142857142856</x:v>
      </x:c>
      <x:c r="I2773" s="18" t="n">
        <x:f>ROUND(MIN(Model_Config_v3!$B$6,MAX(Q2773,R2773,S2773*Model_Config_v3!$B$4+T2773*Model_Config_v3!$B$5)),0)</x:f>
        <x:v>625</x:v>
      </x:c>
      <x:c r="J2773" s="18" t="n">
        <x:f>MIN(Model_Config_v3!$B$6,I2773+Model_Config_v3!$B$7)</x:f>
        <x:v>645</x:v>
      </x:c>
      <x:c r="K2773" s="20" t="n">
        <x:v>44.5</x:v>
      </x:c>
      <x:c r="L2773" t="str">
        <x:v>RELATIF LONGGAR</x:v>
      </x:c>
      <x:c r="M2773" t="str">
        <x:v>SEDANG+</x:v>
      </x:c>
      <x:c r="N2773" t="str">
        <x:v>REGULER</x:v>
      </x:c>
      <x:c r="O2773" t="str">
        <x:v>SOSHUM</x:v>
      </x:c>
      <x:c r="P2773" t="str">
        <x:v>PENDIDIKAN</x:v>
      </x:c>
      <x:c r="Q2773" s="18" t="n">
        <x:v>0</x:v>
      </x:c>
      <x:c r="R2773" s="18" t="n">
        <x:v>0</x:v>
      </x:c>
      <x:c r="S2773" s="18" t="n">
        <x:v>568.9430228483087</x:v>
      </x:c>
      <x:c r="T2773" s="18" t="n">
        <x:v>649</x:v>
      </x:c>
      <x:c r="U2773" s="18" t="n">
        <x:v>568.9430228483087</x:v>
      </x:c>
      <x:c r="V2773" s="20" t="n">
        <x:v>4.4</x:v>
      </x:c>
      <x:c r="W2773" s="20" t="n">
        <x:v>14.3</x:v>
      </x:c>
      <x:c r="X2773" s="20" t="n">
        <x:v>3.3</x:v>
      </x:c>
      <x:c r="Y2773" t="str">
        <x:v>Basis arsip 2025/2024</x:v>
      </x:c>
      <x:c r="Z2773" t="str">
        <x:v>https://snpmb.id/utbk-snbt/daya-tampung-snbt</x:v>
      </x:c>
      <x:c r="AA2773" t="str">
        <x:v>Tidak Ada</x:v>
      </x:c>
      <x:c r="AB2773" t="str">
        <x:v>Campus=55; Ratio=26.2; Prodi=45; RelDemand=20.1; Capacity=76.7</x:v>
      </x:c>
    </x:row>
    <x:row r="2774">
      <x:c r="A2774" t="n">
        <x:v>2771</x:v>
      </x:c>
      <x:c r="B2774" t="str">
        <x:v>PTN Akademik</x:v>
      </x:c>
      <x:c r="C2774" t="str">
        <x:v>UNIVERSITAS MULAWARMAN</x:v>
      </x:c>
      <x:c r="D2774" t="str">
        <x:v>PEND. BAHASA, SASTRA INDO. &amp; DAERAH</x:v>
      </x:c>
      <x:c r="E2774" t="str">
        <x:v>Sarjana</x:v>
      </x:c>
      <x:c r="F2774" s="18" t="n">
        <x:v>32</x:v>
      </x:c>
      <x:c r="G2774" s="18" t="n">
        <x:v>124</x:v>
      </x:c>
      <x:c r="H2774" s="19" t="n">
        <x:v>3.875</x:v>
      </x:c>
      <x:c r="I2774" s="18" t="n">
        <x:f>ROUND(MIN(Model_Config_v3!$B$6,MAX(Q2774,R2774,S2774*Model_Config_v3!$B$4+T2774*Model_Config_v3!$B$5)),0)</x:f>
        <x:v>633</x:v>
      </x:c>
      <x:c r="J2774" s="18" t="n">
        <x:f>MIN(Model_Config_v3!$B$6,I2774+Model_Config_v3!$B$7)</x:f>
        <x:v>653</x:v>
      </x:c>
      <x:c r="K2774" s="20" t="n">
        <x:v>47</x:v>
      </x:c>
      <x:c r="L2774" t="str">
        <x:v>MENENGAH</x:v>
      </x:c>
      <x:c r="M2774" t="str">
        <x:v>SEDANG+</x:v>
      </x:c>
      <x:c r="N2774" t="str">
        <x:v>REGULER</x:v>
      </x:c>
      <x:c r="O2774" t="str">
        <x:v>SOSHUM</x:v>
      </x:c>
      <x:c r="P2774" t="str">
        <x:v>PENDIDIKAN</x:v>
      </x:c>
      <x:c r="Q2774" s="18" t="n">
        <x:v>0</x:v>
      </x:c>
      <x:c r="R2774" s="18" t="n">
        <x:v>0</x:v>
      </x:c>
      <x:c r="S2774" s="18" t="n">
        <x:v>584.7098877526562</x:v>
      </x:c>
      <x:c r="T2774" s="18" t="n">
        <x:v>654</x:v>
      </x:c>
      <x:c r="U2774" s="18" t="n">
        <x:v>584.7098877526562</x:v>
      </x:c>
      <x:c r="V2774" s="20" t="n">
        <x:v>4.4</x:v>
      </x:c>
      <x:c r="W2774" s="20" t="n">
        <x:v>14.3</x:v>
      </x:c>
      <x:c r="X2774" s="20" t="n">
        <x:v>3.3</x:v>
      </x:c>
      <x:c r="Y2774" t="str">
        <x:v>Basis arsip 2025/2024</x:v>
      </x:c>
      <x:c r="Z2774" t="str">
        <x:v>https://snpmb.id/utbk-snbt/daya-tampung-snbt</x:v>
      </x:c>
      <x:c r="AA2774" t="str">
        <x:v>Tidak Ada</x:v>
      </x:c>
      <x:c r="AB2774" t="str">
        <x:v>Campus=55; Ratio=34.6; Prodi=45; RelDemand=27.9; Capacity=73.3</x:v>
      </x:c>
    </x:row>
    <x:row r="2775">
      <x:c r="A2775" t="n">
        <x:v>2772</x:v>
      </x:c>
      <x:c r="B2775" t="str">
        <x:v>PTN Akademik</x:v>
      </x:c>
      <x:c r="C2775" t="str">
        <x:v>UNIVERSITAS MULAWARMAN</x:v>
      </x:c>
      <x:c r="D2775" t="str">
        <x:v>PENDIDIKAN BAHASA INGGRIS</x:v>
      </x:c>
      <x:c r="E2775" t="str">
        <x:v>Sarjana</x:v>
      </x:c>
      <x:c r="F2775" s="18" t="n">
        <x:v>32</x:v>
      </x:c>
      <x:c r="G2775" s="18" t="n">
        <x:v>165</x:v>
      </x:c>
      <x:c r="H2775" s="19" t="n">
        <x:v>5.15625</x:v>
      </x:c>
      <x:c r="I2775" s="18" t="n">
        <x:f>ROUND(MIN(Model_Config_v3!$B$6,MAX(Q2775,R2775,S2775*Model_Config_v3!$B$4+T2775*Model_Config_v3!$B$5)),0)</x:f>
        <x:v>642</x:v>
      </x:c>
      <x:c r="J2775" s="18" t="n">
        <x:f>MIN(Model_Config_v3!$B$6,I2775+Model_Config_v3!$B$7)</x:f>
        <x:v>662</x:v>
      </x:c>
      <x:c r="K2775" s="20" t="n">
        <x:v>49.8</x:v>
      </x:c>
      <x:c r="L2775" t="str">
        <x:v>MENENGAH</x:v>
      </x:c>
      <x:c r="M2775" t="str">
        <x:v>SEDANG+</x:v>
      </x:c>
      <x:c r="N2775" t="str">
        <x:v>REGULER</x:v>
      </x:c>
      <x:c r="O2775" t="str">
        <x:v>SOSHUM</x:v>
      </x:c>
      <x:c r="P2775" t="str">
        <x:v>PENDIDIKAN</x:v>
      </x:c>
      <x:c r="Q2775" s="18" t="n">
        <x:v>0</x:v>
      </x:c>
      <x:c r="R2775" s="18" t="n">
        <x:v>0</x:v>
      </x:c>
      <x:c r="S2775" s="18" t="n">
        <x:v>598.35673624834</x:v>
      </x:c>
      <x:c r="T2775" s="18" t="n">
        <x:v>660</x:v>
      </x:c>
      <x:c r="U2775" s="18" t="n">
        <x:v>598.35673624834</x:v>
      </x:c>
      <x:c r="V2775" s="20" t="n">
        <x:v>4.4</x:v>
      </x:c>
      <x:c r="W2775" s="20" t="n">
        <x:v>14.3</x:v>
      </x:c>
      <x:c r="X2775" s="20" t="n">
        <x:v>3.3</x:v>
      </x:c>
      <x:c r="Y2775" t="str">
        <x:v>Basis arsip 2025/2024</x:v>
      </x:c>
      <x:c r="Z2775" t="str">
        <x:v>https://snpmb.id/utbk-snbt/daya-tampung-snbt</x:v>
      </x:c>
      <x:c r="AA2775" t="str">
        <x:v>Tidak Ada</x:v>
      </x:c>
      <x:c r="AB2775" t="str">
        <x:v>Campus=55; Ratio=41.9; Prodi=45; RelDemand=37.1; Capacity=73.3</x:v>
      </x:c>
    </x:row>
    <x:row r="2776">
      <x:c r="A2776" t="n">
        <x:v>2773</x:v>
      </x:c>
      <x:c r="B2776" t="str">
        <x:v>PTN Akademik</x:v>
      </x:c>
      <x:c r="C2776" t="str">
        <x:v>UNIVERSITAS MULAWARMAN</x:v>
      </x:c>
      <x:c r="D2776" t="str">
        <x:v>BIMBINGAN DAN KONSELING</x:v>
      </x:c>
      <x:c r="E2776" t="str">
        <x:v>Sarjana</x:v>
      </x:c>
      <x:c r="F2776" s="18" t="n">
        <x:v>32</x:v>
      </x:c>
      <x:c r="G2776" s="18" t="n">
        <x:v>258</x:v>
      </x:c>
      <x:c r="H2776" s="19" t="n">
        <x:v>8.0625</x:v>
      </x:c>
      <x:c r="I2776" s="18" t="n">
        <x:f>ROUND(MIN(Model_Config_v3!$B$6,MAX(Q2776,R2776,S2776*Model_Config_v3!$B$4+T2776*Model_Config_v3!$B$5)),0)</x:f>
        <x:v>653</x:v>
      </x:c>
      <x:c r="J2776" s="18" t="n">
        <x:f>MIN(Model_Config_v3!$B$6,I2776+Model_Config_v3!$B$7)</x:f>
        <x:v>673</x:v>
      </x:c>
      <x:c r="K2776" s="20" t="n">
        <x:v>53.7</x:v>
      </x:c>
      <x:c r="L2776" t="str">
        <x:v>MENENGAH</x:v>
      </x:c>
      <x:c r="M2776" t="str">
        <x:v>SEDANG</x:v>
      </x:c>
      <x:c r="N2776" t="str">
        <x:v>REGULER</x:v>
      </x:c>
      <x:c r="O2776" t="str">
        <x:v>CAMPURAN</x:v>
      </x:c>
      <x:c r="P2776" t="str">
        <x:v>UMUM</x:v>
      </x:c>
      <x:c r="Q2776" s="18" t="n">
        <x:v>0</x:v>
      </x:c>
      <x:c r="R2776" s="18" t="n">
        <x:v>0</x:v>
      </x:c>
      <x:c r="S2776" s="18" t="n">
        <x:v>619.7116700407656</x:v>
      </x:c>
      <x:c r="T2776" s="18" t="n">
        <x:v>667</x:v>
      </x:c>
      <x:c r="U2776" s="18" t="n">
        <x:v>619.7116700407656</x:v>
      </x:c>
      <x:c r="V2776" s="20" t="n">
        <x:v>8.8</x:v>
      </x:c>
      <x:c r="W2776" s="20" t="n">
        <x:v>9.9</x:v>
      </x:c>
      <x:c r="X2776" s="20" t="n">
        <x:v>3.3</x:v>
      </x:c>
      <x:c r="Y2776" t="str">
        <x:v>Basis arsip 2025/2024</x:v>
      </x:c>
      <x:c r="Z2776" t="str">
        <x:v>https://snpmb.id/utbk-snbt/daya-tampung-snbt</x:v>
      </x:c>
      <x:c r="AA2776" t="str">
        <x:v>Tidak Ada</x:v>
      </x:c>
      <x:c r="AB2776" t="str">
        <x:v>Campus=55; Ratio=53.4; Prodi=40; RelDemand=58.1; Capacity=73.3</x:v>
      </x:c>
    </x:row>
    <x:row r="2777">
      <x:c r="A2777" t="n">
        <x:v>2774</x:v>
      </x:c>
      <x:c r="B2777" t="str">
        <x:v>PTN Akademik</x:v>
      </x:c>
      <x:c r="C2777" t="str">
        <x:v>UNIVERSITAS MULAWARMAN</x:v>
      </x:c>
      <x:c r="D2777" t="str">
        <x:v>PENDIDIKAN JASMANI</x:v>
      </x:c>
      <x:c r="E2777" t="str">
        <x:v>Sarjana</x:v>
      </x:c>
      <x:c r="F2777" s="18" t="n">
        <x:v>32</x:v>
      </x:c>
      <x:c r="G2777" s="18" t="n">
        <x:v>70</x:v>
      </x:c>
      <x:c r="H2777" s="19" t="n">
        <x:v>2.1875</x:v>
      </x:c>
      <x:c r="I2777" s="18" t="n">
        <x:f>ROUND(MIN(Model_Config_v3!$B$6,MAX(Q2777,R2777,S2777*Model_Config_v3!$B$4+T2777*Model_Config_v3!$B$5)),0)</x:f>
        <x:v>618</x:v>
      </x:c>
      <x:c r="J2777" s="18" t="n">
        <x:f>MIN(Model_Config_v3!$B$6,I2777+Model_Config_v3!$B$7)</x:f>
        <x:v>638</x:v>
      </x:c>
      <x:c r="K2777" s="20" t="n">
        <x:v>42.2</x:v>
      </x:c>
      <x:c r="L2777" t="str">
        <x:v>RELATIF LONGGAR</x:v>
      </x:c>
      <x:c r="M2777" t="str">
        <x:v>PORTOFOLIO</x:v>
      </x:c>
      <x:c r="N2777" t="str">
        <x:v>REGULER</x:v>
      </x:c>
      <x:c r="O2777" t="str">
        <x:v>SENI/OLAHRAGA</x:v>
      </x:c>
      <x:c r="P2777" t="str">
        <x:v>SENI/OLAHRAGA</x:v>
      </x:c>
      <x:c r="Q2777" s="18" t="n">
        <x:v>0</x:v>
      </x:c>
      <x:c r="R2777" s="18" t="n">
        <x:v>0</x:v>
      </x:c>
      <x:c r="S2777" s="18" t="n">
        <x:v>557.3942867863786</x:v>
      </x:c>
      <x:c r="T2777" s="18" t="n">
        <x:v>644</x:v>
      </x:c>
      <x:c r="U2777" s="18" t="n">
        <x:v>557.3942867863786</x:v>
      </x:c>
      <x:c r="V2777" s="20" t="n">
        <x:v>4.4</x:v>
      </x:c>
      <x:c r="W2777" s="20" t="n">
        <x:v>9.9</x:v>
      </x:c>
      <x:c r="X2777" s="20" t="n">
        <x:v>7.7</x:v>
      </x:c>
      <x:c r="Y2777" t="str">
        <x:v>Basis arsip 2025/2024</x:v>
      </x:c>
      <x:c r="Z2777" t="str">
        <x:v>https://snpmb.id/utbk-snbt/daya-tampung-snbt</x:v>
      </x:c>
      <x:c r="AA2777" t="str">
        <x:v>Olahraga</x:v>
      </x:c>
      <x:c r="AB2777" t="str">
        <x:v>Campus=55; Ratio=20.0; Prodi=45; RelDemand=15.8; Capacity=73.3</x:v>
      </x:c>
    </x:row>
    <x:row r="2778">
      <x:c r="A2778" t="n">
        <x:v>2775</x:v>
      </x:c>
      <x:c r="B2778" t="str">
        <x:v>PTN Akademik</x:v>
      </x:c>
      <x:c r="C2778" t="str">
        <x:v>UNIVERSITAS MULAWARMAN</x:v>
      </x:c>
      <x:c r="D2778" t="str">
        <x:v>PENDIDIKAN GURU SEKOLAH DASAR</x:v>
      </x:c>
      <x:c r="E2778" t="str">
        <x:v>Sarjana</x:v>
      </x:c>
      <x:c r="F2778" s="18" t="n">
        <x:v>64</x:v>
      </x:c>
      <x:c r="G2778" s="18" t="n">
        <x:v>551</x:v>
      </x:c>
      <x:c r="H2778" s="19" t="n">
        <x:v>8.609375</x:v>
      </x:c>
      <x:c r="I2778" s="18" t="n">
        <x:f>ROUND(MIN(Model_Config_v3!$B$6,MAX(Q2778,R2778,S2778*Model_Config_v3!$B$4+T2778*Model_Config_v3!$B$5)),0)</x:f>
        <x:v>653</x:v>
      </x:c>
      <x:c r="J2778" s="18" t="n">
        <x:f>MIN(Model_Config_v3!$B$6,I2778+Model_Config_v3!$B$7)</x:f>
        <x:v>673</x:v>
      </x:c>
      <x:c r="K2778" s="20" t="n">
        <x:v>52.9</x:v>
      </x:c>
      <x:c r="L2778" t="str">
        <x:v>MENENGAH</x:v>
      </x:c>
      <x:c r="M2778" t="str">
        <x:v>SEDANG+</x:v>
      </x:c>
      <x:c r="N2778" t="str">
        <x:v>REGULER</x:v>
      </x:c>
      <x:c r="O2778" t="str">
        <x:v>CAMPURAN</x:v>
      </x:c>
      <x:c r="P2778" t="str">
        <x:v>PENDIDIKAN</x:v>
      </x:c>
      <x:c r="Q2778" s="18" t="n">
        <x:v>0</x:v>
      </x:c>
      <x:c r="R2778" s="18" t="n">
        <x:v>0</x:v>
      </x:c>
      <x:c r="S2778" s="18" t="n">
        <x:v>622.8468787354687</x:v>
      </x:c>
      <x:c r="T2778" s="18" t="n">
        <x:v>666</x:v>
      </x:c>
      <x:c r="U2778" s="18" t="n">
        <x:v>622.8468787354687</x:v>
      </x:c>
      <x:c r="V2778" s="20" t="n">
        <x:v>8.8</x:v>
      </x:c>
      <x:c r="W2778" s="20" t="n">
        <x:v>9.9</x:v>
      </x:c>
      <x:c r="X2778" s="20" t="n">
        <x:v>3.3</x:v>
      </x:c>
      <x:c r="Y2778" t="str">
        <x:v>Basis arsip 2025/2024</x:v>
      </x:c>
      <x:c r="Z2778" t="str">
        <x:v>https://snpmb.id/utbk-snbt/daya-tampung-snbt</x:v>
      </x:c>
      <x:c r="AA2778" t="str">
        <x:v>Tidak Ada</x:v>
      </x:c>
      <x:c r="AB2778" t="str">
        <x:v>Campus=55; Ratio=55.0; Prodi=45; RelDemand=62.0; Capacity=46.7</x:v>
      </x:c>
    </x:row>
    <x:row r="2779">
      <x:c r="A2779" t="n">
        <x:v>2776</x:v>
      </x:c>
      <x:c r="B2779" t="str">
        <x:v>PTN Akademik</x:v>
      </x:c>
      <x:c r="C2779" t="str">
        <x:v>UNIVERSITAS MULAWARMAN</x:v>
      </x:c>
      <x:c r="D2779" t="str">
        <x:v>PENDIDIKAN ANAK USIA DINI</x:v>
      </x:c>
      <x:c r="E2779" t="str">
        <x:v>Sarjana</x:v>
      </x:c>
      <x:c r="F2779" s="18" t="n">
        <x:v>32</x:v>
      </x:c>
      <x:c r="G2779" s="18" t="n">
        <x:v>64</x:v>
      </x:c>
      <x:c r="H2779" s="19" t="n">
        <x:v>2</x:v>
      </x:c>
      <x:c r="I2779" s="18" t="n">
        <x:f>ROUND(MIN(Model_Config_v3!$B$6,MAX(Q2779,R2779,S2779*Model_Config_v3!$B$4+T2779*Model_Config_v3!$B$5)),0)</x:f>
        <x:v>616</x:v>
      </x:c>
      <x:c r="J2779" s="18" t="n">
        <x:f>MIN(Model_Config_v3!$B$6,I2779+Model_Config_v3!$B$7)</x:f>
        <x:v>636</x:v>
      </x:c>
      <x:c r="K2779" s="20" t="n">
        <x:v>41.5</x:v>
      </x:c>
      <x:c r="L2779" t="str">
        <x:v>RELATIF LONGGAR</x:v>
      </x:c>
      <x:c r="M2779" t="str">
        <x:v>SEDANG+</x:v>
      </x:c>
      <x:c r="N2779" t="str">
        <x:v>REGULER</x:v>
      </x:c>
      <x:c r="O2779" t="str">
        <x:v>CAMPURAN</x:v>
      </x:c>
      <x:c r="P2779" t="str">
        <x:v>PENDIDIKAN</x:v>
      </x:c>
      <x:c r="Q2779" s="18" t="n">
        <x:v>0</x:v>
      </x:c>
      <x:c r="R2779" s="18" t="n">
        <x:v>0</x:v>
      </x:c>
      <x:c r="S2779" s="18" t="n">
        <x:v>553.1132995230379</x:v>
      </x:c>
      <x:c r="T2779" s="18" t="n">
        <x:v>643</x:v>
      </x:c>
      <x:c r="U2779" s="18" t="n">
        <x:v>553.1132995230379</x:v>
      </x:c>
      <x:c r="V2779" s="20" t="n">
        <x:v>8.8</x:v>
      </x:c>
      <x:c r="W2779" s="20" t="n">
        <x:v>9.9</x:v>
      </x:c>
      <x:c r="X2779" s="20" t="n">
        <x:v>3.3</x:v>
      </x:c>
      <x:c r="Y2779" t="str">
        <x:v>Basis arsip 2025/2024</x:v>
      </x:c>
      <x:c r="Z2779" t="str">
        <x:v>https://snpmb.id/utbk-snbt/daya-tampung-snbt</x:v>
      </x:c>
      <x:c r="AA2779" t="str">
        <x:v>Tidak Ada</x:v>
      </x:c>
      <x:c r="AB2779" t="str">
        <x:v>Campus=55; Ratio=17.7; Prodi=45; RelDemand=14.4; Capacity=73.3</x:v>
      </x:c>
    </x:row>
    <x:row r="2780">
      <x:c r="A2780" t="n">
        <x:v>2777</x:v>
      </x:c>
      <x:c r="B2780" t="str">
        <x:v>PTN Akademik</x:v>
      </x:c>
      <x:c r="C2780" t="str">
        <x:v>UNIVERSITAS MULAWARMAN</x:v>
      </x:c>
      <x:c r="D2780" t="str">
        <x:v>HUKUM</x:v>
      </x:c>
      <x:c r="E2780" t="str">
        <x:v>Sarjana</x:v>
      </x:c>
      <x:c r="F2780" s="18" t="n">
        <x:v>132</x:v>
      </x:c>
      <x:c r="G2780" s="18" t="n">
        <x:v>807</x:v>
      </x:c>
      <x:c r="H2780" s="19" t="n">
        <x:v>6.113636363636363</x:v>
      </x:c>
      <x:c r="I2780" s="18" t="n">
        <x:f>ROUND(MIN(Model_Config_v3!$B$6,MAX(Q2780,R2780,S2780*Model_Config_v3!$B$4+T2780*Model_Config_v3!$B$5)),0)</x:f>
        <x:v>641</x:v>
      </x:c>
      <x:c r="J2780" s="18" t="n">
        <x:f>MIN(Model_Config_v3!$B$6,I2780+Model_Config_v3!$B$7)</x:f>
        <x:v>661</x:v>
      </x:c>
      <x:c r="K2780" s="20" t="n">
        <x:v>48.2</x:v>
      </x:c>
      <x:c r="L2780" t="str">
        <x:v>MENENGAH</x:v>
      </x:c>
      <x:c r="M2780" t="str">
        <x:v>SEDANG+</x:v>
      </x:c>
      <x:c r="N2780" t="str">
        <x:v>REGULER</x:v>
      </x:c>
      <x:c r="O2780" t="str">
        <x:v>SOSHUM</x:v>
      </x:c>
      <x:c r="P2780" t="str">
        <x:v>HUKUM</x:v>
      </x:c>
      <x:c r="Q2780" s="18" t="n">
        <x:v>0</x:v>
      </x:c>
      <x:c r="R2780" s="18" t="n">
        <x:v>0</x:v>
      </x:c>
      <x:c r="S2780" s="18" t="n">
        <x:v>606.4929563867843</x:v>
      </x:c>
      <x:c r="T2780" s="18" t="n">
        <x:v>656</x:v>
      </x:c>
      <x:c r="U2780" s="18" t="n">
        <x:v>621.4929563867843</x:v>
      </x:c>
      <x:c r="V2780" s="20" t="n">
        <x:v>4.4</x:v>
      </x:c>
      <x:c r="W2780" s="20" t="n">
        <x:v>14.3</x:v>
      </x:c>
      <x:c r="X2780" s="20" t="n">
        <x:v>3.3</x:v>
      </x:c>
      <x:c r="Y2780" t="str">
        <x:v>Basis arsip 2025/2024</x:v>
      </x:c>
      <x:c r="Z2780" t="str">
        <x:v>https://snpmb.id/utbk-snbt/daya-tampung-snbt</x:v>
      </x:c>
      <x:c r="AA2780" t="str">
        <x:v>Tidak Ada</x:v>
      </x:c>
      <x:c r="AB2780" t="str">
        <x:v>Campus=55; Ratio=46.3; Prodi=65; RelDemand=44.0; Capacity=0.0</x:v>
      </x:c>
    </x:row>
    <x:row r="2781">
      <x:c r="A2781" t="n">
        <x:v>2778</x:v>
      </x:c>
      <x:c r="B2781" t="str">
        <x:v>PTN Akademik</x:v>
      </x:c>
      <x:c r="C2781" t="str">
        <x:v>UNIVERSITAS MULAWARMAN</x:v>
      </x:c>
      <x:c r="D2781" t="str">
        <x:v>PSIKOLOGI</x:v>
      </x:c>
      <x:c r="E2781" t="str">
        <x:v>Sarjana</x:v>
      </x:c>
      <x:c r="F2781" s="18" t="n">
        <x:v>32</x:v>
      </x:c>
      <x:c r="G2781" s="18" t="n">
        <x:v>799</x:v>
      </x:c>
      <x:c r="H2781" s="19" t="n">
        <x:v>24.96875</x:v>
      </x:c>
      <x:c r="I2781" s="18" t="n">
        <x:f>ROUND(MIN(Model_Config_v3!$B$6,MAX(Q2781,R2781,S2781*Model_Config_v3!$B$4+T2781*Model_Config_v3!$B$5)),0)</x:f>
        <x:v>696</x:v>
      </x:c>
      <x:c r="J2781" s="18" t="n">
        <x:f>MIN(Model_Config_v3!$B$6,I2781+Model_Config_v3!$B$7)</x:f>
        <x:v>716</x:v>
      </x:c>
      <x:c r="K2781" s="20" t="n">
        <x:v>73.1</x:v>
      </x:c>
      <x:c r="L2781" t="str">
        <x:v>SANGAT KETAT</x:v>
      </x:c>
      <x:c r="M2781" t="str">
        <x:v>SEDANG+</x:v>
      </x:c>
      <x:c r="N2781" t="str">
        <x:v>REGULER</x:v>
      </x:c>
      <x:c r="O2781" t="str">
        <x:v>SOSHUM</x:v>
      </x:c>
      <x:c r="P2781" t="str">
        <x:v>PSIKOLOGI</x:v>
      </x:c>
      <x:c r="Q2781" s="18" t="n">
        <x:v>0</x:v>
      </x:c>
      <x:c r="R2781" s="18" t="n">
        <x:v>0</x:v>
      </x:c>
      <x:c r="S2781" s="18" t="n">
        <x:v>673.7136481093494</x:v>
      </x:c>
      <x:c r="T2781" s="18" t="n">
        <x:v>706</x:v>
      </x:c>
      <x:c r="U2781" s="18" t="n">
        <x:v>698.7136481093494</x:v>
      </x:c>
      <x:c r="V2781" s="20" t="n">
        <x:v>4.4</x:v>
      </x:c>
      <x:c r="W2781" s="20" t="n">
        <x:v>14.3</x:v>
      </x:c>
      <x:c r="X2781" s="20" t="n">
        <x:v>3.3</x:v>
      </x:c>
      <x:c r="Y2781" t="str">
        <x:v>Basis arsip 2025/2024</x:v>
      </x:c>
      <x:c r="Z2781" t="str">
        <x:v>https://snpmb.id/utbk-snbt/daya-tampung-snbt</x:v>
      </x:c>
      <x:c r="AA2781" t="str">
        <x:v>Tidak Ada</x:v>
      </x:c>
      <x:c r="AB2781" t="str">
        <x:v>Campus=55; Ratio=82.2; Prodi=80; RelDemand=100.0; Capacity=73.3</x:v>
      </x:c>
    </x:row>
    <x:row r="2782">
      <x:c r="A2782" t="n">
        <x:v>2779</x:v>
      </x:c>
      <x:c r="B2782" t="str">
        <x:v>PTN Akademik</x:v>
      </x:c>
      <x:c r="C2782" t="str">
        <x:v>UNIVERSITAS MULAWARMAN</x:v>
      </x:c>
      <x:c r="D2782" t="str">
        <x:v>SASTRA INDONESIA</x:v>
      </x:c>
      <x:c r="E2782" t="str">
        <x:v>Sarjana</x:v>
      </x:c>
      <x:c r="F2782" s="18" t="n">
        <x:v>48</x:v>
      </x:c>
      <x:c r="G2782" s="18" t="n">
        <x:v>72</x:v>
      </x:c>
      <x:c r="H2782" s="19" t="n">
        <x:v>1.5</x:v>
      </x:c>
      <x:c r="I2782" s="18" t="n">
        <x:f>ROUND(MIN(Model_Config_v3!$B$6,MAX(Q2782,R2782,S2782*Model_Config_v3!$B$4+T2782*Model_Config_v3!$B$5)),0)</x:f>
        <x:v>606</x:v>
      </x:c>
      <x:c r="J2782" s="18" t="n">
        <x:f>MIN(Model_Config_v3!$B$6,I2782+Model_Config_v3!$B$7)</x:f>
        <x:v>626</x:v>
      </x:c>
      <x:c r="K2782" s="20" t="n">
        <x:v>36.9</x:v>
      </x:c>
      <x:c r="L2782" t="str">
        <x:v>RELATIF LONGGAR</x:v>
      </x:c>
      <x:c r="M2782" t="str">
        <x:v>SEDANG</x:v>
      </x:c>
      <x:c r="N2782" t="str">
        <x:v>REGULER</x:v>
      </x:c>
      <x:c r="O2782" t="str">
        <x:v>SOSHUM</x:v>
      </x:c>
      <x:c r="P2782" t="str">
        <x:v>UMUM</x:v>
      </x:c>
      <x:c r="Q2782" s="18" t="n">
        <x:v>0</x:v>
      </x:c>
      <x:c r="R2782" s="18" t="n">
        <x:v>0</x:v>
      </x:c>
      <x:c r="S2782" s="18" t="n">
        <x:v>539.370038496125</x:v>
      </x:c>
      <x:c r="T2782" s="18" t="n">
        <x:v>634</x:v>
      </x:c>
      <x:c r="U2782" s="18" t="n">
        <x:v>539.370038496125</x:v>
      </x:c>
      <x:c r="V2782" s="20" t="n">
        <x:v>4.4</x:v>
      </x:c>
      <x:c r="W2782" s="20" t="n">
        <x:v>14.3</x:v>
      </x:c>
      <x:c r="X2782" s="20" t="n">
        <x:v>3.3</x:v>
      </x:c>
      <x:c r="Y2782" t="str">
        <x:v>Basis arsip 2025/2024</x:v>
      </x:c>
      <x:c r="Z2782" t="str">
        <x:v>https://snpmb.id/utbk-snbt/daya-tampung-snbt</x:v>
      </x:c>
      <x:c r="AA2782" t="str">
        <x:v>Tidak Ada</x:v>
      </x:c>
      <x:c r="AB2782" t="str">
        <x:v>Campus=55; Ratio=10.4; Prodi=40; RelDemand=10.8; Capacity=60.0</x:v>
      </x:c>
    </x:row>
    <x:row r="2783">
      <x:c r="A2783" t="n">
        <x:v>2780</x:v>
      </x:c>
      <x:c r="B2783" t="str">
        <x:v>PTN Akademik</x:v>
      </x:c>
      <x:c r="C2783" t="str">
        <x:v>UNIVERSITAS MULAWARMAN</x:v>
      </x:c>
      <x:c r="D2783" t="str">
        <x:v>SASTRA INGGRIS</x:v>
      </x:c>
      <x:c r="E2783" t="str">
        <x:v>Sarjana</x:v>
      </x:c>
      <x:c r="F2783" s="18" t="n">
        <x:v>48</x:v>
      </x:c>
      <x:c r="G2783" s="18" t="n">
        <x:v>201</x:v>
      </x:c>
      <x:c r="H2783" s="19" t="n">
        <x:v>4.1875</x:v>
      </x:c>
      <x:c r="I2783" s="18" t="n">
        <x:f>ROUND(MIN(Model_Config_v3!$B$6,MAX(Q2783,R2783,S2783*Model_Config_v3!$B$4+T2783*Model_Config_v3!$B$5)),0)</x:f>
        <x:v>632</x:v>
      </x:c>
      <x:c r="J2783" s="18" t="n">
        <x:f>MIN(Model_Config_v3!$B$6,I2783+Model_Config_v3!$B$7)</x:f>
        <x:v>652</x:v>
      </x:c>
      <x:c r="K2783" s="20" t="n">
        <x:v>45.4</x:v>
      </x:c>
      <x:c r="L2783" t="str">
        <x:v>MENENGAH</x:v>
      </x:c>
      <x:c r="M2783" t="str">
        <x:v>SEDANG</x:v>
      </x:c>
      <x:c r="N2783" t="str">
        <x:v>REGULER</x:v>
      </x:c>
      <x:c r="O2783" t="str">
        <x:v>SOSHUM</x:v>
      </x:c>
      <x:c r="P2783" t="str">
        <x:v>UMUM</x:v>
      </x:c>
      <x:c r="Q2783" s="18" t="n">
        <x:v>0</x:v>
      </x:c>
      <x:c r="R2783" s="18" t="n">
        <x:v>0</x:v>
      </x:c>
      <x:c r="S2783" s="18" t="n">
        <x:v>588.4150302049392</x:v>
      </x:c>
      <x:c r="T2783" s="18" t="n">
        <x:v>651</x:v>
      </x:c>
      <x:c r="U2783" s="18" t="n">
        <x:v>588.4150302049392</x:v>
      </x:c>
      <x:c r="V2783" s="20" t="n">
        <x:v>4.4</x:v>
      </x:c>
      <x:c r="W2783" s="20" t="n">
        <x:v>14.3</x:v>
      </x:c>
      <x:c r="X2783" s="20" t="n">
        <x:v>3.3</x:v>
      </x:c>
      <x:c r="Y2783" t="str">
        <x:v>Basis arsip 2025/2024</x:v>
      </x:c>
      <x:c r="Z2783" t="str">
        <x:v>https://snpmb.id/utbk-snbt/daya-tampung-snbt</x:v>
      </x:c>
      <x:c r="AA2783" t="str">
        <x:v>Tidak Ada</x:v>
      </x:c>
      <x:c r="AB2783" t="str">
        <x:v>Campus=55; Ratio=36.6; Prodi=40; RelDemand=30.2; Capacity=60.0</x:v>
      </x:c>
    </x:row>
    <x:row r="2784">
      <x:c r="A2784" t="n">
        <x:v>2781</x:v>
      </x:c>
      <x:c r="B2784" t="str">
        <x:v>PTN Akademik</x:v>
      </x:c>
      <x:c r="C2784" t="str">
        <x:v>UNIVERSITAS MULAWARMAN</x:v>
      </x:c>
      <x:c r="D2784" t="str">
        <x:v>PENDIDIKAN MASYARAKAT</x:v>
      </x:c>
      <x:c r="E2784" t="str">
        <x:v>Sarjana</x:v>
      </x:c>
      <x:c r="F2784" s="18" t="n">
        <x:v>28</x:v>
      </x:c>
      <x:c r="G2784" s="18" t="n">
        <x:v>42</x:v>
      </x:c>
      <x:c r="H2784" s="19" t="n">
        <x:v>1.5</x:v>
      </x:c>
      <x:c r="I2784" s="18" t="n">
        <x:f>ROUND(MIN(Model_Config_v3!$B$6,MAX(Q2784,R2784,S2784*Model_Config_v3!$B$4+T2784*Model_Config_v3!$B$5)),0)</x:f>
        <x:v>609</x:v>
      </x:c>
      <x:c r="J2784" s="18" t="n">
        <x:f>MIN(Model_Config_v3!$B$6,I2784+Model_Config_v3!$B$7)</x:f>
        <x:v>629</x:v>
      </x:c>
      <x:c r="K2784" s="20" t="n">
        <x:v>39.6</x:v>
      </x:c>
      <x:c r="L2784" t="str">
        <x:v>RELATIF LONGGAR</x:v>
      </x:c>
      <x:c r="M2784" t="str">
        <x:v>SEDANG+</x:v>
      </x:c>
      <x:c r="N2784" t="str">
        <x:v>REGULER</x:v>
      </x:c>
      <x:c r="O2784" t="str">
        <x:v>CAMPURAN</x:v>
      </x:c>
      <x:c r="P2784" t="str">
        <x:v>PENDIDIKAN</x:v>
      </x:c>
      <x:c r="Q2784" s="18" t="n">
        <x:v>0</x:v>
      </x:c>
      <x:c r="R2784" s="18" t="n">
        <x:v>0</x:v>
      </x:c>
      <x:c r="S2784" s="18" t="n">
        <x:v>539.370038496125</x:v>
      </x:c>
      <x:c r="T2784" s="18" t="n">
        <x:v>639</x:v>
      </x:c>
      <x:c r="U2784" s="18" t="n">
        <x:v>539.370038496125</x:v>
      </x:c>
      <x:c r="V2784" s="20" t="n">
        <x:v>8.8</x:v>
      </x:c>
      <x:c r="W2784" s="20" t="n">
        <x:v>9.9</x:v>
      </x:c>
      <x:c r="X2784" s="20" t="n">
        <x:v>3.3</x:v>
      </x:c>
      <x:c r="Y2784" t="str">
        <x:v>Basis arsip 2025/2024</x:v>
      </x:c>
      <x:c r="Z2784" t="str">
        <x:v>https://snpmb.id/utbk-snbt/daya-tampung-snbt</x:v>
      </x:c>
      <x:c r="AA2784" t="str">
        <x:v>Tidak Ada</x:v>
      </x:c>
      <x:c r="AB2784" t="str">
        <x:v>Campus=55; Ratio=10.4; Prodi=45; RelDemand=10.8; Capacity=76.7</x:v>
      </x:c>
    </x:row>
    <x:row r="2785">
      <x:c r="A2785" t="n">
        <x:v>2782</x:v>
      </x:c>
      <x:c r="B2785" t="str">
        <x:v>PTN Akademik</x:v>
      </x:c>
      <x:c r="C2785" t="str">
        <x:v>UNIVERSITAS MULAWARMAN</x:v>
      </x:c>
      <x:c r="D2785" t="str">
        <x:v>PENDIDIKAN GEOGRAFI</x:v>
      </x:c>
      <x:c r="E2785" t="str">
        <x:v>Sarjana</x:v>
      </x:c>
      <x:c r="F2785" s="18" t="n">
        <x:v>32</x:v>
      </x:c>
      <x:c r="G2785" s="18" t="n">
        <x:v>55</x:v>
      </x:c>
      <x:c r="H2785" s="19" t="n">
        <x:v>1.71875</x:v>
      </x:c>
      <x:c r="I2785" s="18" t="n">
        <x:f>ROUND(MIN(Model_Config_v3!$B$6,MAX(Q2785,R2785,S2785*Model_Config_v3!$B$4+T2785*Model_Config_v3!$B$5)),0)</x:f>
        <x:v>612</x:v>
      </x:c>
      <x:c r="J2785" s="18" t="n">
        <x:f>MIN(Model_Config_v3!$B$6,I2785+Model_Config_v3!$B$7)</x:f>
        <x:v>632</x:v>
      </x:c>
      <x:c r="K2785" s="20" t="n">
        <x:v>40.3</x:v>
      </x:c>
      <x:c r="L2785" t="str">
        <x:v>RELATIF LONGGAR</x:v>
      </x:c>
      <x:c r="M2785" t="str">
        <x:v>SEDANG+</x:v>
      </x:c>
      <x:c r="N2785" t="str">
        <x:v>REGULER</x:v>
      </x:c>
      <x:c r="O2785" t="str">
        <x:v>CAMPURAN</x:v>
      </x:c>
      <x:c r="P2785" t="str">
        <x:v>PENDIDIKAN</x:v>
      </x:c>
      <x:c r="Q2785" s="18" t="n">
        <x:v>0</x:v>
      </x:c>
      <x:c r="R2785" s="18" t="n">
        <x:v>0</x:v>
      </x:c>
      <x:c r="S2785" s="18" t="n">
        <x:v>545.8733982291772</x:v>
      </x:c>
      <x:c r="T2785" s="18" t="n">
        <x:v>641</x:v>
      </x:c>
      <x:c r="U2785" s="18" t="n">
        <x:v>545.8733982291772</x:v>
      </x:c>
      <x:c r="V2785" s="20" t="n">
        <x:v>8.8</x:v>
      </x:c>
      <x:c r="W2785" s="20" t="n">
        <x:v>9.9</x:v>
      </x:c>
      <x:c r="X2785" s="20" t="n">
        <x:v>3.3</x:v>
      </x:c>
      <x:c r="Y2785" t="str">
        <x:v>Basis arsip 2025/2024</x:v>
      </x:c>
      <x:c r="Z2785" t="str">
        <x:v>https://snpmb.id/utbk-snbt/daya-tampung-snbt</x:v>
      </x:c>
      <x:c r="AA2785" t="str">
        <x:v>Tidak Ada</x:v>
      </x:c>
      <x:c r="AB2785" t="str">
        <x:v>Campus=55; Ratio=13.8; Prodi=45; RelDemand=12.4; Capacity=73.3</x:v>
      </x:c>
    </x:row>
    <x:row r="2786">
      <x:c r="A2786" t="n">
        <x:v>2783</x:v>
      </x:c>
      <x:c r="B2786" t="str">
        <x:v>PTN Akademik</x:v>
      </x:c>
      <x:c r="C2786" t="str">
        <x:v>UNIVERSITAS MULAWARMAN</x:v>
      </x:c>
      <x:c r="D2786" t="str">
        <x:v>EKONOMI SYARIAH</x:v>
      </x:c>
      <x:c r="E2786" t="str">
        <x:v>Sarjana</x:v>
      </x:c>
      <x:c r="F2786" s="18" t="n">
        <x:v>57</x:v>
      </x:c>
      <x:c r="G2786" s="18" t="n">
        <x:v>118</x:v>
      </x:c>
      <x:c r="H2786" s="19" t="n">
        <x:v>2.0701754385964914</x:v>
      </x:c>
      <x:c r="I2786" s="18" t="n">
        <x:f>ROUND(MIN(Model_Config_v3!$B$6,MAX(Q2786,R2786,S2786*Model_Config_v3!$B$4+T2786*Model_Config_v3!$B$5)),0)</x:f>
        <x:v>612</x:v>
      </x:c>
      <x:c r="J2786" s="18" t="n">
        <x:f>MIN(Model_Config_v3!$B$6,I2786+Model_Config_v3!$B$7)</x:f>
        <x:v>632</x:v>
      </x:c>
      <x:c r="K2786" s="20" t="n">
        <x:v>38.6</x:v>
      </x:c>
      <x:c r="L2786" t="str">
        <x:v>RELATIF LONGGAR</x:v>
      </x:c>
      <x:c r="M2786" t="str">
        <x:v>SEDANG</x:v>
      </x:c>
      <x:c r="N2786" t="str">
        <x:v>REGULER</x:v>
      </x:c>
      <x:c r="O2786" t="str">
        <x:v>SOSHUM</x:v>
      </x:c>
      <x:c r="P2786" t="str">
        <x:v>UMUM</x:v>
      </x:c>
      <x:c r="Q2786" s="18" t="n">
        <x:v>0</x:v>
      </x:c>
      <x:c r="R2786" s="18" t="n">
        <x:v>0</x:v>
      </x:c>
      <x:c r="S2786" s="18" t="n">
        <x:v>554.7607866796998</x:v>
      </x:c>
      <x:c r="T2786" s="18" t="n">
        <x:v>637</x:v>
      </x:c>
      <x:c r="U2786" s="18" t="n">
        <x:v>554.7607866796998</x:v>
      </x:c>
      <x:c r="V2786" s="20" t="n">
        <x:v>4.4</x:v>
      </x:c>
      <x:c r="W2786" s="20" t="n">
        <x:v>14.3</x:v>
      </x:c>
      <x:c r="X2786" s="20" t="n">
        <x:v>3.3</x:v>
      </x:c>
      <x:c r="Y2786" t="str">
        <x:v>Basis arsip 2025/2024</x:v>
      </x:c>
      <x:c r="Z2786" t="str">
        <x:v>https://snpmb.id/utbk-snbt/daya-tampung-snbt</x:v>
      </x:c>
      <x:c r="AA2786" t="str">
        <x:v>Tidak Ada</x:v>
      </x:c>
      <x:c r="AB2786" t="str">
        <x:v>Campus=55; Ratio=18.6; Prodi=40; RelDemand=14.9; Capacity=52.5</x:v>
      </x:c>
    </x:row>
    <x:row r="2787">
      <x:c r="A2787" t="n">
        <x:v>2784</x:v>
      </x:c>
      <x:c r="B2787" t="str">
        <x:v>PTN Akademik</x:v>
      </x:c>
      <x:c r="C2787" t="str">
        <x:v>UNIVERSITAS MULAWARMAN</x:v>
      </x:c>
      <x:c r="D2787" t="str">
        <x:v>ETNOMUSIKOLOGI</x:v>
      </x:c>
      <x:c r="E2787" t="str">
        <x:v>Sarjana</x:v>
      </x:c>
      <x:c r="F2787" s="18" t="n">
        <x:v>28</x:v>
      </x:c>
      <x:c r="G2787" s="18" t="n">
        <x:v>4</x:v>
      </x:c>
      <x:c r="H2787" s="19" t="n">
        <x:v>0.14285714285714285</x:v>
      </x:c>
      <x:c r="I2787" s="18" t="n">
        <x:f>ROUND(MIN(Model_Config_v3!$B$6,MAX(Q2787,R2787,S2787*Model_Config_v3!$B$4+T2787*Model_Config_v3!$B$5)),0)</x:f>
        <x:v>598</x:v>
      </x:c>
      <x:c r="J2787" s="18" t="n">
        <x:f>MIN(Model_Config_v3!$B$6,I2787+Model_Config_v3!$B$7)</x:f>
        <x:v>618</x:v>
      </x:c>
      <x:c r="K2787" s="20" t="n">
        <x:v>36</x:v>
      </x:c>
      <x:c r="L2787" t="str">
        <x:v>RELATIF LONGGAR</x:v>
      </x:c>
      <x:c r="M2787" t="str">
        <x:v>PORTOFOLIO</x:v>
      </x:c>
      <x:c r="N2787" t="str">
        <x:v>REGULER</x:v>
      </x:c>
      <x:c r="O2787" t="str">
        <x:v>SENI/OLAHRAGA</x:v>
      </x:c>
      <x:c r="P2787" t="str">
        <x:v>SENI/OLAHRAGA</x:v>
      </x:c>
      <x:c r="Q2787" s="18" t="n">
        <x:v>0</x:v>
      </x:c>
      <x:c r="R2787" s="18" t="n">
        <x:v>0</x:v>
      </x:c>
      <x:c r="S2787" s="18" t="n">
        <x:v>520</x:v>
      </x:c>
      <x:c r="T2787" s="18" t="n">
        <x:v>632</x:v>
      </x:c>
      <x:c r="U2787" s="18" t="n">
        <x:v>520</x:v>
      </x:c>
      <x:c r="V2787" s="20" t="n">
        <x:v>4.4</x:v>
      </x:c>
      <x:c r="W2787" s="20" t="n">
        <x:v>9.9</x:v>
      </x:c>
      <x:c r="X2787" s="20" t="n">
        <x:v>7.7</x:v>
      </x:c>
      <x:c r="Y2787" t="str">
        <x:v>Basis arsip 2025/2024</x:v>
      </x:c>
      <x:c r="Z2787" t="str">
        <x:v>https://snpmb.id/utbk-snbt/daya-tampung-snbt</x:v>
      </x:c>
      <x:c r="AA2787" t="str">
        <x:v>Etnomusikologi</x:v>
      </x:c>
      <x:c r="AB2787" t="str">
        <x:v>Campus=55; Ratio=0.0; Prodi=45; RelDemand=1.0; Capacity=76.7</x:v>
      </x:c>
    </x:row>
    <x:row r="2788">
      <x:c r="A2788" t="n">
        <x:v>2785</x:v>
      </x:c>
      <x:c r="B2788" t="str">
        <x:v>PTN Akademik</x:v>
      </x:c>
      <x:c r="C2788" t="str">
        <x:v>UNIVERSITAS MULAWARMAN</x:v>
      </x:c>
      <x:c r="D2788" t="str">
        <x:v>PENDIDIKAN SEJARAH</x:v>
      </x:c>
      <x:c r="E2788" t="str">
        <x:v>Sarjana</x:v>
      </x:c>
      <x:c r="F2788" s="18" t="n">
        <x:v>32</x:v>
      </x:c>
      <x:c r="G2788" s="18" t="n">
        <x:v>87</x:v>
      </x:c>
      <x:c r="H2788" s="19" t="n">
        <x:v>2.71875</x:v>
      </x:c>
      <x:c r="I2788" s="18" t="n">
        <x:f>ROUND(MIN(Model_Config_v3!$B$6,MAX(Q2788,R2788,S2788*Model_Config_v3!$B$4+T2788*Model_Config_v3!$B$5)),0)</x:f>
        <x:v>624</x:v>
      </x:c>
      <x:c r="J2788" s="18" t="n">
        <x:f>MIN(Model_Config_v3!$B$6,I2788+Model_Config_v3!$B$7)</x:f>
        <x:v>644</x:v>
      </x:c>
      <x:c r="K2788" s="20" t="n">
        <x:v>43.9</x:v>
      </x:c>
      <x:c r="L2788" t="str">
        <x:v>RELATIF LONGGAR</x:v>
      </x:c>
      <x:c r="M2788" t="str">
        <x:v>SEDANG+</x:v>
      </x:c>
      <x:c r="N2788" t="str">
        <x:v>REGULER</x:v>
      </x:c>
      <x:c r="O2788" t="str">
        <x:v>SOSHUM</x:v>
      </x:c>
      <x:c r="P2788" t="str">
        <x:v>PENDIDIKAN</x:v>
      </x:c>
      <x:c r="Q2788" s="18" t="n">
        <x:v>0</x:v>
      </x:c>
      <x:c r="R2788" s="18" t="n">
        <x:v>0</x:v>
      </x:c>
      <x:c r="S2788" s="18" t="n">
        <x:v>567.7806201728583</x:v>
      </x:c>
      <x:c r="T2788" s="18" t="n">
        <x:v>648</x:v>
      </x:c>
      <x:c r="U2788" s="18" t="n">
        <x:v>567.7806201728583</x:v>
      </x:c>
      <x:c r="V2788" s="20" t="n">
        <x:v>4.4</x:v>
      </x:c>
      <x:c r="W2788" s="20" t="n">
        <x:v>14.3</x:v>
      </x:c>
      <x:c r="X2788" s="20" t="n">
        <x:v>3.3</x:v>
      </x:c>
      <x:c r="Y2788" t="str">
        <x:v>Basis arsip 2025/2024</x:v>
      </x:c>
      <x:c r="Z2788" t="str">
        <x:v>https://snpmb.id/utbk-snbt/daya-tampung-snbt</x:v>
      </x:c>
      <x:c r="AA2788" t="str">
        <x:v>Tidak Ada</x:v>
      </x:c>
      <x:c r="AB2788" t="str">
        <x:v>Campus=55; Ratio=25.6; Prodi=45; RelDemand=19.6; Capacity=73.3</x:v>
      </x:c>
    </x:row>
    <x:row r="2789">
      <x:c r="A2789" t="n">
        <x:v>2786</x:v>
      </x:c>
      <x:c r="B2789" t="str">
        <x:v>PTN Akademik</x:v>
      </x:c>
      <x:c r="C2789" t="str">
        <x:v>UNIVERSITAS MULAWARMAN</x:v>
      </x:c>
      <x:c r="D2789" t="str">
        <x:v>ILMU LINGKUNGAN</x:v>
      </x:c>
      <x:c r="E2789" t="str">
        <x:v>Sarjana</x:v>
      </x:c>
      <x:c r="F2789" s="18" t="n">
        <x:v>25</x:v>
      </x:c>
      <x:c r="G2789" s="18" t="n">
        <x:v>53</x:v>
      </x:c>
      <x:c r="H2789" s="19" t="n">
        <x:v>2.12</x:v>
      </x:c>
      <x:c r="I2789" s="18" t="n">
        <x:f>ROUND(MIN(Model_Config_v3!$B$6,MAX(Q2789,R2789,S2789*Model_Config_v3!$B$4+T2789*Model_Config_v3!$B$5)),0)</x:f>
        <x:v>617</x:v>
      </x:c>
      <x:c r="J2789" s="18" t="n">
        <x:f>MIN(Model_Config_v3!$B$6,I2789+Model_Config_v3!$B$7)</x:f>
        <x:v>637</x:v>
      </x:c>
      <x:c r="K2789" s="20" t="n">
        <x:v>41.5</x:v>
      </x:c>
      <x:c r="L2789" t="str">
        <x:v>RELATIF LONGGAR</x:v>
      </x:c>
      <x:c r="M2789" t="str">
        <x:v>SEDANG</x:v>
      </x:c>
      <x:c r="N2789" t="str">
        <x:v>REGULER</x:v>
      </x:c>
      <x:c r="O2789" t="str">
        <x:v>CAMPURAN</x:v>
      </x:c>
      <x:c r="P2789" t="str">
        <x:v>UMUM</x:v>
      </x:c>
      <x:c r="Q2789" s="18" t="n">
        <x:v>0</x:v>
      </x:c>
      <x:c r="R2789" s="18" t="n">
        <x:v>0</x:v>
      </x:c>
      <x:c r="S2789" s="18" t="n">
        <x:v>555.8969447021626</x:v>
      </x:c>
      <x:c r="T2789" s="18" t="n">
        <x:v>643</x:v>
      </x:c>
      <x:c r="U2789" s="18" t="n">
        <x:v>555.8969447021626</x:v>
      </x:c>
      <x:c r="V2789" s="20" t="n">
        <x:v>8.8</x:v>
      </x:c>
      <x:c r="W2789" s="20" t="n">
        <x:v>9.9</x:v>
      </x:c>
      <x:c r="X2789" s="20" t="n">
        <x:v>3.3</x:v>
      </x:c>
      <x:c r="Y2789" t="str">
        <x:v>Basis arsip 2025/2024</x:v>
      </x:c>
      <x:c r="Z2789" t="str">
        <x:v>https://snpmb.id/utbk-snbt/daya-tampung-snbt</x:v>
      </x:c>
      <x:c r="AA2789" t="str">
        <x:v>Tidak Ada</x:v>
      </x:c>
      <x:c r="AB2789" t="str">
        <x:v>Campus=55; Ratio=19.2; Prodi=40; RelDemand=15.3; Capacity=79.2</x:v>
      </x:c>
    </x:row>
    <x:row r="2790">
      <x:c r="A2790" t="n">
        <x:v>2787</x:v>
      </x:c>
      <x:c r="B2790" t="str">
        <x:v>PTN Akademik</x:v>
      </x:c>
      <x:c r="C2790" t="str">
        <x:v>UNIVERSITAS MULAWARMAN</x:v>
      </x:c>
      <x:c r="D2790" t="str">
        <x:v>KEPERAWATAN</x:v>
      </x:c>
      <x:c r="E2790" t="str">
        <x:v>Sarjana</x:v>
      </x:c>
      <x:c r="F2790" s="18" t="n">
        <x:v>25</x:v>
      </x:c>
      <x:c r="G2790" s="18" t="n">
        <x:v>613</x:v>
      </x:c>
      <x:c r="H2790" s="19" t="n">
        <x:v>24.52</x:v>
      </x:c>
      <x:c r="I2790" s="18" t="n">
        <x:f>ROUND(MIN(Model_Config_v3!$B$6,MAX(Q2790,R2790,S2790*Model_Config_v3!$B$4+T2790*Model_Config_v3!$B$5)),0)</x:f>
        <x:v>690</x:v>
      </x:c>
      <x:c r="J2790" s="18" t="n">
        <x:f>MIN(Model_Config_v3!$B$6,I2790+Model_Config_v3!$B$7)</x:f>
        <x:v>710</x:v>
      </x:c>
      <x:c r="K2790" s="20" t="n">
        <x:v>68.6</x:v>
      </x:c>
      <x:c r="L2790" t="str">
        <x:v>SANGAT KETAT</x:v>
      </x:c>
      <x:c r="M2790" t="str">
        <x:v>SEDANG+</x:v>
      </x:c>
      <x:c r="N2790" t="str">
        <x:v>REGULER</x:v>
      </x:c>
      <x:c r="O2790" t="str">
        <x:v>SAINTEK</x:v>
      </x:c>
      <x:c r="P2790" t="str">
        <x:v>KESEHAT/GIZI/KEPERAWATAN</x:v>
      </x:c>
      <x:c r="Q2790" s="18" t="n">
        <x:v>0</x:v>
      </x:c>
      <x:c r="R2790" s="18" t="n">
        <x:v>0</x:v>
      </x:c>
      <x:c r="S2790" s="18" t="n">
        <x:v>672.8472512431015</x:v>
      </x:c>
      <x:c r="T2790" s="18" t="n">
        <x:v>697</x:v>
      </x:c>
      <x:c r="U2790" s="18" t="n">
        <x:v>672.8472512431015</x:v>
      </x:c>
      <x:c r="V2790" s="20" t="n">
        <x:v>12</x:v>
      </x:c>
      <x:c r="W2790" s="20" t="n">
        <x:v>5</x:v>
      </x:c>
      <x:c r="X2790" s="20" t="n">
        <x:v>3</x:v>
      </x:c>
      <x:c r="Y2790" t="str">
        <x:v>Basis arsip 2025/2024</x:v>
      </x:c>
      <x:c r="Z2790" t="str">
        <x:v>https://snpmb.id/utbk-snbt/daya-tampung-snbt</x:v>
      </x:c>
      <x:c r="AA2790" t="str">
        <x:v>Tidak Ada</x:v>
      </x:c>
      <x:c r="AB2790" t="str">
        <x:v>Campus=55; Ratio=81.8; Prodi=55; RelDemand=100.0; Capacity=79.2</x:v>
      </x:c>
    </x:row>
    <x:row r="2791">
      <x:c r="A2791" t="n">
        <x:v>2788</x:v>
      </x:c>
      <x:c r="B2791" t="str">
        <x:v>PTN Akademik</x:v>
      </x:c>
      <x:c r="C2791" t="str">
        <x:v>UNIVERSITAS MULAWARMAN</x:v>
      </x:c>
      <x:c r="D2791" t="str">
        <x:v>GIZI</x:v>
      </x:c>
      <x:c r="E2791" t="str">
        <x:v>Sarjana</x:v>
      </x:c>
      <x:c r="F2791" s="18" t="n">
        <x:v>50</x:v>
      </x:c>
      <x:c r="G2791" s="18" t="n">
        <x:v>310</x:v>
      </x:c>
      <x:c r="H2791" s="19" t="n">
        <x:v>6.2</x:v>
      </x:c>
      <x:c r="I2791" s="18" t="n">
        <x:f>ROUND(MIN(Model_Config_v3!$B$6,MAX(Q2791,R2791,S2791*Model_Config_v3!$B$4+T2791*Model_Config_v3!$B$5)),0)</x:f>
        <x:v>647</x:v>
      </x:c>
      <x:c r="J2791" s="18" t="n">
        <x:f>MIN(Model_Config_v3!$B$6,I2791+Model_Config_v3!$B$7)</x:f>
        <x:v>667</x:v>
      </x:c>
      <x:c r="K2791" s="20" t="n">
        <x:v>52.2</x:v>
      </x:c>
      <x:c r="L2791" t="str">
        <x:v>MENENGAH</x:v>
      </x:c>
      <x:c r="M2791" t="str">
        <x:v>SEDANG+</x:v>
      </x:c>
      <x:c r="N2791" t="str">
        <x:v>REGULER</x:v>
      </x:c>
      <x:c r="O2791" t="str">
        <x:v>SAINTEK</x:v>
      </x:c>
      <x:c r="P2791" t="str">
        <x:v>KESEHAT/GIZI/KEPERAWATAN</x:v>
      </x:c>
      <x:c r="Q2791" s="18" t="n">
        <x:v>0</x:v>
      </x:c>
      <x:c r="R2791" s="18" t="n">
        <x:v>0</x:v>
      </x:c>
      <x:c r="S2791" s="18" t="n">
        <x:v>607.1630858448079</x:v>
      </x:c>
      <x:c r="T2791" s="18" t="n">
        <x:v>664</x:v>
      </x:c>
      <x:c r="U2791" s="18" t="n">
        <x:v>607.1630858448079</x:v>
      </x:c>
      <x:c r="V2791" s="20" t="n">
        <x:v>12</x:v>
      </x:c>
      <x:c r="W2791" s="20" t="n">
        <x:v>5</x:v>
      </x:c>
      <x:c r="X2791" s="20" t="n">
        <x:v>3</x:v>
      </x:c>
      <x:c r="Y2791" t="str">
        <x:v>Basis arsip 2025/2024</x:v>
      </x:c>
      <x:c r="Z2791" t="str">
        <x:v>https://snpmb.id/utbk-snbt/daya-tampung-snbt</x:v>
      </x:c>
      <x:c r="AA2791" t="str">
        <x:v>Tidak Ada</x:v>
      </x:c>
      <x:c r="AB2791" t="str">
        <x:v>Campus=55; Ratio=46.6; Prodi=55; RelDemand=44.7; Capacity=58.3</x:v>
      </x:c>
    </x:row>
    <x:row r="2792">
      <x:c r="A2792" t="n">
        <x:v>2789</x:v>
      </x:c>
      <x:c r="B2792" t="str">
        <x:v>PTN Akademik</x:v>
      </x:c>
      <x:c r="C2792" t="str">
        <x:v>UNIVERSITAS MULAWARMAN</x:v>
      </x:c>
      <x:c r="D2792" t="str">
        <x:v>TARI</x:v>
      </x:c>
      <x:c r="E2792" t="str">
        <x:v>Sarjana</x:v>
      </x:c>
      <x:c r="F2792" s="18" t="n">
        <x:v>16</x:v>
      </x:c>
      <x:c r="G2792" s="18"/>
      <x:c r="H2792" s="19" t="n">
        <x:v>0</x:v>
      </x:c>
      <x:c r="I2792" s="18" t="n">
        <x:f>ROUND(MIN(Model_Config_v3!$B$6,MAX(Q2792,R2792,S2792*Model_Config_v3!$B$4+T2792*Model_Config_v3!$B$5)),0)</x:f>
        <x:v>598</x:v>
      </x:c>
      <x:c r="J2792" s="18" t="n">
        <x:f>MIN(Model_Config_v3!$B$6,I2792+Model_Config_v3!$B$7)</x:f>
        <x:v>618</x:v>
      </x:c>
      <x:c r="K2792" s="20" t="n">
        <x:v>35.9</x:v>
      </x:c>
      <x:c r="L2792" t="str">
        <x:v>RELATIF LONGGAR</x:v>
      </x:c>
      <x:c r="M2792" t="str">
        <x:v>RENDAH</x:v>
      </x:c>
      <x:c r="N2792" t="str">
        <x:v>REGULER</x:v>
      </x:c>
      <x:c r="O2792" t="str">
        <x:v>CAMPURAN</x:v>
      </x:c>
      <x:c r="P2792" t="str">
        <x:v>UMUM</x:v>
      </x:c>
      <x:c r="Q2792" s="18" t="n">
        <x:v>0</x:v>
      </x:c>
      <x:c r="R2792" s="18" t="n">
        <x:v>0</x:v>
      </x:c>
      <x:c r="S2792" s="18" t="n">
        <x:v>520</x:v>
      </x:c>
      <x:c r="T2792" s="18" t="n">
        <x:v>632</x:v>
      </x:c>
      <x:c r="U2792" s="18" t="n">
        <x:v>520</x:v>
      </x:c>
      <x:c r="V2792" s="20" t="n">
        <x:v>8.8</x:v>
      </x:c>
      <x:c r="W2792" s="20" t="n">
        <x:v>9.9</x:v>
      </x:c>
      <x:c r="X2792" s="20" t="n">
        <x:v>3.3</x:v>
      </x:c>
      <x:c r="Y2792" t="str">
        <x:v>Basis arsip 2025/2024</x:v>
      </x:c>
      <x:c r="Z2792" t="str">
        <x:v>https://snpmb.id/utbk-snbt/daya-tampung-snbt</x:v>
      </x:c>
      <x:c r="AA2792" t="str">
        <x:v>Tidak Ada</x:v>
      </x:c>
      <x:c r="AB2792" t="str">
        <x:v>Campus=55; Ratio=0.0; Prodi=40; RelDemand=0.0; Capacity=86.7</x:v>
      </x:c>
    </x:row>
    <x:row r="2793">
      <x:c r="A2793" t="n">
        <x:v>2790</x:v>
      </x:c>
      <x:c r="B2793" t="str">
        <x:v>PTN Akademik</x:v>
      </x:c>
      <x:c r="C2793" t="str">
        <x:v>UNIVERSITAS MULAWARMAN</x:v>
      </x:c>
      <x:c r="D2793" t="str">
        <x:v>ILMU KEOLAHRAGAAN</x:v>
      </x:c>
      <x:c r="E2793" t="str">
        <x:v>Sarjana</x:v>
      </x:c>
      <x:c r="F2793" s="18" t="n">
        <x:v>32</x:v>
      </x:c>
      <x:c r="G2793" s="18"/>
      <x:c r="H2793" s="19" t="n">
        <x:v>0</x:v>
      </x:c>
      <x:c r="I2793" s="18" t="n">
        <x:f>ROUND(MIN(Model_Config_v3!$B$6,MAX(Q2793,R2793,S2793*Model_Config_v3!$B$4+T2793*Model_Config_v3!$B$5)),0)</x:f>
        <x:v>598</x:v>
      </x:c>
      <x:c r="J2793" s="18" t="n">
        <x:f>MIN(Model_Config_v3!$B$6,I2793+Model_Config_v3!$B$7)</x:f>
        <x:v>618</x:v>
      </x:c>
      <x:c r="K2793" s="20" t="n">
        <x:v>35.6</x:v>
      </x:c>
      <x:c r="L2793" t="str">
        <x:v>RELATIF LONGGAR</x:v>
      </x:c>
      <x:c r="M2793" t="str">
        <x:v>PORTOFOLIO</x:v>
      </x:c>
      <x:c r="N2793" t="str">
        <x:v>REGULER</x:v>
      </x:c>
      <x:c r="O2793" t="str">
        <x:v>SENI/OLAHRAGA</x:v>
      </x:c>
      <x:c r="P2793" t="str">
        <x:v>SENI/OLAHRAGA</x:v>
      </x:c>
      <x:c r="Q2793" s="18" t="n">
        <x:v>0</x:v>
      </x:c>
      <x:c r="R2793" s="18" t="n">
        <x:v>0</x:v>
      </x:c>
      <x:c r="S2793" s="18" t="n">
        <x:v>520</x:v>
      </x:c>
      <x:c r="T2793" s="18" t="n">
        <x:v>631</x:v>
      </x:c>
      <x:c r="U2793" s="18" t="n">
        <x:v>520</x:v>
      </x:c>
      <x:c r="V2793" s="20" t="n">
        <x:v>4.4</x:v>
      </x:c>
      <x:c r="W2793" s="20" t="n">
        <x:v>9.9</x:v>
      </x:c>
      <x:c r="X2793" s="20" t="n">
        <x:v>7.7</x:v>
      </x:c>
      <x:c r="Y2793" t="str">
        <x:v>Basis arsip 2025/2024</x:v>
      </x:c>
      <x:c r="Z2793" t="str">
        <x:v>https://snpmb.id/utbk-snbt/daya-tampung-snbt</x:v>
      </x:c>
      <x:c r="AA2793" t="str">
        <x:v>Olahraga</x:v>
      </x:c>
      <x:c r="AB2793" t="str">
        <x:v>Campus=55; Ratio=0.0; Prodi=45; RelDemand=0.0; Capacity=73.3</x:v>
      </x:c>
    </x:row>
    <x:row r="2794">
      <x:c r="A2794" t="n">
        <x:v>2791</x:v>
      </x:c>
      <x:c r="B2794" t="str">
        <x:v>PTN Akademik</x:v>
      </x:c>
      <x:c r="C2794" t="str">
        <x:v>UNIVERSITAS MULAWARMAN</x:v>
      </x:c>
      <x:c r="D2794" t="str">
        <x:v>FARMASI</x:v>
      </x:c>
      <x:c r="E2794" t="str">
        <x:v>Diploma Tiga</x:v>
      </x:c>
      <x:c r="F2794" s="18" t="n">
        <x:v>40</x:v>
      </x:c>
      <x:c r="G2794" s="18" t="n">
        <x:v>1200</x:v>
      </x:c>
      <x:c r="H2794" s="19" t="n">
        <x:v>30</x:v>
      </x:c>
      <x:c r="I2794" s="18" t="n">
        <x:f>ROUND(MIN(Model_Config_v3!$B$6,MAX(Q2794,R2794,S2794*Model_Config_v3!$B$4+T2794*Model_Config_v3!$B$5)),0)</x:f>
        <x:v>698</x:v>
      </x:c>
      <x:c r="J2794" s="18" t="n">
        <x:f>MIN(Model_Config_v3!$B$6,I2794+Model_Config_v3!$B$7)</x:f>
        <x:v>718</x:v>
      </x:c>
      <x:c r="K2794" s="20" t="n">
        <x:v>72.7</x:v>
      </x:c>
      <x:c r="L2794" t="str">
        <x:v>SANGAT KETAT</x:v>
      </x:c>
      <x:c r="M2794" t="str">
        <x:v>SEDANG+</x:v>
      </x:c>
      <x:c r="N2794" t="str">
        <x:v>REGULER</x:v>
      </x:c>
      <x:c r="O2794" t="str">
        <x:v>SAINTEK</x:v>
      </x:c>
      <x:c r="P2794" t="str">
        <x:v>FARMASI</x:v>
      </x:c>
      <x:c r="Q2794" s="18" t="n">
        <x:v>0</x:v>
      </x:c>
      <x:c r="R2794" s="18" t="n">
        <x:v>0</x:v>
      </x:c>
      <x:c r="S2794" s="18" t="n">
        <x:v>682.4833380191628</x:v>
      </x:c>
      <x:c r="T2794" s="18" t="n">
        <x:v>705</x:v>
      </x:c>
      <x:c r="U2794" s="18" t="n">
        <x:v>702.4833380191628</x:v>
      </x:c>
      <x:c r="V2794" s="20" t="n">
        <x:v>12</x:v>
      </x:c>
      <x:c r="W2794" s="20" t="n">
        <x:v>5</x:v>
      </x:c>
      <x:c r="X2794" s="20" t="n">
        <x:v>3</x:v>
      </x:c>
      <x:c r="Y2794" t="str">
        <x:v>Basis arsip 2025/2024</x:v>
      </x:c>
      <x:c r="Z2794" t="str">
        <x:v>https://snpmb.id/utbk-snbt/daya-tampung-snbt</x:v>
      </x:c>
      <x:c r="AA2794" t="str">
        <x:v>Tidak Ada</x:v>
      </x:c>
      <x:c r="AB2794" t="str">
        <x:v>Campus=55; Ratio=86.9; Prodi=75; RelDemand=100.0; Capacity=66.7</x:v>
      </x:c>
    </x:row>
    <x:row r="2795">
      <x:c r="A2795" t="n">
        <x:v>2792</x:v>
      </x:c>
      <x:c r="B2795" t="str">
        <x:v>PTN Akademik</x:v>
      </x:c>
      <x:c r="C2795" t="str">
        <x:v>INSTITUT TEKNOLOGI KALIMANTAN</x:v>
      </x:c>
      <x:c r="D2795" t="str">
        <x:v>FISIKA</x:v>
      </x:c>
      <x:c r="E2795" t="str">
        <x:v>Sarjana</x:v>
      </x:c>
      <x:c r="F2795" s="18" t="n">
        <x:v>40</x:v>
      </x:c>
      <x:c r="G2795" s="18" t="n">
        <x:v>13</x:v>
      </x:c>
      <x:c r="H2795" s="19" t="n">
        <x:v>0.325</x:v>
      </x:c>
      <x:c r="I2795" s="18" t="n">
        <x:f>ROUND(MIN(Model_Config_v3!$B$6,MAX(Q2795,R2795,S2795*Model_Config_v3!$B$4+T2795*Model_Config_v3!$B$5)),0)</x:f>
        <x:v>599</x:v>
      </x:c>
      <x:c r="J2795" s="18" t="n">
        <x:f>MIN(Model_Config_v3!$B$6,I2795+Model_Config_v3!$B$7)</x:f>
        <x:v>619</x:v>
      </x:c>
      <x:c r="K2795" s="20" t="n">
        <x:v>36.5</x:v>
      </x:c>
      <x:c r="L2795" t="str">
        <x:v>RELATIF LONGGAR</x:v>
      </x:c>
      <x:c r="M2795" t="str">
        <x:v>SEDANG+</x:v>
      </x:c>
      <x:c r="N2795" t="str">
        <x:v>REGULER</x:v>
      </x:c>
      <x:c r="O2795" t="str">
        <x:v>SAINTEK</x:v>
      </x:c>
      <x:c r="P2795" t="str">
        <x:v>SAINS DASAR</x:v>
      </x:c>
      <x:c r="Q2795" s="18" t="n">
        <x:v>0</x:v>
      </x:c>
      <x:c r="R2795" s="18" t="n">
        <x:v>0</x:v>
      </x:c>
      <x:c r="S2795" s="18" t="n">
        <x:v>520</x:v>
      </x:c>
      <x:c r="T2795" s="18" t="n">
        <x:v>633</x:v>
      </x:c>
      <x:c r="U2795" s="18" t="n">
        <x:v>520</x:v>
      </x:c>
      <x:c r="V2795" s="20" t="n">
        <x:v>12</x:v>
      </x:c>
      <x:c r="W2795" s="20" t="n">
        <x:v>5</x:v>
      </x:c>
      <x:c r="X2795" s="20" t="n">
        <x:v>3</x:v>
      </x:c>
      <x:c r="Y2795" t="str">
        <x:v>Basis arsip 2025/2024</x:v>
      </x:c>
      <x:c r="Z2795" t="str">
        <x:v>https://snpmb.id/utbk-snbt/daya-tampung-snbt</x:v>
      </x:c>
      <x:c r="AA2795" t="str">
        <x:v>Tidak Ada</x:v>
      </x:c>
      <x:c r="AB2795" t="str">
        <x:v>Campus=55; Ratio=0.0; Prodi=50; RelDemand=5.6; Capacity=66.7</x:v>
      </x:c>
    </x:row>
    <x:row r="2796">
      <x:c r="A2796" t="n">
        <x:v>2793</x:v>
      </x:c>
      <x:c r="B2796" t="str">
        <x:v>PTN Akademik</x:v>
      </x:c>
      <x:c r="C2796" t="str">
        <x:v>INSTITUT TEKNOLOGI KALIMANTAN</x:v>
      </x:c>
      <x:c r="D2796" t="str">
        <x:v>MATEMATIKA</x:v>
      </x:c>
      <x:c r="E2796" t="str">
        <x:v>Sarjana</x:v>
      </x:c>
      <x:c r="F2796" s="18" t="n">
        <x:v>35</x:v>
      </x:c>
      <x:c r="G2796" s="18" t="n">
        <x:v>15</x:v>
      </x:c>
      <x:c r="H2796" s="19" t="n">
        <x:v>0.42857142857142855</x:v>
      </x:c>
      <x:c r="I2796" s="18" t="n">
        <x:f>ROUND(MIN(Model_Config_v3!$B$6,MAX(Q2796,R2796,S2796*Model_Config_v3!$B$4+T2796*Model_Config_v3!$B$5)),0)</x:f>
        <x:v>600</x:v>
      </x:c>
      <x:c r="J2796" s="18" t="n">
        <x:f>MIN(Model_Config_v3!$B$6,I2796+Model_Config_v3!$B$7)</x:f>
        <x:v>620</x:v>
      </x:c>
      <x:c r="K2796" s="20" t="n">
        <x:v>37.1</x:v>
      </x:c>
      <x:c r="L2796" t="str">
        <x:v>RELATIF LONGGAR</x:v>
      </x:c>
      <x:c r="M2796" t="str">
        <x:v>SEDANG+</x:v>
      </x:c>
      <x:c r="N2796" t="str">
        <x:v>REGULER</x:v>
      </x:c>
      <x:c r="O2796" t="str">
        <x:v>SAINTEK</x:v>
      </x:c>
      <x:c r="P2796" t="str">
        <x:v>SAINS DASAR</x:v>
      </x:c>
      <x:c r="Q2796" s="18" t="n">
        <x:v>0</x:v>
      </x:c>
      <x:c r="R2796" s="18" t="n">
        <x:v>0</x:v>
      </x:c>
      <x:c r="S2796" s="18" t="n">
        <x:v>520</x:v>
      </x:c>
      <x:c r="T2796" s="18" t="n">
        <x:v>634</x:v>
      </x:c>
      <x:c r="U2796" s="18" t="n">
        <x:v>520</x:v>
      </x:c>
      <x:c r="V2796" s="20" t="n">
        <x:v>12</x:v>
      </x:c>
      <x:c r="W2796" s="20" t="n">
        <x:v>5</x:v>
      </x:c>
      <x:c r="X2796" s="20" t="n">
        <x:v>3</x:v>
      </x:c>
      <x:c r="Y2796" t="str">
        <x:v>Basis arsip 2025/2024</x:v>
      </x:c>
      <x:c r="Z2796" t="str">
        <x:v>https://snpmb.id/utbk-snbt/daya-tampung-snbt</x:v>
      </x:c>
      <x:c r="AA2796" t="str">
        <x:v>Tidak Ada</x:v>
      </x:c>
      <x:c r="AB2796" t="str">
        <x:v>Campus=55; Ratio=0.0; Prodi=50; RelDemand=7.4; Capacity=70.8</x:v>
      </x:c>
    </x:row>
    <x:row r="2797">
      <x:c r="A2797" t="n">
        <x:v>2794</x:v>
      </x:c>
      <x:c r="B2797" t="str">
        <x:v>PTN Akademik</x:v>
      </x:c>
      <x:c r="C2797" t="str">
        <x:v>INSTITUT TEKNOLOGI KALIMANTAN</x:v>
      </x:c>
      <x:c r="D2797" t="str">
        <x:v>TEKNIK MESIN</x:v>
      </x:c>
      <x:c r="E2797" t="str">
        <x:v>Sarjana</x:v>
      </x:c>
      <x:c r="F2797" s="18" t="n">
        <x:v>75</x:v>
      </x:c>
      <x:c r="G2797" s="18" t="n">
        <x:v>240</x:v>
      </x:c>
      <x:c r="H2797" s="19" t="n">
        <x:v>3.2</x:v>
      </x:c>
      <x:c r="I2797" s="18" t="n">
        <x:f>ROUND(MIN(Model_Config_v3!$B$6,MAX(Q2797,R2797,S2797*Model_Config_v3!$B$4+T2797*Model_Config_v3!$B$5)),0)</x:f>
        <x:v>632</x:v>
      </x:c>
      <x:c r="J2797" s="18" t="n">
        <x:f>MIN(Model_Config_v3!$B$6,I2797+Model_Config_v3!$B$7)</x:f>
        <x:v>652</x:v>
      </x:c>
      <x:c r="K2797" s="20" t="n">
        <x:v>48</x:v>
      </x:c>
      <x:c r="L2797" t="str">
        <x:v>MENENGAH</x:v>
      </x:c>
      <x:c r="M2797" t="str">
        <x:v>SEDANG+</x:v>
      </x:c>
      <x:c r="N2797" t="str">
        <x:v>REGULER</x:v>
      </x:c>
      <x:c r="O2797" t="str">
        <x:v>SAINTEK</x:v>
      </x:c>
      <x:c r="P2797" t="str">
        <x:v>TEKNIK/ARSITEKTUR/STATISTIKA/AKTUARIA</x:v>
      </x:c>
      <x:c r="Q2797" s="18" t="n">
        <x:v>0</x:v>
      </x:c>
      <x:c r="R2797" s="18" t="n">
        <x:v>0</x:v>
      </x:c>
      <x:c r="S2797" s="18" t="n">
        <x:v>575.5664976151896</x:v>
      </x:c>
      <x:c r="T2797" s="18" t="n">
        <x:v>656</x:v>
      </x:c>
      <x:c r="U2797" s="18" t="n">
        <x:v>585.5664976151896</x:v>
      </x:c>
      <x:c r="V2797" s="20" t="n">
        <x:v>12</x:v>
      </x:c>
      <x:c r="W2797" s="20" t="n">
        <x:v>5</x:v>
      </x:c>
      <x:c r="X2797" s="20" t="n">
        <x:v>3</x:v>
      </x:c>
      <x:c r="Y2797" t="str">
        <x:v>Basis arsip 2025/2024</x:v>
      </x:c>
      <x:c r="Z2797" t="str">
        <x:v>https://snpmb.id/utbk-snbt/daya-tampung-snbt</x:v>
      </x:c>
      <x:c r="AA2797" t="str">
        <x:v>Tidak Ada</x:v>
      </x:c>
      <x:c r="AB2797" t="str">
        <x:v>Campus=55; Ratio=29.7; Prodi=60; RelDemand=55.6; Capacity=37.5</x:v>
      </x:c>
    </x:row>
    <x:row r="2798">
      <x:c r="A2798" t="n">
        <x:v>2795</x:v>
      </x:c>
      <x:c r="B2798" t="str">
        <x:v>PTN Akademik</x:v>
      </x:c>
      <x:c r="C2798" t="str">
        <x:v>INSTITUT TEKNOLOGI KALIMANTAN</x:v>
      </x:c>
      <x:c r="D2798" t="str">
        <x:v>TEKNIK ELEKTRO</x:v>
      </x:c>
      <x:c r="E2798" t="str">
        <x:v>Sarjana</x:v>
      </x:c>
      <x:c r="F2798" s="18" t="n">
        <x:v>70</x:v>
      </x:c>
      <x:c r="G2798" s="18" t="n">
        <x:v>209</x:v>
      </x:c>
      <x:c r="H2798" s="19" t="n">
        <x:v>2.9857142857142858</x:v>
      </x:c>
      <x:c r="I2798" s="18" t="n">
        <x:f>ROUND(MIN(Model_Config_v3!$B$6,MAX(Q2798,R2798,S2798*Model_Config_v3!$B$4+T2798*Model_Config_v3!$B$5)),0)</x:f>
        <x:v>630</x:v>
      </x:c>
      <x:c r="J2798" s="18" t="n">
        <x:f>MIN(Model_Config_v3!$B$6,I2798+Model_Config_v3!$B$7)</x:f>
        <x:v>650</x:v>
      </x:c>
      <x:c r="K2798" s="20" t="n">
        <x:v>47.6</x:v>
      </x:c>
      <x:c r="L2798" t="str">
        <x:v>MENENGAH</x:v>
      </x:c>
      <x:c r="M2798" t="str">
        <x:v>SEDANG+</x:v>
      </x:c>
      <x:c r="N2798" t="str">
        <x:v>REGULER</x:v>
      </x:c>
      <x:c r="O2798" t="str">
        <x:v>SAINTEK</x:v>
      </x:c>
      <x:c r="P2798" t="str">
        <x:v>TEKNIK/ARSITEKTUR/STATISTIKA/AKTUARIA</x:v>
      </x:c>
      <x:c r="Q2798" s="18" t="n">
        <x:v>0</x:v>
      </x:c>
      <x:c r="R2798" s="18" t="n">
        <x:v>0</x:v>
      </x:c>
      <x:c r="S2798" s="18" t="n">
        <x:v>572.2553070706476</x:v>
      </x:c>
      <x:c r="T2798" s="18" t="n">
        <x:v>655</x:v>
      </x:c>
      <x:c r="U2798" s="18" t="n">
        <x:v>582.2553070706476</x:v>
      </x:c>
      <x:c r="V2798" s="20" t="n">
        <x:v>12</x:v>
      </x:c>
      <x:c r="W2798" s="20" t="n">
        <x:v>5</x:v>
      </x:c>
      <x:c r="X2798" s="20" t="n">
        <x:v>3</x:v>
      </x:c>
      <x:c r="Y2798" t="str">
        <x:v>Basis arsip 2025/2024</x:v>
      </x:c>
      <x:c r="Z2798" t="str">
        <x:v>https://snpmb.id/utbk-snbt/daya-tampung-snbt</x:v>
      </x:c>
      <x:c r="AA2798" t="str">
        <x:v>Tidak Ada</x:v>
      </x:c>
      <x:c r="AB2798" t="str">
        <x:v>Campus=55; Ratio=28.0; Prodi=60; RelDemand=51.8; Capacity=41.7</x:v>
      </x:c>
    </x:row>
    <x:row r="2799">
      <x:c r="A2799" t="n">
        <x:v>2796</x:v>
      </x:c>
      <x:c r="B2799" t="str">
        <x:v>PTN Akademik</x:v>
      </x:c>
      <x:c r="C2799" t="str">
        <x:v>INSTITUT TEKNOLOGI KALIMANTAN</x:v>
      </x:c>
      <x:c r="D2799" t="str">
        <x:v>TEKNIK KIMIA</x:v>
      </x:c>
      <x:c r="E2799" t="str">
        <x:v>Sarjana</x:v>
      </x:c>
      <x:c r="F2799" s="18" t="n">
        <x:v>55</x:v>
      </x:c>
      <x:c r="G2799" s="18" t="n">
        <x:v>103</x:v>
      </x:c>
      <x:c r="H2799" s="19" t="n">
        <x:v>1.8727272727272728</x:v>
      </x:c>
      <x:c r="I2799" s="18" t="n">
        <x:f>ROUND(MIN(Model_Config_v3!$B$6,MAX(Q2799,R2799,S2799*Model_Config_v3!$B$4+T2799*Model_Config_v3!$B$5)),0)</x:f>
        <x:v>619</x:v>
      </x:c>
      <x:c r="J2799" s="18" t="n">
        <x:f>MIN(Model_Config_v3!$B$6,I2799+Model_Config_v3!$B$7)</x:f>
        <x:v>639</x:v>
      </x:c>
      <x:c r="K2799" s="20" t="n">
        <x:v>43.9</x:v>
      </x:c>
      <x:c r="L2799" t="str">
        <x:v>RELATIF LONGGAR</x:v>
      </x:c>
      <x:c r="M2799" t="str">
        <x:v>SEDANG+</x:v>
      </x:c>
      <x:c r="N2799" t="str">
        <x:v>REGULER</x:v>
      </x:c>
      <x:c r="O2799" t="str">
        <x:v>SAINTEK</x:v>
      </x:c>
      <x:c r="P2799" t="str">
        <x:v>TEKNIK/ARSITEKTUR/STATISTIKA/AKTUARIA</x:v>
      </x:c>
      <x:c r="Q2799" s="18" t="n">
        <x:v>0</x:v>
      </x:c>
      <x:c r="R2799" s="18" t="n">
        <x:v>0</x:v>
      </x:c>
      <x:c r="S2799" s="18" t="n">
        <x:v>549.9721988732022</x:v>
      </x:c>
      <x:c r="T2799" s="18" t="n">
        <x:v>648</x:v>
      </x:c>
      <x:c r="U2799" s="18" t="n">
        <x:v>559.9721988732022</x:v>
      </x:c>
      <x:c r="V2799" s="20" t="n">
        <x:v>12</x:v>
      </x:c>
      <x:c r="W2799" s="20" t="n">
        <x:v>5</x:v>
      </x:c>
      <x:c r="X2799" s="20" t="n">
        <x:v>3</x:v>
      </x:c>
      <x:c r="Y2799" t="str">
        <x:v>Basis arsip 2025/2024</x:v>
      </x:c>
      <x:c r="Z2799" t="str">
        <x:v>https://snpmb.id/utbk-snbt/daya-tampung-snbt</x:v>
      </x:c>
      <x:c r="AA2799" t="str">
        <x:v>Tidak Ada</x:v>
      </x:c>
      <x:c r="AB2799" t="str">
        <x:v>Campus=55; Ratio=16.0; Prodi=60; RelDemand=32.5; Capacity=54.2</x:v>
      </x:c>
    </x:row>
    <x:row r="2800">
      <x:c r="A2800" t="n">
        <x:v>2797</x:v>
      </x:c>
      <x:c r="B2800" t="str">
        <x:v>PTN Akademik</x:v>
      </x:c>
      <x:c r="C2800" t="str">
        <x:v>INSTITUT TEKNOLOGI KALIMANTAN</x:v>
      </x:c>
      <x:c r="D2800" t="str">
        <x:v>TEKNIK MATERIAL DAN METALURGI</x:v>
      </x:c>
      <x:c r="E2800" t="str">
        <x:v>Sarjana</x:v>
      </x:c>
      <x:c r="F2800" s="18" t="n">
        <x:v>55</x:v>
      </x:c>
      <x:c r="G2800" s="18" t="n">
        <x:v>147</x:v>
      </x:c>
      <x:c r="H2800" s="19" t="n">
        <x:v>2.672727272727273</x:v>
      </x:c>
      <x:c r="I2800" s="18" t="n">
        <x:f>ROUND(MIN(Model_Config_v3!$B$6,MAX(Q2800,R2800,S2800*Model_Config_v3!$B$4+T2800*Model_Config_v3!$B$5)),0)</x:f>
        <x:v>629</x:v>
      </x:c>
      <x:c r="J2800" s="18" t="n">
        <x:f>MIN(Model_Config_v3!$B$6,I2800+Model_Config_v3!$B$7)</x:f>
        <x:v>649</x:v>
      </x:c>
      <x:c r="K2800" s="20" t="n">
        <x:v>47.6</x:v>
      </x:c>
      <x:c r="L2800" t="str">
        <x:v>MENENGAH</x:v>
      </x:c>
      <x:c r="M2800" t="str">
        <x:v>SEDANG+</x:v>
      </x:c>
      <x:c r="N2800" t="str">
        <x:v>REGULER</x:v>
      </x:c>
      <x:c r="O2800" t="str">
        <x:v>SAINTEK</x:v>
      </x:c>
      <x:c r="P2800" t="str">
        <x:v>TEKNIK/ARSITEKTUR/STATISTIKA/AKTUARIA</x:v>
      </x:c>
      <x:c r="Q2800" s="18" t="n">
        <x:v>0</x:v>
      </x:c>
      <x:c r="R2800" s="18" t="n">
        <x:v>0</x:v>
      </x:c>
      <x:c r="S2800" s="18" t="n">
        <x:v>566.9650109779326</x:v>
      </x:c>
      <x:c r="T2800" s="18" t="n">
        <x:v>655</x:v>
      </x:c>
      <x:c r="U2800" s="18" t="n">
        <x:v>576.9650109779326</x:v>
      </x:c>
      <x:c r="V2800" s="20" t="n">
        <x:v>12</x:v>
      </x:c>
      <x:c r="W2800" s="20" t="n">
        <x:v>5</x:v>
      </x:c>
      <x:c r="X2800" s="20" t="n">
        <x:v>3</x:v>
      </x:c>
      <x:c r="Y2800" t="str">
        <x:v>Basis arsip 2025/2024</x:v>
      </x:c>
      <x:c r="Z2800" t="str">
        <x:v>https://snpmb.id/utbk-snbt/daya-tampung-snbt</x:v>
      </x:c>
      <x:c r="AA2800" t="str">
        <x:v>Tidak Ada</x:v>
      </x:c>
      <x:c r="AB2800" t="str">
        <x:v>Campus=55; Ratio=25.1; Prodi=60; RelDemand=46.4; Capacity=54.2</x:v>
      </x:c>
    </x:row>
    <x:row r="2801">
      <x:c r="A2801" t="n">
        <x:v>2798</x:v>
      </x:c>
      <x:c r="B2801" t="str">
        <x:v>PTN Akademik</x:v>
      </x:c>
      <x:c r="C2801" t="str">
        <x:v>INSTITUT TEKNOLOGI KALIMANTAN</x:v>
      </x:c>
      <x:c r="D2801" t="str">
        <x:v>TEKNIK SIPIL</x:v>
      </x:c>
      <x:c r="E2801" t="str">
        <x:v>Sarjana</x:v>
      </x:c>
      <x:c r="F2801" s="18" t="n">
        <x:v>75</x:v>
      </x:c>
      <x:c r="G2801" s="18" t="n">
        <x:v>283</x:v>
      </x:c>
      <x:c r="H2801" s="19" t="n">
        <x:v>3.7733333333333334</x:v>
      </x:c>
      <x:c r="I2801" s="18" t="n">
        <x:f>ROUND(MIN(Model_Config_v3!$B$6,MAX(Q2801,R2801,S2801*Model_Config_v3!$B$4+T2801*Model_Config_v3!$B$5)),0)</x:f>
        <x:v>637</x:v>
      </x:c>
      <x:c r="J2801" s="18" t="n">
        <x:f>MIN(Model_Config_v3!$B$6,I2801+Model_Config_v3!$B$7)</x:f>
        <x:v>657</x:v>
      </x:c>
      <x:c r="K2801" s="20" t="n">
        <x:v>50</x:v>
      </x:c>
      <x:c r="L2801" t="str">
        <x:v>MENENGAH</x:v>
      </x:c>
      <x:c r="M2801" t="str">
        <x:v>SEDANG+</x:v>
      </x:c>
      <x:c r="N2801" t="str">
        <x:v>REGULER</x:v>
      </x:c>
      <x:c r="O2801" t="str">
        <x:v>SAINTEK</x:v>
      </x:c>
      <x:c r="P2801" t="str">
        <x:v>TEKNIK/ARSITEKTUR/STATISTIKA/AKTUARIA</x:v>
      </x:c>
      <x:c r="Q2801" s="18" t="n">
        <x:v>0</x:v>
      </x:c>
      <x:c r="R2801" s="18" t="n">
        <x:v>0</x:v>
      </x:c>
      <x:c r="S2801" s="18" t="n">
        <x:v>583.4397689345849</x:v>
      </x:c>
      <x:c r="T2801" s="18" t="n">
        <x:v>660</x:v>
      </x:c>
      <x:c r="U2801" s="18" t="n">
        <x:v>593.4397689345849</x:v>
      </x:c>
      <x:c r="V2801" s="20" t="n">
        <x:v>12</x:v>
      </x:c>
      <x:c r="W2801" s="20" t="n">
        <x:v>5</x:v>
      </x:c>
      <x:c r="X2801" s="20" t="n">
        <x:v>3</x:v>
      </x:c>
      <x:c r="Y2801" t="str">
        <x:v>Basis arsip 2025/2024</x:v>
      </x:c>
      <x:c r="Z2801" t="str">
        <x:v>https://snpmb.id/utbk-snbt/daya-tampung-snbt</x:v>
      </x:c>
      <x:c r="AA2801" t="str">
        <x:v>Tidak Ada</x:v>
      </x:c>
      <x:c r="AB2801" t="str">
        <x:v>Campus=55; Ratio=33.9; Prodi=60; RelDemand=65.5; Capacity=37.5</x:v>
      </x:c>
    </x:row>
    <x:row r="2802">
      <x:c r="A2802" t="n">
        <x:v>2799</x:v>
      </x:c>
      <x:c r="B2802" t="str">
        <x:v>PTN Akademik</x:v>
      </x:c>
      <x:c r="C2802" t="str">
        <x:v>INSTITUT TEKNOLOGI KALIMANTAN</x:v>
      </x:c>
      <x:c r="D2802" t="str">
        <x:v>PERENCANAAN WILAYAH DAN KOTA</x:v>
      </x:c>
      <x:c r="E2802" t="str">
        <x:v>Sarjana</x:v>
      </x:c>
      <x:c r="F2802" s="18" t="n">
        <x:v>60</x:v>
      </x:c>
      <x:c r="G2802" s="18" t="n">
        <x:v>203</x:v>
      </x:c>
      <x:c r="H2802" s="19" t="n">
        <x:v>3.3833333333333333</x:v>
      </x:c>
      <x:c r="I2802" s="18" t="n">
        <x:f>ROUND(MIN(Model_Config_v3!$B$6,MAX(Q2802,R2802,S2802*Model_Config_v3!$B$4+T2802*Model_Config_v3!$B$5)),0)</x:f>
        <x:v>630</x:v>
      </x:c>
      <x:c r="J2802" s="18" t="n">
        <x:f>MIN(Model_Config_v3!$B$6,I2802+Model_Config_v3!$B$7)</x:f>
        <x:v>650</x:v>
      </x:c>
      <x:c r="K2802" s="20" t="n">
        <x:v>45.9</x:v>
      </x:c>
      <x:c r="L2802" t="str">
        <x:v>MENENGAH</x:v>
      </x:c>
      <x:c r="M2802" t="str">
        <x:v>SEDANG</x:v>
      </x:c>
      <x:c r="N2802" t="str">
        <x:v>REGULER</x:v>
      </x:c>
      <x:c r="O2802" t="str">
        <x:v>CAMPURAN</x:v>
      </x:c>
      <x:c r="P2802" t="str">
        <x:v>UMUM</x:v>
      </x:c>
      <x:c r="Q2802" s="18" t="n">
        <x:v>0</x:v>
      </x:c>
      <x:c r="R2802" s="18" t="n">
        <x:v>0</x:v>
      </x:c>
      <x:c r="S2802" s="18" t="n">
        <x:v>578.2279266282526</x:v>
      </x:c>
      <x:c r="T2802" s="18" t="n">
        <x:v>652</x:v>
      </x:c>
      <x:c r="U2802" s="18" t="n">
        <x:v>578.2279266282526</x:v>
      </x:c>
      <x:c r="V2802" s="20" t="n">
        <x:v>8.8</x:v>
      </x:c>
      <x:c r="W2802" s="20" t="n">
        <x:v>9.9</x:v>
      </x:c>
      <x:c r="X2802" s="20" t="n">
        <x:v>3.3</x:v>
      </x:c>
      <x:c r="Y2802" t="str">
        <x:v>Basis arsip 2025/2024</x:v>
      </x:c>
      <x:c r="Z2802" t="str">
        <x:v>https://snpmb.id/utbk-snbt/daya-tampung-snbt</x:v>
      </x:c>
      <x:c r="AA2802" t="str">
        <x:v>Tidak Ada</x:v>
      </x:c>
      <x:c r="AB2802" t="str">
        <x:v>Campus=55; Ratio=31.2; Prodi=40; RelDemand=58.7; Capacity=50.0</x:v>
      </x:c>
    </x:row>
    <x:row r="2803">
      <x:c r="A2803" t="n">
        <x:v>2800</x:v>
      </x:c>
      <x:c r="B2803" t="str">
        <x:v>PTN Akademik</x:v>
      </x:c>
      <x:c r="C2803" t="str">
        <x:v>INSTITUT TEKNOLOGI KALIMANTAN</x:v>
      </x:c>
      <x:c r="D2803" t="str">
        <x:v>TEKNIK PERKAPALAN</x:v>
      </x:c>
      <x:c r="E2803" t="str">
        <x:v>Sarjana</x:v>
      </x:c>
      <x:c r="F2803" s="18" t="n">
        <x:v>50</x:v>
      </x:c>
      <x:c r="G2803" s="18" t="n">
        <x:v>100</x:v>
      </x:c>
      <x:c r="H2803" s="19" t="n">
        <x:v>2</x:v>
      </x:c>
      <x:c r="I2803" s="18" t="n">
        <x:f>ROUND(MIN(Model_Config_v3!$B$6,MAX(Q2803,R2803,S2803*Model_Config_v3!$B$4+T2803*Model_Config_v3!$B$5)),0)</x:f>
        <x:v>621</x:v>
      </x:c>
      <x:c r="J2803" s="18" t="n">
        <x:f>MIN(Model_Config_v3!$B$6,I2803+Model_Config_v3!$B$7)</x:f>
        <x:v>641</x:v>
      </x:c>
      <x:c r="K2803" s="20" t="n">
        <x:v>45</x:v>
      </x:c>
      <x:c r="L2803" t="str">
        <x:v>MENENGAH</x:v>
      </x:c>
      <x:c r="M2803" t="str">
        <x:v>SEDANG+</x:v>
      </x:c>
      <x:c r="N2803" t="str">
        <x:v>REGULER</x:v>
      </x:c>
      <x:c r="O2803" t="str">
        <x:v>SAINTEK</x:v>
      </x:c>
      <x:c r="P2803" t="str">
        <x:v>TEKNIK/ARSITEKTUR/STATISTIKA/AKTUARIA</x:v>
      </x:c>
      <x:c r="Q2803" s="18" t="n">
        <x:v>0</x:v>
      </x:c>
      <x:c r="R2803" s="18" t="n">
        <x:v>0</x:v>
      </x:c>
      <x:c r="S2803" s="18" t="n">
        <x:v>553.1132995230379</x:v>
      </x:c>
      <x:c r="T2803" s="18" t="n">
        <x:v>650</x:v>
      </x:c>
      <x:c r="U2803" s="18" t="n">
        <x:v>563.1132995230379</x:v>
      </x:c>
      <x:c r="V2803" s="20" t="n">
        <x:v>12</x:v>
      </x:c>
      <x:c r="W2803" s="20" t="n">
        <x:v>5</x:v>
      </x:c>
      <x:c r="X2803" s="20" t="n">
        <x:v>3</x:v>
      </x:c>
      <x:c r="Y2803" t="str">
        <x:v>Basis arsip 2025/2024</x:v>
      </x:c>
      <x:c r="Z2803" t="str">
        <x:v>https://snpmb.id/utbk-snbt/daya-tampung-snbt</x:v>
      </x:c>
      <x:c r="AA2803" t="str">
        <x:v>Tidak Ada</x:v>
      </x:c>
      <x:c r="AB2803" t="str">
        <x:v>Campus=55; Ratio=17.7; Prodi=60; RelDemand=34.7; Capacity=58.3</x:v>
      </x:c>
    </x:row>
    <x:row r="2804">
      <x:c r="A2804" t="n">
        <x:v>2801</x:v>
      </x:c>
      <x:c r="B2804" t="str">
        <x:v>PTN Akademik</x:v>
      </x:c>
      <x:c r="C2804" t="str">
        <x:v>INSTITUT TEKNOLOGI KALIMANTAN</x:v>
      </x:c>
      <x:c r="D2804" t="str">
        <x:v>SISTEM INFORMASI</x:v>
      </x:c>
      <x:c r="E2804" t="str">
        <x:v>Sarjana</x:v>
      </x:c>
      <x:c r="F2804" s="18" t="n">
        <x:v>66</x:v>
      </x:c>
      <x:c r="G2804" s="18" t="n">
        <x:v>308</x:v>
      </x:c>
      <x:c r="H2804" s="19" t="n">
        <x:v>4.666666666666667</x:v>
      </x:c>
      <x:c r="I2804" s="18" t="n">
        <x:f>ROUND(MIN(Model_Config_v3!$B$6,MAX(Q2804,R2804,S2804*Model_Config_v3!$B$4+T2804*Model_Config_v3!$B$5)),0)</x:f>
        <x:v>652</x:v>
      </x:c>
      <x:c r="J2804" s="18" t="n">
        <x:f>MIN(Model_Config_v3!$B$6,I2804+Model_Config_v3!$B$7)</x:f>
        <x:v>672</x:v>
      </x:c>
      <x:c r="K2804" s="20" t="n">
        <x:v>58.7</x:v>
      </x:c>
      <x:c r="L2804" t="str">
        <x:v>KETAT</x:v>
      </x:c>
      <x:c r="M2804" t="str">
        <x:v>SEDANG+</x:v>
      </x:c>
      <x:c r="N2804" t="str">
        <x:v>REGULER</x:v>
      </x:c>
      <x:c r="O2804" t="str">
        <x:v>CAMPURAN</x:v>
      </x:c>
      <x:c r="P2804" t="str">
        <x:v>KOMPUTER/INFORMATIKA</x:v>
      </x:c>
      <x:c r="Q2804" s="18" t="n">
        <x:v>0</x:v>
      </x:c>
      <x:c r="R2804" s="18" t="n">
        <x:v>0</x:v>
      </x:c>
      <x:c r="S2804" s="18" t="n">
        <x:v>593.5907459054433</x:v>
      </x:c>
      <x:c r="T2804" s="18" t="n">
        <x:v>677</x:v>
      </x:c>
      <x:c r="U2804" s="18" t="n">
        <x:v>618.5907459054433</x:v>
      </x:c>
      <x:c r="V2804" s="20" t="n">
        <x:v>8.8</x:v>
      </x:c>
      <x:c r="W2804" s="20" t="n">
        <x:v>9.9</x:v>
      </x:c>
      <x:c r="X2804" s="20" t="n">
        <x:v>3.3</x:v>
      </x:c>
      <x:c r="Y2804" t="str">
        <x:v>Basis arsip 2025/2024</x:v>
      </x:c>
      <x:c r="Z2804" t="str">
        <x:v>https://snpmb.id/utbk-snbt/daya-tampung-snbt</x:v>
      </x:c>
      <x:c r="AA2804" t="str">
        <x:v>Tidak Ada</x:v>
      </x:c>
      <x:c r="AB2804" t="str">
        <x:v>Campus=55; Ratio=39.4; Prodi=85; RelDemand=81.0; Capacity=45.0</x:v>
      </x:c>
    </x:row>
    <x:row r="2805">
      <x:c r="A2805" t="n">
        <x:v>2802</x:v>
      </x:c>
      <x:c r="B2805" t="str">
        <x:v>PTN Akademik</x:v>
      </x:c>
      <x:c r="C2805" t="str">
        <x:v>INSTITUT TEKNOLOGI KALIMANTAN</x:v>
      </x:c>
      <x:c r="D2805" t="str">
        <x:v>TEKNIK INDUSTRI</x:v>
      </x:c>
      <x:c r="E2805" t="str">
        <x:v>Sarjana</x:v>
      </x:c>
      <x:c r="F2805" s="18" t="n">
        <x:v>40</x:v>
      </x:c>
      <x:c r="G2805" s="18" t="n">
        <x:v>295</x:v>
      </x:c>
      <x:c r="H2805" s="19" t="n">
        <x:v>7.375</x:v>
      </x:c>
      <x:c r="I2805" s="18" t="n">
        <x:f>ROUND(MIN(Model_Config_v3!$B$6,MAX(Q2805,R2805,S2805*Model_Config_v3!$B$4+T2805*Model_Config_v3!$B$5)),0)</x:f>
        <x:v>661</x:v>
      </x:c>
      <x:c r="J2805" s="18" t="n">
        <x:f>MIN(Model_Config_v3!$B$6,I2805+Model_Config_v3!$B$7)</x:f>
        <x:v>681</x:v>
      </x:c>
      <x:c r="K2805" s="20" t="n">
        <x:v>60.7</x:v>
      </x:c>
      <x:c r="L2805" t="str">
        <x:v>KETAT</x:v>
      </x:c>
      <x:c r="M2805" t="str">
        <x:v>SEDANG+</x:v>
      </x:c>
      <x:c r="N2805" t="str">
        <x:v>REGULER</x:v>
      </x:c>
      <x:c r="O2805" t="str">
        <x:v>SAINTEK</x:v>
      </x:c>
      <x:c r="P2805" t="str">
        <x:v>TEKNIK/ARSITEKTUR/STATISTIKA/AKTUARIA</x:v>
      </x:c>
      <x:c r="Q2805" s="18" t="n">
        <x:v>0</x:v>
      </x:c>
      <x:c r="R2805" s="18" t="n">
        <x:v>0</x:v>
      </x:c>
      <x:c r="S2805" s="18" t="n">
        <x:v>615.4538227115221</x:v>
      </x:c>
      <x:c r="T2805" s="18" t="n">
        <x:v>681</x:v>
      </x:c>
      <x:c r="U2805" s="18" t="n">
        <x:v>625.4538227115221</x:v>
      </x:c>
      <x:c r="V2805" s="20" t="n">
        <x:v>12</x:v>
      </x:c>
      <x:c r="W2805" s="20" t="n">
        <x:v>5</x:v>
      </x:c>
      <x:c r="X2805" s="20" t="n">
        <x:v>3</x:v>
      </x:c>
      <x:c r="Y2805" t="str">
        <x:v>Basis arsip 2025/2024</x:v>
      </x:c>
      <x:c r="Z2805" t="str">
        <x:v>https://snpmb.id/utbk-snbt/daya-tampung-snbt</x:v>
      </x:c>
      <x:c r="AA2805" t="str">
        <x:v>Tidak Ada</x:v>
      </x:c>
      <x:c r="AB2805" t="str">
        <x:v>Campus=55; Ratio=51.1; Prodi=60; RelDemand=100.0; Capacity=66.7</x:v>
      </x:c>
    </x:row>
    <x:row r="2806">
      <x:c r="A2806" t="n">
        <x:v>2803</x:v>
      </x:c>
      <x:c r="B2806" t="str">
        <x:v>PTN Akademik</x:v>
      </x:c>
      <x:c r="C2806" t="str">
        <x:v>INSTITUT TEKNOLOGI KALIMANTAN</x:v>
      </x:c>
      <x:c r="D2806" t="str">
        <x:v>INFORMATIKA</x:v>
      </x:c>
      <x:c r="E2806" t="str">
        <x:v>Sarjana</x:v>
      </x:c>
      <x:c r="F2806" s="18" t="n">
        <x:v>60</x:v>
      </x:c>
      <x:c r="G2806" s="18" t="n">
        <x:v>323</x:v>
      </x:c>
      <x:c r="H2806" s="19" t="n">
        <x:v>5.383333333333334</x:v>
      </x:c>
      <x:c r="I2806" s="18" t="n">
        <x:f>ROUND(MIN(Model_Config_v3!$B$6,MAX(Q2806,R2806,S2806*Model_Config_v3!$B$4+T2806*Model_Config_v3!$B$5)),0)</x:f>
        <x:v>658</x:v>
      </x:c>
      <x:c r="J2806" s="18" t="n">
        <x:f>MIN(Model_Config_v3!$B$6,I2806+Model_Config_v3!$B$7)</x:f>
        <x:v>678</x:v>
      </x:c>
      <x:c r="K2806" s="20" t="n">
        <x:v>61.4</x:v>
      </x:c>
      <x:c r="L2806" t="str">
        <x:v>KETAT</x:v>
      </x:c>
      <x:c r="M2806" t="str">
        <x:v>SEDANG+</x:v>
      </x:c>
      <x:c r="N2806" t="str">
        <x:v>REGULER</x:v>
      </x:c>
      <x:c r="O2806" t="str">
        <x:v>SAINTEK</x:v>
      </x:c>
      <x:c r="P2806" t="str">
        <x:v>KOMPUTER/INFORMATIKA</x:v>
      </x:c>
      <x:c r="Q2806" s="18" t="n">
        <x:v>0</x:v>
      </x:c>
      <x:c r="R2806" s="18" t="n">
        <x:v>0</x:v>
      </x:c>
      <x:c r="S2806" s="18" t="n">
        <x:v>600.4156399142205</x:v>
      </x:c>
      <x:c r="T2806" s="18" t="n">
        <x:v>683</x:v>
      </x:c>
      <x:c r="U2806" s="18" t="n">
        <x:v>625.4156399142205</x:v>
      </x:c>
      <x:c r="V2806" s="20" t="n">
        <x:v>12</x:v>
      </x:c>
      <x:c r="W2806" s="20" t="n">
        <x:v>5</x:v>
      </x:c>
      <x:c r="X2806" s="20" t="n">
        <x:v>3</x:v>
      </x:c>
      <x:c r="Y2806" t="str">
        <x:v>Basis arsip 2025/2024</x:v>
      </x:c>
      <x:c r="Z2806" t="str">
        <x:v>https://snpmb.id/utbk-snbt/daya-tampung-snbt</x:v>
      </x:c>
      <x:c r="AA2806" t="str">
        <x:v>Tidak Ada</x:v>
      </x:c>
      <x:c r="AB2806" t="str">
        <x:v>Campus=55; Ratio=43.0; Prodi=85; RelDemand=93.5; Capacity=50.0</x:v>
      </x:c>
    </x:row>
    <x:row r="2807">
      <x:c r="A2807" t="n">
        <x:v>2804</x:v>
      </x:c>
      <x:c r="B2807" t="str">
        <x:v>PTN Akademik</x:v>
      </x:c>
      <x:c r="C2807" t="str">
        <x:v>INSTITUT TEKNOLOGI KALIMANTAN</x:v>
      </x:c>
      <x:c r="D2807" t="str">
        <x:v>TEKNIK LINGKUNGAN</x:v>
      </x:c>
      <x:c r="E2807" t="str">
        <x:v>Sarjana</x:v>
      </x:c>
      <x:c r="F2807" s="18" t="n">
        <x:v>55</x:v>
      </x:c>
      <x:c r="G2807" s="18" t="n">
        <x:v>180</x:v>
      </x:c>
      <x:c r="H2807" s="19" t="n">
        <x:v>3.272727272727273</x:v>
      </x:c>
      <x:c r="I2807" s="18" t="n">
        <x:f>ROUND(MIN(Model_Config_v3!$B$6,MAX(Q2807,R2807,S2807*Model_Config_v3!$B$4+T2807*Model_Config_v3!$B$5)),0)</x:f>
        <x:v>635</x:v>
      </x:c>
      <x:c r="J2807" s="18" t="n">
        <x:f>MIN(Model_Config_v3!$B$6,I2807+Model_Config_v3!$B$7)</x:f>
        <x:v>655</x:v>
      </x:c>
      <x:c r="K2807" s="20" t="n">
        <x:v>49.9</x:v>
      </x:c>
      <x:c r="L2807" t="str">
        <x:v>MENENGAH</x:v>
      </x:c>
      <x:c r="M2807" t="str">
        <x:v>SEDANG+</x:v>
      </x:c>
      <x:c r="N2807" t="str">
        <x:v>REGULER</x:v>
      </x:c>
      <x:c r="O2807" t="str">
        <x:v>SAINTEK</x:v>
      </x:c>
      <x:c r="P2807" t="str">
        <x:v>TEKNIK/ARSITEKTUR/STATISTIKA/AKTUARIA</x:v>
      </x:c>
      <x:c r="Q2807" s="18" t="n">
        <x:v>0</x:v>
      </x:c>
      <x:c r="R2807" s="18" t="n">
        <x:v>0</x:v>
      </x:c>
      <x:c r="S2807" s="18" t="n">
        <x:v>576.6400797169969</x:v>
      </x:c>
      <x:c r="T2807" s="18" t="n">
        <x:v>660</x:v>
      </x:c>
      <x:c r="U2807" s="18" t="n">
        <x:v>586.6400797169969</x:v>
      </x:c>
      <x:c r="V2807" s="20" t="n">
        <x:v>12</x:v>
      </x:c>
      <x:c r="W2807" s="20" t="n">
        <x:v>5</x:v>
      </x:c>
      <x:c r="X2807" s="20" t="n">
        <x:v>3</x:v>
      </x:c>
      <x:c r="Y2807" t="str">
        <x:v>Basis arsip 2025/2024</x:v>
      </x:c>
      <x:c r="Z2807" t="str">
        <x:v>https://snpmb.id/utbk-snbt/daya-tampung-snbt</x:v>
      </x:c>
      <x:c r="AA2807" t="str">
        <x:v>Tidak Ada</x:v>
      </x:c>
      <x:c r="AB2807" t="str">
        <x:v>Campus=55; Ratio=30.3; Prodi=60; RelDemand=56.8; Capacity=54.2</x:v>
      </x:c>
    </x:row>
    <x:row r="2808">
      <x:c r="A2808" t="n">
        <x:v>2805</x:v>
      </x:c>
      <x:c r="B2808" t="str">
        <x:v>PTN Akademik</x:v>
      </x:c>
      <x:c r="C2808" t="str">
        <x:v>INSTITUT TEKNOLOGI KALIMANTAN</x:v>
      </x:c>
      <x:c r="D2808" t="str">
        <x:v>TEKNIK KELAUTAN</x:v>
      </x:c>
      <x:c r="E2808" t="str">
        <x:v>Sarjana</x:v>
      </x:c>
      <x:c r="F2808" s="18" t="n">
        <x:v>35</x:v>
      </x:c>
      <x:c r="G2808" s="18" t="n">
        <x:v>51</x:v>
      </x:c>
      <x:c r="H2808" s="19" t="n">
        <x:v>1.457142857142857</x:v>
      </x:c>
      <x:c r="I2808" s="18" t="n">
        <x:f>ROUND(MIN(Model_Config_v3!$B$6,MAX(Q2808,R2808,S2808*Model_Config_v3!$B$4+T2808*Model_Config_v3!$B$5)),0)</x:f>
        <x:v>614</x:v>
      </x:c>
      <x:c r="J2808" s="18" t="n">
        <x:f>MIN(Model_Config_v3!$B$6,I2808+Model_Config_v3!$B$7)</x:f>
        <x:v>634</x:v>
      </x:c>
      <x:c r="K2808" s="20" t="n">
        <x:v>43.3</x:v>
      </x:c>
      <x:c r="L2808" t="str">
        <x:v>RELATIF LONGGAR</x:v>
      </x:c>
      <x:c r="M2808" t="str">
        <x:v>SEDANG+</x:v>
      </x:c>
      <x:c r="N2808" t="str">
        <x:v>REGULER</x:v>
      </x:c>
      <x:c r="O2808" t="str">
        <x:v>SAINTEK</x:v>
      </x:c>
      <x:c r="P2808" t="str">
        <x:v>TEKNIK/ARSITEKTUR/STATISTIKA/AKTUARIA</x:v>
      </x:c>
      <x:c r="Q2808" s="18" t="n">
        <x:v>0</x:v>
      </x:c>
      <x:c r="R2808" s="18" t="n">
        <x:v>0</x:v>
      </x:c>
      <x:c r="S2808" s="18" t="n">
        <x:v>537.9852344922426</x:v>
      </x:c>
      <x:c r="T2808" s="18" t="n">
        <x:v>647</x:v>
      </x:c>
      <x:c r="U2808" s="18" t="n">
        <x:v>547.9852344922426</x:v>
      </x:c>
      <x:c r="V2808" s="20" t="n">
        <x:v>12</x:v>
      </x:c>
      <x:c r="W2808" s="20" t="n">
        <x:v>5</x:v>
      </x:c>
      <x:c r="X2808" s="20" t="n">
        <x:v>3</x:v>
      </x:c>
      <x:c r="Y2808" t="str">
        <x:v>Basis arsip 2025/2024</x:v>
      </x:c>
      <x:c r="Z2808" t="str">
        <x:v>https://snpmb.id/utbk-snbt/daya-tampung-snbt</x:v>
      </x:c>
      <x:c r="AA2808" t="str">
        <x:v>Tidak Ada</x:v>
      </x:c>
      <x:c r="AB2808" t="str">
        <x:v>Campus=55; Ratio=9.6; Prodi=60; RelDemand=25.3; Capacity=70.8</x:v>
      </x:c>
    </x:row>
    <x:row r="2809">
      <x:c r="A2809" t="n">
        <x:v>2806</x:v>
      </x:c>
      <x:c r="B2809" t="str">
        <x:v>PTN Akademik</x:v>
      </x:c>
      <x:c r="C2809" t="str">
        <x:v>INSTITUT TEKNOLOGI KALIMANTAN</x:v>
      </x:c>
      <x:c r="D2809" t="str">
        <x:v>ARSITEKTUR</x:v>
      </x:c>
      <x:c r="E2809" t="str">
        <x:v>Sarjana</x:v>
      </x:c>
      <x:c r="F2809" s="18" t="n">
        <x:v>45</x:v>
      </x:c>
      <x:c r="G2809" s="18" t="n">
        <x:v>113</x:v>
      </x:c>
      <x:c r="H2809" s="19" t="n">
        <x:v>2.511111111111111</x:v>
      </x:c>
      <x:c r="I2809" s="18" t="n">
        <x:f>ROUND(MIN(Model_Config_v3!$B$6,MAX(Q2809,R2809,S2809*Model_Config_v3!$B$4+T2809*Model_Config_v3!$B$5)),0)</x:f>
        <x:v>628</x:v>
      </x:c>
      <x:c r="J2809" s="18" t="n">
        <x:f>MIN(Model_Config_v3!$B$6,I2809+Model_Config_v3!$B$7)</x:f>
        <x:v>648</x:v>
      </x:c>
      <x:c r="K2809" s="20" t="n">
        <x:v>47.7</x:v>
      </x:c>
      <x:c r="L2809" t="str">
        <x:v>MENENGAH</x:v>
      </x:c>
      <x:c r="M2809" t="str">
        <x:v>SEDANG+</x:v>
      </x:c>
      <x:c r="N2809" t="str">
        <x:v>REGULER</x:v>
      </x:c>
      <x:c r="O2809" t="str">
        <x:v>SAINTEK</x:v>
      </x:c>
      <x:c r="P2809" t="str">
        <x:v>TEKNIK/ARSITEKTUR/STATISTIKA/AKTUARIA</x:v>
      </x:c>
      <x:c r="Q2809" s="18" t="n">
        <x:v>0</x:v>
      </x:c>
      <x:c r="R2809" s="18" t="n">
        <x:v>0</x:v>
      </x:c>
      <x:c r="S2809" s="18" t="n">
        <x:v>563.9852522678883</x:v>
      </x:c>
      <x:c r="T2809" s="18" t="n">
        <x:v>655</x:v>
      </x:c>
      <x:c r="U2809" s="18" t="n">
        <x:v>563.9852522678883</x:v>
      </x:c>
      <x:c r="V2809" s="20" t="n">
        <x:v>12</x:v>
      </x:c>
      <x:c r="W2809" s="20" t="n">
        <x:v>5</x:v>
      </x:c>
      <x:c r="X2809" s="20" t="n">
        <x:v>3</x:v>
      </x:c>
      <x:c r="Y2809" t="str">
        <x:v>Basis arsip 2025/2024</x:v>
      </x:c>
      <x:c r="Z2809" t="str">
        <x:v>https://snpmb.id/utbk-snbt/daya-tampung-snbt</x:v>
      </x:c>
      <x:c r="AA2809" t="str">
        <x:v>Tidak Ada</x:v>
      </x:c>
      <x:c r="AB2809" t="str">
        <x:v>Campus=55; Ratio=23.5; Prodi=60; RelDemand=43.6; Capacity=62.5</x:v>
      </x:c>
    </x:row>
    <x:row r="2810">
      <x:c r="A2810" t="n">
        <x:v>2807</x:v>
      </x:c>
      <x:c r="B2810" t="str">
        <x:v>PTN Akademik</x:v>
      </x:c>
      <x:c r="C2810" t="str">
        <x:v>INSTITUT TEKNOLOGI KALIMANTAN</x:v>
      </x:c>
      <x:c r="D2810" t="str">
        <x:v>STATISTIKA</x:v>
      </x:c>
      <x:c r="E2810" t="str">
        <x:v>Sarjana</x:v>
      </x:c>
      <x:c r="F2810" s="18" t="n">
        <x:v>32</x:v>
      </x:c>
      <x:c r="G2810" s="18" t="n">
        <x:v>45</x:v>
      </x:c>
      <x:c r="H2810" s="19" t="n">
        <x:v>1.40625</x:v>
      </x:c>
      <x:c r="I2810" s="18" t="n">
        <x:f>ROUND(MIN(Model_Config_v3!$B$6,MAX(Q2810,R2810,S2810*Model_Config_v3!$B$4+T2810*Model_Config_v3!$B$5)),0)</x:f>
        <x:v>613</x:v>
      </x:c>
      <x:c r="J2810" s="18" t="n">
        <x:f>MIN(Model_Config_v3!$B$6,I2810+Model_Config_v3!$B$7)</x:f>
        <x:v>633</x:v>
      </x:c>
      <x:c r="K2810" s="20" t="n">
        <x:v>43.2</x:v>
      </x:c>
      <x:c r="L2810" t="str">
        <x:v>RELATIF LONGGAR</x:v>
      </x:c>
      <x:c r="M2810" t="str">
        <x:v>SEDANG+</x:v>
      </x:c>
      <x:c r="N2810" t="str">
        <x:v>REGULER</x:v>
      </x:c>
      <x:c r="O2810" t="str">
        <x:v>SAINTEK</x:v>
      </x:c>
      <x:c r="P2810" t="str">
        <x:v>TEKNIK/ARSITEKTUR/STATISTIKA/AKTUARIA</x:v>
      </x:c>
      <x:c r="Q2810" s="18" t="n">
        <x:v>0</x:v>
      </x:c>
      <x:c r="R2810" s="18" t="n">
        <x:v>0</x:v>
      </x:c>
      <x:c r="S2810" s="18" t="n">
        <x:v>536.2868789000981</x:v>
      </x:c>
      <x:c r="T2810" s="18" t="n">
        <x:v>646</x:v>
      </x:c>
      <x:c r="U2810" s="18" t="n">
        <x:v>546.2868789000981</x:v>
      </x:c>
      <x:c r="V2810" s="20" t="n">
        <x:v>12</x:v>
      </x:c>
      <x:c r="W2810" s="20" t="n">
        <x:v>5</x:v>
      </x:c>
      <x:c r="X2810" s="20" t="n">
        <x:v>3</x:v>
      </x:c>
      <x:c r="Y2810" t="str">
        <x:v>Basis arsip 2025/2024</x:v>
      </x:c>
      <x:c r="Z2810" t="str">
        <x:v>https://snpmb.id/utbk-snbt/daya-tampung-snbt</x:v>
      </x:c>
      <x:c r="AA2810" t="str">
        <x:v>Tidak Ada</x:v>
      </x:c>
      <x:c r="AB2810" t="str">
        <x:v>Campus=55; Ratio=8.7; Prodi=60; RelDemand=24.4; Capacity=73.3</x:v>
      </x:c>
    </x:row>
    <x:row r="2811">
      <x:c r="A2811" t="n">
        <x:v>2808</x:v>
      </x:c>
      <x:c r="B2811" t="str">
        <x:v>PTN Akademik</x:v>
      </x:c>
      <x:c r="C2811" t="str">
        <x:v>INSTITUT TEKNOLOGI KALIMANTAN</x:v>
      </x:c>
      <x:c r="D2811" t="str">
        <x:v>ILMU AKTUARIA</x:v>
      </x:c>
      <x:c r="E2811" t="str">
        <x:v>Sarjana</x:v>
      </x:c>
      <x:c r="F2811" s="18" t="n">
        <x:v>33</x:v>
      </x:c>
      <x:c r="G2811" s="18" t="n">
        <x:v>37</x:v>
      </x:c>
      <x:c r="H2811" s="19" t="n">
        <x:v>1.121212121212121</x:v>
      </x:c>
      <x:c r="I2811" s="18" t="n">
        <x:f>ROUND(MIN(Model_Config_v3!$B$6,MAX(Q2811,R2811,S2811*Model_Config_v3!$B$4+T2811*Model_Config_v3!$B$5)),0)</x:f>
        <x:v>607</x:v>
      </x:c>
      <x:c r="J2811" s="18" t="n">
        <x:f>MIN(Model_Config_v3!$B$6,I2811+Model_Config_v3!$B$7)</x:f>
        <x:v>627</x:v>
      </x:c>
      <x:c r="K2811" s="20" t="n">
        <x:v>41.2</x:v>
      </x:c>
      <x:c r="L2811" t="str">
        <x:v>RELATIF LONGGAR</x:v>
      </x:c>
      <x:c r="M2811" t="str">
        <x:v>SEDANG+</x:v>
      </x:c>
      <x:c r="N2811" t="str">
        <x:v>REGULER</x:v>
      </x:c>
      <x:c r="O2811" t="str">
        <x:v>SAINTEK</x:v>
      </x:c>
      <x:c r="P2811" t="str">
        <x:v>TEKNIK/ARSITEKTUR/STATISTIKA/AKTUARIA</x:v>
      </x:c>
      <x:c r="Q2811" s="18" t="n">
        <x:v>0</x:v>
      </x:c>
      <x:c r="R2811" s="18" t="n">
        <x:v>0</x:v>
      </x:c>
      <x:c r="S2811" s="18" t="n">
        <x:v>525.4656562608018</x:v>
      </x:c>
      <x:c r="T2811" s="18" t="n">
        <x:v>642</x:v>
      </x:c>
      <x:c r="U2811" s="18" t="n">
        <x:v>535.4656562608018</x:v>
      </x:c>
      <x:c r="V2811" s="20" t="n">
        <x:v>12</x:v>
      </x:c>
      <x:c r="W2811" s="20" t="n">
        <x:v>5</x:v>
      </x:c>
      <x:c r="X2811" s="20" t="n">
        <x:v>3</x:v>
      </x:c>
      <x:c r="Y2811" t="str">
        <x:v>Basis arsip 2025/2024</x:v>
      </x:c>
      <x:c r="Z2811" t="str">
        <x:v>https://snpmb.id/utbk-snbt/daya-tampung-snbt</x:v>
      </x:c>
      <x:c r="AA2811" t="str">
        <x:v>Tidak Ada</x:v>
      </x:c>
      <x:c r="AB2811" t="str">
        <x:v>Campus=55; Ratio=2.9; Prodi=60; RelDemand=19.5; Capacity=72.5</x:v>
      </x:c>
    </x:row>
    <x:row r="2812">
      <x:c r="A2812" t="n">
        <x:v>2809</x:v>
      </x:c>
      <x:c r="B2812" t="str">
        <x:v>PTN Akademik</x:v>
      </x:c>
      <x:c r="C2812" t="str">
        <x:v>INSTITUT TEKNOLOGI KALIMANTAN</x:v>
      </x:c>
      <x:c r="D2812" t="str">
        <x:v>BISNIS DIGITAL</x:v>
      </x:c>
      <x:c r="E2812" t="str">
        <x:v>Sarjana</x:v>
      </x:c>
      <x:c r="F2812" s="18" t="n">
        <x:v>65</x:v>
      </x:c>
      <x:c r="G2812" s="18" t="n">
        <x:v>279</x:v>
      </x:c>
      <x:c r="H2812" s="19" t="n">
        <x:v>4.292307692307692</x:v>
      </x:c>
      <x:c r="I2812" s="18" t="n">
        <x:f>ROUND(MIN(Model_Config_v3!$B$6,MAX(Q2812,R2812,S2812*Model_Config_v3!$B$4+T2812*Model_Config_v3!$B$5)),0)</x:f>
        <x:v>644</x:v>
      </x:c>
      <x:c r="J2812" s="18" t="n">
        <x:f>MIN(Model_Config_v3!$B$6,I2812+Model_Config_v3!$B$7)</x:f>
        <x:v>664</x:v>
      </x:c>
      <x:c r="K2812" s="20" t="n">
        <x:v>53.6</x:v>
      </x:c>
      <x:c r="L2812" t="str">
        <x:v>MENENGAH</x:v>
      </x:c>
      <x:c r="M2812" t="str">
        <x:v>SEDANG+</x:v>
      </x:c>
      <x:c r="N2812" t="str">
        <x:v>REGULER</x:v>
      </x:c>
      <x:c r="O2812" t="str">
        <x:v>SOSHUM</x:v>
      </x:c>
      <x:c r="P2812" t="str">
        <x:v>BISNIS/EKONOMI/AKUNTANSI</x:v>
      </x:c>
      <x:c r="Q2812" s="18" t="n">
        <x:v>0</x:v>
      </x:c>
      <x:c r="R2812" s="18" t="n">
        <x:v>0</x:v>
      </x:c>
      <x:c r="S2812" s="18" t="n">
        <x:v>589.5959931293817</x:v>
      </x:c>
      <x:c r="T2812" s="18" t="n">
        <x:v>667</x:v>
      </x:c>
      <x:c r="U2812" s="18" t="n">
        <x:v>604.5959931293817</x:v>
      </x:c>
      <x:c r="V2812" s="20" t="n">
        <x:v>4.4</x:v>
      </x:c>
      <x:c r="W2812" s="20" t="n">
        <x:v>14.3</x:v>
      </x:c>
      <x:c r="X2812" s="20" t="n">
        <x:v>3.3</x:v>
      </x:c>
      <x:c r="Y2812" t="str">
        <x:v>Basis arsip 2025/2024</x:v>
      </x:c>
      <x:c r="Z2812" t="str">
        <x:v>https://snpmb.id/utbk-snbt/daya-tampung-snbt</x:v>
      </x:c>
      <x:c r="AA2812" t="str">
        <x:v>Tidak Ada</x:v>
      </x:c>
      <x:c r="AB2812" t="str">
        <x:v>Campus=55; Ratio=37.2; Prodi=65; RelDemand=74.5; Capacity=45.8</x:v>
      </x:c>
    </x:row>
    <x:row r="2813">
      <x:c r="A2813" t="n">
        <x:v>2810</x:v>
      </x:c>
      <x:c r="B2813" t="str">
        <x:v>PTN Akademik</x:v>
      </x:c>
      <x:c r="C2813" t="str">
        <x:v>INSTITUT TEKNOLOGI KALIMANTAN</x:v>
      </x:c>
      <x:c r="D2813" t="str">
        <x:v>REKAYASA KESELAMATAN</x:v>
      </x:c>
      <x:c r="E2813" t="str">
        <x:v>Sarjana</x:v>
      </x:c>
      <x:c r="F2813" s="18" t="n">
        <x:v>70</x:v>
      </x:c>
      <x:c r="G2813" s="18" t="n">
        <x:v>411</x:v>
      </x:c>
      <x:c r="H2813" s="19" t="n">
        <x:v>5.871428571428571</x:v>
      </x:c>
      <x:c r="I2813" s="18" t="n">
        <x:f>ROUND(MIN(Model_Config_v3!$B$6,MAX(Q2813,R2813,S2813*Model_Config_v3!$B$4+T2813*Model_Config_v3!$B$5)),0)</x:f>
        <x:v>647</x:v>
      </x:c>
      <x:c r="J2813" s="18" t="n">
        <x:f>MIN(Model_Config_v3!$B$6,I2813+Model_Config_v3!$B$7)</x:f>
        <x:v>667</x:v>
      </x:c>
      <x:c r="K2813" s="20" t="n">
        <x:v>52.7</x:v>
      </x:c>
      <x:c r="L2813" t="str">
        <x:v>MENENGAH</x:v>
      </x:c>
      <x:c r="M2813" t="str">
        <x:v>SEDANG</x:v>
      </x:c>
      <x:c r="N2813" t="str">
        <x:v>REGULER</x:v>
      </x:c>
      <x:c r="O2813" t="str">
        <x:v>CAMPURAN</x:v>
      </x:c>
      <x:c r="P2813" t="str">
        <x:v>UMUM</x:v>
      </x:c>
      <x:c r="Q2813" s="18" t="n">
        <x:v>0</x:v>
      </x:c>
      <x:c r="R2813" s="18" t="n">
        <x:v>0</x:v>
      </x:c>
      <x:c r="S2813" s="18" t="n">
        <x:v>604.5618160047993</x:v>
      </x:c>
      <x:c r="T2813" s="18" t="n">
        <x:v>665</x:v>
      </x:c>
      <x:c r="U2813" s="18" t="n">
        <x:v>604.5618160047993</x:v>
      </x:c>
      <x:c r="V2813" s="20" t="n">
        <x:v>8.8</x:v>
      </x:c>
      <x:c r="W2813" s="20" t="n">
        <x:v>9.9</x:v>
      </x:c>
      <x:c r="X2813" s="20" t="n">
        <x:v>3.3</x:v>
      </x:c>
      <x:c r="Y2813" t="str">
        <x:v>Basis arsip 2025/2024</x:v>
      </x:c>
      <x:c r="Z2813" t="str">
        <x:v>https://snpmb.id/utbk-snbt/daya-tampung-snbt</x:v>
      </x:c>
      <x:c r="AA2813" t="str">
        <x:v>Tidak Ada</x:v>
      </x:c>
      <x:c r="AB2813" t="str">
        <x:v>Campus=55; Ratio=45.2; Prodi=40; RelDemand=100.0; Capacity=41.7</x:v>
      </x:c>
    </x:row>
    <x:row r="2814">
      <x:c r="A2814" t="n">
        <x:v>2811</x:v>
      </x:c>
      <x:c r="B2814" t="str">
        <x:v>PTN Akademik</x:v>
      </x:c>
      <x:c r="C2814" t="str">
        <x:v>INSTITUT TEKNOLOGI KALIMANTAN</x:v>
      </x:c>
      <x:c r="D2814" t="str">
        <x:v>TEKNOLOGI PANGAN</x:v>
      </x:c>
      <x:c r="E2814" t="str">
        <x:v>Sarjana</x:v>
      </x:c>
      <x:c r="F2814" s="18" t="n">
        <x:v>55</x:v>
      </x:c>
      <x:c r="G2814" s="18" t="n">
        <x:v>110</x:v>
      </x:c>
      <x:c r="H2814" s="19" t="n">
        <x:v>2</x:v>
      </x:c>
      <x:c r="I2814" s="18" t="n">
        <x:f>ROUND(MIN(Model_Config_v3!$B$6,MAX(Q2814,R2814,S2814*Model_Config_v3!$B$4+T2814*Model_Config_v3!$B$5)),0)</x:f>
        <x:v>615</x:v>
      </x:c>
      <x:c r="J2814" s="18" t="n">
        <x:f>MIN(Model_Config_v3!$B$6,I2814+Model_Config_v3!$B$7)</x:f>
        <x:v>635</x:v>
      </x:c>
      <x:c r="K2814" s="20" t="n">
        <x:v>40.6</x:v>
      </x:c>
      <x:c r="L2814" t="str">
        <x:v>RELATIF LONGGAR</x:v>
      </x:c>
      <x:c r="M2814" t="str">
        <x:v>SEDANG</x:v>
      </x:c>
      <x:c r="N2814" t="str">
        <x:v>REGULER</x:v>
      </x:c>
      <x:c r="O2814" t="str">
        <x:v>SAINTEK</x:v>
      </x:c>
      <x:c r="P2814" t="str">
        <x:v>UMUM</x:v>
      </x:c>
      <x:c r="Q2814" s="18" t="n">
        <x:v>0</x:v>
      </x:c>
      <x:c r="R2814" s="18" t="n">
        <x:v>0</x:v>
      </x:c>
      <x:c r="S2814" s="18" t="n">
        <x:v>553.1132995230379</x:v>
      </x:c>
      <x:c r="T2814" s="18" t="n">
        <x:v>641</x:v>
      </x:c>
      <x:c r="U2814" s="18" t="n">
        <x:v>553.1132995230379</x:v>
      </x:c>
      <x:c r="V2814" s="20" t="n">
        <x:v>12</x:v>
      </x:c>
      <x:c r="W2814" s="20" t="n">
        <x:v>5</x:v>
      </x:c>
      <x:c r="X2814" s="20" t="n">
        <x:v>3</x:v>
      </x:c>
      <x:c r="Y2814" t="str">
        <x:v>Basis arsip 2025/2024</x:v>
      </x:c>
      <x:c r="Z2814" t="str">
        <x:v>https://snpmb.id/utbk-snbt/daya-tampung-snbt</x:v>
      </x:c>
      <x:c r="AA2814" t="str">
        <x:v>Tidak Ada</x:v>
      </x:c>
      <x:c r="AB2814" t="str">
        <x:v>Campus=55; Ratio=17.7; Prodi=40; RelDemand=34.7; Capacity=54.2</x:v>
      </x:c>
    </x:row>
    <x:row r="2815">
      <x:c r="A2815" t="n">
        <x:v>2812</x:v>
      </x:c>
      <x:c r="B2815" t="str">
        <x:v>PTN Akademik</x:v>
      </x:c>
      <x:c r="C2815" t="str">
        <x:v>INSTITUT TEKNOLOGI KALIMANTAN</x:v>
      </x:c>
      <x:c r="D2815" t="str">
        <x:v>TEKNIK LOGISTIK</x:v>
      </x:c>
      <x:c r="E2815" t="str">
        <x:v>Sarjana</x:v>
      </x:c>
      <x:c r="F2815" s="18" t="n">
        <x:v>55</x:v>
      </x:c>
      <x:c r="G2815" s="18" t="n">
        <x:v>108</x:v>
      </x:c>
      <x:c r="H2815" s="19" t="n">
        <x:v>1.9636363636363636</x:v>
      </x:c>
      <x:c r="I2815" s="18" t="n">
        <x:f>ROUND(MIN(Model_Config_v3!$B$6,MAX(Q2815,R2815,S2815*Model_Config_v3!$B$4+T2815*Model_Config_v3!$B$5)),0)</x:f>
        <x:v>620</x:v>
      </x:c>
      <x:c r="J2815" s="18" t="n">
        <x:f>MIN(Model_Config_v3!$B$6,I2815+Model_Config_v3!$B$7)</x:f>
        <x:v>640</x:v>
      </x:c>
      <x:c r="K2815" s="20" t="n">
        <x:v>44.4</x:v>
      </x:c>
      <x:c r="L2815" t="str">
        <x:v>RELATIF LONGGAR</x:v>
      </x:c>
      <x:c r="M2815" t="str">
        <x:v>SEDANG+</x:v>
      </x:c>
      <x:c r="N2815" t="str">
        <x:v>REGULER</x:v>
      </x:c>
      <x:c r="O2815" t="str">
        <x:v>SAINTEK</x:v>
      </x:c>
      <x:c r="P2815" t="str">
        <x:v>TEKNIK/ARSITEKTUR/STATISTIKA/AKTUARIA</x:v>
      </x:c>
      <x:c r="Q2815" s="18" t="n">
        <x:v>0</x:v>
      </x:c>
      <x:c r="R2815" s="18" t="n">
        <x:v>0</x:v>
      </x:c>
      <x:c r="S2815" s="18" t="n">
        <x:v>552.2367172591977</x:v>
      </x:c>
      <x:c r="T2815" s="18" t="n">
        <x:v>649</x:v>
      </x:c>
      <x:c r="U2815" s="18" t="n">
        <x:v>562.2367172591977</x:v>
      </x:c>
      <x:c r="V2815" s="20" t="n">
        <x:v>12</x:v>
      </x:c>
      <x:c r="W2815" s="20" t="n">
        <x:v>5</x:v>
      </x:c>
      <x:c r="X2815" s="20" t="n">
        <x:v>3</x:v>
      </x:c>
      <x:c r="Y2815" t="str">
        <x:v>Basis arsip 2025/2024</x:v>
      </x:c>
      <x:c r="Z2815" t="str">
        <x:v>https://snpmb.id/utbk-snbt/daya-tampung-snbt</x:v>
      </x:c>
      <x:c r="AA2815" t="str">
        <x:v>Tidak Ada</x:v>
      </x:c>
      <x:c r="AB2815" t="str">
        <x:v>Campus=55; Ratio=17.2; Prodi=60; RelDemand=34.1; Capacity=54.2</x:v>
      </x:c>
    </x:row>
    <x:row r="2816">
      <x:c r="A2816" t="n">
        <x:v>2813</x:v>
      </x:c>
      <x:c r="B2816" t="str">
        <x:v>PTN Akademik</x:v>
      </x:c>
      <x:c r="C2816" t="str">
        <x:v>INSTITUT TEKNOLOGI KALIMANTAN</x:v>
      </x:c>
      <x:c r="D2816" t="str">
        <x:v>DESAIN KOMUNIKASI VISUAL</x:v>
      </x:c>
      <x:c r="E2816" t="str">
        <x:v>Sarjana</x:v>
      </x:c>
      <x:c r="F2816" s="18" t="n">
        <x:v>45</x:v>
      </x:c>
      <x:c r="G2816" s="18" t="n">
        <x:v>63</x:v>
      </x:c>
      <x:c r="H2816" s="19" t="n">
        <x:v>1.4</x:v>
      </x:c>
      <x:c r="I2816" s="18" t="n">
        <x:f>ROUND(MIN(Model_Config_v3!$B$6,MAX(Q2816,R2816,S2816*Model_Config_v3!$B$4+T2816*Model_Config_v3!$B$5)),0)</x:f>
        <x:v>607</x:v>
      </x:c>
      <x:c r="J2816" s="18" t="n">
        <x:f>MIN(Model_Config_v3!$B$6,I2816+Model_Config_v3!$B$7)</x:f>
        <x:v>627</x:v>
      </x:c>
      <x:c r="K2816" s="20" t="n">
        <x:v>39.1</x:v>
      </x:c>
      <x:c r="L2816" t="str">
        <x:v>RELATIF LONGGAR</x:v>
      </x:c>
      <x:c r="M2816" t="str">
        <x:v>PORTOFOLIO</x:v>
      </x:c>
      <x:c r="N2816" t="str">
        <x:v>REGULER</x:v>
      </x:c>
      <x:c r="O2816" t="str">
        <x:v>SENI/OLAHRAGA</x:v>
      </x:c>
      <x:c r="P2816" t="str">
        <x:v>SENI/OLAHRAGA</x:v>
      </x:c>
      <x:c r="Q2816" s="18" t="n">
        <x:v>0</x:v>
      </x:c>
      <x:c r="R2816" s="18" t="n">
        <x:v>0</x:v>
      </x:c>
      <x:c r="S2816" s="18" t="n">
        <x:v>536.0740839246062</x:v>
      </x:c>
      <x:c r="T2816" s="18" t="n">
        <x:v>638</x:v>
      </x:c>
      <x:c r="U2816" s="18" t="n">
        <x:v>536.0740839246062</x:v>
      </x:c>
      <x:c r="V2816" s="20" t="n">
        <x:v>4.4</x:v>
      </x:c>
      <x:c r="W2816" s="20" t="n">
        <x:v>9.9</x:v>
      </x:c>
      <x:c r="X2816" s="20" t="n">
        <x:v>7.7</x:v>
      </x:c>
      <x:c r="Y2816" t="str">
        <x:v>Basis arsip 2025/2024</x:v>
      </x:c>
      <x:c r="Z2816" t="str">
        <x:v>https://snpmb.id/utbk-snbt/daya-tampung-snbt</x:v>
      </x:c>
      <x:c r="AA2816" t="str">
        <x:v>Seni Rupa, Desain, dan Kriya</x:v>
      </x:c>
      <x:c r="AB2816" t="str">
        <x:v>Campus=55; Ratio=8.6; Prodi=45; RelDemand=24.3; Capacity=62.5</x:v>
      </x:c>
    </x:row>
    <x:row r="2817">
      <x:c r="A2817" t="n">
        <x:v>2814</x:v>
      </x:c>
      <x:c r="B2817" t="str">
        <x:v>PTN Akademik</x:v>
      </x:c>
      <x:c r="C2817" t="str">
        <x:v>UNIVERSITAS BORNEO TARAKAN</x:v>
      </x:c>
      <x:c r="D2817" t="str">
        <x:v>TEKNIK ELEKTRO</x:v>
      </x:c>
      <x:c r="E2817" t="str">
        <x:v>Sarjana</x:v>
      </x:c>
      <x:c r="F2817" s="18" t="n">
        <x:v>32</x:v>
      </x:c>
      <x:c r="G2817" s="18" t="n">
        <x:v>58</x:v>
      </x:c>
      <x:c r="H2817" s="19" t="n">
        <x:v>1.8125</x:v>
      </x:c>
      <x:c r="I2817" s="18" t="n">
        <x:f>ROUND(MIN(Model_Config_v3!$B$6,MAX(Q2817,R2817,S2817*Model_Config_v3!$B$4+T2817*Model_Config_v3!$B$5)),0)</x:f>
        <x:v>619</x:v>
      </x:c>
      <x:c r="J2817" s="18" t="n">
        <x:f>MIN(Model_Config_v3!$B$6,I2817+Model_Config_v3!$B$7)</x:f>
        <x:v>639</x:v>
      </x:c>
      <x:c r="K2817" s="20" t="n">
        <x:v>44.6</x:v>
      </x:c>
      <x:c r="L2817" t="str">
        <x:v>RELATIF LONGGAR</x:v>
      </x:c>
      <x:c r="M2817" t="str">
        <x:v>SEDANG+</x:v>
      </x:c>
      <x:c r="N2817" t="str">
        <x:v>REGULER</x:v>
      </x:c>
      <x:c r="O2817" t="str">
        <x:v>SAINTEK</x:v>
      </x:c>
      <x:c r="P2817" t="str">
        <x:v>TEKNIK/ARSITEKTUR/STATISTIKA/AKTUARIA</x:v>
      </x:c>
      <x:c r="Q2817" s="18" t="n">
        <x:v>0</x:v>
      </x:c>
      <x:c r="R2817" s="18" t="n">
        <x:v>0</x:v>
      </x:c>
      <x:c r="S2817" s="18" t="n">
        <x:v>548.4105816767335</x:v>
      </x:c>
      <x:c r="T2817" s="18" t="n">
        <x:v>649</x:v>
      </x:c>
      <x:c r="U2817" s="18" t="n">
        <x:v>558.4105816767335</x:v>
      </x:c>
      <x:c r="V2817" s="20" t="n">
        <x:v>12</x:v>
      </x:c>
      <x:c r="W2817" s="20" t="n">
        <x:v>5</x:v>
      </x:c>
      <x:c r="X2817" s="20" t="n">
        <x:v>3</x:v>
      </x:c>
      <x:c r="Y2817" t="str">
        <x:v>Basis arsip 2025/2024</x:v>
      </x:c>
      <x:c r="Z2817" t="str">
        <x:v>https://snpmb.id/utbk-snbt/daya-tampung-snbt</x:v>
      </x:c>
      <x:c r="AA2817" t="str">
        <x:v>Tidak Ada</x:v>
      </x:c>
      <x:c r="AB2817" t="str">
        <x:v>Campus=55; Ratio=15.2; Prodi=60; RelDemand=22.0; Capacity=73.3</x:v>
      </x:c>
    </x:row>
    <x:row r="2818">
      <x:c r="A2818" t="n">
        <x:v>2815</x:v>
      </x:c>
      <x:c r="B2818" t="str">
        <x:v>PTN Akademik</x:v>
      </x:c>
      <x:c r="C2818" t="str">
        <x:v>UNIVERSITAS BORNEO TARAKAN</x:v>
      </x:c>
      <x:c r="D2818" t="str">
        <x:v>TEKNIK SIPIL</x:v>
      </x:c>
      <x:c r="E2818" t="str">
        <x:v>Sarjana</x:v>
      </x:c>
      <x:c r="F2818" s="18" t="n">
        <x:v>47</x:v>
      </x:c>
      <x:c r="G2818" s="18" t="n">
        <x:v>140</x:v>
      </x:c>
      <x:c r="H2818" s="19" t="n">
        <x:v>2.978723404255319</x:v>
      </x:c>
      <x:c r="I2818" s="18" t="n">
        <x:f>ROUND(MIN(Model_Config_v3!$B$6,MAX(Q2818,R2818,S2818*Model_Config_v3!$B$4+T2818*Model_Config_v3!$B$5)),0)</x:f>
        <x:v>631</x:v>
      </x:c>
      <x:c r="J2818" s="18" t="n">
        <x:f>MIN(Model_Config_v3!$B$6,I2818+Model_Config_v3!$B$7)</x:f>
        <x:v>651</x:v>
      </x:c>
      <x:c r="K2818" s="20" t="n">
        <x:v>47.9</x:v>
      </x:c>
      <x:c r="L2818" t="str">
        <x:v>MENENGAH</x:v>
      </x:c>
      <x:c r="M2818" t="str">
        <x:v>SEDANG+</x:v>
      </x:c>
      <x:c r="N2818" t="str">
        <x:v>REGULER</x:v>
      </x:c>
      <x:c r="O2818" t="str">
        <x:v>SAINTEK</x:v>
      </x:c>
      <x:c r="P2818" t="str">
        <x:v>TEKNIK/ARSITEKTUR/STATISTIKA/AKTUARIA</x:v>
      </x:c>
      <x:c r="Q2818" s="18" t="n">
        <x:v>0</x:v>
      </x:c>
      <x:c r="R2818" s="18" t="n">
        <x:v>0</x:v>
      </x:c>
      <x:c r="S2818" s="18" t="n">
        <x:v>572.1433195516772</x:v>
      </x:c>
      <x:c r="T2818" s="18" t="n">
        <x:v>656</x:v>
      </x:c>
      <x:c r="U2818" s="18" t="n">
        <x:v>582.1433195516772</x:v>
      </x:c>
      <x:c r="V2818" s="20" t="n">
        <x:v>12</x:v>
      </x:c>
      <x:c r="W2818" s="20" t="n">
        <x:v>5</x:v>
      </x:c>
      <x:c r="X2818" s="20" t="n">
        <x:v>3</x:v>
      </x:c>
      <x:c r="Y2818" t="str">
        <x:v>Basis arsip 2025/2024</x:v>
      </x:c>
      <x:c r="Z2818" t="str">
        <x:v>https://snpmb.id/utbk-snbt/daya-tampung-snbt</x:v>
      </x:c>
      <x:c r="AA2818" t="str">
        <x:v>Tidak Ada</x:v>
      </x:c>
      <x:c r="AB2818" t="str">
        <x:v>Campus=55; Ratio=27.9; Prodi=60; RelDemand=36.1; Capacity=60.8</x:v>
      </x:c>
    </x:row>
    <x:row r="2819">
      <x:c r="A2819" t="n">
        <x:v>2816</x:v>
      </x:c>
      <x:c r="B2819" t="str">
        <x:v>PTN Akademik</x:v>
      </x:c>
      <x:c r="C2819" t="str">
        <x:v>UNIVERSITAS BORNEO TARAKAN</x:v>
      </x:c>
      <x:c r="D2819" t="str">
        <x:v>AGRIBISNIS</x:v>
      </x:c>
      <x:c r="E2819" t="str">
        <x:v>Sarjana</x:v>
      </x:c>
      <x:c r="F2819" s="18" t="n">
        <x:v>54</x:v>
      </x:c>
      <x:c r="G2819" s="18" t="n">
        <x:v>57</x:v>
      </x:c>
      <x:c r="H2819" s="19" t="n">
        <x:v>1.0555555555555556</x:v>
      </x:c>
      <x:c r="I2819" s="18" t="n">
        <x:f>ROUND(MIN(Model_Config_v3!$B$6,MAX(Q2819,R2819,S2819*Model_Config_v3!$B$4+T2819*Model_Config_v3!$B$5)),0)</x:f>
        <x:v>604</x:v>
      </x:c>
      <x:c r="J2819" s="18" t="n">
        <x:f>MIN(Model_Config_v3!$B$6,I2819+Model_Config_v3!$B$7)</x:f>
        <x:v>624</x:v>
      </x:c>
      <x:c r="K2819" s="20" t="n">
        <x:v>39.4</x:v>
      </x:c>
      <x:c r="L2819" t="str">
        <x:v>RELATIF LONGGAR</x:v>
      </x:c>
      <x:c r="M2819" t="str">
        <x:v>SEDANG+</x:v>
      </x:c>
      <x:c r="N2819" t="str">
        <x:v>REGULER</x:v>
      </x:c>
      <x:c r="O2819" t="str">
        <x:v>SOSHUM</x:v>
      </x:c>
      <x:c r="P2819" t="str">
        <x:v>BISNIS/EKONOMI/AKUNTANSI</x:v>
      </x:c>
      <x:c r="Q2819" s="18" t="n">
        <x:v>0</x:v>
      </x:c>
      <x:c r="R2819" s="18" t="n">
        <x:v>0</x:v>
      </x:c>
      <x:c r="S2819" s="18" t="n">
        <x:v>522.5829205434475</x:v>
      </x:c>
      <x:c r="T2819" s="18" t="n">
        <x:v>639</x:v>
      </x:c>
      <x:c r="U2819" s="18" t="n">
        <x:v>537.5829205434475</x:v>
      </x:c>
      <x:c r="V2819" s="20" t="n">
        <x:v>4.4</x:v>
      </x:c>
      <x:c r="W2819" s="20" t="n">
        <x:v>14.3</x:v>
      </x:c>
      <x:c r="X2819" s="20" t="n">
        <x:v>3.3</x:v>
      </x:c>
      <x:c r="Y2819" t="str">
        <x:v>Basis arsip 2025/2024</x:v>
      </x:c>
      <x:c r="Z2819" t="str">
        <x:v>https://snpmb.id/utbk-snbt/daya-tampung-snbt</x:v>
      </x:c>
      <x:c r="AA2819" t="str">
        <x:v>Tidak Ada</x:v>
      </x:c>
      <x:c r="AB2819" t="str">
        <x:v>Campus=55; Ratio=1.4; Prodi=65; RelDemand=12.8; Capacity=55.0</x:v>
      </x:c>
    </x:row>
    <x:row r="2820">
      <x:c r="A2820" t="n">
        <x:v>2817</x:v>
      </x:c>
      <x:c r="B2820" t="str">
        <x:v>PTN Akademik</x:v>
      </x:c>
      <x:c r="C2820" t="str">
        <x:v>UNIVERSITAS BORNEO TARAKAN</x:v>
      </x:c>
      <x:c r="D2820" t="str">
        <x:v>AGROTEKNOLOGI</x:v>
      </x:c>
      <x:c r="E2820" t="str">
        <x:v>Sarjana</x:v>
      </x:c>
      <x:c r="F2820" s="18" t="n">
        <x:v>38</x:v>
      </x:c>
      <x:c r="G2820" s="18" t="n">
        <x:v>33</x:v>
      </x:c>
      <x:c r="H2820" s="19" t="n">
        <x:v>0.868421052631579</x:v>
      </x:c>
      <x:c r="I2820" s="18" t="n">
        <x:f>ROUND(MIN(Model_Config_v3!$B$6,MAX(Q2820,R2820,S2820*Model_Config_v3!$B$4+T2820*Model_Config_v3!$B$5)),0)</x:f>
        <x:v>597</x:v>
      </x:c>
      <x:c r="J2820" s="18" t="n">
        <x:f>MIN(Model_Config_v3!$B$6,I2820+Model_Config_v3!$B$7)</x:f>
        <x:v>617</x:v>
      </x:c>
      <x:c r="K2820" s="20" t="n">
        <x:v>35.1</x:v>
      </x:c>
      <x:c r="L2820" t="str">
        <x:v>RELATIF LONGGAR</x:v>
      </x:c>
      <x:c r="M2820" t="str">
        <x:v>SEDANG</x:v>
      </x:c>
      <x:c r="N2820" t="str">
        <x:v>REGULER</x:v>
      </x:c>
      <x:c r="O2820" t="str">
        <x:v>SAINTEK</x:v>
      </x:c>
      <x:c r="P2820" t="str">
        <x:v>UMUM</x:v>
      </x:c>
      <x:c r="Q2820" s="18" t="n">
        <x:v>0</x:v>
      </x:c>
      <x:c r="R2820" s="18" t="n">
        <x:v>0</x:v>
      </x:c>
      <x:c r="S2820" s="18" t="n">
        <x:v>520</x:v>
      </x:c>
      <x:c r="T2820" s="18" t="n">
        <x:v>630</x:v>
      </x:c>
      <x:c r="U2820" s="18" t="n">
        <x:v>520</x:v>
      </x:c>
      <x:c r="V2820" s="20" t="n">
        <x:v>12</x:v>
      </x:c>
      <x:c r="W2820" s="20" t="n">
        <x:v>5</x:v>
      </x:c>
      <x:c r="X2820" s="20" t="n">
        <x:v>3</x:v>
      </x:c>
      <x:c r="Y2820" t="str">
        <x:v>Basis arsip 2025/2024</x:v>
      </x:c>
      <x:c r="Z2820" t="str">
        <x:v>https://snpmb.id/utbk-snbt/daya-tampung-snbt</x:v>
      </x:c>
      <x:c r="AA2820" t="str">
        <x:v>Tidak Ada</x:v>
      </x:c>
      <x:c r="AB2820" t="str">
        <x:v>Campus=55; Ratio=0.0; Prodi=40; RelDemand=10.5; Capacity=68.3</x:v>
      </x:c>
    </x:row>
    <x:row r="2821">
      <x:c r="A2821" t="n">
        <x:v>2818</x:v>
      </x:c>
      <x:c r="B2821" t="str">
        <x:v>PTN Akademik</x:v>
      </x:c>
      <x:c r="C2821" t="str">
        <x:v>UNIVERSITAS BORNEO TARAKAN</x:v>
      </x:c>
      <x:c r="D2821" t="str">
        <x:v>PENDIDIKAN MATEMATIKA</x:v>
      </x:c>
      <x:c r="E2821" t="str">
        <x:v>Sarjana</x:v>
      </x:c>
      <x:c r="F2821" s="18" t="n">
        <x:v>37</x:v>
      </x:c>
      <x:c r="G2821" s="18" t="n">
        <x:v>31</x:v>
      </x:c>
      <x:c r="H2821" s="19" t="n">
        <x:v>0.8378378378378378</x:v>
      </x:c>
      <x:c r="I2821" s="18" t="n">
        <x:f>ROUND(MIN(Model_Config_v3!$B$6,MAX(Q2821,R2821,S2821*Model_Config_v3!$B$4+T2821*Model_Config_v3!$B$5)),0)</x:f>
        <x:v>598</x:v>
      </x:c>
      <x:c r="J2821" s="18" t="n">
        <x:f>MIN(Model_Config_v3!$B$6,I2821+Model_Config_v3!$B$7)</x:f>
        <x:v>618</x:v>
      </x:c>
      <x:c r="K2821" s="20" t="n">
        <x:v>36.2</x:v>
      </x:c>
      <x:c r="L2821" t="str">
        <x:v>RELATIF LONGGAR</x:v>
      </x:c>
      <x:c r="M2821" t="str">
        <x:v>SEDANG+</x:v>
      </x:c>
      <x:c r="N2821" t="str">
        <x:v>REGULER</x:v>
      </x:c>
      <x:c r="O2821" t="str">
        <x:v>SAINTEK</x:v>
      </x:c>
      <x:c r="P2821" t="str">
        <x:v>PENDIDIKAN</x:v>
      </x:c>
      <x:c r="Q2821" s="18" t="n">
        <x:v>0</x:v>
      </x:c>
      <x:c r="R2821" s="18" t="n">
        <x:v>0</x:v>
      </x:c>
      <x:c r="S2821" s="18" t="n">
        <x:v>520</x:v>
      </x:c>
      <x:c r="T2821" s="18" t="n">
        <x:v>632</x:v>
      </x:c>
      <x:c r="U2821" s="18" t="n">
        <x:v>520</x:v>
      </x:c>
      <x:c r="V2821" s="20" t="n">
        <x:v>12</x:v>
      </x:c>
      <x:c r="W2821" s="20" t="n">
        <x:v>5</x:v>
      </x:c>
      <x:c r="X2821" s="20" t="n">
        <x:v>3</x:v>
      </x:c>
      <x:c r="Y2821" t="str">
        <x:v>Basis arsip 2025/2024</x:v>
      </x:c>
      <x:c r="Z2821" t="str">
        <x:v>https://snpmb.id/utbk-snbt/daya-tampung-snbt</x:v>
      </x:c>
      <x:c r="AA2821" t="str">
        <x:v>Tidak Ada</x:v>
      </x:c>
      <x:c r="AB2821" t="str">
        <x:v>Campus=55; Ratio=0.0; Prodi=45; RelDemand=10.1; Capacity=69.2</x:v>
      </x:c>
    </x:row>
    <x:row r="2822">
      <x:c r="A2822" t="n">
        <x:v>2819</x:v>
      </x:c>
      <x:c r="B2822" t="str">
        <x:v>PTN Akademik</x:v>
      </x:c>
      <x:c r="C2822" t="str">
        <x:v>UNIVERSITAS BORNEO TARAKAN</x:v>
      </x:c>
      <x:c r="D2822" t="str">
        <x:v>PENDIDIKAN BIOLOGI</x:v>
      </x:c>
      <x:c r="E2822" t="str">
        <x:v>Sarjana</x:v>
      </x:c>
      <x:c r="F2822" s="18" t="n">
        <x:v>37</x:v>
      </x:c>
      <x:c r="G2822" s="18" t="n">
        <x:v>43</x:v>
      </x:c>
      <x:c r="H2822" s="19" t="n">
        <x:v>1.162162162162162</x:v>
      </x:c>
      <x:c r="I2822" s="18" t="n">
        <x:f>ROUND(MIN(Model_Config_v3!$B$6,MAX(Q2822,R2822,S2822*Model_Config_v3!$B$4+T2822*Model_Config_v3!$B$5)),0)</x:f>
        <x:v>603</x:v>
      </x:c>
      <x:c r="J2822" s="18" t="n">
        <x:f>MIN(Model_Config_v3!$B$6,I2822+Model_Config_v3!$B$7)</x:f>
        <x:v>623</x:v>
      </x:c>
      <x:c r="K2822" s="20" t="n">
        <x:v>37.5</x:v>
      </x:c>
      <x:c r="L2822" t="str">
        <x:v>RELATIF LONGGAR</x:v>
      </x:c>
      <x:c r="M2822" t="str">
        <x:v>SEDANG+</x:v>
      </x:c>
      <x:c r="N2822" t="str">
        <x:v>REGULER</x:v>
      </x:c>
      <x:c r="O2822" t="str">
        <x:v>SAINTEK</x:v>
      </x:c>
      <x:c r="P2822" t="str">
        <x:v>PENDIDIKAN</x:v>
      </x:c>
      <x:c r="Q2822" s="18" t="n">
        <x:v>0</x:v>
      </x:c>
      <x:c r="R2822" s="18" t="n">
        <x:v>0</x:v>
      </x:c>
      <x:c r="S2822" s="18" t="n">
        <x:v>527.179340466385</x:v>
      </x:c>
      <x:c r="T2822" s="18" t="n">
        <x:v>635</x:v>
      </x:c>
      <x:c r="U2822" s="18" t="n">
        <x:v>527.179340466385</x:v>
      </x:c>
      <x:c r="V2822" s="20" t="n">
        <x:v>12</x:v>
      </x:c>
      <x:c r="W2822" s="20" t="n">
        <x:v>5</x:v>
      </x:c>
      <x:c r="X2822" s="20" t="n">
        <x:v>3</x:v>
      </x:c>
      <x:c r="Y2822" t="str">
        <x:v>Basis arsip 2025/2024</x:v>
      </x:c>
      <x:c r="Z2822" t="str">
        <x:v>https://snpmb.id/utbk-snbt/daya-tampung-snbt</x:v>
      </x:c>
      <x:c r="AA2822" t="str">
        <x:v>Tidak Ada</x:v>
      </x:c>
      <x:c r="AB2822" t="str">
        <x:v>Campus=55; Ratio=3.8; Prodi=45; RelDemand=14.1; Capacity=69.2</x:v>
      </x:c>
    </x:row>
    <x:row r="2823">
      <x:c r="A2823" t="n">
        <x:v>2820</x:v>
      </x:c>
      <x:c r="B2823" t="str">
        <x:v>PTN Akademik</x:v>
      </x:c>
      <x:c r="C2823" t="str">
        <x:v>UNIVERSITAS BORNEO TARAKAN</x:v>
      </x:c>
      <x:c r="D2823" t="str">
        <x:v>MANAJEMEN SUMBER DAYA PERAIRAN</x:v>
      </x:c>
      <x:c r="E2823" t="str">
        <x:v>Sarjana</x:v>
      </x:c>
      <x:c r="F2823" s="18" t="n">
        <x:v>36</x:v>
      </x:c>
      <x:c r="G2823" s="18" t="n">
        <x:v>23</x:v>
      </x:c>
      <x:c r="H2823" s="19" t="n">
        <x:v>0.6388888888888888</x:v>
      </x:c>
      <x:c r="I2823" s="18" t="n">
        <x:f>ROUND(MIN(Model_Config_v3!$B$6,MAX(Q2823,R2823,S2823*Model_Config_v3!$B$4+T2823*Model_Config_v3!$B$5)),0)</x:f>
        <x:v>604</x:v>
      </x:c>
      <x:c r="J2823" s="18" t="n">
        <x:f>MIN(Model_Config_v3!$B$6,I2823+Model_Config_v3!$B$7)</x:f>
        <x:v>624</x:v>
      </x:c>
      <x:c r="K2823" s="20" t="n">
        <x:v>40</x:v>
      </x:c>
      <x:c r="L2823" t="str">
        <x:v>RELATIF LONGGAR</x:v>
      </x:c>
      <x:c r="M2823" t="str">
        <x:v>SEDANG+</x:v>
      </x:c>
      <x:c r="N2823" t="str">
        <x:v>REGULER</x:v>
      </x:c>
      <x:c r="O2823" t="str">
        <x:v>SOSHUM</x:v>
      </x:c>
      <x:c r="P2823" t="str">
        <x:v>BISNIS/EKONOMI/AKUNTANSI</x:v>
      </x:c>
      <x:c r="Q2823" s="18" t="n">
        <x:v>0</x:v>
      </x:c>
      <x:c r="R2823" s="18" t="n">
        <x:v>0</x:v>
      </x:c>
      <x:c r="S2823" s="18" t="n">
        <x:v>520</x:v>
      </x:c>
      <x:c r="T2823" s="18" t="n">
        <x:v>640</x:v>
      </x:c>
      <x:c r="U2823" s="18" t="n">
        <x:v>535</x:v>
      </x:c>
      <x:c r="V2823" s="20" t="n">
        <x:v>4.4</x:v>
      </x:c>
      <x:c r="W2823" s="20" t="n">
        <x:v>14.3</x:v>
      </x:c>
      <x:c r="X2823" s="20" t="n">
        <x:v>3.3</x:v>
      </x:c>
      <x:c r="Y2823" t="str">
        <x:v>Basis arsip 2025/2024</x:v>
      </x:c>
      <x:c r="Z2823" t="str">
        <x:v>https://snpmb.id/utbk-snbt/daya-tampung-snbt</x:v>
      </x:c>
      <x:c r="AA2823" t="str">
        <x:v>Tidak Ada</x:v>
      </x:c>
      <x:c r="AB2823" t="str">
        <x:v>Campus=55; Ratio=0.0; Prodi=65; RelDemand=7.7; Capacity=70.0</x:v>
      </x:c>
    </x:row>
    <x:row r="2824">
      <x:c r="A2824" t="n">
        <x:v>2821</x:v>
      </x:c>
      <x:c r="B2824" t="str">
        <x:v>PTN Akademik</x:v>
      </x:c>
      <x:c r="C2824" t="str">
        <x:v>UNIVERSITAS BORNEO TARAKAN</x:v>
      </x:c>
      <x:c r="D2824" t="str">
        <x:v>AKUAKULTUR</x:v>
      </x:c>
      <x:c r="E2824" t="str">
        <x:v>Sarjana</x:v>
      </x:c>
      <x:c r="F2824" s="18" t="n">
        <x:v>36</x:v>
      </x:c>
      <x:c r="G2824" s="18" t="n">
        <x:v>19</x:v>
      </x:c>
      <x:c r="H2824" s="19" t="n">
        <x:v>0.5277777777777778</x:v>
      </x:c>
      <x:c r="I2824" s="18" t="n">
        <x:f>ROUND(MIN(Model_Config_v3!$B$6,MAX(Q2824,R2824,S2824*Model_Config_v3!$B$4+T2824*Model_Config_v3!$B$5)),0)</x:f>
        <x:v>597</x:v>
      </x:c>
      <x:c r="J2824" s="18" t="n">
        <x:f>MIN(Model_Config_v3!$B$6,I2824+Model_Config_v3!$B$7)</x:f>
        <x:v>617</x:v>
      </x:c>
      <x:c r="K2824" s="20" t="n">
        <x:v>34.9</x:v>
      </x:c>
      <x:c r="L2824" t="str">
        <x:v>RELATIF LONGGAR</x:v>
      </x:c>
      <x:c r="M2824" t="str">
        <x:v>SEDANG</x:v>
      </x:c>
      <x:c r="N2824" t="str">
        <x:v>REGULER</x:v>
      </x:c>
      <x:c r="O2824" t="str">
        <x:v>CAMPURAN</x:v>
      </x:c>
      <x:c r="P2824" t="str">
        <x:v>UMUM</x:v>
      </x:c>
      <x:c r="Q2824" s="18" t="n">
        <x:v>0</x:v>
      </x:c>
      <x:c r="R2824" s="18" t="n">
        <x:v>0</x:v>
      </x:c>
      <x:c r="S2824" s="18" t="n">
        <x:v>520</x:v>
      </x:c>
      <x:c r="T2824" s="18" t="n">
        <x:v>630</x:v>
      </x:c>
      <x:c r="U2824" s="18" t="n">
        <x:v>520</x:v>
      </x:c>
      <x:c r="V2824" s="20" t="n">
        <x:v>8.8</x:v>
      </x:c>
      <x:c r="W2824" s="20" t="n">
        <x:v>9.9</x:v>
      </x:c>
      <x:c r="X2824" s="20" t="n">
        <x:v>3.3</x:v>
      </x:c>
      <x:c r="Y2824" t="str">
        <x:v>Basis arsip 2025/2024</x:v>
      </x:c>
      <x:c r="Z2824" t="str">
        <x:v>https://snpmb.id/utbk-snbt/daya-tampung-snbt</x:v>
      </x:c>
      <x:c r="AA2824" t="str">
        <x:v>Tidak Ada</x:v>
      </x:c>
      <x:c r="AB2824" t="str">
        <x:v>Campus=55; Ratio=0.0; Prodi=40; RelDemand=6.4; Capacity=70.0</x:v>
      </x:c>
    </x:row>
    <x:row r="2825">
      <x:c r="A2825" t="n">
        <x:v>2822</x:v>
      </x:c>
      <x:c r="B2825" t="str">
        <x:v>PTN Akademik</x:v>
      </x:c>
      <x:c r="C2825" t="str">
        <x:v>UNIVERSITAS BORNEO TARAKAN</x:v>
      </x:c>
      <x:c r="D2825" t="str">
        <x:v>TEKNOLOGI HASIL PERIKANAN</x:v>
      </x:c>
      <x:c r="E2825" t="str">
        <x:v>Sarjana</x:v>
      </x:c>
      <x:c r="F2825" s="18" t="n">
        <x:v>36</x:v>
      </x:c>
      <x:c r="G2825" s="18" t="n">
        <x:v>19</x:v>
      </x:c>
      <x:c r="H2825" s="19" t="n">
        <x:v>0.5277777777777778</x:v>
      </x:c>
      <x:c r="I2825" s="18" t="n">
        <x:f>ROUND(MIN(Model_Config_v3!$B$6,MAX(Q2825,R2825,S2825*Model_Config_v3!$B$4+T2825*Model_Config_v3!$B$5)),0)</x:f>
        <x:v>597</x:v>
      </x:c>
      <x:c r="J2825" s="18" t="n">
        <x:f>MIN(Model_Config_v3!$B$6,I2825+Model_Config_v3!$B$7)</x:f>
        <x:v>617</x:v>
      </x:c>
      <x:c r="K2825" s="20" t="n">
        <x:v>34.9</x:v>
      </x:c>
      <x:c r="L2825" t="str">
        <x:v>RELATIF LONGGAR</x:v>
      </x:c>
      <x:c r="M2825" t="str">
        <x:v>SEDANG</x:v>
      </x:c>
      <x:c r="N2825" t="str">
        <x:v>REGULER</x:v>
      </x:c>
      <x:c r="O2825" t="str">
        <x:v>SAINTEK</x:v>
      </x:c>
      <x:c r="P2825" t="str">
        <x:v>UMUM</x:v>
      </x:c>
      <x:c r="Q2825" s="18" t="n">
        <x:v>0</x:v>
      </x:c>
      <x:c r="R2825" s="18" t="n">
        <x:v>0</x:v>
      </x:c>
      <x:c r="S2825" s="18" t="n">
        <x:v>520</x:v>
      </x:c>
      <x:c r="T2825" s="18" t="n">
        <x:v>630</x:v>
      </x:c>
      <x:c r="U2825" s="18" t="n">
        <x:v>520</x:v>
      </x:c>
      <x:c r="V2825" s="20" t="n">
        <x:v>12</x:v>
      </x:c>
      <x:c r="W2825" s="20" t="n">
        <x:v>5</x:v>
      </x:c>
      <x:c r="X2825" s="20" t="n">
        <x:v>3</x:v>
      </x:c>
      <x:c r="Y2825" t="str">
        <x:v>Basis arsip 2025/2024</x:v>
      </x:c>
      <x:c r="Z2825" t="str">
        <x:v>https://snpmb.id/utbk-snbt/daya-tampung-snbt</x:v>
      </x:c>
      <x:c r="AA2825" t="str">
        <x:v>Tidak Ada</x:v>
      </x:c>
      <x:c r="AB2825" t="str">
        <x:v>Campus=55; Ratio=0.0; Prodi=40; RelDemand=6.4; Capacity=70.0</x:v>
      </x:c>
    </x:row>
    <x:row r="2826">
      <x:c r="A2826" t="n">
        <x:v>2823</x:v>
      </x:c>
      <x:c r="B2826" t="str">
        <x:v>PTN Akademik</x:v>
      </x:c>
      <x:c r="C2826" t="str">
        <x:v>UNIVERSITAS BORNEO TARAKAN</x:v>
      </x:c>
      <x:c r="D2826" t="str">
        <x:v>TEKNIK MESIN</x:v>
      </x:c>
      <x:c r="E2826" t="str">
        <x:v>Sarjana</x:v>
      </x:c>
      <x:c r="F2826" s="18" t="n">
        <x:v>18</x:v>
      </x:c>
      <x:c r="G2826" s="18" t="n">
        <x:v>53</x:v>
      </x:c>
      <x:c r="H2826" s="19" t="n">
        <x:v>2.9444444444444446</x:v>
      </x:c>
      <x:c r="I2826" s="18" t="n">
        <x:f>ROUND(MIN(Model_Config_v3!$B$6,MAX(Q2826,R2826,S2826*Model_Config_v3!$B$4+T2826*Model_Config_v3!$B$5)),0)</x:f>
        <x:v>633</x:v>
      </x:c>
      <x:c r="J2826" s="18" t="n">
        <x:f>MIN(Model_Config_v3!$B$6,I2826+Model_Config_v3!$B$7)</x:f>
        <x:v>653</x:v>
      </x:c>
      <x:c r="K2826" s="20" t="n">
        <x:v>50.2</x:v>
      </x:c>
      <x:c r="L2826" t="str">
        <x:v>MENENGAH</x:v>
      </x:c>
      <x:c r="M2826" t="str">
        <x:v>SEDANG+</x:v>
      </x:c>
      <x:c r="N2826" t="str">
        <x:v>REGULER</x:v>
      </x:c>
      <x:c r="O2826" t="str">
        <x:v>SAINTEK</x:v>
      </x:c>
      <x:c r="P2826" t="str">
        <x:v>TEKNIK/ARSITEKTUR/STATISTIKA/AKTUARIA</x:v>
      </x:c>
      <x:c r="Q2826" s="18" t="n">
        <x:v>0</x:v>
      </x:c>
      <x:c r="R2826" s="18" t="n">
        <x:v>0</x:v>
      </x:c>
      <x:c r="S2826" s="18" t="n">
        <x:v>571.5903700947231</x:v>
      </x:c>
      <x:c r="T2826" s="18" t="n">
        <x:v>660</x:v>
      </x:c>
      <x:c r="U2826" s="18" t="n">
        <x:v>581.5903700947231</x:v>
      </x:c>
      <x:c r="V2826" s="20" t="n">
        <x:v>12</x:v>
      </x:c>
      <x:c r="W2826" s="20" t="n">
        <x:v>5</x:v>
      </x:c>
      <x:c r="X2826" s="20" t="n">
        <x:v>3</x:v>
      </x:c>
      <x:c r="Y2826" t="str">
        <x:v>Basis arsip 2025/2024</x:v>
      </x:c>
      <x:c r="Z2826" t="str">
        <x:v>https://snpmb.id/utbk-snbt/daya-tampung-snbt</x:v>
      </x:c>
      <x:c r="AA2826" t="str">
        <x:v>Tidak Ada</x:v>
      </x:c>
      <x:c r="AB2826" t="str">
        <x:v>Campus=55; Ratio=27.6; Prodi=60; RelDemand=35.7; Capacity=85.0</x:v>
      </x:c>
    </x:row>
    <x:row r="2827">
      <x:c r="A2827" t="n">
        <x:v>2824</x:v>
      </x:c>
      <x:c r="B2827" t="str">
        <x:v>PTN Akademik</x:v>
      </x:c>
      <x:c r="C2827" t="str">
        <x:v>UNIVERSITAS BORNEO TARAKAN</x:v>
      </x:c>
      <x:c r="D2827" t="str">
        <x:v>KEPERAWATAN</x:v>
      </x:c>
      <x:c r="E2827" t="str">
        <x:v>Sarjana</x:v>
      </x:c>
      <x:c r="F2827" s="18" t="n">
        <x:v>37</x:v>
      </x:c>
      <x:c r="G2827" s="18" t="n">
        <x:v>530</x:v>
      </x:c>
      <x:c r="H2827" s="19" t="n">
        <x:v>14.324324324324325</x:v>
      </x:c>
      <x:c r="I2827" s="18" t="n">
        <x:f>ROUND(MIN(Model_Config_v3!$B$6,MAX(Q2827,R2827,S2827*Model_Config_v3!$B$4+T2827*Model_Config_v3!$B$5)),0)</x:f>
        <x:v>676</x:v>
      </x:c>
      <x:c r="J2827" s="18" t="n">
        <x:f>MIN(Model_Config_v3!$B$6,I2827+Model_Config_v3!$B$7)</x:f>
        <x:v>696</x:v>
      </x:c>
      <x:c r="K2827" s="20" t="n">
        <x:v>64.2</x:v>
      </x:c>
      <x:c r="L2827" t="str">
        <x:v>KETAT</x:v>
      </x:c>
      <x:c r="M2827" t="str">
        <x:v>SEDANG+</x:v>
      </x:c>
      <x:c r="N2827" t="str">
        <x:v>REGULER</x:v>
      </x:c>
      <x:c r="O2827" t="str">
        <x:v>SAINTEK</x:v>
      </x:c>
      <x:c r="P2827" t="str">
        <x:v>KESEHAT/GIZI/KEPERAWATAN</x:v>
      </x:c>
      <x:c r="Q2827" s="18" t="n">
        <x:v>0</x:v>
      </x:c>
      <x:c r="R2827" s="18" t="n">
        <x:v>0</x:v>
      </x:c>
      <x:c r="S2827" s="18" t="n">
        <x:v>647.1681560087173</x:v>
      </x:c>
      <x:c r="T2827" s="18" t="n">
        <x:v>688</x:v>
      </x:c>
      <x:c r="U2827" s="18" t="n">
        <x:v>647.1681560087173</x:v>
      </x:c>
      <x:c r="V2827" s="20" t="n">
        <x:v>12</x:v>
      </x:c>
      <x:c r="W2827" s="20" t="n">
        <x:v>5</x:v>
      </x:c>
      <x:c r="X2827" s="20" t="n">
        <x:v>3</x:v>
      </x:c>
      <x:c r="Y2827" t="str">
        <x:v>Basis arsip 2025/2024</x:v>
      </x:c>
      <x:c r="Z2827" t="str">
        <x:v>https://snpmb.id/utbk-snbt/daya-tampung-snbt</x:v>
      </x:c>
      <x:c r="AA2827" t="str">
        <x:v>Tidak Ada</x:v>
      </x:c>
      <x:c r="AB2827" t="str">
        <x:v>Campus=55; Ratio=68.0; Prodi=55; RelDemand=100.0; Capacity=69.2</x:v>
      </x:c>
    </x:row>
    <x:row r="2828">
      <x:c r="A2828" t="n">
        <x:v>2825</x:v>
      </x:c>
      <x:c r="B2828" t="str">
        <x:v>PTN Akademik</x:v>
      </x:c>
      <x:c r="C2828" t="str">
        <x:v>UNIVERSITAS BORNEO TARAKAN</x:v>
      </x:c>
      <x:c r="D2828" t="str">
        <x:v>KEBIDANAN</x:v>
      </x:c>
      <x:c r="E2828" t="str">
        <x:v>Sarjana</x:v>
      </x:c>
      <x:c r="F2828" s="18" t="n">
        <x:v>37</x:v>
      </x:c>
      <x:c r="G2828" s="18" t="n">
        <x:v>211</x:v>
      </x:c>
      <x:c r="H2828" s="19" t="n">
        <x:v>5.702702702702703</x:v>
      </x:c>
      <x:c r="I2828" s="18" t="n">
        <x:f>ROUND(MIN(Model_Config_v3!$B$6,MAX(Q2828,R2828,S2828*Model_Config_v3!$B$4+T2828*Model_Config_v3!$B$5)),0)</x:f>
        <x:v>650</x:v>
      </x:c>
      <x:c r="J2828" s="18" t="n">
        <x:f>MIN(Model_Config_v3!$B$6,I2828+Model_Config_v3!$B$7)</x:f>
        <x:v>670</x:v>
      </x:c>
      <x:c r="K2828" s="20" t="n">
        <x:v>55.2</x:v>
      </x:c>
      <x:c r="L2828" t="str">
        <x:v>KETAT</x:v>
      </x:c>
      <x:c r="M2828" t="str">
        <x:v>SEDANG+</x:v>
      </x:c>
      <x:c r="N2828" t="str">
        <x:v>REGULER</x:v>
      </x:c>
      <x:c r="O2828" t="str">
        <x:v>SAINTEK</x:v>
      </x:c>
      <x:c r="P2828" t="str">
        <x:v>KESEHAT/GIZI/KEPERAWATAN</x:v>
      </x:c>
      <x:c r="Q2828" s="18" t="n">
        <x:v>0</x:v>
      </x:c>
      <x:c r="R2828" s="18" t="n">
        <x:v>0</x:v>
      </x:c>
      <x:c r="S2828" s="18" t="n">
        <x:v>603.1688804353768</x:v>
      </x:c>
      <x:c r="T2828" s="18" t="n">
        <x:v>670</x:v>
      </x:c>
      <x:c r="U2828" s="18" t="n">
        <x:v>603.1688804353768</x:v>
      </x:c>
      <x:c r="V2828" s="20" t="n">
        <x:v>12</x:v>
      </x:c>
      <x:c r="W2828" s="20" t="n">
        <x:v>5</x:v>
      </x:c>
      <x:c r="X2828" s="20" t="n">
        <x:v>3</x:v>
      </x:c>
      <x:c r="Y2828" t="str">
        <x:v>Basis arsip 2025/2024</x:v>
      </x:c>
      <x:c r="Z2828" t="str">
        <x:v>https://snpmb.id/utbk-snbt/daya-tampung-snbt</x:v>
      </x:c>
      <x:c r="AA2828" t="str">
        <x:v>Tidak Ada</x:v>
      </x:c>
      <x:c r="AB2828" t="str">
        <x:v>Campus=55; Ratio=44.5; Prodi=55; RelDemand=69.1; Capacity=69.2</x:v>
      </x:c>
    </x:row>
    <x:row r="2829">
      <x:c r="A2829" t="n">
        <x:v>2826</x:v>
      </x:c>
      <x:c r="B2829" t="str">
        <x:v>PTN Akademik</x:v>
      </x:c>
      <x:c r="C2829" t="str">
        <x:v>UNIVERSITAS BORNEO TARAKAN</x:v>
      </x:c>
      <x:c r="D2829" t="str">
        <x:v>TEKNIK KOMPUTER</x:v>
      </x:c>
      <x:c r="E2829" t="str">
        <x:v>Sarjana</x:v>
      </x:c>
      <x:c r="F2829" s="18" t="n">
        <x:v>18</x:v>
      </x:c>
      <x:c r="G2829" s="18" t="n">
        <x:v>236</x:v>
      </x:c>
      <x:c r="H2829" s="19" t="n">
        <x:v>13.11111111111111</x:v>
      </x:c>
      <x:c r="I2829" s="18" t="n">
        <x:f>ROUND(MIN(Model_Config_v3!$B$6,MAX(Q2829,R2829,S2829*Model_Config_v3!$B$4+T2829*Model_Config_v3!$B$5)),0)</x:f>
        <x:v>684</x:v>
      </x:c>
      <x:c r="J2829" s="18" t="n">
        <x:f>MIN(Model_Config_v3!$B$6,I2829+Model_Config_v3!$B$7)</x:f>
        <x:v>704</x:v>
      </x:c>
      <x:c r="K2829" s="20" t="n">
        <x:v>71.2</x:v>
      </x:c>
      <x:c r="L2829" t="str">
        <x:v>SANGAT KETAT</x:v>
      </x:c>
      <x:c r="M2829" t="str">
        <x:v>SEDANG+</x:v>
      </x:c>
      <x:c r="N2829" t="str">
        <x:v>REGULER</x:v>
      </x:c>
      <x:c r="O2829" t="str">
        <x:v>SAINTEK</x:v>
      </x:c>
      <x:c r="P2829" t="str">
        <x:v>KOMPUTER/INFORMATIKA</x:v>
      </x:c>
      <x:c r="Q2829" s="18" t="n">
        <x:v>0</x:v>
      </x:c>
      <x:c r="R2829" s="18" t="n">
        <x:v>0</x:v>
      </x:c>
      <x:c r="S2829" s="18" t="n">
        <x:v>642.9403447653481</x:v>
      </x:c>
      <x:c r="T2829" s="18" t="n">
        <x:v>702</x:v>
      </x:c>
      <x:c r="U2829" s="18" t="n">
        <x:v>667.9403447653481</x:v>
      </x:c>
      <x:c r="V2829" s="20" t="n">
        <x:v>12</x:v>
      </x:c>
      <x:c r="W2829" s="20" t="n">
        <x:v>5</x:v>
      </x:c>
      <x:c r="X2829" s="20" t="n">
        <x:v>3</x:v>
      </x:c>
      <x:c r="Y2829" t="str">
        <x:v>Basis arsip 2025/2024</x:v>
      </x:c>
      <x:c r="Z2829" t="str">
        <x:v>https://snpmb.id/utbk-snbt/daya-tampung-snbt</x:v>
      </x:c>
      <x:c r="AA2829" t="str">
        <x:v>Tidak Ada</x:v>
      </x:c>
      <x:c r="AB2829" t="str">
        <x:v>Campus=55; Ratio=65.8; Prodi=85; RelDemand=100.0; Capacity=85.0</x:v>
      </x:c>
    </x:row>
    <x:row r="2830">
      <x:c r="A2830" t="n">
        <x:v>2827</x:v>
      </x:c>
      <x:c r="B2830" t="str">
        <x:v>PTN Akademik</x:v>
      </x:c>
      <x:c r="C2830" t="str">
        <x:v>UNIVERSITAS BORNEO TARAKAN</x:v>
      </x:c>
      <x:c r="D2830" t="str">
        <x:v>BIMBINGAN DAN KONSELING</x:v>
      </x:c>
      <x:c r="E2830" t="str">
        <x:v>Sarjana</x:v>
      </x:c>
      <x:c r="F2830" s="18" t="n">
        <x:v>73</x:v>
      </x:c>
      <x:c r="G2830" s="18" t="n">
        <x:v>144</x:v>
      </x:c>
      <x:c r="H2830" s="19" t="n">
        <x:v>1.9726027397260273</x:v>
      </x:c>
      <x:c r="I2830" s="18" t="n">
        <x:f>ROUND(MIN(Model_Config_v3!$B$6,MAX(Q2830,R2830,S2830*Model_Config_v3!$B$4+T2830*Model_Config_v3!$B$5)),0)</x:f>
        <x:v>611</x:v>
      </x:c>
      <x:c r="J2830" s="18" t="n">
        <x:f>MIN(Model_Config_v3!$B$6,I2830+Model_Config_v3!$B$7)</x:f>
        <x:v>631</x:v>
      </x:c>
      <x:c r="K2830" s="20" t="n">
        <x:v>37.9</x:v>
      </x:c>
      <x:c r="L2830" t="str">
        <x:v>RELATIF LONGGAR</x:v>
      </x:c>
      <x:c r="M2830" t="str">
        <x:v>SEDANG</x:v>
      </x:c>
      <x:c r="N2830" t="str">
        <x:v>REGULER</x:v>
      </x:c>
      <x:c r="O2830" t="str">
        <x:v>CAMPURAN</x:v>
      </x:c>
      <x:c r="P2830" t="str">
        <x:v>UMUM</x:v>
      </x:c>
      <x:c r="Q2830" s="18" t="n">
        <x:v>0</x:v>
      </x:c>
      <x:c r="R2830" s="18" t="n">
        <x:v>0</x:v>
      </x:c>
      <x:c r="S2830" s="18" t="n">
        <x:v>552.4543595172273</x:v>
      </x:c>
      <x:c r="T2830" s="18" t="n">
        <x:v>636</x:v>
      </x:c>
      <x:c r="U2830" s="18" t="n">
        <x:v>552.4543595172273</x:v>
      </x:c>
      <x:c r="V2830" s="20" t="n">
        <x:v>8.8</x:v>
      </x:c>
      <x:c r="W2830" s="20" t="n">
        <x:v>9.9</x:v>
      </x:c>
      <x:c r="X2830" s="20" t="n">
        <x:v>3.3</x:v>
      </x:c>
      <x:c r="Y2830" t="str">
        <x:v>Basis arsip 2025/2024</x:v>
      </x:c>
      <x:c r="Z2830" t="str">
        <x:v>https://snpmb.id/utbk-snbt/daya-tampung-snbt</x:v>
      </x:c>
      <x:c r="AA2830" t="str">
        <x:v>Tidak Ada</x:v>
      </x:c>
      <x:c r="AB2830" t="str">
        <x:v>Campus=55; Ratio=17.4; Prodi=40; RelDemand=23.9; Capacity=39.2</x:v>
      </x:c>
    </x:row>
    <x:row r="2831">
      <x:c r="A2831" t="n">
        <x:v>2828</x:v>
      </x:c>
      <x:c r="B2831" t="str">
        <x:v>PTN Akademik</x:v>
      </x:c>
      <x:c r="C2831" t="str">
        <x:v>UNIVERSITAS BORNEO TARAKAN</x:v>
      </x:c>
      <x:c r="D2831" t="str">
        <x:v>PENDIDIKAN BAHASA INDONESIA</x:v>
      </x:c>
      <x:c r="E2831" t="str">
        <x:v>Sarjana</x:v>
      </x:c>
      <x:c r="F2831" s="18" t="n">
        <x:v>37</x:v>
      </x:c>
      <x:c r="G2831" s="18" t="n">
        <x:v>81</x:v>
      </x:c>
      <x:c r="H2831" s="19" t="n">
        <x:v>2.189189189189189</x:v>
      </x:c>
      <x:c r="I2831" s="18" t="n">
        <x:f>ROUND(MIN(Model_Config_v3!$B$6,MAX(Q2831,R2831,S2831*Model_Config_v3!$B$4+T2831*Model_Config_v3!$B$5)),0)</x:f>
        <x:v>619</x:v>
      </x:c>
      <x:c r="J2831" s="18" t="n">
        <x:f>MIN(Model_Config_v3!$B$6,I2831+Model_Config_v3!$B$7)</x:f>
        <x:v>639</x:v>
      </x:c>
      <x:c r="K2831" s="20" t="n">
        <x:v>42.8</x:v>
      </x:c>
      <x:c r="L2831" t="str">
        <x:v>RELATIF LONGGAR</x:v>
      </x:c>
      <x:c r="M2831" t="str">
        <x:v>SEDANG+</x:v>
      </x:c>
      <x:c r="N2831" t="str">
        <x:v>REGULER</x:v>
      </x:c>
      <x:c r="O2831" t="str">
        <x:v>SOSHUM</x:v>
      </x:c>
      <x:c r="P2831" t="str">
        <x:v>PENDIDIKAN</x:v>
      </x:c>
      <x:c r="Q2831" s="18" t="n">
        <x:v>0</x:v>
      </x:c>
      <x:c r="R2831" s="18" t="n">
        <x:v>0</x:v>
      </x:c>
      <x:c r="S2831" s="18" t="n">
        <x:v>557.431162429282</x:v>
      </x:c>
      <x:c r="T2831" s="18" t="n">
        <x:v>646</x:v>
      </x:c>
      <x:c r="U2831" s="18" t="n">
        <x:v>557.431162429282</x:v>
      </x:c>
      <x:c r="V2831" s="20" t="n">
        <x:v>4.4</x:v>
      </x:c>
      <x:c r="W2831" s="20" t="n">
        <x:v>14.3</x:v>
      </x:c>
      <x:c r="X2831" s="20" t="n">
        <x:v>3.3</x:v>
      </x:c>
      <x:c r="Y2831" t="str">
        <x:v>Basis arsip 2025/2024</x:v>
      </x:c>
      <x:c r="Z2831" t="str">
        <x:v>https://snpmb.id/utbk-snbt/daya-tampung-snbt</x:v>
      </x:c>
      <x:c r="AA2831" t="str">
        <x:v>Tidak Ada</x:v>
      </x:c>
      <x:c r="AB2831" t="str">
        <x:v>Campus=55; Ratio=20.0; Prodi=45; RelDemand=26.5; Capacity=69.2</x:v>
      </x:c>
    </x:row>
    <x:row r="2832">
      <x:c r="A2832" t="n">
        <x:v>2829</x:v>
      </x:c>
      <x:c r="B2832" t="str">
        <x:v>PTN Akademik</x:v>
      </x:c>
      <x:c r="C2832" t="str">
        <x:v>UNIVERSITAS BORNEO TARAKAN</x:v>
      </x:c>
      <x:c r="D2832" t="str">
        <x:v>PENDIDIKAN BAHASA INGGRIS</x:v>
      </x:c>
      <x:c r="E2832" t="str">
        <x:v>Sarjana</x:v>
      </x:c>
      <x:c r="F2832" s="18" t="n">
        <x:v>37</x:v>
      </x:c>
      <x:c r="G2832" s="18" t="n">
        <x:v>43</x:v>
      </x:c>
      <x:c r="H2832" s="19" t="n">
        <x:v>1.162162162162162</x:v>
      </x:c>
      <x:c r="I2832" s="18" t="n">
        <x:f>ROUND(MIN(Model_Config_v3!$B$6,MAX(Q2832,R2832,S2832*Model_Config_v3!$B$4+T2832*Model_Config_v3!$B$5)),0)</x:f>
        <x:v>603</x:v>
      </x:c>
      <x:c r="J2832" s="18" t="n">
        <x:f>MIN(Model_Config_v3!$B$6,I2832+Model_Config_v3!$B$7)</x:f>
        <x:v>623</x:v>
      </x:c>
      <x:c r="K2832" s="20" t="n">
        <x:v>37.5</x:v>
      </x:c>
      <x:c r="L2832" t="str">
        <x:v>RELATIF LONGGAR</x:v>
      </x:c>
      <x:c r="M2832" t="str">
        <x:v>SEDANG+</x:v>
      </x:c>
      <x:c r="N2832" t="str">
        <x:v>REGULER</x:v>
      </x:c>
      <x:c r="O2832" t="str">
        <x:v>SOSHUM</x:v>
      </x:c>
      <x:c r="P2832" t="str">
        <x:v>PENDIDIKAN</x:v>
      </x:c>
      <x:c r="Q2832" s="18" t="n">
        <x:v>0</x:v>
      </x:c>
      <x:c r="R2832" s="18" t="n">
        <x:v>0</x:v>
      </x:c>
      <x:c r="S2832" s="18" t="n">
        <x:v>527.179340466385</x:v>
      </x:c>
      <x:c r="T2832" s="18" t="n">
        <x:v>635</x:v>
      </x:c>
      <x:c r="U2832" s="18" t="n">
        <x:v>527.179340466385</x:v>
      </x:c>
      <x:c r="V2832" s="20" t="n">
        <x:v>4.4</x:v>
      </x:c>
      <x:c r="W2832" s="20" t="n">
        <x:v>14.3</x:v>
      </x:c>
      <x:c r="X2832" s="20" t="n">
        <x:v>3.3</x:v>
      </x:c>
      <x:c r="Y2832" t="str">
        <x:v>Basis arsip 2025/2024</x:v>
      </x:c>
      <x:c r="Z2832" t="str">
        <x:v>https://snpmb.id/utbk-snbt/daya-tampung-snbt</x:v>
      </x:c>
      <x:c r="AA2832" t="str">
        <x:v>Tidak Ada</x:v>
      </x:c>
      <x:c r="AB2832" t="str">
        <x:v>Campus=55; Ratio=3.8; Prodi=45; RelDemand=14.1; Capacity=69.2</x:v>
      </x:c>
    </x:row>
    <x:row r="2833">
      <x:c r="A2833" t="n">
        <x:v>2830</x:v>
      </x:c>
      <x:c r="B2833" t="str">
        <x:v>PTN Akademik</x:v>
      </x:c>
      <x:c r="C2833" t="str">
        <x:v>UNIVERSITAS BORNEO TARAKAN</x:v>
      </x:c>
      <x:c r="D2833" t="str">
        <x:v>EKONOMI PEMBANGUNAN</x:v>
      </x:c>
      <x:c r="E2833" t="str">
        <x:v>Sarjana</x:v>
      </x:c>
      <x:c r="F2833" s="18" t="n">
        <x:v>56</x:v>
      </x:c>
      <x:c r="G2833" s="18" t="n">
        <x:v>93</x:v>
      </x:c>
      <x:c r="H2833" s="19" t="n">
        <x:v>1.6607142857142858</x:v>
      </x:c>
      <x:c r="I2833" s="18" t="n">
        <x:f>ROUND(MIN(Model_Config_v3!$B$6,MAX(Q2833,R2833,S2833*Model_Config_v3!$B$4+T2833*Model_Config_v3!$B$5)),0)</x:f>
        <x:v>615</x:v>
      </x:c>
      <x:c r="J2833" s="18" t="n">
        <x:f>MIN(Model_Config_v3!$B$6,I2833+Model_Config_v3!$B$7)</x:f>
        <x:v>635</x:v>
      </x:c>
      <x:c r="K2833" s="20" t="n">
        <x:v>42.8</x:v>
      </x:c>
      <x:c r="L2833" t="str">
        <x:v>RELATIF LONGGAR</x:v>
      </x:c>
      <x:c r="M2833" t="str">
        <x:v>SEDANG+</x:v>
      </x:c>
      <x:c r="N2833" t="str">
        <x:v>REGULER</x:v>
      </x:c>
      <x:c r="O2833" t="str">
        <x:v>SOSHUM</x:v>
      </x:c>
      <x:c r="P2833" t="str">
        <x:v>BISNIS/EKONOMI/AKUNTANSI</x:v>
      </x:c>
      <x:c r="Q2833" s="18" t="n">
        <x:v>0</x:v>
      </x:c>
      <x:c r="R2833" s="18" t="n">
        <x:v>0</x:v>
      </x:c>
      <x:c r="S2833" s="18" t="n">
        <x:v>544.2324413702509</x:v>
      </x:c>
      <x:c r="T2833" s="18" t="n">
        <x:v>646</x:v>
      </x:c>
      <x:c r="U2833" s="18" t="n">
        <x:v>544.2324413702509</x:v>
      </x:c>
      <x:c r="V2833" s="20" t="n">
        <x:v>4.4</x:v>
      </x:c>
      <x:c r="W2833" s="20" t="n">
        <x:v>14.3</x:v>
      </x:c>
      <x:c r="X2833" s="20" t="n">
        <x:v>3.3</x:v>
      </x:c>
      <x:c r="Y2833" t="str">
        <x:v>Basis arsip 2025/2024</x:v>
      </x:c>
      <x:c r="Z2833" t="str">
        <x:v>https://snpmb.id/utbk-snbt/daya-tampung-snbt</x:v>
      </x:c>
      <x:c r="AA2833" t="str">
        <x:v>Tidak Ada</x:v>
      </x:c>
      <x:c r="AB2833" t="str">
        <x:v>Campus=55; Ratio=13.0; Prodi=65; RelDemand=20.1; Capacity=53.3</x:v>
      </x:c>
    </x:row>
    <x:row r="2834">
      <x:c r="A2834" t="n">
        <x:v>2831</x:v>
      </x:c>
      <x:c r="B2834" t="str">
        <x:v>PTN Akademik</x:v>
      </x:c>
      <x:c r="C2834" t="str">
        <x:v>UNIVERSITAS BORNEO TARAKAN</x:v>
      </x:c>
      <x:c r="D2834" t="str">
        <x:v>MANAJEMEN</x:v>
      </x:c>
      <x:c r="E2834" t="str">
        <x:v>Sarjana</x:v>
      </x:c>
      <x:c r="F2834" s="18" t="n">
        <x:v>54</x:v>
      </x:c>
      <x:c r="G2834" s="18" t="n">
        <x:v>422</x:v>
      </x:c>
      <x:c r="H2834" s="19" t="n">
        <x:v>7.814814814814815</x:v>
      </x:c>
      <x:c r="I2834" s="18" t="n">
        <x:f>ROUND(MIN(Model_Config_v3!$B$6,MAX(Q2834,R2834,S2834*Model_Config_v3!$B$4+T2834*Model_Config_v3!$B$5)),0)</x:f>
        <x:v>662</x:v>
      </x:c>
      <x:c r="J2834" s="18" t="n">
        <x:f>MIN(Model_Config_v3!$B$6,I2834+Model_Config_v3!$B$7)</x:f>
        <x:v>682</x:v>
      </x:c>
      <x:c r="K2834" s="20" t="n">
        <x:v>60.4</x:v>
      </x:c>
      <x:c r="L2834" t="str">
        <x:v>KETAT</x:v>
      </x:c>
      <x:c r="M2834" t="str">
        <x:v>SEDANG+</x:v>
      </x:c>
      <x:c r="N2834" t="str">
        <x:v>REGULER</x:v>
      </x:c>
      <x:c r="O2834" t="str">
        <x:v>SOSHUM</x:v>
      </x:c>
      <x:c r="P2834" t="str">
        <x:v>BISNIS/EKONOMI/AKUNTANSI</x:v>
      </x:c>
      <x:c r="Q2834" s="18" t="n">
        <x:v>0</x:v>
      </x:c>
      <x:c r="R2834" s="18" t="n">
        <x:v>0</x:v>
      </x:c>
      <x:c r="S2834" s="18" t="n">
        <x:v>618.2210560252576</x:v>
      </x:c>
      <x:c r="T2834" s="18" t="n">
        <x:v>681</x:v>
      </x:c>
      <x:c r="U2834" s="18" t="n">
        <x:v>633.2210560252576</x:v>
      </x:c>
      <x:c r="V2834" s="20" t="n">
        <x:v>4.4</x:v>
      </x:c>
      <x:c r="W2834" s="20" t="n">
        <x:v>14.3</x:v>
      </x:c>
      <x:c r="X2834" s="20" t="n">
        <x:v>3.3</x:v>
      </x:c>
      <x:c r="Y2834" t="str">
        <x:v>Basis arsip 2025/2024</x:v>
      </x:c>
      <x:c r="Z2834" t="str">
        <x:v>https://snpmb.id/utbk-snbt/daya-tampung-snbt</x:v>
      </x:c>
      <x:c r="AA2834" t="str">
        <x:v>Tidak Ada</x:v>
      </x:c>
      <x:c r="AB2834" t="str">
        <x:v>Campus=55; Ratio=52.6; Prodi=65; RelDemand=94.7; Capacity=55.0</x:v>
      </x:c>
    </x:row>
    <x:row r="2835">
      <x:c r="A2835" t="n">
        <x:v>2832</x:v>
      </x:c>
      <x:c r="B2835" t="str">
        <x:v>PTN Akademik</x:v>
      </x:c>
      <x:c r="C2835" t="str">
        <x:v>UNIVERSITAS BORNEO TARAKAN</x:v>
      </x:c>
      <x:c r="D2835" t="str">
        <x:v>HUKUM</x:v>
      </x:c>
      <x:c r="E2835" t="str">
        <x:v>Sarjana</x:v>
      </x:c>
      <x:c r="F2835" s="18" t="n">
        <x:v>77</x:v>
      </x:c>
      <x:c r="G2835" s="18" t="n">
        <x:v>185</x:v>
      </x:c>
      <x:c r="H2835" s="19" t="n">
        <x:v>2.4025974025974026</x:v>
      </x:c>
      <x:c r="I2835" s="18" t="n">
        <x:f>ROUND(MIN(Model_Config_v3!$B$6,MAX(Q2835,R2835,S2835*Model_Config_v3!$B$4+T2835*Model_Config_v3!$B$5)),0)</x:f>
        <x:v>623</x:v>
      </x:c>
      <x:c r="J2835" s="18" t="n">
        <x:f>MIN(Model_Config_v3!$B$6,I2835+Model_Config_v3!$B$7)</x:f>
        <x:v>643</x:v>
      </x:c>
      <x:c r="K2835" s="20" t="n">
        <x:v>44.3</x:v>
      </x:c>
      <x:c r="L2835" t="str">
        <x:v>RELATIF LONGGAR</x:v>
      </x:c>
      <x:c r="M2835" t="str">
        <x:v>SEDANG+</x:v>
      </x:c>
      <x:c r="N2835" t="str">
        <x:v>REGULER</x:v>
      </x:c>
      <x:c r="O2835" t="str">
        <x:v>SOSHUM</x:v>
      </x:c>
      <x:c r="P2835" t="str">
        <x:v>HUKUM</x:v>
      </x:c>
      <x:c r="Q2835" s="18" t="n">
        <x:v>0</x:v>
      </x:c>
      <x:c r="R2835" s="18" t="n">
        <x:v>0</x:v>
      </x:c>
      <x:c r="S2835" s="18" t="n">
        <x:v>561.8749103553585</x:v>
      </x:c>
      <x:c r="T2835" s="18" t="n">
        <x:v>649</x:v>
      </x:c>
      <x:c r="U2835" s="18" t="n">
        <x:v>576.8749103553585</x:v>
      </x:c>
      <x:c r="V2835" s="20" t="n">
        <x:v>4.4</x:v>
      </x:c>
      <x:c r="W2835" s="20" t="n">
        <x:v>14.3</x:v>
      </x:c>
      <x:c r="X2835" s="20" t="n">
        <x:v>3.3</x:v>
      </x:c>
      <x:c r="Y2835" t="str">
        <x:v>Basis arsip 2025/2024</x:v>
      </x:c>
      <x:c r="Z2835" t="str">
        <x:v>https://snpmb.id/utbk-snbt/daya-tampung-snbt</x:v>
      </x:c>
      <x:c r="AA2835" t="str">
        <x:v>Tidak Ada</x:v>
      </x:c>
      <x:c r="AB2835" t="str">
        <x:v>Campus=55; Ratio=22.4; Prodi=65; RelDemand=29.1; Capacity=35.8</x:v>
      </x:c>
    </x:row>
    <x:row r="2836">
      <x:c r="A2836" t="n">
        <x:v>2833</x:v>
      </x:c>
      <x:c r="B2836" t="str">
        <x:v>PTN Akademik</x:v>
      </x:c>
      <x:c r="C2836" t="str">
        <x:v>UNIVERSITAS BORNEO TARAKAN</x:v>
      </x:c>
      <x:c r="D2836" t="str">
        <x:v>PENDIDIKAN GURU SEKOLAH DASAR</x:v>
      </x:c>
      <x:c r="E2836" t="str">
        <x:v>Sarjana</x:v>
      </x:c>
      <x:c r="F2836" s="18" t="n">
        <x:v>91</x:v>
      </x:c>
      <x:c r="G2836" s="18" t="n">
        <x:v>243</x:v>
      </x:c>
      <x:c r="H2836" s="19" t="n">
        <x:v>2.67032967032967</x:v>
      </x:c>
      <x:c r="I2836" s="18" t="n">
        <x:f>ROUND(MIN(Model_Config_v3!$B$6,MAX(Q2836,R2836,S2836*Model_Config_v3!$B$4+T2836*Model_Config_v3!$B$5)),0)</x:f>
        <x:v>618</x:v>
      </x:c>
      <x:c r="J2836" s="18" t="n">
        <x:f>MIN(Model_Config_v3!$B$6,I2836+Model_Config_v3!$B$7)</x:f>
        <x:v>638</x:v>
      </x:c>
      <x:c r="K2836" s="20" t="n">
        <x:v>40.2</x:v>
      </x:c>
      <x:c r="L2836" t="str">
        <x:v>RELATIF LONGGAR</x:v>
      </x:c>
      <x:c r="M2836" t="str">
        <x:v>SEDANG+</x:v>
      </x:c>
      <x:c r="N2836" t="str">
        <x:v>REGULER</x:v>
      </x:c>
      <x:c r="O2836" t="str">
        <x:v>CAMPURAN</x:v>
      </x:c>
      <x:c r="P2836" t="str">
        <x:v>PENDIDIKAN</x:v>
      </x:c>
      <x:c r="Q2836" s="18" t="n">
        <x:v>0</x:v>
      </x:c>
      <x:c r="R2836" s="18" t="n">
        <x:v>0</x:v>
      </x:c>
      <x:c r="S2836" s="18" t="n">
        <x:v>566.922136940494</x:v>
      </x:c>
      <x:c r="T2836" s="18" t="n">
        <x:v>640</x:v>
      </x:c>
      <x:c r="U2836" s="18" t="n">
        <x:v>566.922136940494</x:v>
      </x:c>
      <x:c r="V2836" s="20" t="n">
        <x:v>8.8</x:v>
      </x:c>
      <x:c r="W2836" s="20" t="n">
        <x:v>9.9</x:v>
      </x:c>
      <x:c r="X2836" s="20" t="n">
        <x:v>3.3</x:v>
      </x:c>
      <x:c r="Y2836" t="str">
        <x:v>Basis arsip 2025/2024</x:v>
      </x:c>
      <x:c r="Z2836" t="str">
        <x:v>https://snpmb.id/utbk-snbt/daya-tampung-snbt</x:v>
      </x:c>
      <x:c r="AA2836" t="str">
        <x:v>Tidak Ada</x:v>
      </x:c>
      <x:c r="AB2836" t="str">
        <x:v>Campus=55; Ratio=25.1; Prodi=45; RelDemand=32.3; Capacity=24.2</x:v>
      </x:c>
    </x:row>
    <x:row r="2837">
      <x:c r="A2837" t="n">
        <x:v>2834</x:v>
      </x:c>
      <x:c r="B2837" t="str">
        <x:v>PTN Akademik</x:v>
      </x:c>
      <x:c r="C2837" t="str">
        <x:v>UNIVERSITAS BORNEO TARAKAN</x:v>
      </x:c>
      <x:c r="D2837" t="str">
        <x:v>AKUNTANSI</x:v>
      </x:c>
      <x:c r="E2837" t="str">
        <x:v>Sarjana</x:v>
      </x:c>
      <x:c r="F2837" s="18" t="n">
        <x:v>43</x:v>
      </x:c>
      <x:c r="G2837" s="18" t="n">
        <x:v>208</x:v>
      </x:c>
      <x:c r="H2837" s="19" t="n">
        <x:v>4.837209302325581</x:v>
      </x:c>
      <x:c r="I2837" s="18" t="n">
        <x:f>ROUND(MIN(Model_Config_v3!$B$6,MAX(Q2837,R2837,S2837*Model_Config_v3!$B$4+T2837*Model_Config_v3!$B$5)),0)</x:f>
        <x:v>647</x:v>
      </x:c>
      <x:c r="J2837" s="18" t="n">
        <x:f>MIN(Model_Config_v3!$B$6,I2837+Model_Config_v3!$B$7)</x:f>
        <x:v>667</x:v>
      </x:c>
      <x:c r="K2837" s="20" t="n">
        <x:v>54.6</x:v>
      </x:c>
      <x:c r="L2837" t="str">
        <x:v>MENENGAH</x:v>
      </x:c>
      <x:c r="M2837" t="str">
        <x:v>SEDANG+</x:v>
      </x:c>
      <x:c r="N2837" t="str">
        <x:v>REGULER</x:v>
      </x:c>
      <x:c r="O2837" t="str">
        <x:v>SOSHUM</x:v>
      </x:c>
      <x:c r="P2837" t="str">
        <x:v>BISNIS/EKONOMI/AKUNTANSI</x:v>
      </x:c>
      <x:c r="Q2837" s="18" t="n">
        <x:v>0</x:v>
      </x:c>
      <x:c r="R2837" s="18" t="n">
        <x:v>0</x:v>
      </x:c>
      <x:c r="S2837" s="18" t="n">
        <x:v>595.3054367321492</x:v>
      </x:c>
      <x:c r="T2837" s="18" t="n">
        <x:v>669</x:v>
      </x:c>
      <x:c r="U2837" s="18" t="n">
        <x:v>595.3054367321492</x:v>
      </x:c>
      <x:c r="V2837" s="20" t="n">
        <x:v>4.4</x:v>
      </x:c>
      <x:c r="W2837" s="20" t="n">
        <x:v>14.3</x:v>
      </x:c>
      <x:c r="X2837" s="20" t="n">
        <x:v>3.3</x:v>
      </x:c>
      <x:c r="Y2837" t="str">
        <x:v>Basis arsip 2025/2024</x:v>
      </x:c>
      <x:c r="Z2837" t="str">
        <x:v>https://snpmb.id/utbk-snbt/daya-tampung-snbt</x:v>
      </x:c>
      <x:c r="AA2837" t="str">
        <x:v>Tidak Ada</x:v>
      </x:c>
      <x:c r="AB2837" t="str">
        <x:v>Campus=55; Ratio=40.3; Prodi=65; RelDemand=58.6; Capacity=64.2</x:v>
      </x:c>
    </x:row>
    <x:row r="2838">
      <x:c r="A2838" t="n">
        <x:v>2835</x:v>
      </x:c>
      <x:c r="B2838" t="str">
        <x:v>PTN Akademik</x:v>
      </x:c>
      <x:c r="C2838" t="str">
        <x:v>UNIVERSITAS BORNEO TARAKAN</x:v>
      </x:c>
      <x:c r="D2838" t="str">
        <x:v>KEDOKTERAN</x:v>
      </x:c>
      <x:c r="E2838" t="str">
        <x:v>Sarjana</x:v>
      </x:c>
      <x:c r="F2838" s="18" t="n">
        <x:v>23</x:v>
      </x:c>
      <x:c r="G2838" s="18" t="n">
        <x:v>227</x:v>
      </x:c>
      <x:c r="H2838" s="19" t="n">
        <x:v>9.869565217391305</x:v>
      </x:c>
      <x:c r="I2838" s="18" t="n">
        <x:f>ROUND(MIN(Model_Config_v3!$B$6,MAX(Q2838,R2838,S2838*Model_Config_v3!$B$4+T2838*Model_Config_v3!$B$5)),0)</x:f>
        <x:v>682</x:v>
      </x:c>
      <x:c r="J2838" s="18" t="n">
        <x:f>MIN(Model_Config_v3!$B$6,I2838+Model_Config_v3!$B$7)</x:f>
        <x:v>702</x:v>
      </x:c>
      <x:c r="K2838" s="20" t="n">
        <x:v>72</x:v>
      </x:c>
      <x:c r="L2838" t="str">
        <x:v>SANGAT KETAT</x:v>
      </x:c>
      <x:c r="M2838" t="str">
        <x:v>SEDANG+</x:v>
      </x:c>
      <x:c r="N2838" t="str">
        <x:v>REGULER</x:v>
      </x:c>
      <x:c r="O2838" t="str">
        <x:v>SAINTEK</x:v>
      </x:c>
      <x:c r="P2838" t="str">
        <x:v>KEDOKTERAN</x:v>
      </x:c>
      <x:c r="Q2838" s="18" t="n">
        <x:v>0</x:v>
      </x:c>
      <x:c r="R2838" s="18" t="n">
        <x:v>680</x:v>
      </x:c>
      <x:c r="S2838" s="18" t="n">
        <x:v>629.3727823293083</x:v>
      </x:c>
      <x:c r="T2838" s="18" t="n">
        <x:v>704</x:v>
      </x:c>
      <x:c r="U2838" s="18" t="n">
        <x:v>680</x:v>
      </x:c>
      <x:c r="V2838" s="20" t="n">
        <x:v>12</x:v>
      </x:c>
      <x:c r="W2838" s="20" t="n">
        <x:v>5</x:v>
      </x:c>
      <x:c r="X2838" s="20" t="n">
        <x:v>3</x:v>
      </x:c>
      <x:c r="Y2838" t="str">
        <x:v>Basis arsip 2025/2024</x:v>
      </x:c>
      <x:c r="Z2838" t="str">
        <x:v>https://snpmb.id/utbk-snbt/daya-tampung-snbt</x:v>
      </x:c>
      <x:c r="AA2838" t="str">
        <x:v>Tidak Ada</x:v>
      </x:c>
      <x:c r="AB2838" t="str">
        <x:v>Campus=55; Ratio=58.5; Prodi=100; RelDemand=100.0; Capacity=80.8</x:v>
      </x:c>
    </x:row>
    <x:row r="2839">
      <x:c r="A2839" t="n">
        <x:v>2836</x:v>
      </x:c>
      <x:c r="B2839" t="str">
        <x:v>PTN Akademik</x:v>
      </x:c>
      <x:c r="C2839" t="str">
        <x:v>UNIVERSITAS BORNEO TARAKAN</x:v>
      </x:c>
      <x:c r="D2839" t="str">
        <x:v>PSIKOLOGI</x:v>
      </x:c>
      <x:c r="E2839" t="str">
        <x:v>Sarjana</x:v>
      </x:c>
      <x:c r="F2839" s="18" t="n">
        <x:v>20</x:v>
      </x:c>
      <x:c r="G2839" s="18"/>
      <x:c r="H2839" s="19" t="n">
        <x:v>0</x:v>
      </x:c>
      <x:c r="I2839" s="18" t="n">
        <x:f>ROUND(MIN(Model_Config_v3!$B$6,MAX(Q2839,R2839,S2839*Model_Config_v3!$B$4+T2839*Model_Config_v3!$B$5)),0)</x:f>
        <x:v>609</x:v>
      </x:c>
      <x:c r="J2839" s="18" t="n">
        <x:f>MIN(Model_Config_v3!$B$6,I2839+Model_Config_v3!$B$7)</x:f>
        <x:v>629</x:v>
      </x:c>
      <x:c r="K2839" s="20" t="n">
        <x:v>43.6</x:v>
      </x:c>
      <x:c r="L2839" t="str">
        <x:v>RELATIF LONGGAR</x:v>
      </x:c>
      <x:c r="M2839" t="str">
        <x:v>RENDAH</x:v>
      </x:c>
      <x:c r="N2839" t="str">
        <x:v>REGULER</x:v>
      </x:c>
      <x:c r="O2839" t="str">
        <x:v>SOSHUM</x:v>
      </x:c>
      <x:c r="P2839" t="str">
        <x:v>PSIKOLOGI</x:v>
      </x:c>
      <x:c r="Q2839" s="18" t="n">
        <x:v>0</x:v>
      </x:c>
      <x:c r="R2839" s="18" t="n">
        <x:v>0</x:v>
      </x:c>
      <x:c r="S2839" s="18" t="n">
        <x:v>520</x:v>
      </x:c>
      <x:c r="T2839" s="18" t="n">
        <x:v>647</x:v>
      </x:c>
      <x:c r="U2839" s="18" t="n">
        <x:v>545</x:v>
      </x:c>
      <x:c r="V2839" s="20" t="n">
        <x:v>4.4</x:v>
      </x:c>
      <x:c r="W2839" s="20" t="n">
        <x:v>14.3</x:v>
      </x:c>
      <x:c r="X2839" s="20" t="n">
        <x:v>3.3</x:v>
      </x:c>
      <x:c r="Y2839" t="str">
        <x:v>Basis arsip 2025/2024</x:v>
      </x:c>
      <x:c r="Z2839" t="str">
        <x:v>https://snpmb.id/utbk-snbt/daya-tampung-snbt</x:v>
      </x:c>
      <x:c r="AA2839" t="str">
        <x:v>Tidak Ada</x:v>
      </x:c>
      <x:c r="AB2839" t="str">
        <x:v>Campus=55; Ratio=0.0; Prodi=80; RelDemand=0.0; Capacity=83.3</x:v>
      </x:c>
    </x:row>
    <x:row r="2840">
      <x:c r="A2840" t="n">
        <x:v>2837</x:v>
      </x:c>
      <x:c r="B2840" t="str">
        <x:v>PTN Akademik</x:v>
      </x:c>
      <x:c r="C2840" t="str">
        <x:v>UNIVERSITAS BORNEO TARAKAN</x:v>
      </x:c>
      <x:c r="D2840" t="str">
        <x:v>HUKUM BISNIS</x:v>
      </x:c>
      <x:c r="E2840" t="str">
        <x:v>Sarjana</x:v>
      </x:c>
      <x:c r="F2840" s="18" t="n">
        <x:v>37</x:v>
      </x:c>
      <x:c r="G2840" s="18"/>
      <x:c r="H2840" s="19" t="n">
        <x:v>0</x:v>
      </x:c>
      <x:c r="I2840" s="18" t="n">
        <x:f>ROUND(MIN(Model_Config_v3!$B$6,MAX(Q2840,R2840,S2840*Model_Config_v3!$B$4+T2840*Model_Config_v3!$B$5)),0)</x:f>
        <x:v>603</x:v>
      </x:c>
      <x:c r="J2840" s="18" t="n">
        <x:f>MIN(Model_Config_v3!$B$6,I2840+Model_Config_v3!$B$7)</x:f>
        <x:v>623</x:v>
      </x:c>
      <x:c r="K2840" s="20" t="n">
        <x:v>39.2</x:v>
      </x:c>
      <x:c r="L2840" t="str">
        <x:v>RELATIF LONGGAR</x:v>
      </x:c>
      <x:c r="M2840" t="str">
        <x:v>RENDAH</x:v>
      </x:c>
      <x:c r="N2840" t="str">
        <x:v>REGULER</x:v>
      </x:c>
      <x:c r="O2840" t="str">
        <x:v>SOSHUM</x:v>
      </x:c>
      <x:c r="P2840" t="str">
        <x:v>HUKUM</x:v>
      </x:c>
      <x:c r="Q2840" s="18" t="n">
        <x:v>0</x:v>
      </x:c>
      <x:c r="R2840" s="18" t="n">
        <x:v>0</x:v>
      </x:c>
      <x:c r="S2840" s="18" t="n">
        <x:v>520</x:v>
      </x:c>
      <x:c r="T2840" s="18" t="n">
        <x:v>638</x:v>
      </x:c>
      <x:c r="U2840" s="18" t="n">
        <x:v>535</x:v>
      </x:c>
      <x:c r="V2840" s="20" t="n">
        <x:v>4.4</x:v>
      </x:c>
      <x:c r="W2840" s="20" t="n">
        <x:v>14.3</x:v>
      </x:c>
      <x:c r="X2840" s="20" t="n">
        <x:v>3.3</x:v>
      </x:c>
      <x:c r="Y2840" t="str">
        <x:v>Basis arsip 2025/2024</x:v>
      </x:c>
      <x:c r="Z2840" t="str">
        <x:v>https://snpmb.id/utbk-snbt/daya-tampung-snbt</x:v>
      </x:c>
      <x:c r="AA2840" t="str">
        <x:v>Tidak Ada</x:v>
      </x:c>
      <x:c r="AB2840" t="str">
        <x:v>Campus=55; Ratio=0.0; Prodi=65; RelDemand=0.0; Capacity=69.2</x:v>
      </x:c>
    </x:row>
    <x:row r="2841">
      <x:c r="A2841" t="n">
        <x:v>2838</x:v>
      </x:c>
      <x:c r="B2841" t="str">
        <x:v>PTN Akademik</x:v>
      </x:c>
      <x:c r="C2841" t="str">
        <x:v>UNIVERSITAS BORNEO TARAKAN</x:v>
      </x:c>
      <x:c r="D2841" t="str">
        <x:v>KEBIDANAN</x:v>
      </x:c>
      <x:c r="E2841" t="str">
        <x:v>Diploma Tiga</x:v>
      </x:c>
      <x:c r="F2841" s="18" t="n">
        <x:v>16</x:v>
      </x:c>
      <x:c r="G2841" s="18" t="n">
        <x:v>354</x:v>
      </x:c>
      <x:c r="H2841" s="19" t="n">
        <x:v>22.125</x:v>
      </x:c>
      <x:c r="I2841" s="18" t="n">
        <x:f>ROUND(MIN(Model_Config_v3!$B$6,MAX(Q2841,R2841,S2841*Model_Config_v3!$B$4+T2841*Model_Config_v3!$B$5)),0)</x:f>
        <x:v>688</x:v>
      </x:c>
      <x:c r="J2841" s="18" t="n">
        <x:f>MIN(Model_Config_v3!$B$6,I2841+Model_Config_v3!$B$7)</x:f>
        <x:v>708</x:v>
      </x:c>
      <x:c r="K2841" s="20" t="n">
        <x:v>68.7</x:v>
      </x:c>
      <x:c r="L2841" t="str">
        <x:v>SANGAT KETAT</x:v>
      </x:c>
      <x:c r="M2841" t="str">
        <x:v>SEDANG+</x:v>
      </x:c>
      <x:c r="N2841" t="str">
        <x:v>REGULER</x:v>
      </x:c>
      <x:c r="O2841" t="str">
        <x:v>SAINTEK</x:v>
      </x:c>
      <x:c r="P2841" t="str">
        <x:v>KESEHAT/GIZI/KEPERAWATAN</x:v>
      </x:c>
      <x:c r="Q2841" s="18" t="n">
        <x:v>0</x:v>
      </x:c>
      <x:c r="R2841" s="18" t="n">
        <x:v>0</x:v>
      </x:c>
      <x:c r="S2841" s="18" t="n">
        <x:v>667.9371607306849</x:v>
      </x:c>
      <x:c r="T2841" s="18" t="n">
        <x:v>697</x:v>
      </x:c>
      <x:c r="U2841" s="18" t="n">
        <x:v>667.9371607306849</x:v>
      </x:c>
      <x:c r="V2841" s="20" t="n">
        <x:v>12</x:v>
      </x:c>
      <x:c r="W2841" s="20" t="n">
        <x:v>5</x:v>
      </x:c>
      <x:c r="X2841" s="20" t="n">
        <x:v>3</x:v>
      </x:c>
      <x:c r="Y2841" t="str">
        <x:v>Basis arsip 2025/2024</x:v>
      </x:c>
      <x:c r="Z2841" t="str">
        <x:v>https://snpmb.id/utbk-snbt/daya-tampung-snbt</x:v>
      </x:c>
      <x:c r="AA2841" t="str">
        <x:v>Tidak Ada</x:v>
      </x:c>
      <x:c r="AB2841" t="str">
        <x:v>Campus=55; Ratio=79.2; Prodi=55; RelDemand=100.0; Capacity=86.7</x:v>
      </x:c>
    </x:row>
    <x:row r="2842">
      <x:c r="A2842" t="n">
        <x:v>2839</x:v>
      </x:c>
      <x:c r="B2842" t="str">
        <x:v>PTN Akademik</x:v>
      </x:c>
      <x:c r="C2842" t="str">
        <x:v>UNIVERSITAS UDAYANA</x:v>
      </x:c>
      <x:c r="D2842" t="str">
        <x:v>KEDOKTERAN</x:v>
      </x:c>
      <x:c r="E2842" t="str">
        <x:v>Sarjana</x:v>
      </x:c>
      <x:c r="F2842" s="18" t="n">
        <x:v>104</x:v>
      </x:c>
      <x:c r="G2842" s="18" t="n">
        <x:v>2362</x:v>
      </x:c>
      <x:c r="H2842" s="19" t="n">
        <x:v>22.71153846153846</x:v>
      </x:c>
      <x:c r="I2842" s="18" t="n">
        <x:f>ROUND(MIN(Model_Config_v3!$B$6,MAX(Q2842,R2842,S2842*Model_Config_v3!$B$4+T2842*Model_Config_v3!$B$5)),0)</x:f>
        <x:v>704</x:v>
      </x:c>
      <x:c r="J2842" s="18" t="n">
        <x:f>MIN(Model_Config_v3!$B$6,I2842+Model_Config_v3!$B$7)</x:f>
        <x:v>724</x:v>
      </x:c>
      <x:c r="K2842" s="20" t="n">
        <x:v>79.3</x:v>
      </x:c>
      <x:c r="L2842" t="str">
        <x:v>ELITE</x:v>
      </x:c>
      <x:c r="M2842" t="str">
        <x:v>SEDANG+</x:v>
      </x:c>
      <x:c r="N2842" t="str">
        <x:v>ELITE-3</x:v>
      </x:c>
      <x:c r="O2842" t="str">
        <x:v>SAINTEK</x:v>
      </x:c>
      <x:c r="P2842" t="str">
        <x:v>KEDOKTERAN</x:v>
      </x:c>
      <x:c r="Q2842" s="18" t="n">
        <x:v>630</x:v>
      </x:c>
      <x:c r="R2842" s="18" t="n">
        <x:v>700</x:v>
      </x:c>
      <x:c r="S2842" s="18" t="n">
        <x:v>669.1871209376587</x:v>
      </x:c>
      <x:c r="T2842" s="18" t="n">
        <x:v>719</x:v>
      </x:c>
      <x:c r="U2842" s="18" t="n">
        <x:v>709.1871209376587</x:v>
      </x:c>
      <x:c r="V2842" s="20" t="n">
        <x:v>12</x:v>
      </x:c>
      <x:c r="W2842" s="20" t="n">
        <x:v>5</x:v>
      </x:c>
      <x:c r="X2842" s="20" t="n">
        <x:v>3</x:v>
      </x:c>
      <x:c r="Y2842" t="str">
        <x:v>Basis arsip 2025/2024</x:v>
      </x:c>
      <x:c r="Z2842" t="str">
        <x:v>https://snpmb.id/utbk-snbt/daya-tampung-snbt</x:v>
      </x:c>
      <x:c r="AA2842" t="str">
        <x:v>Tidak Ada</x:v>
      </x:c>
      <x:c r="AB2842" t="str">
        <x:v>Campus=80; Ratio=79.8; Prodi=100; RelDemand=100.0; Capacity=13.3</x:v>
      </x:c>
    </x:row>
    <x:row r="2843">
      <x:c r="A2843" t="n">
        <x:v>2840</x:v>
      </x:c>
      <x:c r="B2843" t="str">
        <x:v>PTN Akademik</x:v>
      </x:c>
      <x:c r="C2843" t="str">
        <x:v>UNIVERSITAS UDAYANA</x:v>
      </x:c>
      <x:c r="D2843" t="str">
        <x:v>KEDOKTERAN HEWAN</x:v>
      </x:c>
      <x:c r="E2843" t="str">
        <x:v>Sarjana</x:v>
      </x:c>
      <x:c r="F2843" s="18" t="n">
        <x:v>80</x:v>
      </x:c>
      <x:c r="G2843" s="18" t="n">
        <x:v>477</x:v>
      </x:c>
      <x:c r="H2843" s="19" t="n">
        <x:v>5.9625</x:v>
      </x:c>
      <x:c r="I2843" s="18" t="n">
        <x:f>ROUND(MIN(Model_Config_v3!$B$6,MAX(Q2843,R2843,S2843*Model_Config_v3!$B$4+T2843*Model_Config_v3!$B$5)),0)</x:f>
        <x:v>655</x:v>
      </x:c>
      <x:c r="J2843" s="18" t="n">
        <x:f>MIN(Model_Config_v3!$B$6,I2843+Model_Config_v3!$B$7)</x:f>
        <x:v>675</x:v>
      </x:c>
      <x:c r="K2843" s="20" t="n">
        <x:v>58.6</x:v>
      </x:c>
      <x:c r="L2843" t="str">
        <x:v>KETAT</x:v>
      </x:c>
      <x:c r="M2843" t="str">
        <x:v>SEDANG+</x:v>
      </x:c>
      <x:c r="N2843" t="str">
        <x:v>ELITE-3</x:v>
      </x:c>
      <x:c r="O2843" t="str">
        <x:v>SAINTEK</x:v>
      </x:c>
      <x:c r="P2843" t="str">
        <x:v>VETERINER</x:v>
      </x:c>
      <x:c r="Q2843" s="18" t="n">
        <x:v>630</x:v>
      </x:c>
      <x:c r="R2843" s="18" t="n">
        <x:v>650</x:v>
      </x:c>
      <x:c r="S2843" s="18" t="n">
        <x:v>605.2971231252988</x:v>
      </x:c>
      <x:c r="T2843" s="18" t="n">
        <x:v>677</x:v>
      </x:c>
      <x:c r="U2843" s="18" t="n">
        <x:v>630</x:v>
      </x:c>
      <x:c r="V2843" s="20" t="n">
        <x:v>12</x:v>
      </x:c>
      <x:c r="W2843" s="20" t="n">
        <x:v>5</x:v>
      </x:c>
      <x:c r="X2843" s="20" t="n">
        <x:v>3</x:v>
      </x:c>
      <x:c r="Y2843" t="str">
        <x:v>Basis arsip 2025/2024</x:v>
      </x:c>
      <x:c r="Z2843" t="str">
        <x:v>https://snpmb.id/utbk-snbt/daya-tampung-snbt</x:v>
      </x:c>
      <x:c r="AA2843" t="str">
        <x:v>Tidak Ada</x:v>
      </x:c>
      <x:c r="AB2843" t="str">
        <x:v>Campus=80; Ratio=45.6; Prodi=60; RelDemand=38.2; Capacity=33.3</x:v>
      </x:c>
    </x:row>
    <x:row r="2844">
      <x:c r="A2844" t="n">
        <x:v>2841</x:v>
      </x:c>
      <x:c r="B2844" t="str">
        <x:v>PTN Akademik</x:v>
      </x:c>
      <x:c r="C2844" t="str">
        <x:v>UNIVERSITAS UDAYANA</x:v>
      </x:c>
      <x:c r="D2844" t="str">
        <x:v>ARSITEKTUR</x:v>
      </x:c>
      <x:c r="E2844" t="str">
        <x:v>Sarjana</x:v>
      </x:c>
      <x:c r="F2844" s="18" t="n">
        <x:v>64</x:v>
      </x:c>
      <x:c r="G2844" s="18" t="n">
        <x:v>472</x:v>
      </x:c>
      <x:c r="H2844" s="19" t="n">
        <x:v>7.375</x:v>
      </x:c>
      <x:c r="I2844" s="18" t="n">
        <x:f>ROUND(MIN(Model_Config_v3!$B$6,MAX(Q2844,R2844,S2844*Model_Config_v3!$B$4+T2844*Model_Config_v3!$B$5)),0)</x:f>
        <x:v>663</x:v>
      </x:c>
      <x:c r="J2844" s="18" t="n">
        <x:f>MIN(Model_Config_v3!$B$6,I2844+Model_Config_v3!$B$7)</x:f>
        <x:v>683</x:v>
      </x:c>
      <x:c r="K2844" s="20" t="n">
        <x:v>62.2</x:v>
      </x:c>
      <x:c r="L2844" t="str">
        <x:v>KETAT</x:v>
      </x:c>
      <x:c r="M2844" t="str">
        <x:v>SEDANG+</x:v>
      </x:c>
      <x:c r="N2844" t="str">
        <x:v>ELITE-3</x:v>
      </x:c>
      <x:c r="O2844" t="str">
        <x:v>SAINTEK</x:v>
      </x:c>
      <x:c r="P2844" t="str">
        <x:v>TEKNIK/ARSITEKTUR/STATISTIKA/AKTUARIA</x:v>
      </x:c>
      <x:c r="Q2844" s="18" t="n">
        <x:v>630</x:v>
      </x:c>
      <x:c r="R2844" s="18" t="n">
        <x:v>0</x:v>
      </x:c>
      <x:c r="S2844" s="18" t="n">
        <x:v>615.4538227115221</x:v>
      </x:c>
      <x:c r="T2844" s="18" t="n">
        <x:v>684</x:v>
      </x:c>
      <x:c r="U2844" s="18" t="n">
        <x:v>630</x:v>
      </x:c>
      <x:c r="V2844" s="20" t="n">
        <x:v>12</x:v>
      </x:c>
      <x:c r="W2844" s="20" t="n">
        <x:v>5</x:v>
      </x:c>
      <x:c r="X2844" s="20" t="n">
        <x:v>3</x:v>
      </x:c>
      <x:c r="Y2844" t="str">
        <x:v>Basis arsip 2025/2024</x:v>
      </x:c>
      <x:c r="Z2844" t="str">
        <x:v>https://snpmb.id/utbk-snbt/daya-tampung-snbt</x:v>
      </x:c>
      <x:c r="AA2844" t="str">
        <x:v>Tidak Ada</x:v>
      </x:c>
      <x:c r="AB2844" t="str">
        <x:v>Campus=80; Ratio=51.1; Prodi=60; RelDemand=47.2; Capacity=46.7</x:v>
      </x:c>
    </x:row>
    <x:row r="2845">
      <x:c r="A2845" t="n">
        <x:v>2842</x:v>
      </x:c>
      <x:c r="B2845" t="str">
        <x:v>PTN Akademik</x:v>
      </x:c>
      <x:c r="C2845" t="str">
        <x:v>UNIVERSITAS UDAYANA</x:v>
      </x:c>
      <x:c r="D2845" t="str">
        <x:v>TEKNIK SIPIL</x:v>
      </x:c>
      <x:c r="E2845" t="str">
        <x:v>Sarjana</x:v>
      </x:c>
      <x:c r="F2845" s="18" t="n">
        <x:v>80</x:v>
      </x:c>
      <x:c r="G2845" s="18" t="n">
        <x:v>543</x:v>
      </x:c>
      <x:c r="H2845" s="19" t="n">
        <x:v>6.7875</x:v>
      </x:c>
      <x:c r="I2845" s="18" t="n">
        <x:f>ROUND(MIN(Model_Config_v3!$B$6,MAX(Q2845,R2845,S2845*Model_Config_v3!$B$4+T2845*Model_Config_v3!$B$5)),0)</x:f>
        <x:v>659</x:v>
      </x:c>
      <x:c r="J2845" s="18" t="n">
        <x:f>MIN(Model_Config_v3!$B$6,I2845+Model_Config_v3!$B$7)</x:f>
        <x:v>679</x:v>
      </x:c>
      <x:c r="K2845" s="20" t="n">
        <x:v>59.9</x:v>
      </x:c>
      <x:c r="L2845" t="str">
        <x:v>KETAT</x:v>
      </x:c>
      <x:c r="M2845" t="str">
        <x:v>SEDANG+</x:v>
      </x:c>
      <x:c r="N2845" t="str">
        <x:v>ELITE-3</x:v>
      </x:c>
      <x:c r="O2845" t="str">
        <x:v>SAINTEK</x:v>
      </x:c>
      <x:c r="P2845" t="str">
        <x:v>TEKNIK/ARSITEKTUR/STATISTIKA/AKTUARIA</x:v>
      </x:c>
      <x:c r="Q2845" s="18" t="n">
        <x:v>630</x:v>
      </x:c>
      <x:c r="R2845" s="18" t="n">
        <x:v>0</x:v>
      </x:c>
      <x:c r="S2845" s="18" t="n">
        <x:v>611.4880826856594</x:v>
      </x:c>
      <x:c r="T2845" s="18" t="n">
        <x:v>680</x:v>
      </x:c>
      <x:c r="U2845" s="18" t="n">
        <x:v>630</x:v>
      </x:c>
      <x:c r="V2845" s="20" t="n">
        <x:v>12</x:v>
      </x:c>
      <x:c r="W2845" s="20" t="n">
        <x:v>5</x:v>
      </x:c>
      <x:c r="X2845" s="20" t="n">
        <x:v>3</x:v>
      </x:c>
      <x:c r="Y2845" t="str">
        <x:v>Basis arsip 2025/2024</x:v>
      </x:c>
      <x:c r="Z2845" t="str">
        <x:v>https://snpmb.id/utbk-snbt/daya-tampung-snbt</x:v>
      </x:c>
      <x:c r="AA2845" t="str">
        <x:v>Tidak Ada</x:v>
      </x:c>
      <x:c r="AB2845" t="str">
        <x:v>Campus=80; Ratio=49.0; Prodi=60; RelDemand=43.4; Capacity=33.3</x:v>
      </x:c>
    </x:row>
    <x:row r="2846">
      <x:c r="A2846" t="n">
        <x:v>2843</x:v>
      </x:c>
      <x:c r="B2846" t="str">
        <x:v>PTN Akademik</x:v>
      </x:c>
      <x:c r="C2846" t="str">
        <x:v>UNIVERSITAS UDAYANA</x:v>
      </x:c>
      <x:c r="D2846" t="str">
        <x:v>TEKNOLOGI PANGAN</x:v>
      </x:c>
      <x:c r="E2846" t="str">
        <x:v>Sarjana</x:v>
      </x:c>
      <x:c r="F2846" s="18" t="n">
        <x:v>40</x:v>
      </x:c>
      <x:c r="G2846" s="18" t="n">
        <x:v>237</x:v>
      </x:c>
      <x:c r="H2846" s="19" t="n">
        <x:v>5.925</x:v>
      </x:c>
      <x:c r="I2846" s="18" t="n">
        <x:f>ROUND(MIN(Model_Config_v3!$B$6,MAX(Q2846,R2846,S2846*Model_Config_v3!$B$4+T2846*Model_Config_v3!$B$5)),0)</x:f>
        <x:v>655</x:v>
      </x:c>
      <x:c r="J2846" s="18" t="n">
        <x:f>MIN(Model_Config_v3!$B$6,I2846+Model_Config_v3!$B$7)</x:f>
        <x:v>675</x:v>
      </x:c>
      <x:c r="K2846" s="20" t="n">
        <x:v>57.8</x:v>
      </x:c>
      <x:c r="L2846" t="str">
        <x:v>KETAT</x:v>
      </x:c>
      <x:c r="M2846" t="str">
        <x:v>SEDANG+</x:v>
      </x:c>
      <x:c r="N2846" t="str">
        <x:v>ELITE-3</x:v>
      </x:c>
      <x:c r="O2846" t="str">
        <x:v>SAINTEK</x:v>
      </x:c>
      <x:c r="P2846" t="str">
        <x:v>UMUM</x:v>
      </x:c>
      <x:c r="Q2846" s="18" t="n">
        <x:v>630</x:v>
      </x:c>
      <x:c r="R2846" s="18" t="n">
        <x:v>0</x:v>
      </x:c>
      <x:c r="S2846" s="18" t="n">
        <x:v>604.9957190150355</x:v>
      </x:c>
      <x:c r="T2846" s="18" t="n">
        <x:v>676</x:v>
      </x:c>
      <x:c r="U2846" s="18" t="n">
        <x:v>630</x:v>
      </x:c>
      <x:c r="V2846" s="20" t="n">
        <x:v>12</x:v>
      </x:c>
      <x:c r="W2846" s="20" t="n">
        <x:v>5</x:v>
      </x:c>
      <x:c r="X2846" s="20" t="n">
        <x:v>3</x:v>
      </x:c>
      <x:c r="Y2846" t="str">
        <x:v>Basis arsip 2025/2024</x:v>
      </x:c>
      <x:c r="Z2846" t="str">
        <x:v>https://snpmb.id/utbk-snbt/daya-tampung-snbt</x:v>
      </x:c>
      <x:c r="AA2846" t="str">
        <x:v>Tidak Ada</x:v>
      </x:c>
      <x:c r="AB2846" t="str">
        <x:v>Campus=80; Ratio=45.5; Prodi=40; RelDemand=37.9; Capacity=66.7</x:v>
      </x:c>
    </x:row>
    <x:row r="2847">
      <x:c r="A2847" t="n">
        <x:v>2844</x:v>
      </x:c>
      <x:c r="B2847" t="str">
        <x:v>PTN Akademik</x:v>
      </x:c>
      <x:c r="C2847" t="str">
        <x:v>UNIVERSITAS UDAYANA</x:v>
      </x:c>
      <x:c r="D2847" t="str">
        <x:v>TEKNOLOGI INDUSTRI PERTANIAN</x:v>
      </x:c>
      <x:c r="E2847" t="str">
        <x:v>Sarjana</x:v>
      </x:c>
      <x:c r="F2847" s="18" t="n">
        <x:v>36</x:v>
      </x:c>
      <x:c r="G2847" s="18" t="n">
        <x:v>103</x:v>
      </x:c>
      <x:c r="H2847" s="19" t="n">
        <x:v>2.861111111111111</x:v>
      </x:c>
      <x:c r="I2847" s="18" t="n">
        <x:f>ROUND(MIN(Model_Config_v3!$B$6,MAX(Q2847,R2847,S2847*Model_Config_v3!$B$4+T2847*Model_Config_v3!$B$5)),0)</x:f>
        <x:v>635</x:v>
      </x:c>
      <x:c r="J2847" s="18" t="n">
        <x:f>MIN(Model_Config_v3!$B$6,I2847+Model_Config_v3!$B$7)</x:f>
        <x:v>655</x:v>
      </x:c>
      <x:c r="K2847" s="20" t="n">
        <x:v>51.5</x:v>
      </x:c>
      <x:c r="L2847" t="str">
        <x:v>MENENGAH</x:v>
      </x:c>
      <x:c r="M2847" t="str">
        <x:v>SEDANG+</x:v>
      </x:c>
      <x:c r="N2847" t="str">
        <x:v>ELITE-3</x:v>
      </x:c>
      <x:c r="O2847" t="str">
        <x:v>SAINTEK</x:v>
      </x:c>
      <x:c r="P2847" t="str">
        <x:v>UMUM</x:v>
      </x:c>
      <x:c r="Q2847" s="18" t="n">
        <x:v>630</x:v>
      </x:c>
      <x:c r="R2847" s="18" t="n">
        <x:v>0</x:v>
      </x:c>
      <x:c r="S2847" s="18" t="n">
        <x:v>570.2188196331673</x:v>
      </x:c>
      <x:c r="T2847" s="18" t="n">
        <x:v>663</x:v>
      </x:c>
      <x:c r="U2847" s="18" t="n">
        <x:v>630</x:v>
      </x:c>
      <x:c r="V2847" s="20" t="n">
        <x:v>12</x:v>
      </x:c>
      <x:c r="W2847" s="20" t="n">
        <x:v>5</x:v>
      </x:c>
      <x:c r="X2847" s="20" t="n">
        <x:v>3</x:v>
      </x:c>
      <x:c r="Y2847" t="str">
        <x:v>Basis arsip 2025/2024</x:v>
      </x:c>
      <x:c r="Z2847" t="str">
        <x:v>https://snpmb.id/utbk-snbt/daya-tampung-snbt</x:v>
      </x:c>
      <x:c r="AA2847" t="str">
        <x:v>Tidak Ada</x:v>
      </x:c>
      <x:c r="AB2847" t="str">
        <x:v>Campus=80; Ratio=26.9; Prodi=40; RelDemand=18.3; Capacity=70.0</x:v>
      </x:c>
    </x:row>
    <x:row r="2848">
      <x:c r="A2848" t="n">
        <x:v>2845</x:v>
      </x:c>
      <x:c r="B2848" t="str">
        <x:v>PTN Akademik</x:v>
      </x:c>
      <x:c r="C2848" t="str">
        <x:v>UNIVERSITAS UDAYANA</x:v>
      </x:c>
      <x:c r="D2848" t="str">
        <x:v>TEKNIK PERTANIAN DAN BIOSISTEM</x:v>
      </x:c>
      <x:c r="E2848" t="str">
        <x:v>Sarjana</x:v>
      </x:c>
      <x:c r="F2848" s="18" t="n">
        <x:v>28</x:v>
      </x:c>
      <x:c r="G2848" s="18" t="n">
        <x:v>62</x:v>
      </x:c>
      <x:c r="H2848" s="19" t="n">
        <x:v>2.2142857142857144</x:v>
      </x:c>
      <x:c r="I2848" s="18" t="n">
        <x:f>ROUND(MIN(Model_Config_v3!$B$6,MAX(Q2848,R2848,S2848*Model_Config_v3!$B$4+T2848*Model_Config_v3!$B$5)),0)</x:f>
        <x:v>635</x:v>
      </x:c>
      <x:c r="J2848" s="18" t="n">
        <x:f>MIN(Model_Config_v3!$B$6,I2848+Model_Config_v3!$B$7)</x:f>
        <x:v>655</x:v>
      </x:c>
      <x:c r="K2848" s="20" t="n">
        <x:v>54.2</x:v>
      </x:c>
      <x:c r="L2848" t="str">
        <x:v>MENENGAH</x:v>
      </x:c>
      <x:c r="M2848" t="str">
        <x:v>SEDANG+</x:v>
      </x:c>
      <x:c r="N2848" t="str">
        <x:v>ELITE-3</x:v>
      </x:c>
      <x:c r="O2848" t="str">
        <x:v>SAINTEK</x:v>
      </x:c>
      <x:c r="P2848" t="str">
        <x:v>TEKNIK/ARSITEKTUR/STATISTIKA/AKTUARIA</x:v>
      </x:c>
      <x:c r="Q2848" s="18" t="n">
        <x:v>630</x:v>
      </x:c>
      <x:c r="R2848" s="18" t="n">
        <x:v>0</x:v>
      </x:c>
      <x:c r="S2848" s="18" t="n">
        <x:v>557.9757023971638</x:v>
      </x:c>
      <x:c r="T2848" s="18" t="n">
        <x:v>668</x:v>
      </x:c>
      <x:c r="U2848" s="18" t="n">
        <x:v>630</x:v>
      </x:c>
      <x:c r="V2848" s="20" t="n">
        <x:v>12</x:v>
      </x:c>
      <x:c r="W2848" s="20" t="n">
        <x:v>5</x:v>
      </x:c>
      <x:c r="X2848" s="20" t="n">
        <x:v>3</x:v>
      </x:c>
      <x:c r="Y2848" t="str">
        <x:v>Basis arsip 2025/2024</x:v>
      </x:c>
      <x:c r="Z2848" t="str">
        <x:v>https://snpmb.id/utbk-snbt/daya-tampung-snbt</x:v>
      </x:c>
      <x:c r="AA2848" t="str">
        <x:v>Tidak Ada</x:v>
      </x:c>
      <x:c r="AB2848" t="str">
        <x:v>Campus=80; Ratio=20.3; Prodi=60; RelDemand=14.2; Capacity=76.7</x:v>
      </x:c>
    </x:row>
    <x:row r="2849">
      <x:c r="A2849" t="n">
        <x:v>2846</x:v>
      </x:c>
      <x:c r="B2849" t="str">
        <x:v>PTN Akademik</x:v>
      </x:c>
      <x:c r="C2849" t="str">
        <x:v>UNIVERSITAS UDAYANA</x:v>
      </x:c>
      <x:c r="D2849" t="str">
        <x:v>BIOLOGI</x:v>
      </x:c>
      <x:c r="E2849" t="str">
        <x:v>Sarjana</x:v>
      </x:c>
      <x:c r="F2849" s="18" t="n">
        <x:v>28</x:v>
      </x:c>
      <x:c r="G2849" s="18" t="n">
        <x:v>48</x:v>
      </x:c>
      <x:c r="H2849" s="19" t="n">
        <x:v>1.7142857142857142</x:v>
      </x:c>
      <x:c r="I2849" s="18" t="n">
        <x:f>ROUND(MIN(Model_Config_v3!$B$6,MAX(Q2849,R2849,S2849*Model_Config_v3!$B$4+T2849*Model_Config_v3!$B$5)),0)</x:f>
        <x:v>630</x:v>
      </x:c>
      <x:c r="J2849" s="18" t="n">
        <x:f>MIN(Model_Config_v3!$B$6,I2849+Model_Config_v3!$B$7)</x:f>
        <x:v>650</x:v>
      </x:c>
      <x:c r="K2849" s="20" t="n">
        <x:v>50.2</x:v>
      </x:c>
      <x:c r="L2849" t="str">
        <x:v>MENENGAH</x:v>
      </x:c>
      <x:c r="M2849" t="str">
        <x:v>SEDANG+</x:v>
      </x:c>
      <x:c r="N2849" t="str">
        <x:v>ELITE-3</x:v>
      </x:c>
      <x:c r="O2849" t="str">
        <x:v>SAINTEK</x:v>
      </x:c>
      <x:c r="P2849" t="str">
        <x:v>SAINS DASAR</x:v>
      </x:c>
      <x:c r="Q2849" s="18" t="n">
        <x:v>630</x:v>
      </x:c>
      <x:c r="R2849" s="18" t="n">
        <x:v>0</x:v>
      </x:c>
      <x:c r="S2849" s="18" t="n">
        <x:v>545.7491526636704</x:v>
      </x:c>
      <x:c r="T2849" s="18" t="n">
        <x:v>660</x:v>
      </x:c>
      <x:c r="U2849" s="18" t="n">
        <x:v>630</x:v>
      </x:c>
      <x:c r="V2849" s="20" t="n">
        <x:v>12</x:v>
      </x:c>
      <x:c r="W2849" s="20" t="n">
        <x:v>5</x:v>
      </x:c>
      <x:c r="X2849" s="20" t="n">
        <x:v>3</x:v>
      </x:c>
      <x:c r="Y2849" t="str">
        <x:v>Basis arsip 2025/2024</x:v>
      </x:c>
      <x:c r="Z2849" t="str">
        <x:v>https://snpmb.id/utbk-snbt/daya-tampung-snbt</x:v>
      </x:c>
      <x:c r="AA2849" t="str">
        <x:v>Tidak Ada</x:v>
      </x:c>
      <x:c r="AB2849" t="str">
        <x:v>Campus=80; Ratio=13.8; Prodi=50; RelDemand=11.0; Capacity=76.7</x:v>
      </x:c>
    </x:row>
    <x:row r="2850">
      <x:c r="A2850" t="n">
        <x:v>2847</x:v>
      </x:c>
      <x:c r="B2850" t="str">
        <x:v>PTN Akademik</x:v>
      </x:c>
      <x:c r="C2850" t="str">
        <x:v>UNIVERSITAS UDAYANA</x:v>
      </x:c>
      <x:c r="D2850" t="str">
        <x:v>KIMIA</x:v>
      </x:c>
      <x:c r="E2850" t="str">
        <x:v>Sarjana</x:v>
      </x:c>
      <x:c r="F2850" s="18" t="n">
        <x:v>32</x:v>
      </x:c>
      <x:c r="G2850" s="18" t="n">
        <x:v>48</x:v>
      </x:c>
      <x:c r="H2850" s="19" t="n">
        <x:v>1.5</x:v>
      </x:c>
      <x:c r="I2850" s="18" t="n">
        <x:f>ROUND(MIN(Model_Config_v3!$B$6,MAX(Q2850,R2850,S2850*Model_Config_v3!$B$4+T2850*Model_Config_v3!$B$5)),0)</x:f>
        <x:v>630</x:v>
      </x:c>
      <x:c r="J2850" s="18" t="n">
        <x:f>MIN(Model_Config_v3!$B$6,I2850+Model_Config_v3!$B$7)</x:f>
        <x:v>650</x:v>
      </x:c>
      <x:c r="K2850" s="20" t="n">
        <x:v>48.9</x:v>
      </x:c>
      <x:c r="L2850" t="str">
        <x:v>MENENGAH</x:v>
      </x:c>
      <x:c r="M2850" t="str">
        <x:v>SEDANG+</x:v>
      </x:c>
      <x:c r="N2850" t="str">
        <x:v>ELITE-3</x:v>
      </x:c>
      <x:c r="O2850" t="str">
        <x:v>SAINTEK</x:v>
      </x:c>
      <x:c r="P2850" t="str">
        <x:v>SAINS DASAR</x:v>
      </x:c>
      <x:c r="Q2850" s="18" t="n">
        <x:v>630</x:v>
      </x:c>
      <x:c r="R2850" s="18" t="n">
        <x:v>0</x:v>
      </x:c>
      <x:c r="S2850" s="18" t="n">
        <x:v>539.370038496125</x:v>
      </x:c>
      <x:c r="T2850" s="18" t="n">
        <x:v>658</x:v>
      </x:c>
      <x:c r="U2850" s="18" t="n">
        <x:v>630</x:v>
      </x:c>
      <x:c r="V2850" s="20" t="n">
        <x:v>12</x:v>
      </x:c>
      <x:c r="W2850" s="20" t="n">
        <x:v>5</x:v>
      </x:c>
      <x:c r="X2850" s="20" t="n">
        <x:v>3</x:v>
      </x:c>
      <x:c r="Y2850" t="str">
        <x:v>Basis arsip 2025/2024</x:v>
      </x:c>
      <x:c r="Z2850" t="str">
        <x:v>https://snpmb.id/utbk-snbt/daya-tampung-snbt</x:v>
      </x:c>
      <x:c r="AA2850" t="str">
        <x:v>Tidak Ada</x:v>
      </x:c>
      <x:c r="AB2850" t="str">
        <x:v>Campus=80; Ratio=10.4; Prodi=50; RelDemand=9.6; Capacity=73.3</x:v>
      </x:c>
    </x:row>
    <x:row r="2851">
      <x:c r="A2851" t="n">
        <x:v>2848</x:v>
      </x:c>
      <x:c r="B2851" t="str">
        <x:v>PTN Akademik</x:v>
      </x:c>
      <x:c r="C2851" t="str">
        <x:v>UNIVERSITAS UDAYANA</x:v>
      </x:c>
      <x:c r="D2851" t="str">
        <x:v>FISIKA</x:v>
      </x:c>
      <x:c r="E2851" t="str">
        <x:v>Sarjana</x:v>
      </x:c>
      <x:c r="F2851" s="18" t="n">
        <x:v>40</x:v>
      </x:c>
      <x:c r="G2851" s="18" t="n">
        <x:v>34</x:v>
      </x:c>
      <x:c r="H2851" s="19" t="n">
        <x:v>0.85</x:v>
      </x:c>
      <x:c r="I2851" s="18" t="n">
        <x:f>ROUND(MIN(Model_Config_v3!$B$6,MAX(Q2851,R2851,S2851*Model_Config_v3!$B$4+T2851*Model_Config_v3!$B$5)),0)</x:f>
        <x:v>630</x:v>
      </x:c>
      <x:c r="J2851" s="18" t="n">
        <x:f>MIN(Model_Config_v3!$B$6,I2851+Model_Config_v3!$B$7)</x:f>
        <x:v>650</x:v>
      </x:c>
      <x:c r="K2851" s="20" t="n">
        <x:v>45.2</x:v>
      </x:c>
      <x:c r="L2851" t="str">
        <x:v>MENENGAH</x:v>
      </x:c>
      <x:c r="M2851" t="str">
        <x:v>SEDANG+</x:v>
      </x:c>
      <x:c r="N2851" t="str">
        <x:v>ELITE-3</x:v>
      </x:c>
      <x:c r="O2851" t="str">
        <x:v>SAINTEK</x:v>
      </x:c>
      <x:c r="P2851" t="str">
        <x:v>SAINS DASAR</x:v>
      </x:c>
      <x:c r="Q2851" s="18" t="n">
        <x:v>630</x:v>
      </x:c>
      <x:c r="R2851" s="18" t="n">
        <x:v>0</x:v>
      </x:c>
      <x:c r="S2851" s="18" t="n">
        <x:v>520</x:v>
      </x:c>
      <x:c r="T2851" s="18" t="n">
        <x:v>650</x:v>
      </x:c>
      <x:c r="U2851" s="18" t="n">
        <x:v>630</x:v>
      </x:c>
      <x:c r="V2851" s="20" t="n">
        <x:v>12</x:v>
      </x:c>
      <x:c r="W2851" s="20" t="n">
        <x:v>5</x:v>
      </x:c>
      <x:c r="X2851" s="20" t="n">
        <x:v>3</x:v>
      </x:c>
      <x:c r="Y2851" t="str">
        <x:v>Basis arsip 2025/2024</x:v>
      </x:c>
      <x:c r="Z2851" t="str">
        <x:v>https://snpmb.id/utbk-snbt/daya-tampung-snbt</x:v>
      </x:c>
      <x:c r="AA2851" t="str">
        <x:v>Tidak Ada</x:v>
      </x:c>
      <x:c r="AB2851" t="str">
        <x:v>Campus=80; Ratio=0.0; Prodi=50; RelDemand=5.4; Capacity=66.7</x:v>
      </x:c>
    </x:row>
    <x:row r="2852">
      <x:c r="A2852" t="n">
        <x:v>2849</x:v>
      </x:c>
      <x:c r="B2852" t="str">
        <x:v>PTN Akademik</x:v>
      </x:c>
      <x:c r="C2852" t="str">
        <x:v>UNIVERSITAS UDAYANA</x:v>
      </x:c>
      <x:c r="D2852" t="str">
        <x:v>TEKNIK MESIN</x:v>
      </x:c>
      <x:c r="E2852" t="str">
        <x:v>Sarjana</x:v>
      </x:c>
      <x:c r="F2852" s="18" t="n">
        <x:v>72</x:v>
      </x:c>
      <x:c r="G2852" s="18" t="n">
        <x:v>192</x:v>
      </x:c>
      <x:c r="H2852" s="19" t="n">
        <x:v>2.6666666666666665</x:v>
      </x:c>
      <x:c r="I2852" s="18" t="n">
        <x:f>ROUND(MIN(Model_Config_v3!$B$6,MAX(Q2852,R2852,S2852*Model_Config_v3!$B$4+T2852*Model_Config_v3!$B$5)),0)</x:f>
        <x:v>635</x:v>
      </x:c>
      <x:c r="J2852" s="18" t="n">
        <x:f>MIN(Model_Config_v3!$B$6,I2852+Model_Config_v3!$B$7)</x:f>
        <x:v>655</x:v>
      </x:c>
      <x:c r="K2852" s="20" t="n">
        <x:v>52</x:v>
      </x:c>
      <x:c r="L2852" t="str">
        <x:v>MENENGAH</x:v>
      </x:c>
      <x:c r="M2852" t="str">
        <x:v>SEDANG+</x:v>
      </x:c>
      <x:c r="N2852" t="str">
        <x:v>ELITE-3</x:v>
      </x:c>
      <x:c r="O2852" t="str">
        <x:v>SAINTEK</x:v>
      </x:c>
      <x:c r="P2852" t="str">
        <x:v>TEKNIK/ARSITEKTUR/STATISTIKA/AKTUARIA</x:v>
      </x:c>
      <x:c r="Q2852" s="18" t="n">
        <x:v>630</x:v>
      </x:c>
      <x:c r="R2852" s="18" t="n">
        <x:v>0</x:v>
      </x:c>
      <x:c r="S2852" s="18" t="n">
        <x:v>566.8565605499509</x:v>
      </x:c>
      <x:c r="T2852" s="18" t="n">
        <x:v>664</x:v>
      </x:c>
      <x:c r="U2852" s="18" t="n">
        <x:v>630</x:v>
      </x:c>
      <x:c r="V2852" s="20" t="n">
        <x:v>12</x:v>
      </x:c>
      <x:c r="W2852" s="20" t="n">
        <x:v>5</x:v>
      </x:c>
      <x:c r="X2852" s="20" t="n">
        <x:v>3</x:v>
      </x:c>
      <x:c r="Y2852" t="str">
        <x:v>Basis arsip 2025/2024</x:v>
      </x:c>
      <x:c r="Z2852" t="str">
        <x:v>https://snpmb.id/utbk-snbt/daya-tampung-snbt</x:v>
      </x:c>
      <x:c r="AA2852" t="str">
        <x:v>Tidak Ada</x:v>
      </x:c>
      <x:c r="AB2852" t="str">
        <x:v>Campus=80; Ratio=25.1; Prodi=60; RelDemand=17.1; Capacity=40.0</x:v>
      </x:c>
    </x:row>
    <x:row r="2853">
      <x:c r="A2853" t="n">
        <x:v>2850</x:v>
      </x:c>
      <x:c r="B2853" t="str">
        <x:v>PTN Akademik</x:v>
      </x:c>
      <x:c r="C2853" t="str">
        <x:v>UNIVERSITAS UDAYANA</x:v>
      </x:c>
      <x:c r="D2853" t="str">
        <x:v>TEKNIK ELEKTRO</x:v>
      </x:c>
      <x:c r="E2853" t="str">
        <x:v>Sarjana</x:v>
      </x:c>
      <x:c r="F2853" s="18" t="n">
        <x:v>64</x:v>
      </x:c>
      <x:c r="G2853" s="18" t="n">
        <x:v>190</x:v>
      </x:c>
      <x:c r="H2853" s="19" t="n">
        <x:v>2.96875</x:v>
      </x:c>
      <x:c r="I2853" s="18" t="n">
        <x:f>ROUND(MIN(Model_Config_v3!$B$6,MAX(Q2853,R2853,S2853*Model_Config_v3!$B$4+T2853*Model_Config_v3!$B$5)),0)</x:f>
        <x:v>638</x:v>
      </x:c>
      <x:c r="J2853" s="18" t="n">
        <x:f>MIN(Model_Config_v3!$B$6,I2853+Model_Config_v3!$B$7)</x:f>
        <x:v>658</x:v>
      </x:c>
      <x:c r="K2853" s="20" t="n">
        <x:v>53.5</x:v>
      </x:c>
      <x:c r="L2853" t="str">
        <x:v>MENENGAH</x:v>
      </x:c>
      <x:c r="M2853" t="str">
        <x:v>SEDANG+</x:v>
      </x:c>
      <x:c r="N2853" t="str">
        <x:v>ELITE-3</x:v>
      </x:c>
      <x:c r="O2853" t="str">
        <x:v>SAINTEK</x:v>
      </x:c>
      <x:c r="P2853" t="str">
        <x:v>TEKNIK/ARSITEKTUR/STATISTIKA/AKTUARIA</x:v>
      </x:c>
      <x:c r="Q2853" s="18" t="n">
        <x:v>630</x:v>
      </x:c>
      <x:c r="R2853" s="18" t="n">
        <x:v>0</x:v>
      </x:c>
      <x:c r="S2853" s="18" t="n">
        <x:v>571.9830989665836</x:v>
      </x:c>
      <x:c r="T2853" s="18" t="n">
        <x:v>667</x:v>
      </x:c>
      <x:c r="U2853" s="18" t="n">
        <x:v>630</x:v>
      </x:c>
      <x:c r="V2853" s="20" t="n">
        <x:v>12</x:v>
      </x:c>
      <x:c r="W2853" s="20" t="n">
        <x:v>5</x:v>
      </x:c>
      <x:c r="X2853" s="20" t="n">
        <x:v>3</x:v>
      </x:c>
      <x:c r="Y2853" t="str">
        <x:v>Basis arsip 2025/2024</x:v>
      </x:c>
      <x:c r="Z2853" t="str">
        <x:v>https://snpmb.id/utbk-snbt/daya-tampung-snbt</x:v>
      </x:c>
      <x:c r="AA2853" t="str">
        <x:v>Tidak Ada</x:v>
      </x:c>
      <x:c r="AB2853" t="str">
        <x:v>Campus=80; Ratio=27.8; Prodi=60; RelDemand=19.0; Capacity=46.7</x:v>
      </x:c>
    </x:row>
    <x:row r="2854">
      <x:c r="A2854" t="n">
        <x:v>2851</x:v>
      </x:c>
      <x:c r="B2854" t="str">
        <x:v>PTN Akademik</x:v>
      </x:c>
      <x:c r="C2854" t="str">
        <x:v>UNIVERSITAS UDAYANA</x:v>
      </x:c>
      <x:c r="D2854" t="str">
        <x:v>AGRIBISNIS</x:v>
      </x:c>
      <x:c r="E2854" t="str">
        <x:v>Sarjana</x:v>
      </x:c>
      <x:c r="F2854" s="18" t="n">
        <x:v>84</x:v>
      </x:c>
      <x:c r="G2854" s="18" t="n">
        <x:v>212</x:v>
      </x:c>
      <x:c r="H2854" s="19" t="n">
        <x:v>2.5238095238095237</x:v>
      </x:c>
      <x:c r="I2854" s="18" t="n">
        <x:f>ROUND(MIN(Model_Config_v3!$B$6,MAX(Q2854,R2854,S2854*Model_Config_v3!$B$4+T2854*Model_Config_v3!$B$5)),0)</x:f>
        <x:v>633</x:v>
      </x:c>
      <x:c r="J2854" s="18" t="n">
        <x:f>MIN(Model_Config_v3!$B$6,I2854+Model_Config_v3!$B$7)</x:f>
        <x:v>653</x:v>
      </x:c>
      <x:c r="K2854" s="20" t="n">
        <x:v>51.5</x:v>
      </x:c>
      <x:c r="L2854" t="str">
        <x:v>MENENGAH</x:v>
      </x:c>
      <x:c r="M2854" t="str">
        <x:v>SEDANG+</x:v>
      </x:c>
      <x:c r="N2854" t="str">
        <x:v>ELITE-3</x:v>
      </x:c>
      <x:c r="O2854" t="str">
        <x:v>SOSHUM</x:v>
      </x:c>
      <x:c r="P2854" t="str">
        <x:v>BISNIS/EKONOMI/AKUNTANSI</x:v>
      </x:c>
      <x:c r="Q2854" s="18" t="n">
        <x:v>630</x:v>
      </x:c>
      <x:c r="R2854" s="18" t="n">
        <x:v>0</x:v>
      </x:c>
      <x:c r="S2854" s="18" t="n">
        <x:v>564.2262232353556</x:v>
      </x:c>
      <x:c r="T2854" s="18" t="n">
        <x:v>663</x:v>
      </x:c>
      <x:c r="U2854" s="18" t="n">
        <x:v>630</x:v>
      </x:c>
      <x:c r="V2854" s="20" t="n">
        <x:v>4.4</x:v>
      </x:c>
      <x:c r="W2854" s="20" t="n">
        <x:v>14.3</x:v>
      </x:c>
      <x:c r="X2854" s="20" t="n">
        <x:v>3.3</x:v>
      </x:c>
      <x:c r="Y2854" t="str">
        <x:v>Basis arsip 2025/2024</x:v>
      </x:c>
      <x:c r="Z2854" t="str">
        <x:v>https://snpmb.id/utbk-snbt/daya-tampung-snbt</x:v>
      </x:c>
      <x:c r="AA2854" t="str">
        <x:v>Tidak Ada</x:v>
      </x:c>
      <x:c r="AB2854" t="str">
        <x:v>Campus=80; Ratio=23.7; Prodi=65; RelDemand=16.1; Capacity=30.0</x:v>
      </x:c>
    </x:row>
    <x:row r="2855">
      <x:c r="A2855" t="n">
        <x:v>2852</x:v>
      </x:c>
      <x:c r="B2855" t="str">
        <x:v>PTN Akademik</x:v>
      </x:c>
      <x:c r="C2855" t="str">
        <x:v>UNIVERSITAS UDAYANA</x:v>
      </x:c>
      <x:c r="D2855" t="str">
        <x:v>AGROEKOTEKNOLOGI</x:v>
      </x:c>
      <x:c r="E2855" t="str">
        <x:v>Sarjana</x:v>
      </x:c>
      <x:c r="F2855" s="18" t="n">
        <x:v>84</x:v>
      </x:c>
      <x:c r="G2855" s="18" t="n">
        <x:v>157</x:v>
      </x:c>
      <x:c r="H2855" s="19" t="n">
        <x:v>1.869047619047619</x:v>
      </x:c>
      <x:c r="I2855" s="18" t="n">
        <x:f>ROUND(MIN(Model_Config_v3!$B$6,MAX(Q2855,R2855,S2855*Model_Config_v3!$B$4+T2855*Model_Config_v3!$B$5)),0)</x:f>
        <x:v>630</x:v>
      </x:c>
      <x:c r="J2855" s="18" t="n">
        <x:f>MIN(Model_Config_v3!$B$6,I2855+Model_Config_v3!$B$7)</x:f>
        <x:v>650</x:v>
      </x:c>
      <x:c r="K2855" s="20" t="n">
        <x:v>44.2</x:v>
      </x:c>
      <x:c r="L2855" t="str">
        <x:v>RELATIF LONGGAR</x:v>
      </x:c>
      <x:c r="M2855" t="str">
        <x:v>SEDANG+</x:v>
      </x:c>
      <x:c r="N2855" t="str">
        <x:v>ELITE-3</x:v>
      </x:c>
      <x:c r="O2855" t="str">
        <x:v>SAINTEK</x:v>
      </x:c>
      <x:c r="P2855" t="str">
        <x:v>UMUM</x:v>
      </x:c>
      <x:c r="Q2855" s="18" t="n">
        <x:v>630</x:v>
      </x:c>
      <x:c r="R2855" s="18" t="n">
        <x:v>0</x:v>
      </x:c>
      <x:c r="S2855" s="18" t="n">
        <x:v>549.8782402982088</x:v>
      </x:c>
      <x:c r="T2855" s="18" t="n">
        <x:v>648</x:v>
      </x:c>
      <x:c r="U2855" s="18" t="n">
        <x:v>630</x:v>
      </x:c>
      <x:c r="V2855" s="20" t="n">
        <x:v>12</x:v>
      </x:c>
      <x:c r="W2855" s="20" t="n">
        <x:v>5</x:v>
      </x:c>
      <x:c r="X2855" s="20" t="n">
        <x:v>3</x:v>
      </x:c>
      <x:c r="Y2855" t="str">
        <x:v>Basis arsip 2025/2024</x:v>
      </x:c>
      <x:c r="Z2855" t="str">
        <x:v>https://snpmb.id/utbk-snbt/daya-tampung-snbt</x:v>
      </x:c>
      <x:c r="AA2855" t="str">
        <x:v>Tidak Ada</x:v>
      </x:c>
      <x:c r="AB2855" t="str">
        <x:v>Campus=80; Ratio=16.0; Prodi=40; RelDemand=12.0; Capacity=30.0</x:v>
      </x:c>
    </x:row>
    <x:row r="2856">
      <x:c r="A2856" t="n">
        <x:v>2853</x:v>
      </x:c>
      <x:c r="B2856" t="str">
        <x:v>PTN Akademik</x:v>
      </x:c>
      <x:c r="C2856" t="str">
        <x:v>UNIVERSITAS UDAYANA</x:v>
      </x:c>
      <x:c r="D2856" t="str">
        <x:v>PETERNAKAN</x:v>
      </x:c>
      <x:c r="E2856" t="str">
        <x:v>Sarjana</x:v>
      </x:c>
      <x:c r="F2856" s="18" t="n">
        <x:v>80</x:v>
      </x:c>
      <x:c r="G2856" s="18" t="n">
        <x:v>110</x:v>
      </x:c>
      <x:c r="H2856" s="19" t="n">
        <x:v>1.375</x:v>
      </x:c>
      <x:c r="I2856" s="18" t="n">
        <x:f>ROUND(MIN(Model_Config_v3!$B$6,MAX(Q2856,R2856,S2856*Model_Config_v3!$B$4+T2856*Model_Config_v3!$B$5)),0)</x:f>
        <x:v>630</x:v>
      </x:c>
      <x:c r="J2856" s="18" t="n">
        <x:f>MIN(Model_Config_v3!$B$6,I2856+Model_Config_v3!$B$7)</x:f>
        <x:v>650</x:v>
      </x:c>
      <x:c r="K2856" s="20" t="n">
        <x:v>42.2</x:v>
      </x:c>
      <x:c r="L2856" t="str">
        <x:v>RELATIF LONGGAR</x:v>
      </x:c>
      <x:c r="M2856" t="str">
        <x:v>SEDANG+</x:v>
      </x:c>
      <x:c r="N2856" t="str">
        <x:v>ELITE-3</x:v>
      </x:c>
      <x:c r="O2856" t="str">
        <x:v>SAINTEK</x:v>
      </x:c>
      <x:c r="P2856" t="str">
        <x:v>UMUM</x:v>
      </x:c>
      <x:c r="Q2856" s="18" t="n">
        <x:v>630</x:v>
      </x:c>
      <x:c r="R2856" s="18" t="n">
        <x:v>0</x:v>
      </x:c>
      <x:c r="S2856" s="18" t="n">
        <x:v>535.2132967982909</x:v>
      </x:c>
      <x:c r="T2856" s="18" t="n">
        <x:v>644</x:v>
      </x:c>
      <x:c r="U2856" s="18" t="n">
        <x:v>630</x:v>
      </x:c>
      <x:c r="V2856" s="20" t="n">
        <x:v>12</x:v>
      </x:c>
      <x:c r="W2856" s="20" t="n">
        <x:v>5</x:v>
      </x:c>
      <x:c r="X2856" s="20" t="n">
        <x:v>3</x:v>
      </x:c>
      <x:c r="Y2856" t="str">
        <x:v>Basis arsip 2025/2024</x:v>
      </x:c>
      <x:c r="Z2856" t="str">
        <x:v>https://snpmb.id/utbk-snbt/daya-tampung-snbt</x:v>
      </x:c>
      <x:c r="AA2856" t="str">
        <x:v>Tidak Ada</x:v>
      </x:c>
      <x:c r="AB2856" t="str">
        <x:v>Campus=80; Ratio=8.1; Prodi=40; RelDemand=8.8; Capacity=33.3</x:v>
      </x:c>
    </x:row>
    <x:row r="2857">
      <x:c r="A2857" t="n">
        <x:v>2854</x:v>
      </x:c>
      <x:c r="B2857" t="str">
        <x:v>PTN Akademik</x:v>
      </x:c>
      <x:c r="C2857" t="str">
        <x:v>UNIVERSITAS UDAYANA</x:v>
      </x:c>
      <x:c r="D2857" t="str">
        <x:v>MATEMATIKA</x:v>
      </x:c>
      <x:c r="E2857" t="str">
        <x:v>Sarjana</x:v>
      </x:c>
      <x:c r="F2857" s="18" t="n">
        <x:v>44</x:v>
      </x:c>
      <x:c r="G2857" s="18" t="n">
        <x:v>56</x:v>
      </x:c>
      <x:c r="H2857" s="19" t="n">
        <x:v>1.2727272727272727</x:v>
      </x:c>
      <x:c r="I2857" s="18" t="n">
        <x:f>ROUND(MIN(Model_Config_v3!$B$6,MAX(Q2857,R2857,S2857*Model_Config_v3!$B$4+T2857*Model_Config_v3!$B$5)),0)</x:f>
        <x:v>630</x:v>
      </x:c>
      <x:c r="J2857" s="18" t="n">
        <x:f>MIN(Model_Config_v3!$B$6,I2857+Model_Config_v3!$B$7)</x:f>
        <x:v>650</x:v>
      </x:c>
      <x:c r="K2857" s="20" t="n">
        <x:v>46.7</x:v>
      </x:c>
      <x:c r="L2857" t="str">
        <x:v>MENENGAH</x:v>
      </x:c>
      <x:c r="M2857" t="str">
        <x:v>SEDANG+</x:v>
      </x:c>
      <x:c r="N2857" t="str">
        <x:v>ELITE-3</x:v>
      </x:c>
      <x:c r="O2857" t="str">
        <x:v>SAINTEK</x:v>
      </x:c>
      <x:c r="P2857" t="str">
        <x:v>SAINS DASAR</x:v>
      </x:c>
      <x:c r="Q2857" s="18" t="n">
        <x:v>630</x:v>
      </x:c>
      <x:c r="R2857" s="18" t="n">
        <x:v>0</x:v>
      </x:c>
      <x:c r="S2857" s="18" t="n">
        <x:v>531.5208885572014</x:v>
      </x:c>
      <x:c r="T2857" s="18" t="n">
        <x:v>653</x:v>
      </x:c>
      <x:c r="U2857" s="18" t="n">
        <x:v>630</x:v>
      </x:c>
      <x:c r="V2857" s="20" t="n">
        <x:v>12</x:v>
      </x:c>
      <x:c r="W2857" s="20" t="n">
        <x:v>5</x:v>
      </x:c>
      <x:c r="X2857" s="20" t="n">
        <x:v>3</x:v>
      </x:c>
      <x:c r="Y2857" t="str">
        <x:v>Basis arsip 2025/2024</x:v>
      </x:c>
      <x:c r="Z2857" t="str">
        <x:v>https://snpmb.id/utbk-snbt/daya-tampung-snbt</x:v>
      </x:c>
      <x:c r="AA2857" t="str">
        <x:v>Tidak Ada</x:v>
      </x:c>
      <x:c r="AB2857" t="str">
        <x:v>Campus=80; Ratio=6.2; Prodi=50; RelDemand=8.1; Capacity=63.3</x:v>
      </x:c>
    </x:row>
    <x:row r="2858">
      <x:c r="A2858" t="n">
        <x:v>2855</x:v>
      </x:c>
      <x:c r="B2858" t="str">
        <x:v>PTN Akademik</x:v>
      </x:c>
      <x:c r="C2858" t="str">
        <x:v>UNIVERSITAS UDAYANA</x:v>
      </x:c>
      <x:c r="D2858" t="str">
        <x:v>ILMU KESEHATAN MASYARAKAT</x:v>
      </x:c>
      <x:c r="E2858" t="str">
        <x:v>Sarjana</x:v>
      </x:c>
      <x:c r="F2858" s="18" t="n">
        <x:v>60</x:v>
      </x:c>
      <x:c r="G2858" s="18" t="n">
        <x:v>502</x:v>
      </x:c>
      <x:c r="H2858" s="19" t="n">
        <x:v>8.366666666666667</x:v>
      </x:c>
      <x:c r="I2858" s="18" t="n">
        <x:f>ROUND(MIN(Model_Config_v3!$B$6,MAX(Q2858,R2858,S2858*Model_Config_v3!$B$4+T2858*Model_Config_v3!$B$5)),0)</x:f>
        <x:v>667</x:v>
      </x:c>
      <x:c r="J2858" s="18" t="n">
        <x:f>MIN(Model_Config_v3!$B$6,I2858+Model_Config_v3!$B$7)</x:f>
        <x:v>687</x:v>
      </x:c>
      <x:c r="K2858" s="20" t="n">
        <x:v>62.9</x:v>
      </x:c>
      <x:c r="L2858" t="str">
        <x:v>KETAT</x:v>
      </x:c>
      <x:c r="M2858" t="str">
        <x:v>SEDANG+</x:v>
      </x:c>
      <x:c r="N2858" t="str">
        <x:v>ELITE-3</x:v>
      </x:c>
      <x:c r="O2858" t="str">
        <x:v>SAINTEK</x:v>
      </x:c>
      <x:c r="P2858" t="str">
        <x:v>KESEHAT/GIZI/KEPERAWATAN</x:v>
      </x:c>
      <x:c r="Q2858" s="18" t="n">
        <x:v>630</x:v>
      </x:c>
      <x:c r="R2858" s="18" t="n">
        <x:v>0</x:v>
      </x:c>
      <x:c r="S2858" s="18" t="n">
        <x:v>621.4807713437513</x:v>
      </x:c>
      <x:c r="T2858" s="18" t="n">
        <x:v>686</x:v>
      </x:c>
      <x:c r="U2858" s="18" t="n">
        <x:v>630</x:v>
      </x:c>
      <x:c r="V2858" s="20" t="n">
        <x:v>12</x:v>
      </x:c>
      <x:c r="W2858" s="20" t="n">
        <x:v>5</x:v>
      </x:c>
      <x:c r="X2858" s="20" t="n">
        <x:v>3</x:v>
      </x:c>
      <x:c r="Y2858" t="str">
        <x:v>Basis arsip 2025/2024</x:v>
      </x:c>
      <x:c r="Z2858" t="str">
        <x:v>https://snpmb.id/utbk-snbt/daya-tampung-snbt</x:v>
      </x:c>
      <x:c r="AA2858" t="str">
        <x:v>Tidak Ada</x:v>
      </x:c>
      <x:c r="AB2858" t="str">
        <x:v>Campus=80; Ratio=54.3; Prodi=55; RelDemand=53.5; Capacity=50.0</x:v>
      </x:c>
    </x:row>
    <x:row r="2859">
      <x:c r="A2859" t="n">
        <x:v>2856</x:v>
      </x:c>
      <x:c r="B2859" t="str">
        <x:v>PTN Akademik</x:v>
      </x:c>
      <x:c r="C2859" t="str">
        <x:v>UNIVERSITAS UDAYANA</x:v>
      </x:c>
      <x:c r="D2859" t="str">
        <x:v>FARMASI</x:v>
      </x:c>
      <x:c r="E2859" t="str">
        <x:v>Sarjana</x:v>
      </x:c>
      <x:c r="F2859" s="18" t="n">
        <x:v>40</x:v>
      </x:c>
      <x:c r="G2859" s="18" t="n">
        <x:v>899</x:v>
      </x:c>
      <x:c r="H2859" s="19" t="n">
        <x:v>22.475</x:v>
      </x:c>
      <x:c r="I2859" s="18" t="n">
        <x:f>ROUND(MIN(Model_Config_v3!$B$6,MAX(Q2859,R2859,S2859*Model_Config_v3!$B$4+T2859*Model_Config_v3!$B$5)),0)</x:f>
        <x:v>704</x:v>
      </x:c>
      <x:c r="J2859" s="18" t="n">
        <x:f>MIN(Model_Config_v3!$B$6,I2859+Model_Config_v3!$B$7)</x:f>
        <x:v>724</x:v>
      </x:c>
      <x:c r="K2859" s="20" t="n">
        <x:v>79.6</x:v>
      </x:c>
      <x:c r="L2859" t="str">
        <x:v>ELITE</x:v>
      </x:c>
      <x:c r="M2859" t="str">
        <x:v>SEDANG+</x:v>
      </x:c>
      <x:c r="N2859" t="str">
        <x:v>ELITE-3</x:v>
      </x:c>
      <x:c r="O2859" t="str">
        <x:v>SAINTEK</x:v>
      </x:c>
      <x:c r="P2859" t="str">
        <x:v>FARMASI</x:v>
      </x:c>
      <x:c r="Q2859" s="18" t="n">
        <x:v>630</x:v>
      </x:c>
      <x:c r="R2859" s="18" t="n">
        <x:v>660</x:v>
      </x:c>
      <x:c r="S2859" s="18" t="n">
        <x:v>668.6869670445793</x:v>
      </x:c>
      <x:c r="T2859" s="18" t="n">
        <x:v>719</x:v>
      </x:c>
      <x:c r="U2859" s="18" t="n">
        <x:v>688.6869670445793</x:v>
      </x:c>
      <x:c r="V2859" s="20" t="n">
        <x:v>12</x:v>
      </x:c>
      <x:c r="W2859" s="20" t="n">
        <x:v>5</x:v>
      </x:c>
      <x:c r="X2859" s="20" t="n">
        <x:v>3</x:v>
      </x:c>
      <x:c r="Y2859" t="str">
        <x:v>Basis arsip 2025/2024</x:v>
      </x:c>
      <x:c r="Z2859" t="str">
        <x:v>https://snpmb.id/utbk-snbt/daya-tampung-snbt</x:v>
      </x:c>
      <x:c r="AA2859" t="str">
        <x:v>Tidak Ada</x:v>
      </x:c>
      <x:c r="AB2859" t="str">
        <x:v>Campus=80; Ratio=79.6; Prodi=75; RelDemand=100.0; Capacity=66.7</x:v>
      </x:c>
    </x:row>
    <x:row r="2860">
      <x:c r="A2860" t="n">
        <x:v>2857</x:v>
      </x:c>
      <x:c r="B2860" t="str">
        <x:v>PTN Akademik</x:v>
      </x:c>
      <x:c r="C2860" t="str">
        <x:v>UNIVERSITAS UDAYANA</x:v>
      </x:c>
      <x:c r="D2860" t="str">
        <x:v>KEPERAWATAN</x:v>
      </x:c>
      <x:c r="E2860" t="str">
        <x:v>Sarjana</x:v>
      </x:c>
      <x:c r="F2860" s="18" t="n">
        <x:v>40</x:v>
      </x:c>
      <x:c r="G2860" s="18" t="n">
        <x:v>561</x:v>
      </x:c>
      <x:c r="H2860" s="19" t="n">
        <x:v>14.025</x:v>
      </x:c>
      <x:c r="I2860" s="18" t="n">
        <x:f>ROUND(MIN(Model_Config_v3!$B$6,MAX(Q2860,R2860,S2860*Model_Config_v3!$B$4+T2860*Model_Config_v3!$B$5)),0)</x:f>
        <x:v>686</x:v>
      </x:c>
      <x:c r="J2860" s="18" t="n">
        <x:f>MIN(Model_Config_v3!$B$6,I2860+Model_Config_v3!$B$7)</x:f>
        <x:v>706</x:v>
      </x:c>
      <x:c r="K2860" s="20" t="n">
        <x:v>71.5</x:v>
      </x:c>
      <x:c r="L2860" t="str">
        <x:v>SANGAT KETAT</x:v>
      </x:c>
      <x:c r="M2860" t="str">
        <x:v>SEDANG+</x:v>
      </x:c>
      <x:c r="N2860" t="str">
        <x:v>ELITE-3</x:v>
      </x:c>
      <x:c r="O2860" t="str">
        <x:v>SAINTEK</x:v>
      </x:c>
      <x:c r="P2860" t="str">
        <x:v>KESEHAT/GIZI/KEPERAWATAN</x:v>
      </x:c>
      <x:c r="Q2860" s="18" t="n">
        <x:v>630</x:v>
      </x:c>
      <x:c r="R2860" s="18" t="n">
        <x:v>0</x:v>
      </x:c>
      <x:c r="S2860" s="18" t="n">
        <x:v>646.1593156921019</x:v>
      </x:c>
      <x:c r="T2860" s="18" t="n">
        <x:v>703</x:v>
      </x:c>
      <x:c r="U2860" s="18" t="n">
        <x:v>646.1593156921019</x:v>
      </x:c>
      <x:c r="V2860" s="20" t="n">
        <x:v>12</x:v>
      </x:c>
      <x:c r="W2860" s="20" t="n">
        <x:v>5</x:v>
      </x:c>
      <x:c r="X2860" s="20" t="n">
        <x:v>3</x:v>
      </x:c>
      <x:c r="Y2860" t="str">
        <x:v>Basis arsip 2025/2024</x:v>
      </x:c>
      <x:c r="Z2860" t="str">
        <x:v>https://snpmb.id/utbk-snbt/daya-tampung-snbt</x:v>
      </x:c>
      <x:c r="AA2860" t="str">
        <x:v>Tidak Ada</x:v>
      </x:c>
      <x:c r="AB2860" t="str">
        <x:v>Campus=80; Ratio=67.5; Prodi=55; RelDemand=89.7; Capacity=66.7</x:v>
      </x:c>
    </x:row>
    <x:row r="2861">
      <x:c r="A2861" t="n">
        <x:v>2858</x:v>
      </x:c>
      <x:c r="B2861" t="str">
        <x:v>PTN Akademik</x:v>
      </x:c>
      <x:c r="C2861" t="str">
        <x:v>UNIVERSITAS UDAYANA</x:v>
      </x:c>
      <x:c r="D2861" t="str">
        <x:v>INFORMATIKA</x:v>
      </x:c>
      <x:c r="E2861" t="str">
        <x:v>Sarjana</x:v>
      </x:c>
      <x:c r="F2861" s="18" t="n">
        <x:v>66</x:v>
      </x:c>
      <x:c r="G2861" s="18" t="n">
        <x:v>667</x:v>
      </x:c>
      <x:c r="H2861" s="19" t="n">
        <x:v>10.106060606060606</x:v>
      </x:c>
      <x:c r="I2861" s="18" t="n">
        <x:f>ROUND(MIN(Model_Config_v3!$B$6,MAX(Q2861,R2861,S2861*Model_Config_v3!$B$4+T2861*Model_Config_v3!$B$5)),0)</x:f>
        <x:v>680</x:v>
      </x:c>
      <x:c r="J2861" s="18" t="n">
        <x:f>MIN(Model_Config_v3!$B$6,I2861+Model_Config_v3!$B$7)</x:f>
        <x:v>700</x:v>
      </x:c>
      <x:c r="K2861" s="20" t="n">
        <x:v>70.7</x:v>
      </x:c>
      <x:c r="L2861" t="str">
        <x:v>SANGAT KETAT</x:v>
      </x:c>
      <x:c r="M2861" t="str">
        <x:v>SEDANG+</x:v>
      </x:c>
      <x:c r="N2861" t="str">
        <x:v>ELITE-3</x:v>
      </x:c>
      <x:c r="O2861" t="str">
        <x:v>SAINTEK</x:v>
      </x:c>
      <x:c r="P2861" t="str">
        <x:v>KOMPUTER/INFORMATIKA</x:v>
      </x:c>
      <x:c r="Q2861" s="18" t="n">
        <x:v>630</x:v>
      </x:c>
      <x:c r="R2861" s="18" t="n">
        <x:v>675</x:v>
      </x:c>
      <x:c r="S2861" s="18" t="n">
        <x:v>630.5040088212148</x:v>
      </x:c>
      <x:c r="T2861" s="18" t="n">
        <x:v>701</x:v>
      </x:c>
      <x:c r="U2861" s="18" t="n">
        <x:v>675</x:v>
      </x:c>
      <x:c r="V2861" s="20" t="n">
        <x:v>12</x:v>
      </x:c>
      <x:c r="W2861" s="20" t="n">
        <x:v>5</x:v>
      </x:c>
      <x:c r="X2861" s="20" t="n">
        <x:v>3</x:v>
      </x:c>
      <x:c r="Y2861" t="str">
        <x:v>Basis arsip 2025/2024</x:v>
      </x:c>
      <x:c r="Z2861" t="str">
        <x:v>https://snpmb.id/utbk-snbt/daya-tampung-snbt</x:v>
      </x:c>
      <x:c r="AA2861" t="str">
        <x:v>Tidak Ada</x:v>
      </x:c>
      <x:c r="AB2861" t="str">
        <x:v>Campus=80; Ratio=59.1; Prodi=85; RelDemand=64.7; Capacity=45.0</x:v>
      </x:c>
    </x:row>
    <x:row r="2862">
      <x:c r="A2862" t="n">
        <x:v>2859</x:v>
      </x:c>
      <x:c r="B2862" t="str">
        <x:v>PTN Akademik</x:v>
      </x:c>
      <x:c r="C2862" t="str">
        <x:v>UNIVERSITAS UDAYANA</x:v>
      </x:c>
      <x:c r="D2862" t="str">
        <x:v>TEKNOLOGI INFORMASI</x:v>
      </x:c>
      <x:c r="E2862" t="str">
        <x:v>Sarjana</x:v>
      </x:c>
      <x:c r="F2862" s="18" t="n">
        <x:v>72</x:v>
      </x:c>
      <x:c r="G2862" s="18" t="n">
        <x:v>545</x:v>
      </x:c>
      <x:c r="H2862" s="19" t="n">
        <x:v>7.569444444444445</x:v>
      </x:c>
      <x:c r="I2862" s="18" t="n">
        <x:f>ROUND(MIN(Model_Config_v3!$B$6,MAX(Q2862,R2862,S2862*Model_Config_v3!$B$4+T2862*Model_Config_v3!$B$5)),0)</x:f>
        <x:v>658</x:v>
      </x:c>
      <x:c r="J2862" s="18" t="n">
        <x:f>MIN(Model_Config_v3!$B$6,I2862+Model_Config_v3!$B$7)</x:f>
        <x:v>678</x:v>
      </x:c>
      <x:c r="K2862" s="20" t="n">
        <x:v>57.8</x:v>
      </x:c>
      <x:c r="L2862" t="str">
        <x:v>KETAT</x:v>
      </x:c>
      <x:c r="M2862" t="str">
        <x:v>SEDANG+</x:v>
      </x:c>
      <x:c r="N2862" t="str">
        <x:v>ELITE-3</x:v>
      </x:c>
      <x:c r="O2862" t="str">
        <x:v>SAINTEK</x:v>
      </x:c>
      <x:c r="P2862" t="str">
        <x:v>UMUM</x:v>
      </x:c>
      <x:c r="Q2862" s="18" t="n">
        <x:v>630</x:v>
      </x:c>
      <x:c r="R2862" s="18" t="n">
        <x:v>0</x:v>
      </x:c>
      <x:c r="S2862" s="18" t="n">
        <x:v>616.6970406429912</x:v>
      </x:c>
      <x:c r="T2862" s="18" t="n">
        <x:v>676</x:v>
      </x:c>
      <x:c r="U2862" s="18" t="n">
        <x:v>630</x:v>
      </x:c>
      <x:c r="V2862" s="20" t="n">
        <x:v>12</x:v>
      </x:c>
      <x:c r="W2862" s="20" t="n">
        <x:v>5</x:v>
      </x:c>
      <x:c r="X2862" s="20" t="n">
        <x:v>3</x:v>
      </x:c>
      <x:c r="Y2862" t="str">
        <x:v>Basis arsip 2025/2024</x:v>
      </x:c>
      <x:c r="Z2862" t="str">
        <x:v>https://snpmb.id/utbk-snbt/daya-tampung-snbt</x:v>
      </x:c>
      <x:c r="AA2862" t="str">
        <x:v>Tidak Ada</x:v>
      </x:c>
      <x:c r="AB2862" t="str">
        <x:v>Campus=80; Ratio=51.7; Prodi=40; RelDemand=48.4; Capacity=40.0</x:v>
      </x:c>
    </x:row>
    <x:row r="2863">
      <x:c r="A2863" t="n">
        <x:v>2860</x:v>
      </x:c>
      <x:c r="B2863" t="str">
        <x:v>PTN Akademik</x:v>
      </x:c>
      <x:c r="C2863" t="str">
        <x:v>UNIVERSITAS UDAYANA</x:v>
      </x:c>
      <x:c r="D2863" t="str">
        <x:v>FISIOTERAPI</x:v>
      </x:c>
      <x:c r="E2863" t="str">
        <x:v>Sarjana</x:v>
      </x:c>
      <x:c r="F2863" s="18" t="n">
        <x:v>28</x:v>
      </x:c>
      <x:c r="G2863" s="18" t="n">
        <x:v>377</x:v>
      </x:c>
      <x:c r="H2863" s="19" t="n">
        <x:v>13.464285714285714</x:v>
      </x:c>
      <x:c r="I2863" s="18" t="n">
        <x:f>ROUND(MIN(Model_Config_v3!$B$6,MAX(Q2863,R2863,S2863*Model_Config_v3!$B$4+T2863*Model_Config_v3!$B$5)),0)</x:f>
        <x:v>686</x:v>
      </x:c>
      <x:c r="J2863" s="18" t="n">
        <x:f>MIN(Model_Config_v3!$B$6,I2863+Model_Config_v3!$B$7)</x:f>
        <x:v>706</x:v>
      </x:c>
      <x:c r="K2863" s="20" t="n">
        <x:v>71.9</x:v>
      </x:c>
      <x:c r="L2863" t="str">
        <x:v>SANGAT KETAT</x:v>
      </x:c>
      <x:c r="M2863" t="str">
        <x:v>SEDANG+</x:v>
      </x:c>
      <x:c r="N2863" t="str">
        <x:v>ELITE-3</x:v>
      </x:c>
      <x:c r="O2863" t="str">
        <x:v>CAMPURAN</x:v>
      </x:c>
      <x:c r="P2863" t="str">
        <x:v>KESEHAT/GIZI/KEPERAWATAN</x:v>
      </x:c>
      <x:c r="Q2863" s="18" t="n">
        <x:v>630</x:v>
      </x:c>
      <x:c r="R2863" s="18" t="n">
        <x:v>0</x:v>
      </x:c>
      <x:c r="S2863" s="18" t="n">
        <x:v>644.210165074993</x:v>
      </x:c>
      <x:c r="T2863" s="18" t="n">
        <x:v>704</x:v>
      </x:c>
      <x:c r="U2863" s="18" t="n">
        <x:v>644.210165074993</x:v>
      </x:c>
      <x:c r="V2863" s="20" t="n">
        <x:v>8.8</x:v>
      </x:c>
      <x:c r="W2863" s="20" t="n">
        <x:v>9.9</x:v>
      </x:c>
      <x:c r="X2863" s="20" t="n">
        <x:v>3.3</x:v>
      </x:c>
      <x:c r="Y2863" t="str">
        <x:v>Basis arsip 2025/2024</x:v>
      </x:c>
      <x:c r="Z2863" t="str">
        <x:v>https://snpmb.id/utbk-snbt/daya-tampung-snbt</x:v>
      </x:c>
      <x:c r="AA2863" t="str">
        <x:v>Tidak Ada</x:v>
      </x:c>
      <x:c r="AB2863" t="str">
        <x:v>Campus=80; Ratio=66.5; Prodi=55; RelDemand=86.2; Capacity=76.7</x:v>
      </x:c>
    </x:row>
    <x:row r="2864">
      <x:c r="A2864" t="n">
        <x:v>2861</x:v>
      </x:c>
      <x:c r="B2864" t="str">
        <x:v>PTN Akademik</x:v>
      </x:c>
      <x:c r="C2864" t="str">
        <x:v>UNIVERSITAS UDAYANA</x:v>
      </x:c>
      <x:c r="D2864" t="str">
        <x:v>ILMU KELAUTAN</x:v>
      </x:c>
      <x:c r="E2864" t="str">
        <x:v>Sarjana</x:v>
      </x:c>
      <x:c r="F2864" s="18" t="n">
        <x:v>56</x:v>
      </x:c>
      <x:c r="G2864" s="18" t="n">
        <x:v>141</x:v>
      </x:c>
      <x:c r="H2864" s="19" t="n">
        <x:v>2.517857142857143</x:v>
      </x:c>
      <x:c r="I2864" s="18" t="n">
        <x:f>ROUND(MIN(Model_Config_v3!$B$6,MAX(Q2864,R2864,S2864*Model_Config_v3!$B$4+T2864*Model_Config_v3!$B$5)),0)</x:f>
        <x:v>630</x:v>
      </x:c>
      <x:c r="J2864" s="18" t="n">
        <x:f>MIN(Model_Config_v3!$B$6,I2864+Model_Config_v3!$B$7)</x:f>
        <x:v>650</x:v>
      </x:c>
      <x:c r="K2864" s="20" t="n">
        <x:v>48.8</x:v>
      </x:c>
      <x:c r="L2864" t="str">
        <x:v>MENENGAH</x:v>
      </x:c>
      <x:c r="M2864" t="str">
        <x:v>SEDANG+</x:v>
      </x:c>
      <x:c r="N2864" t="str">
        <x:v>ELITE-3</x:v>
      </x:c>
      <x:c r="O2864" t="str">
        <x:v>SAINTEK</x:v>
      </x:c>
      <x:c r="P2864" t="str">
        <x:v>UMUM</x:v>
      </x:c>
      <x:c r="Q2864" s="18" t="n">
        <x:v>630</x:v>
      </x:c>
      <x:c r="R2864" s="18" t="n">
        <x:v>0</x:v>
      </x:c>
      <x:c r="S2864" s="18" t="n">
        <x:v>564.1134194214097</x:v>
      </x:c>
      <x:c r="T2864" s="18" t="n">
        <x:v>658</x:v>
      </x:c>
      <x:c r="U2864" s="18" t="n">
        <x:v>630</x:v>
      </x:c>
      <x:c r="V2864" s="20" t="n">
        <x:v>12</x:v>
      </x:c>
      <x:c r="W2864" s="20" t="n">
        <x:v>5</x:v>
      </x:c>
      <x:c r="X2864" s="20" t="n">
        <x:v>3</x:v>
      </x:c>
      <x:c r="Y2864" t="str">
        <x:v>Basis arsip 2025/2024</x:v>
      </x:c>
      <x:c r="Z2864" t="str">
        <x:v>https://snpmb.id/utbk-snbt/daya-tampung-snbt</x:v>
      </x:c>
      <x:c r="AA2864" t="str">
        <x:v>Tidak Ada</x:v>
      </x:c>
      <x:c r="AB2864" t="str">
        <x:v>Campus=80; Ratio=23.6; Prodi=40; RelDemand=16.1; Capacity=53.3</x:v>
      </x:c>
    </x:row>
    <x:row r="2865">
      <x:c r="A2865" t="n">
        <x:v>2862</x:v>
      </x:c>
      <x:c r="B2865" t="str">
        <x:v>PTN Akademik</x:v>
      </x:c>
      <x:c r="C2865" t="str">
        <x:v>UNIVERSITAS UDAYANA</x:v>
      </x:c>
      <x:c r="D2865" t="str">
        <x:v>ARSITEKTUR LANSKAP</x:v>
      </x:c>
      <x:c r="E2865" t="str">
        <x:v>Sarjana</x:v>
      </x:c>
      <x:c r="F2865" s="18" t="n">
        <x:v>16</x:v>
      </x:c>
      <x:c r="G2865" s="18" t="n">
        <x:v>73</x:v>
      </x:c>
      <x:c r="H2865" s="19" t="n">
        <x:v>4.5625</x:v>
      </x:c>
      <x:c r="I2865" s="18" t="n">
        <x:f>ROUND(MIN(Model_Config_v3!$B$6,MAX(Q2865,R2865,S2865*Model_Config_v3!$B$4+T2865*Model_Config_v3!$B$5)),0)</x:f>
        <x:v>656</x:v>
      </x:c>
      <x:c r="J2865" s="18" t="n">
        <x:f>MIN(Model_Config_v3!$B$6,I2865+Model_Config_v3!$B$7)</x:f>
        <x:v>676</x:v>
      </x:c>
      <x:c r="K2865" s="20" t="n">
        <x:v>61.3</x:v>
      </x:c>
      <x:c r="L2865" t="str">
        <x:v>KETAT</x:v>
      </x:c>
      <x:c r="M2865" t="str">
        <x:v>SEDANG+</x:v>
      </x:c>
      <x:c r="N2865" t="str">
        <x:v>ELITE-3</x:v>
      </x:c>
      <x:c r="O2865" t="str">
        <x:v>SAINTEK</x:v>
      </x:c>
      <x:c r="P2865" t="str">
        <x:v>TEKNIK/ARSITEKTUR/STATISTIKA/AKTUARIA</x:v>
      </x:c>
      <x:c r="Q2865" s="18" t="n">
        <x:v>630</x:v>
      </x:c>
      <x:c r="R2865" s="18" t="n">
        <x:v>0</x:v>
      </x:c>
      <x:c r="S2865" s="18" t="n">
        <x:v>592.5123165210985</x:v>
      </x:c>
      <x:c r="T2865" s="18" t="n">
        <x:v>683</x:v>
      </x:c>
      <x:c r="U2865" s="18" t="n">
        <x:v>630</x:v>
      </x:c>
      <x:c r="V2865" s="20" t="n">
        <x:v>12</x:v>
      </x:c>
      <x:c r="W2865" s="20" t="n">
        <x:v>5</x:v>
      </x:c>
      <x:c r="X2865" s="20" t="n">
        <x:v>3</x:v>
      </x:c>
      <x:c r="Y2865" t="str">
        <x:v>Basis arsip 2025/2024</x:v>
      </x:c>
      <x:c r="Z2865" t="str">
        <x:v>https://snpmb.id/utbk-snbt/daya-tampung-snbt</x:v>
      </x:c>
      <x:c r="AA2865" t="str">
        <x:v>Tidak Ada</x:v>
      </x:c>
      <x:c r="AB2865" t="str">
        <x:v>Campus=80; Ratio=38.8; Prodi=60; RelDemand=29.2; Capacity=86.7</x:v>
      </x:c>
    </x:row>
    <x:row r="2866">
      <x:c r="A2866" t="n">
        <x:v>2863</x:v>
      </x:c>
      <x:c r="B2866" t="str">
        <x:v>PTN Akademik</x:v>
      </x:c>
      <x:c r="C2866" t="str">
        <x:v>UNIVERSITAS UDAYANA</x:v>
      </x:c>
      <x:c r="D2866" t="str">
        <x:v>MANAJEMEN SUMBER DAYA PERAIRAN</x:v>
      </x:c>
      <x:c r="E2866" t="str">
        <x:v>Sarjana</x:v>
      </x:c>
      <x:c r="F2866" s="18" t="n">
        <x:v>56</x:v>
      </x:c>
      <x:c r="G2866" s="18" t="n">
        <x:v>87</x:v>
      </x:c>
      <x:c r="H2866" s="19" t="n">
        <x:v>1.5535714285714286</x:v>
      </x:c>
      <x:c r="I2866" s="18" t="n">
        <x:f>ROUND(MIN(Model_Config_v3!$B$6,MAX(Q2866,R2866,S2866*Model_Config_v3!$B$4+T2866*Model_Config_v3!$B$5)),0)</x:f>
        <x:v>630</x:v>
      </x:c>
      <x:c r="J2866" s="18" t="n">
        <x:f>MIN(Model_Config_v3!$B$6,I2866+Model_Config_v3!$B$7)</x:f>
        <x:v>650</x:v>
      </x:c>
      <x:c r="K2866" s="20" t="n">
        <x:v>50.1</x:v>
      </x:c>
      <x:c r="L2866" t="str">
        <x:v>MENENGAH</x:v>
      </x:c>
      <x:c r="M2866" t="str">
        <x:v>SEDANG+</x:v>
      </x:c>
      <x:c r="N2866" t="str">
        <x:v>ELITE-3</x:v>
      </x:c>
      <x:c r="O2866" t="str">
        <x:v>SOSHUM</x:v>
      </x:c>
      <x:c r="P2866" t="str">
        <x:v>BISNIS/EKONOMI/AKUNTANSI</x:v>
      </x:c>
      <x:c r="Q2866" s="18" t="n">
        <x:v>630</x:v>
      </x:c>
      <x:c r="R2866" s="18" t="n">
        <x:v>0</x:v>
      </x:c>
      <x:c r="S2866" s="18" t="n">
        <x:v>541.0464348173659</x:v>
      </x:c>
      <x:c r="T2866" s="18" t="n">
        <x:v>660</x:v>
      </x:c>
      <x:c r="U2866" s="18" t="n">
        <x:v>630</x:v>
      </x:c>
      <x:c r="V2866" s="20" t="n">
        <x:v>4.4</x:v>
      </x:c>
      <x:c r="W2866" s="20" t="n">
        <x:v>14.3</x:v>
      </x:c>
      <x:c r="X2866" s="20" t="n">
        <x:v>3.3</x:v>
      </x:c>
      <x:c r="Y2866" t="str">
        <x:v>Basis arsip 2025/2024</x:v>
      </x:c>
      <x:c r="Z2866" t="str">
        <x:v>https://snpmb.id/utbk-snbt/daya-tampung-snbt</x:v>
      </x:c>
      <x:c r="AA2866" t="str">
        <x:v>Tidak Ada</x:v>
      </x:c>
      <x:c r="AB2866" t="str">
        <x:v>Campus=80; Ratio=11.3; Prodi=65; RelDemand=9.9; Capacity=53.3</x:v>
      </x:c>
    </x:row>
    <x:row r="2867">
      <x:c r="A2867" t="n">
        <x:v>2864</x:v>
      </x:c>
      <x:c r="B2867" t="str">
        <x:v>PTN Akademik</x:v>
      </x:c>
      <x:c r="C2867" t="str">
        <x:v>UNIVERSITAS UDAYANA</x:v>
      </x:c>
      <x:c r="D2867" t="str">
        <x:v>KEDOKTERAN GIGI</x:v>
      </x:c>
      <x:c r="E2867" t="str">
        <x:v>Sarjana</x:v>
      </x:c>
      <x:c r="F2867" s="18" t="n">
        <x:v>40</x:v>
      </x:c>
      <x:c r="G2867" s="18" t="n">
        <x:v>845</x:v>
      </x:c>
      <x:c r="H2867" s="19" t="n">
        <x:v>21.125</x:v>
      </x:c>
      <x:c r="I2867" s="18" t="n">
        <x:f>ROUND(MIN(Model_Config_v3!$B$6,MAX(Q2867,R2867,S2867*Model_Config_v3!$B$4+T2867*Model_Config_v3!$B$5)),0)</x:f>
        <x:v>707</x:v>
      </x:c>
      <x:c r="J2867" s="18" t="n">
        <x:f>MIN(Model_Config_v3!$B$6,I2867+Model_Config_v3!$B$7)</x:f>
        <x:v>727</x:v>
      </x:c>
      <x:c r="K2867" s="20" t="n">
        <x:v>82.2</x:v>
      </x:c>
      <x:c r="L2867" t="str">
        <x:v>ELITE</x:v>
      </x:c>
      <x:c r="M2867" t="str">
        <x:v>SEDANG+</x:v>
      </x:c>
      <x:c r="N2867" t="str">
        <x:v>ELITE-3</x:v>
      </x:c>
      <x:c r="O2867" t="str">
        <x:v>SAINTEK</x:v>
      </x:c>
      <x:c r="P2867" t="str">
        <x:v>KEDOKTERAN GIGI</x:v>
      </x:c>
      <x:c r="Q2867" s="18" t="n">
        <x:v>630</x:v>
      </x:c>
      <x:c r="R2867" s="18" t="n">
        <x:v>680</x:v>
      </x:c>
      <x:c r="S2867" s="18" t="n">
        <x:v>665.7276389383903</x:v>
      </x:c>
      <x:c r="T2867" s="18" t="n">
        <x:v>724</x:v>
      </x:c>
      <x:c r="U2867" s="18" t="n">
        <x:v>695.7276389383903</x:v>
      </x:c>
      <x:c r="V2867" s="20" t="n">
        <x:v>12</x:v>
      </x:c>
      <x:c r="W2867" s="20" t="n">
        <x:v>5</x:v>
      </x:c>
      <x:c r="X2867" s="20" t="n">
        <x:v>3</x:v>
      </x:c>
      <x:c r="Y2867" t="str">
        <x:v>Basis arsip 2025/2024</x:v>
      </x:c>
      <x:c r="Z2867" t="str">
        <x:v>https://snpmb.id/utbk-snbt/daya-tampung-snbt</x:v>
      </x:c>
      <x:c r="AA2867" t="str">
        <x:v>Tidak Ada</x:v>
      </x:c>
      <x:c r="AB2867" t="str">
        <x:v>Campus=80; Ratio=78.0; Prodi=90; RelDemand=100.0; Capacity=66.7</x:v>
      </x:c>
    </x:row>
    <x:row r="2868">
      <x:c r="A2868" t="n">
        <x:v>2865</x:v>
      </x:c>
      <x:c r="B2868" t="str">
        <x:v>PTN Akademik</x:v>
      </x:c>
      <x:c r="C2868" t="str">
        <x:v>UNIVERSITAS UDAYANA</x:v>
      </x:c>
      <x:c r="D2868" t="str">
        <x:v>TEKNIK LINGKUNGAN</x:v>
      </x:c>
      <x:c r="E2868" t="str">
        <x:v>Sarjana</x:v>
      </x:c>
      <x:c r="F2868" s="18" t="n">
        <x:v>48</x:v>
      </x:c>
      <x:c r="G2868" s="18" t="n">
        <x:v>182</x:v>
      </x:c>
      <x:c r="H2868" s="19" t="n">
        <x:v>3.7916666666666665</x:v>
      </x:c>
      <x:c r="I2868" s="18" t="n">
        <x:f>ROUND(MIN(Model_Config_v3!$B$6,MAX(Q2868,R2868,S2868*Model_Config_v3!$B$4+T2868*Model_Config_v3!$B$5)),0)</x:f>
        <x:v>647</x:v>
      </x:c>
      <x:c r="J2868" s="18" t="n">
        <x:f>MIN(Model_Config_v3!$B$6,I2868+Model_Config_v3!$B$7)</x:f>
        <x:v>667</x:v>
      </x:c>
      <x:c r="K2868" s="20" t="n">
        <x:v>56.9</x:v>
      </x:c>
      <x:c r="L2868" t="str">
        <x:v>KETAT</x:v>
      </x:c>
      <x:c r="M2868" t="str">
        <x:v>SEDANG+</x:v>
      </x:c>
      <x:c r="N2868" t="str">
        <x:v>ELITE-3</x:v>
      </x:c>
      <x:c r="O2868" t="str">
        <x:v>SAINTEK</x:v>
      </x:c>
      <x:c r="P2868" t="str">
        <x:v>TEKNIK/ARSITEKTUR/STATISTIKA/AKTUARIA</x:v>
      </x:c>
      <x:c r="Q2868" s="18" t="n">
        <x:v>630</x:v>
      </x:c>
      <x:c r="R2868" s="18" t="n">
        <x:v>0</x:v>
      </x:c>
      <x:c r="S2868" s="18" t="n">
        <x:v>583.6713165670436</x:v>
      </x:c>
      <x:c r="T2868" s="18" t="n">
        <x:v>674</x:v>
      </x:c>
      <x:c r="U2868" s="18" t="n">
        <x:v>630</x:v>
      </x:c>
      <x:c r="V2868" s="20" t="n">
        <x:v>12</x:v>
      </x:c>
      <x:c r="W2868" s="20" t="n">
        <x:v>5</x:v>
      </x:c>
      <x:c r="X2868" s="20" t="n">
        <x:v>3</x:v>
      </x:c>
      <x:c r="Y2868" t="str">
        <x:v>Basis arsip 2025/2024</x:v>
      </x:c>
      <x:c r="Z2868" t="str">
        <x:v>https://snpmb.id/utbk-snbt/daya-tampung-snbt</x:v>
      </x:c>
      <x:c r="AA2868" t="str">
        <x:v>Tidak Ada</x:v>
      </x:c>
      <x:c r="AB2868" t="str">
        <x:v>Campus=80; Ratio=34.1; Prodi=60; RelDemand=24.3; Capacity=60.0</x:v>
      </x:c>
    </x:row>
    <x:row r="2869">
      <x:c r="A2869" t="n">
        <x:v>2866</x:v>
      </x:c>
      <x:c r="B2869" t="str">
        <x:v>PTN Akademik</x:v>
      </x:c>
      <x:c r="C2869" t="str">
        <x:v>UNIVERSITAS UDAYANA</x:v>
      </x:c>
      <x:c r="D2869" t="str">
        <x:v>TEKNIK INDUSTRI</x:v>
      </x:c>
      <x:c r="E2869" t="str">
        <x:v>Sarjana</x:v>
      </x:c>
      <x:c r="F2869" s="18" t="n">
        <x:v>48</x:v>
      </x:c>
      <x:c r="G2869" s="18" t="n">
        <x:v>313</x:v>
      </x:c>
      <x:c r="H2869" s="19" t="n">
        <x:v>6.520833333333333</x:v>
      </x:c>
      <x:c r="I2869" s="18" t="n">
        <x:f>ROUND(MIN(Model_Config_v3!$B$6,MAX(Q2869,R2869,S2869*Model_Config_v3!$B$4+T2869*Model_Config_v3!$B$5)),0)</x:f>
        <x:v>662</x:v>
      </x:c>
      <x:c r="J2869" s="18" t="n">
        <x:f>MIN(Model_Config_v3!$B$6,I2869+Model_Config_v3!$B$7)</x:f>
        <x:v>682</x:v>
      </x:c>
      <x:c r="K2869" s="20" t="n">
        <x:v>62.2</x:v>
      </x:c>
      <x:c r="L2869" t="str">
        <x:v>KETAT</x:v>
      </x:c>
      <x:c r="M2869" t="str">
        <x:v>SEDANG+</x:v>
      </x:c>
      <x:c r="N2869" t="str">
        <x:v>ELITE-3</x:v>
      </x:c>
      <x:c r="O2869" t="str">
        <x:v>SAINTEK</x:v>
      </x:c>
      <x:c r="P2869" t="str">
        <x:v>TEKNIK/ARSITEKTUR/STATISTIKA/AKTUARIA</x:v>
      </x:c>
      <x:c r="Q2869" s="18" t="n">
        <x:v>630</x:v>
      </x:c>
      <x:c r="R2869" s="18" t="n">
        <x:v>0</x:v>
      </x:c>
      <x:c r="S2869" s="18" t="n">
        <x:v>609.5733410187947</x:v>
      </x:c>
      <x:c r="T2869" s="18" t="n">
        <x:v>684</x:v>
      </x:c>
      <x:c r="U2869" s="18" t="n">
        <x:v>630</x:v>
      </x:c>
      <x:c r="V2869" s="20" t="n">
        <x:v>12</x:v>
      </x:c>
      <x:c r="W2869" s="20" t="n">
        <x:v>5</x:v>
      </x:c>
      <x:c r="X2869" s="20" t="n">
        <x:v>3</x:v>
      </x:c>
      <x:c r="Y2869" t="str">
        <x:v>Basis arsip 2025/2024</x:v>
      </x:c>
      <x:c r="Z2869" t="str">
        <x:v>https://snpmb.id/utbk-snbt/daya-tampung-snbt</x:v>
      </x:c>
      <x:c r="AA2869" t="str">
        <x:v>Tidak Ada</x:v>
      </x:c>
      <x:c r="AB2869" t="str">
        <x:v>Campus=80; Ratio=47.9; Prodi=60; RelDemand=41.7; Capacity=60.0</x:v>
      </x:c>
    </x:row>
    <x:row r="2870">
      <x:c r="A2870" t="n">
        <x:v>2867</x:v>
      </x:c>
      <x:c r="B2870" t="str">
        <x:v>PTN Akademik</x:v>
      </x:c>
      <x:c r="C2870" t="str">
        <x:v>UNIVERSITAS UDAYANA</x:v>
      </x:c>
      <x:c r="D2870" t="str">
        <x:v>ARKEOLOGI</x:v>
      </x:c>
      <x:c r="E2870" t="str">
        <x:v>Sarjana</x:v>
      </x:c>
      <x:c r="F2870" s="18" t="n">
        <x:v>24</x:v>
      </x:c>
      <x:c r="G2870" s="18" t="n">
        <x:v>68</x:v>
      </x:c>
      <x:c r="H2870" s="19" t="n">
        <x:v>2.8333333333333335</x:v>
      </x:c>
      <x:c r="I2870" s="18" t="n">
        <x:f>ROUND(MIN(Model_Config_v3!$B$6,MAX(Q2870,R2870,S2870*Model_Config_v3!$B$4+T2870*Model_Config_v3!$B$5)),0)</x:f>
        <x:v>636</x:v>
      </x:c>
      <x:c r="J2870" s="18" t="n">
        <x:f>MIN(Model_Config_v3!$B$6,I2870+Model_Config_v3!$B$7)</x:f>
        <x:v>656</x:v>
      </x:c>
      <x:c r="K2870" s="20" t="n">
        <x:v>52.5</x:v>
      </x:c>
      <x:c r="L2870" t="str">
        <x:v>MENENGAH</x:v>
      </x:c>
      <x:c r="M2870" t="str">
        <x:v>SEDANG+</x:v>
      </x:c>
      <x:c r="N2870" t="str">
        <x:v>ELITE-3</x:v>
      </x:c>
      <x:c r="O2870" t="str">
        <x:v>CAMPURAN</x:v>
      </x:c>
      <x:c r="P2870" t="str">
        <x:v>UMUM</x:v>
      </x:c>
      <x:c r="Q2870" s="18" t="n">
        <x:v>630</x:v>
      </x:c>
      <x:c r="R2870" s="18" t="n">
        <x:v>0</x:v>
      </x:c>
      <x:c r="S2870" s="18" t="n">
        <x:v>569.7527438094094</x:v>
      </x:c>
      <x:c r="T2870" s="18" t="n">
        <x:v>665</x:v>
      </x:c>
      <x:c r="U2870" s="18" t="n">
        <x:v>630</x:v>
      </x:c>
      <x:c r="V2870" s="20" t="n">
        <x:v>8.8</x:v>
      </x:c>
      <x:c r="W2870" s="20" t="n">
        <x:v>9.9</x:v>
      </x:c>
      <x:c r="X2870" s="20" t="n">
        <x:v>3.3</x:v>
      </x:c>
      <x:c r="Y2870" t="str">
        <x:v>Basis arsip 2025/2024</x:v>
      </x:c>
      <x:c r="Z2870" t="str">
        <x:v>https://snpmb.id/utbk-snbt/daya-tampung-snbt</x:v>
      </x:c>
      <x:c r="AA2870" t="str">
        <x:v>Tidak Ada</x:v>
      </x:c>
      <x:c r="AB2870" t="str">
        <x:v>Campus=80; Ratio=26.6; Prodi=40; RelDemand=18.1; Capacity=80.0</x:v>
      </x:c>
    </x:row>
    <x:row r="2871">
      <x:c r="A2871" t="n">
        <x:v>2868</x:v>
      </x:c>
      <x:c r="B2871" t="str">
        <x:v>PTN Akademik</x:v>
      </x:c>
      <x:c r="C2871" t="str">
        <x:v>UNIVERSITAS UDAYANA</x:v>
      </x:c>
      <x:c r="D2871" t="str">
        <x:v>ANTROPOLOGI BUDAYA</x:v>
      </x:c>
      <x:c r="E2871" t="str">
        <x:v>Sarjana</x:v>
      </x:c>
      <x:c r="F2871" s="18" t="n">
        <x:v>20</x:v>
      </x:c>
      <x:c r="G2871" s="18" t="n">
        <x:v>78</x:v>
      </x:c>
      <x:c r="H2871" s="19" t="n">
        <x:v>3.9</x:v>
      </x:c>
      <x:c r="I2871" s="18" t="n">
        <x:f>ROUND(MIN(Model_Config_v3!$B$6,MAX(Q2871,R2871,S2871*Model_Config_v3!$B$4+T2871*Model_Config_v3!$B$5)),0)</x:f>
        <x:v>645</x:v>
      </x:c>
      <x:c r="J2871" s="18" t="n">
        <x:f>MIN(Model_Config_v3!$B$6,I2871+Model_Config_v3!$B$7)</x:f>
        <x:v>665</x:v>
      </x:c>
      <x:c r="K2871" s="20" t="n">
        <x:v>55.5</x:v>
      </x:c>
      <x:c r="L2871" t="str">
        <x:v>KETAT</x:v>
      </x:c>
      <x:c r="M2871" t="str">
        <x:v>SEDANG+</x:v>
      </x:c>
      <x:c r="N2871" t="str">
        <x:v>ELITE-3</x:v>
      </x:c>
      <x:c r="O2871" t="str">
        <x:v>SOSHUM</x:v>
      </x:c>
      <x:c r="P2871" t="str">
        <x:v>UMUM</x:v>
      </x:c>
      <x:c r="Q2871" s="18" t="n">
        <x:v>630</x:v>
      </x:c>
      <x:c r="R2871" s="18" t="n">
        <x:v>0</x:v>
      </x:c>
      <x:c r="S2871" s="18" t="n">
        <x:v>585.0171067729149</x:v>
      </x:c>
      <x:c r="T2871" s="18" t="n">
        <x:v>671</x:v>
      </x:c>
      <x:c r="U2871" s="18" t="n">
        <x:v>630</x:v>
      </x:c>
      <x:c r="V2871" s="20" t="n">
        <x:v>4.4</x:v>
      </x:c>
      <x:c r="W2871" s="20" t="n">
        <x:v>14.3</x:v>
      </x:c>
      <x:c r="X2871" s="20" t="n">
        <x:v>3.3</x:v>
      </x:c>
      <x:c r="Y2871" t="str">
        <x:v>Basis arsip 2025/2024</x:v>
      </x:c>
      <x:c r="Z2871" t="str">
        <x:v>https://snpmb.id/utbk-snbt/daya-tampung-snbt</x:v>
      </x:c>
      <x:c r="AA2871" t="str">
        <x:v>Tidak Ada</x:v>
      </x:c>
      <x:c r="AB2871" t="str">
        <x:v>Campus=80; Ratio=34.8; Prodi=40; RelDemand=25.0; Capacity=83.3</x:v>
      </x:c>
    </x:row>
    <x:row r="2872">
      <x:c r="A2872" t="n">
        <x:v>2869</x:v>
      </x:c>
      <x:c r="B2872" t="str">
        <x:v>PTN Akademik</x:v>
      </x:c>
      <x:c r="C2872" t="str">
        <x:v>UNIVERSITAS UDAYANA</x:v>
      </x:c>
      <x:c r="D2872" t="str">
        <x:v>ILMU SEJARAH</x:v>
      </x:c>
      <x:c r="E2872" t="str">
        <x:v>Sarjana</x:v>
      </x:c>
      <x:c r="F2872" s="18" t="n">
        <x:v>20</x:v>
      </x:c>
      <x:c r="G2872" s="18" t="n">
        <x:v>58</x:v>
      </x:c>
      <x:c r="H2872" s="19" t="n">
        <x:v>2.9</x:v>
      </x:c>
      <x:c r="I2872" s="18" t="n">
        <x:f>ROUND(MIN(Model_Config_v3!$B$6,MAX(Q2872,R2872,S2872*Model_Config_v3!$B$4+T2872*Model_Config_v3!$B$5)),0)</x:f>
        <x:v>637</x:v>
      </x:c>
      <x:c r="J2872" s="18" t="n">
        <x:f>MIN(Model_Config_v3!$B$6,I2872+Model_Config_v3!$B$7)</x:f>
        <x:v>657</x:v>
      </x:c>
      <x:c r="K2872" s="20" t="n">
        <x:v>53</x:v>
      </x:c>
      <x:c r="L2872" t="str">
        <x:v>MENENGAH</x:v>
      </x:c>
      <x:c r="M2872" t="str">
        <x:v>SEDANG+</x:v>
      </x:c>
      <x:c r="N2872" t="str">
        <x:v>ELITE-3</x:v>
      </x:c>
      <x:c r="O2872" t="str">
        <x:v>SOSHUM</x:v>
      </x:c>
      <x:c r="P2872" t="str">
        <x:v>UMUM</x:v>
      </x:c>
      <x:c r="Q2872" s="18" t="n">
        <x:v>630</x:v>
      </x:c>
      <x:c r="R2872" s="18" t="n">
        <x:v>0</x:v>
      </x:c>
      <x:c r="S2872" s="18" t="n">
        <x:v>570.8637797688851</x:v>
      </x:c>
      <x:c r="T2872" s="18" t="n">
        <x:v>666</x:v>
      </x:c>
      <x:c r="U2872" s="18" t="n">
        <x:v>630</x:v>
      </x:c>
      <x:c r="V2872" s="20" t="n">
        <x:v>4.4</x:v>
      </x:c>
      <x:c r="W2872" s="20" t="n">
        <x:v>14.3</x:v>
      </x:c>
      <x:c r="X2872" s="20" t="n">
        <x:v>3.3</x:v>
      </x:c>
      <x:c r="Y2872" t="str">
        <x:v>Basis arsip 2025/2024</x:v>
      </x:c>
      <x:c r="Z2872" t="str">
        <x:v>https://snpmb.id/utbk-snbt/daya-tampung-snbt</x:v>
      </x:c>
      <x:c r="AA2872" t="str">
        <x:v>Tidak Ada</x:v>
      </x:c>
      <x:c r="AB2872" t="str">
        <x:v>Campus=80; Ratio=27.2; Prodi=40; RelDemand=18.6; Capacity=83.3</x:v>
      </x:c>
    </x:row>
    <x:row r="2873">
      <x:c r="A2873" t="n">
        <x:v>2870</x:v>
      </x:c>
      <x:c r="B2873" t="str">
        <x:v>PTN Akademik</x:v>
      </x:c>
      <x:c r="C2873" t="str">
        <x:v>UNIVERSITAS UDAYANA</x:v>
      </x:c>
      <x:c r="D2873" t="str">
        <x:v>ILMU HUKUM</x:v>
      </x:c>
      <x:c r="E2873" t="str">
        <x:v>Sarjana</x:v>
      </x:c>
      <x:c r="F2873" s="18" t="n">
        <x:v>232</x:v>
      </x:c>
      <x:c r="G2873" s="18" t="n">
        <x:v>1612</x:v>
      </x:c>
      <x:c r="H2873" s="19" t="n">
        <x:v>6.948275862068965</x:v>
      </x:c>
      <x:c r="I2873" s="18" t="n">
        <x:f>ROUND(MIN(Model_Config_v3!$B$6,MAX(Q2873,R2873,S2873*Model_Config_v3!$B$4+T2873*Model_Config_v3!$B$5)),0)</x:f>
        <x:v>657</x:v>
      </x:c>
      <x:c r="J2873" s="18" t="n">
        <x:f>MIN(Model_Config_v3!$B$6,I2873+Model_Config_v3!$B$7)</x:f>
        <x:v>677</x:v>
      </x:c>
      <x:c r="K2873" s="20" t="n">
        <x:v>57.8</x:v>
      </x:c>
      <x:c r="L2873" t="str">
        <x:v>KETAT</x:v>
      </x:c>
      <x:c r="M2873" t="str">
        <x:v>SEDANG+</x:v>
      </x:c>
      <x:c r="N2873" t="str">
        <x:v>ELITE-3</x:v>
      </x:c>
      <x:c r="O2873" t="str">
        <x:v>SOSHUM</x:v>
      </x:c>
      <x:c r="P2873" t="str">
        <x:v>HUKUM</x:v>
      </x:c>
      <x:c r="Q2873" s="18" t="n">
        <x:v>630</x:v>
      </x:c>
      <x:c r="R2873" s="18" t="n">
        <x:v>0</x:v>
      </x:c>
      <x:c r="S2873" s="18" t="n">
        <x:v>612.606475783599</x:v>
      </x:c>
      <x:c r="T2873" s="18" t="n">
        <x:v>676</x:v>
      </x:c>
      <x:c r="U2873" s="18" t="n">
        <x:v>630</x:v>
      </x:c>
      <x:c r="V2873" s="20" t="n">
        <x:v>4.4</x:v>
      </x:c>
      <x:c r="W2873" s="20" t="n">
        <x:v>14.3</x:v>
      </x:c>
      <x:c r="X2873" s="20" t="n">
        <x:v>3.3</x:v>
      </x:c>
      <x:c r="Y2873" t="str">
        <x:v>Basis arsip 2025/2024</x:v>
      </x:c>
      <x:c r="Z2873" t="str">
        <x:v>https://snpmb.id/utbk-snbt/daya-tampung-snbt</x:v>
      </x:c>
      <x:c r="AA2873" t="str">
        <x:v>Tidak Ada</x:v>
      </x:c>
      <x:c r="AB2873" t="str">
        <x:v>Campus=80; Ratio=49.6; Prodi=65; RelDemand=44.5; Capacity=0.0</x:v>
      </x:c>
    </x:row>
    <x:row r="2874">
      <x:c r="A2874" t="n">
        <x:v>2871</x:v>
      </x:c>
      <x:c r="B2874" t="str">
        <x:v>PTN Akademik</x:v>
      </x:c>
      <x:c r="C2874" t="str">
        <x:v>UNIVERSITAS UDAYANA</x:v>
      </x:c>
      <x:c r="D2874" t="str">
        <x:v>EKONOMI</x:v>
      </x:c>
      <x:c r="E2874" t="str">
        <x:v>Sarjana</x:v>
      </x:c>
      <x:c r="F2874" s="18" t="n">
        <x:v>120</x:v>
      </x:c>
      <x:c r="G2874" s="18" t="n">
        <x:v>433</x:v>
      </x:c>
      <x:c r="H2874" s="19" t="n">
        <x:v>3.6083333333333334</x:v>
      </x:c>
      <x:c r="I2874" s="18" t="n">
        <x:f>ROUND(MIN(Model_Config_v3!$B$6,MAX(Q2874,R2874,S2874*Model_Config_v3!$B$4+T2874*Model_Config_v3!$B$5)),0)</x:f>
        <x:v>631</x:v>
      </x:c>
      <x:c r="J2874" s="18" t="n">
        <x:f>MIN(Model_Config_v3!$B$6,I2874+Model_Config_v3!$B$7)</x:f>
        <x:v>651</x:v>
      </x:c>
      <x:c r="K2874" s="20" t="n">
        <x:v>46.5</x:v>
      </x:c>
      <x:c r="L2874" t="str">
        <x:v>MENENGAH</x:v>
      </x:c>
      <x:c r="M2874" t="str">
        <x:v>SEDANG+</x:v>
      </x:c>
      <x:c r="N2874" t="str">
        <x:v>ELITE-3</x:v>
      </x:c>
      <x:c r="O2874" t="str">
        <x:v>SOSHUM</x:v>
      </x:c>
      <x:c r="P2874" t="str">
        <x:v>UMUM</x:v>
      </x:c>
      <x:c r="Q2874" s="18" t="n">
        <x:v>630</x:v>
      </x:c>
      <x:c r="R2874" s="18" t="n">
        <x:v>0</x:v>
      </x:c>
      <x:c r="S2874" s="18" t="n">
        <x:v>581.3037315336314</x:v>
      </x:c>
      <x:c r="T2874" s="18" t="n">
        <x:v>653</x:v>
      </x:c>
      <x:c r="U2874" s="18" t="n">
        <x:v>630</x:v>
      </x:c>
      <x:c r="V2874" s="20" t="n">
        <x:v>4.4</x:v>
      </x:c>
      <x:c r="W2874" s="20" t="n">
        <x:v>14.3</x:v>
      </x:c>
      <x:c r="X2874" s="20" t="n">
        <x:v>3.3</x:v>
      </x:c>
      <x:c r="Y2874" t="str">
        <x:v>Basis arsip 2025/2024</x:v>
      </x:c>
      <x:c r="Z2874" t="str">
        <x:v>https://snpmb.id/utbk-snbt/daya-tampung-snbt</x:v>
      </x:c>
      <x:c r="AA2874" t="str">
        <x:v>Tidak Ada</x:v>
      </x:c>
      <x:c r="AB2874" t="str">
        <x:v>Campus=80; Ratio=32.8; Prodi=40; RelDemand=23.1; Capacity=0.0</x:v>
      </x:c>
    </x:row>
    <x:row r="2875">
      <x:c r="A2875" t="n">
        <x:v>2872</x:v>
      </x:c>
      <x:c r="B2875" t="str">
        <x:v>PTN Akademik</x:v>
      </x:c>
      <x:c r="C2875" t="str">
        <x:v>UNIVERSITAS UDAYANA</x:v>
      </x:c>
      <x:c r="D2875" t="str">
        <x:v>AKUNTANSI</x:v>
      </x:c>
      <x:c r="E2875" t="str">
        <x:v>Sarjana</x:v>
      </x:c>
      <x:c r="F2875" s="18" t="n">
        <x:v>160</x:v>
      </x:c>
      <x:c r="G2875" s="18" t="n">
        <x:v>965</x:v>
      </x:c>
      <x:c r="H2875" s="19" t="n">
        <x:v>6.03125</x:v>
      </x:c>
      <x:c r="I2875" s="18" t="n">
        <x:f>ROUND(MIN(Model_Config_v3!$B$6,MAX(Q2875,R2875,S2875*Model_Config_v3!$B$4+T2875*Model_Config_v3!$B$5)),0)</x:f>
        <x:v>653</x:v>
      </x:c>
      <x:c r="J2875" s="18" t="n">
        <x:f>MIN(Model_Config_v3!$B$6,I2875+Model_Config_v3!$B$7)</x:f>
        <x:v>673</x:v>
      </x:c>
      <x:c r="K2875" s="20" t="n">
        <x:v>56.3</x:v>
      </x:c>
      <x:c r="L2875" t="str">
        <x:v>KETAT</x:v>
      </x:c>
      <x:c r="M2875" t="str">
        <x:v>SEDANG+</x:v>
      </x:c>
      <x:c r="N2875" t="str">
        <x:v>ELITE-3</x:v>
      </x:c>
      <x:c r="O2875" t="str">
        <x:v>SOSHUM</x:v>
      </x:c>
      <x:c r="P2875" t="str">
        <x:v>BISNIS/EKONOMI/AKUNTANSI</x:v>
      </x:c>
      <x:c r="Q2875" s="18" t="n">
        <x:v>630</x:v>
      </x:c>
      <x:c r="R2875" s="18" t="n">
        <x:v>0</x:v>
      </x:c>
      <x:c r="S2875" s="18" t="n">
        <x:v>605.8448063756655</x:v>
      </x:c>
      <x:c r="T2875" s="18" t="n">
        <x:v>673</x:v>
      </x:c>
      <x:c r="U2875" s="18" t="n">
        <x:v>630</x:v>
      </x:c>
      <x:c r="V2875" s="20" t="n">
        <x:v>4.4</x:v>
      </x:c>
      <x:c r="W2875" s="20" t="n">
        <x:v>14.3</x:v>
      </x:c>
      <x:c r="X2875" s="20" t="n">
        <x:v>3.3</x:v>
      </x:c>
      <x:c r="Y2875" t="str">
        <x:v>Basis arsip 2025/2024</x:v>
      </x:c>
      <x:c r="Z2875" t="str">
        <x:v>https://snpmb.id/utbk-snbt/daya-tampung-snbt</x:v>
      </x:c>
      <x:c r="AA2875" t="str">
        <x:v>Tidak Ada</x:v>
      </x:c>
      <x:c r="AB2875" t="str">
        <x:v>Campus=80; Ratio=45.9; Prodi=65; RelDemand=38.6; Capacity=0.0</x:v>
      </x:c>
    </x:row>
    <x:row r="2876">
      <x:c r="A2876" t="n">
        <x:v>2873</x:v>
      </x:c>
      <x:c r="B2876" t="str">
        <x:v>PTN Akademik</x:v>
      </x:c>
      <x:c r="C2876" t="str">
        <x:v>UNIVERSITAS UDAYANA</x:v>
      </x:c>
      <x:c r="D2876" t="str">
        <x:v>MANAJEMEN</x:v>
      </x:c>
      <x:c r="E2876" t="str">
        <x:v>Sarjana</x:v>
      </x:c>
      <x:c r="F2876" s="18" t="n">
        <x:v>170</x:v>
      </x:c>
      <x:c r="G2876" s="18" t="n">
        <x:v>1599</x:v>
      </x:c>
      <x:c r="H2876" s="19" t="n">
        <x:v>9.405882352941177</x:v>
      </x:c>
      <x:c r="I2876" s="18" t="n">
        <x:f>ROUND(MIN(Model_Config_v3!$B$6,MAX(Q2876,R2876,S2876*Model_Config_v3!$B$4+T2876*Model_Config_v3!$B$5)),0)</x:f>
        <x:v>666</x:v>
      </x:c>
      <x:c r="J2876" s="18" t="n">
        <x:f>MIN(Model_Config_v3!$B$6,I2876+Model_Config_v3!$B$7)</x:f>
        <x:v>686</x:v>
      </x:c>
      <x:c r="K2876" s="20" t="n">
        <x:v>61.3</x:v>
      </x:c>
      <x:c r="L2876" t="str">
        <x:v>KETAT</x:v>
      </x:c>
      <x:c r="M2876" t="str">
        <x:v>SEDANG+</x:v>
      </x:c>
      <x:c r="N2876" t="str">
        <x:v>ELITE-3</x:v>
      </x:c>
      <x:c r="O2876" t="str">
        <x:v>SOSHUM</x:v>
      </x:c>
      <x:c r="P2876" t="str">
        <x:v>BISNIS/EKONOMI/AKUNTANSI</x:v>
      </x:c>
      <x:c r="Q2876" s="18" t="n">
        <x:v>630</x:v>
      </x:c>
      <x:c r="R2876" s="18" t="n">
        <x:v>0</x:v>
      </x:c>
      <x:c r="S2876" s="18" t="n">
        <x:v>627.0739496604757</x:v>
      </x:c>
      <x:c r="T2876" s="18" t="n">
        <x:v>683</x:v>
      </x:c>
      <x:c r="U2876" s="18" t="n">
        <x:v>642.0739496604757</x:v>
      </x:c>
      <x:c r="V2876" s="20" t="n">
        <x:v>4.4</x:v>
      </x:c>
      <x:c r="W2876" s="20" t="n">
        <x:v>14.3</x:v>
      </x:c>
      <x:c r="X2876" s="20" t="n">
        <x:v>3.3</x:v>
      </x:c>
      <x:c r="Y2876" t="str">
        <x:v>Basis arsip 2025/2024</x:v>
      </x:c>
      <x:c r="Z2876" t="str">
        <x:v>https://snpmb.id/utbk-snbt/daya-tampung-snbt</x:v>
      </x:c>
      <x:c r="AA2876" t="str">
        <x:v>Tidak Ada</x:v>
      </x:c>
      <x:c r="AB2876" t="str">
        <x:v>Campus=80; Ratio=57.3; Prodi=65; RelDemand=60.2; Capacity=0.0</x:v>
      </x:c>
    </x:row>
    <x:row r="2877">
      <x:c r="A2877" t="n">
        <x:v>2874</x:v>
      </x:c>
      <x:c r="B2877" t="str">
        <x:v>PTN Akademik</x:v>
      </x:c>
      <x:c r="C2877" t="str">
        <x:v>UNIVERSITAS UDAYANA</x:v>
      </x:c>
      <x:c r="D2877" t="str">
        <x:v>SASTRA INDONESIA</x:v>
      </x:c>
      <x:c r="E2877" t="str">
        <x:v>Sarjana</x:v>
      </x:c>
      <x:c r="F2877" s="18" t="n">
        <x:v>24</x:v>
      </x:c>
      <x:c r="G2877" s="18" t="n">
        <x:v>74</x:v>
      </x:c>
      <x:c r="H2877" s="19" t="n">
        <x:v>3.0833333333333335</x:v>
      </x:c>
      <x:c r="I2877" s="18" t="n">
        <x:f>ROUND(MIN(Model_Config_v3!$B$6,MAX(Q2877,R2877,S2877*Model_Config_v3!$B$4+T2877*Model_Config_v3!$B$5)),0)</x:f>
        <x:v>638</x:v>
      </x:c>
      <x:c r="J2877" s="18" t="n">
        <x:f>MIN(Model_Config_v3!$B$6,I2877+Model_Config_v3!$B$7)</x:f>
        <x:v>658</x:v>
      </x:c>
      <x:c r="K2877" s="20" t="n">
        <x:v>53.2</x:v>
      </x:c>
      <x:c r="L2877" t="str">
        <x:v>MENENGAH</x:v>
      </x:c>
      <x:c r="M2877" t="str">
        <x:v>SEDANG+</x:v>
      </x:c>
      <x:c r="N2877" t="str">
        <x:v>ELITE-3</x:v>
      </x:c>
      <x:c r="O2877" t="str">
        <x:v>SOSHUM</x:v>
      </x:c>
      <x:c r="P2877" t="str">
        <x:v>UMUM</x:v>
      </x:c>
      <x:c r="Q2877" s="18" t="n">
        <x:v>630</x:v>
      </x:c>
      <x:c r="R2877" s="18" t="n">
        <x:v>0</x:v>
      </x:c>
      <x:c r="S2877" s="18" t="n">
        <x:v>573.7922525821307</x:v>
      </x:c>
      <x:c r="T2877" s="18" t="n">
        <x:v>666</x:v>
      </x:c>
      <x:c r="U2877" s="18" t="n">
        <x:v>630</x:v>
      </x:c>
      <x:c r="V2877" s="20" t="n">
        <x:v>4.4</x:v>
      </x:c>
      <x:c r="W2877" s="20" t="n">
        <x:v>14.3</x:v>
      </x:c>
      <x:c r="X2877" s="20" t="n">
        <x:v>3.3</x:v>
      </x:c>
      <x:c r="Y2877" t="str">
        <x:v>Basis arsip 2025/2024</x:v>
      </x:c>
      <x:c r="Z2877" t="str">
        <x:v>https://snpmb.id/utbk-snbt/daya-tampung-snbt</x:v>
      </x:c>
      <x:c r="AA2877" t="str">
        <x:v>Tidak Ada</x:v>
      </x:c>
      <x:c r="AB2877" t="str">
        <x:v>Campus=80; Ratio=28.8; Prodi=40; RelDemand=19.7; Capacity=80.0</x:v>
      </x:c>
    </x:row>
    <x:row r="2878">
      <x:c r="A2878" t="n">
        <x:v>2875</x:v>
      </x:c>
      <x:c r="B2878" t="str">
        <x:v>PTN Akademik</x:v>
      </x:c>
      <x:c r="C2878" t="str">
        <x:v>UNIVERSITAS UDAYANA</x:v>
      </x:c>
      <x:c r="D2878" t="str">
        <x:v>SASTRA INGGRIS</x:v>
      </x:c>
      <x:c r="E2878" t="str">
        <x:v>Sarjana</x:v>
      </x:c>
      <x:c r="F2878" s="18" t="n">
        <x:v>84</x:v>
      </x:c>
      <x:c r="G2878" s="18" t="n">
        <x:v>431</x:v>
      </x:c>
      <x:c r="H2878" s="19" t="n">
        <x:v>5.130952380952381</x:v>
      </x:c>
      <x:c r="I2878" s="18" t="n">
        <x:f>ROUND(MIN(Model_Config_v3!$B$6,MAX(Q2878,R2878,S2878*Model_Config_v3!$B$4+T2878*Model_Config_v3!$B$5)),0)</x:f>
        <x:v>645</x:v>
      </x:c>
      <x:c r="J2878" s="18" t="n">
        <x:f>MIN(Model_Config_v3!$B$6,I2878+Model_Config_v3!$B$7)</x:f>
        <x:v>665</x:v>
      </x:c>
      <x:c r="K2878" s="20" t="n">
        <x:v>52.7</x:v>
      </x:c>
      <x:c r="L2878" t="str">
        <x:v>MENENGAH</x:v>
      </x:c>
      <x:c r="M2878" t="str">
        <x:v>SEDANG+</x:v>
      </x:c>
      <x:c r="N2878" t="str">
        <x:v>ELITE-3</x:v>
      </x:c>
      <x:c r="O2878" t="str">
        <x:v>SOSHUM</x:v>
      </x:c>
      <x:c r="P2878" t="str">
        <x:v>UMUM</x:v>
      </x:c>
      <x:c r="Q2878" s="18" t="n">
        <x:v>630</x:v>
      </x:c>
      <x:c r="R2878" s="18" t="n">
        <x:v>0</x:v>
      </x:c>
      <x:c r="S2878" s="18" t="n">
        <x:v>598.1217782508735</x:v>
      </x:c>
      <x:c r="T2878" s="18" t="n">
        <x:v>665</x:v>
      </x:c>
      <x:c r="U2878" s="18" t="n">
        <x:v>630</x:v>
      </x:c>
      <x:c r="V2878" s="20" t="n">
        <x:v>4.4</x:v>
      </x:c>
      <x:c r="W2878" s="20" t="n">
        <x:v>14.3</x:v>
      </x:c>
      <x:c r="X2878" s="20" t="n">
        <x:v>3.3</x:v>
      </x:c>
      <x:c r="Y2878" t="str">
        <x:v>Basis arsip 2025/2024</x:v>
      </x:c>
      <x:c r="Z2878" t="str">
        <x:v>https://snpmb.id/utbk-snbt/daya-tampung-snbt</x:v>
      </x:c>
      <x:c r="AA2878" t="str">
        <x:v>Tidak Ada</x:v>
      </x:c>
      <x:c r="AB2878" t="str">
        <x:v>Campus=80; Ratio=41.8; Prodi=40; RelDemand=32.8; Capacity=30.0</x:v>
      </x:c>
    </x:row>
    <x:row r="2879">
      <x:c r="A2879" t="n">
        <x:v>2876</x:v>
      </x:c>
      <x:c r="B2879" t="str">
        <x:v>PTN Akademik</x:v>
      </x:c>
      <x:c r="C2879" t="str">
        <x:v>UNIVERSITAS UDAYANA</x:v>
      </x:c>
      <x:c r="D2879" t="str">
        <x:v>SASTRA JAWA KUNO</x:v>
      </x:c>
      <x:c r="E2879" t="str">
        <x:v>Sarjana</x:v>
      </x:c>
      <x:c r="F2879" s="18" t="n">
        <x:v>10</x:v>
      </x:c>
      <x:c r="G2879" s="18" t="n">
        <x:v>18</x:v>
      </x:c>
      <x:c r="H2879" s="19" t="n">
        <x:v>1.8</x:v>
      </x:c>
      <x:c r="I2879" s="18" t="n">
        <x:f>ROUND(MIN(Model_Config_v3!$B$6,MAX(Q2879,R2879,S2879*Model_Config_v3!$B$4+T2879*Model_Config_v3!$B$5)),0)</x:f>
        <x:v>630</x:v>
      </x:c>
      <x:c r="J2879" s="18" t="n">
        <x:f>MIN(Model_Config_v3!$B$6,I2879+Model_Config_v3!$B$7)</x:f>
        <x:v>650</x:v>
      </x:c>
      <x:c r="K2879" s="20" t="n">
        <x:v>50.1</x:v>
      </x:c>
      <x:c r="L2879" t="str">
        <x:v>MENENGAH</x:v>
      </x:c>
      <x:c r="M2879" t="str">
        <x:v>SEDANG+</x:v>
      </x:c>
      <x:c r="N2879" t="str">
        <x:v>ELITE-3</x:v>
      </x:c>
      <x:c r="O2879" t="str">
        <x:v>SOSHUM</x:v>
      </x:c>
      <x:c r="P2879" t="str">
        <x:v>UMUM</x:v>
      </x:c>
      <x:c r="Q2879" s="18" t="n">
        <x:v>630</x:v>
      </x:c>
      <x:c r="R2879" s="18" t="n">
        <x:v>0</x:v>
      </x:c>
      <x:c r="S2879" s="18" t="n">
        <x:v>548.0799755613637</x:v>
      </x:c>
      <x:c r="T2879" s="18" t="n">
        <x:v>660</x:v>
      </x:c>
      <x:c r="U2879" s="18" t="n">
        <x:v>630</x:v>
      </x:c>
      <x:c r="V2879" s="20" t="n">
        <x:v>4.4</x:v>
      </x:c>
      <x:c r="W2879" s="20" t="n">
        <x:v>14.3</x:v>
      </x:c>
      <x:c r="X2879" s="20" t="n">
        <x:v>3.3</x:v>
      </x:c>
      <x:c r="Y2879" t="str">
        <x:v>Basis arsip 2025/2024</x:v>
      </x:c>
      <x:c r="Z2879" t="str">
        <x:v>https://snpmb.id/utbk-snbt/daya-tampung-snbt</x:v>
      </x:c>
      <x:c r="AA2879" t="str">
        <x:v>Tidak Ada</x:v>
      </x:c>
      <x:c r="AB2879" t="str">
        <x:v>Campus=80; Ratio=15.0; Prodi=40; RelDemand=11.5; Capacity=91.7</x:v>
      </x:c>
    </x:row>
    <x:row r="2880">
      <x:c r="A2880" t="n">
        <x:v>2877</x:v>
      </x:c>
      <x:c r="B2880" t="str">
        <x:v>PTN Akademik</x:v>
      </x:c>
      <x:c r="C2880" t="str">
        <x:v>UNIVERSITAS UDAYANA</x:v>
      </x:c>
      <x:c r="D2880" t="str">
        <x:v>SASTRA BALI</x:v>
      </x:c>
      <x:c r="E2880" t="str">
        <x:v>Sarjana</x:v>
      </x:c>
      <x:c r="F2880" s="18" t="n">
        <x:v>16</x:v>
      </x:c>
      <x:c r="G2880" s="18" t="n">
        <x:v>19</x:v>
      </x:c>
      <x:c r="H2880" s="19" t="n">
        <x:v>1.1875</x:v>
      </x:c>
      <x:c r="I2880" s="18" t="n">
        <x:f>ROUND(MIN(Model_Config_v3!$B$6,MAX(Q2880,R2880,S2880*Model_Config_v3!$B$4+T2880*Model_Config_v3!$B$5)),0)</x:f>
        <x:v>630</x:v>
      </x:c>
      <x:c r="J2880" s="18" t="n">
        <x:f>MIN(Model_Config_v3!$B$6,I2880+Model_Config_v3!$B$7)</x:f>
        <x:v>650</x:v>
      </x:c>
      <x:c r="K2880" s="20" t="n">
        <x:v>46.5</x:v>
      </x:c>
      <x:c r="L2880" t="str">
        <x:v>MENENGAH</x:v>
      </x:c>
      <x:c r="M2880" t="str">
        <x:v>SEDANG+</x:v>
      </x:c>
      <x:c r="N2880" t="str">
        <x:v>ELITE-3</x:v>
      </x:c>
      <x:c r="O2880" t="str">
        <x:v>SOSHUM</x:v>
      </x:c>
      <x:c r="P2880" t="str">
        <x:v>UMUM</x:v>
      </x:c>
      <x:c r="Q2880" s="18" t="n">
        <x:v>630</x:v>
      </x:c>
      <x:c r="R2880" s="18" t="n">
        <x:v>0</x:v>
      </x:c>
      <x:c r="S2880" s="18" t="n">
        <x:v>528.2096980126595</x:v>
      </x:c>
      <x:c r="T2880" s="18" t="n">
        <x:v>653</x:v>
      </x:c>
      <x:c r="U2880" s="18" t="n">
        <x:v>630</x:v>
      </x:c>
      <x:c r="V2880" s="20" t="n">
        <x:v>4.4</x:v>
      </x:c>
      <x:c r="W2880" s="20" t="n">
        <x:v>14.3</x:v>
      </x:c>
      <x:c r="X2880" s="20" t="n">
        <x:v>3.3</x:v>
      </x:c>
      <x:c r="Y2880" t="str">
        <x:v>Basis arsip 2025/2024</x:v>
      </x:c>
      <x:c r="Z2880" t="str">
        <x:v>https://snpmb.id/utbk-snbt/daya-tampung-snbt</x:v>
      </x:c>
      <x:c r="AA2880" t="str">
        <x:v>Tidak Ada</x:v>
      </x:c>
      <x:c r="AB2880" t="str">
        <x:v>Campus=80; Ratio=4.4; Prodi=40; RelDemand=7.6; Capacity=86.7</x:v>
      </x:c>
    </x:row>
    <x:row r="2881">
      <x:c r="A2881" t="n">
        <x:v>2878</x:v>
      </x:c>
      <x:c r="B2881" t="str">
        <x:v>PTN Akademik</x:v>
      </x:c>
      <x:c r="C2881" t="str">
        <x:v>UNIVERSITAS UDAYANA</x:v>
      </x:c>
      <x:c r="D2881" t="str">
        <x:v>SASTRA JEPANG</x:v>
      </x:c>
      <x:c r="E2881" t="str">
        <x:v>Sarjana</x:v>
      </x:c>
      <x:c r="F2881" s="18" t="n">
        <x:v>40</x:v>
      </x:c>
      <x:c r="G2881" s="18" t="n">
        <x:v>142</x:v>
      </x:c>
      <x:c r="H2881" s="19" t="n">
        <x:v>3.55</x:v>
      </x:c>
      <x:c r="I2881" s="18" t="n">
        <x:f>ROUND(MIN(Model_Config_v3!$B$6,MAX(Q2881,R2881,S2881*Model_Config_v3!$B$4+T2881*Model_Config_v3!$B$5)),0)</x:f>
        <x:v>640</x:v>
      </x:c>
      <x:c r="J2881" s="18" t="n">
        <x:f>MIN(Model_Config_v3!$B$6,I2881+Model_Config_v3!$B$7)</x:f>
        <x:v>660</x:v>
      </x:c>
      <x:c r="K2881" s="20" t="n">
        <x:v>53</x:v>
      </x:c>
      <x:c r="L2881" t="str">
        <x:v>MENENGAH</x:v>
      </x:c>
      <x:c r="M2881" t="str">
        <x:v>SEDANG+</x:v>
      </x:c>
      <x:c r="N2881" t="str">
        <x:v>ELITE-3</x:v>
      </x:c>
      <x:c r="O2881" t="str">
        <x:v>SOSHUM</x:v>
      </x:c>
      <x:c r="P2881" t="str">
        <x:v>UMUM</x:v>
      </x:c>
      <x:c r="Q2881" s="18" t="n">
        <x:v>630</x:v>
      </x:c>
      <x:c r="R2881" s="18" t="n">
        <x:v>0</x:v>
      </x:c>
      <x:c r="S2881" s="18" t="n">
        <x:v>580.5251188360603</x:v>
      </x:c>
      <x:c r="T2881" s="18" t="n">
        <x:v>666</x:v>
      </x:c>
      <x:c r="U2881" s="18" t="n">
        <x:v>630</x:v>
      </x:c>
      <x:c r="V2881" s="20" t="n">
        <x:v>4.4</x:v>
      </x:c>
      <x:c r="W2881" s="20" t="n">
        <x:v>14.3</x:v>
      </x:c>
      <x:c r="X2881" s="20" t="n">
        <x:v>3.3</x:v>
      </x:c>
      <x:c r="Y2881" t="str">
        <x:v>Basis arsip 2025/2024</x:v>
      </x:c>
      <x:c r="Z2881" t="str">
        <x:v>https://snpmb.id/utbk-snbt/daya-tampung-snbt</x:v>
      </x:c>
      <x:c r="AA2881" t="str">
        <x:v>Tidak Ada</x:v>
      </x:c>
      <x:c r="AB2881" t="str">
        <x:v>Campus=80; Ratio=32.4; Prodi=40; RelDemand=22.7; Capacity=66.7</x:v>
      </x:c>
    </x:row>
    <x:row r="2882">
      <x:c r="A2882" t="n">
        <x:v>2879</x:v>
      </x:c>
      <x:c r="B2882" t="str">
        <x:v>PTN Akademik</x:v>
      </x:c>
      <x:c r="C2882" t="str">
        <x:v>UNIVERSITAS UDAYANA</x:v>
      </x:c>
      <x:c r="D2882" t="str">
        <x:v>PARIWISATA</x:v>
      </x:c>
      <x:c r="E2882" t="str">
        <x:v>Sarjana</x:v>
      </x:c>
      <x:c r="F2882" s="18" t="n">
        <x:v>72</x:v>
      </x:c>
      <x:c r="G2882" s="18" t="n">
        <x:v>919</x:v>
      </x:c>
      <x:c r="H2882" s="19" t="n">
        <x:v>12.76388888888889</x:v>
      </x:c>
      <x:c r="I2882" s="18" t="n">
        <x:f>ROUND(MIN(Model_Config_v3!$B$6,MAX(Q2882,R2882,S2882*Model_Config_v3!$B$4+T2882*Model_Config_v3!$B$5)),0)</x:f>
        <x:v>675</x:v>
      </x:c>
      <x:c r="J2882" s="18" t="n">
        <x:f>MIN(Model_Config_v3!$B$6,I2882+Model_Config_v3!$B$7)</x:f>
        <x:v>695</x:v>
      </x:c>
      <x:c r="K2882" s="20" t="n">
        <x:v>64.4</x:v>
      </x:c>
      <x:c r="L2882" t="str">
        <x:v>KETAT</x:v>
      </x:c>
      <x:c r="M2882" t="str">
        <x:v>SEDANG+</x:v>
      </x:c>
      <x:c r="N2882" t="str">
        <x:v>ELITE-3</x:v>
      </x:c>
      <x:c r="O2882" t="str">
        <x:v>CAMPURAN</x:v>
      </x:c>
      <x:c r="P2882" t="str">
        <x:v>UMUM</x:v>
      </x:c>
      <x:c r="Q2882" s="18" t="n">
        <x:v>630</x:v>
      </x:c>
      <x:c r="R2882" s="18" t="n">
        <x:v>0</x:v>
      </x:c>
      <x:c r="S2882" s="18" t="n">
        <x:v>641.6581316450327</x:v>
      </x:c>
      <x:c r="T2882" s="18" t="n">
        <x:v>689</x:v>
      </x:c>
      <x:c r="U2882" s="18" t="n">
        <x:v>641.6581316450327</x:v>
      </x:c>
      <x:c r="V2882" s="20" t="n">
        <x:v>8.8</x:v>
      </x:c>
      <x:c r="W2882" s="20" t="n">
        <x:v>9.9</x:v>
      </x:c>
      <x:c r="X2882" s="20" t="n">
        <x:v>3.3</x:v>
      </x:c>
      <x:c r="Y2882" t="str">
        <x:v>Basis arsip 2025/2024</x:v>
      </x:c>
      <x:c r="Z2882" t="str">
        <x:v>https://snpmb.id/utbk-snbt/daya-tampung-snbt</x:v>
      </x:c>
      <x:c r="AA2882" t="str">
        <x:v>Tidak Ada</x:v>
      </x:c>
      <x:c r="AB2882" t="str">
        <x:v>Campus=80; Ratio=65.1; Prodi=40; RelDemand=81.7; Capacity=40.0</x:v>
      </x:c>
    </x:row>
    <x:row r="2883">
      <x:c r="A2883" t="n">
        <x:v>2880</x:v>
      </x:c>
      <x:c r="B2883" t="str">
        <x:v>PTN Akademik</x:v>
      </x:c>
      <x:c r="C2883" t="str">
        <x:v>UNIVERSITAS UDAYANA</x:v>
      </x:c>
      <x:c r="D2883" t="str">
        <x:v>INDUSTRI PERJALANAN WISATA</x:v>
      </x:c>
      <x:c r="E2883" t="str">
        <x:v>Sarjana</x:v>
      </x:c>
      <x:c r="F2883" s="18" t="n">
        <x:v>60</x:v>
      </x:c>
      <x:c r="G2883" s="18" t="n">
        <x:v>258</x:v>
      </x:c>
      <x:c r="H2883" s="19" t="n">
        <x:v>4.3</x:v>
      </x:c>
      <x:c r="I2883" s="18" t="n">
        <x:f>ROUND(MIN(Model_Config_v3!$B$6,MAX(Q2883,R2883,S2883*Model_Config_v3!$B$4+T2883*Model_Config_v3!$B$5)),0)</x:f>
        <x:v>643</x:v>
      </x:c>
      <x:c r="J2883" s="18" t="n">
        <x:f>MIN(Model_Config_v3!$B$6,I2883+Model_Config_v3!$B$7)</x:f>
        <x:v>663</x:v>
      </x:c>
      <x:c r="K2883" s="20" t="n">
        <x:v>53.1</x:v>
      </x:c>
      <x:c r="L2883" t="str">
        <x:v>MENENGAH</x:v>
      </x:c>
      <x:c r="M2883" t="str">
        <x:v>SEDANG+</x:v>
      </x:c>
      <x:c r="N2883" t="str">
        <x:v>ELITE-3</x:v>
      </x:c>
      <x:c r="O2883" t="str">
        <x:v>CAMPURAN</x:v>
      </x:c>
      <x:c r="P2883" t="str">
        <x:v>UMUM</x:v>
      </x:c>
      <x:c r="Q2883" s="18" t="n">
        <x:v>630</x:v>
      </x:c>
      <x:c r="R2883" s="18" t="n">
        <x:v>0</x:v>
      </x:c>
      <x:c r="S2883" s="18" t="n">
        <x:v>589.6815301137545</x:v>
      </x:c>
      <x:c r="T2883" s="18" t="n">
        <x:v>666</x:v>
      </x:c>
      <x:c r="U2883" s="18" t="n">
        <x:v>630</x:v>
      </x:c>
      <x:c r="V2883" s="20" t="n">
        <x:v>8.8</x:v>
      </x:c>
      <x:c r="W2883" s="20" t="n">
        <x:v>9.9</x:v>
      </x:c>
      <x:c r="X2883" s="20" t="n">
        <x:v>3.3</x:v>
      </x:c>
      <x:c r="Y2883" t="str">
        <x:v>Basis arsip 2025/2024</x:v>
      </x:c>
      <x:c r="Z2883" t="str">
        <x:v>https://snpmb.id/utbk-snbt/daya-tampung-snbt</x:v>
      </x:c>
      <x:c r="AA2883" t="str">
        <x:v>Tidak Ada</x:v>
      </x:c>
      <x:c r="AB2883" t="str">
        <x:v>Campus=80; Ratio=37.3; Prodi=40; RelDemand=27.5; Capacity=50.0</x:v>
      </x:c>
    </x:row>
    <x:row r="2884">
      <x:c r="A2884" t="n">
        <x:v>2881</x:v>
      </x:c>
      <x:c r="B2884" t="str">
        <x:v>PTN Akademik</x:v>
      </x:c>
      <x:c r="C2884" t="str">
        <x:v>UNIVERSITAS UDAYANA</x:v>
      </x:c>
      <x:c r="D2884" t="str">
        <x:v>HUBUNGAN INTERNASIONAL</x:v>
      </x:c>
      <x:c r="E2884" t="str">
        <x:v>Sarjana</x:v>
      </x:c>
      <x:c r="F2884" s="18" t="n">
        <x:v>48</x:v>
      </x:c>
      <x:c r="G2884" s="18" t="n">
        <x:v>598</x:v>
      </x:c>
      <x:c r="H2884" s="19" t="n">
        <x:v>12.458333333333334</x:v>
      </x:c>
      <x:c r="I2884" s="18" t="n">
        <x:f>ROUND(MIN(Model_Config_v3!$B$6,MAX(Q2884,R2884,S2884*Model_Config_v3!$B$4+T2884*Model_Config_v3!$B$5)),0)</x:f>
        <x:v>677</x:v>
      </x:c>
      <x:c r="J2884" s="18" t="n">
        <x:f>MIN(Model_Config_v3!$B$6,I2884+Model_Config_v3!$B$7)</x:f>
        <x:v>697</x:v>
      </x:c>
      <x:c r="K2884" s="20" t="n">
        <x:v>66.1</x:v>
      </x:c>
      <x:c r="L2884" t="str">
        <x:v>SANGAT KETAT</x:v>
      </x:c>
      <x:c r="M2884" t="str">
        <x:v>SEDANG+</x:v>
      </x:c>
      <x:c r="N2884" t="str">
        <x:v>ELITE-3</x:v>
      </x:c>
      <x:c r="O2884" t="str">
        <x:v>SOSHUM</x:v>
      </x:c>
      <x:c r="P2884" t="str">
        <x:v>UMUM</x:v>
      </x:c>
      <x:c r="Q2884" s="18" t="n">
        <x:v>630</x:v>
      </x:c>
      <x:c r="R2884" s="18" t="n">
        <x:v>0</x:v>
      </x:c>
      <x:c r="S2884" s="18" t="n">
        <x:v>640.5005941274105</x:v>
      </x:c>
      <x:c r="T2884" s="18" t="n">
        <x:v>692</x:v>
      </x:c>
      <x:c r="U2884" s="18" t="n">
        <x:v>640.5005941274105</x:v>
      </x:c>
      <x:c r="V2884" s="20" t="n">
        <x:v>4.4</x:v>
      </x:c>
      <x:c r="W2884" s="20" t="n">
        <x:v>14.3</x:v>
      </x:c>
      <x:c r="X2884" s="20" t="n">
        <x:v>3.3</x:v>
      </x:c>
      <x:c r="Y2884" t="str">
        <x:v>Basis arsip 2025/2024</x:v>
      </x:c>
      <x:c r="Z2884" t="str">
        <x:v>https://snpmb.id/utbk-snbt/daya-tampung-snbt</x:v>
      </x:c>
      <x:c r="AA2884" t="str">
        <x:v>Tidak Ada</x:v>
      </x:c>
      <x:c r="AB2884" t="str">
        <x:v>Campus=80; Ratio=64.5; Prodi=40; RelDemand=79.7; Capacity=60.0</x:v>
      </x:c>
    </x:row>
    <x:row r="2885">
      <x:c r="A2885" t="n">
        <x:v>2882</x:v>
      </x:c>
      <x:c r="B2885" t="str">
        <x:v>PTN Akademik</x:v>
      </x:c>
      <x:c r="C2885" t="str">
        <x:v>UNIVERSITAS UDAYANA</x:v>
      </x:c>
      <x:c r="D2885" t="str">
        <x:v>SOSIOLOGI</x:v>
      </x:c>
      <x:c r="E2885" t="str">
        <x:v>Sarjana</x:v>
      </x:c>
      <x:c r="F2885" s="18" t="n">
        <x:v>48</x:v>
      </x:c>
      <x:c r="G2885" s="18" t="n">
        <x:v>102</x:v>
      </x:c>
      <x:c r="H2885" s="19" t="n">
        <x:v>2.125</x:v>
      </x:c>
      <x:c r="I2885" s="18" t="n">
        <x:f>ROUND(MIN(Model_Config_v3!$B$6,MAX(Q2885,R2885,S2885*Model_Config_v3!$B$4+T2885*Model_Config_v3!$B$5)),0)</x:f>
        <x:v>630</x:v>
      </x:c>
      <x:c r="J2885" s="18" t="n">
        <x:f>MIN(Model_Config_v3!$B$6,I2885+Model_Config_v3!$B$7)</x:f>
        <x:v>650</x:v>
      </x:c>
      <x:c r="K2885" s="20" t="n">
        <x:v>48.2</x:v>
      </x:c>
      <x:c r="L2885" t="str">
        <x:v>MENENGAH</x:v>
      </x:c>
      <x:c r="M2885" t="str">
        <x:v>SEDANG+</x:v>
      </x:c>
      <x:c r="N2885" t="str">
        <x:v>ELITE-3</x:v>
      </x:c>
      <x:c r="O2885" t="str">
        <x:v>SOSHUM</x:v>
      </x:c>
      <x:c r="P2885" t="str">
        <x:v>UMUM</x:v>
      </x:c>
      <x:c r="Q2885" s="18" t="n">
        <x:v>630</x:v>
      </x:c>
      <x:c r="R2885" s="18" t="n">
        <x:v>0</x:v>
      </x:c>
      <x:c r="S2885" s="18" t="n">
        <x:v>556.0094827824963</x:v>
      </x:c>
      <x:c r="T2885" s="18" t="n">
        <x:v>656</x:v>
      </x:c>
      <x:c r="U2885" s="18" t="n">
        <x:v>630</x:v>
      </x:c>
      <x:c r="V2885" s="20" t="n">
        <x:v>4.4</x:v>
      </x:c>
      <x:c r="W2885" s="20" t="n">
        <x:v>14.3</x:v>
      </x:c>
      <x:c r="X2885" s="20" t="n">
        <x:v>3.3</x:v>
      </x:c>
      <x:c r="Y2885" t="str">
        <x:v>Basis arsip 2025/2024</x:v>
      </x:c>
      <x:c r="Z2885" t="str">
        <x:v>https://snpmb.id/utbk-snbt/daya-tampung-snbt</x:v>
      </x:c>
      <x:c r="AA2885" t="str">
        <x:v>Tidak Ada</x:v>
      </x:c>
      <x:c r="AB2885" t="str">
        <x:v>Campus=80; Ratio=19.3; Prodi=40; RelDemand=13.6; Capacity=60.0</x:v>
      </x:c>
    </x:row>
    <x:row r="2886">
      <x:c r="A2886" t="n">
        <x:v>2883</x:v>
      </x:c>
      <x:c r="B2886" t="str">
        <x:v>PTN Akademik</x:v>
      </x:c>
      <x:c r="C2886" t="str">
        <x:v>UNIVERSITAS UDAYANA</x:v>
      </x:c>
      <x:c r="D2886" t="str">
        <x:v>PSIKOLOGI</x:v>
      </x:c>
      <x:c r="E2886" t="str">
        <x:v>Sarjana</x:v>
      </x:c>
      <x:c r="F2886" s="18" t="n">
        <x:v>48</x:v>
      </x:c>
      <x:c r="G2886" s="18" t="n">
        <x:v>987</x:v>
      </x:c>
      <x:c r="H2886" s="19" t="n">
        <x:v>20.5625</x:v>
      </x:c>
      <x:c r="I2886" s="18" t="n">
        <x:f>ROUND(MIN(Model_Config_v3!$B$6,MAX(Q2886,R2886,S2886*Model_Config_v3!$B$4+T2886*Model_Config_v3!$B$5)),0)</x:f>
        <x:v>703</x:v>
      </x:c>
      <x:c r="J2886" s="18" t="n">
        <x:f>MIN(Model_Config_v3!$B$6,I2886+Model_Config_v3!$B$7)</x:f>
        <x:v>723</x:v>
      </x:c>
      <x:c r="K2886" s="20" t="n">
        <x:v>79.3</x:v>
      </x:c>
      <x:c r="L2886" t="str">
        <x:v>ELITE</x:v>
      </x:c>
      <x:c r="M2886" t="str">
        <x:v>SEDANG+</x:v>
      </x:c>
      <x:c r="N2886" t="str">
        <x:v>ELITE-3</x:v>
      </x:c>
      <x:c r="O2886" t="str">
        <x:v>SOSHUM</x:v>
      </x:c>
      <x:c r="P2886" t="str">
        <x:v>PSIKOLOGI</x:v>
      </x:c>
      <x:c r="Q2886" s="18" t="n">
        <x:v>630</x:v>
      </x:c>
      <x:c r="R2886" s="18" t="n">
        <x:v>670</x:v>
      </x:c>
      <x:c r="S2886" s="18" t="n">
        <x:v>664.4383506823455</x:v>
      </x:c>
      <x:c r="T2886" s="18" t="n">
        <x:v>719</x:v>
      </x:c>
      <x:c r="U2886" s="18" t="n">
        <x:v>689.4383506823455</x:v>
      </x:c>
      <x:c r="V2886" s="20" t="n">
        <x:v>4.4</x:v>
      </x:c>
      <x:c r="W2886" s="20" t="n">
        <x:v>14.3</x:v>
      </x:c>
      <x:c r="X2886" s="20" t="n">
        <x:v>3.3</x:v>
      </x:c>
      <x:c r="Y2886" t="str">
        <x:v>Basis arsip 2025/2024</x:v>
      </x:c>
      <x:c r="Z2886" t="str">
        <x:v>https://snpmb.id/utbk-snbt/daya-tampung-snbt</x:v>
      </x:c>
      <x:c r="AA2886" t="str">
        <x:v>Tidak Ada</x:v>
      </x:c>
      <x:c r="AB2886" t="str">
        <x:v>Campus=80; Ratio=77.3; Prodi=80; RelDemand=100.0; Capacity=60.0</x:v>
      </x:c>
    </x:row>
    <x:row r="2887">
      <x:c r="A2887" t="n">
        <x:v>2884</x:v>
      </x:c>
      <x:c r="B2887" t="str">
        <x:v>PTN Akademik</x:v>
      </x:c>
      <x:c r="C2887" t="str">
        <x:v>UNIVERSITAS UDAYANA</x:v>
      </x:c>
      <x:c r="D2887" t="str">
        <x:v>ADMINISTRASI NEGARA</x:v>
      </x:c>
      <x:c r="E2887" t="str">
        <x:v>Sarjana</x:v>
      </x:c>
      <x:c r="F2887" s="18" t="n">
        <x:v>48</x:v>
      </x:c>
      <x:c r="G2887" s="18" t="n">
        <x:v>389</x:v>
      </x:c>
      <x:c r="H2887" s="19" t="n">
        <x:v>8.104166666666666</x:v>
      </x:c>
      <x:c r="I2887" s="18" t="n">
        <x:f>ROUND(MIN(Model_Config_v3!$B$6,MAX(Q2887,R2887,S2887*Model_Config_v3!$B$4+T2887*Model_Config_v3!$B$5)),0)</x:f>
        <x:v>663</x:v>
      </x:c>
      <x:c r="J2887" s="18" t="n">
        <x:f>MIN(Model_Config_v3!$B$6,I2887+Model_Config_v3!$B$7)</x:f>
        <x:v>683</x:v>
      </x:c>
      <x:c r="K2887" s="20" t="n">
        <x:v>60.6</x:v>
      </x:c>
      <x:c r="L2887" t="str">
        <x:v>KETAT</x:v>
      </x:c>
      <x:c r="M2887" t="str">
        <x:v>SEDANG+</x:v>
      </x:c>
      <x:c r="N2887" t="str">
        <x:v>ELITE-3</x:v>
      </x:c>
      <x:c r="O2887" t="str">
        <x:v>SOSHUM</x:v>
      </x:c>
      <x:c r="P2887" t="str">
        <x:v>UMUM</x:v>
      </x:c>
      <x:c r="Q2887" s="18" t="n">
        <x:v>630</x:v>
      </x:c>
      <x:c r="R2887" s="18" t="n">
        <x:v>0</x:v>
      </x:c>
      <x:c r="S2887" s="18" t="n">
        <x:v>619.9579200345132</x:v>
      </x:c>
      <x:c r="T2887" s="18" t="n">
        <x:v>681</x:v>
      </x:c>
      <x:c r="U2887" s="18" t="n">
        <x:v>630</x:v>
      </x:c>
      <x:c r="V2887" s="20" t="n">
        <x:v>4.4</x:v>
      </x:c>
      <x:c r="W2887" s="20" t="n">
        <x:v>14.3</x:v>
      </x:c>
      <x:c r="X2887" s="20" t="n">
        <x:v>3.3</x:v>
      </x:c>
      <x:c r="Y2887" t="str">
        <x:v>Basis arsip 2025/2024</x:v>
      </x:c>
      <x:c r="Z2887" t="str">
        <x:v>https://snpmb.id/utbk-snbt/daya-tampung-snbt</x:v>
      </x:c>
      <x:c r="AA2887" t="str">
        <x:v>Tidak Ada</x:v>
      </x:c>
      <x:c r="AB2887" t="str">
        <x:v>Campus=80; Ratio=53.5; Prodi=40; RelDemand=51.9; Capacity=60.0</x:v>
      </x:c>
    </x:row>
    <x:row r="2888">
      <x:c r="A2888" t="n">
        <x:v>2885</x:v>
      </x:c>
      <x:c r="B2888" t="str">
        <x:v>PTN Akademik</x:v>
      </x:c>
      <x:c r="C2888" t="str">
        <x:v>UNIVERSITAS UDAYANA</x:v>
      </x:c>
      <x:c r="D2888" t="str">
        <x:v>ILMU KOMUNIKASI</x:v>
      </x:c>
      <x:c r="E2888" t="str">
        <x:v>Sarjana</x:v>
      </x:c>
      <x:c r="F2888" s="18" t="n">
        <x:v>48</x:v>
      </x:c>
      <x:c r="G2888" s="18" t="n">
        <x:v>695</x:v>
      </x:c>
      <x:c r="H2888" s="19" t="n">
        <x:v>14.479166666666666</x:v>
      </x:c>
      <x:c r="I2888" s="18" t="n">
        <x:f>ROUND(MIN(Model_Config_v3!$B$6,MAX(Q2888,R2888,S2888*Model_Config_v3!$B$4+T2888*Model_Config_v3!$B$5)),0)</x:f>
        <x:v>682</x:v>
      </x:c>
      <x:c r="J2888" s="18" t="n">
        <x:f>MIN(Model_Config_v3!$B$6,I2888+Model_Config_v3!$B$7)</x:f>
        <x:v>702</x:v>
      </x:c>
      <x:c r="K2888" s="20" t="n">
        <x:v>68.3</x:v>
      </x:c>
      <x:c r="L2888" t="str">
        <x:v>SANGAT KETAT</x:v>
      </x:c>
      <x:c r="M2888" t="str">
        <x:v>SEDANG+</x:v>
      </x:c>
      <x:c r="N2888" t="str">
        <x:v>ELITE-3</x:v>
      </x:c>
      <x:c r="O2888" t="str">
        <x:v>SOSHUM</x:v>
      </x:c>
      <x:c r="P2888" t="str">
        <x:v>UMUM</x:v>
      </x:c>
      <x:c r="Q2888" s="18" t="n">
        <x:v>630</x:v>
      </x:c>
      <x:c r="R2888" s="18" t="n">
        <x:v>0</x:v>
      </x:c>
      <x:c r="S2888" s="18" t="n">
        <x:v>647.6817923935979</x:v>
      </x:c>
      <x:c r="T2888" s="18" t="n">
        <x:v>697</x:v>
      </x:c>
      <x:c r="U2888" s="18" t="n">
        <x:v>647.6817923935979</x:v>
      </x:c>
      <x:c r="V2888" s="20" t="n">
        <x:v>4.4</x:v>
      </x:c>
      <x:c r="W2888" s="20" t="n">
        <x:v>14.3</x:v>
      </x:c>
      <x:c r="X2888" s="20" t="n">
        <x:v>3.3</x:v>
      </x:c>
      <x:c r="Y2888" t="str">
        <x:v>Basis arsip 2025/2024</x:v>
      </x:c>
      <x:c r="Z2888" t="str">
        <x:v>https://snpmb.id/utbk-snbt/daya-tampung-snbt</x:v>
      </x:c>
      <x:c r="AA2888" t="str">
        <x:v>Tidak Ada</x:v>
      </x:c>
      <x:c r="AB2888" t="str">
        <x:v>Campus=80; Ratio=68.3; Prodi=40; RelDemand=92.7; Capacity=60.0</x:v>
      </x:c>
    </x:row>
    <x:row r="2889">
      <x:c r="A2889" t="n">
        <x:v>2886</x:v>
      </x:c>
      <x:c r="B2889" t="str">
        <x:v>PTN Akademik</x:v>
      </x:c>
      <x:c r="C2889" t="str">
        <x:v>UNIVERSITAS UDAYANA</x:v>
      </x:c>
      <x:c r="D2889" t="str">
        <x:v>ILMU POLITIK</x:v>
      </x:c>
      <x:c r="E2889" t="str">
        <x:v>Sarjana</x:v>
      </x:c>
      <x:c r="F2889" s="18" t="n">
        <x:v>48</x:v>
      </x:c>
      <x:c r="G2889" s="18" t="n">
        <x:v>168</x:v>
      </x:c>
      <x:c r="H2889" s="19" t="n">
        <x:v>3.5</x:v>
      </x:c>
      <x:c r="I2889" s="18" t="n">
        <x:f>ROUND(MIN(Model_Config_v3!$B$6,MAX(Q2889,R2889,S2889*Model_Config_v3!$B$4+T2889*Model_Config_v3!$B$5)),0)</x:f>
        <x:v>639</x:v>
      </x:c>
      <x:c r="J2889" s="18" t="n">
        <x:f>MIN(Model_Config_v3!$B$6,I2889+Model_Config_v3!$B$7)</x:f>
        <x:v>659</x:v>
      </x:c>
      <x:c r="K2889" s="20" t="n">
        <x:v>52.2</x:v>
      </x:c>
      <x:c r="L2889" t="str">
        <x:v>MENENGAH</x:v>
      </x:c>
      <x:c r="M2889" t="str">
        <x:v>SEDANG+</x:v>
      </x:c>
      <x:c r="N2889" t="str">
        <x:v>ELITE-3</x:v>
      </x:c>
      <x:c r="O2889" t="str">
        <x:v>SOSHUM</x:v>
      </x:c>
      <x:c r="P2889" t="str">
        <x:v>UMUM</x:v>
      </x:c>
      <x:c r="Q2889" s="18" t="n">
        <x:v>630</x:v>
      </x:c>
      <x:c r="R2889" s="18" t="n">
        <x:v>0</x:v>
      </x:c>
      <x:c r="S2889" s="18" t="n">
        <x:v>579.8474848785303</x:v>
      </x:c>
      <x:c r="T2889" s="18" t="n">
        <x:v>664</x:v>
      </x:c>
      <x:c r="U2889" s="18" t="n">
        <x:v>630</x:v>
      </x:c>
      <x:c r="V2889" s="20" t="n">
        <x:v>4.4</x:v>
      </x:c>
      <x:c r="W2889" s="20" t="n">
        <x:v>14.3</x:v>
      </x:c>
      <x:c r="X2889" s="20" t="n">
        <x:v>3.3</x:v>
      </x:c>
      <x:c r="Y2889" t="str">
        <x:v>Basis arsip 2025/2024</x:v>
      </x:c>
      <x:c r="Z2889" t="str">
        <x:v>https://snpmb.id/utbk-snbt/daya-tampung-snbt</x:v>
      </x:c>
      <x:c r="AA2889" t="str">
        <x:v>Tidak Ada</x:v>
      </x:c>
      <x:c r="AB2889" t="str">
        <x:v>Campus=80; Ratio=32.0; Prodi=40; RelDemand=22.4; Capacity=60.0</x:v>
      </x:c>
    </x:row>
    <x:row r="2890">
      <x:c r="A2890" t="n">
        <x:v>2887</x:v>
      </x:c>
      <x:c r="B2890" t="str">
        <x:v>PTN Akademik</x:v>
      </x:c>
      <x:c r="C2890" t="str">
        <x:v>UNIVERSITAS UDAYANA</x:v>
      </x:c>
      <x:c r="D2890" t="str">
        <x:v>AKUAKULTUR</x:v>
      </x:c>
      <x:c r="E2890" t="str">
        <x:v>Sarjana</x:v>
      </x:c>
      <x:c r="F2890" s="18" t="n">
        <x:v>32</x:v>
      </x:c>
      <x:c r="G2890" s="18"/>
      <x:c r="H2890" s="19" t="n">
        <x:v>0</x:v>
      </x:c>
      <x:c r="I2890" s="18" t="n">
        <x:f>ROUND(MIN(Model_Config_v3!$B$6,MAX(Q2890,R2890,S2890*Model_Config_v3!$B$4+T2890*Model_Config_v3!$B$5)),0)</x:f>
        <x:v>630</x:v>
      </x:c>
      <x:c r="J2890" s="18" t="n">
        <x:f>MIN(Model_Config_v3!$B$6,I2890+Model_Config_v3!$B$7)</x:f>
        <x:v>650</x:v>
      </x:c>
      <x:c r="K2890" s="20" t="n">
        <x:v>43.3</x:v>
      </x:c>
      <x:c r="L2890" t="str">
        <x:v>RELATIF LONGGAR</x:v>
      </x:c>
      <x:c r="M2890" t="str">
        <x:v>RENDAH</x:v>
      </x:c>
      <x:c r="N2890" t="str">
        <x:v>ELITE-3</x:v>
      </x:c>
      <x:c r="O2890" t="str">
        <x:v>CAMPURAN</x:v>
      </x:c>
      <x:c r="P2890" t="str">
        <x:v>UMUM</x:v>
      </x:c>
      <x:c r="Q2890" s="18" t="n">
        <x:v>630</x:v>
      </x:c>
      <x:c r="R2890" s="18" t="n">
        <x:v>0</x:v>
      </x:c>
      <x:c r="S2890" s="18" t="n">
        <x:v>520</x:v>
      </x:c>
      <x:c r="T2890" s="18" t="n">
        <x:v>647</x:v>
      </x:c>
      <x:c r="U2890" s="18" t="n">
        <x:v>630</x:v>
      </x:c>
      <x:c r="V2890" s="20" t="n">
        <x:v>8.8</x:v>
      </x:c>
      <x:c r="W2890" s="20" t="n">
        <x:v>9.9</x:v>
      </x:c>
      <x:c r="X2890" s="20" t="n">
        <x:v>3.3</x:v>
      </x:c>
      <x:c r="Y2890" t="str">
        <x:v>Basis arsip 2025/2024</x:v>
      </x:c>
      <x:c r="Z2890" t="str">
        <x:v>https://snpmb.id/utbk-snbt/daya-tampung-snbt</x:v>
      </x:c>
      <x:c r="AA2890" t="str">
        <x:v>Tidak Ada</x:v>
      </x:c>
      <x:c r="AB2890" t="str">
        <x:v>Campus=80; Ratio=0.0; Prodi=40; RelDemand=0.0; Capacity=73.3</x:v>
      </x:c>
    </x:row>
    <x:row r="2891">
      <x:c r="A2891" t="n">
        <x:v>2888</x:v>
      </x:c>
      <x:c r="B2891" t="str">
        <x:v>PTN Akademik</x:v>
      </x:c>
      <x:c r="C2891" t="str">
        <x:v>UNIVERSITAS UDAYANA</x:v>
      </x:c>
      <x:c r="D2891" t="str">
        <x:v>PENGELOLAAN PERHOTELAN</x:v>
      </x:c>
      <x:c r="E2891" t="str">
        <x:v>Sarjana Terapan</x:v>
      </x:c>
      <x:c r="F2891" s="18" t="n">
        <x:v>60</x:v>
      </x:c>
      <x:c r="G2891" s="18" t="n">
        <x:v>714</x:v>
      </x:c>
      <x:c r="H2891" s="19" t="n">
        <x:v>11.9</x:v>
      </x:c>
      <x:c r="I2891" s="18" t="n">
        <x:f>ROUND(MIN(Model_Config_v3!$B$6,MAX(Q2891,R2891,S2891*Model_Config_v3!$B$4+T2891*Model_Config_v3!$B$5)),0)</x:f>
        <x:v>674</x:v>
      </x:c>
      <x:c r="J2891" s="18" t="n">
        <x:f>MIN(Model_Config_v3!$B$6,I2891+Model_Config_v3!$B$7)</x:f>
        <x:v>694</x:v>
      </x:c>
      <x:c r="K2891" s="20" t="n">
        <x:v>64.4</x:v>
      </x:c>
      <x:c r="L2891" t="str">
        <x:v>KETAT</x:v>
      </x:c>
      <x:c r="M2891" t="str">
        <x:v>SEDANG+</x:v>
      </x:c>
      <x:c r="N2891" t="str">
        <x:v>ELITE-3</x:v>
      </x:c>
      <x:c r="O2891" t="str">
        <x:v>CAMPURAN</x:v>
      </x:c>
      <x:c r="P2891" t="str">
        <x:v>UMUM</x:v>
      </x:c>
      <x:c r="Q2891" s="18" t="n">
        <x:v>630</x:v>
      </x:c>
      <x:c r="R2891" s="18" t="n">
        <x:v>0</x:v>
      </x:c>
      <x:c r="S2891" s="18" t="n">
        <x:v>638.3101657531784</x:v>
      </x:c>
      <x:c r="T2891" s="18" t="n">
        <x:v>689</x:v>
      </x:c>
      <x:c r="U2891" s="18" t="n">
        <x:v>638.3101657531784</x:v>
      </x:c>
      <x:c r="V2891" s="20" t="n">
        <x:v>8.8</x:v>
      </x:c>
      <x:c r="W2891" s="20" t="n">
        <x:v>9.9</x:v>
      </x:c>
      <x:c r="X2891" s="20" t="n">
        <x:v>3.3</x:v>
      </x:c>
      <x:c r="Y2891" t="str">
        <x:v>Basis arsip 2025/2024</x:v>
      </x:c>
      <x:c r="Z2891" t="str">
        <x:v>https://snpmb.id/utbk-snbt/daya-tampung-snbt</x:v>
      </x:c>
      <x:c r="AA2891" t="str">
        <x:v>Tidak Ada</x:v>
      </x:c>
      <x:c r="AB2891" t="str">
        <x:v>Campus=80; Ratio=63.3; Prodi=40; RelDemand=76.1; Capacity=50.0</x:v>
      </x:c>
    </x:row>
    <x:row r="2892">
      <x:c r="A2892" t="n">
        <x:v>2889</x:v>
      </x:c>
      <x:c r="B2892" t="str">
        <x:v>PTN Akademik</x:v>
      </x:c>
      <x:c r="C2892" t="str">
        <x:v>UNIVERSITAS UDAYANA</x:v>
      </x:c>
      <x:c r="D2892" t="str">
        <x:v>PERPUSTAKAAN</x:v>
      </x:c>
      <x:c r="E2892" t="str">
        <x:v>Diploma Tiga</x:v>
      </x:c>
      <x:c r="F2892" s="18" t="n">
        <x:v>13</x:v>
      </x:c>
      <x:c r="G2892" s="18" t="n">
        <x:v>249</x:v>
      </x:c>
      <x:c r="H2892" s="19" t="n">
        <x:v>19.153846153846153</x:v>
      </x:c>
      <x:c r="I2892" s="18" t="n">
        <x:f>ROUND(MIN(Model_Config_v3!$B$6,MAX(Q2892,R2892,S2892*Model_Config_v3!$B$4+T2892*Model_Config_v3!$B$5)),0)</x:f>
        <x:v>694</x:v>
      </x:c>
      <x:c r="J2892" s="18" t="n">
        <x:f>MIN(Model_Config_v3!$B$6,I2892+Model_Config_v3!$B$7)</x:f>
        <x:v>714</x:v>
      </x:c>
      <x:c r="K2892" s="20" t="n">
        <x:v>73.8</x:v>
      </x:c>
      <x:c r="L2892" t="str">
        <x:v>SANGAT KETAT</x:v>
      </x:c>
      <x:c r="M2892" t="str">
        <x:v>SEDANG+</x:v>
      </x:c>
      <x:c r="N2892" t="str">
        <x:v>ELITE-3</x:v>
      </x:c>
      <x:c r="O2892" t="str">
        <x:v>CAMPURAN</x:v>
      </x:c>
      <x:c r="P2892" t="str">
        <x:v>UMUM</x:v>
      </x:c>
      <x:c r="Q2892" s="18" t="n">
        <x:v>630</x:v>
      </x:c>
      <x:c r="R2892" s="18" t="n">
        <x:v>0</x:v>
      </x:c>
      <x:c r="S2892" s="18" t="n">
        <x:v>661.048159426779</x:v>
      </x:c>
      <x:c r="T2892" s="18" t="n">
        <x:v>708</x:v>
      </x:c>
      <x:c r="U2892" s="18" t="n">
        <x:v>661.048159426779</x:v>
      </x:c>
      <x:c r="V2892" s="20" t="n">
        <x:v>8.8</x:v>
      </x:c>
      <x:c r="W2892" s="20" t="n">
        <x:v>9.9</x:v>
      </x:c>
      <x:c r="X2892" s="20" t="n">
        <x:v>3.3</x:v>
      </x:c>
      <x:c r="Y2892" t="str">
        <x:v>Basis arsip 2025/2024</x:v>
      </x:c>
      <x:c r="Z2892" t="str">
        <x:v>https://snpmb.id/utbk-snbt/daya-tampung-snbt</x:v>
      </x:c>
      <x:c r="AA2892" t="str">
        <x:v>Tidak Ada</x:v>
      </x:c>
      <x:c r="AB2892" t="str">
        <x:v>Campus=80; Ratio=75.5; Prodi=40; RelDemand=100.0; Capacity=89.2</x:v>
      </x:c>
    </x:row>
    <x:row r="2893">
      <x:c r="A2893" t="n">
        <x:v>2890</x:v>
      </x:c>
      <x:c r="B2893" t="str">
        <x:v>PTN Akademik</x:v>
      </x:c>
      <x:c r="C2893" t="str">
        <x:v>UNIVERSITAS UDAYANA</x:v>
      </x:c>
      <x:c r="D2893" t="str">
        <x:v>PERPAJAKAN</x:v>
      </x:c>
      <x:c r="E2893" t="str">
        <x:v>Diploma Tiga</x:v>
      </x:c>
      <x:c r="F2893" s="18" t="n">
        <x:v>28</x:v>
      </x:c>
      <x:c r="G2893" s="18" t="n">
        <x:v>1070</x:v>
      </x:c>
      <x:c r="H2893" s="19" t="n">
        <x:v>38.214285714285715</x:v>
      </x:c>
      <x:c r="I2893" s="18" t="n">
        <x:f>ROUND(MIN(Model_Config_v3!$B$6,MAX(Q2893,R2893,S2893*Model_Config_v3!$B$4+T2893*Model_Config_v3!$B$5)),0)</x:f>
        <x:v>708</x:v>
      </x:c>
      <x:c r="J2893" s="18" t="n">
        <x:f>MIN(Model_Config_v3!$B$6,I2893+Model_Config_v3!$B$7)</x:f>
        <x:v>728</x:v>
      </x:c>
      <x:c r="K2893" s="20" t="n">
        <x:v>76.9</x:v>
      </x:c>
      <x:c r="L2893" t="str">
        <x:v>ELITE</x:v>
      </x:c>
      <x:c r="M2893" t="str">
        <x:v>SEDANG+</x:v>
      </x:c>
      <x:c r="N2893" t="str">
        <x:v>ELITE-3</x:v>
      </x:c>
      <x:c r="O2893" t="str">
        <x:v>CAMPURAN</x:v>
      </x:c>
      <x:c r="P2893" t="str">
        <x:v>UMUM</x:v>
      </x:c>
      <x:c r="Q2893" s="18" t="n">
        <x:v>630</x:v>
      </x:c>
      <x:c r="R2893" s="18" t="n">
        <x:v>0</x:v>
      </x:c>
      <x:c r="S2893" s="18" t="n">
        <x:v>694.0448320977289</x:v>
      </x:c>
      <x:c r="T2893" s="18" t="n">
        <x:v>714</x:v>
      </x:c>
      <x:c r="U2893" s="18" t="n">
        <x:v>694.0448320977289</x:v>
      </x:c>
      <x:c r="V2893" s="20" t="n">
        <x:v>8.8</x:v>
      </x:c>
      <x:c r="W2893" s="20" t="n">
        <x:v>9.9</x:v>
      </x:c>
      <x:c r="X2893" s="20" t="n">
        <x:v>3.3</x:v>
      </x:c>
      <x:c r="Y2893" t="str">
        <x:v>Basis arsip 2025/2024</x:v>
      </x:c>
      <x:c r="Z2893" t="str">
        <x:v>https://snpmb.id/utbk-snbt/daya-tampung-snbt</x:v>
      </x:c>
      <x:c r="AA2893" t="str">
        <x:v>Tidak Ada</x:v>
      </x:c>
      <x:c r="AB2893" t="str">
        <x:v>Campus=80; Ratio=93.1; Prodi=40; RelDemand=100.0; Capacity=76.7</x:v>
      </x:c>
    </x:row>
    <x:row r="2894">
      <x:c r="A2894" t="n">
        <x:v>2891</x:v>
      </x:c>
      <x:c r="B2894" t="str">
        <x:v>PTN Akademik</x:v>
      </x:c>
      <x:c r="C2894" t="str">
        <x:v>UNIVERSITAS UDAYANA</x:v>
      </x:c>
      <x:c r="D2894" t="str">
        <x:v>AKUNTANSI</x:v>
      </x:c>
      <x:c r="E2894" t="str">
        <x:v>Diploma Tiga</x:v>
      </x:c>
      <x:c r="F2894" s="18" t="n">
        <x:v>28</x:v>
      </x:c>
      <x:c r="G2894" s="18" t="n">
        <x:v>827</x:v>
      </x:c>
      <x:c r="H2894" s="19" t="n">
        <x:v>29.535714285714285</x:v>
      </x:c>
      <x:c r="I2894" s="18" t="n">
        <x:f>ROUND(MIN(Model_Config_v3!$B$6,MAX(Q2894,R2894,S2894*Model_Config_v3!$B$4+T2894*Model_Config_v3!$B$5)),0)</x:f>
        <x:v>709</x:v>
      </x:c>
      <x:c r="J2894" s="18" t="n">
        <x:f>MIN(Model_Config_v3!$B$6,I2894+Model_Config_v3!$B$7)</x:f>
        <x:v>729</x:v>
      </x:c>
      <x:c r="K2894" s="20" t="n">
        <x:v>80.3</x:v>
      </x:c>
      <x:c r="L2894" t="str">
        <x:v>ELITE</x:v>
      </x:c>
      <x:c r="M2894" t="str">
        <x:v>SEDANG+</x:v>
      </x:c>
      <x:c r="N2894" t="str">
        <x:v>ELITE-3</x:v>
      </x:c>
      <x:c r="O2894" t="str">
        <x:v>SOSHUM</x:v>
      </x:c>
      <x:c r="P2894" t="str">
        <x:v>BISNIS/EKONOMI/AKUNTANSI</x:v>
      </x:c>
      <x:c r="Q2894" s="18" t="n">
        <x:v>630</x:v>
      </x:c>
      <x:c r="R2894" s="18" t="n">
        <x:v>0</x:v>
      </x:c>
      <x:c r="S2894" s="18" t="n">
        <x:v>681.738222603136</x:v>
      </x:c>
      <x:c r="T2894" s="18" t="n">
        <x:v>721</x:v>
      </x:c>
      <x:c r="U2894" s="18" t="n">
        <x:v>681.738222603136</x:v>
      </x:c>
      <x:c r="V2894" s="20" t="n">
        <x:v>4.4</x:v>
      </x:c>
      <x:c r="W2894" s="20" t="n">
        <x:v>14.3</x:v>
      </x:c>
      <x:c r="X2894" s="20" t="n">
        <x:v>3.3</x:v>
      </x:c>
      <x:c r="Y2894" t="str">
        <x:v>Basis arsip 2025/2024</x:v>
      </x:c>
      <x:c r="Z2894" t="str">
        <x:v>https://snpmb.id/utbk-snbt/daya-tampung-snbt</x:v>
      </x:c>
      <x:c r="AA2894" t="str">
        <x:v>Tidak Ada</x:v>
      </x:c>
      <x:c r="AB2894" t="str">
        <x:v>Campus=80; Ratio=86.5; Prodi=65; RelDemand=100.0; Capacity=76.7</x:v>
      </x:c>
    </x:row>
    <x:row r="2895">
      <x:c r="A2895" t="n">
        <x:v>2892</x:v>
      </x:c>
      <x:c r="B2895" t="str">
        <x:v>PTN Akademik</x:v>
      </x:c>
      <x:c r="C2895" t="str">
        <x:v>UNIVERSITAS PENDIDIKAN GANESHA</x:v>
      </x:c>
      <x:c r="D2895" t="str">
        <x:v>PENDIDIKAN MATEMATIKA</x:v>
      </x:c>
      <x:c r="E2895" t="str">
        <x:v>Sarjana</x:v>
      </x:c>
      <x:c r="F2895" s="18" t="n">
        <x:v>72</x:v>
      </x:c>
      <x:c r="G2895" s="18" t="n">
        <x:v>68</x:v>
      </x:c>
      <x:c r="H2895" s="19" t="n">
        <x:v>0.9444444444444444</x:v>
      </x:c>
      <x:c r="I2895" s="18" t="n">
        <x:f>ROUND(MIN(Model_Config_v3!$B$6,MAX(Q2895,R2895,S2895*Model_Config_v3!$B$4+T2895*Model_Config_v3!$B$5)),0)</x:f>
        <x:v>596</x:v>
      </x:c>
      <x:c r="J2895" s="18" t="n">
        <x:f>MIN(Model_Config_v3!$B$6,I2895+Model_Config_v3!$B$7)</x:f>
        <x:v>616</x:v>
      </x:c>
      <x:c r="K2895" s="20" t="n">
        <x:v>34.6</x:v>
      </x:c>
      <x:c r="L2895" t="str">
        <x:v>RELATIF LONGGAR</x:v>
      </x:c>
      <x:c r="M2895" t="str">
        <x:v>SEDANG+</x:v>
      </x:c>
      <x:c r="N2895" t="str">
        <x:v>REGULER</x:v>
      </x:c>
      <x:c r="O2895" t="str">
        <x:v>SAINTEK</x:v>
      </x:c>
      <x:c r="P2895" t="str">
        <x:v>PENDIDIKAN</x:v>
      </x:c>
      <x:c r="Q2895" s="18" t="n">
        <x:v>0</x:v>
      </x:c>
      <x:c r="R2895" s="18" t="n">
        <x:v>0</x:v>
      </x:c>
      <x:c r="S2895" s="18" t="n">
        <x:v>520</x:v>
      </x:c>
      <x:c r="T2895" s="18" t="n">
        <x:v>629</x:v>
      </x:c>
      <x:c r="U2895" s="18" t="n">
        <x:v>520</x:v>
      </x:c>
      <x:c r="V2895" s="20" t="n">
        <x:v>12</x:v>
      </x:c>
      <x:c r="W2895" s="20" t="n">
        <x:v>5</x:v>
      </x:c>
      <x:c r="X2895" s="20" t="n">
        <x:v>3</x:v>
      </x:c>
      <x:c r="Y2895" t="str">
        <x:v>Basis arsip 2025/2024</x:v>
      </x:c>
      <x:c r="Z2895" t="str">
        <x:v>https://snpmb.id/utbk-snbt/daya-tampung-snbt</x:v>
      </x:c>
      <x:c r="AA2895" t="str">
        <x:v>Tidak Ada</x:v>
      </x:c>
      <x:c r="AB2895" t="str">
        <x:v>Campus=55; Ratio=0.0; Prodi=45; RelDemand=23.4; Capacity=40.0</x:v>
      </x:c>
    </x:row>
    <x:row r="2896">
      <x:c r="A2896" t="n">
        <x:v>2893</x:v>
      </x:c>
      <x:c r="B2896" t="str">
        <x:v>PTN Akademik</x:v>
      </x:c>
      <x:c r="C2896" t="str">
        <x:v>UNIVERSITAS PENDIDIKAN GANESHA</x:v>
      </x:c>
      <x:c r="D2896" t="str">
        <x:v>PENDIDIKAN BIOLOGI</x:v>
      </x:c>
      <x:c r="E2896" t="str">
        <x:v>Sarjana</x:v>
      </x:c>
      <x:c r="F2896" s="18" t="n">
        <x:v>48</x:v>
      </x:c>
      <x:c r="G2896" s="18" t="n">
        <x:v>43</x:v>
      </x:c>
      <x:c r="H2896" s="19" t="n">
        <x:v>0.8958333333333334</x:v>
      </x:c>
      <x:c r="I2896" s="18" t="n">
        <x:f>ROUND(MIN(Model_Config_v3!$B$6,MAX(Q2896,R2896,S2896*Model_Config_v3!$B$4+T2896*Model_Config_v3!$B$5)),0)</x:f>
        <x:v>599</x:v>
      </x:c>
      <x:c r="J2896" s="18" t="n">
        <x:f>MIN(Model_Config_v3!$B$6,I2896+Model_Config_v3!$B$7)</x:f>
        <x:v>619</x:v>
      </x:c>
      <x:c r="K2896" s="20" t="n">
        <x:v>36.5</x:v>
      </x:c>
      <x:c r="L2896" t="str">
        <x:v>RELATIF LONGGAR</x:v>
      </x:c>
      <x:c r="M2896" t="str">
        <x:v>SEDANG+</x:v>
      </x:c>
      <x:c r="N2896" t="str">
        <x:v>REGULER</x:v>
      </x:c>
      <x:c r="O2896" t="str">
        <x:v>SAINTEK</x:v>
      </x:c>
      <x:c r="P2896" t="str">
        <x:v>PENDIDIKAN</x:v>
      </x:c>
      <x:c r="Q2896" s="18" t="n">
        <x:v>0</x:v>
      </x:c>
      <x:c r="R2896" s="18" t="n">
        <x:v>0</x:v>
      </x:c>
      <x:c r="S2896" s="18" t="n">
        <x:v>520</x:v>
      </x:c>
      <x:c r="T2896" s="18" t="n">
        <x:v>633</x:v>
      </x:c>
      <x:c r="U2896" s="18" t="n">
        <x:v>520</x:v>
      </x:c>
      <x:c r="V2896" s="20" t="n">
        <x:v>12</x:v>
      </x:c>
      <x:c r="W2896" s="20" t="n">
        <x:v>5</x:v>
      </x:c>
      <x:c r="X2896" s="20" t="n">
        <x:v>3</x:v>
      </x:c>
      <x:c r="Y2896" t="str">
        <x:v>Basis arsip 2025/2024</x:v>
      </x:c>
      <x:c r="Z2896" t="str">
        <x:v>https://snpmb.id/utbk-snbt/daya-tampung-snbt</x:v>
      </x:c>
      <x:c r="AA2896" t="str">
        <x:v>Tidak Ada</x:v>
      </x:c>
      <x:c r="AB2896" t="str">
        <x:v>Campus=55; Ratio=0.0; Prodi=45; RelDemand=22.2; Capacity=60.0</x:v>
      </x:c>
    </x:row>
    <x:row r="2897">
      <x:c r="A2897" t="n">
        <x:v>2894</x:v>
      </x:c>
      <x:c r="B2897" t="str">
        <x:v>PTN Akademik</x:v>
      </x:c>
      <x:c r="C2897" t="str">
        <x:v>UNIVERSITAS PENDIDIKAN GANESHA</x:v>
      </x:c>
      <x:c r="D2897" t="str">
        <x:v>PENDIDIKAN KIMIA</x:v>
      </x:c>
      <x:c r="E2897" t="str">
        <x:v>Sarjana</x:v>
      </x:c>
      <x:c r="F2897" s="18" t="n">
        <x:v>30</x:v>
      </x:c>
      <x:c r="G2897" s="18" t="n">
        <x:v>13</x:v>
      </x:c>
      <x:c r="H2897" s="19" t="n">
        <x:v>0.43333333333333335</x:v>
      </x:c>
      <x:c r="I2897" s="18" t="n">
        <x:f>ROUND(MIN(Model_Config_v3!$B$6,MAX(Q2897,R2897,S2897*Model_Config_v3!$B$4+T2897*Model_Config_v3!$B$5)),0)</x:f>
        <x:v>600</x:v>
      </x:c>
      <x:c r="J2897" s="18" t="n">
        <x:f>MIN(Model_Config_v3!$B$6,I2897+Model_Config_v3!$B$7)</x:f>
        <x:v>620</x:v>
      </x:c>
      <x:c r="K2897" s="20" t="n">
        <x:v>36.8</x:v>
      </x:c>
      <x:c r="L2897" t="str">
        <x:v>RELATIF LONGGAR</x:v>
      </x:c>
      <x:c r="M2897" t="str">
        <x:v>SEDANG+</x:v>
      </x:c>
      <x:c r="N2897" t="str">
        <x:v>REGULER</x:v>
      </x:c>
      <x:c r="O2897" t="str">
        <x:v>SAINTEK</x:v>
      </x:c>
      <x:c r="P2897" t="str">
        <x:v>PENDIDIKAN</x:v>
      </x:c>
      <x:c r="Q2897" s="18" t="n">
        <x:v>0</x:v>
      </x:c>
      <x:c r="R2897" s="18" t="n">
        <x:v>0</x:v>
      </x:c>
      <x:c r="S2897" s="18" t="n">
        <x:v>520</x:v>
      </x:c>
      <x:c r="T2897" s="18" t="n">
        <x:v>634</x:v>
      </x:c>
      <x:c r="U2897" s="18" t="n">
        <x:v>520</x:v>
      </x:c>
      <x:c r="V2897" s="20" t="n">
        <x:v>12</x:v>
      </x:c>
      <x:c r="W2897" s="20" t="n">
        <x:v>5</x:v>
      </x:c>
      <x:c r="X2897" s="20" t="n">
        <x:v>3</x:v>
      </x:c>
      <x:c r="Y2897" t="str">
        <x:v>Basis arsip 2025/2024</x:v>
      </x:c>
      <x:c r="Z2897" t="str">
        <x:v>https://snpmb.id/utbk-snbt/daya-tampung-snbt</x:v>
      </x:c>
      <x:c r="AA2897" t="str">
        <x:v>Tidak Ada</x:v>
      </x:c>
      <x:c r="AB2897" t="str">
        <x:v>Campus=55; Ratio=0.0; Prodi=45; RelDemand=10.7; Capacity=75.0</x:v>
      </x:c>
    </x:row>
    <x:row r="2898">
      <x:c r="A2898" t="n">
        <x:v>2895</x:v>
      </x:c>
      <x:c r="B2898" t="str">
        <x:v>PTN Akademik</x:v>
      </x:c>
      <x:c r="C2898" t="str">
        <x:v>UNIVERSITAS PENDIDIKAN GANESHA</x:v>
      </x:c>
      <x:c r="D2898" t="str">
        <x:v>PENDIDIKAN FISIKA</x:v>
      </x:c>
      <x:c r="E2898" t="str">
        <x:v>Sarjana</x:v>
      </x:c>
      <x:c r="F2898" s="18" t="n">
        <x:v>30</x:v>
      </x:c>
      <x:c r="G2898" s="18" t="n">
        <x:v>12</x:v>
      </x:c>
      <x:c r="H2898" s="19" t="n">
        <x:v>0.4</x:v>
      </x:c>
      <x:c r="I2898" s="18" t="n">
        <x:f>ROUND(MIN(Model_Config_v3!$B$6,MAX(Q2898,R2898,S2898*Model_Config_v3!$B$4+T2898*Model_Config_v3!$B$5)),0)</x:f>
        <x:v>599</x:v>
      </x:c>
      <x:c r="J2898" s="18" t="n">
        <x:f>MIN(Model_Config_v3!$B$6,I2898+Model_Config_v3!$B$7)</x:f>
        <x:v>619</x:v>
      </x:c>
      <x:c r="K2898" s="20" t="n">
        <x:v>36.7</x:v>
      </x:c>
      <x:c r="L2898" t="str">
        <x:v>RELATIF LONGGAR</x:v>
      </x:c>
      <x:c r="M2898" t="str">
        <x:v>SEDANG+</x:v>
      </x:c>
      <x:c r="N2898" t="str">
        <x:v>REGULER</x:v>
      </x:c>
      <x:c r="O2898" t="str">
        <x:v>SAINTEK</x:v>
      </x:c>
      <x:c r="P2898" t="str">
        <x:v>PENDIDIKAN</x:v>
      </x:c>
      <x:c r="Q2898" s="18" t="n">
        <x:v>0</x:v>
      </x:c>
      <x:c r="R2898" s="18" t="n">
        <x:v>0</x:v>
      </x:c>
      <x:c r="S2898" s="18" t="n">
        <x:v>520</x:v>
      </x:c>
      <x:c r="T2898" s="18" t="n">
        <x:v>633</x:v>
      </x:c>
      <x:c r="U2898" s="18" t="n">
        <x:v>520</x:v>
      </x:c>
      <x:c r="V2898" s="20" t="n">
        <x:v>12</x:v>
      </x:c>
      <x:c r="W2898" s="20" t="n">
        <x:v>5</x:v>
      </x:c>
      <x:c r="X2898" s="20" t="n">
        <x:v>3</x:v>
      </x:c>
      <x:c r="Y2898" t="str">
        <x:v>Basis arsip 2025/2024</x:v>
      </x:c>
      <x:c r="Z2898" t="str">
        <x:v>https://snpmb.id/utbk-snbt/daya-tampung-snbt</x:v>
      </x:c>
      <x:c r="AA2898" t="str">
        <x:v>Tidak Ada</x:v>
      </x:c>
      <x:c r="AB2898" t="str">
        <x:v>Campus=55; Ratio=0.0; Prodi=45; RelDemand=9.9; Capacity=75.0</x:v>
      </x:c>
    </x:row>
    <x:row r="2899">
      <x:c r="A2899" t="n">
        <x:v>2896</x:v>
      </x:c>
      <x:c r="B2899" t="str">
        <x:v>PTN Akademik</x:v>
      </x:c>
      <x:c r="C2899" t="str">
        <x:v>UNIVERSITAS PENDIDIKAN GANESHA</x:v>
      </x:c>
      <x:c r="D2899" t="str">
        <x:v>PENDIDIKAN TEKNIK INFORMATIKA</x:v>
      </x:c>
      <x:c r="E2899" t="str">
        <x:v>Sarjana</x:v>
      </x:c>
      <x:c r="F2899" s="18" t="n">
        <x:v>62</x:v>
      </x:c>
      <x:c r="G2899" s="18" t="n">
        <x:v>114</x:v>
      </x:c>
      <x:c r="H2899" s="19" t="n">
        <x:v>1.8387096774193548</x:v>
      </x:c>
      <x:c r="I2899" s="18" t="n">
        <x:f>ROUND(MIN(Model_Config_v3!$B$6,MAX(Q2899,R2899,S2899*Model_Config_v3!$B$4+T2899*Model_Config_v3!$B$5)),0)</x:f>
        <x:v>626</x:v>
      </x:c>
      <x:c r="J2899" s="18" t="n">
        <x:f>MIN(Model_Config_v3!$B$6,I2899+Model_Config_v3!$B$7)</x:f>
        <x:v>646</x:v>
      </x:c>
      <x:c r="K2899" s="20" t="n">
        <x:v>49.5</x:v>
      </x:c>
      <x:c r="L2899" t="str">
        <x:v>MENENGAH</x:v>
      </x:c>
      <x:c r="M2899" t="str">
        <x:v>SEDANG+</x:v>
      </x:c>
      <x:c r="N2899" t="str">
        <x:v>REGULER</x:v>
      </x:c>
      <x:c r="O2899" t="str">
        <x:v>SAINTEK</x:v>
      </x:c>
      <x:c r="P2899" t="str">
        <x:v>KOMPUTER/INFORMATIKA</x:v>
      </x:c>
      <x:c r="Q2899" s="18" t="n">
        <x:v>0</x:v>
      </x:c>
      <x:c r="R2899" s="18" t="n">
        <x:v>0</x:v>
      </x:c>
      <x:c r="S2899" s="18" t="n">
        <x:v>549.096447802204</x:v>
      </x:c>
      <x:c r="T2899" s="18" t="n">
        <x:v>659</x:v>
      </x:c>
      <x:c r="U2899" s="18" t="n">
        <x:v>574.096447802204</x:v>
      </x:c>
      <x:c r="V2899" s="20" t="n">
        <x:v>12</x:v>
      </x:c>
      <x:c r="W2899" s="20" t="n">
        <x:v>5</x:v>
      </x:c>
      <x:c r="X2899" s="20" t="n">
        <x:v>3</x:v>
      </x:c>
      <x:c r="Y2899" t="str">
        <x:v>Basis arsip 2025/2024</x:v>
      </x:c>
      <x:c r="Z2899" t="str">
        <x:v>https://snpmb.id/utbk-snbt/daya-tampung-snbt</x:v>
      </x:c>
      <x:c r="AA2899" t="str">
        <x:v>Tidak Ada</x:v>
      </x:c>
      <x:c r="AB2899" t="str">
        <x:v>Campus=55; Ratio=15.6; Prodi=85; RelDemand=45.6; Capacity=48.3</x:v>
      </x:c>
    </x:row>
    <x:row r="2900">
      <x:c r="A2900" t="n">
        <x:v>2897</x:v>
      </x:c>
      <x:c r="B2900" t="str">
        <x:v>PTN Akademik</x:v>
      </x:c>
      <x:c r="C2900" t="str">
        <x:v>UNIVERSITAS PENDIDIKAN GANESHA</x:v>
      </x:c>
      <x:c r="D2900" t="str">
        <x:v>ILMU KEOLAHRAGAAN</x:v>
      </x:c>
      <x:c r="E2900" t="str">
        <x:v>Sarjana</x:v>
      </x:c>
      <x:c r="F2900" s="18" t="n">
        <x:v>25</x:v>
      </x:c>
      <x:c r="G2900" s="18" t="n">
        <x:v>21</x:v>
      </x:c>
      <x:c r="H2900" s="19" t="n">
        <x:v>0.84</x:v>
      </x:c>
      <x:c r="I2900" s="18" t="n">
        <x:f>ROUND(MIN(Model_Config_v3!$B$6,MAX(Q2900,R2900,S2900*Model_Config_v3!$B$4+T2900*Model_Config_v3!$B$5)),0)</x:f>
        <x:v>601</x:v>
      </x:c>
      <x:c r="J2900" s="18" t="n">
        <x:f>MIN(Model_Config_v3!$B$6,I2900+Model_Config_v3!$B$7)</x:f>
        <x:v>621</x:v>
      </x:c>
      <x:c r="K2900" s="20" t="n">
        <x:v>38.2</x:v>
      </x:c>
      <x:c r="L2900" t="str">
        <x:v>RELATIF LONGGAR</x:v>
      </x:c>
      <x:c r="M2900" t="str">
        <x:v>PORTOFOLIO</x:v>
      </x:c>
      <x:c r="N2900" t="str">
        <x:v>REGULER</x:v>
      </x:c>
      <x:c r="O2900" t="str">
        <x:v>SENI/OLAHRAGA</x:v>
      </x:c>
      <x:c r="P2900" t="str">
        <x:v>SENI/OLAHRAGA</x:v>
      </x:c>
      <x:c r="Q2900" s="18" t="n">
        <x:v>0</x:v>
      </x:c>
      <x:c r="R2900" s="18" t="n">
        <x:v>0</x:v>
      </x:c>
      <x:c r="S2900" s="18" t="n">
        <x:v>520</x:v>
      </x:c>
      <x:c r="T2900" s="18" t="n">
        <x:v>636</x:v>
      </x:c>
      <x:c r="U2900" s="18" t="n">
        <x:v>520</x:v>
      </x:c>
      <x:c r="V2900" s="20" t="n">
        <x:v>4.4</x:v>
      </x:c>
      <x:c r="W2900" s="20" t="n">
        <x:v>9.9</x:v>
      </x:c>
      <x:c r="X2900" s="20" t="n">
        <x:v>7.7</x:v>
      </x:c>
      <x:c r="Y2900" t="str">
        <x:v>Basis arsip 2025/2024</x:v>
      </x:c>
      <x:c r="Z2900" t="str">
        <x:v>https://snpmb.id/utbk-snbt/daya-tampung-snbt</x:v>
      </x:c>
      <x:c r="AA2900" t="str">
        <x:v>Olahraga</x:v>
      </x:c>
      <x:c r="AB2900" t="str">
        <x:v>Campus=55; Ratio=0.0; Prodi=45; RelDemand=20.8; Capacity=79.2</x:v>
      </x:c>
    </x:row>
    <x:row r="2901">
      <x:c r="A2901" t="n">
        <x:v>2898</x:v>
      </x:c>
      <x:c r="B2901" t="str">
        <x:v>PTN Akademik</x:v>
      </x:c>
      <x:c r="C2901" t="str">
        <x:v>UNIVERSITAS PENDIDIKAN GANESHA</x:v>
      </x:c>
      <x:c r="D2901" t="str">
        <x:v>PENDIDIKAN TEKNIK ELEKTRO</x:v>
      </x:c>
      <x:c r="E2901" t="str">
        <x:v>Sarjana</x:v>
      </x:c>
      <x:c r="F2901" s="18" t="n">
        <x:v>33</x:v>
      </x:c>
      <x:c r="G2901" s="18" t="n">
        <x:v>26</x:v>
      </x:c>
      <x:c r="H2901" s="19" t="n">
        <x:v>0.7878787878787878</x:v>
      </x:c>
      <x:c r="I2901" s="18" t="n">
        <x:f>ROUND(MIN(Model_Config_v3!$B$6,MAX(Q2901,R2901,S2901*Model_Config_v3!$B$4+T2901*Model_Config_v3!$B$5)),0)</x:f>
        <x:v>601</x:v>
      </x:c>
      <x:c r="J2901" s="18" t="n">
        <x:f>MIN(Model_Config_v3!$B$6,I2901+Model_Config_v3!$B$7)</x:f>
        <x:v>621</x:v>
      </x:c>
      <x:c r="K2901" s="20" t="n">
        <x:v>37.5</x:v>
      </x:c>
      <x:c r="L2901" t="str">
        <x:v>RELATIF LONGGAR</x:v>
      </x:c>
      <x:c r="M2901" t="str">
        <x:v>SEDANG+</x:v>
      </x:c>
      <x:c r="N2901" t="str">
        <x:v>REGULER</x:v>
      </x:c>
      <x:c r="O2901" t="str">
        <x:v>SAINTEK</x:v>
      </x:c>
      <x:c r="P2901" t="str">
        <x:v>PENDIDIKAN</x:v>
      </x:c>
      <x:c r="Q2901" s="18" t="n">
        <x:v>0</x:v>
      </x:c>
      <x:c r="R2901" s="18" t="n">
        <x:v>0</x:v>
      </x:c>
      <x:c r="S2901" s="18" t="n">
        <x:v>520</x:v>
      </x:c>
      <x:c r="T2901" s="18" t="n">
        <x:v>635</x:v>
      </x:c>
      <x:c r="U2901" s="18" t="n">
        <x:v>530</x:v>
      </x:c>
      <x:c r="V2901" s="20" t="n">
        <x:v>12</x:v>
      </x:c>
      <x:c r="W2901" s="20" t="n">
        <x:v>5</x:v>
      </x:c>
      <x:c r="X2901" s="20" t="n">
        <x:v>3</x:v>
      </x:c>
      <x:c r="Y2901" t="str">
        <x:v>Basis arsip 2025/2024</x:v>
      </x:c>
      <x:c r="Z2901" t="str">
        <x:v>https://snpmb.id/utbk-snbt/daya-tampung-snbt</x:v>
      </x:c>
      <x:c r="AA2901" t="str">
        <x:v>Tidak Ada</x:v>
      </x:c>
      <x:c r="AB2901" t="str">
        <x:v>Campus=55; Ratio=0.0; Prodi=45; RelDemand=19.5; Capacity=72.5</x:v>
      </x:c>
    </x:row>
    <x:row r="2902">
      <x:c r="A2902" t="n">
        <x:v>2899</x:v>
      </x:c>
      <x:c r="B2902" t="str">
        <x:v>PTN Akademik</x:v>
      </x:c>
      <x:c r="C2902" t="str">
        <x:v>UNIVERSITAS PENDIDIKAN GANESHA</x:v>
      </x:c>
      <x:c r="D2902" t="str">
        <x:v>PENDIDIKAN TEKNIK MESIN</x:v>
      </x:c>
      <x:c r="E2902" t="str">
        <x:v>Sarjana</x:v>
      </x:c>
      <x:c r="F2902" s="18" t="n">
        <x:v>38</x:v>
      </x:c>
      <x:c r="G2902" s="18" t="n">
        <x:v>23</x:v>
      </x:c>
      <x:c r="H2902" s="19" t="n">
        <x:v>0.6052631578947368</x:v>
      </x:c>
      <x:c r="I2902" s="18" t="n">
        <x:f>ROUND(MIN(Model_Config_v3!$B$6,MAX(Q2902,R2902,S2902*Model_Config_v3!$B$4+T2902*Model_Config_v3!$B$5)),0)</x:f>
        <x:v>599</x:v>
      </x:c>
      <x:c r="J2902" s="18" t="n">
        <x:f>MIN(Model_Config_v3!$B$6,I2902+Model_Config_v3!$B$7)</x:f>
        <x:v>619</x:v>
      </x:c>
      <x:c r="K2902" s="20" t="n">
        <x:v>36.6</x:v>
      </x:c>
      <x:c r="L2902" t="str">
        <x:v>RELATIF LONGGAR</x:v>
      </x:c>
      <x:c r="M2902" t="str">
        <x:v>SEDANG+</x:v>
      </x:c>
      <x:c r="N2902" t="str">
        <x:v>REGULER</x:v>
      </x:c>
      <x:c r="O2902" t="str">
        <x:v>SAINTEK</x:v>
      </x:c>
      <x:c r="P2902" t="str">
        <x:v>PENDIDIKAN</x:v>
      </x:c>
      <x:c r="Q2902" s="18" t="n">
        <x:v>0</x:v>
      </x:c>
      <x:c r="R2902" s="18" t="n">
        <x:v>0</x:v>
      </x:c>
      <x:c r="S2902" s="18" t="n">
        <x:v>520</x:v>
      </x:c>
      <x:c r="T2902" s="18" t="n">
        <x:v>633</x:v>
      </x:c>
      <x:c r="U2902" s="18" t="n">
        <x:v>530</x:v>
      </x:c>
      <x:c r="V2902" s="20" t="n">
        <x:v>12</x:v>
      </x:c>
      <x:c r="W2902" s="20" t="n">
        <x:v>5</x:v>
      </x:c>
      <x:c r="X2902" s="20" t="n">
        <x:v>3</x:v>
      </x:c>
      <x:c r="Y2902" t="str">
        <x:v>Basis arsip 2025/2024</x:v>
      </x:c>
      <x:c r="Z2902" t="str">
        <x:v>https://snpmb.id/utbk-snbt/daya-tampung-snbt</x:v>
      </x:c>
      <x:c r="AA2902" t="str">
        <x:v>Tidak Ada</x:v>
      </x:c>
      <x:c r="AB2902" t="str">
        <x:v>Campus=55; Ratio=0.0; Prodi=45; RelDemand=15.0; Capacity=68.3</x:v>
      </x:c>
    </x:row>
    <x:row r="2903">
      <x:c r="A2903" t="n">
        <x:v>2900</x:v>
      </x:c>
      <x:c r="B2903" t="str">
        <x:v>PTN Akademik</x:v>
      </x:c>
      <x:c r="C2903" t="str">
        <x:v>UNIVERSITAS PENDIDIKAN GANESHA</x:v>
      </x:c>
      <x:c r="D2903" t="str">
        <x:v>PENDIDIKAN IPA</x:v>
      </x:c>
      <x:c r="E2903" t="str">
        <x:v>Sarjana</x:v>
      </x:c>
      <x:c r="F2903" s="18" t="n">
        <x:v>48</x:v>
      </x:c>
      <x:c r="G2903" s="18" t="n">
        <x:v>42</x:v>
      </x:c>
      <x:c r="H2903" s="19" t="n">
        <x:v>0.875</x:v>
      </x:c>
      <x:c r="I2903" s="18" t="n">
        <x:f>ROUND(MIN(Model_Config_v3!$B$6,MAX(Q2903,R2903,S2903*Model_Config_v3!$B$4+T2903*Model_Config_v3!$B$5)),0)</x:f>
        <x:v>599</x:v>
      </x:c>
      <x:c r="J2903" s="18" t="n">
        <x:f>MIN(Model_Config_v3!$B$6,I2903+Model_Config_v3!$B$7)</x:f>
        <x:v>619</x:v>
      </x:c>
      <x:c r="K2903" s="20" t="n">
        <x:v>36.4</x:v>
      </x:c>
      <x:c r="L2903" t="str">
        <x:v>RELATIF LONGGAR</x:v>
      </x:c>
      <x:c r="M2903" t="str">
        <x:v>SEDANG+</x:v>
      </x:c>
      <x:c r="N2903" t="str">
        <x:v>REGULER</x:v>
      </x:c>
      <x:c r="O2903" t="str">
        <x:v>CAMPURAN</x:v>
      </x:c>
      <x:c r="P2903" t="str">
        <x:v>PENDIDIKAN</x:v>
      </x:c>
      <x:c r="Q2903" s="18" t="n">
        <x:v>0</x:v>
      </x:c>
      <x:c r="R2903" s="18" t="n">
        <x:v>0</x:v>
      </x:c>
      <x:c r="S2903" s="18" t="n">
        <x:v>520</x:v>
      </x:c>
      <x:c r="T2903" s="18" t="n">
        <x:v>633</x:v>
      </x:c>
      <x:c r="U2903" s="18" t="n">
        <x:v>520</x:v>
      </x:c>
      <x:c r="V2903" s="20" t="n">
        <x:v>8.8</x:v>
      </x:c>
      <x:c r="W2903" s="20" t="n">
        <x:v>9.9</x:v>
      </x:c>
      <x:c r="X2903" s="20" t="n">
        <x:v>3.3</x:v>
      </x:c>
      <x:c r="Y2903" t="str">
        <x:v>Basis arsip 2025/2024</x:v>
      </x:c>
      <x:c r="Z2903" t="str">
        <x:v>https://snpmb.id/utbk-snbt/daya-tampung-snbt</x:v>
      </x:c>
      <x:c r="AA2903" t="str">
        <x:v>Tidak Ada</x:v>
      </x:c>
      <x:c r="AB2903" t="str">
        <x:v>Campus=55; Ratio=0.0; Prodi=45; RelDemand=21.7; Capacity=60.0</x:v>
      </x:c>
    </x:row>
    <x:row r="2904">
      <x:c r="A2904" t="n">
        <x:v>2901</x:v>
      </x:c>
      <x:c r="B2904" t="str">
        <x:v>PTN Akademik</x:v>
      </x:c>
      <x:c r="C2904" t="str">
        <x:v>UNIVERSITAS PENDIDIKAN GANESHA</x:v>
      </x:c>
      <x:c r="D2904" t="str">
        <x:v>KIMIA</x:v>
      </x:c>
      <x:c r="E2904" t="str">
        <x:v>Sarjana</x:v>
      </x:c>
      <x:c r="F2904" s="18" t="n">
        <x:v>30</x:v>
      </x:c>
      <x:c r="G2904" s="18" t="n">
        <x:v>19</x:v>
      </x:c>
      <x:c r="H2904" s="19" t="n">
        <x:v>0.6333333333333333</x:v>
      </x:c>
      <x:c r="I2904" s="18" t="n">
        <x:f>ROUND(MIN(Model_Config_v3!$B$6,MAX(Q2904,R2904,S2904*Model_Config_v3!$B$4+T2904*Model_Config_v3!$B$5)),0)</x:f>
        <x:v>602</x:v>
      </x:c>
      <x:c r="J2904" s="18" t="n">
        <x:f>MIN(Model_Config_v3!$B$6,I2904+Model_Config_v3!$B$7)</x:f>
        <x:v>622</x:v>
      </x:c>
      <x:c r="K2904" s="20" t="n">
        <x:v>38.3</x:v>
      </x:c>
      <x:c r="L2904" t="str">
        <x:v>RELATIF LONGGAR</x:v>
      </x:c>
      <x:c r="M2904" t="str">
        <x:v>SEDANG+</x:v>
      </x:c>
      <x:c r="N2904" t="str">
        <x:v>REGULER</x:v>
      </x:c>
      <x:c r="O2904" t="str">
        <x:v>SAINTEK</x:v>
      </x:c>
      <x:c r="P2904" t="str">
        <x:v>SAINS DASAR</x:v>
      </x:c>
      <x:c r="Q2904" s="18" t="n">
        <x:v>0</x:v>
      </x:c>
      <x:c r="R2904" s="18" t="n">
        <x:v>0</x:v>
      </x:c>
      <x:c r="S2904" s="18" t="n">
        <x:v>520</x:v>
      </x:c>
      <x:c r="T2904" s="18" t="n">
        <x:v>637</x:v>
      </x:c>
      <x:c r="U2904" s="18" t="n">
        <x:v>520</x:v>
      </x:c>
      <x:c r="V2904" s="20" t="n">
        <x:v>12</x:v>
      </x:c>
      <x:c r="W2904" s="20" t="n">
        <x:v>5</x:v>
      </x:c>
      <x:c r="X2904" s="20" t="n">
        <x:v>3</x:v>
      </x:c>
      <x:c r="Y2904" t="str">
        <x:v>Basis arsip 2025/2024</x:v>
      </x:c>
      <x:c r="Z2904" t="str">
        <x:v>https://snpmb.id/utbk-snbt/daya-tampung-snbt</x:v>
      </x:c>
      <x:c r="AA2904" t="str">
        <x:v>Tidak Ada</x:v>
      </x:c>
      <x:c r="AB2904" t="str">
        <x:v>Campus=55; Ratio=0.0; Prodi=50; RelDemand=15.7; Capacity=75.0</x:v>
      </x:c>
    </x:row>
    <x:row r="2905">
      <x:c r="A2905" t="n">
        <x:v>2902</x:v>
      </x:c>
      <x:c r="B2905" t="str">
        <x:v>PTN Akademik</x:v>
      </x:c>
      <x:c r="C2905" t="str">
        <x:v>UNIVERSITAS PENDIDIKAN GANESHA</x:v>
      </x:c>
      <x:c r="D2905" t="str">
        <x:v>MATEMATIKA</x:v>
      </x:c>
      <x:c r="E2905" t="str">
        <x:v>Sarjana</x:v>
      </x:c>
      <x:c r="F2905" s="18" t="n">
        <x:v>30</x:v>
      </x:c>
      <x:c r="G2905" s="18" t="n">
        <x:v>27</x:v>
      </x:c>
      <x:c r="H2905" s="19" t="n">
        <x:v>0.9</x:v>
      </x:c>
      <x:c r="I2905" s="18" t="n">
        <x:f>ROUND(MIN(Model_Config_v3!$B$6,MAX(Q2905,R2905,S2905*Model_Config_v3!$B$4+T2905*Model_Config_v3!$B$5)),0)</x:f>
        <x:v>603</x:v>
      </x:c>
      <x:c r="J2905" s="18" t="n">
        <x:f>MIN(Model_Config_v3!$B$6,I2905+Model_Config_v3!$B$7)</x:f>
        <x:v>623</x:v>
      </x:c>
      <x:c r="K2905" s="20" t="n">
        <x:v>39</x:v>
      </x:c>
      <x:c r="L2905" t="str">
        <x:v>RELATIF LONGGAR</x:v>
      </x:c>
      <x:c r="M2905" t="str">
        <x:v>SEDANG+</x:v>
      </x:c>
      <x:c r="N2905" t="str">
        <x:v>REGULER</x:v>
      </x:c>
      <x:c r="O2905" t="str">
        <x:v>SAINTEK</x:v>
      </x:c>
      <x:c r="P2905" t="str">
        <x:v>SAINS DASAR</x:v>
      </x:c>
      <x:c r="Q2905" s="18" t="n">
        <x:v>0</x:v>
      </x:c>
      <x:c r="R2905" s="18" t="n">
        <x:v>0</x:v>
      </x:c>
      <x:c r="S2905" s="18" t="n">
        <x:v>520</x:v>
      </x:c>
      <x:c r="T2905" s="18" t="n">
        <x:v>638</x:v>
      </x:c>
      <x:c r="U2905" s="18" t="n">
        <x:v>520</x:v>
      </x:c>
      <x:c r="V2905" s="20" t="n">
        <x:v>12</x:v>
      </x:c>
      <x:c r="W2905" s="20" t="n">
        <x:v>5</x:v>
      </x:c>
      <x:c r="X2905" s="20" t="n">
        <x:v>3</x:v>
      </x:c>
      <x:c r="Y2905" t="str">
        <x:v>Basis arsip 2025/2024</x:v>
      </x:c>
      <x:c r="Z2905" t="str">
        <x:v>https://snpmb.id/utbk-snbt/daya-tampung-snbt</x:v>
      </x:c>
      <x:c r="AA2905" t="str">
        <x:v>Tidak Ada</x:v>
      </x:c>
      <x:c r="AB2905" t="str">
        <x:v>Campus=55; Ratio=0.0; Prodi=50; RelDemand=22.3; Capacity=75.0</x:v>
      </x:c>
    </x:row>
    <x:row r="2906">
      <x:c r="A2906" t="n">
        <x:v>2903</x:v>
      </x:c>
      <x:c r="B2906" t="str">
        <x:v>PTN Akademik</x:v>
      </x:c>
      <x:c r="C2906" t="str">
        <x:v>UNIVERSITAS PENDIDIKAN GANESHA</x:v>
      </x:c>
      <x:c r="D2906" t="str">
        <x:v>BIOLOGI</x:v>
      </x:c>
      <x:c r="E2906" t="str">
        <x:v>Sarjana</x:v>
      </x:c>
      <x:c r="F2906" s="18" t="n">
        <x:v>30</x:v>
      </x:c>
      <x:c r="G2906" s="18" t="n">
        <x:v>30</x:v>
      </x:c>
      <x:c r="H2906" s="19" t="n">
        <x:v>1</x:v>
      </x:c>
      <x:c r="I2906" s="18" t="n">
        <x:f>ROUND(MIN(Model_Config_v3!$B$6,MAX(Q2906,R2906,S2906*Model_Config_v3!$B$4+T2906*Model_Config_v3!$B$5)),0)</x:f>
        <x:v>603</x:v>
      </x:c>
      <x:c r="J2906" s="18" t="n">
        <x:f>MIN(Model_Config_v3!$B$6,I2906+Model_Config_v3!$B$7)</x:f>
        <x:v>623</x:v>
      </x:c>
      <x:c r="K2906" s="20" t="n">
        <x:v>39.2</x:v>
      </x:c>
      <x:c r="L2906" t="str">
        <x:v>RELATIF LONGGAR</x:v>
      </x:c>
      <x:c r="M2906" t="str">
        <x:v>SEDANG+</x:v>
      </x:c>
      <x:c r="N2906" t="str">
        <x:v>REGULER</x:v>
      </x:c>
      <x:c r="O2906" t="str">
        <x:v>SAINTEK</x:v>
      </x:c>
      <x:c r="P2906" t="str">
        <x:v>SAINS DASAR</x:v>
      </x:c>
      <x:c r="Q2906" s="18" t="n">
        <x:v>0</x:v>
      </x:c>
      <x:c r="R2906" s="18" t="n">
        <x:v>0</x:v>
      </x:c>
      <x:c r="S2906" s="18" t="n">
        <x:v>520</x:v>
      </x:c>
      <x:c r="T2906" s="18" t="n">
        <x:v>638</x:v>
      </x:c>
      <x:c r="U2906" s="18" t="n">
        <x:v>520</x:v>
      </x:c>
      <x:c r="V2906" s="20" t="n">
        <x:v>12</x:v>
      </x:c>
      <x:c r="W2906" s="20" t="n">
        <x:v>5</x:v>
      </x:c>
      <x:c r="X2906" s="20" t="n">
        <x:v>3</x:v>
      </x:c>
      <x:c r="Y2906" t="str">
        <x:v>Basis arsip 2025/2024</x:v>
      </x:c>
      <x:c r="Z2906" t="str">
        <x:v>https://snpmb.id/utbk-snbt/daya-tampung-snbt</x:v>
      </x:c>
      <x:c r="AA2906" t="str">
        <x:v>Tidak Ada</x:v>
      </x:c>
      <x:c r="AB2906" t="str">
        <x:v>Campus=55; Ratio=0.0; Prodi=50; RelDemand=24.8; Capacity=75.0</x:v>
      </x:c>
    </x:row>
    <x:row r="2907">
      <x:c r="A2907" t="n">
        <x:v>2904</x:v>
      </x:c>
      <x:c r="B2907" t="str">
        <x:v>PTN Akademik</x:v>
      </x:c>
      <x:c r="C2907" t="str">
        <x:v>UNIVERSITAS PENDIDIKAN GANESHA</x:v>
      </x:c>
      <x:c r="D2907" t="str">
        <x:v>AKUAKULTUR</x:v>
      </x:c>
      <x:c r="E2907" t="str">
        <x:v>Sarjana</x:v>
      </x:c>
      <x:c r="F2907" s="18" t="n">
        <x:v>45</x:v>
      </x:c>
      <x:c r="G2907" s="18" t="n">
        <x:v>23</x:v>
      </x:c>
      <x:c r="H2907" s="19" t="n">
        <x:v>0.5111111111111111</x:v>
      </x:c>
      <x:c r="I2907" s="18" t="n">
        <x:f>ROUND(MIN(Model_Config_v3!$B$6,MAX(Q2907,R2907,S2907*Model_Config_v3!$B$4+T2907*Model_Config_v3!$B$5)),0)</x:f>
        <x:v>597</x:v>
      </x:c>
      <x:c r="J2907" s="18" t="n">
        <x:f>MIN(Model_Config_v3!$B$6,I2907+Model_Config_v3!$B$7)</x:f>
        <x:v>617</x:v>
      </x:c>
      <x:c r="K2907" s="20" t="n">
        <x:v>34.8</x:v>
      </x:c>
      <x:c r="L2907" t="str">
        <x:v>RELATIF LONGGAR</x:v>
      </x:c>
      <x:c r="M2907" t="str">
        <x:v>SEDANG</x:v>
      </x:c>
      <x:c r="N2907" t="str">
        <x:v>REGULER</x:v>
      </x:c>
      <x:c r="O2907" t="str">
        <x:v>CAMPURAN</x:v>
      </x:c>
      <x:c r="P2907" t="str">
        <x:v>UMUM</x:v>
      </x:c>
      <x:c r="Q2907" s="18" t="n">
        <x:v>0</x:v>
      </x:c>
      <x:c r="R2907" s="18" t="n">
        <x:v>0</x:v>
      </x:c>
      <x:c r="S2907" s="18" t="n">
        <x:v>520</x:v>
      </x:c>
      <x:c r="T2907" s="18" t="n">
        <x:v>630</x:v>
      </x:c>
      <x:c r="U2907" s="18" t="n">
        <x:v>520</x:v>
      </x:c>
      <x:c r="V2907" s="20" t="n">
        <x:v>8.8</x:v>
      </x:c>
      <x:c r="W2907" s="20" t="n">
        <x:v>9.9</x:v>
      </x:c>
      <x:c r="X2907" s="20" t="n">
        <x:v>3.3</x:v>
      </x:c>
      <x:c r="Y2907" t="str">
        <x:v>Basis arsip 2025/2024</x:v>
      </x:c>
      <x:c r="Z2907" t="str">
        <x:v>https://snpmb.id/utbk-snbt/daya-tampung-snbt</x:v>
      </x:c>
      <x:c r="AA2907" t="str">
        <x:v>Tidak Ada</x:v>
      </x:c>
      <x:c r="AB2907" t="str">
        <x:v>Campus=55; Ratio=0.0; Prodi=40; RelDemand=12.7; Capacity=62.5</x:v>
      </x:c>
    </x:row>
    <x:row r="2908">
      <x:c r="A2908" t="n">
        <x:v>2905</x:v>
      </x:c>
      <x:c r="B2908" t="str">
        <x:v>PTN Akademik</x:v>
      </x:c>
      <x:c r="C2908" t="str">
        <x:v>UNIVERSITAS PENDIDIKAN GANESHA</x:v>
      </x:c>
      <x:c r="D2908" t="str">
        <x:v>SISTEM INFORMASI</x:v>
      </x:c>
      <x:c r="E2908" t="str">
        <x:v>Sarjana</x:v>
      </x:c>
      <x:c r="F2908" s="18" t="n">
        <x:v>70</x:v>
      </x:c>
      <x:c r="G2908" s="18" t="n">
        <x:v>206</x:v>
      </x:c>
      <x:c r="H2908" s="19" t="n">
        <x:v>2.942857142857143</x:v>
      </x:c>
      <x:c r="I2908" s="18" t="n">
        <x:f>ROUND(MIN(Model_Config_v3!$B$6,MAX(Q2908,R2908,S2908*Model_Config_v3!$B$4+T2908*Model_Config_v3!$B$5)),0)</x:f>
        <x:v>640</x:v>
      </x:c>
      <x:c r="J2908" s="18" t="n">
        <x:f>MIN(Model_Config_v3!$B$6,I2908+Model_Config_v3!$B$7)</x:f>
        <x:v>660</x:v>
      </x:c>
      <x:c r="K2908" s="20" t="n">
        <x:v>54.6</x:v>
      </x:c>
      <x:c r="L2908" t="str">
        <x:v>MENENGAH</x:v>
      </x:c>
      <x:c r="M2908" t="str">
        <x:v>SEDANG+</x:v>
      </x:c>
      <x:c r="N2908" t="str">
        <x:v>REGULER</x:v>
      </x:c>
      <x:c r="O2908" t="str">
        <x:v>CAMPURAN</x:v>
      </x:c>
      <x:c r="P2908" t="str">
        <x:v>KOMPUTER/INFORMATIKA</x:v>
      </x:c>
      <x:c r="Q2908" s="18" t="n">
        <x:v>0</x:v>
      </x:c>
      <x:c r="R2908" s="18" t="n">
        <x:v>0</x:v>
      </x:c>
      <x:c r="S2908" s="18" t="n">
        <x:v>571.5646098390387</x:v>
      </x:c>
      <x:c r="T2908" s="18" t="n">
        <x:v>669</x:v>
      </x:c>
      <x:c r="U2908" s="18" t="n">
        <x:v>596.5646098390387</x:v>
      </x:c>
      <x:c r="V2908" s="20" t="n">
        <x:v>8.8</x:v>
      </x:c>
      <x:c r="W2908" s="20" t="n">
        <x:v>9.9</x:v>
      </x:c>
      <x:c r="X2908" s="20" t="n">
        <x:v>3.3</x:v>
      </x:c>
      <x:c r="Y2908" t="str">
        <x:v>Basis arsip 2025/2024</x:v>
      </x:c>
      <x:c r="Z2908" t="str">
        <x:v>https://snpmb.id/utbk-snbt/daya-tampung-snbt</x:v>
      </x:c>
      <x:c r="AA2908" t="str">
        <x:v>Tidak Ada</x:v>
      </x:c>
      <x:c r="AB2908" t="str">
        <x:v>Campus=55; Ratio=27.6; Prodi=85; RelDemand=72.9; Capacity=41.7</x:v>
      </x:c>
    </x:row>
    <x:row r="2909">
      <x:c r="A2909" t="n">
        <x:v>2906</x:v>
      </x:c>
      <x:c r="B2909" t="str">
        <x:v>PTN Akademik</x:v>
      </x:c>
      <x:c r="C2909" t="str">
        <x:v>UNIVERSITAS PENDIDIKAN GANESHA</x:v>
      </x:c>
      <x:c r="D2909" t="str">
        <x:v>ILMU KOMPUTER</x:v>
      </x:c>
      <x:c r="E2909" t="str">
        <x:v>Sarjana</x:v>
      </x:c>
      <x:c r="F2909" s="18" t="n">
        <x:v>56</x:v>
      </x:c>
      <x:c r="G2909" s="18" t="n">
        <x:v>112</x:v>
      </x:c>
      <x:c r="H2909" s="19" t="n">
        <x:v>2</x:v>
      </x:c>
      <x:c r="I2909" s="18" t="n">
        <x:f>ROUND(MIN(Model_Config_v3!$B$6,MAX(Q2909,R2909,S2909*Model_Config_v3!$B$4+T2909*Model_Config_v3!$B$5)),0)</x:f>
        <x:v>629</x:v>
      </x:c>
      <x:c r="J2909" s="18" t="n">
        <x:f>MIN(Model_Config_v3!$B$6,I2909+Model_Config_v3!$B$7)</x:f>
        <x:v>649</x:v>
      </x:c>
      <x:c r="K2909" s="20" t="n">
        <x:v>51</x:v>
      </x:c>
      <x:c r="L2909" t="str">
        <x:v>MENENGAH</x:v>
      </x:c>
      <x:c r="M2909" t="str">
        <x:v>SEDANG+</x:v>
      </x:c>
      <x:c r="N2909" t="str">
        <x:v>REGULER</x:v>
      </x:c>
      <x:c r="O2909" t="str">
        <x:v>SAINTEK</x:v>
      </x:c>
      <x:c r="P2909" t="str">
        <x:v>KOMPUTER/INFORMATIKA</x:v>
      </x:c>
      <x:c r="Q2909" s="18" t="n">
        <x:v>0</x:v>
      </x:c>
      <x:c r="R2909" s="18" t="n">
        <x:v>0</x:v>
      </x:c>
      <x:c r="S2909" s="18" t="n">
        <x:v>553.1132995230379</x:v>
      </x:c>
      <x:c r="T2909" s="18" t="n">
        <x:v>662</x:v>
      </x:c>
      <x:c r="U2909" s="18" t="n">
        <x:v>578.1132995230379</x:v>
      </x:c>
      <x:c r="V2909" s="20" t="n">
        <x:v>12</x:v>
      </x:c>
      <x:c r="W2909" s="20" t="n">
        <x:v>5</x:v>
      </x:c>
      <x:c r="X2909" s="20" t="n">
        <x:v>3</x:v>
      </x:c>
      <x:c r="Y2909" t="str">
        <x:v>Basis arsip 2025/2024</x:v>
      </x:c>
      <x:c r="Z2909" t="str">
        <x:v>https://snpmb.id/utbk-snbt/daya-tampung-snbt</x:v>
      </x:c>
      <x:c r="AA2909" t="str">
        <x:v>Tidak Ada</x:v>
      </x:c>
      <x:c r="AB2909" t="str">
        <x:v>Campus=55; Ratio=17.7; Prodi=85; RelDemand=49.6; Capacity=53.3</x:v>
      </x:c>
    </x:row>
    <x:row r="2910">
      <x:c r="A2910" t="n">
        <x:v>2907</x:v>
      </x:c>
      <x:c r="B2910" t="str">
        <x:v>PTN Akademik</x:v>
      </x:c>
      <x:c r="C2910" t="str">
        <x:v>UNIVERSITAS PENDIDIKAN GANESHA</x:v>
      </x:c>
      <x:c r="D2910" t="str">
        <x:v>KEDOKTERAN</x:v>
      </x:c>
      <x:c r="E2910" t="str">
        <x:v>Sarjana</x:v>
      </x:c>
      <x:c r="F2910" s="18" t="n">
        <x:v>60</x:v>
      </x:c>
      <x:c r="G2910" s="18" t="n">
        <x:v>870</x:v>
      </x:c>
      <x:c r="H2910" s="19" t="n">
        <x:v>14.5</x:v>
      </x:c>
      <x:c r="I2910" s="18" t="n">
        <x:f>ROUND(MIN(Model_Config_v3!$B$6,MAX(Q2910,R2910,S2910*Model_Config_v3!$B$4+T2910*Model_Config_v3!$B$5)),0)</x:f>
        <x:v>686</x:v>
      </x:c>
      <x:c r="J2910" s="18" t="n">
        <x:f>MIN(Model_Config_v3!$B$6,I2910+Model_Config_v3!$B$7)</x:f>
        <x:v>706</x:v>
      </x:c>
      <x:c r="K2910" s="20" t="n">
        <x:v>71.3</x:v>
      </x:c>
      <x:c r="L2910" t="str">
        <x:v>SANGAT KETAT</x:v>
      </x:c>
      <x:c r="M2910" t="str">
        <x:v>SEDANG+</x:v>
      </x:c>
      <x:c r="N2910" t="str">
        <x:v>REGULER</x:v>
      </x:c>
      <x:c r="O2910" t="str">
        <x:v>SAINTEK</x:v>
      </x:c>
      <x:c r="P2910" t="str">
        <x:v>KEDOKTERAN</x:v>
      </x:c>
      <x:c r="Q2910" s="18" t="n">
        <x:v>0</x:v>
      </x:c>
      <x:c r="R2910" s="18" t="n">
        <x:v>680</x:v>
      </x:c>
      <x:c r="S2910" s="18" t="n">
        <x:v>647.7504802458473</x:v>
      </x:c>
      <x:c r="T2910" s="18" t="n">
        <x:v>703</x:v>
      </x:c>
      <x:c r="U2910" s="18" t="n">
        <x:v>687.7504802458473</x:v>
      </x:c>
      <x:c r="V2910" s="20" t="n">
        <x:v>12</x:v>
      </x:c>
      <x:c r="W2910" s="20" t="n">
        <x:v>5</x:v>
      </x:c>
      <x:c r="X2910" s="20" t="n">
        <x:v>3</x:v>
      </x:c>
      <x:c r="Y2910" t="str">
        <x:v>Basis arsip 2025/2024</x:v>
      </x:c>
      <x:c r="Z2910" t="str">
        <x:v>https://snpmb.id/utbk-snbt/daya-tampung-snbt</x:v>
      </x:c>
      <x:c r="AA2910" t="str">
        <x:v>Tidak Ada</x:v>
      </x:c>
      <x:c r="AB2910" t="str">
        <x:v>Campus=55; Ratio=68.4; Prodi=100; RelDemand=100.0; Capacity=50.0</x:v>
      </x:c>
    </x:row>
    <x:row r="2911">
      <x:c r="A2911" t="n">
        <x:v>2908</x:v>
      </x:c>
      <x:c r="B2911" t="str">
        <x:v>PTN Akademik</x:v>
      </x:c>
      <x:c r="C2911" t="str">
        <x:v>UNIVERSITAS PENDIDIKAN GANESHA</x:v>
      </x:c>
      <x:c r="D2911" t="str">
        <x:v>PENDIDIKAN PANCASILA DAN KEWARGANEGARAAN</x:v>
      </x:c>
      <x:c r="E2911" t="str">
        <x:v>Sarjana</x:v>
      </x:c>
      <x:c r="F2911" s="18" t="n">
        <x:v>80</x:v>
      </x:c>
      <x:c r="G2911" s="18" t="n">
        <x:v>65</x:v>
      </x:c>
      <x:c r="H2911" s="19" t="n">
        <x:v>0.8125</x:v>
      </x:c>
      <x:c r="I2911" s="18" t="n">
        <x:f>ROUND(MIN(Model_Config_v3!$B$6,MAX(Q2911,R2911,S2911*Model_Config_v3!$B$4+T2911*Model_Config_v3!$B$5)),0)</x:f>
        <x:v>595</x:v>
      </x:c>
      <x:c r="J2911" s="18" t="n">
        <x:f>MIN(Model_Config_v3!$B$6,I2911+Model_Config_v3!$B$7)</x:f>
        <x:v>615</x:v>
      </x:c>
      <x:c r="K2911" s="20" t="n">
        <x:v>33.6</x:v>
      </x:c>
      <x:c r="L2911" t="str">
        <x:v>RELATIF LONGGAR</x:v>
      </x:c>
      <x:c r="M2911" t="str">
        <x:v>SEDANG+</x:v>
      </x:c>
      <x:c r="N2911" t="str">
        <x:v>REGULER</x:v>
      </x:c>
      <x:c r="O2911" t="str">
        <x:v>CAMPURAN</x:v>
      </x:c>
      <x:c r="P2911" t="str">
        <x:v>PENDIDIKAN</x:v>
      </x:c>
      <x:c r="Q2911" s="18" t="n">
        <x:v>0</x:v>
      </x:c>
      <x:c r="R2911" s="18" t="n">
        <x:v>0</x:v>
      </x:c>
      <x:c r="S2911" s="18" t="n">
        <x:v>520</x:v>
      </x:c>
      <x:c r="T2911" s="18" t="n">
        <x:v>627</x:v>
      </x:c>
      <x:c r="U2911" s="18" t="n">
        <x:v>520</x:v>
      </x:c>
      <x:c r="V2911" s="20" t="n">
        <x:v>8.8</x:v>
      </x:c>
      <x:c r="W2911" s="20" t="n">
        <x:v>9.9</x:v>
      </x:c>
      <x:c r="X2911" s="20" t="n">
        <x:v>3.3</x:v>
      </x:c>
      <x:c r="Y2911" t="str">
        <x:v>Basis arsip 2025/2024</x:v>
      </x:c>
      <x:c r="Z2911" t="str">
        <x:v>https://snpmb.id/utbk-snbt/daya-tampung-snbt</x:v>
      </x:c>
      <x:c r="AA2911" t="str">
        <x:v>Tidak Ada</x:v>
      </x:c>
      <x:c r="AB2911" t="str">
        <x:v>Campus=55; Ratio=0.0; Prodi=45; RelDemand=20.1; Capacity=33.3</x:v>
      </x:c>
    </x:row>
    <x:row r="2912">
      <x:c r="A2912" t="n">
        <x:v>2909</x:v>
      </x:c>
      <x:c r="B2912" t="str">
        <x:v>PTN Akademik</x:v>
      </x:c>
      <x:c r="C2912" t="str">
        <x:v>UNIVERSITAS PENDIDIKAN GANESHA</x:v>
      </x:c>
      <x:c r="D2912" t="str">
        <x:v>PENDIDIKAN EKONOMI</x:v>
      </x:c>
      <x:c r="E2912" t="str">
        <x:v>Sarjana</x:v>
      </x:c>
      <x:c r="F2912" s="18" t="n">
        <x:v>60</x:v>
      </x:c>
      <x:c r="G2912" s="18" t="n">
        <x:v>67</x:v>
      </x:c>
      <x:c r="H2912" s="19" t="n">
        <x:v>1.1166666666666667</x:v>
      </x:c>
      <x:c r="I2912" s="18" t="n">
        <x:f>ROUND(MIN(Model_Config_v3!$B$6,MAX(Q2912,R2912,S2912*Model_Config_v3!$B$4+T2912*Model_Config_v3!$B$5)),0)</x:f>
        <x:v>601</x:v>
      </x:c>
      <x:c r="J2912" s="18" t="n">
        <x:f>MIN(Model_Config_v3!$B$6,I2912+Model_Config_v3!$B$7)</x:f>
        <x:v>621</x:v>
      </x:c>
      <x:c r="K2912" s="20" t="n">
        <x:v>36.7</x:v>
      </x:c>
      <x:c r="L2912" t="str">
        <x:v>RELATIF LONGGAR</x:v>
      </x:c>
      <x:c r="M2912" t="str">
        <x:v>SEDANG+</x:v>
      </x:c>
      <x:c r="N2912" t="str">
        <x:v>REGULER</x:v>
      </x:c>
      <x:c r="O2912" t="str">
        <x:v>SOSHUM</x:v>
      </x:c>
      <x:c r="P2912" t="str">
        <x:v>PENDIDIKAN</x:v>
      </x:c>
      <x:c r="Q2912" s="18" t="n">
        <x:v>0</x:v>
      </x:c>
      <x:c r="R2912" s="18" t="n">
        <x:v>0</x:v>
      </x:c>
      <x:c r="S2912" s="18" t="n">
        <x:v>525.2715907548901</x:v>
      </x:c>
      <x:c r="T2912" s="18" t="n">
        <x:v>633</x:v>
      </x:c>
      <x:c r="U2912" s="18" t="n">
        <x:v>525.2715907548901</x:v>
      </x:c>
      <x:c r="V2912" s="20" t="n">
        <x:v>4.4</x:v>
      </x:c>
      <x:c r="W2912" s="20" t="n">
        <x:v>14.3</x:v>
      </x:c>
      <x:c r="X2912" s="20" t="n">
        <x:v>3.3</x:v>
      </x:c>
      <x:c r="Y2912" t="str">
        <x:v>Basis arsip 2025/2024</x:v>
      </x:c>
      <x:c r="Z2912" t="str">
        <x:v>https://snpmb.id/utbk-snbt/daya-tampung-snbt</x:v>
      </x:c>
      <x:c r="AA2912" t="str">
        <x:v>Tidak Ada</x:v>
      </x:c>
      <x:c r="AB2912" t="str">
        <x:v>Campus=55; Ratio=2.8; Prodi=45; RelDemand=27.7; Capacity=50.0</x:v>
      </x:c>
    </x:row>
    <x:row r="2913">
      <x:c r="A2913" t="n">
        <x:v>2910</x:v>
      </x:c>
      <x:c r="B2913" t="str">
        <x:v>PTN Akademik</x:v>
      </x:c>
      <x:c r="C2913" t="str">
        <x:v>UNIVERSITAS PENDIDIKAN GANESHA</x:v>
      </x:c>
      <x:c r="D2913" t="str">
        <x:v>PENDIDIKAN SEJARAH</x:v>
      </x:c>
      <x:c r="E2913" t="str">
        <x:v>Sarjana</x:v>
      </x:c>
      <x:c r="F2913" s="18" t="n">
        <x:v>80</x:v>
      </x:c>
      <x:c r="G2913" s="18" t="n">
        <x:v>56</x:v>
      </x:c>
      <x:c r="H2913" s="19" t="n">
        <x:v>0.7</x:v>
      </x:c>
      <x:c r="I2913" s="18" t="n">
        <x:f>ROUND(MIN(Model_Config_v3!$B$6,MAX(Q2913,R2913,S2913*Model_Config_v3!$B$4+T2913*Model_Config_v3!$B$5)),0)</x:f>
        <x:v>595</x:v>
      </x:c>
      <x:c r="J2913" s="18" t="n">
        <x:f>MIN(Model_Config_v3!$B$6,I2913+Model_Config_v3!$B$7)</x:f>
        <x:v>615</x:v>
      </x:c>
      <x:c r="K2913" s="20" t="n">
        <x:v>33.3</x:v>
      </x:c>
      <x:c r="L2913" t="str">
        <x:v>RELATIF LONGGAR</x:v>
      </x:c>
      <x:c r="M2913" t="str">
        <x:v>SEDANG+</x:v>
      </x:c>
      <x:c r="N2913" t="str">
        <x:v>REGULER</x:v>
      </x:c>
      <x:c r="O2913" t="str">
        <x:v>SOSHUM</x:v>
      </x:c>
      <x:c r="P2913" t="str">
        <x:v>PENDIDIKAN</x:v>
      </x:c>
      <x:c r="Q2913" s="18" t="n">
        <x:v>0</x:v>
      </x:c>
      <x:c r="R2913" s="18" t="n">
        <x:v>0</x:v>
      </x:c>
      <x:c r="S2913" s="18" t="n">
        <x:v>520</x:v>
      </x:c>
      <x:c r="T2913" s="18" t="n">
        <x:v>627</x:v>
      </x:c>
      <x:c r="U2913" s="18" t="n">
        <x:v>520</x:v>
      </x:c>
      <x:c r="V2913" s="20" t="n">
        <x:v>4.4</x:v>
      </x:c>
      <x:c r="W2913" s="20" t="n">
        <x:v>14.3</x:v>
      </x:c>
      <x:c r="X2913" s="20" t="n">
        <x:v>3.3</x:v>
      </x:c>
      <x:c r="Y2913" t="str">
        <x:v>Basis arsip 2025/2024</x:v>
      </x:c>
      <x:c r="Z2913" t="str">
        <x:v>https://snpmb.id/utbk-snbt/daya-tampung-snbt</x:v>
      </x:c>
      <x:c r="AA2913" t="str">
        <x:v>Tidak Ada</x:v>
      </x:c>
      <x:c r="AB2913" t="str">
        <x:v>Campus=55; Ratio=0.0; Prodi=45; RelDemand=17.3; Capacity=33.3</x:v>
      </x:c>
    </x:row>
    <x:row r="2914">
      <x:c r="A2914" t="n">
        <x:v>2911</x:v>
      </x:c>
      <x:c r="B2914" t="str">
        <x:v>PTN Akademik</x:v>
      </x:c>
      <x:c r="C2914" t="str">
        <x:v>UNIVERSITAS PENDIDIKAN GANESHA</x:v>
      </x:c>
      <x:c r="D2914" t="str">
        <x:v>PENDIDIKAN GEOGRAFI</x:v>
      </x:c>
      <x:c r="E2914" t="str">
        <x:v>Sarjana</x:v>
      </x:c>
      <x:c r="F2914" s="18" t="n">
        <x:v>73</x:v>
      </x:c>
      <x:c r="G2914" s="18" t="n">
        <x:v>23</x:v>
      </x:c>
      <x:c r="H2914" s="19" t="n">
        <x:v>0.3150684931506849</x:v>
      </x:c>
      <x:c r="I2914" s="18" t="n">
        <x:f>ROUND(MIN(Model_Config_v3!$B$6,MAX(Q2914,R2914,S2914*Model_Config_v3!$B$4+T2914*Model_Config_v3!$B$5)),0)</x:f>
        <x:v>594</x:v>
      </x:c>
      <x:c r="J2914" s="18" t="n">
        <x:f>MIN(Model_Config_v3!$B$6,I2914+Model_Config_v3!$B$7)</x:f>
        <x:v>614</x:v>
      </x:c>
      <x:c r="K2914" s="20" t="n">
        <x:v>32.9</x:v>
      </x:c>
      <x:c r="L2914" t="str">
        <x:v>RELATIF LONGGAR</x:v>
      </x:c>
      <x:c r="M2914" t="str">
        <x:v>SEDANG+</x:v>
      </x:c>
      <x:c r="N2914" t="str">
        <x:v>REGULER</x:v>
      </x:c>
      <x:c r="O2914" t="str">
        <x:v>CAMPURAN</x:v>
      </x:c>
      <x:c r="P2914" t="str">
        <x:v>PENDIDIKAN</x:v>
      </x:c>
      <x:c r="Q2914" s="18" t="n">
        <x:v>0</x:v>
      </x:c>
      <x:c r="R2914" s="18" t="n">
        <x:v>0</x:v>
      </x:c>
      <x:c r="S2914" s="18" t="n">
        <x:v>520</x:v>
      </x:c>
      <x:c r="T2914" s="18" t="n">
        <x:v>626</x:v>
      </x:c>
      <x:c r="U2914" s="18" t="n">
        <x:v>520</x:v>
      </x:c>
      <x:c r="V2914" s="20" t="n">
        <x:v>8.8</x:v>
      </x:c>
      <x:c r="W2914" s="20" t="n">
        <x:v>9.9</x:v>
      </x:c>
      <x:c r="X2914" s="20" t="n">
        <x:v>3.3</x:v>
      </x:c>
      <x:c r="Y2914" t="str">
        <x:v>Basis arsip 2025/2024</x:v>
      </x:c>
      <x:c r="Z2914" t="str">
        <x:v>https://snpmb.id/utbk-snbt/daya-tampung-snbt</x:v>
      </x:c>
      <x:c r="AA2914" t="str">
        <x:v>Tidak Ada</x:v>
      </x:c>
      <x:c r="AB2914" t="str">
        <x:v>Campus=55; Ratio=0.0; Prodi=45; RelDemand=7.8; Capacity=39.2</x:v>
      </x:c>
    </x:row>
    <x:row r="2915">
      <x:c r="A2915" t="n">
        <x:v>2912</x:v>
      </x:c>
      <x:c r="B2915" t="str">
        <x:v>PTN Akademik</x:v>
      </x:c>
      <x:c r="C2915" t="str">
        <x:v>UNIVERSITAS PENDIDIKAN GANESHA</x:v>
      </x:c>
      <x:c r="D2915" t="str">
        <x:v>PENDIDIKAN BAHASA DAN SASTRA INDONESIA</x:v>
      </x:c>
      <x:c r="E2915" t="str">
        <x:v>Sarjana</x:v>
      </x:c>
      <x:c r="F2915" s="18" t="n">
        <x:v>72</x:v>
      </x:c>
      <x:c r="G2915" s="18" t="n">
        <x:v>87</x:v>
      </x:c>
      <x:c r="H2915" s="19" t="n">
        <x:v>1.2083333333333333</x:v>
      </x:c>
      <x:c r="I2915" s="18" t="n">
        <x:f>ROUND(MIN(Model_Config_v3!$B$6,MAX(Q2915,R2915,S2915*Model_Config_v3!$B$4+T2915*Model_Config_v3!$B$5)),0)</x:f>
        <x:v>602</x:v>
      </x:c>
      <x:c r="J2915" s="18" t="n">
        <x:f>MIN(Model_Config_v3!$B$6,I2915+Model_Config_v3!$B$7)</x:f>
        <x:v>622</x:v>
      </x:c>
      <x:c r="K2915" s="20" t="n">
        <x:v>36.5</x:v>
      </x:c>
      <x:c r="L2915" t="str">
        <x:v>RELATIF LONGGAR</x:v>
      </x:c>
      <x:c r="M2915" t="str">
        <x:v>SEDANG+</x:v>
      </x:c>
      <x:c r="N2915" t="str">
        <x:v>REGULER</x:v>
      </x:c>
      <x:c r="O2915" t="str">
        <x:v>SOSHUM</x:v>
      </x:c>
      <x:c r="P2915" t="str">
        <x:v>PENDIDIKAN</x:v>
      </x:c>
      <x:c r="Q2915" s="18" t="n">
        <x:v>0</x:v>
      </x:c>
      <x:c r="R2915" s="18" t="n">
        <x:v>0</x:v>
      </x:c>
      <x:c r="S2915" s="18" t="n">
        <x:v>529.0405431806086</x:v>
      </x:c>
      <x:c r="T2915" s="18" t="n">
        <x:v>633</x:v>
      </x:c>
      <x:c r="U2915" s="18" t="n">
        <x:v>529.0405431806086</x:v>
      </x:c>
      <x:c r="V2915" s="20" t="n">
        <x:v>4.4</x:v>
      </x:c>
      <x:c r="W2915" s="20" t="n">
        <x:v>14.3</x:v>
      </x:c>
      <x:c r="X2915" s="20" t="n">
        <x:v>3.3</x:v>
      </x:c>
      <x:c r="Y2915" t="str">
        <x:v>Basis arsip 2025/2024</x:v>
      </x:c>
      <x:c r="Z2915" t="str">
        <x:v>https://snpmb.id/utbk-snbt/daya-tampung-snbt</x:v>
      </x:c>
      <x:c r="AA2915" t="str">
        <x:v>Tidak Ada</x:v>
      </x:c>
      <x:c r="AB2915" t="str">
        <x:v>Campus=55; Ratio=4.8; Prodi=45; RelDemand=29.9; Capacity=40.0</x:v>
      </x:c>
    </x:row>
    <x:row r="2916">
      <x:c r="A2916" t="n">
        <x:v>2913</x:v>
      </x:c>
      <x:c r="B2916" t="str">
        <x:v>PTN Akademik</x:v>
      </x:c>
      <x:c r="C2916" t="str">
        <x:v>UNIVERSITAS PENDIDIKAN GANESHA</x:v>
      </x:c>
      <x:c r="D2916" t="str">
        <x:v>PENDIDIKAN BAHASA INGGRIS</x:v>
      </x:c>
      <x:c r="E2916" t="str">
        <x:v>Sarjana</x:v>
      </x:c>
      <x:c r="F2916" s="18" t="n">
        <x:v>148</x:v>
      </x:c>
      <x:c r="G2916" s="18" t="n">
        <x:v>231</x:v>
      </x:c>
      <x:c r="H2916" s="19" t="n">
        <x:v>1.5608108108108107</x:v>
      </x:c>
      <x:c r="I2916" s="18" t="n">
        <x:f>ROUND(MIN(Model_Config_v3!$B$6,MAX(Q2916,R2916,S2916*Model_Config_v3!$B$4+T2916*Model_Config_v3!$B$5)),0)</x:f>
        <x:v>603</x:v>
      </x:c>
      <x:c r="J2916" s="18" t="n">
        <x:f>MIN(Model_Config_v3!$B$6,I2916+Model_Config_v3!$B$7)</x:f>
        <x:v>623</x:v>
      </x:c>
      <x:c r="K2916" s="20" t="n">
        <x:v>35</x:v>
      </x:c>
      <x:c r="L2916" t="str">
        <x:v>RELATIF LONGGAR</x:v>
      </x:c>
      <x:c r="M2916" t="str">
        <x:v>SEDANG+</x:v>
      </x:c>
      <x:c r="N2916" t="str">
        <x:v>REGULER</x:v>
      </x:c>
      <x:c r="O2916" t="str">
        <x:v>SOSHUM</x:v>
      </x:c>
      <x:c r="P2916" t="str">
        <x:v>PENDIDIKAN</x:v>
      </x:c>
      <x:c r="Q2916" s="18" t="n">
        <x:v>0</x:v>
      </x:c>
      <x:c r="R2916" s="18" t="n">
        <x:v>0</x:v>
      </x:c>
      <x:c r="S2916" s="18" t="n">
        <x:v>541.2685290946905</x:v>
      </x:c>
      <x:c r="T2916" s="18" t="n">
        <x:v>630</x:v>
      </x:c>
      <x:c r="U2916" s="18" t="n">
        <x:v>541.2685290946905</x:v>
      </x:c>
      <x:c r="V2916" s="20" t="n">
        <x:v>4.4</x:v>
      </x:c>
      <x:c r="W2916" s="20" t="n">
        <x:v>14.3</x:v>
      </x:c>
      <x:c r="X2916" s="20" t="n">
        <x:v>3.3</x:v>
      </x:c>
      <x:c r="Y2916" t="str">
        <x:v>Basis arsip 2025/2024</x:v>
      </x:c>
      <x:c r="Z2916" t="str">
        <x:v>https://snpmb.id/utbk-snbt/daya-tampung-snbt</x:v>
      </x:c>
      <x:c r="AA2916" t="str">
        <x:v>Tidak Ada</x:v>
      </x:c>
      <x:c r="AB2916" t="str">
        <x:v>Campus=55; Ratio=11.4; Prodi=45; RelDemand=38.7; Capacity=0.0</x:v>
      </x:c>
    </x:row>
    <x:row r="2917">
      <x:c r="A2917" t="n">
        <x:v>2914</x:v>
      </x:c>
      <x:c r="B2917" t="str">
        <x:v>PTN Akademik</x:v>
      </x:c>
      <x:c r="C2917" t="str">
        <x:v>UNIVERSITAS PENDIDIKAN GANESHA</x:v>
      </x:c>
      <x:c r="D2917" t="str">
        <x:v>PENDIDIKAN SENI RUPA</x:v>
      </x:c>
      <x:c r="E2917" t="str">
        <x:v>Sarjana</x:v>
      </x:c>
      <x:c r="F2917" s="18" t="n">
        <x:v>45</x:v>
      </x:c>
      <x:c r="G2917" s="18" t="n">
        <x:v>12</x:v>
      </x:c>
      <x:c r="H2917" s="19" t="n">
        <x:v>0.26666666666666666</x:v>
      </x:c>
      <x:c r="I2917" s="18" t="n">
        <x:f>ROUND(MIN(Model_Config_v3!$B$6,MAX(Q2917,R2917,S2917*Model_Config_v3!$B$4+T2917*Model_Config_v3!$B$5)),0)</x:f>
        <x:v>597</x:v>
      </x:c>
      <x:c r="J2917" s="18" t="n">
        <x:f>MIN(Model_Config_v3!$B$6,I2917+Model_Config_v3!$B$7)</x:f>
        <x:v>617</x:v>
      </x:c>
      <x:c r="K2917" s="20" t="n">
        <x:v>35.2</x:v>
      </x:c>
      <x:c r="L2917" t="str">
        <x:v>RELATIF LONGGAR</x:v>
      </x:c>
      <x:c r="M2917" t="str">
        <x:v>PORTOFOLIO</x:v>
      </x:c>
      <x:c r="N2917" t="str">
        <x:v>REGULER</x:v>
      </x:c>
      <x:c r="O2917" t="str">
        <x:v>SENI/OLAHRAGA</x:v>
      </x:c>
      <x:c r="P2917" t="str">
        <x:v>SENI/OLAHRAGA</x:v>
      </x:c>
      <x:c r="Q2917" s="18" t="n">
        <x:v>0</x:v>
      </x:c>
      <x:c r="R2917" s="18" t="n">
        <x:v>0</x:v>
      </x:c>
      <x:c r="S2917" s="18" t="n">
        <x:v>520</x:v>
      </x:c>
      <x:c r="T2917" s="18" t="n">
        <x:v>630</x:v>
      </x:c>
      <x:c r="U2917" s="18" t="n">
        <x:v>520</x:v>
      </x:c>
      <x:c r="V2917" s="20" t="n">
        <x:v>4.4</x:v>
      </x:c>
      <x:c r="W2917" s="20" t="n">
        <x:v>9.9</x:v>
      </x:c>
      <x:c r="X2917" s="20" t="n">
        <x:v>7.7</x:v>
      </x:c>
      <x:c r="Y2917" t="str">
        <x:v>Basis arsip 2025/2024</x:v>
      </x:c>
      <x:c r="Z2917" t="str">
        <x:v>https://snpmb.id/utbk-snbt/daya-tampung-snbt</x:v>
      </x:c>
      <x:c r="AA2917" t="str">
        <x:v>Seni Rupa, Desain, dan Kriya</x:v>
      </x:c>
      <x:c r="AB2917" t="str">
        <x:v>Campus=55; Ratio=0.0; Prodi=45; RelDemand=6.6; Capacity=62.5</x:v>
      </x:c>
    </x:row>
    <x:row r="2918">
      <x:c r="A2918" t="n">
        <x:v>2915</x:v>
      </x:c>
      <x:c r="B2918" t="str">
        <x:v>PTN Akademik</x:v>
      </x:c>
      <x:c r="C2918" t="str">
        <x:v>UNIVERSITAS PENDIDIKAN GANESHA</x:v>
      </x:c>
      <x:c r="D2918" t="str">
        <x:v>PENDIDIKAN KESEJAHTERAAN KELUARGA</x:v>
      </x:c>
      <x:c r="E2918" t="str">
        <x:v>Sarjana</x:v>
      </x:c>
      <x:c r="F2918" s="18" t="n">
        <x:v>44</x:v>
      </x:c>
      <x:c r="G2918" s="18" t="n">
        <x:v>32</x:v>
      </x:c>
      <x:c r="H2918" s="19" t="n">
        <x:v>0.7272727272727273</x:v>
      </x:c>
      <x:c r="I2918" s="18" t="n">
        <x:f>ROUND(MIN(Model_Config_v3!$B$6,MAX(Q2918,R2918,S2918*Model_Config_v3!$B$4+T2918*Model_Config_v3!$B$5)),0)</x:f>
        <x:v>599</x:v>
      </x:c>
      <x:c r="J2918" s="18" t="n">
        <x:f>MIN(Model_Config_v3!$B$6,I2918+Model_Config_v3!$B$7)</x:f>
        <x:v>619</x:v>
      </x:c>
      <x:c r="K2918" s="20" t="n">
        <x:v>36.4</x:v>
      </x:c>
      <x:c r="L2918" t="str">
        <x:v>RELATIF LONGGAR</x:v>
      </x:c>
      <x:c r="M2918" t="str">
        <x:v>SEDANG+</x:v>
      </x:c>
      <x:c r="N2918" t="str">
        <x:v>REGULER</x:v>
      </x:c>
      <x:c r="O2918" t="str">
        <x:v>CAMPURAN</x:v>
      </x:c>
      <x:c r="P2918" t="str">
        <x:v>PENDIDIKAN</x:v>
      </x:c>
      <x:c r="Q2918" s="18" t="n">
        <x:v>0</x:v>
      </x:c>
      <x:c r="R2918" s="18" t="n">
        <x:v>0</x:v>
      </x:c>
      <x:c r="S2918" s="18" t="n">
        <x:v>520</x:v>
      </x:c>
      <x:c r="T2918" s="18" t="n">
        <x:v>633</x:v>
      </x:c>
      <x:c r="U2918" s="18" t="n">
        <x:v>520</x:v>
      </x:c>
      <x:c r="V2918" s="20" t="n">
        <x:v>8.8</x:v>
      </x:c>
      <x:c r="W2918" s="20" t="n">
        <x:v>9.9</x:v>
      </x:c>
      <x:c r="X2918" s="20" t="n">
        <x:v>3.3</x:v>
      </x:c>
      <x:c r="Y2918" t="str">
        <x:v>Basis arsip 2025/2024</x:v>
      </x:c>
      <x:c r="Z2918" t="str">
        <x:v>https://snpmb.id/utbk-snbt/daya-tampung-snbt</x:v>
      </x:c>
      <x:c r="AA2918" t="str">
        <x:v>Tidak Ada</x:v>
      </x:c>
      <x:c r="AB2918" t="str">
        <x:v>Campus=55; Ratio=0.0; Prodi=45; RelDemand=18.0; Capacity=63.3</x:v>
      </x:c>
    </x:row>
    <x:row r="2919">
      <x:c r="A2919" t="n">
        <x:v>2916</x:v>
      </x:c>
      <x:c r="B2919" t="str">
        <x:v>PTN Akademik</x:v>
      </x:c>
      <x:c r="C2919" t="str">
        <x:v>UNIVERSITAS PENDIDIKAN GANESHA</x:v>
      </x:c>
      <x:c r="D2919" t="str">
        <x:v>BIMBINGAN KONSELING</x:v>
      </x:c>
      <x:c r="E2919" t="str">
        <x:v>Sarjana</x:v>
      </x:c>
      <x:c r="F2919" s="18" t="n">
        <x:v>58</x:v>
      </x:c>
      <x:c r="G2919" s="18" t="n">
        <x:v>150</x:v>
      </x:c>
      <x:c r="H2919" s="19" t="n">
        <x:v>2.586206896551724</x:v>
      </x:c>
      <x:c r="I2919" s="18" t="n">
        <x:f>ROUND(MIN(Model_Config_v3!$B$6,MAX(Q2919,R2919,S2919*Model_Config_v3!$B$4+T2919*Model_Config_v3!$B$5)),0)</x:f>
        <x:v>625</x:v>
      </x:c>
      <x:c r="J2919" s="18" t="n">
        <x:f>MIN(Model_Config_v3!$B$6,I2919+Model_Config_v3!$B$7)</x:f>
        <x:v>645</x:v>
      </x:c>
      <x:c r="K2919" s="20" t="n">
        <x:v>44.9</x:v>
      </x:c>
      <x:c r="L2919" t="str">
        <x:v>RELATIF LONGGAR</x:v>
      </x:c>
      <x:c r="M2919" t="str">
        <x:v>SEDANG</x:v>
      </x:c>
      <x:c r="N2919" t="str">
        <x:v>REGULER</x:v>
      </x:c>
      <x:c r="O2919" t="str">
        <x:v>CAMPURAN</x:v>
      </x:c>
      <x:c r="P2919" t="str">
        <x:v>UMUM</x:v>
      </x:c>
      <x:c r="Q2919" s="18" t="n">
        <x:v>0</x:v>
      </x:c>
      <x:c r="R2919" s="18" t="n">
        <x:v>0</x:v>
      </x:c>
      <x:c r="S2919" s="18" t="n">
        <x:v>565.3929592042018</x:v>
      </x:c>
      <x:c r="T2919" s="18" t="n">
        <x:v>650</x:v>
      </x:c>
      <x:c r="U2919" s="18" t="n">
        <x:v>565.3929592042018</x:v>
      </x:c>
      <x:c r="V2919" s="20" t="n">
        <x:v>8.8</x:v>
      </x:c>
      <x:c r="W2919" s="20" t="n">
        <x:v>9.9</x:v>
      </x:c>
      <x:c r="X2919" s="20" t="n">
        <x:v>3.3</x:v>
      </x:c>
      <x:c r="Y2919" t="str">
        <x:v>Basis arsip 2025/2024</x:v>
      </x:c>
      <x:c r="Z2919" t="str">
        <x:v>https://snpmb.id/utbk-snbt/daya-tampung-snbt</x:v>
      </x:c>
      <x:c r="AA2919" t="str">
        <x:v>Tidak Ada</x:v>
      </x:c>
      <x:c r="AB2919" t="str">
        <x:v>Campus=55; Ratio=24.3; Prodi=40; RelDemand=64.1; Capacity=51.7</x:v>
      </x:c>
    </x:row>
    <x:row r="2920">
      <x:c r="A2920" t="n">
        <x:v>2917</x:v>
      </x:c>
      <x:c r="B2920" t="str">
        <x:v>PTN Akademik</x:v>
      </x:c>
      <x:c r="C2920" t="str">
        <x:v>UNIVERSITAS PENDIDIKAN GANESHA</x:v>
      </x:c>
      <x:c r="D2920" t="str">
        <x:v>TEKNOLOGI PENDIDIKAN</x:v>
      </x:c>
      <x:c r="E2920" t="str">
        <x:v>Sarjana</x:v>
      </x:c>
      <x:c r="F2920" s="18" t="n">
        <x:v>75</x:v>
      </x:c>
      <x:c r="G2920" s="18" t="n">
        <x:v>32</x:v>
      </x:c>
      <x:c r="H2920" s="19" t="n">
        <x:v>0.4266666666666667</x:v>
      </x:c>
      <x:c r="I2920" s="18" t="n">
        <x:f>ROUND(MIN(Model_Config_v3!$B$6,MAX(Q2920,R2920,S2920*Model_Config_v3!$B$4+T2920*Model_Config_v3!$B$5)),0)</x:f>
        <x:v>593</x:v>
      </x:c>
      <x:c r="J2920" s="18" t="n">
        <x:f>MIN(Model_Config_v3!$B$6,I2920+Model_Config_v3!$B$7)</x:f>
        <x:v>613</x:v>
      </x:c>
      <x:c r="K2920" s="20" t="n">
        <x:v>32.1</x:v>
      </x:c>
      <x:c r="L2920" t="str">
        <x:v>RELATIF LONGGAR</x:v>
      </x:c>
      <x:c r="M2920" t="str">
        <x:v>SEDANG</x:v>
      </x:c>
      <x:c r="N2920" t="str">
        <x:v>REGULER</x:v>
      </x:c>
      <x:c r="O2920" t="str">
        <x:v>SAINTEK</x:v>
      </x:c>
      <x:c r="P2920" t="str">
        <x:v>UMUM</x:v>
      </x:c>
      <x:c r="Q2920" s="18" t="n">
        <x:v>0</x:v>
      </x:c>
      <x:c r="R2920" s="18" t="n">
        <x:v>0</x:v>
      </x:c>
      <x:c r="S2920" s="18" t="n">
        <x:v>520</x:v>
      </x:c>
      <x:c r="T2920" s="18" t="n">
        <x:v>624</x:v>
      </x:c>
      <x:c r="U2920" s="18" t="n">
        <x:v>520</x:v>
      </x:c>
      <x:c r="V2920" s="20" t="n">
        <x:v>12</x:v>
      </x:c>
      <x:c r="W2920" s="20" t="n">
        <x:v>5</x:v>
      </x:c>
      <x:c r="X2920" s="20" t="n">
        <x:v>3</x:v>
      </x:c>
      <x:c r="Y2920" t="str">
        <x:v>Basis arsip 2025/2024</x:v>
      </x:c>
      <x:c r="Z2920" t="str">
        <x:v>https://snpmb.id/utbk-snbt/daya-tampung-snbt</x:v>
      </x:c>
      <x:c r="AA2920" t="str">
        <x:v>Tidak Ada</x:v>
      </x:c>
      <x:c r="AB2920" t="str">
        <x:v>Campus=55; Ratio=0.0; Prodi=40; RelDemand=10.6; Capacity=37.5</x:v>
      </x:c>
    </x:row>
    <x:row r="2921">
      <x:c r="A2921" t="n">
        <x:v>2918</x:v>
      </x:c>
      <x:c r="B2921" t="str">
        <x:v>PTN Akademik</x:v>
      </x:c>
      <x:c r="C2921" t="str">
        <x:v>UNIVERSITAS PENDIDIKAN GANESHA</x:v>
      </x:c>
      <x:c r="D2921" t="str">
        <x:v>PENDIDIKAN JASMANI KESEHATAN DAN REKREASI</x:v>
      </x:c>
      <x:c r="E2921" t="str">
        <x:v>Sarjana</x:v>
      </x:c>
      <x:c r="F2921" s="18" t="n">
        <x:v>104</x:v>
      </x:c>
      <x:c r="G2921" s="18" t="n">
        <x:v>132</x:v>
      </x:c>
      <x:c r="H2921" s="19" t="n">
        <x:v>1.2692307692307692</x:v>
      </x:c>
      <x:c r="I2921" s="18" t="n">
        <x:f>ROUND(MIN(Model_Config_v3!$B$6,MAX(Q2921,R2921,S2921*Model_Config_v3!$B$4+T2921*Model_Config_v3!$B$5)),0)</x:f>
        <x:v>600</x:v>
      </x:c>
      <x:c r="J2921" s="18" t="n">
        <x:f>MIN(Model_Config_v3!$B$6,I2921+Model_Config_v3!$B$7)</x:f>
        <x:v>620</x:v>
      </x:c>
      <x:c r="K2921" s="20" t="n">
        <x:v>34.3</x:v>
      </x:c>
      <x:c r="L2921" t="str">
        <x:v>RELATIF LONGGAR</x:v>
      </x:c>
      <x:c r="M2921" t="str">
        <x:v>PORTOFOLIO</x:v>
      </x:c>
      <x:c r="N2921" t="str">
        <x:v>REGULER</x:v>
      </x:c>
      <x:c r="O2921" t="str">
        <x:v>SENI/OLAHRAGA</x:v>
      </x:c>
      <x:c r="P2921" t="str">
        <x:v>SENI/OLAHRAGA</x:v>
      </x:c>
      <x:c r="Q2921" s="18" t="n">
        <x:v>0</x:v>
      </x:c>
      <x:c r="R2921" s="18" t="n">
        <x:v>0</x:v>
      </x:c>
      <x:c r="S2921" s="18" t="n">
        <x:v>531.3894651097777</x:v>
      </x:c>
      <x:c r="T2921" s="18" t="n">
        <x:v>629</x:v>
      </x:c>
      <x:c r="U2921" s="18" t="n">
        <x:v>531.3894651097777</x:v>
      </x:c>
      <x:c r="V2921" s="20" t="n">
        <x:v>4.4</x:v>
      </x:c>
      <x:c r="W2921" s="20" t="n">
        <x:v>9.9</x:v>
      </x:c>
      <x:c r="X2921" s="20" t="n">
        <x:v>7.7</x:v>
      </x:c>
      <x:c r="Y2921" t="str">
        <x:v>Basis arsip 2025/2024</x:v>
      </x:c>
      <x:c r="Z2921" t="str">
        <x:v>https://snpmb.id/utbk-snbt/daya-tampung-snbt</x:v>
      </x:c>
      <x:c r="AA2921" t="str">
        <x:v>Olahraga</x:v>
      </x:c>
      <x:c r="AB2921" t="str">
        <x:v>Campus=55; Ratio=6.1; Prodi=45; RelDemand=31.5; Capacity=13.3</x:v>
      </x:c>
    </x:row>
    <x:row r="2922">
      <x:c r="A2922" t="n">
        <x:v>2919</x:v>
      </x:c>
      <x:c r="B2922" t="str">
        <x:v>PTN Akademik</x:v>
      </x:c>
      <x:c r="C2922" t="str">
        <x:v>UNIVERSITAS PENDIDIKAN GANESHA</x:v>
      </x:c>
      <x:c r="D2922" t="str">
        <x:v>MANAJEMEN</x:v>
      </x:c>
      <x:c r="E2922" t="str">
        <x:v>Sarjana</x:v>
      </x:c>
      <x:c r="F2922" s="18" t="n">
        <x:v>164</x:v>
      </x:c>
      <x:c r="G2922" s="18" t="n">
        <x:v>490</x:v>
      </x:c>
      <x:c r="H2922" s="19" t="n">
        <x:v>2.9878048780487805</x:v>
      </x:c>
      <x:c r="I2922" s="18" t="n">
        <x:f>ROUND(MIN(Model_Config_v3!$B$6,MAX(Q2922,R2922,S2922*Model_Config_v3!$B$4+T2922*Model_Config_v3!$B$5)),0)</x:f>
        <x:v>629</x:v>
      </x:c>
      <x:c r="J2922" s="18" t="n">
        <x:f>MIN(Model_Config_v3!$B$6,I2922+Model_Config_v3!$B$7)</x:f>
        <x:v>649</x:v>
      </x:c>
      <x:c r="K2922" s="20" t="n">
        <x:v>46.6</x:v>
      </x:c>
      <x:c r="L2922" t="str">
        <x:v>MENENGAH</x:v>
      </x:c>
      <x:c r="M2922" t="str">
        <x:v>SEDANG+</x:v>
      </x:c>
      <x:c r="N2922" t="str">
        <x:v>REGULER</x:v>
      </x:c>
      <x:c r="O2922" t="str">
        <x:v>SOSHUM</x:v>
      </x:c>
      <x:c r="P2922" t="str">
        <x:v>BISNIS/EKONOMI/AKUNTANSI</x:v>
      </x:c>
      <x:c r="Q2922" s="18" t="n">
        <x:v>0</x:v>
      </x:c>
      <x:c r="R2922" s="18" t="n">
        <x:v>0</x:v>
      </x:c>
      <x:c r="S2922" s="18" t="n">
        <x:v>572.2887455178898</x:v>
      </x:c>
      <x:c r="T2922" s="18" t="n">
        <x:v>653</x:v>
      </x:c>
      <x:c r="U2922" s="18" t="n">
        <x:v>587.2887455178898</x:v>
      </x:c>
      <x:c r="V2922" s="20" t="n">
        <x:v>4.4</x:v>
      </x:c>
      <x:c r="W2922" s="20" t="n">
        <x:v>14.3</x:v>
      </x:c>
      <x:c r="X2922" s="20" t="n">
        <x:v>3.3</x:v>
      </x:c>
      <x:c r="Y2922" t="str">
        <x:v>Basis arsip 2025/2024</x:v>
      </x:c>
      <x:c r="Z2922" t="str">
        <x:v>https://snpmb.id/utbk-snbt/daya-tampung-snbt</x:v>
      </x:c>
      <x:c r="AA2922" t="str">
        <x:v>Tidak Ada</x:v>
      </x:c>
      <x:c r="AB2922" t="str">
        <x:v>Campus=55; Ratio=28.0; Prodi=65; RelDemand=74.0; Capacity=0.0</x:v>
      </x:c>
    </x:row>
    <x:row r="2923">
      <x:c r="A2923" t="n">
        <x:v>2920</x:v>
      </x:c>
      <x:c r="B2923" t="str">
        <x:v>PTN Akademik</x:v>
      </x:c>
      <x:c r="C2923" t="str">
        <x:v>UNIVERSITAS PENDIDIKAN GANESHA</x:v>
      </x:c>
      <x:c r="D2923" t="str">
        <x:v>AKUNTANSI</x:v>
      </x:c>
      <x:c r="E2923" t="str">
        <x:v>Sarjana</x:v>
      </x:c>
      <x:c r="F2923" s="18" t="n">
        <x:v>144</x:v>
      </x:c>
      <x:c r="G2923" s="18" t="n">
        <x:v>321</x:v>
      </x:c>
      <x:c r="H2923" s="19" t="n">
        <x:v>2.2291666666666665</x:v>
      </x:c>
      <x:c r="I2923" s="18" t="n">
        <x:f>ROUND(MIN(Model_Config_v3!$B$6,MAX(Q2923,R2923,S2923*Model_Config_v3!$B$4+T2923*Model_Config_v3!$B$5)),0)</x:f>
        <x:v>620</x:v>
      </x:c>
      <x:c r="J2923" s="18" t="n">
        <x:f>MIN(Model_Config_v3!$B$6,I2923+Model_Config_v3!$B$7)</x:f>
        <x:v>640</x:v>
      </x:c>
      <x:c r="K2923" s="20" t="n">
        <x:v>42.9</x:v>
      </x:c>
      <x:c r="L2923" t="str">
        <x:v>RELATIF LONGGAR</x:v>
      </x:c>
      <x:c r="M2923" t="str">
        <x:v>SEDANG+</x:v>
      </x:c>
      <x:c r="N2923" t="str">
        <x:v>REGULER</x:v>
      </x:c>
      <x:c r="O2923" t="str">
        <x:v>SOSHUM</x:v>
      </x:c>
      <x:c r="P2923" t="str">
        <x:v>BISNIS/EKONOMI/AKUNTANSI</x:v>
      </x:c>
      <x:c r="Q2923" s="18" t="n">
        <x:v>0</x:v>
      </x:c>
      <x:c r="R2923" s="18" t="n">
        <x:v>0</x:v>
      </x:c>
      <x:c r="S2923" s="18" t="n">
        <x:v>558.2956794340585</x:v>
      </x:c>
      <x:c r="T2923" s="18" t="n">
        <x:v>646</x:v>
      </x:c>
      <x:c r="U2923" s="18" t="n">
        <x:v>558.2956794340585</x:v>
      </x:c>
      <x:c r="V2923" s="20" t="n">
        <x:v>4.4</x:v>
      </x:c>
      <x:c r="W2923" s="20" t="n">
        <x:v>14.3</x:v>
      </x:c>
      <x:c r="X2923" s="20" t="n">
        <x:v>3.3</x:v>
      </x:c>
      <x:c r="Y2923" t="str">
        <x:v>Basis arsip 2025/2024</x:v>
      </x:c>
      <x:c r="Z2923" t="str">
        <x:v>https://snpmb.id/utbk-snbt/daya-tampung-snbt</x:v>
      </x:c>
      <x:c r="AA2923" t="str">
        <x:v>Tidak Ada</x:v>
      </x:c>
      <x:c r="AB2923" t="str">
        <x:v>Campus=55; Ratio=20.5; Prodi=65; RelDemand=55.2; Capacity=0.0</x:v>
      </x:c>
    </x:row>
    <x:row r="2924">
      <x:c r="A2924" t="n">
        <x:v>2921</x:v>
      </x:c>
      <x:c r="B2924" t="str">
        <x:v>PTN Akademik</x:v>
      </x:c>
      <x:c r="C2924" t="str">
        <x:v>UNIVERSITAS PENDIDIKAN GANESHA</x:v>
      </x:c>
      <x:c r="D2924" t="str">
        <x:v>PENDIDIKAN KEPELATIHAN OLAHRAGA</x:v>
      </x:c>
      <x:c r="E2924" t="str">
        <x:v>Sarjana</x:v>
      </x:c>
      <x:c r="F2924" s="18" t="n">
        <x:v>45</x:v>
      </x:c>
      <x:c r="G2924" s="18" t="n">
        <x:v>41</x:v>
      </x:c>
      <x:c r="H2924" s="19" t="n">
        <x:v>0.9111111111111111</x:v>
      </x:c>
      <x:c r="I2924" s="18" t="n">
        <x:f>ROUND(MIN(Model_Config_v3!$B$6,MAX(Q2924,R2924,S2924*Model_Config_v3!$B$4+T2924*Model_Config_v3!$B$5)),0)</x:f>
        <x:v>600</x:v>
      </x:c>
      <x:c r="J2924" s="18" t="n">
        <x:f>MIN(Model_Config_v3!$B$6,I2924+Model_Config_v3!$B$7)</x:f>
        <x:v>620</x:v>
      </x:c>
      <x:c r="K2924" s="20" t="n">
        <x:v>36.8</x:v>
      </x:c>
      <x:c r="L2924" t="str">
        <x:v>RELATIF LONGGAR</x:v>
      </x:c>
      <x:c r="M2924" t="str">
        <x:v>PORTOFOLIO</x:v>
      </x:c>
      <x:c r="N2924" t="str">
        <x:v>REGULER</x:v>
      </x:c>
      <x:c r="O2924" t="str">
        <x:v>SENI/OLAHRAGA</x:v>
      </x:c>
      <x:c r="P2924" t="str">
        <x:v>SENI/OLAHRAGA</x:v>
      </x:c>
      <x:c r="Q2924" s="18" t="n">
        <x:v>0</x:v>
      </x:c>
      <x:c r="R2924" s="18" t="n">
        <x:v>0</x:v>
      </x:c>
      <x:c r="S2924" s="18" t="n">
        <x:v>520</x:v>
      </x:c>
      <x:c r="T2924" s="18" t="n">
        <x:v>634</x:v>
      </x:c>
      <x:c r="U2924" s="18" t="n">
        <x:v>520</x:v>
      </x:c>
      <x:c r="V2924" s="20" t="n">
        <x:v>4.4</x:v>
      </x:c>
      <x:c r="W2924" s="20" t="n">
        <x:v>9.9</x:v>
      </x:c>
      <x:c r="X2924" s="20" t="n">
        <x:v>7.7</x:v>
      </x:c>
      <x:c r="Y2924" t="str">
        <x:v>Basis arsip 2025/2024</x:v>
      </x:c>
      <x:c r="Z2924" t="str">
        <x:v>https://snpmb.id/utbk-snbt/daya-tampung-snbt</x:v>
      </x:c>
      <x:c r="AA2924" t="str">
        <x:v>Olahraga</x:v>
      </x:c>
      <x:c r="AB2924" t="str">
        <x:v>Campus=55; Ratio=0.0; Prodi=45; RelDemand=22.6; Capacity=62.5</x:v>
      </x:c>
    </x:row>
    <x:row r="2925">
      <x:c r="A2925" t="n">
        <x:v>2922</x:v>
      </x:c>
      <x:c r="B2925" t="str">
        <x:v>PTN Akademik</x:v>
      </x:c>
      <x:c r="C2925" t="str">
        <x:v>UNIVERSITAS PENDIDIKAN GANESHA</x:v>
      </x:c>
      <x:c r="D2925" t="str">
        <x:v>PENDIDIKAN GURU SEKOLAH DASAR</x:v>
      </x:c>
      <x:c r="E2925" t="str">
        <x:v>Sarjana</x:v>
      </x:c>
      <x:c r="F2925" s="18" t="n">
        <x:v>224</x:v>
      </x:c>
      <x:c r="G2925" s="18" t="n">
        <x:v>792</x:v>
      </x:c>
      <x:c r="H2925" s="19" t="n">
        <x:v>3.5357142857142856</x:v>
      </x:c>
      <x:c r="I2925" s="18" t="n">
        <x:f>ROUND(MIN(Model_Config_v3!$B$6,MAX(Q2925,R2925,S2925*Model_Config_v3!$B$4+T2925*Model_Config_v3!$B$5)),0)</x:f>
        <x:v>629</x:v>
      </x:c>
      <x:c r="J2925" s="18" t="n">
        <x:f>MIN(Model_Config_v3!$B$6,I2925+Model_Config_v3!$B$7)</x:f>
        <x:v>649</x:v>
      </x:c>
      <x:c r="K2925" s="20" t="n">
        <x:v>45.1</x:v>
      </x:c>
      <x:c r="L2925" t="str">
        <x:v>MENENGAH</x:v>
      </x:c>
      <x:c r="M2925" t="str">
        <x:v>SEDANG+</x:v>
      </x:c>
      <x:c r="N2925" t="str">
        <x:v>REGULER</x:v>
      </x:c>
      <x:c r="O2925" t="str">
        <x:v>CAMPURAN</x:v>
      </x:c>
      <x:c r="P2925" t="str">
        <x:v>PENDIDIKAN</x:v>
      </x:c>
      <x:c r="Q2925" s="18" t="n">
        <x:v>0</x:v>
      </x:c>
      <x:c r="R2925" s="18" t="n">
        <x:v>0</x:v>
      </x:c>
      <x:c r="S2925" s="18" t="n">
        <x:v>580.3324879580864</x:v>
      </x:c>
      <x:c r="T2925" s="18" t="n">
        <x:v>650</x:v>
      </x:c>
      <x:c r="U2925" s="18" t="n">
        <x:v>580.3324879580864</x:v>
      </x:c>
      <x:c r="V2925" s="20" t="n">
        <x:v>8.8</x:v>
      </x:c>
      <x:c r="W2925" s="20" t="n">
        <x:v>9.9</x:v>
      </x:c>
      <x:c r="X2925" s="20" t="n">
        <x:v>3.3</x:v>
      </x:c>
      <x:c r="Y2925" t="str">
        <x:v>Basis arsip 2025/2024</x:v>
      </x:c>
      <x:c r="Z2925" t="str">
        <x:v>https://snpmb.id/utbk-snbt/daya-tampung-snbt</x:v>
      </x:c>
      <x:c r="AA2925" t="str">
        <x:v>Tidak Ada</x:v>
      </x:c>
      <x:c r="AB2925" t="str">
        <x:v>Campus=55; Ratio=32.3; Prodi=45; RelDemand=87.6; Capacity=0.0</x:v>
      </x:c>
    </x:row>
    <x:row r="2926">
      <x:c r="A2926" t="n">
        <x:v>2923</x:v>
      </x:c>
      <x:c r="B2926" t="str">
        <x:v>PTN Akademik</x:v>
      </x:c>
      <x:c r="C2926" t="str">
        <x:v>UNIVERSITAS PENDIDIKAN GANESHA</x:v>
      </x:c>
      <x:c r="D2926" t="str">
        <x:v>PENDIDIKAN GURU ANAK USIA DINI</x:v>
      </x:c>
      <x:c r="E2926" t="str">
        <x:v>Sarjana</x:v>
      </x:c>
      <x:c r="F2926" s="18" t="n">
        <x:v>75</x:v>
      </x:c>
      <x:c r="G2926" s="18" t="n">
        <x:v>40</x:v>
      </x:c>
      <x:c r="H2926" s="19" t="n">
        <x:v>0.5333333333333333</x:v>
      </x:c>
      <x:c r="I2926" s="18" t="n">
        <x:f>ROUND(MIN(Model_Config_v3!$B$6,MAX(Q2926,R2926,S2926*Model_Config_v3!$B$4+T2926*Model_Config_v3!$B$5)),0)</x:f>
        <x:v>595</x:v>
      </x:c>
      <x:c r="J2926" s="18" t="n">
        <x:f>MIN(Model_Config_v3!$B$6,I2926+Model_Config_v3!$B$7)</x:f>
        <x:v>615</x:v>
      </x:c>
      <x:c r="K2926" s="20" t="n">
        <x:v>33.3</x:v>
      </x:c>
      <x:c r="L2926" t="str">
        <x:v>RELATIF LONGGAR</x:v>
      </x:c>
      <x:c r="M2926" t="str">
        <x:v>SEDANG+</x:v>
      </x:c>
      <x:c r="N2926" t="str">
        <x:v>REGULER</x:v>
      </x:c>
      <x:c r="O2926" t="str">
        <x:v>CAMPURAN</x:v>
      </x:c>
      <x:c r="P2926" t="str">
        <x:v>PENDIDIKAN</x:v>
      </x:c>
      <x:c r="Q2926" s="18" t="n">
        <x:v>0</x:v>
      </x:c>
      <x:c r="R2926" s="18" t="n">
        <x:v>0</x:v>
      </x:c>
      <x:c r="S2926" s="18" t="n">
        <x:v>520</x:v>
      </x:c>
      <x:c r="T2926" s="18" t="n">
        <x:v>627</x:v>
      </x:c>
      <x:c r="U2926" s="18" t="n">
        <x:v>520</x:v>
      </x:c>
      <x:c r="V2926" s="20" t="n">
        <x:v>8.8</x:v>
      </x:c>
      <x:c r="W2926" s="20" t="n">
        <x:v>9.9</x:v>
      </x:c>
      <x:c r="X2926" s="20" t="n">
        <x:v>3.3</x:v>
      </x:c>
      <x:c r="Y2926" t="str">
        <x:v>Basis arsip 2025/2024</x:v>
      </x:c>
      <x:c r="Z2926" t="str">
        <x:v>https://snpmb.id/utbk-snbt/daya-tampung-snbt</x:v>
      </x:c>
      <x:c r="AA2926" t="str">
        <x:v>Tidak Ada</x:v>
      </x:c>
      <x:c r="AB2926" t="str">
        <x:v>Campus=55; Ratio=0.0; Prodi=45; RelDemand=13.2; Capacity=37.5</x:v>
      </x:c>
    </x:row>
    <x:row r="2927">
      <x:c r="A2927" t="n">
        <x:v>2924</x:v>
      </x:c>
      <x:c r="B2927" t="str">
        <x:v>PTN Akademik</x:v>
      </x:c>
      <x:c r="C2927" t="str">
        <x:v>UNIVERSITAS PENDIDIKAN GANESHA</x:v>
      </x:c>
      <x:c r="D2927" t="str">
        <x:v>PEND. BAHASA JEPANG</x:v>
      </x:c>
      <x:c r="E2927" t="str">
        <x:v>Sarjana</x:v>
      </x:c>
      <x:c r="F2927" s="18" t="n">
        <x:v>48</x:v>
      </x:c>
      <x:c r="G2927" s="18" t="n">
        <x:v>37</x:v>
      </x:c>
      <x:c r="H2927" s="19" t="n">
        <x:v>0.7708333333333334</x:v>
      </x:c>
      <x:c r="I2927" s="18" t="n">
        <x:f>ROUND(MIN(Model_Config_v3!$B$6,MAX(Q2927,R2927,S2927*Model_Config_v3!$B$4+T2927*Model_Config_v3!$B$5)),0)</x:f>
        <x:v>598</x:v>
      </x:c>
      <x:c r="J2927" s="18" t="n">
        <x:f>MIN(Model_Config_v3!$B$6,I2927+Model_Config_v3!$B$7)</x:f>
        <x:v>618</x:v>
      </x:c>
      <x:c r="K2927" s="20" t="n">
        <x:v>36.2</x:v>
      </x:c>
      <x:c r="L2927" t="str">
        <x:v>RELATIF LONGGAR</x:v>
      </x:c>
      <x:c r="M2927" t="str">
        <x:v>SEDANG+</x:v>
      </x:c>
      <x:c r="N2927" t="str">
        <x:v>REGULER</x:v>
      </x:c>
      <x:c r="O2927" t="str">
        <x:v>SOSHUM</x:v>
      </x:c>
      <x:c r="P2927" t="str">
        <x:v>PENDIDIKAN</x:v>
      </x:c>
      <x:c r="Q2927" s="18" t="n">
        <x:v>0</x:v>
      </x:c>
      <x:c r="R2927" s="18" t="n">
        <x:v>0</x:v>
      </x:c>
      <x:c r="S2927" s="18" t="n">
        <x:v>520</x:v>
      </x:c>
      <x:c r="T2927" s="18" t="n">
        <x:v>632</x:v>
      </x:c>
      <x:c r="U2927" s="18" t="n">
        <x:v>520</x:v>
      </x:c>
      <x:c r="V2927" s="20" t="n">
        <x:v>4.4</x:v>
      </x:c>
      <x:c r="W2927" s="20" t="n">
        <x:v>14.3</x:v>
      </x:c>
      <x:c r="X2927" s="20" t="n">
        <x:v>3.3</x:v>
      </x:c>
      <x:c r="Y2927" t="str">
        <x:v>Basis arsip 2025/2024</x:v>
      </x:c>
      <x:c r="Z2927" t="str">
        <x:v>https://snpmb.id/utbk-snbt/daya-tampung-snbt</x:v>
      </x:c>
      <x:c r="AA2927" t="str">
        <x:v>Tidak Ada</x:v>
      </x:c>
      <x:c r="AB2927" t="str">
        <x:v>Campus=55; Ratio=0.0; Prodi=45; RelDemand=19.1; Capacity=60.0</x:v>
      </x:c>
    </x:row>
    <x:row r="2928">
      <x:c r="A2928" t="n">
        <x:v>2925</x:v>
      </x:c>
      <x:c r="B2928" t="str">
        <x:v>PTN Akademik</x:v>
      </x:c>
      <x:c r="C2928" t="str">
        <x:v>UNIVERSITAS PENDIDIKAN GANESHA</x:v>
      </x:c>
      <x:c r="D2928" t="str">
        <x:v>PENDIDIKAN BAHASA BALI</x:v>
      </x:c>
      <x:c r="E2928" t="str">
        <x:v>Sarjana</x:v>
      </x:c>
      <x:c r="F2928" s="18" t="n">
        <x:v>45</x:v>
      </x:c>
      <x:c r="G2928" s="18" t="n">
        <x:v>10</x:v>
      </x:c>
      <x:c r="H2928" s="19" t="n">
        <x:v>0.2222222222222222</x:v>
      </x:c>
      <x:c r="I2928" s="18" t="n">
        <x:f>ROUND(MIN(Model_Config_v3!$B$6,MAX(Q2928,R2928,S2928*Model_Config_v3!$B$4+T2928*Model_Config_v3!$B$5)),0)</x:f>
        <x:v>597</x:v>
      </x:c>
      <x:c r="J2928" s="18" t="n">
        <x:f>MIN(Model_Config_v3!$B$6,I2928+Model_Config_v3!$B$7)</x:f>
        <x:v>617</x:v>
      </x:c>
      <x:c r="K2928" s="20" t="n">
        <x:v>35.1</x:v>
      </x:c>
      <x:c r="L2928" t="str">
        <x:v>RELATIF LONGGAR</x:v>
      </x:c>
      <x:c r="M2928" t="str">
        <x:v>SEDANG+</x:v>
      </x:c>
      <x:c r="N2928" t="str">
        <x:v>REGULER</x:v>
      </x:c>
      <x:c r="O2928" t="str">
        <x:v>SOSHUM</x:v>
      </x:c>
      <x:c r="P2928" t="str">
        <x:v>PENDIDIKAN</x:v>
      </x:c>
      <x:c r="Q2928" s="18" t="n">
        <x:v>0</x:v>
      </x:c>
      <x:c r="R2928" s="18" t="n">
        <x:v>0</x:v>
      </x:c>
      <x:c r="S2928" s="18" t="n">
        <x:v>520</x:v>
      </x:c>
      <x:c r="T2928" s="18" t="n">
        <x:v>630</x:v>
      </x:c>
      <x:c r="U2928" s="18" t="n">
        <x:v>520</x:v>
      </x:c>
      <x:c r="V2928" s="20" t="n">
        <x:v>4.4</x:v>
      </x:c>
      <x:c r="W2928" s="20" t="n">
        <x:v>14.3</x:v>
      </x:c>
      <x:c r="X2928" s="20" t="n">
        <x:v>3.3</x:v>
      </x:c>
      <x:c r="Y2928" t="str">
        <x:v>Basis arsip 2025/2024</x:v>
      </x:c>
      <x:c r="Z2928" t="str">
        <x:v>https://snpmb.id/utbk-snbt/daya-tampung-snbt</x:v>
      </x:c>
      <x:c r="AA2928" t="str">
        <x:v>Tidak Ada</x:v>
      </x:c>
      <x:c r="AB2928" t="str">
        <x:v>Campus=55; Ratio=0.0; Prodi=45; RelDemand=5.5; Capacity=62.5</x:v>
      </x:c>
    </x:row>
    <x:row r="2929">
      <x:c r="A2929" t="n">
        <x:v>2926</x:v>
      </x:c>
      <x:c r="B2929" t="str">
        <x:v>PTN Akademik</x:v>
      </x:c>
      <x:c r="C2929" t="str">
        <x:v>UNIVERSITAS PENDIDIKAN GANESHA</x:v>
      </x:c>
      <x:c r="D2929" t="str">
        <x:v>PENDIDIKAN SOSIOLOGI</x:v>
      </x:c>
      <x:c r="E2929" t="str">
        <x:v>Sarjana</x:v>
      </x:c>
      <x:c r="F2929" s="18" t="n">
        <x:v>83</x:v>
      </x:c>
      <x:c r="G2929" s="18" t="n">
        <x:v>44</x:v>
      </x:c>
      <x:c r="H2929" s="19" t="n">
        <x:v>0.5301204819277109</x:v>
      </x:c>
      <x:c r="I2929" s="18" t="n">
        <x:f>ROUND(MIN(Model_Config_v3!$B$6,MAX(Q2929,R2929,S2929*Model_Config_v3!$B$4+T2929*Model_Config_v3!$B$5)),0)</x:f>
        <x:v>594</x:v>
      </x:c>
      <x:c r="J2929" s="18" t="n">
        <x:f>MIN(Model_Config_v3!$B$6,I2929+Model_Config_v3!$B$7)</x:f>
        <x:v>614</x:v>
      </x:c>
      <x:c r="K2929" s="20" t="n">
        <x:v>32.6</x:v>
      </x:c>
      <x:c r="L2929" t="str">
        <x:v>RELATIF LONGGAR</x:v>
      </x:c>
      <x:c r="M2929" t="str">
        <x:v>SEDANG+</x:v>
      </x:c>
      <x:c r="N2929" t="str">
        <x:v>REGULER</x:v>
      </x:c>
      <x:c r="O2929" t="str">
        <x:v>SOSHUM</x:v>
      </x:c>
      <x:c r="P2929" t="str">
        <x:v>PENDIDIKAN</x:v>
      </x:c>
      <x:c r="Q2929" s="18" t="n">
        <x:v>0</x:v>
      </x:c>
      <x:c r="R2929" s="18" t="n">
        <x:v>0</x:v>
      </x:c>
      <x:c r="S2929" s="18" t="n">
        <x:v>520</x:v>
      </x:c>
      <x:c r="T2929" s="18" t="n">
        <x:v>625</x:v>
      </x:c>
      <x:c r="U2929" s="18" t="n">
        <x:v>520</x:v>
      </x:c>
      <x:c r="V2929" s="20" t="n">
        <x:v>4.4</x:v>
      </x:c>
      <x:c r="W2929" s="20" t="n">
        <x:v>14.3</x:v>
      </x:c>
      <x:c r="X2929" s="20" t="n">
        <x:v>3.3</x:v>
      </x:c>
      <x:c r="Y2929" t="str">
        <x:v>Basis arsip 2025/2024</x:v>
      </x:c>
      <x:c r="Z2929" t="str">
        <x:v>https://snpmb.id/utbk-snbt/daya-tampung-snbt</x:v>
      </x:c>
      <x:c r="AA2929" t="str">
        <x:v>Tidak Ada</x:v>
      </x:c>
      <x:c r="AB2929" t="str">
        <x:v>Campus=55; Ratio=0.0; Prodi=45; RelDemand=13.1; Capacity=30.8</x:v>
      </x:c>
    </x:row>
    <x:row r="2930">
      <x:c r="A2930" t="n">
        <x:v>2927</x:v>
      </x:c>
      <x:c r="B2930" t="str">
        <x:v>PTN Akademik</x:v>
      </x:c>
      <x:c r="C2930" t="str">
        <x:v>UNIVERSITAS PENDIDIKAN GANESHA</x:v>
      </x:c>
      <x:c r="D2930" t="str">
        <x:v>ILMU HUKUM</x:v>
      </x:c>
      <x:c r="E2930" t="str">
        <x:v>Sarjana</x:v>
      </x:c>
      <x:c r="F2930" s="18" t="n">
        <x:v>150</x:v>
      </x:c>
      <x:c r="G2930" s="18" t="n">
        <x:v>273</x:v>
      </x:c>
      <x:c r="H2930" s="19" t="n">
        <x:v>1.82</x:v>
      </x:c>
      <x:c r="I2930" s="18" t="n">
        <x:f>ROUND(MIN(Model_Config_v3!$B$6,MAX(Q2930,R2930,S2930*Model_Config_v3!$B$4+T2930*Model_Config_v3!$B$5)),0)</x:f>
        <x:v>613</x:v>
      </x:c>
      <x:c r="J2930" s="18" t="n">
        <x:f>MIN(Model_Config_v3!$B$6,I2930+Model_Config_v3!$B$7)</x:f>
        <x:v>633</x:v>
      </x:c>
      <x:c r="K2930" s="20" t="n">
        <x:v>40.6</x:v>
      </x:c>
      <x:c r="L2930" t="str">
        <x:v>RELATIF LONGGAR</x:v>
      </x:c>
      <x:c r="M2930" t="str">
        <x:v>SEDANG+</x:v>
      </x:c>
      <x:c r="N2930" t="str">
        <x:v>REGULER</x:v>
      </x:c>
      <x:c r="O2930" t="str">
        <x:v>SOSHUM</x:v>
      </x:c>
      <x:c r="P2930" t="str">
        <x:v>HUKUM</x:v>
      </x:c>
      <x:c r="Q2930" s="18" t="n">
        <x:v>0</x:v>
      </x:c>
      <x:c r="R2930" s="18" t="n">
        <x:v>0</x:v>
      </x:c>
      <x:c r="S2930" s="18" t="n">
        <x:v>548.6078526783582</x:v>
      </x:c>
      <x:c r="T2930" s="18" t="n">
        <x:v>641</x:v>
      </x:c>
      <x:c r="U2930" s="18" t="n">
        <x:v>563.6078526783582</x:v>
      </x:c>
      <x:c r="V2930" s="20" t="n">
        <x:v>4.4</x:v>
      </x:c>
      <x:c r="W2930" s="20" t="n">
        <x:v>14.3</x:v>
      </x:c>
      <x:c r="X2930" s="20" t="n">
        <x:v>3.3</x:v>
      </x:c>
      <x:c r="Y2930" t="str">
        <x:v>Basis arsip 2025/2024</x:v>
      </x:c>
      <x:c r="Z2930" t="str">
        <x:v>https://snpmb.id/utbk-snbt/daya-tampung-snbt</x:v>
      </x:c>
      <x:c r="AA2930" t="str">
        <x:v>Tidak Ada</x:v>
      </x:c>
      <x:c r="AB2930" t="str">
        <x:v>Campus=55; Ratio=15.3; Prodi=65; RelDemand=45.1; Capacity=0.0</x:v>
      </x:c>
    </x:row>
    <x:row r="2931">
      <x:c r="A2931" t="n">
        <x:v>2928</x:v>
      </x:c>
      <x:c r="B2931" t="str">
        <x:v>PTN Akademik</x:v>
      </x:c>
      <x:c r="C2931" t="str">
        <x:v>UNIVERSITAS PENDIDIKAN GANESHA</x:v>
      </x:c>
      <x:c r="D2931" t="str">
        <x:v>PENDIDIKAN VOKASIONAL SENI KULINER</x:v>
      </x:c>
      <x:c r="E2931" t="str">
        <x:v>Sarjana</x:v>
      </x:c>
      <x:c r="F2931" s="18" t="n">
        <x:v>46</x:v>
      </x:c>
      <x:c r="G2931" s="18" t="n">
        <x:v>54</x:v>
      </x:c>
      <x:c r="H2931" s="19" t="n">
        <x:v>1.173913043478261</x:v>
      </x:c>
      <x:c r="I2931" s="18" t="n">
        <x:f>ROUND(MIN(Model_Config_v3!$B$6,MAX(Q2931,R2931,S2931*Model_Config_v3!$B$4+T2931*Model_Config_v3!$B$5)),0)</x:f>
        <x:v>604</x:v>
      </x:c>
      <x:c r="J2931" s="18" t="n">
        <x:f>MIN(Model_Config_v3!$B$6,I2931+Model_Config_v3!$B$7)</x:f>
        <x:v>624</x:v>
      </x:c>
      <x:c r="K2931" s="20" t="n">
        <x:v>38.4</x:v>
      </x:c>
      <x:c r="L2931" t="str">
        <x:v>RELATIF LONGGAR</x:v>
      </x:c>
      <x:c r="M2931" t="str">
        <x:v>SEDANG+</x:v>
      </x:c>
      <x:c r="N2931" t="str">
        <x:v>REGULER</x:v>
      </x:c>
      <x:c r="O2931" t="str">
        <x:v>CAMPURAN</x:v>
      </x:c>
      <x:c r="P2931" t="str">
        <x:v>PENDIDIKAN</x:v>
      </x:c>
      <x:c r="Q2931" s="18" t="n">
        <x:v>0</x:v>
      </x:c>
      <x:c r="R2931" s="18" t="n">
        <x:v>0</x:v>
      </x:c>
      <x:c r="S2931" s="18" t="n">
        <x:v>527.6599520955534</x:v>
      </x:c>
      <x:c r="T2931" s="18" t="n">
        <x:v>637</x:v>
      </x:c>
      <x:c r="U2931" s="18" t="n">
        <x:v>527.6599520955534</x:v>
      </x:c>
      <x:c r="V2931" s="20" t="n">
        <x:v>8.8</x:v>
      </x:c>
      <x:c r="W2931" s="20" t="n">
        <x:v>9.9</x:v>
      </x:c>
      <x:c r="X2931" s="20" t="n">
        <x:v>3.3</x:v>
      </x:c>
      <x:c r="Y2931" t="str">
        <x:v>Basis arsip 2025/2024</x:v>
      </x:c>
      <x:c r="Z2931" t="str">
        <x:v>https://snpmb.id/utbk-snbt/daya-tampung-snbt</x:v>
      </x:c>
      <x:c r="AA2931" t="str">
        <x:v>Tidak Ada</x:v>
      </x:c>
      <x:c r="AB2931" t="str">
        <x:v>Campus=55; Ratio=4.1; Prodi=45; RelDemand=29.1; Capacity=61.7</x:v>
      </x:c>
    </x:row>
    <x:row r="2932">
      <x:c r="A2932" t="n">
        <x:v>2929</x:v>
      </x:c>
      <x:c r="B2932" t="str">
        <x:v>PTN Akademik</x:v>
      </x:c>
      <x:c r="C2932" t="str">
        <x:v>UNIVERSITAS PENDIDIKAN GANESHA</x:v>
      </x:c>
      <x:c r="D2932" t="str">
        <x:v>GEOGRAFI</x:v>
      </x:c>
      <x:c r="E2932" t="str">
        <x:v>Sarjana</x:v>
      </x:c>
      <x:c r="F2932" s="18" t="n">
        <x:v>60</x:v>
      </x:c>
      <x:c r="G2932" s="18" t="n">
        <x:v>31</x:v>
      </x:c>
      <x:c r="H2932" s="19" t="n">
        <x:v>0.5166666666666667</x:v>
      </x:c>
      <x:c r="I2932" s="18" t="n">
        <x:f>ROUND(MIN(Model_Config_v3!$B$6,MAX(Q2932,R2932,S2932*Model_Config_v3!$B$4+T2932*Model_Config_v3!$B$5)),0)</x:f>
        <x:v>595</x:v>
      </x:c>
      <x:c r="J2932" s="18" t="n">
        <x:f>MIN(Model_Config_v3!$B$6,I2932+Model_Config_v3!$B$7)</x:f>
        <x:v>615</x:v>
      </x:c>
      <x:c r="K2932" s="20" t="n">
        <x:v>33.5</x:v>
      </x:c>
      <x:c r="L2932" t="str">
        <x:v>RELATIF LONGGAR</x:v>
      </x:c>
      <x:c r="M2932" t="str">
        <x:v>SEDANG</x:v>
      </x:c>
      <x:c r="N2932" t="str">
        <x:v>REGULER</x:v>
      </x:c>
      <x:c r="O2932" t="str">
        <x:v>CAMPURAN</x:v>
      </x:c>
      <x:c r="P2932" t="str">
        <x:v>UMUM</x:v>
      </x:c>
      <x:c r="Q2932" s="18" t="n">
        <x:v>0</x:v>
      </x:c>
      <x:c r="R2932" s="18" t="n">
        <x:v>0</x:v>
      </x:c>
      <x:c r="S2932" s="18" t="n">
        <x:v>520</x:v>
      </x:c>
      <x:c r="T2932" s="18" t="n">
        <x:v>627</x:v>
      </x:c>
      <x:c r="U2932" s="18" t="n">
        <x:v>520</x:v>
      </x:c>
      <x:c r="V2932" s="20" t="n">
        <x:v>8.8</x:v>
      </x:c>
      <x:c r="W2932" s="20" t="n">
        <x:v>9.9</x:v>
      </x:c>
      <x:c r="X2932" s="20" t="n">
        <x:v>3.3</x:v>
      </x:c>
      <x:c r="Y2932" t="str">
        <x:v>Basis arsip 2025/2024</x:v>
      </x:c>
      <x:c r="Z2932" t="str">
        <x:v>https://snpmb.id/utbk-snbt/daya-tampung-snbt</x:v>
      </x:c>
      <x:c r="AA2932" t="str">
        <x:v>Tidak Ada</x:v>
      </x:c>
      <x:c r="AB2932" t="str">
        <x:v>Campus=55; Ratio=0.0; Prodi=40; RelDemand=12.8; Capacity=50.0</x:v>
      </x:c>
    </x:row>
    <x:row r="2933">
      <x:c r="A2933" t="n">
        <x:v>2930</x:v>
      </x:c>
      <x:c r="B2933" t="str">
        <x:v>PTN Akademik</x:v>
      </x:c>
      <x:c r="C2933" t="str">
        <x:v>UNIVERSITAS PENDIDIKAN GANESHA</x:v>
      </x:c>
      <x:c r="D2933" t="str">
        <x:v>FISIKA</x:v>
      </x:c>
      <x:c r="E2933" t="str">
        <x:v>Sarjana</x:v>
      </x:c>
      <x:c r="F2933" s="18" t="n">
        <x:v>30</x:v>
      </x:c>
      <x:c r="G2933" s="18" t="n">
        <x:v>9</x:v>
      </x:c>
      <x:c r="H2933" s="19" t="n">
        <x:v>0.3</x:v>
      </x:c>
      <x:c r="I2933" s="18" t="n">
        <x:f>ROUND(MIN(Model_Config_v3!$B$6,MAX(Q2933,R2933,S2933*Model_Config_v3!$B$4+T2933*Model_Config_v3!$B$5)),0)</x:f>
        <x:v>601</x:v>
      </x:c>
      <x:c r="J2933" s="18" t="n">
        <x:f>MIN(Model_Config_v3!$B$6,I2933+Model_Config_v3!$B$7)</x:f>
        <x:v>621</x:v>
      </x:c>
      <x:c r="K2933" s="20" t="n">
        <x:v>37.5</x:v>
      </x:c>
      <x:c r="L2933" t="str">
        <x:v>RELATIF LONGGAR</x:v>
      </x:c>
      <x:c r="M2933" t="str">
        <x:v>SEDANG+</x:v>
      </x:c>
      <x:c r="N2933" t="str">
        <x:v>REGULER</x:v>
      </x:c>
      <x:c r="O2933" t="str">
        <x:v>SAINTEK</x:v>
      </x:c>
      <x:c r="P2933" t="str">
        <x:v>SAINS DASAR</x:v>
      </x:c>
      <x:c r="Q2933" s="18" t="n">
        <x:v>0</x:v>
      </x:c>
      <x:c r="R2933" s="18" t="n">
        <x:v>0</x:v>
      </x:c>
      <x:c r="S2933" s="18" t="n">
        <x:v>520</x:v>
      </x:c>
      <x:c r="T2933" s="18" t="n">
        <x:v>635</x:v>
      </x:c>
      <x:c r="U2933" s="18" t="n">
        <x:v>520</x:v>
      </x:c>
      <x:c r="V2933" s="20" t="n">
        <x:v>12</x:v>
      </x:c>
      <x:c r="W2933" s="20" t="n">
        <x:v>5</x:v>
      </x:c>
      <x:c r="X2933" s="20" t="n">
        <x:v>3</x:v>
      </x:c>
      <x:c r="Y2933" t="str">
        <x:v>Basis arsip 2025/2024</x:v>
      </x:c>
      <x:c r="Z2933" t="str">
        <x:v>https://snpmb.id/utbk-snbt/daya-tampung-snbt</x:v>
      </x:c>
      <x:c r="AA2933" t="str">
        <x:v>Tidak Ada</x:v>
      </x:c>
      <x:c r="AB2933" t="str">
        <x:v>Campus=55; Ratio=0.0; Prodi=50; RelDemand=7.4; Capacity=75.0</x:v>
      </x:c>
    </x:row>
    <x:row r="2934">
      <x:c r="A2934" t="n">
        <x:v>2931</x:v>
      </x:c>
      <x:c r="B2934" t="str">
        <x:v>PTN Akademik</x:v>
      </x:c>
      <x:c r="C2934" t="str">
        <x:v>UNIVERSITAS PENDIDIKAN GANESHA</x:v>
      </x:c>
      <x:c r="D2934" t="str">
        <x:v>KEPERAWATAN</x:v>
      </x:c>
      <x:c r="E2934" t="str">
        <x:v>Sarjana</x:v>
      </x:c>
      <x:c r="F2934" s="18" t="n">
        <x:v>20</x:v>
      </x:c>
      <x:c r="G2934" s="18" t="n">
        <x:v>235</x:v>
      </x:c>
      <x:c r="H2934" s="19" t="n">
        <x:v>11.75</x:v>
      </x:c>
      <x:c r="I2934" s="18" t="n">
        <x:f>ROUND(MIN(Model_Config_v3!$B$6,MAX(Q2934,R2934,S2934*Model_Config_v3!$B$4+T2934*Model_Config_v3!$B$5)),0)</x:f>
        <x:v>674</x:v>
      </x:c>
      <x:c r="J2934" s="18" t="n">
        <x:f>MIN(Model_Config_v3!$B$6,I2934+Model_Config_v3!$B$7)</x:f>
        <x:v>694</x:v>
      </x:c>
      <x:c r="K2934" s="20" t="n">
        <x:v>64.3</x:v>
      </x:c>
      <x:c r="L2934" t="str">
        <x:v>KETAT</x:v>
      </x:c>
      <x:c r="M2934" t="str">
        <x:v>SEDANG+</x:v>
      </x:c>
      <x:c r="N2934" t="str">
        <x:v>REGULER</x:v>
      </x:c>
      <x:c r="O2934" t="str">
        <x:v>SAINTEK</x:v>
      </x:c>
      <x:c r="P2934" t="str">
        <x:v>KESEHAT/GIZI/KEPERAWATAN</x:v>
      </x:c>
      <x:c r="Q2934" s="18" t="n">
        <x:v>0</x:v>
      </x:c>
      <x:c r="R2934" s="18" t="n">
        <x:v>0</x:v>
      </x:c>
      <x:c r="S2934" s="18" t="n">
        <x:v>637.7041653268531</x:v>
      </x:c>
      <x:c r="T2934" s="18" t="n">
        <x:v>689</x:v>
      </x:c>
      <x:c r="U2934" s="18" t="n">
        <x:v>637.7041653268531</x:v>
      </x:c>
      <x:c r="V2934" s="20" t="n">
        <x:v>12</x:v>
      </x:c>
      <x:c r="W2934" s="20" t="n">
        <x:v>5</x:v>
      </x:c>
      <x:c r="X2934" s="20" t="n">
        <x:v>3</x:v>
      </x:c>
      <x:c r="Y2934" t="str">
        <x:v>Basis arsip 2025/2024</x:v>
      </x:c>
      <x:c r="Z2934" t="str">
        <x:v>https://snpmb.id/utbk-snbt/daya-tampung-snbt</x:v>
      </x:c>
      <x:c r="AA2934" t="str">
        <x:v>Tidak Ada</x:v>
      </x:c>
      <x:c r="AB2934" t="str">
        <x:v>Campus=55; Ratio=63.0; Prodi=55; RelDemand=100.0; Capacity=83.3</x:v>
      </x:c>
    </x:row>
    <x:row r="2935">
      <x:c r="A2935" t="n">
        <x:v>2932</x:v>
      </x:c>
      <x:c r="B2935" t="str">
        <x:v>PTN Akademik</x:v>
      </x:c>
      <x:c r="C2935" t="str">
        <x:v>UNIVERSITAS PENDIDIKAN GANESHA</x:v>
      </x:c>
      <x:c r="D2935" t="str">
        <x:v>KEBIDANAN</x:v>
      </x:c>
      <x:c r="E2935" t="str">
        <x:v>Sarjana</x:v>
      </x:c>
      <x:c r="F2935" s="18" t="n">
        <x:v>20</x:v>
      </x:c>
      <x:c r="G2935" s="18" t="n">
        <x:v>78</x:v>
      </x:c>
      <x:c r="H2935" s="19" t="n">
        <x:v>3.9</x:v>
      </x:c>
      <x:c r="I2935" s="18" t="n">
        <x:f>ROUND(MIN(Model_Config_v3!$B$6,MAX(Q2935,R2935,S2935*Model_Config_v3!$B$4+T2935*Model_Config_v3!$B$5)),0)</x:f>
        <x:v>647</x:v>
      </x:c>
      <x:c r="J2935" s="18" t="n">
        <x:f>MIN(Model_Config_v3!$B$6,I2935+Model_Config_v3!$B$7)</x:f>
        <x:v>667</x:v>
      </x:c>
      <x:c r="K2935" s="20" t="n">
        <x:v>56.9</x:v>
      </x:c>
      <x:c r="L2935" t="str">
        <x:v>KETAT</x:v>
      </x:c>
      <x:c r="M2935" t="str">
        <x:v>SEDANG+</x:v>
      </x:c>
      <x:c r="N2935" t="str">
        <x:v>REGULER</x:v>
      </x:c>
      <x:c r="O2935" t="str">
        <x:v>SAINTEK</x:v>
      </x:c>
      <x:c r="P2935" t="str">
        <x:v>KESEHAT/GIZI/KEPERAWATAN</x:v>
      </x:c>
      <x:c r="Q2935" s="18" t="n">
        <x:v>0</x:v>
      </x:c>
      <x:c r="R2935" s="18" t="n">
        <x:v>0</x:v>
      </x:c>
      <x:c r="S2935" s="18" t="n">
        <x:v>585.0171067729149</x:v>
      </x:c>
      <x:c r="T2935" s="18" t="n">
        <x:v>674</x:v>
      </x:c>
      <x:c r="U2935" s="18" t="n">
        <x:v>585.0171067729149</x:v>
      </x:c>
      <x:c r="V2935" s="20" t="n">
        <x:v>12</x:v>
      </x:c>
      <x:c r="W2935" s="20" t="n">
        <x:v>5</x:v>
      </x:c>
      <x:c r="X2935" s="20" t="n">
        <x:v>3</x:v>
      </x:c>
      <x:c r="Y2935" t="str">
        <x:v>Basis arsip 2025/2024</x:v>
      </x:c>
      <x:c r="Z2935" t="str">
        <x:v>https://snpmb.id/utbk-snbt/daya-tampung-snbt</x:v>
      </x:c>
      <x:c r="AA2935" t="str">
        <x:v>Tidak Ada</x:v>
      </x:c>
      <x:c r="AB2935" t="str">
        <x:v>Campus=55; Ratio=34.8; Prodi=55; RelDemand=96.6; Capacity=83.3</x:v>
      </x:c>
    </x:row>
    <x:row r="2936">
      <x:c r="A2936" t="n">
        <x:v>2933</x:v>
      </x:c>
      <x:c r="B2936" t="str">
        <x:v>PTN Akademik</x:v>
      </x:c>
      <x:c r="C2936" t="str">
        <x:v>UNIVERSITAS PENDIDIKAN GANESHA</x:v>
      </x:c>
      <x:c r="D2936" t="str">
        <x:v>TEKNOLOGI REKAYASA SISTEM ELEKTRONIKA</x:v>
      </x:c>
      <x:c r="E2936" t="str">
        <x:v>Sarjana Terapan</x:v>
      </x:c>
      <x:c r="F2936" s="18" t="n">
        <x:v>20</x:v>
      </x:c>
      <x:c r="G2936" s="18" t="n">
        <x:v>23</x:v>
      </x:c>
      <x:c r="H2936" s="19" t="n">
        <x:v>1.15</x:v>
      </x:c>
      <x:c r="I2936" s="18" t="n">
        <x:f>ROUND(MIN(Model_Config_v3!$B$6,MAX(Q2936,R2936,S2936*Model_Config_v3!$B$4+T2936*Model_Config_v3!$B$5)),0)</x:f>
        <x:v>605</x:v>
      </x:c>
      <x:c r="J2936" s="18" t="n">
        <x:f>MIN(Model_Config_v3!$B$6,I2936+Model_Config_v3!$B$7)</x:f>
        <x:v>625</x:v>
      </x:c>
      <x:c r="K2936" s="20" t="n">
        <x:v>39.3</x:v>
      </x:c>
      <x:c r="L2936" t="str">
        <x:v>RELATIF LONGGAR</x:v>
      </x:c>
      <x:c r="M2936" t="str">
        <x:v>SEDANG</x:v>
      </x:c>
      <x:c r="N2936" t="str">
        <x:v>REGULER</x:v>
      </x:c>
      <x:c r="O2936" t="str">
        <x:v>SAINTEK</x:v>
      </x:c>
      <x:c r="P2936" t="str">
        <x:v>UMUM</x:v>
      </x:c>
      <x:c r="Q2936" s="18" t="n">
        <x:v>0</x:v>
      </x:c>
      <x:c r="R2936" s="18" t="n">
        <x:v>0</x:v>
      </x:c>
      <x:c r="S2936" s="18" t="n">
        <x:v>526.6767624388973</x:v>
      </x:c>
      <x:c r="T2936" s="18" t="n">
        <x:v>639</x:v>
      </x:c>
      <x:c r="U2936" s="18" t="n">
        <x:v>526.6767624388973</x:v>
      </x:c>
      <x:c r="V2936" s="20" t="n">
        <x:v>12</x:v>
      </x:c>
      <x:c r="W2936" s="20" t="n">
        <x:v>5</x:v>
      </x:c>
      <x:c r="X2936" s="20" t="n">
        <x:v>3</x:v>
      </x:c>
      <x:c r="Y2936" t="str">
        <x:v>Basis arsip 2025/2024</x:v>
      </x:c>
      <x:c r="Z2936" t="str">
        <x:v>https://snpmb.id/utbk-snbt/daya-tampung-snbt</x:v>
      </x:c>
      <x:c r="AA2936" t="str">
        <x:v>Tidak Ada</x:v>
      </x:c>
      <x:c r="AB2936" t="str">
        <x:v>Campus=55; Ratio=3.6; Prodi=40; RelDemand=28.5; Capacity=83.3</x:v>
      </x:c>
    </x:row>
    <x:row r="2937">
      <x:c r="A2937" t="n">
        <x:v>2934</x:v>
      </x:c>
      <x:c r="B2937" t="str">
        <x:v>PTN Akademik</x:v>
      </x:c>
      <x:c r="C2937" t="str">
        <x:v>UNIVERSITAS PENDIDIKAN GANESHA</x:v>
      </x:c>
      <x:c r="D2937" t="str">
        <x:v>TEKNOLOGI REKAYASA PENGINDERAAN JAUH</x:v>
      </x:c>
      <x:c r="E2937" t="str">
        <x:v>Sarjana Terapan</x:v>
      </x:c>
      <x:c r="F2937" s="18" t="n">
        <x:v>40</x:v>
      </x:c>
      <x:c r="G2937" s="18" t="n">
        <x:v>22</x:v>
      </x:c>
      <x:c r="H2937" s="19" t="n">
        <x:v>0.55</x:v>
      </x:c>
      <x:c r="I2937" s="18" t="n">
        <x:f>ROUND(MIN(Model_Config_v3!$B$6,MAX(Q2937,R2937,S2937*Model_Config_v3!$B$4+T2937*Model_Config_v3!$B$5)),0)</x:f>
        <x:v>598</x:v>
      </x:c>
      <x:c r="J2937" s="18" t="n">
        <x:f>MIN(Model_Config_v3!$B$6,I2937+Model_Config_v3!$B$7)</x:f>
        <x:v>618</x:v>
      </x:c>
      <x:c r="K2937" s="20" t="n">
        <x:v>35.3</x:v>
      </x:c>
      <x:c r="L2937" t="str">
        <x:v>RELATIF LONGGAR</x:v>
      </x:c>
      <x:c r="M2937" t="str">
        <x:v>SEDANG</x:v>
      </x:c>
      <x:c r="N2937" t="str">
        <x:v>REGULER</x:v>
      </x:c>
      <x:c r="O2937" t="str">
        <x:v>SAINTEK</x:v>
      </x:c>
      <x:c r="P2937" t="str">
        <x:v>UMUM</x:v>
      </x:c>
      <x:c r="Q2937" s="18" t="n">
        <x:v>0</x:v>
      </x:c>
      <x:c r="R2937" s="18" t="n">
        <x:v>0</x:v>
      </x:c>
      <x:c r="S2937" s="18" t="n">
        <x:v>520</x:v>
      </x:c>
      <x:c r="T2937" s="18" t="n">
        <x:v>631</x:v>
      </x:c>
      <x:c r="U2937" s="18" t="n">
        <x:v>520</x:v>
      </x:c>
      <x:c r="V2937" s="20" t="n">
        <x:v>12</x:v>
      </x:c>
      <x:c r="W2937" s="20" t="n">
        <x:v>5</x:v>
      </x:c>
      <x:c r="X2937" s="20" t="n">
        <x:v>3</x:v>
      </x:c>
      <x:c r="Y2937" t="str">
        <x:v>Basis arsip 2025/2024</x:v>
      </x:c>
      <x:c r="Z2937" t="str">
        <x:v>https://snpmb.id/utbk-snbt/daya-tampung-snbt</x:v>
      </x:c>
      <x:c r="AA2937" t="str">
        <x:v>Tidak Ada</x:v>
      </x:c>
      <x:c r="AB2937" t="str">
        <x:v>Campus=55; Ratio=0.0; Prodi=40; RelDemand=13.6; Capacity=66.7</x:v>
      </x:c>
    </x:row>
    <x:row r="2938">
      <x:c r="A2938" t="n">
        <x:v>2935</x:v>
      </x:c>
      <x:c r="B2938" t="str">
        <x:v>PTN Akademik</x:v>
      </x:c>
      <x:c r="C2938" t="str">
        <x:v>UNIVERSITAS PENDIDIKAN GANESHA</x:v>
      </x:c>
      <x:c r="D2938" t="str">
        <x:v>TEKNOLOGI REKAYASA PERANGKAT LUNAK</x:v>
      </x:c>
      <x:c r="E2938" t="str">
        <x:v>Sarjana Terapan</x:v>
      </x:c>
      <x:c r="F2938" s="18" t="n">
        <x:v>25</x:v>
      </x:c>
      <x:c r="G2938" s="18" t="n">
        <x:v>65</x:v>
      </x:c>
      <x:c r="H2938" s="19" t="n">
        <x:v>2.6</x:v>
      </x:c>
      <x:c r="I2938" s="18" t="n">
        <x:f>ROUND(MIN(Model_Config_v3!$B$6,MAX(Q2938,R2938,S2938*Model_Config_v3!$B$4+T2938*Model_Config_v3!$B$5)),0)</x:f>
        <x:v>628</x:v>
      </x:c>
      <x:c r="J2938" s="18" t="n">
        <x:f>MIN(Model_Config_v3!$B$6,I2938+Model_Config_v3!$B$7)</x:f>
        <x:v>648</x:v>
      </x:c>
      <x:c r="K2938" s="20" t="n">
        <x:v>47.7</x:v>
      </x:c>
      <x:c r="L2938" t="str">
        <x:v>MENENGAH</x:v>
      </x:c>
      <x:c r="M2938" t="str">
        <x:v>SEDANG</x:v>
      </x:c>
      <x:c r="N2938" t="str">
        <x:v>REGULER</x:v>
      </x:c>
      <x:c r="O2938" t="str">
        <x:v>SAINTEK</x:v>
      </x:c>
      <x:c r="P2938" t="str">
        <x:v>UMUM</x:v>
      </x:c>
      <x:c r="Q2938" s="18" t="n">
        <x:v>0</x:v>
      </x:c>
      <x:c r="R2938" s="18" t="n">
        <x:v>0</x:v>
      </x:c>
      <x:c r="S2938" s="18" t="n">
        <x:v>565.6470682767899</x:v>
      </x:c>
      <x:c r="T2938" s="18" t="n">
        <x:v>655</x:v>
      </x:c>
      <x:c r="U2938" s="18" t="n">
        <x:v>565.6470682767899</x:v>
      </x:c>
      <x:c r="V2938" s="20" t="n">
        <x:v>12</x:v>
      </x:c>
      <x:c r="W2938" s="20" t="n">
        <x:v>5</x:v>
      </x:c>
      <x:c r="X2938" s="20" t="n">
        <x:v>3</x:v>
      </x:c>
      <x:c r="Y2938" t="str">
        <x:v>Basis arsip 2025/2024</x:v>
      </x:c>
      <x:c r="Z2938" t="str">
        <x:v>https://snpmb.id/utbk-snbt/daya-tampung-snbt</x:v>
      </x:c>
      <x:c r="AA2938" t="str">
        <x:v>Tidak Ada</x:v>
      </x:c>
      <x:c r="AB2938" t="str">
        <x:v>Campus=55; Ratio=24.4; Prodi=40; RelDemand=64.4; Capacity=79.2</x:v>
      </x:c>
    </x:row>
    <x:row r="2939">
      <x:c r="A2939" t="n">
        <x:v>2936</x:v>
      </x:c>
      <x:c r="B2939" t="str">
        <x:v>PTN Akademik</x:v>
      </x:c>
      <x:c r="C2939" t="str">
        <x:v>UNIVERSITAS PENDIDIKAN GANESHA</x:v>
      </x:c>
      <x:c r="D2939" t="str">
        <x:v>KIMIA TERAPAN</x:v>
      </x:c>
      <x:c r="E2939" t="str">
        <x:v>Sarjana Terapan</x:v>
      </x:c>
      <x:c r="F2939" s="18" t="n">
        <x:v>30</x:v>
      </x:c>
      <x:c r="G2939" s="18" t="n">
        <x:v>36</x:v>
      </x:c>
      <x:c r="H2939" s="19" t="n">
        <x:v>1.2</x:v>
      </x:c>
      <x:c r="I2939" s="18" t="n">
        <x:f>ROUND(MIN(Model_Config_v3!$B$6,MAX(Q2939,R2939,S2939*Model_Config_v3!$B$4+T2939*Model_Config_v3!$B$5)),0)</x:f>
        <x:v>608</x:v>
      </x:c>
      <x:c r="J2939" s="18" t="n">
        <x:f>MIN(Model_Config_v3!$B$6,I2939+Model_Config_v3!$B$7)</x:f>
        <x:v>628</x:v>
      </x:c>
      <x:c r="K2939" s="20" t="n">
        <x:v>40.9</x:v>
      </x:c>
      <x:c r="L2939" t="str">
        <x:v>RELATIF LONGGAR</x:v>
      </x:c>
      <x:c r="M2939" t="str">
        <x:v>SEDANG+</x:v>
      </x:c>
      <x:c r="N2939" t="str">
        <x:v>REGULER</x:v>
      </x:c>
      <x:c r="O2939" t="str">
        <x:v>SAINTEK</x:v>
      </x:c>
      <x:c r="P2939" t="str">
        <x:v>SAINS DASAR</x:v>
      </x:c>
      <x:c r="Q2939" s="18" t="n">
        <x:v>0</x:v>
      </x:c>
      <x:c r="R2939" s="18" t="n">
        <x:v>0</x:v>
      </x:c>
      <x:c r="S2939" s="18" t="n">
        <x:v>528.7099370652387</x:v>
      </x:c>
      <x:c r="T2939" s="18" t="n">
        <x:v>642</x:v>
      </x:c>
      <x:c r="U2939" s="18" t="n">
        <x:v>528.7099370652387</x:v>
      </x:c>
      <x:c r="V2939" s="20" t="n">
        <x:v>12</x:v>
      </x:c>
      <x:c r="W2939" s="20" t="n">
        <x:v>5</x:v>
      </x:c>
      <x:c r="X2939" s="20" t="n">
        <x:v>3</x:v>
      </x:c>
      <x:c r="Y2939" t="str">
        <x:v>Basis arsip 2025/2024</x:v>
      </x:c>
      <x:c r="Z2939" t="str">
        <x:v>https://snpmb.id/utbk-snbt/daya-tampung-snbt</x:v>
      </x:c>
      <x:c r="AA2939" t="str">
        <x:v>Tidak Ada</x:v>
      </x:c>
      <x:c r="AB2939" t="str">
        <x:v>Campus=55; Ratio=4.7; Prodi=50; RelDemand=29.7; Capacity=75.0</x:v>
      </x:c>
    </x:row>
    <x:row r="2940">
      <x:c r="A2940" t="n">
        <x:v>2937</x:v>
      </x:c>
      <x:c r="B2940" t="str">
        <x:v>PTN Akademik</x:v>
      </x:c>
      <x:c r="C2940" t="str">
        <x:v>UNIVERSITAS PENDIDIKAN GANESHA</x:v>
      </x:c>
      <x:c r="D2940" t="str">
        <x:v>PENGELOLAAN PERHOTELAN</x:v>
      </x:c>
      <x:c r="E2940" t="str">
        <x:v>Sarjana Terapan</x:v>
      </x:c>
      <x:c r="F2940" s="18" t="n">
        <x:v>30</x:v>
      </x:c>
      <x:c r="G2940" s="18" t="n">
        <x:v>134</x:v>
      </x:c>
      <x:c r="H2940" s="19" t="n">
        <x:v>4.466666666666667</x:v>
      </x:c>
      <x:c r="I2940" s="18" t="n">
        <x:f>ROUND(MIN(Model_Config_v3!$B$6,MAX(Q2940,R2940,S2940*Model_Config_v3!$B$4+T2940*Model_Config_v3!$B$5)),0)</x:f>
        <x:v>646</x:v>
      </x:c>
      <x:c r="J2940" s="18" t="n">
        <x:f>MIN(Model_Config_v3!$B$6,I2940+Model_Config_v3!$B$7)</x:f>
        <x:v>666</x:v>
      </x:c>
      <x:c r="K2940" s="20" t="n">
        <x:v>54.3</x:v>
      </x:c>
      <x:c r="L2940" t="str">
        <x:v>MENENGAH</x:v>
      </x:c>
      <x:c r="M2940" t="str">
        <x:v>SEDANG</x:v>
      </x:c>
      <x:c r="N2940" t="str">
        <x:v>REGULER</x:v>
      </x:c>
      <x:c r="O2940" t="str">
        <x:v>CAMPURAN</x:v>
      </x:c>
      <x:c r="P2940" t="str">
        <x:v>UMUM</x:v>
      </x:c>
      <x:c r="Q2940" s="18" t="n">
        <x:v>0</x:v>
      </x:c>
      <x:c r="R2940" s="18" t="n">
        <x:v>0</x:v>
      </x:c>
      <x:c r="S2940" s="18" t="n">
        <x:v>591.498189800966</x:v>
      </x:c>
      <x:c r="T2940" s="18" t="n">
        <x:v>669</x:v>
      </x:c>
      <x:c r="U2940" s="18" t="n">
        <x:v>591.498189800966</x:v>
      </x:c>
      <x:c r="V2940" s="20" t="n">
        <x:v>8.8</x:v>
      </x:c>
      <x:c r="W2940" s="20" t="n">
        <x:v>9.9</x:v>
      </x:c>
      <x:c r="X2940" s="20" t="n">
        <x:v>3.3</x:v>
      </x:c>
      <x:c r="Y2940" t="str">
        <x:v>Basis arsip 2025/2024</x:v>
      </x:c>
      <x:c r="Z2940" t="str">
        <x:v>https://snpmb.id/utbk-snbt/daya-tampung-snbt</x:v>
      </x:c>
      <x:c r="AA2940" t="str">
        <x:v>Tidak Ada</x:v>
      </x:c>
      <x:c r="AB2940" t="str">
        <x:v>Campus=55; Ratio=38.3; Prodi=40; RelDemand=100.0; Capacity=75.0</x:v>
      </x:c>
    </x:row>
    <x:row r="2941">
      <x:c r="A2941" t="n">
        <x:v>2938</x:v>
      </x:c>
      <x:c r="B2941" t="str">
        <x:v>PTN Akademik</x:v>
      </x:c>
      <x:c r="C2941" t="str">
        <x:v>UNIVERSITAS PENDIDIKAN GANESHA</x:v>
      </x:c>
      <x:c r="D2941" t="str">
        <x:v>BAHASA INGGRIS UNTUK KOMUNIKASI BISNIS DAN PROFESIONAL</x:v>
      </x:c>
      <x:c r="E2941" t="str">
        <x:v>Sarjana Terapan</x:v>
      </x:c>
      <x:c r="F2941" s="18" t="n">
        <x:v>90</x:v>
      </x:c>
      <x:c r="G2941" s="18" t="n">
        <x:v>138</x:v>
      </x:c>
      <x:c r="H2941" s="19" t="n">
        <x:v>1.5333333333333334</x:v>
      </x:c>
      <x:c r="I2941" s="18" t="n">
        <x:f>ROUND(MIN(Model_Config_v3!$B$6,MAX(Q2941,R2941,S2941*Model_Config_v3!$B$4+T2941*Model_Config_v3!$B$5)),0)</x:f>
        <x:v>612</x:v>
      </x:c>
      <x:c r="J2941" s="18" t="n">
        <x:f>MIN(Model_Config_v3!$B$6,I2941+Model_Config_v3!$B$7)</x:f>
        <x:v>632</x:v>
      </x:c>
      <x:c r="K2941" s="20" t="n">
        <x:v>41.3</x:v>
      </x:c>
      <x:c r="L2941" t="str">
        <x:v>RELATIF LONGGAR</x:v>
      </x:c>
      <x:c r="M2941" t="str">
        <x:v>SEDANG+</x:v>
      </x:c>
      <x:c r="N2941" t="str">
        <x:v>REGULER</x:v>
      </x:c>
      <x:c r="O2941" t="str">
        <x:v>SOSHUM</x:v>
      </x:c>
      <x:c r="P2941" t="str">
        <x:v>BISNIS/EKONOMI/AKUNTANSI</x:v>
      </x:c>
      <x:c r="Q2941" s="18" t="n">
        <x:v>0</x:v>
      </x:c>
      <x:c r="R2941" s="18" t="n">
        <x:v>0</x:v>
      </x:c>
      <x:c r="S2941" s="18" t="n">
        <x:v>540.4200234658102</x:v>
      </x:c>
      <x:c r="T2941" s="18" t="n">
        <x:v>643</x:v>
      </x:c>
      <x:c r="U2941" s="18" t="n">
        <x:v>555.4200234658102</x:v>
      </x:c>
      <x:c r="V2941" s="20" t="n">
        <x:v>4.4</x:v>
      </x:c>
      <x:c r="W2941" s="20" t="n">
        <x:v>14.3</x:v>
      </x:c>
      <x:c r="X2941" s="20" t="n">
        <x:v>3.3</x:v>
      </x:c>
      <x:c r="Y2941" t="str">
        <x:v>Basis arsip 2025/2024</x:v>
      </x:c>
      <x:c r="Z2941" t="str">
        <x:v>https://snpmb.id/utbk-snbt/daya-tampung-snbt</x:v>
      </x:c>
      <x:c r="AA2941" t="str">
        <x:v>Tidak Ada</x:v>
      </x:c>
      <x:c r="AB2941" t="str">
        <x:v>Campus=55; Ratio=10.9; Prodi=65; RelDemand=38.0; Capacity=25.0</x:v>
      </x:c>
    </x:row>
    <x:row r="2942">
      <x:c r="A2942" t="n">
        <x:v>2939</x:v>
      </x:c>
      <x:c r="B2942" t="str">
        <x:v>PTN Akademik</x:v>
      </x:c>
      <x:c r="C2942" t="str">
        <x:v>UNIVERSITAS PENDIDIKAN GANESHA</x:v>
      </x:c>
      <x:c r="D2942" t="str">
        <x:v>AKUNTANSI SEKTOR PUBLIK</x:v>
      </x:c>
      <x:c r="E2942" t="str">
        <x:v>Sarjana Terapan</x:v>
      </x:c>
      <x:c r="F2942" s="18" t="n">
        <x:v>25</x:v>
      </x:c>
      <x:c r="G2942" s="18" t="n">
        <x:v>156</x:v>
      </x:c>
      <x:c r="H2942" s="19" t="n">
        <x:v>6.24</x:v>
      </x:c>
      <x:c r="I2942" s="18" t="n">
        <x:f>ROUND(MIN(Model_Config_v3!$B$6,MAX(Q2942,R2942,S2942*Model_Config_v3!$B$4+T2942*Model_Config_v3!$B$5)),0)</x:f>
        <x:v>661</x:v>
      </x:c>
      <x:c r="J2942" s="18" t="n">
        <x:f>MIN(Model_Config_v3!$B$6,I2942+Model_Config_v3!$B$7)</x:f>
        <x:v>681</x:v>
      </x:c>
      <x:c r="K2942" s="20" t="n">
        <x:v>61.9</x:v>
      </x:c>
      <x:c r="L2942" t="str">
        <x:v>KETAT</x:v>
      </x:c>
      <x:c r="M2942" t="str">
        <x:v>SEDANG+</x:v>
      </x:c>
      <x:c r="N2942" t="str">
        <x:v>REGULER</x:v>
      </x:c>
      <x:c r="O2942" t="str">
        <x:v>SOSHUM</x:v>
      </x:c>
      <x:c r="P2942" t="str">
        <x:v>BISNIS/EKONOMI/AKUNTANSI</x:v>
      </x:c>
      <x:c r="Q2942" s="18" t="n">
        <x:v>0</x:v>
      </x:c>
      <x:c r="R2942" s="18" t="n">
        <x:v>0</x:v>
      </x:c>
      <x:c r="S2942" s="18" t="n">
        <x:v>607.4703048650666</x:v>
      </x:c>
      <x:c r="T2942" s="18" t="n">
        <x:v>684</x:v>
      </x:c>
      <x:c r="U2942" s="18" t="n">
        <x:v>607.4703048650666</x:v>
      </x:c>
      <x:c r="V2942" s="20" t="n">
        <x:v>4.4</x:v>
      </x:c>
      <x:c r="W2942" s="20" t="n">
        <x:v>14.3</x:v>
      </x:c>
      <x:c r="X2942" s="20" t="n">
        <x:v>3.3</x:v>
      </x:c>
      <x:c r="Y2942" t="str">
        <x:v>Basis arsip 2025/2024</x:v>
      </x:c>
      <x:c r="Z2942" t="str">
        <x:v>https://snpmb.id/utbk-snbt/daya-tampung-snbt</x:v>
      </x:c>
      <x:c r="AA2942" t="str">
        <x:v>Tidak Ada</x:v>
      </x:c>
      <x:c r="AB2942" t="str">
        <x:v>Campus=55; Ratio=46.8; Prodi=65; RelDemand=100.0; Capacity=79.2</x:v>
      </x:c>
    </x:row>
    <x:row r="2943">
      <x:c r="A2943" t="n">
        <x:v>2940</x:v>
      </x:c>
      <x:c r="B2943" t="str">
        <x:v>PTN Akademik</x:v>
      </x:c>
      <x:c r="C2943" t="str">
        <x:v>UNIVERSITAS PENDIDIKAN GANESHA</x:v>
      </x:c>
      <x:c r="D2943" t="str">
        <x:v>BIOTEKNOLOGI PERIKANAN</x:v>
      </x:c>
      <x:c r="E2943" t="str">
        <x:v>Sarjana Terapan</x:v>
      </x:c>
      <x:c r="F2943" s="18" t="n">
        <x:v>30</x:v>
      </x:c>
      <x:c r="G2943" s="18" t="n">
        <x:v>32</x:v>
      </x:c>
      <x:c r="H2943" s="19" t="n">
        <x:v>1.0666666666666667</x:v>
      </x:c>
      <x:c r="I2943" s="18" t="n">
        <x:f>ROUND(MIN(Model_Config_v3!$B$6,MAX(Q2943,R2943,S2943*Model_Config_v3!$B$4+T2943*Model_Config_v3!$B$5)),0)</x:f>
        <x:v>602</x:v>
      </x:c>
      <x:c r="J2943" s="18" t="n">
        <x:f>MIN(Model_Config_v3!$B$6,I2943+Model_Config_v3!$B$7)</x:f>
        <x:v>622</x:v>
      </x:c>
      <x:c r="K2943" s="20" t="n">
        <x:v>37.8</x:v>
      </x:c>
      <x:c r="L2943" t="str">
        <x:v>RELATIF LONGGAR</x:v>
      </x:c>
      <x:c r="M2943" t="str">
        <x:v>SEDANG</x:v>
      </x:c>
      <x:c r="N2943" t="str">
        <x:v>REGULER</x:v>
      </x:c>
      <x:c r="O2943" t="str">
        <x:v>SAINTEK</x:v>
      </x:c>
      <x:c r="P2943" t="str">
        <x:v>UMUM</x:v>
      </x:c>
      <x:c r="Q2943" s="18" t="n">
        <x:v>0</x:v>
      </x:c>
      <x:c r="R2943" s="18" t="n">
        <x:v>0</x:v>
      </x:c>
      <x:c r="S2943" s="18" t="n">
        <x:v>523.0831595960268</x:v>
      </x:c>
      <x:c r="T2943" s="18" t="n">
        <x:v>636</x:v>
      </x:c>
      <x:c r="U2943" s="18" t="n">
        <x:v>523.0831595960268</x:v>
      </x:c>
      <x:c r="V2943" s="20" t="n">
        <x:v>12</x:v>
      </x:c>
      <x:c r="W2943" s="20" t="n">
        <x:v>5</x:v>
      </x:c>
      <x:c r="X2943" s="20" t="n">
        <x:v>3</x:v>
      </x:c>
      <x:c r="Y2943" t="str">
        <x:v>Basis arsip 2025/2024</x:v>
      </x:c>
      <x:c r="Z2943" t="str">
        <x:v>https://snpmb.id/utbk-snbt/daya-tampung-snbt</x:v>
      </x:c>
      <x:c r="AA2943" t="str">
        <x:v>Tidak Ada</x:v>
      </x:c>
      <x:c r="AB2943" t="str">
        <x:v>Campus=55; Ratio=1.6; Prodi=40; RelDemand=26.4; Capacity=75.0</x:v>
      </x:c>
    </x:row>
    <x:row r="2944">
      <x:c r="A2944" t="n">
        <x:v>2941</x:v>
      </x:c>
      <x:c r="B2944" t="str">
        <x:v>PTN Akademik</x:v>
      </x:c>
      <x:c r="C2944" t="str">
        <x:v>UNIVERSITAS PENDIDIKAN GANESHA</x:v>
      </x:c>
      <x:c r="D2944" t="str">
        <x:v>KEBIDANAN</x:v>
      </x:c>
      <x:c r="E2944" t="str">
        <x:v>Diploma Tiga</x:v>
      </x:c>
      <x:c r="F2944" s="18" t="n">
        <x:v>30</x:v>
      </x:c>
      <x:c r="G2944" s="18" t="n">
        <x:v>242</x:v>
      </x:c>
      <x:c r="H2944" s="19" t="n">
        <x:v>8.066666666666666</x:v>
      </x:c>
      <x:c r="I2944" s="18" t="n">
        <x:f>ROUND(MIN(Model_Config_v3!$B$6,MAX(Q2944,R2944,S2944*Model_Config_v3!$B$4+T2944*Model_Config_v3!$B$5)),0)</x:f>
        <x:v>663</x:v>
      </x:c>
      <x:c r="J2944" s="18" t="n">
        <x:f>MIN(Model_Config_v3!$B$6,I2944+Model_Config_v3!$B$7)</x:f>
        <x:v>683</x:v>
      </x:c>
      <x:c r="K2944" s="20" t="n">
        <x:v>61.1</x:v>
      </x:c>
      <x:c r="L2944" t="str">
        <x:v>KETAT</x:v>
      </x:c>
      <x:c r="M2944" t="str">
        <x:v>SEDANG+</x:v>
      </x:c>
      <x:c r="N2944" t="str">
        <x:v>REGULER</x:v>
      </x:c>
      <x:c r="O2944" t="str">
        <x:v>SAINTEK</x:v>
      </x:c>
      <x:c r="P2944" t="str">
        <x:v>KESEHAT/GIZI/KEPERAWATAN</x:v>
      </x:c>
      <x:c r="Q2944" s="18" t="n">
        <x:v>0</x:v>
      </x:c>
      <x:c r="R2944" s="18" t="n">
        <x:v>0</x:v>
      </x:c>
      <x:c r="S2944" s="18" t="n">
        <x:v>619.7363522386845</x:v>
      </x:c>
      <x:c r="T2944" s="18" t="n">
        <x:v>682</x:v>
      </x:c>
      <x:c r="U2944" s="18" t="n">
        <x:v>619.7363522386845</x:v>
      </x:c>
      <x:c r="V2944" s="20" t="n">
        <x:v>12</x:v>
      </x:c>
      <x:c r="W2944" s="20" t="n">
        <x:v>5</x:v>
      </x:c>
      <x:c r="X2944" s="20" t="n">
        <x:v>3</x:v>
      </x:c>
      <x:c r="Y2944" t="str">
        <x:v>Basis arsip 2025/2024</x:v>
      </x:c>
      <x:c r="Z2944" t="str">
        <x:v>https://snpmb.id/utbk-snbt/daya-tampung-snbt</x:v>
      </x:c>
      <x:c r="AA2944" t="str">
        <x:v>Tidak Ada</x:v>
      </x:c>
      <x:c r="AB2944" t="str">
        <x:v>Campus=55; Ratio=53.4; Prodi=55; RelDemand=100.0; Capacity=75.0</x:v>
      </x:c>
    </x:row>
    <x:row r="2945">
      <x:c r="A2945" t="n">
        <x:v>2942</x:v>
      </x:c>
      <x:c r="B2945" t="str">
        <x:v>PTN Akademik</x:v>
      </x:c>
      <x:c r="C2945" t="str">
        <x:v>UNIVERSITAS PENDIDIKAN GANESHA</x:v>
      </x:c>
      <x:c r="D2945" t="str">
        <x:v>DESAIN KOMUNIKASI VISUAL</x:v>
      </x:c>
      <x:c r="E2945" t="str">
        <x:v>Diploma Tiga</x:v>
      </x:c>
      <x:c r="F2945" s="18" t="n">
        <x:v>45</x:v>
      </x:c>
      <x:c r="G2945" s="18" t="n">
        <x:v>145</x:v>
      </x:c>
      <x:c r="H2945" s="19" t="n">
        <x:v>3.2222222222222223</x:v>
      </x:c>
      <x:c r="I2945" s="18" t="n">
        <x:f>ROUND(MIN(Model_Config_v3!$B$6,MAX(Q2945,R2945,S2945*Model_Config_v3!$B$4+T2945*Model_Config_v3!$B$5)),0)</x:f>
        <x:v>633</x:v>
      </x:c>
      <x:c r="J2945" s="18" t="n">
        <x:f>MIN(Model_Config_v3!$B$6,I2945+Model_Config_v3!$B$7)</x:f>
        <x:v>653</x:v>
      </x:c>
      <x:c r="K2945" s="20" t="n">
        <x:v>49</x:v>
      </x:c>
      <x:c r="L2945" t="str">
        <x:v>MENENGAH</x:v>
      </x:c>
      <x:c r="M2945" t="str">
        <x:v>SEDANG</x:v>
      </x:c>
      <x:c r="N2945" t="str">
        <x:v>REGULER</x:v>
      </x:c>
      <x:c r="O2945" t="str">
        <x:v>SOSHUM</x:v>
      </x:c>
      <x:c r="P2945" t="str">
        <x:v>UMUM</x:v>
      </x:c>
      <x:c r="Q2945" s="18" t="n">
        <x:v>0</x:v>
      </x:c>
      <x:c r="R2945" s="18" t="n">
        <x:v>0</x:v>
      </x:c>
      <x:c r="S2945" s="18" t="n">
        <x:v>575.8971037305594</x:v>
      </x:c>
      <x:c r="T2945" s="18" t="n">
        <x:v>658</x:v>
      </x:c>
      <x:c r="U2945" s="18" t="n">
        <x:v>575.8971037305594</x:v>
      </x:c>
      <x:c r="V2945" s="20" t="n">
        <x:v>4.4</x:v>
      </x:c>
      <x:c r="W2945" s="20" t="n">
        <x:v>14.3</x:v>
      </x:c>
      <x:c r="X2945" s="20" t="n">
        <x:v>3.3</x:v>
      </x:c>
      <x:c r="Y2945" t="str">
        <x:v>Basis arsip 2025/2024</x:v>
      </x:c>
      <x:c r="Z2945" t="str">
        <x:v>https://snpmb.id/utbk-snbt/daya-tampung-snbt</x:v>
      </x:c>
      <x:c r="AA2945" t="str">
        <x:v>Tidak Ada</x:v>
      </x:c>
      <x:c r="AB2945" t="str">
        <x:v>Campus=55; Ratio=29.9; Prodi=40; RelDemand=79.8; Capacity=62.5</x:v>
      </x:c>
    </x:row>
    <x:row r="2946">
      <x:c r="A2946" t="n">
        <x:v>2943</x:v>
      </x:c>
      <x:c r="B2946" t="str">
        <x:v>PTN Akademik</x:v>
      </x:c>
      <x:c r="C2946" t="str">
        <x:v>UNIVERSITAS PENDIDIKAN GANESHA</x:v>
      </x:c>
      <x:c r="D2946" t="str">
        <x:v>PERPUSTAKAAN</x:v>
      </x:c>
      <x:c r="E2946" t="str">
        <x:v>Diploma Tiga</x:v>
      </x:c>
      <x:c r="F2946" s="18" t="n">
        <x:v>40</x:v>
      </x:c>
      <x:c r="G2946" s="18" t="n">
        <x:v>102</x:v>
      </x:c>
      <x:c r="H2946" s="19" t="n">
        <x:v>2.55</x:v>
      </x:c>
      <x:c r="I2946" s="18" t="n">
        <x:f>ROUND(MIN(Model_Config_v3!$B$6,MAX(Q2946,R2946,S2946*Model_Config_v3!$B$4+T2946*Model_Config_v3!$B$5)),0)</x:f>
        <x:v>626</x:v>
      </x:c>
      <x:c r="J2946" s="18" t="n">
        <x:f>MIN(Model_Config_v3!$B$6,I2946+Model_Config_v3!$B$7)</x:f>
        <x:v>646</x:v>
      </x:c>
      <x:c r="K2946" s="20" t="n">
        <x:v>46.2</x:v>
      </x:c>
      <x:c r="L2946" t="str">
        <x:v>MENENGAH</x:v>
      </x:c>
      <x:c r="M2946" t="str">
        <x:v>SEDANG</x:v>
      </x:c>
      <x:c r="N2946" t="str">
        <x:v>REGULER</x:v>
      </x:c>
      <x:c r="O2946" t="str">
        <x:v>CAMPURAN</x:v>
      </x:c>
      <x:c r="P2946" t="str">
        <x:v>UMUM</x:v>
      </x:c>
      <x:c r="Q2946" s="18" t="n">
        <x:v>0</x:v>
      </x:c>
      <x:c r="R2946" s="18" t="n">
        <x:v>0</x:v>
      </x:c>
      <x:c r="S2946" s="18" t="n">
        <x:v>564.719419847735</x:v>
      </x:c>
      <x:c r="T2946" s="18" t="n">
        <x:v>652</x:v>
      </x:c>
      <x:c r="U2946" s="18" t="n">
        <x:v>564.719419847735</x:v>
      </x:c>
      <x:c r="V2946" s="20" t="n">
        <x:v>8.8</x:v>
      </x:c>
      <x:c r="W2946" s="20" t="n">
        <x:v>9.9</x:v>
      </x:c>
      <x:c r="X2946" s="20" t="n">
        <x:v>3.3</x:v>
      </x:c>
      <x:c r="Y2946" t="str">
        <x:v>Basis arsip 2025/2024</x:v>
      </x:c>
      <x:c r="Z2946" t="str">
        <x:v>https://snpmb.id/utbk-snbt/daya-tampung-snbt</x:v>
      </x:c>
      <x:c r="AA2946" t="str">
        <x:v>Tidak Ada</x:v>
      </x:c>
      <x:c r="AB2946" t="str">
        <x:v>Campus=55; Ratio=23.9; Prodi=40; RelDemand=63.2; Capacity=66.7</x:v>
      </x:c>
    </x:row>
    <x:row r="2947">
      <x:c r="A2947" t="n">
        <x:v>2944</x:v>
      </x:c>
      <x:c r="B2947" t="str">
        <x:v>PTN Akademik</x:v>
      </x:c>
      <x:c r="C2947" t="str">
        <x:v>ISI DENPASAR</x:v>
      </x:c>
      <x:c r="D2947" t="str">
        <x:v>TARI</x:v>
      </x:c>
      <x:c r="E2947" t="str">
        <x:v>Sarjana</x:v>
      </x:c>
      <x:c r="F2947" s="18" t="n">
        <x:v>27</x:v>
      </x:c>
      <x:c r="G2947" s="18" t="n">
        <x:v>19</x:v>
      </x:c>
      <x:c r="H2947" s="19" t="n">
        <x:v>0.7037037037037037</x:v>
      </x:c>
      <x:c r="I2947" s="18" t="n">
        <x:f>ROUND(MIN(Model_Config_v3!$B$6,MAX(Q2947,R2947,S2947*Model_Config_v3!$B$4+T2947*Model_Config_v3!$B$5)),0)</x:f>
        <x:v>603</x:v>
      </x:c>
      <x:c r="J2947" s="18" t="n">
        <x:f>MIN(Model_Config_v3!$B$6,I2947+Model_Config_v3!$B$7)</x:f>
        <x:v>623</x:v>
      </x:c>
      <x:c r="K2947" s="20" t="n">
        <x:v>39.2</x:v>
      </x:c>
      <x:c r="L2947" t="str">
        <x:v>RELATIF LONGGAR</x:v>
      </x:c>
      <x:c r="M2947" t="str">
        <x:v>PORTOFOLIO</x:v>
      </x:c>
      <x:c r="N2947" t="str">
        <x:v>REGULER</x:v>
      </x:c>
      <x:c r="O2947" t="str">
        <x:v>SENI/OLAHRAGA</x:v>
      </x:c>
      <x:c r="P2947" t="str">
        <x:v>SENI/OLAHRAGA</x:v>
      </x:c>
      <x:c r="Q2947" s="18" t="n">
        <x:v>0</x:v>
      </x:c>
      <x:c r="R2947" s="18" t="n">
        <x:v>0</x:v>
      </x:c>
      <x:c r="S2947" s="18" t="n">
        <x:v>520</x:v>
      </x:c>
      <x:c r="T2947" s="18" t="n">
        <x:v>638</x:v>
      </x:c>
      <x:c r="U2947" s="18" t="n">
        <x:v>520</x:v>
      </x:c>
      <x:c r="V2947" s="20" t="n">
        <x:v>4.4</x:v>
      </x:c>
      <x:c r="W2947" s="20" t="n">
        <x:v>9.9</x:v>
      </x:c>
      <x:c r="X2947" s="20" t="n">
        <x:v>7.7</x:v>
      </x:c>
      <x:c r="Y2947" t="str">
        <x:v>Basis arsip 2025/2024</x:v>
      </x:c>
      <x:c r="Z2947" t="str">
        <x:v>https://snpmb.id/utbk-snbt/daya-tampung-snbt</x:v>
      </x:c>
      <x:c r="AA2947" t="str">
        <x:v>Tari</x:v>
      </x:c>
      <x:c r="AB2947" t="str">
        <x:v>Campus=55; Ratio=0.0; Prodi=45; RelDemand=31.7; Capacity=77.5</x:v>
      </x:c>
    </x:row>
    <x:row r="2948">
      <x:c r="A2948" t="n">
        <x:v>2945</x:v>
      </x:c>
      <x:c r="B2948" t="str">
        <x:v>PTN Akademik</x:v>
      </x:c>
      <x:c r="C2948" t="str">
        <x:v>ISI DENPASAR</x:v>
      </x:c>
      <x:c r="D2948" t="str">
        <x:v>SENI KARAWITAN</x:v>
      </x:c>
      <x:c r="E2948" t="str">
        <x:v>Sarjana</x:v>
      </x:c>
      <x:c r="F2948" s="18" t="n">
        <x:v>28</x:v>
      </x:c>
      <x:c r="G2948" s="18" t="n">
        <x:v>15</x:v>
      </x:c>
      <x:c r="H2948" s="19" t="n">
        <x:v>0.5357142857142857</x:v>
      </x:c>
      <x:c r="I2948" s="18" t="n">
        <x:f>ROUND(MIN(Model_Config_v3!$B$6,MAX(Q2948,R2948,S2948*Model_Config_v3!$B$4+T2948*Model_Config_v3!$B$5)),0)</x:f>
        <x:v>602</x:v>
      </x:c>
      <x:c r="J2948" s="18" t="n">
        <x:f>MIN(Model_Config_v3!$B$6,I2948+Model_Config_v3!$B$7)</x:f>
        <x:v>622</x:v>
      </x:c>
      <x:c r="K2948" s="20" t="n">
        <x:v>38.3</x:v>
      </x:c>
      <x:c r="L2948" t="str">
        <x:v>RELATIF LONGGAR</x:v>
      </x:c>
      <x:c r="M2948" t="str">
        <x:v>PORTOFOLIO</x:v>
      </x:c>
      <x:c r="N2948" t="str">
        <x:v>REGULER</x:v>
      </x:c>
      <x:c r="O2948" t="str">
        <x:v>SENI/OLAHRAGA</x:v>
      </x:c>
      <x:c r="P2948" t="str">
        <x:v>SENI/OLAHRAGA</x:v>
      </x:c>
      <x:c r="Q2948" s="18" t="n">
        <x:v>0</x:v>
      </x:c>
      <x:c r="R2948" s="18" t="n">
        <x:v>0</x:v>
      </x:c>
      <x:c r="S2948" s="18" t="n">
        <x:v>520</x:v>
      </x:c>
      <x:c r="T2948" s="18" t="n">
        <x:v>637</x:v>
      </x:c>
      <x:c r="U2948" s="18" t="n">
        <x:v>520</x:v>
      </x:c>
      <x:c r="V2948" s="20" t="n">
        <x:v>4.4</x:v>
      </x:c>
      <x:c r="W2948" s="20" t="n">
        <x:v>9.9</x:v>
      </x:c>
      <x:c r="X2948" s="20" t="n">
        <x:v>7.7</x:v>
      </x:c>
      <x:c r="Y2948" t="str">
        <x:v>Basis arsip 2025/2024</x:v>
      </x:c>
      <x:c r="Z2948" t="str">
        <x:v>https://snpmb.id/utbk-snbt/daya-tampung-snbt</x:v>
      </x:c>
      <x:c r="AA2948" t="str">
        <x:v>Seni Karawitan</x:v>
      </x:c>
      <x:c r="AB2948" t="str">
        <x:v>Campus=55; Ratio=0.0; Prodi=45; RelDemand=24.1; Capacity=76.7</x:v>
      </x:c>
    </x:row>
    <x:row r="2949">
      <x:c r="A2949" t="n">
        <x:v>2946</x:v>
      </x:c>
      <x:c r="B2949" t="str">
        <x:v>PTN Akademik</x:v>
      </x:c>
      <x:c r="C2949" t="str">
        <x:v>ISI DENPASAR</x:v>
      </x:c>
      <x:c r="D2949" t="str">
        <x:v>PENDIDIKAN SENI PERTUNJUKAN</x:v>
      </x:c>
      <x:c r="E2949" t="str">
        <x:v>Sarjana</x:v>
      </x:c>
      <x:c r="F2949" s="18" t="n">
        <x:v>45</x:v>
      </x:c>
      <x:c r="G2949" s="18" t="n">
        <x:v>28</x:v>
      </x:c>
      <x:c r="H2949" s="19" t="n">
        <x:v>0.6222222222222222</x:v>
      </x:c>
      <x:c r="I2949" s="18" t="n">
        <x:f>ROUND(MIN(Model_Config_v3!$B$6,MAX(Q2949,R2949,S2949*Model_Config_v3!$B$4+T2949*Model_Config_v3!$B$5)),0)</x:f>
        <x:v>601</x:v>
      </x:c>
      <x:c r="J2949" s="18" t="n">
        <x:f>MIN(Model_Config_v3!$B$6,I2949+Model_Config_v3!$B$7)</x:f>
        <x:v>621</x:v>
      </x:c>
      <x:c r="K2949" s="20" t="n">
        <x:v>37.3</x:v>
      </x:c>
      <x:c r="L2949" t="str">
        <x:v>RELATIF LONGGAR</x:v>
      </x:c>
      <x:c r="M2949" t="str">
        <x:v>PORTOFOLIO</x:v>
      </x:c>
      <x:c r="N2949" t="str">
        <x:v>REGULER</x:v>
      </x:c>
      <x:c r="O2949" t="str">
        <x:v>SENI/OLAHRAGA</x:v>
      </x:c>
      <x:c r="P2949" t="str">
        <x:v>SENI/OLAHRAGA</x:v>
      </x:c>
      <x:c r="Q2949" s="18" t="n">
        <x:v>0</x:v>
      </x:c>
      <x:c r="R2949" s="18" t="n">
        <x:v>0</x:v>
      </x:c>
      <x:c r="S2949" s="18" t="n">
        <x:v>520</x:v>
      </x:c>
      <x:c r="T2949" s="18" t="n">
        <x:v>635</x:v>
      </x:c>
      <x:c r="U2949" s="18" t="n">
        <x:v>520</x:v>
      </x:c>
      <x:c r="V2949" s="20" t="n">
        <x:v>4.4</x:v>
      </x:c>
      <x:c r="W2949" s="20" t="n">
        <x:v>9.9</x:v>
      </x:c>
      <x:c r="X2949" s="20" t="n">
        <x:v>7.7</x:v>
      </x:c>
      <x:c r="Y2949" t="str">
        <x:v>Basis arsip 2025/2024</x:v>
      </x:c>
      <x:c r="Z2949" t="str">
        <x:v>https://snpmb.id/utbk-snbt/daya-tampung-snbt</x:v>
      </x:c>
      <x:c r="AA2949" t="str">
        <x:v>Sendratasik</x:v>
      </x:c>
      <x:c r="AB2949" t="str">
        <x:v>Campus=55; Ratio=0.0; Prodi=45; RelDemand=28.0; Capacity=62.5</x:v>
      </x:c>
    </x:row>
    <x:row r="2950">
      <x:c r="A2950" t="n">
        <x:v>2947</x:v>
      </x:c>
      <x:c r="B2950" t="str">
        <x:v>PTN Akademik</x:v>
      </x:c>
      <x:c r="C2950" t="str">
        <x:v>ISI DENPASAR</x:v>
      </x:c>
      <x:c r="D2950" t="str">
        <x:v>MUSIK</x:v>
      </x:c>
      <x:c r="E2950" t="str">
        <x:v>Sarjana</x:v>
      </x:c>
      <x:c r="F2950" s="18" t="n">
        <x:v>32</x:v>
      </x:c>
      <x:c r="G2950" s="18" t="n">
        <x:v>38</x:v>
      </x:c>
      <x:c r="H2950" s="19" t="n">
        <x:v>1.1875</x:v>
      </x:c>
      <x:c r="I2950" s="18" t="n">
        <x:f>ROUND(MIN(Model_Config_v3!$B$6,MAX(Q2950,R2950,S2950*Model_Config_v3!$B$4+T2950*Model_Config_v3!$B$5)),0)</x:f>
        <x:v>609</x:v>
      </x:c>
      <x:c r="J2950" s="18" t="n">
        <x:f>MIN(Model_Config_v3!$B$6,I2950+Model_Config_v3!$B$7)</x:f>
        <x:v>629</x:v>
      </x:c>
      <x:c r="K2950" s="20" t="n">
        <x:v>42</x:v>
      </x:c>
      <x:c r="L2950" t="str">
        <x:v>RELATIF LONGGAR</x:v>
      </x:c>
      <x:c r="M2950" t="str">
        <x:v>PORTOFOLIO</x:v>
      </x:c>
      <x:c r="N2950" t="str">
        <x:v>REGULER</x:v>
      </x:c>
      <x:c r="O2950" t="str">
        <x:v>SENI/OLAHRAGA</x:v>
      </x:c>
      <x:c r="P2950" t="str">
        <x:v>SENI/OLAHRAGA</x:v>
      </x:c>
      <x:c r="Q2950" s="18" t="n">
        <x:v>0</x:v>
      </x:c>
      <x:c r="R2950" s="18" t="n">
        <x:v>0</x:v>
      </x:c>
      <x:c r="S2950" s="18" t="n">
        <x:v>528.2096980126595</x:v>
      </x:c>
      <x:c r="T2950" s="18" t="n">
        <x:v>644</x:v>
      </x:c>
      <x:c r="U2950" s="18" t="n">
        <x:v>528.2096980126595</x:v>
      </x:c>
      <x:c r="V2950" s="20" t="n">
        <x:v>4.4</x:v>
      </x:c>
      <x:c r="W2950" s="20" t="n">
        <x:v>9.9</x:v>
      </x:c>
      <x:c r="X2950" s="20" t="n">
        <x:v>7.7</x:v>
      </x:c>
      <x:c r="Y2950" t="str">
        <x:v>Basis arsip 2025/2024</x:v>
      </x:c>
      <x:c r="Z2950" t="str">
        <x:v>https://snpmb.id/utbk-snbt/daya-tampung-snbt</x:v>
      </x:c>
      <x:c r="AA2950" t="str">
        <x:v>Musik</x:v>
      </x:c>
      <x:c r="AB2950" t="str">
        <x:v>Campus=55; Ratio=4.4; Prodi=45; RelDemand=53.5; Capacity=73.3</x:v>
      </x:c>
    </x:row>
    <x:row r="2951">
      <x:c r="A2951" t="n">
        <x:v>2948</x:v>
      </x:c>
      <x:c r="B2951" t="str">
        <x:v>PTN Akademik</x:v>
      </x:c>
      <x:c r="C2951" t="str">
        <x:v>ISI DENPASAR</x:v>
      </x:c>
      <x:c r="D2951" t="str">
        <x:v>SENI MURNI</x:v>
      </x:c>
      <x:c r="E2951" t="str">
        <x:v>Sarjana</x:v>
      </x:c>
      <x:c r="F2951" s="18" t="n">
        <x:v>32</x:v>
      </x:c>
      <x:c r="G2951" s="18" t="n">
        <x:v>24</x:v>
      </x:c>
      <x:c r="H2951" s="19" t="n">
        <x:v>0.75</x:v>
      </x:c>
      <x:c r="I2951" s="18" t="n">
        <x:f>ROUND(MIN(Model_Config_v3!$B$6,MAX(Q2951,R2951,S2951*Model_Config_v3!$B$4+T2951*Model_Config_v3!$B$5)),0)</x:f>
        <x:v>603</x:v>
      </x:c>
      <x:c r="J2951" s="18" t="n">
        <x:f>MIN(Model_Config_v3!$B$6,I2951+Model_Config_v3!$B$7)</x:f>
        <x:v>623</x:v>
      </x:c>
      <x:c r="K2951" s="20" t="n">
        <x:v>39</x:v>
      </x:c>
      <x:c r="L2951" t="str">
        <x:v>RELATIF LONGGAR</x:v>
      </x:c>
      <x:c r="M2951" t="str">
        <x:v>PORTOFOLIO</x:v>
      </x:c>
      <x:c r="N2951" t="str">
        <x:v>REGULER</x:v>
      </x:c>
      <x:c r="O2951" t="str">
        <x:v>SENI/OLAHRAGA</x:v>
      </x:c>
      <x:c r="P2951" t="str">
        <x:v>SENI/OLAHRAGA</x:v>
      </x:c>
      <x:c r="Q2951" s="18" t="n">
        <x:v>0</x:v>
      </x:c>
      <x:c r="R2951" s="18" t="n">
        <x:v>0</x:v>
      </x:c>
      <x:c r="S2951" s="18" t="n">
        <x:v>520</x:v>
      </x:c>
      <x:c r="T2951" s="18" t="n">
        <x:v>638</x:v>
      </x:c>
      <x:c r="U2951" s="18" t="n">
        <x:v>520</x:v>
      </x:c>
      <x:c r="V2951" s="20" t="n">
        <x:v>4.4</x:v>
      </x:c>
      <x:c r="W2951" s="20" t="n">
        <x:v>9.9</x:v>
      </x:c>
      <x:c r="X2951" s="20" t="n">
        <x:v>7.7</x:v>
      </x:c>
      <x:c r="Y2951" t="str">
        <x:v>Basis arsip 2025/2024</x:v>
      </x:c>
      <x:c r="Z2951" t="str">
        <x:v>https://snpmb.id/utbk-snbt/daya-tampung-snbt</x:v>
      </x:c>
      <x:c r="AA2951" t="str">
        <x:v>Seni Rupa, Desain, dan Kriya</x:v>
      </x:c>
      <x:c r="AB2951" t="str">
        <x:v>Campus=55; Ratio=0.0; Prodi=45; RelDemand=33.8; Capacity=73.3</x:v>
      </x:c>
    </x:row>
    <x:row r="2952">
      <x:c r="A2952" t="n">
        <x:v>2949</x:v>
      </x:c>
      <x:c r="B2952" t="str">
        <x:v>PTN Akademik</x:v>
      </x:c>
      <x:c r="C2952" t="str">
        <x:v>ISI DENPASAR</x:v>
      </x:c>
      <x:c r="D2952" t="str">
        <x:v>DESAIN INTERIOR</x:v>
      </x:c>
      <x:c r="E2952" t="str">
        <x:v>Sarjana</x:v>
      </x:c>
      <x:c r="F2952" s="18" t="n">
        <x:v>54</x:v>
      </x:c>
      <x:c r="G2952" s="18" t="n">
        <x:v>88</x:v>
      </x:c>
      <x:c r="H2952" s="19" t="n">
        <x:v>1.6296296296296295</x:v>
      </x:c>
      <x:c r="I2952" s="18" t="n">
        <x:f>ROUND(MIN(Model_Config_v3!$B$6,MAX(Q2952,R2952,S2952*Model_Config_v3!$B$4+T2952*Model_Config_v3!$B$5)),0)</x:f>
        <x:v>617</x:v>
      </x:c>
      <x:c r="J2952" s="18" t="n">
        <x:f>MIN(Model_Config_v3!$B$6,I2952+Model_Config_v3!$B$7)</x:f>
        <x:v>637</x:v>
      </x:c>
      <x:c r="K2952" s="20" t="n">
        <x:v>44.2</x:v>
      </x:c>
      <x:c r="L2952" t="str">
        <x:v>RELATIF LONGGAR</x:v>
      </x:c>
      <x:c r="M2952" t="str">
        <x:v>PORTOFOLIO</x:v>
      </x:c>
      <x:c r="N2952" t="str">
        <x:v>REGULER</x:v>
      </x:c>
      <x:c r="O2952" t="str">
        <x:v>SENI/OLAHRAGA</x:v>
      </x:c>
      <x:c r="P2952" t="str">
        <x:v>SENI/OLAHRAGA</x:v>
      </x:c>
      <x:c r="Q2952" s="18" t="n">
        <x:v>0</x:v>
      </x:c>
      <x:c r="R2952" s="18" t="n">
        <x:v>0</x:v>
      </x:c>
      <x:c r="S2952" s="18" t="n">
        <x:v>543.329780355992</x:v>
      </x:c>
      <x:c r="T2952" s="18" t="n">
        <x:v>648</x:v>
      </x:c>
      <x:c r="U2952" s="18" t="n">
        <x:v>543.329780355992</x:v>
      </x:c>
      <x:c r="V2952" s="20" t="n">
        <x:v>4.4</x:v>
      </x:c>
      <x:c r="W2952" s="20" t="n">
        <x:v>9.9</x:v>
      </x:c>
      <x:c r="X2952" s="20" t="n">
        <x:v>7.7</x:v>
      </x:c>
      <x:c r="Y2952" t="str">
        <x:v>Basis arsip 2025/2024</x:v>
      </x:c>
      <x:c r="Z2952" t="str">
        <x:v>https://snpmb.id/utbk-snbt/daya-tampung-snbt</x:v>
      </x:c>
      <x:c r="AA2952" t="str">
        <x:v>Seni Rupa, Desain, dan Kriya</x:v>
      </x:c>
      <x:c r="AB2952" t="str">
        <x:v>Campus=55; Ratio=12.5; Prodi=45; RelDemand=73.4; Capacity=55.0</x:v>
      </x:c>
    </x:row>
    <x:row r="2953">
      <x:c r="A2953" t="n">
        <x:v>2950</x:v>
      </x:c>
      <x:c r="B2953" t="str">
        <x:v>PTN Akademik</x:v>
      </x:c>
      <x:c r="C2953" t="str">
        <x:v>ISI DENPASAR</x:v>
      </x:c>
      <x:c r="D2953" t="str">
        <x:v>DESAIN KOMUNIKASI VISUAL</x:v>
      </x:c>
      <x:c r="E2953" t="str">
        <x:v>Sarjana</x:v>
      </x:c>
      <x:c r="F2953" s="18" t="n">
        <x:v>98</x:v>
      </x:c>
      <x:c r="G2953" s="18" t="n">
        <x:v>263</x:v>
      </x:c>
      <x:c r="H2953" s="19" t="n">
        <x:v>2.683673469387755</x:v>
      </x:c>
      <x:c r="I2953" s="18" t="n">
        <x:f>ROUND(MIN(Model_Config_v3!$B$6,MAX(Q2953,R2953,S2953*Model_Config_v3!$B$4+T2953*Model_Config_v3!$B$5)),0)</x:f>
        <x:v>627</x:v>
      </x:c>
      <x:c r="J2953" s="18" t="n">
        <x:f>MIN(Model_Config_v3!$B$6,I2953+Model_Config_v3!$B$7)</x:f>
        <x:v>647</x:v>
      </x:c>
      <x:c r="K2953" s="20" t="n">
        <x:v>46.4</x:v>
      </x:c>
      <x:c r="L2953" t="str">
        <x:v>MENENGAH</x:v>
      </x:c>
      <x:c r="M2953" t="str">
        <x:v>PORTOFOLIO</x:v>
      </x:c>
      <x:c r="N2953" t="str">
        <x:v>REGULER</x:v>
      </x:c>
      <x:c r="O2953" t="str">
        <x:v>SENI/OLAHRAGA</x:v>
      </x:c>
      <x:c r="P2953" t="str">
        <x:v>SENI/OLAHRAGA</x:v>
      </x:c>
      <x:c r="Q2953" s="18" t="n">
        <x:v>0</x:v>
      </x:c>
      <x:c r="R2953" s="18" t="n">
        <x:v>0</x:v>
      </x:c>
      <x:c r="S2953" s="18" t="n">
        <x:v>567.160264007699</x:v>
      </x:c>
      <x:c r="T2953" s="18" t="n">
        <x:v>653</x:v>
      </x:c>
      <x:c r="U2953" s="18" t="n">
        <x:v>567.160264007699</x:v>
      </x:c>
      <x:c r="V2953" s="20" t="n">
        <x:v>4.4</x:v>
      </x:c>
      <x:c r="W2953" s="20" t="n">
        <x:v>9.9</x:v>
      </x:c>
      <x:c r="X2953" s="20" t="n">
        <x:v>7.7</x:v>
      </x:c>
      <x:c r="Y2953" t="str">
        <x:v>Basis arsip 2025/2024</x:v>
      </x:c>
      <x:c r="Z2953" t="str">
        <x:v>https://snpmb.id/utbk-snbt/daya-tampung-snbt</x:v>
      </x:c>
      <x:c r="AA2953" t="str">
        <x:v>Seni Rupa, Desain, dan Kriya</x:v>
      </x:c>
      <x:c r="AB2953" t="str">
        <x:v>Campus=55; Ratio=25.2; Prodi=45; RelDemand=100.0; Capacity=18.3</x:v>
      </x:c>
    </x:row>
    <x:row r="2954">
      <x:c r="A2954" t="n">
        <x:v>2951</x:v>
      </x:c>
      <x:c r="B2954" t="str">
        <x:v>PTN Akademik</x:v>
      </x:c>
      <x:c r="C2954" t="str">
        <x:v>ISI DENPASAR</x:v>
      </x:c>
      <x:c r="D2954" t="str">
        <x:v>KRIYA</x:v>
      </x:c>
      <x:c r="E2954" t="str">
        <x:v>Sarjana</x:v>
      </x:c>
      <x:c r="F2954" s="18" t="n">
        <x:v>9</x:v>
      </x:c>
      <x:c r="G2954" s="18" t="n">
        <x:v>9</x:v>
      </x:c>
      <x:c r="H2954" s="19" t="n">
        <x:v>1</x:v>
      </x:c>
      <x:c r="I2954" s="18" t="n">
        <x:f>ROUND(MIN(Model_Config_v3!$B$6,MAX(Q2954,R2954,S2954*Model_Config_v3!$B$4+T2954*Model_Config_v3!$B$5)),0)</x:f>
        <x:v>607</x:v>
      </x:c>
      <x:c r="J2954" s="18" t="n">
        <x:f>MIN(Model_Config_v3!$B$6,I2954+Model_Config_v3!$B$7)</x:f>
        <x:v>627</x:v>
      </x:c>
      <x:c r="K2954" s="20" t="n">
        <x:v>42</x:v>
      </x:c>
      <x:c r="L2954" t="str">
        <x:v>RELATIF LONGGAR</x:v>
      </x:c>
      <x:c r="M2954" t="str">
        <x:v>PORTOFOLIO</x:v>
      </x:c>
      <x:c r="N2954" t="str">
        <x:v>REGULER</x:v>
      </x:c>
      <x:c r="O2954" t="str">
        <x:v>SENI/OLAHRAGA</x:v>
      </x:c>
      <x:c r="P2954" t="str">
        <x:v>SENI/OLAHRAGA</x:v>
      </x:c>
      <x:c r="Q2954" s="18" t="n">
        <x:v>0</x:v>
      </x:c>
      <x:c r="R2954" s="18" t="n">
        <x:v>0</x:v>
      </x:c>
      <x:c r="S2954" s="18" t="n">
        <x:v>520</x:v>
      </x:c>
      <x:c r="T2954" s="18" t="n">
        <x:v>644</x:v>
      </x:c>
      <x:c r="U2954" s="18" t="n">
        <x:v>520</x:v>
      </x:c>
      <x:c r="V2954" s="20" t="n">
        <x:v>4.4</x:v>
      </x:c>
      <x:c r="W2954" s="20" t="n">
        <x:v>9.9</x:v>
      </x:c>
      <x:c r="X2954" s="20" t="n">
        <x:v>7.7</x:v>
      </x:c>
      <x:c r="Y2954" t="str">
        <x:v>Basis arsip 2025/2024</x:v>
      </x:c>
      <x:c r="Z2954" t="str">
        <x:v>https://snpmb.id/utbk-snbt/daya-tampung-snbt</x:v>
      </x:c>
      <x:c r="AA2954" t="str">
        <x:v>Seni Rupa, Desain, dan Kriya</x:v>
      </x:c>
      <x:c r="AB2954" t="str">
        <x:v>Campus=55; Ratio=0.0; Prodi=45; RelDemand=45.0; Capacity=92.5</x:v>
      </x:c>
    </x:row>
    <x:row r="2955">
      <x:c r="A2955" t="n">
        <x:v>2952</x:v>
      </x:c>
      <x:c r="B2955" t="str">
        <x:v>PTN Akademik</x:v>
      </x:c>
      <x:c r="C2955" t="str">
        <x:v>ISI DENPASAR</x:v>
      </x:c>
      <x:c r="D2955" t="str">
        <x:v>FOTOGRAFI</x:v>
      </x:c>
      <x:c r="E2955" t="str">
        <x:v>Sarjana</x:v>
      </x:c>
      <x:c r="F2955" s="18" t="n">
        <x:v>36</x:v>
      </x:c>
      <x:c r="G2955" s="18" t="n">
        <x:v>25</x:v>
      </x:c>
      <x:c r="H2955" s="19" t="n">
        <x:v>0.6944444444444444</x:v>
      </x:c>
      <x:c r="I2955" s="18" t="n">
        <x:f>ROUND(MIN(Model_Config_v3!$B$6,MAX(Q2955,R2955,S2955*Model_Config_v3!$B$4+T2955*Model_Config_v3!$B$5)),0)</x:f>
        <x:v>602</x:v>
      </x:c>
      <x:c r="J2955" s="18" t="n">
        <x:f>MIN(Model_Config_v3!$B$6,I2955+Model_Config_v3!$B$7)</x:f>
        <x:v>622</x:v>
      </x:c>
      <x:c r="K2955" s="20" t="n">
        <x:v>38.4</x:v>
      </x:c>
      <x:c r="L2955" t="str">
        <x:v>RELATIF LONGGAR</x:v>
      </x:c>
      <x:c r="M2955" t="str">
        <x:v>PORTOFOLIO</x:v>
      </x:c>
      <x:c r="N2955" t="str">
        <x:v>REGULER</x:v>
      </x:c>
      <x:c r="O2955" t="str">
        <x:v>SENI/OLAHRAGA</x:v>
      </x:c>
      <x:c r="P2955" t="str">
        <x:v>SENI/OLAHRAGA</x:v>
      </x:c>
      <x:c r="Q2955" s="18" t="n">
        <x:v>0</x:v>
      </x:c>
      <x:c r="R2955" s="18" t="n">
        <x:v>0</x:v>
      </x:c>
      <x:c r="S2955" s="18" t="n">
        <x:v>520</x:v>
      </x:c>
      <x:c r="T2955" s="18" t="n">
        <x:v>637</x:v>
      </x:c>
      <x:c r="U2955" s="18" t="n">
        <x:v>520</x:v>
      </x:c>
      <x:c r="V2955" s="20" t="n">
        <x:v>4.4</x:v>
      </x:c>
      <x:c r="W2955" s="20" t="n">
        <x:v>9.9</x:v>
      </x:c>
      <x:c r="X2955" s="20" t="n">
        <x:v>7.7</x:v>
      </x:c>
      <x:c r="Y2955" t="str">
        <x:v>Basis arsip 2025/2024</x:v>
      </x:c>
      <x:c r="Z2955" t="str">
        <x:v>https://snpmb.id/utbk-snbt/daya-tampung-snbt</x:v>
      </x:c>
      <x:c r="AA2955" t="str">
        <x:v>Fotografi</x:v>
      </x:c>
      <x:c r="AB2955" t="str">
        <x:v>Campus=55; Ratio=0.0; Prodi=45; RelDemand=31.3; Capacity=70.0</x:v>
      </x:c>
    </x:row>
    <x:row r="2956">
      <x:c r="A2956" t="n">
        <x:v>2953</x:v>
      </x:c>
      <x:c r="B2956" t="str">
        <x:v>PTN Akademik</x:v>
      </x:c>
      <x:c r="C2956" t="str">
        <x:v>ISI DENPASAR</x:v>
      </x:c>
      <x:c r="D2956" t="str">
        <x:v>SENI PEDALANGAN</x:v>
      </x:c>
      <x:c r="E2956" t="str">
        <x:v>Sarjana</x:v>
      </x:c>
      <x:c r="F2956" s="18" t="n">
        <x:v>6</x:v>
      </x:c>
      <x:c r="G2956" s="18" t="n">
        <x:v>4</x:v>
      </x:c>
      <x:c r="H2956" s="19" t="n">
        <x:v>0.6666666666666666</x:v>
      </x:c>
      <x:c r="I2956" s="18" t="n">
        <x:f>ROUND(MIN(Model_Config_v3!$B$6,MAX(Q2956,R2956,S2956*Model_Config_v3!$B$4+T2956*Model_Config_v3!$B$5)),0)</x:f>
        <x:v>605</x:v>
      </x:c>
      <x:c r="J2956" s="18" t="n">
        <x:f>MIN(Model_Config_v3!$B$6,I2956+Model_Config_v3!$B$7)</x:f>
        <x:v>625</x:v>
      </x:c>
      <x:c r="K2956" s="20" t="n">
        <x:v>40.8</x:v>
      </x:c>
      <x:c r="L2956" t="str">
        <x:v>RELATIF LONGGAR</x:v>
      </x:c>
      <x:c r="M2956" t="str">
        <x:v>PORTOFOLIO</x:v>
      </x:c>
      <x:c r="N2956" t="str">
        <x:v>REGULER</x:v>
      </x:c>
      <x:c r="O2956" t="str">
        <x:v>SENI/OLAHRAGA</x:v>
      </x:c>
      <x:c r="P2956" t="str">
        <x:v>SENI/OLAHRAGA</x:v>
      </x:c>
      <x:c r="Q2956" s="18" t="n">
        <x:v>0</x:v>
      </x:c>
      <x:c r="R2956" s="18" t="n">
        <x:v>0</x:v>
      </x:c>
      <x:c r="S2956" s="18" t="n">
        <x:v>520</x:v>
      </x:c>
      <x:c r="T2956" s="18" t="n">
        <x:v>642</x:v>
      </x:c>
      <x:c r="U2956" s="18" t="n">
        <x:v>520</x:v>
      </x:c>
      <x:c r="V2956" s="20" t="n">
        <x:v>4.4</x:v>
      </x:c>
      <x:c r="W2956" s="20" t="n">
        <x:v>9.9</x:v>
      </x:c>
      <x:c r="X2956" s="20" t="n">
        <x:v>7.7</x:v>
      </x:c>
      <x:c r="Y2956" t="str">
        <x:v>Basis arsip 2025/2024</x:v>
      </x:c>
      <x:c r="Z2956" t="str">
        <x:v>https://snpmb.id/utbk-snbt/daya-tampung-snbt</x:v>
      </x:c>
      <x:c r="AA2956" t="str">
        <x:v>Seni Pedalangan</x:v>
      </x:c>
      <x:c r="AB2956" t="str">
        <x:v>Campus=55; Ratio=0.0; Prodi=45; RelDemand=30.0; Capacity=95.0</x:v>
      </x:c>
    </x:row>
    <x:row r="2957">
      <x:c r="A2957" t="n">
        <x:v>2954</x:v>
      </x:c>
      <x:c r="B2957" t="str">
        <x:v>PTN Akademik</x:v>
      </x:c>
      <x:c r="C2957" t="str">
        <x:v>ISI DENPASAR</x:v>
      </x:c>
      <x:c r="D2957" t="str">
        <x:v>DESAIN PRODUK</x:v>
      </x:c>
      <x:c r="E2957" t="str">
        <x:v>Sarjana</x:v>
      </x:c>
      <x:c r="F2957" s="18" t="n">
        <x:v>18</x:v>
      </x:c>
      <x:c r="G2957" s="18" t="n">
        <x:v>24</x:v>
      </x:c>
      <x:c r="H2957" s="19" t="n">
        <x:v>1.3333333333333333</x:v>
      </x:c>
      <x:c r="I2957" s="18" t="n">
        <x:f>ROUND(MIN(Model_Config_v3!$B$6,MAX(Q2957,R2957,S2957*Model_Config_v3!$B$4+T2957*Model_Config_v3!$B$5)),0)</x:f>
        <x:v>614</x:v>
      </x:c>
      <x:c r="J2957" s="18" t="n">
        <x:f>MIN(Model_Config_v3!$B$6,I2957+Model_Config_v3!$B$7)</x:f>
        <x:v>634</x:v>
      </x:c>
      <x:c r="K2957" s="20" t="n">
        <x:v>44.6</x:v>
      </x:c>
      <x:c r="L2957" t="str">
        <x:v>RELATIF LONGGAR</x:v>
      </x:c>
      <x:c r="M2957" t="str">
        <x:v>PORTOFOLIO</x:v>
      </x:c>
      <x:c r="N2957" t="str">
        <x:v>REGULER</x:v>
      </x:c>
      <x:c r="O2957" t="str">
        <x:v>SENI/OLAHRAGA</x:v>
      </x:c>
      <x:c r="P2957" t="str">
        <x:v>SENI/OLAHRAGA</x:v>
      </x:c>
      <x:c r="Q2957" s="18" t="n">
        <x:v>0</x:v>
      </x:c>
      <x:c r="R2957" s="18" t="n">
        <x:v>0</x:v>
      </x:c>
      <x:c r="S2957" s="18" t="n">
        <x:v>533.7432610269129</x:v>
      </x:c>
      <x:c r="T2957" s="18" t="n">
        <x:v>649</x:v>
      </x:c>
      <x:c r="U2957" s="18" t="n">
        <x:v>533.7432610269129</x:v>
      </x:c>
      <x:c r="V2957" s="20" t="n">
        <x:v>4.4</x:v>
      </x:c>
      <x:c r="W2957" s="20" t="n">
        <x:v>9.9</x:v>
      </x:c>
      <x:c r="X2957" s="20" t="n">
        <x:v>7.7</x:v>
      </x:c>
      <x:c r="Y2957" t="str">
        <x:v>Basis arsip 2025/2024</x:v>
      </x:c>
      <x:c r="Z2957" t="str">
        <x:v>https://snpmb.id/utbk-snbt/daya-tampung-snbt</x:v>
      </x:c>
      <x:c r="AA2957" t="str">
        <x:v>Seni Rupa, Desain, dan Kriya</x:v>
      </x:c>
      <x:c r="AB2957" t="str">
        <x:v>Campus=55; Ratio=7.4; Prodi=45; RelDemand=60.1; Capacity=85.0</x:v>
      </x:c>
    </x:row>
    <x:row r="2958">
      <x:c r="A2958" t="n">
        <x:v>2955</x:v>
      </x:c>
      <x:c r="B2958" t="str">
        <x:v>PTN Akademik</x:v>
      </x:c>
      <x:c r="C2958" t="str">
        <x:v>ISI DENPASAR</x:v>
      </x:c>
      <x:c r="D2958" t="str">
        <x:v>TEATER</x:v>
      </x:c>
      <x:c r="E2958" t="str">
        <x:v>Sarjana</x:v>
      </x:c>
      <x:c r="F2958" s="18" t="n">
        <x:v>7</x:v>
      </x:c>
      <x:c r="G2958" s="18"/>
      <x:c r="H2958" s="19" t="n">
        <x:v>0</x:v>
      </x:c>
      <x:c r="I2958" s="18" t="n">
        <x:f>ROUND(MIN(Model_Config_v3!$B$6,MAX(Q2958,R2958,S2958*Model_Config_v3!$B$4+T2958*Model_Config_v3!$B$5)),0)</x:f>
        <x:v>601</x:v>
      </x:c>
      <x:c r="J2958" s="18" t="n">
        <x:f>MIN(Model_Config_v3!$B$6,I2958+Model_Config_v3!$B$7)</x:f>
        <x:v>621</x:v>
      </x:c>
      <x:c r="K2958" s="20" t="n">
        <x:v>37.7</x:v>
      </x:c>
      <x:c r="L2958" t="str">
        <x:v>RELATIF LONGGAR</x:v>
      </x:c>
      <x:c r="M2958" t="str">
        <x:v>PORTOFOLIO</x:v>
      </x:c>
      <x:c r="N2958" t="str">
        <x:v>REGULER</x:v>
      </x:c>
      <x:c r="O2958" t="str">
        <x:v>SENI/OLAHRAGA</x:v>
      </x:c>
      <x:c r="P2958" t="str">
        <x:v>SENI/OLAHRAGA</x:v>
      </x:c>
      <x:c r="Q2958" s="18" t="n">
        <x:v>0</x:v>
      </x:c>
      <x:c r="R2958" s="18" t="n">
        <x:v>0</x:v>
      </x:c>
      <x:c r="S2958" s="18" t="n">
        <x:v>520</x:v>
      </x:c>
      <x:c r="T2958" s="18" t="n">
        <x:v>635</x:v>
      </x:c>
      <x:c r="U2958" s="18" t="n">
        <x:v>520</x:v>
      </x:c>
      <x:c r="V2958" s="20" t="n">
        <x:v>4.4</x:v>
      </x:c>
      <x:c r="W2958" s="20" t="n">
        <x:v>9.9</x:v>
      </x:c>
      <x:c r="X2958" s="20" t="n">
        <x:v>7.7</x:v>
      </x:c>
      <x:c r="Y2958" t="str">
        <x:v>Basis arsip 2025/2024</x:v>
      </x:c>
      <x:c r="Z2958" t="str">
        <x:v>https://snpmb.id/utbk-snbt/daya-tampung-snbt</x:v>
      </x:c>
      <x:c r="AA2958" t="str">
        <x:v>Teater</x:v>
      </x:c>
      <x:c r="AB2958" t="str">
        <x:v>Campus=55; Ratio=0.0; Prodi=45; RelDemand=0.0; Capacity=94.2</x:v>
      </x:c>
    </x:row>
    <x:row r="2959">
      <x:c r="A2959" t="n">
        <x:v>2956</x:v>
      </x:c>
      <x:c r="B2959" t="str">
        <x:v>PTN Akademik</x:v>
      </x:c>
      <x:c r="C2959" t="str">
        <x:v>ISI DENPASAR</x:v>
      </x:c>
      <x:c r="D2959" t="str">
        <x:v>DESAIN MODE</x:v>
      </x:c>
      <x:c r="E2959" t="str">
        <x:v>Sarjana Terapan</x:v>
      </x:c>
      <x:c r="F2959" s="18" t="n">
        <x:v>40</x:v>
      </x:c>
      <x:c r="G2959" s="18" t="n">
        <x:v>52</x:v>
      </x:c>
      <x:c r="H2959" s="19" t="n">
        <x:v>1.3</x:v>
      </x:c>
      <x:c r="I2959" s="18" t="n">
        <x:f>ROUND(MIN(Model_Config_v3!$B$6,MAX(Q2959,R2959,S2959*Model_Config_v3!$B$4+T2959*Model_Config_v3!$B$5)),0)</x:f>
        <x:v>611</x:v>
      </x:c>
      <x:c r="J2959" s="18" t="n">
        <x:f>MIN(Model_Config_v3!$B$6,I2959+Model_Config_v3!$B$7)</x:f>
        <x:v>631</x:v>
      </x:c>
      <x:c r="K2959" s="20" t="n">
        <x:v>42.4</x:v>
      </x:c>
      <x:c r="L2959" t="str">
        <x:v>RELATIF LONGGAR</x:v>
      </x:c>
      <x:c r="M2959" t="str">
        <x:v>PORTOFOLIO</x:v>
      </x:c>
      <x:c r="N2959" t="str">
        <x:v>REGULER</x:v>
      </x:c>
      <x:c r="O2959" t="str">
        <x:v>SENI/OLAHRAGA</x:v>
      </x:c>
      <x:c r="P2959" t="str">
        <x:v>SENI/OLAHRAGA</x:v>
      </x:c>
      <x:c r="Q2959" s="18" t="n">
        <x:v>0</x:v>
      </x:c>
      <x:c r="R2959" s="18" t="n">
        <x:v>0</x:v>
      </x:c>
      <x:c r="S2959" s="18" t="n">
        <x:v>532.533768753752</x:v>
      </x:c>
      <x:c r="T2959" s="18" t="n">
        <x:v>645</x:v>
      </x:c>
      <x:c r="U2959" s="18" t="n">
        <x:v>532.533768753752</x:v>
      </x:c>
      <x:c r="V2959" s="20" t="n">
        <x:v>4.4</x:v>
      </x:c>
      <x:c r="W2959" s="20" t="n">
        <x:v>9.9</x:v>
      </x:c>
      <x:c r="X2959" s="20" t="n">
        <x:v>7.7</x:v>
      </x:c>
      <x:c r="Y2959" t="str">
        <x:v>Basis arsip 2025/2024</x:v>
      </x:c>
      <x:c r="Z2959" t="str">
        <x:v>https://snpmb.id/utbk-snbt/daya-tampung-snbt</x:v>
      </x:c>
      <x:c r="AA2959" t="str">
        <x:v>Seni Rupa, Desain, dan Kriya</x:v>
      </x:c>
      <x:c r="AB2959" t="str">
        <x:v>Campus=55; Ratio=6.7; Prodi=45; RelDemand=58.6; Capacity=66.7</x:v>
      </x:c>
    </x:row>
    <x:row r="2960">
      <x:c r="A2960" t="n">
        <x:v>2957</x:v>
      </x:c>
      <x:c r="B2960" t="str">
        <x:v>PTN Akademik</x:v>
      </x:c>
      <x:c r="C2960" t="str">
        <x:v>ISI DENPASAR</x:v>
      </x:c>
      <x:c r="D2960" t="str">
        <x:v>PRODUKSI FILM DAN TELEVISI</x:v>
      </x:c>
      <x:c r="E2960" t="str">
        <x:v>Sarjana Terapan</x:v>
      </x:c>
      <x:c r="F2960" s="18" t="n">
        <x:v>36</x:v>
      </x:c>
      <x:c r="G2960" s="18" t="n">
        <x:v>60</x:v>
      </x:c>
      <x:c r="H2960" s="19" t="n">
        <x:v>1.6666666666666667</x:v>
      </x:c>
      <x:c r="I2960" s="18" t="n">
        <x:f>ROUND(MIN(Model_Config_v3!$B$6,MAX(Q2960,R2960,S2960*Model_Config_v3!$B$4+T2960*Model_Config_v3!$B$5)),0)</x:f>
        <x:v>620</x:v>
      </x:c>
      <x:c r="J2960" s="18" t="n">
        <x:f>MIN(Model_Config_v3!$B$6,I2960+Model_Config_v3!$B$7)</x:f>
        <x:v>640</x:v>
      </x:c>
      <x:c r="K2960" s="20" t="n">
        <x:v>46</x:v>
      </x:c>
      <x:c r="L2960" t="str">
        <x:v>MENENGAH</x:v>
      </x:c>
      <x:c r="M2960" t="str">
        <x:v>PORTOFOLIO</x:v>
      </x:c>
      <x:c r="N2960" t="str">
        <x:v>REGULER</x:v>
      </x:c>
      <x:c r="O2960" t="str">
        <x:v>SENI/OLAHRAGA</x:v>
      </x:c>
      <x:c r="P2960" t="str">
        <x:v>SENI/OLAHRAGA</x:v>
      </x:c>
      <x:c r="Q2960" s="18" t="n">
        <x:v>0</x:v>
      </x:c>
      <x:c r="R2960" s="18" t="n">
        <x:v>0</x:v>
      </x:c>
      <x:c r="S2960" s="18" t="n">
        <x:v>544.4033624577992</x:v>
      </x:c>
      <x:c r="T2960" s="18" t="n">
        <x:v>652</x:v>
      </x:c>
      <x:c r="U2960" s="18" t="n">
        <x:v>544.4033624577992</x:v>
      </x:c>
      <x:c r="V2960" s="20" t="n">
        <x:v>4.4</x:v>
      </x:c>
      <x:c r="W2960" s="20" t="n">
        <x:v>9.9</x:v>
      </x:c>
      <x:c r="X2960" s="20" t="n">
        <x:v>7.7</x:v>
      </x:c>
      <x:c r="Y2960" t="str">
        <x:v>Basis arsip 2025/2024</x:v>
      </x:c>
      <x:c r="Z2960" t="str">
        <x:v>https://snpmb.id/utbk-snbt/daya-tampung-snbt</x:v>
      </x:c>
      <x:c r="AA2960" t="str">
        <x:v>Film dan Televisi</x:v>
      </x:c>
      <x:c r="AB2960" t="str">
        <x:v>Campus=55; Ratio=13.1; Prodi=45; RelDemand=75.1; Capacity=70.0</x:v>
      </x:c>
    </x:row>
    <x:row r="2961">
      <x:c r="A2961" t="n">
        <x:v>2958</x:v>
      </x:c>
      <x:c r="B2961" t="str">
        <x:v>PTN Akademik</x:v>
      </x:c>
      <x:c r="C2961" t="str">
        <x:v>ISI DENPASAR</x:v>
      </x:c>
      <x:c r="D2961" t="str">
        <x:v>ANIMASI</x:v>
      </x:c>
      <x:c r="E2961" t="str">
        <x:v>Sarjana Terapan</x:v>
      </x:c>
      <x:c r="F2961" s="18" t="n">
        <x:v>32</x:v>
      </x:c>
      <x:c r="G2961" s="18" t="n">
        <x:v>60</x:v>
      </x:c>
      <x:c r="H2961" s="19" t="n">
        <x:v>1.875</x:v>
      </x:c>
      <x:c r="I2961" s="18" t="n">
        <x:f>ROUND(MIN(Model_Config_v3!$B$6,MAX(Q2961,R2961,S2961*Model_Config_v3!$B$4+T2961*Model_Config_v3!$B$5)),0)</x:f>
        <x:v>624</x:v>
      </x:c>
      <x:c r="J2961" s="18" t="n">
        <x:f>MIN(Model_Config_v3!$B$6,I2961+Model_Config_v3!$B$7)</x:f>
        <x:v>644</x:v>
      </x:c>
      <x:c r="K2961" s="20" t="n">
        <x:v>48</x:v>
      </x:c>
      <x:c r="L2961" t="str">
        <x:v>MENENGAH</x:v>
      </x:c>
      <x:c r="M2961" t="str">
        <x:v>PORTOFOLIO</x:v>
      </x:c>
      <x:c r="N2961" t="str">
        <x:v>REGULER</x:v>
      </x:c>
      <x:c r="O2961" t="str">
        <x:v>SENI/OLAHRAGA</x:v>
      </x:c>
      <x:c r="P2961" t="str">
        <x:v>SENI/OLAHRAGA</x:v>
      </x:c>
      <x:c r="Q2961" s="18" t="n">
        <x:v>0</x:v>
      </x:c>
      <x:c r="R2961" s="18" t="n">
        <x:v>0</x:v>
      </x:c>
      <x:c r="S2961" s="18" t="n">
        <x:v>550.0301399270111</x:v>
      </x:c>
      <x:c r="T2961" s="18" t="n">
        <x:v>656</x:v>
      </x:c>
      <x:c r="U2961" s="18" t="n">
        <x:v>550.0301399270111</x:v>
      </x:c>
      <x:c r="V2961" s="20" t="n">
        <x:v>4.4</x:v>
      </x:c>
      <x:c r="W2961" s="20" t="n">
        <x:v>9.9</x:v>
      </x:c>
      <x:c r="X2961" s="20" t="n">
        <x:v>7.7</x:v>
      </x:c>
      <x:c r="Y2961" t="str">
        <x:v>Basis arsip 2025/2024</x:v>
      </x:c>
      <x:c r="Z2961" t="str">
        <x:v>https://snpmb.id/utbk-snbt/daya-tampung-snbt</x:v>
      </x:c>
      <x:c r="AA2961" t="str">
        <x:v>Seni Rupa, Desain, dan Kriya</x:v>
      </x:c>
      <x:c r="AB2961" t="str">
        <x:v>Campus=55; Ratio=16.1; Prodi=45; RelDemand=84.5; Capacity=73.3</x:v>
      </x:c>
    </x:row>
    <x:row r="2962">
      <x:c r="A2962" t="n">
        <x:v>2959</x:v>
      </x:c>
      <x:c r="B2962" t="str">
        <x:v>PTN Akademik</x:v>
      </x:c>
      <x:c r="C2962" t="str">
        <x:v>UNIVERSITAS MATARAM</x:v>
      </x:c>
      <x:c r="D2962" t="str">
        <x:v>AGROEKOTEKNOLOGI</x:v>
      </x:c>
      <x:c r="E2962" t="str">
        <x:v>Sarjana</x:v>
      </x:c>
      <x:c r="F2962" s="18" t="n">
        <x:v>75</x:v>
      </x:c>
      <x:c r="G2962" s="18" t="n">
        <x:v>169</x:v>
      </x:c>
      <x:c r="H2962" s="19" t="n">
        <x:v>2.2533333333333334</x:v>
      </x:c>
      <x:c r="I2962" s="18" t="n">
        <x:f>ROUND(MIN(Model_Config_v3!$B$6,MAX(Q2962,R2962,S2962*Model_Config_v3!$B$4+T2962*Model_Config_v3!$B$5)),0)</x:f>
        <x:v>613</x:v>
      </x:c>
      <x:c r="J2962" s="18" t="n">
        <x:f>MIN(Model_Config_v3!$B$6,I2962+Model_Config_v3!$B$7)</x:f>
        <x:v>633</x:v>
      </x:c>
      <x:c r="K2962" s="20" t="n">
        <x:v>37.9</x:v>
      </x:c>
      <x:c r="L2962" t="str">
        <x:v>RELATIF LONGGAR</x:v>
      </x:c>
      <x:c r="M2962" t="str">
        <x:v>SEDANG</x:v>
      </x:c>
      <x:c r="N2962" t="str">
        <x:v>REGULER</x:v>
      </x:c>
      <x:c r="O2962" t="str">
        <x:v>SAINTEK</x:v>
      </x:c>
      <x:c r="P2962" t="str">
        <x:v>UMUM</x:v>
      </x:c>
      <x:c r="Q2962" s="18" t="n">
        <x:v>0</x:v>
      </x:c>
      <x:c r="R2962" s="18" t="n">
        <x:v>0</x:v>
      </x:c>
      <x:c r="S2962" s="18" t="n">
        <x:v>558.8107985344171</x:v>
      </x:c>
      <x:c r="T2962" s="18" t="n">
        <x:v>636</x:v>
      </x:c>
      <x:c r="U2962" s="18" t="n">
        <x:v>558.8107985344171</x:v>
      </x:c>
      <x:c r="V2962" s="20" t="n">
        <x:v>12</x:v>
      </x:c>
      <x:c r="W2962" s="20" t="n">
        <x:v>5</x:v>
      </x:c>
      <x:c r="X2962" s="20" t="n">
        <x:v>3</x:v>
      </x:c>
      <x:c r="Y2962" t="str">
        <x:v>Basis arsip 2025/2024</x:v>
      </x:c>
      <x:c r="Z2962" t="str">
        <x:v>https://snpmb.id/utbk-snbt/daya-tampung-snbt</x:v>
      </x:c>
      <x:c r="AA2962" t="str">
        <x:v>Tidak Ada</x:v>
      </x:c>
      <x:c r="AB2962" t="str">
        <x:v>Campus=55; Ratio=20.8; Prodi=40; RelDemand=17.0; Capacity=37.5</x:v>
      </x:c>
    </x:row>
    <x:row r="2963">
      <x:c r="A2963" t="n">
        <x:v>2960</x:v>
      </x:c>
      <x:c r="B2963" t="str">
        <x:v>PTN Akademik</x:v>
      </x:c>
      <x:c r="C2963" t="str">
        <x:v>UNIVERSITAS MATARAM</x:v>
      </x:c>
      <x:c r="D2963" t="str">
        <x:v>AGRIBISNIS</x:v>
      </x:c>
      <x:c r="E2963" t="str">
        <x:v>Sarjana</x:v>
      </x:c>
      <x:c r="F2963" s="18" t="n">
        <x:v>140</x:v>
      </x:c>
      <x:c r="G2963" s="18" t="n">
        <x:v>548</x:v>
      </x:c>
      <x:c r="H2963" s="19" t="n">
        <x:v>3.914285714285714</x:v>
      </x:c>
      <x:c r="I2963" s="18" t="n">
        <x:f>ROUND(MIN(Model_Config_v3!$B$6,MAX(Q2963,R2963,S2963*Model_Config_v3!$B$4+T2963*Model_Config_v3!$B$5)),0)</x:f>
        <x:v>629</x:v>
      </x:c>
      <x:c r="J2963" s="18" t="n">
        <x:f>MIN(Model_Config_v3!$B$6,I2963+Model_Config_v3!$B$7)</x:f>
        <x:v>649</x:v>
      </x:c>
      <x:c r="K2963" s="20" t="n">
        <x:v>43.9</x:v>
      </x:c>
      <x:c r="L2963" t="str">
        <x:v>RELATIF LONGGAR</x:v>
      </x:c>
      <x:c r="M2963" t="str">
        <x:v>SEDANG+</x:v>
      </x:c>
      <x:c r="N2963" t="str">
        <x:v>REGULER</x:v>
      </x:c>
      <x:c r="O2963" t="str">
        <x:v>SOSHUM</x:v>
      </x:c>
      <x:c r="P2963" t="str">
        <x:v>BISNIS/EKONOMI/AKUNTANSI</x:v>
      </x:c>
      <x:c r="Q2963" s="18" t="n">
        <x:v>0</x:v>
      </x:c>
      <x:c r="R2963" s="18" t="n">
        <x:v>0</x:v>
      </x:c>
      <x:c r="S2963" s="18" t="n">
        <x:v>585.1917775086744</x:v>
      </x:c>
      <x:c r="T2963" s="18" t="n">
        <x:v>648</x:v>
      </x:c>
      <x:c r="U2963" s="18" t="n">
        <x:v>600.1917775086744</x:v>
      </x:c>
      <x:c r="V2963" s="20" t="n">
        <x:v>4.4</x:v>
      </x:c>
      <x:c r="W2963" s="20" t="n">
        <x:v>14.3</x:v>
      </x:c>
      <x:c r="X2963" s="20" t="n">
        <x:v>3.3</x:v>
      </x:c>
      <x:c r="Y2963" t="str">
        <x:v>Basis arsip 2025/2024</x:v>
      </x:c>
      <x:c r="Z2963" t="str">
        <x:v>https://snpmb.id/utbk-snbt/daya-tampung-snbt</x:v>
      </x:c>
      <x:c r="AA2963" t="str">
        <x:v>Tidak Ada</x:v>
      </x:c>
      <x:c r="AB2963" t="str">
        <x:v>Campus=55; Ratio=34.9; Prodi=65; RelDemand=29.4; Capacity=0.0</x:v>
      </x:c>
    </x:row>
    <x:row r="2964">
      <x:c r="A2964" t="n">
        <x:v>2961</x:v>
      </x:c>
      <x:c r="B2964" t="str">
        <x:v>PTN Akademik</x:v>
      </x:c>
      <x:c r="C2964" t="str">
        <x:v>UNIVERSITAS MATARAM</x:v>
      </x:c>
      <x:c r="D2964" t="str">
        <x:v>KEHUTANAN</x:v>
      </x:c>
      <x:c r="E2964" t="str">
        <x:v>Sarjana</x:v>
      </x:c>
      <x:c r="F2964" s="18" t="n">
        <x:v>63</x:v>
      </x:c>
      <x:c r="G2964" s="18" t="n">
        <x:v>240</x:v>
      </x:c>
      <x:c r="H2964" s="19" t="n">
        <x:v>3.8095238095238093</x:v>
      </x:c>
      <x:c r="I2964" s="18" t="n">
        <x:f>ROUND(MIN(Model_Config_v3!$B$6,MAX(Q2964,R2964,S2964*Model_Config_v3!$B$4+T2964*Model_Config_v3!$B$5)),0)</x:f>
        <x:v>628</x:v>
      </x:c>
      <x:c r="J2964" s="18" t="n">
        <x:f>MIN(Model_Config_v3!$B$6,I2964+Model_Config_v3!$B$7)</x:f>
        <x:v>648</x:v>
      </x:c>
      <x:c r="K2964" s="20" t="n">
        <x:v>43.4</x:v>
      </x:c>
      <x:c r="L2964" t="str">
        <x:v>RELATIF LONGGAR</x:v>
      </x:c>
      <x:c r="M2964" t="str">
        <x:v>SEDANG</x:v>
      </x:c>
      <x:c r="N2964" t="str">
        <x:v>REGULER</x:v>
      </x:c>
      <x:c r="O2964" t="str">
        <x:v>CAMPURAN</x:v>
      </x:c>
      <x:c r="P2964" t="str">
        <x:v>UMUM</x:v>
      </x:c>
      <x:c r="Q2964" s="18" t="n">
        <x:v>0</x:v>
      </x:c>
      <x:c r="R2964" s="18" t="n">
        <x:v>0</x:v>
      </x:c>
      <x:c r="S2964" s="18" t="n">
        <x:v>583.8957761483827</x:v>
      </x:c>
      <x:c r="T2964" s="18" t="n">
        <x:v>647</x:v>
      </x:c>
      <x:c r="U2964" s="18" t="n">
        <x:v>583.8957761483827</x:v>
      </x:c>
      <x:c r="V2964" s="20" t="n">
        <x:v>8.8</x:v>
      </x:c>
      <x:c r="W2964" s="20" t="n">
        <x:v>9.9</x:v>
      </x:c>
      <x:c r="X2964" s="20" t="n">
        <x:v>3.3</x:v>
      </x:c>
      <x:c r="Y2964" t="str">
        <x:v>Basis arsip 2025/2024</x:v>
      </x:c>
      <x:c r="Z2964" t="str">
        <x:v>https://snpmb.id/utbk-snbt/daya-tampung-snbt</x:v>
      </x:c>
      <x:c r="AA2964" t="str">
        <x:v>Tidak Ada</x:v>
      </x:c>
      <x:c r="AB2964" t="str">
        <x:v>Campus=55; Ratio=34.2; Prodi=40; RelDemand=28.7; Capacity=47.5</x:v>
      </x:c>
    </x:row>
    <x:row r="2965">
      <x:c r="A2965" t="n">
        <x:v>2962</x:v>
      </x:c>
      <x:c r="B2965" t="str">
        <x:v>PTN Akademik</x:v>
      </x:c>
      <x:c r="C2965" t="str">
        <x:v>UNIVERSITAS MATARAM</x:v>
      </x:c>
      <x:c r="D2965" t="str">
        <x:v>PENDIDIKAN BIOLOGI</x:v>
      </x:c>
      <x:c r="E2965" t="str">
        <x:v>Sarjana</x:v>
      </x:c>
      <x:c r="F2965" s="18" t="n">
        <x:v>65</x:v>
      </x:c>
      <x:c r="G2965" s="18" t="n">
        <x:v>209</x:v>
      </x:c>
      <x:c r="H2965" s="19" t="n">
        <x:v>3.2153846153846155</x:v>
      </x:c>
      <x:c r="I2965" s="18" t="n">
        <x:f>ROUND(MIN(Model_Config_v3!$B$6,MAX(Q2965,R2965,S2965*Model_Config_v3!$B$4+T2965*Model_Config_v3!$B$5)),0)</x:f>
        <x:v>624</x:v>
      </x:c>
      <x:c r="J2965" s="18" t="n">
        <x:f>MIN(Model_Config_v3!$B$6,I2965+Model_Config_v3!$B$7)</x:f>
        <x:v>644</x:v>
      </x:c>
      <x:c r="K2965" s="20" t="n">
        <x:v>42.7</x:v>
      </x:c>
      <x:c r="L2965" t="str">
        <x:v>RELATIF LONGGAR</x:v>
      </x:c>
      <x:c r="M2965" t="str">
        <x:v>SEDANG+</x:v>
      </x:c>
      <x:c r="N2965" t="str">
        <x:v>REGULER</x:v>
      </x:c>
      <x:c r="O2965" t="str">
        <x:v>SAINTEK</x:v>
      </x:c>
      <x:c r="P2965" t="str">
        <x:v>PENDIDIKAN</x:v>
      </x:c>
      <x:c r="Q2965" s="18" t="n">
        <x:v>0</x:v>
      </x:c>
      <x:c r="R2965" s="18" t="n">
        <x:v>0</x:v>
      </x:c>
      <x:c r="S2965" s="18" t="n">
        <x:v>575.7956222415019</x:v>
      </x:c>
      <x:c r="T2965" s="18" t="n">
        <x:v>645</x:v>
      </x:c>
      <x:c r="U2965" s="18" t="n">
        <x:v>575.7956222415019</x:v>
      </x:c>
      <x:c r="V2965" s="20" t="n">
        <x:v>12</x:v>
      </x:c>
      <x:c r="W2965" s="20" t="n">
        <x:v>5</x:v>
      </x:c>
      <x:c r="X2965" s="20" t="n">
        <x:v>3</x:v>
      </x:c>
      <x:c r="Y2965" t="str">
        <x:v>Basis arsip 2025/2024</x:v>
      </x:c>
      <x:c r="Z2965" t="str">
        <x:v>https://snpmb.id/utbk-snbt/daya-tampung-snbt</x:v>
      </x:c>
      <x:c r="AA2965" t="str">
        <x:v>Tidak Ada</x:v>
      </x:c>
      <x:c r="AB2965" t="str">
        <x:v>Campus=55; Ratio=29.9; Prodi=45; RelDemand=24.2; Capacity=45.8</x:v>
      </x:c>
    </x:row>
    <x:row r="2966">
      <x:c r="A2966" t="n">
        <x:v>2963</x:v>
      </x:c>
      <x:c r="B2966" t="str">
        <x:v>PTN Akademik</x:v>
      </x:c>
      <x:c r="C2966" t="str">
        <x:v>UNIVERSITAS MATARAM</x:v>
      </x:c>
      <x:c r="D2966" t="str">
        <x:v>PENDIDIKAN KIMIA</x:v>
      </x:c>
      <x:c r="E2966" t="str">
        <x:v>Sarjana</x:v>
      </x:c>
      <x:c r="F2966" s="18" t="n">
        <x:v>40</x:v>
      </x:c>
      <x:c r="G2966" s="18" t="n">
        <x:v>71</x:v>
      </x:c>
      <x:c r="H2966" s="19" t="n">
        <x:v>1.775</x:v>
      </x:c>
      <x:c r="I2966" s="18" t="n">
        <x:f>ROUND(MIN(Model_Config_v3!$B$6,MAX(Q2966,R2966,S2966*Model_Config_v3!$B$4+T2966*Model_Config_v3!$B$5)),0)</x:f>
        <x:v>612</x:v>
      </x:c>
      <x:c r="J2966" s="18" t="n">
        <x:f>MIN(Model_Config_v3!$B$6,I2966+Model_Config_v3!$B$7)</x:f>
        <x:v>632</x:v>
      </x:c>
      <x:c r="K2966" s="20" t="n">
        <x:v>39.9</x:v>
      </x:c>
      <x:c r="L2966" t="str">
        <x:v>RELATIF LONGGAR</x:v>
      </x:c>
      <x:c r="M2966" t="str">
        <x:v>SEDANG+</x:v>
      </x:c>
      <x:c r="N2966" t="str">
        <x:v>REGULER</x:v>
      </x:c>
      <x:c r="O2966" t="str">
        <x:v>SAINTEK</x:v>
      </x:c>
      <x:c r="P2966" t="str">
        <x:v>PENDIDIKAN</x:v>
      </x:c>
      <x:c r="Q2966" s="18" t="n">
        <x:v>0</x:v>
      </x:c>
      <x:c r="R2966" s="18" t="n">
        <x:v>0</x:v>
      </x:c>
      <x:c r="S2966" s="18" t="n">
        <x:v>547.4118193130224</x:v>
      </x:c>
      <x:c r="T2966" s="18" t="n">
        <x:v>640</x:v>
      </x:c>
      <x:c r="U2966" s="18" t="n">
        <x:v>547.4118193130224</x:v>
      </x:c>
      <x:c r="V2966" s="20" t="n">
        <x:v>12</x:v>
      </x:c>
      <x:c r="W2966" s="20" t="n">
        <x:v>5</x:v>
      </x:c>
      <x:c r="X2966" s="20" t="n">
        <x:v>3</x:v>
      </x:c>
      <x:c r="Y2966" t="str">
        <x:v>Basis arsip 2025/2024</x:v>
      </x:c>
      <x:c r="Z2966" t="str">
        <x:v>https://snpmb.id/utbk-snbt/daya-tampung-snbt</x:v>
      </x:c>
      <x:c r="AA2966" t="str">
        <x:v>Tidak Ada</x:v>
      </x:c>
      <x:c r="AB2966" t="str">
        <x:v>Campus=55; Ratio=14.7; Prodi=45; RelDemand=13.4; Capacity=66.7</x:v>
      </x:c>
    </x:row>
    <x:row r="2967">
      <x:c r="A2967" t="n">
        <x:v>2964</x:v>
      </x:c>
      <x:c r="B2967" t="str">
        <x:v>PTN Akademik</x:v>
      </x:c>
      <x:c r="C2967" t="str">
        <x:v>UNIVERSITAS MATARAM</x:v>
      </x:c>
      <x:c r="D2967" t="str">
        <x:v>PENDIDIKAN FISIKA</x:v>
      </x:c>
      <x:c r="E2967" t="str">
        <x:v>Sarjana</x:v>
      </x:c>
      <x:c r="F2967" s="18" t="n">
        <x:v>40</x:v>
      </x:c>
      <x:c r="G2967" s="18" t="n">
        <x:v>45</x:v>
      </x:c>
      <x:c r="H2967" s="19" t="n">
        <x:v>1.125</x:v>
      </x:c>
      <x:c r="I2967" s="18" t="n">
        <x:f>ROUND(MIN(Model_Config_v3!$B$6,MAX(Q2967,R2967,S2967*Model_Config_v3!$B$4+T2967*Model_Config_v3!$B$5)),0)</x:f>
        <x:v>601</x:v>
      </x:c>
      <x:c r="J2967" s="18" t="n">
        <x:f>MIN(Model_Config_v3!$B$6,I2967+Model_Config_v3!$B$7)</x:f>
        <x:v>621</x:v>
      </x:c>
      <x:c r="K2967" s="20" t="n">
        <x:v>36.5</x:v>
      </x:c>
      <x:c r="L2967" t="str">
        <x:v>RELATIF LONGGAR</x:v>
      </x:c>
      <x:c r="M2967" t="str">
        <x:v>SEDANG+</x:v>
      </x:c>
      <x:c r="N2967" t="str">
        <x:v>REGULER</x:v>
      </x:c>
      <x:c r="O2967" t="str">
        <x:v>SAINTEK</x:v>
      </x:c>
      <x:c r="P2967" t="str">
        <x:v>PENDIDIKAN</x:v>
      </x:c>
      <x:c r="Q2967" s="18" t="n">
        <x:v>0</x:v>
      </x:c>
      <x:c r="R2967" s="18" t="n">
        <x:v>0</x:v>
      </x:c>
      <x:c r="S2967" s="18" t="n">
        <x:v>525.6267774692119</x:v>
      </x:c>
      <x:c r="T2967" s="18" t="n">
        <x:v>633</x:v>
      </x:c>
      <x:c r="U2967" s="18" t="n">
        <x:v>525.6267774692119</x:v>
      </x:c>
      <x:c r="V2967" s="20" t="n">
        <x:v>12</x:v>
      </x:c>
      <x:c r="W2967" s="20" t="n">
        <x:v>5</x:v>
      </x:c>
      <x:c r="X2967" s="20" t="n">
        <x:v>3</x:v>
      </x:c>
      <x:c r="Y2967" t="str">
        <x:v>Basis arsip 2025/2024</x:v>
      </x:c>
      <x:c r="Z2967" t="str">
        <x:v>https://snpmb.id/utbk-snbt/daya-tampung-snbt</x:v>
      </x:c>
      <x:c r="AA2967" t="str">
        <x:v>Tidak Ada</x:v>
      </x:c>
      <x:c r="AB2967" t="str">
        <x:v>Campus=55; Ratio=3.0; Prodi=45; RelDemand=8.5; Capacity=66.7</x:v>
      </x:c>
    </x:row>
    <x:row r="2968">
      <x:c r="A2968" t="n">
        <x:v>2965</x:v>
      </x:c>
      <x:c r="B2968" t="str">
        <x:v>PTN Akademik</x:v>
      </x:c>
      <x:c r="C2968" t="str">
        <x:v>UNIVERSITAS MATARAM</x:v>
      </x:c>
      <x:c r="D2968" t="str">
        <x:v>PENDIDIKAN MATEMATIKA</x:v>
      </x:c>
      <x:c r="E2968" t="str">
        <x:v>Sarjana</x:v>
      </x:c>
      <x:c r="F2968" s="18" t="n">
        <x:v>75</x:v>
      </x:c>
      <x:c r="G2968" s="18" t="n">
        <x:v>213</x:v>
      </x:c>
      <x:c r="H2968" s="19" t="n">
        <x:v>2.84</x:v>
      </x:c>
      <x:c r="I2968" s="18" t="n">
        <x:f>ROUND(MIN(Model_Config_v3!$B$6,MAX(Q2968,R2968,S2968*Model_Config_v3!$B$4+T2968*Model_Config_v3!$B$5)),0)</x:f>
        <x:v>620</x:v>
      </x:c>
      <x:c r="J2968" s="18" t="n">
        <x:f>MIN(Model_Config_v3!$B$6,I2968+Model_Config_v3!$B$7)</x:f>
        <x:v>640</x:v>
      </x:c>
      <x:c r="K2968" s="20" t="n">
        <x:v>40.8</x:v>
      </x:c>
      <x:c r="L2968" t="str">
        <x:v>RELATIF LONGGAR</x:v>
      </x:c>
      <x:c r="M2968" t="str">
        <x:v>SEDANG+</x:v>
      </x:c>
      <x:c r="N2968" t="str">
        <x:v>REGULER</x:v>
      </x:c>
      <x:c r="O2968" t="str">
        <x:v>SAINTEK</x:v>
      </x:c>
      <x:c r="P2968" t="str">
        <x:v>PENDIDIKAN</x:v>
      </x:c>
      <x:c r="Q2968" s="18" t="n">
        <x:v>0</x:v>
      </x:c>
      <x:c r="R2968" s="18" t="n">
        <x:v>0</x:v>
      </x:c>
      <x:c r="S2968" s="18" t="n">
        <x:v>569.8650174051742</x:v>
      </x:c>
      <x:c r="T2968" s="18" t="n">
        <x:v>642</x:v>
      </x:c>
      <x:c r="U2968" s="18" t="n">
        <x:v>569.8650174051742</x:v>
      </x:c>
      <x:c r="V2968" s="20" t="n">
        <x:v>12</x:v>
      </x:c>
      <x:c r="W2968" s="20" t="n">
        <x:v>5</x:v>
      </x:c>
      <x:c r="X2968" s="20" t="n">
        <x:v>3</x:v>
      </x:c>
      <x:c r="Y2968" t="str">
        <x:v>Basis arsip 2025/2024</x:v>
      </x:c>
      <x:c r="Z2968" t="str">
        <x:v>https://snpmb.id/utbk-snbt/daya-tampung-snbt</x:v>
      </x:c>
      <x:c r="AA2968" t="str">
        <x:v>Tidak Ada</x:v>
      </x:c>
      <x:c r="AB2968" t="str">
        <x:v>Campus=55; Ratio=26.7; Prodi=45; RelDemand=21.4; Capacity=37.5</x:v>
      </x:c>
    </x:row>
    <x:row r="2969">
      <x:c r="A2969" t="n">
        <x:v>2966</x:v>
      </x:c>
      <x:c r="B2969" t="str">
        <x:v>PTN Akademik</x:v>
      </x:c>
      <x:c r="C2969" t="str">
        <x:v>UNIVERSITAS MATARAM</x:v>
      </x:c>
      <x:c r="D2969" t="str">
        <x:v>TEKNIK SIPIL</x:v>
      </x:c>
      <x:c r="E2969" t="str">
        <x:v>Sarjana</x:v>
      </x:c>
      <x:c r="F2969" s="18" t="n">
        <x:v>100</x:v>
      </x:c>
      <x:c r="G2969" s="18" t="n">
        <x:v>641</x:v>
      </x:c>
      <x:c r="H2969" s="19" t="n">
        <x:v>6.41</x:v>
      </x:c>
      <x:c r="I2969" s="18" t="n">
        <x:f>ROUND(MIN(Model_Config_v3!$B$6,MAX(Q2969,R2969,S2969*Model_Config_v3!$B$4+T2969*Model_Config_v3!$B$5)),0)</x:f>
        <x:v>644</x:v>
      </x:c>
      <x:c r="J2969" s="18" t="n">
        <x:f>MIN(Model_Config_v3!$B$6,I2969+Model_Config_v3!$B$7)</x:f>
        <x:v>664</x:v>
      </x:c>
      <x:c r="K2969" s="20" t="n">
        <x:v>49.6</x:v>
      </x:c>
      <x:c r="L2969" t="str">
        <x:v>MENENGAH</x:v>
      </x:c>
      <x:c r="M2969" t="str">
        <x:v>SEDANG+</x:v>
      </x:c>
      <x:c r="N2969" t="str">
        <x:v>REGULER</x:v>
      </x:c>
      <x:c r="O2969" t="str">
        <x:v>SAINTEK</x:v>
      </x:c>
      <x:c r="P2969" t="str">
        <x:v>TEKNIK/ARSITEKTUR/STATISTIKA/AKTUARIA</x:v>
      </x:c>
      <x:c r="Q2969" s="18" t="n">
        <x:v>0</x:v>
      </x:c>
      <x:c r="R2969" s="18" t="n">
        <x:v>0</x:v>
      </x:c>
      <x:c r="S2969" s="18" t="n">
        <x:v>608.7543832470699</x:v>
      </x:c>
      <x:c r="T2969" s="18" t="n">
        <x:v>659</x:v>
      </x:c>
      <x:c r="U2969" s="18" t="n">
        <x:v>618.7543832470699</x:v>
      </x:c>
      <x:c r="V2969" s="20" t="n">
        <x:v>12</x:v>
      </x:c>
      <x:c r="W2969" s="20" t="n">
        <x:v>5</x:v>
      </x:c>
      <x:c r="X2969" s="20" t="n">
        <x:v>3</x:v>
      </x:c>
      <x:c r="Y2969" t="str">
        <x:v>Basis arsip 2025/2024</x:v>
      </x:c>
      <x:c r="Z2969" t="str">
        <x:v>https://snpmb.id/utbk-snbt/daya-tampung-snbt</x:v>
      </x:c>
      <x:c r="AA2969" t="str">
        <x:v>Tidak Ada</x:v>
      </x:c>
      <x:c r="AB2969" t="str">
        <x:v>Campus=55; Ratio=47.5; Prodi=60; RelDemand=48.2; Capacity=16.7</x:v>
      </x:c>
    </x:row>
    <x:row r="2970">
      <x:c r="A2970" t="n">
        <x:v>2967</x:v>
      </x:c>
      <x:c r="B2970" t="str">
        <x:v>PTN Akademik</x:v>
      </x:c>
      <x:c r="C2970" t="str">
        <x:v>UNIVERSITAS MATARAM</x:v>
      </x:c>
      <x:c r="D2970" t="str">
        <x:v>TEKNIK MESIN</x:v>
      </x:c>
      <x:c r="E2970" t="str">
        <x:v>Sarjana</x:v>
      </x:c>
      <x:c r="F2970" s="18" t="n">
        <x:v>63</x:v>
      </x:c>
      <x:c r="G2970" s="18" t="n">
        <x:v>186</x:v>
      </x:c>
      <x:c r="H2970" s="19" t="n">
        <x:v>2.9523809523809526</x:v>
      </x:c>
      <x:c r="I2970" s="18" t="n">
        <x:f>ROUND(MIN(Model_Config_v3!$B$6,MAX(Q2970,R2970,S2970*Model_Config_v3!$B$4+T2970*Model_Config_v3!$B$5)),0)</x:f>
        <x:v>627</x:v>
      </x:c>
      <x:c r="J2970" s="18" t="n">
        <x:f>MIN(Model_Config_v3!$B$6,I2970+Model_Config_v3!$B$7)</x:f>
        <x:v>647</x:v>
      </x:c>
      <x:c r="K2970" s="20" t="n">
        <x:v>45.1</x:v>
      </x:c>
      <x:c r="L2970" t="str">
        <x:v>MENENGAH</x:v>
      </x:c>
      <x:c r="M2970" t="str">
        <x:v>SEDANG+</x:v>
      </x:c>
      <x:c r="N2970" t="str">
        <x:v>REGULER</x:v>
      </x:c>
      <x:c r="O2970" t="str">
        <x:v>SAINTEK</x:v>
      </x:c>
      <x:c r="P2970" t="str">
        <x:v>TEKNIK/ARSITEKTUR/STATISTIKA/AKTUARIA</x:v>
      </x:c>
      <x:c r="Q2970" s="18" t="n">
        <x:v>0</x:v>
      </x:c>
      <x:c r="R2970" s="18" t="n">
        <x:v>0</x:v>
      </x:c>
      <x:c r="S2970" s="18" t="n">
        <x:v>571.7189634240768</x:v>
      </x:c>
      <x:c r="T2970" s="18" t="n">
        <x:v>650</x:v>
      </x:c>
      <x:c r="U2970" s="18" t="n">
        <x:v>581.7189634240768</x:v>
      </x:c>
      <x:c r="V2970" s="20" t="n">
        <x:v>12</x:v>
      </x:c>
      <x:c r="W2970" s="20" t="n">
        <x:v>5</x:v>
      </x:c>
      <x:c r="X2970" s="20" t="n">
        <x:v>3</x:v>
      </x:c>
      <x:c r="Y2970" t="str">
        <x:v>Basis arsip 2025/2024</x:v>
      </x:c>
      <x:c r="Z2970" t="str">
        <x:v>https://snpmb.id/utbk-snbt/daya-tampung-snbt</x:v>
      </x:c>
      <x:c r="AA2970" t="str">
        <x:v>Tidak Ada</x:v>
      </x:c>
      <x:c r="AB2970" t="str">
        <x:v>Campus=55; Ratio=27.7; Prodi=60; RelDemand=22.2; Capacity=47.5</x:v>
      </x:c>
    </x:row>
    <x:row r="2971">
      <x:c r="A2971" t="n">
        <x:v>2968</x:v>
      </x:c>
      <x:c r="B2971" t="str">
        <x:v>PTN Akademik</x:v>
      </x:c>
      <x:c r="C2971" t="str">
        <x:v>UNIVERSITAS MATARAM</x:v>
      </x:c>
      <x:c r="D2971" t="str">
        <x:v>TEKNIK ELEKTRO</x:v>
      </x:c>
      <x:c r="E2971" t="str">
        <x:v>Sarjana</x:v>
      </x:c>
      <x:c r="F2971" s="18" t="n">
        <x:v>75</x:v>
      </x:c>
      <x:c r="G2971" s="18" t="n">
        <x:v>260</x:v>
      </x:c>
      <x:c r="H2971" s="19" t="n">
        <x:v>3.466666666666667</x:v>
      </x:c>
      <x:c r="I2971" s="18" t="n">
        <x:f>ROUND(MIN(Model_Config_v3!$B$6,MAX(Q2971,R2971,S2971*Model_Config_v3!$B$4+T2971*Model_Config_v3!$B$5)),0)</x:f>
        <x:v>630</x:v>
      </x:c>
      <x:c r="J2971" s="18" t="n">
        <x:f>MIN(Model_Config_v3!$B$6,I2971+Model_Config_v3!$B$7)</x:f>
        <x:v>650</x:v>
      </x:c>
      <x:c r="K2971" s="20" t="n">
        <x:v>45.6</x:v>
      </x:c>
      <x:c r="L2971" t="str">
        <x:v>MENENGAH</x:v>
      </x:c>
      <x:c r="M2971" t="str">
        <x:v>SEDANG+</x:v>
      </x:c>
      <x:c r="N2971" t="str">
        <x:v>REGULER</x:v>
      </x:c>
      <x:c r="O2971" t="str">
        <x:v>SAINTEK</x:v>
      </x:c>
      <x:c r="P2971" t="str">
        <x:v>TEKNIK/ARSITEKTUR/STATISTIKA/AKTUARIA</x:v>
      </x:c>
      <x:c r="Q2971" s="18" t="n">
        <x:v>0</x:v>
      </x:c>
      <x:c r="R2971" s="18" t="n">
        <x:v>0</x:v>
      </x:c>
      <x:c r="S2971" s="18" t="n">
        <x:v>579.390329303703</x:v>
      </x:c>
      <x:c r="T2971" s="18" t="n">
        <x:v>651</x:v>
      </x:c>
      <x:c r="U2971" s="18" t="n">
        <x:v>589.390329303703</x:v>
      </x:c>
      <x:c r="V2971" s="20" t="n">
        <x:v>12</x:v>
      </x:c>
      <x:c r="W2971" s="20" t="n">
        <x:v>5</x:v>
      </x:c>
      <x:c r="X2971" s="20" t="n">
        <x:v>3</x:v>
      </x:c>
      <x:c r="Y2971" t="str">
        <x:v>Basis arsip 2025/2024</x:v>
      </x:c>
      <x:c r="Z2971" t="str">
        <x:v>https://snpmb.id/utbk-snbt/daya-tampung-snbt</x:v>
      </x:c>
      <x:c r="AA2971" t="str">
        <x:v>Tidak Ada</x:v>
      </x:c>
      <x:c r="AB2971" t="str">
        <x:v>Campus=55; Ratio=31.8; Prodi=60; RelDemand=26.1; Capacity=37.5</x:v>
      </x:c>
    </x:row>
    <x:row r="2972">
      <x:c r="A2972" t="n">
        <x:v>2969</x:v>
      </x:c>
      <x:c r="B2972" t="str">
        <x:v>PTN Akademik</x:v>
      </x:c>
      <x:c r="C2972" t="str">
        <x:v>UNIVERSITAS MATARAM</x:v>
      </x:c>
      <x:c r="D2972" t="str">
        <x:v>BIOLOGI</x:v>
      </x:c>
      <x:c r="E2972" t="str">
        <x:v>Sarjana</x:v>
      </x:c>
      <x:c r="F2972" s="18" t="n">
        <x:v>30</x:v>
      </x:c>
      <x:c r="G2972" s="18" t="n">
        <x:v>108</x:v>
      </x:c>
      <x:c r="H2972" s="19" t="n">
        <x:v>3.6</x:v>
      </x:c>
      <x:c r="I2972" s="18" t="n">
        <x:f>ROUND(MIN(Model_Config_v3!$B$6,MAX(Q2972,R2972,S2972*Model_Config_v3!$B$4+T2972*Model_Config_v3!$B$5)),0)</x:f>
        <x:v>633</x:v>
      </x:c>
      <x:c r="J2972" s="18" t="n">
        <x:f>MIN(Model_Config_v3!$B$6,I2972+Model_Config_v3!$B$7)</x:f>
        <x:v>653</x:v>
      </x:c>
      <x:c r="K2972" s="20" t="n">
        <x:v>47.6</x:v>
      </x:c>
      <x:c r="L2972" t="str">
        <x:v>MENENGAH</x:v>
      </x:c>
      <x:c r="M2972" t="str">
        <x:v>SEDANG+</x:v>
      </x:c>
      <x:c r="N2972" t="str">
        <x:v>REGULER</x:v>
      </x:c>
      <x:c r="O2972" t="str">
        <x:v>SAINTEK</x:v>
      </x:c>
      <x:c r="P2972" t="str">
        <x:v>SAINS DASAR</x:v>
      </x:c>
      <x:c r="Q2972" s="18" t="n">
        <x:v>0</x:v>
      </x:c>
      <x:c r="R2972" s="18" t="n">
        <x:v>0</x:v>
      </x:c>
      <x:c r="S2972" s="18" t="n">
        <x:v>581.1932750844015</x:v>
      </x:c>
      <x:c r="T2972" s="18" t="n">
        <x:v>655</x:v>
      </x:c>
      <x:c r="U2972" s="18" t="n">
        <x:v>581.1932750844015</x:v>
      </x:c>
      <x:c r="V2972" s="20" t="n">
        <x:v>12</x:v>
      </x:c>
      <x:c r="W2972" s="20" t="n">
        <x:v>5</x:v>
      </x:c>
      <x:c r="X2972" s="20" t="n">
        <x:v>3</x:v>
      </x:c>
      <x:c r="Y2972" t="str">
        <x:v>Basis arsip 2025/2024</x:v>
      </x:c>
      <x:c r="Z2972" t="str">
        <x:v>https://snpmb.id/utbk-snbt/daya-tampung-snbt</x:v>
      </x:c>
      <x:c r="AA2972" t="str">
        <x:v>Tidak Ada</x:v>
      </x:c>
      <x:c r="AB2972" t="str">
        <x:v>Campus=55; Ratio=32.7; Prodi=50; RelDemand=27.1; Capacity=75.0</x:v>
      </x:c>
    </x:row>
    <x:row r="2973">
      <x:c r="A2973" t="n">
        <x:v>2970</x:v>
      </x:c>
      <x:c r="B2973" t="str">
        <x:v>PTN Akademik</x:v>
      </x:c>
      <x:c r="C2973" t="str">
        <x:v>UNIVERSITAS MATARAM</x:v>
      </x:c>
      <x:c r="D2973" t="str">
        <x:v>MATEMATIKA</x:v>
      </x:c>
      <x:c r="E2973" t="str">
        <x:v>Sarjana</x:v>
      </x:c>
      <x:c r="F2973" s="18" t="n">
        <x:v>30</x:v>
      </x:c>
      <x:c r="G2973" s="18" t="n">
        <x:v>93</x:v>
      </x:c>
      <x:c r="H2973" s="19" t="n">
        <x:v>3.1</x:v>
      </x:c>
      <x:c r="I2973" s="18" t="n">
        <x:f>ROUND(MIN(Model_Config_v3!$B$6,MAX(Q2973,R2973,S2973*Model_Config_v3!$B$4+T2973*Model_Config_v3!$B$5)),0)</x:f>
        <x:v>629</x:v>
      </x:c>
      <x:c r="J2973" s="18" t="n">
        <x:f>MIN(Model_Config_v3!$B$6,I2973+Model_Config_v3!$B$7)</x:f>
        <x:v>649</x:v>
      </x:c>
      <x:c r="K2973" s="20" t="n">
        <x:v>46.3</x:v>
      </x:c>
      <x:c r="L2973" t="str">
        <x:v>MENENGAH</x:v>
      </x:c>
      <x:c r="M2973" t="str">
        <x:v>SEDANG+</x:v>
      </x:c>
      <x:c r="N2973" t="str">
        <x:v>REGULER</x:v>
      </x:c>
      <x:c r="O2973" t="str">
        <x:v>SAINTEK</x:v>
      </x:c>
      <x:c r="P2973" t="str">
        <x:v>SAINS DASAR</x:v>
      </x:c>
      <x:c r="Q2973" s="18" t="n">
        <x:v>0</x:v>
      </x:c>
      <x:c r="R2973" s="18" t="n">
        <x:v>0</x:v>
      </x:c>
      <x:c r="S2973" s="18" t="n">
        <x:v>574.04978632177</x:v>
      </x:c>
      <x:c r="T2973" s="18" t="n">
        <x:v>653</x:v>
      </x:c>
      <x:c r="U2973" s="18" t="n">
        <x:v>574.04978632177</x:v>
      </x:c>
      <x:c r="V2973" s="20" t="n">
        <x:v>12</x:v>
      </x:c>
      <x:c r="W2973" s="20" t="n">
        <x:v>5</x:v>
      </x:c>
      <x:c r="X2973" s="20" t="n">
        <x:v>3</x:v>
      </x:c>
      <x:c r="Y2973" t="str">
        <x:v>Basis arsip 2025/2024</x:v>
      </x:c>
      <x:c r="Z2973" t="str">
        <x:v>https://snpmb.id/utbk-snbt/daya-tampung-snbt</x:v>
      </x:c>
      <x:c r="AA2973" t="str">
        <x:v>Tidak Ada</x:v>
      </x:c>
      <x:c r="AB2973" t="str">
        <x:v>Campus=55; Ratio=28.9; Prodi=50; RelDemand=23.3; Capacity=75.0</x:v>
      </x:c>
    </x:row>
    <x:row r="2974">
      <x:c r="A2974" t="n">
        <x:v>2971</x:v>
      </x:c>
      <x:c r="B2974" t="str">
        <x:v>PTN Akademik</x:v>
      </x:c>
      <x:c r="C2974" t="str">
        <x:v>UNIVERSITAS MATARAM</x:v>
      </x:c>
      <x:c r="D2974" t="str">
        <x:v>FISIKA</x:v>
      </x:c>
      <x:c r="E2974" t="str">
        <x:v>Sarjana</x:v>
      </x:c>
      <x:c r="F2974" s="18" t="n">
        <x:v>30</x:v>
      </x:c>
      <x:c r="G2974" s="18" t="n">
        <x:v>21</x:v>
      </x:c>
      <x:c r="H2974" s="19" t="n">
        <x:v>0.7</x:v>
      </x:c>
      <x:c r="I2974" s="18" t="n">
        <x:f>ROUND(MIN(Model_Config_v3!$B$6,MAX(Q2974,R2974,S2974*Model_Config_v3!$B$4+T2974*Model_Config_v3!$B$5)),0)</x:f>
        <x:v>601</x:v>
      </x:c>
      <x:c r="J2974" s="18" t="n">
        <x:f>MIN(Model_Config_v3!$B$6,I2974+Model_Config_v3!$B$7)</x:f>
        <x:v>621</x:v>
      </x:c>
      <x:c r="K2974" s="20" t="n">
        <x:v>37.3</x:v>
      </x:c>
      <x:c r="L2974" t="str">
        <x:v>RELATIF LONGGAR</x:v>
      </x:c>
      <x:c r="M2974" t="str">
        <x:v>SEDANG+</x:v>
      </x:c>
      <x:c r="N2974" t="str">
        <x:v>REGULER</x:v>
      </x:c>
      <x:c r="O2974" t="str">
        <x:v>SAINTEK</x:v>
      </x:c>
      <x:c r="P2974" t="str">
        <x:v>SAINS DASAR</x:v>
      </x:c>
      <x:c r="Q2974" s="18" t="n">
        <x:v>0</x:v>
      </x:c>
      <x:c r="R2974" s="18" t="n">
        <x:v>0</x:v>
      </x:c>
      <x:c r="S2974" s="18" t="n">
        <x:v>520</x:v>
      </x:c>
      <x:c r="T2974" s="18" t="n">
        <x:v>635</x:v>
      </x:c>
      <x:c r="U2974" s="18" t="n">
        <x:v>520</x:v>
      </x:c>
      <x:c r="V2974" s="20" t="n">
        <x:v>12</x:v>
      </x:c>
      <x:c r="W2974" s="20" t="n">
        <x:v>5</x:v>
      </x:c>
      <x:c r="X2974" s="20" t="n">
        <x:v>3</x:v>
      </x:c>
      <x:c r="Y2974" t="str">
        <x:v>Basis arsip 2025/2024</x:v>
      </x:c>
      <x:c r="Z2974" t="str">
        <x:v>https://snpmb.id/utbk-snbt/daya-tampung-snbt</x:v>
      </x:c>
      <x:c r="AA2974" t="str">
        <x:v>Tidak Ada</x:v>
      </x:c>
      <x:c r="AB2974" t="str">
        <x:v>Campus=55; Ratio=0.0; Prodi=50; RelDemand=5.3; Capacity=75.0</x:v>
      </x:c>
    </x:row>
    <x:row r="2975">
      <x:c r="A2975" t="n">
        <x:v>2972</x:v>
      </x:c>
      <x:c r="B2975" t="str">
        <x:v>PTN Akademik</x:v>
      </x:c>
      <x:c r="C2975" t="str">
        <x:v>UNIVERSITAS MATARAM</x:v>
      </x:c>
      <x:c r="D2975" t="str">
        <x:v>KIMIA</x:v>
      </x:c>
      <x:c r="E2975" t="str">
        <x:v>Sarjana</x:v>
      </x:c>
      <x:c r="F2975" s="18" t="n">
        <x:v>30</x:v>
      </x:c>
      <x:c r="G2975" s="18" t="n">
        <x:v>55</x:v>
      </x:c>
      <x:c r="H2975" s="19" t="n">
        <x:v>1.8333333333333333</x:v>
      </x:c>
      <x:c r="I2975" s="18" t="n">
        <x:f>ROUND(MIN(Model_Config_v3!$B$6,MAX(Q2975,R2975,S2975*Model_Config_v3!$B$4+T2975*Model_Config_v3!$B$5)),0)</x:f>
        <x:v>615</x:v>
      </x:c>
      <x:c r="J2975" s="18" t="n">
        <x:f>MIN(Model_Config_v3!$B$6,I2975+Model_Config_v3!$B$7)</x:f>
        <x:v>635</x:v>
      </x:c>
      <x:c r="K2975" s="20" t="n">
        <x:v>42</x:v>
      </x:c>
      <x:c r="L2975" t="str">
        <x:v>RELATIF LONGGAR</x:v>
      </x:c>
      <x:c r="M2975" t="str">
        <x:v>SEDANG+</x:v>
      </x:c>
      <x:c r="N2975" t="str">
        <x:v>REGULER</x:v>
      </x:c>
      <x:c r="O2975" t="str">
        <x:v>SAINTEK</x:v>
      </x:c>
      <x:c r="P2975" t="str">
        <x:v>SAINS DASAR</x:v>
      </x:c>
      <x:c r="Q2975" s="18" t="n">
        <x:v>0</x:v>
      </x:c>
      <x:c r="R2975" s="18" t="n">
        <x:v>0</x:v>
      </x:c>
      <x:c r="S2975" s="18" t="n">
        <x:v>548.956557825204</x:v>
      </x:c>
      <x:c r="T2975" s="18" t="n">
        <x:v>644</x:v>
      </x:c>
      <x:c r="U2975" s="18" t="n">
        <x:v>548.956557825204</x:v>
      </x:c>
      <x:c r="V2975" s="20" t="n">
        <x:v>12</x:v>
      </x:c>
      <x:c r="W2975" s="20" t="n">
        <x:v>5</x:v>
      </x:c>
      <x:c r="X2975" s="20" t="n">
        <x:v>3</x:v>
      </x:c>
      <x:c r="Y2975" t="str">
        <x:v>Basis arsip 2025/2024</x:v>
      </x:c>
      <x:c r="Z2975" t="str">
        <x:v>https://snpmb.id/utbk-snbt/daya-tampung-snbt</x:v>
      </x:c>
      <x:c r="AA2975" t="str">
        <x:v>Tidak Ada</x:v>
      </x:c>
      <x:c r="AB2975" t="str">
        <x:v>Campus=55; Ratio=15.5; Prodi=50; RelDemand=13.8; Capacity=75.0</x:v>
      </x:c>
    </x:row>
    <x:row r="2976">
      <x:c r="A2976" t="n">
        <x:v>2973</x:v>
      </x:c>
      <x:c r="B2976" t="str">
        <x:v>PTN Akademik</x:v>
      </x:c>
      <x:c r="C2976" t="str">
        <x:v>UNIVERSITAS MATARAM</x:v>
      </x:c>
      <x:c r="D2976" t="str">
        <x:v>PETERNAKAN</x:v>
      </x:c>
      <x:c r="E2976" t="str">
        <x:v>Sarjana</x:v>
      </x:c>
      <x:c r="F2976" s="18" t="n">
        <x:v>150</x:v>
      </x:c>
      <x:c r="G2976" s="18" t="n">
        <x:v>300</x:v>
      </x:c>
      <x:c r="H2976" s="19" t="n">
        <x:v>2</x:v>
      </x:c>
      <x:c r="I2976" s="18" t="n">
        <x:f>ROUND(MIN(Model_Config_v3!$B$6,MAX(Q2976,R2976,S2976*Model_Config_v3!$B$4+T2976*Model_Config_v3!$B$5)),0)</x:f>
        <x:v>604</x:v>
      </x:c>
      <x:c r="J2976" s="18" t="n">
        <x:f>MIN(Model_Config_v3!$B$6,I2976+Model_Config_v3!$B$7)</x:f>
        <x:v>624</x:v>
      </x:c>
      <x:c r="K2976" s="20" t="n">
        <x:v>33.2</x:v>
      </x:c>
      <x:c r="L2976" t="str">
        <x:v>RELATIF LONGGAR</x:v>
      </x:c>
      <x:c r="M2976" t="str">
        <x:v>SEDANG</x:v>
      </x:c>
      <x:c r="N2976" t="str">
        <x:v>REGULER</x:v>
      </x:c>
      <x:c r="O2976" t="str">
        <x:v>SAINTEK</x:v>
      </x:c>
      <x:c r="P2976" t="str">
        <x:v>UMUM</x:v>
      </x:c>
      <x:c r="Q2976" s="18" t="n">
        <x:v>0</x:v>
      </x:c>
      <x:c r="R2976" s="18" t="n">
        <x:v>0</x:v>
      </x:c>
      <x:c r="S2976" s="18" t="n">
        <x:v>553.1132995230379</x:v>
      </x:c>
      <x:c r="T2976" s="18" t="n">
        <x:v>626</x:v>
      </x:c>
      <x:c r="U2976" s="18" t="n">
        <x:v>553.1132995230379</x:v>
      </x:c>
      <x:c r="V2976" s="20" t="n">
        <x:v>12</x:v>
      </x:c>
      <x:c r="W2976" s="20" t="n">
        <x:v>5</x:v>
      </x:c>
      <x:c r="X2976" s="20" t="n">
        <x:v>3</x:v>
      </x:c>
      <x:c r="Y2976" t="str">
        <x:v>Basis arsip 2025/2024</x:v>
      </x:c>
      <x:c r="Z2976" t="str">
        <x:v>https://snpmb.id/utbk-snbt/daya-tampung-snbt</x:v>
      </x:c>
      <x:c r="AA2976" t="str">
        <x:v>Tidak Ada</x:v>
      </x:c>
      <x:c r="AB2976" t="str">
        <x:v>Campus=55; Ratio=17.7; Prodi=40; RelDemand=15.0; Capacity=0.0</x:v>
      </x:c>
    </x:row>
    <x:row r="2977">
      <x:c r="A2977" t="n">
        <x:v>2974</x:v>
      </x:c>
      <x:c r="B2977" t="str">
        <x:v>PTN Akademik</x:v>
      </x:c>
      <x:c r="C2977" t="str">
        <x:v>UNIVERSITAS MATARAM</x:v>
      </x:c>
      <x:c r="D2977" t="str">
        <x:v>PENDIDIKAN DOKTER</x:v>
      </x:c>
      <x:c r="E2977" t="str">
        <x:v>Sarjana</x:v>
      </x:c>
      <x:c r="F2977" s="18" t="n">
        <x:v>113</x:v>
      </x:c>
      <x:c r="G2977" s="18" t="n">
        <x:v>1280</x:v>
      </x:c>
      <x:c r="H2977" s="19" t="n">
        <x:v>11.327433628318584</x:v>
      </x:c>
      <x:c r="I2977" s="18" t="n">
        <x:f>ROUND(MIN(Model_Config_v3!$B$6,MAX(Q2977,R2977,S2977*Model_Config_v3!$B$4+T2977*Model_Config_v3!$B$5)),0)</x:f>
        <x:v>680</x:v>
      </x:c>
      <x:c r="J2977" s="18" t="n">
        <x:f>MIN(Model_Config_v3!$B$6,I2977+Model_Config_v3!$B$7)</x:f>
        <x:v>700</x:v>
      </x:c>
      <x:c r="K2977" s="20" t="n">
        <x:v>63.9</x:v>
      </x:c>
      <x:c r="L2977" t="str">
        <x:v>KETAT</x:v>
      </x:c>
      <x:c r="M2977" t="str">
        <x:v>SEDANG+</x:v>
      </x:c>
      <x:c r="N2977" t="str">
        <x:v>REGULER</x:v>
      </x:c>
      <x:c r="O2977" t="str">
        <x:v>SAINTEK</x:v>
      </x:c>
      <x:c r="P2977" t="str">
        <x:v>KEDOKTERAN</x:v>
      </x:c>
      <x:c r="Q2977" s="18" t="n">
        <x:v>0</x:v>
      </x:c>
      <x:c r="R2977" s="18" t="n">
        <x:v>680</x:v>
      </x:c>
      <x:c r="S2977" s="18" t="n">
        <x:v>635.9544678780893</x:v>
      </x:c>
      <x:c r="T2977" s="18" t="n">
        <x:v>688</x:v>
      </x:c>
      <x:c r="U2977" s="18" t="n">
        <x:v>680</x:v>
      </x:c>
      <x:c r="V2977" s="20" t="n">
        <x:v>12</x:v>
      </x:c>
      <x:c r="W2977" s="20" t="n">
        <x:v>5</x:v>
      </x:c>
      <x:c r="X2977" s="20" t="n">
        <x:v>3</x:v>
      </x:c>
      <x:c r="Y2977" t="str">
        <x:v>Basis arsip 2025/2024</x:v>
      </x:c>
      <x:c r="Z2977" t="str">
        <x:v>https://snpmb.id/utbk-snbt/daya-tampung-snbt</x:v>
      </x:c>
      <x:c r="AA2977" t="str">
        <x:v>Tidak Ada</x:v>
      </x:c>
      <x:c r="AB2977" t="str">
        <x:v>Campus=55; Ratio=62.0; Prodi=100; RelDemand=85.2; Capacity=5.8</x:v>
      </x:c>
    </x:row>
    <x:row r="2978">
      <x:c r="A2978" t="n">
        <x:v>2975</x:v>
      </x:c>
      <x:c r="B2978" t="str">
        <x:v>PTN Akademik</x:v>
      </x:c>
      <x:c r="C2978" t="str">
        <x:v>UNIVERSITAS MATARAM</x:v>
      </x:c>
      <x:c r="D2978" t="str">
        <x:v>ILMU DAN TEKNOLOGI PANGAN</x:v>
      </x:c>
      <x:c r="E2978" t="str">
        <x:v>Sarjana</x:v>
      </x:c>
      <x:c r="F2978" s="18" t="n">
        <x:v>75</x:v>
      </x:c>
      <x:c r="G2978" s="18" t="n">
        <x:v>317</x:v>
      </x:c>
      <x:c r="H2978" s="19" t="n">
        <x:v>4.226666666666667</x:v>
      </x:c>
      <x:c r="I2978" s="18" t="n">
        <x:f>ROUND(MIN(Model_Config_v3!$B$6,MAX(Q2978,R2978,S2978*Model_Config_v3!$B$4+T2978*Model_Config_v3!$B$5)),0)</x:f>
        <x:v>630</x:v>
      </x:c>
      <x:c r="J2978" s="18" t="n">
        <x:f>MIN(Model_Config_v3!$B$6,I2978+Model_Config_v3!$B$7)</x:f>
        <x:v>650</x:v>
      </x:c>
      <x:c r="K2978" s="20" t="n">
        <x:v>43.4</x:v>
      </x:c>
      <x:c r="L2978" t="str">
        <x:v>RELATIF LONGGAR</x:v>
      </x:c>
      <x:c r="M2978" t="str">
        <x:v>SEDANG</x:v>
      </x:c>
      <x:c r="N2978" t="str">
        <x:v>REGULER</x:v>
      </x:c>
      <x:c r="O2978" t="str">
        <x:v>SAINTEK</x:v>
      </x:c>
      <x:c r="P2978" t="str">
        <x:v>UMUM</x:v>
      </x:c>
      <x:c r="Q2978" s="18" t="n">
        <x:v>0</x:v>
      </x:c>
      <x:c r="R2978" s="18" t="n">
        <x:v>0</x:v>
      </x:c>
      <x:c r="S2978" s="18" t="n">
        <x:v>588.8597798708656</x:v>
      </x:c>
      <x:c r="T2978" s="18" t="n">
        <x:v>647</x:v>
      </x:c>
      <x:c r="U2978" s="18" t="n">
        <x:v>588.8597798708656</x:v>
      </x:c>
      <x:c r="V2978" s="20" t="n">
        <x:v>12</x:v>
      </x:c>
      <x:c r="W2978" s="20" t="n">
        <x:v>5</x:v>
      </x:c>
      <x:c r="X2978" s="20" t="n">
        <x:v>3</x:v>
      </x:c>
      <x:c r="Y2978" t="str">
        <x:v>Basis arsip 2025/2024</x:v>
      </x:c>
      <x:c r="Z2978" t="str">
        <x:v>https://snpmb.id/utbk-snbt/daya-tampung-snbt</x:v>
      </x:c>
      <x:c r="AA2978" t="str">
        <x:v>Tidak Ada</x:v>
      </x:c>
      <x:c r="AB2978" t="str">
        <x:v>Campus=55; Ratio=36.8; Prodi=40; RelDemand=31.8; Capacity=37.5</x:v>
      </x:c>
    </x:row>
    <x:row r="2979">
      <x:c r="A2979" t="n">
        <x:v>2976</x:v>
      </x:c>
      <x:c r="B2979" t="str">
        <x:v>PTN Akademik</x:v>
      </x:c>
      <x:c r="C2979" t="str">
        <x:v>UNIVERSITAS MATARAM</x:v>
      </x:c>
      <x:c r="D2979" t="str">
        <x:v>KETEKNIKAN PERTANIAN</x:v>
      </x:c>
      <x:c r="E2979" t="str">
        <x:v>Sarjana</x:v>
      </x:c>
      <x:c r="F2979" s="18" t="n">
        <x:v>75</x:v>
      </x:c>
      <x:c r="G2979" s="18" t="n">
        <x:v>199</x:v>
      </x:c>
      <x:c r="H2979" s="19" t="n">
        <x:v>2.6533333333333333</x:v>
      </x:c>
      <x:c r="I2979" s="18" t="n">
        <x:f>ROUND(MIN(Model_Config_v3!$B$6,MAX(Q2979,R2979,S2979*Model_Config_v3!$B$4+T2979*Model_Config_v3!$B$5)),0)</x:f>
        <x:v>622</x:v>
      </x:c>
      <x:c r="J2979" s="18" t="n">
        <x:f>MIN(Model_Config_v3!$B$6,I2979+Model_Config_v3!$B$7)</x:f>
        <x:v>642</x:v>
      </x:c>
      <x:c r="K2979" s="20" t="n">
        <x:v>43.2</x:v>
      </x:c>
      <x:c r="L2979" t="str">
        <x:v>RELATIF LONGGAR</x:v>
      </x:c>
      <x:c r="M2979" t="str">
        <x:v>SEDANG+</x:v>
      </x:c>
      <x:c r="N2979" t="str">
        <x:v>REGULER</x:v>
      </x:c>
      <x:c r="O2979" t="str">
        <x:v>SAINTEK</x:v>
      </x:c>
      <x:c r="P2979" t="str">
        <x:v>TEKNIK/ARSITEKTUR/STATISTIKA/AKTUARIA</x:v>
      </x:c>
      <x:c r="Q2979" s="18" t="n">
        <x:v>0</x:v>
      </x:c>
      <x:c r="R2979" s="18" t="n">
        <x:v>0</x:v>
      </x:c>
      <x:c r="S2979" s="18" t="n">
        <x:v>566.6170994319807</x:v>
      </x:c>
      <x:c r="T2979" s="18" t="n">
        <x:v>646</x:v>
      </x:c>
      <x:c r="U2979" s="18" t="n">
        <x:v>576.6170994319807</x:v>
      </x:c>
      <x:c r="V2979" s="20" t="n">
        <x:v>12</x:v>
      </x:c>
      <x:c r="W2979" s="20" t="n">
        <x:v>5</x:v>
      </x:c>
      <x:c r="X2979" s="20" t="n">
        <x:v>3</x:v>
      </x:c>
      <x:c r="Y2979" t="str">
        <x:v>Basis arsip 2025/2024</x:v>
      </x:c>
      <x:c r="Z2979" t="str">
        <x:v>https://snpmb.id/utbk-snbt/daya-tampung-snbt</x:v>
      </x:c>
      <x:c r="AA2979" t="str">
        <x:v>Tidak Ada</x:v>
      </x:c>
      <x:c r="AB2979" t="str">
        <x:v>Campus=55; Ratio=24.9; Prodi=60; RelDemand=20.0; Capacity=37.5</x:v>
      </x:c>
    </x:row>
    <x:row r="2980">
      <x:c r="A2980" t="n">
        <x:v>2977</x:v>
      </x:c>
      <x:c r="B2980" t="str">
        <x:v>PTN Akademik</x:v>
      </x:c>
      <x:c r="C2980" t="str">
        <x:v>UNIVERSITAS MATARAM</x:v>
      </x:c>
      <x:c r="D2980" t="str">
        <x:v>BUDIDAYA PERAIRAN</x:v>
      </x:c>
      <x:c r="E2980" t="str">
        <x:v>Sarjana</x:v>
      </x:c>
      <x:c r="F2980" s="18" t="n">
        <x:v>45</x:v>
      </x:c>
      <x:c r="G2980" s="18" t="n">
        <x:v>66</x:v>
      </x:c>
      <x:c r="H2980" s="19" t="n">
        <x:v>1.4666666666666666</x:v>
      </x:c>
      <x:c r="I2980" s="18" t="n">
        <x:f>ROUND(MIN(Model_Config_v3!$B$6,MAX(Q2980,R2980,S2980*Model_Config_v3!$B$4+T2980*Model_Config_v3!$B$5)),0)</x:f>
        <x:v>605</x:v>
      </x:c>
      <x:c r="J2980" s="18" t="n">
        <x:f>MIN(Model_Config_v3!$B$6,I2980+Model_Config_v3!$B$7)</x:f>
        <x:v>625</x:v>
      </x:c>
      <x:c r="K2980" s="20" t="n">
        <x:v>37.1</x:v>
      </x:c>
      <x:c r="L2980" t="str">
        <x:v>RELATIF LONGGAR</x:v>
      </x:c>
      <x:c r="M2980" t="str">
        <x:v>SEDANG</x:v>
      </x:c>
      <x:c r="N2980" t="str">
        <x:v>REGULER</x:v>
      </x:c>
      <x:c r="O2980" t="str">
        <x:v>CAMPURAN</x:v>
      </x:c>
      <x:c r="P2980" t="str">
        <x:v>UMUM</x:v>
      </x:c>
      <x:c r="Q2980" s="18" t="n">
        <x:v>0</x:v>
      </x:c>
      <x:c r="R2980" s="18" t="n">
        <x:v>0</x:v>
      </x:c>
      <x:c r="S2980" s="18" t="n">
        <x:v>538.2964563943177</x:v>
      </x:c>
      <x:c r="T2980" s="18" t="n">
        <x:v>634</x:v>
      </x:c>
      <x:c r="U2980" s="18" t="n">
        <x:v>538.2964563943177</x:v>
      </x:c>
      <x:c r="V2980" s="20" t="n">
        <x:v>8.8</x:v>
      </x:c>
      <x:c r="W2980" s="20" t="n">
        <x:v>9.9</x:v>
      </x:c>
      <x:c r="X2980" s="20" t="n">
        <x:v>3.3</x:v>
      </x:c>
      <x:c r="Y2980" t="str">
        <x:v>Basis arsip 2025/2024</x:v>
      </x:c>
      <x:c r="Z2980" t="str">
        <x:v>https://snpmb.id/utbk-snbt/daya-tampung-snbt</x:v>
      </x:c>
      <x:c r="AA2980" t="str">
        <x:v>Tidak Ada</x:v>
      </x:c>
      <x:c r="AB2980" t="str">
        <x:v>Campus=55; Ratio=9.8; Prodi=40; RelDemand=11.0; Capacity=62.5</x:v>
      </x:c>
    </x:row>
    <x:row r="2981">
      <x:c r="A2981" t="n">
        <x:v>2978</x:v>
      </x:c>
      <x:c r="B2981" t="str">
        <x:v>PTN Akademik</x:v>
      </x:c>
      <x:c r="C2981" t="str">
        <x:v>UNIVERSITAS MATARAM</x:v>
      </x:c>
      <x:c r="D2981" t="str">
        <x:v>TEKNIK INFORMATIKA</x:v>
      </x:c>
      <x:c r="E2981" t="str">
        <x:v>Sarjana</x:v>
      </x:c>
      <x:c r="F2981" s="18" t="n">
        <x:v>75</x:v>
      </x:c>
      <x:c r="G2981" s="18" t="n">
        <x:v>1351</x:v>
      </x:c>
      <x:c r="H2981" s="19" t="n">
        <x:v>18.013333333333332</x:v>
      </x:c>
      <x:c r="I2981" s="18" t="n">
        <x:f>ROUND(MIN(Model_Config_v3!$B$6,MAX(Q2981,R2981,S2981*Model_Config_v3!$B$4+T2981*Model_Config_v3!$B$5)),0)</x:f>
        <x:v>685</x:v>
      </x:c>
      <x:c r="J2981" s="18" t="n">
        <x:f>MIN(Model_Config_v3!$B$6,I2981+Model_Config_v3!$B$7)</x:f>
        <x:v>705</x:v>
      </x:c>
      <x:c r="K2981" s="20" t="n">
        <x:v>68.5</x:v>
      </x:c>
      <x:c r="L2981" t="str">
        <x:v>SANGAT KETAT</x:v>
      </x:c>
      <x:c r="M2981" t="str">
        <x:v>SEDANG+</x:v>
      </x:c>
      <x:c r="N2981" t="str">
        <x:v>REGULER</x:v>
      </x:c>
      <x:c r="O2981" t="str">
        <x:v>SAINTEK</x:v>
      </x:c>
      <x:c r="P2981" t="str">
        <x:v>KOMPUTER/INFORMATIKA</x:v>
      </x:c>
      <x:c r="Q2981" s="18" t="n">
        <x:v>0</x:v>
      </x:c>
      <x:c r="R2981" s="18" t="n">
        <x:v>0</x:v>
      </x:c>
      <x:c r="S2981" s="18" t="n">
        <x:v>658.1153494193363</x:v>
      </x:c>
      <x:c r="T2981" s="18" t="n">
        <x:v>697</x:v>
      </x:c>
      <x:c r="U2981" s="18" t="n">
        <x:v>683.1153494193363</x:v>
      </x:c>
      <x:c r="V2981" s="20" t="n">
        <x:v>12</x:v>
      </x:c>
      <x:c r="W2981" s="20" t="n">
        <x:v>5</x:v>
      </x:c>
      <x:c r="X2981" s="20" t="n">
        <x:v>3</x:v>
      </x:c>
      <x:c r="Y2981" t="str">
        <x:v>Basis arsip 2025/2024</x:v>
      </x:c>
      <x:c r="Z2981" t="str">
        <x:v>https://snpmb.id/utbk-snbt/daya-tampung-snbt</x:v>
      </x:c>
      <x:c r="AA2981" t="str">
        <x:v>Tidak Ada</x:v>
      </x:c>
      <x:c r="AB2981" t="str">
        <x:v>Campus=55; Ratio=73.9; Prodi=85; RelDemand=100.0; Capacity=37.5</x:v>
      </x:c>
    </x:row>
    <x:row r="2982">
      <x:c r="A2982" t="n">
        <x:v>2979</x:v>
      </x:c>
      <x:c r="B2982" t="str">
        <x:v>PTN Akademik</x:v>
      </x:c>
      <x:c r="C2982" t="str">
        <x:v>UNIVERSITAS MATARAM</x:v>
      </x:c>
      <x:c r="D2982" t="str">
        <x:v>FARMASI</x:v>
      </x:c>
      <x:c r="E2982" t="str">
        <x:v>Sarjana</x:v>
      </x:c>
      <x:c r="F2982" s="18" t="n">
        <x:v>45</x:v>
      </x:c>
      <x:c r="G2982" s="18" t="n">
        <x:v>1041</x:v>
      </x:c>
      <x:c r="H2982" s="19" t="n">
        <x:v>23.133333333333333</x:v>
      </x:c>
      <x:c r="I2982" s="18" t="n">
        <x:f>ROUND(MIN(Model_Config_v3!$B$6,MAX(Q2982,R2982,S2982*Model_Config_v3!$B$4+T2982*Model_Config_v3!$B$5)),0)</x:f>
        <x:v>692</x:v>
      </x:c>
      <x:c r="J2982" s="18" t="n">
        <x:f>MIN(Model_Config_v3!$B$6,I2982+Model_Config_v3!$B$7)</x:f>
        <x:v>712</x:v>
      </x:c>
      <x:c r="K2982" s="20" t="n">
        <x:v>70.6</x:v>
      </x:c>
      <x:c r="L2982" t="str">
        <x:v>SANGAT KETAT</x:v>
      </x:c>
      <x:c r="M2982" t="str">
        <x:v>SEDANG+</x:v>
      </x:c>
      <x:c r="N2982" t="str">
        <x:v>REGULER</x:v>
      </x:c>
      <x:c r="O2982" t="str">
        <x:v>SAINTEK</x:v>
      </x:c>
      <x:c r="P2982" t="str">
        <x:v>FARMASI</x:v>
      </x:c>
      <x:c r="Q2982" s="18" t="n">
        <x:v>0</x:v>
      </x:c>
      <x:c r="R2982" s="18" t="n">
        <x:v>0</x:v>
      </x:c>
      <x:c r="S2982" s="18" t="n">
        <x:v>670.0662037308712</x:v>
      </x:c>
      <x:c r="T2982" s="18" t="n">
        <x:v>701</x:v>
      </x:c>
      <x:c r="U2982" s="18" t="n">
        <x:v>690.0662037308712</x:v>
      </x:c>
      <x:c r="V2982" s="20" t="n">
        <x:v>12</x:v>
      </x:c>
      <x:c r="W2982" s="20" t="n">
        <x:v>5</x:v>
      </x:c>
      <x:c r="X2982" s="20" t="n">
        <x:v>3</x:v>
      </x:c>
      <x:c r="Y2982" t="str">
        <x:v>Basis arsip 2025/2024</x:v>
      </x:c>
      <x:c r="Z2982" t="str">
        <x:v>https://snpmb.id/utbk-snbt/daya-tampung-snbt</x:v>
      </x:c>
      <x:c r="AA2982" t="str">
        <x:v>Tidak Ada</x:v>
      </x:c>
      <x:c r="AB2982" t="str">
        <x:v>Campus=55; Ratio=80.3; Prodi=75; RelDemand=100.0; Capacity=62.5</x:v>
      </x:c>
    </x:row>
    <x:row r="2983">
      <x:c r="A2983" t="n">
        <x:v>2980</x:v>
      </x:c>
      <x:c r="B2983" t="str">
        <x:v>PTN Akademik</x:v>
      </x:c>
      <x:c r="C2983" t="str">
        <x:v>UNIVERSITAS MATARAM</x:v>
      </x:c>
      <x:c r="D2983" t="str">
        <x:v>ILMU TANAH</x:v>
      </x:c>
      <x:c r="E2983" t="str">
        <x:v>Sarjana</x:v>
      </x:c>
      <x:c r="F2983" s="18" t="n">
        <x:v>55</x:v>
      </x:c>
      <x:c r="G2983" s="18" t="n">
        <x:v>100</x:v>
      </x:c>
      <x:c r="H2983" s="19" t="n">
        <x:v>1.8181818181818181</x:v>
      </x:c>
      <x:c r="I2983" s="18" t="n">
        <x:f>ROUND(MIN(Model_Config_v3!$B$6,MAX(Q2983,R2983,S2983*Model_Config_v3!$B$4+T2983*Model_Config_v3!$B$5)),0)</x:f>
        <x:v>610</x:v>
      </x:c>
      <x:c r="J2983" s="18" t="n">
        <x:f>MIN(Model_Config_v3!$B$6,I2983+Model_Config_v3!$B$7)</x:f>
        <x:v>630</x:v>
      </x:c>
      <x:c r="K2983" s="20" t="n">
        <x:v>37.9</x:v>
      </x:c>
      <x:c r="L2983" t="str">
        <x:v>RELATIF LONGGAR</x:v>
      </x:c>
      <x:c r="M2983" t="str">
        <x:v>SEDANG</x:v>
      </x:c>
      <x:c r="N2983" t="str">
        <x:v>REGULER</x:v>
      </x:c>
      <x:c r="O2983" t="str">
        <x:v>CAMPURAN</x:v>
      </x:c>
      <x:c r="P2983" t="str">
        <x:v>UMUM</x:v>
      </x:c>
      <x:c r="Q2983" s="18" t="n">
        <x:v>0</x:v>
      </x:c>
      <x:c r="R2983" s="18" t="n">
        <x:v>0</x:v>
      </x:c>
      <x:c r="S2983" s="18" t="n">
        <x:v>548.5601041556332</x:v>
      </x:c>
      <x:c r="T2983" s="18" t="n">
        <x:v>636</x:v>
      </x:c>
      <x:c r="U2983" s="18" t="n">
        <x:v>548.5601041556332</x:v>
      </x:c>
      <x:c r="V2983" s="20" t="n">
        <x:v>8.8</x:v>
      </x:c>
      <x:c r="W2983" s="20" t="n">
        <x:v>9.9</x:v>
      </x:c>
      <x:c r="X2983" s="20" t="n">
        <x:v>3.3</x:v>
      </x:c>
      <x:c r="Y2983" t="str">
        <x:v>Basis arsip 2025/2024</x:v>
      </x:c>
      <x:c r="Z2983" t="str">
        <x:v>https://snpmb.id/utbk-snbt/daya-tampung-snbt</x:v>
      </x:c>
      <x:c r="AA2983" t="str">
        <x:v>Tidak Ada</x:v>
      </x:c>
      <x:c r="AB2983" t="str">
        <x:v>Campus=55; Ratio=15.3; Prodi=40; RelDemand=13.7; Capacity=54.2</x:v>
      </x:c>
    </x:row>
    <x:row r="2984">
      <x:c r="A2984" t="n">
        <x:v>2981</x:v>
      </x:c>
      <x:c r="B2984" t="str">
        <x:v>PTN Akademik</x:v>
      </x:c>
      <x:c r="C2984" t="str">
        <x:v>UNIVERSITAS MATARAM</x:v>
      </x:c>
      <x:c r="D2984" t="str">
        <x:v>ILMU KELAUTAN</x:v>
      </x:c>
      <x:c r="E2984" t="str">
        <x:v>Sarjana</x:v>
      </x:c>
      <x:c r="F2984" s="18" t="n">
        <x:v>50</x:v>
      </x:c>
      <x:c r="G2984" s="18" t="n">
        <x:v>119</x:v>
      </x:c>
      <x:c r="H2984" s="19" t="n">
        <x:v>2.38</x:v>
      </x:c>
      <x:c r="I2984" s="18" t="n">
        <x:f>ROUND(MIN(Model_Config_v3!$B$6,MAX(Q2984,R2984,S2984*Model_Config_v3!$B$4+T2984*Model_Config_v3!$B$5)),0)</x:f>
        <x:v>617</x:v>
      </x:c>
      <x:c r="J2984" s="18" t="n">
        <x:f>MIN(Model_Config_v3!$B$6,I2984+Model_Config_v3!$B$7)</x:f>
        <x:v>637</x:v>
      </x:c>
      <x:c r="K2984" s="20" t="n">
        <x:v>40.4</x:v>
      </x:c>
      <x:c r="L2984" t="str">
        <x:v>RELATIF LONGGAR</x:v>
      </x:c>
      <x:c r="M2984" t="str">
        <x:v>SEDANG</x:v>
      </x:c>
      <x:c r="N2984" t="str">
        <x:v>REGULER</x:v>
      </x:c>
      <x:c r="O2984" t="str">
        <x:v>SAINTEK</x:v>
      </x:c>
      <x:c r="P2984" t="str">
        <x:v>UMUM</x:v>
      </x:c>
      <x:c r="Q2984" s="18" t="n">
        <x:v>0</x:v>
      </x:c>
      <x:c r="R2984" s="18" t="n">
        <x:v>0</x:v>
      </x:c>
      <x:c r="S2984" s="18" t="n">
        <x:v>561.4234652762163</x:v>
      </x:c>
      <x:c r="T2984" s="18" t="n">
        <x:v>641</x:v>
      </x:c>
      <x:c r="U2984" s="18" t="n">
        <x:v>561.4234652762163</x:v>
      </x:c>
      <x:c r="V2984" s="20" t="n">
        <x:v>12</x:v>
      </x:c>
      <x:c r="W2984" s="20" t="n">
        <x:v>5</x:v>
      </x:c>
      <x:c r="X2984" s="20" t="n">
        <x:v>3</x:v>
      </x:c>
      <x:c r="Y2984" t="str">
        <x:v>Basis arsip 2025/2024</x:v>
      </x:c>
      <x:c r="Z2984" t="str">
        <x:v>https://snpmb.id/utbk-snbt/daya-tampung-snbt</x:v>
      </x:c>
      <x:c r="AA2984" t="str">
        <x:v>Tidak Ada</x:v>
      </x:c>
      <x:c r="AB2984" t="str">
        <x:v>Campus=55; Ratio=22.2; Prodi=40; RelDemand=17.9; Capacity=58.3</x:v>
      </x:c>
    </x:row>
    <x:row r="2985">
      <x:c r="A2985" t="n">
        <x:v>2982</x:v>
      </x:c>
      <x:c r="B2985" t="str">
        <x:v>PTN Akademik</x:v>
      </x:c>
      <x:c r="C2985" t="str">
        <x:v>UNIVERSITAS MATARAM</x:v>
      </x:c>
      <x:c r="D2985" t="str">
        <x:v>ARSITEKTUR</x:v>
      </x:c>
      <x:c r="E2985" t="str">
        <x:v>Sarjana</x:v>
      </x:c>
      <x:c r="F2985" s="18" t="n">
        <x:v>50</x:v>
      </x:c>
      <x:c r="G2985" s="18" t="n">
        <x:v>276</x:v>
      </x:c>
      <x:c r="H2985" s="19" t="n">
        <x:v>5.52</x:v>
      </x:c>
      <x:c r="I2985" s="18" t="n">
        <x:f>ROUND(MIN(Model_Config_v3!$B$6,MAX(Q2985,R2985,S2985*Model_Config_v3!$B$4+T2985*Model_Config_v3!$B$5)),0)</x:f>
        <x:v>645</x:v>
      </x:c>
      <x:c r="J2985" s="18" t="n">
        <x:f>MIN(Model_Config_v3!$B$6,I2985+Model_Config_v3!$B$7)</x:f>
        <x:v>665</x:v>
      </x:c>
      <x:c r="K2985" s="20" t="n">
        <x:v>52.2</x:v>
      </x:c>
      <x:c r="L2985" t="str">
        <x:v>MENENGAH</x:v>
      </x:c>
      <x:c r="M2985" t="str">
        <x:v>SEDANG+</x:v>
      </x:c>
      <x:c r="N2985" t="str">
        <x:v>REGULER</x:v>
      </x:c>
      <x:c r="O2985" t="str">
        <x:v>SAINTEK</x:v>
      </x:c>
      <x:c r="P2985" t="str">
        <x:v>TEKNIK/ARSITEKTUR/STATISTIKA/AKTUARIA</x:v>
      </x:c>
      <x:c r="Q2985" s="18" t="n">
        <x:v>0</x:v>
      </x:c>
      <x:c r="R2985" s="18" t="n">
        <x:v>0</x:v>
      </x:c>
      <x:c r="S2985" s="18" t="n">
        <x:v>601.6132985502119</x:v>
      </x:c>
      <x:c r="T2985" s="18" t="n">
        <x:v>664</x:v>
      </x:c>
      <x:c r="U2985" s="18" t="n">
        <x:v>601.6132985502119</x:v>
      </x:c>
      <x:c r="V2985" s="20" t="n">
        <x:v>12</x:v>
      </x:c>
      <x:c r="W2985" s="20" t="n">
        <x:v>5</x:v>
      </x:c>
      <x:c r="X2985" s="20" t="n">
        <x:v>3</x:v>
      </x:c>
      <x:c r="Y2985" t="str">
        <x:v>Basis arsip 2025/2024</x:v>
      </x:c>
      <x:c r="Z2985" t="str">
        <x:v>https://snpmb.id/utbk-snbt/daya-tampung-snbt</x:v>
      </x:c>
      <x:c r="AA2985" t="str">
        <x:v>Tidak Ada</x:v>
      </x:c>
      <x:c r="AB2985" t="str">
        <x:v>Campus=55; Ratio=43.7; Prodi=60; RelDemand=41.5; Capacity=58.3</x:v>
      </x:c>
    </x:row>
    <x:row r="2986">
      <x:c r="A2986" t="n">
        <x:v>2983</x:v>
      </x:c>
      <x:c r="B2986" t="str">
        <x:v>PTN Akademik</x:v>
      </x:c>
      <x:c r="C2986" t="str">
        <x:v>UNIVERSITAS MATARAM</x:v>
      </x:c>
      <x:c r="D2986" t="str">
        <x:v>ILMU LINGKUNGAN</x:v>
      </x:c>
      <x:c r="E2986" t="str">
        <x:v>Sarjana</x:v>
      </x:c>
      <x:c r="F2986" s="18" t="n">
        <x:v>30</x:v>
      </x:c>
      <x:c r="G2986" s="18" t="n">
        <x:v>149</x:v>
      </x:c>
      <x:c r="H2986" s="19" t="n">
        <x:v>4.966666666666667</x:v>
      </x:c>
      <x:c r="I2986" s="18" t="n">
        <x:f>ROUND(MIN(Model_Config_v3!$B$6,MAX(Q2986,R2986,S2986*Model_Config_v3!$B$4+T2986*Model_Config_v3!$B$5)),0)</x:f>
        <x:v>639</x:v>
      </x:c>
      <x:c r="J2986" s="18" t="n">
        <x:f>MIN(Model_Config_v3!$B$6,I2986+Model_Config_v3!$B$7)</x:f>
        <x:v>659</x:v>
      </x:c>
      <x:c r="K2986" s="20" t="n">
        <x:v>48.7</x:v>
      </x:c>
      <x:c r="L2986" t="str">
        <x:v>MENENGAH</x:v>
      </x:c>
      <x:c r="M2986" t="str">
        <x:v>SEDANG</x:v>
      </x:c>
      <x:c r="N2986" t="str">
        <x:v>REGULER</x:v>
      </x:c>
      <x:c r="O2986" t="str">
        <x:v>CAMPURAN</x:v>
      </x:c>
      <x:c r="P2986" t="str">
        <x:v>UMUM</x:v>
      </x:c>
      <x:c r="Q2986" s="18" t="n">
        <x:v>0</x:v>
      </x:c>
      <x:c r="R2986" s="18" t="n">
        <x:v>0</x:v>
      </x:c>
      <x:c r="S2986" s="18" t="n">
        <x:v>596.5671515061873</x:v>
      </x:c>
      <x:c r="T2986" s="18" t="n">
        <x:v>657</x:v>
      </x:c>
      <x:c r="U2986" s="18" t="n">
        <x:v>596.5671515061873</x:v>
      </x:c>
      <x:c r="V2986" s="20" t="n">
        <x:v>8.8</x:v>
      </x:c>
      <x:c r="W2986" s="20" t="n">
        <x:v>9.9</x:v>
      </x:c>
      <x:c r="X2986" s="20" t="n">
        <x:v>3.3</x:v>
      </x:c>
      <x:c r="Y2986" t="str">
        <x:v>Basis arsip 2025/2024</x:v>
      </x:c>
      <x:c r="Z2986" t="str">
        <x:v>https://snpmb.id/utbk-snbt/daya-tampung-snbt</x:v>
      </x:c>
      <x:c r="AA2986" t="str">
        <x:v>Tidak Ada</x:v>
      </x:c>
      <x:c r="AB2986" t="str">
        <x:v>Campus=55; Ratio=41.0; Prodi=40; RelDemand=37.4; Capacity=75.0</x:v>
      </x:c>
    </x:row>
    <x:row r="2987">
      <x:c r="A2987" t="n">
        <x:v>2984</x:v>
      </x:c>
      <x:c r="B2987" t="str">
        <x:v>PTN Akademik</x:v>
      </x:c>
      <x:c r="C2987" t="str">
        <x:v>UNIVERSITAS MATARAM</x:v>
      </x:c>
      <x:c r="D2987" t="str">
        <x:v>EKONOMI PEMBANGUNAN</x:v>
      </x:c>
      <x:c r="E2987" t="str">
        <x:v>Sarjana</x:v>
      </x:c>
      <x:c r="F2987" s="18" t="n">
        <x:v>115</x:v>
      </x:c>
      <x:c r="G2987" s="18" t="n">
        <x:v>543</x:v>
      </x:c>
      <x:c r="H2987" s="19" t="n">
        <x:v>4.721739130434782</x:v>
      </x:c>
      <x:c r="I2987" s="18" t="n">
        <x:f>ROUND(MIN(Model_Config_v3!$B$6,MAX(Q2987,R2987,S2987*Model_Config_v3!$B$4+T2987*Model_Config_v3!$B$5)),0)</x:f>
        <x:v>635</x:v>
      </x:c>
      <x:c r="J2987" s="18" t="n">
        <x:f>MIN(Model_Config_v3!$B$6,I2987+Model_Config_v3!$B$7)</x:f>
        <x:v>655</x:v>
      </x:c>
      <x:c r="K2987" s="20" t="n">
        <x:v>46.1</x:v>
      </x:c>
      <x:c r="L2987" t="str">
        <x:v>MENENGAH</x:v>
      </x:c>
      <x:c r="M2987" t="str">
        <x:v>SEDANG+</x:v>
      </x:c>
      <x:c r="N2987" t="str">
        <x:v>REGULER</x:v>
      </x:c>
      <x:c r="O2987" t="str">
        <x:v>SOSHUM</x:v>
      </x:c>
      <x:c r="P2987" t="str">
        <x:v>BISNIS/EKONOMI/AKUNTANSI</x:v>
      </x:c>
      <x:c r="Q2987" s="18" t="n">
        <x:v>0</x:v>
      </x:c>
      <x:c r="R2987" s="18" t="n">
        <x:v>0</x:v>
      </x:c>
      <x:c r="S2987" s="18" t="n">
        <x:v>594.1512188158758</x:v>
      </x:c>
      <x:c r="T2987" s="18" t="n">
        <x:v>652</x:v>
      </x:c>
      <x:c r="U2987" s="18" t="n">
        <x:v>594.1512188158758</x:v>
      </x:c>
      <x:c r="V2987" s="20" t="n">
        <x:v>4.4</x:v>
      </x:c>
      <x:c r="W2987" s="20" t="n">
        <x:v>14.3</x:v>
      </x:c>
      <x:c r="X2987" s="20" t="n">
        <x:v>3.3</x:v>
      </x:c>
      <x:c r="Y2987" t="str">
        <x:v>Basis arsip 2025/2024</x:v>
      </x:c>
      <x:c r="Z2987" t="str">
        <x:v>https://snpmb.id/utbk-snbt/daya-tampung-snbt</x:v>
      </x:c>
      <x:c r="AA2987" t="str">
        <x:v>Tidak Ada</x:v>
      </x:c>
      <x:c r="AB2987" t="str">
        <x:v>Campus=55; Ratio=39.7; Prodi=65; RelDemand=35.5; Capacity=4.2</x:v>
      </x:c>
    </x:row>
    <x:row r="2988">
      <x:c r="A2988" t="n">
        <x:v>2985</x:v>
      </x:c>
      <x:c r="B2988" t="str">
        <x:v>PTN Akademik</x:v>
      </x:c>
      <x:c r="C2988" t="str">
        <x:v>UNIVERSITAS MATARAM</x:v>
      </x:c>
      <x:c r="D2988" t="str">
        <x:v>MANAJEMEN</x:v>
      </x:c>
      <x:c r="E2988" t="str">
        <x:v>Sarjana</x:v>
      </x:c>
      <x:c r="F2988" s="18" t="n">
        <x:v>150</x:v>
      </x:c>
      <x:c r="G2988" s="18" t="n">
        <x:v>2078</x:v>
      </x:c>
      <x:c r="H2988" s="19" t="n">
        <x:v>13.853333333333333</x:v>
      </x:c>
      <x:c r="I2988" s="18" t="n">
        <x:f>ROUND(MIN(Model_Config_v3!$B$6,MAX(Q2988,R2988,S2988*Model_Config_v3!$B$4+T2988*Model_Config_v3!$B$5)),0)</x:f>
        <x:v>668</x:v>
      </x:c>
      <x:c r="J2988" s="18" t="n">
        <x:f>MIN(Model_Config_v3!$B$6,I2988+Model_Config_v3!$B$7)</x:f>
        <x:v>688</x:v>
      </x:c>
      <x:c r="K2988" s="20" t="n">
        <x:v>59</x:v>
      </x:c>
      <x:c r="L2988" t="str">
        <x:v>KETAT</x:v>
      </x:c>
      <x:c r="M2988" t="str">
        <x:v>SEDANG+</x:v>
      </x:c>
      <x:c r="N2988" t="str">
        <x:v>REGULER</x:v>
      </x:c>
      <x:c r="O2988" t="str">
        <x:v>SOSHUM</x:v>
      </x:c>
      <x:c r="P2988" t="str">
        <x:v>BISNIS/EKONOMI/AKUNTANSI</x:v>
      </x:c>
      <x:c r="Q2988" s="18" t="n">
        <x:v>0</x:v>
      </x:c>
      <x:c r="R2988" s="18" t="n">
        <x:v>0</x:v>
      </x:c>
      <x:c r="S2988" s="18" t="n">
        <x:v>645.5709712582025</x:v>
      </x:c>
      <x:c r="T2988" s="18" t="n">
        <x:v>678</x:v>
      </x:c>
      <x:c r="U2988" s="18" t="n">
        <x:v>660.5709712582025</x:v>
      </x:c>
      <x:c r="V2988" s="20" t="n">
        <x:v>4.4</x:v>
      </x:c>
      <x:c r="W2988" s="20" t="n">
        <x:v>14.3</x:v>
      </x:c>
      <x:c r="X2988" s="20" t="n">
        <x:v>3.3</x:v>
      </x:c>
      <x:c r="Y2988" t="str">
        <x:v>Basis arsip 2025/2024</x:v>
      </x:c>
      <x:c r="Z2988" t="str">
        <x:v>https://snpmb.id/utbk-snbt/daya-tampung-snbt</x:v>
      </x:c>
      <x:c r="AA2988" t="str">
        <x:v>Tidak Ada</x:v>
      </x:c>
      <x:c r="AB2988" t="str">
        <x:v>Campus=55; Ratio=67.2; Prodi=65; RelDemand=100.0; Capacity=0.0</x:v>
      </x:c>
    </x:row>
    <x:row r="2989">
      <x:c r="A2989" t="n">
        <x:v>2986</x:v>
      </x:c>
      <x:c r="B2989" t="str">
        <x:v>PTN Akademik</x:v>
      </x:c>
      <x:c r="C2989" t="str">
        <x:v>UNIVERSITAS MATARAM</x:v>
      </x:c>
      <x:c r="D2989" t="str">
        <x:v>AKUNTANSI</x:v>
      </x:c>
      <x:c r="E2989" t="str">
        <x:v>Sarjana</x:v>
      </x:c>
      <x:c r="F2989" s="18" t="n">
        <x:v>115</x:v>
      </x:c>
      <x:c r="G2989" s="18" t="n">
        <x:v>1099</x:v>
      </x:c>
      <x:c r="H2989" s="19" t="n">
        <x:v>9.556521739130435</x:v>
      </x:c>
      <x:c r="I2989" s="18" t="n">
        <x:f>ROUND(MIN(Model_Config_v3!$B$6,MAX(Q2989,R2989,S2989*Model_Config_v3!$B$4+T2989*Model_Config_v3!$B$5)),0)</x:f>
        <x:v>657</x:v>
      </x:c>
      <x:c r="J2989" s="18" t="n">
        <x:f>MIN(Model_Config_v3!$B$6,I2989+Model_Config_v3!$B$7)</x:f>
        <x:v>677</x:v>
      </x:c>
      <x:c r="K2989" s="20" t="n">
        <x:v>54.3</x:v>
      </x:c>
      <x:c r="L2989" t="str">
        <x:v>MENENGAH</x:v>
      </x:c>
      <x:c r="M2989" t="str">
        <x:v>SEDANG+</x:v>
      </x:c>
      <x:c r="N2989" t="str">
        <x:v>REGULER</x:v>
      </x:c>
      <x:c r="O2989" t="str">
        <x:v>SOSHUM</x:v>
      </x:c>
      <x:c r="P2989" t="str">
        <x:v>BISNIS/EKONOMI/AKUNTANSI</x:v>
      </x:c>
      <x:c r="Q2989" s="18" t="n">
        <x:v>0</x:v>
      </x:c>
      <x:c r="R2989" s="18" t="n">
        <x:v>0</x:v>
      </x:c>
      <x:c r="S2989" s="18" t="n">
        <x:v>627.8329837276867</x:v>
      </x:c>
      <x:c r="T2989" s="18" t="n">
        <x:v>669</x:v>
      </x:c>
      <x:c r="U2989" s="18" t="n">
        <x:v>627.8329837276867</x:v>
      </x:c>
      <x:c r="V2989" s="20" t="n">
        <x:v>4.4</x:v>
      </x:c>
      <x:c r="W2989" s="20" t="n">
        <x:v>14.3</x:v>
      </x:c>
      <x:c r="X2989" s="20" t="n">
        <x:v>3.3</x:v>
      </x:c>
      <x:c r="Y2989" t="str">
        <x:v>Basis arsip 2025/2024</x:v>
      </x:c>
      <x:c r="Z2989" t="str">
        <x:v>https://snpmb.id/utbk-snbt/daya-tampung-snbt</x:v>
      </x:c>
      <x:c r="AA2989" t="str">
        <x:v>Tidak Ada</x:v>
      </x:c>
      <x:c r="AB2989" t="str">
        <x:v>Campus=55; Ratio=57.7; Prodi=65; RelDemand=71.9; Capacity=4.2</x:v>
      </x:c>
    </x:row>
    <x:row r="2990">
      <x:c r="A2990" t="n">
        <x:v>2987</x:v>
      </x:c>
      <x:c r="B2990" t="str">
        <x:v>PTN Akademik</x:v>
      </x:c>
      <x:c r="C2990" t="str">
        <x:v>UNIVERSITAS MATARAM</x:v>
      </x:c>
      <x:c r="D2990" t="str">
        <x:v>ILMU HUKUM</x:v>
      </x:c>
      <x:c r="E2990" t="str">
        <x:v>Sarjana</x:v>
      </x:c>
      <x:c r="F2990" s="18" t="n">
        <x:v>225</x:v>
      </x:c>
      <x:c r="G2990" s="18" t="n">
        <x:v>1221</x:v>
      </x:c>
      <x:c r="H2990" s="19" t="n">
        <x:v>5.426666666666667</x:v>
      </x:c>
      <x:c r="I2990" s="18" t="n">
        <x:f>ROUND(MIN(Model_Config_v3!$B$6,MAX(Q2990,R2990,S2990*Model_Config_v3!$B$4+T2990*Model_Config_v3!$B$5)),0)</x:f>
        <x:v>638</x:v>
      </x:c>
      <x:c r="J2990" s="18" t="n">
        <x:f>MIN(Model_Config_v3!$B$6,I2990+Model_Config_v3!$B$7)</x:f>
        <x:v>658</x:v>
      </x:c>
      <x:c r="K2990" s="20" t="n">
        <x:v>47.1</x:v>
      </x:c>
      <x:c r="L2990" t="str">
        <x:v>MENENGAH</x:v>
      </x:c>
      <x:c r="M2990" t="str">
        <x:v>SEDANG+</x:v>
      </x:c>
      <x:c r="N2990" t="str">
        <x:v>REGULER</x:v>
      </x:c>
      <x:c r="O2990" t="str">
        <x:v>SOSHUM</x:v>
      </x:c>
      <x:c r="P2990" t="str">
        <x:v>HUKUM</x:v>
      </x:c>
      <x:c r="Q2990" s="18" t="n">
        <x:v>0</x:v>
      </x:c>
      <x:c r="R2990" s="18" t="n">
        <x:v>0</x:v>
      </x:c>
      <x:c r="S2990" s="18" t="n">
        <x:v>600.7986460416872</x:v>
      </x:c>
      <x:c r="T2990" s="18" t="n">
        <x:v>654</x:v>
      </x:c>
      <x:c r="U2990" s="18" t="n">
        <x:v>615.7986460416872</x:v>
      </x:c>
      <x:c r="V2990" s="20" t="n">
        <x:v>4.4</x:v>
      </x:c>
      <x:c r="W2990" s="20" t="n">
        <x:v>14.3</x:v>
      </x:c>
      <x:c r="X2990" s="20" t="n">
        <x:v>3.3</x:v>
      </x:c>
      <x:c r="Y2990" t="str">
        <x:v>Basis arsip 2025/2024</x:v>
      </x:c>
      <x:c r="Z2990" t="str">
        <x:v>https://snpmb.id/utbk-snbt/daya-tampung-snbt</x:v>
      </x:c>
      <x:c r="AA2990" t="str">
        <x:v>Tidak Ada</x:v>
      </x:c>
      <x:c r="AB2990" t="str">
        <x:v>Campus=55; Ratio=43.2; Prodi=65; RelDemand=40.8; Capacity=0.0</x:v>
      </x:c>
    </x:row>
    <x:row r="2991">
      <x:c r="A2991" t="n">
        <x:v>2988</x:v>
      </x:c>
      <x:c r="B2991" t="str">
        <x:v>PTN Akademik</x:v>
      </x:c>
      <x:c r="C2991" t="str">
        <x:v>UNIVERSITAS MATARAM</x:v>
      </x:c>
      <x:c r="D2991" t="str">
        <x:v>PENDIDIKAN BAHASA DAN SASTRA INDONESIA</x:v>
      </x:c>
      <x:c r="E2991" t="str">
        <x:v>Sarjana</x:v>
      </x:c>
      <x:c r="F2991" s="18" t="n">
        <x:v>105</x:v>
      </x:c>
      <x:c r="G2991" s="18" t="n">
        <x:v>486</x:v>
      </x:c>
      <x:c r="H2991" s="19" t="n">
        <x:v>4.628571428571429</x:v>
      </x:c>
      <x:c r="I2991" s="18" t="n">
        <x:f>ROUND(MIN(Model_Config_v3!$B$6,MAX(Q2991,R2991,S2991*Model_Config_v3!$B$4+T2991*Model_Config_v3!$B$5)),0)</x:f>
        <x:v>630</x:v>
      </x:c>
      <x:c r="J2991" s="18" t="n">
        <x:f>MIN(Model_Config_v3!$B$6,I2991+Model_Config_v3!$B$7)</x:f>
        <x:v>650</x:v>
      </x:c>
      <x:c r="K2991" s="20" t="n">
        <x:v>42.8</x:v>
      </x:c>
      <x:c r="L2991" t="str">
        <x:v>RELATIF LONGGAR</x:v>
      </x:c>
      <x:c r="M2991" t="str">
        <x:v>SEDANG+</x:v>
      </x:c>
      <x:c r="N2991" t="str">
        <x:v>REGULER</x:v>
      </x:c>
      <x:c r="O2991" t="str">
        <x:v>SOSHUM</x:v>
      </x:c>
      <x:c r="P2991" t="str">
        <x:v>PENDIDIKAN</x:v>
      </x:c>
      <x:c r="Q2991" s="18" t="n">
        <x:v>0</x:v>
      </x:c>
      <x:c r="R2991" s="18" t="n">
        <x:v>0</x:v>
      </x:c>
      <x:c r="S2991" s="18" t="n">
        <x:v>593.1991667211591</x:v>
      </x:c>
      <x:c r="T2991" s="18" t="n">
        <x:v>646</x:v>
      </x:c>
      <x:c r="U2991" s="18" t="n">
        <x:v>593.1991667211591</x:v>
      </x:c>
      <x:c r="V2991" s="20" t="n">
        <x:v>4.4</x:v>
      </x:c>
      <x:c r="W2991" s="20" t="n">
        <x:v>14.3</x:v>
      </x:c>
      <x:c r="X2991" s="20" t="n">
        <x:v>3.3</x:v>
      </x:c>
      <x:c r="Y2991" t="str">
        <x:v>Basis arsip 2025/2024</x:v>
      </x:c>
      <x:c r="Z2991" t="str">
        <x:v>https://snpmb.id/utbk-snbt/daya-tampung-snbt</x:v>
      </x:c>
      <x:c r="AA2991" t="str">
        <x:v>Tidak Ada</x:v>
      </x:c>
      <x:c r="AB2991" t="str">
        <x:v>Campus=55; Ratio=39.2; Prodi=45; RelDemand=34.8; Capacity=12.5</x:v>
      </x:c>
    </x:row>
    <x:row r="2992">
      <x:c r="A2992" t="n">
        <x:v>2989</x:v>
      </x:c>
      <x:c r="B2992" t="str">
        <x:v>PTN Akademik</x:v>
      </x:c>
      <x:c r="C2992" t="str">
        <x:v>UNIVERSITAS MATARAM</x:v>
      </x:c>
      <x:c r="D2992" t="str">
        <x:v>PENDIDIKAN BAHASA INGGRIS</x:v>
      </x:c>
      <x:c r="E2992" t="str">
        <x:v>Sarjana</x:v>
      </x:c>
      <x:c r="F2992" s="18" t="n">
        <x:v>125</x:v>
      </x:c>
      <x:c r="G2992" s="18" t="n">
        <x:v>569</x:v>
      </x:c>
      <x:c r="H2992" s="19" t="n">
        <x:v>4.552</x:v>
      </x:c>
      <x:c r="I2992" s="18" t="n">
        <x:f>ROUND(MIN(Model_Config_v3!$B$6,MAX(Q2992,R2992,S2992*Model_Config_v3!$B$4+T2992*Model_Config_v3!$B$5)),0)</x:f>
        <x:v>628</x:v>
      </x:c>
      <x:c r="J2992" s="18" t="n">
        <x:f>MIN(Model_Config_v3!$B$6,I2992+Model_Config_v3!$B$7)</x:f>
        <x:v>648</x:v>
      </x:c>
      <x:c r="K2992" s="20" t="n">
        <x:v>41.4</x:v>
      </x:c>
      <x:c r="L2992" t="str">
        <x:v>RELATIF LONGGAR</x:v>
      </x:c>
      <x:c r="M2992" t="str">
        <x:v>SEDANG+</x:v>
      </x:c>
      <x:c r="N2992" t="str">
        <x:v>REGULER</x:v>
      </x:c>
      <x:c r="O2992" t="str">
        <x:v>SOSHUM</x:v>
      </x:c>
      <x:c r="P2992" t="str">
        <x:v>PENDIDIKAN</x:v>
      </x:c>
      <x:c r="Q2992" s="18" t="n">
        <x:v>0</x:v>
      </x:c>
      <x:c r="R2992" s="18" t="n">
        <x:v>0</x:v>
      </x:c>
      <x:c r="S2992" s="18" t="n">
        <x:v>592.4022478725716</x:v>
      </x:c>
      <x:c r="T2992" s="18" t="n">
        <x:v>643</x:v>
      </x:c>
      <x:c r="U2992" s="18" t="n">
        <x:v>592.4022478725716</x:v>
      </x:c>
      <x:c r="V2992" s="20" t="n">
        <x:v>4.4</x:v>
      </x:c>
      <x:c r="W2992" s="20" t="n">
        <x:v>14.3</x:v>
      </x:c>
      <x:c r="X2992" s="20" t="n">
        <x:v>3.3</x:v>
      </x:c>
      <x:c r="Y2992" t="str">
        <x:v>Basis arsip 2025/2024</x:v>
      </x:c>
      <x:c r="Z2992" t="str">
        <x:v>https://snpmb.id/utbk-snbt/daya-tampung-snbt</x:v>
      </x:c>
      <x:c r="AA2992" t="str">
        <x:v>Tidak Ada</x:v>
      </x:c>
      <x:c r="AB2992" t="str">
        <x:v>Campus=55; Ratio=38.7; Prodi=45; RelDemand=34.2; Capacity=0.0</x:v>
      </x:c>
    </x:row>
    <x:row r="2993">
      <x:c r="A2993" t="n">
        <x:v>2990</x:v>
      </x:c>
      <x:c r="B2993" t="str">
        <x:v>PTN Akademik</x:v>
      </x:c>
      <x:c r="C2993" t="str">
        <x:v>UNIVERSITAS MATARAM</x:v>
      </x:c>
      <x:c r="D2993" t="str">
        <x:v>PENDIDIKAN PANCASILA DAN KEWARGANEGARAAN</x:v>
      </x:c>
      <x:c r="E2993" t="str">
        <x:v>Sarjana</x:v>
      </x:c>
      <x:c r="F2993" s="18" t="n">
        <x:v>70</x:v>
      </x:c>
      <x:c r="G2993" s="18" t="n">
        <x:v>324</x:v>
      </x:c>
      <x:c r="H2993" s="19" t="n">
        <x:v>4.628571428571429</x:v>
      </x:c>
      <x:c r="I2993" s="18" t="n">
        <x:f>ROUND(MIN(Model_Config_v3!$B$6,MAX(Q2993,R2993,S2993*Model_Config_v3!$B$4+T2993*Model_Config_v3!$B$5)),0)</x:f>
        <x:v>634</x:v>
      </x:c>
      <x:c r="J2993" s="18" t="n">
        <x:f>MIN(Model_Config_v3!$B$6,I2993+Model_Config_v3!$B$7)</x:f>
        <x:v>654</x:v>
      </x:c>
      <x:c r="K2993" s="20" t="n">
        <x:v>45.7</x:v>
      </x:c>
      <x:c r="L2993" t="str">
        <x:v>MENENGAH</x:v>
      </x:c>
      <x:c r="M2993" t="str">
        <x:v>SEDANG+</x:v>
      </x:c>
      <x:c r="N2993" t="str">
        <x:v>REGULER</x:v>
      </x:c>
      <x:c r="O2993" t="str">
        <x:v>CAMPURAN</x:v>
      </x:c>
      <x:c r="P2993" t="str">
        <x:v>PENDIDIKAN</x:v>
      </x:c>
      <x:c r="Q2993" s="18" t="n">
        <x:v>0</x:v>
      </x:c>
      <x:c r="R2993" s="18" t="n">
        <x:v>0</x:v>
      </x:c>
      <x:c r="S2993" s="18" t="n">
        <x:v>593.1991667211591</x:v>
      </x:c>
      <x:c r="T2993" s="18" t="n">
        <x:v>651</x:v>
      </x:c>
      <x:c r="U2993" s="18" t="n">
        <x:v>593.1991667211591</x:v>
      </x:c>
      <x:c r="V2993" s="20" t="n">
        <x:v>8.8</x:v>
      </x:c>
      <x:c r="W2993" s="20" t="n">
        <x:v>9.9</x:v>
      </x:c>
      <x:c r="X2993" s="20" t="n">
        <x:v>3.3</x:v>
      </x:c>
      <x:c r="Y2993" t="str">
        <x:v>Basis arsip 2025/2024</x:v>
      </x:c>
      <x:c r="Z2993" t="str">
        <x:v>https://snpmb.id/utbk-snbt/daya-tampung-snbt</x:v>
      </x:c>
      <x:c r="AA2993" t="str">
        <x:v>Tidak Ada</x:v>
      </x:c>
      <x:c r="AB2993" t="str">
        <x:v>Campus=55; Ratio=39.2; Prodi=45; RelDemand=34.8; Capacity=41.7</x:v>
      </x:c>
    </x:row>
    <x:row r="2994">
      <x:c r="A2994" t="n">
        <x:v>2991</x:v>
      </x:c>
      <x:c r="B2994" t="str">
        <x:v>PTN Akademik</x:v>
      </x:c>
      <x:c r="C2994" t="str">
        <x:v>UNIVERSITAS MATARAM</x:v>
      </x:c>
      <x:c r="D2994" t="str">
        <x:v>PENDIDIKAN GURU SEKOLAH DASAR</x:v>
      </x:c>
      <x:c r="E2994" t="str">
        <x:v>Sarjana</x:v>
      </x:c>
      <x:c r="F2994" s="18" t="n">
        <x:v>150</x:v>
      </x:c>
      <x:c r="G2994" s="18" t="n">
        <x:v>1559</x:v>
      </x:c>
      <x:c r="H2994" s="19" t="n">
        <x:v>10.393333333333333</x:v>
      </x:c>
      <x:c r="I2994" s="18" t="n">
        <x:f>ROUND(MIN(Model_Config_v3!$B$6,MAX(Q2994,R2994,S2994*Model_Config_v3!$B$4+T2994*Model_Config_v3!$B$5)),0)</x:f>
        <x:v>653</x:v>
      </x:c>
      <x:c r="J2994" s="18" t="n">
        <x:f>MIN(Model_Config_v3!$B$6,I2994+Model_Config_v3!$B$7)</x:f>
        <x:v>673</x:v>
      </x:c>
      <x:c r="K2994" s="20" t="n">
        <x:v>51</x:v>
      </x:c>
      <x:c r="L2994" t="str">
        <x:v>MENENGAH</x:v>
      </x:c>
      <x:c r="M2994" t="str">
        <x:v>SEDANG+</x:v>
      </x:c>
      <x:c r="N2994" t="str">
        <x:v>REGULER</x:v>
      </x:c>
      <x:c r="O2994" t="str">
        <x:v>CAMPURAN</x:v>
      </x:c>
      <x:c r="P2994" t="str">
        <x:v>PENDIDIKAN</x:v>
      </x:c>
      <x:c r="Q2994" s="18" t="n">
        <x:v>0</x:v>
      </x:c>
      <x:c r="R2994" s="18" t="n">
        <x:v>0</x:v>
      </x:c>
      <x:c r="S2994" s="18" t="n">
        <x:v>631.8430341746476</x:v>
      </x:c>
      <x:c r="T2994" s="18" t="n">
        <x:v>662</x:v>
      </x:c>
      <x:c r="U2994" s="18" t="n">
        <x:v>631.8430341746476</x:v>
      </x:c>
      <x:c r="V2994" s="20" t="n">
        <x:v>8.8</x:v>
      </x:c>
      <x:c r="W2994" s="20" t="n">
        <x:v>9.9</x:v>
      </x:c>
      <x:c r="X2994" s="20" t="n">
        <x:v>3.3</x:v>
      </x:c>
      <x:c r="Y2994" t="str">
        <x:v>Basis arsip 2025/2024</x:v>
      </x:c>
      <x:c r="Z2994" t="str">
        <x:v>https://snpmb.id/utbk-snbt/daya-tampung-snbt</x:v>
      </x:c>
      <x:c r="AA2994" t="str">
        <x:v>Tidak Ada</x:v>
      </x:c>
      <x:c r="AB2994" t="str">
        <x:v>Campus=55; Ratio=59.8; Prodi=45; RelDemand=78.2; Capacity=0.0</x:v>
      </x:c>
    </x:row>
    <x:row r="2995">
      <x:c r="A2995" t="n">
        <x:v>2992</x:v>
      </x:c>
      <x:c r="B2995" t="str">
        <x:v>PTN Akademik</x:v>
      </x:c>
      <x:c r="C2995" t="str">
        <x:v>UNIVERSITAS MATARAM</x:v>
      </x:c>
      <x:c r="D2995" t="str">
        <x:v>PENDIDIKAN ANAK USIA DINI</x:v>
      </x:c>
      <x:c r="E2995" t="str">
        <x:v>Sarjana</x:v>
      </x:c>
      <x:c r="F2995" s="18" t="n">
        <x:v>60</x:v>
      </x:c>
      <x:c r="G2995" s="18" t="n">
        <x:v>225</x:v>
      </x:c>
      <x:c r="H2995" s="19" t="n">
        <x:v>3.75</x:v>
      </x:c>
      <x:c r="I2995" s="18" t="n">
        <x:f>ROUND(MIN(Model_Config_v3!$B$6,MAX(Q2995,R2995,S2995*Model_Config_v3!$B$4+T2995*Model_Config_v3!$B$5)),0)</x:f>
        <x:v>629</x:v>
      </x:c>
      <x:c r="J2995" s="18" t="n">
        <x:f>MIN(Model_Config_v3!$B$6,I2995+Model_Config_v3!$B$7)</x:f>
        <x:v>649</x:v>
      </x:c>
      <x:c r="K2995" s="20" t="n">
        <x:v>44.5</x:v>
      </x:c>
      <x:c r="L2995" t="str">
        <x:v>RELATIF LONGGAR</x:v>
      </x:c>
      <x:c r="M2995" t="str">
        <x:v>SEDANG+</x:v>
      </x:c>
      <x:c r="N2995" t="str">
        <x:v>REGULER</x:v>
      </x:c>
      <x:c r="O2995" t="str">
        <x:v>CAMPURAN</x:v>
      </x:c>
      <x:c r="P2995" t="str">
        <x:v>PENDIDIKAN</x:v>
      </x:c>
      <x:c r="Q2995" s="18" t="n">
        <x:v>0</x:v>
      </x:c>
      <x:c r="R2995" s="18" t="n">
        <x:v>0</x:v>
      </x:c>
      <x:c r="S2995" s="18" t="n">
        <x:v>583.1434394500491</x:v>
      </x:c>
      <x:c r="T2995" s="18" t="n">
        <x:v>649</x:v>
      </x:c>
      <x:c r="U2995" s="18" t="n">
        <x:v>583.1434394500491</x:v>
      </x:c>
      <x:c r="V2995" s="20" t="n">
        <x:v>8.8</x:v>
      </x:c>
      <x:c r="W2995" s="20" t="n">
        <x:v>9.9</x:v>
      </x:c>
      <x:c r="X2995" s="20" t="n">
        <x:v>3.3</x:v>
      </x:c>
      <x:c r="Y2995" t="str">
        <x:v>Basis arsip 2025/2024</x:v>
      </x:c>
      <x:c r="Z2995" t="str">
        <x:v>https://snpmb.id/utbk-snbt/daya-tampung-snbt</x:v>
      </x:c>
      <x:c r="AA2995" t="str">
        <x:v>Tidak Ada</x:v>
      </x:c>
      <x:c r="AB2995" t="str">
        <x:v>Campus=55; Ratio=33.8; Prodi=45; RelDemand=28.2; Capacity=50.0</x:v>
      </x:c>
    </x:row>
    <x:row r="2996">
      <x:c r="A2996" t="n">
        <x:v>2993</x:v>
      </x:c>
      <x:c r="B2996" t="str">
        <x:v>PTN Akademik</x:v>
      </x:c>
      <x:c r="C2996" t="str">
        <x:v>UNIVERSITAS MATARAM</x:v>
      </x:c>
      <x:c r="D2996" t="str">
        <x:v>HUBUNGAN INTERNASIONAL</x:v>
      </x:c>
      <x:c r="E2996" t="str">
        <x:v>Sarjana</x:v>
      </x:c>
      <x:c r="F2996" s="18" t="n">
        <x:v>75</x:v>
      </x:c>
      <x:c r="G2996" s="18" t="n">
        <x:v>537</x:v>
      </x:c>
      <x:c r="H2996" s="19" t="n">
        <x:v>7.16</x:v>
      </x:c>
      <x:c r="I2996" s="18" t="n">
        <x:f>ROUND(MIN(Model_Config_v3!$B$6,MAX(Q2996,R2996,S2996*Model_Config_v3!$B$4+T2996*Model_Config_v3!$B$5)),0)</x:f>
        <x:v>645</x:v>
      </x:c>
      <x:c r="J2996" s="18" t="n">
        <x:f>MIN(Model_Config_v3!$B$6,I2996+Model_Config_v3!$B$7)</x:f>
        <x:v>665</x:v>
      </x:c>
      <x:c r="K2996" s="20" t="n">
        <x:v>49</x:v>
      </x:c>
      <x:c r="L2996" t="str">
        <x:v>MENENGAH</x:v>
      </x:c>
      <x:c r="M2996" t="str">
        <x:v>SEDANG</x:v>
      </x:c>
      <x:c r="N2996" t="str">
        <x:v>REGULER</x:v>
      </x:c>
      <x:c r="O2996" t="str">
        <x:v>SOSHUM</x:v>
      </x:c>
      <x:c r="P2996" t="str">
        <x:v>UMUM</x:v>
      </x:c>
      <x:c r="Q2996" s="18" t="n">
        <x:v>0</x:v>
      </x:c>
      <x:c r="R2996" s="18" t="n">
        <x:v>0</x:v>
      </x:c>
      <x:c r="S2996" s="18" t="n">
        <x:v>614.0404324538641</x:v>
      </x:c>
      <x:c r="T2996" s="18" t="n">
        <x:v>658</x:v>
      </x:c>
      <x:c r="U2996" s="18" t="n">
        <x:v>614.0404324538641</x:v>
      </x:c>
      <x:c r="V2996" s="20" t="n">
        <x:v>4.4</x:v>
      </x:c>
      <x:c r="W2996" s="20" t="n">
        <x:v>14.3</x:v>
      </x:c>
      <x:c r="X2996" s="20" t="n">
        <x:v>3.3</x:v>
      </x:c>
      <x:c r="Y2996" t="str">
        <x:v>Basis arsip 2025/2024</x:v>
      </x:c>
      <x:c r="Z2996" t="str">
        <x:v>https://snpmb.id/utbk-snbt/daya-tampung-snbt</x:v>
      </x:c>
      <x:c r="AA2996" t="str">
        <x:v>Tidak Ada</x:v>
      </x:c>
      <x:c r="AB2996" t="str">
        <x:v>Campus=55; Ratio=50.3; Prodi=40; RelDemand=53.9; Capacity=37.5</x:v>
      </x:c>
    </x:row>
    <x:row r="2997">
      <x:c r="A2997" t="n">
        <x:v>2994</x:v>
      </x:c>
      <x:c r="B2997" t="str">
        <x:v>PTN Akademik</x:v>
      </x:c>
      <x:c r="C2997" t="str">
        <x:v>UNIVERSITAS MATARAM</x:v>
      </x:c>
      <x:c r="D2997" t="str">
        <x:v>ILMU KOMUNIKASI</x:v>
      </x:c>
      <x:c r="E2997" t="str">
        <x:v>Sarjana</x:v>
      </x:c>
      <x:c r="F2997" s="18" t="n">
        <x:v>60</x:v>
      </x:c>
      <x:c r="G2997" s="18" t="n">
        <x:v>930</x:v>
      </x:c>
      <x:c r="H2997" s="19" t="n">
        <x:v>15.5</x:v>
      </x:c>
      <x:c r="I2997" s="18" t="n">
        <x:f>ROUND(MIN(Model_Config_v3!$B$6,MAX(Q2997,R2997,S2997*Model_Config_v3!$B$4+T2997*Model_Config_v3!$B$5)),0)</x:f>
        <x:v>671</x:v>
      </x:c>
      <x:c r="J2997" s="18" t="n">
        <x:f>MIN(Model_Config_v3!$B$6,I2997+Model_Config_v3!$B$7)</x:f>
        <x:v>691</x:v>
      </x:c>
      <x:c r="K2997" s="20" t="n">
        <x:v>59.8</x:v>
      </x:c>
      <x:c r="L2997" t="str">
        <x:v>KETAT</x:v>
      </x:c>
      <x:c r="M2997" t="str">
        <x:v>SEDANG</x:v>
      </x:c>
      <x:c r="N2997" t="str">
        <x:v>REGULER</x:v>
      </x:c>
      <x:c r="O2997" t="str">
        <x:v>SOSHUM</x:v>
      </x:c>
      <x:c r="P2997" t="str">
        <x:v>UMUM</x:v>
      </x:c>
      <x:c r="Q2997" s="18" t="n">
        <x:v>0</x:v>
      </x:c>
      <x:c r="R2997" s="18" t="n">
        <x:v>0</x:v>
      </x:c>
      <x:c r="S2997" s="18" t="n">
        <x:v>650.9364867987321</x:v>
      </x:c>
      <x:c r="T2997" s="18" t="n">
        <x:v>680</x:v>
      </x:c>
      <x:c r="U2997" s="18" t="n">
        <x:v>650.9364867987321</x:v>
      </x:c>
      <x:c r="V2997" s="20" t="n">
        <x:v>4.4</x:v>
      </x:c>
      <x:c r="W2997" s="20" t="n">
        <x:v>14.3</x:v>
      </x:c>
      <x:c r="X2997" s="20" t="n">
        <x:v>3.3</x:v>
      </x:c>
      <x:c r="Y2997" t="str">
        <x:v>Basis arsip 2025/2024</x:v>
      </x:c>
      <x:c r="Z2997" t="str">
        <x:v>https://snpmb.id/utbk-snbt/daya-tampung-snbt</x:v>
      </x:c>
      <x:c r="AA2997" t="str">
        <x:v>Tidak Ada</x:v>
      </x:c>
      <x:c r="AB2997" t="str">
        <x:v>Campus=55; Ratio=70.1; Prodi=40; RelDemand=100.0; Capacity=50.0</x:v>
      </x:c>
    </x:row>
    <x:row r="2998">
      <x:c r="A2998" t="n">
        <x:v>2995</x:v>
      </x:c>
      <x:c r="B2998" t="str">
        <x:v>PTN Akademik</x:v>
      </x:c>
      <x:c r="C2998" t="str">
        <x:v>UNIVERSITAS MATARAM</x:v>
      </x:c>
      <x:c r="D2998" t="str">
        <x:v>SOSIOLOGI</x:v>
      </x:c>
      <x:c r="E2998" t="str">
        <x:v>Sarjana</x:v>
      </x:c>
      <x:c r="F2998" s="18" t="n">
        <x:v>75</x:v>
      </x:c>
      <x:c r="G2998" s="18" t="n">
        <x:v>216</x:v>
      </x:c>
      <x:c r="H2998" s="19" t="n">
        <x:v>2.88</x:v>
      </x:c>
      <x:c r="I2998" s="18" t="n">
        <x:f>ROUND(MIN(Model_Config_v3!$B$6,MAX(Q2998,R2998,S2998*Model_Config_v3!$B$4+T2998*Model_Config_v3!$B$5)),0)</x:f>
        <x:v>619</x:v>
      </x:c>
      <x:c r="J2998" s="18" t="n">
        <x:f>MIN(Model_Config_v3!$B$6,I2998+Model_Config_v3!$B$7)</x:f>
        <x:v>639</x:v>
      </x:c>
      <x:c r="K2998" s="20" t="n">
        <x:v>39.9</x:v>
      </x:c>
      <x:c r="L2998" t="str">
        <x:v>RELATIF LONGGAR</x:v>
      </x:c>
      <x:c r="M2998" t="str">
        <x:v>SEDANG</x:v>
      </x:c>
      <x:c r="N2998" t="str">
        <x:v>REGULER</x:v>
      </x:c>
      <x:c r="O2998" t="str">
        <x:v>SOSHUM</x:v>
      </x:c>
      <x:c r="P2998" t="str">
        <x:v>UMUM</x:v>
      </x:c>
      <x:c r="Q2998" s="18" t="n">
        <x:v>0</x:v>
      </x:c>
      <x:c r="R2998" s="18" t="n">
        <x:v>0</x:v>
      </x:c>
      <x:c r="S2998" s="18" t="n">
        <x:v>570.5331736535154</x:v>
      </x:c>
      <x:c r="T2998" s="18" t="n">
        <x:v>640</x:v>
      </x:c>
      <x:c r="U2998" s="18" t="n">
        <x:v>570.5331736535154</x:v>
      </x:c>
      <x:c r="V2998" s="20" t="n">
        <x:v>4.4</x:v>
      </x:c>
      <x:c r="W2998" s="20" t="n">
        <x:v>14.3</x:v>
      </x:c>
      <x:c r="X2998" s="20" t="n">
        <x:v>3.3</x:v>
      </x:c>
      <x:c r="Y2998" t="str">
        <x:v>Basis arsip 2025/2024</x:v>
      </x:c>
      <x:c r="Z2998" t="str">
        <x:v>https://snpmb.id/utbk-snbt/daya-tampung-snbt</x:v>
      </x:c>
      <x:c r="AA2998" t="str">
        <x:v>Tidak Ada</x:v>
      </x:c>
      <x:c r="AB2998" t="str">
        <x:v>Campus=55; Ratio=27.0; Prodi=40; RelDemand=21.7; Capacity=37.5</x:v>
      </x:c>
    </x:row>
    <x:row r="2999">
      <x:c r="A2999" t="n">
        <x:v>2996</x:v>
      </x:c>
      <x:c r="B2999" t="str">
        <x:v>PTN Akademik</x:v>
      </x:c>
      <x:c r="C2999" t="str">
        <x:v>UNIVERSITAS MATARAM</x:v>
      </x:c>
      <x:c r="D2999" t="str">
        <x:v>PENDIDIKAN SOSIOLOGI</x:v>
      </x:c>
      <x:c r="E2999" t="str">
        <x:v>Sarjana</x:v>
      </x:c>
      <x:c r="F2999" s="18" t="n">
        <x:v>70</x:v>
      </x:c>
      <x:c r="G2999" s="18" t="n">
        <x:v>261</x:v>
      </x:c>
      <x:c r="H2999" s="19" t="n">
        <x:v>3.7285714285714286</x:v>
      </x:c>
      <x:c r="I2999" s="18" t="n">
        <x:f>ROUND(MIN(Model_Config_v3!$B$6,MAX(Q2999,R2999,S2999*Model_Config_v3!$B$4+T2999*Model_Config_v3!$B$5)),0)</x:f>
        <x:v>628</x:v>
      </x:c>
      <x:c r="J2999" s="18" t="n">
        <x:f>MIN(Model_Config_v3!$B$6,I2999+Model_Config_v3!$B$7)</x:f>
        <x:v>648</x:v>
      </x:c>
      <x:c r="K2999" s="20" t="n">
        <x:v>43.6</x:v>
      </x:c>
      <x:c r="L2999" t="str">
        <x:v>RELATIF LONGGAR</x:v>
      </x:c>
      <x:c r="M2999" t="str">
        <x:v>SEDANG+</x:v>
      </x:c>
      <x:c r="N2999" t="str">
        <x:v>REGULER</x:v>
      </x:c>
      <x:c r="O2999" t="str">
        <x:v>SOSHUM</x:v>
      </x:c>
      <x:c r="P2999" t="str">
        <x:v>PENDIDIKAN</x:v>
      </x:c>
      <x:c r="Q2999" s="18" t="n">
        <x:v>0</x:v>
      </x:c>
      <x:c r="R2999" s="18" t="n">
        <x:v>0</x:v>
      </x:c>
      <x:c r="S2999" s="18" t="n">
        <x:v>582.8696714056426</x:v>
      </x:c>
      <x:c r="T2999" s="18" t="n">
        <x:v>647</x:v>
      </x:c>
      <x:c r="U2999" s="18" t="n">
        <x:v>582.8696714056426</x:v>
      </x:c>
      <x:c r="V2999" s="20" t="n">
        <x:v>4.4</x:v>
      </x:c>
      <x:c r="W2999" s="20" t="n">
        <x:v>14.3</x:v>
      </x:c>
      <x:c r="X2999" s="20" t="n">
        <x:v>3.3</x:v>
      </x:c>
      <x:c r="Y2999" t="str">
        <x:v>Basis arsip 2025/2024</x:v>
      </x:c>
      <x:c r="Z2999" t="str">
        <x:v>https://snpmb.id/utbk-snbt/daya-tampung-snbt</x:v>
      </x:c>
      <x:c r="AA2999" t="str">
        <x:v>Tidak Ada</x:v>
      </x:c>
      <x:c r="AB2999" t="str">
        <x:v>Campus=55; Ratio=33.6; Prodi=45; RelDemand=28.0; Capacity=41.7</x:v>
      </x:c>
    </x:row>
    <x:row r="3000">
      <x:c r="A3000" t="n">
        <x:v>2997</x:v>
      </x:c>
      <x:c r="B3000" t="str">
        <x:v>PTN Akademik</x:v>
      </x:c>
      <x:c r="C3000" t="str">
        <x:v>UNIVERSITAS MATARAM</x:v>
      </x:c>
      <x:c r="D3000" t="str">
        <x:v>STATISTIKA</x:v>
      </x:c>
      <x:c r="E3000" t="str">
        <x:v>Sarjana</x:v>
      </x:c>
      <x:c r="F3000" s="18" t="n">
        <x:v>30</x:v>
      </x:c>
      <x:c r="G3000" s="18" t="n">
        <x:v>139</x:v>
      </x:c>
      <x:c r="H3000" s="19" t="n">
        <x:v>4.633333333333334</x:v>
      </x:c>
      <x:c r="I3000" s="18" t="n">
        <x:f>ROUND(MIN(Model_Config_v3!$B$6,MAX(Q3000,R3000,S3000*Model_Config_v3!$B$4+T3000*Model_Config_v3!$B$5)),0)</x:f>
        <x:v>643</x:v>
      </x:c>
      <x:c r="J3000" s="18" t="n">
        <x:f>MIN(Model_Config_v3!$B$6,I3000+Model_Config_v3!$B$7)</x:f>
        <x:v>663</x:v>
      </x:c>
      <x:c r="K3000" s="20" t="n">
        <x:v>52</x:v>
      </x:c>
      <x:c r="L3000" t="str">
        <x:v>MENENGAH</x:v>
      </x:c>
      <x:c r="M3000" t="str">
        <x:v>SEDANG+</x:v>
      </x:c>
      <x:c r="N3000" t="str">
        <x:v>REGULER</x:v>
      </x:c>
      <x:c r="O3000" t="str">
        <x:v>SAINTEK</x:v>
      </x:c>
      <x:c r="P3000" t="str">
        <x:v>TEKNIK/ARSITEKTUR/STATISTIKA/AKTUARIA</x:v>
      </x:c>
      <x:c r="Q3000" s="18" t="n">
        <x:v>0</x:v>
      </x:c>
      <x:c r="R3000" s="18" t="n">
        <x:v>0</x:v>
      </x:c>
      <x:c r="S3000" s="18" t="n">
        <x:v>593.2482900087875</x:v>
      </x:c>
      <x:c r="T3000" s="18" t="n">
        <x:v>664</x:v>
      </x:c>
      <x:c r="U3000" s="18" t="n">
        <x:v>603.2482900087875</x:v>
      </x:c>
      <x:c r="V3000" s="20" t="n">
        <x:v>12</x:v>
      </x:c>
      <x:c r="W3000" s="20" t="n">
        <x:v>5</x:v>
      </x:c>
      <x:c r="X3000" s="20" t="n">
        <x:v>3</x:v>
      </x:c>
      <x:c r="Y3000" t="str">
        <x:v>Basis arsip 2025/2024</x:v>
      </x:c>
      <x:c r="Z3000" t="str">
        <x:v>https://snpmb.id/utbk-snbt/daya-tampung-snbt</x:v>
      </x:c>
      <x:c r="AA3000" t="str">
        <x:v>Tidak Ada</x:v>
      </x:c>
      <x:c r="AB3000" t="str">
        <x:v>Campus=55; Ratio=39.2; Prodi=60; RelDemand=34.9; Capacity=75.0</x:v>
      </x:c>
    </x:row>
    <x:row r="3001">
      <x:c r="A3001" t="n">
        <x:v>2998</x:v>
      </x:c>
      <x:c r="B3001" t="str">
        <x:v>PTN Akademik</x:v>
      </x:c>
      <x:c r="C3001" t="str">
        <x:v>UNIVERSITAS MATARAM</x:v>
      </x:c>
      <x:c r="D3001" t="str">
        <x:v>TEKNIK INDUSTRI</x:v>
      </x:c>
      <x:c r="E3001" t="str">
        <x:v>Sarjana</x:v>
      </x:c>
      <x:c r="F3001" s="18" t="n">
        <x:v>38</x:v>
      </x:c>
      <x:c r="G3001" s="18" t="n">
        <x:v>268</x:v>
      </x:c>
      <x:c r="H3001" s="19" t="n">
        <x:v>7.052631578947368</x:v>
      </x:c>
      <x:c r="I3001" s="18" t="n">
        <x:f>ROUND(MIN(Model_Config_v3!$B$6,MAX(Q3001,R3001,S3001*Model_Config_v3!$B$4+T3001*Model_Config_v3!$B$5)),0)</x:f>
        <x:v>654</x:v>
      </x:c>
      <x:c r="J3001" s="18" t="n">
        <x:f>MIN(Model_Config_v3!$B$6,I3001+Model_Config_v3!$B$7)</x:f>
        <x:v>674</x:v>
      </x:c>
      <x:c r="K3001" s="20" t="n">
        <x:v>55.9</x:v>
      </x:c>
      <x:c r="L3001" t="str">
        <x:v>KETAT</x:v>
      </x:c>
      <x:c r="M3001" t="str">
        <x:v>SEDANG+</x:v>
      </x:c>
      <x:c r="N3001" t="str">
        <x:v>REGULER</x:v>
      </x:c>
      <x:c r="O3001" t="str">
        <x:v>SAINTEK</x:v>
      </x:c>
      <x:c r="P3001" t="str">
        <x:v>TEKNIK/ARSITEKTUR/STATISTIKA/AKTUARIA</x:v>
      </x:c>
      <x:c r="Q3001" s="18" t="n">
        <x:v>0</x:v>
      </x:c>
      <x:c r="R3001" s="18" t="n">
        <x:v>0</x:v>
      </x:c>
      <x:c r="S3001" s="18" t="n">
        <x:v>613.3186317153177</x:v>
      </x:c>
      <x:c r="T3001" s="18" t="n">
        <x:v>672</x:v>
      </x:c>
      <x:c r="U3001" s="18" t="n">
        <x:v>623.3186317153177</x:v>
      </x:c>
      <x:c r="V3001" s="20" t="n">
        <x:v>12</x:v>
      </x:c>
      <x:c r="W3001" s="20" t="n">
        <x:v>5</x:v>
      </x:c>
      <x:c r="X3001" s="20" t="n">
        <x:v>3</x:v>
      </x:c>
      <x:c r="Y3001" t="str">
        <x:v>Basis arsip 2025/2024</x:v>
      </x:c>
      <x:c r="Z3001" t="str">
        <x:v>https://snpmb.id/utbk-snbt/daya-tampung-snbt</x:v>
      </x:c>
      <x:c r="AA3001" t="str">
        <x:v>Tidak Ada</x:v>
      </x:c>
      <x:c r="AB3001" t="str">
        <x:v>Campus=55; Ratio=49.9; Prodi=60; RelDemand=53.1; Capacity=68.3</x:v>
      </x:c>
    </x:row>
    <x:row r="3002">
      <x:c r="A3002" t="n">
        <x:v>2999</x:v>
      </x:c>
      <x:c r="B3002" t="str">
        <x:v>PTN Akademik</x:v>
      </x:c>
      <x:c r="C3002" t="str">
        <x:v>UNIVERSITAS MATARAM</x:v>
      </x:c>
      <x:c r="D3002" t="str">
        <x:v>PERPAJAKAN</x:v>
      </x:c>
      <x:c r="E3002" t="str">
        <x:v>Diploma Tiga</x:v>
      </x:c>
      <x:c r="F3002" s="18" t="n">
        <x:v>75</x:v>
      </x:c>
      <x:c r="G3002" s="18" t="n">
        <x:v>1683</x:v>
      </x:c>
      <x:c r="H3002" s="19" t="n">
        <x:v>22.44</x:v>
      </x:c>
      <x:c r="I3002" s="18" t="n">
        <x:f>ROUND(MIN(Model_Config_v3!$B$6,MAX(Q3002,R3002,S3002*Model_Config_v3!$B$4+T3002*Model_Config_v3!$B$5)),0)</x:f>
        <x:v>678</x:v>
      </x:c>
      <x:c r="J3002" s="18" t="n">
        <x:f>MIN(Model_Config_v3!$B$6,I3002+Model_Config_v3!$B$7)</x:f>
        <x:v>698</x:v>
      </x:c>
      <x:c r="K3002" s="20" t="n">
        <x:v>60.9</x:v>
      </x:c>
      <x:c r="L3002" t="str">
        <x:v>KETAT</x:v>
      </x:c>
      <x:c r="M3002" t="str">
        <x:v>SEDANG</x:v>
      </x:c>
      <x:c r="N3002" t="str">
        <x:v>REGULER</x:v>
      </x:c>
      <x:c r="O3002" t="str">
        <x:v>CAMPURAN</x:v>
      </x:c>
      <x:c r="P3002" t="str">
        <x:v>UMUM</x:v>
      </x:c>
      <x:c r="Q3002" s="18" t="n">
        <x:v>0</x:v>
      </x:c>
      <x:c r="R3002" s="18" t="n">
        <x:v>0</x:v>
      </x:c>
      <x:c r="S3002" s="18" t="n">
        <x:v>668.6125137842536</x:v>
      </x:c>
      <x:c r="T3002" s="18" t="n">
        <x:v>682</x:v>
      </x:c>
      <x:c r="U3002" s="18" t="n">
        <x:v>668.6125137842536</x:v>
      </x:c>
      <x:c r="V3002" s="20" t="n">
        <x:v>8.8</x:v>
      </x:c>
      <x:c r="W3002" s="20" t="n">
        <x:v>9.9</x:v>
      </x:c>
      <x:c r="X3002" s="20" t="n">
        <x:v>3.3</x:v>
      </x:c>
      <x:c r="Y3002" t="str">
        <x:v>Basis arsip 2025/2024</x:v>
      </x:c>
      <x:c r="Z3002" t="str">
        <x:v>https://snpmb.id/utbk-snbt/daya-tampung-snbt</x:v>
      </x:c>
      <x:c r="AA3002" t="str">
        <x:v>Tidak Ada</x:v>
      </x:c>
      <x:c r="AB3002" t="str">
        <x:v>Campus=55; Ratio=79.5; Prodi=40; RelDemand=100.0; Capacity=37.5</x:v>
      </x:c>
    </x:row>
    <x:row r="3003">
      <x:c r="A3003" t="n">
        <x:v>3000</x:v>
      </x:c>
      <x:c r="B3003" t="str">
        <x:v>PTN Akademik</x:v>
      </x:c>
      <x:c r="C3003" t="str">
        <x:v>UNIVERSITAS MATARAM</x:v>
      </x:c>
      <x:c r="D3003" t="str">
        <x:v>AKUNTANSI</x:v>
      </x:c>
      <x:c r="E3003" t="str">
        <x:v>Diploma Tiga</x:v>
      </x:c>
      <x:c r="F3003" s="18" t="n">
        <x:v>88</x:v>
      </x:c>
      <x:c r="G3003" s="18" t="n">
        <x:v>1551</x:v>
      </x:c>
      <x:c r="H3003" s="19" t="n">
        <x:v>17.625</x:v>
      </x:c>
      <x:c r="I3003" s="18" t="n">
        <x:f>ROUND(MIN(Model_Config_v3!$B$6,MAX(Q3003,R3003,S3003*Model_Config_v3!$B$4+T3003*Model_Config_v3!$B$5)),0)</x:f>
        <x:v>678</x:v>
      </x:c>
      <x:c r="J3003" s="18" t="n">
        <x:f>MIN(Model_Config_v3!$B$6,I3003+Model_Config_v3!$B$7)</x:f>
        <x:v>698</x:v>
      </x:c>
      <x:c r="K3003" s="20" t="n">
        <x:v>63.3</x:v>
      </x:c>
      <x:c r="L3003" t="str">
        <x:v>KETAT</x:v>
      </x:c>
      <x:c r="M3003" t="str">
        <x:v>SEDANG+</x:v>
      </x:c>
      <x:c r="N3003" t="str">
        <x:v>REGULER</x:v>
      </x:c>
      <x:c r="O3003" t="str">
        <x:v>SOSHUM</x:v>
      </x:c>
      <x:c r="P3003" t="str">
        <x:v>BISNIS/EKONOMI/AKUNTANSI</x:v>
      </x:c>
      <x:c r="Q3003" s="18" t="n">
        <x:v>0</x:v>
      </x:c>
      <x:c r="R3003" s="18" t="n">
        <x:v>0</x:v>
      </x:c>
      <x:c r="S3003" s="18" t="n">
        <x:v>657.074203822978</x:v>
      </x:c>
      <x:c r="T3003" s="18" t="n">
        <x:v>687</x:v>
      </x:c>
      <x:c r="U3003" s="18" t="n">
        <x:v>657.074203822978</x:v>
      </x:c>
      <x:c r="V3003" s="20" t="n">
        <x:v>4.4</x:v>
      </x:c>
      <x:c r="W3003" s="20" t="n">
        <x:v>14.3</x:v>
      </x:c>
      <x:c r="X3003" s="20" t="n">
        <x:v>3.3</x:v>
      </x:c>
      <x:c r="Y3003" t="str">
        <x:v>Basis arsip 2025/2024</x:v>
      </x:c>
      <x:c r="Z3003" t="str">
        <x:v>https://snpmb.id/utbk-snbt/daya-tampung-snbt</x:v>
      </x:c>
      <x:c r="AA3003" t="str">
        <x:v>Tidak Ada</x:v>
      </x:c>
      <x:c r="AB3003" t="str">
        <x:v>Campus=55; Ratio=73.3; Prodi=65; RelDemand=100.0; Capacity=26.7</x:v>
      </x:c>
    </x:row>
    <x:row r="3004">
      <x:c r="A3004" t="n">
        <x:v>3001</x:v>
      </x:c>
      <x:c r="B3004" t="str">
        <x:v>PTN Akademik</x:v>
      </x:c>
      <x:c r="C3004" t="str">
        <x:v>UNIVERSITAS MATARAM</x:v>
      </x:c>
      <x:c r="D3004" t="str">
        <x:v>AGRIBISNIS PETERNAKAN</x:v>
      </x:c>
      <x:c r="E3004" t="str">
        <x:v>Diploma Tiga</x:v>
      </x:c>
      <x:c r="F3004" s="18" t="n">
        <x:v>38</x:v>
      </x:c>
      <x:c r="G3004" s="18" t="n">
        <x:v>587</x:v>
      </x:c>
      <x:c r="H3004" s="19" t="n">
        <x:v>15.447368421052632</x:v>
      </x:c>
      <x:c r="I3004" s="18" t="n">
        <x:f>ROUND(MIN(Model_Config_v3!$B$6,MAX(Q3004,R3004,S3004*Model_Config_v3!$B$4+T3004*Model_Config_v3!$B$5)),0)</x:f>
        <x:v>680</x:v>
      </x:c>
      <x:c r="J3004" s="18" t="n">
        <x:f>MIN(Model_Config_v3!$B$6,I3004+Model_Config_v3!$B$7)</x:f>
        <x:v>700</x:v>
      </x:c>
      <x:c r="K3004" s="20" t="n">
        <x:v>66.6</x:v>
      </x:c>
      <x:c r="L3004" t="str">
        <x:v>SANGAT KETAT</x:v>
      </x:c>
      <x:c r="M3004" t="str">
        <x:v>SEDANG+</x:v>
      </x:c>
      <x:c r="N3004" t="str">
        <x:v>REGULER</x:v>
      </x:c>
      <x:c r="O3004" t="str">
        <x:v>SAINTEK</x:v>
      </x:c>
      <x:c r="P3004" t="str">
        <x:v>BISNIS/EKONOMI/AKUNTANSI</x:v>
      </x:c>
      <x:c r="Q3004" s="18" t="n">
        <x:v>0</x:v>
      </x:c>
      <x:c r="R3004" s="18" t="n">
        <x:v>0</x:v>
      </x:c>
      <x:c r="S3004" s="18" t="n">
        <x:v>650.7739955093884</x:v>
      </x:c>
      <x:c r="T3004" s="18" t="n">
        <x:v>693</x:v>
      </x:c>
      <x:c r="U3004" s="18" t="n">
        <x:v>665.7739955093884</x:v>
      </x:c>
      <x:c r="V3004" s="20" t="n">
        <x:v>12</x:v>
      </x:c>
      <x:c r="W3004" s="20" t="n">
        <x:v>5</x:v>
      </x:c>
      <x:c r="X3004" s="20" t="n">
        <x:v>3</x:v>
      </x:c>
      <x:c r="Y3004" t="str">
        <x:v>Basis arsip 2025/2024</x:v>
      </x:c>
      <x:c r="Z3004" t="str">
        <x:v>https://snpmb.id/utbk-snbt/daya-tampung-snbt</x:v>
      </x:c>
      <x:c r="AA3004" t="str">
        <x:v>Tidak Ada</x:v>
      </x:c>
      <x:c r="AB3004" t="str">
        <x:v>Campus=55; Ratio=70.0; Prodi=65; RelDemand=100.0; Capacity=68.3</x:v>
      </x:c>
    </x:row>
    <x:row r="3005">
      <x:c r="A3005" t="n">
        <x:v>3002</x:v>
      </x:c>
      <x:c r="B3005" t="str">
        <x:v>PTN Akademik</x:v>
      </x:c>
      <x:c r="C3005" t="str">
        <x:v>UNIVERSITAS MATARAM</x:v>
      </x:c>
      <x:c r="D3005" t="str">
        <x:v>PARIWISATA</x:v>
      </x:c>
      <x:c r="E3005" t="str">
        <x:v>Diploma Tiga</x:v>
      </x:c>
      <x:c r="F3005" s="18" t="n">
        <x:v>75</x:v>
      </x:c>
      <x:c r="G3005" s="18" t="n">
        <x:v>1197</x:v>
      </x:c>
      <x:c r="H3005" s="19" t="n">
        <x:v>15.96</x:v>
      </x:c>
      <x:c r="I3005" s="18" t="n">
        <x:f>ROUND(MIN(Model_Config_v3!$B$6,MAX(Q3005,R3005,S3005*Model_Config_v3!$B$4+T3005*Model_Config_v3!$B$5)),0)</x:f>
        <x:v>670</x:v>
      </x:c>
      <x:c r="J3005" s="18" t="n">
        <x:f>MIN(Model_Config_v3!$B$6,I3005+Model_Config_v3!$B$7)</x:f>
        <x:v>690</x:v>
      </x:c>
      <x:c r="K3005" s="20" t="n">
        <x:v>58.7</x:v>
      </x:c>
      <x:c r="L3005" t="str">
        <x:v>KETAT</x:v>
      </x:c>
      <x:c r="M3005" t="str">
        <x:v>SEDANG</x:v>
      </x:c>
      <x:c r="N3005" t="str">
        <x:v>REGULER</x:v>
      </x:c>
      <x:c r="O3005" t="str">
        <x:v>CAMPURAN</x:v>
      </x:c>
      <x:c r="P3005" t="str">
        <x:v>UMUM</x:v>
      </x:c>
      <x:c r="Q3005" s="18" t="n">
        <x:v>0</x:v>
      </x:c>
      <x:c r="R3005" s="18" t="n">
        <x:v>0</x:v>
      </x:c>
      <x:c r="S3005" s="18" t="n">
        <x:v>652.3336175716181</x:v>
      </x:c>
      <x:c r="T3005" s="18" t="n">
        <x:v>677</x:v>
      </x:c>
      <x:c r="U3005" s="18" t="n">
        <x:v>652.3336175716181</x:v>
      </x:c>
      <x:c r="V3005" s="20" t="n">
        <x:v>8.8</x:v>
      </x:c>
      <x:c r="W3005" s="20" t="n">
        <x:v>9.9</x:v>
      </x:c>
      <x:c r="X3005" s="20" t="n">
        <x:v>3.3</x:v>
      </x:c>
      <x:c r="Y3005" t="str">
        <x:v>Basis arsip 2025/2024</x:v>
      </x:c>
      <x:c r="Z3005" t="str">
        <x:v>https://snpmb.id/utbk-snbt/daya-tampung-snbt</x:v>
      </x:c>
      <x:c r="AA3005" t="str">
        <x:v>Tidak Ada</x:v>
      </x:c>
      <x:c r="AB3005" t="str">
        <x:v>Campus=55; Ratio=70.8; Prodi=40; RelDemand=100.0; Capacity=37.5</x:v>
      </x:c>
    </x:row>
    <x:row r="3006">
      <x:c r="A3006" t="n">
        <x:v>3003</x:v>
      </x:c>
      <x:c r="B3006" t="str">
        <x:v>PTN Akademik</x:v>
      </x:c>
      <x:c r="C3006" t="str">
        <x:v>UNIVERSITAS NUSA CENDANA</x:v>
      </x:c>
      <x:c r="D3006" t="str">
        <x:v>PEND. MATEMATIKA</x:v>
      </x:c>
      <x:c r="E3006" t="str">
        <x:v>Sarjana</x:v>
      </x:c>
      <x:c r="F3006" s="18" t="n">
        <x:v>50</x:v>
      </x:c>
      <x:c r="G3006" s="18" t="n">
        <x:v>148</x:v>
      </x:c>
      <x:c r="H3006" s="19" t="n">
        <x:v>2.96</x:v>
      </x:c>
      <x:c r="I3006" s="18" t="n">
        <x:f>ROUND(MIN(Model_Config_v3!$B$6,MAX(Q3006,R3006,S3006*Model_Config_v3!$B$4+T3006*Model_Config_v3!$B$5)),0)</x:f>
        <x:v>625</x:v>
      </x:c>
      <x:c r="J3006" s="18" t="n">
        <x:f>MIN(Model_Config_v3!$B$6,I3006+Model_Config_v3!$B$7)</x:f>
        <x:v>645</x:v>
      </x:c>
      <x:c r="K3006" s="20" t="n">
        <x:v>44.2</x:v>
      </x:c>
      <x:c r="L3006" t="str">
        <x:v>RELATIF LONGGAR</x:v>
      </x:c>
      <x:c r="M3006" t="str">
        <x:v>SEDANG+</x:v>
      </x:c>
      <x:c r="N3006" t="str">
        <x:v>REGULER</x:v>
      </x:c>
      <x:c r="O3006" t="str">
        <x:v>SAINTEK</x:v>
      </x:c>
      <x:c r="P3006" t="str">
        <x:v>PENDIDIKAN</x:v>
      </x:c>
      <x:c r="Q3006" s="18" t="n">
        <x:v>0</x:v>
      </x:c>
      <x:c r="R3006" s="18" t="n">
        <x:v>0</x:v>
      </x:c>
      <x:c r="S3006" s="18" t="n">
        <x:v>571.8420882164833</x:v>
      </x:c>
      <x:c r="T3006" s="18" t="n">
        <x:v>648</x:v>
      </x:c>
      <x:c r="U3006" s="18" t="n">
        <x:v>571.8420882164833</x:v>
      </x:c>
      <x:c r="V3006" s="20" t="n">
        <x:v>12</x:v>
      </x:c>
      <x:c r="W3006" s="20" t="n">
        <x:v>5</x:v>
      </x:c>
      <x:c r="X3006" s="20" t="n">
        <x:v>3</x:v>
      </x:c>
      <x:c r="Y3006" t="str">
        <x:v>Basis arsip 2025/2024</x:v>
      </x:c>
      <x:c r="Z3006" t="str">
        <x:v>https://snpmb.id/utbk-snbt/daya-tampung-snbt</x:v>
      </x:c>
      <x:c r="AA3006" t="str">
        <x:v>Tidak Ada</x:v>
      </x:c>
      <x:c r="AB3006" t="str">
        <x:v>Campus=55; Ratio=27.7; Prodi=45; RelDemand=32.2; Capacity=58.3</x:v>
      </x:c>
    </x:row>
    <x:row r="3007">
      <x:c r="A3007" t="n">
        <x:v>3004</x:v>
      </x:c>
      <x:c r="B3007" t="str">
        <x:v>PTN Akademik</x:v>
      </x:c>
      <x:c r="C3007" t="str">
        <x:v>UNIVERSITAS NUSA CENDANA</x:v>
      </x:c>
      <x:c r="D3007" t="str">
        <x:v>PEND. BIOLOGI</x:v>
      </x:c>
      <x:c r="E3007" t="str">
        <x:v>Sarjana</x:v>
      </x:c>
      <x:c r="F3007" s="18" t="n">
        <x:v>45</x:v>
      </x:c>
      <x:c r="G3007" s="18" t="n">
        <x:v>158</x:v>
      </x:c>
      <x:c r="H3007" s="19" t="n">
        <x:v>3.511111111111111</x:v>
      </x:c>
      <x:c r="I3007" s="18" t="n">
        <x:f>ROUND(MIN(Model_Config_v3!$B$6,MAX(Q3007,R3007,S3007*Model_Config_v3!$B$4+T3007*Model_Config_v3!$B$5)),0)</x:f>
        <x:v>631</x:v>
      </x:c>
      <x:c r="J3007" s="18" t="n">
        <x:f>MIN(Model_Config_v3!$B$6,I3007+Model_Config_v3!$B$7)</x:f>
        <x:v>651</x:v>
      </x:c>
      <x:c r="K3007" s="20" t="n">
        <x:v>46.3</x:v>
      </x:c>
      <x:c r="L3007" t="str">
        <x:v>MENENGAH</x:v>
      </x:c>
      <x:c r="M3007" t="str">
        <x:v>SEDANG+</x:v>
      </x:c>
      <x:c r="N3007" t="str">
        <x:v>REGULER</x:v>
      </x:c>
      <x:c r="O3007" t="str">
        <x:v>SAINTEK</x:v>
      </x:c>
      <x:c r="P3007" t="str">
        <x:v>PENDIDIKAN</x:v>
      </x:c>
      <x:c r="Q3007" s="18" t="n">
        <x:v>0</x:v>
      </x:c>
      <x:c r="R3007" s="18" t="n">
        <x:v>0</x:v>
      </x:c>
      <x:c r="S3007" s="18" t="n">
        <x:v>579.9989030496987</x:v>
      </x:c>
      <x:c r="T3007" s="18" t="n">
        <x:v>653</x:v>
      </x:c>
      <x:c r="U3007" s="18" t="n">
        <x:v>579.9989030496987</x:v>
      </x:c>
      <x:c r="V3007" s="20" t="n">
        <x:v>12</x:v>
      </x:c>
      <x:c r="W3007" s="20" t="n">
        <x:v>5</x:v>
      </x:c>
      <x:c r="X3007" s="20" t="n">
        <x:v>3</x:v>
      </x:c>
      <x:c r="Y3007" t="str">
        <x:v>Basis arsip 2025/2024</x:v>
      </x:c>
      <x:c r="Z3007" t="str">
        <x:v>https://snpmb.id/utbk-snbt/daya-tampung-snbt</x:v>
      </x:c>
      <x:c r="AA3007" t="str">
        <x:v>Tidak Ada</x:v>
      </x:c>
      <x:c r="AB3007" t="str">
        <x:v>Campus=55; Ratio=32.1; Prodi=45; RelDemand=38.2; Capacity=62.5</x:v>
      </x:c>
    </x:row>
    <x:row r="3008">
      <x:c r="A3008" t="n">
        <x:v>3005</x:v>
      </x:c>
      <x:c r="B3008" t="str">
        <x:v>PTN Akademik</x:v>
      </x:c>
      <x:c r="C3008" t="str">
        <x:v>UNIVERSITAS NUSA CENDANA</x:v>
      </x:c>
      <x:c r="D3008" t="str">
        <x:v>PEND. FISIKA</x:v>
      </x:c>
      <x:c r="E3008" t="str">
        <x:v>Sarjana</x:v>
      </x:c>
      <x:c r="F3008" s="18" t="n">
        <x:v>49</x:v>
      </x:c>
      <x:c r="G3008" s="18" t="n">
        <x:v>60</x:v>
      </x:c>
      <x:c r="H3008" s="19" t="n">
        <x:v>1.2244897959183674</x:v>
      </x:c>
      <x:c r="I3008" s="18" t="n">
        <x:f>ROUND(MIN(Model_Config_v3!$B$6,MAX(Q3008,R3008,S3008*Model_Config_v3!$B$4+T3008*Model_Config_v3!$B$5)),0)</x:f>
        <x:v>603</x:v>
      </x:c>
      <x:c r="J3008" s="18" t="n">
        <x:f>MIN(Model_Config_v3!$B$6,I3008+Model_Config_v3!$B$7)</x:f>
        <x:v>623</x:v>
      </x:c>
      <x:c r="K3008" s="20" t="n">
        <x:v>36.8</x:v>
      </x:c>
      <x:c r="L3008" t="str">
        <x:v>RELATIF LONGGAR</x:v>
      </x:c>
      <x:c r="M3008" t="str">
        <x:v>SEDANG+</x:v>
      </x:c>
      <x:c r="N3008" t="str">
        <x:v>REGULER</x:v>
      </x:c>
      <x:c r="O3008" t="str">
        <x:v>SAINTEK</x:v>
      </x:c>
      <x:c r="P3008" t="str">
        <x:v>PENDIDIKAN</x:v>
      </x:c>
      <x:c r="Q3008" s="18" t="n">
        <x:v>0</x:v>
      </x:c>
      <x:c r="R3008" s="18" t="n">
        <x:v>0</x:v>
      </x:c>
      <x:c r="S3008" s="18" t="n">
        <x:v>529.6750687390643</x:v>
      </x:c>
      <x:c r="T3008" s="18" t="n">
        <x:v>634</x:v>
      </x:c>
      <x:c r="U3008" s="18" t="n">
        <x:v>529.6750687390643</x:v>
      </x:c>
      <x:c r="V3008" s="20" t="n">
        <x:v>12</x:v>
      </x:c>
      <x:c r="W3008" s="20" t="n">
        <x:v>5</x:v>
      </x:c>
      <x:c r="X3008" s="20" t="n">
        <x:v>3</x:v>
      </x:c>
      <x:c r="Y3008" t="str">
        <x:v>Basis arsip 2025/2024</x:v>
      </x:c>
      <x:c r="Z3008" t="str">
        <x:v>https://snpmb.id/utbk-snbt/daya-tampung-snbt</x:v>
      </x:c>
      <x:c r="AA3008" t="str">
        <x:v>Tidak Ada</x:v>
      </x:c>
      <x:c r="AB3008" t="str">
        <x:v>Campus=55; Ratio=5.2; Prodi=45; RelDemand=13.3; Capacity=59.2</x:v>
      </x:c>
    </x:row>
    <x:row r="3009">
      <x:c r="A3009" t="n">
        <x:v>3006</x:v>
      </x:c>
      <x:c r="B3009" t="str">
        <x:v>PTN Akademik</x:v>
      </x:c>
      <x:c r="C3009" t="str">
        <x:v>UNIVERSITAS NUSA CENDANA</x:v>
      </x:c>
      <x:c r="D3009" t="str">
        <x:v>PEND. KIMIA</x:v>
      </x:c>
      <x:c r="E3009" t="str">
        <x:v>Sarjana</x:v>
      </x:c>
      <x:c r="F3009" s="18" t="n">
        <x:v>45</x:v>
      </x:c>
      <x:c r="G3009" s="18" t="n">
        <x:v>57</x:v>
      </x:c>
      <x:c r="H3009" s="19" t="n">
        <x:v>1.2666666666666666</x:v>
      </x:c>
      <x:c r="I3009" s="18" t="n">
        <x:f>ROUND(MIN(Model_Config_v3!$B$6,MAX(Q3009,R3009,S3009*Model_Config_v3!$B$4+T3009*Model_Config_v3!$B$5)),0)</x:f>
        <x:v>604</x:v>
      </x:c>
      <x:c r="J3009" s="18" t="n">
        <x:f>MIN(Model_Config_v3!$B$6,I3009+Model_Config_v3!$B$7)</x:f>
        <x:v>624</x:v>
      </x:c>
      <x:c r="K3009" s="20" t="n">
        <x:v>37.4</x:v>
      </x:c>
      <x:c r="L3009" t="str">
        <x:v>RELATIF LONGGAR</x:v>
      </x:c>
      <x:c r="M3009" t="str">
        <x:v>SEDANG+</x:v>
      </x:c>
      <x:c r="N3009" t="str">
        <x:v>REGULER</x:v>
      </x:c>
      <x:c r="O3009" t="str">
        <x:v>SAINTEK</x:v>
      </x:c>
      <x:c r="P3009" t="str">
        <x:v>PENDIDIKAN</x:v>
      </x:c>
      <x:c r="Q3009" s="18" t="n">
        <x:v>0</x:v>
      </x:c>
      <x:c r="R3009" s="18" t="n">
        <x:v>0</x:v>
      </x:c>
      <x:c r="S3009" s="18" t="n">
        <x:v>531.2928576086863</x:v>
      </x:c>
      <x:c r="T3009" s="18" t="n">
        <x:v>635</x:v>
      </x:c>
      <x:c r="U3009" s="18" t="n">
        <x:v>531.2928576086863</x:v>
      </x:c>
      <x:c r="V3009" s="20" t="n">
        <x:v>12</x:v>
      </x:c>
      <x:c r="W3009" s="20" t="n">
        <x:v>5</x:v>
      </x:c>
      <x:c r="X3009" s="20" t="n">
        <x:v>3</x:v>
      </x:c>
      <x:c r="Y3009" t="str">
        <x:v>Basis arsip 2025/2024</x:v>
      </x:c>
      <x:c r="Z3009" t="str">
        <x:v>https://snpmb.id/utbk-snbt/daya-tampung-snbt</x:v>
      </x:c>
      <x:c r="AA3009" t="str">
        <x:v>Tidak Ada</x:v>
      </x:c>
      <x:c r="AB3009" t="str">
        <x:v>Campus=55; Ratio=6.0; Prodi=45; RelDemand=13.8; Capacity=62.5</x:v>
      </x:c>
    </x:row>
    <x:row r="3010">
      <x:c r="A3010" t="n">
        <x:v>3007</x:v>
      </x:c>
      <x:c r="B3010" t="str">
        <x:v>PTN Akademik</x:v>
      </x:c>
      <x:c r="C3010" t="str">
        <x:v>UNIVERSITAS NUSA CENDANA</x:v>
      </x:c>
      <x:c r="D3010" t="str">
        <x:v>PEND. TEKNIK BANGUNAN</x:v>
      </x:c>
      <x:c r="E3010" t="str">
        <x:v>Sarjana</x:v>
      </x:c>
      <x:c r="F3010" s="18" t="n">
        <x:v>36</x:v>
      </x:c>
      <x:c r="G3010" s="18" t="n">
        <x:v>42</x:v>
      </x:c>
      <x:c r="H3010" s="19" t="n">
        <x:v>1.1666666666666667</x:v>
      </x:c>
      <x:c r="I3010" s="18" t="n">
        <x:f>ROUND(MIN(Model_Config_v3!$B$6,MAX(Q3010,R3010,S3010*Model_Config_v3!$B$4+T3010*Model_Config_v3!$B$5)),0)</x:f>
        <x:v>603</x:v>
      </x:c>
      <x:c r="J3010" s="18" t="n">
        <x:f>MIN(Model_Config_v3!$B$6,I3010+Model_Config_v3!$B$7)</x:f>
        <x:v>623</x:v>
      </x:c>
      <x:c r="K3010" s="20" t="n">
        <x:v>37.5</x:v>
      </x:c>
      <x:c r="L3010" t="str">
        <x:v>RELATIF LONGGAR</x:v>
      </x:c>
      <x:c r="M3010" t="str">
        <x:v>SEDANG+</x:v>
      </x:c>
      <x:c r="N3010" t="str">
        <x:v>REGULER</x:v>
      </x:c>
      <x:c r="O3010" t="str">
        <x:v>SAINTEK</x:v>
      </x:c>
      <x:c r="P3010" t="str">
        <x:v>PENDIDIKAN</x:v>
      </x:c>
      <x:c r="Q3010" s="18" t="n">
        <x:v>0</x:v>
      </x:c>
      <x:c r="R3010" s="18" t="n">
        <x:v>0</x:v>
      </x:c>
      <x:c r="S3010" s="18" t="n">
        <x:v>527.3641468593675</x:v>
      </x:c>
      <x:c r="T3010" s="18" t="n">
        <x:v>635</x:v>
      </x:c>
      <x:c r="U3010" s="18" t="n">
        <x:v>537.3641468593675</x:v>
      </x:c>
      <x:c r="V3010" s="20" t="n">
        <x:v>12</x:v>
      </x:c>
      <x:c r="W3010" s="20" t="n">
        <x:v>5</x:v>
      </x:c>
      <x:c r="X3010" s="20" t="n">
        <x:v>3</x:v>
      </x:c>
      <x:c r="Y3010" t="str">
        <x:v>Basis arsip 2025/2024</x:v>
      </x:c>
      <x:c r="Z3010" t="str">
        <x:v>https://snpmb.id/utbk-snbt/daya-tampung-snbt</x:v>
      </x:c>
      <x:c r="AA3010" t="str">
        <x:v>Tidak Ada</x:v>
      </x:c>
      <x:c r="AB3010" t="str">
        <x:v>Campus=55; Ratio=3.9; Prodi=45; RelDemand=12.7; Capacity=70.0</x:v>
      </x:c>
    </x:row>
    <x:row r="3011">
      <x:c r="A3011" t="n">
        <x:v>3008</x:v>
      </x:c>
      <x:c r="B3011" t="str">
        <x:v>PTN Akademik</x:v>
      </x:c>
      <x:c r="C3011" t="str">
        <x:v>UNIVERSITAS NUSA CENDANA</x:v>
      </x:c>
      <x:c r="D3011" t="str">
        <x:v>PEND. TEKNIK MESIN</x:v>
      </x:c>
      <x:c r="E3011" t="str">
        <x:v>Sarjana</x:v>
      </x:c>
      <x:c r="F3011" s="18" t="n">
        <x:v>32</x:v>
      </x:c>
      <x:c r="G3011" s="18" t="n">
        <x:v>52</x:v>
      </x:c>
      <x:c r="H3011" s="19" t="n">
        <x:v>1.625</x:v>
      </x:c>
      <x:c r="I3011" s="18" t="n">
        <x:f>ROUND(MIN(Model_Config_v3!$B$6,MAX(Q3011,R3011,S3011*Model_Config_v3!$B$4+T3011*Model_Config_v3!$B$5)),0)</x:f>
        <x:v>612</x:v>
      </x:c>
      <x:c r="J3011" s="18" t="n">
        <x:f>MIN(Model_Config_v3!$B$6,I3011+Model_Config_v3!$B$7)</x:f>
        <x:v>632</x:v>
      </x:c>
      <x:c r="K3011" s="20" t="n">
        <x:v>40.5</x:v>
      </x:c>
      <x:c r="L3011" t="str">
        <x:v>RELATIF LONGGAR</x:v>
      </x:c>
      <x:c r="M3011" t="str">
        <x:v>SEDANG+</x:v>
      </x:c>
      <x:c r="N3011" t="str">
        <x:v>REGULER</x:v>
      </x:c>
      <x:c r="O3011" t="str">
        <x:v>SAINTEK</x:v>
      </x:c>
      <x:c r="P3011" t="str">
        <x:v>PENDIDIKAN</x:v>
      </x:c>
      <x:c r="Q3011" s="18" t="n">
        <x:v>0</x:v>
      </x:c>
      <x:c r="R3011" s="18" t="n">
        <x:v>0</x:v>
      </x:c>
      <x:c r="S3011" s="18" t="n">
        <x:v>543.1938701846383</x:v>
      </x:c>
      <x:c r="T3011" s="18" t="n">
        <x:v>641</x:v>
      </x:c>
      <x:c r="U3011" s="18" t="n">
        <x:v>553.1938701846383</x:v>
      </x:c>
      <x:c r="V3011" s="20" t="n">
        <x:v>12</x:v>
      </x:c>
      <x:c r="W3011" s="20" t="n">
        <x:v>5</x:v>
      </x:c>
      <x:c r="X3011" s="20" t="n">
        <x:v>3</x:v>
      </x:c>
      <x:c r="Y3011" t="str">
        <x:v>Basis arsip 2025/2024</x:v>
      </x:c>
      <x:c r="Z3011" t="str">
        <x:v>https://snpmb.id/utbk-snbt/daya-tampung-snbt</x:v>
      </x:c>
      <x:c r="AA3011" t="str">
        <x:v>Tidak Ada</x:v>
      </x:c>
      <x:c r="AB3011" t="str">
        <x:v>Campus=55; Ratio=12.4; Prodi=45; RelDemand=17.7; Capacity=73.3</x:v>
      </x:c>
    </x:row>
    <x:row r="3012">
      <x:c r="A3012" t="n">
        <x:v>3009</x:v>
      </x:c>
      <x:c r="B3012" t="str">
        <x:v>PTN Akademik</x:v>
      </x:c>
      <x:c r="C3012" t="str">
        <x:v>UNIVERSITAS NUSA CENDANA</x:v>
      </x:c>
      <x:c r="D3012" t="str">
        <x:v>PEND. TEKNIK ELEKTRO</x:v>
      </x:c>
      <x:c r="E3012" t="str">
        <x:v>Sarjana</x:v>
      </x:c>
      <x:c r="F3012" s="18" t="n">
        <x:v>36</x:v>
      </x:c>
      <x:c r="G3012" s="18" t="n">
        <x:v>63</x:v>
      </x:c>
      <x:c r="H3012" s="19" t="n">
        <x:v>1.75</x:v>
      </x:c>
      <x:c r="I3012" s="18" t="n">
        <x:f>ROUND(MIN(Model_Config_v3!$B$6,MAX(Q3012,R3012,S3012*Model_Config_v3!$B$4+T3012*Model_Config_v3!$B$5)),0)</x:f>
        <x:v>613</x:v>
      </x:c>
      <x:c r="J3012" s="18" t="n">
        <x:f>MIN(Model_Config_v3!$B$6,I3012+Model_Config_v3!$B$7)</x:f>
        <x:v>633</x:v>
      </x:c>
      <x:c r="K3012" s="20" t="n">
        <x:v>40.7</x:v>
      </x:c>
      <x:c r="L3012" t="str">
        <x:v>RELATIF LONGGAR</x:v>
      </x:c>
      <x:c r="M3012" t="str">
        <x:v>SEDANG+</x:v>
      </x:c>
      <x:c r="N3012" t="str">
        <x:v>REGULER</x:v>
      </x:c>
      <x:c r="O3012" t="str">
        <x:v>SAINTEK</x:v>
      </x:c>
      <x:c r="P3012" t="str">
        <x:v>PENDIDIKAN</x:v>
      </x:c>
      <x:c r="Q3012" s="18" t="n">
        <x:v>0</x:v>
      </x:c>
      <x:c r="R3012" s="18" t="n">
        <x:v>0</x:v>
      </x:c>
      <x:c r="S3012" s="18" t="n">
        <x:v>546.7341853554924</x:v>
      </x:c>
      <x:c r="T3012" s="18" t="n">
        <x:v>641</x:v>
      </x:c>
      <x:c r="U3012" s="18" t="n">
        <x:v>556.7341853554924</x:v>
      </x:c>
      <x:c r="V3012" s="20" t="n">
        <x:v>12</x:v>
      </x:c>
      <x:c r="W3012" s="20" t="n">
        <x:v>5</x:v>
      </x:c>
      <x:c r="X3012" s="20" t="n">
        <x:v>3</x:v>
      </x:c>
      <x:c r="Y3012" t="str">
        <x:v>Basis arsip 2025/2024</x:v>
      </x:c>
      <x:c r="Z3012" t="str">
        <x:v>https://snpmb.id/utbk-snbt/daya-tampung-snbt</x:v>
      </x:c>
      <x:c r="AA3012" t="str">
        <x:v>Tidak Ada</x:v>
      </x:c>
      <x:c r="AB3012" t="str">
        <x:v>Campus=55; Ratio=14.3; Prodi=45; RelDemand=19.0; Capacity=70.0</x:v>
      </x:c>
    </x:row>
    <x:row r="3013">
      <x:c r="A3013" t="n">
        <x:v>3010</x:v>
      </x:c>
      <x:c r="B3013" t="str">
        <x:v>PTN Akademik</x:v>
      </x:c>
      <x:c r="C3013" t="str">
        <x:v>UNIVERSITAS NUSA CENDANA</x:v>
      </x:c>
      <x:c r="D3013" t="str">
        <x:v>AGRONOMI/AGROEKOTEKNOLOGI</x:v>
      </x:c>
      <x:c r="E3013" t="str">
        <x:v>Sarjana</x:v>
      </x:c>
      <x:c r="F3013" s="18" t="n">
        <x:v>95</x:v>
      </x:c>
      <x:c r="G3013" s="18" t="n">
        <x:v>72</x:v>
      </x:c>
      <x:c r="H3013" s="19" t="n">
        <x:v>0.7578947368421053</x:v>
      </x:c>
      <x:c r="I3013" s="18" t="n">
        <x:f>ROUND(MIN(Model_Config_v3!$B$6,MAX(Q3013,R3013,S3013*Model_Config_v3!$B$4+T3013*Model_Config_v3!$B$5)),0)</x:f>
        <x:v>590</x:v>
      </x:c>
      <x:c r="J3013" s="18" t="n">
        <x:f>MIN(Model_Config_v3!$B$6,I3013+Model_Config_v3!$B$7)</x:f>
        <x:v>610</x:v>
      </x:c>
      <x:c r="K3013" s="20" t="n">
        <x:v>30.2</x:v>
      </x:c>
      <x:c r="L3013" t="str">
        <x:v>RELATIF LONGGAR</x:v>
      </x:c>
      <x:c r="M3013" t="str">
        <x:v>SEDANG</x:v>
      </x:c>
      <x:c r="N3013" t="str">
        <x:v>REGULER</x:v>
      </x:c>
      <x:c r="O3013" t="str">
        <x:v>SAINTEK</x:v>
      </x:c>
      <x:c r="P3013" t="str">
        <x:v>UMUM</x:v>
      </x:c>
      <x:c r="Q3013" s="18" t="n">
        <x:v>0</x:v>
      </x:c>
      <x:c r="R3013" s="18" t="n">
        <x:v>0</x:v>
      </x:c>
      <x:c r="S3013" s="18" t="n">
        <x:v>520</x:v>
      </x:c>
      <x:c r="T3013" s="18" t="n">
        <x:v>620</x:v>
      </x:c>
      <x:c r="U3013" s="18" t="n">
        <x:v>520</x:v>
      </x:c>
      <x:c r="V3013" s="20" t="n">
        <x:v>12</x:v>
      </x:c>
      <x:c r="W3013" s="20" t="n">
        <x:v>5</x:v>
      </x:c>
      <x:c r="X3013" s="20" t="n">
        <x:v>3</x:v>
      </x:c>
      <x:c r="Y3013" t="str">
        <x:v>Basis arsip 2025/2024</x:v>
      </x:c>
      <x:c r="Z3013" t="str">
        <x:v>https://snpmb.id/utbk-snbt/daya-tampung-snbt</x:v>
      </x:c>
      <x:c r="AA3013" t="str">
        <x:v>Tidak Ada</x:v>
      </x:c>
      <x:c r="AB3013" t="str">
        <x:v>Campus=55; Ratio=0.0; Prodi=40; RelDemand=8.2; Capacity=20.8</x:v>
      </x:c>
    </x:row>
    <x:row r="3014">
      <x:c r="A3014" t="n">
        <x:v>3011</x:v>
      </x:c>
      <x:c r="B3014" t="str">
        <x:v>PTN Akademik</x:v>
      </x:c>
      <x:c r="C3014" t="str">
        <x:v>UNIVERSITAS NUSA CENDANA</x:v>
      </x:c>
      <x:c r="D3014" t="str">
        <x:v>AGRIBISNIS</x:v>
      </x:c>
      <x:c r="E3014" t="str">
        <x:v>Sarjana</x:v>
      </x:c>
      <x:c r="F3014" s="18" t="n">
        <x:v>90</x:v>
      </x:c>
      <x:c r="G3014" s="18" t="n">
        <x:v>117</x:v>
      </x:c>
      <x:c r="H3014" s="19" t="n">
        <x:v>1.3</x:v>
      </x:c>
      <x:c r="I3014" s="18" t="n">
        <x:f>ROUND(MIN(Model_Config_v3!$B$6,MAX(Q3014,R3014,S3014*Model_Config_v3!$B$4+T3014*Model_Config_v3!$B$5)),0)</x:f>
        <x:v>605</x:v>
      </x:c>
      <x:c r="J3014" s="18" t="n">
        <x:f>MIN(Model_Config_v3!$B$6,I3014+Model_Config_v3!$B$7)</x:f>
        <x:v>625</x:v>
      </x:c>
      <x:c r="K3014" s="20" t="n">
        <x:v>37.8</x:v>
      </x:c>
      <x:c r="L3014" t="str">
        <x:v>RELATIF LONGGAR</x:v>
      </x:c>
      <x:c r="M3014" t="str">
        <x:v>SEDANG+</x:v>
      </x:c>
      <x:c r="N3014" t="str">
        <x:v>REGULER</x:v>
      </x:c>
      <x:c r="O3014" t="str">
        <x:v>SOSHUM</x:v>
      </x:c>
      <x:c r="P3014" t="str">
        <x:v>BISNIS/EKONOMI/AKUNTANSI</x:v>
      </x:c>
      <x:c r="Q3014" s="18" t="n">
        <x:v>0</x:v>
      </x:c>
      <x:c r="R3014" s="18" t="n">
        <x:v>0</x:v>
      </x:c>
      <x:c r="S3014" s="18" t="n">
        <x:v>532.533768753752</x:v>
      </x:c>
      <x:c r="T3014" s="18" t="n">
        <x:v>636</x:v>
      </x:c>
      <x:c r="U3014" s="18" t="n">
        <x:v>547.533768753752</x:v>
      </x:c>
      <x:c r="V3014" s="20" t="n">
        <x:v>4.4</x:v>
      </x:c>
      <x:c r="W3014" s="20" t="n">
        <x:v>14.3</x:v>
      </x:c>
      <x:c r="X3014" s="20" t="n">
        <x:v>3.3</x:v>
      </x:c>
      <x:c r="Y3014" t="str">
        <x:v>Basis arsip 2025/2024</x:v>
      </x:c>
      <x:c r="Z3014" t="str">
        <x:v>https://snpmb.id/utbk-snbt/daya-tampung-snbt</x:v>
      </x:c>
      <x:c r="AA3014" t="str">
        <x:v>Tidak Ada</x:v>
      </x:c>
      <x:c r="AB3014" t="str">
        <x:v>Campus=55; Ratio=6.7; Prodi=65; RelDemand=14.1; Capacity=25.0</x:v>
      </x:c>
    </x:row>
    <x:row r="3015">
      <x:c r="A3015" t="n">
        <x:v>3012</x:v>
      </x:c>
      <x:c r="B3015" t="str">
        <x:v>PTN Akademik</x:v>
      </x:c>
      <x:c r="C3015" t="str">
        <x:v>UNIVERSITAS NUSA CENDANA</x:v>
      </x:c>
      <x:c r="D3015" t="str">
        <x:v>ILMU PETERNAKAN</x:v>
      </x:c>
      <x:c r="E3015" t="str">
        <x:v>Sarjana</x:v>
      </x:c>
      <x:c r="F3015" s="18" t="n">
        <x:v>180</x:v>
      </x:c>
      <x:c r="G3015" s="18" t="n">
        <x:v>128</x:v>
      </x:c>
      <x:c r="H3015" s="19" t="n">
        <x:v>0.7111111111111111</x:v>
      </x:c>
      <x:c r="I3015" s="18" t="n">
        <x:f>ROUND(MIN(Model_Config_v3!$B$6,MAX(Q3015,R3015,S3015*Model_Config_v3!$B$4+T3015*Model_Config_v3!$B$5)),0)</x:f>
        <x:v>587</x:v>
      </x:c>
      <x:c r="J3015" s="18" t="n">
        <x:f>MIN(Model_Config_v3!$B$6,I3015+Model_Config_v3!$B$7)</x:f>
        <x:v>607</x:v>
      </x:c>
      <x:c r="K3015" s="20" t="n">
        <x:v>28</x:v>
      </x:c>
      <x:c r="L3015" t="str">
        <x:v>RELATIF LONGGAR</x:v>
      </x:c>
      <x:c r="M3015" t="str">
        <x:v>SEDANG</x:v>
      </x:c>
      <x:c r="N3015" t="str">
        <x:v>REGULER</x:v>
      </x:c>
      <x:c r="O3015" t="str">
        <x:v>SAINTEK</x:v>
      </x:c>
      <x:c r="P3015" t="str">
        <x:v>UMUM</x:v>
      </x:c>
      <x:c r="Q3015" s="18" t="n">
        <x:v>0</x:v>
      </x:c>
      <x:c r="R3015" s="18" t="n">
        <x:v>0</x:v>
      </x:c>
      <x:c r="S3015" s="18" t="n">
        <x:v>520</x:v>
      </x:c>
      <x:c r="T3015" s="18" t="n">
        <x:v>616</x:v>
      </x:c>
      <x:c r="U3015" s="18" t="n">
        <x:v>520</x:v>
      </x:c>
      <x:c r="V3015" s="20" t="n">
        <x:v>12</x:v>
      </x:c>
      <x:c r="W3015" s="20" t="n">
        <x:v>5</x:v>
      </x:c>
      <x:c r="X3015" s="20" t="n">
        <x:v>3</x:v>
      </x:c>
      <x:c r="Y3015" t="str">
        <x:v>Basis arsip 2025/2024</x:v>
      </x:c>
      <x:c r="Z3015" t="str">
        <x:v>https://snpmb.id/utbk-snbt/daya-tampung-snbt</x:v>
      </x:c>
      <x:c r="AA3015" t="str">
        <x:v>Tidak Ada</x:v>
      </x:c>
      <x:c r="AB3015" t="str">
        <x:v>Campus=55; Ratio=0.0; Prodi=40; RelDemand=7.7; Capacity=0.0</x:v>
      </x:c>
    </x:row>
    <x:row r="3016">
      <x:c r="A3016" t="n">
        <x:v>3013</x:v>
      </x:c>
      <x:c r="B3016" t="str">
        <x:v>PTN Akademik</x:v>
      </x:c>
      <x:c r="C3016" t="str">
        <x:v>UNIVERSITAS NUSA CENDANA</x:v>
      </x:c>
      <x:c r="D3016" t="str">
        <x:v>ILMU KESEHATAN MASYARAKAT</x:v>
      </x:c>
      <x:c r="E3016" t="str">
        <x:v>Sarjana</x:v>
      </x:c>
      <x:c r="F3016" s="18" t="n">
        <x:v>81</x:v>
      </x:c>
      <x:c r="G3016" s="18" t="n">
        <x:v>909</x:v>
      </x:c>
      <x:c r="H3016" s="19" t="n">
        <x:v>11.222222222222221</x:v>
      </x:c>
      <x:c r="I3016" s="18" t="n">
        <x:f>ROUND(MIN(Model_Config_v3!$B$6,MAX(Q3016,R3016,S3016*Model_Config_v3!$B$4+T3016*Model_Config_v3!$B$5)),0)</x:f>
        <x:v>665</x:v>
      </x:c>
      <x:c r="J3016" s="18" t="n">
        <x:f>MIN(Model_Config_v3!$B$6,I3016+Model_Config_v3!$B$7)</x:f>
        <x:v>685</x:v>
      </x:c>
      <x:c r="K3016" s="20" t="n">
        <x:v>59</x:v>
      </x:c>
      <x:c r="L3016" t="str">
        <x:v>KETAT</x:v>
      </x:c>
      <x:c r="M3016" t="str">
        <x:v>SEDANG+</x:v>
      </x:c>
      <x:c r="N3016" t="str">
        <x:v>REGULER</x:v>
      </x:c>
      <x:c r="O3016" t="str">
        <x:v>SAINTEK</x:v>
      </x:c>
      <x:c r="P3016" t="str">
        <x:v>KESEHAT/GIZI/KEPERAWATAN</x:v>
      </x:c>
      <x:c r="Q3016" s="18" t="n">
        <x:v>0</x:v>
      </x:c>
      <x:c r="R3016" s="18" t="n">
        <x:v>0</x:v>
      </x:c>
      <x:c r="S3016" s="18" t="n">
        <x:v>635.5086750777649</x:v>
      </x:c>
      <x:c r="T3016" s="18" t="n">
        <x:v>678</x:v>
      </x:c>
      <x:c r="U3016" s="18" t="n">
        <x:v>635.5086750777649</x:v>
      </x:c>
      <x:c r="V3016" s="20" t="n">
        <x:v>12</x:v>
      </x:c>
      <x:c r="W3016" s="20" t="n">
        <x:v>5</x:v>
      </x:c>
      <x:c r="X3016" s="20" t="n">
        <x:v>3</x:v>
      </x:c>
      <x:c r="Y3016" t="str">
        <x:v>Basis arsip 2025/2024</x:v>
      </x:c>
      <x:c r="Z3016" t="str">
        <x:v>https://snpmb.id/utbk-snbt/daya-tampung-snbt</x:v>
      </x:c>
      <x:c r="AA3016" t="str">
        <x:v>Tidak Ada</x:v>
      </x:c>
      <x:c r="AB3016" t="str">
        <x:v>Campus=55; Ratio=61.8; Prodi=55; RelDemand=100.0; Capacity=32.5</x:v>
      </x:c>
    </x:row>
    <x:row r="3017">
      <x:c r="A3017" t="n">
        <x:v>3014</x:v>
      </x:c>
      <x:c r="B3017" t="str">
        <x:v>PTN Akademik</x:v>
      </x:c>
      <x:c r="C3017" t="str">
        <x:v>UNIVERSITAS NUSA CENDANA</x:v>
      </x:c>
      <x:c r="D3017" t="str">
        <x:v>MATEMATIKA</x:v>
      </x:c>
      <x:c r="E3017" t="str">
        <x:v>Sarjana</x:v>
      </x:c>
      <x:c r="F3017" s="18" t="n">
        <x:v>54</x:v>
      </x:c>
      <x:c r="G3017" s="18" t="n">
        <x:v>66</x:v>
      </x:c>
      <x:c r="H3017" s="19" t="n">
        <x:v>1.2222222222222223</x:v>
      </x:c>
      <x:c r="I3017" s="18" t="n">
        <x:f>ROUND(MIN(Model_Config_v3!$B$6,MAX(Q3017,R3017,S3017*Model_Config_v3!$B$4+T3017*Model_Config_v3!$B$5)),0)</x:f>
        <x:v>603</x:v>
      </x:c>
      <x:c r="J3017" s="18" t="n">
        <x:f>MIN(Model_Config_v3!$B$6,I3017+Model_Config_v3!$B$7)</x:f>
        <x:v>623</x:v>
      </x:c>
      <x:c r="K3017" s="20" t="n">
        <x:v>37.4</x:v>
      </x:c>
      <x:c r="L3017" t="str">
        <x:v>RELATIF LONGGAR</x:v>
      </x:c>
      <x:c r="M3017" t="str">
        <x:v>SEDANG+</x:v>
      </x:c>
      <x:c r="N3017" t="str">
        <x:v>REGULER</x:v>
      </x:c>
      <x:c r="O3017" t="str">
        <x:v>SAINTEK</x:v>
      </x:c>
      <x:c r="P3017" t="str">
        <x:v>SAINS DASAR</x:v>
      </x:c>
      <x:c r="Q3017" s="18" t="n">
        <x:v>0</x:v>
      </x:c>
      <x:c r="R3017" s="18" t="n">
        <x:v>0</x:v>
      </x:c>
      <x:c r="S3017" s="18" t="n">
        <x:v>529.586519329079</x:v>
      </x:c>
      <x:c r="T3017" s="18" t="n">
        <x:v>635</x:v>
      </x:c>
      <x:c r="U3017" s="18" t="n">
        <x:v>529.586519329079</x:v>
      </x:c>
      <x:c r="V3017" s="20" t="n">
        <x:v>12</x:v>
      </x:c>
      <x:c r="W3017" s="20" t="n">
        <x:v>5</x:v>
      </x:c>
      <x:c r="X3017" s="20" t="n">
        <x:v>3</x:v>
      </x:c>
      <x:c r="Y3017" t="str">
        <x:v>Basis arsip 2025/2024</x:v>
      </x:c>
      <x:c r="Z3017" t="str">
        <x:v>https://snpmb.id/utbk-snbt/daya-tampung-snbt</x:v>
      </x:c>
      <x:c r="AA3017" t="str">
        <x:v>Tidak Ada</x:v>
      </x:c>
      <x:c r="AB3017" t="str">
        <x:v>Campus=55; Ratio=5.1; Prodi=50; RelDemand=13.3; Capacity=55.0</x:v>
      </x:c>
    </x:row>
    <x:row r="3018">
      <x:c r="A3018" t="n">
        <x:v>3015</x:v>
      </x:c>
      <x:c r="B3018" t="str">
        <x:v>PTN Akademik</x:v>
      </x:c>
      <x:c r="C3018" t="str">
        <x:v>UNIVERSITAS NUSA CENDANA</x:v>
      </x:c>
      <x:c r="D3018" t="str">
        <x:v>BIOLOGI</x:v>
      </x:c>
      <x:c r="E3018" t="str">
        <x:v>Sarjana</x:v>
      </x:c>
      <x:c r="F3018" s="18" t="n">
        <x:v>54</x:v>
      </x:c>
      <x:c r="G3018" s="18" t="n">
        <x:v>77</x:v>
      </x:c>
      <x:c r="H3018" s="19" t="n">
        <x:v>1.4259259259259258</x:v>
      </x:c>
      <x:c r="I3018" s="18" t="n">
        <x:f>ROUND(MIN(Model_Config_v3!$B$6,MAX(Q3018,R3018,S3018*Model_Config_v3!$B$4+T3018*Model_Config_v3!$B$5)),0)</x:f>
        <x:v>607</x:v>
      </x:c>
      <x:c r="J3018" s="18" t="n">
        <x:f>MIN(Model_Config_v3!$B$6,I3018+Model_Config_v3!$B$7)</x:f>
        <x:v>627</x:v>
      </x:c>
      <x:c r="K3018" s="20" t="n">
        <x:v>38.6</x:v>
      </x:c>
      <x:c r="L3018" t="str">
        <x:v>RELATIF LONGGAR</x:v>
      </x:c>
      <x:c r="M3018" t="str">
        <x:v>SEDANG+</x:v>
      </x:c>
      <x:c r="N3018" t="str">
        <x:v>REGULER</x:v>
      </x:c>
      <x:c r="O3018" t="str">
        <x:v>SAINTEK</x:v>
      </x:c>
      <x:c r="P3018" t="str">
        <x:v>SAINS DASAR</x:v>
      </x:c>
      <x:c r="Q3018" s="18" t="n">
        <x:v>0</x:v>
      </x:c>
      <x:c r="R3018" s="18" t="n">
        <x:v>0</x:v>
      </x:c>
      <x:c r="S3018" s="18" t="n">
        <x:v>536.9506661884465</x:v>
      </x:c>
      <x:c r="T3018" s="18" t="n">
        <x:v>637</x:v>
      </x:c>
      <x:c r="U3018" s="18" t="n">
        <x:v>536.9506661884465</x:v>
      </x:c>
      <x:c r="V3018" s="20" t="n">
        <x:v>12</x:v>
      </x:c>
      <x:c r="W3018" s="20" t="n">
        <x:v>5</x:v>
      </x:c>
      <x:c r="X3018" s="20" t="n">
        <x:v>3</x:v>
      </x:c>
      <x:c r="Y3018" t="str">
        <x:v>Basis arsip 2025/2024</x:v>
      </x:c>
      <x:c r="Z3018" t="str">
        <x:v>https://snpmb.id/utbk-snbt/daya-tampung-snbt</x:v>
      </x:c>
      <x:c r="AA3018" t="str">
        <x:v>Tidak Ada</x:v>
      </x:c>
      <x:c r="AB3018" t="str">
        <x:v>Campus=55; Ratio=9.1; Prodi=50; RelDemand=15.5; Capacity=55.0</x:v>
      </x:c>
    </x:row>
    <x:row r="3019">
      <x:c r="A3019" t="n">
        <x:v>3016</x:v>
      </x:c>
      <x:c r="B3019" t="str">
        <x:v>PTN Akademik</x:v>
      </x:c>
      <x:c r="C3019" t="str">
        <x:v>UNIVERSITAS NUSA CENDANA</x:v>
      </x:c>
      <x:c r="D3019" t="str">
        <x:v>FISIKA</x:v>
      </x:c>
      <x:c r="E3019" t="str">
        <x:v>Sarjana</x:v>
      </x:c>
      <x:c r="F3019" s="18" t="n">
        <x:v>36</x:v>
      </x:c>
      <x:c r="G3019" s="18" t="n">
        <x:v>17</x:v>
      </x:c>
      <x:c r="H3019" s="19" t="n">
        <x:v>0.4722222222222222</x:v>
      </x:c>
      <x:c r="I3019" s="18" t="n">
        <x:f>ROUND(MIN(Model_Config_v3!$B$6,MAX(Q3019,R3019,S3019*Model_Config_v3!$B$4+T3019*Model_Config_v3!$B$5)),0)</x:f>
        <x:v>600</x:v>
      </x:c>
      <x:c r="J3019" s="18" t="n">
        <x:f>MIN(Model_Config_v3!$B$6,I3019+Model_Config_v3!$B$7)</x:f>
        <x:v>620</x:v>
      </x:c>
      <x:c r="K3019" s="20" t="n">
        <x:v>36.8</x:v>
      </x:c>
      <x:c r="L3019" t="str">
        <x:v>RELATIF LONGGAR</x:v>
      </x:c>
      <x:c r="M3019" t="str">
        <x:v>SEDANG+</x:v>
      </x:c>
      <x:c r="N3019" t="str">
        <x:v>REGULER</x:v>
      </x:c>
      <x:c r="O3019" t="str">
        <x:v>SAINTEK</x:v>
      </x:c>
      <x:c r="P3019" t="str">
        <x:v>SAINS DASAR</x:v>
      </x:c>
      <x:c r="Q3019" s="18" t="n">
        <x:v>0</x:v>
      </x:c>
      <x:c r="R3019" s="18" t="n">
        <x:v>0</x:v>
      </x:c>
      <x:c r="S3019" s="18" t="n">
        <x:v>520</x:v>
      </x:c>
      <x:c r="T3019" s="18" t="n">
        <x:v>634</x:v>
      </x:c>
      <x:c r="U3019" s="18" t="n">
        <x:v>520</x:v>
      </x:c>
      <x:c r="V3019" s="20" t="n">
        <x:v>12</x:v>
      </x:c>
      <x:c r="W3019" s="20" t="n">
        <x:v>5</x:v>
      </x:c>
      <x:c r="X3019" s="20" t="n">
        <x:v>3</x:v>
      </x:c>
      <x:c r="Y3019" t="str">
        <x:v>Basis arsip 2025/2024</x:v>
      </x:c>
      <x:c r="Z3019" t="str">
        <x:v>https://snpmb.id/utbk-snbt/daya-tampung-snbt</x:v>
      </x:c>
      <x:c r="AA3019" t="str">
        <x:v>Tidak Ada</x:v>
      </x:c>
      <x:c r="AB3019" t="str">
        <x:v>Campus=55; Ratio=0.0; Prodi=50; RelDemand=5.1; Capacity=70.0</x:v>
      </x:c>
    </x:row>
    <x:row r="3020">
      <x:c r="A3020" t="n">
        <x:v>3017</x:v>
      </x:c>
      <x:c r="B3020" t="str">
        <x:v>PTN Akademik</x:v>
      </x:c>
      <x:c r="C3020" t="str">
        <x:v>UNIVERSITAS NUSA CENDANA</x:v>
      </x:c>
      <x:c r="D3020" t="str">
        <x:v>KIMIA</x:v>
      </x:c>
      <x:c r="E3020" t="str">
        <x:v>Sarjana</x:v>
      </x:c>
      <x:c r="F3020" s="18" t="n">
        <x:v>40</x:v>
      </x:c>
      <x:c r="G3020" s="18" t="n">
        <x:v>45</x:v>
      </x:c>
      <x:c r="H3020" s="19" t="n">
        <x:v>1.125</x:v>
      </x:c>
      <x:c r="I3020" s="18" t="n">
        <x:f>ROUND(MIN(Model_Config_v3!$B$6,MAX(Q3020,R3020,S3020*Model_Config_v3!$B$4+T3020*Model_Config_v3!$B$5)),0)</x:f>
        <x:v>603</x:v>
      </x:c>
      <x:c r="J3020" s="18" t="n">
        <x:f>MIN(Model_Config_v3!$B$6,I3020+Model_Config_v3!$B$7)</x:f>
        <x:v>623</x:v>
      </x:c>
      <x:c r="K3020" s="20" t="n">
        <x:v>37.9</x:v>
      </x:c>
      <x:c r="L3020" t="str">
        <x:v>RELATIF LONGGAR</x:v>
      </x:c>
      <x:c r="M3020" t="str">
        <x:v>SEDANG+</x:v>
      </x:c>
      <x:c r="N3020" t="str">
        <x:v>REGULER</x:v>
      </x:c>
      <x:c r="O3020" t="str">
        <x:v>SAINTEK</x:v>
      </x:c>
      <x:c r="P3020" t="str">
        <x:v>SAINS DASAR</x:v>
      </x:c>
      <x:c r="Q3020" s="18" t="n">
        <x:v>0</x:v>
      </x:c>
      <x:c r="R3020" s="18" t="n">
        <x:v>0</x:v>
      </x:c>
      <x:c r="S3020" s="18" t="n">
        <x:v>525.6267774692119</x:v>
      </x:c>
      <x:c r="T3020" s="18" t="n">
        <x:v>636</x:v>
      </x:c>
      <x:c r="U3020" s="18" t="n">
        <x:v>525.6267774692119</x:v>
      </x:c>
      <x:c r="V3020" s="20" t="n">
        <x:v>12</x:v>
      </x:c>
      <x:c r="W3020" s="20" t="n">
        <x:v>5</x:v>
      </x:c>
      <x:c r="X3020" s="20" t="n">
        <x:v>3</x:v>
      </x:c>
      <x:c r="Y3020" t="str">
        <x:v>Basis arsip 2025/2024</x:v>
      </x:c>
      <x:c r="Z3020" t="str">
        <x:v>https://snpmb.id/utbk-snbt/daya-tampung-snbt</x:v>
      </x:c>
      <x:c r="AA3020" t="str">
        <x:v>Tidak Ada</x:v>
      </x:c>
      <x:c r="AB3020" t="str">
        <x:v>Campus=55; Ratio=3.0; Prodi=50; RelDemand=12.2; Capacity=66.7</x:v>
      </x:c>
    </x:row>
    <x:row r="3021">
      <x:c r="A3021" t="n">
        <x:v>3018</x:v>
      </x:c>
      <x:c r="B3021" t="str">
        <x:v>PTN Akademik</x:v>
      </x:c>
      <x:c r="C3021" t="str">
        <x:v>UNIVERSITAS NUSA CENDANA</x:v>
      </x:c>
      <x:c r="D3021" t="str">
        <x:v>TEKNIK SIPIL</x:v>
      </x:c>
      <x:c r="E3021" t="str">
        <x:v>Sarjana</x:v>
      </x:c>
      <x:c r="F3021" s="18" t="n">
        <x:v>45</x:v>
      </x:c>
      <x:c r="G3021" s="18" t="n">
        <x:v>452</x:v>
      </x:c>
      <x:c r="H3021" s="19" t="n">
        <x:v>10.044444444444444</x:v>
      </x:c>
      <x:c r="I3021" s="18" t="n">
        <x:f>ROUND(MIN(Model_Config_v3!$B$6,MAX(Q3021,R3021,S3021*Model_Config_v3!$B$4+T3021*Model_Config_v3!$B$5)),0)</x:f>
        <x:v>668</x:v>
      </x:c>
      <x:c r="J3021" s="18" t="n">
        <x:f>MIN(Model_Config_v3!$B$6,I3021+Model_Config_v3!$B$7)</x:f>
        <x:v>688</x:v>
      </x:c>
      <x:c r="K3021" s="20" t="n">
        <x:v>62.2</x:v>
      </x:c>
      <x:c r="L3021" t="str">
        <x:v>KETAT</x:v>
      </x:c>
      <x:c r="M3021" t="str">
        <x:v>SEDANG+</x:v>
      </x:c>
      <x:c r="N3021" t="str">
        <x:v>REGULER</x:v>
      </x:c>
      <x:c r="O3021" t="str">
        <x:v>SAINTEK</x:v>
      </x:c>
      <x:c r="P3021" t="str">
        <x:v>TEKNIK/ARSITEKTUR/STATISTIKA/AKTUARIA</x:v>
      </x:c>
      <x:c r="Q3021" s="18" t="n">
        <x:v>0</x:v>
      </x:c>
      <x:c r="R3021" s="18" t="n">
        <x:v>0</x:v>
      </x:c>
      <x:c r="S3021" s="18" t="n">
        <x:v>630.2118513139642</x:v>
      </x:c>
      <x:c r="T3021" s="18" t="n">
        <x:v>684</x:v>
      </x:c>
      <x:c r="U3021" s="18" t="n">
        <x:v>640.2118513139642</x:v>
      </x:c>
      <x:c r="V3021" s="20" t="n">
        <x:v>12</x:v>
      </x:c>
      <x:c r="W3021" s="20" t="n">
        <x:v>5</x:v>
      </x:c>
      <x:c r="X3021" s="20" t="n">
        <x:v>3</x:v>
      </x:c>
      <x:c r="Y3021" t="str">
        <x:v>Basis arsip 2025/2024</x:v>
      </x:c>
      <x:c r="Z3021" t="str">
        <x:v>https://snpmb.id/utbk-snbt/daya-tampung-snbt</x:v>
      </x:c>
      <x:c r="AA3021" t="str">
        <x:v>Tidak Ada</x:v>
      </x:c>
      <x:c r="AB3021" t="str">
        <x:v>Campus=55; Ratio=59.0; Prodi=60; RelDemand=100.0; Capacity=62.5</x:v>
      </x:c>
    </x:row>
    <x:row r="3022">
      <x:c r="A3022" t="n">
        <x:v>3019</x:v>
      </x:c>
      <x:c r="B3022" t="str">
        <x:v>PTN Akademik</x:v>
      </x:c>
      <x:c r="C3022" t="str">
        <x:v>UNIVERSITAS NUSA CENDANA</x:v>
      </x:c>
      <x:c r="D3022" t="str">
        <x:v>TEKNIK ELEKTRO</x:v>
      </x:c>
      <x:c r="E3022" t="str">
        <x:v>Sarjana</x:v>
      </x:c>
      <x:c r="F3022" s="18" t="n">
        <x:v>36</x:v>
      </x:c>
      <x:c r="G3022" s="18" t="n">
        <x:v>184</x:v>
      </x:c>
      <x:c r="H3022" s="19" t="n">
        <x:v>5.111111111111111</x:v>
      </x:c>
      <x:c r="I3022" s="18" t="n">
        <x:f>ROUND(MIN(Model_Config_v3!$B$6,MAX(Q3022,R3022,S3022*Model_Config_v3!$B$4+T3022*Model_Config_v3!$B$5)),0)</x:f>
        <x:v>647</x:v>
      </x:c>
      <x:c r="J3022" s="18" t="n">
        <x:f>MIN(Model_Config_v3!$B$6,I3022+Model_Config_v3!$B$7)</x:f>
        <x:v>667</x:v>
      </x:c>
      <x:c r="K3022" s="20" t="n">
        <x:v>54.2</x:v>
      </x:c>
      <x:c r="L3022" t="str">
        <x:v>MENENGAH</x:v>
      </x:c>
      <x:c r="M3022" t="str">
        <x:v>SEDANG+</x:v>
      </x:c>
      <x:c r="N3022" t="str">
        <x:v>REGULER</x:v>
      </x:c>
      <x:c r="O3022" t="str">
        <x:v>SAINTEK</x:v>
      </x:c>
      <x:c r="P3022" t="str">
        <x:v>TEKNIK/ARSITEKTUR/STATISTIKA/AKTUARIA</x:v>
      </x:c>
      <x:c r="Q3022" s="18" t="n">
        <x:v>0</x:v>
      </x:c>
      <x:c r="R3022" s="18" t="n">
        <x:v>0</x:v>
      </x:c>
      <x:c r="S3022" s="18" t="n">
        <x:v>597.9366854466474</x:v>
      </x:c>
      <x:c r="T3022" s="18" t="n">
        <x:v>668</x:v>
      </x:c>
      <x:c r="U3022" s="18" t="n">
        <x:v>607.9366854466474</x:v>
      </x:c>
      <x:c r="V3022" s="20" t="n">
        <x:v>12</x:v>
      </x:c>
      <x:c r="W3022" s="20" t="n">
        <x:v>5</x:v>
      </x:c>
      <x:c r="X3022" s="20" t="n">
        <x:v>3</x:v>
      </x:c>
      <x:c r="Y3022" t="str">
        <x:v>Basis arsip 2025/2024</x:v>
      </x:c>
      <x:c r="Z3022" t="str">
        <x:v>https://snpmb.id/utbk-snbt/daya-tampung-snbt</x:v>
      </x:c>
      <x:c r="AA3022" t="str">
        <x:v>Tidak Ada</x:v>
      </x:c>
      <x:c r="AB3022" t="str">
        <x:v>Campus=55; Ratio=41.7; Prodi=60; RelDemand=55.6; Capacity=70.0</x:v>
      </x:c>
    </x:row>
    <x:row r="3023">
      <x:c r="A3023" t="n">
        <x:v>3020</x:v>
      </x:c>
      <x:c r="B3023" t="str">
        <x:v>PTN Akademik</x:v>
      </x:c>
      <x:c r="C3023" t="str">
        <x:v>UNIVERSITAS NUSA CENDANA</x:v>
      </x:c>
      <x:c r="D3023" t="str">
        <x:v>TEKNIK MESIN</x:v>
      </x:c>
      <x:c r="E3023" t="str">
        <x:v>Sarjana</x:v>
      </x:c>
      <x:c r="F3023" s="18" t="n">
        <x:v>57</x:v>
      </x:c>
      <x:c r="G3023" s="18" t="n">
        <x:v>122</x:v>
      </x:c>
      <x:c r="H3023" s="19" t="n">
        <x:v>2.1403508771929824</x:v>
      </x:c>
      <x:c r="I3023" s="18" t="n">
        <x:f>ROUND(MIN(Model_Config_v3!$B$6,MAX(Q3023,R3023,S3023*Model_Config_v3!$B$4+T3023*Model_Config_v3!$B$5)),0)</x:f>
        <x:v>620</x:v>
      </x:c>
      <x:c r="J3023" s="18" t="n">
        <x:f>MIN(Model_Config_v3!$B$6,I3023+Model_Config_v3!$B$7)</x:f>
        <x:v>640</x:v>
      </x:c>
      <x:c r="K3023" s="20" t="n">
        <x:v>43.7</x:v>
      </x:c>
      <x:c r="L3023" t="str">
        <x:v>RELATIF LONGGAR</x:v>
      </x:c>
      <x:c r="M3023" t="str">
        <x:v>SEDANG+</x:v>
      </x:c>
      <x:c r="N3023" t="str">
        <x:v>REGULER</x:v>
      </x:c>
      <x:c r="O3023" t="str">
        <x:v>SAINTEK</x:v>
      </x:c>
      <x:c r="P3023" t="str">
        <x:v>TEKNIK/ARSITEKTUR/STATISTIKA/AKTUARIA</x:v>
      </x:c>
      <x:c r="Q3023" s="18" t="n">
        <x:v>0</x:v>
      </x:c>
      <x:c r="R3023" s="18" t="n">
        <x:v>0</x:v>
      </x:c>
      <x:c r="S3023" s="18" t="n">
        <x:v>556.3533472502482</x:v>
      </x:c>
      <x:c r="T3023" s="18" t="n">
        <x:v>647</x:v>
      </x:c>
      <x:c r="U3023" s="18" t="n">
        <x:v>566.3533472502482</x:v>
      </x:c>
      <x:c r="V3023" s="20" t="n">
        <x:v>12</x:v>
      </x:c>
      <x:c r="W3023" s="20" t="n">
        <x:v>5</x:v>
      </x:c>
      <x:c r="X3023" s="20" t="n">
        <x:v>3</x:v>
      </x:c>
      <x:c r="Y3023" t="str">
        <x:v>Basis arsip 2025/2024</x:v>
      </x:c>
      <x:c r="Z3023" t="str">
        <x:v>https://snpmb.id/utbk-snbt/daya-tampung-snbt</x:v>
      </x:c>
      <x:c r="AA3023" t="str">
        <x:v>Tidak Ada</x:v>
      </x:c>
      <x:c r="AB3023" t="str">
        <x:v>Campus=55; Ratio=19.5; Prodi=60; RelDemand=23.3; Capacity=52.5</x:v>
      </x:c>
    </x:row>
    <x:row r="3024">
      <x:c r="A3024" t="n">
        <x:v>3021</x:v>
      </x:c>
      <x:c r="B3024" t="str">
        <x:v>PTN Akademik</x:v>
      </x:c>
      <x:c r="C3024" t="str">
        <x:v>UNIVERSITAS NUSA CENDANA</x:v>
      </x:c>
      <x:c r="D3024" t="str">
        <x:v>ILMU KOMPUTER</x:v>
      </x:c>
      <x:c r="E3024" t="str">
        <x:v>Sarjana</x:v>
      </x:c>
      <x:c r="F3024" s="18" t="n">
        <x:v>45</x:v>
      </x:c>
      <x:c r="G3024" s="18" t="n">
        <x:v>815</x:v>
      </x:c>
      <x:c r="H3024" s="19" t="n">
        <x:v>18.11111111111111</x:v>
      </x:c>
      <x:c r="I3024" s="18" t="n">
        <x:f>ROUND(MIN(Model_Config_v3!$B$6,MAX(Q3024,R3024,S3024*Model_Config_v3!$B$4+T3024*Model_Config_v3!$B$5)),0)</x:f>
        <x:v>689</x:v>
      </x:c>
      <x:c r="J3024" s="18" t="n">
        <x:f>MIN(Model_Config_v3!$B$6,I3024+Model_Config_v3!$B$7)</x:f>
        <x:v>709</x:v>
      </x:c>
      <x:c r="K3024" s="20" t="n">
        <x:v>71</x:v>
      </x:c>
      <x:c r="L3024" t="str">
        <x:v>SANGAT KETAT</x:v>
      </x:c>
      <x:c r="M3024" t="str">
        <x:v>SEDANG+</x:v>
      </x:c>
      <x:c r="N3024" t="str">
        <x:v>REGULER</x:v>
      </x:c>
      <x:c r="O3024" t="str">
        <x:v>SAINTEK</x:v>
      </x:c>
      <x:c r="P3024" t="str">
        <x:v>KOMPUTER/INFORMATIKA</x:v>
      </x:c>
      <x:c r="Q3024" s="18" t="n">
        <x:v>0</x:v>
      </x:c>
      <x:c r="R3024" s="18" t="n">
        <x:v>0</x:v>
      </x:c>
      <x:c r="S3024" s="18" t="n">
        <x:v>658.3739604461095</x:v>
      </x:c>
      <x:c r="T3024" s="18" t="n">
        <x:v>702</x:v>
      </x:c>
      <x:c r="U3024" s="18" t="n">
        <x:v>683.3739604461095</x:v>
      </x:c>
      <x:c r="V3024" s="20" t="n">
        <x:v>12</x:v>
      </x:c>
      <x:c r="W3024" s="20" t="n">
        <x:v>5</x:v>
      </x:c>
      <x:c r="X3024" s="20" t="n">
        <x:v>3</x:v>
      </x:c>
      <x:c r="Y3024" t="str">
        <x:v>Basis arsip 2025/2024</x:v>
      </x:c>
      <x:c r="Z3024" t="str">
        <x:v>https://snpmb.id/utbk-snbt/daya-tampung-snbt</x:v>
      </x:c>
      <x:c r="AA3024" t="str">
        <x:v>Tidak Ada</x:v>
      </x:c>
      <x:c r="AB3024" t="str">
        <x:v>Campus=55; Ratio=74.0; Prodi=85; RelDemand=100.0; Capacity=62.5</x:v>
      </x:c>
    </x:row>
    <x:row r="3025">
      <x:c r="A3025" t="n">
        <x:v>3022</x:v>
      </x:c>
      <x:c r="B3025" t="str">
        <x:v>PTN Akademik</x:v>
      </x:c>
      <x:c r="C3025" t="str">
        <x:v>UNIVERSITAS NUSA CENDANA</x:v>
      </x:c>
      <x:c r="D3025" t="str">
        <x:v>TEKNIK ARSITEKTUR</x:v>
      </x:c>
      <x:c r="E3025" t="str">
        <x:v>Sarjana</x:v>
      </x:c>
      <x:c r="F3025" s="18" t="n">
        <x:v>54</x:v>
      </x:c>
      <x:c r="G3025" s="18" t="n">
        <x:v>122</x:v>
      </x:c>
      <x:c r="H3025" s="19" t="n">
        <x:v>2.259259259259259</x:v>
      </x:c>
      <x:c r="I3025" s="18" t="n">
        <x:f>ROUND(MIN(Model_Config_v3!$B$6,MAX(Q3025,R3025,S3025*Model_Config_v3!$B$4+T3025*Model_Config_v3!$B$5)),0)</x:f>
        <x:v>622</x:v>
      </x:c>
      <x:c r="J3025" s="18" t="n">
        <x:f>MIN(Model_Config_v3!$B$6,I3025+Model_Config_v3!$B$7)</x:f>
        <x:v>642</x:v>
      </x:c>
      <x:c r="K3025" s="20" t="n">
        <x:v>44.4</x:v>
      </x:c>
      <x:c r="L3025" t="str">
        <x:v>RELATIF LONGGAR</x:v>
      </x:c>
      <x:c r="M3025" t="str">
        <x:v>SEDANG+</x:v>
      </x:c>
      <x:c r="N3025" t="str">
        <x:v>REGULER</x:v>
      </x:c>
      <x:c r="O3025" t="str">
        <x:v>SAINTEK</x:v>
      </x:c>
      <x:c r="P3025" t="str">
        <x:v>TEKNIK/ARSITEKTUR/STATISTIKA/AKTUARIA</x:v>
      </x:c>
      <x:c r="Q3025" s="18" t="n">
        <x:v>0</x:v>
      </x:c>
      <x:c r="R3025" s="18" t="n">
        <x:v>0</x:v>
      </x:c>
      <x:c r="S3025" s="18" t="n">
        <x:v>558.9362677936957</x:v>
      </x:c>
      <x:c r="T3025" s="18" t="n">
        <x:v>649</x:v>
      </x:c>
      <x:c r="U3025" s="18" t="n">
        <x:v>568.9362677936957</x:v>
      </x:c>
      <x:c r="V3025" s="20" t="n">
        <x:v>12</x:v>
      </x:c>
      <x:c r="W3025" s="20" t="n">
        <x:v>5</x:v>
      </x:c>
      <x:c r="X3025" s="20" t="n">
        <x:v>3</x:v>
      </x:c>
      <x:c r="Y3025" t="str">
        <x:v>Basis arsip 2025/2024</x:v>
      </x:c>
      <x:c r="Z3025" t="str">
        <x:v>https://snpmb.id/utbk-snbt/daya-tampung-snbt</x:v>
      </x:c>
      <x:c r="AA3025" t="str">
        <x:v>Tidak Ada</x:v>
      </x:c>
      <x:c r="AB3025" t="str">
        <x:v>Campus=55; Ratio=20.8; Prodi=60; RelDemand=24.6; Capacity=55.0</x:v>
      </x:c>
    </x:row>
    <x:row r="3026">
      <x:c r="A3026" t="n">
        <x:v>3023</x:v>
      </x:c>
      <x:c r="B3026" t="str">
        <x:v>PTN Akademik</x:v>
      </x:c>
      <x:c r="C3026" t="str">
        <x:v>UNIVERSITAS NUSA CENDANA</x:v>
      </x:c>
      <x:c r="D3026" t="str">
        <x:v>TEKNIK PERTAMBANGAN</x:v>
      </x:c>
      <x:c r="E3026" t="str">
        <x:v>Sarjana</x:v>
      </x:c>
      <x:c r="F3026" s="18" t="n">
        <x:v>45</x:v>
      </x:c>
      <x:c r="G3026" s="18" t="n">
        <x:v>126</x:v>
      </x:c>
      <x:c r="H3026" s="19" t="n">
        <x:v>2.8</x:v>
      </x:c>
      <x:c r="I3026" s="18" t="n">
        <x:f>ROUND(MIN(Model_Config_v3!$B$6,MAX(Q3026,R3026,S3026*Model_Config_v3!$B$4+T3026*Model_Config_v3!$B$5)),0)</x:f>
        <x:v>629</x:v>
      </x:c>
      <x:c r="J3026" s="18" t="n">
        <x:f>MIN(Model_Config_v3!$B$6,I3026+Model_Config_v3!$B$7)</x:f>
        <x:v>649</x:v>
      </x:c>
      <x:c r="K3026" s="20" t="n">
        <x:v>47.1</x:v>
      </x:c>
      <x:c r="L3026" t="str">
        <x:v>MENENGAH</x:v>
      </x:c>
      <x:c r="M3026" t="str">
        <x:v>SEDANG+</x:v>
      </x:c>
      <x:c r="N3026" t="str">
        <x:v>REGULER</x:v>
      </x:c>
      <x:c r="O3026" t="str">
        <x:v>SAINTEK</x:v>
      </x:c>
      <x:c r="P3026" t="str">
        <x:v>TEKNIK/ARSITEKTUR/STATISTIKA/AKTUARIA</x:v>
      </x:c>
      <x:c r="Q3026" s="18" t="n">
        <x:v>0</x:v>
      </x:c>
      <x:c r="R3026" s="18" t="n">
        <x:v>0</x:v>
      </x:c>
      <x:c r="S3026" s="18" t="n">
        <x:v>569.1873834476442</x:v>
      </x:c>
      <x:c r="T3026" s="18" t="n">
        <x:v>654</x:v>
      </x:c>
      <x:c r="U3026" s="18" t="n">
        <x:v>579.1873834476442</x:v>
      </x:c>
      <x:c r="V3026" s="20" t="n">
        <x:v>12</x:v>
      </x:c>
      <x:c r="W3026" s="20" t="n">
        <x:v>5</x:v>
      </x:c>
      <x:c r="X3026" s="20" t="n">
        <x:v>3</x:v>
      </x:c>
      <x:c r="Y3026" t="str">
        <x:v>Basis arsip 2025/2024</x:v>
      </x:c>
      <x:c r="Z3026" t="str">
        <x:v>https://snpmb.id/utbk-snbt/daya-tampung-snbt</x:v>
      </x:c>
      <x:c r="AA3026" t="str">
        <x:v>Tidak Ada</x:v>
      </x:c>
      <x:c r="AB3026" t="str">
        <x:v>Campus=55; Ratio=26.3; Prodi=60; RelDemand=30.5; Capacity=62.5</x:v>
      </x:c>
    </x:row>
    <x:row r="3027">
      <x:c r="A3027" t="n">
        <x:v>3024</x:v>
      </x:c>
      <x:c r="B3027" t="str">
        <x:v>PTN Akademik</x:v>
      </x:c>
      <x:c r="C3027" t="str">
        <x:v>UNIVERSITAS NUSA CENDANA</x:v>
      </x:c>
      <x:c r="D3027" t="str">
        <x:v>PENDIDIKAN DOKTER</x:v>
      </x:c>
      <x:c r="E3027" t="str">
        <x:v>Sarjana</x:v>
      </x:c>
      <x:c r="F3027" s="18" t="n">
        <x:v>50</x:v>
      </x:c>
      <x:c r="G3027" s="18" t="n">
        <x:v>698</x:v>
      </x:c>
      <x:c r="H3027" s="19" t="n">
        <x:v>13.96</x:v>
      </x:c>
      <x:c r="I3027" s="18" t="n">
        <x:f>ROUND(MIN(Model_Config_v3!$B$6,MAX(Q3027,R3027,S3027*Model_Config_v3!$B$4+T3027*Model_Config_v3!$B$5)),0)</x:f>
        <x:v>687</x:v>
      </x:c>
      <x:c r="J3027" s="18" t="n">
        <x:f>MIN(Model_Config_v3!$B$6,I3027+Model_Config_v3!$B$7)</x:f>
        <x:v>707</x:v>
      </x:c>
      <x:c r="K3027" s="20" t="n">
        <x:v>71.9</x:v>
      </x:c>
      <x:c r="L3027" t="str">
        <x:v>SANGAT KETAT</x:v>
      </x:c>
      <x:c r="M3027" t="str">
        <x:v>SEDANG+</x:v>
      </x:c>
      <x:c r="N3027" t="str">
        <x:v>REGULER</x:v>
      </x:c>
      <x:c r="O3027" t="str">
        <x:v>SAINTEK</x:v>
      </x:c>
      <x:c r="P3027" t="str">
        <x:v>KEDOKTERAN</x:v>
      </x:c>
      <x:c r="Q3027" s="18" t="n">
        <x:v>0</x:v>
      </x:c>
      <x:c r="R3027" s="18" t="n">
        <x:v>680</x:v>
      </x:c>
      <x:c r="S3027" s="18" t="n">
        <x:v>645.9373960115856</x:v>
      </x:c>
      <x:c r="T3027" s="18" t="n">
        <x:v>704</x:v>
      </x:c>
      <x:c r="U3027" s="18" t="n">
        <x:v>685.9373960115856</x:v>
      </x:c>
      <x:c r="V3027" s="20" t="n">
        <x:v>12</x:v>
      </x:c>
      <x:c r="W3027" s="20" t="n">
        <x:v>5</x:v>
      </x:c>
      <x:c r="X3027" s="20" t="n">
        <x:v>3</x:v>
      </x:c>
      <x:c r="Y3027" t="str">
        <x:v>Basis arsip 2025/2024</x:v>
      </x:c>
      <x:c r="Z3027" t="str">
        <x:v>https://snpmb.id/utbk-snbt/daya-tampung-snbt</x:v>
      </x:c>
      <x:c r="AA3027" t="str">
        <x:v>Tidak Ada</x:v>
      </x:c>
      <x:c r="AB3027" t="str">
        <x:v>Campus=55; Ratio=67.4; Prodi=100; RelDemand=100.0; Capacity=58.3</x:v>
      </x:c>
    </x:row>
    <x:row r="3028">
      <x:c r="A3028" t="n">
        <x:v>3025</x:v>
      </x:c>
      <x:c r="B3028" t="str">
        <x:v>PTN Akademik</x:v>
      </x:c>
      <x:c r="C3028" t="str">
        <x:v>UNIVERSITAS NUSA CENDANA</x:v>
      </x:c>
      <x:c r="D3028" t="str">
        <x:v>BUDIDAYA PERIKANAN</x:v>
      </x:c>
      <x:c r="E3028" t="str">
        <x:v>Sarjana</x:v>
      </x:c>
      <x:c r="F3028" s="18" t="n">
        <x:v>45</x:v>
      </x:c>
      <x:c r="G3028" s="18" t="n">
        <x:v>48</x:v>
      </x:c>
      <x:c r="H3028" s="19" t="n">
        <x:v>1.0666666666666667</x:v>
      </x:c>
      <x:c r="I3028" s="18" t="n">
        <x:f>ROUND(MIN(Model_Config_v3!$B$6,MAX(Q3028,R3028,S3028*Model_Config_v3!$B$4+T3028*Model_Config_v3!$B$5)),0)</x:f>
        <x:v>598</x:v>
      </x:c>
      <x:c r="J3028" s="18" t="n">
        <x:f>MIN(Model_Config_v3!$B$6,I3028+Model_Config_v3!$B$7)</x:f>
        <x:v>618</x:v>
      </x:c>
      <x:c r="K3028" s="20" t="n">
        <x:v>35.1</x:v>
      </x:c>
      <x:c r="L3028" t="str">
        <x:v>RELATIF LONGGAR</x:v>
      </x:c>
      <x:c r="M3028" t="str">
        <x:v>SEDANG</x:v>
      </x:c>
      <x:c r="N3028" t="str">
        <x:v>REGULER</x:v>
      </x:c>
      <x:c r="O3028" t="str">
        <x:v>SAINTEK</x:v>
      </x:c>
      <x:c r="P3028" t="str">
        <x:v>UMUM</x:v>
      </x:c>
      <x:c r="Q3028" s="18" t="n">
        <x:v>0</x:v>
      </x:c>
      <x:c r="R3028" s="18" t="n">
        <x:v>0</x:v>
      </x:c>
      <x:c r="S3028" s="18" t="n">
        <x:v>523.0831595960268</x:v>
      </x:c>
      <x:c r="T3028" s="18" t="n">
        <x:v>630</x:v>
      </x:c>
      <x:c r="U3028" s="18" t="n">
        <x:v>523.0831595960268</x:v>
      </x:c>
      <x:c r="V3028" s="20" t="n">
        <x:v>12</x:v>
      </x:c>
      <x:c r="W3028" s="20" t="n">
        <x:v>5</x:v>
      </x:c>
      <x:c r="X3028" s="20" t="n">
        <x:v>3</x:v>
      </x:c>
      <x:c r="Y3028" t="str">
        <x:v>Basis arsip 2025/2024</x:v>
      </x:c>
      <x:c r="Z3028" t="str">
        <x:v>https://snpmb.id/utbk-snbt/daya-tampung-snbt</x:v>
      </x:c>
      <x:c r="AA3028" t="str">
        <x:v>Tidak Ada</x:v>
      </x:c>
      <x:c r="AB3028" t="str">
        <x:v>Campus=55; Ratio=1.6; Prodi=40; RelDemand=11.6; Capacity=62.5</x:v>
      </x:c>
    </x:row>
    <x:row r="3029">
      <x:c r="A3029" t="n">
        <x:v>3026</x:v>
      </x:c>
      <x:c r="B3029" t="str">
        <x:v>PTN Akademik</x:v>
      </x:c>
      <x:c r="C3029" t="str">
        <x:v>UNIVERSITAS NUSA CENDANA</x:v>
      </x:c>
      <x:c r="D3029" t="str">
        <x:v>KEDOKTERAN HEWAN</x:v>
      </x:c>
      <x:c r="E3029" t="str">
        <x:v>Sarjana</x:v>
      </x:c>
      <x:c r="F3029" s="18" t="n">
        <x:v>36</x:v>
      </x:c>
      <x:c r="G3029" s="18" t="n">
        <x:v>204</x:v>
      </x:c>
      <x:c r="H3029" s="19" t="n">
        <x:v>5.666666666666667</x:v>
      </x:c>
      <x:c r="I3029" s="18" t="n">
        <x:f>ROUND(MIN(Model_Config_v3!$B$6,MAX(Q3029,R3029,S3029*Model_Config_v3!$B$4+T3029*Model_Config_v3!$B$5)),0)</x:f>
        <x:v>651</x:v>
      </x:c>
      <x:c r="J3029" s="18" t="n">
        <x:f>MIN(Model_Config_v3!$B$6,I3029+Model_Config_v3!$B$7)</x:f>
        <x:v>671</x:v>
      </x:c>
      <x:c r="K3029" s="20" t="n">
        <x:v>55.5</x:v>
      </x:c>
      <x:c r="L3029" t="str">
        <x:v>KETAT</x:v>
      </x:c>
      <x:c r="M3029" t="str">
        <x:v>SEDANG+</x:v>
      </x:c>
      <x:c r="N3029" t="str">
        <x:v>REGULER</x:v>
      </x:c>
      <x:c r="O3029" t="str">
        <x:v>SAINTEK</x:v>
      </x:c>
      <x:c r="P3029" t="str">
        <x:v>VETERINER</x:v>
      </x:c>
      <x:c r="Q3029" s="18" t="n">
        <x:v>0</x:v>
      </x:c>
      <x:c r="R3029" s="18" t="n">
        <x:v>630</x:v>
      </x:c>
      <x:c r="S3029" s="18" t="n">
        <x:v>602.8660433324472</x:v>
      </x:c>
      <x:c r="T3029" s="18" t="n">
        <x:v>671</x:v>
      </x:c>
      <x:c r="U3029" s="18" t="n">
        <x:v>602.8660433324472</x:v>
      </x:c>
      <x:c r="V3029" s="20" t="n">
        <x:v>12</x:v>
      </x:c>
      <x:c r="W3029" s="20" t="n">
        <x:v>5</x:v>
      </x:c>
      <x:c r="X3029" s="20" t="n">
        <x:v>3</x:v>
      </x:c>
      <x:c r="Y3029" t="str">
        <x:v>Basis arsip 2025/2024</x:v>
      </x:c>
      <x:c r="Z3029" t="str">
        <x:v>https://snpmb.id/utbk-snbt/daya-tampung-snbt</x:v>
      </x:c>
      <x:c r="AA3029" t="str">
        <x:v>Tidak Ada</x:v>
      </x:c>
      <x:c r="AB3029" t="str">
        <x:v>Campus=55; Ratio=44.3; Prodi=60; RelDemand=61.7; Capacity=70.0</x:v>
      </x:c>
    </x:row>
    <x:row r="3030">
      <x:c r="A3030" t="n">
        <x:v>3027</x:v>
      </x:c>
      <x:c r="B3030" t="str">
        <x:v>PTN Akademik</x:v>
      </x:c>
      <x:c r="C3030" t="str">
        <x:v>UNIVERSITAS NUSA CENDANA</x:v>
      </x:c>
      <x:c r="D3030" t="str">
        <x:v>KEHUTANAN</x:v>
      </x:c>
      <x:c r="E3030" t="str">
        <x:v>Sarjana</x:v>
      </x:c>
      <x:c r="F3030" s="18" t="n">
        <x:v>45</x:v>
      </x:c>
      <x:c r="G3030" s="18" t="n">
        <x:v>103</x:v>
      </x:c>
      <x:c r="H3030" s="19" t="n">
        <x:v>2.2888888888888888</x:v>
      </x:c>
      <x:c r="I3030" s="18" t="n">
        <x:f>ROUND(MIN(Model_Config_v3!$B$6,MAX(Q3030,R3030,S3030*Model_Config_v3!$B$4+T3030*Model_Config_v3!$B$5)),0)</x:f>
        <x:v>618</x:v>
      </x:c>
      <x:c r="J3030" s="18" t="n">
        <x:f>MIN(Model_Config_v3!$B$6,I3030+Model_Config_v3!$B$7)</x:f>
        <x:v>638</x:v>
      </x:c>
      <x:c r="K3030" s="20" t="n">
        <x:v>41.3</x:v>
      </x:c>
      <x:c r="L3030" t="str">
        <x:v>RELATIF LONGGAR</x:v>
      </x:c>
      <x:c r="M3030" t="str">
        <x:v>SEDANG</x:v>
      </x:c>
      <x:c r="N3030" t="str">
        <x:v>REGULER</x:v>
      </x:c>
      <x:c r="O3030" t="str">
        <x:v>CAMPURAN</x:v>
      </x:c>
      <x:c r="P3030" t="str">
        <x:v>UMUM</x:v>
      </x:c>
      <x:c r="Q3030" s="18" t="n">
        <x:v>0</x:v>
      </x:c>
      <x:c r="R3030" s="18" t="n">
        <x:v>0</x:v>
      </x:c>
      <x:c r="S3030" s="18" t="n">
        <x:v>559.5587182022812</x:v>
      </x:c>
      <x:c r="T3030" s="18" t="n">
        <x:v>643</x:v>
      </x:c>
      <x:c r="U3030" s="18" t="n">
        <x:v>559.5587182022812</x:v>
      </x:c>
      <x:c r="V3030" s="20" t="n">
        <x:v>8.8</x:v>
      </x:c>
      <x:c r="W3030" s="20" t="n">
        <x:v>9.9</x:v>
      </x:c>
      <x:c r="X3030" s="20" t="n">
        <x:v>3.3</x:v>
      </x:c>
      <x:c r="Y3030" t="str">
        <x:v>Basis arsip 2025/2024</x:v>
      </x:c>
      <x:c r="Z3030" t="str">
        <x:v>https://snpmb.id/utbk-snbt/daya-tampung-snbt</x:v>
      </x:c>
      <x:c r="AA3030" t="str">
        <x:v>Tidak Ada</x:v>
      </x:c>
      <x:c r="AB3030" t="str">
        <x:v>Campus=55; Ratio=21.2; Prodi=40; RelDemand=24.9; Capacity=62.5</x:v>
      </x:c>
    </x:row>
    <x:row r="3031">
      <x:c r="A3031" t="n">
        <x:v>3028</x:v>
      </x:c>
      <x:c r="B3031" t="str">
        <x:v>PTN Akademik</x:v>
      </x:c>
      <x:c r="C3031" t="str">
        <x:v>UNIVERSITAS NUSA CENDANA</x:v>
      </x:c>
      <x:c r="D3031" t="str">
        <x:v>MANAJEMEN SUMBER DAYA PERAIRAN</x:v>
      </x:c>
      <x:c r="E3031" t="str">
        <x:v>Sarjana</x:v>
      </x:c>
      <x:c r="F3031" s="18" t="n">
        <x:v>45</x:v>
      </x:c>
      <x:c r="G3031" s="18" t="n">
        <x:v>28</x:v>
      </x:c>
      <x:c r="H3031" s="19" t="n">
        <x:v>0.6222222222222222</x:v>
      </x:c>
      <x:c r="I3031" s="18" t="n">
        <x:f>ROUND(MIN(Model_Config_v3!$B$6,MAX(Q3031,R3031,S3031*Model_Config_v3!$B$4+T3031*Model_Config_v3!$B$5)),0)</x:f>
        <x:v>603</x:v>
      </x:c>
      <x:c r="J3031" s="18" t="n">
        <x:f>MIN(Model_Config_v3!$B$6,I3031+Model_Config_v3!$B$7)</x:f>
        <x:v>623</x:v>
      </x:c>
      <x:c r="K3031" s="20" t="n">
        <x:v>39.2</x:v>
      </x:c>
      <x:c r="L3031" t="str">
        <x:v>RELATIF LONGGAR</x:v>
      </x:c>
      <x:c r="M3031" t="str">
        <x:v>SEDANG+</x:v>
      </x:c>
      <x:c r="N3031" t="str">
        <x:v>REGULER</x:v>
      </x:c>
      <x:c r="O3031" t="str">
        <x:v>SOSHUM</x:v>
      </x:c>
      <x:c r="P3031" t="str">
        <x:v>BISNIS/EKONOMI/AKUNTANSI</x:v>
      </x:c>
      <x:c r="Q3031" s="18" t="n">
        <x:v>0</x:v>
      </x:c>
      <x:c r="R3031" s="18" t="n">
        <x:v>0</x:v>
      </x:c>
      <x:c r="S3031" s="18" t="n">
        <x:v>520</x:v>
      </x:c>
      <x:c r="T3031" s="18" t="n">
        <x:v>638</x:v>
      </x:c>
      <x:c r="U3031" s="18" t="n">
        <x:v>535</x:v>
      </x:c>
      <x:c r="V3031" s="20" t="n">
        <x:v>4.4</x:v>
      </x:c>
      <x:c r="W3031" s="20" t="n">
        <x:v>14.3</x:v>
      </x:c>
      <x:c r="X3031" s="20" t="n">
        <x:v>3.3</x:v>
      </x:c>
      <x:c r="Y3031" t="str">
        <x:v>Basis arsip 2025/2024</x:v>
      </x:c>
      <x:c r="Z3031" t="str">
        <x:v>https://snpmb.id/utbk-snbt/daya-tampung-snbt</x:v>
      </x:c>
      <x:c r="AA3031" t="str">
        <x:v>Tidak Ada</x:v>
      </x:c>
      <x:c r="AB3031" t="str">
        <x:v>Campus=55; Ratio=0.0; Prodi=65; RelDemand=6.8; Capacity=62.5</x:v>
      </x:c>
    </x:row>
    <x:row r="3032">
      <x:c r="A3032" t="n">
        <x:v>3029</x:v>
      </x:c>
      <x:c r="B3032" t="str">
        <x:v>PTN Akademik</x:v>
      </x:c>
      <x:c r="C3032" t="str">
        <x:v>UNIVERSITAS NUSA CENDANA</x:v>
      </x:c>
      <x:c r="D3032" t="str">
        <x:v>PEND. BHS &amp; SASTRA INDO.</x:v>
      </x:c>
      <x:c r="E3032" t="str">
        <x:v>Sarjana</x:v>
      </x:c>
      <x:c r="F3032" s="18" t="n">
        <x:v>72</x:v>
      </x:c>
      <x:c r="G3032" s="18" t="n">
        <x:v>179</x:v>
      </x:c>
      <x:c r="H3032" s="19" t="n">
        <x:v>2.486111111111111</x:v>
      </x:c>
      <x:c r="I3032" s="18" t="n">
        <x:f>ROUND(MIN(Model_Config_v3!$B$6,MAX(Q3032,R3032,S3032*Model_Config_v3!$B$4+T3032*Model_Config_v3!$B$5)),0)</x:f>
        <x:v>618</x:v>
      </x:c>
      <x:c r="J3032" s="18" t="n">
        <x:f>MIN(Model_Config_v3!$B$6,I3032+Model_Config_v3!$B$7)</x:f>
        <x:v>638</x:v>
      </x:c>
      <x:c r="K3032" s="20" t="n">
        <x:v>40.8</x:v>
      </x:c>
      <x:c r="L3032" t="str">
        <x:v>RELATIF LONGGAR</x:v>
      </x:c>
      <x:c r="M3032" t="str">
        <x:v>SEDANG+</x:v>
      </x:c>
      <x:c r="N3032" t="str">
        <x:v>REGULER</x:v>
      </x:c>
      <x:c r="O3032" t="str">
        <x:v>SOSHUM</x:v>
      </x:c>
      <x:c r="P3032" t="str">
        <x:v>PENDIDIKAN</x:v>
      </x:c>
      <x:c r="Q3032" s="18" t="n">
        <x:v>0</x:v>
      </x:c>
      <x:c r="R3032" s="18" t="n">
        <x:v>0</x:v>
      </x:c>
      <x:c r="S3032" s="18" t="n">
        <x:v>563.5072588003487</x:v>
      </x:c>
      <x:c r="T3032" s="18" t="n">
        <x:v>642</x:v>
      </x:c>
      <x:c r="U3032" s="18" t="n">
        <x:v>563.5072588003487</x:v>
      </x:c>
      <x:c r="V3032" s="20" t="n">
        <x:v>4.4</x:v>
      </x:c>
      <x:c r="W3032" s="20" t="n">
        <x:v>14.3</x:v>
      </x:c>
      <x:c r="X3032" s="20" t="n">
        <x:v>3.3</x:v>
      </x:c>
      <x:c r="Y3032" t="str">
        <x:v>Basis arsip 2025/2024</x:v>
      </x:c>
      <x:c r="Z3032" t="str">
        <x:v>https://snpmb.id/utbk-snbt/daya-tampung-snbt</x:v>
      </x:c>
      <x:c r="AA3032" t="str">
        <x:v>Tidak Ada</x:v>
      </x:c>
      <x:c r="AB3032" t="str">
        <x:v>Campus=55; Ratio=23.3; Prodi=45; RelDemand=27.0; Capacity=40.0</x:v>
      </x:c>
    </x:row>
    <x:row r="3033">
      <x:c r="A3033" t="n">
        <x:v>3030</x:v>
      </x:c>
      <x:c r="B3033" t="str">
        <x:v>PTN Akademik</x:v>
      </x:c>
      <x:c r="C3033" t="str">
        <x:v>UNIVERSITAS NUSA CENDANA</x:v>
      </x:c>
      <x:c r="D3033" t="str">
        <x:v>PEND. BHS. INGGRIS</x:v>
      </x:c>
      <x:c r="E3033" t="str">
        <x:v>Sarjana</x:v>
      </x:c>
      <x:c r="F3033" s="18" t="n">
        <x:v>72</x:v>
      </x:c>
      <x:c r="G3033" s="18" t="n">
        <x:v>224</x:v>
      </x:c>
      <x:c r="H3033" s="19" t="n">
        <x:v>3.111111111111111</x:v>
      </x:c>
      <x:c r="I3033" s="18" t="n">
        <x:f>ROUND(MIN(Model_Config_v3!$B$6,MAX(Q3033,R3033,S3033*Model_Config_v3!$B$4+T3033*Model_Config_v3!$B$5)),0)</x:f>
        <x:v>624</x:v>
      </x:c>
      <x:c r="J3033" s="18" t="n">
        <x:f>MIN(Model_Config_v3!$B$6,I3033+Model_Config_v3!$B$7)</x:f>
        <x:v>644</x:v>
      </x:c>
      <x:c r="K3033" s="20" t="n">
        <x:v>42.9</x:v>
      </x:c>
      <x:c r="L3033" t="str">
        <x:v>RELATIF LONGGAR</x:v>
      </x:c>
      <x:c r="M3033" t="str">
        <x:v>SEDANG+</x:v>
      </x:c>
      <x:c r="N3033" t="str">
        <x:v>REGULER</x:v>
      </x:c>
      <x:c r="O3033" t="str">
        <x:v>CAMPURAN</x:v>
      </x:c>
      <x:c r="P3033" t="str">
        <x:v>PENDIDIKAN</x:v>
      </x:c>
      <x:c r="Q3033" s="18" t="n">
        <x:v>0</x:v>
      </x:c>
      <x:c r="R3033" s="18" t="n">
        <x:v>0</x:v>
      </x:c>
      <x:c r="S3033" s="18" t="n">
        <x:v>574.2207074093184</x:v>
      </x:c>
      <x:c r="T3033" s="18" t="n">
        <x:v>646</x:v>
      </x:c>
      <x:c r="U3033" s="18" t="n">
        <x:v>574.2207074093184</x:v>
      </x:c>
      <x:c r="V3033" s="20" t="n">
        <x:v>8.8</x:v>
      </x:c>
      <x:c r="W3033" s="20" t="n">
        <x:v>9.9</x:v>
      </x:c>
      <x:c r="X3033" s="20" t="n">
        <x:v>3.3</x:v>
      </x:c>
      <x:c r="Y3033" t="str">
        <x:v>Basis arsip 2025/2024</x:v>
      </x:c>
      <x:c r="Z3033" t="str">
        <x:v>https://snpmb.id/utbk-snbt/daya-tampung-snbt</x:v>
      </x:c>
      <x:c r="AA3033" t="str">
        <x:v>Tidak Ada</x:v>
      </x:c>
      <x:c r="AB3033" t="str">
        <x:v>Campus=55; Ratio=29.0; Prodi=45; RelDemand=33.8; Capacity=40.0</x:v>
      </x:c>
    </x:row>
    <x:row r="3034">
      <x:c r="A3034" t="n">
        <x:v>3031</x:v>
      </x:c>
      <x:c r="B3034" t="str">
        <x:v>PTN Akademik</x:v>
      </x:c>
      <x:c r="C3034" t="str">
        <x:v>UNIVERSITAS NUSA CENDANA</x:v>
      </x:c>
      <x:c r="D3034" t="str">
        <x:v>PPKN</x:v>
      </x:c>
      <x:c r="E3034" t="str">
        <x:v>Sarjana</x:v>
      </x:c>
      <x:c r="F3034" s="18" t="n">
        <x:v>54</x:v>
      </x:c>
      <x:c r="G3034" s="18" t="n">
        <x:v>511</x:v>
      </x:c>
      <x:c r="H3034" s="19" t="n">
        <x:v>9.462962962962964</x:v>
      </x:c>
      <x:c r="I3034" s="18" t="n">
        <x:f>ROUND(MIN(Model_Config_v3!$B$6,MAX(Q3034,R3034,S3034*Model_Config_v3!$B$4+T3034*Model_Config_v3!$B$5)),0)</x:f>
        <x:v>660</x:v>
      </x:c>
      <x:c r="J3034" s="18" t="n">
        <x:f>MIN(Model_Config_v3!$B$6,I3034+Model_Config_v3!$B$7)</x:f>
        <x:v>680</x:v>
      </x:c>
      <x:c r="K3034" s="20" t="n">
        <x:v>57.1</x:v>
      </x:c>
      <x:c r="L3034" t="str">
        <x:v>KETAT</x:v>
      </x:c>
      <x:c r="M3034" t="str">
        <x:v>SEDANG</x:v>
      </x:c>
      <x:c r="N3034" t="str">
        <x:v>REGULER</x:v>
      </x:c>
      <x:c r="O3034" t="str">
        <x:v>CAMPURAN</x:v>
      </x:c>
      <x:c r="P3034" t="str">
        <x:v>UMUM</x:v>
      </x:c>
      <x:c r="Q3034" s="18" t="n">
        <x:v>0</x:v>
      </x:c>
      <x:c r="R3034" s="18" t="n">
        <x:v>0</x:v>
      </x:c>
      <x:c r="S3034" s="18" t="n">
        <x:v>627.3629854342919</x:v>
      </x:c>
      <x:c r="T3034" s="18" t="n">
        <x:v>674</x:v>
      </x:c>
      <x:c r="U3034" s="18" t="n">
        <x:v>627.3629854342919</x:v>
      </x:c>
      <x:c r="V3034" s="20" t="n">
        <x:v>8.8</x:v>
      </x:c>
      <x:c r="W3034" s="20" t="n">
        <x:v>9.9</x:v>
      </x:c>
      <x:c r="X3034" s="20" t="n">
        <x:v>3.3</x:v>
      </x:c>
      <x:c r="Y3034" t="str">
        <x:v>Basis arsip 2025/2024</x:v>
      </x:c>
      <x:c r="Z3034" t="str">
        <x:v>https://snpmb.id/utbk-snbt/daya-tampung-snbt</x:v>
      </x:c>
      <x:c r="AA3034" t="str">
        <x:v>Tidak Ada</x:v>
      </x:c>
      <x:c r="AB3034" t="str">
        <x:v>Campus=55; Ratio=57.4; Prodi=40; RelDemand=100.0; Capacity=55.0</x:v>
      </x:c>
    </x:row>
    <x:row r="3035">
      <x:c r="A3035" t="n">
        <x:v>3032</x:v>
      </x:c>
      <x:c r="B3035" t="str">
        <x:v>PTN Akademik</x:v>
      </x:c>
      <x:c r="C3035" t="str">
        <x:v>UNIVERSITAS NUSA CENDANA</x:v>
      </x:c>
      <x:c r="D3035" t="str">
        <x:v>PEND. EKONOMI</x:v>
      </x:c>
      <x:c r="E3035" t="str">
        <x:v>Sarjana</x:v>
      </x:c>
      <x:c r="F3035" s="18" t="n">
        <x:v>54</x:v>
      </x:c>
      <x:c r="G3035" s="18" t="n">
        <x:v>113</x:v>
      </x:c>
      <x:c r="H3035" s="19" t="n">
        <x:v>2.0925925925925926</x:v>
      </x:c>
      <x:c r="I3035" s="18" t="n">
        <x:f>ROUND(MIN(Model_Config_v3!$B$6,MAX(Q3035,R3035,S3035*Model_Config_v3!$B$4+T3035*Model_Config_v3!$B$5)),0)</x:f>
        <x:v>615</x:v>
      </x:c>
      <x:c r="J3035" s="18" t="n">
        <x:f>MIN(Model_Config_v3!$B$6,I3035+Model_Config_v3!$B$7)</x:f>
        <x:v>635</x:v>
      </x:c>
      <x:c r="K3035" s="20" t="n">
        <x:v>40.7</x:v>
      </x:c>
      <x:c r="L3035" t="str">
        <x:v>RELATIF LONGGAR</x:v>
      </x:c>
      <x:c r="M3035" t="str">
        <x:v>SEDANG+</x:v>
      </x:c>
      <x:c r="N3035" t="str">
        <x:v>REGULER</x:v>
      </x:c>
      <x:c r="O3035" t="str">
        <x:v>SOSHUM</x:v>
      </x:c>
      <x:c r="P3035" t="str">
        <x:v>PENDIDIKAN</x:v>
      </x:c>
      <x:c r="Q3035" s="18" t="n">
        <x:v>0</x:v>
      </x:c>
      <x:c r="R3035" s="18" t="n">
        <x:v>0</x:v>
      </x:c>
      <x:c r="S3035" s="18" t="n">
        <x:v>555.2753152026496</x:v>
      </x:c>
      <x:c r="T3035" s="18" t="n">
        <x:v>641</x:v>
      </x:c>
      <x:c r="U3035" s="18" t="n">
        <x:v>555.2753152026496</x:v>
      </x:c>
      <x:c r="V3035" s="20" t="n">
        <x:v>4.4</x:v>
      </x:c>
      <x:c r="W3035" s="20" t="n">
        <x:v>14.3</x:v>
      </x:c>
      <x:c r="X3035" s="20" t="n">
        <x:v>3.3</x:v>
      </x:c>
      <x:c r="Y3035" t="str">
        <x:v>Basis arsip 2025/2024</x:v>
      </x:c>
      <x:c r="Z3035" t="str">
        <x:v>https://snpmb.id/utbk-snbt/daya-tampung-snbt</x:v>
      </x:c>
      <x:c r="AA3035" t="str">
        <x:v>Tidak Ada</x:v>
      </x:c>
      <x:c r="AB3035" t="str">
        <x:v>Campus=55; Ratio=18.9; Prodi=45; RelDemand=22.8; Capacity=55.0</x:v>
      </x:c>
    </x:row>
    <x:row r="3036">
      <x:c r="A3036" t="n">
        <x:v>3033</x:v>
      </x:c>
      <x:c r="B3036" t="str">
        <x:v>PTN Akademik</x:v>
      </x:c>
      <x:c r="C3036" t="str">
        <x:v>UNIVERSITAS NUSA CENDANA</x:v>
      </x:c>
      <x:c r="D3036" t="str">
        <x:v>PEND. GEOGRAFI</x:v>
      </x:c>
      <x:c r="E3036" t="str">
        <x:v>Sarjana</x:v>
      </x:c>
      <x:c r="F3036" s="18" t="n">
        <x:v>63</x:v>
      </x:c>
      <x:c r="G3036" s="18" t="n">
        <x:v>173</x:v>
      </x:c>
      <x:c r="H3036" s="19" t="n">
        <x:v>2.746031746031746</x:v>
      </x:c>
      <x:c r="I3036" s="18" t="n">
        <x:f>ROUND(MIN(Model_Config_v3!$B$6,MAX(Q3036,R3036,S3036*Model_Config_v3!$B$4+T3036*Model_Config_v3!$B$5)),0)</x:f>
        <x:v>622</x:v>
      </x:c>
      <x:c r="J3036" s="18" t="n">
        <x:f>MIN(Model_Config_v3!$B$6,I3036+Model_Config_v3!$B$7)</x:f>
        <x:v>642</x:v>
      </x:c>
      <x:c r="K3036" s="20" t="n">
        <x:v>42.4</x:v>
      </x:c>
      <x:c r="L3036" t="str">
        <x:v>RELATIF LONGGAR</x:v>
      </x:c>
      <x:c r="M3036" t="str">
        <x:v>SEDANG+</x:v>
      </x:c>
      <x:c r="N3036" t="str">
        <x:v>REGULER</x:v>
      </x:c>
      <x:c r="O3036" t="str">
        <x:v>CAMPURAN</x:v>
      </x:c>
      <x:c r="P3036" t="str">
        <x:v>PENDIDIKAN</x:v>
      </x:c>
      <x:c r="Q3036" s="18" t="n">
        <x:v>0</x:v>
      </x:c>
      <x:c r="R3036" s="18" t="n">
        <x:v>0</x:v>
      </x:c>
      <x:c r="S3036" s="18" t="n">
        <x:v>568.2576109042735</x:v>
      </x:c>
      <x:c r="T3036" s="18" t="n">
        <x:v>645</x:v>
      </x:c>
      <x:c r="U3036" s="18" t="n">
        <x:v>568.2576109042735</x:v>
      </x:c>
      <x:c r="V3036" s="20" t="n">
        <x:v>8.8</x:v>
      </x:c>
      <x:c r="W3036" s="20" t="n">
        <x:v>9.9</x:v>
      </x:c>
      <x:c r="X3036" s="20" t="n">
        <x:v>3.3</x:v>
      </x:c>
      <x:c r="Y3036" t="str">
        <x:v>Basis arsip 2025/2024</x:v>
      </x:c>
      <x:c r="Z3036" t="str">
        <x:v>https://snpmb.id/utbk-snbt/daya-tampung-snbt</x:v>
      </x:c>
      <x:c r="AA3036" t="str">
        <x:v>Tidak Ada</x:v>
      </x:c>
      <x:c r="AB3036" t="str">
        <x:v>Campus=55; Ratio=25.8; Prodi=45; RelDemand=29.9; Capacity=47.5</x:v>
      </x:c>
    </x:row>
    <x:row r="3037">
      <x:c r="A3037" t="n">
        <x:v>3034</x:v>
      </x:c>
      <x:c r="B3037" t="str">
        <x:v>PTN Akademik</x:v>
      </x:c>
      <x:c r="C3037" t="str">
        <x:v>UNIVERSITAS NUSA CENDANA</x:v>
      </x:c>
      <x:c r="D3037" t="str">
        <x:v>PEND. SEJARAH</x:v>
      </x:c>
      <x:c r="E3037" t="str">
        <x:v>Sarjana</x:v>
      </x:c>
      <x:c r="F3037" s="18" t="n">
        <x:v>45</x:v>
      </x:c>
      <x:c r="G3037" s="18" t="n">
        <x:v>145</x:v>
      </x:c>
      <x:c r="H3037" s="19" t="n">
        <x:v>3.2222222222222223</x:v>
      </x:c>
      <x:c r="I3037" s="18" t="n">
        <x:f>ROUND(MIN(Model_Config_v3!$B$6,MAX(Q3037,R3037,S3037*Model_Config_v3!$B$4+T3037*Model_Config_v3!$B$5)),0)</x:f>
        <x:v>628</x:v>
      </x:c>
      <x:c r="J3037" s="18" t="n">
        <x:f>MIN(Model_Config_v3!$B$6,I3037+Model_Config_v3!$B$7)</x:f>
        <x:v>648</x:v>
      </x:c>
      <x:c r="K3037" s="20" t="n">
        <x:v>45.5</x:v>
      </x:c>
      <x:c r="L3037" t="str">
        <x:v>MENENGAH</x:v>
      </x:c>
      <x:c r="M3037" t="str">
        <x:v>SEDANG+</x:v>
      </x:c>
      <x:c r="N3037" t="str">
        <x:v>REGULER</x:v>
      </x:c>
      <x:c r="O3037" t="str">
        <x:v>SOSHUM</x:v>
      </x:c>
      <x:c r="P3037" t="str">
        <x:v>PENDIDIKAN</x:v>
      </x:c>
      <x:c r="Q3037" s="18" t="n">
        <x:v>0</x:v>
      </x:c>
      <x:c r="R3037" s="18" t="n">
        <x:v>0</x:v>
      </x:c>
      <x:c r="S3037" s="18" t="n">
        <x:v>575.8971037305594</x:v>
      </x:c>
      <x:c r="T3037" s="18" t="n">
        <x:v>651</x:v>
      </x:c>
      <x:c r="U3037" s="18" t="n">
        <x:v>575.8971037305594</x:v>
      </x:c>
      <x:c r="V3037" s="20" t="n">
        <x:v>4.4</x:v>
      </x:c>
      <x:c r="W3037" s="20" t="n">
        <x:v>14.3</x:v>
      </x:c>
      <x:c r="X3037" s="20" t="n">
        <x:v>3.3</x:v>
      </x:c>
      <x:c r="Y3037" t="str">
        <x:v>Basis arsip 2025/2024</x:v>
      </x:c>
      <x:c r="Z3037" t="str">
        <x:v>https://snpmb.id/utbk-snbt/daya-tampung-snbt</x:v>
      </x:c>
      <x:c r="AA3037" t="str">
        <x:v>Tidak Ada</x:v>
      </x:c>
      <x:c r="AB3037" t="str">
        <x:v>Campus=55; Ratio=29.9; Prodi=45; RelDemand=35.1; Capacity=62.5</x:v>
      </x:c>
    </x:row>
    <x:row r="3038">
      <x:c r="A3038" t="n">
        <x:v>3035</x:v>
      </x:c>
      <x:c r="B3038" t="str">
        <x:v>PTN Akademik</x:v>
      </x:c>
      <x:c r="C3038" t="str">
        <x:v>UNIVERSITAS NUSA CENDANA</x:v>
      </x:c>
      <x:c r="D3038" t="str">
        <x:v>BIMBINGAN KONSELING</x:v>
      </x:c>
      <x:c r="E3038" t="str">
        <x:v>Sarjana</x:v>
      </x:c>
      <x:c r="F3038" s="18" t="n">
        <x:v>40</x:v>
      </x:c>
      <x:c r="G3038" s="18" t="n">
        <x:v>303</x:v>
      </x:c>
      <x:c r="H3038" s="19" t="n">
        <x:v>7.575</x:v>
      </x:c>
      <x:c r="I3038" s="18" t="n">
        <x:f>ROUND(MIN(Model_Config_v3!$B$6,MAX(Q3038,R3038,S3038*Model_Config_v3!$B$4+T3038*Model_Config_v3!$B$5)),0)</x:f>
        <x:v>654</x:v>
      </x:c>
      <x:c r="J3038" s="18" t="n">
        <x:f>MIN(Model_Config_v3!$B$6,I3038+Model_Config_v3!$B$7)</x:f>
        <x:v>674</x:v>
      </x:c>
      <x:c r="K3038" s="20" t="n">
        <x:v>55.1</x:v>
      </x:c>
      <x:c r="L3038" t="str">
        <x:v>KETAT</x:v>
      </x:c>
      <x:c r="M3038" t="str">
        <x:v>SEDANG</x:v>
      </x:c>
      <x:c r="N3038" t="str">
        <x:v>REGULER</x:v>
      </x:c>
      <x:c r="O3038" t="str">
        <x:v>CAMPURAN</x:v>
      </x:c>
      <x:c r="P3038" t="str">
        <x:v>UMUM</x:v>
      </x:c>
      <x:c r="Q3038" s="18" t="n">
        <x:v>0</x:v>
      </x:c>
      <x:c r="R3038" s="18" t="n">
        <x:v>0</x:v>
      </x:c>
      <x:c r="S3038" s="18" t="n">
        <x:v>616.7320900891777</x:v>
      </x:c>
      <x:c r="T3038" s="18" t="n">
        <x:v>670</x:v>
      </x:c>
      <x:c r="U3038" s="18" t="n">
        <x:v>616.7320900891777</x:v>
      </x:c>
      <x:c r="V3038" s="20" t="n">
        <x:v>8.8</x:v>
      </x:c>
      <x:c r="W3038" s="20" t="n">
        <x:v>9.9</x:v>
      </x:c>
      <x:c r="X3038" s="20" t="n">
        <x:v>3.3</x:v>
      </x:c>
      <x:c r="Y3038" t="str">
        <x:v>Basis arsip 2025/2024</x:v>
      </x:c>
      <x:c r="Z3038" t="str">
        <x:v>https://snpmb.id/utbk-snbt/daya-tampung-snbt</x:v>
      </x:c>
      <x:c r="AA3038" t="str">
        <x:v>Tidak Ada</x:v>
      </x:c>
      <x:c r="AB3038" t="str">
        <x:v>Campus=55; Ratio=51.8; Prodi=40; RelDemand=82.4; Capacity=66.7</x:v>
      </x:c>
    </x:row>
    <x:row r="3039">
      <x:c r="A3039" t="n">
        <x:v>3036</x:v>
      </x:c>
      <x:c r="B3039" t="str">
        <x:v>PTN Akademik</x:v>
      </x:c>
      <x:c r="C3039" t="str">
        <x:v>UNIVERSITAS NUSA CENDANA</x:v>
      </x:c>
      <x:c r="D3039" t="str">
        <x:v>PEND. LUAR SEKOLAH</x:v>
      </x:c>
      <x:c r="E3039" t="str">
        <x:v>Sarjana</x:v>
      </x:c>
      <x:c r="F3039" s="18" t="n">
        <x:v>36</x:v>
      </x:c>
      <x:c r="G3039" s="18" t="n">
        <x:v>26</x:v>
      </x:c>
      <x:c r="H3039" s="19" t="n">
        <x:v>0.7222222222222222</x:v>
      </x:c>
      <x:c r="I3039" s="18" t="n">
        <x:f>ROUND(MIN(Model_Config_v3!$B$6,MAX(Q3039,R3039,S3039*Model_Config_v3!$B$4+T3039*Model_Config_v3!$B$5)),0)</x:f>
        <x:v>598</x:v>
      </x:c>
      <x:c r="J3039" s="18" t="n">
        <x:f>MIN(Model_Config_v3!$B$6,I3039+Model_Config_v3!$B$7)</x:f>
        <x:v>618</x:v>
      </x:c>
      <x:c r="K3039" s="20" t="n">
        <x:v>36</x:v>
      </x:c>
      <x:c r="L3039" t="str">
        <x:v>RELATIF LONGGAR</x:v>
      </x:c>
      <x:c r="M3039" t="str">
        <x:v>SEDANG+</x:v>
      </x:c>
      <x:c r="N3039" t="str">
        <x:v>REGULER</x:v>
      </x:c>
      <x:c r="O3039" t="str">
        <x:v>CAMPURAN</x:v>
      </x:c>
      <x:c r="P3039" t="str">
        <x:v>PENDIDIKAN</x:v>
      </x:c>
      <x:c r="Q3039" s="18" t="n">
        <x:v>0</x:v>
      </x:c>
      <x:c r="R3039" s="18" t="n">
        <x:v>0</x:v>
      </x:c>
      <x:c r="S3039" s="18" t="n">
        <x:v>520</x:v>
      </x:c>
      <x:c r="T3039" s="18" t="n">
        <x:v>632</x:v>
      </x:c>
      <x:c r="U3039" s="18" t="n">
        <x:v>520</x:v>
      </x:c>
      <x:c r="V3039" s="20" t="n">
        <x:v>8.8</x:v>
      </x:c>
      <x:c r="W3039" s="20" t="n">
        <x:v>9.9</x:v>
      </x:c>
      <x:c r="X3039" s="20" t="n">
        <x:v>3.3</x:v>
      </x:c>
      <x:c r="Y3039" t="str">
        <x:v>Basis arsip 2025/2024</x:v>
      </x:c>
      <x:c r="Z3039" t="str">
        <x:v>https://snpmb.id/utbk-snbt/daya-tampung-snbt</x:v>
      </x:c>
      <x:c r="AA3039" t="str">
        <x:v>Tidak Ada</x:v>
      </x:c>
      <x:c r="AB3039" t="str">
        <x:v>Campus=55; Ratio=0.0; Prodi=45; RelDemand=7.9; Capacity=70.0</x:v>
      </x:c>
    </x:row>
    <x:row r="3040">
      <x:c r="A3040" t="n">
        <x:v>3037</x:v>
      </x:c>
      <x:c r="B3040" t="str">
        <x:v>PTN Akademik</x:v>
      </x:c>
      <x:c r="C3040" t="str">
        <x:v>UNIVERSITAS NUSA CENDANA</x:v>
      </x:c>
      <x:c r="D3040" t="str">
        <x:v>PEND. ANAK USIA DINI</x:v>
      </x:c>
      <x:c r="E3040" t="str">
        <x:v>Sarjana</x:v>
      </x:c>
      <x:c r="F3040" s="18" t="n">
        <x:v>36</x:v>
      </x:c>
      <x:c r="G3040" s="18" t="n">
        <x:v>165</x:v>
      </x:c>
      <x:c r="H3040" s="19" t="n">
        <x:v>4.583333333333333</x:v>
      </x:c>
      <x:c r="I3040" s="18" t="n">
        <x:f>ROUND(MIN(Model_Config_v3!$B$6,MAX(Q3040,R3040,S3040*Model_Config_v3!$B$4+T3040*Model_Config_v3!$B$5)),0)</x:f>
        <x:v>640</x:v>
      </x:c>
      <x:c r="J3040" s="18" t="n">
        <x:f>MIN(Model_Config_v3!$B$6,I3040+Model_Config_v3!$B$7)</x:f>
        <x:v>660</x:v>
      </x:c>
      <x:c r="K3040" s="20" t="n">
        <x:v>50</x:v>
      </x:c>
      <x:c r="L3040" t="str">
        <x:v>MENENGAH</x:v>
      </x:c>
      <x:c r="M3040" t="str">
        <x:v>SEDANG+</x:v>
      </x:c>
      <x:c r="N3040" t="str">
        <x:v>REGULER</x:v>
      </x:c>
      <x:c r="O3040" t="str">
        <x:v>CAMPURAN</x:v>
      </x:c>
      <x:c r="P3040" t="str">
        <x:v>PENDIDIKAN</x:v>
      </x:c>
      <x:c r="Q3040" s="18" t="n">
        <x:v>0</x:v>
      </x:c>
      <x:c r="R3040" s="18" t="n">
        <x:v>0</x:v>
      </x:c>
      <x:c r="S3040" s="18" t="n">
        <x:v>592.7299587791281</x:v>
      </x:c>
      <x:c r="T3040" s="18" t="n">
        <x:v>660</x:v>
      </x:c>
      <x:c r="U3040" s="18" t="n">
        <x:v>592.7299587791281</x:v>
      </x:c>
      <x:c r="V3040" s="20" t="n">
        <x:v>8.8</x:v>
      </x:c>
      <x:c r="W3040" s="20" t="n">
        <x:v>9.9</x:v>
      </x:c>
      <x:c r="X3040" s="20" t="n">
        <x:v>3.3</x:v>
      </x:c>
      <x:c r="Y3040" t="str">
        <x:v>Basis arsip 2025/2024</x:v>
      </x:c>
      <x:c r="Z3040" t="str">
        <x:v>https://snpmb.id/utbk-snbt/daya-tampung-snbt</x:v>
      </x:c>
      <x:c r="AA3040" t="str">
        <x:v>Tidak Ada</x:v>
      </x:c>
      <x:c r="AB3040" t="str">
        <x:v>Campus=55; Ratio=38.9; Prodi=45; RelDemand=49.9; Capacity=70.0</x:v>
      </x:c>
    </x:row>
    <x:row r="3041">
      <x:c r="A3041" t="n">
        <x:v>3038</x:v>
      </x:c>
      <x:c r="B3041" t="str">
        <x:v>PTN Akademik</x:v>
      </x:c>
      <x:c r="C3041" t="str">
        <x:v>UNIVERSITAS NUSA CENDANA</x:v>
      </x:c>
      <x:c r="D3041" t="str">
        <x:v>PEND. GURU SEKOLAH DASAR</x:v>
      </x:c>
      <x:c r="E3041" t="str">
        <x:v>Sarjana</x:v>
      </x:c>
      <x:c r="F3041" s="18" t="n">
        <x:v>90</x:v>
      </x:c>
      <x:c r="G3041" s="18" t="n">
        <x:v>996</x:v>
      </x:c>
      <x:c r="H3041" s="19" t="n">
        <x:v>11.066666666666666</x:v>
      </x:c>
      <x:c r="I3041" s="18" t="n">
        <x:f>ROUND(MIN(Model_Config_v3!$B$6,MAX(Q3041,R3041,S3041*Model_Config_v3!$B$4+T3041*Model_Config_v3!$B$5)),0)</x:f>
        <x:v>661</x:v>
      </x:c>
      <x:c r="J3041" s="18" t="n">
        <x:f>MIN(Model_Config_v3!$B$6,I3041+Model_Config_v3!$B$7)</x:f>
        <x:v>681</x:v>
      </x:c>
      <x:c r="K3041" s="20" t="n">
        <x:v>56.1</x:v>
      </x:c>
      <x:c r="L3041" t="str">
        <x:v>KETAT</x:v>
      </x:c>
      <x:c r="M3041" t="str">
        <x:v>SEDANG+</x:v>
      </x:c>
      <x:c r="N3041" t="str">
        <x:v>REGULER</x:v>
      </x:c>
      <x:c r="O3041" t="str">
        <x:v>CAMPURAN</x:v>
      </x:c>
      <x:c r="P3041" t="str">
        <x:v>PENDIDIKAN</x:v>
      </x:c>
      <x:c r="Q3041" s="18" t="n">
        <x:v>0</x:v>
      </x:c>
      <x:c r="R3041" s="18" t="n">
        <x:v>0</x:v>
      </x:c>
      <x:c r="S3041" s="18" t="n">
        <x:v>634.8418511882811</x:v>
      </x:c>
      <x:c r="T3041" s="18" t="n">
        <x:v>672</x:v>
      </x:c>
      <x:c r="U3041" s="18" t="n">
        <x:v>634.8418511882811</x:v>
      </x:c>
      <x:c r="V3041" s="20" t="n">
        <x:v>8.8</x:v>
      </x:c>
      <x:c r="W3041" s="20" t="n">
        <x:v>9.9</x:v>
      </x:c>
      <x:c r="X3041" s="20" t="n">
        <x:v>3.3</x:v>
      </x:c>
      <x:c r="Y3041" t="str">
        <x:v>Basis arsip 2025/2024</x:v>
      </x:c>
      <x:c r="Z3041" t="str">
        <x:v>https://snpmb.id/utbk-snbt/daya-tampung-snbt</x:v>
      </x:c>
      <x:c r="AA3041" t="str">
        <x:v>Tidak Ada</x:v>
      </x:c>
      <x:c r="AB3041" t="str">
        <x:v>Campus=55; Ratio=61.4; Prodi=45; RelDemand=100.0; Capacity=25.0</x:v>
      </x:c>
    </x:row>
    <x:row r="3042">
      <x:c r="A3042" t="n">
        <x:v>3039</x:v>
      </x:c>
      <x:c r="B3042" t="str">
        <x:v>PTN Akademik</x:v>
      </x:c>
      <x:c r="C3042" t="str">
        <x:v>UNIVERSITAS NUSA CENDANA</x:v>
      </x:c>
      <x:c r="D3042" t="str">
        <x:v>ILMU HUKUM</x:v>
      </x:c>
      <x:c r="E3042" t="str">
        <x:v>Sarjana</x:v>
      </x:c>
      <x:c r="F3042" s="18" t="n">
        <x:v>158</x:v>
      </x:c>
      <x:c r="G3042" s="18" t="n">
        <x:v>629</x:v>
      </x:c>
      <x:c r="H3042" s="19" t="n">
        <x:v>3.981012658227848</x:v>
      </x:c>
      <x:c r="I3042" s="18" t="n">
        <x:f>ROUND(MIN(Model_Config_v3!$B$6,MAX(Q3042,R3042,S3042*Model_Config_v3!$B$4+T3042*Model_Config_v3!$B$5)),0)</x:f>
        <x:v>631</x:v>
      </x:c>
      <x:c r="J3042" s="18" t="n">
        <x:f>MIN(Model_Config_v3!$B$6,I3042+Model_Config_v3!$B$7)</x:f>
        <x:v>651</x:v>
      </x:c>
      <x:c r="K3042" s="20" t="n">
        <x:v>45.4</x:v>
      </x:c>
      <x:c r="L3042" t="str">
        <x:v>MENENGAH</x:v>
      </x:c>
      <x:c r="M3042" t="str">
        <x:v>SEDANG+</x:v>
      </x:c>
      <x:c r="N3042" t="str">
        <x:v>REGULER</x:v>
      </x:c>
      <x:c r="O3042" t="str">
        <x:v>SOSHUM</x:v>
      </x:c>
      <x:c r="P3042" t="str">
        <x:v>HUKUM</x:v>
      </x:c>
      <x:c r="Q3042" s="18" t="n">
        <x:v>0</x:v>
      </x:c>
      <x:c r="R3042" s="18" t="n">
        <x:v>0</x:v>
      </x:c>
      <x:c r="S3042" s="18" t="n">
        <x:v>585.9992914339931</x:v>
      </x:c>
      <x:c r="T3042" s="18" t="n">
        <x:v>651</x:v>
      </x:c>
      <x:c r="U3042" s="18" t="n">
        <x:v>600.9992914339931</x:v>
      </x:c>
      <x:c r="V3042" s="20" t="n">
        <x:v>4.4</x:v>
      </x:c>
      <x:c r="W3042" s="20" t="n">
        <x:v>14.3</x:v>
      </x:c>
      <x:c r="X3042" s="20" t="n">
        <x:v>3.3</x:v>
      </x:c>
      <x:c r="Y3042" t="str">
        <x:v>Basis arsip 2025/2024</x:v>
      </x:c>
      <x:c r="Z3042" t="str">
        <x:v>https://snpmb.id/utbk-snbt/daya-tampung-snbt</x:v>
      </x:c>
      <x:c r="AA3042" t="str">
        <x:v>Tidak Ada</x:v>
      </x:c>
      <x:c r="AB3042" t="str">
        <x:v>Campus=55; Ratio=35.3; Prodi=65; RelDemand=43.3; Capacity=0.0</x:v>
      </x:c>
    </x:row>
    <x:row r="3043">
      <x:c r="A3043" t="n">
        <x:v>3040</x:v>
      </x:c>
      <x:c r="B3043" t="str">
        <x:v>PTN Akademik</x:v>
      </x:c>
      <x:c r="C3043" t="str">
        <x:v>UNIVERSITAS NUSA CENDANA</x:v>
      </x:c>
      <x:c r="D3043" t="str">
        <x:v>ILMU ADM.NEGARA</x:v>
      </x:c>
      <x:c r="E3043" t="str">
        <x:v>Sarjana</x:v>
      </x:c>
      <x:c r="F3043" s="18" t="n">
        <x:v>139</x:v>
      </x:c>
      <x:c r="G3043" s="18" t="n">
        <x:v>381</x:v>
      </x:c>
      <x:c r="H3043" s="19" t="n">
        <x:v>2.741007194244604</x:v>
      </x:c>
      <x:c r="I3043" s="18" t="n">
        <x:f>ROUND(MIN(Model_Config_v3!$B$6,MAX(Q3043,R3043,S3043*Model_Config_v3!$B$4+T3043*Model_Config_v3!$B$5)),0)</x:f>
        <x:v>614</x:v>
      </x:c>
      <x:c r="J3043" s="18" t="n">
        <x:f>MIN(Model_Config_v3!$B$6,I3043+Model_Config_v3!$B$7)</x:f>
        <x:v>634</x:v>
      </x:c>
      <x:c r="K3043" s="20" t="n">
        <x:v>36.7</x:v>
      </x:c>
      <x:c r="L3043" t="str">
        <x:v>RELATIF LONGGAR</x:v>
      </x:c>
      <x:c r="M3043" t="str">
        <x:v>SEDANG</x:v>
      </x:c>
      <x:c r="N3043" t="str">
        <x:v>REGULER</x:v>
      </x:c>
      <x:c r="O3043" t="str">
        <x:v>CAMPURAN</x:v>
      </x:c>
      <x:c r="P3043" t="str">
        <x:v>UMUM</x:v>
      </x:c>
      <x:c r="Q3043" s="18" t="n">
        <x:v>0</x:v>
      </x:c>
      <x:c r="R3043" s="18" t="n">
        <x:v>0</x:v>
      </x:c>
      <x:c r="S3043" s="18" t="n">
        <x:v>568.1701192963676</x:v>
      </x:c>
      <x:c r="T3043" s="18" t="n">
        <x:v>633</x:v>
      </x:c>
      <x:c r="U3043" s="18" t="n">
        <x:v>568.1701192963676</x:v>
      </x:c>
      <x:c r="V3043" s="20" t="n">
        <x:v>8.8</x:v>
      </x:c>
      <x:c r="W3043" s="20" t="n">
        <x:v>9.9</x:v>
      </x:c>
      <x:c r="X3043" s="20" t="n">
        <x:v>3.3</x:v>
      </x:c>
      <x:c r="Y3043" t="str">
        <x:v>Basis arsip 2025/2024</x:v>
      </x:c>
      <x:c r="Z3043" t="str">
        <x:v>https://snpmb.id/utbk-snbt/daya-tampung-snbt</x:v>
      </x:c>
      <x:c r="AA3043" t="str">
        <x:v>Tidak Ada</x:v>
      </x:c>
      <x:c r="AB3043" t="str">
        <x:v>Campus=55; Ratio=25.8; Prodi=40; RelDemand=29.8; Capacity=0.0</x:v>
      </x:c>
    </x:row>
    <x:row r="3044">
      <x:c r="A3044" t="n">
        <x:v>3041</x:v>
      </x:c>
      <x:c r="B3044" t="str">
        <x:v>PTN Akademik</x:v>
      </x:c>
      <x:c r="C3044" t="str">
        <x:v>UNIVERSITAS NUSA CENDANA</x:v>
      </x:c>
      <x:c r="D3044" t="str">
        <x:v>ILMU ADM.NIAGA</x:v>
      </x:c>
      <x:c r="E3044" t="str">
        <x:v>Sarjana</x:v>
      </x:c>
      <x:c r="F3044" s="18" t="n">
        <x:v>113</x:v>
      </x:c>
      <x:c r="G3044" s="18" t="n">
        <x:v>187</x:v>
      </x:c>
      <x:c r="H3044" s="19" t="n">
        <x:v>1.654867256637168</x:v>
      </x:c>
      <x:c r="I3044" s="18" t="n">
        <x:f>ROUND(MIN(Model_Config_v3!$B$6,MAX(Q3044,R3044,S3044*Model_Config_v3!$B$4+T3044*Model_Config_v3!$B$5)),0)</x:f>
        <x:v>601</x:v>
      </x:c>
      <x:c r="J3044" s="18" t="n">
        <x:f>MIN(Model_Config_v3!$B$6,I3044+Model_Config_v3!$B$7)</x:f>
        <x:v>621</x:v>
      </x:c>
      <x:c r="K3044" s="20" t="n">
        <x:v>32.9</x:v>
      </x:c>
      <x:c r="L3044" t="str">
        <x:v>RELATIF LONGGAR</x:v>
      </x:c>
      <x:c r="M3044" t="str">
        <x:v>SEDANG</x:v>
      </x:c>
      <x:c r="N3044" t="str">
        <x:v>REGULER</x:v>
      </x:c>
      <x:c r="O3044" t="str">
        <x:v>CAMPURAN</x:v>
      </x:c>
      <x:c r="P3044" t="str">
        <x:v>UMUM</x:v>
      </x:c>
      <x:c r="Q3044" s="18" t="n">
        <x:v>0</x:v>
      </x:c>
      <x:c r="R3044" s="18" t="n">
        <x:v>0</x:v>
      </x:c>
      <x:c r="S3044" s="18" t="n">
        <x:v>544.0639479358388</x:v>
      </x:c>
      <x:c r="T3044" s="18" t="n">
        <x:v>626</x:v>
      </x:c>
      <x:c r="U3044" s="18" t="n">
        <x:v>544.0639479358388</x:v>
      </x:c>
      <x:c r="V3044" s="20" t="n">
        <x:v>8.8</x:v>
      </x:c>
      <x:c r="W3044" s="20" t="n">
        <x:v>9.9</x:v>
      </x:c>
      <x:c r="X3044" s="20" t="n">
        <x:v>3.3</x:v>
      </x:c>
      <x:c r="Y3044" t="str">
        <x:v>Basis arsip 2025/2024</x:v>
      </x:c>
      <x:c r="Z3044" t="str">
        <x:v>https://snpmb.id/utbk-snbt/daya-tampung-snbt</x:v>
      </x:c>
      <x:c r="AA3044" t="str">
        <x:v>Tidak Ada</x:v>
      </x:c>
      <x:c r="AB3044" t="str">
        <x:v>Campus=55; Ratio=12.9; Prodi=40; RelDemand=18.0; Capacity=5.8</x:v>
      </x:c>
    </x:row>
    <x:row r="3045">
      <x:c r="A3045" t="n">
        <x:v>3042</x:v>
      </x:c>
      <x:c r="B3045" t="str">
        <x:v>PTN Akademik</x:v>
      </x:c>
      <x:c r="C3045" t="str">
        <x:v>UNIVERSITAS NUSA CENDANA</x:v>
      </x:c>
      <x:c r="D3045" t="str">
        <x:v>SOSIOLOGI</x:v>
      </x:c>
      <x:c r="E3045" t="str">
        <x:v>Sarjana</x:v>
      </x:c>
      <x:c r="F3045" s="18" t="n">
        <x:v>72</x:v>
      </x:c>
      <x:c r="G3045" s="18" t="n">
        <x:v>153</x:v>
      </x:c>
      <x:c r="H3045" s="19" t="n">
        <x:v>2.125</x:v>
      </x:c>
      <x:c r="I3045" s="18" t="n">
        <x:f>ROUND(MIN(Model_Config_v3!$B$6,MAX(Q3045,R3045,S3045*Model_Config_v3!$B$4+T3045*Model_Config_v3!$B$5)),0)</x:f>
        <x:v>613</x:v>
      </x:c>
      <x:c r="J3045" s="18" t="n">
        <x:f>MIN(Model_Config_v3!$B$6,I3045+Model_Config_v3!$B$7)</x:f>
        <x:v>633</x:v>
      </x:c>
      <x:c r="K3045" s="20" t="n">
        <x:v>38.4</x:v>
      </x:c>
      <x:c r="L3045" t="str">
        <x:v>RELATIF LONGGAR</x:v>
      </x:c>
      <x:c r="M3045" t="str">
        <x:v>SEDANG</x:v>
      </x:c>
      <x:c r="N3045" t="str">
        <x:v>REGULER</x:v>
      </x:c>
      <x:c r="O3045" t="str">
        <x:v>SOSHUM</x:v>
      </x:c>
      <x:c r="P3045" t="str">
        <x:v>UMUM</x:v>
      </x:c>
      <x:c r="Q3045" s="18" t="n">
        <x:v>0</x:v>
      </x:c>
      <x:c r="R3045" s="18" t="n">
        <x:v>0</x:v>
      </x:c>
      <x:c r="S3045" s="18" t="n">
        <x:v>556.0094827824963</x:v>
      </x:c>
      <x:c r="T3045" s="18" t="n">
        <x:v>637</x:v>
      </x:c>
      <x:c r="U3045" s="18" t="n">
        <x:v>556.0094827824963</x:v>
      </x:c>
      <x:c r="V3045" s="20" t="n">
        <x:v>4.4</x:v>
      </x:c>
      <x:c r="W3045" s="20" t="n">
        <x:v>14.3</x:v>
      </x:c>
      <x:c r="X3045" s="20" t="n">
        <x:v>3.3</x:v>
      </x:c>
      <x:c r="Y3045" t="str">
        <x:v>Basis arsip 2025/2024</x:v>
      </x:c>
      <x:c r="Z3045" t="str">
        <x:v>https://snpmb.id/utbk-snbt/daya-tampung-snbt</x:v>
      </x:c>
      <x:c r="AA3045" t="str">
        <x:v>Tidak Ada</x:v>
      </x:c>
      <x:c r="AB3045" t="str">
        <x:v>Campus=55; Ratio=19.3; Prodi=40; RelDemand=23.1; Capacity=40.0</x:v>
      </x:c>
    </x:row>
    <x:row r="3046">
      <x:c r="A3046" t="n">
        <x:v>3043</x:v>
      </x:c>
      <x:c r="B3046" t="str">
        <x:v>PTN Akademik</x:v>
      </x:c>
      <x:c r="C3046" t="str">
        <x:v>UNIVERSITAS NUSA CENDANA</x:v>
      </x:c>
      <x:c r="D3046" t="str">
        <x:v>ILMU KOMUNIKASI</x:v>
      </x:c>
      <x:c r="E3046" t="str">
        <x:v>Sarjana</x:v>
      </x:c>
      <x:c r="F3046" s="18" t="n">
        <x:v>103</x:v>
      </x:c>
      <x:c r="G3046" s="18" t="n">
        <x:v>484</x:v>
      </x:c>
      <x:c r="H3046" s="19" t="n">
        <x:v>4.699029126213592</x:v>
      </x:c>
      <x:c r="I3046" s="18" t="n">
        <x:f>ROUND(MIN(Model_Config_v3!$B$6,MAX(Q3046,R3046,S3046*Model_Config_v3!$B$4+T3046*Model_Config_v3!$B$5)),0)</x:f>
        <x:v>631</x:v>
      </x:c>
      <x:c r="J3046" s="18" t="n">
        <x:f>MIN(Model_Config_v3!$B$6,I3046+Model_Config_v3!$B$7)</x:f>
        <x:v>651</x:v>
      </x:c>
      <x:c r="K3046" s="20" t="n">
        <x:v>43.7</x:v>
      </x:c>
      <x:c r="L3046" t="str">
        <x:v>RELATIF LONGGAR</x:v>
      </x:c>
      <x:c r="M3046" t="str">
        <x:v>SEDANG</x:v>
      </x:c>
      <x:c r="N3046" t="str">
        <x:v>REGULER</x:v>
      </x:c>
      <x:c r="O3046" t="str">
        <x:v>SOSHUM</x:v>
      </x:c>
      <x:c r="P3046" t="str">
        <x:v>UMUM</x:v>
      </x:c>
      <x:c r="Q3046" s="18" t="n">
        <x:v>0</x:v>
      </x:c>
      <x:c r="R3046" s="18" t="n">
        <x:v>0</x:v>
      </x:c>
      <x:c r="S3046" s="18" t="n">
        <x:v>593.9208950633164</x:v>
      </x:c>
      <x:c r="T3046" s="18" t="n">
        <x:v>647</x:v>
      </x:c>
      <x:c r="U3046" s="18" t="n">
        <x:v>593.9208950633164</x:v>
      </x:c>
      <x:c r="V3046" s="20" t="n">
        <x:v>4.4</x:v>
      </x:c>
      <x:c r="W3046" s="20" t="n">
        <x:v>14.3</x:v>
      </x:c>
      <x:c r="X3046" s="20" t="n">
        <x:v>3.3</x:v>
      </x:c>
      <x:c r="Y3046" t="str">
        <x:v>Basis arsip 2025/2024</x:v>
      </x:c>
      <x:c r="Z3046" t="str">
        <x:v>https://snpmb.id/utbk-snbt/daya-tampung-snbt</x:v>
      </x:c>
      <x:c r="AA3046" t="str">
        <x:v>Tidak Ada</x:v>
      </x:c>
      <x:c r="AB3046" t="str">
        <x:v>Campus=55; Ratio=39.6; Prodi=40; RelDemand=51.1; Capacity=14.2</x:v>
      </x:c>
    </x:row>
    <x:row r="3047">
      <x:c r="A3047" t="n">
        <x:v>3044</x:v>
      </x:c>
      <x:c r="B3047" t="str">
        <x:v>PTN Akademik</x:v>
      </x:c>
      <x:c r="C3047" t="str">
        <x:v>UNIVERSITAS NUSA CENDANA</x:v>
      </x:c>
      <x:c r="D3047" t="str">
        <x:v>ILMU POLITIK</x:v>
      </x:c>
      <x:c r="E3047" t="str">
        <x:v>Sarjana</x:v>
      </x:c>
      <x:c r="F3047" s="18" t="n">
        <x:v>70</x:v>
      </x:c>
      <x:c r="G3047" s="18" t="n">
        <x:v>81</x:v>
      </x:c>
      <x:c r="H3047" s="19" t="n">
        <x:v>1.1571428571428573</x:v>
      </x:c>
      <x:c r="I3047" s="18" t="n">
        <x:f>ROUND(MIN(Model_Config_v3!$B$6,MAX(Q3047,R3047,S3047*Model_Config_v3!$B$4+T3047*Model_Config_v3!$B$5)),0)</x:f>
        <x:v>597</x:v>
      </x:c>
      <x:c r="J3047" s="18" t="n">
        <x:f>MIN(Model_Config_v3!$B$6,I3047+Model_Config_v3!$B$7)</x:f>
        <x:v>617</x:v>
      </x:c>
      <x:c r="K3047" s="20" t="n">
        <x:v>33.6</x:v>
      </x:c>
      <x:c r="L3047" t="str">
        <x:v>RELATIF LONGGAR</x:v>
      </x:c>
      <x:c r="M3047" t="str">
        <x:v>SEDANG</x:v>
      </x:c>
      <x:c r="N3047" t="str">
        <x:v>REGULER</x:v>
      </x:c>
      <x:c r="O3047" t="str">
        <x:v>SOSHUM</x:v>
      </x:c>
      <x:c r="P3047" t="str">
        <x:v>UMUM</x:v>
      </x:c>
      <x:c r="Q3047" s="18" t="n">
        <x:v>0</x:v>
      </x:c>
      <x:c r="R3047" s="18" t="n">
        <x:v>0</x:v>
      </x:c>
      <x:c r="S3047" s="18" t="n">
        <x:v>526.9725676750833</x:v>
      </x:c>
      <x:c r="T3047" s="18" t="n">
        <x:v>627</x:v>
      </x:c>
      <x:c r="U3047" s="18" t="n">
        <x:v>526.9725676750833</x:v>
      </x:c>
      <x:c r="V3047" s="20" t="n">
        <x:v>4.4</x:v>
      </x:c>
      <x:c r="W3047" s="20" t="n">
        <x:v>14.3</x:v>
      </x:c>
      <x:c r="X3047" s="20" t="n">
        <x:v>3.3</x:v>
      </x:c>
      <x:c r="Y3047" t="str">
        <x:v>Basis arsip 2025/2024</x:v>
      </x:c>
      <x:c r="Z3047" t="str">
        <x:v>https://snpmb.id/utbk-snbt/daya-tampung-snbt</x:v>
      </x:c>
      <x:c r="AA3047" t="str">
        <x:v>Tidak Ada</x:v>
      </x:c>
      <x:c r="AB3047" t="str">
        <x:v>Campus=55; Ratio=3.7; Prodi=40; RelDemand=12.6; Capacity=41.7</x:v>
      </x:c>
    </x:row>
    <x:row r="3048">
      <x:c r="A3048" t="n">
        <x:v>3045</x:v>
      </x:c>
      <x:c r="B3048" t="str">
        <x:v>PTN Akademik</x:v>
      </x:c>
      <x:c r="C3048" t="str">
        <x:v>UNIVERSITAS NUSA CENDANA</x:v>
      </x:c>
      <x:c r="D3048" t="str">
        <x:v>PENJASKESREK</x:v>
      </x:c>
      <x:c r="E3048" t="str">
        <x:v>Sarjana</x:v>
      </x:c>
      <x:c r="F3048" s="18" t="n">
        <x:v>54</x:v>
      </x:c>
      <x:c r="G3048" s="18" t="n">
        <x:v>75</x:v>
      </x:c>
      <x:c r="H3048" s="19" t="n">
        <x:v>1.3888888888888888</x:v>
      </x:c>
      <x:c r="I3048" s="18" t="n">
        <x:f>ROUND(MIN(Model_Config_v3!$B$6,MAX(Q3048,R3048,S3048*Model_Config_v3!$B$4+T3048*Model_Config_v3!$B$5)),0)</x:f>
        <x:v>605</x:v>
      </x:c>
      <x:c r="J3048" s="18" t="n">
        <x:f>MIN(Model_Config_v3!$B$6,I3048+Model_Config_v3!$B$7)</x:f>
        <x:v>625</x:v>
      </x:c>
      <x:c r="K3048" s="20" t="n">
        <x:v>37.4</x:v>
      </x:c>
      <x:c r="L3048" t="str">
        <x:v>RELATIF LONGGAR</x:v>
      </x:c>
      <x:c r="M3048" t="str">
        <x:v>PORTOFOLIO</x:v>
      </x:c>
      <x:c r="N3048" t="str">
        <x:v>REGULER</x:v>
      </x:c>
      <x:c r="O3048" t="str">
        <x:v>SENI/OLAHRAGA</x:v>
      </x:c>
      <x:c r="P3048" t="str">
        <x:v>SENI/OLAHRAGA</x:v>
      </x:c>
      <x:c r="Q3048" s="18" t="n">
        <x:v>0</x:v>
      </x:c>
      <x:c r="R3048" s="18" t="n">
        <x:v>0</x:v>
      </x:c>
      <x:c r="S3048" s="18" t="n">
        <x:v>535.6934253925605</x:v>
      </x:c>
      <x:c r="T3048" s="18" t="n">
        <x:v>635</x:v>
      </x:c>
      <x:c r="U3048" s="18" t="n">
        <x:v>535.6934253925605</x:v>
      </x:c>
      <x:c r="V3048" s="20" t="n">
        <x:v>4.4</x:v>
      </x:c>
      <x:c r="W3048" s="20" t="n">
        <x:v>9.9</x:v>
      </x:c>
      <x:c r="X3048" s="20" t="n">
        <x:v>7.7</x:v>
      </x:c>
      <x:c r="Y3048" t="str">
        <x:v>Basis arsip 2025/2024</x:v>
      </x:c>
      <x:c r="Z3048" t="str">
        <x:v>https://snpmb.id/utbk-snbt/daya-tampung-snbt</x:v>
      </x:c>
      <x:c r="AA3048" t="str">
        <x:v>Olahraga</x:v>
      </x:c>
      <x:c r="AB3048" t="str">
        <x:v>Campus=55; Ratio=8.4; Prodi=45; RelDemand=15.1; Capacity=55.0</x:v>
      </x:c>
    </x:row>
    <x:row r="3049">
      <x:c r="A3049" t="n">
        <x:v>3046</x:v>
      </x:c>
      <x:c r="B3049" t="str">
        <x:v>PTN Akademik</x:v>
      </x:c>
      <x:c r="C3049" t="str">
        <x:v>UNIVERSITAS NUSA CENDANA</x:v>
      </x:c>
      <x:c r="D3049" t="str">
        <x:v>EKONOMI PEMBANGUNAN</x:v>
      </x:c>
      <x:c r="E3049" t="str">
        <x:v>Sarjana</x:v>
      </x:c>
      <x:c r="F3049" s="18" t="n">
        <x:v>54</x:v>
      </x:c>
      <x:c r="G3049" s="18" t="n">
        <x:v>101</x:v>
      </x:c>
      <x:c r="H3049" s="19" t="n">
        <x:v>1.8703703703703705</x:v>
      </x:c>
      <x:c r="I3049" s="18" t="n">
        <x:f>ROUND(MIN(Model_Config_v3!$B$6,MAX(Q3049,R3049,S3049*Model_Config_v3!$B$4+T3049*Model_Config_v3!$B$5)),0)</x:f>
        <x:v>619</x:v>
      </x:c>
      <x:c r="J3049" s="18" t="n">
        <x:f>MIN(Model_Config_v3!$B$6,I3049+Model_Config_v3!$B$7)</x:f>
        <x:v>639</x:v>
      </x:c>
      <x:c r="K3049" s="20" t="n">
        <x:v>43.8</x:v>
      </x:c>
      <x:c r="L3049" t="str">
        <x:v>RELATIF LONGGAR</x:v>
      </x:c>
      <x:c r="M3049" t="str">
        <x:v>SEDANG+</x:v>
      </x:c>
      <x:c r="N3049" t="str">
        <x:v>REGULER</x:v>
      </x:c>
      <x:c r="O3049" t="str">
        <x:v>SOSHUM</x:v>
      </x:c>
      <x:c r="P3049" t="str">
        <x:v>BISNIS/EKONOMI/AKUNTANSI</x:v>
      </x:c>
      <x:c r="Q3049" s="18" t="n">
        <x:v>0</x:v>
      </x:c>
      <x:c r="R3049" s="18" t="n">
        <x:v>0</x:v>
      </x:c>
      <x:c r="S3049" s="18" t="n">
        <x:v>549.9120375355642</x:v>
      </x:c>
      <x:c r="T3049" s="18" t="n">
        <x:v>648</x:v>
      </x:c>
      <x:c r="U3049" s="18" t="n">
        <x:v>549.9120375355642</x:v>
      </x:c>
      <x:c r="V3049" s="20" t="n">
        <x:v>4.4</x:v>
      </x:c>
      <x:c r="W3049" s="20" t="n">
        <x:v>14.3</x:v>
      </x:c>
      <x:c r="X3049" s="20" t="n">
        <x:v>3.3</x:v>
      </x:c>
      <x:c r="Y3049" t="str">
        <x:v>Basis arsip 2025/2024</x:v>
      </x:c>
      <x:c r="Z3049" t="str">
        <x:v>https://snpmb.id/utbk-snbt/daya-tampung-snbt</x:v>
      </x:c>
      <x:c r="AA3049" t="str">
        <x:v>Tidak Ada</x:v>
      </x:c>
      <x:c r="AB3049" t="str">
        <x:v>Campus=55; Ratio=16.0; Prodi=65; RelDemand=20.3; Capacity=55.0</x:v>
      </x:c>
    </x:row>
    <x:row r="3050">
      <x:c r="A3050" t="n">
        <x:v>3047</x:v>
      </x:c>
      <x:c r="B3050" t="str">
        <x:v>PTN Akademik</x:v>
      </x:c>
      <x:c r="C3050" t="str">
        <x:v>UNIVERSITAS NUSA CENDANA</x:v>
      </x:c>
      <x:c r="D3050" t="str">
        <x:v>AKUNTANSI</x:v>
      </x:c>
      <x:c r="E3050" t="str">
        <x:v>Sarjana</x:v>
      </x:c>
      <x:c r="F3050" s="18" t="n">
        <x:v>81</x:v>
      </x:c>
      <x:c r="G3050" s="18" t="n">
        <x:v>738</x:v>
      </x:c>
      <x:c r="H3050" s="19" t="n">
        <x:v>9.11111111111111</x:v>
      </x:c>
      <x:c r="I3050" s="18" t="n">
        <x:f>ROUND(MIN(Model_Config_v3!$B$6,MAX(Q3050,R3050,S3050*Model_Config_v3!$B$4+T3050*Model_Config_v3!$B$5)),0)</x:f>
        <x:v>663</x:v>
      </x:c>
      <x:c r="J3050" s="18" t="n">
        <x:f>MIN(Model_Config_v3!$B$6,I3050+Model_Config_v3!$B$7)</x:f>
        <x:v>683</x:v>
      </x:c>
      <x:c r="K3050" s="20" t="n">
        <x:v>59.5</x:v>
      </x:c>
      <x:c r="L3050" t="str">
        <x:v>KETAT</x:v>
      </x:c>
      <x:c r="M3050" t="str">
        <x:v>SEDANG+</x:v>
      </x:c>
      <x:c r="N3050" t="str">
        <x:v>REGULER</x:v>
      </x:c>
      <x:c r="O3050" t="str">
        <x:v>SOSHUM</x:v>
      </x:c>
      <x:c r="P3050" t="str">
        <x:v>BISNIS/EKONOMI/AKUNTANSI</x:v>
      </x:c>
      <x:c r="Q3050" s="18" t="n">
        <x:v>0</x:v>
      </x:c>
      <x:c r="R3050" s="18" t="n">
        <x:v>0</x:v>
      </x:c>
      <x:c r="S3050" s="18" t="n">
        <x:v>625.5528477238831</x:v>
      </x:c>
      <x:c r="T3050" s="18" t="n">
        <x:v>679</x:v>
      </x:c>
      <x:c r="U3050" s="18" t="n">
        <x:v>625.5528477238831</x:v>
      </x:c>
      <x:c r="V3050" s="20" t="n">
        <x:v>4.4</x:v>
      </x:c>
      <x:c r="W3050" s="20" t="n">
        <x:v>14.3</x:v>
      </x:c>
      <x:c r="X3050" s="20" t="n">
        <x:v>3.3</x:v>
      </x:c>
      <x:c r="Y3050" t="str">
        <x:v>Basis arsip 2025/2024</x:v>
      </x:c>
      <x:c r="Z3050" t="str">
        <x:v>https://snpmb.id/utbk-snbt/daya-tampung-snbt</x:v>
      </x:c>
      <x:c r="AA3050" t="str">
        <x:v>Tidak Ada</x:v>
      </x:c>
      <x:c r="AB3050" t="str">
        <x:v>Campus=55; Ratio=56.5; Prodi=65; RelDemand=99.1; Capacity=32.5</x:v>
      </x:c>
    </x:row>
    <x:row r="3051">
      <x:c r="A3051" t="n">
        <x:v>3048</x:v>
      </x:c>
      <x:c r="B3051" t="str">
        <x:v>PTN Akademik</x:v>
      </x:c>
      <x:c r="C3051" t="str">
        <x:v>UNIVERSITAS NUSA CENDANA</x:v>
      </x:c>
      <x:c r="D3051" t="str">
        <x:v>MANAJEMEN</x:v>
      </x:c>
      <x:c r="E3051" t="str">
        <x:v>Sarjana</x:v>
      </x:c>
      <x:c r="F3051" s="18" t="n">
        <x:v>122</x:v>
      </x:c>
      <x:c r="G3051" s="18" t="n">
        <x:v>685</x:v>
      </x:c>
      <x:c r="H3051" s="19" t="n">
        <x:v>5.614754098360656</x:v>
      </x:c>
      <x:c r="I3051" s="18" t="n">
        <x:f>ROUND(MIN(Model_Config_v3!$B$6,MAX(Q3051,R3051,S3051*Model_Config_v3!$B$4+T3051*Model_Config_v3!$B$5)),0)</x:f>
        <x:v>642</x:v>
      </x:c>
      <x:c r="J3051" s="18" t="n">
        <x:f>MIN(Model_Config_v3!$B$6,I3051+Model_Config_v3!$B$7)</x:f>
        <x:v>662</x:v>
      </x:c>
      <x:c r="K3051" s="20" t="n">
        <x:v>49.4</x:v>
      </x:c>
      <x:c r="L3051" t="str">
        <x:v>MENENGAH</x:v>
      </x:c>
      <x:c r="M3051" t="str">
        <x:v>SEDANG+</x:v>
      </x:c>
      <x:c r="N3051" t="str">
        <x:v>REGULER</x:v>
      </x:c>
      <x:c r="O3051" t="str">
        <x:v>SOSHUM</x:v>
      </x:c>
      <x:c r="P3051" t="str">
        <x:v>BISNIS/EKONOMI/AKUNTANSI</x:v>
      </x:c>
      <x:c r="Q3051" s="18" t="n">
        <x:v>0</x:v>
      </x:c>
      <x:c r="R3051" s="18" t="n">
        <x:v>0</x:v>
      </x:c>
      <x:c r="S3051" s="18" t="n">
        <x:v>602.4263814899446</x:v>
      </x:c>
      <x:c r="T3051" s="18" t="n">
        <x:v>659</x:v>
      </x:c>
      <x:c r="U3051" s="18" t="n">
        <x:v>617.4263814899446</x:v>
      </x:c>
      <x:c r="V3051" s="20" t="n">
        <x:v>4.4</x:v>
      </x:c>
      <x:c r="W3051" s="20" t="n">
        <x:v>14.3</x:v>
      </x:c>
      <x:c r="X3051" s="20" t="n">
        <x:v>3.3</x:v>
      </x:c>
      <x:c r="Y3051" t="str">
        <x:v>Basis arsip 2025/2024</x:v>
      </x:c>
      <x:c r="Z3051" t="str">
        <x:v>https://snpmb.id/utbk-snbt/daya-tampung-snbt</x:v>
      </x:c>
      <x:c r="AA3051" t="str">
        <x:v>Tidak Ada</x:v>
      </x:c>
      <x:c r="AB3051" t="str">
        <x:v>Campus=55; Ratio=44.1; Prodi=65; RelDemand=61.1; Capacity=0.0</x:v>
      </x:c>
    </x:row>
    <x:row r="3052">
      <x:c r="A3052" t="n">
        <x:v>3049</x:v>
      </x:c>
      <x:c r="B3052" t="str">
        <x:v>PTN Akademik</x:v>
      </x:c>
      <x:c r="C3052" t="str">
        <x:v>UNIVERSITAS NUSA CENDANA</x:v>
      </x:c>
      <x:c r="D3052" t="str">
        <x:v>PSIKOLOGI</x:v>
      </x:c>
      <x:c r="E3052" t="str">
        <x:v>Sarjana</x:v>
      </x:c>
      <x:c r="F3052" s="18" t="n">
        <x:v>49</x:v>
      </x:c>
      <x:c r="G3052" s="18" t="n">
        <x:v>311</x:v>
      </x:c>
      <x:c r="H3052" s="19" t="n">
        <x:v>6.346938775510204</x:v>
      </x:c>
      <x:c r="I3052" s="18" t="n">
        <x:f>ROUND(MIN(Model_Config_v3!$B$6,MAX(Q3052,R3052,S3052*Model_Config_v3!$B$4+T3052*Model_Config_v3!$B$5)),0)</x:f>
        <x:v>658</x:v>
      </x:c>
      <x:c r="J3052" s="18" t="n">
        <x:f>MIN(Model_Config_v3!$B$6,I3052+Model_Config_v3!$B$7)</x:f>
        <x:v>678</x:v>
      </x:c>
      <x:c r="K3052" s="20" t="n">
        <x:v>59.9</x:v>
      </x:c>
      <x:c r="L3052" t="str">
        <x:v>KETAT</x:v>
      </x:c>
      <x:c r="M3052" t="str">
        <x:v>SEDANG+</x:v>
      </x:c>
      <x:c r="N3052" t="str">
        <x:v>REGULER</x:v>
      </x:c>
      <x:c r="O3052" t="str">
        <x:v>SOSHUM</x:v>
      </x:c>
      <x:c r="P3052" t="str">
        <x:v>PSIKOLOGI</x:v>
      </x:c>
      <x:c r="Q3052" s="18" t="n">
        <x:v>0</x:v>
      </x:c>
      <x:c r="R3052" s="18" t="n">
        <x:v>0</x:v>
      </x:c>
      <x:c r="S3052" s="18" t="n">
        <x:v>608.2820739898157</x:v>
      </x:c>
      <x:c r="T3052" s="18" t="n">
        <x:v>680</x:v>
      </x:c>
      <x:c r="U3052" s="18" t="n">
        <x:v>633.2820739898157</x:v>
      </x:c>
      <x:c r="V3052" s="20" t="n">
        <x:v>4.4</x:v>
      </x:c>
      <x:c r="W3052" s="20" t="n">
        <x:v>14.3</x:v>
      </x:c>
      <x:c r="X3052" s="20" t="n">
        <x:v>3.3</x:v>
      </x:c>
      <x:c r="Y3052" t="str">
        <x:v>Basis arsip 2025/2024</x:v>
      </x:c>
      <x:c r="Z3052" t="str">
        <x:v>https://snpmb.id/utbk-snbt/daya-tampung-snbt</x:v>
      </x:c>
      <x:c r="AA3052" t="str">
        <x:v>Tidak Ada</x:v>
      </x:c>
      <x:c r="AB3052" t="str">
        <x:v>Campus=55; Ratio=47.2; Prodi=80; RelDemand=69.1; Capacity=59.2</x:v>
      </x:c>
    </x:row>
    <x:row r="3053">
      <x:c r="A3053" t="n">
        <x:v>3050</x:v>
      </x:c>
      <x:c r="B3053" t="str">
        <x:v>PTN Akademik</x:v>
      </x:c>
      <x:c r="C3053" t="str">
        <x:v>UNIVERSITAS NUSA CENDANA</x:v>
      </x:c>
      <x:c r="D3053" t="str">
        <x:v>FARMASI</x:v>
      </x:c>
      <x:c r="E3053" t="str">
        <x:v>Sarjana</x:v>
      </x:c>
      <x:c r="F3053" s="18" t="n">
        <x:v>22</x:v>
      </x:c>
      <x:c r="G3053" s="18" t="n">
        <x:v>714</x:v>
      </x:c>
      <x:c r="H3053" s="19" t="n">
        <x:v>32.45454545454545</x:v>
      </x:c>
      <x:c r="I3053" s="18" t="n">
        <x:f>ROUND(MIN(Model_Config_v3!$B$6,MAX(Q3053,R3053,S3053*Model_Config_v3!$B$4+T3053*Model_Config_v3!$B$5)),0)</x:f>
        <x:v>702</x:v>
      </x:c>
      <x:c r="J3053" s="18" t="n">
        <x:f>MIN(Model_Config_v3!$B$6,I3053+Model_Config_v3!$B$7)</x:f>
        <x:v>722</x:v>
      </x:c>
      <x:c r="K3053" s="20" t="n">
        <x:v>74.7</x:v>
      </x:c>
      <x:c r="L3053" t="str">
        <x:v>SANGAT KETAT</x:v>
      </x:c>
      <x:c r="M3053" t="str">
        <x:v>SEDANG+</x:v>
      </x:c>
      <x:c r="N3053" t="str">
        <x:v>REGULER</x:v>
      </x:c>
      <x:c r="O3053" t="str">
        <x:v>SAINTEK</x:v>
      </x:c>
      <x:c r="P3053" t="str">
        <x:v>FARMASI</x:v>
      </x:c>
      <x:c r="Q3053" s="18" t="n">
        <x:v>0</x:v>
      </x:c>
      <x:c r="R3053" s="18" t="n">
        <x:v>0</x:v>
      </x:c>
      <x:c r="S3053" s="18" t="n">
        <x:v>686.2403084049365</x:v>
      </x:c>
      <x:c r="T3053" s="18" t="n">
        <x:v>709</x:v>
      </x:c>
      <x:c r="U3053" s="18" t="n">
        <x:v>706.2403084049365</x:v>
      </x:c>
      <x:c r="V3053" s="20" t="n">
        <x:v>12</x:v>
      </x:c>
      <x:c r="W3053" s="20" t="n">
        <x:v>5</x:v>
      </x:c>
      <x:c r="X3053" s="20" t="n">
        <x:v>3</x:v>
      </x:c>
      <x:c r="Y3053" t="str">
        <x:v>Basis arsip 2025/2024</x:v>
      </x:c>
      <x:c r="Z3053" t="str">
        <x:v>https://snpmb.id/utbk-snbt/daya-tampung-snbt</x:v>
      </x:c>
      <x:c r="AA3053" t="str">
        <x:v>Tidak Ada</x:v>
      </x:c>
      <x:c r="AB3053" t="str">
        <x:v>Campus=55; Ratio=89.0; Prodi=75; RelDemand=100.0; Capacity=81.7</x:v>
      </x:c>
    </x:row>
    <x:row r="3054">
      <x:c r="A3054" t="n">
        <x:v>3051</x:v>
      </x:c>
      <x:c r="B3054" t="str">
        <x:v>PTN Akademik</x:v>
      </x:c>
      <x:c r="C3054" t="str">
        <x:v>UNIVERSITAS NUSA CENDANA</x:v>
      </x:c>
      <x:c r="D3054" t="str">
        <x:v>TEKNIK PEMBUATAN TENUN IKAT</x:v>
      </x:c>
      <x:c r="E3054" t="str">
        <x:v>Diploma Tiga</x:v>
      </x:c>
      <x:c r="F3054" s="18" t="n">
        <x:v>18</x:v>
      </x:c>
      <x:c r="G3054" s="18" t="n">
        <x:v>165</x:v>
      </x:c>
      <x:c r="H3054" s="19" t="n">
        <x:v>9.166666666666666</x:v>
      </x:c>
      <x:c r="I3054" s="18" t="n">
        <x:f>ROUND(MIN(Model_Config_v3!$B$6,MAX(Q3054,R3054,S3054*Model_Config_v3!$B$4+T3054*Model_Config_v3!$B$5)),0)</x:f>
        <x:v>669</x:v>
      </x:c>
      <x:c r="J3054" s="18" t="n">
        <x:f>MIN(Model_Config_v3!$B$6,I3054+Model_Config_v3!$B$7)</x:f>
        <x:v>689</x:v>
      </x:c>
      <x:c r="K3054" s="20" t="n">
        <x:v>63.9</x:v>
      </x:c>
      <x:c r="L3054" t="str">
        <x:v>KETAT</x:v>
      </x:c>
      <x:c r="M3054" t="str">
        <x:v>SEDANG+</x:v>
      </x:c>
      <x:c r="N3054" t="str">
        <x:v>REGULER</x:v>
      </x:c>
      <x:c r="O3054" t="str">
        <x:v>SAINTEK</x:v>
      </x:c>
      <x:c r="P3054" t="str">
        <x:v>TEKNIK/ARSITEKTUR/STATISTIKA/AKTUARIA</x:v>
      </x:c>
      <x:c r="Q3054" s="18" t="n">
        <x:v>0</x:v>
      </x:c>
      <x:c r="R3054" s="18" t="n">
        <x:v>0</x:v>
      </x:c>
      <x:c r="S3054" s="18" t="n">
        <x:v>625.843258302166</x:v>
      </x:c>
      <x:c r="T3054" s="18" t="n">
        <x:v>688</x:v>
      </x:c>
      <x:c r="U3054" s="18" t="n">
        <x:v>635.843258302166</x:v>
      </x:c>
      <x:c r="V3054" s="20" t="n">
        <x:v>12</x:v>
      </x:c>
      <x:c r="W3054" s="20" t="n">
        <x:v>5</x:v>
      </x:c>
      <x:c r="X3054" s="20" t="n">
        <x:v>3</x:v>
      </x:c>
      <x:c r="Y3054" t="str">
        <x:v>Basis arsip 2025/2024</x:v>
      </x:c>
      <x:c r="Z3054" t="str">
        <x:v>https://snpmb.id/utbk-snbt/daya-tampung-snbt</x:v>
      </x:c>
      <x:c r="AA3054" t="str">
        <x:v>Tidak Ada</x:v>
      </x:c>
      <x:c r="AB3054" t="str">
        <x:v>Campus=55; Ratio=56.6; Prodi=60; RelDemand=99.7; Capacity=85.0</x:v>
      </x:c>
    </x:row>
    <x:row r="3055">
      <x:c r="A3055" t="n">
        <x:v>3052</x:v>
      </x:c>
      <x:c r="B3055" t="str">
        <x:v>PTN Akademik</x:v>
      </x:c>
      <x:c r="C3055" t="str">
        <x:v>UNIVERSITAS TIMOR</x:v>
      </x:c>
      <x:c r="D3055" t="str">
        <x:v>AGRIBISNIS</x:v>
      </x:c>
      <x:c r="E3055" t="str">
        <x:v>Sarjana</x:v>
      </x:c>
      <x:c r="F3055" s="18" t="n">
        <x:v>52</x:v>
      </x:c>
      <x:c r="G3055" s="18" t="n">
        <x:v>40</x:v>
      </x:c>
      <x:c r="H3055" s="19" t="n">
        <x:v>0.7692307692307693</x:v>
      </x:c>
      <x:c r="I3055" s="18" t="n">
        <x:f>ROUND(MIN(Model_Config_v3!$B$6,MAX(Q3055,R3055,S3055*Model_Config_v3!$B$4+T3055*Model_Config_v3!$B$5)),0)</x:f>
        <x:v>605</x:v>
      </x:c>
      <x:c r="J3055" s="18" t="n">
        <x:f>MIN(Model_Config_v3!$B$6,I3055+Model_Config_v3!$B$7)</x:f>
        <x:v>625</x:v>
      </x:c>
      <x:c r="K3055" s="20" t="n">
        <x:v>41.1</x:v>
      </x:c>
      <x:c r="L3055" t="str">
        <x:v>RELATIF LONGGAR</x:v>
      </x:c>
      <x:c r="M3055" t="str">
        <x:v>SEDANG+</x:v>
      </x:c>
      <x:c r="N3055" t="str">
        <x:v>REGULER</x:v>
      </x:c>
      <x:c r="O3055" t="str">
        <x:v>SOSHUM</x:v>
      </x:c>
      <x:c r="P3055" t="str">
        <x:v>BISNIS/EKONOMI/AKUNTANSI</x:v>
      </x:c>
      <x:c r="Q3055" s="18" t="n">
        <x:v>0</x:v>
      </x:c>
      <x:c r="R3055" s="18" t="n">
        <x:v>0</x:v>
      </x:c>
      <x:c r="S3055" s="18" t="n">
        <x:v>520</x:v>
      </x:c>
      <x:c r="T3055" s="18" t="n">
        <x:v>642</x:v>
      </x:c>
      <x:c r="U3055" s="18" t="n">
        <x:v>535</x:v>
      </x:c>
      <x:c r="V3055" s="20" t="n">
        <x:v>4.4</x:v>
      </x:c>
      <x:c r="W3055" s="20" t="n">
        <x:v>14.3</x:v>
      </x:c>
      <x:c r="X3055" s="20" t="n">
        <x:v>3.3</x:v>
      </x:c>
      <x:c r="Y3055" t="str">
        <x:v>Basis arsip 2025/2024</x:v>
      </x:c>
      <x:c r="Z3055" t="str">
        <x:v>https://snpmb.id/utbk-snbt/daya-tampung-snbt</x:v>
      </x:c>
      <x:c r="AA3055" t="str">
        <x:v>Tidak Ada</x:v>
      </x:c>
      <x:c r="AB3055" t="str">
        <x:v>Campus=55; Ratio=0.0; Prodi=65; RelDemand=31.5; Capacity=56.7</x:v>
      </x:c>
    </x:row>
    <x:row r="3056">
      <x:c r="A3056" t="n">
        <x:v>3053</x:v>
      </x:c>
      <x:c r="B3056" t="str">
        <x:v>PTN Akademik</x:v>
      </x:c>
      <x:c r="C3056" t="str">
        <x:v>UNIVERSITAS TIMOR</x:v>
      </x:c>
      <x:c r="D3056" t="str">
        <x:v>AGROTEKNOLOGI</x:v>
      </x:c>
      <x:c r="E3056" t="str">
        <x:v>Sarjana</x:v>
      </x:c>
      <x:c r="F3056" s="18" t="n">
        <x:v>48</x:v>
      </x:c>
      <x:c r="G3056" s="18" t="n">
        <x:v>25</x:v>
      </x:c>
      <x:c r="H3056" s="19" t="n">
        <x:v>0.5208333333333334</x:v>
      </x:c>
      <x:c r="I3056" s="18" t="n">
        <x:f>ROUND(MIN(Model_Config_v3!$B$6,MAX(Q3056,R3056,S3056*Model_Config_v3!$B$4+T3056*Model_Config_v3!$B$5)),0)</x:f>
        <x:v>598</x:v>
      </x:c>
      <x:c r="J3056" s="18" t="n">
        <x:f>MIN(Model_Config_v3!$B$6,I3056+Model_Config_v3!$B$7)</x:f>
        <x:v>618</x:v>
      </x:c>
      <x:c r="K3056" s="20" t="n">
        <x:v>35.4</x:v>
      </x:c>
      <x:c r="L3056" t="str">
        <x:v>RELATIF LONGGAR</x:v>
      </x:c>
      <x:c r="M3056" t="str">
        <x:v>SEDANG</x:v>
      </x:c>
      <x:c r="N3056" t="str">
        <x:v>REGULER</x:v>
      </x:c>
      <x:c r="O3056" t="str">
        <x:v>SAINTEK</x:v>
      </x:c>
      <x:c r="P3056" t="str">
        <x:v>UMUM</x:v>
      </x:c>
      <x:c r="Q3056" s="18" t="n">
        <x:v>0</x:v>
      </x:c>
      <x:c r="R3056" s="18" t="n">
        <x:v>0</x:v>
      </x:c>
      <x:c r="S3056" s="18" t="n">
        <x:v>520</x:v>
      </x:c>
      <x:c r="T3056" s="18" t="n">
        <x:v>631</x:v>
      </x:c>
      <x:c r="U3056" s="18" t="n">
        <x:v>520</x:v>
      </x:c>
      <x:c r="V3056" s="20" t="n">
        <x:v>12</x:v>
      </x:c>
      <x:c r="W3056" s="20" t="n">
        <x:v>5</x:v>
      </x:c>
      <x:c r="X3056" s="20" t="n">
        <x:v>3</x:v>
      </x:c>
      <x:c r="Y3056" t="str">
        <x:v>Basis arsip 2025/2024</x:v>
      </x:c>
      <x:c r="Z3056" t="str">
        <x:v>https://snpmb.id/utbk-snbt/daya-tampung-snbt</x:v>
      </x:c>
      <x:c r="AA3056" t="str">
        <x:v>Tidak Ada</x:v>
      </x:c>
      <x:c r="AB3056" t="str">
        <x:v>Campus=55; Ratio=0.0; Prodi=40; RelDemand=21.3; Capacity=60.0</x:v>
      </x:c>
    </x:row>
    <x:row r="3057">
      <x:c r="A3057" t="n">
        <x:v>3054</x:v>
      </x:c>
      <x:c r="B3057" t="str">
        <x:v>PTN Akademik</x:v>
      </x:c>
      <x:c r="C3057" t="str">
        <x:v>UNIVERSITAS TIMOR</x:v>
      </x:c>
      <x:c r="D3057" t="str">
        <x:v>PETERNAKAN</x:v>
      </x:c>
      <x:c r="E3057" t="str">
        <x:v>Sarjana</x:v>
      </x:c>
      <x:c r="F3057" s="18" t="n">
        <x:v>52</x:v>
      </x:c>
      <x:c r="G3057" s="18" t="n">
        <x:v>57</x:v>
      </x:c>
      <x:c r="H3057" s="19" t="n">
        <x:v>1.0961538461538463</x:v>
      </x:c>
      <x:c r="I3057" s="18" t="n">
        <x:f>ROUND(MIN(Model_Config_v3!$B$6,MAX(Q3057,R3057,S3057*Model_Config_v3!$B$4+T3057*Model_Config_v3!$B$5)),0)</x:f>
        <x:v>603</x:v>
      </x:c>
      <x:c r="J3057" s="18" t="n">
        <x:f>MIN(Model_Config_v3!$B$6,I3057+Model_Config_v3!$B$7)</x:f>
        <x:v>623</x:v>
      </x:c>
      <x:c r="K3057" s="20" t="n">
        <x:v>38</x:v>
      </x:c>
      <x:c r="L3057" t="str">
        <x:v>RELATIF LONGGAR</x:v>
      </x:c>
      <x:c r="M3057" t="str">
        <x:v>SEDANG</x:v>
      </x:c>
      <x:c r="N3057" t="str">
        <x:v>REGULER</x:v>
      </x:c>
      <x:c r="O3057" t="str">
        <x:v>SAINTEK</x:v>
      </x:c>
      <x:c r="P3057" t="str">
        <x:v>UMUM</x:v>
      </x:c>
      <x:c r="Q3057" s="18" t="n">
        <x:v>0</x:v>
      </x:c>
      <x:c r="R3057" s="18" t="n">
        <x:v>0</x:v>
      </x:c>
      <x:c r="S3057" s="18" t="n">
        <x:v>524.3858663241461</x:v>
      </x:c>
      <x:c r="T3057" s="18" t="n">
        <x:v>636</x:v>
      </x:c>
      <x:c r="U3057" s="18" t="n">
        <x:v>524.3858663241461</x:v>
      </x:c>
      <x:c r="V3057" s="20" t="n">
        <x:v>12</x:v>
      </x:c>
      <x:c r="W3057" s="20" t="n">
        <x:v>5</x:v>
      </x:c>
      <x:c r="X3057" s="20" t="n">
        <x:v>3</x:v>
      </x:c>
      <x:c r="Y3057" t="str">
        <x:v>Basis arsip 2025/2024</x:v>
      </x:c>
      <x:c r="Z3057" t="str">
        <x:v>https://snpmb.id/utbk-snbt/daya-tampung-snbt</x:v>
      </x:c>
      <x:c r="AA3057" t="str">
        <x:v>Tidak Ada</x:v>
      </x:c>
      <x:c r="AB3057" t="str">
        <x:v>Campus=55; Ratio=2.3; Prodi=40; RelDemand=44.8; Capacity=56.7</x:v>
      </x:c>
    </x:row>
    <x:row r="3058">
      <x:c r="A3058" t="n">
        <x:v>3055</x:v>
      </x:c>
      <x:c r="B3058" t="str">
        <x:v>PTN Akademik</x:v>
      </x:c>
      <x:c r="C3058" t="str">
        <x:v>UNIVERSITAS TIMOR</x:v>
      </x:c>
      <x:c r="D3058" t="str">
        <x:v>PEND. BIOLOGI</x:v>
      </x:c>
      <x:c r="E3058" t="str">
        <x:v>Sarjana</x:v>
      </x:c>
      <x:c r="F3058" s="18" t="n">
        <x:v>72</x:v>
      </x:c>
      <x:c r="G3058" s="18" t="n">
        <x:v>73</x:v>
      </x:c>
      <x:c r="H3058" s="19" t="n">
        <x:v>1.0138888888888888</x:v>
      </x:c>
      <x:c r="I3058" s="18" t="n">
        <x:f>ROUND(MIN(Model_Config_v3!$B$6,MAX(Q3058,R3058,S3058*Model_Config_v3!$B$4+T3058*Model_Config_v3!$B$5)),0)</x:f>
        <x:v>599</x:v>
      </x:c>
      <x:c r="J3058" s="18" t="n">
        <x:f>MIN(Model_Config_v3!$B$6,I3058+Model_Config_v3!$B$7)</x:f>
        <x:v>619</x:v>
      </x:c>
      <x:c r="K3058" s="20" t="n">
        <x:v>36.5</x:v>
      </x:c>
      <x:c r="L3058" t="str">
        <x:v>RELATIF LONGGAR</x:v>
      </x:c>
      <x:c r="M3058" t="str">
        <x:v>SEDANG+</x:v>
      </x:c>
      <x:c r="N3058" t="str">
        <x:v>REGULER</x:v>
      </x:c>
      <x:c r="O3058" t="str">
        <x:v>SAINTEK</x:v>
      </x:c>
      <x:c r="P3058" t="str">
        <x:v>PENDIDIKAN</x:v>
      </x:c>
      <x:c r="Q3058" s="18" t="n">
        <x:v>0</x:v>
      </x:c>
      <x:c r="R3058" s="18" t="n">
        <x:v>0</x:v>
      </x:c>
      <x:c r="S3058" s="18" t="n">
        <x:v>520.6589400058106</x:v>
      </x:c>
      <x:c r="T3058" s="18" t="n">
        <x:v>633</x:v>
      </x:c>
      <x:c r="U3058" s="18" t="n">
        <x:v>520.6589400058106</x:v>
      </x:c>
      <x:c r="V3058" s="20" t="n">
        <x:v>12</x:v>
      </x:c>
      <x:c r="W3058" s="20" t="n">
        <x:v>5</x:v>
      </x:c>
      <x:c r="X3058" s="20" t="n">
        <x:v>3</x:v>
      </x:c>
      <x:c r="Y3058" t="str">
        <x:v>Basis arsip 2025/2024</x:v>
      </x:c>
      <x:c r="Z3058" t="str">
        <x:v>https://snpmb.id/utbk-snbt/daya-tampung-snbt</x:v>
      </x:c>
      <x:c r="AA3058" t="str">
        <x:v>Tidak Ada</x:v>
      </x:c>
      <x:c r="AB3058" t="str">
        <x:v>Campus=55; Ratio=0.4; Prodi=45; RelDemand=41.5; Capacity=40.0</x:v>
      </x:c>
    </x:row>
    <x:row r="3059">
      <x:c r="A3059" t="n">
        <x:v>3056</x:v>
      </x:c>
      <x:c r="B3059" t="str">
        <x:v>PTN Akademik</x:v>
      </x:c>
      <x:c r="C3059" t="str">
        <x:v>UNIVERSITAS TIMOR</x:v>
      </x:c>
      <x:c r="D3059" t="str">
        <x:v>PEND. MATEMATIKA</x:v>
      </x:c>
      <x:c r="E3059" t="str">
        <x:v>Sarjana</x:v>
      </x:c>
      <x:c r="F3059" s="18" t="n">
        <x:v>72</x:v>
      </x:c>
      <x:c r="G3059" s="18" t="n">
        <x:v>43</x:v>
      </x:c>
      <x:c r="H3059" s="19" t="n">
        <x:v>0.5972222222222222</x:v>
      </x:c>
      <x:c r="I3059" s="18" t="n">
        <x:f>ROUND(MIN(Model_Config_v3!$B$6,MAX(Q3059,R3059,S3059*Model_Config_v3!$B$4+T3059*Model_Config_v3!$B$5)),0)</x:f>
        <x:v>596</x:v>
      </x:c>
      <x:c r="J3059" s="18" t="n">
        <x:f>MIN(Model_Config_v3!$B$6,I3059+Model_Config_v3!$B$7)</x:f>
        <x:v>616</x:v>
      </x:c>
      <x:c r="K3059" s="20" t="n">
        <x:v>34.7</x:v>
      </x:c>
      <x:c r="L3059" t="str">
        <x:v>RELATIF LONGGAR</x:v>
      </x:c>
      <x:c r="M3059" t="str">
        <x:v>SEDANG+</x:v>
      </x:c>
      <x:c r="N3059" t="str">
        <x:v>REGULER</x:v>
      </x:c>
      <x:c r="O3059" t="str">
        <x:v>SAINTEK</x:v>
      </x:c>
      <x:c r="P3059" t="str">
        <x:v>PENDIDIKAN</x:v>
      </x:c>
      <x:c r="Q3059" s="18" t="n">
        <x:v>0</x:v>
      </x:c>
      <x:c r="R3059" s="18" t="n">
        <x:v>0</x:v>
      </x:c>
      <x:c r="S3059" s="18" t="n">
        <x:v>520</x:v>
      </x:c>
      <x:c r="T3059" s="18" t="n">
        <x:v>629</x:v>
      </x:c>
      <x:c r="U3059" s="18" t="n">
        <x:v>520</x:v>
      </x:c>
      <x:c r="V3059" s="20" t="n">
        <x:v>12</x:v>
      </x:c>
      <x:c r="W3059" s="20" t="n">
        <x:v>5</x:v>
      </x:c>
      <x:c r="X3059" s="20" t="n">
        <x:v>3</x:v>
      </x:c>
      <x:c r="Y3059" t="str">
        <x:v>Basis arsip 2025/2024</x:v>
      </x:c>
      <x:c r="Z3059" t="str">
        <x:v>https://snpmb.id/utbk-snbt/daya-tampung-snbt</x:v>
      </x:c>
      <x:c r="AA3059" t="str">
        <x:v>Tidak Ada</x:v>
      </x:c>
      <x:c r="AB3059" t="str">
        <x:v>Campus=55; Ratio=0.0; Prodi=45; RelDemand=24.4; Capacity=40.0</x:v>
      </x:c>
    </x:row>
    <x:row r="3060">
      <x:c r="A3060" t="n">
        <x:v>3057</x:v>
      </x:c>
      <x:c r="B3060" t="str">
        <x:v>PTN Akademik</x:v>
      </x:c>
      <x:c r="C3060" t="str">
        <x:v>UNIVERSITAS TIMOR</x:v>
      </x:c>
      <x:c r="D3060" t="str">
        <x:v>BIOLOGI</x:v>
      </x:c>
      <x:c r="E3060" t="str">
        <x:v>Sarjana</x:v>
      </x:c>
      <x:c r="F3060" s="18" t="n">
        <x:v>40</x:v>
      </x:c>
      <x:c r="G3060" s="18" t="n">
        <x:v>31</x:v>
      </x:c>
      <x:c r="H3060" s="19" t="n">
        <x:v>0.775</x:v>
      </x:c>
      <x:c r="I3060" s="18" t="n">
        <x:f>ROUND(MIN(Model_Config_v3!$B$6,MAX(Q3060,R3060,S3060*Model_Config_v3!$B$4+T3060*Model_Config_v3!$B$5)),0)</x:f>
        <x:v>603</x:v>
      </x:c>
      <x:c r="J3060" s="18" t="n">
        <x:f>MIN(Model_Config_v3!$B$6,I3060+Model_Config_v3!$B$7)</x:f>
        <x:v>623</x:v>
      </x:c>
      <x:c r="K3060" s="20" t="n">
        <x:v>39.1</x:v>
      </x:c>
      <x:c r="L3060" t="str">
        <x:v>RELATIF LONGGAR</x:v>
      </x:c>
      <x:c r="M3060" t="str">
        <x:v>SEDANG+</x:v>
      </x:c>
      <x:c r="N3060" t="str">
        <x:v>REGULER</x:v>
      </x:c>
      <x:c r="O3060" t="str">
        <x:v>SAINTEK</x:v>
      </x:c>
      <x:c r="P3060" t="str">
        <x:v>SAINS DASAR</x:v>
      </x:c>
      <x:c r="Q3060" s="18" t="n">
        <x:v>0</x:v>
      </x:c>
      <x:c r="R3060" s="18" t="n">
        <x:v>0</x:v>
      </x:c>
      <x:c r="S3060" s="18" t="n">
        <x:v>520</x:v>
      </x:c>
      <x:c r="T3060" s="18" t="n">
        <x:v>638</x:v>
      </x:c>
      <x:c r="U3060" s="18" t="n">
        <x:v>520</x:v>
      </x:c>
      <x:c r="V3060" s="20" t="n">
        <x:v>12</x:v>
      </x:c>
      <x:c r="W3060" s="20" t="n">
        <x:v>5</x:v>
      </x:c>
      <x:c r="X3060" s="20" t="n">
        <x:v>3</x:v>
      </x:c>
      <x:c r="Y3060" t="str">
        <x:v>Basis arsip 2025/2024</x:v>
      </x:c>
      <x:c r="Z3060" t="str">
        <x:v>https://snpmb.id/utbk-snbt/daya-tampung-snbt</x:v>
      </x:c>
      <x:c r="AA3060" t="str">
        <x:v>Tidak Ada</x:v>
      </x:c>
      <x:c r="AB3060" t="str">
        <x:v>Campus=55; Ratio=0.0; Prodi=50; RelDemand=31.7; Capacity=66.7</x:v>
      </x:c>
    </x:row>
    <x:row r="3061">
      <x:c r="A3061" t="n">
        <x:v>3058</x:v>
      </x:c>
      <x:c r="B3061" t="str">
        <x:v>PTN Akademik</x:v>
      </x:c>
      <x:c r="C3061" t="str">
        <x:v>UNIVERSITAS TIMOR</x:v>
      </x:c>
      <x:c r="D3061" t="str">
        <x:v>MATEMATIKA</x:v>
      </x:c>
      <x:c r="E3061" t="str">
        <x:v>Sarjana</x:v>
      </x:c>
      <x:c r="F3061" s="18" t="n">
        <x:v>24</x:v>
      </x:c>
      <x:c r="G3061" s="18" t="n">
        <x:v>22</x:v>
      </x:c>
      <x:c r="H3061" s="19" t="n">
        <x:v>0.9166666666666666</x:v>
      </x:c>
      <x:c r="I3061" s="18" t="n">
        <x:f>ROUND(MIN(Model_Config_v3!$B$6,MAX(Q3061,R3061,S3061*Model_Config_v3!$B$4+T3061*Model_Config_v3!$B$5)),0)</x:f>
        <x:v>605</x:v>
      </x:c>
      <x:c r="J3061" s="18" t="n">
        <x:f>MIN(Model_Config_v3!$B$6,I3061+Model_Config_v3!$B$7)</x:f>
        <x:v>625</x:v>
      </x:c>
      <x:c r="K3061" s="20" t="n">
        <x:v>41</x:v>
      </x:c>
      <x:c r="L3061" t="str">
        <x:v>RELATIF LONGGAR</x:v>
      </x:c>
      <x:c r="M3061" t="str">
        <x:v>SEDANG+</x:v>
      </x:c>
      <x:c r="N3061" t="str">
        <x:v>REGULER</x:v>
      </x:c>
      <x:c r="O3061" t="str">
        <x:v>SAINTEK</x:v>
      </x:c>
      <x:c r="P3061" t="str">
        <x:v>SAINS DASAR</x:v>
      </x:c>
      <x:c r="Q3061" s="18" t="n">
        <x:v>0</x:v>
      </x:c>
      <x:c r="R3061" s="18" t="n">
        <x:v>0</x:v>
      </x:c>
      <x:c r="S3061" s="18" t="n">
        <x:v>520</x:v>
      </x:c>
      <x:c r="T3061" s="18" t="n">
        <x:v>642</x:v>
      </x:c>
      <x:c r="U3061" s="18" t="n">
        <x:v>520</x:v>
      </x:c>
      <x:c r="V3061" s="20" t="n">
        <x:v>12</x:v>
      </x:c>
      <x:c r="W3061" s="20" t="n">
        <x:v>5</x:v>
      </x:c>
      <x:c r="X3061" s="20" t="n">
        <x:v>3</x:v>
      </x:c>
      <x:c r="Y3061" t="str">
        <x:v>Basis arsip 2025/2024</x:v>
      </x:c>
      <x:c r="Z3061" t="str">
        <x:v>https://snpmb.id/utbk-snbt/daya-tampung-snbt</x:v>
      </x:c>
      <x:c r="AA3061" t="str">
        <x:v>Tidak Ada</x:v>
      </x:c>
      <x:c r="AB3061" t="str">
        <x:v>Campus=55; Ratio=0.0; Prodi=50; RelDemand=37.5; Capacity=80.0</x:v>
      </x:c>
    </x:row>
    <x:row r="3062">
      <x:c r="A3062" t="n">
        <x:v>3059</x:v>
      </x:c>
      <x:c r="B3062" t="str">
        <x:v>PTN Akademik</x:v>
      </x:c>
      <x:c r="C3062" t="str">
        <x:v>UNIVERSITAS TIMOR</x:v>
      </x:c>
      <x:c r="D3062" t="str">
        <x:v>KIMIA</x:v>
      </x:c>
      <x:c r="E3062" t="str">
        <x:v>Sarjana</x:v>
      </x:c>
      <x:c r="F3062" s="18" t="n">
        <x:v>32</x:v>
      </x:c>
      <x:c r="G3062" s="18" t="n">
        <x:v>19</x:v>
      </x:c>
      <x:c r="H3062" s="19" t="n">
        <x:v>0.59375</x:v>
      </x:c>
      <x:c r="I3062" s="18" t="n">
        <x:f>ROUND(MIN(Model_Config_v3!$B$6,MAX(Q3062,R3062,S3062*Model_Config_v3!$B$4+T3062*Model_Config_v3!$B$5)),0)</x:f>
        <x:v>603</x:v>
      </x:c>
      <x:c r="J3062" s="18" t="n">
        <x:f>MIN(Model_Config_v3!$B$6,I3062+Model_Config_v3!$B$7)</x:f>
        <x:v>623</x:v>
      </x:c>
      <x:c r="K3062" s="20" t="n">
        <x:v>39</x:v>
      </x:c>
      <x:c r="L3062" t="str">
        <x:v>RELATIF LONGGAR</x:v>
      </x:c>
      <x:c r="M3062" t="str">
        <x:v>SEDANG+</x:v>
      </x:c>
      <x:c r="N3062" t="str">
        <x:v>REGULER</x:v>
      </x:c>
      <x:c r="O3062" t="str">
        <x:v>SAINTEK</x:v>
      </x:c>
      <x:c r="P3062" t="str">
        <x:v>SAINS DASAR</x:v>
      </x:c>
      <x:c r="Q3062" s="18" t="n">
        <x:v>0</x:v>
      </x:c>
      <x:c r="R3062" s="18" t="n">
        <x:v>0</x:v>
      </x:c>
      <x:c r="S3062" s="18" t="n">
        <x:v>520</x:v>
      </x:c>
      <x:c r="T3062" s="18" t="n">
        <x:v>638</x:v>
      </x:c>
      <x:c r="U3062" s="18" t="n">
        <x:v>520</x:v>
      </x:c>
      <x:c r="V3062" s="20" t="n">
        <x:v>12</x:v>
      </x:c>
      <x:c r="W3062" s="20" t="n">
        <x:v>5</x:v>
      </x:c>
      <x:c r="X3062" s="20" t="n">
        <x:v>3</x:v>
      </x:c>
      <x:c r="Y3062" t="str">
        <x:v>Basis arsip 2025/2024</x:v>
      </x:c>
      <x:c r="Z3062" t="str">
        <x:v>https://snpmb.id/utbk-snbt/daya-tampung-snbt</x:v>
      </x:c>
      <x:c r="AA3062" t="str">
        <x:v>Tidak Ada</x:v>
      </x:c>
      <x:c r="AB3062" t="str">
        <x:v>Campus=55; Ratio=0.0; Prodi=50; RelDemand=24.3; Capacity=73.3</x:v>
      </x:c>
    </x:row>
    <x:row r="3063">
      <x:c r="A3063" t="n">
        <x:v>3060</x:v>
      </x:c>
      <x:c r="B3063" t="str">
        <x:v>PTN Akademik</x:v>
      </x:c>
      <x:c r="C3063" t="str">
        <x:v>UNIVERSITAS TIMOR</x:v>
      </x:c>
      <x:c r="D3063" t="str">
        <x:v>TEKNOLOGI INFORMASI</x:v>
      </x:c>
      <x:c r="E3063" t="str">
        <x:v>Sarjana</x:v>
      </x:c>
      <x:c r="F3063" s="18" t="n">
        <x:v>64</x:v>
      </x:c>
      <x:c r="G3063" s="18" t="n">
        <x:v>263</x:v>
      </x:c>
      <x:c r="H3063" s="19" t="n">
        <x:v>4.109375</x:v>
      </x:c>
      <x:c r="I3063" s="18" t="n">
        <x:f>ROUND(MIN(Model_Config_v3!$B$6,MAX(Q3063,R3063,S3063*Model_Config_v3!$B$4+T3063*Model_Config_v3!$B$5)),0)</x:f>
        <x:v>640</x:v>
      </x:c>
      <x:c r="J3063" s="18" t="n">
        <x:f>MIN(Model_Config_v3!$B$6,I3063+Model_Config_v3!$B$7)</x:f>
        <x:v>660</x:v>
      </x:c>
      <x:c r="K3063" s="20" t="n">
        <x:v>50.9</x:v>
      </x:c>
      <x:c r="L3063" t="str">
        <x:v>MENENGAH</x:v>
      </x:c>
      <x:c r="M3063" t="str">
        <x:v>SEDANG</x:v>
      </x:c>
      <x:c r="N3063" t="str">
        <x:v>REGULER</x:v>
      </x:c>
      <x:c r="O3063" t="str">
        <x:v>SAINTEK</x:v>
      </x:c>
      <x:c r="P3063" t="str">
        <x:v>UMUM</x:v>
      </x:c>
      <x:c r="Q3063" s="18" t="n">
        <x:v>0</x:v>
      </x:c>
      <x:c r="R3063" s="18" t="n">
        <x:v>0</x:v>
      </x:c>
      <x:c r="S3063" s="18" t="n">
        <x:v>587.5153351956458</x:v>
      </x:c>
      <x:c r="T3063" s="18" t="n">
        <x:v>662</x:v>
      </x:c>
      <x:c r="U3063" s="18" t="n">
        <x:v>587.5153351956458</x:v>
      </x:c>
      <x:c r="V3063" s="20" t="n">
        <x:v>12</x:v>
      </x:c>
      <x:c r="W3063" s="20" t="n">
        <x:v>5</x:v>
      </x:c>
      <x:c r="X3063" s="20" t="n">
        <x:v>3</x:v>
      </x:c>
      <x:c r="Y3063" t="str">
        <x:v>Basis arsip 2025/2024</x:v>
      </x:c>
      <x:c r="Z3063" t="str">
        <x:v>https://snpmb.id/utbk-snbt/daya-tampung-snbt</x:v>
      </x:c>
      <x:c r="AA3063" t="str">
        <x:v>Tidak Ada</x:v>
      </x:c>
      <x:c r="AB3063" t="str">
        <x:v>Campus=55; Ratio=36.1; Prodi=40; RelDemand=100.0; Capacity=46.7</x:v>
      </x:c>
    </x:row>
    <x:row r="3064">
      <x:c r="A3064" t="n">
        <x:v>3061</x:v>
      </x:c>
      <x:c r="B3064" t="str">
        <x:v>PTN Akademik</x:v>
      </x:c>
      <x:c r="C3064" t="str">
        <x:v>UNIVERSITAS TIMOR</x:v>
      </x:c>
      <x:c r="D3064" t="str">
        <x:v>ADM. NEGARA</x:v>
      </x:c>
      <x:c r="E3064" t="str">
        <x:v>Sarjana</x:v>
      </x:c>
      <x:c r="F3064" s="18" t="n">
        <x:v>124</x:v>
      </x:c>
      <x:c r="G3064" s="18" t="n">
        <x:v>81</x:v>
      </x:c>
      <x:c r="H3064" s="19" t="n">
        <x:v>0.6532258064516129</x:v>
      </x:c>
      <x:c r="I3064" s="18" t="n">
        <x:f>ROUND(MIN(Model_Config_v3!$B$6,MAX(Q3064,R3064,S3064*Model_Config_v3!$B$4+T3064*Model_Config_v3!$B$5)),0)</x:f>
        <x:v>590</x:v>
      </x:c>
      <x:c r="J3064" s="18" t="n">
        <x:f>MIN(Model_Config_v3!$B$6,I3064+Model_Config_v3!$B$7)</x:f>
        <x:v>610</x:v>
      </x:c>
      <x:c r="K3064" s="20" t="n">
        <x:v>29.9</x:v>
      </x:c>
      <x:c r="L3064" t="str">
        <x:v>RELATIF LONGGAR</x:v>
      </x:c>
      <x:c r="M3064" t="str">
        <x:v>SEDANG</x:v>
      </x:c>
      <x:c r="N3064" t="str">
        <x:v>REGULER</x:v>
      </x:c>
      <x:c r="O3064" t="str">
        <x:v>CAMPURAN</x:v>
      </x:c>
      <x:c r="P3064" t="str">
        <x:v>UMUM</x:v>
      </x:c>
      <x:c r="Q3064" s="18" t="n">
        <x:v>0</x:v>
      </x:c>
      <x:c r="R3064" s="18" t="n">
        <x:v>0</x:v>
      </x:c>
      <x:c r="S3064" s="18" t="n">
        <x:v>520</x:v>
      </x:c>
      <x:c r="T3064" s="18" t="n">
        <x:v>620</x:v>
      </x:c>
      <x:c r="U3064" s="18" t="n">
        <x:v>520</x:v>
      </x:c>
      <x:c r="V3064" s="20" t="n">
        <x:v>8.8</x:v>
      </x:c>
      <x:c r="W3064" s="20" t="n">
        <x:v>9.9</x:v>
      </x:c>
      <x:c r="X3064" s="20" t="n">
        <x:v>3.3</x:v>
      </x:c>
      <x:c r="Y3064" t="str">
        <x:v>Basis arsip 2025/2024</x:v>
      </x:c>
      <x:c r="Z3064" t="str">
        <x:v>https://snpmb.id/utbk-snbt/daya-tampung-snbt</x:v>
      </x:c>
      <x:c r="AA3064" t="str">
        <x:v>Tidak Ada</x:v>
      </x:c>
      <x:c r="AB3064" t="str">
        <x:v>Campus=55; Ratio=0.0; Prodi=40; RelDemand=26.7; Capacity=0.0</x:v>
      </x:c>
    </x:row>
    <x:row r="3065">
      <x:c r="A3065" t="n">
        <x:v>3062</x:v>
      </x:c>
      <x:c r="B3065" t="str">
        <x:v>PTN Akademik</x:v>
      </x:c>
      <x:c r="C3065" t="str">
        <x:v>UNIVERSITAS TIMOR</x:v>
      </x:c>
      <x:c r="D3065" t="str">
        <x:v>ILMU PEMERINTAHAN</x:v>
      </x:c>
      <x:c r="E3065" t="str">
        <x:v>Sarjana</x:v>
      </x:c>
      <x:c r="F3065" s="18" t="n">
        <x:v>108</x:v>
      </x:c>
      <x:c r="G3065" s="18" t="n">
        <x:v>55</x:v>
      </x:c>
      <x:c r="H3065" s="19" t="n">
        <x:v>0.5092592592592593</x:v>
      </x:c>
      <x:c r="I3065" s="18" t="n">
        <x:f>ROUND(MIN(Model_Config_v3!$B$6,MAX(Q3065,R3065,S3065*Model_Config_v3!$B$4+T3065*Model_Config_v3!$B$5)),0)</x:f>
        <x:v>591</x:v>
      </x:c>
      <x:c r="J3065" s="18" t="n">
        <x:f>MIN(Model_Config_v3!$B$6,I3065+Model_Config_v3!$B$7)</x:f>
        <x:v>611</x:v>
      </x:c>
      <x:c r="K3065" s="20" t="n">
        <x:v>30.3</x:v>
      </x:c>
      <x:c r="L3065" t="str">
        <x:v>RELATIF LONGGAR</x:v>
      </x:c>
      <x:c r="M3065" t="str">
        <x:v>SEDANG</x:v>
      </x:c>
      <x:c r="N3065" t="str">
        <x:v>REGULER</x:v>
      </x:c>
      <x:c r="O3065" t="str">
        <x:v>CAMPURAN</x:v>
      </x:c>
      <x:c r="P3065" t="str">
        <x:v>UMUM</x:v>
      </x:c>
      <x:c r="Q3065" s="18" t="n">
        <x:v>0</x:v>
      </x:c>
      <x:c r="R3065" s="18" t="n">
        <x:v>0</x:v>
      </x:c>
      <x:c r="S3065" s="18" t="n">
        <x:v>520</x:v>
      </x:c>
      <x:c r="T3065" s="18" t="n">
        <x:v>621</x:v>
      </x:c>
      <x:c r="U3065" s="18" t="n">
        <x:v>520</x:v>
      </x:c>
      <x:c r="V3065" s="20" t="n">
        <x:v>8.8</x:v>
      </x:c>
      <x:c r="W3065" s="20" t="n">
        <x:v>9.9</x:v>
      </x:c>
      <x:c r="X3065" s="20" t="n">
        <x:v>3.3</x:v>
      </x:c>
      <x:c r="Y3065" t="str">
        <x:v>Basis arsip 2025/2024</x:v>
      </x:c>
      <x:c r="Z3065" t="str">
        <x:v>https://snpmb.id/utbk-snbt/daya-tampung-snbt</x:v>
      </x:c>
      <x:c r="AA3065" t="str">
        <x:v>Tidak Ada</x:v>
      </x:c>
      <x:c r="AB3065" t="str">
        <x:v>Campus=55; Ratio=0.0; Prodi=40; RelDemand=20.8; Capacity=10.0</x:v>
      </x:c>
    </x:row>
    <x:row r="3066">
      <x:c r="A3066" t="n">
        <x:v>3063</x:v>
      </x:c>
      <x:c r="B3066" t="str">
        <x:v>PTN Akademik</x:v>
      </x:c>
      <x:c r="C3066" t="str">
        <x:v>UNIVERSITAS TIMOR</x:v>
      </x:c>
      <x:c r="D3066" t="str">
        <x:v>PEND. BAHASA INDONESIA</x:v>
      </x:c>
      <x:c r="E3066" t="str">
        <x:v>Sarjana</x:v>
      </x:c>
      <x:c r="F3066" s="18" t="n">
        <x:v>72</x:v>
      </x:c>
      <x:c r="G3066" s="18" t="n">
        <x:v>100</x:v>
      </x:c>
      <x:c r="H3066" s="19" t="n">
        <x:v>1.3888888888888888</x:v>
      </x:c>
      <x:c r="I3066" s="18" t="n">
        <x:f>ROUND(MIN(Model_Config_v3!$B$6,MAX(Q3066,R3066,S3066*Model_Config_v3!$B$4+T3066*Model_Config_v3!$B$5)),0)</x:f>
        <x:v>609</x:v>
      </x:c>
      <x:c r="J3066" s="18" t="n">
        <x:f>MIN(Model_Config_v3!$B$6,I3066+Model_Config_v3!$B$7)</x:f>
        <x:v>629</x:v>
      </x:c>
      <x:c r="K3066" s="20" t="n">
        <x:v>40</x:v>
      </x:c>
      <x:c r="L3066" t="str">
        <x:v>RELATIF LONGGAR</x:v>
      </x:c>
      <x:c r="M3066" t="str">
        <x:v>SEDANG+</x:v>
      </x:c>
      <x:c r="N3066" t="str">
        <x:v>REGULER</x:v>
      </x:c>
      <x:c r="O3066" t="str">
        <x:v>SOSHUM</x:v>
      </x:c>
      <x:c r="P3066" t="str">
        <x:v>PENDIDIKAN</x:v>
      </x:c>
      <x:c r="Q3066" s="18" t="n">
        <x:v>0</x:v>
      </x:c>
      <x:c r="R3066" s="18" t="n">
        <x:v>0</x:v>
      </x:c>
      <x:c r="S3066" s="18" t="n">
        <x:v>535.6934253925605</x:v>
      </x:c>
      <x:c r="T3066" s="18" t="n">
        <x:v>640</x:v>
      </x:c>
      <x:c r="U3066" s="18" t="n">
        <x:v>535.6934253925605</x:v>
      </x:c>
      <x:c r="V3066" s="20" t="n">
        <x:v>4.4</x:v>
      </x:c>
      <x:c r="W3066" s="20" t="n">
        <x:v>14.3</x:v>
      </x:c>
      <x:c r="X3066" s="20" t="n">
        <x:v>3.3</x:v>
      </x:c>
      <x:c r="Y3066" t="str">
        <x:v>Basis arsip 2025/2024</x:v>
      </x:c>
      <x:c r="Z3066" t="str">
        <x:v>https://snpmb.id/utbk-snbt/daya-tampung-snbt</x:v>
      </x:c>
      <x:c r="AA3066" t="str">
        <x:v>Tidak Ada</x:v>
      </x:c>
      <x:c r="AB3066" t="str">
        <x:v>Campus=55; Ratio=8.4; Prodi=45; RelDemand=56.8; Capacity=40.0</x:v>
      </x:c>
    </x:row>
    <x:row r="3067">
      <x:c r="A3067" t="n">
        <x:v>3064</x:v>
      </x:c>
      <x:c r="B3067" t="str">
        <x:v>PTN Akademik</x:v>
      </x:c>
      <x:c r="C3067" t="str">
        <x:v>UNIVERSITAS TIMOR</x:v>
      </x:c>
      <x:c r="D3067" t="str">
        <x:v>PEND. BAHASA INGGRIS</x:v>
      </x:c>
      <x:c r="E3067" t="str">
        <x:v>Sarjana</x:v>
      </x:c>
      <x:c r="F3067" s="18" t="n">
        <x:v>68</x:v>
      </x:c>
      <x:c r="G3067" s="18" t="n">
        <x:v>48</x:v>
      </x:c>
      <x:c r="H3067" s="19" t="n">
        <x:v>0.7058823529411765</x:v>
      </x:c>
      <x:c r="I3067" s="18" t="n">
        <x:f>ROUND(MIN(Model_Config_v3!$B$6,MAX(Q3067,R3067,S3067*Model_Config_v3!$B$4+T3067*Model_Config_v3!$B$5)),0)</x:f>
        <x:v>598</x:v>
      </x:c>
      <x:c r="J3067" s="18" t="n">
        <x:f>MIN(Model_Config_v3!$B$6,I3067+Model_Config_v3!$B$7)</x:f>
        <x:v>618</x:v>
      </x:c>
      <x:c r="K3067" s="20" t="n">
        <x:v>35.5</x:v>
      </x:c>
      <x:c r="L3067" t="str">
        <x:v>RELATIF LONGGAR</x:v>
      </x:c>
      <x:c r="M3067" t="str">
        <x:v>SEDANG+</x:v>
      </x:c>
      <x:c r="N3067" t="str">
        <x:v>REGULER</x:v>
      </x:c>
      <x:c r="O3067" t="str">
        <x:v>SOSHUM</x:v>
      </x:c>
      <x:c r="P3067" t="str">
        <x:v>PENDIDIKAN</x:v>
      </x:c>
      <x:c r="Q3067" s="18" t="n">
        <x:v>0</x:v>
      </x:c>
      <x:c r="R3067" s="18" t="n">
        <x:v>0</x:v>
      </x:c>
      <x:c r="S3067" s="18" t="n">
        <x:v>520</x:v>
      </x:c>
      <x:c r="T3067" s="18" t="n">
        <x:v>631</x:v>
      </x:c>
      <x:c r="U3067" s="18" t="n">
        <x:v>520</x:v>
      </x:c>
      <x:c r="V3067" s="20" t="n">
        <x:v>4.4</x:v>
      </x:c>
      <x:c r="W3067" s="20" t="n">
        <x:v>14.3</x:v>
      </x:c>
      <x:c r="X3067" s="20" t="n">
        <x:v>3.3</x:v>
      </x:c>
      <x:c r="Y3067" t="str">
        <x:v>Basis arsip 2025/2024</x:v>
      </x:c>
      <x:c r="Z3067" t="str">
        <x:v>https://snpmb.id/utbk-snbt/daya-tampung-snbt</x:v>
      </x:c>
      <x:c r="AA3067" t="str">
        <x:v>Tidak Ada</x:v>
      </x:c>
      <x:c r="AB3067" t="str">
        <x:v>Campus=55; Ratio=0.0; Prodi=45; RelDemand=28.9; Capacity=43.3</x:v>
      </x:c>
    </x:row>
    <x:row r="3068">
      <x:c r="A3068" t="n">
        <x:v>3065</x:v>
      </x:c>
      <x:c r="B3068" t="str">
        <x:v>PTN Akademik</x:v>
      </x:c>
      <x:c r="C3068" t="str">
        <x:v>UNIVERSITAS TIMOR</x:v>
      </x:c>
      <x:c r="D3068" t="str">
        <x:v>MANAJEMEN</x:v>
      </x:c>
      <x:c r="E3068" t="str">
        <x:v>Sarjana</x:v>
      </x:c>
      <x:c r="F3068" s="18" t="n">
        <x:v>120</x:v>
      </x:c>
      <x:c r="G3068" s="18" t="n">
        <x:v>171</x:v>
      </x:c>
      <x:c r="H3068" s="19" t="n">
        <x:v>1.425</x:v>
      </x:c>
      <x:c r="I3068" s="18" t="n">
        <x:f>ROUND(MIN(Model_Config_v3!$B$6,MAX(Q3068,R3068,S3068*Model_Config_v3!$B$4+T3068*Model_Config_v3!$B$5)),0)</x:f>
        <x:v>610</x:v>
      </x:c>
      <x:c r="J3068" s="18" t="n">
        <x:f>MIN(Model_Config_v3!$B$6,I3068+Model_Config_v3!$B$7)</x:f>
        <x:v>630</x:v>
      </x:c>
      <x:c r="K3068" s="20" t="n">
        <x:v>40.3</x:v>
      </x:c>
      <x:c r="L3068" t="str">
        <x:v>RELATIF LONGGAR</x:v>
      </x:c>
      <x:c r="M3068" t="str">
        <x:v>SEDANG+</x:v>
      </x:c>
      <x:c r="N3068" t="str">
        <x:v>REGULER</x:v>
      </x:c>
      <x:c r="O3068" t="str">
        <x:v>SOSHUM</x:v>
      </x:c>
      <x:c r="P3068" t="str">
        <x:v>BISNIS/EKONOMI/AKUNTANSI</x:v>
      </x:c>
      <x:c r="Q3068" s="18" t="n">
        <x:v>0</x:v>
      </x:c>
      <x:c r="R3068" s="18" t="n">
        <x:v>0</x:v>
      </x:c>
      <x:c r="S3068" s="18" t="n">
        <x:v>536.9196350778982</x:v>
      </x:c>
      <x:c r="T3068" s="18" t="n">
        <x:v>641</x:v>
      </x:c>
      <x:c r="U3068" s="18" t="n">
        <x:v>551.9196350778982</x:v>
      </x:c>
      <x:c r="V3068" s="20" t="n">
        <x:v>4.4</x:v>
      </x:c>
      <x:c r="W3068" s="20" t="n">
        <x:v>14.3</x:v>
      </x:c>
      <x:c r="X3068" s="20" t="n">
        <x:v>3.3</x:v>
      </x:c>
      <x:c r="Y3068" t="str">
        <x:v>Basis arsip 2025/2024</x:v>
      </x:c>
      <x:c r="Z3068" t="str">
        <x:v>https://snpmb.id/utbk-snbt/daya-tampung-snbt</x:v>
      </x:c>
      <x:c r="AA3068" t="str">
        <x:v>Tidak Ada</x:v>
      </x:c>
      <x:c r="AB3068" t="str">
        <x:v>Campus=55; Ratio=9.1; Prodi=65; RelDemand=58.3; Capacity=0.0</x:v>
      </x:c>
    </x:row>
    <x:row r="3069">
      <x:c r="A3069" t="n">
        <x:v>3066</x:v>
      </x:c>
      <x:c r="B3069" t="str">
        <x:v>PTN Akademik</x:v>
      </x:c>
      <x:c r="C3069" t="str">
        <x:v>UNIVERSITAS TIMOR</x:v>
      </x:c>
      <x:c r="D3069" t="str">
        <x:v>EKO. PEMBANGUNAN</x:v>
      </x:c>
      <x:c r="E3069" t="str">
        <x:v>Sarjana</x:v>
      </x:c>
      <x:c r="F3069" s="18" t="n">
        <x:v>96</x:v>
      </x:c>
      <x:c r="G3069" s="18" t="n">
        <x:v>49</x:v>
      </x:c>
      <x:c r="H3069" s="19" t="n">
        <x:v>0.5104166666666666</x:v>
      </x:c>
      <x:c r="I3069" s="18" t="n">
        <x:f>ROUND(MIN(Model_Config_v3!$B$6,MAX(Q3069,R3069,S3069*Model_Config_v3!$B$4+T3069*Model_Config_v3!$B$5)),0)</x:f>
        <x:v>592</x:v>
      </x:c>
      <x:c r="J3069" s="18" t="n">
        <x:f>MIN(Model_Config_v3!$B$6,I3069+Model_Config_v3!$B$7)</x:f>
        <x:v>612</x:v>
      </x:c>
      <x:c r="K3069" s="20" t="n">
        <x:v>31.3</x:v>
      </x:c>
      <x:c r="L3069" t="str">
        <x:v>RELATIF LONGGAR</x:v>
      </x:c>
      <x:c r="M3069" t="str">
        <x:v>SEDANG</x:v>
      </x:c>
      <x:c r="N3069" t="str">
        <x:v>REGULER</x:v>
      </x:c>
      <x:c r="O3069" t="str">
        <x:v>CAMPURAN</x:v>
      </x:c>
      <x:c r="P3069" t="str">
        <x:v>UMUM</x:v>
      </x:c>
      <x:c r="Q3069" s="18" t="n">
        <x:v>0</x:v>
      </x:c>
      <x:c r="R3069" s="18" t="n">
        <x:v>0</x:v>
      </x:c>
      <x:c r="S3069" s="18" t="n">
        <x:v>520</x:v>
      </x:c>
      <x:c r="T3069" s="18" t="n">
        <x:v>623</x:v>
      </x:c>
      <x:c r="U3069" s="18" t="n">
        <x:v>520</x:v>
      </x:c>
      <x:c r="V3069" s="20" t="n">
        <x:v>8.8</x:v>
      </x:c>
      <x:c r="W3069" s="20" t="n">
        <x:v>9.9</x:v>
      </x:c>
      <x:c r="X3069" s="20" t="n">
        <x:v>3.3</x:v>
      </x:c>
      <x:c r="Y3069" t="str">
        <x:v>Basis arsip 2025/2024</x:v>
      </x:c>
      <x:c r="Z3069" t="str">
        <x:v>https://snpmb.id/utbk-snbt/daya-tampung-snbt</x:v>
      </x:c>
      <x:c r="AA3069" t="str">
        <x:v>Tidak Ada</x:v>
      </x:c>
      <x:c r="AB3069" t="str">
        <x:v>Campus=55; Ratio=0.0; Prodi=40; RelDemand=20.9; Capacity=20.0</x:v>
      </x:c>
    </x:row>
    <x:row r="3070">
      <x:c r="A3070" t="n">
        <x:v>3067</x:v>
      </x:c>
      <x:c r="B3070" t="str">
        <x:v>PTN Akademik</x:v>
      </x:c>
      <x:c r="C3070" t="str">
        <x:v>UNIVERSITAS TIMOR</x:v>
      </x:c>
      <x:c r="D3070" t="str">
        <x:v>KEPERAWATAN</x:v>
      </x:c>
      <x:c r="E3070" t="str">
        <x:v>Diploma Tiga</x:v>
      </x:c>
      <x:c r="F3070" s="18" t="n">
        <x:v>36</x:v>
      </x:c>
      <x:c r="G3070" s="18" t="n">
        <x:v>143</x:v>
      </x:c>
      <x:c r="H3070" s="19" t="n">
        <x:v>3.9722222222222223</x:v>
      </x:c>
      <x:c r="I3070" s="18" t="n">
        <x:f>ROUND(MIN(Model_Config_v3!$B$6,MAX(Q3070,R3070,S3070*Model_Config_v3!$B$4+T3070*Model_Config_v3!$B$5)),0)</x:f>
        <x:v>646</x:v>
      </x:c>
      <x:c r="J3070" s="18" t="n">
        <x:f>MIN(Model_Config_v3!$B$6,I3070+Model_Config_v3!$B$7)</x:f>
        <x:v>666</x:v>
      </x:c>
      <x:c r="K3070" s="20" t="n">
        <x:v>56.1</x:v>
      </x:c>
      <x:c r="L3070" t="str">
        <x:v>KETAT</x:v>
      </x:c>
      <x:c r="M3070" t="str">
        <x:v>SEDANG+</x:v>
      </x:c>
      <x:c r="N3070" t="str">
        <x:v>REGULER</x:v>
      </x:c>
      <x:c r="O3070" t="str">
        <x:v>SAINTEK</x:v>
      </x:c>
      <x:c r="P3070" t="str">
        <x:v>KESEHAT/GIZI/KEPERAWATAN</x:v>
      </x:c>
      <x:c r="Q3070" s="18" t="n">
        <x:v>0</x:v>
      </x:c>
      <x:c r="R3070" s="18" t="n">
        <x:v>0</x:v>
      </x:c>
      <x:c r="S3070" s="18" t="n">
        <x:v>585.8936890367552</x:v>
      </x:c>
      <x:c r="T3070" s="18" t="n">
        <x:v>672</x:v>
      </x:c>
      <x:c r="U3070" s="18" t="n">
        <x:v>585.8936890367552</x:v>
      </x:c>
      <x:c r="V3070" s="20" t="n">
        <x:v>12</x:v>
      </x:c>
      <x:c r="W3070" s="20" t="n">
        <x:v>5</x:v>
      </x:c>
      <x:c r="X3070" s="20" t="n">
        <x:v>3</x:v>
      </x:c>
      <x:c r="Y3070" t="str">
        <x:v>Basis arsip 2025/2024</x:v>
      </x:c>
      <x:c r="Z3070" t="str">
        <x:v>https://snpmb.id/utbk-snbt/daya-tampung-snbt</x:v>
      </x:c>
      <x:c r="AA3070" t="str">
        <x:v>Tidak Ada</x:v>
      </x:c>
      <x:c r="AB3070" t="str">
        <x:v>Campus=55; Ratio=35.3; Prodi=55; RelDemand=100.0; Capacity=70.0</x:v>
      </x:c>
    </x:row>
    <x:row r="3071">
      <x:c r="A3071" t="n">
        <x:v>3068</x:v>
      </x:c>
      <x:c r="B3071" t="str">
        <x:v>PTN Akademik</x:v>
      </x:c>
      <x:c r="C3071" t="str">
        <x:v>UNIVERSITAS HASANUDDIN</x:v>
      </x:c>
      <x:c r="D3071" t="str">
        <x:v>MATEMATIKA</x:v>
      </x:c>
      <x:c r="E3071" t="str">
        <x:v>Sarjana</x:v>
      </x:c>
      <x:c r="F3071" s="18" t="n">
        <x:v>60</x:v>
      </x:c>
      <x:c r="G3071" s="18" t="n">
        <x:v>131</x:v>
      </x:c>
      <x:c r="H3071" s="19" t="n">
        <x:v>2.183333333333333</x:v>
      </x:c>
      <x:c r="I3071" s="18" t="n">
        <x:f>ROUND(MIN(Model_Config_v3!$B$6,MAX(Q3071,R3071,S3071*Model_Config_v3!$B$4+T3071*Model_Config_v3!$B$5)),0)</x:f>
        <x:v>635</x:v>
      </x:c>
      <x:c r="J3071" s="18" t="n">
        <x:f>MIN(Model_Config_v3!$B$6,I3071+Model_Config_v3!$B$7)</x:f>
        <x:v>655</x:v>
      </x:c>
      <x:c r="K3071" s="20" t="n">
        <x:v>49.4</x:v>
      </x:c>
      <x:c r="L3071" t="str">
        <x:v>MENENGAH</x:v>
      </x:c>
      <x:c r="M3071" t="str">
        <x:v>SEDANG+</x:v>
      </x:c>
      <x:c r="N3071" t="str">
        <x:v>ELITE-3</x:v>
      </x:c>
      <x:c r="O3071" t="str">
        <x:v>SAINTEK</x:v>
      </x:c>
      <x:c r="P3071" t="str">
        <x:v>SAINS DASAR</x:v>
      </x:c>
      <x:c r="Q3071" s="18" t="n">
        <x:v>635</x:v>
      </x:c>
      <x:c r="R3071" s="18" t="n">
        <x:v>0</x:v>
      </x:c>
      <x:c r="S3071" s="18" t="n">
        <x:v>557.3032049799333</x:v>
      </x:c>
      <x:c r="T3071" s="18" t="n">
        <x:v>659</x:v>
      </x:c>
      <x:c r="U3071" s="18" t="n">
        <x:v>635</x:v>
      </x:c>
      <x:c r="V3071" s="20" t="n">
        <x:v>12</x:v>
      </x:c>
      <x:c r="W3071" s="20" t="n">
        <x:v>5</x:v>
      </x:c>
      <x:c r="X3071" s="20" t="n">
        <x:v>3</x:v>
      </x:c>
      <x:c r="Y3071" t="str">
        <x:v>Basis arsip 2025/2024</x:v>
      </x:c>
      <x:c r="Z3071" t="str">
        <x:v>https://snpmb.id/utbk-snbt/daya-tampung-snbt</x:v>
      </x:c>
      <x:c r="AA3071" t="str">
        <x:v>Tidak Ada</x:v>
      </x:c>
      <x:c r="AB3071" t="str">
        <x:v>Campus=80; Ratio=20.0; Prodi=50; RelDemand=14.1; Capacity=50.0</x:v>
      </x:c>
    </x:row>
    <x:row r="3072">
      <x:c r="A3072" t="n">
        <x:v>3069</x:v>
      </x:c>
      <x:c r="B3072" t="str">
        <x:v>PTN Akademik</x:v>
      </x:c>
      <x:c r="C3072" t="str">
        <x:v>UNIVERSITAS HASANUDDIN</x:v>
      </x:c>
      <x:c r="D3072" t="str">
        <x:v>FISIKA</x:v>
      </x:c>
      <x:c r="E3072" t="str">
        <x:v>Sarjana</x:v>
      </x:c>
      <x:c r="F3072" s="18" t="n">
        <x:v>63</x:v>
      </x:c>
      <x:c r="G3072" s="18" t="n">
        <x:v>97</x:v>
      </x:c>
      <x:c r="H3072" s="19" t="n">
        <x:v>1.5396825396825398</x:v>
      </x:c>
      <x:c r="I3072" s="18" t="n">
        <x:f>ROUND(MIN(Model_Config_v3!$B$6,MAX(Q3072,R3072,S3072*Model_Config_v3!$B$4+T3072*Model_Config_v3!$B$5)),0)</x:f>
        <x:v>635</x:v>
      </x:c>
      <x:c r="J3072" s="18" t="n">
        <x:f>MIN(Model_Config_v3!$B$6,I3072+Model_Config_v3!$B$7)</x:f>
        <x:v>655</x:v>
      </x:c>
      <x:c r="K3072" s="20" t="n">
        <x:v>46.5</x:v>
      </x:c>
      <x:c r="L3072" t="str">
        <x:v>MENENGAH</x:v>
      </x:c>
      <x:c r="M3072" t="str">
        <x:v>SEDANG+</x:v>
      </x:c>
      <x:c r="N3072" t="str">
        <x:v>ELITE-3</x:v>
      </x:c>
      <x:c r="O3072" t="str">
        <x:v>SAINTEK</x:v>
      </x:c>
      <x:c r="P3072" t="str">
        <x:v>SAINS DASAR</x:v>
      </x:c>
      <x:c r="Q3072" s="18" t="n">
        <x:v>635</x:v>
      </x:c>
      <x:c r="R3072" s="18" t="n">
        <x:v>0</x:v>
      </x:c>
      <x:c r="S3072" s="18" t="n">
        <x:v>540.617430329393</x:v>
      </x:c>
      <x:c r="T3072" s="18" t="n">
        <x:v>653</x:v>
      </x:c>
      <x:c r="U3072" s="18" t="n">
        <x:v>635</x:v>
      </x:c>
      <x:c r="V3072" s="20" t="n">
        <x:v>12</x:v>
      </x:c>
      <x:c r="W3072" s="20" t="n">
        <x:v>5</x:v>
      </x:c>
      <x:c r="X3072" s="20" t="n">
        <x:v>3</x:v>
      </x:c>
      <x:c r="Y3072" t="str">
        <x:v>Basis arsip 2025/2024</x:v>
      </x:c>
      <x:c r="Z3072" t="str">
        <x:v>https://snpmb.id/utbk-snbt/daya-tampung-snbt</x:v>
      </x:c>
      <x:c r="AA3072" t="str">
        <x:v>Tidak Ada</x:v>
      </x:c>
      <x:c r="AB3072" t="str">
        <x:v>Campus=80; Ratio=11.0; Prodi=50; RelDemand=9.9; Capacity=47.5</x:v>
      </x:c>
    </x:row>
    <x:row r="3073">
      <x:c r="A3073" t="n">
        <x:v>3070</x:v>
      </x:c>
      <x:c r="B3073" t="str">
        <x:v>PTN Akademik</x:v>
      </x:c>
      <x:c r="C3073" t="str">
        <x:v>UNIVERSITAS HASANUDDIN</x:v>
      </x:c>
      <x:c r="D3073" t="str">
        <x:v>KESEHATAN MASYARAKAT</x:v>
      </x:c>
      <x:c r="E3073" t="str">
        <x:v>Sarjana</x:v>
      </x:c>
      <x:c r="F3073" s="18" t="n">
        <x:v>175</x:v>
      </x:c>
      <x:c r="G3073" s="18" t="n">
        <x:v>1938</x:v>
      </x:c>
      <x:c r="H3073" s="19" t="n">
        <x:v>11.074285714285715</x:v>
      </x:c>
      <x:c r="I3073" s="18" t="n">
        <x:f>ROUND(MIN(Model_Config_v3!$B$6,MAX(Q3073,R3073,S3073*Model_Config_v3!$B$4+T3073*Model_Config_v3!$B$5)),0)</x:f>
        <x:v>669</x:v>
      </x:c>
      <x:c r="J3073" s="18" t="n">
        <x:f>MIN(Model_Config_v3!$B$6,I3073+Model_Config_v3!$B$7)</x:f>
        <x:v>689</x:v>
      </x:c>
      <x:c r="K3073" s="20" t="n">
        <x:v>61.5</x:v>
      </x:c>
      <x:c r="L3073" t="str">
        <x:v>KETAT</x:v>
      </x:c>
      <x:c r="M3073" t="str">
        <x:v>SEDANG+</x:v>
      </x:c>
      <x:c r="N3073" t="str">
        <x:v>ELITE-3</x:v>
      </x:c>
      <x:c r="O3073" t="str">
        <x:v>SAINTEK</x:v>
      </x:c>
      <x:c r="P3073" t="str">
        <x:v>KESEHAT/GIZI/KEPERAWATAN</x:v>
      </x:c>
      <x:c r="Q3073" s="18" t="n">
        <x:v>635</x:v>
      </x:c>
      <x:c r="R3073" s="18" t="n">
        <x:v>0</x:v>
      </x:c>
      <x:c r="S3073" s="18" t="n">
        <x:v>634.8747296431297</x:v>
      </x:c>
      <x:c r="T3073" s="18" t="n">
        <x:v>683</x:v>
      </x:c>
      <x:c r="U3073" s="18" t="n">
        <x:v>635</x:v>
      </x:c>
      <x:c r="V3073" s="20" t="n">
        <x:v>12</x:v>
      </x:c>
      <x:c r="W3073" s="20" t="n">
        <x:v>5</x:v>
      </x:c>
      <x:c r="X3073" s="20" t="n">
        <x:v>3</x:v>
      </x:c>
      <x:c r="Y3073" t="str">
        <x:v>Basis arsip 2025/2024</x:v>
      </x:c>
      <x:c r="Z3073" t="str">
        <x:v>https://snpmb.id/utbk-snbt/daya-tampung-snbt</x:v>
      </x:c>
      <x:c r="AA3073" t="str">
        <x:v>Tidak Ada</x:v>
      </x:c>
      <x:c r="AB3073" t="str">
        <x:v>Campus=80; Ratio=61.5; Prodi=55; RelDemand=71.3; Capacity=0.0</x:v>
      </x:c>
    </x:row>
    <x:row r="3074">
      <x:c r="A3074" t="n">
        <x:v>3071</x:v>
      </x:c>
      <x:c r="B3074" t="str">
        <x:v>PTN Akademik</x:v>
      </x:c>
      <x:c r="C3074" t="str">
        <x:v>UNIVERSITAS HASANUDDIN</x:v>
      </x:c>
      <x:c r="D3074" t="str">
        <x:v>FARMASI</x:v>
      </x:c>
      <x:c r="E3074" t="str">
        <x:v>Sarjana</x:v>
      </x:c>
      <x:c r="F3074" s="18" t="n">
        <x:v>80</x:v>
      </x:c>
      <x:c r="G3074" s="18" t="n">
        <x:v>2089</x:v>
      </x:c>
      <x:c r="H3074" s="19" t="n">
        <x:v>26.1125</x:v>
      </x:c>
      <x:c r="I3074" s="18" t="n">
        <x:f>ROUND(MIN(Model_Config_v3!$B$6,MAX(Q3074,R3074,S3074*Model_Config_v3!$B$4+T3074*Model_Config_v3!$B$5)),0)</x:f>
        <x:v>703</x:v>
      </x:c>
      <x:c r="J3074" s="18" t="n">
        <x:f>MIN(Model_Config_v3!$B$6,I3074+Model_Config_v3!$B$7)</x:f>
        <x:v>723</x:v>
      </x:c>
      <x:c r="K3074" s="20" t="n">
        <x:v>77.2</x:v>
      </x:c>
      <x:c r="L3074" t="str">
        <x:v>ELITE</x:v>
      </x:c>
      <x:c r="M3074" t="str">
        <x:v>SEDANG+</x:v>
      </x:c>
      <x:c r="N3074" t="str">
        <x:v>ELITE-3</x:v>
      </x:c>
      <x:c r="O3074" t="str">
        <x:v>SAINTEK</x:v>
      </x:c>
      <x:c r="P3074" t="str">
        <x:v>FARMASI</x:v>
      </x:c>
      <x:c r="Q3074" s="18" t="n">
        <x:v>635</x:v>
      </x:c>
      <x:c r="R3074" s="18" t="n">
        <x:v>660</x:v>
      </x:c>
      <x:c r="S3074" s="18" t="n">
        <x:v>675.8533298287201</x:v>
      </x:c>
      <x:c r="T3074" s="18" t="n">
        <x:v>714</x:v>
      </x:c>
      <x:c r="U3074" s="18" t="n">
        <x:v>695.8533298287201</x:v>
      </x:c>
      <x:c r="V3074" s="20" t="n">
        <x:v>12</x:v>
      </x:c>
      <x:c r="W3074" s="20" t="n">
        <x:v>5</x:v>
      </x:c>
      <x:c r="X3074" s="20" t="n">
        <x:v>3</x:v>
      </x:c>
      <x:c r="Y3074" t="str">
        <x:v>Basis arsip 2025/2024</x:v>
      </x:c>
      <x:c r="Z3074" t="str">
        <x:v>https://snpmb.id/utbk-snbt/daya-tampung-snbt</x:v>
      </x:c>
      <x:c r="AA3074" t="str">
        <x:v>Tidak Ada</x:v>
      </x:c>
      <x:c r="AB3074" t="str">
        <x:v>Campus=80; Ratio=83.4; Prodi=75; RelDemand=100.0; Capacity=33.3</x:v>
      </x:c>
    </x:row>
    <x:row r="3075">
      <x:c r="A3075" t="n">
        <x:v>3072</x:v>
      </x:c>
      <x:c r="B3075" t="str">
        <x:v>PTN Akademik</x:v>
      </x:c>
      <x:c r="C3075" t="str">
        <x:v>UNIVERSITAS HASANUDDIN</x:v>
      </x:c>
      <x:c r="D3075" t="str">
        <x:v>KIMIA</x:v>
      </x:c>
      <x:c r="E3075" t="str">
        <x:v>Sarjana</x:v>
      </x:c>
      <x:c r="F3075" s="18" t="n">
        <x:v>66</x:v>
      </x:c>
      <x:c r="G3075" s="18" t="n">
        <x:v>177</x:v>
      </x:c>
      <x:c r="H3075" s="19" t="n">
        <x:v>2.6818181818181817</x:v>
      </x:c>
      <x:c r="I3075" s="18" t="n">
        <x:f>ROUND(MIN(Model_Config_v3!$B$6,MAX(Q3075,R3075,S3075*Model_Config_v3!$B$4+T3075*Model_Config_v3!$B$5)),0)</x:f>
        <x:v>635</x:v>
      </x:c>
      <x:c r="J3075" s="18" t="n">
        <x:f>MIN(Model_Config_v3!$B$6,I3075+Model_Config_v3!$B$7)</x:f>
        <x:v>655</x:v>
      </x:c>
      <x:c r="K3075" s="20" t="n">
        <x:v>50.5</x:v>
      </x:c>
      <x:c r="L3075" t="str">
        <x:v>MENENGAH</x:v>
      </x:c>
      <x:c r="M3075" t="str">
        <x:v>SEDANG+</x:v>
      </x:c>
      <x:c r="N3075" t="str">
        <x:v>ELITE-3</x:v>
      </x:c>
      <x:c r="O3075" t="str">
        <x:v>SAINTEK</x:v>
      </x:c>
      <x:c r="P3075" t="str">
        <x:v>SAINS DASAR</x:v>
      </x:c>
      <x:c r="Q3075" s="18" t="n">
        <x:v>635</x:v>
      </x:c>
      <x:c r="R3075" s="18" t="n">
        <x:v>0</x:v>
      </x:c>
      <x:c r="S3075" s="18" t="n">
        <x:v>567.1272263901932</x:v>
      </x:c>
      <x:c r="T3075" s="18" t="n">
        <x:v>661</x:v>
      </x:c>
      <x:c r="U3075" s="18" t="n">
        <x:v>635</x:v>
      </x:c>
      <x:c r="V3075" s="20" t="n">
        <x:v>12</x:v>
      </x:c>
      <x:c r="W3075" s="20" t="n">
        <x:v>5</x:v>
      </x:c>
      <x:c r="X3075" s="20" t="n">
        <x:v>3</x:v>
      </x:c>
      <x:c r="Y3075" t="str">
        <x:v>Basis arsip 2025/2024</x:v>
      </x:c>
      <x:c r="Z3075" t="str">
        <x:v>https://snpmb.id/utbk-snbt/daya-tampung-snbt</x:v>
      </x:c>
      <x:c r="AA3075" t="str">
        <x:v>Tidak Ada</x:v>
      </x:c>
      <x:c r="AB3075" t="str">
        <x:v>Campus=80; Ratio=25.2; Prodi=50; RelDemand=17.3; Capacity=45.0</x:v>
      </x:c>
    </x:row>
    <x:row r="3076">
      <x:c r="A3076" t="n">
        <x:v>3073</x:v>
      </x:c>
      <x:c r="B3076" t="str">
        <x:v>PTN Akademik</x:v>
      </x:c>
      <x:c r="C3076" t="str">
        <x:v>UNIVERSITAS HASANUDDIN</x:v>
      </x:c>
      <x:c r="D3076" t="str">
        <x:v>BIOLOGI</x:v>
      </x:c>
      <x:c r="E3076" t="str">
        <x:v>Sarjana</x:v>
      </x:c>
      <x:c r="F3076" s="18" t="n">
        <x:v>78</x:v>
      </x:c>
      <x:c r="G3076" s="18" t="n">
        <x:v>167</x:v>
      </x:c>
      <x:c r="H3076" s="19" t="n">
        <x:v>2.141025641025641</x:v>
      </x:c>
      <x:c r="I3076" s="18" t="n">
        <x:f>ROUND(MIN(Model_Config_v3!$B$6,MAX(Q3076,R3076,S3076*Model_Config_v3!$B$4+T3076*Model_Config_v3!$B$5)),0)</x:f>
        <x:v>635</x:v>
      </x:c>
      <x:c r="J3076" s="18" t="n">
        <x:f>MIN(Model_Config_v3!$B$6,I3076+Model_Config_v3!$B$7)</x:f>
        <x:v>655</x:v>
      </x:c>
      <x:c r="K3076" s="20" t="n">
        <x:v>47.7</x:v>
      </x:c>
      <x:c r="L3076" t="str">
        <x:v>MENENGAH</x:v>
      </x:c>
      <x:c r="M3076" t="str">
        <x:v>SEDANG+</x:v>
      </x:c>
      <x:c r="N3076" t="str">
        <x:v>ELITE-3</x:v>
      </x:c>
      <x:c r="O3076" t="str">
        <x:v>SAINTEK</x:v>
      </x:c>
      <x:c r="P3076" t="str">
        <x:v>SAINS DASAR</x:v>
      </x:c>
      <x:c r="Q3076" s="18" t="n">
        <x:v>635</x:v>
      </x:c>
      <x:c r="R3076" s="18" t="n">
        <x:v>0</x:v>
      </x:c>
      <x:c r="S3076" s="18" t="n">
        <x:v>556.3684055302813</x:v>
      </x:c>
      <x:c r="T3076" s="18" t="n">
        <x:v>655</x:v>
      </x:c>
      <x:c r="U3076" s="18" t="n">
        <x:v>635</x:v>
      </x:c>
      <x:c r="V3076" s="20" t="n">
        <x:v>12</x:v>
      </x:c>
      <x:c r="W3076" s="20" t="n">
        <x:v>5</x:v>
      </x:c>
      <x:c r="X3076" s="20" t="n">
        <x:v>3</x:v>
      </x:c>
      <x:c r="Y3076" t="str">
        <x:v>Basis arsip 2025/2024</x:v>
      </x:c>
      <x:c r="Z3076" t="str">
        <x:v>https://snpmb.id/utbk-snbt/daya-tampung-snbt</x:v>
      </x:c>
      <x:c r="AA3076" t="str">
        <x:v>Tidak Ada</x:v>
      </x:c>
      <x:c r="AB3076" t="str">
        <x:v>Campus=80; Ratio=19.5; Prodi=50; RelDemand=13.8; Capacity=35.0</x:v>
      </x:c>
    </x:row>
    <x:row r="3077">
      <x:c r="A3077" t="n">
        <x:v>3074</x:v>
      </x:c>
      <x:c r="B3077" t="str">
        <x:v>PTN Akademik</x:v>
      </x:c>
      <x:c r="C3077" t="str">
        <x:v>UNIVERSITAS HASANUDDIN</x:v>
      </x:c>
      <x:c r="D3077" t="str">
        <x:v>PENDIDIKAN DOKTER</x:v>
      </x:c>
      <x:c r="E3077" t="str">
        <x:v>Sarjana</x:v>
      </x:c>
      <x:c r="F3077" s="18" t="n">
        <x:v>131</x:v>
      </x:c>
      <x:c r="G3077" s="18" t="n">
        <x:v>3504</x:v>
      </x:c>
      <x:c r="H3077" s="19" t="n">
        <x:v>26.748091603053435</x:v>
      </x:c>
      <x:c r="I3077" s="18" t="n">
        <x:f>ROUND(MIN(Model_Config_v3!$B$6,MAX(Q3077,R3077,S3077*Model_Config_v3!$B$4+T3077*Model_Config_v3!$B$5)),0)</x:f>
        <x:v>706</x:v>
      </x:c>
      <x:c r="J3077" s="18" t="n">
        <x:f>MIN(Model_Config_v3!$B$6,I3077+Model_Config_v3!$B$7)</x:f>
        <x:v>726</x:v>
      </x:c>
      <x:c r="K3077" s="20" t="n">
        <x:v>79</x:v>
      </x:c>
      <x:c r="L3077" t="str">
        <x:v>ELITE</x:v>
      </x:c>
      <x:c r="M3077" t="str">
        <x:v>SEDANG+</x:v>
      </x:c>
      <x:c r="N3077" t="str">
        <x:v>ELITE-3</x:v>
      </x:c>
      <x:c r="O3077" t="str">
        <x:v>SAINTEK</x:v>
      </x:c>
      <x:c r="P3077" t="str">
        <x:v>KEDOKTERAN</x:v>
      </x:c>
      <x:c r="Q3077" s="18" t="n">
        <x:v>635</x:v>
      </x:c>
      <x:c r="R3077" s="18" t="n">
        <x:v>700</x:v>
      </x:c>
      <x:c r="S3077" s="18" t="n">
        <x:v>677.0022082024307</x:v>
      </x:c>
      <x:c r="T3077" s="18" t="n">
        <x:v>718</x:v>
      </x:c>
      <x:c r="U3077" s="18" t="n">
        <x:v>717.0022082024307</x:v>
      </x:c>
      <x:c r="V3077" s="20" t="n">
        <x:v>12</x:v>
      </x:c>
      <x:c r="W3077" s="20" t="n">
        <x:v>5</x:v>
      </x:c>
      <x:c r="X3077" s="20" t="n">
        <x:v>3</x:v>
      </x:c>
      <x:c r="Y3077" t="str">
        <x:v>Basis arsip 2025/2024</x:v>
      </x:c>
      <x:c r="Z3077" t="str">
        <x:v>https://snpmb.id/utbk-snbt/daya-tampung-snbt</x:v>
      </x:c>
      <x:c r="AA3077" t="str">
        <x:v>Tidak Ada</x:v>
      </x:c>
      <x:c r="AB3077" t="str">
        <x:v>Campus=80; Ratio=84.0; Prodi=100; RelDemand=100.0; Capacity=0.0</x:v>
      </x:c>
    </x:row>
    <x:row r="3078">
      <x:c r="A3078" t="n">
        <x:v>3075</x:v>
      </x:c>
      <x:c r="B3078" t="str">
        <x:v>PTN Akademik</x:v>
      </x:c>
      <x:c r="C3078" t="str">
        <x:v>UNIVERSITAS HASANUDDIN</x:v>
      </x:c>
      <x:c r="D3078" t="str">
        <x:v>AGROTEKNOLOGI</x:v>
      </x:c>
      <x:c r="E3078" t="str">
        <x:v>Sarjana</x:v>
      </x:c>
      <x:c r="F3078" s="18" t="n">
        <x:v>155</x:v>
      </x:c>
      <x:c r="G3078" s="18" t="n">
        <x:v>274</x:v>
      </x:c>
      <x:c r="H3078" s="19" t="n">
        <x:v>1.767741935483871</x:v>
      </x:c>
      <x:c r="I3078" s="18" t="n">
        <x:f>ROUND(MIN(Model_Config_v3!$B$6,MAX(Q3078,R3078,S3078*Model_Config_v3!$B$4+T3078*Model_Config_v3!$B$5)),0)</x:f>
        <x:v>635</x:v>
      </x:c>
      <x:c r="J3078" s="18" t="n">
        <x:f>MIN(Model_Config_v3!$B$6,I3078+Model_Config_v3!$B$7)</x:f>
        <x:v>655</x:v>
      </x:c>
      <x:c r="K3078" s="20" t="n">
        <x:v>40.8</x:v>
      </x:c>
      <x:c r="L3078" t="str">
        <x:v>RELATIF LONGGAR</x:v>
      </x:c>
      <x:c r="M3078" t="str">
        <x:v>SEDANG+</x:v>
      </x:c>
      <x:c r="N3078" t="str">
        <x:v>ELITE-3</x:v>
      </x:c>
      <x:c r="O3078" t="str">
        <x:v>SAINTEK</x:v>
      </x:c>
      <x:c r="P3078" t="str">
        <x:v>UMUM</x:v>
      </x:c>
      <x:c r="Q3078" s="18" t="n">
        <x:v>635</x:v>
      </x:c>
      <x:c r="R3078" s="18" t="n">
        <x:v>0</x:v>
      </x:c>
      <x:c r="S3078" s="18" t="n">
        <x:v>547.2160751115106</x:v>
      </x:c>
      <x:c r="T3078" s="18" t="n">
        <x:v>642</x:v>
      </x:c>
      <x:c r="U3078" s="18" t="n">
        <x:v>635</x:v>
      </x:c>
      <x:c r="V3078" s="20" t="n">
        <x:v>12</x:v>
      </x:c>
      <x:c r="W3078" s="20" t="n">
        <x:v>5</x:v>
      </x:c>
      <x:c r="X3078" s="20" t="n">
        <x:v>3</x:v>
      </x:c>
      <x:c r="Y3078" t="str">
        <x:v>Basis arsip 2025/2024</x:v>
      </x:c>
      <x:c r="Z3078" t="str">
        <x:v>https://snpmb.id/utbk-snbt/daya-tampung-snbt</x:v>
      </x:c>
      <x:c r="AA3078" t="str">
        <x:v>Tidak Ada</x:v>
      </x:c>
      <x:c r="AB3078" t="str">
        <x:v>Campus=80; Ratio=14.6; Prodi=40; RelDemand=11.4; Capacity=0.0</x:v>
      </x:c>
    </x:row>
    <x:row r="3079">
      <x:c r="A3079" t="n">
        <x:v>3076</x:v>
      </x:c>
      <x:c r="B3079" t="str">
        <x:v>PTN Akademik</x:v>
      </x:c>
      <x:c r="C3079" t="str">
        <x:v>UNIVERSITAS HASANUDDIN</x:v>
      </x:c>
      <x:c r="D3079" t="str">
        <x:v>ILMU DAN TEKNOLOGI PANGAN</x:v>
      </x:c>
      <x:c r="E3079" t="str">
        <x:v>Sarjana</x:v>
      </x:c>
      <x:c r="F3079" s="18" t="n">
        <x:v>78</x:v>
      </x:c>
      <x:c r="G3079" s="18" t="n">
        <x:v>313</x:v>
      </x:c>
      <x:c r="H3079" s="19" t="n">
        <x:v>4.012820512820513</x:v>
      </x:c>
      <x:c r="I3079" s="18" t="n">
        <x:f>ROUND(MIN(Model_Config_v3!$B$6,MAX(Q3079,R3079,S3079*Model_Config_v3!$B$4+T3079*Model_Config_v3!$B$5)),0)</x:f>
        <x:v>639</x:v>
      </x:c>
      <x:c r="J3079" s="18" t="n">
        <x:f>MIN(Model_Config_v3!$B$6,I3079+Model_Config_v3!$B$7)</x:f>
        <x:v>659</x:v>
      </x:c>
      <x:c r="K3079" s="20" t="n">
        <x:v>51</x:v>
      </x:c>
      <x:c r="L3079" t="str">
        <x:v>MENENGAH</x:v>
      </x:c>
      <x:c r="M3079" t="str">
        <x:v>SEDANG+</x:v>
      </x:c>
      <x:c r="N3079" t="str">
        <x:v>ELITE-3</x:v>
      </x:c>
      <x:c r="O3079" t="str">
        <x:v>SAINTEK</x:v>
      </x:c>
      <x:c r="P3079" t="str">
        <x:v>UMUM</x:v>
      </x:c>
      <x:c r="Q3079" s="18" t="n">
        <x:v>635</x:v>
      </x:c>
      <x:c r="R3079" s="18" t="n">
        <x:v>0</x:v>
      </x:c>
      <x:c r="S3079" s="18" t="n">
        <x:v>586.3794708341565</x:v>
      </x:c>
      <x:c r="T3079" s="18" t="n">
        <x:v>662</x:v>
      </x:c>
      <x:c r="U3079" s="18" t="n">
        <x:v>635</x:v>
      </x:c>
      <x:c r="V3079" s="20" t="n">
        <x:v>12</x:v>
      </x:c>
      <x:c r="W3079" s="20" t="n">
        <x:v>5</x:v>
      </x:c>
      <x:c r="X3079" s="20" t="n">
        <x:v>3</x:v>
      </x:c>
      <x:c r="Y3079" t="str">
        <x:v>Basis arsip 2025/2024</x:v>
      </x:c>
      <x:c r="Z3079" t="str">
        <x:v>https://snpmb.id/utbk-snbt/daya-tampung-snbt</x:v>
      </x:c>
      <x:c r="AA3079" t="str">
        <x:v>Tidak Ada</x:v>
      </x:c>
      <x:c r="AB3079" t="str">
        <x:v>Campus=80; Ratio=35.5; Prodi=40; RelDemand=25.8; Capacity=35.0</x:v>
      </x:c>
    </x:row>
    <x:row r="3080">
      <x:c r="A3080" t="n">
        <x:v>3077</x:v>
      </x:c>
      <x:c r="B3080" t="str">
        <x:v>PTN Akademik</x:v>
      </x:c>
      <x:c r="C3080" t="str">
        <x:v>UNIVERSITAS HASANUDDIN</x:v>
      </x:c>
      <x:c r="D3080" t="str">
        <x:v>AGRIBISNIS</x:v>
      </x:c>
      <x:c r="E3080" t="str">
        <x:v>Sarjana</x:v>
      </x:c>
      <x:c r="F3080" s="18" t="n">
        <x:v>120</x:v>
      </x:c>
      <x:c r="G3080" s="18" t="n">
        <x:v>458</x:v>
      </x:c>
      <x:c r="H3080" s="19" t="n">
        <x:v>3.816666666666667</x:v>
      </x:c>
      <x:c r="I3080" s="18" t="n">
        <x:f>ROUND(MIN(Model_Config_v3!$B$6,MAX(Q3080,R3080,S3080*Model_Config_v3!$B$4+T3080*Model_Config_v3!$B$5)),0)</x:f>
        <x:v>640</x:v>
      </x:c>
      <x:c r="J3080" s="18" t="n">
        <x:f>MIN(Model_Config_v3!$B$6,I3080+Model_Config_v3!$B$7)</x:f>
        <x:v>660</x:v>
      </x:c>
      <x:c r="K3080" s="20" t="n">
        <x:v>52</x:v>
      </x:c>
      <x:c r="L3080" t="str">
        <x:v>MENENGAH</x:v>
      </x:c>
      <x:c r="M3080" t="str">
        <x:v>SEDANG+</x:v>
      </x:c>
      <x:c r="N3080" t="str">
        <x:v>ELITE-3</x:v>
      </x:c>
      <x:c r="O3080" t="str">
        <x:v>SOSHUM</x:v>
      </x:c>
      <x:c r="P3080" t="str">
        <x:v>BISNIS/EKONOMI/AKUNTANSI</x:v>
      </x:c>
      <x:c r="Q3080" s="18" t="n">
        <x:v>635</x:v>
      </x:c>
      <x:c r="R3080" s="18" t="n">
        <x:v>0</x:v>
      </x:c>
      <x:c r="S3080" s="18" t="n">
        <x:v>583.9852655151869</x:v>
      </x:c>
      <x:c r="T3080" s="18" t="n">
        <x:v>664</x:v>
      </x:c>
      <x:c r="U3080" s="18" t="n">
        <x:v>635</x:v>
      </x:c>
      <x:c r="V3080" s="20" t="n">
        <x:v>4.4</x:v>
      </x:c>
      <x:c r="W3080" s="20" t="n">
        <x:v>14.3</x:v>
      </x:c>
      <x:c r="X3080" s="20" t="n">
        <x:v>3.3</x:v>
      </x:c>
      <x:c r="Y3080" t="str">
        <x:v>Basis arsip 2025/2024</x:v>
      </x:c>
      <x:c r="Z3080" t="str">
        <x:v>https://snpmb.id/utbk-snbt/daya-tampung-snbt</x:v>
      </x:c>
      <x:c r="AA3080" t="str">
        <x:v>Tidak Ada</x:v>
      </x:c>
      <x:c r="AB3080" t="str">
        <x:v>Campus=80; Ratio=34.2; Prodi=65; RelDemand=24.6; Capacity=0.0</x:v>
      </x:c>
    </x:row>
    <x:row r="3081">
      <x:c r="A3081" t="n">
        <x:v>3078</x:v>
      </x:c>
      <x:c r="B3081" t="str">
        <x:v>PTN Akademik</x:v>
      </x:c>
      <x:c r="C3081" t="str">
        <x:v>UNIVERSITAS HASANUDDIN</x:v>
      </x:c>
      <x:c r="D3081" t="str">
        <x:v>TEKNIK PERTANIAN</x:v>
      </x:c>
      <x:c r="E3081" t="str">
        <x:v>Sarjana</x:v>
      </x:c>
      <x:c r="F3081" s="18" t="n">
        <x:v>80</x:v>
      </x:c>
      <x:c r="G3081" s="18" t="n">
        <x:v>251</x:v>
      </x:c>
      <x:c r="H3081" s="19" t="n">
        <x:v>3.1375</x:v>
      </x:c>
      <x:c r="I3081" s="18" t="n">
        <x:f>ROUND(MIN(Model_Config_v3!$B$6,MAX(Q3081,R3081,S3081*Model_Config_v3!$B$4+T3081*Model_Config_v3!$B$5)),0)</x:f>
        <x:v>638</x:v>
      </x:c>
      <x:c r="J3081" s="18" t="n">
        <x:f>MIN(Model_Config_v3!$B$6,I3081+Model_Config_v3!$B$7)</x:f>
        <x:v>658</x:v>
      </x:c>
      <x:c r="K3081" s="20" t="n">
        <x:v>52.7</x:v>
      </x:c>
      <x:c r="L3081" t="str">
        <x:v>MENENGAH</x:v>
      </x:c>
      <x:c r="M3081" t="str">
        <x:v>SEDANG+</x:v>
      </x:c>
      <x:c r="N3081" t="str">
        <x:v>ELITE-3</x:v>
      </x:c>
      <x:c r="O3081" t="str">
        <x:v>SAINTEK</x:v>
      </x:c>
      <x:c r="P3081" t="str">
        <x:v>TEKNIK/ARSITEKTUR/STATISTIKA/AKTUARIA</x:v>
      </x:c>
      <x:c r="Q3081" s="18" t="n">
        <x:v>635</x:v>
      </x:c>
      <x:c r="R3081" s="18" t="n">
        <x:v>0</x:v>
      </x:c>
      <x:c r="S3081" s="18" t="n">
        <x:v>574.6242107938004</x:v>
      </x:c>
      <x:c r="T3081" s="18" t="n">
        <x:v>665</x:v>
      </x:c>
      <x:c r="U3081" s="18" t="n">
        <x:v>635</x:v>
      </x:c>
      <x:c r="V3081" s="20" t="n">
        <x:v>12</x:v>
      </x:c>
      <x:c r="W3081" s="20" t="n">
        <x:v>5</x:v>
      </x:c>
      <x:c r="X3081" s="20" t="n">
        <x:v>3</x:v>
      </x:c>
      <x:c r="Y3081" t="str">
        <x:v>Basis arsip 2025/2024</x:v>
      </x:c>
      <x:c r="Z3081" t="str">
        <x:v>https://snpmb.id/utbk-snbt/daya-tampung-snbt</x:v>
      </x:c>
      <x:c r="AA3081" t="str">
        <x:v>Tidak Ada</x:v>
      </x:c>
      <x:c r="AB3081" t="str">
        <x:v>Campus=80; Ratio=29.2; Prodi=60; RelDemand=20.2; Capacity=33.3</x:v>
      </x:c>
    </x:row>
    <x:row r="3082">
      <x:c r="A3082" t="n">
        <x:v>3079</x:v>
      </x:c>
      <x:c r="B3082" t="str">
        <x:v>PTN Akademik</x:v>
      </x:c>
      <x:c r="C3082" t="str">
        <x:v>UNIVERSITAS HASANUDDIN</x:v>
      </x:c>
      <x:c r="D3082" t="str">
        <x:v>TEKNIK SIPIL</x:v>
      </x:c>
      <x:c r="E3082" t="str">
        <x:v>Sarjana</x:v>
      </x:c>
      <x:c r="F3082" s="18" t="n">
        <x:v>76</x:v>
      </x:c>
      <x:c r="G3082" s="18" t="n">
        <x:v>1017</x:v>
      </x:c>
      <x:c r="H3082" s="19" t="n">
        <x:v>13.381578947368421</x:v>
      </x:c>
      <x:c r="I3082" s="18" t="n">
        <x:f>ROUND(MIN(Model_Config_v3!$B$6,MAX(Q3082,R3082,S3082*Model_Config_v3!$B$4+T3082*Model_Config_v3!$B$5)),0)</x:f>
        <x:v>682</x:v>
      </x:c>
      <x:c r="J3082" s="18" t="n">
        <x:f>MIN(Model_Config_v3!$B$6,I3082+Model_Config_v3!$B$7)</x:f>
        <x:v>702</x:v>
      </x:c>
      <x:c r="K3082" s="20" t="n">
        <x:v>68.9</x:v>
      </x:c>
      <x:c r="L3082" t="str">
        <x:v>SANGAT KETAT</x:v>
      </x:c>
      <x:c r="M3082" t="str">
        <x:v>SEDANG+</x:v>
      </x:c>
      <x:c r="N3082" t="str">
        <x:v>ELITE-3</x:v>
      </x:c>
      <x:c r="O3082" t="str">
        <x:v>SAINTEK</x:v>
      </x:c>
      <x:c r="P3082" t="str">
        <x:v>TEKNIK/ARSITEKTUR/STATISTIKA/AKTUARIA</x:v>
      </x:c>
      <x:c r="Q3082" s="18" t="n">
        <x:v>635</x:v>
      </x:c>
      <x:c r="R3082" s="18" t="n">
        <x:v>0</x:v>
      </x:c>
      <x:c r="S3082" s="18" t="n">
        <x:v>643.9158096706149</x:v>
      </x:c>
      <x:c r="T3082" s="18" t="n">
        <x:v>698</x:v>
      </x:c>
      <x:c r="U3082" s="18" t="n">
        <x:v>653.9158096706149</x:v>
      </x:c>
      <x:c r="V3082" s="20" t="n">
        <x:v>12</x:v>
      </x:c>
      <x:c r="W3082" s="20" t="n">
        <x:v>5</x:v>
      </x:c>
      <x:c r="X3082" s="20" t="n">
        <x:v>3</x:v>
      </x:c>
      <x:c r="Y3082" t="str">
        <x:v>Basis arsip 2025/2024</x:v>
      </x:c>
      <x:c r="Z3082" t="str">
        <x:v>https://snpmb.id/utbk-snbt/daya-tampung-snbt</x:v>
      </x:c>
      <x:c r="AA3082" t="str">
        <x:v>Tidak Ada</x:v>
      </x:c>
      <x:c r="AB3082" t="str">
        <x:v>Campus=80; Ratio=66.3; Prodi=60; RelDemand=86.2; Capacity=36.7</x:v>
      </x:c>
    </x:row>
    <x:row r="3083">
      <x:c r="A3083" t="n">
        <x:v>3080</x:v>
      </x:c>
      <x:c r="B3083" t="str">
        <x:v>PTN Akademik</x:v>
      </x:c>
      <x:c r="C3083" t="str">
        <x:v>UNIVERSITAS HASANUDDIN</x:v>
      </x:c>
      <x:c r="D3083" t="str">
        <x:v>TEKNIK MESIN</x:v>
      </x:c>
      <x:c r="E3083" t="str">
        <x:v>Sarjana</x:v>
      </x:c>
      <x:c r="F3083" s="18" t="n">
        <x:v>70</x:v>
      </x:c>
      <x:c r="G3083" s="18" t="n">
        <x:v>475</x:v>
      </x:c>
      <x:c r="H3083" s="19" t="n">
        <x:v>6.785714285714286</x:v>
      </x:c>
      <x:c r="I3083" s="18" t="n">
        <x:f>ROUND(MIN(Model_Config_v3!$B$6,MAX(Q3083,R3083,S3083*Model_Config_v3!$B$4+T3083*Model_Config_v3!$B$5)),0)</x:f>
        <x:v>661</x:v>
      </x:c>
      <x:c r="J3083" s="18" t="n">
        <x:f>MIN(Model_Config_v3!$B$6,I3083+Model_Config_v3!$B$7)</x:f>
        <x:v>681</x:v>
      </x:c>
      <x:c r="K3083" s="20" t="n">
        <x:v>60.8</x:v>
      </x:c>
      <x:c r="L3083" t="str">
        <x:v>KETAT</x:v>
      </x:c>
      <x:c r="M3083" t="str">
        <x:v>SEDANG+</x:v>
      </x:c>
      <x:c r="N3083" t="str">
        <x:v>ELITE-3</x:v>
      </x:c>
      <x:c r="O3083" t="str">
        <x:v>SAINTEK</x:v>
      </x:c>
      <x:c r="P3083" t="str">
        <x:v>TEKNIK/ARSITEKTUR/STATISTIKA/AKTUARIA</x:v>
      </x:c>
      <x:c r="Q3083" s="18" t="n">
        <x:v>635</x:v>
      </x:c>
      <x:c r="R3083" s="18" t="n">
        <x:v>0</x:v>
      </x:c>
      <x:c r="S3083" s="18" t="n">
        <x:v>611.4755126571671</x:v>
      </x:c>
      <x:c r="T3083" s="18" t="n">
        <x:v>682</x:v>
      </x:c>
      <x:c r="U3083" s="18" t="n">
        <x:v>635</x:v>
      </x:c>
      <x:c r="V3083" s="20" t="n">
        <x:v>12</x:v>
      </x:c>
      <x:c r="W3083" s="20" t="n">
        <x:v>5</x:v>
      </x:c>
      <x:c r="X3083" s="20" t="n">
        <x:v>3</x:v>
      </x:c>
      <x:c r="Y3083" t="str">
        <x:v>Basis arsip 2025/2024</x:v>
      </x:c>
      <x:c r="Z3083" t="str">
        <x:v>https://snpmb.id/utbk-snbt/daya-tampung-snbt</x:v>
      </x:c>
      <x:c r="AA3083" t="str">
        <x:v>Tidak Ada</x:v>
      </x:c>
      <x:c r="AB3083" t="str">
        <x:v>Campus=80; Ratio=48.9; Prodi=60; RelDemand=43.7; Capacity=41.7</x:v>
      </x:c>
    </x:row>
    <x:row r="3084">
      <x:c r="A3084" t="n">
        <x:v>3081</x:v>
      </x:c>
      <x:c r="B3084" t="str">
        <x:v>PTN Akademik</x:v>
      </x:c>
      <x:c r="C3084" t="str">
        <x:v>UNIVERSITAS HASANUDDIN</x:v>
      </x:c>
      <x:c r="D3084" t="str">
        <x:v>TEKNIK ELEKTRO</x:v>
      </x:c>
      <x:c r="E3084" t="str">
        <x:v>Sarjana</x:v>
      </x:c>
      <x:c r="F3084" s="18" t="n">
        <x:v>95</x:v>
      </x:c>
      <x:c r="G3084" s="18" t="n">
        <x:v>602</x:v>
      </x:c>
      <x:c r="H3084" s="19" t="n">
        <x:v>6.336842105263158</x:v>
      </x:c>
      <x:c r="I3084" s="18" t="n">
        <x:f>ROUND(MIN(Model_Config_v3!$B$6,MAX(Q3084,R3084,S3084*Model_Config_v3!$B$4+T3084*Model_Config_v3!$B$5)),0)</x:f>
        <x:v>656</x:v>
      </x:c>
      <x:c r="J3084" s="18" t="n">
        <x:f>MIN(Model_Config_v3!$B$6,I3084+Model_Config_v3!$B$7)</x:f>
        <x:v>676</x:v>
      </x:c>
      <x:c r="K3084" s="20" t="n">
        <x:v>58</x:v>
      </x:c>
      <x:c r="L3084" t="str">
        <x:v>KETAT</x:v>
      </x:c>
      <x:c r="M3084" t="str">
        <x:v>SEDANG+</x:v>
      </x:c>
      <x:c r="N3084" t="str">
        <x:v>ELITE-3</x:v>
      </x:c>
      <x:c r="O3084" t="str">
        <x:v>SAINTEK</x:v>
      </x:c>
      <x:c r="P3084" t="str">
        <x:v>TEKNIK/ARSITEKTUR/STATISTIKA/AKTUARIA</x:v>
      </x:c>
      <x:c r="Q3084" s="18" t="n">
        <x:v>635</x:v>
      </x:c>
      <x:c r="R3084" s="18" t="n">
        <x:v>0</x:v>
      </x:c>
      <x:c r="S3084" s="18" t="n">
        <x:v>608.2060174565875</x:v>
      </x:c>
      <x:c r="T3084" s="18" t="n">
        <x:v>676</x:v>
      </x:c>
      <x:c r="U3084" s="18" t="n">
        <x:v>635</x:v>
      </x:c>
      <x:c r="V3084" s="20" t="n">
        <x:v>12</x:v>
      </x:c>
      <x:c r="W3084" s="20" t="n">
        <x:v>5</x:v>
      </x:c>
      <x:c r="X3084" s="20" t="n">
        <x:v>3</x:v>
      </x:c>
      <x:c r="Y3084" t="str">
        <x:v>Basis arsip 2025/2024</x:v>
      </x:c>
      <x:c r="Z3084" t="str">
        <x:v>https://snpmb.id/utbk-snbt/daya-tampung-snbt</x:v>
      </x:c>
      <x:c r="AA3084" t="str">
        <x:v>Tidak Ada</x:v>
      </x:c>
      <x:c r="AB3084" t="str">
        <x:v>Campus=80; Ratio=47.2; Prodi=60; RelDemand=40.8; Capacity=20.8</x:v>
      </x:c>
    </x:row>
    <x:row r="3085">
      <x:c r="A3085" t="n">
        <x:v>3082</x:v>
      </x:c>
      <x:c r="B3085" t="str">
        <x:v>PTN Akademik</x:v>
      </x:c>
      <x:c r="C3085" t="str">
        <x:v>UNIVERSITAS HASANUDDIN</x:v>
      </x:c>
      <x:c r="D3085" t="str">
        <x:v>TEKNIK PERKAPALAN</x:v>
      </x:c>
      <x:c r="E3085" t="str">
        <x:v>Sarjana</x:v>
      </x:c>
      <x:c r="F3085" s="18" t="n">
        <x:v>60</x:v>
      </x:c>
      <x:c r="G3085" s="18" t="n">
        <x:v>310</x:v>
      </x:c>
      <x:c r="H3085" s="19" t="n">
        <x:v>5.166666666666667</x:v>
      </x:c>
      <x:c r="I3085" s="18" t="n">
        <x:f>ROUND(MIN(Model_Config_v3!$B$6,MAX(Q3085,R3085,S3085*Model_Config_v3!$B$4+T3085*Model_Config_v3!$B$5)),0)</x:f>
        <x:v>654</x:v>
      </x:c>
      <x:c r="J3085" s="18" t="n">
        <x:f>MIN(Model_Config_v3!$B$6,I3085+Model_Config_v3!$B$7)</x:f>
        <x:v>674</x:v>
      </x:c>
      <x:c r="K3085" s="20" t="n">
        <x:v>58.8</x:v>
      </x:c>
      <x:c r="L3085" t="str">
        <x:v>KETAT</x:v>
      </x:c>
      <x:c r="M3085" t="str">
        <x:v>SEDANG+</x:v>
      </x:c>
      <x:c r="N3085" t="str">
        <x:v>ELITE-3</x:v>
      </x:c>
      <x:c r="O3085" t="str">
        <x:v>SAINTEK</x:v>
      </x:c>
      <x:c r="P3085" t="str">
        <x:v>TEKNIK/ARSITEKTUR/STATISTIKA/AKTUARIA</x:v>
      </x:c>
      <x:c r="Q3085" s="18" t="n">
        <x:v>635</x:v>
      </x:c>
      <x:c r="R3085" s="18" t="n">
        <x:v>0</x:v>
      </x:c>
      <x:c r="S3085" s="18" t="n">
        <x:v>598.4531487795692</x:v>
      </x:c>
      <x:c r="T3085" s="18" t="n">
        <x:v>678</x:v>
      </x:c>
      <x:c r="U3085" s="18" t="n">
        <x:v>635</x:v>
      </x:c>
      <x:c r="V3085" s="20" t="n">
        <x:v>12</x:v>
      </x:c>
      <x:c r="W3085" s="20" t="n">
        <x:v>5</x:v>
      </x:c>
      <x:c r="X3085" s="20" t="n">
        <x:v>3</x:v>
      </x:c>
      <x:c r="Y3085" t="str">
        <x:v>Basis arsip 2025/2024</x:v>
      </x:c>
      <x:c r="Z3085" t="str">
        <x:v>https://snpmb.id/utbk-snbt/daya-tampung-snbt</x:v>
      </x:c>
      <x:c r="AA3085" t="str">
        <x:v>Tidak Ada</x:v>
      </x:c>
      <x:c r="AB3085" t="str">
        <x:v>Campus=80; Ratio=42.0; Prodi=60; RelDemand=33.3; Capacity=50.0</x:v>
      </x:c>
    </x:row>
    <x:row r="3086">
      <x:c r="A3086" t="n">
        <x:v>3083</x:v>
      </x:c>
      <x:c r="B3086" t="str">
        <x:v>PTN Akademik</x:v>
      </x:c>
      <x:c r="C3086" t="str">
        <x:v>UNIVERSITAS HASANUDDIN</x:v>
      </x:c>
      <x:c r="D3086" t="str">
        <x:v>TEKNIK GEOLOGI</x:v>
      </x:c>
      <x:c r="E3086" t="str">
        <x:v>Sarjana</x:v>
      </x:c>
      <x:c r="F3086" s="18" t="n">
        <x:v>65</x:v>
      </x:c>
      <x:c r="G3086" s="18" t="n">
        <x:v>684</x:v>
      </x:c>
      <x:c r="H3086" s="19" t="n">
        <x:v>10.523076923076923</x:v>
      </x:c>
      <x:c r="I3086" s="18" t="n">
        <x:f>ROUND(MIN(Model_Config_v3!$B$6,MAX(Q3086,R3086,S3086*Model_Config_v3!$B$4+T3086*Model_Config_v3!$B$5)),0)</x:f>
        <x:v>675</x:v>
      </x:c>
      <x:c r="J3086" s="18" t="n">
        <x:f>MIN(Model_Config_v3!$B$6,I3086+Model_Config_v3!$B$7)</x:f>
        <x:v>695</x:v>
      </x:c>
      <x:c r="K3086" s="20" t="n">
        <x:v>66.4</x:v>
      </x:c>
      <x:c r="L3086" t="str">
        <x:v>SANGAT KETAT</x:v>
      </x:c>
      <x:c r="M3086" t="str">
        <x:v>SEDANG+</x:v>
      </x:c>
      <x:c r="N3086" t="str">
        <x:v>ELITE-3</x:v>
      </x:c>
      <x:c r="O3086" t="str">
        <x:v>SAINTEK</x:v>
      </x:c>
      <x:c r="P3086" t="str">
        <x:v>TEKNIK/ARSITEKTUR/STATISTIKA/AKTUARIA</x:v>
      </x:c>
      <x:c r="Q3086" s="18" t="n">
        <x:v>635</x:v>
      </x:c>
      <x:c r="R3086" s="18" t="n">
        <x:v>0</x:v>
      </x:c>
      <x:c r="S3086" s="18" t="n">
        <x:v>632.4357019584986</x:v>
      </x:c>
      <x:c r="T3086" s="18" t="n">
        <x:v>693</x:v>
      </x:c>
      <x:c r="U3086" s="18" t="n">
        <x:v>642.4357019584986</x:v>
      </x:c>
      <x:c r="V3086" s="20" t="n">
        <x:v>12</x:v>
      </x:c>
      <x:c r="W3086" s="20" t="n">
        <x:v>5</x:v>
      </x:c>
      <x:c r="X3086" s="20" t="n">
        <x:v>3</x:v>
      </x:c>
      <x:c r="Y3086" t="str">
        <x:v>Basis arsip 2025/2024</x:v>
      </x:c>
      <x:c r="Z3086" t="str">
        <x:v>https://snpmb.id/utbk-snbt/daya-tampung-snbt</x:v>
      </x:c>
      <x:c r="AA3086" t="str">
        <x:v>Tidak Ada</x:v>
      </x:c>
      <x:c r="AB3086" t="str">
        <x:v>Campus=80; Ratio=60.2; Prodi=60; RelDemand=67.8; Capacity=45.8</x:v>
      </x:c>
    </x:row>
    <x:row r="3087">
      <x:c r="A3087" t="n">
        <x:v>3084</x:v>
      </x:c>
      <x:c r="B3087" t="str">
        <x:v>PTN Akademik</x:v>
      </x:c>
      <x:c r="C3087" t="str">
        <x:v>UNIVERSITAS HASANUDDIN</x:v>
      </x:c>
      <x:c r="D3087" t="str">
        <x:v>PENDIDIKAN DOKTER GIGI</x:v>
      </x:c>
      <x:c r="E3087" t="str">
        <x:v>Sarjana</x:v>
      </x:c>
      <x:c r="F3087" s="18" t="n">
        <x:v>80</x:v>
      </x:c>
      <x:c r="G3087" s="18" t="n">
        <x:v>1771</x:v>
      </x:c>
      <x:c r="H3087" s="19" t="n">
        <x:v>22.1375</x:v>
      </x:c>
      <x:c r="I3087" s="18" t="n">
        <x:f>ROUND(MIN(Model_Config_v3!$B$6,MAX(Q3087,R3087,S3087*Model_Config_v3!$B$4+T3087*Model_Config_v3!$B$5)),0)</x:f>
        <x:v>703</x:v>
      </x:c>
      <x:c r="J3087" s="18" t="n">
        <x:f>MIN(Model_Config_v3!$B$6,I3087+Model_Config_v3!$B$7)</x:f>
        <x:v>723</x:v>
      </x:c>
      <x:c r="K3087" s="20" t="n">
        <x:v>79.1</x:v>
      </x:c>
      <x:c r="L3087" t="str">
        <x:v>ELITE</x:v>
      </x:c>
      <x:c r="M3087" t="str">
        <x:v>SEDANG+</x:v>
      </x:c>
      <x:c r="N3087" t="str">
        <x:v>ELITE-3</x:v>
      </x:c>
      <x:c r="O3087" t="str">
        <x:v>SAINTEK</x:v>
      </x:c>
      <x:c r="P3087" t="str">
        <x:v>KEDOKTERAN GIGI</x:v>
      </x:c>
      <x:c r="Q3087" s="18" t="n">
        <x:v>635</x:v>
      </x:c>
      <x:c r="R3087" s="18" t="n">
        <x:v>680</x:v>
      </x:c>
      <x:c r="S3087" s="18" t="n">
        <x:v>667.9641431617944</x:v>
      </x:c>
      <x:c r="T3087" s="18" t="n">
        <x:v>718</x:v>
      </x:c>
      <x:c r="U3087" s="18" t="n">
        <x:v>697.9641431617944</x:v>
      </x:c>
      <x:c r="V3087" s="20" t="n">
        <x:v>12</x:v>
      </x:c>
      <x:c r="W3087" s="20" t="n">
        <x:v>5</x:v>
      </x:c>
      <x:c r="X3087" s="20" t="n">
        <x:v>3</x:v>
      </x:c>
      <x:c r="Y3087" t="str">
        <x:v>Basis arsip 2025/2024</x:v>
      </x:c>
      <x:c r="Z3087" t="str">
        <x:v>https://snpmb.id/utbk-snbt/daya-tampung-snbt</x:v>
      </x:c>
      <x:c r="AA3087" t="str">
        <x:v>Tidak Ada</x:v>
      </x:c>
      <x:c r="AB3087" t="str">
        <x:v>Campus=80; Ratio=79.2; Prodi=90; RelDemand=100.0; Capacity=33.3</x:v>
      </x:c>
    </x:row>
    <x:row r="3088">
      <x:c r="A3088" t="n">
        <x:v>3085</x:v>
      </x:c>
      <x:c r="B3088" t="str">
        <x:v>PTN Akademik</x:v>
      </x:c>
      <x:c r="C3088" t="str">
        <x:v>UNIVERSITAS HASANUDDIN</x:v>
      </x:c>
      <x:c r="D3088" t="str">
        <x:v>TEKNIK ARSITEKTUR</x:v>
      </x:c>
      <x:c r="E3088" t="str">
        <x:v>Sarjana</x:v>
      </x:c>
      <x:c r="F3088" s="18" t="n">
        <x:v>60</x:v>
      </x:c>
      <x:c r="G3088" s="18" t="n">
        <x:v>509</x:v>
      </x:c>
      <x:c r="H3088" s="19" t="n">
        <x:v>8.483333333333333</x:v>
      </x:c>
      <x:c r="I3088" s="18" t="n">
        <x:f>ROUND(MIN(Model_Config_v3!$B$6,MAX(Q3088,R3088,S3088*Model_Config_v3!$B$4+T3088*Model_Config_v3!$B$5)),0)</x:f>
        <x:v>668</x:v>
      </x:c>
      <x:c r="J3088" s="18" t="n">
        <x:f>MIN(Model_Config_v3!$B$6,I3088+Model_Config_v3!$B$7)</x:f>
        <x:v>688</x:v>
      </x:c>
      <x:c r="K3088" s="20" t="n">
        <x:v>64.1</x:v>
      </x:c>
      <x:c r="L3088" t="str">
        <x:v>KETAT</x:v>
      </x:c>
      <x:c r="M3088" t="str">
        <x:v>SEDANG+</x:v>
      </x:c>
      <x:c r="N3088" t="str">
        <x:v>ELITE-3</x:v>
      </x:c>
      <x:c r="O3088" t="str">
        <x:v>SAINTEK</x:v>
      </x:c>
      <x:c r="P3088" t="str">
        <x:v>TEKNIK/ARSITEKTUR/STATISTIKA/AKTUARIA</x:v>
      </x:c>
      <x:c r="Q3088" s="18" t="n">
        <x:v>635</x:v>
      </x:c>
      <x:c r="R3088" s="18" t="n">
        <x:v>0</x:v>
      </x:c>
      <x:c r="S3088" s="18" t="n">
        <x:v>622.1423185148426</x:v>
      </x:c>
      <x:c r="T3088" s="18" t="n">
        <x:v>688</x:v>
      </x:c>
      <x:c r="U3088" s="18" t="n">
        <x:v>635</x:v>
      </x:c>
      <x:c r="V3088" s="20" t="n">
        <x:v>12</x:v>
      </x:c>
      <x:c r="W3088" s="20" t="n">
        <x:v>5</x:v>
      </x:c>
      <x:c r="X3088" s="20" t="n">
        <x:v>3</x:v>
      </x:c>
      <x:c r="Y3088" t="str">
        <x:v>Basis arsip 2025/2024</x:v>
      </x:c>
      <x:c r="Z3088" t="str">
        <x:v>https://snpmb.id/utbk-snbt/daya-tampung-snbt</x:v>
      </x:c>
      <x:c r="AA3088" t="str">
        <x:v>Tidak Ada</x:v>
      </x:c>
      <x:c r="AB3088" t="str">
        <x:v>Campus=80; Ratio=54.7; Prodi=60; RelDemand=54.6; Capacity=50.0</x:v>
      </x:c>
    </x:row>
    <x:row r="3089">
      <x:c r="A3089" t="n">
        <x:v>3086</x:v>
      </x:c>
      <x:c r="B3089" t="str">
        <x:v>PTN Akademik</x:v>
      </x:c>
      <x:c r="C3089" t="str">
        <x:v>UNIVERSITAS HASANUDDIN</x:v>
      </x:c>
      <x:c r="D3089" t="str">
        <x:v>KEHUTANAN</x:v>
      </x:c>
      <x:c r="E3089" t="str">
        <x:v>Sarjana</x:v>
      </x:c>
      <x:c r="F3089" s="18" t="n">
        <x:v>189</x:v>
      </x:c>
      <x:c r="G3089" s="18" t="n">
        <x:v>528</x:v>
      </x:c>
      <x:c r="H3089" s="19" t="n">
        <x:v>2.7936507936507935</x:v>
      </x:c>
      <x:c r="I3089" s="18" t="n">
        <x:f>ROUND(MIN(Model_Config_v3!$B$6,MAX(Q3089,R3089,S3089*Model_Config_v3!$B$4+T3089*Model_Config_v3!$B$5)),0)</x:f>
        <x:v>635</x:v>
      </x:c>
      <x:c r="J3089" s="18" t="n">
        <x:f>MIN(Model_Config_v3!$B$6,I3089+Model_Config_v3!$B$7)</x:f>
        <x:v>655</x:v>
      </x:c>
      <x:c r="K3089" s="20" t="n">
        <x:v>44.4</x:v>
      </x:c>
      <x:c r="L3089" t="str">
        <x:v>RELATIF LONGGAR</x:v>
      </x:c>
      <x:c r="M3089" t="str">
        <x:v>SEDANG+</x:v>
      </x:c>
      <x:c r="N3089" t="str">
        <x:v>ELITE-3</x:v>
      </x:c>
      <x:c r="O3089" t="str">
        <x:v>CAMPURAN</x:v>
      </x:c>
      <x:c r="P3089" t="str">
        <x:v>UMUM</x:v>
      </x:c>
      <x:c r="Q3089" s="18" t="n">
        <x:v>635</x:v>
      </x:c>
      <x:c r="R3089" s="18" t="n">
        <x:v>0</x:v>
      </x:c>
      <x:c r="S3089" s="18" t="n">
        <x:v>569.0789330196625</x:v>
      </x:c>
      <x:c r="T3089" s="18" t="n">
        <x:v>649</x:v>
      </x:c>
      <x:c r="U3089" s="18" t="n">
        <x:v>635</x:v>
      </x:c>
      <x:c r="V3089" s="20" t="n">
        <x:v>8.8</x:v>
      </x:c>
      <x:c r="W3089" s="20" t="n">
        <x:v>9.9</x:v>
      </x:c>
      <x:c r="X3089" s="20" t="n">
        <x:v>3.3</x:v>
      </x:c>
      <x:c r="Y3089" t="str">
        <x:v>Basis arsip 2025/2024</x:v>
      </x:c>
      <x:c r="Z3089" t="str">
        <x:v>https://snpmb.id/utbk-snbt/daya-tampung-snbt</x:v>
      </x:c>
      <x:c r="AA3089" t="str">
        <x:v>Tidak Ada</x:v>
      </x:c>
      <x:c r="AB3089" t="str">
        <x:v>Campus=80; Ratio=26.3; Prodi=40; RelDemand=18.0; Capacity=0.0</x:v>
      </x:c>
    </x:row>
    <x:row r="3090">
      <x:c r="A3090" t="n">
        <x:v>3087</x:v>
      </x:c>
      <x:c r="B3090" t="str">
        <x:v>PTN Akademik</x:v>
      </x:c>
      <x:c r="C3090" t="str">
        <x:v>UNIVERSITAS HASANUDDIN</x:v>
      </x:c>
      <x:c r="D3090" t="str">
        <x:v>GEOFISIKA</x:v>
      </x:c>
      <x:c r="E3090" t="str">
        <x:v>Sarjana</x:v>
      </x:c>
      <x:c r="F3090" s="18" t="n">
        <x:v>60</x:v>
      </x:c>
      <x:c r="G3090" s="18" t="n">
        <x:v>102</x:v>
      </x:c>
      <x:c r="H3090" s="19" t="n">
        <x:v>1.7</x:v>
      </x:c>
      <x:c r="I3090" s="18" t="n">
        <x:f>ROUND(MIN(Model_Config_v3!$B$6,MAX(Q3090,R3090,S3090*Model_Config_v3!$B$4+T3090*Model_Config_v3!$B$5)),0)</x:f>
        <x:v>635</x:v>
      </x:c>
      <x:c r="J3090" s="18" t="n">
        <x:f>MIN(Model_Config_v3!$B$6,I3090+Model_Config_v3!$B$7)</x:f>
        <x:v>655</x:v>
      </x:c>
      <x:c r="K3090" s="20" t="n">
        <x:v>47.5</x:v>
      </x:c>
      <x:c r="L3090" t="str">
        <x:v>MENENGAH</x:v>
      </x:c>
      <x:c r="M3090" t="str">
        <x:v>SEDANG+</x:v>
      </x:c>
      <x:c r="N3090" t="str">
        <x:v>ELITE-3</x:v>
      </x:c>
      <x:c r="O3090" t="str">
        <x:v>SAINTEK</x:v>
      </x:c>
      <x:c r="P3090" t="str">
        <x:v>SAINS DASAR</x:v>
      </x:c>
      <x:c r="Q3090" s="18" t="n">
        <x:v>635</x:v>
      </x:c>
      <x:c r="R3090" s="18" t="n">
        <x:v>0</x:v>
      </x:c>
      <x:c r="S3090" s="18" t="n">
        <x:v>545.3493813516101</x:v>
      </x:c>
      <x:c r="T3090" s="18" t="n">
        <x:v>655</x:v>
      </x:c>
      <x:c r="U3090" s="18" t="n">
        <x:v>635</x:v>
      </x:c>
      <x:c r="V3090" s="20" t="n">
        <x:v>12</x:v>
      </x:c>
      <x:c r="W3090" s="20" t="n">
        <x:v>5</x:v>
      </x:c>
      <x:c r="X3090" s="20" t="n">
        <x:v>3</x:v>
      </x:c>
      <x:c r="Y3090" t="str">
        <x:v>Basis arsip 2025/2024</x:v>
      </x:c>
      <x:c r="Z3090" t="str">
        <x:v>https://snpmb.id/utbk-snbt/daya-tampung-snbt</x:v>
      </x:c>
      <x:c r="AA3090" t="str">
        <x:v>Tidak Ada</x:v>
      </x:c>
      <x:c r="AB3090" t="str">
        <x:v>Campus=80; Ratio=13.6; Prodi=50; RelDemand=10.9; Capacity=50.0</x:v>
      </x:c>
    </x:row>
    <x:row r="3091">
      <x:c r="A3091" t="n">
        <x:v>3088</x:v>
      </x:c>
      <x:c r="B3091" t="str">
        <x:v>PTN Akademik</x:v>
      </x:c>
      <x:c r="C3091" t="str">
        <x:v>UNIVERSITAS HASANUDDIN</x:v>
      </x:c>
      <x:c r="D3091" t="str">
        <x:v>STATISTIKA</x:v>
      </x:c>
      <x:c r="E3091" t="str">
        <x:v>Sarjana</x:v>
      </x:c>
      <x:c r="F3091" s="18" t="n">
        <x:v>50</x:v>
      </x:c>
      <x:c r="G3091" s="18" t="n">
        <x:v>348</x:v>
      </x:c>
      <x:c r="H3091" s="19" t="n">
        <x:v>6.96</x:v>
      </x:c>
      <x:c r="I3091" s="18" t="n">
        <x:f>ROUND(MIN(Model_Config_v3!$B$6,MAX(Q3091,R3091,S3091*Model_Config_v3!$B$4+T3091*Model_Config_v3!$B$5)),0)</x:f>
        <x:v>663</x:v>
      </x:c>
      <x:c r="J3091" s="18" t="n">
        <x:f>MIN(Model_Config_v3!$B$6,I3091+Model_Config_v3!$B$7)</x:f>
        <x:v>683</x:v>
      </x:c>
      <x:c r="K3091" s="20" t="n">
        <x:v>62.7</x:v>
      </x:c>
      <x:c r="L3091" t="str">
        <x:v>KETAT</x:v>
      </x:c>
      <x:c r="M3091" t="str">
        <x:v>SEDANG+</x:v>
      </x:c>
      <x:c r="N3091" t="str">
        <x:v>ELITE-3</x:v>
      </x:c>
      <x:c r="O3091" t="str">
        <x:v>SAINTEK</x:v>
      </x:c>
      <x:c r="P3091" t="str">
        <x:v>TEKNIK/ARSITEKTUR/STATISTIKA/AKTUARIA</x:v>
      </x:c>
      <x:c r="Q3091" s="18" t="n">
        <x:v>635</x:v>
      </x:c>
      <x:c r="R3091" s="18" t="n">
        <x:v>0</x:v>
      </x:c>
      <x:c r="S3091" s="18" t="n">
        <x:v>612.6870163571618</x:v>
      </x:c>
      <x:c r="T3091" s="18" t="n">
        <x:v>685</x:v>
      </x:c>
      <x:c r="U3091" s="18" t="n">
        <x:v>635</x:v>
      </x:c>
      <x:c r="V3091" s="20" t="n">
        <x:v>12</x:v>
      </x:c>
      <x:c r="W3091" s="20" t="n">
        <x:v>5</x:v>
      </x:c>
      <x:c r="X3091" s="20" t="n">
        <x:v>3</x:v>
      </x:c>
      <x:c r="Y3091" t="str">
        <x:v>Basis arsip 2025/2024</x:v>
      </x:c>
      <x:c r="Z3091" t="str">
        <x:v>https://snpmb.id/utbk-snbt/daya-tampung-snbt</x:v>
      </x:c>
      <x:c r="AA3091" t="str">
        <x:v>Tidak Ada</x:v>
      </x:c>
      <x:c r="AB3091" t="str">
        <x:v>Campus=80; Ratio=49.6; Prodi=60; RelDemand=44.8; Capacity=58.3</x:v>
      </x:c>
    </x:row>
    <x:row r="3092">
      <x:c r="A3092" t="n">
        <x:v>3089</x:v>
      </x:c>
      <x:c r="B3092" t="str">
        <x:v>PTN Akademik</x:v>
      </x:c>
      <x:c r="C3092" t="str">
        <x:v>UNIVERSITAS HASANUDDIN</x:v>
      </x:c>
      <x:c r="D3092" t="str">
        <x:v>ILMU GIZI</x:v>
      </x:c>
      <x:c r="E3092" t="str">
        <x:v>Sarjana</x:v>
      </x:c>
      <x:c r="F3092" s="18" t="n">
        <x:v>75</x:v>
      </x:c>
      <x:c r="G3092" s="18" t="n">
        <x:v>860</x:v>
      </x:c>
      <x:c r="H3092" s="19" t="n">
        <x:v>11.466666666666667</x:v>
      </x:c>
      <x:c r="I3092" s="18" t="n">
        <x:f>ROUND(MIN(Model_Config_v3!$B$6,MAX(Q3092,R3092,S3092*Model_Config_v3!$B$4+T3092*Model_Config_v3!$B$5)),0)</x:f>
        <x:v>675</x:v>
      </x:c>
      <x:c r="J3092" s="18" t="n">
        <x:f>MIN(Model_Config_v3!$B$6,I3092+Model_Config_v3!$B$7)</x:f>
        <x:v>695</x:v>
      </x:c>
      <x:c r="K3092" s="20" t="n">
        <x:v>65.7</x:v>
      </x:c>
      <x:c r="L3092" t="str">
        <x:v>SANGAT KETAT</x:v>
      </x:c>
      <x:c r="M3092" t="str">
        <x:v>SEDANG+</x:v>
      </x:c>
      <x:c r="N3092" t="str">
        <x:v>ELITE-3</x:v>
      </x:c>
      <x:c r="O3092" t="str">
        <x:v>SAINTEK</x:v>
      </x:c>
      <x:c r="P3092" t="str">
        <x:v>KESEHAT/GIZI/KEPERAWATAN</x:v>
      </x:c>
      <x:c r="Q3092" s="18" t="n">
        <x:v>635</x:v>
      </x:c>
      <x:c r="R3092" s="18" t="n">
        <x:v>0</x:v>
      </x:c>
      <x:c r="S3092" s="18" t="n">
        <x:v>636.5380906637055</x:v>
      </x:c>
      <x:c r="T3092" s="18" t="n">
        <x:v>691</x:v>
      </x:c>
      <x:c r="U3092" s="18" t="n">
        <x:v>636.5380906637055</x:v>
      </x:c>
      <x:c r="V3092" s="20" t="n">
        <x:v>12</x:v>
      </x:c>
      <x:c r="W3092" s="20" t="n">
        <x:v>5</x:v>
      </x:c>
      <x:c r="X3092" s="20" t="n">
        <x:v>3</x:v>
      </x:c>
      <x:c r="Y3092" t="str">
        <x:v>Basis arsip 2025/2024</x:v>
      </x:c>
      <x:c r="Z3092" t="str">
        <x:v>https://snpmb.id/utbk-snbt/daya-tampung-snbt</x:v>
      </x:c>
      <x:c r="AA3092" t="str">
        <x:v>Tidak Ada</x:v>
      </x:c>
      <x:c r="AB3092" t="str">
        <x:v>Campus=80; Ratio=62.4; Prodi=55; RelDemand=73.8; Capacity=37.5</x:v>
      </x:c>
    </x:row>
    <x:row r="3093">
      <x:c r="A3093" t="n">
        <x:v>3090</x:v>
      </x:c>
      <x:c r="B3093" t="str">
        <x:v>PTN Akademik</x:v>
      </x:c>
      <x:c r="C3093" t="str">
        <x:v>UNIVERSITAS HASANUDDIN</x:v>
      </x:c>
      <x:c r="D3093" t="str">
        <x:v>ILMU KELAUTAN</x:v>
      </x:c>
      <x:c r="E3093" t="str">
        <x:v>Sarjana</x:v>
      </x:c>
      <x:c r="F3093" s="18" t="n">
        <x:v>188</x:v>
      </x:c>
      <x:c r="G3093" s="18" t="n">
        <x:v>192</x:v>
      </x:c>
      <x:c r="H3093" s="19" t="n">
        <x:v>1.0212765957446808</x:v>
      </x:c>
      <x:c r="I3093" s="18" t="n">
        <x:f>ROUND(MIN(Model_Config_v3!$B$6,MAX(Q3093,R3093,S3093*Model_Config_v3!$B$4+T3093*Model_Config_v3!$B$5)),0)</x:f>
        <x:v>635</x:v>
      </x:c>
      <x:c r="J3093" s="18" t="n">
        <x:f>MIN(Model_Config_v3!$B$6,I3093+Model_Config_v3!$B$7)</x:f>
        <x:v>655</x:v>
      </x:c>
      <x:c r="K3093" s="20" t="n">
        <x:v>36.8</x:v>
      </x:c>
      <x:c r="L3093" t="str">
        <x:v>RELATIF LONGGAR</x:v>
      </x:c>
      <x:c r="M3093" t="str">
        <x:v>SEDANG+</x:v>
      </x:c>
      <x:c r="N3093" t="str">
        <x:v>ELITE-3</x:v>
      </x:c>
      <x:c r="O3093" t="str">
        <x:v>SAINTEK</x:v>
      </x:c>
      <x:c r="P3093" t="str">
        <x:v>UMUM</x:v>
      </x:c>
      <x:c r="Q3093" s="18" t="n">
        <x:v>635</x:v>
      </x:c>
      <x:c r="R3093" s="18" t="n">
        <x:v>0</x:v>
      </x:c>
      <x:c r="S3093" s="18" t="n">
        <x:v>521.0057717383856</x:v>
      </x:c>
      <x:c r="T3093" s="18" t="n">
        <x:v>634</x:v>
      </x:c>
      <x:c r="U3093" s="18" t="n">
        <x:v>635</x:v>
      </x:c>
      <x:c r="V3093" s="20" t="n">
        <x:v>12</x:v>
      </x:c>
      <x:c r="W3093" s="20" t="n">
        <x:v>5</x:v>
      </x:c>
      <x:c r="X3093" s="20" t="n">
        <x:v>3</x:v>
      </x:c>
      <x:c r="Y3093" t="str">
        <x:v>Basis arsip 2025/2024</x:v>
      </x:c>
      <x:c r="Z3093" t="str">
        <x:v>https://snpmb.id/utbk-snbt/daya-tampung-snbt</x:v>
      </x:c>
      <x:c r="AA3093" t="str">
        <x:v>Tidak Ada</x:v>
      </x:c>
      <x:c r="AB3093" t="str">
        <x:v>Campus=80; Ratio=0.5; Prodi=40; RelDemand=6.6; Capacity=0.0</x:v>
      </x:c>
    </x:row>
    <x:row r="3094">
      <x:c r="A3094" t="n">
        <x:v>3091</x:v>
      </x:c>
      <x:c r="B3094" t="str">
        <x:v>PTN Akademik</x:v>
      </x:c>
      <x:c r="C3094" t="str">
        <x:v>UNIVERSITAS HASANUDDIN</x:v>
      </x:c>
      <x:c r="D3094" t="str">
        <x:v>BUDIDAYA PERAIRAN</x:v>
      </x:c>
      <x:c r="E3094" t="str">
        <x:v>Sarjana</x:v>
      </x:c>
      <x:c r="F3094" s="18" t="n">
        <x:v>113</x:v>
      </x:c>
      <x:c r="G3094" s="18" t="n">
        <x:v>64</x:v>
      </x:c>
      <x:c r="H3094" s="19" t="n">
        <x:v>0.5663716814159292</x:v>
      </x:c>
      <x:c r="I3094" s="18" t="n">
        <x:f>ROUND(MIN(Model_Config_v3!$B$6,MAX(Q3094,R3094,S3094*Model_Config_v3!$B$4+T3094*Model_Config_v3!$B$5)),0)</x:f>
        <x:v>635</x:v>
      </x:c>
      <x:c r="J3094" s="18" t="n">
        <x:f>MIN(Model_Config_v3!$B$6,I3094+Model_Config_v3!$B$7)</x:f>
        <x:v>655</x:v>
      </x:c>
      <x:c r="K3094" s="20" t="n">
        <x:v>36.9</x:v>
      </x:c>
      <x:c r="L3094" t="str">
        <x:v>RELATIF LONGGAR</x:v>
      </x:c>
      <x:c r="M3094" t="str">
        <x:v>SEDANG+</x:v>
      </x:c>
      <x:c r="N3094" t="str">
        <x:v>ELITE-3</x:v>
      </x:c>
      <x:c r="O3094" t="str">
        <x:v>CAMPURAN</x:v>
      </x:c>
      <x:c r="P3094" t="str">
        <x:v>UMUM</x:v>
      </x:c>
      <x:c r="Q3094" s="18" t="n">
        <x:v>635</x:v>
      </x:c>
      <x:c r="R3094" s="18" t="n">
        <x:v>0</x:v>
      </x:c>
      <x:c r="S3094" s="18" t="n">
        <x:v>520</x:v>
      </x:c>
      <x:c r="T3094" s="18" t="n">
        <x:v>634</x:v>
      </x:c>
      <x:c r="U3094" s="18" t="n">
        <x:v>635</x:v>
      </x:c>
      <x:c r="V3094" s="20" t="n">
        <x:v>8.8</x:v>
      </x:c>
      <x:c r="W3094" s="20" t="n">
        <x:v>9.9</x:v>
      </x:c>
      <x:c r="X3094" s="20" t="n">
        <x:v>3.3</x:v>
      </x:c>
      <x:c r="Y3094" t="str">
        <x:v>Basis arsip 2025/2024</x:v>
      </x:c>
      <x:c r="Z3094" t="str">
        <x:v>https://snpmb.id/utbk-snbt/daya-tampung-snbt</x:v>
      </x:c>
      <x:c r="AA3094" t="str">
        <x:v>Tidak Ada</x:v>
      </x:c>
      <x:c r="AB3094" t="str">
        <x:v>Campus=80; Ratio=0.0; Prodi=40; RelDemand=3.6; Capacity=5.8</x:v>
      </x:c>
    </x:row>
    <x:row r="3095">
      <x:c r="A3095" t="n">
        <x:v>3092</x:v>
      </x:c>
      <x:c r="B3095" t="str">
        <x:v>PTN Akademik</x:v>
      </x:c>
      <x:c r="C3095" t="str">
        <x:v>UNIVERSITAS HASANUDDIN</x:v>
      </x:c>
      <x:c r="D3095" t="str">
        <x:v>MANAJEMEN SUMBERDAYA PERAIRAN</x:v>
      </x:c>
      <x:c r="E3095" t="str">
        <x:v>Sarjana</x:v>
      </x:c>
      <x:c r="F3095" s="18" t="n">
        <x:v>113</x:v>
      </x:c>
      <x:c r="G3095" s="18" t="n">
        <x:v>124</x:v>
      </x:c>
      <x:c r="H3095" s="19" t="n">
        <x:v>1.0973451327433628</x:v>
      </x:c>
      <x:c r="I3095" s="18" t="n">
        <x:f>ROUND(MIN(Model_Config_v3!$B$6,MAX(Q3095,R3095,S3095*Model_Config_v3!$B$4+T3095*Model_Config_v3!$B$5)),0)</x:f>
        <x:v>635</x:v>
      </x:c>
      <x:c r="J3095" s="18" t="n">
        <x:f>MIN(Model_Config_v3!$B$6,I3095+Model_Config_v3!$B$7)</x:f>
        <x:v>655</x:v>
      </x:c>
      <x:c r="K3095" s="20" t="n">
        <x:v>42.9</x:v>
      </x:c>
      <x:c r="L3095" t="str">
        <x:v>RELATIF LONGGAR</x:v>
      </x:c>
      <x:c r="M3095" t="str">
        <x:v>SEDANG+</x:v>
      </x:c>
      <x:c r="N3095" t="str">
        <x:v>ELITE-3</x:v>
      </x:c>
      <x:c r="O3095" t="str">
        <x:v>SOSHUM</x:v>
      </x:c>
      <x:c r="P3095" t="str">
        <x:v>BISNIS/EKONOMI/AKUNTANSI</x:v>
      </x:c>
      <x:c r="Q3095" s="18" t="n">
        <x:v>635</x:v>
      </x:c>
      <x:c r="R3095" s="18" t="n">
        <x:v>0</x:v>
      </x:c>
      <x:c r="S3095" s="18" t="n">
        <x:v>524.4377565846697</x:v>
      </x:c>
      <x:c r="T3095" s="18" t="n">
        <x:v>646</x:v>
      </x:c>
      <x:c r="U3095" s="18" t="n">
        <x:v>635</x:v>
      </x:c>
      <x:c r="V3095" s="20" t="n">
        <x:v>4.4</x:v>
      </x:c>
      <x:c r="W3095" s="20" t="n">
        <x:v>14.3</x:v>
      </x:c>
      <x:c r="X3095" s="20" t="n">
        <x:v>3.3</x:v>
      </x:c>
      <x:c r="Y3095" t="str">
        <x:v>Basis arsip 2025/2024</x:v>
      </x:c>
      <x:c r="Z3095" t="str">
        <x:v>https://snpmb.id/utbk-snbt/daya-tampung-snbt</x:v>
      </x:c>
      <x:c r="AA3095" t="str">
        <x:v>Tidak Ada</x:v>
      </x:c>
      <x:c r="AB3095" t="str">
        <x:v>Campus=80; Ratio=2.4; Prodi=65; RelDemand=7.1; Capacity=5.8</x:v>
      </x:c>
    </x:row>
    <x:row r="3096">
      <x:c r="A3096" t="n">
        <x:v>3093</x:v>
      </x:c>
      <x:c r="B3096" t="str">
        <x:v>PTN Akademik</x:v>
      </x:c>
      <x:c r="C3096" t="str">
        <x:v>UNIVERSITAS HASANUDDIN</x:v>
      </x:c>
      <x:c r="D3096" t="str">
        <x:v>PEMANFAATAN SUMBERDAYA PERIKANAN</x:v>
      </x:c>
      <x:c r="E3096" t="str">
        <x:v>Sarjana</x:v>
      </x:c>
      <x:c r="F3096" s="18" t="n">
        <x:v>113</x:v>
      </x:c>
      <x:c r="G3096" s="18" t="n">
        <x:v>61</x:v>
      </x:c>
      <x:c r="H3096" s="19" t="n">
        <x:v>0.5398230088495575</x:v>
      </x:c>
      <x:c r="I3096" s="18" t="n">
        <x:f>ROUND(MIN(Model_Config_v3!$B$6,MAX(Q3096,R3096,S3096*Model_Config_v3!$B$4+T3096*Model_Config_v3!$B$5)),0)</x:f>
        <x:v>635</x:v>
      </x:c>
      <x:c r="J3096" s="18" t="n">
        <x:f>MIN(Model_Config_v3!$B$6,I3096+Model_Config_v3!$B$7)</x:f>
        <x:v>655</x:v>
      </x:c>
      <x:c r="K3096" s="20" t="n">
        <x:v>36.9</x:v>
      </x:c>
      <x:c r="L3096" t="str">
        <x:v>RELATIF LONGGAR</x:v>
      </x:c>
      <x:c r="M3096" t="str">
        <x:v>SEDANG+</x:v>
      </x:c>
      <x:c r="N3096" t="str">
        <x:v>ELITE-3</x:v>
      </x:c>
      <x:c r="O3096" t="str">
        <x:v>SAINTEK</x:v>
      </x:c>
      <x:c r="P3096" t="str">
        <x:v>UMUM</x:v>
      </x:c>
      <x:c r="Q3096" s="18" t="n">
        <x:v>635</x:v>
      </x:c>
      <x:c r="R3096" s="18" t="n">
        <x:v>0</x:v>
      </x:c>
      <x:c r="S3096" s="18" t="n">
        <x:v>520</x:v>
      </x:c>
      <x:c r="T3096" s="18" t="n">
        <x:v>634</x:v>
      </x:c>
      <x:c r="U3096" s="18" t="n">
        <x:v>635</x:v>
      </x:c>
      <x:c r="V3096" s="20" t="n">
        <x:v>12</x:v>
      </x:c>
      <x:c r="W3096" s="20" t="n">
        <x:v>5</x:v>
      </x:c>
      <x:c r="X3096" s="20" t="n">
        <x:v>3</x:v>
      </x:c>
      <x:c r="Y3096" t="str">
        <x:v>Basis arsip 2025/2024</x:v>
      </x:c>
      <x:c r="Z3096" t="str">
        <x:v>https://snpmb.id/utbk-snbt/daya-tampung-snbt</x:v>
      </x:c>
      <x:c r="AA3096" t="str">
        <x:v>Tidak Ada</x:v>
      </x:c>
      <x:c r="AB3096" t="str">
        <x:v>Campus=80; Ratio=0.0; Prodi=40; RelDemand=3.5; Capacity=5.8</x:v>
      </x:c>
    </x:row>
    <x:row r="3097">
      <x:c r="A3097" t="n">
        <x:v>3094</x:v>
      </x:c>
      <x:c r="B3097" t="str">
        <x:v>PTN Akademik</x:v>
      </x:c>
      <x:c r="C3097" t="str">
        <x:v>UNIVERSITAS HASANUDDIN</x:v>
      </x:c>
      <x:c r="D3097" t="str">
        <x:v>AGROBISNIS PERIKANAN</x:v>
      </x:c>
      <x:c r="E3097" t="str">
        <x:v>Sarjana</x:v>
      </x:c>
      <x:c r="F3097" s="18" t="n">
        <x:v>113</x:v>
      </x:c>
      <x:c r="G3097" s="18" t="n">
        <x:v>90</x:v>
      </x:c>
      <x:c r="H3097" s="19" t="n">
        <x:v>0.7964601769911505</x:v>
      </x:c>
      <x:c r="I3097" s="18" t="n">
        <x:f>ROUND(MIN(Model_Config_v3!$B$6,MAX(Q3097,R3097,S3097*Model_Config_v3!$B$4+T3097*Model_Config_v3!$B$5)),0)</x:f>
        <x:v>635</x:v>
      </x:c>
      <x:c r="J3097" s="18" t="n">
        <x:f>MIN(Model_Config_v3!$B$6,I3097+Model_Config_v3!$B$7)</x:f>
        <x:v>655</x:v>
      </x:c>
      <x:c r="K3097" s="20" t="n">
        <x:v>42.1</x:v>
      </x:c>
      <x:c r="L3097" t="str">
        <x:v>RELATIF LONGGAR</x:v>
      </x:c>
      <x:c r="M3097" t="str">
        <x:v>SEDANG+</x:v>
      </x:c>
      <x:c r="N3097" t="str">
        <x:v>ELITE-3</x:v>
      </x:c>
      <x:c r="O3097" t="str">
        <x:v>SAINTEK</x:v>
      </x:c>
      <x:c r="P3097" t="str">
        <x:v>BISNIS/EKONOMI/AKUNTANSI</x:v>
      </x:c>
      <x:c r="Q3097" s="18" t="n">
        <x:v>635</x:v>
      </x:c>
      <x:c r="R3097" s="18" t="n">
        <x:v>0</x:v>
      </x:c>
      <x:c r="S3097" s="18" t="n">
        <x:v>520</x:v>
      </x:c>
      <x:c r="T3097" s="18" t="n">
        <x:v>644</x:v>
      </x:c>
      <x:c r="U3097" s="18" t="n">
        <x:v>635</x:v>
      </x:c>
      <x:c r="V3097" s="20" t="n">
        <x:v>12</x:v>
      </x:c>
      <x:c r="W3097" s="20" t="n">
        <x:v>5</x:v>
      </x:c>
      <x:c r="X3097" s="20" t="n">
        <x:v>3</x:v>
      </x:c>
      <x:c r="Y3097" t="str">
        <x:v>Basis arsip 2025/2024</x:v>
      </x:c>
      <x:c r="Z3097" t="str">
        <x:v>https://snpmb.id/utbk-snbt/daya-tampung-snbt</x:v>
      </x:c>
      <x:c r="AA3097" t="str">
        <x:v>Tidak Ada</x:v>
      </x:c>
      <x:c r="AB3097" t="str">
        <x:v>Campus=80; Ratio=0.0; Prodi=65; RelDemand=5.1; Capacity=5.8</x:v>
      </x:c>
    </x:row>
    <x:row r="3098">
      <x:c r="A3098" t="n">
        <x:v>3095</x:v>
      </x:c>
      <x:c r="B3098" t="str">
        <x:v>PTN Akademik</x:v>
      </x:c>
      <x:c r="C3098" t="str">
        <x:v>UNIVERSITAS HASANUDDIN</x:v>
      </x:c>
      <x:c r="D3098" t="str">
        <x:v>ILMU KEPERAWATAN</x:v>
      </x:c>
      <x:c r="E3098" t="str">
        <x:v>Sarjana</x:v>
      </x:c>
      <x:c r="F3098" s="18" t="n">
        <x:v>85</x:v>
      </x:c>
      <x:c r="G3098" s="18" t="n">
        <x:v>1120</x:v>
      </x:c>
      <x:c r="H3098" s="19" t="n">
        <x:v>13.176470588235293</x:v>
      </x:c>
      <x:c r="I3098" s="18" t="n">
        <x:f>ROUND(MIN(Model_Config_v3!$B$6,MAX(Q3098,R3098,S3098*Model_Config_v3!$B$4+T3098*Model_Config_v3!$B$5)),0)</x:f>
        <x:v>679</x:v>
      </x:c>
      <x:c r="J3098" s="18" t="n">
        <x:f>MIN(Model_Config_v3!$B$6,I3098+Model_Config_v3!$B$7)</x:f>
        <x:v>699</x:v>
      </x:c>
      <x:c r="K3098" s="20" t="n">
        <x:v>66.9</x:v>
      </x:c>
      <x:c r="L3098" t="str">
        <x:v>SANGAT KETAT</x:v>
      </x:c>
      <x:c r="M3098" t="str">
        <x:v>SEDANG+</x:v>
      </x:c>
      <x:c r="N3098" t="str">
        <x:v>ELITE-3</x:v>
      </x:c>
      <x:c r="O3098" t="str">
        <x:v>SAINTEK</x:v>
      </x:c>
      <x:c r="P3098" t="str">
        <x:v>KESEHAT/GIZI/KEPERAWATAN</x:v>
      </x:c>
      <x:c r="Q3098" s="18" t="n">
        <x:v>635</x:v>
      </x:c>
      <x:c r="R3098" s="18" t="n">
        <x:v>0</x:v>
      </x:c>
      <x:c r="S3098" s="18" t="n">
        <x:v>643.1779006651477</x:v>
      </x:c>
      <x:c r="T3098" s="18" t="n">
        <x:v>694</x:v>
      </x:c>
      <x:c r="U3098" s="18" t="n">
        <x:v>643.1779006651477</x:v>
      </x:c>
      <x:c r="V3098" s="20" t="n">
        <x:v>12</x:v>
      </x:c>
      <x:c r="W3098" s="20" t="n">
        <x:v>5</x:v>
      </x:c>
      <x:c r="X3098" s="20" t="n">
        <x:v>3</x:v>
      </x:c>
      <x:c r="Y3098" t="str">
        <x:v>Basis arsip 2025/2024</x:v>
      </x:c>
      <x:c r="Z3098" t="str">
        <x:v>https://snpmb.id/utbk-snbt/daya-tampung-snbt</x:v>
      </x:c>
      <x:c r="AA3098" t="str">
        <x:v>Tidak Ada</x:v>
      </x:c>
      <x:c r="AB3098" t="str">
        <x:v>Campus=80; Ratio=65.9; Prodi=55; RelDemand=84.9; Capacity=29.2</x:v>
      </x:c>
    </x:row>
    <x:row r="3099">
      <x:c r="A3099" t="n">
        <x:v>3096</x:v>
      </x:c>
      <x:c r="B3099" t="str">
        <x:v>PTN Akademik</x:v>
      </x:c>
      <x:c r="C3099" t="str">
        <x:v>UNIVERSITAS HASANUDDIN</x:v>
      </x:c>
      <x:c r="D3099" t="str">
        <x:v>PETERNAKAN</x:v>
      </x:c>
      <x:c r="E3099" t="str">
        <x:v>Sarjana</x:v>
      </x:c>
      <x:c r="F3099" s="18" t="n">
        <x:v>203</x:v>
      </x:c>
      <x:c r="G3099" s="18" t="n">
        <x:v>321</x:v>
      </x:c>
      <x:c r="H3099" s="19" t="n">
        <x:v>1.5812807881773399</x:v>
      </x:c>
      <x:c r="I3099" s="18" t="n">
        <x:f>ROUND(MIN(Model_Config_v3!$B$6,MAX(Q3099,R3099,S3099*Model_Config_v3!$B$4+T3099*Model_Config_v3!$B$5)),0)</x:f>
        <x:v>635</x:v>
      </x:c>
      <x:c r="J3099" s="18" t="n">
        <x:f>MIN(Model_Config_v3!$B$6,I3099+Model_Config_v3!$B$7)</x:f>
        <x:v>655</x:v>
      </x:c>
      <x:c r="K3099" s="20" t="n">
        <x:v>39.9</x:v>
      </x:c>
      <x:c r="L3099" t="str">
        <x:v>RELATIF LONGGAR</x:v>
      </x:c>
      <x:c r="M3099" t="str">
        <x:v>SEDANG+</x:v>
      </x:c>
      <x:c r="N3099" t="str">
        <x:v>ELITE-3</x:v>
      </x:c>
      <x:c r="O3099" t="str">
        <x:v>SAINTEK</x:v>
      </x:c>
      <x:c r="P3099" t="str">
        <x:v>UMUM</x:v>
      </x:c>
      <x:c r="Q3099" s="18" t="n">
        <x:v>635</x:v>
      </x:c>
      <x:c r="R3099" s="18" t="n">
        <x:v>0</x:v>
      </x:c>
      <x:c r="S3099" s="18" t="n">
        <x:v>541.8909893940825</x:v>
      </x:c>
      <x:c r="T3099" s="18" t="n">
        <x:v>640</x:v>
      </x:c>
      <x:c r="U3099" s="18" t="n">
        <x:v>635</x:v>
      </x:c>
      <x:c r="V3099" s="20" t="n">
        <x:v>12</x:v>
      </x:c>
      <x:c r="W3099" s="20" t="n">
        <x:v>5</x:v>
      </x:c>
      <x:c r="X3099" s="20" t="n">
        <x:v>3</x:v>
      </x:c>
      <x:c r="Y3099" t="str">
        <x:v>Basis arsip 2025/2024</x:v>
      </x:c>
      <x:c r="Z3099" t="str">
        <x:v>https://snpmb.id/utbk-snbt/daya-tampung-snbt</x:v>
      </x:c>
      <x:c r="AA3099" t="str">
        <x:v>Tidak Ada</x:v>
      </x:c>
      <x:c r="AB3099" t="str">
        <x:v>Campus=80; Ratio=11.7; Prodi=40; RelDemand=10.2; Capacity=0.0</x:v>
      </x:c>
    </x:row>
    <x:row r="3100">
      <x:c r="A3100" t="n">
        <x:v>3097</x:v>
      </x:c>
      <x:c r="B3100" t="str">
        <x:v>PTN Akademik</x:v>
      </x:c>
      <x:c r="C3100" t="str">
        <x:v>UNIVERSITAS HASANUDDIN</x:v>
      </x:c>
      <x:c r="D3100" t="str">
        <x:v>TEKNIK KELAUTAN</x:v>
      </x:c>
      <x:c r="E3100" t="str">
        <x:v>Sarjana</x:v>
      </x:c>
      <x:c r="F3100" s="18" t="n">
        <x:v>86</x:v>
      </x:c>
      <x:c r="G3100" s="18" t="n">
        <x:v>173</x:v>
      </x:c>
      <x:c r="H3100" s="19" t="n">
        <x:v>2.011627906976744</x:v>
      </x:c>
      <x:c r="I3100" s="18" t="n">
        <x:f>ROUND(MIN(Model_Config_v3!$B$6,MAX(Q3100,R3100,S3100*Model_Config_v3!$B$4+T3100*Model_Config_v3!$B$5)),0)</x:f>
        <x:v>635</x:v>
      </x:c>
      <x:c r="J3100" s="18" t="n">
        <x:f>MIN(Model_Config_v3!$B$6,I3100+Model_Config_v3!$B$7)</x:f>
        <x:v>655</x:v>
      </x:c>
      <x:c r="K3100" s="20" t="n">
        <x:v>48.6</x:v>
      </x:c>
      <x:c r="L3100" t="str">
        <x:v>MENENGAH</x:v>
      </x:c>
      <x:c r="M3100" t="str">
        <x:v>SEDANG+</x:v>
      </x:c>
      <x:c r="N3100" t="str">
        <x:v>ELITE-3</x:v>
      </x:c>
      <x:c r="O3100" t="str">
        <x:v>SAINTEK</x:v>
      </x:c>
      <x:c r="P3100" t="str">
        <x:v>TEKNIK/ARSITEKTUR/STATISTIKA/AKTUARIA</x:v>
      </x:c>
      <x:c r="Q3100" s="18" t="n">
        <x:v>635</x:v>
      </x:c>
      <x:c r="R3100" s="18" t="n">
        <x:v>0</x:v>
      </x:c>
      <x:c r="S3100" s="18" t="n">
        <x:v>553.390241707375</x:v>
      </x:c>
      <x:c r="T3100" s="18" t="n">
        <x:v>657</x:v>
      </x:c>
      <x:c r="U3100" s="18" t="n">
        <x:v>635</x:v>
      </x:c>
      <x:c r="V3100" s="20" t="n">
        <x:v>12</x:v>
      </x:c>
      <x:c r="W3100" s="20" t="n">
        <x:v>5</x:v>
      </x:c>
      <x:c r="X3100" s="20" t="n">
        <x:v>3</x:v>
      </x:c>
      <x:c r="Y3100" t="str">
        <x:v>Basis arsip 2025/2024</x:v>
      </x:c>
      <x:c r="Z3100" t="str">
        <x:v>https://snpmb.id/utbk-snbt/daya-tampung-snbt</x:v>
      </x:c>
      <x:c r="AA3100" t="str">
        <x:v>Tidak Ada</x:v>
      </x:c>
      <x:c r="AB3100" t="str">
        <x:v>Campus=80; Ratio=17.9; Prodi=60; RelDemand=13.0; Capacity=28.3</x:v>
      </x:c>
    </x:row>
    <x:row r="3101">
      <x:c r="A3101" t="n">
        <x:v>3098</x:v>
      </x:c>
      <x:c r="B3101" t="str">
        <x:v>PTN Akademik</x:v>
      </x:c>
      <x:c r="C3101" t="str">
        <x:v>UNIVERSITAS HASANUDDIN</x:v>
      </x:c>
      <x:c r="D3101" t="str">
        <x:v>TEKNIK INDUSTRI</x:v>
      </x:c>
      <x:c r="E3101" t="str">
        <x:v>Sarjana</x:v>
      </x:c>
      <x:c r="F3101" s="18" t="n">
        <x:v>60</x:v>
      </x:c>
      <x:c r="G3101" s="18" t="n">
        <x:v>788</x:v>
      </x:c>
      <x:c r="H3101" s="19" t="n">
        <x:v>13.133333333333333</x:v>
      </x:c>
      <x:c r="I3101" s="18" t="n">
        <x:f>ROUND(MIN(Model_Config_v3!$B$6,MAX(Q3101,R3101,S3101*Model_Config_v3!$B$4+T3101*Model_Config_v3!$B$5)),0)</x:f>
        <x:v>683</x:v>
      </x:c>
      <x:c r="J3101" s="18" t="n">
        <x:f>MIN(Model_Config_v3!$B$6,I3101+Model_Config_v3!$B$7)</x:f>
        <x:v>703</x:v>
      </x:c>
      <x:c r="K3101" s="20" t="n">
        <x:v>69.9</x:v>
      </x:c>
      <x:c r="L3101" t="str">
        <x:v>SANGAT KETAT</x:v>
      </x:c>
      <x:c r="M3101" t="str">
        <x:v>SEDANG+</x:v>
      </x:c>
      <x:c r="N3101" t="str">
        <x:v>ELITE-3</x:v>
      </x:c>
      <x:c r="O3101" t="str">
        <x:v>SAINTEK</x:v>
      </x:c>
      <x:c r="P3101" t="str">
        <x:v>TEKNIK/ARSITEKTUR/STATISTIKA/AKTUARIA</x:v>
      </x:c>
      <x:c r="Q3101" s="18" t="n">
        <x:v>635</x:v>
      </x:c>
      <x:c r="R3101" s="18" t="n">
        <x:v>0</x:v>
      </x:c>
      <x:c r="S3101" s="18" t="n">
        <x:v>643.0212463816503</x:v>
      </x:c>
      <x:c r="T3101" s="18" t="n">
        <x:v>700</x:v>
      </x:c>
      <x:c r="U3101" s="18" t="n">
        <x:v>653.0212463816503</x:v>
      </x:c>
      <x:c r="V3101" s="20" t="n">
        <x:v>12</x:v>
      </x:c>
      <x:c r="W3101" s="20" t="n">
        <x:v>5</x:v>
      </x:c>
      <x:c r="X3101" s="20" t="n">
        <x:v>3</x:v>
      </x:c>
      <x:c r="Y3101" t="str">
        <x:v>Basis arsip 2025/2024</x:v>
      </x:c>
      <x:c r="Z3101" t="str">
        <x:v>https://snpmb.id/utbk-snbt/daya-tampung-snbt</x:v>
      </x:c>
      <x:c r="AA3101" t="str">
        <x:v>Tidak Ada</x:v>
      </x:c>
      <x:c r="AB3101" t="str">
        <x:v>Campus=80; Ratio=65.8; Prodi=60; RelDemand=84.6; Capacity=50.0</x:v>
      </x:c>
    </x:row>
    <x:row r="3102">
      <x:c r="A3102" t="n">
        <x:v>3099</x:v>
      </x:c>
      <x:c r="B3102" t="str">
        <x:v>PTN Akademik</x:v>
      </x:c>
      <x:c r="C3102" t="str">
        <x:v>UNIVERSITAS HASANUDDIN</x:v>
      </x:c>
      <x:c r="D3102" t="str">
        <x:v>TEKNIK SISTEM PERKAPALAN</x:v>
      </x:c>
      <x:c r="E3102" t="str">
        <x:v>Sarjana</x:v>
      </x:c>
      <x:c r="F3102" s="18" t="n">
        <x:v>67</x:v>
      </x:c>
      <x:c r="G3102" s="18" t="n">
        <x:v>152</x:v>
      </x:c>
      <x:c r="H3102" s="19" t="n">
        <x:v>2.2686567164179103</x:v>
      </x:c>
      <x:c r="I3102" s="18" t="n">
        <x:f>ROUND(MIN(Model_Config_v3!$B$6,MAX(Q3102,R3102,S3102*Model_Config_v3!$B$4+T3102*Model_Config_v3!$B$5)),0)</x:f>
        <x:v>635</x:v>
      </x:c>
      <x:c r="J3102" s="18" t="n">
        <x:f>MIN(Model_Config_v3!$B$6,I3102+Model_Config_v3!$B$7)</x:f>
        <x:v>655</x:v>
      </x:c>
      <x:c r="K3102" s="20" t="n">
        <x:v>51.1</x:v>
      </x:c>
      <x:c r="L3102" t="str">
        <x:v>MENENGAH</x:v>
      </x:c>
      <x:c r="M3102" t="str">
        <x:v>SEDANG+</x:v>
      </x:c>
      <x:c r="N3102" t="str">
        <x:v>ELITE-3</x:v>
      </x:c>
      <x:c r="O3102" t="str">
        <x:v>SAINTEK</x:v>
      </x:c>
      <x:c r="P3102" t="str">
        <x:v>TEKNIK/ARSITEKTUR/STATISTIKA/AKTUARIA</x:v>
      </x:c>
      <x:c r="Q3102" s="18" t="n">
        <x:v>635</x:v>
      </x:c>
      <x:c r="R3102" s="18" t="n">
        <x:v>0</x:v>
      </x:c>
      <x:c r="S3102" s="18" t="n">
        <x:v>559.1345663768341</x:v>
      </x:c>
      <x:c r="T3102" s="18" t="n">
        <x:v>662</x:v>
      </x:c>
      <x:c r="U3102" s="18" t="n">
        <x:v>635</x:v>
      </x:c>
      <x:c r="V3102" s="20" t="n">
        <x:v>12</x:v>
      </x:c>
      <x:c r="W3102" s="20" t="n">
        <x:v>5</x:v>
      </x:c>
      <x:c r="X3102" s="20" t="n">
        <x:v>3</x:v>
      </x:c>
      <x:c r="Y3102" t="str">
        <x:v>Basis arsip 2025/2024</x:v>
      </x:c>
      <x:c r="Z3102" t="str">
        <x:v>https://snpmb.id/utbk-snbt/daya-tampung-snbt</x:v>
      </x:c>
      <x:c r="AA3102" t="str">
        <x:v>Tidak Ada</x:v>
      </x:c>
      <x:c r="AB3102" t="str">
        <x:v>Campus=80; Ratio=20.9; Prodi=60; RelDemand=14.6; Capacity=44.2</x:v>
      </x:c>
    </x:row>
    <x:row r="3103">
      <x:c r="A3103" t="n">
        <x:v>3100</x:v>
      </x:c>
      <x:c r="B3103" t="str">
        <x:v>PTN Akademik</x:v>
      </x:c>
      <x:c r="C3103" t="str">
        <x:v>UNIVERSITAS HASANUDDIN</x:v>
      </x:c>
      <x:c r="D3103" t="str">
        <x:v>PERENCANAAN WILAYAH DAN KOTA</x:v>
      </x:c>
      <x:c r="E3103" t="str">
        <x:v>Sarjana</x:v>
      </x:c>
      <x:c r="F3103" s="18" t="n">
        <x:v>53</x:v>
      </x:c>
      <x:c r="G3103" s="18" t="n">
        <x:v>350</x:v>
      </x:c>
      <x:c r="H3103" s="19" t="n">
        <x:v>6.60377358490566</x:v>
      </x:c>
      <x:c r="I3103" s="18" t="n">
        <x:f>ROUND(MIN(Model_Config_v3!$B$6,MAX(Q3103,R3103,S3103*Model_Config_v3!$B$4+T3103*Model_Config_v3!$B$5)),0)</x:f>
        <x:v>656</x:v>
      </x:c>
      <x:c r="J3103" s="18" t="n">
        <x:f>MIN(Model_Config_v3!$B$6,I3103+Model_Config_v3!$B$7)</x:f>
        <x:v>676</x:v>
      </x:c>
      <x:c r="K3103" s="20" t="n">
        <x:v>57.9</x:v>
      </x:c>
      <x:c r="L3103" t="str">
        <x:v>KETAT</x:v>
      </x:c>
      <x:c r="M3103" t="str">
        <x:v>SEDANG+</x:v>
      </x:c>
      <x:c r="N3103" t="str">
        <x:v>ELITE-3</x:v>
      </x:c>
      <x:c r="O3103" t="str">
        <x:v>CAMPURAN</x:v>
      </x:c>
      <x:c r="P3103" t="str">
        <x:v>UMUM</x:v>
      </x:c>
      <x:c r="Q3103" s="18" t="n">
        <x:v>635</x:v>
      </x:c>
      <x:c r="R3103" s="18" t="n">
        <x:v>0</x:v>
      </x:c>
      <x:c r="S3103" s="18" t="n">
        <x:v>610.1771392224435</x:v>
      </x:c>
      <x:c r="T3103" s="18" t="n">
        <x:v>676</x:v>
      </x:c>
      <x:c r="U3103" s="18" t="n">
        <x:v>635</x:v>
      </x:c>
      <x:c r="V3103" s="20" t="n">
        <x:v>8.8</x:v>
      </x:c>
      <x:c r="W3103" s="20" t="n">
        <x:v>9.9</x:v>
      </x:c>
      <x:c r="X3103" s="20" t="n">
        <x:v>3.3</x:v>
      </x:c>
      <x:c r="Y3103" t="str">
        <x:v>Basis arsip 2025/2024</x:v>
      </x:c>
      <x:c r="Z3103" t="str">
        <x:v>https://snpmb.id/utbk-snbt/daya-tampung-snbt</x:v>
      </x:c>
      <x:c r="AA3103" t="str">
        <x:v>Tidak Ada</x:v>
      </x:c>
      <x:c r="AB3103" t="str">
        <x:v>Campus=80; Ratio=48.3; Prodi=40; RelDemand=42.5; Capacity=55.8</x:v>
      </x:c>
    </x:row>
    <x:row r="3104">
      <x:c r="A3104" t="n">
        <x:v>3101</x:v>
      </x:c>
      <x:c r="B3104" t="str">
        <x:v>PTN Akademik</x:v>
      </x:c>
      <x:c r="C3104" t="str">
        <x:v>UNIVERSITAS HASANUDDIN</x:v>
      </x:c>
      <x:c r="D3104" t="str">
        <x:v>TEKNIK PERTAMBANGAN</x:v>
      </x:c>
      <x:c r="E3104" t="str">
        <x:v>Sarjana</x:v>
      </x:c>
      <x:c r="F3104" s="18" t="n">
        <x:v>52</x:v>
      </x:c>
      <x:c r="G3104" s="18" t="n">
        <x:v>1788</x:v>
      </x:c>
      <x:c r="H3104" s="19" t="n">
        <x:v>34.38461538461539</x:v>
      </x:c>
      <x:c r="I3104" s="18" t="n">
        <x:f>ROUND(MIN(Model_Config_v3!$B$6,MAX(Q3104,R3104,S3104*Model_Config_v3!$B$4+T3104*Model_Config_v3!$B$5)),0)</x:f>
        <x:v>709</x:v>
      </x:c>
      <x:c r="J3104" s="18" t="n">
        <x:f>MIN(Model_Config_v3!$B$6,I3104+Model_Config_v3!$B$7)</x:f>
        <x:v>729</x:v>
      </x:c>
      <x:c r="K3104" s="20" t="n">
        <x:v>78.3</x:v>
      </x:c>
      <x:c r="L3104" t="str">
        <x:v>ELITE</x:v>
      </x:c>
      <x:c r="M3104" t="str">
        <x:v>SEDANG+</x:v>
      </x:c>
      <x:c r="N3104" t="str">
        <x:v>ELITE-3</x:v>
      </x:c>
      <x:c r="O3104" t="str">
        <x:v>SAINTEK</x:v>
      </x:c>
      <x:c r="P3104" t="str">
        <x:v>TEKNIK/ARSITEKTUR/STATISTIKA/AKTUARIA</x:v>
      </x:c>
      <x:c r="Q3104" s="18" t="n">
        <x:v>635</x:v>
      </x:c>
      <x:c r="R3104" s="18" t="n">
        <x:v>0</x:v>
      </x:c>
      <x:c r="S3104" s="18" t="n">
        <x:v>689.0000587907609</x:v>
      </x:c>
      <x:c r="T3104" s="18" t="n">
        <x:v>717</x:v>
      </x:c>
      <x:c r="U3104" s="18" t="n">
        <x:v>699.0000587907609</x:v>
      </x:c>
      <x:c r="V3104" s="20" t="n">
        <x:v>12</x:v>
      </x:c>
      <x:c r="W3104" s="20" t="n">
        <x:v>5</x:v>
      </x:c>
      <x:c r="X3104" s="20" t="n">
        <x:v>3</x:v>
      </x:c>
      <x:c r="Y3104" t="str">
        <x:v>Basis arsip 2025/2024</x:v>
      </x:c>
      <x:c r="Z3104" t="str">
        <x:v>https://snpmb.id/utbk-snbt/daya-tampung-snbt</x:v>
      </x:c>
      <x:c r="AA3104" t="str">
        <x:v>Tidak Ada</x:v>
      </x:c>
      <x:c r="AB3104" t="str">
        <x:v>Campus=80; Ratio=90.4; Prodi=60; RelDemand=100.0; Capacity=56.7</x:v>
      </x:c>
    </x:row>
    <x:row r="3105">
      <x:c r="A3105" t="n">
        <x:v>3102</x:v>
      </x:c>
      <x:c r="B3105" t="str">
        <x:v>PTN Akademik</x:v>
      </x:c>
      <x:c r="C3105" t="str">
        <x:v>UNIVERSITAS HASANUDDIN</x:v>
      </x:c>
      <x:c r="D3105" t="str">
        <x:v>TEKNIK INFORMATIKA</x:v>
      </x:c>
      <x:c r="E3105" t="str">
        <x:v>Sarjana</x:v>
      </x:c>
      <x:c r="F3105" s="18" t="n">
        <x:v>64</x:v>
      </x:c>
      <x:c r="G3105" s="18" t="n">
        <x:v>1988</x:v>
      </x:c>
      <x:c r="H3105" s="19" t="n">
        <x:v>31.0625</x:v>
      </x:c>
      <x:c r="I3105" s="18" t="n">
        <x:f>ROUND(MIN(Model_Config_v3!$B$6,MAX(Q3105,R3105,S3105*Model_Config_v3!$B$4+T3105*Model_Config_v3!$B$5)),0)</x:f>
        <x:v>711</x:v>
      </x:c>
      <x:c r="J3105" s="18" t="n">
        <x:f>MIN(Model_Config_v3!$B$6,I3105+Model_Config_v3!$B$7)</x:f>
        <x:v>731</x:v>
      </x:c>
      <x:c r="K3105" s="20" t="n">
        <x:v>81.6</x:v>
      </x:c>
      <x:c r="L3105" t="str">
        <x:v>ELITE</x:v>
      </x:c>
      <x:c r="M3105" t="str">
        <x:v>SEDANG+</x:v>
      </x:c>
      <x:c r="N3105" t="str">
        <x:v>ELITE-3</x:v>
      </x:c>
      <x:c r="O3105" t="str">
        <x:v>SAINTEK</x:v>
      </x:c>
      <x:c r="P3105" t="str">
        <x:v>KOMPUTER/INFORMATIKA</x:v>
      </x:c>
      <x:c r="Q3105" s="18" t="n">
        <x:v>635</x:v>
      </x:c>
      <x:c r="R3105" s="18" t="n">
        <x:v>675</x:v>
      </x:c>
      <x:c r="S3105" s="18" t="n">
        <x:v>684.1460046685148</x:v>
      </x:c>
      <x:c r="T3105" s="18" t="n">
        <x:v>723</x:v>
      </x:c>
      <x:c r="U3105" s="18" t="n">
        <x:v>709.1460046685148</x:v>
      </x:c>
      <x:c r="V3105" s="20" t="n">
        <x:v>12</x:v>
      </x:c>
      <x:c r="W3105" s="20" t="n">
        <x:v>5</x:v>
      </x:c>
      <x:c r="X3105" s="20" t="n">
        <x:v>3</x:v>
      </x:c>
      <x:c r="Y3105" t="str">
        <x:v>Basis arsip 2025/2024</x:v>
      </x:c>
      <x:c r="Z3105" t="str">
        <x:v>https://snpmb.id/utbk-snbt/daya-tampung-snbt</x:v>
      </x:c>
      <x:c r="AA3105" t="str">
        <x:v>Tidak Ada</x:v>
      </x:c>
      <x:c r="AB3105" t="str">
        <x:v>Campus=80; Ratio=87.8; Prodi=85; RelDemand=100.0; Capacity=46.7</x:v>
      </x:c>
    </x:row>
    <x:row r="3106">
      <x:c r="A3106" t="n">
        <x:v>3103</x:v>
      </x:c>
      <x:c r="B3106" t="str">
        <x:v>PTN Akademik</x:v>
      </x:c>
      <x:c r="C3106" t="str">
        <x:v>UNIVERSITAS HASANUDDIN</x:v>
      </x:c>
      <x:c r="D3106" t="str">
        <x:v>FISOTERAPI</x:v>
      </x:c>
      <x:c r="E3106" t="str">
        <x:v>Sarjana</x:v>
      </x:c>
      <x:c r="F3106" s="18" t="n">
        <x:v>45</x:v>
      </x:c>
      <x:c r="G3106" s="18" t="n">
        <x:v>487</x:v>
      </x:c>
      <x:c r="H3106" s="19" t="n">
        <x:v>10.822222222222223</x:v>
      </x:c>
      <x:c r="I3106" s="18" t="n">
        <x:f>ROUND(MIN(Model_Config_v3!$B$6,MAX(Q3106,R3106,S3106*Model_Config_v3!$B$4+T3106*Model_Config_v3!$B$5)),0)</x:f>
        <x:v>672</x:v>
      </x:c>
      <x:c r="J3106" s="18" t="n">
        <x:f>MIN(Model_Config_v3!$B$6,I3106+Model_Config_v3!$B$7)</x:f>
        <x:v>692</x:v>
      </x:c>
      <x:c r="K3106" s="20" t="n">
        <x:v>64.4</x:v>
      </x:c>
      <x:c r="L3106" t="str">
        <x:v>KETAT</x:v>
      </x:c>
      <x:c r="M3106" t="str">
        <x:v>SEDANG+</x:v>
      </x:c>
      <x:c r="N3106" t="str">
        <x:v>ELITE-3</x:v>
      </x:c>
      <x:c r="O3106" t="str">
        <x:v>CAMPURAN</x:v>
      </x:c>
      <x:c r="P3106" t="str">
        <x:v>UMUM</x:v>
      </x:c>
      <x:c r="Q3106" s="18" t="n">
        <x:v>635</x:v>
      </x:c>
      <x:c r="R3106" s="18" t="n">
        <x:v>0</x:v>
      </x:c>
      <x:c r="S3106" s="18" t="n">
        <x:v>633.7748092183219</x:v>
      </x:c>
      <x:c r="T3106" s="18" t="n">
        <x:v>689</x:v>
      </x:c>
      <x:c r="U3106" s="18" t="n">
        <x:v>635</x:v>
      </x:c>
      <x:c r="V3106" s="20" t="n">
        <x:v>8.8</x:v>
      </x:c>
      <x:c r="W3106" s="20" t="n">
        <x:v>9.9</x:v>
      </x:c>
      <x:c r="X3106" s="20" t="n">
        <x:v>3.3</x:v>
      </x:c>
      <x:c r="Y3106" t="str">
        <x:v>Basis arsip 2025/2024</x:v>
      </x:c>
      <x:c r="Z3106" t="str">
        <x:v>https://snpmb.id/utbk-snbt/daya-tampung-snbt</x:v>
      </x:c>
      <x:c r="AA3106" t="str">
        <x:v>Tidak Ada</x:v>
      </x:c>
      <x:c r="AB3106" t="str">
        <x:v>Campus=80; Ratio=60.9; Prodi=40; RelDemand=69.7; Capacity=62.5</x:v>
      </x:c>
    </x:row>
    <x:row r="3107">
      <x:c r="A3107" t="n">
        <x:v>3104</x:v>
      </x:c>
      <x:c r="B3107" t="str">
        <x:v>PTN Akademik</x:v>
      </x:c>
      <x:c r="C3107" t="str">
        <x:v>UNIVERSITAS HASANUDDIN</x:v>
      </x:c>
      <x:c r="D3107" t="str">
        <x:v>TEKNIK LINGKUNGAN</x:v>
      </x:c>
      <x:c r="E3107" t="str">
        <x:v>Sarjana</x:v>
      </x:c>
      <x:c r="F3107" s="18" t="n">
        <x:v>65</x:v>
      </x:c>
      <x:c r="G3107" s="18" t="n">
        <x:v>486</x:v>
      </x:c>
      <x:c r="H3107" s="19" t="n">
        <x:v>7.476923076923077</x:v>
      </x:c>
      <x:c r="I3107" s="18" t="n">
        <x:f>ROUND(MIN(Model_Config_v3!$B$6,MAX(Q3107,R3107,S3107*Model_Config_v3!$B$4+T3107*Model_Config_v3!$B$5)),0)</x:f>
        <x:v>664</x:v>
      </x:c>
      <x:c r="J3107" s="18" t="n">
        <x:f>MIN(Model_Config_v3!$B$6,I3107+Model_Config_v3!$B$7)</x:f>
        <x:v>684</x:v>
      </x:c>
      <x:c r="K3107" s="20" t="n">
        <x:v>62.3</x:v>
      </x:c>
      <x:c r="L3107" t="str">
        <x:v>KETAT</x:v>
      </x:c>
      <x:c r="M3107" t="str">
        <x:v>SEDANG+</x:v>
      </x:c>
      <x:c r="N3107" t="str">
        <x:v>ELITE-3</x:v>
      </x:c>
      <x:c r="O3107" t="str">
        <x:v>SAINTEK</x:v>
      </x:c>
      <x:c r="P3107" t="str">
        <x:v>TEKNIK/ARSITEKTUR/STATISTIKA/AKTUARIA</x:v>
      </x:c>
      <x:c r="Q3107" s="18" t="n">
        <x:v>635</x:v>
      </x:c>
      <x:c r="R3107" s="18" t="n">
        <x:v>0</x:v>
      </x:c>
      <x:c r="S3107" s="18" t="n">
        <x:v>616.1095203881382</x:v>
      </x:c>
      <x:c r="T3107" s="18" t="n">
        <x:v>685</x:v>
      </x:c>
      <x:c r="U3107" s="18" t="n">
        <x:v>635</x:v>
      </x:c>
      <x:c r="V3107" s="20" t="n">
        <x:v>12</x:v>
      </x:c>
      <x:c r="W3107" s="20" t="n">
        <x:v>5</x:v>
      </x:c>
      <x:c r="X3107" s="20" t="n">
        <x:v>3</x:v>
      </x:c>
      <x:c r="Y3107" t="str">
        <x:v>Basis arsip 2025/2024</x:v>
      </x:c>
      <x:c r="Z3107" t="str">
        <x:v>https://snpmb.id/utbk-snbt/daya-tampung-snbt</x:v>
      </x:c>
      <x:c r="AA3107" t="str">
        <x:v>Tidak Ada</x:v>
      </x:c>
      <x:c r="AB3107" t="str">
        <x:v>Campus=80; Ratio=51.4; Prodi=60; RelDemand=48.1; Capacity=45.8</x:v>
      </x:c>
    </x:row>
    <x:row r="3108">
      <x:c r="A3108" t="n">
        <x:v>3105</x:v>
      </x:c>
      <x:c r="B3108" t="str">
        <x:v>PTN Akademik</x:v>
      </x:c>
      <x:c r="C3108" t="str">
        <x:v>UNIVERSITAS HASANUDDIN</x:v>
      </x:c>
      <x:c r="D3108" t="str">
        <x:v>KEDOKTERAN HEWAN</x:v>
      </x:c>
      <x:c r="E3108" t="str">
        <x:v>Sarjana</x:v>
      </x:c>
      <x:c r="F3108" s="18" t="n">
        <x:v>65</x:v>
      </x:c>
      <x:c r="G3108" s="18" t="n">
        <x:v>423</x:v>
      </x:c>
      <x:c r="H3108" s="19" t="n">
        <x:v>6.507692307692308</x:v>
      </x:c>
      <x:c r="I3108" s="18" t="n">
        <x:f>ROUND(MIN(Model_Config_v3!$B$6,MAX(Q3108,R3108,S3108*Model_Config_v3!$B$4+T3108*Model_Config_v3!$B$5)),0)</x:f>
        <x:v>660</x:v>
      </x:c>
      <x:c r="J3108" s="18" t="n">
        <x:f>MIN(Model_Config_v3!$B$6,I3108+Model_Config_v3!$B$7)</x:f>
        <x:v>680</x:v>
      </x:c>
      <x:c r="K3108" s="20" t="n">
        <x:v>60.7</x:v>
      </x:c>
      <x:c r="L3108" t="str">
        <x:v>KETAT</x:v>
      </x:c>
      <x:c r="M3108" t="str">
        <x:v>SEDANG+</x:v>
      </x:c>
      <x:c r="N3108" t="str">
        <x:v>ELITE-3</x:v>
      </x:c>
      <x:c r="O3108" t="str">
        <x:v>SAINTEK</x:v>
      </x:c>
      <x:c r="P3108" t="str">
        <x:v>VETERINER</x:v>
      </x:c>
      <x:c r="Q3108" s="18" t="n">
        <x:v>635</x:v>
      </x:c>
      <x:c r="R3108" s="18" t="n">
        <x:v>650</x:v>
      </x:c>
      <x:c r="S3108" s="18" t="n">
        <x:v>609.4769711805405</x:v>
      </x:c>
      <x:c r="T3108" s="18" t="n">
        <x:v>681</x:v>
      </x:c>
      <x:c r="U3108" s="18" t="n">
        <x:v>635</x:v>
      </x:c>
      <x:c r="V3108" s="20" t="n">
        <x:v>12</x:v>
      </x:c>
      <x:c r="W3108" s="20" t="n">
        <x:v>5</x:v>
      </x:c>
      <x:c r="X3108" s="20" t="n">
        <x:v>3</x:v>
      </x:c>
      <x:c r="Y3108" t="str">
        <x:v>Basis arsip 2025/2024</x:v>
      </x:c>
      <x:c r="Z3108" t="str">
        <x:v>https://snpmb.id/utbk-snbt/daya-tampung-snbt</x:v>
      </x:c>
      <x:c r="AA3108" t="str">
        <x:v>Tidak Ada</x:v>
      </x:c>
      <x:c r="AB3108" t="str">
        <x:v>Campus=80; Ratio=47.9; Prodi=60; RelDemand=41.9; Capacity=45.8</x:v>
      </x:c>
    </x:row>
    <x:row r="3109">
      <x:c r="A3109" t="n">
        <x:v>3106</x:v>
      </x:c>
      <x:c r="B3109" t="str">
        <x:v>PTN Akademik</x:v>
      </x:c>
      <x:c r="C3109" t="str">
        <x:v>UNIVERSITAS HASANUDDIN</x:v>
      </x:c>
      <x:c r="D3109" t="str">
        <x:v>PSIKOLOGI</x:v>
      </x:c>
      <x:c r="E3109" t="str">
        <x:v>Sarjana</x:v>
      </x:c>
      <x:c r="F3109" s="18" t="n">
        <x:v>53</x:v>
      </x:c>
      <x:c r="G3109" s="18" t="n">
        <x:v>1272</x:v>
      </x:c>
      <x:c r="H3109" s="19" t="n">
        <x:v>24</x:v>
      </x:c>
      <x:c r="I3109" s="18" t="n">
        <x:f>ROUND(MIN(Model_Config_v3!$B$6,MAX(Q3109,R3109,S3109*Model_Config_v3!$B$4+T3109*Model_Config_v3!$B$5)),0)</x:f>
        <x:v>706</x:v>
      </x:c>
      <x:c r="J3109" s="18" t="n">
        <x:f>MIN(Model_Config_v3!$B$6,I3109+Model_Config_v3!$B$7)</x:f>
        <x:v>726</x:v>
      </x:c>
      <x:c r="K3109" s="20" t="n">
        <x:v>79.9</x:v>
      </x:c>
      <x:c r="L3109" t="str">
        <x:v>ELITE</x:v>
      </x:c>
      <x:c r="M3109" t="str">
        <x:v>SEDANG+</x:v>
      </x:c>
      <x:c r="N3109" t="str">
        <x:v>ELITE-3</x:v>
      </x:c>
      <x:c r="O3109" t="str">
        <x:v>SOSHUM</x:v>
      </x:c>
      <x:c r="P3109" t="str">
        <x:v>PSIKOLOGI</x:v>
      </x:c>
      <x:c r="Q3109" s="18" t="n">
        <x:v>635</x:v>
      </x:c>
      <x:c r="R3109" s="18" t="n">
        <x:v>670</x:v>
      </x:c>
      <x:c r="S3109" s="18" t="n">
        <x:v>671.8232365882766</x:v>
      </x:c>
      <x:c r="T3109" s="18" t="n">
        <x:v>720</x:v>
      </x:c>
      <x:c r="U3109" s="18" t="n">
        <x:v>696.8232365882766</x:v>
      </x:c>
      <x:c r="V3109" s="20" t="n">
        <x:v>4.4</x:v>
      </x:c>
      <x:c r="W3109" s="20" t="n">
        <x:v>14.3</x:v>
      </x:c>
      <x:c r="X3109" s="20" t="n">
        <x:v>3.3</x:v>
      </x:c>
      <x:c r="Y3109" t="str">
        <x:v>Basis arsip 2025/2024</x:v>
      </x:c>
      <x:c r="Z3109" t="str">
        <x:v>https://snpmb.id/utbk-snbt/daya-tampung-snbt</x:v>
      </x:c>
      <x:c r="AA3109" t="str">
        <x:v>Tidak Ada</x:v>
      </x:c>
      <x:c r="AB3109" t="str">
        <x:v>Campus=80; Ratio=81.2; Prodi=80; RelDemand=100.0; Capacity=55.8</x:v>
      </x:c>
    </x:row>
    <x:row r="3110">
      <x:c r="A3110" t="n">
        <x:v>3107</x:v>
      </x:c>
      <x:c r="B3110" t="str">
        <x:v>PTN Akademik</x:v>
      </x:c>
      <x:c r="C3110" t="str">
        <x:v>UNIVERSITAS HASANUDDIN</x:v>
      </x:c>
      <x:c r="D3110" t="str">
        <x:v>SISTEM INFORMASI</x:v>
      </x:c>
      <x:c r="E3110" t="str">
        <x:v>Sarjana</x:v>
      </x:c>
      <x:c r="F3110" s="18" t="n">
        <x:v>50</x:v>
      </x:c>
      <x:c r="G3110" s="18" t="n">
        <x:v>739</x:v>
      </x:c>
      <x:c r="H3110" s="19" t="n">
        <x:v>14.78</x:v>
      </x:c>
      <x:c r="I3110" s="18" t="n">
        <x:f>ROUND(MIN(Model_Config_v3!$B$6,MAX(Q3110,R3110,S3110*Model_Config_v3!$B$4+T3110*Model_Config_v3!$B$5)),0)</x:f>
        <x:v>695</x:v>
      </x:c>
      <x:c r="J3110" s="18" t="n">
        <x:f>MIN(Model_Config_v3!$B$6,I3110+Model_Config_v3!$B$7)</x:f>
        <x:v>715</x:v>
      </x:c>
      <x:c r="K3110" s="20" t="n">
        <x:v>77.6</x:v>
      </x:c>
      <x:c r="L3110" t="str">
        <x:v>ELITE</x:v>
      </x:c>
      <x:c r="M3110" t="str">
        <x:v>SEDANG+</x:v>
      </x:c>
      <x:c r="N3110" t="str">
        <x:v>ELITE-3</x:v>
      </x:c>
      <x:c r="O3110" t="str">
        <x:v>CAMPURAN</x:v>
      </x:c>
      <x:c r="P3110" t="str">
        <x:v>KOMPUTER/INFORMATIKA</x:v>
      </x:c>
      <x:c r="Q3110" s="18" t="n">
        <x:v>635</x:v>
      </x:c>
      <x:c r="R3110" s="18" t="n">
        <x:v>675</x:v>
      </x:c>
      <x:c r="S3110" s="18" t="n">
        <x:v>648.6641877464688</x:v>
      </x:c>
      <x:c r="T3110" s="18" t="n">
        <x:v>715</x:v>
      </x:c>
      <x:c r="U3110" s="18" t="n">
        <x:v>675</x:v>
      </x:c>
      <x:c r="V3110" s="20" t="n">
        <x:v>8.8</x:v>
      </x:c>
      <x:c r="W3110" s="20" t="n">
        <x:v>9.9</x:v>
      </x:c>
      <x:c r="X3110" s="20" t="n">
        <x:v>3.3</x:v>
      </x:c>
      <x:c r="Y3110" t="str">
        <x:v>Basis arsip 2025/2024</x:v>
      </x:c>
      <x:c r="Z3110" t="str">
        <x:v>https://snpmb.id/utbk-snbt/daya-tampung-snbt</x:v>
      </x:c>
      <x:c r="AA3110" t="str">
        <x:v>Tidak Ada</x:v>
      </x:c>
      <x:c r="AB3110" t="str">
        <x:v>Campus=80; Ratio=68.8; Prodi=85; RelDemand=95.2; Capacity=58.3</x:v>
      </x:c>
    </x:row>
    <x:row r="3111">
      <x:c r="A3111" t="n">
        <x:v>3108</x:v>
      </x:c>
      <x:c r="B3111" t="str">
        <x:v>PTN Akademik</x:v>
      </x:c>
      <x:c r="C3111" t="str">
        <x:v>UNIVERSITAS HASANUDDIN</x:v>
      </x:c>
      <x:c r="D3111" t="str">
        <x:v>ILMU AKTUARIA</x:v>
      </x:c>
      <x:c r="E3111" t="str">
        <x:v>Sarjana</x:v>
      </x:c>
      <x:c r="F3111" s="18" t="n">
        <x:v>53</x:v>
      </x:c>
      <x:c r="G3111" s="18" t="n">
        <x:v>220</x:v>
      </x:c>
      <x:c r="H3111" s="19" t="n">
        <x:v>4.150943396226415</x:v>
      </x:c>
      <x:c r="I3111" s="18" t="n">
        <x:f>ROUND(MIN(Model_Config_v3!$B$6,MAX(Q3111,R3111,S3111*Model_Config_v3!$B$4+T3111*Model_Config_v3!$B$5)),0)</x:f>
        <x:v>649</x:v>
      </x:c>
      <x:c r="J3111" s="18" t="n">
        <x:f>MIN(Model_Config_v3!$B$6,I3111+Model_Config_v3!$B$7)</x:f>
        <x:v>669</x:v>
      </x:c>
      <x:c r="K3111" s="20" t="n">
        <x:v>57.4</x:v>
      </x:c>
      <x:c r="L3111" t="str">
        <x:v>KETAT</x:v>
      </x:c>
      <x:c r="M3111" t="str">
        <x:v>SEDANG+</x:v>
      </x:c>
      <x:c r="N3111" t="str">
        <x:v>ELITE-3</x:v>
      </x:c>
      <x:c r="O3111" t="str">
        <x:v>SAINTEK</x:v>
      </x:c>
      <x:c r="P3111" t="str">
        <x:v>TEKNIK/ARSITEKTUR/STATISTIKA/AKTUARIA</x:v>
      </x:c>
      <x:c r="Q3111" s="18" t="n">
        <x:v>635</x:v>
      </x:c>
      <x:c r="R3111" s="18" t="n">
        <x:v>0</x:v>
      </x:c>
      <x:c r="S3111" s="18" t="n">
        <x:v>587.9961492343559</x:v>
      </x:c>
      <x:c r="T3111" s="18" t="n">
        <x:v>675</x:v>
      </x:c>
      <x:c r="U3111" s="18" t="n">
        <x:v>635</x:v>
      </x:c>
      <x:c r="V3111" s="20" t="n">
        <x:v>12</x:v>
      </x:c>
      <x:c r="W3111" s="20" t="n">
        <x:v>5</x:v>
      </x:c>
      <x:c r="X3111" s="20" t="n">
        <x:v>3</x:v>
      </x:c>
      <x:c r="Y3111" t="str">
        <x:v>Basis arsip 2025/2024</x:v>
      </x:c>
      <x:c r="Z3111" t="str">
        <x:v>https://snpmb.id/utbk-snbt/daya-tampung-snbt</x:v>
      </x:c>
      <x:c r="AA3111" t="str">
        <x:v>Tidak Ada</x:v>
      </x:c>
      <x:c r="AB3111" t="str">
        <x:v>Campus=80; Ratio=36.4; Prodi=60; RelDemand=26.7; Capacity=55.8</x:v>
      </x:c>
    </x:row>
    <x:row r="3112">
      <x:c r="A3112" t="n">
        <x:v>3109</x:v>
      </x:c>
      <x:c r="B3112" t="str">
        <x:v>PTN Akademik</x:v>
      </x:c>
      <x:c r="C3112" t="str">
        <x:v>UNIVERSITAS HASANUDDIN</x:v>
      </x:c>
      <x:c r="D3112" t="str">
        <x:v>REKAYASA KEHUTANAN</x:v>
      </x:c>
      <x:c r="E3112" t="str">
        <x:v>Sarjana</x:v>
      </x:c>
      <x:c r="F3112" s="18" t="n">
        <x:v>57</x:v>
      </x:c>
      <x:c r="G3112" s="18" t="n">
        <x:v>96</x:v>
      </x:c>
      <x:c r="H3112" s="19" t="n">
        <x:v>1.6842105263157894</x:v>
      </x:c>
      <x:c r="I3112" s="18" t="n">
        <x:f>ROUND(MIN(Model_Config_v3!$B$6,MAX(Q3112,R3112,S3112*Model_Config_v3!$B$4+T3112*Model_Config_v3!$B$5)),0)</x:f>
        <x:v>635</x:v>
      </x:c>
      <x:c r="J3112" s="18" t="n">
        <x:f>MIN(Model_Config_v3!$B$6,I3112+Model_Config_v3!$B$7)</x:f>
        <x:v>655</x:v>
      </x:c>
      <x:c r="K3112" s="20" t="n">
        <x:v>45.7</x:v>
      </x:c>
      <x:c r="L3112" t="str">
        <x:v>MENENGAH</x:v>
      </x:c>
      <x:c r="M3112" t="str">
        <x:v>SEDANG+</x:v>
      </x:c>
      <x:c r="N3112" t="str">
        <x:v>ELITE-3</x:v>
      </x:c>
      <x:c r="O3112" t="str">
        <x:v>CAMPURAN</x:v>
      </x:c>
      <x:c r="P3112" t="str">
        <x:v>UMUM</x:v>
      </x:c>
      <x:c r="Q3112" s="18" t="n">
        <x:v>635</x:v>
      </x:c>
      <x:c r="R3112" s="18" t="n">
        <x:v>0</x:v>
      </x:c>
      <x:c r="S3112" s="18" t="n">
        <x:v>544.9036015103785</x:v>
      </x:c>
      <x:c r="T3112" s="18" t="n">
        <x:v>651</x:v>
      </x:c>
      <x:c r="U3112" s="18" t="n">
        <x:v>635</x:v>
      </x:c>
      <x:c r="V3112" s="20" t="n">
        <x:v>8.8</x:v>
      </x:c>
      <x:c r="W3112" s="20" t="n">
        <x:v>9.9</x:v>
      </x:c>
      <x:c r="X3112" s="20" t="n">
        <x:v>3.3</x:v>
      </x:c>
      <x:c r="Y3112" t="str">
        <x:v>Basis arsip 2025/2024</x:v>
      </x:c>
      <x:c r="Z3112" t="str">
        <x:v>https://snpmb.id/utbk-snbt/daya-tampung-snbt</x:v>
      </x:c>
      <x:c r="AA3112" t="str">
        <x:v>Tidak Ada</x:v>
      </x:c>
      <x:c r="AB3112" t="str">
        <x:v>Campus=80; Ratio=13.3; Prodi=40; RelDemand=10.8; Capacity=52.5</x:v>
      </x:c>
    </x:row>
    <x:row r="3113">
      <x:c r="A3113" t="n">
        <x:v>3110</x:v>
      </x:c>
      <x:c r="B3113" t="str">
        <x:v>PTN Akademik</x:v>
      </x:c>
      <x:c r="C3113" t="str">
        <x:v>UNIVERSITAS HASANUDDIN</x:v>
      </x:c>
      <x:c r="D3113" t="str">
        <x:v>ILMU TANAH</x:v>
      </x:c>
      <x:c r="E3113" t="str">
        <x:v>Sarjana</x:v>
      </x:c>
      <x:c r="F3113" s="18" t="n">
        <x:v>85</x:v>
      </x:c>
      <x:c r="G3113" s="18" t="n">
        <x:v>98</x:v>
      </x:c>
      <x:c r="H3113" s="19" t="n">
        <x:v>1.1529411764705881</x:v>
      </x:c>
      <x:c r="I3113" s="18" t="n">
        <x:f>ROUND(MIN(Model_Config_v3!$B$6,MAX(Q3113,R3113,S3113*Model_Config_v3!$B$4+T3113*Model_Config_v3!$B$5)),0)</x:f>
        <x:v>635</x:v>
      </x:c>
      <x:c r="J3113" s="18" t="n">
        <x:f>MIN(Model_Config_v3!$B$6,I3113+Model_Config_v3!$B$7)</x:f>
        <x:v>655</x:v>
      </x:c>
      <x:c r="K3113" s="20" t="n">
        <x:v>40.6</x:v>
      </x:c>
      <x:c r="L3113" t="str">
        <x:v>RELATIF LONGGAR</x:v>
      </x:c>
      <x:c r="M3113" t="str">
        <x:v>SEDANG+</x:v>
      </x:c>
      <x:c r="N3113" t="str">
        <x:v>ELITE-3</x:v>
      </x:c>
      <x:c r="O3113" t="str">
        <x:v>CAMPURAN</x:v>
      </x:c>
      <x:c r="P3113" t="str">
        <x:v>UMUM</x:v>
      </x:c>
      <x:c r="Q3113" s="18" t="n">
        <x:v>635</x:v>
      </x:c>
      <x:c r="R3113" s="18" t="n">
        <x:v>0</x:v>
      </x:c>
      <x:c r="S3113" s="18" t="n">
        <x:v>526.7987864976022</x:v>
      </x:c>
      <x:c r="T3113" s="18" t="n">
        <x:v>641</x:v>
      </x:c>
      <x:c r="U3113" s="18" t="n">
        <x:v>635</x:v>
      </x:c>
      <x:c r="V3113" s="20" t="n">
        <x:v>8.8</x:v>
      </x:c>
      <x:c r="W3113" s="20" t="n">
        <x:v>9.9</x:v>
      </x:c>
      <x:c r="X3113" s="20" t="n">
        <x:v>3.3</x:v>
      </x:c>
      <x:c r="Y3113" t="str">
        <x:v>Basis arsip 2025/2024</x:v>
      </x:c>
      <x:c r="Z3113" t="str">
        <x:v>https://snpmb.id/utbk-snbt/daya-tampung-snbt</x:v>
      </x:c>
      <x:c r="AA3113" t="str">
        <x:v>Tidak Ada</x:v>
      </x:c>
      <x:c r="AB3113" t="str">
        <x:v>Campus=80; Ratio=3.6; Prodi=40; RelDemand=7.4; Capacity=29.2</x:v>
      </x:c>
    </x:row>
    <x:row r="3114">
      <x:c r="A3114" t="n">
        <x:v>3111</x:v>
      </x:c>
      <x:c r="B3114" t="str">
        <x:v>PTN Akademik</x:v>
      </x:c>
      <x:c r="C3114" t="str">
        <x:v>UNIVERSITAS HASANUDDIN</x:v>
      </x:c>
      <x:c r="D3114" t="str">
        <x:v>PROTEKSI TANAMAN</x:v>
      </x:c>
      <x:c r="E3114" t="str">
        <x:v>Sarjana</x:v>
      </x:c>
      <x:c r="F3114" s="18" t="n">
        <x:v>82</x:v>
      </x:c>
      <x:c r="G3114" s="18" t="n">
        <x:v>60</x:v>
      </x:c>
      <x:c r="H3114" s="19" t="n">
        <x:v>0.7317073170731707</x:v>
      </x:c>
      <x:c r="I3114" s="18" t="n">
        <x:f>ROUND(MIN(Model_Config_v3!$B$6,MAX(Q3114,R3114,S3114*Model_Config_v3!$B$4+T3114*Model_Config_v3!$B$5)),0)</x:f>
        <x:v>635</x:v>
      </x:c>
      <x:c r="J3114" s="18" t="n">
        <x:f>MIN(Model_Config_v3!$B$6,I3114+Model_Config_v3!$B$7)</x:f>
        <x:v>655</x:v>
      </x:c>
      <x:c r="K3114" s="20" t="n">
        <x:v>39.6</x:v>
      </x:c>
      <x:c r="L3114" t="str">
        <x:v>RELATIF LONGGAR</x:v>
      </x:c>
      <x:c r="M3114" t="str">
        <x:v>SEDANG+</x:v>
      </x:c>
      <x:c r="N3114" t="str">
        <x:v>ELITE-3</x:v>
      </x:c>
      <x:c r="O3114" t="str">
        <x:v>CAMPURAN</x:v>
      </x:c>
      <x:c r="P3114" t="str">
        <x:v>UMUM</x:v>
      </x:c>
      <x:c r="Q3114" s="18" t="n">
        <x:v>635</x:v>
      </x:c>
      <x:c r="R3114" s="18" t="n">
        <x:v>0</x:v>
      </x:c>
      <x:c r="S3114" s="18" t="n">
        <x:v>520</x:v>
      </x:c>
      <x:c r="T3114" s="18" t="n">
        <x:v>639</x:v>
      </x:c>
      <x:c r="U3114" s="18" t="n">
        <x:v>635</x:v>
      </x:c>
      <x:c r="V3114" s="20" t="n">
        <x:v>8.8</x:v>
      </x:c>
      <x:c r="W3114" s="20" t="n">
        <x:v>9.9</x:v>
      </x:c>
      <x:c r="X3114" s="20" t="n">
        <x:v>3.3</x:v>
      </x:c>
      <x:c r="Y3114" t="str">
        <x:v>Basis arsip 2025/2024</x:v>
      </x:c>
      <x:c r="Z3114" t="str">
        <x:v>https://snpmb.id/utbk-snbt/daya-tampung-snbt</x:v>
      </x:c>
      <x:c r="AA3114" t="str">
        <x:v>Tidak Ada</x:v>
      </x:c>
      <x:c r="AB3114" t="str">
        <x:v>Campus=80; Ratio=0.0; Prodi=40; RelDemand=4.7; Capacity=31.7</x:v>
      </x:c>
    </x:row>
    <x:row r="3115">
      <x:c r="A3115" t="n">
        <x:v>3112</x:v>
      </x:c>
      <x:c r="B3115" t="str">
        <x:v>PTN Akademik</x:v>
      </x:c>
      <x:c r="C3115" t="str">
        <x:v>UNIVERSITAS HASANUDDIN</x:v>
      </x:c>
      <x:c r="D3115" t="str">
        <x:v>KONSERVASI HUTAN</x:v>
      </x:c>
      <x:c r="E3115" t="str">
        <x:v>Sarjana</x:v>
      </x:c>
      <x:c r="F3115" s="18" t="n">
        <x:v>46</x:v>
      </x:c>
      <x:c r="G3115" s="18" t="n">
        <x:v>68</x:v>
      </x:c>
      <x:c r="H3115" s="19" t="n">
        <x:v>1.4782608695652173</x:v>
      </x:c>
      <x:c r="I3115" s="18" t="n">
        <x:f>ROUND(MIN(Model_Config_v3!$B$6,MAX(Q3115,R3115,S3115*Model_Config_v3!$B$4+T3115*Model_Config_v3!$B$5)),0)</x:f>
        <x:v>635</x:v>
      </x:c>
      <x:c r="J3115" s="18" t="n">
        <x:f>MIN(Model_Config_v3!$B$6,I3115+Model_Config_v3!$B$7)</x:f>
        <x:v>655</x:v>
      </x:c>
      <x:c r="K3115" s="20" t="n">
        <x:v>45.6</x:v>
      </x:c>
      <x:c r="L3115" t="str">
        <x:v>MENENGAH</x:v>
      </x:c>
      <x:c r="M3115" t="str">
        <x:v>SEDANG+</x:v>
      </x:c>
      <x:c r="N3115" t="str">
        <x:v>ELITE-3</x:v>
      </x:c>
      <x:c r="O3115" t="str">
        <x:v>CAMPURAN</x:v>
      </x:c>
      <x:c r="P3115" t="str">
        <x:v>UMUM</x:v>
      </x:c>
      <x:c r="Q3115" s="18" t="n">
        <x:v>635</x:v>
      </x:c>
      <x:c r="R3115" s="18" t="n">
        <x:v>0</x:v>
      </x:c>
      <x:c r="S3115" s="18" t="n">
        <x:v>538.6726189127129</x:v>
      </x:c>
      <x:c r="T3115" s="18" t="n">
        <x:v>651</x:v>
      </x:c>
      <x:c r="U3115" s="18" t="n">
        <x:v>635</x:v>
      </x:c>
      <x:c r="V3115" s="20" t="n">
        <x:v>8.8</x:v>
      </x:c>
      <x:c r="W3115" s="20" t="n">
        <x:v>9.9</x:v>
      </x:c>
      <x:c r="X3115" s="20" t="n">
        <x:v>3.3</x:v>
      </x:c>
      <x:c r="Y3115" t="str">
        <x:v>Basis arsip 2025/2024</x:v>
      </x:c>
      <x:c r="Z3115" t="str">
        <x:v>https://snpmb.id/utbk-snbt/daya-tampung-snbt</x:v>
      </x:c>
      <x:c r="AA3115" t="str">
        <x:v>Tidak Ada</x:v>
      </x:c>
      <x:c r="AB3115" t="str">
        <x:v>Campus=80; Ratio=10.0; Prodi=40; RelDemand=9.5; Capacity=61.7</x:v>
      </x:c>
    </x:row>
    <x:row r="3116">
      <x:c r="A3116" t="n">
        <x:v>3113</x:v>
      </x:c>
      <x:c r="B3116" t="str">
        <x:v>PTN Akademik</x:v>
      </x:c>
      <x:c r="C3116" t="str">
        <x:v>UNIVERSITAS HASANUDDIN</x:v>
      </x:c>
      <x:c r="D3116" t="str">
        <x:v>TEKNOLOGI HASIL PERIKANAN</x:v>
      </x:c>
      <x:c r="E3116" t="str">
        <x:v>Sarjana</x:v>
      </x:c>
      <x:c r="F3116" s="18" t="n">
        <x:v>75</x:v>
      </x:c>
      <x:c r="G3116" s="18" t="n">
        <x:v>53</x:v>
      </x:c>
      <x:c r="H3116" s="19" t="n">
        <x:v>0.7066666666666667</x:v>
      </x:c>
      <x:c r="I3116" s="18" t="n">
        <x:f>ROUND(MIN(Model_Config_v3!$B$6,MAX(Q3116,R3116,S3116*Model_Config_v3!$B$4+T3116*Model_Config_v3!$B$5)),0)</x:f>
        <x:v>635</x:v>
      </x:c>
      <x:c r="J3116" s="18" t="n">
        <x:f>MIN(Model_Config_v3!$B$6,I3116+Model_Config_v3!$B$7)</x:f>
        <x:v>655</x:v>
      </x:c>
      <x:c r="K3116" s="20" t="n">
        <x:v>40.2</x:v>
      </x:c>
      <x:c r="L3116" t="str">
        <x:v>RELATIF LONGGAR</x:v>
      </x:c>
      <x:c r="M3116" t="str">
        <x:v>SEDANG+</x:v>
      </x:c>
      <x:c r="N3116" t="str">
        <x:v>ELITE-3</x:v>
      </x:c>
      <x:c r="O3116" t="str">
        <x:v>SAINTEK</x:v>
      </x:c>
      <x:c r="P3116" t="str">
        <x:v>UMUM</x:v>
      </x:c>
      <x:c r="Q3116" s="18" t="n">
        <x:v>635</x:v>
      </x:c>
      <x:c r="R3116" s="18" t="n">
        <x:v>0</x:v>
      </x:c>
      <x:c r="S3116" s="18" t="n">
        <x:v>520</x:v>
      </x:c>
      <x:c r="T3116" s="18" t="n">
        <x:v>640</x:v>
      </x:c>
      <x:c r="U3116" s="18" t="n">
        <x:v>635</x:v>
      </x:c>
      <x:c r="V3116" s="20" t="n">
        <x:v>12</x:v>
      </x:c>
      <x:c r="W3116" s="20" t="n">
        <x:v>5</x:v>
      </x:c>
      <x:c r="X3116" s="20" t="n">
        <x:v>3</x:v>
      </x:c>
      <x:c r="Y3116" t="str">
        <x:v>Basis arsip 2025/2024</x:v>
      </x:c>
      <x:c r="Z3116" t="str">
        <x:v>https://snpmb.id/utbk-snbt/daya-tampung-snbt</x:v>
      </x:c>
      <x:c r="AA3116" t="str">
        <x:v>Tidak Ada</x:v>
      </x:c>
      <x:c r="AB3116" t="str">
        <x:v>Campus=80; Ratio=0.0; Prodi=40; RelDemand=4.6; Capacity=37.5</x:v>
      </x:c>
    </x:row>
    <x:row r="3117">
      <x:c r="A3117" t="n">
        <x:v>3114</x:v>
      </x:c>
      <x:c r="B3117" t="str">
        <x:v>PTN Akademik</x:v>
      </x:c>
      <x:c r="C3117" t="str">
        <x:v>UNIVERSITAS HASANUDDIN</x:v>
      </x:c>
      <x:c r="D3117" t="str">
        <x:v>MANAJEMEN</x:v>
      </x:c>
      <x:c r="E3117" t="str">
        <x:v>Sarjana</x:v>
      </x:c>
      <x:c r="F3117" s="18" t="n">
        <x:v>150</x:v>
      </x:c>
      <x:c r="G3117" s="18" t="n">
        <x:v>2039</x:v>
      </x:c>
      <x:c r="H3117" s="19" t="n">
        <x:v>13.593333333333334</x:v>
      </x:c>
      <x:c r="I3117" s="18" t="n">
        <x:f>ROUND(MIN(Model_Config_v3!$B$6,MAX(Q3117,R3117,S3117*Model_Config_v3!$B$4+T3117*Model_Config_v3!$B$5)),0)</x:f>
        <x:v>678</x:v>
      </x:c>
      <x:c r="J3117" s="18" t="n">
        <x:f>MIN(Model_Config_v3!$B$6,I3117+Model_Config_v3!$B$7)</x:f>
        <x:v>698</x:v>
      </x:c>
      <x:c r="K3117" s="20" t="n">
        <x:v>66.4</x:v>
      </x:c>
      <x:c r="L3117" t="str">
        <x:v>SANGAT KETAT</x:v>
      </x:c>
      <x:c r="M3117" t="str">
        <x:v>SEDANG+</x:v>
      </x:c>
      <x:c r="N3117" t="str">
        <x:v>ELITE-3</x:v>
      </x:c>
      <x:c r="O3117" t="str">
        <x:v>SOSHUM</x:v>
      </x:c>
      <x:c r="P3117" t="str">
        <x:v>BISNIS/EKONOMI/AKUNTANSI</x:v>
      </x:c>
      <x:c r="Q3117" s="18" t="n">
        <x:v>635</x:v>
      </x:c>
      <x:c r="R3117" s="18" t="n">
        <x:v>0</x:v>
      </x:c>
      <x:c r="S3117" s="18" t="n">
        <x:v>644.6658563394705</x:v>
      </x:c>
      <x:c r="T3117" s="18" t="n">
        <x:v>693</x:v>
      </x:c>
      <x:c r="U3117" s="18" t="n">
        <x:v>659.6658563394705</x:v>
      </x:c>
      <x:c r="V3117" s="20" t="n">
        <x:v>4.4</x:v>
      </x:c>
      <x:c r="W3117" s="20" t="n">
        <x:v>14.3</x:v>
      </x:c>
      <x:c r="X3117" s="20" t="n">
        <x:v>3.3</x:v>
      </x:c>
      <x:c r="Y3117" t="str">
        <x:v>Basis arsip 2025/2024</x:v>
      </x:c>
      <x:c r="Z3117" t="str">
        <x:v>https://snpmb.id/utbk-snbt/daya-tampung-snbt</x:v>
      </x:c>
      <x:c r="AA3117" t="str">
        <x:v>Tidak Ada</x:v>
      </x:c>
      <x:c r="AB3117" t="str">
        <x:v>Campus=80; Ratio=66.7; Prodi=65; RelDemand=87.5; Capacity=0.0</x:v>
      </x:c>
    </x:row>
    <x:row r="3118">
      <x:c r="A3118" t="n">
        <x:v>3115</x:v>
      </x:c>
      <x:c r="B3118" t="str">
        <x:v>PTN Akademik</x:v>
      </x:c>
      <x:c r="C3118" t="str">
        <x:v>UNIVERSITAS HASANUDDIN</x:v>
      </x:c>
      <x:c r="D3118" t="str">
        <x:v>ILMU HUKUM</x:v>
      </x:c>
      <x:c r="E3118" t="str">
        <x:v>Sarjana</x:v>
      </x:c>
      <x:c r="F3118" s="18" t="n">
        <x:v>177</x:v>
      </x:c>
      <x:c r="G3118" s="18" t="n">
        <x:v>2356</x:v>
      </x:c>
      <x:c r="H3118" s="19" t="n">
        <x:v>13.310734463276836</x:v>
      </x:c>
      <x:c r="I3118" s="18" t="n">
        <x:f>ROUND(MIN(Model_Config_v3!$B$6,MAX(Q3118,R3118,S3118*Model_Config_v3!$B$4+T3118*Model_Config_v3!$B$5)),0)</x:f>
        <x:v>677</x:v>
      </x:c>
      <x:c r="J3118" s="18" t="n">
        <x:f>MIN(Model_Config_v3!$B$6,I3118+Model_Config_v3!$B$7)</x:f>
        <x:v>697</x:v>
      </x:c>
      <x:c r="K3118" s="20" t="n">
        <x:v>66.1</x:v>
      </x:c>
      <x:c r="L3118" t="str">
        <x:v>SANGAT KETAT</x:v>
      </x:c>
      <x:c r="M3118" t="str">
        <x:v>SEDANG+</x:v>
      </x:c>
      <x:c r="N3118" t="str">
        <x:v>ELITE-3</x:v>
      </x:c>
      <x:c r="O3118" t="str">
        <x:v>SOSHUM</x:v>
      </x:c>
      <x:c r="P3118" t="str">
        <x:v>HUKUM</x:v>
      </x:c>
      <x:c r="Q3118" s="18" t="n">
        <x:v>635</x:v>
      </x:c>
      <x:c r="R3118" s="18" t="n">
        <x:v>0</x:v>
      </x:c>
      <x:c r="S3118" s="18" t="n">
        <x:v>643.6622221728583</x:v>
      </x:c>
      <x:c r="T3118" s="18" t="n">
        <x:v>692</x:v>
      </x:c>
      <x:c r="U3118" s="18" t="n">
        <x:v>658.6622221728583</x:v>
      </x:c>
      <x:c r="V3118" s="20" t="n">
        <x:v>4.4</x:v>
      </x:c>
      <x:c r="W3118" s="20" t="n">
        <x:v>14.3</x:v>
      </x:c>
      <x:c r="X3118" s="20" t="n">
        <x:v>3.3</x:v>
      </x:c>
      <x:c r="Y3118" t="str">
        <x:v>Basis arsip 2025/2024</x:v>
      </x:c>
      <x:c r="Z3118" t="str">
        <x:v>https://snpmb.id/utbk-snbt/daya-tampung-snbt</x:v>
      </x:c>
      <x:c r="AA3118" t="str">
        <x:v>Tidak Ada</x:v>
      </x:c>
      <x:c r="AB3118" t="str">
        <x:v>Campus=80; Ratio=66.2; Prodi=65; RelDemand=85.7; Capacity=0.0</x:v>
      </x:c>
    </x:row>
    <x:row r="3119">
      <x:c r="A3119" t="n">
        <x:v>3116</x:v>
      </x:c>
      <x:c r="B3119" t="str">
        <x:v>PTN Akademik</x:v>
      </x:c>
      <x:c r="C3119" t="str">
        <x:v>UNIVERSITAS HASANUDDIN</x:v>
      </x:c>
      <x:c r="D3119" t="str">
        <x:v>ILMU POLITIK</x:v>
      </x:c>
      <x:c r="E3119" t="str">
        <x:v>Sarjana</x:v>
      </x:c>
      <x:c r="F3119" s="18" t="n">
        <x:v>50</x:v>
      </x:c>
      <x:c r="G3119" s="18" t="n">
        <x:v>255</x:v>
      </x:c>
      <x:c r="H3119" s="19" t="n">
        <x:v>5.1</x:v>
      </x:c>
      <x:c r="I3119" s="18" t="n">
        <x:f>ROUND(MIN(Model_Config_v3!$B$6,MAX(Q3119,R3119,S3119*Model_Config_v3!$B$4+T3119*Model_Config_v3!$B$5)),0)</x:f>
        <x:v>649</x:v>
      </x:c>
      <x:c r="J3119" s="18" t="n">
        <x:f>MIN(Model_Config_v3!$B$6,I3119+Model_Config_v3!$B$7)</x:f>
        <x:v>669</x:v>
      </x:c>
      <x:c r="K3119" s="20" t="n">
        <x:v>55.5</x:v>
      </x:c>
      <x:c r="L3119" t="str">
        <x:v>KETAT</x:v>
      </x:c>
      <x:c r="M3119" t="str">
        <x:v>SEDANG+</x:v>
      </x:c>
      <x:c r="N3119" t="str">
        <x:v>ELITE-3</x:v>
      </x:c>
      <x:c r="O3119" t="str">
        <x:v>SOSHUM</x:v>
      </x:c>
      <x:c r="P3119" t="str">
        <x:v>UMUM</x:v>
      </x:c>
      <x:c r="Q3119" s="18" t="n">
        <x:v>635</x:v>
      </x:c>
      <x:c r="R3119" s="18" t="n">
        <x:v>0</x:v>
      </x:c>
      <x:c r="S3119" s="18" t="n">
        <x:v>597.832719370773</x:v>
      </x:c>
      <x:c r="T3119" s="18" t="n">
        <x:v>671</x:v>
      </x:c>
      <x:c r="U3119" s="18" t="n">
        <x:v>635</x:v>
      </x:c>
      <x:c r="V3119" s="20" t="n">
        <x:v>4.4</x:v>
      </x:c>
      <x:c r="W3119" s="20" t="n">
        <x:v>14.3</x:v>
      </x:c>
      <x:c r="X3119" s="20" t="n">
        <x:v>3.3</x:v>
      </x:c>
      <x:c r="Y3119" t="str">
        <x:v>Basis arsip 2025/2024</x:v>
      </x:c>
      <x:c r="Z3119" t="str">
        <x:v>https://snpmb.id/utbk-snbt/daya-tampung-snbt</x:v>
      </x:c>
      <x:c r="AA3119" t="str">
        <x:v>Tidak Ada</x:v>
      </x:c>
      <x:c r="AB3119" t="str">
        <x:v>Campus=80; Ratio=41.6; Prodi=40; RelDemand=32.8; Capacity=58.3</x:v>
      </x:c>
    </x:row>
    <x:row r="3120">
      <x:c r="A3120" t="n">
        <x:v>3117</x:v>
      </x:c>
      <x:c r="B3120" t="str">
        <x:v>PTN Akademik</x:v>
      </x:c>
      <x:c r="C3120" t="str">
        <x:v>UNIVERSITAS HASANUDDIN</x:v>
      </x:c>
      <x:c r="D3120" t="str">
        <x:v>ANTROPOLOGI</x:v>
      </x:c>
      <x:c r="E3120" t="str">
        <x:v>Sarjana</x:v>
      </x:c>
      <x:c r="F3120" s="18" t="n">
        <x:v>68</x:v>
      </x:c>
      <x:c r="G3120" s="18" t="n">
        <x:v>178</x:v>
      </x:c>
      <x:c r="H3120" s="19" t="n">
        <x:v>2.6176470588235294</x:v>
      </x:c>
      <x:c r="I3120" s="18" t="n">
        <x:f>ROUND(MIN(Model_Config_v3!$B$6,MAX(Q3120,R3120,S3120*Model_Config_v3!$B$4+T3120*Model_Config_v3!$B$5)),0)</x:f>
        <x:v>635</x:v>
      </x:c>
      <x:c r="J3120" s="18" t="n">
        <x:f>MIN(Model_Config_v3!$B$6,I3120+Model_Config_v3!$B$7)</x:f>
        <x:v>655</x:v>
      </x:c>
      <x:c r="K3120" s="20" t="n">
        <x:v>48.2</x:v>
      </x:c>
      <x:c r="L3120" t="str">
        <x:v>MENENGAH</x:v>
      </x:c>
      <x:c r="M3120" t="str">
        <x:v>SEDANG+</x:v>
      </x:c>
      <x:c r="N3120" t="str">
        <x:v>ELITE-3</x:v>
      </x:c>
      <x:c r="O3120" t="str">
        <x:v>SOSHUM</x:v>
      </x:c>
      <x:c r="P3120" t="str">
        <x:v>UMUM</x:v>
      </x:c>
      <x:c r="Q3120" s="18" t="n">
        <x:v>635</x:v>
      </x:c>
      <x:c r="R3120" s="18" t="n">
        <x:v>0</x:v>
      </x:c>
      <x:c r="S3120" s="18" t="n">
        <x:v>565.9702198562924</x:v>
      </x:c>
      <x:c r="T3120" s="18" t="n">
        <x:v>656</x:v>
      </x:c>
      <x:c r="U3120" s="18" t="n">
        <x:v>635</x:v>
      </x:c>
      <x:c r="V3120" s="20" t="n">
        <x:v>4.4</x:v>
      </x:c>
      <x:c r="W3120" s="20" t="n">
        <x:v>14.3</x:v>
      </x:c>
      <x:c r="X3120" s="20" t="n">
        <x:v>3.3</x:v>
      </x:c>
      <x:c r="Y3120" t="str">
        <x:v>Basis arsip 2025/2024</x:v>
      </x:c>
      <x:c r="Z3120" t="str">
        <x:v>https://snpmb.id/utbk-snbt/daya-tampung-snbt</x:v>
      </x:c>
      <x:c r="AA3120" t="str">
        <x:v>Tidak Ada</x:v>
      </x:c>
      <x:c r="AB3120" t="str">
        <x:v>Campus=80; Ratio=24.6; Prodi=40; RelDemand=16.9; Capacity=43.3</x:v>
      </x:c>
    </x:row>
    <x:row r="3121">
      <x:c r="A3121" t="n">
        <x:v>3118</x:v>
      </x:c>
      <x:c r="B3121" t="str">
        <x:v>PTN Akademik</x:v>
      </x:c>
      <x:c r="C3121" t="str">
        <x:v>UNIVERSITAS HASANUDDIN</x:v>
      </x:c>
      <x:c r="D3121" t="str">
        <x:v>ILMU SEJARAH</x:v>
      </x:c>
      <x:c r="E3121" t="str">
        <x:v>Sarjana</x:v>
      </x:c>
      <x:c r="F3121" s="18" t="n">
        <x:v>53</x:v>
      </x:c>
      <x:c r="G3121" s="18" t="n">
        <x:v>78</x:v>
      </x:c>
      <x:c r="H3121" s="19" t="n">
        <x:v>1.471698113207547</x:v>
      </x:c>
      <x:c r="I3121" s="18" t="n">
        <x:f>ROUND(MIN(Model_Config_v3!$B$6,MAX(Q3121,R3121,S3121*Model_Config_v3!$B$4+T3121*Model_Config_v3!$B$5)),0)</x:f>
        <x:v>635</x:v>
      </x:c>
      <x:c r="J3121" s="18" t="n">
        <x:f>MIN(Model_Config_v3!$B$6,I3121+Model_Config_v3!$B$7)</x:f>
        <x:v>655</x:v>
      </x:c>
      <x:c r="K3121" s="20" t="n">
        <x:v>45</x:v>
      </x:c>
      <x:c r="L3121" t="str">
        <x:v>MENENGAH</x:v>
      </x:c>
      <x:c r="M3121" t="str">
        <x:v>SEDANG+</x:v>
      </x:c>
      <x:c r="N3121" t="str">
        <x:v>ELITE-3</x:v>
      </x:c>
      <x:c r="O3121" t="str">
        <x:v>SOSHUM</x:v>
      </x:c>
      <x:c r="P3121" t="str">
        <x:v>UMUM</x:v>
      </x:c>
      <x:c r="Q3121" s="18" t="n">
        <x:v>635</x:v>
      </x:c>
      <x:c r="R3121" s="18" t="n">
        <x:v>0</x:v>
      </x:c>
      <x:c r="S3121" s="18" t="n">
        <x:v>538.460060639866</x:v>
      </x:c>
      <x:c r="T3121" s="18" t="n">
        <x:v>650</x:v>
      </x:c>
      <x:c r="U3121" s="18" t="n">
        <x:v>635</x:v>
      </x:c>
      <x:c r="V3121" s="20" t="n">
        <x:v>4.4</x:v>
      </x:c>
      <x:c r="W3121" s="20" t="n">
        <x:v>14.3</x:v>
      </x:c>
      <x:c r="X3121" s="20" t="n">
        <x:v>3.3</x:v>
      </x:c>
      <x:c r="Y3121" t="str">
        <x:v>Basis arsip 2025/2024</x:v>
      </x:c>
      <x:c r="Z3121" t="str">
        <x:v>https://snpmb.id/utbk-snbt/daya-tampung-snbt</x:v>
      </x:c>
      <x:c r="AA3121" t="str">
        <x:v>Tidak Ada</x:v>
      </x:c>
      <x:c r="AB3121" t="str">
        <x:v>Campus=80; Ratio=9.9; Prodi=40; RelDemand=9.5; Capacity=55.8</x:v>
      </x:c>
    </x:row>
    <x:row r="3122">
      <x:c r="A3122" t="n">
        <x:v>3119</x:v>
      </x:c>
      <x:c r="B3122" t="str">
        <x:v>PTN Akademik</x:v>
      </x:c>
      <x:c r="C3122" t="str">
        <x:v>UNIVERSITAS HASANUDDIN</x:v>
      </x:c>
      <x:c r="D3122" t="str">
        <x:v>ILMU KOMUNIKASI</x:v>
      </x:c>
      <x:c r="E3122" t="str">
        <x:v>Sarjana</x:v>
      </x:c>
      <x:c r="F3122" s="18" t="n">
        <x:v>70</x:v>
      </x:c>
      <x:c r="G3122" s="18" t="n">
        <x:v>1154</x:v>
      </x:c>
      <x:c r="H3122" s="19" t="n">
        <x:v>16.485714285714284</x:v>
      </x:c>
      <x:c r="I3122" s="18" t="n">
        <x:f>ROUND(MIN(Model_Config_v3!$B$6,MAX(Q3122,R3122,S3122*Model_Config_v3!$B$4+T3122*Model_Config_v3!$B$5)),0)</x:f>
        <x:v>683</x:v>
      </x:c>
      <x:c r="J3122" s="18" t="n">
        <x:f>MIN(Model_Config_v3!$B$6,I3122+Model_Config_v3!$B$7)</x:f>
        <x:v>703</x:v>
      </x:c>
      <x:c r="K3122" s="20" t="n">
        <x:v>68.1</x:v>
      </x:c>
      <x:c r="L3122" t="str">
        <x:v>SANGAT KETAT</x:v>
      </x:c>
      <x:c r="M3122" t="str">
        <x:v>SEDANG+</x:v>
      </x:c>
      <x:c r="N3122" t="str">
        <x:v>ELITE-3</x:v>
      </x:c>
      <x:c r="O3122" t="str">
        <x:v>SOSHUM</x:v>
      </x:c>
      <x:c r="P3122" t="str">
        <x:v>UMUM</x:v>
      </x:c>
      <x:c r="Q3122" s="18" t="n">
        <x:v>635</x:v>
      </x:c>
      <x:c r="R3122" s="18" t="n">
        <x:v>0</x:v>
      </x:c>
      <x:c r="S3122" s="18" t="n">
        <x:v>653.8818545686001</x:v>
      </x:c>
      <x:c r="T3122" s="18" t="n">
        <x:v>696</x:v>
      </x:c>
      <x:c r="U3122" s="18" t="n">
        <x:v>653.8818545686001</x:v>
      </x:c>
      <x:c r="V3122" s="20" t="n">
        <x:v>4.4</x:v>
      </x:c>
      <x:c r="W3122" s="20" t="n">
        <x:v>14.3</x:v>
      </x:c>
      <x:c r="X3122" s="20" t="n">
        <x:v>3.3</x:v>
      </x:c>
      <x:c r="Y3122" t="str">
        <x:v>Basis arsip 2025/2024</x:v>
      </x:c>
      <x:c r="Z3122" t="str">
        <x:v>https://snpmb.id/utbk-snbt/daya-tampung-snbt</x:v>
      </x:c>
      <x:c r="AA3122" t="str">
        <x:v>Tidak Ada</x:v>
      </x:c>
      <x:c r="AB3122" t="str">
        <x:v>Campus=80; Ratio=71.6; Prodi=40; RelDemand=100.0; Capacity=41.7</x:v>
      </x:c>
    </x:row>
    <x:row r="3123">
      <x:c r="A3123" t="n">
        <x:v>3120</x:v>
      </x:c>
      <x:c r="B3123" t="str">
        <x:v>PTN Akademik</x:v>
      </x:c>
      <x:c r="C3123" t="str">
        <x:v>UNIVERSITAS HASANUDDIN</x:v>
      </x:c>
      <x:c r="D3123" t="str">
        <x:v>SOSIOLOGI</x:v>
      </x:c>
      <x:c r="E3123" t="str">
        <x:v>Sarjana</x:v>
      </x:c>
      <x:c r="F3123" s="18" t="n">
        <x:v>71</x:v>
      </x:c>
      <x:c r="G3123" s="18" t="n">
        <x:v>180</x:v>
      </x:c>
      <x:c r="H3123" s="19" t="n">
        <x:v>2.535211267605634</x:v>
      </x:c>
      <x:c r="I3123" s="18" t="n">
        <x:f>ROUND(MIN(Model_Config_v3!$B$6,MAX(Q3123,R3123,S3123*Model_Config_v3!$B$4+T3123*Model_Config_v3!$B$5)),0)</x:f>
        <x:v>635</x:v>
      </x:c>
      <x:c r="J3123" s="18" t="n">
        <x:f>MIN(Model_Config_v3!$B$6,I3123+Model_Config_v3!$B$7)</x:f>
        <x:v>655</x:v>
      </x:c>
      <x:c r="K3123" s="20" t="n">
        <x:v>47.7</x:v>
      </x:c>
      <x:c r="L3123" t="str">
        <x:v>MENENGAH</x:v>
      </x:c>
      <x:c r="M3123" t="str">
        <x:v>SEDANG+</x:v>
      </x:c>
      <x:c r="N3123" t="str">
        <x:v>ELITE-3</x:v>
      </x:c>
      <x:c r="O3123" t="str">
        <x:v>SOSHUM</x:v>
      </x:c>
      <x:c r="P3123" t="str">
        <x:v>UMUM</x:v>
      </x:c>
      <x:c r="Q3123" s="18" t="n">
        <x:v>635</x:v>
      </x:c>
      <x:c r="R3123" s="18" t="n">
        <x:v>0</x:v>
      </x:c>
      <x:c r="S3123" s="18" t="n">
        <x:v>564.4415572022654</x:v>
      </x:c>
      <x:c r="T3123" s="18" t="n">
        <x:v>655</x:v>
      </x:c>
      <x:c r="U3123" s="18" t="n">
        <x:v>635</x:v>
      </x:c>
      <x:c r="V3123" s="20" t="n">
        <x:v>4.4</x:v>
      </x:c>
      <x:c r="W3123" s="20" t="n">
        <x:v>14.3</x:v>
      </x:c>
      <x:c r="X3123" s="20" t="n">
        <x:v>3.3</x:v>
      </x:c>
      <x:c r="Y3123" t="str">
        <x:v>Basis arsip 2025/2024</x:v>
      </x:c>
      <x:c r="Z3123" t="str">
        <x:v>https://snpmb.id/utbk-snbt/daya-tampung-snbt</x:v>
      </x:c>
      <x:c r="AA3123" t="str">
        <x:v>Tidak Ada</x:v>
      </x:c>
      <x:c r="AB3123" t="str">
        <x:v>Campus=80; Ratio=23.8; Prodi=40; RelDemand=16.3; Capacity=40.8</x:v>
      </x:c>
    </x:row>
    <x:row r="3124">
      <x:c r="A3124" t="n">
        <x:v>3121</x:v>
      </x:c>
      <x:c r="B3124" t="str">
        <x:v>PTN Akademik</x:v>
      </x:c>
      <x:c r="C3124" t="str">
        <x:v>UNIVERSITAS HASANUDDIN</x:v>
      </x:c>
      <x:c r="D3124" t="str">
        <x:v>AKUNTANSI</x:v>
      </x:c>
      <x:c r="E3124" t="str">
        <x:v>Sarjana</x:v>
      </x:c>
      <x:c r="F3124" s="18" t="n">
        <x:v>130</x:v>
      </x:c>
      <x:c r="G3124" s="18" t="n">
        <x:v>1360</x:v>
      </x:c>
      <x:c r="H3124" s="19" t="n">
        <x:v>10.461538461538462</x:v>
      </x:c>
      <x:c r="I3124" s="18" t="n">
        <x:f>ROUND(MIN(Model_Config_v3!$B$6,MAX(Q3124,R3124,S3124*Model_Config_v3!$B$4+T3124*Model_Config_v3!$B$5)),0)</x:f>
        <x:v>669</x:v>
      </x:c>
      <x:c r="J3124" s="18" t="n">
        <x:f>MIN(Model_Config_v3!$B$6,I3124+Model_Config_v3!$B$7)</x:f>
        <x:v>689</x:v>
      </x:c>
      <x:c r="K3124" s="20" t="n">
        <x:v>62.7</x:v>
      </x:c>
      <x:c r="L3124" t="str">
        <x:v>KETAT</x:v>
      </x:c>
      <x:c r="M3124" t="str">
        <x:v>SEDANG+</x:v>
      </x:c>
      <x:c r="N3124" t="str">
        <x:v>ELITE-3</x:v>
      </x:c>
      <x:c r="O3124" t="str">
        <x:v>SOSHUM</x:v>
      </x:c>
      <x:c r="P3124" t="str">
        <x:v>BISNIS/EKONOMI/AKUNTANSI</x:v>
      </x:c>
      <x:c r="Q3124" s="18" t="n">
        <x:v>635</x:v>
      </x:c>
      <x:c r="R3124" s="18" t="n">
        <x:v>0</x:v>
      </x:c>
      <x:c r="S3124" s="18" t="n">
        <x:v>632.1555111669719</x:v>
      </x:c>
      <x:c r="T3124" s="18" t="n">
        <x:v>685</x:v>
      </x:c>
      <x:c r="U3124" s="18" t="n">
        <x:v>635</x:v>
      </x:c>
      <x:c r="V3124" s="20" t="n">
        <x:v>4.4</x:v>
      </x:c>
      <x:c r="W3124" s="20" t="n">
        <x:v>14.3</x:v>
      </x:c>
      <x:c r="X3124" s="20" t="n">
        <x:v>3.3</x:v>
      </x:c>
      <x:c r="Y3124" t="str">
        <x:v>Basis arsip 2025/2024</x:v>
      </x:c>
      <x:c r="Z3124" t="str">
        <x:v>https://snpmb.id/utbk-snbt/daya-tampung-snbt</x:v>
      </x:c>
      <x:c r="AA3124" t="str">
        <x:v>Tidak Ada</x:v>
      </x:c>
      <x:c r="AB3124" t="str">
        <x:v>Campus=80; Ratio=60.0; Prodi=65; RelDemand=67.4; Capacity=0.0</x:v>
      </x:c>
    </x:row>
    <x:row r="3125">
      <x:c r="A3125" t="n">
        <x:v>3122</x:v>
      </x:c>
      <x:c r="B3125" t="str">
        <x:v>PTN Akademik</x:v>
      </x:c>
      <x:c r="C3125" t="str">
        <x:v>UNIVERSITAS HASANUDDIN</x:v>
      </x:c>
      <x:c r="D3125" t="str">
        <x:v>ILMU PEMERINTAHAN</x:v>
      </x:c>
      <x:c r="E3125" t="str">
        <x:v>Sarjana</x:v>
      </x:c>
      <x:c r="F3125" s="18" t="n">
        <x:v>67</x:v>
      </x:c>
      <x:c r="G3125" s="18" t="n">
        <x:v>396</x:v>
      </x:c>
      <x:c r="H3125" s="19" t="n">
        <x:v>5.91044776119403</x:v>
      </x:c>
      <x:c r="I3125" s="18" t="n">
        <x:f>ROUND(MIN(Model_Config_v3!$B$6,MAX(Q3125,R3125,S3125*Model_Config_v3!$B$4+T3125*Model_Config_v3!$B$5)),0)</x:f>
        <x:v>651</x:v>
      </x:c>
      <x:c r="J3125" s="18" t="n">
        <x:f>MIN(Model_Config_v3!$B$6,I3125+Model_Config_v3!$B$7)</x:f>
        <x:v>671</x:v>
      </x:c>
      <x:c r="K3125" s="20" t="n">
        <x:v>55.6</x:v>
      </x:c>
      <x:c r="L3125" t="str">
        <x:v>KETAT</x:v>
      </x:c>
      <x:c r="M3125" t="str">
        <x:v>SEDANG+</x:v>
      </x:c>
      <x:c r="N3125" t="str">
        <x:v>ELITE-3</x:v>
      </x:c>
      <x:c r="O3125" t="str">
        <x:v>CAMPURAN</x:v>
      </x:c>
      <x:c r="P3125" t="str">
        <x:v>UMUM</x:v>
      </x:c>
      <x:c r="Q3125" s="18" t="n">
        <x:v>635</x:v>
      </x:c>
      <x:c r="R3125" s="18" t="n">
        <x:v>0</x:v>
      </x:c>
      <x:c r="S3125" s="18" t="n">
        <x:v>604.8782421547154</x:v>
      </x:c>
      <x:c r="T3125" s="18" t="n">
        <x:v>671</x:v>
      </x:c>
      <x:c r="U3125" s="18" t="n">
        <x:v>635</x:v>
      </x:c>
      <x:c r="V3125" s="20" t="n">
        <x:v>8.8</x:v>
      </x:c>
      <x:c r="W3125" s="20" t="n">
        <x:v>9.9</x:v>
      </x:c>
      <x:c r="X3125" s="20" t="n">
        <x:v>3.3</x:v>
      </x:c>
      <x:c r="Y3125" t="str">
        <x:v>Basis arsip 2025/2024</x:v>
      </x:c>
      <x:c r="Z3125" t="str">
        <x:v>https://snpmb.id/utbk-snbt/daya-tampung-snbt</x:v>
      </x:c>
      <x:c r="AA3125" t="str">
        <x:v>Tidak Ada</x:v>
      </x:c>
      <x:c r="AB3125" t="str">
        <x:v>Campus=80; Ratio=45.4; Prodi=40; RelDemand=38.1; Capacity=44.2</x:v>
      </x:c>
    </x:row>
    <x:row r="3126">
      <x:c r="A3126" t="n">
        <x:v>3123</x:v>
      </x:c>
      <x:c r="B3126" t="str">
        <x:v>PTN Akademik</x:v>
      </x:c>
      <x:c r="C3126" t="str">
        <x:v>UNIVERSITAS HASANUDDIN</x:v>
      </x:c>
      <x:c r="D3126" t="str">
        <x:v>ILMU HUBUNGAN INTERNASIONAL</x:v>
      </x:c>
      <x:c r="E3126" t="str">
        <x:v>Sarjana</x:v>
      </x:c>
      <x:c r="F3126" s="18" t="n">
        <x:v>70</x:v>
      </x:c>
      <x:c r="G3126" s="18" t="n">
        <x:v>815</x:v>
      </x:c>
      <x:c r="H3126" s="19" t="n">
        <x:v>11.642857142857142</x:v>
      </x:c>
      <x:c r="I3126" s="18" t="n">
        <x:f>ROUND(MIN(Model_Config_v3!$B$6,MAX(Q3126,R3126,S3126*Model_Config_v3!$B$4+T3126*Model_Config_v3!$B$5)),0)</x:f>
        <x:v>672</x:v>
      </x:c>
      <x:c r="J3126" s="18" t="n">
        <x:f>MIN(Model_Config_v3!$B$6,I3126+Model_Config_v3!$B$7)</x:f>
        <x:v>692</x:v>
      </x:c>
      <x:c r="K3126" s="20" t="n">
        <x:v>63.4</x:v>
      </x:c>
      <x:c r="L3126" t="str">
        <x:v>KETAT</x:v>
      </x:c>
      <x:c r="M3126" t="str">
        <x:v>SEDANG+</x:v>
      </x:c>
      <x:c r="N3126" t="str">
        <x:v>ELITE-3</x:v>
      </x:c>
      <x:c r="O3126" t="str">
        <x:v>SOSHUM</x:v>
      </x:c>
      <x:c r="P3126" t="str">
        <x:v>UMUM</x:v>
      </x:c>
      <x:c r="Q3126" s="18" t="n">
        <x:v>635</x:v>
      </x:c>
      <x:c r="R3126" s="18" t="n">
        <x:v>0</x:v>
      </x:c>
      <x:c r="S3126" s="18" t="n">
        <x:v>637.2665525598292</x:v>
      </x:c>
      <x:c r="T3126" s="18" t="n">
        <x:v>687</x:v>
      </x:c>
      <x:c r="U3126" s="18" t="n">
        <x:v>637.2665525598292</x:v>
      </x:c>
      <x:c r="V3126" s="20" t="n">
        <x:v>4.4</x:v>
      </x:c>
      <x:c r="W3126" s="20" t="n">
        <x:v>14.3</x:v>
      </x:c>
      <x:c r="X3126" s="20" t="n">
        <x:v>3.3</x:v>
      </x:c>
      <x:c r="Y3126" t="str">
        <x:v>Basis arsip 2025/2024</x:v>
      </x:c>
      <x:c r="Z3126" t="str">
        <x:v>https://snpmb.id/utbk-snbt/daya-tampung-snbt</x:v>
      </x:c>
      <x:c r="AA3126" t="str">
        <x:v>Tidak Ada</x:v>
      </x:c>
      <x:c r="AB3126" t="str">
        <x:v>Campus=80; Ratio=62.7; Prodi=40; RelDemand=75.0; Capacity=41.7</x:v>
      </x:c>
    </x:row>
    <x:row r="3127">
      <x:c r="A3127" t="n">
        <x:v>3124</x:v>
      </x:c>
      <x:c r="B3127" t="str">
        <x:v>PTN Akademik</x:v>
      </x:c>
      <x:c r="C3127" t="str">
        <x:v>UNIVERSITAS HASANUDDIN</x:v>
      </x:c>
      <x:c r="D3127" t="str">
        <x:v>ADMINISTRASI PUBLIK</x:v>
      </x:c>
      <x:c r="E3127" t="str">
        <x:v>Sarjana</x:v>
      </x:c>
      <x:c r="F3127" s="18" t="n">
        <x:v>60</x:v>
      </x:c>
      <x:c r="G3127" s="18" t="n">
        <x:v>733</x:v>
      </x:c>
      <x:c r="H3127" s="19" t="n">
        <x:v>12.216666666666667</x:v>
      </x:c>
      <x:c r="I3127" s="18" t="n">
        <x:f>ROUND(MIN(Model_Config_v3!$B$6,MAX(Q3127,R3127,S3127*Model_Config_v3!$B$4+T3127*Model_Config_v3!$B$5)),0)</x:f>
        <x:v>675</x:v>
      </x:c>
      <x:c r="J3127" s="18" t="n">
        <x:f>MIN(Model_Config_v3!$B$6,I3127+Model_Config_v3!$B$7)</x:f>
        <x:v>695</x:v>
      </x:c>
      <x:c r="K3127" s="20" t="n">
        <x:v>64.9</x:v>
      </x:c>
      <x:c r="L3127" t="str">
        <x:v>KETAT</x:v>
      </x:c>
      <x:c r="M3127" t="str">
        <x:v>SEDANG+</x:v>
      </x:c>
      <x:c r="N3127" t="str">
        <x:v>ELITE-3</x:v>
      </x:c>
      <x:c r="O3127" t="str">
        <x:v>SOSHUM</x:v>
      </x:c>
      <x:c r="P3127" t="str">
        <x:v>UMUM</x:v>
      </x:c>
      <x:c r="Q3127" s="18" t="n">
        <x:v>635</x:v>
      </x:c>
      <x:c r="R3127" s="18" t="n">
        <x:v>0</x:v>
      </x:c>
      <x:c r="S3127" s="18" t="n">
        <x:v>639.5647996683233</x:v>
      </x:c>
      <x:c r="T3127" s="18" t="n">
        <x:v>690</x:v>
      </x:c>
      <x:c r="U3127" s="18" t="n">
        <x:v>639.5647996683233</x:v>
      </x:c>
      <x:c r="V3127" s="20" t="n">
        <x:v>4.4</x:v>
      </x:c>
      <x:c r="W3127" s="20" t="n">
        <x:v>14.3</x:v>
      </x:c>
      <x:c r="X3127" s="20" t="n">
        <x:v>3.3</x:v>
      </x:c>
      <x:c r="Y3127" t="str">
        <x:v>Basis arsip 2025/2024</x:v>
      </x:c>
      <x:c r="Z3127" t="str">
        <x:v>https://snpmb.id/utbk-snbt/daya-tampung-snbt</x:v>
      </x:c>
      <x:c r="AA3127" t="str">
        <x:v>Tidak Ada</x:v>
      </x:c>
      <x:c r="AB3127" t="str">
        <x:v>Campus=80; Ratio=64.0; Prodi=40; RelDemand=78.7; Capacity=50.0</x:v>
      </x:c>
    </x:row>
    <x:row r="3128">
      <x:c r="A3128" t="n">
        <x:v>3125</x:v>
      </x:c>
      <x:c r="B3128" t="str">
        <x:v>PTN Akademik</x:v>
      </x:c>
      <x:c r="C3128" t="str">
        <x:v>UNIVERSITAS HASANUDDIN</x:v>
      </x:c>
      <x:c r="D3128" t="str">
        <x:v>SASTRA INDONESIA</x:v>
      </x:c>
      <x:c r="E3128" t="str">
        <x:v>Sarjana</x:v>
      </x:c>
      <x:c r="F3128" s="18" t="n">
        <x:v>81</x:v>
      </x:c>
      <x:c r="G3128" s="18" t="n">
        <x:v>160</x:v>
      </x:c>
      <x:c r="H3128" s="19" t="n">
        <x:v>1.9753086419753085</x:v>
      </x:c>
      <x:c r="I3128" s="18" t="n">
        <x:f>ROUND(MIN(Model_Config_v3!$B$6,MAX(Q3128,R3128,S3128*Model_Config_v3!$B$4+T3128*Model_Config_v3!$B$5)),0)</x:f>
        <x:v>635</x:v>
      </x:c>
      <x:c r="J3128" s="18" t="n">
        <x:f>MIN(Model_Config_v3!$B$6,I3128+Model_Config_v3!$B$7)</x:f>
        <x:v>655</x:v>
      </x:c>
      <x:c r="K3128" s="20" t="n">
        <x:v>44.9</x:v>
      </x:c>
      <x:c r="L3128" t="str">
        <x:v>RELATIF LONGGAR</x:v>
      </x:c>
      <x:c r="M3128" t="str">
        <x:v>SEDANG+</x:v>
      </x:c>
      <x:c r="N3128" t="str">
        <x:v>ELITE-3</x:v>
      </x:c>
      <x:c r="O3128" t="str">
        <x:v>SOSHUM</x:v>
      </x:c>
      <x:c r="P3128" t="str">
        <x:v>UMUM</x:v>
      </x:c>
      <x:c r="Q3128" s="18" t="n">
        <x:v>635</x:v>
      </x:c>
      <x:c r="R3128" s="18" t="n">
        <x:v>0</x:v>
      </x:c>
      <x:c r="S3128" s="18" t="n">
        <x:v>552.5198460155002</x:v>
      </x:c>
      <x:c r="T3128" s="18" t="n">
        <x:v>650</x:v>
      </x:c>
      <x:c r="U3128" s="18" t="n">
        <x:v>635</x:v>
      </x:c>
      <x:c r="V3128" s="20" t="n">
        <x:v>4.4</x:v>
      </x:c>
      <x:c r="W3128" s="20" t="n">
        <x:v>14.3</x:v>
      </x:c>
      <x:c r="X3128" s="20" t="n">
        <x:v>3.3</x:v>
      </x:c>
      <x:c r="Y3128" t="str">
        <x:v>Basis arsip 2025/2024</x:v>
      </x:c>
      <x:c r="Z3128" t="str">
        <x:v>https://snpmb.id/utbk-snbt/daya-tampung-snbt</x:v>
      </x:c>
      <x:c r="AA3128" t="str">
        <x:v>Tidak Ada</x:v>
      </x:c>
      <x:c r="AB3128" t="str">
        <x:v>Campus=80; Ratio=17.4; Prodi=40; RelDemand=12.7; Capacity=32.5</x:v>
      </x:c>
    </x:row>
    <x:row r="3129">
      <x:c r="A3129" t="n">
        <x:v>3126</x:v>
      </x:c>
      <x:c r="B3129" t="str">
        <x:v>PTN Akademik</x:v>
      </x:c>
      <x:c r="C3129" t="str">
        <x:v>UNIVERSITAS HASANUDDIN</x:v>
      </x:c>
      <x:c r="D3129" t="str">
        <x:v>SASTRA DAERAH</x:v>
      </x:c>
      <x:c r="E3129" t="str">
        <x:v>Sarjana</x:v>
      </x:c>
      <x:c r="F3129" s="18" t="n">
        <x:v>44</x:v>
      </x:c>
      <x:c r="G3129" s="18" t="n">
        <x:v>31</x:v>
      </x:c>
      <x:c r="H3129" s="19" t="n">
        <x:v>0.7045454545454546</x:v>
      </x:c>
      <x:c r="I3129" s="18" t="n">
        <x:f>ROUND(MIN(Model_Config_v3!$B$6,MAX(Q3129,R3129,S3129*Model_Config_v3!$B$4+T3129*Model_Config_v3!$B$5)),0)</x:f>
        <x:v>635</x:v>
      </x:c>
      <x:c r="J3129" s="18" t="n">
        <x:f>MIN(Model_Config_v3!$B$6,I3129+Model_Config_v3!$B$7)</x:f>
        <x:v>655</x:v>
      </x:c>
      <x:c r="K3129" s="20" t="n">
        <x:v>42.8</x:v>
      </x:c>
      <x:c r="L3129" t="str">
        <x:v>RELATIF LONGGAR</x:v>
      </x:c>
      <x:c r="M3129" t="str">
        <x:v>SEDANG+</x:v>
      </x:c>
      <x:c r="N3129" t="str">
        <x:v>ELITE-3</x:v>
      </x:c>
      <x:c r="O3129" t="str">
        <x:v>SOSHUM</x:v>
      </x:c>
      <x:c r="P3129" t="str">
        <x:v>UMUM</x:v>
      </x:c>
      <x:c r="Q3129" s="18" t="n">
        <x:v>635</x:v>
      </x:c>
      <x:c r="R3129" s="18" t="n">
        <x:v>0</x:v>
      </x:c>
      <x:c r="S3129" s="18" t="n">
        <x:v>520</x:v>
      </x:c>
      <x:c r="T3129" s="18" t="n">
        <x:v>646</x:v>
      </x:c>
      <x:c r="U3129" s="18" t="n">
        <x:v>635</x:v>
      </x:c>
      <x:c r="V3129" s="20" t="n">
        <x:v>4.4</x:v>
      </x:c>
      <x:c r="W3129" s="20" t="n">
        <x:v>14.3</x:v>
      </x:c>
      <x:c r="X3129" s="20" t="n">
        <x:v>3.3</x:v>
      </x:c>
      <x:c r="Y3129" t="str">
        <x:v>Basis arsip 2025/2024</x:v>
      </x:c>
      <x:c r="Z3129" t="str">
        <x:v>https://snpmb.id/utbk-snbt/daya-tampung-snbt</x:v>
      </x:c>
      <x:c r="AA3129" t="str">
        <x:v>Tidak Ada</x:v>
      </x:c>
      <x:c r="AB3129" t="str">
        <x:v>Campus=80; Ratio=0.0; Prodi=40; RelDemand=4.5; Capacity=63.3</x:v>
      </x:c>
    </x:row>
    <x:row r="3130">
      <x:c r="A3130" t="n">
        <x:v>3127</x:v>
      </x:c>
      <x:c r="B3130" t="str">
        <x:v>PTN Akademik</x:v>
      </x:c>
      <x:c r="C3130" t="str">
        <x:v>UNIVERSITAS HASANUDDIN</x:v>
      </x:c>
      <x:c r="D3130" t="str">
        <x:v>SASTRA ARAB</x:v>
      </x:c>
      <x:c r="E3130" t="str">
        <x:v>Sarjana</x:v>
      </x:c>
      <x:c r="F3130" s="18" t="n">
        <x:v>55</x:v>
      </x:c>
      <x:c r="G3130" s="18" t="n">
        <x:v>156</x:v>
      </x:c>
      <x:c r="H3130" s="19" t="n">
        <x:v>2.8363636363636364</x:v>
      </x:c>
      <x:c r="I3130" s="18" t="n">
        <x:f>ROUND(MIN(Model_Config_v3!$B$6,MAX(Q3130,R3130,S3130*Model_Config_v3!$B$4+T3130*Model_Config_v3!$B$5)),0)</x:f>
        <x:v>635</x:v>
      </x:c>
      <x:c r="J3130" s="18" t="n">
        <x:f>MIN(Model_Config_v3!$B$6,I3130+Model_Config_v3!$B$7)</x:f>
        <x:v>655</x:v>
      </x:c>
      <x:c r="K3130" s="20" t="n">
        <x:v>49.9</x:v>
      </x:c>
      <x:c r="L3130" t="str">
        <x:v>MENENGAH</x:v>
      </x:c>
      <x:c r="M3130" t="str">
        <x:v>SEDANG+</x:v>
      </x:c>
      <x:c r="N3130" t="str">
        <x:v>ELITE-3</x:v>
      </x:c>
      <x:c r="O3130" t="str">
        <x:v>SOSHUM</x:v>
      </x:c>
      <x:c r="P3130" t="str">
        <x:v>UMUM</x:v>
      </x:c>
      <x:c r="Q3130" s="18" t="n">
        <x:v>635</x:v>
      </x:c>
      <x:c r="R3130" s="18" t="n">
        <x:v>0</x:v>
      </x:c>
      <x:c r="S3130" s="18" t="n">
        <x:v>569.803809974624</x:v>
      </x:c>
      <x:c r="T3130" s="18" t="n">
        <x:v>660</x:v>
      </x:c>
      <x:c r="U3130" s="18" t="n">
        <x:v>635</x:v>
      </x:c>
      <x:c r="V3130" s="20" t="n">
        <x:v>4.4</x:v>
      </x:c>
      <x:c r="W3130" s="20" t="n">
        <x:v>14.3</x:v>
      </x:c>
      <x:c r="X3130" s="20" t="n">
        <x:v>3.3</x:v>
      </x:c>
      <x:c r="Y3130" t="str">
        <x:v>Basis arsip 2025/2024</x:v>
      </x:c>
      <x:c r="Z3130" t="str">
        <x:v>https://snpmb.id/utbk-snbt/daya-tampung-snbt</x:v>
      </x:c>
      <x:c r="AA3130" t="str">
        <x:v>Tidak Ada</x:v>
      </x:c>
      <x:c r="AB3130" t="str">
        <x:v>Campus=80; Ratio=26.6; Prodi=40; RelDemand=18.3; Capacity=54.2</x:v>
      </x:c>
    </x:row>
    <x:row r="3131">
      <x:c r="A3131" t="n">
        <x:v>3128</x:v>
      </x:c>
      <x:c r="B3131" t="str">
        <x:v>PTN Akademik</x:v>
      </x:c>
      <x:c r="C3131" t="str">
        <x:v>UNIVERSITAS HASANUDDIN</x:v>
      </x:c>
      <x:c r="D3131" t="str">
        <x:v>SASTRA INGGRIS</x:v>
      </x:c>
      <x:c r="E3131" t="str">
        <x:v>Sarjana</x:v>
      </x:c>
      <x:c r="F3131" s="18" t="n">
        <x:v>99</x:v>
      </x:c>
      <x:c r="G3131" s="18" t="n">
        <x:v>400</x:v>
      </x:c>
      <x:c r="H3131" s="19" t="n">
        <x:v>4.040404040404041</x:v>
      </x:c>
      <x:c r="I3131" s="18" t="n">
        <x:f>ROUND(MIN(Model_Config_v3!$B$6,MAX(Q3131,R3131,S3131*Model_Config_v3!$B$4+T3131*Model_Config_v3!$B$5)),0)</x:f>
        <x:v>637</x:v>
      </x:c>
      <x:c r="J3131" s="18" t="n">
        <x:f>MIN(Model_Config_v3!$B$6,I3131+Model_Config_v3!$B$7)</x:f>
        <x:v>657</x:v>
      </x:c>
      <x:c r="K3131" s="20" t="n">
        <x:v>49.3</x:v>
      </x:c>
      <x:c r="L3131" t="str">
        <x:v>MENENGAH</x:v>
      </x:c>
      <x:c r="M3131" t="str">
        <x:v>SEDANG+</x:v>
      </x:c>
      <x:c r="N3131" t="str">
        <x:v>ELITE-3</x:v>
      </x:c>
      <x:c r="O3131" t="str">
        <x:v>SOSHUM</x:v>
      </x:c>
      <x:c r="P3131" t="str">
        <x:v>UMUM</x:v>
      </x:c>
      <x:c r="Q3131" s="18" t="n">
        <x:v>635</x:v>
      </x:c>
      <x:c r="R3131" s="18" t="n">
        <x:v>0</x:v>
      </x:c>
      <x:c r="S3131" s="18" t="n">
        <x:v>586.7067276403454</x:v>
      </x:c>
      <x:c r="T3131" s="18" t="n">
        <x:v>659</x:v>
      </x:c>
      <x:c r="U3131" s="18" t="n">
        <x:v>635</x:v>
      </x:c>
      <x:c r="V3131" s="20" t="n">
        <x:v>4.4</x:v>
      </x:c>
      <x:c r="W3131" s="20" t="n">
        <x:v>14.3</x:v>
      </x:c>
      <x:c r="X3131" s="20" t="n">
        <x:v>3.3</x:v>
      </x:c>
      <x:c r="Y3131" t="str">
        <x:v>Basis arsip 2025/2024</x:v>
      </x:c>
      <x:c r="Z3131" t="str">
        <x:v>https://snpmb.id/utbk-snbt/daya-tampung-snbt</x:v>
      </x:c>
      <x:c r="AA3131" t="str">
        <x:v>Tidak Ada</x:v>
      </x:c>
      <x:c r="AB3131" t="str">
        <x:v>Campus=80; Ratio=35.7; Prodi=40; RelDemand=26.0; Capacity=17.5</x:v>
      </x:c>
    </x:row>
    <x:row r="3132">
      <x:c r="A3132" t="n">
        <x:v>3129</x:v>
      </x:c>
      <x:c r="B3132" t="str">
        <x:v>PTN Akademik</x:v>
      </x:c>
      <x:c r="C3132" t="str">
        <x:v>UNIVERSITAS HASANUDDIN</x:v>
      </x:c>
      <x:c r="D3132" t="str">
        <x:v>SASTRA PERANCIS</x:v>
      </x:c>
      <x:c r="E3132" t="str">
        <x:v>Sarjana</x:v>
      </x:c>
      <x:c r="F3132" s="18" t="n">
        <x:v>44</x:v>
      </x:c>
      <x:c r="G3132" s="18" t="n">
        <x:v>27</x:v>
      </x:c>
      <x:c r="H3132" s="19" t="n">
        <x:v>0.6136363636363636</x:v>
      </x:c>
      <x:c r="I3132" s="18" t="n">
        <x:f>ROUND(MIN(Model_Config_v3!$B$6,MAX(Q3132,R3132,S3132*Model_Config_v3!$B$4+T3132*Model_Config_v3!$B$5)),0)</x:f>
        <x:v>635</x:v>
      </x:c>
      <x:c r="J3132" s="18" t="n">
        <x:f>MIN(Model_Config_v3!$B$6,I3132+Model_Config_v3!$B$7)</x:f>
        <x:v>655</x:v>
      </x:c>
      <x:c r="K3132" s="20" t="n">
        <x:v>42.7</x:v>
      </x:c>
      <x:c r="L3132" t="str">
        <x:v>RELATIF LONGGAR</x:v>
      </x:c>
      <x:c r="M3132" t="str">
        <x:v>SEDANG+</x:v>
      </x:c>
      <x:c r="N3132" t="str">
        <x:v>ELITE-3</x:v>
      </x:c>
      <x:c r="O3132" t="str">
        <x:v>SOSHUM</x:v>
      </x:c>
      <x:c r="P3132" t="str">
        <x:v>UMUM</x:v>
      </x:c>
      <x:c r="Q3132" s="18" t="n">
        <x:v>635</x:v>
      </x:c>
      <x:c r="R3132" s="18" t="n">
        <x:v>0</x:v>
      </x:c>
      <x:c r="S3132" s="18" t="n">
        <x:v>520</x:v>
      </x:c>
      <x:c r="T3132" s="18" t="n">
        <x:v>645</x:v>
      </x:c>
      <x:c r="U3132" s="18" t="n">
        <x:v>635</x:v>
      </x:c>
      <x:c r="V3132" s="20" t="n">
        <x:v>4.4</x:v>
      </x:c>
      <x:c r="W3132" s="20" t="n">
        <x:v>14.3</x:v>
      </x:c>
      <x:c r="X3132" s="20" t="n">
        <x:v>3.3</x:v>
      </x:c>
      <x:c r="Y3132" t="str">
        <x:v>Basis arsip 2025/2024</x:v>
      </x:c>
      <x:c r="Z3132" t="str">
        <x:v>https://snpmb.id/utbk-snbt/daya-tampung-snbt</x:v>
      </x:c>
      <x:c r="AA3132" t="str">
        <x:v>Tidak Ada</x:v>
      </x:c>
      <x:c r="AB3132" t="str">
        <x:v>Campus=80; Ratio=0.0; Prodi=40; RelDemand=4.0; Capacity=63.3</x:v>
      </x:c>
    </x:row>
    <x:row r="3133">
      <x:c r="A3133" t="n">
        <x:v>3130</x:v>
      </x:c>
      <x:c r="B3133" t="str">
        <x:v>PTN Akademik</x:v>
      </x:c>
      <x:c r="C3133" t="str">
        <x:v>UNIVERSITAS HASANUDDIN</x:v>
      </x:c>
      <x:c r="D3133" t="str">
        <x:v>ARKEOLOGI</x:v>
      </x:c>
      <x:c r="E3133" t="str">
        <x:v>Sarjana</x:v>
      </x:c>
      <x:c r="F3133" s="18" t="n">
        <x:v>60</x:v>
      </x:c>
      <x:c r="G3133" s="18" t="n">
        <x:v>71</x:v>
      </x:c>
      <x:c r="H3133" s="19" t="n">
        <x:v>1.1833333333333333</x:v>
      </x:c>
      <x:c r="I3133" s="18" t="n">
        <x:f>ROUND(MIN(Model_Config_v3!$B$6,MAX(Q3133,R3133,S3133*Model_Config_v3!$B$4+T3133*Model_Config_v3!$B$5)),0)</x:f>
        <x:v>635</x:v>
      </x:c>
      <x:c r="J3133" s="18" t="n">
        <x:f>MIN(Model_Config_v3!$B$6,I3133+Model_Config_v3!$B$7)</x:f>
        <x:v>655</x:v>
      </x:c>
      <x:c r="K3133" s="20" t="n">
        <x:v>42.8</x:v>
      </x:c>
      <x:c r="L3133" t="str">
        <x:v>RELATIF LONGGAR</x:v>
      </x:c>
      <x:c r="M3133" t="str">
        <x:v>SEDANG+</x:v>
      </x:c>
      <x:c r="N3133" t="str">
        <x:v>ELITE-3</x:v>
      </x:c>
      <x:c r="O3133" t="str">
        <x:v>CAMPURAN</x:v>
      </x:c>
      <x:c r="P3133" t="str">
        <x:v>UMUM</x:v>
      </x:c>
      <x:c r="Q3133" s="18" t="n">
        <x:v>635</x:v>
      </x:c>
      <x:c r="R3133" s="18" t="n">
        <x:v>0</x:v>
      </x:c>
      <x:c r="S3133" s="18" t="n">
        <x:v>528.0417808168975</x:v>
      </x:c>
      <x:c r="T3133" s="18" t="n">
        <x:v>646</x:v>
      </x:c>
      <x:c r="U3133" s="18" t="n">
        <x:v>635</x:v>
      </x:c>
      <x:c r="V3133" s="20" t="n">
        <x:v>8.8</x:v>
      </x:c>
      <x:c r="W3133" s="20" t="n">
        <x:v>9.9</x:v>
      </x:c>
      <x:c r="X3133" s="20" t="n">
        <x:v>3.3</x:v>
      </x:c>
      <x:c r="Y3133" t="str">
        <x:v>Basis arsip 2025/2024</x:v>
      </x:c>
      <x:c r="Z3133" t="str">
        <x:v>https://snpmb.id/utbk-snbt/daya-tampung-snbt</x:v>
      </x:c>
      <x:c r="AA3133" t="str">
        <x:v>Tidak Ada</x:v>
      </x:c>
      <x:c r="AB3133" t="str">
        <x:v>Campus=80; Ratio=4.3; Prodi=40; RelDemand=7.6; Capacity=50.0</x:v>
      </x:c>
    </x:row>
    <x:row r="3134">
      <x:c r="A3134" t="n">
        <x:v>3131</x:v>
      </x:c>
      <x:c r="B3134" t="str">
        <x:v>PTN Akademik</x:v>
      </x:c>
      <x:c r="C3134" t="str">
        <x:v>UNIVERSITAS HASANUDDIN</x:v>
      </x:c>
      <x:c r="D3134" t="str">
        <x:v>SASTRA JEPANG</x:v>
      </x:c>
      <x:c r="E3134" t="str">
        <x:v>Sarjana</x:v>
      </x:c>
      <x:c r="F3134" s="18" t="n">
        <x:v>80</x:v>
      </x:c>
      <x:c r="G3134" s="18" t="n">
        <x:v>139</x:v>
      </x:c>
      <x:c r="H3134" s="19" t="n">
        <x:v>1.7375</x:v>
      </x:c>
      <x:c r="I3134" s="18" t="n">
        <x:f>ROUND(MIN(Model_Config_v3!$B$6,MAX(Q3134,R3134,S3134*Model_Config_v3!$B$4+T3134*Model_Config_v3!$B$5)),0)</x:f>
        <x:v>635</x:v>
      </x:c>
      <x:c r="J3134" s="18" t="n">
        <x:f>MIN(Model_Config_v3!$B$6,I3134+Model_Config_v3!$B$7)</x:f>
        <x:v>655</x:v>
      </x:c>
      <x:c r="K3134" s="20" t="n">
        <x:v>44</x:v>
      </x:c>
      <x:c r="L3134" t="str">
        <x:v>RELATIF LONGGAR</x:v>
      </x:c>
      <x:c r="M3134" t="str">
        <x:v>SEDANG+</x:v>
      </x:c>
      <x:c r="N3134" t="str">
        <x:v>ELITE-3</x:v>
      </x:c>
      <x:c r="O3134" t="str">
        <x:v>SOSHUM</x:v>
      </x:c>
      <x:c r="P3134" t="str">
        <x:v>UMUM</x:v>
      </x:c>
      <x:c r="Q3134" s="18" t="n">
        <x:v>635</x:v>
      </x:c>
      <x:c r="R3134" s="18" t="n">
        <x:v>0</x:v>
      </x:c>
      <x:c r="S3134" s="18" t="n">
        <x:v>546.3917294588366</x:v>
      </x:c>
      <x:c r="T3134" s="18" t="n">
        <x:v>648</x:v>
      </x:c>
      <x:c r="U3134" s="18" t="n">
        <x:v>635</x:v>
      </x:c>
      <x:c r="V3134" s="20" t="n">
        <x:v>4.4</x:v>
      </x:c>
      <x:c r="W3134" s="20" t="n">
        <x:v>14.3</x:v>
      </x:c>
      <x:c r="X3134" s="20" t="n">
        <x:v>3.3</x:v>
      </x:c>
      <x:c r="Y3134" t="str">
        <x:v>Basis arsip 2025/2024</x:v>
      </x:c>
      <x:c r="Z3134" t="str">
        <x:v>https://snpmb.id/utbk-snbt/daya-tampung-snbt</x:v>
      </x:c>
      <x:c r="AA3134" t="str">
        <x:v>Tidak Ada</x:v>
      </x:c>
      <x:c r="AB3134" t="str">
        <x:v>Campus=80; Ratio=14.1; Prodi=40; RelDemand=11.2; Capacity=33.3</x:v>
      </x:c>
    </x:row>
    <x:row r="3135">
      <x:c r="A3135" t="n">
        <x:v>3132</x:v>
      </x:c>
      <x:c r="B3135" t="str">
        <x:v>PTN Akademik</x:v>
      </x:c>
      <x:c r="C3135" t="str">
        <x:v>UNIVERSITAS HASANUDDIN</x:v>
      </x:c>
      <x:c r="D3135" t="str">
        <x:v>EKONOMI PEMBANGUNAN</x:v>
      </x:c>
      <x:c r="E3135" t="str">
        <x:v>Sarjana</x:v>
      </x:c>
      <x:c r="F3135" s="18" t="n">
        <x:v>150</x:v>
      </x:c>
      <x:c r="G3135" s="18" t="n">
        <x:v>532</x:v>
      </x:c>
      <x:c r="H3135" s="19" t="n">
        <x:v>3.546666666666667</x:v>
      </x:c>
      <x:c r="I3135" s="18" t="n">
        <x:f>ROUND(MIN(Model_Config_v3!$B$6,MAX(Q3135,R3135,S3135*Model_Config_v3!$B$4+T3135*Model_Config_v3!$B$5)),0)</x:f>
        <x:v>638</x:v>
      </x:c>
      <x:c r="J3135" s="18" t="n">
        <x:f>MIN(Model_Config_v3!$B$6,I3135+Model_Config_v3!$B$7)</x:f>
        <x:v>658</x:v>
      </x:c>
      <x:c r="K3135" s="20" t="n">
        <x:v>51.4</x:v>
      </x:c>
      <x:c r="L3135" t="str">
        <x:v>MENENGAH</x:v>
      </x:c>
      <x:c r="M3135" t="str">
        <x:v>SEDANG+</x:v>
      </x:c>
      <x:c r="N3135" t="str">
        <x:v>ELITE-3</x:v>
      </x:c>
      <x:c r="O3135" t="str">
        <x:v>SOSHUM</x:v>
      </x:c>
      <x:c r="P3135" t="str">
        <x:v>BISNIS/EKONOMI/AKUNTANSI</x:v>
      </x:c>
      <x:c r="Q3135" s="18" t="n">
        <x:v>635</x:v>
      </x:c>
      <x:c r="R3135" s="18" t="n">
        <x:v>0</x:v>
      </x:c>
      <x:c r="S3135" s="18" t="n">
        <x:v>580.4802410563303</x:v>
      </x:c>
      <x:c r="T3135" s="18" t="n">
        <x:v>663</x:v>
      </x:c>
      <x:c r="U3135" s="18" t="n">
        <x:v>635</x:v>
      </x:c>
      <x:c r="V3135" s="20" t="n">
        <x:v>4.4</x:v>
      </x:c>
      <x:c r="W3135" s="20" t="n">
        <x:v>14.3</x:v>
      </x:c>
      <x:c r="X3135" s="20" t="n">
        <x:v>3.3</x:v>
      </x:c>
      <x:c r="Y3135" t="str">
        <x:v>Basis arsip 2025/2024</x:v>
      </x:c>
      <x:c r="Z3135" t="str">
        <x:v>https://snpmb.id/utbk-snbt/daya-tampung-snbt</x:v>
      </x:c>
      <x:c r="AA3135" t="str">
        <x:v>Tidak Ada</x:v>
      </x:c>
      <x:c r="AB3135" t="str">
        <x:v>Campus=80; Ratio=32.4; Prodi=65; RelDemand=22.8; Capacity=0.0</x:v>
      </x:c>
    </x:row>
    <x:row r="3136">
      <x:c r="A3136" t="n">
        <x:v>3133</x:v>
      </x:c>
      <x:c r="B3136" t="str">
        <x:v>PTN Akademik</x:v>
      </x:c>
      <x:c r="C3136" t="str">
        <x:v>UNIVERSITAS HASANUDDIN</x:v>
      </x:c>
      <x:c r="D3136" t="str">
        <x:v>HUKUM ADMINISTRASI NEGARA</x:v>
      </x:c>
      <x:c r="E3136" t="str">
        <x:v>Sarjana</x:v>
      </x:c>
      <x:c r="F3136" s="18" t="n">
        <x:v>50</x:v>
      </x:c>
      <x:c r="G3136" s="18" t="n">
        <x:v>578</x:v>
      </x:c>
      <x:c r="H3136" s="19" t="n">
        <x:v>11.56</x:v>
      </x:c>
      <x:c r="I3136" s="18" t="n">
        <x:f>ROUND(MIN(Model_Config_v3!$B$6,MAX(Q3136,R3136,S3136*Model_Config_v3!$B$4+T3136*Model_Config_v3!$B$5)),0)</x:f>
        <x:v>681</x:v>
      </x:c>
      <x:c r="J3136" s="18" t="n">
        <x:f>MIN(Model_Config_v3!$B$6,I3136+Model_Config_v3!$B$7)</x:f>
        <x:v>701</x:v>
      </x:c>
      <x:c r="K3136" s="20" t="n">
        <x:v>69.9</x:v>
      </x:c>
      <x:c r="L3136" t="str">
        <x:v>SANGAT KETAT</x:v>
      </x:c>
      <x:c r="M3136" t="str">
        <x:v>SEDANG+</x:v>
      </x:c>
      <x:c r="N3136" t="str">
        <x:v>ELITE-3</x:v>
      </x:c>
      <x:c r="O3136" t="str">
        <x:v>SOSHUM</x:v>
      </x:c>
      <x:c r="P3136" t="str">
        <x:v>HUKUM</x:v>
      </x:c>
      <x:c r="Q3136" s="18" t="n">
        <x:v>635</x:v>
      </x:c>
      <x:c r="R3136" s="18" t="n">
        <x:v>0</x:v>
      </x:c>
      <x:c r="S3136" s="18" t="n">
        <x:v>636.9253617492961</x:v>
      </x:c>
      <x:c r="T3136" s="18" t="n">
        <x:v>700</x:v>
      </x:c>
      <x:c r="U3136" s="18" t="n">
        <x:v>651.9253617492961</x:v>
      </x:c>
      <x:c r="V3136" s="20" t="n">
        <x:v>4.4</x:v>
      </x:c>
      <x:c r="W3136" s="20" t="n">
        <x:v>14.3</x:v>
      </x:c>
      <x:c r="X3136" s="20" t="n">
        <x:v>3.3</x:v>
      </x:c>
      <x:c r="Y3136" t="str">
        <x:v>Basis arsip 2025/2024</x:v>
      </x:c>
      <x:c r="Z3136" t="str">
        <x:v>https://snpmb.id/utbk-snbt/daya-tampung-snbt</x:v>
      </x:c>
      <x:c r="AA3136" t="str">
        <x:v>Tidak Ada</x:v>
      </x:c>
      <x:c r="AB3136" t="str">
        <x:v>Campus=80; Ratio=62.6; Prodi=65; RelDemand=74.4; Capacity=58.3</x:v>
      </x:c>
    </x:row>
    <x:row r="3137">
      <x:c r="A3137" t="n">
        <x:v>3134</x:v>
      </x:c>
      <x:c r="B3137" t="str">
        <x:v>PTN Akademik</x:v>
      </x:c>
      <x:c r="C3137" t="str">
        <x:v>UNIVERSITAS HASANUDDIN</x:v>
      </x:c>
      <x:c r="D3137" t="str">
        <x:v>BAHASA MANDARIN DAN KEBUDAYAAN TIONGKOK</x:v>
      </x:c>
      <x:c r="E3137" t="str">
        <x:v>Sarjana</x:v>
      </x:c>
      <x:c r="F3137" s="18" t="n">
        <x:v>60</x:v>
      </x:c>
      <x:c r="G3137" s="18" t="n">
        <x:v>160</x:v>
      </x:c>
      <x:c r="H3137" s="19" t="n">
        <x:v>2.6666666666666665</x:v>
      </x:c>
      <x:c r="I3137" s="18" t="n">
        <x:f>ROUND(MIN(Model_Config_v3!$B$6,MAX(Q3137,R3137,S3137*Model_Config_v3!$B$4+T3137*Model_Config_v3!$B$5)),0)</x:f>
        <x:v>635</x:v>
      </x:c>
      <x:c r="J3137" s="18" t="n">
        <x:f>MIN(Model_Config_v3!$B$6,I3137+Model_Config_v3!$B$7)</x:f>
        <x:v>655</x:v>
      </x:c>
      <x:c r="K3137" s="20" t="n">
        <x:v>49</x:v>
      </x:c>
      <x:c r="L3137" t="str">
        <x:v>MENENGAH</x:v>
      </x:c>
      <x:c r="M3137" t="str">
        <x:v>SEDANG+</x:v>
      </x:c>
      <x:c r="N3137" t="str">
        <x:v>ELITE-3</x:v>
      </x:c>
      <x:c r="O3137" t="str">
        <x:v>SOSHUM</x:v>
      </x:c>
      <x:c r="P3137" t="str">
        <x:v>UMUM</x:v>
      </x:c>
      <x:c r="Q3137" s="18" t="n">
        <x:v>635</x:v>
      </x:c>
      <x:c r="R3137" s="18" t="n">
        <x:v>0</x:v>
      </x:c>
      <x:c r="S3137" s="18" t="n">
        <x:v>566.8565605499509</x:v>
      </x:c>
      <x:c r="T3137" s="18" t="n">
        <x:v>658</x:v>
      </x:c>
      <x:c r="U3137" s="18" t="n">
        <x:v>635</x:v>
      </x:c>
      <x:c r="V3137" s="20" t="n">
        <x:v>4.4</x:v>
      </x:c>
      <x:c r="W3137" s="20" t="n">
        <x:v>14.3</x:v>
      </x:c>
      <x:c r="X3137" s="20" t="n">
        <x:v>3.3</x:v>
      </x:c>
      <x:c r="Y3137" t="str">
        <x:v>Basis arsip 2025/2024</x:v>
      </x:c>
      <x:c r="Z3137" t="str">
        <x:v>https://snpmb.id/utbk-snbt/daya-tampung-snbt</x:v>
      </x:c>
      <x:c r="AA3137" t="str">
        <x:v>Tidak Ada</x:v>
      </x:c>
      <x:c r="AB3137" t="str">
        <x:v>Campus=80; Ratio=25.1; Prodi=40; RelDemand=17.2; Capacity=50.0</x:v>
      </x:c>
    </x:row>
    <x:row r="3138">
      <x:c r="A3138" t="n">
        <x:v>3135</x:v>
      </x:c>
      <x:c r="B3138" t="str">
        <x:v>PTN Akademik</x:v>
      </x:c>
      <x:c r="C3138" t="str">
        <x:v>UNIVERSITAS HASANUDDIN</x:v>
      </x:c>
      <x:c r="D3138" t="str">
        <x:v>PARIWISATA</x:v>
      </x:c>
      <x:c r="E3138" t="str">
        <x:v>Sarjana</x:v>
      </x:c>
      <x:c r="F3138" s="18" t="n">
        <x:v>55</x:v>
      </x:c>
      <x:c r="G3138" s="18" t="n">
        <x:v>266</x:v>
      </x:c>
      <x:c r="H3138" s="19" t="n">
        <x:v>4.836363636363636</x:v>
      </x:c>
      <x:c r="I3138" s="18" t="n">
        <x:f>ROUND(MIN(Model_Config_v3!$B$6,MAX(Q3138,R3138,S3138*Model_Config_v3!$B$4+T3138*Model_Config_v3!$B$5)),0)</x:f>
        <x:v>647</x:v>
      </x:c>
      <x:c r="J3138" s="18" t="n">
        <x:f>MIN(Model_Config_v3!$B$6,I3138+Model_Config_v3!$B$7)</x:f>
        <x:v>667</x:v>
      </x:c>
      <x:c r="K3138" s="20" t="n">
        <x:v>54.6</x:v>
      </x:c>
      <x:c r="L3138" t="str">
        <x:v>MENENGAH</x:v>
      </x:c>
      <x:c r="M3138" t="str">
        <x:v>SEDANG+</x:v>
      </x:c>
      <x:c r="N3138" t="str">
        <x:v>ELITE-3</x:v>
      </x:c>
      <x:c r="O3138" t="str">
        <x:v>CAMPURAN</x:v>
      </x:c>
      <x:c r="P3138" t="str">
        <x:v>UMUM</x:v>
      </x:c>
      <x:c r="Q3138" s="18" t="n">
        <x:v>635</x:v>
      </x:c>
      <x:c r="R3138" s="18" t="n">
        <x:v>0</x:v>
      </x:c>
      <x:c r="S3138" s="18" t="n">
        <x:v>595.2970841850505</x:v>
      </x:c>
      <x:c r="T3138" s="18" t="n">
        <x:v>669</x:v>
      </x:c>
      <x:c r="U3138" s="18" t="n">
        <x:v>635</x:v>
      </x:c>
      <x:c r="V3138" s="20" t="n">
        <x:v>8.8</x:v>
      </x:c>
      <x:c r="W3138" s="20" t="n">
        <x:v>9.9</x:v>
      </x:c>
      <x:c r="X3138" s="20" t="n">
        <x:v>3.3</x:v>
      </x:c>
      <x:c r="Y3138" t="str">
        <x:v>Basis arsip 2025/2024</x:v>
      </x:c>
      <x:c r="Z3138" t="str">
        <x:v>https://snpmb.id/utbk-snbt/daya-tampung-snbt</x:v>
      </x:c>
      <x:c r="AA3138" t="str">
        <x:v>Tidak Ada</x:v>
      </x:c>
      <x:c r="AB3138" t="str">
        <x:v>Campus=80; Ratio=40.3; Prodi=40; RelDemand=31.1; Capacity=54.2</x:v>
      </x:c>
    </x:row>
    <x:row r="3139">
      <x:c r="A3139" t="n">
        <x:v>3136</x:v>
      </x:c>
      <x:c r="B3139" t="str">
        <x:v>PTN Akademik</x:v>
      </x:c>
      <x:c r="C3139" t="str">
        <x:v>UNIVERSITAS HASANUDDIN</x:v>
      </x:c>
      <x:c r="D3139" t="str">
        <x:v>EKONOMI DAN BISNIS ISLAM</x:v>
      </x:c>
      <x:c r="E3139" t="str">
        <x:v>Sarjana</x:v>
      </x:c>
      <x:c r="F3139" s="18" t="n">
        <x:v>37</x:v>
      </x:c>
      <x:c r="G3139" s="18" t="n">
        <x:v>331</x:v>
      </x:c>
      <x:c r="H3139" s="19" t="n">
        <x:v>8.945945945945946</x:v>
      </x:c>
      <x:c r="I3139" s="18" t="n">
        <x:f>ROUND(MIN(Model_Config_v3!$B$6,MAX(Q3139,R3139,S3139*Model_Config_v3!$B$4+T3139*Model_Config_v3!$B$5)),0)</x:f>
        <x:v>674</x:v>
      </x:c>
      <x:c r="J3139" s="18" t="n">
        <x:f>MIN(Model_Config_v3!$B$6,I3139+Model_Config_v3!$B$7)</x:f>
        <x:v>694</x:v>
      </x:c>
      <x:c r="K3139" s="20" t="n">
        <x:v>67.7</x:v>
      </x:c>
      <x:c r="L3139" t="str">
        <x:v>SANGAT KETAT</x:v>
      </x:c>
      <x:c r="M3139" t="str">
        <x:v>SEDANG+</x:v>
      </x:c>
      <x:c r="N3139" t="str">
        <x:v>ELITE-3</x:v>
      </x:c>
      <x:c r="O3139" t="str">
        <x:v>SOSHUM</x:v>
      </x:c>
      <x:c r="P3139" t="str">
        <x:v>BISNIS/EKONOMI/AKUNTANSI</x:v>
      </x:c>
      <x:c r="Q3139" s="18" t="n">
        <x:v>635</x:v>
      </x:c>
      <x:c r="R3139" s="18" t="n">
        <x:v>0</x:v>
      </x:c>
      <x:c r="S3139" s="18" t="n">
        <x:v>624.6788896679597</x:v>
      </x:c>
      <x:c r="T3139" s="18" t="n">
        <x:v>695</x:v>
      </x:c>
      <x:c r="U3139" s="18" t="n">
        <x:v>639.6788896679597</x:v>
      </x:c>
      <x:c r="V3139" s="20" t="n">
        <x:v>4.4</x:v>
      </x:c>
      <x:c r="W3139" s="20" t="n">
        <x:v>14.3</x:v>
      </x:c>
      <x:c r="X3139" s="20" t="n">
        <x:v>3.3</x:v>
      </x:c>
      <x:c r="Y3139" t="str">
        <x:v>Basis arsip 2025/2024</x:v>
      </x:c>
      <x:c r="Z3139" t="str">
        <x:v>https://snpmb.id/utbk-snbt/daya-tampung-snbt</x:v>
      </x:c>
      <x:c r="AA3139" t="str">
        <x:v>Tidak Ada</x:v>
      </x:c>
      <x:c r="AB3139" t="str">
        <x:v>Campus=80; Ratio=56.0; Prodi=65; RelDemand=57.6; Capacity=69.2</x:v>
      </x:c>
    </x:row>
    <x:row r="3140">
      <x:c r="A3140" t="n">
        <x:v>3137</x:v>
      </x:c>
      <x:c r="B3140" t="str">
        <x:v>PTN Akademik</x:v>
      </x:c>
      <x:c r="C3140" t="str">
        <x:v>UNIVERSITAS HASANUDDIN</x:v>
      </x:c>
      <x:c r="D3140" t="str">
        <x:v>TEKNOLOGI INDUSTRI PERTANIAN</x:v>
      </x:c>
      <x:c r="E3140" t="str">
        <x:v>Sarjana</x:v>
      </x:c>
      <x:c r="F3140" s="18" t="n">
        <x:v>45</x:v>
      </x:c>
      <x:c r="G3140" s="18" t="n">
        <x:v>122</x:v>
      </x:c>
      <x:c r="H3140" s="19" t="n">
        <x:v>2.7111111111111112</x:v>
      </x:c>
      <x:c r="I3140" s="18" t="n">
        <x:f>ROUND(MIN(Model_Config_v3!$B$6,MAX(Q3140,R3140,S3140*Model_Config_v3!$B$4+T3140*Model_Config_v3!$B$5)),0)</x:f>
        <x:v>635</x:v>
      </x:c>
      <x:c r="J3140" s="18" t="n">
        <x:f>MIN(Model_Config_v3!$B$6,I3140+Model_Config_v3!$B$7)</x:f>
        <x:v>655</x:v>
      </x:c>
      <x:c r="K3140" s="20" t="n">
        <x:v>50.4</x:v>
      </x:c>
      <x:c r="L3140" t="str">
        <x:v>MENENGAH</x:v>
      </x:c>
      <x:c r="M3140" t="str">
        <x:v>SEDANG+</x:v>
      </x:c>
      <x:c r="N3140" t="str">
        <x:v>ELITE-3</x:v>
      </x:c>
      <x:c r="O3140" t="str">
        <x:v>SAINTEK</x:v>
      </x:c>
      <x:c r="P3140" t="str">
        <x:v>UMUM</x:v>
      </x:c>
      <x:c r="Q3140" s="18" t="n">
        <x:v>635</x:v>
      </x:c>
      <x:c r="R3140" s="18" t="n">
        <x:v>0</x:v>
      </x:c>
      <x:c r="S3140" s="18" t="n">
        <x:v>567.6462048589345</x:v>
      </x:c>
      <x:c r="T3140" s="18" t="n">
        <x:v>661</x:v>
      </x:c>
      <x:c r="U3140" s="18" t="n">
        <x:v>635</x:v>
      </x:c>
      <x:c r="V3140" s="20" t="n">
        <x:v>12</x:v>
      </x:c>
      <x:c r="W3140" s="20" t="n">
        <x:v>5</x:v>
      </x:c>
      <x:c r="X3140" s="20" t="n">
        <x:v>3</x:v>
      </x:c>
      <x:c r="Y3140" t="str">
        <x:v>Basis arsip 2025/2024</x:v>
      </x:c>
      <x:c r="Z3140" t="str">
        <x:v>https://snpmb.id/utbk-snbt/daya-tampung-snbt</x:v>
      </x:c>
      <x:c r="AA3140" t="str">
        <x:v>Tidak Ada</x:v>
      </x:c>
      <x:c r="AB3140" t="str">
        <x:v>Campus=80; Ratio=25.5; Prodi=40; RelDemand=17.5; Capacity=62.5</x:v>
      </x:c>
    </x:row>
    <x:row r="3141">
      <x:c r="A3141" t="n">
        <x:v>3138</x:v>
      </x:c>
      <x:c r="B3141" t="str">
        <x:v>PTN Akademik</x:v>
      </x:c>
      <x:c r="C3141" t="str">
        <x:v>UNIVERSITAS HASANUDDIN</x:v>
      </x:c>
      <x:c r="D3141" t="str">
        <x:v>TEKNIK GEODESI</x:v>
      </x:c>
      <x:c r="E3141" t="str">
        <x:v>Sarjana</x:v>
      </x:c>
      <x:c r="F3141" s="18" t="n">
        <x:v>36</x:v>
      </x:c>
      <x:c r="G3141" s="18"/>
      <x:c r="H3141" s="19" t="n">
        <x:v>0</x:v>
      </x:c>
      <x:c r="I3141" s="18" t="n">
        <x:f>ROUND(MIN(Model_Config_v3!$B$6,MAX(Q3141,R3141,S3141*Model_Config_v3!$B$4+T3141*Model_Config_v3!$B$5)),0)</x:f>
        <x:v>635</x:v>
      </x:c>
      <x:c r="J3141" s="18" t="n">
        <x:f>MIN(Model_Config_v3!$B$6,I3141+Model_Config_v3!$B$7)</x:f>
        <x:v>655</x:v>
      </x:c>
      <x:c r="K3141" s="20" t="n">
        <x:v>47</x:v>
      </x:c>
      <x:c r="L3141" t="str">
        <x:v>MENENGAH</x:v>
      </x:c>
      <x:c r="M3141" t="str">
        <x:v>RENDAH</x:v>
      </x:c>
      <x:c r="N3141" t="str">
        <x:v>ELITE-3</x:v>
      </x:c>
      <x:c r="O3141" t="str">
        <x:v>SAINTEK</x:v>
      </x:c>
      <x:c r="P3141" t="str">
        <x:v>TEKNIK/ARSITEKTUR/STATISTIKA/AKTUARIA</x:v>
      </x:c>
      <x:c r="Q3141" s="18" t="n">
        <x:v>635</x:v>
      </x:c>
      <x:c r="R3141" s="18" t="n">
        <x:v>0</x:v>
      </x:c>
      <x:c r="S3141" s="18" t="n">
        <x:v>520</x:v>
      </x:c>
      <x:c r="T3141" s="18" t="n">
        <x:v>654</x:v>
      </x:c>
      <x:c r="U3141" s="18" t="n">
        <x:v>635</x:v>
      </x:c>
      <x:c r="V3141" s="20" t="n">
        <x:v>12</x:v>
      </x:c>
      <x:c r="W3141" s="20" t="n">
        <x:v>5</x:v>
      </x:c>
      <x:c r="X3141" s="20" t="n">
        <x:v>3</x:v>
      </x:c>
      <x:c r="Y3141" t="str">
        <x:v>Basis arsip 2025/2024</x:v>
      </x:c>
      <x:c r="Z3141" t="str">
        <x:v>https://snpmb.id/utbk-snbt/daya-tampung-snbt</x:v>
      </x:c>
      <x:c r="AA3141" t="str">
        <x:v>Tidak Ada</x:v>
      </x:c>
      <x:c r="AB3141" t="str">
        <x:v>Campus=80; Ratio=0.0; Prodi=60; RelDemand=0.0; Capacity=70.0</x:v>
      </x:c>
    </x:row>
    <x:row r="3142">
      <x:c r="A3142" t="n">
        <x:v>3139</x:v>
      </x:c>
      <x:c r="B3142" t="str">
        <x:v>PTN Akademik</x:v>
      </x:c>
      <x:c r="C3142" t="str">
        <x:v>UNIVERSITAS HASANUDDIN</x:v>
      </x:c>
      <x:c r="D3142" t="str">
        <x:v>TEKNIK METALURGI DAN MATERIAL</x:v>
      </x:c>
      <x:c r="E3142" t="str">
        <x:v>Sarjana</x:v>
      </x:c>
      <x:c r="F3142" s="18" t="n">
        <x:v>40</x:v>
      </x:c>
      <x:c r="G3142" s="18"/>
      <x:c r="H3142" s="19" t="n">
        <x:v>0</x:v>
      </x:c>
      <x:c r="I3142" s="18" t="n">
        <x:f>ROUND(MIN(Model_Config_v3!$B$6,MAX(Q3142,R3142,S3142*Model_Config_v3!$B$4+T3142*Model_Config_v3!$B$5)),0)</x:f>
        <x:v>635</x:v>
      </x:c>
      <x:c r="J3142" s="18" t="n">
        <x:f>MIN(Model_Config_v3!$B$6,I3142+Model_Config_v3!$B$7)</x:f>
        <x:v>655</x:v>
      </x:c>
      <x:c r="K3142" s="20" t="n">
        <x:v>46.7</x:v>
      </x:c>
      <x:c r="L3142" t="str">
        <x:v>MENENGAH</x:v>
      </x:c>
      <x:c r="M3142" t="str">
        <x:v>RENDAH</x:v>
      </x:c>
      <x:c r="N3142" t="str">
        <x:v>ELITE-3</x:v>
      </x:c>
      <x:c r="O3142" t="str">
        <x:v>SAINTEK</x:v>
      </x:c>
      <x:c r="P3142" t="str">
        <x:v>TEKNIK/ARSITEKTUR/STATISTIKA/AKTUARIA</x:v>
      </x:c>
      <x:c r="Q3142" s="18" t="n">
        <x:v>635</x:v>
      </x:c>
      <x:c r="R3142" s="18" t="n">
        <x:v>0</x:v>
      </x:c>
      <x:c r="S3142" s="18" t="n">
        <x:v>520</x:v>
      </x:c>
      <x:c r="T3142" s="18" t="n">
        <x:v>653</x:v>
      </x:c>
      <x:c r="U3142" s="18" t="n">
        <x:v>635</x:v>
      </x:c>
      <x:c r="V3142" s="20" t="n">
        <x:v>12</x:v>
      </x:c>
      <x:c r="W3142" s="20" t="n">
        <x:v>5</x:v>
      </x:c>
      <x:c r="X3142" s="20" t="n">
        <x:v>3</x:v>
      </x:c>
      <x:c r="Y3142" t="str">
        <x:v>Basis arsip 2025/2024</x:v>
      </x:c>
      <x:c r="Z3142" t="str">
        <x:v>https://snpmb.id/utbk-snbt/daya-tampung-snbt</x:v>
      </x:c>
      <x:c r="AA3142" t="str">
        <x:v>Tidak Ada</x:v>
      </x:c>
      <x:c r="AB3142" t="str">
        <x:v>Campus=80; Ratio=0.0; Prodi=60; RelDemand=0.0; Capacity=66.7</x:v>
      </x:c>
    </x:row>
    <x:row r="3143">
      <x:c r="A3143" t="n">
        <x:v>3140</x:v>
      </x:c>
      <x:c r="B3143" t="str">
        <x:v>PTN Akademik</x:v>
      </x:c>
      <x:c r="C3143" t="str">
        <x:v>UNIVERSITAS HASANUDDIN</x:v>
      </x:c>
      <x:c r="D3143" t="str">
        <x:v>TEKNOLOGI PRODUKSI TERNAK</x:v>
      </x:c>
      <x:c r="E3143" t="str">
        <x:v>Sarjana Terapan</x:v>
      </x:c>
      <x:c r="F3143" s="18" t="n">
        <x:v>35</x:v>
      </x:c>
      <x:c r="G3143" s="18" t="n">
        <x:v>47</x:v>
      </x:c>
      <x:c r="H3143" s="19" t="n">
        <x:v>1.3428571428571427</x:v>
      </x:c>
      <x:c r="I3143" s="18" t="n">
        <x:f>ROUND(MIN(Model_Config_v3!$B$6,MAX(Q3143,R3143,S3143*Model_Config_v3!$B$4+T3143*Model_Config_v3!$B$5)),0)</x:f>
        <x:v>635</x:v>
      </x:c>
      <x:c r="J3143" s="18" t="n">
        <x:f>MIN(Model_Config_v3!$B$6,I3143+Model_Config_v3!$B$7)</x:f>
        <x:v>655</x:v>
      </x:c>
      <x:c r="K3143" s="20" t="n">
        <x:v>45.8</x:v>
      </x:c>
      <x:c r="L3143" t="str">
        <x:v>MENENGAH</x:v>
      </x:c>
      <x:c r="M3143" t="str">
        <x:v>SEDANG+</x:v>
      </x:c>
      <x:c r="N3143" t="str">
        <x:v>ELITE-3</x:v>
      </x:c>
      <x:c r="O3143" t="str">
        <x:v>SAINTEK</x:v>
      </x:c>
      <x:c r="P3143" t="str">
        <x:v>UMUM</x:v>
      </x:c>
      <x:c r="Q3143" s="18" t="n">
        <x:v>635</x:v>
      </x:c>
      <x:c r="R3143" s="18" t="n">
        <x:v>0</x:v>
      </x:c>
      <x:c r="S3143" s="18" t="n">
        <x:v>534.0832794943985</x:v>
      </x:c>
      <x:c r="T3143" s="18" t="n">
        <x:v>652</x:v>
      </x:c>
      <x:c r="U3143" s="18" t="n">
        <x:v>635</x:v>
      </x:c>
      <x:c r="V3143" s="20" t="n">
        <x:v>12</x:v>
      </x:c>
      <x:c r="W3143" s="20" t="n">
        <x:v>5</x:v>
      </x:c>
      <x:c r="X3143" s="20" t="n">
        <x:v>3</x:v>
      </x:c>
      <x:c r="Y3143" t="str">
        <x:v>Basis arsip 2025/2024</x:v>
      </x:c>
      <x:c r="Z3143" t="str">
        <x:v>https://snpmb.id/utbk-snbt/daya-tampung-snbt</x:v>
      </x:c>
      <x:c r="AA3143" t="str">
        <x:v>Tidak Ada</x:v>
      </x:c>
      <x:c r="AB3143" t="str">
        <x:v>Campus=80; Ratio=7.5; Prodi=40; RelDemand=8.6; Capacity=70.8</x:v>
      </x:c>
    </x:row>
    <x:row r="3144">
      <x:c r="A3144" t="n">
        <x:v>3141</x:v>
      </x:c>
      <x:c r="B3144" t="str">
        <x:v>PTN Akademik</x:v>
      </x:c>
      <x:c r="C3144" t="str">
        <x:v>UNIVERSITAS HASANUDDIN</x:v>
      </x:c>
      <x:c r="D3144" t="str">
        <x:v>TEKNOLOGI PRODUKSI TANAMAN PANGAN</x:v>
      </x:c>
      <x:c r="E3144" t="str">
        <x:v>Sarjana Terapan</x:v>
      </x:c>
      <x:c r="F3144" s="18" t="n">
        <x:v>24</x:v>
      </x:c>
      <x:c r="G3144" s="18" t="n">
        <x:v>174</x:v>
      </x:c>
      <x:c r="H3144" s="19" t="n">
        <x:v>7.25</x:v>
      </x:c>
      <x:c r="I3144" s="18" t="n">
        <x:f>ROUND(MIN(Model_Config_v3!$B$6,MAX(Q3144,R3144,S3144*Model_Config_v3!$B$4+T3144*Model_Config_v3!$B$5)),0)</x:f>
        <x:v>662</x:v>
      </x:c>
      <x:c r="J3144" s="18" t="n">
        <x:f>MIN(Model_Config_v3!$B$6,I3144+Model_Config_v3!$B$7)</x:f>
        <x:v>682</x:v>
      </x:c>
      <x:c r="K3144" s="20" t="n">
        <x:v>61.3</x:v>
      </x:c>
      <x:c r="L3144" t="str">
        <x:v>KETAT</x:v>
      </x:c>
      <x:c r="M3144" t="str">
        <x:v>SEDANG+</x:v>
      </x:c>
      <x:c r="N3144" t="str">
        <x:v>ELITE-3</x:v>
      </x:c>
      <x:c r="O3144" t="str">
        <x:v>SAINTEK</x:v>
      </x:c>
      <x:c r="P3144" t="str">
        <x:v>UMUM</x:v>
      </x:c>
      <x:c r="Q3144" s="18" t="n">
        <x:v>635</x:v>
      </x:c>
      <x:c r="R3144" s="18" t="n">
        <x:v>0</x:v>
      </x:c>
      <x:c r="S3144" s="18" t="n">
        <x:v>614.6371807228093</x:v>
      </x:c>
      <x:c r="T3144" s="18" t="n">
        <x:v>683</x:v>
      </x:c>
      <x:c r="U3144" s="18" t="n">
        <x:v>635</x:v>
      </x:c>
      <x:c r="V3144" s="20" t="n">
        <x:v>12</x:v>
      </x:c>
      <x:c r="W3144" s="20" t="n">
        <x:v>5</x:v>
      </x:c>
      <x:c r="X3144" s="20" t="n">
        <x:v>3</x:v>
      </x:c>
      <x:c r="Y3144" t="str">
        <x:v>Basis arsip 2025/2024</x:v>
      </x:c>
      <x:c r="Z3144" t="str">
        <x:v>https://snpmb.id/utbk-snbt/daya-tampung-snbt</x:v>
      </x:c>
      <x:c r="AA3144" t="str">
        <x:v>Tidak Ada</x:v>
      </x:c>
      <x:c r="AB3144" t="str">
        <x:v>Campus=80; Ratio=50.6; Prodi=40; RelDemand=46.7; Capacity=80.0</x:v>
      </x:c>
    </x:row>
    <x:row r="3145">
      <x:c r="A3145" t="n">
        <x:v>3142</x:v>
      </x:c>
      <x:c r="B3145" t="str">
        <x:v>PTN Akademik</x:v>
      </x:c>
      <x:c r="C3145" t="str">
        <x:v>UNIVERSITAS HASANUDDIN</x:v>
      </x:c>
      <x:c r="D3145" t="str">
        <x:v>AGRIBISNIS PANGAN</x:v>
      </x:c>
      <x:c r="E3145" t="str">
        <x:v>Sarjana Terapan</x:v>
      </x:c>
      <x:c r="F3145" s="18" t="n">
        <x:v>30</x:v>
      </x:c>
      <x:c r="G3145" s="18" t="n">
        <x:v>485</x:v>
      </x:c>
      <x:c r="H3145" s="19" t="n">
        <x:v>16.166666666666668</x:v>
      </x:c>
      <x:c r="I3145" s="18" t="n">
        <x:f>ROUND(MIN(Model_Config_v3!$B$6,MAX(Q3145,R3145,S3145*Model_Config_v3!$B$4+T3145*Model_Config_v3!$B$5)),0)</x:f>
        <x:v>695</x:v>
      </x:c>
      <x:c r="J3145" s="18" t="n">
        <x:f>MIN(Model_Config_v3!$B$6,I3145+Model_Config_v3!$B$7)</x:f>
        <x:v>715</x:v>
      </x:c>
      <x:c r="K3145" s="20" t="n">
        <x:v>76.3</x:v>
      </x:c>
      <x:c r="L3145" t="str">
        <x:v>ELITE</x:v>
      </x:c>
      <x:c r="M3145" t="str">
        <x:v>SEDANG+</x:v>
      </x:c>
      <x:c r="N3145" t="str">
        <x:v>ELITE-3</x:v>
      </x:c>
      <x:c r="O3145" t="str">
        <x:v>SOSHUM</x:v>
      </x:c>
      <x:c r="P3145" t="str">
        <x:v>BISNIS/EKONOMI/AKUNTANSI</x:v>
      </x:c>
      <x:c r="Q3145" s="18" t="n">
        <x:v>635</x:v>
      </x:c>
      <x:c r="R3145" s="18" t="n">
        <x:v>0</x:v>
      </x:c>
      <x:c r="S3145" s="18" t="n">
        <x:v>652.9482532270861</x:v>
      </x:c>
      <x:c r="T3145" s="18" t="n">
        <x:v>713</x:v>
      </x:c>
      <x:c r="U3145" s="18" t="n">
        <x:v>667.9482532270861</x:v>
      </x:c>
      <x:c r="V3145" s="20" t="n">
        <x:v>4.4</x:v>
      </x:c>
      <x:c r="W3145" s="20" t="n">
        <x:v>14.3</x:v>
      </x:c>
      <x:c r="X3145" s="20" t="n">
        <x:v>3.3</x:v>
      </x:c>
      <x:c r="Y3145" t="str">
        <x:v>Basis arsip 2025/2024</x:v>
      </x:c>
      <x:c r="Z3145" t="str">
        <x:v>https://snpmb.id/utbk-snbt/daya-tampung-snbt</x:v>
      </x:c>
      <x:c r="AA3145" t="str">
        <x:v>Tidak Ada</x:v>
      </x:c>
      <x:c r="AB3145" t="str">
        <x:v>Campus=80; Ratio=71.1; Prodi=65; RelDemand=100.0; Capacity=75.0</x:v>
      </x:c>
    </x:row>
    <x:row r="3146">
      <x:c r="A3146" t="n">
        <x:v>3143</x:v>
      </x:c>
      <x:c r="B3146" t="str">
        <x:v>PTN Akademik</x:v>
      </x:c>
      <x:c r="C3146" t="str">
        <x:v>UNIVERSITAS HASANUDDIN</x:v>
      </x:c>
      <x:c r="D3146" t="str">
        <x:v>TEKNOLOGI PAKAN TERNAK</x:v>
      </x:c>
      <x:c r="E3146" t="str">
        <x:v>Sarjana Terapan</x:v>
      </x:c>
      <x:c r="F3146" s="18" t="n">
        <x:v>35</x:v>
      </x:c>
      <x:c r="G3146" s="18" t="n">
        <x:v>54</x:v>
      </x:c>
      <x:c r="H3146" s="19" t="n">
        <x:v>1.542857142857143</x:v>
      </x:c>
      <x:c r="I3146" s="18" t="n">
        <x:f>ROUND(MIN(Model_Config_v3!$B$6,MAX(Q3146,R3146,S3146*Model_Config_v3!$B$4+T3146*Model_Config_v3!$B$5)),0)</x:f>
        <x:v>635</x:v>
      </x:c>
      <x:c r="J3146" s="18" t="n">
        <x:f>MIN(Model_Config_v3!$B$6,I3146+Model_Config_v3!$B$7)</x:f>
        <x:v>655</x:v>
      </x:c>
      <x:c r="K3146" s="20" t="n">
        <x:v>46.8</x:v>
      </x:c>
      <x:c r="L3146" t="str">
        <x:v>MENENGAH</x:v>
      </x:c>
      <x:c r="M3146" t="str">
        <x:v>SEDANG+</x:v>
      </x:c>
      <x:c r="N3146" t="str">
        <x:v>ELITE-3</x:v>
      </x:c>
      <x:c r="O3146" t="str">
        <x:v>SAINTEK</x:v>
      </x:c>
      <x:c r="P3146" t="str">
        <x:v>UMUM</x:v>
      </x:c>
      <x:c r="Q3146" s="18" t="n">
        <x:v>635</x:v>
      </x:c>
      <x:c r="R3146" s="18" t="n">
        <x:v>0</x:v>
      </x:c>
      <x:c r="S3146" s="18" t="n">
        <x:v>540.7158287019962</x:v>
      </x:c>
      <x:c r="T3146" s="18" t="n">
        <x:v>654</x:v>
      </x:c>
      <x:c r="U3146" s="18" t="n">
        <x:v>635</x:v>
      </x:c>
      <x:c r="V3146" s="20" t="n">
        <x:v>12</x:v>
      </x:c>
      <x:c r="W3146" s="20" t="n">
        <x:v>5</x:v>
      </x:c>
      <x:c r="X3146" s="20" t="n">
        <x:v>3</x:v>
      </x:c>
      <x:c r="Y3146" t="str">
        <x:v>Basis arsip 2025/2024</x:v>
      </x:c>
      <x:c r="Z3146" t="str">
        <x:v>https://snpmb.id/utbk-snbt/daya-tampung-snbt</x:v>
      </x:c>
      <x:c r="AA3146" t="str">
        <x:v>Tidak Ada</x:v>
      </x:c>
      <x:c r="AB3146" t="str">
        <x:v>Campus=80; Ratio=11.1; Prodi=40; RelDemand=9.9; Capacity=70.8</x:v>
      </x:c>
    </x:row>
    <x:row r="3147">
      <x:c r="A3147" t="n">
        <x:v>3144</x:v>
      </x:c>
      <x:c r="B3147" t="str">
        <x:v>PTN Akademik</x:v>
      </x:c>
      <x:c r="C3147" t="str">
        <x:v>UNIVERSITAS HASANUDDIN</x:v>
      </x:c>
      <x:c r="D3147" t="str">
        <x:v>AGRIBISNIS PETERNAKAN</x:v>
      </x:c>
      <x:c r="E3147" t="str">
        <x:v>Sarjana Terapan</x:v>
      </x:c>
      <x:c r="F3147" s="18" t="n">
        <x:v>25</x:v>
      </x:c>
      <x:c r="G3147" s="18" t="n">
        <x:v>263</x:v>
      </x:c>
      <x:c r="H3147" s="19" t="n">
        <x:v>10.52</x:v>
      </x:c>
      <x:c r="I3147" s="18" t="n">
        <x:f>ROUND(MIN(Model_Config_v3!$B$6,MAX(Q3147,R3147,S3147*Model_Config_v3!$B$4+T3147*Model_Config_v3!$B$5)),0)</x:f>
        <x:v>680</x:v>
      </x:c>
      <x:c r="J3147" s="18" t="n">
        <x:f>MIN(Model_Config_v3!$B$6,I3147+Model_Config_v3!$B$7)</x:f>
        <x:v>700</x:v>
      </x:c>
      <x:c r="K3147" s="20" t="n">
        <x:v>70.7</x:v>
      </x:c>
      <x:c r="L3147" t="str">
        <x:v>SANGAT KETAT</x:v>
      </x:c>
      <x:c r="M3147" t="str">
        <x:v>SEDANG+</x:v>
      </x:c>
      <x:c r="N3147" t="str">
        <x:v>ELITE-3</x:v>
      </x:c>
      <x:c r="O3147" t="str">
        <x:v>SAINTEK</x:v>
      </x:c>
      <x:c r="P3147" t="str">
        <x:v>BISNIS/EKONOMI/AKUNTANSI</x:v>
      </x:c>
      <x:c r="Q3147" s="18" t="n">
        <x:v>635</x:v>
      </x:c>
      <x:c r="R3147" s="18" t="n">
        <x:v>0</x:v>
      </x:c>
      <x:c r="S3147" s="18" t="n">
        <x:v>632.4217313799492</x:v>
      </x:c>
      <x:c r="T3147" s="18" t="n">
        <x:v>701</x:v>
      </x:c>
      <x:c r="U3147" s="18" t="n">
        <x:v>647.4217313799492</x:v>
      </x:c>
      <x:c r="V3147" s="20" t="n">
        <x:v>12</x:v>
      </x:c>
      <x:c r="W3147" s="20" t="n">
        <x:v>5</x:v>
      </x:c>
      <x:c r="X3147" s="20" t="n">
        <x:v>3</x:v>
      </x:c>
      <x:c r="Y3147" t="str">
        <x:v>Basis arsip 2025/2024</x:v>
      </x:c>
      <x:c r="Z3147" t="str">
        <x:v>https://snpmb.id/utbk-snbt/daya-tampung-snbt</x:v>
      </x:c>
      <x:c r="AA3147" t="str">
        <x:v>Tidak Ada</x:v>
      </x:c>
      <x:c r="AB3147" t="str">
        <x:v>Campus=80; Ratio=60.2; Prodi=65; RelDemand=67.7; Capacity=79.2</x:v>
      </x:c>
    </x:row>
    <x:row r="3148">
      <x:c r="A3148" t="n">
        <x:v>3145</x:v>
      </x:c>
      <x:c r="B3148" t="str">
        <x:v>PTN Akademik</x:v>
      </x:c>
      <x:c r="C3148" t="str">
        <x:v>UNIVERSITAS HASANUDDIN</x:v>
      </x:c>
      <x:c r="D3148" t="str">
        <x:v>TERAPI GIGI</x:v>
      </x:c>
      <x:c r="E3148" t="str">
        <x:v>Sarjana Terapan</x:v>
      </x:c>
      <x:c r="F3148" s="18" t="n">
        <x:v>28</x:v>
      </x:c>
      <x:c r="G3148" s="18" t="n">
        <x:v>1255</x:v>
      </x:c>
      <x:c r="H3148" s="19" t="n">
        <x:v>44.82142857142857</x:v>
      </x:c>
      <x:c r="I3148" s="18" t="n">
        <x:f>ROUND(MIN(Model_Config_v3!$B$6,MAX(Q3148,R3148,S3148*Model_Config_v3!$B$4+T3148*Model_Config_v3!$B$5)),0)</x:f>
        <x:v>712</x:v>
      </x:c>
      <x:c r="J3148" s="18" t="n">
        <x:f>MIN(Model_Config_v3!$B$6,I3148+Model_Config_v3!$B$7)</x:f>
        <x:v>732</x:v>
      </x:c>
      <x:c r="K3148" s="20" t="n">
        <x:v>78</x:v>
      </x:c>
      <x:c r="L3148" t="str">
        <x:v>ELITE</x:v>
      </x:c>
      <x:c r="M3148" t="str">
        <x:v>SEDANG+</x:v>
      </x:c>
      <x:c r="N3148" t="str">
        <x:v>ELITE-3</x:v>
      </x:c>
      <x:c r="O3148" t="str">
        <x:v>CAMPURAN</x:v>
      </x:c>
      <x:c r="P3148" t="str">
        <x:v>UMUM</x:v>
      </x:c>
      <x:c r="Q3148" s="18" t="n">
        <x:v>635</x:v>
      </x:c>
      <x:c r="R3148" s="18" t="n">
        <x:v>0</x:v>
      </x:c>
      <x:c r="S3148" s="18" t="n">
        <x:v>701.6634263922322</x:v>
      </x:c>
      <x:c r="T3148" s="18" t="n">
        <x:v>716</x:v>
      </x:c>
      <x:c r="U3148" s="18" t="n">
        <x:v>701.6634263922322</x:v>
      </x:c>
      <x:c r="V3148" s="20" t="n">
        <x:v>8.8</x:v>
      </x:c>
      <x:c r="W3148" s="20" t="n">
        <x:v>9.9</x:v>
      </x:c>
      <x:c r="X3148" s="20" t="n">
        <x:v>3.3</x:v>
      </x:c>
      <x:c r="Y3148" t="str">
        <x:v>Basis arsip 2025/2024</x:v>
      </x:c>
      <x:c r="Z3148" t="str">
        <x:v>https://snpmb.id/utbk-snbt/daya-tampung-snbt</x:v>
      </x:c>
      <x:c r="AA3148" t="str">
        <x:v>Tidak Ada</x:v>
      </x:c>
      <x:c r="AB3148" t="str">
        <x:v>Campus=80; Ratio=97.2; Prodi=40; RelDemand=100.0; Capacity=76.7</x:v>
      </x:c>
    </x:row>
    <x:row r="3149">
      <x:c r="A3149" t="n">
        <x:v>3146</x:v>
      </x:c>
      <x:c r="B3149" t="str">
        <x:v>PTN Akademik</x:v>
      </x:c>
      <x:c r="C3149" t="str">
        <x:v>UNIVERSITAS HASANUDDIN</x:v>
      </x:c>
      <x:c r="D3149" t="str">
        <x:v>BUDI DAYA LAUT DAN PANTAI</x:v>
      </x:c>
      <x:c r="E3149" t="str">
        <x:v>Sarjana Terapan</x:v>
      </x:c>
      <x:c r="F3149" s="18" t="n">
        <x:v>35</x:v>
      </x:c>
      <x:c r="G3149" s="18" t="n">
        <x:v>166</x:v>
      </x:c>
      <x:c r="H3149" s="19" t="n">
        <x:v>4.742857142857143</x:v>
      </x:c>
      <x:c r="I3149" s="18" t="n">
        <x:f>ROUND(MIN(Model_Config_v3!$B$6,MAX(Q3149,R3149,S3149*Model_Config_v3!$B$4+T3149*Model_Config_v3!$B$5)),0)</x:f>
        <x:v>649</x:v>
      </x:c>
      <x:c r="J3149" s="18" t="n">
        <x:f>MIN(Model_Config_v3!$B$6,I3149+Model_Config_v3!$B$7)</x:f>
        <x:v>669</x:v>
      </x:c>
      <x:c r="K3149" s="20" t="n">
        <x:v>56.1</x:v>
      </x:c>
      <x:c r="L3149" t="str">
        <x:v>KETAT</x:v>
      </x:c>
      <x:c r="M3149" t="str">
        <x:v>SEDANG+</x:v>
      </x:c>
      <x:c r="N3149" t="str">
        <x:v>ELITE-3</x:v>
      </x:c>
      <x:c r="O3149" t="str">
        <x:v>CAMPURAN</x:v>
      </x:c>
      <x:c r="P3149" t="str">
        <x:v>UMUM</x:v>
      </x:c>
      <x:c r="Q3149" s="18" t="n">
        <x:v>635</x:v>
      </x:c>
      <x:c r="R3149" s="18" t="n">
        <x:v>0</x:v>
      </x:c>
      <x:c r="S3149" s="18" t="n">
        <x:v>594.3644048058757</x:v>
      </x:c>
      <x:c r="T3149" s="18" t="n">
        <x:v>672</x:v>
      </x:c>
      <x:c r="U3149" s="18" t="n">
        <x:v>635</x:v>
      </x:c>
      <x:c r="V3149" s="20" t="n">
        <x:v>8.8</x:v>
      </x:c>
      <x:c r="W3149" s="20" t="n">
        <x:v>9.9</x:v>
      </x:c>
      <x:c r="X3149" s="20" t="n">
        <x:v>3.3</x:v>
      </x:c>
      <x:c r="Y3149" t="str">
        <x:v>Basis arsip 2025/2024</x:v>
      </x:c>
      <x:c r="Z3149" t="str">
        <x:v>https://snpmb.id/utbk-snbt/daya-tampung-snbt</x:v>
      </x:c>
      <x:c r="AA3149" t="str">
        <x:v>Tidak Ada</x:v>
      </x:c>
      <x:c r="AB3149" t="str">
        <x:v>Campus=80; Ratio=39.8; Prodi=40; RelDemand=30.5; Capacity=70.8</x:v>
      </x:c>
    </x:row>
    <x:row r="3150">
      <x:c r="A3150" t="n">
        <x:v>3147</x:v>
      </x:c>
      <x:c r="B3150" t="str">
        <x:v>PTN Akademik</x:v>
      </x:c>
      <x:c r="C3150" t="str">
        <x:v>UNIVERSITAS HASANUDDIN</x:v>
      </x:c>
      <x:c r="D3150" t="str">
        <x:v>DESTINASI PARIWISATA</x:v>
      </x:c>
      <x:c r="E3150" t="str">
        <x:v>Sarjana Terapan</x:v>
      </x:c>
      <x:c r="F3150" s="18" t="n">
        <x:v>24</x:v>
      </x:c>
      <x:c r="G3150" s="18" t="n">
        <x:v>823</x:v>
      </x:c>
      <x:c r="H3150" s="19" t="n">
        <x:v>34.291666666666664</x:v>
      </x:c>
      <x:c r="I3150" s="18" t="n">
        <x:f>ROUND(MIN(Model_Config_v3!$B$6,MAX(Q3150,R3150,S3150*Model_Config_v3!$B$4+T3150*Model_Config_v3!$B$5)),0)</x:f>
        <x:v>706</x:v>
      </x:c>
      <x:c r="J3150" s="18" t="n">
        <x:f>MIN(Model_Config_v3!$B$6,I3150+Model_Config_v3!$B$7)</x:f>
        <x:v>726</x:v>
      </x:c>
      <x:c r="K3150" s="20" t="n">
        <x:v>76.6</x:v>
      </x:c>
      <x:c r="L3150" t="str">
        <x:v>ELITE</x:v>
      </x:c>
      <x:c r="M3150" t="str">
        <x:v>SEDANG+</x:v>
      </x:c>
      <x:c r="N3150" t="str">
        <x:v>ELITE-3</x:v>
      </x:c>
      <x:c r="O3150" t="str">
        <x:v>CAMPURAN</x:v>
      </x:c>
      <x:c r="P3150" t="str">
        <x:v>UMUM</x:v>
      </x:c>
      <x:c r="Q3150" s="18" t="n">
        <x:v>635</x:v>
      </x:c>
      <x:c r="R3150" s="18" t="n">
        <x:v>0</x:v>
      </x:c>
      <x:c r="S3150" s="18" t="n">
        <x:v>688.870745285073</x:v>
      </x:c>
      <x:c r="T3150" s="18" t="n">
        <x:v>713</x:v>
      </x:c>
      <x:c r="U3150" s="18" t="n">
        <x:v>688.870745285073</x:v>
      </x:c>
      <x:c r="V3150" s="20" t="n">
        <x:v>8.8</x:v>
      </x:c>
      <x:c r="W3150" s="20" t="n">
        <x:v>9.9</x:v>
      </x:c>
      <x:c r="X3150" s="20" t="n">
        <x:v>3.3</x:v>
      </x:c>
      <x:c r="Y3150" t="str">
        <x:v>Basis arsip 2025/2024</x:v>
      </x:c>
      <x:c r="Z3150" t="str">
        <x:v>https://snpmb.id/utbk-snbt/daya-tampung-snbt</x:v>
      </x:c>
      <x:c r="AA3150" t="str">
        <x:v>Tidak Ada</x:v>
      </x:c>
      <x:c r="AB3150" t="str">
        <x:v>Campus=80; Ratio=90.4; Prodi=40; RelDemand=100.0; Capacity=80.0</x:v>
      </x:c>
    </x:row>
    <x:row r="3151">
      <x:c r="A3151" t="n">
        <x:v>3148</x:v>
      </x:c>
      <x:c r="B3151" t="str">
        <x:v>PTN Akademik</x:v>
      </x:c>
      <x:c r="C3151" t="str">
        <x:v>UNIVERSITAS HASANUDDIN</x:v>
      </x:c>
      <x:c r="D3151" t="str">
        <x:v>TEKNOLOGI AKUAKULTUR DAN PASCA PANEN PERIKANAN</x:v>
      </x:c>
      <x:c r="E3151" t="str">
        <x:v>Sarjana Terapan</x:v>
      </x:c>
      <x:c r="F3151" s="18" t="n">
        <x:v>30</x:v>
      </x:c>
      <x:c r="G3151" s="18" t="n">
        <x:v>47</x:v>
      </x:c>
      <x:c r="H3151" s="19" t="n">
        <x:v>1.5666666666666667</x:v>
      </x:c>
      <x:c r="I3151" s="18" t="n">
        <x:f>ROUND(MIN(Model_Config_v3!$B$6,MAX(Q3151,R3151,S3151*Model_Config_v3!$B$4+T3151*Model_Config_v3!$B$5)),0)</x:f>
        <x:v>635</x:v>
      </x:c>
      <x:c r="J3151" s="18" t="n">
        <x:f>MIN(Model_Config_v3!$B$6,I3151+Model_Config_v3!$B$7)</x:f>
        <x:v>655</x:v>
      </x:c>
      <x:c r="K3151" s="20" t="n">
        <x:v>47.4</x:v>
      </x:c>
      <x:c r="L3151" t="str">
        <x:v>MENENGAH</x:v>
      </x:c>
      <x:c r="M3151" t="str">
        <x:v>SEDANG+</x:v>
      </x:c>
      <x:c r="N3151" t="str">
        <x:v>ELITE-3</x:v>
      </x:c>
      <x:c r="O3151" t="str">
        <x:v>SAINTEK</x:v>
      </x:c>
      <x:c r="P3151" t="str">
        <x:v>UMUM</x:v>
      </x:c>
      <x:c r="Q3151" s="18" t="n">
        <x:v>635</x:v>
      </x:c>
      <x:c r="R3151" s="18" t="n">
        <x:v>0</x:v>
      </x:c>
      <x:c r="S3151" s="18" t="n">
        <x:v>541.4474263537661</x:v>
      </x:c>
      <x:c r="T3151" s="18" t="n">
        <x:v>655</x:v>
      </x:c>
      <x:c r="U3151" s="18" t="n">
        <x:v>635</x:v>
      </x:c>
      <x:c r="V3151" s="20" t="n">
        <x:v>12</x:v>
      </x:c>
      <x:c r="W3151" s="20" t="n">
        <x:v>5</x:v>
      </x:c>
      <x:c r="X3151" s="20" t="n">
        <x:v>3</x:v>
      </x:c>
      <x:c r="Y3151" t="str">
        <x:v>Basis arsip 2025/2024</x:v>
      </x:c>
      <x:c r="Z3151" t="str">
        <x:v>https://snpmb.id/utbk-snbt/daya-tampung-snbt</x:v>
      </x:c>
      <x:c r="AA3151" t="str">
        <x:v>Tidak Ada</x:v>
      </x:c>
      <x:c r="AB3151" t="str">
        <x:v>Campus=80; Ratio=11.5; Prodi=40; RelDemand=10.1; Capacity=75.0</x:v>
      </x:c>
    </x:row>
    <x:row r="3152">
      <x:c r="A3152" t="n">
        <x:v>3149</x:v>
      </x:c>
      <x:c r="B3152" t="str">
        <x:v>PTN Akademik</x:v>
      </x:c>
      <x:c r="C3152" t="str">
        <x:v>UNIVERSITAS HASANUDDIN</x:v>
      </x:c>
      <x:c r="D3152" t="str">
        <x:v>PARAMEDIK VETERINER</x:v>
      </x:c>
      <x:c r="E3152" t="str">
        <x:v>Sarjana Terapan</x:v>
      </x:c>
      <x:c r="F3152" s="18" t="n">
        <x:v>24</x:v>
      </x:c>
      <x:c r="G3152" s="18" t="n">
        <x:v>146</x:v>
      </x:c>
      <x:c r="H3152" s="19" t="n">
        <x:v>6.083333333333333</x:v>
      </x:c>
      <x:c r="I3152" s="18" t="n">
        <x:f>ROUND(MIN(Model_Config_v3!$B$6,MAX(Q3152,R3152,S3152*Model_Config_v3!$B$4+T3152*Model_Config_v3!$B$5)),0)</x:f>
        <x:v>657</x:v>
      </x:c>
      <x:c r="J3152" s="18" t="n">
        <x:f>MIN(Model_Config_v3!$B$6,I3152+Model_Config_v3!$B$7)</x:f>
        <x:v>677</x:v>
      </x:c>
      <x:c r="K3152" s="20" t="n">
        <x:v>59.5</x:v>
      </x:c>
      <x:c r="L3152" t="str">
        <x:v>KETAT</x:v>
      </x:c>
      <x:c r="M3152" t="str">
        <x:v>SEDANG+</x:v>
      </x:c>
      <x:c r="N3152" t="str">
        <x:v>ELITE-3</x:v>
      </x:c>
      <x:c r="O3152" t="str">
        <x:v>CAMPURAN</x:v>
      </x:c>
      <x:c r="P3152" t="str">
        <x:v>UMUM</x:v>
      </x:c>
      <x:c r="Q3152" s="18" t="n">
        <x:v>635</x:v>
      </x:c>
      <x:c r="R3152" s="18" t="n">
        <x:v>0</x:v>
      </x:c>
      <x:c r="S3152" s="18" t="n">
        <x:v>606.2555775480114</x:v>
      </x:c>
      <x:c r="T3152" s="18" t="n">
        <x:v>679</x:v>
      </x:c>
      <x:c r="U3152" s="18" t="n">
        <x:v>635</x:v>
      </x:c>
      <x:c r="V3152" s="20" t="n">
        <x:v>8.8</x:v>
      </x:c>
      <x:c r="W3152" s="20" t="n">
        <x:v>9.9</x:v>
      </x:c>
      <x:c r="X3152" s="20" t="n">
        <x:v>3.3</x:v>
      </x:c>
      <x:c r="Y3152" t="str">
        <x:v>Basis arsip 2025/2024</x:v>
      </x:c>
      <x:c r="Z3152" t="str">
        <x:v>https://snpmb.id/utbk-snbt/daya-tampung-snbt</x:v>
      </x:c>
      <x:c r="AA3152" t="str">
        <x:v>Tidak Ada</x:v>
      </x:c>
      <x:c r="AB3152" t="str">
        <x:v>Campus=80; Ratio=46.2; Prodi=40; RelDemand=39.2; Capacity=80.0</x:v>
      </x:c>
    </x:row>
    <x:row r="3153">
      <x:c r="A3153" t="n">
        <x:v>3150</x:v>
      </x:c>
      <x:c r="B3153" t="str">
        <x:v>PTN Akademik</x:v>
      </x:c>
      <x:c r="C3153" t="str">
        <x:v>UNIVERSITAS HASANUDDIN</x:v>
      </x:c>
      <x:c r="D3153" t="str">
        <x:v>TEKNOLOGI METALURGI EKSTRAKSI</x:v>
      </x:c>
      <x:c r="E3153" t="str">
        <x:v>Sarjana Terapan</x:v>
      </x:c>
      <x:c r="F3153" s="18" t="n">
        <x:v>22</x:v>
      </x:c>
      <x:c r="G3153" s="18" t="n">
        <x:v>407</x:v>
      </x:c>
      <x:c r="H3153" s="19" t="n">
        <x:v>18.5</x:v>
      </x:c>
      <x:c r="I3153" s="18" t="n">
        <x:f>ROUND(MIN(Model_Config_v3!$B$6,MAX(Q3153,R3153,S3153*Model_Config_v3!$B$4+T3153*Model_Config_v3!$B$5)),0)</x:f>
        <x:v>692</x:v>
      </x:c>
      <x:c r="J3153" s="18" t="n">
        <x:f>MIN(Model_Config_v3!$B$6,I3153+Model_Config_v3!$B$7)</x:f>
        <x:v>712</x:v>
      </x:c>
      <x:c r="K3153" s="20" t="n">
        <x:v>72.8</x:v>
      </x:c>
      <x:c r="L3153" t="str">
        <x:v>SANGAT KETAT</x:v>
      </x:c>
      <x:c r="M3153" t="str">
        <x:v>SEDANG+</x:v>
      </x:c>
      <x:c r="N3153" t="str">
        <x:v>ELITE-3</x:v>
      </x:c>
      <x:c r="O3153" t="str">
        <x:v>SAINTEK</x:v>
      </x:c>
      <x:c r="P3153" t="str">
        <x:v>UMUM</x:v>
      </x:c>
      <x:c r="Q3153" s="18" t="n">
        <x:v>635</x:v>
      </x:c>
      <x:c r="R3153" s="18" t="n">
        <x:v>0</x:v>
      </x:c>
      <x:c r="S3153" s="18" t="n">
        <x:v>659.3888901243315</x:v>
      </x:c>
      <x:c r="T3153" s="18" t="n">
        <x:v>706</x:v>
      </x:c>
      <x:c r="U3153" s="18" t="n">
        <x:v>659.3888901243315</x:v>
      </x:c>
      <x:c r="V3153" s="20" t="n">
        <x:v>12</x:v>
      </x:c>
      <x:c r="W3153" s="20" t="n">
        <x:v>5</x:v>
      </x:c>
      <x:c r="X3153" s="20" t="n">
        <x:v>3</x:v>
      </x:c>
      <x:c r="Y3153" t="str">
        <x:v>Basis arsip 2025/2024</x:v>
      </x:c>
      <x:c r="Z3153" t="str">
        <x:v>https://snpmb.id/utbk-snbt/daya-tampung-snbt</x:v>
      </x:c>
      <x:c r="AA3153" t="str">
        <x:v>Tidak Ada</x:v>
      </x:c>
      <x:c r="AB3153" t="str">
        <x:v>Campus=80; Ratio=74.6; Prodi=40; RelDemand=100.0; Capacity=81.7</x:v>
      </x:c>
    </x:row>
    <x:row r="3154">
      <x:c r="A3154" t="n">
        <x:v>3151</x:v>
      </x:c>
      <x:c r="B3154" t="str">
        <x:v>PTN Akademik</x:v>
      </x:c>
      <x:c r="C3154" t="str">
        <x:v>UNIVERSITAS HASANUDDIN</x:v>
      </x:c>
      <x:c r="D3154" t="str">
        <x:v>PENGINDERAAN JAUH DAN SISTEM INFORMASI GEOGRAFIS</x:v>
      </x:c>
      <x:c r="E3154" t="str">
        <x:v>Sarjana Terapan</x:v>
      </x:c>
      <x:c r="F3154" s="18" t="n">
        <x:v>28</x:v>
      </x:c>
      <x:c r="G3154" s="18"/>
      <x:c r="H3154" s="19" t="n">
        <x:v>0</x:v>
      </x:c>
      <x:c r="I3154" s="18" t="n">
        <x:f>ROUND(MIN(Model_Config_v3!$B$6,MAX(Q3154,R3154,S3154*Model_Config_v3!$B$4+T3154*Model_Config_v3!$B$5)),0)</x:f>
        <x:v>675</x:v>
      </x:c>
      <x:c r="J3154" s="18" t="n">
        <x:f>MIN(Model_Config_v3!$B$6,I3154+Model_Config_v3!$B$7)</x:f>
        <x:v>695</x:v>
      </x:c>
      <x:c r="K3154" s="20" t="n">
        <x:v>52.7</x:v>
      </x:c>
      <x:c r="L3154" t="str">
        <x:v>MENENGAH</x:v>
      </x:c>
      <x:c r="M3154" t="str">
        <x:v>RENDAH</x:v>
      </x:c>
      <x:c r="N3154" t="str">
        <x:v>ELITE-3</x:v>
      </x:c>
      <x:c r="O3154" t="str">
        <x:v>CAMPURAN</x:v>
      </x:c>
      <x:c r="P3154" t="str">
        <x:v>KOMPUTER/INFORMATIKA</x:v>
      </x:c>
      <x:c r="Q3154" s="18" t="n">
        <x:v>635</x:v>
      </x:c>
      <x:c r="R3154" s="18" t="n">
        <x:v>675</x:v>
      </x:c>
      <x:c r="S3154" s="18" t="n">
        <x:v>520</x:v>
      </x:c>
      <x:c r="T3154" s="18" t="n">
        <x:v>665</x:v>
      </x:c>
      <x:c r="U3154" s="18" t="n">
        <x:v>675</x:v>
      </x:c>
      <x:c r="V3154" s="20" t="n">
        <x:v>8.8</x:v>
      </x:c>
      <x:c r="W3154" s="20" t="n">
        <x:v>9.9</x:v>
      </x:c>
      <x:c r="X3154" s="20" t="n">
        <x:v>3.3</x:v>
      </x:c>
      <x:c r="Y3154" t="str">
        <x:v>Basis arsip 2025/2024</x:v>
      </x:c>
      <x:c r="Z3154" t="str">
        <x:v>https://snpmb.id/utbk-snbt/daya-tampung-snbt</x:v>
      </x:c>
      <x:c r="AA3154" t="str">
        <x:v>Tidak Ada</x:v>
      </x:c>
      <x:c r="AB3154" t="str">
        <x:v>Campus=80; Ratio=0.0; Prodi=85; RelDemand=0.0; Capacity=76.7</x:v>
      </x:c>
    </x:row>
    <x:row r="3155">
      <x:c r="A3155" t="n">
        <x:v>3152</x:v>
      </x:c>
      <x:c r="B3155" t="str">
        <x:v>PTN Akademik</x:v>
      </x:c>
      <x:c r="C3155" t="str">
        <x:v>UNIVERSITAS NEGERI MAKASSAR</x:v>
      </x:c>
      <x:c r="D3155" t="str">
        <x:v>PENDIDIKAN MATEMATIKA</x:v>
      </x:c>
      <x:c r="E3155" t="str">
        <x:v>Sarjana</x:v>
      </x:c>
      <x:c r="F3155" s="18" t="n">
        <x:v>52</x:v>
      </x:c>
      <x:c r="G3155" s="18" t="n">
        <x:v>270</x:v>
      </x:c>
      <x:c r="H3155" s="19" t="n">
        <x:v>5.1923076923076925</x:v>
      </x:c>
      <x:c r="I3155" s="18" t="n">
        <x:f>ROUND(MIN(Model_Config_v3!$B$6,MAX(Q3155,R3155,S3155*Model_Config_v3!$B$4+T3155*Model_Config_v3!$B$5)),0)</x:f>
        <x:v>641</x:v>
      </x:c>
      <x:c r="J3155" s="18" t="n">
        <x:f>MIN(Model_Config_v3!$B$6,I3155+Model_Config_v3!$B$7)</x:f>
        <x:v>661</x:v>
      </x:c>
      <x:c r="K3155" s="20" t="n">
        <x:v>49.3</x:v>
      </x:c>
      <x:c r="L3155" t="str">
        <x:v>MENENGAH</x:v>
      </x:c>
      <x:c r="M3155" t="str">
        <x:v>SEDANG+</x:v>
      </x:c>
      <x:c r="N3155" t="str">
        <x:v>REGULER</x:v>
      </x:c>
      <x:c r="O3155" t="str">
        <x:v>SAINTEK</x:v>
      </x:c>
      <x:c r="P3155" t="str">
        <x:v>PENDIDIKAN</x:v>
      </x:c>
      <x:c r="Q3155" s="18" t="n">
        <x:v>0</x:v>
      </x:c>
      <x:c r="R3155" s="18" t="n">
        <x:v>0</x:v>
      </x:c>
      <x:c r="S3155" s="18" t="n">
        <x:v>598.6896462576607</x:v>
      </x:c>
      <x:c r="T3155" s="18" t="n">
        <x:v>659</x:v>
      </x:c>
      <x:c r="U3155" s="18" t="n">
        <x:v>598.6896462576607</x:v>
      </x:c>
      <x:c r="V3155" s="20" t="n">
        <x:v>12</x:v>
      </x:c>
      <x:c r="W3155" s="20" t="n">
        <x:v>5</x:v>
      </x:c>
      <x:c r="X3155" s="20" t="n">
        <x:v>3</x:v>
      </x:c>
      <x:c r="Y3155" t="str">
        <x:v>Basis arsip 2025/2024</x:v>
      </x:c>
      <x:c r="Z3155" t="str">
        <x:v>https://snpmb.id/utbk-snbt/daya-tampung-snbt</x:v>
      </x:c>
      <x:c r="AA3155" t="str">
        <x:v>Tidak Ada</x:v>
      </x:c>
      <x:c r="AB3155" t="str">
        <x:v>Campus=55; Ratio=42.1; Prodi=45; RelDemand=48.5; Capacity=56.7</x:v>
      </x:c>
    </x:row>
    <x:row r="3156">
      <x:c r="A3156" t="n">
        <x:v>3153</x:v>
      </x:c>
      <x:c r="B3156" t="str">
        <x:v>PTN Akademik</x:v>
      </x:c>
      <x:c r="C3156" t="str">
        <x:v>UNIVERSITAS NEGERI MAKASSAR</x:v>
      </x:c>
      <x:c r="D3156" t="str">
        <x:v>PENDIDIKAN FISIKA</x:v>
      </x:c>
      <x:c r="E3156" t="str">
        <x:v>Sarjana</x:v>
      </x:c>
      <x:c r="F3156" s="18" t="n">
        <x:v>31</x:v>
      </x:c>
      <x:c r="G3156" s="18" t="n">
        <x:v>70</x:v>
      </x:c>
      <x:c r="H3156" s="19" t="n">
        <x:v>2.2580645161290325</x:v>
      </x:c>
      <x:c r="I3156" s="18" t="n">
        <x:f>ROUND(MIN(Model_Config_v3!$B$6,MAX(Q3156,R3156,S3156*Model_Config_v3!$B$4+T3156*Model_Config_v3!$B$5)),0)</x:f>
        <x:v>620</x:v>
      </x:c>
      <x:c r="J3156" s="18" t="n">
        <x:f>MIN(Model_Config_v3!$B$6,I3156+Model_Config_v3!$B$7)</x:f>
        <x:v>640</x:v>
      </x:c>
      <x:c r="K3156" s="20" t="n">
        <x:v>43</x:v>
      </x:c>
      <x:c r="L3156" t="str">
        <x:v>RELATIF LONGGAR</x:v>
      </x:c>
      <x:c r="M3156" t="str">
        <x:v>SEDANG+</x:v>
      </x:c>
      <x:c r="N3156" t="str">
        <x:v>REGULER</x:v>
      </x:c>
      <x:c r="O3156" t="str">
        <x:v>SAINTEK</x:v>
      </x:c>
      <x:c r="P3156" t="str">
        <x:v>PENDIDIKAN</x:v>
      </x:c>
      <x:c r="Q3156" s="18" t="n">
        <x:v>0</x:v>
      </x:c>
      <x:c r="R3156" s="18" t="n">
        <x:v>0</x:v>
      </x:c>
      <x:c r="S3156" s="18" t="n">
        <x:v>558.9109980797982</x:v>
      </x:c>
      <x:c r="T3156" s="18" t="n">
        <x:v>646</x:v>
      </x:c>
      <x:c r="U3156" s="18" t="n">
        <x:v>558.9109980797982</x:v>
      </x:c>
      <x:c r="V3156" s="20" t="n">
        <x:v>12</x:v>
      </x:c>
      <x:c r="W3156" s="20" t="n">
        <x:v>5</x:v>
      </x:c>
      <x:c r="X3156" s="20" t="n">
        <x:v>3</x:v>
      </x:c>
      <x:c r="Y3156" t="str">
        <x:v>Basis arsip 2025/2024</x:v>
      </x:c>
      <x:c r="Z3156" t="str">
        <x:v>https://snpmb.id/utbk-snbt/daya-tampung-snbt</x:v>
      </x:c>
      <x:c r="AA3156" t="str">
        <x:v>Tidak Ada</x:v>
      </x:c>
      <x:c r="AB3156" t="str">
        <x:v>Campus=55; Ratio=20.8; Prodi=45; RelDemand=21.1; Capacity=74.2</x:v>
      </x:c>
    </x:row>
    <x:row r="3157">
      <x:c r="A3157" t="n">
        <x:v>3154</x:v>
      </x:c>
      <x:c r="B3157" t="str">
        <x:v>PTN Akademik</x:v>
      </x:c>
      <x:c r="C3157" t="str">
        <x:v>UNIVERSITAS NEGERI MAKASSAR</x:v>
      </x:c>
      <x:c r="D3157" t="str">
        <x:v>PENDIDIKAN KIMIA</x:v>
      </x:c>
      <x:c r="E3157" t="str">
        <x:v>Sarjana</x:v>
      </x:c>
      <x:c r="F3157" s="18" t="n">
        <x:v>31</x:v>
      </x:c>
      <x:c r="G3157" s="18" t="n">
        <x:v>92</x:v>
      </x:c>
      <x:c r="H3157" s="19" t="n">
        <x:v>2.967741935483871</x:v>
      </x:c>
      <x:c r="I3157" s="18" t="n">
        <x:f>ROUND(MIN(Model_Config_v3!$B$6,MAX(Q3157,R3157,S3157*Model_Config_v3!$B$4+T3157*Model_Config_v3!$B$5)),0)</x:f>
        <x:v>627</x:v>
      </x:c>
      <x:c r="J3157" s="18" t="n">
        <x:f>MIN(Model_Config_v3!$B$6,I3157+Model_Config_v3!$B$7)</x:f>
        <x:v>647</x:v>
      </x:c>
      <x:c r="K3157" s="20" t="n">
        <x:v>45.4</x:v>
      </x:c>
      <x:c r="L3157" t="str">
        <x:v>MENENGAH</x:v>
      </x:c>
      <x:c r="M3157" t="str">
        <x:v>SEDANG+</x:v>
      </x:c>
      <x:c r="N3157" t="str">
        <x:v>REGULER</x:v>
      </x:c>
      <x:c r="O3157" t="str">
        <x:v>SAINTEK</x:v>
      </x:c>
      <x:c r="P3157" t="str">
        <x:v>PENDIDIKAN</x:v>
      </x:c>
      <x:c r="Q3157" s="18" t="n">
        <x:v>0</x:v>
      </x:c>
      <x:c r="R3157" s="18" t="n">
        <x:v>0</x:v>
      </x:c>
      <x:c r="S3157" s="18" t="n">
        <x:v>571.9668746862411</x:v>
      </x:c>
      <x:c r="T3157" s="18" t="n">
        <x:v>651</x:v>
      </x:c>
      <x:c r="U3157" s="18" t="n">
        <x:v>571.9668746862411</x:v>
      </x:c>
      <x:c r="V3157" s="20" t="n">
        <x:v>12</x:v>
      </x:c>
      <x:c r="W3157" s="20" t="n">
        <x:v>5</x:v>
      </x:c>
      <x:c r="X3157" s="20" t="n">
        <x:v>3</x:v>
      </x:c>
      <x:c r="Y3157" t="str">
        <x:v>Basis arsip 2025/2024</x:v>
      </x:c>
      <x:c r="Z3157" t="str">
        <x:v>https://snpmb.id/utbk-snbt/daya-tampung-snbt</x:v>
      </x:c>
      <x:c r="AA3157" t="str">
        <x:v>Tidak Ada</x:v>
      </x:c>
      <x:c r="AB3157" t="str">
        <x:v>Campus=55; Ratio=27.8; Prodi=45; RelDemand=27.7; Capacity=74.2</x:v>
      </x:c>
    </x:row>
    <x:row r="3158">
      <x:c r="A3158" t="n">
        <x:v>3155</x:v>
      </x:c>
      <x:c r="B3158" t="str">
        <x:v>PTN Akademik</x:v>
      </x:c>
      <x:c r="C3158" t="str">
        <x:v>UNIVERSITAS NEGERI MAKASSAR</x:v>
      </x:c>
      <x:c r="D3158" t="str">
        <x:v>PENDIDIKAN BIOLOGI</x:v>
      </x:c>
      <x:c r="E3158" t="str">
        <x:v>Sarjana</x:v>
      </x:c>
      <x:c r="F3158" s="18" t="n">
        <x:v>52</x:v>
      </x:c>
      <x:c r="G3158" s="18" t="n">
        <x:v>257</x:v>
      </x:c>
      <x:c r="H3158" s="19" t="n">
        <x:v>4.9423076923076925</x:v>
      </x:c>
      <x:c r="I3158" s="18" t="n">
        <x:f>ROUND(MIN(Model_Config_v3!$B$6,MAX(Q3158,R3158,S3158*Model_Config_v3!$B$4+T3158*Model_Config_v3!$B$5)),0)</x:f>
        <x:v>639</x:v>
      </x:c>
      <x:c r="J3158" s="18" t="n">
        <x:f>MIN(Model_Config_v3!$B$6,I3158+Model_Config_v3!$B$7)</x:f>
        <x:v>659</x:v>
      </x:c>
      <x:c r="K3158" s="20" t="n">
        <x:v>48.7</x:v>
      </x:c>
      <x:c r="L3158" t="str">
        <x:v>MENENGAH</x:v>
      </x:c>
      <x:c r="M3158" t="str">
        <x:v>SEDANG+</x:v>
      </x:c>
      <x:c r="N3158" t="str">
        <x:v>REGULER</x:v>
      </x:c>
      <x:c r="O3158" t="str">
        <x:v>SAINTEK</x:v>
      </x:c>
      <x:c r="P3158" t="str">
        <x:v>PENDIDIKAN</x:v>
      </x:c>
      <x:c r="Q3158" s="18" t="n">
        <x:v>0</x:v>
      </x:c>
      <x:c r="R3158" s="18" t="n">
        <x:v>0</x:v>
      </x:c>
      <x:c r="S3158" s="18" t="n">
        <x:v>596.3322757666144</x:v>
      </x:c>
      <x:c r="T3158" s="18" t="n">
        <x:v>657</x:v>
      </x:c>
      <x:c r="U3158" s="18" t="n">
        <x:v>596.3322757666144</x:v>
      </x:c>
      <x:c r="V3158" s="20" t="n">
        <x:v>12</x:v>
      </x:c>
      <x:c r="W3158" s="20" t="n">
        <x:v>5</x:v>
      </x:c>
      <x:c r="X3158" s="20" t="n">
        <x:v>3</x:v>
      </x:c>
      <x:c r="Y3158" t="str">
        <x:v>Basis arsip 2025/2024</x:v>
      </x:c>
      <x:c r="Z3158" t="str">
        <x:v>https://snpmb.id/utbk-snbt/daya-tampung-snbt</x:v>
      </x:c>
      <x:c r="AA3158" t="str">
        <x:v>Tidak Ada</x:v>
      </x:c>
      <x:c r="AB3158" t="str">
        <x:v>Campus=55; Ratio=40.8; Prodi=45; RelDemand=46.1; Capacity=56.7</x:v>
      </x:c>
    </x:row>
    <x:row r="3159">
      <x:c r="A3159" t="n">
        <x:v>3156</x:v>
      </x:c>
      <x:c r="B3159" t="str">
        <x:v>PTN Akademik</x:v>
      </x:c>
      <x:c r="C3159" t="str">
        <x:v>UNIVERSITAS NEGERI MAKASSAR</x:v>
      </x:c>
      <x:c r="D3159" t="str">
        <x:v>MATEMATIKA</x:v>
      </x:c>
      <x:c r="E3159" t="str">
        <x:v>Sarjana</x:v>
      </x:c>
      <x:c r="F3159" s="18" t="n">
        <x:v>35</x:v>
      </x:c>
      <x:c r="G3159" s="18" t="n">
        <x:v>87</x:v>
      </x:c>
      <x:c r="H3159" s="19" t="n">
        <x:v>2.4857142857142858</x:v>
      </x:c>
      <x:c r="I3159" s="18" t="n">
        <x:f>ROUND(MIN(Model_Config_v3!$B$6,MAX(Q3159,R3159,S3159*Model_Config_v3!$B$4+T3159*Model_Config_v3!$B$5)),0)</x:f>
        <x:v>623</x:v>
      </x:c>
      <x:c r="J3159" s="18" t="n">
        <x:f>MIN(Model_Config_v3!$B$6,I3159+Model_Config_v3!$B$7)</x:f>
        <x:v>643</x:v>
      </x:c>
      <x:c r="K3159" s="20" t="n">
        <x:v>44.5</x:v>
      </x:c>
      <x:c r="L3159" t="str">
        <x:v>RELATIF LONGGAR</x:v>
      </x:c>
      <x:c r="M3159" t="str">
        <x:v>SEDANG+</x:v>
      </x:c>
      <x:c r="N3159" t="str">
        <x:v>REGULER</x:v>
      </x:c>
      <x:c r="O3159" t="str">
        <x:v>SAINTEK</x:v>
      </x:c>
      <x:c r="P3159" t="str">
        <x:v>SAINS DASAR</x:v>
      </x:c>
      <x:c r="Q3159" s="18" t="n">
        <x:v>0</x:v>
      </x:c>
      <x:c r="R3159" s="18" t="n">
        <x:v>0</x:v>
      </x:c>
      <x:c r="S3159" s="18" t="n">
        <x:v>563.4996329095177</x:v>
      </x:c>
      <x:c r="T3159" s="18" t="n">
        <x:v>649</x:v>
      </x:c>
      <x:c r="U3159" s="18" t="n">
        <x:v>563.4996329095177</x:v>
      </x:c>
      <x:c r="V3159" s="20" t="n">
        <x:v>12</x:v>
      </x:c>
      <x:c r="W3159" s="20" t="n">
        <x:v>5</x:v>
      </x:c>
      <x:c r="X3159" s="20" t="n">
        <x:v>3</x:v>
      </x:c>
      <x:c r="Y3159" t="str">
        <x:v>Basis arsip 2025/2024</x:v>
      </x:c>
      <x:c r="Z3159" t="str">
        <x:v>https://snpmb.id/utbk-snbt/daya-tampung-snbt</x:v>
      </x:c>
      <x:c r="AA3159" t="str">
        <x:v>Tidak Ada</x:v>
      </x:c>
      <x:c r="AB3159" t="str">
        <x:v>Campus=55; Ratio=23.3; Prodi=50; RelDemand=23.2; Capacity=70.8</x:v>
      </x:c>
    </x:row>
    <x:row r="3160">
      <x:c r="A3160" t="n">
        <x:v>3157</x:v>
      </x:c>
      <x:c r="B3160" t="str">
        <x:v>PTN Akademik</x:v>
      </x:c>
      <x:c r="C3160" t="str">
        <x:v>UNIVERSITAS NEGERI MAKASSAR</x:v>
      </x:c>
      <x:c r="D3160" t="str">
        <x:v>FISIKA</x:v>
      </x:c>
      <x:c r="E3160" t="str">
        <x:v>Sarjana</x:v>
      </x:c>
      <x:c r="F3160" s="18" t="n">
        <x:v>30</x:v>
      </x:c>
      <x:c r="G3160" s="18" t="n">
        <x:v>28</x:v>
      </x:c>
      <x:c r="H3160" s="19" t="n">
        <x:v>0.9333333333333333</x:v>
      </x:c>
      <x:c r="I3160" s="18" t="n">
        <x:f>ROUND(MIN(Model_Config_v3!$B$6,MAX(Q3160,R3160,S3160*Model_Config_v3!$B$4+T3160*Model_Config_v3!$B$5)),0)</x:f>
        <x:v>601</x:v>
      </x:c>
      <x:c r="J3160" s="18" t="n">
        <x:f>MIN(Model_Config_v3!$B$6,I3160+Model_Config_v3!$B$7)</x:f>
        <x:v>621</x:v>
      </x:c>
      <x:c r="K3160" s="20" t="n">
        <x:v>37.6</x:v>
      </x:c>
      <x:c r="L3160" t="str">
        <x:v>RELATIF LONGGAR</x:v>
      </x:c>
      <x:c r="M3160" t="str">
        <x:v>SEDANG+</x:v>
      </x:c>
      <x:c r="N3160" t="str">
        <x:v>REGULER</x:v>
      </x:c>
      <x:c r="O3160" t="str">
        <x:v>SAINTEK</x:v>
      </x:c>
      <x:c r="P3160" t="str">
        <x:v>SAINS DASAR</x:v>
      </x:c>
      <x:c r="Q3160" s="18" t="n">
        <x:v>0</x:v>
      </x:c>
      <x:c r="R3160" s="18" t="n">
        <x:v>0</x:v>
      </x:c>
      <x:c r="S3160" s="18" t="n">
        <x:v>520</x:v>
      </x:c>
      <x:c r="T3160" s="18" t="n">
        <x:v>635</x:v>
      </x:c>
      <x:c r="U3160" s="18" t="n">
        <x:v>520</x:v>
      </x:c>
      <x:c r="V3160" s="20" t="n">
        <x:v>12</x:v>
      </x:c>
      <x:c r="W3160" s="20" t="n">
        <x:v>5</x:v>
      </x:c>
      <x:c r="X3160" s="20" t="n">
        <x:v>3</x:v>
      </x:c>
      <x:c r="Y3160" t="str">
        <x:v>Basis arsip 2025/2024</x:v>
      </x:c>
      <x:c r="Z3160" t="str">
        <x:v>https://snpmb.id/utbk-snbt/daya-tampung-snbt</x:v>
      </x:c>
      <x:c r="AA3160" t="str">
        <x:v>Tidak Ada</x:v>
      </x:c>
      <x:c r="AB3160" t="str">
        <x:v>Campus=55; Ratio=0.0; Prodi=50; RelDemand=8.7; Capacity=75.0</x:v>
      </x:c>
    </x:row>
    <x:row r="3161">
      <x:c r="A3161" t="n">
        <x:v>3158</x:v>
      </x:c>
      <x:c r="B3161" t="str">
        <x:v>PTN Akademik</x:v>
      </x:c>
      <x:c r="C3161" t="str">
        <x:v>UNIVERSITAS NEGERI MAKASSAR</x:v>
      </x:c>
      <x:c r="D3161" t="str">
        <x:v>KIMIA</x:v>
      </x:c>
      <x:c r="E3161" t="str">
        <x:v>Sarjana</x:v>
      </x:c>
      <x:c r="F3161" s="18" t="n">
        <x:v>30</x:v>
      </x:c>
      <x:c r="G3161" s="18" t="n">
        <x:v>84</x:v>
      </x:c>
      <x:c r="H3161" s="19" t="n">
        <x:v>2.8</x:v>
      </x:c>
      <x:c r="I3161" s="18" t="n">
        <x:f>ROUND(MIN(Model_Config_v3!$B$6,MAX(Q3161,R3161,S3161*Model_Config_v3!$B$4+T3161*Model_Config_v3!$B$5)),0)</x:f>
        <x:v>627</x:v>
      </x:c>
      <x:c r="J3161" s="18" t="n">
        <x:f>MIN(Model_Config_v3!$B$6,I3161+Model_Config_v3!$B$7)</x:f>
        <x:v>647</x:v>
      </x:c>
      <x:c r="K3161" s="20" t="n">
        <x:v>45.9</x:v>
      </x:c>
      <x:c r="L3161" t="str">
        <x:v>MENENGAH</x:v>
      </x:c>
      <x:c r="M3161" t="str">
        <x:v>SEDANG+</x:v>
      </x:c>
      <x:c r="N3161" t="str">
        <x:v>REGULER</x:v>
      </x:c>
      <x:c r="O3161" t="str">
        <x:v>SAINTEK</x:v>
      </x:c>
      <x:c r="P3161" t="str">
        <x:v>SAINS DASAR</x:v>
      </x:c>
      <x:c r="Q3161" s="18" t="n">
        <x:v>0</x:v>
      </x:c>
      <x:c r="R3161" s="18" t="n">
        <x:v>0</x:v>
      </x:c>
      <x:c r="S3161" s="18" t="n">
        <x:v>569.1873834476442</x:v>
      </x:c>
      <x:c r="T3161" s="18" t="n">
        <x:v>652</x:v>
      </x:c>
      <x:c r="U3161" s="18" t="n">
        <x:v>569.1873834476442</x:v>
      </x:c>
      <x:c r="V3161" s="20" t="n">
        <x:v>12</x:v>
      </x:c>
      <x:c r="W3161" s="20" t="n">
        <x:v>5</x:v>
      </x:c>
      <x:c r="X3161" s="20" t="n">
        <x:v>3</x:v>
      </x:c>
      <x:c r="Y3161" t="str">
        <x:v>Basis arsip 2025/2024</x:v>
      </x:c>
      <x:c r="Z3161" t="str">
        <x:v>https://snpmb.id/utbk-snbt/daya-tampung-snbt</x:v>
      </x:c>
      <x:c r="AA3161" t="str">
        <x:v>Tidak Ada</x:v>
      </x:c>
      <x:c r="AB3161" t="str">
        <x:v>Campus=55; Ratio=26.3; Prodi=50; RelDemand=26.1; Capacity=75.0</x:v>
      </x:c>
    </x:row>
    <x:row r="3162">
      <x:c r="A3162" t="n">
        <x:v>3159</x:v>
      </x:c>
      <x:c r="B3162" t="str">
        <x:v>PTN Akademik</x:v>
      </x:c>
      <x:c r="C3162" t="str">
        <x:v>UNIVERSITAS NEGERI MAKASSAR</x:v>
      </x:c>
      <x:c r="D3162" t="str">
        <x:v>BIOLOGI</x:v>
      </x:c>
      <x:c r="E3162" t="str">
        <x:v>Sarjana</x:v>
      </x:c>
      <x:c r="F3162" s="18" t="n">
        <x:v>35</x:v>
      </x:c>
      <x:c r="G3162" s="18" t="n">
        <x:v>109</x:v>
      </x:c>
      <x:c r="H3162" s="19" t="n">
        <x:v>3.1142857142857143</x:v>
      </x:c>
      <x:c r="I3162" s="18" t="n">
        <x:f>ROUND(MIN(Model_Config_v3!$B$6,MAX(Q3162,R3162,S3162*Model_Config_v3!$B$4+T3162*Model_Config_v3!$B$5)),0)</x:f>
        <x:v>629</x:v>
      </x:c>
      <x:c r="J3162" s="18" t="n">
        <x:f>MIN(Model_Config_v3!$B$6,I3162+Model_Config_v3!$B$7)</x:f>
        <x:v>649</x:v>
      </x:c>
      <x:c r="K3162" s="20" t="n">
        <x:v>46.5</x:v>
      </x:c>
      <x:c r="L3162" t="str">
        <x:v>MENENGAH</x:v>
      </x:c>
      <x:c r="M3162" t="str">
        <x:v>SEDANG+</x:v>
      </x:c>
      <x:c r="N3162" t="str">
        <x:v>REGULER</x:v>
      </x:c>
      <x:c r="O3162" t="str">
        <x:v>SAINTEK</x:v>
      </x:c>
      <x:c r="P3162" t="str">
        <x:v>SAINS DASAR</x:v>
      </x:c>
      <x:c r="Q3162" s="18" t="n">
        <x:v>0</x:v>
      </x:c>
      <x:c r="R3162" s="18" t="n">
        <x:v>0</x:v>
      </x:c>
      <x:c r="S3162" s="18" t="n">
        <x:v>574.2694298949383</x:v>
      </x:c>
      <x:c r="T3162" s="18" t="n">
        <x:v>653</x:v>
      </x:c>
      <x:c r="U3162" s="18" t="n">
        <x:v>574.2694298949383</x:v>
      </x:c>
      <x:c r="V3162" s="20" t="n">
        <x:v>12</x:v>
      </x:c>
      <x:c r="W3162" s="20" t="n">
        <x:v>5</x:v>
      </x:c>
      <x:c r="X3162" s="20" t="n">
        <x:v>3</x:v>
      </x:c>
      <x:c r="Y3162" t="str">
        <x:v>Basis arsip 2025/2024</x:v>
      </x:c>
      <x:c r="Z3162" t="str">
        <x:v>https://snpmb.id/utbk-snbt/daya-tampung-snbt</x:v>
      </x:c>
      <x:c r="AA3162" t="str">
        <x:v>Tidak Ada</x:v>
      </x:c>
      <x:c r="AB3162" t="str">
        <x:v>Campus=55; Ratio=29.0; Prodi=50; RelDemand=29.1; Capacity=70.8</x:v>
      </x:c>
    </x:row>
    <x:row r="3163">
      <x:c r="A3163" t="n">
        <x:v>3160</x:v>
      </x:c>
      <x:c r="B3163" t="str">
        <x:v>PTN Akademik</x:v>
      </x:c>
      <x:c r="C3163" t="str">
        <x:v>UNIVERSITAS NEGERI MAKASSAR</x:v>
      </x:c>
      <x:c r="D3163" t="str">
        <x:v>GEOGRAFI</x:v>
      </x:c>
      <x:c r="E3163" t="str">
        <x:v>Sarjana</x:v>
      </x:c>
      <x:c r="F3163" s="18" t="n">
        <x:v>35</x:v>
      </x:c>
      <x:c r="G3163" s="18" t="n">
        <x:v>74</x:v>
      </x:c>
      <x:c r="H3163" s="19" t="n">
        <x:v>2.1142857142857143</x:v>
      </x:c>
      <x:c r="I3163" s="18" t="n">
        <x:f>ROUND(MIN(Model_Config_v3!$B$6,MAX(Q3163,R3163,S3163*Model_Config_v3!$B$4+T3163*Model_Config_v3!$B$5)),0)</x:f>
        <x:v>616</x:v>
      </x:c>
      <x:c r="J3163" s="18" t="n">
        <x:f>MIN(Model_Config_v3!$B$6,I3163+Model_Config_v3!$B$7)</x:f>
        <x:v>636</x:v>
      </x:c>
      <x:c r="K3163" s="20" t="n">
        <x:v>41.1</x:v>
      </x:c>
      <x:c r="L3163" t="str">
        <x:v>RELATIF LONGGAR</x:v>
      </x:c>
      <x:c r="M3163" t="str">
        <x:v>SEDANG</x:v>
      </x:c>
      <x:c r="N3163" t="str">
        <x:v>REGULER</x:v>
      </x:c>
      <x:c r="O3163" t="str">
        <x:v>CAMPURAN</x:v>
      </x:c>
      <x:c r="P3163" t="str">
        <x:v>UMUM</x:v>
      </x:c>
      <x:c r="Q3163" s="18" t="n">
        <x:v>0</x:v>
      </x:c>
      <x:c r="R3163" s="18" t="n">
        <x:v>0</x:v>
      </x:c>
      <x:c r="S3163" s="18" t="n">
        <x:v>555.7680042918771</x:v>
      </x:c>
      <x:c r="T3163" s="18" t="n">
        <x:v>642</x:v>
      </x:c>
      <x:c r="U3163" s="18" t="n">
        <x:v>555.7680042918771</x:v>
      </x:c>
      <x:c r="V3163" s="20" t="n">
        <x:v>8.8</x:v>
      </x:c>
      <x:c r="W3163" s="20" t="n">
        <x:v>9.9</x:v>
      </x:c>
      <x:c r="X3163" s="20" t="n">
        <x:v>3.3</x:v>
      </x:c>
      <x:c r="Y3163" t="str">
        <x:v>Basis arsip 2025/2024</x:v>
      </x:c>
      <x:c r="Z3163" t="str">
        <x:v>https://snpmb.id/utbk-snbt/daya-tampung-snbt</x:v>
      </x:c>
      <x:c r="AA3163" t="str">
        <x:v>Tidak Ada</x:v>
      </x:c>
      <x:c r="AB3163" t="str">
        <x:v>Campus=55; Ratio=19.1; Prodi=40; RelDemand=19.7; Capacity=70.8</x:v>
      </x:c>
    </x:row>
    <x:row r="3164">
      <x:c r="A3164" t="n">
        <x:v>3161</x:v>
      </x:c>
      <x:c r="B3164" t="str">
        <x:v>PTN Akademik</x:v>
      </x:c>
      <x:c r="C3164" t="str">
        <x:v>UNIVERSITAS NEGERI MAKASSAR</x:v>
      </x:c>
      <x:c r="D3164" t="str">
        <x:v>PENDIDIKAN TEKNIK ELEKTRO</x:v>
      </x:c>
      <x:c r="E3164" t="str">
        <x:v>Sarjana</x:v>
      </x:c>
      <x:c r="F3164" s="18" t="n">
        <x:v>45</x:v>
      </x:c>
      <x:c r="G3164" s="18" t="n">
        <x:v>124</x:v>
      </x:c>
      <x:c r="H3164" s="19" t="n">
        <x:v>2.7555555555555555</x:v>
      </x:c>
      <x:c r="I3164" s="18" t="n">
        <x:f>ROUND(MIN(Model_Config_v3!$B$6,MAX(Q3164,R3164,S3164*Model_Config_v3!$B$4+T3164*Model_Config_v3!$B$5)),0)</x:f>
        <x:v>623</x:v>
      </x:c>
      <x:c r="J3164" s="18" t="n">
        <x:f>MIN(Model_Config_v3!$B$6,I3164+Model_Config_v3!$B$7)</x:f>
        <x:v>643</x:v>
      </x:c>
      <x:c r="K3164" s="20" t="n">
        <x:v>43.6</x:v>
      </x:c>
      <x:c r="L3164" t="str">
        <x:v>RELATIF LONGGAR</x:v>
      </x:c>
      <x:c r="M3164" t="str">
        <x:v>SEDANG+</x:v>
      </x:c>
      <x:c r="N3164" t="str">
        <x:v>REGULER</x:v>
      </x:c>
      <x:c r="O3164" t="str">
        <x:v>SAINTEK</x:v>
      </x:c>
      <x:c r="P3164" t="str">
        <x:v>PENDIDIKAN</x:v>
      </x:c>
      <x:c r="Q3164" s="18" t="n">
        <x:v>0</x:v>
      </x:c>
      <x:c r="R3164" s="18" t="n">
        <x:v>0</x:v>
      </x:c>
      <x:c r="S3164" s="18" t="n">
        <x:v>568.423008852558</x:v>
      </x:c>
      <x:c r="T3164" s="18" t="n">
        <x:v>647</x:v>
      </x:c>
      <x:c r="U3164" s="18" t="n">
        <x:v>578.423008852558</x:v>
      </x:c>
      <x:c r="V3164" s="20" t="n">
        <x:v>12</x:v>
      </x:c>
      <x:c r="W3164" s="20" t="n">
        <x:v>5</x:v>
      </x:c>
      <x:c r="X3164" s="20" t="n">
        <x:v>3</x:v>
      </x:c>
      <x:c r="Y3164" t="str">
        <x:v>Basis arsip 2025/2024</x:v>
      </x:c>
      <x:c r="Z3164" t="str">
        <x:v>https://snpmb.id/utbk-snbt/daya-tampung-snbt</x:v>
      </x:c>
      <x:c r="AA3164" t="str">
        <x:v>Tidak Ada</x:v>
      </x:c>
      <x:c r="AB3164" t="str">
        <x:v>Campus=55; Ratio=25.9; Prodi=45; RelDemand=25.7; Capacity=62.5</x:v>
      </x:c>
    </x:row>
    <x:row r="3165">
      <x:c r="A3165" t="n">
        <x:v>3162</x:v>
      </x:c>
      <x:c r="B3165" t="str">
        <x:v>PTN Akademik</x:v>
      </x:c>
      <x:c r="C3165" t="str">
        <x:v>UNIVERSITAS NEGERI MAKASSAR</x:v>
      </x:c>
      <x:c r="D3165" t="str">
        <x:v>PEND. TEKNIK ELEKTRONIKA</x:v>
      </x:c>
      <x:c r="E3165" t="str">
        <x:v>Sarjana</x:v>
      </x:c>
      <x:c r="F3165" s="18" t="n">
        <x:v>28</x:v>
      </x:c>
      <x:c r="G3165" s="18" t="n">
        <x:v>48</x:v>
      </x:c>
      <x:c r="H3165" s="19" t="n">
        <x:v>1.7142857142857142</x:v>
      </x:c>
      <x:c r="I3165" s="18" t="n">
        <x:f>ROUND(MIN(Model_Config_v3!$B$6,MAX(Q3165,R3165,S3165*Model_Config_v3!$B$4+T3165*Model_Config_v3!$B$5)),0)</x:f>
        <x:v>613</x:v>
      </x:c>
      <x:c r="J3165" s="18" t="n">
        <x:f>MIN(Model_Config_v3!$B$6,I3165+Model_Config_v3!$B$7)</x:f>
        <x:v>633</x:v>
      </x:c>
      <x:c r="K3165" s="20" t="n">
        <x:v>41</x:v>
      </x:c>
      <x:c r="L3165" t="str">
        <x:v>RELATIF LONGGAR</x:v>
      </x:c>
      <x:c r="M3165" t="str">
        <x:v>SEDANG+</x:v>
      </x:c>
      <x:c r="N3165" t="str">
        <x:v>REGULER</x:v>
      </x:c>
      <x:c r="O3165" t="str">
        <x:v>SAINTEK</x:v>
      </x:c>
      <x:c r="P3165" t="str">
        <x:v>PENDIDIKAN</x:v>
      </x:c>
      <x:c r="Q3165" s="18" t="n">
        <x:v>0</x:v>
      </x:c>
      <x:c r="R3165" s="18" t="n">
        <x:v>0</x:v>
      </x:c>
      <x:c r="S3165" s="18" t="n">
        <x:v>545.7491526636704</x:v>
      </x:c>
      <x:c r="T3165" s="18" t="n">
        <x:v>642</x:v>
      </x:c>
      <x:c r="U3165" s="18" t="n">
        <x:v>555.7491526636704</x:v>
      </x:c>
      <x:c r="V3165" s="20" t="n">
        <x:v>12</x:v>
      </x:c>
      <x:c r="W3165" s="20" t="n">
        <x:v>5</x:v>
      </x:c>
      <x:c r="X3165" s="20" t="n">
        <x:v>3</x:v>
      </x:c>
      <x:c r="Y3165" t="str">
        <x:v>Basis arsip 2025/2024</x:v>
      </x:c>
      <x:c r="Z3165" t="str">
        <x:v>https://snpmb.id/utbk-snbt/daya-tampung-snbt</x:v>
      </x:c>
      <x:c r="AA3165" t="str">
        <x:v>Tidak Ada</x:v>
      </x:c>
      <x:c r="AB3165" t="str">
        <x:v>Campus=55; Ratio=13.8; Prodi=45; RelDemand=16.0; Capacity=76.7</x:v>
      </x:c>
    </x:row>
    <x:row r="3166">
      <x:c r="A3166" t="n">
        <x:v>3163</x:v>
      </x:c>
      <x:c r="B3166" t="str">
        <x:v>PTN Akademik</x:v>
      </x:c>
      <x:c r="C3166" t="str">
        <x:v>UNIVERSITAS NEGERI MAKASSAR</x:v>
      </x:c>
      <x:c r="D3166" t="str">
        <x:v>PENDIDIKAN TEKNIK MESIN</x:v>
      </x:c>
      <x:c r="E3166" t="str">
        <x:v>Sarjana</x:v>
      </x:c>
      <x:c r="F3166" s="18" t="n">
        <x:v>28</x:v>
      </x:c>
      <x:c r="G3166" s="18" t="n">
        <x:v>131</x:v>
      </x:c>
      <x:c r="H3166" s="19" t="n">
        <x:v>4.678571428571429</x:v>
      </x:c>
      <x:c r="I3166" s="18" t="n">
        <x:f>ROUND(MIN(Model_Config_v3!$B$6,MAX(Q3166,R3166,S3166*Model_Config_v3!$B$4+T3166*Model_Config_v3!$B$5)),0)</x:f>
        <x:v>640</x:v>
      </x:c>
      <x:c r="J3166" s="18" t="n">
        <x:f>MIN(Model_Config_v3!$B$6,I3166+Model_Config_v3!$B$7)</x:f>
        <x:v>660</x:v>
      </x:c>
      <x:c r="K3166" s="20" t="n">
        <x:v>50.1</x:v>
      </x:c>
      <x:c r="L3166" t="str">
        <x:v>MENENGAH</x:v>
      </x:c>
      <x:c r="M3166" t="str">
        <x:v>SEDANG+</x:v>
      </x:c>
      <x:c r="N3166" t="str">
        <x:v>REGULER</x:v>
      </x:c>
      <x:c r="O3166" t="str">
        <x:v>SAINTEK</x:v>
      </x:c>
      <x:c r="P3166" t="str">
        <x:v>PENDIDIKAN</x:v>
      </x:c>
      <x:c r="Q3166" s="18" t="n">
        <x:v>0</x:v>
      </x:c>
      <x:c r="R3166" s="18" t="n">
        <x:v>0</x:v>
      </x:c>
      <x:c r="S3166" s="18" t="n">
        <x:v>593.71245907449</x:v>
      </x:c>
      <x:c r="T3166" s="18" t="n">
        <x:v>660</x:v>
      </x:c>
      <x:c r="U3166" s="18" t="n">
        <x:v>603.71245907449</x:v>
      </x:c>
      <x:c r="V3166" s="20" t="n">
        <x:v>12</x:v>
      </x:c>
      <x:c r="W3166" s="20" t="n">
        <x:v>5</x:v>
      </x:c>
      <x:c r="X3166" s="20" t="n">
        <x:v>3</x:v>
      </x:c>
      <x:c r="Y3166" t="str">
        <x:v>Basis arsip 2025/2024</x:v>
      </x:c>
      <x:c r="Z3166" t="str">
        <x:v>https://snpmb.id/utbk-snbt/daya-tampung-snbt</x:v>
      </x:c>
      <x:c r="AA3166" t="str">
        <x:v>Tidak Ada</x:v>
      </x:c>
      <x:c r="AB3166" t="str">
        <x:v>Campus=55; Ratio=39.4; Prodi=45; RelDemand=43.7; Capacity=76.7</x:v>
      </x:c>
    </x:row>
    <x:row r="3167">
      <x:c r="A3167" t="n">
        <x:v>3164</x:v>
      </x:c>
      <x:c r="B3167" t="str">
        <x:v>PTN Akademik</x:v>
      </x:c>
      <x:c r="C3167" t="str">
        <x:v>UNIVERSITAS NEGERI MAKASSAR</x:v>
      </x:c>
      <x:c r="D3167" t="str">
        <x:v>PEND. TEKNIK OTOMOTIF</x:v>
      </x:c>
      <x:c r="E3167" t="str">
        <x:v>Sarjana</x:v>
      </x:c>
      <x:c r="F3167" s="18" t="n">
        <x:v>43</x:v>
      </x:c>
      <x:c r="G3167" s="18" t="n">
        <x:v>96</x:v>
      </x:c>
      <x:c r="H3167" s="19" t="n">
        <x:v>2.2325581395348837</x:v>
      </x:c>
      <x:c r="I3167" s="18" t="n">
        <x:f>ROUND(MIN(Model_Config_v3!$B$6,MAX(Q3167,R3167,S3167*Model_Config_v3!$B$4+T3167*Model_Config_v3!$B$5)),0)</x:f>
        <x:v>618</x:v>
      </x:c>
      <x:c r="J3167" s="18" t="n">
        <x:f>MIN(Model_Config_v3!$B$6,I3167+Model_Config_v3!$B$7)</x:f>
        <x:v>638</x:v>
      </x:c>
      <x:c r="K3167" s="20" t="n">
        <x:v>41.9</x:v>
      </x:c>
      <x:c r="L3167" t="str">
        <x:v>RELATIF LONGGAR</x:v>
      </x:c>
      <x:c r="M3167" t="str">
        <x:v>SEDANG+</x:v>
      </x:c>
      <x:c r="N3167" t="str">
        <x:v>REGULER</x:v>
      </x:c>
      <x:c r="O3167" t="str">
        <x:v>SAINTEK</x:v>
      </x:c>
      <x:c r="P3167" t="str">
        <x:v>PENDIDIKAN</x:v>
      </x:c>
      <x:c r="Q3167" s="18" t="n">
        <x:v>0</x:v>
      </x:c>
      <x:c r="R3167" s="18" t="n">
        <x:v>0</x:v>
      </x:c>
      <x:c r="S3167" s="18" t="n">
        <x:v>558.368305520598</x:v>
      </x:c>
      <x:c r="T3167" s="18" t="n">
        <x:v>644</x:v>
      </x:c>
      <x:c r="U3167" s="18" t="n">
        <x:v>568.368305520598</x:v>
      </x:c>
      <x:c r="V3167" s="20" t="n">
        <x:v>12</x:v>
      </x:c>
      <x:c r="W3167" s="20" t="n">
        <x:v>5</x:v>
      </x:c>
      <x:c r="X3167" s="20" t="n">
        <x:v>3</x:v>
      </x:c>
      <x:c r="Y3167" t="str">
        <x:v>Basis arsip 2025/2024</x:v>
      </x:c>
      <x:c r="Z3167" t="str">
        <x:v>https://snpmb.id/utbk-snbt/daya-tampung-snbt</x:v>
      </x:c>
      <x:c r="AA3167" t="str">
        <x:v>Tidak Ada</x:v>
      </x:c>
      <x:c r="AB3167" t="str">
        <x:v>Campus=55; Ratio=20.5; Prodi=45; RelDemand=20.8; Capacity=64.2</x:v>
      </x:c>
    </x:row>
    <x:row r="3168">
      <x:c r="A3168" t="n">
        <x:v>3165</x:v>
      </x:c>
      <x:c r="B3168" t="str">
        <x:v>PTN Akademik</x:v>
      </x:c>
      <x:c r="C3168" t="str">
        <x:v>UNIVERSITAS NEGERI MAKASSAR</x:v>
      </x:c>
      <x:c r="D3168" t="str">
        <x:v>PENDIDIKAN TEKNIK BANGUNAN</x:v>
      </x:c>
      <x:c r="E3168" t="str">
        <x:v>Sarjana</x:v>
      </x:c>
      <x:c r="F3168" s="18" t="n">
        <x:v>28</x:v>
      </x:c>
      <x:c r="G3168" s="18" t="n">
        <x:v>70</x:v>
      </x:c>
      <x:c r="H3168" s="19" t="n">
        <x:v>2.5</x:v>
      </x:c>
      <x:c r="I3168" s="18" t="n">
        <x:f>ROUND(MIN(Model_Config_v3!$B$6,MAX(Q3168,R3168,S3168*Model_Config_v3!$B$4+T3168*Model_Config_v3!$B$5)),0)</x:f>
        <x:v>623</x:v>
      </x:c>
      <x:c r="J3168" s="18" t="n">
        <x:f>MIN(Model_Config_v3!$B$6,I3168+Model_Config_v3!$B$7)</x:f>
        <x:v>643</x:v>
      </x:c>
      <x:c r="K3168" s="20" t="n">
        <x:v>44.1</x:v>
      </x:c>
      <x:c r="L3168" t="str">
        <x:v>RELATIF LONGGAR</x:v>
      </x:c>
      <x:c r="M3168" t="str">
        <x:v>SEDANG+</x:v>
      </x:c>
      <x:c r="N3168" t="str">
        <x:v>REGULER</x:v>
      </x:c>
      <x:c r="O3168" t="str">
        <x:v>SAINTEK</x:v>
      </x:c>
      <x:c r="P3168" t="str">
        <x:v>PENDIDIKAN</x:v>
      </x:c>
      <x:c r="Q3168" s="18" t="n">
        <x:v>0</x:v>
      </x:c>
      <x:c r="R3168" s="18" t="n">
        <x:v>0</x:v>
      </x:c>
      <x:c r="S3168" s="18" t="n">
        <x:v>563.7734009539241</x:v>
      </x:c>
      <x:c r="T3168" s="18" t="n">
        <x:v>648</x:v>
      </x:c>
      <x:c r="U3168" s="18" t="n">
        <x:v>573.7734009539241</x:v>
      </x:c>
      <x:c r="V3168" s="20" t="n">
        <x:v>12</x:v>
      </x:c>
      <x:c r="W3168" s="20" t="n">
        <x:v>5</x:v>
      </x:c>
      <x:c r="X3168" s="20" t="n">
        <x:v>3</x:v>
      </x:c>
      <x:c r="Y3168" t="str">
        <x:v>Basis arsip 2025/2024</x:v>
      </x:c>
      <x:c r="Z3168" t="str">
        <x:v>https://snpmb.id/utbk-snbt/daya-tampung-snbt</x:v>
      </x:c>
      <x:c r="AA3168" t="str">
        <x:v>Tidak Ada</x:v>
      </x:c>
      <x:c r="AB3168" t="str">
        <x:v>Campus=55; Ratio=23.4; Prodi=45; RelDemand=23.3; Capacity=76.7</x:v>
      </x:c>
    </x:row>
    <x:row r="3169">
      <x:c r="A3169" t="n">
        <x:v>3166</x:v>
      </x:c>
      <x:c r="B3169" t="str">
        <x:v>PTN Akademik</x:v>
      </x:c>
      <x:c r="C3169" t="str">
        <x:v>UNIVERSITAS NEGERI MAKASSAR</x:v>
      </x:c>
      <x:c r="D3169" t="str">
        <x:v>ILMU KEOLAHRAGAAN</x:v>
      </x:c>
      <x:c r="E3169" t="str">
        <x:v>Sarjana</x:v>
      </x:c>
      <x:c r="F3169" s="18" t="n">
        <x:v>55</x:v>
      </x:c>
      <x:c r="G3169" s="18" t="n">
        <x:v>137</x:v>
      </x:c>
      <x:c r="H3169" s="19" t="n">
        <x:v>2.4909090909090907</x:v>
      </x:c>
      <x:c r="I3169" s="18" t="n">
        <x:f>ROUND(MIN(Model_Config_v3!$B$6,MAX(Q3169,R3169,S3169*Model_Config_v3!$B$4+T3169*Model_Config_v3!$B$5)),0)</x:f>
        <x:v>620</x:v>
      </x:c>
      <x:c r="J3169" s="18" t="n">
        <x:f>MIN(Model_Config_v3!$B$6,I3169+Model_Config_v3!$B$7)</x:f>
        <x:v>640</x:v>
      </x:c>
      <x:c r="K3169" s="20" t="n">
        <x:v>41.8</x:v>
      </x:c>
      <x:c r="L3169" t="str">
        <x:v>RELATIF LONGGAR</x:v>
      </x:c>
      <x:c r="M3169" t="str">
        <x:v>PORTOFOLIO</x:v>
      </x:c>
      <x:c r="N3169" t="str">
        <x:v>REGULER</x:v>
      </x:c>
      <x:c r="O3169" t="str">
        <x:v>SENI/OLAHRAGA</x:v>
      </x:c>
      <x:c r="P3169" t="str">
        <x:v>SENI/OLAHRAGA</x:v>
      </x:c>
      <x:c r="Q3169" s="18" t="n">
        <x:v>0</x:v>
      </x:c>
      <x:c r="R3169" s="18" t="n">
        <x:v>0</x:v>
      </x:c>
      <x:c r="S3169" s="18" t="n">
        <x:v>563.599366542838</x:v>
      </x:c>
      <x:c r="T3169" s="18" t="n">
        <x:v>644</x:v>
      </x:c>
      <x:c r="U3169" s="18" t="n">
        <x:v>563.599366542838</x:v>
      </x:c>
      <x:c r="V3169" s="20" t="n">
        <x:v>4.4</x:v>
      </x:c>
      <x:c r="W3169" s="20" t="n">
        <x:v>9.9</x:v>
      </x:c>
      <x:c r="X3169" s="20" t="n">
        <x:v>7.7</x:v>
      </x:c>
      <x:c r="Y3169" t="str">
        <x:v>Basis arsip 2025/2024</x:v>
      </x:c>
      <x:c r="Z3169" t="str">
        <x:v>https://snpmb.id/utbk-snbt/daya-tampung-snbt</x:v>
      </x:c>
      <x:c r="AA3169" t="str">
        <x:v>Olahraga</x:v>
      </x:c>
      <x:c r="AB3169" t="str">
        <x:v>Campus=55; Ratio=23.3; Prodi=45; RelDemand=23.3; Capacity=54.2</x:v>
      </x:c>
    </x:row>
    <x:row r="3170">
      <x:c r="A3170" t="n">
        <x:v>3167</x:v>
      </x:c>
      <x:c r="B3170" t="str">
        <x:v>PTN Akademik</x:v>
      </x:c>
      <x:c r="C3170" t="str">
        <x:v>UNIVERSITAS NEGERI MAKASSAR</x:v>
      </x:c>
      <x:c r="D3170" t="str">
        <x:v>PENDIDIKAN TEKNIK INFORMATIKA &amp; KOMPUTER</x:v>
      </x:c>
      <x:c r="E3170" t="str">
        <x:v>Sarjana</x:v>
      </x:c>
      <x:c r="F3170" s="18" t="n">
        <x:v>76</x:v>
      </x:c>
      <x:c r="G3170" s="18" t="n">
        <x:v>1223</x:v>
      </x:c>
      <x:c r="H3170" s="19" t="n">
        <x:v>16.092105263157894</x:v>
      </x:c>
      <x:c r="I3170" s="18" t="n">
        <x:f>ROUND(MIN(Model_Config_v3!$B$6,MAX(Q3170,R3170,S3170*Model_Config_v3!$B$4+T3170*Model_Config_v3!$B$5)),0)</x:f>
        <x:v>682</x:v>
      </x:c>
      <x:c r="J3170" s="18" t="n">
        <x:f>MIN(Model_Config_v3!$B$6,I3170+Model_Config_v3!$B$7)</x:f>
        <x:v>702</x:v>
      </x:c>
      <x:c r="K3170" s="20" t="n">
        <x:v>67.7</x:v>
      </x:c>
      <x:c r="L3170" t="str">
        <x:v>SANGAT KETAT</x:v>
      </x:c>
      <x:c r="M3170" t="str">
        <x:v>SEDANG+</x:v>
      </x:c>
      <x:c r="N3170" t="str">
        <x:v>REGULER</x:v>
      </x:c>
      <x:c r="O3170" t="str">
        <x:v>SAINTEK</x:v>
      </x:c>
      <x:c r="P3170" t="str">
        <x:v>KOMPUTER/INFORMATIKA</x:v>
      </x:c>
      <x:c r="Q3170" s="18" t="n">
        <x:v>0</x:v>
      </x:c>
      <x:c r="R3170" s="18" t="n">
        <x:v>0</x:v>
      </x:c>
      <x:c r="S3170" s="18" t="n">
        <x:v>652.7274151231044</x:v>
      </x:c>
      <x:c r="T3170" s="18" t="n">
        <x:v>695</x:v>
      </x:c>
      <x:c r="U3170" s="18" t="n">
        <x:v>677.7274151231044</x:v>
      </x:c>
      <x:c r="V3170" s="20" t="n">
        <x:v>12</x:v>
      </x:c>
      <x:c r="W3170" s="20" t="n">
        <x:v>5</x:v>
      </x:c>
      <x:c r="X3170" s="20" t="n">
        <x:v>3</x:v>
      </x:c>
      <x:c r="Y3170" t="str">
        <x:v>Basis arsip 2025/2024</x:v>
      </x:c>
      <x:c r="Z3170" t="str">
        <x:v>https://snpmb.id/utbk-snbt/daya-tampung-snbt</x:v>
      </x:c>
      <x:c r="AA3170" t="str">
        <x:v>Tidak Ada</x:v>
      </x:c>
      <x:c r="AB3170" t="str">
        <x:v>Campus=55; Ratio=71.0; Prodi=85; RelDemand=100.0; Capacity=36.7</x:v>
      </x:c>
    </x:row>
    <x:row r="3171">
      <x:c r="A3171" t="n">
        <x:v>3168</x:v>
      </x:c>
      <x:c r="B3171" t="str">
        <x:v>PTN Akademik</x:v>
      </x:c>
      <x:c r="C3171" t="str">
        <x:v>UNIVERSITAS NEGERI MAKASSAR</x:v>
      </x:c>
      <x:c r="D3171" t="str">
        <x:v>PEND. KIMIA KLS INTERNASIONAL (BILINGUAL)</x:v>
      </x:c>
      <x:c r="E3171" t="str">
        <x:v>Sarjana</x:v>
      </x:c>
      <x:c r="F3171" s="18" t="n">
        <x:v>15</x:v>
      </x:c>
      <x:c r="G3171" s="18" t="n">
        <x:v>9</x:v>
      </x:c>
      <x:c r="H3171" s="19" t="n">
        <x:v>0.6</x:v>
      </x:c>
      <x:c r="I3171" s="18" t="n">
        <x:f>ROUND(MIN(Model_Config_v3!$B$6,MAX(Q3171,R3171,S3171*Model_Config_v3!$B$4+T3171*Model_Config_v3!$B$5)),0)</x:f>
        <x:v>601</x:v>
      </x:c>
      <x:c r="J3171" s="18" t="n">
        <x:f>MIN(Model_Config_v3!$B$6,I3171+Model_Config_v3!$B$7)</x:f>
        <x:v>621</x:v>
      </x:c>
      <x:c r="K3171" s="20" t="n">
        <x:v>37.6</x:v>
      </x:c>
      <x:c r="L3171" t="str">
        <x:v>RELATIF LONGGAR</x:v>
      </x:c>
      <x:c r="M3171" t="str">
        <x:v>SEDANG+</x:v>
      </x:c>
      <x:c r="N3171" t="str">
        <x:v>REGULER</x:v>
      </x:c>
      <x:c r="O3171" t="str">
        <x:v>SAINTEK</x:v>
      </x:c>
      <x:c r="P3171" t="str">
        <x:v>PENDIDIKAN</x:v>
      </x:c>
      <x:c r="Q3171" s="18" t="n">
        <x:v>0</x:v>
      </x:c>
      <x:c r="R3171" s="18" t="n">
        <x:v>0</x:v>
      </x:c>
      <x:c r="S3171" s="18" t="n">
        <x:v>520</x:v>
      </x:c>
      <x:c r="T3171" s="18" t="n">
        <x:v>635</x:v>
      </x:c>
      <x:c r="U3171" s="18" t="n">
        <x:v>520</x:v>
      </x:c>
      <x:c r="V3171" s="20" t="n">
        <x:v>12</x:v>
      </x:c>
      <x:c r="W3171" s="20" t="n">
        <x:v>5</x:v>
      </x:c>
      <x:c r="X3171" s="20" t="n">
        <x:v>3</x:v>
      </x:c>
      <x:c r="Y3171" t="str">
        <x:v>Basis arsip 2025/2024</x:v>
      </x:c>
      <x:c r="Z3171" t="str">
        <x:v>https://snpmb.id/utbk-snbt/daya-tampung-snbt</x:v>
      </x:c>
      <x:c r="AA3171" t="str">
        <x:v>Tidak Ada</x:v>
      </x:c>
      <x:c r="AB3171" t="str">
        <x:v>Campus=55; Ratio=0.0; Prodi=45; RelDemand=5.6; Capacity=87.5</x:v>
      </x:c>
    </x:row>
    <x:row r="3172">
      <x:c r="A3172" t="n">
        <x:v>3169</x:v>
      </x:c>
      <x:c r="B3172" t="str">
        <x:v>PTN Akademik</x:v>
      </x:c>
      <x:c r="C3172" t="str">
        <x:v>UNIVERSITAS NEGERI MAKASSAR</x:v>
      </x:c>
      <x:c r="D3172" t="str">
        <x:v>PEND. MATEMATIKA KLS INTERNAS. (BILINGUAL)</x:v>
      </x:c>
      <x:c r="E3172" t="str">
        <x:v>Sarjana</x:v>
      </x:c>
      <x:c r="F3172" s="18" t="n">
        <x:v>15</x:v>
      </x:c>
      <x:c r="G3172" s="18" t="n">
        <x:v>37</x:v>
      </x:c>
      <x:c r="H3172" s="19" t="n">
        <x:v>2.466666666666667</x:v>
      </x:c>
      <x:c r="I3172" s="18" t="n">
        <x:f>ROUND(MIN(Model_Config_v3!$B$6,MAX(Q3172,R3172,S3172*Model_Config_v3!$B$4+T3172*Model_Config_v3!$B$5)),0)</x:f>
        <x:v>624</x:v>
      </x:c>
      <x:c r="J3172" s="18" t="n">
        <x:f>MIN(Model_Config_v3!$B$6,I3172+Model_Config_v3!$B$7)</x:f>
        <x:v>644</x:v>
      </x:c>
      <x:c r="K3172" s="20" t="n">
        <x:v>45.1</x:v>
      </x:c>
      <x:c r="L3172" t="str">
        <x:v>MENENGAH</x:v>
      </x:c>
      <x:c r="M3172" t="str">
        <x:v>SEDANG+</x:v>
      </x:c>
      <x:c r="N3172" t="str">
        <x:v>REGULER</x:v>
      </x:c>
      <x:c r="O3172" t="str">
        <x:v>SAINTEK</x:v>
      </x:c>
      <x:c r="P3172" t="str">
        <x:v>PENDIDIKAN</x:v>
      </x:c>
      <x:c r="Q3172" s="18" t="n">
        <x:v>0</x:v>
      </x:c>
      <x:c r="R3172" s="18" t="n">
        <x:v>0</x:v>
      </x:c>
      <x:c r="S3172" s="18" t="n">
        <x:v>563.1321511512446</x:v>
      </x:c>
      <x:c r="T3172" s="18" t="n">
        <x:v>650</x:v>
      </x:c>
      <x:c r="U3172" s="18" t="n">
        <x:v>563.1321511512446</x:v>
      </x:c>
      <x:c r="V3172" s="20" t="n">
        <x:v>12</x:v>
      </x:c>
      <x:c r="W3172" s="20" t="n">
        <x:v>5</x:v>
      </x:c>
      <x:c r="X3172" s="20" t="n">
        <x:v>3</x:v>
      </x:c>
      <x:c r="Y3172" t="str">
        <x:v>Basis arsip 2025/2024</x:v>
      </x:c>
      <x:c r="Z3172" t="str">
        <x:v>https://snpmb.id/utbk-snbt/daya-tampung-snbt</x:v>
      </x:c>
      <x:c r="AA3172" t="str">
        <x:v>Tidak Ada</x:v>
      </x:c>
      <x:c r="AB3172" t="str">
        <x:v>Campus=55; Ratio=23.1; Prodi=45; RelDemand=23.0; Capacity=87.5</x:v>
      </x:c>
    </x:row>
    <x:row r="3173">
      <x:c r="A3173" t="n">
        <x:v>3170</x:v>
      </x:c>
      <x:c r="B3173" t="str">
        <x:v>PTN Akademik</x:v>
      </x:c>
      <x:c r="C3173" t="str">
        <x:v>UNIVERSITAS NEGERI MAKASSAR</x:v>
      </x:c>
      <x:c r="D3173" t="str">
        <x:v>DESAIN KOMUNIKASI VISUAL</x:v>
      </x:c>
      <x:c r="E3173" t="str">
        <x:v>Sarjana</x:v>
      </x:c>
      <x:c r="F3173" s="18" t="n">
        <x:v>95</x:v>
      </x:c>
      <x:c r="G3173" s="18" t="n">
        <x:v>162</x:v>
      </x:c>
      <x:c r="H3173" s="19" t="n">
        <x:v>1.7052631578947368</x:v>
      </x:c>
      <x:c r="I3173" s="18" t="n">
        <x:f>ROUND(MIN(Model_Config_v3!$B$6,MAX(Q3173,R3173,S3173*Model_Config_v3!$B$4+T3173*Model_Config_v3!$B$5)),0)</x:f>
        <x:v>605</x:v>
      </x:c>
      <x:c r="J3173" s="18" t="n">
        <x:f>MIN(Model_Config_v3!$B$6,I3173+Model_Config_v3!$B$7)</x:f>
        <x:v>625</x:v>
      </x:c>
      <x:c r="K3173" s="20" t="n">
        <x:v>35.3</x:v>
      </x:c>
      <x:c r="L3173" t="str">
        <x:v>RELATIF LONGGAR</x:v>
      </x:c>
      <x:c r="M3173" t="str">
        <x:v>PORTOFOLIO</x:v>
      </x:c>
      <x:c r="N3173" t="str">
        <x:v>REGULER</x:v>
      </x:c>
      <x:c r="O3173" t="str">
        <x:v>SENI/OLAHRAGA</x:v>
      </x:c>
      <x:c r="P3173" t="str">
        <x:v>SENI/OLAHRAGA</x:v>
      </x:c>
      <x:c r="Q3173" s="18" t="n">
        <x:v>0</x:v>
      </x:c>
      <x:c r="R3173" s="18" t="n">
        <x:v>0</x:v>
      </x:c>
      <x:c r="S3173" s="18" t="n">
        <x:v>545.4970550179162</x:v>
      </x:c>
      <x:c r="T3173" s="18" t="n">
        <x:v>631</x:v>
      </x:c>
      <x:c r="U3173" s="18" t="n">
        <x:v>545.4970550179162</x:v>
      </x:c>
      <x:c r="V3173" s="20" t="n">
        <x:v>4.4</x:v>
      </x:c>
      <x:c r="W3173" s="20" t="n">
        <x:v>9.9</x:v>
      </x:c>
      <x:c r="X3173" s="20" t="n">
        <x:v>7.7</x:v>
      </x:c>
      <x:c r="Y3173" t="str">
        <x:v>Basis arsip 2025/2024</x:v>
      </x:c>
      <x:c r="Z3173" t="str">
        <x:v>https://snpmb.id/utbk-snbt/daya-tampung-snbt</x:v>
      </x:c>
      <x:c r="AA3173" t="str">
        <x:v>Seni Rupa, Desain, dan Kriya</x:v>
      </x:c>
      <x:c r="AB3173" t="str">
        <x:v>Campus=55; Ratio=13.6; Prodi=45; RelDemand=15.9; Capacity=20.8</x:v>
      </x:c>
    </x:row>
    <x:row r="3174">
      <x:c r="A3174" t="n">
        <x:v>3171</x:v>
      </x:c>
      <x:c r="B3174" t="str">
        <x:v>PTN Akademik</x:v>
      </x:c>
      <x:c r="C3174" t="str">
        <x:v>UNIVERSITAS NEGERI MAKASSAR</x:v>
      </x:c>
      <x:c r="D3174" t="str">
        <x:v>PEND. BIOLOGI KLS INTERNASIONAL (BILINGUAL)</x:v>
      </x:c>
      <x:c r="E3174" t="str">
        <x:v>Sarjana</x:v>
      </x:c>
      <x:c r="F3174" s="18" t="n">
        <x:v>15</x:v>
      </x:c>
      <x:c r="G3174" s="18" t="n">
        <x:v>14</x:v>
      </x:c>
      <x:c r="H3174" s="19" t="n">
        <x:v>0.9333333333333333</x:v>
      </x:c>
      <x:c r="I3174" s="18" t="n">
        <x:f>ROUND(MIN(Model_Config_v3!$B$6,MAX(Q3174,R3174,S3174*Model_Config_v3!$B$4+T3174*Model_Config_v3!$B$5)),0)</x:f>
        <x:v>601</x:v>
      </x:c>
      <x:c r="J3174" s="18" t="n">
        <x:f>MIN(Model_Config_v3!$B$6,I3174+Model_Config_v3!$B$7)</x:f>
        <x:v>621</x:v>
      </x:c>
      <x:c r="K3174" s="20" t="n">
        <x:v>37.9</x:v>
      </x:c>
      <x:c r="L3174" t="str">
        <x:v>RELATIF LONGGAR</x:v>
      </x:c>
      <x:c r="M3174" t="str">
        <x:v>SEDANG+</x:v>
      </x:c>
      <x:c r="N3174" t="str">
        <x:v>REGULER</x:v>
      </x:c>
      <x:c r="O3174" t="str">
        <x:v>SAINTEK</x:v>
      </x:c>
      <x:c r="P3174" t="str">
        <x:v>PENDIDIKAN</x:v>
      </x:c>
      <x:c r="Q3174" s="18" t="n">
        <x:v>0</x:v>
      </x:c>
      <x:c r="R3174" s="18" t="n">
        <x:v>0</x:v>
      </x:c>
      <x:c r="S3174" s="18" t="n">
        <x:v>520</x:v>
      </x:c>
      <x:c r="T3174" s="18" t="n">
        <x:v>636</x:v>
      </x:c>
      <x:c r="U3174" s="18" t="n">
        <x:v>520</x:v>
      </x:c>
      <x:c r="V3174" s="20" t="n">
        <x:v>12</x:v>
      </x:c>
      <x:c r="W3174" s="20" t="n">
        <x:v>5</x:v>
      </x:c>
      <x:c r="X3174" s="20" t="n">
        <x:v>3</x:v>
      </x:c>
      <x:c r="Y3174" t="str">
        <x:v>Basis arsip 2025/2024</x:v>
      </x:c>
      <x:c r="Z3174" t="str">
        <x:v>https://snpmb.id/utbk-snbt/daya-tampung-snbt</x:v>
      </x:c>
      <x:c r="AA3174" t="str">
        <x:v>Tidak Ada</x:v>
      </x:c>
      <x:c r="AB3174" t="str">
        <x:v>Campus=55; Ratio=0.0; Prodi=45; RelDemand=8.7; Capacity=87.5</x:v>
      </x:c>
    </x:row>
    <x:row r="3175">
      <x:c r="A3175" t="n">
        <x:v>3172</x:v>
      </x:c>
      <x:c r="B3175" t="str">
        <x:v>PTN Akademik</x:v>
      </x:c>
      <x:c r="C3175" t="str">
        <x:v>UNIVERSITAS NEGERI MAKASSAR</x:v>
      </x:c>
      <x:c r="D3175" t="str">
        <x:v>PEND. FISIKA KLS INTERNASIONAL (BILINGUAL)</x:v>
      </x:c>
      <x:c r="E3175" t="str">
        <x:v>Sarjana</x:v>
      </x:c>
      <x:c r="F3175" s="18" t="n">
        <x:v>15</x:v>
      </x:c>
      <x:c r="G3175" s="18" t="n">
        <x:v>9</x:v>
      </x:c>
      <x:c r="H3175" s="19" t="n">
        <x:v>0.6</x:v>
      </x:c>
      <x:c r="I3175" s="18" t="n">
        <x:f>ROUND(MIN(Model_Config_v3!$B$6,MAX(Q3175,R3175,S3175*Model_Config_v3!$B$4+T3175*Model_Config_v3!$B$5)),0)</x:f>
        <x:v>601</x:v>
      </x:c>
      <x:c r="J3175" s="18" t="n">
        <x:f>MIN(Model_Config_v3!$B$6,I3175+Model_Config_v3!$B$7)</x:f>
        <x:v>621</x:v>
      </x:c>
      <x:c r="K3175" s="20" t="n">
        <x:v>37.6</x:v>
      </x:c>
      <x:c r="L3175" t="str">
        <x:v>RELATIF LONGGAR</x:v>
      </x:c>
      <x:c r="M3175" t="str">
        <x:v>SEDANG+</x:v>
      </x:c>
      <x:c r="N3175" t="str">
        <x:v>REGULER</x:v>
      </x:c>
      <x:c r="O3175" t="str">
        <x:v>SAINTEK</x:v>
      </x:c>
      <x:c r="P3175" t="str">
        <x:v>PENDIDIKAN</x:v>
      </x:c>
      <x:c r="Q3175" s="18" t="n">
        <x:v>0</x:v>
      </x:c>
      <x:c r="R3175" s="18" t="n">
        <x:v>0</x:v>
      </x:c>
      <x:c r="S3175" s="18" t="n">
        <x:v>520</x:v>
      </x:c>
      <x:c r="T3175" s="18" t="n">
        <x:v>635</x:v>
      </x:c>
      <x:c r="U3175" s="18" t="n">
        <x:v>520</x:v>
      </x:c>
      <x:c r="V3175" s="20" t="n">
        <x:v>12</x:v>
      </x:c>
      <x:c r="W3175" s="20" t="n">
        <x:v>5</x:v>
      </x:c>
      <x:c r="X3175" s="20" t="n">
        <x:v>3</x:v>
      </x:c>
      <x:c r="Y3175" t="str">
        <x:v>Basis arsip 2025/2024</x:v>
      </x:c>
      <x:c r="Z3175" t="str">
        <x:v>https://snpmb.id/utbk-snbt/daya-tampung-snbt</x:v>
      </x:c>
      <x:c r="AA3175" t="str">
        <x:v>Tidak Ada</x:v>
      </x:c>
      <x:c r="AB3175" t="str">
        <x:v>Campus=55; Ratio=0.0; Prodi=45; RelDemand=5.6; Capacity=87.5</x:v>
      </x:c>
    </x:row>
    <x:row r="3176">
      <x:c r="A3176" t="n">
        <x:v>3173</x:v>
      </x:c>
      <x:c r="B3176" t="str">
        <x:v>PTN Akademik</x:v>
      </x:c>
      <x:c r="C3176" t="str">
        <x:v>UNIVERSITAS NEGERI MAKASSAR</x:v>
      </x:c>
      <x:c r="D3176" t="str">
        <x:v>PENDIDIKAN TEKNOLOGI PERTANIAN</x:v>
      </x:c>
      <x:c r="E3176" t="str">
        <x:v>Sarjana</x:v>
      </x:c>
      <x:c r="F3176" s="18" t="n">
        <x:v>43</x:v>
      </x:c>
      <x:c r="G3176" s="18" t="n">
        <x:v>134</x:v>
      </x:c>
      <x:c r="H3176" s="19" t="n">
        <x:v>3.116279069767442</x:v>
      </x:c>
      <x:c r="I3176" s="18" t="n">
        <x:f>ROUND(MIN(Model_Config_v3!$B$6,MAX(Q3176,R3176,S3176*Model_Config_v3!$B$4+T3176*Model_Config_v3!$B$5)),0)</x:f>
        <x:v>627</x:v>
      </x:c>
      <x:c r="J3176" s="18" t="n">
        <x:f>MIN(Model_Config_v3!$B$6,I3176+Model_Config_v3!$B$7)</x:f>
        <x:v>647</x:v>
      </x:c>
      <x:c r="K3176" s="20" t="n">
        <x:v>44.8</x:v>
      </x:c>
      <x:c r="L3176" t="str">
        <x:v>RELATIF LONGGAR</x:v>
      </x:c>
      <x:c r="M3176" t="str">
        <x:v>SEDANG+</x:v>
      </x:c>
      <x:c r="N3176" t="str">
        <x:v>REGULER</x:v>
      </x:c>
      <x:c r="O3176" t="str">
        <x:v>SAINTEK</x:v>
      </x:c>
      <x:c r="P3176" t="str">
        <x:v>PENDIDIKAN</x:v>
      </x:c>
      <x:c r="Q3176" s="18" t="n">
        <x:v>0</x:v>
      </x:c>
      <x:c r="R3176" s="18" t="n">
        <x:v>0</x:v>
      </x:c>
      <x:c r="S3176" s="18" t="n">
        <x:v>574.2999977063744</x:v>
      </x:c>
      <x:c r="T3176" s="18" t="n">
        <x:v>650</x:v>
      </x:c>
      <x:c r="U3176" s="18" t="n">
        <x:v>574.2999977063744</x:v>
      </x:c>
      <x:c r="V3176" s="20" t="n">
        <x:v>12</x:v>
      </x:c>
      <x:c r="W3176" s="20" t="n">
        <x:v>5</x:v>
      </x:c>
      <x:c r="X3176" s="20" t="n">
        <x:v>3</x:v>
      </x:c>
      <x:c r="Y3176" t="str">
        <x:v>Basis arsip 2025/2024</x:v>
      </x:c>
      <x:c r="Z3176" t="str">
        <x:v>https://snpmb.id/utbk-snbt/daya-tampung-snbt</x:v>
      </x:c>
      <x:c r="AA3176" t="str">
        <x:v>Tidak Ada</x:v>
      </x:c>
      <x:c r="AB3176" t="str">
        <x:v>Campus=55; Ratio=29.1; Prodi=45; RelDemand=29.1; Capacity=64.2</x:v>
      </x:c>
    </x:row>
    <x:row r="3177">
      <x:c r="A3177" t="n">
        <x:v>3174</x:v>
      </x:c>
      <x:c r="B3177" t="str">
        <x:v>PTN Akademik</x:v>
      </x:c>
      <x:c r="C3177" t="str">
        <x:v>UNIVERSITAS NEGERI MAKASSAR</x:v>
      </x:c>
      <x:c r="D3177" t="str">
        <x:v>PENDIDIKAN IPA</x:v>
      </x:c>
      <x:c r="E3177" t="str">
        <x:v>Sarjana</x:v>
      </x:c>
      <x:c r="F3177" s="18" t="n">
        <x:v>35</x:v>
      </x:c>
      <x:c r="G3177" s="18" t="n">
        <x:v>136</x:v>
      </x:c>
      <x:c r="H3177" s="19" t="n">
        <x:v>3.8857142857142857</x:v>
      </x:c>
      <x:c r="I3177" s="18" t="n">
        <x:f>ROUND(MIN(Model_Config_v3!$B$6,MAX(Q3177,R3177,S3177*Model_Config_v3!$B$4+T3177*Model_Config_v3!$B$5)),0)</x:f>
        <x:v>634</x:v>
      </x:c>
      <x:c r="J3177" s="18" t="n">
        <x:f>MIN(Model_Config_v3!$B$6,I3177+Model_Config_v3!$B$7)</x:f>
        <x:v>654</x:v>
      </x:c>
      <x:c r="K3177" s="20" t="n">
        <x:v>47.6</x:v>
      </x:c>
      <x:c r="L3177" t="str">
        <x:v>MENENGAH</x:v>
      </x:c>
      <x:c r="M3177" t="str">
        <x:v>SEDANG+</x:v>
      </x:c>
      <x:c r="N3177" t="str">
        <x:v>REGULER</x:v>
      </x:c>
      <x:c r="O3177" t="str">
        <x:v>CAMPURAN</x:v>
      </x:c>
      <x:c r="P3177" t="str">
        <x:v>PENDIDIKAN</x:v>
      </x:c>
      <x:c r="Q3177" s="18" t="n">
        <x:v>0</x:v>
      </x:c>
      <x:c r="R3177" s="18" t="n">
        <x:v>0</x:v>
      </x:c>
      <x:c r="S3177" s="18" t="n">
        <x:v>584.8417950421936</x:v>
      </x:c>
      <x:c r="T3177" s="18" t="n">
        <x:v>655</x:v>
      </x:c>
      <x:c r="U3177" s="18" t="n">
        <x:v>584.8417950421936</x:v>
      </x:c>
      <x:c r="V3177" s="20" t="n">
        <x:v>8.8</x:v>
      </x:c>
      <x:c r="W3177" s="20" t="n">
        <x:v>9.9</x:v>
      </x:c>
      <x:c r="X3177" s="20" t="n">
        <x:v>3.3</x:v>
      </x:c>
      <x:c r="Y3177" t="str">
        <x:v>Basis arsip 2025/2024</x:v>
      </x:c>
      <x:c r="Z3177" t="str">
        <x:v>https://snpmb.id/utbk-snbt/daya-tampung-snbt</x:v>
      </x:c>
      <x:c r="AA3177" t="str">
        <x:v>Tidak Ada</x:v>
      </x:c>
      <x:c r="AB3177" t="str">
        <x:v>Campus=55; Ratio=34.7; Prodi=45; RelDemand=36.3; Capacity=70.8</x:v>
      </x:c>
    </x:row>
    <x:row r="3178">
      <x:c r="A3178" t="n">
        <x:v>3175</x:v>
      </x:c>
      <x:c r="B3178" t="str">
        <x:v>PTN Akademik</x:v>
      </x:c>
      <x:c r="C3178" t="str">
        <x:v>UNIVERSITAS NEGERI MAKASSAR</x:v>
      </x:c>
      <x:c r="D3178" t="str">
        <x:v>PENDIDIKAN IPA KLS INTERNASIONAL (BILINGUAL)</x:v>
      </x:c>
      <x:c r="E3178" t="str">
        <x:v>Sarjana</x:v>
      </x:c>
      <x:c r="F3178" s="18" t="n">
        <x:v>15</x:v>
      </x:c>
      <x:c r="G3178" s="18" t="n">
        <x:v>21</x:v>
      </x:c>
      <x:c r="H3178" s="19" t="n">
        <x:v>1.4</x:v>
      </x:c>
      <x:c r="I3178" s="18" t="n">
        <x:f>ROUND(MIN(Model_Config_v3!$B$6,MAX(Q3178,R3178,S3178*Model_Config_v3!$B$4+T3178*Model_Config_v3!$B$5)),0)</x:f>
        <x:v>610</x:v>
      </x:c>
      <x:c r="J3178" s="18" t="n">
        <x:f>MIN(Model_Config_v3!$B$6,I3178+Model_Config_v3!$B$7)</x:f>
        <x:v>630</x:v>
      </x:c>
      <x:c r="K3178" s="20" t="n">
        <x:v>40.5</x:v>
      </x:c>
      <x:c r="L3178" t="str">
        <x:v>RELATIF LONGGAR</x:v>
      </x:c>
      <x:c r="M3178" t="str">
        <x:v>SEDANG+</x:v>
      </x:c>
      <x:c r="N3178" t="str">
        <x:v>REGULER</x:v>
      </x:c>
      <x:c r="O3178" t="str">
        <x:v>CAMPURAN</x:v>
      </x:c>
      <x:c r="P3178" t="str">
        <x:v>PENDIDIKAN</x:v>
      </x:c>
      <x:c r="Q3178" s="18" t="n">
        <x:v>0</x:v>
      </x:c>
      <x:c r="R3178" s="18" t="n">
        <x:v>0</x:v>
      </x:c>
      <x:c r="S3178" s="18" t="n">
        <x:v>536.0740839246062</x:v>
      </x:c>
      <x:c r="T3178" s="18" t="n">
        <x:v>641</x:v>
      </x:c>
      <x:c r="U3178" s="18" t="n">
        <x:v>536.0740839246062</x:v>
      </x:c>
      <x:c r="V3178" s="20" t="n">
        <x:v>8.8</x:v>
      </x:c>
      <x:c r="W3178" s="20" t="n">
        <x:v>9.9</x:v>
      </x:c>
      <x:c r="X3178" s="20" t="n">
        <x:v>3.3</x:v>
      </x:c>
      <x:c r="Y3178" t="str">
        <x:v>Basis arsip 2025/2024</x:v>
      </x:c>
      <x:c r="Z3178" t="str">
        <x:v>https://snpmb.id/utbk-snbt/daya-tampung-snbt</x:v>
      </x:c>
      <x:c r="AA3178" t="str">
        <x:v>Tidak Ada</x:v>
      </x:c>
      <x:c r="AB3178" t="str">
        <x:v>Campus=55; Ratio=8.6; Prodi=45; RelDemand=13.1; Capacity=87.5</x:v>
      </x:c>
    </x:row>
    <x:row r="3179">
      <x:c r="A3179" t="n">
        <x:v>3176</x:v>
      </x:c>
      <x:c r="B3179" t="str">
        <x:v>PTN Akademik</x:v>
      </x:c>
      <x:c r="C3179" t="str">
        <x:v>UNIVERSITAS NEGERI MAKASSAR</x:v>
      </x:c>
      <x:c r="D3179" t="str">
        <x:v>STATISTIKA</x:v>
      </x:c>
      <x:c r="E3179" t="str">
        <x:v>Sarjana</x:v>
      </x:c>
      <x:c r="F3179" s="18" t="n">
        <x:v>60</x:v>
      </x:c>
      <x:c r="G3179" s="18" t="n">
        <x:v>209</x:v>
      </x:c>
      <x:c r="H3179" s="19" t="n">
        <x:v>3.4833333333333334</x:v>
      </x:c>
      <x:c r="I3179" s="18" t="n">
        <x:f>ROUND(MIN(Model_Config_v3!$B$6,MAX(Q3179,R3179,S3179*Model_Config_v3!$B$4+T3179*Model_Config_v3!$B$5)),0)</x:f>
        <x:v>632</x:v>
      </x:c>
      <x:c r="J3179" s="18" t="n">
        <x:f>MIN(Model_Config_v3!$B$6,I3179+Model_Config_v3!$B$7)</x:f>
        <x:v>652</x:v>
      </x:c>
      <x:c r="K3179" s="20" t="n">
        <x:v>47.5</x:v>
      </x:c>
      <x:c r="L3179" t="str">
        <x:v>MENENGAH</x:v>
      </x:c>
      <x:c r="M3179" t="str">
        <x:v>SEDANG+</x:v>
      </x:c>
      <x:c r="N3179" t="str">
        <x:v>REGULER</x:v>
      </x:c>
      <x:c r="O3179" t="str">
        <x:v>SAINTEK</x:v>
      </x:c>
      <x:c r="P3179" t="str">
        <x:v>TEKNIK/ARSITEKTUR/STATISTIKA/AKTUARIA</x:v>
      </x:c>
      <x:c r="Q3179" s="18" t="n">
        <x:v>0</x:v>
      </x:c>
      <x:c r="R3179" s="18" t="n">
        <x:v>0</x:v>
      </x:c>
      <x:c r="S3179" s="18" t="n">
        <x:v>579.6194539300151</x:v>
      </x:c>
      <x:c r="T3179" s="18" t="n">
        <x:v>655</x:v>
      </x:c>
      <x:c r="U3179" s="18" t="n">
        <x:v>589.6194539300151</x:v>
      </x:c>
      <x:c r="V3179" s="20" t="n">
        <x:v>12</x:v>
      </x:c>
      <x:c r="W3179" s="20" t="n">
        <x:v>5</x:v>
      </x:c>
      <x:c r="X3179" s="20" t="n">
        <x:v>3</x:v>
      </x:c>
      <x:c r="Y3179" t="str">
        <x:v>Basis arsip 2025/2024</x:v>
      </x:c>
      <x:c r="Z3179" t="str">
        <x:v>https://snpmb.id/utbk-snbt/daya-tampung-snbt</x:v>
      </x:c>
      <x:c r="AA3179" t="str">
        <x:v>Tidak Ada</x:v>
      </x:c>
      <x:c r="AB3179" t="str">
        <x:v>Campus=55; Ratio=31.9; Prodi=60; RelDemand=32.5; Capacity=50.0</x:v>
      </x:c>
    </x:row>
    <x:row r="3180">
      <x:c r="A3180" t="n">
        <x:v>3177</x:v>
      </x:c>
      <x:c r="B3180" t="str">
        <x:v>PTN Akademik</x:v>
      </x:c>
      <x:c r="C3180" t="str">
        <x:v>UNIVERSITAS NEGERI MAKASSAR</x:v>
      </x:c>
      <x:c r="D3180" t="str">
        <x:v>PENDIDIKAN VOKASIONAL MEKATRONIKA</x:v>
      </x:c>
      <x:c r="E3180" t="str">
        <x:v>Sarjana</x:v>
      </x:c>
      <x:c r="F3180" s="18" t="n">
        <x:v>28</x:v>
      </x:c>
      <x:c r="G3180" s="18" t="n">
        <x:v>19</x:v>
      </x:c>
      <x:c r="H3180" s="19" t="n">
        <x:v>0.6785714285714286</x:v>
      </x:c>
      <x:c r="I3180" s="18" t="n">
        <x:f>ROUND(MIN(Model_Config_v3!$B$6,MAX(Q3180,R3180,S3180*Model_Config_v3!$B$4+T3180*Model_Config_v3!$B$5)),0)</x:f>
        <x:v>599</x:v>
      </x:c>
      <x:c r="J3180" s="18" t="n">
        <x:f>MIN(Model_Config_v3!$B$6,I3180+Model_Config_v3!$B$7)</x:f>
        <x:v>619</x:v>
      </x:c>
      <x:c r="K3180" s="20" t="n">
        <x:v>36.6</x:v>
      </x:c>
      <x:c r="L3180" t="str">
        <x:v>RELATIF LONGGAR</x:v>
      </x:c>
      <x:c r="M3180" t="str">
        <x:v>SEDANG+</x:v>
      </x:c>
      <x:c r="N3180" t="str">
        <x:v>REGULER</x:v>
      </x:c>
      <x:c r="O3180" t="str">
        <x:v>CAMPURAN</x:v>
      </x:c>
      <x:c r="P3180" t="str">
        <x:v>PENDIDIKAN</x:v>
      </x:c>
      <x:c r="Q3180" s="18" t="n">
        <x:v>0</x:v>
      </x:c>
      <x:c r="R3180" s="18" t="n">
        <x:v>0</x:v>
      </x:c>
      <x:c r="S3180" s="18" t="n">
        <x:v>520</x:v>
      </x:c>
      <x:c r="T3180" s="18" t="n">
        <x:v>633</x:v>
      </x:c>
      <x:c r="U3180" s="18" t="n">
        <x:v>520</x:v>
      </x:c>
      <x:c r="V3180" s="20" t="n">
        <x:v>8.8</x:v>
      </x:c>
      <x:c r="W3180" s="20" t="n">
        <x:v>9.9</x:v>
      </x:c>
      <x:c r="X3180" s="20" t="n">
        <x:v>3.3</x:v>
      </x:c>
      <x:c r="Y3180" t="str">
        <x:v>Basis arsip 2025/2024</x:v>
      </x:c>
      <x:c r="Z3180" t="str">
        <x:v>https://snpmb.id/utbk-snbt/daya-tampung-snbt</x:v>
      </x:c>
      <x:c r="AA3180" t="str">
        <x:v>Tidak Ada</x:v>
      </x:c>
      <x:c r="AB3180" t="str">
        <x:v>Campus=55; Ratio=0.0; Prodi=45; RelDemand=6.3; Capacity=76.7</x:v>
      </x:c>
    </x:row>
    <x:row r="3181">
      <x:c r="A3181" t="n">
        <x:v>3178</x:v>
      </x:c>
      <x:c r="B3181" t="str">
        <x:v>PTN Akademik</x:v>
      </x:c>
      <x:c r="C3181" t="str">
        <x:v>UNIVERSITAS NEGERI MAKASSAR</x:v>
      </x:c>
      <x:c r="D3181" t="str">
        <x:v>TEKNIK KOMPUTER</x:v>
      </x:c>
      <x:c r="E3181" t="str">
        <x:v>Sarjana</x:v>
      </x:c>
      <x:c r="F3181" s="18" t="n">
        <x:v>60</x:v>
      </x:c>
      <x:c r="G3181" s="18" t="n">
        <x:v>989</x:v>
      </x:c>
      <x:c r="H3181" s="19" t="n">
        <x:v>16.483333333333334</x:v>
      </x:c>
      <x:c r="I3181" s="18" t="n">
        <x:f>ROUND(MIN(Model_Config_v3!$B$6,MAX(Q3181,R3181,S3181*Model_Config_v3!$B$4+T3181*Model_Config_v3!$B$5)),0)</x:f>
        <x:v>685</x:v>
      </x:c>
      <x:c r="J3181" s="18" t="n">
        <x:f>MIN(Model_Config_v3!$B$6,I3181+Model_Config_v3!$B$7)</x:f>
        <x:v>705</x:v>
      </x:c>
      <x:c r="K3181" s="20" t="n">
        <x:v>69.2</x:v>
      </x:c>
      <x:c r="L3181" t="str">
        <x:v>SANGAT KETAT</x:v>
      </x:c>
      <x:c r="M3181" t="str">
        <x:v>SEDANG+</x:v>
      </x:c>
      <x:c r="N3181" t="str">
        <x:v>REGULER</x:v>
      </x:c>
      <x:c r="O3181" t="str">
        <x:v>SAINTEK</x:v>
      </x:c>
      <x:c r="P3181" t="str">
        <x:v>KOMPUTER/INFORMATIKA</x:v>
      </x:c>
      <x:c r="Q3181" s="18" t="n">
        <x:v>0</x:v>
      </x:c>
      <x:c r="R3181" s="18" t="n">
        <x:v>0</x:v>
      </x:c>
      <x:c r="S3181" s="18" t="n">
        <x:v>653.8749545334889</x:v>
      </x:c>
      <x:c r="T3181" s="18" t="n">
        <x:v>698</x:v>
      </x:c>
      <x:c r="U3181" s="18" t="n">
        <x:v>678.8749545334889</x:v>
      </x:c>
      <x:c r="V3181" s="20" t="n">
        <x:v>12</x:v>
      </x:c>
      <x:c r="W3181" s="20" t="n">
        <x:v>5</x:v>
      </x:c>
      <x:c r="X3181" s="20" t="n">
        <x:v>3</x:v>
      </x:c>
      <x:c r="Y3181" t="str">
        <x:v>Basis arsip 2025/2024</x:v>
      </x:c>
      <x:c r="Z3181" t="str">
        <x:v>https://snpmb.id/utbk-snbt/daya-tampung-snbt</x:v>
      </x:c>
      <x:c r="AA3181" t="str">
        <x:v>Tidak Ada</x:v>
      </x:c>
      <x:c r="AB3181" t="str">
        <x:v>Campus=55; Ratio=71.6; Prodi=85; RelDemand=100.0; Capacity=50.0</x:v>
      </x:c>
    </x:row>
    <x:row r="3182">
      <x:c r="A3182" t="n">
        <x:v>3179</x:v>
      </x:c>
      <x:c r="B3182" t="str">
        <x:v>PTN Akademik</x:v>
      </x:c>
      <x:c r="C3182" t="str">
        <x:v>UNIVERSITAS NEGERI MAKASSAR</x:v>
      </x:c>
      <x:c r="D3182" t="str">
        <x:v>ADMINISTRASI KESEHATAN</x:v>
      </x:c>
      <x:c r="E3182" t="str">
        <x:v>Sarjana</x:v>
      </x:c>
      <x:c r="F3182" s="18" t="n">
        <x:v>141</x:v>
      </x:c>
      <x:c r="G3182" s="18" t="n">
        <x:v>1226</x:v>
      </x:c>
      <x:c r="H3182" s="19" t="n">
        <x:v>8.695035460992909</x:v>
      </x:c>
      <x:c r="I3182" s="18" t="n">
        <x:f>ROUND(MIN(Model_Config_v3!$B$6,MAX(Q3182,R3182,S3182*Model_Config_v3!$B$4+T3182*Model_Config_v3!$B$5)),0)</x:f>
        <x:v>652</x:v>
      </x:c>
      <x:c r="J3182" s="18" t="n">
        <x:f>MIN(Model_Config_v3!$B$6,I3182+Model_Config_v3!$B$7)</x:f>
        <x:v>672</x:v>
      </x:c>
      <x:c r="K3182" s="20" t="n">
        <x:v>52.2</x:v>
      </x:c>
      <x:c r="L3182" t="str">
        <x:v>MENENGAH</x:v>
      </x:c>
      <x:c r="M3182" t="str">
        <x:v>SEDANG+</x:v>
      </x:c>
      <x:c r="N3182" t="str">
        <x:v>REGULER</x:v>
      </x:c>
      <x:c r="O3182" t="str">
        <x:v>SAINTEK</x:v>
      </x:c>
      <x:c r="P3182" t="str">
        <x:v>KESEHAT/GIZI/KEPERAWATAN</x:v>
      </x:c>
      <x:c r="Q3182" s="18" t="n">
        <x:v>0</x:v>
      </x:c>
      <x:c r="R3182" s="18" t="n">
        <x:v>0</x:v>
      </x:c>
      <x:c r="S3182" s="18" t="n">
        <x:v>623.3198493279718</x:v>
      </x:c>
      <x:c r="T3182" s="18" t="n">
        <x:v>664</x:v>
      </x:c>
      <x:c r="U3182" s="18" t="n">
        <x:v>623.3198493279718</x:v>
      </x:c>
      <x:c r="V3182" s="20" t="n">
        <x:v>12</x:v>
      </x:c>
      <x:c r="W3182" s="20" t="n">
        <x:v>5</x:v>
      </x:c>
      <x:c r="X3182" s="20" t="n">
        <x:v>3</x:v>
      </x:c>
      <x:c r="Y3182" t="str">
        <x:v>Basis arsip 2025/2024</x:v>
      </x:c>
      <x:c r="Z3182" t="str">
        <x:v>https://snpmb.id/utbk-snbt/daya-tampung-snbt</x:v>
      </x:c>
      <x:c r="AA3182" t="str">
        <x:v>Tidak Ada</x:v>
      </x:c>
      <x:c r="AB3182" t="str">
        <x:v>Campus=55; Ratio=55.3; Prodi=55; RelDemand=81.2; Capacity=0.0</x:v>
      </x:c>
    </x:row>
    <x:row r="3183">
      <x:c r="A3183" t="n">
        <x:v>3180</x:v>
      </x:c>
      <x:c r="B3183" t="str">
        <x:v>PTN Akademik</x:v>
      </x:c>
      <x:c r="C3183" t="str">
        <x:v>UNIVERSITAS NEGERI MAKASSAR</x:v>
      </x:c>
      <x:c r="D3183" t="str">
        <x:v>GIZI</x:v>
      </x:c>
      <x:c r="E3183" t="str">
        <x:v>Sarjana</x:v>
      </x:c>
      <x:c r="F3183" s="18" t="n">
        <x:v>141</x:v>
      </x:c>
      <x:c r="G3183" s="18" t="n">
        <x:v>920</x:v>
      </x:c>
      <x:c r="H3183" s="19" t="n">
        <x:v>6.524822695035461</x:v>
      </x:c>
      <x:c r="I3183" s="18" t="n">
        <x:f>ROUND(MIN(Model_Config_v3!$B$6,MAX(Q3183,R3183,S3183*Model_Config_v3!$B$4+T3183*Model_Config_v3!$B$5)),0)</x:f>
        <x:v>643</x:v>
      </x:c>
      <x:c r="J3183" s="18" t="n">
        <x:f>MIN(Model_Config_v3!$B$6,I3183+Model_Config_v3!$B$7)</x:f>
        <x:v>663</x:v>
      </x:c>
      <x:c r="K3183" s="20" t="n">
        <x:v>48.3</x:v>
      </x:c>
      <x:c r="L3183" t="str">
        <x:v>MENENGAH</x:v>
      </x:c>
      <x:c r="M3183" t="str">
        <x:v>SEDANG+</x:v>
      </x:c>
      <x:c r="N3183" t="str">
        <x:v>REGULER</x:v>
      </x:c>
      <x:c r="O3183" t="str">
        <x:v>SAINTEK</x:v>
      </x:c>
      <x:c r="P3183" t="str">
        <x:v>KESEHAT/GIZI/KEPERAWATAN</x:v>
      </x:c>
      <x:c r="Q3183" s="18" t="n">
        <x:v>0</x:v>
      </x:c>
      <x:c r="R3183" s="18" t="n">
        <x:v>0</x:v>
      </x:c>
      <x:c r="S3183" s="18" t="n">
        <x:v>609.6025586159193</x:v>
      </x:c>
      <x:c r="T3183" s="18" t="n">
        <x:v>657</x:v>
      </x:c>
      <x:c r="U3183" s="18" t="n">
        <x:v>609.6025586159193</x:v>
      </x:c>
      <x:c r="V3183" s="20" t="n">
        <x:v>12</x:v>
      </x:c>
      <x:c r="W3183" s="20" t="n">
        <x:v>5</x:v>
      </x:c>
      <x:c r="X3183" s="20" t="n">
        <x:v>3</x:v>
      </x:c>
      <x:c r="Y3183" t="str">
        <x:v>Basis arsip 2025/2024</x:v>
      </x:c>
      <x:c r="Z3183" t="str">
        <x:v>https://snpmb.id/utbk-snbt/daya-tampung-snbt</x:v>
      </x:c>
      <x:c r="AA3183" t="str">
        <x:v>Tidak Ada</x:v>
      </x:c>
      <x:c r="AB3183" t="str">
        <x:v>Campus=55; Ratio=47.9; Prodi=55; RelDemand=60.9; Capacity=0.0</x:v>
      </x:c>
    </x:row>
    <x:row r="3184">
      <x:c r="A3184" t="n">
        <x:v>3181</x:v>
      </x:c>
      <x:c r="B3184" t="str">
        <x:v>PTN Akademik</x:v>
      </x:c>
      <x:c r="C3184" t="str">
        <x:v>UNIVERSITAS NEGERI MAKASSAR</x:v>
      </x:c>
      <x:c r="D3184" t="str">
        <x:v>ARSITEKTUR</x:v>
      </x:c>
      <x:c r="E3184" t="str">
        <x:v>Sarjana</x:v>
      </x:c>
      <x:c r="F3184" s="18" t="n">
        <x:v>43</x:v>
      </x:c>
      <x:c r="G3184" s="18" t="n">
        <x:v>326</x:v>
      </x:c>
      <x:c r="H3184" s="19" t="n">
        <x:v>7.5813953488372094</x:v>
      </x:c>
      <x:c r="I3184" s="18" t="n">
        <x:f>ROUND(MIN(Model_Config_v3!$B$6,MAX(Q3184,R3184,S3184*Model_Config_v3!$B$4+T3184*Model_Config_v3!$B$5)),0)</x:f>
        <x:v>658</x:v>
      </x:c>
      <x:c r="J3184" s="18" t="n">
        <x:f>MIN(Model_Config_v3!$B$6,I3184+Model_Config_v3!$B$7)</x:f>
        <x:v>678</x:v>
      </x:c>
      <x:c r="K3184" s="20" t="n">
        <x:v>57.7</x:v>
      </x:c>
      <x:c r="L3184" t="str">
        <x:v>KETAT</x:v>
      </x:c>
      <x:c r="M3184" t="str">
        <x:v>SEDANG+</x:v>
      </x:c>
      <x:c r="N3184" t="str">
        <x:v>REGULER</x:v>
      </x:c>
      <x:c r="O3184" t="str">
        <x:v>SAINTEK</x:v>
      </x:c>
      <x:c r="P3184" t="str">
        <x:v>TEKNIK/ARSITEKTUR/STATISTIKA/AKTUARIA</x:v>
      </x:c>
      <x:c r="Q3184" s="18" t="n">
        <x:v>0</x:v>
      </x:c>
      <x:c r="R3184" s="18" t="n">
        <x:v>0</x:v>
      </x:c>
      <x:c r="S3184" s="18" t="n">
        <x:v>616.7724058937188</x:v>
      </x:c>
      <x:c r="T3184" s="18" t="n">
        <x:v>675</x:v>
      </x:c>
      <x:c r="U3184" s="18" t="n">
        <x:v>616.7724058937188</x:v>
      </x:c>
      <x:c r="V3184" s="20" t="n">
        <x:v>12</x:v>
      </x:c>
      <x:c r="W3184" s="20" t="n">
        <x:v>5</x:v>
      </x:c>
      <x:c r="X3184" s="20" t="n">
        <x:v>3</x:v>
      </x:c>
      <x:c r="Y3184" t="str">
        <x:v>Basis arsip 2025/2024</x:v>
      </x:c>
      <x:c r="Z3184" t="str">
        <x:v>https://snpmb.id/utbk-snbt/daya-tampung-snbt</x:v>
      </x:c>
      <x:c r="AA3184" t="str">
        <x:v>Tidak Ada</x:v>
      </x:c>
      <x:c r="AB3184" t="str">
        <x:v>Campus=55; Ratio=51.8; Prodi=60; RelDemand=70.8; Capacity=64.2</x:v>
      </x:c>
    </x:row>
    <x:row r="3185">
      <x:c r="A3185" t="n">
        <x:v>3182</x:v>
      </x:c>
      <x:c r="B3185" t="str">
        <x:v>PTN Akademik</x:v>
      </x:c>
      <x:c r="C3185" t="str">
        <x:v>UNIVERSITAS NEGERI MAKASSAR</x:v>
      </x:c>
      <x:c r="D3185" t="str">
        <x:v>FISIOTERAPI</x:v>
      </x:c>
      <x:c r="E3185" t="str">
        <x:v>Sarjana</x:v>
      </x:c>
      <x:c r="F3185" s="18" t="n">
        <x:v>77</x:v>
      </x:c>
      <x:c r="G3185" s="18" t="n">
        <x:v>308</x:v>
      </x:c>
      <x:c r="H3185" s="19" t="n">
        <x:v>4</x:v>
      </x:c>
      <x:c r="I3185" s="18" t="n">
        <x:f>ROUND(MIN(Model_Config_v3!$B$6,MAX(Q3185,R3185,S3185*Model_Config_v3!$B$4+T3185*Model_Config_v3!$B$5)),0)</x:f>
        <x:v>633</x:v>
      </x:c>
      <x:c r="J3185" s="18" t="n">
        <x:f>MIN(Model_Config_v3!$B$6,I3185+Model_Config_v3!$B$7)</x:f>
        <x:v>653</x:v>
      </x:c>
      <x:c r="K3185" s="20" t="n">
        <x:v>46.4</x:v>
      </x:c>
      <x:c r="L3185" t="str">
        <x:v>MENENGAH</x:v>
      </x:c>
      <x:c r="M3185" t="str">
        <x:v>SEDANG+</x:v>
      </x:c>
      <x:c r="N3185" t="str">
        <x:v>REGULER</x:v>
      </x:c>
      <x:c r="O3185" t="str">
        <x:v>CAMPURAN</x:v>
      </x:c>
      <x:c r="P3185" t="str">
        <x:v>KESEHAT/GIZI/KEPERAWATAN</x:v>
      </x:c>
      <x:c r="Q3185" s="18" t="n">
        <x:v>0</x:v>
      </x:c>
      <x:c r="R3185" s="18" t="n">
        <x:v>0</x:v>
      </x:c>
      <x:c r="S3185" s="18" t="n">
        <x:v>586.2265990460759</x:v>
      </x:c>
      <x:c r="T3185" s="18" t="n">
        <x:v>653</x:v>
      </x:c>
      <x:c r="U3185" s="18" t="n">
        <x:v>586.2265990460759</x:v>
      </x:c>
      <x:c r="V3185" s="20" t="n">
        <x:v>8.8</x:v>
      </x:c>
      <x:c r="W3185" s="20" t="n">
        <x:v>9.9</x:v>
      </x:c>
      <x:c r="X3185" s="20" t="n">
        <x:v>3.3</x:v>
      </x:c>
      <x:c r="Y3185" t="str">
        <x:v>Basis arsip 2025/2024</x:v>
      </x:c>
      <x:c r="Z3185" t="str">
        <x:v>https://snpmb.id/utbk-snbt/daya-tampung-snbt</x:v>
      </x:c>
      <x:c r="AA3185" t="str">
        <x:v>Tidak Ada</x:v>
      </x:c>
      <x:c r="AB3185" t="str">
        <x:v>Campus=55; Ratio=35.4; Prodi=55; RelDemand=37.3; Capacity=35.8</x:v>
      </x:c>
    </x:row>
    <x:row r="3186">
      <x:c r="A3186" t="n">
        <x:v>3183</x:v>
      </x:c>
      <x:c r="B3186" t="str">
        <x:v>PTN Akademik</x:v>
      </x:c>
      <x:c r="C3186" t="str">
        <x:v>UNIVERSITAS NEGERI MAKASSAR</x:v>
      </x:c>
      <x:c r="D3186" t="str">
        <x:v>PENDIDIKAN GEOGRAFI</x:v>
      </x:c>
      <x:c r="E3186" t="str">
        <x:v>Sarjana</x:v>
      </x:c>
      <x:c r="F3186" s="18" t="n">
        <x:v>46</x:v>
      </x:c>
      <x:c r="G3186" s="18" t="n">
        <x:v>132</x:v>
      </x:c>
      <x:c r="H3186" s="19" t="n">
        <x:v>2.869565217391304</x:v>
      </x:c>
      <x:c r="I3186" s="18" t="n">
        <x:f>ROUND(MIN(Model_Config_v3!$B$6,MAX(Q3186,R3186,S3186*Model_Config_v3!$B$4+T3186*Model_Config_v3!$B$5)),0)</x:f>
        <x:v>625</x:v>
      </x:c>
      <x:c r="J3186" s="18" t="n">
        <x:f>MIN(Model_Config_v3!$B$6,I3186+Model_Config_v3!$B$7)</x:f>
        <x:v>645</x:v>
      </x:c>
      <x:c r="K3186" s="20" t="n">
        <x:v>43.8</x:v>
      </x:c>
      <x:c r="L3186" t="str">
        <x:v>RELATIF LONGGAR</x:v>
      </x:c>
      <x:c r="M3186" t="str">
        <x:v>SEDANG+</x:v>
      </x:c>
      <x:c r="N3186" t="str">
        <x:v>REGULER</x:v>
      </x:c>
      <x:c r="O3186" t="str">
        <x:v>CAMPURAN</x:v>
      </x:c>
      <x:c r="P3186" t="str">
        <x:v>PENDIDIKAN</x:v>
      </x:c>
      <x:c r="Q3186" s="18" t="n">
        <x:v>0</x:v>
      </x:c>
      <x:c r="R3186" s="18" t="n">
        <x:v>0</x:v>
      </x:c>
      <x:c r="S3186" s="18" t="n">
        <x:v>570.3597709476703</x:v>
      </x:c>
      <x:c r="T3186" s="18" t="n">
        <x:v>648</x:v>
      </x:c>
      <x:c r="U3186" s="18" t="n">
        <x:v>570.3597709476703</x:v>
      </x:c>
      <x:c r="V3186" s="20" t="n">
        <x:v>8.8</x:v>
      </x:c>
      <x:c r="W3186" s="20" t="n">
        <x:v>9.9</x:v>
      </x:c>
      <x:c r="X3186" s="20" t="n">
        <x:v>3.3</x:v>
      </x:c>
      <x:c r="Y3186" t="str">
        <x:v>Basis arsip 2025/2024</x:v>
      </x:c>
      <x:c r="Z3186" t="str">
        <x:v>https://snpmb.id/utbk-snbt/daya-tampung-snbt</x:v>
      </x:c>
      <x:c r="AA3186" t="str">
        <x:v>Tidak Ada</x:v>
      </x:c>
      <x:c r="AB3186" t="str">
        <x:v>Campus=55; Ratio=26.9; Prodi=45; RelDemand=26.8; Capacity=61.7</x:v>
      </x:c>
    </x:row>
    <x:row r="3187">
      <x:c r="A3187" t="n">
        <x:v>3184</x:v>
      </x:c>
      <x:c r="B3187" t="str">
        <x:v>PTN Akademik</x:v>
      </x:c>
      <x:c r="C3187" t="str">
        <x:v>UNIVERSITAS NEGERI MAKASSAR</x:v>
      </x:c>
      <x:c r="D3187" t="str">
        <x:v>PENDIDIKAN KESEJAHTERAAN KELUARGA</x:v>
      </x:c>
      <x:c r="E3187" t="str">
        <x:v>Sarjana</x:v>
      </x:c>
      <x:c r="F3187" s="18" t="n">
        <x:v>59</x:v>
      </x:c>
      <x:c r="G3187" s="18" t="n">
        <x:v>150</x:v>
      </x:c>
      <x:c r="H3187" s="19" t="n">
        <x:v>2.542372881355932</x:v>
      </x:c>
      <x:c r="I3187" s="18" t="n">
        <x:f>ROUND(MIN(Model_Config_v3!$B$6,MAX(Q3187,R3187,S3187*Model_Config_v3!$B$4+T3187*Model_Config_v3!$B$5)),0)</x:f>
        <x:v>619</x:v>
      </x:c>
      <x:c r="J3187" s="18" t="n">
        <x:f>MIN(Model_Config_v3!$B$6,I3187+Model_Config_v3!$B$7)</x:f>
        <x:v>639</x:v>
      </x:c>
      <x:c r="K3187" s="20" t="n">
        <x:v>41.7</x:v>
      </x:c>
      <x:c r="L3187" t="str">
        <x:v>RELATIF LONGGAR</x:v>
      </x:c>
      <x:c r="M3187" t="str">
        <x:v>SEDANG+</x:v>
      </x:c>
      <x:c r="N3187" t="str">
        <x:v>REGULER</x:v>
      </x:c>
      <x:c r="O3187" t="str">
        <x:v>CAMPURAN</x:v>
      </x:c>
      <x:c r="P3187" t="str">
        <x:v>PENDIDIKAN</x:v>
      </x:c>
      <x:c r="Q3187" s="18" t="n">
        <x:v>0</x:v>
      </x:c>
      <x:c r="R3187" s="18" t="n">
        <x:v>0</x:v>
      </x:c>
      <x:c r="S3187" s="18" t="n">
        <x:v>564.5763172154891</x:v>
      </x:c>
      <x:c r="T3187" s="18" t="n">
        <x:v>643</x:v>
      </x:c>
      <x:c r="U3187" s="18" t="n">
        <x:v>564.5763172154891</x:v>
      </x:c>
      <x:c r="V3187" s="20" t="n">
        <x:v>8.8</x:v>
      </x:c>
      <x:c r="W3187" s="20" t="n">
        <x:v>9.9</x:v>
      </x:c>
      <x:c r="X3187" s="20" t="n">
        <x:v>3.3</x:v>
      </x:c>
      <x:c r="Y3187" t="str">
        <x:v>Basis arsip 2025/2024</x:v>
      </x:c>
      <x:c r="Z3187" t="str">
        <x:v>https://snpmb.id/utbk-snbt/daya-tampung-snbt</x:v>
      </x:c>
      <x:c r="AA3187" t="str">
        <x:v>Tidak Ada</x:v>
      </x:c>
      <x:c r="AB3187" t="str">
        <x:v>Campus=55; Ratio=23.9; Prodi=45; RelDemand=23.7; Capacity=50.8</x:v>
      </x:c>
    </x:row>
    <x:row r="3188">
      <x:c r="A3188" t="n">
        <x:v>3185</x:v>
      </x:c>
      <x:c r="B3188" t="str">
        <x:v>PTN Akademik</x:v>
      </x:c>
      <x:c r="C3188" t="str">
        <x:v>UNIVERSITAS NEGERI MAKASSAR</x:v>
      </x:c>
      <x:c r="D3188" t="str">
        <x:v>PENDIDIKAN JASMANI, KESEHATAN &amp; REKREASI</x:v>
      </x:c>
      <x:c r="E3188" t="str">
        <x:v>Sarjana</x:v>
      </x:c>
      <x:c r="F3188" s="18" t="n">
        <x:v>251</x:v>
      </x:c>
      <x:c r="G3188" s="18" t="n">
        <x:v>691</x:v>
      </x:c>
      <x:c r="H3188" s="19" t="n">
        <x:v>2.752988047808765</x:v>
      </x:c>
      <x:c r="I3188" s="18" t="n">
        <x:f>ROUND(MIN(Model_Config_v3!$B$6,MAX(Q3188,R3188,S3188*Model_Config_v3!$B$4+T3188*Model_Config_v3!$B$5)),0)</x:f>
        <x:v>615</x:v>
      </x:c>
      <x:c r="J3188" s="18" t="n">
        <x:f>MIN(Model_Config_v3!$B$6,I3188+Model_Config_v3!$B$7)</x:f>
        <x:v>635</x:v>
      </x:c>
      <x:c r="K3188" s="20" t="n">
        <x:v>37.3</x:v>
      </x:c>
      <x:c r="L3188" t="str">
        <x:v>RELATIF LONGGAR</x:v>
      </x:c>
      <x:c r="M3188" t="str">
        <x:v>PORTOFOLIO</x:v>
      </x:c>
      <x:c r="N3188" t="str">
        <x:v>REGULER</x:v>
      </x:c>
      <x:c r="O3188" t="str">
        <x:v>SENI/OLAHRAGA</x:v>
      </x:c>
      <x:c r="P3188" t="str">
        <x:v>SENI/OLAHRAGA</x:v>
      </x:c>
      <x:c r="Q3188" s="18" t="n">
        <x:v>0</x:v>
      </x:c>
      <x:c r="R3188" s="18" t="n">
        <x:v>0</x:v>
      </x:c>
      <x:c r="S3188" s="18" t="n">
        <x:v>568.3784758482476</x:v>
      </x:c>
      <x:c r="T3188" s="18" t="n">
        <x:v>635</x:v>
      </x:c>
      <x:c r="U3188" s="18" t="n">
        <x:v>568.3784758482476</x:v>
      </x:c>
      <x:c r="V3188" s="20" t="n">
        <x:v>4.4</x:v>
      </x:c>
      <x:c r="W3188" s="20" t="n">
        <x:v>9.9</x:v>
      </x:c>
      <x:c r="X3188" s="20" t="n">
        <x:v>7.7</x:v>
      </x:c>
      <x:c r="Y3188" t="str">
        <x:v>Basis arsip 2025/2024</x:v>
      </x:c>
      <x:c r="Z3188" t="str">
        <x:v>https://snpmb.id/utbk-snbt/daya-tampung-snbt</x:v>
      </x:c>
      <x:c r="AA3188" t="str">
        <x:v>Olahraga</x:v>
      </x:c>
      <x:c r="AB3188" t="str">
        <x:v>Campus=55; Ratio=25.9; Prodi=45; RelDemand=25.7; Capacity=0.0</x:v>
      </x:c>
    </x:row>
    <x:row r="3189">
      <x:c r="A3189" t="n">
        <x:v>3186</x:v>
      </x:c>
      <x:c r="B3189" t="str">
        <x:v>PTN Akademik</x:v>
      </x:c>
      <x:c r="C3189" t="str">
        <x:v>UNIVERSITAS NEGERI MAKASSAR</x:v>
      </x:c>
      <x:c r="D3189" t="str">
        <x:v>PENDIDIKAN KEPELATIHAN OLAHRAGA</x:v>
      </x:c>
      <x:c r="E3189" t="str">
        <x:v>Sarjana</x:v>
      </x:c>
      <x:c r="F3189" s="18" t="n">
        <x:v>76</x:v>
      </x:c>
      <x:c r="G3189" s="18" t="n">
        <x:v>296</x:v>
      </x:c>
      <x:c r="H3189" s="19" t="n">
        <x:v>3.8947368421052633</x:v>
      </x:c>
      <x:c r="I3189" s="18" t="n">
        <x:f>ROUND(MIN(Model_Config_v3!$B$6,MAX(Q3189,R3189,S3189*Model_Config_v3!$B$4+T3189*Model_Config_v3!$B$5)),0)</x:f>
        <x:v>629</x:v>
      </x:c>
      <x:c r="J3189" s="18" t="n">
        <x:f>MIN(Model_Config_v3!$B$6,I3189+Model_Config_v3!$B$7)</x:f>
        <x:v>649</x:v>
      </x:c>
      <x:c r="K3189" s="20" t="n">
        <x:v>44.2</x:v>
      </x:c>
      <x:c r="L3189" t="str">
        <x:v>RELATIF LONGGAR</x:v>
      </x:c>
      <x:c r="M3189" t="str">
        <x:v>PORTOFOLIO</x:v>
      </x:c>
      <x:c r="N3189" t="str">
        <x:v>REGULER</x:v>
      </x:c>
      <x:c r="O3189" t="str">
        <x:v>SENI/OLAHRAGA</x:v>
      </x:c>
      <x:c r="P3189" t="str">
        <x:v>SENI/OLAHRAGA</x:v>
      </x:c>
      <x:c r="Q3189" s="18" t="n">
        <x:v>0</x:v>
      </x:c>
      <x:c r="R3189" s="18" t="n">
        <x:v>0</x:v>
      </x:c>
      <x:c r="S3189" s="18" t="n">
        <x:v>584.9525930655961</x:v>
      </x:c>
      <x:c r="T3189" s="18" t="n">
        <x:v>648</x:v>
      </x:c>
      <x:c r="U3189" s="18" t="n">
        <x:v>584.9525930655961</x:v>
      </x:c>
      <x:c r="V3189" s="20" t="n">
        <x:v>4.4</x:v>
      </x:c>
      <x:c r="W3189" s="20" t="n">
        <x:v>9.9</x:v>
      </x:c>
      <x:c r="X3189" s="20" t="n">
        <x:v>7.7</x:v>
      </x:c>
      <x:c r="Y3189" t="str">
        <x:v>Basis arsip 2025/2024</x:v>
      </x:c>
      <x:c r="Z3189" t="str">
        <x:v>https://snpmb.id/utbk-snbt/daya-tampung-snbt</x:v>
      </x:c>
      <x:c r="AA3189" t="str">
        <x:v>Olahraga</x:v>
      </x:c>
      <x:c r="AB3189" t="str">
        <x:v>Campus=55; Ratio=34.8; Prodi=45; RelDemand=36.4; Capacity=36.7</x:v>
      </x:c>
    </x:row>
    <x:row r="3190">
      <x:c r="A3190" t="n">
        <x:v>3187</x:v>
      </x:c>
      <x:c r="B3190" t="str">
        <x:v>PTN Akademik</x:v>
      </x:c>
      <x:c r="C3190" t="str">
        <x:v>UNIVERSITAS NEGERI MAKASSAR</x:v>
      </x:c>
      <x:c r="D3190" t="str">
        <x:v>ADMINISTRASI PENDIDIKAN</x:v>
      </x:c>
      <x:c r="E3190" t="str">
        <x:v>Sarjana</x:v>
      </x:c>
      <x:c r="F3190" s="18" t="n">
        <x:v>60</x:v>
      </x:c>
      <x:c r="G3190" s="18" t="n">
        <x:v>235</x:v>
      </x:c>
      <x:c r="H3190" s="19" t="n">
        <x:v>3.9166666666666665</x:v>
      </x:c>
      <x:c r="I3190" s="18" t="n">
        <x:f>ROUND(MIN(Model_Config_v3!$B$6,MAX(Q3190,R3190,S3190*Model_Config_v3!$B$4+T3190*Model_Config_v3!$B$5)),0)</x:f>
        <x:v>630</x:v>
      </x:c>
      <x:c r="J3190" s="18" t="n">
        <x:f>MIN(Model_Config_v3!$B$6,I3190+Model_Config_v3!$B$7)</x:f>
        <x:v>650</x:v>
      </x:c>
      <x:c r="K3190" s="20" t="n">
        <x:v>44.6</x:v>
      </x:c>
      <x:c r="L3190" t="str">
        <x:v>RELATIF LONGGAR</x:v>
      </x:c>
      <x:c r="M3190" t="str">
        <x:v>SEDANG</x:v>
      </x:c>
      <x:c r="N3190" t="str">
        <x:v>REGULER</x:v>
      </x:c>
      <x:c r="O3190" t="str">
        <x:v>SOSHUM</x:v>
      </x:c>
      <x:c r="P3190" t="str">
        <x:v>UMUM</x:v>
      </x:c>
      <x:c r="Q3190" s="18" t="n">
        <x:v>0</x:v>
      </x:c>
      <x:c r="R3190" s="18" t="n">
        <x:v>0</x:v>
      </x:c>
      <x:c r="S3190" s="18" t="n">
        <x:v>585.2208273076902</x:v>
      </x:c>
      <x:c r="T3190" s="18" t="n">
        <x:v>649</x:v>
      </x:c>
      <x:c r="U3190" s="18" t="n">
        <x:v>585.2208273076902</x:v>
      </x:c>
      <x:c r="V3190" s="20" t="n">
        <x:v>4.4</x:v>
      </x:c>
      <x:c r="W3190" s="20" t="n">
        <x:v>14.3</x:v>
      </x:c>
      <x:c r="X3190" s="20" t="n">
        <x:v>3.3</x:v>
      </x:c>
      <x:c r="Y3190" t="str">
        <x:v>Basis arsip 2025/2024</x:v>
      </x:c>
      <x:c r="Z3190" t="str">
        <x:v>https://snpmb.id/utbk-snbt/daya-tampung-snbt</x:v>
      </x:c>
      <x:c r="AA3190" t="str">
        <x:v>Tidak Ada</x:v>
      </x:c>
      <x:c r="AB3190" t="str">
        <x:v>Campus=55; Ratio=34.9; Prodi=40; RelDemand=36.6; Capacity=50.0</x:v>
      </x:c>
    </x:row>
    <x:row r="3191">
      <x:c r="A3191" t="n">
        <x:v>3188</x:v>
      </x:c>
      <x:c r="B3191" t="str">
        <x:v>PTN Akademik</x:v>
      </x:c>
      <x:c r="C3191" t="str">
        <x:v>UNIVERSITAS NEGERI MAKASSAR</x:v>
      </x:c>
      <x:c r="D3191" t="str">
        <x:v>TEKNOLOGI PENDIDIKAN</x:v>
      </x:c>
      <x:c r="E3191" t="str">
        <x:v>Sarjana</x:v>
      </x:c>
      <x:c r="F3191" s="18" t="n">
        <x:v>46</x:v>
      </x:c>
      <x:c r="G3191" s="18" t="n">
        <x:v>125</x:v>
      </x:c>
      <x:c r="H3191" s="19" t="n">
        <x:v>2.717391304347826</x:v>
      </x:c>
      <x:c r="I3191" s="18" t="n">
        <x:f>ROUND(MIN(Model_Config_v3!$B$6,MAX(Q3191,R3191,S3191*Model_Config_v3!$B$4+T3191*Model_Config_v3!$B$5)),0)</x:f>
        <x:v>622</x:v>
      </x:c>
      <x:c r="J3191" s="18" t="n">
        <x:f>MIN(Model_Config_v3!$B$6,I3191+Model_Config_v3!$B$7)</x:f>
        <x:v>642</x:v>
      </x:c>
      <x:c r="K3191" s="20" t="n">
        <x:v>42.3</x:v>
      </x:c>
      <x:c r="L3191" t="str">
        <x:v>RELATIF LONGGAR</x:v>
      </x:c>
      <x:c r="M3191" t="str">
        <x:v>SEDANG</x:v>
      </x:c>
      <x:c r="N3191" t="str">
        <x:v>REGULER</x:v>
      </x:c>
      <x:c r="O3191" t="str">
        <x:v>SAINTEK</x:v>
      </x:c>
      <x:c r="P3191" t="str">
        <x:v>UMUM</x:v>
      </x:c>
      <x:c r="Q3191" s="18" t="n">
        <x:v>0</x:v>
      </x:c>
      <x:c r="R3191" s="18" t="n">
        <x:v>0</x:v>
      </x:c>
      <x:c r="S3191" s="18" t="n">
        <x:v>567.7567399459131</x:v>
      </x:c>
      <x:c r="T3191" s="18" t="n">
        <x:v>645</x:v>
      </x:c>
      <x:c r="U3191" s="18" t="n">
        <x:v>567.7567399459131</x:v>
      </x:c>
      <x:c r="V3191" s="20" t="n">
        <x:v>12</x:v>
      </x:c>
      <x:c r="W3191" s="20" t="n">
        <x:v>5</x:v>
      </x:c>
      <x:c r="X3191" s="20" t="n">
        <x:v>3</x:v>
      </x:c>
      <x:c r="Y3191" t="str">
        <x:v>Basis arsip 2025/2024</x:v>
      </x:c>
      <x:c r="Z3191" t="str">
        <x:v>https://snpmb.id/utbk-snbt/daya-tampung-snbt</x:v>
      </x:c>
      <x:c r="AA3191" t="str">
        <x:v>Tidak Ada</x:v>
      </x:c>
      <x:c r="AB3191" t="str">
        <x:v>Campus=55; Ratio=25.6; Prodi=40; RelDemand=25.4; Capacity=61.7</x:v>
      </x:c>
    </x:row>
    <x:row r="3192">
      <x:c r="A3192" t="n">
        <x:v>3189</x:v>
      </x:c>
      <x:c r="B3192" t="str">
        <x:v>PTN Akademik</x:v>
      </x:c>
      <x:c r="C3192" t="str">
        <x:v>UNIVERSITAS NEGERI MAKASSAR</x:v>
      </x:c>
      <x:c r="D3192" t="str">
        <x:v>BIMBINGAN DAN KONSELING</x:v>
      </x:c>
      <x:c r="E3192" t="str">
        <x:v>Sarjana</x:v>
      </x:c>
      <x:c r="F3192" s="18" t="n">
        <x:v>60</x:v>
      </x:c>
      <x:c r="G3192" s="18" t="n">
        <x:v>1127</x:v>
      </x:c>
      <x:c r="H3192" s="19" t="n">
        <x:v>18.783333333333335</x:v>
      </x:c>
      <x:c r="I3192" s="18" t="n">
        <x:f>ROUND(MIN(Model_Config_v3!$B$6,MAX(Q3192,R3192,S3192*Model_Config_v3!$B$4+T3192*Model_Config_v3!$B$5)),0)</x:f>
        <x:v>675</x:v>
      </x:c>
      <x:c r="J3192" s="18" t="n">
        <x:f>MIN(Model_Config_v3!$B$6,I3192+Model_Config_v3!$B$7)</x:f>
        <x:v>695</x:v>
      </x:c>
      <x:c r="K3192" s="20" t="n">
        <x:v>61</x:v>
      </x:c>
      <x:c r="L3192" t="str">
        <x:v>KETAT</x:v>
      </x:c>
      <x:c r="M3192" t="str">
        <x:v>SEDANG</x:v>
      </x:c>
      <x:c r="N3192" t="str">
        <x:v>REGULER</x:v>
      </x:c>
      <x:c r="O3192" t="str">
        <x:v>CAMPURAN</x:v>
      </x:c>
      <x:c r="P3192" t="str">
        <x:v>UMUM</x:v>
      </x:c>
      <x:c r="Q3192" s="18" t="n">
        <x:v>0</x:v>
      </x:c>
      <x:c r="R3192" s="18" t="n">
        <x:v>0</x:v>
      </x:c>
      <x:c r="S3192" s="18" t="n">
        <x:v>660.1149932228709</x:v>
      </x:c>
      <x:c r="T3192" s="18" t="n">
        <x:v>682</x:v>
      </x:c>
      <x:c r="U3192" s="18" t="n">
        <x:v>660.1149932228709</x:v>
      </x:c>
      <x:c r="V3192" s="20" t="n">
        <x:v>8.8</x:v>
      </x:c>
      <x:c r="W3192" s="20" t="n">
        <x:v>9.9</x:v>
      </x:c>
      <x:c r="X3192" s="20" t="n">
        <x:v>3.3</x:v>
      </x:c>
      <x:c r="Y3192" t="str">
        <x:v>Basis arsip 2025/2024</x:v>
      </x:c>
      <x:c r="Z3192" t="str">
        <x:v>https://snpmb.id/utbk-snbt/daya-tampung-snbt</x:v>
      </x:c>
      <x:c r="AA3192" t="str">
        <x:v>Tidak Ada</x:v>
      </x:c>
      <x:c r="AB3192" t="str">
        <x:v>Campus=55; Ratio=75.0; Prodi=40; RelDemand=100.0; Capacity=50.0</x:v>
      </x:c>
    </x:row>
    <x:row r="3193">
      <x:c r="A3193" t="n">
        <x:v>3190</x:v>
      </x:c>
      <x:c r="B3193" t="str">
        <x:v>PTN Akademik</x:v>
      </x:c>
      <x:c r="C3193" t="str">
        <x:v>UNIVERSITAS NEGERI MAKASSAR</x:v>
      </x:c>
      <x:c r="D3193" t="str">
        <x:v>PENDIDIKAN LUAR SEKOLAH</x:v>
      </x:c>
      <x:c r="E3193" t="str">
        <x:v>Sarjana</x:v>
      </x:c>
      <x:c r="F3193" s="18" t="n">
        <x:v>35</x:v>
      </x:c>
      <x:c r="G3193" s="18" t="n">
        <x:v>42</x:v>
      </x:c>
      <x:c r="H3193" s="19" t="n">
        <x:v>1.2</x:v>
      </x:c>
      <x:c r="I3193" s="18" t="n">
        <x:f>ROUND(MIN(Model_Config_v3!$B$6,MAX(Q3193,R3193,S3193*Model_Config_v3!$B$4+T3193*Model_Config_v3!$B$5)),0)</x:f>
        <x:v>603</x:v>
      </x:c>
      <x:c r="J3193" s="18" t="n">
        <x:f>MIN(Model_Config_v3!$B$6,I3193+Model_Config_v3!$B$7)</x:f>
        <x:v>623</x:v>
      </x:c>
      <x:c r="K3193" s="20" t="n">
        <x:v>37.6</x:v>
      </x:c>
      <x:c r="L3193" t="str">
        <x:v>RELATIF LONGGAR</x:v>
      </x:c>
      <x:c r="M3193" t="str">
        <x:v>SEDANG+</x:v>
      </x:c>
      <x:c r="N3193" t="str">
        <x:v>REGULER</x:v>
      </x:c>
      <x:c r="O3193" t="str">
        <x:v>CAMPURAN</x:v>
      </x:c>
      <x:c r="P3193" t="str">
        <x:v>PENDIDIKAN</x:v>
      </x:c>
      <x:c r="Q3193" s="18" t="n">
        <x:v>0</x:v>
      </x:c>
      <x:c r="R3193" s="18" t="n">
        <x:v>0</x:v>
      </x:c>
      <x:c r="S3193" s="18" t="n">
        <x:v>528.7099370652387</x:v>
      </x:c>
      <x:c r="T3193" s="18" t="n">
        <x:v>635</x:v>
      </x:c>
      <x:c r="U3193" s="18" t="n">
        <x:v>528.7099370652387</x:v>
      </x:c>
      <x:c r="V3193" s="20" t="n">
        <x:v>8.8</x:v>
      </x:c>
      <x:c r="W3193" s="20" t="n">
        <x:v>9.9</x:v>
      </x:c>
      <x:c r="X3193" s="20" t="n">
        <x:v>3.3</x:v>
      </x:c>
      <x:c r="Y3193" t="str">
        <x:v>Basis arsip 2025/2024</x:v>
      </x:c>
      <x:c r="Z3193" t="str">
        <x:v>https://snpmb.id/utbk-snbt/daya-tampung-snbt</x:v>
      </x:c>
      <x:c r="AA3193" t="str">
        <x:v>Tidak Ada</x:v>
      </x:c>
      <x:c r="AB3193" t="str">
        <x:v>Campus=55; Ratio=4.7; Prodi=45; RelDemand=11.2; Capacity=70.8</x:v>
      </x:c>
    </x:row>
    <x:row r="3194">
      <x:c r="A3194" t="n">
        <x:v>3191</x:v>
      </x:c>
      <x:c r="B3194" t="str">
        <x:v>PTN Akademik</x:v>
      </x:c>
      <x:c r="C3194" t="str">
        <x:v>UNIVERSITAS NEGERI MAKASSAR</x:v>
      </x:c>
      <x:c r="D3194" t="str">
        <x:v>PENDIDIKAN LUAR BIASA</x:v>
      </x:c>
      <x:c r="E3194" t="str">
        <x:v>Sarjana</x:v>
      </x:c>
      <x:c r="F3194" s="18" t="n">
        <x:v>47</x:v>
      </x:c>
      <x:c r="G3194" s="18" t="n">
        <x:v>83</x:v>
      </x:c>
      <x:c r="H3194" s="19" t="n">
        <x:v>1.7659574468085106</x:v>
      </x:c>
      <x:c r="I3194" s="18" t="n">
        <x:f>ROUND(MIN(Model_Config_v3!$B$6,MAX(Q3194,R3194,S3194*Model_Config_v3!$B$4+T3194*Model_Config_v3!$B$5)),0)</x:f>
        <x:v>611</x:v>
      </x:c>
      <x:c r="J3194" s="18" t="n">
        <x:f>MIN(Model_Config_v3!$B$6,I3194+Model_Config_v3!$B$7)</x:f>
        <x:v>631</x:v>
      </x:c>
      <x:c r="K3194" s="20" t="n">
        <x:v>39.6</x:v>
      </x:c>
      <x:c r="L3194" t="str">
        <x:v>RELATIF LONGGAR</x:v>
      </x:c>
      <x:c r="M3194" t="str">
        <x:v>SEDANG+</x:v>
      </x:c>
      <x:c r="N3194" t="str">
        <x:v>REGULER</x:v>
      </x:c>
      <x:c r="O3194" t="str">
        <x:v>CAMPURAN</x:v>
      </x:c>
      <x:c r="P3194" t="str">
        <x:v>PENDIDIKAN</x:v>
      </x:c>
      <x:c r="Q3194" s="18" t="n">
        <x:v>0</x:v>
      </x:c>
      <x:c r="R3194" s="18" t="n">
        <x:v>0</x:v>
      </x:c>
      <x:c r="S3194" s="18" t="n">
        <x:v>547.1678257884392</x:v>
      </x:c>
      <x:c r="T3194" s="18" t="n">
        <x:v>639</x:v>
      </x:c>
      <x:c r="U3194" s="18" t="n">
        <x:v>547.1678257884392</x:v>
      </x:c>
      <x:c r="V3194" s="20" t="n">
        <x:v>8.8</x:v>
      </x:c>
      <x:c r="W3194" s="20" t="n">
        <x:v>9.9</x:v>
      </x:c>
      <x:c r="X3194" s="20" t="n">
        <x:v>3.3</x:v>
      </x:c>
      <x:c r="Y3194" t="str">
        <x:v>Basis arsip 2025/2024</x:v>
      </x:c>
      <x:c r="Z3194" t="str">
        <x:v>https://snpmb.id/utbk-snbt/daya-tampung-snbt</x:v>
      </x:c>
      <x:c r="AA3194" t="str">
        <x:v>Tidak Ada</x:v>
      </x:c>
      <x:c r="AB3194" t="str">
        <x:v>Campus=55; Ratio=14.5; Prodi=45; RelDemand=16.5; Capacity=60.8</x:v>
      </x:c>
    </x:row>
    <x:row r="3195">
      <x:c r="A3195" t="n">
        <x:v>3192</x:v>
      </x:c>
      <x:c r="B3195" t="str">
        <x:v>PTN Akademik</x:v>
      </x:c>
      <x:c r="C3195" t="str">
        <x:v>UNIVERSITAS NEGERI MAKASSAR</x:v>
      </x:c>
      <x:c r="D3195" t="str">
        <x:v>PENDIDIKAN BAHASA DAN SASTRA INDONESIA</x:v>
      </x:c>
      <x:c r="E3195" t="str">
        <x:v>Sarjana</x:v>
      </x:c>
      <x:c r="F3195" s="18" t="n">
        <x:v>106</x:v>
      </x:c>
      <x:c r="G3195" s="18" t="n">
        <x:v>521</x:v>
      </x:c>
      <x:c r="H3195" s="19" t="n">
        <x:v>4.915094339622642</x:v>
      </x:c>
      <x:c r="I3195" s="18" t="n">
        <x:f>ROUND(MIN(Model_Config_v3!$B$6,MAX(Q3195,R3195,S3195*Model_Config_v3!$B$4+T3195*Model_Config_v3!$B$5)),0)</x:f>
        <x:v>632</x:v>
      </x:c>
      <x:c r="J3195" s="18" t="n">
        <x:f>MIN(Model_Config_v3!$B$6,I3195+Model_Config_v3!$B$7)</x:f>
        <x:v>652</x:v>
      </x:c>
      <x:c r="K3195" s="20" t="n">
        <x:v>44.2</x:v>
      </x:c>
      <x:c r="L3195" t="str">
        <x:v>RELATIF LONGGAR</x:v>
      </x:c>
      <x:c r="M3195" t="str">
        <x:v>SEDANG+</x:v>
      </x:c>
      <x:c r="N3195" t="str">
        <x:v>REGULER</x:v>
      </x:c>
      <x:c r="O3195" t="str">
        <x:v>SOSHUM</x:v>
      </x:c>
      <x:c r="P3195" t="str">
        <x:v>PENDIDIKAN</x:v>
      </x:c>
      <x:c r="Q3195" s="18" t="n">
        <x:v>0</x:v>
      </x:c>
      <x:c r="R3195" s="18" t="n">
        <x:v>0</x:v>
      </x:c>
      <x:c r="S3195" s="18" t="n">
        <x:v>596.068504383823</x:v>
      </x:c>
      <x:c r="T3195" s="18" t="n">
        <x:v>648</x:v>
      </x:c>
      <x:c r="U3195" s="18" t="n">
        <x:v>596.068504383823</x:v>
      </x:c>
      <x:c r="V3195" s="20" t="n">
        <x:v>4.4</x:v>
      </x:c>
      <x:c r="W3195" s="20" t="n">
        <x:v>14.3</x:v>
      </x:c>
      <x:c r="X3195" s="20" t="n">
        <x:v>3.3</x:v>
      </x:c>
      <x:c r="Y3195" t="str">
        <x:v>Basis arsip 2025/2024</x:v>
      </x:c>
      <x:c r="Z3195" t="str">
        <x:v>https://snpmb.id/utbk-snbt/daya-tampung-snbt</x:v>
      </x:c>
      <x:c r="AA3195" t="str">
        <x:v>Tidak Ada</x:v>
      </x:c>
      <x:c r="AB3195" t="str">
        <x:v>Campus=55; Ratio=40.7; Prodi=45; RelDemand=45.9; Capacity=11.7</x:v>
      </x:c>
    </x:row>
    <x:row r="3196">
      <x:c r="A3196" t="n">
        <x:v>3193</x:v>
      </x:c>
      <x:c r="B3196" t="str">
        <x:v>PTN Akademik</x:v>
      </x:c>
      <x:c r="C3196" t="str">
        <x:v>UNIVERSITAS NEGERI MAKASSAR</x:v>
      </x:c>
      <x:c r="D3196" t="str">
        <x:v>PENDIDIKAN BAHASA INGGRIS</x:v>
      </x:c>
      <x:c r="E3196" t="str">
        <x:v>Sarjana</x:v>
      </x:c>
      <x:c r="F3196" s="18" t="n">
        <x:v>122</x:v>
      </x:c>
      <x:c r="G3196" s="18" t="n">
        <x:v>428</x:v>
      </x:c>
      <x:c r="H3196" s="19" t="n">
        <x:v>3.5081967213114753</x:v>
      </x:c>
      <x:c r="I3196" s="18" t="n">
        <x:f>ROUND(MIN(Model_Config_v3!$B$6,MAX(Q3196,R3196,S3196*Model_Config_v3!$B$4+T3196*Model_Config_v3!$B$5)),0)</x:f>
        <x:v>621</x:v>
      </x:c>
      <x:c r="J3196" s="18" t="n">
        <x:f>MIN(Model_Config_v3!$B$6,I3196+Model_Config_v3!$B$7)</x:f>
        <x:v>641</x:v>
      </x:c>
      <x:c r="K3196" s="20" t="n">
        <x:v>39.5</x:v>
      </x:c>
      <x:c r="L3196" t="str">
        <x:v>RELATIF LONGGAR</x:v>
      </x:c>
      <x:c r="M3196" t="str">
        <x:v>SEDANG+</x:v>
      </x:c>
      <x:c r="N3196" t="str">
        <x:v>REGULER</x:v>
      </x:c>
      <x:c r="O3196" t="str">
        <x:v>SOSHUM</x:v>
      </x:c>
      <x:c r="P3196" t="str">
        <x:v>PENDIDIKAN</x:v>
      </x:c>
      <x:c r="Q3196" s="18" t="n">
        <x:v>0</x:v>
      </x:c>
      <x:c r="R3196" s="18" t="n">
        <x:v>0</x:v>
      </x:c>
      <x:c r="S3196" s="18" t="n">
        <x:v>579.9592332172266</x:v>
      </x:c>
      <x:c r="T3196" s="18" t="n">
        <x:v>639</x:v>
      </x:c>
      <x:c r="U3196" s="18" t="n">
        <x:v>579.9592332172266</x:v>
      </x:c>
      <x:c r="V3196" s="20" t="n">
        <x:v>4.4</x:v>
      </x:c>
      <x:c r="W3196" s="20" t="n">
        <x:v>14.3</x:v>
      </x:c>
      <x:c r="X3196" s="20" t="n">
        <x:v>3.3</x:v>
      </x:c>
      <x:c r="Y3196" t="str">
        <x:v>Basis arsip 2025/2024</x:v>
      </x:c>
      <x:c r="Z3196" t="str">
        <x:v>https://snpmb.id/utbk-snbt/daya-tampung-snbt</x:v>
      </x:c>
      <x:c r="AA3196" t="str">
        <x:v>Tidak Ada</x:v>
      </x:c>
      <x:c r="AB3196" t="str">
        <x:v>Campus=55; Ratio=32.1; Prodi=45; RelDemand=32.8; Capacity=0.0</x:v>
      </x:c>
    </x:row>
    <x:row r="3197">
      <x:c r="A3197" t="n">
        <x:v>3194</x:v>
      </x:c>
      <x:c r="B3197" t="str">
        <x:v>PTN Akademik</x:v>
      </x:c>
      <x:c r="C3197" t="str">
        <x:v>UNIVERSITAS NEGERI MAKASSAR</x:v>
      </x:c>
      <x:c r="D3197" t="str">
        <x:v>SASTRA INDONESIA</x:v>
      </x:c>
      <x:c r="E3197" t="str">
        <x:v>Sarjana</x:v>
      </x:c>
      <x:c r="F3197" s="18" t="n">
        <x:v>67</x:v>
      </x:c>
      <x:c r="G3197" s="18" t="n">
        <x:v>74</x:v>
      </x:c>
      <x:c r="H3197" s="19" t="n">
        <x:v>1.1044776119402986</x:v>
      </x:c>
      <x:c r="I3197" s="18" t="n">
        <x:f>ROUND(MIN(Model_Config_v3!$B$6,MAX(Q3197,R3197,S3197*Model_Config_v3!$B$4+T3197*Model_Config_v3!$B$5)),0)</x:f>
        <x:v>596</x:v>
      </x:c>
      <x:c r="J3197" s="18" t="n">
        <x:f>MIN(Model_Config_v3!$B$6,I3197+Model_Config_v3!$B$7)</x:f>
        <x:v>616</x:v>
      </x:c>
      <x:c r="K3197" s="20" t="n">
        <x:v>33.3</x:v>
      </x:c>
      <x:c r="L3197" t="str">
        <x:v>RELATIF LONGGAR</x:v>
      </x:c>
      <x:c r="M3197" t="str">
        <x:v>SEDANG</x:v>
      </x:c>
      <x:c r="N3197" t="str">
        <x:v>REGULER</x:v>
      </x:c>
      <x:c r="O3197" t="str">
        <x:v>SOSHUM</x:v>
      </x:c>
      <x:c r="P3197" t="str">
        <x:v>UMUM</x:v>
      </x:c>
      <x:c r="Q3197" s="18" t="n">
        <x:v>0</x:v>
      </x:c>
      <x:c r="R3197" s="18" t="n">
        <x:v>0</x:v>
      </x:c>
      <x:c r="S3197" s="18" t="n">
        <x:v>524.7472608733165</x:v>
      </x:c>
      <x:c r="T3197" s="18" t="n">
        <x:v>627</x:v>
      </x:c>
      <x:c r="U3197" s="18" t="n">
        <x:v>524.7472608733165</x:v>
      </x:c>
      <x:c r="V3197" s="20" t="n">
        <x:v>4.4</x:v>
      </x:c>
      <x:c r="W3197" s="20" t="n">
        <x:v>14.3</x:v>
      </x:c>
      <x:c r="X3197" s="20" t="n">
        <x:v>3.3</x:v>
      </x:c>
      <x:c r="Y3197" t="str">
        <x:v>Basis arsip 2025/2024</x:v>
      </x:c>
      <x:c r="Z3197" t="str">
        <x:v>https://snpmb.id/utbk-snbt/daya-tampung-snbt</x:v>
      </x:c>
      <x:c r="AA3197" t="str">
        <x:v>Tidak Ada</x:v>
      </x:c>
      <x:c r="AB3197" t="str">
        <x:v>Campus=55; Ratio=2.5; Prodi=40; RelDemand=10.3; Capacity=44.2</x:v>
      </x:c>
    </x:row>
    <x:row r="3198">
      <x:c r="A3198" t="n">
        <x:v>3195</x:v>
      </x:c>
      <x:c r="B3198" t="str">
        <x:v>PTN Akademik</x:v>
      </x:c>
      <x:c r="C3198" t="str">
        <x:v>UNIVERSITAS NEGERI MAKASSAR</x:v>
      </x:c>
      <x:c r="D3198" t="str">
        <x:v>SASTRA INGGRIS</x:v>
      </x:c>
      <x:c r="E3198" t="str">
        <x:v>Sarjana</x:v>
      </x:c>
      <x:c r="F3198" s="18" t="n">
        <x:v>88</x:v>
      </x:c>
      <x:c r="G3198" s="18" t="n">
        <x:v>231</x:v>
      </x:c>
      <x:c r="H3198" s="19" t="n">
        <x:v>2.625</x:v>
      </x:c>
      <x:c r="I3198" s="18" t="n">
        <x:f>ROUND(MIN(Model_Config_v3!$B$6,MAX(Q3198,R3198,S3198*Model_Config_v3!$B$4+T3198*Model_Config_v3!$B$5)),0)</x:f>
        <x:v>616</x:v>
      </x:c>
      <x:c r="J3198" s="18" t="n">
        <x:f>MIN(Model_Config_v3!$B$6,I3198+Model_Config_v3!$B$7)</x:f>
        <x:v>636</x:v>
      </x:c>
      <x:c r="K3198" s="20" t="n">
        <x:v>38.5</x:v>
      </x:c>
      <x:c r="L3198" t="str">
        <x:v>RELATIF LONGGAR</x:v>
      </x:c>
      <x:c r="M3198" t="str">
        <x:v>SEDANG</x:v>
      </x:c>
      <x:c r="N3198" t="str">
        <x:v>REGULER</x:v>
      </x:c>
      <x:c r="O3198" t="str">
        <x:v>SOSHUM</x:v>
      </x:c>
      <x:c r="P3198" t="str">
        <x:v>UMUM</x:v>
      </x:c>
      <x:c r="Q3198" s="18" t="n">
        <x:v>0</x:v>
      </x:c>
      <x:c r="R3198" s="18" t="n">
        <x:v>0</x:v>
      </x:c>
      <x:c r="S3198" s="18" t="n">
        <x:v>566.1042238516173</x:v>
      </x:c>
      <x:c r="T3198" s="18" t="n">
        <x:v>637</x:v>
      </x:c>
      <x:c r="U3198" s="18" t="n">
        <x:v>566.1042238516173</x:v>
      </x:c>
      <x:c r="V3198" s="20" t="n">
        <x:v>4.4</x:v>
      </x:c>
      <x:c r="W3198" s="20" t="n">
        <x:v>14.3</x:v>
      </x:c>
      <x:c r="X3198" s="20" t="n">
        <x:v>3.3</x:v>
      </x:c>
      <x:c r="Y3198" t="str">
        <x:v>Basis arsip 2025/2024</x:v>
      </x:c>
      <x:c r="Z3198" t="str">
        <x:v>https://snpmb.id/utbk-snbt/daya-tampung-snbt</x:v>
      </x:c>
      <x:c r="AA3198" t="str">
        <x:v>Tidak Ada</x:v>
      </x:c>
      <x:c r="AB3198" t="str">
        <x:v>Campus=55; Ratio=24.7; Prodi=40; RelDemand=24.5; Capacity=26.7</x:v>
      </x:c>
    </x:row>
    <x:row r="3199">
      <x:c r="A3199" t="n">
        <x:v>3196</x:v>
      </x:c>
      <x:c r="B3199" t="str">
        <x:v>PTN Akademik</x:v>
      </x:c>
      <x:c r="C3199" t="str">
        <x:v>UNIVERSITAS NEGERI MAKASSAR</x:v>
      </x:c>
      <x:c r="D3199" t="str">
        <x:v>PENDIDIKAN BAHASA JERMAN</x:v>
      </x:c>
      <x:c r="E3199" t="str">
        <x:v>Sarjana</x:v>
      </x:c>
      <x:c r="F3199" s="18" t="n">
        <x:v>32</x:v>
      </x:c>
      <x:c r="G3199" s="18" t="n">
        <x:v>25</x:v>
      </x:c>
      <x:c r="H3199" s="19" t="n">
        <x:v>0.78125</x:v>
      </x:c>
      <x:c r="I3199" s="18" t="n">
        <x:f>ROUND(MIN(Model_Config_v3!$B$6,MAX(Q3199,R3199,S3199*Model_Config_v3!$B$4+T3199*Model_Config_v3!$B$5)),0)</x:f>
        <x:v>599</x:v>
      </x:c>
      <x:c r="J3199" s="18" t="n">
        <x:f>MIN(Model_Config_v3!$B$6,I3199+Model_Config_v3!$B$7)</x:f>
        <x:v>619</x:v>
      </x:c>
      <x:c r="K3199" s="20" t="n">
        <x:v>36.3</x:v>
      </x:c>
      <x:c r="L3199" t="str">
        <x:v>RELATIF LONGGAR</x:v>
      </x:c>
      <x:c r="M3199" t="str">
        <x:v>SEDANG+</x:v>
      </x:c>
      <x:c r="N3199" t="str">
        <x:v>REGULER</x:v>
      </x:c>
      <x:c r="O3199" t="str">
        <x:v>SOSHUM</x:v>
      </x:c>
      <x:c r="P3199" t="str">
        <x:v>PENDIDIKAN</x:v>
      </x:c>
      <x:c r="Q3199" s="18" t="n">
        <x:v>0</x:v>
      </x:c>
      <x:c r="R3199" s="18" t="n">
        <x:v>0</x:v>
      </x:c>
      <x:c r="S3199" s="18" t="n">
        <x:v>520</x:v>
      </x:c>
      <x:c r="T3199" s="18" t="n">
        <x:v>633</x:v>
      </x:c>
      <x:c r="U3199" s="18" t="n">
        <x:v>520</x:v>
      </x:c>
      <x:c r="V3199" s="20" t="n">
        <x:v>4.4</x:v>
      </x:c>
      <x:c r="W3199" s="20" t="n">
        <x:v>14.3</x:v>
      </x:c>
      <x:c r="X3199" s="20" t="n">
        <x:v>3.3</x:v>
      </x:c>
      <x:c r="Y3199" t="str">
        <x:v>Basis arsip 2025/2024</x:v>
      </x:c>
      <x:c r="Z3199" t="str">
        <x:v>https://snpmb.id/utbk-snbt/daya-tampung-snbt</x:v>
      </x:c>
      <x:c r="AA3199" t="str">
        <x:v>Tidak Ada</x:v>
      </x:c>
      <x:c r="AB3199" t="str">
        <x:v>Campus=55; Ratio=0.0; Prodi=45; RelDemand=7.3; Capacity=73.3</x:v>
      </x:c>
    </x:row>
    <x:row r="3200">
      <x:c r="A3200" t="n">
        <x:v>3197</x:v>
      </x:c>
      <x:c r="B3200" t="str">
        <x:v>PTN Akademik</x:v>
      </x:c>
      <x:c r="C3200" t="str">
        <x:v>UNIVERSITAS NEGERI MAKASSAR</x:v>
      </x:c>
      <x:c r="D3200" t="str">
        <x:v>PENDIDIKAN PANCASILA DAN KEWARGANEGARAAN</x:v>
      </x:c>
      <x:c r="E3200" t="str">
        <x:v>Sarjana</x:v>
      </x:c>
      <x:c r="F3200" s="18" t="n">
        <x:v>35</x:v>
      </x:c>
      <x:c r="G3200" s="18" t="n">
        <x:v>299</x:v>
      </x:c>
      <x:c r="H3200" s="19" t="n">
        <x:v>8.542857142857143</x:v>
      </x:c>
      <x:c r="I3200" s="18" t="n">
        <x:f>ROUND(MIN(Model_Config_v3!$B$6,MAX(Q3200,R3200,S3200*Model_Config_v3!$B$4+T3200*Model_Config_v3!$B$5)),0)</x:f>
        <x:v>659</x:v>
      </x:c>
      <x:c r="J3200" s="18" t="n">
        <x:f>MIN(Model_Config_v3!$B$6,I3200+Model_Config_v3!$B$7)</x:f>
        <x:v>679</x:v>
      </x:c>
      <x:c r="K3200" s="20" t="n">
        <x:v>57</x:v>
      </x:c>
      <x:c r="L3200" t="str">
        <x:v>KETAT</x:v>
      </x:c>
      <x:c r="M3200" t="str">
        <x:v>SEDANG+</x:v>
      </x:c>
      <x:c r="N3200" t="str">
        <x:v>REGULER</x:v>
      </x:c>
      <x:c r="O3200" t="str">
        <x:v>CAMPURAN</x:v>
      </x:c>
      <x:c r="P3200" t="str">
        <x:v>PENDIDIKAN</x:v>
      </x:c>
      <x:c r="Q3200" s="18" t="n">
        <x:v>0</x:v>
      </x:c>
      <x:c r="R3200" s="18" t="n">
        <x:v>0</x:v>
      </x:c>
      <x:c r="S3200" s="18" t="n">
        <x:v>622.4763458371569</x:v>
      </x:c>
      <x:c r="T3200" s="18" t="n">
        <x:v>674</x:v>
      </x:c>
      <x:c r="U3200" s="18" t="n">
        <x:v>622.4763458371569</x:v>
      </x:c>
      <x:c r="V3200" s="20" t="n">
        <x:v>8.8</x:v>
      </x:c>
      <x:c r="W3200" s="20" t="n">
        <x:v>9.9</x:v>
      </x:c>
      <x:c r="X3200" s="20" t="n">
        <x:v>3.3</x:v>
      </x:c>
      <x:c r="Y3200" t="str">
        <x:v>Basis arsip 2025/2024</x:v>
      </x:c>
      <x:c r="Z3200" t="str">
        <x:v>https://snpmb.id/utbk-snbt/daya-tampung-snbt</x:v>
      </x:c>
      <x:c r="AA3200" t="str">
        <x:v>Tidak Ada</x:v>
      </x:c>
      <x:c r="AB3200" t="str">
        <x:v>Campus=55; Ratio=54.8; Prodi=45; RelDemand=79.8; Capacity=70.8</x:v>
      </x:c>
    </x:row>
    <x:row r="3201">
      <x:c r="A3201" t="n">
        <x:v>3198</x:v>
      </x:c>
      <x:c r="B3201" t="str">
        <x:v>PTN Akademik</x:v>
      </x:c>
      <x:c r="C3201" t="str">
        <x:v>UNIVERSITAS NEGERI MAKASSAR</x:v>
      </x:c>
      <x:c r="D3201" t="str">
        <x:v>PENDIDIKAAN SOSIOLOGI</x:v>
      </x:c>
      <x:c r="E3201" t="str">
        <x:v>Sarjana</x:v>
      </x:c>
      <x:c r="F3201" s="18" t="n">
        <x:v>35</x:v>
      </x:c>
      <x:c r="G3201" s="18" t="n">
        <x:v>172</x:v>
      </x:c>
      <x:c r="H3201" s="19" t="n">
        <x:v>4.914285714285715</x:v>
      </x:c>
      <x:c r="I3201" s="18" t="n">
        <x:f>ROUND(MIN(Model_Config_v3!$B$6,MAX(Q3201,R3201,S3201*Model_Config_v3!$B$4+T3201*Model_Config_v3!$B$5)),0)</x:f>
        <x:v>639</x:v>
      </x:c>
      <x:c r="J3201" s="18" t="n">
        <x:f>MIN(Model_Config_v3!$B$6,I3201+Model_Config_v3!$B$7)</x:f>
        <x:v>659</x:v>
      </x:c>
      <x:c r="K3201" s="20" t="n">
        <x:v>49.1</x:v>
      </x:c>
      <x:c r="L3201" t="str">
        <x:v>MENENGAH</x:v>
      </x:c>
      <x:c r="M3201" t="str">
        <x:v>SEDANG</x:v>
      </x:c>
      <x:c r="N3201" t="str">
        <x:v>REGULER</x:v>
      </x:c>
      <x:c r="O3201" t="str">
        <x:v>SOSHUM</x:v>
      </x:c>
      <x:c r="P3201" t="str">
        <x:v>UMUM</x:v>
      </x:c>
      <x:c r="Q3201" s="18" t="n">
        <x:v>0</x:v>
      </x:c>
      <x:c r="R3201" s="18" t="n">
        <x:v>0</x:v>
      </x:c>
      <x:c r="S3201" s="18" t="n">
        <x:v>596.0606442813</x:v>
      </x:c>
      <x:c r="T3201" s="18" t="n">
        <x:v>658</x:v>
      </x:c>
      <x:c r="U3201" s="18" t="n">
        <x:v>596.0606442813</x:v>
      </x:c>
      <x:c r="V3201" s="20" t="n">
        <x:v>4.4</x:v>
      </x:c>
      <x:c r="W3201" s="20" t="n">
        <x:v>14.3</x:v>
      </x:c>
      <x:c r="X3201" s="20" t="n">
        <x:v>3.3</x:v>
      </x:c>
      <x:c r="Y3201" t="str">
        <x:v>Basis arsip 2025/2024</x:v>
      </x:c>
      <x:c r="Z3201" t="str">
        <x:v>https://snpmb.id/utbk-snbt/daya-tampung-snbt</x:v>
      </x:c>
      <x:c r="AA3201" t="str">
        <x:v>Tidak Ada</x:v>
      </x:c>
      <x:c r="AB3201" t="str">
        <x:v>Campus=55; Ratio=40.7; Prodi=40; RelDemand=45.9; Capacity=70.8</x:v>
      </x:c>
    </x:row>
    <x:row r="3202">
      <x:c r="A3202" t="n">
        <x:v>3199</x:v>
      </x:c>
      <x:c r="B3202" t="str">
        <x:v>PTN Akademik</x:v>
      </x:c>
      <x:c r="C3202" t="str">
        <x:v>UNIVERSITAS NEGERI MAKASSAR</x:v>
      </x:c>
      <x:c r="D3202" t="str">
        <x:v>PENDIDIKAN SEJARAH</x:v>
      </x:c>
      <x:c r="E3202" t="str">
        <x:v>Sarjana</x:v>
      </x:c>
      <x:c r="F3202" s="18" t="n">
        <x:v>35</x:v>
      </x:c>
      <x:c r="G3202" s="18" t="n">
        <x:v>204</x:v>
      </x:c>
      <x:c r="H3202" s="19" t="n">
        <x:v>5.828571428571428</x:v>
      </x:c>
      <x:c r="I3202" s="18" t="n">
        <x:f>ROUND(MIN(Model_Config_v3!$B$6,MAX(Q3202,R3202,S3202*Model_Config_v3!$B$4+T3202*Model_Config_v3!$B$5)),0)</x:f>
        <x:v>646</x:v>
      </x:c>
      <x:c r="J3202" s="18" t="n">
        <x:f>MIN(Model_Config_v3!$B$6,I3202+Model_Config_v3!$B$7)</x:f>
        <x:v>666</x:v>
      </x:c>
      <x:c r="K3202" s="20" t="n">
        <x:v>52</x:v>
      </x:c>
      <x:c r="L3202" t="str">
        <x:v>MENENGAH</x:v>
      </x:c>
      <x:c r="M3202" t="str">
        <x:v>SEDANG+</x:v>
      </x:c>
      <x:c r="N3202" t="str">
        <x:v>REGULER</x:v>
      </x:c>
      <x:c r="O3202" t="str">
        <x:v>SOSHUM</x:v>
      </x:c>
      <x:c r="P3202" t="str">
        <x:v>PENDIDIKAN</x:v>
      </x:c>
      <x:c r="Q3202" s="18" t="n">
        <x:v>0</x:v>
      </x:c>
      <x:c r="R3202" s="18" t="n">
        <x:v>0</x:v>
      </x:c>
      <x:c r="S3202" s="18" t="n">
        <x:v>604.2118335383185</x:v>
      </x:c>
      <x:c r="T3202" s="18" t="n">
        <x:v>664</x:v>
      </x:c>
      <x:c r="U3202" s="18" t="n">
        <x:v>604.2118335383185</x:v>
      </x:c>
      <x:c r="V3202" s="20" t="n">
        <x:v>4.4</x:v>
      </x:c>
      <x:c r="W3202" s="20" t="n">
        <x:v>14.3</x:v>
      </x:c>
      <x:c r="X3202" s="20" t="n">
        <x:v>3.3</x:v>
      </x:c>
      <x:c r="Y3202" t="str">
        <x:v>Basis arsip 2025/2024</x:v>
      </x:c>
      <x:c r="Z3202" t="str">
        <x:v>https://snpmb.id/utbk-snbt/daya-tampung-snbt</x:v>
      </x:c>
      <x:c r="AA3202" t="str">
        <x:v>Tidak Ada</x:v>
      </x:c>
      <x:c r="AB3202" t="str">
        <x:v>Campus=55; Ratio=45.1; Prodi=45; RelDemand=54.4; Capacity=70.8</x:v>
      </x:c>
    </x:row>
    <x:row r="3203">
      <x:c r="A3203" t="n">
        <x:v>3200</x:v>
      </x:c>
      <x:c r="B3203" t="str">
        <x:v>PTN Akademik</x:v>
      </x:c>
      <x:c r="C3203" t="str">
        <x:v>UNIVERSITAS NEGERI MAKASSAR</x:v>
      </x:c>
      <x:c r="D3203" t="str">
        <x:v>MANAJEMEN</x:v>
      </x:c>
      <x:c r="E3203" t="str">
        <x:v>Sarjana</x:v>
      </x:c>
      <x:c r="F3203" s="18" t="n">
        <x:v>171</x:v>
      </x:c>
      <x:c r="G3203" s="18" t="n">
        <x:v>1923</x:v>
      </x:c>
      <x:c r="H3203" s="19" t="n">
        <x:v>11.24561403508772</x:v>
      </x:c>
      <x:c r="I3203" s="18" t="n">
        <x:f>ROUND(MIN(Model_Config_v3!$B$6,MAX(Q3203,R3203,S3203*Model_Config_v3!$B$4+T3203*Model_Config_v3!$B$5)),0)</x:f>
        <x:v>663</x:v>
      </x:c>
      <x:c r="J3203" s="18" t="n">
        <x:f>MIN(Model_Config_v3!$B$6,I3203+Model_Config_v3!$B$7)</x:f>
        <x:v>683</x:v>
      </x:c>
      <x:c r="K3203" s="20" t="n">
        <x:v>57.7</x:v>
      </x:c>
      <x:c r="L3203" t="str">
        <x:v>KETAT</x:v>
      </x:c>
      <x:c r="M3203" t="str">
        <x:v>SEDANG+</x:v>
      </x:c>
      <x:c r="N3203" t="str">
        <x:v>REGULER</x:v>
      </x:c>
      <x:c r="O3203" t="str">
        <x:v>SOSHUM</x:v>
      </x:c>
      <x:c r="P3203" t="str">
        <x:v>BISNIS/EKONOMI/AKUNTANSI</x:v>
      </x:c>
      <x:c r="Q3203" s="18" t="n">
        <x:v>0</x:v>
      </x:c>
      <x:c r="R3203" s="18" t="n">
        <x:v>0</x:v>
      </x:c>
      <x:c r="S3203" s="18" t="n">
        <x:v>635.6081491230958</x:v>
      </x:c>
      <x:c r="T3203" s="18" t="n">
        <x:v>675</x:v>
      </x:c>
      <x:c r="U3203" s="18" t="n">
        <x:v>650.6081491230958</x:v>
      </x:c>
      <x:c r="V3203" s="20" t="n">
        <x:v>4.4</x:v>
      </x:c>
      <x:c r="W3203" s="20" t="n">
        <x:v>14.3</x:v>
      </x:c>
      <x:c r="X3203" s="20" t="n">
        <x:v>3.3</x:v>
      </x:c>
      <x:c r="Y3203" t="str">
        <x:v>Basis arsip 2025/2024</x:v>
      </x:c>
      <x:c r="Z3203" t="str">
        <x:v>https://snpmb.id/utbk-snbt/daya-tampung-snbt</x:v>
      </x:c>
      <x:c r="AA3203" t="str">
        <x:v>Tidak Ada</x:v>
      </x:c>
      <x:c r="AB3203" t="str">
        <x:v>Campus=55; Ratio=61.9; Prodi=65; RelDemand=100.0; Capacity=0.0</x:v>
      </x:c>
    </x:row>
    <x:row r="3204">
      <x:c r="A3204" t="n">
        <x:v>3201</x:v>
      </x:c>
      <x:c r="B3204" t="str">
        <x:v>PTN Akademik</x:v>
      </x:c>
      <x:c r="C3204" t="str">
        <x:v>UNIVERSITAS NEGERI MAKASSAR</x:v>
      </x:c>
      <x:c r="D3204" t="str">
        <x:v>SOSIOLOGI</x:v>
      </x:c>
      <x:c r="E3204" t="str">
        <x:v>Sarjana</x:v>
      </x:c>
      <x:c r="F3204" s="18" t="n">
        <x:v>35</x:v>
      </x:c>
      <x:c r="G3204" s="18" t="n">
        <x:v>89</x:v>
      </x:c>
      <x:c r="H3204" s="19" t="n">
        <x:v>2.5428571428571427</x:v>
      </x:c>
      <x:c r="I3204" s="18" t="n">
        <x:f>ROUND(MIN(Model_Config_v3!$B$6,MAX(Q3204,R3204,S3204*Model_Config_v3!$B$4+T3204*Model_Config_v3!$B$5)),0)</x:f>
        <x:v>621</x:v>
      </x:c>
      <x:c r="J3204" s="18" t="n">
        <x:f>MIN(Model_Config_v3!$B$6,I3204+Model_Config_v3!$B$7)</x:f>
        <x:v>641</x:v>
      </x:c>
      <x:c r="K3204" s="20" t="n">
        <x:v>42.7</x:v>
      </x:c>
      <x:c r="L3204" t="str">
        <x:v>RELATIF LONGGAR</x:v>
      </x:c>
      <x:c r="M3204" t="str">
        <x:v>SEDANG</x:v>
      </x:c>
      <x:c r="N3204" t="str">
        <x:v>REGULER</x:v>
      </x:c>
      <x:c r="O3204" t="str">
        <x:v>SOSHUM</x:v>
      </x:c>
      <x:c r="P3204" t="str">
        <x:v>UMUM</x:v>
      </x:c>
      <x:c r="Q3204" s="18" t="n">
        <x:v>0</x:v>
      </x:c>
      <x:c r="R3204" s="18" t="n">
        <x:v>0</x:v>
      </x:c>
      <x:c r="S3204" s="18" t="n">
        <x:v>564.58541585241</x:v>
      </x:c>
      <x:c r="T3204" s="18" t="n">
        <x:v>645</x:v>
      </x:c>
      <x:c r="U3204" s="18" t="n">
        <x:v>564.58541585241</x:v>
      </x:c>
      <x:c r="V3204" s="20" t="n">
        <x:v>4.4</x:v>
      </x:c>
      <x:c r="W3204" s="20" t="n">
        <x:v>14.3</x:v>
      </x:c>
      <x:c r="X3204" s="20" t="n">
        <x:v>3.3</x:v>
      </x:c>
      <x:c r="Y3204" t="str">
        <x:v>Basis arsip 2025/2024</x:v>
      </x:c>
      <x:c r="Z3204" t="str">
        <x:v>https://snpmb.id/utbk-snbt/daya-tampung-snbt</x:v>
      </x:c>
      <x:c r="AA3204" t="str">
        <x:v>Tidak Ada</x:v>
      </x:c>
      <x:c r="AB3204" t="str">
        <x:v>Campus=55; Ratio=23.9; Prodi=40; RelDemand=23.7; Capacity=70.8</x:v>
      </x:c>
    </x:row>
    <x:row r="3205">
      <x:c r="A3205" t="n">
        <x:v>3202</x:v>
      </x:c>
      <x:c r="B3205" t="str">
        <x:v>PTN Akademik</x:v>
      </x:c>
      <x:c r="C3205" t="str">
        <x:v>UNIVERSITAS NEGERI MAKASSAR</x:v>
      </x:c>
      <x:c r="D3205" t="str">
        <x:v>PSIKOLOGI</x:v>
      </x:c>
      <x:c r="E3205" t="str">
        <x:v>Sarjana</x:v>
      </x:c>
      <x:c r="F3205" s="18" t="n">
        <x:v>149</x:v>
      </x:c>
      <x:c r="G3205" s="18" t="n">
        <x:v>1382</x:v>
      </x:c>
      <x:c r="H3205" s="19" t="n">
        <x:v>9.275167785234899</x:v>
      </x:c>
      <x:c r="I3205" s="18" t="n">
        <x:f>ROUND(MIN(Model_Config_v3!$B$6,MAX(Q3205,R3205,S3205*Model_Config_v3!$B$4+T3205*Model_Config_v3!$B$5)),0)</x:f>
        <x:v>661</x:v>
      </x:c>
      <x:c r="J3205" s="18" t="n">
        <x:f>MIN(Model_Config_v3!$B$6,I3205+Model_Config_v3!$B$7)</x:f>
        <x:v>681</x:v>
      </x:c>
      <x:c r="K3205" s="20" t="n">
        <x:v>58.1</x:v>
      </x:c>
      <x:c r="L3205" t="str">
        <x:v>KETAT</x:v>
      </x:c>
      <x:c r="M3205" t="str">
        <x:v>SEDANG+</x:v>
      </x:c>
      <x:c r="N3205" t="str">
        <x:v>REGULER</x:v>
      </x:c>
      <x:c r="O3205" t="str">
        <x:v>SOSHUM</x:v>
      </x:c>
      <x:c r="P3205" t="str">
        <x:v>PSIKOLOGI</x:v>
      </x:c>
      <x:c r="Q3205" s="18" t="n">
        <x:v>0</x:v>
      </x:c>
      <x:c r="R3205" s="18" t="n">
        <x:v>0</x:v>
      </x:c>
      <x:c r="S3205" s="18" t="n">
        <x:v>626.4053952088495</x:v>
      </x:c>
      <x:c r="T3205" s="18" t="n">
        <x:v>676</x:v>
      </x:c>
      <x:c r="U3205" s="18" t="n">
        <x:v>651.4053952088495</x:v>
      </x:c>
      <x:c r="V3205" s="20" t="n">
        <x:v>4.4</x:v>
      </x:c>
      <x:c r="W3205" s="20" t="n">
        <x:v>14.3</x:v>
      </x:c>
      <x:c r="X3205" s="20" t="n">
        <x:v>3.3</x:v>
      </x:c>
      <x:c r="Y3205" t="str">
        <x:v>Basis arsip 2025/2024</x:v>
      </x:c>
      <x:c r="Z3205" t="str">
        <x:v>https://snpmb.id/utbk-snbt/daya-tampung-snbt</x:v>
      </x:c>
      <x:c r="AA3205" t="str">
        <x:v>Tidak Ada</x:v>
      </x:c>
      <x:c r="AB3205" t="str">
        <x:v>Campus=55; Ratio=56.9; Prodi=80; RelDemand=86.6; Capacity=0.0</x:v>
      </x:c>
    </x:row>
    <x:row r="3206">
      <x:c r="A3206" t="n">
        <x:v>3203</x:v>
      </x:c>
      <x:c r="B3206" t="str">
        <x:v>PTN Akademik</x:v>
      </x:c>
      <x:c r="C3206" t="str">
        <x:v>UNIVERSITAS NEGERI MAKASSAR</x:v>
      </x:c>
      <x:c r="D3206" t="str">
        <x:v>PEND. GURU SEK. DASAR (KAMPUS MAKASSAR)</x:v>
      </x:c>
      <x:c r="E3206" t="str">
        <x:v>Sarjana</x:v>
      </x:c>
      <x:c r="F3206" s="18" t="n">
        <x:v>130</x:v>
      </x:c>
      <x:c r="G3206" s="18" t="n">
        <x:v>1625</x:v>
      </x:c>
      <x:c r="H3206" s="19" t="n">
        <x:v>12.5</x:v>
      </x:c>
      <x:c r="I3206" s="18" t="n">
        <x:f>ROUND(MIN(Model_Config_v3!$B$6,MAX(Q3206,R3206,S3206*Model_Config_v3!$B$4+T3206*Model_Config_v3!$B$5)),0)</x:f>
        <x:v>660</x:v>
      </x:c>
      <x:c r="J3206" s="18" t="n">
        <x:f>MIN(Model_Config_v3!$B$6,I3206+Model_Config_v3!$B$7)</x:f>
        <x:v>680</x:v>
      </x:c>
      <x:c r="K3206" s="20" t="n">
        <x:v>54.4</x:v>
      </x:c>
      <x:c r="L3206" t="str">
        <x:v>MENENGAH</x:v>
      </x:c>
      <x:c r="M3206" t="str">
        <x:v>SEDANG+</x:v>
      </x:c>
      <x:c r="N3206" t="str">
        <x:v>REGULER</x:v>
      </x:c>
      <x:c r="O3206" t="str">
        <x:v>CAMPURAN</x:v>
      </x:c>
      <x:c r="P3206" t="str">
        <x:v>PENDIDIKAN</x:v>
      </x:c>
      <x:c r="Q3206" s="18" t="n">
        <x:v>0</x:v>
      </x:c>
      <x:c r="R3206" s="18" t="n">
        <x:v>0</x:v>
      </x:c>
      <x:c r="S3206" s="18" t="n">
        <x:v>640.6601014308862</x:v>
      </x:c>
      <x:c r="T3206" s="18" t="n">
        <x:v>669</x:v>
      </x:c>
      <x:c r="U3206" s="18" t="n">
        <x:v>640.6601014308862</x:v>
      </x:c>
      <x:c r="V3206" s="20" t="n">
        <x:v>8.8</x:v>
      </x:c>
      <x:c r="W3206" s="20" t="n">
        <x:v>9.9</x:v>
      </x:c>
      <x:c r="X3206" s="20" t="n">
        <x:v>3.3</x:v>
      </x:c>
      <x:c r="Y3206" t="str">
        <x:v>Basis arsip 2025/2024</x:v>
      </x:c>
      <x:c r="Z3206" t="str">
        <x:v>https://snpmb.id/utbk-snbt/daya-tampung-snbt</x:v>
      </x:c>
      <x:c r="AA3206" t="str">
        <x:v>Tidak Ada</x:v>
      </x:c>
      <x:c r="AB3206" t="str">
        <x:v>Campus=55; Ratio=64.6; Prodi=45; RelDemand=100.0; Capacity=0.0</x:v>
      </x:c>
    </x:row>
    <x:row r="3207">
      <x:c r="A3207" t="n">
        <x:v>3204</x:v>
      </x:c>
      <x:c r="B3207" t="str">
        <x:v>PTN Akademik</x:v>
      </x:c>
      <x:c r="C3207" t="str">
        <x:v>UNIVERSITAS NEGERI MAKASSAR</x:v>
      </x:c>
      <x:c r="D3207" t="str">
        <x:v>PENDIDIKAN GURU PAUD</x:v>
      </x:c>
      <x:c r="E3207" t="str">
        <x:v>Sarjana</x:v>
      </x:c>
      <x:c r="F3207" s="18" t="n">
        <x:v>60</x:v>
      </x:c>
      <x:c r="G3207" s="18" t="n">
        <x:v>228</x:v>
      </x:c>
      <x:c r="H3207" s="19" t="n">
        <x:v>3.8</x:v>
      </x:c>
      <x:c r="I3207" s="18" t="n">
        <x:f>ROUND(MIN(Model_Config_v3!$B$6,MAX(Q3207,R3207,S3207*Model_Config_v3!$B$4+T3207*Model_Config_v3!$B$5)),0)</x:f>
        <x:v>631</x:v>
      </x:c>
      <x:c r="J3207" s="18" t="n">
        <x:f>MIN(Model_Config_v3!$B$6,I3207+Model_Config_v3!$B$7)</x:f>
        <x:v>651</x:v>
      </x:c>
      <x:c r="K3207" s="20" t="n">
        <x:v>45.3</x:v>
      </x:c>
      <x:c r="L3207" t="str">
        <x:v>MENENGAH</x:v>
      </x:c>
      <x:c r="M3207" t="str">
        <x:v>SEDANG+</x:v>
      </x:c>
      <x:c r="N3207" t="str">
        <x:v>REGULER</x:v>
      </x:c>
      <x:c r="O3207" t="str">
        <x:v>CAMPURAN</x:v>
      </x:c>
      <x:c r="P3207" t="str">
        <x:v>PENDIDIKAN</x:v>
      </x:c>
      <x:c r="Q3207" s="18" t="n">
        <x:v>0</x:v>
      </x:c>
      <x:c r="R3207" s="18" t="n">
        <x:v>0</x:v>
      </x:c>
      <x:c r="S3207" s="18" t="n">
        <x:v>583.7761956278491</x:v>
      </x:c>
      <x:c r="T3207" s="18" t="n">
        <x:v>651</x:v>
      </x:c>
      <x:c r="U3207" s="18" t="n">
        <x:v>583.7761956278491</x:v>
      </x:c>
      <x:c r="V3207" s="20" t="n">
        <x:v>8.8</x:v>
      </x:c>
      <x:c r="W3207" s="20" t="n">
        <x:v>9.9</x:v>
      </x:c>
      <x:c r="X3207" s="20" t="n">
        <x:v>3.3</x:v>
      </x:c>
      <x:c r="Y3207" t="str">
        <x:v>Basis arsip 2025/2024</x:v>
      </x:c>
      <x:c r="Z3207" t="str">
        <x:v>https://snpmb.id/utbk-snbt/daya-tampung-snbt</x:v>
      </x:c>
      <x:c r="AA3207" t="str">
        <x:v>Tidak Ada</x:v>
      </x:c>
      <x:c r="AB3207" t="str">
        <x:v>Campus=55; Ratio=34.1; Prodi=45; RelDemand=35.5; Capacity=50.0</x:v>
      </x:c>
    </x:row>
    <x:row r="3208">
      <x:c r="A3208" t="n">
        <x:v>3205</x:v>
      </x:c>
      <x:c r="B3208" t="str">
        <x:v>PTN Akademik</x:v>
      </x:c>
      <x:c r="C3208" t="str">
        <x:v>UNIVERSITAS NEGERI MAKASSAR</x:v>
      </x:c>
      <x:c r="D3208" t="str">
        <x:v>PEND. GURU SEKOLAH DASAR (KAMPUS BONE)</x:v>
      </x:c>
      <x:c r="E3208" t="str">
        <x:v>Sarjana</x:v>
      </x:c>
      <x:c r="F3208" s="18" t="n">
        <x:v>80</x:v>
      </x:c>
      <x:c r="G3208" s="18" t="n">
        <x:v>243</x:v>
      </x:c>
      <x:c r="H3208" s="19" t="n">
        <x:v>3.0375</x:v>
      </x:c>
      <x:c r="I3208" s="18" t="n">
        <x:f>ROUND(MIN(Model_Config_v3!$B$6,MAX(Q3208,R3208,S3208*Model_Config_v3!$B$4+T3208*Model_Config_v3!$B$5)),0)</x:f>
        <x:v>622</x:v>
      </x:c>
      <x:c r="J3208" s="18" t="n">
        <x:f>MIN(Model_Config_v3!$B$6,I3208+Model_Config_v3!$B$7)</x:f>
        <x:v>642</x:v>
      </x:c>
      <x:c r="K3208" s="20" t="n">
        <x:v>41.5</x:v>
      </x:c>
      <x:c r="L3208" t="str">
        <x:v>RELATIF LONGGAR</x:v>
      </x:c>
      <x:c r="M3208" t="str">
        <x:v>SEDANG+</x:v>
      </x:c>
      <x:c r="N3208" t="str">
        <x:v>REGULER</x:v>
      </x:c>
      <x:c r="O3208" t="str">
        <x:v>CAMPURAN</x:v>
      </x:c>
      <x:c r="P3208" t="str">
        <x:v>PENDIDIKAN</x:v>
      </x:c>
      <x:c r="Q3208" s="18" t="n">
        <x:v>0</x:v>
      </x:c>
      <x:c r="R3208" s="18" t="n">
        <x:v>0</x:v>
      </x:c>
      <x:c r="S3208" s="18" t="n">
        <x:v>573.0767915267005</x:v>
      </x:c>
      <x:c r="T3208" s="18" t="n">
        <x:v>643</x:v>
      </x:c>
      <x:c r="U3208" s="18" t="n">
        <x:v>573.0767915267005</x:v>
      </x:c>
      <x:c r="V3208" s="20" t="n">
        <x:v>8.8</x:v>
      </x:c>
      <x:c r="W3208" s="20" t="n">
        <x:v>9.9</x:v>
      </x:c>
      <x:c r="X3208" s="20" t="n">
        <x:v>3.3</x:v>
      </x:c>
      <x:c r="Y3208" t="str">
        <x:v>Basis arsip 2025/2024</x:v>
      </x:c>
      <x:c r="Z3208" t="str">
        <x:v>https://snpmb.id/utbk-snbt/daya-tampung-snbt</x:v>
      </x:c>
      <x:c r="AA3208" t="str">
        <x:v>Tidak Ada</x:v>
      </x:c>
      <x:c r="AB3208" t="str">
        <x:v>Campus=55; Ratio=28.4; Prodi=45; RelDemand=28.4; Capacity=33.3</x:v>
      </x:c>
    </x:row>
    <x:row r="3209">
      <x:c r="A3209" t="n">
        <x:v>3206</x:v>
      </x:c>
      <x:c r="B3209" t="str">
        <x:v>PTN Akademik</x:v>
      </x:c>
      <x:c r="C3209" t="str">
        <x:v>UNIVERSITAS NEGERI MAKASSAR</x:v>
      </x:c>
      <x:c r="D3209" t="str">
        <x:v>PEND. GURU SEK. DASAR (KAMPUS PARE-PARE)</x:v>
      </x:c>
      <x:c r="E3209" t="str">
        <x:v>Sarjana</x:v>
      </x:c>
      <x:c r="F3209" s="18" t="n">
        <x:v>65</x:v>
      </x:c>
      <x:c r="G3209" s="18" t="n">
        <x:v>182</x:v>
      </x:c>
      <x:c r="H3209" s="19" t="n">
        <x:v>2.8</x:v>
      </x:c>
      <x:c r="I3209" s="18" t="n">
        <x:f>ROUND(MIN(Model_Config_v3!$B$6,MAX(Q3209,R3209,S3209*Model_Config_v3!$B$4+T3209*Model_Config_v3!$B$5)),0)</x:f>
        <x:v>622</x:v>
      </x:c>
      <x:c r="J3209" s="18" t="n">
        <x:f>MIN(Model_Config_v3!$B$6,I3209+Model_Config_v3!$B$7)</x:f>
        <x:v>642</x:v>
      </x:c>
      <x:c r="K3209" s="20" t="n">
        <x:v>42</x:v>
      </x:c>
      <x:c r="L3209" t="str">
        <x:v>RELATIF LONGGAR</x:v>
      </x:c>
      <x:c r="M3209" t="str">
        <x:v>SEDANG+</x:v>
      </x:c>
      <x:c r="N3209" t="str">
        <x:v>REGULER</x:v>
      </x:c>
      <x:c r="O3209" t="str">
        <x:v>CAMPURAN</x:v>
      </x:c>
      <x:c r="P3209" t="str">
        <x:v>PENDIDIKAN</x:v>
      </x:c>
      <x:c r="Q3209" s="18" t="n">
        <x:v>0</x:v>
      </x:c>
      <x:c r="R3209" s="18" t="n">
        <x:v>0</x:v>
      </x:c>
      <x:c r="S3209" s="18" t="n">
        <x:v>569.1873834476442</x:v>
      </x:c>
      <x:c r="T3209" s="18" t="n">
        <x:v>644</x:v>
      </x:c>
      <x:c r="U3209" s="18" t="n">
        <x:v>569.1873834476442</x:v>
      </x:c>
      <x:c r="V3209" s="20" t="n">
        <x:v>8.8</x:v>
      </x:c>
      <x:c r="W3209" s="20" t="n">
        <x:v>9.9</x:v>
      </x:c>
      <x:c r="X3209" s="20" t="n">
        <x:v>3.3</x:v>
      </x:c>
      <x:c r="Y3209" t="str">
        <x:v>Basis arsip 2025/2024</x:v>
      </x:c>
      <x:c r="Z3209" t="str">
        <x:v>https://snpmb.id/utbk-snbt/daya-tampung-snbt</x:v>
      </x:c>
      <x:c r="AA3209" t="str">
        <x:v>Tidak Ada</x:v>
      </x:c>
      <x:c r="AB3209" t="str">
        <x:v>Campus=55; Ratio=26.3; Prodi=45; RelDemand=26.1; Capacity=45.8</x:v>
      </x:c>
    </x:row>
    <x:row r="3210">
      <x:c r="A3210" t="n">
        <x:v>3207</x:v>
      </x:c>
      <x:c r="B3210" t="str">
        <x:v>PTN Akademik</x:v>
      </x:c>
      <x:c r="C3210" t="str">
        <x:v>UNIVERSITAS NEGERI MAKASSAR</x:v>
      </x:c>
      <x:c r="D3210" t="str">
        <x:v>PENDIDIKAN IPS</x:v>
      </x:c>
      <x:c r="E3210" t="str">
        <x:v>Sarjana</x:v>
      </x:c>
      <x:c r="F3210" s="18" t="n">
        <x:v>35</x:v>
      </x:c>
      <x:c r="G3210" s="18" t="n">
        <x:v>95</x:v>
      </x:c>
      <x:c r="H3210" s="19" t="n">
        <x:v>2.7142857142857144</x:v>
      </x:c>
      <x:c r="I3210" s="18" t="n">
        <x:f>ROUND(MIN(Model_Config_v3!$B$6,MAX(Q3210,R3210,S3210*Model_Config_v3!$B$4+T3210*Model_Config_v3!$B$5)),0)</x:f>
        <x:v>624</x:v>
      </x:c>
      <x:c r="J3210" s="18" t="n">
        <x:f>MIN(Model_Config_v3!$B$6,I3210+Model_Config_v3!$B$7)</x:f>
        <x:v>644</x:v>
      </x:c>
      <x:c r="K3210" s="20" t="n">
        <x:v>44.2</x:v>
      </x:c>
      <x:c r="L3210" t="str">
        <x:v>RELATIF LONGGAR</x:v>
      </x:c>
      <x:c r="M3210" t="str">
        <x:v>SEDANG+</x:v>
      </x:c>
      <x:c r="N3210" t="str">
        <x:v>REGULER</x:v>
      </x:c>
      <x:c r="O3210" t="str">
        <x:v>CAMPURAN</x:v>
      </x:c>
      <x:c r="P3210" t="str">
        <x:v>PENDIDIKAN</x:v>
      </x:c>
      <x:c r="Q3210" s="18" t="n">
        <x:v>0</x:v>
      </x:c>
      <x:c r="R3210" s="18" t="n">
        <x:v>0</x:v>
      </x:c>
      <x:c r="S3210" s="18" t="n">
        <x:v>567.702111703243</x:v>
      </x:c>
      <x:c r="T3210" s="18" t="n">
        <x:v>648</x:v>
      </x:c>
      <x:c r="U3210" s="18" t="n">
        <x:v>567.702111703243</x:v>
      </x:c>
      <x:c r="V3210" s="20" t="n">
        <x:v>8.8</x:v>
      </x:c>
      <x:c r="W3210" s="20" t="n">
        <x:v>9.9</x:v>
      </x:c>
      <x:c r="X3210" s="20" t="n">
        <x:v>3.3</x:v>
      </x:c>
      <x:c r="Y3210" t="str">
        <x:v>Basis arsip 2025/2024</x:v>
      </x:c>
      <x:c r="Z3210" t="str">
        <x:v>https://snpmb.id/utbk-snbt/daya-tampung-snbt</x:v>
      </x:c>
      <x:c r="AA3210" t="str">
        <x:v>Tidak Ada</x:v>
      </x:c>
      <x:c r="AB3210" t="str">
        <x:v>Campus=55; Ratio=25.5; Prodi=45; RelDemand=25.3; Capacity=70.8</x:v>
      </x:c>
    </x:row>
    <x:row r="3211">
      <x:c r="A3211" t="n">
        <x:v>3208</x:v>
      </x:c>
      <x:c r="B3211" t="str">
        <x:v>PTN Akademik</x:v>
      </x:c>
      <x:c r="C3211" t="str">
        <x:v>UNIVERSITAS NEGERI MAKASSAR</x:v>
      </x:c>
      <x:c r="D3211" t="str">
        <x:v>ADMINISTRASI NEGARA</x:v>
      </x:c>
      <x:c r="E3211" t="str">
        <x:v>Sarjana</x:v>
      </x:c>
      <x:c r="F3211" s="18" t="n">
        <x:v>64</x:v>
      </x:c>
      <x:c r="G3211" s="18" t="n">
        <x:v>701</x:v>
      </x:c>
      <x:c r="H3211" s="19" t="n">
        <x:v>10.953125</x:v>
      </x:c>
      <x:c r="I3211" s="18" t="n">
        <x:f>ROUND(MIN(Model_Config_v3!$B$6,MAX(Q3211,R3211,S3211*Model_Config_v3!$B$4+T3211*Model_Config_v3!$B$5)),0)</x:f>
        <x:v>662</x:v>
      </x:c>
      <x:c r="J3211" s="18" t="n">
        <x:f>MIN(Model_Config_v3!$B$6,I3211+Model_Config_v3!$B$7)</x:f>
        <x:v>682</x:v>
      </x:c>
      <x:c r="K3211" s="20" t="n">
        <x:v>57.2</x:v>
      </x:c>
      <x:c r="L3211" t="str">
        <x:v>KETAT</x:v>
      </x:c>
      <x:c r="M3211" t="str">
        <x:v>SEDANG</x:v>
      </x:c>
      <x:c r="N3211" t="str">
        <x:v>REGULER</x:v>
      </x:c>
      <x:c r="O3211" t="str">
        <x:v>SOSHUM</x:v>
      </x:c>
      <x:c r="P3211" t="str">
        <x:v>UMUM</x:v>
      </x:c>
      <x:c r="Q3211" s="18" t="n">
        <x:v>0</x:v>
      </x:c>
      <x:c r="R3211" s="18" t="n">
        <x:v>0</x:v>
      </x:c>
      <x:c r="S3211" s="18" t="n">
        <x:v>634.3491848381049</x:v>
      </x:c>
      <x:c r="T3211" s="18" t="n">
        <x:v>674</x:v>
      </x:c>
      <x:c r="U3211" s="18" t="n">
        <x:v>634.3491848381049</x:v>
      </x:c>
      <x:c r="V3211" s="20" t="n">
        <x:v>4.4</x:v>
      </x:c>
      <x:c r="W3211" s="20" t="n">
        <x:v>14.3</x:v>
      </x:c>
      <x:c r="X3211" s="20" t="n">
        <x:v>3.3</x:v>
      </x:c>
      <x:c r="Y3211" t="str">
        <x:v>Basis arsip 2025/2024</x:v>
      </x:c>
      <x:c r="Z3211" t="str">
        <x:v>https://snpmb.id/utbk-snbt/daya-tampung-snbt</x:v>
      </x:c>
      <x:c r="AA3211" t="str">
        <x:v>Tidak Ada</x:v>
      </x:c>
      <x:c r="AB3211" t="str">
        <x:v>Campus=55; Ratio=61.2; Prodi=40; RelDemand=100.0; Capacity=46.7</x:v>
      </x:c>
    </x:row>
    <x:row r="3212">
      <x:c r="A3212" t="n">
        <x:v>3209</x:v>
      </x:c>
      <x:c r="B3212" t="str">
        <x:v>PTN Akademik</x:v>
      </x:c>
      <x:c r="C3212" t="str">
        <x:v>UNIVERSITAS NEGERI MAKASSAR</x:v>
      </x:c>
      <x:c r="D3212" t="str">
        <x:v>PENDIDIKAN EKONOMI</x:v>
      </x:c>
      <x:c r="E3212" t="str">
        <x:v>Sarjana</x:v>
      </x:c>
      <x:c r="F3212" s="18" t="n">
        <x:v>93</x:v>
      </x:c>
      <x:c r="G3212" s="18" t="n">
        <x:v>167</x:v>
      </x:c>
      <x:c r="H3212" s="19" t="n">
        <x:v>1.7956989247311828</x:v>
      </x:c>
      <x:c r="I3212" s="18" t="n">
        <x:f>ROUND(MIN(Model_Config_v3!$B$6,MAX(Q3212,R3212,S3212*Model_Config_v3!$B$4+T3212*Model_Config_v3!$B$5)),0)</x:f>
        <x:v>607</x:v>
      </x:c>
      <x:c r="J3212" s="18" t="n">
        <x:f>MIN(Model_Config_v3!$B$6,I3212+Model_Config_v3!$B$7)</x:f>
        <x:v>627</x:v>
      </x:c>
      <x:c r="K3212" s="20" t="n">
        <x:v>35.9</x:v>
      </x:c>
      <x:c r="L3212" t="str">
        <x:v>RELATIF LONGGAR</x:v>
      </x:c>
      <x:c r="M3212" t="str">
        <x:v>SEDANG+</x:v>
      </x:c>
      <x:c r="N3212" t="str">
        <x:v>REGULER</x:v>
      </x:c>
      <x:c r="O3212" t="str">
        <x:v>SOSHUM</x:v>
      </x:c>
      <x:c r="P3212" t="str">
        <x:v>PENDIDIKAN</x:v>
      </x:c>
      <x:c r="Q3212" s="18" t="n">
        <x:v>0</x:v>
      </x:c>
      <x:c r="R3212" s="18" t="n">
        <x:v>0</x:v>
      </x:c>
      <x:c r="S3212" s="18" t="n">
        <x:v>547.9656874853013</x:v>
      </x:c>
      <x:c r="T3212" s="18" t="n">
        <x:v>632</x:v>
      </x:c>
      <x:c r="U3212" s="18" t="n">
        <x:v>547.9656874853013</x:v>
      </x:c>
      <x:c r="V3212" s="20" t="n">
        <x:v>4.4</x:v>
      </x:c>
      <x:c r="W3212" s="20" t="n">
        <x:v>14.3</x:v>
      </x:c>
      <x:c r="X3212" s="20" t="n">
        <x:v>3.3</x:v>
      </x:c>
      <x:c r="Y3212" t="str">
        <x:v>Basis arsip 2025/2024</x:v>
      </x:c>
      <x:c r="Z3212" t="str">
        <x:v>https://snpmb.id/utbk-snbt/daya-tampung-snbt</x:v>
      </x:c>
      <x:c r="AA3212" t="str">
        <x:v>Tidak Ada</x:v>
      </x:c>
      <x:c r="AB3212" t="str">
        <x:v>Campus=55; Ratio=15.0; Prodi=45; RelDemand=16.8; Capacity=22.5</x:v>
      </x:c>
    </x:row>
    <x:row r="3213">
      <x:c r="A3213" t="n">
        <x:v>3210</x:v>
      </x:c>
      <x:c r="B3213" t="str">
        <x:v>PTN Akademik</x:v>
      </x:c>
      <x:c r="C3213" t="str">
        <x:v>UNIVERSITAS NEGERI MAKASSAR</x:v>
      </x:c>
      <x:c r="D3213" t="str">
        <x:v>PEND. GEOGRAFI KLS INTERNAS. (BILINGUAL)</x:v>
      </x:c>
      <x:c r="E3213" t="str">
        <x:v>Sarjana</x:v>
      </x:c>
      <x:c r="F3213" s="18" t="n">
        <x:v>15</x:v>
      </x:c>
      <x:c r="G3213" s="18" t="n">
        <x:v>16</x:v>
      </x:c>
      <x:c r="H3213" s="19" t="n">
        <x:v>1.0666666666666667</x:v>
      </x:c>
      <x:c r="I3213" s="18" t="n">
        <x:f>ROUND(MIN(Model_Config_v3!$B$6,MAX(Q3213,R3213,S3213*Model_Config_v3!$B$4+T3213*Model_Config_v3!$B$5)),0)</x:f>
        <x:v>603</x:v>
      </x:c>
      <x:c r="J3213" s="18" t="n">
        <x:f>MIN(Model_Config_v3!$B$6,I3213+Model_Config_v3!$B$7)</x:f>
        <x:v>623</x:v>
      </x:c>
      <x:c r="K3213" s="20" t="n">
        <x:v>38.4</x:v>
      </x:c>
      <x:c r="L3213" t="str">
        <x:v>RELATIF LONGGAR</x:v>
      </x:c>
      <x:c r="M3213" t="str">
        <x:v>SEDANG+</x:v>
      </x:c>
      <x:c r="N3213" t="str">
        <x:v>REGULER</x:v>
      </x:c>
      <x:c r="O3213" t="str">
        <x:v>CAMPURAN</x:v>
      </x:c>
      <x:c r="P3213" t="str">
        <x:v>PENDIDIKAN</x:v>
      </x:c>
      <x:c r="Q3213" s="18" t="n">
        <x:v>0</x:v>
      </x:c>
      <x:c r="R3213" s="18" t="n">
        <x:v>0</x:v>
      </x:c>
      <x:c r="S3213" s="18" t="n">
        <x:v>523.0831595960268</x:v>
      </x:c>
      <x:c r="T3213" s="18" t="n">
        <x:v>637</x:v>
      </x:c>
      <x:c r="U3213" s="18" t="n">
        <x:v>523.0831595960268</x:v>
      </x:c>
      <x:c r="V3213" s="20" t="n">
        <x:v>8.8</x:v>
      </x:c>
      <x:c r="W3213" s="20" t="n">
        <x:v>9.9</x:v>
      </x:c>
      <x:c r="X3213" s="20" t="n">
        <x:v>3.3</x:v>
      </x:c>
      <x:c r="Y3213" t="str">
        <x:v>Basis arsip 2025/2024</x:v>
      </x:c>
      <x:c r="Z3213" t="str">
        <x:v>https://snpmb.id/utbk-snbt/daya-tampung-snbt</x:v>
      </x:c>
      <x:c r="AA3213" t="str">
        <x:v>Tidak Ada</x:v>
      </x:c>
      <x:c r="AB3213" t="str">
        <x:v>Campus=55; Ratio=1.6; Prodi=45; RelDemand=10.0; Capacity=87.5</x:v>
      </x:c>
    </x:row>
    <x:row r="3214">
      <x:c r="A3214" t="n">
        <x:v>3211</x:v>
      </x:c>
      <x:c r="B3214" t="str">
        <x:v>PTN Akademik</x:v>
      </x:c>
      <x:c r="C3214" t="str">
        <x:v>UNIVERSITAS NEGERI MAKASSAR</x:v>
      </x:c>
      <x:c r="D3214" t="str">
        <x:v>EKONOMI PEMBANGUNAN</x:v>
      </x:c>
      <x:c r="E3214" t="str">
        <x:v>Sarjana</x:v>
      </x:c>
      <x:c r="F3214" s="18" t="n">
        <x:v>74</x:v>
      </x:c>
      <x:c r="G3214" s="18" t="n">
        <x:v>231</x:v>
      </x:c>
      <x:c r="H3214" s="19" t="n">
        <x:v>3.1216216216216215</x:v>
      </x:c>
      <x:c r="I3214" s="18" t="n">
        <x:f>ROUND(MIN(Model_Config_v3!$B$6,MAX(Q3214,R3214,S3214*Model_Config_v3!$B$4+T3214*Model_Config_v3!$B$5)),0)</x:f>
        <x:v>629</x:v>
      </x:c>
      <x:c r="J3214" s="18" t="n">
        <x:f>MIN(Model_Config_v3!$B$6,I3214+Model_Config_v3!$B$7)</x:f>
        <x:v>649</x:v>
      </x:c>
      <x:c r="K3214" s="20" t="n">
        <x:v>46.3</x:v>
      </x:c>
      <x:c r="L3214" t="str">
        <x:v>MENENGAH</x:v>
      </x:c>
      <x:c r="M3214" t="str">
        <x:v>SEDANG+</x:v>
      </x:c>
      <x:c r="N3214" t="str">
        <x:v>REGULER</x:v>
      </x:c>
      <x:c r="O3214" t="str">
        <x:v>SOSHUM</x:v>
      </x:c>
      <x:c r="P3214" t="str">
        <x:v>BISNIS/EKONOMI/AKUNTANSI</x:v>
      </x:c>
      <x:c r="Q3214" s="18" t="n">
        <x:v>0</x:v>
      </x:c>
      <x:c r="R3214" s="18" t="n">
        <x:v>0</x:v>
      </x:c>
      <x:c r="S3214" s="18" t="n">
        <x:v>574.3818286177285</x:v>
      </x:c>
      <x:c r="T3214" s="18" t="n">
        <x:v>653</x:v>
      </x:c>
      <x:c r="U3214" s="18" t="n">
        <x:v>574.3818286177285</x:v>
      </x:c>
      <x:c r="V3214" s="20" t="n">
        <x:v>4.4</x:v>
      </x:c>
      <x:c r="W3214" s="20" t="n">
        <x:v>14.3</x:v>
      </x:c>
      <x:c r="X3214" s="20" t="n">
        <x:v>3.3</x:v>
      </x:c>
      <x:c r="Y3214" t="str">
        <x:v>Basis arsip 2025/2024</x:v>
      </x:c>
      <x:c r="Z3214" t="str">
        <x:v>https://snpmb.id/utbk-snbt/daya-tampung-snbt</x:v>
      </x:c>
      <x:c r="AA3214" t="str">
        <x:v>Tidak Ada</x:v>
      </x:c>
      <x:c r="AB3214" t="str">
        <x:v>Campus=55; Ratio=29.1; Prodi=65; RelDemand=29.1; Capacity=38.3</x:v>
      </x:c>
    </x:row>
    <x:row r="3215">
      <x:c r="A3215" t="n">
        <x:v>3212</x:v>
      </x:c>
      <x:c r="B3215" t="str">
        <x:v>PTN Akademik</x:v>
      </x:c>
      <x:c r="C3215" t="str">
        <x:v>UNIVERSITAS NEGERI MAKASSAR</x:v>
      </x:c>
      <x:c r="D3215" t="str">
        <x:v>AKUNTANSI</x:v>
      </x:c>
      <x:c r="E3215" t="str">
        <x:v>Sarjana</x:v>
      </x:c>
      <x:c r="F3215" s="18" t="n">
        <x:v>113</x:v>
      </x:c>
      <x:c r="G3215" s="18" t="n">
        <x:v>895</x:v>
      </x:c>
      <x:c r="H3215" s="19" t="n">
        <x:v>7.920353982300885</x:v>
      </x:c>
      <x:c r="I3215" s="18" t="n">
        <x:f>ROUND(MIN(Model_Config_v3!$B$6,MAX(Q3215,R3215,S3215*Model_Config_v3!$B$4+T3215*Model_Config_v3!$B$5)),0)</x:f>
        <x:v>653</x:v>
      </x:c>
      <x:c r="J3215" s="18" t="n">
        <x:f>MIN(Model_Config_v3!$B$6,I3215+Model_Config_v3!$B$7)</x:f>
        <x:v>673</x:v>
      </x:c>
      <x:c r="K3215" s="20" t="n">
        <x:v>53.5</x:v>
      </x:c>
      <x:c r="L3215" t="str">
        <x:v>MENENGAH</x:v>
      </x:c>
      <x:c r="M3215" t="str">
        <x:v>SEDANG+</x:v>
      </x:c>
      <x:c r="N3215" t="str">
        <x:v>REGULER</x:v>
      </x:c>
      <x:c r="O3215" t="str">
        <x:v>SOSHUM</x:v>
      </x:c>
      <x:c r="P3215" t="str">
        <x:v>BISNIS/EKONOMI/AKUNTANSI</x:v>
      </x:c>
      <x:c r="Q3215" s="18" t="n">
        <x:v>0</x:v>
      </x:c>
      <x:c r="R3215" s="18" t="n">
        <x:v>0</x:v>
      </x:c>
      <x:c r="S3215" s="18" t="n">
        <x:v>618.8619051015742</x:v>
      </x:c>
      <x:c r="T3215" s="18" t="n">
        <x:v>667</x:v>
      </x:c>
      <x:c r="U3215" s="18" t="n">
        <x:v>618.8619051015742</x:v>
      </x:c>
      <x:c r="V3215" s="20" t="n">
        <x:v>4.4</x:v>
      </x:c>
      <x:c r="W3215" s="20" t="n">
        <x:v>14.3</x:v>
      </x:c>
      <x:c r="X3215" s="20" t="n">
        <x:v>3.3</x:v>
      </x:c>
      <x:c r="Y3215" t="str">
        <x:v>Basis arsip 2025/2024</x:v>
      </x:c>
      <x:c r="Z3215" t="str">
        <x:v>https://snpmb.id/utbk-snbt/daya-tampung-snbt</x:v>
      </x:c>
      <x:c r="AA3215" t="str">
        <x:v>Tidak Ada</x:v>
      </x:c>
      <x:c r="AB3215" t="str">
        <x:v>Campus=55; Ratio=52.9; Prodi=65; RelDemand=73.9; Capacity=5.8</x:v>
      </x:c>
    </x:row>
    <x:row r="3216">
      <x:c r="A3216" t="n">
        <x:v>3213</x:v>
      </x:c>
      <x:c r="B3216" t="str">
        <x:v>PTN Akademik</x:v>
      </x:c>
      <x:c r="C3216" t="str">
        <x:v>UNIVERSITAS NEGERI MAKASSAR</x:v>
      </x:c>
      <x:c r="D3216" t="str">
        <x:v>PENDIDIKAN SENI DRAMA, TARI, DAN MUSIK</x:v>
      </x:c>
      <x:c r="E3216" t="str">
        <x:v>Sarjana</x:v>
      </x:c>
      <x:c r="F3216" s="18" t="n">
        <x:v>72</x:v>
      </x:c>
      <x:c r="G3216" s="18" t="n">
        <x:v>85</x:v>
      </x:c>
      <x:c r="H3216" s="19" t="n">
        <x:v>1.1805555555555556</x:v>
      </x:c>
      <x:c r="I3216" s="18" t="n">
        <x:f>ROUND(MIN(Model_Config_v3!$B$6,MAX(Q3216,R3216,S3216*Model_Config_v3!$B$4+T3216*Model_Config_v3!$B$5)),0)</x:f>
        <x:v>599</x:v>
      </x:c>
      <x:c r="J3216" s="18" t="n">
        <x:f>MIN(Model_Config_v3!$B$6,I3216+Model_Config_v3!$B$7)</x:f>
        <x:v>619</x:v>
      </x:c>
      <x:c r="K3216" s="20" t="n">
        <x:v>34.4</x:v>
      </x:c>
      <x:c r="L3216" t="str">
        <x:v>RELATIF LONGGAR</x:v>
      </x:c>
      <x:c r="M3216" t="str">
        <x:v>PORTOFOLIO</x:v>
      </x:c>
      <x:c r="N3216" t="str">
        <x:v>REGULER</x:v>
      </x:c>
      <x:c r="O3216" t="str">
        <x:v>SENI/OLAHRAGA</x:v>
      </x:c>
      <x:c r="P3216" t="str">
        <x:v>SENI/OLAHRAGA</x:v>
      </x:c>
      <x:c r="Q3216" s="18" t="n">
        <x:v>0</x:v>
      </x:c>
      <x:c r="R3216" s="18" t="n">
        <x:v>0</x:v>
      </x:c>
      <x:c r="S3216" s="18" t="n">
        <x:v>527.9295072211327</x:v>
      </x:c>
      <x:c r="T3216" s="18" t="n">
        <x:v>629</x:v>
      </x:c>
      <x:c r="U3216" s="18" t="n">
        <x:v>527.9295072211327</x:v>
      </x:c>
      <x:c r="V3216" s="20" t="n">
        <x:v>4.4</x:v>
      </x:c>
      <x:c r="W3216" s="20" t="n">
        <x:v>9.9</x:v>
      </x:c>
      <x:c r="X3216" s="20" t="n">
        <x:v>7.7</x:v>
      </x:c>
      <x:c r="Y3216" t="str">
        <x:v>Basis arsip 2025/2024</x:v>
      </x:c>
      <x:c r="Z3216" t="str">
        <x:v>https://snpmb.id/utbk-snbt/daya-tampung-snbt</x:v>
      </x:c>
      <x:c r="AA3216" t="str">
        <x:v>Sendratasik</x:v>
      </x:c>
      <x:c r="AB3216" t="str">
        <x:v>Campus=55; Ratio=4.2; Prodi=45; RelDemand=11.0; Capacity=40.0</x:v>
      </x:c>
    </x:row>
    <x:row r="3217">
      <x:c r="A3217" t="n">
        <x:v>3214</x:v>
      </x:c>
      <x:c r="B3217" t="str">
        <x:v>PTN Akademik</x:v>
      </x:c>
      <x:c r="C3217" t="str">
        <x:v>UNIVERSITAS NEGERI MAKASSAR</x:v>
      </x:c>
      <x:c r="D3217" t="str">
        <x:v>PENDIDIKAN SENI RUPA</x:v>
      </x:c>
      <x:c r="E3217" t="str">
        <x:v>Sarjana</x:v>
      </x:c>
      <x:c r="F3217" s="18" t="n">
        <x:v>38</x:v>
      </x:c>
      <x:c r="G3217" s="18" t="n">
        <x:v>50</x:v>
      </x:c>
      <x:c r="H3217" s="19" t="n">
        <x:v>1.3157894736842106</x:v>
      </x:c>
      <x:c r="I3217" s="18" t="n">
        <x:f>ROUND(MIN(Model_Config_v3!$B$6,MAX(Q3217,R3217,S3217*Model_Config_v3!$B$4+T3217*Model_Config_v3!$B$5)),0)</x:f>
        <x:v>605</x:v>
      </x:c>
      <x:c r="J3217" s="18" t="n">
        <x:f>MIN(Model_Config_v3!$B$6,I3217+Model_Config_v3!$B$7)</x:f>
        <x:v>625</x:v>
      </x:c>
      <x:c r="K3217" s="20" t="n">
        <x:v>38.1</x:v>
      </x:c>
      <x:c r="L3217" t="str">
        <x:v>RELATIF LONGGAR</x:v>
      </x:c>
      <x:c r="M3217" t="str">
        <x:v>PORTOFOLIO</x:v>
      </x:c>
      <x:c r="N3217" t="str">
        <x:v>REGULER</x:v>
      </x:c>
      <x:c r="O3217" t="str">
        <x:v>SENI/OLAHRAGA</x:v>
      </x:c>
      <x:c r="P3217" t="str">
        <x:v>SENI/OLAHRAGA</x:v>
      </x:c>
      <x:c r="Q3217" s="18" t="n">
        <x:v>0</x:v>
      </x:c>
      <x:c r="R3217" s="18" t="n">
        <x:v>0</x:v>
      </x:c>
      <x:c r="S3217" s="18" t="n">
        <x:v>533.110504849113</x:v>
      </x:c>
      <x:c r="T3217" s="18" t="n">
        <x:v>636</x:v>
      </x:c>
      <x:c r="U3217" s="18" t="n">
        <x:v>533.110504849113</x:v>
      </x:c>
      <x:c r="V3217" s="20" t="n">
        <x:v>4.4</x:v>
      </x:c>
      <x:c r="W3217" s="20" t="n">
        <x:v>9.9</x:v>
      </x:c>
      <x:c r="X3217" s="20" t="n">
        <x:v>7.7</x:v>
      </x:c>
      <x:c r="Y3217" t="str">
        <x:v>Basis arsip 2025/2024</x:v>
      </x:c>
      <x:c r="Z3217" t="str">
        <x:v>https://snpmb.id/utbk-snbt/daya-tampung-snbt</x:v>
      </x:c>
      <x:c r="AA3217" t="str">
        <x:v>Seni Rupa, Desain, dan Kriya</x:v>
      </x:c>
      <x:c r="AB3217" t="str">
        <x:v>Campus=55; Ratio=7.0; Prodi=45; RelDemand=12.3; Capacity=68.3</x:v>
      </x:c>
    </x:row>
    <x:row r="3218">
      <x:c r="A3218" t="n">
        <x:v>3215</x:v>
      </x:c>
      <x:c r="B3218" t="str">
        <x:v>PTN Akademik</x:v>
      </x:c>
      <x:c r="C3218" t="str">
        <x:v>UNIVERSITAS NEGERI MAKASSAR</x:v>
      </x:c>
      <x:c r="D3218" t="str">
        <x:v>P. GURU SEK DASAR BILINGUAL (KAMP MAKASSAR)</x:v>
      </x:c>
      <x:c r="E3218" t="str">
        <x:v>Sarjana</x:v>
      </x:c>
      <x:c r="F3218" s="18" t="n">
        <x:v>46</x:v>
      </x:c>
      <x:c r="G3218" s="18" t="n">
        <x:v>195</x:v>
      </x:c>
      <x:c r="H3218" s="19" t="n">
        <x:v>4.239130434782608</x:v>
      </x:c>
      <x:c r="I3218" s="18" t="n">
        <x:f>ROUND(MIN(Model_Config_v3!$B$6,MAX(Q3218,R3218,S3218*Model_Config_v3!$B$4+T3218*Model_Config_v3!$B$5)),0)</x:f>
        <x:v>634</x:v>
      </x:c>
      <x:c r="J3218" s="18" t="n">
        <x:f>MIN(Model_Config_v3!$B$6,I3218+Model_Config_v3!$B$7)</x:f>
        <x:v>654</x:v>
      </x:c>
      <x:c r="K3218" s="20" t="n">
        <x:v>46.6</x:v>
      </x:c>
      <x:c r="L3218" t="str">
        <x:v>MENENGAH</x:v>
      </x:c>
      <x:c r="M3218" t="str">
        <x:v>SEDANG</x:v>
      </x:c>
      <x:c r="N3218" t="str">
        <x:v>REGULER</x:v>
      </x:c>
      <x:c r="O3218" t="str">
        <x:v>CAMPURAN</x:v>
      </x:c>
      <x:c r="P3218" t="str">
        <x:v>UMUM</x:v>
      </x:c>
      <x:c r="Q3218" s="18" t="n">
        <x:v>0</x:v>
      </x:c>
      <x:c r="R3218" s="18" t="n">
        <x:v>0</x:v>
      </x:c>
      <x:c r="S3218" s="18" t="n">
        <x:v>589.0004457649038</x:v>
      </x:c>
      <x:c r="T3218" s="18" t="n">
        <x:v>653</x:v>
      </x:c>
      <x:c r="U3218" s="18" t="n">
        <x:v>589.0004457649038</x:v>
      </x:c>
      <x:c r="V3218" s="20" t="n">
        <x:v>8.8</x:v>
      </x:c>
      <x:c r="W3218" s="20" t="n">
        <x:v>9.9</x:v>
      </x:c>
      <x:c r="X3218" s="20" t="n">
        <x:v>3.3</x:v>
      </x:c>
      <x:c r="Y3218" t="str">
        <x:v>Basis arsip 2025/2024</x:v>
      </x:c>
      <x:c r="Z3218" t="str">
        <x:v>https://snpmb.id/utbk-snbt/daya-tampung-snbt</x:v>
      </x:c>
      <x:c r="AA3218" t="str">
        <x:v>Tidak Ada</x:v>
      </x:c>
      <x:c r="AB3218" t="str">
        <x:v>Campus=55; Ratio=36.9; Prodi=40; RelDemand=39.6; Capacity=61.7</x:v>
      </x:c>
    </x:row>
    <x:row r="3219">
      <x:c r="A3219" t="n">
        <x:v>3216</x:v>
      </x:c>
      <x:c r="B3219" t="str">
        <x:v>PTN Akademik</x:v>
      </x:c>
      <x:c r="C3219" t="str">
        <x:v>UNIVERSITAS NEGERI MAKASSAR</x:v>
      </x:c>
      <x:c r="D3219" t="str">
        <x:v>SENI TARI</x:v>
      </x:c>
      <x:c r="E3219" t="str">
        <x:v>Sarjana</x:v>
      </x:c>
      <x:c r="F3219" s="18" t="n">
        <x:v>19</x:v>
      </x:c>
      <x:c r="G3219" s="18" t="n">
        <x:v>38</x:v>
      </x:c>
      <x:c r="H3219" s="19" t="n">
        <x:v>2</x:v>
      </x:c>
      <x:c r="I3219" s="18" t="n">
        <x:f>ROUND(MIN(Model_Config_v3!$B$6,MAX(Q3219,R3219,S3219*Model_Config_v3!$B$4+T3219*Model_Config_v3!$B$5)),0)</x:f>
        <x:v>618</x:v>
      </x:c>
      <x:c r="J3219" s="18" t="n">
        <x:f>MIN(Model_Config_v3!$B$6,I3219+Model_Config_v3!$B$7)</x:f>
        <x:v>638</x:v>
      </x:c>
      <x:c r="K3219" s="20" t="n">
        <x:v>43</x:v>
      </x:c>
      <x:c r="L3219" t="str">
        <x:v>RELATIF LONGGAR</x:v>
      </x:c>
      <x:c r="M3219" t="str">
        <x:v>PORTOFOLIO</x:v>
      </x:c>
      <x:c r="N3219" t="str">
        <x:v>REGULER</x:v>
      </x:c>
      <x:c r="O3219" t="str">
        <x:v>SENI/OLAHRAGA</x:v>
      </x:c>
      <x:c r="P3219" t="str">
        <x:v>SENI/OLAHRAGA</x:v>
      </x:c>
      <x:c r="Q3219" s="18" t="n">
        <x:v>0</x:v>
      </x:c>
      <x:c r="R3219" s="18" t="n">
        <x:v>0</x:v>
      </x:c>
      <x:c r="S3219" s="18" t="n">
        <x:v>553.1132995230379</x:v>
      </x:c>
      <x:c r="T3219" s="18" t="n">
        <x:v>646</x:v>
      </x:c>
      <x:c r="U3219" s="18" t="n">
        <x:v>553.1132995230379</x:v>
      </x:c>
      <x:c r="V3219" s="20" t="n">
        <x:v>4.4</x:v>
      </x:c>
      <x:c r="W3219" s="20" t="n">
        <x:v>9.9</x:v>
      </x:c>
      <x:c r="X3219" s="20" t="n">
        <x:v>7.7</x:v>
      </x:c>
      <x:c r="Y3219" t="str">
        <x:v>Basis arsip 2025/2024</x:v>
      </x:c>
      <x:c r="Z3219" t="str">
        <x:v>https://snpmb.id/utbk-snbt/daya-tampung-snbt</x:v>
      </x:c>
      <x:c r="AA3219" t="str">
        <x:v>Tari</x:v>
      </x:c>
      <x:c r="AB3219" t="str">
        <x:v>Campus=55; Ratio=17.7; Prodi=45; RelDemand=18.7; Capacity=84.2</x:v>
      </x:c>
    </x:row>
    <x:row r="3220">
      <x:c r="A3220" t="n">
        <x:v>3217</x:v>
      </x:c>
      <x:c r="B3220" t="str">
        <x:v>PTN Akademik</x:v>
      </x:c>
      <x:c r="C3220" t="str">
        <x:v>UNIVERSITAS NEGERI MAKASSAR</x:v>
      </x:c>
      <x:c r="D3220" t="str">
        <x:v>PEND. ADMINISTRASI PERKANTORAN</x:v>
      </x:c>
      <x:c r="E3220" t="str">
        <x:v>Sarjana</x:v>
      </x:c>
      <x:c r="F3220" s="18" t="n">
        <x:v>48</x:v>
      </x:c>
      <x:c r="G3220" s="18" t="n">
        <x:v>438</x:v>
      </x:c>
      <x:c r="H3220" s="19" t="n">
        <x:v>9.125</x:v>
      </x:c>
      <x:c r="I3220" s="18" t="n">
        <x:f>ROUND(MIN(Model_Config_v3!$B$6,MAX(Q3220,R3220,S3220*Model_Config_v3!$B$4+T3220*Model_Config_v3!$B$5)),0)</x:f>
        <x:v>659</x:v>
      </x:c>
      <x:c r="J3220" s="18" t="n">
        <x:f>MIN(Model_Config_v3!$B$6,I3220+Model_Config_v3!$B$7)</x:f>
        <x:v>679</x:v>
      </x:c>
      <x:c r="K3220" s="20" t="n">
        <x:v>56.9</x:v>
      </x:c>
      <x:c r="L3220" t="str">
        <x:v>KETAT</x:v>
      </x:c>
      <x:c r="M3220" t="str">
        <x:v>SEDANG+</x:v>
      </x:c>
      <x:c r="N3220" t="str">
        <x:v>REGULER</x:v>
      </x:c>
      <x:c r="O3220" t="str">
        <x:v>SOSHUM</x:v>
      </x:c>
      <x:c r="P3220" t="str">
        <x:v>PENDIDIKAN</x:v>
      </x:c>
      <x:c r="Q3220" s="18" t="n">
        <x:v>0</x:v>
      </x:c>
      <x:c r="R3220" s="18" t="n">
        <x:v>0</x:v>
      </x:c>
      <x:c r="S3220" s="18" t="n">
        <x:v>625.6256160441363</x:v>
      </x:c>
      <x:c r="T3220" s="18" t="n">
        <x:v>674</x:v>
      </x:c>
      <x:c r="U3220" s="18" t="n">
        <x:v>625.6256160441363</x:v>
      </x:c>
      <x:c r="V3220" s="20" t="n">
        <x:v>4.4</x:v>
      </x:c>
      <x:c r="W3220" s="20" t="n">
        <x:v>14.3</x:v>
      </x:c>
      <x:c r="X3220" s="20" t="n">
        <x:v>3.3</x:v>
      </x:c>
      <x:c r="Y3220" t="str">
        <x:v>Basis arsip 2025/2024</x:v>
      </x:c>
      <x:c r="Z3220" t="str">
        <x:v>https://snpmb.id/utbk-snbt/daya-tampung-snbt</x:v>
      </x:c>
      <x:c r="AA3220" t="str">
        <x:v>Tidak Ada</x:v>
      </x:c>
      <x:c r="AB3220" t="str">
        <x:v>Campus=55; Ratio=56.5; Prodi=45; RelDemand=85.2; Capacity=60.0</x:v>
      </x:c>
    </x:row>
    <x:row r="3221">
      <x:c r="A3221" t="n">
        <x:v>3218</x:v>
      </x:c>
      <x:c r="B3221" t="str">
        <x:v>PTN Akademik</x:v>
      </x:c>
      <x:c r="C3221" t="str">
        <x:v>UNIVERSITAS NEGERI MAKASSAR</x:v>
      </x:c>
      <x:c r="D3221" t="str">
        <x:v>PEND. AKUNTANSI</x:v>
      </x:c>
      <x:c r="E3221" t="str">
        <x:v>Sarjana</x:v>
      </x:c>
      <x:c r="F3221" s="18" t="n">
        <x:v>60</x:v>
      </x:c>
      <x:c r="G3221" s="18" t="n">
        <x:v>111</x:v>
      </x:c>
      <x:c r="H3221" s="19" t="n">
        <x:v>1.85</x:v>
      </x:c>
      <x:c r="I3221" s="18" t="n">
        <x:f>ROUND(MIN(Model_Config_v3!$B$6,MAX(Q3221,R3221,S3221*Model_Config_v3!$B$4+T3221*Model_Config_v3!$B$5)),0)</x:f>
        <x:v>617</x:v>
      </x:c>
      <x:c r="J3221" s="18" t="n">
        <x:f>MIN(Model_Config_v3!$B$6,I3221+Model_Config_v3!$B$7)</x:f>
        <x:v>637</x:v>
      </x:c>
      <x:c r="K3221" s="20" t="n">
        <x:v>42.9</x:v>
      </x:c>
      <x:c r="L3221" t="str">
        <x:v>RELATIF LONGGAR</x:v>
      </x:c>
      <x:c r="M3221" t="str">
        <x:v>SEDANG+</x:v>
      </x:c>
      <x:c r="N3221" t="str">
        <x:v>REGULER</x:v>
      </x:c>
      <x:c r="O3221" t="str">
        <x:v>SOSHUM</x:v>
      </x:c>
      <x:c r="P3221" t="str">
        <x:v>BISNIS/EKONOMI/AKUNTANSI</x:v>
      </x:c>
      <x:c r="Q3221" s="18" t="n">
        <x:v>0</x:v>
      </x:c>
      <x:c r="R3221" s="18" t="n">
        <x:v>0</x:v>
      </x:c>
      <x:c r="S3221" s="18" t="n">
        <x:v>549.3888901243315</x:v>
      </x:c>
      <x:c r="T3221" s="18" t="n">
        <x:v>646</x:v>
      </x:c>
      <x:c r="U3221" s="18" t="n">
        <x:v>549.3888901243315</x:v>
      </x:c>
      <x:c r="V3221" s="20" t="n">
        <x:v>4.4</x:v>
      </x:c>
      <x:c r="W3221" s="20" t="n">
        <x:v>14.3</x:v>
      </x:c>
      <x:c r="X3221" s="20" t="n">
        <x:v>3.3</x:v>
      </x:c>
      <x:c r="Y3221" t="str">
        <x:v>Basis arsip 2025/2024</x:v>
      </x:c>
      <x:c r="Z3221" t="str">
        <x:v>https://snpmb.id/utbk-snbt/daya-tampung-snbt</x:v>
      </x:c>
      <x:c r="AA3221" t="str">
        <x:v>Tidak Ada</x:v>
      </x:c>
      <x:c r="AB3221" t="str">
        <x:v>Campus=55; Ratio=15.7; Prodi=65; RelDemand=17.3; Capacity=50.0</x:v>
      </x:c>
    </x:row>
    <x:row r="3222">
      <x:c r="A3222" t="n">
        <x:v>3219</x:v>
      </x:c>
      <x:c r="B3222" t="str">
        <x:v>PTN Akademik</x:v>
      </x:c>
      <x:c r="C3222" t="str">
        <x:v>UNIVERSITAS NEGERI MAKASSAR</x:v>
      </x:c>
      <x:c r="D3222" t="str">
        <x:v>PENDIDIKAN ANTROPOLOGI</x:v>
      </x:c>
      <x:c r="E3222" t="str">
        <x:v>Sarjana</x:v>
      </x:c>
      <x:c r="F3222" s="18" t="n">
        <x:v>35</x:v>
      </x:c>
      <x:c r="G3222" s="18" t="n">
        <x:v>88</x:v>
      </x:c>
      <x:c r="H3222" s="19" t="n">
        <x:v>2.5142857142857142</x:v>
      </x:c>
      <x:c r="I3222" s="18" t="n">
        <x:f>ROUND(MIN(Model_Config_v3!$B$6,MAX(Q3222,R3222,S3222*Model_Config_v3!$B$4+T3222*Model_Config_v3!$B$5)),0)</x:f>
        <x:v>622</x:v>
      </x:c>
      <x:c r="J3222" s="18" t="n">
        <x:f>MIN(Model_Config_v3!$B$6,I3222+Model_Config_v3!$B$7)</x:f>
        <x:v>642</x:v>
      </x:c>
      <x:c r="K3222" s="20" t="n">
        <x:v>43.6</x:v>
      </x:c>
      <x:c r="L3222" t="str">
        <x:v>RELATIF LONGGAR</x:v>
      </x:c>
      <x:c r="M3222" t="str">
        <x:v>SEDANG+</x:v>
      </x:c>
      <x:c r="N3222" t="str">
        <x:v>REGULER</x:v>
      </x:c>
      <x:c r="O3222" t="str">
        <x:v>SOSHUM</x:v>
      </x:c>
      <x:c r="P3222" t="str">
        <x:v>PENDIDIKAN</x:v>
      </x:c>
      <x:c r="Q3222" s="18" t="n">
        <x:v>0</x:v>
      </x:c>
      <x:c r="R3222" s="18" t="n">
        <x:v>0</x:v>
      </x:c>
      <x:c r="S3222" s="18" t="n">
        <x:v>564.0456090579883</x:v>
      </x:c>
      <x:c r="T3222" s="18" t="n">
        <x:v>647</x:v>
      </x:c>
      <x:c r="U3222" s="18" t="n">
        <x:v>564.0456090579883</x:v>
      </x:c>
      <x:c r="V3222" s="20" t="n">
        <x:v>4.4</x:v>
      </x:c>
      <x:c r="W3222" s="20" t="n">
        <x:v>14.3</x:v>
      </x:c>
      <x:c r="X3222" s="20" t="n">
        <x:v>3.3</x:v>
      </x:c>
      <x:c r="Y3222" t="str">
        <x:v>Basis arsip 2025/2024</x:v>
      </x:c>
      <x:c r="Z3222" t="str">
        <x:v>https://snpmb.id/utbk-snbt/daya-tampung-snbt</x:v>
      </x:c>
      <x:c r="AA3222" t="str">
        <x:v>Tidak Ada</x:v>
      </x:c>
      <x:c r="AB3222" t="str">
        <x:v>Campus=55; Ratio=23.6; Prodi=45; RelDemand=23.5; Capacity=70.8</x:v>
      </x:c>
    </x:row>
    <x:row r="3223">
      <x:c r="A3223" t="n">
        <x:v>3220</x:v>
      </x:c>
      <x:c r="B3223" t="str">
        <x:v>PTN Akademik</x:v>
      </x:c>
      <x:c r="C3223" t="str">
        <x:v>UNIVERSITAS NEGERI MAKASSAR</x:v>
      </x:c>
      <x:c r="D3223" t="str">
        <x:v>PENDIDIKAN BAHASA DAN SASTRA DAERAH</x:v>
      </x:c>
      <x:c r="E3223" t="str">
        <x:v>Sarjana</x:v>
      </x:c>
      <x:c r="F3223" s="18" t="n">
        <x:v>50</x:v>
      </x:c>
      <x:c r="G3223" s="18" t="n">
        <x:v>87</x:v>
      </x:c>
      <x:c r="H3223" s="19" t="n">
        <x:v>1.74</x:v>
      </x:c>
      <x:c r="I3223" s="18" t="n">
        <x:f>ROUND(MIN(Model_Config_v3!$B$6,MAX(Q3223,R3223,S3223*Model_Config_v3!$B$4+T3223*Model_Config_v3!$B$5)),0)</x:f>
        <x:v>611</x:v>
      </x:c>
      <x:c r="J3223" s="18" t="n">
        <x:f>MIN(Model_Config_v3!$B$6,I3223+Model_Config_v3!$B$7)</x:f>
        <x:v>631</x:v>
      </x:c>
      <x:c r="K3223" s="20" t="n">
        <x:v>39.2</x:v>
      </x:c>
      <x:c r="L3223" t="str">
        <x:v>RELATIF LONGGAR</x:v>
      </x:c>
      <x:c r="M3223" t="str">
        <x:v>SEDANG+</x:v>
      </x:c>
      <x:c r="N3223" t="str">
        <x:v>REGULER</x:v>
      </x:c>
      <x:c r="O3223" t="str">
        <x:v>SOSHUM</x:v>
      </x:c>
      <x:c r="P3223" t="str">
        <x:v>PENDIDIKAN</x:v>
      </x:c>
      <x:c r="Q3223" s="18" t="n">
        <x:v>0</x:v>
      </x:c>
      <x:c r="R3223" s="18" t="n">
        <x:v>0</x:v>
      </x:c>
      <x:c r="S3223" s="18" t="n">
        <x:v>546.460417311086</x:v>
      </x:c>
      <x:c r="T3223" s="18" t="n">
        <x:v>638</x:v>
      </x:c>
      <x:c r="U3223" s="18" t="n">
        <x:v>546.460417311086</x:v>
      </x:c>
      <x:c r="V3223" s="20" t="n">
        <x:v>4.4</x:v>
      </x:c>
      <x:c r="W3223" s="20" t="n">
        <x:v>14.3</x:v>
      </x:c>
      <x:c r="X3223" s="20" t="n">
        <x:v>3.3</x:v>
      </x:c>
      <x:c r="Y3223" t="str">
        <x:v>Basis arsip 2025/2024</x:v>
      </x:c>
      <x:c r="Z3223" t="str">
        <x:v>https://snpmb.id/utbk-snbt/daya-tampung-snbt</x:v>
      </x:c>
      <x:c r="AA3223" t="str">
        <x:v>Tidak Ada</x:v>
      </x:c>
      <x:c r="AB3223" t="str">
        <x:v>Campus=55; Ratio=14.2; Prodi=45; RelDemand=16.2; Capacity=58.3</x:v>
      </x:c>
    </x:row>
    <x:row r="3224">
      <x:c r="A3224" t="n">
        <x:v>3221</x:v>
      </x:c>
      <x:c r="B3224" t="str">
        <x:v>PTN Akademik</x:v>
      </x:c>
      <x:c r="C3224" t="str">
        <x:v>UNIVERSITAS NEGERI MAKASSAR</x:v>
      </x:c>
      <x:c r="D3224" t="str">
        <x:v>PENDIDIKAN BAHASA ARAB</x:v>
      </x:c>
      <x:c r="E3224" t="str">
        <x:v>Sarjana</x:v>
      </x:c>
      <x:c r="F3224" s="18" t="n">
        <x:v>67</x:v>
      </x:c>
      <x:c r="G3224" s="18" t="n">
        <x:v>186</x:v>
      </x:c>
      <x:c r="H3224" s="19" t="n">
        <x:v>2.7761194029850746</x:v>
      </x:c>
      <x:c r="I3224" s="18" t="n">
        <x:f>ROUND(MIN(Model_Config_v3!$B$6,MAX(Q3224,R3224,S3224*Model_Config_v3!$B$4+T3224*Model_Config_v3!$B$5)),0)</x:f>
        <x:v>621</x:v>
      </x:c>
      <x:c r="J3224" s="18" t="n">
        <x:f>MIN(Model_Config_v3!$B$6,I3224+Model_Config_v3!$B$7)</x:f>
        <x:v>641</x:v>
      </x:c>
      <x:c r="K3224" s="20" t="n">
        <x:v>41.8</x:v>
      </x:c>
      <x:c r="L3224" t="str">
        <x:v>RELATIF LONGGAR</x:v>
      </x:c>
      <x:c r="M3224" t="str">
        <x:v>SEDANG+</x:v>
      </x:c>
      <x:c r="N3224" t="str">
        <x:v>REGULER</x:v>
      </x:c>
      <x:c r="O3224" t="str">
        <x:v>SOSHUM</x:v>
      </x:c>
      <x:c r="P3224" t="str">
        <x:v>PENDIDIKAN</x:v>
      </x:c>
      <x:c r="Q3224" s="18" t="n">
        <x:v>0</x:v>
      </x:c>
      <x:c r="R3224" s="18" t="n">
        <x:v>0</x:v>
      </x:c>
      <x:c r="S3224" s="18" t="n">
        <x:v>568.7781955668798</x:v>
      </x:c>
      <x:c r="T3224" s="18" t="n">
        <x:v>644</x:v>
      </x:c>
      <x:c r="U3224" s="18" t="n">
        <x:v>568.7781955668798</x:v>
      </x:c>
      <x:c r="V3224" s="20" t="n">
        <x:v>4.4</x:v>
      </x:c>
      <x:c r="W3224" s="20" t="n">
        <x:v>14.3</x:v>
      </x:c>
      <x:c r="X3224" s="20" t="n">
        <x:v>3.3</x:v>
      </x:c>
      <x:c r="Y3224" t="str">
        <x:v>Basis arsip 2025/2024</x:v>
      </x:c>
      <x:c r="Z3224" t="str">
        <x:v>https://snpmb.id/utbk-snbt/daya-tampung-snbt</x:v>
      </x:c>
      <x:c r="AA3224" t="str">
        <x:v>Tidak Ada</x:v>
      </x:c>
      <x:c r="AB3224" t="str">
        <x:v>Campus=55; Ratio=26.1; Prodi=45; RelDemand=25.9; Capacity=44.2</x:v>
      </x:c>
    </x:row>
    <x:row r="3225">
      <x:c r="A3225" t="n">
        <x:v>3222</x:v>
      </x:c>
      <x:c r="B3225" t="str">
        <x:v>PTN Akademik</x:v>
      </x:c>
      <x:c r="C3225" t="str">
        <x:v>UNIVERSITAS NEGERI MAKASSAR</x:v>
      </x:c>
      <x:c r="D3225" t="str">
        <x:v>ILMU ADMINISTRASI BISNIS</x:v>
      </x:c>
      <x:c r="E3225" t="str">
        <x:v>Sarjana</x:v>
      </x:c>
      <x:c r="F3225" s="18" t="n">
        <x:v>48</x:v>
      </x:c>
      <x:c r="G3225" s="18" t="n">
        <x:v>746</x:v>
      </x:c>
      <x:c r="H3225" s="19" t="n">
        <x:v>15.541666666666666</x:v>
      </x:c>
      <x:c r="I3225" s="18" t="n">
        <x:f>ROUND(MIN(Model_Config_v3!$B$6,MAX(Q3225,R3225,S3225*Model_Config_v3!$B$4+T3225*Model_Config_v3!$B$5)),0)</x:f>
        <x:v>680</x:v>
      </x:c>
      <x:c r="J3225" s="18" t="n">
        <x:f>MIN(Model_Config_v3!$B$6,I3225+Model_Config_v3!$B$7)</x:f>
        <x:v>700</x:v>
      </x:c>
      <x:c r="K3225" s="20" t="n">
        <x:v>65.8</x:v>
      </x:c>
      <x:c r="L3225" t="str">
        <x:v>SANGAT KETAT</x:v>
      </x:c>
      <x:c r="M3225" t="str">
        <x:v>SEDANG+</x:v>
      </x:c>
      <x:c r="N3225" t="str">
        <x:v>REGULER</x:v>
      </x:c>
      <x:c r="O3225" t="str">
        <x:v>SOSHUM</x:v>
      </x:c>
      <x:c r="P3225" t="str">
        <x:v>BISNIS/EKONOMI/AKUNTANSI</x:v>
      </x:c>
      <x:c r="Q3225" s="18" t="n">
        <x:v>0</x:v>
      </x:c>
      <x:c r="R3225" s="18" t="n">
        <x:v>0</x:v>
      </x:c>
      <x:c r="S3225" s="18" t="n">
        <x:v>651.0647349106789</x:v>
      </x:c>
      <x:c r="T3225" s="18" t="n">
        <x:v>692</x:v>
      </x:c>
      <x:c r="U3225" s="18" t="n">
        <x:v>666.0647349106789</x:v>
      </x:c>
      <x:c r="V3225" s="20" t="n">
        <x:v>4.4</x:v>
      </x:c>
      <x:c r="W3225" s="20" t="n">
        <x:v>14.3</x:v>
      </x:c>
      <x:c r="X3225" s="20" t="n">
        <x:v>3.3</x:v>
      </x:c>
      <x:c r="Y3225" t="str">
        <x:v>Basis arsip 2025/2024</x:v>
      </x:c>
      <x:c r="Z3225" t="str">
        <x:v>https://snpmb.id/utbk-snbt/daya-tampung-snbt</x:v>
      </x:c>
      <x:c r="AA3225" t="str">
        <x:v>Tidak Ada</x:v>
      </x:c>
      <x:c r="AB3225" t="str">
        <x:v>Campus=55; Ratio=70.1; Prodi=65; RelDemand=100.0; Capacity=60.0</x:v>
      </x:c>
    </x:row>
    <x:row r="3226">
      <x:c r="A3226" t="n">
        <x:v>3223</x:v>
      </x:c>
      <x:c r="B3226" t="str">
        <x:v>PTN Akademik</x:v>
      </x:c>
      <x:c r="C3226" t="str">
        <x:v>UNIVERSITAS NEGERI MAKASSAR</x:v>
      </x:c>
      <x:c r="D3226" t="str">
        <x:v>PENDIDIKAN BAHASA MANDARIN</x:v>
      </x:c>
      <x:c r="E3226" t="str">
        <x:v>Sarjana</x:v>
      </x:c>
      <x:c r="F3226" s="18" t="n">
        <x:v>28</x:v>
      </x:c>
      <x:c r="G3226" s="18" t="n">
        <x:v>72</x:v>
      </x:c>
      <x:c r="H3226" s="19" t="n">
        <x:v>2.5714285714285716</x:v>
      </x:c>
      <x:c r="I3226" s="18" t="n">
        <x:f>ROUND(MIN(Model_Config_v3!$B$6,MAX(Q3226,R3226,S3226*Model_Config_v3!$B$4+T3226*Model_Config_v3!$B$5)),0)</x:f>
        <x:v>624</x:v>
      </x:c>
      <x:c r="J3226" s="18" t="n">
        <x:f>MIN(Model_Config_v3!$B$6,I3226+Model_Config_v3!$B$7)</x:f>
        <x:v>644</x:v>
      </x:c>
      <x:c r="K3226" s="20" t="n">
        <x:v>44.4</x:v>
      </x:c>
      <x:c r="L3226" t="str">
        <x:v>RELATIF LONGGAR</x:v>
      </x:c>
      <x:c r="M3226" t="str">
        <x:v>SEDANG+</x:v>
      </x:c>
      <x:c r="N3226" t="str">
        <x:v>REGULER</x:v>
      </x:c>
      <x:c r="O3226" t="str">
        <x:v>SOSHUM</x:v>
      </x:c>
      <x:c r="P3226" t="str">
        <x:v>PENDIDIKAN</x:v>
      </x:c>
      <x:c r="Q3226" s="18" t="n">
        <x:v>0</x:v>
      </x:c>
      <x:c r="R3226" s="18" t="n">
        <x:v>0</x:v>
      </x:c>
      <x:c r="S3226" s="18" t="n">
        <x:v>565.1191911597954</x:v>
      </x:c>
      <x:c r="T3226" s="18" t="n">
        <x:v>649</x:v>
      </x:c>
      <x:c r="U3226" s="18" t="n">
        <x:v>565.1191911597954</x:v>
      </x:c>
      <x:c r="V3226" s="20" t="n">
        <x:v>4.4</x:v>
      </x:c>
      <x:c r="W3226" s="20" t="n">
        <x:v>14.3</x:v>
      </x:c>
      <x:c r="X3226" s="20" t="n">
        <x:v>3.3</x:v>
      </x:c>
      <x:c r="Y3226" t="str">
        <x:v>Basis arsip 2025/2024</x:v>
      </x:c>
      <x:c r="Z3226" t="str">
        <x:v>https://snpmb.id/utbk-snbt/daya-tampung-snbt</x:v>
      </x:c>
      <x:c r="AA3226" t="str">
        <x:v>Tidak Ada</x:v>
      </x:c>
      <x:c r="AB3226" t="str">
        <x:v>Campus=55; Ratio=24.1; Prodi=45; RelDemand=24.0; Capacity=76.7</x:v>
      </x:c>
    </x:row>
    <x:row r="3227">
      <x:c r="A3227" t="n">
        <x:v>3224</x:v>
      </x:c>
      <x:c r="B3227" t="str">
        <x:v>PTN Akademik</x:v>
      </x:c>
      <x:c r="C3227" t="str">
        <x:v>UNIVERSITAS NEGERI MAKASSAR</x:v>
      </x:c>
      <x:c r="D3227" t="str">
        <x:v>KEWIRAUSAHAAN</x:v>
      </x:c>
      <x:c r="E3227" t="str">
        <x:v>Sarjana</x:v>
      </x:c>
      <x:c r="F3227" s="18" t="n">
        <x:v>93</x:v>
      </x:c>
      <x:c r="G3227" s="18" t="n">
        <x:v>240</x:v>
      </x:c>
      <x:c r="H3227" s="19" t="n">
        <x:v>2.5806451612903225</x:v>
      </x:c>
      <x:c r="I3227" s="18" t="n">
        <x:f>ROUND(MIN(Model_Config_v3!$B$6,MAX(Q3227,R3227,S3227*Model_Config_v3!$B$4+T3227*Model_Config_v3!$B$5)),0)</x:f>
        <x:v>615</x:v>
      </x:c>
      <x:c r="J3227" s="18" t="n">
        <x:f>MIN(Model_Config_v3!$B$6,I3227+Model_Config_v3!$B$7)</x:f>
        <x:v>635</x:v>
      </x:c>
      <x:c r="K3227" s="20" t="n">
        <x:v>38</x:v>
      </x:c>
      <x:c r="L3227" t="str">
        <x:v>RELATIF LONGGAR</x:v>
      </x:c>
      <x:c r="M3227" t="str">
        <x:v>SEDANG</x:v>
      </x:c>
      <x:c r="N3227" t="str">
        <x:v>REGULER</x:v>
      </x:c>
      <x:c r="O3227" t="str">
        <x:v>CAMPURAN</x:v>
      </x:c>
      <x:c r="P3227" t="str">
        <x:v>UMUM</x:v>
      </x:c>
      <x:c r="Q3227" s="18" t="n">
        <x:v>0</x:v>
      </x:c>
      <x:c r="R3227" s="18" t="n">
        <x:v>0</x:v>
      </x:c>
      <x:c r="S3227" s="18" t="n">
        <x:v>565.2901122473438</x:v>
      </x:c>
      <x:c r="T3227" s="18" t="n">
        <x:v>636</x:v>
      </x:c>
      <x:c r="U3227" s="18" t="n">
        <x:v>565.2901122473438</x:v>
      </x:c>
      <x:c r="V3227" s="20" t="n">
        <x:v>8.8</x:v>
      </x:c>
      <x:c r="W3227" s="20" t="n">
        <x:v>9.9</x:v>
      </x:c>
      <x:c r="X3227" s="20" t="n">
        <x:v>3.3</x:v>
      </x:c>
      <x:c r="Y3227" t="str">
        <x:v>Basis arsip 2025/2024</x:v>
      </x:c>
      <x:c r="Z3227" t="str">
        <x:v>https://snpmb.id/utbk-snbt/daya-tampung-snbt</x:v>
      </x:c>
      <x:c r="AA3227" t="str">
        <x:v>Tidak Ada</x:v>
      </x:c>
      <x:c r="AB3227" t="str">
        <x:v>Campus=55; Ratio=24.2; Prodi=40; RelDemand=24.1; Capacity=22.5</x:v>
      </x:c>
    </x:row>
    <x:row r="3228">
      <x:c r="A3228" t="n">
        <x:v>3225</x:v>
      </x:c>
      <x:c r="B3228" t="str">
        <x:v>PTN Akademik</x:v>
      </x:c>
      <x:c r="C3228" t="str">
        <x:v>UNIVERSITAS NEGERI MAKASSAR</x:v>
      </x:c>
      <x:c r="D3228" t="str">
        <x:v>BISNIS DIGITAL</x:v>
      </x:c>
      <x:c r="E3228" t="str">
        <x:v>Sarjana</x:v>
      </x:c>
      <x:c r="F3228" s="18" t="n">
        <x:v>60</x:v>
      </x:c>
      <x:c r="G3228" s="18" t="n">
        <x:v>475</x:v>
      </x:c>
      <x:c r="H3228" s="19" t="n">
        <x:v>7.916666666666667</x:v>
      </x:c>
      <x:c r="I3228" s="18" t="n">
        <x:f>ROUND(MIN(Model_Config_v3!$B$6,MAX(Q3228,R3228,S3228*Model_Config_v3!$B$4+T3228*Model_Config_v3!$B$5)),0)</x:f>
        <x:v>659</x:v>
      </x:c>
      <x:c r="J3228" s="18" t="n">
        <x:f>MIN(Model_Config_v3!$B$6,I3228+Model_Config_v3!$B$7)</x:f>
        <x:v>679</x:v>
      </x:c>
      <x:c r="K3228" s="20" t="n">
        <x:v>57.9</x:v>
      </x:c>
      <x:c r="L3228" t="str">
        <x:v>KETAT</x:v>
      </x:c>
      <x:c r="M3228" t="str">
        <x:v>SEDANG+</x:v>
      </x:c>
      <x:c r="N3228" t="str">
        <x:v>REGULER</x:v>
      </x:c>
      <x:c r="O3228" t="str">
        <x:v>SOSHUM</x:v>
      </x:c>
      <x:c r="P3228" t="str">
        <x:v>BISNIS/EKONOMI/AKUNTANSI</x:v>
      </x:c>
      <x:c r="Q3228" s="18" t="n">
        <x:v>0</x:v>
      </x:c>
      <x:c r="R3228" s="18" t="n">
        <x:v>0</x:v>
      </x:c>
      <x:c r="S3228" s="18" t="n">
        <x:v>618.8396595165345</x:v>
      </x:c>
      <x:c r="T3228" s="18" t="n">
        <x:v>676</x:v>
      </x:c>
      <x:c r="U3228" s="18" t="n">
        <x:v>633.8396595165345</x:v>
      </x:c>
      <x:c r="V3228" s="20" t="n">
        <x:v>4.4</x:v>
      </x:c>
      <x:c r="W3228" s="20" t="n">
        <x:v>14.3</x:v>
      </x:c>
      <x:c r="X3228" s="20" t="n">
        <x:v>3.3</x:v>
      </x:c>
      <x:c r="Y3228" t="str">
        <x:v>Basis arsip 2025/2024</x:v>
      </x:c>
      <x:c r="Z3228" t="str">
        <x:v>https://snpmb.id/utbk-snbt/daya-tampung-snbt</x:v>
      </x:c>
      <x:c r="AA3228" t="str">
        <x:v>Tidak Ada</x:v>
      </x:c>
      <x:c r="AB3228" t="str">
        <x:v>Campus=55; Ratio=52.9; Prodi=65; RelDemand=73.9; Capacity=50.0</x:v>
      </x:c>
    </x:row>
    <x:row r="3229">
      <x:c r="A3229" t="n">
        <x:v>3226</x:v>
      </x:c>
      <x:c r="B3229" t="str">
        <x:v>PTN Akademik</x:v>
      </x:c>
      <x:c r="C3229" t="str">
        <x:v>UNIVERSITAS NEGERI MAKASSAR</x:v>
      </x:c>
      <x:c r="D3229" t="str">
        <x:v>HUKUM BISNIS</x:v>
      </x:c>
      <x:c r="E3229" t="str">
        <x:v>Sarjana</x:v>
      </x:c>
      <x:c r="F3229" s="18" t="n">
        <x:v>48</x:v>
      </x:c>
      <x:c r="G3229" s="18" t="n">
        <x:v>345</x:v>
      </x:c>
      <x:c r="H3229" s="19" t="n">
        <x:v>7.1875</x:v>
      </x:c>
      <x:c r="I3229" s="18" t="n">
        <x:f>ROUND(MIN(Model_Config_v3!$B$6,MAX(Q3229,R3229,S3229*Model_Config_v3!$B$4+T3229*Model_Config_v3!$B$5)),0)</x:f>
        <x:v>657</x:v>
      </x:c>
      <x:c r="J3229" s="18" t="n">
        <x:f>MIN(Model_Config_v3!$B$6,I3229+Model_Config_v3!$B$7)</x:f>
        <x:v>677</x:v>
      </x:c>
      <x:c r="K3229" s="20" t="n">
        <x:v>57.6</x:v>
      </x:c>
      <x:c r="L3229" t="str">
        <x:v>KETAT</x:v>
      </x:c>
      <x:c r="M3229" t="str">
        <x:v>SEDANG+</x:v>
      </x:c>
      <x:c r="N3229" t="str">
        <x:v>REGULER</x:v>
      </x:c>
      <x:c r="O3229" t="str">
        <x:v>SOSHUM</x:v>
      </x:c>
      <x:c r="P3229" t="str">
        <x:v>HUKUM</x:v>
      </x:c>
      <x:c r="Q3229" s="18" t="n">
        <x:v>0</x:v>
      </x:c>
      <x:c r="R3229" s="18" t="n">
        <x:v>0</x:v>
      </x:c>
      <x:c r="S3229" s="18" t="n">
        <x:v>614.2235643467455</x:v>
      </x:c>
      <x:c r="T3229" s="18" t="n">
        <x:v>675</x:v>
      </x:c>
      <x:c r="U3229" s="18" t="n">
        <x:v>629.2235643467455</x:v>
      </x:c>
      <x:c r="V3229" s="20" t="n">
        <x:v>4.4</x:v>
      </x:c>
      <x:c r="W3229" s="20" t="n">
        <x:v>14.3</x:v>
      </x:c>
      <x:c r="X3229" s="20" t="n">
        <x:v>3.3</x:v>
      </x:c>
      <x:c r="Y3229" t="str">
        <x:v>Basis arsip 2025/2024</x:v>
      </x:c>
      <x:c r="Z3229" t="str">
        <x:v>https://snpmb.id/utbk-snbt/daya-tampung-snbt</x:v>
      </x:c>
      <x:c r="AA3229" t="str">
        <x:v>Tidak Ada</x:v>
      </x:c>
      <x:c r="AB3229" t="str">
        <x:v>Campus=55; Ratio=50.4; Prodi=65; RelDemand=67.1; Capacity=60.0</x:v>
      </x:c>
    </x:row>
    <x:row r="3230">
      <x:c r="A3230" t="n">
        <x:v>3227</x:v>
      </x:c>
      <x:c r="B3230" t="str">
        <x:v>PTN Akademik</x:v>
      </x:c>
      <x:c r="C3230" t="str">
        <x:v>UNIVERSITAS NEGERI MAKASSAR</x:v>
      </x:c>
      <x:c r="D3230" t="str">
        <x:v>REKAYASA ELEKTRO</x:v>
      </x:c>
      <x:c r="E3230" t="str">
        <x:v>Sarjana</x:v>
      </x:c>
      <x:c r="F3230" s="18" t="n">
        <x:v>28</x:v>
      </x:c>
      <x:c r="G3230" s="18" t="n">
        <x:v>41</x:v>
      </x:c>
      <x:c r="H3230" s="19" t="n">
        <x:v>1.4642857142857142</x:v>
      </x:c>
      <x:c r="I3230" s="18" t="n">
        <x:f>ROUND(MIN(Model_Config_v3!$B$6,MAX(Q3230,R3230,S3230*Model_Config_v3!$B$4+T3230*Model_Config_v3!$B$5)),0)</x:f>
        <x:v>607</x:v>
      </x:c>
      <x:c r="J3230" s="18" t="n">
        <x:f>MIN(Model_Config_v3!$B$6,I3230+Model_Config_v3!$B$7)</x:f>
        <x:v>627</x:v>
      </x:c>
      <x:c r="K3230" s="20" t="n">
        <x:v>38.7</x:v>
      </x:c>
      <x:c r="L3230" t="str">
        <x:v>RELATIF LONGGAR</x:v>
      </x:c>
      <x:c r="M3230" t="str">
        <x:v>SEDANG</x:v>
      </x:c>
      <x:c r="N3230" t="str">
        <x:v>REGULER</x:v>
      </x:c>
      <x:c r="O3230" t="str">
        <x:v>CAMPURAN</x:v>
      </x:c>
      <x:c r="P3230" t="str">
        <x:v>UMUM</x:v>
      </x:c>
      <x:c r="Q3230" s="18" t="n">
        <x:v>0</x:v>
      </x:c>
      <x:c r="R3230" s="18" t="n">
        <x:v>0</x:v>
      </x:c>
      <x:c r="S3230" s="18" t="n">
        <x:v>538.2188407915268</x:v>
      </x:c>
      <x:c r="T3230" s="18" t="n">
        <x:v>637</x:v>
      </x:c>
      <x:c r="U3230" s="18" t="n">
        <x:v>538.2188407915268</x:v>
      </x:c>
      <x:c r="V3230" s="20" t="n">
        <x:v>8.8</x:v>
      </x:c>
      <x:c r="W3230" s="20" t="n">
        <x:v>9.9</x:v>
      </x:c>
      <x:c r="X3230" s="20" t="n">
        <x:v>3.3</x:v>
      </x:c>
      <x:c r="Y3230" t="str">
        <x:v>Basis arsip 2025/2024</x:v>
      </x:c>
      <x:c r="Z3230" t="str">
        <x:v>https://snpmb.id/utbk-snbt/daya-tampung-snbt</x:v>
      </x:c>
      <x:c r="AA3230" t="str">
        <x:v>Tidak Ada</x:v>
      </x:c>
      <x:c r="AB3230" t="str">
        <x:v>Campus=55; Ratio=9.7; Prodi=40; RelDemand=13.7; Capacity=76.7</x:v>
      </x:c>
    </x:row>
    <x:row r="3231">
      <x:c r="A3231" t="n">
        <x:v>3228</x:v>
      </x:c>
      <x:c r="B3231" t="str">
        <x:v>PTN Akademik</x:v>
      </x:c>
      <x:c r="C3231" t="str">
        <x:v>UNIVERSITAS NEGERI MAKASSAR</x:v>
      </x:c>
      <x:c r="D3231" t="str">
        <x:v>TEKNOLOGI INDUSTRI PERTANIAN</x:v>
      </x:c>
      <x:c r="E3231" t="str">
        <x:v>Sarjana</x:v>
      </x:c>
      <x:c r="F3231" s="18" t="n">
        <x:v>30</x:v>
      </x:c>
      <x:c r="G3231" s="18" t="n">
        <x:v>194</x:v>
      </x:c>
      <x:c r="H3231" s="19" t="n">
        <x:v>6.466666666666667</x:v>
      </x:c>
      <x:c r="I3231" s="18" t="n">
        <x:f>ROUND(MIN(Model_Config_v3!$B$6,MAX(Q3231,R3231,S3231*Model_Config_v3!$B$4+T3231*Model_Config_v3!$B$5)),0)</x:f>
        <x:v>648</x:v>
      </x:c>
      <x:c r="J3231" s="18" t="n">
        <x:f>MIN(Model_Config_v3!$B$6,I3231+Model_Config_v3!$B$7)</x:f>
        <x:v>668</x:v>
      </x:c>
      <x:c r="K3231" s="20" t="n">
        <x:v>52.7</x:v>
      </x:c>
      <x:c r="L3231" t="str">
        <x:v>MENENGAH</x:v>
      </x:c>
      <x:c r="M3231" t="str">
        <x:v>SEDANG</x:v>
      </x:c>
      <x:c r="N3231" t="str">
        <x:v>REGULER</x:v>
      </x:c>
      <x:c r="O3231" t="str">
        <x:v>SAINTEK</x:v>
      </x:c>
      <x:c r="P3231" t="str">
        <x:v>UMUM</x:v>
      </x:c>
      <x:c r="Q3231" s="18" t="n">
        <x:v>0</x:v>
      </x:c>
      <x:c r="R3231" s="18" t="n">
        <x:v>0</x:v>
      </x:c>
      <x:c r="S3231" s="18" t="n">
        <x:v>609.174852273162</x:v>
      </x:c>
      <x:c r="T3231" s="18" t="n">
        <x:v>665</x:v>
      </x:c>
      <x:c r="U3231" s="18" t="n">
        <x:v>609.174852273162</x:v>
      </x:c>
      <x:c r="V3231" s="20" t="n">
        <x:v>12</x:v>
      </x:c>
      <x:c r="W3231" s="20" t="n">
        <x:v>5</x:v>
      </x:c>
      <x:c r="X3231" s="20" t="n">
        <x:v>3</x:v>
      </x:c>
      <x:c r="Y3231" t="str">
        <x:v>Basis arsip 2025/2024</x:v>
      </x:c>
      <x:c r="Z3231" t="str">
        <x:v>https://snpmb.id/utbk-snbt/daya-tampung-snbt</x:v>
      </x:c>
      <x:c r="AA3231" t="str">
        <x:v>Tidak Ada</x:v>
      </x:c>
      <x:c r="AB3231" t="str">
        <x:v>Campus=55; Ratio=47.7; Prodi=40; RelDemand=60.4; Capacity=75.0</x:v>
      </x:c>
    </x:row>
    <x:row r="3232">
      <x:c r="A3232" t="n">
        <x:v>3229</x:v>
      </x:c>
      <x:c r="B3232" t="str">
        <x:v>PTN Akademik</x:v>
      </x:c>
      <x:c r="C3232" t="str">
        <x:v>UNIVERSITAS NEGERI MAKASSAR</x:v>
      </x:c>
      <x:c r="D3232" t="str">
        <x:v>BIOTEKNOLOGI</x:v>
      </x:c>
      <x:c r="E3232" t="str">
        <x:v>Sarjana</x:v>
      </x:c>
      <x:c r="F3232" s="18" t="n">
        <x:v>30</x:v>
      </x:c>
      <x:c r="G3232" s="18" t="n">
        <x:v>66</x:v>
      </x:c>
      <x:c r="H3232" s="19" t="n">
        <x:v>2.2</x:v>
      </x:c>
      <x:c r="I3232" s="18" t="n">
        <x:f>ROUND(MIN(Model_Config_v3!$B$6,MAX(Q3232,R3232,S3232*Model_Config_v3!$B$4+T3232*Model_Config_v3!$B$5)),0)</x:f>
        <x:v>618</x:v>
      </x:c>
      <x:c r="J3232" s="18" t="n">
        <x:f>MIN(Model_Config_v3!$B$6,I3232+Model_Config_v3!$B$7)</x:f>
        <x:v>638</x:v>
      </x:c>
      <x:c r="K3232" s="20" t="n">
        <x:v>41.8</x:v>
      </x:c>
      <x:c r="L3232" t="str">
        <x:v>RELATIF LONGGAR</x:v>
      </x:c>
      <x:c r="M3232" t="str">
        <x:v>SEDANG</x:v>
      </x:c>
      <x:c r="N3232" t="str">
        <x:v>REGULER</x:v>
      </x:c>
      <x:c r="O3232" t="str">
        <x:v>SAINTEK</x:v>
      </x:c>
      <x:c r="P3232" t="str">
        <x:v>UMUM</x:v>
      </x:c>
      <x:c r="Q3232" s="18" t="n">
        <x:v>0</x:v>
      </x:c>
      <x:c r="R3232" s="18" t="n">
        <x:v>0</x:v>
      </x:c>
      <x:c r="S3232" s="18" t="n">
        <x:v>557.6664948904427</x:v>
      </x:c>
      <x:c r="T3232" s="18" t="n">
        <x:v>644</x:v>
      </x:c>
      <x:c r="U3232" s="18" t="n">
        <x:v>557.6664948904427</x:v>
      </x:c>
      <x:c r="V3232" s="20" t="n">
        <x:v>12</x:v>
      </x:c>
      <x:c r="W3232" s="20" t="n">
        <x:v>5</x:v>
      </x:c>
      <x:c r="X3232" s="20" t="n">
        <x:v>3</x:v>
      </x:c>
      <x:c r="Y3232" t="str">
        <x:v>Basis arsip 2025/2024</x:v>
      </x:c>
      <x:c r="Z3232" t="str">
        <x:v>https://snpmb.id/utbk-snbt/daya-tampung-snbt</x:v>
      </x:c>
      <x:c r="AA3232" t="str">
        <x:v>Tidak Ada</x:v>
      </x:c>
      <x:c r="AB3232" t="str">
        <x:v>Campus=55; Ratio=20.2; Prodi=40; RelDemand=20.5; Capacity=75.0</x:v>
      </x:c>
    </x:row>
    <x:row r="3233">
      <x:c r="A3233" t="n">
        <x:v>3230</x:v>
      </x:c>
      <x:c r="B3233" t="str">
        <x:v>PTN Akademik</x:v>
      </x:c>
      <x:c r="C3233" t="str">
        <x:v>UNIVERSITAS NEGERI MAKASSAR</x:v>
      </x:c>
      <x:c r="D3233" t="str">
        <x:v>SAINS INFORMASI GEOGRAFI</x:v>
      </x:c>
      <x:c r="E3233" t="str">
        <x:v>Sarjana</x:v>
      </x:c>
      <x:c r="F3233" s="18" t="n">
        <x:v>30</x:v>
      </x:c>
      <x:c r="G3233" s="18" t="n">
        <x:v>39</x:v>
      </x:c>
      <x:c r="H3233" s="19" t="n">
        <x:v>1.3</x:v>
      </x:c>
      <x:c r="I3233" s="18" t="n">
        <x:f>ROUND(MIN(Model_Config_v3!$B$6,MAX(Q3233,R3233,S3233*Model_Config_v3!$B$4+T3233*Model_Config_v3!$B$5)),0)</x:f>
        <x:v>604</x:v>
      </x:c>
      <x:c r="J3233" s="18" t="n">
        <x:f>MIN(Model_Config_v3!$B$6,I3233+Model_Config_v3!$B$7)</x:f>
        <x:v>624</x:v>
      </x:c>
      <x:c r="K3233" s="20" t="n">
        <x:v>37.6</x:v>
      </x:c>
      <x:c r="L3233" t="str">
        <x:v>RELATIF LONGGAR</x:v>
      </x:c>
      <x:c r="M3233" t="str">
        <x:v>SEDANG</x:v>
      </x:c>
      <x:c r="N3233" t="str">
        <x:v>REGULER</x:v>
      </x:c>
      <x:c r="O3233" t="str">
        <x:v>CAMPURAN</x:v>
      </x:c>
      <x:c r="P3233" t="str">
        <x:v>UMUM</x:v>
      </x:c>
      <x:c r="Q3233" s="18" t="n">
        <x:v>0</x:v>
      </x:c>
      <x:c r="R3233" s="18" t="n">
        <x:v>0</x:v>
      </x:c>
      <x:c r="S3233" s="18" t="n">
        <x:v>532.533768753752</x:v>
      </x:c>
      <x:c r="T3233" s="18" t="n">
        <x:v>635</x:v>
      </x:c>
      <x:c r="U3233" s="18" t="n">
        <x:v>532.533768753752</x:v>
      </x:c>
      <x:c r="V3233" s="20" t="n">
        <x:v>8.8</x:v>
      </x:c>
      <x:c r="W3233" s="20" t="n">
        <x:v>9.9</x:v>
      </x:c>
      <x:c r="X3233" s="20" t="n">
        <x:v>3.3</x:v>
      </x:c>
      <x:c r="Y3233" t="str">
        <x:v>Basis arsip 2025/2024</x:v>
      </x:c>
      <x:c r="Z3233" t="str">
        <x:v>https://snpmb.id/utbk-snbt/daya-tampung-snbt</x:v>
      </x:c>
      <x:c r="AA3233" t="str">
        <x:v>Tidak Ada</x:v>
      </x:c>
      <x:c r="AB3233" t="str">
        <x:v>Campus=55; Ratio=6.7; Prodi=40; RelDemand=12.1; Capacity=75.0</x:v>
      </x:c>
    </x:row>
    <x:row r="3234">
      <x:c r="A3234" t="n">
        <x:v>3231</x:v>
      </x:c>
      <x:c r="B3234" t="str">
        <x:v>PTN Akademik</x:v>
      </x:c>
      <x:c r="C3234" t="str">
        <x:v>UNIVERSITAS NEGERI MAKASSAR</x:v>
      </x:c>
      <x:c r="D3234" t="str">
        <x:v>SAINS AKTUARIA</x:v>
      </x:c>
      <x:c r="E3234" t="str">
        <x:v>Sarjana</x:v>
      </x:c>
      <x:c r="F3234" s="18" t="n">
        <x:v>31</x:v>
      </x:c>
      <x:c r="G3234" s="18" t="n">
        <x:v>41</x:v>
      </x:c>
      <x:c r="H3234" s="19" t="n">
        <x:v>1.3225806451612903</x:v>
      </x:c>
      <x:c r="I3234" s="18" t="n">
        <x:f>ROUND(MIN(Model_Config_v3!$B$6,MAX(Q3234,R3234,S3234*Model_Config_v3!$B$4+T3234*Model_Config_v3!$B$5)),0)</x:f>
        <x:v>610</x:v>
      </x:c>
      <x:c r="J3234" s="18" t="n">
        <x:f>MIN(Model_Config_v3!$B$6,I3234+Model_Config_v3!$B$7)</x:f>
        <x:v>630</x:v>
      </x:c>
      <x:c r="K3234" s="20" t="n">
        <x:v>41.7</x:v>
      </x:c>
      <x:c r="L3234" t="str">
        <x:v>RELATIF LONGGAR</x:v>
      </x:c>
      <x:c r="M3234" t="str">
        <x:v>SEDANG+</x:v>
      </x:c>
      <x:c r="N3234" t="str">
        <x:v>REGULER</x:v>
      </x:c>
      <x:c r="O3234" t="str">
        <x:v>SAINTEK</x:v>
      </x:c>
      <x:c r="P3234" t="str">
        <x:v>TEKNIK/ARSITEKTUR/STATISTIKA/AKTUARIA</x:v>
      </x:c>
      <x:c r="Q3234" s="18" t="n">
        <x:v>0</x:v>
      </x:c>
      <x:c r="R3234" s="18" t="n">
        <x:v>0</x:v>
      </x:c>
      <x:c r="S3234" s="18" t="n">
        <x:v>533.3564379174009</x:v>
      </x:c>
      <x:c r="T3234" s="18" t="n">
        <x:v>643</x:v>
      </x:c>
      <x:c r="U3234" s="18" t="n">
        <x:v>543.3564379174009</x:v>
      </x:c>
      <x:c r="V3234" s="20" t="n">
        <x:v>12</x:v>
      </x:c>
      <x:c r="W3234" s="20" t="n">
        <x:v>5</x:v>
      </x:c>
      <x:c r="X3234" s="20" t="n">
        <x:v>3</x:v>
      </x:c>
      <x:c r="Y3234" t="str">
        <x:v>Basis arsip 2025/2024</x:v>
      </x:c>
      <x:c r="Z3234" t="str">
        <x:v>https://snpmb.id/utbk-snbt/daya-tampung-snbt</x:v>
      </x:c>
      <x:c r="AA3234" t="str">
        <x:v>Tidak Ada</x:v>
      </x:c>
      <x:c r="AB3234" t="str">
        <x:v>Campus=55; Ratio=7.1; Prodi=60; RelDemand=12.3; Capacity=74.2</x:v>
      </x:c>
    </x:row>
    <x:row r="3235">
      <x:c r="A3235" t="n">
        <x:v>3232</x:v>
      </x:c>
      <x:c r="B3235" t="str">
        <x:v>PTN Akademik</x:v>
      </x:c>
      <x:c r="C3235" t="str">
        <x:v>UNIVERSITAS NEGERI MAKASSAR</x:v>
      </x:c>
      <x:c r="D3235" t="str">
        <x:v>KEDOKTERAN</x:v>
      </x:c>
      <x:c r="E3235" t="str">
        <x:v>Sarjana</x:v>
      </x:c>
      <x:c r="F3235" s="18" t="n">
        <x:v>25</x:v>
      </x:c>
      <x:c r="G3235" s="18"/>
      <x:c r="H3235" s="19" t="n">
        <x:v>0</x:v>
      </x:c>
      <x:c r="I3235" s="18" t="n">
        <x:f>ROUND(MIN(Model_Config_v3!$B$6,MAX(Q3235,R3235,S3235*Model_Config_v3!$B$4+T3235*Model_Config_v3!$B$5)),0)</x:f>
        <x:v>680</x:v>
      </x:c>
      <x:c r="J3235" s="18" t="n">
        <x:f>MIN(Model_Config_v3!$B$6,I3235+Model_Config_v3!$B$7)</x:f>
        <x:v>700</x:v>
      </x:c>
      <x:c r="K3235" s="20" t="n">
        <x:v>47.2</x:v>
      </x:c>
      <x:c r="L3235" t="str">
        <x:v>MENENGAH</x:v>
      </x:c>
      <x:c r="M3235" t="str">
        <x:v>RENDAH</x:v>
      </x:c>
      <x:c r="N3235" t="str">
        <x:v>REGULER</x:v>
      </x:c>
      <x:c r="O3235" t="str">
        <x:v>SAINTEK</x:v>
      </x:c>
      <x:c r="P3235" t="str">
        <x:v>KEDOKTERAN</x:v>
      </x:c>
      <x:c r="Q3235" s="18" t="n">
        <x:v>0</x:v>
      </x:c>
      <x:c r="R3235" s="18" t="n">
        <x:v>680</x:v>
      </x:c>
      <x:c r="S3235" s="18" t="n">
        <x:v>520</x:v>
      </x:c>
      <x:c r="T3235" s="18" t="n">
        <x:v>654</x:v>
      </x:c>
      <x:c r="U3235" s="18" t="n">
        <x:v>680</x:v>
      </x:c>
      <x:c r="V3235" s="20" t="n">
        <x:v>12</x:v>
      </x:c>
      <x:c r="W3235" s="20" t="n">
        <x:v>5</x:v>
      </x:c>
      <x:c r="X3235" s="20" t="n">
        <x:v>3</x:v>
      </x:c>
      <x:c r="Y3235" t="str">
        <x:v>Basis arsip 2025/2024</x:v>
      </x:c>
      <x:c r="Z3235" t="str">
        <x:v>https://snpmb.id/utbk-snbt/daya-tampung-snbt</x:v>
      </x:c>
      <x:c r="AA3235" t="str">
        <x:v>Tidak Ada</x:v>
      </x:c>
      <x:c r="AB3235" t="str">
        <x:v>Campus=55; Ratio=0.0; Prodi=100; RelDemand=0.0; Capacity=79.2</x:v>
      </x:c>
    </x:row>
    <x:row r="3236">
      <x:c r="A3236" t="n">
        <x:v>3233</x:v>
      </x:c>
      <x:c r="B3236" t="str">
        <x:v>PTN Akademik</x:v>
      </x:c>
      <x:c r="C3236" t="str">
        <x:v>UNIVERSITAS NEGERI MAKASSAR</x:v>
      </x:c>
      <x:c r="D3236" t="str">
        <x:v>SAINS LINGKUNGAN</x:v>
      </x:c>
      <x:c r="E3236" t="str">
        <x:v>Sarjana</x:v>
      </x:c>
      <x:c r="F3236" s="18" t="n">
        <x:v>15</x:v>
      </x:c>
      <x:c r="G3236" s="18"/>
      <x:c r="H3236" s="19" t="n">
        <x:v>0</x:v>
      </x:c>
      <x:c r="I3236" s="18" t="n">
        <x:f>ROUND(MIN(Model_Config_v3!$B$6,MAX(Q3236,R3236,S3236*Model_Config_v3!$B$4+T3236*Model_Config_v3!$B$5)),0)</x:f>
        <x:v>598</x:v>
      </x:c>
      <x:c r="J3236" s="18" t="n">
        <x:f>MIN(Model_Config_v3!$B$6,I3236+Model_Config_v3!$B$7)</x:f>
        <x:v>618</x:v>
      </x:c>
      <x:c r="K3236" s="20" t="n">
        <x:v>36</x:v>
      </x:c>
      <x:c r="L3236" t="str">
        <x:v>RELATIF LONGGAR</x:v>
      </x:c>
      <x:c r="M3236" t="str">
        <x:v>RENDAH</x:v>
      </x:c>
      <x:c r="N3236" t="str">
        <x:v>REGULER</x:v>
      </x:c>
      <x:c r="O3236" t="str">
        <x:v>CAMPURAN</x:v>
      </x:c>
      <x:c r="P3236" t="str">
        <x:v>UMUM</x:v>
      </x:c>
      <x:c r="Q3236" s="18" t="n">
        <x:v>0</x:v>
      </x:c>
      <x:c r="R3236" s="18" t="n">
        <x:v>0</x:v>
      </x:c>
      <x:c r="S3236" s="18" t="n">
        <x:v>520</x:v>
      </x:c>
      <x:c r="T3236" s="18" t="n">
        <x:v>632</x:v>
      </x:c>
      <x:c r="U3236" s="18" t="n">
        <x:v>520</x:v>
      </x:c>
      <x:c r="V3236" s="20" t="n">
        <x:v>8.8</x:v>
      </x:c>
      <x:c r="W3236" s="20" t="n">
        <x:v>9.9</x:v>
      </x:c>
      <x:c r="X3236" s="20" t="n">
        <x:v>3.3</x:v>
      </x:c>
      <x:c r="Y3236" t="str">
        <x:v>Basis arsip 2025/2024</x:v>
      </x:c>
      <x:c r="Z3236" t="str">
        <x:v>https://snpmb.id/utbk-snbt/daya-tampung-snbt</x:v>
      </x:c>
      <x:c r="AA3236" t="str">
        <x:v>Tidak Ada</x:v>
      </x:c>
      <x:c r="AB3236" t="str">
        <x:v>Campus=55; Ratio=0.0; Prodi=40; RelDemand=0.0; Capacity=87.5</x:v>
      </x:c>
    </x:row>
    <x:row r="3237">
      <x:c r="A3237" t="n">
        <x:v>3234</x:v>
      </x:c>
      <x:c r="B3237" t="str">
        <x:v>PTN Akademik</x:v>
      </x:c>
      <x:c r="C3237" t="str">
        <x:v>UNIVERSITAS NEGERI MAKASSAR</x:v>
      </x:c>
      <x:c r="D3237" t="str">
        <x:v>MESIN OTOMOTIF</x:v>
      </x:c>
      <x:c r="E3237" t="str">
        <x:v>Sarjana Terapan</x:v>
      </x:c>
      <x:c r="F3237" s="18" t="n">
        <x:v>28</x:v>
      </x:c>
      <x:c r="G3237" s="18" t="n">
        <x:v>160</x:v>
      </x:c>
      <x:c r="H3237" s="19" t="n">
        <x:v>5.714285714285714</x:v>
      </x:c>
      <x:c r="I3237" s="18" t="n">
        <x:f>ROUND(MIN(Model_Config_v3!$B$6,MAX(Q3237,R3237,S3237*Model_Config_v3!$B$4+T3237*Model_Config_v3!$B$5)),0)</x:f>
        <x:v>645</x:v>
      </x:c>
      <x:c r="J3237" s="18" t="n">
        <x:f>MIN(Model_Config_v3!$B$6,I3237+Model_Config_v3!$B$7)</x:f>
        <x:v>665</x:v>
      </x:c>
      <x:c r="K3237" s="20" t="n">
        <x:v>51.4</x:v>
      </x:c>
      <x:c r="L3237" t="str">
        <x:v>MENENGAH</x:v>
      </x:c>
      <x:c r="M3237" t="str">
        <x:v>SEDANG</x:v>
      </x:c>
      <x:c r="N3237" t="str">
        <x:v>REGULER</x:v>
      </x:c>
      <x:c r="O3237" t="str">
        <x:v>CAMPURAN</x:v>
      </x:c>
      <x:c r="P3237" t="str">
        <x:v>UMUM</x:v>
      </x:c>
      <x:c r="Q3237" s="18" t="n">
        <x:v>0</x:v>
      </x:c>
      <x:c r="R3237" s="18" t="n">
        <x:v>0</x:v>
      </x:c>
      <x:c r="S3237" s="18" t="n">
        <x:v>603.2658146445076</x:v>
      </x:c>
      <x:c r="T3237" s="18" t="n">
        <x:v>663</x:v>
      </x:c>
      <x:c r="U3237" s="18" t="n">
        <x:v>603.2658146445076</x:v>
      </x:c>
      <x:c r="V3237" s="20" t="n">
        <x:v>8.8</x:v>
      </x:c>
      <x:c r="W3237" s="20" t="n">
        <x:v>9.9</x:v>
      </x:c>
      <x:c r="X3237" s="20" t="n">
        <x:v>3.3</x:v>
      </x:c>
      <x:c r="Y3237" t="str">
        <x:v>Basis arsip 2025/2024</x:v>
      </x:c>
      <x:c r="Z3237" t="str">
        <x:v>https://snpmb.id/utbk-snbt/daya-tampung-snbt</x:v>
      </x:c>
      <x:c r="AA3237" t="str">
        <x:v>Tidak Ada</x:v>
      </x:c>
      <x:c r="AB3237" t="str">
        <x:v>Campus=55; Ratio=44.6; Prodi=40; RelDemand=53.3; Capacity=76.7</x:v>
      </x:c>
    </x:row>
    <x:row r="3238">
      <x:c r="A3238" t="n">
        <x:v>3235</x:v>
      </x:c>
      <x:c r="B3238" t="str">
        <x:v>PTN Akademik</x:v>
      </x:c>
      <x:c r="C3238" t="str">
        <x:v>UNIVERSITAS NEGERI MAKASSAR</x:v>
      </x:c>
      <x:c r="D3238" t="str">
        <x:v>TEKNIK ELEKTRONIKA</x:v>
      </x:c>
      <x:c r="E3238" t="str">
        <x:v>Sarjana Terapan</x:v>
      </x:c>
      <x:c r="F3238" s="18" t="n">
        <x:v>28</x:v>
      </x:c>
      <x:c r="G3238" s="18" t="n">
        <x:v>118</x:v>
      </x:c>
      <x:c r="H3238" s="19" t="n">
        <x:v>4.214285714285714</x:v>
      </x:c>
      <x:c r="I3238" s="18" t="n">
        <x:f>ROUND(MIN(Model_Config_v3!$B$6,MAX(Q3238,R3238,S3238*Model_Config_v3!$B$4+T3238*Model_Config_v3!$B$5)),0)</x:f>
        <x:v>641</x:v>
      </x:c>
      <x:c r="J3238" s="18" t="n">
        <x:f>MIN(Model_Config_v3!$B$6,I3238+Model_Config_v3!$B$7)</x:f>
        <x:v>661</x:v>
      </x:c>
      <x:c r="K3238" s="20" t="n">
        <x:v>52</x:v>
      </x:c>
      <x:c r="L3238" t="str">
        <x:v>MENENGAH</x:v>
      </x:c>
      <x:c r="M3238" t="str">
        <x:v>SEDANG+</x:v>
      </x:c>
      <x:c r="N3238" t="str">
        <x:v>REGULER</x:v>
      </x:c>
      <x:c r="O3238" t="str">
        <x:v>SAINTEK</x:v>
      </x:c>
      <x:c r="P3238" t="str">
        <x:v>TEKNIK/ARSITEKTUR/STATISTIKA/AKTUARIA</x:v>
      </x:c>
      <x:c r="Q3238" s="18" t="n">
        <x:v>0</x:v>
      </x:c>
      <x:c r="R3238" s="18" t="n">
        <x:v>0</x:v>
      </x:c>
      <x:c r="S3238" s="18" t="n">
        <x:v>588.7196373560297</x:v>
      </x:c>
      <x:c r="T3238" s="18" t="n">
        <x:v>664</x:v>
      </x:c>
      <x:c r="U3238" s="18" t="n">
        <x:v>598.7196373560297</x:v>
      </x:c>
      <x:c r="V3238" s="20" t="n">
        <x:v>12</x:v>
      </x:c>
      <x:c r="W3238" s="20" t="n">
        <x:v>5</x:v>
      </x:c>
      <x:c r="X3238" s="20" t="n">
        <x:v>3</x:v>
      </x:c>
      <x:c r="Y3238" t="str">
        <x:v>Basis arsip 2025/2024</x:v>
      </x:c>
      <x:c r="Z3238" t="str">
        <x:v>https://snpmb.id/utbk-snbt/daya-tampung-snbt</x:v>
      </x:c>
      <x:c r="AA3238" t="str">
        <x:v>Tidak Ada</x:v>
      </x:c>
      <x:c r="AB3238" t="str">
        <x:v>Campus=55; Ratio=36.8; Prodi=60; RelDemand=39.3; Capacity=76.7</x:v>
      </x:c>
    </x:row>
    <x:row r="3239">
      <x:c r="A3239" t="n">
        <x:v>3236</x:v>
      </x:c>
      <x:c r="B3239" t="str">
        <x:v>PTN Akademik</x:v>
      </x:c>
      <x:c r="C3239" t="str">
        <x:v>UNIVERSITAS NEGERI MAKASSAR</x:v>
      </x:c>
      <x:c r="D3239" t="str">
        <x:v>TEKNIK MESIN</x:v>
      </x:c>
      <x:c r="E3239" t="str">
        <x:v>Sarjana Terapan</x:v>
      </x:c>
      <x:c r="F3239" s="18" t="n">
        <x:v>45</x:v>
      </x:c>
      <x:c r="G3239" s="18" t="n">
        <x:v>423</x:v>
      </x:c>
      <x:c r="H3239" s="19" t="n">
        <x:v>9.4</x:v>
      </x:c>
      <x:c r="I3239" s="18" t="n">
        <x:f>ROUND(MIN(Model_Config_v3!$B$6,MAX(Q3239,R3239,S3239*Model_Config_v3!$B$4+T3239*Model_Config_v3!$B$5)),0)</x:f>
        <x:v>665</x:v>
      </x:c>
      <x:c r="J3239" s="18" t="n">
        <x:f>MIN(Model_Config_v3!$B$6,I3239+Model_Config_v3!$B$7)</x:f>
        <x:v>685</x:v>
      </x:c>
      <x:c r="K3239" s="20" t="n">
        <x:v>60.6</x:v>
      </x:c>
      <x:c r="L3239" t="str">
        <x:v>KETAT</x:v>
      </x:c>
      <x:c r="M3239" t="str">
        <x:v>SEDANG+</x:v>
      </x:c>
      <x:c r="N3239" t="str">
        <x:v>REGULER</x:v>
      </x:c>
      <x:c r="O3239" t="str">
        <x:v>SAINTEK</x:v>
      </x:c>
      <x:c r="P3239" t="str">
        <x:v>TEKNIK/ARSITEKTUR/STATISTIKA/AKTUARIA</x:v>
      </x:c>
      <x:c r="Q3239" s="18" t="n">
        <x:v>0</x:v>
      </x:c>
      <x:c r="R3239" s="18" t="n">
        <x:v>0</x:v>
      </x:c>
      <x:c r="S3239" s="18" t="n">
        <x:v>627.0440638959668</x:v>
      </x:c>
      <x:c r="T3239" s="18" t="n">
        <x:v>681</x:v>
      </x:c>
      <x:c r="U3239" s="18" t="n">
        <x:v>637.0440638959668</x:v>
      </x:c>
      <x:c r="V3239" s="20" t="n">
        <x:v>12</x:v>
      </x:c>
      <x:c r="W3239" s="20" t="n">
        <x:v>5</x:v>
      </x:c>
      <x:c r="X3239" s="20" t="n">
        <x:v>3</x:v>
      </x:c>
      <x:c r="Y3239" t="str">
        <x:v>Basis arsip 2025/2024</x:v>
      </x:c>
      <x:c r="Z3239" t="str">
        <x:v>https://snpmb.id/utbk-snbt/daya-tampung-snbt</x:v>
      </x:c>
      <x:c r="AA3239" t="str">
        <x:v>Tidak Ada</x:v>
      </x:c>
      <x:c r="AB3239" t="str">
        <x:v>Campus=55; Ratio=57.3; Prodi=60; RelDemand=87.8; Capacity=62.5</x:v>
      </x:c>
    </x:row>
    <x:row r="3240">
      <x:c r="A3240" t="n">
        <x:v>3237</x:v>
      </x:c>
      <x:c r="B3240" t="str">
        <x:v>PTN Akademik</x:v>
      </x:c>
      <x:c r="C3240" t="str">
        <x:v>UNIVERSITAS NEGERI MAKASSAR</x:v>
      </x:c>
      <x:c r="D3240" t="str">
        <x:v>TEKNIK ELEKTRO</x:v>
      </x:c>
      <x:c r="E3240" t="str">
        <x:v>Sarjana Terapan</x:v>
      </x:c>
      <x:c r="F3240" s="18" t="n">
        <x:v>60</x:v>
      </x:c>
      <x:c r="G3240" s="18" t="n">
        <x:v>487</x:v>
      </x:c>
      <x:c r="H3240" s="19" t="n">
        <x:v>8.116666666666667</x:v>
      </x:c>
      <x:c r="I3240" s="18" t="n">
        <x:f>ROUND(MIN(Model_Config_v3!$B$6,MAX(Q3240,R3240,S3240*Model_Config_v3!$B$4+T3240*Model_Config_v3!$B$5)),0)</x:f>
        <x:v>658</x:v>
      </x:c>
      <x:c r="J3240" s="18" t="n">
        <x:f>MIN(Model_Config_v3!$B$6,I3240+Model_Config_v3!$B$7)</x:f>
        <x:v>678</x:v>
      </x:c>
      <x:c r="K3240" s="20" t="n">
        <x:v>57.2</x:v>
      </x:c>
      <x:c r="L3240" t="str">
        <x:v>KETAT</x:v>
      </x:c>
      <x:c r="M3240" t="str">
        <x:v>SEDANG+</x:v>
      </x:c>
      <x:c r="N3240" t="str">
        <x:v>REGULER</x:v>
      </x:c>
      <x:c r="O3240" t="str">
        <x:v>SAINTEK</x:v>
      </x:c>
      <x:c r="P3240" t="str">
        <x:v>TEKNIK/ARSITEKTUR/STATISTIKA/AKTUARIA</x:v>
      </x:c>
      <x:c r="Q3240" s="18" t="n">
        <x:v>0</x:v>
      </x:c>
      <x:c r="R3240" s="18" t="n">
        <x:v>0</x:v>
      </x:c>
      <x:c r="S3240" s="18" t="n">
        <x:v>620.031548191409</x:v>
      </x:c>
      <x:c r="T3240" s="18" t="n">
        <x:v>674</x:v>
      </x:c>
      <x:c r="U3240" s="18" t="n">
        <x:v>630.031548191409</x:v>
      </x:c>
      <x:c r="V3240" s="20" t="n">
        <x:v>12</x:v>
      </x:c>
      <x:c r="W3240" s="20" t="n">
        <x:v>5</x:v>
      </x:c>
      <x:c r="X3240" s="20" t="n">
        <x:v>3</x:v>
      </x:c>
      <x:c r="Y3240" t="str">
        <x:v>Basis arsip 2025/2024</x:v>
      </x:c>
      <x:c r="Z3240" t="str">
        <x:v>https://snpmb.id/utbk-snbt/daya-tampung-snbt</x:v>
      </x:c>
      <x:c r="AA3240" t="str">
        <x:v>Tidak Ada</x:v>
      </x:c>
      <x:c r="AB3240" t="str">
        <x:v>Campus=55; Ratio=53.5; Prodi=60; RelDemand=75.8; Capacity=50.0</x:v>
      </x:c>
    </x:row>
    <x:row r="3241">
      <x:c r="A3241" t="n">
        <x:v>3238</x:v>
      </x:c>
      <x:c r="B3241" t="str">
        <x:v>PTN Akademik</x:v>
      </x:c>
      <x:c r="C3241" t="str">
        <x:v>UNIVERSITAS NEGERI MAKASSAR</x:v>
      </x:c>
      <x:c r="D3241" t="str">
        <x:v>TEKNIK SIPIL BANGUNAN GEDUNG</x:v>
      </x:c>
      <x:c r="E3241" t="str">
        <x:v>Sarjana Terapan</x:v>
      </x:c>
      <x:c r="F3241" s="18" t="n">
        <x:v>76</x:v>
      </x:c>
      <x:c r="G3241" s="18" t="n">
        <x:v>904</x:v>
      </x:c>
      <x:c r="H3241" s="19" t="n">
        <x:v>11.894736842105264</x:v>
      </x:c>
      <x:c r="I3241" s="18" t="n">
        <x:f>ROUND(MIN(Model_Config_v3!$B$6,MAX(Q3241,R3241,S3241*Model_Config_v3!$B$4+T3241*Model_Config_v3!$B$5)),0)</x:f>
        <x:v>668</x:v>
      </x:c>
      <x:c r="J3241" s="18" t="n">
        <x:f>MIN(Model_Config_v3!$B$6,I3241+Model_Config_v3!$B$7)</x:f>
        <x:v>688</x:v>
      </x:c>
      <x:c r="K3241" s="20" t="n">
        <x:v>60.7</x:v>
      </x:c>
      <x:c r="L3241" t="str">
        <x:v>KETAT</x:v>
      </x:c>
      <x:c r="M3241" t="str">
        <x:v>SEDANG+</x:v>
      </x:c>
      <x:c r="N3241" t="str">
        <x:v>REGULER</x:v>
      </x:c>
      <x:c r="O3241" t="str">
        <x:v>SAINTEK</x:v>
      </x:c>
      <x:c r="P3241" t="str">
        <x:v>TEKNIK/ARSITEKTUR/STATISTIKA/AKTUARIA</x:v>
      </x:c>
      <x:c r="Q3241" s="18" t="n">
        <x:v>0</x:v>
      </x:c>
      <x:c r="R3241" s="18" t="n">
        <x:v>0</x:v>
      </x:c>
      <x:c r="S3241" s="18" t="n">
        <x:v>638.289032201403</x:v>
      </x:c>
      <x:c r="T3241" s="18" t="n">
        <x:v>681</x:v>
      </x:c>
      <x:c r="U3241" s="18" t="n">
        <x:v>648.289032201403</x:v>
      </x:c>
      <x:c r="V3241" s="20" t="n">
        <x:v>12</x:v>
      </x:c>
      <x:c r="W3241" s="20" t="n">
        <x:v>5</x:v>
      </x:c>
      <x:c r="X3241" s="20" t="n">
        <x:v>3</x:v>
      </x:c>
      <x:c r="Y3241" t="str">
        <x:v>Basis arsip 2025/2024</x:v>
      </x:c>
      <x:c r="Z3241" t="str">
        <x:v>https://snpmb.id/utbk-snbt/daya-tampung-snbt</x:v>
      </x:c>
      <x:c r="AA3241" t="str">
        <x:v>Tidak Ada</x:v>
      </x:c>
      <x:c r="AB3241" t="str">
        <x:v>Campus=55; Ratio=63.3; Prodi=60; RelDemand=100.0; Capacity=36.7</x:v>
      </x:c>
    </x:row>
    <x:row r="3242">
      <x:c r="A3242" t="n">
        <x:v>3239</x:v>
      </x:c>
      <x:c r="B3242" t="str">
        <x:v>PTN Akademik</x:v>
      </x:c>
      <x:c r="C3242" t="str">
        <x:v>UNIVERSITAS NEGERI MAKASSAR</x:v>
      </x:c>
      <x:c r="D3242" t="str">
        <x:v>TATA BOGA</x:v>
      </x:c>
      <x:c r="E3242" t="str">
        <x:v>Sarjana Terapan</x:v>
      </x:c>
      <x:c r="F3242" s="18" t="n">
        <x:v>43</x:v>
      </x:c>
      <x:c r="G3242" s="18" t="n">
        <x:v>558</x:v>
      </x:c>
      <x:c r="H3242" s="19" t="n">
        <x:v>12.976744186046512</x:v>
      </x:c>
      <x:c r="I3242" s="18" t="n">
        <x:f>ROUND(MIN(Model_Config_v3!$B$6,MAX(Q3242,R3242,S3242*Model_Config_v3!$B$4+T3242*Model_Config_v3!$B$5)),0)</x:f>
        <x:v>669</x:v>
      </x:c>
      <x:c r="J3242" s="18" t="n">
        <x:f>MIN(Model_Config_v3!$B$6,I3242+Model_Config_v3!$B$7)</x:f>
        <x:v>689</x:v>
      </x:c>
      <x:c r="K3242" s="20" t="n">
        <x:v>60</x:v>
      </x:c>
      <x:c r="L3242" t="str">
        <x:v>KETAT</x:v>
      </x:c>
      <x:c r="M3242" t="str">
        <x:v>SEDANG</x:v>
      </x:c>
      <x:c r="N3242" t="str">
        <x:v>REGULER</x:v>
      </x:c>
      <x:c r="O3242" t="str">
        <x:v>CAMPURAN</x:v>
      </x:c>
      <x:c r="P3242" t="str">
        <x:v>UMUM</x:v>
      </x:c>
      <x:c r="Q3242" s="18" t="n">
        <x:v>0</x:v>
      </x:c>
      <x:c r="R3242" s="18" t="n">
        <x:v>0</x:v>
      </x:c>
      <x:c r="S3242" s="18" t="n">
        <x:v>642.4482317693792</x:v>
      </x:c>
      <x:c r="T3242" s="18" t="n">
        <x:v>680</x:v>
      </x:c>
      <x:c r="U3242" s="18" t="n">
        <x:v>642.4482317693792</x:v>
      </x:c>
      <x:c r="V3242" s="20" t="n">
        <x:v>8.8</x:v>
      </x:c>
      <x:c r="W3242" s="20" t="n">
        <x:v>9.9</x:v>
      </x:c>
      <x:c r="X3242" s="20" t="n">
        <x:v>3.3</x:v>
      </x:c>
      <x:c r="Y3242" t="str">
        <x:v>Basis arsip 2025/2024</x:v>
      </x:c>
      <x:c r="Z3242" t="str">
        <x:v>https://snpmb.id/utbk-snbt/daya-tampung-snbt</x:v>
      </x:c>
      <x:c r="AA3242" t="str">
        <x:v>Tidak Ada</x:v>
      </x:c>
      <x:c r="AB3242" t="str">
        <x:v>Campus=55; Ratio=65.5; Prodi=40; RelDemand=100.0; Capacity=64.2</x:v>
      </x:c>
    </x:row>
    <x:row r="3243">
      <x:c r="A3243" t="n">
        <x:v>3240</x:v>
      </x:c>
      <x:c r="B3243" t="str">
        <x:v>PTN Akademik</x:v>
      </x:c>
      <x:c r="C3243" t="str">
        <x:v>UNIVERSITAS NEGERI MAKASSAR</x:v>
      </x:c>
      <x:c r="D3243" t="str">
        <x:v>AKUNTANSI</x:v>
      </x:c>
      <x:c r="E3243" t="str">
        <x:v>Sarjana Terapan</x:v>
      </x:c>
      <x:c r="F3243" s="18" t="n">
        <x:v>60</x:v>
      </x:c>
      <x:c r="G3243" s="18" t="n">
        <x:v>2009</x:v>
      </x:c>
      <x:c r="H3243" s="19" t="n">
        <x:v>33.483333333333334</x:v>
      </x:c>
      <x:c r="I3243" s="18" t="n">
        <x:f>ROUND(MIN(Model_Config_v3!$B$6,MAX(Q3243,R3243,S3243*Model_Config_v3!$B$4+T3243*Model_Config_v3!$B$5)),0)</x:f>
        <x:v>696</x:v>
      </x:c>
      <x:c r="J3243" s="18" t="n">
        <x:f>MIN(Model_Config_v3!$B$6,I3243+Model_Config_v3!$B$7)</x:f>
        <x:v>716</x:v>
      </x:c>
      <x:c r="K3243" s="20" t="n">
        <x:v>69.7</x:v>
      </x:c>
      <x:c r="L3243" t="str">
        <x:v>SANGAT KETAT</x:v>
      </x:c>
      <x:c r="M3243" t="str">
        <x:v>SEDANG+</x:v>
      </x:c>
      <x:c r="N3243" t="str">
        <x:v>REGULER</x:v>
      </x:c>
      <x:c r="O3243" t="str">
        <x:v>SOSHUM</x:v>
      </x:c>
      <x:c r="P3243" t="str">
        <x:v>BISNIS/EKONOMI/AKUNTANSI</x:v>
      </x:c>
      <x:c r="Q3243" s="18" t="n">
        <x:v>0</x:v>
      </x:c>
      <x:c r="R3243" s="18" t="n">
        <x:v>0</x:v>
      </x:c>
      <x:c r="S3243" s="18" t="n">
        <x:v>687.7311555001065</x:v>
      </x:c>
      <x:c r="T3243" s="18" t="n">
        <x:v>699</x:v>
      </x:c>
      <x:c r="U3243" s="18" t="n">
        <x:v>687.7311555001065</x:v>
      </x:c>
      <x:c r="V3243" s="20" t="n">
        <x:v>4.4</x:v>
      </x:c>
      <x:c r="W3243" s="20" t="n">
        <x:v>14.3</x:v>
      </x:c>
      <x:c r="X3243" s="20" t="n">
        <x:v>3.3</x:v>
      </x:c>
      <x:c r="Y3243" t="str">
        <x:v>Basis arsip 2025/2024</x:v>
      </x:c>
      <x:c r="Z3243" t="str">
        <x:v>https://snpmb.id/utbk-snbt/daya-tampung-snbt</x:v>
      </x:c>
      <x:c r="AA3243" t="str">
        <x:v>Tidak Ada</x:v>
      </x:c>
      <x:c r="AB3243" t="str">
        <x:v>Campus=55; Ratio=89.8; Prodi=65; RelDemand=100.0; Capacity=50.0</x:v>
      </x:c>
    </x:row>
    <x:row r="3244">
      <x:c r="A3244" t="n">
        <x:v>3241</x:v>
      </x:c>
      <x:c r="B3244" t="str">
        <x:v>PTN Akademik</x:v>
      </x:c>
      <x:c r="C3244" t="str">
        <x:v>UNIVERSITAS NEGERI MAKASSAR</x:v>
      </x:c>
      <x:c r="D3244" t="str">
        <x:v>BAHASA INGGRIS</x:v>
      </x:c>
      <x:c r="E3244" t="str">
        <x:v>Sarjana Terapan</x:v>
      </x:c>
      <x:c r="F3244" s="18" t="n">
        <x:v>50</x:v>
      </x:c>
      <x:c r="G3244" s="18" t="n">
        <x:v>697</x:v>
      </x:c>
      <x:c r="H3244" s="19" t="n">
        <x:v>13.94</x:v>
      </x:c>
      <x:c r="I3244" s="18" t="n">
        <x:f>ROUND(MIN(Model_Config_v3!$B$6,MAX(Q3244,R3244,S3244*Model_Config_v3!$B$4+T3244*Model_Config_v3!$B$5)),0)</x:f>
        <x:v>670</x:v>
      </x:c>
      <x:c r="J3244" s="18" t="n">
        <x:f>MIN(Model_Config_v3!$B$6,I3244+Model_Config_v3!$B$7)</x:f>
        <x:v>690</x:v>
      </x:c>
      <x:c r="K3244" s="20" t="n">
        <x:v>59.9</x:v>
      </x:c>
      <x:c r="L3244" t="str">
        <x:v>KETAT</x:v>
      </x:c>
      <x:c r="M3244" t="str">
        <x:v>SEDANG</x:v>
      </x:c>
      <x:c r="N3244" t="str">
        <x:v>REGULER</x:v>
      </x:c>
      <x:c r="O3244" t="str">
        <x:v>SOSHUM</x:v>
      </x:c>
      <x:c r="P3244" t="str">
        <x:v>UMUM</x:v>
      </x:c>
      <x:c r="Q3244" s="18" t="n">
        <x:v>0</x:v>
      </x:c>
      <x:c r="R3244" s="18" t="n">
        <x:v>0</x:v>
      </x:c>
      <x:c r="S3244" s="18" t="n">
        <x:v>645.868905113819</x:v>
      </x:c>
      <x:c r="T3244" s="18" t="n">
        <x:v>680</x:v>
      </x:c>
      <x:c r="U3244" s="18" t="n">
        <x:v>645.868905113819</x:v>
      </x:c>
      <x:c r="V3244" s="20" t="n">
        <x:v>4.4</x:v>
      </x:c>
      <x:c r="W3244" s="20" t="n">
        <x:v>14.3</x:v>
      </x:c>
      <x:c r="X3244" s="20" t="n">
        <x:v>3.3</x:v>
      </x:c>
      <x:c r="Y3244" t="str">
        <x:v>Basis arsip 2025/2024</x:v>
      </x:c>
      <x:c r="Z3244" t="str">
        <x:v>https://snpmb.id/utbk-snbt/daya-tampung-snbt</x:v>
      </x:c>
      <x:c r="AA3244" t="str">
        <x:v>Tidak Ada</x:v>
      </x:c>
      <x:c r="AB3244" t="str">
        <x:v>Campus=55; Ratio=67.4; Prodi=40; RelDemand=100.0; Capacity=58.3</x:v>
      </x:c>
    </x:row>
    <x:row r="3245">
      <x:c r="A3245" t="n">
        <x:v>3242</x:v>
      </x:c>
      <x:c r="B3245" t="str">
        <x:v>PTN Akademik</x:v>
      </x:c>
      <x:c r="C3245" t="str">
        <x:v>UNIVERSITAS NEGERI MAKASSAR</x:v>
      </x:c>
      <x:c r="D3245" t="str">
        <x:v>ANIMASI</x:v>
      </x:c>
      <x:c r="E3245" t="str">
        <x:v>Sarjana Terapan</x:v>
      </x:c>
      <x:c r="F3245" s="18" t="n">
        <x:v>19</x:v>
      </x:c>
      <x:c r="G3245" s="18" t="n">
        <x:v>193</x:v>
      </x:c>
      <x:c r="H3245" s="19" t="n">
        <x:v>10.157894736842104</x:v>
      </x:c>
      <x:c r="I3245" s="18" t="n">
        <x:f>ROUND(MIN(Model_Config_v3!$B$6,MAX(Q3245,R3245,S3245*Model_Config_v3!$B$4+T3245*Model_Config_v3!$B$5)),0)</x:f>
        <x:v>667</x:v>
      </x:c>
      <x:c r="J3245" s="18" t="n">
        <x:f>MIN(Model_Config_v3!$B$6,I3245+Model_Config_v3!$B$7)</x:f>
        <x:v>687</x:v>
      </x:c>
      <x:c r="K3245" s="20" t="n">
        <x:v>61</x:v>
      </x:c>
      <x:c r="L3245" t="str">
        <x:v>KETAT</x:v>
      </x:c>
      <x:c r="M3245" t="str">
        <x:v>PORTOFOLIO</x:v>
      </x:c>
      <x:c r="N3245" t="str">
        <x:v>REGULER</x:v>
      </x:c>
      <x:c r="O3245" t="str">
        <x:v>SENI/OLAHRAGA</x:v>
      </x:c>
      <x:c r="P3245" t="str">
        <x:v>SENI/OLAHRAGA</x:v>
      </x:c>
      <x:c r="Q3245" s="18" t="n">
        <x:v>0</x:v>
      </x:c>
      <x:c r="R3245" s="18" t="n">
        <x:v>0</x:v>
      </x:c>
      <x:c r="S3245" s="18" t="n">
        <x:v>630.7484078860439</x:v>
      </x:c>
      <x:c r="T3245" s="18" t="n">
        <x:v>682</x:v>
      </x:c>
      <x:c r="U3245" s="18" t="n">
        <x:v>630.7484078860439</x:v>
      </x:c>
      <x:c r="V3245" s="20" t="n">
        <x:v>4.4</x:v>
      </x:c>
      <x:c r="W3245" s="20" t="n">
        <x:v>9.9</x:v>
      </x:c>
      <x:c r="X3245" s="20" t="n">
        <x:v>7.7</x:v>
      </x:c>
      <x:c r="Y3245" t="str">
        <x:v>Basis arsip 2025/2024</x:v>
      </x:c>
      <x:c r="Z3245" t="str">
        <x:v>https://snpmb.id/utbk-snbt/daya-tampung-snbt</x:v>
      </x:c>
      <x:c r="AA3245" t="str">
        <x:v>Seni Rupa, Desain, dan Kriya</x:v>
      </x:c>
      <x:c r="AB3245" t="str">
        <x:v>Campus=55; Ratio=59.3; Prodi=45; RelDemand=94.8; Capacity=84.2</x:v>
      </x:c>
    </x:row>
    <x:row r="3246">
      <x:c r="A3246" t="n">
        <x:v>3243</x:v>
      </x:c>
      <x:c r="B3246" t="str">
        <x:v>PTN Akademik</x:v>
      </x:c>
      <x:c r="C3246" t="str">
        <x:v>UNIVERSITAS NEGERI MAKASSAR</x:v>
      </x:c>
      <x:c r="D3246" t="str">
        <x:v>PROMOSI KESEHATAN</x:v>
      </x:c>
      <x:c r="E3246" t="str">
        <x:v>Sarjana Terapan</x:v>
      </x:c>
      <x:c r="F3246" s="18" t="n">
        <x:v>53</x:v>
      </x:c>
      <x:c r="G3246" s="18"/>
      <x:c r="H3246" s="19" t="n">
        <x:v>0</x:v>
      </x:c>
      <x:c r="I3246" s="18" t="n">
        <x:f>ROUND(MIN(Model_Config_v3!$B$6,MAX(Q3246,R3246,S3246*Model_Config_v3!$B$4+T3246*Model_Config_v3!$B$5)),0)</x:f>
        <x:v>598</x:v>
      </x:c>
      <x:c r="J3246" s="18" t="n">
        <x:f>MIN(Model_Config_v3!$B$6,I3246+Model_Config_v3!$B$7)</x:f>
        <x:v>618</x:v>
      </x:c>
      <x:c r="K3246" s="20" t="n">
        <x:v>35.8</x:v>
      </x:c>
      <x:c r="L3246" t="str">
        <x:v>RELATIF LONGGAR</x:v>
      </x:c>
      <x:c r="M3246" t="str">
        <x:v>RENDAH</x:v>
      </x:c>
      <x:c r="N3246" t="str">
        <x:v>REGULER</x:v>
      </x:c>
      <x:c r="O3246" t="str">
        <x:v>SAINTEK</x:v>
      </x:c>
      <x:c r="P3246" t="str">
        <x:v>KESEHAT/GIZI/KEPERAWATAN</x:v>
      </x:c>
      <x:c r="Q3246" s="18" t="n">
        <x:v>0</x:v>
      </x:c>
      <x:c r="R3246" s="18" t="n">
        <x:v>0</x:v>
      </x:c>
      <x:c r="S3246" s="18" t="n">
        <x:v>520</x:v>
      </x:c>
      <x:c r="T3246" s="18" t="n">
        <x:v>632</x:v>
      </x:c>
      <x:c r="U3246" s="18" t="n">
        <x:v>520</x:v>
      </x:c>
      <x:c r="V3246" s="20" t="n">
        <x:v>12</x:v>
      </x:c>
      <x:c r="W3246" s="20" t="n">
        <x:v>5</x:v>
      </x:c>
      <x:c r="X3246" s="20" t="n">
        <x:v>3</x:v>
      </x:c>
      <x:c r="Y3246" t="str">
        <x:v>Basis arsip 2025/2024</x:v>
      </x:c>
      <x:c r="Z3246" t="str">
        <x:v>https://snpmb.id/utbk-snbt/daya-tampung-snbt</x:v>
      </x:c>
      <x:c r="AA3246" t="str">
        <x:v>Tidak Ada</x:v>
      </x:c>
      <x:c r="AB3246" t="str">
        <x:v>Campus=55; Ratio=0.0; Prodi=55; RelDemand=0.0; Capacity=55.8</x:v>
      </x:c>
    </x:row>
    <x:row r="3247">
      <x:c r="A3247" t="n">
        <x:v>3244</x:v>
      </x:c>
      <x:c r="B3247" t="str">
        <x:v>PTN Akademik</x:v>
      </x:c>
      <x:c r="C3247" t="str">
        <x:v>UNIVERSITAS NEGERI MAKASSAR</x:v>
      </x:c>
      <x:c r="D3247" t="str">
        <x:v>TATA BUSANA</x:v>
      </x:c>
      <x:c r="E3247" t="str">
        <x:v>Diploma Tiga</x:v>
      </x:c>
      <x:c r="F3247" s="18" t="n">
        <x:v>28</x:v>
      </x:c>
      <x:c r="G3247" s="18" t="n">
        <x:v>1289</x:v>
      </x:c>
      <x:c r="H3247" s="19" t="n">
        <x:v>46.035714285714285</x:v>
      </x:c>
      <x:c r="I3247" s="18" t="n">
        <x:f>ROUND(MIN(Model_Config_v3!$B$6,MAX(Q3247,R3247,S3247*Model_Config_v3!$B$4+T3247*Model_Config_v3!$B$5)),0)</x:f>
        <x:v>700</x:v>
      </x:c>
      <x:c r="J3247" s="18" t="n">
        <x:f>MIN(Model_Config_v3!$B$6,I3247+Model_Config_v3!$B$7)</x:f>
        <x:v>720</x:v>
      </x:c>
      <x:c r="K3247" s="20" t="n">
        <x:v>69.4</x:v>
      </x:c>
      <x:c r="L3247" t="str">
        <x:v>SANGAT KETAT</x:v>
      </x:c>
      <x:c r="M3247" t="str">
        <x:v>SEDANG</x:v>
      </x:c>
      <x:c r="N3247" t="str">
        <x:v>REGULER</x:v>
      </x:c>
      <x:c r="O3247" t="str">
        <x:v>CAMPURAN</x:v>
      </x:c>
      <x:c r="P3247" t="str">
        <x:v>UMUM</x:v>
      </x:c>
      <x:c r="Q3247" s="18" t="n">
        <x:v>0</x:v>
      </x:c>
      <x:c r="R3247" s="18" t="n">
        <x:v>0</x:v>
      </x:c>
      <x:c r="S3247" s="18" t="n">
        <x:v>702.9404374612302</x:v>
      </x:c>
      <x:c r="T3247" s="18" t="n">
        <x:v>699</x:v>
      </x:c>
      <x:c r="U3247" s="18" t="n">
        <x:v>702.9404374612302</x:v>
      </x:c>
      <x:c r="V3247" s="20" t="n">
        <x:v>8.8</x:v>
      </x:c>
      <x:c r="W3247" s="20" t="n">
        <x:v>9.9</x:v>
      </x:c>
      <x:c r="X3247" s="20" t="n">
        <x:v>3.3</x:v>
      </x:c>
      <x:c r="Y3247" t="str">
        <x:v>Basis arsip 2025/2024</x:v>
      </x:c>
      <x:c r="Z3247" t="str">
        <x:v>https://snpmb.id/utbk-snbt/daya-tampung-snbt</x:v>
      </x:c>
      <x:c r="AA3247" t="str">
        <x:v>Tidak Ada</x:v>
      </x:c>
      <x:c r="AB3247" t="str">
        <x:v>Campus=55; Ratio=97.9; Prodi=40; RelDemand=100.0; Capacity=76.7</x:v>
      </x:c>
    </x:row>
    <x:row r="3248">
      <x:c r="A3248" t="n">
        <x:v>3245</x:v>
      </x:c>
      <x:c r="B3248" t="str">
        <x:v>PTN Akademik</x:v>
      </x:c>
      <x:c r="C3248" t="str">
        <x:v>INSTITUT TEKNOLOGI BJ. HABIBIE SULAWESI SELATAN</x:v>
      </x:c>
      <x:c r="D3248" t="str">
        <x:v>ILMU KOMPUTER</x:v>
      </x:c>
      <x:c r="E3248" t="str">
        <x:v>Sarjana</x:v>
      </x:c>
      <x:c r="F3248" s="18" t="n">
        <x:v>64</x:v>
      </x:c>
      <x:c r="G3248" s="18" t="n">
        <x:v>124</x:v>
      </x:c>
      <x:c r="H3248" s="19" t="n">
        <x:v>1.9375</x:v>
      </x:c>
      <x:c r="I3248" s="18" t="n">
        <x:f>ROUND(MIN(Model_Config_v3!$B$6,MAX(Q3248,R3248,S3248*Model_Config_v3!$B$4+T3248*Model_Config_v3!$B$5)),0)</x:f>
        <x:v>634</x:v>
      </x:c>
      <x:c r="J3248" s="18" t="n">
        <x:f>MIN(Model_Config_v3!$B$6,I3248+Model_Config_v3!$B$7)</x:f>
        <x:v>654</x:v>
      </x:c>
      <x:c r="K3248" s="20" t="n">
        <x:v>55.1</x:v>
      </x:c>
      <x:c r="L3248" t="str">
        <x:v>KETAT</x:v>
      </x:c>
      <x:c r="M3248" t="str">
        <x:v>SEDANG+</x:v>
      </x:c>
      <x:c r="N3248" t="str">
        <x:v>REGULER</x:v>
      </x:c>
      <x:c r="O3248" t="str">
        <x:v>SAINTEK</x:v>
      </x:c>
      <x:c r="P3248" t="str">
        <x:v>KOMPUTER/INFORMATIKA</x:v>
      </x:c>
      <x:c r="Q3248" s="18" t="n">
        <x:v>0</x:v>
      </x:c>
      <x:c r="R3248" s="18" t="n">
        <x:v>0</x:v>
      </x:c>
      <x:c r="S3248" s="18" t="n">
        <x:v>551.5965882296183</x:v>
      </x:c>
      <x:c r="T3248" s="18" t="n">
        <x:v>670</x:v>
      </x:c>
      <x:c r="U3248" s="18" t="n">
        <x:v>576.5965882296183</x:v>
      </x:c>
      <x:c r="V3248" s="20" t="n">
        <x:v>12</x:v>
      </x:c>
      <x:c r="W3248" s="20" t="n">
        <x:v>5</x:v>
      </x:c>
      <x:c r="X3248" s="20" t="n">
        <x:v>3</x:v>
      </x:c>
      <x:c r="Y3248" t="str">
        <x:v>Basis arsip 2025/2024</x:v>
      </x:c>
      <x:c r="Z3248" t="str">
        <x:v>https://snpmb.id/utbk-snbt/daya-tampung-snbt</x:v>
      </x:c>
      <x:c r="AA3248" t="str">
        <x:v>Tidak Ada</x:v>
      </x:c>
      <x:c r="AB3248" t="str">
        <x:v>Campus=55; Ratio=16.9; Prodi=85; RelDemand=100.0; Capacity=46.7</x:v>
      </x:c>
    </x:row>
    <x:row r="3249">
      <x:c r="A3249" t="n">
        <x:v>3246</x:v>
      </x:c>
      <x:c r="B3249" t="str">
        <x:v>PTN Akademik</x:v>
      </x:c>
      <x:c r="C3249" t="str">
        <x:v>INSTITUT TEKNOLOGI BJ. HABIBIE SULAWESI SELATAN</x:v>
      </x:c>
      <x:c r="D3249" t="str">
        <x:v>SISTEM INFORMASI</x:v>
      </x:c>
      <x:c r="E3249" t="str">
        <x:v>Sarjana</x:v>
      </x:c>
      <x:c r="F3249" s="18" t="n">
        <x:v>64</x:v>
      </x:c>
      <x:c r="G3249" s="18" t="n">
        <x:v>86</x:v>
      </x:c>
      <x:c r="H3249" s="19" t="n">
        <x:v>1.34375</x:v>
      </x:c>
      <x:c r="I3249" s="18" t="n">
        <x:f>ROUND(MIN(Model_Config_v3!$B$6,MAX(Q3249,R3249,S3249*Model_Config_v3!$B$4+T3249*Model_Config_v3!$B$5)),0)</x:f>
        <x:v>626</x:v>
      </x:c>
      <x:c r="J3249" s="18" t="n">
        <x:f>MIN(Model_Config_v3!$B$6,I3249+Model_Config_v3!$B$7)</x:f>
        <x:v>646</x:v>
      </x:c>
      <x:c r="K3249" s="20" t="n">
        <x:v>52.8</x:v>
      </x:c>
      <x:c r="L3249" t="str">
        <x:v>MENENGAH</x:v>
      </x:c>
      <x:c r="M3249" t="str">
        <x:v>SEDANG+</x:v>
      </x:c>
      <x:c r="N3249" t="str">
        <x:v>REGULER</x:v>
      </x:c>
      <x:c r="O3249" t="str">
        <x:v>CAMPURAN</x:v>
      </x:c>
      <x:c r="P3249" t="str">
        <x:v>KOMPUTER/INFORMATIKA</x:v>
      </x:c>
      <x:c r="Q3249" s="18" t="n">
        <x:v>0</x:v>
      </x:c>
      <x:c r="R3249" s="18" t="n">
        <x:v>0</x:v>
      </x:c>
      <x:c r="S3249" s="18" t="n">
        <x:v>534.1150324985649</x:v>
      </x:c>
      <x:c r="T3249" s="18" t="n">
        <x:v>666</x:v>
      </x:c>
      <x:c r="U3249" s="18" t="n">
        <x:v>559.1150324985649</x:v>
      </x:c>
      <x:c r="V3249" s="20" t="n">
        <x:v>8.8</x:v>
      </x:c>
      <x:c r="W3249" s="20" t="n">
        <x:v>9.9</x:v>
      </x:c>
      <x:c r="X3249" s="20" t="n">
        <x:v>3.3</x:v>
      </x:c>
      <x:c r="Y3249" t="str">
        <x:v>Basis arsip 2025/2024</x:v>
      </x:c>
      <x:c r="Z3249" t="str">
        <x:v>https://snpmb.id/utbk-snbt/daya-tampung-snbt</x:v>
      </x:c>
      <x:c r="AA3249" t="str">
        <x:v>Tidak Ada</x:v>
      </x:c>
      <x:c r="AB3249" t="str">
        <x:v>Campus=55; Ratio=7.6; Prodi=85; RelDemand=100.0; Capacity=46.7</x:v>
      </x:c>
    </x:row>
    <x:row r="3250">
      <x:c r="A3250" t="n">
        <x:v>3247</x:v>
      </x:c>
      <x:c r="B3250" t="str">
        <x:v>PTN Akademik</x:v>
      </x:c>
      <x:c r="C3250" t="str">
        <x:v>INSTITUT TEKNOLOGI BJ. HABIBIE SULAWESI SELATAN</x:v>
      </x:c>
      <x:c r="D3250" t="str">
        <x:v>MATEMATIKA</x:v>
      </x:c>
      <x:c r="E3250" t="str">
        <x:v>Sarjana</x:v>
      </x:c>
      <x:c r="F3250" s="18" t="n">
        <x:v>15</x:v>
      </x:c>
      <x:c r="G3250" s="18" t="n">
        <x:v>4</x:v>
      </x:c>
      <x:c r="H3250" s="19" t="n">
        <x:v>0.26666666666666666</x:v>
      </x:c>
      <x:c r="I3250" s="18" t="n">
        <x:f>ROUND(MIN(Model_Config_v3!$B$6,MAX(Q3250,R3250,S3250*Model_Config_v3!$B$4+T3250*Model_Config_v3!$B$5)),0)</x:f>
        <x:v>604</x:v>
      </x:c>
      <x:c r="J3250" s="18" t="n">
        <x:f>MIN(Model_Config_v3!$B$6,I3250+Model_Config_v3!$B$7)</x:f>
        <x:v>624</x:v>
      </x:c>
      <x:c r="K3250" s="20" t="n">
        <x:v>40</x:v>
      </x:c>
      <x:c r="L3250" t="str">
        <x:v>RELATIF LONGGAR</x:v>
      </x:c>
      <x:c r="M3250" t="str">
        <x:v>SEDANG+</x:v>
      </x:c>
      <x:c r="N3250" t="str">
        <x:v>REGULER</x:v>
      </x:c>
      <x:c r="O3250" t="str">
        <x:v>SAINTEK</x:v>
      </x:c>
      <x:c r="P3250" t="str">
        <x:v>SAINS DASAR</x:v>
      </x:c>
      <x:c r="Q3250" s="18" t="n">
        <x:v>0</x:v>
      </x:c>
      <x:c r="R3250" s="18" t="n">
        <x:v>0</x:v>
      </x:c>
      <x:c r="S3250" s="18" t="n">
        <x:v>520</x:v>
      </x:c>
      <x:c r="T3250" s="18" t="n">
        <x:v>640</x:v>
      </x:c>
      <x:c r="U3250" s="18" t="n">
        <x:v>520</x:v>
      </x:c>
      <x:c r="V3250" s="20" t="n">
        <x:v>12</x:v>
      </x:c>
      <x:c r="W3250" s="20" t="n">
        <x:v>5</x:v>
      </x:c>
      <x:c r="X3250" s="20" t="n">
        <x:v>3</x:v>
      </x:c>
      <x:c r="Y3250" t="str">
        <x:v>Basis arsip 2025/2024</x:v>
      </x:c>
      <x:c r="Z3250" t="str">
        <x:v>https://snpmb.id/utbk-snbt/daya-tampung-snbt</x:v>
      </x:c>
      <x:c r="AA3250" t="str">
        <x:v>Tidak Ada</x:v>
      </x:c>
      <x:c r="AB3250" t="str">
        <x:v>Campus=55; Ratio=0.0; Prodi=50; RelDemand=20.3; Capacity=87.5</x:v>
      </x:c>
    </x:row>
    <x:row r="3251">
      <x:c r="A3251" t="n">
        <x:v>3248</x:v>
      </x:c>
      <x:c r="B3251" t="str">
        <x:v>PTN Akademik</x:v>
      </x:c>
      <x:c r="C3251" t="str">
        <x:v>INSTITUT TEKNOLOGI BJ. HABIBIE SULAWESI SELATAN</x:v>
      </x:c>
      <x:c r="D3251" t="str">
        <x:v>TEKNOLOGI PANGAN</x:v>
      </x:c>
      <x:c r="E3251" t="str">
        <x:v>Sarjana</x:v>
      </x:c>
      <x:c r="F3251" s="18" t="n">
        <x:v>32</x:v>
      </x:c>
      <x:c r="G3251" s="18" t="n">
        <x:v>16</x:v>
      </x:c>
      <x:c r="H3251" s="19" t="n">
        <x:v>0.5</x:v>
      </x:c>
      <x:c r="I3251" s="18" t="n">
        <x:f>ROUND(MIN(Model_Config_v3!$B$6,MAX(Q3251,R3251,S3251*Model_Config_v3!$B$4+T3251*Model_Config_v3!$B$5)),0)</x:f>
        <x:v>602</x:v>
      </x:c>
      <x:c r="J3251" s="18" t="n">
        <x:f>MIN(Model_Config_v3!$B$6,I3251+Model_Config_v3!$B$7)</x:f>
        <x:v>622</x:v>
      </x:c>
      <x:c r="K3251" s="20" t="n">
        <x:v>38.4</x:v>
      </x:c>
      <x:c r="L3251" t="str">
        <x:v>RELATIF LONGGAR</x:v>
      </x:c>
      <x:c r="M3251" t="str">
        <x:v>SEDANG</x:v>
      </x:c>
      <x:c r="N3251" t="str">
        <x:v>REGULER</x:v>
      </x:c>
      <x:c r="O3251" t="str">
        <x:v>SAINTEK</x:v>
      </x:c>
      <x:c r="P3251" t="str">
        <x:v>UMUM</x:v>
      </x:c>
      <x:c r="Q3251" s="18" t="n">
        <x:v>0</x:v>
      </x:c>
      <x:c r="R3251" s="18" t="n">
        <x:v>0</x:v>
      </x:c>
      <x:c r="S3251" s="18" t="n">
        <x:v>520</x:v>
      </x:c>
      <x:c r="T3251" s="18" t="n">
        <x:v>637</x:v>
      </x:c>
      <x:c r="U3251" s="18" t="n">
        <x:v>520</x:v>
      </x:c>
      <x:c r="V3251" s="20" t="n">
        <x:v>12</x:v>
      </x:c>
      <x:c r="W3251" s="20" t="n">
        <x:v>5</x:v>
      </x:c>
      <x:c r="X3251" s="20" t="n">
        <x:v>3</x:v>
      </x:c>
      <x:c r="Y3251" t="str">
        <x:v>Basis arsip 2025/2024</x:v>
      </x:c>
      <x:c r="Z3251" t="str">
        <x:v>https://snpmb.id/utbk-snbt/daya-tampung-snbt</x:v>
      </x:c>
      <x:c r="AA3251" t="str">
        <x:v>Tidak Ada</x:v>
      </x:c>
      <x:c r="AB3251" t="str">
        <x:v>Campus=55; Ratio=0.0; Prodi=40; RelDemand=38.1; Capacity=73.3</x:v>
      </x:c>
    </x:row>
    <x:row r="3252">
      <x:c r="A3252" t="n">
        <x:v>3249</x:v>
      </x:c>
      <x:c r="B3252" t="str">
        <x:v>PTN Akademik</x:v>
      </x:c>
      <x:c r="C3252" t="str">
        <x:v>INSTITUT TEKNOLOGI BJ. HABIBIE SULAWESI SELATAN</x:v>
      </x:c>
      <x:c r="D3252" t="str">
        <x:v>SAINS DATA</x:v>
      </x:c>
      <x:c r="E3252" t="str">
        <x:v>Sarjana</x:v>
      </x:c>
      <x:c r="F3252" s="18" t="n">
        <x:v>24</x:v>
      </x:c>
      <x:c r="G3252" s="18" t="n">
        <x:v>10</x:v>
      </x:c>
      <x:c r="H3252" s="19" t="n">
        <x:v>0.4166666666666667</x:v>
      </x:c>
      <x:c r="I3252" s="18" t="n">
        <x:f>ROUND(MIN(Model_Config_v3!$B$6,MAX(Q3252,R3252,S3252*Model_Config_v3!$B$4+T3252*Model_Config_v3!$B$5)),0)</x:f>
        <x:v>602</x:v>
      </x:c>
      <x:c r="J3252" s="18" t="n">
        <x:f>MIN(Model_Config_v3!$B$6,I3252+Model_Config_v3!$B$7)</x:f>
        <x:v>622</x:v>
      </x:c>
      <x:c r="K3252" s="20" t="n">
        <x:v>38.4</x:v>
      </x:c>
      <x:c r="L3252" t="str">
        <x:v>RELATIF LONGGAR</x:v>
      </x:c>
      <x:c r="M3252" t="str">
        <x:v>SEDANG</x:v>
      </x:c>
      <x:c r="N3252" t="str">
        <x:v>REGULER</x:v>
      </x:c>
      <x:c r="O3252" t="str">
        <x:v>CAMPURAN</x:v>
      </x:c>
      <x:c r="P3252" t="str">
        <x:v>UMUM</x:v>
      </x:c>
      <x:c r="Q3252" s="18" t="n">
        <x:v>0</x:v>
      </x:c>
      <x:c r="R3252" s="18" t="n">
        <x:v>0</x:v>
      </x:c>
      <x:c r="S3252" s="18" t="n">
        <x:v>520</x:v>
      </x:c>
      <x:c r="T3252" s="18" t="n">
        <x:v>637</x:v>
      </x:c>
      <x:c r="U3252" s="18" t="n">
        <x:v>520</x:v>
      </x:c>
      <x:c r="V3252" s="20" t="n">
        <x:v>8.8</x:v>
      </x:c>
      <x:c r="W3252" s="20" t="n">
        <x:v>9.9</x:v>
      </x:c>
      <x:c r="X3252" s="20" t="n">
        <x:v>3.3</x:v>
      </x:c>
      <x:c r="Y3252" t="str">
        <x:v>Basis arsip 2025/2024</x:v>
      </x:c>
      <x:c r="Z3252" t="str">
        <x:v>https://snpmb.id/utbk-snbt/daya-tampung-snbt</x:v>
      </x:c>
      <x:c r="AA3252" t="str">
        <x:v>Tidak Ada</x:v>
      </x:c>
      <x:c r="AB3252" t="str">
        <x:v>Campus=55; Ratio=0.0; Prodi=40; RelDemand=31.7; Capacity=80.0</x:v>
      </x:c>
    </x:row>
    <x:row r="3253">
      <x:c r="A3253" t="n">
        <x:v>3250</x:v>
      </x:c>
      <x:c r="B3253" t="str">
        <x:v>PTN Akademik</x:v>
      </x:c>
      <x:c r="C3253" t="str">
        <x:v>INSTITUT TEKNOLOGI BJ. HABIBIE SULAWESI SELATAN</x:v>
      </x:c>
      <x:c r="D3253" t="str">
        <x:v>SAINS AKTUARIA</x:v>
      </x:c>
      <x:c r="E3253" t="str">
        <x:v>Sarjana</x:v>
      </x:c>
      <x:c r="F3253" s="18" t="n">
        <x:v>24</x:v>
      </x:c>
      <x:c r="G3253" s="18" t="n">
        <x:v>9</x:v>
      </x:c>
      <x:c r="H3253" s="19" t="n">
        <x:v>0.375</x:v>
      </x:c>
      <x:c r="I3253" s="18" t="n">
        <x:f>ROUND(MIN(Model_Config_v3!$B$6,MAX(Q3253,R3253,S3253*Model_Config_v3!$B$4+T3253*Model_Config_v3!$B$5)),0)</x:f>
        <x:v>607</x:v>
      </x:c>
      <x:c r="J3253" s="18" t="n">
        <x:f>MIN(Model_Config_v3!$B$6,I3253+Model_Config_v3!$B$7)</x:f>
        <x:v>627</x:v>
      </x:c>
      <x:c r="K3253" s="20" t="n">
        <x:v>42.1</x:v>
      </x:c>
      <x:c r="L3253" t="str">
        <x:v>RELATIF LONGGAR</x:v>
      </x:c>
      <x:c r="M3253" t="str">
        <x:v>SEDANG+</x:v>
      </x:c>
      <x:c r="N3253" t="str">
        <x:v>REGULER</x:v>
      </x:c>
      <x:c r="O3253" t="str">
        <x:v>SAINTEK</x:v>
      </x:c>
      <x:c r="P3253" t="str">
        <x:v>TEKNIK/ARSITEKTUR/STATISTIKA/AKTUARIA</x:v>
      </x:c>
      <x:c r="Q3253" s="18" t="n">
        <x:v>0</x:v>
      </x:c>
      <x:c r="R3253" s="18" t="n">
        <x:v>0</x:v>
      </x:c>
      <x:c r="S3253" s="18" t="n">
        <x:v>520</x:v>
      </x:c>
      <x:c r="T3253" s="18" t="n">
        <x:v>644</x:v>
      </x:c>
      <x:c r="U3253" s="18" t="n">
        <x:v>530</x:v>
      </x:c>
      <x:c r="V3253" s="20" t="n">
        <x:v>12</x:v>
      </x:c>
      <x:c r="W3253" s="20" t="n">
        <x:v>5</x:v>
      </x:c>
      <x:c r="X3253" s="20" t="n">
        <x:v>3</x:v>
      </x:c>
      <x:c r="Y3253" t="str">
        <x:v>Basis arsip 2025/2024</x:v>
      </x:c>
      <x:c r="Z3253" t="str">
        <x:v>https://snpmb.id/utbk-snbt/daya-tampung-snbt</x:v>
      </x:c>
      <x:c r="AA3253" t="str">
        <x:v>Tidak Ada</x:v>
      </x:c>
      <x:c r="AB3253" t="str">
        <x:v>Campus=55; Ratio=0.0; Prodi=60; RelDemand=28.6; Capacity=80.0</x:v>
      </x:c>
    </x:row>
    <x:row r="3254">
      <x:c r="A3254" t="n">
        <x:v>3251</x:v>
      </x:c>
      <x:c r="B3254" t="str">
        <x:v>PTN Akademik</x:v>
      </x:c>
      <x:c r="C3254" t="str">
        <x:v>INSTITUT TEKNOLOGI BJ. HABIBIE SULAWESI SELATAN</x:v>
      </x:c>
      <x:c r="D3254" t="str">
        <x:v>TEKNIK SISTEM ENERGI</x:v>
      </x:c>
      <x:c r="E3254" t="str">
        <x:v>Sarjana</x:v>
      </x:c>
      <x:c r="F3254" s="18" t="n">
        <x:v>24</x:v>
      </x:c>
      <x:c r="G3254" s="18" t="n">
        <x:v>10</x:v>
      </x:c>
      <x:c r="H3254" s="19" t="n">
        <x:v>0.4166666666666667</x:v>
      </x:c>
      <x:c r="I3254" s="18" t="n">
        <x:f>ROUND(MIN(Model_Config_v3!$B$6,MAX(Q3254,R3254,S3254*Model_Config_v3!$B$4+T3254*Model_Config_v3!$B$5)),0)</x:f>
        <x:v>608</x:v>
      </x:c>
      <x:c r="J3254" s="18" t="n">
        <x:f>MIN(Model_Config_v3!$B$6,I3254+Model_Config_v3!$B$7)</x:f>
        <x:v>628</x:v>
      </x:c>
      <x:c r="K3254" s="20" t="n">
        <x:v>42.4</x:v>
      </x:c>
      <x:c r="L3254" t="str">
        <x:v>RELATIF LONGGAR</x:v>
      </x:c>
      <x:c r="M3254" t="str">
        <x:v>SEDANG+</x:v>
      </x:c>
      <x:c r="N3254" t="str">
        <x:v>REGULER</x:v>
      </x:c>
      <x:c r="O3254" t="str">
        <x:v>SAINTEK</x:v>
      </x:c>
      <x:c r="P3254" t="str">
        <x:v>TEKNIK/ARSITEKTUR/STATISTIKA/AKTUARIA</x:v>
      </x:c>
      <x:c r="Q3254" s="18" t="n">
        <x:v>0</x:v>
      </x:c>
      <x:c r="R3254" s="18" t="n">
        <x:v>0</x:v>
      </x:c>
      <x:c r="S3254" s="18" t="n">
        <x:v>520</x:v>
      </x:c>
      <x:c r="T3254" s="18" t="n">
        <x:v>645</x:v>
      </x:c>
      <x:c r="U3254" s="18" t="n">
        <x:v>530</x:v>
      </x:c>
      <x:c r="V3254" s="20" t="n">
        <x:v>12</x:v>
      </x:c>
      <x:c r="W3254" s="20" t="n">
        <x:v>5</x:v>
      </x:c>
      <x:c r="X3254" s="20" t="n">
        <x:v>3</x:v>
      </x:c>
      <x:c r="Y3254" t="str">
        <x:v>Basis arsip 2025/2024</x:v>
      </x:c>
      <x:c r="Z3254" t="str">
        <x:v>https://snpmb.id/utbk-snbt/daya-tampung-snbt</x:v>
      </x:c>
      <x:c r="AA3254" t="str">
        <x:v>Tidak Ada</x:v>
      </x:c>
      <x:c r="AB3254" t="str">
        <x:v>Campus=55; Ratio=0.0; Prodi=60; RelDemand=31.7; Capacity=80.0</x:v>
      </x:c>
    </x:row>
    <x:row r="3255">
      <x:c r="A3255" t="n">
        <x:v>3252</x:v>
      </x:c>
      <x:c r="B3255" t="str">
        <x:v>PTN Akademik</x:v>
      </x:c>
      <x:c r="C3255" t="str">
        <x:v>INSTITUT TEKNOLOGI BJ. HABIBIE SULAWESI SELATAN</x:v>
      </x:c>
      <x:c r="D3255" t="str">
        <x:v>TEKNIK METALURGI</x:v>
      </x:c>
      <x:c r="E3255" t="str">
        <x:v>Sarjana</x:v>
      </x:c>
      <x:c r="F3255" s="18" t="n">
        <x:v>24</x:v>
      </x:c>
      <x:c r="G3255" s="18" t="n">
        <x:v>16</x:v>
      </x:c>
      <x:c r="H3255" s="19" t="n">
        <x:v>0.6666666666666666</x:v>
      </x:c>
      <x:c r="I3255" s="18" t="n">
        <x:f>ROUND(MIN(Model_Config_v3!$B$6,MAX(Q3255,R3255,S3255*Model_Config_v3!$B$4+T3255*Model_Config_v3!$B$5)),0)</x:f>
        <x:v>610</x:v>
      </x:c>
      <x:c r="J3255" s="18" t="n">
        <x:f>MIN(Model_Config_v3!$B$6,I3255+Model_Config_v3!$B$7)</x:f>
        <x:v>630</x:v>
      </x:c>
      <x:c r="K3255" s="20" t="n">
        <x:v>44.3</x:v>
      </x:c>
      <x:c r="L3255" t="str">
        <x:v>RELATIF LONGGAR</x:v>
      </x:c>
      <x:c r="M3255" t="str">
        <x:v>SEDANG+</x:v>
      </x:c>
      <x:c r="N3255" t="str">
        <x:v>REGULER</x:v>
      </x:c>
      <x:c r="O3255" t="str">
        <x:v>SAINTEK</x:v>
      </x:c>
      <x:c r="P3255" t="str">
        <x:v>TEKNIK/ARSITEKTUR/STATISTIKA/AKTUARIA</x:v>
      </x:c>
      <x:c r="Q3255" s="18" t="n">
        <x:v>0</x:v>
      </x:c>
      <x:c r="R3255" s="18" t="n">
        <x:v>0</x:v>
      </x:c>
      <x:c r="S3255" s="18" t="n">
        <x:v>520</x:v>
      </x:c>
      <x:c r="T3255" s="18" t="n">
        <x:v>649</x:v>
      </x:c>
      <x:c r="U3255" s="18" t="n">
        <x:v>530</x:v>
      </x:c>
      <x:c r="V3255" s="20" t="n">
        <x:v>12</x:v>
      </x:c>
      <x:c r="W3255" s="20" t="n">
        <x:v>5</x:v>
      </x:c>
      <x:c r="X3255" s="20" t="n">
        <x:v>3</x:v>
      </x:c>
      <x:c r="Y3255" t="str">
        <x:v>Basis arsip 2025/2024</x:v>
      </x:c>
      <x:c r="Z3255" t="str">
        <x:v>https://snpmb.id/utbk-snbt/daya-tampung-snbt</x:v>
      </x:c>
      <x:c r="AA3255" t="str">
        <x:v>Tidak Ada</x:v>
      </x:c>
      <x:c r="AB3255" t="str">
        <x:v>Campus=55; Ratio=0.0; Prodi=60; RelDemand=50.8; Capacity=80.0</x:v>
      </x:c>
    </x:row>
    <x:row r="3256">
      <x:c r="A3256" t="n">
        <x:v>3253</x:v>
      </x:c>
      <x:c r="B3256" t="str">
        <x:v>PTN Akademik</x:v>
      </x:c>
      <x:c r="C3256" t="str">
        <x:v>INSTITUT TEKNOLOGI BJ. HABIBIE SULAWESI SELATAN</x:v>
      </x:c>
      <x:c r="D3256" t="str">
        <x:v>BIOTEKNOLOGI</x:v>
      </x:c>
      <x:c r="E3256" t="str">
        <x:v>Sarjana</x:v>
      </x:c>
      <x:c r="F3256" s="18" t="n">
        <x:v>24</x:v>
      </x:c>
      <x:c r="G3256" s="18" t="n">
        <x:v>17</x:v>
      </x:c>
      <x:c r="H3256" s="19" t="n">
        <x:v>0.7083333333333334</x:v>
      </x:c>
      <x:c r="I3256" s="18" t="n">
        <x:f>ROUND(MIN(Model_Config_v3!$B$6,MAX(Q3256,R3256,S3256*Model_Config_v3!$B$4+T3256*Model_Config_v3!$B$5)),0)</x:f>
        <x:v>605</x:v>
      </x:c>
      <x:c r="J3256" s="18" t="n">
        <x:f>MIN(Model_Config_v3!$B$6,I3256+Model_Config_v3!$B$7)</x:f>
        <x:v>625</x:v>
      </x:c>
      <x:c r="K3256" s="20" t="n">
        <x:v>40.6</x:v>
      </x:c>
      <x:c r="L3256" t="str">
        <x:v>RELATIF LONGGAR</x:v>
      </x:c>
      <x:c r="M3256" t="str">
        <x:v>SEDANG</x:v>
      </x:c>
      <x:c r="N3256" t="str">
        <x:v>REGULER</x:v>
      </x:c>
      <x:c r="O3256" t="str">
        <x:v>SAINTEK</x:v>
      </x:c>
      <x:c r="P3256" t="str">
        <x:v>UMUM</x:v>
      </x:c>
      <x:c r="Q3256" s="18" t="n">
        <x:v>0</x:v>
      </x:c>
      <x:c r="R3256" s="18" t="n">
        <x:v>0</x:v>
      </x:c>
      <x:c r="S3256" s="18" t="n">
        <x:v>520</x:v>
      </x:c>
      <x:c r="T3256" s="18" t="n">
        <x:v>641</x:v>
      </x:c>
      <x:c r="U3256" s="18" t="n">
        <x:v>520</x:v>
      </x:c>
      <x:c r="V3256" s="20" t="n">
        <x:v>12</x:v>
      </x:c>
      <x:c r="W3256" s="20" t="n">
        <x:v>5</x:v>
      </x:c>
      <x:c r="X3256" s="20" t="n">
        <x:v>3</x:v>
      </x:c>
      <x:c r="Y3256" t="str">
        <x:v>Basis arsip 2025/2024</x:v>
      </x:c>
      <x:c r="Z3256" t="str">
        <x:v>https://snpmb.id/utbk-snbt/daya-tampung-snbt</x:v>
      </x:c>
      <x:c r="AA3256" t="str">
        <x:v>Tidak Ada</x:v>
      </x:c>
      <x:c r="AB3256" t="str">
        <x:v>Campus=55; Ratio=0.0; Prodi=40; RelDemand=53.9; Capacity=80.0</x:v>
      </x:c>
    </x:row>
    <x:row r="3257">
      <x:c r="A3257" t="n">
        <x:v>3254</x:v>
      </x:c>
      <x:c r="B3257" t="str">
        <x:v>PTN Akademik</x:v>
      </x:c>
      <x:c r="C3257" t="str">
        <x:v>INSTITUT TEKNOLOGI BJ. HABIBIE SULAWESI SELATAN</x:v>
      </x:c>
      <x:c r="D3257" t="str">
        <x:v>TEKNIK SIPIL</x:v>
      </x:c>
      <x:c r="E3257" t="str">
        <x:v>Sarjana</x:v>
      </x:c>
      <x:c r="F3257" s="18" t="n">
        <x:v>32</x:v>
      </x:c>
      <x:c r="G3257" s="18" t="n">
        <x:v>61</x:v>
      </x:c>
      <x:c r="H3257" s="19" t="n">
        <x:v>1.90625</x:v>
      </x:c>
      <x:c r="I3257" s="18" t="n">
        <x:f>ROUND(MIN(Model_Config_v3!$B$6,MAX(Q3257,R3257,S3257*Model_Config_v3!$B$4+T3257*Model_Config_v3!$B$5)),0)</x:f>
        <x:v>631</x:v>
      </x:c>
      <x:c r="J3257" s="18" t="n">
        <x:f>MIN(Model_Config_v3!$B$6,I3257+Model_Config_v3!$B$7)</x:f>
        <x:v>651</x:v>
      </x:c>
      <x:c r="K3257" s="20" t="n">
        <x:v>52.7</x:v>
      </x:c>
      <x:c r="L3257" t="str">
        <x:v>MENENGAH</x:v>
      </x:c>
      <x:c r="M3257" t="str">
        <x:v>SEDANG+</x:v>
      </x:c>
      <x:c r="N3257" t="str">
        <x:v>REGULER</x:v>
      </x:c>
      <x:c r="O3257" t="str">
        <x:v>SAINTEK</x:v>
      </x:c>
      <x:c r="P3257" t="str">
        <x:v>TEKNIK/ARSITEKTUR/STATISTIKA/AKTUARIA</x:v>
      </x:c>
      <x:c r="Q3257" s="18" t="n">
        <x:v>0</x:v>
      </x:c>
      <x:c r="R3257" s="18" t="n">
        <x:v>0</x:v>
      </x:c>
      <x:c r="S3257" s="18" t="n">
        <x:v>550.8197842359947</x:v>
      </x:c>
      <x:c r="T3257" s="18" t="n">
        <x:v>665</x:v>
      </x:c>
      <x:c r="U3257" s="18" t="n">
        <x:v>560.8197842359947</x:v>
      </x:c>
      <x:c r="V3257" s="20" t="n">
        <x:v>12</x:v>
      </x:c>
      <x:c r="W3257" s="20" t="n">
        <x:v>5</x:v>
      </x:c>
      <x:c r="X3257" s="20" t="n">
        <x:v>3</x:v>
      </x:c>
      <x:c r="Y3257" t="str">
        <x:v>Basis arsip 2025/2024</x:v>
      </x:c>
      <x:c r="Z3257" t="str">
        <x:v>https://snpmb.id/utbk-snbt/daya-tampung-snbt</x:v>
      </x:c>
      <x:c r="AA3257" t="str">
        <x:v>Tidak Ada</x:v>
      </x:c>
      <x:c r="AB3257" t="str">
        <x:v>Campus=55; Ratio=16.5; Prodi=60; RelDemand=100.0; Capacity=73.3</x:v>
      </x:c>
    </x:row>
    <x:row r="3258">
      <x:c r="A3258" t="n">
        <x:v>3255</x:v>
      </x:c>
      <x:c r="B3258" t="str">
        <x:v>PTN Akademik</x:v>
      </x:c>
      <x:c r="C3258" t="str">
        <x:v>INSTITUT TEKNOLOGI BJ. HABIBIE SULAWESI SELATAN</x:v>
      </x:c>
      <x:c r="D3258" t="str">
        <x:v>ARSITEKTUR</x:v>
      </x:c>
      <x:c r="E3258" t="str">
        <x:v>Sarjana</x:v>
      </x:c>
      <x:c r="F3258" s="18" t="n">
        <x:v>24</x:v>
      </x:c>
      <x:c r="G3258" s="18"/>
      <x:c r="H3258" s="19" t="n">
        <x:v>0</x:v>
      </x:c>
      <x:c r="I3258" s="18" t="n">
        <x:f>ROUND(MIN(Model_Config_v3!$B$6,MAX(Q3258,R3258,S3258*Model_Config_v3!$B$4+T3258*Model_Config_v3!$B$5)),0)</x:f>
        <x:v>603</x:v>
      </x:c>
      <x:c r="J3258" s="18" t="n">
        <x:f>MIN(Model_Config_v3!$B$6,I3258+Model_Config_v3!$B$7)</x:f>
        <x:v>623</x:v>
      </x:c>
      <x:c r="K3258" s="20" t="n">
        <x:v>39.2</x:v>
      </x:c>
      <x:c r="L3258" t="str">
        <x:v>RELATIF LONGGAR</x:v>
      </x:c>
      <x:c r="M3258" t="str">
        <x:v>RENDAH</x:v>
      </x:c>
      <x:c r="N3258" t="str">
        <x:v>REGULER</x:v>
      </x:c>
      <x:c r="O3258" t="str">
        <x:v>SAINTEK</x:v>
      </x:c>
      <x:c r="P3258" t="str">
        <x:v>TEKNIK/ARSITEKTUR/STATISTIKA/AKTUARIA</x:v>
      </x:c>
      <x:c r="Q3258" s="18" t="n">
        <x:v>0</x:v>
      </x:c>
      <x:c r="R3258" s="18" t="n">
        <x:v>0</x:v>
      </x:c>
      <x:c r="S3258" s="18" t="n">
        <x:v>520</x:v>
      </x:c>
      <x:c r="T3258" s="18" t="n">
        <x:v>638</x:v>
      </x:c>
      <x:c r="U3258" s="18" t="n">
        <x:v>520</x:v>
      </x:c>
      <x:c r="V3258" s="20" t="n">
        <x:v>12</x:v>
      </x:c>
      <x:c r="W3258" s="20" t="n">
        <x:v>5</x:v>
      </x:c>
      <x:c r="X3258" s="20" t="n">
        <x:v>3</x:v>
      </x:c>
      <x:c r="Y3258" t="str">
        <x:v>Basis arsip 2025/2024</x:v>
      </x:c>
      <x:c r="Z3258" t="str">
        <x:v>https://snpmb.id/utbk-snbt/daya-tampung-snbt</x:v>
      </x:c>
      <x:c r="AA3258" t="str">
        <x:v>Tidak Ada</x:v>
      </x:c>
      <x:c r="AB3258" t="str">
        <x:v>Campus=55; Ratio=0.0; Prodi=60; RelDemand=0.0; Capacity=80.0</x:v>
      </x:c>
    </x:row>
    <x:row r="3259">
      <x:c r="A3259" t="n">
        <x:v>3256</x:v>
      </x:c>
      <x:c r="B3259" t="str">
        <x:v>PTN Akademik</x:v>
      </x:c>
      <x:c r="C3259" t="str">
        <x:v>INSTITUT TEKNOLOGI BJ. HABIBIE SULAWESI SELATAN</x:v>
      </x:c>
      <x:c r="D3259" t="str">
        <x:v>TEKNIK PERKAPALAN</x:v>
      </x:c>
      <x:c r="E3259" t="str">
        <x:v>Sarjana</x:v>
      </x:c>
      <x:c r="F3259" s="18" t="n">
        <x:v>48</x:v>
      </x:c>
      <x:c r="G3259" s="18"/>
      <x:c r="H3259" s="19" t="n">
        <x:v>0</x:v>
      </x:c>
      <x:c r="I3259" s="18" t="n">
        <x:f>ROUND(MIN(Model_Config_v3!$B$6,MAX(Q3259,R3259,S3259*Model_Config_v3!$B$4+T3259*Model_Config_v3!$B$5)),0)</x:f>
        <x:v>600</x:v>
      </x:c>
      <x:c r="J3259" s="18" t="n">
        <x:f>MIN(Model_Config_v3!$B$6,I3259+Model_Config_v3!$B$7)</x:f>
        <x:v>620</x:v>
      </x:c>
      <x:c r="K3259" s="20" t="n">
        <x:v>37.2</x:v>
      </x:c>
      <x:c r="L3259" t="str">
        <x:v>RELATIF LONGGAR</x:v>
      </x:c>
      <x:c r="M3259" t="str">
        <x:v>RENDAH</x:v>
      </x:c>
      <x:c r="N3259" t="str">
        <x:v>REGULER</x:v>
      </x:c>
      <x:c r="O3259" t="str">
        <x:v>SAINTEK</x:v>
      </x:c>
      <x:c r="P3259" t="str">
        <x:v>TEKNIK/ARSITEKTUR/STATISTIKA/AKTUARIA</x:v>
      </x:c>
      <x:c r="Q3259" s="18" t="n">
        <x:v>0</x:v>
      </x:c>
      <x:c r="R3259" s="18" t="n">
        <x:v>0</x:v>
      </x:c>
      <x:c r="S3259" s="18" t="n">
        <x:v>520</x:v>
      </x:c>
      <x:c r="T3259" s="18" t="n">
        <x:v>634</x:v>
      </x:c>
      <x:c r="U3259" s="18" t="n">
        <x:v>530</x:v>
      </x:c>
      <x:c r="V3259" s="20" t="n">
        <x:v>12</x:v>
      </x:c>
      <x:c r="W3259" s="20" t="n">
        <x:v>5</x:v>
      </x:c>
      <x:c r="X3259" s="20" t="n">
        <x:v>3</x:v>
      </x:c>
      <x:c r="Y3259" t="str">
        <x:v>Basis arsip 2025/2024</x:v>
      </x:c>
      <x:c r="Z3259" t="str">
        <x:v>https://snpmb.id/utbk-snbt/daya-tampung-snbt</x:v>
      </x:c>
      <x:c r="AA3259" t="str">
        <x:v>Tidak Ada</x:v>
      </x:c>
      <x:c r="AB3259" t="str">
        <x:v>Campus=55; Ratio=0.0; Prodi=60; RelDemand=0.0; Capacity=60.0</x:v>
      </x:c>
    </x:row>
    <x:row r="3260">
      <x:c r="A3260" t="n">
        <x:v>3257</x:v>
      </x:c>
      <x:c r="B3260" t="str">
        <x:v>PTN Akademik</x:v>
      </x:c>
      <x:c r="C3260" t="str">
        <x:v>INSTITUT TEKNOLOGI BJ. HABIBIE SULAWESI SELATAN</x:v>
      </x:c>
      <x:c r="D3260" t="str">
        <x:v>TEKNIK ROBOTIKA DAN KECERDASAN BUATAN</x:v>
      </x:c>
      <x:c r="E3260" t="str">
        <x:v>Sarjana</x:v>
      </x:c>
      <x:c r="F3260" s="18" t="n">
        <x:v>56</x:v>
      </x:c>
      <x:c r="G3260" s="18"/>
      <x:c r="H3260" s="19" t="n">
        <x:v>0</x:v>
      </x:c>
      <x:c r="I3260" s="18" t="n">
        <x:f>ROUND(MIN(Model_Config_v3!$B$6,MAX(Q3260,R3260,S3260*Model_Config_v3!$B$4+T3260*Model_Config_v3!$B$5)),0)</x:f>
        <x:v>599</x:v>
      </x:c>
      <x:c r="J3260" s="18" t="n">
        <x:f>MIN(Model_Config_v3!$B$6,I3260+Model_Config_v3!$B$7)</x:f>
        <x:v>619</x:v>
      </x:c>
      <x:c r="K3260" s="20" t="n">
        <x:v>36.6</x:v>
      </x:c>
      <x:c r="L3260" t="str">
        <x:v>RELATIF LONGGAR</x:v>
      </x:c>
      <x:c r="M3260" t="str">
        <x:v>RENDAH</x:v>
      </x:c>
      <x:c r="N3260" t="str">
        <x:v>REGULER</x:v>
      </x:c>
      <x:c r="O3260" t="str">
        <x:v>SAINTEK</x:v>
      </x:c>
      <x:c r="P3260" t="str">
        <x:v>TEKNIK/ARSITEKTUR/STATISTIKA/AKTUARIA</x:v>
      </x:c>
      <x:c r="Q3260" s="18" t="n">
        <x:v>0</x:v>
      </x:c>
      <x:c r="R3260" s="18" t="n">
        <x:v>0</x:v>
      </x:c>
      <x:c r="S3260" s="18" t="n">
        <x:v>520</x:v>
      </x:c>
      <x:c r="T3260" s="18" t="n">
        <x:v>633</x:v>
      </x:c>
      <x:c r="U3260" s="18" t="n">
        <x:v>530</x:v>
      </x:c>
      <x:c r="V3260" s="20" t="n">
        <x:v>12</x:v>
      </x:c>
      <x:c r="W3260" s="20" t="n">
        <x:v>5</x:v>
      </x:c>
      <x:c r="X3260" s="20" t="n">
        <x:v>3</x:v>
      </x:c>
      <x:c r="Y3260" t="str">
        <x:v>Basis arsip 2025/2024</x:v>
      </x:c>
      <x:c r="Z3260" t="str">
        <x:v>https://snpmb.id/utbk-snbt/daya-tampung-snbt</x:v>
      </x:c>
      <x:c r="AA3260" t="str">
        <x:v>Tidak Ada</x:v>
      </x:c>
      <x:c r="AB3260" t="str">
        <x:v>Campus=55; Ratio=0.0; Prodi=60; RelDemand=0.0; Capacity=53.3</x:v>
      </x:c>
    </x:row>
    <x:row r="3261">
      <x:c r="A3261" t="n">
        <x:v>3258</x:v>
      </x:c>
      <x:c r="B3261" t="str">
        <x:v>PTN Akademik</x:v>
      </x:c>
      <x:c r="C3261" t="str">
        <x:v>UNIVERSITAS SAM RATULANGI</x:v>
      </x:c>
      <x:c r="D3261" t="str">
        <x:v>PENDIDIKAN DOKTER</x:v>
      </x:c>
      <x:c r="E3261" t="str">
        <x:v>Sarjana</x:v>
      </x:c>
      <x:c r="F3261" s="18" t="n">
        <x:v>100</x:v>
      </x:c>
      <x:c r="G3261" s="18" t="n">
        <x:v>1451</x:v>
      </x:c>
      <x:c r="H3261" s="19" t="n">
        <x:v>14.51</x:v>
      </x:c>
      <x:c r="I3261" s="18" t="n">
        <x:f>ROUND(MIN(Model_Config_v3!$B$6,MAX(Q3261,R3261,S3261*Model_Config_v3!$B$4+T3261*Model_Config_v3!$B$5)),0)</x:f>
        <x:v>682</x:v>
      </x:c>
      <x:c r="J3261" s="18" t="n">
        <x:f>MIN(Model_Config_v3!$B$6,I3261+Model_Config_v3!$B$7)</x:f>
        <x:v>702</x:v>
      </x:c>
      <x:c r="K3261" s="20" t="n">
        <x:v>68</x:v>
      </x:c>
      <x:c r="L3261" t="str">
        <x:v>SANGAT KETAT</x:v>
      </x:c>
      <x:c r="M3261" t="str">
        <x:v>SEDANG+</x:v>
      </x:c>
      <x:c r="N3261" t="str">
        <x:v>REGULER</x:v>
      </x:c>
      <x:c r="O3261" t="str">
        <x:v>SAINTEK</x:v>
      </x:c>
      <x:c r="P3261" t="str">
        <x:v>KEDOKTERAN</x:v>
      </x:c>
      <x:c r="Q3261" s="18" t="n">
        <x:v>0</x:v>
      </x:c>
      <x:c r="R3261" s="18" t="n">
        <x:v>680</x:v>
      </x:c>
      <x:c r="S3261" s="18" t="n">
        <x:v>647.7834153681509</x:v>
      </x:c>
      <x:c r="T3261" s="18" t="n">
        <x:v>696</x:v>
      </x:c>
      <x:c r="U3261" s="18" t="n">
        <x:v>687.7834153681509</x:v>
      </x:c>
      <x:c r="V3261" s="20" t="n">
        <x:v>12</x:v>
      </x:c>
      <x:c r="W3261" s="20" t="n">
        <x:v>5</x:v>
      </x:c>
      <x:c r="X3261" s="20" t="n">
        <x:v>3</x:v>
      </x:c>
      <x:c r="Y3261" t="str">
        <x:v>Basis arsip 2025/2024</x:v>
      </x:c>
      <x:c r="Z3261" t="str">
        <x:v>https://snpmb.id/utbk-snbt/daya-tampung-snbt</x:v>
      </x:c>
      <x:c r="AA3261" t="str">
        <x:v>Tidak Ada</x:v>
      </x:c>
      <x:c r="AB3261" t="str">
        <x:v>Campus=55; Ratio=68.4; Prodi=100; RelDemand=100.0; Capacity=16.7</x:v>
      </x:c>
    </x:row>
    <x:row r="3262">
      <x:c r="A3262" t="n">
        <x:v>3259</x:v>
      </x:c>
      <x:c r="B3262" t="str">
        <x:v>PTN Akademik</x:v>
      </x:c>
      <x:c r="C3262" t="str">
        <x:v>UNIVERSITAS SAM RATULANGI</x:v>
      </x:c>
      <x:c r="D3262" t="str">
        <x:v>PENDIDIKAN DOKTER GIGI</x:v>
      </x:c>
      <x:c r="E3262" t="str">
        <x:v>Sarjana</x:v>
      </x:c>
      <x:c r="F3262" s="18" t="n">
        <x:v>25</x:v>
      </x:c>
      <x:c r="G3262" s="18" t="n">
        <x:v>380</x:v>
      </x:c>
      <x:c r="H3262" s="19" t="n">
        <x:v>15.2</x:v>
      </x:c>
      <x:c r="I3262" s="18" t="n">
        <x:f>ROUND(MIN(Model_Config_v3!$B$6,MAX(Q3262,R3262,S3262*Model_Config_v3!$B$4+T3262*Model_Config_v3!$B$5)),0)</x:f>
        <x:v>689</x:v>
      </x:c>
      <x:c r="J3262" s="18" t="n">
        <x:f>MIN(Model_Config_v3!$B$6,I3262+Model_Config_v3!$B$7)</x:f>
        <x:v>709</x:v>
      </x:c>
      <x:c r="K3262" s="20" t="n">
        <x:v>72.6</x:v>
      </x:c>
      <x:c r="L3262" t="str">
        <x:v>SANGAT KETAT</x:v>
      </x:c>
      <x:c r="M3262" t="str">
        <x:v>SEDANG+</x:v>
      </x:c>
      <x:c r="N3262" t="str">
        <x:v>REGULER</x:v>
      </x:c>
      <x:c r="O3262" t="str">
        <x:v>SAINTEK</x:v>
      </x:c>
      <x:c r="P3262" t="str">
        <x:v>KEDOKTERAN GIGI</x:v>
      </x:c>
      <x:c r="Q3262" s="18" t="n">
        <x:v>0</x:v>
      </x:c>
      <x:c r="R3262" s="18" t="n">
        <x:v>660</x:v>
      </x:c>
      <x:c r="S3262" s="18" t="n">
        <x:v>650.002794673925</x:v>
      </x:c>
      <x:c r="T3262" s="18" t="n">
        <x:v>705</x:v>
      </x:c>
      <x:c r="U3262" s="18" t="n">
        <x:v>680.002794673925</x:v>
      </x:c>
      <x:c r="V3262" s="20" t="n">
        <x:v>12</x:v>
      </x:c>
      <x:c r="W3262" s="20" t="n">
        <x:v>5</x:v>
      </x:c>
      <x:c r="X3262" s="20" t="n">
        <x:v>3</x:v>
      </x:c>
      <x:c r="Y3262" t="str">
        <x:v>Basis arsip 2025/2024</x:v>
      </x:c>
      <x:c r="Z3262" t="str">
        <x:v>https://snpmb.id/utbk-snbt/daya-tampung-snbt</x:v>
      </x:c>
      <x:c r="AA3262" t="str">
        <x:v>Tidak Ada</x:v>
      </x:c>
      <x:c r="AB3262" t="str">
        <x:v>Campus=55; Ratio=69.6; Prodi=90; RelDemand=100.0; Capacity=79.2</x:v>
      </x:c>
    </x:row>
    <x:row r="3263">
      <x:c r="A3263" t="n">
        <x:v>3260</x:v>
      </x:c>
      <x:c r="B3263" t="str">
        <x:v>PTN Akademik</x:v>
      </x:c>
      <x:c r="C3263" t="str">
        <x:v>UNIVERSITAS SAM RATULANGI</x:v>
      </x:c>
      <x:c r="D3263" t="str">
        <x:v>ILMU KESEHATAN MASYARAKAT</x:v>
      </x:c>
      <x:c r="E3263" t="str">
        <x:v>Sarjana</x:v>
      </x:c>
      <x:c r="F3263" s="18" t="n">
        <x:v>138</x:v>
      </x:c>
      <x:c r="G3263" s="18" t="n">
        <x:v>510</x:v>
      </x:c>
      <x:c r="H3263" s="19" t="n">
        <x:v>3.6956521739130435</x:v>
      </x:c>
      <x:c r="I3263" s="18" t="n">
        <x:f>ROUND(MIN(Model_Config_v3!$B$6,MAX(Q3263,R3263,S3263*Model_Config_v3!$B$4+T3263*Model_Config_v3!$B$5)),0)</x:f>
        <x:v>633</x:v>
      </x:c>
      <x:c r="J3263" s="18" t="n">
        <x:f>MIN(Model_Config_v3!$B$6,I3263+Model_Config_v3!$B$7)</x:f>
        <x:v>653</x:v>
      </x:c>
      <x:c r="K3263" s="20" t="n">
        <x:v>47.1</x:v>
      </x:c>
      <x:c r="L3263" t="str">
        <x:v>MENENGAH</x:v>
      </x:c>
      <x:c r="M3263" t="str">
        <x:v>SEDANG+</x:v>
      </x:c>
      <x:c r="N3263" t="str">
        <x:v>REGULER</x:v>
      </x:c>
      <x:c r="O3263" t="str">
        <x:v>SAINTEK</x:v>
      </x:c>
      <x:c r="P3263" t="str">
        <x:v>KESEHAT/GIZI/KEPERAWATAN</x:v>
      </x:c>
      <x:c r="Q3263" s="18" t="n">
        <x:v>0</x:v>
      </x:c>
      <x:c r="R3263" s="18" t="n">
        <x:v>0</x:v>
      </x:c>
      <x:c r="S3263" s="18" t="n">
        <x:v>582.446019866637</x:v>
      </x:c>
      <x:c r="T3263" s="18" t="n">
        <x:v>654</x:v>
      </x:c>
      <x:c r="U3263" s="18" t="n">
        <x:v>582.446019866637</x:v>
      </x:c>
      <x:c r="V3263" s="20" t="n">
        <x:v>12</x:v>
      </x:c>
      <x:c r="W3263" s="20" t="n">
        <x:v>5</x:v>
      </x:c>
      <x:c r="X3263" s="20" t="n">
        <x:v>3</x:v>
      </x:c>
      <x:c r="Y3263" t="str">
        <x:v>Basis arsip 2025/2024</x:v>
      </x:c>
      <x:c r="Z3263" t="str">
        <x:v>https://snpmb.id/utbk-snbt/daya-tampung-snbt</x:v>
      </x:c>
      <x:c r="AA3263" t="str">
        <x:v>Tidak Ada</x:v>
      </x:c>
      <x:c r="AB3263" t="str">
        <x:v>Campus=55; Ratio=33.4; Prodi=55; RelDemand=85.3; Capacity=0.0</x:v>
      </x:c>
    </x:row>
    <x:row r="3264">
      <x:c r="A3264" t="n">
        <x:v>3261</x:v>
      </x:c>
      <x:c r="B3264" t="str">
        <x:v>PTN Akademik</x:v>
      </x:c>
      <x:c r="C3264" t="str">
        <x:v>UNIVERSITAS SAM RATULANGI</x:v>
      </x:c>
      <x:c r="D3264" t="str">
        <x:v>ILMU KEPERAWATAN</x:v>
      </x:c>
      <x:c r="E3264" t="str">
        <x:v>Sarjana</x:v>
      </x:c>
      <x:c r="F3264" s="18" t="n">
        <x:v>75</x:v>
      </x:c>
      <x:c r="G3264" s="18" t="n">
        <x:v>530</x:v>
      </x:c>
      <x:c r="H3264" s="19" t="n">
        <x:v>7.066666666666666</x:v>
      </x:c>
      <x:c r="I3264" s="18" t="n">
        <x:f>ROUND(MIN(Model_Config_v3!$B$6,MAX(Q3264,R3264,S3264*Model_Config_v3!$B$4+T3264*Model_Config_v3!$B$5)),0)</x:f>
        <x:v>655</x:v>
      </x:c>
      <x:c r="J3264" s="18" t="n">
        <x:f>MIN(Model_Config_v3!$B$6,I3264+Model_Config_v3!$B$7)</x:f>
        <x:v>675</x:v>
      </x:c>
      <x:c r="K3264" s="20" t="n">
        <x:v>56.5</x:v>
      </x:c>
      <x:c r="L3264" t="str">
        <x:v>KETAT</x:v>
      </x:c>
      <x:c r="M3264" t="str">
        <x:v>SEDANG+</x:v>
      </x:c>
      <x:c r="N3264" t="str">
        <x:v>REGULER</x:v>
      </x:c>
      <x:c r="O3264" t="str">
        <x:v>SAINTEK</x:v>
      </x:c>
      <x:c r="P3264" t="str">
        <x:v>KESEHAT/GIZI/KEPERAWATAN</x:v>
      </x:c>
      <x:c r="Q3264" s="18" t="n">
        <x:v>0</x:v>
      </x:c>
      <x:c r="R3264" s="18" t="n">
        <x:v>0</x:v>
      </x:c>
      <x:c r="S3264" s="18" t="n">
        <x:v>613.4136066829998</x:v>
      </x:c>
      <x:c r="T3264" s="18" t="n">
        <x:v>673</x:v>
      </x:c>
      <x:c r="U3264" s="18" t="n">
        <x:v>613.4136066829998</x:v>
      </x:c>
      <x:c r="V3264" s="20" t="n">
        <x:v>12</x:v>
      </x:c>
      <x:c r="W3264" s="20" t="n">
        <x:v>5</x:v>
      </x:c>
      <x:c r="X3264" s="20" t="n">
        <x:v>3</x:v>
      </x:c>
      <x:c r="Y3264" t="str">
        <x:v>Basis arsip 2025/2024</x:v>
      </x:c>
      <x:c r="Z3264" t="str">
        <x:v>https://snpmb.id/utbk-snbt/daya-tampung-snbt</x:v>
      </x:c>
      <x:c r="AA3264" t="str">
        <x:v>Tidak Ada</x:v>
      </x:c>
      <x:c r="AB3264" t="str">
        <x:v>Campus=55; Ratio=50.0; Prodi=55; RelDemand=100.0; Capacity=37.5</x:v>
      </x:c>
    </x:row>
    <x:row r="3265">
      <x:c r="A3265" t="n">
        <x:v>3262</x:v>
      </x:c>
      <x:c r="B3265" t="str">
        <x:v>PTN Akademik</x:v>
      </x:c>
      <x:c r="C3265" t="str">
        <x:v>UNIVERSITAS SAM RATULANGI</x:v>
      </x:c>
      <x:c r="D3265" t="str">
        <x:v>TEKNIK ELEKTRO</x:v>
      </x:c>
      <x:c r="E3265" t="str">
        <x:v>Sarjana</x:v>
      </x:c>
      <x:c r="F3265" s="18" t="n">
        <x:v>58</x:v>
      </x:c>
      <x:c r="G3265" s="18" t="n">
        <x:v>89</x:v>
      </x:c>
      <x:c r="H3265" s="19" t="n">
        <x:v>1.5344827586206897</x:v>
      </x:c>
      <x:c r="I3265" s="18" t="n">
        <x:f>ROUND(MIN(Model_Config_v3!$B$6,MAX(Q3265,R3265,S3265*Model_Config_v3!$B$4+T3265*Model_Config_v3!$B$5)),0)</x:f>
        <x:v>614</x:v>
      </x:c>
      <x:c r="J3265" s="18" t="n">
        <x:f>MIN(Model_Config_v3!$B$6,I3265+Model_Config_v3!$B$7)</x:f>
        <x:v>634</x:v>
      </x:c>
      <x:c r="K3265" s="20" t="n">
        <x:v>42.7</x:v>
      </x:c>
      <x:c r="L3265" t="str">
        <x:v>RELATIF LONGGAR</x:v>
      </x:c>
      <x:c r="M3265" t="str">
        <x:v>SEDANG+</x:v>
      </x:c>
      <x:c r="N3265" t="str">
        <x:v>REGULER</x:v>
      </x:c>
      <x:c r="O3265" t="str">
        <x:v>SAINTEK</x:v>
      </x:c>
      <x:c r="P3265" t="str">
        <x:v>TEKNIK/ARSITEKTUR/STATISTIKA/AKTUARIA</x:v>
      </x:c>
      <x:c r="Q3265" s="18" t="n">
        <x:v>0</x:v>
      </x:c>
      <x:c r="R3265" s="18" t="n">
        <x:v>0</x:v>
      </x:c>
      <x:c r="S3265" s="18" t="n">
        <x:v>540.4558214390173</x:v>
      </x:c>
      <x:c r="T3265" s="18" t="n">
        <x:v>645</x:v>
      </x:c>
      <x:c r="U3265" s="18" t="n">
        <x:v>550.4558214390173</x:v>
      </x:c>
      <x:c r="V3265" s="20" t="n">
        <x:v>12</x:v>
      </x:c>
      <x:c r="W3265" s="20" t="n">
        <x:v>5</x:v>
      </x:c>
      <x:c r="X3265" s="20" t="n">
        <x:v>3</x:v>
      </x:c>
      <x:c r="Y3265" t="str">
        <x:v>Basis arsip 2025/2024</x:v>
      </x:c>
      <x:c r="Z3265" t="str">
        <x:v>https://snpmb.id/utbk-snbt/daya-tampung-snbt</x:v>
      </x:c>
      <x:c r="AA3265" t="str">
        <x:v>Tidak Ada</x:v>
      </x:c>
      <x:c r="AB3265" t="str">
        <x:v>Campus=55; Ratio=10.9; Prodi=60; RelDemand=35.4; Capacity=51.7</x:v>
      </x:c>
    </x:row>
    <x:row r="3266">
      <x:c r="A3266" t="n">
        <x:v>3263</x:v>
      </x:c>
      <x:c r="B3266" t="str">
        <x:v>PTN Akademik</x:v>
      </x:c>
      <x:c r="C3266" t="str">
        <x:v>UNIVERSITAS SAM RATULANGI</x:v>
      </x:c>
      <x:c r="D3266" t="str">
        <x:v>TEKNIK MESIN</x:v>
      </x:c>
      <x:c r="E3266" t="str">
        <x:v>Sarjana</x:v>
      </x:c>
      <x:c r="F3266" s="18" t="n">
        <x:v>43</x:v>
      </x:c>
      <x:c r="G3266" s="18" t="n">
        <x:v>73</x:v>
      </x:c>
      <x:c r="H3266" s="19" t="n">
        <x:v>1.697674418604651</x:v>
      </x:c>
      <x:c r="I3266" s="18" t="n">
        <x:f>ROUND(MIN(Model_Config_v3!$B$6,MAX(Q3266,R3266,S3266*Model_Config_v3!$B$4+T3266*Model_Config_v3!$B$5)),0)</x:f>
        <x:v>619</x:v>
      </x:c>
      <x:c r="J3266" s="18" t="n">
        <x:f>MIN(Model_Config_v3!$B$6,I3266+Model_Config_v3!$B$7)</x:f>
        <x:v>639</x:v>
      </x:c>
      <x:c r="K3266" s="20" t="n">
        <x:v>45</x:v>
      </x:c>
      <x:c r="L3266" t="str">
        <x:v>MENENGAH</x:v>
      </x:c>
      <x:c r="M3266" t="str">
        <x:v>SEDANG+</x:v>
      </x:c>
      <x:c r="N3266" t="str">
        <x:v>REGULER</x:v>
      </x:c>
      <x:c r="O3266" t="str">
        <x:v>SAINTEK</x:v>
      </x:c>
      <x:c r="P3266" t="str">
        <x:v>TEKNIK/ARSITEKTUR/STATISTIKA/AKTUARIA</x:v>
      </x:c>
      <x:c r="Q3266" s="18" t="n">
        <x:v>0</x:v>
      </x:c>
      <x:c r="R3266" s="18" t="n">
        <x:v>0</x:v>
      </x:c>
      <x:c r="S3266" s="18" t="n">
        <x:v>545.2839844994957</x:v>
      </x:c>
      <x:c r="T3266" s="18" t="n">
        <x:v>650</x:v>
      </x:c>
      <x:c r="U3266" s="18" t="n">
        <x:v>555.2839844994957</x:v>
      </x:c>
      <x:c r="V3266" s="20" t="n">
        <x:v>12</x:v>
      </x:c>
      <x:c r="W3266" s="20" t="n">
        <x:v>5</x:v>
      </x:c>
      <x:c r="X3266" s="20" t="n">
        <x:v>3</x:v>
      </x:c>
      <x:c r="Y3266" t="str">
        <x:v>Basis arsip 2025/2024</x:v>
      </x:c>
      <x:c r="Z3266" t="str">
        <x:v>https://snpmb.id/utbk-snbt/daya-tampung-snbt</x:v>
      </x:c>
      <x:c r="AA3266" t="str">
        <x:v>Tidak Ada</x:v>
      </x:c>
      <x:c r="AB3266" t="str">
        <x:v>Campus=55; Ratio=13.5; Prodi=60; RelDemand=39.2; Capacity=64.2</x:v>
      </x:c>
    </x:row>
    <x:row r="3267">
      <x:c r="A3267" t="n">
        <x:v>3264</x:v>
      </x:c>
      <x:c r="B3267" t="str">
        <x:v>PTN Akademik</x:v>
      </x:c>
      <x:c r="C3267" t="str">
        <x:v>UNIVERSITAS SAM RATULANGI</x:v>
      </x:c>
      <x:c r="D3267" t="str">
        <x:v>TEKNIK SIPIL</x:v>
      </x:c>
      <x:c r="E3267" t="str">
        <x:v>Sarjana</x:v>
      </x:c>
      <x:c r="F3267" s="18" t="n">
        <x:v>83</x:v>
      </x:c>
      <x:c r="G3267" s="18" t="n">
        <x:v>316</x:v>
      </x:c>
      <x:c r="H3267" s="19" t="n">
        <x:v>3.8072289156626504</x:v>
      </x:c>
      <x:c r="I3267" s="18" t="n">
        <x:f>ROUND(MIN(Model_Config_v3!$B$6,MAX(Q3267,R3267,S3267*Model_Config_v3!$B$4+T3267*Model_Config_v3!$B$5)),0)</x:f>
        <x:v>639</x:v>
      </x:c>
      <x:c r="J3267" s="18" t="n">
        <x:f>MIN(Model_Config_v3!$B$6,I3267+Model_Config_v3!$B$7)</x:f>
        <x:v>659</x:v>
      </x:c>
      <x:c r="K3267" s="20" t="n">
        <x:v>51.7</x:v>
      </x:c>
      <x:c r="L3267" t="str">
        <x:v>MENENGAH</x:v>
      </x:c>
      <x:c r="M3267" t="str">
        <x:v>SEDANG+</x:v>
      </x:c>
      <x:c r="N3267" t="str">
        <x:v>REGULER</x:v>
      </x:c>
      <x:c r="O3267" t="str">
        <x:v>SAINTEK</x:v>
      </x:c>
      <x:c r="P3267" t="str">
        <x:v>TEKNIK/ARSITEKTUR/STATISTIKA/AKTUARIA</x:v>
      </x:c>
      <x:c r="Q3267" s="18" t="n">
        <x:v>0</x:v>
      </x:c>
      <x:c r="R3267" s="18" t="n">
        <x:v>0</x:v>
      </x:c>
      <x:c r="S3267" s="18" t="n">
        <x:v>583.8669889266563</x:v>
      </x:c>
      <x:c r="T3267" s="18" t="n">
        <x:v>663</x:v>
      </x:c>
      <x:c r="U3267" s="18" t="n">
        <x:v>593.8669889266563</x:v>
      </x:c>
      <x:c r="V3267" s="20" t="n">
        <x:v>12</x:v>
      </x:c>
      <x:c r="W3267" s="20" t="n">
        <x:v>5</x:v>
      </x:c>
      <x:c r="X3267" s="20" t="n">
        <x:v>3</x:v>
      </x:c>
      <x:c r="Y3267" t="str">
        <x:v>Basis arsip 2025/2024</x:v>
      </x:c>
      <x:c r="Z3267" t="str">
        <x:v>https://snpmb.id/utbk-snbt/daya-tampung-snbt</x:v>
      </x:c>
      <x:c r="AA3267" t="str">
        <x:v>Tidak Ada</x:v>
      </x:c>
      <x:c r="AB3267" t="str">
        <x:v>Campus=55; Ratio=34.2; Prodi=60; RelDemand=87.9; Capacity=30.8</x:v>
      </x:c>
    </x:row>
    <x:row r="3268">
      <x:c r="A3268" t="n">
        <x:v>3265</x:v>
      </x:c>
      <x:c r="B3268" t="str">
        <x:v>PTN Akademik</x:v>
      </x:c>
      <x:c r="C3268" t="str">
        <x:v>UNIVERSITAS SAM RATULANGI</x:v>
      </x:c>
      <x:c r="D3268" t="str">
        <x:v>ARSITEKTUR</x:v>
      </x:c>
      <x:c r="E3268" t="str">
        <x:v>Sarjana</x:v>
      </x:c>
      <x:c r="F3268" s="18" t="n">
        <x:v>60</x:v>
      </x:c>
      <x:c r="G3268" s="18" t="n">
        <x:v>95</x:v>
      </x:c>
      <x:c r="H3268" s="19" t="n">
        <x:v>1.5833333333333333</x:v>
      </x:c>
      <x:c r="I3268" s="18" t="n">
        <x:f>ROUND(MIN(Model_Config_v3!$B$6,MAX(Q3268,R3268,S3268*Model_Config_v3!$B$4+T3268*Model_Config_v3!$B$5)),0)</x:f>
        <x:v>615</x:v>
      </x:c>
      <x:c r="J3268" s="18" t="n">
        <x:f>MIN(Model_Config_v3!$B$6,I3268+Model_Config_v3!$B$7)</x:f>
        <x:v>635</x:v>
      </x:c>
      <x:c r="K3268" s="20" t="n">
        <x:v>42.8</x:v>
      </x:c>
      <x:c r="L3268" t="str">
        <x:v>RELATIF LONGGAR</x:v>
      </x:c>
      <x:c r="M3268" t="str">
        <x:v>SEDANG+</x:v>
      </x:c>
      <x:c r="N3268" t="str">
        <x:v>REGULER</x:v>
      </x:c>
      <x:c r="O3268" t="str">
        <x:v>SAINTEK</x:v>
      </x:c>
      <x:c r="P3268" t="str">
        <x:v>TEKNIK/ARSITEKTUR/STATISTIKA/AKTUARIA</x:v>
      </x:c>
      <x:c r="Q3268" s="18" t="n">
        <x:v>0</x:v>
      </x:c>
      <x:c r="R3268" s="18" t="n">
        <x:v>0</x:v>
      </x:c>
      <x:c r="S3268" s="18" t="n">
        <x:v>541.9529590395724</x:v>
      </x:c>
      <x:c r="T3268" s="18" t="n">
        <x:v>646</x:v>
      </x:c>
      <x:c r="U3268" s="18" t="n">
        <x:v>541.9529590395724</x:v>
      </x:c>
      <x:c r="V3268" s="20" t="n">
        <x:v>12</x:v>
      </x:c>
      <x:c r="W3268" s="20" t="n">
        <x:v>5</x:v>
      </x:c>
      <x:c r="X3268" s="20" t="n">
        <x:v>3</x:v>
      </x:c>
      <x:c r="Y3268" t="str">
        <x:v>Basis arsip 2025/2024</x:v>
      </x:c>
      <x:c r="Z3268" t="str">
        <x:v>https://snpmb.id/utbk-snbt/daya-tampung-snbt</x:v>
      </x:c>
      <x:c r="AA3268" t="str">
        <x:v>Tidak Ada</x:v>
      </x:c>
      <x:c r="AB3268" t="str">
        <x:v>Campus=55; Ratio=11.7; Prodi=60; RelDemand=36.6; Capacity=50.0</x:v>
      </x:c>
    </x:row>
    <x:row r="3269">
      <x:c r="A3269" t="n">
        <x:v>3266</x:v>
      </x:c>
      <x:c r="B3269" t="str">
        <x:v>PTN Akademik</x:v>
      </x:c>
      <x:c r="C3269" t="str">
        <x:v>UNIVERSITAS SAM RATULANGI</x:v>
      </x:c>
      <x:c r="D3269" t="str">
        <x:v>PERENCANAAN WILAYAH DAN KOTA</x:v>
      </x:c>
      <x:c r="E3269" t="str">
        <x:v>Sarjana</x:v>
      </x:c>
      <x:c r="F3269" s="18" t="n">
        <x:v>58</x:v>
      </x:c>
      <x:c r="G3269" s="18" t="n">
        <x:v>79</x:v>
      </x:c>
      <x:c r="H3269" s="19" t="n">
        <x:v>1.3620689655172413</x:v>
      </x:c>
      <x:c r="I3269" s="18" t="n">
        <x:f>ROUND(MIN(Model_Config_v3!$B$6,MAX(Q3269,R3269,S3269*Model_Config_v3!$B$4+T3269*Model_Config_v3!$B$5)),0)</x:f>
        <x:v>605</x:v>
      </x:c>
      <x:c r="J3269" s="18" t="n">
        <x:f>MIN(Model_Config_v3!$B$6,I3269+Model_Config_v3!$B$7)</x:f>
        <x:v>625</x:v>
      </x:c>
      <x:c r="K3269" s="20" t="n">
        <x:v>37.5</x:v>
      </x:c>
      <x:c r="L3269" t="str">
        <x:v>RELATIF LONGGAR</x:v>
      </x:c>
      <x:c r="M3269" t="str">
        <x:v>SEDANG</x:v>
      </x:c>
      <x:c r="N3269" t="str">
        <x:v>REGULER</x:v>
      </x:c>
      <x:c r="O3269" t="str">
        <x:v>CAMPURAN</x:v>
      </x:c>
      <x:c r="P3269" t="str">
        <x:v>UMUM</x:v>
      </x:c>
      <x:c r="Q3269" s="18" t="n">
        <x:v>0</x:v>
      </x:c>
      <x:c r="R3269" s="18" t="n">
        <x:v>0</x:v>
      </x:c>
      <x:c r="S3269" s="18" t="n">
        <x:v>534.7619007500255</x:v>
      </x:c>
      <x:c r="T3269" s="18" t="n">
        <x:v>635</x:v>
      </x:c>
      <x:c r="U3269" s="18" t="n">
        <x:v>534.7619007500255</x:v>
      </x:c>
      <x:c r="V3269" s="20" t="n">
        <x:v>8.8</x:v>
      </x:c>
      <x:c r="W3269" s="20" t="n">
        <x:v>9.9</x:v>
      </x:c>
      <x:c r="X3269" s="20" t="n">
        <x:v>3.3</x:v>
      </x:c>
      <x:c r="Y3269" t="str">
        <x:v>Basis arsip 2025/2024</x:v>
      </x:c>
      <x:c r="Z3269" t="str">
        <x:v>https://snpmb.id/utbk-snbt/daya-tampung-snbt</x:v>
      </x:c>
      <x:c r="AA3269" t="str">
        <x:v>Tidak Ada</x:v>
      </x:c>
      <x:c r="AB3269" t="str">
        <x:v>Campus=55; Ratio=7.9; Prodi=40; RelDemand=31.4; Capacity=51.7</x:v>
      </x:c>
    </x:row>
    <x:row r="3270">
      <x:c r="A3270" t="n">
        <x:v>3267</x:v>
      </x:c>
      <x:c r="B3270" t="str">
        <x:v>PTN Akademik</x:v>
      </x:c>
      <x:c r="C3270" t="str">
        <x:v>UNIVERSITAS SAM RATULANGI</x:v>
      </x:c>
      <x:c r="D3270" t="str">
        <x:v>TEKNIK PERTANIAN</x:v>
      </x:c>
      <x:c r="E3270" t="str">
        <x:v>Sarjana</x:v>
      </x:c>
      <x:c r="F3270" s="18" t="n">
        <x:v>53</x:v>
      </x:c>
      <x:c r="G3270" s="18" t="n">
        <x:v>54</x:v>
      </x:c>
      <x:c r="H3270" s="19" t="n">
        <x:v>1.0188679245283019</x:v>
      </x:c>
      <x:c r="I3270" s="18" t="n">
        <x:f>ROUND(MIN(Model_Config_v3!$B$6,MAX(Q3270,R3270,S3270*Model_Config_v3!$B$4+T3270*Model_Config_v3!$B$5)),0)</x:f>
        <x:v>604</x:v>
      </x:c>
      <x:c r="J3270" s="18" t="n">
        <x:f>MIN(Model_Config_v3!$B$6,I3270+Model_Config_v3!$B$7)</x:f>
        <x:v>624</x:v>
      </x:c>
      <x:c r="K3270" s="20" t="n">
        <x:v>39.3</x:v>
      </x:c>
      <x:c r="L3270" t="str">
        <x:v>RELATIF LONGGAR</x:v>
      </x:c>
      <x:c r="M3270" t="str">
        <x:v>SEDANG+</x:v>
      </x:c>
      <x:c r="N3270" t="str">
        <x:v>REGULER</x:v>
      </x:c>
      <x:c r="O3270" t="str">
        <x:v>SAINTEK</x:v>
      </x:c>
      <x:c r="P3270" t="str">
        <x:v>TEKNIK/ARSITEKTUR/STATISTIKA/AKTUARIA</x:v>
      </x:c>
      <x:c r="Q3270" s="18" t="n">
        <x:v>0</x:v>
      </x:c>
      <x:c r="R3270" s="18" t="n">
        <x:v>0</x:v>
      </x:c>
      <x:c r="S3270" s="18" t="n">
        <x:v>520.8929679244397</x:v>
      </x:c>
      <x:c r="T3270" s="18" t="n">
        <x:v>639</x:v>
      </x:c>
      <x:c r="U3270" s="18" t="n">
        <x:v>530.8929679244397</x:v>
      </x:c>
      <x:c r="V3270" s="20" t="n">
        <x:v>12</x:v>
      </x:c>
      <x:c r="W3270" s="20" t="n">
        <x:v>5</x:v>
      </x:c>
      <x:c r="X3270" s="20" t="n">
        <x:v>3</x:v>
      </x:c>
      <x:c r="Y3270" t="str">
        <x:v>Basis arsip 2025/2024</x:v>
      </x:c>
      <x:c r="Z3270" t="str">
        <x:v>https://snpmb.id/utbk-snbt/daya-tampung-snbt</x:v>
      </x:c>
      <x:c r="AA3270" t="str">
        <x:v>Tidak Ada</x:v>
      </x:c>
      <x:c r="AB3270" t="str">
        <x:v>Campus=55; Ratio=0.5; Prodi=60; RelDemand=23.5; Capacity=55.8</x:v>
      </x:c>
    </x:row>
    <x:row r="3271">
      <x:c r="A3271" t="n">
        <x:v>3268</x:v>
      </x:c>
      <x:c r="B3271" t="str">
        <x:v>PTN Akademik</x:v>
      </x:c>
      <x:c r="C3271" t="str">
        <x:v>UNIVERSITAS SAM RATULANGI</x:v>
      </x:c>
      <x:c r="D3271" t="str">
        <x:v>TEKNOLOGI PANGAN</x:v>
      </x:c>
      <x:c r="E3271" t="str">
        <x:v>Sarjana</x:v>
      </x:c>
      <x:c r="F3271" s="18" t="n">
        <x:v>30</x:v>
      </x:c>
      <x:c r="G3271" s="18" t="n">
        <x:v>32</x:v>
      </x:c>
      <x:c r="H3271" s="19" t="n">
        <x:v>1.0666666666666667</x:v>
      </x:c>
      <x:c r="I3271" s="18" t="n">
        <x:f>ROUND(MIN(Model_Config_v3!$B$6,MAX(Q3271,R3271,S3271*Model_Config_v3!$B$4+T3271*Model_Config_v3!$B$5)),0)</x:f>
        <x:v>601</x:v>
      </x:c>
      <x:c r="J3271" s="18" t="n">
        <x:f>MIN(Model_Config_v3!$B$6,I3271+Model_Config_v3!$B$7)</x:f>
        <x:v>621</x:v>
      </x:c>
      <x:c r="K3271" s="20" t="n">
        <x:v>37.6</x:v>
      </x:c>
      <x:c r="L3271" t="str">
        <x:v>RELATIF LONGGAR</x:v>
      </x:c>
      <x:c r="M3271" t="str">
        <x:v>SEDANG</x:v>
      </x:c>
      <x:c r="N3271" t="str">
        <x:v>REGULER</x:v>
      </x:c>
      <x:c r="O3271" t="str">
        <x:v>SAINTEK</x:v>
      </x:c>
      <x:c r="P3271" t="str">
        <x:v>UMUM</x:v>
      </x:c>
      <x:c r="Q3271" s="18" t="n">
        <x:v>0</x:v>
      </x:c>
      <x:c r="R3271" s="18" t="n">
        <x:v>0</x:v>
      </x:c>
      <x:c r="S3271" s="18" t="n">
        <x:v>523.0831595960268</x:v>
      </x:c>
      <x:c r="T3271" s="18" t="n">
        <x:v>635</x:v>
      </x:c>
      <x:c r="U3271" s="18" t="n">
        <x:v>523.0831595960268</x:v>
      </x:c>
      <x:c r="V3271" s="20" t="n">
        <x:v>12</x:v>
      </x:c>
      <x:c r="W3271" s="20" t="n">
        <x:v>5</x:v>
      </x:c>
      <x:c r="X3271" s="20" t="n">
        <x:v>3</x:v>
      </x:c>
      <x:c r="Y3271" t="str">
        <x:v>Basis arsip 2025/2024</x:v>
      </x:c>
      <x:c r="Z3271" t="str">
        <x:v>https://snpmb.id/utbk-snbt/daya-tampung-snbt</x:v>
      </x:c>
      <x:c r="AA3271" t="str">
        <x:v>Tidak Ada</x:v>
      </x:c>
      <x:c r="AB3271" t="str">
        <x:v>Campus=55; Ratio=1.6; Prodi=40; RelDemand=24.6; Capacity=75.0</x:v>
      </x:c>
    </x:row>
    <x:row r="3272">
      <x:c r="A3272" t="n">
        <x:v>3269</x:v>
      </x:c>
      <x:c r="B3272" t="str">
        <x:v>PTN Akademik</x:v>
      </x:c>
      <x:c r="C3272" t="str">
        <x:v>UNIVERSITAS SAM RATULANGI</x:v>
      </x:c>
      <x:c r="D3272" t="str">
        <x:v>MATEMATIKA</x:v>
      </x:c>
      <x:c r="E3272" t="str">
        <x:v>Sarjana</x:v>
      </x:c>
      <x:c r="F3272" s="18" t="n">
        <x:v>60</x:v>
      </x:c>
      <x:c r="G3272" s="18" t="n">
        <x:v>19</x:v>
      </x:c>
      <x:c r="H3272" s="19" t="n">
        <x:v>0.31666666666666665</x:v>
      </x:c>
      <x:c r="I3272" s="18" t="n">
        <x:f>ROUND(MIN(Model_Config_v3!$B$6,MAX(Q3272,R3272,S3272*Model_Config_v3!$B$4+T3272*Model_Config_v3!$B$5)),0)</x:f>
        <x:v>597</x:v>
      </x:c>
      <x:c r="J3272" s="18" t="n">
        <x:f>MIN(Model_Config_v3!$B$6,I3272+Model_Config_v3!$B$7)</x:f>
        <x:v>617</x:v>
      </x:c>
      <x:c r="K3272" s="20" t="n">
        <x:v>35</x:v>
      </x:c>
      <x:c r="L3272" t="str">
        <x:v>RELATIF LONGGAR</x:v>
      </x:c>
      <x:c r="M3272" t="str">
        <x:v>SEDANG+</x:v>
      </x:c>
      <x:c r="N3272" t="str">
        <x:v>REGULER</x:v>
      </x:c>
      <x:c r="O3272" t="str">
        <x:v>SAINTEK</x:v>
      </x:c>
      <x:c r="P3272" t="str">
        <x:v>SAINS DASAR</x:v>
      </x:c>
      <x:c r="Q3272" s="18" t="n">
        <x:v>0</x:v>
      </x:c>
      <x:c r="R3272" s="18" t="n">
        <x:v>0</x:v>
      </x:c>
      <x:c r="S3272" s="18" t="n">
        <x:v>520</x:v>
      </x:c>
      <x:c r="T3272" s="18" t="n">
        <x:v>630</x:v>
      </x:c>
      <x:c r="U3272" s="18" t="n">
        <x:v>520</x:v>
      </x:c>
      <x:c r="V3272" s="20" t="n">
        <x:v>12</x:v>
      </x:c>
      <x:c r="W3272" s="20" t="n">
        <x:v>5</x:v>
      </x:c>
      <x:c r="X3272" s="20" t="n">
        <x:v>3</x:v>
      </x:c>
      <x:c r="Y3272" t="str">
        <x:v>Basis arsip 2025/2024</x:v>
      </x:c>
      <x:c r="Z3272" t="str">
        <x:v>https://snpmb.id/utbk-snbt/daya-tampung-snbt</x:v>
      </x:c>
      <x:c r="AA3272" t="str">
        <x:v>Tidak Ada</x:v>
      </x:c>
      <x:c r="AB3272" t="str">
        <x:v>Campus=55; Ratio=0.0; Prodi=50; RelDemand=7.3; Capacity=50.0</x:v>
      </x:c>
    </x:row>
    <x:row r="3273">
      <x:c r="A3273" t="n">
        <x:v>3270</x:v>
      </x:c>
      <x:c r="B3273" t="str">
        <x:v>PTN Akademik</x:v>
      </x:c>
      <x:c r="C3273" t="str">
        <x:v>UNIVERSITAS SAM RATULANGI</x:v>
      </x:c>
      <x:c r="D3273" t="str">
        <x:v>FISIKA</x:v>
      </x:c>
      <x:c r="E3273" t="str">
        <x:v>Sarjana</x:v>
      </x:c>
      <x:c r="F3273" s="18" t="n">
        <x:v>38</x:v>
      </x:c>
      <x:c r="G3273" s="18" t="n">
        <x:v>4</x:v>
      </x:c>
      <x:c r="H3273" s="19" t="n">
        <x:v>0.10526315789473684</x:v>
      </x:c>
      <x:c r="I3273" s="18" t="n">
        <x:f>ROUND(MIN(Model_Config_v3!$B$6,MAX(Q3273,R3273,S3273*Model_Config_v3!$B$4+T3273*Model_Config_v3!$B$5)),0)</x:f>
        <x:v>599</x:v>
      </x:c>
      <x:c r="J3273" s="18" t="n">
        <x:f>MIN(Model_Config_v3!$B$6,I3273+Model_Config_v3!$B$7)</x:f>
        <x:v>619</x:v>
      </x:c>
      <x:c r="K3273" s="20" t="n">
        <x:v>36.3</x:v>
      </x:c>
      <x:c r="L3273" t="str">
        <x:v>RELATIF LONGGAR</x:v>
      </x:c>
      <x:c r="M3273" t="str">
        <x:v>SEDANG+</x:v>
      </x:c>
      <x:c r="N3273" t="str">
        <x:v>REGULER</x:v>
      </x:c>
      <x:c r="O3273" t="str">
        <x:v>SAINTEK</x:v>
      </x:c>
      <x:c r="P3273" t="str">
        <x:v>SAINS DASAR</x:v>
      </x:c>
      <x:c r="Q3273" s="18" t="n">
        <x:v>0</x:v>
      </x:c>
      <x:c r="R3273" s="18" t="n">
        <x:v>0</x:v>
      </x:c>
      <x:c r="S3273" s="18" t="n">
        <x:v>520</x:v>
      </x:c>
      <x:c r="T3273" s="18" t="n">
        <x:v>633</x:v>
      </x:c>
      <x:c r="U3273" s="18" t="n">
        <x:v>520</x:v>
      </x:c>
      <x:c r="V3273" s="20" t="n">
        <x:v>12</x:v>
      </x:c>
      <x:c r="W3273" s="20" t="n">
        <x:v>5</x:v>
      </x:c>
      <x:c r="X3273" s="20" t="n">
        <x:v>3</x:v>
      </x:c>
      <x:c r="Y3273" t="str">
        <x:v>Basis arsip 2025/2024</x:v>
      </x:c>
      <x:c r="Z3273" t="str">
        <x:v>https://snpmb.id/utbk-snbt/daya-tampung-snbt</x:v>
      </x:c>
      <x:c r="AA3273" t="str">
        <x:v>Tidak Ada</x:v>
      </x:c>
      <x:c r="AB3273" t="str">
        <x:v>Campus=55; Ratio=0.0; Prodi=50; RelDemand=2.4; Capacity=68.3</x:v>
      </x:c>
    </x:row>
    <x:row r="3274">
      <x:c r="A3274" t="n">
        <x:v>3271</x:v>
      </x:c>
      <x:c r="B3274" t="str">
        <x:v>PTN Akademik</x:v>
      </x:c>
      <x:c r="C3274" t="str">
        <x:v>UNIVERSITAS SAM RATULANGI</x:v>
      </x:c>
      <x:c r="D3274" t="str">
        <x:v>BIOLOGI</x:v>
      </x:c>
      <x:c r="E3274" t="str">
        <x:v>Sarjana</x:v>
      </x:c>
      <x:c r="F3274" s="18" t="n">
        <x:v>48</x:v>
      </x:c>
      <x:c r="G3274" s="18" t="n">
        <x:v>29</x:v>
      </x:c>
      <x:c r="H3274" s="19" t="n">
        <x:v>0.6041666666666666</x:v>
      </x:c>
      <x:c r="I3274" s="18" t="n">
        <x:f>ROUND(MIN(Model_Config_v3!$B$6,MAX(Q3274,R3274,S3274*Model_Config_v3!$B$4+T3274*Model_Config_v3!$B$5)),0)</x:f>
        <x:v>599</x:v>
      </x:c>
      <x:c r="J3274" s="18" t="n">
        <x:f>MIN(Model_Config_v3!$B$6,I3274+Model_Config_v3!$B$7)</x:f>
        <x:v>619</x:v>
      </x:c>
      <x:c r="K3274" s="20" t="n">
        <x:v>36.6</x:v>
      </x:c>
      <x:c r="L3274" t="str">
        <x:v>RELATIF LONGGAR</x:v>
      </x:c>
      <x:c r="M3274" t="str">
        <x:v>SEDANG+</x:v>
      </x:c>
      <x:c r="N3274" t="str">
        <x:v>REGULER</x:v>
      </x:c>
      <x:c r="O3274" t="str">
        <x:v>SAINTEK</x:v>
      </x:c>
      <x:c r="P3274" t="str">
        <x:v>SAINS DASAR</x:v>
      </x:c>
      <x:c r="Q3274" s="18" t="n">
        <x:v>0</x:v>
      </x:c>
      <x:c r="R3274" s="18" t="n">
        <x:v>0</x:v>
      </x:c>
      <x:c r="S3274" s="18" t="n">
        <x:v>520</x:v>
      </x:c>
      <x:c r="T3274" s="18" t="n">
        <x:v>633</x:v>
      </x:c>
      <x:c r="U3274" s="18" t="n">
        <x:v>520</x:v>
      </x:c>
      <x:c r="V3274" s="20" t="n">
        <x:v>12</x:v>
      </x:c>
      <x:c r="W3274" s="20" t="n">
        <x:v>5</x:v>
      </x:c>
      <x:c r="X3274" s="20" t="n">
        <x:v>3</x:v>
      </x:c>
      <x:c r="Y3274" t="str">
        <x:v>Basis arsip 2025/2024</x:v>
      </x:c>
      <x:c r="Z3274" t="str">
        <x:v>https://snpmb.id/utbk-snbt/daya-tampung-snbt</x:v>
      </x:c>
      <x:c r="AA3274" t="str">
        <x:v>Tidak Ada</x:v>
      </x:c>
      <x:c r="AB3274" t="str">
        <x:v>Campus=55; Ratio=0.0; Prodi=50; RelDemand=13.9; Capacity=60.0</x:v>
      </x:c>
    </x:row>
    <x:row r="3275">
      <x:c r="A3275" t="n">
        <x:v>3272</x:v>
      </x:c>
      <x:c r="B3275" t="str">
        <x:v>PTN Akademik</x:v>
      </x:c>
      <x:c r="C3275" t="str">
        <x:v>UNIVERSITAS SAM RATULANGI</x:v>
      </x:c>
      <x:c r="D3275" t="str">
        <x:v>KIMIA</x:v>
      </x:c>
      <x:c r="E3275" t="str">
        <x:v>Sarjana</x:v>
      </x:c>
      <x:c r="F3275" s="18" t="n">
        <x:v>40</x:v>
      </x:c>
      <x:c r="G3275" s="18" t="n">
        <x:v>24</x:v>
      </x:c>
      <x:c r="H3275" s="19" t="n">
        <x:v>0.6</x:v>
      </x:c>
      <x:c r="I3275" s="18" t="n">
        <x:f>ROUND(MIN(Model_Config_v3!$B$6,MAX(Q3275,R3275,S3275*Model_Config_v3!$B$4+T3275*Model_Config_v3!$B$5)),0)</x:f>
        <x:v>601</x:v>
      </x:c>
      <x:c r="J3275" s="18" t="n">
        <x:f>MIN(Model_Config_v3!$B$6,I3275+Model_Config_v3!$B$7)</x:f>
        <x:v>621</x:v>
      </x:c>
      <x:c r="K3275" s="20" t="n">
        <x:v>37.3</x:v>
      </x:c>
      <x:c r="L3275" t="str">
        <x:v>RELATIF LONGGAR</x:v>
      </x:c>
      <x:c r="M3275" t="str">
        <x:v>SEDANG+</x:v>
      </x:c>
      <x:c r="N3275" t="str">
        <x:v>REGULER</x:v>
      </x:c>
      <x:c r="O3275" t="str">
        <x:v>SAINTEK</x:v>
      </x:c>
      <x:c r="P3275" t="str">
        <x:v>SAINS DASAR</x:v>
      </x:c>
      <x:c r="Q3275" s="18" t="n">
        <x:v>0</x:v>
      </x:c>
      <x:c r="R3275" s="18" t="n">
        <x:v>0</x:v>
      </x:c>
      <x:c r="S3275" s="18" t="n">
        <x:v>520</x:v>
      </x:c>
      <x:c r="T3275" s="18" t="n">
        <x:v>635</x:v>
      </x:c>
      <x:c r="U3275" s="18" t="n">
        <x:v>520</x:v>
      </x:c>
      <x:c r="V3275" s="20" t="n">
        <x:v>12</x:v>
      </x:c>
      <x:c r="W3275" s="20" t="n">
        <x:v>5</x:v>
      </x:c>
      <x:c r="X3275" s="20" t="n">
        <x:v>3</x:v>
      </x:c>
      <x:c r="Y3275" t="str">
        <x:v>Basis arsip 2025/2024</x:v>
      </x:c>
      <x:c r="Z3275" t="str">
        <x:v>https://snpmb.id/utbk-snbt/daya-tampung-snbt</x:v>
      </x:c>
      <x:c r="AA3275" t="str">
        <x:v>Tidak Ada</x:v>
      </x:c>
      <x:c r="AB3275" t="str">
        <x:v>Campus=55; Ratio=0.0; Prodi=50; RelDemand=13.9; Capacity=66.7</x:v>
      </x:c>
    </x:row>
    <x:row r="3276">
      <x:c r="A3276" t="n">
        <x:v>3273</x:v>
      </x:c>
      <x:c r="B3276" t="str">
        <x:v>PTN Akademik</x:v>
      </x:c>
      <x:c r="C3276" t="str">
        <x:v>UNIVERSITAS SAM RATULANGI</x:v>
      </x:c>
      <x:c r="D3276" t="str">
        <x:v>AGRIBISNIS</x:v>
      </x:c>
      <x:c r="E3276" t="str">
        <x:v>Sarjana</x:v>
      </x:c>
      <x:c r="F3276" s="18" t="n">
        <x:v>90</x:v>
      </x:c>
      <x:c r="G3276" s="18" t="n">
        <x:v>89</x:v>
      </x:c>
      <x:c r="H3276" s="19" t="n">
        <x:v>0.9888888888888889</x:v>
      </x:c>
      <x:c r="I3276" s="18" t="n">
        <x:f>ROUND(MIN(Model_Config_v3!$B$6,MAX(Q3276,R3276,S3276*Model_Config_v3!$B$4+T3276*Model_Config_v3!$B$5)),0)</x:f>
        <x:v>600</x:v>
      </x:c>
      <x:c r="J3276" s="18" t="n">
        <x:f>MIN(Model_Config_v3!$B$6,I3276+Model_Config_v3!$B$7)</x:f>
        <x:v>620</x:v>
      </x:c>
      <x:c r="K3276" s="20" t="n">
        <x:v>37</x:v>
      </x:c>
      <x:c r="L3276" t="str">
        <x:v>RELATIF LONGGAR</x:v>
      </x:c>
      <x:c r="M3276" t="str">
        <x:v>SEDANG+</x:v>
      </x:c>
      <x:c r="N3276" t="str">
        <x:v>REGULER</x:v>
      </x:c>
      <x:c r="O3276" t="str">
        <x:v>SOSHUM</x:v>
      </x:c>
      <x:c r="P3276" t="str">
        <x:v>BISNIS/EKONOMI/AKUNTANSI</x:v>
      </x:c>
      <x:c r="Q3276" s="18" t="n">
        <x:v>0</x:v>
      </x:c>
      <x:c r="R3276" s="18" t="n">
        <x:v>0</x:v>
      </x:c>
      <x:c r="S3276" s="18" t="n">
        <x:v>520</x:v>
      </x:c>
      <x:c r="T3276" s="18" t="n">
        <x:v>634</x:v>
      </x:c>
      <x:c r="U3276" s="18" t="n">
        <x:v>535</x:v>
      </x:c>
      <x:c r="V3276" s="20" t="n">
        <x:v>4.4</x:v>
      </x:c>
      <x:c r="W3276" s="20" t="n">
        <x:v>14.3</x:v>
      </x:c>
      <x:c r="X3276" s="20" t="n">
        <x:v>3.3</x:v>
      </x:c>
      <x:c r="Y3276" t="str">
        <x:v>Basis arsip 2025/2024</x:v>
      </x:c>
      <x:c r="Z3276" t="str">
        <x:v>https://snpmb.id/utbk-snbt/daya-tampung-snbt</x:v>
      </x:c>
      <x:c r="AA3276" t="str">
        <x:v>Tidak Ada</x:v>
      </x:c>
      <x:c r="AB3276" t="str">
        <x:v>Campus=55; Ratio=0.0; Prodi=65; RelDemand=22.8; Capacity=25.0</x:v>
      </x:c>
    </x:row>
    <x:row r="3277">
      <x:c r="A3277" t="n">
        <x:v>3274</x:v>
      </x:c>
      <x:c r="B3277" t="str">
        <x:v>PTN Akademik</x:v>
      </x:c>
      <x:c r="C3277" t="str">
        <x:v>UNIVERSITAS SAM RATULANGI</x:v>
      </x:c>
      <x:c r="D3277" t="str">
        <x:v>AGROEKOTEKNOLOGI</x:v>
      </x:c>
      <x:c r="E3277" t="str">
        <x:v>Sarjana</x:v>
      </x:c>
      <x:c r="F3277" s="18" t="n">
        <x:v>30</x:v>
      </x:c>
      <x:c r="G3277" s="18" t="n">
        <x:v>14</x:v>
      </x:c>
      <x:c r="H3277" s="19" t="n">
        <x:v>0.4666666666666667</x:v>
      </x:c>
      <x:c r="I3277" s="18" t="n">
        <x:f>ROUND(MIN(Model_Config_v3!$B$6,MAX(Q3277,R3277,S3277*Model_Config_v3!$B$4+T3277*Model_Config_v3!$B$5)),0)</x:f>
        <x:v>598</x:v>
      </x:c>
      <x:c r="J3277" s="18" t="n">
        <x:f>MIN(Model_Config_v3!$B$6,I3277+Model_Config_v3!$B$7)</x:f>
        <x:v>618</x:v>
      </x:c>
      <x:c r="K3277" s="20" t="n">
        <x:v>35.8</x:v>
      </x:c>
      <x:c r="L3277" t="str">
        <x:v>RELATIF LONGGAR</x:v>
      </x:c>
      <x:c r="M3277" t="str">
        <x:v>SEDANG</x:v>
      </x:c>
      <x:c r="N3277" t="str">
        <x:v>REGULER</x:v>
      </x:c>
      <x:c r="O3277" t="str">
        <x:v>SAINTEK</x:v>
      </x:c>
      <x:c r="P3277" t="str">
        <x:v>UMUM</x:v>
      </x:c>
      <x:c r="Q3277" s="18" t="n">
        <x:v>0</x:v>
      </x:c>
      <x:c r="R3277" s="18" t="n">
        <x:v>0</x:v>
      </x:c>
      <x:c r="S3277" s="18" t="n">
        <x:v>520</x:v>
      </x:c>
      <x:c r="T3277" s="18" t="n">
        <x:v>632</x:v>
      </x:c>
      <x:c r="U3277" s="18" t="n">
        <x:v>520</x:v>
      </x:c>
      <x:c r="V3277" s="20" t="n">
        <x:v>12</x:v>
      </x:c>
      <x:c r="W3277" s="20" t="n">
        <x:v>5</x:v>
      </x:c>
      <x:c r="X3277" s="20" t="n">
        <x:v>3</x:v>
      </x:c>
      <x:c r="Y3277" t="str">
        <x:v>Basis arsip 2025/2024</x:v>
      </x:c>
      <x:c r="Z3277" t="str">
        <x:v>https://snpmb.id/utbk-snbt/daya-tampung-snbt</x:v>
      </x:c>
      <x:c r="AA3277" t="str">
        <x:v>Tidak Ada</x:v>
      </x:c>
      <x:c r="AB3277" t="str">
        <x:v>Campus=55; Ratio=0.0; Prodi=40; RelDemand=10.8; Capacity=75.0</x:v>
      </x:c>
    </x:row>
    <x:row r="3278">
      <x:c r="A3278" t="n">
        <x:v>3275</x:v>
      </x:c>
      <x:c r="B3278" t="str">
        <x:v>PTN Akademik</x:v>
      </x:c>
      <x:c r="C3278" t="str">
        <x:v>UNIVERSITAS SAM RATULANGI</x:v>
      </x:c>
      <x:c r="D3278" t="str">
        <x:v>PETERNAKAN</x:v>
      </x:c>
      <x:c r="E3278" t="str">
        <x:v>Sarjana</x:v>
      </x:c>
      <x:c r="F3278" s="18" t="n">
        <x:v>75</x:v>
      </x:c>
      <x:c r="G3278" s="18" t="n">
        <x:v>22</x:v>
      </x:c>
      <x:c r="H3278" s="19" t="n">
        <x:v>0.29333333333333333</x:v>
      </x:c>
      <x:c r="I3278" s="18" t="n">
        <x:f>ROUND(MIN(Model_Config_v3!$B$6,MAX(Q3278,R3278,S3278*Model_Config_v3!$B$4+T3278*Model_Config_v3!$B$5)),0)</x:f>
        <x:v>592</x:v>
      </x:c>
      <x:c r="J3278" s="18" t="n">
        <x:f>MIN(Model_Config_v3!$B$6,I3278+Model_Config_v3!$B$7)</x:f>
        <x:v>612</x:v>
      </x:c>
      <x:c r="K3278" s="20" t="n">
        <x:v>31.7</x:v>
      </x:c>
      <x:c r="L3278" t="str">
        <x:v>RELATIF LONGGAR</x:v>
      </x:c>
      <x:c r="M3278" t="str">
        <x:v>SEDANG</x:v>
      </x:c>
      <x:c r="N3278" t="str">
        <x:v>REGULER</x:v>
      </x:c>
      <x:c r="O3278" t="str">
        <x:v>SAINTEK</x:v>
      </x:c>
      <x:c r="P3278" t="str">
        <x:v>UMUM</x:v>
      </x:c>
      <x:c r="Q3278" s="18" t="n">
        <x:v>0</x:v>
      </x:c>
      <x:c r="R3278" s="18" t="n">
        <x:v>0</x:v>
      </x:c>
      <x:c r="S3278" s="18" t="n">
        <x:v>520</x:v>
      </x:c>
      <x:c r="T3278" s="18" t="n">
        <x:v>623</x:v>
      </x:c>
      <x:c r="U3278" s="18" t="n">
        <x:v>520</x:v>
      </x:c>
      <x:c r="V3278" s="20" t="n">
        <x:v>12</x:v>
      </x:c>
      <x:c r="W3278" s="20" t="n">
        <x:v>5</x:v>
      </x:c>
      <x:c r="X3278" s="20" t="n">
        <x:v>3</x:v>
      </x:c>
      <x:c r="Y3278" t="str">
        <x:v>Basis arsip 2025/2024</x:v>
      </x:c>
      <x:c r="Z3278" t="str">
        <x:v>https://snpmb.id/utbk-snbt/daya-tampung-snbt</x:v>
      </x:c>
      <x:c r="AA3278" t="str">
        <x:v>Tidak Ada</x:v>
      </x:c>
      <x:c r="AB3278" t="str">
        <x:v>Campus=55; Ratio=0.0; Prodi=40; RelDemand=6.8; Capacity=37.5</x:v>
      </x:c>
    </x:row>
    <x:row r="3279">
      <x:c r="A3279" t="n">
        <x:v>3276</x:v>
      </x:c>
      <x:c r="B3279" t="str">
        <x:v>PTN Akademik</x:v>
      </x:c>
      <x:c r="C3279" t="str">
        <x:v>UNIVERSITAS SAM RATULANGI</x:v>
      </x:c>
      <x:c r="D3279" t="str">
        <x:v>ILMU KELAUTAN</x:v>
      </x:c>
      <x:c r="E3279" t="str">
        <x:v>Sarjana</x:v>
      </x:c>
      <x:c r="F3279" s="18" t="n">
        <x:v>68</x:v>
      </x:c>
      <x:c r="G3279" s="18" t="n">
        <x:v>23</x:v>
      </x:c>
      <x:c r="H3279" s="19" t="n">
        <x:v>0.3382352941176471</x:v>
      </x:c>
      <x:c r="I3279" s="18" t="n">
        <x:f>ROUND(MIN(Model_Config_v3!$B$6,MAX(Q3279,R3279,S3279*Model_Config_v3!$B$4+T3279*Model_Config_v3!$B$5)),0)</x:f>
        <x:v>594</x:v>
      </x:c>
      <x:c r="J3279" s="18" t="n">
        <x:f>MIN(Model_Config_v3!$B$6,I3279+Model_Config_v3!$B$7)</x:f>
        <x:v>614</x:v>
      </x:c>
      <x:c r="K3279" s="20" t="n">
        <x:v>32.4</x:v>
      </x:c>
      <x:c r="L3279" t="str">
        <x:v>RELATIF LONGGAR</x:v>
      </x:c>
      <x:c r="M3279" t="str">
        <x:v>SEDANG</x:v>
      </x:c>
      <x:c r="N3279" t="str">
        <x:v>REGULER</x:v>
      </x:c>
      <x:c r="O3279" t="str">
        <x:v>SAINTEK</x:v>
      </x:c>
      <x:c r="P3279" t="str">
        <x:v>UMUM</x:v>
      </x:c>
      <x:c r="Q3279" s="18" t="n">
        <x:v>0</x:v>
      </x:c>
      <x:c r="R3279" s="18" t="n">
        <x:v>0</x:v>
      </x:c>
      <x:c r="S3279" s="18" t="n">
        <x:v>520</x:v>
      </x:c>
      <x:c r="T3279" s="18" t="n">
        <x:v>625</x:v>
      </x:c>
      <x:c r="U3279" s="18" t="n">
        <x:v>520</x:v>
      </x:c>
      <x:c r="V3279" s="20" t="n">
        <x:v>12</x:v>
      </x:c>
      <x:c r="W3279" s="20" t="n">
        <x:v>5</x:v>
      </x:c>
      <x:c r="X3279" s="20" t="n">
        <x:v>3</x:v>
      </x:c>
      <x:c r="Y3279" t="str">
        <x:v>Basis arsip 2025/2024</x:v>
      </x:c>
      <x:c r="Z3279" t="str">
        <x:v>https://snpmb.id/utbk-snbt/daya-tampung-snbt</x:v>
      </x:c>
      <x:c r="AA3279" t="str">
        <x:v>Tidak Ada</x:v>
      </x:c>
      <x:c r="AB3279" t="str">
        <x:v>Campus=55; Ratio=0.0; Prodi=40; RelDemand=7.8; Capacity=43.3</x:v>
      </x:c>
    </x:row>
    <x:row r="3280">
      <x:c r="A3280" t="n">
        <x:v>3277</x:v>
      </x:c>
      <x:c r="B3280" t="str">
        <x:v>PTN Akademik</x:v>
      </x:c>
      <x:c r="C3280" t="str">
        <x:v>UNIVERSITAS SAM RATULANGI</x:v>
      </x:c>
      <x:c r="D3280" t="str">
        <x:v>MANAJEMEN SUMBERDAYA PERAIRAN</x:v>
      </x:c>
      <x:c r="E3280" t="str">
        <x:v>Sarjana</x:v>
      </x:c>
      <x:c r="F3280" s="18" t="n">
        <x:v>25</x:v>
      </x:c>
      <x:c r="G3280" s="18" t="n">
        <x:v>12</x:v>
      </x:c>
      <x:c r="H3280" s="19" t="n">
        <x:v>0.48</x:v>
      </x:c>
      <x:c r="I3280" s="18" t="n">
        <x:f>ROUND(MIN(Model_Config_v3!$B$6,MAX(Q3280,R3280,S3280*Model_Config_v3!$B$4+T3280*Model_Config_v3!$B$5)),0)</x:f>
        <x:v>606</x:v>
      </x:c>
      <x:c r="J3280" s="18" t="n">
        <x:f>MIN(Model_Config_v3!$B$6,I3280+Model_Config_v3!$B$7)</x:f>
        <x:v>626</x:v>
      </x:c>
      <x:c r="K3280" s="20" t="n">
        <x:v>41.3</x:v>
      </x:c>
      <x:c r="L3280" t="str">
        <x:v>RELATIF LONGGAR</x:v>
      </x:c>
      <x:c r="M3280" t="str">
        <x:v>SEDANG+</x:v>
      </x:c>
      <x:c r="N3280" t="str">
        <x:v>REGULER</x:v>
      </x:c>
      <x:c r="O3280" t="str">
        <x:v>SOSHUM</x:v>
      </x:c>
      <x:c r="P3280" t="str">
        <x:v>BISNIS/EKONOMI/AKUNTANSI</x:v>
      </x:c>
      <x:c r="Q3280" s="18" t="n">
        <x:v>0</x:v>
      </x:c>
      <x:c r="R3280" s="18" t="n">
        <x:v>0</x:v>
      </x:c>
      <x:c r="S3280" s="18" t="n">
        <x:v>520</x:v>
      </x:c>
      <x:c r="T3280" s="18" t="n">
        <x:v>643</x:v>
      </x:c>
      <x:c r="U3280" s="18" t="n">
        <x:v>535</x:v>
      </x:c>
      <x:c r="V3280" s="20" t="n">
        <x:v>4.4</x:v>
      </x:c>
      <x:c r="W3280" s="20" t="n">
        <x:v>14.3</x:v>
      </x:c>
      <x:c r="X3280" s="20" t="n">
        <x:v>3.3</x:v>
      </x:c>
      <x:c r="Y3280" t="str">
        <x:v>Basis arsip 2025/2024</x:v>
      </x:c>
      <x:c r="Z3280" t="str">
        <x:v>https://snpmb.id/utbk-snbt/daya-tampung-snbt</x:v>
      </x:c>
      <x:c r="AA3280" t="str">
        <x:v>Tidak Ada</x:v>
      </x:c>
      <x:c r="AB3280" t="str">
        <x:v>Campus=55; Ratio=0.0; Prodi=65; RelDemand=11.1; Capacity=79.2</x:v>
      </x:c>
    </x:row>
    <x:row r="3281">
      <x:c r="A3281" t="n">
        <x:v>3278</x:v>
      </x:c>
      <x:c r="B3281" t="str">
        <x:v>PTN Akademik</x:v>
      </x:c>
      <x:c r="C3281" t="str">
        <x:v>UNIVERSITAS SAM RATULANGI</x:v>
      </x:c>
      <x:c r="D3281" t="str">
        <x:v>BUDIDAYA PERAIRAN</x:v>
      </x:c>
      <x:c r="E3281" t="str">
        <x:v>Sarjana</x:v>
      </x:c>
      <x:c r="F3281" s="18" t="n">
        <x:v>30</x:v>
      </x:c>
      <x:c r="G3281" s="18" t="n">
        <x:v>7</x:v>
      </x:c>
      <x:c r="H3281" s="19" t="n">
        <x:v>0.23333333333333334</x:v>
      </x:c>
      <x:c r="I3281" s="18" t="n">
        <x:f>ROUND(MIN(Model_Config_v3!$B$6,MAX(Q3281,R3281,S3281*Model_Config_v3!$B$4+T3281*Model_Config_v3!$B$5)),0)</x:f>
        <x:v>598</x:v>
      </x:c>
      <x:c r="J3281" s="18" t="n">
        <x:f>MIN(Model_Config_v3!$B$6,I3281+Model_Config_v3!$B$7)</x:f>
        <x:v>618</x:v>
      </x:c>
      <x:c r="K3281" s="20" t="n">
        <x:v>35.3</x:v>
      </x:c>
      <x:c r="L3281" t="str">
        <x:v>RELATIF LONGGAR</x:v>
      </x:c>
      <x:c r="M3281" t="str">
        <x:v>SEDANG</x:v>
      </x:c>
      <x:c r="N3281" t="str">
        <x:v>REGULER</x:v>
      </x:c>
      <x:c r="O3281" t="str">
        <x:v>CAMPURAN</x:v>
      </x:c>
      <x:c r="P3281" t="str">
        <x:v>UMUM</x:v>
      </x:c>
      <x:c r="Q3281" s="18" t="n">
        <x:v>0</x:v>
      </x:c>
      <x:c r="R3281" s="18" t="n">
        <x:v>0</x:v>
      </x:c>
      <x:c r="S3281" s="18" t="n">
        <x:v>520</x:v>
      </x:c>
      <x:c r="T3281" s="18" t="n">
        <x:v>631</x:v>
      </x:c>
      <x:c r="U3281" s="18" t="n">
        <x:v>520</x:v>
      </x:c>
      <x:c r="V3281" s="20" t="n">
        <x:v>8.8</x:v>
      </x:c>
      <x:c r="W3281" s="20" t="n">
        <x:v>9.9</x:v>
      </x:c>
      <x:c r="X3281" s="20" t="n">
        <x:v>3.3</x:v>
      </x:c>
      <x:c r="Y3281" t="str">
        <x:v>Basis arsip 2025/2024</x:v>
      </x:c>
      <x:c r="Z3281" t="str">
        <x:v>https://snpmb.id/utbk-snbt/daya-tampung-snbt</x:v>
      </x:c>
      <x:c r="AA3281" t="str">
        <x:v>Tidak Ada</x:v>
      </x:c>
      <x:c r="AB3281" t="str">
        <x:v>Campus=55; Ratio=0.0; Prodi=40; RelDemand=5.4; Capacity=75.0</x:v>
      </x:c>
    </x:row>
    <x:row r="3282">
      <x:c r="A3282" t="n">
        <x:v>3279</x:v>
      </x:c>
      <x:c r="B3282" t="str">
        <x:v>PTN Akademik</x:v>
      </x:c>
      <x:c r="C3282" t="str">
        <x:v>UNIVERSITAS SAM RATULANGI</x:v>
      </x:c>
      <x:c r="D3282" t="str">
        <x:v>TEKNOLOGI HASIL PERIKANAN</x:v>
      </x:c>
      <x:c r="E3282" t="str">
        <x:v>Sarjana</x:v>
      </x:c>
      <x:c r="F3282" s="18" t="n">
        <x:v>30</x:v>
      </x:c>
      <x:c r="G3282" s="18" t="n">
        <x:v>8</x:v>
      </x:c>
      <x:c r="H3282" s="19" t="n">
        <x:v>0.26666666666666666</x:v>
      </x:c>
      <x:c r="I3282" s="18" t="n">
        <x:f>ROUND(MIN(Model_Config_v3!$B$6,MAX(Q3282,R3282,S3282*Model_Config_v3!$B$4+T3282*Model_Config_v3!$B$5)),0)</x:f>
        <x:v>598</x:v>
      </x:c>
      <x:c r="J3282" s="18" t="n">
        <x:f>MIN(Model_Config_v3!$B$6,I3282+Model_Config_v3!$B$7)</x:f>
        <x:v>618</x:v>
      </x:c>
      <x:c r="K3282" s="20" t="n">
        <x:v>35.4</x:v>
      </x:c>
      <x:c r="L3282" t="str">
        <x:v>RELATIF LONGGAR</x:v>
      </x:c>
      <x:c r="M3282" t="str">
        <x:v>SEDANG</x:v>
      </x:c>
      <x:c r="N3282" t="str">
        <x:v>REGULER</x:v>
      </x:c>
      <x:c r="O3282" t="str">
        <x:v>SAINTEK</x:v>
      </x:c>
      <x:c r="P3282" t="str">
        <x:v>UMUM</x:v>
      </x:c>
      <x:c r="Q3282" s="18" t="n">
        <x:v>0</x:v>
      </x:c>
      <x:c r="R3282" s="18" t="n">
        <x:v>0</x:v>
      </x:c>
      <x:c r="S3282" s="18" t="n">
        <x:v>520</x:v>
      </x:c>
      <x:c r="T3282" s="18" t="n">
        <x:v>631</x:v>
      </x:c>
      <x:c r="U3282" s="18" t="n">
        <x:v>520</x:v>
      </x:c>
      <x:c r="V3282" s="20" t="n">
        <x:v>12</x:v>
      </x:c>
      <x:c r="W3282" s="20" t="n">
        <x:v>5</x:v>
      </x:c>
      <x:c r="X3282" s="20" t="n">
        <x:v>3</x:v>
      </x:c>
      <x:c r="Y3282" t="str">
        <x:v>Basis arsip 2025/2024</x:v>
      </x:c>
      <x:c r="Z3282" t="str">
        <x:v>https://snpmb.id/utbk-snbt/daya-tampung-snbt</x:v>
      </x:c>
      <x:c r="AA3282" t="str">
        <x:v>Tidak Ada</x:v>
      </x:c>
      <x:c r="AB3282" t="str">
        <x:v>Campus=55; Ratio=0.0; Prodi=40; RelDemand=6.2; Capacity=75.0</x:v>
      </x:c>
    </x:row>
    <x:row r="3283">
      <x:c r="A3283" t="n">
        <x:v>3280</x:v>
      </x:c>
      <x:c r="B3283" t="str">
        <x:v>PTN Akademik</x:v>
      </x:c>
      <x:c r="C3283" t="str">
        <x:v>UNIVERSITAS SAM RATULANGI</x:v>
      </x:c>
      <x:c r="D3283" t="str">
        <x:v>AGROBISNIS PERIKANAN</x:v>
      </x:c>
      <x:c r="E3283" t="str">
        <x:v>Sarjana</x:v>
      </x:c>
      <x:c r="F3283" s="18" t="n">
        <x:v>35</x:v>
      </x:c>
      <x:c r="G3283" s="18" t="n">
        <x:v>8</x:v>
      </x:c>
      <x:c r="H3283" s="19" t="n">
        <x:v>0.22857142857142856</x:v>
      </x:c>
      <x:c r="I3283" s="18" t="n">
        <x:f>ROUND(MIN(Model_Config_v3!$B$6,MAX(Q3283,R3283,S3283*Model_Config_v3!$B$4+T3283*Model_Config_v3!$B$5)),0)</x:f>
        <x:v>604</x:v>
      </x:c>
      <x:c r="J3283" s="18" t="n">
        <x:f>MIN(Model_Config_v3!$B$6,I3283+Model_Config_v3!$B$7)</x:f>
        <x:v>624</x:v>
      </x:c>
      <x:c r="K3283" s="20" t="n">
        <x:v>39.9</x:v>
      </x:c>
      <x:c r="L3283" t="str">
        <x:v>RELATIF LONGGAR</x:v>
      </x:c>
      <x:c r="M3283" t="str">
        <x:v>SEDANG+</x:v>
      </x:c>
      <x:c r="N3283" t="str">
        <x:v>REGULER</x:v>
      </x:c>
      <x:c r="O3283" t="str">
        <x:v>SAINTEK</x:v>
      </x:c>
      <x:c r="P3283" t="str">
        <x:v>BISNIS/EKONOMI/AKUNTANSI</x:v>
      </x:c>
      <x:c r="Q3283" s="18" t="n">
        <x:v>0</x:v>
      </x:c>
      <x:c r="R3283" s="18" t="n">
        <x:v>0</x:v>
      </x:c>
      <x:c r="S3283" s="18" t="n">
        <x:v>520</x:v>
      </x:c>
      <x:c r="T3283" s="18" t="n">
        <x:v>640</x:v>
      </x:c>
      <x:c r="U3283" s="18" t="n">
        <x:v>535</x:v>
      </x:c>
      <x:c r="V3283" s="20" t="n">
        <x:v>12</x:v>
      </x:c>
      <x:c r="W3283" s="20" t="n">
        <x:v>5</x:v>
      </x:c>
      <x:c r="X3283" s="20" t="n">
        <x:v>3</x:v>
      </x:c>
      <x:c r="Y3283" t="str">
        <x:v>Basis arsip 2025/2024</x:v>
      </x:c>
      <x:c r="Z3283" t="str">
        <x:v>https://snpmb.id/utbk-snbt/daya-tampung-snbt</x:v>
      </x:c>
      <x:c r="AA3283" t="str">
        <x:v>Tidak Ada</x:v>
      </x:c>
      <x:c r="AB3283" t="str">
        <x:v>Campus=55; Ratio=0.0; Prodi=65; RelDemand=5.3; Capacity=70.8</x:v>
      </x:c>
    </x:row>
    <x:row r="3284">
      <x:c r="A3284" t="n">
        <x:v>3281</x:v>
      </x:c>
      <x:c r="B3284" t="str">
        <x:v>PTN Akademik</x:v>
      </x:c>
      <x:c r="C3284" t="str">
        <x:v>UNIVERSITAS SAM RATULANGI</x:v>
      </x:c>
      <x:c r="D3284" t="str">
        <x:v>PEMANFAATAN SUMBERDAYA PERIKANAN</x:v>
      </x:c>
      <x:c r="E3284" t="str">
        <x:v>Sarjana</x:v>
      </x:c>
      <x:c r="F3284" s="18" t="n">
        <x:v>20</x:v>
      </x:c>
      <x:c r="G3284" s="18" t="n">
        <x:v>6</x:v>
      </x:c>
      <x:c r="H3284" s="19" t="n">
        <x:v>0.3</x:v>
      </x:c>
      <x:c r="I3284" s="18" t="n">
        <x:f>ROUND(MIN(Model_Config_v3!$B$6,MAX(Q3284,R3284,S3284*Model_Config_v3!$B$4+T3284*Model_Config_v3!$B$5)),0)</x:f>
        <x:v>599</x:v>
      </x:c>
      <x:c r="J3284" s="18" t="n">
        <x:f>MIN(Model_Config_v3!$B$6,I3284+Model_Config_v3!$B$7)</x:f>
        <x:v>619</x:v>
      </x:c>
      <x:c r="K3284" s="20" t="n">
        <x:v>36.3</x:v>
      </x:c>
      <x:c r="L3284" t="str">
        <x:v>RELATIF LONGGAR</x:v>
      </x:c>
      <x:c r="M3284" t="str">
        <x:v>SEDANG</x:v>
      </x:c>
      <x:c r="N3284" t="str">
        <x:v>REGULER</x:v>
      </x:c>
      <x:c r="O3284" t="str">
        <x:v>SAINTEK</x:v>
      </x:c>
      <x:c r="P3284" t="str">
        <x:v>UMUM</x:v>
      </x:c>
      <x:c r="Q3284" s="18" t="n">
        <x:v>0</x:v>
      </x:c>
      <x:c r="R3284" s="18" t="n">
        <x:v>0</x:v>
      </x:c>
      <x:c r="S3284" s="18" t="n">
        <x:v>520</x:v>
      </x:c>
      <x:c r="T3284" s="18" t="n">
        <x:v>633</x:v>
      </x:c>
      <x:c r="U3284" s="18" t="n">
        <x:v>520</x:v>
      </x:c>
      <x:c r="V3284" s="20" t="n">
        <x:v>12</x:v>
      </x:c>
      <x:c r="W3284" s="20" t="n">
        <x:v>5</x:v>
      </x:c>
      <x:c r="X3284" s="20" t="n">
        <x:v>3</x:v>
      </x:c>
      <x:c r="Y3284" t="str">
        <x:v>Basis arsip 2025/2024</x:v>
      </x:c>
      <x:c r="Z3284" t="str">
        <x:v>https://snpmb.id/utbk-snbt/daya-tampung-snbt</x:v>
      </x:c>
      <x:c r="AA3284" t="str">
        <x:v>Tidak Ada</x:v>
      </x:c>
      <x:c r="AB3284" t="str">
        <x:v>Campus=55; Ratio=0.0; Prodi=40; RelDemand=6.9; Capacity=83.3</x:v>
      </x:c>
    </x:row>
    <x:row r="3285">
      <x:c r="A3285" t="n">
        <x:v>3282</x:v>
      </x:c>
      <x:c r="B3285" t="str">
        <x:v>PTN Akademik</x:v>
      </x:c>
      <x:c r="C3285" t="str">
        <x:v>UNIVERSITAS SAM RATULANGI</x:v>
      </x:c>
      <x:c r="D3285" t="str">
        <x:v>KEHUTANAN</x:v>
      </x:c>
      <x:c r="E3285" t="str">
        <x:v>Sarjana</x:v>
      </x:c>
      <x:c r="F3285" s="18" t="n">
        <x:v>40</x:v>
      </x:c>
      <x:c r="G3285" s="18" t="n">
        <x:v>29</x:v>
      </x:c>
      <x:c r="H3285" s="19" t="n">
        <x:v>0.725</x:v>
      </x:c>
      <x:c r="I3285" s="18" t="n">
        <x:f>ROUND(MIN(Model_Config_v3!$B$6,MAX(Q3285,R3285,S3285*Model_Config_v3!$B$4+T3285*Model_Config_v3!$B$5)),0)</x:f>
        <x:v>598</x:v>
      </x:c>
      <x:c r="J3285" s="18" t="n">
        <x:f>MIN(Model_Config_v3!$B$6,I3285+Model_Config_v3!$B$7)</x:f>
        <x:v>618</x:v>
      </x:c>
      <x:c r="K3285" s="20" t="n">
        <x:v>35.6</x:v>
      </x:c>
      <x:c r="L3285" t="str">
        <x:v>RELATIF LONGGAR</x:v>
      </x:c>
      <x:c r="M3285" t="str">
        <x:v>SEDANG</x:v>
      </x:c>
      <x:c r="N3285" t="str">
        <x:v>REGULER</x:v>
      </x:c>
      <x:c r="O3285" t="str">
        <x:v>CAMPURAN</x:v>
      </x:c>
      <x:c r="P3285" t="str">
        <x:v>UMUM</x:v>
      </x:c>
      <x:c r="Q3285" s="18" t="n">
        <x:v>0</x:v>
      </x:c>
      <x:c r="R3285" s="18" t="n">
        <x:v>0</x:v>
      </x:c>
      <x:c r="S3285" s="18" t="n">
        <x:v>520</x:v>
      </x:c>
      <x:c r="T3285" s="18" t="n">
        <x:v>631</x:v>
      </x:c>
      <x:c r="U3285" s="18" t="n">
        <x:v>520</x:v>
      </x:c>
      <x:c r="V3285" s="20" t="n">
        <x:v>8.8</x:v>
      </x:c>
      <x:c r="W3285" s="20" t="n">
        <x:v>9.9</x:v>
      </x:c>
      <x:c r="X3285" s="20" t="n">
        <x:v>3.3</x:v>
      </x:c>
      <x:c r="Y3285" t="str">
        <x:v>Basis arsip 2025/2024</x:v>
      </x:c>
      <x:c r="Z3285" t="str">
        <x:v>https://snpmb.id/utbk-snbt/daya-tampung-snbt</x:v>
      </x:c>
      <x:c r="AA3285" t="str">
        <x:v>Tidak Ada</x:v>
      </x:c>
      <x:c r="AB3285" t="str">
        <x:v>Campus=55; Ratio=0.0; Prodi=40; RelDemand=16.7; Capacity=66.7</x:v>
      </x:c>
    </x:row>
    <x:row r="3286">
      <x:c r="A3286" t="n">
        <x:v>3283</x:v>
      </x:c>
      <x:c r="B3286" t="str">
        <x:v>PTN Akademik</x:v>
      </x:c>
      <x:c r="C3286" t="str">
        <x:v>UNIVERSITAS SAM RATULANGI</x:v>
      </x:c>
      <x:c r="D3286" t="str">
        <x:v>INFORMATIKA</x:v>
      </x:c>
      <x:c r="E3286" t="str">
        <x:v>Sarjana</x:v>
      </x:c>
      <x:c r="F3286" s="18" t="n">
        <x:v>73</x:v>
      </x:c>
      <x:c r="G3286" s="18" t="n">
        <x:v>494</x:v>
      </x:c>
      <x:c r="H3286" s="19" t="n">
        <x:v>6.767123287671233</x:v>
      </x:c>
      <x:c r="I3286" s="18" t="n">
        <x:f>ROUND(MIN(Model_Config_v3!$B$6,MAX(Q3286,R3286,S3286*Model_Config_v3!$B$4+T3286*Model_Config_v3!$B$5)),0)</x:f>
        <x:v>663</x:v>
      </x:c>
      <x:c r="J3286" s="18" t="n">
        <x:f>MIN(Model_Config_v3!$B$6,I3286+Model_Config_v3!$B$7)</x:f>
        <x:v>683</x:v>
      </x:c>
      <x:c r="K3286" s="20" t="n">
        <x:v>62.4</x:v>
      </x:c>
      <x:c r="L3286" t="str">
        <x:v>KETAT</x:v>
      </x:c>
      <x:c r="M3286" t="str">
        <x:v>SEDANG+</x:v>
      </x:c>
      <x:c r="N3286" t="str">
        <x:v>REGULER</x:v>
      </x:c>
      <x:c r="O3286" t="str">
        <x:v>SAINTEK</x:v>
      </x:c>
      <x:c r="P3286" t="str">
        <x:v>KOMPUTER/INFORMATIKA</x:v>
      </x:c>
      <x:c r="Q3286" s="18" t="n">
        <x:v>0</x:v>
      </x:c>
      <x:c r="R3286" s="18" t="n">
        <x:v>0</x:v>
      </x:c>
      <x:c r="S3286" s="18" t="n">
        <x:v>611.344449768351</x:v>
      </x:c>
      <x:c r="T3286" s="18" t="n">
        <x:v>685</x:v>
      </x:c>
      <x:c r="U3286" s="18" t="n">
        <x:v>636.344449768351</x:v>
      </x:c>
      <x:c r="V3286" s="20" t="n">
        <x:v>12</x:v>
      </x:c>
      <x:c r="W3286" s="20" t="n">
        <x:v>5</x:v>
      </x:c>
      <x:c r="X3286" s="20" t="n">
        <x:v>3</x:v>
      </x:c>
      <x:c r="Y3286" t="str">
        <x:v>Basis arsip 2025/2024</x:v>
      </x:c>
      <x:c r="Z3286" t="str">
        <x:v>https://snpmb.id/utbk-snbt/daya-tampung-snbt</x:v>
      </x:c>
      <x:c r="AA3286" t="str">
        <x:v>Tidak Ada</x:v>
      </x:c>
      <x:c r="AB3286" t="str">
        <x:v>Campus=55; Ratio=48.9; Prodi=85; RelDemand=100.0; Capacity=39.2</x:v>
      </x:c>
    </x:row>
    <x:row r="3287">
      <x:c r="A3287" t="n">
        <x:v>3284</x:v>
      </x:c>
      <x:c r="B3287" t="str">
        <x:v>PTN Akademik</x:v>
      </x:c>
      <x:c r="C3287" t="str">
        <x:v>UNIVERSITAS SAM RATULANGI</x:v>
      </x:c>
      <x:c r="D3287" t="str">
        <x:v>FARMASI</x:v>
      </x:c>
      <x:c r="E3287" t="str">
        <x:v>Sarjana</x:v>
      </x:c>
      <x:c r="F3287" s="18" t="n">
        <x:v>63</x:v>
      </x:c>
      <x:c r="G3287" s="18" t="n">
        <x:v>628</x:v>
      </x:c>
      <x:c r="H3287" s="19" t="n">
        <x:v>9.968253968253968</x:v>
      </x:c>
      <x:c r="I3287" s="18" t="n">
        <x:f>ROUND(MIN(Model_Config_v3!$B$6,MAX(Q3287,R3287,S3287*Model_Config_v3!$B$4+T3287*Model_Config_v3!$B$5)),0)</x:f>
        <x:v>670</x:v>
      </x:c>
      <x:c r="J3287" s="18" t="n">
        <x:f>MIN(Model_Config_v3!$B$6,I3287+Model_Config_v3!$B$7)</x:f>
        <x:v>690</x:v>
      </x:c>
      <x:c r="K3287" s="20" t="n">
        <x:v>63.7</x:v>
      </x:c>
      <x:c r="L3287" t="str">
        <x:v>KETAT</x:v>
      </x:c>
      <x:c r="M3287" t="str">
        <x:v>SEDANG+</x:v>
      </x:c>
      <x:c r="N3287" t="str">
        <x:v>REGULER</x:v>
      </x:c>
      <x:c r="O3287" t="str">
        <x:v>SAINTEK</x:v>
      </x:c>
      <x:c r="P3287" t="str">
        <x:v>FARMASI</x:v>
      </x:c>
      <x:c r="Q3287" s="18" t="n">
        <x:v>0</x:v>
      </x:c>
      <x:c r="R3287" s="18" t="n">
        <x:v>0</x:v>
      </x:c>
      <x:c r="S3287" s="18" t="n">
        <x:v>629.8481003711976</x:v>
      </x:c>
      <x:c r="T3287" s="18" t="n">
        <x:v>687</x:v>
      </x:c>
      <x:c r="U3287" s="18" t="n">
        <x:v>649.8481003711976</x:v>
      </x:c>
      <x:c r="V3287" s="20" t="n">
        <x:v>12</x:v>
      </x:c>
      <x:c r="W3287" s="20" t="n">
        <x:v>5</x:v>
      </x:c>
      <x:c r="X3287" s="20" t="n">
        <x:v>3</x:v>
      </x:c>
      <x:c r="Y3287" t="str">
        <x:v>Basis arsip 2025/2024</x:v>
      </x:c>
      <x:c r="Z3287" t="str">
        <x:v>https://snpmb.id/utbk-snbt/daya-tampung-snbt</x:v>
      </x:c>
      <x:c r="AA3287" t="str">
        <x:v>Tidak Ada</x:v>
      </x:c>
      <x:c r="AB3287" t="str">
        <x:v>Campus=55; Ratio=58.8; Prodi=75; RelDemand=100.0; Capacity=47.5</x:v>
      </x:c>
    </x:row>
    <x:row r="3288">
      <x:c r="A3288" t="n">
        <x:v>3285</x:v>
      </x:c>
      <x:c r="B3288" t="str">
        <x:v>PTN Akademik</x:v>
      </x:c>
      <x:c r="C3288" t="str">
        <x:v>UNIVERSITAS SAM RATULANGI</x:v>
      </x:c>
      <x:c r="D3288" t="str">
        <x:v>TEKNIK LINGKUNGAN</x:v>
      </x:c>
      <x:c r="E3288" t="str">
        <x:v>Sarjana</x:v>
      </x:c>
      <x:c r="F3288" s="18" t="n">
        <x:v>33</x:v>
      </x:c>
      <x:c r="G3288" s="18" t="n">
        <x:v>53</x:v>
      </x:c>
      <x:c r="H3288" s="19" t="n">
        <x:v>1.606060606060606</x:v>
      </x:c>
      <x:c r="I3288" s="18" t="n">
        <x:f>ROUND(MIN(Model_Config_v3!$B$6,MAX(Q3288,R3288,S3288*Model_Config_v3!$B$4+T3288*Model_Config_v3!$B$5)),0)</x:f>
        <x:v>618</x:v>
      </x:c>
      <x:c r="J3288" s="18" t="n">
        <x:f>MIN(Model_Config_v3!$B$6,I3288+Model_Config_v3!$B$7)</x:f>
        <x:v>638</x:v>
      </x:c>
      <x:c r="K3288" s="20" t="n">
        <x:v>45.2</x:v>
      </x:c>
      <x:c r="L3288" t="str">
        <x:v>MENENGAH</x:v>
      </x:c>
      <x:c r="M3288" t="str">
        <x:v>SEDANG+</x:v>
      </x:c>
      <x:c r="N3288" t="str">
        <x:v>REGULER</x:v>
      </x:c>
      <x:c r="O3288" t="str">
        <x:v>SAINTEK</x:v>
      </x:c>
      <x:c r="P3288" t="str">
        <x:v>TEKNIK/ARSITEKTUR/STATISTIKA/AKTUARIA</x:v>
      </x:c>
      <x:c r="Q3288" s="18" t="n">
        <x:v>0</x:v>
      </x:c>
      <x:c r="R3288" s="18" t="n">
        <x:v>0</x:v>
      </x:c>
      <x:c r="S3288" s="18" t="n">
        <x:v>542.6338122695191</x:v>
      </x:c>
      <x:c r="T3288" s="18" t="n">
        <x:v>650</x:v>
      </x:c>
      <x:c r="U3288" s="18" t="n">
        <x:v>552.6338122695191</x:v>
      </x:c>
      <x:c r="V3288" s="20" t="n">
        <x:v>12</x:v>
      </x:c>
      <x:c r="W3288" s="20" t="n">
        <x:v>5</x:v>
      </x:c>
      <x:c r="X3288" s="20" t="n">
        <x:v>3</x:v>
      </x:c>
      <x:c r="Y3288" t="str">
        <x:v>Basis arsip 2025/2024</x:v>
      </x:c>
      <x:c r="Z3288" t="str">
        <x:v>https://snpmb.id/utbk-snbt/daya-tampung-snbt</x:v>
      </x:c>
      <x:c r="AA3288" t="str">
        <x:v>Tidak Ada</x:v>
      </x:c>
      <x:c r="AB3288" t="str">
        <x:v>Campus=55; Ratio=12.1; Prodi=60; RelDemand=37.1; Capacity=72.5</x:v>
      </x:c>
    </x:row>
    <x:row r="3289">
      <x:c r="A3289" t="n">
        <x:v>3286</x:v>
      </x:c>
      <x:c r="B3289" t="str">
        <x:v>PTN Akademik</x:v>
      </x:c>
      <x:c r="C3289" t="str">
        <x:v>UNIVERSITAS SAM RATULANGI</x:v>
      </x:c>
      <x:c r="D3289" t="str">
        <x:v>SISTEM INFORMASI</x:v>
      </x:c>
      <x:c r="E3289" t="str">
        <x:v>Sarjana</x:v>
      </x:c>
      <x:c r="F3289" s="18" t="n">
        <x:v>58</x:v>
      </x:c>
      <x:c r="G3289" s="18" t="n">
        <x:v>169</x:v>
      </x:c>
      <x:c r="H3289" s="19" t="n">
        <x:v>2.913793103448276</x:v>
      </x:c>
      <x:c r="I3289" s="18" t="n">
        <x:f>ROUND(MIN(Model_Config_v3!$B$6,MAX(Q3289,R3289,S3289*Model_Config_v3!$B$4+T3289*Model_Config_v3!$B$5)),0)</x:f>
        <x:v>640</x:v>
      </x:c>
      <x:c r="J3289" s="18" t="n">
        <x:f>MIN(Model_Config_v3!$B$6,I3289+Model_Config_v3!$B$7)</x:f>
        <x:v>660</x:v>
      </x:c>
      <x:c r="K3289" s="20" t="n">
        <x:v>55</x:v>
      </x:c>
      <x:c r="L3289" t="str">
        <x:v>KETAT</x:v>
      </x:c>
      <x:c r="M3289" t="str">
        <x:v>SEDANG+</x:v>
      </x:c>
      <x:c r="N3289" t="str">
        <x:v>REGULER</x:v>
      </x:c>
      <x:c r="O3289" t="str">
        <x:v>CAMPURAN</x:v>
      </x:c>
      <x:c r="P3289" t="str">
        <x:v>KOMPUTER/INFORMATIKA</x:v>
      </x:c>
      <x:c r="Q3289" s="18" t="n">
        <x:v>0</x:v>
      </x:c>
      <x:c r="R3289" s="18" t="n">
        <x:v>0</x:v>
      </x:c>
      <x:c r="S3289" s="18" t="n">
        <x:v>571.090458215581</x:v>
      </x:c>
      <x:c r="T3289" s="18" t="n">
        <x:v>670</x:v>
      </x:c>
      <x:c r="U3289" s="18" t="n">
        <x:v>596.090458215581</x:v>
      </x:c>
      <x:c r="V3289" s="20" t="n">
        <x:v>8.8</x:v>
      </x:c>
      <x:c r="W3289" s="20" t="n">
        <x:v>9.9</x:v>
      </x:c>
      <x:c r="X3289" s="20" t="n">
        <x:v>3.3</x:v>
      </x:c>
      <x:c r="Y3289" t="str">
        <x:v>Basis arsip 2025/2024</x:v>
      </x:c>
      <x:c r="Z3289" t="str">
        <x:v>https://snpmb.id/utbk-snbt/daya-tampung-snbt</x:v>
      </x:c>
      <x:c r="AA3289" t="str">
        <x:v>Tidak Ada</x:v>
      </x:c>
      <x:c r="AB3289" t="str">
        <x:v>Campus=55; Ratio=27.3; Prodi=85; RelDemand=67.3; Capacity=51.7</x:v>
      </x:c>
    </x:row>
    <x:row r="3290">
      <x:c r="A3290" t="n">
        <x:v>3287</x:v>
      </x:c>
      <x:c r="B3290" t="str">
        <x:v>PTN Akademik</x:v>
      </x:c>
      <x:c r="C3290" t="str">
        <x:v>UNIVERSITAS SAM RATULANGI</x:v>
      </x:c>
      <x:c r="D3290" t="str">
        <x:v>ILMU TANAH</x:v>
      </x:c>
      <x:c r="E3290" t="str">
        <x:v>Sarjana</x:v>
      </x:c>
      <x:c r="F3290" s="18" t="n">
        <x:v>30</x:v>
      </x:c>
      <x:c r="G3290" s="18" t="n">
        <x:v>7</x:v>
      </x:c>
      <x:c r="H3290" s="19" t="n">
        <x:v>0.23333333333333334</x:v>
      </x:c>
      <x:c r="I3290" s="18" t="n">
        <x:f>ROUND(MIN(Model_Config_v3!$B$6,MAX(Q3290,R3290,S3290*Model_Config_v3!$B$4+T3290*Model_Config_v3!$B$5)),0)</x:f>
        <x:v>598</x:v>
      </x:c>
      <x:c r="J3290" s="18" t="n">
        <x:f>MIN(Model_Config_v3!$B$6,I3290+Model_Config_v3!$B$7)</x:f>
        <x:v>618</x:v>
      </x:c>
      <x:c r="K3290" s="20" t="n">
        <x:v>35.3</x:v>
      </x:c>
      <x:c r="L3290" t="str">
        <x:v>RELATIF LONGGAR</x:v>
      </x:c>
      <x:c r="M3290" t="str">
        <x:v>SEDANG</x:v>
      </x:c>
      <x:c r="N3290" t="str">
        <x:v>REGULER</x:v>
      </x:c>
      <x:c r="O3290" t="str">
        <x:v>CAMPURAN</x:v>
      </x:c>
      <x:c r="P3290" t="str">
        <x:v>UMUM</x:v>
      </x:c>
      <x:c r="Q3290" s="18" t="n">
        <x:v>0</x:v>
      </x:c>
      <x:c r="R3290" s="18" t="n">
        <x:v>0</x:v>
      </x:c>
      <x:c r="S3290" s="18" t="n">
        <x:v>520</x:v>
      </x:c>
      <x:c r="T3290" s="18" t="n">
        <x:v>631</x:v>
      </x:c>
      <x:c r="U3290" s="18" t="n">
        <x:v>520</x:v>
      </x:c>
      <x:c r="V3290" s="20" t="n">
        <x:v>8.8</x:v>
      </x:c>
      <x:c r="W3290" s="20" t="n">
        <x:v>9.9</x:v>
      </x:c>
      <x:c r="X3290" s="20" t="n">
        <x:v>3.3</x:v>
      </x:c>
      <x:c r="Y3290" t="str">
        <x:v>Basis arsip 2025/2024</x:v>
      </x:c>
      <x:c r="Z3290" t="str">
        <x:v>https://snpmb.id/utbk-snbt/daya-tampung-snbt</x:v>
      </x:c>
      <x:c r="AA3290" t="str">
        <x:v>Tidak Ada</x:v>
      </x:c>
      <x:c r="AB3290" t="str">
        <x:v>Campus=55; Ratio=0.0; Prodi=40; RelDemand=5.4; Capacity=75.0</x:v>
      </x:c>
    </x:row>
    <x:row r="3291">
      <x:c r="A3291" t="n">
        <x:v>3288</x:v>
      </x:c>
      <x:c r="B3291" t="str">
        <x:v>PTN Akademik</x:v>
      </x:c>
      <x:c r="C3291" t="str">
        <x:v>UNIVERSITAS SAM RATULANGI</x:v>
      </x:c>
      <x:c r="D3291" t="str">
        <x:v>AGRONOMI</x:v>
      </x:c>
      <x:c r="E3291" t="str">
        <x:v>Sarjana</x:v>
      </x:c>
      <x:c r="F3291" s="18" t="n">
        <x:v>30</x:v>
      </x:c>
      <x:c r="G3291" s="18" t="n">
        <x:v>12</x:v>
      </x:c>
      <x:c r="H3291" s="19" t="n">
        <x:v>0.4</x:v>
      </x:c>
      <x:c r="I3291" s="18" t="n">
        <x:f>ROUND(MIN(Model_Config_v3!$B$6,MAX(Q3291,R3291,S3291*Model_Config_v3!$B$4+T3291*Model_Config_v3!$B$5)),0)</x:f>
        <x:v>598</x:v>
      </x:c>
      <x:c r="J3291" s="18" t="n">
        <x:f>MIN(Model_Config_v3!$B$6,I3291+Model_Config_v3!$B$7)</x:f>
        <x:v>618</x:v>
      </x:c>
      <x:c r="K3291" s="20" t="n">
        <x:v>35.7</x:v>
      </x:c>
      <x:c r="L3291" t="str">
        <x:v>RELATIF LONGGAR</x:v>
      </x:c>
      <x:c r="M3291" t="str">
        <x:v>SEDANG</x:v>
      </x:c>
      <x:c r="N3291" t="str">
        <x:v>REGULER</x:v>
      </x:c>
      <x:c r="O3291" t="str">
        <x:v>CAMPURAN</x:v>
      </x:c>
      <x:c r="P3291" t="str">
        <x:v>UMUM</x:v>
      </x:c>
      <x:c r="Q3291" s="18" t="n">
        <x:v>0</x:v>
      </x:c>
      <x:c r="R3291" s="18" t="n">
        <x:v>0</x:v>
      </x:c>
      <x:c r="S3291" s="18" t="n">
        <x:v>520</x:v>
      </x:c>
      <x:c r="T3291" s="18" t="n">
        <x:v>631</x:v>
      </x:c>
      <x:c r="U3291" s="18" t="n">
        <x:v>520</x:v>
      </x:c>
      <x:c r="V3291" s="20" t="n">
        <x:v>8.8</x:v>
      </x:c>
      <x:c r="W3291" s="20" t="n">
        <x:v>9.9</x:v>
      </x:c>
      <x:c r="X3291" s="20" t="n">
        <x:v>3.3</x:v>
      </x:c>
      <x:c r="Y3291" t="str">
        <x:v>Basis arsip 2025/2024</x:v>
      </x:c>
      <x:c r="Z3291" t="str">
        <x:v>https://snpmb.id/utbk-snbt/daya-tampung-snbt</x:v>
      </x:c>
      <x:c r="AA3291" t="str">
        <x:v>Tidak Ada</x:v>
      </x:c>
      <x:c r="AB3291" t="str">
        <x:v>Campus=55; Ratio=0.0; Prodi=40; RelDemand=9.2; Capacity=75.0</x:v>
      </x:c>
    </x:row>
    <x:row r="3292">
      <x:c r="A3292" t="n">
        <x:v>3289</x:v>
      </x:c>
      <x:c r="B3292" t="str">
        <x:v>PTN Akademik</x:v>
      </x:c>
      <x:c r="C3292" t="str">
        <x:v>UNIVERSITAS SAM RATULANGI</x:v>
      </x:c>
      <x:c r="D3292" t="str">
        <x:v>PROTEKSI TANAMAN</x:v>
      </x:c>
      <x:c r="E3292" t="str">
        <x:v>Sarjana</x:v>
      </x:c>
      <x:c r="F3292" s="18" t="n">
        <x:v>30</x:v>
      </x:c>
      <x:c r="G3292" s="18" t="n">
        <x:v>4</x:v>
      </x:c>
      <x:c r="H3292" s="19" t="n">
        <x:v>0.13333333333333333</x:v>
      </x:c>
      <x:c r="I3292" s="18" t="n">
        <x:f>ROUND(MIN(Model_Config_v3!$B$6,MAX(Q3292,R3292,S3292*Model_Config_v3!$B$4+T3292*Model_Config_v3!$B$5)),0)</x:f>
        <x:v>597</x:v>
      </x:c>
      <x:c r="J3292" s="18" t="n">
        <x:f>MIN(Model_Config_v3!$B$6,I3292+Model_Config_v3!$B$7)</x:f>
        <x:v>617</x:v>
      </x:c>
      <x:c r="K3292" s="20" t="n">
        <x:v>35.1</x:v>
      </x:c>
      <x:c r="L3292" t="str">
        <x:v>RELATIF LONGGAR</x:v>
      </x:c>
      <x:c r="M3292" t="str">
        <x:v>SEDANG</x:v>
      </x:c>
      <x:c r="N3292" t="str">
        <x:v>REGULER</x:v>
      </x:c>
      <x:c r="O3292" t="str">
        <x:v>CAMPURAN</x:v>
      </x:c>
      <x:c r="P3292" t="str">
        <x:v>UMUM</x:v>
      </x:c>
      <x:c r="Q3292" s="18" t="n">
        <x:v>0</x:v>
      </x:c>
      <x:c r="R3292" s="18" t="n">
        <x:v>0</x:v>
      </x:c>
      <x:c r="S3292" s="18" t="n">
        <x:v>520</x:v>
      </x:c>
      <x:c r="T3292" s="18" t="n">
        <x:v>630</x:v>
      </x:c>
      <x:c r="U3292" s="18" t="n">
        <x:v>520</x:v>
      </x:c>
      <x:c r="V3292" s="20" t="n">
        <x:v>8.8</x:v>
      </x:c>
      <x:c r="W3292" s="20" t="n">
        <x:v>9.9</x:v>
      </x:c>
      <x:c r="X3292" s="20" t="n">
        <x:v>3.3</x:v>
      </x:c>
      <x:c r="Y3292" t="str">
        <x:v>Basis arsip 2025/2024</x:v>
      </x:c>
      <x:c r="Z3292" t="str">
        <x:v>https://snpmb.id/utbk-snbt/daya-tampung-snbt</x:v>
      </x:c>
      <x:c r="AA3292" t="str">
        <x:v>Tidak Ada</x:v>
      </x:c>
      <x:c r="AB3292" t="str">
        <x:v>Campus=55; Ratio=0.0; Prodi=40; RelDemand=3.1; Capacity=75.0</x:v>
      </x:c>
    </x:row>
    <x:row r="3293">
      <x:c r="A3293" t="n">
        <x:v>3290</x:v>
      </x:c>
      <x:c r="B3293" t="str">
        <x:v>PTN Akademik</x:v>
      </x:c>
      <x:c r="C3293" t="str">
        <x:v>UNIVERSITAS SAM RATULANGI</x:v>
      </x:c>
      <x:c r="D3293" t="str">
        <x:v>EKONOMI PEMBANGNAN</x:v>
      </x:c>
      <x:c r="E3293" t="str">
        <x:v>Sarjana</x:v>
      </x:c>
      <x:c r="F3293" s="18" t="n">
        <x:v>95</x:v>
      </x:c>
      <x:c r="G3293" s="18" t="n">
        <x:v>69</x:v>
      </x:c>
      <x:c r="H3293" s="19" t="n">
        <x:v>0.7263157894736842</x:v>
      </x:c>
      <x:c r="I3293" s="18" t="n">
        <x:f>ROUND(MIN(Model_Config_v3!$B$6,MAX(Q3293,R3293,S3293*Model_Config_v3!$B$4+T3293*Model_Config_v3!$B$5)),0)</x:f>
        <x:v>591</x:v>
      </x:c>
      <x:c r="J3293" s="18" t="n">
        <x:f>MIN(Model_Config_v3!$B$6,I3293+Model_Config_v3!$B$7)</x:f>
        <x:v>611</x:v>
      </x:c>
      <x:c r="K3293" s="20" t="n">
        <x:v>31</x:v>
      </x:c>
      <x:c r="L3293" t="str">
        <x:v>RELATIF LONGGAR</x:v>
      </x:c>
      <x:c r="M3293" t="str">
        <x:v>SEDANG</x:v>
      </x:c>
      <x:c r="N3293" t="str">
        <x:v>REGULER</x:v>
      </x:c>
      <x:c r="O3293" t="str">
        <x:v>SOSHUM</x:v>
      </x:c>
      <x:c r="P3293" t="str">
        <x:v>UMUM</x:v>
      </x:c>
      <x:c r="Q3293" s="18" t="n">
        <x:v>0</x:v>
      </x:c>
      <x:c r="R3293" s="18" t="n">
        <x:v>0</x:v>
      </x:c>
      <x:c r="S3293" s="18" t="n">
        <x:v>520</x:v>
      </x:c>
      <x:c r="T3293" s="18" t="n">
        <x:v>622</x:v>
      </x:c>
      <x:c r="U3293" s="18" t="n">
        <x:v>520</x:v>
      </x:c>
      <x:c r="V3293" s="20" t="n">
        <x:v>4.4</x:v>
      </x:c>
      <x:c r="W3293" s="20" t="n">
        <x:v>14.3</x:v>
      </x:c>
      <x:c r="X3293" s="20" t="n">
        <x:v>3.3</x:v>
      </x:c>
      <x:c r="Y3293" t="str">
        <x:v>Basis arsip 2025/2024</x:v>
      </x:c>
      <x:c r="Z3293" t="str">
        <x:v>https://snpmb.id/utbk-snbt/daya-tampung-snbt</x:v>
      </x:c>
      <x:c r="AA3293" t="str">
        <x:v>Tidak Ada</x:v>
      </x:c>
      <x:c r="AB3293" t="str">
        <x:v>Campus=55; Ratio=0.0; Prodi=40; RelDemand=16.8; Capacity=20.8</x:v>
      </x:c>
    </x:row>
    <x:row r="3294">
      <x:c r="A3294" t="n">
        <x:v>3291</x:v>
      </x:c>
      <x:c r="B3294" t="str">
        <x:v>PTN Akademik</x:v>
      </x:c>
      <x:c r="C3294" t="str">
        <x:v>UNIVERSITAS SAM RATULANGI</x:v>
      </x:c>
      <x:c r="D3294" t="str">
        <x:v>MANAJEMEN</x:v>
      </x:c>
      <x:c r="E3294" t="str">
        <x:v>Sarjana</x:v>
      </x:c>
      <x:c r="F3294" s="18" t="n">
        <x:v>200</x:v>
      </x:c>
      <x:c r="G3294" s="18" t="n">
        <x:v>738</x:v>
      </x:c>
      <x:c r="H3294" s="19" t="n">
        <x:v>3.69</x:v>
      </x:c>
      <x:c r="I3294" s="18" t="n">
        <x:f>ROUND(MIN(Model_Config_v3!$B$6,MAX(Q3294,R3294,S3294*Model_Config_v3!$B$4+T3294*Model_Config_v3!$B$5)),0)</x:f>
        <x:v>635</x:v>
      </x:c>
      <x:c r="J3294" s="18" t="n">
        <x:f>MIN(Model_Config_v3!$B$6,I3294+Model_Config_v3!$B$7)</x:f>
        <x:v>655</x:v>
      </x:c>
      <x:c r="K3294" s="20" t="n">
        <x:v>49.1</x:v>
      </x:c>
      <x:c r="L3294" t="str">
        <x:v>MENENGAH</x:v>
      </x:c>
      <x:c r="M3294" t="str">
        <x:v>SEDANG+</x:v>
      </x:c>
      <x:c r="N3294" t="str">
        <x:v>REGULER</x:v>
      </x:c>
      <x:c r="O3294" t="str">
        <x:v>SOSHUM</x:v>
      </x:c>
      <x:c r="P3294" t="str">
        <x:v>BISNIS/EKONOMI/AKUNTANSI</x:v>
      </x:c>
      <x:c r="Q3294" s="18" t="n">
        <x:v>0</x:v>
      </x:c>
      <x:c r="R3294" s="18" t="n">
        <x:v>0</x:v>
      </x:c>
      <x:c r="S3294" s="18" t="n">
        <x:v>582.3729002774967</x:v>
      </x:c>
      <x:c r="T3294" s="18" t="n">
        <x:v>658</x:v>
      </x:c>
      <x:c r="U3294" s="18" t="n">
        <x:v>597.3729002774967</x:v>
      </x:c>
      <x:c r="V3294" s="20" t="n">
        <x:v>4.4</x:v>
      </x:c>
      <x:c r="W3294" s="20" t="n">
        <x:v>14.3</x:v>
      </x:c>
      <x:c r="X3294" s="20" t="n">
        <x:v>3.3</x:v>
      </x:c>
      <x:c r="Y3294" t="str">
        <x:v>Basis arsip 2025/2024</x:v>
      </x:c>
      <x:c r="Z3294" t="str">
        <x:v>https://snpmb.id/utbk-snbt/daya-tampung-snbt</x:v>
      </x:c>
      <x:c r="AA3294" t="str">
        <x:v>Tidak Ada</x:v>
      </x:c>
      <x:c r="AB3294" t="str">
        <x:v>Campus=55; Ratio=33.4; Prodi=65; RelDemand=85.2; Capacity=0.0</x:v>
      </x:c>
    </x:row>
    <x:row r="3295">
      <x:c r="A3295" t="n">
        <x:v>3292</x:v>
      </x:c>
      <x:c r="B3295" t="str">
        <x:v>PTN Akademik</x:v>
      </x:c>
      <x:c r="C3295" t="str">
        <x:v>UNIVERSITAS SAM RATULANGI</x:v>
      </x:c>
      <x:c r="D3295" t="str">
        <x:v>AKUNTANSI</x:v>
      </x:c>
      <x:c r="E3295" t="str">
        <x:v>Sarjana</x:v>
      </x:c>
      <x:c r="F3295" s="18" t="n">
        <x:v>150</x:v>
      </x:c>
      <x:c r="G3295" s="18" t="n">
        <x:v>335</x:v>
      </x:c>
      <x:c r="H3295" s="19" t="n">
        <x:v>2.2333333333333334</x:v>
      </x:c>
      <x:c r="I3295" s="18" t="n">
        <x:f>ROUND(MIN(Model_Config_v3!$B$6,MAX(Q3295,R3295,S3295*Model_Config_v3!$B$4+T3295*Model_Config_v3!$B$5)),0)</x:f>
        <x:v>619</x:v>
      </x:c>
      <x:c r="J3295" s="18" t="n">
        <x:f>MIN(Model_Config_v3!$B$6,I3295+Model_Config_v3!$B$7)</x:f>
        <x:v>639</x:v>
      </x:c>
      <x:c r="K3295" s="20" t="n">
        <x:v>42.5</x:v>
      </x:c>
      <x:c r="L3295" t="str">
        <x:v>RELATIF LONGGAR</x:v>
      </x:c>
      <x:c r="M3295" t="str">
        <x:v>SEDANG+</x:v>
      </x:c>
      <x:c r="N3295" t="str">
        <x:v>REGULER</x:v>
      </x:c>
      <x:c r="O3295" t="str">
        <x:v>SOSHUM</x:v>
      </x:c>
      <x:c r="P3295" t="str">
        <x:v>BISNIS/EKONOMI/AKUNTANSI</x:v>
      </x:c>
      <x:c r="Q3295" s="18" t="n">
        <x:v>0</x:v>
      </x:c>
      <x:c r="R3295" s="18" t="n">
        <x:v>0</x:v>
      </x:c>
      <x:c r="S3295" s="18" t="n">
        <x:v>558.384890277928</x:v>
      </x:c>
      <x:c r="T3295" s="18" t="n">
        <x:v>645</x:v>
      </x:c>
      <x:c r="U3295" s="18" t="n">
        <x:v>558.384890277928</x:v>
      </x:c>
      <x:c r="V3295" s="20" t="n">
        <x:v>4.4</x:v>
      </x:c>
      <x:c r="W3295" s="20" t="n">
        <x:v>14.3</x:v>
      </x:c>
      <x:c r="X3295" s="20" t="n">
        <x:v>3.3</x:v>
      </x:c>
      <x:c r="Y3295" t="str">
        <x:v>Basis arsip 2025/2024</x:v>
      </x:c>
      <x:c r="Z3295" t="str">
        <x:v>https://snpmb.id/utbk-snbt/daya-tampung-snbt</x:v>
      </x:c>
      <x:c r="AA3295" t="str">
        <x:v>Tidak Ada</x:v>
      </x:c>
      <x:c r="AB3295" t="str">
        <x:v>Campus=55; Ratio=20.5; Prodi=65; RelDemand=51.6; Capacity=0.0</x:v>
      </x:c>
    </x:row>
    <x:row r="3296">
      <x:c r="A3296" t="n">
        <x:v>3293</x:v>
      </x:c>
      <x:c r="B3296" t="str">
        <x:v>PTN Akademik</x:v>
      </x:c>
      <x:c r="C3296" t="str">
        <x:v>UNIVERSITAS SAM RATULANGI</x:v>
      </x:c>
      <x:c r="D3296" t="str">
        <x:v>ILMU ADMINISTRASI NEGARA</x:v>
      </x:c>
      <x:c r="E3296" t="str">
        <x:v>Sarjana</x:v>
      </x:c>
      <x:c r="F3296" s="18" t="n">
        <x:v>55</x:v>
      </x:c>
      <x:c r="G3296" s="18" t="n">
        <x:v>125</x:v>
      </x:c>
      <x:c r="H3296" s="19" t="n">
        <x:v>2.272727272727273</x:v>
      </x:c>
      <x:c r="I3296" s="18" t="n">
        <x:f>ROUND(MIN(Model_Config_v3!$B$6,MAX(Q3296,R3296,S3296*Model_Config_v3!$B$4+T3296*Model_Config_v3!$B$5)),0)</x:f>
        <x:v>620</x:v>
      </x:c>
      <x:c r="J3296" s="18" t="n">
        <x:f>MIN(Model_Config_v3!$B$6,I3296+Model_Config_v3!$B$7)</x:f>
        <x:v>640</x:v>
      </x:c>
      <x:c r="K3296" s="20" t="n">
        <x:v>43.2</x:v>
      </x:c>
      <x:c r="L3296" t="str">
        <x:v>RELATIF LONGGAR</x:v>
      </x:c>
      <x:c r="M3296" t="str">
        <x:v>SEDANG</x:v>
      </x:c>
      <x:c r="N3296" t="str">
        <x:v>REGULER</x:v>
      </x:c>
      <x:c r="O3296" t="str">
        <x:v>SOSHUM</x:v>
      </x:c>
      <x:c r="P3296" t="str">
        <x:v>UMUM</x:v>
      </x:c>
      <x:c r="Q3296" s="18" t="n">
        <x:v>0</x:v>
      </x:c>
      <x:c r="R3296" s="18" t="n">
        <x:v>0</x:v>
      </x:c>
      <x:c r="S3296" s="18" t="n">
        <x:v>559.2202055865193</x:v>
      </x:c>
      <x:c r="T3296" s="18" t="n">
        <x:v>646</x:v>
      </x:c>
      <x:c r="U3296" s="18" t="n">
        <x:v>559.2202055865193</x:v>
      </x:c>
      <x:c r="V3296" s="20" t="n">
        <x:v>4.4</x:v>
      </x:c>
      <x:c r="W3296" s="20" t="n">
        <x:v>14.3</x:v>
      </x:c>
      <x:c r="X3296" s="20" t="n">
        <x:v>3.3</x:v>
      </x:c>
      <x:c r="Y3296" t="str">
        <x:v>Basis arsip 2025/2024</x:v>
      </x:c>
      <x:c r="Z3296" t="str">
        <x:v>https://snpmb.id/utbk-snbt/daya-tampung-snbt</x:v>
      </x:c>
      <x:c r="AA3296" t="str">
        <x:v>Tidak Ada</x:v>
      </x:c>
      <x:c r="AB3296" t="str">
        <x:v>Campus=55; Ratio=21.0; Prodi=40; RelDemand=52.5; Capacity=54.2</x:v>
      </x:c>
    </x:row>
    <x:row r="3297">
      <x:c r="A3297" t="n">
        <x:v>3294</x:v>
      </x:c>
      <x:c r="B3297" t="str">
        <x:v>PTN Akademik</x:v>
      </x:c>
      <x:c r="C3297" t="str">
        <x:v>UNIVERSITAS SAM RATULANGI</x:v>
      </x:c>
      <x:c r="D3297" t="str">
        <x:v>ILMU ADMINISTRASI BISNIS</x:v>
      </x:c>
      <x:c r="E3297" t="str">
        <x:v>Sarjana</x:v>
      </x:c>
      <x:c r="F3297" s="18" t="n">
        <x:v>55</x:v>
      </x:c>
      <x:c r="G3297" s="18" t="n">
        <x:v>284</x:v>
      </x:c>
      <x:c r="H3297" s="19" t="n">
        <x:v>5.163636363636364</x:v>
      </x:c>
      <x:c r="I3297" s="18" t="n">
        <x:f>ROUND(MIN(Model_Config_v3!$B$6,MAX(Q3297,R3297,S3297*Model_Config_v3!$B$4+T3297*Model_Config_v3!$B$5)),0)</x:f>
        <x:v>653</x:v>
      </x:c>
      <x:c r="J3297" s="18" t="n">
        <x:f>MIN(Model_Config_v3!$B$6,I3297+Model_Config_v3!$B$7)</x:f>
        <x:v>673</x:v>
      </x:c>
      <x:c r="K3297" s="20" t="n">
        <x:v>58.2</x:v>
      </x:c>
      <x:c r="L3297" t="str">
        <x:v>KETAT</x:v>
      </x:c>
      <x:c r="M3297" t="str">
        <x:v>SEDANG+</x:v>
      </x:c>
      <x:c r="N3297" t="str">
        <x:v>REGULER</x:v>
      </x:c>
      <x:c r="O3297" t="str">
        <x:v>SOSHUM</x:v>
      </x:c>
      <x:c r="P3297" t="str">
        <x:v>BISNIS/EKONOMI/AKUNTANSI</x:v>
      </x:c>
      <x:c r="Q3297" s="18" t="n">
        <x:v>0</x:v>
      </x:c>
      <x:c r="R3297" s="18" t="n">
        <x:v>0</x:v>
      </x:c>
      <x:c r="S3297" s="18" t="n">
        <x:v>598.4251215608074</x:v>
      </x:c>
      <x:c r="T3297" s="18" t="n">
        <x:v>676</x:v>
      </x:c>
      <x:c r="U3297" s="18" t="n">
        <x:v>613.4251215608074</x:v>
      </x:c>
      <x:c r="V3297" s="20" t="n">
        <x:v>4.4</x:v>
      </x:c>
      <x:c r="W3297" s="20" t="n">
        <x:v>14.3</x:v>
      </x:c>
      <x:c r="X3297" s="20" t="n">
        <x:v>3.3</x:v>
      </x:c>
      <x:c r="Y3297" t="str">
        <x:v>Basis arsip 2025/2024</x:v>
      </x:c>
      <x:c r="Z3297" t="str">
        <x:v>https://snpmb.id/utbk-snbt/daya-tampung-snbt</x:v>
      </x:c>
      <x:c r="AA3297" t="str">
        <x:v>Tidak Ada</x:v>
      </x:c>
      <x:c r="AB3297" t="str">
        <x:v>Campus=55; Ratio=42.0; Prodi=65; RelDemand=100.0; Capacity=54.2</x:v>
      </x:c>
    </x:row>
    <x:row r="3298">
      <x:c r="A3298" t="n">
        <x:v>3295</x:v>
      </x:c>
      <x:c r="B3298" t="str">
        <x:v>PTN Akademik</x:v>
      </x:c>
      <x:c r="C3298" t="str">
        <x:v>UNIVERSITAS SAM RATULANGI</x:v>
      </x:c>
      <x:c r="D3298" t="str">
        <x:v>ILMU PEMERINTAHAN</x:v>
      </x:c>
      <x:c r="E3298" t="str">
        <x:v>Sarjana</x:v>
      </x:c>
      <x:c r="F3298" s="18" t="n">
        <x:v>55</x:v>
      </x:c>
      <x:c r="G3298" s="18" t="n">
        <x:v>108</x:v>
      </x:c>
      <x:c r="H3298" s="19" t="n">
        <x:v>1.9636363636363636</x:v>
      </x:c>
      <x:c r="I3298" s="18" t="n">
        <x:f>ROUND(MIN(Model_Config_v3!$B$6,MAX(Q3298,R3298,S3298*Model_Config_v3!$B$4+T3298*Model_Config_v3!$B$5)),0)</x:f>
        <x:v>616</x:v>
      </x:c>
      <x:c r="J3298" s="18" t="n">
        <x:f>MIN(Model_Config_v3!$B$6,I3298+Model_Config_v3!$B$7)</x:f>
        <x:v>636</x:v>
      </x:c>
      <x:c r="K3298" s="20" t="n">
        <x:v>41.5</x:v>
      </x:c>
      <x:c r="L3298" t="str">
        <x:v>RELATIF LONGGAR</x:v>
      </x:c>
      <x:c r="M3298" t="str">
        <x:v>SEDANG</x:v>
      </x:c>
      <x:c r="N3298" t="str">
        <x:v>REGULER</x:v>
      </x:c>
      <x:c r="O3298" t="str">
        <x:v>CAMPURAN</x:v>
      </x:c>
      <x:c r="P3298" t="str">
        <x:v>UMUM</x:v>
      </x:c>
      <x:c r="Q3298" s="18" t="n">
        <x:v>0</x:v>
      </x:c>
      <x:c r="R3298" s="18" t="n">
        <x:v>0</x:v>
      </x:c>
      <x:c r="S3298" s="18" t="n">
        <x:v>552.2367172591977</x:v>
      </x:c>
      <x:c r="T3298" s="18" t="n">
        <x:v>643</x:v>
      </x:c>
      <x:c r="U3298" s="18" t="n">
        <x:v>552.2367172591977</x:v>
      </x:c>
      <x:c r="V3298" s="20" t="n">
        <x:v>8.8</x:v>
      </x:c>
      <x:c r="W3298" s="20" t="n">
        <x:v>9.9</x:v>
      </x:c>
      <x:c r="X3298" s="20" t="n">
        <x:v>3.3</x:v>
      </x:c>
      <x:c r="Y3298" t="str">
        <x:v>Basis arsip 2025/2024</x:v>
      </x:c>
      <x:c r="Z3298" t="str">
        <x:v>https://snpmb.id/utbk-snbt/daya-tampung-snbt</x:v>
      </x:c>
      <x:c r="AA3298" t="str">
        <x:v>Tidak Ada</x:v>
      </x:c>
      <x:c r="AB3298" t="str">
        <x:v>Campus=55; Ratio=17.2; Prodi=40; RelDemand=45.3; Capacity=54.2</x:v>
      </x:c>
    </x:row>
    <x:row r="3299">
      <x:c r="A3299" t="n">
        <x:v>3296</x:v>
      </x:c>
      <x:c r="B3299" t="str">
        <x:v>PTN Akademik</x:v>
      </x:c>
      <x:c r="C3299" t="str">
        <x:v>UNIVERSITAS SAM RATULANGI</x:v>
      </x:c>
      <x:c r="D3299" t="str">
        <x:v>ILMU POLITIK</x:v>
      </x:c>
      <x:c r="E3299" t="str">
        <x:v>Sarjana</x:v>
      </x:c>
      <x:c r="F3299" s="18" t="n">
        <x:v>38</x:v>
      </x:c>
      <x:c r="G3299" s="18" t="n">
        <x:v>56</x:v>
      </x:c>
      <x:c r="H3299" s="19" t="n">
        <x:v>1.4736842105263157</x:v>
      </x:c>
      <x:c r="I3299" s="18" t="n">
        <x:f>ROUND(MIN(Model_Config_v3!$B$6,MAX(Q3299,R3299,S3299*Model_Config_v3!$B$4+T3299*Model_Config_v3!$B$5)),0)</x:f>
        <x:v>610</x:v>
      </x:c>
      <x:c r="J3299" s="18" t="n">
        <x:f>MIN(Model_Config_v3!$B$6,I3299+Model_Config_v3!$B$7)</x:f>
        <x:v>630</x:v>
      </x:c>
      <x:c r="K3299" s="20" t="n">
        <x:v>40</x:v>
      </x:c>
      <x:c r="L3299" t="str">
        <x:v>RELATIF LONGGAR</x:v>
      </x:c>
      <x:c r="M3299" t="str">
        <x:v>SEDANG</x:v>
      </x:c>
      <x:c r="N3299" t="str">
        <x:v>REGULER</x:v>
      </x:c>
      <x:c r="O3299" t="str">
        <x:v>SOSHUM</x:v>
      </x:c>
      <x:c r="P3299" t="str">
        <x:v>UMUM</x:v>
      </x:c>
      <x:c r="Q3299" s="18" t="n">
        <x:v>0</x:v>
      </x:c>
      <x:c r="R3299" s="18" t="n">
        <x:v>0</x:v>
      </x:c>
      <x:c r="S3299" s="18" t="n">
        <x:v>538.5244873428329</x:v>
      </x:c>
      <x:c r="T3299" s="18" t="n">
        <x:v>640</x:v>
      </x:c>
      <x:c r="U3299" s="18" t="n">
        <x:v>538.5244873428329</x:v>
      </x:c>
      <x:c r="V3299" s="20" t="n">
        <x:v>4.4</x:v>
      </x:c>
      <x:c r="W3299" s="20" t="n">
        <x:v>14.3</x:v>
      </x:c>
      <x:c r="X3299" s="20" t="n">
        <x:v>3.3</x:v>
      </x:c>
      <x:c r="Y3299" t="str">
        <x:v>Basis arsip 2025/2024</x:v>
      </x:c>
      <x:c r="Z3299" t="str">
        <x:v>https://snpmb.id/utbk-snbt/daya-tampung-snbt</x:v>
      </x:c>
      <x:c r="AA3299" t="str">
        <x:v>Tidak Ada</x:v>
      </x:c>
      <x:c r="AB3299" t="str">
        <x:v>Campus=55; Ratio=9.9; Prodi=40; RelDemand=34.0; Capacity=68.3</x:v>
      </x:c>
    </x:row>
    <x:row r="3300">
      <x:c r="A3300" t="n">
        <x:v>3297</x:v>
      </x:c>
      <x:c r="B3300" t="str">
        <x:v>PTN Akademik</x:v>
      </x:c>
      <x:c r="C3300" t="str">
        <x:v>UNIVERSITAS SAM RATULANGI</x:v>
      </x:c>
      <x:c r="D3300" t="str">
        <x:v>SOSIOLOGI</x:v>
      </x:c>
      <x:c r="E3300" t="str">
        <x:v>Sarjana</x:v>
      </x:c>
      <x:c r="F3300" s="18" t="n">
        <x:v>38</x:v>
      </x:c>
      <x:c r="G3300" s="18" t="n">
        <x:v>16</x:v>
      </x:c>
      <x:c r="H3300" s="19" t="n">
        <x:v>0.42105263157894735</x:v>
      </x:c>
      <x:c r="I3300" s="18" t="n">
        <x:f>ROUND(MIN(Model_Config_v3!$B$6,MAX(Q3300,R3300,S3300*Model_Config_v3!$B$4+T3300*Model_Config_v3!$B$5)),0)</x:f>
        <x:v>597</x:v>
      </x:c>
      <x:c r="J3300" s="18" t="n">
        <x:f>MIN(Model_Config_v3!$B$6,I3300+Model_Config_v3!$B$7)</x:f>
        <x:v>617</x:v>
      </x:c>
      <x:c r="K3300" s="20" t="n">
        <x:v>35.1</x:v>
      </x:c>
      <x:c r="L3300" t="str">
        <x:v>RELATIF LONGGAR</x:v>
      </x:c>
      <x:c r="M3300" t="str">
        <x:v>SEDANG</x:v>
      </x:c>
      <x:c r="N3300" t="str">
        <x:v>REGULER</x:v>
      </x:c>
      <x:c r="O3300" t="str">
        <x:v>SOSHUM</x:v>
      </x:c>
      <x:c r="P3300" t="str">
        <x:v>UMUM</x:v>
      </x:c>
      <x:c r="Q3300" s="18" t="n">
        <x:v>0</x:v>
      </x:c>
      <x:c r="R3300" s="18" t="n">
        <x:v>0</x:v>
      </x:c>
      <x:c r="S3300" s="18" t="n">
        <x:v>520</x:v>
      </x:c>
      <x:c r="T3300" s="18" t="n">
        <x:v>630</x:v>
      </x:c>
      <x:c r="U3300" s="18" t="n">
        <x:v>520</x:v>
      </x:c>
      <x:c r="V3300" s="20" t="n">
        <x:v>4.4</x:v>
      </x:c>
      <x:c r="W3300" s="20" t="n">
        <x:v>14.3</x:v>
      </x:c>
      <x:c r="X3300" s="20" t="n">
        <x:v>3.3</x:v>
      </x:c>
      <x:c r="Y3300" t="str">
        <x:v>Basis arsip 2025/2024</x:v>
      </x:c>
      <x:c r="Z3300" t="str">
        <x:v>https://snpmb.id/utbk-snbt/daya-tampung-snbt</x:v>
      </x:c>
      <x:c r="AA3300" t="str">
        <x:v>Tidak Ada</x:v>
      </x:c>
      <x:c r="AB3300" t="str">
        <x:v>Campus=55; Ratio=0.0; Prodi=40; RelDemand=9.7; Capacity=68.3</x:v>
      </x:c>
    </x:row>
    <x:row r="3301">
      <x:c r="A3301" t="n">
        <x:v>3298</x:v>
      </x:c>
      <x:c r="B3301" t="str">
        <x:v>PTN Akademik</x:v>
      </x:c>
      <x:c r="C3301" t="str">
        <x:v>UNIVERSITAS SAM RATULANGI</x:v>
      </x:c>
      <x:c r="D3301" t="str">
        <x:v>ILMU KOMUNIKASI</x:v>
      </x:c>
      <x:c r="E3301" t="str">
        <x:v>Sarjana</x:v>
      </x:c>
      <x:c r="F3301" s="18" t="n">
        <x:v>55</x:v>
      </x:c>
      <x:c r="G3301" s="18" t="n">
        <x:v>181</x:v>
      </x:c>
      <x:c r="H3301" s="19" t="n">
        <x:v>3.290909090909091</x:v>
      </x:c>
      <x:c r="I3301" s="18" t="n">
        <x:f>ROUND(MIN(Model_Config_v3!$B$6,MAX(Q3301,R3301,S3301*Model_Config_v3!$B$4+T3301*Model_Config_v3!$B$5)),0)</x:f>
        <x:v>632</x:v>
      </x:c>
      <x:c r="J3301" s="18" t="n">
        <x:f>MIN(Model_Config_v3!$B$6,I3301+Model_Config_v3!$B$7)</x:f>
        <x:v>652</x:v>
      </x:c>
      <x:c r="K3301" s="20" t="n">
        <x:v>47.9</x:v>
      </x:c>
      <x:c r="L3301" t="str">
        <x:v>MENENGAH</x:v>
      </x:c>
      <x:c r="M3301" t="str">
        <x:v>SEDANG</x:v>
      </x:c>
      <x:c r="N3301" t="str">
        <x:v>REGULER</x:v>
      </x:c>
      <x:c r="O3301" t="str">
        <x:v>SOSHUM</x:v>
      </x:c>
      <x:c r="P3301" t="str">
        <x:v>UMUM</x:v>
      </x:c>
      <x:c r="Q3301" s="18" t="n">
        <x:v>0</x:v>
      </x:c>
      <x:c r="R3301" s="18" t="n">
        <x:v>0</x:v>
      </x:c>
      <x:c r="S3301" s="18" t="n">
        <x:v>576.9047473912435</x:v>
      </x:c>
      <x:c r="T3301" s="18" t="n">
        <x:v>656</x:v>
      </x:c>
      <x:c r="U3301" s="18" t="n">
        <x:v>576.9047473912435</x:v>
      </x:c>
      <x:c r="V3301" s="20" t="n">
        <x:v>4.4</x:v>
      </x:c>
      <x:c r="W3301" s="20" t="n">
        <x:v>14.3</x:v>
      </x:c>
      <x:c r="X3301" s="20" t="n">
        <x:v>3.3</x:v>
      </x:c>
      <x:c r="Y3301" t="str">
        <x:v>Basis arsip 2025/2024</x:v>
      </x:c>
      <x:c r="Z3301" t="str">
        <x:v>https://snpmb.id/utbk-snbt/daya-tampung-snbt</x:v>
      </x:c>
      <x:c r="AA3301" t="str">
        <x:v>Tidak Ada</x:v>
      </x:c>
      <x:c r="AB3301" t="str">
        <x:v>Campus=55; Ratio=30.4; Prodi=40; RelDemand=76.0; Capacity=54.2</x:v>
      </x:c>
    </x:row>
    <x:row r="3302">
      <x:c r="A3302" t="n">
        <x:v>3299</x:v>
      </x:c>
      <x:c r="B3302" t="str">
        <x:v>PTN Akademik</x:v>
      </x:c>
      <x:c r="C3302" t="str">
        <x:v>UNIVERSITAS SAM RATULANGI</x:v>
      </x:c>
      <x:c r="D3302" t="str">
        <x:v>ILMU PERPUSTAKAAN</x:v>
      </x:c>
      <x:c r="E3302" t="str">
        <x:v>Sarjana</x:v>
      </x:c>
      <x:c r="F3302" s="18" t="n">
        <x:v>25</x:v>
      </x:c>
      <x:c r="G3302" s="18" t="n">
        <x:v>11</x:v>
      </x:c>
      <x:c r="H3302" s="19" t="n">
        <x:v>0.44</x:v>
      </x:c>
      <x:c r="I3302" s="18" t="n">
        <x:f>ROUND(MIN(Model_Config_v3!$B$6,MAX(Q3302,R3302,S3302*Model_Config_v3!$B$4+T3302*Model_Config_v3!$B$5)),0)</x:f>
        <x:v>598</x:v>
      </x:c>
      <x:c r="J3302" s="18" t="n">
        <x:f>MIN(Model_Config_v3!$B$6,I3302+Model_Config_v3!$B$7)</x:f>
        <x:v>618</x:v>
      </x:c>
      <x:c r="K3302" s="20" t="n">
        <x:v>36.2</x:v>
      </x:c>
      <x:c r="L3302" t="str">
        <x:v>RELATIF LONGGAR</x:v>
      </x:c>
      <x:c r="M3302" t="str">
        <x:v>SEDANG</x:v>
      </x:c>
      <x:c r="N3302" t="str">
        <x:v>REGULER</x:v>
      </x:c>
      <x:c r="O3302" t="str">
        <x:v>CAMPURAN</x:v>
      </x:c>
      <x:c r="P3302" t="str">
        <x:v>UMUM</x:v>
      </x:c>
      <x:c r="Q3302" s="18" t="n">
        <x:v>0</x:v>
      </x:c>
      <x:c r="R3302" s="18" t="n">
        <x:v>0</x:v>
      </x:c>
      <x:c r="S3302" s="18" t="n">
        <x:v>520</x:v>
      </x:c>
      <x:c r="T3302" s="18" t="n">
        <x:v>632</x:v>
      </x:c>
      <x:c r="U3302" s="18" t="n">
        <x:v>520</x:v>
      </x:c>
      <x:c r="V3302" s="20" t="n">
        <x:v>8.8</x:v>
      </x:c>
      <x:c r="W3302" s="20" t="n">
        <x:v>9.9</x:v>
      </x:c>
      <x:c r="X3302" s="20" t="n">
        <x:v>3.3</x:v>
      </x:c>
      <x:c r="Y3302" t="str">
        <x:v>Basis arsip 2025/2024</x:v>
      </x:c>
      <x:c r="Z3302" t="str">
        <x:v>https://snpmb.id/utbk-snbt/daya-tampung-snbt</x:v>
      </x:c>
      <x:c r="AA3302" t="str">
        <x:v>Tidak Ada</x:v>
      </x:c>
      <x:c r="AB3302" t="str">
        <x:v>Campus=55; Ratio=0.0; Prodi=40; RelDemand=10.2; Capacity=79.2</x:v>
      </x:c>
    </x:row>
    <x:row r="3303">
      <x:c r="A3303" t="n">
        <x:v>3300</x:v>
      </x:c>
      <x:c r="B3303" t="str">
        <x:v>PTN Akademik</x:v>
      </x:c>
      <x:c r="C3303" t="str">
        <x:v>UNIVERSITAS SAM RATULANGI</x:v>
      </x:c>
      <x:c r="D3303" t="str">
        <x:v>ILMU HUKUM</x:v>
      </x:c>
      <x:c r="E3303" t="str">
        <x:v>Sarjana</x:v>
      </x:c>
      <x:c r="F3303" s="18" t="n">
        <x:v>413</x:v>
      </x:c>
      <x:c r="G3303" s="18" t="n">
        <x:v>579</x:v>
      </x:c>
      <x:c r="H3303" s="19" t="n">
        <x:v>1.4019370460048426</x:v>
      </x:c>
      <x:c r="I3303" s="18" t="n">
        <x:f>ROUND(MIN(Model_Config_v3!$B$6,MAX(Q3303,R3303,S3303*Model_Config_v3!$B$4+T3303*Model_Config_v3!$B$5)),0)</x:f>
        <x:v>605</x:v>
      </x:c>
      <x:c r="J3303" s="18" t="n">
        <x:f>MIN(Model_Config_v3!$B$6,I3303+Model_Config_v3!$B$7)</x:f>
        <x:v>625</x:v>
      </x:c>
      <x:c r="K3303" s="20" t="n">
        <x:v>37.6</x:v>
      </x:c>
      <x:c r="L3303" t="str">
        <x:v>RELATIF LONGGAR</x:v>
      </x:c>
      <x:c r="M3303" t="str">
        <x:v>SEDANG+</x:v>
      </x:c>
      <x:c r="N3303" t="str">
        <x:v>REGULER</x:v>
      </x:c>
      <x:c r="O3303" t="str">
        <x:v>SOSHUM</x:v>
      </x:c>
      <x:c r="P3303" t="str">
        <x:v>HUKUM</x:v>
      </x:c>
      <x:c r="Q3303" s="18" t="n">
        <x:v>0</x:v>
      </x:c>
      <x:c r="R3303" s="18" t="n">
        <x:v>0</x:v>
      </x:c>
      <x:c r="S3303" s="18" t="n">
        <x:v>536.1401363278138</x:v>
      </x:c>
      <x:c r="T3303" s="18" t="n">
        <x:v>635</x:v>
      </x:c>
      <x:c r="U3303" s="18" t="n">
        <x:v>551.1401363278138</x:v>
      </x:c>
      <x:c r="V3303" s="20" t="n">
        <x:v>4.4</x:v>
      </x:c>
      <x:c r="W3303" s="20" t="n">
        <x:v>14.3</x:v>
      </x:c>
      <x:c r="X3303" s="20" t="n">
        <x:v>3.3</x:v>
      </x:c>
      <x:c r="Y3303" t="str">
        <x:v>Basis arsip 2025/2024</x:v>
      </x:c>
      <x:c r="Z3303" t="str">
        <x:v>https://snpmb.id/utbk-snbt/daya-tampung-snbt</x:v>
      </x:c>
      <x:c r="AA3303" t="str">
        <x:v>Tidak Ada</x:v>
      </x:c>
      <x:c r="AB3303" t="str">
        <x:v>Campus=55; Ratio=8.6; Prodi=65; RelDemand=32.4; Capacity=0.0</x:v>
      </x:c>
    </x:row>
    <x:row r="3304">
      <x:c r="A3304" t="n">
        <x:v>3301</x:v>
      </x:c>
      <x:c r="B3304" t="str">
        <x:v>PTN Akademik</x:v>
      </x:c>
      <x:c r="C3304" t="str">
        <x:v>UNIVERSITAS SAM RATULANGI</x:v>
      </x:c>
      <x:c r="D3304" t="str">
        <x:v>SASTRA INDONESIA</x:v>
      </x:c>
      <x:c r="E3304" t="str">
        <x:v>Sarjana</x:v>
      </x:c>
      <x:c r="F3304" s="18" t="n">
        <x:v>30</x:v>
      </x:c>
      <x:c r="G3304" s="18" t="n">
        <x:v>14</x:v>
      </x:c>
      <x:c r="H3304" s="19" t="n">
        <x:v>0.4666666666666667</x:v>
      </x:c>
      <x:c r="I3304" s="18" t="n">
        <x:f>ROUND(MIN(Model_Config_v3!$B$6,MAX(Q3304,R3304,S3304*Model_Config_v3!$B$4+T3304*Model_Config_v3!$B$5)),0)</x:f>
        <x:v>598</x:v>
      </x:c>
      <x:c r="J3304" s="18" t="n">
        <x:f>MIN(Model_Config_v3!$B$6,I3304+Model_Config_v3!$B$7)</x:f>
        <x:v>618</x:v>
      </x:c>
      <x:c r="K3304" s="20" t="n">
        <x:v>35.8</x:v>
      </x:c>
      <x:c r="L3304" t="str">
        <x:v>RELATIF LONGGAR</x:v>
      </x:c>
      <x:c r="M3304" t="str">
        <x:v>SEDANG</x:v>
      </x:c>
      <x:c r="N3304" t="str">
        <x:v>REGULER</x:v>
      </x:c>
      <x:c r="O3304" t="str">
        <x:v>SOSHUM</x:v>
      </x:c>
      <x:c r="P3304" t="str">
        <x:v>UMUM</x:v>
      </x:c>
      <x:c r="Q3304" s="18" t="n">
        <x:v>0</x:v>
      </x:c>
      <x:c r="R3304" s="18" t="n">
        <x:v>0</x:v>
      </x:c>
      <x:c r="S3304" s="18" t="n">
        <x:v>520</x:v>
      </x:c>
      <x:c r="T3304" s="18" t="n">
        <x:v>632</x:v>
      </x:c>
      <x:c r="U3304" s="18" t="n">
        <x:v>520</x:v>
      </x:c>
      <x:c r="V3304" s="20" t="n">
        <x:v>4.4</x:v>
      </x:c>
      <x:c r="W3304" s="20" t="n">
        <x:v>14.3</x:v>
      </x:c>
      <x:c r="X3304" s="20" t="n">
        <x:v>3.3</x:v>
      </x:c>
      <x:c r="Y3304" t="str">
        <x:v>Basis arsip 2025/2024</x:v>
      </x:c>
      <x:c r="Z3304" t="str">
        <x:v>https://snpmb.id/utbk-snbt/daya-tampung-snbt</x:v>
      </x:c>
      <x:c r="AA3304" t="str">
        <x:v>Tidak Ada</x:v>
      </x:c>
      <x:c r="AB3304" t="str">
        <x:v>Campus=55; Ratio=0.0; Prodi=40; RelDemand=10.8; Capacity=75.0</x:v>
      </x:c>
    </x:row>
    <x:row r="3305">
      <x:c r="A3305" t="n">
        <x:v>3302</x:v>
      </x:c>
      <x:c r="B3305" t="str">
        <x:v>PTN Akademik</x:v>
      </x:c>
      <x:c r="C3305" t="str">
        <x:v>UNIVERSITAS SAM RATULANGI</x:v>
      </x:c>
      <x:c r="D3305" t="str">
        <x:v>SASTRA INGGRIS</x:v>
      </x:c>
      <x:c r="E3305" t="str">
        <x:v>Sarjana</x:v>
      </x:c>
      <x:c r="F3305" s="18" t="n">
        <x:v>60</x:v>
      </x:c>
      <x:c r="G3305" s="18" t="n">
        <x:v>76</x:v>
      </x:c>
      <x:c r="H3305" s="19" t="n">
        <x:v>1.2666666666666666</x:v>
      </x:c>
      <x:c r="I3305" s="18" t="n">
        <x:f>ROUND(MIN(Model_Config_v3!$B$6,MAX(Q3305,R3305,S3305*Model_Config_v3!$B$4+T3305*Model_Config_v3!$B$5)),0)</x:f>
        <x:v>602</x:v>
      </x:c>
      <x:c r="J3305" s="18" t="n">
        <x:f>MIN(Model_Config_v3!$B$6,I3305+Model_Config_v3!$B$7)</x:f>
        <x:v>622</x:v>
      </x:c>
      <x:c r="K3305" s="20" t="n">
        <x:v>36.7</x:v>
      </x:c>
      <x:c r="L3305" t="str">
        <x:v>RELATIF LONGGAR</x:v>
      </x:c>
      <x:c r="M3305" t="str">
        <x:v>SEDANG</x:v>
      </x:c>
      <x:c r="N3305" t="str">
        <x:v>REGULER</x:v>
      </x:c>
      <x:c r="O3305" t="str">
        <x:v>SOSHUM</x:v>
      </x:c>
      <x:c r="P3305" t="str">
        <x:v>UMUM</x:v>
      </x:c>
      <x:c r="Q3305" s="18" t="n">
        <x:v>0</x:v>
      </x:c>
      <x:c r="R3305" s="18" t="n">
        <x:v>0</x:v>
      </x:c>
      <x:c r="S3305" s="18" t="n">
        <x:v>531.2928576086863</x:v>
      </x:c>
      <x:c r="T3305" s="18" t="n">
        <x:v>633</x:v>
      </x:c>
      <x:c r="U3305" s="18" t="n">
        <x:v>531.2928576086863</x:v>
      </x:c>
      <x:c r="V3305" s="20" t="n">
        <x:v>4.4</x:v>
      </x:c>
      <x:c r="W3305" s="20" t="n">
        <x:v>14.3</x:v>
      </x:c>
      <x:c r="X3305" s="20" t="n">
        <x:v>3.3</x:v>
      </x:c>
      <x:c r="Y3305" t="str">
        <x:v>Basis arsip 2025/2024</x:v>
      </x:c>
      <x:c r="Z3305" t="str">
        <x:v>https://snpmb.id/utbk-snbt/daya-tampung-snbt</x:v>
      </x:c>
      <x:c r="AA3305" t="str">
        <x:v>Tidak Ada</x:v>
      </x:c>
      <x:c r="AB3305" t="str">
        <x:v>Campus=55; Ratio=6.0; Prodi=40; RelDemand=29.2; Capacity=50.0</x:v>
      </x:c>
    </x:row>
    <x:row r="3306">
      <x:c r="A3306" t="n">
        <x:v>3303</x:v>
      </x:c>
      <x:c r="B3306" t="str">
        <x:v>PTN Akademik</x:v>
      </x:c>
      <x:c r="C3306" t="str">
        <x:v>UNIVERSITAS SAM RATULANGI</x:v>
      </x:c>
      <x:c r="D3306" t="str">
        <x:v>SASTRA JERMAN</x:v>
      </x:c>
      <x:c r="E3306" t="str">
        <x:v>Sarjana</x:v>
      </x:c>
      <x:c r="F3306" s="18" t="n">
        <x:v>23</x:v>
      </x:c>
      <x:c r="G3306" s="18" t="n">
        <x:v>2</x:v>
      </x:c>
      <x:c r="H3306" s="19" t="n">
        <x:v>0.08695652173913043</x:v>
      </x:c>
      <x:c r="I3306" s="18" t="n">
        <x:f>ROUND(MIN(Model_Config_v3!$B$6,MAX(Q3306,R3306,S3306*Model_Config_v3!$B$4+T3306*Model_Config_v3!$B$5)),0)</x:f>
        <x:v>598</x:v>
      </x:c>
      <x:c r="J3306" s="18" t="n">
        <x:f>MIN(Model_Config_v3!$B$6,I3306+Model_Config_v3!$B$7)</x:f>
        <x:v>618</x:v>
      </x:c>
      <x:c r="K3306" s="20" t="n">
        <x:v>35.5</x:v>
      </x:c>
      <x:c r="L3306" t="str">
        <x:v>RELATIF LONGGAR</x:v>
      </x:c>
      <x:c r="M3306" t="str">
        <x:v>SEDANG</x:v>
      </x:c>
      <x:c r="N3306" t="str">
        <x:v>REGULER</x:v>
      </x:c>
      <x:c r="O3306" t="str">
        <x:v>SOSHUM</x:v>
      </x:c>
      <x:c r="P3306" t="str">
        <x:v>UMUM</x:v>
      </x:c>
      <x:c r="Q3306" s="18" t="n">
        <x:v>0</x:v>
      </x:c>
      <x:c r="R3306" s="18" t="n">
        <x:v>0</x:v>
      </x:c>
      <x:c r="S3306" s="18" t="n">
        <x:v>520</x:v>
      </x:c>
      <x:c r="T3306" s="18" t="n">
        <x:v>631</x:v>
      </x:c>
      <x:c r="U3306" s="18" t="n">
        <x:v>520</x:v>
      </x:c>
      <x:c r="V3306" s="20" t="n">
        <x:v>4.4</x:v>
      </x:c>
      <x:c r="W3306" s="20" t="n">
        <x:v>14.3</x:v>
      </x:c>
      <x:c r="X3306" s="20" t="n">
        <x:v>3.3</x:v>
      </x:c>
      <x:c r="Y3306" t="str">
        <x:v>Basis arsip 2025/2024</x:v>
      </x:c>
      <x:c r="Z3306" t="str">
        <x:v>https://snpmb.id/utbk-snbt/daya-tampung-snbt</x:v>
      </x:c>
      <x:c r="AA3306" t="str">
        <x:v>Tidak Ada</x:v>
      </x:c>
      <x:c r="AB3306" t="str">
        <x:v>Campus=55; Ratio=0.0; Prodi=40; RelDemand=2.0; Capacity=80.8</x:v>
      </x:c>
    </x:row>
    <x:row r="3307">
      <x:c r="A3307" t="n">
        <x:v>3304</x:v>
      </x:c>
      <x:c r="B3307" t="str">
        <x:v>PTN Akademik</x:v>
      </x:c>
      <x:c r="C3307" t="str">
        <x:v>UNIVERSITAS SAM RATULANGI</x:v>
      </x:c>
      <x:c r="D3307" t="str">
        <x:v>ILMU SEJARAH</x:v>
      </x:c>
      <x:c r="E3307" t="str">
        <x:v>Sarjana</x:v>
      </x:c>
      <x:c r="F3307" s="18" t="n">
        <x:v>25</x:v>
      </x:c>
      <x:c r="G3307" s="18" t="n">
        <x:v>6</x:v>
      </x:c>
      <x:c r="H3307" s="19" t="n">
        <x:v>0.24</x:v>
      </x:c>
      <x:c r="I3307" s="18" t="n">
        <x:f>ROUND(MIN(Model_Config_v3!$B$6,MAX(Q3307,R3307,S3307*Model_Config_v3!$B$4+T3307*Model_Config_v3!$B$5)),0)</x:f>
        <x:v>598</x:v>
      </x:c>
      <x:c r="J3307" s="18" t="n">
        <x:f>MIN(Model_Config_v3!$B$6,I3307+Model_Config_v3!$B$7)</x:f>
        <x:v>618</x:v>
      </x:c>
      <x:c r="K3307" s="20" t="n">
        <x:v>35.7</x:v>
      </x:c>
      <x:c r="L3307" t="str">
        <x:v>RELATIF LONGGAR</x:v>
      </x:c>
      <x:c r="M3307" t="str">
        <x:v>SEDANG</x:v>
      </x:c>
      <x:c r="N3307" t="str">
        <x:v>REGULER</x:v>
      </x:c>
      <x:c r="O3307" t="str">
        <x:v>SOSHUM</x:v>
      </x:c>
      <x:c r="P3307" t="str">
        <x:v>UMUM</x:v>
      </x:c>
      <x:c r="Q3307" s="18" t="n">
        <x:v>0</x:v>
      </x:c>
      <x:c r="R3307" s="18" t="n">
        <x:v>0</x:v>
      </x:c>
      <x:c r="S3307" s="18" t="n">
        <x:v>520</x:v>
      </x:c>
      <x:c r="T3307" s="18" t="n">
        <x:v>631</x:v>
      </x:c>
      <x:c r="U3307" s="18" t="n">
        <x:v>520</x:v>
      </x:c>
      <x:c r="V3307" s="20" t="n">
        <x:v>4.4</x:v>
      </x:c>
      <x:c r="W3307" s="20" t="n">
        <x:v>14.3</x:v>
      </x:c>
      <x:c r="X3307" s="20" t="n">
        <x:v>3.3</x:v>
      </x:c>
      <x:c r="Y3307" t="str">
        <x:v>Basis arsip 2025/2024</x:v>
      </x:c>
      <x:c r="Z3307" t="str">
        <x:v>https://snpmb.id/utbk-snbt/daya-tampung-snbt</x:v>
      </x:c>
      <x:c r="AA3307" t="str">
        <x:v>Tidak Ada</x:v>
      </x:c>
      <x:c r="AB3307" t="str">
        <x:v>Campus=55; Ratio=0.0; Prodi=40; RelDemand=5.5; Capacity=79.2</x:v>
      </x:c>
    </x:row>
    <x:row r="3308">
      <x:c r="A3308" t="n">
        <x:v>3305</x:v>
      </x:c>
      <x:c r="B3308" t="str">
        <x:v>PTN Akademik</x:v>
      </x:c>
      <x:c r="C3308" t="str">
        <x:v>UNIVERSITAS SAM RATULANGI</x:v>
      </x:c>
      <x:c r="D3308" t="str">
        <x:v>ANTROPOLOGI SOSIAL</x:v>
      </x:c>
      <x:c r="E3308" t="str">
        <x:v>Sarjana</x:v>
      </x:c>
      <x:c r="F3308" s="18" t="n">
        <x:v>25</x:v>
      </x:c>
      <x:c r="G3308" s="18" t="n">
        <x:v>12</x:v>
      </x:c>
      <x:c r="H3308" s="19" t="n">
        <x:v>0.48</x:v>
      </x:c>
      <x:c r="I3308" s="18" t="n">
        <x:f>ROUND(MIN(Model_Config_v3!$B$6,MAX(Q3308,R3308,S3308*Model_Config_v3!$B$4+T3308*Model_Config_v3!$B$5)),0)</x:f>
        <x:v>599</x:v>
      </x:c>
      <x:c r="J3308" s="18" t="n">
        <x:f>MIN(Model_Config_v3!$B$6,I3308+Model_Config_v3!$B$7)</x:f>
        <x:v>619</x:v>
      </x:c>
      <x:c r="K3308" s="20" t="n">
        <x:v>36.3</x:v>
      </x:c>
      <x:c r="L3308" t="str">
        <x:v>RELATIF LONGGAR</x:v>
      </x:c>
      <x:c r="M3308" t="str">
        <x:v>SEDANG</x:v>
      </x:c>
      <x:c r="N3308" t="str">
        <x:v>REGULER</x:v>
      </x:c>
      <x:c r="O3308" t="str">
        <x:v>SOSHUM</x:v>
      </x:c>
      <x:c r="P3308" t="str">
        <x:v>UMUM</x:v>
      </x:c>
      <x:c r="Q3308" s="18" t="n">
        <x:v>0</x:v>
      </x:c>
      <x:c r="R3308" s="18" t="n">
        <x:v>0</x:v>
      </x:c>
      <x:c r="S3308" s="18" t="n">
        <x:v>520</x:v>
      </x:c>
      <x:c r="T3308" s="18" t="n">
        <x:v>633</x:v>
      </x:c>
      <x:c r="U3308" s="18" t="n">
        <x:v>520</x:v>
      </x:c>
      <x:c r="V3308" s="20" t="n">
        <x:v>4.4</x:v>
      </x:c>
      <x:c r="W3308" s="20" t="n">
        <x:v>14.3</x:v>
      </x:c>
      <x:c r="X3308" s="20" t="n">
        <x:v>3.3</x:v>
      </x:c>
      <x:c r="Y3308" t="str">
        <x:v>Basis arsip 2025/2024</x:v>
      </x:c>
      <x:c r="Z3308" t="str">
        <x:v>https://snpmb.id/utbk-snbt/daya-tampung-snbt</x:v>
      </x:c>
      <x:c r="AA3308" t="str">
        <x:v>Tidak Ada</x:v>
      </x:c>
      <x:c r="AB3308" t="str">
        <x:v>Campus=55; Ratio=0.0; Prodi=40; RelDemand=11.1; Capacity=79.2</x:v>
      </x:c>
    </x:row>
    <x:row r="3309">
      <x:c r="A3309" t="n">
        <x:v>3306</x:v>
      </x:c>
      <x:c r="B3309" t="str">
        <x:v>PTN Akademik</x:v>
      </x:c>
      <x:c r="C3309" t="str">
        <x:v>UNIVERSITAS SAM RATULANGI</x:v>
      </x:c>
      <x:c r="D3309" t="str">
        <x:v>TEKNIK INDUSTRI</x:v>
      </x:c>
      <x:c r="E3309" t="str">
        <x:v>Sarjana</x:v>
      </x:c>
      <x:c r="F3309" s="18" t="n">
        <x:v>25</x:v>
      </x:c>
      <x:c r="G3309" s="18"/>
      <x:c r="H3309" s="19" t="n">
        <x:v>0</x:v>
      </x:c>
      <x:c r="I3309" s="18" t="n">
        <x:f>ROUND(MIN(Model_Config_v3!$B$6,MAX(Q3309,R3309,S3309*Model_Config_v3!$B$4+T3309*Model_Config_v3!$B$5)),0)</x:f>
        <x:v>603</x:v>
      </x:c>
      <x:c r="J3309" s="18" t="n">
        <x:f>MIN(Model_Config_v3!$B$6,I3309+Model_Config_v3!$B$7)</x:f>
        <x:v>623</x:v>
      </x:c>
      <x:c r="K3309" s="20" t="n">
        <x:v>39.2</x:v>
      </x:c>
      <x:c r="L3309" t="str">
        <x:v>RELATIF LONGGAR</x:v>
      </x:c>
      <x:c r="M3309" t="str">
        <x:v>RENDAH</x:v>
      </x:c>
      <x:c r="N3309" t="str">
        <x:v>REGULER</x:v>
      </x:c>
      <x:c r="O3309" t="str">
        <x:v>SAINTEK</x:v>
      </x:c>
      <x:c r="P3309" t="str">
        <x:v>TEKNIK/ARSITEKTUR/STATISTIKA/AKTUARIA</x:v>
      </x:c>
      <x:c r="Q3309" s="18" t="n">
        <x:v>0</x:v>
      </x:c>
      <x:c r="R3309" s="18" t="n">
        <x:v>0</x:v>
      </x:c>
      <x:c r="S3309" s="18" t="n">
        <x:v>520</x:v>
      </x:c>
      <x:c r="T3309" s="18" t="n">
        <x:v>638</x:v>
      </x:c>
      <x:c r="U3309" s="18" t="n">
        <x:v>530</x:v>
      </x:c>
      <x:c r="V3309" s="20" t="n">
        <x:v>12</x:v>
      </x:c>
      <x:c r="W3309" s="20" t="n">
        <x:v>5</x:v>
      </x:c>
      <x:c r="X3309" s="20" t="n">
        <x:v>3</x:v>
      </x:c>
      <x:c r="Y3309" t="str">
        <x:v>Basis arsip 2025/2024</x:v>
      </x:c>
      <x:c r="Z3309" t="str">
        <x:v>https://snpmb.id/utbk-snbt/daya-tampung-snbt</x:v>
      </x:c>
      <x:c r="AA3309" t="str">
        <x:v>Tidak Ada</x:v>
      </x:c>
      <x:c r="AB3309" t="str">
        <x:v>Campus=55; Ratio=0.0; Prodi=60; RelDemand=0.0; Capacity=79.2</x:v>
      </x:c>
    </x:row>
    <x:row r="3310">
      <x:c r="A3310" t="n">
        <x:v>3307</x:v>
      </x:c>
      <x:c r="B3310" t="str">
        <x:v>PTN Akademik</x:v>
      </x:c>
      <x:c r="C3310" t="str">
        <x:v>UNIVERSITAS NEGERI MANADO</x:v>
      </x:c>
      <x:c r="D3310" t="str">
        <x:v>PEND. BIOLOGI</x:v>
      </x:c>
      <x:c r="E3310" t="str">
        <x:v>Sarjana</x:v>
      </x:c>
      <x:c r="F3310" s="18" t="n">
        <x:v>20</x:v>
      </x:c>
      <x:c r="G3310" s="18" t="n">
        <x:v>14</x:v>
      </x:c>
      <x:c r="H3310" s="19" t="n">
        <x:v>0.7</x:v>
      </x:c>
      <x:c r="I3310" s="18" t="n">
        <x:f>ROUND(MIN(Model_Config_v3!$B$6,MAX(Q3310,R3310,S3310*Model_Config_v3!$B$4+T3310*Model_Config_v3!$B$5)),0)</x:f>
        <x:v>603</x:v>
      </x:c>
      <x:c r="J3310" s="18" t="n">
        <x:f>MIN(Model_Config_v3!$B$6,I3310+Model_Config_v3!$B$7)</x:f>
        <x:v>623</x:v>
      </x:c>
      <x:c r="K3310" s="20" t="n">
        <x:v>39.5</x:v>
      </x:c>
      <x:c r="L3310" t="str">
        <x:v>RELATIF LONGGAR</x:v>
      </x:c>
      <x:c r="M3310" t="str">
        <x:v>SEDANG+</x:v>
      </x:c>
      <x:c r="N3310" t="str">
        <x:v>REGULER</x:v>
      </x:c>
      <x:c r="O3310" t="str">
        <x:v>SAINTEK</x:v>
      </x:c>
      <x:c r="P3310" t="str">
        <x:v>PENDIDIKAN</x:v>
      </x:c>
      <x:c r="Q3310" s="18" t="n">
        <x:v>0</x:v>
      </x:c>
      <x:c r="R3310" s="18" t="n">
        <x:v>0</x:v>
      </x:c>
      <x:c r="S3310" s="18" t="n">
        <x:v>520</x:v>
      </x:c>
      <x:c r="T3310" s="18" t="n">
        <x:v>639</x:v>
      </x:c>
      <x:c r="U3310" s="18" t="n">
        <x:v>520</x:v>
      </x:c>
      <x:c r="V3310" s="20" t="n">
        <x:v>12</x:v>
      </x:c>
      <x:c r="W3310" s="20" t="n">
        <x:v>5</x:v>
      </x:c>
      <x:c r="X3310" s="20" t="n">
        <x:v>3</x:v>
      </x:c>
      <x:c r="Y3310" t="str">
        <x:v>Basis arsip 2025/2024</x:v>
      </x:c>
      <x:c r="Z3310" t="str">
        <x:v>https://snpmb.id/utbk-snbt/daya-tampung-snbt</x:v>
      </x:c>
      <x:c r="AA3310" t="str">
        <x:v>Tidak Ada</x:v>
      </x:c>
      <x:c r="AB3310" t="str">
        <x:v>Campus=55; Ratio=0.0; Prodi=45; RelDemand=29.6; Capacity=83.3</x:v>
      </x:c>
    </x:row>
    <x:row r="3311">
      <x:c r="A3311" t="n">
        <x:v>3308</x:v>
      </x:c>
      <x:c r="B3311" t="str">
        <x:v>PTN Akademik</x:v>
      </x:c>
      <x:c r="C3311" t="str">
        <x:v>UNIVERSITAS NEGERI MANADO</x:v>
      </x:c>
      <x:c r="D3311" t="str">
        <x:v>ILMU BIOLOGI</x:v>
      </x:c>
      <x:c r="E3311" t="str">
        <x:v>Sarjana</x:v>
      </x:c>
      <x:c r="F3311" s="18" t="n">
        <x:v>20</x:v>
      </x:c>
      <x:c r="G3311" s="18" t="n">
        <x:v>4</x:v>
      </x:c>
      <x:c r="H3311" s="19" t="n">
        <x:v>0.2</x:v>
      </x:c>
      <x:c r="I3311" s="18" t="n">
        <x:f>ROUND(MIN(Model_Config_v3!$B$6,MAX(Q3311,R3311,S3311*Model_Config_v3!$B$4+T3311*Model_Config_v3!$B$5)),0)</x:f>
        <x:v>602</x:v>
      </x:c>
      <x:c r="J3311" s="18" t="n">
        <x:f>MIN(Model_Config_v3!$B$6,I3311+Model_Config_v3!$B$7)</x:f>
        <x:v>622</x:v>
      </x:c>
      <x:c r="K3311" s="20" t="n">
        <x:v>38.4</x:v>
      </x:c>
      <x:c r="L3311" t="str">
        <x:v>RELATIF LONGGAR</x:v>
      </x:c>
      <x:c r="M3311" t="str">
        <x:v>SEDANG+</x:v>
      </x:c>
      <x:c r="N3311" t="str">
        <x:v>REGULER</x:v>
      </x:c>
      <x:c r="O3311" t="str">
        <x:v>SAINTEK</x:v>
      </x:c>
      <x:c r="P3311" t="str">
        <x:v>SAINS DASAR</x:v>
      </x:c>
      <x:c r="Q3311" s="18" t="n">
        <x:v>0</x:v>
      </x:c>
      <x:c r="R3311" s="18" t="n">
        <x:v>0</x:v>
      </x:c>
      <x:c r="S3311" s="18" t="n">
        <x:v>520</x:v>
      </x:c>
      <x:c r="T3311" s="18" t="n">
        <x:v>637</x:v>
      </x:c>
      <x:c r="U3311" s="18" t="n">
        <x:v>520</x:v>
      </x:c>
      <x:c r="V3311" s="20" t="n">
        <x:v>12</x:v>
      </x:c>
      <x:c r="W3311" s="20" t="n">
        <x:v>5</x:v>
      </x:c>
      <x:c r="X3311" s="20" t="n">
        <x:v>3</x:v>
      </x:c>
      <x:c r="Y3311" t="str">
        <x:v>Basis arsip 2025/2024</x:v>
      </x:c>
      <x:c r="Z3311" t="str">
        <x:v>https://snpmb.id/utbk-snbt/daya-tampung-snbt</x:v>
      </x:c>
      <x:c r="AA3311" t="str">
        <x:v>Tidak Ada</x:v>
      </x:c>
      <x:c r="AB3311" t="str">
        <x:v>Campus=55; Ratio=0.0; Prodi=50; RelDemand=8.5; Capacity=83.3</x:v>
      </x:c>
    </x:row>
    <x:row r="3312">
      <x:c r="A3312" t="n">
        <x:v>3309</x:v>
      </x:c>
      <x:c r="B3312" t="str">
        <x:v>PTN Akademik</x:v>
      </x:c>
      <x:c r="C3312" t="str">
        <x:v>UNIVERSITAS NEGERI MANADO</x:v>
      </x:c>
      <x:c r="D3312" t="str">
        <x:v>PEND. KIMIA</x:v>
      </x:c>
      <x:c r="E3312" t="str">
        <x:v>Sarjana</x:v>
      </x:c>
      <x:c r="F3312" s="18" t="n">
        <x:v>24</x:v>
      </x:c>
      <x:c r="G3312" s="18" t="n">
        <x:v>4</x:v>
      </x:c>
      <x:c r="H3312" s="19" t="n">
        <x:v>0.16666666666666666</x:v>
      </x:c>
      <x:c r="I3312" s="18" t="n">
        <x:f>ROUND(MIN(Model_Config_v3!$B$6,MAX(Q3312,R3312,S3312*Model_Config_v3!$B$4+T3312*Model_Config_v3!$B$5)),0)</x:f>
        <x:v>600</x:v>
      </x:c>
      <x:c r="J3312" s="18" t="n">
        <x:f>MIN(Model_Config_v3!$B$6,I3312+Model_Config_v3!$B$7)</x:f>
        <x:v>620</x:v>
      </x:c>
      <x:c r="K3312" s="20" t="n">
        <x:v>37</x:v>
      </x:c>
      <x:c r="L3312" t="str">
        <x:v>RELATIF LONGGAR</x:v>
      </x:c>
      <x:c r="M3312" t="str">
        <x:v>SEDANG+</x:v>
      </x:c>
      <x:c r="N3312" t="str">
        <x:v>REGULER</x:v>
      </x:c>
      <x:c r="O3312" t="str">
        <x:v>SAINTEK</x:v>
      </x:c>
      <x:c r="P3312" t="str">
        <x:v>PENDIDIKAN</x:v>
      </x:c>
      <x:c r="Q3312" s="18" t="n">
        <x:v>0</x:v>
      </x:c>
      <x:c r="R3312" s="18" t="n">
        <x:v>0</x:v>
      </x:c>
      <x:c r="S3312" s="18" t="n">
        <x:v>520</x:v>
      </x:c>
      <x:c r="T3312" s="18" t="n">
        <x:v>634</x:v>
      </x:c>
      <x:c r="U3312" s="18" t="n">
        <x:v>520</x:v>
      </x:c>
      <x:c r="V3312" s="20" t="n">
        <x:v>12</x:v>
      </x:c>
      <x:c r="W3312" s="20" t="n">
        <x:v>5</x:v>
      </x:c>
      <x:c r="X3312" s="20" t="n">
        <x:v>3</x:v>
      </x:c>
      <x:c r="Y3312" t="str">
        <x:v>Basis arsip 2025/2024</x:v>
      </x:c>
      <x:c r="Z3312" t="str">
        <x:v>https://snpmb.id/utbk-snbt/daya-tampung-snbt</x:v>
      </x:c>
      <x:c r="AA3312" t="str">
        <x:v>Tidak Ada</x:v>
      </x:c>
      <x:c r="AB3312" t="str">
        <x:v>Campus=55; Ratio=0.0; Prodi=45; RelDemand=7.0; Capacity=80.0</x:v>
      </x:c>
    </x:row>
    <x:row r="3313">
      <x:c r="A3313" t="n">
        <x:v>3310</x:v>
      </x:c>
      <x:c r="B3313" t="str">
        <x:v>PTN Akademik</x:v>
      </x:c>
      <x:c r="C3313" t="str">
        <x:v>UNIVERSITAS NEGERI MANADO</x:v>
      </x:c>
      <x:c r="D3313" t="str">
        <x:v>ILMU KIMIA</x:v>
      </x:c>
      <x:c r="E3313" t="str">
        <x:v>Sarjana</x:v>
      </x:c>
      <x:c r="F3313" s="18" t="n">
        <x:v>16</x:v>
      </x:c>
      <x:c r="G3313" s="18" t="n">
        <x:v>4</x:v>
      </x:c>
      <x:c r="H3313" s="19" t="n">
        <x:v>0.25</x:v>
      </x:c>
      <x:c r="I3313" s="18" t="n">
        <x:f>ROUND(MIN(Model_Config_v3!$B$6,MAX(Q3313,R3313,S3313*Model_Config_v3!$B$4+T3313*Model_Config_v3!$B$5)),0)</x:f>
        <x:v>603</x:v>
      </x:c>
      <x:c r="J3313" s="18" t="n">
        <x:f>MIN(Model_Config_v3!$B$6,I3313+Model_Config_v3!$B$7)</x:f>
        <x:v>623</x:v>
      </x:c>
      <x:c r="K3313" s="20" t="n">
        <x:v>39</x:v>
      </x:c>
      <x:c r="L3313" t="str">
        <x:v>RELATIF LONGGAR</x:v>
      </x:c>
      <x:c r="M3313" t="str">
        <x:v>SEDANG+</x:v>
      </x:c>
      <x:c r="N3313" t="str">
        <x:v>REGULER</x:v>
      </x:c>
      <x:c r="O3313" t="str">
        <x:v>SAINTEK</x:v>
      </x:c>
      <x:c r="P3313" t="str">
        <x:v>SAINS DASAR</x:v>
      </x:c>
      <x:c r="Q3313" s="18" t="n">
        <x:v>0</x:v>
      </x:c>
      <x:c r="R3313" s="18" t="n">
        <x:v>0</x:v>
      </x:c>
      <x:c r="S3313" s="18" t="n">
        <x:v>520</x:v>
      </x:c>
      <x:c r="T3313" s="18" t="n">
        <x:v>638</x:v>
      </x:c>
      <x:c r="U3313" s="18" t="n">
        <x:v>520</x:v>
      </x:c>
      <x:c r="V3313" s="20" t="n">
        <x:v>12</x:v>
      </x:c>
      <x:c r="W3313" s="20" t="n">
        <x:v>5</x:v>
      </x:c>
      <x:c r="X3313" s="20" t="n">
        <x:v>3</x:v>
      </x:c>
      <x:c r="Y3313" t="str">
        <x:v>Basis arsip 2025/2024</x:v>
      </x:c>
      <x:c r="Z3313" t="str">
        <x:v>https://snpmb.id/utbk-snbt/daya-tampung-snbt</x:v>
      </x:c>
      <x:c r="AA3313" t="str">
        <x:v>Tidak Ada</x:v>
      </x:c>
      <x:c r="AB3313" t="str">
        <x:v>Campus=55; Ratio=0.0; Prodi=50; RelDemand=10.6; Capacity=86.7</x:v>
      </x:c>
    </x:row>
    <x:row r="3314">
      <x:c r="A3314" t="n">
        <x:v>3311</x:v>
      </x:c>
      <x:c r="B3314" t="str">
        <x:v>PTN Akademik</x:v>
      </x:c>
      <x:c r="C3314" t="str">
        <x:v>UNIVERSITAS NEGERI MANADO</x:v>
      </x:c>
      <x:c r="D3314" t="str">
        <x:v>PEND. FISIKA</x:v>
      </x:c>
      <x:c r="E3314" t="str">
        <x:v>Sarjana</x:v>
      </x:c>
      <x:c r="F3314" s="18" t="n">
        <x:v>16</x:v>
      </x:c>
      <x:c r="G3314" s="18" t="n">
        <x:v>5</x:v>
      </x:c>
      <x:c r="H3314" s="19" t="n">
        <x:v>0.3125</x:v>
      </x:c>
      <x:c r="I3314" s="18" t="n">
        <x:f>ROUND(MIN(Model_Config_v3!$B$6,MAX(Q3314,R3314,S3314*Model_Config_v3!$B$4+T3314*Model_Config_v3!$B$5)),0)</x:f>
        <x:v>601</x:v>
      </x:c>
      <x:c r="J3314" s="18" t="n">
        <x:f>MIN(Model_Config_v3!$B$6,I3314+Model_Config_v3!$B$7)</x:f>
        <x:v>621</x:v>
      </x:c>
      <x:c r="K3314" s="20" t="n">
        <x:v>38.2</x:v>
      </x:c>
      <x:c r="L3314" t="str">
        <x:v>RELATIF LONGGAR</x:v>
      </x:c>
      <x:c r="M3314" t="str">
        <x:v>SEDANG+</x:v>
      </x:c>
      <x:c r="N3314" t="str">
        <x:v>REGULER</x:v>
      </x:c>
      <x:c r="O3314" t="str">
        <x:v>SAINTEK</x:v>
      </x:c>
      <x:c r="P3314" t="str">
        <x:v>PENDIDIKAN</x:v>
      </x:c>
      <x:c r="Q3314" s="18" t="n">
        <x:v>0</x:v>
      </x:c>
      <x:c r="R3314" s="18" t="n">
        <x:v>0</x:v>
      </x:c>
      <x:c r="S3314" s="18" t="n">
        <x:v>520</x:v>
      </x:c>
      <x:c r="T3314" s="18" t="n">
        <x:v>636</x:v>
      </x:c>
      <x:c r="U3314" s="18" t="n">
        <x:v>520</x:v>
      </x:c>
      <x:c r="V3314" s="20" t="n">
        <x:v>12</x:v>
      </x:c>
      <x:c r="W3314" s="20" t="n">
        <x:v>5</x:v>
      </x:c>
      <x:c r="X3314" s="20" t="n">
        <x:v>3</x:v>
      </x:c>
      <x:c r="Y3314" t="str">
        <x:v>Basis arsip 2025/2024</x:v>
      </x:c>
      <x:c r="Z3314" t="str">
        <x:v>https://snpmb.id/utbk-snbt/daya-tampung-snbt</x:v>
      </x:c>
      <x:c r="AA3314" t="str">
        <x:v>Tidak Ada</x:v>
      </x:c>
      <x:c r="AB3314" t="str">
        <x:v>Campus=55; Ratio=0.0; Prodi=45; RelDemand=13.2; Capacity=86.7</x:v>
      </x:c>
    </x:row>
    <x:row r="3315">
      <x:c r="A3315" t="n">
        <x:v>3312</x:v>
      </x:c>
      <x:c r="B3315" t="str">
        <x:v>PTN Akademik</x:v>
      </x:c>
      <x:c r="C3315" t="str">
        <x:v>UNIVERSITAS NEGERI MANADO</x:v>
      </x:c>
      <x:c r="D3315" t="str">
        <x:v>ILMU FISIKA</x:v>
      </x:c>
      <x:c r="E3315" t="str">
        <x:v>Sarjana</x:v>
      </x:c>
      <x:c r="F3315" s="18" t="n">
        <x:v>12</x:v>
      </x:c>
      <x:c r="G3315" s="18" t="n">
        <x:v>1</x:v>
      </x:c>
      <x:c r="H3315" s="19" t="n">
        <x:v>0.08333333333333333</x:v>
      </x:c>
      <x:c r="I3315" s="18" t="n">
        <x:f>ROUND(MIN(Model_Config_v3!$B$6,MAX(Q3315,R3315,S3315*Model_Config_v3!$B$4+T3315*Model_Config_v3!$B$5)),0)</x:f>
        <x:v>602</x:v>
      </x:c>
      <x:c r="J3315" s="18" t="n">
        <x:f>MIN(Model_Config_v3!$B$6,I3315+Model_Config_v3!$B$7)</x:f>
        <x:v>622</x:v>
      </x:c>
      <x:c r="K3315" s="20" t="n">
        <x:v>38.6</x:v>
      </x:c>
      <x:c r="L3315" t="str">
        <x:v>RELATIF LONGGAR</x:v>
      </x:c>
      <x:c r="M3315" t="str">
        <x:v>SEDANG+</x:v>
      </x:c>
      <x:c r="N3315" t="str">
        <x:v>REGULER</x:v>
      </x:c>
      <x:c r="O3315" t="str">
        <x:v>SAINTEK</x:v>
      </x:c>
      <x:c r="P3315" t="str">
        <x:v>SAINS DASAR</x:v>
      </x:c>
      <x:c r="Q3315" s="18" t="n">
        <x:v>0</x:v>
      </x:c>
      <x:c r="R3315" s="18" t="n">
        <x:v>0</x:v>
      </x:c>
      <x:c r="S3315" s="18" t="n">
        <x:v>520</x:v>
      </x:c>
      <x:c r="T3315" s="18" t="n">
        <x:v>637</x:v>
      </x:c>
      <x:c r="U3315" s="18" t="n">
        <x:v>520</x:v>
      </x:c>
      <x:c r="V3315" s="20" t="n">
        <x:v>12</x:v>
      </x:c>
      <x:c r="W3315" s="20" t="n">
        <x:v>5</x:v>
      </x:c>
      <x:c r="X3315" s="20" t="n">
        <x:v>3</x:v>
      </x:c>
      <x:c r="Y3315" t="str">
        <x:v>Basis arsip 2025/2024</x:v>
      </x:c>
      <x:c r="Z3315" t="str">
        <x:v>https://snpmb.id/utbk-snbt/daya-tampung-snbt</x:v>
      </x:c>
      <x:c r="AA3315" t="str">
        <x:v>Tidak Ada</x:v>
      </x:c>
      <x:c r="AB3315" t="str">
        <x:v>Campus=55; Ratio=0.0; Prodi=50; RelDemand=3.5; Capacity=90.0</x:v>
      </x:c>
    </x:row>
    <x:row r="3316">
      <x:c r="A3316" t="n">
        <x:v>3313</x:v>
      </x:c>
      <x:c r="B3316" t="str">
        <x:v>PTN Akademik</x:v>
      </x:c>
      <x:c r="C3316" t="str">
        <x:v>UNIVERSITAS NEGERI MANADO</x:v>
      </x:c>
      <x:c r="D3316" t="str">
        <x:v>PEND. MATEMATIKA</x:v>
      </x:c>
      <x:c r="E3316" t="str">
        <x:v>Sarjana</x:v>
      </x:c>
      <x:c r="F3316" s="18" t="n">
        <x:v>48</x:v>
      </x:c>
      <x:c r="G3316" s="18" t="n">
        <x:v>13</x:v>
      </x:c>
      <x:c r="H3316" s="19" t="n">
        <x:v>0.2708333333333333</x:v>
      </x:c>
      <x:c r="I3316" s="18" t="n">
        <x:f>ROUND(MIN(Model_Config_v3!$B$6,MAX(Q3316,R3316,S3316*Model_Config_v3!$B$4+T3316*Model_Config_v3!$B$5)),0)</x:f>
        <x:v>598</x:v>
      </x:c>
      <x:c r="J3316" s="18" t="n">
        <x:f>MIN(Model_Config_v3!$B$6,I3316+Model_Config_v3!$B$7)</x:f>
        <x:v>618</x:v>
      </x:c>
      <x:c r="K3316" s="20" t="n">
        <x:v>35.4</x:v>
      </x:c>
      <x:c r="L3316" t="str">
        <x:v>RELATIF LONGGAR</x:v>
      </x:c>
      <x:c r="M3316" t="str">
        <x:v>SEDANG+</x:v>
      </x:c>
      <x:c r="N3316" t="str">
        <x:v>REGULER</x:v>
      </x:c>
      <x:c r="O3316" t="str">
        <x:v>SAINTEK</x:v>
      </x:c>
      <x:c r="P3316" t="str">
        <x:v>PENDIDIKAN</x:v>
      </x:c>
      <x:c r="Q3316" s="18" t="n">
        <x:v>0</x:v>
      </x:c>
      <x:c r="R3316" s="18" t="n">
        <x:v>0</x:v>
      </x:c>
      <x:c r="S3316" s="18" t="n">
        <x:v>520</x:v>
      </x:c>
      <x:c r="T3316" s="18" t="n">
        <x:v>631</x:v>
      </x:c>
      <x:c r="U3316" s="18" t="n">
        <x:v>520</x:v>
      </x:c>
      <x:c r="V3316" s="20" t="n">
        <x:v>12</x:v>
      </x:c>
      <x:c r="W3316" s="20" t="n">
        <x:v>5</x:v>
      </x:c>
      <x:c r="X3316" s="20" t="n">
        <x:v>3</x:v>
      </x:c>
      <x:c r="Y3316" t="str">
        <x:v>Basis arsip 2025/2024</x:v>
      </x:c>
      <x:c r="Z3316" t="str">
        <x:v>https://snpmb.id/utbk-snbt/daya-tampung-snbt</x:v>
      </x:c>
      <x:c r="AA3316" t="str">
        <x:v>Tidak Ada</x:v>
      </x:c>
      <x:c r="AB3316" t="str">
        <x:v>Campus=55; Ratio=0.0; Prodi=45; RelDemand=11.5; Capacity=60.0</x:v>
      </x:c>
    </x:row>
    <x:row r="3317">
      <x:c r="A3317" t="n">
        <x:v>3314</x:v>
      </x:c>
      <x:c r="B3317" t="str">
        <x:v>PTN Akademik</x:v>
      </x:c>
      <x:c r="C3317" t="str">
        <x:v>UNIVERSITAS NEGERI MANADO</x:v>
      </x:c>
      <x:c r="D3317" t="str">
        <x:v>PEND. TEK BANGUNAN</x:v>
      </x:c>
      <x:c r="E3317" t="str">
        <x:v>Sarjana</x:v>
      </x:c>
      <x:c r="F3317" s="18" t="n">
        <x:v>16</x:v>
      </x:c>
      <x:c r="G3317" s="18" t="n">
        <x:v>2</x:v>
      </x:c>
      <x:c r="H3317" s="19" t="n">
        <x:v>0.125</x:v>
      </x:c>
      <x:c r="I3317" s="18" t="n">
        <x:f>ROUND(MIN(Model_Config_v3!$B$6,MAX(Q3317,R3317,S3317*Model_Config_v3!$B$4+T3317*Model_Config_v3!$B$5)),0)</x:f>
        <x:v>601</x:v>
      </x:c>
      <x:c r="J3317" s="18" t="n">
        <x:f>MIN(Model_Config_v3!$B$6,I3317+Model_Config_v3!$B$7)</x:f>
        <x:v>621</x:v>
      </x:c>
      <x:c r="K3317" s="20" t="n">
        <x:v>37.4</x:v>
      </x:c>
      <x:c r="L3317" t="str">
        <x:v>RELATIF LONGGAR</x:v>
      </x:c>
      <x:c r="M3317" t="str">
        <x:v>SEDANG+</x:v>
      </x:c>
      <x:c r="N3317" t="str">
        <x:v>REGULER</x:v>
      </x:c>
      <x:c r="O3317" t="str">
        <x:v>CAMPURAN</x:v>
      </x:c>
      <x:c r="P3317" t="str">
        <x:v>PENDIDIKAN</x:v>
      </x:c>
      <x:c r="Q3317" s="18" t="n">
        <x:v>0</x:v>
      </x:c>
      <x:c r="R3317" s="18" t="n">
        <x:v>0</x:v>
      </x:c>
      <x:c r="S3317" s="18" t="n">
        <x:v>520</x:v>
      </x:c>
      <x:c r="T3317" s="18" t="n">
        <x:v>635</x:v>
      </x:c>
      <x:c r="U3317" s="18" t="n">
        <x:v>520</x:v>
      </x:c>
      <x:c r="V3317" s="20" t="n">
        <x:v>8.8</x:v>
      </x:c>
      <x:c r="W3317" s="20" t="n">
        <x:v>9.9</x:v>
      </x:c>
      <x:c r="X3317" s="20" t="n">
        <x:v>3.3</x:v>
      </x:c>
      <x:c r="Y3317" t="str">
        <x:v>Basis arsip 2025/2024</x:v>
      </x:c>
      <x:c r="Z3317" t="str">
        <x:v>https://snpmb.id/utbk-snbt/daya-tampung-snbt</x:v>
      </x:c>
      <x:c r="AA3317" t="str">
        <x:v>Tidak Ada</x:v>
      </x:c>
      <x:c r="AB3317" t="str">
        <x:v>Campus=55; Ratio=0.0; Prodi=45; RelDemand=5.3; Capacity=86.7</x:v>
      </x:c>
    </x:row>
    <x:row r="3318">
      <x:c r="A3318" t="n">
        <x:v>3315</x:v>
      </x:c>
      <x:c r="B3318" t="str">
        <x:v>PTN Akademik</x:v>
      </x:c>
      <x:c r="C3318" t="str">
        <x:v>UNIVERSITAS NEGERI MANADO</x:v>
      </x:c>
      <x:c r="D3318" t="str">
        <x:v>PEND. TEK ELEKTRO</x:v>
      </x:c>
      <x:c r="E3318" t="str">
        <x:v>Sarjana</x:v>
      </x:c>
      <x:c r="F3318" s="18" t="n">
        <x:v>16</x:v>
      </x:c>
      <x:c r="G3318" s="18" t="n">
        <x:v>7</x:v>
      </x:c>
      <x:c r="H3318" s="19" t="n">
        <x:v>0.4375</x:v>
      </x:c>
      <x:c r="I3318" s="18" t="n">
        <x:f>ROUND(MIN(Model_Config_v3!$B$6,MAX(Q3318,R3318,S3318*Model_Config_v3!$B$4+T3318*Model_Config_v3!$B$5)),0)</x:f>
        <x:v>603</x:v>
      </x:c>
      <x:c r="J3318" s="18" t="n">
        <x:f>MIN(Model_Config_v3!$B$6,I3318+Model_Config_v3!$B$7)</x:f>
        <x:v>623</x:v>
      </x:c>
      <x:c r="K3318" s="20" t="n">
        <x:v>38.8</x:v>
      </x:c>
      <x:c r="L3318" t="str">
        <x:v>RELATIF LONGGAR</x:v>
      </x:c>
      <x:c r="M3318" t="str">
        <x:v>SEDANG+</x:v>
      </x:c>
      <x:c r="N3318" t="str">
        <x:v>REGULER</x:v>
      </x:c>
      <x:c r="O3318" t="str">
        <x:v>CAMPURAN</x:v>
      </x:c>
      <x:c r="P3318" t="str">
        <x:v>PENDIDIKAN</x:v>
      </x:c>
      <x:c r="Q3318" s="18" t="n">
        <x:v>0</x:v>
      </x:c>
      <x:c r="R3318" s="18" t="n">
        <x:v>0</x:v>
      </x:c>
      <x:c r="S3318" s="18" t="n">
        <x:v>520</x:v>
      </x:c>
      <x:c r="T3318" s="18" t="n">
        <x:v>638</x:v>
      </x:c>
      <x:c r="U3318" s="18" t="n">
        <x:v>520</x:v>
      </x:c>
      <x:c r="V3318" s="20" t="n">
        <x:v>8.8</x:v>
      </x:c>
      <x:c r="W3318" s="20" t="n">
        <x:v>9.9</x:v>
      </x:c>
      <x:c r="X3318" s="20" t="n">
        <x:v>3.3</x:v>
      </x:c>
      <x:c r="Y3318" t="str">
        <x:v>Basis arsip 2025/2024</x:v>
      </x:c>
      <x:c r="Z3318" t="str">
        <x:v>https://snpmb.id/utbk-snbt/daya-tampung-snbt</x:v>
      </x:c>
      <x:c r="AA3318" t="str">
        <x:v>Tidak Ada</x:v>
      </x:c>
      <x:c r="AB3318" t="str">
        <x:v>Campus=55; Ratio=0.0; Prodi=45; RelDemand=18.5; Capacity=86.7</x:v>
      </x:c>
    </x:row>
    <x:row r="3319">
      <x:c r="A3319" t="n">
        <x:v>3316</x:v>
      </x:c>
      <x:c r="B3319" t="str">
        <x:v>PTN Akademik</x:v>
      </x:c>
      <x:c r="C3319" t="str">
        <x:v>UNIVERSITAS NEGERI MANADO</x:v>
      </x:c>
      <x:c r="D3319" t="str">
        <x:v>PEND. INF./KOM</x:v>
      </x:c>
      <x:c r="E3319" t="str">
        <x:v>Sarjana</x:v>
      </x:c>
      <x:c r="F3319" s="18" t="n">
        <x:v>48</x:v>
      </x:c>
      <x:c r="G3319" s="18" t="n">
        <x:v>38</x:v>
      </x:c>
      <x:c r="H3319" s="19" t="n">
        <x:v>0.7916666666666666</x:v>
      </x:c>
      <x:c r="I3319" s="18" t="n">
        <x:f>ROUND(MIN(Model_Config_v3!$B$6,MAX(Q3319,R3319,S3319*Model_Config_v3!$B$4+T3319*Model_Config_v3!$B$5)),0)</x:f>
        <x:v>601</x:v>
      </x:c>
      <x:c r="J3319" s="18" t="n">
        <x:f>MIN(Model_Config_v3!$B$6,I3319+Model_Config_v3!$B$7)</x:f>
        <x:v>621</x:v>
      </x:c>
      <x:c r="K3319" s="20" t="n">
        <x:v>37.6</x:v>
      </x:c>
      <x:c r="L3319" t="str">
        <x:v>RELATIF LONGGAR</x:v>
      </x:c>
      <x:c r="M3319" t="str">
        <x:v>SEDANG+</x:v>
      </x:c>
      <x:c r="N3319" t="str">
        <x:v>REGULER</x:v>
      </x:c>
      <x:c r="O3319" t="str">
        <x:v>CAMPURAN</x:v>
      </x:c>
      <x:c r="P3319" t="str">
        <x:v>PENDIDIKAN</x:v>
      </x:c>
      <x:c r="Q3319" s="18" t="n">
        <x:v>0</x:v>
      </x:c>
      <x:c r="R3319" s="18" t="n">
        <x:v>0</x:v>
      </x:c>
      <x:c r="S3319" s="18" t="n">
        <x:v>520</x:v>
      </x:c>
      <x:c r="T3319" s="18" t="n">
        <x:v>635</x:v>
      </x:c>
      <x:c r="U3319" s="18" t="n">
        <x:v>520</x:v>
      </x:c>
      <x:c r="V3319" s="20" t="n">
        <x:v>8.8</x:v>
      </x:c>
      <x:c r="W3319" s="20" t="n">
        <x:v>9.9</x:v>
      </x:c>
      <x:c r="X3319" s="20" t="n">
        <x:v>3.3</x:v>
      </x:c>
      <x:c r="Y3319" t="str">
        <x:v>Basis arsip 2025/2024</x:v>
      </x:c>
      <x:c r="Z3319" t="str">
        <x:v>https://snpmb.id/utbk-snbt/daya-tampung-snbt</x:v>
      </x:c>
      <x:c r="AA3319" t="str">
        <x:v>Tidak Ada</x:v>
      </x:c>
      <x:c r="AB3319" t="str">
        <x:v>Campus=55; Ratio=0.0; Prodi=45; RelDemand=33.5; Capacity=60.0</x:v>
      </x:c>
    </x:row>
    <x:row r="3320">
      <x:c r="A3320" t="n">
        <x:v>3317</x:v>
      </x:c>
      <x:c r="B3320" t="str">
        <x:v>PTN Akademik</x:v>
      </x:c>
      <x:c r="C3320" t="str">
        <x:v>UNIVERSITAS NEGERI MANADO</x:v>
      </x:c>
      <x:c r="D3320" t="str">
        <x:v>PEND. TEK MESIN</x:v>
      </x:c>
      <x:c r="E3320" t="str">
        <x:v>Sarjana</x:v>
      </x:c>
      <x:c r="F3320" s="18" t="n">
        <x:v>16</x:v>
      </x:c>
      <x:c r="G3320" s="18" t="n">
        <x:v>7</x:v>
      </x:c>
      <x:c r="H3320" s="19" t="n">
        <x:v>0.4375</x:v>
      </x:c>
      <x:c r="I3320" s="18" t="n">
        <x:f>ROUND(MIN(Model_Config_v3!$B$6,MAX(Q3320,R3320,S3320*Model_Config_v3!$B$4+T3320*Model_Config_v3!$B$5)),0)</x:f>
        <x:v>603</x:v>
      </x:c>
      <x:c r="J3320" s="18" t="n">
        <x:f>MIN(Model_Config_v3!$B$6,I3320+Model_Config_v3!$B$7)</x:f>
        <x:v>623</x:v>
      </x:c>
      <x:c r="K3320" s="20" t="n">
        <x:v>38.8</x:v>
      </x:c>
      <x:c r="L3320" t="str">
        <x:v>RELATIF LONGGAR</x:v>
      </x:c>
      <x:c r="M3320" t="str">
        <x:v>SEDANG+</x:v>
      </x:c>
      <x:c r="N3320" t="str">
        <x:v>REGULER</x:v>
      </x:c>
      <x:c r="O3320" t="str">
        <x:v>CAMPURAN</x:v>
      </x:c>
      <x:c r="P3320" t="str">
        <x:v>PENDIDIKAN</x:v>
      </x:c>
      <x:c r="Q3320" s="18" t="n">
        <x:v>0</x:v>
      </x:c>
      <x:c r="R3320" s="18" t="n">
        <x:v>0</x:v>
      </x:c>
      <x:c r="S3320" s="18" t="n">
        <x:v>520</x:v>
      </x:c>
      <x:c r="T3320" s="18" t="n">
        <x:v>638</x:v>
      </x:c>
      <x:c r="U3320" s="18" t="n">
        <x:v>520</x:v>
      </x:c>
      <x:c r="V3320" s="20" t="n">
        <x:v>8.8</x:v>
      </x:c>
      <x:c r="W3320" s="20" t="n">
        <x:v>9.9</x:v>
      </x:c>
      <x:c r="X3320" s="20" t="n">
        <x:v>3.3</x:v>
      </x:c>
      <x:c r="Y3320" t="str">
        <x:v>Basis arsip 2025/2024</x:v>
      </x:c>
      <x:c r="Z3320" t="str">
        <x:v>https://snpmb.id/utbk-snbt/daya-tampung-snbt</x:v>
      </x:c>
      <x:c r="AA3320" t="str">
        <x:v>Tidak Ada</x:v>
      </x:c>
      <x:c r="AB3320" t="str">
        <x:v>Campus=55; Ratio=0.0; Prodi=45; RelDemand=18.5; Capacity=86.7</x:v>
      </x:c>
    </x:row>
    <x:row r="3321">
      <x:c r="A3321" t="n">
        <x:v>3318</x:v>
      </x:c>
      <x:c r="B3321" t="str">
        <x:v>PTN Akademik</x:v>
      </x:c>
      <x:c r="C3321" t="str">
        <x:v>UNIVERSITAS NEGERI MANADO</x:v>
      </x:c>
      <x:c r="D3321" t="str">
        <x:v>ILMU GEOGRAFI</x:v>
      </x:c>
      <x:c r="E3321" t="str">
        <x:v>Sarjana</x:v>
      </x:c>
      <x:c r="F3321" s="18" t="n">
        <x:v>8</x:v>
      </x:c>
      <x:c r="G3321" s="18" t="n">
        <x:v>6</x:v>
      </x:c>
      <x:c r="H3321" s="19" t="n">
        <x:v>0.75</x:v>
      </x:c>
      <x:c r="I3321" s="18" t="n">
        <x:f>ROUND(MIN(Model_Config_v3!$B$6,MAX(Q3321,R3321,S3321*Model_Config_v3!$B$4+T3321*Model_Config_v3!$B$5)),0)</x:f>
        <x:v>604</x:v>
      </x:c>
      <x:c r="J3321" s="18" t="n">
        <x:f>MIN(Model_Config_v3!$B$6,I3321+Model_Config_v3!$B$7)</x:f>
        <x:v>624</x:v>
      </x:c>
      <x:c r="K3321" s="20" t="n">
        <x:v>39.8</x:v>
      </x:c>
      <x:c r="L3321" t="str">
        <x:v>RELATIF LONGGAR</x:v>
      </x:c>
      <x:c r="M3321" t="str">
        <x:v>SEDANG</x:v>
      </x:c>
      <x:c r="N3321" t="str">
        <x:v>REGULER</x:v>
      </x:c>
      <x:c r="O3321" t="str">
        <x:v>CAMPURAN</x:v>
      </x:c>
      <x:c r="P3321" t="str">
        <x:v>UMUM</x:v>
      </x:c>
      <x:c r="Q3321" s="18" t="n">
        <x:v>0</x:v>
      </x:c>
      <x:c r="R3321" s="18" t="n">
        <x:v>0</x:v>
      </x:c>
      <x:c r="S3321" s="18" t="n">
        <x:v>520</x:v>
      </x:c>
      <x:c r="T3321" s="18" t="n">
        <x:v>640</x:v>
      </x:c>
      <x:c r="U3321" s="18" t="n">
        <x:v>520</x:v>
      </x:c>
      <x:c r="V3321" s="20" t="n">
        <x:v>8.8</x:v>
      </x:c>
      <x:c r="W3321" s="20" t="n">
        <x:v>9.9</x:v>
      </x:c>
      <x:c r="X3321" s="20" t="n">
        <x:v>3.3</x:v>
      </x:c>
      <x:c r="Y3321" t="str">
        <x:v>Basis arsip 2025/2024</x:v>
      </x:c>
      <x:c r="Z3321" t="str">
        <x:v>https://snpmb.id/utbk-snbt/daya-tampung-snbt</x:v>
      </x:c>
      <x:c r="AA3321" t="str">
        <x:v>Tidak Ada</x:v>
      </x:c>
      <x:c r="AB3321" t="str">
        <x:v>Campus=55; Ratio=0.0; Prodi=40; RelDemand=31.7; Capacity=93.3</x:v>
      </x:c>
    </x:row>
    <x:row r="3322">
      <x:c r="A3322" t="n">
        <x:v>3319</x:v>
      </x:c>
      <x:c r="B3322" t="str">
        <x:v>PTN Akademik</x:v>
      </x:c>
      <x:c r="C3322" t="str">
        <x:v>UNIVERSITAS NEGERI MANADO</x:v>
      </x:c>
      <x:c r="D3322" t="str">
        <x:v>ILMU KEOLAHRAGAAN</x:v>
      </x:c>
      <x:c r="E3322" t="str">
        <x:v>Sarjana</x:v>
      </x:c>
      <x:c r="F3322" s="18" t="n">
        <x:v>12</x:v>
      </x:c>
      <x:c r="G3322" s="18" t="n">
        <x:v>2</x:v>
      </x:c>
      <x:c r="H3322" s="19" t="n">
        <x:v>0.16666666666666666</x:v>
      </x:c>
      <x:c r="I3322" s="18" t="n">
        <x:f>ROUND(MIN(Model_Config_v3!$B$6,MAX(Q3322,R3322,S3322*Model_Config_v3!$B$4+T3322*Model_Config_v3!$B$5)),0)</x:f>
        <x:v>601</x:v>
      </x:c>
      <x:c r="J3322" s="18" t="n">
        <x:f>MIN(Model_Config_v3!$B$6,I3322+Model_Config_v3!$B$7)</x:f>
        <x:v>621</x:v>
      </x:c>
      <x:c r="K3322" s="20" t="n">
        <x:v>38</x:v>
      </x:c>
      <x:c r="L3322" t="str">
        <x:v>RELATIF LONGGAR</x:v>
      </x:c>
      <x:c r="M3322" t="str">
        <x:v>PORTOFOLIO</x:v>
      </x:c>
      <x:c r="N3322" t="str">
        <x:v>REGULER</x:v>
      </x:c>
      <x:c r="O3322" t="str">
        <x:v>SENI/OLAHRAGA</x:v>
      </x:c>
      <x:c r="P3322" t="str">
        <x:v>SENI/OLAHRAGA</x:v>
      </x:c>
      <x:c r="Q3322" s="18" t="n">
        <x:v>0</x:v>
      </x:c>
      <x:c r="R3322" s="18" t="n">
        <x:v>0</x:v>
      </x:c>
      <x:c r="S3322" s="18" t="n">
        <x:v>520</x:v>
      </x:c>
      <x:c r="T3322" s="18" t="n">
        <x:v>636</x:v>
      </x:c>
      <x:c r="U3322" s="18" t="n">
        <x:v>520</x:v>
      </x:c>
      <x:c r="V3322" s="20" t="n">
        <x:v>4.4</x:v>
      </x:c>
      <x:c r="W3322" s="20" t="n">
        <x:v>9.9</x:v>
      </x:c>
      <x:c r="X3322" s="20" t="n">
        <x:v>7.7</x:v>
      </x:c>
      <x:c r="Y3322" t="str">
        <x:v>Basis arsip 2025/2024</x:v>
      </x:c>
      <x:c r="Z3322" t="str">
        <x:v>https://snpmb.id/utbk-snbt/daya-tampung-snbt</x:v>
      </x:c>
      <x:c r="AA3322" t="str">
        <x:v>Olahraga</x:v>
      </x:c>
      <x:c r="AB3322" t="str">
        <x:v>Campus=55; Ratio=0.0; Prodi=45; RelDemand=7.0; Capacity=90.0</x:v>
      </x:c>
    </x:row>
    <x:row r="3323">
      <x:c r="A3323" t="n">
        <x:v>3320</x:v>
      </x:c>
      <x:c r="B3323" t="str">
        <x:v>PTN Akademik</x:v>
      </x:c>
      <x:c r="C3323" t="str">
        <x:v>UNIVERSITAS NEGERI MANADO</x:v>
      </x:c>
      <x:c r="D3323" t="str">
        <x:v>PENDIDIKAN IPA</x:v>
      </x:c>
      <x:c r="E3323" t="str">
        <x:v>Sarjana</x:v>
      </x:c>
      <x:c r="F3323" s="18" t="n">
        <x:v>24</x:v>
      </x:c>
      <x:c r="G3323" s="18" t="n">
        <x:v>13</x:v>
      </x:c>
      <x:c r="H3323" s="19" t="n">
        <x:v>0.5416666666666666</x:v>
      </x:c>
      <x:c r="I3323" s="18" t="n">
        <x:f>ROUND(MIN(Model_Config_v3!$B$6,MAX(Q3323,R3323,S3323*Model_Config_v3!$B$4+T3323*Model_Config_v3!$B$5)),0)</x:f>
        <x:v>602</x:v>
      </x:c>
      <x:c r="J3323" s="18" t="n">
        <x:f>MIN(Model_Config_v3!$B$6,I3323+Model_Config_v3!$B$7)</x:f>
        <x:v>622</x:v>
      </x:c>
      <x:c r="K3323" s="20" t="n">
        <x:v>38.5</x:v>
      </x:c>
      <x:c r="L3323" t="str">
        <x:v>RELATIF LONGGAR</x:v>
      </x:c>
      <x:c r="M3323" t="str">
        <x:v>SEDANG+</x:v>
      </x:c>
      <x:c r="N3323" t="str">
        <x:v>REGULER</x:v>
      </x:c>
      <x:c r="O3323" t="str">
        <x:v>CAMPURAN</x:v>
      </x:c>
      <x:c r="P3323" t="str">
        <x:v>PENDIDIKAN</x:v>
      </x:c>
      <x:c r="Q3323" s="18" t="n">
        <x:v>0</x:v>
      </x:c>
      <x:c r="R3323" s="18" t="n">
        <x:v>0</x:v>
      </x:c>
      <x:c r="S3323" s="18" t="n">
        <x:v>520</x:v>
      </x:c>
      <x:c r="T3323" s="18" t="n">
        <x:v>637</x:v>
      </x:c>
      <x:c r="U3323" s="18" t="n">
        <x:v>520</x:v>
      </x:c>
      <x:c r="V3323" s="20" t="n">
        <x:v>8.8</x:v>
      </x:c>
      <x:c r="W3323" s="20" t="n">
        <x:v>9.9</x:v>
      </x:c>
      <x:c r="X3323" s="20" t="n">
        <x:v>3.3</x:v>
      </x:c>
      <x:c r="Y3323" t="str">
        <x:v>Basis arsip 2025/2024</x:v>
      </x:c>
      <x:c r="Z3323" t="str">
        <x:v>https://snpmb.id/utbk-snbt/daya-tampung-snbt</x:v>
      </x:c>
      <x:c r="AA3323" t="str">
        <x:v>Tidak Ada</x:v>
      </x:c>
      <x:c r="AB3323" t="str">
        <x:v>Campus=55; Ratio=0.0; Prodi=45; RelDemand=22.9; Capacity=80.0</x:v>
      </x:c>
    </x:row>
    <x:row r="3324">
      <x:c r="A3324" t="n">
        <x:v>3321</x:v>
      </x:c>
      <x:c r="B3324" t="str">
        <x:v>PTN Akademik</x:v>
      </x:c>
      <x:c r="C3324" t="str">
        <x:v>UNIVERSITAS NEGERI MANADO</x:v>
      </x:c>
      <x:c r="D3324" t="str">
        <x:v>ARSITEKTUR</x:v>
      </x:c>
      <x:c r="E3324" t="str">
        <x:v>Sarjana</x:v>
      </x:c>
      <x:c r="F3324" s="18" t="n">
        <x:v>16</x:v>
      </x:c>
      <x:c r="G3324" s="18" t="n">
        <x:v>17</x:v>
      </x:c>
      <x:c r="H3324" s="19" t="n">
        <x:v>1.0625</x:v>
      </x:c>
      <x:c r="I3324" s="18" t="n">
        <x:f>ROUND(MIN(Model_Config_v3!$B$6,MAX(Q3324,R3324,S3324*Model_Config_v3!$B$4+T3324*Model_Config_v3!$B$5)),0)</x:f>
        <x:v>612</x:v>
      </x:c>
      <x:c r="J3324" s="18" t="n">
        <x:f>MIN(Model_Config_v3!$B$6,I3324+Model_Config_v3!$B$7)</x:f>
        <x:v>632</x:v>
      </x:c>
      <x:c r="K3324" s="20" t="n">
        <x:v>44.8</x:v>
      </x:c>
      <x:c r="L3324" t="str">
        <x:v>RELATIF LONGGAR</x:v>
      </x:c>
      <x:c r="M3324" t="str">
        <x:v>SEDANG+</x:v>
      </x:c>
      <x:c r="N3324" t="str">
        <x:v>REGULER</x:v>
      </x:c>
      <x:c r="O3324" t="str">
        <x:v>SAINTEK</x:v>
      </x:c>
      <x:c r="P3324" t="str">
        <x:v>TEKNIK/ARSITEKTUR/STATISTIKA/AKTUARIA</x:v>
      </x:c>
      <x:c r="Q3324" s="18" t="n">
        <x:v>0</x:v>
      </x:c>
      <x:c r="R3324" s="18" t="n">
        <x:v>0</x:v>
      </x:c>
      <x:c r="S3324" s="18" t="n">
        <x:v>522.8961832594584</x:v>
      </x:c>
      <x:c r="T3324" s="18" t="n">
        <x:v>650</x:v>
      </x:c>
      <x:c r="U3324" s="18" t="n">
        <x:v>522.8961832594584</x:v>
      </x:c>
      <x:c r="V3324" s="20" t="n">
        <x:v>12</x:v>
      </x:c>
      <x:c r="W3324" s="20" t="n">
        <x:v>5</x:v>
      </x:c>
      <x:c r="X3324" s="20" t="n">
        <x:v>3</x:v>
      </x:c>
      <x:c r="Y3324" t="str">
        <x:v>Basis arsip 2025/2024</x:v>
      </x:c>
      <x:c r="Z3324" t="str">
        <x:v>https://snpmb.id/utbk-snbt/daya-tampung-snbt</x:v>
      </x:c>
      <x:c r="AA3324" t="str">
        <x:v>Tidak Ada</x:v>
      </x:c>
      <x:c r="AB3324" t="str">
        <x:v>Campus=55; Ratio=1.5; Prodi=60; RelDemand=44.9; Capacity=86.7</x:v>
      </x:c>
    </x:row>
    <x:row r="3325">
      <x:c r="A3325" t="n">
        <x:v>3322</x:v>
      </x:c>
      <x:c r="B3325" t="str">
        <x:v>PTN Akademik</x:v>
      </x:c>
      <x:c r="C3325" t="str">
        <x:v>UNIVERSITAS NEGERI MANADO</x:v>
      </x:c>
      <x:c r="D3325" t="str">
        <x:v>TEKNIK INFORMATIKA</x:v>
      </x:c>
      <x:c r="E3325" t="str">
        <x:v>Sarjana</x:v>
      </x:c>
      <x:c r="F3325" s="18" t="n">
        <x:v>60</x:v>
      </x:c>
      <x:c r="G3325" s="18" t="n">
        <x:v>88</x:v>
      </x:c>
      <x:c r="H3325" s="19" t="n">
        <x:v>1.4666666666666666</x:v>
      </x:c>
      <x:c r="I3325" s="18" t="n">
        <x:f>ROUND(MIN(Model_Config_v3!$B$6,MAX(Q3325,R3325,S3325*Model_Config_v3!$B$4+T3325*Model_Config_v3!$B$5)),0)</x:f>
        <x:v>623</x:v>
      </x:c>
      <x:c r="J3325" s="18" t="n">
        <x:f>MIN(Model_Config_v3!$B$6,I3325+Model_Config_v3!$B$7)</x:f>
        <x:v>643</x:v>
      </x:c>
      <x:c r="K3325" s="20" t="n">
        <x:v>49.9</x:v>
      </x:c>
      <x:c r="L3325" t="str">
        <x:v>MENENGAH</x:v>
      </x:c>
      <x:c r="M3325" t="str">
        <x:v>SEDANG+</x:v>
      </x:c>
      <x:c r="N3325" t="str">
        <x:v>REGULER</x:v>
      </x:c>
      <x:c r="O3325" t="str">
        <x:v>SAINTEK</x:v>
      </x:c>
      <x:c r="P3325" t="str">
        <x:v>KOMPUTER/INFORMATIKA</x:v>
      </x:c>
      <x:c r="Q3325" s="18" t="n">
        <x:v>0</x:v>
      </x:c>
      <x:c r="R3325" s="18" t="n">
        <x:v>0</x:v>
      </x:c>
      <x:c r="S3325" s="18" t="n">
        <x:v>538.2964563943177</x:v>
      </x:c>
      <x:c r="T3325" s="18" t="n">
        <x:v>660</x:v>
      </x:c>
      <x:c r="U3325" s="18" t="n">
        <x:v>563.2964563943177</x:v>
      </x:c>
      <x:c r="V3325" s="20" t="n">
        <x:v>12</x:v>
      </x:c>
      <x:c r="W3325" s="20" t="n">
        <x:v>5</x:v>
      </x:c>
      <x:c r="X3325" s="20" t="n">
        <x:v>3</x:v>
      </x:c>
      <x:c r="Y3325" t="str">
        <x:v>Basis arsip 2025/2024</x:v>
      </x:c>
      <x:c r="Z3325" t="str">
        <x:v>https://snpmb.id/utbk-snbt/daya-tampung-snbt</x:v>
      </x:c>
      <x:c r="AA3325" t="str">
        <x:v>Tidak Ada</x:v>
      </x:c>
      <x:c r="AB3325" t="str">
        <x:v>Campus=55; Ratio=9.8; Prodi=85; RelDemand=62.0; Capacity=50.0</x:v>
      </x:c>
    </x:row>
    <x:row r="3326">
      <x:c r="A3326" t="n">
        <x:v>3323</x:v>
      </x:c>
      <x:c r="B3326" t="str">
        <x:v>PTN Akademik</x:v>
      </x:c>
      <x:c r="C3326" t="str">
        <x:v>UNIVERSITAS NEGERI MANADO</x:v>
      </x:c>
      <x:c r="D3326" t="str">
        <x:v>TEKNIK SIPIL</x:v>
      </x:c>
      <x:c r="E3326" t="str">
        <x:v>Sarjana</x:v>
      </x:c>
      <x:c r="F3326" s="18" t="n">
        <x:v>32</x:v>
      </x:c>
      <x:c r="G3326" s="18" t="n">
        <x:v>38</x:v>
      </x:c>
      <x:c r="H3326" s="19" t="n">
        <x:v>1.1875</x:v>
      </x:c>
      <x:c r="I3326" s="18" t="n">
        <x:f>ROUND(MIN(Model_Config_v3!$B$6,MAX(Q3326,R3326,S3326*Model_Config_v3!$B$4+T3326*Model_Config_v3!$B$5)),0)</x:f>
        <x:v>613</x:v>
      </x:c>
      <x:c r="J3326" s="18" t="n">
        <x:f>MIN(Model_Config_v3!$B$6,I3326+Model_Config_v3!$B$7)</x:f>
        <x:v>633</x:v>
      </x:c>
      <x:c r="K3326" s="20" t="n">
        <x:v>44.7</x:v>
      </x:c>
      <x:c r="L3326" t="str">
        <x:v>RELATIF LONGGAR</x:v>
      </x:c>
      <x:c r="M3326" t="str">
        <x:v>SEDANG+</x:v>
      </x:c>
      <x:c r="N3326" t="str">
        <x:v>REGULER</x:v>
      </x:c>
      <x:c r="O3326" t="str">
        <x:v>SAINTEK</x:v>
      </x:c>
      <x:c r="P3326" t="str">
        <x:v>TEKNIK/ARSITEKTUR/STATISTIKA/AKTUARIA</x:v>
      </x:c>
      <x:c r="Q3326" s="18" t="n">
        <x:v>0</x:v>
      </x:c>
      <x:c r="R3326" s="18" t="n">
        <x:v>0</x:v>
      </x:c>
      <x:c r="S3326" s="18" t="n">
        <x:v>528.2096980126595</x:v>
      </x:c>
      <x:c r="T3326" s="18" t="n">
        <x:v>649</x:v>
      </x:c>
      <x:c r="U3326" s="18" t="n">
        <x:v>538.2096980126595</x:v>
      </x:c>
      <x:c r="V3326" s="20" t="n">
        <x:v>12</x:v>
      </x:c>
      <x:c r="W3326" s="20" t="n">
        <x:v>5</x:v>
      </x:c>
      <x:c r="X3326" s="20" t="n">
        <x:v>3</x:v>
      </x:c>
      <x:c r="Y3326" t="str">
        <x:v>Basis arsip 2025/2024</x:v>
      </x:c>
      <x:c r="Z3326" t="str">
        <x:v>https://snpmb.id/utbk-snbt/daya-tampung-snbt</x:v>
      </x:c>
      <x:c r="AA3326" t="str">
        <x:v>Tidak Ada</x:v>
      </x:c>
      <x:c r="AB3326" t="str">
        <x:v>Campus=55; Ratio=4.4; Prodi=60; RelDemand=50.2; Capacity=73.3</x:v>
      </x:c>
    </x:row>
    <x:row r="3327">
      <x:c r="A3327" t="n">
        <x:v>3324</x:v>
      </x:c>
      <x:c r="B3327" t="str">
        <x:v>PTN Akademik</x:v>
      </x:c>
      <x:c r="C3327" t="str">
        <x:v>UNIVERSITAS NEGERI MANADO</x:v>
      </x:c>
      <x:c r="D3327" t="str">
        <x:v>ILMU KESEHATAN MASYARAKAT</x:v>
      </x:c>
      <x:c r="E3327" t="str">
        <x:v>Sarjana</x:v>
      </x:c>
      <x:c r="F3327" s="18" t="n">
        <x:v>64</x:v>
      </x:c>
      <x:c r="G3327" s="18" t="n">
        <x:v>130</x:v>
      </x:c>
      <x:c r="H3327" s="19" t="n">
        <x:v>2.03125</x:v>
      </x:c>
      <x:c r="I3327" s="18" t="n">
        <x:f>ROUND(MIN(Model_Config_v3!$B$6,MAX(Q3327,R3327,S3327*Model_Config_v3!$B$4+T3327*Model_Config_v3!$B$5)),0)</x:f>
        <x:v>625</x:v>
      </x:c>
      <x:c r="J3327" s="18" t="n">
        <x:f>MIN(Model_Config_v3!$B$6,I3327+Model_Config_v3!$B$7)</x:f>
        <x:v>645</x:v>
      </x:c>
      <x:c r="K3327" s="20" t="n">
        <x:v>48</x:v>
      </x:c>
      <x:c r="L3327" t="str">
        <x:v>MENENGAH</x:v>
      </x:c>
      <x:c r="M3327" t="str">
        <x:v>SEDANG+</x:v>
      </x:c>
      <x:c r="N3327" t="str">
        <x:v>REGULER</x:v>
      </x:c>
      <x:c r="O3327" t="str">
        <x:v>SAINTEK</x:v>
      </x:c>
      <x:c r="P3327" t="str">
        <x:v>KESEHAT/GIZI/KEPERAWATAN</x:v>
      </x:c>
      <x:c r="Q3327" s="18" t="n">
        <x:v>0</x:v>
      </x:c>
      <x:c r="R3327" s="18" t="n">
        <x:v>0</x:v>
      </x:c>
      <x:c r="S3327" s="18" t="n">
        <x:v>553.8539716155244</x:v>
      </x:c>
      <x:c r="T3327" s="18" t="n">
        <x:v>656</x:v>
      </x:c>
      <x:c r="U3327" s="18" t="n">
        <x:v>553.8539716155244</x:v>
      </x:c>
      <x:c r="V3327" s="20" t="n">
        <x:v>12</x:v>
      </x:c>
      <x:c r="W3327" s="20" t="n">
        <x:v>5</x:v>
      </x:c>
      <x:c r="X3327" s="20" t="n">
        <x:v>3</x:v>
      </x:c>
      <x:c r="Y3327" t="str">
        <x:v>Basis arsip 2025/2024</x:v>
      </x:c>
      <x:c r="Z3327" t="str">
        <x:v>https://snpmb.id/utbk-snbt/daya-tampung-snbt</x:v>
      </x:c>
      <x:c r="AA3327" t="str">
        <x:v>Tidak Ada</x:v>
      </x:c>
      <x:c r="AB3327" t="str">
        <x:v>Campus=55; Ratio=18.1; Prodi=55; RelDemand=85.9; Capacity=46.7</x:v>
      </x:c>
    </x:row>
    <x:row r="3328">
      <x:c r="A3328" t="n">
        <x:v>3325</x:v>
      </x:c>
      <x:c r="B3328" t="str">
        <x:v>PTN Akademik</x:v>
      </x:c>
      <x:c r="C3328" t="str">
        <x:v>UNIVERSITAS NEGERI MANADO</x:v>
      </x:c>
      <x:c r="D3328" t="str">
        <x:v>TEKNIK MESIN</x:v>
      </x:c>
      <x:c r="E3328" t="str">
        <x:v>Sarjana</x:v>
      </x:c>
      <x:c r="F3328" s="18" t="n">
        <x:v>24</x:v>
      </x:c>
      <x:c r="G3328" s="18" t="n">
        <x:v>27</x:v>
      </x:c>
      <x:c r="H3328" s="19" t="n">
        <x:v>1.125</x:v>
      </x:c>
      <x:c r="I3328" s="18" t="n">
        <x:f>ROUND(MIN(Model_Config_v3!$B$6,MAX(Q3328,R3328,S3328*Model_Config_v3!$B$4+T3328*Model_Config_v3!$B$5)),0)</x:f>
        <x:v>613</x:v>
      </x:c>
      <x:c r="J3328" s="18" t="n">
        <x:f>MIN(Model_Config_v3!$B$6,I3328+Model_Config_v3!$B$7)</x:f>
        <x:v>633</x:v>
      </x:c>
      <x:c r="K3328" s="20" t="n">
        <x:v>44.8</x:v>
      </x:c>
      <x:c r="L3328" t="str">
        <x:v>RELATIF LONGGAR</x:v>
      </x:c>
      <x:c r="M3328" t="str">
        <x:v>SEDANG+</x:v>
      </x:c>
      <x:c r="N3328" t="str">
        <x:v>REGULER</x:v>
      </x:c>
      <x:c r="O3328" t="str">
        <x:v>SAINTEK</x:v>
      </x:c>
      <x:c r="P3328" t="str">
        <x:v>TEKNIK/ARSITEKTUR/STATISTIKA/AKTUARIA</x:v>
      </x:c>
      <x:c r="Q3328" s="18" t="n">
        <x:v>0</x:v>
      </x:c>
      <x:c r="R3328" s="18" t="n">
        <x:v>0</x:v>
      </x:c>
      <x:c r="S3328" s="18" t="n">
        <x:v>525.6267774692119</x:v>
      </x:c>
      <x:c r="T3328" s="18" t="n">
        <x:v>650</x:v>
      </x:c>
      <x:c r="U3328" s="18" t="n">
        <x:v>535.6267774692119</x:v>
      </x:c>
      <x:c r="V3328" s="20" t="n">
        <x:v>12</x:v>
      </x:c>
      <x:c r="W3328" s="20" t="n">
        <x:v>5</x:v>
      </x:c>
      <x:c r="X3328" s="20" t="n">
        <x:v>3</x:v>
      </x:c>
      <x:c r="Y3328" t="str">
        <x:v>Basis arsip 2025/2024</x:v>
      </x:c>
      <x:c r="Z3328" t="str">
        <x:v>https://snpmb.id/utbk-snbt/daya-tampung-snbt</x:v>
      </x:c>
      <x:c r="AA3328" t="str">
        <x:v>Tidak Ada</x:v>
      </x:c>
      <x:c r="AB3328" t="str">
        <x:v>Campus=55; Ratio=3.0; Prodi=60; RelDemand=47.6; Capacity=80.0</x:v>
      </x:c>
    </x:row>
    <x:row r="3329">
      <x:c r="A3329" t="n">
        <x:v>3326</x:v>
      </x:c>
      <x:c r="B3329" t="str">
        <x:v>PTN Akademik</x:v>
      </x:c>
      <x:c r="C3329" t="str">
        <x:v>UNIVERSITAS NEGERI MANADO</x:v>
      </x:c>
      <x:c r="D3329" t="str">
        <x:v>PEND. KES. KEL</x:v>
      </x:c>
      <x:c r="E3329" t="str">
        <x:v>Sarjana</x:v>
      </x:c>
      <x:c r="F3329" s="18" t="n">
        <x:v>16</x:v>
      </x:c>
      <x:c r="G3329" s="18" t="n">
        <x:v>6</x:v>
      </x:c>
      <x:c r="H3329" s="19" t="n">
        <x:v>0.375</x:v>
      </x:c>
      <x:c r="I3329" s="18" t="n">
        <x:f>ROUND(MIN(Model_Config_v3!$B$6,MAX(Q3329,R3329,S3329*Model_Config_v3!$B$4+T3329*Model_Config_v3!$B$5)),0)</x:f>
        <x:v>602</x:v>
      </x:c>
      <x:c r="J3329" s="18" t="n">
        <x:f>MIN(Model_Config_v3!$B$6,I3329+Model_Config_v3!$B$7)</x:f>
        <x:v>622</x:v>
      </x:c>
      <x:c r="K3329" s="20" t="n">
        <x:v>38.5</x:v>
      </x:c>
      <x:c r="L3329" t="str">
        <x:v>RELATIF LONGGAR</x:v>
      </x:c>
      <x:c r="M3329" t="str">
        <x:v>SEDANG+</x:v>
      </x:c>
      <x:c r="N3329" t="str">
        <x:v>REGULER</x:v>
      </x:c>
      <x:c r="O3329" t="str">
        <x:v>CAMPURAN</x:v>
      </x:c>
      <x:c r="P3329" t="str">
        <x:v>PENDIDIKAN</x:v>
      </x:c>
      <x:c r="Q3329" s="18" t="n">
        <x:v>0</x:v>
      </x:c>
      <x:c r="R3329" s="18" t="n">
        <x:v>0</x:v>
      </x:c>
      <x:c r="S3329" s="18" t="n">
        <x:v>520</x:v>
      </x:c>
      <x:c r="T3329" s="18" t="n">
        <x:v>637</x:v>
      </x:c>
      <x:c r="U3329" s="18" t="n">
        <x:v>520</x:v>
      </x:c>
      <x:c r="V3329" s="20" t="n">
        <x:v>8.8</x:v>
      </x:c>
      <x:c r="W3329" s="20" t="n">
        <x:v>9.9</x:v>
      </x:c>
      <x:c r="X3329" s="20" t="n">
        <x:v>3.3</x:v>
      </x:c>
      <x:c r="Y3329" t="str">
        <x:v>Basis arsip 2025/2024</x:v>
      </x:c>
      <x:c r="Z3329" t="str">
        <x:v>https://snpmb.id/utbk-snbt/daya-tampung-snbt</x:v>
      </x:c>
      <x:c r="AA3329" t="str">
        <x:v>Tidak Ada</x:v>
      </x:c>
      <x:c r="AB3329" t="str">
        <x:v>Campus=55; Ratio=0.0; Prodi=45; RelDemand=15.9; Capacity=86.7</x:v>
      </x:c>
    </x:row>
    <x:row r="3330">
      <x:c r="A3330" t="n">
        <x:v>3327</x:v>
      </x:c>
      <x:c r="B3330" t="str">
        <x:v>PTN Akademik</x:v>
      </x:c>
      <x:c r="C3330" t="str">
        <x:v>UNIVERSITAS NEGERI MANADO</x:v>
      </x:c>
      <x:c r="D3330" t="str">
        <x:v>PEND. BAHASA INDONESIA</x:v>
      </x:c>
      <x:c r="E3330" t="str">
        <x:v>Sarjana</x:v>
      </x:c>
      <x:c r="F3330" s="18" t="n">
        <x:v>32</x:v>
      </x:c>
      <x:c r="G3330" s="18" t="n">
        <x:v>33</x:v>
      </x:c>
      <x:c r="H3330" s="19" t="n">
        <x:v>1.03125</x:v>
      </x:c>
      <x:c r="I3330" s="18" t="n">
        <x:f>ROUND(MIN(Model_Config_v3!$B$6,MAX(Q3330,R3330,S3330*Model_Config_v3!$B$4+T3330*Model_Config_v3!$B$5)),0)</x:f>
        <x:v>604</x:v>
      </x:c>
      <x:c r="J3330" s="18" t="n">
        <x:f>MIN(Model_Config_v3!$B$6,I3330+Model_Config_v3!$B$7)</x:f>
        <x:v>624</x:v>
      </x:c>
      <x:c r="K3330" s="20" t="n">
        <x:v>40.1</x:v>
      </x:c>
      <x:c r="L3330" t="str">
        <x:v>RELATIF LONGGAR</x:v>
      </x:c>
      <x:c r="M3330" t="str">
        <x:v>SEDANG+</x:v>
      </x:c>
      <x:c r="N3330" t="str">
        <x:v>REGULER</x:v>
      </x:c>
      <x:c r="O3330" t="str">
        <x:v>SOSHUM</x:v>
      </x:c>
      <x:c r="P3330" t="str">
        <x:v>PENDIDIKAN</x:v>
      </x:c>
      <x:c r="Q3330" s="18" t="n">
        <x:v>0</x:v>
      </x:c>
      <x:c r="R3330" s="18" t="n">
        <x:v>0</x:v>
      </x:c>
      <x:c r="S3330" s="18" t="n">
        <x:v>521.470035771378</x:v>
      </x:c>
      <x:c r="T3330" s="18" t="n">
        <x:v>640</x:v>
      </x:c>
      <x:c r="U3330" s="18" t="n">
        <x:v>521.470035771378</x:v>
      </x:c>
      <x:c r="V3330" s="20" t="n">
        <x:v>4.4</x:v>
      </x:c>
      <x:c r="W3330" s="20" t="n">
        <x:v>14.3</x:v>
      </x:c>
      <x:c r="X3330" s="20" t="n">
        <x:v>3.3</x:v>
      </x:c>
      <x:c r="Y3330" t="str">
        <x:v>Basis arsip 2025/2024</x:v>
      </x:c>
      <x:c r="Z3330" t="str">
        <x:v>https://snpmb.id/utbk-snbt/daya-tampung-snbt</x:v>
      </x:c>
      <x:c r="AA3330" t="str">
        <x:v>Tidak Ada</x:v>
      </x:c>
      <x:c r="AB3330" t="str">
        <x:v>Campus=55; Ratio=0.8; Prodi=45; RelDemand=43.6; Capacity=73.3</x:v>
      </x:c>
    </x:row>
    <x:row r="3331">
      <x:c r="A3331" t="n">
        <x:v>3328</x:v>
      </x:c>
      <x:c r="B3331" t="str">
        <x:v>PTN Akademik</x:v>
      </x:c>
      <x:c r="C3331" t="str">
        <x:v>UNIVERSITAS NEGERI MANADO</x:v>
      </x:c>
      <x:c r="D3331" t="str">
        <x:v>PEND. BAH INGGRIS</x:v>
      </x:c>
      <x:c r="E3331" t="str">
        <x:v>Sarjana</x:v>
      </x:c>
      <x:c r="F3331" s="18" t="n">
        <x:v>24</x:v>
      </x:c>
      <x:c r="G3331" s="18" t="n">
        <x:v>21</x:v>
      </x:c>
      <x:c r="H3331" s="19" t="n">
        <x:v>0.875</x:v>
      </x:c>
      <x:c r="I3331" s="18" t="n">
        <x:f>ROUND(MIN(Model_Config_v3!$B$6,MAX(Q3331,R3331,S3331*Model_Config_v3!$B$4+T3331*Model_Config_v3!$B$5)),0)</x:f>
        <x:v>604</x:v>
      </x:c>
      <x:c r="J3331" s="18" t="n">
        <x:f>MIN(Model_Config_v3!$B$6,I3331+Model_Config_v3!$B$7)</x:f>
        <x:v>624</x:v>
      </x:c>
      <x:c r="K3331" s="20" t="n">
        <x:v>40</x:v>
      </x:c>
      <x:c r="L3331" t="str">
        <x:v>RELATIF LONGGAR</x:v>
      </x:c>
      <x:c r="M3331" t="str">
        <x:v>SEDANG+</x:v>
      </x:c>
      <x:c r="N3331" t="str">
        <x:v>REGULER</x:v>
      </x:c>
      <x:c r="O3331" t="str">
        <x:v>CAMPURAN</x:v>
      </x:c>
      <x:c r="P3331" t="str">
        <x:v>PENDIDIKAN</x:v>
      </x:c>
      <x:c r="Q3331" s="18" t="n">
        <x:v>0</x:v>
      </x:c>
      <x:c r="R3331" s="18" t="n">
        <x:v>0</x:v>
      </x:c>
      <x:c r="S3331" s="18" t="n">
        <x:v>520</x:v>
      </x:c>
      <x:c r="T3331" s="18" t="n">
        <x:v>640</x:v>
      </x:c>
      <x:c r="U3331" s="18" t="n">
        <x:v>520</x:v>
      </x:c>
      <x:c r="V3331" s="20" t="n">
        <x:v>8.8</x:v>
      </x:c>
      <x:c r="W3331" s="20" t="n">
        <x:v>9.9</x:v>
      </x:c>
      <x:c r="X3331" s="20" t="n">
        <x:v>3.3</x:v>
      </x:c>
      <x:c r="Y3331" t="str">
        <x:v>Basis arsip 2025/2024</x:v>
      </x:c>
      <x:c r="Z3331" t="str">
        <x:v>https://snpmb.id/utbk-snbt/daya-tampung-snbt</x:v>
      </x:c>
      <x:c r="AA3331" t="str">
        <x:v>Tidak Ada</x:v>
      </x:c>
      <x:c r="AB3331" t="str">
        <x:v>Campus=55; Ratio=0.0; Prodi=45; RelDemand=37.0; Capacity=80.0</x:v>
      </x:c>
    </x:row>
    <x:row r="3332">
      <x:c r="A3332" t="n">
        <x:v>3329</x:v>
      </x:c>
      <x:c r="B3332" t="str">
        <x:v>PTN Akademik</x:v>
      </x:c>
      <x:c r="C3332" t="str">
        <x:v>UNIVERSITAS NEGERI MANADO</x:v>
      </x:c>
      <x:c r="D3332" t="str">
        <x:v>BAH &amp; SASTRA INGGRIS</x:v>
      </x:c>
      <x:c r="E3332" t="str">
        <x:v>Sarjana</x:v>
      </x:c>
      <x:c r="F3332" s="18" t="n">
        <x:v>28</x:v>
      </x:c>
      <x:c r="G3332" s="18" t="n">
        <x:v>19</x:v>
      </x:c>
      <x:c r="H3332" s="19" t="n">
        <x:v>0.6785714285714286</x:v>
      </x:c>
      <x:c r="I3332" s="18" t="n">
        <x:f>ROUND(MIN(Model_Config_v3!$B$6,MAX(Q3332,R3332,S3332*Model_Config_v3!$B$4+T3332*Model_Config_v3!$B$5)),0)</x:f>
        <x:v>601</x:v>
      </x:c>
      <x:c r="J3332" s="18" t="n">
        <x:f>MIN(Model_Config_v3!$B$6,I3332+Model_Config_v3!$B$7)</x:f>
        <x:v>621</x:v>
      </x:c>
      <x:c r="K3332" s="20" t="n">
        <x:v>37.8</x:v>
      </x:c>
      <x:c r="L3332" t="str">
        <x:v>RELATIF LONGGAR</x:v>
      </x:c>
      <x:c r="M3332" t="str">
        <x:v>SEDANG</x:v>
      </x:c>
      <x:c r="N3332" t="str">
        <x:v>REGULER</x:v>
      </x:c>
      <x:c r="O3332" t="str">
        <x:v>SOSHUM</x:v>
      </x:c>
      <x:c r="P3332" t="str">
        <x:v>UMUM</x:v>
      </x:c>
      <x:c r="Q3332" s="18" t="n">
        <x:v>0</x:v>
      </x:c>
      <x:c r="R3332" s="18" t="n">
        <x:v>0</x:v>
      </x:c>
      <x:c r="S3332" s="18" t="n">
        <x:v>520</x:v>
      </x:c>
      <x:c r="T3332" s="18" t="n">
        <x:v>636</x:v>
      </x:c>
      <x:c r="U3332" s="18" t="n">
        <x:v>520</x:v>
      </x:c>
      <x:c r="V3332" s="20" t="n">
        <x:v>4.4</x:v>
      </x:c>
      <x:c r="W3332" s="20" t="n">
        <x:v>14.3</x:v>
      </x:c>
      <x:c r="X3332" s="20" t="n">
        <x:v>3.3</x:v>
      </x:c>
      <x:c r="Y3332" t="str">
        <x:v>Basis arsip 2025/2024</x:v>
      </x:c>
      <x:c r="Z3332" t="str">
        <x:v>https://snpmb.id/utbk-snbt/daya-tampung-snbt</x:v>
      </x:c>
      <x:c r="AA3332" t="str">
        <x:v>Tidak Ada</x:v>
      </x:c>
      <x:c r="AB3332" t="str">
        <x:v>Campus=55; Ratio=0.0; Prodi=40; RelDemand=28.7; Capacity=76.7</x:v>
      </x:c>
    </x:row>
    <x:row r="3333">
      <x:c r="A3333" t="n">
        <x:v>3330</x:v>
      </x:c>
      <x:c r="B3333" t="str">
        <x:v>PTN Akademik</x:v>
      </x:c>
      <x:c r="C3333" t="str">
        <x:v>UNIVERSITAS NEGERI MANADO</x:v>
      </x:c>
      <x:c r="D3333" t="str">
        <x:v>PEND. BAHASA JEPANG</x:v>
      </x:c>
      <x:c r="E3333" t="str">
        <x:v>Sarjana</x:v>
      </x:c>
      <x:c r="F3333" s="18" t="n">
        <x:v>24</x:v>
      </x:c>
      <x:c r="G3333" s="18" t="n">
        <x:v>10</x:v>
      </x:c>
      <x:c r="H3333" s="19" t="n">
        <x:v>0.4166666666666667</x:v>
      </x:c>
      <x:c r="I3333" s="18" t="n">
        <x:f>ROUND(MIN(Model_Config_v3!$B$6,MAX(Q3333,R3333,S3333*Model_Config_v3!$B$4+T3333*Model_Config_v3!$B$5)),0)</x:f>
        <x:v>601</x:v>
      </x:c>
      <x:c r="J3333" s="18" t="n">
        <x:f>MIN(Model_Config_v3!$B$6,I3333+Model_Config_v3!$B$7)</x:f>
        <x:v>621</x:v>
      </x:c>
      <x:c r="K3333" s="20" t="n">
        <x:v>38</x:v>
      </x:c>
      <x:c r="L3333" t="str">
        <x:v>RELATIF LONGGAR</x:v>
      </x:c>
      <x:c r="M3333" t="str">
        <x:v>SEDANG+</x:v>
      </x:c>
      <x:c r="N3333" t="str">
        <x:v>REGULER</x:v>
      </x:c>
      <x:c r="O3333" t="str">
        <x:v>SOSHUM</x:v>
      </x:c>
      <x:c r="P3333" t="str">
        <x:v>PENDIDIKAN</x:v>
      </x:c>
      <x:c r="Q3333" s="18" t="n">
        <x:v>0</x:v>
      </x:c>
      <x:c r="R3333" s="18" t="n">
        <x:v>0</x:v>
      </x:c>
      <x:c r="S3333" s="18" t="n">
        <x:v>520</x:v>
      </x:c>
      <x:c r="T3333" s="18" t="n">
        <x:v>636</x:v>
      </x:c>
      <x:c r="U3333" s="18" t="n">
        <x:v>520</x:v>
      </x:c>
      <x:c r="V3333" s="20" t="n">
        <x:v>4.4</x:v>
      </x:c>
      <x:c r="W3333" s="20" t="n">
        <x:v>14.3</x:v>
      </x:c>
      <x:c r="X3333" s="20" t="n">
        <x:v>3.3</x:v>
      </x:c>
      <x:c r="Y3333" t="str">
        <x:v>Basis arsip 2025/2024</x:v>
      </x:c>
      <x:c r="Z3333" t="str">
        <x:v>https://snpmb.id/utbk-snbt/daya-tampung-snbt</x:v>
      </x:c>
      <x:c r="AA3333" t="str">
        <x:v>Tidak Ada</x:v>
      </x:c>
      <x:c r="AB3333" t="str">
        <x:v>Campus=55; Ratio=0.0; Prodi=45; RelDemand=17.6; Capacity=80.0</x:v>
      </x:c>
    </x:row>
    <x:row r="3334">
      <x:c r="A3334" t="n">
        <x:v>3331</x:v>
      </x:c>
      <x:c r="B3334" t="str">
        <x:v>PTN Akademik</x:v>
      </x:c>
      <x:c r="C3334" t="str">
        <x:v>UNIVERSITAS NEGERI MANADO</x:v>
      </x:c>
      <x:c r="D3334" t="str">
        <x:v>PEND. BAH. JERMAN</x:v>
      </x:c>
      <x:c r="E3334" t="str">
        <x:v>Sarjana</x:v>
      </x:c>
      <x:c r="F3334" s="18" t="n">
        <x:v>4</x:v>
      </x:c>
      <x:c r="G3334" s="18" t="n">
        <x:v>1</x:v>
      </x:c>
      <x:c r="H3334" s="19" t="n">
        <x:v>0.25</x:v>
      </x:c>
      <x:c r="I3334" s="18" t="n">
        <x:f>ROUND(MIN(Model_Config_v3!$B$6,MAX(Q3334,R3334,S3334*Model_Config_v3!$B$4+T3334*Model_Config_v3!$B$5)),0)</x:f>
        <x:v>603</x:v>
      </x:c>
      <x:c r="J3334" s="18" t="n">
        <x:f>MIN(Model_Config_v3!$B$6,I3334+Model_Config_v3!$B$7)</x:f>
        <x:v>623</x:v>
      </x:c>
      <x:c r="K3334" s="20" t="n">
        <x:v>39</x:v>
      </x:c>
      <x:c r="L3334" t="str">
        <x:v>RELATIF LONGGAR</x:v>
      </x:c>
      <x:c r="M3334" t="str">
        <x:v>SEDANG+</x:v>
      </x:c>
      <x:c r="N3334" t="str">
        <x:v>REGULER</x:v>
      </x:c>
      <x:c r="O3334" t="str">
        <x:v>CAMPURAN</x:v>
      </x:c>
      <x:c r="P3334" t="str">
        <x:v>PENDIDIKAN</x:v>
      </x:c>
      <x:c r="Q3334" s="18" t="n">
        <x:v>0</x:v>
      </x:c>
      <x:c r="R3334" s="18" t="n">
        <x:v>0</x:v>
      </x:c>
      <x:c r="S3334" s="18" t="n">
        <x:v>520</x:v>
      </x:c>
      <x:c r="T3334" s="18" t="n">
        <x:v>638</x:v>
      </x:c>
      <x:c r="U3334" s="18" t="n">
        <x:v>520</x:v>
      </x:c>
      <x:c r="V3334" s="20" t="n">
        <x:v>8.8</x:v>
      </x:c>
      <x:c r="W3334" s="20" t="n">
        <x:v>9.9</x:v>
      </x:c>
      <x:c r="X3334" s="20" t="n">
        <x:v>3.3</x:v>
      </x:c>
      <x:c r="Y3334" t="str">
        <x:v>Basis arsip 2025/2024</x:v>
      </x:c>
      <x:c r="Z3334" t="str">
        <x:v>https://snpmb.id/utbk-snbt/daya-tampung-snbt</x:v>
      </x:c>
      <x:c r="AA3334" t="str">
        <x:v>Tidak Ada</x:v>
      </x:c>
      <x:c r="AB3334" t="str">
        <x:v>Campus=55; Ratio=0.0; Prodi=45; RelDemand=10.6; Capacity=96.7</x:v>
      </x:c>
    </x:row>
    <x:row r="3335">
      <x:c r="A3335" t="n">
        <x:v>3332</x:v>
      </x:c>
      <x:c r="B3335" t="str">
        <x:v>PTN Akademik</x:v>
      </x:c>
      <x:c r="C3335" t="str">
        <x:v>UNIVERSITAS NEGERI MANADO</x:v>
      </x:c>
      <x:c r="D3335" t="str">
        <x:v>PEND. BAH. PERANCIS</x:v>
      </x:c>
      <x:c r="E3335" t="str">
        <x:v>Sarjana</x:v>
      </x:c>
      <x:c r="F3335" s="18" t="n">
        <x:v>4</x:v>
      </x:c>
      <x:c r="G3335" s="18"/>
      <x:c r="H3335" s="19" t="n">
        <x:v>0</x:v>
      </x:c>
      <x:c r="I3335" s="18" t="n">
        <x:f>ROUND(MIN(Model_Config_v3!$B$6,MAX(Q3335,R3335,S3335*Model_Config_v3!$B$4+T3335*Model_Config_v3!$B$5)),0)</x:f>
        <x:v>601</x:v>
      </x:c>
      <x:c r="J3335" s="18" t="n">
        <x:f>MIN(Model_Config_v3!$B$6,I3335+Model_Config_v3!$B$7)</x:f>
        <x:v>621</x:v>
      </x:c>
      <x:c r="K3335" s="20" t="n">
        <x:v>37.9</x:v>
      </x:c>
      <x:c r="L3335" t="str">
        <x:v>RELATIF LONGGAR</x:v>
      </x:c>
      <x:c r="M3335" t="str">
        <x:v>RENDAH</x:v>
      </x:c>
      <x:c r="N3335" t="str">
        <x:v>REGULER</x:v>
      </x:c>
      <x:c r="O3335" t="str">
        <x:v>CAMPURAN</x:v>
      </x:c>
      <x:c r="P3335" t="str">
        <x:v>PENDIDIKAN</x:v>
      </x:c>
      <x:c r="Q3335" s="18" t="n">
        <x:v>0</x:v>
      </x:c>
      <x:c r="R3335" s="18" t="n">
        <x:v>0</x:v>
      </x:c>
      <x:c r="S3335" s="18" t="n">
        <x:v>520</x:v>
      </x:c>
      <x:c r="T3335" s="18" t="n">
        <x:v>636</x:v>
      </x:c>
      <x:c r="U3335" s="18" t="n">
        <x:v>520</x:v>
      </x:c>
      <x:c r="V3335" s="20" t="n">
        <x:v>8.8</x:v>
      </x:c>
      <x:c r="W3335" s="20" t="n">
        <x:v>9.9</x:v>
      </x:c>
      <x:c r="X3335" s="20" t="n">
        <x:v>3.3</x:v>
      </x:c>
      <x:c r="Y3335" t="str">
        <x:v>Basis arsip 2025/2024</x:v>
      </x:c>
      <x:c r="Z3335" t="str">
        <x:v>https://snpmb.id/utbk-snbt/daya-tampung-snbt</x:v>
      </x:c>
      <x:c r="AA3335" t="str">
        <x:v>Tidak Ada</x:v>
      </x:c>
      <x:c r="AB3335" t="str">
        <x:v>Campus=55; Ratio=0.0; Prodi=45; RelDemand=0.0; Capacity=96.7</x:v>
      </x:c>
    </x:row>
    <x:row r="3336">
      <x:c r="A3336" t="n">
        <x:v>3333</x:v>
      </x:c>
      <x:c r="B3336" t="str">
        <x:v>PTN Akademik</x:v>
      </x:c>
      <x:c r="C3336" t="str">
        <x:v>UNIVERSITAS NEGERI MANADO</x:v>
      </x:c>
      <x:c r="D3336" t="str">
        <x:v>PEND. SENI MUSIK</x:v>
      </x:c>
      <x:c r="E3336" t="str">
        <x:v>Sarjana</x:v>
      </x:c>
      <x:c r="F3336" s="18" t="n">
        <x:v>16</x:v>
      </x:c>
      <x:c r="G3336" s="18" t="n">
        <x:v>10</x:v>
      </x:c>
      <x:c r="H3336" s="19" t="n">
        <x:v>0.625</x:v>
      </x:c>
      <x:c r="I3336" s="18" t="n">
        <x:f>ROUND(MIN(Model_Config_v3!$B$6,MAX(Q3336,R3336,S3336*Model_Config_v3!$B$4+T3336*Model_Config_v3!$B$5)),0)</x:f>
        <x:v>603</x:v>
      </x:c>
      <x:c r="J3336" s="18" t="n">
        <x:f>MIN(Model_Config_v3!$B$6,I3336+Model_Config_v3!$B$7)</x:f>
        <x:v>623</x:v>
      </x:c>
      <x:c r="K3336" s="20" t="n">
        <x:v>39.6</x:v>
      </x:c>
      <x:c r="L3336" t="str">
        <x:v>RELATIF LONGGAR</x:v>
      </x:c>
      <x:c r="M3336" t="str">
        <x:v>PORTOFOLIO</x:v>
      </x:c>
      <x:c r="N3336" t="str">
        <x:v>REGULER</x:v>
      </x:c>
      <x:c r="O3336" t="str">
        <x:v>SENI/OLAHRAGA</x:v>
      </x:c>
      <x:c r="P3336" t="str">
        <x:v>SENI/OLAHRAGA</x:v>
      </x:c>
      <x:c r="Q3336" s="18" t="n">
        <x:v>0</x:v>
      </x:c>
      <x:c r="R3336" s="18" t="n">
        <x:v>0</x:v>
      </x:c>
      <x:c r="S3336" s="18" t="n">
        <x:v>520</x:v>
      </x:c>
      <x:c r="T3336" s="18" t="n">
        <x:v>639</x:v>
      </x:c>
      <x:c r="U3336" s="18" t="n">
        <x:v>520</x:v>
      </x:c>
      <x:c r="V3336" s="20" t="n">
        <x:v>4.4</x:v>
      </x:c>
      <x:c r="W3336" s="20" t="n">
        <x:v>9.9</x:v>
      </x:c>
      <x:c r="X3336" s="20" t="n">
        <x:v>7.7</x:v>
      </x:c>
      <x:c r="Y3336" t="str">
        <x:v>Basis arsip 2025/2024</x:v>
      </x:c>
      <x:c r="Z3336" t="str">
        <x:v>https://snpmb.id/utbk-snbt/daya-tampung-snbt</x:v>
      </x:c>
      <x:c r="AA3336" t="str">
        <x:v>Musik</x:v>
      </x:c>
      <x:c r="AB3336" t="str">
        <x:v>Campus=55; Ratio=0.0; Prodi=45; RelDemand=26.4; Capacity=86.7</x:v>
      </x:c>
    </x:row>
    <x:row r="3337">
      <x:c r="A3337" t="n">
        <x:v>3334</x:v>
      </x:c>
      <x:c r="B3337" t="str">
        <x:v>PTN Akademik</x:v>
      </x:c>
      <x:c r="C3337" t="str">
        <x:v>UNIVERSITAS NEGERI MANADO</x:v>
      </x:c>
      <x:c r="D3337" t="str">
        <x:v>PEND. SENI RUPA</x:v>
      </x:c>
      <x:c r="E3337" t="str">
        <x:v>Sarjana</x:v>
      </x:c>
      <x:c r="F3337" s="18" t="n">
        <x:v>8</x:v>
      </x:c>
      <x:c r="G3337" s="18" t="n">
        <x:v>2</x:v>
      </x:c>
      <x:c r="H3337" s="19" t="n">
        <x:v>0.25</x:v>
      </x:c>
      <x:c r="I3337" s="18" t="n">
        <x:f>ROUND(MIN(Model_Config_v3!$B$6,MAX(Q3337,R3337,S3337*Model_Config_v3!$B$4+T3337*Model_Config_v3!$B$5)),0)</x:f>
        <x:v>602</x:v>
      </x:c>
      <x:c r="J3337" s="18" t="n">
        <x:f>MIN(Model_Config_v3!$B$6,I3337+Model_Config_v3!$B$7)</x:f>
        <x:v>622</x:v>
      </x:c>
      <x:c r="K3337" s="20" t="n">
        <x:v>38.6</x:v>
      </x:c>
      <x:c r="L3337" t="str">
        <x:v>RELATIF LONGGAR</x:v>
      </x:c>
      <x:c r="M3337" t="str">
        <x:v>PORTOFOLIO</x:v>
      </x:c>
      <x:c r="N3337" t="str">
        <x:v>REGULER</x:v>
      </x:c>
      <x:c r="O3337" t="str">
        <x:v>SENI/OLAHRAGA</x:v>
      </x:c>
      <x:c r="P3337" t="str">
        <x:v>SENI/OLAHRAGA</x:v>
      </x:c>
      <x:c r="Q3337" s="18" t="n">
        <x:v>0</x:v>
      </x:c>
      <x:c r="R3337" s="18" t="n">
        <x:v>0</x:v>
      </x:c>
      <x:c r="S3337" s="18" t="n">
        <x:v>520</x:v>
      </x:c>
      <x:c r="T3337" s="18" t="n">
        <x:v>637</x:v>
      </x:c>
      <x:c r="U3337" s="18" t="n">
        <x:v>520</x:v>
      </x:c>
      <x:c r="V3337" s="20" t="n">
        <x:v>4.4</x:v>
      </x:c>
      <x:c r="W3337" s="20" t="n">
        <x:v>9.9</x:v>
      </x:c>
      <x:c r="X3337" s="20" t="n">
        <x:v>7.7</x:v>
      </x:c>
      <x:c r="Y3337" t="str">
        <x:v>Basis arsip 2025/2024</x:v>
      </x:c>
      <x:c r="Z3337" t="str">
        <x:v>https://snpmb.id/utbk-snbt/daya-tampung-snbt</x:v>
      </x:c>
      <x:c r="AA3337" t="str">
        <x:v>Seni Rupa, Desain, dan Kriya</x:v>
      </x:c>
      <x:c r="AB3337" t="str">
        <x:v>Campus=55; Ratio=0.0; Prodi=45; RelDemand=10.6; Capacity=93.3</x:v>
      </x:c>
    </x:row>
    <x:row r="3338">
      <x:c r="A3338" t="n">
        <x:v>3335</x:v>
      </x:c>
      <x:c r="B3338" t="str">
        <x:v>PTN Akademik</x:v>
      </x:c>
      <x:c r="C3338" t="str">
        <x:v>UNIVERSITAS NEGERI MANADO</x:v>
      </x:c>
      <x:c r="D3338" t="str">
        <x:v>PPKN</x:v>
      </x:c>
      <x:c r="E3338" t="str">
        <x:v>Sarjana</x:v>
      </x:c>
      <x:c r="F3338" s="18" t="n">
        <x:v>16</x:v>
      </x:c>
      <x:c r="G3338" s="18" t="n">
        <x:v>16</x:v>
      </x:c>
      <x:c r="H3338" s="19" t="n">
        <x:v>1</x:v>
      </x:c>
      <x:c r="I3338" s="18" t="n">
        <x:f>ROUND(MIN(Model_Config_v3!$B$6,MAX(Q3338,R3338,S3338*Model_Config_v3!$B$4+T3338*Model_Config_v3!$B$5)),0)</x:f>
        <x:v>604</x:v>
      </x:c>
      <x:c r="J3338" s="18" t="n">
        <x:f>MIN(Model_Config_v3!$B$6,I3338+Model_Config_v3!$B$7)</x:f>
        <x:v>624</x:v>
      </x:c>
      <x:c r="K3338" s="20" t="n">
        <x:v>40.1</x:v>
      </x:c>
      <x:c r="L3338" t="str">
        <x:v>RELATIF LONGGAR</x:v>
      </x:c>
      <x:c r="M3338" t="str">
        <x:v>SEDANG</x:v>
      </x:c>
      <x:c r="N3338" t="str">
        <x:v>REGULER</x:v>
      </x:c>
      <x:c r="O3338" t="str">
        <x:v>CAMPURAN</x:v>
      </x:c>
      <x:c r="P3338" t="str">
        <x:v>UMUM</x:v>
      </x:c>
      <x:c r="Q3338" s="18" t="n">
        <x:v>0</x:v>
      </x:c>
      <x:c r="R3338" s="18" t="n">
        <x:v>0</x:v>
      </x:c>
      <x:c r="S3338" s="18" t="n">
        <x:v>520</x:v>
      </x:c>
      <x:c r="T3338" s="18" t="n">
        <x:v>640</x:v>
      </x:c>
      <x:c r="U3338" s="18" t="n">
        <x:v>520</x:v>
      </x:c>
      <x:c r="V3338" s="20" t="n">
        <x:v>8.8</x:v>
      </x:c>
      <x:c r="W3338" s="20" t="n">
        <x:v>9.9</x:v>
      </x:c>
      <x:c r="X3338" s="20" t="n">
        <x:v>3.3</x:v>
      </x:c>
      <x:c r="Y3338" t="str">
        <x:v>Basis arsip 2025/2024</x:v>
      </x:c>
      <x:c r="Z3338" t="str">
        <x:v>https://snpmb.id/utbk-snbt/daya-tampung-snbt</x:v>
      </x:c>
      <x:c r="AA3338" t="str">
        <x:v>Tidak Ada</x:v>
      </x:c>
      <x:c r="AB3338" t="str">
        <x:v>Campus=55; Ratio=0.0; Prodi=40; RelDemand=42.3; Capacity=86.7</x:v>
      </x:c>
    </x:row>
    <x:row r="3339">
      <x:c r="A3339" t="n">
        <x:v>3336</x:v>
      </x:c>
      <x:c r="B3339" t="str">
        <x:v>PTN Akademik</x:v>
      </x:c>
      <x:c r="C3339" t="str">
        <x:v>UNIVERSITAS NEGERI MANADO</x:v>
      </x:c>
      <x:c r="D3339" t="str">
        <x:v>PEND. SEJARAH</x:v>
      </x:c>
      <x:c r="E3339" t="str">
        <x:v>Sarjana</x:v>
      </x:c>
      <x:c r="F3339" s="18" t="n">
        <x:v>16</x:v>
      </x:c>
      <x:c r="G3339" s="18" t="n">
        <x:v>15</x:v>
      </x:c>
      <x:c r="H3339" s="19" t="n">
        <x:v>0.9375</x:v>
      </x:c>
      <x:c r="I3339" s="18" t="n">
        <x:f>ROUND(MIN(Model_Config_v3!$B$6,MAX(Q3339,R3339,S3339*Model_Config_v3!$B$4+T3339*Model_Config_v3!$B$5)),0)</x:f>
        <x:v>605</x:v>
      </x:c>
      <x:c r="J3339" s="18" t="n">
        <x:f>MIN(Model_Config_v3!$B$6,I3339+Model_Config_v3!$B$7)</x:f>
        <x:v>625</x:v>
      </x:c>
      <x:c r="K3339" s="20" t="n">
        <x:v>40.9</x:v>
      </x:c>
      <x:c r="L3339" t="str">
        <x:v>RELATIF LONGGAR</x:v>
      </x:c>
      <x:c r="M3339" t="str">
        <x:v>SEDANG+</x:v>
      </x:c>
      <x:c r="N3339" t="str">
        <x:v>REGULER</x:v>
      </x:c>
      <x:c r="O3339" t="str">
        <x:v>SOSHUM</x:v>
      </x:c>
      <x:c r="P3339" t="str">
        <x:v>PENDIDIKAN</x:v>
      </x:c>
      <x:c r="Q3339" s="18" t="n">
        <x:v>0</x:v>
      </x:c>
      <x:c r="R3339" s="18" t="n">
        <x:v>0</x:v>
      </x:c>
      <x:c r="S3339" s="18" t="n">
        <x:v>520</x:v>
      </x:c>
      <x:c r="T3339" s="18" t="n">
        <x:v>642</x:v>
      </x:c>
      <x:c r="U3339" s="18" t="n">
        <x:v>520</x:v>
      </x:c>
      <x:c r="V3339" s="20" t="n">
        <x:v>4.4</x:v>
      </x:c>
      <x:c r="W3339" s="20" t="n">
        <x:v>14.3</x:v>
      </x:c>
      <x:c r="X3339" s="20" t="n">
        <x:v>3.3</x:v>
      </x:c>
      <x:c r="Y3339" t="str">
        <x:v>Basis arsip 2025/2024</x:v>
      </x:c>
      <x:c r="Z3339" t="str">
        <x:v>https://snpmb.id/utbk-snbt/daya-tampung-snbt</x:v>
      </x:c>
      <x:c r="AA3339" t="str">
        <x:v>Tidak Ada</x:v>
      </x:c>
      <x:c r="AB3339" t="str">
        <x:v>Campus=55; Ratio=0.0; Prodi=45; RelDemand=39.7; Capacity=86.7</x:v>
      </x:c>
    </x:row>
    <x:row r="3340">
      <x:c r="A3340" t="n">
        <x:v>3337</x:v>
      </x:c>
      <x:c r="B3340" t="str">
        <x:v>PTN Akademik</x:v>
      </x:c>
      <x:c r="C3340" t="str">
        <x:v>UNIVERSITAS NEGERI MANADO</x:v>
      </x:c>
      <x:c r="D3340" t="str">
        <x:v>PEND GEOGRAFI</x:v>
      </x:c>
      <x:c r="E3340" t="str">
        <x:v>Sarjana</x:v>
      </x:c>
      <x:c r="F3340" s="18" t="n">
        <x:v>12</x:v>
      </x:c>
      <x:c r="G3340" s="18" t="n">
        <x:v>10</x:v>
      </x:c>
      <x:c r="H3340" s="19" t="n">
        <x:v>0.8333333333333334</x:v>
      </x:c>
      <x:c r="I3340" s="18" t="n">
        <x:f>ROUND(MIN(Model_Config_v3!$B$6,MAX(Q3340,R3340,S3340*Model_Config_v3!$B$4+T3340*Model_Config_v3!$B$5)),0)</x:f>
        <x:v>604</x:v>
      </x:c>
      <x:c r="J3340" s="18" t="n">
        <x:f>MIN(Model_Config_v3!$B$6,I3340+Model_Config_v3!$B$7)</x:f>
        <x:v>624</x:v>
      </x:c>
      <x:c r="K3340" s="20" t="n">
        <x:v>39.8</x:v>
      </x:c>
      <x:c r="L3340" t="str">
        <x:v>RELATIF LONGGAR</x:v>
      </x:c>
      <x:c r="M3340" t="str">
        <x:v>SEDANG</x:v>
      </x:c>
      <x:c r="N3340" t="str">
        <x:v>REGULER</x:v>
      </x:c>
      <x:c r="O3340" t="str">
        <x:v>CAMPURAN</x:v>
      </x:c>
      <x:c r="P3340" t="str">
        <x:v>UMUM</x:v>
      </x:c>
      <x:c r="Q3340" s="18" t="n">
        <x:v>0</x:v>
      </x:c>
      <x:c r="R3340" s="18" t="n">
        <x:v>0</x:v>
      </x:c>
      <x:c r="S3340" s="18" t="n">
        <x:v>520</x:v>
      </x:c>
      <x:c r="T3340" s="18" t="n">
        <x:v>640</x:v>
      </x:c>
      <x:c r="U3340" s="18" t="n">
        <x:v>520</x:v>
      </x:c>
      <x:c r="V3340" s="20" t="n">
        <x:v>8.8</x:v>
      </x:c>
      <x:c r="W3340" s="20" t="n">
        <x:v>9.9</x:v>
      </x:c>
      <x:c r="X3340" s="20" t="n">
        <x:v>3.3</x:v>
      </x:c>
      <x:c r="Y3340" t="str">
        <x:v>Basis arsip 2025/2024</x:v>
      </x:c>
      <x:c r="Z3340" t="str">
        <x:v>https://snpmb.id/utbk-snbt/daya-tampung-snbt</x:v>
      </x:c>
      <x:c r="AA3340" t="str">
        <x:v>Tidak Ada</x:v>
      </x:c>
      <x:c r="AB3340" t="str">
        <x:v>Campus=55; Ratio=0.0; Prodi=40; RelDemand=35.2; Capacity=90.0</x:v>
      </x:c>
    </x:row>
    <x:row r="3341">
      <x:c r="A3341" t="n">
        <x:v>3338</x:v>
      </x:c>
      <x:c r="B3341" t="str">
        <x:v>PTN Akademik</x:v>
      </x:c>
      <x:c r="C3341" t="str">
        <x:v>UNIVERSITAS NEGERI MANADO</x:v>
      </x:c>
      <x:c r="D3341" t="str">
        <x:v>ILMU ADM NEGARA</x:v>
      </x:c>
      <x:c r="E3341" t="str">
        <x:v>Sarjana</x:v>
      </x:c>
      <x:c r="F3341" s="18" t="n">
        <x:v>24</x:v>
      </x:c>
      <x:c r="G3341" s="18" t="n">
        <x:v>73</x:v>
      </x:c>
      <x:c r="H3341" s="19" t="n">
        <x:v>3.0416666666666665</x:v>
      </x:c>
      <x:c r="I3341" s="18" t="n">
        <x:f>ROUND(MIN(Model_Config_v3!$B$6,MAX(Q3341,R3341,S3341*Model_Config_v3!$B$4+T3341*Model_Config_v3!$B$5)),0)</x:f>
        <x:v>637</x:v>
      </x:c>
      <x:c r="J3341" s="18" t="n">
        <x:f>MIN(Model_Config_v3!$B$6,I3341+Model_Config_v3!$B$7)</x:f>
        <x:v>657</x:v>
      </x:c>
      <x:c r="K3341" s="20" t="n">
        <x:v>52.4</x:v>
      </x:c>
      <x:c r="L3341" t="str">
        <x:v>MENENGAH</x:v>
      </x:c>
      <x:c r="M3341" t="str">
        <x:v>SEDANG</x:v>
      </x:c>
      <x:c r="N3341" t="str">
        <x:v>REGULER</x:v>
      </x:c>
      <x:c r="O3341" t="str">
        <x:v>CAMPURAN</x:v>
      </x:c>
      <x:c r="P3341" t="str">
        <x:v>UMUM</x:v>
      </x:c>
      <x:c r="Q3341" s="18" t="n">
        <x:v>0</x:v>
      </x:c>
      <x:c r="R3341" s="18" t="n">
        <x:v>0</x:v>
      </x:c>
      <x:c r="S3341" s="18" t="n">
        <x:v>573.1422780249735</x:v>
      </x:c>
      <x:c r="T3341" s="18" t="n">
        <x:v>665</x:v>
      </x:c>
      <x:c r="U3341" s="18" t="n">
        <x:v>573.1422780249735</x:v>
      </x:c>
      <x:c r="V3341" s="20" t="n">
        <x:v>8.8</x:v>
      </x:c>
      <x:c r="W3341" s="20" t="n">
        <x:v>9.9</x:v>
      </x:c>
      <x:c r="X3341" s="20" t="n">
        <x:v>3.3</x:v>
      </x:c>
      <x:c r="Y3341" t="str">
        <x:v>Basis arsip 2025/2024</x:v>
      </x:c>
      <x:c r="Z3341" t="str">
        <x:v>https://snpmb.id/utbk-snbt/daya-tampung-snbt</x:v>
      </x:c>
      <x:c r="AA3341" t="str">
        <x:v>Tidak Ada</x:v>
      </x:c>
      <x:c r="AB3341" t="str">
        <x:v>Campus=55; Ratio=28.4; Prodi=40; RelDemand=100.0; Capacity=80.0</x:v>
      </x:c>
    </x:row>
    <x:row r="3342">
      <x:c r="A3342" t="n">
        <x:v>3339</x:v>
      </x:c>
      <x:c r="B3342" t="str">
        <x:v>PTN Akademik</x:v>
      </x:c>
      <x:c r="C3342" t="str">
        <x:v>UNIVERSITAS NEGERI MANADO</x:v>
      </x:c>
      <x:c r="D3342" t="str">
        <x:v>ILMU HUKUM</x:v>
      </x:c>
      <x:c r="E3342" t="str">
        <x:v>Sarjana</x:v>
      </x:c>
      <x:c r="F3342" s="18" t="n">
        <x:v>64</x:v>
      </x:c>
      <x:c r="G3342" s="18" t="n">
        <x:v>78</x:v>
      </x:c>
      <x:c r="H3342" s="19" t="n">
        <x:v>1.21875</x:v>
      </x:c>
      <x:c r="I3342" s="18" t="n">
        <x:f>ROUND(MIN(Model_Config_v3!$B$6,MAX(Q3342,R3342,S3342*Model_Config_v3!$B$4+T3342*Model_Config_v3!$B$5)),0)</x:f>
        <x:v>612</x:v>
      </x:c>
      <x:c r="J3342" s="18" t="n">
        <x:f>MIN(Model_Config_v3!$B$6,I3342+Model_Config_v3!$B$7)</x:f>
        <x:v>632</x:v>
      </x:c>
      <x:c r="K3342" s="20" t="n">
        <x:v>43.3</x:v>
      </x:c>
      <x:c r="L3342" t="str">
        <x:v>RELATIF LONGGAR</x:v>
      </x:c>
      <x:c r="M3342" t="str">
        <x:v>SEDANG+</x:v>
      </x:c>
      <x:c r="N3342" t="str">
        <x:v>REGULER</x:v>
      </x:c>
      <x:c r="O3342" t="str">
        <x:v>SOSHUM</x:v>
      </x:c>
      <x:c r="P3342" t="str">
        <x:v>HUKUM</x:v>
      </x:c>
      <x:c r="Q3342" s="18" t="n">
        <x:v>0</x:v>
      </x:c>
      <x:c r="R3342" s="18" t="n">
        <x:v>0</x:v>
      </x:c>
      <x:c r="S3342" s="18" t="n">
        <x:v>529.4506091577252</x:v>
      </x:c>
      <x:c r="T3342" s="18" t="n">
        <x:v>647</x:v>
      </x:c>
      <x:c r="U3342" s="18" t="n">
        <x:v>544.4506091577252</x:v>
      </x:c>
      <x:c r="V3342" s="20" t="n">
        <x:v>4.4</x:v>
      </x:c>
      <x:c r="W3342" s="20" t="n">
        <x:v>14.3</x:v>
      </x:c>
      <x:c r="X3342" s="20" t="n">
        <x:v>3.3</x:v>
      </x:c>
      <x:c r="Y3342" t="str">
        <x:v>Basis arsip 2025/2024</x:v>
      </x:c>
      <x:c r="Z3342" t="str">
        <x:v>https://snpmb.id/utbk-snbt/daya-tampung-snbt</x:v>
      </x:c>
      <x:c r="AA3342" t="str">
        <x:v>Tidak Ada</x:v>
      </x:c>
      <x:c r="AB3342" t="str">
        <x:v>Campus=55; Ratio=5.1; Prodi=65; RelDemand=51.6; Capacity=46.7</x:v>
      </x:c>
    </x:row>
    <x:row r="3343">
      <x:c r="A3343" t="n">
        <x:v>3340</x:v>
      </x:c>
      <x:c r="B3343" t="str">
        <x:v>PTN Akademik</x:v>
      </x:c>
      <x:c r="C3343" t="str">
        <x:v>UNIVERSITAS NEGERI MANADO</x:v>
      </x:c>
      <x:c r="D3343" t="str">
        <x:v>PEND EKONOMI S1</x:v>
      </x:c>
      <x:c r="E3343" t="str">
        <x:v>Sarjana</x:v>
      </x:c>
      <x:c r="F3343" s="18" t="n">
        <x:v>20</x:v>
      </x:c>
      <x:c r="G3343" s="18" t="n">
        <x:v>26</x:v>
      </x:c>
      <x:c r="H3343" s="19" t="n">
        <x:v>1.3</x:v>
      </x:c>
      <x:c r="I3343" s="18" t="n">
        <x:f>ROUND(MIN(Model_Config_v3!$B$6,MAX(Q3343,R3343,S3343*Model_Config_v3!$B$4+T3343*Model_Config_v3!$B$5)),0)</x:f>
        <x:v>612</x:v>
      </x:c>
      <x:c r="J3343" s="18" t="n">
        <x:f>MIN(Model_Config_v3!$B$6,I3343+Model_Config_v3!$B$7)</x:f>
        <x:v>632</x:v>
      </x:c>
      <x:c r="K3343" s="20" t="n">
        <x:v>42.8</x:v>
      </x:c>
      <x:c r="L3343" t="str">
        <x:v>RELATIF LONGGAR</x:v>
      </x:c>
      <x:c r="M3343" t="str">
        <x:v>SEDANG</x:v>
      </x:c>
      <x:c r="N3343" t="str">
        <x:v>REGULER</x:v>
      </x:c>
      <x:c r="O3343" t="str">
        <x:v>SOSHUM</x:v>
      </x:c>
      <x:c r="P3343" t="str">
        <x:v>UMUM</x:v>
      </x:c>
      <x:c r="Q3343" s="18" t="n">
        <x:v>0</x:v>
      </x:c>
      <x:c r="R3343" s="18" t="n">
        <x:v>0</x:v>
      </x:c>
      <x:c r="S3343" s="18" t="n">
        <x:v>532.533768753752</x:v>
      </x:c>
      <x:c r="T3343" s="18" t="n">
        <x:v>646</x:v>
      </x:c>
      <x:c r="U3343" s="18" t="n">
        <x:v>532.533768753752</x:v>
      </x:c>
      <x:c r="V3343" s="20" t="n">
        <x:v>4.4</x:v>
      </x:c>
      <x:c r="W3343" s="20" t="n">
        <x:v>14.3</x:v>
      </x:c>
      <x:c r="X3343" s="20" t="n">
        <x:v>3.3</x:v>
      </x:c>
      <x:c r="Y3343" t="str">
        <x:v>Basis arsip 2025/2024</x:v>
      </x:c>
      <x:c r="Z3343" t="str">
        <x:v>https://snpmb.id/utbk-snbt/daya-tampung-snbt</x:v>
      </x:c>
      <x:c r="AA3343" t="str">
        <x:v>Tidak Ada</x:v>
      </x:c>
      <x:c r="AB3343" t="str">
        <x:v>Campus=55; Ratio=6.7; Prodi=40; RelDemand=55.0; Capacity=83.3</x:v>
      </x:c>
    </x:row>
    <x:row r="3344">
      <x:c r="A3344" t="n">
        <x:v>3341</x:v>
      </x:c>
      <x:c r="B3344" t="str">
        <x:v>PTN Akademik</x:v>
      </x:c>
      <x:c r="C3344" t="str">
        <x:v>UNIVERSITAS NEGERI MANADO</x:v>
      </x:c>
      <x:c r="D3344" t="str">
        <x:v>MANAJEMEN S1</x:v>
      </x:c>
      <x:c r="E3344" t="str">
        <x:v>Sarjana</x:v>
      </x:c>
      <x:c r="F3344" s="18" t="n">
        <x:v>100</x:v>
      </x:c>
      <x:c r="G3344" s="18" t="n">
        <x:v>143</x:v>
      </x:c>
      <x:c r="H3344" s="19" t="n">
        <x:v>1.43</x:v>
      </x:c>
      <x:c r="I3344" s="18" t="n">
        <x:f>ROUND(MIN(Model_Config_v3!$B$6,MAX(Q3344,R3344,S3344*Model_Config_v3!$B$4+T3344*Model_Config_v3!$B$5)),0)</x:f>
        <x:v>613</x:v>
      </x:c>
      <x:c r="J3344" s="18" t="n">
        <x:f>MIN(Model_Config_v3!$B$6,I3344+Model_Config_v3!$B$7)</x:f>
        <x:v>633</x:v>
      </x:c>
      <x:c r="K3344" s="20" t="n">
        <x:v>42.3</x:v>
      </x:c>
      <x:c r="L3344" t="str">
        <x:v>RELATIF LONGGAR</x:v>
      </x:c>
      <x:c r="M3344" t="str">
        <x:v>SEDANG+</x:v>
      </x:c>
      <x:c r="N3344" t="str">
        <x:v>REGULER</x:v>
      </x:c>
      <x:c r="O3344" t="str">
        <x:v>SOSHUM</x:v>
      </x:c>
      <x:c r="P3344" t="str">
        <x:v>BISNIS/EKONOMI/AKUNTANSI</x:v>
      </x:c>
      <x:c r="Q3344" s="18" t="n">
        <x:v>0</x:v>
      </x:c>
      <x:c r="R3344" s="18" t="n">
        <x:v>0</x:v>
      </x:c>
      <x:c r="S3344" s="18" t="n">
        <x:v>537.0869641211568</x:v>
      </x:c>
      <x:c r="T3344" s="18" t="n">
        <x:v>645</x:v>
      </x:c>
      <x:c r="U3344" s="18" t="n">
        <x:v>552.0869641211568</x:v>
      </x:c>
      <x:c r="V3344" s="20" t="n">
        <x:v>4.4</x:v>
      </x:c>
      <x:c r="W3344" s="20" t="n">
        <x:v>14.3</x:v>
      </x:c>
      <x:c r="X3344" s="20" t="n">
        <x:v>3.3</x:v>
      </x:c>
      <x:c r="Y3344" t="str">
        <x:v>Basis arsip 2025/2024</x:v>
      </x:c>
      <x:c r="Z3344" t="str">
        <x:v>https://snpmb.id/utbk-snbt/daya-tampung-snbt</x:v>
      </x:c>
      <x:c r="AA3344" t="str">
        <x:v>Tidak Ada</x:v>
      </x:c>
      <x:c r="AB3344" t="str">
        <x:v>Campus=55; Ratio=9.1; Prodi=65; RelDemand=60.5; Capacity=16.7</x:v>
      </x:c>
    </x:row>
    <x:row r="3345">
      <x:c r="A3345" t="n">
        <x:v>3342</x:v>
      </x:c>
      <x:c r="B3345" t="str">
        <x:v>PTN Akademik</x:v>
      </x:c>
      <x:c r="C3345" t="str">
        <x:v>UNIVERSITAS NEGERI MANADO</x:v>
      </x:c>
      <x:c r="D3345" t="str">
        <x:v>PEND. KEPELATIHAN OR</x:v>
      </x:c>
      <x:c r="E3345" t="str">
        <x:v>Sarjana</x:v>
      </x:c>
      <x:c r="F3345" s="18" t="n">
        <x:v>48</x:v>
      </x:c>
      <x:c r="G3345" s="18" t="n">
        <x:v>12</x:v>
      </x:c>
      <x:c r="H3345" s="19" t="n">
        <x:v>0.25</x:v>
      </x:c>
      <x:c r="I3345" s="18" t="n">
        <x:f>ROUND(MIN(Model_Config_v3!$B$6,MAX(Q3345,R3345,S3345*Model_Config_v3!$B$4+T3345*Model_Config_v3!$B$5)),0)</x:f>
        <x:v>598</x:v>
      </x:c>
      <x:c r="J3345" s="18" t="n">
        <x:f>MIN(Model_Config_v3!$B$6,I3345+Model_Config_v3!$B$7)</x:f>
        <x:v>618</x:v>
      </x:c>
      <x:c r="K3345" s="20" t="n">
        <x:v>35.3</x:v>
      </x:c>
      <x:c r="L3345" t="str">
        <x:v>RELATIF LONGGAR</x:v>
      </x:c>
      <x:c r="M3345" t="str">
        <x:v>PORTOFOLIO</x:v>
      </x:c>
      <x:c r="N3345" t="str">
        <x:v>REGULER</x:v>
      </x:c>
      <x:c r="O3345" t="str">
        <x:v>SENI/OLAHRAGA</x:v>
      </x:c>
      <x:c r="P3345" t="str">
        <x:v>SENI/OLAHRAGA</x:v>
      </x:c>
      <x:c r="Q3345" s="18" t="n">
        <x:v>0</x:v>
      </x:c>
      <x:c r="R3345" s="18" t="n">
        <x:v>0</x:v>
      </x:c>
      <x:c r="S3345" s="18" t="n">
        <x:v>520</x:v>
      </x:c>
      <x:c r="T3345" s="18" t="n">
        <x:v>631</x:v>
      </x:c>
      <x:c r="U3345" s="18" t="n">
        <x:v>520</x:v>
      </x:c>
      <x:c r="V3345" s="20" t="n">
        <x:v>4.4</x:v>
      </x:c>
      <x:c r="W3345" s="20" t="n">
        <x:v>9.9</x:v>
      </x:c>
      <x:c r="X3345" s="20" t="n">
        <x:v>7.7</x:v>
      </x:c>
      <x:c r="Y3345" t="str">
        <x:v>Basis arsip 2025/2024</x:v>
      </x:c>
      <x:c r="Z3345" t="str">
        <x:v>https://snpmb.id/utbk-snbt/daya-tampung-snbt</x:v>
      </x:c>
      <x:c r="AA3345" t="str">
        <x:v>Olahraga</x:v>
      </x:c>
      <x:c r="AB3345" t="str">
        <x:v>Campus=55; Ratio=0.0; Prodi=45; RelDemand=10.6; Capacity=60.0</x:v>
      </x:c>
    </x:row>
    <x:row r="3346">
      <x:c r="A3346" t="n">
        <x:v>3343</x:v>
      </x:c>
      <x:c r="B3346" t="str">
        <x:v>PTN Akademik</x:v>
      </x:c>
      <x:c r="C3346" t="str">
        <x:v>UNIVERSITAS NEGERI MANADO</x:v>
      </x:c>
      <x:c r="D3346" t="str">
        <x:v>PEND. JASMANI, KES. REK</x:v>
      </x:c>
      <x:c r="E3346" t="str">
        <x:v>Sarjana</x:v>
      </x:c>
      <x:c r="F3346" s="18" t="n">
        <x:v>48</x:v>
      </x:c>
      <x:c r="G3346" s="18" t="n">
        <x:v>10</x:v>
      </x:c>
      <x:c r="H3346" s="19" t="n">
        <x:v>0.20833333333333334</x:v>
      </x:c>
      <x:c r="I3346" s="18" t="n">
        <x:f>ROUND(MIN(Model_Config_v3!$B$6,MAX(Q3346,R3346,S3346*Model_Config_v3!$B$4+T3346*Model_Config_v3!$B$5)),0)</x:f>
        <x:v>597</x:v>
      </x:c>
      <x:c r="J3346" s="18" t="n">
        <x:f>MIN(Model_Config_v3!$B$6,I3346+Model_Config_v3!$B$7)</x:f>
        <x:v>617</x:v>
      </x:c>
      <x:c r="K3346" s="20" t="n">
        <x:v>35.1</x:v>
      </x:c>
      <x:c r="L3346" t="str">
        <x:v>RELATIF LONGGAR</x:v>
      </x:c>
      <x:c r="M3346" t="str">
        <x:v>PORTOFOLIO</x:v>
      </x:c>
      <x:c r="N3346" t="str">
        <x:v>REGULER</x:v>
      </x:c>
      <x:c r="O3346" t="str">
        <x:v>SENI/OLAHRAGA</x:v>
      </x:c>
      <x:c r="P3346" t="str">
        <x:v>SENI/OLAHRAGA</x:v>
      </x:c>
      <x:c r="Q3346" s="18" t="n">
        <x:v>0</x:v>
      </x:c>
      <x:c r="R3346" s="18" t="n">
        <x:v>0</x:v>
      </x:c>
      <x:c r="S3346" s="18" t="n">
        <x:v>520</x:v>
      </x:c>
      <x:c r="T3346" s="18" t="n">
        <x:v>630</x:v>
      </x:c>
      <x:c r="U3346" s="18" t="n">
        <x:v>520</x:v>
      </x:c>
      <x:c r="V3346" s="20" t="n">
        <x:v>4.4</x:v>
      </x:c>
      <x:c r="W3346" s="20" t="n">
        <x:v>9.9</x:v>
      </x:c>
      <x:c r="X3346" s="20" t="n">
        <x:v>7.7</x:v>
      </x:c>
      <x:c r="Y3346" t="str">
        <x:v>Basis arsip 2025/2024</x:v>
      </x:c>
      <x:c r="Z3346" t="str">
        <x:v>https://snpmb.id/utbk-snbt/daya-tampung-snbt</x:v>
      </x:c>
      <x:c r="AA3346" t="str">
        <x:v>Olahraga</x:v>
      </x:c>
      <x:c r="AB3346" t="str">
        <x:v>Campus=55; Ratio=0.0; Prodi=45; RelDemand=8.8; Capacity=60.0</x:v>
      </x:c>
    </x:row>
    <x:row r="3347">
      <x:c r="A3347" t="n">
        <x:v>3344</x:v>
      </x:c>
      <x:c r="B3347" t="str">
        <x:v>PTN Akademik</x:v>
      </x:c>
      <x:c r="C3347" t="str">
        <x:v>UNIVERSITAS NEGERI MANADO</x:v>
      </x:c>
      <x:c r="D3347" t="str">
        <x:v>PLS</x:v>
      </x:c>
      <x:c r="E3347" t="str">
        <x:v>Sarjana</x:v>
      </x:c>
      <x:c r="F3347" s="18" t="n">
        <x:v>36</x:v>
      </x:c>
      <x:c r="G3347" s="18" t="n">
        <x:v>2</x:v>
      </x:c>
      <x:c r="H3347" s="19" t="n">
        <x:v>0.05555555555555555</x:v>
      </x:c>
      <x:c r="I3347" s="18" t="n">
        <x:f>ROUND(MIN(Model_Config_v3!$B$6,MAX(Q3347,R3347,S3347*Model_Config_v3!$B$4+T3347*Model_Config_v3!$B$5)),0)</x:f>
        <x:v>596</x:v>
      </x:c>
      <x:c r="J3347" s="18" t="n">
        <x:f>MIN(Model_Config_v3!$B$6,I3347+Model_Config_v3!$B$7)</x:f>
        <x:v>616</x:v>
      </x:c>
      <x:c r="K3347" s="20" t="n">
        <x:v>34.5</x:v>
      </x:c>
      <x:c r="L3347" t="str">
        <x:v>RELATIF LONGGAR</x:v>
      </x:c>
      <x:c r="M3347" t="str">
        <x:v>SEDANG</x:v>
      </x:c>
      <x:c r="N3347" t="str">
        <x:v>REGULER</x:v>
      </x:c>
      <x:c r="O3347" t="str">
        <x:v>CAMPURAN</x:v>
      </x:c>
      <x:c r="P3347" t="str">
        <x:v>UMUM</x:v>
      </x:c>
      <x:c r="Q3347" s="18" t="n">
        <x:v>0</x:v>
      </x:c>
      <x:c r="R3347" s="18" t="n">
        <x:v>0</x:v>
      </x:c>
      <x:c r="S3347" s="18" t="n">
        <x:v>520</x:v>
      </x:c>
      <x:c r="T3347" s="18" t="n">
        <x:v>629</x:v>
      </x:c>
      <x:c r="U3347" s="18" t="n">
        <x:v>520</x:v>
      </x:c>
      <x:c r="V3347" s="20" t="n">
        <x:v>8.8</x:v>
      </x:c>
      <x:c r="W3347" s="20" t="n">
        <x:v>9.9</x:v>
      </x:c>
      <x:c r="X3347" s="20" t="n">
        <x:v>3.3</x:v>
      </x:c>
      <x:c r="Y3347" t="str">
        <x:v>Basis arsip 2025/2024</x:v>
      </x:c>
      <x:c r="Z3347" t="str">
        <x:v>https://snpmb.id/utbk-snbt/daya-tampung-snbt</x:v>
      </x:c>
      <x:c r="AA3347" t="str">
        <x:v>Tidak Ada</x:v>
      </x:c>
      <x:c r="AB3347" t="str">
        <x:v>Campus=55; Ratio=0.0; Prodi=40; RelDemand=2.3; Capacity=70.0</x:v>
      </x:c>
    </x:row>
    <x:row r="3348">
      <x:c r="A3348" t="n">
        <x:v>3345</x:v>
      </x:c>
      <x:c r="B3348" t="str">
        <x:v>PTN Akademik</x:v>
      </x:c>
      <x:c r="C3348" t="str">
        <x:v>UNIVERSITAS NEGERI MANADO</x:v>
      </x:c>
      <x:c r="D3348" t="str">
        <x:v>PLB/P.KH</x:v>
      </x:c>
      <x:c r="E3348" t="str">
        <x:v>Sarjana</x:v>
      </x:c>
      <x:c r="F3348" s="18" t="n">
        <x:v>36</x:v>
      </x:c>
      <x:c r="G3348" s="18" t="n">
        <x:v>3</x:v>
      </x:c>
      <x:c r="H3348" s="19" t="n">
        <x:v>0.08333333333333333</x:v>
      </x:c>
      <x:c r="I3348" s="18" t="n">
        <x:f>ROUND(MIN(Model_Config_v3!$B$6,MAX(Q3348,R3348,S3348*Model_Config_v3!$B$4+T3348*Model_Config_v3!$B$5)),0)</x:f>
        <x:v>596</x:v>
      </x:c>
      <x:c r="J3348" s="18" t="n">
        <x:f>MIN(Model_Config_v3!$B$6,I3348+Model_Config_v3!$B$7)</x:f>
        <x:v>616</x:v>
      </x:c>
      <x:c r="K3348" s="20" t="n">
        <x:v>34.6</x:v>
      </x:c>
      <x:c r="L3348" t="str">
        <x:v>RELATIF LONGGAR</x:v>
      </x:c>
      <x:c r="M3348" t="str">
        <x:v>SEDANG</x:v>
      </x:c>
      <x:c r="N3348" t="str">
        <x:v>REGULER</x:v>
      </x:c>
      <x:c r="O3348" t="str">
        <x:v>CAMPURAN</x:v>
      </x:c>
      <x:c r="P3348" t="str">
        <x:v>UMUM</x:v>
      </x:c>
      <x:c r="Q3348" s="18" t="n">
        <x:v>0</x:v>
      </x:c>
      <x:c r="R3348" s="18" t="n">
        <x:v>0</x:v>
      </x:c>
      <x:c r="S3348" s="18" t="n">
        <x:v>520</x:v>
      </x:c>
      <x:c r="T3348" s="18" t="n">
        <x:v>629</x:v>
      </x:c>
      <x:c r="U3348" s="18" t="n">
        <x:v>520</x:v>
      </x:c>
      <x:c r="V3348" s="20" t="n">
        <x:v>8.8</x:v>
      </x:c>
      <x:c r="W3348" s="20" t="n">
        <x:v>9.9</x:v>
      </x:c>
      <x:c r="X3348" s="20" t="n">
        <x:v>3.3</x:v>
      </x:c>
      <x:c r="Y3348" t="str">
        <x:v>Basis arsip 2025/2024</x:v>
      </x:c>
      <x:c r="Z3348" t="str">
        <x:v>https://snpmb.id/utbk-snbt/daya-tampung-snbt</x:v>
      </x:c>
      <x:c r="AA3348" t="str">
        <x:v>Tidak Ada</x:v>
      </x:c>
      <x:c r="AB3348" t="str">
        <x:v>Campus=55; Ratio=0.0; Prodi=40; RelDemand=3.5; Capacity=70.0</x:v>
      </x:c>
    </x:row>
    <x:row r="3349">
      <x:c r="A3349" t="n">
        <x:v>3346</x:v>
      </x:c>
      <x:c r="B3349" t="str">
        <x:v>PTN Akademik</x:v>
      </x:c>
      <x:c r="C3349" t="str">
        <x:v>UNIVERSITAS NEGERI MANADO</x:v>
      </x:c>
      <x:c r="D3349" t="str">
        <x:v>PSIKOLOGI</x:v>
      </x:c>
      <x:c r="E3349" t="str">
        <x:v>Sarjana</x:v>
      </x:c>
      <x:c r="F3349" s="18" t="n">
        <x:v>72</x:v>
      </x:c>
      <x:c r="G3349" s="18" t="n">
        <x:v>121</x:v>
      </x:c>
      <x:c r="H3349" s="19" t="n">
        <x:v>1.6805555555555556</x:v>
      </x:c>
      <x:c r="I3349" s="18" t="n">
        <x:f>ROUND(MIN(Model_Config_v3!$B$6,MAX(Q3349,R3349,S3349*Model_Config_v3!$B$4+T3349*Model_Config_v3!$B$5)),0)</x:f>
        <x:v>625</x:v>
      </x:c>
      <x:c r="J3349" s="18" t="n">
        <x:f>MIN(Model_Config_v3!$B$6,I3349+Model_Config_v3!$B$7)</x:f>
        <x:v>645</x:v>
      </x:c>
      <x:c r="K3349" s="20" t="n">
        <x:v>49.7</x:v>
      </x:c>
      <x:c r="L3349" t="str">
        <x:v>MENENGAH</x:v>
      </x:c>
      <x:c r="M3349" t="str">
        <x:v>SEDANG+</x:v>
      </x:c>
      <x:c r="N3349" t="str">
        <x:v>REGULER</x:v>
      </x:c>
      <x:c r="O3349" t="str">
        <x:v>SOSHUM</x:v>
      </x:c>
      <x:c r="P3349" t="str">
        <x:v>PSIKOLOGI</x:v>
      </x:c>
      <x:c r="Q3349" s="18" t="n">
        <x:v>0</x:v>
      </x:c>
      <x:c r="R3349" s="18" t="n">
        <x:v>0</x:v>
      </x:c>
      <x:c r="S3349" s="18" t="n">
        <x:v>544.7998161273699</x:v>
      </x:c>
      <x:c r="T3349" s="18" t="n">
        <x:v>659</x:v>
      </x:c>
      <x:c r="U3349" s="18" t="n">
        <x:v>569.7998161273699</x:v>
      </x:c>
      <x:c r="V3349" s="20" t="n">
        <x:v>4.4</x:v>
      </x:c>
      <x:c r="W3349" s="20" t="n">
        <x:v>14.3</x:v>
      </x:c>
      <x:c r="X3349" s="20" t="n">
        <x:v>3.3</x:v>
      </x:c>
      <x:c r="Y3349" t="str">
        <x:v>Basis arsip 2025/2024</x:v>
      </x:c>
      <x:c r="Z3349" t="str">
        <x:v>https://snpmb.id/utbk-snbt/daya-tampung-snbt</x:v>
      </x:c>
      <x:c r="AA3349" t="str">
        <x:v>Tidak Ada</x:v>
      </x:c>
      <x:c r="AB3349" t="str">
        <x:v>Campus=55; Ratio=13.3; Prodi=80; RelDemand=71.1; Capacity=40.0</x:v>
      </x:c>
    </x:row>
    <x:row r="3350">
      <x:c r="A3350" t="n">
        <x:v>3347</x:v>
      </x:c>
      <x:c r="B3350" t="str">
        <x:v>PTN Akademik</x:v>
      </x:c>
      <x:c r="C3350" t="str">
        <x:v>UNIVERSITAS NEGERI MANADO</x:v>
      </x:c>
      <x:c r="D3350" t="str">
        <x:v>PGSD</x:v>
      </x:c>
      <x:c r="E3350" t="str">
        <x:v>Sarjana</x:v>
      </x:c>
      <x:c r="F3350" s="18" t="n">
        <x:v>136</x:v>
      </x:c>
      <x:c r="G3350" s="18" t="n">
        <x:v>118</x:v>
      </x:c>
      <x:c r="H3350" s="19" t="n">
        <x:v>0.8676470588235294</x:v>
      </x:c>
      <x:c r="I3350" s="18" t="n">
        <x:f>ROUND(MIN(Model_Config_v3!$B$6,MAX(Q3350,R3350,S3350*Model_Config_v3!$B$4+T3350*Model_Config_v3!$B$5)),0)</x:f>
        <x:v>591</x:v>
      </x:c>
      <x:c r="J3350" s="18" t="n">
        <x:f>MIN(Model_Config_v3!$B$6,I3350+Model_Config_v3!$B$7)</x:f>
        <x:v>611</x:v>
      </x:c>
      <x:c r="K3350" s="20" t="n">
        <x:v>30.9</x:v>
      </x:c>
      <x:c r="L3350" t="str">
        <x:v>RELATIF LONGGAR</x:v>
      </x:c>
      <x:c r="M3350" t="str">
        <x:v>SEDANG</x:v>
      </x:c>
      <x:c r="N3350" t="str">
        <x:v>REGULER</x:v>
      </x:c>
      <x:c r="O3350" t="str">
        <x:v>CAMPURAN</x:v>
      </x:c>
      <x:c r="P3350" t="str">
        <x:v>UMUM</x:v>
      </x:c>
      <x:c r="Q3350" s="18" t="n">
        <x:v>0</x:v>
      </x:c>
      <x:c r="R3350" s="18" t="n">
        <x:v>0</x:v>
      </x:c>
      <x:c r="S3350" s="18" t="n">
        <x:v>520</x:v>
      </x:c>
      <x:c r="T3350" s="18" t="n">
        <x:v>622</x:v>
      </x:c>
      <x:c r="U3350" s="18" t="n">
        <x:v>520</x:v>
      </x:c>
      <x:c r="V3350" s="20" t="n">
        <x:v>8.8</x:v>
      </x:c>
      <x:c r="W3350" s="20" t="n">
        <x:v>9.9</x:v>
      </x:c>
      <x:c r="X3350" s="20" t="n">
        <x:v>3.3</x:v>
      </x:c>
      <x:c r="Y3350" t="str">
        <x:v>Basis arsip 2025/2024</x:v>
      </x:c>
      <x:c r="Z3350" t="str">
        <x:v>https://snpmb.id/utbk-snbt/daya-tampung-snbt</x:v>
      </x:c>
      <x:c r="AA3350" t="str">
        <x:v>Tidak Ada</x:v>
      </x:c>
      <x:c r="AB3350" t="str">
        <x:v>Campus=55; Ratio=0.0; Prodi=40; RelDemand=36.7; Capacity=0.0</x:v>
      </x:c>
    </x:row>
    <x:row r="3351">
      <x:c r="A3351" t="n">
        <x:v>3348</x:v>
      </x:c>
      <x:c r="B3351" t="str">
        <x:v>PTN Akademik</x:v>
      </x:c>
      <x:c r="C3351" t="str">
        <x:v>UNIVERSITAS NEGERI MANADO</x:v>
      </x:c>
      <x:c r="D3351" t="str">
        <x:v>AKUNTANSI</x:v>
      </x:c>
      <x:c r="E3351" t="str">
        <x:v>Sarjana</x:v>
      </x:c>
      <x:c r="F3351" s="18" t="n">
        <x:v>56</x:v>
      </x:c>
      <x:c r="G3351" s="18" t="n">
        <x:v>61</x:v>
      </x:c>
      <x:c r="H3351" s="19" t="n">
        <x:v>1.0892857142857142</x:v>
      </x:c>
      <x:c r="I3351" s="18" t="n">
        <x:f>ROUND(MIN(Model_Config_v3!$B$6,MAX(Q3351,R3351,S3351*Model_Config_v3!$B$4+T3351*Model_Config_v3!$B$5)),0)</x:f>
        <x:v>609</x:v>
      </x:c>
      <x:c r="J3351" s="18" t="n">
        <x:f>MIN(Model_Config_v3!$B$6,I3351+Model_Config_v3!$B$7)</x:f>
        <x:v>629</x:v>
      </x:c>
      <x:c r="K3351" s="20" t="n">
        <x:v>42.7</x:v>
      </x:c>
      <x:c r="L3351" t="str">
        <x:v>RELATIF LONGGAR</x:v>
      </x:c>
      <x:c r="M3351" t="str">
        <x:v>SEDANG+</x:v>
      </x:c>
      <x:c r="N3351" t="str">
        <x:v>REGULER</x:v>
      </x:c>
      <x:c r="O3351" t="str">
        <x:v>SOSHUM</x:v>
      </x:c>
      <x:c r="P3351" t="str">
        <x:v>BISNIS/EKONOMI/AKUNTANSI</x:v>
      </x:c>
      <x:c r="Q3351" s="18" t="n">
        <x:v>0</x:v>
      </x:c>
      <x:c r="R3351" s="18" t="n">
        <x:v>0</x:v>
      </x:c>
      <x:c r="S3351" s="18" t="n">
        <x:v>524.0855988805023</x:v>
      </x:c>
      <x:c r="T3351" s="18" t="n">
        <x:v>645</x:v>
      </x:c>
      <x:c r="U3351" s="18" t="n">
        <x:v>524.0855988805023</x:v>
      </x:c>
      <x:c r="V3351" s="20" t="n">
        <x:v>4.4</x:v>
      </x:c>
      <x:c r="W3351" s="20" t="n">
        <x:v>14.3</x:v>
      </x:c>
      <x:c r="X3351" s="20" t="n">
        <x:v>3.3</x:v>
      </x:c>
      <x:c r="Y3351" t="str">
        <x:v>Basis arsip 2025/2024</x:v>
      </x:c>
      <x:c r="Z3351" t="str">
        <x:v>https://snpmb.id/utbk-snbt/daya-tampung-snbt</x:v>
      </x:c>
      <x:c r="AA3351" t="str">
        <x:v>Tidak Ada</x:v>
      </x:c>
      <x:c r="AB3351" t="str">
        <x:v>Campus=55; Ratio=2.2; Prodi=65; RelDemand=46.1; Capacity=53.3</x:v>
      </x:c>
    </x:row>
    <x:row r="3352">
      <x:c r="A3352" t="n">
        <x:v>3349</x:v>
      </x:c>
      <x:c r="B3352" t="str">
        <x:v>PTN Akademik</x:v>
      </x:c>
      <x:c r="C3352" t="str">
        <x:v>UNIVERSITAS NEGERI MANADO</x:v>
      </x:c>
      <x:c r="D3352" t="str">
        <x:v>BIMBINGAN KONSELING</x:v>
      </x:c>
      <x:c r="E3352" t="str">
        <x:v>Sarjana</x:v>
      </x:c>
      <x:c r="F3352" s="18" t="n">
        <x:v>44</x:v>
      </x:c>
      <x:c r="G3352" s="18" t="n">
        <x:v>37</x:v>
      </x:c>
      <x:c r="H3352" s="19" t="n">
        <x:v>0.8409090909090909</x:v>
      </x:c>
      <x:c r="I3352" s="18" t="n">
        <x:f>ROUND(MIN(Model_Config_v3!$B$6,MAX(Q3352,R3352,S3352*Model_Config_v3!$B$4+T3352*Model_Config_v3!$B$5)),0)</x:f>
        <x:v>600</x:v>
      </x:c>
      <x:c r="J3352" s="18" t="n">
        <x:f>MIN(Model_Config_v3!$B$6,I3352+Model_Config_v3!$B$7)</x:f>
        <x:v>620</x:v>
      </x:c>
      <x:c r="K3352" s="20" t="n">
        <x:v>37.1</x:v>
      </x:c>
      <x:c r="L3352" t="str">
        <x:v>RELATIF LONGGAR</x:v>
      </x:c>
      <x:c r="M3352" t="str">
        <x:v>SEDANG</x:v>
      </x:c>
      <x:c r="N3352" t="str">
        <x:v>REGULER</x:v>
      </x:c>
      <x:c r="O3352" t="str">
        <x:v>CAMPURAN</x:v>
      </x:c>
      <x:c r="P3352" t="str">
        <x:v>UMUM</x:v>
      </x:c>
      <x:c r="Q3352" s="18" t="n">
        <x:v>0</x:v>
      </x:c>
      <x:c r="R3352" s="18" t="n">
        <x:v>0</x:v>
      </x:c>
      <x:c r="S3352" s="18" t="n">
        <x:v>520</x:v>
      </x:c>
      <x:c r="T3352" s="18" t="n">
        <x:v>634</x:v>
      </x:c>
      <x:c r="U3352" s="18" t="n">
        <x:v>520</x:v>
      </x:c>
      <x:c r="V3352" s="20" t="n">
        <x:v>8.8</x:v>
      </x:c>
      <x:c r="W3352" s="20" t="n">
        <x:v>9.9</x:v>
      </x:c>
      <x:c r="X3352" s="20" t="n">
        <x:v>3.3</x:v>
      </x:c>
      <x:c r="Y3352" t="str">
        <x:v>Basis arsip 2025/2024</x:v>
      </x:c>
      <x:c r="Z3352" t="str">
        <x:v>https://snpmb.id/utbk-snbt/daya-tampung-snbt</x:v>
      </x:c>
      <x:c r="AA3352" t="str">
        <x:v>Tidak Ada</x:v>
      </x:c>
      <x:c r="AB3352" t="str">
        <x:v>Campus=55; Ratio=0.0; Prodi=40; RelDemand=35.6; Capacity=63.3</x:v>
      </x:c>
    </x:row>
    <x:row r="3353">
      <x:c r="A3353" t="n">
        <x:v>3350</x:v>
      </x:c>
      <x:c r="B3353" t="str">
        <x:v>PTN Akademik</x:v>
      </x:c>
      <x:c r="C3353" t="str">
        <x:v>UNIVERSITAS NEGERI MANADO</x:v>
      </x:c>
      <x:c r="D3353" t="str">
        <x:v>PEND. ANAK USIA DINI</x:v>
      </x:c>
      <x:c r="E3353" t="str">
        <x:v>Sarjana</x:v>
      </x:c>
      <x:c r="F3353" s="18" t="n">
        <x:v>48</x:v>
      </x:c>
      <x:c r="G3353" s="18" t="n">
        <x:v>13</x:v>
      </x:c>
      <x:c r="H3353" s="19" t="n">
        <x:v>0.2708333333333333</x:v>
      </x:c>
      <x:c r="I3353" s="18" t="n">
        <x:f>ROUND(MIN(Model_Config_v3!$B$6,MAX(Q3353,R3353,S3353*Model_Config_v3!$B$4+T3353*Model_Config_v3!$B$5)),0)</x:f>
        <x:v>598</x:v>
      </x:c>
      <x:c r="J3353" s="18" t="n">
        <x:f>MIN(Model_Config_v3!$B$6,I3353+Model_Config_v3!$B$7)</x:f>
        <x:v>618</x:v>
      </x:c>
      <x:c r="K3353" s="20" t="n">
        <x:v>35.4</x:v>
      </x:c>
      <x:c r="L3353" t="str">
        <x:v>RELATIF LONGGAR</x:v>
      </x:c>
      <x:c r="M3353" t="str">
        <x:v>SEDANG+</x:v>
      </x:c>
      <x:c r="N3353" t="str">
        <x:v>REGULER</x:v>
      </x:c>
      <x:c r="O3353" t="str">
        <x:v>CAMPURAN</x:v>
      </x:c>
      <x:c r="P3353" t="str">
        <x:v>PENDIDIKAN</x:v>
      </x:c>
      <x:c r="Q3353" s="18" t="n">
        <x:v>0</x:v>
      </x:c>
      <x:c r="R3353" s="18" t="n">
        <x:v>0</x:v>
      </x:c>
      <x:c r="S3353" s="18" t="n">
        <x:v>520</x:v>
      </x:c>
      <x:c r="T3353" s="18" t="n">
        <x:v>631</x:v>
      </x:c>
      <x:c r="U3353" s="18" t="n">
        <x:v>520</x:v>
      </x:c>
      <x:c r="V3353" s="20" t="n">
        <x:v>8.8</x:v>
      </x:c>
      <x:c r="W3353" s="20" t="n">
        <x:v>9.9</x:v>
      </x:c>
      <x:c r="X3353" s="20" t="n">
        <x:v>3.3</x:v>
      </x:c>
      <x:c r="Y3353" t="str">
        <x:v>Basis arsip 2025/2024</x:v>
      </x:c>
      <x:c r="Z3353" t="str">
        <x:v>https://snpmb.id/utbk-snbt/daya-tampung-snbt</x:v>
      </x:c>
      <x:c r="AA3353" t="str">
        <x:v>Tidak Ada</x:v>
      </x:c>
      <x:c r="AB3353" t="str">
        <x:v>Campus=55; Ratio=0.0; Prodi=45; RelDemand=11.5; Capacity=60.0</x:v>
      </x:c>
    </x:row>
    <x:row r="3354">
      <x:c r="A3354" t="n">
        <x:v>3351</x:v>
      </x:c>
      <x:c r="B3354" t="str">
        <x:v>PTN Akademik</x:v>
      </x:c>
      <x:c r="C3354" t="str">
        <x:v>UNIVERSITAS NEGERI MANADO</x:v>
      </x:c>
      <x:c r="D3354" t="str">
        <x:v>PENDIDIKAN SOSIOLOGI</x:v>
      </x:c>
      <x:c r="E3354" t="str">
        <x:v>Sarjana</x:v>
      </x:c>
      <x:c r="F3354" s="18" t="n">
        <x:v>16</x:v>
      </x:c>
      <x:c r="G3354" s="18" t="n">
        <x:v>26</x:v>
      </x:c>
      <x:c r="H3354" s="19" t="n">
        <x:v>1.625</x:v>
      </x:c>
      <x:c r="I3354" s="18" t="n">
        <x:f>ROUND(MIN(Model_Config_v3!$B$6,MAX(Q3354,R3354,S3354*Model_Config_v3!$B$4+T3354*Model_Config_v3!$B$5)),0)</x:f>
        <x:v>621</x:v>
      </x:c>
      <x:c r="J3354" s="18" t="n">
        <x:f>MIN(Model_Config_v3!$B$6,I3354+Model_Config_v3!$B$7)</x:f>
        <x:v>641</x:v>
      </x:c>
      <x:c r="K3354" s="20" t="n">
        <x:v>46.9</x:v>
      </x:c>
      <x:c r="L3354" t="str">
        <x:v>MENENGAH</x:v>
      </x:c>
      <x:c r="M3354" t="str">
        <x:v>SEDANG+</x:v>
      </x:c>
      <x:c r="N3354" t="str">
        <x:v>REGULER</x:v>
      </x:c>
      <x:c r="O3354" t="str">
        <x:v>SOSHUM</x:v>
      </x:c>
      <x:c r="P3354" t="str">
        <x:v>PENDIDIKAN</x:v>
      </x:c>
      <x:c r="Q3354" s="18" t="n">
        <x:v>0</x:v>
      </x:c>
      <x:c r="R3354" s="18" t="n">
        <x:v>0</x:v>
      </x:c>
      <x:c r="S3354" s="18" t="n">
        <x:v>543.1938701846383</x:v>
      </x:c>
      <x:c r="T3354" s="18" t="n">
        <x:v>654</x:v>
      </x:c>
      <x:c r="U3354" s="18" t="n">
        <x:v>543.1938701846383</x:v>
      </x:c>
      <x:c r="V3354" s="20" t="n">
        <x:v>4.4</x:v>
      </x:c>
      <x:c r="W3354" s="20" t="n">
        <x:v>14.3</x:v>
      </x:c>
      <x:c r="X3354" s="20" t="n">
        <x:v>3.3</x:v>
      </x:c>
      <x:c r="Y3354" t="str">
        <x:v>Basis arsip 2025/2024</x:v>
      </x:c>
      <x:c r="Z3354" t="str">
        <x:v>https://snpmb.id/utbk-snbt/daya-tampung-snbt</x:v>
      </x:c>
      <x:c r="AA3354" t="str">
        <x:v>Tidak Ada</x:v>
      </x:c>
      <x:c r="AB3354" t="str">
        <x:v>Campus=55; Ratio=12.4; Prodi=45; RelDemand=68.7; Capacity=86.7</x:v>
      </x:c>
    </x:row>
    <x:row r="3355">
      <x:c r="A3355" t="n">
        <x:v>3352</x:v>
      </x:c>
      <x:c r="B3355" t="str">
        <x:v>PTN Akademik</x:v>
      </x:c>
      <x:c r="C3355" t="str">
        <x:v>UNIVERSITAS NEGERI MANADO</x:v>
      </x:c>
      <x:c r="D3355" t="str">
        <x:v>PENDIDIKAN IPS</x:v>
      </x:c>
      <x:c r="E3355" t="str">
        <x:v>Sarjana</x:v>
      </x:c>
      <x:c r="F3355" s="18" t="n">
        <x:v>8</x:v>
      </x:c>
      <x:c r="G3355" s="18" t="n">
        <x:v>5</x:v>
      </x:c>
      <x:c r="H3355" s="19" t="n">
        <x:v>0.625</x:v>
      </x:c>
      <x:c r="I3355" s="18" t="n">
        <x:f>ROUND(MIN(Model_Config_v3!$B$6,MAX(Q3355,R3355,S3355*Model_Config_v3!$B$4+T3355*Model_Config_v3!$B$5)),0)</x:f>
        <x:v>604</x:v>
      </x:c>
      <x:c r="J3355" s="18" t="n">
        <x:f>MIN(Model_Config_v3!$B$6,I3355+Model_Config_v3!$B$7)</x:f>
        <x:v>624</x:v>
      </x:c>
      <x:c r="K3355" s="20" t="n">
        <x:v>40.2</x:v>
      </x:c>
      <x:c r="L3355" t="str">
        <x:v>RELATIF LONGGAR</x:v>
      </x:c>
      <x:c r="M3355" t="str">
        <x:v>SEDANG+</x:v>
      </x:c>
      <x:c r="N3355" t="str">
        <x:v>REGULER</x:v>
      </x:c>
      <x:c r="O3355" t="str">
        <x:v>CAMPURAN</x:v>
      </x:c>
      <x:c r="P3355" t="str">
        <x:v>PENDIDIKAN</x:v>
      </x:c>
      <x:c r="Q3355" s="18" t="n">
        <x:v>0</x:v>
      </x:c>
      <x:c r="R3355" s="18" t="n">
        <x:v>0</x:v>
      </x:c>
      <x:c r="S3355" s="18" t="n">
        <x:v>520</x:v>
      </x:c>
      <x:c r="T3355" s="18" t="n">
        <x:v>640</x:v>
      </x:c>
      <x:c r="U3355" s="18" t="n">
        <x:v>520</x:v>
      </x:c>
      <x:c r="V3355" s="20" t="n">
        <x:v>8.8</x:v>
      </x:c>
      <x:c r="W3355" s="20" t="n">
        <x:v>9.9</x:v>
      </x:c>
      <x:c r="X3355" s="20" t="n">
        <x:v>3.3</x:v>
      </x:c>
      <x:c r="Y3355" t="str">
        <x:v>Basis arsip 2025/2024</x:v>
      </x:c>
      <x:c r="Z3355" t="str">
        <x:v>https://snpmb.id/utbk-snbt/daya-tampung-snbt</x:v>
      </x:c>
      <x:c r="AA3355" t="str">
        <x:v>Tidak Ada</x:v>
      </x:c>
      <x:c r="AB3355" t="str">
        <x:v>Campus=55; Ratio=0.0; Prodi=45; RelDemand=26.4; Capacity=93.3</x:v>
      </x:c>
    </x:row>
    <x:row r="3356">
      <x:c r="A3356" t="n">
        <x:v>3353</x:v>
      </x:c>
      <x:c r="B3356" t="str">
        <x:v>PTN Akademik</x:v>
      </x:c>
      <x:c r="C3356" t="str">
        <x:v>UNIVERSITAS NEGERI MANADO</x:v>
      </x:c>
      <x:c r="D3356" t="str">
        <x:v>ILMU EKONOMI</x:v>
      </x:c>
      <x:c r="E3356" t="str">
        <x:v>Sarjana</x:v>
      </x:c>
      <x:c r="F3356" s="18" t="n">
        <x:v>20</x:v>
      </x:c>
      <x:c r="G3356" s="18" t="n">
        <x:v>37</x:v>
      </x:c>
      <x:c r="H3356" s="19" t="n">
        <x:v>1.85</x:v>
      </x:c>
      <x:c r="I3356" s="18" t="n">
        <x:f>ROUND(MIN(Model_Config_v3!$B$6,MAX(Q3356,R3356,S3356*Model_Config_v3!$B$4+T3356*Model_Config_v3!$B$5)),0)</x:f>
        <x:v>630</x:v>
      </x:c>
      <x:c r="J3356" s="18" t="n">
        <x:f>MIN(Model_Config_v3!$B$6,I3356+Model_Config_v3!$B$7)</x:f>
        <x:v>650</x:v>
      </x:c>
      <x:c r="K3356" s="20" t="n">
        <x:v>52.3</x:v>
      </x:c>
      <x:c r="L3356" t="str">
        <x:v>MENENGAH</x:v>
      </x:c>
      <x:c r="M3356" t="str">
        <x:v>SEDANG+</x:v>
      </x:c>
      <x:c r="N3356" t="str">
        <x:v>REGULER</x:v>
      </x:c>
      <x:c r="O3356" t="str">
        <x:v>SOSHUM</x:v>
      </x:c>
      <x:c r="P3356" t="str">
        <x:v>BISNIS/EKONOMI/AKUNTANSI</x:v>
      </x:c>
      <x:c r="Q3356" s="18" t="n">
        <x:v>0</x:v>
      </x:c>
      <x:c r="R3356" s="18" t="n">
        <x:v>0</x:v>
      </x:c>
      <x:c r="S3356" s="18" t="n">
        <x:v>549.3888901243315</x:v>
      </x:c>
      <x:c r="T3356" s="18" t="n">
        <x:v>665</x:v>
      </x:c>
      <x:c r="U3356" s="18" t="n">
        <x:v>549.3888901243315</x:v>
      </x:c>
      <x:c r="V3356" s="20" t="n">
        <x:v>4.4</x:v>
      </x:c>
      <x:c r="W3356" s="20" t="n">
        <x:v>14.3</x:v>
      </x:c>
      <x:c r="X3356" s="20" t="n">
        <x:v>3.3</x:v>
      </x:c>
      <x:c r="Y3356" t="str">
        <x:v>Basis arsip 2025/2024</x:v>
      </x:c>
      <x:c r="Z3356" t="str">
        <x:v>https://snpmb.id/utbk-snbt/daya-tampung-snbt</x:v>
      </x:c>
      <x:c r="AA3356" t="str">
        <x:v>Tidak Ada</x:v>
      </x:c>
      <x:c r="AB3356" t="str">
        <x:v>Campus=55; Ratio=15.7; Prodi=65; RelDemand=78.3; Capacity=83.3</x:v>
      </x:c>
    </x:row>
    <x:row r="3357">
      <x:c r="A3357" t="n">
        <x:v>3354</x:v>
      </x:c>
      <x:c r="B3357" t="str">
        <x:v>PTN Akademik</x:v>
      </x:c>
      <x:c r="C3357" t="str">
        <x:v>UNIVERSITAS NEGERI MANADO</x:v>
      </x:c>
      <x:c r="D3357" t="str">
        <x:v>GEOFISIKA</x:v>
      </x:c>
      <x:c r="E3357" t="str">
        <x:v>Sarjana</x:v>
      </x:c>
      <x:c r="F3357" s="18" t="n">
        <x:v>21</x:v>
      </x:c>
      <x:c r="G3357" s="18"/>
      <x:c r="H3357" s="19" t="n">
        <x:v>0</x:v>
      </x:c>
      <x:c r="I3357" s="18" t="n">
        <x:f>ROUND(MIN(Model_Config_v3!$B$6,MAX(Q3357,R3357,S3357*Model_Config_v3!$B$4+T3357*Model_Config_v3!$B$5)),0)</x:f>
        <x:v>601</x:v>
      </x:c>
      <x:c r="J3357" s="18" t="n">
        <x:f>MIN(Model_Config_v3!$B$6,I3357+Model_Config_v3!$B$7)</x:f>
        <x:v>621</x:v>
      </x:c>
      <x:c r="K3357" s="20" t="n">
        <x:v>37.5</x:v>
      </x:c>
      <x:c r="L3357" t="str">
        <x:v>RELATIF LONGGAR</x:v>
      </x:c>
      <x:c r="M3357" t="str">
        <x:v>RENDAH</x:v>
      </x:c>
      <x:c r="N3357" t="str">
        <x:v>REGULER</x:v>
      </x:c>
      <x:c r="O3357" t="str">
        <x:v>SAINTEK</x:v>
      </x:c>
      <x:c r="P3357" t="str">
        <x:v>SAINS DASAR</x:v>
      </x:c>
      <x:c r="Q3357" s="18" t="n">
        <x:v>0</x:v>
      </x:c>
      <x:c r="R3357" s="18" t="n">
        <x:v>0</x:v>
      </x:c>
      <x:c r="S3357" s="18" t="n">
        <x:v>520</x:v>
      </x:c>
      <x:c r="T3357" s="18" t="n">
        <x:v>635</x:v>
      </x:c>
      <x:c r="U3357" s="18" t="n">
        <x:v>520</x:v>
      </x:c>
      <x:c r="V3357" s="20" t="n">
        <x:v>12</x:v>
      </x:c>
      <x:c r="W3357" s="20" t="n">
        <x:v>5</x:v>
      </x:c>
      <x:c r="X3357" s="20" t="n">
        <x:v>3</x:v>
      </x:c>
      <x:c r="Y3357" t="str">
        <x:v>Basis arsip 2025/2024</x:v>
      </x:c>
      <x:c r="Z3357" t="str">
        <x:v>https://snpmb.id/utbk-snbt/daya-tampung-snbt</x:v>
      </x:c>
      <x:c r="AA3357" t="str">
        <x:v>Tidak Ada</x:v>
      </x:c>
      <x:c r="AB3357" t="str">
        <x:v>Campus=55; Ratio=0.0; Prodi=50; RelDemand=0.0; Capacity=82.5</x:v>
      </x:c>
    </x:row>
    <x:row r="3358">
      <x:c r="A3358" t="n">
        <x:v>3355</x:v>
      </x:c>
      <x:c r="B3358" t="str">
        <x:v>PTN Akademik</x:v>
      </x:c>
      <x:c r="C3358" t="str">
        <x:v>UNIVERSITAS NEGERI MANADO</x:v>
      </x:c>
      <x:c r="D3358" t="str">
        <x:v>ILMU LINGKUNGAN</x:v>
      </x:c>
      <x:c r="E3358" t="str">
        <x:v>Sarjana</x:v>
      </x:c>
      <x:c r="F3358" s="18" t="n">
        <x:v>21</x:v>
      </x:c>
      <x:c r="G3358" s="18"/>
      <x:c r="H3358" s="19" t="n">
        <x:v>0</x:v>
      </x:c>
      <x:c r="I3358" s="18" t="n">
        <x:f>ROUND(MIN(Model_Config_v3!$B$6,MAX(Q3358,R3358,S3358*Model_Config_v3!$B$4+T3358*Model_Config_v3!$B$5)),0)</x:f>
        <x:v>598</x:v>
      </x:c>
      <x:c r="J3358" s="18" t="n">
        <x:f>MIN(Model_Config_v3!$B$6,I3358+Model_Config_v3!$B$7)</x:f>
        <x:v>618</x:v>
      </x:c>
      <x:c r="K3358" s="20" t="n">
        <x:v>35.5</x:v>
      </x:c>
      <x:c r="L3358" t="str">
        <x:v>RELATIF LONGGAR</x:v>
      </x:c>
      <x:c r="M3358" t="str">
        <x:v>RENDAH</x:v>
      </x:c>
      <x:c r="N3358" t="str">
        <x:v>REGULER</x:v>
      </x:c>
      <x:c r="O3358" t="str">
        <x:v>CAMPURAN</x:v>
      </x:c>
      <x:c r="P3358" t="str">
        <x:v>UMUM</x:v>
      </x:c>
      <x:c r="Q3358" s="18" t="n">
        <x:v>0</x:v>
      </x:c>
      <x:c r="R3358" s="18" t="n">
        <x:v>0</x:v>
      </x:c>
      <x:c r="S3358" s="18" t="n">
        <x:v>520</x:v>
      </x:c>
      <x:c r="T3358" s="18" t="n">
        <x:v>631</x:v>
      </x:c>
      <x:c r="U3358" s="18" t="n">
        <x:v>520</x:v>
      </x:c>
      <x:c r="V3358" s="20" t="n">
        <x:v>8.8</x:v>
      </x:c>
      <x:c r="W3358" s="20" t="n">
        <x:v>9.9</x:v>
      </x:c>
      <x:c r="X3358" s="20" t="n">
        <x:v>3.3</x:v>
      </x:c>
      <x:c r="Y3358" t="str">
        <x:v>Basis arsip 2025/2024</x:v>
      </x:c>
      <x:c r="Z3358" t="str">
        <x:v>https://snpmb.id/utbk-snbt/daya-tampung-snbt</x:v>
      </x:c>
      <x:c r="AA3358" t="str">
        <x:v>Tidak Ada</x:v>
      </x:c>
      <x:c r="AB3358" t="str">
        <x:v>Campus=55; Ratio=0.0; Prodi=40; RelDemand=0.0; Capacity=82.5</x:v>
      </x:c>
    </x:row>
    <x:row r="3359">
      <x:c r="A3359" t="n">
        <x:v>3356</x:v>
      </x:c>
      <x:c r="B3359" t="str">
        <x:v>PTN Akademik</x:v>
      </x:c>
      <x:c r="C3359" t="str">
        <x:v>UNIVERSITAS NEGERI MANADO</x:v>
      </x:c>
      <x:c r="D3359" t="str">
        <x:v>TEKNIK LISTRIK</x:v>
      </x:c>
      <x:c r="E3359" t="str">
        <x:v>Diploma Tiga</x:v>
      </x:c>
      <x:c r="F3359" s="18" t="n">
        <x:v>12</x:v>
      </x:c>
      <x:c r="G3359" s="18" t="n">
        <x:v>18</x:v>
      </x:c>
      <x:c r="H3359" s="19" t="n">
        <x:v>1.5</x:v>
      </x:c>
      <x:c r="I3359" s="18" t="n">
        <x:f>ROUND(MIN(Model_Config_v3!$B$6,MAX(Q3359,R3359,S3359*Model_Config_v3!$B$4+T3359*Model_Config_v3!$B$5)),0)</x:f>
        <x:v>622</x:v>
      </x:c>
      <x:c r="J3359" s="18" t="n">
        <x:f>MIN(Model_Config_v3!$B$6,I3359+Model_Config_v3!$B$7)</x:f>
        <x:v>642</x:v>
      </x:c>
      <x:c r="K3359" s="20" t="n">
        <x:v>49.2</x:v>
      </x:c>
      <x:c r="L3359" t="str">
        <x:v>MENENGAH</x:v>
      </x:c>
      <x:c r="M3359" t="str">
        <x:v>SEDANG+</x:v>
      </x:c>
      <x:c r="N3359" t="str">
        <x:v>REGULER</x:v>
      </x:c>
      <x:c r="O3359" t="str">
        <x:v>SAINTEK</x:v>
      </x:c>
      <x:c r="P3359" t="str">
        <x:v>TEKNIK/ARSITEKTUR/STATISTIKA/AKTUARIA</x:v>
      </x:c>
      <x:c r="Q3359" s="18" t="n">
        <x:v>0</x:v>
      </x:c>
      <x:c r="R3359" s="18" t="n">
        <x:v>0</x:v>
      </x:c>
      <x:c r="S3359" s="18" t="n">
        <x:v>539.370038496125</x:v>
      </x:c>
      <x:c r="T3359" s="18" t="n">
        <x:v>658</x:v>
      </x:c>
      <x:c r="U3359" s="18" t="n">
        <x:v>549.370038496125</x:v>
      </x:c>
      <x:c r="V3359" s="20" t="n">
        <x:v>12</x:v>
      </x:c>
      <x:c r="W3359" s="20" t="n">
        <x:v>5</x:v>
      </x:c>
      <x:c r="X3359" s="20" t="n">
        <x:v>3</x:v>
      </x:c>
      <x:c r="Y3359" t="str">
        <x:v>Basis arsip 2025/2024</x:v>
      </x:c>
      <x:c r="Z3359" t="str">
        <x:v>https://snpmb.id/utbk-snbt/daya-tampung-snbt</x:v>
      </x:c>
      <x:c r="AA3359" t="str">
        <x:v>Tidak Ada</x:v>
      </x:c>
      <x:c r="AB3359" t="str">
        <x:v>Campus=55; Ratio=10.4; Prodi=60; RelDemand=63.4; Capacity=90.0</x:v>
      </x:c>
    </x:row>
    <x:row r="3360">
      <x:c r="A3360" t="n">
        <x:v>3357</x:v>
      </x:c>
      <x:c r="B3360" t="str">
        <x:v>PTN Akademik</x:v>
      </x:c>
      <x:c r="C3360" t="str">
        <x:v>UNIVERSITAS NEGERI MANADO</x:v>
      </x:c>
      <x:c r="D3360" t="str">
        <x:v>TEKNIK SIPIL</x:v>
      </x:c>
      <x:c r="E3360" t="str">
        <x:v>Diploma Tiga</x:v>
      </x:c>
      <x:c r="F3360" s="18" t="n">
        <x:v>12</x:v>
      </x:c>
      <x:c r="G3360" s="18" t="n">
        <x:v>131</x:v>
      </x:c>
      <x:c r="H3360" s="19" t="n">
        <x:v>10.916666666666666</x:v>
      </x:c>
      <x:c r="I3360" s="18" t="n">
        <x:f>ROUND(MIN(Model_Config_v3!$B$6,MAX(Q3360,R3360,S3360*Model_Config_v3!$B$4+T3360*Model_Config_v3!$B$5)),0)</x:f>
        <x:v>674</x:v>
      </x:c>
      <x:c r="J3360" s="18" t="n">
        <x:f>MIN(Model_Config_v3!$B$6,I3360+Model_Config_v3!$B$7)</x:f>
        <x:v>694</x:v>
      </x:c>
      <x:c r="K3360" s="20" t="n">
        <x:v>65.5</x:v>
      </x:c>
      <x:c r="L3360" t="str">
        <x:v>SANGAT KETAT</x:v>
      </x:c>
      <x:c r="M3360" t="str">
        <x:v>SEDANG+</x:v>
      </x:c>
      <x:c r="N3360" t="str">
        <x:v>REGULER</x:v>
      </x:c>
      <x:c r="O3360" t="str">
        <x:v>SAINTEK</x:v>
      </x:c>
      <x:c r="P3360" t="str">
        <x:v>TEKNIK/ARSITEKTUR/STATISTIKA/AKTUARIA</x:v>
      </x:c>
      <x:c r="Q3360" s="18" t="n">
        <x:v>0</x:v>
      </x:c>
      <x:c r="R3360" s="18" t="n">
        <x:v>0</x:v>
      </x:c>
      <x:c r="S3360" s="18" t="n">
        <x:v>634.1899054568953</x:v>
      </x:c>
      <x:c r="T3360" s="18" t="n">
        <x:v>691</x:v>
      </x:c>
      <x:c r="U3360" s="18" t="n">
        <x:v>644.1899054568953</x:v>
      </x:c>
      <x:c r="V3360" s="20" t="n">
        <x:v>12</x:v>
      </x:c>
      <x:c r="W3360" s="20" t="n">
        <x:v>5</x:v>
      </x:c>
      <x:c r="X3360" s="20" t="n">
        <x:v>3</x:v>
      </x:c>
      <x:c r="Y3360" t="str">
        <x:v>Basis arsip 2025/2024</x:v>
      </x:c>
      <x:c r="Z3360" t="str">
        <x:v>https://snpmb.id/utbk-snbt/daya-tampung-snbt</x:v>
      </x:c>
      <x:c r="AA3360" t="str">
        <x:v>Tidak Ada</x:v>
      </x:c>
      <x:c r="AB3360" t="str">
        <x:v>Campus=55; Ratio=61.1; Prodi=60; RelDemand=100.0; Capacity=90.0</x:v>
      </x:c>
    </x:row>
    <x:row r="3361">
      <x:c r="A3361" t="n">
        <x:v>3358</x:v>
      </x:c>
      <x:c r="B3361" t="str">
        <x:v>PTN Akademik</x:v>
      </x:c>
      <x:c r="C3361" t="str">
        <x:v>UNIVERSITAS NEGERI MANADO</x:v>
      </x:c>
      <x:c r="D3361" t="str">
        <x:v>MANAJEMEN PEMASARAN</x:v>
      </x:c>
      <x:c r="E3361" t="str">
        <x:v>Diploma Tiga</x:v>
      </x:c>
      <x:c r="F3361" s="18" t="n">
        <x:v>12</x:v>
      </x:c>
      <x:c r="G3361" s="18" t="n">
        <x:v>168</x:v>
      </x:c>
      <x:c r="H3361" s="19" t="n">
        <x:v>14</x:v>
      </x:c>
      <x:c r="I3361" s="18" t="n">
        <x:f>ROUND(MIN(Model_Config_v3!$B$6,MAX(Q3361,R3361,S3361*Model_Config_v3!$B$4+T3361*Model_Config_v3!$B$5)),0)</x:f>
        <x:v>681</x:v>
      </x:c>
      <x:c r="J3361" s="18" t="n">
        <x:f>MIN(Model_Config_v3!$B$6,I3361+Model_Config_v3!$B$7)</x:f>
        <x:v>701</x:v>
      </x:c>
      <x:c r="K3361" s="20" t="n">
        <x:v>68.1</x:v>
      </x:c>
      <x:c r="L3361" t="str">
        <x:v>SANGAT KETAT</x:v>
      </x:c>
      <x:c r="M3361" t="str">
        <x:v>SEDANG+</x:v>
      </x:c>
      <x:c r="N3361" t="str">
        <x:v>REGULER</x:v>
      </x:c>
      <x:c r="O3361" t="str">
        <x:v>SOSHUM</x:v>
      </x:c>
      <x:c r="P3361" t="str">
        <x:v>BISNIS/EKONOMI/AKUNTANSI</x:v>
      </x:c>
      <x:c r="Q3361" s="18" t="n">
        <x:v>0</x:v>
      </x:c>
      <x:c r="R3361" s="18" t="n">
        <x:v>0</x:v>
      </x:c>
      <x:c r="S3361" s="18" t="n">
        <x:v>646.0740839246062</x:v>
      </x:c>
      <x:c r="T3361" s="18" t="n">
        <x:v>696</x:v>
      </x:c>
      <x:c r="U3361" s="18" t="n">
        <x:v>661.0740839246062</x:v>
      </x:c>
      <x:c r="V3361" s="20" t="n">
        <x:v>4.4</x:v>
      </x:c>
      <x:c r="W3361" s="20" t="n">
        <x:v>14.3</x:v>
      </x:c>
      <x:c r="X3361" s="20" t="n">
        <x:v>3.3</x:v>
      </x:c>
      <x:c r="Y3361" t="str">
        <x:v>Basis arsip 2025/2024</x:v>
      </x:c>
      <x:c r="Z3361" t="str">
        <x:v>https://snpmb.id/utbk-snbt/daya-tampung-snbt</x:v>
      </x:c>
      <x:c r="AA3361" t="str">
        <x:v>Tidak Ada</x:v>
      </x:c>
      <x:c r="AB3361" t="str">
        <x:v>Campus=55; Ratio=67.5; Prodi=65; RelDemand=100.0; Capacity=90.0</x:v>
      </x:c>
    </x:row>
    <x:row r="3362">
      <x:c r="A3362" t="n">
        <x:v>3359</x:v>
      </x:c>
      <x:c r="B3362" t="str">
        <x:v>PTN Akademik</x:v>
      </x:c>
      <x:c r="C3362" t="str">
        <x:v>UNIVERSITAS NEGERI MANADO</x:v>
      </x:c>
      <x:c r="D3362" t="str">
        <x:v>TEKNOLOGI KAYU</x:v>
      </x:c>
      <x:c r="E3362" t="str">
        <x:v>Diploma Tiga</x:v>
      </x:c>
      <x:c r="F3362" s="18" t="n">
        <x:v>12</x:v>
      </x:c>
      <x:c r="G3362" s="18" t="n">
        <x:v>5</x:v>
      </x:c>
      <x:c r="H3362" s="19" t="n">
        <x:v>0.4166666666666667</x:v>
      </x:c>
      <x:c r="I3362" s="18" t="n">
        <x:f>ROUND(MIN(Model_Config_v3!$B$6,MAX(Q3362,R3362,S3362*Model_Config_v3!$B$4+T3362*Model_Config_v3!$B$5)),0)</x:f>
        <x:v>601</x:v>
      </x:c>
      <x:c r="J3362" s="18" t="n">
        <x:f>MIN(Model_Config_v3!$B$6,I3362+Model_Config_v3!$B$7)</x:f>
        <x:v>621</x:v>
      </x:c>
      <x:c r="K3362" s="20" t="n">
        <x:v>38</x:v>
      </x:c>
      <x:c r="L3362" t="str">
        <x:v>RELATIF LONGGAR</x:v>
      </x:c>
      <x:c r="M3362" t="str">
        <x:v>SEDANG</x:v>
      </x:c>
      <x:c r="N3362" t="str">
        <x:v>REGULER</x:v>
      </x:c>
      <x:c r="O3362" t="str">
        <x:v>SAINTEK</x:v>
      </x:c>
      <x:c r="P3362" t="str">
        <x:v>UMUM</x:v>
      </x:c>
      <x:c r="Q3362" s="18" t="n">
        <x:v>0</x:v>
      </x:c>
      <x:c r="R3362" s="18" t="n">
        <x:v>0</x:v>
      </x:c>
      <x:c r="S3362" s="18" t="n">
        <x:v>520</x:v>
      </x:c>
      <x:c r="T3362" s="18" t="n">
        <x:v>636</x:v>
      </x:c>
      <x:c r="U3362" s="18" t="n">
        <x:v>520</x:v>
      </x:c>
      <x:c r="V3362" s="20" t="n">
        <x:v>12</x:v>
      </x:c>
      <x:c r="W3362" s="20" t="n">
        <x:v>5</x:v>
      </x:c>
      <x:c r="X3362" s="20" t="n">
        <x:v>3</x:v>
      </x:c>
      <x:c r="Y3362" t="str">
        <x:v>Basis arsip 2025/2024</x:v>
      </x:c>
      <x:c r="Z3362" t="str">
        <x:v>https://snpmb.id/utbk-snbt/daya-tampung-snbt</x:v>
      </x:c>
      <x:c r="AA3362" t="str">
        <x:v>Tidak Ada</x:v>
      </x:c>
      <x:c r="AB3362" t="str">
        <x:v>Campus=55; Ratio=0.0; Prodi=40; RelDemand=17.6; Capacity=90.0</x:v>
      </x:c>
    </x:row>
    <x:row r="3363">
      <x:c r="A3363" t="n">
        <x:v>3360</x:v>
      </x:c>
      <x:c r="B3363" t="str">
        <x:v>PTN Akademik</x:v>
      </x:c>
      <x:c r="C3363" t="str">
        <x:v>UNIVERSITAS TADULAKO</x:v>
      </x:c>
      <x:c r="D3363" t="str">
        <x:v>PEND. BIOLOGI</x:v>
      </x:c>
      <x:c r="E3363" t="str">
        <x:v>Sarjana</x:v>
      </x:c>
      <x:c r="F3363" s="18" t="n">
        <x:v>65</x:v>
      </x:c>
      <x:c r="G3363" s="18" t="n">
        <x:v>150</x:v>
      </x:c>
      <x:c r="H3363" s="19" t="n">
        <x:v>2.3076923076923075</x:v>
      </x:c>
      <x:c r="I3363" s="18" t="n">
        <x:f>ROUND(MIN(Model_Config_v3!$B$6,MAX(Q3363,R3363,S3363*Model_Config_v3!$B$4+T3363*Model_Config_v3!$B$5)),0)</x:f>
        <x:v>618</x:v>
      </x:c>
      <x:c r="J3363" s="18" t="n">
        <x:f>MIN(Model_Config_v3!$B$6,I3363+Model_Config_v3!$B$7)</x:f>
        <x:v>638</x:v>
      </x:c>
      <x:c r="K3363" s="20" t="n">
        <x:v>41.5</x:v>
      </x:c>
      <x:c r="L3363" t="str">
        <x:v>RELATIF LONGGAR</x:v>
      </x:c>
      <x:c r="M3363" t="str">
        <x:v>SEDANG+</x:v>
      </x:c>
      <x:c r="N3363" t="str">
        <x:v>REGULER</x:v>
      </x:c>
      <x:c r="O3363" t="str">
        <x:v>SAINTEK</x:v>
      </x:c>
      <x:c r="P3363" t="str">
        <x:v>PENDIDIKAN</x:v>
      </x:c>
      <x:c r="Q3363" s="18" t="n">
        <x:v>0</x:v>
      </x:c>
      <x:c r="R3363" s="18" t="n">
        <x:v>0</x:v>
      </x:c>
      <x:c r="S3363" s="18" t="n">
        <x:v>559.9495692654108</x:v>
      </x:c>
      <x:c r="T3363" s="18" t="n">
        <x:v>643</x:v>
      </x:c>
      <x:c r="U3363" s="18" t="n">
        <x:v>559.9495692654108</x:v>
      </x:c>
      <x:c r="V3363" s="20" t="n">
        <x:v>12</x:v>
      </x:c>
      <x:c r="W3363" s="20" t="n">
        <x:v>5</x:v>
      </x:c>
      <x:c r="X3363" s="20" t="n">
        <x:v>3</x:v>
      </x:c>
      <x:c r="Y3363" t="str">
        <x:v>Basis arsip 2025/2024</x:v>
      </x:c>
      <x:c r="Z3363" t="str">
        <x:v>https://snpmb.id/utbk-snbt/daya-tampung-snbt</x:v>
      </x:c>
      <x:c r="AA3363" t="str">
        <x:v>Tidak Ada</x:v>
      </x:c>
      <x:c r="AB3363" t="str">
        <x:v>Campus=55; Ratio=21.4; Prodi=45; RelDemand=33.6; Capacity=45.8</x:v>
      </x:c>
    </x:row>
    <x:row r="3364">
      <x:c r="A3364" t="n">
        <x:v>3361</x:v>
      </x:c>
      <x:c r="B3364" t="str">
        <x:v>PTN Akademik</x:v>
      </x:c>
      <x:c r="C3364" t="str">
        <x:v>UNIVERSITAS TADULAKO</x:v>
      </x:c>
      <x:c r="D3364" t="str">
        <x:v>PEND. MATEMATIKA</x:v>
      </x:c>
      <x:c r="E3364" t="str">
        <x:v>Sarjana</x:v>
      </x:c>
      <x:c r="F3364" s="18" t="n">
        <x:v>60</x:v>
      </x:c>
      <x:c r="G3364" s="18" t="n">
        <x:v>106</x:v>
      </x:c>
      <x:c r="H3364" s="19" t="n">
        <x:v>1.7666666666666666</x:v>
      </x:c>
      <x:c r="I3364" s="18" t="n">
        <x:f>ROUND(MIN(Model_Config_v3!$B$6,MAX(Q3364,R3364,S3364*Model_Config_v3!$B$4+T3364*Model_Config_v3!$B$5)),0)</x:f>
        <x:v>611</x:v>
      </x:c>
      <x:c r="J3364" s="18" t="n">
        <x:f>MIN(Model_Config_v3!$B$6,I3364+Model_Config_v3!$B$7)</x:f>
        <x:v>631</x:v>
      </x:c>
      <x:c r="K3364" s="20" t="n">
        <x:v>39.5</x:v>
      </x:c>
      <x:c r="L3364" t="str">
        <x:v>RELATIF LONGGAR</x:v>
      </x:c>
      <x:c r="M3364" t="str">
        <x:v>SEDANG+</x:v>
      </x:c>
      <x:c r="N3364" t="str">
        <x:v>REGULER</x:v>
      </x:c>
      <x:c r="O3364" t="str">
        <x:v>SAINTEK</x:v>
      </x:c>
      <x:c r="P3364" t="str">
        <x:v>PENDIDIKAN</x:v>
      </x:c>
      <x:c r="Q3364" s="18" t="n">
        <x:v>0</x:v>
      </x:c>
      <x:c r="R3364" s="18" t="n">
        <x:v>0</x:v>
      </x:c>
      <x:c r="S3364" s="18" t="n">
        <x:v>547.1870076369239</x:v>
      </x:c>
      <x:c r="T3364" s="18" t="n">
        <x:v>639</x:v>
      </x:c>
      <x:c r="U3364" s="18" t="n">
        <x:v>547.1870076369239</x:v>
      </x:c>
      <x:c r="V3364" s="20" t="n">
        <x:v>12</x:v>
      </x:c>
      <x:c r="W3364" s="20" t="n">
        <x:v>5</x:v>
      </x:c>
      <x:c r="X3364" s="20" t="n">
        <x:v>3</x:v>
      </x:c>
      <x:c r="Y3364" t="str">
        <x:v>Basis arsip 2025/2024</x:v>
      </x:c>
      <x:c r="Z3364" t="str">
        <x:v>https://snpmb.id/utbk-snbt/daya-tampung-snbt</x:v>
      </x:c>
      <x:c r="AA3364" t="str">
        <x:v>Tidak Ada</x:v>
      </x:c>
      <x:c r="AB3364" t="str">
        <x:v>Campus=55; Ratio=14.5; Prodi=45; RelDemand=25.7; Capacity=50.0</x:v>
      </x:c>
    </x:row>
    <x:row r="3365">
      <x:c r="A3365" t="n">
        <x:v>3362</x:v>
      </x:c>
      <x:c r="B3365" t="str">
        <x:v>PTN Akademik</x:v>
      </x:c>
      <x:c r="C3365" t="str">
        <x:v>UNIVERSITAS TADULAKO</x:v>
      </x:c>
      <x:c r="D3365" t="str">
        <x:v>PEND. FISIKA</x:v>
      </x:c>
      <x:c r="E3365" t="str">
        <x:v>Sarjana</x:v>
      </x:c>
      <x:c r="F3365" s="18" t="n">
        <x:v>40</x:v>
      </x:c>
      <x:c r="G3365" s="18" t="n">
        <x:v>33</x:v>
      </x:c>
      <x:c r="H3365" s="19" t="n">
        <x:v>0.825</x:v>
      </x:c>
      <x:c r="I3365" s="18" t="n">
        <x:f>ROUND(MIN(Model_Config_v3!$B$6,MAX(Q3365,R3365,S3365*Model_Config_v3!$B$4+T3365*Model_Config_v3!$B$5)),0)</x:f>
        <x:v>598</x:v>
      </x:c>
      <x:c r="J3365" s="18" t="n">
        <x:f>MIN(Model_Config_v3!$B$6,I3365+Model_Config_v3!$B$7)</x:f>
        <x:v>618</x:v>
      </x:c>
      <x:c r="K3365" s="20" t="n">
        <x:v>36.1</x:v>
      </x:c>
      <x:c r="L3365" t="str">
        <x:v>RELATIF LONGGAR</x:v>
      </x:c>
      <x:c r="M3365" t="str">
        <x:v>SEDANG+</x:v>
      </x:c>
      <x:c r="N3365" t="str">
        <x:v>REGULER</x:v>
      </x:c>
      <x:c r="O3365" t="str">
        <x:v>SAINTEK</x:v>
      </x:c>
      <x:c r="P3365" t="str">
        <x:v>PENDIDIKAN</x:v>
      </x:c>
      <x:c r="Q3365" s="18" t="n">
        <x:v>0</x:v>
      </x:c>
      <x:c r="R3365" s="18" t="n">
        <x:v>0</x:v>
      </x:c>
      <x:c r="S3365" s="18" t="n">
        <x:v>520</x:v>
      </x:c>
      <x:c r="T3365" s="18" t="n">
        <x:v>632</x:v>
      </x:c>
      <x:c r="U3365" s="18" t="n">
        <x:v>520</x:v>
      </x:c>
      <x:c r="V3365" s="20" t="n">
        <x:v>12</x:v>
      </x:c>
      <x:c r="W3365" s="20" t="n">
        <x:v>5</x:v>
      </x:c>
      <x:c r="X3365" s="20" t="n">
        <x:v>3</x:v>
      </x:c>
      <x:c r="Y3365" t="str">
        <x:v>Basis arsip 2025/2024</x:v>
      </x:c>
      <x:c r="Z3365" t="str">
        <x:v>https://snpmb.id/utbk-snbt/daya-tampung-snbt</x:v>
      </x:c>
      <x:c r="AA3365" t="str">
        <x:v>Tidak Ada</x:v>
      </x:c>
      <x:c r="AB3365" t="str">
        <x:v>Campus=55; Ratio=0.0; Prodi=45; RelDemand=12.0; Capacity=66.7</x:v>
      </x:c>
    </x:row>
    <x:row r="3366">
      <x:c r="A3366" t="n">
        <x:v>3363</x:v>
      </x:c>
      <x:c r="B3366" t="str">
        <x:v>PTN Akademik</x:v>
      </x:c>
      <x:c r="C3366" t="str">
        <x:v>UNIVERSITAS TADULAKO</x:v>
      </x:c>
      <x:c r="D3366" t="str">
        <x:v>PEND. KIMIA</x:v>
      </x:c>
      <x:c r="E3366" t="str">
        <x:v>Sarjana</x:v>
      </x:c>
      <x:c r="F3366" s="18" t="n">
        <x:v>60</x:v>
      </x:c>
      <x:c r="G3366" s="18" t="n">
        <x:v>41</x:v>
      </x:c>
      <x:c r="H3366" s="19" t="n">
        <x:v>0.6833333333333333</x:v>
      </x:c>
      <x:c r="I3366" s="18" t="n">
        <x:f>ROUND(MIN(Model_Config_v3!$B$6,MAX(Q3366,R3366,S3366*Model_Config_v3!$B$4+T3366*Model_Config_v3!$B$5)),0)</x:f>
        <x:v>596</x:v>
      </x:c>
      <x:c r="J3366" s="18" t="n">
        <x:f>MIN(Model_Config_v3!$B$6,I3366+Model_Config_v3!$B$7)</x:f>
        <x:v>616</x:v>
      </x:c>
      <x:c r="K3366" s="20" t="n">
        <x:v>34.2</x:v>
      </x:c>
      <x:c r="L3366" t="str">
        <x:v>RELATIF LONGGAR</x:v>
      </x:c>
      <x:c r="M3366" t="str">
        <x:v>SEDANG+</x:v>
      </x:c>
      <x:c r="N3366" t="str">
        <x:v>REGULER</x:v>
      </x:c>
      <x:c r="O3366" t="str">
        <x:v>SAINTEK</x:v>
      </x:c>
      <x:c r="P3366" t="str">
        <x:v>PENDIDIKAN</x:v>
      </x:c>
      <x:c r="Q3366" s="18" t="n">
        <x:v>0</x:v>
      </x:c>
      <x:c r="R3366" s="18" t="n">
        <x:v>0</x:v>
      </x:c>
      <x:c r="S3366" s="18" t="n">
        <x:v>520</x:v>
      </x:c>
      <x:c r="T3366" s="18" t="n">
        <x:v>628</x:v>
      </x:c>
      <x:c r="U3366" s="18" t="n">
        <x:v>520</x:v>
      </x:c>
      <x:c r="V3366" s="20" t="n">
        <x:v>12</x:v>
      </x:c>
      <x:c r="W3366" s="20" t="n">
        <x:v>5</x:v>
      </x:c>
      <x:c r="X3366" s="20" t="n">
        <x:v>3</x:v>
      </x:c>
      <x:c r="Y3366" t="str">
        <x:v>Basis arsip 2025/2024</x:v>
      </x:c>
      <x:c r="Z3366" t="str">
        <x:v>https://snpmb.id/utbk-snbt/daya-tampung-snbt</x:v>
      </x:c>
      <x:c r="AA3366" t="str">
        <x:v>Tidak Ada</x:v>
      </x:c>
      <x:c r="AB3366" t="str">
        <x:v>Campus=55; Ratio=0.0; Prodi=45; RelDemand=10.0; Capacity=50.0</x:v>
      </x:c>
    </x:row>
    <x:row r="3367">
      <x:c r="A3367" t="n">
        <x:v>3364</x:v>
      </x:c>
      <x:c r="B3367" t="str">
        <x:v>PTN Akademik</x:v>
      </x:c>
      <x:c r="C3367" t="str">
        <x:v>UNIVERSITAS TADULAKO</x:v>
      </x:c>
      <x:c r="D3367" t="str">
        <x:v>AGROTEKNOLOGI</x:v>
      </x:c>
      <x:c r="E3367" t="str">
        <x:v>Sarjana</x:v>
      </x:c>
      <x:c r="F3367" s="18" t="n">
        <x:v>140</x:v>
      </x:c>
      <x:c r="G3367" s="18" t="n">
        <x:v>115</x:v>
      </x:c>
      <x:c r="H3367" s="19" t="n">
        <x:v>0.8214285714285714</x:v>
      </x:c>
      <x:c r="I3367" s="18" t="n">
        <x:f>ROUND(MIN(Model_Config_v3!$B$6,MAX(Q3367,R3367,S3367*Model_Config_v3!$B$4+T3367*Model_Config_v3!$B$5)),0)</x:f>
        <x:v>588</x:v>
      </x:c>
      <x:c r="J3367" s="18" t="n">
        <x:f>MIN(Model_Config_v3!$B$6,I3367+Model_Config_v3!$B$7)</x:f>
        <x:v>608</x:v>
      </x:c>
      <x:c r="K3367" s="20" t="n">
        <x:v>28.4</x:v>
      </x:c>
      <x:c r="L3367" t="str">
        <x:v>RELATIF LONGGAR</x:v>
      </x:c>
      <x:c r="M3367" t="str">
        <x:v>SEDANG</x:v>
      </x:c>
      <x:c r="N3367" t="str">
        <x:v>REGULER</x:v>
      </x:c>
      <x:c r="O3367" t="str">
        <x:v>SAINTEK</x:v>
      </x:c>
      <x:c r="P3367" t="str">
        <x:v>UMUM</x:v>
      </x:c>
      <x:c r="Q3367" s="18" t="n">
        <x:v>0</x:v>
      </x:c>
      <x:c r="R3367" s="18" t="n">
        <x:v>0</x:v>
      </x:c>
      <x:c r="S3367" s="18" t="n">
        <x:v>520</x:v>
      </x:c>
      <x:c r="T3367" s="18" t="n">
        <x:v>617</x:v>
      </x:c>
      <x:c r="U3367" s="18" t="n">
        <x:v>520</x:v>
      </x:c>
      <x:c r="V3367" s="20" t="n">
        <x:v>12</x:v>
      </x:c>
      <x:c r="W3367" s="20" t="n">
        <x:v>5</x:v>
      </x:c>
      <x:c r="X3367" s="20" t="n">
        <x:v>3</x:v>
      </x:c>
      <x:c r="Y3367" t="str">
        <x:v>Basis arsip 2025/2024</x:v>
      </x:c>
      <x:c r="Z3367" t="str">
        <x:v>https://snpmb.id/utbk-snbt/daya-tampung-snbt</x:v>
      </x:c>
      <x:c r="AA3367" t="str">
        <x:v>Tidak Ada</x:v>
      </x:c>
      <x:c r="AB3367" t="str">
        <x:v>Campus=55; Ratio=0.0; Prodi=40; RelDemand=12.0; Capacity=0.0</x:v>
      </x:c>
    </x:row>
    <x:row r="3368">
      <x:c r="A3368" t="n">
        <x:v>3365</x:v>
      </x:c>
      <x:c r="B3368" t="str">
        <x:v>PTN Akademik</x:v>
      </x:c>
      <x:c r="C3368" t="str">
        <x:v>UNIVERSITAS TADULAKO</x:v>
      </x:c>
      <x:c r="D3368" t="str">
        <x:v>KEHUTANAN</x:v>
      </x:c>
      <x:c r="E3368" t="str">
        <x:v>Sarjana</x:v>
      </x:c>
      <x:c r="F3368" s="18" t="n">
        <x:v>160</x:v>
      </x:c>
      <x:c r="G3368" s="18" t="n">
        <x:v>144</x:v>
      </x:c>
      <x:c r="H3368" s="19" t="n">
        <x:v>0.9</x:v>
      </x:c>
      <x:c r="I3368" s="18" t="n">
        <x:f>ROUND(MIN(Model_Config_v3!$B$6,MAX(Q3368,R3368,S3368*Model_Config_v3!$B$4+T3368*Model_Config_v3!$B$5)),0)</x:f>
        <x:v>588</x:v>
      </x:c>
      <x:c r="J3368" s="18" t="n">
        <x:f>MIN(Model_Config_v3!$B$6,I3368+Model_Config_v3!$B$7)</x:f>
        <x:v>608</x:v>
      </x:c>
      <x:c r="K3368" s="20" t="n">
        <x:v>28.6</x:v>
      </x:c>
      <x:c r="L3368" t="str">
        <x:v>RELATIF LONGGAR</x:v>
      </x:c>
      <x:c r="M3368" t="str">
        <x:v>SEDANG</x:v>
      </x:c>
      <x:c r="N3368" t="str">
        <x:v>REGULER</x:v>
      </x:c>
      <x:c r="O3368" t="str">
        <x:v>CAMPURAN</x:v>
      </x:c>
      <x:c r="P3368" t="str">
        <x:v>UMUM</x:v>
      </x:c>
      <x:c r="Q3368" s="18" t="n">
        <x:v>0</x:v>
      </x:c>
      <x:c r="R3368" s="18" t="n">
        <x:v>0</x:v>
      </x:c>
      <x:c r="S3368" s="18" t="n">
        <x:v>520</x:v>
      </x:c>
      <x:c r="T3368" s="18" t="n">
        <x:v>617</x:v>
      </x:c>
      <x:c r="U3368" s="18" t="n">
        <x:v>520</x:v>
      </x:c>
      <x:c r="V3368" s="20" t="n">
        <x:v>8.8</x:v>
      </x:c>
      <x:c r="W3368" s="20" t="n">
        <x:v>9.9</x:v>
      </x:c>
      <x:c r="X3368" s="20" t="n">
        <x:v>3.3</x:v>
      </x:c>
      <x:c r="Y3368" t="str">
        <x:v>Basis arsip 2025/2024</x:v>
      </x:c>
      <x:c r="Z3368" t="str">
        <x:v>https://snpmb.id/utbk-snbt/daya-tampung-snbt</x:v>
      </x:c>
      <x:c r="AA3368" t="str">
        <x:v>Tidak Ada</x:v>
      </x:c>
      <x:c r="AB3368" t="str">
        <x:v>Campus=55; Ratio=0.0; Prodi=40; RelDemand=13.1; Capacity=0.0</x:v>
      </x:c>
    </x:row>
    <x:row r="3369">
      <x:c r="A3369" t="n">
        <x:v>3366</x:v>
      </x:c>
      <x:c r="B3369" t="str">
        <x:v>PTN Akademik</x:v>
      </x:c>
      <x:c r="C3369" t="str">
        <x:v>UNIVERSITAS TADULAKO</x:v>
      </x:c>
      <x:c r="D3369" t="str">
        <x:v>AGRIBISNIS</x:v>
      </x:c>
      <x:c r="E3369" t="str">
        <x:v>Sarjana</x:v>
      </x:c>
      <x:c r="F3369" s="18" t="n">
        <x:v>140</x:v>
      </x:c>
      <x:c r="G3369" s="18" t="n">
        <x:v>207</x:v>
      </x:c>
      <x:c r="H3369" s="19" t="n">
        <x:v>1.4785714285714286</x:v>
      </x:c>
      <x:c r="I3369" s="18" t="n">
        <x:f>ROUND(MIN(Model_Config_v3!$B$6,MAX(Q3369,R3369,S3369*Model_Config_v3!$B$4+T3369*Model_Config_v3!$B$5)),0)</x:f>
        <x:v>605</x:v>
      </x:c>
      <x:c r="J3369" s="18" t="n">
        <x:f>MIN(Model_Config_v3!$B$6,I3369+Model_Config_v3!$B$7)</x:f>
        <x:v>625</x:v>
      </x:c>
      <x:c r="K3369" s="20" t="n">
        <x:v>36.9</x:v>
      </x:c>
      <x:c r="L3369" t="str">
        <x:v>RELATIF LONGGAR</x:v>
      </x:c>
      <x:c r="M3369" t="str">
        <x:v>SEDANG+</x:v>
      </x:c>
      <x:c r="N3369" t="str">
        <x:v>REGULER</x:v>
      </x:c>
      <x:c r="O3369" t="str">
        <x:v>SOSHUM</x:v>
      </x:c>
      <x:c r="P3369" t="str">
        <x:v>BISNIS/EKONOMI/AKUNTANSI</x:v>
      </x:c>
      <x:c r="Q3369" s="18" t="n">
        <x:v>0</x:v>
      </x:c>
      <x:c r="R3369" s="18" t="n">
        <x:v>0</x:v>
      </x:c>
      <x:c r="S3369" s="18" t="n">
        <x:v>538.6826540756548</x:v>
      </x:c>
      <x:c r="T3369" s="18" t="n">
        <x:v>634</x:v>
      </x:c>
      <x:c r="U3369" s="18" t="n">
        <x:v>553.6826540756548</x:v>
      </x:c>
      <x:c r="V3369" s="20" t="n">
        <x:v>4.4</x:v>
      </x:c>
      <x:c r="W3369" s="20" t="n">
        <x:v>14.3</x:v>
      </x:c>
      <x:c r="X3369" s="20" t="n">
        <x:v>3.3</x:v>
      </x:c>
      <x:c r="Y3369" t="str">
        <x:v>Basis arsip 2025/2024</x:v>
      </x:c>
      <x:c r="Z3369" t="str">
        <x:v>https://snpmb.id/utbk-snbt/daya-tampung-snbt</x:v>
      </x:c>
      <x:c r="AA3369" t="str">
        <x:v>Tidak Ada</x:v>
      </x:c>
      <x:c r="AB3369" t="str">
        <x:v>Campus=55; Ratio=10.0; Prodi=65; RelDemand=21.5; Capacity=0.0</x:v>
      </x:c>
    </x:row>
    <x:row r="3370">
      <x:c r="A3370" t="n">
        <x:v>3367</x:v>
      </x:c>
      <x:c r="B3370" t="str">
        <x:v>PTN Akademik</x:v>
      </x:c>
      <x:c r="C3370" t="str">
        <x:v>UNIVERSITAS TADULAKO</x:v>
      </x:c>
      <x:c r="D3370" t="str">
        <x:v>PETERNAKAN</x:v>
      </x:c>
      <x:c r="E3370" t="str">
        <x:v>Sarjana</x:v>
      </x:c>
      <x:c r="F3370" s="18" t="n">
        <x:v>100</x:v>
      </x:c>
      <x:c r="G3370" s="18" t="n">
        <x:v>97</x:v>
      </x:c>
      <x:c r="H3370" s="19" t="n">
        <x:v>0.97</x:v>
      </x:c>
      <x:c r="I3370" s="18" t="n">
        <x:f>ROUND(MIN(Model_Config_v3!$B$6,MAX(Q3370,R3370,S3370*Model_Config_v3!$B$4+T3370*Model_Config_v3!$B$5)),0)</x:f>
        <x:v>591</x:v>
      </x:c>
      <x:c r="J3370" s="18" t="n">
        <x:f>MIN(Model_Config_v3!$B$6,I3370+Model_Config_v3!$B$7)</x:f>
        <x:v>611</x:v>
      </x:c>
      <x:c r="K3370" s="20" t="n">
        <x:v>30.3</x:v>
      </x:c>
      <x:c r="L3370" t="str">
        <x:v>RELATIF LONGGAR</x:v>
      </x:c>
      <x:c r="M3370" t="str">
        <x:v>SEDANG</x:v>
      </x:c>
      <x:c r="N3370" t="str">
        <x:v>REGULER</x:v>
      </x:c>
      <x:c r="O3370" t="str">
        <x:v>SAINTEK</x:v>
      </x:c>
      <x:c r="P3370" t="str">
        <x:v>UMUM</x:v>
      </x:c>
      <x:c r="Q3370" s="18" t="n">
        <x:v>0</x:v>
      </x:c>
      <x:c r="R3370" s="18" t="n">
        <x:v>0</x:v>
      </x:c>
      <x:c r="S3370" s="18" t="n">
        <x:v>520</x:v>
      </x:c>
      <x:c r="T3370" s="18" t="n">
        <x:v>621</x:v>
      </x:c>
      <x:c r="U3370" s="18" t="n">
        <x:v>520</x:v>
      </x:c>
      <x:c r="V3370" s="20" t="n">
        <x:v>12</x:v>
      </x:c>
      <x:c r="W3370" s="20" t="n">
        <x:v>5</x:v>
      </x:c>
      <x:c r="X3370" s="20" t="n">
        <x:v>3</x:v>
      </x:c>
      <x:c r="Y3370" t="str">
        <x:v>Basis arsip 2025/2024</x:v>
      </x:c>
      <x:c r="Z3370" t="str">
        <x:v>https://snpmb.id/utbk-snbt/daya-tampung-snbt</x:v>
      </x:c>
      <x:c r="AA3370" t="str">
        <x:v>Tidak Ada</x:v>
      </x:c>
      <x:c r="AB3370" t="str">
        <x:v>Campus=55; Ratio=0.0; Prodi=40; RelDemand=14.1; Capacity=16.7</x:v>
      </x:c>
    </x:row>
    <x:row r="3371">
      <x:c r="A3371" t="n">
        <x:v>3368</x:v>
      </x:c>
      <x:c r="B3371" t="str">
        <x:v>PTN Akademik</x:v>
      </x:c>
      <x:c r="C3371" t="str">
        <x:v>UNIVERSITAS TADULAKO</x:v>
      </x:c>
      <x:c r="D3371" t="str">
        <x:v>TEKNIK SIPIL</x:v>
      </x:c>
      <x:c r="E3371" t="str">
        <x:v>Sarjana</x:v>
      </x:c>
      <x:c r="F3371" s="18" t="n">
        <x:v>100</x:v>
      </x:c>
      <x:c r="G3371" s="18" t="n">
        <x:v>490</x:v>
      </x:c>
      <x:c r="H3371" s="19" t="n">
        <x:v>4.9</x:v>
      </x:c>
      <x:c r="I3371" s="18" t="n">
        <x:f>ROUND(MIN(Model_Config_v3!$B$6,MAX(Q3371,R3371,S3371*Model_Config_v3!$B$4+T3371*Model_Config_v3!$B$5)),0)</x:f>
        <x:v>641</x:v>
      </x:c>
      <x:c r="J3371" s="18" t="n">
        <x:f>MIN(Model_Config_v3!$B$6,I3371+Model_Config_v3!$B$7)</x:f>
        <x:v>661</x:v>
      </x:c>
      <x:c r="K3371" s="20" t="n">
        <x:v>50.2</x:v>
      </x:c>
      <x:c r="L3371" t="str">
        <x:v>MENENGAH</x:v>
      </x:c>
      <x:c r="M3371" t="str">
        <x:v>SEDANG+</x:v>
      </x:c>
      <x:c r="N3371" t="str">
        <x:v>REGULER</x:v>
      </x:c>
      <x:c r="O3371" t="str">
        <x:v>SAINTEK</x:v>
      </x:c>
      <x:c r="P3371" t="str">
        <x:v>TEKNIK/ARSITEKTUR/STATISTIKA/AKTUARIA</x:v>
      </x:c>
      <x:c r="Q3371" s="18" t="n">
        <x:v>0</x:v>
      </x:c>
      <x:c r="R3371" s="18" t="n">
        <x:v>0</x:v>
      </x:c>
      <x:c r="S3371" s="18" t="n">
        <x:v>595.9215688031366</x:v>
      </x:c>
      <x:c r="T3371" s="18" t="n">
        <x:v>660</x:v>
      </x:c>
      <x:c r="U3371" s="18" t="n">
        <x:v>605.9215688031366</x:v>
      </x:c>
      <x:c r="V3371" s="20" t="n">
        <x:v>12</x:v>
      </x:c>
      <x:c r="W3371" s="20" t="n">
        <x:v>5</x:v>
      </x:c>
      <x:c r="X3371" s="20" t="n">
        <x:v>3</x:v>
      </x:c>
      <x:c r="Y3371" t="str">
        <x:v>Basis arsip 2025/2024</x:v>
      </x:c>
      <x:c r="Z3371" t="str">
        <x:v>https://snpmb.id/utbk-snbt/daya-tampung-snbt</x:v>
      </x:c>
      <x:c r="AA3371" t="str">
        <x:v>Tidak Ada</x:v>
      </x:c>
      <x:c r="AB3371" t="str">
        <x:v>Campus=55; Ratio=40.6; Prodi=60; RelDemand=71.4; Capacity=16.7</x:v>
      </x:c>
    </x:row>
    <x:row r="3372">
      <x:c r="A3372" t="n">
        <x:v>3369</x:v>
      </x:c>
      <x:c r="B3372" t="str">
        <x:v>PTN Akademik</x:v>
      </x:c>
      <x:c r="C3372" t="str">
        <x:v>UNIVERSITAS TADULAKO</x:v>
      </x:c>
      <x:c r="D3372" t="str">
        <x:v>TEKNIK ARSITEKTUR</x:v>
      </x:c>
      <x:c r="E3372" t="str">
        <x:v>Sarjana</x:v>
      </x:c>
      <x:c r="F3372" s="18" t="n">
        <x:v>60</x:v>
      </x:c>
      <x:c r="G3372" s="18" t="n">
        <x:v>156</x:v>
      </x:c>
      <x:c r="H3372" s="19" t="n">
        <x:v>2.6</x:v>
      </x:c>
      <x:c r="I3372" s="18" t="n">
        <x:f>ROUND(MIN(Model_Config_v3!$B$6,MAX(Q3372,R3372,S3372*Model_Config_v3!$B$4+T3372*Model_Config_v3!$B$5)),0)</x:f>
        <x:v>626</x:v>
      </x:c>
      <x:c r="J3372" s="18" t="n">
        <x:f>MIN(Model_Config_v3!$B$6,I3372+Model_Config_v3!$B$7)</x:f>
        <x:v>646</x:v>
      </x:c>
      <x:c r="K3372" s="20" t="n">
        <x:v>46.1</x:v>
      </x:c>
      <x:c r="L3372" t="str">
        <x:v>MENENGAH</x:v>
      </x:c>
      <x:c r="M3372" t="str">
        <x:v>SEDANG+</x:v>
      </x:c>
      <x:c r="N3372" t="str">
        <x:v>REGULER</x:v>
      </x:c>
      <x:c r="O3372" t="str">
        <x:v>SAINTEK</x:v>
      </x:c>
      <x:c r="P3372" t="str">
        <x:v>TEKNIK/ARSITEKTUR/STATISTIKA/AKTUARIA</x:v>
      </x:c>
      <x:c r="Q3372" s="18" t="n">
        <x:v>0</x:v>
      </x:c>
      <x:c r="R3372" s="18" t="n">
        <x:v>0</x:v>
      </x:c>
      <x:c r="S3372" s="18" t="n">
        <x:v>565.6470682767899</x:v>
      </x:c>
      <x:c r="T3372" s="18" t="n">
        <x:v>652</x:v>
      </x:c>
      <x:c r="U3372" s="18" t="n">
        <x:v>575.6470682767899</x:v>
      </x:c>
      <x:c r="V3372" s="20" t="n">
        <x:v>12</x:v>
      </x:c>
      <x:c r="W3372" s="20" t="n">
        <x:v>5</x:v>
      </x:c>
      <x:c r="X3372" s="20" t="n">
        <x:v>3</x:v>
      </x:c>
      <x:c r="Y3372" t="str">
        <x:v>Basis arsip 2025/2024</x:v>
      </x:c>
      <x:c r="Z3372" t="str">
        <x:v>https://snpmb.id/utbk-snbt/daya-tampung-snbt</x:v>
      </x:c>
      <x:c r="AA3372" t="str">
        <x:v>Tidak Ada</x:v>
      </x:c>
      <x:c r="AB3372" t="str">
        <x:v>Campus=55; Ratio=24.4; Prodi=60; RelDemand=37.9; Capacity=50.0</x:v>
      </x:c>
    </x:row>
    <x:row r="3373">
      <x:c r="A3373" t="n">
        <x:v>3370</x:v>
      </x:c>
      <x:c r="B3373" t="str">
        <x:v>PTN Akademik</x:v>
      </x:c>
      <x:c r="C3373" t="str">
        <x:v>UNIVERSITAS TADULAKO</x:v>
      </x:c>
      <x:c r="D3373" t="str">
        <x:v>TEKNIK MESIN</x:v>
      </x:c>
      <x:c r="E3373" t="str">
        <x:v>Sarjana</x:v>
      </x:c>
      <x:c r="F3373" s="18" t="n">
        <x:v>60</x:v>
      </x:c>
      <x:c r="G3373" s="18" t="n">
        <x:v>94</x:v>
      </x:c>
      <x:c r="H3373" s="19" t="n">
        <x:v>1.5666666666666667</x:v>
      </x:c>
      <x:c r="I3373" s="18" t="n">
        <x:f>ROUND(MIN(Model_Config_v3!$B$6,MAX(Q3373,R3373,S3373*Model_Config_v3!$B$4+T3373*Model_Config_v3!$B$5)),0)</x:f>
        <x:v>613</x:v>
      </x:c>
      <x:c r="J3373" s="18" t="n">
        <x:f>MIN(Model_Config_v3!$B$6,I3373+Model_Config_v3!$B$7)</x:f>
        <x:v>633</x:v>
      </x:c>
      <x:c r="K3373" s="20" t="n">
        <x:v>41.4</x:v>
      </x:c>
      <x:c r="L3373" t="str">
        <x:v>RELATIF LONGGAR</x:v>
      </x:c>
      <x:c r="M3373" t="str">
        <x:v>SEDANG+</x:v>
      </x:c>
      <x:c r="N3373" t="str">
        <x:v>REGULER</x:v>
      </x:c>
      <x:c r="O3373" t="str">
        <x:v>SAINTEK</x:v>
      </x:c>
      <x:c r="P3373" t="str">
        <x:v>TEKNIK/ARSITEKTUR/STATISTIKA/AKTUARIA</x:v>
      </x:c>
      <x:c r="Q3373" s="18" t="n">
        <x:v>0</x:v>
      </x:c>
      <x:c r="R3373" s="18" t="n">
        <x:v>0</x:v>
      </x:c>
      <x:c r="S3373" s="18" t="n">
        <x:v>541.4474263537661</x:v>
      </x:c>
      <x:c r="T3373" s="18" t="n">
        <x:v>643</x:v>
      </x:c>
      <x:c r="U3373" s="18" t="n">
        <x:v>551.4474263537661</x:v>
      </x:c>
      <x:c r="V3373" s="20" t="n">
        <x:v>12</x:v>
      </x:c>
      <x:c r="W3373" s="20" t="n">
        <x:v>5</x:v>
      </x:c>
      <x:c r="X3373" s="20" t="n">
        <x:v>3</x:v>
      </x:c>
      <x:c r="Y3373" t="str">
        <x:v>Basis arsip 2025/2024</x:v>
      </x:c>
      <x:c r="Z3373" t="str">
        <x:v>https://snpmb.id/utbk-snbt/daya-tampung-snbt</x:v>
      </x:c>
      <x:c r="AA3373" t="str">
        <x:v>Tidak Ada</x:v>
      </x:c>
      <x:c r="AB3373" t="str">
        <x:v>Campus=55; Ratio=11.5; Prodi=60; RelDemand=22.8; Capacity=50.0</x:v>
      </x:c>
    </x:row>
    <x:row r="3374">
      <x:c r="A3374" t="n">
        <x:v>3371</x:v>
      </x:c>
      <x:c r="B3374" t="str">
        <x:v>PTN Akademik</x:v>
      </x:c>
      <x:c r="C3374" t="str">
        <x:v>UNIVERSITAS TADULAKO</x:v>
      </x:c>
      <x:c r="D3374" t="str">
        <x:v>TEKNIK ELEKTRO</x:v>
      </x:c>
      <x:c r="E3374" t="str">
        <x:v>Sarjana</x:v>
      </x:c>
      <x:c r="F3374" s="18" t="n">
        <x:v>50</x:v>
      </x:c>
      <x:c r="G3374" s="18" t="n">
        <x:v>96</x:v>
      </x:c>
      <x:c r="H3374" s="19" t="n">
        <x:v>1.92</x:v>
      </x:c>
      <x:c r="I3374" s="18" t="n">
        <x:f>ROUND(MIN(Model_Config_v3!$B$6,MAX(Q3374,R3374,S3374*Model_Config_v3!$B$4+T3374*Model_Config_v3!$B$5)),0)</x:f>
        <x:v>619</x:v>
      </x:c>
      <x:c r="J3374" s="18" t="n">
        <x:f>MIN(Model_Config_v3!$B$6,I3374+Model_Config_v3!$B$7)</x:f>
        <x:v>639</x:v>
      </x:c>
      <x:c r="K3374" s="20" t="n">
        <x:v>44.1</x:v>
      </x:c>
      <x:c r="L3374" t="str">
        <x:v>RELATIF LONGGAR</x:v>
      </x:c>
      <x:c r="M3374" t="str">
        <x:v>SEDANG+</x:v>
      </x:c>
      <x:c r="N3374" t="str">
        <x:v>REGULER</x:v>
      </x:c>
      <x:c r="O3374" t="str">
        <x:v>SAINTEK</x:v>
      </x:c>
      <x:c r="P3374" t="str">
        <x:v>TEKNIK/ARSITEKTUR/STATISTIKA/AKTUARIA</x:v>
      </x:c>
      <x:c r="Q3374" s="18" t="n">
        <x:v>0</x:v>
      </x:c>
      <x:c r="R3374" s="18" t="n">
        <x:v>0</x:v>
      </x:c>
      <x:c r="S3374" s="18" t="n">
        <x:v>551.1631351573905</x:v>
      </x:c>
      <x:c r="T3374" s="18" t="n">
        <x:v>648</x:v>
      </x:c>
      <x:c r="U3374" s="18" t="n">
        <x:v>561.1631351573905</x:v>
      </x:c>
      <x:c r="V3374" s="20" t="n">
        <x:v>12</x:v>
      </x:c>
      <x:c r="W3374" s="20" t="n">
        <x:v>5</x:v>
      </x:c>
      <x:c r="X3374" s="20" t="n">
        <x:v>3</x:v>
      </x:c>
      <x:c r="Y3374" t="str">
        <x:v>Basis arsip 2025/2024</x:v>
      </x:c>
      <x:c r="Z3374" t="str">
        <x:v>https://snpmb.id/utbk-snbt/daya-tampung-snbt</x:v>
      </x:c>
      <x:c r="AA3374" t="str">
        <x:v>Tidak Ada</x:v>
      </x:c>
      <x:c r="AB3374" t="str">
        <x:v>Campus=55; Ratio=16.7; Prodi=60; RelDemand=28.0; Capacity=58.3</x:v>
      </x:c>
    </x:row>
    <x:row r="3375">
      <x:c r="A3375" t="n">
        <x:v>3372</x:v>
      </x:c>
      <x:c r="B3375" t="str">
        <x:v>PTN Akademik</x:v>
      </x:c>
      <x:c r="C3375" t="str">
        <x:v>UNIVERSITAS TADULAKO</x:v>
      </x:c>
      <x:c r="D3375" t="str">
        <x:v>FISIKA</x:v>
      </x:c>
      <x:c r="E3375" t="str">
        <x:v>Sarjana</x:v>
      </x:c>
      <x:c r="F3375" s="18" t="n">
        <x:v>20</x:v>
      </x:c>
      <x:c r="G3375" s="18" t="n">
        <x:v>14</x:v>
      </x:c>
      <x:c r="H3375" s="19" t="n">
        <x:v>0.7</x:v>
      </x:c>
      <x:c r="I3375" s="18" t="n">
        <x:f>ROUND(MIN(Model_Config_v3!$B$6,MAX(Q3375,R3375,S3375*Model_Config_v3!$B$4+T3375*Model_Config_v3!$B$5)),0)</x:f>
        <x:v>602</x:v>
      </x:c>
      <x:c r="J3375" s="18" t="n">
        <x:f>MIN(Model_Config_v3!$B$6,I3375+Model_Config_v3!$B$7)</x:f>
        <x:v>622</x:v>
      </x:c>
      <x:c r="K3375" s="20" t="n">
        <x:v>38.6</x:v>
      </x:c>
      <x:c r="L3375" t="str">
        <x:v>RELATIF LONGGAR</x:v>
      </x:c>
      <x:c r="M3375" t="str">
        <x:v>SEDANG+</x:v>
      </x:c>
      <x:c r="N3375" t="str">
        <x:v>REGULER</x:v>
      </x:c>
      <x:c r="O3375" t="str">
        <x:v>SAINTEK</x:v>
      </x:c>
      <x:c r="P3375" t="str">
        <x:v>SAINS DASAR</x:v>
      </x:c>
      <x:c r="Q3375" s="18" t="n">
        <x:v>0</x:v>
      </x:c>
      <x:c r="R3375" s="18" t="n">
        <x:v>0</x:v>
      </x:c>
      <x:c r="S3375" s="18" t="n">
        <x:v>520</x:v>
      </x:c>
      <x:c r="T3375" s="18" t="n">
        <x:v>637</x:v>
      </x:c>
      <x:c r="U3375" s="18" t="n">
        <x:v>520</x:v>
      </x:c>
      <x:c r="V3375" s="20" t="n">
        <x:v>12</x:v>
      </x:c>
      <x:c r="W3375" s="20" t="n">
        <x:v>5</x:v>
      </x:c>
      <x:c r="X3375" s="20" t="n">
        <x:v>3</x:v>
      </x:c>
      <x:c r="Y3375" t="str">
        <x:v>Basis arsip 2025/2024</x:v>
      </x:c>
      <x:c r="Z3375" t="str">
        <x:v>https://snpmb.id/utbk-snbt/daya-tampung-snbt</x:v>
      </x:c>
      <x:c r="AA3375" t="str">
        <x:v>Tidak Ada</x:v>
      </x:c>
      <x:c r="AB3375" t="str">
        <x:v>Campus=55; Ratio=0.0; Prodi=50; RelDemand=10.2; Capacity=83.3</x:v>
      </x:c>
    </x:row>
    <x:row r="3376">
      <x:c r="A3376" t="n">
        <x:v>3373</x:v>
      </x:c>
      <x:c r="B3376" t="str">
        <x:v>PTN Akademik</x:v>
      </x:c>
      <x:c r="C3376" t="str">
        <x:v>UNIVERSITAS TADULAKO</x:v>
      </x:c>
      <x:c r="D3376" t="str">
        <x:v>MATEMATIKA</x:v>
      </x:c>
      <x:c r="E3376" t="str">
        <x:v>Sarjana</x:v>
      </x:c>
      <x:c r="F3376" s="18" t="n">
        <x:v>20</x:v>
      </x:c>
      <x:c r="G3376" s="18" t="n">
        <x:v>31</x:v>
      </x:c>
      <x:c r="H3376" s="19" t="n">
        <x:v>1.55</x:v>
      </x:c>
      <x:c r="I3376" s="18" t="n">
        <x:f>ROUND(MIN(Model_Config_v3!$B$6,MAX(Q3376,R3376,S3376*Model_Config_v3!$B$4+T3376*Model_Config_v3!$B$5)),0)</x:f>
        <x:v>614</x:v>
      </x:c>
      <x:c r="J3376" s="18" t="n">
        <x:f>MIN(Model_Config_v3!$B$6,I3376+Model_Config_v3!$B$7)</x:f>
        <x:v>634</x:v>
      </x:c>
      <x:c r="K3376" s="20" t="n">
        <x:v>42.6</x:v>
      </x:c>
      <x:c r="L3376" t="str">
        <x:v>RELATIF LONGGAR</x:v>
      </x:c>
      <x:c r="M3376" t="str">
        <x:v>SEDANG+</x:v>
      </x:c>
      <x:c r="N3376" t="str">
        <x:v>REGULER</x:v>
      </x:c>
      <x:c r="O3376" t="str">
        <x:v>SAINTEK</x:v>
      </x:c>
      <x:c r="P3376" t="str">
        <x:v>SAINS DASAR</x:v>
      </x:c>
      <x:c r="Q3376" s="18" t="n">
        <x:v>0</x:v>
      </x:c>
      <x:c r="R3376" s="18" t="n">
        <x:v>0</x:v>
      </x:c>
      <x:c r="S3376" s="18" t="n">
        <x:v>540.9364867987321</x:v>
      </x:c>
      <x:c r="T3376" s="18" t="n">
        <x:v>645</x:v>
      </x:c>
      <x:c r="U3376" s="18" t="n">
        <x:v>540.9364867987321</x:v>
      </x:c>
      <x:c r="V3376" s="20" t="n">
        <x:v>12</x:v>
      </x:c>
      <x:c r="W3376" s="20" t="n">
        <x:v>5</x:v>
      </x:c>
      <x:c r="X3376" s="20" t="n">
        <x:v>3</x:v>
      </x:c>
      <x:c r="Y3376" t="str">
        <x:v>Basis arsip 2025/2024</x:v>
      </x:c>
      <x:c r="Z3376" t="str">
        <x:v>https://snpmb.id/utbk-snbt/daya-tampung-snbt</x:v>
      </x:c>
      <x:c r="AA3376" t="str">
        <x:v>Tidak Ada</x:v>
      </x:c>
      <x:c r="AB3376" t="str">
        <x:v>Campus=55; Ratio=11.2; Prodi=50; RelDemand=22.6; Capacity=83.3</x:v>
      </x:c>
    </x:row>
    <x:row r="3377">
      <x:c r="A3377" t="n">
        <x:v>3374</x:v>
      </x:c>
      <x:c r="B3377" t="str">
        <x:v>PTN Akademik</x:v>
      </x:c>
      <x:c r="C3377" t="str">
        <x:v>UNIVERSITAS TADULAKO</x:v>
      </x:c>
      <x:c r="D3377" t="str">
        <x:v>KIMIA</x:v>
      </x:c>
      <x:c r="E3377" t="str">
        <x:v>Sarjana</x:v>
      </x:c>
      <x:c r="F3377" s="18" t="n">
        <x:v>32</x:v>
      </x:c>
      <x:c r="G3377" s="18" t="n">
        <x:v>37</x:v>
      </x:c>
      <x:c r="H3377" s="19" t="n">
        <x:v>1.15625</x:v>
      </x:c>
      <x:c r="I3377" s="18" t="n">
        <x:f>ROUND(MIN(Model_Config_v3!$B$6,MAX(Q3377,R3377,S3377*Model_Config_v3!$B$4+T3377*Model_Config_v3!$B$5)),0)</x:f>
        <x:v>605</x:v>
      </x:c>
      <x:c r="J3377" s="18" t="n">
        <x:f>MIN(Model_Config_v3!$B$6,I3377+Model_Config_v3!$B$7)</x:f>
        <x:v>625</x:v>
      </x:c>
      <x:c r="K3377" s="20" t="n">
        <x:v>39.2</x:v>
      </x:c>
      <x:c r="L3377" t="str">
        <x:v>RELATIF LONGGAR</x:v>
      </x:c>
      <x:c r="M3377" t="str">
        <x:v>SEDANG+</x:v>
      </x:c>
      <x:c r="N3377" t="str">
        <x:v>REGULER</x:v>
      </x:c>
      <x:c r="O3377" t="str">
        <x:v>SAINTEK</x:v>
      </x:c>
      <x:c r="P3377" t="str">
        <x:v>SAINS DASAR</x:v>
      </x:c>
      <x:c r="Q3377" s="18" t="n">
        <x:v>0</x:v>
      </x:c>
      <x:c r="R3377" s="18" t="n">
        <x:v>0</x:v>
      </x:c>
      <x:c r="S3377" s="18" t="n">
        <x:v>526.9356920321798</x:v>
      </x:c>
      <x:c r="T3377" s="18" t="n">
        <x:v>638</x:v>
      </x:c>
      <x:c r="U3377" s="18" t="n">
        <x:v>526.9356920321798</x:v>
      </x:c>
      <x:c r="V3377" s="20" t="n">
        <x:v>12</x:v>
      </x:c>
      <x:c r="W3377" s="20" t="n">
        <x:v>5</x:v>
      </x:c>
      <x:c r="X3377" s="20" t="n">
        <x:v>3</x:v>
      </x:c>
      <x:c r="Y3377" t="str">
        <x:v>Basis arsip 2025/2024</x:v>
      </x:c>
      <x:c r="Z3377" t="str">
        <x:v>https://snpmb.id/utbk-snbt/daya-tampung-snbt</x:v>
      </x:c>
      <x:c r="AA3377" t="str">
        <x:v>Tidak Ada</x:v>
      </x:c>
      <x:c r="AB3377" t="str">
        <x:v>Campus=55; Ratio=3.7; Prodi=50; RelDemand=16.8; Capacity=73.3</x:v>
      </x:c>
    </x:row>
    <x:row r="3378">
      <x:c r="A3378" t="n">
        <x:v>3375</x:v>
      </x:c>
      <x:c r="B3378" t="str">
        <x:v>PTN Akademik</x:v>
      </x:c>
      <x:c r="C3378" t="str">
        <x:v>UNIVERSITAS TADULAKO</x:v>
      </x:c>
      <x:c r="D3378" t="str">
        <x:v>BIOLOGI</x:v>
      </x:c>
      <x:c r="E3378" t="str">
        <x:v>Sarjana</x:v>
      </x:c>
      <x:c r="F3378" s="18" t="n">
        <x:v>23</x:v>
      </x:c>
      <x:c r="G3378" s="18" t="n">
        <x:v>47</x:v>
      </x:c>
      <x:c r="H3378" s="19" t="n">
        <x:v>2.0434782608695654</x:v>
      </x:c>
      <x:c r="I3378" s="18" t="n">
        <x:f>ROUND(MIN(Model_Config_v3!$B$6,MAX(Q3378,R3378,S3378*Model_Config_v3!$B$4+T3378*Model_Config_v3!$B$5)),0)</x:f>
        <x:v>621</x:v>
      </x:c>
      <x:c r="J3378" s="18" t="n">
        <x:f>MIN(Model_Config_v3!$B$6,I3378+Model_Config_v3!$B$7)</x:f>
        <x:v>641</x:v>
      </x:c>
      <x:c r="K3378" s="20" t="n">
        <x:v>44.9</x:v>
      </x:c>
      <x:c r="L3378" t="str">
        <x:v>RELATIF LONGGAR</x:v>
      </x:c>
      <x:c r="M3378" t="str">
        <x:v>SEDANG+</x:v>
      </x:c>
      <x:c r="N3378" t="str">
        <x:v>REGULER</x:v>
      </x:c>
      <x:c r="O3378" t="str">
        <x:v>SAINTEK</x:v>
      </x:c>
      <x:c r="P3378" t="str">
        <x:v>SAINS DASAR</x:v>
      </x:c>
      <x:c r="Q3378" s="18" t="n">
        <x:v>0</x:v>
      </x:c>
      <x:c r="R3378" s="18" t="n">
        <x:v>0</x:v>
      </x:c>
      <x:c r="S3378" s="18" t="n">
        <x:v>554.1407024109938</x:v>
      </x:c>
      <x:c r="T3378" s="18" t="n">
        <x:v>650</x:v>
      </x:c>
      <x:c r="U3378" s="18" t="n">
        <x:v>554.1407024109938</x:v>
      </x:c>
      <x:c r="V3378" s="20" t="n">
        <x:v>12</x:v>
      </x:c>
      <x:c r="W3378" s="20" t="n">
        <x:v>5</x:v>
      </x:c>
      <x:c r="X3378" s="20" t="n">
        <x:v>3</x:v>
      </x:c>
      <x:c r="Y3378" t="str">
        <x:v>Basis arsip 2025/2024</x:v>
      </x:c>
      <x:c r="Z3378" t="str">
        <x:v>https://snpmb.id/utbk-snbt/daya-tampung-snbt</x:v>
      </x:c>
      <x:c r="AA3378" t="str">
        <x:v>Tidak Ada</x:v>
      </x:c>
      <x:c r="AB3378" t="str">
        <x:v>Campus=55; Ratio=18.3; Prodi=50; RelDemand=29.8; Capacity=80.8</x:v>
      </x:c>
    </x:row>
    <x:row r="3379">
      <x:c r="A3379" t="n">
        <x:v>3376</x:v>
      </x:c>
      <x:c r="B3379" t="str">
        <x:v>PTN Akademik</x:v>
      </x:c>
      <x:c r="C3379" t="str">
        <x:v>UNIVERSITAS TADULAKO</x:v>
      </x:c>
      <x:c r="D3379" t="str">
        <x:v>KEDOKTERAN</x:v>
      </x:c>
      <x:c r="E3379" t="str">
        <x:v>Sarjana</x:v>
      </x:c>
      <x:c r="F3379" s="18" t="n">
        <x:v>83</x:v>
      </x:c>
      <x:c r="G3379" s="18" t="n">
        <x:v>879</x:v>
      </x:c>
      <x:c r="H3379" s="19" t="n">
        <x:v>10.590361445783133</x:v>
      </x:c>
      <x:c r="I3379" s="18" t="n">
        <x:f>ROUND(MIN(Model_Config_v3!$B$6,MAX(Q3379,R3379,S3379*Model_Config_v3!$B$4+T3379*Model_Config_v3!$B$5)),0)</x:f>
        <x:v>680</x:v>
      </x:c>
      <x:c r="J3379" s="18" t="n">
        <x:f>MIN(Model_Config_v3!$B$6,I3379+Model_Config_v3!$B$7)</x:f>
        <x:v>700</x:v>
      </x:c>
      <x:c r="K3379" s="20" t="n">
        <x:v>67.4</x:v>
      </x:c>
      <x:c r="L3379" t="str">
        <x:v>SANGAT KETAT</x:v>
      </x:c>
      <x:c r="M3379" t="str">
        <x:v>SEDANG+</x:v>
      </x:c>
      <x:c r="N3379" t="str">
        <x:v>REGULER</x:v>
      </x:c>
      <x:c r="O3379" t="str">
        <x:v>SAINTEK</x:v>
      </x:c>
      <x:c r="P3379" t="str">
        <x:v>KEDOKTERAN</x:v>
      </x:c>
      <x:c r="Q3379" s="18" t="n">
        <x:v>0</x:v>
      </x:c>
      <x:c r="R3379" s="18" t="n">
        <x:v>680</x:v>
      </x:c>
      <x:c r="S3379" s="18" t="n">
        <x:v>632.7401860967468</x:v>
      </x:c>
      <x:c r="T3379" s="18" t="n">
        <x:v>695</x:v>
      </x:c>
      <x:c r="U3379" s="18" t="n">
        <x:v>680</x:v>
      </x:c>
      <x:c r="V3379" s="20" t="n">
        <x:v>12</x:v>
      </x:c>
      <x:c r="W3379" s="20" t="n">
        <x:v>5</x:v>
      </x:c>
      <x:c r="X3379" s="20" t="n">
        <x:v>3</x:v>
      </x:c>
      <x:c r="Y3379" t="str">
        <x:v>Basis arsip 2025/2024</x:v>
      </x:c>
      <x:c r="Z3379" t="str">
        <x:v>https://snpmb.id/utbk-snbt/daya-tampung-snbt</x:v>
      </x:c>
      <x:c r="AA3379" t="str">
        <x:v>Tidak Ada</x:v>
      </x:c>
      <x:c r="AB3379" t="str">
        <x:v>Campus=55; Ratio=60.3; Prodi=100; RelDemand=100.0; Capacity=30.8</x:v>
      </x:c>
    </x:row>
    <x:row r="3380">
      <x:c r="A3380" t="n">
        <x:v>3377</x:v>
      </x:c>
      <x:c r="B3380" t="str">
        <x:v>PTN Akademik</x:v>
      </x:c>
      <x:c r="C3380" t="str">
        <x:v>UNIVERSITAS TADULAKO</x:v>
      </x:c>
      <x:c r="D3380" t="str">
        <x:v>KESEHATAN MASYARAKAT</x:v>
      </x:c>
      <x:c r="E3380" t="str">
        <x:v>Sarjana</x:v>
      </x:c>
      <x:c r="F3380" s="18" t="n">
        <x:v>125</x:v>
      </x:c>
      <x:c r="G3380" s="18" t="n">
        <x:v>534</x:v>
      </x:c>
      <x:c r="H3380" s="19" t="n">
        <x:v>4.272</x:v>
      </x:c>
      <x:c r="I3380" s="18" t="n">
        <x:f>ROUND(MIN(Model_Config_v3!$B$6,MAX(Q3380,R3380,S3380*Model_Config_v3!$B$4+T3380*Model_Config_v3!$B$5)),0)</x:f>
        <x:v>633</x:v>
      </x:c>
      <x:c r="J3380" s="18" t="n">
        <x:f>MIN(Model_Config_v3!$B$6,I3380+Model_Config_v3!$B$7)</x:f>
        <x:v>653</x:v>
      </x:c>
      <x:c r="K3380" s="20" t="n">
        <x:v>45.8</x:v>
      </x:c>
      <x:c r="L3380" t="str">
        <x:v>MENENGAH</x:v>
      </x:c>
      <x:c r="M3380" t="str">
        <x:v>SEDANG+</x:v>
      </x:c>
      <x:c r="N3380" t="str">
        <x:v>REGULER</x:v>
      </x:c>
      <x:c r="O3380" t="str">
        <x:v>SAINTEK</x:v>
      </x:c>
      <x:c r="P3380" t="str">
        <x:v>KESEHAT/GIZI/KEPERAWATAN</x:v>
      </x:c>
      <x:c r="Q3380" s="18" t="n">
        <x:v>0</x:v>
      </x:c>
      <x:c r="R3380" s="18" t="n">
        <x:v>0</x:v>
      </x:c>
      <x:c r="S3380" s="18" t="n">
        <x:v>589.369436842255</x:v>
      </x:c>
      <x:c r="T3380" s="18" t="n">
        <x:v>652</x:v>
      </x:c>
      <x:c r="U3380" s="18" t="n">
        <x:v>589.369436842255</x:v>
      </x:c>
      <x:c r="V3380" s="20" t="n">
        <x:v>12</x:v>
      </x:c>
      <x:c r="W3380" s="20" t="n">
        <x:v>5</x:v>
      </x:c>
      <x:c r="X3380" s="20" t="n">
        <x:v>3</x:v>
      </x:c>
      <x:c r="Y3380" t="str">
        <x:v>Basis arsip 2025/2024</x:v>
      </x:c>
      <x:c r="Z3380" t="str">
        <x:v>https://snpmb.id/utbk-snbt/daya-tampung-snbt</x:v>
      </x:c>
      <x:c r="AA3380" t="str">
        <x:v>Tidak Ada</x:v>
      </x:c>
      <x:c r="AB3380" t="str">
        <x:v>Campus=55; Ratio=37.1; Prodi=55; RelDemand=62.3; Capacity=0.0</x:v>
      </x:c>
    </x:row>
    <x:row r="3381">
      <x:c r="A3381" t="n">
        <x:v>3378</x:v>
      </x:c>
      <x:c r="B3381" t="str">
        <x:v>PTN Akademik</x:v>
      </x:c>
      <x:c r="C3381" t="str">
        <x:v>UNIVERSITAS TADULAKO</x:v>
      </x:c>
      <x:c r="D3381" t="str">
        <x:v>AKUAKULTUR</x:v>
      </x:c>
      <x:c r="E3381" t="str">
        <x:v>Sarjana</x:v>
      </x:c>
      <x:c r="F3381" s="18" t="n">
        <x:v>60</x:v>
      </x:c>
      <x:c r="G3381" s="18" t="n">
        <x:v>38</x:v>
      </x:c>
      <x:c r="H3381" s="19" t="n">
        <x:v>0.6333333333333333</x:v>
      </x:c>
      <x:c r="I3381" s="18" t="n">
        <x:f>ROUND(MIN(Model_Config_v3!$B$6,MAX(Q3381,R3381,S3381*Model_Config_v3!$B$4+T3381*Model_Config_v3!$B$5)),0)</x:f>
        <x:v>594</x:v>
      </x:c>
      <x:c r="J3381" s="18" t="n">
        <x:f>MIN(Model_Config_v3!$B$6,I3381+Model_Config_v3!$B$7)</x:f>
        <x:v>614</x:v>
      </x:c>
      <x:c r="K3381" s="20" t="n">
        <x:v>33.2</x:v>
      </x:c>
      <x:c r="L3381" t="str">
        <x:v>RELATIF LONGGAR</x:v>
      </x:c>
      <x:c r="M3381" t="str">
        <x:v>SEDANG</x:v>
      </x:c>
      <x:c r="N3381" t="str">
        <x:v>REGULER</x:v>
      </x:c>
      <x:c r="O3381" t="str">
        <x:v>CAMPURAN</x:v>
      </x:c>
      <x:c r="P3381" t="str">
        <x:v>UMUM</x:v>
      </x:c>
      <x:c r="Q3381" s="18" t="n">
        <x:v>0</x:v>
      </x:c>
      <x:c r="R3381" s="18" t="n">
        <x:v>0</x:v>
      </x:c>
      <x:c r="S3381" s="18" t="n">
        <x:v>520</x:v>
      </x:c>
      <x:c r="T3381" s="18" t="n">
        <x:v>626</x:v>
      </x:c>
      <x:c r="U3381" s="18" t="n">
        <x:v>520</x:v>
      </x:c>
      <x:c r="V3381" s="20" t="n">
        <x:v>8.8</x:v>
      </x:c>
      <x:c r="W3381" s="20" t="n">
        <x:v>9.9</x:v>
      </x:c>
      <x:c r="X3381" s="20" t="n">
        <x:v>3.3</x:v>
      </x:c>
      <x:c r="Y3381" t="str">
        <x:v>Basis arsip 2025/2024</x:v>
      </x:c>
      <x:c r="Z3381" t="str">
        <x:v>https://snpmb.id/utbk-snbt/daya-tampung-snbt</x:v>
      </x:c>
      <x:c r="AA3381" t="str">
        <x:v>Tidak Ada</x:v>
      </x:c>
      <x:c r="AB3381" t="str">
        <x:v>Campus=55; Ratio=0.0; Prodi=40; RelDemand=9.2; Capacity=50.0</x:v>
      </x:c>
    </x:row>
    <x:row r="3382">
      <x:c r="A3382" t="n">
        <x:v>3379</x:v>
      </x:c>
      <x:c r="B3382" t="str">
        <x:v>PTN Akademik</x:v>
      </x:c>
      <x:c r="C3382" t="str">
        <x:v>UNIVERSITAS TADULAKO</x:v>
      </x:c>
      <x:c r="D3382" t="str">
        <x:v>FARMASI</x:v>
      </x:c>
      <x:c r="E3382" t="str">
        <x:v>Sarjana</x:v>
      </x:c>
      <x:c r="F3382" s="18" t="n">
        <x:v>48</x:v>
      </x:c>
      <x:c r="G3382" s="18" t="n">
        <x:v>588</x:v>
      </x:c>
      <x:c r="H3382" s="19" t="n">
        <x:v>12.25</x:v>
      </x:c>
      <x:c r="I3382" s="18" t="n">
        <x:f>ROUND(MIN(Model_Config_v3!$B$6,MAX(Q3382,R3382,S3382*Model_Config_v3!$B$4+T3382*Model_Config_v3!$B$5)),0)</x:f>
        <x:v>677</x:v>
      </x:c>
      <x:c r="J3382" s="18" t="n">
        <x:f>MIN(Model_Config_v3!$B$6,I3382+Model_Config_v3!$B$7)</x:f>
        <x:v>697</x:v>
      </x:c>
      <x:c r="K3382" s="20" t="n">
        <x:v>66.3</x:v>
      </x:c>
      <x:c r="L3382" t="str">
        <x:v>SANGAT KETAT</x:v>
      </x:c>
      <x:c r="M3382" t="str">
        <x:v>SEDANG+</x:v>
      </x:c>
      <x:c r="N3382" t="str">
        <x:v>REGULER</x:v>
      </x:c>
      <x:c r="O3382" t="str">
        <x:v>SAINTEK</x:v>
      </x:c>
      <x:c r="P3382" t="str">
        <x:v>FARMASI</x:v>
      </x:c>
      <x:c r="Q3382" s="18" t="n">
        <x:v>0</x:v>
      </x:c>
      <x:c r="R3382" s="18" t="n">
        <x:v>0</x:v>
      </x:c>
      <x:c r="S3382" s="18" t="n">
        <x:v>639.6949697570606</x:v>
      </x:c>
      <x:c r="T3382" s="18" t="n">
        <x:v>693</x:v>
      </x:c>
      <x:c r="U3382" s="18" t="n">
        <x:v>659.6949697570606</x:v>
      </x:c>
      <x:c r="V3382" s="20" t="n">
        <x:v>12</x:v>
      </x:c>
      <x:c r="W3382" s="20" t="n">
        <x:v>5</x:v>
      </x:c>
      <x:c r="X3382" s="20" t="n">
        <x:v>3</x:v>
      </x:c>
      <x:c r="Y3382" t="str">
        <x:v>Basis arsip 2025/2024</x:v>
      </x:c>
      <x:c r="Z3382" t="str">
        <x:v>https://snpmb.id/utbk-snbt/daya-tampung-snbt</x:v>
      </x:c>
      <x:c r="AA3382" t="str">
        <x:v>Tidak Ada</x:v>
      </x:c>
      <x:c r="AB3382" t="str">
        <x:v>Campus=55; Ratio=64.0; Prodi=75; RelDemand=100.0; Capacity=60.0</x:v>
      </x:c>
    </x:row>
    <x:row r="3383">
      <x:c r="A3383" t="n">
        <x:v>3380</x:v>
      </x:c>
      <x:c r="B3383" t="str">
        <x:v>PTN Akademik</x:v>
      </x:c>
      <x:c r="C3383" t="str">
        <x:v>UNIVERSITAS TADULAKO</x:v>
      </x:c>
      <x:c r="D3383" t="str">
        <x:v>TEKNIK INFORMATIKA</x:v>
      </x:c>
      <x:c r="E3383" t="str">
        <x:v>Sarjana</x:v>
      </x:c>
      <x:c r="F3383" s="18" t="n">
        <x:v>72</x:v>
      </x:c>
      <x:c r="G3383" s="18" t="n">
        <x:v>759</x:v>
      </x:c>
      <x:c r="H3383" s="19" t="n">
        <x:v>10.541666666666666</x:v>
      </x:c>
      <x:c r="I3383" s="18" t="n">
        <x:f>ROUND(MIN(Model_Config_v3!$B$6,MAX(Q3383,R3383,S3383*Model_Config_v3!$B$4+T3383*Model_Config_v3!$B$5)),0)</x:f>
        <x:v>673</x:v>
      </x:c>
      <x:c r="J3383" s="18" t="n">
        <x:f>MIN(Model_Config_v3!$B$6,I3383+Model_Config_v3!$B$7)</x:f>
        <x:v>693</x:v>
      </x:c>
      <x:c r="K3383" s="20" t="n">
        <x:v>65.3</x:v>
      </x:c>
      <x:c r="L3383" t="str">
        <x:v>SANGAT KETAT</x:v>
      </x:c>
      <x:c r="M3383" t="str">
        <x:v>SEDANG+</x:v>
      </x:c>
      <x:c r="N3383" t="str">
        <x:v>REGULER</x:v>
      </x:c>
      <x:c r="O3383" t="str">
        <x:v>SAINTEK</x:v>
      </x:c>
      <x:c r="P3383" t="str">
        <x:v>KOMPUTER/INFORMATIKA</x:v>
      </x:c>
      <x:c r="Q3383" s="18" t="n">
        <x:v>0</x:v>
      </x:c>
      <x:c r="R3383" s="18" t="n">
        <x:v>0</x:v>
      </x:c>
      <x:c r="S3383" s="18" t="n">
        <x:v>632.5200207410633</x:v>
      </x:c>
      <x:c r="T3383" s="18" t="n">
        <x:v>691</x:v>
      </x:c>
      <x:c r="U3383" s="18" t="n">
        <x:v>657.5200207410633</x:v>
      </x:c>
      <x:c r="V3383" s="20" t="n">
        <x:v>12</x:v>
      </x:c>
      <x:c r="W3383" s="20" t="n">
        <x:v>5</x:v>
      </x:c>
      <x:c r="X3383" s="20" t="n">
        <x:v>3</x:v>
      </x:c>
      <x:c r="Y3383" t="str">
        <x:v>Basis arsip 2025/2024</x:v>
      </x:c>
      <x:c r="Z3383" t="str">
        <x:v>https://snpmb.id/utbk-snbt/daya-tampung-snbt</x:v>
      </x:c>
      <x:c r="AA3383" t="str">
        <x:v>Tidak Ada</x:v>
      </x:c>
      <x:c r="AB3383" t="str">
        <x:v>Campus=55; Ratio=60.2; Prodi=85; RelDemand=100.0; Capacity=40.0</x:v>
      </x:c>
    </x:row>
    <x:row r="3384">
      <x:c r="A3384" t="n">
        <x:v>3381</x:v>
      </x:c>
      <x:c r="B3384" t="str">
        <x:v>PTN Akademik</x:v>
      </x:c>
      <x:c r="C3384" t="str">
        <x:v>UNIVERSITAS TADULAKO</x:v>
      </x:c>
      <x:c r="D3384" t="str">
        <x:v>STATISTIKA</x:v>
      </x:c>
      <x:c r="E3384" t="str">
        <x:v>Sarjana</x:v>
      </x:c>
      <x:c r="F3384" s="18" t="n">
        <x:v>32</x:v>
      </x:c>
      <x:c r="G3384" s="18" t="n">
        <x:v>79</x:v>
      </x:c>
      <x:c r="H3384" s="19" t="n">
        <x:v>2.46875</x:v>
      </x:c>
      <x:c r="I3384" s="18" t="n">
        <x:f>ROUND(MIN(Model_Config_v3!$B$6,MAX(Q3384,R3384,S3384*Model_Config_v3!$B$4+T3384*Model_Config_v3!$B$5)),0)</x:f>
        <x:v>628</x:v>
      </x:c>
      <x:c r="J3384" s="18" t="n">
        <x:f>MIN(Model_Config_v3!$B$6,I3384+Model_Config_v3!$B$7)</x:f>
        <x:v>648</x:v>
      </x:c>
      <x:c r="K3384" s="20" t="n">
        <x:v>48</x:v>
      </x:c>
      <x:c r="L3384" t="str">
        <x:v>MENENGAH</x:v>
      </x:c>
      <x:c r="M3384" t="str">
        <x:v>SEDANG+</x:v>
      </x:c>
      <x:c r="N3384" t="str">
        <x:v>REGULER</x:v>
      </x:c>
      <x:c r="O3384" t="str">
        <x:v>SAINTEK</x:v>
      </x:c>
      <x:c r="P3384" t="str">
        <x:v>TEKNIK/ARSITEKTUR/STATISTIKA/AKTUARIA</x:v>
      </x:c>
      <x:c r="Q3384" s="18" t="n">
        <x:v>0</x:v>
      </x:c>
      <x:c r="R3384" s="18" t="n">
        <x:v>0</x:v>
      </x:c>
      <x:c r="S3384" s="18" t="n">
        <x:v>563.1724824267588</x:v>
      </x:c>
      <x:c r="T3384" s="18" t="n">
        <x:v>656</x:v>
      </x:c>
      <x:c r="U3384" s="18" t="n">
        <x:v>573.1724824267588</x:v>
      </x:c>
      <x:c r="V3384" s="20" t="n">
        <x:v>12</x:v>
      </x:c>
      <x:c r="W3384" s="20" t="n">
        <x:v>5</x:v>
      </x:c>
      <x:c r="X3384" s="20" t="n">
        <x:v>3</x:v>
      </x:c>
      <x:c r="Y3384" t="str">
        <x:v>Basis arsip 2025/2024</x:v>
      </x:c>
      <x:c r="Z3384" t="str">
        <x:v>https://snpmb.id/utbk-snbt/daya-tampung-snbt</x:v>
      </x:c>
      <x:c r="AA3384" t="str">
        <x:v>Tidak Ada</x:v>
      </x:c>
      <x:c r="AB3384" t="str">
        <x:v>Campus=55; Ratio=23.1; Prodi=60; RelDemand=36.0; Capacity=73.3</x:v>
      </x:c>
    </x:row>
    <x:row r="3385">
      <x:c r="A3385" t="n">
        <x:v>3382</x:v>
      </x:c>
      <x:c r="B3385" t="str">
        <x:v>PTN Akademik</x:v>
      </x:c>
      <x:c r="C3385" t="str">
        <x:v>UNIVERSITAS TADULAKO</x:v>
      </x:c>
      <x:c r="D3385" t="str">
        <x:v>TEKNIK GEOLOGI</x:v>
      </x:c>
      <x:c r="E3385" t="str">
        <x:v>Sarjana</x:v>
      </x:c>
      <x:c r="F3385" s="18" t="n">
        <x:v>50</x:v>
      </x:c>
      <x:c r="G3385" s="18" t="n">
        <x:v>227</x:v>
      </x:c>
      <x:c r="H3385" s="19" t="n">
        <x:v>4.54</x:v>
      </x:c>
      <x:c r="I3385" s="18" t="n">
        <x:f>ROUND(MIN(Model_Config_v3!$B$6,MAX(Q3385,R3385,S3385*Model_Config_v3!$B$4+T3385*Model_Config_v3!$B$5)),0)</x:f>
        <x:v>645</x:v>
      </x:c>
      <x:c r="J3385" s="18" t="n">
        <x:f>MIN(Model_Config_v3!$B$6,I3385+Model_Config_v3!$B$7)</x:f>
        <x:v>665</x:v>
      </x:c>
      <x:c r="K3385" s="20" t="n">
        <x:v>53.4</x:v>
      </x:c>
      <x:c r="L3385" t="str">
        <x:v>MENENGAH</x:v>
      </x:c>
      <x:c r="M3385" t="str">
        <x:v>SEDANG+</x:v>
      </x:c>
      <x:c r="N3385" t="str">
        <x:v>REGULER</x:v>
      </x:c>
      <x:c r="O3385" t="str">
        <x:v>SAINTEK</x:v>
      </x:c>
      <x:c r="P3385" t="str">
        <x:v>TEKNIK/ARSITEKTUR/STATISTIKA/AKTUARIA</x:v>
      </x:c>
      <x:c r="Q3385" s="18" t="n">
        <x:v>0</x:v>
      </x:c>
      <x:c r="R3385" s="18" t="n">
        <x:v>0</x:v>
      </x:c>
      <x:c r="S3385" s="18" t="n">
        <x:v>592.2761438142815</x:v>
      </x:c>
      <x:c r="T3385" s="18" t="n">
        <x:v>667</x:v>
      </x:c>
      <x:c r="U3385" s="18" t="n">
        <x:v>602.2761438142815</x:v>
      </x:c>
      <x:c r="V3385" s="20" t="n">
        <x:v>12</x:v>
      </x:c>
      <x:c r="W3385" s="20" t="n">
        <x:v>5</x:v>
      </x:c>
      <x:c r="X3385" s="20" t="n">
        <x:v>3</x:v>
      </x:c>
      <x:c r="Y3385" t="str">
        <x:v>Basis arsip 2025/2024</x:v>
      </x:c>
      <x:c r="Z3385" t="str">
        <x:v>https://snpmb.id/utbk-snbt/daya-tampung-snbt</x:v>
      </x:c>
      <x:c r="AA3385" t="str">
        <x:v>Tidak Ada</x:v>
      </x:c>
      <x:c r="AB3385" t="str">
        <x:v>Campus=55; Ratio=38.7; Prodi=60; RelDemand=66.2; Capacity=58.3</x:v>
      </x:c>
    </x:row>
    <x:row r="3386">
      <x:c r="A3386" t="n">
        <x:v>3383</x:v>
      </x:c>
      <x:c r="B3386" t="str">
        <x:v>PTN Akademik</x:v>
      </x:c>
      <x:c r="C3386" t="str">
        <x:v>UNIVERSITAS TADULAKO</x:v>
      </x:c>
      <x:c r="D3386" t="str">
        <x:v>PERENCANAAN WILAYAH DAN KOTA</x:v>
      </x:c>
      <x:c r="E3386" t="str">
        <x:v>Sarjana</x:v>
      </x:c>
      <x:c r="F3386" s="18" t="n">
        <x:v>60</x:v>
      </x:c>
      <x:c r="G3386" s="18" t="n">
        <x:v>151</x:v>
      </x:c>
      <x:c r="H3386" s="19" t="n">
        <x:v>2.5166666666666666</x:v>
      </x:c>
      <x:c r="I3386" s="18" t="n">
        <x:f>ROUND(MIN(Model_Config_v3!$B$6,MAX(Q3386,R3386,S3386*Model_Config_v3!$B$4+T3386*Model_Config_v3!$B$5)),0)</x:f>
        <x:v>620</x:v>
      </x:c>
      <x:c r="J3386" s="18" t="n">
        <x:f>MIN(Model_Config_v3!$B$6,I3386+Model_Config_v3!$B$7)</x:f>
        <x:v>640</x:v>
      </x:c>
      <x:c r="K3386" s="20" t="n">
        <x:v>41.8</x:v>
      </x:c>
      <x:c r="L3386" t="str">
        <x:v>RELATIF LONGGAR</x:v>
      </x:c>
      <x:c r="M3386" t="str">
        <x:v>SEDANG</x:v>
      </x:c>
      <x:c r="N3386" t="str">
        <x:v>REGULER</x:v>
      </x:c>
      <x:c r="O3386" t="str">
        <x:v>CAMPURAN</x:v>
      </x:c>
      <x:c r="P3386" t="str">
        <x:v>UMUM</x:v>
      </x:c>
      <x:c r="Q3386" s="18" t="n">
        <x:v>0</x:v>
      </x:c>
      <x:c r="R3386" s="18" t="n">
        <x:v>0</x:v>
      </x:c>
      <x:c r="S3386" s="18" t="n">
        <x:v>564.0908266600478</x:v>
      </x:c>
      <x:c r="T3386" s="18" t="n">
        <x:v>644</x:v>
      </x:c>
      <x:c r="U3386" s="18" t="n">
        <x:v>564.0908266600478</x:v>
      </x:c>
      <x:c r="V3386" s="20" t="n">
        <x:v>8.8</x:v>
      </x:c>
      <x:c r="W3386" s="20" t="n">
        <x:v>9.9</x:v>
      </x:c>
      <x:c r="X3386" s="20" t="n">
        <x:v>3.3</x:v>
      </x:c>
      <x:c r="Y3386" t="str">
        <x:v>Basis arsip 2025/2024</x:v>
      </x:c>
      <x:c r="Z3386" t="str">
        <x:v>https://snpmb.id/utbk-snbt/daya-tampung-snbt</x:v>
      </x:c>
      <x:c r="AA3386" t="str">
        <x:v>Tidak Ada</x:v>
      </x:c>
      <x:c r="AB3386" t="str">
        <x:v>Campus=55; Ratio=23.6; Prodi=40; RelDemand=36.7; Capacity=50.0</x:v>
      </x:c>
    </x:row>
    <x:row r="3387">
      <x:c r="A3387" t="n">
        <x:v>3384</x:v>
      </x:c>
      <x:c r="B3387" t="str">
        <x:v>PTN Akademik</x:v>
      </x:c>
      <x:c r="C3387" t="str">
        <x:v>UNIVERSITAS TADULAKO</x:v>
      </x:c>
      <x:c r="D3387" t="str">
        <x:v>GIZI</x:v>
      </x:c>
      <x:c r="E3387" t="str">
        <x:v>Sarjana</x:v>
      </x:c>
      <x:c r="F3387" s="18" t="n">
        <x:v>55</x:v>
      </x:c>
      <x:c r="G3387" s="18" t="n">
        <x:v>333</x:v>
      </x:c>
      <x:c r="H3387" s="19" t="n">
        <x:v>6.054545454545455</x:v>
      </x:c>
      <x:c r="I3387" s="18" t="n">
        <x:f>ROUND(MIN(Model_Config_v3!$B$6,MAX(Q3387,R3387,S3387*Model_Config_v3!$B$4+T3387*Model_Config_v3!$B$5)),0)</x:f>
        <x:v>652</x:v>
      </x:c>
      <x:c r="J3387" s="18" t="n">
        <x:f>MIN(Model_Config_v3!$B$6,I3387+Model_Config_v3!$B$7)</x:f>
        <x:v>672</x:v>
      </x:c>
      <x:c r="K3387" s="20" t="n">
        <x:v>56</x:v>
      </x:c>
      <x:c r="L3387" t="str">
        <x:v>KETAT</x:v>
      </x:c>
      <x:c r="M3387" t="str">
        <x:v>SEDANG+</x:v>
      </x:c>
      <x:c r="N3387" t="str">
        <x:v>REGULER</x:v>
      </x:c>
      <x:c r="O3387" t="str">
        <x:v>SAINTEK</x:v>
      </x:c>
      <x:c r="P3387" t="str">
        <x:v>KESEHAT/GIZI/KEPERAWATAN</x:v>
      </x:c>
      <x:c r="Q3387" s="18" t="n">
        <x:v>0</x:v>
      </x:c>
      <x:c r="R3387" s="18" t="n">
        <x:v>0</x:v>
      </x:c>
      <x:c r="S3387" s="18" t="n">
        <x:v>606.0289698413284</x:v>
      </x:c>
      <x:c r="T3387" s="18" t="n">
        <x:v>672</x:v>
      </x:c>
      <x:c r="U3387" s="18" t="n">
        <x:v>606.0289698413284</x:v>
      </x:c>
      <x:c r="V3387" s="20" t="n">
        <x:v>12</x:v>
      </x:c>
      <x:c r="W3387" s="20" t="n">
        <x:v>5</x:v>
      </x:c>
      <x:c r="X3387" s="20" t="n">
        <x:v>3</x:v>
      </x:c>
      <x:c r="Y3387" t="str">
        <x:v>Basis arsip 2025/2024</x:v>
      </x:c>
      <x:c r="Z3387" t="str">
        <x:v>https://snpmb.id/utbk-snbt/daya-tampung-snbt</x:v>
      </x:c>
      <x:c r="AA3387" t="str">
        <x:v>Tidak Ada</x:v>
      </x:c>
      <x:c r="AB3387" t="str">
        <x:v>Campus=55; Ratio=46.0; Prodi=55; RelDemand=88.2; Capacity=54.2</x:v>
      </x:c>
    </x:row>
    <x:row r="3388">
      <x:c r="A3388" t="n">
        <x:v>3385</x:v>
      </x:c>
      <x:c r="B3388" t="str">
        <x:v>PTN Akademik</x:v>
      </x:c>
      <x:c r="C3388" t="str">
        <x:v>UNIVERSITAS TADULAKO</x:v>
      </x:c>
      <x:c r="D3388" t="str">
        <x:v>TEKNIK GEO FISIKA</x:v>
      </x:c>
      <x:c r="E3388" t="str">
        <x:v>Sarjana</x:v>
      </x:c>
      <x:c r="F3388" s="18" t="n">
        <x:v>20</x:v>
      </x:c>
      <x:c r="G3388" s="18" t="n">
        <x:v>20</x:v>
      </x:c>
      <x:c r="H3388" s="19" t="n">
        <x:v>1</x:v>
      </x:c>
      <x:c r="I3388" s="18" t="n">
        <x:f>ROUND(MIN(Model_Config_v3!$B$6,MAX(Q3388,R3388,S3388*Model_Config_v3!$B$4+T3388*Model_Config_v3!$B$5)),0)</x:f>
        <x:v>605</x:v>
      </x:c>
      <x:c r="J3388" s="18" t="n">
        <x:f>MIN(Model_Config_v3!$B$6,I3388+Model_Config_v3!$B$7)</x:f>
        <x:v>625</x:v>
      </x:c>
      <x:c r="K3388" s="20" t="n">
        <x:v>41</x:v>
      </x:c>
      <x:c r="L3388" t="str">
        <x:v>RELATIF LONGGAR</x:v>
      </x:c>
      <x:c r="M3388" t="str">
        <x:v>SEDANG+</x:v>
      </x:c>
      <x:c r="N3388" t="str">
        <x:v>REGULER</x:v>
      </x:c>
      <x:c r="O3388" t="str">
        <x:v>SAINTEK</x:v>
      </x:c>
      <x:c r="P3388" t="str">
        <x:v>TEKNIK/ARSITEKTUR/STATISTIKA/AKTUARIA</x:v>
      </x:c>
      <x:c r="Q3388" s="18" t="n">
        <x:v>0</x:v>
      </x:c>
      <x:c r="R3388" s="18" t="n">
        <x:v>0</x:v>
      </x:c>
      <x:c r="S3388" s="18" t="n">
        <x:v>520</x:v>
      </x:c>
      <x:c r="T3388" s="18" t="n">
        <x:v>642</x:v>
      </x:c>
      <x:c r="U3388" s="18" t="n">
        <x:v>530</x:v>
      </x:c>
      <x:c r="V3388" s="20" t="n">
        <x:v>12</x:v>
      </x:c>
      <x:c r="W3388" s="20" t="n">
        <x:v>5</x:v>
      </x:c>
      <x:c r="X3388" s="20" t="n">
        <x:v>3</x:v>
      </x:c>
      <x:c r="Y3388" t="str">
        <x:v>Basis arsip 2025/2024</x:v>
      </x:c>
      <x:c r="Z3388" t="str">
        <x:v>https://snpmb.id/utbk-snbt/daya-tampung-snbt</x:v>
      </x:c>
      <x:c r="AA3388" t="str">
        <x:v>Tidak Ada</x:v>
      </x:c>
      <x:c r="AB3388" t="str">
        <x:v>Campus=55; Ratio=0.0; Prodi=60; RelDemand=14.6; Capacity=83.3</x:v>
      </x:c>
    </x:row>
    <x:row r="3389">
      <x:c r="A3389" t="n">
        <x:v>3386</x:v>
      </x:c>
      <x:c r="B3389" t="str">
        <x:v>PTN Akademik</x:v>
      </x:c>
      <x:c r="C3389" t="str">
        <x:v>UNIVERSITAS TADULAKO</x:v>
      </x:c>
      <x:c r="D3389" t="str">
        <x:v>AGROTEKNOLOGI (PSDKU MOROWALI)</x:v>
      </x:c>
      <x:c r="E3389" t="str">
        <x:v>Sarjana</x:v>
      </x:c>
      <x:c r="F3389" s="18" t="n">
        <x:v>24</x:v>
      </x:c>
      <x:c r="G3389" s="18" t="n">
        <x:v>4</x:v>
      </x:c>
      <x:c r="H3389" s="19" t="n">
        <x:v>0.16666666666666666</x:v>
      </x:c>
      <x:c r="I3389" s="18" t="n">
        <x:f>ROUND(MIN(Model_Config_v3!$B$6,MAX(Q3389,R3389,S3389*Model_Config_v3!$B$4+T3389*Model_Config_v3!$B$5)),0)</x:f>
        <x:v>598</x:v>
      </x:c>
      <x:c r="J3389" s="18" t="n">
        <x:f>MIN(Model_Config_v3!$B$6,I3389+Model_Config_v3!$B$7)</x:f>
        <x:v>618</x:v>
      </x:c>
      <x:c r="K3389" s="20" t="n">
        <x:v>35.5</x:v>
      </x:c>
      <x:c r="L3389" t="str">
        <x:v>RELATIF LONGGAR</x:v>
      </x:c>
      <x:c r="M3389" t="str">
        <x:v>SEDANG</x:v>
      </x:c>
      <x:c r="N3389" t="str">
        <x:v>REGULER</x:v>
      </x:c>
      <x:c r="O3389" t="str">
        <x:v>SAINTEK</x:v>
      </x:c>
      <x:c r="P3389" t="str">
        <x:v>UMUM</x:v>
      </x:c>
      <x:c r="Q3389" s="18" t="n">
        <x:v>0</x:v>
      </x:c>
      <x:c r="R3389" s="18" t="n">
        <x:v>0</x:v>
      </x:c>
      <x:c r="S3389" s="18" t="n">
        <x:v>520</x:v>
      </x:c>
      <x:c r="T3389" s="18" t="n">
        <x:v>631</x:v>
      </x:c>
      <x:c r="U3389" s="18" t="n">
        <x:v>520</x:v>
      </x:c>
      <x:c r="V3389" s="20" t="n">
        <x:v>12</x:v>
      </x:c>
      <x:c r="W3389" s="20" t="n">
        <x:v>5</x:v>
      </x:c>
      <x:c r="X3389" s="20" t="n">
        <x:v>3</x:v>
      </x:c>
      <x:c r="Y3389" t="str">
        <x:v>Basis arsip 2025/2024</x:v>
      </x:c>
      <x:c r="Z3389" t="str">
        <x:v>https://snpmb.id/utbk-snbt/daya-tampung-snbt</x:v>
      </x:c>
      <x:c r="AA3389" t="str">
        <x:v>Tidak Ada</x:v>
      </x:c>
      <x:c r="AB3389" t="str">
        <x:v>Campus=55; Ratio=0.0; Prodi=40; RelDemand=2.4; Capacity=80.0</x:v>
      </x:c>
    </x:row>
    <x:row r="3390">
      <x:c r="A3390" t="n">
        <x:v>3387</x:v>
      </x:c>
      <x:c r="B3390" t="str">
        <x:v>PTN Akademik</x:v>
      </x:c>
      <x:c r="C3390" t="str">
        <x:v>UNIVERSITAS TADULAKO</x:v>
      </x:c>
      <x:c r="D3390" t="str">
        <x:v>TEKNIK SIPIL (PSDKU MOROWALI)</x:v>
      </x:c>
      <x:c r="E3390" t="str">
        <x:v>Sarjana</x:v>
      </x:c>
      <x:c r="F3390" s="18" t="n">
        <x:v>25</x:v>
      </x:c>
      <x:c r="G3390" s="18" t="n">
        <x:v>12</x:v>
      </x:c>
      <x:c r="H3390" s="19" t="n">
        <x:v>0.48</x:v>
      </x:c>
      <x:c r="I3390" s="18" t="n">
        <x:f>ROUND(MIN(Model_Config_v3!$B$6,MAX(Q3390,R3390,S3390*Model_Config_v3!$B$4+T3390*Model_Config_v3!$B$5)),0)</x:f>
        <x:v>604</x:v>
      </x:c>
      <x:c r="J3390" s="18" t="n">
        <x:f>MIN(Model_Config_v3!$B$6,I3390+Model_Config_v3!$B$7)</x:f>
        <x:v>624</x:v>
      </x:c>
      <x:c r="K3390" s="20" t="n">
        <x:v>39.9</x:v>
      </x:c>
      <x:c r="L3390" t="str">
        <x:v>RELATIF LONGGAR</x:v>
      </x:c>
      <x:c r="M3390" t="str">
        <x:v>SEDANG+</x:v>
      </x:c>
      <x:c r="N3390" t="str">
        <x:v>REGULER</x:v>
      </x:c>
      <x:c r="O3390" t="str">
        <x:v>SAINTEK</x:v>
      </x:c>
      <x:c r="P3390" t="str">
        <x:v>TEKNIK/ARSITEKTUR/STATISTIKA/AKTUARIA</x:v>
      </x:c>
      <x:c r="Q3390" s="18" t="n">
        <x:v>0</x:v>
      </x:c>
      <x:c r="R3390" s="18" t="n">
        <x:v>0</x:v>
      </x:c>
      <x:c r="S3390" s="18" t="n">
        <x:v>520</x:v>
      </x:c>
      <x:c r="T3390" s="18" t="n">
        <x:v>640</x:v>
      </x:c>
      <x:c r="U3390" s="18" t="n">
        <x:v>530</x:v>
      </x:c>
      <x:c r="V3390" s="20" t="n">
        <x:v>12</x:v>
      </x:c>
      <x:c r="W3390" s="20" t="n">
        <x:v>5</x:v>
      </x:c>
      <x:c r="X3390" s="20" t="n">
        <x:v>3</x:v>
      </x:c>
      <x:c r="Y3390" t="str">
        <x:v>Basis arsip 2025/2024</x:v>
      </x:c>
      <x:c r="Z3390" t="str">
        <x:v>https://snpmb.id/utbk-snbt/daya-tampung-snbt</x:v>
      </x:c>
      <x:c r="AA3390" t="str">
        <x:v>Tidak Ada</x:v>
      </x:c>
      <x:c r="AB3390" t="str">
        <x:v>Campus=55; Ratio=0.0; Prodi=60; RelDemand=7.0; Capacity=79.2</x:v>
      </x:c>
    </x:row>
    <x:row r="3391">
      <x:c r="A3391" t="n">
        <x:v>3388</x:v>
      </x:c>
      <x:c r="B3391" t="str">
        <x:v>PTN Akademik</x:v>
      </x:c>
      <x:c r="C3391" t="str">
        <x:v>UNIVERSITAS TADULAKO</x:v>
      </x:c>
      <x:c r="D3391" t="str">
        <x:v>AGROTEKNOLOGI (PSDKU TOUNA)</x:v>
      </x:c>
      <x:c r="E3391" t="str">
        <x:v>Sarjana</x:v>
      </x:c>
      <x:c r="F3391" s="18" t="n">
        <x:v>24</x:v>
      </x:c>
      <x:c r="G3391" s="18" t="n">
        <x:v>13</x:v>
      </x:c>
      <x:c r="H3391" s="19" t="n">
        <x:v>0.5416666666666666</x:v>
      </x:c>
      <x:c r="I3391" s="18" t="n">
        <x:f>ROUND(MIN(Model_Config_v3!$B$6,MAX(Q3391,R3391,S3391*Model_Config_v3!$B$4+T3391*Model_Config_v3!$B$5)),0)</x:f>
        <x:v>598</x:v>
      </x:c>
      <x:c r="J3391" s="18" t="n">
        <x:f>MIN(Model_Config_v3!$B$6,I3391+Model_Config_v3!$B$7)</x:f>
        <x:v>618</x:v>
      </x:c>
      <x:c r="K3391" s="20" t="n">
        <x:v>36</x:v>
      </x:c>
      <x:c r="L3391" t="str">
        <x:v>RELATIF LONGGAR</x:v>
      </x:c>
      <x:c r="M3391" t="str">
        <x:v>SEDANG</x:v>
      </x:c>
      <x:c r="N3391" t="str">
        <x:v>REGULER</x:v>
      </x:c>
      <x:c r="O3391" t="str">
        <x:v>SAINTEK</x:v>
      </x:c>
      <x:c r="P3391" t="str">
        <x:v>UMUM</x:v>
      </x:c>
      <x:c r="Q3391" s="18" t="n">
        <x:v>0</x:v>
      </x:c>
      <x:c r="R3391" s="18" t="n">
        <x:v>0</x:v>
      </x:c>
      <x:c r="S3391" s="18" t="n">
        <x:v>520</x:v>
      </x:c>
      <x:c r="T3391" s="18" t="n">
        <x:v>632</x:v>
      </x:c>
      <x:c r="U3391" s="18" t="n">
        <x:v>520</x:v>
      </x:c>
      <x:c r="V3391" s="20" t="n">
        <x:v>12</x:v>
      </x:c>
      <x:c r="W3391" s="20" t="n">
        <x:v>5</x:v>
      </x:c>
      <x:c r="X3391" s="20" t="n">
        <x:v>3</x:v>
      </x:c>
      <x:c r="Y3391" t="str">
        <x:v>Basis arsip 2025/2024</x:v>
      </x:c>
      <x:c r="Z3391" t="str">
        <x:v>https://snpmb.id/utbk-snbt/daya-tampung-snbt</x:v>
      </x:c>
      <x:c r="AA3391" t="str">
        <x:v>Tidak Ada</x:v>
      </x:c>
      <x:c r="AB3391" t="str">
        <x:v>Campus=55; Ratio=0.0; Prodi=40; RelDemand=7.9; Capacity=80.0</x:v>
      </x:c>
    </x:row>
    <x:row r="3392">
      <x:c r="A3392" t="n">
        <x:v>3389</x:v>
      </x:c>
      <x:c r="B3392" t="str">
        <x:v>PTN Akademik</x:v>
      </x:c>
      <x:c r="C3392" t="str">
        <x:v>UNIVERSITAS TADULAKO</x:v>
      </x:c>
      <x:c r="D3392" t="str">
        <x:v>TEKNIK SIPIL (PSDKU TOUNA)</x:v>
      </x:c>
      <x:c r="E3392" t="str">
        <x:v>Sarjana</x:v>
      </x:c>
      <x:c r="F3392" s="18" t="n">
        <x:v>25</x:v>
      </x:c>
      <x:c r="G3392" s="18" t="n">
        <x:v>14</x:v>
      </x:c>
      <x:c r="H3392" s="19" t="n">
        <x:v>0.56</x:v>
      </x:c>
      <x:c r="I3392" s="18" t="n">
        <x:f>ROUND(MIN(Model_Config_v3!$B$6,MAX(Q3392,R3392,S3392*Model_Config_v3!$B$4+T3392*Model_Config_v3!$B$5)),0)</x:f>
        <x:v>604</x:v>
      </x:c>
      <x:c r="J3392" s="18" t="n">
        <x:f>MIN(Model_Config_v3!$B$6,I3392+Model_Config_v3!$B$7)</x:f>
        <x:v>624</x:v>
      </x:c>
      <x:c r="K3392" s="20" t="n">
        <x:v>40</x:v>
      </x:c>
      <x:c r="L3392" t="str">
        <x:v>RELATIF LONGGAR</x:v>
      </x:c>
      <x:c r="M3392" t="str">
        <x:v>SEDANG+</x:v>
      </x:c>
      <x:c r="N3392" t="str">
        <x:v>REGULER</x:v>
      </x:c>
      <x:c r="O3392" t="str">
        <x:v>SAINTEK</x:v>
      </x:c>
      <x:c r="P3392" t="str">
        <x:v>TEKNIK/ARSITEKTUR/STATISTIKA/AKTUARIA</x:v>
      </x:c>
      <x:c r="Q3392" s="18" t="n">
        <x:v>0</x:v>
      </x:c>
      <x:c r="R3392" s="18" t="n">
        <x:v>0</x:v>
      </x:c>
      <x:c r="S3392" s="18" t="n">
        <x:v>520</x:v>
      </x:c>
      <x:c r="T3392" s="18" t="n">
        <x:v>640</x:v>
      </x:c>
      <x:c r="U3392" s="18" t="n">
        <x:v>530</x:v>
      </x:c>
      <x:c r="V3392" s="20" t="n">
        <x:v>12</x:v>
      </x:c>
      <x:c r="W3392" s="20" t="n">
        <x:v>5</x:v>
      </x:c>
      <x:c r="X3392" s="20" t="n">
        <x:v>3</x:v>
      </x:c>
      <x:c r="Y3392" t="str">
        <x:v>Basis arsip 2025/2024</x:v>
      </x:c>
      <x:c r="Z3392" t="str">
        <x:v>https://snpmb.id/utbk-snbt/daya-tampung-snbt</x:v>
      </x:c>
      <x:c r="AA3392" t="str">
        <x:v>Tidak Ada</x:v>
      </x:c>
      <x:c r="AB3392" t="str">
        <x:v>Campus=55; Ratio=0.0; Prodi=60; RelDemand=8.2; Capacity=79.2</x:v>
      </x:c>
    </x:row>
    <x:row r="3393">
      <x:c r="A3393" t="n">
        <x:v>3390</x:v>
      </x:c>
      <x:c r="B3393" t="str">
        <x:v>PTN Akademik</x:v>
      </x:c>
      <x:c r="C3393" t="str">
        <x:v>UNIVERSITAS TADULAKO</x:v>
      </x:c>
      <x:c r="D3393" t="str">
        <x:v>TEKNIK LINGKUNGAN</x:v>
      </x:c>
      <x:c r="E3393" t="str">
        <x:v>Sarjana</x:v>
      </x:c>
      <x:c r="F3393" s="18" t="n">
        <x:v>60</x:v>
      </x:c>
      <x:c r="G3393" s="18" t="n">
        <x:v>122</x:v>
      </x:c>
      <x:c r="H3393" s="19" t="n">
        <x:v>2.033333333333333</x:v>
      </x:c>
      <x:c r="I3393" s="18" t="n">
        <x:f>ROUND(MIN(Model_Config_v3!$B$6,MAX(Q3393,R3393,S3393*Model_Config_v3!$B$4+T3393*Model_Config_v3!$B$5)),0)</x:f>
        <x:v>619</x:v>
      </x:c>
      <x:c r="J3393" s="18" t="n">
        <x:f>MIN(Model_Config_v3!$B$6,I3393+Model_Config_v3!$B$7)</x:f>
        <x:v>639</x:v>
      </x:c>
      <x:c r="K3393" s="20" t="n">
        <x:v>43.7</x:v>
      </x:c>
      <x:c r="L3393" t="str">
        <x:v>RELATIF LONGGAR</x:v>
      </x:c>
      <x:c r="M3393" t="str">
        <x:v>SEDANG+</x:v>
      </x:c>
      <x:c r="N3393" t="str">
        <x:v>REGULER</x:v>
      </x:c>
      <x:c r="O3393" t="str">
        <x:v>SAINTEK</x:v>
      </x:c>
      <x:c r="P3393" t="str">
        <x:v>TEKNIK/ARSITEKTUR/STATISTIKA/AKTUARIA</x:v>
      </x:c>
      <x:c r="Q3393" s="18" t="n">
        <x:v>0</x:v>
      </x:c>
      <x:c r="R3393" s="18" t="n">
        <x:v>0</x:v>
      </x:c>
      <x:c r="S3393" s="18" t="n">
        <x:v>553.9029438320215</x:v>
      </x:c>
      <x:c r="T3393" s="18" t="n">
        <x:v>647</x:v>
      </x:c>
      <x:c r="U3393" s="18" t="n">
        <x:v>563.9029438320215</x:v>
      </x:c>
      <x:c r="V3393" s="20" t="n">
        <x:v>12</x:v>
      </x:c>
      <x:c r="W3393" s="20" t="n">
        <x:v>5</x:v>
      </x:c>
      <x:c r="X3393" s="20" t="n">
        <x:v>3</x:v>
      </x:c>
      <x:c r="Y3393" t="str">
        <x:v>Basis arsip 2025/2024</x:v>
      </x:c>
      <x:c r="Z3393" t="str">
        <x:v>https://snpmb.id/utbk-snbt/daya-tampung-snbt</x:v>
      </x:c>
      <x:c r="AA3393" t="str">
        <x:v>Tidak Ada</x:v>
      </x:c>
      <x:c r="AB3393" t="str">
        <x:v>Campus=55; Ratio=18.1; Prodi=60; RelDemand=29.6; Capacity=50.0</x:v>
      </x:c>
    </x:row>
    <x:row r="3394">
      <x:c r="A3394" t="n">
        <x:v>3391</x:v>
      </x:c>
      <x:c r="B3394" t="str">
        <x:v>PTN Akademik</x:v>
      </x:c>
      <x:c r="C3394" t="str">
        <x:v>UNIVERSITAS TADULAKO</x:v>
      </x:c>
      <x:c r="D3394" t="str">
        <x:v>SISTEM INFORMASI</x:v>
      </x:c>
      <x:c r="E3394" t="str">
        <x:v>Sarjana</x:v>
      </x:c>
      <x:c r="F3394" s="18" t="n">
        <x:v>60</x:v>
      </x:c>
      <x:c r="G3394" s="18" t="n">
        <x:v>302</x:v>
      </x:c>
      <x:c r="H3394" s="19" t="n">
        <x:v>5.033333333333333</x:v>
      </x:c>
      <x:c r="I3394" s="18" t="n">
        <x:f>ROUND(MIN(Model_Config_v3!$B$6,MAX(Q3394,R3394,S3394*Model_Config_v3!$B$4+T3394*Model_Config_v3!$B$5)),0)</x:f>
        <x:v>654</x:v>
      </x:c>
      <x:c r="J3394" s="18" t="n">
        <x:f>MIN(Model_Config_v3!$B$6,I3394+Model_Config_v3!$B$7)</x:f>
        <x:v>674</x:v>
      </x:c>
      <x:c r="K3394" s="20" t="n">
        <x:v>58.9</x:v>
      </x:c>
      <x:c r="L3394" t="str">
        <x:v>KETAT</x:v>
      </x:c>
      <x:c r="M3394" t="str">
        <x:v>SEDANG+</x:v>
      </x:c>
      <x:c r="N3394" t="str">
        <x:v>REGULER</x:v>
      </x:c>
      <x:c r="O3394" t="str">
        <x:v>CAMPURAN</x:v>
      </x:c>
      <x:c r="P3394" t="str">
        <x:v>KOMPUTER/INFORMATIKA</x:v>
      </x:c>
      <x:c r="Q3394" s="18" t="n">
        <x:v>0</x:v>
      </x:c>
      <x:c r="R3394" s="18" t="n">
        <x:v>0</x:v>
      </x:c>
      <x:c r="S3394" s="18" t="n">
        <x:v>597.2041261830858</x:v>
      </x:c>
      <x:c r="T3394" s="18" t="n">
        <x:v>678</x:v>
      </x:c>
      <x:c r="U3394" s="18" t="n">
        <x:v>622.2041261830858</x:v>
      </x:c>
      <x:c r="V3394" s="20" t="n">
        <x:v>8.8</x:v>
      </x:c>
      <x:c r="W3394" s="20" t="n">
        <x:v>9.9</x:v>
      </x:c>
      <x:c r="X3394" s="20" t="n">
        <x:v>3.3</x:v>
      </x:c>
      <x:c r="Y3394" t="str">
        <x:v>Basis arsip 2025/2024</x:v>
      </x:c>
      <x:c r="Z3394" t="str">
        <x:v>https://snpmb.id/utbk-snbt/daya-tampung-snbt</x:v>
      </x:c>
      <x:c r="AA3394" t="str">
        <x:v>Tidak Ada</x:v>
      </x:c>
      <x:c r="AB3394" t="str">
        <x:v>Campus=55; Ratio=41.3; Prodi=85; RelDemand=73.4; Capacity=50.0</x:v>
      </x:c>
    </x:row>
    <x:row r="3395">
      <x:c r="A3395" t="n">
        <x:v>3392</x:v>
      </x:c>
      <x:c r="B3395" t="str">
        <x:v>PTN Akademik</x:v>
      </x:c>
      <x:c r="C3395" t="str">
        <x:v>UNIVERSITAS TADULAKO</x:v>
      </x:c>
      <x:c r="D3395" t="str">
        <x:v>PEND. BAHASA INDONESIA</x:v>
      </x:c>
      <x:c r="E3395" t="str">
        <x:v>Sarjana</x:v>
      </x:c>
      <x:c r="F3395" s="18" t="n">
        <x:v>110</x:v>
      </x:c>
      <x:c r="G3395" s="18" t="n">
        <x:v>395</x:v>
      </x:c>
      <x:c r="H3395" s="19" t="n">
        <x:v>3.590909090909091</x:v>
      </x:c>
      <x:c r="I3395" s="18" t="n">
        <x:f>ROUND(MIN(Model_Config_v3!$B$6,MAX(Q3395,R3395,S3395*Model_Config_v3!$B$4+T3395*Model_Config_v3!$B$5)),0)</x:f>
        <x:v>626</x:v>
      </x:c>
      <x:c r="J3395" s="18" t="n">
        <x:f>MIN(Model_Config_v3!$B$6,I3395+Model_Config_v3!$B$7)</x:f>
        <x:v>646</x:v>
      </x:c>
      <x:c r="K3395" s="20" t="n">
        <x:v>42.5</x:v>
      </x:c>
      <x:c r="L3395" t="str">
        <x:v>RELATIF LONGGAR</x:v>
      </x:c>
      <x:c r="M3395" t="str">
        <x:v>SEDANG+</x:v>
      </x:c>
      <x:c r="N3395" t="str">
        <x:v>REGULER</x:v>
      </x:c>
      <x:c r="O3395" t="str">
        <x:v>SOSHUM</x:v>
      </x:c>
      <x:c r="P3395" t="str">
        <x:v>PENDIDIKAN</x:v>
      </x:c>
      <x:c r="Q3395" s="18" t="n">
        <x:v>0</x:v>
      </x:c>
      <x:c r="R3395" s="18" t="n">
        <x:v>0</x:v>
      </x:c>
      <x:c r="S3395" s="18" t="n">
        <x:v>581.0724851515058</x:v>
      </x:c>
      <x:c r="T3395" s="18" t="n">
        <x:v>645</x:v>
      </x:c>
      <x:c r="U3395" s="18" t="n">
        <x:v>581.0724851515058</x:v>
      </x:c>
      <x:c r="V3395" s="20" t="n">
        <x:v>4.4</x:v>
      </x:c>
      <x:c r="W3395" s="20" t="n">
        <x:v>14.3</x:v>
      </x:c>
      <x:c r="X3395" s="20" t="n">
        <x:v>3.3</x:v>
      </x:c>
      <x:c r="Y3395" t="str">
        <x:v>Basis arsip 2025/2024</x:v>
      </x:c>
      <x:c r="Z3395" t="str">
        <x:v>https://snpmb.id/utbk-snbt/daya-tampung-snbt</x:v>
      </x:c>
      <x:c r="AA3395" t="str">
        <x:v>Tidak Ada</x:v>
      </x:c>
      <x:c r="AB3395" t="str">
        <x:v>Campus=55; Ratio=32.7; Prodi=45; RelDemand=52.3; Capacity=8.3</x:v>
      </x:c>
    </x:row>
    <x:row r="3396">
      <x:c r="A3396" t="n">
        <x:v>3393</x:v>
      </x:c>
      <x:c r="B3396" t="str">
        <x:v>PTN Akademik</x:v>
      </x:c>
      <x:c r="C3396" t="str">
        <x:v>UNIVERSITAS TADULAKO</x:v>
      </x:c>
      <x:c r="D3396" t="str">
        <x:v>PEND. BAHASA INGGRIS</x:v>
      </x:c>
      <x:c r="E3396" t="str">
        <x:v>Sarjana</x:v>
      </x:c>
      <x:c r="F3396" s="18" t="n">
        <x:v>110</x:v>
      </x:c>
      <x:c r="G3396" s="18" t="n">
        <x:v>294</x:v>
      </x:c>
      <x:c r="H3396" s="19" t="n">
        <x:v>2.672727272727273</x:v>
      </x:c>
      <x:c r="I3396" s="18" t="n">
        <x:f>ROUND(MIN(Model_Config_v3!$B$6,MAX(Q3396,R3396,S3396*Model_Config_v3!$B$4+T3396*Model_Config_v3!$B$5)),0)</x:f>
        <x:v>617</x:v>
      </x:c>
      <x:c r="J3396" s="18" t="n">
        <x:f>MIN(Model_Config_v3!$B$6,I3396+Model_Config_v3!$B$7)</x:f>
        <x:v>637</x:v>
      </x:c>
      <x:c r="K3396" s="20" t="n">
        <x:v>39.3</x:v>
      </x:c>
      <x:c r="L3396" t="str">
        <x:v>RELATIF LONGGAR</x:v>
      </x:c>
      <x:c r="M3396" t="str">
        <x:v>SEDANG+</x:v>
      </x:c>
      <x:c r="N3396" t="str">
        <x:v>REGULER</x:v>
      </x:c>
      <x:c r="O3396" t="str">
        <x:v>SOSHUM</x:v>
      </x:c>
      <x:c r="P3396" t="str">
        <x:v>PENDIDIKAN</x:v>
      </x:c>
      <x:c r="Q3396" s="18" t="n">
        <x:v>0</x:v>
      </x:c>
      <x:c r="R3396" s="18" t="n">
        <x:v>0</x:v>
      </x:c>
      <x:c r="S3396" s="18" t="n">
        <x:v>566.9650109779326</x:v>
      </x:c>
      <x:c r="T3396" s="18" t="n">
        <x:v>639</x:v>
      </x:c>
      <x:c r="U3396" s="18" t="n">
        <x:v>566.9650109779326</x:v>
      </x:c>
      <x:c r="V3396" s="20" t="n">
        <x:v>4.4</x:v>
      </x:c>
      <x:c r="W3396" s="20" t="n">
        <x:v>14.3</x:v>
      </x:c>
      <x:c r="X3396" s="20" t="n">
        <x:v>3.3</x:v>
      </x:c>
      <x:c r="Y3396" t="str">
        <x:v>Basis arsip 2025/2024</x:v>
      </x:c>
      <x:c r="Z3396" t="str">
        <x:v>https://snpmb.id/utbk-snbt/daya-tampung-snbt</x:v>
      </x:c>
      <x:c r="AA3396" t="str">
        <x:v>Tidak Ada</x:v>
      </x:c>
      <x:c r="AB3396" t="str">
        <x:v>Campus=55; Ratio=25.1; Prodi=45; RelDemand=38.9; Capacity=8.3</x:v>
      </x:c>
    </x:row>
    <x:row r="3397">
      <x:c r="A3397" t="n">
        <x:v>3394</x:v>
      </x:c>
      <x:c r="B3397" t="str">
        <x:v>PTN Akademik</x:v>
      </x:c>
      <x:c r="C3397" t="str">
        <x:v>UNIVERSITAS TADULAKO</x:v>
      </x:c>
      <x:c r="D3397" t="str">
        <x:v>PEND. PANCASILA DAN KEWARGANEGARAAN</x:v>
      </x:c>
      <x:c r="E3397" t="str">
        <x:v>Sarjana</x:v>
      </x:c>
      <x:c r="F3397" s="18" t="n">
        <x:v>50</x:v>
      </x:c>
      <x:c r="G3397" s="18" t="n">
        <x:v>124</x:v>
      </x:c>
      <x:c r="H3397" s="19" t="n">
        <x:v>2.48</x:v>
      </x:c>
      <x:c r="I3397" s="18" t="n">
        <x:f>ROUND(MIN(Model_Config_v3!$B$6,MAX(Q3397,R3397,S3397*Model_Config_v3!$B$4+T3397*Model_Config_v3!$B$5)),0)</x:f>
        <x:v>622</x:v>
      </x:c>
      <x:c r="J3397" s="18" t="n">
        <x:f>MIN(Model_Config_v3!$B$6,I3397+Model_Config_v3!$B$7)</x:f>
        <x:v>642</x:v>
      </x:c>
      <x:c r="K3397" s="20" t="n">
        <x:v>43.5</x:v>
      </x:c>
      <x:c r="L3397" t="str">
        <x:v>RELATIF LONGGAR</x:v>
      </x:c>
      <x:c r="M3397" t="str">
        <x:v>SEDANG+</x:v>
      </x:c>
      <x:c r="N3397" t="str">
        <x:v>REGULER</x:v>
      </x:c>
      <x:c r="O3397" t="str">
        <x:v>CAMPURAN</x:v>
      </x:c>
      <x:c r="P3397" t="str">
        <x:v>PENDIDIKAN</x:v>
      </x:c>
      <x:c r="Q3397" s="18" t="n">
        <x:v>0</x:v>
      </x:c>
      <x:c r="R3397" s="18" t="n">
        <x:v>0</x:v>
      </x:c>
      <x:c r="S3397" s="18" t="n">
        <x:v>563.3896848908838</x:v>
      </x:c>
      <x:c r="T3397" s="18" t="n">
        <x:v>647</x:v>
      </x:c>
      <x:c r="U3397" s="18" t="n">
        <x:v>563.3896848908838</x:v>
      </x:c>
      <x:c r="V3397" s="20" t="n">
        <x:v>8.8</x:v>
      </x:c>
      <x:c r="W3397" s="20" t="n">
        <x:v>9.9</x:v>
      </x:c>
      <x:c r="X3397" s="20" t="n">
        <x:v>3.3</x:v>
      </x:c>
      <x:c r="Y3397" t="str">
        <x:v>Basis arsip 2025/2024</x:v>
      </x:c>
      <x:c r="Z3397" t="str">
        <x:v>https://snpmb.id/utbk-snbt/daya-tampung-snbt</x:v>
      </x:c>
      <x:c r="AA3397" t="str">
        <x:v>Tidak Ada</x:v>
      </x:c>
      <x:c r="AB3397" t="str">
        <x:v>Campus=55; Ratio=23.2; Prodi=45; RelDemand=36.1; Capacity=58.3</x:v>
      </x:c>
    </x:row>
    <x:row r="3398">
      <x:c r="A3398" t="n">
        <x:v>3395</x:v>
      </x:c>
      <x:c r="B3398" t="str">
        <x:v>PTN Akademik</x:v>
      </x:c>
      <x:c r="C3398" t="str">
        <x:v>UNIVERSITAS TADULAKO</x:v>
      </x:c>
      <x:c r="D3398" t="str">
        <x:v>PEND. SEJARAH</x:v>
      </x:c>
      <x:c r="E3398" t="str">
        <x:v>Sarjana</x:v>
      </x:c>
      <x:c r="F3398" s="18" t="n">
        <x:v>88</x:v>
      </x:c>
      <x:c r="G3398" s="18" t="n">
        <x:v>116</x:v>
      </x:c>
      <x:c r="H3398" s="19" t="n">
        <x:v>1.3181818181818181</x:v>
      </x:c>
      <x:c r="I3398" s="18" t="n">
        <x:f>ROUND(MIN(Model_Config_v3!$B$6,MAX(Q3398,R3398,S3398*Model_Config_v3!$B$4+T3398*Model_Config_v3!$B$5)),0)</x:f>
        <x:v>600</x:v>
      </x:c>
      <x:c r="J3398" s="18" t="n">
        <x:f>MIN(Model_Config_v3!$B$6,I3398+Model_Config_v3!$B$7)</x:f>
        <x:v>620</x:v>
      </x:c>
      <x:c r="K3398" s="20" t="n">
        <x:v>34.6</x:v>
      </x:c>
      <x:c r="L3398" t="str">
        <x:v>RELATIF LONGGAR</x:v>
      </x:c>
      <x:c r="M3398" t="str">
        <x:v>SEDANG+</x:v>
      </x:c>
      <x:c r="N3398" t="str">
        <x:v>REGULER</x:v>
      </x:c>
      <x:c r="O3398" t="str">
        <x:v>SOSHUM</x:v>
      </x:c>
      <x:c r="P3398" t="str">
        <x:v>PENDIDIKAN</x:v>
      </x:c>
      <x:c r="Q3398" s="18" t="n">
        <x:v>0</x:v>
      </x:c>
      <x:c r="R3398" s="18" t="n">
        <x:v>0</x:v>
      </x:c>
      <x:c r="S3398" s="18" t="n">
        <x:v>533.1972848784425</x:v>
      </x:c>
      <x:c r="T3398" s="18" t="n">
        <x:v>629</x:v>
      </x:c>
      <x:c r="U3398" s="18" t="n">
        <x:v>533.1972848784425</x:v>
      </x:c>
      <x:c r="V3398" s="20" t="n">
        <x:v>4.4</x:v>
      </x:c>
      <x:c r="W3398" s="20" t="n">
        <x:v>14.3</x:v>
      </x:c>
      <x:c r="X3398" s="20" t="n">
        <x:v>3.3</x:v>
      </x:c>
      <x:c r="Y3398" t="str">
        <x:v>Basis arsip 2025/2024</x:v>
      </x:c>
      <x:c r="Z3398" t="str">
        <x:v>https://snpmb.id/utbk-snbt/daya-tampung-snbt</x:v>
      </x:c>
      <x:c r="AA3398" t="str">
        <x:v>Tidak Ada</x:v>
      </x:c>
      <x:c r="AB3398" t="str">
        <x:v>Campus=55; Ratio=7.1; Prodi=45; RelDemand=19.2; Capacity=26.7</x:v>
      </x:c>
    </x:row>
    <x:row r="3399">
      <x:c r="A3399" t="n">
        <x:v>3396</x:v>
      </x:c>
      <x:c r="B3399" t="str">
        <x:v>PTN Akademik</x:v>
      </x:c>
      <x:c r="C3399" t="str">
        <x:v>UNIVERSITAS TADULAKO</x:v>
      </x:c>
      <x:c r="D3399" t="str">
        <x:v>BIMBINGAN DAN KONSELING</x:v>
      </x:c>
      <x:c r="E3399" t="str">
        <x:v>Sarjana</x:v>
      </x:c>
      <x:c r="F3399" s="18" t="n">
        <x:v>117</x:v>
      </x:c>
      <x:c r="G3399" s="18" t="n">
        <x:v>272</x:v>
      </x:c>
      <x:c r="H3399" s="19" t="n">
        <x:v>2.324786324786325</x:v>
      </x:c>
      <x:c r="I3399" s="18" t="n">
        <x:f>ROUND(MIN(Model_Config_v3!$B$6,MAX(Q3399,R3399,S3399*Model_Config_v3!$B$4+T3399*Model_Config_v3!$B$5)),0)</x:f>
        <x:v>611</x:v>
      </x:c>
      <x:c r="J3399" s="18" t="n">
        <x:f>MIN(Model_Config_v3!$B$6,I3399+Model_Config_v3!$B$7)</x:f>
        <x:v>631</x:v>
      </x:c>
      <x:c r="K3399" s="20" t="n">
        <x:v>36.3</x:v>
      </x:c>
      <x:c r="L3399" t="str">
        <x:v>RELATIF LONGGAR</x:v>
      </x:c>
      <x:c r="M3399" t="str">
        <x:v>SEDANG</x:v>
      </x:c>
      <x:c r="N3399" t="str">
        <x:v>REGULER</x:v>
      </x:c>
      <x:c r="O3399" t="str">
        <x:v>CAMPURAN</x:v>
      </x:c>
      <x:c r="P3399" t="str">
        <x:v>UMUM</x:v>
      </x:c>
      <x:c r="Q3399" s="18" t="n">
        <x:v>0</x:v>
      </x:c>
      <x:c r="R3399" s="18" t="n">
        <x:v>0</x:v>
      </x:c>
      <x:c r="S3399" s="18" t="n">
        <x:v>560.3021346516841</x:v>
      </x:c>
      <x:c r="T3399" s="18" t="n">
        <x:v>633</x:v>
      </x:c>
      <x:c r="U3399" s="18" t="n">
        <x:v>560.3021346516841</x:v>
      </x:c>
      <x:c r="V3399" s="20" t="n">
        <x:v>8.8</x:v>
      </x:c>
      <x:c r="W3399" s="20" t="n">
        <x:v>9.9</x:v>
      </x:c>
      <x:c r="X3399" s="20" t="n">
        <x:v>3.3</x:v>
      </x:c>
      <x:c r="Y3399" t="str">
        <x:v>Basis arsip 2025/2024</x:v>
      </x:c>
      <x:c r="Z3399" t="str">
        <x:v>https://snpmb.id/utbk-snbt/daya-tampung-snbt</x:v>
      </x:c>
      <x:c r="AA3399" t="str">
        <x:v>Tidak Ada</x:v>
      </x:c>
      <x:c r="AB3399" t="str">
        <x:v>Campus=55; Ratio=21.6; Prodi=40; RelDemand=33.9; Capacity=2.5</x:v>
      </x:c>
    </x:row>
    <x:row r="3400">
      <x:c r="A3400" t="n">
        <x:v>3397</x:v>
      </x:c>
      <x:c r="B3400" t="str">
        <x:v>PTN Akademik</x:v>
      </x:c>
      <x:c r="C3400" t="str">
        <x:v>UNIVERSITAS TADULAKO</x:v>
      </x:c>
      <x:c r="D3400" t="str">
        <x:v>PEND. GURU SEKOLAH DASAR</x:v>
      </x:c>
      <x:c r="E3400" t="str">
        <x:v>Sarjana</x:v>
      </x:c>
      <x:c r="F3400" s="18" t="n">
        <x:v>140</x:v>
      </x:c>
      <x:c r="G3400" s="18" t="n">
        <x:v>960</x:v>
      </x:c>
      <x:c r="H3400" s="19" t="n">
        <x:v>6.857142857142857</x:v>
      </x:c>
      <x:c r="I3400" s="18" t="n">
        <x:f>ROUND(MIN(Model_Config_v3!$B$6,MAX(Q3400,R3400,S3400*Model_Config_v3!$B$4+T3400*Model_Config_v3!$B$5)),0)</x:f>
        <x:v>646</x:v>
      </x:c>
      <x:c r="J3400" s="18" t="n">
        <x:f>MIN(Model_Config_v3!$B$6,I3400+Model_Config_v3!$B$7)</x:f>
        <x:v>666</x:v>
      </x:c>
      <x:c r="K3400" s="20" t="n">
        <x:v>50.5</x:v>
      </x:c>
      <x:c r="L3400" t="str">
        <x:v>MENENGAH</x:v>
      </x:c>
      <x:c r="M3400" t="str">
        <x:v>SEDANG+</x:v>
      </x:c>
      <x:c r="N3400" t="str">
        <x:v>REGULER</x:v>
      </x:c>
      <x:c r="O3400" t="str">
        <x:v>CAMPURAN</x:v>
      </x:c>
      <x:c r="P3400" t="str">
        <x:v>PENDIDIKAN</x:v>
      </x:c>
      <x:c r="Q3400" s="18" t="n">
        <x:v>0</x:v>
      </x:c>
      <x:c r="R3400" s="18" t="n">
        <x:v>0</x:v>
      </x:c>
      <x:c r="S3400" s="18" t="n">
        <x:v>611.9757517097463</x:v>
      </x:c>
      <x:c r="T3400" s="18" t="n">
        <x:v>661</x:v>
      </x:c>
      <x:c r="U3400" s="18" t="n">
        <x:v>611.9757517097463</x:v>
      </x:c>
      <x:c r="V3400" s="20" t="n">
        <x:v>8.8</x:v>
      </x:c>
      <x:c r="W3400" s="20" t="n">
        <x:v>9.9</x:v>
      </x:c>
      <x:c r="X3400" s="20" t="n">
        <x:v>3.3</x:v>
      </x:c>
      <x:c r="Y3400" t="str">
        <x:v>Basis arsip 2025/2024</x:v>
      </x:c>
      <x:c r="Z3400" t="str">
        <x:v>https://snpmb.id/utbk-snbt/daya-tampung-snbt</x:v>
      </x:c>
      <x:c r="AA3400" t="str">
        <x:v>Tidak Ada</x:v>
      </x:c>
      <x:c r="AB3400" t="str">
        <x:v>Campus=55; Ratio=49.2; Prodi=45; RelDemand=99.9; Capacity=0.0</x:v>
      </x:c>
    </x:row>
    <x:row r="3401">
      <x:c r="A3401" t="n">
        <x:v>3398</x:v>
      </x:c>
      <x:c r="B3401" t="str">
        <x:v>PTN Akademik</x:v>
      </x:c>
      <x:c r="C3401" t="str">
        <x:v>UNIVERSITAS TADULAKO</x:v>
      </x:c>
      <x:c r="D3401" t="str">
        <x:v>PEND. GURU PAUD</x:v>
      </x:c>
      <x:c r="E3401" t="str">
        <x:v>Sarjana</x:v>
      </x:c>
      <x:c r="F3401" s="18" t="n">
        <x:v>80</x:v>
      </x:c>
      <x:c r="G3401" s="18" t="n">
        <x:v>126</x:v>
      </x:c>
      <x:c r="H3401" s="19" t="n">
        <x:v>1.575</x:v>
      </x:c>
      <x:c r="I3401" s="18" t="n">
        <x:f>ROUND(MIN(Model_Config_v3!$B$6,MAX(Q3401,R3401,S3401*Model_Config_v3!$B$4+T3401*Model_Config_v3!$B$5)),0)</x:f>
        <x:v>606</x:v>
      </x:c>
      <x:c r="J3401" s="18" t="n">
        <x:f>MIN(Model_Config_v3!$B$6,I3401+Model_Config_v3!$B$7)</x:f>
        <x:v>626</x:v>
      </x:c>
      <x:c r="K3401" s="20" t="n">
        <x:v>36.8</x:v>
      </x:c>
      <x:c r="L3401" t="str">
        <x:v>RELATIF LONGGAR</x:v>
      </x:c>
      <x:c r="M3401" t="str">
        <x:v>SEDANG+</x:v>
      </x:c>
      <x:c r="N3401" t="str">
        <x:v>REGULER</x:v>
      </x:c>
      <x:c r="O3401" t="str">
        <x:v>CAMPURAN</x:v>
      </x:c>
      <x:c r="P3401" t="str">
        <x:v>PENDIDIKAN</x:v>
      </x:c>
      <x:c r="Q3401" s="18" t="n">
        <x:v>0</x:v>
      </x:c>
      <x:c r="R3401" s="18" t="n">
        <x:v>0</x:v>
      </x:c>
      <x:c r="S3401" s="18" t="n">
        <x:v>541.7008613938182</x:v>
      </x:c>
      <x:c r="T3401" s="18" t="n">
        <x:v>634</x:v>
      </x:c>
      <x:c r="U3401" s="18" t="n">
        <x:v>541.7008613938182</x:v>
      </x:c>
      <x:c r="V3401" s="20" t="n">
        <x:v>8.8</x:v>
      </x:c>
      <x:c r="W3401" s="20" t="n">
        <x:v>9.9</x:v>
      </x:c>
      <x:c r="X3401" s="20" t="n">
        <x:v>3.3</x:v>
      </x:c>
      <x:c r="Y3401" t="str">
        <x:v>Basis arsip 2025/2024</x:v>
      </x:c>
      <x:c r="Z3401" t="str">
        <x:v>https://snpmb.id/utbk-snbt/daya-tampung-snbt</x:v>
      </x:c>
      <x:c r="AA3401" t="str">
        <x:v>Tidak Ada</x:v>
      </x:c>
      <x:c r="AB3401" t="str">
        <x:v>Campus=55; Ratio=11.6; Prodi=45; RelDemand=23.0; Capacity=33.3</x:v>
      </x:c>
    </x:row>
    <x:row r="3402">
      <x:c r="A3402" t="n">
        <x:v>3399</x:v>
      </x:c>
      <x:c r="B3402" t="str">
        <x:v>PTN Akademik</x:v>
      </x:c>
      <x:c r="C3402" t="str">
        <x:v>UNIVERSITAS TADULAKO</x:v>
      </x:c>
      <x:c r="D3402" t="str">
        <x:v>ADMINSTRASI NEGARA</x:v>
      </x:c>
      <x:c r="E3402" t="str">
        <x:v>Sarjana</x:v>
      </x:c>
      <x:c r="F3402" s="18" t="n">
        <x:v>80</x:v>
      </x:c>
      <x:c r="G3402" s="18" t="n">
        <x:v>381</x:v>
      </x:c>
      <x:c r="H3402" s="19" t="n">
        <x:v>4.7625</x:v>
      </x:c>
      <x:c r="I3402" s="18" t="n">
        <x:f>ROUND(MIN(Model_Config_v3!$B$6,MAX(Q3402,R3402,S3402*Model_Config_v3!$B$4+T3402*Model_Config_v3!$B$5)),0)</x:f>
        <x:v>637</x:v>
      </x:c>
      <x:c r="J3402" s="18" t="n">
        <x:f>MIN(Model_Config_v3!$B$6,I3402+Model_Config_v3!$B$7)</x:f>
        <x:v>657</x:v>
      </x:c>
      <x:c r="K3402" s="20" t="n">
        <x:v>47.5</x:v>
      </x:c>
      <x:c r="L3402" t="str">
        <x:v>MENENGAH</x:v>
      </x:c>
      <x:c r="M3402" t="str">
        <x:v>SEDANG</x:v>
      </x:c>
      <x:c r="N3402" t="str">
        <x:v>REGULER</x:v>
      </x:c>
      <x:c r="O3402" t="str">
        <x:v>CAMPURAN</x:v>
      </x:c>
      <x:c r="P3402" t="str">
        <x:v>UMUM</x:v>
      </x:c>
      <x:c r="Q3402" s="18" t="n">
        <x:v>0</x:v>
      </x:c>
      <x:c r="R3402" s="18" t="n">
        <x:v>0</x:v>
      </x:c>
      <x:c r="S3402" s="18" t="n">
        <x:v>594.5618487552043</x:v>
      </x:c>
      <x:c r="T3402" s="18" t="n">
        <x:v>655</x:v>
      </x:c>
      <x:c r="U3402" s="18" t="n">
        <x:v>594.5618487552043</x:v>
      </x:c>
      <x:c r="V3402" s="20" t="n">
        <x:v>8.8</x:v>
      </x:c>
      <x:c r="W3402" s="20" t="n">
        <x:v>9.9</x:v>
      </x:c>
      <x:c r="X3402" s="20" t="n">
        <x:v>3.3</x:v>
      </x:c>
      <x:c r="Y3402" t="str">
        <x:v>Basis arsip 2025/2024</x:v>
      </x:c>
      <x:c r="Z3402" t="str">
        <x:v>https://snpmb.id/utbk-snbt/daya-tampung-snbt</x:v>
      </x:c>
      <x:c r="AA3402" t="str">
        <x:v>Tidak Ada</x:v>
      </x:c>
      <x:c r="AB3402" t="str">
        <x:v>Campus=55; Ratio=39.9; Prodi=40; RelDemand=69.4; Capacity=33.3</x:v>
      </x:c>
    </x:row>
    <x:row r="3403">
      <x:c r="A3403" t="n">
        <x:v>3400</x:v>
      </x:c>
      <x:c r="B3403" t="str">
        <x:v>PTN Akademik</x:v>
      </x:c>
      <x:c r="C3403" t="str">
        <x:v>UNIVERSITAS TADULAKO</x:v>
      </x:c>
      <x:c r="D3403" t="str">
        <x:v>SOSIOLOGI</x:v>
      </x:c>
      <x:c r="E3403" t="str">
        <x:v>Sarjana</x:v>
      </x:c>
      <x:c r="F3403" s="18" t="n">
        <x:v>60</x:v>
      </x:c>
      <x:c r="G3403" s="18" t="n">
        <x:v>136</x:v>
      </x:c>
      <x:c r="H3403" s="19" t="n">
        <x:v>2.2666666666666666</x:v>
      </x:c>
      <x:c r="I3403" s="18" t="n">
        <x:f>ROUND(MIN(Model_Config_v3!$B$6,MAX(Q3403,R3403,S3403*Model_Config_v3!$B$4+T3403*Model_Config_v3!$B$5)),0)</x:f>
        <x:v>617</x:v>
      </x:c>
      <x:c r="J3403" s="18" t="n">
        <x:f>MIN(Model_Config_v3!$B$6,I3403+Model_Config_v3!$B$7)</x:f>
        <x:v>637</x:v>
      </x:c>
      <x:c r="K3403" s="20" t="n">
        <x:v>40.8</x:v>
      </x:c>
      <x:c r="L3403" t="str">
        <x:v>RELATIF LONGGAR</x:v>
      </x:c>
      <x:c r="M3403" t="str">
        <x:v>SEDANG</x:v>
      </x:c>
      <x:c r="N3403" t="str">
        <x:v>REGULER</x:v>
      </x:c>
      <x:c r="O3403" t="str">
        <x:v>SOSHUM</x:v>
      </x:c>
      <x:c r="P3403" t="str">
        <x:v>UMUM</x:v>
      </x:c>
      <x:c r="Q3403" s="18" t="n">
        <x:v>0</x:v>
      </x:c>
      <x:c r="R3403" s="18" t="n">
        <x:v>0</x:v>
      </x:c>
      <x:c r="S3403" s="18" t="n">
        <x:v>559.0926423785231</x:v>
      </x:c>
      <x:c r="T3403" s="18" t="n">
        <x:v>642</x:v>
      </x:c>
      <x:c r="U3403" s="18" t="n">
        <x:v>559.0926423785231</x:v>
      </x:c>
      <x:c r="V3403" s="20" t="n">
        <x:v>4.4</x:v>
      </x:c>
      <x:c r="W3403" s="20" t="n">
        <x:v>14.3</x:v>
      </x:c>
      <x:c r="X3403" s="20" t="n">
        <x:v>3.3</x:v>
      </x:c>
      <x:c r="Y3403" t="str">
        <x:v>Basis arsip 2025/2024</x:v>
      </x:c>
      <x:c r="Z3403" t="str">
        <x:v>https://snpmb.id/utbk-snbt/daya-tampung-snbt</x:v>
      </x:c>
      <x:c r="AA3403" t="str">
        <x:v>Tidak Ada</x:v>
      </x:c>
      <x:c r="AB3403" t="str">
        <x:v>Campus=55; Ratio=20.9; Prodi=40; RelDemand=33.0; Capacity=50.0</x:v>
      </x:c>
    </x:row>
    <x:row r="3404">
      <x:c r="A3404" t="n">
        <x:v>3401</x:v>
      </x:c>
      <x:c r="B3404" t="str">
        <x:v>PTN Akademik</x:v>
      </x:c>
      <x:c r="C3404" t="str">
        <x:v>UNIVERSITAS TADULAKO</x:v>
      </x:c>
      <x:c r="D3404" t="str">
        <x:v>ANTROPOLOGI</x:v>
      </x:c>
      <x:c r="E3404" t="str">
        <x:v>Sarjana</x:v>
      </x:c>
      <x:c r="F3404" s="18" t="n">
        <x:v>60</x:v>
      </x:c>
      <x:c r="G3404" s="18" t="n">
        <x:v>49</x:v>
      </x:c>
      <x:c r="H3404" s="19" t="n">
        <x:v>0.8166666666666667</x:v>
      </x:c>
      <x:c r="I3404" s="18" t="n">
        <x:f>ROUND(MIN(Model_Config_v3!$B$6,MAX(Q3404,R3404,S3404*Model_Config_v3!$B$4+T3404*Model_Config_v3!$B$5)),0)</x:f>
        <x:v>595</x:v>
      </x:c>
      <x:c r="J3404" s="18" t="n">
        <x:f>MIN(Model_Config_v3!$B$6,I3404+Model_Config_v3!$B$7)</x:f>
        <x:v>615</x:v>
      </x:c>
      <x:c r="K3404" s="20" t="n">
        <x:v>33.4</x:v>
      </x:c>
      <x:c r="L3404" t="str">
        <x:v>RELATIF LONGGAR</x:v>
      </x:c>
      <x:c r="M3404" t="str">
        <x:v>SEDANG</x:v>
      </x:c>
      <x:c r="N3404" t="str">
        <x:v>REGULER</x:v>
      </x:c>
      <x:c r="O3404" t="str">
        <x:v>SOSHUM</x:v>
      </x:c>
      <x:c r="P3404" t="str">
        <x:v>UMUM</x:v>
      </x:c>
      <x:c r="Q3404" s="18" t="n">
        <x:v>0</x:v>
      </x:c>
      <x:c r="R3404" s="18" t="n">
        <x:v>0</x:v>
      </x:c>
      <x:c r="S3404" s="18" t="n">
        <x:v>520</x:v>
      </x:c>
      <x:c r="T3404" s="18" t="n">
        <x:v>627</x:v>
      </x:c>
      <x:c r="U3404" s="18" t="n">
        <x:v>520</x:v>
      </x:c>
      <x:c r="V3404" s="20" t="n">
        <x:v>4.4</x:v>
      </x:c>
      <x:c r="W3404" s="20" t="n">
        <x:v>14.3</x:v>
      </x:c>
      <x:c r="X3404" s="20" t="n">
        <x:v>3.3</x:v>
      </x:c>
      <x:c r="Y3404" t="str">
        <x:v>Basis arsip 2025/2024</x:v>
      </x:c>
      <x:c r="Z3404" t="str">
        <x:v>https://snpmb.id/utbk-snbt/daya-tampung-snbt</x:v>
      </x:c>
      <x:c r="AA3404" t="str">
        <x:v>Tidak Ada</x:v>
      </x:c>
      <x:c r="AB3404" t="str">
        <x:v>Campus=55; Ratio=0.0; Prodi=40; RelDemand=11.9; Capacity=50.0</x:v>
      </x:c>
    </x:row>
    <x:row r="3405">
      <x:c r="A3405" t="n">
        <x:v>3402</x:v>
      </x:c>
      <x:c r="B3405" t="str">
        <x:v>PTN Akademik</x:v>
      </x:c>
      <x:c r="C3405" t="str">
        <x:v>UNIVERSITAS TADULAKO</x:v>
      </x:c>
      <x:c r="D3405" t="str">
        <x:v>ILMU PEMERINTAHAN</x:v>
      </x:c>
      <x:c r="E3405" t="str">
        <x:v>Sarjana</x:v>
      </x:c>
      <x:c r="F3405" s="18" t="n">
        <x:v>80</x:v>
      </x:c>
      <x:c r="G3405" s="18" t="n">
        <x:v>313</x:v>
      </x:c>
      <x:c r="H3405" s="19" t="n">
        <x:v>3.9125</x:v>
      </x:c>
      <x:c r="I3405" s="18" t="n">
        <x:f>ROUND(MIN(Model_Config_v3!$B$6,MAX(Q3405,R3405,S3405*Model_Config_v3!$B$4+T3405*Model_Config_v3!$B$5)),0)</x:f>
        <x:v>631</x:v>
      </x:c>
      <x:c r="J3405" s="18" t="n">
        <x:f>MIN(Model_Config_v3!$B$6,I3405+Model_Config_v3!$B$7)</x:f>
        <x:v>651</x:v>
      </x:c>
      <x:c r="K3405" s="20" t="n">
        <x:v>45</x:v>
      </x:c>
      <x:c r="L3405" t="str">
        <x:v>MENENGAH</x:v>
      </x:c>
      <x:c r="M3405" t="str">
        <x:v>SEDANG</x:v>
      </x:c>
      <x:c r="N3405" t="str">
        <x:v>REGULER</x:v>
      </x:c>
      <x:c r="O3405" t="str">
        <x:v>CAMPURAN</x:v>
      </x:c>
      <x:c r="P3405" t="str">
        <x:v>UMUM</x:v>
      </x:c>
      <x:c r="Q3405" s="18" t="n">
        <x:v>0</x:v>
      </x:c>
      <x:c r="R3405" s="18" t="n">
        <x:v>0</x:v>
      </x:c>
      <x:c r="S3405" s="18" t="n">
        <x:v>585.1699785609956</x:v>
      </x:c>
      <x:c r="T3405" s="18" t="n">
        <x:v>650</x:v>
      </x:c>
      <x:c r="U3405" s="18" t="n">
        <x:v>585.1699785609956</x:v>
      </x:c>
      <x:c r="V3405" s="20" t="n">
        <x:v>8.8</x:v>
      </x:c>
      <x:c r="W3405" s="20" t="n">
        <x:v>9.9</x:v>
      </x:c>
      <x:c r="X3405" s="20" t="n">
        <x:v>3.3</x:v>
      </x:c>
      <x:c r="Y3405" t="str">
        <x:v>Basis arsip 2025/2024</x:v>
      </x:c>
      <x:c r="Z3405" t="str">
        <x:v>https://snpmb.id/utbk-snbt/daya-tampung-snbt</x:v>
      </x:c>
      <x:c r="AA3405" t="str">
        <x:v>Tidak Ada</x:v>
      </x:c>
      <x:c r="AB3405" t="str">
        <x:v>Campus=55; Ratio=34.9; Prodi=40; RelDemand=57.0; Capacity=33.3</x:v>
      </x:c>
    </x:row>
    <x:row r="3406">
      <x:c r="A3406" t="n">
        <x:v>3403</x:v>
      </x:c>
      <x:c r="B3406" t="str">
        <x:v>PTN Akademik</x:v>
      </x:c>
      <x:c r="C3406" t="str">
        <x:v>UNIVERSITAS TADULAKO</x:v>
      </x:c>
      <x:c r="D3406" t="str">
        <x:v>ILMU KOMUNIKASI</x:v>
      </x:c>
      <x:c r="E3406" t="str">
        <x:v>Sarjana</x:v>
      </x:c>
      <x:c r="F3406" s="18" t="n">
        <x:v>80</x:v>
      </x:c>
      <x:c r="G3406" s="18" t="n">
        <x:v>555</x:v>
      </x:c>
      <x:c r="H3406" s="19" t="n">
        <x:v>6.9375</x:v>
      </x:c>
      <x:c r="I3406" s="18" t="n">
        <x:f>ROUND(MIN(Model_Config_v3!$B$6,MAX(Q3406,R3406,S3406*Model_Config_v3!$B$4+T3406*Model_Config_v3!$B$5)),0)</x:f>
        <x:v>650</x:v>
      </x:c>
      <x:c r="J3406" s="18" t="n">
        <x:f>MIN(Model_Config_v3!$B$6,I3406+Model_Config_v3!$B$7)</x:f>
        <x:v>670</x:v>
      </x:c>
      <x:c r="K3406" s="20" t="n">
        <x:v>53</x:v>
      </x:c>
      <x:c r="L3406" t="str">
        <x:v>MENENGAH</x:v>
      </x:c>
      <x:c r="M3406" t="str">
        <x:v>SEDANG</x:v>
      </x:c>
      <x:c r="N3406" t="str">
        <x:v>REGULER</x:v>
      </x:c>
      <x:c r="O3406" t="str">
        <x:v>SOSHUM</x:v>
      </x:c>
      <x:c r="P3406" t="str">
        <x:v>UMUM</x:v>
      </x:c>
      <x:c r="Q3406" s="18" t="n">
        <x:v>0</x:v>
      </x:c>
      <x:c r="R3406" s="18" t="n">
        <x:v>0</x:v>
      </x:c>
      <x:c r="S3406" s="18" t="n">
        <x:v>612.5323295743806</x:v>
      </x:c>
      <x:c r="T3406" s="18" t="n">
        <x:v>666</x:v>
      </x:c>
      <x:c r="U3406" s="18" t="n">
        <x:v>612.5323295743806</x:v>
      </x:c>
      <x:c r="V3406" s="20" t="n">
        <x:v>4.4</x:v>
      </x:c>
      <x:c r="W3406" s="20" t="n">
        <x:v>14.3</x:v>
      </x:c>
      <x:c r="X3406" s="20" t="n">
        <x:v>3.3</x:v>
      </x:c>
      <x:c r="Y3406" t="str">
        <x:v>Basis arsip 2025/2024</x:v>
      </x:c>
      <x:c r="Z3406" t="str">
        <x:v>https://snpmb.id/utbk-snbt/daya-tampung-snbt</x:v>
      </x:c>
      <x:c r="AA3406" t="str">
        <x:v>Tidak Ada</x:v>
      </x:c>
      <x:c r="AB3406" t="str">
        <x:v>Campus=55; Ratio=49.5; Prodi=40; RelDemand=100.0; Capacity=33.3</x:v>
      </x:c>
    </x:row>
    <x:row r="3407">
      <x:c r="A3407" t="n">
        <x:v>3404</x:v>
      </x:c>
      <x:c r="B3407" t="str">
        <x:v>PTN Akademik</x:v>
      </x:c>
      <x:c r="C3407" t="str">
        <x:v>UNIVERSITAS TADULAKO</x:v>
      </x:c>
      <x:c r="D3407" t="str">
        <x:v>EKONOMI PEMBANGUNAN</x:v>
      </x:c>
      <x:c r="E3407" t="str">
        <x:v>Sarjana</x:v>
      </x:c>
      <x:c r="F3407" s="18" t="n">
        <x:v>80</x:v>
      </x:c>
      <x:c r="G3407" s="18" t="n">
        <x:v>114</x:v>
      </x:c>
      <x:c r="H3407" s="19" t="n">
        <x:v>1.425</x:v>
      </x:c>
      <x:c r="I3407" s="18" t="n">
        <x:f>ROUND(MIN(Model_Config_v3!$B$6,MAX(Q3407,R3407,S3407*Model_Config_v3!$B$4+T3407*Model_Config_v3!$B$5)),0)</x:f>
        <x:v>609</x:v>
      </x:c>
      <x:c r="J3407" s="18" t="n">
        <x:f>MIN(Model_Config_v3!$B$6,I3407+Model_Config_v3!$B$7)</x:f>
        <x:v>629</x:v>
      </x:c>
      <x:c r="K3407" s="20" t="n">
        <x:v>39.9</x:v>
      </x:c>
      <x:c r="L3407" t="str">
        <x:v>RELATIF LONGGAR</x:v>
      </x:c>
      <x:c r="M3407" t="str">
        <x:v>SEDANG+</x:v>
      </x:c>
      <x:c r="N3407" t="str">
        <x:v>REGULER</x:v>
      </x:c>
      <x:c r="O3407" t="str">
        <x:v>SOSHUM</x:v>
      </x:c>
      <x:c r="P3407" t="str">
        <x:v>BISNIS/EKONOMI/AKUNTANSI</x:v>
      </x:c>
      <x:c r="Q3407" s="18" t="n">
        <x:v>0</x:v>
      </x:c>
      <x:c r="R3407" s="18" t="n">
        <x:v>0</x:v>
      </x:c>
      <x:c r="S3407" s="18" t="n">
        <x:v>536.9196350778982</x:v>
      </x:c>
      <x:c r="T3407" s="18" t="n">
        <x:v>640</x:v>
      </x:c>
      <x:c r="U3407" s="18" t="n">
        <x:v>536.9196350778982</x:v>
      </x:c>
      <x:c r="V3407" s="20" t="n">
        <x:v>4.4</x:v>
      </x:c>
      <x:c r="W3407" s="20" t="n">
        <x:v>14.3</x:v>
      </x:c>
      <x:c r="X3407" s="20" t="n">
        <x:v>3.3</x:v>
      </x:c>
      <x:c r="Y3407" t="str">
        <x:v>Basis arsip 2025/2024</x:v>
      </x:c>
      <x:c r="Z3407" t="str">
        <x:v>https://snpmb.id/utbk-snbt/daya-tampung-snbt</x:v>
      </x:c>
      <x:c r="AA3407" t="str">
        <x:v>Tidak Ada</x:v>
      </x:c>
      <x:c r="AB3407" t="str">
        <x:v>Campus=55; Ratio=9.1; Prodi=65; RelDemand=20.8; Capacity=33.3</x:v>
      </x:c>
    </x:row>
    <x:row r="3408">
      <x:c r="A3408" t="n">
        <x:v>3405</x:v>
      </x:c>
      <x:c r="B3408" t="str">
        <x:v>PTN Akademik</x:v>
      </x:c>
      <x:c r="C3408" t="str">
        <x:v>UNIVERSITAS TADULAKO</x:v>
      </x:c>
      <x:c r="D3408" t="str">
        <x:v>EKONOMI MANAJEMEN</x:v>
      </x:c>
      <x:c r="E3408" t="str">
        <x:v>Sarjana</x:v>
      </x:c>
      <x:c r="F3408" s="18" t="n">
        <x:v>120</x:v>
      </x:c>
      <x:c r="G3408" s="18" t="n">
        <x:v>976</x:v>
      </x:c>
      <x:c r="H3408" s="19" t="n">
        <x:v>8.133333333333333</x:v>
      </x:c>
      <x:c r="I3408" s="18" t="n">
        <x:f>ROUND(MIN(Model_Config_v3!$B$6,MAX(Q3408,R3408,S3408*Model_Config_v3!$B$4+T3408*Model_Config_v3!$B$5)),0)</x:f>
        <x:v>656</x:v>
      </x:c>
      <x:c r="J3408" s="18" t="n">
        <x:f>MIN(Model_Config_v3!$B$6,I3408+Model_Config_v3!$B$7)</x:f>
        <x:v>676</x:v>
      </x:c>
      <x:c r="K3408" s="20" t="n">
        <x:v>55.6</x:v>
      </x:c>
      <x:c r="L3408" t="str">
        <x:v>KETAT</x:v>
      </x:c>
      <x:c r="M3408" t="str">
        <x:v>SEDANG+</x:v>
      </x:c>
      <x:c r="N3408" t="str">
        <x:v>REGULER</x:v>
      </x:c>
      <x:c r="O3408" t="str">
        <x:v>SOSHUM</x:v>
      </x:c>
      <x:c r="P3408" t="str">
        <x:v>BISNIS/EKONOMI/AKUNTANSI</x:v>
      </x:c>
      <x:c r="Q3408" s="18" t="n">
        <x:v>0</x:v>
      </x:c>
      <x:c r="R3408" s="18" t="n">
        <x:v>0</x:v>
      </x:c>
      <x:c r="S3408" s="18" t="n">
        <x:v>620.1295428780974</x:v>
      </x:c>
      <x:c r="T3408" s="18" t="n">
        <x:v>671</x:v>
      </x:c>
      <x:c r="U3408" s="18" t="n">
        <x:v>635.1295428780974</x:v>
      </x:c>
      <x:c r="V3408" s="20" t="n">
        <x:v>4.4</x:v>
      </x:c>
      <x:c r="W3408" s="20" t="n">
        <x:v>14.3</x:v>
      </x:c>
      <x:c r="X3408" s="20" t="n">
        <x:v>3.3</x:v>
      </x:c>
      <x:c r="Y3408" t="str">
        <x:v>Basis arsip 2025/2024</x:v>
      </x:c>
      <x:c r="Z3408" t="str">
        <x:v>https://snpmb.id/utbk-snbt/daya-tampung-snbt</x:v>
      </x:c>
      <x:c r="AA3408" t="str">
        <x:v>Tidak Ada</x:v>
      </x:c>
      <x:c r="AB3408" t="str">
        <x:v>Campus=55; Ratio=53.6; Prodi=65; RelDemand=100.0; Capacity=0.0</x:v>
      </x:c>
    </x:row>
    <x:row r="3409">
      <x:c r="A3409" t="n">
        <x:v>3406</x:v>
      </x:c>
      <x:c r="B3409" t="str">
        <x:v>PTN Akademik</x:v>
      </x:c>
      <x:c r="C3409" t="str">
        <x:v>UNIVERSITAS TADULAKO</x:v>
      </x:c>
      <x:c r="D3409" t="str">
        <x:v>EKONOMI AKUNTANSI</x:v>
      </x:c>
      <x:c r="E3409" t="str">
        <x:v>Sarjana</x:v>
      </x:c>
      <x:c r="F3409" s="18" t="n">
        <x:v>100</x:v>
      </x:c>
      <x:c r="G3409" s="18" t="n">
        <x:v>567</x:v>
      </x:c>
      <x:c r="H3409" s="19" t="n">
        <x:v>5.67</x:v>
      </x:c>
      <x:c r="I3409" s="18" t="n">
        <x:f>ROUND(MIN(Model_Config_v3!$B$6,MAX(Q3409,R3409,S3409*Model_Config_v3!$B$4+T3409*Model_Config_v3!$B$5)),0)</x:f>
        <x:v>648</x:v>
      </x:c>
      <x:c r="J3409" s="18" t="n">
        <x:f>MIN(Model_Config_v3!$B$6,I3409+Model_Config_v3!$B$7)</x:f>
        <x:v>668</x:v>
      </x:c>
      <x:c r="K3409" s="20" t="n">
        <x:v>53.3</x:v>
      </x:c>
      <x:c r="L3409" t="str">
        <x:v>MENENGAH</x:v>
      </x:c>
      <x:c r="M3409" t="str">
        <x:v>SEDANG+</x:v>
      </x:c>
      <x:c r="N3409" t="str">
        <x:v>REGULER</x:v>
      </x:c>
      <x:c r="O3409" t="str">
        <x:v>SOSHUM</x:v>
      </x:c>
      <x:c r="P3409" t="str">
        <x:v>BISNIS/EKONOMI/AKUNTANSI</x:v>
      </x:c>
      <x:c r="Q3409" s="18" t="n">
        <x:v>0</x:v>
      </x:c>
      <x:c r="R3409" s="18" t="n">
        <x:v>0</x:v>
      </x:c>
      <x:c r="S3409" s="18" t="n">
        <x:v>602.8941364782197</x:v>
      </x:c>
      <x:c r="T3409" s="18" t="n">
        <x:v>667</x:v>
      </x:c>
      <x:c r="U3409" s="18" t="n">
        <x:v>602.8941364782197</x:v>
      </x:c>
      <x:c r="V3409" s="20" t="n">
        <x:v>4.4</x:v>
      </x:c>
      <x:c r="W3409" s="20" t="n">
        <x:v>14.3</x:v>
      </x:c>
      <x:c r="X3409" s="20" t="n">
        <x:v>3.3</x:v>
      </x:c>
      <x:c r="Y3409" t="str">
        <x:v>Basis arsip 2025/2024</x:v>
      </x:c>
      <x:c r="Z3409" t="str">
        <x:v>https://snpmb.id/utbk-snbt/daya-tampung-snbt</x:v>
      </x:c>
      <x:c r="AA3409" t="str">
        <x:v>Tidak Ada</x:v>
      </x:c>
      <x:c r="AB3409" t="str">
        <x:v>Campus=55; Ratio=44.4; Prodi=65; RelDemand=82.6; Capacity=16.7</x:v>
      </x:c>
    </x:row>
    <x:row r="3410">
      <x:c r="A3410" t="n">
        <x:v>3407</x:v>
      </x:c>
      <x:c r="B3410" t="str">
        <x:v>PTN Akademik</x:v>
      </x:c>
      <x:c r="C3410" t="str">
        <x:v>UNIVERSITAS TADULAKO</x:v>
      </x:c>
      <x:c r="D3410" t="str">
        <x:v>ILMU HUKUM</x:v>
      </x:c>
      <x:c r="E3410" t="str">
        <x:v>Sarjana</x:v>
      </x:c>
      <x:c r="F3410" s="18" t="n">
        <x:v>200</x:v>
      </x:c>
      <x:c r="G3410" s="18" t="n">
        <x:v>628</x:v>
      </x:c>
      <x:c r="H3410" s="19" t="n">
        <x:v>3.14</x:v>
      </x:c>
      <x:c r="I3410" s="18" t="n">
        <x:f>ROUND(MIN(Model_Config_v3!$B$6,MAX(Q3410,R3410,S3410*Model_Config_v3!$B$4+T3410*Model_Config_v3!$B$5)),0)</x:f>
        <x:v>626</x:v>
      </x:c>
      <x:c r="J3410" s="18" t="n">
        <x:f>MIN(Model_Config_v3!$B$6,I3410+Model_Config_v3!$B$7)</x:f>
        <x:v>646</x:v>
      </x:c>
      <x:c r="K3410" s="20" t="n">
        <x:v>44.1</x:v>
      </x:c>
      <x:c r="L3410" t="str">
        <x:v>RELATIF LONGGAR</x:v>
      </x:c>
      <x:c r="M3410" t="str">
        <x:v>SEDANG+</x:v>
      </x:c>
      <x:c r="N3410" t="str">
        <x:v>REGULER</x:v>
      </x:c>
      <x:c r="O3410" t="str">
        <x:v>SOSHUM</x:v>
      </x:c>
      <x:c r="P3410" t="str">
        <x:v>HUKUM</x:v>
      </x:c>
      <x:c r="Q3410" s="18" t="n">
        <x:v>0</x:v>
      </x:c>
      <x:c r="R3410" s="18" t="n">
        <x:v>0</x:v>
      </x:c>
      <x:c r="S3410" s="18" t="n">
        <x:v>574.6622612880536</x:v>
      </x:c>
      <x:c r="T3410" s="18" t="n">
        <x:v>648</x:v>
      </x:c>
      <x:c r="U3410" s="18" t="n">
        <x:v>589.6622612880536</x:v>
      </x:c>
      <x:c r="V3410" s="20" t="n">
        <x:v>4.4</x:v>
      </x:c>
      <x:c r="W3410" s="20" t="n">
        <x:v>14.3</x:v>
      </x:c>
      <x:c r="X3410" s="20" t="n">
        <x:v>3.3</x:v>
      </x:c>
      <x:c r="Y3410" t="str">
        <x:v>Basis arsip 2025/2024</x:v>
      </x:c>
      <x:c r="Z3410" t="str">
        <x:v>https://snpmb.id/utbk-snbt/daya-tampung-snbt</x:v>
      </x:c>
      <x:c r="AA3410" t="str">
        <x:v>Tidak Ada</x:v>
      </x:c>
      <x:c r="AB3410" t="str">
        <x:v>Campus=55; Ratio=29.2; Prodi=65; RelDemand=45.8; Capacity=0.0</x:v>
      </x:c>
    </x:row>
    <x:row r="3411">
      <x:c r="A3411" t="n">
        <x:v>3408</x:v>
      </x:c>
      <x:c r="B3411" t="str">
        <x:v>PTN Akademik</x:v>
      </x:c>
      <x:c r="C3411" t="str">
        <x:v>UNIVERSITAS TADULAKO</x:v>
      </x:c>
      <x:c r="D3411" t="str">
        <x:v>PEND. JASMANI, KESEHATAN DAN REKREASI</x:v>
      </x:c>
      <x:c r="E3411" t="str">
        <x:v>Sarjana</x:v>
      </x:c>
      <x:c r="F3411" s="18" t="n">
        <x:v>115</x:v>
      </x:c>
      <x:c r="G3411" s="18" t="n">
        <x:v>168</x:v>
      </x:c>
      <x:c r="H3411" s="19" t="n">
        <x:v>1.4608695652173913</x:v>
      </x:c>
      <x:c r="I3411" s="18" t="n">
        <x:f>ROUND(MIN(Model_Config_v3!$B$6,MAX(Q3411,R3411,S3411*Model_Config_v3!$B$4+T3411*Model_Config_v3!$B$5)),0)</x:f>
        <x:v>600</x:v>
      </x:c>
      <x:c r="J3411" s="18" t="n">
        <x:f>MIN(Model_Config_v3!$B$6,I3411+Model_Config_v3!$B$7)</x:f>
        <x:v>620</x:v>
      </x:c>
      <x:c r="K3411" s="20" t="n">
        <x:v>33.2</x:v>
      </x:c>
      <x:c r="L3411" t="str">
        <x:v>RELATIF LONGGAR</x:v>
      </x:c>
      <x:c r="M3411" t="str">
        <x:v>PORTOFOLIO</x:v>
      </x:c>
      <x:c r="N3411" t="str">
        <x:v>REGULER</x:v>
      </x:c>
      <x:c r="O3411" t="str">
        <x:v>SENI/OLAHRAGA</x:v>
      </x:c>
      <x:c r="P3411" t="str">
        <x:v>SENI/OLAHRAGA</x:v>
      </x:c>
      <x:c r="Q3411" s="18" t="n">
        <x:v>0</x:v>
      </x:c>
      <x:c r="R3411" s="18" t="n">
        <x:v>0</x:v>
      </x:c>
      <x:c r="S3411" s="18" t="n">
        <x:v>538.1072585509477</x:v>
      </x:c>
      <x:c r="T3411" s="18" t="n">
        <x:v>626</x:v>
      </x:c>
      <x:c r="U3411" s="18" t="n">
        <x:v>538.1072585509477</x:v>
      </x:c>
      <x:c r="V3411" s="20" t="n">
        <x:v>4.4</x:v>
      </x:c>
      <x:c r="W3411" s="20" t="n">
        <x:v>9.9</x:v>
      </x:c>
      <x:c r="X3411" s="20" t="n">
        <x:v>7.7</x:v>
      </x:c>
      <x:c r="Y3411" t="str">
        <x:v>Basis arsip 2025/2024</x:v>
      </x:c>
      <x:c r="Z3411" t="str">
        <x:v>https://snpmb.id/utbk-snbt/daya-tampung-snbt</x:v>
      </x:c>
      <x:c r="AA3411" t="str">
        <x:v>Olahraga</x:v>
      </x:c>
      <x:c r="AB3411" t="str">
        <x:v>Campus=55; Ratio=9.7; Prodi=45; RelDemand=21.3; Capacity=4.2</x:v>
      </x:c>
    </x:row>
    <x:row r="3412">
      <x:c r="A3412" t="n">
        <x:v>3409</x:v>
      </x:c>
      <x:c r="B3412" t="str">
        <x:v>PTN Akademik</x:v>
      </x:c>
      <x:c r="C3412" t="str">
        <x:v>UNIVERSITAS TADULAKO</x:v>
      </x:c>
      <x:c r="D3412" t="str">
        <x:v>PEND. GEOGRAFI</x:v>
      </x:c>
      <x:c r="E3412" t="str">
        <x:v>Sarjana</x:v>
      </x:c>
      <x:c r="F3412" s="18" t="n">
        <x:v>75</x:v>
      </x:c>
      <x:c r="G3412" s="18" t="n">
        <x:v>81</x:v>
      </x:c>
      <x:c r="H3412" s="19" t="n">
        <x:v>1.08</x:v>
      </x:c>
      <x:c r="I3412" s="18" t="n">
        <x:f>ROUND(MIN(Model_Config_v3!$B$6,MAX(Q3412,R3412,S3412*Model_Config_v3!$B$4+T3412*Model_Config_v3!$B$5)),0)</x:f>
        <x:v>597</x:v>
      </x:c>
      <x:c r="J3412" s="18" t="n">
        <x:f>MIN(Model_Config_v3!$B$6,I3412+Model_Config_v3!$B$7)</x:f>
        <x:v>617</x:v>
      </x:c>
      <x:c r="K3412" s="20" t="n">
        <x:v>34.1</x:v>
      </x:c>
      <x:c r="L3412" t="str">
        <x:v>RELATIF LONGGAR</x:v>
      </x:c>
      <x:c r="M3412" t="str">
        <x:v>SEDANG+</x:v>
      </x:c>
      <x:c r="N3412" t="str">
        <x:v>REGULER</x:v>
      </x:c>
      <x:c r="O3412" t="str">
        <x:v>CAMPURAN</x:v>
      </x:c>
      <x:c r="P3412" t="str">
        <x:v>PENDIDIKAN</x:v>
      </x:c>
      <x:c r="Q3412" s="18" t="n">
        <x:v>0</x:v>
      </x:c>
      <x:c r="R3412" s="18" t="n">
        <x:v>0</x:v>
      </x:c>
      <x:c r="S3412" s="18" t="n">
        <x:v>523.6766131035645</x:v>
      </x:c>
      <x:c r="T3412" s="18" t="n">
        <x:v>628</x:v>
      </x:c>
      <x:c r="U3412" s="18" t="n">
        <x:v>523.6766131035645</x:v>
      </x:c>
      <x:c r="V3412" s="20" t="n">
        <x:v>8.8</x:v>
      </x:c>
      <x:c r="W3412" s="20" t="n">
        <x:v>9.9</x:v>
      </x:c>
      <x:c r="X3412" s="20" t="n">
        <x:v>3.3</x:v>
      </x:c>
      <x:c r="Y3412" t="str">
        <x:v>Basis arsip 2025/2024</x:v>
      </x:c>
      <x:c r="Z3412" t="str">
        <x:v>https://snpmb.id/utbk-snbt/daya-tampung-snbt</x:v>
      </x:c>
      <x:c r="AA3412" t="str">
        <x:v>Tidak Ada</x:v>
      </x:c>
      <x:c r="AB3412" t="str">
        <x:v>Campus=55; Ratio=2.0; Prodi=45; RelDemand=15.7; Capacity=37.5</x:v>
      </x:c>
    </x:row>
    <x:row r="3413">
      <x:c r="A3413" t="n">
        <x:v>3410</x:v>
      </x:c>
      <x:c r="B3413" t="str">
        <x:v>PTN Akademik</x:v>
      </x:c>
      <x:c r="C3413" t="str">
        <x:v>UNIVERSITAS TADULAKO</x:v>
      </x:c>
      <x:c r="D3413" t="str">
        <x:v>MANAJEMEN (PSDKU MOROWALI)</x:v>
      </x:c>
      <x:c r="E3413" t="str">
        <x:v>Sarjana</x:v>
      </x:c>
      <x:c r="F3413" s="18" t="n">
        <x:v>60</x:v>
      </x:c>
      <x:c r="G3413" s="18" t="n">
        <x:v>24</x:v>
      </x:c>
      <x:c r="H3413" s="19" t="n">
        <x:v>0.4</x:v>
      </x:c>
      <x:c r="I3413" s="18" t="n">
        <x:f>ROUND(MIN(Model_Config_v3!$B$6,MAX(Q3413,R3413,S3413*Model_Config_v3!$B$4+T3413*Model_Config_v3!$B$5)),0)</x:f>
        <x:v>601</x:v>
      </x:c>
      <x:c r="J3413" s="18" t="n">
        <x:f>MIN(Model_Config_v3!$B$6,I3413+Model_Config_v3!$B$7)</x:f>
        <x:v>621</x:v>
      </x:c>
      <x:c r="K3413" s="20" t="n">
        <x:v>37.8</x:v>
      </x:c>
      <x:c r="L3413" t="str">
        <x:v>RELATIF LONGGAR</x:v>
      </x:c>
      <x:c r="M3413" t="str">
        <x:v>SEDANG+</x:v>
      </x:c>
      <x:c r="N3413" t="str">
        <x:v>REGULER</x:v>
      </x:c>
      <x:c r="O3413" t="str">
        <x:v>SOSHUM</x:v>
      </x:c>
      <x:c r="P3413" t="str">
        <x:v>BISNIS/EKONOMI/AKUNTANSI</x:v>
      </x:c>
      <x:c r="Q3413" s="18" t="n">
        <x:v>0</x:v>
      </x:c>
      <x:c r="R3413" s="18" t="n">
        <x:v>0</x:v>
      </x:c>
      <x:c r="S3413" s="18" t="n">
        <x:v>520</x:v>
      </x:c>
      <x:c r="T3413" s="18" t="n">
        <x:v>636</x:v>
      </x:c>
      <x:c r="U3413" s="18" t="n">
        <x:v>535</x:v>
      </x:c>
      <x:c r="V3413" s="20" t="n">
        <x:v>4.4</x:v>
      </x:c>
      <x:c r="W3413" s="20" t="n">
        <x:v>14.3</x:v>
      </x:c>
      <x:c r="X3413" s="20" t="n">
        <x:v>3.3</x:v>
      </x:c>
      <x:c r="Y3413" t="str">
        <x:v>Basis arsip 2025/2024</x:v>
      </x:c>
      <x:c r="Z3413" t="str">
        <x:v>https://snpmb.id/utbk-snbt/daya-tampung-snbt</x:v>
      </x:c>
      <x:c r="AA3413" t="str">
        <x:v>Tidak Ada</x:v>
      </x:c>
      <x:c r="AB3413" t="str">
        <x:v>Campus=55; Ratio=0.0; Prodi=65; RelDemand=5.8; Capacity=50.0</x:v>
      </x:c>
    </x:row>
    <x:row r="3414">
      <x:c r="A3414" t="n">
        <x:v>3411</x:v>
      </x:c>
      <x:c r="B3414" t="str">
        <x:v>PTN Akademik</x:v>
      </x:c>
      <x:c r="C3414" t="str">
        <x:v>UNIVERSITAS TADULAKO</x:v>
      </x:c>
      <x:c r="D3414" t="str">
        <x:v>MANAJEMEN (PSDKU TOUNA)</x:v>
      </x:c>
      <x:c r="E3414" t="str">
        <x:v>Sarjana</x:v>
      </x:c>
      <x:c r="F3414" s="18" t="n">
        <x:v>120</x:v>
      </x:c>
      <x:c r="G3414" s="18" t="n">
        <x:v>40</x:v>
      </x:c>
      <x:c r="H3414" s="19" t="n">
        <x:v>0.3333333333333333</x:v>
      </x:c>
      <x:c r="I3414" s="18" t="n">
        <x:f>ROUND(MIN(Model_Config_v3!$B$6,MAX(Q3414,R3414,S3414*Model_Config_v3!$B$4+T3414*Model_Config_v3!$B$5)),0)</x:f>
        <x:v>594</x:v>
      </x:c>
      <x:c r="J3414" s="18" t="n">
        <x:f>MIN(Model_Config_v3!$B$6,I3414+Model_Config_v3!$B$7)</x:f>
        <x:v>614</x:v>
      </x:c>
      <x:c r="K3414" s="20" t="n">
        <x:v>32.7</x:v>
      </x:c>
      <x:c r="L3414" t="str">
        <x:v>RELATIF LONGGAR</x:v>
      </x:c>
      <x:c r="M3414" t="str">
        <x:v>SEDANG+</x:v>
      </x:c>
      <x:c r="N3414" t="str">
        <x:v>REGULER</x:v>
      </x:c>
      <x:c r="O3414" t="str">
        <x:v>SOSHUM</x:v>
      </x:c>
      <x:c r="P3414" t="str">
        <x:v>BISNIS/EKONOMI/AKUNTANSI</x:v>
      </x:c>
      <x:c r="Q3414" s="18" t="n">
        <x:v>0</x:v>
      </x:c>
      <x:c r="R3414" s="18" t="n">
        <x:v>0</x:v>
      </x:c>
      <x:c r="S3414" s="18" t="n">
        <x:v>520</x:v>
      </x:c>
      <x:c r="T3414" s="18" t="n">
        <x:v>625</x:v>
      </x:c>
      <x:c r="U3414" s="18" t="n">
        <x:v>535</x:v>
      </x:c>
      <x:c r="V3414" s="20" t="n">
        <x:v>4.4</x:v>
      </x:c>
      <x:c r="W3414" s="20" t="n">
        <x:v>14.3</x:v>
      </x:c>
      <x:c r="X3414" s="20" t="n">
        <x:v>3.3</x:v>
      </x:c>
      <x:c r="Y3414" t="str">
        <x:v>Basis arsip 2025/2024</x:v>
      </x:c>
      <x:c r="Z3414" t="str">
        <x:v>https://snpmb.id/utbk-snbt/daya-tampung-snbt</x:v>
      </x:c>
      <x:c r="AA3414" t="str">
        <x:v>Tidak Ada</x:v>
      </x:c>
      <x:c r="AB3414" t="str">
        <x:v>Campus=55; Ratio=0.0; Prodi=65; RelDemand=4.9; Capacity=0.0</x:v>
      </x:c>
    </x:row>
    <x:row r="3415">
      <x:c r="A3415" t="n">
        <x:v>3412</x:v>
      </x:c>
      <x:c r="B3415" t="str">
        <x:v>PTN Akademik</x:v>
      </x:c>
      <x:c r="C3415" t="str">
        <x:v>UNIVERSITAS TADULAKO</x:v>
      </x:c>
      <x:c r="D3415" t="str">
        <x:v>PENDIDIKAN ILMU PENGETAHUAN ALAM</x:v>
      </x:c>
      <x:c r="E3415" t="str">
        <x:v>Sarjana</x:v>
      </x:c>
      <x:c r="F3415" s="18" t="n">
        <x:v>36</x:v>
      </x:c>
      <x:c r="G3415" s="18" t="n">
        <x:v>71</x:v>
      </x:c>
      <x:c r="H3415" s="19" t="n">
        <x:v>1.9722222222222223</x:v>
      </x:c>
      <x:c r="I3415" s="18" t="n">
        <x:f>ROUND(MIN(Model_Config_v3!$B$6,MAX(Q3415,R3415,S3415*Model_Config_v3!$B$4+T3415*Model_Config_v3!$B$5)),0)</x:f>
        <x:v>617</x:v>
      </x:c>
      <x:c r="J3415" s="18" t="n">
        <x:f>MIN(Model_Config_v3!$B$6,I3415+Model_Config_v3!$B$7)</x:f>
        <x:v>637</x:v>
      </x:c>
      <x:c r="K3415" s="20" t="n">
        <x:v>42.5</x:v>
      </x:c>
      <x:c r="L3415" t="str">
        <x:v>RELATIF LONGGAR</x:v>
      </x:c>
      <x:c r="M3415" t="str">
        <x:v>SEDANG+</x:v>
      </x:c>
      <x:c r="N3415" t="str">
        <x:v>REGULER</x:v>
      </x:c>
      <x:c r="O3415" t="str">
        <x:v>CAMPURAN</x:v>
      </x:c>
      <x:c r="P3415" t="str">
        <x:v>PENDIDIKAN</x:v>
      </x:c>
      <x:c r="Q3415" s="18" t="n">
        <x:v>0</x:v>
      </x:c>
      <x:c r="R3415" s="18" t="n">
        <x:v>0</x:v>
      </x:c>
      <x:c r="S3415" s="18" t="n">
        <x:v>552.4451432746966</x:v>
      </x:c>
      <x:c r="T3415" s="18" t="n">
        <x:v>645</x:v>
      </x:c>
      <x:c r="U3415" s="18" t="n">
        <x:v>552.4451432746966</x:v>
      </x:c>
      <x:c r="V3415" s="20" t="n">
        <x:v>8.8</x:v>
      </x:c>
      <x:c r="W3415" s="20" t="n">
        <x:v>9.9</x:v>
      </x:c>
      <x:c r="X3415" s="20" t="n">
        <x:v>3.3</x:v>
      </x:c>
      <x:c r="Y3415" t="str">
        <x:v>Basis arsip 2025/2024</x:v>
      </x:c>
      <x:c r="Z3415" t="str">
        <x:v>https://snpmb.id/utbk-snbt/daya-tampung-snbt</x:v>
      </x:c>
      <x:c r="AA3415" t="str">
        <x:v>Tidak Ada</x:v>
      </x:c>
      <x:c r="AB3415" t="str">
        <x:v>Campus=55; Ratio=17.4; Prodi=45; RelDemand=28.7; Capacity=70.0</x:v>
      </x:c>
    </x:row>
    <x:row r="3416">
      <x:c r="A3416" t="n">
        <x:v>3413</x:v>
      </x:c>
      <x:c r="B3416" t="str">
        <x:v>PTN Akademik</x:v>
      </x:c>
      <x:c r="C3416" t="str">
        <x:v>UNIVERSITAS TADULAKO</x:v>
      </x:c>
      <x:c r="D3416" t="str">
        <x:v>SUMBER DAYA AKUATIK</x:v>
      </x:c>
      <x:c r="E3416" t="str">
        <x:v>Sarjana</x:v>
      </x:c>
      <x:c r="F3416" s="18" t="n">
        <x:v>40</x:v>
      </x:c>
      <x:c r="G3416" s="18" t="n">
        <x:v>4</x:v>
      </x:c>
      <x:c r="H3416" s="19" t="n">
        <x:v>0.1</x:v>
      </x:c>
      <x:c r="I3416" s="18" t="n">
        <x:f>ROUND(MIN(Model_Config_v3!$B$6,MAX(Q3416,R3416,S3416*Model_Config_v3!$B$4+T3416*Model_Config_v3!$B$5)),0)</x:f>
        <x:v>596</x:v>
      </x:c>
      <x:c r="J3416" s="18" t="n">
        <x:f>MIN(Model_Config_v3!$B$6,I3416+Model_Config_v3!$B$7)</x:f>
        <x:v>616</x:v>
      </x:c>
      <x:c r="K3416" s="20" t="n">
        <x:v>34.1</x:v>
      </x:c>
      <x:c r="L3416" t="str">
        <x:v>RELATIF LONGGAR</x:v>
      </x:c>
      <x:c r="M3416" t="str">
        <x:v>SEDANG</x:v>
      </x:c>
      <x:c r="N3416" t="str">
        <x:v>REGULER</x:v>
      </x:c>
      <x:c r="O3416" t="str">
        <x:v>CAMPURAN</x:v>
      </x:c>
      <x:c r="P3416" t="str">
        <x:v>UMUM</x:v>
      </x:c>
      <x:c r="Q3416" s="18" t="n">
        <x:v>0</x:v>
      </x:c>
      <x:c r="R3416" s="18" t="n">
        <x:v>0</x:v>
      </x:c>
      <x:c r="S3416" s="18" t="n">
        <x:v>520</x:v>
      </x:c>
      <x:c r="T3416" s="18" t="n">
        <x:v>628</x:v>
      </x:c>
      <x:c r="U3416" s="18" t="n">
        <x:v>520</x:v>
      </x:c>
      <x:c r="V3416" s="20" t="n">
        <x:v>8.8</x:v>
      </x:c>
      <x:c r="W3416" s="20" t="n">
        <x:v>9.9</x:v>
      </x:c>
      <x:c r="X3416" s="20" t="n">
        <x:v>3.3</x:v>
      </x:c>
      <x:c r="Y3416" t="str">
        <x:v>Basis arsip 2025/2024</x:v>
      </x:c>
      <x:c r="Z3416" t="str">
        <x:v>https://snpmb.id/utbk-snbt/daya-tampung-snbt</x:v>
      </x:c>
      <x:c r="AA3416" t="str">
        <x:v>Tidak Ada</x:v>
      </x:c>
      <x:c r="AB3416" t="str">
        <x:v>Campus=55; Ratio=0.0; Prodi=40; RelDemand=1.5; Capacity=66.7</x:v>
      </x:c>
    </x:row>
    <x:row r="3417">
      <x:c r="A3417" t="n">
        <x:v>3414</x:v>
      </x:c>
      <x:c r="B3417" t="str">
        <x:v>PTN Akademik</x:v>
      </x:c>
      <x:c r="C3417" t="str">
        <x:v>UNIVERSITAS TADULAKO</x:v>
      </x:c>
      <x:c r="D3417" t="str">
        <x:v>PROTEKSI TANAMAN</x:v>
      </x:c>
      <x:c r="E3417" t="str">
        <x:v>Sarjana</x:v>
      </x:c>
      <x:c r="F3417" s="18" t="n">
        <x:v>24</x:v>
      </x:c>
      <x:c r="G3417" s="18"/>
      <x:c r="H3417" s="19" t="n">
        <x:v>0</x:v>
      </x:c>
      <x:c r="I3417" s="18" t="n">
        <x:f>ROUND(MIN(Model_Config_v3!$B$6,MAX(Q3417,R3417,S3417*Model_Config_v3!$B$4+T3417*Model_Config_v3!$B$5)),0)</x:f>
        <x:v>597</x:v>
      </x:c>
      <x:c r="J3417" s="18" t="n">
        <x:f>MIN(Model_Config_v3!$B$6,I3417+Model_Config_v3!$B$7)</x:f>
        <x:v>617</x:v>
      </x:c>
      <x:c r="K3417" s="20" t="n">
        <x:v>35.2</x:v>
      </x:c>
      <x:c r="L3417" t="str">
        <x:v>RELATIF LONGGAR</x:v>
      </x:c>
      <x:c r="M3417" t="str">
        <x:v>RENDAH</x:v>
      </x:c>
      <x:c r="N3417" t="str">
        <x:v>REGULER</x:v>
      </x:c>
      <x:c r="O3417" t="str">
        <x:v>CAMPURAN</x:v>
      </x:c>
      <x:c r="P3417" t="str">
        <x:v>UMUM</x:v>
      </x:c>
      <x:c r="Q3417" s="18" t="n">
        <x:v>0</x:v>
      </x:c>
      <x:c r="R3417" s="18" t="n">
        <x:v>0</x:v>
      </x:c>
      <x:c r="S3417" s="18" t="n">
        <x:v>520</x:v>
      </x:c>
      <x:c r="T3417" s="18" t="n">
        <x:v>630</x:v>
      </x:c>
      <x:c r="U3417" s="18" t="n">
        <x:v>520</x:v>
      </x:c>
      <x:c r="V3417" s="20" t="n">
        <x:v>8.8</x:v>
      </x:c>
      <x:c r="W3417" s="20" t="n">
        <x:v>9.9</x:v>
      </x:c>
      <x:c r="X3417" s="20" t="n">
        <x:v>3.3</x:v>
      </x:c>
      <x:c r="Y3417" t="str">
        <x:v>Basis arsip 2025/2024</x:v>
      </x:c>
      <x:c r="Z3417" t="str">
        <x:v>https://snpmb.id/utbk-snbt/daya-tampung-snbt</x:v>
      </x:c>
      <x:c r="AA3417" t="str">
        <x:v>Tidak Ada</x:v>
      </x:c>
      <x:c r="AB3417" t="str">
        <x:v>Campus=55; Ratio=0.0; Prodi=40; RelDemand=0.0; Capacity=80.0</x:v>
      </x:c>
    </x:row>
    <x:row r="3418">
      <x:c r="A3418" t="n">
        <x:v>3415</x:v>
      </x:c>
      <x:c r="B3418" t="str">
        <x:v>PTN Akademik</x:v>
      </x:c>
      <x:c r="C3418" t="str">
        <x:v>UNIVERSITAS TADULAKO</x:v>
      </x:c>
      <x:c r="D3418" t="str">
        <x:v>SOSIAL EKONOMI PETERNAKAN</x:v>
      </x:c>
      <x:c r="E3418" t="str">
        <x:v>Sarjana</x:v>
      </x:c>
      <x:c r="F3418" s="18" t="n">
        <x:v>40</x:v>
      </x:c>
      <x:c r="G3418" s="18"/>
      <x:c r="H3418" s="19" t="n">
        <x:v>0</x:v>
      </x:c>
      <x:c r="I3418" s="18" t="n">
        <x:f>ROUND(MIN(Model_Config_v3!$B$6,MAX(Q3418,R3418,S3418*Model_Config_v3!$B$4+T3418*Model_Config_v3!$B$5)),0)</x:f>
        <x:v>596</x:v>
      </x:c>
      <x:c r="J3418" s="18" t="n">
        <x:f>MIN(Model_Config_v3!$B$6,I3418+Model_Config_v3!$B$7)</x:f>
        <x:v>616</x:v>
      </x:c>
      <x:c r="K3418" s="20" t="n">
        <x:v>33.9</x:v>
      </x:c>
      <x:c r="L3418" t="str">
        <x:v>RELATIF LONGGAR</x:v>
      </x:c>
      <x:c r="M3418" t="str">
        <x:v>RENDAH</x:v>
      </x:c>
      <x:c r="N3418" t="str">
        <x:v>REGULER</x:v>
      </x:c>
      <x:c r="O3418" t="str">
        <x:v>SAINTEK</x:v>
      </x:c>
      <x:c r="P3418" t="str">
        <x:v>UMUM</x:v>
      </x:c>
      <x:c r="Q3418" s="18" t="n">
        <x:v>0</x:v>
      </x:c>
      <x:c r="R3418" s="18" t="n">
        <x:v>0</x:v>
      </x:c>
      <x:c r="S3418" s="18" t="n">
        <x:v>520</x:v>
      </x:c>
      <x:c r="T3418" s="18" t="n">
        <x:v>628</x:v>
      </x:c>
      <x:c r="U3418" s="18" t="n">
        <x:v>520</x:v>
      </x:c>
      <x:c r="V3418" s="20" t="n">
        <x:v>12</x:v>
      </x:c>
      <x:c r="W3418" s="20" t="n">
        <x:v>5</x:v>
      </x:c>
      <x:c r="X3418" s="20" t="n">
        <x:v>3</x:v>
      </x:c>
      <x:c r="Y3418" t="str">
        <x:v>Basis arsip 2025/2024</x:v>
      </x:c>
      <x:c r="Z3418" t="str">
        <x:v>https://snpmb.id/utbk-snbt/daya-tampung-snbt</x:v>
      </x:c>
      <x:c r="AA3418" t="str">
        <x:v>Tidak Ada</x:v>
      </x:c>
      <x:c r="AB3418" t="str">
        <x:v>Campus=55; Ratio=0.0; Prodi=40; RelDemand=0.0; Capacity=66.7</x:v>
      </x:c>
    </x:row>
    <x:row r="3419">
      <x:c r="A3419" t="n">
        <x:v>3416</x:v>
      </x:c>
      <x:c r="B3419" t="str">
        <x:v>PTN Akademik</x:v>
      </x:c>
      <x:c r="C3419" t="str">
        <x:v>UNIVERSITAS TADULAKO</x:v>
      </x:c>
      <x:c r="D3419" t="str">
        <x:v>ILMU KELAUTAN</x:v>
      </x:c>
      <x:c r="E3419" t="str">
        <x:v>Sarjana</x:v>
      </x:c>
      <x:c r="F3419" s="18" t="n">
        <x:v>28</x:v>
      </x:c>
      <x:c r="G3419" s="18"/>
      <x:c r="H3419" s="19" t="n">
        <x:v>0</x:v>
      </x:c>
      <x:c r="I3419" s="18" t="n">
        <x:f>ROUND(MIN(Model_Config_v3!$B$6,MAX(Q3419,R3419,S3419*Model_Config_v3!$B$4+T3419*Model_Config_v3!$B$5)),0)</x:f>
        <x:v>597</x:v>
      </x:c>
      <x:c r="J3419" s="18" t="n">
        <x:f>MIN(Model_Config_v3!$B$6,I3419+Model_Config_v3!$B$7)</x:f>
        <x:v>617</x:v>
      </x:c>
      <x:c r="K3419" s="20" t="n">
        <x:v>34.9</x:v>
      </x:c>
      <x:c r="L3419" t="str">
        <x:v>RELATIF LONGGAR</x:v>
      </x:c>
      <x:c r="M3419" t="str">
        <x:v>RENDAH</x:v>
      </x:c>
      <x:c r="N3419" t="str">
        <x:v>REGULER</x:v>
      </x:c>
      <x:c r="O3419" t="str">
        <x:v>SAINTEK</x:v>
      </x:c>
      <x:c r="P3419" t="str">
        <x:v>UMUM</x:v>
      </x:c>
      <x:c r="Q3419" s="18" t="n">
        <x:v>0</x:v>
      </x:c>
      <x:c r="R3419" s="18" t="n">
        <x:v>0</x:v>
      </x:c>
      <x:c r="S3419" s="18" t="n">
        <x:v>520</x:v>
      </x:c>
      <x:c r="T3419" s="18" t="n">
        <x:v>630</x:v>
      </x:c>
      <x:c r="U3419" s="18" t="n">
        <x:v>520</x:v>
      </x:c>
      <x:c r="V3419" s="20" t="n">
        <x:v>12</x:v>
      </x:c>
      <x:c r="W3419" s="20" t="n">
        <x:v>5</x:v>
      </x:c>
      <x:c r="X3419" s="20" t="n">
        <x:v>3</x:v>
      </x:c>
      <x:c r="Y3419" t="str">
        <x:v>Basis arsip 2025/2024</x:v>
      </x:c>
      <x:c r="Z3419" t="str">
        <x:v>https://snpmb.id/utbk-snbt/daya-tampung-snbt</x:v>
      </x:c>
      <x:c r="AA3419" t="str">
        <x:v>Tidak Ada</x:v>
      </x:c>
      <x:c r="AB3419" t="str">
        <x:v>Campus=55; Ratio=0.0; Prodi=40; RelDemand=0.0; Capacity=76.7</x:v>
      </x:c>
    </x:row>
    <x:row r="3420">
      <x:c r="A3420" t="n">
        <x:v>3417</x:v>
      </x:c>
      <x:c r="B3420" t="str">
        <x:v>PTN Akademik</x:v>
      </x:c>
      <x:c r="C3420" t="str">
        <x:v>UNIVERSITAS TADULAKO</x:v>
      </x:c>
      <x:c r="D3420" t="str">
        <x:v>TEKNOLOGI REKAYASA MANUFAKTUR</x:v>
      </x:c>
      <x:c r="E3420" t="str">
        <x:v>Sarjana Terapan</x:v>
      </x:c>
      <x:c r="F3420" s="18" t="n">
        <x:v>32</x:v>
      </x:c>
      <x:c r="G3420" s="18" t="n">
        <x:v>68</x:v>
      </x:c>
      <x:c r="H3420" s="19" t="n">
        <x:v>2.125</x:v>
      </x:c>
      <x:c r="I3420" s="18" t="n">
        <x:f>ROUND(MIN(Model_Config_v3!$B$6,MAX(Q3420,R3420,S3420*Model_Config_v3!$B$4+T3420*Model_Config_v3!$B$5)),0)</x:f>
        <x:v>618</x:v>
      </x:c>
      <x:c r="J3420" s="18" t="n">
        <x:f>MIN(Model_Config_v3!$B$6,I3420+Model_Config_v3!$B$7)</x:f>
        <x:v>638</x:v>
      </x:c>
      <x:c r="K3420" s="20" t="n">
        <x:v>42.5</x:v>
      </x:c>
      <x:c r="L3420" t="str">
        <x:v>RELATIF LONGGAR</x:v>
      </x:c>
      <x:c r="M3420" t="str">
        <x:v>SEDANG</x:v>
      </x:c>
      <x:c r="N3420" t="str">
        <x:v>REGULER</x:v>
      </x:c>
      <x:c r="O3420" t="str">
        <x:v>SAINTEK</x:v>
      </x:c>
      <x:c r="P3420" t="str">
        <x:v>UMUM</x:v>
      </x:c>
      <x:c r="Q3420" s="18" t="n">
        <x:v>0</x:v>
      </x:c>
      <x:c r="R3420" s="18" t="n">
        <x:v>0</x:v>
      </x:c>
      <x:c r="S3420" s="18" t="n">
        <x:v>556.0094827824963</x:v>
      </x:c>
      <x:c r="T3420" s="18" t="n">
        <x:v>645</x:v>
      </x:c>
      <x:c r="U3420" s="18" t="n">
        <x:v>556.0094827824963</x:v>
      </x:c>
      <x:c r="V3420" s="20" t="n">
        <x:v>12</x:v>
      </x:c>
      <x:c r="W3420" s="20" t="n">
        <x:v>5</x:v>
      </x:c>
      <x:c r="X3420" s="20" t="n">
        <x:v>3</x:v>
      </x:c>
      <x:c r="Y3420" t="str">
        <x:v>Basis arsip 2025/2024</x:v>
      </x:c>
      <x:c r="Z3420" t="str">
        <x:v>https://snpmb.id/utbk-snbt/daya-tampung-snbt</x:v>
      </x:c>
      <x:c r="AA3420" t="str">
        <x:v>Tidak Ada</x:v>
      </x:c>
      <x:c r="AB3420" t="str">
        <x:v>Campus=55; Ratio=19.3; Prodi=40; RelDemand=31.0; Capacity=73.3</x:v>
      </x:c>
    </x:row>
    <x:row r="3421">
      <x:c r="A3421" t="n">
        <x:v>3418</x:v>
      </x:c>
      <x:c r="B3421" t="str">
        <x:v>PTN Akademik</x:v>
      </x:c>
      <x:c r="C3421" t="str">
        <x:v>UNIVERSITAS TADULAKO</x:v>
      </x:c>
      <x:c r="D3421" t="str">
        <x:v>TEKNOLOGI REKAYASA INSTALASI LISTRIK</x:v>
      </x:c>
      <x:c r="E3421" t="str">
        <x:v>Sarjana Terapan</x:v>
      </x:c>
      <x:c r="F3421" s="18" t="n">
        <x:v>32</x:v>
      </x:c>
      <x:c r="G3421" s="18" t="n">
        <x:v>67</x:v>
      </x:c>
      <x:c r="H3421" s="19" t="n">
        <x:v>2.09375</x:v>
      </x:c>
      <x:c r="I3421" s="18" t="n">
        <x:f>ROUND(MIN(Model_Config_v3!$B$6,MAX(Q3421,R3421,S3421*Model_Config_v3!$B$4+T3421*Model_Config_v3!$B$5)),0)</x:f>
        <x:v>618</x:v>
      </x:c>
      <x:c r="J3421" s="18" t="n">
        <x:f>MIN(Model_Config_v3!$B$6,I3421+Model_Config_v3!$B$7)</x:f>
        <x:v>638</x:v>
      </x:c>
      <x:c r="K3421" s="20" t="n">
        <x:v>42.4</x:v>
      </x:c>
      <x:c r="L3421" t="str">
        <x:v>RELATIF LONGGAR</x:v>
      </x:c>
      <x:c r="M3421" t="str">
        <x:v>SEDANG</x:v>
      </x:c>
      <x:c r="N3421" t="str">
        <x:v>REGULER</x:v>
      </x:c>
      <x:c r="O3421" t="str">
        <x:v>SAINTEK</x:v>
      </x:c>
      <x:c r="P3421" t="str">
        <x:v>UMUM</x:v>
      </x:c>
      <x:c r="Q3421" s="18" t="n">
        <x:v>0</x:v>
      </x:c>
      <x:c r="R3421" s="18" t="n">
        <x:v>0</x:v>
      </x:c>
      <x:c r="S3421" s="18" t="n">
        <x:v>555.3017306819013</x:v>
      </x:c>
      <x:c r="T3421" s="18" t="n">
        <x:v>645</x:v>
      </x:c>
      <x:c r="U3421" s="18" t="n">
        <x:v>555.3017306819013</x:v>
      </x:c>
      <x:c r="V3421" s="20" t="n">
        <x:v>12</x:v>
      </x:c>
      <x:c r="W3421" s="20" t="n">
        <x:v>5</x:v>
      </x:c>
      <x:c r="X3421" s="20" t="n">
        <x:v>3</x:v>
      </x:c>
      <x:c r="Y3421" t="str">
        <x:v>Basis arsip 2025/2024</x:v>
      </x:c>
      <x:c r="Z3421" t="str">
        <x:v>https://snpmb.id/utbk-snbt/daya-tampung-snbt</x:v>
      </x:c>
      <x:c r="AA3421" t="str">
        <x:v>Tidak Ada</x:v>
      </x:c>
      <x:c r="AB3421" t="str">
        <x:v>Campus=55; Ratio=18.9; Prodi=40; RelDemand=30.5; Capacity=73.3</x:v>
      </x:c>
    </x:row>
    <x:row r="3422">
      <x:c r="A3422" t="n">
        <x:v>3419</x:v>
      </x:c>
      <x:c r="B3422" t="str">
        <x:v>PTN Akademik</x:v>
      </x:c>
      <x:c r="C3422" t="str">
        <x:v>UNIVERSITAS TADULAKO</x:v>
      </x:c>
      <x:c r="D3422" t="str">
        <x:v>AKUNTANSI SEKTOR PUBLIK</x:v>
      </x:c>
      <x:c r="E3422" t="str">
        <x:v>Sarjana Terapan</x:v>
      </x:c>
      <x:c r="F3422" s="18" t="n">
        <x:v>60</x:v>
      </x:c>
      <x:c r="G3422" s="18" t="n">
        <x:v>443</x:v>
      </x:c>
      <x:c r="H3422" s="19" t="n">
        <x:v>7.383333333333334</x:v>
      </x:c>
      <x:c r="I3422" s="18" t="n">
        <x:f>ROUND(MIN(Model_Config_v3!$B$6,MAX(Q3422,R3422,S3422*Model_Config_v3!$B$4+T3422*Model_Config_v3!$B$5)),0)</x:f>
        <x:v>661</x:v>
      </x:c>
      <x:c r="J3422" s="18" t="n">
        <x:f>MIN(Model_Config_v3!$B$6,I3422+Model_Config_v3!$B$7)</x:f>
        <x:v>681</x:v>
      </x:c>
      <x:c r="K3422" s="20" t="n">
        <x:v>60</x:v>
      </x:c>
      <x:c r="L3422" t="str">
        <x:v>KETAT</x:v>
      </x:c>
      <x:c r="M3422" t="str">
        <x:v>SEDANG+</x:v>
      </x:c>
      <x:c r="N3422" t="str">
        <x:v>REGULER</x:v>
      </x:c>
      <x:c r="O3422" t="str">
        <x:v>SOSHUM</x:v>
      </x:c>
      <x:c r="P3422" t="str">
        <x:v>BISNIS/EKONOMI/AKUNTANSI</x:v>
      </x:c>
      <x:c r="Q3422" s="18" t="n">
        <x:v>0</x:v>
      </x:c>
      <x:c r="R3422" s="18" t="n">
        <x:v>0</x:v>
      </x:c>
      <x:c r="S3422" s="18" t="n">
        <x:v>615.5077723423368</x:v>
      </x:c>
      <x:c r="T3422" s="18" t="n">
        <x:v>680</x:v>
      </x:c>
      <x:c r="U3422" s="18" t="n">
        <x:v>615.5077723423368</x:v>
      </x:c>
      <x:c r="V3422" s="20" t="n">
        <x:v>4.4</x:v>
      </x:c>
      <x:c r="W3422" s="20" t="n">
        <x:v>14.3</x:v>
      </x:c>
      <x:c r="X3422" s="20" t="n">
        <x:v>3.3</x:v>
      </x:c>
      <x:c r="Y3422" t="str">
        <x:v>Basis arsip 2025/2024</x:v>
      </x:c>
      <x:c r="Z3422" t="str">
        <x:v>https://snpmb.id/utbk-snbt/daya-tampung-snbt</x:v>
      </x:c>
      <x:c r="AA3422" t="str">
        <x:v>Tidak Ada</x:v>
      </x:c>
      <x:c r="AB3422" t="str">
        <x:v>Campus=55; Ratio=51.1; Prodi=65; RelDemand=100.0; Capacity=50.0</x:v>
      </x:c>
    </x:row>
    <x:row r="3423">
      <x:c r="A3423" t="n">
        <x:v>3420</x:v>
      </x:c>
      <x:c r="B3423" t="str">
        <x:v>PTN Akademik</x:v>
      </x:c>
      <x:c r="C3423" t="str">
        <x:v>UNIVERSITAS TADULAKO</x:v>
      </x:c>
      <x:c r="D3423" t="str">
        <x:v>TEKNOLOGI REKAYASA KONSTRUKSI JALAN DAN JEMBATAN</x:v>
      </x:c>
      <x:c r="E3423" t="str">
        <x:v>Sarjana Terapan</x:v>
      </x:c>
      <x:c r="F3423" s="18" t="n">
        <x:v>32</x:v>
      </x:c>
      <x:c r="G3423" s="18" t="n">
        <x:v>170</x:v>
      </x:c>
      <x:c r="H3423" s="19" t="n">
        <x:v>5.3125</x:v>
      </x:c>
      <x:c r="I3423" s="18" t="n">
        <x:f>ROUND(MIN(Model_Config_v3!$B$6,MAX(Q3423,R3423,S3423*Model_Config_v3!$B$4+T3423*Model_Config_v3!$B$5)),0)</x:f>
        <x:v>646</x:v>
      </x:c>
      <x:c r="J3423" s="18" t="n">
        <x:f>MIN(Model_Config_v3!$B$6,I3423+Model_Config_v3!$B$7)</x:f>
        <x:v>666</x:v>
      </x:c>
      <x:c r="K3423" s="20" t="n">
        <x:v>53</x:v>
      </x:c>
      <x:c r="L3423" t="str">
        <x:v>MENENGAH</x:v>
      </x:c>
      <x:c r="M3423" t="str">
        <x:v>SEDANG</x:v>
      </x:c>
      <x:c r="N3423" t="str">
        <x:v>REGULER</x:v>
      </x:c>
      <x:c r="O3423" t="str">
        <x:v>SAINTEK</x:v>
      </x:c>
      <x:c r="P3423" t="str">
        <x:v>UMUM</x:v>
      </x:c>
      <x:c r="Q3423" s="18" t="n">
        <x:v>0</x:v>
      </x:c>
      <x:c r="R3423" s="18" t="n">
        <x:v>0</x:v>
      </x:c>
      <x:c r="S3423" s="18" t="n">
        <x:v>599.7828837364204</x:v>
      </x:c>
      <x:c r="T3423" s="18" t="n">
        <x:v>666</x:v>
      </x:c>
      <x:c r="U3423" s="18" t="n">
        <x:v>599.7828837364204</x:v>
      </x:c>
      <x:c r="V3423" s="20" t="n">
        <x:v>12</x:v>
      </x:c>
      <x:c r="W3423" s="20" t="n">
        <x:v>5</x:v>
      </x:c>
      <x:c r="X3423" s="20" t="n">
        <x:v>3</x:v>
      </x:c>
      <x:c r="Y3423" t="str">
        <x:v>Basis arsip 2025/2024</x:v>
      </x:c>
      <x:c r="Z3423" t="str">
        <x:v>https://snpmb.id/utbk-snbt/daya-tampung-snbt</x:v>
      </x:c>
      <x:c r="AA3423" t="str">
        <x:v>Tidak Ada</x:v>
      </x:c>
      <x:c r="AB3423" t="str">
        <x:v>Campus=55; Ratio=42.7; Prodi=40; RelDemand=77.4; Capacity=73.3</x:v>
      </x:c>
    </x:row>
    <x:row r="3424">
      <x:c r="A3424" t="n">
        <x:v>3421</x:v>
      </x:c>
      <x:c r="B3424" t="str">
        <x:v>PTN Akademik</x:v>
      </x:c>
      <x:c r="C3424" t="str">
        <x:v>UNIVERSITAS TADULAKO</x:v>
      </x:c>
      <x:c r="D3424" t="str">
        <x:v>KEPERAWATAN</x:v>
      </x:c>
      <x:c r="E3424" t="str">
        <x:v>Diploma Tiga</x:v>
      </x:c>
      <x:c r="F3424" s="18" t="n">
        <x:v>65</x:v>
      </x:c>
      <x:c r="G3424" s="18" t="n">
        <x:v>841</x:v>
      </x:c>
      <x:c r="H3424" s="19" t="n">
        <x:v>12.938461538461539</x:v>
      </x:c>
      <x:c r="I3424" s="18" t="n">
        <x:f>ROUND(MIN(Model_Config_v3!$B$6,MAX(Q3424,R3424,S3424*Model_Config_v3!$B$4+T3424*Model_Config_v3!$B$5)),0)</x:f>
        <x:v>670</x:v>
      </x:c>
      <x:c r="J3424" s="18" t="n">
        <x:f>MIN(Model_Config_v3!$B$6,I3424+Model_Config_v3!$B$7)</x:f>
        <x:v>690</x:v>
      </x:c>
      <x:c r="K3424" s="20" t="n">
        <x:v>61.2</x:v>
      </x:c>
      <x:c r="L3424" t="str">
        <x:v>KETAT</x:v>
      </x:c>
      <x:c r="M3424" t="str">
        <x:v>SEDANG+</x:v>
      </x:c>
      <x:c r="N3424" t="str">
        <x:v>REGULER</x:v>
      </x:c>
      <x:c r="O3424" t="str">
        <x:v>SAINTEK</x:v>
      </x:c>
      <x:c r="P3424" t="str">
        <x:v>KESEHAT/GIZI/KEPERAWATAN</x:v>
      </x:c>
      <x:c r="Q3424" s="18" t="n">
        <x:v>0</x:v>
      </x:c>
      <x:c r="R3424" s="18" t="n">
        <x:v>0</x:v>
      </x:c>
      <x:c r="S3424" s="18" t="n">
        <x:v>642.3070903070562</x:v>
      </x:c>
      <x:c r="T3424" s="18" t="n">
        <x:v>682</x:v>
      </x:c>
      <x:c r="U3424" s="18" t="n">
        <x:v>642.3070903070562</x:v>
      </x:c>
      <x:c r="V3424" s="20" t="n">
        <x:v>12</x:v>
      </x:c>
      <x:c r="W3424" s="20" t="n">
        <x:v>5</x:v>
      </x:c>
      <x:c r="X3424" s="20" t="n">
        <x:v>3</x:v>
      </x:c>
      <x:c r="Y3424" t="str">
        <x:v>Basis arsip 2025/2024</x:v>
      </x:c>
      <x:c r="Z3424" t="str">
        <x:v>https://snpmb.id/utbk-snbt/daya-tampung-snbt</x:v>
      </x:c>
      <x:c r="AA3424" t="str">
        <x:v>Tidak Ada</x:v>
      </x:c>
      <x:c r="AB3424" t="str">
        <x:v>Campus=55; Ratio=65.4; Prodi=55; RelDemand=100.0; Capacity=45.8</x:v>
      </x:c>
    </x:row>
    <x:row r="3425">
      <x:c r="A3425" t="n">
        <x:v>3422</x:v>
      </x:c>
      <x:c r="B3425" t="str">
        <x:v>PTN Akademik</x:v>
      </x:c>
      <x:c r="C3425" t="str">
        <x:v>UNIVERSITAS TADULAKO</x:v>
      </x:c>
      <x:c r="D3425" t="str">
        <x:v>MANAJEMEN PEMASARAN</x:v>
      </x:c>
      <x:c r="E3425" t="str">
        <x:v>Diploma Tiga</x:v>
      </x:c>
      <x:c r="F3425" s="18" t="n">
        <x:v>20</x:v>
      </x:c>
      <x:c r="G3425" s="18" t="n">
        <x:v>664</x:v>
      </x:c>
      <x:c r="H3425" s="19" t="n">
        <x:v>33.2</x:v>
      </x:c>
      <x:c r="I3425" s="18" t="n">
        <x:f>ROUND(MIN(Model_Config_v3!$B$6,MAX(Q3425,R3425,S3425*Model_Config_v3!$B$4+T3425*Model_Config_v3!$B$5)),0)</x:f>
        <x:v>700</x:v>
      </x:c>
      <x:c r="J3425" s="18" t="n">
        <x:f>MIN(Model_Config_v3!$B$6,I3425+Model_Config_v3!$B$7)</x:f>
        <x:v>720</x:v>
      </x:c>
      <x:c r="K3425" s="20" t="n">
        <x:v>73</x:v>
      </x:c>
      <x:c r="L3425" t="str">
        <x:v>SANGAT KETAT</x:v>
      </x:c>
      <x:c r="M3425" t="str">
        <x:v>SEDANG+</x:v>
      </x:c>
      <x:c r="N3425" t="str">
        <x:v>REGULER</x:v>
      </x:c>
      <x:c r="O3425" t="str">
        <x:v>SOSHUM</x:v>
      </x:c>
      <x:c r="P3425" t="str">
        <x:v>BISNIS/EKONOMI/AKUNTANSI</x:v>
      </x:c>
      <x:c r="Q3425" s="18" t="n">
        <x:v>0</x:v>
      </x:c>
      <x:c r="R3425" s="18" t="n">
        <x:v>0</x:v>
      </x:c>
      <x:c r="S3425" s="18" t="n">
        <x:v>687.325189207444</x:v>
      </x:c>
      <x:c r="T3425" s="18" t="n">
        <x:v>706</x:v>
      </x:c>
      <x:c r="U3425" s="18" t="n">
        <x:v>702.325189207444</x:v>
      </x:c>
      <x:c r="V3425" s="20" t="n">
        <x:v>4.4</x:v>
      </x:c>
      <x:c r="W3425" s="20" t="n">
        <x:v>14.3</x:v>
      </x:c>
      <x:c r="X3425" s="20" t="n">
        <x:v>3.3</x:v>
      </x:c>
      <x:c r="Y3425" t="str">
        <x:v>Basis arsip 2025/2024</x:v>
      </x:c>
      <x:c r="Z3425" t="str">
        <x:v>https://snpmb.id/utbk-snbt/daya-tampung-snbt</x:v>
      </x:c>
      <x:c r="AA3425" t="str">
        <x:v>Tidak Ada</x:v>
      </x:c>
      <x:c r="AB3425" t="str">
        <x:v>Campus=55; Ratio=89.5; Prodi=65; RelDemand=100.0; Capacity=83.3</x:v>
      </x:c>
    </x:row>
    <x:row r="3426">
      <x:c r="A3426" t="n">
        <x:v>3423</x:v>
      </x:c>
      <x:c r="B3426" t="str">
        <x:v>PTN Akademik</x:v>
      </x:c>
      <x:c r="C3426" t="str">
        <x:v>UNIVERSITAS SULAWESI BARAT</x:v>
      </x:c>
      <x:c r="D3426" t="str">
        <x:v>AGRIBISNIS</x:v>
      </x:c>
      <x:c r="E3426" t="str">
        <x:v>Sarjana</x:v>
      </x:c>
      <x:c r="F3426" s="18" t="n">
        <x:v>87</x:v>
      </x:c>
      <x:c r="G3426" s="18" t="n">
        <x:v>172</x:v>
      </x:c>
      <x:c r="H3426" s="19" t="n">
        <x:v>1.9770114942528736</x:v>
      </x:c>
      <x:c r="I3426" s="18" t="n">
        <x:f>ROUND(MIN(Model_Config_v3!$B$6,MAX(Q3426,R3426,S3426*Model_Config_v3!$B$4+T3426*Model_Config_v3!$B$5)),0)</x:f>
        <x:v>622</x:v>
      </x:c>
      <x:c r="J3426" s="18" t="n">
        <x:f>MIN(Model_Config_v3!$B$6,I3426+Model_Config_v3!$B$7)</x:f>
        <x:v>642</x:v>
      </x:c>
      <x:c r="K3426" s="20" t="n">
        <x:v>46</x:v>
      </x:c>
      <x:c r="L3426" t="str">
        <x:v>MENENGAH</x:v>
      </x:c>
      <x:c r="M3426" t="str">
        <x:v>SEDANG+</x:v>
      </x:c>
      <x:c r="N3426" t="str">
        <x:v>REGULER</x:v>
      </x:c>
      <x:c r="O3426" t="str">
        <x:v>SOSHUM</x:v>
      </x:c>
      <x:c r="P3426" t="str">
        <x:v>BISNIS/EKONOMI/AKUNTANSI</x:v>
      </x:c>
      <x:c r="Q3426" s="18" t="n">
        <x:v>0</x:v>
      </x:c>
      <x:c r="R3426" s="18" t="n">
        <x:v>0</x:v>
      </x:c>
      <x:c r="S3426" s="18" t="n">
        <x:v>552.5610113717823</x:v>
      </x:c>
      <x:c r="T3426" s="18" t="n">
        <x:v>652</x:v>
      </x:c>
      <x:c r="U3426" s="18" t="n">
        <x:v>567.5610113717823</x:v>
      </x:c>
      <x:c r="V3426" s="20" t="n">
        <x:v>4.4</x:v>
      </x:c>
      <x:c r="W3426" s="20" t="n">
        <x:v>14.3</x:v>
      </x:c>
      <x:c r="X3426" s="20" t="n">
        <x:v>3.3</x:v>
      </x:c>
      <x:c r="Y3426" t="str">
        <x:v>Basis arsip 2025/2024</x:v>
      </x:c>
      <x:c r="Z3426" t="str">
        <x:v>https://snpmb.id/utbk-snbt/daya-tampung-snbt</x:v>
      </x:c>
      <x:c r="AA3426" t="str">
        <x:v>Tidak Ada</x:v>
      </x:c>
      <x:c r="AB3426" t="str">
        <x:v>Campus=55; Ratio=17.4; Prodi=65; RelDemand=66.9; Capacity=27.5</x:v>
      </x:c>
    </x:row>
    <x:row r="3427">
      <x:c r="A3427" t="n">
        <x:v>3424</x:v>
      </x:c>
      <x:c r="B3427" t="str">
        <x:v>PTN Akademik</x:v>
      </x:c>
      <x:c r="C3427" t="str">
        <x:v>UNIVERSITAS SULAWESI BARAT</x:v>
      </x:c>
      <x:c r="D3427" t="str">
        <x:v>KEHUTANAN</x:v>
      </x:c>
      <x:c r="E3427" t="str">
        <x:v>Sarjana</x:v>
      </x:c>
      <x:c r="F3427" s="18" t="n">
        <x:v>35</x:v>
      </x:c>
      <x:c r="G3427" s="18" t="n">
        <x:v>53</x:v>
      </x:c>
      <x:c r="H3427" s="19" t="n">
        <x:v>1.5142857142857142</x:v>
      </x:c>
      <x:c r="I3427" s="18" t="n">
        <x:f>ROUND(MIN(Model_Config_v3!$B$6,MAX(Q3427,R3427,S3427*Model_Config_v3!$B$4+T3427*Model_Config_v3!$B$5)),0)</x:f>
        <x:v>613</x:v>
      </x:c>
      <x:c r="J3427" s="18" t="n">
        <x:f>MIN(Model_Config_v3!$B$6,I3427+Model_Config_v3!$B$7)</x:f>
        <x:v>633</x:v>
      </x:c>
      <x:c r="K3427" s="20" t="n">
        <x:v>42.1</x:v>
      </x:c>
      <x:c r="L3427" t="str">
        <x:v>RELATIF LONGGAR</x:v>
      </x:c>
      <x:c r="M3427" t="str">
        <x:v>SEDANG</x:v>
      </x:c>
      <x:c r="N3427" t="str">
        <x:v>REGULER</x:v>
      </x:c>
      <x:c r="O3427" t="str">
        <x:v>CAMPURAN</x:v>
      </x:c>
      <x:c r="P3427" t="str">
        <x:v>UMUM</x:v>
      </x:c>
      <x:c r="Q3427" s="18" t="n">
        <x:v>0</x:v>
      </x:c>
      <x:c r="R3427" s="18" t="n">
        <x:v>0</x:v>
      </x:c>
      <x:c r="S3427" s="18" t="n">
        <x:v>539.8228607775565</x:v>
      </x:c>
      <x:c r="T3427" s="18" t="n">
        <x:v>644</x:v>
      </x:c>
      <x:c r="U3427" s="18" t="n">
        <x:v>539.8228607775565</x:v>
      </x:c>
      <x:c r="V3427" s="20" t="n">
        <x:v>8.8</x:v>
      </x:c>
      <x:c r="W3427" s="20" t="n">
        <x:v>9.9</x:v>
      </x:c>
      <x:c r="X3427" s="20" t="n">
        <x:v>3.3</x:v>
      </x:c>
      <x:c r="Y3427" t="str">
        <x:v>Basis arsip 2025/2024</x:v>
      </x:c>
      <x:c r="Z3427" t="str">
        <x:v>https://snpmb.id/utbk-snbt/daya-tampung-snbt</x:v>
      </x:c>
      <x:c r="AA3427" t="str">
        <x:v>Tidak Ada</x:v>
      </x:c>
      <x:c r="AB3427" t="str">
        <x:v>Campus=55; Ratio=10.6; Prodi=40; RelDemand=51.2; Capacity=70.8</x:v>
      </x:c>
    </x:row>
    <x:row r="3428">
      <x:c r="A3428" t="n">
        <x:v>3425</x:v>
      </x:c>
      <x:c r="B3428" t="str">
        <x:v>PTN Akademik</x:v>
      </x:c>
      <x:c r="C3428" t="str">
        <x:v>UNIVERSITAS SULAWESI BARAT</x:v>
      </x:c>
      <x:c r="D3428" t="str">
        <x:v>KEPERAWATAN</x:v>
      </x:c>
      <x:c r="E3428" t="str">
        <x:v>Sarjana</x:v>
      </x:c>
      <x:c r="F3428" s="18" t="n">
        <x:v>52</x:v>
      </x:c>
      <x:c r="G3428" s="18" t="n">
        <x:v>265</x:v>
      </x:c>
      <x:c r="H3428" s="19" t="n">
        <x:v>5.096153846153846</x:v>
      </x:c>
      <x:c r="I3428" s="18" t="n">
        <x:f>ROUND(MIN(Model_Config_v3!$B$6,MAX(Q3428,R3428,S3428*Model_Config_v3!$B$4+T3428*Model_Config_v3!$B$5)),0)</x:f>
        <x:v>650</x:v>
      </x:c>
      <x:c r="J3428" s="18" t="n">
        <x:f>MIN(Model_Config_v3!$B$6,I3428+Model_Config_v3!$B$7)</x:f>
        <x:v>670</x:v>
      </x:c>
      <x:c r="K3428" s="20" t="n">
        <x:v>56.3</x:v>
      </x:c>
      <x:c r="L3428" t="str">
        <x:v>KETAT</x:v>
      </x:c>
      <x:c r="M3428" t="str">
        <x:v>SEDANG+</x:v>
      </x:c>
      <x:c r="N3428" t="str">
        <x:v>REGULER</x:v>
      </x:c>
      <x:c r="O3428" t="str">
        <x:v>SAINTEK</x:v>
      </x:c>
      <x:c r="P3428" t="str">
        <x:v>KESEHAT/GIZI/KEPERAWATAN</x:v>
      </x:c>
      <x:c r="Q3428" s="18" t="n">
        <x:v>0</x:v>
      </x:c>
      <x:c r="R3428" s="18" t="n">
        <x:v>0</x:v>
      </x:c>
      <x:c r="S3428" s="18" t="n">
        <x:v>597.7966783332209</x:v>
      </x:c>
      <x:c r="T3428" s="18" t="n">
        <x:v>673</x:v>
      </x:c>
      <x:c r="U3428" s="18" t="n">
        <x:v>597.7966783332209</x:v>
      </x:c>
      <x:c r="V3428" s="20" t="n">
        <x:v>12</x:v>
      </x:c>
      <x:c r="W3428" s="20" t="n">
        <x:v>5</x:v>
      </x:c>
      <x:c r="X3428" s="20" t="n">
        <x:v>3</x:v>
      </x:c>
      <x:c r="Y3428" t="str">
        <x:v>Basis arsip 2025/2024</x:v>
      </x:c>
      <x:c r="Z3428" t="str">
        <x:v>https://snpmb.id/utbk-snbt/daya-tampung-snbt</x:v>
      </x:c>
      <x:c r="AA3428" t="str">
        <x:v>Tidak Ada</x:v>
      </x:c>
      <x:c r="AB3428" t="str">
        <x:v>Campus=55; Ratio=41.6; Prodi=55; RelDemand=100.0; Capacity=56.7</x:v>
      </x:c>
    </x:row>
    <x:row r="3429">
      <x:c r="A3429" t="n">
        <x:v>3426</x:v>
      </x:c>
      <x:c r="B3429" t="str">
        <x:v>PTN Akademik</x:v>
      </x:c>
      <x:c r="C3429" t="str">
        <x:v>UNIVERSITAS SULAWESI BARAT</x:v>
      </x:c>
      <x:c r="D3429" t="str">
        <x:v>TEKNIK SIPIL</x:v>
      </x:c>
      <x:c r="E3429" t="str">
        <x:v>Sarjana</x:v>
      </x:c>
      <x:c r="F3429" s="18" t="n">
        <x:v>60</x:v>
      </x:c>
      <x:c r="G3429" s="18" t="n">
        <x:v>147</x:v>
      </x:c>
      <x:c r="H3429" s="19" t="n">
        <x:v>2.45</x:v>
      </x:c>
      <x:c r="I3429" s="18" t="n">
        <x:f>ROUND(MIN(Model_Config_v3!$B$6,MAX(Q3429,R3429,S3429*Model_Config_v3!$B$4+T3429*Model_Config_v3!$B$5)),0)</x:f>
        <x:v>632</x:v>
      </x:c>
      <x:c r="J3429" s="18" t="n">
        <x:f>MIN(Model_Config_v3!$B$6,I3429+Model_Config_v3!$B$7)</x:f>
        <x:v>652</x:v>
      </x:c>
      <x:c r="K3429" s="20" t="n">
        <x:v>50.3</x:v>
      </x:c>
      <x:c r="L3429" t="str">
        <x:v>MENENGAH</x:v>
      </x:c>
      <x:c r="M3429" t="str">
        <x:v>SEDANG+</x:v>
      </x:c>
      <x:c r="N3429" t="str">
        <x:v>REGULER</x:v>
      </x:c>
      <x:c r="O3429" t="str">
        <x:v>SAINTEK</x:v>
      </x:c>
      <x:c r="P3429" t="str">
        <x:v>TEKNIK/ARSITEKTUR/STATISTIKA/AKTUARIA</x:v>
      </x:c>
      <x:c r="Q3429" s="18" t="n">
        <x:v>0</x:v>
      </x:c>
      <x:c r="R3429" s="18" t="n">
        <x:v>0</x:v>
      </x:c>
      <x:c r="S3429" s="18" t="n">
        <x:v>562.8082692800986</x:v>
      </x:c>
      <x:c r="T3429" s="18" t="n">
        <x:v>661</x:v>
      </x:c>
      <x:c r="U3429" s="18" t="n">
        <x:v>572.8082692800986</x:v>
      </x:c>
      <x:c r="V3429" s="20" t="n">
        <x:v>12</x:v>
      </x:c>
      <x:c r="W3429" s="20" t="n">
        <x:v>5</x:v>
      </x:c>
      <x:c r="X3429" s="20" t="n">
        <x:v>3</x:v>
      </x:c>
      <x:c r="Y3429" t="str">
        <x:v>Basis arsip 2025/2024</x:v>
      </x:c>
      <x:c r="Z3429" t="str">
        <x:v>https://snpmb.id/utbk-snbt/daya-tampung-snbt</x:v>
      </x:c>
      <x:c r="AA3429" t="str">
        <x:v>Tidak Ada</x:v>
      </x:c>
      <x:c r="AB3429" t="str">
        <x:v>Campus=55; Ratio=22.9; Prodi=60; RelDemand=82.9; Capacity=50.0</x:v>
      </x:c>
    </x:row>
    <x:row r="3430">
      <x:c r="A3430" t="n">
        <x:v>3427</x:v>
      </x:c>
      <x:c r="B3430" t="str">
        <x:v>PTN Akademik</x:v>
      </x:c>
      <x:c r="C3430" t="str">
        <x:v>UNIVERSITAS SULAWESI BARAT</x:v>
      </x:c>
      <x:c r="D3430" t="str">
        <x:v>INFORMATIKA</x:v>
      </x:c>
      <x:c r="E3430" t="str">
        <x:v>Sarjana</x:v>
      </x:c>
      <x:c r="F3430" s="18" t="n">
        <x:v>60</x:v>
      </x:c>
      <x:c r="G3430" s="18" t="n">
        <x:v>251</x:v>
      </x:c>
      <x:c r="H3430" s="19" t="n">
        <x:v>4.183333333333334</x:v>
      </x:c>
      <x:c r="I3430" s="18" t="n">
        <x:f>ROUND(MIN(Model_Config_v3!$B$6,MAX(Q3430,R3430,S3430*Model_Config_v3!$B$4+T3430*Model_Config_v3!$B$5)),0)</x:f>
        <x:v>653</x:v>
      </x:c>
      <x:c r="J3430" s="18" t="n">
        <x:f>MIN(Model_Config_v3!$B$6,I3430+Model_Config_v3!$B$7)</x:f>
        <x:v>673</x:v>
      </x:c>
      <x:c r="K3430" s="20" t="n">
        <x:v>60.4</x:v>
      </x:c>
      <x:c r="L3430" t="str">
        <x:v>KETAT</x:v>
      </x:c>
      <x:c r="M3430" t="str">
        <x:v>SEDANG+</x:v>
      </x:c>
      <x:c r="N3430" t="str">
        <x:v>REGULER</x:v>
      </x:c>
      <x:c r="O3430" t="str">
        <x:v>SAINTEK</x:v>
      </x:c>
      <x:c r="P3430" t="str">
        <x:v>KOMPUTER/INFORMATIKA</x:v>
      </x:c>
      <x:c r="Q3430" s="18" t="n">
        <x:v>0</x:v>
      </x:c>
      <x:c r="R3430" s="18" t="n">
        <x:v>0</x:v>
      </x:c>
      <x:c r="S3430" s="18" t="n">
        <x:v>588.3674718207134</x:v>
      </x:c>
      <x:c r="T3430" s="18" t="n">
        <x:v>681</x:v>
      </x:c>
      <x:c r="U3430" s="18" t="n">
        <x:v>613.3674718207134</x:v>
      </x:c>
      <x:c r="V3430" s="20" t="n">
        <x:v>12</x:v>
      </x:c>
      <x:c r="W3430" s="20" t="n">
        <x:v>5</x:v>
      </x:c>
      <x:c r="X3430" s="20" t="n">
        <x:v>3</x:v>
      </x:c>
      <x:c r="Y3430" t="str">
        <x:v>Basis arsip 2025/2024</x:v>
      </x:c>
      <x:c r="Z3430" t="str">
        <x:v>https://snpmb.id/utbk-snbt/daya-tampung-snbt</x:v>
      </x:c>
      <x:c r="AA3430" t="str">
        <x:v>Tidak Ada</x:v>
      </x:c>
      <x:c r="AB3430" t="str">
        <x:v>Campus=55; Ratio=36.6; Prodi=85; RelDemand=100.0; Capacity=50.0</x:v>
      </x:c>
    </x:row>
    <x:row r="3431">
      <x:c r="A3431" t="n">
        <x:v>3428</x:v>
      </x:c>
      <x:c r="B3431" t="str">
        <x:v>PTN Akademik</x:v>
      </x:c>
      <x:c r="C3431" t="str">
        <x:v>UNIVERSITAS SULAWESI BARAT</x:v>
      </x:c>
      <x:c r="D3431" t="str">
        <x:v>MATEMATIKA</x:v>
      </x:c>
      <x:c r="E3431" t="str">
        <x:v>Sarjana</x:v>
      </x:c>
      <x:c r="F3431" s="18" t="n">
        <x:v>17</x:v>
      </x:c>
      <x:c r="G3431" s="18" t="n">
        <x:v>14</x:v>
      </x:c>
      <x:c r="H3431" s="19" t="n">
        <x:v>0.8235294117647058</x:v>
      </x:c>
      <x:c r="I3431" s="18" t="n">
        <x:f>ROUND(MIN(Model_Config_v3!$B$6,MAX(Q3431,R3431,S3431*Model_Config_v3!$B$4+T3431*Model_Config_v3!$B$5)),0)</x:f>
        <x:v>605</x:v>
      </x:c>
      <x:c r="J3431" s="18" t="n">
        <x:f>MIN(Model_Config_v3!$B$6,I3431+Model_Config_v3!$B$7)</x:f>
        <x:v>625</x:v>
      </x:c>
      <x:c r="K3431" s="20" t="n">
        <x:v>40.6</x:v>
      </x:c>
      <x:c r="L3431" t="str">
        <x:v>RELATIF LONGGAR</x:v>
      </x:c>
      <x:c r="M3431" t="str">
        <x:v>SEDANG+</x:v>
      </x:c>
      <x:c r="N3431" t="str">
        <x:v>REGULER</x:v>
      </x:c>
      <x:c r="O3431" t="str">
        <x:v>SAINTEK</x:v>
      </x:c>
      <x:c r="P3431" t="str">
        <x:v>SAINS DASAR</x:v>
      </x:c>
      <x:c r="Q3431" s="18" t="n">
        <x:v>0</x:v>
      </x:c>
      <x:c r="R3431" s="18" t="n">
        <x:v>0</x:v>
      </x:c>
      <x:c r="S3431" s="18" t="n">
        <x:v>520</x:v>
      </x:c>
      <x:c r="T3431" s="18" t="n">
        <x:v>641</x:v>
      </x:c>
      <x:c r="U3431" s="18" t="n">
        <x:v>520</x:v>
      </x:c>
      <x:c r="V3431" s="20" t="n">
        <x:v>12</x:v>
      </x:c>
      <x:c r="W3431" s="20" t="n">
        <x:v>5</x:v>
      </x:c>
      <x:c r="X3431" s="20" t="n">
        <x:v>3</x:v>
      </x:c>
      <x:c r="Y3431" t="str">
        <x:v>Basis arsip 2025/2024</x:v>
      </x:c>
      <x:c r="Z3431" t="str">
        <x:v>https://snpmb.id/utbk-snbt/daya-tampung-snbt</x:v>
      </x:c>
      <x:c r="AA3431" t="str">
        <x:v>Tidak Ada</x:v>
      </x:c>
      <x:c r="AB3431" t="str">
        <x:v>Campus=55; Ratio=0.0; Prodi=50; RelDemand=27.9; Capacity=85.8</x:v>
      </x:c>
    </x:row>
    <x:row r="3432">
      <x:c r="A3432" t="n">
        <x:v>3429</x:v>
      </x:c>
      <x:c r="B3432" t="str">
        <x:v>PTN Akademik</x:v>
      </x:c>
      <x:c r="C3432" t="str">
        <x:v>UNIVERSITAS SULAWESI BARAT</x:v>
      </x:c>
      <x:c r="D3432" t="str">
        <x:v>PEND. MATEMATIKA</x:v>
      </x:c>
      <x:c r="E3432" t="str">
        <x:v>Sarjana</x:v>
      </x:c>
      <x:c r="F3432" s="18" t="n">
        <x:v>52</x:v>
      </x:c>
      <x:c r="G3432" s="18" t="n">
        <x:v>76</x:v>
      </x:c>
      <x:c r="H3432" s="19" t="n">
        <x:v>1.4615384615384615</x:v>
      </x:c>
      <x:c r="I3432" s="18" t="n">
        <x:f>ROUND(MIN(Model_Config_v3!$B$6,MAX(Q3432,R3432,S3432*Model_Config_v3!$B$4+T3432*Model_Config_v3!$B$5)),0)</x:f>
        <x:v>612</x:v>
      </x:c>
      <x:c r="J3432" s="18" t="n">
        <x:f>MIN(Model_Config_v3!$B$6,I3432+Model_Config_v3!$B$7)</x:f>
        <x:v>632</x:v>
      </x:c>
      <x:c r="K3432" s="20" t="n">
        <x:v>41.3</x:v>
      </x:c>
      <x:c r="L3432" t="str">
        <x:v>RELATIF LONGGAR</x:v>
      </x:c>
      <x:c r="M3432" t="str">
        <x:v>SEDANG+</x:v>
      </x:c>
      <x:c r="N3432" t="str">
        <x:v>REGULER</x:v>
      </x:c>
      <x:c r="O3432" t="str">
        <x:v>SAINTEK</x:v>
      </x:c>
      <x:c r="P3432" t="str">
        <x:v>PENDIDIKAN</x:v>
      </x:c>
      <x:c r="Q3432" s="18" t="n">
        <x:v>0</x:v>
      </x:c>
      <x:c r="R3432" s="18" t="n">
        <x:v>0</x:v>
      </x:c>
      <x:c r="S3432" s="18" t="n">
        <x:v>538.1291273510592</x:v>
      </x:c>
      <x:c r="T3432" s="18" t="n">
        <x:v>643</x:v>
      </x:c>
      <x:c r="U3432" s="18" t="n">
        <x:v>538.1291273510592</x:v>
      </x:c>
      <x:c r="V3432" s="20" t="n">
        <x:v>12</x:v>
      </x:c>
      <x:c r="W3432" s="20" t="n">
        <x:v>5</x:v>
      </x:c>
      <x:c r="X3432" s="20" t="n">
        <x:v>3</x:v>
      </x:c>
      <x:c r="Y3432" t="str">
        <x:v>Basis arsip 2025/2024</x:v>
      </x:c>
      <x:c r="Z3432" t="str">
        <x:v>https://snpmb.id/utbk-snbt/daya-tampung-snbt</x:v>
      </x:c>
      <x:c r="AA3432" t="str">
        <x:v>Tidak Ada</x:v>
      </x:c>
      <x:c r="AB3432" t="str">
        <x:v>Campus=55; Ratio=9.7; Prodi=45; RelDemand=49.5; Capacity=56.7</x:v>
      </x:c>
    </x:row>
    <x:row r="3433">
      <x:c r="A3433" t="n">
        <x:v>3430</x:v>
      </x:c>
      <x:c r="B3433" t="str">
        <x:v>PTN Akademik</x:v>
      </x:c>
      <x:c r="C3433" t="str">
        <x:v>UNIVERSITAS SULAWESI BARAT</x:v>
      </x:c>
      <x:c r="D3433" t="str">
        <x:v>PEND. BIOLOGI</x:v>
      </x:c>
      <x:c r="E3433" t="str">
        <x:v>Sarjana</x:v>
      </x:c>
      <x:c r="F3433" s="18" t="n">
        <x:v>60</x:v>
      </x:c>
      <x:c r="G3433" s="18" t="n">
        <x:v>65</x:v>
      </x:c>
      <x:c r="H3433" s="19" t="n">
        <x:v>1.0833333333333333</x:v>
      </x:c>
      <x:c r="I3433" s="18" t="n">
        <x:f>ROUND(MIN(Model_Config_v3!$B$6,MAX(Q3433,R3433,S3433*Model_Config_v3!$B$4+T3433*Model_Config_v3!$B$5)),0)</x:f>
        <x:v>602</x:v>
      </x:c>
      <x:c r="J3433" s="18" t="n">
        <x:f>MIN(Model_Config_v3!$B$6,I3433+Model_Config_v3!$B$7)</x:f>
        <x:v>622</x:v>
      </x:c>
      <x:c r="K3433" s="20" t="n">
        <x:v>37.4</x:v>
      </x:c>
      <x:c r="L3433" t="str">
        <x:v>RELATIF LONGGAR</x:v>
      </x:c>
      <x:c r="M3433" t="str">
        <x:v>SEDANG+</x:v>
      </x:c>
      <x:c r="N3433" t="str">
        <x:v>REGULER</x:v>
      </x:c>
      <x:c r="O3433" t="str">
        <x:v>SAINTEK</x:v>
      </x:c>
      <x:c r="P3433" t="str">
        <x:v>PENDIDIKAN</x:v>
      </x:c>
      <x:c r="Q3433" s="18" t="n">
        <x:v>0</x:v>
      </x:c>
      <x:c r="R3433" s="18" t="n">
        <x:v>0</x:v>
      </x:c>
      <x:c r="S3433" s="18" t="n">
        <x:v>523.8238316885133</x:v>
      </x:c>
      <x:c r="T3433" s="18" t="n">
        <x:v>635</x:v>
      </x:c>
      <x:c r="U3433" s="18" t="n">
        <x:v>523.8238316885133</x:v>
      </x:c>
      <x:c r="V3433" s="20" t="n">
        <x:v>12</x:v>
      </x:c>
      <x:c r="W3433" s="20" t="n">
        <x:v>5</x:v>
      </x:c>
      <x:c r="X3433" s="20" t="n">
        <x:v>3</x:v>
      </x:c>
      <x:c r="Y3433" t="str">
        <x:v>Basis arsip 2025/2024</x:v>
      </x:c>
      <x:c r="Z3433" t="str">
        <x:v>https://snpmb.id/utbk-snbt/daya-tampung-snbt</x:v>
      </x:c>
      <x:c r="AA3433" t="str">
        <x:v>Tidak Ada</x:v>
      </x:c>
      <x:c r="AB3433" t="str">
        <x:v>Campus=55; Ratio=2.0; Prodi=45; RelDemand=36.7; Capacity=50.0</x:v>
      </x:c>
    </x:row>
    <x:row r="3434">
      <x:c r="A3434" t="n">
        <x:v>3431</x:v>
      </x:c>
      <x:c r="B3434" t="str">
        <x:v>PTN Akademik</x:v>
      </x:c>
      <x:c r="C3434" t="str">
        <x:v>UNIVERSITAS SULAWESI BARAT</x:v>
      </x:c>
      <x:c r="D3434" t="str">
        <x:v>PEND. FISIKA</x:v>
      </x:c>
      <x:c r="E3434" t="str">
        <x:v>Sarjana</x:v>
      </x:c>
      <x:c r="F3434" s="18" t="n">
        <x:v>17</x:v>
      </x:c>
      <x:c r="G3434" s="18" t="n">
        <x:v>17</x:v>
      </x:c>
      <x:c r="H3434" s="19" t="n">
        <x:v>1</x:v>
      </x:c>
      <x:c r="I3434" s="18" t="n">
        <x:f>ROUND(MIN(Model_Config_v3!$B$6,MAX(Q3434,R3434,S3434*Model_Config_v3!$B$4+T3434*Model_Config_v3!$B$5)),0)</x:f>
        <x:v>604</x:v>
      </x:c>
      <x:c r="J3434" s="18" t="n">
        <x:f>MIN(Model_Config_v3!$B$6,I3434+Model_Config_v3!$B$7)</x:f>
        <x:v>624</x:v>
      </x:c>
      <x:c r="K3434" s="20" t="n">
        <x:v>40.2</x:v>
      </x:c>
      <x:c r="L3434" t="str">
        <x:v>RELATIF LONGGAR</x:v>
      </x:c>
      <x:c r="M3434" t="str">
        <x:v>SEDANG+</x:v>
      </x:c>
      <x:c r="N3434" t="str">
        <x:v>REGULER</x:v>
      </x:c>
      <x:c r="O3434" t="str">
        <x:v>SAINTEK</x:v>
      </x:c>
      <x:c r="P3434" t="str">
        <x:v>PENDIDIKAN</x:v>
      </x:c>
      <x:c r="Q3434" s="18" t="n">
        <x:v>0</x:v>
      </x:c>
      <x:c r="R3434" s="18" t="n">
        <x:v>0</x:v>
      </x:c>
      <x:c r="S3434" s="18" t="n">
        <x:v>520</x:v>
      </x:c>
      <x:c r="T3434" s="18" t="n">
        <x:v>640</x:v>
      </x:c>
      <x:c r="U3434" s="18" t="n">
        <x:v>520</x:v>
      </x:c>
      <x:c r="V3434" s="20" t="n">
        <x:v>12</x:v>
      </x:c>
      <x:c r="W3434" s="20" t="n">
        <x:v>5</x:v>
      </x:c>
      <x:c r="X3434" s="20" t="n">
        <x:v>3</x:v>
      </x:c>
      <x:c r="Y3434" t="str">
        <x:v>Basis arsip 2025/2024</x:v>
      </x:c>
      <x:c r="Z3434" t="str">
        <x:v>https://snpmb.id/utbk-snbt/daya-tampung-snbt</x:v>
      </x:c>
      <x:c r="AA3434" t="str">
        <x:v>Tidak Ada</x:v>
      </x:c>
      <x:c r="AB3434" t="str">
        <x:v>Campus=55; Ratio=0.0; Prodi=45; RelDemand=33.8; Capacity=85.8</x:v>
      </x:c>
    </x:row>
    <x:row r="3435">
      <x:c r="A3435" t="n">
        <x:v>3432</x:v>
      </x:c>
      <x:c r="B3435" t="str">
        <x:v>PTN Akademik</x:v>
      </x:c>
      <x:c r="C3435" t="str">
        <x:v>UNIVERSITAS SULAWESI BARAT</x:v>
      </x:c>
      <x:c r="D3435" t="str">
        <x:v>PETERNAKAN</x:v>
      </x:c>
      <x:c r="E3435" t="str">
        <x:v>Sarjana</x:v>
      </x:c>
      <x:c r="F3435" s="18" t="n">
        <x:v>52</x:v>
      </x:c>
      <x:c r="G3435" s="18" t="n">
        <x:v>43</x:v>
      </x:c>
      <x:c r="H3435" s="19" t="n">
        <x:v>0.8269230769230769</x:v>
      </x:c>
      <x:c r="I3435" s="18" t="n">
        <x:f>ROUND(MIN(Model_Config_v3!$B$6,MAX(Q3435,R3435,S3435*Model_Config_v3!$B$4+T3435*Model_Config_v3!$B$5)),0)</x:f>
        <x:v>598</x:v>
      </x:c>
      <x:c r="J3435" s="18" t="n">
        <x:f>MIN(Model_Config_v3!$B$6,I3435+Model_Config_v3!$B$7)</x:f>
        <x:v>618</x:v>
      </x:c>
      <x:c r="K3435" s="20" t="n">
        <x:v>35.7</x:v>
      </x:c>
      <x:c r="L3435" t="str">
        <x:v>RELATIF LONGGAR</x:v>
      </x:c>
      <x:c r="M3435" t="str">
        <x:v>SEDANG</x:v>
      </x:c>
      <x:c r="N3435" t="str">
        <x:v>REGULER</x:v>
      </x:c>
      <x:c r="O3435" t="str">
        <x:v>SAINTEK</x:v>
      </x:c>
      <x:c r="P3435" t="str">
        <x:v>UMUM</x:v>
      </x:c>
      <x:c r="Q3435" s="18" t="n">
        <x:v>0</x:v>
      </x:c>
      <x:c r="R3435" s="18" t="n">
        <x:v>0</x:v>
      </x:c>
      <x:c r="S3435" s="18" t="n">
        <x:v>520</x:v>
      </x:c>
      <x:c r="T3435" s="18" t="n">
        <x:v>631</x:v>
      </x:c>
      <x:c r="U3435" s="18" t="n">
        <x:v>520</x:v>
      </x:c>
      <x:c r="V3435" s="20" t="n">
        <x:v>12</x:v>
      </x:c>
      <x:c r="W3435" s="20" t="n">
        <x:v>5</x:v>
      </x:c>
      <x:c r="X3435" s="20" t="n">
        <x:v>3</x:v>
      </x:c>
      <x:c r="Y3435" t="str">
        <x:v>Basis arsip 2025/2024</x:v>
      </x:c>
      <x:c r="Z3435" t="str">
        <x:v>https://snpmb.id/utbk-snbt/daya-tampung-snbt</x:v>
      </x:c>
      <x:c r="AA3435" t="str">
        <x:v>Tidak Ada</x:v>
      </x:c>
      <x:c r="AB3435" t="str">
        <x:v>Campus=55; Ratio=0.0; Prodi=40; RelDemand=28.0; Capacity=56.7</x:v>
      </x:c>
    </x:row>
    <x:row r="3436">
      <x:c r="A3436" t="n">
        <x:v>3433</x:v>
      </x:c>
      <x:c r="B3436" t="str">
        <x:v>PTN Akademik</x:v>
      </x:c>
      <x:c r="C3436" t="str">
        <x:v>UNIVERSITAS SULAWESI BARAT</x:v>
      </x:c>
      <x:c r="D3436" t="str">
        <x:v>AKUAKULTUR</x:v>
      </x:c>
      <x:c r="E3436" t="str">
        <x:v>Sarjana</x:v>
      </x:c>
      <x:c r="F3436" s="18" t="n">
        <x:v>25</x:v>
      </x:c>
      <x:c r="G3436" s="18" t="n">
        <x:v>13</x:v>
      </x:c>
      <x:c r="H3436" s="19" t="n">
        <x:v>0.52</x:v>
      </x:c>
      <x:c r="I3436" s="18" t="n">
        <x:f>ROUND(MIN(Model_Config_v3!$B$6,MAX(Q3436,R3436,S3436*Model_Config_v3!$B$4+T3436*Model_Config_v3!$B$5)),0)</x:f>
        <x:v>600</x:v>
      </x:c>
      <x:c r="J3436" s="18" t="n">
        <x:f>MIN(Model_Config_v3!$B$6,I3436+Model_Config_v3!$B$7)</x:f>
        <x:v>620</x:v>
      </x:c>
      <x:c r="K3436" s="20" t="n">
        <x:v>36.9</x:v>
      </x:c>
      <x:c r="L3436" t="str">
        <x:v>RELATIF LONGGAR</x:v>
      </x:c>
      <x:c r="M3436" t="str">
        <x:v>SEDANG</x:v>
      </x:c>
      <x:c r="N3436" t="str">
        <x:v>REGULER</x:v>
      </x:c>
      <x:c r="O3436" t="str">
        <x:v>CAMPURAN</x:v>
      </x:c>
      <x:c r="P3436" t="str">
        <x:v>UMUM</x:v>
      </x:c>
      <x:c r="Q3436" s="18" t="n">
        <x:v>0</x:v>
      </x:c>
      <x:c r="R3436" s="18" t="n">
        <x:v>0</x:v>
      </x:c>
      <x:c r="S3436" s="18" t="n">
        <x:v>520</x:v>
      </x:c>
      <x:c r="T3436" s="18" t="n">
        <x:v>634</x:v>
      </x:c>
      <x:c r="U3436" s="18" t="n">
        <x:v>520</x:v>
      </x:c>
      <x:c r="V3436" s="20" t="n">
        <x:v>8.8</x:v>
      </x:c>
      <x:c r="W3436" s="20" t="n">
        <x:v>9.9</x:v>
      </x:c>
      <x:c r="X3436" s="20" t="n">
        <x:v>3.3</x:v>
      </x:c>
      <x:c r="Y3436" t="str">
        <x:v>Basis arsip 2025/2024</x:v>
      </x:c>
      <x:c r="Z3436" t="str">
        <x:v>https://snpmb.id/utbk-snbt/daya-tampung-snbt</x:v>
      </x:c>
      <x:c r="AA3436" t="str">
        <x:v>Tidak Ada</x:v>
      </x:c>
      <x:c r="AB3436" t="str">
        <x:v>Campus=55; Ratio=0.0; Prodi=40; RelDemand=17.6; Capacity=79.2</x:v>
      </x:c>
    </x:row>
    <x:row r="3437">
      <x:c r="A3437" t="n">
        <x:v>3434</x:v>
      </x:c>
      <x:c r="B3437" t="str">
        <x:v>PTN Akademik</x:v>
      </x:c>
      <x:c r="C3437" t="str">
        <x:v>UNIVERSITAS SULAWESI BARAT</x:v>
      </x:c>
      <x:c r="D3437" t="str">
        <x:v>PERIKANAN TANGKAP</x:v>
      </x:c>
      <x:c r="E3437" t="str">
        <x:v>Sarjana</x:v>
      </x:c>
      <x:c r="F3437" s="18" t="n">
        <x:v>35</x:v>
      </x:c>
      <x:c r="G3437" s="18" t="n">
        <x:v>20</x:v>
      </x:c>
      <x:c r="H3437" s="19" t="n">
        <x:v>0.5714285714285714</x:v>
      </x:c>
      <x:c r="I3437" s="18" t="n">
        <x:f>ROUND(MIN(Model_Config_v3!$B$6,MAX(Q3437,R3437,S3437*Model_Config_v3!$B$4+T3437*Model_Config_v3!$B$5)),0)</x:f>
        <x:v>599</x:v>
      </x:c>
      <x:c r="J3437" s="18" t="n">
        <x:f>MIN(Model_Config_v3!$B$6,I3437+Model_Config_v3!$B$7)</x:f>
        <x:v>619</x:v>
      </x:c>
      <x:c r="K3437" s="20" t="n">
        <x:v>36.3</x:v>
      </x:c>
      <x:c r="L3437" t="str">
        <x:v>RELATIF LONGGAR</x:v>
      </x:c>
      <x:c r="M3437" t="str">
        <x:v>SEDANG</x:v>
      </x:c>
      <x:c r="N3437" t="str">
        <x:v>REGULER</x:v>
      </x:c>
      <x:c r="O3437" t="str">
        <x:v>SAINTEK</x:v>
      </x:c>
      <x:c r="P3437" t="str">
        <x:v>UMUM</x:v>
      </x:c>
      <x:c r="Q3437" s="18" t="n">
        <x:v>0</x:v>
      </x:c>
      <x:c r="R3437" s="18" t="n">
        <x:v>0</x:v>
      </x:c>
      <x:c r="S3437" s="18" t="n">
        <x:v>520</x:v>
      </x:c>
      <x:c r="T3437" s="18" t="n">
        <x:v>633</x:v>
      </x:c>
      <x:c r="U3437" s="18" t="n">
        <x:v>520</x:v>
      </x:c>
      <x:c r="V3437" s="20" t="n">
        <x:v>12</x:v>
      </x:c>
      <x:c r="W3437" s="20" t="n">
        <x:v>5</x:v>
      </x:c>
      <x:c r="X3437" s="20" t="n">
        <x:v>3</x:v>
      </x:c>
      <x:c r="Y3437" t="str">
        <x:v>Basis arsip 2025/2024</x:v>
      </x:c>
      <x:c r="Z3437" t="str">
        <x:v>https://snpmb.id/utbk-snbt/daya-tampung-snbt</x:v>
      </x:c>
      <x:c r="AA3437" t="str">
        <x:v>Tidak Ada</x:v>
      </x:c>
      <x:c r="AB3437" t="str">
        <x:v>Campus=55; Ratio=0.0; Prodi=40; RelDemand=19.3; Capacity=70.8</x:v>
      </x:c>
    </x:row>
    <x:row r="3438">
      <x:c r="A3438" t="n">
        <x:v>3435</x:v>
      </x:c>
      <x:c r="B3438" t="str">
        <x:v>PTN Akademik</x:v>
      </x:c>
      <x:c r="C3438" t="str">
        <x:v>UNIVERSITAS SULAWESI BARAT</x:v>
      </x:c>
      <x:c r="D3438" t="str">
        <x:v>AGROEKOTEKNOLOGI</x:v>
      </x:c>
      <x:c r="E3438" t="str">
        <x:v>Sarjana</x:v>
      </x:c>
      <x:c r="F3438" s="18" t="n">
        <x:v>35</x:v>
      </x:c>
      <x:c r="G3438" s="18" t="n">
        <x:v>28</x:v>
      </x:c>
      <x:c r="H3438" s="19" t="n">
        <x:v>0.8</x:v>
      </x:c>
      <x:c r="I3438" s="18" t="n">
        <x:f>ROUND(MIN(Model_Config_v3!$B$6,MAX(Q3438,R3438,S3438*Model_Config_v3!$B$4+T3438*Model_Config_v3!$B$5)),0)</x:f>
        <x:v>600</x:v>
      </x:c>
      <x:c r="J3438" s="18" t="n">
        <x:f>MIN(Model_Config_v3!$B$6,I3438+Model_Config_v3!$B$7)</x:f>
        <x:v>620</x:v>
      </x:c>
      <x:c r="K3438" s="20" t="n">
        <x:v>37</x:v>
      </x:c>
      <x:c r="L3438" t="str">
        <x:v>RELATIF LONGGAR</x:v>
      </x:c>
      <x:c r="M3438" t="str">
        <x:v>SEDANG</x:v>
      </x:c>
      <x:c r="N3438" t="str">
        <x:v>REGULER</x:v>
      </x:c>
      <x:c r="O3438" t="str">
        <x:v>SAINTEK</x:v>
      </x:c>
      <x:c r="P3438" t="str">
        <x:v>UMUM</x:v>
      </x:c>
      <x:c r="Q3438" s="18" t="n">
        <x:v>0</x:v>
      </x:c>
      <x:c r="R3438" s="18" t="n">
        <x:v>0</x:v>
      </x:c>
      <x:c r="S3438" s="18" t="n">
        <x:v>520</x:v>
      </x:c>
      <x:c r="T3438" s="18" t="n">
        <x:v>634</x:v>
      </x:c>
      <x:c r="U3438" s="18" t="n">
        <x:v>520</x:v>
      </x:c>
      <x:c r="V3438" s="20" t="n">
        <x:v>12</x:v>
      </x:c>
      <x:c r="W3438" s="20" t="n">
        <x:v>5</x:v>
      </x:c>
      <x:c r="X3438" s="20" t="n">
        <x:v>3</x:v>
      </x:c>
      <x:c r="Y3438" t="str">
        <x:v>Basis arsip 2025/2024</x:v>
      </x:c>
      <x:c r="Z3438" t="str">
        <x:v>https://snpmb.id/utbk-snbt/daya-tampung-snbt</x:v>
      </x:c>
      <x:c r="AA3438" t="str">
        <x:v>Tidak Ada</x:v>
      </x:c>
      <x:c r="AB3438" t="str">
        <x:v>Campus=55; Ratio=0.0; Prodi=40; RelDemand=27.1; Capacity=70.8</x:v>
      </x:c>
    </x:row>
    <x:row r="3439">
      <x:c r="A3439" t="n">
        <x:v>3436</x:v>
      </x:c>
      <x:c r="B3439" t="str">
        <x:v>PTN Akademik</x:v>
      </x:c>
      <x:c r="C3439" t="str">
        <x:v>UNIVERSITAS SULAWESI BARAT</x:v>
      </x:c>
      <x:c r="D3439" t="str">
        <x:v>PERENCANAAN WILAYAH DAN KOTA</x:v>
      </x:c>
      <x:c r="E3439" t="str">
        <x:v>Sarjana</x:v>
      </x:c>
      <x:c r="F3439" s="18" t="n">
        <x:v>52</x:v>
      </x:c>
      <x:c r="G3439" s="18" t="n">
        <x:v>41</x:v>
      </x:c>
      <x:c r="H3439" s="19" t="n">
        <x:v>0.7884615384615384</x:v>
      </x:c>
      <x:c r="I3439" s="18" t="n">
        <x:f>ROUND(MIN(Model_Config_v3!$B$6,MAX(Q3439,R3439,S3439*Model_Config_v3!$B$4+T3439*Model_Config_v3!$B$5)),0)</x:f>
        <x:v>598</x:v>
      </x:c>
      <x:c r="J3439" s="18" t="n">
        <x:f>MIN(Model_Config_v3!$B$6,I3439+Model_Config_v3!$B$7)</x:f>
        <x:v>618</x:v>
      </x:c>
      <x:c r="K3439" s="20" t="n">
        <x:v>35.6</x:v>
      </x:c>
      <x:c r="L3439" t="str">
        <x:v>RELATIF LONGGAR</x:v>
      </x:c>
      <x:c r="M3439" t="str">
        <x:v>SEDANG</x:v>
      </x:c>
      <x:c r="N3439" t="str">
        <x:v>REGULER</x:v>
      </x:c>
      <x:c r="O3439" t="str">
        <x:v>CAMPURAN</x:v>
      </x:c>
      <x:c r="P3439" t="str">
        <x:v>UMUM</x:v>
      </x:c>
      <x:c r="Q3439" s="18" t="n">
        <x:v>0</x:v>
      </x:c>
      <x:c r="R3439" s="18" t="n">
        <x:v>0</x:v>
      </x:c>
      <x:c r="S3439" s="18" t="n">
        <x:v>520</x:v>
      </x:c>
      <x:c r="T3439" s="18" t="n">
        <x:v>631</x:v>
      </x:c>
      <x:c r="U3439" s="18" t="n">
        <x:v>520</x:v>
      </x:c>
      <x:c r="V3439" s="20" t="n">
        <x:v>8.8</x:v>
      </x:c>
      <x:c r="W3439" s="20" t="n">
        <x:v>9.9</x:v>
      </x:c>
      <x:c r="X3439" s="20" t="n">
        <x:v>3.3</x:v>
      </x:c>
      <x:c r="Y3439" t="str">
        <x:v>Basis arsip 2025/2024</x:v>
      </x:c>
      <x:c r="Z3439" t="str">
        <x:v>https://snpmb.id/utbk-snbt/daya-tampung-snbt</x:v>
      </x:c>
      <x:c r="AA3439" t="str">
        <x:v>Tidak Ada</x:v>
      </x:c>
      <x:c r="AB3439" t="str">
        <x:v>Campus=55; Ratio=0.0; Prodi=40; RelDemand=26.7; Capacity=56.7</x:v>
      </x:c>
    </x:row>
    <x:row r="3440">
      <x:c r="A3440" t="n">
        <x:v>3437</x:v>
      </x:c>
      <x:c r="B3440" t="str">
        <x:v>PTN Akademik</x:v>
      </x:c>
      <x:c r="C3440" t="str">
        <x:v>UNIVERSITAS SULAWESI BARAT</x:v>
      </x:c>
      <x:c r="D3440" t="str">
        <x:v>STATISTIKA</x:v>
      </x:c>
      <x:c r="E3440" t="str">
        <x:v>Sarjana</x:v>
      </x:c>
      <x:c r="F3440" s="18" t="n">
        <x:v>35</x:v>
      </x:c>
      <x:c r="G3440" s="18" t="n">
        <x:v>27</x:v>
      </x:c>
      <x:c r="H3440" s="19" t="n">
        <x:v>0.7714285714285715</x:v>
      </x:c>
      <x:c r="I3440" s="18" t="n">
        <x:f>ROUND(MIN(Model_Config_v3!$B$6,MAX(Q3440,R3440,S3440*Model_Config_v3!$B$4+T3440*Model_Config_v3!$B$5)),0)</x:f>
        <x:v>605</x:v>
      </x:c>
      <x:c r="J3440" s="18" t="n">
        <x:f>MIN(Model_Config_v3!$B$6,I3440+Model_Config_v3!$B$7)</x:f>
        <x:v>625</x:v>
      </x:c>
      <x:c r="K3440" s="20" t="n">
        <x:v>40.9</x:v>
      </x:c>
      <x:c r="L3440" t="str">
        <x:v>RELATIF LONGGAR</x:v>
      </x:c>
      <x:c r="M3440" t="str">
        <x:v>SEDANG+</x:v>
      </x:c>
      <x:c r="N3440" t="str">
        <x:v>REGULER</x:v>
      </x:c>
      <x:c r="O3440" t="str">
        <x:v>SAINTEK</x:v>
      </x:c>
      <x:c r="P3440" t="str">
        <x:v>TEKNIK/ARSITEKTUR/STATISTIKA/AKTUARIA</x:v>
      </x:c>
      <x:c r="Q3440" s="18" t="n">
        <x:v>0</x:v>
      </x:c>
      <x:c r="R3440" s="18" t="n">
        <x:v>0</x:v>
      </x:c>
      <x:c r="S3440" s="18" t="n">
        <x:v>520</x:v>
      </x:c>
      <x:c r="T3440" s="18" t="n">
        <x:v>642</x:v>
      </x:c>
      <x:c r="U3440" s="18" t="n">
        <x:v>530</x:v>
      </x:c>
      <x:c r="V3440" s="20" t="n">
        <x:v>12</x:v>
      </x:c>
      <x:c r="W3440" s="20" t="n">
        <x:v>5</x:v>
      </x:c>
      <x:c r="X3440" s="20" t="n">
        <x:v>3</x:v>
      </x:c>
      <x:c r="Y3440" t="str">
        <x:v>Basis arsip 2025/2024</x:v>
      </x:c>
      <x:c r="Z3440" t="str">
        <x:v>https://snpmb.id/utbk-snbt/daya-tampung-snbt</x:v>
      </x:c>
      <x:c r="AA3440" t="str">
        <x:v>Tidak Ada</x:v>
      </x:c>
      <x:c r="AB3440" t="str">
        <x:v>Campus=55; Ratio=0.0; Prodi=60; RelDemand=26.1; Capacity=70.8</x:v>
      </x:c>
    </x:row>
    <x:row r="3441">
      <x:c r="A3441" t="n">
        <x:v>3438</x:v>
      </x:c>
      <x:c r="B3441" t="str">
        <x:v>PTN Akademik</x:v>
      </x:c>
      <x:c r="C3441" t="str">
        <x:v>UNIVERSITAS SULAWESI BARAT</x:v>
      </x:c>
      <x:c r="D3441" t="str">
        <x:v>GIZI</x:v>
      </x:c>
      <x:c r="E3441" t="str">
        <x:v>Sarjana</x:v>
      </x:c>
      <x:c r="F3441" s="18" t="n">
        <x:v>45</x:v>
      </x:c>
      <x:c r="G3441" s="18" t="n">
        <x:v>164</x:v>
      </x:c>
      <x:c r="H3441" s="19" t="n">
        <x:v>3.6444444444444444</x:v>
      </x:c>
      <x:c r="I3441" s="18" t="n">
        <x:f>ROUND(MIN(Model_Config_v3!$B$6,MAX(Q3441,R3441,S3441*Model_Config_v3!$B$4+T3441*Model_Config_v3!$B$5)),0)</x:f>
        <x:v>644</x:v>
      </x:c>
      <x:c r="J3441" s="18" t="n">
        <x:f>MIN(Model_Config_v3!$B$6,I3441+Model_Config_v3!$B$7)</x:f>
        <x:v>664</x:v>
      </x:c>
      <x:c r="K3441" s="20" t="n">
        <x:v>54.8</x:v>
      </x:c>
      <x:c r="L3441" t="str">
        <x:v>MENENGAH</x:v>
      </x:c>
      <x:c r="M3441" t="str">
        <x:v>SEDANG+</x:v>
      </x:c>
      <x:c r="N3441" t="str">
        <x:v>REGULER</x:v>
      </x:c>
      <x:c r="O3441" t="str">
        <x:v>SAINTEK</x:v>
      </x:c>
      <x:c r="P3441" t="str">
        <x:v>KESEHAT/GIZI/KEPERAWATAN</x:v>
      </x:c>
      <x:c r="Q3441" s="18" t="n">
        <x:v>0</x:v>
      </x:c>
      <x:c r="R3441" s="18" t="n">
        <x:v>0</x:v>
      </x:c>
      <x:c r="S3441" s="18" t="n">
        <x:v>581.7794467699589</x:v>
      </x:c>
      <x:c r="T3441" s="18" t="n">
        <x:v>670</x:v>
      </x:c>
      <x:c r="U3441" s="18" t="n">
        <x:v>581.7794467699589</x:v>
      </x:c>
      <x:c r="V3441" s="20" t="n">
        <x:v>12</x:v>
      </x:c>
      <x:c r="W3441" s="20" t="n">
        <x:v>5</x:v>
      </x:c>
      <x:c r="X3441" s="20" t="n">
        <x:v>3</x:v>
      </x:c>
      <x:c r="Y3441" t="str">
        <x:v>Basis arsip 2025/2024</x:v>
      </x:c>
      <x:c r="Z3441" t="str">
        <x:v>https://snpmb.id/utbk-snbt/daya-tampung-snbt</x:v>
      </x:c>
      <x:c r="AA3441" t="str">
        <x:v>Tidak Ada</x:v>
      </x:c>
      <x:c r="AB3441" t="str">
        <x:v>Campus=55; Ratio=33.1; Prodi=55; RelDemand=100.0; Capacity=62.5</x:v>
      </x:c>
    </x:row>
    <x:row r="3442">
      <x:c r="A3442" t="n">
        <x:v>3439</x:v>
      </x:c>
      <x:c r="B3442" t="str">
        <x:v>PTN Akademik</x:v>
      </x:c>
      <x:c r="C3442" t="str">
        <x:v>UNIVERSITAS SULAWESI BARAT</x:v>
      </x:c>
      <x:c r="D3442" t="str">
        <x:v>ADMINISTRASI KESEHATAN</x:v>
      </x:c>
      <x:c r="E3442" t="str">
        <x:v>Sarjana</x:v>
      </x:c>
      <x:c r="F3442" s="18" t="n">
        <x:v>45</x:v>
      </x:c>
      <x:c r="G3442" s="18" t="n">
        <x:v>195</x:v>
      </x:c>
      <x:c r="H3442" s="19" t="n">
        <x:v>4.333333333333333</x:v>
      </x:c>
      <x:c r="I3442" s="18" t="n">
        <x:f>ROUND(MIN(Model_Config_v3!$B$6,MAX(Q3442,R3442,S3442*Model_Config_v3!$B$4+T3442*Model_Config_v3!$B$5)),0)</x:f>
        <x:v>647</x:v>
      </x:c>
      <x:c r="J3442" s="18" t="n">
        <x:f>MIN(Model_Config_v3!$B$6,I3442+Model_Config_v3!$B$7)</x:f>
        <x:v>667</x:v>
      </x:c>
      <x:c r="K3442" s="20" t="n">
        <x:v>55.9</x:v>
      </x:c>
      <x:c r="L3442" t="str">
        <x:v>KETAT</x:v>
      </x:c>
      <x:c r="M3442" t="str">
        <x:v>SEDANG+</x:v>
      </x:c>
      <x:c r="N3442" t="str">
        <x:v>REGULER</x:v>
      </x:c>
      <x:c r="O3442" t="str">
        <x:v>SAINTEK</x:v>
      </x:c>
      <x:c r="P3442" t="str">
        <x:v>KESEHAT/GIZI/KEPERAWATAN</x:v>
      </x:c>
      <x:c r="Q3442" s="18" t="n">
        <x:v>0</x:v>
      </x:c>
      <x:c r="R3442" s="18" t="n">
        <x:v>0</x:v>
      </x:c>
      <x:c r="S3442" s="18" t="n">
        <x:v>590.0504307345892</x:v>
      </x:c>
      <x:c r="T3442" s="18" t="n">
        <x:v>672</x:v>
      </x:c>
      <x:c r="U3442" s="18" t="n">
        <x:v>590.0504307345892</x:v>
      </x:c>
      <x:c r="V3442" s="20" t="n">
        <x:v>12</x:v>
      </x:c>
      <x:c r="W3442" s="20" t="n">
        <x:v>5</x:v>
      </x:c>
      <x:c r="X3442" s="20" t="n">
        <x:v>3</x:v>
      </x:c>
      <x:c r="Y3442" t="str">
        <x:v>Basis arsip 2025/2024</x:v>
      </x:c>
      <x:c r="Z3442" t="str">
        <x:v>https://snpmb.id/utbk-snbt/daya-tampung-snbt</x:v>
      </x:c>
      <x:c r="AA3442" t="str">
        <x:v>Tidak Ada</x:v>
      </x:c>
      <x:c r="AB3442" t="str">
        <x:v>Campus=55; Ratio=37.5; Prodi=55; RelDemand=100.0; Capacity=62.5</x:v>
      </x:c>
    </x:row>
    <x:row r="3443">
      <x:c r="A3443" t="n">
        <x:v>3440</x:v>
      </x:c>
      <x:c r="B3443" t="str">
        <x:v>PTN Akademik</x:v>
      </x:c>
      <x:c r="C3443" t="str">
        <x:v>UNIVERSITAS SULAWESI BARAT</x:v>
      </x:c>
      <x:c r="D3443" t="str">
        <x:v>TEKNOLOGI HASIL PERTANIAN</x:v>
      </x:c>
      <x:c r="E3443" t="str">
        <x:v>Sarjana</x:v>
      </x:c>
      <x:c r="F3443" s="18" t="n">
        <x:v>35</x:v>
      </x:c>
      <x:c r="G3443" s="18" t="n">
        <x:v>41</x:v>
      </x:c>
      <x:c r="H3443" s="19" t="n">
        <x:v>1.1714285714285715</x:v>
      </x:c>
      <x:c r="I3443" s="18" t="n">
        <x:f>ROUND(MIN(Model_Config_v3!$B$6,MAX(Q3443,R3443,S3443*Model_Config_v3!$B$4+T3443*Model_Config_v3!$B$5)),0)</x:f>
        <x:v>606</x:v>
      </x:c>
      <x:c r="J3443" s="18" t="n">
        <x:f>MIN(Model_Config_v3!$B$6,I3443+Model_Config_v3!$B$7)</x:f>
        <x:v>626</x:v>
      </x:c>
      <x:c r="K3443" s="20" t="n">
        <x:v>39.3</x:v>
      </x:c>
      <x:c r="L3443" t="str">
        <x:v>RELATIF LONGGAR</x:v>
      </x:c>
      <x:c r="M3443" t="str">
        <x:v>SEDANG</x:v>
      </x:c>
      <x:c r="N3443" t="str">
        <x:v>REGULER</x:v>
      </x:c>
      <x:c r="O3443" t="str">
        <x:v>SAINTEK</x:v>
      </x:c>
      <x:c r="P3443" t="str">
        <x:v>UMUM</x:v>
      </x:c>
      <x:c r="Q3443" s="18" t="n">
        <x:v>0</x:v>
      </x:c>
      <x:c r="R3443" s="18" t="n">
        <x:v>0</x:v>
      </x:c>
      <x:c r="S3443" s="18" t="n">
        <x:v>527.5587393606406</x:v>
      </x:c>
      <x:c r="T3443" s="18" t="n">
        <x:v>639</x:v>
      </x:c>
      <x:c r="U3443" s="18" t="n">
        <x:v>527.5587393606406</x:v>
      </x:c>
      <x:c r="V3443" s="20" t="n">
        <x:v>12</x:v>
      </x:c>
      <x:c r="W3443" s="20" t="n">
        <x:v>5</x:v>
      </x:c>
      <x:c r="X3443" s="20" t="n">
        <x:v>3</x:v>
      </x:c>
      <x:c r="Y3443" t="str">
        <x:v>Basis arsip 2025/2024</x:v>
      </x:c>
      <x:c r="Z3443" t="str">
        <x:v>https://snpmb.id/utbk-snbt/daya-tampung-snbt</x:v>
      </x:c>
      <x:c r="AA3443" t="str">
        <x:v>Tidak Ada</x:v>
      </x:c>
      <x:c r="AB3443" t="str">
        <x:v>Campus=55; Ratio=4.0; Prodi=40; RelDemand=39.6; Capacity=70.8</x:v>
      </x:c>
    </x:row>
    <x:row r="3444">
      <x:c r="A3444" t="n">
        <x:v>3441</x:v>
      </x:c>
      <x:c r="B3444" t="str">
        <x:v>PTN Akademik</x:v>
      </x:c>
      <x:c r="C3444" t="str">
        <x:v>UNIVERSITAS SULAWESI BARAT</x:v>
      </x:c>
      <x:c r="D3444" t="str">
        <x:v>MANAJEMEN</x:v>
      </x:c>
      <x:c r="E3444" t="str">
        <x:v>Sarjana</x:v>
      </x:c>
      <x:c r="F3444" s="18" t="n">
        <x:v>122</x:v>
      </x:c>
      <x:c r="G3444" s="18" t="n">
        <x:v>412</x:v>
      </x:c>
      <x:c r="H3444" s="19" t="n">
        <x:v>3.377049180327869</x:v>
      </x:c>
      <x:c r="I3444" s="18" t="n">
        <x:f>ROUND(MIN(Model_Config_v3!$B$6,MAX(Q3444,R3444,S3444*Model_Config_v3!$B$4+T3444*Model_Config_v3!$B$5)),0)</x:f>
        <x:v>635</x:v>
      </x:c>
      <x:c r="J3444" s="18" t="n">
        <x:f>MIN(Model_Config_v3!$B$6,I3444+Model_Config_v3!$B$7)</x:f>
        <x:v>655</x:v>
      </x:c>
      <x:c r="K3444" s="20" t="n">
        <x:v>50</x:v>
      </x:c>
      <x:c r="L3444" t="str">
        <x:v>MENENGAH</x:v>
      </x:c>
      <x:c r="M3444" t="str">
        <x:v>SEDANG+</x:v>
      </x:c>
      <x:c r="N3444" t="str">
        <x:v>REGULER</x:v>
      </x:c>
      <x:c r="O3444" t="str">
        <x:v>SOSHUM</x:v>
      </x:c>
      <x:c r="P3444" t="str">
        <x:v>BISNIS/EKONOMI/AKUNTANSI</x:v>
      </x:c>
      <x:c r="Q3444" s="18" t="n">
        <x:v>0</x:v>
      </x:c>
      <x:c r="R3444" s="18" t="n">
        <x:v>0</x:v>
      </x:c>
      <x:c r="S3444" s="18" t="n">
        <x:v>578.1391123894225</x:v>
      </x:c>
      <x:c r="T3444" s="18" t="n">
        <x:v>660</x:v>
      </x:c>
      <x:c r="U3444" s="18" t="n">
        <x:v>593.1391123894225</x:v>
      </x:c>
      <x:c r="V3444" s="20" t="n">
        <x:v>4.4</x:v>
      </x:c>
      <x:c r="W3444" s="20" t="n">
        <x:v>14.3</x:v>
      </x:c>
      <x:c r="X3444" s="20" t="n">
        <x:v>3.3</x:v>
      </x:c>
      <x:c r="Y3444" t="str">
        <x:v>Basis arsip 2025/2024</x:v>
      </x:c>
      <x:c r="Z3444" t="str">
        <x:v>https://snpmb.id/utbk-snbt/daya-tampung-snbt</x:v>
      </x:c>
      <x:c r="AA3444" t="str">
        <x:v>Tidak Ada</x:v>
      </x:c>
      <x:c r="AB3444" t="str">
        <x:v>Campus=55; Ratio=31.1; Prodi=65; RelDemand=100.0; Capacity=0.0</x:v>
      </x:c>
    </x:row>
    <x:row r="3445">
      <x:c r="A3445" t="n">
        <x:v>3442</x:v>
      </x:c>
      <x:c r="B3445" t="str">
        <x:v>PTN Akademik</x:v>
      </x:c>
      <x:c r="C3445" t="str">
        <x:v>UNIVERSITAS SULAWESI BARAT</x:v>
      </x:c>
      <x:c r="D3445" t="str">
        <x:v>AKUNTANSI</x:v>
      </x:c>
      <x:c r="E3445" t="str">
        <x:v>Sarjana</x:v>
      </x:c>
      <x:c r="F3445" s="18" t="n">
        <x:v>115</x:v>
      </x:c>
      <x:c r="G3445" s="18" t="n">
        <x:v>160</x:v>
      </x:c>
      <x:c r="H3445" s="19" t="n">
        <x:v>1.391304347826087</x:v>
      </x:c>
      <x:c r="I3445" s="18" t="n">
        <x:f>ROUND(MIN(Model_Config_v3!$B$6,MAX(Q3445,R3445,S3445*Model_Config_v3!$B$4+T3445*Model_Config_v3!$B$5)),0)</x:f>
        <x:v>608</x:v>
      </x:c>
      <x:c r="J3445" s="18" t="n">
        <x:f>MIN(Model_Config_v3!$B$6,I3445+Model_Config_v3!$B$7)</x:f>
        <x:v>628</x:v>
      </x:c>
      <x:c r="K3445" s="20" t="n">
        <x:v>39.5</x:v>
      </x:c>
      <x:c r="L3445" t="str">
        <x:v>RELATIF LONGGAR</x:v>
      </x:c>
      <x:c r="M3445" t="str">
        <x:v>SEDANG+</x:v>
      </x:c>
      <x:c r="N3445" t="str">
        <x:v>REGULER</x:v>
      </x:c>
      <x:c r="O3445" t="str">
        <x:v>SOSHUM</x:v>
      </x:c>
      <x:c r="P3445" t="str">
        <x:v>BISNIS/EKONOMI/AKUNTANSI</x:v>
      </x:c>
      <x:c r="Q3445" s="18" t="n">
        <x:v>0</x:v>
      </x:c>
      <x:c r="R3445" s="18" t="n">
        <x:v>0</x:v>
      </x:c>
      <x:c r="S3445" s="18" t="n">
        <x:v>535.7764356532545</x:v>
      </x:c>
      <x:c r="T3445" s="18" t="n">
        <x:v>639</x:v>
      </x:c>
      <x:c r="U3445" s="18" t="n">
        <x:v>535.7764356532545</x:v>
      </x:c>
      <x:c r="V3445" s="20" t="n">
        <x:v>4.4</x:v>
      </x:c>
      <x:c r="W3445" s="20" t="n">
        <x:v>14.3</x:v>
      </x:c>
      <x:c r="X3445" s="20" t="n">
        <x:v>3.3</x:v>
      </x:c>
      <x:c r="Y3445" t="str">
        <x:v>Basis arsip 2025/2024</x:v>
      </x:c>
      <x:c r="Z3445" t="str">
        <x:v>https://snpmb.id/utbk-snbt/daya-tampung-snbt</x:v>
      </x:c>
      <x:c r="AA3445" t="str">
        <x:v>Tidak Ada</x:v>
      </x:c>
      <x:c r="AB3445" t="str">
        <x:v>Campus=55; Ratio=8.4; Prodi=65; RelDemand=47.1; Capacity=4.2</x:v>
      </x:c>
    </x:row>
    <x:row r="3446">
      <x:c r="A3446" t="n">
        <x:v>3443</x:v>
      </x:c>
      <x:c r="B3446" t="str">
        <x:v>PTN Akademik</x:v>
      </x:c>
      <x:c r="C3446" t="str">
        <x:v>UNIVERSITAS SULAWESI BARAT</x:v>
      </x:c>
      <x:c r="D3446" t="str">
        <x:v>ILMU POLITIK</x:v>
      </x:c>
      <x:c r="E3446" t="str">
        <x:v>Sarjana</x:v>
      </x:c>
      <x:c r="F3446" s="18" t="n">
        <x:v>52</x:v>
      </x:c>
      <x:c r="G3446" s="18" t="n">
        <x:v>34</x:v>
      </x:c>
      <x:c r="H3446" s="19" t="n">
        <x:v>0.6538461538461539</x:v>
      </x:c>
      <x:c r="I3446" s="18" t="n">
        <x:f>ROUND(MIN(Model_Config_v3!$B$6,MAX(Q3446,R3446,S3446*Model_Config_v3!$B$4+T3446*Model_Config_v3!$B$5)),0)</x:f>
        <x:v>597</x:v>
      </x:c>
      <x:c r="J3446" s="18" t="n">
        <x:f>MIN(Model_Config_v3!$B$6,I3446+Model_Config_v3!$B$7)</x:f>
        <x:v>617</x:v>
      </x:c>
      <x:c r="K3446" s="20" t="n">
        <x:v>35.1</x:v>
      </x:c>
      <x:c r="L3446" t="str">
        <x:v>RELATIF LONGGAR</x:v>
      </x:c>
      <x:c r="M3446" t="str">
        <x:v>SEDANG</x:v>
      </x:c>
      <x:c r="N3446" t="str">
        <x:v>REGULER</x:v>
      </x:c>
      <x:c r="O3446" t="str">
        <x:v>SOSHUM</x:v>
      </x:c>
      <x:c r="P3446" t="str">
        <x:v>UMUM</x:v>
      </x:c>
      <x:c r="Q3446" s="18" t="n">
        <x:v>0</x:v>
      </x:c>
      <x:c r="R3446" s="18" t="n">
        <x:v>0</x:v>
      </x:c>
      <x:c r="S3446" s="18" t="n">
        <x:v>520</x:v>
      </x:c>
      <x:c r="T3446" s="18" t="n">
        <x:v>630</x:v>
      </x:c>
      <x:c r="U3446" s="18" t="n">
        <x:v>520</x:v>
      </x:c>
      <x:c r="V3446" s="20" t="n">
        <x:v>4.4</x:v>
      </x:c>
      <x:c r="W3446" s="20" t="n">
        <x:v>14.3</x:v>
      </x:c>
      <x:c r="X3446" s="20" t="n">
        <x:v>3.3</x:v>
      </x:c>
      <x:c r="Y3446" t="str">
        <x:v>Basis arsip 2025/2024</x:v>
      </x:c>
      <x:c r="Z3446" t="str">
        <x:v>https://snpmb.id/utbk-snbt/daya-tampung-snbt</x:v>
      </x:c>
      <x:c r="AA3446" t="str">
        <x:v>Tidak Ada</x:v>
      </x:c>
      <x:c r="AB3446" t="str">
        <x:v>Campus=55; Ratio=0.0; Prodi=40; RelDemand=22.1; Capacity=56.7</x:v>
      </x:c>
    </x:row>
    <x:row r="3447">
      <x:c r="A3447" t="n">
        <x:v>3444</x:v>
      </x:c>
      <x:c r="B3447" t="str">
        <x:v>PTN Akademik</x:v>
      </x:c>
      <x:c r="C3447" t="str">
        <x:v>UNIVERSITAS SULAWESI BARAT</x:v>
      </x:c>
      <x:c r="D3447" t="str">
        <x:v>HUBUNGAN INTERNASIONAL</x:v>
      </x:c>
      <x:c r="E3447" t="str">
        <x:v>Sarjana</x:v>
      </x:c>
      <x:c r="F3447" s="18" t="n">
        <x:v>52</x:v>
      </x:c>
      <x:c r="G3447" s="18" t="n">
        <x:v>55</x:v>
      </x:c>
      <x:c r="H3447" s="19" t="n">
        <x:v>1.0576923076923077</x:v>
      </x:c>
      <x:c r="I3447" s="18" t="n">
        <x:f>ROUND(MIN(Model_Config_v3!$B$6,MAX(Q3447,R3447,S3447*Model_Config_v3!$B$4+T3447*Model_Config_v3!$B$5)),0)</x:f>
        <x:v>601</x:v>
      </x:c>
      <x:c r="J3447" s="18" t="n">
        <x:f>MIN(Model_Config_v3!$B$6,I3447+Model_Config_v3!$B$7)</x:f>
        <x:v>621</x:v>
      </x:c>
      <x:c r="K3447" s="20" t="n">
        <x:v>36.9</x:v>
      </x:c>
      <x:c r="L3447" t="str">
        <x:v>RELATIF LONGGAR</x:v>
      </x:c>
      <x:c r="M3447" t="str">
        <x:v>SEDANG</x:v>
      </x:c>
      <x:c r="N3447" t="str">
        <x:v>REGULER</x:v>
      </x:c>
      <x:c r="O3447" t="str">
        <x:v>SOSHUM</x:v>
      </x:c>
      <x:c r="P3447" t="str">
        <x:v>UMUM</x:v>
      </x:c>
      <x:c r="Q3447" s="18" t="n">
        <x:v>0</x:v>
      </x:c>
      <x:c r="R3447" s="18" t="n">
        <x:v>0</x:v>
      </x:c>
      <x:c r="S3447" s="18" t="n">
        <x:v>522.6795280445389</x:v>
      </x:c>
      <x:c r="T3447" s="18" t="n">
        <x:v>634</x:v>
      </x:c>
      <x:c r="U3447" s="18" t="n">
        <x:v>522.6795280445389</x:v>
      </x:c>
      <x:c r="V3447" s="20" t="n">
        <x:v>4.4</x:v>
      </x:c>
      <x:c r="W3447" s="20" t="n">
        <x:v>14.3</x:v>
      </x:c>
      <x:c r="X3447" s="20" t="n">
        <x:v>3.3</x:v>
      </x:c>
      <x:c r="Y3447" t="str">
        <x:v>Basis arsip 2025/2024</x:v>
      </x:c>
      <x:c r="Z3447" t="str">
        <x:v>https://snpmb.id/utbk-snbt/daya-tampung-snbt</x:v>
      </x:c>
      <x:c r="AA3447" t="str">
        <x:v>Tidak Ada</x:v>
      </x:c>
      <x:c r="AB3447" t="str">
        <x:v>Campus=55; Ratio=1.4; Prodi=40; RelDemand=35.8; Capacity=56.7</x:v>
      </x:c>
    </x:row>
    <x:row r="3448">
      <x:c r="A3448" t="n">
        <x:v>3445</x:v>
      </x:c>
      <x:c r="B3448" t="str">
        <x:v>PTN Akademik</x:v>
      </x:c>
      <x:c r="C3448" t="str">
        <x:v>UNIVERSITAS SULAWESI BARAT</x:v>
      </x:c>
      <x:c r="D3448" t="str">
        <x:v>HUKUM</x:v>
      </x:c>
      <x:c r="E3448" t="str">
        <x:v>Sarjana</x:v>
      </x:c>
      <x:c r="F3448" s="18" t="n">
        <x:v>70</x:v>
      </x:c>
      <x:c r="G3448" s="18" t="n">
        <x:v>141</x:v>
      </x:c>
      <x:c r="H3448" s="19" t="n">
        <x:v>2.0142857142857142</x:v>
      </x:c>
      <x:c r="I3448" s="18" t="n">
        <x:f>ROUND(MIN(Model_Config_v3!$B$6,MAX(Q3448,R3448,S3448*Model_Config_v3!$B$4+T3448*Model_Config_v3!$B$5)),0)</x:f>
        <x:v>625</x:v>
      </x:c>
      <x:c r="J3448" s="18" t="n">
        <x:f>MIN(Model_Config_v3!$B$6,I3448+Model_Config_v3!$B$7)</x:f>
        <x:v>645</x:v>
      </x:c>
      <x:c r="K3448" s="20" t="n">
        <x:v>47.7</x:v>
      </x:c>
      <x:c r="L3448" t="str">
        <x:v>MENENGAH</x:v>
      </x:c>
      <x:c r="M3448" t="str">
        <x:v>SEDANG+</x:v>
      </x:c>
      <x:c r="N3448" t="str">
        <x:v>REGULER</x:v>
      </x:c>
      <x:c r="O3448" t="str">
        <x:v>SOSHUM</x:v>
      </x:c>
      <x:c r="P3448" t="str">
        <x:v>HUKUM</x:v>
      </x:c>
      <x:c r="Q3448" s="18" t="n">
        <x:v>0</x:v>
      </x:c>
      <x:c r="R3448" s="18" t="n">
        <x:v>0</x:v>
      </x:c>
      <x:c r="S3448" s="18" t="n">
        <x:v>553.4533179905235</x:v>
      </x:c>
      <x:c r="T3448" s="18" t="n">
        <x:v>655</x:v>
      </x:c>
      <x:c r="U3448" s="18" t="n">
        <x:v>568.4533179905235</x:v>
      </x:c>
      <x:c r="V3448" s="20" t="n">
        <x:v>4.4</x:v>
      </x:c>
      <x:c r="W3448" s="20" t="n">
        <x:v>14.3</x:v>
      </x:c>
      <x:c r="X3448" s="20" t="n">
        <x:v>3.3</x:v>
      </x:c>
      <x:c r="Y3448" t="str">
        <x:v>Basis arsip 2025/2024</x:v>
      </x:c>
      <x:c r="Z3448" t="str">
        <x:v>https://snpmb.id/utbk-snbt/daya-tampung-snbt</x:v>
      </x:c>
      <x:c r="AA3448" t="str">
        <x:v>Tidak Ada</x:v>
      </x:c>
      <x:c r="AB3448" t="str">
        <x:v>Campus=55; Ratio=17.9; Prodi=65; RelDemand=68.2; Capacity=41.7</x:v>
      </x:c>
    </x:row>
    <x:row r="3449">
      <x:c r="A3449" t="n">
        <x:v>3446</x:v>
      </x:c>
      <x:c r="B3449" t="str">
        <x:v>PTN Akademik</x:v>
      </x:c>
      <x:c r="C3449" t="str">
        <x:v>UNIVERSITAS SULAWESI BARAT</x:v>
      </x:c>
      <x:c r="D3449" t="str">
        <x:v>PEND. BHS. INGGRIS</x:v>
      </x:c>
      <x:c r="E3449" t="str">
        <x:v>Sarjana</x:v>
      </x:c>
      <x:c r="F3449" s="18" t="n">
        <x:v>70</x:v>
      </x:c>
      <x:c r="G3449" s="18" t="n">
        <x:v>102</x:v>
      </x:c>
      <x:c r="H3449" s="19" t="n">
        <x:v>1.457142857142857</x:v>
      </x:c>
      <x:c r="I3449" s="18" t="n">
        <x:f>ROUND(MIN(Model_Config_v3!$B$6,MAX(Q3449,R3449,S3449*Model_Config_v3!$B$4+T3449*Model_Config_v3!$B$5)),0)</x:f>
        <x:v>609</x:v>
      </x:c>
      <x:c r="J3449" s="18" t="n">
        <x:f>MIN(Model_Config_v3!$B$6,I3449+Model_Config_v3!$B$7)</x:f>
        <x:v>629</x:v>
      </x:c>
      <x:c r="K3449" s="20" t="n">
        <x:v>39.8</x:v>
      </x:c>
      <x:c r="L3449" t="str">
        <x:v>RELATIF LONGGAR</x:v>
      </x:c>
      <x:c r="M3449" t="str">
        <x:v>SEDANG+</x:v>
      </x:c>
      <x:c r="N3449" t="str">
        <x:v>REGULER</x:v>
      </x:c>
      <x:c r="O3449" t="str">
        <x:v>CAMPURAN</x:v>
      </x:c>
      <x:c r="P3449" t="str">
        <x:v>PENDIDIKAN</x:v>
      </x:c>
      <x:c r="Q3449" s="18" t="n">
        <x:v>0</x:v>
      </x:c>
      <x:c r="R3449" s="18" t="n">
        <x:v>0</x:v>
      </x:c>
      <x:c r="S3449" s="18" t="n">
        <x:v>537.9852344922426</x:v>
      </x:c>
      <x:c r="T3449" s="18" t="n">
        <x:v>640</x:v>
      </x:c>
      <x:c r="U3449" s="18" t="n">
        <x:v>537.9852344922426</x:v>
      </x:c>
      <x:c r="V3449" s="20" t="n">
        <x:v>8.8</x:v>
      </x:c>
      <x:c r="W3449" s="20" t="n">
        <x:v>9.9</x:v>
      </x:c>
      <x:c r="X3449" s="20" t="n">
        <x:v>3.3</x:v>
      </x:c>
      <x:c r="Y3449" t="str">
        <x:v>Basis arsip 2025/2024</x:v>
      </x:c>
      <x:c r="Z3449" t="str">
        <x:v>https://snpmb.id/utbk-snbt/daya-tampung-snbt</x:v>
      </x:c>
      <x:c r="AA3449" t="str">
        <x:v>Tidak Ada</x:v>
      </x:c>
      <x:c r="AB3449" t="str">
        <x:v>Campus=55; Ratio=9.6; Prodi=45; RelDemand=49.3; Capacity=41.7</x:v>
      </x:c>
    </x:row>
    <x:row r="3450">
      <x:c r="A3450" t="n">
        <x:v>3447</x:v>
      </x:c>
      <x:c r="B3450" t="str">
        <x:v>PTN Akademik</x:v>
      </x:c>
      <x:c r="C3450" t="str">
        <x:v>UNIVERSITAS SULAWESI BARAT</x:v>
      </x:c>
      <x:c r="D3450" t="str">
        <x:v>PENDIDIKAN GURU SEKOLAH DASAR (PGSD)</x:v>
      </x:c>
      <x:c r="E3450" t="str">
        <x:v>Sarjana</x:v>
      </x:c>
      <x:c r="F3450" s="18" t="n">
        <x:v>105</x:v>
      </x:c>
      <x:c r="G3450" s="18" t="n">
        <x:v>812</x:v>
      </x:c>
      <x:c r="H3450" s="19" t="n">
        <x:v>7.733333333333333</x:v>
      </x:c>
      <x:c r="I3450" s="18" t="n">
        <x:f>ROUND(MIN(Model_Config_v3!$B$6,MAX(Q3450,R3450,S3450*Model_Config_v3!$B$4+T3450*Model_Config_v3!$B$5)),0)</x:f>
        <x:v>651</x:v>
      </x:c>
      <x:c r="J3450" s="18" t="n">
        <x:f>MIN(Model_Config_v3!$B$6,I3450+Model_Config_v3!$B$7)</x:f>
        <x:v>671</x:v>
      </x:c>
      <x:c r="K3450" s="20" t="n">
        <x:v>52.6</x:v>
      </x:c>
      <x:c r="L3450" t="str">
        <x:v>MENENGAH</x:v>
      </x:c>
      <x:c r="M3450" t="str">
        <x:v>SEDANG+</x:v>
      </x:c>
      <x:c r="N3450" t="str">
        <x:v>REGULER</x:v>
      </x:c>
      <x:c r="O3450" t="str">
        <x:v>CAMPURAN</x:v>
      </x:c>
      <x:c r="P3450" t="str">
        <x:v>PENDIDIKAN</x:v>
      </x:c>
      <x:c r="Q3450" s="18" t="n">
        <x:v>0</x:v>
      </x:c>
      <x:c r="R3450" s="18" t="n">
        <x:v>0</x:v>
      </x:c>
      <x:c r="S3450" s="18" t="n">
        <x:v>617.7203403188361</x:v>
      </x:c>
      <x:c r="T3450" s="18" t="n">
        <x:v>665</x:v>
      </x:c>
      <x:c r="U3450" s="18" t="n">
        <x:v>617.7203403188361</x:v>
      </x:c>
      <x:c r="V3450" s="20" t="n">
        <x:v>8.8</x:v>
      </x:c>
      <x:c r="W3450" s="20" t="n">
        <x:v>9.9</x:v>
      </x:c>
      <x:c r="X3450" s="20" t="n">
        <x:v>3.3</x:v>
      </x:c>
      <x:c r="Y3450" t="str">
        <x:v>Basis arsip 2025/2024</x:v>
      </x:c>
      <x:c r="Z3450" t="str">
        <x:v>https://snpmb.id/utbk-snbt/daya-tampung-snbt</x:v>
      </x:c>
      <x:c r="AA3450" t="str">
        <x:v>Tidak Ada</x:v>
      </x:c>
      <x:c r="AB3450" t="str">
        <x:v>Campus=55; Ratio=52.3; Prodi=45; RelDemand=100.0; Capacity=12.5</x:v>
      </x:c>
    </x:row>
    <x:row r="3451">
      <x:c r="A3451" t="n">
        <x:v>3448</x:v>
      </x:c>
      <x:c r="B3451" t="str">
        <x:v>PTN Akademik</x:v>
      </x:c>
      <x:c r="C3451" t="str">
        <x:v>UNIVERSITAS SULAWESI BARAT</x:v>
      </x:c>
      <x:c r="D3451" t="str">
        <x:v>PENDIDIKAN ILMU PENGETAHUAN ALAM (IPA)</x:v>
      </x:c>
      <x:c r="E3451" t="str">
        <x:v>Sarjana</x:v>
      </x:c>
      <x:c r="F3451" s="18" t="n">
        <x:v>52</x:v>
      </x:c>
      <x:c r="G3451" s="18" t="n">
        <x:v>97</x:v>
      </x:c>
      <x:c r="H3451" s="19" t="n">
        <x:v>1.8653846153846154</x:v>
      </x:c>
      <x:c r="I3451" s="18" t="n">
        <x:f>ROUND(MIN(Model_Config_v3!$B$6,MAX(Q3451,R3451,S3451*Model_Config_v3!$B$4+T3451*Model_Config_v3!$B$5)),0)</x:f>
        <x:v>619</x:v>
      </x:c>
      <x:c r="J3451" s="18" t="n">
        <x:f>MIN(Model_Config_v3!$B$6,I3451+Model_Config_v3!$B$7)</x:f>
        <x:v>639</x:v>
      </x:c>
      <x:c r="K3451" s="20" t="n">
        <x:v>44.2</x:v>
      </x:c>
      <x:c r="L3451" t="str">
        <x:v>RELATIF LONGGAR</x:v>
      </x:c>
      <x:c r="M3451" t="str">
        <x:v>SEDANG+</x:v>
      </x:c>
      <x:c r="N3451" t="str">
        <x:v>REGULER</x:v>
      </x:c>
      <x:c r="O3451" t="str">
        <x:v>CAMPURAN</x:v>
      </x:c>
      <x:c r="P3451" t="str">
        <x:v>PENDIDIKAN</x:v>
      </x:c>
      <x:c r="Q3451" s="18" t="n">
        <x:v>0</x:v>
      </x:c>
      <x:c r="R3451" s="18" t="n">
        <x:v>0</x:v>
      </x:c>
      <x:c r="S3451" s="18" t="n">
        <x:v>549.784522969459</x:v>
      </x:c>
      <x:c r="T3451" s="18" t="n">
        <x:v>648</x:v>
      </x:c>
      <x:c r="U3451" s="18" t="n">
        <x:v>549.784522969459</x:v>
      </x:c>
      <x:c r="V3451" s="20" t="n">
        <x:v>8.8</x:v>
      </x:c>
      <x:c r="W3451" s="20" t="n">
        <x:v>9.9</x:v>
      </x:c>
      <x:c r="X3451" s="20" t="n">
        <x:v>3.3</x:v>
      </x:c>
      <x:c r="Y3451" t="str">
        <x:v>Basis arsip 2025/2024</x:v>
      </x:c>
      <x:c r="Z3451" t="str">
        <x:v>https://snpmb.id/utbk-snbt/daya-tampung-snbt</x:v>
      </x:c>
      <x:c r="AA3451" t="str">
        <x:v>Tidak Ada</x:v>
      </x:c>
      <x:c r="AB3451" t="str">
        <x:v>Campus=55; Ratio=15.9; Prodi=45; RelDemand=63.1; Capacity=56.7</x:v>
      </x:c>
    </x:row>
    <x:row r="3452">
      <x:c r="A3452" t="n">
        <x:v>3449</x:v>
      </x:c>
      <x:c r="B3452" t="str">
        <x:v>PTN Akademik</x:v>
      </x:c>
      <x:c r="C3452" t="str">
        <x:v>UNIVERSITAS SULAWESI BARAT</x:v>
      </x:c>
      <x:c r="D3452" t="str">
        <x:v>SISTEM INFORMASI</x:v>
      </x:c>
      <x:c r="E3452" t="str">
        <x:v>Sarjana</x:v>
      </x:c>
      <x:c r="F3452" s="18" t="n">
        <x:v>30</x:v>
      </x:c>
      <x:c r="G3452" s="18" t="n">
        <x:v>58</x:v>
      </x:c>
      <x:c r="H3452" s="19" t="n">
        <x:v>1.9333333333333333</x:v>
      </x:c>
      <x:c r="I3452" s="18" t="n">
        <x:f>ROUND(MIN(Model_Config_v3!$B$6,MAX(Q3452,R3452,S3452*Model_Config_v3!$B$4+T3452*Model_Config_v3!$B$5)),0)</x:f>
        <x:v>634</x:v>
      </x:c>
      <x:c r="J3452" s="18" t="n">
        <x:f>MIN(Model_Config_v3!$B$6,I3452+Model_Config_v3!$B$7)</x:f>
        <x:v>654</x:v>
      </x:c>
      <x:c r="K3452" s="20" t="n">
        <x:v>54.5</x:v>
      </x:c>
      <x:c r="L3452" t="str">
        <x:v>MENENGAH</x:v>
      </x:c>
      <x:c r="M3452" t="str">
        <x:v>SEDANG+</x:v>
      </x:c>
      <x:c r="N3452" t="str">
        <x:v>REGULER</x:v>
      </x:c>
      <x:c r="O3452" t="str">
        <x:v>CAMPURAN</x:v>
      </x:c>
      <x:c r="P3452" t="str">
        <x:v>KOMPUTER/INFORMATIKA</x:v>
      </x:c>
      <x:c r="Q3452" s="18" t="n">
        <x:v>0</x:v>
      </x:c>
      <x:c r="R3452" s="18" t="n">
        <x:v>0</x:v>
      </x:c>
      <x:c r="S3452" s="18" t="n">
        <x:v>551.4937412727602</x:v>
      </x:c>
      <x:c r="T3452" s="18" t="n">
        <x:v>669</x:v>
      </x:c>
      <x:c r="U3452" s="18" t="n">
        <x:v>576.4937412727602</x:v>
      </x:c>
      <x:c r="V3452" s="20" t="n">
        <x:v>8.8</x:v>
      </x:c>
      <x:c r="W3452" s="20" t="n">
        <x:v>9.9</x:v>
      </x:c>
      <x:c r="X3452" s="20" t="n">
        <x:v>3.3</x:v>
      </x:c>
      <x:c r="Y3452" t="str">
        <x:v>Basis arsip 2025/2024</x:v>
      </x:c>
      <x:c r="Z3452" t="str">
        <x:v>https://snpmb.id/utbk-snbt/daya-tampung-snbt</x:v>
      </x:c>
      <x:c r="AA3452" t="str">
        <x:v>Tidak Ada</x:v>
      </x:c>
      <x:c r="AB3452" t="str">
        <x:v>Campus=55; Ratio=16.9; Prodi=85; RelDemand=65.4; Capacity=75.0</x:v>
      </x:c>
    </x:row>
    <x:row r="3453">
      <x:c r="A3453" t="n">
        <x:v>3450</x:v>
      </x:c>
      <x:c r="B3453" t="str">
        <x:v>PTN Akademik</x:v>
      </x:c>
      <x:c r="C3453" t="str">
        <x:v>UNIVERSITAS SULAWESI BARAT</x:v>
      </x:c>
      <x:c r="D3453" t="str">
        <x:v>SUMBER DAYA AKUATIK</x:v>
      </x:c>
      <x:c r="E3453" t="str">
        <x:v>Sarjana</x:v>
      </x:c>
      <x:c r="F3453" s="18" t="n">
        <x:v>17</x:v>
      </x:c>
      <x:c r="G3453" s="18" t="n">
        <x:v>3</x:v>
      </x:c>
      <x:c r="H3453" s="19" t="n">
        <x:v>0.17647058823529413</x:v>
      </x:c>
      <x:c r="I3453" s="18" t="n">
        <x:f>ROUND(MIN(Model_Config_v3!$B$6,MAX(Q3453,R3453,S3453*Model_Config_v3!$B$4+T3453*Model_Config_v3!$B$5)),0)</x:f>
        <x:v>599</x:v>
      </x:c>
      <x:c r="J3453" s="18" t="n">
        <x:f>MIN(Model_Config_v3!$B$6,I3453+Model_Config_v3!$B$7)</x:f>
        <x:v>619</x:v>
      </x:c>
      <x:c r="K3453" s="20" t="n">
        <x:v>36.4</x:v>
      </x:c>
      <x:c r="L3453" t="str">
        <x:v>RELATIF LONGGAR</x:v>
      </x:c>
      <x:c r="M3453" t="str">
        <x:v>SEDANG</x:v>
      </x:c>
      <x:c r="N3453" t="str">
        <x:v>REGULER</x:v>
      </x:c>
      <x:c r="O3453" t="str">
        <x:v>CAMPURAN</x:v>
      </x:c>
      <x:c r="P3453" t="str">
        <x:v>UMUM</x:v>
      </x:c>
      <x:c r="Q3453" s="18" t="n">
        <x:v>0</x:v>
      </x:c>
      <x:c r="R3453" s="18" t="n">
        <x:v>0</x:v>
      </x:c>
      <x:c r="S3453" s="18" t="n">
        <x:v>520</x:v>
      </x:c>
      <x:c r="T3453" s="18" t="n">
        <x:v>633</x:v>
      </x:c>
      <x:c r="U3453" s="18" t="n">
        <x:v>520</x:v>
      </x:c>
      <x:c r="V3453" s="20" t="n">
        <x:v>8.8</x:v>
      </x:c>
      <x:c r="W3453" s="20" t="n">
        <x:v>9.9</x:v>
      </x:c>
      <x:c r="X3453" s="20" t="n">
        <x:v>3.3</x:v>
      </x:c>
      <x:c r="Y3453" t="str">
        <x:v>Basis arsip 2025/2024</x:v>
      </x:c>
      <x:c r="Z3453" t="str">
        <x:v>https://snpmb.id/utbk-snbt/daya-tampung-snbt</x:v>
      </x:c>
      <x:c r="AA3453" t="str">
        <x:v>Tidak Ada</x:v>
      </x:c>
      <x:c r="AB3453" t="str">
        <x:v>Campus=55; Ratio=0.0; Prodi=40; RelDemand=6.0; Capacity=85.8</x:v>
      </x:c>
    </x:row>
    <x:row r="3454">
      <x:c r="A3454" t="n">
        <x:v>3451</x:v>
      </x:c>
      <x:c r="B3454" t="str">
        <x:v>PTN Akademik</x:v>
      </x:c>
      <x:c r="C3454" t="str">
        <x:v>UNIVERSITAS SULAWESI BARAT</x:v>
      </x:c>
      <x:c r="D3454" t="str">
        <x:v>PENDIDIKAN TEKNOLOGI INFORMASI</x:v>
      </x:c>
      <x:c r="E3454" t="str">
        <x:v>Sarjana</x:v>
      </x:c>
      <x:c r="F3454" s="18" t="n">
        <x:v>35</x:v>
      </x:c>
      <x:c r="G3454" s="18"/>
      <x:c r="H3454" s="19" t="n">
        <x:v>0</x:v>
      </x:c>
      <x:c r="I3454" s="18" t="n">
        <x:f>ROUND(MIN(Model_Config_v3!$B$6,MAX(Q3454,R3454,S3454*Model_Config_v3!$B$4+T3454*Model_Config_v3!$B$5)),0)</x:f>
        <x:v>598</x:v>
      </x:c>
      <x:c r="J3454" s="18" t="n">
        <x:f>MIN(Model_Config_v3!$B$6,I3454+Model_Config_v3!$B$7)</x:f>
        <x:v>618</x:v>
      </x:c>
      <x:c r="K3454" s="20" t="n">
        <x:v>35.3</x:v>
      </x:c>
      <x:c r="L3454" t="str">
        <x:v>RELATIF LONGGAR</x:v>
      </x:c>
      <x:c r="M3454" t="str">
        <x:v>RENDAH</x:v>
      </x:c>
      <x:c r="N3454" t="str">
        <x:v>REGULER</x:v>
      </x:c>
      <x:c r="O3454" t="str">
        <x:v>SAINTEK</x:v>
      </x:c>
      <x:c r="P3454" t="str">
        <x:v>PENDIDIKAN</x:v>
      </x:c>
      <x:c r="Q3454" s="18" t="n">
        <x:v>0</x:v>
      </x:c>
      <x:c r="R3454" s="18" t="n">
        <x:v>0</x:v>
      </x:c>
      <x:c r="S3454" s="18" t="n">
        <x:v>520</x:v>
      </x:c>
      <x:c r="T3454" s="18" t="n">
        <x:v>631</x:v>
      </x:c>
      <x:c r="U3454" s="18" t="n">
        <x:v>520</x:v>
      </x:c>
      <x:c r="V3454" s="20" t="n">
        <x:v>12</x:v>
      </x:c>
      <x:c r="W3454" s="20" t="n">
        <x:v>5</x:v>
      </x:c>
      <x:c r="X3454" s="20" t="n">
        <x:v>3</x:v>
      </x:c>
      <x:c r="Y3454" t="str">
        <x:v>Basis arsip 2025/2024</x:v>
      </x:c>
      <x:c r="Z3454" t="str">
        <x:v>https://snpmb.id/utbk-snbt/daya-tampung-snbt</x:v>
      </x:c>
      <x:c r="AA3454" t="str">
        <x:v>Tidak Ada</x:v>
      </x:c>
      <x:c r="AB3454" t="str">
        <x:v>Campus=55; Ratio=0.0; Prodi=45; RelDemand=0.0; Capacity=70.8</x:v>
      </x:c>
    </x:row>
    <x:row r="3455">
      <x:c r="A3455" t="n">
        <x:v>3452</x:v>
      </x:c>
      <x:c r="B3455" t="str">
        <x:v>PTN Akademik</x:v>
      </x:c>
      <x:c r="C3455" t="str">
        <x:v>UNIVERSITAS SULAWESI BARAT</x:v>
      </x:c>
      <x:c r="D3455" t="str">
        <x:v>BIOTEKNOLOGI</x:v>
      </x:c>
      <x:c r="E3455" t="str">
        <x:v>Sarjana</x:v>
      </x:c>
      <x:c r="F3455" s="18" t="n">
        <x:v>15</x:v>
      </x:c>
      <x:c r="G3455" s="18"/>
      <x:c r="H3455" s="19" t="n">
        <x:v>0</x:v>
      </x:c>
      <x:c r="I3455" s="18" t="n">
        <x:f>ROUND(MIN(Model_Config_v3!$B$6,MAX(Q3455,R3455,S3455*Model_Config_v3!$B$4+T3455*Model_Config_v3!$B$5)),0)</x:f>
        <x:v>598</x:v>
      </x:c>
      <x:c r="J3455" s="18" t="n">
        <x:f>MIN(Model_Config_v3!$B$6,I3455+Model_Config_v3!$B$7)</x:f>
        <x:v>618</x:v>
      </x:c>
      <x:c r="K3455" s="20" t="n">
        <x:v>36</x:v>
      </x:c>
      <x:c r="L3455" t="str">
        <x:v>RELATIF LONGGAR</x:v>
      </x:c>
      <x:c r="M3455" t="str">
        <x:v>RENDAH</x:v>
      </x:c>
      <x:c r="N3455" t="str">
        <x:v>REGULER</x:v>
      </x:c>
      <x:c r="O3455" t="str">
        <x:v>SAINTEK</x:v>
      </x:c>
      <x:c r="P3455" t="str">
        <x:v>UMUM</x:v>
      </x:c>
      <x:c r="Q3455" s="18" t="n">
        <x:v>0</x:v>
      </x:c>
      <x:c r="R3455" s="18" t="n">
        <x:v>0</x:v>
      </x:c>
      <x:c r="S3455" s="18" t="n">
        <x:v>520</x:v>
      </x:c>
      <x:c r="T3455" s="18" t="n">
        <x:v>632</x:v>
      </x:c>
      <x:c r="U3455" s="18" t="n">
        <x:v>520</x:v>
      </x:c>
      <x:c r="V3455" s="20" t="n">
        <x:v>12</x:v>
      </x:c>
      <x:c r="W3455" s="20" t="n">
        <x:v>5</x:v>
      </x:c>
      <x:c r="X3455" s="20" t="n">
        <x:v>3</x:v>
      </x:c>
      <x:c r="Y3455" t="str">
        <x:v>Basis arsip 2025/2024</x:v>
      </x:c>
      <x:c r="Z3455" t="str">
        <x:v>https://snpmb.id/utbk-snbt/daya-tampung-snbt</x:v>
      </x:c>
      <x:c r="AA3455" t="str">
        <x:v>Tidak Ada</x:v>
      </x:c>
      <x:c r="AB3455" t="str">
        <x:v>Campus=55; Ratio=0.0; Prodi=40; RelDemand=0.0; Capacity=87.5</x:v>
      </x:c>
    </x:row>
    <x:row r="3456">
      <x:c r="A3456" t="n">
        <x:v>3453</x:v>
      </x:c>
      <x:c r="B3456" t="str">
        <x:v>PTN Akademik</x:v>
      </x:c>
      <x:c r="C3456" t="str">
        <x:v>UNIVERSITAS SULAWESI BARAT</x:v>
      </x:c>
      <x:c r="D3456" t="str">
        <x:v>BISNIS DIGITAL</x:v>
      </x:c>
      <x:c r="E3456" t="str">
        <x:v>Sarjana</x:v>
      </x:c>
      <x:c r="F3456" s="18" t="n">
        <x:v>35</x:v>
      </x:c>
      <x:c r="G3456" s="18"/>
      <x:c r="H3456" s="19" t="n">
        <x:v>0</x:v>
      </x:c>
      <x:c r="I3456" s="18" t="n">
        <x:f>ROUND(MIN(Model_Config_v3!$B$6,MAX(Q3456,R3456,S3456*Model_Config_v3!$B$4+T3456*Model_Config_v3!$B$5)),0)</x:f>
        <x:v>603</x:v>
      </x:c>
      <x:c r="J3456" s="18" t="n">
        <x:f>MIN(Model_Config_v3!$B$6,I3456+Model_Config_v3!$B$7)</x:f>
        <x:v>623</x:v>
      </x:c>
      <x:c r="K3456" s="20" t="n">
        <x:v>39.3</x:v>
      </x:c>
      <x:c r="L3456" t="str">
        <x:v>RELATIF LONGGAR</x:v>
      </x:c>
      <x:c r="M3456" t="str">
        <x:v>RENDAH</x:v>
      </x:c>
      <x:c r="N3456" t="str">
        <x:v>REGULER</x:v>
      </x:c>
      <x:c r="O3456" t="str">
        <x:v>SOSHUM</x:v>
      </x:c>
      <x:c r="P3456" t="str">
        <x:v>BISNIS/EKONOMI/AKUNTANSI</x:v>
      </x:c>
      <x:c r="Q3456" s="18" t="n">
        <x:v>0</x:v>
      </x:c>
      <x:c r="R3456" s="18" t="n">
        <x:v>0</x:v>
      </x:c>
      <x:c r="S3456" s="18" t="n">
        <x:v>520</x:v>
      </x:c>
      <x:c r="T3456" s="18" t="n">
        <x:v>639</x:v>
      </x:c>
      <x:c r="U3456" s="18" t="n">
        <x:v>535</x:v>
      </x:c>
      <x:c r="V3456" s="20" t="n">
        <x:v>4.4</x:v>
      </x:c>
      <x:c r="W3456" s="20" t="n">
        <x:v>14.3</x:v>
      </x:c>
      <x:c r="X3456" s="20" t="n">
        <x:v>3.3</x:v>
      </x:c>
      <x:c r="Y3456" t="str">
        <x:v>Basis arsip 2025/2024</x:v>
      </x:c>
      <x:c r="Z3456" t="str">
        <x:v>https://snpmb.id/utbk-snbt/daya-tampung-snbt</x:v>
      </x:c>
      <x:c r="AA3456" t="str">
        <x:v>Tidak Ada</x:v>
      </x:c>
      <x:c r="AB3456" t="str">
        <x:v>Campus=55; Ratio=0.0; Prodi=65; RelDemand=0.0; Capacity=70.8</x:v>
      </x:c>
    </x:row>
    <x:row r="3457">
      <x:c r="A3457" t="n">
        <x:v>3454</x:v>
      </x:c>
      <x:c r="B3457" t="str">
        <x:v>PTN Akademik</x:v>
      </x:c>
      <x:c r="C3457" t="str">
        <x:v>UNIVERSITAS SULAWESI BARAT</x:v>
      </x:c>
      <x:c r="D3457" t="str">
        <x:v>ILMU AKTUARIA</x:v>
      </x:c>
      <x:c r="E3457" t="str">
        <x:v>Sarjana</x:v>
      </x:c>
      <x:c r="F3457" s="18" t="n">
        <x:v>17</x:v>
      </x:c>
      <x:c r="G3457" s="18"/>
      <x:c r="H3457" s="19" t="n">
        <x:v>0</x:v>
      </x:c>
      <x:c r="I3457" s="18" t="n">
        <x:f>ROUND(MIN(Model_Config_v3!$B$6,MAX(Q3457,R3457,S3457*Model_Config_v3!$B$4+T3457*Model_Config_v3!$B$5)),0)</x:f>
        <x:v>604</x:v>
      </x:c>
      <x:c r="J3457" s="18" t="n">
        <x:f>MIN(Model_Config_v3!$B$6,I3457+Model_Config_v3!$B$7)</x:f>
        <x:v>624</x:v>
      </x:c>
      <x:c r="K3457" s="20" t="n">
        <x:v>39.8</x:v>
      </x:c>
      <x:c r="L3457" t="str">
        <x:v>RELATIF LONGGAR</x:v>
      </x:c>
      <x:c r="M3457" t="str">
        <x:v>RENDAH</x:v>
      </x:c>
      <x:c r="N3457" t="str">
        <x:v>REGULER</x:v>
      </x:c>
      <x:c r="O3457" t="str">
        <x:v>SAINTEK</x:v>
      </x:c>
      <x:c r="P3457" t="str">
        <x:v>TEKNIK/ARSITEKTUR/STATISTIKA/AKTUARIA</x:v>
      </x:c>
      <x:c r="Q3457" s="18" t="n">
        <x:v>0</x:v>
      </x:c>
      <x:c r="R3457" s="18" t="n">
        <x:v>0</x:v>
      </x:c>
      <x:c r="S3457" s="18" t="n">
        <x:v>520</x:v>
      </x:c>
      <x:c r="T3457" s="18" t="n">
        <x:v>640</x:v>
      </x:c>
      <x:c r="U3457" s="18" t="n">
        <x:v>530</x:v>
      </x:c>
      <x:c r="V3457" s="20" t="n">
        <x:v>12</x:v>
      </x:c>
      <x:c r="W3457" s="20" t="n">
        <x:v>5</x:v>
      </x:c>
      <x:c r="X3457" s="20" t="n">
        <x:v>3</x:v>
      </x:c>
      <x:c r="Y3457" t="str">
        <x:v>Basis arsip 2025/2024</x:v>
      </x:c>
      <x:c r="Z3457" t="str">
        <x:v>https://snpmb.id/utbk-snbt/daya-tampung-snbt</x:v>
      </x:c>
      <x:c r="AA3457" t="str">
        <x:v>Tidak Ada</x:v>
      </x:c>
      <x:c r="AB3457" t="str">
        <x:v>Campus=55; Ratio=0.0; Prodi=60; RelDemand=0.0; Capacity=85.8</x:v>
      </x:c>
    </x:row>
    <x:row r="3458">
      <x:c r="A3458" t="n">
        <x:v>3455</x:v>
      </x:c>
      <x:c r="B3458" t="str">
        <x:v>PTN Akademik</x:v>
      </x:c>
      <x:c r="C3458" t="str">
        <x:v>UNIVERSITAS SULAWESI BARAT</x:v>
      </x:c>
      <x:c r="D3458" t="str">
        <x:v>ARSITEKTUR</x:v>
      </x:c>
      <x:c r="E3458" t="str">
        <x:v>Sarjana</x:v>
      </x:c>
      <x:c r="F3458" s="18" t="n">
        <x:v>17</x:v>
      </x:c>
      <x:c r="G3458" s="18"/>
      <x:c r="H3458" s="19" t="n">
        <x:v>0</x:v>
      </x:c>
      <x:c r="I3458" s="18" t="n">
        <x:f>ROUND(MIN(Model_Config_v3!$B$6,MAX(Q3458,R3458,S3458*Model_Config_v3!$B$4+T3458*Model_Config_v3!$B$5)),0)</x:f>
        <x:v>604</x:v>
      </x:c>
      <x:c r="J3458" s="18" t="n">
        <x:f>MIN(Model_Config_v3!$B$6,I3458+Model_Config_v3!$B$7)</x:f>
        <x:v>624</x:v>
      </x:c>
      <x:c r="K3458" s="20" t="n">
        <x:v>39.8</x:v>
      </x:c>
      <x:c r="L3458" t="str">
        <x:v>RELATIF LONGGAR</x:v>
      </x:c>
      <x:c r="M3458" t="str">
        <x:v>RENDAH</x:v>
      </x:c>
      <x:c r="N3458" t="str">
        <x:v>REGULER</x:v>
      </x:c>
      <x:c r="O3458" t="str">
        <x:v>SAINTEK</x:v>
      </x:c>
      <x:c r="P3458" t="str">
        <x:v>TEKNIK/ARSITEKTUR/STATISTIKA/AKTUARIA</x:v>
      </x:c>
      <x:c r="Q3458" s="18" t="n">
        <x:v>0</x:v>
      </x:c>
      <x:c r="R3458" s="18" t="n">
        <x:v>0</x:v>
      </x:c>
      <x:c r="S3458" s="18" t="n">
        <x:v>520</x:v>
      </x:c>
      <x:c r="T3458" s="18" t="n">
        <x:v>640</x:v>
      </x:c>
      <x:c r="U3458" s="18" t="n">
        <x:v>520</x:v>
      </x:c>
      <x:c r="V3458" s="20" t="n">
        <x:v>12</x:v>
      </x:c>
      <x:c r="W3458" s="20" t="n">
        <x:v>5</x:v>
      </x:c>
      <x:c r="X3458" s="20" t="n">
        <x:v>3</x:v>
      </x:c>
      <x:c r="Y3458" t="str">
        <x:v>Basis arsip 2025/2024</x:v>
      </x:c>
      <x:c r="Z3458" t="str">
        <x:v>https://snpmb.id/utbk-snbt/daya-tampung-snbt</x:v>
      </x:c>
      <x:c r="AA3458" t="str">
        <x:v>Tidak Ada</x:v>
      </x:c>
      <x:c r="AB3458" t="str">
        <x:v>Campus=55; Ratio=0.0; Prodi=60; RelDemand=0.0; Capacity=85.8</x:v>
      </x:c>
    </x:row>
    <x:row r="3459">
      <x:c r="A3459" t="n">
        <x:v>3456</x:v>
      </x:c>
      <x:c r="B3459" t="str">
        <x:v>PTN Akademik</x:v>
      </x:c>
      <x:c r="C3459" t="str">
        <x:v>UNIVERSITAS SULAWESI BARAT</x:v>
      </x:c>
      <x:c r="D3459" t="str">
        <x:v>KEDOKTERAN</x:v>
      </x:c>
      <x:c r="E3459" t="str">
        <x:v>Sarjana</x:v>
      </x:c>
      <x:c r="F3459" s="18" t="n">
        <x:v>25</x:v>
      </x:c>
      <x:c r="G3459" s="18"/>
      <x:c r="H3459" s="19" t="n">
        <x:v>0</x:v>
      </x:c>
      <x:c r="I3459" s="18" t="n">
        <x:f>ROUND(MIN(Model_Config_v3!$B$6,MAX(Q3459,R3459,S3459*Model_Config_v3!$B$4+T3459*Model_Config_v3!$B$5)),0)</x:f>
        <x:v>680</x:v>
      </x:c>
      <x:c r="J3459" s="18" t="n">
        <x:f>MIN(Model_Config_v3!$B$6,I3459+Model_Config_v3!$B$7)</x:f>
        <x:v>700</x:v>
      </x:c>
      <x:c r="K3459" s="20" t="n">
        <x:v>47.2</x:v>
      </x:c>
      <x:c r="L3459" t="str">
        <x:v>MENENGAH</x:v>
      </x:c>
      <x:c r="M3459" t="str">
        <x:v>RENDAH</x:v>
      </x:c>
      <x:c r="N3459" t="str">
        <x:v>REGULER</x:v>
      </x:c>
      <x:c r="O3459" t="str">
        <x:v>SAINTEK</x:v>
      </x:c>
      <x:c r="P3459" t="str">
        <x:v>KEDOKTERAN</x:v>
      </x:c>
      <x:c r="Q3459" s="18" t="n">
        <x:v>0</x:v>
      </x:c>
      <x:c r="R3459" s="18" t="n">
        <x:v>680</x:v>
      </x:c>
      <x:c r="S3459" s="18" t="n">
        <x:v>520</x:v>
      </x:c>
      <x:c r="T3459" s="18" t="n">
        <x:v>654</x:v>
      </x:c>
      <x:c r="U3459" s="18" t="n">
        <x:v>680</x:v>
      </x:c>
      <x:c r="V3459" s="20" t="n">
        <x:v>12</x:v>
      </x:c>
      <x:c r="W3459" s="20" t="n">
        <x:v>5</x:v>
      </x:c>
      <x:c r="X3459" s="20" t="n">
        <x:v>3</x:v>
      </x:c>
      <x:c r="Y3459" t="str">
        <x:v>Basis arsip 2025/2024</x:v>
      </x:c>
      <x:c r="Z3459" t="str">
        <x:v>https://snpmb.id/utbk-snbt/daya-tampung-snbt</x:v>
      </x:c>
      <x:c r="AA3459" t="str">
        <x:v>Tidak Ada</x:v>
      </x:c>
      <x:c r="AB3459" t="str">
        <x:v>Campus=55; Ratio=0.0; Prodi=100; RelDemand=0.0; Capacity=79.2</x:v>
      </x:c>
    </x:row>
    <x:row r="3460">
      <x:c r="A3460" t="n">
        <x:v>3457</x:v>
      </x:c>
      <x:c r="B3460" t="str">
        <x:v>PTN Akademik</x:v>
      </x:c>
      <x:c r="C3460" t="str">
        <x:v>UNIVERSITAS SULAWESI BARAT</x:v>
      </x:c>
      <x:c r="D3460" t="str">
        <x:v>KESELAMATAN DAN KESEHATAN KERJA</x:v>
      </x:c>
      <x:c r="E3460" t="str">
        <x:v>Sarjana Terapan</x:v>
      </x:c>
      <x:c r="F3460" s="18" t="n">
        <x:v>30</x:v>
      </x:c>
      <x:c r="G3460" s="18"/>
      <x:c r="H3460" s="19" t="n">
        <x:v>0</x:v>
      </x:c>
      <x:c r="I3460" s="18" t="n">
        <x:f>ROUND(MIN(Model_Config_v3!$B$6,MAX(Q3460,R3460,S3460*Model_Config_v3!$B$4+T3460*Model_Config_v3!$B$5)),0)</x:f>
        <x:v>601</x:v>
      </x:c>
      <x:c r="J3460" s="18" t="n">
        <x:f>MIN(Model_Config_v3!$B$6,I3460+Model_Config_v3!$B$7)</x:f>
        <x:v>621</x:v>
      </x:c>
      <x:c r="K3460" s="20" t="n">
        <x:v>37.8</x:v>
      </x:c>
      <x:c r="L3460" t="str">
        <x:v>RELATIF LONGGAR</x:v>
      </x:c>
      <x:c r="M3460" t="str">
        <x:v>RENDAH</x:v>
      </x:c>
      <x:c r="N3460" t="str">
        <x:v>REGULER</x:v>
      </x:c>
      <x:c r="O3460" t="str">
        <x:v>SAINTEK</x:v>
      </x:c>
      <x:c r="P3460" t="str">
        <x:v>KESEHAT/GIZI/KEPERAWATAN</x:v>
      </x:c>
      <x:c r="Q3460" s="18" t="n">
        <x:v>0</x:v>
      </x:c>
      <x:c r="R3460" s="18" t="n">
        <x:v>0</x:v>
      </x:c>
      <x:c r="S3460" s="18" t="n">
        <x:v>520</x:v>
      </x:c>
      <x:c r="T3460" s="18" t="n">
        <x:v>636</x:v>
      </x:c>
      <x:c r="U3460" s="18" t="n">
        <x:v>520</x:v>
      </x:c>
      <x:c r="V3460" s="20" t="n">
        <x:v>12</x:v>
      </x:c>
      <x:c r="W3460" s="20" t="n">
        <x:v>5</x:v>
      </x:c>
      <x:c r="X3460" s="20" t="n">
        <x:v>3</x:v>
      </x:c>
      <x:c r="Y3460" t="str">
        <x:v>Basis arsip 2025/2024</x:v>
      </x:c>
      <x:c r="Z3460" t="str">
        <x:v>https://snpmb.id/utbk-snbt/daya-tampung-snbt</x:v>
      </x:c>
      <x:c r="AA3460" t="str">
        <x:v>Tidak Ada</x:v>
      </x:c>
      <x:c r="AB3460" t="str">
        <x:v>Campus=55; Ratio=0.0; Prodi=55; RelDemand=0.0; Capacity=75.0</x:v>
      </x:c>
    </x:row>
    <x:row r="3461">
      <x:c r="A3461" t="n">
        <x:v>3458</x:v>
      </x:c>
      <x:c r="B3461" t="str">
        <x:v>PTN Akademik</x:v>
      </x:c>
      <x:c r="C3461" t="str">
        <x:v>UNIVERSITAS SULAWESI BARAT</x:v>
      </x:c>
      <x:c r="D3461" t="str">
        <x:v>TERAPI GIGI</x:v>
      </x:c>
      <x:c r="E3461" t="str">
        <x:v>Sarjana Terapan</x:v>
      </x:c>
      <x:c r="F3461" s="18" t="n">
        <x:v>30</x:v>
      </x:c>
      <x:c r="G3461" s="18"/>
      <x:c r="H3461" s="19" t="n">
        <x:v>0</x:v>
      </x:c>
      <x:c r="I3461" s="18" t="n">
        <x:f>ROUND(MIN(Model_Config_v3!$B$6,MAX(Q3461,R3461,S3461*Model_Config_v3!$B$4+T3461*Model_Config_v3!$B$5)),0)</x:f>
        <x:v>597</x:v>
      </x:c>
      <x:c r="J3461" s="18" t="n">
        <x:f>MIN(Model_Config_v3!$B$6,I3461+Model_Config_v3!$B$7)</x:f>
        <x:v>617</x:v>
      </x:c>
      <x:c r="K3461" s="20" t="n">
        <x:v>34.8</x:v>
      </x:c>
      <x:c r="L3461" t="str">
        <x:v>RELATIF LONGGAR</x:v>
      </x:c>
      <x:c r="M3461" t="str">
        <x:v>RENDAH</x:v>
      </x:c>
      <x:c r="N3461" t="str">
        <x:v>REGULER</x:v>
      </x:c>
      <x:c r="O3461" t="str">
        <x:v>CAMPURAN</x:v>
      </x:c>
      <x:c r="P3461" t="str">
        <x:v>UMUM</x:v>
      </x:c>
      <x:c r="Q3461" s="18" t="n">
        <x:v>0</x:v>
      </x:c>
      <x:c r="R3461" s="18" t="n">
        <x:v>0</x:v>
      </x:c>
      <x:c r="S3461" s="18" t="n">
        <x:v>520</x:v>
      </x:c>
      <x:c r="T3461" s="18" t="n">
        <x:v>630</x:v>
      </x:c>
      <x:c r="U3461" s="18" t="n">
        <x:v>520</x:v>
      </x:c>
      <x:c r="V3461" s="20" t="n">
        <x:v>8.8</x:v>
      </x:c>
      <x:c r="W3461" s="20" t="n">
        <x:v>9.9</x:v>
      </x:c>
      <x:c r="X3461" s="20" t="n">
        <x:v>3.3</x:v>
      </x:c>
      <x:c r="Y3461" t="str">
        <x:v>Basis arsip 2025/2024</x:v>
      </x:c>
      <x:c r="Z3461" t="str">
        <x:v>https://snpmb.id/utbk-snbt/daya-tampung-snbt</x:v>
      </x:c>
      <x:c r="AA3461" t="str">
        <x:v>Tidak Ada</x:v>
      </x:c>
      <x:c r="AB3461" t="str">
        <x:v>Campus=55; Ratio=0.0; Prodi=40; RelDemand=0.0; Capacity=75.0</x:v>
      </x:c>
    </x:row>
    <x:row r="3462">
      <x:c r="A3462" t="n">
        <x:v>3459</x:v>
      </x:c>
      <x:c r="B3462" t="str">
        <x:v>PTN Akademik</x:v>
      </x:c>
      <x:c r="C3462" t="str">
        <x:v>UNIVERSITAS SULAWESI BARAT</x:v>
      </x:c>
      <x:c r="D3462" t="str">
        <x:v>FARMASI</x:v>
      </x:c>
      <x:c r="E3462" t="str">
        <x:v>Diploma Tiga</x:v>
      </x:c>
      <x:c r="F3462" s="18" t="n">
        <x:v>30</x:v>
      </x:c>
      <x:c r="G3462" s="18"/>
      <x:c r="H3462" s="19" t="n">
        <x:v>0</x:v>
      </x:c>
      <x:c r="I3462" s="18" t="n">
        <x:f>ROUND(MIN(Model_Config_v3!$B$6,MAX(Q3462,R3462,S3462*Model_Config_v3!$B$4+T3462*Model_Config_v3!$B$5)),0)</x:f>
        <x:v>607</x:v>
      </x:c>
      <x:c r="J3462" s="18" t="n">
        <x:f>MIN(Model_Config_v3!$B$6,I3462+Model_Config_v3!$B$7)</x:f>
        <x:v>627</x:v>
      </x:c>
      <x:c r="K3462" s="20" t="n">
        <x:v>41.8</x:v>
      </x:c>
      <x:c r="L3462" t="str">
        <x:v>RELATIF LONGGAR</x:v>
      </x:c>
      <x:c r="M3462" t="str">
        <x:v>RENDAH</x:v>
      </x:c>
      <x:c r="N3462" t="str">
        <x:v>REGULER</x:v>
      </x:c>
      <x:c r="O3462" t="str">
        <x:v>SAINTEK</x:v>
      </x:c>
      <x:c r="P3462" t="str">
        <x:v>FARMASI</x:v>
      </x:c>
      <x:c r="Q3462" s="18" t="n">
        <x:v>0</x:v>
      </x:c>
      <x:c r="R3462" s="18" t="n">
        <x:v>0</x:v>
      </x:c>
      <x:c r="S3462" s="18" t="n">
        <x:v>520</x:v>
      </x:c>
      <x:c r="T3462" s="18" t="n">
        <x:v>644</x:v>
      </x:c>
      <x:c r="U3462" s="18" t="n">
        <x:v>540</x:v>
      </x:c>
      <x:c r="V3462" s="20" t="n">
        <x:v>12</x:v>
      </x:c>
      <x:c r="W3462" s="20" t="n">
        <x:v>5</x:v>
      </x:c>
      <x:c r="X3462" s="20" t="n">
        <x:v>3</x:v>
      </x:c>
      <x:c r="Y3462" t="str">
        <x:v>Basis arsip 2025/2024</x:v>
      </x:c>
      <x:c r="Z3462" t="str">
        <x:v>https://snpmb.id/utbk-snbt/daya-tampung-snbt</x:v>
      </x:c>
      <x:c r="AA3462" t="str">
        <x:v>Tidak Ada</x:v>
      </x:c>
      <x:c r="AB3462" t="str">
        <x:v>Campus=55; Ratio=0.0; Prodi=75; RelDemand=0.0; Capacity=75.0</x:v>
      </x:c>
    </x:row>
    <x:row r="3463">
      <x:c r="A3463" t="n">
        <x:v>3460</x:v>
      </x:c>
      <x:c r="B3463" t="str">
        <x:v>PTN Akademik</x:v>
      </x:c>
      <x:c r="C3463" t="str">
        <x:v>UNIVERSITAS HALUOLEO</x:v>
      </x:c>
      <x:c r="D3463" t="str">
        <x:v>AGRIBISNIS</x:v>
      </x:c>
      <x:c r="E3463" t="str">
        <x:v>Sarjana</x:v>
      </x:c>
      <x:c r="F3463" s="18" t="n">
        <x:v>40</x:v>
      </x:c>
      <x:c r="G3463" s="18" t="n">
        <x:v>62</x:v>
      </x:c>
      <x:c r="H3463" s="19" t="n">
        <x:v>1.55</x:v>
      </x:c>
      <x:c r="I3463" s="18" t="n">
        <x:f>ROUND(MIN(Model_Config_v3!$B$6,MAX(Q3463,R3463,S3463*Model_Config_v3!$B$4+T3463*Model_Config_v3!$B$5)),0)</x:f>
        <x:v>614</x:v>
      </x:c>
      <x:c r="J3463" s="18" t="n">
        <x:f>MIN(Model_Config_v3!$B$6,I3463+Model_Config_v3!$B$7)</x:f>
        <x:v>634</x:v>
      </x:c>
      <x:c r="K3463" s="20" t="n">
        <x:v>43.2</x:v>
      </x:c>
      <x:c r="L3463" t="str">
        <x:v>RELATIF LONGGAR</x:v>
      </x:c>
      <x:c r="M3463" t="str">
        <x:v>SEDANG+</x:v>
      </x:c>
      <x:c r="N3463" t="str">
        <x:v>REGULER</x:v>
      </x:c>
      <x:c r="O3463" t="str">
        <x:v>SOSHUM</x:v>
      </x:c>
      <x:c r="P3463" t="str">
        <x:v>BISNIS/EKONOMI/AKUNTANSI</x:v>
      </x:c>
      <x:c r="Q3463" s="18" t="n">
        <x:v>0</x:v>
      </x:c>
      <x:c r="R3463" s="18" t="n">
        <x:v>0</x:v>
      </x:c>
      <x:c r="S3463" s="18" t="n">
        <x:v>540.9364867987321</x:v>
      </x:c>
      <x:c r="T3463" s="18" t="n">
        <x:v>646</x:v>
      </x:c>
      <x:c r="U3463" s="18" t="n">
        <x:v>555.9364867987321</x:v>
      </x:c>
      <x:c r="V3463" s="20" t="n">
        <x:v>4.4</x:v>
      </x:c>
      <x:c r="W3463" s="20" t="n">
        <x:v>14.3</x:v>
      </x:c>
      <x:c r="X3463" s="20" t="n">
        <x:v>3.3</x:v>
      </x:c>
      <x:c r="Y3463" t="str">
        <x:v>Basis arsip 2025/2024</x:v>
      </x:c>
      <x:c r="Z3463" t="str">
        <x:v>https://snpmb.id/utbk-snbt/daya-tampung-snbt</x:v>
      </x:c>
      <x:c r="AA3463" t="str">
        <x:v>Tidak Ada</x:v>
      </x:c>
      <x:c r="AB3463" t="str">
        <x:v>Campus=55; Ratio=11.2; Prodi=65; RelDemand=14.6; Capacity=66.7</x:v>
      </x:c>
    </x:row>
    <x:row r="3464">
      <x:c r="A3464" t="n">
        <x:v>3461</x:v>
      </x:c>
      <x:c r="B3464" t="str">
        <x:v>PTN Akademik</x:v>
      </x:c>
      <x:c r="C3464" t="str">
        <x:v>UNIVERSITAS HALUOLEO</x:v>
      </x:c>
      <x:c r="D3464" t="str">
        <x:v>AGROTEKNOLOGI / AGROEKOTEKNOLOGI</x:v>
      </x:c>
      <x:c r="E3464" t="str">
        <x:v>Sarjana</x:v>
      </x:c>
      <x:c r="F3464" s="18" t="n">
        <x:v>32</x:v>
      </x:c>
      <x:c r="G3464" s="18" t="n">
        <x:v>24</x:v>
      </x:c>
      <x:c r="H3464" s="19" t="n">
        <x:v>0.75</x:v>
      </x:c>
      <x:c r="I3464" s="18" t="n">
        <x:f>ROUND(MIN(Model_Config_v3!$B$6,MAX(Q3464,R3464,S3464*Model_Config_v3!$B$4+T3464*Model_Config_v3!$B$5)),0)</x:f>
        <x:v>598</x:v>
      </x:c>
      <x:c r="J3464" s="18" t="n">
        <x:f>MIN(Model_Config_v3!$B$6,I3464+Model_Config_v3!$B$7)</x:f>
        <x:v>618</x:v>
      </x:c>
      <x:c r="K3464" s="20" t="n">
        <x:v>35.3</x:v>
      </x:c>
      <x:c r="L3464" t="str">
        <x:v>RELATIF LONGGAR</x:v>
      </x:c>
      <x:c r="M3464" t="str">
        <x:v>SEDANG</x:v>
      </x:c>
      <x:c r="N3464" t="str">
        <x:v>REGULER</x:v>
      </x:c>
      <x:c r="O3464" t="str">
        <x:v>SAINTEK</x:v>
      </x:c>
      <x:c r="P3464" t="str">
        <x:v>UMUM</x:v>
      </x:c>
      <x:c r="Q3464" s="18" t="n">
        <x:v>0</x:v>
      </x:c>
      <x:c r="R3464" s="18" t="n">
        <x:v>0</x:v>
      </x:c>
      <x:c r="S3464" s="18" t="n">
        <x:v>520</x:v>
      </x:c>
      <x:c r="T3464" s="18" t="n">
        <x:v>631</x:v>
      </x:c>
      <x:c r="U3464" s="18" t="n">
        <x:v>520</x:v>
      </x:c>
      <x:c r="V3464" s="20" t="n">
        <x:v>12</x:v>
      </x:c>
      <x:c r="W3464" s="20" t="n">
        <x:v>5</x:v>
      </x:c>
      <x:c r="X3464" s="20" t="n">
        <x:v>3</x:v>
      </x:c>
      <x:c r="Y3464" t="str">
        <x:v>Basis arsip 2025/2024</x:v>
      </x:c>
      <x:c r="Z3464" t="str">
        <x:v>https://snpmb.id/utbk-snbt/daya-tampung-snbt</x:v>
      </x:c>
      <x:c r="AA3464" t="str">
        <x:v>Tidak Ada</x:v>
      </x:c>
      <x:c r="AB3464" t="str">
        <x:v>Campus=55; Ratio=0.0; Prodi=40; RelDemand=7.0; Capacity=73.3</x:v>
      </x:c>
    </x:row>
    <x:row r="3465">
      <x:c r="A3465" t="n">
        <x:v>3462</x:v>
      </x:c>
      <x:c r="B3465" t="str">
        <x:v>PTN Akademik</x:v>
      </x:c>
      <x:c r="C3465" t="str">
        <x:v>UNIVERSITAS HALUOLEO</x:v>
      </x:c>
      <x:c r="D3465" t="str">
        <x:v>PETERNAKAN</x:v>
      </x:c>
      <x:c r="E3465" t="str">
        <x:v>Sarjana</x:v>
      </x:c>
      <x:c r="F3465" s="18" t="n">
        <x:v>80</x:v>
      </x:c>
      <x:c r="G3465" s="18" t="n">
        <x:v>16</x:v>
      </x:c>
      <x:c r="H3465" s="19" t="n">
        <x:v>0.2</x:v>
      </x:c>
      <x:c r="I3465" s="18" t="n">
        <x:f>ROUND(MIN(Model_Config_v3!$B$6,MAX(Q3465,R3465,S3465*Model_Config_v3!$B$4+T3465*Model_Config_v3!$B$5)),0)</x:f>
        <x:v>591</x:v>
      </x:c>
      <x:c r="J3465" s="18" t="n">
        <x:f>MIN(Model_Config_v3!$B$6,I3465+Model_Config_v3!$B$7)</x:f>
        <x:v>611</x:v>
      </x:c>
      <x:c r="K3465" s="20" t="n">
        <x:v>30.8</x:v>
      </x:c>
      <x:c r="L3465" t="str">
        <x:v>RELATIF LONGGAR</x:v>
      </x:c>
      <x:c r="M3465" t="str">
        <x:v>SEDANG</x:v>
      </x:c>
      <x:c r="N3465" t="str">
        <x:v>REGULER</x:v>
      </x:c>
      <x:c r="O3465" t="str">
        <x:v>SAINTEK</x:v>
      </x:c>
      <x:c r="P3465" t="str">
        <x:v>UMUM</x:v>
      </x:c>
      <x:c r="Q3465" s="18" t="n">
        <x:v>0</x:v>
      </x:c>
      <x:c r="R3465" s="18" t="n">
        <x:v>0</x:v>
      </x:c>
      <x:c r="S3465" s="18" t="n">
        <x:v>520</x:v>
      </x:c>
      <x:c r="T3465" s="18" t="n">
        <x:v>622</x:v>
      </x:c>
      <x:c r="U3465" s="18" t="n">
        <x:v>520</x:v>
      </x:c>
      <x:c r="V3465" s="20" t="n">
        <x:v>12</x:v>
      </x:c>
      <x:c r="W3465" s="20" t="n">
        <x:v>5</x:v>
      </x:c>
      <x:c r="X3465" s="20" t="n">
        <x:v>3</x:v>
      </x:c>
      <x:c r="Y3465" t="str">
        <x:v>Basis arsip 2025/2024</x:v>
      </x:c>
      <x:c r="Z3465" t="str">
        <x:v>https://snpmb.id/utbk-snbt/daya-tampung-snbt</x:v>
      </x:c>
      <x:c r="AA3465" t="str">
        <x:v>Tidak Ada</x:v>
      </x:c>
      <x:c r="AB3465" t="str">
        <x:v>Campus=55; Ratio=0.0; Prodi=40; RelDemand=1.9; Capacity=33.3</x:v>
      </x:c>
    </x:row>
    <x:row r="3466">
      <x:c r="A3466" t="n">
        <x:v>3463</x:v>
      </x:c>
      <x:c r="B3466" t="str">
        <x:v>PTN Akademik</x:v>
      </x:c>
      <x:c r="C3466" t="str">
        <x:v>UNIVERSITAS HALUOLEO</x:v>
      </x:c>
      <x:c r="D3466" t="str">
        <x:v>MANAJEMEN SUMBERDAYA PERAIRAN</x:v>
      </x:c>
      <x:c r="E3466" t="str">
        <x:v>Sarjana</x:v>
      </x:c>
      <x:c r="F3466" s="18" t="n">
        <x:v>24</x:v>
      </x:c>
      <x:c r="G3466" s="18" t="n">
        <x:v>11</x:v>
      </x:c>
      <x:c r="H3466" s="19" t="n">
        <x:v>0.4583333333333333</x:v>
      </x:c>
      <x:c r="I3466" s="18" t="n">
        <x:f>ROUND(MIN(Model_Config_v3!$B$6,MAX(Q3466,R3466,S3466*Model_Config_v3!$B$4+T3466*Model_Config_v3!$B$5)),0)</x:f>
        <x:v>605</x:v>
      </x:c>
      <x:c r="J3466" s="18" t="n">
        <x:f>MIN(Model_Config_v3!$B$6,I3466+Model_Config_v3!$B$7)</x:f>
        <x:v>625</x:v>
      </x:c>
      <x:c r="K3466" s="20" t="n">
        <x:v>40.7</x:v>
      </x:c>
      <x:c r="L3466" t="str">
        <x:v>RELATIF LONGGAR</x:v>
      </x:c>
      <x:c r="M3466" t="str">
        <x:v>SEDANG+</x:v>
      </x:c>
      <x:c r="N3466" t="str">
        <x:v>REGULER</x:v>
      </x:c>
      <x:c r="O3466" t="str">
        <x:v>SOSHUM</x:v>
      </x:c>
      <x:c r="P3466" t="str">
        <x:v>BISNIS/EKONOMI/AKUNTANSI</x:v>
      </x:c>
      <x:c r="Q3466" s="18" t="n">
        <x:v>0</x:v>
      </x:c>
      <x:c r="R3466" s="18" t="n">
        <x:v>0</x:v>
      </x:c>
      <x:c r="S3466" s="18" t="n">
        <x:v>520</x:v>
      </x:c>
      <x:c r="T3466" s="18" t="n">
        <x:v>641</x:v>
      </x:c>
      <x:c r="U3466" s="18" t="n">
        <x:v>535</x:v>
      </x:c>
      <x:c r="V3466" s="20" t="n">
        <x:v>4.4</x:v>
      </x:c>
      <x:c r="W3466" s="20" t="n">
        <x:v>14.3</x:v>
      </x:c>
      <x:c r="X3466" s="20" t="n">
        <x:v>3.3</x:v>
      </x:c>
      <x:c r="Y3466" t="str">
        <x:v>Basis arsip 2025/2024</x:v>
      </x:c>
      <x:c r="Z3466" t="str">
        <x:v>https://snpmb.id/utbk-snbt/daya-tampung-snbt</x:v>
      </x:c>
      <x:c r="AA3466" t="str">
        <x:v>Tidak Ada</x:v>
      </x:c>
      <x:c r="AB3466" t="str">
        <x:v>Campus=55; Ratio=0.0; Prodi=65; RelDemand=4.3; Capacity=80.0</x:v>
      </x:c>
    </x:row>
    <x:row r="3467">
      <x:c r="A3467" t="n">
        <x:v>3464</x:v>
      </x:c>
      <x:c r="B3467" t="str">
        <x:v>PTN Akademik</x:v>
      </x:c>
      <x:c r="C3467" t="str">
        <x:v>UNIVERSITAS HALUOLEO</x:v>
      </x:c>
      <x:c r="D3467" t="str">
        <x:v>BUDIDAYA PERAIRAN</x:v>
      </x:c>
      <x:c r="E3467" t="str">
        <x:v>Sarjana</x:v>
      </x:c>
      <x:c r="F3467" s="18" t="n">
        <x:v>24</x:v>
      </x:c>
      <x:c r="G3467" s="18" t="n">
        <x:v>9</x:v>
      </x:c>
      <x:c r="H3467" s="19" t="n">
        <x:v>0.375</x:v>
      </x:c>
      <x:c r="I3467" s="18" t="n">
        <x:f>ROUND(MIN(Model_Config_v3!$B$6,MAX(Q3467,R3467,S3467*Model_Config_v3!$B$4+T3467*Model_Config_v3!$B$5)),0)</x:f>
        <x:v>598</x:v>
      </x:c>
      <x:c r="J3467" s="18" t="n">
        <x:f>MIN(Model_Config_v3!$B$6,I3467+Model_Config_v3!$B$7)</x:f>
        <x:v>618</x:v>
      </x:c>
      <x:c r="K3467" s="20" t="n">
        <x:v>35.6</x:v>
      </x:c>
      <x:c r="L3467" t="str">
        <x:v>RELATIF LONGGAR</x:v>
      </x:c>
      <x:c r="M3467" t="str">
        <x:v>SEDANG</x:v>
      </x:c>
      <x:c r="N3467" t="str">
        <x:v>REGULER</x:v>
      </x:c>
      <x:c r="O3467" t="str">
        <x:v>CAMPURAN</x:v>
      </x:c>
      <x:c r="P3467" t="str">
        <x:v>UMUM</x:v>
      </x:c>
      <x:c r="Q3467" s="18" t="n">
        <x:v>0</x:v>
      </x:c>
      <x:c r="R3467" s="18" t="n">
        <x:v>0</x:v>
      </x:c>
      <x:c r="S3467" s="18" t="n">
        <x:v>520</x:v>
      </x:c>
      <x:c r="T3467" s="18" t="n">
        <x:v>631</x:v>
      </x:c>
      <x:c r="U3467" s="18" t="n">
        <x:v>520</x:v>
      </x:c>
      <x:c r="V3467" s="20" t="n">
        <x:v>8.8</x:v>
      </x:c>
      <x:c r="W3467" s="20" t="n">
        <x:v>9.9</x:v>
      </x:c>
      <x:c r="X3467" s="20" t="n">
        <x:v>3.3</x:v>
      </x:c>
      <x:c r="Y3467" t="str">
        <x:v>Basis arsip 2025/2024</x:v>
      </x:c>
      <x:c r="Z3467" t="str">
        <x:v>https://snpmb.id/utbk-snbt/daya-tampung-snbt</x:v>
      </x:c>
      <x:c r="AA3467" t="str">
        <x:v>Tidak Ada</x:v>
      </x:c>
      <x:c r="AB3467" t="str">
        <x:v>Campus=55; Ratio=0.0; Prodi=40; RelDemand=3.5; Capacity=80.0</x:v>
      </x:c>
    </x:row>
    <x:row r="3468">
      <x:c r="A3468" t="n">
        <x:v>3465</x:v>
      </x:c>
      <x:c r="B3468" t="str">
        <x:v>PTN Akademik</x:v>
      </x:c>
      <x:c r="C3468" t="str">
        <x:v>UNIVERSITAS HALUOLEO</x:v>
      </x:c>
      <x:c r="D3468" t="str">
        <x:v>MATEMATIKA</x:v>
      </x:c>
      <x:c r="E3468" t="str">
        <x:v>Sarjana</x:v>
      </x:c>
      <x:c r="F3468" s="18" t="n">
        <x:v>24</x:v>
      </x:c>
      <x:c r="G3468" s="18" t="n">
        <x:v>21</x:v>
      </x:c>
      <x:c r="H3468" s="19" t="n">
        <x:v>0.875</x:v>
      </x:c>
      <x:c r="I3468" s="18" t="n">
        <x:f>ROUND(MIN(Model_Config_v3!$B$6,MAX(Q3468,R3468,S3468*Model_Config_v3!$B$4+T3468*Model_Config_v3!$B$5)),0)</x:f>
        <x:v>601</x:v>
      </x:c>
      <x:c r="J3468" s="18" t="n">
        <x:f>MIN(Model_Config_v3!$B$6,I3468+Model_Config_v3!$B$7)</x:f>
        <x:v>621</x:v>
      </x:c>
      <x:c r="K3468" s="20" t="n">
        <x:v>38.1</x:v>
      </x:c>
      <x:c r="L3468" t="str">
        <x:v>RELATIF LONGGAR</x:v>
      </x:c>
      <x:c r="M3468" t="str">
        <x:v>SEDANG+</x:v>
      </x:c>
      <x:c r="N3468" t="str">
        <x:v>REGULER</x:v>
      </x:c>
      <x:c r="O3468" t="str">
        <x:v>SAINTEK</x:v>
      </x:c>
      <x:c r="P3468" t="str">
        <x:v>SAINS DASAR</x:v>
      </x:c>
      <x:c r="Q3468" s="18" t="n">
        <x:v>0</x:v>
      </x:c>
      <x:c r="R3468" s="18" t="n">
        <x:v>0</x:v>
      </x:c>
      <x:c r="S3468" s="18" t="n">
        <x:v>520</x:v>
      </x:c>
      <x:c r="T3468" s="18" t="n">
        <x:v>636</x:v>
      </x:c>
      <x:c r="U3468" s="18" t="n">
        <x:v>520</x:v>
      </x:c>
      <x:c r="V3468" s="20" t="n">
        <x:v>12</x:v>
      </x:c>
      <x:c r="W3468" s="20" t="n">
        <x:v>5</x:v>
      </x:c>
      <x:c r="X3468" s="20" t="n">
        <x:v>3</x:v>
      </x:c>
      <x:c r="Y3468" t="str">
        <x:v>Basis arsip 2025/2024</x:v>
      </x:c>
      <x:c r="Z3468" t="str">
        <x:v>https://snpmb.id/utbk-snbt/daya-tampung-snbt</x:v>
      </x:c>
      <x:c r="AA3468" t="str">
        <x:v>Tidak Ada</x:v>
      </x:c>
      <x:c r="AB3468" t="str">
        <x:v>Campus=55; Ratio=0.0; Prodi=50; RelDemand=8.2; Capacity=80.0</x:v>
      </x:c>
    </x:row>
    <x:row r="3469">
      <x:c r="A3469" t="n">
        <x:v>3466</x:v>
      </x:c>
      <x:c r="B3469" t="str">
        <x:v>PTN Akademik</x:v>
      </x:c>
      <x:c r="C3469" t="str">
        <x:v>UNIVERSITAS HALUOLEO</x:v>
      </x:c>
      <x:c r="D3469" t="str">
        <x:v>FISIKA</x:v>
      </x:c>
      <x:c r="E3469" t="str">
        <x:v>Sarjana</x:v>
      </x:c>
      <x:c r="F3469" s="18" t="n">
        <x:v>24</x:v>
      </x:c>
      <x:c r="G3469" s="18" t="n">
        <x:v>8</x:v>
      </x:c>
      <x:c r="H3469" s="19" t="n">
        <x:v>0.3333333333333333</x:v>
      </x:c>
      <x:c r="I3469" s="18" t="n">
        <x:f>ROUND(MIN(Model_Config_v3!$B$6,MAX(Q3469,R3469,S3469*Model_Config_v3!$B$4+T3469*Model_Config_v3!$B$5)),0)</x:f>
        <x:v>601</x:v>
      </x:c>
      <x:c r="J3469" s="18" t="n">
        <x:f>MIN(Model_Config_v3!$B$6,I3469+Model_Config_v3!$B$7)</x:f>
        <x:v>621</x:v>
      </x:c>
      <x:c r="K3469" s="20" t="n">
        <x:v>37.6</x:v>
      </x:c>
      <x:c r="L3469" t="str">
        <x:v>RELATIF LONGGAR</x:v>
      </x:c>
      <x:c r="M3469" t="str">
        <x:v>SEDANG+</x:v>
      </x:c>
      <x:c r="N3469" t="str">
        <x:v>REGULER</x:v>
      </x:c>
      <x:c r="O3469" t="str">
        <x:v>SAINTEK</x:v>
      </x:c>
      <x:c r="P3469" t="str">
        <x:v>SAINS DASAR</x:v>
      </x:c>
      <x:c r="Q3469" s="18" t="n">
        <x:v>0</x:v>
      </x:c>
      <x:c r="R3469" s="18" t="n">
        <x:v>0</x:v>
      </x:c>
      <x:c r="S3469" s="18" t="n">
        <x:v>520</x:v>
      </x:c>
      <x:c r="T3469" s="18" t="n">
        <x:v>635</x:v>
      </x:c>
      <x:c r="U3469" s="18" t="n">
        <x:v>520</x:v>
      </x:c>
      <x:c r="V3469" s="20" t="n">
        <x:v>12</x:v>
      </x:c>
      <x:c r="W3469" s="20" t="n">
        <x:v>5</x:v>
      </x:c>
      <x:c r="X3469" s="20" t="n">
        <x:v>3</x:v>
      </x:c>
      <x:c r="Y3469" t="str">
        <x:v>Basis arsip 2025/2024</x:v>
      </x:c>
      <x:c r="Z3469" t="str">
        <x:v>https://snpmb.id/utbk-snbt/daya-tampung-snbt</x:v>
      </x:c>
      <x:c r="AA3469" t="str">
        <x:v>Tidak Ada</x:v>
      </x:c>
      <x:c r="AB3469" t="str">
        <x:v>Campus=55; Ratio=0.0; Prodi=50; RelDemand=3.1; Capacity=80.0</x:v>
      </x:c>
    </x:row>
    <x:row r="3470">
      <x:c r="A3470" t="n">
        <x:v>3467</x:v>
      </x:c>
      <x:c r="B3470" t="str">
        <x:v>PTN Akademik</x:v>
      </x:c>
      <x:c r="C3470" t="str">
        <x:v>UNIVERSITAS HALUOLEO</x:v>
      </x:c>
      <x:c r="D3470" t="str">
        <x:v>KIMIA</x:v>
      </x:c>
      <x:c r="E3470" t="str">
        <x:v>Sarjana</x:v>
      </x:c>
      <x:c r="F3470" s="18" t="n">
        <x:v>32</x:v>
      </x:c>
      <x:c r="G3470" s="18" t="n">
        <x:v>25</x:v>
      </x:c>
      <x:c r="H3470" s="19" t="n">
        <x:v>0.78125</x:v>
      </x:c>
      <x:c r="I3470" s="18" t="n">
        <x:f>ROUND(MIN(Model_Config_v3!$B$6,MAX(Q3470,R3470,S3470*Model_Config_v3!$B$4+T3470*Model_Config_v3!$B$5)),0)</x:f>
        <x:v>601</x:v>
      </x:c>
      <x:c r="J3470" s="18" t="n">
        <x:f>MIN(Model_Config_v3!$B$6,I3470+Model_Config_v3!$B$7)</x:f>
        <x:v>621</x:v>
      </x:c>
      <x:c r="K3470" s="20" t="n">
        <x:v>37.3</x:v>
      </x:c>
      <x:c r="L3470" t="str">
        <x:v>RELATIF LONGGAR</x:v>
      </x:c>
      <x:c r="M3470" t="str">
        <x:v>SEDANG+</x:v>
      </x:c>
      <x:c r="N3470" t="str">
        <x:v>REGULER</x:v>
      </x:c>
      <x:c r="O3470" t="str">
        <x:v>SAINTEK</x:v>
      </x:c>
      <x:c r="P3470" t="str">
        <x:v>SAINS DASAR</x:v>
      </x:c>
      <x:c r="Q3470" s="18" t="n">
        <x:v>0</x:v>
      </x:c>
      <x:c r="R3470" s="18" t="n">
        <x:v>0</x:v>
      </x:c>
      <x:c r="S3470" s="18" t="n">
        <x:v>520</x:v>
      </x:c>
      <x:c r="T3470" s="18" t="n">
        <x:v>635</x:v>
      </x:c>
      <x:c r="U3470" s="18" t="n">
        <x:v>520</x:v>
      </x:c>
      <x:c r="V3470" s="20" t="n">
        <x:v>12</x:v>
      </x:c>
      <x:c r="W3470" s="20" t="n">
        <x:v>5</x:v>
      </x:c>
      <x:c r="X3470" s="20" t="n">
        <x:v>3</x:v>
      </x:c>
      <x:c r="Y3470" t="str">
        <x:v>Basis arsip 2025/2024</x:v>
      </x:c>
      <x:c r="Z3470" t="str">
        <x:v>https://snpmb.id/utbk-snbt/daya-tampung-snbt</x:v>
      </x:c>
      <x:c r="AA3470" t="str">
        <x:v>Tidak Ada</x:v>
      </x:c>
      <x:c r="AB3470" t="str">
        <x:v>Campus=55; Ratio=0.0; Prodi=50; RelDemand=7.3; Capacity=73.3</x:v>
      </x:c>
    </x:row>
    <x:row r="3471">
      <x:c r="A3471" t="n">
        <x:v>3468</x:v>
      </x:c>
      <x:c r="B3471" t="str">
        <x:v>PTN Akademik</x:v>
      </x:c>
      <x:c r="C3471" t="str">
        <x:v>UNIVERSITAS HALUOLEO</x:v>
      </x:c>
      <x:c r="D3471" t="str">
        <x:v>BIOLOGI</x:v>
      </x:c>
      <x:c r="E3471" t="str">
        <x:v>Sarjana</x:v>
      </x:c>
      <x:c r="F3471" s="18" t="n">
        <x:v>32</x:v>
      </x:c>
      <x:c r="G3471" s="18" t="n">
        <x:v>36</x:v>
      </x:c>
      <x:c r="H3471" s="19" t="n">
        <x:v>1.125</x:v>
      </x:c>
      <x:c r="I3471" s="18" t="n">
        <x:f>ROUND(MIN(Model_Config_v3!$B$6,MAX(Q3471,R3471,S3471*Model_Config_v3!$B$4+T3471*Model_Config_v3!$B$5)),0)</x:f>
        <x:v>604</x:v>
      </x:c>
      <x:c r="J3471" s="18" t="n">
        <x:f>MIN(Model_Config_v3!$B$6,I3471+Model_Config_v3!$B$7)</x:f>
        <x:v>624</x:v>
      </x:c>
      <x:c r="K3471" s="20" t="n">
        <x:v>38.4</x:v>
      </x:c>
      <x:c r="L3471" t="str">
        <x:v>RELATIF LONGGAR</x:v>
      </x:c>
      <x:c r="M3471" t="str">
        <x:v>SEDANG+</x:v>
      </x:c>
      <x:c r="N3471" t="str">
        <x:v>REGULER</x:v>
      </x:c>
      <x:c r="O3471" t="str">
        <x:v>SAINTEK</x:v>
      </x:c>
      <x:c r="P3471" t="str">
        <x:v>SAINS DASAR</x:v>
      </x:c>
      <x:c r="Q3471" s="18" t="n">
        <x:v>0</x:v>
      </x:c>
      <x:c r="R3471" s="18" t="n">
        <x:v>0</x:v>
      </x:c>
      <x:c r="S3471" s="18" t="n">
        <x:v>525.6267774692119</x:v>
      </x:c>
      <x:c r="T3471" s="18" t="n">
        <x:v>637</x:v>
      </x:c>
      <x:c r="U3471" s="18" t="n">
        <x:v>525.6267774692119</x:v>
      </x:c>
      <x:c r="V3471" s="20" t="n">
        <x:v>12</x:v>
      </x:c>
      <x:c r="W3471" s="20" t="n">
        <x:v>5</x:v>
      </x:c>
      <x:c r="X3471" s="20" t="n">
        <x:v>3</x:v>
      </x:c>
      <x:c r="Y3471" t="str">
        <x:v>Basis arsip 2025/2024</x:v>
      </x:c>
      <x:c r="Z3471" t="str">
        <x:v>https://snpmb.id/utbk-snbt/daya-tampung-snbt</x:v>
      </x:c>
      <x:c r="AA3471" t="str">
        <x:v>Tidak Ada</x:v>
      </x:c>
      <x:c r="AB3471" t="str">
        <x:v>Campus=55; Ratio=3.0; Prodi=50; RelDemand=10.6; Capacity=73.3</x:v>
      </x:c>
    </x:row>
    <x:row r="3472">
      <x:c r="A3472" t="n">
        <x:v>3469</x:v>
      </x:c>
      <x:c r="B3472" t="str">
        <x:v>PTN Akademik</x:v>
      </x:c>
      <x:c r="C3472" t="str">
        <x:v>UNIVERSITAS HALUOLEO</x:v>
      </x:c>
      <x:c r="D3472" t="str">
        <x:v>ILMU KESEHATAN MASYARAKAT</x:v>
      </x:c>
      <x:c r="E3472" t="str">
        <x:v>Sarjana</x:v>
      </x:c>
      <x:c r="F3472" s="18" t="n">
        <x:v>140</x:v>
      </x:c>
      <x:c r="G3472" s="18" t="n">
        <x:v>795</x:v>
      </x:c>
      <x:c r="H3472" s="19" t="n">
        <x:v>5.678571428571429</x:v>
      </x:c>
      <x:c r="I3472" s="18" t="n">
        <x:f>ROUND(MIN(Model_Config_v3!$B$6,MAX(Q3472,R3472,S3472*Model_Config_v3!$B$4+T3472*Model_Config_v3!$B$5)),0)</x:f>
        <x:v>638</x:v>
      </x:c>
      <x:c r="J3472" s="18" t="n">
        <x:f>MIN(Model_Config_v3!$B$6,I3472+Model_Config_v3!$B$7)</x:f>
        <x:v>658</x:v>
      </x:c>
      <x:c r="K3472" s="20" t="n">
        <x:v>46.7</x:v>
      </x:c>
      <x:c r="L3472" t="str">
        <x:v>MENENGAH</x:v>
      </x:c>
      <x:c r="M3472" t="str">
        <x:v>SEDANG+</x:v>
      </x:c>
      <x:c r="N3472" t="str">
        <x:v>REGULER</x:v>
      </x:c>
      <x:c r="O3472" t="str">
        <x:v>SAINTEK</x:v>
      </x:c>
      <x:c r="P3472" t="str">
        <x:v>KESEHAT/GIZI/KEPERAWATAN</x:v>
      </x:c>
      <x:c r="Q3472" s="18" t="n">
        <x:v>0</x:v>
      </x:c>
      <x:c r="R3472" s="18" t="n">
        <x:v>0</x:v>
      </x:c>
      <x:c r="S3472" s="18" t="n">
        <x:v>602.9663002276055</x:v>
      </x:c>
      <x:c r="T3472" s="18" t="n">
        <x:v>653</x:v>
      </x:c>
      <x:c r="U3472" s="18" t="n">
        <x:v>602.9663002276055</x:v>
      </x:c>
      <x:c r="V3472" s="20" t="n">
        <x:v>12</x:v>
      </x:c>
      <x:c r="W3472" s="20" t="n">
        <x:v>5</x:v>
      </x:c>
      <x:c r="X3472" s="20" t="n">
        <x:v>3</x:v>
      </x:c>
      <x:c r="Y3472" t="str">
        <x:v>Basis arsip 2025/2024</x:v>
      </x:c>
      <x:c r="Z3472" t="str">
        <x:v>https://snpmb.id/utbk-snbt/daya-tampung-snbt</x:v>
      </x:c>
      <x:c r="AA3472" t="str">
        <x:v>Tidak Ada</x:v>
      </x:c>
      <x:c r="AB3472" t="str">
        <x:v>Campus=55; Ratio=44.4; Prodi=55; RelDemand=53.3; Capacity=0.0</x:v>
      </x:c>
    </x:row>
    <x:row r="3473">
      <x:c r="A3473" t="n">
        <x:v>3470</x:v>
      </x:c>
      <x:c r="B3473" t="str">
        <x:v>PTN Akademik</x:v>
      </x:c>
      <x:c r="C3473" t="str">
        <x:v>UNIVERSITAS HALUOLEO</x:v>
      </x:c>
      <x:c r="D3473" t="str">
        <x:v>PENDIDIKAN MATEMATIKA</x:v>
      </x:c>
      <x:c r="E3473" t="str">
        <x:v>Sarjana</x:v>
      </x:c>
      <x:c r="F3473" s="18" t="n">
        <x:v>44</x:v>
      </x:c>
      <x:c r="G3473" s="18" t="n">
        <x:v>167</x:v>
      </x:c>
      <x:c r="H3473" s="19" t="n">
        <x:v>3.7954545454545454</x:v>
      </x:c>
      <x:c r="I3473" s="18" t="n">
        <x:f>ROUND(MIN(Model_Config_v3!$B$6,MAX(Q3473,R3473,S3473*Model_Config_v3!$B$4+T3473*Model_Config_v3!$B$5)),0)</x:f>
        <x:v>632</x:v>
      </x:c>
      <x:c r="J3473" s="18" t="n">
        <x:f>MIN(Model_Config_v3!$B$6,I3473+Model_Config_v3!$B$7)</x:f>
        <x:v>652</x:v>
      </x:c>
      <x:c r="K3473" s="20" t="n">
        <x:v>46.7</x:v>
      </x:c>
      <x:c r="L3473" t="str">
        <x:v>MENENGAH</x:v>
      </x:c>
      <x:c r="M3473" t="str">
        <x:v>SEDANG+</x:v>
      </x:c>
      <x:c r="N3473" t="str">
        <x:v>REGULER</x:v>
      </x:c>
      <x:c r="O3473" t="str">
        <x:v>SAINTEK</x:v>
      </x:c>
      <x:c r="P3473" t="str">
        <x:v>PENDIDIKAN</x:v>
      </x:c>
      <x:c r="Q3473" s="18" t="n">
        <x:v>0</x:v>
      </x:c>
      <x:c r="R3473" s="18" t="n">
        <x:v>0</x:v>
      </x:c>
      <x:c r="S3473" s="18" t="n">
        <x:v>583.7190174127535</x:v>
      </x:c>
      <x:c r="T3473" s="18" t="n">
        <x:v>653</x:v>
      </x:c>
      <x:c r="U3473" s="18" t="n">
        <x:v>583.7190174127535</x:v>
      </x:c>
      <x:c r="V3473" s="20" t="n">
        <x:v>12</x:v>
      </x:c>
      <x:c r="W3473" s="20" t="n">
        <x:v>5</x:v>
      </x:c>
      <x:c r="X3473" s="20" t="n">
        <x:v>3</x:v>
      </x:c>
      <x:c r="Y3473" t="str">
        <x:v>Basis arsip 2025/2024</x:v>
      </x:c>
      <x:c r="Z3473" t="str">
        <x:v>https://snpmb.id/utbk-snbt/daya-tampung-snbt</x:v>
      </x:c>
      <x:c r="AA3473" t="str">
        <x:v>Tidak Ada</x:v>
      </x:c>
      <x:c r="AB3473" t="str">
        <x:v>Campus=55; Ratio=34.1; Prodi=45; RelDemand=35.7; Capacity=63.3</x:v>
      </x:c>
    </x:row>
    <x:row r="3474">
      <x:c r="A3474" t="n">
        <x:v>3471</x:v>
      </x:c>
      <x:c r="B3474" t="str">
        <x:v>PTN Akademik</x:v>
      </x:c>
      <x:c r="C3474" t="str">
        <x:v>UNIVERSITAS HALUOLEO</x:v>
      </x:c>
      <x:c r="D3474" t="str">
        <x:v>PENDIDIKAN BIOLOGI</x:v>
      </x:c>
      <x:c r="E3474" t="str">
        <x:v>Sarjana</x:v>
      </x:c>
      <x:c r="F3474" s="18" t="n">
        <x:v>32</x:v>
      </x:c>
      <x:c r="G3474" s="18" t="n">
        <x:v>98</x:v>
      </x:c>
      <x:c r="H3474" s="19" t="n">
        <x:v>3.0625</x:v>
      </x:c>
      <x:c r="I3474" s="18" t="n">
        <x:f>ROUND(MIN(Model_Config_v3!$B$6,MAX(Q3474,R3474,S3474*Model_Config_v3!$B$4+T3474*Model_Config_v3!$B$5)),0)</x:f>
        <x:v>628</x:v>
      </x:c>
      <x:c r="J3474" s="18" t="n">
        <x:f>MIN(Model_Config_v3!$B$6,I3474+Model_Config_v3!$B$7)</x:f>
        <x:v>648</x:v>
      </x:c>
      <x:c r="K3474" s="20" t="n">
        <x:v>45.6</x:v>
      </x:c>
      <x:c r="L3474" t="str">
        <x:v>MENENGAH</x:v>
      </x:c>
      <x:c r="M3474" t="str">
        <x:v>SEDANG+</x:v>
      </x:c>
      <x:c r="N3474" t="str">
        <x:v>REGULER</x:v>
      </x:c>
      <x:c r="O3474" t="str">
        <x:v>SAINTEK</x:v>
      </x:c>
      <x:c r="P3474" t="str">
        <x:v>PENDIDIKAN</x:v>
      </x:c>
      <x:c r="Q3474" s="18" t="n">
        <x:v>0</x:v>
      </x:c>
      <x:c r="R3474" s="18" t="n">
        <x:v>0</x:v>
      </x:c>
      <x:c r="S3474" s="18" t="n">
        <x:v>573.4683707109848</x:v>
      </x:c>
      <x:c r="T3474" s="18" t="n">
        <x:v>651</x:v>
      </x:c>
      <x:c r="U3474" s="18" t="n">
        <x:v>573.4683707109848</x:v>
      </x:c>
      <x:c r="V3474" s="20" t="n">
        <x:v>12</x:v>
      </x:c>
      <x:c r="W3474" s="20" t="n">
        <x:v>5</x:v>
      </x:c>
      <x:c r="X3474" s="20" t="n">
        <x:v>3</x:v>
      </x:c>
      <x:c r="Y3474" t="str">
        <x:v>Basis arsip 2025/2024</x:v>
      </x:c>
      <x:c r="Z3474" t="str">
        <x:v>https://snpmb.id/utbk-snbt/daya-tampung-snbt</x:v>
      </x:c>
      <x:c r="AA3474" t="str">
        <x:v>Tidak Ada</x:v>
      </x:c>
      <x:c r="AB3474" t="str">
        <x:v>Campus=55; Ratio=28.6; Prodi=45; RelDemand=28.8; Capacity=73.3</x:v>
      </x:c>
    </x:row>
    <x:row r="3475">
      <x:c r="A3475" t="n">
        <x:v>3472</x:v>
      </x:c>
      <x:c r="B3475" t="str">
        <x:v>PTN Akademik</x:v>
      </x:c>
      <x:c r="C3475" t="str">
        <x:v>UNIVERSITAS HALUOLEO</x:v>
      </x:c>
      <x:c r="D3475" t="str">
        <x:v>PENDIDIKAN FISIKA</x:v>
      </x:c>
      <x:c r="E3475" t="str">
        <x:v>Sarjana</x:v>
      </x:c>
      <x:c r="F3475" s="18" t="n">
        <x:v>40</x:v>
      </x:c>
      <x:c r="G3475" s="18" t="n">
        <x:v>38</x:v>
      </x:c>
      <x:c r="H3475" s="19" t="n">
        <x:v>0.95</x:v>
      </x:c>
      <x:c r="I3475" s="18" t="n">
        <x:f>ROUND(MIN(Model_Config_v3!$B$6,MAX(Q3475,R3475,S3475*Model_Config_v3!$B$4+T3475*Model_Config_v3!$B$5)),0)</x:f>
        <x:v>598</x:v>
      </x:c>
      <x:c r="J3475" s="18" t="n">
        <x:f>MIN(Model_Config_v3!$B$6,I3475+Model_Config_v3!$B$7)</x:f>
        <x:v>618</x:v>
      </x:c>
      <x:c r="K3475" s="20" t="n">
        <x:v>35.8</x:v>
      </x:c>
      <x:c r="L3475" t="str">
        <x:v>RELATIF LONGGAR</x:v>
      </x:c>
      <x:c r="M3475" t="str">
        <x:v>SEDANG+</x:v>
      </x:c>
      <x:c r="N3475" t="str">
        <x:v>REGULER</x:v>
      </x:c>
      <x:c r="O3475" t="str">
        <x:v>SAINTEK</x:v>
      </x:c>
      <x:c r="P3475" t="str">
        <x:v>PENDIDIKAN</x:v>
      </x:c>
      <x:c r="Q3475" s="18" t="n">
        <x:v>0</x:v>
      </x:c>
      <x:c r="R3475" s="18" t="n">
        <x:v>0</x:v>
      </x:c>
      <x:c r="S3475" s="18" t="n">
        <x:v>520</x:v>
      </x:c>
      <x:c r="T3475" s="18" t="n">
        <x:v>632</x:v>
      </x:c>
      <x:c r="U3475" s="18" t="n">
        <x:v>520</x:v>
      </x:c>
      <x:c r="V3475" s="20" t="n">
        <x:v>12</x:v>
      </x:c>
      <x:c r="W3475" s="20" t="n">
        <x:v>5</x:v>
      </x:c>
      <x:c r="X3475" s="20" t="n">
        <x:v>3</x:v>
      </x:c>
      <x:c r="Y3475" t="str">
        <x:v>Basis arsip 2025/2024</x:v>
      </x:c>
      <x:c r="Z3475" t="str">
        <x:v>https://snpmb.id/utbk-snbt/daya-tampung-snbt</x:v>
      </x:c>
      <x:c r="AA3475" t="str">
        <x:v>Tidak Ada</x:v>
      </x:c>
      <x:c r="AB3475" t="str">
        <x:v>Campus=55; Ratio=0.0; Prodi=45; RelDemand=8.9; Capacity=66.7</x:v>
      </x:c>
    </x:row>
    <x:row r="3476">
      <x:c r="A3476" t="n">
        <x:v>3473</x:v>
      </x:c>
      <x:c r="B3476" t="str">
        <x:v>PTN Akademik</x:v>
      </x:c>
      <x:c r="C3476" t="str">
        <x:v>UNIVERSITAS HALUOLEO</x:v>
      </x:c>
      <x:c r="D3476" t="str">
        <x:v>PENDIDIKAN KIMIA</x:v>
      </x:c>
      <x:c r="E3476" t="str">
        <x:v>Sarjana</x:v>
      </x:c>
      <x:c r="F3476" s="18" t="n">
        <x:v>34</x:v>
      </x:c>
      <x:c r="G3476" s="18" t="n">
        <x:v>24</x:v>
      </x:c>
      <x:c r="H3476" s="19" t="n">
        <x:v>0.7058823529411765</x:v>
      </x:c>
      <x:c r="I3476" s="18" t="n">
        <x:f>ROUND(MIN(Model_Config_v3!$B$6,MAX(Q3476,R3476,S3476*Model_Config_v3!$B$4+T3476*Model_Config_v3!$B$5)),0)</x:f>
        <x:v>598</x:v>
      </x:c>
      <x:c r="J3476" s="18" t="n">
        <x:f>MIN(Model_Config_v3!$B$6,I3476+Model_Config_v3!$B$7)</x:f>
        <x:v>618</x:v>
      </x:c>
      <x:c r="K3476" s="20" t="n">
        <x:v>36.1</x:v>
      </x:c>
      <x:c r="L3476" t="str">
        <x:v>RELATIF LONGGAR</x:v>
      </x:c>
      <x:c r="M3476" t="str">
        <x:v>SEDANG+</x:v>
      </x:c>
      <x:c r="N3476" t="str">
        <x:v>REGULER</x:v>
      </x:c>
      <x:c r="O3476" t="str">
        <x:v>SAINTEK</x:v>
      </x:c>
      <x:c r="P3476" t="str">
        <x:v>PENDIDIKAN</x:v>
      </x:c>
      <x:c r="Q3476" s="18" t="n">
        <x:v>0</x:v>
      </x:c>
      <x:c r="R3476" s="18" t="n">
        <x:v>0</x:v>
      </x:c>
      <x:c r="S3476" s="18" t="n">
        <x:v>520</x:v>
      </x:c>
      <x:c r="T3476" s="18" t="n">
        <x:v>632</x:v>
      </x:c>
      <x:c r="U3476" s="18" t="n">
        <x:v>520</x:v>
      </x:c>
      <x:c r="V3476" s="20" t="n">
        <x:v>12</x:v>
      </x:c>
      <x:c r="W3476" s="20" t="n">
        <x:v>5</x:v>
      </x:c>
      <x:c r="X3476" s="20" t="n">
        <x:v>3</x:v>
      </x:c>
      <x:c r="Y3476" t="str">
        <x:v>Basis arsip 2025/2024</x:v>
      </x:c>
      <x:c r="Z3476" t="str">
        <x:v>https://snpmb.id/utbk-snbt/daya-tampung-snbt</x:v>
      </x:c>
      <x:c r="AA3476" t="str">
        <x:v>Tidak Ada</x:v>
      </x:c>
      <x:c r="AB3476" t="str">
        <x:v>Campus=55; Ratio=0.0; Prodi=45; RelDemand=6.6; Capacity=71.7</x:v>
      </x:c>
    </x:row>
    <x:row r="3477">
      <x:c r="A3477" t="n">
        <x:v>3474</x:v>
      </x:c>
      <x:c r="B3477" t="str">
        <x:v>PTN Akademik</x:v>
      </x:c>
      <x:c r="C3477" t="str">
        <x:v>UNIVERSITAS HALUOLEO</x:v>
      </x:c>
      <x:c r="D3477" t="str">
        <x:v>TEKNIK SIPIL</x:v>
      </x:c>
      <x:c r="E3477" t="str">
        <x:v>Sarjana</x:v>
      </x:c>
      <x:c r="F3477" s="18" t="n">
        <x:v>40</x:v>
      </x:c>
      <x:c r="G3477" s="18" t="n">
        <x:v>486</x:v>
      </x:c>
      <x:c r="H3477" s="19" t="n">
        <x:v>12.15</x:v>
      </x:c>
      <x:c r="I3477" s="18" t="n">
        <x:f>ROUND(MIN(Model_Config_v3!$B$6,MAX(Q3477,R3477,S3477*Model_Config_v3!$B$4+T3477*Model_Config_v3!$B$5)),0)</x:f>
        <x:v>673</x:v>
      </x:c>
      <x:c r="J3477" s="18" t="n">
        <x:f>MIN(Model_Config_v3!$B$6,I3477+Model_Config_v3!$B$7)</x:f>
        <x:v>693</x:v>
      </x:c>
      <x:c r="K3477" s="20" t="n">
        <x:v>63.9</x:v>
      </x:c>
      <x:c r="L3477" t="str">
        <x:v>KETAT</x:v>
      </x:c>
      <x:c r="M3477" t="str">
        <x:v>SEDANG+</x:v>
      </x:c>
      <x:c r="N3477" t="str">
        <x:v>REGULER</x:v>
      </x:c>
      <x:c r="O3477" t="str">
        <x:v>SAINTEK</x:v>
      </x:c>
      <x:c r="P3477" t="str">
        <x:v>TEKNIK/ARSITEKTUR/STATISTIKA/AKTUARIA</x:v>
      </x:c>
      <x:c r="Q3477" s="18" t="n">
        <x:v>0</x:v>
      </x:c>
      <x:c r="R3477" s="18" t="n">
        <x:v>0</x:v>
      </x:c>
      <x:c r="S3477" s="18" t="n">
        <x:v>639.3033905727764</x:v>
      </x:c>
      <x:c r="T3477" s="18" t="n">
        <x:v>688</x:v>
      </x:c>
      <x:c r="U3477" s="18" t="n">
        <x:v>649.3033905727764</x:v>
      </x:c>
      <x:c r="V3477" s="20" t="n">
        <x:v>12</x:v>
      </x:c>
      <x:c r="W3477" s="20" t="n">
        <x:v>5</x:v>
      </x:c>
      <x:c r="X3477" s="20" t="n">
        <x:v>3</x:v>
      </x:c>
      <x:c r="Y3477" t="str">
        <x:v>Basis arsip 2025/2024</x:v>
      </x:c>
      <x:c r="Z3477" t="str">
        <x:v>https://snpmb.id/utbk-snbt/daya-tampung-snbt</x:v>
      </x:c>
      <x:c r="AA3477" t="str">
        <x:v>Tidak Ada</x:v>
      </x:c>
      <x:c r="AB3477" t="str">
        <x:v>Campus=55; Ratio=63.8; Prodi=60; RelDemand=100.0; Capacity=66.7</x:v>
      </x:c>
    </x:row>
    <x:row r="3478">
      <x:c r="A3478" t="n">
        <x:v>3475</x:v>
      </x:c>
      <x:c r="B3478" t="str">
        <x:v>PTN Akademik</x:v>
      </x:c>
      <x:c r="C3478" t="str">
        <x:v>UNIVERSITAS HALUOLEO</x:v>
      </x:c>
      <x:c r="D3478" t="str">
        <x:v>TEKNIK ARSITEKTUR</x:v>
      </x:c>
      <x:c r="E3478" t="str">
        <x:v>Sarjana</x:v>
      </x:c>
      <x:c r="F3478" s="18" t="n">
        <x:v>32</x:v>
      </x:c>
      <x:c r="G3478" s="18" t="n">
        <x:v>160</x:v>
      </x:c>
      <x:c r="H3478" s="19" t="n">
        <x:v>5</x:v>
      </x:c>
      <x:c r="I3478" s="18" t="n">
        <x:f>ROUND(MIN(Model_Config_v3!$B$6,MAX(Q3478,R3478,S3478*Model_Config_v3!$B$4+T3478*Model_Config_v3!$B$5)),0)</x:f>
        <x:v>646</x:v>
      </x:c>
      <x:c r="J3478" s="18" t="n">
        <x:f>MIN(Model_Config_v3!$B$6,I3478+Model_Config_v3!$B$7)</x:f>
        <x:v>666</x:v>
      </x:c>
      <x:c r="K3478" s="20" t="n">
        <x:v>53.6</x:v>
      </x:c>
      <x:c r="L3478" t="str">
        <x:v>MENENGAH</x:v>
      </x:c>
      <x:c r="M3478" t="str">
        <x:v>SEDANG+</x:v>
      </x:c>
      <x:c r="N3478" t="str">
        <x:v>REGULER</x:v>
      </x:c>
      <x:c r="O3478" t="str">
        <x:v>SAINTEK</x:v>
      </x:c>
      <x:c r="P3478" t="str">
        <x:v>TEKNIK/ARSITEKTUR/STATISTIKA/AKTUARIA</x:v>
      </x:c>
      <x:c r="Q3478" s="18" t="n">
        <x:v>0</x:v>
      </x:c>
      <x:c r="R3478" s="18" t="n">
        <x:v>0</x:v>
      </x:c>
      <x:c r="S3478" s="18" t="n">
        <x:v>596.886700476962</x:v>
      </x:c>
      <x:c r="T3478" s="18" t="n">
        <x:v>667</x:v>
      </x:c>
      <x:c r="U3478" s="18" t="n">
        <x:v>606.886700476962</x:v>
      </x:c>
      <x:c r="V3478" s="20" t="n">
        <x:v>12</x:v>
      </x:c>
      <x:c r="W3478" s="20" t="n">
        <x:v>5</x:v>
      </x:c>
      <x:c r="X3478" s="20" t="n">
        <x:v>3</x:v>
      </x:c>
      <x:c r="Y3478" t="str">
        <x:v>Basis arsip 2025/2024</x:v>
      </x:c>
      <x:c r="Z3478" t="str">
        <x:v>https://snpmb.id/utbk-snbt/daya-tampung-snbt</x:v>
      </x:c>
      <x:c r="AA3478" t="str">
        <x:v>Tidak Ada</x:v>
      </x:c>
      <x:c r="AB3478" t="str">
        <x:v>Campus=55; Ratio=41.1; Prodi=60; RelDemand=47.0; Capacity=73.3</x:v>
      </x:c>
    </x:row>
    <x:row r="3479">
      <x:c r="A3479" t="n">
        <x:v>3476</x:v>
      </x:c>
      <x:c r="B3479" t="str">
        <x:v>PTN Akademik</x:v>
      </x:c>
      <x:c r="C3479" t="str">
        <x:v>UNIVERSITAS HALUOLEO</x:v>
      </x:c>
      <x:c r="D3479" t="str">
        <x:v>TEKNIK MESIN</x:v>
      </x:c>
      <x:c r="E3479" t="str">
        <x:v>Sarjana</x:v>
      </x:c>
      <x:c r="F3479" s="18" t="n">
        <x:v>32</x:v>
      </x:c>
      <x:c r="G3479" s="18" t="n">
        <x:v>140</x:v>
      </x:c>
      <x:c r="H3479" s="19" t="n">
        <x:v>4.375</x:v>
      </x:c>
      <x:c r="I3479" s="18" t="n">
        <x:f>ROUND(MIN(Model_Config_v3!$B$6,MAX(Q3479,R3479,S3479*Model_Config_v3!$B$4+T3479*Model_Config_v3!$B$5)),0)</x:f>
        <x:v>642</x:v>
      </x:c>
      <x:c r="J3479" s="18" t="n">
        <x:f>MIN(Model_Config_v3!$B$6,I3479+Model_Config_v3!$B$7)</x:f>
        <x:v>662</x:v>
      </x:c>
      <x:c r="K3479" s="20" t="n">
        <x:v>52.1</x:v>
      </x:c>
      <x:c r="L3479" t="str">
        <x:v>MENENGAH</x:v>
      </x:c>
      <x:c r="M3479" t="str">
        <x:v>SEDANG+</x:v>
      </x:c>
      <x:c r="N3479" t="str">
        <x:v>REGULER</x:v>
      </x:c>
      <x:c r="O3479" t="str">
        <x:v>SAINTEK</x:v>
      </x:c>
      <x:c r="P3479" t="str">
        <x:v>TEKNIK/ARSITEKTUR/STATISTIKA/AKTUARIA</x:v>
      </x:c>
      <x:c r="Q3479" s="18" t="n">
        <x:v>0</x:v>
      </x:c>
      <x:c r="R3479" s="18" t="n">
        <x:v>0</x:v>
      </x:c>
      <x:c r="S3479" s="18" t="n">
        <x:v>590.5075863094165</x:v>
      </x:c>
      <x:c r="T3479" s="18" t="n">
        <x:v>664</x:v>
      </x:c>
      <x:c r="U3479" s="18" t="n">
        <x:v>600.5075863094165</x:v>
      </x:c>
      <x:c r="V3479" s="20" t="n">
        <x:v>12</x:v>
      </x:c>
      <x:c r="W3479" s="20" t="n">
        <x:v>5</x:v>
      </x:c>
      <x:c r="X3479" s="20" t="n">
        <x:v>3</x:v>
      </x:c>
      <x:c r="Y3479" t="str">
        <x:v>Basis arsip 2025/2024</x:v>
      </x:c>
      <x:c r="Z3479" t="str">
        <x:v>https://snpmb.id/utbk-snbt/daya-tampung-snbt</x:v>
      </x:c>
      <x:c r="AA3479" t="str">
        <x:v>Tidak Ada</x:v>
      </x:c>
      <x:c r="AB3479" t="str">
        <x:v>Campus=55; Ratio=37.7; Prodi=60; RelDemand=41.1; Capacity=73.3</x:v>
      </x:c>
    </x:row>
    <x:row r="3480">
      <x:c r="A3480" t="n">
        <x:v>3477</x:v>
      </x:c>
      <x:c r="B3480" t="str">
        <x:v>PTN Akademik</x:v>
      </x:c>
      <x:c r="C3480" t="str">
        <x:v>UNIVERSITAS HALUOLEO</x:v>
      </x:c>
      <x:c r="D3480" t="str">
        <x:v>TEKNIK ELEKTRO</x:v>
      </x:c>
      <x:c r="E3480" t="str">
        <x:v>Sarjana</x:v>
      </x:c>
      <x:c r="F3480" s="18" t="n">
        <x:v>40</x:v>
      </x:c>
      <x:c r="G3480" s="18" t="n">
        <x:v>98</x:v>
      </x:c>
      <x:c r="H3480" s="19" t="n">
        <x:v>2.45</x:v>
      </x:c>
      <x:c r="I3480" s="18" t="n">
        <x:f>ROUND(MIN(Model_Config_v3!$B$6,MAX(Q3480,R3480,S3480*Model_Config_v3!$B$4+T3480*Model_Config_v3!$B$5)),0)</x:f>
        <x:v>625</x:v>
      </x:c>
      <x:c r="J3480" s="18" t="n">
        <x:f>MIN(Model_Config_v3!$B$6,I3480+Model_Config_v3!$B$7)</x:f>
        <x:v>645</x:v>
      </x:c>
      <x:c r="K3480" s="20" t="n">
        <x:v>45.9</x:v>
      </x:c>
      <x:c r="L3480" t="str">
        <x:v>MENENGAH</x:v>
      </x:c>
      <x:c r="M3480" t="str">
        <x:v>SEDANG+</x:v>
      </x:c>
      <x:c r="N3480" t="str">
        <x:v>REGULER</x:v>
      </x:c>
      <x:c r="O3480" t="str">
        <x:v>SAINTEK</x:v>
      </x:c>
      <x:c r="P3480" t="str">
        <x:v>TEKNIK/ARSITEKTUR/STATISTIKA/AKTUARIA</x:v>
      </x:c>
      <x:c r="Q3480" s="18" t="n">
        <x:v>0</x:v>
      </x:c>
      <x:c r="R3480" s="18" t="n">
        <x:v>0</x:v>
      </x:c>
      <x:c r="S3480" s="18" t="n">
        <x:v>562.8082692800986</x:v>
      </x:c>
      <x:c r="T3480" s="18" t="n">
        <x:v>652</x:v>
      </x:c>
      <x:c r="U3480" s="18" t="n">
        <x:v>572.8082692800986</x:v>
      </x:c>
      <x:c r="V3480" s="20" t="n">
        <x:v>12</x:v>
      </x:c>
      <x:c r="W3480" s="20" t="n">
        <x:v>5</x:v>
      </x:c>
      <x:c r="X3480" s="20" t="n">
        <x:v>3</x:v>
      </x:c>
      <x:c r="Y3480" t="str">
        <x:v>Basis arsip 2025/2024</x:v>
      </x:c>
      <x:c r="Z3480" t="str">
        <x:v>https://snpmb.id/utbk-snbt/daya-tampung-snbt</x:v>
      </x:c>
      <x:c r="AA3480" t="str">
        <x:v>Tidak Ada</x:v>
      </x:c>
      <x:c r="AB3480" t="str">
        <x:v>Campus=55; Ratio=22.9; Prodi=60; RelDemand=23.0; Capacity=66.7</x:v>
      </x:c>
    </x:row>
    <x:row r="3481">
      <x:c r="A3481" t="n">
        <x:v>3478</x:v>
      </x:c>
      <x:c r="B3481" t="str">
        <x:v>PTN Akademik</x:v>
      </x:c>
      <x:c r="C3481" t="str">
        <x:v>UNIVERSITAS HALUOLEO</x:v>
      </x:c>
      <x:c r="D3481" t="str">
        <x:v>TEKNIK INFORMATIKA</x:v>
      </x:c>
      <x:c r="E3481" t="str">
        <x:v>Sarjana</x:v>
      </x:c>
      <x:c r="F3481" s="18" t="n">
        <x:v>40</x:v>
      </x:c>
      <x:c r="G3481" s="18" t="n">
        <x:v>817</x:v>
      </x:c>
      <x:c r="H3481" s="19" t="n">
        <x:v>20.425</x:v>
      </x:c>
      <x:c r="I3481" s="18" t="n">
        <x:f>ROUND(MIN(Model_Config_v3!$B$6,MAX(Q3481,R3481,S3481*Model_Config_v3!$B$4+T3481*Model_Config_v3!$B$5)),0)</x:f>
        <x:v>692</x:v>
      </x:c>
      <x:c r="J3481" s="18" t="n">
        <x:f>MIN(Model_Config_v3!$B$6,I3481+Model_Config_v3!$B$7)</x:f>
        <x:v>712</x:v>
      </x:c>
      <x:c r="K3481" s="20" t="n">
        <x:v>72.2</x:v>
      </x:c>
      <x:c r="L3481" t="str">
        <x:v>SANGAT KETAT</x:v>
      </x:c>
      <x:c r="M3481" t="str">
        <x:v>SEDANG+</x:v>
      </x:c>
      <x:c r="N3481" t="str">
        <x:v>REGULER</x:v>
      </x:c>
      <x:c r="O3481" t="str">
        <x:v>SAINTEK</x:v>
      </x:c>
      <x:c r="P3481" t="str">
        <x:v>KOMPUTER/INFORMATIKA</x:v>
      </x:c>
      <x:c r="Q3481" s="18" t="n">
        <x:v>0</x:v>
      </x:c>
      <x:c r="R3481" s="18" t="n">
        <x:v>0</x:v>
      </x:c>
      <x:c r="S3481" s="18" t="n">
        <x:v>664.1178271724898</x:v>
      </x:c>
      <x:c r="T3481" s="18" t="n">
        <x:v>704</x:v>
      </x:c>
      <x:c r="U3481" s="18" t="n">
        <x:v>689.1178271724898</x:v>
      </x:c>
      <x:c r="V3481" s="20" t="n">
        <x:v>12</x:v>
      </x:c>
      <x:c r="W3481" s="20" t="n">
        <x:v>5</x:v>
      </x:c>
      <x:c r="X3481" s="20" t="n">
        <x:v>3</x:v>
      </x:c>
      <x:c r="Y3481" t="str">
        <x:v>Basis arsip 2025/2024</x:v>
      </x:c>
      <x:c r="Z3481" t="str">
        <x:v>https://snpmb.id/utbk-snbt/daya-tampung-snbt</x:v>
      </x:c>
      <x:c r="AA3481" t="str">
        <x:v>Tidak Ada</x:v>
      </x:c>
      <x:c r="AB3481" t="str">
        <x:v>Campus=55; Ratio=77.1; Prodi=85; RelDemand=100.0; Capacity=66.7</x:v>
      </x:c>
    </x:row>
    <x:row r="3482">
      <x:c r="A3482" t="n">
        <x:v>3479</x:v>
      </x:c>
      <x:c r="B3482" t="str">
        <x:v>PTN Akademik</x:v>
      </x:c>
      <x:c r="C3482" t="str">
        <x:v>UNIVERSITAS HALUOLEO</x:v>
      </x:c>
      <x:c r="D3482" t="str">
        <x:v>PENDIDIKAN DOKTER</x:v>
      </x:c>
      <x:c r="E3482" t="str">
        <x:v>Sarjana</x:v>
      </x:c>
      <x:c r="F3482" s="18" t="n">
        <x:v>48</x:v>
      </x:c>
      <x:c r="G3482" s="18" t="n">
        <x:v>834</x:v>
      </x:c>
      <x:c r="H3482" s="19" t="n">
        <x:v>17.375</x:v>
      </x:c>
      <x:c r="I3482" s="18" t="n">
        <x:f>ROUND(MIN(Model_Config_v3!$B$6,MAX(Q3482,R3482,S3482*Model_Config_v3!$B$4+T3482*Model_Config_v3!$B$5)),0)</x:f>
        <x:v>692</x:v>
      </x:c>
      <x:c r="J3482" s="18" t="n">
        <x:f>MIN(Model_Config_v3!$B$6,I3482+Model_Config_v3!$B$7)</x:f>
        <x:v>712</x:v>
      </x:c>
      <x:c r="K3482" s="20" t="n">
        <x:v>73.5</x:v>
      </x:c>
      <x:c r="L3482" t="str">
        <x:v>SANGAT KETAT</x:v>
      </x:c>
      <x:c r="M3482" t="str">
        <x:v>SEDANG+</x:v>
      </x:c>
      <x:c r="N3482" t="str">
        <x:v>REGULER</x:v>
      </x:c>
      <x:c r="O3482" t="str">
        <x:v>SAINTEK</x:v>
      </x:c>
      <x:c r="P3482" t="str">
        <x:v>KEDOKTERAN</x:v>
      </x:c>
      <x:c r="Q3482" s="18" t="n">
        <x:v>0</x:v>
      </x:c>
      <x:c r="R3482" s="18" t="n">
        <x:v>680</x:v>
      </x:c>
      <x:c r="S3482" s="18" t="n">
        <x:v>656.3917294588366</x:v>
      </x:c>
      <x:c r="T3482" s="18" t="n">
        <x:v>707</x:v>
      </x:c>
      <x:c r="U3482" s="18" t="n">
        <x:v>696.3917294588366</x:v>
      </x:c>
      <x:c r="V3482" s="20" t="n">
        <x:v>12</x:v>
      </x:c>
      <x:c r="W3482" s="20" t="n">
        <x:v>5</x:v>
      </x:c>
      <x:c r="X3482" s="20" t="n">
        <x:v>3</x:v>
      </x:c>
      <x:c r="Y3482" t="str">
        <x:v>Basis arsip 2025/2024</x:v>
      </x:c>
      <x:c r="Z3482" t="str">
        <x:v>https://snpmb.id/utbk-snbt/daya-tampung-snbt</x:v>
      </x:c>
      <x:c r="AA3482" t="str">
        <x:v>Tidak Ada</x:v>
      </x:c>
      <x:c r="AB3482" t="str">
        <x:v>Campus=55; Ratio=73.0; Prodi=100; RelDemand=100.0; Capacity=60.0</x:v>
      </x:c>
    </x:row>
    <x:row r="3483">
      <x:c r="A3483" t="n">
        <x:v>3480</x:v>
      </x:c>
      <x:c r="B3483" t="str">
        <x:v>PTN Akademik</x:v>
      </x:c>
      <x:c r="C3483" t="str">
        <x:v>UNIVERSITAS HALUOLEO</x:v>
      </x:c>
      <x:c r="D3483" t="str">
        <x:v>KEHUTANAN</x:v>
      </x:c>
      <x:c r="E3483" t="str">
        <x:v>Sarjana</x:v>
      </x:c>
      <x:c r="F3483" s="18" t="n">
        <x:v>60</x:v>
      </x:c>
      <x:c r="G3483" s="18" t="n">
        <x:v>56</x:v>
      </x:c>
      <x:c r="H3483" s="19" t="n">
        <x:v>0.9333333333333333</x:v>
      </x:c>
      <x:c r="I3483" s="18" t="n">
        <x:f>ROUND(MIN(Model_Config_v3!$B$6,MAX(Q3483,R3483,S3483*Model_Config_v3!$B$4+T3483*Model_Config_v3!$B$5)),0)</x:f>
        <x:v>594</x:v>
      </x:c>
      <x:c r="J3483" s="18" t="n">
        <x:f>MIN(Model_Config_v3!$B$6,I3483+Model_Config_v3!$B$7)</x:f>
        <x:v>614</x:v>
      </x:c>
      <x:c r="K3483" s="20" t="n">
        <x:v>33.1</x:v>
      </x:c>
      <x:c r="L3483" t="str">
        <x:v>RELATIF LONGGAR</x:v>
      </x:c>
      <x:c r="M3483" t="str">
        <x:v>SEDANG</x:v>
      </x:c>
      <x:c r="N3483" t="str">
        <x:v>REGULER</x:v>
      </x:c>
      <x:c r="O3483" t="str">
        <x:v>CAMPURAN</x:v>
      </x:c>
      <x:c r="P3483" t="str">
        <x:v>UMUM</x:v>
      </x:c>
      <x:c r="Q3483" s="18" t="n">
        <x:v>0</x:v>
      </x:c>
      <x:c r="R3483" s="18" t="n">
        <x:v>0</x:v>
      </x:c>
      <x:c r="S3483" s="18" t="n">
        <x:v>520</x:v>
      </x:c>
      <x:c r="T3483" s="18" t="n">
        <x:v>626</x:v>
      </x:c>
      <x:c r="U3483" s="18" t="n">
        <x:v>520</x:v>
      </x:c>
      <x:c r="V3483" s="20" t="n">
        <x:v>8.8</x:v>
      </x:c>
      <x:c r="W3483" s="20" t="n">
        <x:v>9.9</x:v>
      </x:c>
      <x:c r="X3483" s="20" t="n">
        <x:v>3.3</x:v>
      </x:c>
      <x:c r="Y3483" t="str">
        <x:v>Basis arsip 2025/2024</x:v>
      </x:c>
      <x:c r="Z3483" t="str">
        <x:v>https://snpmb.id/utbk-snbt/daya-tampung-snbt</x:v>
      </x:c>
      <x:c r="AA3483" t="str">
        <x:v>Tidak Ada</x:v>
      </x:c>
      <x:c r="AB3483" t="str">
        <x:v>Campus=55; Ratio=0.0; Prodi=40; RelDemand=8.8; Capacity=50.0</x:v>
      </x:c>
    </x:row>
    <x:row r="3484">
      <x:c r="A3484" t="n">
        <x:v>3481</x:v>
      </x:c>
      <x:c r="B3484" t="str">
        <x:v>PTN Akademik</x:v>
      </x:c>
      <x:c r="C3484" t="str">
        <x:v>UNIVERSITAS HALUOLEO</x:v>
      </x:c>
      <x:c r="D3484" t="str">
        <x:v>ILMU DAN TEKNOLOGI PANGAN</x:v>
      </x:c>
      <x:c r="E3484" t="str">
        <x:v>Sarjana</x:v>
      </x:c>
      <x:c r="F3484" s="18" t="n">
        <x:v>40</x:v>
      </x:c>
      <x:c r="G3484" s="18" t="n">
        <x:v>24</x:v>
      </x:c>
      <x:c r="H3484" s="19" t="n">
        <x:v>0.6</x:v>
      </x:c>
      <x:c r="I3484" s="18" t="n">
        <x:f>ROUND(MIN(Model_Config_v3!$B$6,MAX(Q3484,R3484,S3484*Model_Config_v3!$B$4+T3484*Model_Config_v3!$B$5)),0)</x:f>
        <x:v>596</x:v>
      </x:c>
      <x:c r="J3484" s="18" t="n">
        <x:f>MIN(Model_Config_v3!$B$6,I3484+Model_Config_v3!$B$7)</x:f>
        <x:v>616</x:v>
      </x:c>
      <x:c r="K3484" s="20" t="n">
        <x:v>34.5</x:v>
      </x:c>
      <x:c r="L3484" t="str">
        <x:v>RELATIF LONGGAR</x:v>
      </x:c>
      <x:c r="M3484" t="str">
        <x:v>SEDANG</x:v>
      </x:c>
      <x:c r="N3484" t="str">
        <x:v>REGULER</x:v>
      </x:c>
      <x:c r="O3484" t="str">
        <x:v>SAINTEK</x:v>
      </x:c>
      <x:c r="P3484" t="str">
        <x:v>UMUM</x:v>
      </x:c>
      <x:c r="Q3484" s="18" t="n">
        <x:v>0</x:v>
      </x:c>
      <x:c r="R3484" s="18" t="n">
        <x:v>0</x:v>
      </x:c>
      <x:c r="S3484" s="18" t="n">
        <x:v>520</x:v>
      </x:c>
      <x:c r="T3484" s="18" t="n">
        <x:v>629</x:v>
      </x:c>
      <x:c r="U3484" s="18" t="n">
        <x:v>520</x:v>
      </x:c>
      <x:c r="V3484" s="20" t="n">
        <x:v>12</x:v>
      </x:c>
      <x:c r="W3484" s="20" t="n">
        <x:v>5</x:v>
      </x:c>
      <x:c r="X3484" s="20" t="n">
        <x:v>3</x:v>
      </x:c>
      <x:c r="Y3484" t="str">
        <x:v>Basis arsip 2025/2024</x:v>
      </x:c>
      <x:c r="Z3484" t="str">
        <x:v>https://snpmb.id/utbk-snbt/daya-tampung-snbt</x:v>
      </x:c>
      <x:c r="AA3484" t="str">
        <x:v>Tidak Ada</x:v>
      </x:c>
      <x:c r="AB3484" t="str">
        <x:v>Campus=55; Ratio=0.0; Prodi=40; RelDemand=5.6; Capacity=66.7</x:v>
      </x:c>
    </x:row>
    <x:row r="3485">
      <x:c r="A3485" t="n">
        <x:v>3482</x:v>
      </x:c>
      <x:c r="B3485" t="str">
        <x:v>PTN Akademik</x:v>
      </x:c>
      <x:c r="C3485" t="str">
        <x:v>UNIVERSITAS HALUOLEO</x:v>
      </x:c>
      <x:c r="D3485" t="str">
        <x:v>FARMASI</x:v>
      </x:c>
      <x:c r="E3485" t="str">
        <x:v>Sarjana</x:v>
      </x:c>
      <x:c r="F3485" s="18" t="n">
        <x:v>100</x:v>
      </x:c>
      <x:c r="G3485" s="18" t="n">
        <x:v>770</x:v>
      </x:c>
      <x:c r="H3485" s="19" t="n">
        <x:v>7.7</x:v>
      </x:c>
      <x:c r="I3485" s="18" t="n">
        <x:f>ROUND(MIN(Model_Config_v3!$B$6,MAX(Q3485,R3485,S3485*Model_Config_v3!$B$4+T3485*Model_Config_v3!$B$5)),0)</x:f>
        <x:v>656</x:v>
      </x:c>
      <x:c r="J3485" s="18" t="n">
        <x:f>MIN(Model_Config_v3!$B$6,I3485+Model_Config_v3!$B$7)</x:f>
        <x:v>676</x:v>
      </x:c>
      <x:c r="K3485" s="20" t="n">
        <x:v>56.2</x:v>
      </x:c>
      <x:c r="L3485" t="str">
        <x:v>KETAT</x:v>
      </x:c>
      <x:c r="M3485" t="str">
        <x:v>SEDANG+</x:v>
      </x:c>
      <x:c r="N3485" t="str">
        <x:v>REGULER</x:v>
      </x:c>
      <x:c r="O3485" t="str">
        <x:v>SAINTEK</x:v>
      </x:c>
      <x:c r="P3485" t="str">
        <x:v>FARMASI</x:v>
      </x:c>
      <x:c r="Q3485" s="18" t="n">
        <x:v>0</x:v>
      </x:c>
      <x:c r="R3485" s="18" t="n">
        <x:v>0</x:v>
      </x:c>
      <x:c r="S3485" s="18" t="n">
        <x:v>617.5139797689731</x:v>
      </x:c>
      <x:c r="T3485" s="18" t="n">
        <x:v>672</x:v>
      </x:c>
      <x:c r="U3485" s="18" t="n">
        <x:v>637.5139797689731</x:v>
      </x:c>
      <x:c r="V3485" s="20" t="n">
        <x:v>12</x:v>
      </x:c>
      <x:c r="W3485" s="20" t="n">
        <x:v>5</x:v>
      </x:c>
      <x:c r="X3485" s="20" t="n">
        <x:v>3</x:v>
      </x:c>
      <x:c r="Y3485" t="str">
        <x:v>Basis arsip 2025/2024</x:v>
      </x:c>
      <x:c r="Z3485" t="str">
        <x:v>https://snpmb.id/utbk-snbt/daya-tampung-snbt</x:v>
      </x:c>
      <x:c r="AA3485" t="str">
        <x:v>Tidak Ada</x:v>
      </x:c>
      <x:c r="AB3485" t="str">
        <x:v>Campus=55; Ratio=52.2; Prodi=75; RelDemand=72.3; Capacity=16.7</x:v>
      </x:c>
    </x:row>
    <x:row r="3486">
      <x:c r="A3486" t="n">
        <x:v>3483</x:v>
      </x:c>
      <x:c r="B3486" t="str">
        <x:v>PTN Akademik</x:v>
      </x:c>
      <x:c r="C3486" t="str">
        <x:v>UNIVERSITAS HALUOLEO</x:v>
      </x:c>
      <x:c r="D3486" t="str">
        <x:v>AGROBISNIS PERIKANAN</x:v>
      </x:c>
      <x:c r="E3486" t="str">
        <x:v>Sarjana</x:v>
      </x:c>
      <x:c r="F3486" s="18" t="n">
        <x:v>24</x:v>
      </x:c>
      <x:c r="G3486" s="18" t="n">
        <x:v>6</x:v>
      </x:c>
      <x:c r="H3486" s="19" t="n">
        <x:v>0.25</x:v>
      </x:c>
      <x:c r="I3486" s="18" t="n">
        <x:f>ROUND(MIN(Model_Config_v3!$B$6,MAX(Q3486,R3486,S3486*Model_Config_v3!$B$4+T3486*Model_Config_v3!$B$5)),0)</x:f>
        <x:v>605</x:v>
      </x:c>
      <x:c r="J3486" s="18" t="n">
        <x:f>MIN(Model_Config_v3!$B$6,I3486+Model_Config_v3!$B$7)</x:f>
        <x:v>625</x:v>
      </x:c>
      <x:c r="K3486" s="20" t="n">
        <x:v>40.5</x:v>
      </x:c>
      <x:c r="L3486" t="str">
        <x:v>RELATIF LONGGAR</x:v>
      </x:c>
      <x:c r="M3486" t="str">
        <x:v>SEDANG+</x:v>
      </x:c>
      <x:c r="N3486" t="str">
        <x:v>REGULER</x:v>
      </x:c>
      <x:c r="O3486" t="str">
        <x:v>SAINTEK</x:v>
      </x:c>
      <x:c r="P3486" t="str">
        <x:v>BISNIS/EKONOMI/AKUNTANSI</x:v>
      </x:c>
      <x:c r="Q3486" s="18" t="n">
        <x:v>0</x:v>
      </x:c>
      <x:c r="R3486" s="18" t="n">
        <x:v>0</x:v>
      </x:c>
      <x:c r="S3486" s="18" t="n">
        <x:v>520</x:v>
      </x:c>
      <x:c r="T3486" s="18" t="n">
        <x:v>641</x:v>
      </x:c>
      <x:c r="U3486" s="18" t="n">
        <x:v>535</x:v>
      </x:c>
      <x:c r="V3486" s="20" t="n">
        <x:v>12</x:v>
      </x:c>
      <x:c r="W3486" s="20" t="n">
        <x:v>5</x:v>
      </x:c>
      <x:c r="X3486" s="20" t="n">
        <x:v>3</x:v>
      </x:c>
      <x:c r="Y3486" t="str">
        <x:v>Basis arsip 2025/2024</x:v>
      </x:c>
      <x:c r="Z3486" t="str">
        <x:v>https://snpmb.id/utbk-snbt/daya-tampung-snbt</x:v>
      </x:c>
      <x:c r="AA3486" t="str">
        <x:v>Tidak Ada</x:v>
      </x:c>
      <x:c r="AB3486" t="str">
        <x:v>Campus=55; Ratio=0.0; Prodi=65; RelDemand=2.3; Capacity=80.0</x:v>
      </x:c>
    </x:row>
    <x:row r="3487">
      <x:c r="A3487" t="n">
        <x:v>3484</x:v>
      </x:c>
      <x:c r="B3487" t="str">
        <x:v>PTN Akademik</x:v>
      </x:c>
      <x:c r="C3487" t="str">
        <x:v>UNIVERSITAS HALUOLEO</x:v>
      </x:c>
      <x:c r="D3487" t="str">
        <x:v>TEKNIK GEOFISIKA</x:v>
      </x:c>
      <x:c r="E3487" t="str">
        <x:v>Sarjana</x:v>
      </x:c>
      <x:c r="F3487" s="18" t="n">
        <x:v>24</x:v>
      </x:c>
      <x:c r="G3487" s="18" t="n">
        <x:v>20</x:v>
      </x:c>
      <x:c r="H3487" s="19" t="n">
        <x:v>0.8333333333333334</x:v>
      </x:c>
      <x:c r="I3487" s="18" t="n">
        <x:f>ROUND(MIN(Model_Config_v3!$B$6,MAX(Q3487,R3487,S3487*Model_Config_v3!$B$4+T3487*Model_Config_v3!$B$5)),0)</x:f>
        <x:v>604</x:v>
      </x:c>
      <x:c r="J3487" s="18" t="n">
        <x:f>MIN(Model_Config_v3!$B$6,I3487+Model_Config_v3!$B$7)</x:f>
        <x:v>624</x:v>
      </x:c>
      <x:c r="K3487" s="20" t="n">
        <x:v>40</x:v>
      </x:c>
      <x:c r="L3487" t="str">
        <x:v>RELATIF LONGGAR</x:v>
      </x:c>
      <x:c r="M3487" t="str">
        <x:v>SEDANG+</x:v>
      </x:c>
      <x:c r="N3487" t="str">
        <x:v>REGULER</x:v>
      </x:c>
      <x:c r="O3487" t="str">
        <x:v>SAINTEK</x:v>
      </x:c>
      <x:c r="P3487" t="str">
        <x:v>TEKNIK/ARSITEKTUR/STATISTIKA/AKTUARIA</x:v>
      </x:c>
      <x:c r="Q3487" s="18" t="n">
        <x:v>0</x:v>
      </x:c>
      <x:c r="R3487" s="18" t="n">
        <x:v>0</x:v>
      </x:c>
      <x:c r="S3487" s="18" t="n">
        <x:v>520</x:v>
      </x:c>
      <x:c r="T3487" s="18" t="n">
        <x:v>640</x:v>
      </x:c>
      <x:c r="U3487" s="18" t="n">
        <x:v>530</x:v>
      </x:c>
      <x:c r="V3487" s="20" t="n">
        <x:v>12</x:v>
      </x:c>
      <x:c r="W3487" s="20" t="n">
        <x:v>5</x:v>
      </x:c>
      <x:c r="X3487" s="20" t="n">
        <x:v>3</x:v>
      </x:c>
      <x:c r="Y3487" t="str">
        <x:v>Basis arsip 2025/2024</x:v>
      </x:c>
      <x:c r="Z3487" t="str">
        <x:v>https://snpmb.id/utbk-snbt/daya-tampung-snbt</x:v>
      </x:c>
      <x:c r="AA3487" t="str">
        <x:v>Tidak Ada</x:v>
      </x:c>
      <x:c r="AB3487" t="str">
        <x:v>Campus=55; Ratio=0.0; Prodi=60; RelDemand=7.8; Capacity=80.0</x:v>
      </x:c>
    </x:row>
    <x:row r="3488">
      <x:c r="A3488" t="n">
        <x:v>3485</x:v>
      </x:c>
      <x:c r="B3488" t="str">
        <x:v>PTN Akademik</x:v>
      </x:c>
      <x:c r="C3488" t="str">
        <x:v>UNIVERSITAS HALUOLEO</x:v>
      </x:c>
      <x:c r="D3488" t="str">
        <x:v>TEKNIK GEOLOGI</x:v>
      </x:c>
      <x:c r="E3488" t="str">
        <x:v>Sarjana</x:v>
      </x:c>
      <x:c r="F3488" s="18" t="n">
        <x:v>32</x:v>
      </x:c>
      <x:c r="G3488" s="18" t="n">
        <x:v>317</x:v>
      </x:c>
      <x:c r="H3488" s="19" t="n">
        <x:v>9.90625</x:v>
      </x:c>
      <x:c r="I3488" s="18" t="n">
        <x:f>ROUND(MIN(Model_Config_v3!$B$6,MAX(Q3488,R3488,S3488*Model_Config_v3!$B$4+T3488*Model_Config_v3!$B$5)),0)</x:f>
        <x:v>668</x:v>
      </x:c>
      <x:c r="J3488" s="18" t="n">
        <x:f>MIN(Model_Config_v3!$B$6,I3488+Model_Config_v3!$B$7)</x:f>
        <x:v>688</x:v>
      </x:c>
      <x:c r="K3488" s="20" t="n">
        <x:v>62.5</x:v>
      </x:c>
      <x:c r="L3488" t="str">
        <x:v>KETAT</x:v>
      </x:c>
      <x:c r="M3488" t="str">
        <x:v>SEDANG+</x:v>
      </x:c>
      <x:c r="N3488" t="str">
        <x:v>REGULER</x:v>
      </x:c>
      <x:c r="O3488" t="str">
        <x:v>SAINTEK</x:v>
      </x:c>
      <x:c r="P3488" t="str">
        <x:v>TEKNIK/ARSITEKTUR/STATISTIKA/AKTUARIA</x:v>
      </x:c>
      <x:c r="Q3488" s="18" t="n">
        <x:v>0</x:v>
      </x:c>
      <x:c r="R3488" s="18" t="n">
        <x:v>0</x:v>
      </x:c>
      <x:c r="S3488" s="18" t="n">
        <x:v>629.550021228763</x:v>
      </x:c>
      <x:c r="T3488" s="18" t="n">
        <x:v>685</x:v>
      </x:c>
      <x:c r="U3488" s="18" t="n">
        <x:v>639.550021228763</x:v>
      </x:c>
      <x:c r="V3488" s="20" t="n">
        <x:v>12</x:v>
      </x:c>
      <x:c r="W3488" s="20" t="n">
        <x:v>5</x:v>
      </x:c>
      <x:c r="X3488" s="20" t="n">
        <x:v>3</x:v>
      </x:c>
      <x:c r="Y3488" t="str">
        <x:v>Basis arsip 2025/2024</x:v>
      </x:c>
      <x:c r="Z3488" t="str">
        <x:v>https://snpmb.id/utbk-snbt/daya-tampung-snbt</x:v>
      </x:c>
      <x:c r="AA3488" t="str">
        <x:v>Tidak Ada</x:v>
      </x:c>
      <x:c r="AB3488" t="str">
        <x:v>Campus=55; Ratio=58.6; Prodi=60; RelDemand=93.0; Capacity=73.3</x:v>
      </x:c>
    </x:row>
    <x:row r="3489">
      <x:c r="A3489" t="n">
        <x:v>3486</x:v>
      </x:c>
      <x:c r="B3489" t="str">
        <x:v>PTN Akademik</x:v>
      </x:c>
      <x:c r="C3489" t="str">
        <x:v>UNIVERSITAS HALUOLEO</x:v>
      </x:c>
      <x:c r="D3489" t="str">
        <x:v>ILMU KELAUTAN</x:v>
      </x:c>
      <x:c r="E3489" t="str">
        <x:v>Sarjana</x:v>
      </x:c>
      <x:c r="F3489" s="18" t="n">
        <x:v>24</x:v>
      </x:c>
      <x:c r="G3489" s="18" t="n">
        <x:v>20</x:v>
      </x:c>
      <x:c r="H3489" s="19" t="n">
        <x:v>0.8333333333333334</x:v>
      </x:c>
      <x:c r="I3489" s="18" t="n">
        <x:f>ROUND(MIN(Model_Config_v3!$B$6,MAX(Q3489,R3489,S3489*Model_Config_v3!$B$4+T3489*Model_Config_v3!$B$5)),0)</x:f>
        <x:v>598</x:v>
      </x:c>
      <x:c r="J3489" s="18" t="n">
        <x:f>MIN(Model_Config_v3!$B$6,I3489+Model_Config_v3!$B$7)</x:f>
        <x:v>618</x:v>
      </x:c>
      <x:c r="K3489" s="20" t="n">
        <x:v>36</x:v>
      </x:c>
      <x:c r="L3489" t="str">
        <x:v>RELATIF LONGGAR</x:v>
      </x:c>
      <x:c r="M3489" t="str">
        <x:v>SEDANG</x:v>
      </x:c>
      <x:c r="N3489" t="str">
        <x:v>REGULER</x:v>
      </x:c>
      <x:c r="O3489" t="str">
        <x:v>SAINTEK</x:v>
      </x:c>
      <x:c r="P3489" t="str">
        <x:v>UMUM</x:v>
      </x:c>
      <x:c r="Q3489" s="18" t="n">
        <x:v>0</x:v>
      </x:c>
      <x:c r="R3489" s="18" t="n">
        <x:v>0</x:v>
      </x:c>
      <x:c r="S3489" s="18" t="n">
        <x:v>520</x:v>
      </x:c>
      <x:c r="T3489" s="18" t="n">
        <x:v>632</x:v>
      </x:c>
      <x:c r="U3489" s="18" t="n">
        <x:v>520</x:v>
      </x:c>
      <x:c r="V3489" s="20" t="n">
        <x:v>12</x:v>
      </x:c>
      <x:c r="W3489" s="20" t="n">
        <x:v>5</x:v>
      </x:c>
      <x:c r="X3489" s="20" t="n">
        <x:v>3</x:v>
      </x:c>
      <x:c r="Y3489" t="str">
        <x:v>Basis arsip 2025/2024</x:v>
      </x:c>
      <x:c r="Z3489" t="str">
        <x:v>https://snpmb.id/utbk-snbt/daya-tampung-snbt</x:v>
      </x:c>
      <x:c r="AA3489" t="str">
        <x:v>Tidak Ada</x:v>
      </x:c>
      <x:c r="AB3489" t="str">
        <x:v>Campus=55; Ratio=0.0; Prodi=40; RelDemand=7.8; Capacity=80.0</x:v>
      </x:c>
    </x:row>
    <x:row r="3490">
      <x:c r="A3490" t="n">
        <x:v>3487</x:v>
      </x:c>
      <x:c r="B3490" t="str">
        <x:v>PTN Akademik</x:v>
      </x:c>
      <x:c r="C3490" t="str">
        <x:v>UNIVERSITAS HALUOLEO</x:v>
      </x:c>
      <x:c r="D3490" t="str">
        <x:v>ILMU LINGKUNGAN</x:v>
      </x:c>
      <x:c r="E3490" t="str">
        <x:v>Sarjana</x:v>
      </x:c>
      <x:c r="F3490" s="18" t="n">
        <x:v>48</x:v>
      </x:c>
      <x:c r="G3490" s="18" t="n">
        <x:v>36</x:v>
      </x:c>
      <x:c r="H3490" s="19" t="n">
        <x:v>0.75</x:v>
      </x:c>
      <x:c r="I3490" s="18" t="n">
        <x:f>ROUND(MIN(Model_Config_v3!$B$6,MAX(Q3490,R3490,S3490*Model_Config_v3!$B$4+T3490*Model_Config_v3!$B$5)),0)</x:f>
        <x:v>596</x:v>
      </x:c>
      <x:c r="J3490" s="18" t="n">
        <x:f>MIN(Model_Config_v3!$B$6,I3490+Model_Config_v3!$B$7)</x:f>
        <x:v>616</x:v>
      </x:c>
      <x:c r="K3490" s="20" t="n">
        <x:v>34</x:v>
      </x:c>
      <x:c r="L3490" t="str">
        <x:v>RELATIF LONGGAR</x:v>
      </x:c>
      <x:c r="M3490" t="str">
        <x:v>SEDANG</x:v>
      </x:c>
      <x:c r="N3490" t="str">
        <x:v>REGULER</x:v>
      </x:c>
      <x:c r="O3490" t="str">
        <x:v>CAMPURAN</x:v>
      </x:c>
      <x:c r="P3490" t="str">
        <x:v>UMUM</x:v>
      </x:c>
      <x:c r="Q3490" s="18" t="n">
        <x:v>0</x:v>
      </x:c>
      <x:c r="R3490" s="18" t="n">
        <x:v>0</x:v>
      </x:c>
      <x:c r="S3490" s="18" t="n">
        <x:v>520</x:v>
      </x:c>
      <x:c r="T3490" s="18" t="n">
        <x:v>628</x:v>
      </x:c>
      <x:c r="U3490" s="18" t="n">
        <x:v>520</x:v>
      </x:c>
      <x:c r="V3490" s="20" t="n">
        <x:v>8.8</x:v>
      </x:c>
      <x:c r="W3490" s="20" t="n">
        <x:v>9.9</x:v>
      </x:c>
      <x:c r="X3490" s="20" t="n">
        <x:v>3.3</x:v>
      </x:c>
      <x:c r="Y3490" t="str">
        <x:v>Basis arsip 2025/2024</x:v>
      </x:c>
      <x:c r="Z3490" t="str">
        <x:v>https://snpmb.id/utbk-snbt/daya-tampung-snbt</x:v>
      </x:c>
      <x:c r="AA3490" t="str">
        <x:v>Tidak Ada</x:v>
      </x:c>
      <x:c r="AB3490" t="str">
        <x:v>Campus=55; Ratio=0.0; Prodi=40; RelDemand=7.0; Capacity=60.0</x:v>
      </x:c>
    </x:row>
    <x:row r="3491">
      <x:c r="A3491" t="n">
        <x:v>3488</x:v>
      </x:c>
      <x:c r="B3491" t="str">
        <x:v>PTN Akademik</x:v>
      </x:c>
      <x:c r="C3491" t="str">
        <x:v>UNIVERSITAS HALUOLEO</x:v>
      </x:c>
      <x:c r="D3491" t="str">
        <x:v>TEKNIK PERTAMBANGAN</x:v>
      </x:c>
      <x:c r="E3491" t="str">
        <x:v>Sarjana</x:v>
      </x:c>
      <x:c r="F3491" s="18" t="n">
        <x:v>32</x:v>
      </x:c>
      <x:c r="G3491" s="18" t="n">
        <x:v>814</x:v>
      </x:c>
      <x:c r="H3491" s="19" t="n">
        <x:v>25.4375</x:v>
      </x:c>
      <x:c r="I3491" s="18" t="n">
        <x:f>ROUND(MIN(Model_Config_v3!$B$6,MAX(Q3491,R3491,S3491*Model_Config_v3!$B$4+T3491*Model_Config_v3!$B$5)),0)</x:f>
        <x:v>692</x:v>
      </x:c>
      <x:c r="J3491" s="18" t="n">
        <x:f>MIN(Model_Config_v3!$B$6,I3491+Model_Config_v3!$B$7)</x:f>
        <x:v>712</x:v>
      </x:c>
      <x:c r="K3491" s="20" t="n">
        <x:v>69.3</x:v>
      </x:c>
      <x:c r="L3491" t="str">
        <x:v>SANGAT KETAT</x:v>
      </x:c>
      <x:c r="M3491" t="str">
        <x:v>SEDANG+</x:v>
      </x:c>
      <x:c r="N3491" t="str">
        <x:v>REGULER</x:v>
      </x:c>
      <x:c r="O3491" t="str">
        <x:v>SAINTEK</x:v>
      </x:c>
      <x:c r="P3491" t="str">
        <x:v>TEKNIK/ARSITEKTUR/STATISTIKA/AKTUARIA</x:v>
      </x:c>
      <x:c r="Q3491" s="18" t="n">
        <x:v>0</x:v>
      </x:c>
      <x:c r="R3491" s="18" t="n">
        <x:v>0</x:v>
      </x:c>
      <x:c r="S3491" s="18" t="n">
        <x:v>674.6021869226224</x:v>
      </x:c>
      <x:c r="T3491" s="18" t="n">
        <x:v>699</x:v>
      </x:c>
      <x:c r="U3491" s="18" t="n">
        <x:v>684.6021869226224</x:v>
      </x:c>
      <x:c r="V3491" s="20" t="n">
        <x:v>12</x:v>
      </x:c>
      <x:c r="W3491" s="20" t="n">
        <x:v>5</x:v>
      </x:c>
      <x:c r="X3491" s="20" t="n">
        <x:v>3</x:v>
      </x:c>
      <x:c r="Y3491" t="str">
        <x:v>Basis arsip 2025/2024</x:v>
      </x:c>
      <x:c r="Z3491" t="str">
        <x:v>https://snpmb.id/utbk-snbt/daya-tampung-snbt</x:v>
      </x:c>
      <x:c r="AA3491" t="str">
        <x:v>Tidak Ada</x:v>
      </x:c>
      <x:c r="AB3491" t="str">
        <x:v>Campus=55; Ratio=82.7; Prodi=60; RelDemand=100.0; Capacity=73.3</x:v>
      </x:c>
    </x:row>
    <x:row r="3492">
      <x:c r="A3492" t="n">
        <x:v>3489</x:v>
      </x:c>
      <x:c r="B3492" t="str">
        <x:v>PTN Akademik</x:v>
      </x:c>
      <x:c r="C3492" t="str">
        <x:v>UNIVERSITAS HALUOLEO</x:v>
      </x:c>
      <x:c r="D3492" t="str">
        <x:v>TEKNOLOGI HASIL PERIKANAN</x:v>
      </x:c>
      <x:c r="E3492" t="str">
        <x:v>Sarjana</x:v>
      </x:c>
      <x:c r="F3492" s="18" t="n">
        <x:v>16</x:v>
      </x:c>
      <x:c r="G3492" s="18" t="n">
        <x:v>8</x:v>
      </x:c>
      <x:c r="H3492" s="19" t="n">
        <x:v>0.5</x:v>
      </x:c>
      <x:c r="I3492" s="18" t="n">
        <x:f>ROUND(MIN(Model_Config_v3!$B$6,MAX(Q3492,R3492,S3492*Model_Config_v3!$B$4+T3492*Model_Config_v3!$B$5)),0)</x:f>
        <x:v>599</x:v>
      </x:c>
      <x:c r="J3492" s="18" t="n">
        <x:f>MIN(Model_Config_v3!$B$6,I3492+Model_Config_v3!$B$7)</x:f>
        <x:v>619</x:v>
      </x:c>
      <x:c r="K3492" s="20" t="n">
        <x:v>36.4</x:v>
      </x:c>
      <x:c r="L3492" t="str">
        <x:v>RELATIF LONGGAR</x:v>
      </x:c>
      <x:c r="M3492" t="str">
        <x:v>SEDANG</x:v>
      </x:c>
      <x:c r="N3492" t="str">
        <x:v>REGULER</x:v>
      </x:c>
      <x:c r="O3492" t="str">
        <x:v>SAINTEK</x:v>
      </x:c>
      <x:c r="P3492" t="str">
        <x:v>UMUM</x:v>
      </x:c>
      <x:c r="Q3492" s="18" t="n">
        <x:v>0</x:v>
      </x:c>
      <x:c r="R3492" s="18" t="n">
        <x:v>0</x:v>
      </x:c>
      <x:c r="S3492" s="18" t="n">
        <x:v>520</x:v>
      </x:c>
      <x:c r="T3492" s="18" t="n">
        <x:v>633</x:v>
      </x:c>
      <x:c r="U3492" s="18" t="n">
        <x:v>520</x:v>
      </x:c>
      <x:c r="V3492" s="20" t="n">
        <x:v>12</x:v>
      </x:c>
      <x:c r="W3492" s="20" t="n">
        <x:v>5</x:v>
      </x:c>
      <x:c r="X3492" s="20" t="n">
        <x:v>3</x:v>
      </x:c>
      <x:c r="Y3492" t="str">
        <x:v>Basis arsip 2025/2024</x:v>
      </x:c>
      <x:c r="Z3492" t="str">
        <x:v>https://snpmb.id/utbk-snbt/daya-tampung-snbt</x:v>
      </x:c>
      <x:c r="AA3492" t="str">
        <x:v>Tidak Ada</x:v>
      </x:c>
      <x:c r="AB3492" t="str">
        <x:v>Campus=55; Ratio=0.0; Prodi=40; RelDemand=4.7; Capacity=86.7</x:v>
      </x:c>
    </x:row>
    <x:row r="3493">
      <x:c r="A3493" t="n">
        <x:v>3490</x:v>
      </x:c>
      <x:c r="B3493" t="str">
        <x:v>PTN Akademik</x:v>
      </x:c>
      <x:c r="C3493" t="str">
        <x:v>UNIVERSITAS HALUOLEO</x:v>
      </x:c>
      <x:c r="D3493" t="str">
        <x:v>GEOGRAFI</x:v>
      </x:c>
      <x:c r="E3493" t="str">
        <x:v>Sarjana</x:v>
      </x:c>
      <x:c r="F3493" s="18" t="n">
        <x:v>32</x:v>
      </x:c>
      <x:c r="G3493" s="18" t="n">
        <x:v>42</x:v>
      </x:c>
      <x:c r="H3493" s="19" t="n">
        <x:v>1.3125</x:v>
      </x:c>
      <x:c r="I3493" s="18" t="n">
        <x:f>ROUND(MIN(Model_Config_v3!$B$6,MAX(Q3493,R3493,S3493*Model_Config_v3!$B$4+T3493*Model_Config_v3!$B$5)),0)</x:f>
        <x:v>604</x:v>
      </x:c>
      <x:c r="J3493" s="18" t="n">
        <x:f>MIN(Model_Config_v3!$B$6,I3493+Model_Config_v3!$B$7)</x:f>
        <x:v>624</x:v>
      </x:c>
      <x:c r="K3493" s="20" t="n">
        <x:v>37.6</x:v>
      </x:c>
      <x:c r="L3493" t="str">
        <x:v>RELATIF LONGGAR</x:v>
      </x:c>
      <x:c r="M3493" t="str">
        <x:v>SEDANG</x:v>
      </x:c>
      <x:c r="N3493" t="str">
        <x:v>REGULER</x:v>
      </x:c>
      <x:c r="O3493" t="str">
        <x:v>CAMPURAN</x:v>
      </x:c>
      <x:c r="P3493" t="str">
        <x:v>UMUM</x:v>
      </x:c>
      <x:c r="Q3493" s="18" t="n">
        <x:v>0</x:v>
      </x:c>
      <x:c r="R3493" s="18" t="n">
        <x:v>0</x:v>
      </x:c>
      <x:c r="S3493" s="18" t="n">
        <x:v>532.9909243285794</x:v>
      </x:c>
      <x:c r="T3493" s="18" t="n">
        <x:v>635</x:v>
      </x:c>
      <x:c r="U3493" s="18" t="n">
        <x:v>532.9909243285794</x:v>
      </x:c>
      <x:c r="V3493" s="20" t="n">
        <x:v>8.8</x:v>
      </x:c>
      <x:c r="W3493" s="20" t="n">
        <x:v>9.9</x:v>
      </x:c>
      <x:c r="X3493" s="20" t="n">
        <x:v>3.3</x:v>
      </x:c>
      <x:c r="Y3493" t="str">
        <x:v>Basis arsip 2025/2024</x:v>
      </x:c>
      <x:c r="Z3493" t="str">
        <x:v>https://snpmb.id/utbk-snbt/daya-tampung-snbt</x:v>
      </x:c>
      <x:c r="AA3493" t="str">
        <x:v>Tidak Ada</x:v>
      </x:c>
      <x:c r="AB3493" t="str">
        <x:v>Campus=55; Ratio=7.0; Prodi=40; RelDemand=12.3; Capacity=73.3</x:v>
      </x:c>
    </x:row>
    <x:row r="3494">
      <x:c r="A3494" t="n">
        <x:v>3491</x:v>
      </x:c>
      <x:c r="B3494" t="str">
        <x:v>PTN Akademik</x:v>
      </x:c>
      <x:c r="C3494" t="str">
        <x:v>UNIVERSITAS HALUOLEO</x:v>
      </x:c>
      <x:c r="D3494" t="str">
        <x:v>ILMU TANAH</x:v>
      </x:c>
      <x:c r="E3494" t="str">
        <x:v>Sarjana</x:v>
      </x:c>
      <x:c r="F3494" s="18" t="n">
        <x:v>24</x:v>
      </x:c>
      <x:c r="G3494" s="18" t="n">
        <x:v>20</x:v>
      </x:c>
      <x:c r="H3494" s="19" t="n">
        <x:v>0.8333333333333334</x:v>
      </x:c>
      <x:c r="I3494" s="18" t="n">
        <x:f>ROUND(MIN(Model_Config_v3!$B$6,MAX(Q3494,R3494,S3494*Model_Config_v3!$B$4+T3494*Model_Config_v3!$B$5)),0)</x:f>
        <x:v>598</x:v>
      </x:c>
      <x:c r="J3494" s="18" t="n">
        <x:f>MIN(Model_Config_v3!$B$6,I3494+Model_Config_v3!$B$7)</x:f>
        <x:v>618</x:v>
      </x:c>
      <x:c r="K3494" s="20" t="n">
        <x:v>36</x:v>
      </x:c>
      <x:c r="L3494" t="str">
        <x:v>RELATIF LONGGAR</x:v>
      </x:c>
      <x:c r="M3494" t="str">
        <x:v>SEDANG</x:v>
      </x:c>
      <x:c r="N3494" t="str">
        <x:v>REGULER</x:v>
      </x:c>
      <x:c r="O3494" t="str">
        <x:v>CAMPURAN</x:v>
      </x:c>
      <x:c r="P3494" t="str">
        <x:v>UMUM</x:v>
      </x:c>
      <x:c r="Q3494" s="18" t="n">
        <x:v>0</x:v>
      </x:c>
      <x:c r="R3494" s="18" t="n">
        <x:v>0</x:v>
      </x:c>
      <x:c r="S3494" s="18" t="n">
        <x:v>520</x:v>
      </x:c>
      <x:c r="T3494" s="18" t="n">
        <x:v>632</x:v>
      </x:c>
      <x:c r="U3494" s="18" t="n">
        <x:v>520</x:v>
      </x:c>
      <x:c r="V3494" s="20" t="n">
        <x:v>8.8</x:v>
      </x:c>
      <x:c r="W3494" s="20" t="n">
        <x:v>9.9</x:v>
      </x:c>
      <x:c r="X3494" s="20" t="n">
        <x:v>3.3</x:v>
      </x:c>
      <x:c r="Y3494" t="str">
        <x:v>Basis arsip 2025/2024</x:v>
      </x:c>
      <x:c r="Z3494" t="str">
        <x:v>https://snpmb.id/utbk-snbt/daya-tampung-snbt</x:v>
      </x:c>
      <x:c r="AA3494" t="str">
        <x:v>Tidak Ada</x:v>
      </x:c>
      <x:c r="AB3494" t="str">
        <x:v>Campus=55; Ratio=0.0; Prodi=40; RelDemand=7.8; Capacity=80.0</x:v>
      </x:c>
    </x:row>
    <x:row r="3495">
      <x:c r="A3495" t="n">
        <x:v>3492</x:v>
      </x:c>
      <x:c r="B3495" t="str">
        <x:v>PTN Akademik</x:v>
      </x:c>
      <x:c r="C3495" t="str">
        <x:v>UNIVERSITAS HALUOLEO</x:v>
      </x:c>
      <x:c r="D3495" t="str">
        <x:v>PROTEKSI TANAMAN</x:v>
      </x:c>
      <x:c r="E3495" t="str">
        <x:v>Sarjana</x:v>
      </x:c>
      <x:c r="F3495" s="18" t="n">
        <x:v>24</x:v>
      </x:c>
      <x:c r="G3495" s="18" t="n">
        <x:v>14</x:v>
      </x:c>
      <x:c r="H3495" s="19" t="n">
        <x:v>0.5833333333333334</x:v>
      </x:c>
      <x:c r="I3495" s="18" t="n">
        <x:f>ROUND(MIN(Model_Config_v3!$B$6,MAX(Q3495,R3495,S3495*Model_Config_v3!$B$4+T3495*Model_Config_v3!$B$5)),0)</x:f>
        <x:v>598</x:v>
      </x:c>
      <x:c r="J3495" s="18" t="n">
        <x:f>MIN(Model_Config_v3!$B$6,I3495+Model_Config_v3!$B$7)</x:f>
        <x:v>618</x:v>
      </x:c>
      <x:c r="K3495" s="20" t="n">
        <x:v>35.8</x:v>
      </x:c>
      <x:c r="L3495" t="str">
        <x:v>RELATIF LONGGAR</x:v>
      </x:c>
      <x:c r="M3495" t="str">
        <x:v>SEDANG</x:v>
      </x:c>
      <x:c r="N3495" t="str">
        <x:v>REGULER</x:v>
      </x:c>
      <x:c r="O3495" t="str">
        <x:v>CAMPURAN</x:v>
      </x:c>
      <x:c r="P3495" t="str">
        <x:v>UMUM</x:v>
      </x:c>
      <x:c r="Q3495" s="18" t="n">
        <x:v>0</x:v>
      </x:c>
      <x:c r="R3495" s="18" t="n">
        <x:v>0</x:v>
      </x:c>
      <x:c r="S3495" s="18" t="n">
        <x:v>520</x:v>
      </x:c>
      <x:c r="T3495" s="18" t="n">
        <x:v>632</x:v>
      </x:c>
      <x:c r="U3495" s="18" t="n">
        <x:v>520</x:v>
      </x:c>
      <x:c r="V3495" s="20" t="n">
        <x:v>8.8</x:v>
      </x:c>
      <x:c r="W3495" s="20" t="n">
        <x:v>9.9</x:v>
      </x:c>
      <x:c r="X3495" s="20" t="n">
        <x:v>3.3</x:v>
      </x:c>
      <x:c r="Y3495" t="str">
        <x:v>Basis arsip 2025/2024</x:v>
      </x:c>
      <x:c r="Z3495" t="str">
        <x:v>https://snpmb.id/utbk-snbt/daya-tampung-snbt</x:v>
      </x:c>
      <x:c r="AA3495" t="str">
        <x:v>Tidak Ada</x:v>
      </x:c>
      <x:c r="AB3495" t="str">
        <x:v>Campus=55; Ratio=0.0; Prodi=40; RelDemand=5.5; Capacity=80.0</x:v>
      </x:c>
    </x:row>
    <x:row r="3496">
      <x:c r="A3496" t="n">
        <x:v>3493</x:v>
      </x:c>
      <x:c r="B3496" t="str">
        <x:v>PTN Akademik</x:v>
      </x:c>
      <x:c r="C3496" t="str">
        <x:v>UNIVERSITAS HALUOLEO</x:v>
      </x:c>
      <x:c r="D3496" t="str">
        <x:v>PENYULUHAN PERTANIAN</x:v>
      </x:c>
      <x:c r="E3496" t="str">
        <x:v>Sarjana</x:v>
      </x:c>
      <x:c r="F3496" s="18" t="n">
        <x:v>40</x:v>
      </x:c>
      <x:c r="G3496" s="18" t="n">
        <x:v>45</x:v>
      </x:c>
      <x:c r="H3496" s="19" t="n">
        <x:v>1.125</x:v>
      </x:c>
      <x:c r="I3496" s="18" t="n">
        <x:f>ROUND(MIN(Model_Config_v3!$B$6,MAX(Q3496,R3496,S3496*Model_Config_v3!$B$4+T3496*Model_Config_v3!$B$5)),0)</x:f>
        <x:v>599</x:v>
      </x:c>
      <x:c r="J3496" s="18" t="n">
        <x:f>MIN(Model_Config_v3!$B$6,I3496+Model_Config_v3!$B$7)</x:f>
        <x:v>619</x:v>
      </x:c>
      <x:c r="K3496" s="20" t="n">
        <x:v>35.7</x:v>
      </x:c>
      <x:c r="L3496" t="str">
        <x:v>RELATIF LONGGAR</x:v>
      </x:c>
      <x:c r="M3496" t="str">
        <x:v>SEDANG</x:v>
      </x:c>
      <x:c r="N3496" t="str">
        <x:v>REGULER</x:v>
      </x:c>
      <x:c r="O3496" t="str">
        <x:v>SAINTEK</x:v>
      </x:c>
      <x:c r="P3496" t="str">
        <x:v>UMUM</x:v>
      </x:c>
      <x:c r="Q3496" s="18" t="n">
        <x:v>0</x:v>
      </x:c>
      <x:c r="R3496" s="18" t="n">
        <x:v>0</x:v>
      </x:c>
      <x:c r="S3496" s="18" t="n">
        <x:v>525.6267774692119</x:v>
      </x:c>
      <x:c r="T3496" s="18" t="n">
        <x:v>631</x:v>
      </x:c>
      <x:c r="U3496" s="18" t="n">
        <x:v>525.6267774692119</x:v>
      </x:c>
      <x:c r="V3496" s="20" t="n">
        <x:v>12</x:v>
      </x:c>
      <x:c r="W3496" s="20" t="n">
        <x:v>5</x:v>
      </x:c>
      <x:c r="X3496" s="20" t="n">
        <x:v>3</x:v>
      </x:c>
      <x:c r="Y3496" t="str">
        <x:v>Basis arsip 2025/2024</x:v>
      </x:c>
      <x:c r="Z3496" t="str">
        <x:v>https://snpmb.id/utbk-snbt/daya-tampung-snbt</x:v>
      </x:c>
      <x:c r="AA3496" t="str">
        <x:v>Tidak Ada</x:v>
      </x:c>
      <x:c r="AB3496" t="str">
        <x:v>Campus=55; Ratio=3.0; Prodi=40; RelDemand=10.6; Capacity=66.7</x:v>
      </x:c>
    </x:row>
    <x:row r="3497">
      <x:c r="A3497" t="n">
        <x:v>3494</x:v>
      </x:c>
      <x:c r="B3497" t="str">
        <x:v>PTN Akademik</x:v>
      </x:c>
      <x:c r="C3497" t="str">
        <x:v>UNIVERSITAS HALUOLEO</x:v>
      </x:c>
      <x:c r="D3497" t="str">
        <x:v>BIOTEKNOLOGI</x:v>
      </x:c>
      <x:c r="E3497" t="str">
        <x:v>Sarjana</x:v>
      </x:c>
      <x:c r="F3497" s="18" t="n">
        <x:v>28</x:v>
      </x:c>
      <x:c r="G3497" s="18" t="n">
        <x:v>23</x:v>
      </x:c>
      <x:c r="H3497" s="19" t="n">
        <x:v>0.8214285714285714</x:v>
      </x:c>
      <x:c r="I3497" s="18" t="n">
        <x:f>ROUND(MIN(Model_Config_v3!$B$6,MAX(Q3497,R3497,S3497*Model_Config_v3!$B$4+T3497*Model_Config_v3!$B$5)),0)</x:f>
        <x:v>598</x:v>
      </x:c>
      <x:c r="J3497" s="18" t="n">
        <x:f>MIN(Model_Config_v3!$B$6,I3497+Model_Config_v3!$B$7)</x:f>
        <x:v>618</x:v>
      </x:c>
      <x:c r="K3497" s="20" t="n">
        <x:v>35.7</x:v>
      </x:c>
      <x:c r="L3497" t="str">
        <x:v>RELATIF LONGGAR</x:v>
      </x:c>
      <x:c r="M3497" t="str">
        <x:v>SEDANG</x:v>
      </x:c>
      <x:c r="N3497" t="str">
        <x:v>REGULER</x:v>
      </x:c>
      <x:c r="O3497" t="str">
        <x:v>SAINTEK</x:v>
      </x:c>
      <x:c r="P3497" t="str">
        <x:v>UMUM</x:v>
      </x:c>
      <x:c r="Q3497" s="18" t="n">
        <x:v>0</x:v>
      </x:c>
      <x:c r="R3497" s="18" t="n">
        <x:v>0</x:v>
      </x:c>
      <x:c r="S3497" s="18" t="n">
        <x:v>520</x:v>
      </x:c>
      <x:c r="T3497" s="18" t="n">
        <x:v>631</x:v>
      </x:c>
      <x:c r="U3497" s="18" t="n">
        <x:v>520</x:v>
      </x:c>
      <x:c r="V3497" s="20" t="n">
        <x:v>12</x:v>
      </x:c>
      <x:c r="W3497" s="20" t="n">
        <x:v>5</x:v>
      </x:c>
      <x:c r="X3497" s="20" t="n">
        <x:v>3</x:v>
      </x:c>
      <x:c r="Y3497" t="str">
        <x:v>Basis arsip 2025/2024</x:v>
      </x:c>
      <x:c r="Z3497" t="str">
        <x:v>https://snpmb.id/utbk-snbt/daya-tampung-snbt</x:v>
      </x:c>
      <x:c r="AA3497" t="str">
        <x:v>Tidak Ada</x:v>
      </x:c>
      <x:c r="AB3497" t="str">
        <x:v>Campus=55; Ratio=0.0; Prodi=40; RelDemand=7.7; Capacity=76.7</x:v>
      </x:c>
    </x:row>
    <x:row r="3498">
      <x:c r="A3498" t="n">
        <x:v>3495</x:v>
      </x:c>
      <x:c r="B3498" t="str">
        <x:v>PTN Akademik</x:v>
      </x:c>
      <x:c r="C3498" t="str">
        <x:v>UNIVERSITAS HALUOLEO</x:v>
      </x:c>
      <x:c r="D3498" t="str">
        <x:v>ILMU KEOLAHRAGAAN</x:v>
      </x:c>
      <x:c r="E3498" t="str">
        <x:v>Sarjana</x:v>
      </x:c>
      <x:c r="F3498" s="18" t="n">
        <x:v>48</x:v>
      </x:c>
      <x:c r="G3498" s="18" t="n">
        <x:v>152</x:v>
      </x:c>
      <x:c r="H3498" s="19" t="n">
        <x:v>3.1666666666666665</x:v>
      </x:c>
      <x:c r="I3498" s="18" t="n">
        <x:f>ROUND(MIN(Model_Config_v3!$B$6,MAX(Q3498,R3498,S3498*Model_Config_v3!$B$4+T3498*Model_Config_v3!$B$5)),0)</x:f>
        <x:v>625</x:v>
      </x:c>
      <x:c r="J3498" s="18" t="n">
        <x:f>MIN(Model_Config_v3!$B$6,I3498+Model_Config_v3!$B$7)</x:f>
        <x:v>645</x:v>
      </x:c>
      <x:c r="K3498" s="20" t="n">
        <x:v>43.6</x:v>
      </x:c>
      <x:c r="L3498" t="str">
        <x:v>RELATIF LONGGAR</x:v>
      </x:c>
      <x:c r="M3498" t="str">
        <x:v>SEDANG</x:v>
      </x:c>
      <x:c r="N3498" t="str">
        <x:v>REGULER</x:v>
      </x:c>
      <x:c r="O3498" t="str">
        <x:v>CAMPURAN</x:v>
      </x:c>
      <x:c r="P3498" t="str">
        <x:v>UMUM</x:v>
      </x:c>
      <x:c r="Q3498" s="18" t="n">
        <x:v>0</x:v>
      </x:c>
      <x:c r="R3498" s="18" t="n">
        <x:v>0</x:v>
      </x:c>
      <x:c r="S3498" s="18" t="n">
        <x:v>575.0662585626104</x:v>
      </x:c>
      <x:c r="T3498" s="18" t="n">
        <x:v>647</x:v>
      </x:c>
      <x:c r="U3498" s="18" t="n">
        <x:v>575.0662585626104</x:v>
      </x:c>
      <x:c r="V3498" s="20" t="n">
        <x:v>8.8</x:v>
      </x:c>
      <x:c r="W3498" s="20" t="n">
        <x:v>9.9</x:v>
      </x:c>
      <x:c r="X3498" s="20" t="n">
        <x:v>3.3</x:v>
      </x:c>
      <x:c r="Y3498" t="str">
        <x:v>Basis arsip 2025/2024</x:v>
      </x:c>
      <x:c r="Z3498" t="str">
        <x:v>https://snpmb.id/utbk-snbt/daya-tampung-snbt</x:v>
      </x:c>
      <x:c r="AA3498" t="str">
        <x:v>Tidak Ada</x:v>
      </x:c>
      <x:c r="AB3498" t="str">
        <x:v>Campus=55; Ratio=29.5; Prodi=40; RelDemand=29.7; Capacity=60.0</x:v>
      </x:c>
    </x:row>
    <x:row r="3499">
      <x:c r="A3499" t="n">
        <x:v>3496</x:v>
      </x:c>
      <x:c r="B3499" t="str">
        <x:v>PTN Akademik</x:v>
      </x:c>
      <x:c r="C3499" t="str">
        <x:v>UNIVERSITAS HALUOLEO</x:v>
      </x:c>
      <x:c r="D3499" t="str">
        <x:v>OSEANOGRAFI</x:v>
      </x:c>
      <x:c r="E3499" t="str">
        <x:v>Sarjana</x:v>
      </x:c>
      <x:c r="F3499" s="18" t="n">
        <x:v>16</x:v>
      </x:c>
      <x:c r="G3499" s="18" t="n">
        <x:v>6</x:v>
      </x:c>
      <x:c r="H3499" s="19" t="n">
        <x:v>0.375</x:v>
      </x:c>
      <x:c r="I3499" s="18" t="n">
        <x:f>ROUND(MIN(Model_Config_v3!$B$6,MAX(Q3499,R3499,S3499*Model_Config_v3!$B$4+T3499*Model_Config_v3!$B$5)),0)</x:f>
        <x:v>599</x:v>
      </x:c>
      <x:c r="J3499" s="18" t="n">
        <x:f>MIN(Model_Config_v3!$B$6,I3499+Model_Config_v3!$B$7)</x:f>
        <x:v>619</x:v>
      </x:c>
      <x:c r="K3499" s="20" t="n">
        <x:v>36.3</x:v>
      </x:c>
      <x:c r="L3499" t="str">
        <x:v>RELATIF LONGGAR</x:v>
      </x:c>
      <x:c r="M3499" t="str">
        <x:v>SEDANG</x:v>
      </x:c>
      <x:c r="N3499" t="str">
        <x:v>REGULER</x:v>
      </x:c>
      <x:c r="O3499" t="str">
        <x:v>CAMPURAN</x:v>
      </x:c>
      <x:c r="P3499" t="str">
        <x:v>UMUM</x:v>
      </x:c>
      <x:c r="Q3499" s="18" t="n">
        <x:v>0</x:v>
      </x:c>
      <x:c r="R3499" s="18" t="n">
        <x:v>0</x:v>
      </x:c>
      <x:c r="S3499" s="18" t="n">
        <x:v>520</x:v>
      </x:c>
      <x:c r="T3499" s="18" t="n">
        <x:v>633</x:v>
      </x:c>
      <x:c r="U3499" s="18" t="n">
        <x:v>520</x:v>
      </x:c>
      <x:c r="V3499" s="20" t="n">
        <x:v>8.8</x:v>
      </x:c>
      <x:c r="W3499" s="20" t="n">
        <x:v>9.9</x:v>
      </x:c>
      <x:c r="X3499" s="20" t="n">
        <x:v>3.3</x:v>
      </x:c>
      <x:c r="Y3499" t="str">
        <x:v>Basis arsip 2025/2024</x:v>
      </x:c>
      <x:c r="Z3499" t="str">
        <x:v>https://snpmb.id/utbk-snbt/daya-tampung-snbt</x:v>
      </x:c>
      <x:c r="AA3499" t="str">
        <x:v>Tidak Ada</x:v>
      </x:c>
      <x:c r="AB3499" t="str">
        <x:v>Campus=55; Ratio=0.0; Prodi=40; RelDemand=3.5; Capacity=86.7</x:v>
      </x:c>
    </x:row>
    <x:row r="3500">
      <x:c r="A3500" t="n">
        <x:v>3497</x:v>
      </x:c>
      <x:c r="B3500" t="str">
        <x:v>PTN Akademik</x:v>
      </x:c>
      <x:c r="C3500" t="str">
        <x:v>UNIVERSITAS HALUOLEO</x:v>
      </x:c>
      <x:c r="D3500" t="str">
        <x:v>PERIKANAN TANGKAP</x:v>
      </x:c>
      <x:c r="E3500" t="str">
        <x:v>Sarjana</x:v>
      </x:c>
      <x:c r="F3500" s="18" t="n">
        <x:v>16</x:v>
      </x:c>
      <x:c r="G3500" s="18" t="n">
        <x:v>3</x:v>
      </x:c>
      <x:c r="H3500" s="19" t="n">
        <x:v>0.1875</x:v>
      </x:c>
      <x:c r="I3500" s="18" t="n">
        <x:f>ROUND(MIN(Model_Config_v3!$B$6,MAX(Q3500,R3500,S3500*Model_Config_v3!$B$4+T3500*Model_Config_v3!$B$5)),0)</x:f>
        <x:v>598</x:v>
      </x:c>
      <x:c r="J3500" s="18" t="n">
        <x:f>MIN(Model_Config_v3!$B$6,I3500+Model_Config_v3!$B$7)</x:f>
        <x:v>618</x:v>
      </x:c>
      <x:c r="K3500" s="20" t="n">
        <x:v>36.1</x:v>
      </x:c>
      <x:c r="L3500" t="str">
        <x:v>RELATIF LONGGAR</x:v>
      </x:c>
      <x:c r="M3500" t="str">
        <x:v>SEDANG</x:v>
      </x:c>
      <x:c r="N3500" t="str">
        <x:v>REGULER</x:v>
      </x:c>
      <x:c r="O3500" t="str">
        <x:v>SAINTEK</x:v>
      </x:c>
      <x:c r="P3500" t="str">
        <x:v>UMUM</x:v>
      </x:c>
      <x:c r="Q3500" s="18" t="n">
        <x:v>0</x:v>
      </x:c>
      <x:c r="R3500" s="18" t="n">
        <x:v>0</x:v>
      </x:c>
      <x:c r="S3500" s="18" t="n">
        <x:v>520</x:v>
      </x:c>
      <x:c r="T3500" s="18" t="n">
        <x:v>632</x:v>
      </x:c>
      <x:c r="U3500" s="18" t="n">
        <x:v>520</x:v>
      </x:c>
      <x:c r="V3500" s="20" t="n">
        <x:v>12</x:v>
      </x:c>
      <x:c r="W3500" s="20" t="n">
        <x:v>5</x:v>
      </x:c>
      <x:c r="X3500" s="20" t="n">
        <x:v>3</x:v>
      </x:c>
      <x:c r="Y3500" t="str">
        <x:v>Basis arsip 2025/2024</x:v>
      </x:c>
      <x:c r="Z3500" t="str">
        <x:v>https://snpmb.id/utbk-snbt/daya-tampung-snbt</x:v>
      </x:c>
      <x:c r="AA3500" t="str">
        <x:v>Tidak Ada</x:v>
      </x:c>
      <x:c r="AB3500" t="str">
        <x:v>Campus=55; Ratio=0.0; Prodi=40; RelDemand=1.8; Capacity=86.7</x:v>
      </x:c>
    </x:row>
    <x:row r="3501">
      <x:c r="A3501" t="n">
        <x:v>3498</x:v>
      </x:c>
      <x:c r="B3501" t="str">
        <x:v>PTN Akademik</x:v>
      </x:c>
      <x:c r="C3501" t="str">
        <x:v>UNIVERSITAS HALUOLEO</x:v>
      </x:c>
      <x:c r="D3501" t="str">
        <x:v>STATISTIKA</x:v>
      </x:c>
      <x:c r="E3501" t="str">
        <x:v>Sarjana</x:v>
      </x:c>
      <x:c r="F3501" s="18" t="n">
        <x:v>32</x:v>
      </x:c>
      <x:c r="G3501" s="18" t="n">
        <x:v>92</x:v>
      </x:c>
      <x:c r="H3501" s="19" t="n">
        <x:v>2.875</x:v>
      </x:c>
      <x:c r="I3501" s="18" t="n">
        <x:f>ROUND(MIN(Model_Config_v3!$B$6,MAX(Q3501,R3501,S3501*Model_Config_v3!$B$4+T3501*Model_Config_v3!$B$5)),0)</x:f>
        <x:v>630</x:v>
      </x:c>
      <x:c r="J3501" s="18" t="n">
        <x:f>MIN(Model_Config_v3!$B$6,I3501+Model_Config_v3!$B$7)</x:f>
        <x:v>650</x:v>
      </x:c>
      <x:c r="K3501" s="20" t="n">
        <x:v>48</x:v>
      </x:c>
      <x:c r="L3501" t="str">
        <x:v>MENENGAH</x:v>
      </x:c>
      <x:c r="M3501" t="str">
        <x:v>SEDANG+</x:v>
      </x:c>
      <x:c r="N3501" t="str">
        <x:v>REGULER</x:v>
      </x:c>
      <x:c r="O3501" t="str">
        <x:v>SAINTEK</x:v>
      </x:c>
      <x:c r="P3501" t="str">
        <x:v>TEKNIK/ARSITEKTUR/STATISTIKA/AKTUARIA</x:v>
      </x:c>
      <x:c r="Q3501" s="18" t="n">
        <x:v>0</x:v>
      </x:c>
      <x:c r="R3501" s="18" t="n">
        <x:v>0</x:v>
      </x:c>
      <x:c r="S3501" s="18" t="n">
        <x:v>570.4501633928214</x:v>
      </x:c>
      <x:c r="T3501" s="18" t="n">
        <x:v>656</x:v>
      </x:c>
      <x:c r="U3501" s="18" t="n">
        <x:v>580.4501633928214</x:v>
      </x:c>
      <x:c r="V3501" s="20" t="n">
        <x:v>12</x:v>
      </x:c>
      <x:c r="W3501" s="20" t="n">
        <x:v>5</x:v>
      </x:c>
      <x:c r="X3501" s="20" t="n">
        <x:v>3</x:v>
      </x:c>
      <x:c r="Y3501" t="str">
        <x:v>Basis arsip 2025/2024</x:v>
      </x:c>
      <x:c r="Z3501" t="str">
        <x:v>https://snpmb.id/utbk-snbt/daya-tampung-snbt</x:v>
      </x:c>
      <x:c r="AA3501" t="str">
        <x:v>Tidak Ada</x:v>
      </x:c>
      <x:c r="AB3501" t="str">
        <x:v>Campus=55; Ratio=27.0; Prodi=60; RelDemand=27.0; Capacity=73.3</x:v>
      </x:c>
    </x:row>
    <x:row r="3502">
      <x:c r="A3502" t="n">
        <x:v>3499</x:v>
      </x:c>
      <x:c r="B3502" t="str">
        <x:v>PTN Akademik</x:v>
      </x:c>
      <x:c r="C3502" t="str">
        <x:v>UNIVERSITAS HALUOLEO</x:v>
      </x:c>
      <x:c r="D3502" t="str">
        <x:v>ILMU KOMPUTER</x:v>
      </x:c>
      <x:c r="E3502" t="str">
        <x:v>Sarjana</x:v>
      </x:c>
      <x:c r="F3502" s="18" t="n">
        <x:v>32</x:v>
      </x:c>
      <x:c r="G3502" s="18" t="n">
        <x:v>648</x:v>
      </x:c>
      <x:c r="H3502" s="19" t="n">
        <x:v>20.25</x:v>
      </x:c>
      <x:c r="I3502" s="18" t="n">
        <x:f>ROUND(MIN(Model_Config_v3!$B$6,MAX(Q3502,R3502,S3502*Model_Config_v3!$B$4+T3502*Model_Config_v3!$B$5)),0)</x:f>
        <x:v>693</x:v>
      </x:c>
      <x:c r="J3502" s="18" t="n">
        <x:f>MIN(Model_Config_v3!$B$6,I3502+Model_Config_v3!$B$7)</x:f>
        <x:v>713</x:v>
      </x:c>
      <x:c r="K3502" s="20" t="n">
        <x:v>72.8</x:v>
      </x:c>
      <x:c r="L3502" t="str">
        <x:v>SANGAT KETAT</x:v>
      </x:c>
      <x:c r="M3502" t="str">
        <x:v>SEDANG+</x:v>
      </x:c>
      <x:c r="N3502" t="str">
        <x:v>REGULER</x:v>
      </x:c>
      <x:c r="O3502" t="str">
        <x:v>SAINTEK</x:v>
      </x:c>
      <x:c r="P3502" t="str">
        <x:v>KOMPUTER/INFORMATIKA</x:v>
      </x:c>
      <x:c r="Q3502" s="18" t="n">
        <x:v>0</x:v>
      </x:c>
      <x:c r="R3502" s="18" t="n">
        <x:v>0</x:v>
      </x:c>
      <x:c r="S3502" s="18" t="n">
        <x:v>663.7067530305756</x:v>
      </x:c>
      <x:c r="T3502" s="18" t="n">
        <x:v>706</x:v>
      </x:c>
      <x:c r="U3502" s="18" t="n">
        <x:v>688.7067530305756</x:v>
      </x:c>
      <x:c r="V3502" s="20" t="n">
        <x:v>12</x:v>
      </x:c>
      <x:c r="W3502" s="20" t="n">
        <x:v>5</x:v>
      </x:c>
      <x:c r="X3502" s="20" t="n">
        <x:v>3</x:v>
      </x:c>
      <x:c r="Y3502" t="str">
        <x:v>Basis arsip 2025/2024</x:v>
      </x:c>
      <x:c r="Z3502" t="str">
        <x:v>https://snpmb.id/utbk-snbt/daya-tampung-snbt</x:v>
      </x:c>
      <x:c r="AA3502" t="str">
        <x:v>Tidak Ada</x:v>
      </x:c>
      <x:c r="AB3502" t="str">
        <x:v>Campus=55; Ratio=76.9; Prodi=85; RelDemand=100.0; Capacity=73.3</x:v>
      </x:c>
    </x:row>
    <x:row r="3503">
      <x:c r="A3503" t="n">
        <x:v>3500</x:v>
      </x:c>
      <x:c r="B3503" t="str">
        <x:v>PTN Akademik</x:v>
      </x:c>
      <x:c r="C3503" t="str">
        <x:v>UNIVERSITAS HALUOLEO</x:v>
      </x:c>
      <x:c r="D3503" t="str">
        <x:v>REKAYASA INFRASTRUKTUR DAN LINGKUNGAN</x:v>
      </x:c>
      <x:c r="E3503" t="str">
        <x:v>Sarjana</x:v>
      </x:c>
      <x:c r="F3503" s="18" t="n">
        <x:v>32</x:v>
      </x:c>
      <x:c r="G3503" s="18" t="n">
        <x:v>24</x:v>
      </x:c>
      <x:c r="H3503" s="19" t="n">
        <x:v>0.75</x:v>
      </x:c>
      <x:c r="I3503" s="18" t="n">
        <x:f>ROUND(MIN(Model_Config_v3!$B$6,MAX(Q3503,R3503,S3503*Model_Config_v3!$B$4+T3503*Model_Config_v3!$B$5)),0)</x:f>
        <x:v>598</x:v>
      </x:c>
      <x:c r="J3503" s="18" t="n">
        <x:f>MIN(Model_Config_v3!$B$6,I3503+Model_Config_v3!$B$7)</x:f>
        <x:v>618</x:v>
      </x:c>
      <x:c r="K3503" s="20" t="n">
        <x:v>35.3</x:v>
      </x:c>
      <x:c r="L3503" t="str">
        <x:v>RELATIF LONGGAR</x:v>
      </x:c>
      <x:c r="M3503" t="str">
        <x:v>SEDANG</x:v>
      </x:c>
      <x:c r="N3503" t="str">
        <x:v>REGULER</x:v>
      </x:c>
      <x:c r="O3503" t="str">
        <x:v>CAMPURAN</x:v>
      </x:c>
      <x:c r="P3503" t="str">
        <x:v>UMUM</x:v>
      </x:c>
      <x:c r="Q3503" s="18" t="n">
        <x:v>0</x:v>
      </x:c>
      <x:c r="R3503" s="18" t="n">
        <x:v>0</x:v>
      </x:c>
      <x:c r="S3503" s="18" t="n">
        <x:v>520</x:v>
      </x:c>
      <x:c r="T3503" s="18" t="n">
        <x:v>631</x:v>
      </x:c>
      <x:c r="U3503" s="18" t="n">
        <x:v>520</x:v>
      </x:c>
      <x:c r="V3503" s="20" t="n">
        <x:v>8.8</x:v>
      </x:c>
      <x:c r="W3503" s="20" t="n">
        <x:v>9.9</x:v>
      </x:c>
      <x:c r="X3503" s="20" t="n">
        <x:v>3.3</x:v>
      </x:c>
      <x:c r="Y3503" t="str">
        <x:v>Basis arsip 2025/2024</x:v>
      </x:c>
      <x:c r="Z3503" t="str">
        <x:v>https://snpmb.id/utbk-snbt/daya-tampung-snbt</x:v>
      </x:c>
      <x:c r="AA3503" t="str">
        <x:v>Tidak Ada</x:v>
      </x:c>
      <x:c r="AB3503" t="str">
        <x:v>Campus=55; Ratio=0.0; Prodi=40; RelDemand=7.0; Capacity=73.3</x:v>
      </x:c>
    </x:row>
    <x:row r="3504">
      <x:c r="A3504" t="n">
        <x:v>3501</x:v>
      </x:c>
      <x:c r="B3504" t="str">
        <x:v>PTN Akademik</x:v>
      </x:c>
      <x:c r="C3504" t="str">
        <x:v>UNIVERSITAS HALUOLEO</x:v>
      </x:c>
      <x:c r="D3504" t="str">
        <x:v>TEKNIK KELAUTAN</x:v>
      </x:c>
      <x:c r="E3504" t="str">
        <x:v>Sarjana</x:v>
      </x:c>
      <x:c r="F3504" s="18" t="n">
        <x:v>32</x:v>
      </x:c>
      <x:c r="G3504" s="18" t="n">
        <x:v>32</x:v>
      </x:c>
      <x:c r="H3504" s="19" t="n">
        <x:v>1</x:v>
      </x:c>
      <x:c r="I3504" s="18" t="n">
        <x:f>ROUND(MIN(Model_Config_v3!$B$6,MAX(Q3504,R3504,S3504*Model_Config_v3!$B$4+T3504*Model_Config_v3!$B$5)),0)</x:f>
        <x:v>603</x:v>
      </x:c>
      <x:c r="J3504" s="18" t="n">
        <x:f>MIN(Model_Config_v3!$B$6,I3504+Model_Config_v3!$B$7)</x:f>
        <x:v>623</x:v>
      </x:c>
      <x:c r="K3504" s="20" t="n">
        <x:v>39.5</x:v>
      </x:c>
      <x:c r="L3504" t="str">
        <x:v>RELATIF LONGGAR</x:v>
      </x:c>
      <x:c r="M3504" t="str">
        <x:v>SEDANG+</x:v>
      </x:c>
      <x:c r="N3504" t="str">
        <x:v>REGULER</x:v>
      </x:c>
      <x:c r="O3504" t="str">
        <x:v>SAINTEK</x:v>
      </x:c>
      <x:c r="P3504" t="str">
        <x:v>TEKNIK/ARSITEKTUR/STATISTIKA/AKTUARIA</x:v>
      </x:c>
      <x:c r="Q3504" s="18" t="n">
        <x:v>0</x:v>
      </x:c>
      <x:c r="R3504" s="18" t="n">
        <x:v>0</x:v>
      </x:c>
      <x:c r="S3504" s="18" t="n">
        <x:v>520</x:v>
      </x:c>
      <x:c r="T3504" s="18" t="n">
        <x:v>639</x:v>
      </x:c>
      <x:c r="U3504" s="18" t="n">
        <x:v>530</x:v>
      </x:c>
      <x:c r="V3504" s="20" t="n">
        <x:v>12</x:v>
      </x:c>
      <x:c r="W3504" s="20" t="n">
        <x:v>5</x:v>
      </x:c>
      <x:c r="X3504" s="20" t="n">
        <x:v>3</x:v>
      </x:c>
      <x:c r="Y3504" t="str">
        <x:v>Basis arsip 2025/2024</x:v>
      </x:c>
      <x:c r="Z3504" t="str">
        <x:v>https://snpmb.id/utbk-snbt/daya-tampung-snbt</x:v>
      </x:c>
      <x:c r="AA3504" t="str">
        <x:v>Tidak Ada</x:v>
      </x:c>
      <x:c r="AB3504" t="str">
        <x:v>Campus=55; Ratio=0.0; Prodi=60; RelDemand=9.4; Capacity=73.3</x:v>
      </x:c>
    </x:row>
    <x:row r="3505">
      <x:c r="A3505" t="n">
        <x:v>3502</x:v>
      </x:c>
      <x:c r="B3505" t="str">
        <x:v>PTN Akademik</x:v>
      </x:c>
      <x:c r="C3505" t="str">
        <x:v>UNIVERSITAS HALUOLEO</x:v>
      </x:c>
      <x:c r="D3505" t="str">
        <x:v>GIZI</x:v>
      </x:c>
      <x:c r="E3505" t="str">
        <x:v>Sarjana</x:v>
      </x:c>
      <x:c r="F3505" s="18" t="n">
        <x:v>32</x:v>
      </x:c>
      <x:c r="G3505" s="18" t="n">
        <x:v>301</x:v>
      </x:c>
      <x:c r="H3505" s="19" t="n">
        <x:v>9.40625</x:v>
      </x:c>
      <x:c r="I3505" s="18" t="n">
        <x:f>ROUND(MIN(Model_Config_v3!$B$6,MAX(Q3505,R3505,S3505*Model_Config_v3!$B$4+T3505*Model_Config_v3!$B$5)),0)</x:f>
        <x:v>665</x:v>
      </x:c>
      <x:c r="J3505" s="18" t="n">
        <x:f>MIN(Model_Config_v3!$B$6,I3505+Model_Config_v3!$B$7)</x:f>
        <x:v>685</x:v>
      </x:c>
      <x:c r="K3505" s="20" t="n">
        <x:v>60.7</x:v>
      </x:c>
      <x:c r="L3505" t="str">
        <x:v>KETAT</x:v>
      </x:c>
      <x:c r="M3505" t="str">
        <x:v>SEDANG+</x:v>
      </x:c>
      <x:c r="N3505" t="str">
        <x:v>REGULER</x:v>
      </x:c>
      <x:c r="O3505" t="str">
        <x:v>SAINTEK</x:v>
      </x:c>
      <x:c r="P3505" t="str">
        <x:v>KESEHAT/GIZI/KEPERAWATAN</x:v>
      </x:c>
      <x:c r="Q3505" s="18" t="n">
        <x:v>0</x:v>
      </x:c>
      <x:c r="R3505" s="18" t="n">
        <x:v>0</x:v>
      </x:c>
      <x:c r="S3505" s="18" t="n">
        <x:v>627.0758169001331</x:v>
      </x:c>
      <x:c r="T3505" s="18" t="n">
        <x:v>681</x:v>
      </x:c>
      <x:c r="U3505" s="18" t="n">
        <x:v>627.0758169001331</x:v>
      </x:c>
      <x:c r="V3505" s="20" t="n">
        <x:v>12</x:v>
      </x:c>
      <x:c r="W3505" s="20" t="n">
        <x:v>5</x:v>
      </x:c>
      <x:c r="X3505" s="20" t="n">
        <x:v>3</x:v>
      </x:c>
      <x:c r="Y3505" t="str">
        <x:v>Basis arsip 2025/2024</x:v>
      </x:c>
      <x:c r="Z3505" t="str">
        <x:v>https://snpmb.id/utbk-snbt/daya-tampung-snbt</x:v>
      </x:c>
      <x:c r="AA3505" t="str">
        <x:v>Tidak Ada</x:v>
      </x:c>
      <x:c r="AB3505" t="str">
        <x:v>Campus=55; Ratio=57.3; Prodi=55; RelDemand=88.4; Capacity=73.3</x:v>
      </x:c>
    </x:row>
    <x:row r="3506">
      <x:c r="A3506" t="n">
        <x:v>3503</x:v>
      </x:c>
      <x:c r="B3506" t="str">
        <x:v>PTN Akademik</x:v>
      </x:c>
      <x:c r="C3506" t="str">
        <x:v>UNIVERSITAS HALUOLEO</x:v>
      </x:c>
      <x:c r="D3506" t="str">
        <x:v>PENDIDIKAN VOKASIONAL TEKNIK</x:v>
      </x:c>
      <x:c r="E3506" t="str">
        <x:v>Sarjana</x:v>
      </x:c>
      <x:c r="F3506" s="18" t="n">
        <x:v>32</x:v>
      </x:c>
      <x:c r="G3506" s="18" t="n">
        <x:v>8</x:v>
      </x:c>
      <x:c r="H3506" s="19" t="n">
        <x:v>0.25</x:v>
      </x:c>
      <x:c r="I3506" s="18" t="n">
        <x:f>ROUND(MIN(Model_Config_v3!$B$6,MAX(Q3506,R3506,S3506*Model_Config_v3!$B$4+T3506*Model_Config_v3!$B$5)),0)</x:f>
        <x:v>598</x:v>
      </x:c>
      <x:c r="J3506" s="18" t="n">
        <x:f>MIN(Model_Config_v3!$B$6,I3506+Model_Config_v3!$B$7)</x:f>
        <x:v>618</x:v>
      </x:c>
      <x:c r="K3506" s="20" t="n">
        <x:v>35.8</x:v>
      </x:c>
      <x:c r="L3506" t="str">
        <x:v>RELATIF LONGGAR</x:v>
      </x:c>
      <x:c r="M3506" t="str">
        <x:v>SEDANG+</x:v>
      </x:c>
      <x:c r="N3506" t="str">
        <x:v>REGULER</x:v>
      </x:c>
      <x:c r="O3506" t="str">
        <x:v>SAINTEK</x:v>
      </x:c>
      <x:c r="P3506" t="str">
        <x:v>PENDIDIKAN</x:v>
      </x:c>
      <x:c r="Q3506" s="18" t="n">
        <x:v>0</x:v>
      </x:c>
      <x:c r="R3506" s="18" t="n">
        <x:v>0</x:v>
      </x:c>
      <x:c r="S3506" s="18" t="n">
        <x:v>520</x:v>
      </x:c>
      <x:c r="T3506" s="18" t="n">
        <x:v>632</x:v>
      </x:c>
      <x:c r="U3506" s="18" t="n">
        <x:v>530</x:v>
      </x:c>
      <x:c r="V3506" s="20" t="n">
        <x:v>12</x:v>
      </x:c>
      <x:c r="W3506" s="20" t="n">
        <x:v>5</x:v>
      </x:c>
      <x:c r="X3506" s="20" t="n">
        <x:v>3</x:v>
      </x:c>
      <x:c r="Y3506" t="str">
        <x:v>Basis arsip 2025/2024</x:v>
      </x:c>
      <x:c r="Z3506" t="str">
        <x:v>https://snpmb.id/utbk-snbt/daya-tampung-snbt</x:v>
      </x:c>
      <x:c r="AA3506" t="str">
        <x:v>Tidak Ada</x:v>
      </x:c>
      <x:c r="AB3506" t="str">
        <x:v>Campus=55; Ratio=0.0; Prodi=45; RelDemand=2.3; Capacity=73.3</x:v>
      </x:c>
    </x:row>
    <x:row r="3507">
      <x:c r="A3507" t="n">
        <x:v>3504</x:v>
      </x:c>
      <x:c r="B3507" t="str">
        <x:v>PTN Akademik</x:v>
      </x:c>
      <x:c r="C3507" t="str">
        <x:v>UNIVERSITAS HALUOLEO</x:v>
      </x:c>
      <x:c r="D3507" t="str">
        <x:v>KEPERAWATAN</x:v>
      </x:c>
      <x:c r="E3507" t="str">
        <x:v>Sarjana</x:v>
      </x:c>
      <x:c r="F3507" s="18" t="n">
        <x:v>20</x:v>
      </x:c>
      <x:c r="G3507" s="18" t="n">
        <x:v>374</x:v>
      </x:c>
      <x:c r="H3507" s="19" t="n">
        <x:v>18.7</x:v>
      </x:c>
      <x:c r="I3507" s="18" t="n">
        <x:f>ROUND(MIN(Model_Config_v3!$B$6,MAX(Q3507,R3507,S3507*Model_Config_v3!$B$4+T3507*Model_Config_v3!$B$5)),0)</x:f>
        <x:v>684</x:v>
      </x:c>
      <x:c r="J3507" s="18" t="n">
        <x:f>MIN(Model_Config_v3!$B$6,I3507+Model_Config_v3!$B$7)</x:f>
        <x:v>704</x:v>
      </x:c>
      <x:c r="K3507" s="20" t="n">
        <x:v>67.3</x:v>
      </x:c>
      <x:c r="L3507" t="str">
        <x:v>SANGAT KETAT</x:v>
      </x:c>
      <x:c r="M3507" t="str">
        <x:v>SEDANG+</x:v>
      </x:c>
      <x:c r="N3507" t="str">
        <x:v>REGULER</x:v>
      </x:c>
      <x:c r="O3507" t="str">
        <x:v>SAINTEK</x:v>
      </x:c>
      <x:c r="P3507" t="str">
        <x:v>KESEHAT/GIZI/KEPERAWATAN</x:v>
      </x:c>
      <x:c r="Q3507" s="18" t="n">
        <x:v>0</x:v>
      </x:c>
      <x:c r="R3507" s="18" t="n">
        <x:v>0</x:v>
      </x:c>
      <x:c r="S3507" s="18" t="n">
        <x:v>659.9025767190149</x:v>
      </x:c>
      <x:c r="T3507" s="18" t="n">
        <x:v>695</x:v>
      </x:c>
      <x:c r="U3507" s="18" t="n">
        <x:v>659.9025767190149</x:v>
      </x:c>
      <x:c r="V3507" s="20" t="n">
        <x:v>12</x:v>
      </x:c>
      <x:c r="W3507" s="20" t="n">
        <x:v>5</x:v>
      </x:c>
      <x:c r="X3507" s="20" t="n">
        <x:v>3</x:v>
      </x:c>
      <x:c r="Y3507" t="str">
        <x:v>Basis arsip 2025/2024</x:v>
      </x:c>
      <x:c r="Z3507" t="str">
        <x:v>https://snpmb.id/utbk-snbt/daya-tampung-snbt</x:v>
      </x:c>
      <x:c r="AA3507" t="str">
        <x:v>Tidak Ada</x:v>
      </x:c>
      <x:c r="AB3507" t="str">
        <x:v>Campus=55; Ratio=74.9; Prodi=55; RelDemand=100.0; Capacity=83.3</x:v>
      </x:c>
    </x:row>
    <x:row r="3508">
      <x:c r="A3508" t="n">
        <x:v>3505</x:v>
      </x:c>
      <x:c r="B3508" t="str">
        <x:v>PTN Akademik</x:v>
      </x:c>
      <x:c r="C3508" t="str">
        <x:v>UNIVERSITAS HALUOLEO</x:v>
      </x:c>
      <x:c r="D3508" t="str">
        <x:v>EKONOMI PEMBANGUNAN</x:v>
      </x:c>
      <x:c r="E3508" t="str">
        <x:v>Sarjana</x:v>
      </x:c>
      <x:c r="F3508" s="18" t="n">
        <x:v>100</x:v>
      </x:c>
      <x:c r="G3508" s="18" t="n">
        <x:v>158</x:v>
      </x:c>
      <x:c r="H3508" s="19" t="n">
        <x:v>1.58</x:v>
      </x:c>
      <x:c r="I3508" s="18" t="n">
        <x:f>ROUND(MIN(Model_Config_v3!$B$6,MAX(Q3508,R3508,S3508*Model_Config_v3!$B$4+T3508*Model_Config_v3!$B$5)),0)</x:f>
        <x:v>608</x:v>
      </x:c>
      <x:c r="J3508" s="18" t="n">
        <x:f>MIN(Model_Config_v3!$B$6,I3508+Model_Config_v3!$B$7)</x:f>
        <x:v>628</x:v>
      </x:c>
      <x:c r="K3508" s="20" t="n">
        <x:v>38.3</x:v>
      </x:c>
      <x:c r="L3508" t="str">
        <x:v>RELATIF LONGGAR</x:v>
      </x:c>
      <x:c r="M3508" t="str">
        <x:v>SEDANG+</x:v>
      </x:c>
      <x:c r="N3508" t="str">
        <x:v>REGULER</x:v>
      </x:c>
      <x:c r="O3508" t="str">
        <x:v>SOSHUM</x:v>
      </x:c>
      <x:c r="P3508" t="str">
        <x:v>BISNIS/EKONOMI/AKUNTANSI</x:v>
      </x:c>
      <x:c r="Q3508" s="18" t="n">
        <x:v>0</x:v>
      </x:c>
      <x:c r="R3508" s="18" t="n">
        <x:v>0</x:v>
      </x:c>
      <x:c r="S3508" s="18" t="n">
        <x:v>541.8522795649865</x:v>
      </x:c>
      <x:c r="T3508" s="18" t="n">
        <x:v>637</x:v>
      </x:c>
      <x:c r="U3508" s="18" t="n">
        <x:v>541.8522795649865</x:v>
      </x:c>
      <x:c r="V3508" s="20" t="n">
        <x:v>4.4</x:v>
      </x:c>
      <x:c r="W3508" s="20" t="n">
        <x:v>14.3</x:v>
      </x:c>
      <x:c r="X3508" s="20" t="n">
        <x:v>3.3</x:v>
      </x:c>
      <x:c r="Y3508" t="str">
        <x:v>Basis arsip 2025/2024</x:v>
      </x:c>
      <x:c r="Z3508" t="str">
        <x:v>https://snpmb.id/utbk-snbt/daya-tampung-snbt</x:v>
      </x:c>
      <x:c r="AA3508" t="str">
        <x:v>Tidak Ada</x:v>
      </x:c>
      <x:c r="AB3508" t="str">
        <x:v>Campus=55; Ratio=11.7; Prodi=65; RelDemand=14.8; Capacity=16.7</x:v>
      </x:c>
    </x:row>
    <x:row r="3509">
      <x:c r="A3509" t="n">
        <x:v>3506</x:v>
      </x:c>
      <x:c r="B3509" t="str">
        <x:v>PTN Akademik</x:v>
      </x:c>
      <x:c r="C3509" t="str">
        <x:v>UNIVERSITAS HALUOLEO</x:v>
      </x:c>
      <x:c r="D3509" t="str">
        <x:v>MANAJEMEN</x:v>
      </x:c>
      <x:c r="E3509" t="str">
        <x:v>Sarjana</x:v>
      </x:c>
      <x:c r="F3509" s="18" t="n">
        <x:v>100</x:v>
      </x:c>
      <x:c r="G3509" s="18" t="n">
        <x:v>1124</x:v>
      </x:c>
      <x:c r="H3509" s="19" t="n">
        <x:v>11.24</x:v>
      </x:c>
      <x:c r="I3509" s="18" t="n">
        <x:f>ROUND(MIN(Model_Config_v3!$B$6,MAX(Q3509,R3509,S3509*Model_Config_v3!$B$4+T3509*Model_Config_v3!$B$5)),0)</x:f>
        <x:v>666</x:v>
      </x:c>
      <x:c r="J3509" s="18" t="n">
        <x:f>MIN(Model_Config_v3!$B$6,I3509+Model_Config_v3!$B$7)</x:f>
        <x:v>686</x:v>
      </x:c>
      <x:c r="K3509" s="20" t="n">
        <x:v>59.4</x:v>
      </x:c>
      <x:c r="L3509" t="str">
        <x:v>KETAT</x:v>
      </x:c>
      <x:c r="M3509" t="str">
        <x:v>SEDANG+</x:v>
      </x:c>
      <x:c r="N3509" t="str">
        <x:v>REGULER</x:v>
      </x:c>
      <x:c r="O3509" t="str">
        <x:v>SOSHUM</x:v>
      </x:c>
      <x:c r="P3509" t="str">
        <x:v>BISNIS/EKONOMI/AKUNTANSI</x:v>
      </x:c>
      <x:c r="Q3509" s="18" t="n">
        <x:v>0</x:v>
      </x:c>
      <x:c r="R3509" s="18" t="n">
        <x:v>0</x:v>
      </x:c>
      <x:c r="S3509" s="18" t="n">
        <x:v>635.5842942356346</x:v>
      </x:c>
      <x:c r="T3509" s="18" t="n">
        <x:v>679</x:v>
      </x:c>
      <x:c r="U3509" s="18" t="n">
        <x:v>650.5842942356346</x:v>
      </x:c>
      <x:c r="V3509" s="20" t="n">
        <x:v>4.4</x:v>
      </x:c>
      <x:c r="W3509" s="20" t="n">
        <x:v>14.3</x:v>
      </x:c>
      <x:c r="X3509" s="20" t="n">
        <x:v>3.3</x:v>
      </x:c>
      <x:c r="Y3509" t="str">
        <x:v>Basis arsip 2025/2024</x:v>
      </x:c>
      <x:c r="Z3509" t="str">
        <x:v>https://snpmb.id/utbk-snbt/daya-tampung-snbt</x:v>
      </x:c>
      <x:c r="AA3509" t="str">
        <x:v>Tidak Ada</x:v>
      </x:c>
      <x:c r="AB3509" t="str">
        <x:v>Campus=55; Ratio=61.8; Prodi=65; RelDemand=100.0; Capacity=16.7</x:v>
      </x:c>
    </x:row>
    <x:row r="3510">
      <x:c r="A3510" t="n">
        <x:v>3507</x:v>
      </x:c>
      <x:c r="B3510" t="str">
        <x:v>PTN Akademik</x:v>
      </x:c>
      <x:c r="C3510" t="str">
        <x:v>UNIVERSITAS HALUOLEO</x:v>
      </x:c>
      <x:c r="D3510" t="str">
        <x:v>AKUTANSI</x:v>
      </x:c>
      <x:c r="E3510" t="str">
        <x:v>Sarjana</x:v>
      </x:c>
      <x:c r="F3510" s="18" t="n">
        <x:v>90</x:v>
      </x:c>
      <x:c r="G3510" s="18" t="n">
        <x:v>606</x:v>
      </x:c>
      <x:c r="H3510" s="19" t="n">
        <x:v>6.733333333333333</x:v>
      </x:c>
      <x:c r="I3510" s="18" t="n">
        <x:f>ROUND(MIN(Model_Config_v3!$B$6,MAX(Q3510,R3510,S3510*Model_Config_v3!$B$4+T3510*Model_Config_v3!$B$5)),0)</x:f>
        <x:v>643</x:v>
      </x:c>
      <x:c r="J3510" s="18" t="n">
        <x:f>MIN(Model_Config_v3!$B$6,I3510+Model_Config_v3!$B$7)</x:f>
        <x:v>663</x:v>
      </x:c>
      <x:c r="K3510" s="20" t="n">
        <x:v>48.3</x:v>
      </x:c>
      <x:c r="L3510" t="str">
        <x:v>MENENGAH</x:v>
      </x:c>
      <x:c r="M3510" t="str">
        <x:v>SEDANG</x:v>
      </x:c>
      <x:c r="N3510" t="str">
        <x:v>REGULER</x:v>
      </x:c>
      <x:c r="O3510" t="str">
        <x:v>CAMPURAN</x:v>
      </x:c>
      <x:c r="P3510" t="str">
        <x:v>UMUM</x:v>
      </x:c>
      <x:c r="Q3510" s="18" t="n">
        <x:v>0</x:v>
      </x:c>
      <x:c r="R3510" s="18" t="n">
        <x:v>0</x:v>
      </x:c>
      <x:c r="S3510" s="18" t="n">
        <x:v>611.1053126199657</x:v>
      </x:c>
      <x:c r="T3510" s="18" t="n">
        <x:v>657</x:v>
      </x:c>
      <x:c r="U3510" s="18" t="n">
        <x:v>611.1053126199657</x:v>
      </x:c>
      <x:c r="V3510" s="20" t="n">
        <x:v>8.8</x:v>
      </x:c>
      <x:c r="W3510" s="20" t="n">
        <x:v>9.9</x:v>
      </x:c>
      <x:c r="X3510" s="20" t="n">
        <x:v>3.3</x:v>
      </x:c>
      <x:c r="Y3510" t="str">
        <x:v>Basis arsip 2025/2024</x:v>
      </x:c>
      <x:c r="Z3510" t="str">
        <x:v>https://snpmb.id/utbk-snbt/daya-tampung-snbt</x:v>
      </x:c>
      <x:c r="AA3510" t="str">
        <x:v>Tidak Ada</x:v>
      </x:c>
      <x:c r="AB3510" t="str">
        <x:v>Campus=55; Ratio=48.7; Prodi=40; RelDemand=63.2; Capacity=25.0</x:v>
      </x:c>
    </x:row>
    <x:row r="3511">
      <x:c r="A3511" t="n">
        <x:v>3508</x:v>
      </x:c>
      <x:c r="B3511" t="str">
        <x:v>PTN Akademik</x:v>
      </x:c>
      <x:c r="C3511" t="str">
        <x:v>UNIVERSITAS HALUOLEO</x:v>
      </x:c>
      <x:c r="D3511" t="str">
        <x:v>ILMU ADMINISTRASI NEGARA</x:v>
      </x:c>
      <x:c r="E3511" t="str">
        <x:v>Sarjana</x:v>
      </x:c>
      <x:c r="F3511" s="18" t="n">
        <x:v>68</x:v>
      </x:c>
      <x:c r="G3511" s="18" t="n">
        <x:v>201</x:v>
      </x:c>
      <x:c r="H3511" s="19" t="n">
        <x:v>2.9558823529411766</x:v>
      </x:c>
      <x:c r="I3511" s="18" t="n">
        <x:f>ROUND(MIN(Model_Config_v3!$B$6,MAX(Q3511,R3511,S3511*Model_Config_v3!$B$4+T3511*Model_Config_v3!$B$5)),0)</x:f>
        <x:v>622</x:v>
      </x:c>
      <x:c r="J3511" s="18" t="n">
        <x:f>MIN(Model_Config_v3!$B$6,I3511+Model_Config_v3!$B$7)</x:f>
        <x:v>642</x:v>
      </x:c>
      <x:c r="K3511" s="20" t="n">
        <x:v>41.3</x:v>
      </x:c>
      <x:c r="L3511" t="str">
        <x:v>RELATIF LONGGAR</x:v>
      </x:c>
      <x:c r="M3511" t="str">
        <x:v>SEDANG</x:v>
      </x:c>
      <x:c r="N3511" t="str">
        <x:v>REGULER</x:v>
      </x:c>
      <x:c r="O3511" t="str">
        <x:v>SOSHUM</x:v>
      </x:c>
      <x:c r="P3511" t="str">
        <x:v>UMUM</x:v>
      </x:c>
      <x:c r="Q3511" s="18" t="n">
        <x:v>0</x:v>
      </x:c>
      <x:c r="R3511" s="18" t="n">
        <x:v>0</x:v>
      </x:c>
      <x:c r="S3511" s="18" t="n">
        <x:v>571.7755859185678</x:v>
      </x:c>
      <x:c r="T3511" s="18" t="n">
        <x:v>643</x:v>
      </x:c>
      <x:c r="U3511" s="18" t="n">
        <x:v>571.7755859185678</x:v>
      </x:c>
      <x:c r="V3511" s="20" t="n">
        <x:v>4.4</x:v>
      </x:c>
      <x:c r="W3511" s="20" t="n">
        <x:v>14.3</x:v>
      </x:c>
      <x:c r="X3511" s="20" t="n">
        <x:v>3.3</x:v>
      </x:c>
      <x:c r="Y3511" t="str">
        <x:v>Basis arsip 2025/2024</x:v>
      </x:c>
      <x:c r="Z3511" t="str">
        <x:v>https://snpmb.id/utbk-snbt/daya-tampung-snbt</x:v>
      </x:c>
      <x:c r="AA3511" t="str">
        <x:v>Tidak Ada</x:v>
      </x:c>
      <x:c r="AB3511" t="str">
        <x:v>Campus=55; Ratio=27.7; Prodi=40; RelDemand=27.8; Capacity=43.3</x:v>
      </x:c>
    </x:row>
    <x:row r="3512">
      <x:c r="A3512" t="n">
        <x:v>3509</x:v>
      </x:c>
      <x:c r="B3512" t="str">
        <x:v>PTN Akademik</x:v>
      </x:c>
      <x:c r="C3512" t="str">
        <x:v>UNIVERSITAS HALUOLEO</x:v>
      </x:c>
      <x:c r="D3512" t="str">
        <x:v>SOSIOLOGI</x:v>
      </x:c>
      <x:c r="E3512" t="str">
        <x:v>Sarjana</x:v>
      </x:c>
      <x:c r="F3512" s="18" t="n">
        <x:v>52</x:v>
      </x:c>
      <x:c r="G3512" s="18" t="n">
        <x:v>68</x:v>
      </x:c>
      <x:c r="H3512" s="19" t="n">
        <x:v>1.3076923076923077</x:v>
      </x:c>
      <x:c r="I3512" s="18" t="n">
        <x:f>ROUND(MIN(Model_Config_v3!$B$6,MAX(Q3512,R3512,S3512*Model_Config_v3!$B$4+T3512*Model_Config_v3!$B$5)),0)</x:f>
        <x:v>602</x:v>
      </x:c>
      <x:c r="J3512" s="18" t="n">
        <x:f>MIN(Model_Config_v3!$B$6,I3512+Model_Config_v3!$B$7)</x:f>
        <x:v>622</x:v>
      </x:c>
      <x:c r="K3512" s="20" t="n">
        <x:v>35.9</x:v>
      </x:c>
      <x:c r="L3512" t="str">
        <x:v>RELATIF LONGGAR</x:v>
      </x:c>
      <x:c r="M3512" t="str">
        <x:v>SEDANG</x:v>
      </x:c>
      <x:c r="N3512" t="str">
        <x:v>REGULER</x:v>
      </x:c>
      <x:c r="O3512" t="str">
        <x:v>SOSHUM</x:v>
      </x:c>
      <x:c r="P3512" t="str">
        <x:v>UMUM</x:v>
      </x:c>
      <x:c r="Q3512" s="18" t="n">
        <x:v>0</x:v>
      </x:c>
      <x:c r="R3512" s="18" t="n">
        <x:v>0</x:v>
      </x:c>
      <x:c r="S3512" s="18" t="n">
        <x:v>532.815612597858</x:v>
      </x:c>
      <x:c r="T3512" s="18" t="n">
        <x:v>632</x:v>
      </x:c>
      <x:c r="U3512" s="18" t="n">
        <x:v>532.815612597858</x:v>
      </x:c>
      <x:c r="V3512" s="20" t="n">
        <x:v>4.4</x:v>
      </x:c>
      <x:c r="W3512" s="20" t="n">
        <x:v>14.3</x:v>
      </x:c>
      <x:c r="X3512" s="20" t="n">
        <x:v>3.3</x:v>
      </x:c>
      <x:c r="Y3512" t="str">
        <x:v>Basis arsip 2025/2024</x:v>
      </x:c>
      <x:c r="Z3512" t="str">
        <x:v>https://snpmb.id/utbk-snbt/daya-tampung-snbt</x:v>
      </x:c>
      <x:c r="AA3512" t="str">
        <x:v>Tidak Ada</x:v>
      </x:c>
      <x:c r="AB3512" t="str">
        <x:v>Campus=55; Ratio=6.9; Prodi=40; RelDemand=12.3; Capacity=56.7</x:v>
      </x:c>
    </x:row>
    <x:row r="3513">
      <x:c r="A3513" t="n">
        <x:v>3510</x:v>
      </x:c>
      <x:c r="B3513" t="str">
        <x:v>PTN Akademik</x:v>
      </x:c>
      <x:c r="C3513" t="str">
        <x:v>UNIVERSITAS HALUOLEO</x:v>
      </x:c>
      <x:c r="D3513" t="str">
        <x:v>ANTROPOLOGI SOSIAL</x:v>
      </x:c>
      <x:c r="E3513" t="str">
        <x:v>Sarjana</x:v>
      </x:c>
      <x:c r="F3513" s="18" t="n">
        <x:v>40</x:v>
      </x:c>
      <x:c r="G3513" s="18" t="n">
        <x:v>20</x:v>
      </x:c>
      <x:c r="H3513" s="19" t="n">
        <x:v>0.5</x:v>
      </x:c>
      <x:c r="I3513" s="18" t="n">
        <x:f>ROUND(MIN(Model_Config_v3!$B$6,MAX(Q3513,R3513,S3513*Model_Config_v3!$B$4+T3513*Model_Config_v3!$B$5)),0)</x:f>
        <x:v>596</x:v>
      </x:c>
      <x:c r="J3513" s="18" t="n">
        <x:f>MIN(Model_Config_v3!$B$6,I3513+Model_Config_v3!$B$7)</x:f>
        <x:v>616</x:v>
      </x:c>
      <x:c r="K3513" s="20" t="n">
        <x:v>34.4</x:v>
      </x:c>
      <x:c r="L3513" t="str">
        <x:v>RELATIF LONGGAR</x:v>
      </x:c>
      <x:c r="M3513" t="str">
        <x:v>SEDANG</x:v>
      </x:c>
      <x:c r="N3513" t="str">
        <x:v>REGULER</x:v>
      </x:c>
      <x:c r="O3513" t="str">
        <x:v>SOSHUM</x:v>
      </x:c>
      <x:c r="P3513" t="str">
        <x:v>UMUM</x:v>
      </x:c>
      <x:c r="Q3513" s="18" t="n">
        <x:v>0</x:v>
      </x:c>
      <x:c r="R3513" s="18" t="n">
        <x:v>0</x:v>
      </x:c>
      <x:c r="S3513" s="18" t="n">
        <x:v>520</x:v>
      </x:c>
      <x:c r="T3513" s="18" t="n">
        <x:v>629</x:v>
      </x:c>
      <x:c r="U3513" s="18" t="n">
        <x:v>520</x:v>
      </x:c>
      <x:c r="V3513" s="20" t="n">
        <x:v>4.4</x:v>
      </x:c>
      <x:c r="W3513" s="20" t="n">
        <x:v>14.3</x:v>
      </x:c>
      <x:c r="X3513" s="20" t="n">
        <x:v>3.3</x:v>
      </x:c>
      <x:c r="Y3513" t="str">
        <x:v>Basis arsip 2025/2024</x:v>
      </x:c>
      <x:c r="Z3513" t="str">
        <x:v>https://snpmb.id/utbk-snbt/daya-tampung-snbt</x:v>
      </x:c>
      <x:c r="AA3513" t="str">
        <x:v>Tidak Ada</x:v>
      </x:c>
      <x:c r="AB3513" t="str">
        <x:v>Campus=55; Ratio=0.0; Prodi=40; RelDemand=4.7; Capacity=66.7</x:v>
      </x:c>
    </x:row>
    <x:row r="3514">
      <x:c r="A3514" t="n">
        <x:v>3511</x:v>
      </x:c>
      <x:c r="B3514" t="str">
        <x:v>PTN Akademik</x:v>
      </x:c>
      <x:c r="C3514" t="str">
        <x:v>UNIVERSITAS HALUOLEO</x:v>
      </x:c>
      <x:c r="D3514" t="str">
        <x:v>ILMU KOMUNIKASI</x:v>
      </x:c>
      <x:c r="E3514" t="str">
        <x:v>Sarjana</x:v>
      </x:c>
      <x:c r="F3514" s="18" t="n">
        <x:v>68</x:v>
      </x:c>
      <x:c r="G3514" s="18" t="n">
        <x:v>368</x:v>
      </x:c>
      <x:c r="H3514" s="19" t="n">
        <x:v>5.411764705882353</x:v>
      </x:c>
      <x:c r="I3514" s="18" t="n">
        <x:f>ROUND(MIN(Model_Config_v3!$B$6,MAX(Q3514,R3514,S3514*Model_Config_v3!$B$4+T3514*Model_Config_v3!$B$5)),0)</x:f>
        <x:v>639</x:v>
      </x:c>
      <x:c r="J3514" s="18" t="n">
        <x:f>MIN(Model_Config_v3!$B$6,I3514+Model_Config_v3!$B$7)</x:f>
        <x:v>659</x:v>
      </x:c>
      <x:c r="K3514" s="20" t="n">
        <x:v>47.5</x:v>
      </x:c>
      <x:c r="L3514" t="str">
        <x:v>MENENGAH</x:v>
      </x:c>
      <x:c r="M3514" t="str">
        <x:v>SEDANG</x:v>
      </x:c>
      <x:c r="N3514" t="str">
        <x:v>REGULER</x:v>
      </x:c>
      <x:c r="O3514" t="str">
        <x:v>SOSHUM</x:v>
      </x:c>
      <x:c r="P3514" t="str">
        <x:v>UMUM</x:v>
      </x:c>
      <x:c r="Q3514" s="18" t="n">
        <x:v>0</x:v>
      </x:c>
      <x:c r="R3514" s="18" t="n">
        <x:v>0</x:v>
      </x:c>
      <x:c r="S3514" s="18" t="n">
        <x:v>600.667279656401</x:v>
      </x:c>
      <x:c r="T3514" s="18" t="n">
        <x:v>655</x:v>
      </x:c>
      <x:c r="U3514" s="18" t="n">
        <x:v>600.667279656401</x:v>
      </x:c>
      <x:c r="V3514" s="20" t="n">
        <x:v>4.4</x:v>
      </x:c>
      <x:c r="W3514" s="20" t="n">
        <x:v>14.3</x:v>
      </x:c>
      <x:c r="X3514" s="20" t="n">
        <x:v>3.3</x:v>
      </x:c>
      <x:c r="Y3514" t="str">
        <x:v>Basis arsip 2025/2024</x:v>
      </x:c>
      <x:c r="Z3514" t="str">
        <x:v>https://snpmb.id/utbk-snbt/daya-tampung-snbt</x:v>
      </x:c>
      <x:c r="AA3514" t="str">
        <x:v>Tidak Ada</x:v>
      </x:c>
      <x:c r="AB3514" t="str">
        <x:v>Campus=55; Ratio=43.2; Prodi=40; RelDemand=50.8; Capacity=43.3</x:v>
      </x:c>
    </x:row>
    <x:row r="3515">
      <x:c r="A3515" t="n">
        <x:v>3512</x:v>
      </x:c>
      <x:c r="B3515" t="str">
        <x:v>PTN Akademik</x:v>
      </x:c>
      <x:c r="C3515" t="str">
        <x:v>UNIVERSITAS HALUOLEO</x:v>
      </x:c>
      <x:c r="D3515" t="str">
        <x:v>ILMU HUKUM</x:v>
      </x:c>
      <x:c r="E3515" t="str">
        <x:v>Sarjana</x:v>
      </x:c>
      <x:c r="F3515" s="18" t="n">
        <x:v>160</x:v>
      </x:c>
      <x:c r="G3515" s="18" t="n">
        <x:v>697</x:v>
      </x:c>
      <x:c r="H3515" s="19" t="n">
        <x:v>4.35625</x:v>
      </x:c>
      <x:c r="I3515" s="18" t="n">
        <x:f>ROUND(MIN(Model_Config_v3!$B$6,MAX(Q3515,R3515,S3515*Model_Config_v3!$B$4+T3515*Model_Config_v3!$B$5)),0)</x:f>
        <x:v>633</x:v>
      </x:c>
      <x:c r="J3515" s="18" t="n">
        <x:f>MIN(Model_Config_v3!$B$6,I3515+Model_Config_v3!$B$7)</x:f>
        <x:v>653</x:v>
      </x:c>
      <x:c r="K3515" s="20" t="n">
        <x:v>45.7</x:v>
      </x:c>
      <x:c r="L3515" t="str">
        <x:v>MENENGAH</x:v>
      </x:c>
      <x:c r="M3515" t="str">
        <x:v>SEDANG+</x:v>
      </x:c>
      <x:c r="N3515" t="str">
        <x:v>REGULER</x:v>
      </x:c>
      <x:c r="O3515" t="str">
        <x:v>SOSHUM</x:v>
      </x:c>
      <x:c r="P3515" t="str">
        <x:v>HUKUM</x:v>
      </x:c>
      <x:c r="Q3515" s="18" t="n">
        <x:v>0</x:v>
      </x:c>
      <x:c r="R3515" s="18" t="n">
        <x:v>0</x:v>
      </x:c>
      <x:c r="S3515" s="18" t="n">
        <x:v>590.3024074986293</x:v>
      </x:c>
      <x:c r="T3515" s="18" t="n">
        <x:v>651</x:v>
      </x:c>
      <x:c r="U3515" s="18" t="n">
        <x:v>605.3024074986293</x:v>
      </x:c>
      <x:c r="V3515" s="20" t="n">
        <x:v>4.4</x:v>
      </x:c>
      <x:c r="W3515" s="20" t="n">
        <x:v>14.3</x:v>
      </x:c>
      <x:c r="X3515" s="20" t="n">
        <x:v>3.3</x:v>
      </x:c>
      <x:c r="Y3515" t="str">
        <x:v>Basis arsip 2025/2024</x:v>
      </x:c>
      <x:c r="Z3515" t="str">
        <x:v>https://snpmb.id/utbk-snbt/daya-tampung-snbt</x:v>
      </x:c>
      <x:c r="AA3515" t="str">
        <x:v>Tidak Ada</x:v>
      </x:c>
      <x:c r="AB3515" t="str">
        <x:v>Campus=55; Ratio=37.6; Prodi=65; RelDemand=40.9; Capacity=0.0</x:v>
      </x:c>
    </x:row>
    <x:row r="3516">
      <x:c r="A3516" t="n">
        <x:v>3513</x:v>
      </x:c>
      <x:c r="B3516" t="str">
        <x:v>PTN Akademik</x:v>
      </x:c>
      <x:c r="C3516" t="str">
        <x:v>UNIVERSITAS HALUOLEO</x:v>
      </x:c>
      <x:c r="D3516" t="str">
        <x:v>PENDIDIKAN SEJARAH</x:v>
      </x:c>
      <x:c r="E3516" t="str">
        <x:v>Sarjana</x:v>
      </x:c>
      <x:c r="F3516" s="18" t="n">
        <x:v>40</x:v>
      </x:c>
      <x:c r="G3516" s="18" t="n">
        <x:v>133</x:v>
      </x:c>
      <x:c r="H3516" s="19" t="n">
        <x:v>3.325</x:v>
      </x:c>
      <x:c r="I3516" s="18" t="n">
        <x:f>ROUND(MIN(Model_Config_v3!$B$6,MAX(Q3516,R3516,S3516*Model_Config_v3!$B$4+T3516*Model_Config_v3!$B$5)),0)</x:f>
        <x:v>629</x:v>
      </x:c>
      <x:c r="J3516" s="18" t="n">
        <x:f>MIN(Model_Config_v3!$B$6,I3516+Model_Config_v3!$B$7)</x:f>
        <x:v>649</x:v>
      </x:c>
      <x:c r="K3516" s="20" t="n">
        <x:v>45.7</x:v>
      </x:c>
      <x:c r="L3516" t="str">
        <x:v>MENENGAH</x:v>
      </x:c>
      <x:c r="M3516" t="str">
        <x:v>SEDANG+</x:v>
      </x:c>
      <x:c r="N3516" t="str">
        <x:v>REGULER</x:v>
      </x:c>
      <x:c r="O3516" t="str">
        <x:v>SOSHUM</x:v>
      </x:c>
      <x:c r="P3516" t="str">
        <x:v>PENDIDIKAN</x:v>
      </x:c>
      <x:c r="Q3516" s="18" t="n">
        <x:v>0</x:v>
      </x:c>
      <x:c r="R3516" s="18" t="n">
        <x:v>0</x:v>
      </x:c>
      <x:c r="S3516" s="18" t="n">
        <x:v>577.3970814603035</x:v>
      </x:c>
      <x:c r="T3516" s="18" t="n">
        <x:v>651</x:v>
      </x:c>
      <x:c r="U3516" s="18" t="n">
        <x:v>577.3970814603035</x:v>
      </x:c>
      <x:c r="V3516" s="20" t="n">
        <x:v>4.4</x:v>
      </x:c>
      <x:c r="W3516" s="20" t="n">
        <x:v>14.3</x:v>
      </x:c>
      <x:c r="X3516" s="20" t="n">
        <x:v>3.3</x:v>
      </x:c>
      <x:c r="Y3516" t="str">
        <x:v>Basis arsip 2025/2024</x:v>
      </x:c>
      <x:c r="Z3516" t="str">
        <x:v>https://snpmb.id/utbk-snbt/daya-tampung-snbt</x:v>
      </x:c>
      <x:c r="AA3516" t="str">
        <x:v>Tidak Ada</x:v>
      </x:c>
      <x:c r="AB3516" t="str">
        <x:v>Campus=55; Ratio=30.7; Prodi=45; RelDemand=31.2; Capacity=66.7</x:v>
      </x:c>
    </x:row>
    <x:row r="3517">
      <x:c r="A3517" t="n">
        <x:v>3514</x:v>
      </x:c>
      <x:c r="B3517" t="str">
        <x:v>PTN Akademik</x:v>
      </x:c>
      <x:c r="C3517" t="str">
        <x:v>UNIVERSITAS HALUOLEO</x:v>
      </x:c>
      <x:c r="D3517" t="str">
        <x:v>PENDIDIKAN EKONOMI</x:v>
      </x:c>
      <x:c r="E3517" t="str">
        <x:v>Sarjana</x:v>
      </x:c>
      <x:c r="F3517" s="18" t="n">
        <x:v>48</x:v>
      </x:c>
      <x:c r="G3517" s="18" t="n">
        <x:v>102</x:v>
      </x:c>
      <x:c r="H3517" s="19" t="n">
        <x:v>2.125</x:v>
      </x:c>
      <x:c r="I3517" s="18" t="n">
        <x:f>ROUND(MIN(Model_Config_v3!$B$6,MAX(Q3517,R3517,S3517*Model_Config_v3!$B$4+T3517*Model_Config_v3!$B$5)),0)</x:f>
        <x:v>616</x:v>
      </x:c>
      <x:c r="J3517" s="18" t="n">
        <x:f>MIN(Model_Config_v3!$B$6,I3517+Model_Config_v3!$B$7)</x:f>
        <x:v>636</x:v>
      </x:c>
      <x:c r="K3517" s="20" t="n">
        <x:v>41.1</x:v>
      </x:c>
      <x:c r="L3517" t="str">
        <x:v>RELATIF LONGGAR</x:v>
      </x:c>
      <x:c r="M3517" t="str">
        <x:v>SEDANG+</x:v>
      </x:c>
      <x:c r="N3517" t="str">
        <x:v>REGULER</x:v>
      </x:c>
      <x:c r="O3517" t="str">
        <x:v>SOSHUM</x:v>
      </x:c>
      <x:c r="P3517" t="str">
        <x:v>PENDIDIKAN</x:v>
      </x:c>
      <x:c r="Q3517" s="18" t="n">
        <x:v>0</x:v>
      </x:c>
      <x:c r="R3517" s="18" t="n">
        <x:v>0</x:v>
      </x:c>
      <x:c r="S3517" s="18" t="n">
        <x:v>556.0094827824963</x:v>
      </x:c>
      <x:c r="T3517" s="18" t="n">
        <x:v>642</x:v>
      </x:c>
      <x:c r="U3517" s="18" t="n">
        <x:v>556.0094827824963</x:v>
      </x:c>
      <x:c r="V3517" s="20" t="n">
        <x:v>4.4</x:v>
      </x:c>
      <x:c r="W3517" s="20" t="n">
        <x:v>14.3</x:v>
      </x:c>
      <x:c r="X3517" s="20" t="n">
        <x:v>3.3</x:v>
      </x:c>
      <x:c r="Y3517" t="str">
        <x:v>Basis arsip 2025/2024</x:v>
      </x:c>
      <x:c r="Z3517" t="str">
        <x:v>https://snpmb.id/utbk-snbt/daya-tampung-snbt</x:v>
      </x:c>
      <x:c r="AA3517" t="str">
        <x:v>Tidak Ada</x:v>
      </x:c>
      <x:c r="AB3517" t="str">
        <x:v>Campus=55; Ratio=19.3; Prodi=45; RelDemand=20.0; Capacity=60.0</x:v>
      </x:c>
    </x:row>
    <x:row r="3518">
      <x:c r="A3518" t="n">
        <x:v>3515</x:v>
      </x:c>
      <x:c r="B3518" t="str">
        <x:v>PTN Akademik</x:v>
      </x:c>
      <x:c r="C3518" t="str">
        <x:v>UNIVERSITAS HALUOLEO</x:v>
      </x:c>
      <x:c r="D3518" t="str">
        <x:v>PEND. PANCASILA &amp; KEWARGANEGARAAN</x:v>
      </x:c>
      <x:c r="E3518" t="str">
        <x:v>Sarjana</x:v>
      </x:c>
      <x:c r="F3518" s="18" t="n">
        <x:v>40</x:v>
      </x:c>
      <x:c r="G3518" s="18" t="n">
        <x:v>215</x:v>
      </x:c>
      <x:c r="H3518" s="19" t="n">
        <x:v>5.375</x:v>
      </x:c>
      <x:c r="I3518" s="18" t="n">
        <x:f>ROUND(MIN(Model_Config_v3!$B$6,MAX(Q3518,R3518,S3518*Model_Config_v3!$B$4+T3518*Model_Config_v3!$B$5)),0)</x:f>
        <x:v>643</x:v>
      </x:c>
      <x:c r="J3518" s="18" t="n">
        <x:f>MIN(Model_Config_v3!$B$6,I3518+Model_Config_v3!$B$7)</x:f>
        <x:v>663</x:v>
      </x:c>
      <x:c r="K3518" s="20" t="n">
        <x:v>50.7</x:v>
      </x:c>
      <x:c r="L3518" t="str">
        <x:v>MENENGAH</x:v>
      </x:c>
      <x:c r="M3518" t="str">
        <x:v>SEDANG+</x:v>
      </x:c>
      <x:c r="N3518" t="str">
        <x:v>REGULER</x:v>
      </x:c>
      <x:c r="O3518" t="str">
        <x:v>CAMPURAN</x:v>
      </x:c>
      <x:c r="P3518" t="str">
        <x:v>PENDIDIKAN</x:v>
      </x:c>
      <x:c r="Q3518" s="18" t="n">
        <x:v>0</x:v>
      </x:c>
      <x:c r="R3518" s="18" t="n">
        <x:v>0</x:v>
      </x:c>
      <x:c r="S3518" s="18" t="n">
        <x:v>600.3416315446407</x:v>
      </x:c>
      <x:c r="T3518" s="18" t="n">
        <x:v>661</x:v>
      </x:c>
      <x:c r="U3518" s="18" t="n">
        <x:v>600.3416315446407</x:v>
      </x:c>
      <x:c r="V3518" s="20" t="n">
        <x:v>8.8</x:v>
      </x:c>
      <x:c r="W3518" s="20" t="n">
        <x:v>9.9</x:v>
      </x:c>
      <x:c r="X3518" s="20" t="n">
        <x:v>3.3</x:v>
      </x:c>
      <x:c r="Y3518" t="str">
        <x:v>Basis arsip 2025/2024</x:v>
      </x:c>
      <x:c r="Z3518" t="str">
        <x:v>https://snpmb.id/utbk-snbt/daya-tampung-snbt</x:v>
      </x:c>
      <x:c r="AA3518" t="str">
        <x:v>Tidak Ada</x:v>
      </x:c>
      <x:c r="AB3518" t="str">
        <x:v>Campus=55; Ratio=43.0; Prodi=45; RelDemand=50.5; Capacity=66.7</x:v>
      </x:c>
    </x:row>
    <x:row r="3519">
      <x:c r="A3519" t="n">
        <x:v>3516</x:v>
      </x:c>
      <x:c r="B3519" t="str">
        <x:v>PTN Akademik</x:v>
      </x:c>
      <x:c r="C3519" t="str">
        <x:v>UNIVERSITAS HALUOLEO</x:v>
      </x:c>
      <x:c r="D3519" t="str">
        <x:v>PEND. JASMANI, KESEHATAN DAN REKREASI</x:v>
      </x:c>
      <x:c r="E3519" t="str">
        <x:v>Sarjana</x:v>
      </x:c>
      <x:c r="F3519" s="18" t="n">
        <x:v>34</x:v>
      </x:c>
      <x:c r="G3519" s="18" t="n">
        <x:v>251</x:v>
      </x:c>
      <x:c r="H3519" s="19" t="n">
        <x:v>7.382352941176471</x:v>
      </x:c>
      <x:c r="I3519" s="18" t="n">
        <x:f>ROUND(MIN(Model_Config_v3!$B$6,MAX(Q3519,R3519,S3519*Model_Config_v3!$B$4+T3519*Model_Config_v3!$B$5)),0)</x:f>
        <x:v>654</x:v>
      </x:c>
      <x:c r="J3519" s="18" t="n">
        <x:f>MIN(Model_Config_v3!$B$6,I3519+Model_Config_v3!$B$7)</x:f>
        <x:v>674</x:v>
      </x:c>
      <x:c r="K3519" s="20" t="n">
        <x:v>55.1</x:v>
      </x:c>
      <x:c r="L3519" t="str">
        <x:v>KETAT</x:v>
      </x:c>
      <x:c r="M3519" t="str">
        <x:v>PORTOFOLIO</x:v>
      </x:c>
      <x:c r="N3519" t="str">
        <x:v>REGULER</x:v>
      </x:c>
      <x:c r="O3519" t="str">
        <x:v>SENI/OLAHRAGA</x:v>
      </x:c>
      <x:c r="P3519" t="str">
        <x:v>SENI/OLAHRAGA</x:v>
      </x:c>
      <x:c r="Q3519" s="18" t="n">
        <x:v>0</x:v>
      </x:c>
      <x:c r="R3519" s="18" t="n">
        <x:v>0</x:v>
      </x:c>
      <x:c r="S3519" s="18" t="n">
        <x:v>615.5014284882661</x:v>
      </x:c>
      <x:c r="T3519" s="18" t="n">
        <x:v>670</x:v>
      </x:c>
      <x:c r="U3519" s="18" t="n">
        <x:v>615.5014284882661</x:v>
      </x:c>
      <x:c r="V3519" s="20" t="n">
        <x:v>4.4</x:v>
      </x:c>
      <x:c r="W3519" s="20" t="n">
        <x:v>9.9</x:v>
      </x:c>
      <x:c r="X3519" s="20" t="n">
        <x:v>7.7</x:v>
      </x:c>
      <x:c r="Y3519" t="str">
        <x:v>Basis arsip 2025/2024</x:v>
      </x:c>
      <x:c r="Z3519" t="str">
        <x:v>https://snpmb.id/utbk-snbt/daya-tampung-snbt</x:v>
      </x:c>
      <x:c r="AA3519" t="str">
        <x:v>Olahraga</x:v>
      </x:c>
      <x:c r="AB3519" t="str">
        <x:v>Campus=55; Ratio=51.1; Prodi=45; RelDemand=69.3; Capacity=71.7</x:v>
      </x:c>
    </x:row>
    <x:row r="3520">
      <x:c r="A3520" t="n">
        <x:v>3517</x:v>
      </x:c>
      <x:c r="B3520" t="str">
        <x:v>PTN Akademik</x:v>
      </x:c>
      <x:c r="C3520" t="str">
        <x:v>UNIVERSITAS HALUOLEO</x:v>
      </x:c>
      <x:c r="D3520" t="str">
        <x:v>PEND. BAHASA, SASTRA INDO. &amp; DAERAH</x:v>
      </x:c>
      <x:c r="E3520" t="str">
        <x:v>Sarjana</x:v>
      </x:c>
      <x:c r="F3520" s="18" t="n">
        <x:v>48</x:v>
      </x:c>
      <x:c r="G3520" s="18" t="n">
        <x:v>248</x:v>
      </x:c>
      <x:c r="H3520" s="19" t="n">
        <x:v>5.166666666666667</x:v>
      </x:c>
      <x:c r="I3520" s="18" t="n">
        <x:f>ROUND(MIN(Model_Config_v3!$B$6,MAX(Q3520,R3520,S3520*Model_Config_v3!$B$4+T3520*Model_Config_v3!$B$5)),0)</x:f>
        <x:v>641</x:v>
      </x:c>
      <x:c r="J3520" s="18" t="n">
        <x:f>MIN(Model_Config_v3!$B$6,I3520+Model_Config_v3!$B$7)</x:f>
        <x:v>661</x:v>
      </x:c>
      <x:c r="K3520" s="20" t="n">
        <x:v>49.6</x:v>
      </x:c>
      <x:c r="L3520" t="str">
        <x:v>MENENGAH</x:v>
      </x:c>
      <x:c r="M3520" t="str">
        <x:v>SEDANG+</x:v>
      </x:c>
      <x:c r="N3520" t="str">
        <x:v>REGULER</x:v>
      </x:c>
      <x:c r="O3520" t="str">
        <x:v>SOSHUM</x:v>
      </x:c>
      <x:c r="P3520" t="str">
        <x:v>PENDIDIKAN</x:v>
      </x:c>
      <x:c r="Q3520" s="18" t="n">
        <x:v>0</x:v>
      </x:c>
      <x:c r="R3520" s="18" t="n">
        <x:v>0</x:v>
      </x:c>
      <x:c r="S3520" s="18" t="n">
        <x:v>598.4531487795692</x:v>
      </x:c>
      <x:c r="T3520" s="18" t="n">
        <x:v>659</x:v>
      </x:c>
      <x:c r="U3520" s="18" t="n">
        <x:v>598.4531487795692</x:v>
      </x:c>
      <x:c r="V3520" s="20" t="n">
        <x:v>4.4</x:v>
      </x:c>
      <x:c r="W3520" s="20" t="n">
        <x:v>14.3</x:v>
      </x:c>
      <x:c r="X3520" s="20" t="n">
        <x:v>3.3</x:v>
      </x:c>
      <x:c r="Y3520" t="str">
        <x:v>Basis arsip 2025/2024</x:v>
      </x:c>
      <x:c r="Z3520" t="str">
        <x:v>https://snpmb.id/utbk-snbt/daya-tampung-snbt</x:v>
      </x:c>
      <x:c r="AA3520" t="str">
        <x:v>Tidak Ada</x:v>
      </x:c>
      <x:c r="AB3520" t="str">
        <x:v>Campus=55; Ratio=42.0; Prodi=45; RelDemand=48.5; Capacity=60.0</x:v>
      </x:c>
    </x:row>
    <x:row r="3521">
      <x:c r="A3521" t="n">
        <x:v>3518</x:v>
      </x:c>
      <x:c r="B3521" t="str">
        <x:v>PTN Akademik</x:v>
      </x:c>
      <x:c r="C3521" t="str">
        <x:v>UNIVERSITAS HALUOLEO</x:v>
      </x:c>
      <x:c r="D3521" t="str">
        <x:v>PENDIDIKAN BAHASA INGGRIS</x:v>
      </x:c>
      <x:c r="E3521" t="str">
        <x:v>Sarjana</x:v>
      </x:c>
      <x:c r="F3521" s="18" t="n">
        <x:v>48</x:v>
      </x:c>
      <x:c r="G3521" s="18" t="n">
        <x:v>179</x:v>
      </x:c>
      <x:c r="H3521" s="19" t="n">
        <x:v>3.7291666666666665</x:v>
      </x:c>
      <x:c r="I3521" s="18" t="n">
        <x:f>ROUND(MIN(Model_Config_v3!$B$6,MAX(Q3521,R3521,S3521*Model_Config_v3!$B$4+T3521*Model_Config_v3!$B$5)),0)</x:f>
        <x:v>631</x:v>
      </x:c>
      <x:c r="J3521" s="18" t="n">
        <x:f>MIN(Model_Config_v3!$B$6,I3521+Model_Config_v3!$B$7)</x:f>
        <x:v>651</x:v>
      </x:c>
      <x:c r="K3521" s="20" t="n">
        <x:v>46.2</x:v>
      </x:c>
      <x:c r="L3521" t="str">
        <x:v>MENENGAH</x:v>
      </x:c>
      <x:c r="M3521" t="str">
        <x:v>SEDANG+</x:v>
      </x:c>
      <x:c r="N3521" t="str">
        <x:v>REGULER</x:v>
      </x:c>
      <x:c r="O3521" t="str">
        <x:v>SOSHUM</x:v>
      </x:c>
      <x:c r="P3521" t="str">
        <x:v>PENDIDIKAN</x:v>
      </x:c>
      <x:c r="Q3521" s="18" t="n">
        <x:v>0</x:v>
      </x:c>
      <x:c r="R3521" s="18" t="n">
        <x:v>0</x:v>
      </x:c>
      <x:c r="S3521" s="18" t="n">
        <x:v>582.8772972964737</x:v>
      </x:c>
      <x:c r="T3521" s="18" t="n">
        <x:v>652</x:v>
      </x:c>
      <x:c r="U3521" s="18" t="n">
        <x:v>582.8772972964737</x:v>
      </x:c>
      <x:c r="V3521" s="20" t="n">
        <x:v>4.4</x:v>
      </x:c>
      <x:c r="W3521" s="20" t="n">
        <x:v>14.3</x:v>
      </x:c>
      <x:c r="X3521" s="20" t="n">
        <x:v>3.3</x:v>
      </x:c>
      <x:c r="Y3521" t="str">
        <x:v>Basis arsip 2025/2024</x:v>
      </x:c>
      <x:c r="Z3521" t="str">
        <x:v>https://snpmb.id/utbk-snbt/daya-tampung-snbt</x:v>
      </x:c>
      <x:c r="AA3521" t="str">
        <x:v>Tidak Ada</x:v>
      </x:c>
      <x:c r="AB3521" t="str">
        <x:v>Campus=55; Ratio=33.6; Prodi=45; RelDemand=35.0; Capacity=60.0</x:v>
      </x:c>
    </x:row>
    <x:row r="3522">
      <x:c r="A3522" t="n">
        <x:v>3519</x:v>
      </x:c>
      <x:c r="B3522" t="str">
        <x:v>PTN Akademik</x:v>
      </x:c>
      <x:c r="C3522" t="str">
        <x:v>UNIVERSITAS HALUOLEO</x:v>
      </x:c>
      <x:c r="D3522" t="str">
        <x:v>PEND. GURU SEKOLAH DASAR (PGSD) S1</x:v>
      </x:c>
      <x:c r="E3522" t="str">
        <x:v>Sarjana</x:v>
      </x:c>
      <x:c r="F3522" s="18" t="n">
        <x:v>70</x:v>
      </x:c>
      <x:c r="G3522" s="18" t="n">
        <x:v>1079</x:v>
      </x:c>
      <x:c r="H3522" s="19" t="n">
        <x:v>15.414285714285715</x:v>
      </x:c>
      <x:c r="I3522" s="18" t="n">
        <x:f>ROUND(MIN(Model_Config_v3!$B$6,MAX(Q3522,R3522,S3522*Model_Config_v3!$B$4+T3522*Model_Config_v3!$B$5)),0)</x:f>
        <x:v>671</x:v>
      </x:c>
      <x:c r="J3522" s="18" t="n">
        <x:f>MIN(Model_Config_v3!$B$6,I3522+Model_Config_v3!$B$7)</x:f>
        <x:v>691</x:v>
      </x:c>
      <x:c r="K3522" s="20" t="n">
        <x:v>59.9</x:v>
      </x:c>
      <x:c r="L3522" t="str">
        <x:v>KETAT</x:v>
      </x:c>
      <x:c r="M3522" t="str">
        <x:v>SEDANG+</x:v>
      </x:c>
      <x:c r="N3522" t="str">
        <x:v>REGULER</x:v>
      </x:c>
      <x:c r="O3522" t="str">
        <x:v>CAMPURAN</x:v>
      </x:c>
      <x:c r="P3522" t="str">
        <x:v>PENDIDIKAN</x:v>
      </x:c>
      <x:c r="Q3522" s="18" t="n">
        <x:v>0</x:v>
      </x:c>
      <x:c r="R3522" s="18" t="n">
        <x:v>0</x:v>
      </x:c>
      <x:c r="S3522" s="18" t="n">
        <x:v>650.671574513552</x:v>
      </x:c>
      <x:c r="T3522" s="18" t="n">
        <x:v>680</x:v>
      </x:c>
      <x:c r="U3522" s="18" t="n">
        <x:v>650.671574513552</x:v>
      </x:c>
      <x:c r="V3522" s="20" t="n">
        <x:v>8.8</x:v>
      </x:c>
      <x:c r="W3522" s="20" t="n">
        <x:v>9.9</x:v>
      </x:c>
      <x:c r="X3522" s="20" t="n">
        <x:v>3.3</x:v>
      </x:c>
      <x:c r="Y3522" t="str">
        <x:v>Basis arsip 2025/2024</x:v>
      </x:c>
      <x:c r="Z3522" t="str">
        <x:v>https://snpmb.id/utbk-snbt/daya-tampung-snbt</x:v>
      </x:c>
      <x:c r="AA3522" t="str">
        <x:v>Tidak Ada</x:v>
      </x:c>
      <x:c r="AB3522" t="str">
        <x:v>Campus=55; Ratio=69.9; Prodi=45; RelDemand=100.0; Capacity=41.7</x:v>
      </x:c>
    </x:row>
    <x:row r="3523">
      <x:c r="A3523" t="n">
        <x:v>3520</x:v>
      </x:c>
      <x:c r="B3523" t="str">
        <x:v>PTN Akademik</x:v>
      </x:c>
      <x:c r="C3523" t="str">
        <x:v>UNIVERSITAS HALUOLEO</x:v>
      </x:c>
      <x:c r="D3523" t="str">
        <x:v>PENDIDIKAN ANAK USIA DINI (PG-PAUD)</x:v>
      </x:c>
      <x:c r="E3523" t="str">
        <x:v>Sarjana</x:v>
      </x:c>
      <x:c r="F3523" s="18" t="n">
        <x:v>48</x:v>
      </x:c>
      <x:c r="G3523" s="18" t="n">
        <x:v>142</x:v>
      </x:c>
      <x:c r="H3523" s="19" t="n">
        <x:v>2.9583333333333335</x:v>
      </x:c>
      <x:c r="I3523" s="18" t="n">
        <x:f>ROUND(MIN(Model_Config_v3!$B$6,MAX(Q3523,R3523,S3523*Model_Config_v3!$B$4+T3523*Model_Config_v3!$B$5)),0)</x:f>
        <x:v>625</x:v>
      </x:c>
      <x:c r="J3523" s="18" t="n">
        <x:f>MIN(Model_Config_v3!$B$6,I3523+Model_Config_v3!$B$7)</x:f>
        <x:v>645</x:v>
      </x:c>
      <x:c r="K3523" s="20" t="n">
        <x:v>44</x:v>
      </x:c>
      <x:c r="L3523" t="str">
        <x:v>RELATIF LONGGAR</x:v>
      </x:c>
      <x:c r="M3523" t="str">
        <x:v>SEDANG+</x:v>
      </x:c>
      <x:c r="N3523" t="str">
        <x:v>REGULER</x:v>
      </x:c>
      <x:c r="O3523" t="str">
        <x:v>CAMPURAN</x:v>
      </x:c>
      <x:c r="P3523" t="str">
        <x:v>PENDIDIKAN</x:v>
      </x:c>
      <x:c r="Q3523" s="18" t="n">
        <x:v>0</x:v>
      </x:c>
      <x:c r="R3523" s="18" t="n">
        <x:v>0</x:v>
      </x:c>
      <x:c r="S3523" s="18" t="n">
        <x:v>571.8151817708216</x:v>
      </x:c>
      <x:c r="T3523" s="18" t="n">
        <x:v>648</x:v>
      </x:c>
      <x:c r="U3523" s="18" t="n">
        <x:v>571.8151817708216</x:v>
      </x:c>
      <x:c r="V3523" s="20" t="n">
        <x:v>8.8</x:v>
      </x:c>
      <x:c r="W3523" s="20" t="n">
        <x:v>9.9</x:v>
      </x:c>
      <x:c r="X3523" s="20" t="n">
        <x:v>3.3</x:v>
      </x:c>
      <x:c r="Y3523" t="str">
        <x:v>Basis arsip 2025/2024</x:v>
      </x:c>
      <x:c r="Z3523" t="str">
        <x:v>https://snpmb.id/utbk-snbt/daya-tampung-snbt</x:v>
      </x:c>
      <x:c r="AA3523" t="str">
        <x:v>Tidak Ada</x:v>
      </x:c>
      <x:c r="AB3523" t="str">
        <x:v>Campus=55; Ratio=27.7; Prodi=45; RelDemand=27.8; Capacity=60.0</x:v>
      </x:c>
    </x:row>
    <x:row r="3524">
      <x:c r="A3524" t="n">
        <x:v>3521</x:v>
      </x:c>
      <x:c r="B3524" t="str">
        <x:v>PTN Akademik</x:v>
      </x:c>
      <x:c r="C3524" t="str">
        <x:v>UNIVERSITAS HALUOLEO</x:v>
      </x:c>
      <x:c r="D3524" t="str">
        <x:v>PENDIDIKAN BIMBINGAN DAN KONSELING</x:v>
      </x:c>
      <x:c r="E3524" t="str">
        <x:v>Sarjana</x:v>
      </x:c>
      <x:c r="F3524" s="18" t="n">
        <x:v>40</x:v>
      </x:c>
      <x:c r="G3524" s="18" t="n">
        <x:v>581</x:v>
      </x:c>
      <x:c r="H3524" s="19" t="n">
        <x:v>14.525</x:v>
      </x:c>
      <x:c r="I3524" s="18" t="n">
        <x:f>ROUND(MIN(Model_Config_v3!$B$6,MAX(Q3524,R3524,S3524*Model_Config_v3!$B$4+T3524*Model_Config_v3!$B$5)),0)</x:f>
        <x:v>673</x:v>
      </x:c>
      <x:c r="J3524" s="18" t="n">
        <x:f>MIN(Model_Config_v3!$B$6,I3524+Model_Config_v3!$B$7)</x:f>
        <x:v>693</x:v>
      </x:c>
      <x:c r="K3524" s="20" t="n">
        <x:v>62</x:v>
      </x:c>
      <x:c r="L3524" t="str">
        <x:v>KETAT</x:v>
      </x:c>
      <x:c r="M3524" t="str">
        <x:v>SEDANG+</x:v>
      </x:c>
      <x:c r="N3524" t="str">
        <x:v>REGULER</x:v>
      </x:c>
      <x:c r="O3524" t="str">
        <x:v>CAMPURAN</x:v>
      </x:c>
      <x:c r="P3524" t="str">
        <x:v>PENDIDIKAN</x:v>
      </x:c>
      <x:c r="Q3524" s="18" t="n">
        <x:v>0</x:v>
      </x:c>
      <x:c r="R3524" s="18" t="n">
        <x:v>0</x:v>
      </x:c>
      <x:c r="S3524" s="18" t="n">
        <x:v>647.8327755168605</x:v>
      </x:c>
      <x:c r="T3524" s="18" t="n">
        <x:v>684</x:v>
      </x:c>
      <x:c r="U3524" s="18" t="n">
        <x:v>647.8327755168605</x:v>
      </x:c>
      <x:c r="V3524" s="20" t="n">
        <x:v>8.8</x:v>
      </x:c>
      <x:c r="W3524" s="20" t="n">
        <x:v>9.9</x:v>
      </x:c>
      <x:c r="X3524" s="20" t="n">
        <x:v>3.3</x:v>
      </x:c>
      <x:c r="Y3524" t="str">
        <x:v>Basis arsip 2025/2024</x:v>
      </x:c>
      <x:c r="Z3524" t="str">
        <x:v>https://snpmb.id/utbk-snbt/daya-tampung-snbt</x:v>
      </x:c>
      <x:c r="AA3524" t="str">
        <x:v>Tidak Ada</x:v>
      </x:c>
      <x:c r="AB3524" t="str">
        <x:v>Campus=55; Ratio=68.4; Prodi=45; RelDemand=100.0; Capacity=66.7</x:v>
      </x:c>
    </x:row>
    <x:row r="3525">
      <x:c r="A3525" t="n">
        <x:v>3522</x:v>
      </x:c>
      <x:c r="B3525" t="str">
        <x:v>PTN Akademik</x:v>
      </x:c>
      <x:c r="C3525" t="str">
        <x:v>UNIVERSITAS HALUOLEO</x:v>
      </x:c>
      <x:c r="D3525" t="str">
        <x:v>ADMINISTRASI BISNIS</x:v>
      </x:c>
      <x:c r="E3525" t="str">
        <x:v>Sarjana</x:v>
      </x:c>
      <x:c r="F3525" s="18" t="n">
        <x:v>68</x:v>
      </x:c>
      <x:c r="G3525" s="18" t="n">
        <x:v>451</x:v>
      </x:c>
      <x:c r="H3525" s="19" t="n">
        <x:v>6.632352941176471</x:v>
      </x:c>
      <x:c r="I3525" s="18" t="n">
        <x:f>ROUND(MIN(Model_Config_v3!$B$6,MAX(Q3525,R3525,S3525*Model_Config_v3!$B$4+T3525*Model_Config_v3!$B$5)),0)</x:f>
        <x:v>652</x:v>
      </x:c>
      <x:c r="J3525" s="18" t="n">
        <x:f>MIN(Model_Config_v3!$B$6,I3525+Model_Config_v3!$B$7)</x:f>
        <x:v>672</x:v>
      </x:c>
      <x:c r="K3525" s="20" t="n">
        <x:v>54.9</x:v>
      </x:c>
      <x:c r="L3525" t="str">
        <x:v>MENENGAH</x:v>
      </x:c>
      <x:c r="M3525" t="str">
        <x:v>SEDANG+</x:v>
      </x:c>
      <x:c r="N3525" t="str">
        <x:v>REGULER</x:v>
      </x:c>
      <x:c r="O3525" t="str">
        <x:v>SOSHUM</x:v>
      </x:c>
      <x:c r="P3525" t="str">
        <x:v>BISNIS/EKONOMI/AKUNTANSI</x:v>
      </x:c>
      <x:c r="Q3525" s="18" t="n">
        <x:v>0</x:v>
      </x:c>
      <x:c r="R3525" s="18" t="n">
        <x:v>0</x:v>
      </x:c>
      <x:c r="S3525" s="18" t="n">
        <x:v>610.3834392088896</x:v>
      </x:c>
      <x:c r="T3525" s="18" t="n">
        <x:v>670</x:v>
      </x:c>
      <x:c r="U3525" s="18" t="n">
        <x:v>625.3834392088896</x:v>
      </x:c>
      <x:c r="V3525" s="20" t="n">
        <x:v>4.4</x:v>
      </x:c>
      <x:c r="W3525" s="20" t="n">
        <x:v>14.3</x:v>
      </x:c>
      <x:c r="X3525" s="20" t="n">
        <x:v>3.3</x:v>
      </x:c>
      <x:c r="Y3525" t="str">
        <x:v>Basis arsip 2025/2024</x:v>
      </x:c>
      <x:c r="Z3525" t="str">
        <x:v>https://snpmb.id/utbk-snbt/daya-tampung-snbt</x:v>
      </x:c>
      <x:c r="AA3525" t="str">
        <x:v>Tidak Ada</x:v>
      </x:c>
      <x:c r="AB3525" t="str">
        <x:v>Campus=55; Ratio=48.4; Prodi=65; RelDemand=62.3; Capacity=43.3</x:v>
      </x:c>
    </x:row>
    <x:row r="3526">
      <x:c r="A3526" t="n">
        <x:v>3523</x:v>
      </x:c>
      <x:c r="B3526" t="str">
        <x:v>PTN Akademik</x:v>
      </x:c>
      <x:c r="C3526" t="str">
        <x:v>UNIVERSITAS HALUOLEO</x:v>
      </x:c>
      <x:c r="D3526" t="str">
        <x:v>ARKEOLOGI</x:v>
      </x:c>
      <x:c r="E3526" t="str">
        <x:v>Sarjana</x:v>
      </x:c>
      <x:c r="F3526" s="18" t="n">
        <x:v>24</x:v>
      </x:c>
      <x:c r="G3526" s="18" t="n">
        <x:v>19</x:v>
      </x:c>
      <x:c r="H3526" s="19" t="n">
        <x:v>0.7916666666666666</x:v>
      </x:c>
      <x:c r="I3526" s="18" t="n">
        <x:f>ROUND(MIN(Model_Config_v3!$B$6,MAX(Q3526,R3526,S3526*Model_Config_v3!$B$4+T3526*Model_Config_v3!$B$5)),0)</x:f>
        <x:v>598</x:v>
      </x:c>
      <x:c r="J3526" s="18" t="n">
        <x:f>MIN(Model_Config_v3!$B$6,I3526+Model_Config_v3!$B$7)</x:f>
        <x:v>618</x:v>
      </x:c>
      <x:c r="K3526" s="20" t="n">
        <x:v>36</x:v>
      </x:c>
      <x:c r="L3526" t="str">
        <x:v>RELATIF LONGGAR</x:v>
      </x:c>
      <x:c r="M3526" t="str">
        <x:v>SEDANG</x:v>
      </x:c>
      <x:c r="N3526" t="str">
        <x:v>REGULER</x:v>
      </x:c>
      <x:c r="O3526" t="str">
        <x:v>CAMPURAN</x:v>
      </x:c>
      <x:c r="P3526" t="str">
        <x:v>UMUM</x:v>
      </x:c>
      <x:c r="Q3526" s="18" t="n">
        <x:v>0</x:v>
      </x:c>
      <x:c r="R3526" s="18" t="n">
        <x:v>0</x:v>
      </x:c>
      <x:c r="S3526" s="18" t="n">
        <x:v>520</x:v>
      </x:c>
      <x:c r="T3526" s="18" t="n">
        <x:v>632</x:v>
      </x:c>
      <x:c r="U3526" s="18" t="n">
        <x:v>520</x:v>
      </x:c>
      <x:c r="V3526" s="20" t="n">
        <x:v>8.8</x:v>
      </x:c>
      <x:c r="W3526" s="20" t="n">
        <x:v>9.9</x:v>
      </x:c>
      <x:c r="X3526" s="20" t="n">
        <x:v>3.3</x:v>
      </x:c>
      <x:c r="Y3526" t="str">
        <x:v>Basis arsip 2025/2024</x:v>
      </x:c>
      <x:c r="Z3526" t="str">
        <x:v>https://snpmb.id/utbk-snbt/daya-tampung-snbt</x:v>
      </x:c>
      <x:c r="AA3526" t="str">
        <x:v>Tidak Ada</x:v>
      </x:c>
      <x:c r="AB3526" t="str">
        <x:v>Campus=55; Ratio=0.0; Prodi=40; RelDemand=7.4; Capacity=80.0</x:v>
      </x:c>
    </x:row>
    <x:row r="3527">
      <x:c r="A3527" t="n">
        <x:v>3524</x:v>
      </x:c>
      <x:c r="B3527" t="str">
        <x:v>PTN Akademik</x:v>
      </x:c>
      <x:c r="C3527" t="str">
        <x:v>UNIVERSITAS HALUOLEO</x:v>
      </x:c>
      <x:c r="D3527" t="str">
        <x:v>ILMU KESEJAHTERAAN SOSIAL</x:v>
      </x:c>
      <x:c r="E3527" t="str">
        <x:v>Sarjana</x:v>
      </x:c>
      <x:c r="F3527" s="18" t="n">
        <x:v>52</x:v>
      </x:c>
      <x:c r="G3527" s="18" t="n">
        <x:v>42</x:v>
      </x:c>
      <x:c r="H3527" s="19" t="n">
        <x:v>0.8076923076923077</x:v>
      </x:c>
      <x:c r="I3527" s="18" t="n">
        <x:f>ROUND(MIN(Model_Config_v3!$B$6,MAX(Q3527,R3527,S3527*Model_Config_v3!$B$4+T3527*Model_Config_v3!$B$5)),0)</x:f>
        <x:v>595</x:v>
      </x:c>
      <x:c r="J3527" s="18" t="n">
        <x:f>MIN(Model_Config_v3!$B$6,I3527+Model_Config_v3!$B$7)</x:f>
        <x:v>615</x:v>
      </x:c>
      <x:c r="K3527" s="20" t="n">
        <x:v>33.7</x:v>
      </x:c>
      <x:c r="L3527" t="str">
        <x:v>RELATIF LONGGAR</x:v>
      </x:c>
      <x:c r="M3527" t="str">
        <x:v>SEDANG</x:v>
      </x:c>
      <x:c r="N3527" t="str">
        <x:v>REGULER</x:v>
      </x:c>
      <x:c r="O3527" t="str">
        <x:v>CAMPURAN</x:v>
      </x:c>
      <x:c r="P3527" t="str">
        <x:v>UMUM</x:v>
      </x:c>
      <x:c r="Q3527" s="18" t="n">
        <x:v>0</x:v>
      </x:c>
      <x:c r="R3527" s="18" t="n">
        <x:v>0</x:v>
      </x:c>
      <x:c r="S3527" s="18" t="n">
        <x:v>520</x:v>
      </x:c>
      <x:c r="T3527" s="18" t="n">
        <x:v>627</x:v>
      </x:c>
      <x:c r="U3527" s="18" t="n">
        <x:v>520</x:v>
      </x:c>
      <x:c r="V3527" s="20" t="n">
        <x:v>8.8</x:v>
      </x:c>
      <x:c r="W3527" s="20" t="n">
        <x:v>9.9</x:v>
      </x:c>
      <x:c r="X3527" s="20" t="n">
        <x:v>3.3</x:v>
      </x:c>
      <x:c r="Y3527" t="str">
        <x:v>Basis arsip 2025/2024</x:v>
      </x:c>
      <x:c r="Z3527" t="str">
        <x:v>https://snpmb.id/utbk-snbt/daya-tampung-snbt</x:v>
      </x:c>
      <x:c r="AA3527" t="str">
        <x:v>Tidak Ada</x:v>
      </x:c>
      <x:c r="AB3527" t="str">
        <x:v>Campus=55; Ratio=0.0; Prodi=40; RelDemand=7.6; Capacity=56.7</x:v>
      </x:c>
    </x:row>
    <x:row r="3528">
      <x:c r="A3528" t="n">
        <x:v>3525</x:v>
      </x:c>
      <x:c r="B3528" t="str">
        <x:v>PTN Akademik</x:v>
      </x:c>
      <x:c r="C3528" t="str">
        <x:v>UNIVERSITAS HALUOLEO</x:v>
      </x:c>
      <x:c r="D3528" t="str">
        <x:v>ILMU SEJARAH</x:v>
      </x:c>
      <x:c r="E3528" t="str">
        <x:v>Sarjana</x:v>
      </x:c>
      <x:c r="F3528" s="18" t="n">
        <x:v>48</x:v>
      </x:c>
      <x:c r="G3528" s="18" t="n">
        <x:v>19</x:v>
      </x:c>
      <x:c r="H3528" s="19" t="n">
        <x:v>0.3958333333333333</x:v>
      </x:c>
      <x:c r="I3528" s="18" t="n">
        <x:f>ROUND(MIN(Model_Config_v3!$B$6,MAX(Q3528,R3528,S3528*Model_Config_v3!$B$4+T3528*Model_Config_v3!$B$5)),0)</x:f>
        <x:v>595</x:v>
      </x:c>
      <x:c r="J3528" s="18" t="n">
        <x:f>MIN(Model_Config_v3!$B$6,I3528+Model_Config_v3!$B$7)</x:f>
        <x:v>615</x:v>
      </x:c>
      <x:c r="K3528" s="20" t="n">
        <x:v>33.6</x:v>
      </x:c>
      <x:c r="L3528" t="str">
        <x:v>RELATIF LONGGAR</x:v>
      </x:c>
      <x:c r="M3528" t="str">
        <x:v>SEDANG</x:v>
      </x:c>
      <x:c r="N3528" t="str">
        <x:v>REGULER</x:v>
      </x:c>
      <x:c r="O3528" t="str">
        <x:v>SOSHUM</x:v>
      </x:c>
      <x:c r="P3528" t="str">
        <x:v>UMUM</x:v>
      </x:c>
      <x:c r="Q3528" s="18" t="n">
        <x:v>0</x:v>
      </x:c>
      <x:c r="R3528" s="18" t="n">
        <x:v>0</x:v>
      </x:c>
      <x:c r="S3528" s="18" t="n">
        <x:v>520</x:v>
      </x:c>
      <x:c r="T3528" s="18" t="n">
        <x:v>627</x:v>
      </x:c>
      <x:c r="U3528" s="18" t="n">
        <x:v>520</x:v>
      </x:c>
      <x:c r="V3528" s="20" t="n">
        <x:v>4.4</x:v>
      </x:c>
      <x:c r="W3528" s="20" t="n">
        <x:v>14.3</x:v>
      </x:c>
      <x:c r="X3528" s="20" t="n">
        <x:v>3.3</x:v>
      </x:c>
      <x:c r="Y3528" t="str">
        <x:v>Basis arsip 2025/2024</x:v>
      </x:c>
      <x:c r="Z3528" t="str">
        <x:v>https://snpmb.id/utbk-snbt/daya-tampung-snbt</x:v>
      </x:c>
      <x:c r="AA3528" t="str">
        <x:v>Tidak Ada</x:v>
      </x:c>
      <x:c r="AB3528" t="str">
        <x:v>Campus=55; Ratio=0.0; Prodi=40; RelDemand=3.7; Capacity=60.0</x:v>
      </x:c>
    </x:row>
    <x:row r="3529">
      <x:c r="A3529" t="n">
        <x:v>3526</x:v>
      </x:c>
      <x:c r="B3529" t="str">
        <x:v>PTN Akademik</x:v>
      </x:c>
      <x:c r="C3529" t="str">
        <x:v>UNIVERSITAS HALUOLEO</x:v>
      </x:c>
      <x:c r="D3529" t="str">
        <x:v>JURNALISTIK</x:v>
      </x:c>
      <x:c r="E3529" t="str">
        <x:v>Sarjana</x:v>
      </x:c>
      <x:c r="F3529" s="18" t="n">
        <x:v>52</x:v>
      </x:c>
      <x:c r="G3529" s="18" t="n">
        <x:v>29</x:v>
      </x:c>
      <x:c r="H3529" s="19" t="n">
        <x:v>0.5576923076923077</x:v>
      </x:c>
      <x:c r="I3529" s="18" t="n">
        <x:f>ROUND(MIN(Model_Config_v3!$B$6,MAX(Q3529,R3529,S3529*Model_Config_v3!$B$4+T3529*Model_Config_v3!$B$5)),0)</x:f>
        <x:v>595</x:v>
      </x:c>
      <x:c r="J3529" s="18" t="n">
        <x:f>MIN(Model_Config_v3!$B$6,I3529+Model_Config_v3!$B$7)</x:f>
        <x:v>615</x:v>
      </x:c>
      <x:c r="K3529" s="20" t="n">
        <x:v>33.4</x:v>
      </x:c>
      <x:c r="L3529" t="str">
        <x:v>RELATIF LONGGAR</x:v>
      </x:c>
      <x:c r="M3529" t="str">
        <x:v>SEDANG</x:v>
      </x:c>
      <x:c r="N3529" t="str">
        <x:v>REGULER</x:v>
      </x:c>
      <x:c r="O3529" t="str">
        <x:v>CAMPURAN</x:v>
      </x:c>
      <x:c r="P3529" t="str">
        <x:v>UMUM</x:v>
      </x:c>
      <x:c r="Q3529" s="18" t="n">
        <x:v>0</x:v>
      </x:c>
      <x:c r="R3529" s="18" t="n">
        <x:v>0</x:v>
      </x:c>
      <x:c r="S3529" s="18" t="n">
        <x:v>520</x:v>
      </x:c>
      <x:c r="T3529" s="18" t="n">
        <x:v>627</x:v>
      </x:c>
      <x:c r="U3529" s="18" t="n">
        <x:v>520</x:v>
      </x:c>
      <x:c r="V3529" s="20" t="n">
        <x:v>8.8</x:v>
      </x:c>
      <x:c r="W3529" s="20" t="n">
        <x:v>9.9</x:v>
      </x:c>
      <x:c r="X3529" s="20" t="n">
        <x:v>3.3</x:v>
      </x:c>
      <x:c r="Y3529" t="str">
        <x:v>Basis arsip 2025/2024</x:v>
      </x:c>
      <x:c r="Z3529" t="str">
        <x:v>https://snpmb.id/utbk-snbt/daya-tampung-snbt</x:v>
      </x:c>
      <x:c r="AA3529" t="str">
        <x:v>Tidak Ada</x:v>
      </x:c>
      <x:c r="AB3529" t="str">
        <x:v>Campus=55; Ratio=0.0; Prodi=40; RelDemand=5.2; Capacity=56.7</x:v>
      </x:c>
    </x:row>
    <x:row r="3530">
      <x:c r="A3530" t="n">
        <x:v>3527</x:v>
      </x:c>
      <x:c r="B3530" t="str">
        <x:v>PTN Akademik</x:v>
      </x:c>
      <x:c r="C3530" t="str">
        <x:v>UNIVERSITAS HALUOLEO</x:v>
      </x:c>
      <x:c r="D3530" t="str">
        <x:v>PENDIDIKAN GEOGRAFI</x:v>
      </x:c>
      <x:c r="E3530" t="str">
        <x:v>Sarjana</x:v>
      </x:c>
      <x:c r="F3530" s="18" t="n">
        <x:v>44</x:v>
      </x:c>
      <x:c r="G3530" s="18" t="n">
        <x:v>108</x:v>
      </x:c>
      <x:c r="H3530" s="19" t="n">
        <x:v>2.4545454545454546</x:v>
      </x:c>
      <x:c r="I3530" s="18" t="n">
        <x:f>ROUND(MIN(Model_Config_v3!$B$6,MAX(Q3530,R3530,S3530*Model_Config_v3!$B$4+T3530*Model_Config_v3!$B$5)),0)</x:f>
        <x:v>620</x:v>
      </x:c>
      <x:c r="J3530" s="18" t="n">
        <x:f>MIN(Model_Config_v3!$B$6,I3530+Model_Config_v3!$B$7)</x:f>
        <x:v>640</x:v>
      </x:c>
      <x:c r="K3530" s="20" t="n">
        <x:v>42.6</x:v>
      </x:c>
      <x:c r="L3530" t="str">
        <x:v>RELATIF LONGGAR</x:v>
      </x:c>
      <x:c r="M3530" t="str">
        <x:v>SEDANG+</x:v>
      </x:c>
      <x:c r="N3530" t="str">
        <x:v>REGULER</x:v>
      </x:c>
      <x:c r="O3530" t="str">
        <x:v>CAMPURAN</x:v>
      </x:c>
      <x:c r="P3530" t="str">
        <x:v>PENDIDIKAN</x:v>
      </x:c>
      <x:c r="Q3530" s="18" t="n">
        <x:v>0</x:v>
      </x:c>
      <x:c r="R3530" s="18" t="n">
        <x:v>0</x:v>
      </x:c>
      <x:c r="S3530" s="18" t="n">
        <x:v>562.8968186900838</x:v>
      </x:c>
      <x:c r="T3530" s="18" t="n">
        <x:v>645</x:v>
      </x:c>
      <x:c r="U3530" s="18" t="n">
        <x:v>562.8968186900838</x:v>
      </x:c>
      <x:c r="V3530" s="20" t="n">
        <x:v>8.8</x:v>
      </x:c>
      <x:c r="W3530" s="20" t="n">
        <x:v>9.9</x:v>
      </x:c>
      <x:c r="X3530" s="20" t="n">
        <x:v>3.3</x:v>
      </x:c>
      <x:c r="Y3530" t="str">
        <x:v>Basis arsip 2025/2024</x:v>
      </x:c>
      <x:c r="Z3530" t="str">
        <x:v>https://snpmb.id/utbk-snbt/daya-tampung-snbt</x:v>
      </x:c>
      <x:c r="AA3530" t="str">
        <x:v>Tidak Ada</x:v>
      </x:c>
      <x:c r="AB3530" t="str">
        <x:v>Campus=55; Ratio=23.0; Prodi=45; RelDemand=23.1; Capacity=63.3</x:v>
      </x:c>
    </x:row>
    <x:row r="3531">
      <x:c r="A3531" t="n">
        <x:v>3528</x:v>
      </x:c>
      <x:c r="B3531" t="str">
        <x:v>PTN Akademik</x:v>
      </x:c>
      <x:c r="C3531" t="str">
        <x:v>UNIVERSITAS HALUOLEO</x:v>
      </x:c>
      <x:c r="D3531" t="str">
        <x:v>SASTRA INDONESIA</x:v>
      </x:c>
      <x:c r="E3531" t="str">
        <x:v>Sarjana</x:v>
      </x:c>
      <x:c r="F3531" s="18" t="n">
        <x:v>48</x:v>
      </x:c>
      <x:c r="G3531" s="18" t="n">
        <x:v>22</x:v>
      </x:c>
      <x:c r="H3531" s="19" t="n">
        <x:v>0.4583333333333333</x:v>
      </x:c>
      <x:c r="I3531" s="18" t="n">
        <x:f>ROUND(MIN(Model_Config_v3!$B$6,MAX(Q3531,R3531,S3531*Model_Config_v3!$B$4+T3531*Model_Config_v3!$B$5)),0)</x:f>
        <x:v>595</x:v>
      </x:c>
      <x:c r="J3531" s="18" t="n">
        <x:f>MIN(Model_Config_v3!$B$6,I3531+Model_Config_v3!$B$7)</x:f>
        <x:v>615</x:v>
      </x:c>
      <x:c r="K3531" s="20" t="n">
        <x:v>33.7</x:v>
      </x:c>
      <x:c r="L3531" t="str">
        <x:v>RELATIF LONGGAR</x:v>
      </x:c>
      <x:c r="M3531" t="str">
        <x:v>SEDANG</x:v>
      </x:c>
      <x:c r="N3531" t="str">
        <x:v>REGULER</x:v>
      </x:c>
      <x:c r="O3531" t="str">
        <x:v>SOSHUM</x:v>
      </x:c>
      <x:c r="P3531" t="str">
        <x:v>UMUM</x:v>
      </x:c>
      <x:c r="Q3531" s="18" t="n">
        <x:v>0</x:v>
      </x:c>
      <x:c r="R3531" s="18" t="n">
        <x:v>0</x:v>
      </x:c>
      <x:c r="S3531" s="18" t="n">
        <x:v>520</x:v>
      </x:c>
      <x:c r="T3531" s="18" t="n">
        <x:v>627</x:v>
      </x:c>
      <x:c r="U3531" s="18" t="n">
        <x:v>520</x:v>
      </x:c>
      <x:c r="V3531" s="20" t="n">
        <x:v>4.4</x:v>
      </x:c>
      <x:c r="W3531" s="20" t="n">
        <x:v>14.3</x:v>
      </x:c>
      <x:c r="X3531" s="20" t="n">
        <x:v>3.3</x:v>
      </x:c>
      <x:c r="Y3531" t="str">
        <x:v>Basis arsip 2025/2024</x:v>
      </x:c>
      <x:c r="Z3531" t="str">
        <x:v>https://snpmb.id/utbk-snbt/daya-tampung-snbt</x:v>
      </x:c>
      <x:c r="AA3531" t="str">
        <x:v>Tidak Ada</x:v>
      </x:c>
      <x:c r="AB3531" t="str">
        <x:v>Campus=55; Ratio=0.0; Prodi=40; RelDemand=4.3; Capacity=60.0</x:v>
      </x:c>
    </x:row>
    <x:row r="3532">
      <x:c r="A3532" t="n">
        <x:v>3529</x:v>
      </x:c>
      <x:c r="B3532" t="str">
        <x:v>PTN Akademik</x:v>
      </x:c>
      <x:c r="C3532" t="str">
        <x:v>UNIVERSITAS HALUOLEO</x:v>
      </x:c>
      <x:c r="D3532" t="str">
        <x:v>SASTRA INGGRIS</x:v>
      </x:c>
      <x:c r="E3532" t="str">
        <x:v>Sarjana</x:v>
      </x:c>
      <x:c r="F3532" s="18" t="n">
        <x:v>64</x:v>
      </x:c>
      <x:c r="G3532" s="18" t="n">
        <x:v>77</x:v>
      </x:c>
      <x:c r="H3532" s="19" t="n">
        <x:v>1.203125</x:v>
      </x:c>
      <x:c r="I3532" s="18" t="n">
        <x:f>ROUND(MIN(Model_Config_v3!$B$6,MAX(Q3532,R3532,S3532*Model_Config_v3!$B$4+T3532*Model_Config_v3!$B$5)),0)</x:f>
        <x:v>598</x:v>
      </x:c>
      <x:c r="J3532" s="18" t="n">
        <x:f>MIN(Model_Config_v3!$B$6,I3532+Model_Config_v3!$B$7)</x:f>
        <x:v>618</x:v>
      </x:c>
      <x:c r="K3532" s="20" t="n">
        <x:v>34.2</x:v>
      </x:c>
      <x:c r="L3532" t="str">
        <x:v>RELATIF LONGGAR</x:v>
      </x:c>
      <x:c r="M3532" t="str">
        <x:v>SEDANG</x:v>
      </x:c>
      <x:c r="N3532" t="str">
        <x:v>REGULER</x:v>
      </x:c>
      <x:c r="O3532" t="str">
        <x:v>SOSHUM</x:v>
      </x:c>
      <x:c r="P3532" t="str">
        <x:v>UMUM</x:v>
      </x:c>
      <x:c r="Q3532" s="18" t="n">
        <x:v>0</x:v>
      </x:c>
      <x:c r="R3532" s="18" t="n">
        <x:v>0</x:v>
      </x:c>
      <x:c r="S3532" s="18" t="n">
        <x:v>528.8341826307454</x:v>
      </x:c>
      <x:c r="T3532" s="18" t="n">
        <x:v>628</x:v>
      </x:c>
      <x:c r="U3532" s="18" t="n">
        <x:v>528.8341826307454</x:v>
      </x:c>
      <x:c r="V3532" s="20" t="n">
        <x:v>4.4</x:v>
      </x:c>
      <x:c r="W3532" s="20" t="n">
        <x:v>14.3</x:v>
      </x:c>
      <x:c r="X3532" s="20" t="n">
        <x:v>3.3</x:v>
      </x:c>
      <x:c r="Y3532" t="str">
        <x:v>Basis arsip 2025/2024</x:v>
      </x:c>
      <x:c r="Z3532" t="str">
        <x:v>https://snpmb.id/utbk-snbt/daya-tampung-snbt</x:v>
      </x:c>
      <x:c r="AA3532" t="str">
        <x:v>Tidak Ada</x:v>
      </x:c>
      <x:c r="AB3532" t="str">
        <x:v>Campus=55; Ratio=4.7; Prodi=40; RelDemand=11.3; Capacity=46.7</x:v>
      </x:c>
    </x:row>
    <x:row r="3533">
      <x:c r="A3533" t="n">
        <x:v>3530</x:v>
      </x:c>
      <x:c r="B3533" t="str">
        <x:v>PTN Akademik</x:v>
      </x:c>
      <x:c r="C3533" t="str">
        <x:v>UNIVERSITAS HALUOLEO</x:v>
      </x:c>
      <x:c r="D3533" t="str">
        <x:v>TRADISI LISAN</x:v>
      </x:c>
      <x:c r="E3533" t="str">
        <x:v>Sarjana</x:v>
      </x:c>
      <x:c r="F3533" s="18" t="n">
        <x:v>20</x:v>
      </x:c>
      <x:c r="G3533" s="18" t="n">
        <x:v>16</x:v>
      </x:c>
      <x:c r="H3533" s="19" t="n">
        <x:v>0.8</x:v>
      </x:c>
      <x:c r="I3533" s="18" t="n">
        <x:f>ROUND(MIN(Model_Config_v3!$B$6,MAX(Q3533,R3533,S3533*Model_Config_v3!$B$4+T3533*Model_Config_v3!$B$5)),0)</x:f>
        <x:v>599</x:v>
      </x:c>
      <x:c r="J3533" s="18" t="n">
        <x:f>MIN(Model_Config_v3!$B$6,I3533+Model_Config_v3!$B$7)</x:f>
        <x:v>619</x:v>
      </x:c>
      <x:c r="K3533" s="20" t="n">
        <x:v>36.3</x:v>
      </x:c>
      <x:c r="L3533" t="str">
        <x:v>RELATIF LONGGAR</x:v>
      </x:c>
      <x:c r="M3533" t="str">
        <x:v>SEDANG</x:v>
      </x:c>
      <x:c r="N3533" t="str">
        <x:v>REGULER</x:v>
      </x:c>
      <x:c r="O3533" t="str">
        <x:v>CAMPURAN</x:v>
      </x:c>
      <x:c r="P3533" t="str">
        <x:v>UMUM</x:v>
      </x:c>
      <x:c r="Q3533" s="18" t="n">
        <x:v>0</x:v>
      </x:c>
      <x:c r="R3533" s="18" t="n">
        <x:v>0</x:v>
      </x:c>
      <x:c r="S3533" s="18" t="n">
        <x:v>520</x:v>
      </x:c>
      <x:c r="T3533" s="18" t="n">
        <x:v>633</x:v>
      </x:c>
      <x:c r="U3533" s="18" t="n">
        <x:v>520</x:v>
      </x:c>
      <x:c r="V3533" s="20" t="n">
        <x:v>8.8</x:v>
      </x:c>
      <x:c r="W3533" s="20" t="n">
        <x:v>9.9</x:v>
      </x:c>
      <x:c r="X3533" s="20" t="n">
        <x:v>3.3</x:v>
      </x:c>
      <x:c r="Y3533" t="str">
        <x:v>Basis arsip 2025/2024</x:v>
      </x:c>
      <x:c r="Z3533" t="str">
        <x:v>https://snpmb.id/utbk-snbt/daya-tampung-snbt</x:v>
      </x:c>
      <x:c r="AA3533" t="str">
        <x:v>Tidak Ada</x:v>
      </x:c>
      <x:c r="AB3533" t="str">
        <x:v>Campus=55; Ratio=0.0; Prodi=40; RelDemand=7.5; Capacity=83.3</x:v>
      </x:c>
    </x:row>
    <x:row r="3534">
      <x:c r="A3534" t="n">
        <x:v>3531</x:v>
      </x:c>
      <x:c r="B3534" t="str">
        <x:v>PTN Akademik</x:v>
      </x:c>
      <x:c r="C3534" t="str">
        <x:v>UNIVERSITAS HALUOLEO</x:v>
      </x:c>
      <x:c r="D3534" t="str">
        <x:v>PSIKOLOGI</x:v>
      </x:c>
      <x:c r="E3534" t="str">
        <x:v>Sarjana</x:v>
      </x:c>
      <x:c r="F3534" s="18" t="n">
        <x:v>32</x:v>
      </x:c>
      <x:c r="G3534" s="18" t="n">
        <x:v>317</x:v>
      </x:c>
      <x:c r="H3534" s="19" t="n">
        <x:v>9.90625</x:v>
      </x:c>
      <x:c r="I3534" s="18" t="n">
        <x:f>ROUND(MIN(Model_Config_v3!$B$6,MAX(Q3534,R3534,S3534*Model_Config_v3!$B$4+T3534*Model_Config_v3!$B$5)),0)</x:f>
        <x:v>674</x:v>
      </x:c>
      <x:c r="J3534" s="18" t="n">
        <x:f>MIN(Model_Config_v3!$B$6,I3534+Model_Config_v3!$B$7)</x:f>
        <x:v>694</x:v>
      </x:c>
      <x:c r="K3534" s="20" t="n">
        <x:v>66.5</x:v>
      </x:c>
      <x:c r="L3534" t="str">
        <x:v>SANGAT KETAT</x:v>
      </x:c>
      <x:c r="M3534" t="str">
        <x:v>SEDANG+</x:v>
      </x:c>
      <x:c r="N3534" t="str">
        <x:v>REGULER</x:v>
      </x:c>
      <x:c r="O3534" t="str">
        <x:v>SOSHUM</x:v>
      </x:c>
      <x:c r="P3534" t="str">
        <x:v>PSIKOLOGI</x:v>
      </x:c>
      <x:c r="Q3534" s="18" t="n">
        <x:v>0</x:v>
      </x:c>
      <x:c r="R3534" s="18" t="n">
        <x:v>0</x:v>
      </x:c>
      <x:c r="S3534" s="18" t="n">
        <x:v>629.550021228763</x:v>
      </x:c>
      <x:c r="T3534" s="18" t="n">
        <x:v>693</x:v>
      </x:c>
      <x:c r="U3534" s="18" t="n">
        <x:v>654.550021228763</x:v>
      </x:c>
      <x:c r="V3534" s="20" t="n">
        <x:v>4.4</x:v>
      </x:c>
      <x:c r="W3534" s="20" t="n">
        <x:v>14.3</x:v>
      </x:c>
      <x:c r="X3534" s="20" t="n">
        <x:v>3.3</x:v>
      </x:c>
      <x:c r="Y3534" t="str">
        <x:v>Basis arsip 2025/2024</x:v>
      </x:c>
      <x:c r="Z3534" t="str">
        <x:v>https://snpmb.id/utbk-snbt/daya-tampung-snbt</x:v>
      </x:c>
      <x:c r="AA3534" t="str">
        <x:v>Tidak Ada</x:v>
      </x:c>
      <x:c r="AB3534" t="str">
        <x:v>Campus=55; Ratio=58.6; Prodi=80; RelDemand=93.0; Capacity=73.3</x:v>
      </x:c>
    </x:row>
    <x:row r="3535">
      <x:c r="A3535" t="n">
        <x:v>3532</x:v>
      </x:c>
      <x:c r="B3535" t="str">
        <x:v>PTN Akademik</x:v>
      </x:c>
      <x:c r="C3535" t="str">
        <x:v>UNIVERSITAS HALUOLEO</x:v>
      </x:c>
      <x:c r="D3535" t="str">
        <x:v>ILMU POLITIK</x:v>
      </x:c>
      <x:c r="E3535" t="str">
        <x:v>Sarjana</x:v>
      </x:c>
      <x:c r="F3535" s="18" t="n">
        <x:v>60</x:v>
      </x:c>
      <x:c r="G3535" s="18" t="n">
        <x:v>66</x:v>
      </x:c>
      <x:c r="H3535" s="19" t="n">
        <x:v>1.1</x:v>
      </x:c>
      <x:c r="I3535" s="18" t="n">
        <x:f>ROUND(MIN(Model_Config_v3!$B$6,MAX(Q3535,R3535,S3535*Model_Config_v3!$B$4+T3535*Model_Config_v3!$B$5)),0)</x:f>
        <x:v>597</x:v>
      </x:c>
      <x:c r="J3535" s="18" t="n">
        <x:f>MIN(Model_Config_v3!$B$6,I3535+Model_Config_v3!$B$7)</x:f>
        <x:v>617</x:v>
      </x:c>
      <x:c r="K3535" s="20" t="n">
        <x:v>33.9</x:v>
      </x:c>
      <x:c r="L3535" t="str">
        <x:v>RELATIF LONGGAR</x:v>
      </x:c>
      <x:c r="M3535" t="str">
        <x:v>SEDANG</x:v>
      </x:c>
      <x:c r="N3535" t="str">
        <x:v>REGULER</x:v>
      </x:c>
      <x:c r="O3535" t="str">
        <x:v>SOSHUM</x:v>
      </x:c>
      <x:c r="P3535" t="str">
        <x:v>UMUM</x:v>
      </x:c>
      <x:c r="Q3535" s="18" t="n">
        <x:v>0</x:v>
      </x:c>
      <x:c r="R3535" s="18" t="n">
        <x:v>0</x:v>
      </x:c>
      <x:c r="S3535" s="18" t="n">
        <x:v>524.5531953674048</x:v>
      </x:c>
      <x:c r="T3535" s="18" t="n">
        <x:v>628</x:v>
      </x:c>
      <x:c r="U3535" s="18" t="n">
        <x:v>524.5531953674048</x:v>
      </x:c>
      <x:c r="V3535" s="20" t="n">
        <x:v>4.4</x:v>
      </x:c>
      <x:c r="W3535" s="20" t="n">
        <x:v>14.3</x:v>
      </x:c>
      <x:c r="X3535" s="20" t="n">
        <x:v>3.3</x:v>
      </x:c>
      <x:c r="Y3535" t="str">
        <x:v>Basis arsip 2025/2024</x:v>
      </x:c>
      <x:c r="Z3535" t="str">
        <x:v>https://snpmb.id/utbk-snbt/daya-tampung-snbt</x:v>
      </x:c>
      <x:c r="AA3535" t="str">
        <x:v>Tidak Ada</x:v>
      </x:c>
      <x:c r="AB3535" t="str">
        <x:v>Campus=55; Ratio=2.4; Prodi=40; RelDemand=10.3; Capacity=50.0</x:v>
      </x:c>
    </x:row>
    <x:row r="3536">
      <x:c r="A3536" t="n">
        <x:v>3533</x:v>
      </x:c>
      <x:c r="B3536" t="str">
        <x:v>PTN Akademik</x:v>
      </x:c>
      <x:c r="C3536" t="str">
        <x:v>UNIVERSITAS HALUOLEO</x:v>
      </x:c>
      <x:c r="D3536" t="str">
        <x:v>PENDIDIKAN AKUNTANSI</x:v>
      </x:c>
      <x:c r="E3536" t="str">
        <x:v>Sarjana</x:v>
      </x:c>
      <x:c r="F3536" s="18" t="n">
        <x:v>40</x:v>
      </x:c>
      <x:c r="G3536" s="18" t="n">
        <x:v>81</x:v>
      </x:c>
      <x:c r="H3536" s="19" t="n">
        <x:v>2.025</x:v>
      </x:c>
      <x:c r="I3536" s="18" t="n">
        <x:f>ROUND(MIN(Model_Config_v3!$B$6,MAX(Q3536,R3536,S3536*Model_Config_v3!$B$4+T3536*Model_Config_v3!$B$5)),0)</x:f>
        <x:v>622</x:v>
      </x:c>
      <x:c r="J3536" s="18" t="n">
        <x:f>MIN(Model_Config_v3!$B$6,I3536+Model_Config_v3!$B$7)</x:f>
        <x:v>642</x:v>
      </x:c>
      <x:c r="K3536" s="20" t="n">
        <x:v>45.3</x:v>
      </x:c>
      <x:c r="L3536" t="str">
        <x:v>MENENGAH</x:v>
      </x:c>
      <x:c r="M3536" t="str">
        <x:v>SEDANG+</x:v>
      </x:c>
      <x:c r="N3536" t="str">
        <x:v>REGULER</x:v>
      </x:c>
      <x:c r="O3536" t="str">
        <x:v>SOSHUM</x:v>
      </x:c>
      <x:c r="P3536" t="str">
        <x:v>BISNIS/EKONOMI/AKUNTANSI</x:v>
      </x:c>
      <x:c r="Q3536" s="18" t="n">
        <x:v>0</x:v>
      </x:c>
      <x:c r="R3536" s="18" t="n">
        <x:v>0</x:v>
      </x:c>
      <x:c r="S3536" s="18" t="n">
        <x:v>553.7067530305756</x:v>
      </x:c>
      <x:c r="T3536" s="18" t="n">
        <x:v>651</x:v>
      </x:c>
      <x:c r="U3536" s="18" t="n">
        <x:v>553.7067530305756</x:v>
      </x:c>
      <x:c r="V3536" s="20" t="n">
        <x:v>4.4</x:v>
      </x:c>
      <x:c r="W3536" s="20" t="n">
        <x:v>14.3</x:v>
      </x:c>
      <x:c r="X3536" s="20" t="n">
        <x:v>3.3</x:v>
      </x:c>
      <x:c r="Y3536" t="str">
        <x:v>Basis arsip 2025/2024</x:v>
      </x:c>
      <x:c r="Z3536" t="str">
        <x:v>https://snpmb.id/utbk-snbt/daya-tampung-snbt</x:v>
      </x:c>
      <x:c r="AA3536" t="str">
        <x:v>Tidak Ada</x:v>
      </x:c>
      <x:c r="AB3536" t="str">
        <x:v>Campus=55; Ratio=18.0; Prodi=65; RelDemand=19.0; Capacity=66.7</x:v>
      </x:c>
    </x:row>
    <x:row r="3537">
      <x:c r="A3537" t="n">
        <x:v>3534</x:v>
      </x:c>
      <x:c r="B3537" t="str">
        <x:v>PTN Akademik</x:v>
      </x:c>
      <x:c r="C3537" t="str">
        <x:v>UNIVERSITAS HALUOLEO</x:v>
      </x:c>
      <x:c r="D3537" t="str">
        <x:v>SASTRA PRANCIS</x:v>
      </x:c>
      <x:c r="E3537" t="str">
        <x:v>Sarjana</x:v>
      </x:c>
      <x:c r="F3537" s="18" t="n">
        <x:v>12</x:v>
      </x:c>
      <x:c r="G3537" s="18" t="n">
        <x:v>3</x:v>
      </x:c>
      <x:c r="H3537" s="19" t="n">
        <x:v>0.25</x:v>
      </x:c>
      <x:c r="I3537" s="18" t="n">
        <x:f>ROUND(MIN(Model_Config_v3!$B$6,MAX(Q3537,R3537,S3537*Model_Config_v3!$B$4+T3537*Model_Config_v3!$B$5)),0)</x:f>
        <x:v>599</x:v>
      </x:c>
      <x:c r="J3537" s="18" t="n">
        <x:f>MIN(Model_Config_v3!$B$6,I3537+Model_Config_v3!$B$7)</x:f>
        <x:v>619</x:v>
      </x:c>
      <x:c r="K3537" s="20" t="n">
        <x:v>36.5</x:v>
      </x:c>
      <x:c r="L3537" t="str">
        <x:v>RELATIF LONGGAR</x:v>
      </x:c>
      <x:c r="M3537" t="str">
        <x:v>SEDANG</x:v>
      </x:c>
      <x:c r="N3537" t="str">
        <x:v>REGULER</x:v>
      </x:c>
      <x:c r="O3537" t="str">
        <x:v>SOSHUM</x:v>
      </x:c>
      <x:c r="P3537" t="str">
        <x:v>UMUM</x:v>
      </x:c>
      <x:c r="Q3537" s="18" t="n">
        <x:v>0</x:v>
      </x:c>
      <x:c r="R3537" s="18" t="n">
        <x:v>0</x:v>
      </x:c>
      <x:c r="S3537" s="18" t="n">
        <x:v>520</x:v>
      </x:c>
      <x:c r="T3537" s="18" t="n">
        <x:v>633</x:v>
      </x:c>
      <x:c r="U3537" s="18" t="n">
        <x:v>520</x:v>
      </x:c>
      <x:c r="V3537" s="20" t="n">
        <x:v>4.4</x:v>
      </x:c>
      <x:c r="W3537" s="20" t="n">
        <x:v>14.3</x:v>
      </x:c>
      <x:c r="X3537" s="20" t="n">
        <x:v>3.3</x:v>
      </x:c>
      <x:c r="Y3537" t="str">
        <x:v>Basis arsip 2025/2024</x:v>
      </x:c>
      <x:c r="Z3537" t="str">
        <x:v>https://snpmb.id/utbk-snbt/daya-tampung-snbt</x:v>
      </x:c>
      <x:c r="AA3537" t="str">
        <x:v>Tidak Ada</x:v>
      </x:c>
      <x:c r="AB3537" t="str">
        <x:v>Campus=55; Ratio=0.0; Prodi=40; RelDemand=2.3; Capacity=90.0</x:v>
      </x:c>
    </x:row>
    <x:row r="3538">
      <x:c r="A3538" t="n">
        <x:v>3535</x:v>
      </x:c>
      <x:c r="B3538" t="str">
        <x:v>PTN Akademik</x:v>
      </x:c>
      <x:c r="C3538" t="str">
        <x:v>UNIVERSITAS HALUOLEO</x:v>
      </x:c>
      <x:c r="D3538" t="str">
        <x:v>PERPUSTAKAAN DAN ILMU INFORMASI</x:v>
      </x:c>
      <x:c r="E3538" t="str">
        <x:v>Sarjana</x:v>
      </x:c>
      <x:c r="F3538" s="18" t="n">
        <x:v>52</x:v>
      </x:c>
      <x:c r="G3538" s="18" t="n">
        <x:v>71</x:v>
      </x:c>
      <x:c r="H3538" s="19" t="n">
        <x:v>1.3653846153846154</x:v>
      </x:c>
      <x:c r="I3538" s="18" t="n">
        <x:f>ROUND(MIN(Model_Config_v3!$B$6,MAX(Q3538,R3538,S3538*Model_Config_v3!$B$4+T3538*Model_Config_v3!$B$5)),0)</x:f>
        <x:v>603</x:v>
      </x:c>
      <x:c r="J3538" s="18" t="n">
        <x:f>MIN(Model_Config_v3!$B$6,I3538+Model_Config_v3!$B$7)</x:f>
        <x:v>623</x:v>
      </x:c>
      <x:c r="K3538" s="20" t="n">
        <x:v>36.2</x:v>
      </x:c>
      <x:c r="L3538" t="str">
        <x:v>RELATIF LONGGAR</x:v>
      </x:c>
      <x:c r="M3538" t="str">
        <x:v>SEDANG</x:v>
      </x:c>
      <x:c r="N3538" t="str">
        <x:v>REGULER</x:v>
      </x:c>
      <x:c r="O3538" t="str">
        <x:v>CAMPURAN</x:v>
      </x:c>
      <x:c r="P3538" t="str">
        <x:v>UMUM</x:v>
      </x:c>
      <x:c r="Q3538" s="18" t="n">
        <x:v>0</x:v>
      </x:c>
      <x:c r="R3538" s="18" t="n">
        <x:v>0</x:v>
      </x:c>
      <x:c r="S3538" s="18" t="n">
        <x:v>534.8780505592704</x:v>
      </x:c>
      <x:c r="T3538" s="18" t="n">
        <x:v>632</x:v>
      </x:c>
      <x:c r="U3538" s="18" t="n">
        <x:v>534.8780505592704</x:v>
      </x:c>
      <x:c r="V3538" s="20" t="n">
        <x:v>8.8</x:v>
      </x:c>
      <x:c r="W3538" s="20" t="n">
        <x:v>9.9</x:v>
      </x:c>
      <x:c r="X3538" s="20" t="n">
        <x:v>3.3</x:v>
      </x:c>
      <x:c r="Y3538" t="str">
        <x:v>Basis arsip 2025/2024</x:v>
      </x:c>
      <x:c r="Z3538" t="str">
        <x:v>https://snpmb.id/utbk-snbt/daya-tampung-snbt</x:v>
      </x:c>
      <x:c r="AA3538" t="str">
        <x:v>Tidak Ada</x:v>
      </x:c>
      <x:c r="AB3538" t="str">
        <x:v>Campus=55; Ratio=8.0; Prodi=40; RelDemand=12.8; Capacity=56.7</x:v>
      </x:c>
    </x:row>
    <x:row r="3539">
      <x:c r="A3539" t="n">
        <x:v>3536</x:v>
      </x:c>
      <x:c r="B3539" t="str">
        <x:v>PTN Akademik</x:v>
      </x:c>
      <x:c r="C3539" t="str">
        <x:v>UNIVERSITAS HALUOLEO</x:v>
      </x:c>
      <x:c r="D3539" t="str">
        <x:v>ILMU PEMERINTAHAN</x:v>
      </x:c>
      <x:c r="E3539" t="str">
        <x:v>Sarjana</x:v>
      </x:c>
      <x:c r="F3539" s="18" t="n">
        <x:v>60</x:v>
      </x:c>
      <x:c r="G3539" s="18" t="n">
        <x:v>100</x:v>
      </x:c>
      <x:c r="H3539" s="19" t="n">
        <x:v>1.6666666666666667</x:v>
      </x:c>
      <x:c r="I3539" s="18" t="n">
        <x:f>ROUND(MIN(Model_Config_v3!$B$6,MAX(Q3539,R3539,S3539*Model_Config_v3!$B$4+T3539*Model_Config_v3!$B$5)),0)</x:f>
        <x:v>607</x:v>
      </x:c>
      <x:c r="J3539" s="18" t="n">
        <x:f>MIN(Model_Config_v3!$B$6,I3539+Model_Config_v3!$B$7)</x:f>
        <x:v>627</x:v>
      </x:c>
      <x:c r="K3539" s="20" t="n">
        <x:v>37.1</x:v>
      </x:c>
      <x:c r="L3539" t="str">
        <x:v>RELATIF LONGGAR</x:v>
      </x:c>
      <x:c r="M3539" t="str">
        <x:v>SEDANG</x:v>
      </x:c>
      <x:c r="N3539" t="str">
        <x:v>REGULER</x:v>
      </x:c>
      <x:c r="O3539" t="str">
        <x:v>CAMPURAN</x:v>
      </x:c>
      <x:c r="P3539" t="str">
        <x:v>UMUM</x:v>
      </x:c>
      <x:c r="Q3539" s="18" t="n">
        <x:v>0</x:v>
      </x:c>
      <x:c r="R3539" s="18" t="n">
        <x:v>0</x:v>
      </x:c>
      <x:c r="S3539" s="18" t="n">
        <x:v>544.4033624577992</x:v>
      </x:c>
      <x:c r="T3539" s="18" t="n">
        <x:v>634</x:v>
      </x:c>
      <x:c r="U3539" s="18" t="n">
        <x:v>544.4033624577992</x:v>
      </x:c>
      <x:c r="V3539" s="20" t="n">
        <x:v>8.8</x:v>
      </x:c>
      <x:c r="W3539" s="20" t="n">
        <x:v>9.9</x:v>
      </x:c>
      <x:c r="X3539" s="20" t="n">
        <x:v>3.3</x:v>
      </x:c>
      <x:c r="Y3539" t="str">
        <x:v>Basis arsip 2025/2024</x:v>
      </x:c>
      <x:c r="Z3539" t="str">
        <x:v>https://snpmb.id/utbk-snbt/daya-tampung-snbt</x:v>
      </x:c>
      <x:c r="AA3539" t="str">
        <x:v>Tidak Ada</x:v>
      </x:c>
      <x:c r="AB3539" t="str">
        <x:v>Campus=55; Ratio=13.1; Prodi=40; RelDemand=15.7; Capacity=50.0</x:v>
      </x:c>
    </x:row>
    <x:row r="3540">
      <x:c r="A3540" t="n">
        <x:v>3537</x:v>
      </x:c>
      <x:c r="B3540" t="str">
        <x:v>PTN Akademik</x:v>
      </x:c>
      <x:c r="C3540" t="str">
        <x:v>UNIVERSITAS HALUOLEO</x:v>
      </x:c>
      <x:c r="D3540" t="str">
        <x:v>TEKNIK SIPIL</x:v>
      </x:c>
      <x:c r="E3540" t="str">
        <x:v>Diploma Tiga</x:v>
      </x:c>
      <x:c r="F3540" s="18" t="n">
        <x:v>28</x:v>
      </x:c>
      <x:c r="G3540" s="18" t="n">
        <x:v>1356</x:v>
      </x:c>
      <x:c r="H3540" s="19" t="n">
        <x:v>48.42857142857143</x:v>
      </x:c>
      <x:c r="I3540" s="18" t="n">
        <x:f>ROUND(MIN(Model_Config_v3!$B$6,MAX(Q3540,R3540,S3540*Model_Config_v3!$B$4+T3540*Model_Config_v3!$B$5)),0)</x:f>
        <x:v>707</x:v>
      </x:c>
      <x:c r="J3540" s="18" t="n">
        <x:f>MIN(Model_Config_v3!$B$6,I3540+Model_Config_v3!$B$7)</x:f>
        <x:v>727</x:v>
      </x:c>
      <x:c r="K3540" s="20" t="n">
        <x:v>73.7</x:v>
      </x:c>
      <x:c r="L3540" t="str">
        <x:v>SANGAT KETAT</x:v>
      </x:c>
      <x:c r="M3540" t="str">
        <x:v>SEDANG+</x:v>
      </x:c>
      <x:c r="N3540" t="str">
        <x:v>REGULER</x:v>
      </x:c>
      <x:c r="O3540" t="str">
        <x:v>SAINTEK</x:v>
      </x:c>
      <x:c r="P3540" t="str">
        <x:v>TEKNIK/ARSITEKTUR/STATISTIKA/AKTUARIA</x:v>
      </x:c>
      <x:c r="Q3540" s="18" t="n">
        <x:v>0</x:v>
      </x:c>
      <x:c r="R3540" s="18" t="n">
        <x:v>0</x:v>
      </x:c>
      <x:c r="S3540" s="18" t="n">
        <x:v>705.3611824007708</x:v>
      </x:c>
      <x:c r="T3540" s="18" t="n">
        <x:v>707</x:v>
      </x:c>
      <x:c r="U3540" s="18" t="n">
        <x:v>715.3611824007708</x:v>
      </x:c>
      <x:c r="V3540" s="20" t="n">
        <x:v>12</x:v>
      </x:c>
      <x:c r="W3540" s="20" t="n">
        <x:v>5</x:v>
      </x:c>
      <x:c r="X3540" s="20" t="n">
        <x:v>3</x:v>
      </x:c>
      <x:c r="Y3540" t="str">
        <x:v>Basis arsip 2025/2024</x:v>
      </x:c>
      <x:c r="Z3540" t="str">
        <x:v>https://snpmb.id/utbk-snbt/daya-tampung-snbt</x:v>
      </x:c>
      <x:c r="AA3540" t="str">
        <x:v>Tidak Ada</x:v>
      </x:c>
      <x:c r="AB3540" t="str">
        <x:v>Campus=55; Ratio=99.2; Prodi=60; RelDemand=100.0; Capacity=76.7</x:v>
      </x:c>
    </x:row>
    <x:row r="3541">
      <x:c r="A3541" t="n">
        <x:v>3538</x:v>
      </x:c>
      <x:c r="B3541" t="str">
        <x:v>PTN Akademik</x:v>
      </x:c>
      <x:c r="C3541" t="str">
        <x:v>UNIVERSITAS HALUOLEO</x:v>
      </x:c>
      <x:c r="D3541" t="str">
        <x:v>TEKNIK ELEKTRONIKA</x:v>
      </x:c>
      <x:c r="E3541" t="str">
        <x:v>Diploma Tiga</x:v>
      </x:c>
      <x:c r="F3541" s="18" t="n">
        <x:v>28</x:v>
      </x:c>
      <x:c r="G3541" s="18" t="n">
        <x:v>382</x:v>
      </x:c>
      <x:c r="H3541" s="19" t="n">
        <x:v>13.642857142857142</x:v>
      </x:c>
      <x:c r="I3541" s="18" t="n">
        <x:f>ROUND(MIN(Model_Config_v3!$B$6,MAX(Q3541,R3541,S3541*Model_Config_v3!$B$4+T3541*Model_Config_v3!$B$5)),0)</x:f>
        <x:v>677</x:v>
      </x:c>
      <x:c r="J3541" s="18" t="n">
        <x:f>MIN(Model_Config_v3!$B$6,I3541+Model_Config_v3!$B$7)</x:f>
        <x:v>697</x:v>
      </x:c>
      <x:c r="K3541" s="20" t="n">
        <x:v>65.6</x:v>
      </x:c>
      <x:c r="L3541" t="str">
        <x:v>SANGAT KETAT</x:v>
      </x:c>
      <x:c r="M3541" t="str">
        <x:v>SEDANG+</x:v>
      </x:c>
      <x:c r="N3541" t="str">
        <x:v>REGULER</x:v>
      </x:c>
      <x:c r="O3541" t="str">
        <x:v>SAINTEK</x:v>
      </x:c>
      <x:c r="P3541" t="str">
        <x:v>TEKNIK/ARSITEKTUR/STATISTIKA/AKTUARIA</x:v>
      </x:c>
      <x:c r="Q3541" s="18" t="n">
        <x:v>0</x:v>
      </x:c>
      <x:c r="R3541" s="18" t="n">
        <x:v>0</x:v>
      </x:c>
      <x:c r="S3541" s="18" t="n">
        <x:v>644.8395864726438</x:v>
      </x:c>
      <x:c r="T3541" s="18" t="n">
        <x:v>691</x:v>
      </x:c>
      <x:c r="U3541" s="18" t="n">
        <x:v>654.8395864726438</x:v>
      </x:c>
      <x:c r="V3541" s="20" t="n">
        <x:v>12</x:v>
      </x:c>
      <x:c r="W3541" s="20" t="n">
        <x:v>5</x:v>
      </x:c>
      <x:c r="X3541" s="20" t="n">
        <x:v>3</x:v>
      </x:c>
      <x:c r="Y3541" t="str">
        <x:v>Basis arsip 2025/2024</x:v>
      </x:c>
      <x:c r="Z3541" t="str">
        <x:v>https://snpmb.id/utbk-snbt/daya-tampung-snbt</x:v>
      </x:c>
      <x:c r="AA3541" t="str">
        <x:v>Tidak Ada</x:v>
      </x:c>
      <x:c r="AB3541" t="str">
        <x:v>Campus=55; Ratio=66.8; Prodi=60; RelDemand=100.0; Capacity=76.7</x:v>
      </x:c>
    </x:row>
    <x:row r="3542">
      <x:c r="A3542" t="n">
        <x:v>3539</x:v>
      </x:c>
      <x:c r="B3542" t="str">
        <x:v>PTN Akademik</x:v>
      </x:c>
      <x:c r="C3542" t="str">
        <x:v>UNIVERSITAS HALUOLEO</x:v>
      </x:c>
      <x:c r="D3542" t="str">
        <x:v>STATISTIKA</x:v>
      </x:c>
      <x:c r="E3542" t="str">
        <x:v>Diploma Tiga</x:v>
      </x:c>
      <x:c r="F3542" s="18" t="n">
        <x:v>24</x:v>
      </x:c>
      <x:c r="G3542" s="18" t="n">
        <x:v>614</x:v>
      </x:c>
      <x:c r="H3542" s="19" t="n">
        <x:v>25.583333333333332</x:v>
      </x:c>
      <x:c r="I3542" s="18" t="n">
        <x:f>ROUND(MIN(Model_Config_v3!$B$6,MAX(Q3542,R3542,S3542*Model_Config_v3!$B$4+T3542*Model_Config_v3!$B$5)),0)</x:f>
        <x:v>692</x:v>
      </x:c>
      <x:c r="J3542" s="18" t="n">
        <x:f>MIN(Model_Config_v3!$B$6,I3542+Model_Config_v3!$B$7)</x:f>
        <x:v>712</x:v>
      </x:c>
      <x:c r="K3542" s="20" t="n">
        <x:v>70</x:v>
      </x:c>
      <x:c r="L3542" t="str">
        <x:v>SANGAT KETAT</x:v>
      </x:c>
      <x:c r="M3542" t="str">
        <x:v>SEDANG+</x:v>
      </x:c>
      <x:c r="N3542" t="str">
        <x:v>REGULER</x:v>
      </x:c>
      <x:c r="O3542" t="str">
        <x:v>SAINTEK</x:v>
      </x:c>
      <x:c r="P3542" t="str">
        <x:v>TEKNIK/ARSITEKTUR/STATISTIKA/AKTUARIA</x:v>
      </x:c>
      <x:c r="Q3542" s="18" t="n">
        <x:v>0</x:v>
      </x:c>
      <x:c r="R3542" s="18" t="n">
        <x:v>0</x:v>
      </x:c>
      <x:c r="S3542" s="18" t="n">
        <x:v>674.8752842372518</x:v>
      </x:c>
      <x:c r="T3542" s="18" t="n">
        <x:v>700</x:v>
      </x:c>
      <x:c r="U3542" s="18" t="n">
        <x:v>684.8752842372518</x:v>
      </x:c>
      <x:c r="V3542" s="20" t="n">
        <x:v>12</x:v>
      </x:c>
      <x:c r="W3542" s="20" t="n">
        <x:v>5</x:v>
      </x:c>
      <x:c r="X3542" s="20" t="n">
        <x:v>3</x:v>
      </x:c>
      <x:c r="Y3542" t="str">
        <x:v>Basis arsip 2025/2024</x:v>
      </x:c>
      <x:c r="Z3542" t="str">
        <x:v>https://snpmb.id/utbk-snbt/daya-tampung-snbt</x:v>
      </x:c>
      <x:c r="AA3542" t="str">
        <x:v>Tidak Ada</x:v>
      </x:c>
      <x:c r="AB3542" t="str">
        <x:v>Campus=55; Ratio=82.9; Prodi=60; RelDemand=100.0; Capacity=80.0</x:v>
      </x:c>
    </x:row>
    <x:row r="3543">
      <x:c r="A3543" t="n">
        <x:v>3540</x:v>
      </x:c>
      <x:c r="B3543" t="str">
        <x:v>PTN Akademik</x:v>
      </x:c>
      <x:c r="C3543" t="str">
        <x:v>UNIVERSITAS HALUOLEO</x:v>
      </x:c>
      <x:c r="D3543" t="str">
        <x:v>TEKNIK ARSITEKTUR</x:v>
      </x:c>
      <x:c r="E3543" t="str">
        <x:v>Diploma Tiga</x:v>
      </x:c>
      <x:c r="F3543" s="18" t="n">
        <x:v>28</x:v>
      </x:c>
      <x:c r="G3543" s="18" t="n">
        <x:v>568</x:v>
      </x:c>
      <x:c r="H3543" s="19" t="n">
        <x:v>20.285714285714285</x:v>
      </x:c>
      <x:c r="I3543" s="18" t="n">
        <x:f>ROUND(MIN(Model_Config_v3!$B$6,MAX(Q3543,R3543,S3543*Model_Config_v3!$B$4+T3543*Model_Config_v3!$B$5)),0)</x:f>
        <x:v>686</x:v>
      </x:c>
      <x:c r="J3543" s="18" t="n">
        <x:f>MIN(Model_Config_v3!$B$6,I3543+Model_Config_v3!$B$7)</x:f>
        <x:v>706</x:v>
      </x:c>
      <x:c r="K3543" s="20" t="n">
        <x:v>68.2</x:v>
      </x:c>
      <x:c r="L3543" t="str">
        <x:v>SANGAT KETAT</x:v>
      </x:c>
      <x:c r="M3543" t="str">
        <x:v>SEDANG+</x:v>
      </x:c>
      <x:c r="N3543" t="str">
        <x:v>REGULER</x:v>
      </x:c>
      <x:c r="O3543" t="str">
        <x:v>SAINTEK</x:v>
      </x:c>
      <x:c r="P3543" t="str">
        <x:v>TEKNIK/ARSITEKTUR/STATISTIKA/AKTUARIA</x:v>
      </x:c>
      <x:c r="Q3543" s="18" t="n">
        <x:v>0</x:v>
      </x:c>
      <x:c r="R3543" s="18" t="n">
        <x:v>0</x:v>
      </x:c>
      <x:c r="S3543" s="18" t="n">
        <x:v>663.7909334805679</x:v>
      </x:c>
      <x:c r="T3543" s="18" t="n">
        <x:v>696</x:v>
      </x:c>
      <x:c r="U3543" s="18" t="n">
        <x:v>673.7909334805679</x:v>
      </x:c>
      <x:c r="V3543" s="20" t="n">
        <x:v>12</x:v>
      </x:c>
      <x:c r="W3543" s="20" t="n">
        <x:v>5</x:v>
      </x:c>
      <x:c r="X3543" s="20" t="n">
        <x:v>3</x:v>
      </x:c>
      <x:c r="Y3543" t="str">
        <x:v>Basis arsip 2025/2024</x:v>
      </x:c>
      <x:c r="Z3543" t="str">
        <x:v>https://snpmb.id/utbk-snbt/daya-tampung-snbt</x:v>
      </x:c>
      <x:c r="AA3543" t="str">
        <x:v>Tidak Ada</x:v>
      </x:c>
      <x:c r="AB3543" t="str">
        <x:v>Campus=55; Ratio=76.9; Prodi=60; RelDemand=100.0; Capacity=76.7</x:v>
      </x:c>
    </x:row>
    <x:row r="3544">
      <x:c r="A3544" t="n">
        <x:v>3541</x:v>
      </x:c>
      <x:c r="B3544" t="str">
        <x:v>PTN Akademik</x:v>
      </x:c>
      <x:c r="C3544" t="str">
        <x:v>UNIVERSITAS HALUOLEO</x:v>
      </x:c>
      <x:c r="D3544" t="str">
        <x:v>TEKNIK MESIN</x:v>
      </x:c>
      <x:c r="E3544" t="str">
        <x:v>Diploma Tiga</x:v>
      </x:c>
      <x:c r="F3544" s="18" t="n">
        <x:v>30</x:v>
      </x:c>
      <x:c r="G3544" s="18" t="n">
        <x:v>368</x:v>
      </x:c>
      <x:c r="H3544" s="19" t="n">
        <x:v>12.266666666666667</x:v>
      </x:c>
      <x:c r="I3544" s="18" t="n">
        <x:f>ROUND(MIN(Model_Config_v3!$B$6,MAX(Q3544,R3544,S3544*Model_Config_v3!$B$4+T3544*Model_Config_v3!$B$5)),0)</x:f>
        <x:v>675</x:v>
      </x:c>
      <x:c r="J3544" s="18" t="n">
        <x:f>MIN(Model_Config_v3!$B$6,I3544+Model_Config_v3!$B$7)</x:f>
        <x:v>695</x:v>
      </x:c>
      <x:c r="K3544" s="20" t="n">
        <x:v>64.8</x:v>
      </x:c>
      <x:c r="L3544" t="str">
        <x:v>KETAT</x:v>
      </x:c>
      <x:c r="M3544" t="str">
        <x:v>SEDANG+</x:v>
      </x:c>
      <x:c r="N3544" t="str">
        <x:v>REGULER</x:v>
      </x:c>
      <x:c r="O3544" t="str">
        <x:v>SAINTEK</x:v>
      </x:c>
      <x:c r="P3544" t="str">
        <x:v>TEKNIK/ARSITEKTUR/STATISTIKA/AKTUARIA</x:v>
      </x:c>
      <x:c r="Q3544" s="18" t="n">
        <x:v>0</x:v>
      </x:c>
      <x:c r="R3544" s="18" t="n">
        <x:v>0</x:v>
      </x:c>
      <x:c r="S3544" s="18" t="n">
        <x:v>639.7599220349241</x:v>
      </x:c>
      <x:c r="T3544" s="18" t="n">
        <x:v>690</x:v>
      </x:c>
      <x:c r="U3544" s="18" t="n">
        <x:v>649.7599220349241</x:v>
      </x:c>
      <x:c r="V3544" s="20" t="n">
        <x:v>12</x:v>
      </x:c>
      <x:c r="W3544" s="20" t="n">
        <x:v>5</x:v>
      </x:c>
      <x:c r="X3544" s="20" t="n">
        <x:v>3</x:v>
      </x:c>
      <x:c r="Y3544" t="str">
        <x:v>Basis arsip 2025/2024</x:v>
      </x:c>
      <x:c r="Z3544" t="str">
        <x:v>https://snpmb.id/utbk-snbt/daya-tampung-snbt</x:v>
      </x:c>
      <x:c r="AA3544" t="str">
        <x:v>Tidak Ada</x:v>
      </x:c>
      <x:c r="AB3544" t="str">
        <x:v>Campus=55; Ratio=64.1; Prodi=60; RelDemand=100.0; Capacity=75.0</x:v>
      </x:c>
    </x:row>
    <x:row r="3545">
      <x:c r="A3545" t="n">
        <x:v>3542</x:v>
      </x:c>
      <x:c r="B3545" t="str">
        <x:v>PTN Akademik</x:v>
      </x:c>
      <x:c r="C3545" t="str">
        <x:v>UNIVERSITAS NEGERI GORONTALO</x:v>
      </x:c>
      <x:c r="D3545" t="str">
        <x:v>PENDIDIKAN MATEMATIKA</x:v>
      </x:c>
      <x:c r="E3545" t="str">
        <x:v>Sarjana</x:v>
      </x:c>
      <x:c r="F3545" s="18" t="n">
        <x:v>42</x:v>
      </x:c>
      <x:c r="G3545" s="18" t="n">
        <x:v>39</x:v>
      </x:c>
      <x:c r="H3545" s="19" t="n">
        <x:v>0.9285714285714286</x:v>
      </x:c>
      <x:c r="I3545" s="18" t="n">
        <x:f>ROUND(MIN(Model_Config_v3!$B$6,MAX(Q3545,R3545,S3545*Model_Config_v3!$B$4+T3545*Model_Config_v3!$B$5)),0)</x:f>
        <x:v>598</x:v>
      </x:c>
      <x:c r="J3545" s="18" t="n">
        <x:f>MIN(Model_Config_v3!$B$6,I3545+Model_Config_v3!$B$7)</x:f>
        <x:v>618</x:v>
      </x:c>
      <x:c r="K3545" s="20" t="n">
        <x:v>36</x:v>
      </x:c>
      <x:c r="L3545" t="str">
        <x:v>RELATIF LONGGAR</x:v>
      </x:c>
      <x:c r="M3545" t="str">
        <x:v>SEDANG+</x:v>
      </x:c>
      <x:c r="N3545" t="str">
        <x:v>REGULER</x:v>
      </x:c>
      <x:c r="O3545" t="str">
        <x:v>SAINTEK</x:v>
      </x:c>
      <x:c r="P3545" t="str">
        <x:v>PENDIDIKAN</x:v>
      </x:c>
      <x:c r="Q3545" s="18" t="n">
        <x:v>0</x:v>
      </x:c>
      <x:c r="R3545" s="18" t="n">
        <x:v>0</x:v>
      </x:c>
      <x:c r="S3545" s="18" t="n">
        <x:v>520</x:v>
      </x:c>
      <x:c r="T3545" s="18" t="n">
        <x:v>632</x:v>
      </x:c>
      <x:c r="U3545" s="18" t="n">
        <x:v>520</x:v>
      </x:c>
      <x:c r="V3545" s="20" t="n">
        <x:v>12</x:v>
      </x:c>
      <x:c r="W3545" s="20" t="n">
        <x:v>5</x:v>
      </x:c>
      <x:c r="X3545" s="20" t="n">
        <x:v>3</x:v>
      </x:c>
      <x:c r="Y3545" t="str">
        <x:v>Basis arsip 2025/2024</x:v>
      </x:c>
      <x:c r="Z3545" t="str">
        <x:v>https://snpmb.id/utbk-snbt/daya-tampung-snbt</x:v>
      </x:c>
      <x:c r="AA3545" t="str">
        <x:v>Tidak Ada</x:v>
      </x:c>
      <x:c r="AB3545" t="str">
        <x:v>Campus=55; Ratio=0.0; Prodi=45; RelDemand=12.3; Capacity=65.0</x:v>
      </x:c>
    </x:row>
    <x:row r="3546">
      <x:c r="A3546" t="n">
        <x:v>3543</x:v>
      </x:c>
      <x:c r="B3546" t="str">
        <x:v>PTN Akademik</x:v>
      </x:c>
      <x:c r="C3546" t="str">
        <x:v>UNIVERSITAS NEGERI GORONTALO</x:v>
      </x:c>
      <x:c r="D3546" t="str">
        <x:v>PENDIDIKAN FISIKA</x:v>
      </x:c>
      <x:c r="E3546" t="str">
        <x:v>Sarjana</x:v>
      </x:c>
      <x:c r="F3546" s="18" t="n">
        <x:v>16</x:v>
      </x:c>
      <x:c r="G3546" s="18" t="n">
        <x:v>23</x:v>
      </x:c>
      <x:c r="H3546" s="19" t="n">
        <x:v>1.4375</x:v>
      </x:c>
      <x:c r="I3546" s="18" t="n">
        <x:f>ROUND(MIN(Model_Config_v3!$B$6,MAX(Q3546,R3546,S3546*Model_Config_v3!$B$4+T3546*Model_Config_v3!$B$5)),0)</x:f>
        <x:v>611</x:v>
      </x:c>
      <x:c r="J3546" s="18" t="n">
        <x:f>MIN(Model_Config_v3!$B$6,I3546+Model_Config_v3!$B$7)</x:f>
        <x:v>631</x:v>
      </x:c>
      <x:c r="K3546" s="20" t="n">
        <x:v>41.1</x:v>
      </x:c>
      <x:c r="L3546" t="str">
        <x:v>RELATIF LONGGAR</x:v>
      </x:c>
      <x:c r="M3546" t="str">
        <x:v>SEDANG+</x:v>
      </x:c>
      <x:c r="N3546" t="str">
        <x:v>REGULER</x:v>
      </x:c>
      <x:c r="O3546" t="str">
        <x:v>SAINTEK</x:v>
      </x:c>
      <x:c r="P3546" t="str">
        <x:v>PENDIDIKAN</x:v>
      </x:c>
      <x:c r="Q3546" s="18" t="n">
        <x:v>0</x:v>
      </x:c>
      <x:c r="R3546" s="18" t="n">
        <x:v>0</x:v>
      </x:c>
      <x:c r="S3546" s="18" t="n">
        <x:v>537.3368638697835</x:v>
      </x:c>
      <x:c r="T3546" s="18" t="n">
        <x:v>642</x:v>
      </x:c>
      <x:c r="U3546" s="18" t="n">
        <x:v>537.3368638697835</x:v>
      </x:c>
      <x:c r="V3546" s="20" t="n">
        <x:v>12</x:v>
      </x:c>
      <x:c r="W3546" s="20" t="n">
        <x:v>5</x:v>
      </x:c>
      <x:c r="X3546" s="20" t="n">
        <x:v>3</x:v>
      </x:c>
      <x:c r="Y3546" t="str">
        <x:v>Basis arsip 2025/2024</x:v>
      </x:c>
      <x:c r="Z3546" t="str">
        <x:v>https://snpmb.id/utbk-snbt/daya-tampung-snbt</x:v>
      </x:c>
      <x:c r="AA3546" t="str">
        <x:v>Tidak Ada</x:v>
      </x:c>
      <x:c r="AB3546" t="str">
        <x:v>Campus=55; Ratio=9.3; Prodi=45; RelDemand=19.1; Capacity=86.7</x:v>
      </x:c>
    </x:row>
    <x:row r="3547">
      <x:c r="A3547" t="n">
        <x:v>3544</x:v>
      </x:c>
      <x:c r="B3547" t="str">
        <x:v>PTN Akademik</x:v>
      </x:c>
      <x:c r="C3547" t="str">
        <x:v>UNIVERSITAS NEGERI GORONTALO</x:v>
      </x:c>
      <x:c r="D3547" t="str">
        <x:v>PENDIDIKAN BIOLOGI</x:v>
      </x:c>
      <x:c r="E3547" t="str">
        <x:v>Sarjana</x:v>
      </x:c>
      <x:c r="F3547" s="18" t="n">
        <x:v>29</x:v>
      </x:c>
      <x:c r="G3547" s="18" t="n">
        <x:v>50</x:v>
      </x:c>
      <x:c r="H3547" s="19" t="n">
        <x:v>1.7241379310344827</x:v>
      </x:c>
      <x:c r="I3547" s="18" t="n">
        <x:f>ROUND(MIN(Model_Config_v3!$B$6,MAX(Q3547,R3547,S3547*Model_Config_v3!$B$4+T3547*Model_Config_v3!$B$5)),0)</x:f>
        <x:v>614</x:v>
      </x:c>
      <x:c r="J3547" s="18" t="n">
        <x:f>MIN(Model_Config_v3!$B$6,I3547+Model_Config_v3!$B$7)</x:f>
        <x:v>634</x:v>
      </x:c>
      <x:c r="K3547" s="20" t="n">
        <x:v>41.6</x:v>
      </x:c>
      <x:c r="L3547" t="str">
        <x:v>RELATIF LONGGAR</x:v>
      </x:c>
      <x:c r="M3547" t="str">
        <x:v>SEDANG+</x:v>
      </x:c>
      <x:c r="N3547" t="str">
        <x:v>REGULER</x:v>
      </x:c>
      <x:c r="O3547" t="str">
        <x:v>SAINTEK</x:v>
      </x:c>
      <x:c r="P3547" t="str">
        <x:v>PENDIDIKAN</x:v>
      </x:c>
      <x:c r="Q3547" s="18" t="n">
        <x:v>0</x:v>
      </x:c>
      <x:c r="R3547" s="18" t="n">
        <x:v>0</x:v>
      </x:c>
      <x:c r="S3547" s="18" t="n">
        <x:v>546.0229207080769</x:v>
      </x:c>
      <x:c r="T3547" s="18" t="n">
        <x:v>643</x:v>
      </x:c>
      <x:c r="U3547" s="18" t="n">
        <x:v>546.0229207080769</x:v>
      </x:c>
      <x:c r="V3547" s="20" t="n">
        <x:v>12</x:v>
      </x:c>
      <x:c r="W3547" s="20" t="n">
        <x:v>5</x:v>
      </x:c>
      <x:c r="X3547" s="20" t="n">
        <x:v>3</x:v>
      </x:c>
      <x:c r="Y3547" t="str">
        <x:v>Basis arsip 2025/2024</x:v>
      </x:c>
      <x:c r="Z3547" t="str">
        <x:v>https://snpmb.id/utbk-snbt/daya-tampung-snbt</x:v>
      </x:c>
      <x:c r="AA3547" t="str">
        <x:v>Tidak Ada</x:v>
      </x:c>
      <x:c r="AB3547" t="str">
        <x:v>Campus=55; Ratio=13.9; Prodi=45; RelDemand=22.9; Capacity=75.8</x:v>
      </x:c>
    </x:row>
    <x:row r="3548">
      <x:c r="A3548" t="n">
        <x:v>3545</x:v>
      </x:c>
      <x:c r="B3548" t="str">
        <x:v>PTN Akademik</x:v>
      </x:c>
      <x:c r="C3548" t="str">
        <x:v>UNIVERSITAS NEGERI GORONTALO</x:v>
      </x:c>
      <x:c r="D3548" t="str">
        <x:v>PENDIDIKAN KIMIA</x:v>
      </x:c>
      <x:c r="E3548" t="str">
        <x:v>Sarjana</x:v>
      </x:c>
      <x:c r="F3548" s="18" t="n">
        <x:v>12</x:v>
      </x:c>
      <x:c r="G3548" s="18" t="n">
        <x:v>10</x:v>
      </x:c>
      <x:c r="H3548" s="19" t="n">
        <x:v>0.8333333333333334</x:v>
      </x:c>
      <x:c r="I3548" s="18" t="n">
        <x:f>ROUND(MIN(Model_Config_v3!$B$6,MAX(Q3548,R3548,S3548*Model_Config_v3!$B$4+T3548*Model_Config_v3!$B$5)),0)</x:f>
        <x:v>602</x:v>
      </x:c>
      <x:c r="J3548" s="18" t="n">
        <x:f>MIN(Model_Config_v3!$B$6,I3548+Model_Config_v3!$B$7)</x:f>
        <x:v>622</x:v>
      </x:c>
      <x:c r="K3548" s="20" t="n">
        <x:v>38.4</x:v>
      </x:c>
      <x:c r="L3548" t="str">
        <x:v>RELATIF LONGGAR</x:v>
      </x:c>
      <x:c r="M3548" t="str">
        <x:v>SEDANG+</x:v>
      </x:c>
      <x:c r="N3548" t="str">
        <x:v>REGULER</x:v>
      </x:c>
      <x:c r="O3548" t="str">
        <x:v>SAINTEK</x:v>
      </x:c>
      <x:c r="P3548" t="str">
        <x:v>PENDIDIKAN</x:v>
      </x:c>
      <x:c r="Q3548" s="18" t="n">
        <x:v>0</x:v>
      </x:c>
      <x:c r="R3548" s="18" t="n">
        <x:v>0</x:v>
      </x:c>
      <x:c r="S3548" s="18" t="n">
        <x:v>520</x:v>
      </x:c>
      <x:c r="T3548" s="18" t="n">
        <x:v>637</x:v>
      </x:c>
      <x:c r="U3548" s="18" t="n">
        <x:v>520</x:v>
      </x:c>
      <x:c r="V3548" s="20" t="n">
        <x:v>12</x:v>
      </x:c>
      <x:c r="W3548" s="20" t="n">
        <x:v>5</x:v>
      </x:c>
      <x:c r="X3548" s="20" t="n">
        <x:v>3</x:v>
      </x:c>
      <x:c r="Y3548" t="str">
        <x:v>Basis arsip 2025/2024</x:v>
      </x:c>
      <x:c r="Z3548" t="str">
        <x:v>https://snpmb.id/utbk-snbt/daya-tampung-snbt</x:v>
      </x:c>
      <x:c r="AA3548" t="str">
        <x:v>Tidak Ada</x:v>
      </x:c>
      <x:c r="AB3548" t="str">
        <x:v>Campus=55; Ratio=0.0; Prodi=45; RelDemand=11.1; Capacity=90.0</x:v>
      </x:c>
    </x:row>
    <x:row r="3549">
      <x:c r="A3549" t="n">
        <x:v>3546</x:v>
      </x:c>
      <x:c r="B3549" t="str">
        <x:v>PTN Akademik</x:v>
      </x:c>
      <x:c r="C3549" t="str">
        <x:v>UNIVERSITAS NEGERI GORONTALO</x:v>
      </x:c>
      <x:c r="D3549" t="str">
        <x:v>AGROTEKNOLOGI</x:v>
      </x:c>
      <x:c r="E3549" t="str">
        <x:v>Sarjana</x:v>
      </x:c>
      <x:c r="F3549" s="18" t="n">
        <x:v>40</x:v>
      </x:c>
      <x:c r="G3549" s="18" t="n">
        <x:v>52</x:v>
      </x:c>
      <x:c r="H3549" s="19" t="n">
        <x:v>1.3</x:v>
      </x:c>
      <x:c r="I3549" s="18" t="n">
        <x:f>ROUND(MIN(Model_Config_v3!$B$6,MAX(Q3549,R3549,S3549*Model_Config_v3!$B$4+T3549*Model_Config_v3!$B$5)),0)</x:f>
        <x:v>604</x:v>
      </x:c>
      <x:c r="J3549" s="18" t="n">
        <x:f>MIN(Model_Config_v3!$B$6,I3549+Model_Config_v3!$B$7)</x:f>
        <x:v>624</x:v>
      </x:c>
      <x:c r="K3549" s="20" t="n">
        <x:v>37.3</x:v>
      </x:c>
      <x:c r="L3549" t="str">
        <x:v>RELATIF LONGGAR</x:v>
      </x:c>
      <x:c r="M3549" t="str">
        <x:v>SEDANG</x:v>
      </x:c>
      <x:c r="N3549" t="str">
        <x:v>REGULER</x:v>
      </x:c>
      <x:c r="O3549" t="str">
        <x:v>SAINTEK</x:v>
      </x:c>
      <x:c r="P3549" t="str">
        <x:v>UMUM</x:v>
      </x:c>
      <x:c r="Q3549" s="18" t="n">
        <x:v>0</x:v>
      </x:c>
      <x:c r="R3549" s="18" t="n">
        <x:v>0</x:v>
      </x:c>
      <x:c r="S3549" s="18" t="n">
        <x:v>532.533768753752</x:v>
      </x:c>
      <x:c r="T3549" s="18" t="n">
        <x:v>635</x:v>
      </x:c>
      <x:c r="U3549" s="18" t="n">
        <x:v>532.533768753752</x:v>
      </x:c>
      <x:c r="V3549" s="20" t="n">
        <x:v>12</x:v>
      </x:c>
      <x:c r="W3549" s="20" t="n">
        <x:v>5</x:v>
      </x:c>
      <x:c r="X3549" s="20" t="n">
        <x:v>3</x:v>
      </x:c>
      <x:c r="Y3549" t="str">
        <x:v>Basis arsip 2025/2024</x:v>
      </x:c>
      <x:c r="Z3549" t="str">
        <x:v>https://snpmb.id/utbk-snbt/daya-tampung-snbt</x:v>
      </x:c>
      <x:c r="AA3549" t="str">
        <x:v>Tidak Ada</x:v>
      </x:c>
      <x:c r="AB3549" t="str">
        <x:v>Campus=55; Ratio=6.7; Prodi=40; RelDemand=17.3; Capacity=66.7</x:v>
      </x:c>
    </x:row>
    <x:row r="3550">
      <x:c r="A3550" t="n">
        <x:v>3547</x:v>
      </x:c>
      <x:c r="B3550" t="str">
        <x:v>PTN Akademik</x:v>
      </x:c>
      <x:c r="C3550" t="str">
        <x:v>UNIVERSITAS NEGERI GORONTALO</x:v>
      </x:c>
      <x:c r="D3550" t="str">
        <x:v>SISTEM INFORMASI</x:v>
      </x:c>
      <x:c r="E3550" t="str">
        <x:v>Sarjana</x:v>
      </x:c>
      <x:c r="F3550" s="18" t="n">
        <x:v>60</x:v>
      </x:c>
      <x:c r="G3550" s="18" t="n">
        <x:v>327</x:v>
      </x:c>
      <x:c r="H3550" s="19" t="n">
        <x:v>5.45</x:v>
      </x:c>
      <x:c r="I3550" s="18" t="n">
        <x:f>ROUND(MIN(Model_Config_v3!$B$6,MAX(Q3550,R3550,S3550*Model_Config_v3!$B$4+T3550*Model_Config_v3!$B$5)),0)</x:f>
        <x:v>656</x:v>
      </x:c>
      <x:c r="J3550" s="18" t="n">
        <x:f>MIN(Model_Config_v3!$B$6,I3550+Model_Config_v3!$B$7)</x:f>
        <x:v>676</x:v>
      </x:c>
      <x:c r="K3550" s="20" t="n">
        <x:v>59.3</x:v>
      </x:c>
      <x:c r="L3550" t="str">
        <x:v>KETAT</x:v>
      </x:c>
      <x:c r="M3550" t="str">
        <x:v>SEDANG+</x:v>
      </x:c>
      <x:c r="N3550" t="str">
        <x:v>REGULER</x:v>
      </x:c>
      <x:c r="O3550" t="str">
        <x:v>CAMPURAN</x:v>
      </x:c>
      <x:c r="P3550" t="str">
        <x:v>KOMPUTER/INFORMATIKA</x:v>
      </x:c>
      <x:c r="Q3550" s="18" t="n">
        <x:v>0</x:v>
      </x:c>
      <x:c r="R3550" s="18" t="n">
        <x:v>0</x:v>
      </x:c>
      <x:c r="S3550" s="18" t="n">
        <x:v>601.0036152504307</x:v>
      </x:c>
      <x:c r="T3550" s="18" t="n">
        <x:v>679</x:v>
      </x:c>
      <x:c r="U3550" s="18" t="n">
        <x:v>626.0036152504307</x:v>
      </x:c>
      <x:c r="V3550" s="20" t="n">
        <x:v>8.8</x:v>
      </x:c>
      <x:c r="W3550" s="20" t="n">
        <x:v>9.9</x:v>
      </x:c>
      <x:c r="X3550" s="20" t="n">
        <x:v>3.3</x:v>
      </x:c>
      <x:c r="Y3550" t="str">
        <x:v>Basis arsip 2025/2024</x:v>
      </x:c>
      <x:c r="Z3550" t="str">
        <x:v>https://snpmb.id/utbk-snbt/daya-tampung-snbt</x:v>
      </x:c>
      <x:c r="AA3550" t="str">
        <x:v>Tidak Ada</x:v>
      </x:c>
      <x:c r="AB3550" t="str">
        <x:v>Campus=55; Ratio=43.3; Prodi=85; RelDemand=72.4; Capacity=50.0</x:v>
      </x:c>
    </x:row>
    <x:row r="3551">
      <x:c r="A3551" t="n">
        <x:v>3548</x:v>
      </x:c>
      <x:c r="B3551" t="str">
        <x:v>PTN Akademik</x:v>
      </x:c>
      <x:c r="C3551" t="str">
        <x:v>UNIVERSITAS NEGERI GORONTALO</x:v>
      </x:c>
      <x:c r="D3551" t="str">
        <x:v>TEKNIK ELEKTRO</x:v>
      </x:c>
      <x:c r="E3551" t="str">
        <x:v>Sarjana</x:v>
      </x:c>
      <x:c r="F3551" s="18" t="n">
        <x:v>35</x:v>
      </x:c>
      <x:c r="G3551" s="18" t="n">
        <x:v>40</x:v>
      </x:c>
      <x:c r="H3551" s="19" t="n">
        <x:v>1.1428571428571428</x:v>
      </x:c>
      <x:c r="I3551" s="18" t="n">
        <x:f>ROUND(MIN(Model_Config_v3!$B$6,MAX(Q3551,R3551,S3551*Model_Config_v3!$B$4+T3551*Model_Config_v3!$B$5)),0)</x:f>
        <x:v>607</x:v>
      </x:c>
      <x:c r="J3551" s="18" t="n">
        <x:f>MIN(Model_Config_v3!$B$6,I3551+Model_Config_v3!$B$7)</x:f>
        <x:v>627</x:v>
      </x:c>
      <x:c r="K3551" s="20" t="n">
        <x:v>40.7</x:v>
      </x:c>
      <x:c r="L3551" t="str">
        <x:v>RELATIF LONGGAR</x:v>
      </x:c>
      <x:c r="M3551" t="str">
        <x:v>SEDANG+</x:v>
      </x:c>
      <x:c r="N3551" t="str">
        <x:v>REGULER</x:v>
      </x:c>
      <x:c r="O3551" t="str">
        <x:v>SAINTEK</x:v>
      </x:c>
      <x:c r="P3551" t="str">
        <x:v>TEKNIK/ARSITEKTUR/STATISTIKA/AKTUARIA</x:v>
      </x:c>
      <x:c r="Q3551" s="18" t="n">
        <x:v>0</x:v>
      </x:c>
      <x:c r="R3551" s="18" t="n">
        <x:v>0</x:v>
      </x:c>
      <x:c r="S3551" s="18" t="n">
        <x:v>526.3791141675456</x:v>
      </x:c>
      <x:c r="T3551" s="18" t="n">
        <x:v>641</x:v>
      </x:c>
      <x:c r="U3551" s="18" t="n">
        <x:v>536.3791141675456</x:v>
      </x:c>
      <x:c r="V3551" s="20" t="n">
        <x:v>12</x:v>
      </x:c>
      <x:c r="W3551" s="20" t="n">
        <x:v>5</x:v>
      </x:c>
      <x:c r="X3551" s="20" t="n">
        <x:v>3</x:v>
      </x:c>
      <x:c r="Y3551" t="str">
        <x:v>Basis arsip 2025/2024</x:v>
      </x:c>
      <x:c r="Z3551" t="str">
        <x:v>https://snpmb.id/utbk-snbt/daya-tampung-snbt</x:v>
      </x:c>
      <x:c r="AA3551" t="str">
        <x:v>Tidak Ada</x:v>
      </x:c>
      <x:c r="AB3551" t="str">
        <x:v>Campus=55; Ratio=3.4; Prodi=60; RelDemand=15.2; Capacity=70.8</x:v>
      </x:c>
    </x:row>
    <x:row r="3552">
      <x:c r="A3552" t="n">
        <x:v>3549</x:v>
      </x:c>
      <x:c r="B3552" t="str">
        <x:v>PTN Akademik</x:v>
      </x:c>
      <x:c r="C3552" t="str">
        <x:v>UNIVERSITAS NEGERI GORONTALO</x:v>
      </x:c>
      <x:c r="D3552" t="str">
        <x:v>AGRIBISNIS</x:v>
      </x:c>
      <x:c r="E3552" t="str">
        <x:v>Sarjana</x:v>
      </x:c>
      <x:c r="F3552" s="18" t="n">
        <x:v>40</x:v>
      </x:c>
      <x:c r="G3552" s="18" t="n">
        <x:v>100</x:v>
      </x:c>
      <x:c r="H3552" s="19" t="n">
        <x:v>2.5</x:v>
      </x:c>
      <x:c r="I3552" s="18" t="n">
        <x:f>ROUND(MIN(Model_Config_v3!$B$6,MAX(Q3552,R3552,S3552*Model_Config_v3!$B$4+T3552*Model_Config_v3!$B$5)),0)</x:f>
        <x:v>628</x:v>
      </x:c>
      <x:c r="J3552" s="18" t="n">
        <x:f>MIN(Model_Config_v3!$B$6,I3552+Model_Config_v3!$B$7)</x:f>
        <x:v>648</x:v>
      </x:c>
      <x:c r="K3552" s="20" t="n">
        <x:v>48.1</x:v>
      </x:c>
      <x:c r="L3552" t="str">
        <x:v>MENENGAH</x:v>
      </x:c>
      <x:c r="M3552" t="str">
        <x:v>SEDANG+</x:v>
      </x:c>
      <x:c r="N3552" t="str">
        <x:v>REGULER</x:v>
      </x:c>
      <x:c r="O3552" t="str">
        <x:v>SOSHUM</x:v>
      </x:c>
      <x:c r="P3552" t="str">
        <x:v>BISNIS/EKONOMI/AKUNTANSI</x:v>
      </x:c>
      <x:c r="Q3552" s="18" t="n">
        <x:v>0</x:v>
      </x:c>
      <x:c r="R3552" s="18" t="n">
        <x:v>0</x:v>
      </x:c>
      <x:c r="S3552" s="18" t="n">
        <x:v>563.7734009539241</x:v>
      </x:c>
      <x:c r="T3552" s="18" t="n">
        <x:v>656</x:v>
      </x:c>
      <x:c r="U3552" s="18" t="n">
        <x:v>578.7734009539241</x:v>
      </x:c>
      <x:c r="V3552" s="20" t="n">
        <x:v>4.4</x:v>
      </x:c>
      <x:c r="W3552" s="20" t="n">
        <x:v>14.3</x:v>
      </x:c>
      <x:c r="X3552" s="20" t="n">
        <x:v>3.3</x:v>
      </x:c>
      <x:c r="Y3552" t="str">
        <x:v>Basis arsip 2025/2024</x:v>
      </x:c>
      <x:c r="Z3552" t="str">
        <x:v>https://snpmb.id/utbk-snbt/daya-tampung-snbt</x:v>
      </x:c>
      <x:c r="AA3552" t="str">
        <x:v>Tidak Ada</x:v>
      </x:c>
      <x:c r="AB3552" t="str">
        <x:v>Campus=55; Ratio=23.4; Prodi=65; RelDemand=33.2; Capacity=66.7</x:v>
      </x:c>
    </x:row>
    <x:row r="3553">
      <x:c r="A3553" t="n">
        <x:v>3550</x:v>
      </x:c>
      <x:c r="B3553" t="str">
        <x:v>PTN Akademik</x:v>
      </x:c>
      <x:c r="C3553" t="str">
        <x:v>UNIVERSITAS NEGERI GORONTALO</x:v>
      </x:c>
      <x:c r="D3553" t="str">
        <x:v>KESEHATAN MASYARAKAT</x:v>
      </x:c>
      <x:c r="E3553" t="str">
        <x:v>Sarjana</x:v>
      </x:c>
      <x:c r="F3553" s="18" t="n">
        <x:v>48</x:v>
      </x:c>
      <x:c r="G3553" s="18" t="n">
        <x:v>742</x:v>
      </x:c>
      <x:c r="H3553" s="19" t="n">
        <x:v>15.458333333333334</x:v>
      </x:c>
      <x:c r="I3553" s="18" t="n">
        <x:f>ROUND(MIN(Model_Config_v3!$B$6,MAX(Q3553,R3553,S3553*Model_Config_v3!$B$4+T3553*Model_Config_v3!$B$5)),0)</x:f>
        <x:v>676</x:v>
      </x:c>
      <x:c r="J3553" s="18" t="n">
        <x:f>MIN(Model_Config_v3!$B$6,I3553+Model_Config_v3!$B$7)</x:f>
        <x:v>696</x:v>
      </x:c>
      <x:c r="K3553" s="20" t="n">
        <x:v>63.7</x:v>
      </x:c>
      <x:c r="L3553" t="str">
        <x:v>KETAT</x:v>
      </x:c>
      <x:c r="M3553" t="str">
        <x:v>SEDANG+</x:v>
      </x:c>
      <x:c r="N3553" t="str">
        <x:v>REGULER</x:v>
      </x:c>
      <x:c r="O3553" t="str">
        <x:v>SAINTEK</x:v>
      </x:c>
      <x:c r="P3553" t="str">
        <x:v>KESEHAT/GIZI/KEPERAWATAN</x:v>
      </x:c>
      <x:c r="Q3553" s="18" t="n">
        <x:v>0</x:v>
      </x:c>
      <x:c r="R3553" s="18" t="n">
        <x:v>0</x:v>
      </x:c>
      <x:c r="S3553" s="18" t="n">
        <x:v>650.8078934693783</x:v>
      </x:c>
      <x:c r="T3553" s="18" t="n">
        <x:v>687</x:v>
      </x:c>
      <x:c r="U3553" s="18" t="n">
        <x:v>650.8078934693783</x:v>
      </x:c>
      <x:c r="V3553" s="20" t="n">
        <x:v>12</x:v>
      </x:c>
      <x:c r="W3553" s="20" t="n">
        <x:v>5</x:v>
      </x:c>
      <x:c r="X3553" s="20" t="n">
        <x:v>3</x:v>
      </x:c>
      <x:c r="Y3553" t="str">
        <x:v>Basis arsip 2025/2024</x:v>
      </x:c>
      <x:c r="Z3553" t="str">
        <x:v>https://snpmb.id/utbk-snbt/daya-tampung-snbt</x:v>
      </x:c>
      <x:c r="AA3553" t="str">
        <x:v>Tidak Ada</x:v>
      </x:c>
      <x:c r="AB3553" t="str">
        <x:v>Campus=55; Ratio=70.0; Prodi=55; RelDemand=100.0; Capacity=60.0</x:v>
      </x:c>
    </x:row>
    <x:row r="3554">
      <x:c r="A3554" t="n">
        <x:v>3551</x:v>
      </x:c>
      <x:c r="B3554" t="str">
        <x:v>PTN Akademik</x:v>
      </x:c>
      <x:c r="C3554" t="str">
        <x:v>UNIVERSITAS NEGERI GORONTALO</x:v>
      </x:c>
      <x:c r="D3554" t="str">
        <x:v>MANAJAMEN SUMBERDAYA PERAIRAN</x:v>
      </x:c>
      <x:c r="E3554" t="str">
        <x:v>Sarjana</x:v>
      </x:c>
      <x:c r="F3554" s="18" t="n">
        <x:v>58</x:v>
      </x:c>
      <x:c r="G3554" s="18" t="n">
        <x:v>22</x:v>
      </x:c>
      <x:c r="H3554" s="19" t="n">
        <x:v>0.3793103448275862</x:v>
      </x:c>
      <x:c r="I3554" s="18" t="n">
        <x:f>ROUND(MIN(Model_Config_v3!$B$6,MAX(Q3554,R3554,S3554*Model_Config_v3!$B$4+T3554*Model_Config_v3!$B$5)),0)</x:f>
        <x:v>594</x:v>
      </x:c>
      <x:c r="J3554" s="18" t="n">
        <x:f>MIN(Model_Config_v3!$B$6,I3554+Model_Config_v3!$B$7)</x:f>
        <x:v>614</x:v>
      </x:c>
      <x:c r="K3554" s="20" t="n">
        <x:v>32.9</x:v>
      </x:c>
      <x:c r="L3554" t="str">
        <x:v>RELATIF LONGGAR</x:v>
      </x:c>
      <x:c r="M3554" t="str">
        <x:v>SEDANG</x:v>
      </x:c>
      <x:c r="N3554" t="str">
        <x:v>REGULER</x:v>
      </x:c>
      <x:c r="O3554" t="str">
        <x:v>CAMPURAN</x:v>
      </x:c>
      <x:c r="P3554" t="str">
        <x:v>UMUM</x:v>
      </x:c>
      <x:c r="Q3554" s="18" t="n">
        <x:v>0</x:v>
      </x:c>
      <x:c r="R3554" s="18" t="n">
        <x:v>0</x:v>
      </x:c>
      <x:c r="S3554" s="18" t="n">
        <x:v>520</x:v>
      </x:c>
      <x:c r="T3554" s="18" t="n">
        <x:v>626</x:v>
      </x:c>
      <x:c r="U3554" s="18" t="n">
        <x:v>520</x:v>
      </x:c>
      <x:c r="V3554" s="20" t="n">
        <x:v>8.8</x:v>
      </x:c>
      <x:c r="W3554" s="20" t="n">
        <x:v>9.9</x:v>
      </x:c>
      <x:c r="X3554" s="20" t="n">
        <x:v>3.3</x:v>
      </x:c>
      <x:c r="Y3554" t="str">
        <x:v>Basis arsip 2025/2024</x:v>
      </x:c>
      <x:c r="Z3554" t="str">
        <x:v>https://snpmb.id/utbk-snbt/daya-tampung-snbt</x:v>
      </x:c>
      <x:c r="AA3554" t="str">
        <x:v>Tidak Ada</x:v>
      </x:c>
      <x:c r="AB3554" t="str">
        <x:v>Campus=55; Ratio=0.0; Prodi=40; RelDemand=5.0; Capacity=51.7</x:v>
      </x:c>
    </x:row>
    <x:row r="3555">
      <x:c r="A3555" t="n">
        <x:v>3552</x:v>
      </x:c>
      <x:c r="B3555" t="str">
        <x:v>PTN Akademik</x:v>
      </x:c>
      <x:c r="C3555" t="str">
        <x:v>UNIVERSITAS NEGERI GORONTALO</x:v>
      </x:c>
      <x:c r="D3555" t="str">
        <x:v>PETERNAKAN</x:v>
      </x:c>
      <x:c r="E3555" t="str">
        <x:v>Sarjana</x:v>
      </x:c>
      <x:c r="F3555" s="18" t="n">
        <x:v>40</x:v>
      </x:c>
      <x:c r="G3555" s="18" t="n">
        <x:v>27</x:v>
      </x:c>
      <x:c r="H3555" s="19" t="n">
        <x:v>0.675</x:v>
      </x:c>
      <x:c r="I3555" s="18" t="n">
        <x:f>ROUND(MIN(Model_Config_v3!$B$6,MAX(Q3555,R3555,S3555*Model_Config_v3!$B$4+T3555*Model_Config_v3!$B$5)),0)</x:f>
        <x:v>597</x:v>
      </x:c>
      <x:c r="J3555" s="18" t="n">
        <x:f>MIN(Model_Config_v3!$B$6,I3555+Model_Config_v3!$B$7)</x:f>
        <x:v>617</x:v>
      </x:c>
      <x:c r="K3555" s="20" t="n">
        <x:v>34.8</x:v>
      </x:c>
      <x:c r="L3555" t="str">
        <x:v>RELATIF LONGGAR</x:v>
      </x:c>
      <x:c r="M3555" t="str">
        <x:v>SEDANG</x:v>
      </x:c>
      <x:c r="N3555" t="str">
        <x:v>REGULER</x:v>
      </x:c>
      <x:c r="O3555" t="str">
        <x:v>SAINTEK</x:v>
      </x:c>
      <x:c r="P3555" t="str">
        <x:v>UMUM</x:v>
      </x:c>
      <x:c r="Q3555" s="18" t="n">
        <x:v>0</x:v>
      </x:c>
      <x:c r="R3555" s="18" t="n">
        <x:v>0</x:v>
      </x:c>
      <x:c r="S3555" s="18" t="n">
        <x:v>520</x:v>
      </x:c>
      <x:c r="T3555" s="18" t="n">
        <x:v>630</x:v>
      </x:c>
      <x:c r="U3555" s="18" t="n">
        <x:v>520</x:v>
      </x:c>
      <x:c r="V3555" s="20" t="n">
        <x:v>12</x:v>
      </x:c>
      <x:c r="W3555" s="20" t="n">
        <x:v>5</x:v>
      </x:c>
      <x:c r="X3555" s="20" t="n">
        <x:v>3</x:v>
      </x:c>
      <x:c r="Y3555" t="str">
        <x:v>Basis arsip 2025/2024</x:v>
      </x:c>
      <x:c r="Z3555" t="str">
        <x:v>https://snpmb.id/utbk-snbt/daya-tampung-snbt</x:v>
      </x:c>
      <x:c r="AA3555" t="str">
        <x:v>Tidak Ada</x:v>
      </x:c>
      <x:c r="AB3555" t="str">
        <x:v>Campus=55; Ratio=0.0; Prodi=40; RelDemand=9.0; Capacity=66.7</x:v>
      </x:c>
    </x:row>
    <x:row r="3556">
      <x:c r="A3556" t="n">
        <x:v>3553</x:v>
      </x:c>
      <x:c r="B3556" t="str">
        <x:v>PTN Akademik</x:v>
      </x:c>
      <x:c r="C3556" t="str">
        <x:v>UNIVERSITAS NEGERI GORONTALO</x:v>
      </x:c>
      <x:c r="D3556" t="str">
        <x:v>BUDIDAYA PERAIRAN</x:v>
      </x:c>
      <x:c r="E3556" t="str">
        <x:v>Sarjana</x:v>
      </x:c>
      <x:c r="F3556" s="18" t="n">
        <x:v>58</x:v>
      </x:c>
      <x:c r="G3556" s="18" t="n">
        <x:v>15</x:v>
      </x:c>
      <x:c r="H3556" s="19" t="n">
        <x:v>0.25862068965517243</x:v>
      </x:c>
      <x:c r="I3556" s="18" t="n">
        <x:f>ROUND(MIN(Model_Config_v3!$B$6,MAX(Q3556,R3556,S3556*Model_Config_v3!$B$4+T3556*Model_Config_v3!$B$5)),0)</x:f>
        <x:v>594</x:v>
      </x:c>
      <x:c r="J3556" s="18" t="n">
        <x:f>MIN(Model_Config_v3!$B$6,I3556+Model_Config_v3!$B$7)</x:f>
        <x:v>614</x:v>
      </x:c>
      <x:c r="K3556" s="20" t="n">
        <x:v>32.8</x:v>
      </x:c>
      <x:c r="L3556" t="str">
        <x:v>RELATIF LONGGAR</x:v>
      </x:c>
      <x:c r="M3556" t="str">
        <x:v>SEDANG</x:v>
      </x:c>
      <x:c r="N3556" t="str">
        <x:v>REGULER</x:v>
      </x:c>
      <x:c r="O3556" t="str">
        <x:v>CAMPURAN</x:v>
      </x:c>
      <x:c r="P3556" t="str">
        <x:v>UMUM</x:v>
      </x:c>
      <x:c r="Q3556" s="18" t="n">
        <x:v>0</x:v>
      </x:c>
      <x:c r="R3556" s="18" t="n">
        <x:v>0</x:v>
      </x:c>
      <x:c r="S3556" s="18" t="n">
        <x:v>520</x:v>
      </x:c>
      <x:c r="T3556" s="18" t="n">
        <x:v>626</x:v>
      </x:c>
      <x:c r="U3556" s="18" t="n">
        <x:v>520</x:v>
      </x:c>
      <x:c r="V3556" s="20" t="n">
        <x:v>8.8</x:v>
      </x:c>
      <x:c r="W3556" s="20" t="n">
        <x:v>9.9</x:v>
      </x:c>
      <x:c r="X3556" s="20" t="n">
        <x:v>3.3</x:v>
      </x:c>
      <x:c r="Y3556" t="str">
        <x:v>Basis arsip 2025/2024</x:v>
      </x:c>
      <x:c r="Z3556" t="str">
        <x:v>https://snpmb.id/utbk-snbt/daya-tampung-snbt</x:v>
      </x:c>
      <x:c r="AA3556" t="str">
        <x:v>Tidak Ada</x:v>
      </x:c>
      <x:c r="AB3556" t="str">
        <x:v>Campus=55; Ratio=0.0; Prodi=40; RelDemand=3.4; Capacity=51.7</x:v>
      </x:c>
    </x:row>
    <x:row r="3557">
      <x:c r="A3557" t="n">
        <x:v>3554</x:v>
      </x:c>
      <x:c r="B3557" t="str">
        <x:v>PTN Akademik</x:v>
      </x:c>
      <x:c r="C3557" t="str">
        <x:v>UNIVERSITAS NEGERI GORONTALO</x:v>
      </x:c>
      <x:c r="D3557" t="str">
        <x:v>KEPERAWATAN</x:v>
      </x:c>
      <x:c r="E3557" t="str">
        <x:v>Sarjana</x:v>
      </x:c>
      <x:c r="F3557" s="18" t="n">
        <x:v>60</x:v>
      </x:c>
      <x:c r="G3557" s="18" t="n">
        <x:v>1105</x:v>
      </x:c>
      <x:c r="H3557" s="19" t="n">
        <x:v>18.416666666666668</x:v>
      </x:c>
      <x:c r="I3557" s="18" t="n">
        <x:f>ROUND(MIN(Model_Config_v3!$B$6,MAX(Q3557,R3557,S3557*Model_Config_v3!$B$4+T3557*Model_Config_v3!$B$5)),0)</x:f>
        <x:v>679</x:v>
      </x:c>
      <x:c r="J3557" s="18" t="n">
        <x:f>MIN(Model_Config_v3!$B$6,I3557+Model_Config_v3!$B$7)</x:f>
        <x:v>699</x:v>
      </x:c>
      <x:c r="K3557" s="20" t="n">
        <x:v>63.9</x:v>
      </x:c>
      <x:c r="L3557" t="str">
        <x:v>KETAT</x:v>
      </x:c>
      <x:c r="M3557" t="str">
        <x:v>SEDANG+</x:v>
      </x:c>
      <x:c r="N3557" t="str">
        <x:v>REGULER</x:v>
      </x:c>
      <x:c r="O3557" t="str">
        <x:v>SAINTEK</x:v>
      </x:c>
      <x:c r="P3557" t="str">
        <x:v>KESEHAT/GIZI/KEPERAWATAN</x:v>
      </x:c>
      <x:c r="Q3557" s="18" t="n">
        <x:v>0</x:v>
      </x:c>
      <x:c r="R3557" s="18" t="n">
        <x:v>0</x:v>
      </x:c>
      <x:c r="S3557" s="18" t="n">
        <x:v>659.1732130401234</x:v>
      </x:c>
      <x:c r="T3557" s="18" t="n">
        <x:v>688</x:v>
      </x:c>
      <x:c r="U3557" s="18" t="n">
        <x:v>659.1732130401234</x:v>
      </x:c>
      <x:c r="V3557" s="20" t="n">
        <x:v>12</x:v>
      </x:c>
      <x:c r="W3557" s="20" t="n">
        <x:v>5</x:v>
      </x:c>
      <x:c r="X3557" s="20" t="n">
        <x:v>3</x:v>
      </x:c>
      <x:c r="Y3557" t="str">
        <x:v>Basis arsip 2025/2024</x:v>
      </x:c>
      <x:c r="Z3557" t="str">
        <x:v>https://snpmb.id/utbk-snbt/daya-tampung-snbt</x:v>
      </x:c>
      <x:c r="AA3557" t="str">
        <x:v>Tidak Ada</x:v>
      </x:c>
      <x:c r="AB3557" t="str">
        <x:v>Campus=55; Ratio=74.5; Prodi=55; RelDemand=100.0; Capacity=50.0</x:v>
      </x:c>
    </x:row>
    <x:row r="3558">
      <x:c r="A3558" t="n">
        <x:v>3555</x:v>
      </x:c>
      <x:c r="B3558" t="str">
        <x:v>PTN Akademik</x:v>
      </x:c>
      <x:c r="C3558" t="str">
        <x:v>UNIVERSITAS NEGERI GORONTALO</x:v>
      </x:c>
      <x:c r="D3558" t="str">
        <x:v>TEKNOLOGI HASIL PERIKANAN</x:v>
      </x:c>
      <x:c r="E3558" t="str">
        <x:v>Sarjana</x:v>
      </x:c>
      <x:c r="F3558" s="18" t="n">
        <x:v>40</x:v>
      </x:c>
      <x:c r="G3558" s="18" t="n">
        <x:v>15</x:v>
      </x:c>
      <x:c r="H3558" s="19" t="n">
        <x:v>0.375</x:v>
      </x:c>
      <x:c r="I3558" s="18" t="n">
        <x:f>ROUND(MIN(Model_Config_v3!$B$6,MAX(Q3558,R3558,S3558*Model_Config_v3!$B$4+T3558*Model_Config_v3!$B$5)),0)</x:f>
        <x:v>596</x:v>
      </x:c>
      <x:c r="J3558" s="18" t="n">
        <x:f>MIN(Model_Config_v3!$B$6,I3558+Model_Config_v3!$B$7)</x:f>
        <x:v>616</x:v>
      </x:c>
      <x:c r="K3558" s="20" t="n">
        <x:v>34.4</x:v>
      </x:c>
      <x:c r="L3558" t="str">
        <x:v>RELATIF LONGGAR</x:v>
      </x:c>
      <x:c r="M3558" t="str">
        <x:v>SEDANG</x:v>
      </x:c>
      <x:c r="N3558" t="str">
        <x:v>REGULER</x:v>
      </x:c>
      <x:c r="O3558" t="str">
        <x:v>SAINTEK</x:v>
      </x:c>
      <x:c r="P3558" t="str">
        <x:v>UMUM</x:v>
      </x:c>
      <x:c r="Q3558" s="18" t="n">
        <x:v>0</x:v>
      </x:c>
      <x:c r="R3558" s="18" t="n">
        <x:v>0</x:v>
      </x:c>
      <x:c r="S3558" s="18" t="n">
        <x:v>520</x:v>
      </x:c>
      <x:c r="T3558" s="18" t="n">
        <x:v>629</x:v>
      </x:c>
      <x:c r="U3558" s="18" t="n">
        <x:v>520</x:v>
      </x:c>
      <x:c r="V3558" s="20" t="n">
        <x:v>12</x:v>
      </x:c>
      <x:c r="W3558" s="20" t="n">
        <x:v>5</x:v>
      </x:c>
      <x:c r="X3558" s="20" t="n">
        <x:v>3</x:v>
      </x:c>
      <x:c r="Y3558" t="str">
        <x:v>Basis arsip 2025/2024</x:v>
      </x:c>
      <x:c r="Z3558" t="str">
        <x:v>https://snpmb.id/utbk-snbt/daya-tampung-snbt</x:v>
      </x:c>
      <x:c r="AA3558" t="str">
        <x:v>Tidak Ada</x:v>
      </x:c>
      <x:c r="AB3558" t="str">
        <x:v>Campus=55; Ratio=0.0; Prodi=40; RelDemand=5.0; Capacity=66.7</x:v>
      </x:c>
    </x:row>
    <x:row r="3559">
      <x:c r="A3559" t="n">
        <x:v>3556</x:v>
      </x:c>
      <x:c r="B3559" t="str">
        <x:v>PTN Akademik</x:v>
      </x:c>
      <x:c r="C3559" t="str">
        <x:v>UNIVERSITAS NEGERI GORONTALO</x:v>
      </x:c>
      <x:c r="D3559" t="str">
        <x:v>TEKNIK SIPIL</x:v>
      </x:c>
      <x:c r="E3559" t="str">
        <x:v>Sarjana</x:v>
      </x:c>
      <x:c r="F3559" s="18" t="n">
        <x:v>50</x:v>
      </x:c>
      <x:c r="G3559" s="18" t="n">
        <x:v>198</x:v>
      </x:c>
      <x:c r="H3559" s="19" t="n">
        <x:v>3.96</x:v>
      </x:c>
      <x:c r="I3559" s="18" t="n">
        <x:f>ROUND(MIN(Model_Config_v3!$B$6,MAX(Q3559,R3559,S3559*Model_Config_v3!$B$4+T3559*Model_Config_v3!$B$5)),0)</x:f>
        <x:v>639</x:v>
      </x:c>
      <x:c r="J3559" s="18" t="n">
        <x:f>MIN(Model_Config_v3!$B$6,I3559+Model_Config_v3!$B$7)</x:f>
        <x:v>659</x:v>
      </x:c>
      <x:c r="K3559" s="20" t="n">
        <x:v>51.1</x:v>
      </x:c>
      <x:c r="L3559" t="str">
        <x:v>MENENGAH</x:v>
      </x:c>
      <x:c r="M3559" t="str">
        <x:v>SEDANG+</x:v>
      </x:c>
      <x:c r="N3559" t="str">
        <x:v>REGULER</x:v>
      </x:c>
      <x:c r="O3559" t="str">
        <x:v>SAINTEK</x:v>
      </x:c>
      <x:c r="P3559" t="str">
        <x:v>TEKNIK/ARSITEKTUR/STATISTIKA/AKTUARIA</x:v>
      </x:c>
      <x:c r="Q3559" s="18" t="n">
        <x:v>0</x:v>
      </x:c>
      <x:c r="R3559" s="18" t="n">
        <x:v>0</x:v>
      </x:c>
      <x:c r="S3559" s="18" t="n">
        <x:v>585.7464704518063</x:v>
      </x:c>
      <x:c r="T3559" s="18" t="n">
        <x:v>662</x:v>
      </x:c>
      <x:c r="U3559" s="18" t="n">
        <x:v>595.7464704518063</x:v>
      </x:c>
      <x:c r="V3559" s="20" t="n">
        <x:v>12</x:v>
      </x:c>
      <x:c r="W3559" s="20" t="n">
        <x:v>5</x:v>
      </x:c>
      <x:c r="X3559" s="20" t="n">
        <x:v>3</x:v>
      </x:c>
      <x:c r="Y3559" t="str">
        <x:v>Basis arsip 2025/2024</x:v>
      </x:c>
      <x:c r="Z3559" t="str">
        <x:v>https://snpmb.id/utbk-snbt/daya-tampung-snbt</x:v>
      </x:c>
      <x:c r="AA3559" t="str">
        <x:v>Tidak Ada</x:v>
      </x:c>
      <x:c r="AB3559" t="str">
        <x:v>Campus=55; Ratio=35.2; Prodi=60; RelDemand=52.6; Capacity=58.3</x:v>
      </x:c>
    </x:row>
    <x:row r="3560">
      <x:c r="A3560" t="n">
        <x:v>3557</x:v>
      </x:c>
      <x:c r="B3560" t="str">
        <x:v>PTN Akademik</x:v>
      </x:c>
      <x:c r="C3560" t="str">
        <x:v>UNIVERSITAS NEGERI GORONTALO</x:v>
      </x:c>
      <x:c r="D3560" t="str">
        <x:v>TEKNIK ARSITEKTUR</x:v>
      </x:c>
      <x:c r="E3560" t="str">
        <x:v>Sarjana</x:v>
      </x:c>
      <x:c r="F3560" s="18" t="n">
        <x:v>60</x:v>
      </x:c>
      <x:c r="G3560" s="18" t="n">
        <x:v>94</x:v>
      </x:c>
      <x:c r="H3560" s="19" t="n">
        <x:v>1.5666666666666667</x:v>
      </x:c>
      <x:c r="I3560" s="18" t="n">
        <x:f>ROUND(MIN(Model_Config_v3!$B$6,MAX(Q3560,R3560,S3560*Model_Config_v3!$B$4+T3560*Model_Config_v3!$B$5)),0)</x:f>
        <x:v>612</x:v>
      </x:c>
      <x:c r="J3560" s="18" t="n">
        <x:f>MIN(Model_Config_v3!$B$6,I3560+Model_Config_v3!$B$7)</x:f>
        <x:v>632</x:v>
      </x:c>
      <x:c r="K3560" s="20" t="n">
        <x:v>41.2</x:v>
      </x:c>
      <x:c r="L3560" t="str">
        <x:v>RELATIF LONGGAR</x:v>
      </x:c>
      <x:c r="M3560" t="str">
        <x:v>SEDANG+</x:v>
      </x:c>
      <x:c r="N3560" t="str">
        <x:v>REGULER</x:v>
      </x:c>
      <x:c r="O3560" t="str">
        <x:v>SAINTEK</x:v>
      </x:c>
      <x:c r="P3560" t="str">
        <x:v>TEKNIK/ARSITEKTUR/STATISTIKA/AKTUARIA</x:v>
      </x:c>
      <x:c r="Q3560" s="18" t="n">
        <x:v>0</x:v>
      </x:c>
      <x:c r="R3560" s="18" t="n">
        <x:v>0</x:v>
      </x:c>
      <x:c r="S3560" s="18" t="n">
        <x:v>541.4474263537661</x:v>
      </x:c>
      <x:c r="T3560" s="18" t="n">
        <x:v>642</x:v>
      </x:c>
      <x:c r="U3560" s="18" t="n">
        <x:v>551.4474263537661</x:v>
      </x:c>
      <x:c r="V3560" s="20" t="n">
        <x:v>12</x:v>
      </x:c>
      <x:c r="W3560" s="20" t="n">
        <x:v>5</x:v>
      </x:c>
      <x:c r="X3560" s="20" t="n">
        <x:v>3</x:v>
      </x:c>
      <x:c r="Y3560" t="str">
        <x:v>Basis arsip 2025/2024</x:v>
      </x:c>
      <x:c r="Z3560" t="str">
        <x:v>https://snpmb.id/utbk-snbt/daya-tampung-snbt</x:v>
      </x:c>
      <x:c r="AA3560" t="str">
        <x:v>Tidak Ada</x:v>
      </x:c>
      <x:c r="AB3560" t="str">
        <x:v>Campus=55; Ratio=11.5; Prodi=60; RelDemand=20.8; Capacity=50.0</x:v>
      </x:c>
    </x:row>
    <x:row r="3561">
      <x:c r="A3561" t="n">
        <x:v>3558</x:v>
      </x:c>
      <x:c r="B3561" t="str">
        <x:v>PTN Akademik</x:v>
      </x:c>
      <x:c r="C3561" t="str">
        <x:v>UNIVERSITAS NEGERI GORONTALO</x:v>
      </x:c>
      <x:c r="D3561" t="str">
        <x:v>FARMASI</x:v>
      </x:c>
      <x:c r="E3561" t="str">
        <x:v>Sarjana</x:v>
      </x:c>
      <x:c r="F3561" s="18" t="n">
        <x:v>40</x:v>
      </x:c>
      <x:c r="G3561" s="18" t="n">
        <x:v>551</x:v>
      </x:c>
      <x:c r="H3561" s="19" t="n">
        <x:v>13.775</x:v>
      </x:c>
      <x:c r="I3561" s="18" t="n">
        <x:f>ROUND(MIN(Model_Config_v3!$B$6,MAX(Q3561,R3561,S3561*Model_Config_v3!$B$4+T3561*Model_Config_v3!$B$5)),0)</x:f>
        <x:v>680</x:v>
      </x:c>
      <x:c r="J3561" s="18" t="n">
        <x:f>MIN(Model_Config_v3!$B$6,I3561+Model_Config_v3!$B$7)</x:f>
        <x:v>700</x:v>
      </x:c>
      <x:c r="K3561" s="20" t="n">
        <x:v>67.7</x:v>
      </x:c>
      <x:c r="L3561" t="str">
        <x:v>SANGAT KETAT</x:v>
      </x:c>
      <x:c r="M3561" t="str">
        <x:v>SEDANG+</x:v>
      </x:c>
      <x:c r="N3561" t="str">
        <x:v>REGULER</x:v>
      </x:c>
      <x:c r="O3561" t="str">
        <x:v>SAINTEK</x:v>
      </x:c>
      <x:c r="P3561" t="str">
        <x:v>FARMASI</x:v>
      </x:c>
      <x:c r="Q3561" s="18" t="n">
        <x:v>0</x:v>
      </x:c>
      <x:c r="R3561" s="18" t="n">
        <x:v>0</x:v>
      </x:c>
      <x:c r="S3561" s="18" t="n">
        <x:v>645.3000768276205</x:v>
      </x:c>
      <x:c r="T3561" s="18" t="n">
        <x:v>695</x:v>
      </x:c>
      <x:c r="U3561" s="18" t="n">
        <x:v>665.3000768276205</x:v>
      </x:c>
      <x:c r="V3561" s="20" t="n">
        <x:v>12</x:v>
      </x:c>
      <x:c r="W3561" s="20" t="n">
        <x:v>5</x:v>
      </x:c>
      <x:c r="X3561" s="20" t="n">
        <x:v>3</x:v>
      </x:c>
      <x:c r="Y3561" t="str">
        <x:v>Basis arsip 2025/2024</x:v>
      </x:c>
      <x:c r="Z3561" t="str">
        <x:v>https://snpmb.id/utbk-snbt/daya-tampung-snbt</x:v>
      </x:c>
      <x:c r="AA3561" t="str">
        <x:v>Tidak Ada</x:v>
      </x:c>
      <x:c r="AB3561" t="str">
        <x:v>Campus=55; Ratio=67.0; Prodi=75; RelDemand=100.0; Capacity=66.7</x:v>
      </x:c>
    </x:row>
    <x:row r="3562">
      <x:c r="A3562" t="n">
        <x:v>3559</x:v>
      </x:c>
      <x:c r="B3562" t="str">
        <x:v>PTN Akademik</x:v>
      </x:c>
      <x:c r="C3562" t="str">
        <x:v>UNIVERSITAS NEGERI GORONTALO</x:v>
      </x:c>
      <x:c r="D3562" t="str">
        <x:v>TEKNIK GEOLOGI</x:v>
      </x:c>
      <x:c r="E3562" t="str">
        <x:v>Sarjana</x:v>
      </x:c>
      <x:c r="F3562" s="18" t="n">
        <x:v>30</x:v>
      </x:c>
      <x:c r="G3562" s="18" t="n">
        <x:v>116</x:v>
      </x:c>
      <x:c r="H3562" s="19" t="n">
        <x:v>3.8666666666666667</x:v>
      </x:c>
      <x:c r="I3562" s="18" t="n">
        <x:f>ROUND(MIN(Model_Config_v3!$B$6,MAX(Q3562,R3562,S3562*Model_Config_v3!$B$4+T3562*Model_Config_v3!$B$5)),0)</x:f>
        <x:v>641</x:v>
      </x:c>
      <x:c r="J3562" s="18" t="n">
        <x:f>MIN(Model_Config_v3!$B$6,I3562+Model_Config_v3!$B$7)</x:f>
        <x:v>661</x:v>
      </x:c>
      <x:c r="K3562" s="20" t="n">
        <x:v>52.5</x:v>
      </x:c>
      <x:c r="L3562" t="str">
        <x:v>MENENGAH</x:v>
      </x:c>
      <x:c r="M3562" t="str">
        <x:v>SEDANG+</x:v>
      </x:c>
      <x:c r="N3562" t="str">
        <x:v>REGULER</x:v>
      </x:c>
      <x:c r="O3562" t="str">
        <x:v>SAINTEK</x:v>
      </x:c>
      <x:c r="P3562" t="str">
        <x:v>TEKNIK/ARSITEKTUR/STATISTIKA/AKTUARIA</x:v>
      </x:c>
      <x:c r="Q3562" s="18" t="n">
        <x:v>0</x:v>
      </x:c>
      <x:c r="R3562" s="18" t="n">
        <x:v>0</x:v>
      </x:c>
      <x:c r="S3562" s="18" t="n">
        <x:v>584.6070407957982</x:v>
      </x:c>
      <x:c r="T3562" s="18" t="n">
        <x:v>665</x:v>
      </x:c>
      <x:c r="U3562" s="18" t="n">
        <x:v>594.6070407957982</x:v>
      </x:c>
      <x:c r="V3562" s="20" t="n">
        <x:v>12</x:v>
      </x:c>
      <x:c r="W3562" s="20" t="n">
        <x:v>5</x:v>
      </x:c>
      <x:c r="X3562" s="20" t="n">
        <x:v>3</x:v>
      </x:c>
      <x:c r="Y3562" t="str">
        <x:v>Basis arsip 2025/2024</x:v>
      </x:c>
      <x:c r="Z3562" t="str">
        <x:v>https://snpmb.id/utbk-snbt/daya-tampung-snbt</x:v>
      </x:c>
      <x:c r="AA3562" t="str">
        <x:v>Tidak Ada</x:v>
      </x:c>
      <x:c r="AB3562" t="str">
        <x:v>Campus=55; Ratio=34.6; Prodi=60; RelDemand=51.4; Capacity=75.0</x:v>
      </x:c>
    </x:row>
    <x:row r="3563">
      <x:c r="A3563" t="n">
        <x:v>3560</x:v>
      </x:c>
      <x:c r="B3563" t="str">
        <x:v>PTN Akademik</x:v>
      </x:c>
      <x:c r="C3563" t="str">
        <x:v>UNIVERSITAS NEGERI GORONTALO</x:v>
      </x:c>
      <x:c r="D3563" t="str">
        <x:v>PENDIDIKAN VOKASIONAL KONSTRUKSI BANGUNAN</x:v>
      </x:c>
      <x:c r="E3563" t="str">
        <x:v>Sarjana</x:v>
      </x:c>
      <x:c r="F3563" s="18" t="n">
        <x:v>13</x:v>
      </x:c>
      <x:c r="G3563" s="18" t="n">
        <x:v>11</x:v>
      </x:c>
      <x:c r="H3563" s="19" t="n">
        <x:v>0.8461538461538461</x:v>
      </x:c>
      <x:c r="I3563" s="18" t="n">
        <x:f>ROUND(MIN(Model_Config_v3!$B$6,MAX(Q3563,R3563,S3563*Model_Config_v3!$B$4+T3563*Model_Config_v3!$B$5)),0)</x:f>
        <x:v>602</x:v>
      </x:c>
      <x:c r="J3563" s="18" t="n">
        <x:f>MIN(Model_Config_v3!$B$6,I3563+Model_Config_v3!$B$7)</x:f>
        <x:v>622</x:v>
      </x:c>
      <x:c r="K3563" s="20" t="n">
        <x:v>38.3</x:v>
      </x:c>
      <x:c r="L3563" t="str">
        <x:v>RELATIF LONGGAR</x:v>
      </x:c>
      <x:c r="M3563" t="str">
        <x:v>SEDANG+</x:v>
      </x:c>
      <x:c r="N3563" t="str">
        <x:v>REGULER</x:v>
      </x:c>
      <x:c r="O3563" t="str">
        <x:v>CAMPURAN</x:v>
      </x:c>
      <x:c r="P3563" t="str">
        <x:v>PENDIDIKAN</x:v>
      </x:c>
      <x:c r="Q3563" s="18" t="n">
        <x:v>0</x:v>
      </x:c>
      <x:c r="R3563" s="18" t="n">
        <x:v>0</x:v>
      </x:c>
      <x:c r="S3563" s="18" t="n">
        <x:v>520</x:v>
      </x:c>
      <x:c r="T3563" s="18" t="n">
        <x:v>637</x:v>
      </x:c>
      <x:c r="U3563" s="18" t="n">
        <x:v>520</x:v>
      </x:c>
      <x:c r="V3563" s="20" t="n">
        <x:v>8.8</x:v>
      </x:c>
      <x:c r="W3563" s="20" t="n">
        <x:v>9.9</x:v>
      </x:c>
      <x:c r="X3563" s="20" t="n">
        <x:v>3.3</x:v>
      </x:c>
      <x:c r="Y3563" t="str">
        <x:v>Basis arsip 2025/2024</x:v>
      </x:c>
      <x:c r="Z3563" t="str">
        <x:v>https://snpmb.id/utbk-snbt/daya-tampung-snbt</x:v>
      </x:c>
      <x:c r="AA3563" t="str">
        <x:v>Tidak Ada</x:v>
      </x:c>
      <x:c r="AB3563" t="str">
        <x:v>Campus=55; Ratio=0.0; Prodi=45; RelDemand=11.2; Capacity=89.2</x:v>
      </x:c>
    </x:row>
    <x:row r="3564">
      <x:c r="A3564" t="n">
        <x:v>3561</x:v>
      </x:c>
      <x:c r="B3564" t="str">
        <x:v>PTN Akademik</x:v>
      </x:c>
      <x:c r="C3564" t="str">
        <x:v>UNIVERSITAS NEGERI GORONTALO</x:v>
      </x:c>
      <x:c r="D3564" t="str">
        <x:v>PENDIDIKAN TEKNOLOGI INFORMASI</x:v>
      </x:c>
      <x:c r="E3564" t="str">
        <x:v>Sarjana</x:v>
      </x:c>
      <x:c r="F3564" s="18" t="n">
        <x:v>60</x:v>
      </x:c>
      <x:c r="G3564" s="18" t="n">
        <x:v>97</x:v>
      </x:c>
      <x:c r="H3564" s="19" t="n">
        <x:v>1.6166666666666667</x:v>
      </x:c>
      <x:c r="I3564" s="18" t="n">
        <x:f>ROUND(MIN(Model_Config_v3!$B$6,MAX(Q3564,R3564,S3564*Model_Config_v3!$B$4+T3564*Model_Config_v3!$B$5)),0)</x:f>
        <x:v>609</x:v>
      </x:c>
      <x:c r="J3564" s="18" t="n">
        <x:f>MIN(Model_Config_v3!$B$6,I3564+Model_Config_v3!$B$7)</x:f>
        <x:v>629</x:v>
      </x:c>
      <x:c r="K3564" s="20" t="n">
        <x:v>38.5</x:v>
      </x:c>
      <x:c r="L3564" t="str">
        <x:v>RELATIF LONGGAR</x:v>
      </x:c>
      <x:c r="M3564" t="str">
        <x:v>SEDANG+</x:v>
      </x:c>
      <x:c r="N3564" t="str">
        <x:v>REGULER</x:v>
      </x:c>
      <x:c r="O3564" t="str">
        <x:v>SAINTEK</x:v>
      </x:c>
      <x:c r="P3564" t="str">
        <x:v>PENDIDIKAN</x:v>
      </x:c>
      <x:c r="Q3564" s="18" t="n">
        <x:v>0</x:v>
      </x:c>
      <x:c r="R3564" s="18" t="n">
        <x:v>0</x:v>
      </x:c>
      <x:c r="S3564" s="18" t="n">
        <x:v>542.9482532270862</x:v>
      </x:c>
      <x:c r="T3564" s="18" t="n">
        <x:v>637</x:v>
      </x:c>
      <x:c r="U3564" s="18" t="n">
        <x:v>542.9482532270862</x:v>
      </x:c>
      <x:c r="V3564" s="20" t="n">
        <x:v>12</x:v>
      </x:c>
      <x:c r="W3564" s="20" t="n">
        <x:v>5</x:v>
      </x:c>
      <x:c r="X3564" s="20" t="n">
        <x:v>3</x:v>
      </x:c>
      <x:c r="Y3564" t="str">
        <x:v>Basis arsip 2025/2024</x:v>
      </x:c>
      <x:c r="Z3564" t="str">
        <x:v>https://snpmb.id/utbk-snbt/daya-tampung-snbt</x:v>
      </x:c>
      <x:c r="AA3564" t="str">
        <x:v>Tidak Ada</x:v>
      </x:c>
      <x:c r="AB3564" t="str">
        <x:v>Campus=55; Ratio=12.3; Prodi=45; RelDemand=21.5; Capacity=50.0</x:v>
      </x:c>
    </x:row>
    <x:row r="3565">
      <x:c r="A3565" t="n">
        <x:v>3562</x:v>
      </x:c>
      <x:c r="B3565" t="str">
        <x:v>PTN Akademik</x:v>
      </x:c>
      <x:c r="C3565" t="str">
        <x:v>UNIVERSITAS NEGERI GORONTALO</x:v>
      </x:c>
      <x:c r="D3565" t="str">
        <x:v>TEKNIK INDUSTRI</x:v>
      </x:c>
      <x:c r="E3565" t="str">
        <x:v>Sarjana</x:v>
      </x:c>
      <x:c r="F3565" s="18" t="n">
        <x:v>36</x:v>
      </x:c>
      <x:c r="G3565" s="18" t="n">
        <x:v>84</x:v>
      </x:c>
      <x:c r="H3565" s="19" t="n">
        <x:v>2.3333333333333335</x:v>
      </x:c>
      <x:c r="I3565" s="18" t="n">
        <x:f>ROUND(MIN(Model_Config_v3!$B$6,MAX(Q3565,R3565,S3565*Model_Config_v3!$B$4+T3565*Model_Config_v3!$B$5)),0)</x:f>
        <x:v>626</x:v>
      </x:c>
      <x:c r="J3565" s="18" t="n">
        <x:f>MIN(Model_Config_v3!$B$6,I3565+Model_Config_v3!$B$7)</x:f>
        <x:v>646</x:v>
      </x:c>
      <x:c r="K3565" s="20" t="n">
        <x:v>46.8</x:v>
      </x:c>
      <x:c r="L3565" t="str">
        <x:v>MENENGAH</x:v>
      </x:c>
      <x:c r="M3565" t="str">
        <x:v>SEDANG+</x:v>
      </x:c>
      <x:c r="N3565" t="str">
        <x:v>REGULER</x:v>
      </x:c>
      <x:c r="O3565" t="str">
        <x:v>SAINTEK</x:v>
      </x:c>
      <x:c r="P3565" t="str">
        <x:v>TEKNIK/ARSITEKTUR/STATISTIKA/AKTUARIA</x:v>
      </x:c>
      <x:c r="Q3565" s="18" t="n">
        <x:v>0</x:v>
      </x:c>
      <x:c r="R3565" s="18" t="n">
        <x:v>0</x:v>
      </x:c>
      <x:c r="S3565" s="18" t="n">
        <x:v>560.4774463824053</x:v>
      </x:c>
      <x:c r="T3565" s="18" t="n">
        <x:v>654</x:v>
      </x:c>
      <x:c r="U3565" s="18" t="n">
        <x:v>570.4774463824053</x:v>
      </x:c>
      <x:c r="V3565" s="20" t="n">
        <x:v>12</x:v>
      </x:c>
      <x:c r="W3565" s="20" t="n">
        <x:v>5</x:v>
      </x:c>
      <x:c r="X3565" s="20" t="n">
        <x:v>3</x:v>
      </x:c>
      <x:c r="Y3565" t="str">
        <x:v>Basis arsip 2025/2024</x:v>
      </x:c>
      <x:c r="Z3565" t="str">
        <x:v>https://snpmb.id/utbk-snbt/daya-tampung-snbt</x:v>
      </x:c>
      <x:c r="AA3565" t="str">
        <x:v>Tidak Ada</x:v>
      </x:c>
      <x:c r="AB3565" t="str">
        <x:v>Campus=55; Ratio=21.7; Prodi=60; RelDemand=31.0; Capacity=70.0</x:v>
      </x:c>
    </x:row>
    <x:row r="3566">
      <x:c r="A3566" t="n">
        <x:v>3563</x:v>
      </x:c>
      <x:c r="B3566" t="str">
        <x:v>PTN Akademik</x:v>
      </x:c>
      <x:c r="C3566" t="str">
        <x:v>UNIVERSITAS NEGERI GORONTALO</x:v>
      </x:c>
      <x:c r="D3566" t="str">
        <x:v>ILMU TEKNOLOGI PANGAN</x:v>
      </x:c>
      <x:c r="E3566" t="str">
        <x:v>Sarjana</x:v>
      </x:c>
      <x:c r="F3566" s="18" t="n">
        <x:v>40</x:v>
      </x:c>
      <x:c r="G3566" s="18" t="n">
        <x:v>55</x:v>
      </x:c>
      <x:c r="H3566" s="19" t="n">
        <x:v>1.375</x:v>
      </x:c>
      <x:c r="I3566" s="18" t="n">
        <x:f>ROUND(MIN(Model_Config_v3!$B$6,MAX(Q3566,R3566,S3566*Model_Config_v3!$B$4+T3566*Model_Config_v3!$B$5)),0)</x:f>
        <x:v>606</x:v>
      </x:c>
      <x:c r="J3566" s="18" t="n">
        <x:f>MIN(Model_Config_v3!$B$6,I3566+Model_Config_v3!$B$7)</x:f>
        <x:v>626</x:v>
      </x:c>
      <x:c r="K3566" s="20" t="n">
        <x:v>37.8</x:v>
      </x:c>
      <x:c r="L3566" t="str">
        <x:v>RELATIF LONGGAR</x:v>
      </x:c>
      <x:c r="M3566" t="str">
        <x:v>SEDANG</x:v>
      </x:c>
      <x:c r="N3566" t="str">
        <x:v>REGULER</x:v>
      </x:c>
      <x:c r="O3566" t="str">
        <x:v>SAINTEK</x:v>
      </x:c>
      <x:c r="P3566" t="str">
        <x:v>UMUM</x:v>
      </x:c>
      <x:c r="Q3566" s="18" t="n">
        <x:v>0</x:v>
      </x:c>
      <x:c r="R3566" s="18" t="n">
        <x:v>0</x:v>
      </x:c>
      <x:c r="S3566" s="18" t="n">
        <x:v>535.2132967982909</x:v>
      </x:c>
      <x:c r="T3566" s="18" t="n">
        <x:v>636</x:v>
      </x:c>
      <x:c r="U3566" s="18" t="n">
        <x:v>535.2132967982909</x:v>
      </x:c>
      <x:c r="V3566" s="20" t="n">
        <x:v>12</x:v>
      </x:c>
      <x:c r="W3566" s="20" t="n">
        <x:v>5</x:v>
      </x:c>
      <x:c r="X3566" s="20" t="n">
        <x:v>3</x:v>
      </x:c>
      <x:c r="Y3566" t="str">
        <x:v>Basis arsip 2025/2024</x:v>
      </x:c>
      <x:c r="Z3566" t="str">
        <x:v>https://snpmb.id/utbk-snbt/daya-tampung-snbt</x:v>
      </x:c>
      <x:c r="AA3566" t="str">
        <x:v>Tidak Ada</x:v>
      </x:c>
      <x:c r="AB3566" t="str">
        <x:v>Campus=55; Ratio=8.1; Prodi=40; RelDemand=18.3; Capacity=66.7</x:v>
      </x:c>
    </x:row>
    <x:row r="3567">
      <x:c r="A3567" t="n">
        <x:v>3564</x:v>
      </x:c>
      <x:c r="B3567" t="str">
        <x:v>PTN Akademik</x:v>
      </x:c>
      <x:c r="C3567" t="str">
        <x:v>UNIVERSITAS NEGERI GORONTALO</x:v>
      </x:c>
      <x:c r="D3567" t="str">
        <x:v>PENDIDIKAN TEKNIK MESIN</x:v>
      </x:c>
      <x:c r="E3567" t="str">
        <x:v>Sarjana</x:v>
      </x:c>
      <x:c r="F3567" s="18" t="n">
        <x:v>36</x:v>
      </x:c>
      <x:c r="G3567" s="18" t="n">
        <x:v>37</x:v>
      </x:c>
      <x:c r="H3567" s="19" t="n">
        <x:v>1.0277777777777777</x:v>
      </x:c>
      <x:c r="I3567" s="18" t="n">
        <x:f>ROUND(MIN(Model_Config_v3!$B$6,MAX(Q3567,R3567,S3567*Model_Config_v3!$B$4+T3567*Model_Config_v3!$B$5)),0)</x:f>
        <x:v>600</x:v>
      </x:c>
      <x:c r="J3567" s="18" t="n">
        <x:f>MIN(Model_Config_v3!$B$6,I3567+Model_Config_v3!$B$7)</x:f>
        <x:v>620</x:v>
      </x:c>
      <x:c r="K3567" s="20" t="n">
        <x:v>36.8</x:v>
      </x:c>
      <x:c r="L3567" t="str">
        <x:v>RELATIF LONGGAR</x:v>
      </x:c>
      <x:c r="M3567" t="str">
        <x:v>SEDANG+</x:v>
      </x:c>
      <x:c r="N3567" t="str">
        <x:v>REGULER</x:v>
      </x:c>
      <x:c r="O3567" t="str">
        <x:v>SAINTEK</x:v>
      </x:c>
      <x:c r="P3567" t="str">
        <x:v>PENDIDIKAN</x:v>
      </x:c>
      <x:c r="Q3567" s="18" t="n">
        <x:v>0</x:v>
      </x:c>
      <x:c r="R3567" s="18" t="n">
        <x:v>0</x:v>
      </x:c>
      <x:c r="S3567" s="18" t="n">
        <x:v>521.3089145629679</x:v>
      </x:c>
      <x:c r="T3567" s="18" t="n">
        <x:v>634</x:v>
      </x:c>
      <x:c r="U3567" s="18" t="n">
        <x:v>531.3089145629679</x:v>
      </x:c>
      <x:c r="V3567" s="20" t="n">
        <x:v>12</x:v>
      </x:c>
      <x:c r="W3567" s="20" t="n">
        <x:v>5</x:v>
      </x:c>
      <x:c r="X3567" s="20" t="n">
        <x:v>3</x:v>
      </x:c>
      <x:c r="Y3567" t="str">
        <x:v>Basis arsip 2025/2024</x:v>
      </x:c>
      <x:c r="Z3567" t="str">
        <x:v>https://snpmb.id/utbk-snbt/daya-tampung-snbt</x:v>
      </x:c>
      <x:c r="AA3567" t="str">
        <x:v>Tidak Ada</x:v>
      </x:c>
      <x:c r="AB3567" t="str">
        <x:v>Campus=55; Ratio=0.7; Prodi=45; RelDemand=13.7; Capacity=70.0</x:v>
      </x:c>
    </x:row>
    <x:row r="3568">
      <x:c r="A3568" t="n">
        <x:v>3565</x:v>
      </x:c>
      <x:c r="B3568" t="str">
        <x:v>PTN Akademik</x:v>
      </x:c>
      <x:c r="C3568" t="str">
        <x:v>UNIVERSITAS NEGERI GORONTALO</x:v>
      </x:c>
      <x:c r="D3568" t="str">
        <x:v>KIMIA</x:v>
      </x:c>
      <x:c r="E3568" t="str">
        <x:v>Sarjana</x:v>
      </x:c>
      <x:c r="F3568" s="18" t="n">
        <x:v>20</x:v>
      </x:c>
      <x:c r="G3568" s="18" t="n">
        <x:v>30</x:v>
      </x:c>
      <x:c r="H3568" s="19" t="n">
        <x:v>1.5</x:v>
      </x:c>
      <x:c r="I3568" s="18" t="n">
        <x:f>ROUND(MIN(Model_Config_v3!$B$6,MAX(Q3568,R3568,S3568*Model_Config_v3!$B$4+T3568*Model_Config_v3!$B$5)),0)</x:f>
        <x:v>613</x:v>
      </x:c>
      <x:c r="J3568" s="18" t="n">
        <x:f>MIN(Model_Config_v3!$B$6,I3568+Model_Config_v3!$B$7)</x:f>
        <x:v>633</x:v>
      </x:c>
      <x:c r="K3568" s="20" t="n">
        <x:v>42.2</x:v>
      </x:c>
      <x:c r="L3568" t="str">
        <x:v>RELATIF LONGGAR</x:v>
      </x:c>
      <x:c r="M3568" t="str">
        <x:v>SEDANG+</x:v>
      </x:c>
      <x:c r="N3568" t="str">
        <x:v>REGULER</x:v>
      </x:c>
      <x:c r="O3568" t="str">
        <x:v>SAINTEK</x:v>
      </x:c>
      <x:c r="P3568" t="str">
        <x:v>SAINS DASAR</x:v>
      </x:c>
      <x:c r="Q3568" s="18" t="n">
        <x:v>0</x:v>
      </x:c>
      <x:c r="R3568" s="18" t="n">
        <x:v>0</x:v>
      </x:c>
      <x:c r="S3568" s="18" t="n">
        <x:v>539.370038496125</x:v>
      </x:c>
      <x:c r="T3568" s="18" t="n">
        <x:v>644</x:v>
      </x:c>
      <x:c r="U3568" s="18" t="n">
        <x:v>539.370038496125</x:v>
      </x:c>
      <x:c r="V3568" s="20" t="n">
        <x:v>12</x:v>
      </x:c>
      <x:c r="W3568" s="20" t="n">
        <x:v>5</x:v>
      </x:c>
      <x:c r="X3568" s="20" t="n">
        <x:v>3</x:v>
      </x:c>
      <x:c r="Y3568" t="str">
        <x:v>Basis arsip 2025/2024</x:v>
      </x:c>
      <x:c r="Z3568" t="str">
        <x:v>https://snpmb.id/utbk-snbt/daya-tampung-snbt</x:v>
      </x:c>
      <x:c r="AA3568" t="str">
        <x:v>Tidak Ada</x:v>
      </x:c>
      <x:c r="AB3568" t="str">
        <x:v>Campus=55; Ratio=10.4; Prodi=50; RelDemand=19.9; Capacity=83.3</x:v>
      </x:c>
    </x:row>
    <x:row r="3569">
      <x:c r="A3569" t="n">
        <x:v>3566</x:v>
      </x:c>
      <x:c r="B3569" t="str">
        <x:v>PTN Akademik</x:v>
      </x:c>
      <x:c r="C3569" t="str">
        <x:v>UNIVERSITAS NEGERI GORONTALO</x:v>
      </x:c>
      <x:c r="D3569" t="str">
        <x:v>BIOLOGI</x:v>
      </x:c>
      <x:c r="E3569" t="str">
        <x:v>Sarjana</x:v>
      </x:c>
      <x:c r="F3569" s="18" t="n">
        <x:v>29</x:v>
      </x:c>
      <x:c r="G3569" s="18" t="n">
        <x:v>42</x:v>
      </x:c>
      <x:c r="H3569" s="19" t="n">
        <x:v>1.4482758620689655</x:v>
      </x:c>
      <x:c r="I3569" s="18" t="n">
        <x:f>ROUND(MIN(Model_Config_v3!$B$6,MAX(Q3569,R3569,S3569*Model_Config_v3!$B$4+T3569*Model_Config_v3!$B$5)),0)</x:f>
        <x:v>611</x:v>
      </x:c>
      <x:c r="J3569" s="18" t="n">
        <x:f>MIN(Model_Config_v3!$B$6,I3569+Model_Config_v3!$B$7)</x:f>
        <x:v>631</x:v>
      </x:c>
      <x:c r="K3569" s="20" t="n">
        <x:v>41.1</x:v>
      </x:c>
      <x:c r="L3569" t="str">
        <x:v>RELATIF LONGGAR</x:v>
      </x:c>
      <x:c r="M3569" t="str">
        <x:v>SEDANG+</x:v>
      </x:c>
      <x:c r="N3569" t="str">
        <x:v>REGULER</x:v>
      </x:c>
      <x:c r="O3569" t="str">
        <x:v>SAINTEK</x:v>
      </x:c>
      <x:c r="P3569" t="str">
        <x:v>SAINS DASAR</x:v>
      </x:c>
      <x:c r="Q3569" s="18" t="n">
        <x:v>0</x:v>
      </x:c>
      <x:c r="R3569" s="18" t="n">
        <x:v>0</x:v>
      </x:c>
      <x:c r="S3569" s="18" t="n">
        <x:v>537.6936421748838</x:v>
      </x:c>
      <x:c r="T3569" s="18" t="n">
        <x:v>642</x:v>
      </x:c>
      <x:c r="U3569" s="18" t="n">
        <x:v>537.6936421748838</x:v>
      </x:c>
      <x:c r="V3569" s="20" t="n">
        <x:v>12</x:v>
      </x:c>
      <x:c r="W3569" s="20" t="n">
        <x:v>5</x:v>
      </x:c>
      <x:c r="X3569" s="20" t="n">
        <x:v>3</x:v>
      </x:c>
      <x:c r="Y3569" t="str">
        <x:v>Basis arsip 2025/2024</x:v>
      </x:c>
      <x:c r="Z3569" t="str">
        <x:v>https://snpmb.id/utbk-snbt/daya-tampung-snbt</x:v>
      </x:c>
      <x:c r="AA3569" t="str">
        <x:v>Tidak Ada</x:v>
      </x:c>
      <x:c r="AB3569" t="str">
        <x:v>Campus=55; Ratio=9.5; Prodi=50; RelDemand=19.3; Capacity=75.8</x:v>
      </x:c>
    </x:row>
    <x:row r="3570">
      <x:c r="A3570" t="n">
        <x:v>3567</x:v>
      </x:c>
      <x:c r="B3570" t="str">
        <x:v>PTN Akademik</x:v>
      </x:c>
      <x:c r="C3570" t="str">
        <x:v>UNIVERSITAS NEGERI GORONTALO</x:v>
      </x:c>
      <x:c r="D3570" t="str">
        <x:v>FISIKA</x:v>
      </x:c>
      <x:c r="E3570" t="str">
        <x:v>Sarjana</x:v>
      </x:c>
      <x:c r="F3570" s="18" t="n">
        <x:v>8</x:v>
      </x:c>
      <x:c r="G3570" s="18" t="n">
        <x:v>3</x:v>
      </x:c>
      <x:c r="H3570" s="19" t="n">
        <x:v>0.375</x:v>
      </x:c>
      <x:c r="I3570" s="18" t="n">
        <x:f>ROUND(MIN(Model_Config_v3!$B$6,MAX(Q3570,R3570,S3570*Model_Config_v3!$B$4+T3570*Model_Config_v3!$B$5)),0)</x:f>
        <x:v>603</x:v>
      </x:c>
      <x:c r="J3570" s="18" t="n">
        <x:f>MIN(Model_Config_v3!$B$6,I3570+Model_Config_v3!$B$7)</x:f>
        <x:v>623</x:v>
      </x:c>
      <x:c r="K3570" s="20" t="n">
        <x:v>39.1</x:v>
      </x:c>
      <x:c r="L3570" t="str">
        <x:v>RELATIF LONGGAR</x:v>
      </x:c>
      <x:c r="M3570" t="str">
        <x:v>SEDANG+</x:v>
      </x:c>
      <x:c r="N3570" t="str">
        <x:v>REGULER</x:v>
      </x:c>
      <x:c r="O3570" t="str">
        <x:v>SAINTEK</x:v>
      </x:c>
      <x:c r="P3570" t="str">
        <x:v>SAINS DASAR</x:v>
      </x:c>
      <x:c r="Q3570" s="18" t="n">
        <x:v>0</x:v>
      </x:c>
      <x:c r="R3570" s="18" t="n">
        <x:v>0</x:v>
      </x:c>
      <x:c r="S3570" s="18" t="n">
        <x:v>520</x:v>
      </x:c>
      <x:c r="T3570" s="18" t="n">
        <x:v>638</x:v>
      </x:c>
      <x:c r="U3570" s="18" t="n">
        <x:v>520</x:v>
      </x:c>
      <x:c r="V3570" s="20" t="n">
        <x:v>12</x:v>
      </x:c>
      <x:c r="W3570" s="20" t="n">
        <x:v>5</x:v>
      </x:c>
      <x:c r="X3570" s="20" t="n">
        <x:v>3</x:v>
      </x:c>
      <x:c r="Y3570" t="str">
        <x:v>Basis arsip 2025/2024</x:v>
      </x:c>
      <x:c r="Z3570" t="str">
        <x:v>https://snpmb.id/utbk-snbt/daya-tampung-snbt</x:v>
      </x:c>
      <x:c r="AA3570" t="str">
        <x:v>Tidak Ada</x:v>
      </x:c>
      <x:c r="AB3570" t="str">
        <x:v>Campus=55; Ratio=0.0; Prodi=50; RelDemand=5.0; Capacity=93.3</x:v>
      </x:c>
    </x:row>
    <x:row r="3571">
      <x:c r="A3571" t="n">
        <x:v>3568</x:v>
      </x:c>
      <x:c r="B3571" t="str">
        <x:v>PTN Akademik</x:v>
      </x:c>
      <x:c r="C3571" t="str">
        <x:v>UNIVERSITAS NEGERI GORONTALO</x:v>
      </x:c>
      <x:c r="D3571" t="str">
        <x:v>MATEMATIKA</x:v>
      </x:c>
      <x:c r="E3571" t="str">
        <x:v>Sarjana</x:v>
      </x:c>
      <x:c r="F3571" s="18" t="n">
        <x:v>20</x:v>
      </x:c>
      <x:c r="G3571" s="18" t="n">
        <x:v>19</x:v>
      </x:c>
      <x:c r="H3571" s="19" t="n">
        <x:v>0.95</x:v>
      </x:c>
      <x:c r="I3571" s="18" t="n">
        <x:f>ROUND(MIN(Model_Config_v3!$B$6,MAX(Q3571,R3571,S3571*Model_Config_v3!$B$4+T3571*Model_Config_v3!$B$5)),0)</x:f>
        <x:v>603</x:v>
      </x:c>
      <x:c r="J3571" s="18" t="n">
        <x:f>MIN(Model_Config_v3!$B$6,I3571+Model_Config_v3!$B$7)</x:f>
        <x:v>623</x:v>
      </x:c>
      <x:c r="K3571" s="20" t="n">
        <x:v>38.8</x:v>
      </x:c>
      <x:c r="L3571" t="str">
        <x:v>RELATIF LONGGAR</x:v>
      </x:c>
      <x:c r="M3571" t="str">
        <x:v>SEDANG+</x:v>
      </x:c>
      <x:c r="N3571" t="str">
        <x:v>REGULER</x:v>
      </x:c>
      <x:c r="O3571" t="str">
        <x:v>SAINTEK</x:v>
      </x:c>
      <x:c r="P3571" t="str">
        <x:v>SAINS DASAR</x:v>
      </x:c>
      <x:c r="Q3571" s="18" t="n">
        <x:v>0</x:v>
      </x:c>
      <x:c r="R3571" s="18" t="n">
        <x:v>0</x:v>
      </x:c>
      <x:c r="S3571" s="18" t="n">
        <x:v>520</x:v>
      </x:c>
      <x:c r="T3571" s="18" t="n">
        <x:v>638</x:v>
      </x:c>
      <x:c r="U3571" s="18" t="n">
        <x:v>520</x:v>
      </x:c>
      <x:c r="V3571" s="20" t="n">
        <x:v>12</x:v>
      </x:c>
      <x:c r="W3571" s="20" t="n">
        <x:v>5</x:v>
      </x:c>
      <x:c r="X3571" s="20" t="n">
        <x:v>3</x:v>
      </x:c>
      <x:c r="Y3571" t="str">
        <x:v>Basis arsip 2025/2024</x:v>
      </x:c>
      <x:c r="Z3571" t="str">
        <x:v>https://snpmb.id/utbk-snbt/daya-tampung-snbt</x:v>
      </x:c>
      <x:c r="AA3571" t="str">
        <x:v>Tidak Ada</x:v>
      </x:c>
      <x:c r="AB3571" t="str">
        <x:v>Campus=55; Ratio=0.0; Prodi=50; RelDemand=12.6; Capacity=83.3</x:v>
      </x:c>
    </x:row>
    <x:row r="3572">
      <x:c r="A3572" t="n">
        <x:v>3569</x:v>
      </x:c>
      <x:c r="B3572" t="str">
        <x:v>PTN Akademik</x:v>
      </x:c>
      <x:c r="C3572" t="str">
        <x:v>UNIVERSITAS NEGERI GORONTALO</x:v>
      </x:c>
      <x:c r="D3572" t="str">
        <x:v>STATISTIKA</x:v>
      </x:c>
      <x:c r="E3572" t="str">
        <x:v>Sarjana</x:v>
      </x:c>
      <x:c r="F3572" s="18" t="n">
        <x:v>28</x:v>
      </x:c>
      <x:c r="G3572" s="18" t="n">
        <x:v>38</x:v>
      </x:c>
      <x:c r="H3572" s="19" t="n">
        <x:v>1.3571428571428572</x:v>
      </x:c>
      <x:c r="I3572" s="18" t="n">
        <x:f>ROUND(MIN(Model_Config_v3!$B$6,MAX(Q3572,R3572,S3572*Model_Config_v3!$B$4+T3572*Model_Config_v3!$B$5)),0)</x:f>
        <x:v>612</x:v>
      </x:c>
      <x:c r="J3572" s="18" t="n">
        <x:f>MIN(Model_Config_v3!$B$6,I3572+Model_Config_v3!$B$7)</x:f>
        <x:v>632</x:v>
      </x:c>
      <x:c r="K3572" s="20" t="n">
        <x:v>42.7</x:v>
      </x:c>
      <x:c r="L3572" t="str">
        <x:v>RELATIF LONGGAR</x:v>
      </x:c>
      <x:c r="M3572" t="str">
        <x:v>SEDANG+</x:v>
      </x:c>
      <x:c r="N3572" t="str">
        <x:v>REGULER</x:v>
      </x:c>
      <x:c r="O3572" t="str">
        <x:v>SAINTEK</x:v>
      </x:c>
      <x:c r="P3572" t="str">
        <x:v>TEKNIK/ARSITEKTUR/STATISTIKA/AKTUARIA</x:v>
      </x:c>
      <x:c r="Q3572" s="18" t="n">
        <x:v>0</x:v>
      </x:c>
      <x:c r="R3572" s="18" t="n">
        <x:v>0</x:v>
      </x:c>
      <x:c r="S3572" s="18" t="n">
        <x:v>534.588812180205</x:v>
      </x:c>
      <x:c r="T3572" s="18" t="n">
        <x:v>645</x:v>
      </x:c>
      <x:c r="U3572" s="18" t="n">
        <x:v>544.588812180205</x:v>
      </x:c>
      <x:c r="V3572" s="20" t="n">
        <x:v>12</x:v>
      </x:c>
      <x:c r="W3572" s="20" t="n">
        <x:v>5</x:v>
      </x:c>
      <x:c r="X3572" s="20" t="n">
        <x:v>3</x:v>
      </x:c>
      <x:c r="Y3572" t="str">
        <x:v>Basis arsip 2025/2024</x:v>
      </x:c>
      <x:c r="Z3572" t="str">
        <x:v>https://snpmb.id/utbk-snbt/daya-tampung-snbt</x:v>
      </x:c>
      <x:c r="AA3572" t="str">
        <x:v>Tidak Ada</x:v>
      </x:c>
      <x:c r="AB3572" t="str">
        <x:v>Campus=55; Ratio=7.8; Prodi=60; RelDemand=18.0; Capacity=76.7</x:v>
      </x:c>
    </x:row>
    <x:row r="3573">
      <x:c r="A3573" t="n">
        <x:v>3570</x:v>
      </x:c>
      <x:c r="B3573" t="str">
        <x:v>PTN Akademik</x:v>
      </x:c>
      <x:c r="C3573" t="str">
        <x:v>UNIVERSITAS NEGERI GORONTALO</x:v>
      </x:c>
      <x:c r="D3573" t="str">
        <x:v>PENDIDIKAN ILMU PENGETAHUAN ALAM</x:v>
      </x:c>
      <x:c r="E3573" t="str">
        <x:v>Sarjana</x:v>
      </x:c>
      <x:c r="F3573" s="18" t="n">
        <x:v>25</x:v>
      </x:c>
      <x:c r="G3573" s="18" t="n">
        <x:v>41</x:v>
      </x:c>
      <x:c r="H3573" s="19" t="n">
        <x:v>1.64</x:v>
      </x:c>
      <x:c r="I3573" s="18" t="n">
        <x:f>ROUND(MIN(Model_Config_v3!$B$6,MAX(Q3573,R3573,S3573*Model_Config_v3!$B$4+T3573*Model_Config_v3!$B$5)),0)</x:f>
        <x:v>613</x:v>
      </x:c>
      <x:c r="J3573" s="18" t="n">
        <x:f>MIN(Model_Config_v3!$B$6,I3573+Model_Config_v3!$B$7)</x:f>
        <x:v>633</x:v>
      </x:c>
      <x:c r="K3573" s="20" t="n">
        <x:v>41.5</x:v>
      </x:c>
      <x:c r="L3573" t="str">
        <x:v>RELATIF LONGGAR</x:v>
      </x:c>
      <x:c r="M3573" t="str">
        <x:v>SEDANG+</x:v>
      </x:c>
      <x:c r="N3573" t="str">
        <x:v>REGULER</x:v>
      </x:c>
      <x:c r="O3573" t="str">
        <x:v>CAMPURAN</x:v>
      </x:c>
      <x:c r="P3573" t="str">
        <x:v>PENDIDIKAN</x:v>
      </x:c>
      <x:c r="Q3573" s="18" t="n">
        <x:v>0</x:v>
      </x:c>
      <x:c r="R3573" s="18" t="n">
        <x:v>0</x:v>
      </x:c>
      <x:c r="S3573" s="18" t="n">
        <x:v>543.6328232852468</x:v>
      </x:c>
      <x:c r="T3573" s="18" t="n">
        <x:v>643</x:v>
      </x:c>
      <x:c r="U3573" s="18" t="n">
        <x:v>543.6328232852468</x:v>
      </x:c>
      <x:c r="V3573" s="20" t="n">
        <x:v>8.8</x:v>
      </x:c>
      <x:c r="W3573" s="20" t="n">
        <x:v>9.9</x:v>
      </x:c>
      <x:c r="X3573" s="20" t="n">
        <x:v>3.3</x:v>
      </x:c>
      <x:c r="Y3573" t="str">
        <x:v>Basis arsip 2025/2024</x:v>
      </x:c>
      <x:c r="Z3573" t="str">
        <x:v>https://snpmb.id/utbk-snbt/daya-tampung-snbt</x:v>
      </x:c>
      <x:c r="AA3573" t="str">
        <x:v>Tidak Ada</x:v>
      </x:c>
      <x:c r="AB3573" t="str">
        <x:v>Campus=55; Ratio=12.6; Prodi=45; RelDemand=21.8; Capacity=79.2</x:v>
      </x:c>
    </x:row>
    <x:row r="3574">
      <x:c r="A3574" t="n">
        <x:v>3571</x:v>
      </x:c>
      <x:c r="B3574" t="str">
        <x:v>PTN Akademik</x:v>
      </x:c>
      <x:c r="C3574" t="str">
        <x:v>UNIVERSITAS NEGERI GORONTALO</x:v>
      </x:c>
      <x:c r="D3574" t="str">
        <x:v>KEDOKTERAN</x:v>
      </x:c>
      <x:c r="E3574" t="str">
        <x:v>Sarjana</x:v>
      </x:c>
      <x:c r="F3574" s="18" t="n">
        <x:v>28</x:v>
      </x:c>
      <x:c r="G3574" s="18" t="n">
        <x:v>510</x:v>
      </x:c>
      <x:c r="H3574" s="19" t="n">
        <x:v>18.214285714285715</x:v>
      </x:c>
      <x:c r="I3574" s="18" t="n">
        <x:f>ROUND(MIN(Model_Config_v3!$B$6,MAX(Q3574,R3574,S3574*Model_Config_v3!$B$4+T3574*Model_Config_v3!$B$5)),0)</x:f>
        <x:v>695</x:v>
      </x:c>
      <x:c r="J3574" s="18" t="n">
        <x:f>MIN(Model_Config_v3!$B$6,I3574+Model_Config_v3!$B$7)</x:f>
        <x:v>715</x:v>
      </x:c>
      <x:c r="K3574" s="20" t="n">
        <x:v>75.5</x:v>
      </x:c>
      <x:c r="L3574" t="str">
        <x:v>ELITE</x:v>
      </x:c>
      <x:c r="M3574" t="str">
        <x:v>SEDANG+</x:v>
      </x:c>
      <x:c r="N3574" t="str">
        <x:v>REGULER</x:v>
      </x:c>
      <x:c r="O3574" t="str">
        <x:v>SAINTEK</x:v>
      </x:c>
      <x:c r="P3574" t="str">
        <x:v>KEDOKTERAN</x:v>
      </x:c>
      <x:c r="Q3574" s="18" t="n">
        <x:v>0</x:v>
      </x:c>
      <x:c r="R3574" s="18" t="n">
        <x:v>680</x:v>
      </x:c>
      <x:c r="S3574" s="18" t="n">
        <x:v>658.6453359231289</x:v>
      </x:c>
      <x:c r="T3574" s="18" t="n">
        <x:v>711</x:v>
      </x:c>
      <x:c r="U3574" s="18" t="n">
        <x:v>698.6453359231289</x:v>
      </x:c>
      <x:c r="V3574" s="20" t="n">
        <x:v>12</x:v>
      </x:c>
      <x:c r="W3574" s="20" t="n">
        <x:v>5</x:v>
      </x:c>
      <x:c r="X3574" s="20" t="n">
        <x:v>3</x:v>
      </x:c>
      <x:c r="Y3574" t="str">
        <x:v>Basis arsip 2025/2024</x:v>
      </x:c>
      <x:c r="Z3574" t="str">
        <x:v>https://snpmb.id/utbk-snbt/daya-tampung-snbt</x:v>
      </x:c>
      <x:c r="AA3574" t="str">
        <x:v>Tidak Ada</x:v>
      </x:c>
      <x:c r="AB3574" t="str">
        <x:v>Campus=55; Ratio=74.2; Prodi=100; RelDemand=100.0; Capacity=76.7</x:v>
      </x:c>
    </x:row>
    <x:row r="3575">
      <x:c r="A3575" t="n">
        <x:v>3572</x:v>
      </x:c>
      <x:c r="B3575" t="str">
        <x:v>PTN Akademik</x:v>
      </x:c>
      <x:c r="C3575" t="str">
        <x:v>UNIVERSITAS NEGERI GORONTALO</x:v>
      </x:c>
      <x:c r="D3575" t="str">
        <x:v>PERENCANAAN WILAYAH DAN KOTA</x:v>
      </x:c>
      <x:c r="E3575" t="str">
        <x:v>Sarjana</x:v>
      </x:c>
      <x:c r="F3575" s="18" t="n">
        <x:v>48</x:v>
      </x:c>
      <x:c r="G3575" s="18" t="n">
        <x:v>64</x:v>
      </x:c>
      <x:c r="H3575" s="19" t="n">
        <x:v>1.3333333333333333</x:v>
      </x:c>
      <x:c r="I3575" s="18" t="n">
        <x:f>ROUND(MIN(Model_Config_v3!$B$6,MAX(Q3575,R3575,S3575*Model_Config_v3!$B$4+T3575*Model_Config_v3!$B$5)),0)</x:f>
        <x:v>604</x:v>
      </x:c>
      <x:c r="J3575" s="18" t="n">
        <x:f>MIN(Model_Config_v3!$B$6,I3575+Model_Config_v3!$B$7)</x:f>
        <x:v>624</x:v>
      </x:c>
      <x:c r="K3575" s="20" t="n">
        <x:v>36.9</x:v>
      </x:c>
      <x:c r="L3575" t="str">
        <x:v>RELATIF LONGGAR</x:v>
      </x:c>
      <x:c r="M3575" t="str">
        <x:v>SEDANG</x:v>
      </x:c>
      <x:c r="N3575" t="str">
        <x:v>REGULER</x:v>
      </x:c>
      <x:c r="O3575" t="str">
        <x:v>CAMPURAN</x:v>
      </x:c>
      <x:c r="P3575" t="str">
        <x:v>UMUM</x:v>
      </x:c>
      <x:c r="Q3575" s="18" t="n">
        <x:v>0</x:v>
      </x:c>
      <x:c r="R3575" s="18" t="n">
        <x:v>0</x:v>
      </x:c>
      <x:c r="S3575" s="18" t="n">
        <x:v>533.7432610269129</x:v>
      </x:c>
      <x:c r="T3575" s="18" t="n">
        <x:v>634</x:v>
      </x:c>
      <x:c r="U3575" s="18" t="n">
        <x:v>533.7432610269129</x:v>
      </x:c>
      <x:c r="V3575" s="20" t="n">
        <x:v>8.8</x:v>
      </x:c>
      <x:c r="W3575" s="20" t="n">
        <x:v>9.9</x:v>
      </x:c>
      <x:c r="X3575" s="20" t="n">
        <x:v>3.3</x:v>
      </x:c>
      <x:c r="Y3575" t="str">
        <x:v>Basis arsip 2025/2024</x:v>
      </x:c>
      <x:c r="Z3575" t="str">
        <x:v>https://snpmb.id/utbk-snbt/daya-tampung-snbt</x:v>
      </x:c>
      <x:c r="AA3575" t="str">
        <x:v>Tidak Ada</x:v>
      </x:c>
      <x:c r="AB3575" t="str">
        <x:v>Campus=55; Ratio=7.4; Prodi=40; RelDemand=17.7; Capacity=60.0</x:v>
      </x:c>
    </x:row>
    <x:row r="3576">
      <x:c r="A3576" t="n">
        <x:v>3573</x:v>
      </x:c>
      <x:c r="B3576" t="str">
        <x:v>PTN Akademik</x:v>
      </x:c>
      <x:c r="C3576" t="str">
        <x:v>UNIVERSITAS NEGERI GORONTALO</x:v>
      </x:c>
      <x:c r="D3576" t="str">
        <x:v>PENDIDIKAN SEJARAH</x:v>
      </x:c>
      <x:c r="E3576" t="str">
        <x:v>Sarjana</x:v>
      </x:c>
      <x:c r="F3576" s="18" t="n">
        <x:v>85</x:v>
      </x:c>
      <x:c r="G3576" s="18" t="n">
        <x:v>62</x:v>
      </x:c>
      <x:c r="H3576" s="19" t="n">
        <x:v>0.7294117647058823</x:v>
      </x:c>
      <x:c r="I3576" s="18" t="n">
        <x:f>ROUND(MIN(Model_Config_v3!$B$6,MAX(Q3576,R3576,S3576*Model_Config_v3!$B$4+T3576*Model_Config_v3!$B$5)),0)</x:f>
        <x:v>593</x:v>
      </x:c>
      <x:c r="J3576" s="18" t="n">
        <x:f>MIN(Model_Config_v3!$B$6,I3576+Model_Config_v3!$B$7)</x:f>
        <x:v>613</x:v>
      </x:c>
      <x:c r="K3576" s="20" t="n">
        <x:v>32.1</x:v>
      </x:c>
      <x:c r="L3576" t="str">
        <x:v>RELATIF LONGGAR</x:v>
      </x:c>
      <x:c r="M3576" t="str">
        <x:v>SEDANG+</x:v>
      </x:c>
      <x:c r="N3576" t="str">
        <x:v>REGULER</x:v>
      </x:c>
      <x:c r="O3576" t="str">
        <x:v>SOSHUM</x:v>
      </x:c>
      <x:c r="P3576" t="str">
        <x:v>PENDIDIKAN</x:v>
      </x:c>
      <x:c r="Q3576" s="18" t="n">
        <x:v>0</x:v>
      </x:c>
      <x:c r="R3576" s="18" t="n">
        <x:v>0</x:v>
      </x:c>
      <x:c r="S3576" s="18" t="n">
        <x:v>520</x:v>
      </x:c>
      <x:c r="T3576" s="18" t="n">
        <x:v>624</x:v>
      </x:c>
      <x:c r="U3576" s="18" t="n">
        <x:v>520</x:v>
      </x:c>
      <x:c r="V3576" s="20" t="n">
        <x:v>4.4</x:v>
      </x:c>
      <x:c r="W3576" s="20" t="n">
        <x:v>14.3</x:v>
      </x:c>
      <x:c r="X3576" s="20" t="n">
        <x:v>3.3</x:v>
      </x:c>
      <x:c r="Y3576" t="str">
        <x:v>Basis arsip 2025/2024</x:v>
      </x:c>
      <x:c r="Z3576" t="str">
        <x:v>https://snpmb.id/utbk-snbt/daya-tampung-snbt</x:v>
      </x:c>
      <x:c r="AA3576" t="str">
        <x:v>Tidak Ada</x:v>
      </x:c>
      <x:c r="AB3576" t="str">
        <x:v>Campus=55; Ratio=0.0; Prodi=45; RelDemand=9.7; Capacity=29.2</x:v>
      </x:c>
    </x:row>
    <x:row r="3577">
      <x:c r="A3577" t="n">
        <x:v>3574</x:v>
      </x:c>
      <x:c r="B3577" t="str">
        <x:v>PTN Akademik</x:v>
      </x:c>
      <x:c r="C3577" t="str">
        <x:v>UNIVERSITAS NEGERI GORONTALO</x:v>
      </x:c>
      <x:c r="D3577" t="str">
        <x:v>PENDIDIKAN PANCASLA DAN KEWARGANEGARAAN</x:v>
      </x:c>
      <x:c r="E3577" t="str">
        <x:v>Sarjana</x:v>
      </x:c>
      <x:c r="F3577" s="18" t="n">
        <x:v>60</x:v>
      </x:c>
      <x:c r="G3577" s="18" t="n">
        <x:v>95</x:v>
      </x:c>
      <x:c r="H3577" s="19" t="n">
        <x:v>1.5833333333333333</x:v>
      </x:c>
      <x:c r="I3577" s="18" t="n">
        <x:f>ROUND(MIN(Model_Config_v3!$B$6,MAX(Q3577,R3577,S3577*Model_Config_v3!$B$4+T3577*Model_Config_v3!$B$5)),0)</x:f>
        <x:v>608</x:v>
      </x:c>
      <x:c r="J3577" s="18" t="n">
        <x:f>MIN(Model_Config_v3!$B$6,I3577+Model_Config_v3!$B$7)</x:f>
        <x:v>628</x:v>
      </x:c>
      <x:c r="K3577" s="20" t="n">
        <x:v>38.3</x:v>
      </x:c>
      <x:c r="L3577" t="str">
        <x:v>RELATIF LONGGAR</x:v>
      </x:c>
      <x:c r="M3577" t="str">
        <x:v>SEDANG+</x:v>
      </x:c>
      <x:c r="N3577" t="str">
        <x:v>REGULER</x:v>
      </x:c>
      <x:c r="O3577" t="str">
        <x:v>CAMPURAN</x:v>
      </x:c>
      <x:c r="P3577" t="str">
        <x:v>PENDIDIKAN</x:v>
      </x:c>
      <x:c r="Q3577" s="18" t="n">
        <x:v>0</x:v>
      </x:c>
      <x:c r="R3577" s="18" t="n">
        <x:v>0</x:v>
      </x:c>
      <x:c r="S3577" s="18" t="n">
        <x:v>541.9529590395724</x:v>
      </x:c>
      <x:c r="T3577" s="18" t="n">
        <x:v>637</x:v>
      </x:c>
      <x:c r="U3577" s="18" t="n">
        <x:v>541.9529590395724</x:v>
      </x:c>
      <x:c r="V3577" s="20" t="n">
        <x:v>8.8</x:v>
      </x:c>
      <x:c r="W3577" s="20" t="n">
        <x:v>9.9</x:v>
      </x:c>
      <x:c r="X3577" s="20" t="n">
        <x:v>3.3</x:v>
      </x:c>
      <x:c r="Y3577" t="str">
        <x:v>Basis arsip 2025/2024</x:v>
      </x:c>
      <x:c r="Z3577" t="str">
        <x:v>https://snpmb.id/utbk-snbt/daya-tampung-snbt</x:v>
      </x:c>
      <x:c r="AA3577" t="str">
        <x:v>Tidak Ada</x:v>
      </x:c>
      <x:c r="AB3577" t="str">
        <x:v>Campus=55; Ratio=11.7; Prodi=45; RelDemand=21.0; Capacity=50.0</x:v>
      </x:c>
    </x:row>
    <x:row r="3578">
      <x:c r="A3578" t="n">
        <x:v>3575</x:v>
      </x:c>
      <x:c r="B3578" t="str">
        <x:v>PTN Akademik</x:v>
      </x:c>
      <x:c r="C3578" t="str">
        <x:v>UNIVERSITAS NEGERI GORONTALO</x:v>
      </x:c>
      <x:c r="D3578" t="str">
        <x:v>PENDIDIKAN EKONOMI</x:v>
      </x:c>
      <x:c r="E3578" t="str">
        <x:v>Sarjana</x:v>
      </x:c>
      <x:c r="F3578" s="18" t="n">
        <x:v>100</x:v>
      </x:c>
      <x:c r="G3578" s="18" t="n">
        <x:v>166</x:v>
      </x:c>
      <x:c r="H3578" s="19" t="n">
        <x:v>1.66</x:v>
      </x:c>
      <x:c r="I3578" s="18" t="n">
        <x:f>ROUND(MIN(Model_Config_v3!$B$6,MAX(Q3578,R3578,S3578*Model_Config_v3!$B$4+T3578*Model_Config_v3!$B$5)),0)</x:f>
        <x:v>605</x:v>
      </x:c>
      <x:c r="J3578" s="18" t="n">
        <x:f>MIN(Model_Config_v3!$B$6,I3578+Model_Config_v3!$B$7)</x:f>
        <x:v>625</x:v>
      </x:c>
      <x:c r="K3578" s="20" t="n">
        <x:v>35.4</x:v>
      </x:c>
      <x:c r="L3578" t="str">
        <x:v>RELATIF LONGGAR</x:v>
      </x:c>
      <x:c r="M3578" t="str">
        <x:v>SEDANG+</x:v>
      </x:c>
      <x:c r="N3578" t="str">
        <x:v>REGULER</x:v>
      </x:c>
      <x:c r="O3578" t="str">
        <x:v>SOSHUM</x:v>
      </x:c>
      <x:c r="P3578" t="str">
        <x:v>PENDIDIKAN</x:v>
      </x:c>
      <x:c r="Q3578" s="18" t="n">
        <x:v>0</x:v>
      </x:c>
      <x:c r="R3578" s="18" t="n">
        <x:v>0</x:v>
      </x:c>
      <x:c r="S3578" s="18" t="n">
        <x:v>544.2118896844061</x:v>
      </x:c>
      <x:c r="T3578" s="18" t="n">
        <x:v>631</x:v>
      </x:c>
      <x:c r="U3578" s="18" t="n">
        <x:v>544.2118896844061</x:v>
      </x:c>
      <x:c r="V3578" s="20" t="n">
        <x:v>4.4</x:v>
      </x:c>
      <x:c r="W3578" s="20" t="n">
        <x:v>14.3</x:v>
      </x:c>
      <x:c r="X3578" s="20" t="n">
        <x:v>3.3</x:v>
      </x:c>
      <x:c r="Y3578" t="str">
        <x:v>Basis arsip 2025/2024</x:v>
      </x:c>
      <x:c r="Z3578" t="str">
        <x:v>https://snpmb.id/utbk-snbt/daya-tampung-snbt</x:v>
      </x:c>
      <x:c r="AA3578" t="str">
        <x:v>Tidak Ada</x:v>
      </x:c>
      <x:c r="AB3578" t="str">
        <x:v>Campus=55; Ratio=13.0; Prodi=45; RelDemand=22.1; Capacity=16.7</x:v>
      </x:c>
    </x:row>
    <x:row r="3579">
      <x:c r="A3579" t="n">
        <x:v>3576</x:v>
      </x:c>
      <x:c r="B3579" t="str">
        <x:v>PTN Akademik</x:v>
      </x:c>
      <x:c r="C3579" t="str">
        <x:v>UNIVERSITAS NEGERI GORONTALO</x:v>
      </x:c>
      <x:c r="D3579" t="str">
        <x:v>PENDIDIKAN JASMANI KESEHATAN DAN REKREASI</x:v>
      </x:c>
      <x:c r="E3579" t="str">
        <x:v>Sarjana</x:v>
      </x:c>
      <x:c r="F3579" s="18" t="n">
        <x:v>90</x:v>
      </x:c>
      <x:c r="G3579" s="18" t="n">
        <x:v>91</x:v>
      </x:c>
      <x:c r="H3579" s="19" t="n">
        <x:v>1.011111111111111</x:v>
      </x:c>
      <x:c r="I3579" s="18" t="n">
        <x:f>ROUND(MIN(Model_Config_v3!$B$6,MAX(Q3579,R3579,S3579*Model_Config_v3!$B$4+T3579*Model_Config_v3!$B$5)),0)</x:f>
        <x:v>593</x:v>
      </x:c>
      <x:c r="J3579" s="18" t="n">
        <x:f>MIN(Model_Config_v3!$B$6,I3579+Model_Config_v3!$B$7)</x:f>
        <x:v>613</x:v>
      </x:c>
      <x:c r="K3579" s="20" t="n">
        <x:v>32.2</x:v>
      </x:c>
      <x:c r="L3579" t="str">
        <x:v>RELATIF LONGGAR</x:v>
      </x:c>
      <x:c r="M3579" t="str">
        <x:v>PORTOFOLIO</x:v>
      </x:c>
      <x:c r="N3579" t="str">
        <x:v>REGULER</x:v>
      </x:c>
      <x:c r="O3579" t="str">
        <x:v>SENI/OLAHRAGA</x:v>
      </x:c>
      <x:c r="P3579" t="str">
        <x:v>SENI/OLAHRAGA</x:v>
      </x:c>
      <x:c r="Q3579" s="18" t="n">
        <x:v>0</x:v>
      </x:c>
      <x:c r="R3579" s="18" t="n">
        <x:v>0</x:v>
      </x:c>
      <x:c r="S3579" s="18" t="n">
        <x:v>520.5278771169945</x:v>
      </x:c>
      <x:c r="T3579" s="18" t="n">
        <x:v>624</x:v>
      </x:c>
      <x:c r="U3579" s="18" t="n">
        <x:v>520.5278771169945</x:v>
      </x:c>
      <x:c r="V3579" s="20" t="n">
        <x:v>4.4</x:v>
      </x:c>
      <x:c r="W3579" s="20" t="n">
        <x:v>9.9</x:v>
      </x:c>
      <x:c r="X3579" s="20" t="n">
        <x:v>7.7</x:v>
      </x:c>
      <x:c r="Y3579" t="str">
        <x:v>Basis arsip 2025/2024</x:v>
      </x:c>
      <x:c r="Z3579" t="str">
        <x:v>https://snpmb.id/utbk-snbt/daya-tampung-snbt</x:v>
      </x:c>
      <x:c r="AA3579" t="str">
        <x:v>Olahraga</x:v>
      </x:c>
      <x:c r="AB3579" t="str">
        <x:v>Campus=55; Ratio=0.3; Prodi=45; RelDemand=13.4; Capacity=25.0</x:v>
      </x:c>
    </x:row>
    <x:row r="3580">
      <x:c r="A3580" t="n">
        <x:v>3577</x:v>
      </x:c>
      <x:c r="B3580" t="str">
        <x:v>PTN Akademik</x:v>
      </x:c>
      <x:c r="C3580" t="str">
        <x:v>UNIVERSITAS NEGERI GORONTALO</x:v>
      </x:c>
      <x:c r="D3580" t="str">
        <x:v>PENDIDIKAN BAHASA DAN SASTRA INDONESIA</x:v>
      </x:c>
      <x:c r="E3580" t="str">
        <x:v>Sarjana</x:v>
      </x:c>
      <x:c r="F3580" s="18" t="n">
        <x:v>56</x:v>
      </x:c>
      <x:c r="G3580" s="18" t="n">
        <x:v>189</x:v>
      </x:c>
      <x:c r="H3580" s="19" t="n">
        <x:v>3.375</x:v>
      </x:c>
      <x:c r="I3580" s="18" t="n">
        <x:f>ROUND(MIN(Model_Config_v3!$B$6,MAX(Q3580,R3580,S3580*Model_Config_v3!$B$4+T3580*Model_Config_v3!$B$5)),0)</x:f>
        <x:v>630</x:v>
      </x:c>
      <x:c r="J3580" s="18" t="n">
        <x:f>MIN(Model_Config_v3!$B$6,I3580+Model_Config_v3!$B$7)</x:f>
        <x:v>650</x:v>
      </x:c>
      <x:c r="K3580" s="20" t="n">
        <x:v>45.8</x:v>
      </x:c>
      <x:c r="L3580" t="str">
        <x:v>MENENGAH</x:v>
      </x:c>
      <x:c r="M3580" t="str">
        <x:v>SEDANG+</x:v>
      </x:c>
      <x:c r="N3580" t="str">
        <x:v>REGULER</x:v>
      </x:c>
      <x:c r="O3580" t="str">
        <x:v>SOSHUM</x:v>
      </x:c>
      <x:c r="P3580" t="str">
        <x:v>PENDIDIKAN</x:v>
      </x:c>
      <x:c r="Q3580" s="18" t="n">
        <x:v>0</x:v>
      </x:c>
      <x:c r="R3580" s="18" t="n">
        <x:v>0</x:v>
      </x:c>
      <x:c r="S3580" s="18" t="n">
        <x:v>578.1101154883748</x:v>
      </x:c>
      <x:c r="T3580" s="18" t="n">
        <x:v>652</x:v>
      </x:c>
      <x:c r="U3580" s="18" t="n">
        <x:v>578.1101154883748</x:v>
      </x:c>
      <x:c r="V3580" s="20" t="n">
        <x:v>4.4</x:v>
      </x:c>
      <x:c r="W3580" s="20" t="n">
        <x:v>14.3</x:v>
      </x:c>
      <x:c r="X3580" s="20" t="n">
        <x:v>3.3</x:v>
      </x:c>
      <x:c r="Y3580" t="str">
        <x:v>Basis arsip 2025/2024</x:v>
      </x:c>
      <x:c r="Z3580" t="str">
        <x:v>https://snpmb.id/utbk-snbt/daya-tampung-snbt</x:v>
      </x:c>
      <x:c r="AA3580" t="str">
        <x:v>Tidak Ada</x:v>
      </x:c>
      <x:c r="AB3580" t="str">
        <x:v>Campus=55; Ratio=31.1; Prodi=45; RelDemand=44.9; Capacity=53.3</x:v>
      </x:c>
    </x:row>
    <x:row r="3581">
      <x:c r="A3581" t="n">
        <x:v>3578</x:v>
      </x:c>
      <x:c r="B3581" t="str">
        <x:v>PTN Akademik</x:v>
      </x:c>
      <x:c r="C3581" t="str">
        <x:v>UNIVERSITAS NEGERI GORONTALO</x:v>
      </x:c>
      <x:c r="D3581" t="str">
        <x:v>PENDIDIKAN BAHASA INGGRIS</x:v>
      </x:c>
      <x:c r="E3581" t="str">
        <x:v>Sarjana</x:v>
      </x:c>
      <x:c r="F3581" s="18" t="n">
        <x:v>80</x:v>
      </x:c>
      <x:c r="G3581" s="18" t="n">
        <x:v>119</x:v>
      </x:c>
      <x:c r="H3581" s="19" t="n">
        <x:v>1.4875</x:v>
      </x:c>
      <x:c r="I3581" s="18" t="n">
        <x:f>ROUND(MIN(Model_Config_v3!$B$6,MAX(Q3581,R3581,S3581*Model_Config_v3!$B$4+T3581*Model_Config_v3!$B$5)),0)</x:f>
        <x:v>604</x:v>
      </x:c>
      <x:c r="J3581" s="18" t="n">
        <x:f>MIN(Model_Config_v3!$B$6,I3581+Model_Config_v3!$B$7)</x:f>
        <x:v>624</x:v>
      </x:c>
      <x:c r="K3581" s="20" t="n">
        <x:v>36.1</x:v>
      </x:c>
      <x:c r="L3581" t="str">
        <x:v>RELATIF LONGGAR</x:v>
      </x:c>
      <x:c r="M3581" t="str">
        <x:v>SEDANG+</x:v>
      </x:c>
      <x:c r="N3581" t="str">
        <x:v>REGULER</x:v>
      </x:c>
      <x:c r="O3581" t="str">
        <x:v>SOSHUM</x:v>
      </x:c>
      <x:c r="P3581" t="str">
        <x:v>PENDIDIKAN</x:v>
      </x:c>
      <x:c r="Q3581" s="18" t="n">
        <x:v>0</x:v>
      </x:c>
      <x:c r="R3581" s="18" t="n">
        <x:v>0</x:v>
      </x:c>
      <x:c r="S3581" s="18" t="n">
        <x:v>538.9702671840646</x:v>
      </x:c>
      <x:c r="T3581" s="18" t="n">
        <x:v>632</x:v>
      </x:c>
      <x:c r="U3581" s="18" t="n">
        <x:v>538.9702671840646</x:v>
      </x:c>
      <x:c r="V3581" s="20" t="n">
        <x:v>4.4</x:v>
      </x:c>
      <x:c r="W3581" s="20" t="n">
        <x:v>14.3</x:v>
      </x:c>
      <x:c r="X3581" s="20" t="n">
        <x:v>3.3</x:v>
      </x:c>
      <x:c r="Y3581" t="str">
        <x:v>Basis arsip 2025/2024</x:v>
      </x:c>
      <x:c r="Z3581" t="str">
        <x:v>https://snpmb.id/utbk-snbt/daya-tampung-snbt</x:v>
      </x:c>
      <x:c r="AA3581" t="str">
        <x:v>Tidak Ada</x:v>
      </x:c>
      <x:c r="AB3581" t="str">
        <x:v>Campus=55; Ratio=10.2; Prodi=45; RelDemand=19.8; Capacity=33.3</x:v>
      </x:c>
    </x:row>
    <x:row r="3582">
      <x:c r="A3582" t="n">
        <x:v>3579</x:v>
      </x:c>
      <x:c r="B3582" t="str">
        <x:v>PTN Akademik</x:v>
      </x:c>
      <x:c r="C3582" t="str">
        <x:v>UNIVERSITAS NEGERI GORONTALO</x:v>
      </x:c>
      <x:c r="D3582" t="str">
        <x:v>PENDIDIKAN GURU SD</x:v>
      </x:c>
      <x:c r="E3582" t="str">
        <x:v>Sarjana</x:v>
      </x:c>
      <x:c r="F3582" s="18" t="n">
        <x:v>180</x:v>
      </x:c>
      <x:c r="G3582" s="18" t="n">
        <x:v>1012</x:v>
      </x:c>
      <x:c r="H3582" s="19" t="n">
        <x:v>5.622222222222222</x:v>
      </x:c>
      <x:c r="I3582" s="18" t="n">
        <x:f>ROUND(MIN(Model_Config_v3!$B$6,MAX(Q3582,R3582,S3582*Model_Config_v3!$B$4+T3582*Model_Config_v3!$B$5)),0)</x:f>
        <x:v>639</x:v>
      </x:c>
      <x:c r="J3582" s="18" t="n">
        <x:f>MIN(Model_Config_v3!$B$6,I3582+Model_Config_v3!$B$7)</x:f>
        <x:v>659</x:v>
      </x:c>
      <x:c r="K3582" s="20" t="n">
        <x:v>46.8</x:v>
      </x:c>
      <x:c r="L3582" t="str">
        <x:v>MENENGAH</x:v>
      </x:c>
      <x:c r="M3582" t="str">
        <x:v>SEDANG+</x:v>
      </x:c>
      <x:c r="N3582" t="str">
        <x:v>REGULER</x:v>
      </x:c>
      <x:c r="O3582" t="str">
        <x:v>CAMPURAN</x:v>
      </x:c>
      <x:c r="P3582" t="str">
        <x:v>PENDIDIKAN</x:v>
      </x:c>
      <x:c r="Q3582" s="18" t="n">
        <x:v>0</x:v>
      </x:c>
      <x:c r="R3582" s="18" t="n">
        <x:v>0</x:v>
      </x:c>
      <x:c r="S3582" s="18" t="n">
        <x:v>602.4898808140522</x:v>
      </x:c>
      <x:c r="T3582" s="18" t="n">
        <x:v>654</x:v>
      </x:c>
      <x:c r="U3582" s="18" t="n">
        <x:v>602.4898808140522</x:v>
      </x:c>
      <x:c r="V3582" s="20" t="n">
        <x:v>8.8</x:v>
      </x:c>
      <x:c r="W3582" s="20" t="n">
        <x:v>9.9</x:v>
      </x:c>
      <x:c r="X3582" s="20" t="n">
        <x:v>3.3</x:v>
      </x:c>
      <x:c r="Y3582" t="str">
        <x:v>Basis arsip 2025/2024</x:v>
      </x:c>
      <x:c r="Z3582" t="str">
        <x:v>https://snpmb.id/utbk-snbt/daya-tampung-snbt</x:v>
      </x:c>
      <x:c r="AA3582" t="str">
        <x:v>Tidak Ada</x:v>
      </x:c>
      <x:c r="AB3582" t="str">
        <x:v>Campus=55; Ratio=44.1; Prodi=45; RelDemand=74.7; Capacity=0.0</x:v>
      </x:c>
    </x:row>
    <x:row r="3583">
      <x:c r="A3583" t="n">
        <x:v>3580</x:v>
      </x:c>
      <x:c r="B3583" t="str">
        <x:v>PTN Akademik</x:v>
      </x:c>
      <x:c r="C3583" t="str">
        <x:v>UNIVERSITAS NEGERI GORONTALO</x:v>
      </x:c>
      <x:c r="D3583" t="str">
        <x:v>PENDIDIKAN ANAK USIA DINI</x:v>
      </x:c>
      <x:c r="E3583" t="str">
        <x:v>Sarjana</x:v>
      </x:c>
      <x:c r="F3583" s="18" t="n">
        <x:v>69</x:v>
      </x:c>
      <x:c r="G3583" s="18" t="n">
        <x:v>105</x:v>
      </x:c>
      <x:c r="H3583" s="19" t="n">
        <x:v>1.5217391304347827</x:v>
      </x:c>
      <x:c r="I3583" s="18" t="n">
        <x:f>ROUND(MIN(Model_Config_v3!$B$6,MAX(Q3583,R3583,S3583*Model_Config_v3!$B$4+T3583*Model_Config_v3!$B$5)),0)</x:f>
        <x:v>606</x:v>
      </x:c>
      <x:c r="J3583" s="18" t="n">
        <x:f>MIN(Model_Config_v3!$B$6,I3583+Model_Config_v3!$B$7)</x:f>
        <x:v>626</x:v>
      </x:c>
      <x:c r="K3583" s="20" t="n">
        <x:v>37.2</x:v>
      </x:c>
      <x:c r="L3583" t="str">
        <x:v>RELATIF LONGGAR</x:v>
      </x:c>
      <x:c r="M3583" t="str">
        <x:v>SEDANG+</x:v>
      </x:c>
      <x:c r="N3583" t="str">
        <x:v>REGULER</x:v>
      </x:c>
      <x:c r="O3583" t="str">
        <x:v>CAMPURAN</x:v>
      </x:c>
      <x:c r="P3583" t="str">
        <x:v>PENDIDIKAN</x:v>
      </x:c>
      <x:c r="Q3583" s="18" t="n">
        <x:v>0</x:v>
      </x:c>
      <x:c r="R3583" s="18" t="n">
        <x:v>0</x:v>
      </x:c>
      <x:c r="S3583" s="18" t="n">
        <x:v>540.0574229165951</x:v>
      </x:c>
      <x:c r="T3583" s="18" t="n">
        <x:v>634</x:v>
      </x:c>
      <x:c r="U3583" s="18" t="n">
        <x:v>540.0574229165951</x:v>
      </x:c>
      <x:c r="V3583" s="20" t="n">
        <x:v>8.8</x:v>
      </x:c>
      <x:c r="W3583" s="20" t="n">
        <x:v>9.9</x:v>
      </x:c>
      <x:c r="X3583" s="20" t="n">
        <x:v>3.3</x:v>
      </x:c>
      <x:c r="Y3583" t="str">
        <x:v>Basis arsip 2025/2024</x:v>
      </x:c>
      <x:c r="Z3583" t="str">
        <x:v>https://snpmb.id/utbk-snbt/daya-tampung-snbt</x:v>
      </x:c>
      <x:c r="AA3583" t="str">
        <x:v>Tidak Ada</x:v>
      </x:c>
      <x:c r="AB3583" t="str">
        <x:v>Campus=55; Ratio=10.7; Prodi=45; RelDemand=20.2; Capacity=42.5</x:v>
      </x:c>
    </x:row>
    <x:row r="3584">
      <x:c r="A3584" t="n">
        <x:v>3581</x:v>
      </x:c>
      <x:c r="B3584" t="str">
        <x:v>PTN Akademik</x:v>
      </x:c>
      <x:c r="C3584" t="str">
        <x:v>UNIVERSITAS NEGERI GORONTALO</x:v>
      </x:c>
      <x:c r="D3584" t="str">
        <x:v>PENDIDIKAN SENDRATASIK</x:v>
      </x:c>
      <x:c r="E3584" t="str">
        <x:v>Sarjana</x:v>
      </x:c>
      <x:c r="F3584" s="18" t="n">
        <x:v>20</x:v>
      </x:c>
      <x:c r="G3584" s="18" t="n">
        <x:v>23</x:v>
      </x:c>
      <x:c r="H3584" s="19" t="n">
        <x:v>1.15</x:v>
      </x:c>
      <x:c r="I3584" s="18" t="n">
        <x:f>ROUND(MIN(Model_Config_v3!$B$6,MAX(Q3584,R3584,S3584*Model_Config_v3!$B$4+T3584*Model_Config_v3!$B$5)),0)</x:f>
        <x:v>605</x:v>
      </x:c>
      <x:c r="J3584" s="18" t="n">
        <x:f>MIN(Model_Config_v3!$B$6,I3584+Model_Config_v3!$B$7)</x:f>
        <x:v>625</x:v>
      </x:c>
      <x:c r="K3584" s="20" t="n">
        <x:v>39</x:v>
      </x:c>
      <x:c r="L3584" t="str">
        <x:v>RELATIF LONGGAR</x:v>
      </x:c>
      <x:c r="M3584" t="str">
        <x:v>PORTOFOLIO</x:v>
      </x:c>
      <x:c r="N3584" t="str">
        <x:v>REGULER</x:v>
      </x:c>
      <x:c r="O3584" t="str">
        <x:v>SENI/OLAHRAGA</x:v>
      </x:c>
      <x:c r="P3584" t="str">
        <x:v>SENI/OLAHRAGA</x:v>
      </x:c>
      <x:c r="Q3584" s="18" t="n">
        <x:v>0</x:v>
      </x:c>
      <x:c r="R3584" s="18" t="n">
        <x:v>0</x:v>
      </x:c>
      <x:c r="S3584" s="18" t="n">
        <x:v>526.6767624388973</x:v>
      </x:c>
      <x:c r="T3584" s="18" t="n">
        <x:v>638</x:v>
      </x:c>
      <x:c r="U3584" s="18" t="n">
        <x:v>526.6767624388973</x:v>
      </x:c>
      <x:c r="V3584" s="20" t="n">
        <x:v>4.4</x:v>
      </x:c>
      <x:c r="W3584" s="20" t="n">
        <x:v>9.9</x:v>
      </x:c>
      <x:c r="X3584" s="20" t="n">
        <x:v>7.7</x:v>
      </x:c>
      <x:c r="Y3584" t="str">
        <x:v>Basis arsip 2025/2024</x:v>
      </x:c>
      <x:c r="Z3584" t="str">
        <x:v>https://snpmb.id/utbk-snbt/daya-tampung-snbt</x:v>
      </x:c>
      <x:c r="AA3584" t="str">
        <x:v>Sendratasik</x:v>
      </x:c>
      <x:c r="AB3584" t="str">
        <x:v>Campus=55; Ratio=3.6; Prodi=45; RelDemand=15.3; Capacity=83.3</x:v>
      </x:c>
    </x:row>
    <x:row r="3585">
      <x:c r="A3585" t="n">
        <x:v>3582</x:v>
      </x:c>
      <x:c r="B3585" t="str">
        <x:v>PTN Akademik</x:v>
      </x:c>
      <x:c r="C3585" t="str">
        <x:v>UNIVERSITAS NEGERI GORONTALO</x:v>
      </x:c>
      <x:c r="D3585" t="str">
        <x:v>BIMBINGAN DAN KONSELING</x:v>
      </x:c>
      <x:c r="E3585" t="str">
        <x:v>Sarjana</x:v>
      </x:c>
      <x:c r="F3585" s="18" t="n">
        <x:v>80</x:v>
      </x:c>
      <x:c r="G3585" s="18" t="n">
        <x:v>216</x:v>
      </x:c>
      <x:c r="H3585" s="19" t="n">
        <x:v>2.7</x:v>
      </x:c>
      <x:c r="I3585" s="18" t="n">
        <x:f>ROUND(MIN(Model_Config_v3!$B$6,MAX(Q3585,R3585,S3585*Model_Config_v3!$B$4+T3585*Model_Config_v3!$B$5)),0)</x:f>
        <x:v>619</x:v>
      </x:c>
      <x:c r="J3585" s="18" t="n">
        <x:f>MIN(Model_Config_v3!$B$6,I3585+Model_Config_v3!$B$7)</x:f>
        <x:v>639</x:v>
      </x:c>
      <x:c r="K3585" s="20" t="n">
        <x:v>40.5</x:v>
      </x:c>
      <x:c r="L3585" t="str">
        <x:v>RELATIF LONGGAR</x:v>
      </x:c>
      <x:c r="M3585" t="str">
        <x:v>SEDANG</x:v>
      </x:c>
      <x:c r="N3585" t="str">
        <x:v>REGULER</x:v>
      </x:c>
      <x:c r="O3585" t="str">
        <x:v>CAMPURAN</x:v>
      </x:c>
      <x:c r="P3585" t="str">
        <x:v>UMUM</x:v>
      </x:c>
      <x:c r="Q3585" s="18" t="n">
        <x:v>0</x:v>
      </x:c>
      <x:c r="R3585" s="18" t="n">
        <x:v>0</x:v>
      </x:c>
      <x:c r="S3585" s="18" t="n">
        <x:v>567.4500140574886</x:v>
      </x:c>
      <x:c r="T3585" s="18" t="n">
        <x:v>641</x:v>
      </x:c>
      <x:c r="U3585" s="18" t="n">
        <x:v>567.4500140574886</x:v>
      </x:c>
      <x:c r="V3585" s="20" t="n">
        <x:v>8.8</x:v>
      </x:c>
      <x:c r="W3585" s="20" t="n">
        <x:v>9.9</x:v>
      </x:c>
      <x:c r="X3585" s="20" t="n">
        <x:v>3.3</x:v>
      </x:c>
      <x:c r="Y3585" t="str">
        <x:v>Basis arsip 2025/2024</x:v>
      </x:c>
      <x:c r="Z3585" t="str">
        <x:v>https://snpmb.id/utbk-snbt/daya-tampung-snbt</x:v>
      </x:c>
      <x:c r="AA3585" t="str">
        <x:v>Tidak Ada</x:v>
      </x:c>
      <x:c r="AB3585" t="str">
        <x:v>Campus=55; Ratio=25.4; Prodi=40; RelDemand=35.9; Capacity=33.3</x:v>
      </x:c>
    </x:row>
    <x:row r="3586">
      <x:c r="A3586" t="n">
        <x:v>3583</x:v>
      </x:c>
      <x:c r="B3586" t="str">
        <x:v>PTN Akademik</x:v>
      </x:c>
      <x:c r="C3586" t="str">
        <x:v>UNIVERSITAS NEGERI GORONTALO</x:v>
      </x:c>
      <x:c r="D3586" t="str">
        <x:v>PENDIDIKAN MASYARAKAT</x:v>
      </x:c>
      <x:c r="E3586" t="str">
        <x:v>Sarjana</x:v>
      </x:c>
      <x:c r="F3586" s="18" t="n">
        <x:v>33</x:v>
      </x:c>
      <x:c r="G3586" s="18" t="n">
        <x:v>20</x:v>
      </x:c>
      <x:c r="H3586" s="19" t="n">
        <x:v>0.6060606060606061</x:v>
      </x:c>
      <x:c r="I3586" s="18" t="n">
        <x:f>ROUND(MIN(Model_Config_v3!$B$6,MAX(Q3586,R3586,S3586*Model_Config_v3!$B$4+T3586*Model_Config_v3!$B$5)),0)</x:f>
        <x:v>599</x:v>
      </x:c>
      <x:c r="J3586" s="18" t="n">
        <x:f>MIN(Model_Config_v3!$B$6,I3586+Model_Config_v3!$B$7)</x:f>
        <x:v>619</x:v>
      </x:c>
      <x:c r="K3586" s="20" t="n">
        <x:v>36.3</x:v>
      </x:c>
      <x:c r="L3586" t="str">
        <x:v>RELATIF LONGGAR</x:v>
      </x:c>
      <x:c r="M3586" t="str">
        <x:v>SEDANG+</x:v>
      </x:c>
      <x:c r="N3586" t="str">
        <x:v>REGULER</x:v>
      </x:c>
      <x:c r="O3586" t="str">
        <x:v>CAMPURAN</x:v>
      </x:c>
      <x:c r="P3586" t="str">
        <x:v>PENDIDIKAN</x:v>
      </x:c>
      <x:c r="Q3586" s="18" t="n">
        <x:v>0</x:v>
      </x:c>
      <x:c r="R3586" s="18" t="n">
        <x:v>0</x:v>
      </x:c>
      <x:c r="S3586" s="18" t="n">
        <x:v>520</x:v>
      </x:c>
      <x:c r="T3586" s="18" t="n">
        <x:v>633</x:v>
      </x:c>
      <x:c r="U3586" s="18" t="n">
        <x:v>520</x:v>
      </x:c>
      <x:c r="V3586" s="20" t="n">
        <x:v>8.8</x:v>
      </x:c>
      <x:c r="W3586" s="20" t="n">
        <x:v>9.9</x:v>
      </x:c>
      <x:c r="X3586" s="20" t="n">
        <x:v>3.3</x:v>
      </x:c>
      <x:c r="Y3586" t="str">
        <x:v>Basis arsip 2025/2024</x:v>
      </x:c>
      <x:c r="Z3586" t="str">
        <x:v>https://snpmb.id/utbk-snbt/daya-tampung-snbt</x:v>
      </x:c>
      <x:c r="AA3586" t="str">
        <x:v>Tidak Ada</x:v>
      </x:c>
      <x:c r="AB3586" t="str">
        <x:v>Campus=55; Ratio=0.0; Prodi=45; RelDemand=8.1; Capacity=72.5</x:v>
      </x:c>
    </x:row>
    <x:row r="3587">
      <x:c r="A3587" t="n">
        <x:v>3584</x:v>
      </x:c>
      <x:c r="B3587" t="str">
        <x:v>PTN Akademik</x:v>
      </x:c>
      <x:c r="C3587" t="str">
        <x:v>UNIVERSITAS NEGERI GORONTALO</x:v>
      </x:c>
      <x:c r="D3587" t="str">
        <x:v>MANAJEMEN PENDIDIKAN</x:v>
      </x:c>
      <x:c r="E3587" t="str">
        <x:v>Sarjana</x:v>
      </x:c>
      <x:c r="F3587" s="18" t="n">
        <x:v>80</x:v>
      </x:c>
      <x:c r="G3587" s="18" t="n">
        <x:v>155</x:v>
      </x:c>
      <x:c r="H3587" s="19" t="n">
        <x:v>1.9375</x:v>
      </x:c>
      <x:c r="I3587" s="18" t="n">
        <x:f>ROUND(MIN(Model_Config_v3!$B$6,MAX(Q3587,R3587,S3587*Model_Config_v3!$B$4+T3587*Model_Config_v3!$B$5)),0)</x:f>
        <x:v>617</x:v>
      </x:c>
      <x:c r="J3587" s="18" t="n">
        <x:f>MIN(Model_Config_v3!$B$6,I3587+Model_Config_v3!$B$7)</x:f>
        <x:v>637</x:v>
      </x:c>
      <x:c r="K3587" s="20" t="n">
        <x:v>42.4</x:v>
      </x:c>
      <x:c r="L3587" t="str">
        <x:v>RELATIF LONGGAR</x:v>
      </x:c>
      <x:c r="M3587" t="str">
        <x:v>SEDANG+</x:v>
      </x:c>
      <x:c r="N3587" t="str">
        <x:v>REGULER</x:v>
      </x:c>
      <x:c r="O3587" t="str">
        <x:v>SOSHUM</x:v>
      </x:c>
      <x:c r="P3587" t="str">
        <x:v>BISNIS/EKONOMI/AKUNTANSI</x:v>
      </x:c>
      <x:c r="Q3587" s="18" t="n">
        <x:v>0</x:v>
      </x:c>
      <x:c r="R3587" s="18" t="n">
        <x:v>0</x:v>
      </x:c>
      <x:c r="S3587" s="18" t="n">
        <x:v>551.5965882296183</x:v>
      </x:c>
      <x:c r="T3587" s="18" t="n">
        <x:v>645</x:v>
      </x:c>
      <x:c r="U3587" s="18" t="n">
        <x:v>566.5965882296183</x:v>
      </x:c>
      <x:c r="V3587" s="20" t="n">
        <x:v>4.4</x:v>
      </x:c>
      <x:c r="W3587" s="20" t="n">
        <x:v>14.3</x:v>
      </x:c>
      <x:c r="X3587" s="20" t="n">
        <x:v>3.3</x:v>
      </x:c>
      <x:c r="Y3587" t="str">
        <x:v>Basis arsip 2025/2024</x:v>
      </x:c>
      <x:c r="Z3587" t="str">
        <x:v>https://snpmb.id/utbk-snbt/daya-tampung-snbt</x:v>
      </x:c>
      <x:c r="AA3587" t="str">
        <x:v>Tidak Ada</x:v>
      </x:c>
      <x:c r="AB3587" t="str">
        <x:v>Campus=55; Ratio=16.9; Prodi=65; RelDemand=25.8; Capacity=33.3</x:v>
      </x:c>
    </x:row>
    <x:row r="3588">
      <x:c r="A3588" t="n">
        <x:v>3585</x:v>
      </x:c>
      <x:c r="B3588" t="str">
        <x:v>PTN Akademik</x:v>
      </x:c>
      <x:c r="C3588" t="str">
        <x:v>UNIVERSITAS NEGERI GORONTALO</x:v>
      </x:c>
      <x:c r="D3588" t="str">
        <x:v>ILMU HUKUM</x:v>
      </x:c>
      <x:c r="E3588" t="str">
        <x:v>Sarjana</x:v>
      </x:c>
      <x:c r="F3588" s="18" t="n">
        <x:v>150</x:v>
      </x:c>
      <x:c r="G3588" s="18" t="n">
        <x:v>505</x:v>
      </x:c>
      <x:c r="H3588" s="19" t="n">
        <x:v>3.3666666666666667</x:v>
      </x:c>
      <x:c r="I3588" s="18" t="n">
        <x:f>ROUND(MIN(Model_Config_v3!$B$6,MAX(Q3588,R3588,S3588*Model_Config_v3!$B$4+T3588*Model_Config_v3!$B$5)),0)</x:f>
        <x:v>628</x:v>
      </x:c>
      <x:c r="J3588" s="18" t="n">
        <x:f>MIN(Model_Config_v3!$B$6,I3588+Model_Config_v3!$B$7)</x:f>
        <x:v>648</x:v>
      </x:c>
      <x:c r="K3588" s="20" t="n">
        <x:v>44.5</x:v>
      </x:c>
      <x:c r="L3588" t="str">
        <x:v>RELATIF LONGGAR</x:v>
      </x:c>
      <x:c r="M3588" t="str">
        <x:v>SEDANG+</x:v>
      </x:c>
      <x:c r="N3588" t="str">
        <x:v>REGULER</x:v>
      </x:c>
      <x:c r="O3588" t="str">
        <x:v>SOSHUM</x:v>
      </x:c>
      <x:c r="P3588" t="str">
        <x:v>HUKUM</x:v>
      </x:c>
      <x:c r="Q3588" s="18" t="n">
        <x:v>0</x:v>
      </x:c>
      <x:c r="R3588" s="18" t="n">
        <x:v>0</x:v>
      </x:c>
      <x:c r="S3588" s="18" t="n">
        <x:v>577.9920130969278</x:v>
      </x:c>
      <x:c r="T3588" s="18" t="n">
        <x:v>649</x:v>
      </x:c>
      <x:c r="U3588" s="18" t="n">
        <x:v>592.9920130969278</x:v>
      </x:c>
      <x:c r="V3588" s="20" t="n">
        <x:v>4.4</x:v>
      </x:c>
      <x:c r="W3588" s="20" t="n">
        <x:v>14.3</x:v>
      </x:c>
      <x:c r="X3588" s="20" t="n">
        <x:v>3.3</x:v>
      </x:c>
      <x:c r="Y3588" t="str">
        <x:v>Basis arsip 2025/2024</x:v>
      </x:c>
      <x:c r="Z3588" t="str">
        <x:v>https://snpmb.id/utbk-snbt/daya-tampung-snbt</x:v>
      </x:c>
      <x:c r="AA3588" t="str">
        <x:v>Tidak Ada</x:v>
      </x:c>
      <x:c r="AB3588" t="str">
        <x:v>Campus=55; Ratio=31.0; Prodi=65; RelDemand=44.8; Capacity=0.0</x:v>
      </x:c>
    </x:row>
    <x:row r="3589">
      <x:c r="A3589" t="n">
        <x:v>3586</x:v>
      </x:c>
      <x:c r="B3589" t="str">
        <x:v>PTN Akademik</x:v>
      </x:c>
      <x:c r="C3589" t="str">
        <x:v>UNIVERSITAS NEGERI GORONTALO</x:v>
      </x:c>
      <x:c r="D3589" t="str">
        <x:v>AKUNTANSI</x:v>
      </x:c>
      <x:c r="E3589" t="str">
        <x:v>Sarjana</x:v>
      </x:c>
      <x:c r="F3589" s="18" t="n">
        <x:v>115</x:v>
      </x:c>
      <x:c r="G3589" s="18" t="n">
        <x:v>361</x:v>
      </x:c>
      <x:c r="H3589" s="19" t="n">
        <x:v>3.139130434782609</x:v>
      </x:c>
      <x:c r="I3589" s="18" t="n">
        <x:f>ROUND(MIN(Model_Config_v3!$B$6,MAX(Q3589,R3589,S3589*Model_Config_v3!$B$4+T3589*Model_Config_v3!$B$5)),0)</x:f>
        <x:v>626</x:v>
      </x:c>
      <x:c r="J3589" s="18" t="n">
        <x:f>MIN(Model_Config_v3!$B$6,I3589+Model_Config_v3!$B$7)</x:f>
        <x:v>646</x:v>
      </x:c>
      <x:c r="K3589" s="20" t="n">
        <x:v>44.2</x:v>
      </x:c>
      <x:c r="L3589" t="str">
        <x:v>RELATIF LONGGAR</x:v>
      </x:c>
      <x:c r="M3589" t="str">
        <x:v>SEDANG+</x:v>
      </x:c>
      <x:c r="N3589" t="str">
        <x:v>REGULER</x:v>
      </x:c>
      <x:c r="O3589" t="str">
        <x:v>SOSHUM</x:v>
      </x:c>
      <x:c r="P3589" t="str">
        <x:v>BISNIS/EKONOMI/AKUNTANSI</x:v>
      </x:c>
      <x:c r="Q3589" s="18" t="n">
        <x:v>0</x:v>
      </x:c>
      <x:c r="R3589" s="18" t="n">
        <x:v>0</x:v>
      </x:c>
      <x:c r="S3589" s="18" t="n">
        <x:v>574.6490297707251</x:v>
      </x:c>
      <x:c r="T3589" s="18" t="n">
        <x:v>648</x:v>
      </x:c>
      <x:c r="U3589" s="18" t="n">
        <x:v>574.6490297707251</x:v>
      </x:c>
      <x:c r="V3589" s="20" t="n">
        <x:v>4.4</x:v>
      </x:c>
      <x:c r="W3589" s="20" t="n">
        <x:v>14.3</x:v>
      </x:c>
      <x:c r="X3589" s="20" t="n">
        <x:v>3.3</x:v>
      </x:c>
      <x:c r="Y3589" t="str">
        <x:v>Basis arsip 2025/2024</x:v>
      </x:c>
      <x:c r="Z3589" t="str">
        <x:v>https://snpmb.id/utbk-snbt/daya-tampung-snbt</x:v>
      </x:c>
      <x:c r="AA3589" t="str">
        <x:v>Tidak Ada</x:v>
      </x:c>
      <x:c r="AB3589" t="str">
        <x:v>Campus=55; Ratio=29.2; Prodi=65; RelDemand=41.7; Capacity=4.2</x:v>
      </x:c>
    </x:row>
    <x:row r="3590">
      <x:c r="A3590" t="n">
        <x:v>3587</x:v>
      </x:c>
      <x:c r="B3590" t="str">
        <x:v>PTN Akademik</x:v>
      </x:c>
      <x:c r="C3590" t="str">
        <x:v>UNIVERSITAS NEGERI GORONTALO</x:v>
      </x:c>
      <x:c r="D3590" t="str">
        <x:v>MANAJEMEN</x:v>
      </x:c>
      <x:c r="E3590" t="str">
        <x:v>Sarjana</x:v>
      </x:c>
      <x:c r="F3590" s="18" t="n">
        <x:v>135</x:v>
      </x:c>
      <x:c r="G3590" s="18" t="n">
        <x:v>743</x:v>
      </x:c>
      <x:c r="H3590" s="19" t="n">
        <x:v>5.503703703703704</x:v>
      </x:c>
      <x:c r="I3590" s="18" t="n">
        <x:f>ROUND(MIN(Model_Config_v3!$B$6,MAX(Q3590,R3590,S3590*Model_Config_v3!$B$4+T3590*Model_Config_v3!$B$5)),0)</x:f>
        <x:v>643</x:v>
      </x:c>
      <x:c r="J3590" s="18" t="n">
        <x:f>MIN(Model_Config_v3!$B$6,I3590+Model_Config_v3!$B$7)</x:f>
        <x:v>663</x:v>
      </x:c>
      <x:c r="K3590" s="20" t="n">
        <x:v>50.5</x:v>
      </x:c>
      <x:c r="L3590" t="str">
        <x:v>MENENGAH</x:v>
      </x:c>
      <x:c r="M3590" t="str">
        <x:v>SEDANG+</x:v>
      </x:c>
      <x:c r="N3590" t="str">
        <x:v>REGULER</x:v>
      </x:c>
      <x:c r="O3590" t="str">
        <x:v>SOSHUM</x:v>
      </x:c>
      <x:c r="P3590" t="str">
        <x:v>BISNIS/EKONOMI/AKUNTANSI</x:v>
      </x:c>
      <x:c r="Q3590" s="18" t="n">
        <x:v>0</x:v>
      </x:c>
      <x:c r="R3590" s="18" t="n">
        <x:v>0</x:v>
      </x:c>
      <x:c r="S3590" s="18" t="n">
        <x:v>601.4720549792125</x:v>
      </x:c>
      <x:c r="T3590" s="18" t="n">
        <x:v>661</x:v>
      </x:c>
      <x:c r="U3590" s="18" t="n">
        <x:v>616.4720549792125</x:v>
      </x:c>
      <x:c r="V3590" s="20" t="n">
        <x:v>4.4</x:v>
      </x:c>
      <x:c r="W3590" s="20" t="n">
        <x:v>14.3</x:v>
      </x:c>
      <x:c r="X3590" s="20" t="n">
        <x:v>3.3</x:v>
      </x:c>
      <x:c r="Y3590" t="str">
        <x:v>Basis arsip 2025/2024</x:v>
      </x:c>
      <x:c r="Z3590" t="str">
        <x:v>https://snpmb.id/utbk-snbt/daya-tampung-snbt</x:v>
      </x:c>
      <x:c r="AA3590" t="str">
        <x:v>Tidak Ada</x:v>
      </x:c>
      <x:c r="AB3590" t="str">
        <x:v>Campus=55; Ratio=43.6; Prodi=65; RelDemand=73.2; Capacity=0.0</x:v>
      </x:c>
    </x:row>
    <x:row r="3591">
      <x:c r="A3591" t="n">
        <x:v>3588</x:v>
      </x:c>
      <x:c r="B3591" t="str">
        <x:v>PTN Akademik</x:v>
      </x:c>
      <x:c r="C3591" t="str">
        <x:v>UNIVERSITAS NEGERI GORONTALO</x:v>
      </x:c>
      <x:c r="D3591" t="str">
        <x:v>PENDIDIKAN KEPELATIHAN OLAHRAGA</x:v>
      </x:c>
      <x:c r="E3591" t="str">
        <x:v>Sarjana</x:v>
      </x:c>
      <x:c r="F3591" s="18" t="n">
        <x:v>48</x:v>
      </x:c>
      <x:c r="G3591" s="18" t="n">
        <x:v>67</x:v>
      </x:c>
      <x:c r="H3591" s="19" t="n">
        <x:v>1.3958333333333333</x:v>
      </x:c>
      <x:c r="I3591" s="18" t="n">
        <x:f>ROUND(MIN(Model_Config_v3!$B$6,MAX(Q3591,R3591,S3591*Model_Config_v3!$B$4+T3591*Model_Config_v3!$B$5)),0)</x:f>
        <x:v>606</x:v>
      </x:c>
      <x:c r="J3591" s="18" t="n">
        <x:f>MIN(Model_Config_v3!$B$6,I3591+Model_Config_v3!$B$7)</x:f>
        <x:v>626</x:v>
      </x:c>
      <x:c r="K3591" s="20" t="n">
        <x:v>38.2</x:v>
      </x:c>
      <x:c r="L3591" t="str">
        <x:v>RELATIF LONGGAR</x:v>
      </x:c>
      <x:c r="M3591" t="str">
        <x:v>PORTOFOLIO</x:v>
      </x:c>
      <x:c r="N3591" t="str">
        <x:v>REGULER</x:v>
      </x:c>
      <x:c r="O3591" t="str">
        <x:v>SENI/OLAHRAGA</x:v>
      </x:c>
      <x:c r="P3591" t="str">
        <x:v>SENI/OLAHRAGA</x:v>
      </x:c>
      <x:c r="Q3591" s="18" t="n">
        <x:v>0</x:v>
      </x:c>
      <x:c r="R3591" s="18" t="n">
        <x:v>0</x:v>
      </x:c>
      <x:c r="S3591" s="18" t="n">
        <x:v>535.9316921857763</x:v>
      </x:c>
      <x:c r="T3591" s="18" t="n">
        <x:v>636</x:v>
      </x:c>
      <x:c r="U3591" s="18" t="n">
        <x:v>535.9316921857763</x:v>
      </x:c>
      <x:c r="V3591" s="20" t="n">
        <x:v>4.4</x:v>
      </x:c>
      <x:c r="W3591" s="20" t="n">
        <x:v>9.9</x:v>
      </x:c>
      <x:c r="X3591" s="20" t="n">
        <x:v>7.7</x:v>
      </x:c>
      <x:c r="Y3591" t="str">
        <x:v>Basis arsip 2025/2024</x:v>
      </x:c>
      <x:c r="Z3591" t="str">
        <x:v>https://snpmb.id/utbk-snbt/daya-tampung-snbt</x:v>
      </x:c>
      <x:c r="AA3591" t="str">
        <x:v>Olahraga</x:v>
      </x:c>
      <x:c r="AB3591" t="str">
        <x:v>Campus=55; Ratio=8.5; Prodi=45; RelDemand=18.6; Capacity=60.0</x:v>
      </x:c>
    </x:row>
    <x:row r="3592">
      <x:c r="A3592" t="n">
        <x:v>3589</x:v>
      </x:c>
      <x:c r="B3592" t="str">
        <x:v>PTN Akademik</x:v>
      </x:c>
      <x:c r="C3592" t="str">
        <x:v>UNIVERSITAS NEGERI GORONTALO</x:v>
      </x:c>
      <x:c r="D3592" t="str">
        <x:v>SOSIOLOGI</x:v>
      </x:c>
      <x:c r="E3592" t="str">
        <x:v>Sarjana</x:v>
      </x:c>
      <x:c r="F3592" s="18" t="n">
        <x:v>60</x:v>
      </x:c>
      <x:c r="G3592" s="18" t="n">
        <x:v>71</x:v>
      </x:c>
      <x:c r="H3592" s="19" t="n">
        <x:v>1.1833333333333333</x:v>
      </x:c>
      <x:c r="I3592" s="18" t="n">
        <x:f>ROUND(MIN(Model_Config_v3!$B$6,MAX(Q3592,R3592,S3592*Model_Config_v3!$B$4+T3592*Model_Config_v3!$B$5)),0)</x:f>
        <x:v>599</x:v>
      </x:c>
      <x:c r="J3592" s="18" t="n">
        <x:f>MIN(Model_Config_v3!$B$6,I3592+Model_Config_v3!$B$7)</x:f>
        <x:v>619</x:v>
      </x:c>
      <x:c r="K3592" s="20" t="n">
        <x:v>34.9</x:v>
      </x:c>
      <x:c r="L3592" t="str">
        <x:v>RELATIF LONGGAR</x:v>
      </x:c>
      <x:c r="M3592" t="str">
        <x:v>SEDANG</x:v>
      </x:c>
      <x:c r="N3592" t="str">
        <x:v>REGULER</x:v>
      </x:c>
      <x:c r="O3592" t="str">
        <x:v>SOSHUM</x:v>
      </x:c>
      <x:c r="P3592" t="str">
        <x:v>UMUM</x:v>
      </x:c>
      <x:c r="Q3592" s="18" t="n">
        <x:v>0</x:v>
      </x:c>
      <x:c r="R3592" s="18" t="n">
        <x:v>0</x:v>
      </x:c>
      <x:c r="S3592" s="18" t="n">
        <x:v>528.0417808168975</x:v>
      </x:c>
      <x:c r="T3592" s="18" t="n">
        <x:v>630</x:v>
      </x:c>
      <x:c r="U3592" s="18" t="n">
        <x:v>528.0417808168975</x:v>
      </x:c>
      <x:c r="V3592" s="20" t="n">
        <x:v>4.4</x:v>
      </x:c>
      <x:c r="W3592" s="20" t="n">
        <x:v>14.3</x:v>
      </x:c>
      <x:c r="X3592" s="20" t="n">
        <x:v>3.3</x:v>
      </x:c>
      <x:c r="Y3592" t="str">
        <x:v>Basis arsip 2025/2024</x:v>
      </x:c>
      <x:c r="Z3592" t="str">
        <x:v>https://snpmb.id/utbk-snbt/daya-tampung-snbt</x:v>
      </x:c>
      <x:c r="AA3592" t="str">
        <x:v>Tidak Ada</x:v>
      </x:c>
      <x:c r="AB3592" t="str">
        <x:v>Campus=55; Ratio=4.3; Prodi=40; RelDemand=15.7; Capacity=50.0</x:v>
      </x:c>
    </x:row>
    <x:row r="3593">
      <x:c r="A3593" t="n">
        <x:v>3590</x:v>
      </x:c>
      <x:c r="B3593" t="str">
        <x:v>PTN Akademik</x:v>
      </x:c>
      <x:c r="C3593" t="str">
        <x:v>UNIVERSITAS NEGERI GORONTALO</x:v>
      </x:c>
      <x:c r="D3593" t="str">
        <x:v>ILMU KOMUNIKASI</x:v>
      </x:c>
      <x:c r="E3593" t="str">
        <x:v>Sarjana</x:v>
      </x:c>
      <x:c r="F3593" s="18" t="n">
        <x:v>80</x:v>
      </x:c>
      <x:c r="G3593" s="18" t="n">
        <x:v>357</x:v>
      </x:c>
      <x:c r="H3593" s="19" t="n">
        <x:v>4.4625</x:v>
      </x:c>
      <x:c r="I3593" s="18" t="n">
        <x:f>ROUND(MIN(Model_Config_v3!$B$6,MAX(Q3593,R3593,S3593*Model_Config_v3!$B$4+T3593*Model_Config_v3!$B$5)),0)</x:f>
        <x:v>634</x:v>
      </x:c>
      <x:c r="J3593" s="18" t="n">
        <x:f>MIN(Model_Config_v3!$B$6,I3593+Model_Config_v3!$B$7)</x:f>
        <x:v>654</x:v>
      </x:c>
      <x:c r="K3593" s="20" t="n">
        <x:v>46.1</x:v>
      </x:c>
      <x:c r="L3593" t="str">
        <x:v>MENENGAH</x:v>
      </x:c>
      <x:c r="M3593" t="str">
        <x:v>SEDANG</x:v>
      </x:c>
      <x:c r="N3593" t="str">
        <x:v>REGULER</x:v>
      </x:c>
      <x:c r="O3593" t="str">
        <x:v>SOSHUM</x:v>
      </x:c>
      <x:c r="P3593" t="str">
        <x:v>UMUM</x:v>
      </x:c>
      <x:c r="Q3593" s="18" t="n">
        <x:v>0</x:v>
      </x:c>
      <x:c r="R3593" s="18" t="n">
        <x:v>0</x:v>
      </x:c>
      <x:c r="S3593" s="18" t="n">
        <x:v>591.4536052032274</x:v>
      </x:c>
      <x:c r="T3593" s="18" t="n">
        <x:v>652</x:v>
      </x:c>
      <x:c r="U3593" s="18" t="n">
        <x:v>591.4536052032274</x:v>
      </x:c>
      <x:c r="V3593" s="20" t="n">
        <x:v>4.4</x:v>
      </x:c>
      <x:c r="W3593" s="20" t="n">
        <x:v>14.3</x:v>
      </x:c>
      <x:c r="X3593" s="20" t="n">
        <x:v>3.3</x:v>
      </x:c>
      <x:c r="Y3593" t="str">
        <x:v>Basis arsip 2025/2024</x:v>
      </x:c>
      <x:c r="Z3593" t="str">
        <x:v>https://snpmb.id/utbk-snbt/daya-tampung-snbt</x:v>
      </x:c>
      <x:c r="AA3593" t="str">
        <x:v>Tidak Ada</x:v>
      </x:c>
      <x:c r="AB3593" t="str">
        <x:v>Campus=55; Ratio=38.2; Prodi=40; RelDemand=59.3; Capacity=33.3</x:v>
      </x:c>
    </x:row>
    <x:row r="3594">
      <x:c r="A3594" t="n">
        <x:v>3591</x:v>
      </x:c>
      <x:c r="B3594" t="str">
        <x:v>PTN Akademik</x:v>
      </x:c>
      <x:c r="C3594" t="str">
        <x:v>UNIVERSITAS NEGERI GORONTALO</x:v>
      </x:c>
      <x:c r="D3594" t="str">
        <x:v>EKONOMI PEMBANGUNAN</x:v>
      </x:c>
      <x:c r="E3594" t="str">
        <x:v>Sarjana</x:v>
      </x:c>
      <x:c r="F3594" s="18" t="n">
        <x:v>54</x:v>
      </x:c>
      <x:c r="G3594" s="18" t="n">
        <x:v>74</x:v>
      </x:c>
      <x:c r="H3594" s="19" t="n">
        <x:v>1.3703703703703705</x:v>
      </x:c>
      <x:c r="I3594" s="18" t="n">
        <x:f>ROUND(MIN(Model_Config_v3!$B$6,MAX(Q3594,R3594,S3594*Model_Config_v3!$B$4+T3594*Model_Config_v3!$B$5)),0)</x:f>
        <x:v>611</x:v>
      </x:c>
      <x:c r="J3594" s="18" t="n">
        <x:f>MIN(Model_Config_v3!$B$6,I3594+Model_Config_v3!$B$7)</x:f>
        <x:v>631</x:v>
      </x:c>
      <x:c r="K3594" s="20" t="n">
        <x:v>41.6</x:v>
      </x:c>
      <x:c r="L3594" t="str">
        <x:v>RELATIF LONGGAR</x:v>
      </x:c>
      <x:c r="M3594" t="str">
        <x:v>SEDANG+</x:v>
      </x:c>
      <x:c r="N3594" t="str">
        <x:v>REGULER</x:v>
      </x:c>
      <x:c r="O3594" t="str">
        <x:v>SOSHUM</x:v>
      </x:c>
      <x:c r="P3594" t="str">
        <x:v>BISNIS/EKONOMI/AKUNTANSI</x:v>
      </x:c>
      <x:c r="Q3594" s="18" t="n">
        <x:v>0</x:v>
      </x:c>
      <x:c r="R3594" s="18" t="n">
        <x:v>0</x:v>
      </x:c>
      <x:c r="S3594" s="18" t="n">
        <x:v>535.0521755898809</x:v>
      </x:c>
      <x:c r="T3594" s="18" t="n">
        <x:v>643</x:v>
      </x:c>
      <x:c r="U3594" s="18" t="n">
        <x:v>535.0521755898809</x:v>
      </x:c>
      <x:c r="V3594" s="20" t="n">
        <x:v>4.4</x:v>
      </x:c>
      <x:c r="W3594" s="20" t="n">
        <x:v>14.3</x:v>
      </x:c>
      <x:c r="X3594" s="20" t="n">
        <x:v>3.3</x:v>
      </x:c>
      <x:c r="Y3594" t="str">
        <x:v>Basis arsip 2025/2024</x:v>
      </x:c>
      <x:c r="Z3594" t="str">
        <x:v>https://snpmb.id/utbk-snbt/daya-tampung-snbt</x:v>
      </x:c>
      <x:c r="AA3594" t="str">
        <x:v>Tidak Ada</x:v>
      </x:c>
      <x:c r="AB3594" t="str">
        <x:v>Campus=55; Ratio=8.1; Prodi=65; RelDemand=18.2; Capacity=55.0</x:v>
      </x:c>
    </x:row>
    <x:row r="3595">
      <x:c r="A3595" t="n">
        <x:v>3592</x:v>
      </x:c>
      <x:c r="B3595" t="str">
        <x:v>PTN Akademik</x:v>
      </x:c>
      <x:c r="C3595" t="str">
        <x:v>UNIVERSITAS NEGERI GORONTALO</x:v>
      </x:c>
      <x:c r="D3595" t="str">
        <x:v>ADMINISTRASI PUBLIK</x:v>
      </x:c>
      <x:c r="E3595" t="str">
        <x:v>Sarjana</x:v>
      </x:c>
      <x:c r="F3595" s="18" t="n">
        <x:v>80</x:v>
      </x:c>
      <x:c r="G3595" s="18" t="n">
        <x:v>358</x:v>
      </x:c>
      <x:c r="H3595" s="19" t="n">
        <x:v>4.475</x:v>
      </x:c>
      <x:c r="I3595" s="18" t="n">
        <x:f>ROUND(MIN(Model_Config_v3!$B$6,MAX(Q3595,R3595,S3595*Model_Config_v3!$B$4+T3595*Model_Config_v3!$B$5)),0)</x:f>
        <x:v>634</x:v>
      </x:c>
      <x:c r="J3595" s="18" t="n">
        <x:f>MIN(Model_Config_v3!$B$6,I3595+Model_Config_v3!$B$7)</x:f>
        <x:v>654</x:v>
      </x:c>
      <x:c r="K3595" s="20" t="n">
        <x:v>46.1</x:v>
      </x:c>
      <x:c r="L3595" t="str">
        <x:v>MENENGAH</x:v>
      </x:c>
      <x:c r="M3595" t="str">
        <x:v>SEDANG</x:v>
      </x:c>
      <x:c r="N3595" t="str">
        <x:v>REGULER</x:v>
      </x:c>
      <x:c r="O3595" t="str">
        <x:v>SOSHUM</x:v>
      </x:c>
      <x:c r="P3595" t="str">
        <x:v>UMUM</x:v>
      </x:c>
      <x:c r="Q3595" s="18" t="n">
        <x:v>0</x:v>
      </x:c>
      <x:c r="R3595" s="18" t="n">
        <x:v>0</x:v>
      </x:c>
      <x:c r="S3595" s="18" t="n">
        <x:v>591.5872343617124</x:v>
      </x:c>
      <x:c r="T3595" s="18" t="n">
        <x:v>652</x:v>
      </x:c>
      <x:c r="U3595" s="18" t="n">
        <x:v>591.5872343617124</x:v>
      </x:c>
      <x:c r="V3595" s="20" t="n">
        <x:v>4.4</x:v>
      </x:c>
      <x:c r="W3595" s="20" t="n">
        <x:v>14.3</x:v>
      </x:c>
      <x:c r="X3595" s="20" t="n">
        <x:v>3.3</x:v>
      </x:c>
      <x:c r="Y3595" t="str">
        <x:v>Basis arsip 2025/2024</x:v>
      </x:c>
      <x:c r="Z3595" t="str">
        <x:v>https://snpmb.id/utbk-snbt/daya-tampung-snbt</x:v>
      </x:c>
      <x:c r="AA3595" t="str">
        <x:v>Tidak Ada</x:v>
      </x:c>
      <x:c r="AB3595" t="str">
        <x:v>Campus=55; Ratio=38.3; Prodi=40; RelDemand=59.5; Capacity=33.3</x:v>
      </x:c>
    </x:row>
    <x:row r="3596">
      <x:c r="A3596" t="n">
        <x:v>3593</x:v>
      </x:c>
      <x:c r="B3596" t="str">
        <x:v>PTN Akademik</x:v>
      </x:c>
      <x:c r="C3596" t="str">
        <x:v>UNIVERSITAS NEGERI GORONTALO</x:v>
      </x:c>
      <x:c r="D3596" t="str">
        <x:v>PENDIDIKAN GEOGRAFI</x:v>
      </x:c>
      <x:c r="E3596" t="str">
        <x:v>Sarjana</x:v>
      </x:c>
      <x:c r="F3596" s="18" t="n">
        <x:v>26</x:v>
      </x:c>
      <x:c r="G3596" s="18" t="n">
        <x:v>31</x:v>
      </x:c>
      <x:c r="H3596" s="19" t="n">
        <x:v>1.1923076923076923</x:v>
      </x:c>
      <x:c r="I3596" s="18" t="n">
        <x:f>ROUND(MIN(Model_Config_v3!$B$6,MAX(Q3596,R3596,S3596*Model_Config_v3!$B$4+T3596*Model_Config_v3!$B$5)),0)</x:f>
        <x:v>605</x:v>
      </x:c>
      <x:c r="J3596" s="18" t="n">
        <x:f>MIN(Model_Config_v3!$B$6,I3596+Model_Config_v3!$B$7)</x:f>
        <x:v>625</x:v>
      </x:c>
      <x:c r="K3596" s="20" t="n">
        <x:v>38.8</x:v>
      </x:c>
      <x:c r="L3596" t="str">
        <x:v>RELATIF LONGGAR</x:v>
      </x:c>
      <x:c r="M3596" t="str">
        <x:v>SEDANG+</x:v>
      </x:c>
      <x:c r="N3596" t="str">
        <x:v>REGULER</x:v>
      </x:c>
      <x:c r="O3596" t="str">
        <x:v>CAMPURAN</x:v>
      </x:c>
      <x:c r="P3596" t="str">
        <x:v>PENDIDIKAN</x:v>
      </x:c>
      <x:c r="Q3596" s="18" t="n">
        <x:v>0</x:v>
      </x:c>
      <x:c r="R3596" s="18" t="n">
        <x:v>0</x:v>
      </x:c>
      <x:c r="S3596" s="18" t="n">
        <x:v>528.40271804498</x:v>
      </x:c>
      <x:c r="T3596" s="18" t="n">
        <x:v>638</x:v>
      </x:c>
      <x:c r="U3596" s="18" t="n">
        <x:v>528.40271804498</x:v>
      </x:c>
      <x:c r="V3596" s="20" t="n">
        <x:v>8.8</x:v>
      </x:c>
      <x:c r="W3596" s="20" t="n">
        <x:v>9.9</x:v>
      </x:c>
      <x:c r="X3596" s="20" t="n">
        <x:v>3.3</x:v>
      </x:c>
      <x:c r="Y3596" t="str">
        <x:v>Basis arsip 2025/2024</x:v>
      </x:c>
      <x:c r="Z3596" t="str">
        <x:v>https://snpmb.id/utbk-snbt/daya-tampung-snbt</x:v>
      </x:c>
      <x:c r="AA3596" t="str">
        <x:v>Tidak Ada</x:v>
      </x:c>
      <x:c r="AB3596" t="str">
        <x:v>Campus=55; Ratio=4.5; Prodi=45; RelDemand=15.8; Capacity=78.3</x:v>
      </x:c>
    </x:row>
    <x:row r="3597">
      <x:c r="A3597" t="n">
        <x:v>3594</x:v>
      </x:c>
      <x:c r="B3597" t="str">
        <x:v>PTN Akademik</x:v>
      </x:c>
      <x:c r="C3597" t="str">
        <x:v>UNIVERSITAS NEGERI GORONTALO</x:v>
      </x:c>
      <x:c r="D3597" t="str">
        <x:v>PENDIDIKAN SENI RUPA</x:v>
      </x:c>
      <x:c r="E3597" t="str">
        <x:v>Sarjana</x:v>
      </x:c>
      <x:c r="F3597" s="18" t="n">
        <x:v>25</x:v>
      </x:c>
      <x:c r="G3597" s="18" t="n">
        <x:v>32</x:v>
      </x:c>
      <x:c r="H3597" s="19" t="n">
        <x:v>1.28</x:v>
      </x:c>
      <x:c r="I3597" s="18" t="n">
        <x:f>ROUND(MIN(Model_Config_v3!$B$6,MAX(Q3597,R3597,S3597*Model_Config_v3!$B$4+T3597*Model_Config_v3!$B$5)),0)</x:f>
        <x:v>607</x:v>
      </x:c>
      <x:c r="J3597" s="18" t="n">
        <x:f>MIN(Model_Config_v3!$B$6,I3597+Model_Config_v3!$B$7)</x:f>
        <x:v>627</x:v>
      </x:c>
      <x:c r="K3597" s="20" t="n">
        <x:v>39.4</x:v>
      </x:c>
      <x:c r="L3597" t="str">
        <x:v>RELATIF LONGGAR</x:v>
      </x:c>
      <x:c r="M3597" t="str">
        <x:v>SEDANG+</x:v>
      </x:c>
      <x:c r="N3597" t="str">
        <x:v>REGULER</x:v>
      </x:c>
      <x:c r="O3597" t="str">
        <x:v>CAMPURAN</x:v>
      </x:c>
      <x:c r="P3597" t="str">
        <x:v>PENDIDIKAN</x:v>
      </x:c>
      <x:c r="Q3597" s="18" t="n">
        <x:v>0</x:v>
      </x:c>
      <x:c r="R3597" s="18" t="n">
        <x:v>0</x:v>
      </x:c>
      <x:c r="S3597" s="18" t="n">
        <x:v>531.7930966612655</x:v>
      </x:c>
      <x:c r="T3597" s="18" t="n">
        <x:v>639</x:v>
      </x:c>
      <x:c r="U3597" s="18" t="n">
        <x:v>531.7930966612655</x:v>
      </x:c>
      <x:c r="V3597" s="20" t="n">
        <x:v>8.8</x:v>
      </x:c>
      <x:c r="W3597" s="20" t="n">
        <x:v>9.9</x:v>
      </x:c>
      <x:c r="X3597" s="20" t="n">
        <x:v>3.3</x:v>
      </x:c>
      <x:c r="Y3597" t="str">
        <x:v>Basis arsip 2025/2024</x:v>
      </x:c>
      <x:c r="Z3597" t="str">
        <x:v>https://snpmb.id/utbk-snbt/daya-tampung-snbt</x:v>
      </x:c>
      <x:c r="AA3597" t="str">
        <x:v>Tidak Ada</x:v>
      </x:c>
      <x:c r="AB3597" t="str">
        <x:v>Campus=55; Ratio=6.3; Prodi=45; RelDemand=17.0; Capacity=79.2</x:v>
      </x:c>
    </x:row>
    <x:row r="3598">
      <x:c r="A3598" t="n">
        <x:v>3595</x:v>
      </x:c>
      <x:c r="B3598" t="str">
        <x:v>PTN Akademik</x:v>
      </x:c>
      <x:c r="C3598" t="str">
        <x:v>UNIVERSITAS NEGERI GORONTALO</x:v>
      </x:c>
      <x:c r="D3598" t="str">
        <x:v>PSIKOLOGI</x:v>
      </x:c>
      <x:c r="E3598" t="str">
        <x:v>Sarjana</x:v>
      </x:c>
      <x:c r="F3598" s="18" t="n">
        <x:v>44</x:v>
      </x:c>
      <x:c r="G3598" s="18" t="n">
        <x:v>334</x:v>
      </x:c>
      <x:c r="H3598" s="19" t="n">
        <x:v>7.590909090909091</x:v>
      </x:c>
      <x:c r="I3598" s="18" t="n">
        <x:f>ROUND(MIN(Model_Config_v3!$B$6,MAX(Q3598,R3598,S3598*Model_Config_v3!$B$4+T3598*Model_Config_v3!$B$5)),0)</x:f>
        <x:v>667</x:v>
      </x:c>
      <x:c r="J3598" s="18" t="n">
        <x:f>MIN(Model_Config_v3!$B$6,I3598+Model_Config_v3!$B$7)</x:f>
        <x:v>687</x:v>
      </x:c>
      <x:c r="K3598" s="20" t="n">
        <x:v>64.5</x:v>
      </x:c>
      <x:c r="L3598" t="str">
        <x:v>KETAT</x:v>
      </x:c>
      <x:c r="M3598" t="str">
        <x:v>SEDANG+</x:v>
      </x:c>
      <x:c r="N3598" t="str">
        <x:v>REGULER</x:v>
      </x:c>
      <x:c r="O3598" t="str">
        <x:v>SOSHUM</x:v>
      </x:c>
      <x:c r="P3598" t="str">
        <x:v>PSIKOLOGI</x:v>
      </x:c>
      <x:c r="Q3598" s="18" t="n">
        <x:v>0</x:v>
      </x:c>
      <x:c r="R3598" s="18" t="n">
        <x:v>0</x:v>
      </x:c>
      <x:c r="S3598" s="18" t="n">
        <x:v>616.8323169357915</x:v>
      </x:c>
      <x:c r="T3598" s="18" t="n">
        <x:v>689</x:v>
      </x:c>
      <x:c r="U3598" s="18" t="n">
        <x:v>641.8323169357915</x:v>
      </x:c>
      <x:c r="V3598" s="20" t="n">
        <x:v>4.4</x:v>
      </x:c>
      <x:c r="W3598" s="20" t="n">
        <x:v>14.3</x:v>
      </x:c>
      <x:c r="X3598" s="20" t="n">
        <x:v>3.3</x:v>
      </x:c>
      <x:c r="Y3598" t="str">
        <x:v>Basis arsip 2025/2024</x:v>
      </x:c>
      <x:c r="Z3598" t="str">
        <x:v>https://snpmb.id/utbk-snbt/daya-tampung-snbt</x:v>
      </x:c>
      <x:c r="AA3598" t="str">
        <x:v>Tidak Ada</x:v>
      </x:c>
      <x:c r="AB3598" t="str">
        <x:v>Campus=55; Ratio=51.8; Prodi=80; RelDemand=100.0; Capacity=63.3</x:v>
      </x:c>
    </x:row>
    <x:row r="3599">
      <x:c r="A3599" t="n">
        <x:v>3596</x:v>
      </x:c>
      <x:c r="B3599" t="str">
        <x:v>PTN Akademik</x:v>
      </x:c>
      <x:c r="C3599" t="str">
        <x:v>UNIVERSITAS NEGERI GORONTALO</x:v>
      </x:c>
      <x:c r="D3599" t="str">
        <x:v>TEKNIK KOMPUTER</x:v>
      </x:c>
      <x:c r="E3599" t="str">
        <x:v>Sarjana</x:v>
      </x:c>
      <x:c r="F3599" s="18" t="n">
        <x:v>50</x:v>
      </x:c>
      <x:c r="G3599" s="18" t="n">
        <x:v>229</x:v>
      </x:c>
      <x:c r="H3599" s="19" t="n">
        <x:v>4.58</x:v>
      </x:c>
      <x:c r="I3599" s="18" t="n">
        <x:f>ROUND(MIN(Model_Config_v3!$B$6,MAX(Q3599,R3599,S3599*Model_Config_v3!$B$4+T3599*Model_Config_v3!$B$5)),0)</x:f>
        <x:v>651</x:v>
      </x:c>
      <x:c r="J3599" s="18" t="n">
        <x:f>MIN(Model_Config_v3!$B$6,I3599+Model_Config_v3!$B$7)</x:f>
        <x:v>671</x:v>
      </x:c>
      <x:c r="K3599" s="20" t="n">
        <x:v>57.9</x:v>
      </x:c>
      <x:c r="L3599" t="str">
        <x:v>KETAT</x:v>
      </x:c>
      <x:c r="M3599" t="str">
        <x:v>SEDANG+</x:v>
      </x:c>
      <x:c r="N3599" t="str">
        <x:v>REGULER</x:v>
      </x:c>
      <x:c r="O3599" t="str">
        <x:v>SAINTEK</x:v>
      </x:c>
      <x:c r="P3599" t="str">
        <x:v>KOMPUTER/INFORMATIKA</x:v>
      </x:c>
      <x:c r="Q3599" s="18" t="n">
        <x:v>0</x:v>
      </x:c>
      <x:c r="R3599" s="18" t="n">
        <x:v>0</x:v>
      </x:c>
      <x:c r="S3599" s="18" t="n">
        <x:v>592.6952025804256</x:v>
      </x:c>
      <x:c r="T3599" s="18" t="n">
        <x:v>676</x:v>
      </x:c>
      <x:c r="U3599" s="18" t="n">
        <x:v>617.6952025804256</x:v>
      </x:c>
      <x:c r="V3599" s="20" t="n">
        <x:v>12</x:v>
      </x:c>
      <x:c r="W3599" s="20" t="n">
        <x:v>5</x:v>
      </x:c>
      <x:c r="X3599" s="20" t="n">
        <x:v>3</x:v>
      </x:c>
      <x:c r="Y3599" t="str">
        <x:v>Basis arsip 2025/2024</x:v>
      </x:c>
      <x:c r="Z3599" t="str">
        <x:v>https://snpmb.id/utbk-snbt/daya-tampung-snbt</x:v>
      </x:c>
      <x:c r="AA3599" t="str">
        <x:v>Tidak Ada</x:v>
      </x:c>
      <x:c r="AB3599" t="str">
        <x:v>Campus=55; Ratio=38.9; Prodi=85; RelDemand=60.9; Capacity=58.3</x:v>
      </x:c>
    </x:row>
    <x:row r="3600">
      <x:c r="A3600" t="n">
        <x:v>3597</x:v>
      </x:c>
      <x:c r="B3600" t="str">
        <x:v>PTN Akademik</x:v>
      </x:c>
      <x:c r="C3600" t="str">
        <x:v>UNIVERSITAS NEGERI GORONTALO</x:v>
      </x:c>
      <x:c r="D3600" t="str">
        <x:v>ILMU KELAUTAN</x:v>
      </x:c>
      <x:c r="E3600" t="str">
        <x:v>Sarjana</x:v>
      </x:c>
      <x:c r="F3600" s="18" t="n">
        <x:v>25</x:v>
      </x:c>
      <x:c r="G3600" s="18" t="n">
        <x:v>26</x:v>
      </x:c>
      <x:c r="H3600" s="19" t="n">
        <x:v>1.04</x:v>
      </x:c>
      <x:c r="I3600" s="18" t="n">
        <x:f>ROUND(MIN(Model_Config_v3!$B$6,MAX(Q3600,R3600,S3600*Model_Config_v3!$B$4+T3600*Model_Config_v3!$B$5)),0)</x:f>
        <x:v>600</x:v>
      </x:c>
      <x:c r="J3600" s="18" t="n">
        <x:f>MIN(Model_Config_v3!$B$6,I3600+Model_Config_v3!$B$7)</x:f>
        <x:v>620</x:v>
      </x:c>
      <x:c r="K3600" s="20" t="n">
        <x:v>36.8</x:v>
      </x:c>
      <x:c r="L3600" t="str">
        <x:v>RELATIF LONGGAR</x:v>
      </x:c>
      <x:c r="M3600" t="str">
        <x:v>SEDANG</x:v>
      </x:c>
      <x:c r="N3600" t="str">
        <x:v>REGULER</x:v>
      </x:c>
      <x:c r="O3600" t="str">
        <x:v>SAINTEK</x:v>
      </x:c>
      <x:c r="P3600" t="str">
        <x:v>UMUM</x:v>
      </x:c>
      <x:c r="Q3600" s="18" t="n">
        <x:v>0</x:v>
      </x:c>
      <x:c r="R3600" s="18" t="n">
        <x:v>0</x:v>
      </x:c>
      <x:c r="S3600" s="18" t="n">
        <x:v>521.8736673228658</x:v>
      </x:c>
      <x:c r="T3600" s="18" t="n">
        <x:v>634</x:v>
      </x:c>
      <x:c r="U3600" s="18" t="n">
        <x:v>521.8736673228658</x:v>
      </x:c>
      <x:c r="V3600" s="20" t="n">
        <x:v>12</x:v>
      </x:c>
      <x:c r="W3600" s="20" t="n">
        <x:v>5</x:v>
      </x:c>
      <x:c r="X3600" s="20" t="n">
        <x:v>3</x:v>
      </x:c>
      <x:c r="Y3600" t="str">
        <x:v>Basis arsip 2025/2024</x:v>
      </x:c>
      <x:c r="Z3600" t="str">
        <x:v>https://snpmb.id/utbk-snbt/daya-tampung-snbt</x:v>
      </x:c>
      <x:c r="AA3600" t="str">
        <x:v>Tidak Ada</x:v>
      </x:c>
      <x:c r="AB3600" t="str">
        <x:v>Campus=55; Ratio=1.0; Prodi=40; RelDemand=13.8; Capacity=79.2</x:v>
      </x:c>
    </x:row>
    <x:row r="3601">
      <x:c r="A3601" t="n">
        <x:v>3598</x:v>
      </x:c>
      <x:c r="B3601" t="str">
        <x:v>PTN Akademik</x:v>
      </x:c>
      <x:c r="C3601" t="str">
        <x:v>UNIVERSITAS NEGERI GORONTALO</x:v>
      </x:c>
      <x:c r="D3601" t="str">
        <x:v>ILMU LINGKUNGAN</x:v>
      </x:c>
      <x:c r="E3601" t="str">
        <x:v>Sarjana</x:v>
      </x:c>
      <x:c r="F3601" s="18" t="n">
        <x:v>14</x:v>
      </x:c>
      <x:c r="G3601" s="18" t="n">
        <x:v>22</x:v>
      </x:c>
      <x:c r="H3601" s="19" t="n">
        <x:v>1.5714285714285714</x:v>
      </x:c>
      <x:c r="I3601" s="18" t="n">
        <x:f>ROUND(MIN(Model_Config_v3!$B$6,MAX(Q3601,R3601,S3601*Model_Config_v3!$B$4+T3601*Model_Config_v3!$B$5)),0)</x:f>
        <x:v>612</x:v>
      </x:c>
      <x:c r="J3601" s="18" t="n">
        <x:f>MIN(Model_Config_v3!$B$6,I3601+Model_Config_v3!$B$7)</x:f>
        <x:v>632</x:v>
      </x:c>
      <x:c r="K3601" s="20" t="n">
        <x:v>41.1</x:v>
      </x:c>
      <x:c r="L3601" t="str">
        <x:v>RELATIF LONGGAR</x:v>
      </x:c>
      <x:c r="M3601" t="str">
        <x:v>SEDANG</x:v>
      </x:c>
      <x:c r="N3601" t="str">
        <x:v>REGULER</x:v>
      </x:c>
      <x:c r="O3601" t="str">
        <x:v>CAMPURAN</x:v>
      </x:c>
      <x:c r="P3601" t="str">
        <x:v>UMUM</x:v>
      </x:c>
      <x:c r="Q3601" s="18" t="n">
        <x:v>0</x:v>
      </x:c>
      <x:c r="R3601" s="18" t="n">
        <x:v>0</x:v>
      </x:c>
      <x:c r="S3601" s="18" t="n">
        <x:v>541.5924109658365</x:v>
      </x:c>
      <x:c r="T3601" s="18" t="n">
        <x:v>642</x:v>
      </x:c>
      <x:c r="U3601" s="18" t="n">
        <x:v>541.5924109658365</x:v>
      </x:c>
      <x:c r="V3601" s="20" t="n">
        <x:v>8.8</x:v>
      </x:c>
      <x:c r="W3601" s="20" t="n">
        <x:v>9.9</x:v>
      </x:c>
      <x:c r="X3601" s="20" t="n">
        <x:v>3.3</x:v>
      </x:c>
      <x:c r="Y3601" t="str">
        <x:v>Basis arsip 2025/2024</x:v>
      </x:c>
      <x:c r="Z3601" t="str">
        <x:v>https://snpmb.id/utbk-snbt/daya-tampung-snbt</x:v>
      </x:c>
      <x:c r="AA3601" t="str">
        <x:v>Tidak Ada</x:v>
      </x:c>
      <x:c r="AB3601" t="str">
        <x:v>Campus=55; Ratio=11.6; Prodi=40; RelDemand=20.9; Capacity=88.3</x:v>
      </x:c>
    </x:row>
    <x:row r="3602">
      <x:c r="A3602" t="n">
        <x:v>3599</x:v>
      </x:c>
      <x:c r="B3602" t="str">
        <x:v>PTN Akademik</x:v>
      </x:c>
      <x:c r="C3602" t="str">
        <x:v>UNIVERSITAS NEGERI GORONTALO</x:v>
      </x:c>
      <x:c r="D3602" t="str">
        <x:v>TEKNOLOGI PENANGKAPAN IKAN</x:v>
      </x:c>
      <x:c r="E3602" t="str">
        <x:v>Sarjana</x:v>
      </x:c>
      <x:c r="F3602" s="18" t="n">
        <x:v>16</x:v>
      </x:c>
      <x:c r="G3602" s="18"/>
      <x:c r="H3602" s="19" t="n">
        <x:v>0</x:v>
      </x:c>
      <x:c r="I3602" s="18" t="n">
        <x:f>ROUND(MIN(Model_Config_v3!$B$6,MAX(Q3602,R3602,S3602*Model_Config_v3!$B$4+T3602*Model_Config_v3!$B$5)),0)</x:f>
        <x:v>598</x:v>
      </x:c>
      <x:c r="J3602" s="18" t="n">
        <x:f>MIN(Model_Config_v3!$B$6,I3602+Model_Config_v3!$B$7)</x:f>
        <x:v>618</x:v>
      </x:c>
      <x:c r="K3602" s="20" t="n">
        <x:v>35.9</x:v>
      </x:c>
      <x:c r="L3602" t="str">
        <x:v>RELATIF LONGGAR</x:v>
      </x:c>
      <x:c r="M3602" t="str">
        <x:v>RENDAH</x:v>
      </x:c>
      <x:c r="N3602" t="str">
        <x:v>REGULER</x:v>
      </x:c>
      <x:c r="O3602" t="str">
        <x:v>SAINTEK</x:v>
      </x:c>
      <x:c r="P3602" t="str">
        <x:v>UMUM</x:v>
      </x:c>
      <x:c r="Q3602" s="18" t="n">
        <x:v>0</x:v>
      </x:c>
      <x:c r="R3602" s="18" t="n">
        <x:v>0</x:v>
      </x:c>
      <x:c r="S3602" s="18" t="n">
        <x:v>520</x:v>
      </x:c>
      <x:c r="T3602" s="18" t="n">
        <x:v>632</x:v>
      </x:c>
      <x:c r="U3602" s="18" t="n">
        <x:v>520</x:v>
      </x:c>
      <x:c r="V3602" s="20" t="n">
        <x:v>12</x:v>
      </x:c>
      <x:c r="W3602" s="20" t="n">
        <x:v>5</x:v>
      </x:c>
      <x:c r="X3602" s="20" t="n">
        <x:v>3</x:v>
      </x:c>
      <x:c r="Y3602" t="str">
        <x:v>Basis arsip 2025/2024</x:v>
      </x:c>
      <x:c r="Z3602" t="str">
        <x:v>https://snpmb.id/utbk-snbt/daya-tampung-snbt</x:v>
      </x:c>
      <x:c r="AA3602" t="str">
        <x:v>Tidak Ada</x:v>
      </x:c>
      <x:c r="AB3602" t="str">
        <x:v>Campus=55; Ratio=0.0; Prodi=40; RelDemand=0.0; Capacity=86.7</x:v>
      </x:c>
    </x:row>
    <x:row r="3603">
      <x:c r="A3603" t="n">
        <x:v>3600</x:v>
      </x:c>
      <x:c r="B3603" t="str">
        <x:v>PTN Akademik</x:v>
      </x:c>
      <x:c r="C3603" t="str">
        <x:v>UNIVERSITAS NEGERI GORONTALO</x:v>
      </x:c>
      <x:c r="D3603" t="str">
        <x:v>TEKNOLOGI REKAYASA PERANGKAT LUNAK</x:v>
      </x:c>
      <x:c r="E3603" t="str">
        <x:v>Sarjana Terapan</x:v>
      </x:c>
      <x:c r="F3603" s="18" t="n">
        <x:v>40</x:v>
      </x:c>
      <x:c r="G3603" s="18" t="n">
        <x:v>185</x:v>
      </x:c>
      <x:c r="H3603" s="19" t="n">
        <x:v>4.625</x:v>
      </x:c>
      <x:c r="I3603" s="18" t="n">
        <x:f>ROUND(MIN(Model_Config_v3!$B$6,MAX(Q3603,R3603,S3603*Model_Config_v3!$B$4+T3603*Model_Config_v3!$B$5)),0)</x:f>
        <x:v>640</x:v>
      </x:c>
      <x:c r="J3603" s="18" t="n">
        <x:f>MIN(Model_Config_v3!$B$6,I3603+Model_Config_v3!$B$7)</x:f>
        <x:v>660</x:v>
      </x:c>
      <x:c r="K3603" s="20" t="n">
        <x:v>49.9</x:v>
      </x:c>
      <x:c r="L3603" t="str">
        <x:v>MENENGAH</x:v>
      </x:c>
      <x:c r="M3603" t="str">
        <x:v>SEDANG</x:v>
      </x:c>
      <x:c r="N3603" t="str">
        <x:v>REGULER</x:v>
      </x:c>
      <x:c r="O3603" t="str">
        <x:v>SAINTEK</x:v>
      </x:c>
      <x:c r="P3603" t="str">
        <x:v>UMUM</x:v>
      </x:c>
      <x:c r="Q3603" s="18" t="n">
        <x:v>0</x:v>
      </x:c>
      <x:c r="R3603" s="18" t="n">
        <x:v>0</x:v>
      </x:c>
      <x:c r="S3603" s="18" t="n">
        <x:v>593.1622910782556</x:v>
      </x:c>
      <x:c r="T3603" s="18" t="n">
        <x:v>660</x:v>
      </x:c>
      <x:c r="U3603" s="18" t="n">
        <x:v>593.1622910782556</x:v>
      </x:c>
      <x:c r="V3603" s="20" t="n">
        <x:v>12</x:v>
      </x:c>
      <x:c r="W3603" s="20" t="n">
        <x:v>5</x:v>
      </x:c>
      <x:c r="X3603" s="20" t="n">
        <x:v>3</x:v>
      </x:c>
      <x:c r="Y3603" t="str">
        <x:v>Basis arsip 2025/2024</x:v>
      </x:c>
      <x:c r="Z3603" t="str">
        <x:v>https://snpmb.id/utbk-snbt/daya-tampung-snbt</x:v>
      </x:c>
      <x:c r="AA3603" t="str">
        <x:v>Tidak Ada</x:v>
      </x:c>
      <x:c r="AB3603" t="str">
        <x:v>Campus=55; Ratio=39.1; Prodi=40; RelDemand=61.5; Capacity=66.7</x:v>
      </x:c>
    </x:row>
    <x:row r="3604">
      <x:c r="A3604" t="n">
        <x:v>3601</x:v>
      </x:c>
      <x:c r="B3604" t="str">
        <x:v>PTN Akademik</x:v>
      </x:c>
      <x:c r="C3604" t="str">
        <x:v>UNIVERSITAS NEGERI GORONTALO</x:v>
      </x:c>
      <x:c r="D3604" t="str">
        <x:v>TEKNOLOGI REKAYASA ENERGI TERBARUKAN</x:v>
      </x:c>
      <x:c r="E3604" t="str">
        <x:v>Sarjana Terapan</x:v>
      </x:c>
      <x:c r="F3604" s="18" t="n">
        <x:v>32</x:v>
      </x:c>
      <x:c r="G3604" s="18" t="n">
        <x:v>55</x:v>
      </x:c>
      <x:c r="H3604" s="19" t="n">
        <x:v>1.71875</x:v>
      </x:c>
      <x:c r="I3604" s="18" t="n">
        <x:f>ROUND(MIN(Model_Config_v3!$B$6,MAX(Q3604,R3604,S3604*Model_Config_v3!$B$4+T3604*Model_Config_v3!$B$5)),0)</x:f>
        <x:v>612</x:v>
      </x:c>
      <x:c r="J3604" s="18" t="n">
        <x:f>MIN(Model_Config_v3!$B$6,I3604+Model_Config_v3!$B$7)</x:f>
        <x:v>632</x:v>
      </x:c>
      <x:c r="K3604" s="20" t="n">
        <x:v>40.3</x:v>
      </x:c>
      <x:c r="L3604" t="str">
        <x:v>RELATIF LONGGAR</x:v>
      </x:c>
      <x:c r="M3604" t="str">
        <x:v>SEDANG</x:v>
      </x:c>
      <x:c r="N3604" t="str">
        <x:v>REGULER</x:v>
      </x:c>
      <x:c r="O3604" t="str">
        <x:v>SAINTEK</x:v>
      </x:c>
      <x:c r="P3604" t="str">
        <x:v>UMUM</x:v>
      </x:c>
      <x:c r="Q3604" s="18" t="n">
        <x:v>0</x:v>
      </x:c>
      <x:c r="R3604" s="18" t="n">
        <x:v>0</x:v>
      </x:c>
      <x:c r="S3604" s="18" t="n">
        <x:v>545.8733982291772</x:v>
      </x:c>
      <x:c r="T3604" s="18" t="n">
        <x:v>641</x:v>
      </x:c>
      <x:c r="U3604" s="18" t="n">
        <x:v>545.8733982291772</x:v>
      </x:c>
      <x:c r="V3604" s="20" t="n">
        <x:v>12</x:v>
      </x:c>
      <x:c r="W3604" s="20" t="n">
        <x:v>5</x:v>
      </x:c>
      <x:c r="X3604" s="20" t="n">
        <x:v>3</x:v>
      </x:c>
      <x:c r="Y3604" t="str">
        <x:v>Basis arsip 2025/2024</x:v>
      </x:c>
      <x:c r="Z3604" t="str">
        <x:v>https://snpmb.id/utbk-snbt/daya-tampung-snbt</x:v>
      </x:c>
      <x:c r="AA3604" t="str">
        <x:v>Tidak Ada</x:v>
      </x:c>
      <x:c r="AB3604" t="str">
        <x:v>Campus=55; Ratio=13.8; Prodi=40; RelDemand=22.8; Capacity=73.3</x:v>
      </x:c>
    </x:row>
    <x:row r="3605">
      <x:c r="A3605" t="n">
        <x:v>3602</x:v>
      </x:c>
      <x:c r="B3605" t="str">
        <x:v>PTN Akademik</x:v>
      </x:c>
      <x:c r="C3605" t="str">
        <x:v>UNIVERSITAS NEGERI GORONTALO</x:v>
      </x:c>
      <x:c r="D3605" t="str">
        <x:v>ARSITEKTUR BANGUNAN GEDUNG</x:v>
      </x:c>
      <x:c r="E3605" t="str">
        <x:v>Sarjana Terapan</x:v>
      </x:c>
      <x:c r="F3605" s="18" t="n">
        <x:v>32</x:v>
      </x:c>
      <x:c r="G3605" s="18" t="n">
        <x:v>201</x:v>
      </x:c>
      <x:c r="H3605" s="19" t="n">
        <x:v>6.28125</x:v>
      </x:c>
      <x:c r="I3605" s="18" t="n">
        <x:f>ROUND(MIN(Model_Config_v3!$B$6,MAX(Q3605,R3605,S3605*Model_Config_v3!$B$4+T3605*Model_Config_v3!$B$5)),0)</x:f>
        <x:v>656</x:v>
      </x:c>
      <x:c r="J3605" s="18" t="n">
        <x:f>MIN(Model_Config_v3!$B$6,I3605+Model_Config_v3!$B$7)</x:f>
        <x:v>676</x:v>
      </x:c>
      <x:c r="K3605" s="20" t="n">
        <x:v>58.7</x:v>
      </x:c>
      <x:c r="L3605" t="str">
        <x:v>KETAT</x:v>
      </x:c>
      <x:c r="M3605" t="str">
        <x:v>SEDANG+</x:v>
      </x:c>
      <x:c r="N3605" t="str">
        <x:v>REGULER</x:v>
      </x:c>
      <x:c r="O3605" t="str">
        <x:v>SAINTEK</x:v>
      </x:c>
      <x:c r="P3605" t="str">
        <x:v>TEKNIK/ARSITEKTUR/STATISTIKA/AKTUARIA</x:v>
      </x:c>
      <x:c r="Q3605" s="18" t="n">
        <x:v>0</x:v>
      </x:c>
      <x:c r="R3605" s="18" t="n">
        <x:v>0</x:v>
      </x:c>
      <x:c r="S3605" s="18" t="n">
        <x:v>607.7850687010641</x:v>
      </x:c>
      <x:c r="T3605" s="18" t="n">
        <x:v>677</x:v>
      </x:c>
      <x:c r="U3605" s="18" t="n">
        <x:v>607.7850687010641</x:v>
      </x:c>
      <x:c r="V3605" s="20" t="n">
        <x:v>12</x:v>
      </x:c>
      <x:c r="W3605" s="20" t="n">
        <x:v>5</x:v>
      </x:c>
      <x:c r="X3605" s="20" t="n">
        <x:v>3</x:v>
      </x:c>
      <x:c r="Y3605" t="str">
        <x:v>Basis arsip 2025/2024</x:v>
      </x:c>
      <x:c r="Z3605" t="str">
        <x:v>https://snpmb.id/utbk-snbt/daya-tampung-snbt</x:v>
      </x:c>
      <x:c r="AA3605" t="str">
        <x:v>Tidak Ada</x:v>
      </x:c>
      <x:c r="AB3605" t="str">
        <x:v>Campus=55; Ratio=47.0; Prodi=60; RelDemand=83.5; Capacity=73.3</x:v>
      </x:c>
    </x:row>
    <x:row r="3606">
      <x:c r="A3606" t="n">
        <x:v>3603</x:v>
      </x:c>
      <x:c r="B3606" t="str">
        <x:v>PTN Akademik</x:v>
      </x:c>
      <x:c r="C3606" t="str">
        <x:v>UNIVERSITAS NEGERI GORONTALO</x:v>
      </x:c>
      <x:c r="D3606" t="str">
        <x:v>AGRIBISNIS PERIKANAN</x:v>
      </x:c>
      <x:c r="E3606" t="str">
        <x:v>Sarjana Terapan</x:v>
      </x:c>
      <x:c r="F3606" s="18" t="n">
        <x:v>32</x:v>
      </x:c>
      <x:c r="G3606" s="18" t="n">
        <x:v>254</x:v>
      </x:c>
      <x:c r="H3606" s="19" t="n">
        <x:v>7.9375</x:v>
      </x:c>
      <x:c r="I3606" s="18" t="n">
        <x:f>ROUND(MIN(Model_Config_v3!$B$6,MAX(Q3606,R3606,S3606*Model_Config_v3!$B$4+T3606*Model_Config_v3!$B$5)),0)</x:f>
        <x:v>666</x:v>
      </x:c>
      <x:c r="J3606" s="18" t="n">
        <x:f>MIN(Model_Config_v3!$B$6,I3606+Model_Config_v3!$B$7)</x:f>
        <x:v>686</x:v>
      </x:c>
      <x:c r="K3606" s="20" t="n">
        <x:v>62.8</x:v>
      </x:c>
      <x:c r="L3606" t="str">
        <x:v>KETAT</x:v>
      </x:c>
      <x:c r="M3606" t="str">
        <x:v>SEDANG+</x:v>
      </x:c>
      <x:c r="N3606" t="str">
        <x:v>REGULER</x:v>
      </x:c>
      <x:c r="O3606" t="str">
        <x:v>SAINTEK</x:v>
      </x:c>
      <x:c r="P3606" t="str">
        <x:v>BISNIS/EKONOMI/AKUNTANSI</x:v>
      </x:c>
      <x:c r="Q3606" s="18" t="n">
        <x:v>0</x:v>
      </x:c>
      <x:c r="R3606" s="18" t="n">
        <x:v>0</x:v>
      </x:c>
      <x:c r="S3606" s="18" t="n">
        <x:v>618.9652112130035</x:v>
      </x:c>
      <x:c r="T3606" s="18" t="n">
        <x:v>686</x:v>
      </x:c>
      <x:c r="U3606" s="18" t="n">
        <x:v>633.9652112130035</x:v>
      </x:c>
      <x:c r="V3606" s="20" t="n">
        <x:v>12</x:v>
      </x:c>
      <x:c r="W3606" s="20" t="n">
        <x:v>5</x:v>
      </x:c>
      <x:c r="X3606" s="20" t="n">
        <x:v>3</x:v>
      </x:c>
      <x:c r="Y3606" t="str">
        <x:v>Basis arsip 2025/2024</x:v>
      </x:c>
      <x:c r="Z3606" t="str">
        <x:v>https://snpmb.id/utbk-snbt/daya-tampung-snbt</x:v>
      </x:c>
      <x:c r="AA3606" t="str">
        <x:v>Tidak Ada</x:v>
      </x:c>
      <x:c r="AB3606" t="str">
        <x:v>Campus=55; Ratio=53.0; Prodi=65; RelDemand=100.0; Capacity=73.3</x:v>
      </x:c>
    </x:row>
    <x:row r="3607">
      <x:c r="A3607" t="n">
        <x:v>3604</x:v>
      </x:c>
      <x:c r="B3607" t="str">
        <x:v>PTN Akademik</x:v>
      </x:c>
      <x:c r="C3607" t="str">
        <x:v>UNIVERSITAS NEGERI GORONTALO</x:v>
      </x:c>
      <x:c r="D3607" t="str">
        <x:v>FARMASI</x:v>
      </x:c>
      <x:c r="E3607" t="str">
        <x:v>Diploma Tiga</x:v>
      </x:c>
      <x:c r="F3607" s="18" t="n">
        <x:v>36</x:v>
      </x:c>
      <x:c r="G3607" s="18" t="n">
        <x:v>1138</x:v>
      </x:c>
      <x:c r="H3607" s="19" t="n">
        <x:v>31.61111111111111</x:v>
      </x:c>
      <x:c r="I3607" s="18" t="n">
        <x:f>ROUND(MIN(Model_Config_v3!$B$6,MAX(Q3607,R3607,S3607*Model_Config_v3!$B$4+T3607*Model_Config_v3!$B$5)),0)</x:f>
        <x:v>700</x:v>
      </x:c>
      <x:c r="J3607" s="18" t="n">
        <x:f>MIN(Model_Config_v3!$B$6,I3607+Model_Config_v3!$B$7)</x:f>
        <x:v>720</x:v>
      </x:c>
      <x:c r="K3607" s="20" t="n">
        <x:v>73.3</x:v>
      </x:c>
      <x:c r="L3607" t="str">
        <x:v>SANGAT KETAT</x:v>
      </x:c>
      <x:c r="M3607" t="str">
        <x:v>SEDANG+</x:v>
      </x:c>
      <x:c r="N3607" t="str">
        <x:v>REGULER</x:v>
      </x:c>
      <x:c r="O3607" t="str">
        <x:v>SAINTEK</x:v>
      </x:c>
      <x:c r="P3607" t="str">
        <x:v>FARMASI</x:v>
      </x:c>
      <x:c r="Q3607" s="18" t="n">
        <x:v>0</x:v>
      </x:c>
      <x:c r="R3607" s="18" t="n">
        <x:v>0</x:v>
      </x:c>
      <x:c r="S3607" s="18" t="n">
        <x:v>684.9823737420942</x:v>
      </x:c>
      <x:c r="T3607" s="18" t="n">
        <x:v>707</x:v>
      </x:c>
      <x:c r="U3607" s="18" t="n">
        <x:v>704.9823737420942</x:v>
      </x:c>
      <x:c r="V3607" s="20" t="n">
        <x:v>12</x:v>
      </x:c>
      <x:c r="W3607" s="20" t="n">
        <x:v>5</x:v>
      </x:c>
      <x:c r="X3607" s="20" t="n">
        <x:v>3</x:v>
      </x:c>
      <x:c r="Y3607" t="str">
        <x:v>Basis arsip 2025/2024</x:v>
      </x:c>
      <x:c r="Z3607" t="str">
        <x:v>https://snpmb.id/utbk-snbt/daya-tampung-snbt</x:v>
      </x:c>
      <x:c r="AA3607" t="str">
        <x:v>Tidak Ada</x:v>
      </x:c>
      <x:c r="AB3607" t="str">
        <x:v>Campus=55; Ratio=88.3; Prodi=75; RelDemand=100.0; Capacity=70.0</x:v>
      </x:c>
    </x:row>
    <x:row r="3608">
      <x:c r="A3608" t="n">
        <x:v>3605</x:v>
      </x:c>
      <x:c r="B3608" t="str">
        <x:v>PTN Akademik</x:v>
      </x:c>
      <x:c r="C3608" t="str">
        <x:v>UNIVERSITAS NEGERI GORONTALO</x:v>
      </x:c>
      <x:c r="D3608" t="str">
        <x:v>PARIWISATA</x:v>
      </x:c>
      <x:c r="E3608" t="str">
        <x:v>Diploma Tiga</x:v>
      </x:c>
      <x:c r="F3608" s="18" t="n">
        <x:v>40</x:v>
      </x:c>
      <x:c r="G3608" s="18" t="n">
        <x:v>598</x:v>
      </x:c>
      <x:c r="H3608" s="19" t="n">
        <x:v>14.95</x:v>
      </x:c>
      <x:c r="I3608" s="18" t="n">
        <x:f>ROUND(MIN(Model_Config_v3!$B$6,MAX(Q3608,R3608,S3608*Model_Config_v3!$B$4+T3608*Model_Config_v3!$B$5)),0)</x:f>
        <x:v>672</x:v>
      </x:c>
      <x:c r="J3608" s="18" t="n">
        <x:f>MIN(Model_Config_v3!$B$6,I3608+Model_Config_v3!$B$7)</x:f>
        <x:v>692</x:v>
      </x:c>
      <x:c r="K3608" s="20" t="n">
        <x:v>61.2</x:v>
      </x:c>
      <x:c r="L3608" t="str">
        <x:v>KETAT</x:v>
      </x:c>
      <x:c r="M3608" t="str">
        <x:v>SEDANG</x:v>
      </x:c>
      <x:c r="N3608" t="str">
        <x:v>REGULER</x:v>
      </x:c>
      <x:c r="O3608" t="str">
        <x:v>CAMPURAN</x:v>
      </x:c>
      <x:c r="P3608" t="str">
        <x:v>UMUM</x:v>
      </x:c>
      <x:c r="Q3608" s="18" t="n">
        <x:v>0</x:v>
      </x:c>
      <x:c r="R3608" s="18" t="n">
        <x:v>0</x:v>
      </x:c>
      <x:c r="S3608" s="18" t="n">
        <x:v>649.2105311926493</x:v>
      </x:c>
      <x:c r="T3608" s="18" t="n">
        <x:v>682</x:v>
      </x:c>
      <x:c r="U3608" s="18" t="n">
        <x:v>649.2105311926493</x:v>
      </x:c>
      <x:c r="V3608" s="20" t="n">
        <x:v>8.8</x:v>
      </x:c>
      <x:c r="W3608" s="20" t="n">
        <x:v>9.9</x:v>
      </x:c>
      <x:c r="X3608" s="20" t="n">
        <x:v>3.3</x:v>
      </x:c>
      <x:c r="Y3608" t="str">
        <x:v>Basis arsip 2025/2024</x:v>
      </x:c>
      <x:c r="Z3608" t="str">
        <x:v>https://snpmb.id/utbk-snbt/daya-tampung-snbt</x:v>
      </x:c>
      <x:c r="AA3608" t="str">
        <x:v>Tidak Ada</x:v>
      </x:c>
      <x:c r="AB3608" t="str">
        <x:v>Campus=55; Ratio=69.1; Prodi=40; RelDemand=100.0; Capacity=66.7</x:v>
      </x:c>
    </x:row>
    <x:row r="3609">
      <x:c r="A3609" t="n">
        <x:v>3606</x:v>
      </x:c>
      <x:c r="B3609" t="str">
        <x:v>PTN Akademik</x:v>
      </x:c>
      <x:c r="C3609" t="str">
        <x:v>UNIVERSITAS SEMBILAN BELAS NOVEMBER KOLAKA</x:v>
      </x:c>
      <x:c r="D3609" t="str">
        <x:v>PENDIDIKAN MATEMATIKA</x:v>
      </x:c>
      <x:c r="E3609" t="str">
        <x:v>Sarjana</x:v>
      </x:c>
      <x:c r="F3609" s="18" t="n">
        <x:v>31</x:v>
      </x:c>
      <x:c r="G3609" s="18" t="n">
        <x:v>10</x:v>
      </x:c>
      <x:c r="H3609" s="19" t="n">
        <x:v>0.3225806451612903</x:v>
      </x:c>
      <x:c r="I3609" s="18" t="n">
        <x:f>ROUND(MIN(Model_Config_v3!$B$6,MAX(Q3609,R3609,S3609*Model_Config_v3!$B$4+T3609*Model_Config_v3!$B$5)),0)</x:f>
        <x:v>601</x:v>
      </x:c>
      <x:c r="J3609" s="18" t="n">
        <x:f>MIN(Model_Config_v3!$B$6,I3609+Model_Config_v3!$B$7)</x:f>
        <x:v>621</x:v>
      </x:c>
      <x:c r="K3609" s="20" t="n">
        <x:v>37.5</x:v>
      </x:c>
      <x:c r="L3609" t="str">
        <x:v>RELATIF LONGGAR</x:v>
      </x:c>
      <x:c r="M3609" t="str">
        <x:v>SEDANG+</x:v>
      </x:c>
      <x:c r="N3609" t="str">
        <x:v>REGULER</x:v>
      </x:c>
      <x:c r="O3609" t="str">
        <x:v>SAINTEK</x:v>
      </x:c>
      <x:c r="P3609" t="str">
        <x:v>PENDIDIKAN</x:v>
      </x:c>
      <x:c r="Q3609" s="18" t="n">
        <x:v>0</x:v>
      </x:c>
      <x:c r="R3609" s="18" t="n">
        <x:v>0</x:v>
      </x:c>
      <x:c r="S3609" s="18" t="n">
        <x:v>520</x:v>
      </x:c>
      <x:c r="T3609" s="18" t="n">
        <x:v>635</x:v>
      </x:c>
      <x:c r="U3609" s="18" t="n">
        <x:v>520</x:v>
      </x:c>
      <x:c r="V3609" s="20" t="n">
        <x:v>12</x:v>
      </x:c>
      <x:c r="W3609" s="20" t="n">
        <x:v>5</x:v>
      </x:c>
      <x:c r="X3609" s="20" t="n">
        <x:v>3</x:v>
      </x:c>
      <x:c r="Y3609" t="str">
        <x:v>Basis arsip 2025/2024</x:v>
      </x:c>
      <x:c r="Z3609" t="str">
        <x:v>https://snpmb.id/utbk-snbt/daya-tampung-snbt</x:v>
      </x:c>
      <x:c r="AA3609" t="str">
        <x:v>Tidak Ada</x:v>
      </x:c>
      <x:c r="AB3609" t="str">
        <x:v>Campus=55; Ratio=0.0; Prodi=45; RelDemand=18.5; Capacity=74.2</x:v>
      </x:c>
    </x:row>
    <x:row r="3610">
      <x:c r="A3610" t="n">
        <x:v>3607</x:v>
      </x:c>
      <x:c r="B3610" t="str">
        <x:v>PTN Akademik</x:v>
      </x:c>
      <x:c r="C3610" t="str">
        <x:v>UNIVERSITAS SEMBILAN BELAS NOVEMBER KOLAKA</x:v>
      </x:c>
      <x:c r="D3610" t="str">
        <x:v>SISTEM INFORMASI</x:v>
      </x:c>
      <x:c r="E3610" t="str">
        <x:v>Sarjana</x:v>
      </x:c>
      <x:c r="F3610" s="18" t="n">
        <x:v>63</x:v>
      </x:c>
      <x:c r="G3610" s="18" t="n">
        <x:v>73</x:v>
      </x:c>
      <x:c r="H3610" s="19" t="n">
        <x:v>1.1587301587301588</x:v>
      </x:c>
      <x:c r="I3610" s="18" t="n">
        <x:f>ROUND(MIN(Model_Config_v3!$B$6,MAX(Q3610,R3610,S3610*Model_Config_v3!$B$4+T3610*Model_Config_v3!$B$5)),0)</x:f>
        <x:v>618</x:v>
      </x:c>
      <x:c r="J3610" s="18" t="n">
        <x:f>MIN(Model_Config_v3!$B$6,I3610+Model_Config_v3!$B$7)</x:f>
        <x:v>638</x:v>
      </x:c>
      <x:c r="K3610" s="20" t="n">
        <x:v>48.6</x:v>
      </x:c>
      <x:c r="L3610" t="str">
        <x:v>MENENGAH</x:v>
      </x:c>
      <x:c r="M3610" t="str">
        <x:v>SEDANG+</x:v>
      </x:c>
      <x:c r="N3610" t="str">
        <x:v>REGULER</x:v>
      </x:c>
      <x:c r="O3610" t="str">
        <x:v>CAMPURAN</x:v>
      </x:c>
      <x:c r="P3610" t="str">
        <x:v>KOMPUTER/INFORMATIKA</x:v>
      </x:c>
      <x:c r="Q3610" s="18" t="n">
        <x:v>0</x:v>
      </x:c>
      <x:c r="R3610" s="18" t="n">
        <x:v>0</x:v>
      </x:c>
      <x:c r="S3610" s="18" t="n">
        <x:v>527.0380541733562</x:v>
      </x:c>
      <x:c r="T3610" s="18" t="n">
        <x:v>657</x:v>
      </x:c>
      <x:c r="U3610" s="18" t="n">
        <x:v>552.0380541733562</x:v>
      </x:c>
      <x:c r="V3610" s="20" t="n">
        <x:v>8.8</x:v>
      </x:c>
      <x:c r="W3610" s="20" t="n">
        <x:v>9.9</x:v>
      </x:c>
      <x:c r="X3610" s="20" t="n">
        <x:v>3.3</x:v>
      </x:c>
      <x:c r="Y3610" t="str">
        <x:v>Basis arsip 2025/2024</x:v>
      </x:c>
      <x:c r="Z3610" t="str">
        <x:v>https://snpmb.id/utbk-snbt/daya-tampung-snbt</x:v>
      </x:c>
      <x:c r="AA3610" t="str">
        <x:v>Tidak Ada</x:v>
      </x:c>
      <x:c r="AB3610" t="str">
        <x:v>Campus=55; Ratio=3.8; Prodi=85; RelDemand=66.3; Capacity=47.5</x:v>
      </x:c>
    </x:row>
    <x:row r="3611">
      <x:c r="A3611" t="n">
        <x:v>3608</x:v>
      </x:c>
      <x:c r="B3611" t="str">
        <x:v>PTN Akademik</x:v>
      </x:c>
      <x:c r="C3611" t="str">
        <x:v>UNIVERSITAS SEMBILAN BELAS NOVEMBER KOLAKA</x:v>
      </x:c>
      <x:c r="D3611" t="str">
        <x:v>TEKNIK SIPIL</x:v>
      </x:c>
      <x:c r="E3611" t="str">
        <x:v>Sarjana</x:v>
      </x:c>
      <x:c r="F3611" s="18" t="n">
        <x:v>41</x:v>
      </x:c>
      <x:c r="G3611" s="18" t="n">
        <x:v>36</x:v>
      </x:c>
      <x:c r="H3611" s="19" t="n">
        <x:v>0.8780487804878049</x:v>
      </x:c>
      <x:c r="I3611" s="18" t="n">
        <x:f>ROUND(MIN(Model_Config_v3!$B$6,MAX(Q3611,R3611,S3611*Model_Config_v3!$B$4+T3611*Model_Config_v3!$B$5)),0)</x:f>
        <x:v>608</x:v>
      </x:c>
      <x:c r="J3611" s="18" t="n">
        <x:f>MIN(Model_Config_v3!$B$6,I3611+Model_Config_v3!$B$7)</x:f>
        <x:v>628</x:v>
      </x:c>
      <x:c r="K3611" s="20" t="n">
        <x:v>42.9</x:v>
      </x:c>
      <x:c r="L3611" t="str">
        <x:v>RELATIF LONGGAR</x:v>
      </x:c>
      <x:c r="M3611" t="str">
        <x:v>SEDANG+</x:v>
      </x:c>
      <x:c r="N3611" t="str">
        <x:v>REGULER</x:v>
      </x:c>
      <x:c r="O3611" t="str">
        <x:v>SAINTEK</x:v>
      </x:c>
      <x:c r="P3611" t="str">
        <x:v>TEKNIK/ARSITEKTUR/STATISTIKA/AKTUARIA</x:v>
      </x:c>
      <x:c r="Q3611" s="18" t="n">
        <x:v>0</x:v>
      </x:c>
      <x:c r="R3611" s="18" t="n">
        <x:v>0</x:v>
      </x:c>
      <x:c r="S3611" s="18" t="n">
        <x:v>520</x:v>
      </x:c>
      <x:c r="T3611" s="18" t="n">
        <x:v>646</x:v>
      </x:c>
      <x:c r="U3611" s="18" t="n">
        <x:v>530</x:v>
      </x:c>
      <x:c r="V3611" s="20" t="n">
        <x:v>12</x:v>
      </x:c>
      <x:c r="W3611" s="20" t="n">
        <x:v>5</x:v>
      </x:c>
      <x:c r="X3611" s="20" t="n">
        <x:v>3</x:v>
      </x:c>
      <x:c r="Y3611" t="str">
        <x:v>Basis arsip 2025/2024</x:v>
      </x:c>
      <x:c r="Z3611" t="str">
        <x:v>https://snpmb.id/utbk-snbt/daya-tampung-snbt</x:v>
      </x:c>
      <x:c r="AA3611" t="str">
        <x:v>Tidak Ada</x:v>
      </x:c>
      <x:c r="AB3611" t="str">
        <x:v>Campus=55; Ratio=0.0; Prodi=60; RelDemand=50.3; Capacity=65.8</x:v>
      </x:c>
    </x:row>
    <x:row r="3612">
      <x:c r="A3612" t="n">
        <x:v>3609</x:v>
      </x:c>
      <x:c r="B3612" t="str">
        <x:v>PTN Akademik</x:v>
      </x:c>
      <x:c r="C3612" t="str">
        <x:v>UNIVERSITAS SEMBILAN BELAS NOVEMBER KOLAKA</x:v>
      </x:c>
      <x:c r="D3612" t="str">
        <x:v>TEKNIK PERTAMBANGAN</x:v>
      </x:c>
      <x:c r="E3612" t="str">
        <x:v>Sarjana</x:v>
      </x:c>
      <x:c r="F3612" s="18" t="n">
        <x:v>54</x:v>
      </x:c>
      <x:c r="G3612" s="18" t="n">
        <x:v>102</x:v>
      </x:c>
      <x:c r="H3612" s="19" t="n">
        <x:v>1.8888888888888888</x:v>
      </x:c>
      <x:c r="I3612" s="18" t="n">
        <x:f>ROUND(MIN(Model_Config_v3!$B$6,MAX(Q3612,R3612,S3612*Model_Config_v3!$B$4+T3612*Model_Config_v3!$B$5)),0)</x:f>
        <x:v>629</x:v>
      </x:c>
      <x:c r="J3612" s="18" t="n">
        <x:f>MIN(Model_Config_v3!$B$6,I3612+Model_Config_v3!$B$7)</x:f>
        <x:v>649</x:v>
      </x:c>
      <x:c r="K3612" s="20" t="n">
        <x:v>50.8</x:v>
      </x:c>
      <x:c r="L3612" t="str">
        <x:v>MENENGAH</x:v>
      </x:c>
      <x:c r="M3612" t="str">
        <x:v>SEDANG+</x:v>
      </x:c>
      <x:c r="N3612" t="str">
        <x:v>REGULER</x:v>
      </x:c>
      <x:c r="O3612" t="str">
        <x:v>SAINTEK</x:v>
      </x:c>
      <x:c r="P3612" t="str">
        <x:v>TEKNIK/ARSITEKTUR/STATISTIKA/AKTUARIA</x:v>
      </x:c>
      <x:c r="Q3612" s="18" t="n">
        <x:v>0</x:v>
      </x:c>
      <x:c r="R3612" s="18" t="n">
        <x:v>0</x:v>
      </x:c>
      <x:c r="S3612" s="18" t="n">
        <x:v>550.3827053132844</x:v>
      </x:c>
      <x:c r="T3612" s="18" t="n">
        <x:v>662</x:v>
      </x:c>
      <x:c r="U3612" s="18" t="n">
        <x:v>560.3827053132844</x:v>
      </x:c>
      <x:c r="V3612" s="20" t="n">
        <x:v>12</x:v>
      </x:c>
      <x:c r="W3612" s="20" t="n">
        <x:v>5</x:v>
      </x:c>
      <x:c r="X3612" s="20" t="n">
        <x:v>3</x:v>
      </x:c>
      <x:c r="Y3612" t="str">
        <x:v>Basis arsip 2025/2024</x:v>
      </x:c>
      <x:c r="Z3612" t="str">
        <x:v>https://snpmb.id/utbk-snbt/daya-tampung-snbt</x:v>
      </x:c>
      <x:c r="AA3612" t="str">
        <x:v>Tidak Ada</x:v>
      </x:c>
      <x:c r="AB3612" t="str">
        <x:v>Campus=55; Ratio=16.3; Prodi=60; RelDemand=100.0; Capacity=55.0</x:v>
      </x:c>
    </x:row>
    <x:row r="3613">
      <x:c r="A3613" t="n">
        <x:v>3610</x:v>
      </x:c>
      <x:c r="B3613" t="str">
        <x:v>PTN Akademik</x:v>
      </x:c>
      <x:c r="C3613" t="str">
        <x:v>UNIVERSITAS SEMBILAN BELAS NOVEMBER KOLAKA</x:v>
      </x:c>
      <x:c r="D3613" t="str">
        <x:v>AGRIBISNIS</x:v>
      </x:c>
      <x:c r="E3613" t="str">
        <x:v>Sarjana</x:v>
      </x:c>
      <x:c r="F3613" s="18" t="n">
        <x:v>31</x:v>
      </x:c>
      <x:c r="G3613" s="18" t="n">
        <x:v>12</x:v>
      </x:c>
      <x:c r="H3613" s="19" t="n">
        <x:v>0.3870967741935484</x:v>
      </x:c>
      <x:c r="I3613" s="18" t="n">
        <x:f>ROUND(MIN(Model_Config_v3!$B$6,MAX(Q3613,R3613,S3613*Model_Config_v3!$B$4+T3613*Model_Config_v3!$B$5)),0)</x:f>
        <x:v>607</x:v>
      </x:c>
      <x:c r="J3613" s="18" t="n">
        <x:f>MIN(Model_Config_v3!$B$6,I3613+Model_Config_v3!$B$7)</x:f>
        <x:v>627</x:v>
      </x:c>
      <x:c r="K3613" s="20" t="n">
        <x:v>41.9</x:v>
      </x:c>
      <x:c r="L3613" t="str">
        <x:v>RELATIF LONGGAR</x:v>
      </x:c>
      <x:c r="M3613" t="str">
        <x:v>SEDANG+</x:v>
      </x:c>
      <x:c r="N3613" t="str">
        <x:v>REGULER</x:v>
      </x:c>
      <x:c r="O3613" t="str">
        <x:v>SOSHUM</x:v>
      </x:c>
      <x:c r="P3613" t="str">
        <x:v>BISNIS/EKONOMI/AKUNTANSI</x:v>
      </x:c>
      <x:c r="Q3613" s="18" t="n">
        <x:v>0</x:v>
      </x:c>
      <x:c r="R3613" s="18" t="n">
        <x:v>0</x:v>
      </x:c>
      <x:c r="S3613" s="18" t="n">
        <x:v>520</x:v>
      </x:c>
      <x:c r="T3613" s="18" t="n">
        <x:v>644</x:v>
      </x:c>
      <x:c r="U3613" s="18" t="n">
        <x:v>535</x:v>
      </x:c>
      <x:c r="V3613" s="20" t="n">
        <x:v>4.4</x:v>
      </x:c>
      <x:c r="W3613" s="20" t="n">
        <x:v>14.3</x:v>
      </x:c>
      <x:c r="X3613" s="20" t="n">
        <x:v>3.3</x:v>
      </x:c>
      <x:c r="Y3613" t="str">
        <x:v>Basis arsip 2025/2024</x:v>
      </x:c>
      <x:c r="Z3613" t="str">
        <x:v>https://snpmb.id/utbk-snbt/daya-tampung-snbt</x:v>
      </x:c>
      <x:c r="AA3613" t="str">
        <x:v>Tidak Ada</x:v>
      </x:c>
      <x:c r="AB3613" t="str">
        <x:v>Campus=55; Ratio=0.0; Prodi=65; RelDemand=22.2; Capacity=74.2</x:v>
      </x:c>
    </x:row>
    <x:row r="3614">
      <x:c r="A3614" t="n">
        <x:v>3611</x:v>
      </x:c>
      <x:c r="B3614" t="str">
        <x:v>PTN Akademik</x:v>
      </x:c>
      <x:c r="C3614" t="str">
        <x:v>UNIVERSITAS SEMBILAN BELAS NOVEMBER KOLAKA</x:v>
      </x:c>
      <x:c r="D3614" t="str">
        <x:v>AGROTEKNOLOGI</x:v>
      </x:c>
      <x:c r="E3614" t="str">
        <x:v>Sarjana</x:v>
      </x:c>
      <x:c r="F3614" s="18" t="n">
        <x:v>16</x:v>
      </x:c>
      <x:c r="G3614" s="18" t="n">
        <x:v>7</x:v>
      </x:c>
      <x:c r="H3614" s="19" t="n">
        <x:v>0.4375</x:v>
      </x:c>
      <x:c r="I3614" s="18" t="n">
        <x:f>ROUND(MIN(Model_Config_v3!$B$6,MAX(Q3614,R3614,S3614*Model_Config_v3!$B$4+T3614*Model_Config_v3!$B$5)),0)</x:f>
        <x:v>602</x:v>
      </x:c>
      <x:c r="J3614" s="18" t="n">
        <x:f>MIN(Model_Config_v3!$B$6,I3614+Model_Config_v3!$B$7)</x:f>
        <x:v>622</x:v>
      </x:c>
      <x:c r="K3614" s="20" t="n">
        <x:v>38.4</x:v>
      </x:c>
      <x:c r="L3614" t="str">
        <x:v>RELATIF LONGGAR</x:v>
      </x:c>
      <x:c r="M3614" t="str">
        <x:v>SEDANG</x:v>
      </x:c>
      <x:c r="N3614" t="str">
        <x:v>REGULER</x:v>
      </x:c>
      <x:c r="O3614" t="str">
        <x:v>SAINTEK</x:v>
      </x:c>
      <x:c r="P3614" t="str">
        <x:v>UMUM</x:v>
      </x:c>
      <x:c r="Q3614" s="18" t="n">
        <x:v>0</x:v>
      </x:c>
      <x:c r="R3614" s="18" t="n">
        <x:v>0</x:v>
      </x:c>
      <x:c r="S3614" s="18" t="n">
        <x:v>520</x:v>
      </x:c>
      <x:c r="T3614" s="18" t="n">
        <x:v>637</x:v>
      </x:c>
      <x:c r="U3614" s="18" t="n">
        <x:v>520</x:v>
      </x:c>
      <x:c r="V3614" s="20" t="n">
        <x:v>12</x:v>
      </x:c>
      <x:c r="W3614" s="20" t="n">
        <x:v>5</x:v>
      </x:c>
      <x:c r="X3614" s="20" t="n">
        <x:v>3</x:v>
      </x:c>
      <x:c r="Y3614" t="str">
        <x:v>Basis arsip 2025/2024</x:v>
      </x:c>
      <x:c r="Z3614" t="str">
        <x:v>https://snpmb.id/utbk-snbt/daya-tampung-snbt</x:v>
      </x:c>
      <x:c r="AA3614" t="str">
        <x:v>Tidak Ada</x:v>
      </x:c>
      <x:c r="AB3614" t="str">
        <x:v>Campus=55; Ratio=0.0; Prodi=40; RelDemand=25.0; Capacity=86.7</x:v>
      </x:c>
    </x:row>
    <x:row r="3615">
      <x:c r="A3615" t="n">
        <x:v>3612</x:v>
      </x:c>
      <x:c r="B3615" t="str">
        <x:v>PTN Akademik</x:v>
      </x:c>
      <x:c r="C3615" t="str">
        <x:v>UNIVERSITAS SEMBILAN BELAS NOVEMBER KOLAKA</x:v>
      </x:c>
      <x:c r="D3615" t="str">
        <x:v>PETERNAKAN</x:v>
      </x:c>
      <x:c r="E3615" t="str">
        <x:v>Sarjana</x:v>
      </x:c>
      <x:c r="F3615" s="18" t="n">
        <x:v>16</x:v>
      </x:c>
      <x:c r="G3615" s="18" t="n">
        <x:v>3</x:v>
      </x:c>
      <x:c r="H3615" s="19" t="n">
        <x:v>0.1875</x:v>
      </x:c>
      <x:c r="I3615" s="18" t="n">
        <x:f>ROUND(MIN(Model_Config_v3!$B$6,MAX(Q3615,R3615,S3615*Model_Config_v3!$B$4+T3615*Model_Config_v3!$B$5)),0)</x:f>
        <x:v>600</x:v>
      </x:c>
      <x:c r="J3615" s="18" t="n">
        <x:f>MIN(Model_Config_v3!$B$6,I3615+Model_Config_v3!$B$7)</x:f>
        <x:v>620</x:v>
      </x:c>
      <x:c r="K3615" s="20" t="n">
        <x:v>37</x:v>
      </x:c>
      <x:c r="L3615" t="str">
        <x:v>RELATIF LONGGAR</x:v>
      </x:c>
      <x:c r="M3615" t="str">
        <x:v>SEDANG</x:v>
      </x:c>
      <x:c r="N3615" t="str">
        <x:v>REGULER</x:v>
      </x:c>
      <x:c r="O3615" t="str">
        <x:v>SAINTEK</x:v>
      </x:c>
      <x:c r="P3615" t="str">
        <x:v>UMUM</x:v>
      </x:c>
      <x:c r="Q3615" s="18" t="n">
        <x:v>0</x:v>
      </x:c>
      <x:c r="R3615" s="18" t="n">
        <x:v>0</x:v>
      </x:c>
      <x:c r="S3615" s="18" t="n">
        <x:v>520</x:v>
      </x:c>
      <x:c r="T3615" s="18" t="n">
        <x:v>634</x:v>
      </x:c>
      <x:c r="U3615" s="18" t="n">
        <x:v>520</x:v>
      </x:c>
      <x:c r="V3615" s="20" t="n">
        <x:v>12</x:v>
      </x:c>
      <x:c r="W3615" s="20" t="n">
        <x:v>5</x:v>
      </x:c>
      <x:c r="X3615" s="20" t="n">
        <x:v>3</x:v>
      </x:c>
      <x:c r="Y3615" t="str">
        <x:v>Basis arsip 2025/2024</x:v>
      </x:c>
      <x:c r="Z3615" t="str">
        <x:v>https://snpmb.id/utbk-snbt/daya-tampung-snbt</x:v>
      </x:c>
      <x:c r="AA3615" t="str">
        <x:v>Tidak Ada</x:v>
      </x:c>
      <x:c r="AB3615" t="str">
        <x:v>Campus=55; Ratio=0.0; Prodi=40; RelDemand=10.7; Capacity=86.7</x:v>
      </x:c>
    </x:row>
    <x:row r="3616">
      <x:c r="A3616" t="n">
        <x:v>3613</x:v>
      </x:c>
      <x:c r="B3616" t="str">
        <x:v>PTN Akademik</x:v>
      </x:c>
      <x:c r="C3616" t="str">
        <x:v>UNIVERSITAS SEMBILAN BELAS NOVEMBER KOLAKA</x:v>
      </x:c>
      <x:c r="D3616" t="str">
        <x:v>ILMU PERIKANAN</x:v>
      </x:c>
      <x:c r="E3616" t="str">
        <x:v>Sarjana</x:v>
      </x:c>
      <x:c r="F3616" s="18" t="n">
        <x:v>16</x:v>
      </x:c>
      <x:c r="G3616" s="18" t="n">
        <x:v>5</x:v>
      </x:c>
      <x:c r="H3616" s="19" t="n">
        <x:v>0.3125</x:v>
      </x:c>
      <x:c r="I3616" s="18" t="n">
        <x:f>ROUND(MIN(Model_Config_v3!$B$6,MAX(Q3616,R3616,S3616*Model_Config_v3!$B$4+T3616*Model_Config_v3!$B$5)),0)</x:f>
        <x:v>601</x:v>
      </x:c>
      <x:c r="J3616" s="18" t="n">
        <x:f>MIN(Model_Config_v3!$B$6,I3616+Model_Config_v3!$B$7)</x:f>
        <x:v>621</x:v>
      </x:c>
      <x:c r="K3616" s="20" t="n">
        <x:v>37.7</x:v>
      </x:c>
      <x:c r="L3616" t="str">
        <x:v>RELATIF LONGGAR</x:v>
      </x:c>
      <x:c r="M3616" t="str">
        <x:v>SEDANG</x:v>
      </x:c>
      <x:c r="N3616" t="str">
        <x:v>REGULER</x:v>
      </x:c>
      <x:c r="O3616" t="str">
        <x:v>SAINTEK</x:v>
      </x:c>
      <x:c r="P3616" t="str">
        <x:v>UMUM</x:v>
      </x:c>
      <x:c r="Q3616" s="18" t="n">
        <x:v>0</x:v>
      </x:c>
      <x:c r="R3616" s="18" t="n">
        <x:v>0</x:v>
      </x:c>
      <x:c r="S3616" s="18" t="n">
        <x:v>520</x:v>
      </x:c>
      <x:c r="T3616" s="18" t="n">
        <x:v>635</x:v>
      </x:c>
      <x:c r="U3616" s="18" t="n">
        <x:v>520</x:v>
      </x:c>
      <x:c r="V3616" s="20" t="n">
        <x:v>12</x:v>
      </x:c>
      <x:c r="W3616" s="20" t="n">
        <x:v>5</x:v>
      </x:c>
      <x:c r="X3616" s="20" t="n">
        <x:v>3</x:v>
      </x:c>
      <x:c r="Y3616" t="str">
        <x:v>Basis arsip 2025/2024</x:v>
      </x:c>
      <x:c r="Z3616" t="str">
        <x:v>https://snpmb.id/utbk-snbt/daya-tampung-snbt</x:v>
      </x:c>
      <x:c r="AA3616" t="str">
        <x:v>Tidak Ada</x:v>
      </x:c>
      <x:c r="AB3616" t="str">
        <x:v>Campus=55; Ratio=0.0; Prodi=40; RelDemand=17.9; Capacity=86.7</x:v>
      </x:c>
    </x:row>
    <x:row r="3617">
      <x:c r="A3617" t="n">
        <x:v>3614</x:v>
      </x:c>
      <x:c r="B3617" t="str">
        <x:v>PTN Akademik</x:v>
      </x:c>
      <x:c r="C3617" t="str">
        <x:v>UNIVERSITAS SEMBILAN BELAS NOVEMBER KOLAKA</x:v>
      </x:c>
      <x:c r="D3617" t="str">
        <x:v>PENDIDIKAN BIOLOGI</x:v>
      </x:c>
      <x:c r="E3617" t="str">
        <x:v>Sarjana</x:v>
      </x:c>
      <x:c r="F3617" s="18" t="n">
        <x:v>31</x:v>
      </x:c>
      <x:c r="G3617" s="18" t="n">
        <x:v>21</x:v>
      </x:c>
      <x:c r="H3617" s="19" t="n">
        <x:v>0.6774193548387096</x:v>
      </x:c>
      <x:c r="I3617" s="18" t="n">
        <x:f>ROUND(MIN(Model_Config_v3!$B$6,MAX(Q3617,R3617,S3617*Model_Config_v3!$B$4+T3617*Model_Config_v3!$B$5)),0)</x:f>
        <x:v>603</x:v>
      </x:c>
      <x:c r="J3617" s="18" t="n">
        <x:f>MIN(Model_Config_v3!$B$6,I3617+Model_Config_v3!$B$7)</x:f>
        <x:v>623</x:v>
      </x:c>
      <x:c r="K3617" s="20" t="n">
        <x:v>39.5</x:v>
      </x:c>
      <x:c r="L3617" t="str">
        <x:v>RELATIF LONGGAR</x:v>
      </x:c>
      <x:c r="M3617" t="str">
        <x:v>SEDANG+</x:v>
      </x:c>
      <x:c r="N3617" t="str">
        <x:v>REGULER</x:v>
      </x:c>
      <x:c r="O3617" t="str">
        <x:v>SAINTEK</x:v>
      </x:c>
      <x:c r="P3617" t="str">
        <x:v>PENDIDIKAN</x:v>
      </x:c>
      <x:c r="Q3617" s="18" t="n">
        <x:v>0</x:v>
      </x:c>
      <x:c r="R3617" s="18" t="n">
        <x:v>0</x:v>
      </x:c>
      <x:c r="S3617" s="18" t="n">
        <x:v>520</x:v>
      </x:c>
      <x:c r="T3617" s="18" t="n">
        <x:v>639</x:v>
      </x:c>
      <x:c r="U3617" s="18" t="n">
        <x:v>520</x:v>
      </x:c>
      <x:c r="V3617" s="20" t="n">
        <x:v>12</x:v>
      </x:c>
      <x:c r="W3617" s="20" t="n">
        <x:v>5</x:v>
      </x:c>
      <x:c r="X3617" s="20" t="n">
        <x:v>3</x:v>
      </x:c>
      <x:c r="Y3617" t="str">
        <x:v>Basis arsip 2025/2024</x:v>
      </x:c>
      <x:c r="Z3617" t="str">
        <x:v>https://snpmb.id/utbk-snbt/daya-tampung-snbt</x:v>
      </x:c>
      <x:c r="AA3617" t="str">
        <x:v>Tidak Ada</x:v>
      </x:c>
      <x:c r="AB3617" t="str">
        <x:v>Campus=55; Ratio=0.0; Prodi=45; RelDemand=38.8; Capacity=74.2</x:v>
      </x:c>
    </x:row>
    <x:row r="3618">
      <x:c r="A3618" t="n">
        <x:v>3615</x:v>
      </x:c>
      <x:c r="B3618" t="str">
        <x:v>PTN Akademik</x:v>
      </x:c>
      <x:c r="C3618" t="str">
        <x:v>UNIVERSITAS SEMBILAN BELAS NOVEMBER KOLAKA</x:v>
      </x:c>
      <x:c r="D3618" t="str">
        <x:v>PENDIDIKAN KIMIA</x:v>
      </x:c>
      <x:c r="E3618" t="str">
        <x:v>Sarjana</x:v>
      </x:c>
      <x:c r="F3618" s="18" t="n">
        <x:v>16</x:v>
      </x:c>
      <x:c r="G3618" s="18" t="n">
        <x:v>5</x:v>
      </x:c>
      <x:c r="H3618" s="19" t="n">
        <x:v>0.3125</x:v>
      </x:c>
      <x:c r="I3618" s="18" t="n">
        <x:f>ROUND(MIN(Model_Config_v3!$B$6,MAX(Q3618,R3618,S3618*Model_Config_v3!$B$4+T3618*Model_Config_v3!$B$5)),0)</x:f>
        <x:v>602</x:v>
      </x:c>
      <x:c r="J3618" s="18" t="n">
        <x:f>MIN(Model_Config_v3!$B$6,I3618+Model_Config_v3!$B$7)</x:f>
        <x:v>622</x:v>
      </x:c>
      <x:c r="K3618" s="20" t="n">
        <x:v>38.7</x:v>
      </x:c>
      <x:c r="L3618" t="str">
        <x:v>RELATIF LONGGAR</x:v>
      </x:c>
      <x:c r="M3618" t="str">
        <x:v>SEDANG+</x:v>
      </x:c>
      <x:c r="N3618" t="str">
        <x:v>REGULER</x:v>
      </x:c>
      <x:c r="O3618" t="str">
        <x:v>SAINTEK</x:v>
      </x:c>
      <x:c r="P3618" t="str">
        <x:v>PENDIDIKAN</x:v>
      </x:c>
      <x:c r="Q3618" s="18" t="n">
        <x:v>0</x:v>
      </x:c>
      <x:c r="R3618" s="18" t="n">
        <x:v>0</x:v>
      </x:c>
      <x:c r="S3618" s="18" t="n">
        <x:v>520</x:v>
      </x:c>
      <x:c r="T3618" s="18" t="n">
        <x:v>637</x:v>
      </x:c>
      <x:c r="U3618" s="18" t="n">
        <x:v>520</x:v>
      </x:c>
      <x:c r="V3618" s="20" t="n">
        <x:v>12</x:v>
      </x:c>
      <x:c r="W3618" s="20" t="n">
        <x:v>5</x:v>
      </x:c>
      <x:c r="X3618" s="20" t="n">
        <x:v>3</x:v>
      </x:c>
      <x:c r="Y3618" t="str">
        <x:v>Basis arsip 2025/2024</x:v>
      </x:c>
      <x:c r="Z3618" t="str">
        <x:v>https://snpmb.id/utbk-snbt/daya-tampung-snbt</x:v>
      </x:c>
      <x:c r="AA3618" t="str">
        <x:v>Tidak Ada</x:v>
      </x:c>
      <x:c r="AB3618" t="str">
        <x:v>Campus=55; Ratio=0.0; Prodi=45; RelDemand=17.9; Capacity=86.7</x:v>
      </x:c>
    </x:row>
    <x:row r="3619">
      <x:c r="A3619" t="n">
        <x:v>3616</x:v>
      </x:c>
      <x:c r="B3619" t="str">
        <x:v>PTN Akademik</x:v>
      </x:c>
      <x:c r="C3619" t="str">
        <x:v>UNIVERSITAS SEMBILAN BELAS NOVEMBER KOLAKA</x:v>
      </x:c>
      <x:c r="D3619" t="str">
        <x:v>TEKNOLOGI HASIL PERTANIAN</x:v>
      </x:c>
      <x:c r="E3619" t="str">
        <x:v>Sarjana</x:v>
      </x:c>
      <x:c r="F3619" s="18" t="n">
        <x:v>16</x:v>
      </x:c>
      <x:c r="G3619" s="18" t="n">
        <x:v>12</x:v>
      </x:c>
      <x:c r="H3619" s="19" t="n">
        <x:v>0.75</x:v>
      </x:c>
      <x:c r="I3619" s="18" t="n">
        <x:f>ROUND(MIN(Model_Config_v3!$B$6,MAX(Q3619,R3619,S3619*Model_Config_v3!$B$4+T3619*Model_Config_v3!$B$5)),0)</x:f>
        <x:v>604</x:v>
      </x:c>
      <x:c r="J3619" s="18" t="n">
        <x:f>MIN(Model_Config_v3!$B$6,I3619+Model_Config_v3!$B$7)</x:f>
        <x:v>624</x:v>
      </x:c>
      <x:c r="K3619" s="20" t="n">
        <x:v>40.2</x:v>
      </x:c>
      <x:c r="L3619" t="str">
        <x:v>RELATIF LONGGAR</x:v>
      </x:c>
      <x:c r="M3619" t="str">
        <x:v>SEDANG</x:v>
      </x:c>
      <x:c r="N3619" t="str">
        <x:v>REGULER</x:v>
      </x:c>
      <x:c r="O3619" t="str">
        <x:v>SAINTEK</x:v>
      </x:c>
      <x:c r="P3619" t="str">
        <x:v>UMUM</x:v>
      </x:c>
      <x:c r="Q3619" s="18" t="n">
        <x:v>0</x:v>
      </x:c>
      <x:c r="R3619" s="18" t="n">
        <x:v>0</x:v>
      </x:c>
      <x:c r="S3619" s="18" t="n">
        <x:v>520</x:v>
      </x:c>
      <x:c r="T3619" s="18" t="n">
        <x:v>640</x:v>
      </x:c>
      <x:c r="U3619" s="18" t="n">
        <x:v>520</x:v>
      </x:c>
      <x:c r="V3619" s="20" t="n">
        <x:v>12</x:v>
      </x:c>
      <x:c r="W3619" s="20" t="n">
        <x:v>5</x:v>
      </x:c>
      <x:c r="X3619" s="20" t="n">
        <x:v>3</x:v>
      </x:c>
      <x:c r="Y3619" t="str">
        <x:v>Basis arsip 2025/2024</x:v>
      </x:c>
      <x:c r="Z3619" t="str">
        <x:v>https://snpmb.id/utbk-snbt/daya-tampung-snbt</x:v>
      </x:c>
      <x:c r="AA3619" t="str">
        <x:v>Tidak Ada</x:v>
      </x:c>
      <x:c r="AB3619" t="str">
        <x:v>Campus=55; Ratio=0.0; Prodi=40; RelDemand=42.9; Capacity=86.7</x:v>
      </x:c>
    </x:row>
    <x:row r="3620">
      <x:c r="A3620" t="n">
        <x:v>3617</x:v>
      </x:c>
      <x:c r="B3620" t="str">
        <x:v>PTN Akademik</x:v>
      </x:c>
      <x:c r="C3620" t="str">
        <x:v>UNIVERSITAS SEMBILAN BELAS NOVEMBER KOLAKA</x:v>
      </x:c>
      <x:c r="D3620" t="str">
        <x:v>KIMIA</x:v>
      </x:c>
      <x:c r="E3620" t="str">
        <x:v>Sarjana</x:v>
      </x:c>
      <x:c r="F3620" s="18" t="n">
        <x:v>16</x:v>
      </x:c>
      <x:c r="G3620" s="18"/>
      <x:c r="H3620" s="19" t="n">
        <x:v>0</x:v>
      </x:c>
      <x:c r="I3620" s="18" t="n">
        <x:f>ROUND(MIN(Model_Config_v3!$B$6,MAX(Q3620,R3620,S3620*Model_Config_v3!$B$4+T3620*Model_Config_v3!$B$5)),0)</x:f>
        <x:v>601</x:v>
      </x:c>
      <x:c r="J3620" s="18" t="n">
        <x:f>MIN(Model_Config_v3!$B$6,I3620+Model_Config_v3!$B$7)</x:f>
        <x:v>621</x:v>
      </x:c>
      <x:c r="K3620" s="20" t="n">
        <x:v>37.9</x:v>
      </x:c>
      <x:c r="L3620" t="str">
        <x:v>RELATIF LONGGAR</x:v>
      </x:c>
      <x:c r="M3620" t="str">
        <x:v>RENDAH</x:v>
      </x:c>
      <x:c r="N3620" t="str">
        <x:v>REGULER</x:v>
      </x:c>
      <x:c r="O3620" t="str">
        <x:v>SAINTEK</x:v>
      </x:c>
      <x:c r="P3620" t="str">
        <x:v>SAINS DASAR</x:v>
      </x:c>
      <x:c r="Q3620" s="18" t="n">
        <x:v>0</x:v>
      </x:c>
      <x:c r="R3620" s="18" t="n">
        <x:v>0</x:v>
      </x:c>
      <x:c r="S3620" s="18" t="n">
        <x:v>520</x:v>
      </x:c>
      <x:c r="T3620" s="18" t="n">
        <x:v>636</x:v>
      </x:c>
      <x:c r="U3620" s="18" t="n">
        <x:v>520</x:v>
      </x:c>
      <x:c r="V3620" s="20" t="n">
        <x:v>12</x:v>
      </x:c>
      <x:c r="W3620" s="20" t="n">
        <x:v>5</x:v>
      </x:c>
      <x:c r="X3620" s="20" t="n">
        <x:v>3</x:v>
      </x:c>
      <x:c r="Y3620" t="str">
        <x:v>Basis arsip 2025/2024</x:v>
      </x:c>
      <x:c r="Z3620" t="str">
        <x:v>https://snpmb.id/utbk-snbt/daya-tampung-snbt</x:v>
      </x:c>
      <x:c r="AA3620" t="str">
        <x:v>Tidak Ada</x:v>
      </x:c>
      <x:c r="AB3620" t="str">
        <x:v>Campus=55; Ratio=0.0; Prodi=50; RelDemand=0.0; Capacity=86.7</x:v>
      </x:c>
    </x:row>
    <x:row r="3621">
      <x:c r="A3621" t="n">
        <x:v>3618</x:v>
      </x:c>
      <x:c r="B3621" t="str">
        <x:v>PTN Akademik</x:v>
      </x:c>
      <x:c r="C3621" t="str">
        <x:v>UNIVERSITAS SEMBILAN BELAS NOVEMBER KOLAKA</x:v>
      </x:c>
      <x:c r="D3621" t="str">
        <x:v>ILMU KOMPUTER</x:v>
      </x:c>
      <x:c r="E3621" t="str">
        <x:v>Sarjana</x:v>
      </x:c>
      <x:c r="F3621" s="18" t="n">
        <x:v>54</x:v>
      </x:c>
      <x:c r="G3621" s="18" t="n">
        <x:v>67</x:v>
      </x:c>
      <x:c r="H3621" s="19" t="n">
        <x:v>1.2407407407407407</x:v>
      </x:c>
      <x:c r="I3621" s="18" t="n">
        <x:f>ROUND(MIN(Model_Config_v3!$B$6,MAX(Q3621,R3621,S3621*Model_Config_v3!$B$4+T3621*Model_Config_v3!$B$5)),0)</x:f>
        <x:v>621</x:v>
      </x:c>
      <x:c r="J3621" s="18" t="n">
        <x:f>MIN(Model_Config_v3!$B$6,I3621+Model_Config_v3!$B$7)</x:f>
        <x:v>641</x:v>
      </x:c>
      <x:c r="K3621" s="20" t="n">
        <x:v>50.2</x:v>
      </x:c>
      <x:c r="L3621" t="str">
        <x:v>MENENGAH</x:v>
      </x:c>
      <x:c r="M3621" t="str">
        <x:v>SEDANG+</x:v>
      </x:c>
      <x:c r="N3621" t="str">
        <x:v>REGULER</x:v>
      </x:c>
      <x:c r="O3621" t="str">
        <x:v>SAINTEK</x:v>
      </x:c>
      <x:c r="P3621" t="str">
        <x:v>KOMPUTER/INFORMATIKA</x:v>
      </x:c>
      <x:c r="Q3621" s="18" t="n">
        <x:v>0</x:v>
      </x:c>
      <x:c r="R3621" s="18" t="n">
        <x:v>0</x:v>
      </x:c>
      <x:c r="S3621" s="18" t="n">
        <x:v>530.3049147165643</x:v>
      </x:c>
      <x:c r="T3621" s="18" t="n">
        <x:v>660</x:v>
      </x:c>
      <x:c r="U3621" s="18" t="n">
        <x:v>555.3049147165643</x:v>
      </x:c>
      <x:c r="V3621" s="20" t="n">
        <x:v>12</x:v>
      </x:c>
      <x:c r="W3621" s="20" t="n">
        <x:v>5</x:v>
      </x:c>
      <x:c r="X3621" s="20" t="n">
        <x:v>3</x:v>
      </x:c>
      <x:c r="Y3621" t="str">
        <x:v>Basis arsip 2025/2024</x:v>
      </x:c>
      <x:c r="Z3621" t="str">
        <x:v>https://snpmb.id/utbk-snbt/daya-tampung-snbt</x:v>
      </x:c>
      <x:c r="AA3621" t="str">
        <x:v>Tidak Ada</x:v>
      </x:c>
      <x:c r="AB3621" t="str">
        <x:v>Campus=55; Ratio=5.5; Prodi=85; RelDemand=71.0; Capacity=55.0</x:v>
      </x:c>
    </x:row>
    <x:row r="3622">
      <x:c r="A3622" t="n">
        <x:v>3619</x:v>
      </x:c>
      <x:c r="B3622" t="str">
        <x:v>PTN Akademik</x:v>
      </x:c>
      <x:c r="C3622" t="str">
        <x:v>UNIVERSITAS SEMBILAN BELAS NOVEMBER KOLAKA</x:v>
      </x:c>
      <x:c r="D3622" t="str">
        <x:v>FARMASI</x:v>
      </x:c>
      <x:c r="E3622" t="str">
        <x:v>Sarjana</x:v>
      </x:c>
      <x:c r="F3622" s="18" t="n">
        <x:v>47</x:v>
      </x:c>
      <x:c r="G3622" s="18" t="n">
        <x:v>114</x:v>
      </x:c>
      <x:c r="H3622" s="19" t="n">
        <x:v>2.425531914893617</x:v>
      </x:c>
      <x:c r="I3622" s="18" t="n">
        <x:f>ROUND(MIN(Model_Config_v3!$B$6,MAX(Q3622,R3622,S3622*Model_Config_v3!$B$4+T3622*Model_Config_v3!$B$5)),0)</x:f>
        <x:v>639</x:v>
      </x:c>
      <x:c r="J3622" s="18" t="n">
        <x:f>MIN(Model_Config_v3!$B$6,I3622+Model_Config_v3!$B$7)</x:f>
        <x:v>659</x:v>
      </x:c>
      <x:c r="K3622" s="20" t="n">
        <x:v>56</x:v>
      </x:c>
      <x:c r="L3622" t="str">
        <x:v>KETAT</x:v>
      </x:c>
      <x:c r="M3622" t="str">
        <x:v>SEDANG+</x:v>
      </x:c>
      <x:c r="N3622" t="str">
        <x:v>REGULER</x:v>
      </x:c>
      <x:c r="O3622" t="str">
        <x:v>SAINTEK</x:v>
      </x:c>
      <x:c r="P3622" t="str">
        <x:v>FARMASI</x:v>
      </x:c>
      <x:c r="Q3622" s="18" t="n">
        <x:v>0</x:v>
      </x:c>
      <x:c r="R3622" s="18" t="n">
        <x:v>0</x:v>
      </x:c>
      <x:c r="S3622" s="18" t="n">
        <x:v>562.328769274083</x:v>
      </x:c>
      <x:c r="T3622" s="18" t="n">
        <x:v>672</x:v>
      </x:c>
      <x:c r="U3622" s="18" t="n">
        <x:v>582.328769274083</x:v>
      </x:c>
      <x:c r="V3622" s="20" t="n">
        <x:v>12</x:v>
      </x:c>
      <x:c r="W3622" s="20" t="n">
        <x:v>5</x:v>
      </x:c>
      <x:c r="X3622" s="20" t="n">
        <x:v>3</x:v>
      </x:c>
      <x:c r="Y3622" t="str">
        <x:v>Basis arsip 2025/2024</x:v>
      </x:c>
      <x:c r="Z3622" t="str">
        <x:v>https://snpmb.id/utbk-snbt/daya-tampung-snbt</x:v>
      </x:c>
      <x:c r="AA3622" t="str">
        <x:v>Tidak Ada</x:v>
      </x:c>
      <x:c r="AB3622" t="str">
        <x:v>Campus=55; Ratio=22.6; Prodi=75; RelDemand=100.0; Capacity=60.8</x:v>
      </x:c>
    </x:row>
    <x:row r="3623">
      <x:c r="A3623" t="n">
        <x:v>3620</x:v>
      </x:c>
      <x:c r="B3623" t="str">
        <x:v>PTN Akademik</x:v>
      </x:c>
      <x:c r="C3623" t="str">
        <x:v>UNIVERSITAS SEMBILAN BELAS NOVEMBER KOLAKA</x:v>
      </x:c>
      <x:c r="D3623" t="str">
        <x:v>PENDIDIKAN FISIKA</x:v>
      </x:c>
      <x:c r="E3623" t="str">
        <x:v>Sarjana</x:v>
      </x:c>
      <x:c r="F3623" s="18" t="n">
        <x:v>16</x:v>
      </x:c>
      <x:c r="G3623" s="18" t="n">
        <x:v>5</x:v>
      </x:c>
      <x:c r="H3623" s="19" t="n">
        <x:v>0.3125</x:v>
      </x:c>
      <x:c r="I3623" s="18" t="n">
        <x:f>ROUND(MIN(Model_Config_v3!$B$6,MAX(Q3623,R3623,S3623*Model_Config_v3!$B$4+T3623*Model_Config_v3!$B$5)),0)</x:f>
        <x:v>602</x:v>
      </x:c>
      <x:c r="J3623" s="18" t="n">
        <x:f>MIN(Model_Config_v3!$B$6,I3623+Model_Config_v3!$B$7)</x:f>
        <x:v>622</x:v>
      </x:c>
      <x:c r="K3623" s="20" t="n">
        <x:v>38.7</x:v>
      </x:c>
      <x:c r="L3623" t="str">
        <x:v>RELATIF LONGGAR</x:v>
      </x:c>
      <x:c r="M3623" t="str">
        <x:v>SEDANG+</x:v>
      </x:c>
      <x:c r="N3623" t="str">
        <x:v>REGULER</x:v>
      </x:c>
      <x:c r="O3623" t="str">
        <x:v>SAINTEK</x:v>
      </x:c>
      <x:c r="P3623" t="str">
        <x:v>PENDIDIKAN</x:v>
      </x:c>
      <x:c r="Q3623" s="18" t="n">
        <x:v>0</x:v>
      </x:c>
      <x:c r="R3623" s="18" t="n">
        <x:v>0</x:v>
      </x:c>
      <x:c r="S3623" s="18" t="n">
        <x:v>520</x:v>
      </x:c>
      <x:c r="T3623" s="18" t="n">
        <x:v>637</x:v>
      </x:c>
      <x:c r="U3623" s="18" t="n">
        <x:v>520</x:v>
      </x:c>
      <x:c r="V3623" s="20" t="n">
        <x:v>12</x:v>
      </x:c>
      <x:c r="W3623" s="20" t="n">
        <x:v>5</x:v>
      </x:c>
      <x:c r="X3623" s="20" t="n">
        <x:v>3</x:v>
      </x:c>
      <x:c r="Y3623" t="str">
        <x:v>Basis arsip 2025/2024</x:v>
      </x:c>
      <x:c r="Z3623" t="str">
        <x:v>https://snpmb.id/utbk-snbt/daya-tampung-snbt</x:v>
      </x:c>
      <x:c r="AA3623" t="str">
        <x:v>Tidak Ada</x:v>
      </x:c>
      <x:c r="AB3623" t="str">
        <x:v>Campus=55; Ratio=0.0; Prodi=45; RelDemand=17.9; Capacity=86.7</x:v>
      </x:c>
    </x:row>
    <x:row r="3624">
      <x:c r="A3624" t="n">
        <x:v>3621</x:v>
      </x:c>
      <x:c r="B3624" t="str">
        <x:v>PTN Akademik</x:v>
      </x:c>
      <x:c r="C3624" t="str">
        <x:v>UNIVERSITAS SEMBILAN BELAS NOVEMBER KOLAKA</x:v>
      </x:c>
      <x:c r="D3624" t="str">
        <x:v>ILMU KELAUTAN</x:v>
      </x:c>
      <x:c r="E3624" t="str">
        <x:v>Sarjana</x:v>
      </x:c>
      <x:c r="F3624" s="18" t="n">
        <x:v>16</x:v>
      </x:c>
      <x:c r="G3624" s="18" t="n">
        <x:v>1</x:v>
      </x:c>
      <x:c r="H3624" s="19" t="n">
        <x:v>0.0625</x:v>
      </x:c>
      <x:c r="I3624" s="18" t="n">
        <x:f>ROUND(MIN(Model_Config_v3!$B$6,MAX(Q3624,R3624,S3624*Model_Config_v3!$B$4+T3624*Model_Config_v3!$B$5)),0)</x:f>
        <x:v>599</x:v>
      </x:c>
      <x:c r="J3624" s="18" t="n">
        <x:f>MIN(Model_Config_v3!$B$6,I3624+Model_Config_v3!$B$7)</x:f>
        <x:v>619</x:v>
      </x:c>
      <x:c r="K3624" s="20" t="n">
        <x:v>36.3</x:v>
      </x:c>
      <x:c r="L3624" t="str">
        <x:v>RELATIF LONGGAR</x:v>
      </x:c>
      <x:c r="M3624" t="str">
        <x:v>SEDANG</x:v>
      </x:c>
      <x:c r="N3624" t="str">
        <x:v>REGULER</x:v>
      </x:c>
      <x:c r="O3624" t="str">
        <x:v>SAINTEK</x:v>
      </x:c>
      <x:c r="P3624" t="str">
        <x:v>UMUM</x:v>
      </x:c>
      <x:c r="Q3624" s="18" t="n">
        <x:v>0</x:v>
      </x:c>
      <x:c r="R3624" s="18" t="n">
        <x:v>0</x:v>
      </x:c>
      <x:c r="S3624" s="18" t="n">
        <x:v>520</x:v>
      </x:c>
      <x:c r="T3624" s="18" t="n">
        <x:v>633</x:v>
      </x:c>
      <x:c r="U3624" s="18" t="n">
        <x:v>520</x:v>
      </x:c>
      <x:c r="V3624" s="20" t="n">
        <x:v>12</x:v>
      </x:c>
      <x:c r="W3624" s="20" t="n">
        <x:v>5</x:v>
      </x:c>
      <x:c r="X3624" s="20" t="n">
        <x:v>3</x:v>
      </x:c>
      <x:c r="Y3624" t="str">
        <x:v>Basis arsip 2025/2024</x:v>
      </x:c>
      <x:c r="Z3624" t="str">
        <x:v>https://snpmb.id/utbk-snbt/daya-tampung-snbt</x:v>
      </x:c>
      <x:c r="AA3624" t="str">
        <x:v>Tidak Ada</x:v>
      </x:c>
      <x:c r="AB3624" t="str">
        <x:v>Campus=55; Ratio=0.0; Prodi=40; RelDemand=3.6; Capacity=86.7</x:v>
      </x:c>
    </x:row>
    <x:row r="3625">
      <x:c r="A3625" t="n">
        <x:v>3622</x:v>
      </x:c>
      <x:c r="B3625" t="str">
        <x:v>PTN Akademik</x:v>
      </x:c>
      <x:c r="C3625" t="str">
        <x:v>UNIVERSITAS SEMBILAN BELAS NOVEMBER KOLAKA</x:v>
      </x:c>
      <x:c r="D3625" t="str">
        <x:v>TEKNIK MESIN</x:v>
      </x:c>
      <x:c r="E3625" t="str">
        <x:v>Sarjana</x:v>
      </x:c>
      <x:c r="F3625" s="18" t="n">
        <x:v>22</x:v>
      </x:c>
      <x:c r="G3625" s="18" t="n">
        <x:v>3</x:v>
      </x:c>
      <x:c r="H3625" s="19" t="n">
        <x:v>0.13636363636363635</x:v>
      </x:c>
      <x:c r="I3625" s="18" t="n">
        <x:f>ROUND(MIN(Model_Config_v3!$B$6,MAX(Q3625,R3625,S3625*Model_Config_v3!$B$4+T3625*Model_Config_v3!$B$5)),0)</x:f>
        <x:v>604</x:v>
      </x:c>
      <x:c r="J3625" s="18" t="n">
        <x:f>MIN(Model_Config_v3!$B$6,I3625+Model_Config_v3!$B$7)</x:f>
        <x:v>624</x:v>
      </x:c>
      <x:c r="K3625" s="20" t="n">
        <x:v>40.2</x:v>
      </x:c>
      <x:c r="L3625" t="str">
        <x:v>RELATIF LONGGAR</x:v>
      </x:c>
      <x:c r="M3625" t="str">
        <x:v>SEDANG+</x:v>
      </x:c>
      <x:c r="N3625" t="str">
        <x:v>REGULER</x:v>
      </x:c>
      <x:c r="O3625" t="str">
        <x:v>SAINTEK</x:v>
      </x:c>
      <x:c r="P3625" t="str">
        <x:v>TEKNIK/ARSITEKTUR/STATISTIKA/AKTUARIA</x:v>
      </x:c>
      <x:c r="Q3625" s="18" t="n">
        <x:v>0</x:v>
      </x:c>
      <x:c r="R3625" s="18" t="n">
        <x:v>0</x:v>
      </x:c>
      <x:c r="S3625" s="18" t="n">
        <x:v>520</x:v>
      </x:c>
      <x:c r="T3625" s="18" t="n">
        <x:v>640</x:v>
      </x:c>
      <x:c r="U3625" s="18" t="n">
        <x:v>530</x:v>
      </x:c>
      <x:c r="V3625" s="20" t="n">
        <x:v>12</x:v>
      </x:c>
      <x:c r="W3625" s="20" t="n">
        <x:v>5</x:v>
      </x:c>
      <x:c r="X3625" s="20" t="n">
        <x:v>3</x:v>
      </x:c>
      <x:c r="Y3625" t="str">
        <x:v>Basis arsip 2025/2024</x:v>
      </x:c>
      <x:c r="Z3625" t="str">
        <x:v>https://snpmb.id/utbk-snbt/daya-tampung-snbt</x:v>
      </x:c>
      <x:c r="AA3625" t="str">
        <x:v>Tidak Ada</x:v>
      </x:c>
      <x:c r="AB3625" t="str">
        <x:v>Campus=55; Ratio=0.0; Prodi=60; RelDemand=7.8; Capacity=81.7</x:v>
      </x:c>
    </x:row>
    <x:row r="3626">
      <x:c r="A3626" t="n">
        <x:v>3623</x:v>
      </x:c>
      <x:c r="B3626" t="str">
        <x:v>PTN Akademik</x:v>
      </x:c>
      <x:c r="C3626" t="str">
        <x:v>UNIVERSITAS SEMBILAN BELAS NOVEMBER KOLAKA</x:v>
      </x:c>
      <x:c r="D3626" t="str">
        <x:v>TEKNIK PERKAPALAN</x:v>
      </x:c>
      <x:c r="E3626" t="str">
        <x:v>Sarjana</x:v>
      </x:c>
      <x:c r="F3626" s="18" t="n">
        <x:v>22</x:v>
      </x:c>
      <x:c r="G3626" s="18" t="n">
        <x:v>1</x:v>
      </x:c>
      <x:c r="H3626" s="19" t="n">
        <x:v>0.045454545454545456</x:v>
      </x:c>
      <x:c r="I3626" s="18" t="n">
        <x:f>ROUND(MIN(Model_Config_v3!$B$6,MAX(Q3626,R3626,S3626*Model_Config_v3!$B$4+T3626*Model_Config_v3!$B$5)),0)</x:f>
        <x:v>603</x:v>
      </x:c>
      <x:c r="J3626" s="18" t="n">
        <x:f>MIN(Model_Config_v3!$B$6,I3626+Model_Config_v3!$B$7)</x:f>
        <x:v>623</x:v>
      </x:c>
      <x:c r="K3626" s="20" t="n">
        <x:v>39.7</x:v>
      </x:c>
      <x:c r="L3626" t="str">
        <x:v>RELATIF LONGGAR</x:v>
      </x:c>
      <x:c r="M3626" t="str">
        <x:v>SEDANG+</x:v>
      </x:c>
      <x:c r="N3626" t="str">
        <x:v>REGULER</x:v>
      </x:c>
      <x:c r="O3626" t="str">
        <x:v>SAINTEK</x:v>
      </x:c>
      <x:c r="P3626" t="str">
        <x:v>TEKNIK/ARSITEKTUR/STATISTIKA/AKTUARIA</x:v>
      </x:c>
      <x:c r="Q3626" s="18" t="n">
        <x:v>0</x:v>
      </x:c>
      <x:c r="R3626" s="18" t="n">
        <x:v>0</x:v>
      </x:c>
      <x:c r="S3626" s="18" t="n">
        <x:v>520</x:v>
      </x:c>
      <x:c r="T3626" s="18" t="n">
        <x:v>639</x:v>
      </x:c>
      <x:c r="U3626" s="18" t="n">
        <x:v>530</x:v>
      </x:c>
      <x:c r="V3626" s="20" t="n">
        <x:v>12</x:v>
      </x:c>
      <x:c r="W3626" s="20" t="n">
        <x:v>5</x:v>
      </x:c>
      <x:c r="X3626" s="20" t="n">
        <x:v>3</x:v>
      </x:c>
      <x:c r="Y3626" t="str">
        <x:v>Basis arsip 2025/2024</x:v>
      </x:c>
      <x:c r="Z3626" t="str">
        <x:v>https://snpmb.id/utbk-snbt/daya-tampung-snbt</x:v>
      </x:c>
      <x:c r="AA3626" t="str">
        <x:v>Tidak Ada</x:v>
      </x:c>
      <x:c r="AB3626" t="str">
        <x:v>Campus=55; Ratio=0.0; Prodi=60; RelDemand=2.6; Capacity=81.7</x:v>
      </x:c>
    </x:row>
    <x:row r="3627">
      <x:c r="A3627" t="n">
        <x:v>3624</x:v>
      </x:c>
      <x:c r="B3627" t="str">
        <x:v>PTN Akademik</x:v>
      </x:c>
      <x:c r="C3627" t="str">
        <x:v>UNIVERSITAS SEMBILAN BELAS NOVEMBER KOLAKA</x:v>
      </x:c>
      <x:c r="D3627" t="str">
        <x:v>MATEMATIKA</x:v>
      </x:c>
      <x:c r="E3627" t="str">
        <x:v>Sarjana</x:v>
      </x:c>
      <x:c r="F3627" s="18" t="n">
        <x:v>16</x:v>
      </x:c>
      <x:c r="G3627" s="18" t="n">
        <x:v>6</x:v>
      </x:c>
      <x:c r="H3627" s="19" t="n">
        <x:v>0.375</x:v>
      </x:c>
      <x:c r="I3627" s="18" t="n">
        <x:f>ROUND(MIN(Model_Config_v3!$B$6,MAX(Q3627,R3627,S3627*Model_Config_v3!$B$4+T3627*Model_Config_v3!$B$5)),0)</x:f>
        <x:v>604</x:v>
      </x:c>
      <x:c r="J3627" s="18" t="n">
        <x:f>MIN(Model_Config_v3!$B$6,I3627+Model_Config_v3!$B$7)</x:f>
        <x:v>624</x:v>
      </x:c>
      <x:c r="K3627" s="20" t="n">
        <x:v>40.1</x:v>
      </x:c>
      <x:c r="L3627" t="str">
        <x:v>RELATIF LONGGAR</x:v>
      </x:c>
      <x:c r="M3627" t="str">
        <x:v>SEDANG+</x:v>
      </x:c>
      <x:c r="N3627" t="str">
        <x:v>REGULER</x:v>
      </x:c>
      <x:c r="O3627" t="str">
        <x:v>SAINTEK</x:v>
      </x:c>
      <x:c r="P3627" t="str">
        <x:v>SAINS DASAR</x:v>
      </x:c>
      <x:c r="Q3627" s="18" t="n">
        <x:v>0</x:v>
      </x:c>
      <x:c r="R3627" s="18" t="n">
        <x:v>0</x:v>
      </x:c>
      <x:c r="S3627" s="18" t="n">
        <x:v>520</x:v>
      </x:c>
      <x:c r="T3627" s="18" t="n">
        <x:v>640</x:v>
      </x:c>
      <x:c r="U3627" s="18" t="n">
        <x:v>520</x:v>
      </x:c>
      <x:c r="V3627" s="20" t="n">
        <x:v>12</x:v>
      </x:c>
      <x:c r="W3627" s="20" t="n">
        <x:v>5</x:v>
      </x:c>
      <x:c r="X3627" s="20" t="n">
        <x:v>3</x:v>
      </x:c>
      <x:c r="Y3627" t="str">
        <x:v>Basis arsip 2025/2024</x:v>
      </x:c>
      <x:c r="Z3627" t="str">
        <x:v>https://snpmb.id/utbk-snbt/daya-tampung-snbt</x:v>
      </x:c>
      <x:c r="AA3627" t="str">
        <x:v>Tidak Ada</x:v>
      </x:c>
      <x:c r="AB3627" t="str">
        <x:v>Campus=55; Ratio=0.0; Prodi=50; RelDemand=21.5; Capacity=86.7</x:v>
      </x:c>
    </x:row>
    <x:row r="3628">
      <x:c r="A3628" t="n">
        <x:v>3625</x:v>
      </x:c>
      <x:c r="B3628" t="str">
        <x:v>PTN Akademik</x:v>
      </x:c>
      <x:c r="C3628" t="str">
        <x:v>UNIVERSITAS SEMBILAN BELAS NOVEMBER KOLAKA</x:v>
      </x:c>
      <x:c r="D3628" t="str">
        <x:v>HUKUM</x:v>
      </x:c>
      <x:c r="E3628" t="str">
        <x:v>Sarjana</x:v>
      </x:c>
      <x:c r="F3628" s="18" t="n">
        <x:v>81</x:v>
      </x:c>
      <x:c r="G3628" s="18" t="n">
        <x:v>43</x:v>
      </x:c>
      <x:c r="H3628" s="19" t="n">
        <x:v>0.5308641975308642</x:v>
      </x:c>
      <x:c r="I3628" s="18" t="n">
        <x:f>ROUND(MIN(Model_Config_v3!$B$6,MAX(Q3628,R3628,S3628*Model_Config_v3!$B$4+T3628*Model_Config_v3!$B$5)),0)</x:f>
        <x:v>602</x:v>
      </x:c>
      <x:c r="J3628" s="18" t="n">
        <x:f>MIN(Model_Config_v3!$B$6,I3628+Model_Config_v3!$B$7)</x:f>
        <x:v>622</x:v>
      </x:c>
      <x:c r="K3628" s="20" t="n">
        <x:v>38.5</x:v>
      </x:c>
      <x:c r="L3628" t="str">
        <x:v>RELATIF LONGGAR</x:v>
      </x:c>
      <x:c r="M3628" t="str">
        <x:v>SEDANG+</x:v>
      </x:c>
      <x:c r="N3628" t="str">
        <x:v>REGULER</x:v>
      </x:c>
      <x:c r="O3628" t="str">
        <x:v>SOSHUM</x:v>
      </x:c>
      <x:c r="P3628" t="str">
        <x:v>HUKUM</x:v>
      </x:c>
      <x:c r="Q3628" s="18" t="n">
        <x:v>0</x:v>
      </x:c>
      <x:c r="R3628" s="18" t="n">
        <x:v>0</x:v>
      </x:c>
      <x:c r="S3628" s="18" t="n">
        <x:v>520</x:v>
      </x:c>
      <x:c r="T3628" s="18" t="n">
        <x:v>637</x:v>
      </x:c>
      <x:c r="U3628" s="18" t="n">
        <x:v>535</x:v>
      </x:c>
      <x:c r="V3628" s="20" t="n">
        <x:v>4.4</x:v>
      </x:c>
      <x:c r="W3628" s="20" t="n">
        <x:v>14.3</x:v>
      </x:c>
      <x:c r="X3628" s="20" t="n">
        <x:v>3.3</x:v>
      </x:c>
      <x:c r="Y3628" t="str">
        <x:v>Basis arsip 2025/2024</x:v>
      </x:c>
      <x:c r="Z3628" t="str">
        <x:v>https://snpmb.id/utbk-snbt/daya-tampung-snbt</x:v>
      </x:c>
      <x:c r="AA3628" t="str">
        <x:v>Tidak Ada</x:v>
      </x:c>
      <x:c r="AB3628" t="str">
        <x:v>Campus=55; Ratio=0.0; Prodi=65; RelDemand=30.4; Capacity=32.5</x:v>
      </x:c>
    </x:row>
    <x:row r="3629">
      <x:c r="A3629" t="n">
        <x:v>3626</x:v>
      </x:c>
      <x:c r="B3629" t="str">
        <x:v>PTN Akademik</x:v>
      </x:c>
      <x:c r="C3629" t="str">
        <x:v>UNIVERSITAS SEMBILAN BELAS NOVEMBER KOLAKA</x:v>
      </x:c>
      <x:c r="D3629" t="str">
        <x:v>ADMINISTRASI PUBLIK</x:v>
      </x:c>
      <x:c r="E3629" t="str">
        <x:v>Sarjana</x:v>
      </x:c>
      <x:c r="F3629" s="18" t="n">
        <x:v>54</x:v>
      </x:c>
      <x:c r="G3629" s="18" t="n">
        <x:v>45</x:v>
      </x:c>
      <x:c r="H3629" s="19" t="n">
        <x:v>0.8333333333333334</x:v>
      </x:c>
      <x:c r="I3629" s="18" t="n">
        <x:f>ROUND(MIN(Model_Config_v3!$B$6,MAX(Q3629,R3629,S3629*Model_Config_v3!$B$4+T3629*Model_Config_v3!$B$5)),0)</x:f>
        <x:v>601</x:v>
      </x:c>
      <x:c r="J3629" s="18" t="n">
        <x:f>MIN(Model_Config_v3!$B$6,I3629+Model_Config_v3!$B$7)</x:f>
        <x:v>621</x:v>
      </x:c>
      <x:c r="K3629" s="20" t="n">
        <x:v>37.5</x:v>
      </x:c>
      <x:c r="L3629" t="str">
        <x:v>RELATIF LONGGAR</x:v>
      </x:c>
      <x:c r="M3629" t="str">
        <x:v>SEDANG</x:v>
      </x:c>
      <x:c r="N3629" t="str">
        <x:v>REGULER</x:v>
      </x:c>
      <x:c r="O3629" t="str">
        <x:v>SOSHUM</x:v>
      </x:c>
      <x:c r="P3629" t="str">
        <x:v>UMUM</x:v>
      </x:c>
      <x:c r="Q3629" s="18" t="n">
        <x:v>0</x:v>
      </x:c>
      <x:c r="R3629" s="18" t="n">
        <x:v>0</x:v>
      </x:c>
      <x:c r="S3629" s="18" t="n">
        <x:v>520</x:v>
      </x:c>
      <x:c r="T3629" s="18" t="n">
        <x:v>635</x:v>
      </x:c>
      <x:c r="U3629" s="18" t="n">
        <x:v>520</x:v>
      </x:c>
      <x:c r="V3629" s="20" t="n">
        <x:v>4.4</x:v>
      </x:c>
      <x:c r="W3629" s="20" t="n">
        <x:v>14.3</x:v>
      </x:c>
      <x:c r="X3629" s="20" t="n">
        <x:v>3.3</x:v>
      </x:c>
      <x:c r="Y3629" t="str">
        <x:v>Basis arsip 2025/2024</x:v>
      </x:c>
      <x:c r="Z3629" t="str">
        <x:v>https://snpmb.id/utbk-snbt/daya-tampung-snbt</x:v>
      </x:c>
      <x:c r="AA3629" t="str">
        <x:v>Tidak Ada</x:v>
      </x:c>
      <x:c r="AB3629" t="str">
        <x:v>Campus=55; Ratio=0.0; Prodi=40; RelDemand=47.7; Capacity=55.0</x:v>
      </x:c>
    </x:row>
    <x:row r="3630">
      <x:c r="A3630" t="n">
        <x:v>3627</x:v>
      </x:c>
      <x:c r="B3630" t="str">
        <x:v>PTN Akademik</x:v>
      </x:c>
      <x:c r="C3630" t="str">
        <x:v>UNIVERSITAS SEMBILAN BELAS NOVEMBER KOLAKA</x:v>
      </x:c>
      <x:c r="D3630" t="str">
        <x:v>PENDIDIKAN BAHASA INDONESIA</x:v>
      </x:c>
      <x:c r="E3630" t="str">
        <x:v>Sarjana</x:v>
      </x:c>
      <x:c r="F3630" s="18" t="n">
        <x:v>36</x:v>
      </x:c>
      <x:c r="G3630" s="18" t="n">
        <x:v>22</x:v>
      </x:c>
      <x:c r="H3630" s="19" t="n">
        <x:v>0.6111111111111112</x:v>
      </x:c>
      <x:c r="I3630" s="18" t="n">
        <x:f>ROUND(MIN(Model_Config_v3!$B$6,MAX(Q3630,R3630,S3630*Model_Config_v3!$B$4+T3630*Model_Config_v3!$B$5)),0)</x:f>
        <x:v>602</x:v>
      </x:c>
      <x:c r="J3630" s="18" t="n">
        <x:f>MIN(Model_Config_v3!$B$6,I3630+Model_Config_v3!$B$7)</x:f>
        <x:v>622</x:v>
      </x:c>
      <x:c r="K3630" s="20" t="n">
        <x:v>38.7</x:v>
      </x:c>
      <x:c r="L3630" t="str">
        <x:v>RELATIF LONGGAR</x:v>
      </x:c>
      <x:c r="M3630" t="str">
        <x:v>SEDANG+</x:v>
      </x:c>
      <x:c r="N3630" t="str">
        <x:v>REGULER</x:v>
      </x:c>
      <x:c r="O3630" t="str">
        <x:v>SOSHUM</x:v>
      </x:c>
      <x:c r="P3630" t="str">
        <x:v>PENDIDIKAN</x:v>
      </x:c>
      <x:c r="Q3630" s="18" t="n">
        <x:v>0</x:v>
      </x:c>
      <x:c r="R3630" s="18" t="n">
        <x:v>0</x:v>
      </x:c>
      <x:c r="S3630" s="18" t="n">
        <x:v>520</x:v>
      </x:c>
      <x:c r="T3630" s="18" t="n">
        <x:v>637</x:v>
      </x:c>
      <x:c r="U3630" s="18" t="n">
        <x:v>520</x:v>
      </x:c>
      <x:c r="V3630" s="20" t="n">
        <x:v>4.4</x:v>
      </x:c>
      <x:c r="W3630" s="20" t="n">
        <x:v>14.3</x:v>
      </x:c>
      <x:c r="X3630" s="20" t="n">
        <x:v>3.3</x:v>
      </x:c>
      <x:c r="Y3630" t="str">
        <x:v>Basis arsip 2025/2024</x:v>
      </x:c>
      <x:c r="Z3630" t="str">
        <x:v>https://snpmb.id/utbk-snbt/daya-tampung-snbt</x:v>
      </x:c>
      <x:c r="AA3630" t="str">
        <x:v>Tidak Ada</x:v>
      </x:c>
      <x:c r="AB3630" t="str">
        <x:v>Campus=55; Ratio=0.0; Prodi=45; RelDemand=35.0; Capacity=70.0</x:v>
      </x:c>
    </x:row>
    <x:row r="3631">
      <x:c r="A3631" t="n">
        <x:v>3628</x:v>
      </x:c>
      <x:c r="B3631" t="str">
        <x:v>PTN Akademik</x:v>
      </x:c>
      <x:c r="C3631" t="str">
        <x:v>UNIVERSITAS SEMBILAN BELAS NOVEMBER KOLAKA</x:v>
      </x:c>
      <x:c r="D3631" t="str">
        <x:v>PENDIDIKAN BAHASA INGGRIS</x:v>
      </x:c>
      <x:c r="E3631" t="str">
        <x:v>Sarjana</x:v>
      </x:c>
      <x:c r="F3631" s="18" t="n">
        <x:v>54</x:v>
      </x:c>
      <x:c r="G3631" s="18" t="n">
        <x:v>20</x:v>
      </x:c>
      <x:c r="H3631" s="19" t="n">
        <x:v>0.37037037037037035</x:v>
      </x:c>
      <x:c r="I3631" s="18" t="n">
        <x:f>ROUND(MIN(Model_Config_v3!$B$6,MAX(Q3631,R3631,S3631*Model_Config_v3!$B$4+T3631*Model_Config_v3!$B$5)),0)</x:f>
        <x:v>598</x:v>
      </x:c>
      <x:c r="J3631" s="18" t="n">
        <x:f>MIN(Model_Config_v3!$B$6,I3631+Model_Config_v3!$B$7)</x:f>
        <x:v>618</x:v>
      </x:c>
      <x:c r="K3631" s="20" t="n">
        <x:v>35.9</x:v>
      </x:c>
      <x:c r="L3631" t="str">
        <x:v>RELATIF LONGGAR</x:v>
      </x:c>
      <x:c r="M3631" t="str">
        <x:v>SEDANG+</x:v>
      </x:c>
      <x:c r="N3631" t="str">
        <x:v>REGULER</x:v>
      </x:c>
      <x:c r="O3631" t="str">
        <x:v>SOSHUM</x:v>
      </x:c>
      <x:c r="P3631" t="str">
        <x:v>PENDIDIKAN</x:v>
      </x:c>
      <x:c r="Q3631" s="18" t="n">
        <x:v>0</x:v>
      </x:c>
      <x:c r="R3631" s="18" t="n">
        <x:v>0</x:v>
      </x:c>
      <x:c r="S3631" s="18" t="n">
        <x:v>520</x:v>
      </x:c>
      <x:c r="T3631" s="18" t="n">
        <x:v>632</x:v>
      </x:c>
      <x:c r="U3631" s="18" t="n">
        <x:v>520</x:v>
      </x:c>
      <x:c r="V3631" s="20" t="n">
        <x:v>4.4</x:v>
      </x:c>
      <x:c r="W3631" s="20" t="n">
        <x:v>14.3</x:v>
      </x:c>
      <x:c r="X3631" s="20" t="n">
        <x:v>3.3</x:v>
      </x:c>
      <x:c r="Y3631" t="str">
        <x:v>Basis arsip 2025/2024</x:v>
      </x:c>
      <x:c r="Z3631" t="str">
        <x:v>https://snpmb.id/utbk-snbt/daya-tampung-snbt</x:v>
      </x:c>
      <x:c r="AA3631" t="str">
        <x:v>Tidak Ada</x:v>
      </x:c>
      <x:c r="AB3631" t="str">
        <x:v>Campus=55; Ratio=0.0; Prodi=45; RelDemand=21.2; Capacity=55.0</x:v>
      </x:c>
    </x:row>
    <x:row r="3632">
      <x:c r="A3632" t="n">
        <x:v>3629</x:v>
      </x:c>
      <x:c r="B3632" t="str">
        <x:v>PTN Akademik</x:v>
      </x:c>
      <x:c r="C3632" t="str">
        <x:v>UNIVERSITAS SEMBILAN BELAS NOVEMBER KOLAKA</x:v>
      </x:c>
      <x:c r="D3632" t="str">
        <x:v>PENDIDIKAN GEOGRAFI</x:v>
      </x:c>
      <x:c r="E3632" t="str">
        <x:v>Sarjana</x:v>
      </x:c>
      <x:c r="F3632" s="18" t="n">
        <x:v>36</x:v>
      </x:c>
      <x:c r="G3632" s="18" t="n">
        <x:v>21</x:v>
      </x:c>
      <x:c r="H3632" s="19" t="n">
        <x:v>0.5833333333333334</x:v>
      </x:c>
      <x:c r="I3632" s="18" t="n">
        <x:f>ROUND(MIN(Model_Config_v3!$B$6,MAX(Q3632,R3632,S3632*Model_Config_v3!$B$4+T3632*Model_Config_v3!$B$5)),0)</x:f>
        <x:v>602</x:v>
      </x:c>
      <x:c r="J3632" s="18" t="n">
        <x:f>MIN(Model_Config_v3!$B$6,I3632+Model_Config_v3!$B$7)</x:f>
        <x:v>622</x:v>
      </x:c>
      <x:c r="K3632" s="20" t="n">
        <x:v>38.6</x:v>
      </x:c>
      <x:c r="L3632" t="str">
        <x:v>RELATIF LONGGAR</x:v>
      </x:c>
      <x:c r="M3632" t="str">
        <x:v>SEDANG+</x:v>
      </x:c>
      <x:c r="N3632" t="str">
        <x:v>REGULER</x:v>
      </x:c>
      <x:c r="O3632" t="str">
        <x:v>CAMPURAN</x:v>
      </x:c>
      <x:c r="P3632" t="str">
        <x:v>PENDIDIKAN</x:v>
      </x:c>
      <x:c r="Q3632" s="18" t="n">
        <x:v>0</x:v>
      </x:c>
      <x:c r="R3632" s="18" t="n">
        <x:v>0</x:v>
      </x:c>
      <x:c r="S3632" s="18" t="n">
        <x:v>520</x:v>
      </x:c>
      <x:c r="T3632" s="18" t="n">
        <x:v>637</x:v>
      </x:c>
      <x:c r="U3632" s="18" t="n">
        <x:v>520</x:v>
      </x:c>
      <x:c r="V3632" s="20" t="n">
        <x:v>8.8</x:v>
      </x:c>
      <x:c r="W3632" s="20" t="n">
        <x:v>9.9</x:v>
      </x:c>
      <x:c r="X3632" s="20" t="n">
        <x:v>3.3</x:v>
      </x:c>
      <x:c r="Y3632" t="str">
        <x:v>Basis arsip 2025/2024</x:v>
      </x:c>
      <x:c r="Z3632" t="str">
        <x:v>https://snpmb.id/utbk-snbt/daya-tampung-snbt</x:v>
      </x:c>
      <x:c r="AA3632" t="str">
        <x:v>Tidak Ada</x:v>
      </x:c>
      <x:c r="AB3632" t="str">
        <x:v>Campus=55; Ratio=0.0; Prodi=45; RelDemand=33.4; Capacity=70.0</x:v>
      </x:c>
    </x:row>
    <x:row r="3633">
      <x:c r="A3633" t="n">
        <x:v>3630</x:v>
      </x:c>
      <x:c r="B3633" t="str">
        <x:v>PTN Akademik</x:v>
      </x:c>
      <x:c r="C3633" t="str">
        <x:v>UNIVERSITAS SEMBILAN BELAS NOVEMBER KOLAKA</x:v>
      </x:c>
      <x:c r="D3633" t="str">
        <x:v>AKUNTANSI</x:v>
      </x:c>
      <x:c r="E3633" t="str">
        <x:v>Sarjana</x:v>
      </x:c>
      <x:c r="F3633" s="18" t="n">
        <x:v>54</x:v>
      </x:c>
      <x:c r="G3633" s="18" t="n">
        <x:v>49</x:v>
      </x:c>
      <x:c r="H3633" s="19" t="n">
        <x:v>0.9074074074074074</x:v>
      </x:c>
      <x:c r="I3633" s="18" t="n">
        <x:f>ROUND(MIN(Model_Config_v3!$B$6,MAX(Q3633,R3633,S3633*Model_Config_v3!$B$4+T3633*Model_Config_v3!$B$5)),0)</x:f>
        <x:v>608</x:v>
      </x:c>
      <x:c r="J3633" s="18" t="n">
        <x:f>MIN(Model_Config_v3!$B$6,I3633+Model_Config_v3!$B$7)</x:f>
        <x:v>628</x:v>
      </x:c>
      <x:c r="K3633" s="20" t="n">
        <x:v>42.9</x:v>
      </x:c>
      <x:c r="L3633" t="str">
        <x:v>RELATIF LONGGAR</x:v>
      </x:c>
      <x:c r="M3633" t="str">
        <x:v>SEDANG+</x:v>
      </x:c>
      <x:c r="N3633" t="str">
        <x:v>REGULER</x:v>
      </x:c>
      <x:c r="O3633" t="str">
        <x:v>SOSHUM</x:v>
      </x:c>
      <x:c r="P3633" t="str">
        <x:v>BISNIS/EKONOMI/AKUNTANSI</x:v>
      </x:c>
      <x:c r="Q3633" s="18" t="n">
        <x:v>0</x:v>
      </x:c>
      <x:c r="R3633" s="18" t="n">
        <x:v>0</x:v>
      </x:c>
      <x:c r="S3633" s="18" t="n">
        <x:v>520</x:v>
      </x:c>
      <x:c r="T3633" s="18" t="n">
        <x:v>646</x:v>
      </x:c>
      <x:c r="U3633" s="18" t="n">
        <x:v>520</x:v>
      </x:c>
      <x:c r="V3633" s="20" t="n">
        <x:v>4.4</x:v>
      </x:c>
      <x:c r="W3633" s="20" t="n">
        <x:v>14.3</x:v>
      </x:c>
      <x:c r="X3633" s="20" t="n">
        <x:v>3.3</x:v>
      </x:c>
      <x:c r="Y3633" t="str">
        <x:v>Basis arsip 2025/2024</x:v>
      </x:c>
      <x:c r="Z3633" t="str">
        <x:v>https://snpmb.id/utbk-snbt/daya-tampung-snbt</x:v>
      </x:c>
      <x:c r="AA3633" t="str">
        <x:v>Tidak Ada</x:v>
      </x:c>
      <x:c r="AB3633" t="str">
        <x:v>Campus=55; Ratio=0.0; Prodi=65; RelDemand=52.0; Capacity=55.0</x:v>
      </x:c>
    </x:row>
    <x:row r="3634">
      <x:c r="A3634" t="n">
        <x:v>3631</x:v>
      </x:c>
      <x:c r="B3634" t="str">
        <x:v>PTN Akademik</x:v>
      </x:c>
      <x:c r="C3634" t="str">
        <x:v>UNIVERSITAS SEMBILAN BELAS NOVEMBER KOLAKA</x:v>
      </x:c>
      <x:c r="D3634" t="str">
        <x:v>PENDIDIKAN PANCASILA DAN KEWARGANEGARAAN</x:v>
      </x:c>
      <x:c r="E3634" t="str">
        <x:v>Sarjana</x:v>
      </x:c>
      <x:c r="F3634" s="18" t="n">
        <x:v>36</x:v>
      </x:c>
      <x:c r="G3634" s="18" t="n">
        <x:v>50</x:v>
      </x:c>
      <x:c r="H3634" s="19" t="n">
        <x:v>1.3888888888888888</x:v>
      </x:c>
      <x:c r="I3634" s="18" t="n">
        <x:f>ROUND(MIN(Model_Config_v3!$B$6,MAX(Q3634,R3634,S3634*Model_Config_v3!$B$4+T3634*Model_Config_v3!$B$5)),0)</x:f>
        <x:v>616</x:v>
      </x:c>
      <x:c r="J3634" s="18" t="n">
        <x:f>MIN(Model_Config_v3!$B$6,I3634+Model_Config_v3!$B$7)</x:f>
        <x:v>636</x:v>
      </x:c>
      <x:c r="K3634" s="20" t="n">
        <x:v>45.3</x:v>
      </x:c>
      <x:c r="L3634" t="str">
        <x:v>MENENGAH</x:v>
      </x:c>
      <x:c r="M3634" t="str">
        <x:v>SEDANG+</x:v>
      </x:c>
      <x:c r="N3634" t="str">
        <x:v>REGULER</x:v>
      </x:c>
      <x:c r="O3634" t="str">
        <x:v>CAMPURAN</x:v>
      </x:c>
      <x:c r="P3634" t="str">
        <x:v>PENDIDIKAN</x:v>
      </x:c>
      <x:c r="Q3634" s="18" t="n">
        <x:v>0</x:v>
      </x:c>
      <x:c r="R3634" s="18" t="n">
        <x:v>0</x:v>
      </x:c>
      <x:c r="S3634" s="18" t="n">
        <x:v>535.6934253925605</x:v>
      </x:c>
      <x:c r="T3634" s="18" t="n">
        <x:v>651</x:v>
      </x:c>
      <x:c r="U3634" s="18" t="n">
        <x:v>535.6934253925605</x:v>
      </x:c>
      <x:c r="V3634" s="20" t="n">
        <x:v>8.8</x:v>
      </x:c>
      <x:c r="W3634" s="20" t="n">
        <x:v>9.9</x:v>
      </x:c>
      <x:c r="X3634" s="20" t="n">
        <x:v>3.3</x:v>
      </x:c>
      <x:c r="Y3634" t="str">
        <x:v>Basis arsip 2025/2024</x:v>
      </x:c>
      <x:c r="Z3634" t="str">
        <x:v>https://snpmb.id/utbk-snbt/daya-tampung-snbt</x:v>
      </x:c>
      <x:c r="AA3634" t="str">
        <x:v>Tidak Ada</x:v>
      </x:c>
      <x:c r="AB3634" t="str">
        <x:v>Campus=55; Ratio=8.4; Prodi=45; RelDemand=79.5; Capacity=70.0</x:v>
      </x:c>
    </x:row>
    <x:row r="3635">
      <x:c r="A3635" t="n">
        <x:v>3632</x:v>
      </x:c>
      <x:c r="B3635" t="str">
        <x:v>PTN Akademik</x:v>
      </x:c>
      <x:c r="C3635" t="str">
        <x:v>UNIVERSITAS SEMBILAN BELAS NOVEMBER KOLAKA</x:v>
      </x:c>
      <x:c r="D3635" t="str">
        <x:v>MANAJEMEN</x:v>
      </x:c>
      <x:c r="E3635" t="str">
        <x:v>Sarjana</x:v>
      </x:c>
      <x:c r="F3635" s="18" t="n">
        <x:v>54</x:v>
      </x:c>
      <x:c r="G3635" s="18" t="n">
        <x:v>107</x:v>
      </x:c>
      <x:c r="H3635" s="19" t="n">
        <x:v>1.9814814814814814</x:v>
      </x:c>
      <x:c r="I3635" s="18" t="n">
        <x:f>ROUND(MIN(Model_Config_v3!$B$6,MAX(Q3635,R3635,S3635*Model_Config_v3!$B$4+T3635*Model_Config_v3!$B$5)),0)</x:f>
        <x:v>631</x:v>
      </x:c>
      <x:c r="J3635" s="18" t="n">
        <x:f>MIN(Model_Config_v3!$B$6,I3635+Model_Config_v3!$B$7)</x:f>
        <x:v>651</x:v>
      </x:c>
      <x:c r="K3635" s="20" t="n">
        <x:v>52.1</x:v>
      </x:c>
      <x:c r="L3635" t="str">
        <x:v>MENENGAH</x:v>
      </x:c>
      <x:c r="M3635" t="str">
        <x:v>SEDANG+</x:v>
      </x:c>
      <x:c r="N3635" t="str">
        <x:v>REGULER</x:v>
      </x:c>
      <x:c r="O3635" t="str">
        <x:v>SOSHUM</x:v>
      </x:c>
      <x:c r="P3635" t="str">
        <x:v>BISNIS/EKONOMI/AKUNTANSI</x:v>
      </x:c>
      <x:c r="Q3635" s="18" t="n">
        <x:v>0</x:v>
      </x:c>
      <x:c r="R3635" s="18" t="n">
        <x:v>0</x:v>
      </x:c>
      <x:c r="S3635" s="18" t="n">
        <x:v>552.6689019648466</x:v>
      </x:c>
      <x:c r="T3635" s="18" t="n">
        <x:v>664</x:v>
      </x:c>
      <x:c r="U3635" s="18" t="n">
        <x:v>567.6689019648466</x:v>
      </x:c>
      <x:c r="V3635" s="20" t="n">
        <x:v>4.4</x:v>
      </x:c>
      <x:c r="W3635" s="20" t="n">
        <x:v>14.3</x:v>
      </x:c>
      <x:c r="X3635" s="20" t="n">
        <x:v>3.3</x:v>
      </x:c>
      <x:c r="Y3635" t="str">
        <x:v>Basis arsip 2025/2024</x:v>
      </x:c>
      <x:c r="Z3635" t="str">
        <x:v>https://snpmb.id/utbk-snbt/daya-tampung-snbt</x:v>
      </x:c>
      <x:c r="AA3635" t="str">
        <x:v>Tidak Ada</x:v>
      </x:c>
      <x:c r="AB3635" t="str">
        <x:v>Campus=55; Ratio=17.5; Prodi=65; RelDemand=100.0; Capacity=55.0</x:v>
      </x:c>
    </x:row>
    <x:row r="3636">
      <x:c r="A3636" t="n">
        <x:v>3633</x:v>
      </x:c>
      <x:c r="B3636" t="str">
        <x:v>PTN Akademik</x:v>
      </x:c>
      <x:c r="C3636" t="str">
        <x:v>UNIVERSITAS SEMBILAN BELAS NOVEMBER KOLAKA</x:v>
      </x:c>
      <x:c r="D3636" t="str">
        <x:v>PENDIDIKAN JASMANI</x:v>
      </x:c>
      <x:c r="E3636" t="str">
        <x:v>Sarjana</x:v>
      </x:c>
      <x:c r="F3636" s="18" t="n">
        <x:v>49</x:v>
      </x:c>
      <x:c r="G3636" s="18" t="n">
        <x:v>17</x:v>
      </x:c>
      <x:c r="H3636" s="19" t="n">
        <x:v>0.3469387755102041</x:v>
      </x:c>
      <x:c r="I3636" s="18" t="n">
        <x:f>ROUND(MIN(Model_Config_v3!$B$6,MAX(Q3636,R3636,S3636*Model_Config_v3!$B$4+T3636*Model_Config_v3!$B$5)),0)</x:f>
        <x:v>598</x:v>
      </x:c>
      <x:c r="J3636" s="18" t="n">
        <x:f>MIN(Model_Config_v3!$B$6,I3636+Model_Config_v3!$B$7)</x:f>
        <x:v>618</x:v>
      </x:c>
      <x:c r="K3636" s="20" t="n">
        <x:v>36.2</x:v>
      </x:c>
      <x:c r="L3636" t="str">
        <x:v>RELATIF LONGGAR</x:v>
      </x:c>
      <x:c r="M3636" t="str">
        <x:v>PORTOFOLIO</x:v>
      </x:c>
      <x:c r="N3636" t="str">
        <x:v>REGULER</x:v>
      </x:c>
      <x:c r="O3636" t="str">
        <x:v>SENI/OLAHRAGA</x:v>
      </x:c>
      <x:c r="P3636" t="str">
        <x:v>SENI/OLAHRAGA</x:v>
      </x:c>
      <x:c r="Q3636" s="18" t="n">
        <x:v>0</x:v>
      </x:c>
      <x:c r="R3636" s="18" t="n">
        <x:v>0</x:v>
      </x:c>
      <x:c r="S3636" s="18" t="n">
        <x:v>520</x:v>
      </x:c>
      <x:c r="T3636" s="18" t="n">
        <x:v>632</x:v>
      </x:c>
      <x:c r="U3636" s="18" t="n">
        <x:v>520</x:v>
      </x:c>
      <x:c r="V3636" s="20" t="n">
        <x:v>4.4</x:v>
      </x:c>
      <x:c r="W3636" s="20" t="n">
        <x:v>9.9</x:v>
      </x:c>
      <x:c r="X3636" s="20" t="n">
        <x:v>7.7</x:v>
      </x:c>
      <x:c r="Y3636" t="str">
        <x:v>Basis arsip 2025/2024</x:v>
      </x:c>
      <x:c r="Z3636" t="str">
        <x:v>https://snpmb.id/utbk-snbt/daya-tampung-snbt</x:v>
      </x:c>
      <x:c r="AA3636" t="str">
        <x:v>Olahraga</x:v>
      </x:c>
      <x:c r="AB3636" t="str">
        <x:v>Campus=55; Ratio=0.0; Prodi=45; RelDemand=19.9; Capacity=59.2</x:v>
      </x:c>
    </x:row>
    <x:row r="3637">
      <x:c r="A3637" t="n">
        <x:v>3634</x:v>
      </x:c>
      <x:c r="B3637" t="str">
        <x:v>PTN Akademik</x:v>
      </x:c>
      <x:c r="C3637" t="str">
        <x:v>UNIVERSITAS SEMBILAN BELAS NOVEMBER KOLAKA</x:v>
      </x:c>
      <x:c r="D3637" t="str">
        <x:v>EKONOMI PEMBANGUNAN</x:v>
      </x:c>
      <x:c r="E3637" t="str">
        <x:v>Sarjana</x:v>
      </x:c>
      <x:c r="F3637" s="18" t="n">
        <x:v>36</x:v>
      </x:c>
      <x:c r="G3637" s="18" t="n">
        <x:v>9</x:v>
      </x:c>
      <x:c r="H3637" s="19" t="n">
        <x:v>0.25</x:v>
      </x:c>
      <x:c r="I3637" s="18" t="n">
        <x:f>ROUND(MIN(Model_Config_v3!$B$6,MAX(Q3637,R3637,S3637*Model_Config_v3!$B$4+T3637*Model_Config_v3!$B$5)),0)</x:f>
        <x:v>605</x:v>
      </x:c>
      <x:c r="J3637" s="18" t="n">
        <x:f>MIN(Model_Config_v3!$B$6,I3637+Model_Config_v3!$B$7)</x:f>
        <x:v>625</x:v>
      </x:c>
      <x:c r="K3637" s="20" t="n">
        <x:v>40.7</x:v>
      </x:c>
      <x:c r="L3637" t="str">
        <x:v>RELATIF LONGGAR</x:v>
      </x:c>
      <x:c r="M3637" t="str">
        <x:v>SEDANG+</x:v>
      </x:c>
      <x:c r="N3637" t="str">
        <x:v>REGULER</x:v>
      </x:c>
      <x:c r="O3637" t="str">
        <x:v>SOSHUM</x:v>
      </x:c>
      <x:c r="P3637" t="str">
        <x:v>BISNIS/EKONOMI/AKUNTANSI</x:v>
      </x:c>
      <x:c r="Q3637" s="18" t="n">
        <x:v>0</x:v>
      </x:c>
      <x:c r="R3637" s="18" t="n">
        <x:v>0</x:v>
      </x:c>
      <x:c r="S3637" s="18" t="n">
        <x:v>520</x:v>
      </x:c>
      <x:c r="T3637" s="18" t="n">
        <x:v>641</x:v>
      </x:c>
      <x:c r="U3637" s="18" t="n">
        <x:v>520</x:v>
      </x:c>
      <x:c r="V3637" s="20" t="n">
        <x:v>4.4</x:v>
      </x:c>
      <x:c r="W3637" s="20" t="n">
        <x:v>14.3</x:v>
      </x:c>
      <x:c r="X3637" s="20" t="n">
        <x:v>3.3</x:v>
      </x:c>
      <x:c r="Y3637" t="str">
        <x:v>Basis arsip 2025/2024</x:v>
      </x:c>
      <x:c r="Z3637" t="str">
        <x:v>https://snpmb.id/utbk-snbt/daya-tampung-snbt</x:v>
      </x:c>
      <x:c r="AA3637" t="str">
        <x:v>Tidak Ada</x:v>
      </x:c>
      <x:c r="AB3637" t="str">
        <x:v>Campus=55; Ratio=0.0; Prodi=65; RelDemand=14.3; Capacity=70.0</x:v>
      </x:c>
    </x:row>
    <x:row r="3638">
      <x:c r="A3638" t="n">
        <x:v>3635</x:v>
      </x:c>
      <x:c r="B3638" t="str">
        <x:v>PTN Akademik</x:v>
      </x:c>
      <x:c r="C3638" t="str">
        <x:v>UNIVERSITAS SEMBILAN BELAS NOVEMBER KOLAKA</x:v>
      </x:c>
      <x:c r="D3638" t="str">
        <x:v>KEPERAWATAN</x:v>
      </x:c>
      <x:c r="E3638" t="str">
        <x:v>Diploma Tiga</x:v>
      </x:c>
      <x:c r="F3638" s="18" t="n">
        <x:v>31</x:v>
      </x:c>
      <x:c r="G3638" s="18" t="n">
        <x:v>201</x:v>
      </x:c>
      <x:c r="H3638" s="19" t="n">
        <x:v>6.483870967741935</x:v>
      </x:c>
      <x:c r="I3638" s="18" t="n">
        <x:f>ROUND(MIN(Model_Config_v3!$B$6,MAX(Q3638,R3638,S3638*Model_Config_v3!$B$4+T3638*Model_Config_v3!$B$5)),0)</x:f>
        <x:v>658</x:v>
      </x:c>
      <x:c r="J3638" s="18" t="n">
        <x:f>MIN(Model_Config_v3!$B$6,I3638+Model_Config_v3!$B$7)</x:f>
        <x:v>678</x:v>
      </x:c>
      <x:c r="K3638" s="20" t="n">
        <x:v>59.6</x:v>
      </x:c>
      <x:c r="L3638" t="str">
        <x:v>KETAT</x:v>
      </x:c>
      <x:c r="M3638" t="str">
        <x:v>SEDANG+</x:v>
      </x:c>
      <x:c r="N3638" t="str">
        <x:v>REGULER</x:v>
      </x:c>
      <x:c r="O3638" t="str">
        <x:v>SAINTEK</x:v>
      </x:c>
      <x:c r="P3638" t="str">
        <x:v>KESEHAT/GIZI/KEPERAWATAN</x:v>
      </x:c>
      <x:c r="Q3638" s="18" t="n">
        <x:v>0</x:v>
      </x:c>
      <x:c r="R3638" s="18" t="n">
        <x:v>0</x:v>
      </x:c>
      <x:c r="S3638" s="18" t="n">
        <x:v>609.3017799944838</x:v>
      </x:c>
      <x:c r="T3638" s="18" t="n">
        <x:v>679</x:v>
      </x:c>
      <x:c r="U3638" s="18" t="n">
        <x:v>609.3017799944838</x:v>
      </x:c>
      <x:c r="V3638" s="20" t="n">
        <x:v>12</x:v>
      </x:c>
      <x:c r="W3638" s="20" t="n">
        <x:v>5</x:v>
      </x:c>
      <x:c r="X3638" s="20" t="n">
        <x:v>3</x:v>
      </x:c>
      <x:c r="Y3638" t="str">
        <x:v>Basis arsip 2025/2024</x:v>
      </x:c>
      <x:c r="Z3638" t="str">
        <x:v>https://snpmb.id/utbk-snbt/daya-tampung-snbt</x:v>
      </x:c>
      <x:c r="AA3638" t="str">
        <x:v>Tidak Ada</x:v>
      </x:c>
      <x:c r="AB3638" t="str">
        <x:v>Campus=55; Ratio=47.8; Prodi=55; RelDemand=100.0; Capacity=74.2</x:v>
      </x:c>
    </x:row>
    <x:row r="3639">
      <x:c r="A3639" t="n">
        <x:v>3636</x:v>
      </x:c>
      <x:c r="B3639" t="str">
        <x:v>PTN Akademik</x:v>
      </x:c>
      <x:c r="C3639" t="str">
        <x:v>UNIVERSITAS PATTIMURA</x:v>
      </x:c>
      <x:c r="D3639" t="str">
        <x:v>PEND. BIOLOGI</x:v>
      </x:c>
      <x:c r="E3639" t="str">
        <x:v>Sarjana</x:v>
      </x:c>
      <x:c r="F3639" s="18" t="n">
        <x:v>32</x:v>
      </x:c>
      <x:c r="G3639" s="18" t="n">
        <x:v>21</x:v>
      </x:c>
      <x:c r="H3639" s="19" t="n">
        <x:v>0.65625</x:v>
      </x:c>
      <x:c r="I3639" s="18" t="n">
        <x:f>ROUND(MIN(Model_Config_v3!$B$6,MAX(Q3639,R3639,S3639*Model_Config_v3!$B$4+T3639*Model_Config_v3!$B$5)),0)</x:f>
        <x:v>603</x:v>
      </x:c>
      <x:c r="J3639" s="18" t="n">
        <x:f>MIN(Model_Config_v3!$B$6,I3639+Model_Config_v3!$B$7)</x:f>
        <x:v>623</x:v>
      </x:c>
      <x:c r="K3639" s="20" t="n">
        <x:v>39</x:v>
      </x:c>
      <x:c r="L3639" t="str">
        <x:v>RELATIF LONGGAR</x:v>
      </x:c>
      <x:c r="M3639" t="str">
        <x:v>SEDANG+</x:v>
      </x:c>
      <x:c r="N3639" t="str">
        <x:v>REGULER</x:v>
      </x:c>
      <x:c r="O3639" t="str">
        <x:v>SAINTEK</x:v>
      </x:c>
      <x:c r="P3639" t="str">
        <x:v>PENDIDIKAN</x:v>
      </x:c>
      <x:c r="Q3639" s="18" t="n">
        <x:v>0</x:v>
      </x:c>
      <x:c r="R3639" s="18" t="n">
        <x:v>0</x:v>
      </x:c>
      <x:c r="S3639" s="18" t="n">
        <x:v>520</x:v>
      </x:c>
      <x:c r="T3639" s="18" t="n">
        <x:v>638</x:v>
      </x:c>
      <x:c r="U3639" s="18" t="n">
        <x:v>520</x:v>
      </x:c>
      <x:c r="V3639" s="20" t="n">
        <x:v>12</x:v>
      </x:c>
      <x:c r="W3639" s="20" t="n">
        <x:v>5</x:v>
      </x:c>
      <x:c r="X3639" s="20" t="n">
        <x:v>3</x:v>
      </x:c>
      <x:c r="Y3639" t="str">
        <x:v>Basis arsip 2025/2024</x:v>
      </x:c>
      <x:c r="Z3639" t="str">
        <x:v>https://snpmb.id/utbk-snbt/daya-tampung-snbt</x:v>
      </x:c>
      <x:c r="AA3639" t="str">
        <x:v>Tidak Ada</x:v>
      </x:c>
      <x:c r="AB3639" t="str">
        <x:v>Campus=55; Ratio=0.0; Prodi=45; RelDemand=34.3; Capacity=73.3</x:v>
      </x:c>
    </x:row>
    <x:row r="3640">
      <x:c r="A3640" t="n">
        <x:v>3637</x:v>
      </x:c>
      <x:c r="B3640" t="str">
        <x:v>PTN Akademik</x:v>
      </x:c>
      <x:c r="C3640" t="str">
        <x:v>UNIVERSITAS PATTIMURA</x:v>
      </x:c>
      <x:c r="D3640" t="str">
        <x:v>PEND. FISIKA</x:v>
      </x:c>
      <x:c r="E3640" t="str">
        <x:v>Sarjana</x:v>
      </x:c>
      <x:c r="F3640" s="18" t="n">
        <x:v>31</x:v>
      </x:c>
      <x:c r="G3640" s="18" t="n">
        <x:v>8</x:v>
      </x:c>
      <x:c r="H3640" s="19" t="n">
        <x:v>0.25806451612903225</x:v>
      </x:c>
      <x:c r="I3640" s="18" t="n">
        <x:f>ROUND(MIN(Model_Config_v3!$B$6,MAX(Q3640,R3640,S3640*Model_Config_v3!$B$4+T3640*Model_Config_v3!$B$5)),0)</x:f>
        <x:v>600</x:v>
      </x:c>
      <x:c r="J3640" s="18" t="n">
        <x:f>MIN(Model_Config_v3!$B$6,I3640+Model_Config_v3!$B$7)</x:f>
        <x:v>620</x:v>
      </x:c>
      <x:c r="K3640" s="20" t="n">
        <x:v>37</x:v>
      </x:c>
      <x:c r="L3640" t="str">
        <x:v>RELATIF LONGGAR</x:v>
      </x:c>
      <x:c r="M3640" t="str">
        <x:v>SEDANG+</x:v>
      </x:c>
      <x:c r="N3640" t="str">
        <x:v>REGULER</x:v>
      </x:c>
      <x:c r="O3640" t="str">
        <x:v>SAINTEK</x:v>
      </x:c>
      <x:c r="P3640" t="str">
        <x:v>PENDIDIKAN</x:v>
      </x:c>
      <x:c r="Q3640" s="18" t="n">
        <x:v>0</x:v>
      </x:c>
      <x:c r="R3640" s="18" t="n">
        <x:v>0</x:v>
      </x:c>
      <x:c r="S3640" s="18" t="n">
        <x:v>520</x:v>
      </x:c>
      <x:c r="T3640" s="18" t="n">
        <x:v>634</x:v>
      </x:c>
      <x:c r="U3640" s="18" t="n">
        <x:v>520</x:v>
      </x:c>
      <x:c r="V3640" s="20" t="n">
        <x:v>12</x:v>
      </x:c>
      <x:c r="W3640" s="20" t="n">
        <x:v>5</x:v>
      </x:c>
      <x:c r="X3640" s="20" t="n">
        <x:v>3</x:v>
      </x:c>
      <x:c r="Y3640" t="str">
        <x:v>Basis arsip 2025/2024</x:v>
      </x:c>
      <x:c r="Z3640" t="str">
        <x:v>https://snpmb.id/utbk-snbt/daya-tampung-snbt</x:v>
      </x:c>
      <x:c r="AA3640" t="str">
        <x:v>Tidak Ada</x:v>
      </x:c>
      <x:c r="AB3640" t="str">
        <x:v>Campus=55; Ratio=0.0; Prodi=45; RelDemand=13.5; Capacity=74.2</x:v>
      </x:c>
    </x:row>
    <x:row r="3641">
      <x:c r="A3641" t="n">
        <x:v>3638</x:v>
      </x:c>
      <x:c r="B3641" t="str">
        <x:v>PTN Akademik</x:v>
      </x:c>
      <x:c r="C3641" t="str">
        <x:v>UNIVERSITAS PATTIMURA</x:v>
      </x:c>
      <x:c r="D3641" t="str">
        <x:v>PEND. MATEMATIKA</x:v>
      </x:c>
      <x:c r="E3641" t="str">
        <x:v>Sarjana</x:v>
      </x:c>
      <x:c r="F3641" s="18" t="n">
        <x:v>32</x:v>
      </x:c>
      <x:c r="G3641" s="18" t="n">
        <x:v>13</x:v>
      </x:c>
      <x:c r="H3641" s="19" t="n">
        <x:v>0.40625</x:v>
      </x:c>
      <x:c r="I3641" s="18" t="n">
        <x:f>ROUND(MIN(Model_Config_v3!$B$6,MAX(Q3641,R3641,S3641*Model_Config_v3!$B$4+T3641*Model_Config_v3!$B$5)),0)</x:f>
        <x:v>601</x:v>
      </x:c>
      <x:c r="J3641" s="18" t="n">
        <x:f>MIN(Model_Config_v3!$B$6,I3641+Model_Config_v3!$B$7)</x:f>
        <x:v>621</x:v>
      </x:c>
      <x:c r="K3641" s="20" t="n">
        <x:v>37.7</x:v>
      </x:c>
      <x:c r="L3641" t="str">
        <x:v>RELATIF LONGGAR</x:v>
      </x:c>
      <x:c r="M3641" t="str">
        <x:v>SEDANG+</x:v>
      </x:c>
      <x:c r="N3641" t="str">
        <x:v>REGULER</x:v>
      </x:c>
      <x:c r="O3641" t="str">
        <x:v>SAINTEK</x:v>
      </x:c>
      <x:c r="P3641" t="str">
        <x:v>PENDIDIKAN</x:v>
      </x:c>
      <x:c r="Q3641" s="18" t="n">
        <x:v>0</x:v>
      </x:c>
      <x:c r="R3641" s="18" t="n">
        <x:v>0</x:v>
      </x:c>
      <x:c r="S3641" s="18" t="n">
        <x:v>520</x:v>
      </x:c>
      <x:c r="T3641" s="18" t="n">
        <x:v>635</x:v>
      </x:c>
      <x:c r="U3641" s="18" t="n">
        <x:v>520</x:v>
      </x:c>
      <x:c r="V3641" s="20" t="n">
        <x:v>12</x:v>
      </x:c>
      <x:c r="W3641" s="20" t="n">
        <x:v>5</x:v>
      </x:c>
      <x:c r="X3641" s="20" t="n">
        <x:v>3</x:v>
      </x:c>
      <x:c r="Y3641" t="str">
        <x:v>Basis arsip 2025/2024</x:v>
      </x:c>
      <x:c r="Z3641" t="str">
        <x:v>https://snpmb.id/utbk-snbt/daya-tampung-snbt</x:v>
      </x:c>
      <x:c r="AA3641" t="str">
        <x:v>Tidak Ada</x:v>
      </x:c>
      <x:c r="AB3641" t="str">
        <x:v>Campus=55; Ratio=0.0; Prodi=45; RelDemand=21.3; Capacity=73.3</x:v>
      </x:c>
    </x:row>
    <x:row r="3642">
      <x:c r="A3642" t="n">
        <x:v>3639</x:v>
      </x:c>
      <x:c r="B3642" t="str">
        <x:v>PTN Akademik</x:v>
      </x:c>
      <x:c r="C3642" t="str">
        <x:v>UNIVERSITAS PATTIMURA</x:v>
      </x:c>
      <x:c r="D3642" t="str">
        <x:v>PEND. KIMIA</x:v>
      </x:c>
      <x:c r="E3642" t="str">
        <x:v>Sarjana</x:v>
      </x:c>
      <x:c r="F3642" s="18" t="n">
        <x:v>20</x:v>
      </x:c>
      <x:c r="G3642" s="18" t="n">
        <x:v>12</x:v>
      </x:c>
      <x:c r="H3642" s="19" t="n">
        <x:v>0.6</x:v>
      </x:c>
      <x:c r="I3642" s="18" t="n">
        <x:f>ROUND(MIN(Model_Config_v3!$B$6,MAX(Q3642,R3642,S3642*Model_Config_v3!$B$4+T3642*Model_Config_v3!$B$5)),0)</x:f>
        <x:v>603</x:v>
      </x:c>
      <x:c r="J3642" s="18" t="n">
        <x:f>MIN(Model_Config_v3!$B$6,I3642+Model_Config_v3!$B$7)</x:f>
        <x:v>623</x:v>
      </x:c>
      <x:c r="K3642" s="20" t="n">
        <x:v>39.7</x:v>
      </x:c>
      <x:c r="L3642" t="str">
        <x:v>RELATIF LONGGAR</x:v>
      </x:c>
      <x:c r="M3642" t="str">
        <x:v>SEDANG+</x:v>
      </x:c>
      <x:c r="N3642" t="str">
        <x:v>REGULER</x:v>
      </x:c>
      <x:c r="O3642" t="str">
        <x:v>SAINTEK</x:v>
      </x:c>
      <x:c r="P3642" t="str">
        <x:v>PENDIDIKAN</x:v>
      </x:c>
      <x:c r="Q3642" s="18" t="n">
        <x:v>0</x:v>
      </x:c>
      <x:c r="R3642" s="18" t="n">
        <x:v>0</x:v>
      </x:c>
      <x:c r="S3642" s="18" t="n">
        <x:v>520</x:v>
      </x:c>
      <x:c r="T3642" s="18" t="n">
        <x:v>639</x:v>
      </x:c>
      <x:c r="U3642" s="18" t="n">
        <x:v>520</x:v>
      </x:c>
      <x:c r="V3642" s="20" t="n">
        <x:v>12</x:v>
      </x:c>
      <x:c r="W3642" s="20" t="n">
        <x:v>5</x:v>
      </x:c>
      <x:c r="X3642" s="20" t="n">
        <x:v>3</x:v>
      </x:c>
      <x:c r="Y3642" t="str">
        <x:v>Basis arsip 2025/2024</x:v>
      </x:c>
      <x:c r="Z3642" t="str">
        <x:v>https://snpmb.id/utbk-snbt/daya-tampung-snbt</x:v>
      </x:c>
      <x:c r="AA3642" t="str">
        <x:v>Tidak Ada</x:v>
      </x:c>
      <x:c r="AB3642" t="str">
        <x:v>Campus=55; Ratio=0.0; Prodi=45; RelDemand=31.4; Capacity=83.3</x:v>
      </x:c>
    </x:row>
    <x:row r="3643">
      <x:c r="A3643" t="n">
        <x:v>3640</x:v>
      </x:c>
      <x:c r="B3643" t="str">
        <x:v>PTN Akademik</x:v>
      </x:c>
      <x:c r="C3643" t="str">
        <x:v>UNIVERSITAS PATTIMURA</x:v>
      </x:c>
      <x:c r="D3643" t="str">
        <x:v>AGRIBISNIS</x:v>
      </x:c>
      <x:c r="E3643" t="str">
        <x:v>Sarjana</x:v>
      </x:c>
      <x:c r="F3643" s="18" t="n">
        <x:v>24</x:v>
      </x:c>
      <x:c r="G3643" s="18" t="n">
        <x:v>18</x:v>
      </x:c>
      <x:c r="H3643" s="19" t="n">
        <x:v>0.75</x:v>
      </x:c>
      <x:c r="I3643" s="18" t="n">
        <x:f>ROUND(MIN(Model_Config_v3!$B$6,MAX(Q3643,R3643,S3643*Model_Config_v3!$B$4+T3643*Model_Config_v3!$B$5)),0)</x:f>
        <x:v>610</x:v>
      </x:c>
      <x:c r="J3643" s="18" t="n">
        <x:f>MIN(Model_Config_v3!$B$6,I3643+Model_Config_v3!$B$7)</x:f>
        <x:v>630</x:v>
      </x:c>
      <x:c r="K3643" s="20" t="n">
        <x:v>44.2</x:v>
      </x:c>
      <x:c r="L3643" t="str">
        <x:v>RELATIF LONGGAR</x:v>
      </x:c>
      <x:c r="M3643" t="str">
        <x:v>SEDANG+</x:v>
      </x:c>
      <x:c r="N3643" t="str">
        <x:v>REGULER</x:v>
      </x:c>
      <x:c r="O3643" t="str">
        <x:v>SOSHUM</x:v>
      </x:c>
      <x:c r="P3643" t="str">
        <x:v>BISNIS/EKONOMI/AKUNTANSI</x:v>
      </x:c>
      <x:c r="Q3643" s="18" t="n">
        <x:v>0</x:v>
      </x:c>
      <x:c r="R3643" s="18" t="n">
        <x:v>0</x:v>
      </x:c>
      <x:c r="S3643" s="18" t="n">
        <x:v>520</x:v>
      </x:c>
      <x:c r="T3643" s="18" t="n">
        <x:v>648</x:v>
      </x:c>
      <x:c r="U3643" s="18" t="n">
        <x:v>535</x:v>
      </x:c>
      <x:c r="V3643" s="20" t="n">
        <x:v>4.4</x:v>
      </x:c>
      <x:c r="W3643" s="20" t="n">
        <x:v>14.3</x:v>
      </x:c>
      <x:c r="X3643" s="20" t="n">
        <x:v>3.3</x:v>
      </x:c>
      <x:c r="Y3643" t="str">
        <x:v>Basis arsip 2025/2024</x:v>
      </x:c>
      <x:c r="Z3643" t="str">
        <x:v>https://snpmb.id/utbk-snbt/daya-tampung-snbt</x:v>
      </x:c>
      <x:c r="AA3643" t="str">
        <x:v>Tidak Ada</x:v>
      </x:c>
      <x:c r="AB3643" t="str">
        <x:v>Campus=55; Ratio=0.0; Prodi=65; RelDemand=39.2; Capacity=80.0</x:v>
      </x:c>
    </x:row>
    <x:row r="3644">
      <x:c r="A3644" t="n">
        <x:v>3641</x:v>
      </x:c>
      <x:c r="B3644" t="str">
        <x:v>PTN Akademik</x:v>
      </x:c>
      <x:c r="C3644" t="str">
        <x:v>UNIVERSITAS PATTIMURA</x:v>
      </x:c>
      <x:c r="D3644" t="str">
        <x:v>AGROTEKNOLOGI</x:v>
      </x:c>
      <x:c r="E3644" t="str">
        <x:v>Sarjana</x:v>
      </x:c>
      <x:c r="F3644" s="18" t="n">
        <x:v>12</x:v>
      </x:c>
      <x:c r="G3644" s="18" t="n">
        <x:v>14</x:v>
      </x:c>
      <x:c r="H3644" s="19" t="n">
        <x:v>1.1666666666666667</x:v>
      </x:c>
      <x:c r="I3644" s="18" t="n">
        <x:f>ROUND(MIN(Model_Config_v3!$B$6,MAX(Q3644,R3644,S3644*Model_Config_v3!$B$4+T3644*Model_Config_v3!$B$5)),0)</x:f>
        <x:v>611</x:v>
      </x:c>
      <x:c r="J3644" s="18" t="n">
        <x:f>MIN(Model_Config_v3!$B$6,I3644+Model_Config_v3!$B$7)</x:f>
        <x:v>631</x:v>
      </x:c>
      <x:c r="K3644" s="20" t="n">
        <x:v>43.3</x:v>
      </x:c>
      <x:c r="L3644" t="str">
        <x:v>RELATIF LONGGAR</x:v>
      </x:c>
      <x:c r="M3644" t="str">
        <x:v>SEDANG</x:v>
      </x:c>
      <x:c r="N3644" t="str">
        <x:v>REGULER</x:v>
      </x:c>
      <x:c r="O3644" t="str">
        <x:v>SAINTEK</x:v>
      </x:c>
      <x:c r="P3644" t="str">
        <x:v>UMUM</x:v>
      </x:c>
      <x:c r="Q3644" s="18" t="n">
        <x:v>0</x:v>
      </x:c>
      <x:c r="R3644" s="18" t="n">
        <x:v>0</x:v>
      </x:c>
      <x:c r="S3644" s="18" t="n">
        <x:v>527.3641468593675</x:v>
      </x:c>
      <x:c r="T3644" s="18" t="n">
        <x:v>647</x:v>
      </x:c>
      <x:c r="U3644" s="18" t="n">
        <x:v>527.3641468593675</x:v>
      </x:c>
      <x:c r="V3644" s="20" t="n">
        <x:v>12</x:v>
      </x:c>
      <x:c r="W3644" s="20" t="n">
        <x:v>5</x:v>
      </x:c>
      <x:c r="X3644" s="20" t="n">
        <x:v>3</x:v>
      </x:c>
      <x:c r="Y3644" t="str">
        <x:v>Basis arsip 2025/2024</x:v>
      </x:c>
      <x:c r="Z3644" t="str">
        <x:v>https://snpmb.id/utbk-snbt/daya-tampung-snbt</x:v>
      </x:c>
      <x:c r="AA3644" t="str">
        <x:v>Tidak Ada</x:v>
      </x:c>
      <x:c r="AB3644" t="str">
        <x:v>Campus=55; Ratio=3.9; Prodi=40; RelDemand=61.0; Capacity=90.0</x:v>
      </x:c>
    </x:row>
    <x:row r="3645">
      <x:c r="A3645" t="n">
        <x:v>3642</x:v>
      </x:c>
      <x:c r="B3645" t="str">
        <x:v>PTN Akademik</x:v>
      </x:c>
      <x:c r="C3645" t="str">
        <x:v>UNIVERSITAS PATTIMURA</x:v>
      </x:c>
      <x:c r="D3645" t="str">
        <x:v>TEK. HASIL PERTANIAN</x:v>
      </x:c>
      <x:c r="E3645" t="str">
        <x:v>Sarjana</x:v>
      </x:c>
      <x:c r="F3645" s="18" t="n">
        <x:v>12</x:v>
      </x:c>
      <x:c r="G3645" s="18" t="n">
        <x:v>4</x:v>
      </x:c>
      <x:c r="H3645" s="19" t="n">
        <x:v>0.3333333333333333</x:v>
      </x:c>
      <x:c r="I3645" s="18" t="n">
        <x:f>ROUND(MIN(Model_Config_v3!$B$6,MAX(Q3645,R3645,S3645*Model_Config_v3!$B$4+T3645*Model_Config_v3!$B$5)),0)</x:f>
        <x:v>601</x:v>
      </x:c>
      <x:c r="J3645" s="18" t="n">
        <x:f>MIN(Model_Config_v3!$B$6,I3645+Model_Config_v3!$B$7)</x:f>
        <x:v>621</x:v>
      </x:c>
      <x:c r="K3645" s="20" t="n">
        <x:v>38</x:v>
      </x:c>
      <x:c r="L3645" t="str">
        <x:v>RELATIF LONGGAR</x:v>
      </x:c>
      <x:c r="M3645" t="str">
        <x:v>SEDANG</x:v>
      </x:c>
      <x:c r="N3645" t="str">
        <x:v>REGULER</x:v>
      </x:c>
      <x:c r="O3645" t="str">
        <x:v>SAINTEK</x:v>
      </x:c>
      <x:c r="P3645" t="str">
        <x:v>UMUM</x:v>
      </x:c>
      <x:c r="Q3645" s="18" t="n">
        <x:v>0</x:v>
      </x:c>
      <x:c r="R3645" s="18" t="n">
        <x:v>0</x:v>
      </x:c>
      <x:c r="S3645" s="18" t="n">
        <x:v>520</x:v>
      </x:c>
      <x:c r="T3645" s="18" t="n">
        <x:v>636</x:v>
      </x:c>
      <x:c r="U3645" s="18" t="n">
        <x:v>520</x:v>
      </x:c>
      <x:c r="V3645" s="20" t="n">
        <x:v>12</x:v>
      </x:c>
      <x:c r="W3645" s="20" t="n">
        <x:v>5</x:v>
      </x:c>
      <x:c r="X3645" s="20" t="n">
        <x:v>3</x:v>
      </x:c>
      <x:c r="Y3645" t="str">
        <x:v>Basis arsip 2025/2024</x:v>
      </x:c>
      <x:c r="Z3645" t="str">
        <x:v>https://snpmb.id/utbk-snbt/daya-tampung-snbt</x:v>
      </x:c>
      <x:c r="AA3645" t="str">
        <x:v>Tidak Ada</x:v>
      </x:c>
      <x:c r="AB3645" t="str">
        <x:v>Campus=55; Ratio=0.0; Prodi=40; RelDemand=17.4; Capacity=90.0</x:v>
      </x:c>
    </x:row>
    <x:row r="3646">
      <x:c r="A3646" t="n">
        <x:v>3643</x:v>
      </x:c>
      <x:c r="B3646" t="str">
        <x:v>PTN Akademik</x:v>
      </x:c>
      <x:c r="C3646" t="str">
        <x:v>UNIVERSITAS PATTIMURA</x:v>
      </x:c>
      <x:c r="D3646" t="str">
        <x:v>KEHUTANAN</x:v>
      </x:c>
      <x:c r="E3646" t="str">
        <x:v>Sarjana</x:v>
      </x:c>
      <x:c r="F3646" s="18" t="n">
        <x:v>24</x:v>
      </x:c>
      <x:c r="G3646" s="18" t="n">
        <x:v>23</x:v>
      </x:c>
      <x:c r="H3646" s="19" t="n">
        <x:v>0.9583333333333334</x:v>
      </x:c>
      <x:c r="I3646" s="18" t="n">
        <x:f>ROUND(MIN(Model_Config_v3!$B$6,MAX(Q3646,R3646,S3646*Model_Config_v3!$B$4+T3646*Model_Config_v3!$B$5)),0)</x:f>
        <x:v>605</x:v>
      </x:c>
      <x:c r="J3646" s="18" t="n">
        <x:f>MIN(Model_Config_v3!$B$6,I3646+Model_Config_v3!$B$7)</x:f>
        <x:v>625</x:v>
      </x:c>
      <x:c r="K3646" s="20" t="n">
        <x:v>40.3</x:v>
      </x:c>
      <x:c r="L3646" t="str">
        <x:v>RELATIF LONGGAR</x:v>
      </x:c>
      <x:c r="M3646" t="str">
        <x:v>SEDANG</x:v>
      </x:c>
      <x:c r="N3646" t="str">
        <x:v>REGULER</x:v>
      </x:c>
      <x:c r="O3646" t="str">
        <x:v>CAMPURAN</x:v>
      </x:c>
      <x:c r="P3646" t="str">
        <x:v>UMUM</x:v>
      </x:c>
      <x:c r="Q3646" s="18" t="n">
        <x:v>0</x:v>
      </x:c>
      <x:c r="R3646" s="18" t="n">
        <x:v>0</x:v>
      </x:c>
      <x:c r="S3646" s="18" t="n">
        <x:v>520</x:v>
      </x:c>
      <x:c r="T3646" s="18" t="n">
        <x:v>641</x:v>
      </x:c>
      <x:c r="U3646" s="18" t="n">
        <x:v>520</x:v>
      </x:c>
      <x:c r="V3646" s="20" t="n">
        <x:v>8.8</x:v>
      </x:c>
      <x:c r="W3646" s="20" t="n">
        <x:v>9.9</x:v>
      </x:c>
      <x:c r="X3646" s="20" t="n">
        <x:v>3.3</x:v>
      </x:c>
      <x:c r="Y3646" t="str">
        <x:v>Basis arsip 2025/2024</x:v>
      </x:c>
      <x:c r="Z3646" t="str">
        <x:v>https://snpmb.id/utbk-snbt/daya-tampung-snbt</x:v>
      </x:c>
      <x:c r="AA3646" t="str">
        <x:v>Tidak Ada</x:v>
      </x:c>
      <x:c r="AB3646" t="str">
        <x:v>Campus=55; Ratio=0.0; Prodi=40; RelDemand=50.1; Capacity=80.0</x:v>
      </x:c>
    </x:row>
    <x:row r="3647">
      <x:c r="A3647" t="n">
        <x:v>3644</x:v>
      </x:c>
      <x:c r="B3647" t="str">
        <x:v>PTN Akademik</x:v>
      </x:c>
      <x:c r="C3647" t="str">
        <x:v>UNIVERSITAS PATTIMURA</x:v>
      </x:c>
      <x:c r="D3647" t="str">
        <x:v>PETERNAKAN</x:v>
      </x:c>
      <x:c r="E3647" t="str">
        <x:v>Sarjana</x:v>
      </x:c>
      <x:c r="F3647" s="18" t="n">
        <x:v>12</x:v>
      </x:c>
      <x:c r="G3647" s="18" t="n">
        <x:v>2</x:v>
      </x:c>
      <x:c r="H3647" s="19" t="n">
        <x:v>0.16666666666666666</x:v>
      </x:c>
      <x:c r="I3647" s="18" t="n">
        <x:f>ROUND(MIN(Model_Config_v3!$B$6,MAX(Q3647,R3647,S3647*Model_Config_v3!$B$4+T3647*Model_Config_v3!$B$5)),0)</x:f>
        <x:v>600</x:v>
      </x:c>
      <x:c r="J3647" s="18" t="n">
        <x:f>MIN(Model_Config_v3!$B$6,I3647+Model_Config_v3!$B$7)</x:f>
        <x:v>620</x:v>
      </x:c>
      <x:c r="K3647" s="20" t="n">
        <x:v>37.1</x:v>
      </x:c>
      <x:c r="L3647" t="str">
        <x:v>RELATIF LONGGAR</x:v>
      </x:c>
      <x:c r="M3647" t="str">
        <x:v>SEDANG</x:v>
      </x:c>
      <x:c r="N3647" t="str">
        <x:v>REGULER</x:v>
      </x:c>
      <x:c r="O3647" t="str">
        <x:v>SAINTEK</x:v>
      </x:c>
      <x:c r="P3647" t="str">
        <x:v>UMUM</x:v>
      </x:c>
      <x:c r="Q3647" s="18" t="n">
        <x:v>0</x:v>
      </x:c>
      <x:c r="R3647" s="18" t="n">
        <x:v>0</x:v>
      </x:c>
      <x:c r="S3647" s="18" t="n">
        <x:v>520</x:v>
      </x:c>
      <x:c r="T3647" s="18" t="n">
        <x:v>634</x:v>
      </x:c>
      <x:c r="U3647" s="18" t="n">
        <x:v>520</x:v>
      </x:c>
      <x:c r="V3647" s="20" t="n">
        <x:v>12</x:v>
      </x:c>
      <x:c r="W3647" s="20" t="n">
        <x:v>5</x:v>
      </x:c>
      <x:c r="X3647" s="20" t="n">
        <x:v>3</x:v>
      </x:c>
      <x:c r="Y3647" t="str">
        <x:v>Basis arsip 2025/2024</x:v>
      </x:c>
      <x:c r="Z3647" t="str">
        <x:v>https://snpmb.id/utbk-snbt/daya-tampung-snbt</x:v>
      </x:c>
      <x:c r="AA3647" t="str">
        <x:v>Tidak Ada</x:v>
      </x:c>
      <x:c r="AB3647" t="str">
        <x:v>Campus=55; Ratio=0.0; Prodi=40; RelDemand=8.7; Capacity=90.0</x:v>
      </x:c>
    </x:row>
    <x:row r="3648">
      <x:c r="A3648" t="n">
        <x:v>3645</x:v>
      </x:c>
      <x:c r="B3648" t="str">
        <x:v>PTN Akademik</x:v>
      </x:c>
      <x:c r="C3648" t="str">
        <x:v>UNIVERSITAS PATTIMURA</x:v>
      </x:c>
      <x:c r="D3648" t="str">
        <x:v>TEKNIK PERKAPALAN</x:v>
      </x:c>
      <x:c r="E3648" t="str">
        <x:v>Sarjana</x:v>
      </x:c>
      <x:c r="F3648" s="18" t="n">
        <x:v>20</x:v>
      </x:c>
      <x:c r="G3648" s="18" t="n">
        <x:v>25</x:v>
      </x:c>
      <x:c r="H3648" s="19" t="n">
        <x:v>1.25</x:v>
      </x:c>
      <x:c r="I3648" s="18" t="n">
        <x:f>ROUND(MIN(Model_Config_v3!$B$6,MAX(Q3648,R3648,S3648*Model_Config_v3!$B$4+T3648*Model_Config_v3!$B$5)),0)</x:f>
        <x:v>618</x:v>
      </x:c>
      <x:c r="J3648" s="18" t="n">
        <x:f>MIN(Model_Config_v3!$B$6,I3648+Model_Config_v3!$B$7)</x:f>
        <x:v>638</x:v>
      </x:c>
      <x:c r="K3648" s="20" t="n">
        <x:v>47.5</x:v>
      </x:c>
      <x:c r="L3648" t="str">
        <x:v>MENENGAH</x:v>
      </x:c>
      <x:c r="M3648" t="str">
        <x:v>SEDANG+</x:v>
      </x:c>
      <x:c r="N3648" t="str">
        <x:v>REGULER</x:v>
      </x:c>
      <x:c r="O3648" t="str">
        <x:v>SAINTEK</x:v>
      </x:c>
      <x:c r="P3648" t="str">
        <x:v>TEKNIK/ARSITEKTUR/STATISTIKA/AKTUARIA</x:v>
      </x:c>
      <x:c r="Q3648" s="18" t="n">
        <x:v>0</x:v>
      </x:c>
      <x:c r="R3648" s="18" t="n">
        <x:v>0</x:v>
      </x:c>
      <x:c r="S3648" s="18" t="n">
        <x:v>530.6601014308862</x:v>
      </x:c>
      <x:c r="T3648" s="18" t="n">
        <x:v>655</x:v>
      </x:c>
      <x:c r="U3648" s="18" t="n">
        <x:v>540.6601014308862</x:v>
      </x:c>
      <x:c r="V3648" s="20" t="n">
        <x:v>12</x:v>
      </x:c>
      <x:c r="W3648" s="20" t="n">
        <x:v>5</x:v>
      </x:c>
      <x:c r="X3648" s="20" t="n">
        <x:v>3</x:v>
      </x:c>
      <x:c r="Y3648" t="str">
        <x:v>Basis arsip 2025/2024</x:v>
      </x:c>
      <x:c r="Z3648" t="str">
        <x:v>https://snpmb.id/utbk-snbt/daya-tampung-snbt</x:v>
      </x:c>
      <x:c r="AA3648" t="str">
        <x:v>Tidak Ada</x:v>
      </x:c>
      <x:c r="AB3648" t="str">
        <x:v>Campus=55; Ratio=5.7; Prodi=60; RelDemand=65.4; Capacity=83.3</x:v>
      </x:c>
    </x:row>
    <x:row r="3649">
      <x:c r="A3649" t="n">
        <x:v>3646</x:v>
      </x:c>
      <x:c r="B3649" t="str">
        <x:v>PTN Akademik</x:v>
      </x:c>
      <x:c r="C3649" t="str">
        <x:v>UNIVERSITAS PATTIMURA</x:v>
      </x:c>
      <x:c r="D3649" t="str">
        <x:v>TEKNIK SISTIM PERKAPALAN</x:v>
      </x:c>
      <x:c r="E3649" t="str">
        <x:v>Sarjana</x:v>
      </x:c>
      <x:c r="F3649" s="18" t="n">
        <x:v>20</x:v>
      </x:c>
      <x:c r="G3649" s="18" t="n">
        <x:v>10</x:v>
      </x:c>
      <x:c r="H3649" s="19" t="n">
        <x:v>0.5</x:v>
      </x:c>
      <x:c r="I3649" s="18" t="n">
        <x:f>ROUND(MIN(Model_Config_v3!$B$6,MAX(Q3649,R3649,S3649*Model_Config_v3!$B$4+T3649*Model_Config_v3!$B$5)),0)</x:f>
        <x:v>607</x:v>
      </x:c>
      <x:c r="J3649" s="18" t="n">
        <x:f>MIN(Model_Config_v3!$B$6,I3649+Model_Config_v3!$B$7)</x:f>
        <x:v>627</x:v>
      </x:c>
      <x:c r="K3649" s="20" t="n">
        <x:v>42.2</x:v>
      </x:c>
      <x:c r="L3649" t="str">
        <x:v>RELATIF LONGGAR</x:v>
      </x:c>
      <x:c r="M3649" t="str">
        <x:v>SEDANG+</x:v>
      </x:c>
      <x:c r="N3649" t="str">
        <x:v>REGULER</x:v>
      </x:c>
      <x:c r="O3649" t="str">
        <x:v>SAINTEK</x:v>
      </x:c>
      <x:c r="P3649" t="str">
        <x:v>TEKNIK/ARSITEKTUR/STATISTIKA/AKTUARIA</x:v>
      </x:c>
      <x:c r="Q3649" s="18" t="n">
        <x:v>0</x:v>
      </x:c>
      <x:c r="R3649" s="18" t="n">
        <x:v>0</x:v>
      </x:c>
      <x:c r="S3649" s="18" t="n">
        <x:v>520</x:v>
      </x:c>
      <x:c r="T3649" s="18" t="n">
        <x:v>644</x:v>
      </x:c>
      <x:c r="U3649" s="18" t="n">
        <x:v>530</x:v>
      </x:c>
      <x:c r="V3649" s="20" t="n">
        <x:v>12</x:v>
      </x:c>
      <x:c r="W3649" s="20" t="n">
        <x:v>5</x:v>
      </x:c>
      <x:c r="X3649" s="20" t="n">
        <x:v>3</x:v>
      </x:c>
      <x:c r="Y3649" t="str">
        <x:v>Basis arsip 2025/2024</x:v>
      </x:c>
      <x:c r="Z3649" t="str">
        <x:v>https://snpmb.id/utbk-snbt/daya-tampung-snbt</x:v>
      </x:c>
      <x:c r="AA3649" t="str">
        <x:v>Tidak Ada</x:v>
      </x:c>
      <x:c r="AB3649" t="str">
        <x:v>Campus=55; Ratio=0.0; Prodi=60; RelDemand=26.2; Capacity=83.3</x:v>
      </x:c>
    </x:row>
    <x:row r="3650">
      <x:c r="A3650" t="n">
        <x:v>3647</x:v>
      </x:c>
      <x:c r="B3650" t="str">
        <x:v>PTN Akademik</x:v>
      </x:c>
      <x:c r="C3650" t="str">
        <x:v>UNIVERSITAS PATTIMURA</x:v>
      </x:c>
      <x:c r="D3650" t="str">
        <x:v>TEKNIK MESIN</x:v>
      </x:c>
      <x:c r="E3650" t="str">
        <x:v>Sarjana</x:v>
      </x:c>
      <x:c r="F3650" s="18" t="n">
        <x:v>40</x:v>
      </x:c>
      <x:c r="G3650" s="18" t="n">
        <x:v>31</x:v>
      </x:c>
      <x:c r="H3650" s="19" t="n">
        <x:v>0.775</x:v>
      </x:c>
      <x:c r="I3650" s="18" t="n">
        <x:f>ROUND(MIN(Model_Config_v3!$B$6,MAX(Q3650,R3650,S3650*Model_Config_v3!$B$4+T3650*Model_Config_v3!$B$5)),0)</x:f>
        <x:v>607</x:v>
      </x:c>
      <x:c r="J3650" s="18" t="n">
        <x:f>MIN(Model_Config_v3!$B$6,I3650+Model_Config_v3!$B$7)</x:f>
        <x:v>627</x:v>
      </x:c>
      <x:c r="K3650" s="20" t="n">
        <x:v>42</x:v>
      </x:c>
      <x:c r="L3650" t="str">
        <x:v>RELATIF LONGGAR</x:v>
      </x:c>
      <x:c r="M3650" t="str">
        <x:v>SEDANG+</x:v>
      </x:c>
      <x:c r="N3650" t="str">
        <x:v>REGULER</x:v>
      </x:c>
      <x:c r="O3650" t="str">
        <x:v>SAINTEK</x:v>
      </x:c>
      <x:c r="P3650" t="str">
        <x:v>TEKNIK/ARSITEKTUR/STATISTIKA/AKTUARIA</x:v>
      </x:c>
      <x:c r="Q3650" s="18" t="n">
        <x:v>0</x:v>
      </x:c>
      <x:c r="R3650" s="18" t="n">
        <x:v>0</x:v>
      </x:c>
      <x:c r="S3650" s="18" t="n">
        <x:v>520</x:v>
      </x:c>
      <x:c r="T3650" s="18" t="n">
        <x:v>644</x:v>
      </x:c>
      <x:c r="U3650" s="18" t="n">
        <x:v>530</x:v>
      </x:c>
      <x:c r="V3650" s="20" t="n">
        <x:v>12</x:v>
      </x:c>
      <x:c r="W3650" s="20" t="n">
        <x:v>5</x:v>
      </x:c>
      <x:c r="X3650" s="20" t="n">
        <x:v>3</x:v>
      </x:c>
      <x:c r="Y3650" t="str">
        <x:v>Basis arsip 2025/2024</x:v>
      </x:c>
      <x:c r="Z3650" t="str">
        <x:v>https://snpmb.id/utbk-snbt/daya-tampung-snbt</x:v>
      </x:c>
      <x:c r="AA3650" t="str">
        <x:v>Tidak Ada</x:v>
      </x:c>
      <x:c r="AB3650" t="str">
        <x:v>Campus=55; Ratio=0.0; Prodi=60; RelDemand=40.5; Capacity=66.7</x:v>
      </x:c>
    </x:row>
    <x:row r="3651">
      <x:c r="A3651" t="n">
        <x:v>3648</x:v>
      </x:c>
      <x:c r="B3651" t="str">
        <x:v>PTN Akademik</x:v>
      </x:c>
      <x:c r="C3651" t="str">
        <x:v>UNIVERSITAS PATTIMURA</x:v>
      </x:c>
      <x:c r="D3651" t="str">
        <x:v>TEKNIK INDUSTRI</x:v>
      </x:c>
      <x:c r="E3651" t="str">
        <x:v>Sarjana</x:v>
      </x:c>
      <x:c r="F3651" s="18" t="n">
        <x:v>40</x:v>
      </x:c>
      <x:c r="G3651" s="18" t="n">
        <x:v>73</x:v>
      </x:c>
      <x:c r="H3651" s="19" t="n">
        <x:v>1.825</x:v>
      </x:c>
      <x:c r="I3651" s="18" t="n">
        <x:f>ROUND(MIN(Model_Config_v3!$B$6,MAX(Q3651,R3651,S3651*Model_Config_v3!$B$4+T3651*Model_Config_v3!$B$5)),0)</x:f>
        <x:v>629</x:v>
      </x:c>
      <x:c r="J3651" s="18" t="n">
        <x:f>MIN(Model_Config_v3!$B$6,I3651+Model_Config_v3!$B$7)</x:f>
        <x:v>649</x:v>
      </x:c>
      <x:c r="K3651" s="20" t="n">
        <x:v>51.3</x:v>
      </x:c>
      <x:c r="L3651" t="str">
        <x:v>MENENGAH</x:v>
      </x:c>
      <x:c r="M3651" t="str">
        <x:v>SEDANG+</x:v>
      </x:c>
      <x:c r="N3651" t="str">
        <x:v>REGULER</x:v>
      </x:c>
      <x:c r="O3651" t="str">
        <x:v>SAINTEK</x:v>
      </x:c>
      <x:c r="P3651" t="str">
        <x:v>TEKNIK/ARSITEKTUR/STATISTIKA/AKTUARIA</x:v>
      </x:c>
      <x:c r="Q3651" s="18" t="n">
        <x:v>0</x:v>
      </x:c>
      <x:c r="R3651" s="18" t="n">
        <x:v>0</x:v>
      </x:c>
      <x:c r="S3651" s="18" t="n">
        <x:v>548.7389155671743</x:v>
      </x:c>
      <x:c r="T3651" s="18" t="n">
        <x:v>663</x:v>
      </x:c>
      <x:c r="U3651" s="18" t="n">
        <x:v>558.7389155671743</x:v>
      </x:c>
      <x:c r="V3651" s="20" t="n">
        <x:v>12</x:v>
      </x:c>
      <x:c r="W3651" s="20" t="n">
        <x:v>5</x:v>
      </x:c>
      <x:c r="X3651" s="20" t="n">
        <x:v>3</x:v>
      </x:c>
      <x:c r="Y3651" t="str">
        <x:v>Basis arsip 2025/2024</x:v>
      </x:c>
      <x:c r="Z3651" t="str">
        <x:v>https://snpmb.id/utbk-snbt/daya-tampung-snbt</x:v>
      </x:c>
      <x:c r="AA3651" t="str">
        <x:v>Tidak Ada</x:v>
      </x:c>
      <x:c r="AB3651" t="str">
        <x:v>Campus=55; Ratio=15.4; Prodi=60; RelDemand=95.5; Capacity=66.7</x:v>
      </x:c>
    </x:row>
    <x:row r="3652">
      <x:c r="A3652" t="n">
        <x:v>3649</x:v>
      </x:c>
      <x:c r="B3652" t="str">
        <x:v>PTN Akademik</x:v>
      </x:c>
      <x:c r="C3652" t="str">
        <x:v>UNIVERSITAS PATTIMURA</x:v>
      </x:c>
      <x:c r="D3652" t="str">
        <x:v>MAJEMEN SUMB.PERAIRAN</x:v>
      </x:c>
      <x:c r="E3652" t="str">
        <x:v>Sarjana</x:v>
      </x:c>
      <x:c r="F3652" s="18" t="n">
        <x:v>24</x:v>
      </x:c>
      <x:c r="G3652" s="18" t="n">
        <x:v>4</x:v>
      </x:c>
      <x:c r="H3652" s="19" t="n">
        <x:v>0.16666666666666666</x:v>
      </x:c>
      <x:c r="I3652" s="18" t="n">
        <x:f>ROUND(MIN(Model_Config_v3!$B$6,MAX(Q3652,R3652,S3652*Model_Config_v3!$B$4+T3652*Model_Config_v3!$B$5)),0)</x:f>
        <x:v>598</x:v>
      </x:c>
      <x:c r="J3652" s="18" t="n">
        <x:f>MIN(Model_Config_v3!$B$6,I3652+Model_Config_v3!$B$7)</x:f>
        <x:v>618</x:v>
      </x:c>
      <x:c r="K3652" s="20" t="n">
        <x:v>36.1</x:v>
      </x:c>
      <x:c r="L3652" t="str">
        <x:v>RELATIF LONGGAR</x:v>
      </x:c>
      <x:c r="M3652" t="str">
        <x:v>SEDANG</x:v>
      </x:c>
      <x:c r="N3652" t="str">
        <x:v>REGULER</x:v>
      </x:c>
      <x:c r="O3652" t="str">
        <x:v>CAMPURAN</x:v>
      </x:c>
      <x:c r="P3652" t="str">
        <x:v>UMUM</x:v>
      </x:c>
      <x:c r="Q3652" s="18" t="n">
        <x:v>0</x:v>
      </x:c>
      <x:c r="R3652" s="18" t="n">
        <x:v>0</x:v>
      </x:c>
      <x:c r="S3652" s="18" t="n">
        <x:v>520</x:v>
      </x:c>
      <x:c r="T3652" s="18" t="n">
        <x:v>632</x:v>
      </x:c>
      <x:c r="U3652" s="18" t="n">
        <x:v>520</x:v>
      </x:c>
      <x:c r="V3652" s="20" t="n">
        <x:v>8.8</x:v>
      </x:c>
      <x:c r="W3652" s="20" t="n">
        <x:v>9.9</x:v>
      </x:c>
      <x:c r="X3652" s="20" t="n">
        <x:v>3.3</x:v>
      </x:c>
      <x:c r="Y3652" t="str">
        <x:v>Basis arsip 2025/2024</x:v>
      </x:c>
      <x:c r="Z3652" t="str">
        <x:v>https://snpmb.id/utbk-snbt/daya-tampung-snbt</x:v>
      </x:c>
      <x:c r="AA3652" t="str">
        <x:v>Tidak Ada</x:v>
      </x:c>
      <x:c r="AB3652" t="str">
        <x:v>Campus=55; Ratio=0.0; Prodi=40; RelDemand=8.7; Capacity=80.0</x:v>
      </x:c>
    </x:row>
    <x:row r="3653">
      <x:c r="A3653" t="n">
        <x:v>3650</x:v>
      </x:c>
      <x:c r="B3653" t="str">
        <x:v>PTN Akademik</x:v>
      </x:c>
      <x:c r="C3653" t="str">
        <x:v>UNIVERSITAS PATTIMURA</x:v>
      </x:c>
      <x:c r="D3653" t="str">
        <x:v>IL. KELAUTAN</x:v>
      </x:c>
      <x:c r="E3653" t="str">
        <x:v>Sarjana</x:v>
      </x:c>
      <x:c r="F3653" s="18" t="n">
        <x:v>24</x:v>
      </x:c>
      <x:c r="G3653" s="18" t="n">
        <x:v>13</x:v>
      </x:c>
      <x:c r="H3653" s="19" t="n">
        <x:v>0.5416666666666666</x:v>
      </x:c>
      <x:c r="I3653" s="18" t="n">
        <x:f>ROUND(MIN(Model_Config_v3!$B$6,MAX(Q3653,R3653,S3653*Model_Config_v3!$B$4+T3653*Model_Config_v3!$B$5)),0)</x:f>
        <x:v>601</x:v>
      </x:c>
      <x:c r="J3653" s="18" t="n">
        <x:f>MIN(Model_Config_v3!$B$6,I3653+Model_Config_v3!$B$7)</x:f>
        <x:v>621</x:v>
      </x:c>
      <x:c r="K3653" s="20" t="n">
        <x:v>38.1</x:v>
      </x:c>
      <x:c r="L3653" t="str">
        <x:v>RELATIF LONGGAR</x:v>
      </x:c>
      <x:c r="M3653" t="str">
        <x:v>SEDANG</x:v>
      </x:c>
      <x:c r="N3653" t="str">
        <x:v>REGULER</x:v>
      </x:c>
      <x:c r="O3653" t="str">
        <x:v>SAINTEK</x:v>
      </x:c>
      <x:c r="P3653" t="str">
        <x:v>UMUM</x:v>
      </x:c>
      <x:c r="Q3653" s="18" t="n">
        <x:v>0</x:v>
      </x:c>
      <x:c r="R3653" s="18" t="n">
        <x:v>0</x:v>
      </x:c>
      <x:c r="S3653" s="18" t="n">
        <x:v>520</x:v>
      </x:c>
      <x:c r="T3653" s="18" t="n">
        <x:v>636</x:v>
      </x:c>
      <x:c r="U3653" s="18" t="n">
        <x:v>520</x:v>
      </x:c>
      <x:c r="V3653" s="20" t="n">
        <x:v>12</x:v>
      </x:c>
      <x:c r="W3653" s="20" t="n">
        <x:v>5</x:v>
      </x:c>
      <x:c r="X3653" s="20" t="n">
        <x:v>3</x:v>
      </x:c>
      <x:c r="Y3653" t="str">
        <x:v>Basis arsip 2025/2024</x:v>
      </x:c>
      <x:c r="Z3653" t="str">
        <x:v>https://snpmb.id/utbk-snbt/daya-tampung-snbt</x:v>
      </x:c>
      <x:c r="AA3653" t="str">
        <x:v>Tidak Ada</x:v>
      </x:c>
      <x:c r="AB3653" t="str">
        <x:v>Campus=55; Ratio=0.0; Prodi=40; RelDemand=28.3; Capacity=80.0</x:v>
      </x:c>
    </x:row>
    <x:row r="3654">
      <x:c r="A3654" t="n">
        <x:v>3651</x:v>
      </x:c>
      <x:c r="B3654" t="str">
        <x:v>PTN Akademik</x:v>
      </x:c>
      <x:c r="C3654" t="str">
        <x:v>UNIVERSITAS PATTIMURA</x:v>
      </x:c>
      <x:c r="D3654" t="str">
        <x:v>BUDIDAYA PERAIRAN</x:v>
      </x:c>
      <x:c r="E3654" t="str">
        <x:v>Sarjana</x:v>
      </x:c>
      <x:c r="F3654" s="18" t="n">
        <x:v>20</x:v>
      </x:c>
      <x:c r="G3654" s="18" t="n">
        <x:v>3</x:v>
      </x:c>
      <x:c r="H3654" s="19" t="n">
        <x:v>0.15</x:v>
      </x:c>
      <x:c r="I3654" s="18" t="n">
        <x:f>ROUND(MIN(Model_Config_v3!$B$6,MAX(Q3654,R3654,S3654*Model_Config_v3!$B$4+T3654*Model_Config_v3!$B$5)),0)</x:f>
        <x:v>599</x:v>
      </x:c>
      <x:c r="J3654" s="18" t="n">
        <x:f>MIN(Model_Config_v3!$B$6,I3654+Model_Config_v3!$B$7)</x:f>
        <x:v>619</x:v>
      </x:c>
      <x:c r="K3654" s="20" t="n">
        <x:v>36.4</x:v>
      </x:c>
      <x:c r="L3654" t="str">
        <x:v>RELATIF LONGGAR</x:v>
      </x:c>
      <x:c r="M3654" t="str">
        <x:v>SEDANG</x:v>
      </x:c>
      <x:c r="N3654" t="str">
        <x:v>REGULER</x:v>
      </x:c>
      <x:c r="O3654" t="str">
        <x:v>CAMPURAN</x:v>
      </x:c>
      <x:c r="P3654" t="str">
        <x:v>UMUM</x:v>
      </x:c>
      <x:c r="Q3654" s="18" t="n">
        <x:v>0</x:v>
      </x:c>
      <x:c r="R3654" s="18" t="n">
        <x:v>0</x:v>
      </x:c>
      <x:c r="S3654" s="18" t="n">
        <x:v>520</x:v>
      </x:c>
      <x:c r="T3654" s="18" t="n">
        <x:v>633</x:v>
      </x:c>
      <x:c r="U3654" s="18" t="n">
        <x:v>520</x:v>
      </x:c>
      <x:c r="V3654" s="20" t="n">
        <x:v>8.8</x:v>
      </x:c>
      <x:c r="W3654" s="20" t="n">
        <x:v>9.9</x:v>
      </x:c>
      <x:c r="X3654" s="20" t="n">
        <x:v>3.3</x:v>
      </x:c>
      <x:c r="Y3654" t="str">
        <x:v>Basis arsip 2025/2024</x:v>
      </x:c>
      <x:c r="Z3654" t="str">
        <x:v>https://snpmb.id/utbk-snbt/daya-tampung-snbt</x:v>
      </x:c>
      <x:c r="AA3654" t="str">
        <x:v>Tidak Ada</x:v>
      </x:c>
      <x:c r="AB3654" t="str">
        <x:v>Campus=55; Ratio=0.0; Prodi=40; RelDemand=7.8; Capacity=83.3</x:v>
      </x:c>
    </x:row>
    <x:row r="3655">
      <x:c r="A3655" t="n">
        <x:v>3652</x:v>
      </x:c>
      <x:c r="B3655" t="str">
        <x:v>PTN Akademik</x:v>
      </x:c>
      <x:c r="C3655" t="str">
        <x:v>UNIVERSITAS PATTIMURA</x:v>
      </x:c>
      <x:c r="D3655" t="str">
        <x:v>PEMANFAATAN SD PERIKANAN</x:v>
      </x:c>
      <x:c r="E3655" t="str">
        <x:v>Sarjana</x:v>
      </x:c>
      <x:c r="F3655" s="18" t="n">
        <x:v>40</x:v>
      </x:c>
      <x:c r="G3655" s="18" t="n">
        <x:v>8</x:v>
      </x:c>
      <x:c r="H3655" s="19" t="n">
        <x:v>0.2</x:v>
      </x:c>
      <x:c r="I3655" s="18" t="n">
        <x:f>ROUND(MIN(Model_Config_v3!$B$6,MAX(Q3655,R3655,S3655*Model_Config_v3!$B$4+T3655*Model_Config_v3!$B$5)),0)</x:f>
        <x:v>597</x:v>
      </x:c>
      <x:c r="J3655" s="18" t="n">
        <x:f>MIN(Model_Config_v3!$B$6,I3655+Model_Config_v3!$B$7)</x:f>
        <x:v>617</x:v>
      </x:c>
      <x:c r="K3655" s="20" t="n">
        <x:v>35</x:v>
      </x:c>
      <x:c r="L3655" t="str">
        <x:v>RELATIF LONGGAR</x:v>
      </x:c>
      <x:c r="M3655" t="str">
        <x:v>SEDANG</x:v>
      </x:c>
      <x:c r="N3655" t="str">
        <x:v>REGULER</x:v>
      </x:c>
      <x:c r="O3655" t="str">
        <x:v>SAINTEK</x:v>
      </x:c>
      <x:c r="P3655" t="str">
        <x:v>UMUM</x:v>
      </x:c>
      <x:c r="Q3655" s="18" t="n">
        <x:v>0</x:v>
      </x:c>
      <x:c r="R3655" s="18" t="n">
        <x:v>0</x:v>
      </x:c>
      <x:c r="S3655" s="18" t="n">
        <x:v>520</x:v>
      </x:c>
      <x:c r="T3655" s="18" t="n">
        <x:v>630</x:v>
      </x:c>
      <x:c r="U3655" s="18" t="n">
        <x:v>520</x:v>
      </x:c>
      <x:c r="V3655" s="20" t="n">
        <x:v>12</x:v>
      </x:c>
      <x:c r="W3655" s="20" t="n">
        <x:v>5</x:v>
      </x:c>
      <x:c r="X3655" s="20" t="n">
        <x:v>3</x:v>
      </x:c>
      <x:c r="Y3655" t="str">
        <x:v>Basis arsip 2025/2024</x:v>
      </x:c>
      <x:c r="Z3655" t="str">
        <x:v>https://snpmb.id/utbk-snbt/daya-tampung-snbt</x:v>
      </x:c>
      <x:c r="AA3655" t="str">
        <x:v>Tidak Ada</x:v>
      </x:c>
      <x:c r="AB3655" t="str">
        <x:v>Campus=55; Ratio=0.0; Prodi=40; RelDemand=10.5; Capacity=66.7</x:v>
      </x:c>
    </x:row>
    <x:row r="3656">
      <x:c r="A3656" t="n">
        <x:v>3653</x:v>
      </x:c>
      <x:c r="B3656" t="str">
        <x:v>PTN Akademik</x:v>
      </x:c>
      <x:c r="C3656" t="str">
        <x:v>UNIVERSITAS PATTIMURA</x:v>
      </x:c>
      <x:c r="D3656" t="str">
        <x:v>TEK. HASIL PERIKANAN</x:v>
      </x:c>
      <x:c r="E3656" t="str">
        <x:v>Sarjana</x:v>
      </x:c>
      <x:c r="F3656" s="18" t="n">
        <x:v>32</x:v>
      </x:c>
      <x:c r="G3656" s="18" t="n">
        <x:v>2</x:v>
      </x:c>
      <x:c r="H3656" s="19" t="n">
        <x:v>0.0625</x:v>
      </x:c>
      <x:c r="I3656" s="18" t="n">
        <x:f>ROUND(MIN(Model_Config_v3!$B$6,MAX(Q3656,R3656,S3656*Model_Config_v3!$B$4+T3656*Model_Config_v3!$B$5)),0)</x:f>
        <x:v>597</x:v>
      </x:c>
      <x:c r="J3656" s="18" t="n">
        <x:f>MIN(Model_Config_v3!$B$6,I3656+Model_Config_v3!$B$7)</x:f>
        <x:v>617</x:v>
      </x:c>
      <x:c r="K3656" s="20" t="n">
        <x:v>34.9</x:v>
      </x:c>
      <x:c r="L3656" t="str">
        <x:v>RELATIF LONGGAR</x:v>
      </x:c>
      <x:c r="M3656" t="str">
        <x:v>SEDANG</x:v>
      </x:c>
      <x:c r="N3656" t="str">
        <x:v>REGULER</x:v>
      </x:c>
      <x:c r="O3656" t="str">
        <x:v>SAINTEK</x:v>
      </x:c>
      <x:c r="P3656" t="str">
        <x:v>UMUM</x:v>
      </x:c>
      <x:c r="Q3656" s="18" t="n">
        <x:v>0</x:v>
      </x:c>
      <x:c r="R3656" s="18" t="n">
        <x:v>0</x:v>
      </x:c>
      <x:c r="S3656" s="18" t="n">
        <x:v>520</x:v>
      </x:c>
      <x:c r="T3656" s="18" t="n">
        <x:v>630</x:v>
      </x:c>
      <x:c r="U3656" s="18" t="n">
        <x:v>520</x:v>
      </x:c>
      <x:c r="V3656" s="20" t="n">
        <x:v>12</x:v>
      </x:c>
      <x:c r="W3656" s="20" t="n">
        <x:v>5</x:v>
      </x:c>
      <x:c r="X3656" s="20" t="n">
        <x:v>3</x:v>
      </x:c>
      <x:c r="Y3656" t="str">
        <x:v>Basis arsip 2025/2024</x:v>
      </x:c>
      <x:c r="Z3656" t="str">
        <x:v>https://snpmb.id/utbk-snbt/daya-tampung-snbt</x:v>
      </x:c>
      <x:c r="AA3656" t="str">
        <x:v>Tidak Ada</x:v>
      </x:c>
      <x:c r="AB3656" t="str">
        <x:v>Campus=55; Ratio=0.0; Prodi=40; RelDemand=3.3; Capacity=73.3</x:v>
      </x:c>
    </x:row>
    <x:row r="3657">
      <x:c r="A3657" t="n">
        <x:v>3654</x:v>
      </x:c>
      <x:c r="B3657" t="str">
        <x:v>PTN Akademik</x:v>
      </x:c>
      <x:c r="C3657" t="str">
        <x:v>UNIVERSITAS PATTIMURA</x:v>
      </x:c>
      <x:c r="D3657" t="str">
        <x:v>AGROBISNIS PERIKANAN</x:v>
      </x:c>
      <x:c r="E3657" t="str">
        <x:v>Sarjana</x:v>
      </x:c>
      <x:c r="F3657" s="18" t="n">
        <x:v>32</x:v>
      </x:c>
      <x:c r="G3657" s="18" t="n">
        <x:v>13</x:v>
      </x:c>
      <x:c r="H3657" s="19" t="n">
        <x:v>0.40625</x:v>
      </x:c>
      <x:c r="I3657" s="18" t="n">
        <x:f>ROUND(MIN(Model_Config_v3!$B$6,MAX(Q3657,R3657,S3657*Model_Config_v3!$B$4+T3657*Model_Config_v3!$B$5)),0)</x:f>
        <x:v>606</x:v>
      </x:c>
      <x:c r="J3657" s="18" t="n">
        <x:f>MIN(Model_Config_v3!$B$6,I3657+Model_Config_v3!$B$7)</x:f>
        <x:v>626</x:v>
      </x:c>
      <x:c r="K3657" s="20" t="n">
        <x:v>41.7</x:v>
      </x:c>
      <x:c r="L3657" t="str">
        <x:v>RELATIF LONGGAR</x:v>
      </x:c>
      <x:c r="M3657" t="str">
        <x:v>SEDANG+</x:v>
      </x:c>
      <x:c r="N3657" t="str">
        <x:v>REGULER</x:v>
      </x:c>
      <x:c r="O3657" t="str">
        <x:v>SAINTEK</x:v>
      </x:c>
      <x:c r="P3657" t="str">
        <x:v>BISNIS/EKONOMI/AKUNTANSI</x:v>
      </x:c>
      <x:c r="Q3657" s="18" t="n">
        <x:v>0</x:v>
      </x:c>
      <x:c r="R3657" s="18" t="n">
        <x:v>0</x:v>
      </x:c>
      <x:c r="S3657" s="18" t="n">
        <x:v>520</x:v>
      </x:c>
      <x:c r="T3657" s="18" t="n">
        <x:v>643</x:v>
      </x:c>
      <x:c r="U3657" s="18" t="n">
        <x:v>535</x:v>
      </x:c>
      <x:c r="V3657" s="20" t="n">
        <x:v>12</x:v>
      </x:c>
      <x:c r="W3657" s="20" t="n">
        <x:v>5</x:v>
      </x:c>
      <x:c r="X3657" s="20" t="n">
        <x:v>3</x:v>
      </x:c>
      <x:c r="Y3657" t="str">
        <x:v>Basis arsip 2025/2024</x:v>
      </x:c>
      <x:c r="Z3657" t="str">
        <x:v>https://snpmb.id/utbk-snbt/daya-tampung-snbt</x:v>
      </x:c>
      <x:c r="AA3657" t="str">
        <x:v>Tidak Ada</x:v>
      </x:c>
      <x:c r="AB3657" t="str">
        <x:v>Campus=55; Ratio=0.0; Prodi=65; RelDemand=21.3; Capacity=73.3</x:v>
      </x:c>
    </x:row>
    <x:row r="3658">
      <x:c r="A3658" t="n">
        <x:v>3655</x:v>
      </x:c>
      <x:c r="B3658" t="str">
        <x:v>PTN Akademik</x:v>
      </x:c>
      <x:c r="C3658" t="str">
        <x:v>UNIVERSITAS PATTIMURA</x:v>
      </x:c>
      <x:c r="D3658" t="str">
        <x:v>MATEMATIKA</x:v>
      </x:c>
      <x:c r="E3658" t="str">
        <x:v>Sarjana</x:v>
      </x:c>
      <x:c r="F3658" s="18" t="n">
        <x:v>24</x:v>
      </x:c>
      <x:c r="G3658" s="18" t="n">
        <x:v>10</x:v>
      </x:c>
      <x:c r="H3658" s="19" t="n">
        <x:v>0.4166666666666667</x:v>
      </x:c>
      <x:c r="I3658" s="18" t="n">
        <x:f>ROUND(MIN(Model_Config_v3!$B$6,MAX(Q3658,R3658,S3658*Model_Config_v3!$B$4+T3658*Model_Config_v3!$B$5)),0)</x:f>
        <x:v>603</x:v>
      </x:c>
      <x:c r="J3658" s="18" t="n">
        <x:f>MIN(Model_Config_v3!$B$6,I3658+Model_Config_v3!$B$7)</x:f>
        <x:v>623</x:v>
      </x:c>
      <x:c r="K3658" s="20" t="n">
        <x:v>39.4</x:v>
      </x:c>
      <x:c r="L3658" t="str">
        <x:v>RELATIF LONGGAR</x:v>
      </x:c>
      <x:c r="M3658" t="str">
        <x:v>SEDANG+</x:v>
      </x:c>
      <x:c r="N3658" t="str">
        <x:v>REGULER</x:v>
      </x:c>
      <x:c r="O3658" t="str">
        <x:v>SAINTEK</x:v>
      </x:c>
      <x:c r="P3658" t="str">
        <x:v>SAINS DASAR</x:v>
      </x:c>
      <x:c r="Q3658" s="18" t="n">
        <x:v>0</x:v>
      </x:c>
      <x:c r="R3658" s="18" t="n">
        <x:v>0</x:v>
      </x:c>
      <x:c r="S3658" s="18" t="n">
        <x:v>520</x:v>
      </x:c>
      <x:c r="T3658" s="18" t="n">
        <x:v>639</x:v>
      </x:c>
      <x:c r="U3658" s="18" t="n">
        <x:v>520</x:v>
      </x:c>
      <x:c r="V3658" s="20" t="n">
        <x:v>12</x:v>
      </x:c>
      <x:c r="W3658" s="20" t="n">
        <x:v>5</x:v>
      </x:c>
      <x:c r="X3658" s="20" t="n">
        <x:v>3</x:v>
      </x:c>
      <x:c r="Y3658" t="str">
        <x:v>Basis arsip 2025/2024</x:v>
      </x:c>
      <x:c r="Z3658" t="str">
        <x:v>https://snpmb.id/utbk-snbt/daya-tampung-snbt</x:v>
      </x:c>
      <x:c r="AA3658" t="str">
        <x:v>Tidak Ada</x:v>
      </x:c>
      <x:c r="AB3658" t="str">
        <x:v>Campus=55; Ratio=0.0; Prodi=50; RelDemand=21.8; Capacity=80.0</x:v>
      </x:c>
    </x:row>
    <x:row r="3659">
      <x:c r="A3659" t="n">
        <x:v>3656</x:v>
      </x:c>
      <x:c r="B3659" t="str">
        <x:v>PTN Akademik</x:v>
      </x:c>
      <x:c r="C3659" t="str">
        <x:v>UNIVERSITAS PATTIMURA</x:v>
      </x:c>
      <x:c r="D3659" t="str">
        <x:v>FISIKA</x:v>
      </x:c>
      <x:c r="E3659" t="str">
        <x:v>Sarjana</x:v>
      </x:c>
      <x:c r="F3659" s="18" t="n">
        <x:v>20</x:v>
      </x:c>
      <x:c r="G3659" s="18" t="n">
        <x:v>6</x:v>
      </x:c>
      <x:c r="H3659" s="19" t="n">
        <x:v>0.3</x:v>
      </x:c>
      <x:c r="I3659" s="18" t="n">
        <x:f>ROUND(MIN(Model_Config_v3!$B$6,MAX(Q3659,R3659,S3659*Model_Config_v3!$B$4+T3659*Model_Config_v3!$B$5)),0)</x:f>
        <x:v>603</x:v>
      </x:c>
      <x:c r="J3659" s="18" t="n">
        <x:f>MIN(Model_Config_v3!$B$6,I3659+Model_Config_v3!$B$7)</x:f>
        <x:v>623</x:v>
      </x:c>
      <x:c r="K3659" s="20" t="n">
        <x:v>39.2</x:v>
      </x:c>
      <x:c r="L3659" t="str">
        <x:v>RELATIF LONGGAR</x:v>
      </x:c>
      <x:c r="M3659" t="str">
        <x:v>SEDANG+</x:v>
      </x:c>
      <x:c r="N3659" t="str">
        <x:v>REGULER</x:v>
      </x:c>
      <x:c r="O3659" t="str">
        <x:v>SAINTEK</x:v>
      </x:c>
      <x:c r="P3659" t="str">
        <x:v>SAINS DASAR</x:v>
      </x:c>
      <x:c r="Q3659" s="18" t="n">
        <x:v>0</x:v>
      </x:c>
      <x:c r="R3659" s="18" t="n">
        <x:v>0</x:v>
      </x:c>
      <x:c r="S3659" s="18" t="n">
        <x:v>520</x:v>
      </x:c>
      <x:c r="T3659" s="18" t="n">
        <x:v>638</x:v>
      </x:c>
      <x:c r="U3659" s="18" t="n">
        <x:v>520</x:v>
      </x:c>
      <x:c r="V3659" s="20" t="n">
        <x:v>12</x:v>
      </x:c>
      <x:c r="W3659" s="20" t="n">
        <x:v>5</x:v>
      </x:c>
      <x:c r="X3659" s="20" t="n">
        <x:v>3</x:v>
      </x:c>
      <x:c r="Y3659" t="str">
        <x:v>Basis arsip 2025/2024</x:v>
      </x:c>
      <x:c r="Z3659" t="str">
        <x:v>https://snpmb.id/utbk-snbt/daya-tampung-snbt</x:v>
      </x:c>
      <x:c r="AA3659" t="str">
        <x:v>Tidak Ada</x:v>
      </x:c>
      <x:c r="AB3659" t="str">
        <x:v>Campus=55; Ratio=0.0; Prodi=50; RelDemand=15.7; Capacity=83.3</x:v>
      </x:c>
    </x:row>
    <x:row r="3660">
      <x:c r="A3660" t="n">
        <x:v>3657</x:v>
      </x:c>
      <x:c r="B3660" t="str">
        <x:v>PTN Akademik</x:v>
      </x:c>
      <x:c r="C3660" t="str">
        <x:v>UNIVERSITAS PATTIMURA</x:v>
      </x:c>
      <x:c r="D3660" t="str">
        <x:v>KIMIA</x:v>
      </x:c>
      <x:c r="E3660" t="str">
        <x:v>Sarjana</x:v>
      </x:c>
      <x:c r="F3660" s="18" t="n">
        <x:v>16</x:v>
      </x:c>
      <x:c r="G3660" s="18" t="n">
        <x:v>7</x:v>
      </x:c>
      <x:c r="H3660" s="19" t="n">
        <x:v>0.4375</x:v>
      </x:c>
      <x:c r="I3660" s="18" t="n">
        <x:f>ROUND(MIN(Model_Config_v3!$B$6,MAX(Q3660,R3660,S3660*Model_Config_v3!$B$4+T3660*Model_Config_v3!$B$5)),0)</x:f>
        <x:v>604</x:v>
      </x:c>
      <x:c r="J3660" s="18" t="n">
        <x:f>MIN(Model_Config_v3!$B$6,I3660+Model_Config_v3!$B$7)</x:f>
        <x:v>624</x:v>
      </x:c>
      <x:c r="K3660" s="20" t="n">
        <x:v>40.2</x:v>
      </x:c>
      <x:c r="L3660" t="str">
        <x:v>RELATIF LONGGAR</x:v>
      </x:c>
      <x:c r="M3660" t="str">
        <x:v>SEDANG+</x:v>
      </x:c>
      <x:c r="N3660" t="str">
        <x:v>REGULER</x:v>
      </x:c>
      <x:c r="O3660" t="str">
        <x:v>SAINTEK</x:v>
      </x:c>
      <x:c r="P3660" t="str">
        <x:v>SAINS DASAR</x:v>
      </x:c>
      <x:c r="Q3660" s="18" t="n">
        <x:v>0</x:v>
      </x:c>
      <x:c r="R3660" s="18" t="n">
        <x:v>0</x:v>
      </x:c>
      <x:c r="S3660" s="18" t="n">
        <x:v>520</x:v>
      </x:c>
      <x:c r="T3660" s="18" t="n">
        <x:v>640</x:v>
      </x:c>
      <x:c r="U3660" s="18" t="n">
        <x:v>520</x:v>
      </x:c>
      <x:c r="V3660" s="20" t="n">
        <x:v>12</x:v>
      </x:c>
      <x:c r="W3660" s="20" t="n">
        <x:v>5</x:v>
      </x:c>
      <x:c r="X3660" s="20" t="n">
        <x:v>3</x:v>
      </x:c>
      <x:c r="Y3660" t="str">
        <x:v>Basis arsip 2025/2024</x:v>
      </x:c>
      <x:c r="Z3660" t="str">
        <x:v>https://snpmb.id/utbk-snbt/daya-tampung-snbt</x:v>
      </x:c>
      <x:c r="AA3660" t="str">
        <x:v>Tidak Ada</x:v>
      </x:c>
      <x:c r="AB3660" t="str">
        <x:v>Campus=55; Ratio=0.0; Prodi=50; RelDemand=22.9; Capacity=86.7</x:v>
      </x:c>
    </x:row>
    <x:row r="3661">
      <x:c r="A3661" t="n">
        <x:v>3658</x:v>
      </x:c>
      <x:c r="B3661" t="str">
        <x:v>PTN Akademik</x:v>
      </x:c>
      <x:c r="C3661" t="str">
        <x:v>UNIVERSITAS PATTIMURA</x:v>
      </x:c>
      <x:c r="D3661" t="str">
        <x:v>BIOLOGI</x:v>
      </x:c>
      <x:c r="E3661" t="str">
        <x:v>Sarjana</x:v>
      </x:c>
      <x:c r="F3661" s="18" t="n">
        <x:v>24</x:v>
      </x:c>
      <x:c r="G3661" s="18" t="n">
        <x:v>13</x:v>
      </x:c>
      <x:c r="H3661" s="19" t="n">
        <x:v>0.5416666666666666</x:v>
      </x:c>
      <x:c r="I3661" s="18" t="n">
        <x:f>ROUND(MIN(Model_Config_v3!$B$6,MAX(Q3661,R3661,S3661*Model_Config_v3!$B$4+T3661*Model_Config_v3!$B$5)),0)</x:f>
        <x:v>604</x:v>
      </x:c>
      <x:c r="J3661" s="18" t="n">
        <x:f>MIN(Model_Config_v3!$B$6,I3661+Model_Config_v3!$B$7)</x:f>
        <x:v>624</x:v>
      </x:c>
      <x:c r="K3661" s="20" t="n">
        <x:v>40.1</x:v>
      </x:c>
      <x:c r="L3661" t="str">
        <x:v>RELATIF LONGGAR</x:v>
      </x:c>
      <x:c r="M3661" t="str">
        <x:v>SEDANG+</x:v>
      </x:c>
      <x:c r="N3661" t="str">
        <x:v>REGULER</x:v>
      </x:c>
      <x:c r="O3661" t="str">
        <x:v>SAINTEK</x:v>
      </x:c>
      <x:c r="P3661" t="str">
        <x:v>SAINS DASAR</x:v>
      </x:c>
      <x:c r="Q3661" s="18" t="n">
        <x:v>0</x:v>
      </x:c>
      <x:c r="R3661" s="18" t="n">
        <x:v>0</x:v>
      </x:c>
      <x:c r="S3661" s="18" t="n">
        <x:v>520</x:v>
      </x:c>
      <x:c r="T3661" s="18" t="n">
        <x:v>640</x:v>
      </x:c>
      <x:c r="U3661" s="18" t="n">
        <x:v>520</x:v>
      </x:c>
      <x:c r="V3661" s="20" t="n">
        <x:v>12</x:v>
      </x:c>
      <x:c r="W3661" s="20" t="n">
        <x:v>5</x:v>
      </x:c>
      <x:c r="X3661" s="20" t="n">
        <x:v>3</x:v>
      </x:c>
      <x:c r="Y3661" t="str">
        <x:v>Basis arsip 2025/2024</x:v>
      </x:c>
      <x:c r="Z3661" t="str">
        <x:v>https://snpmb.id/utbk-snbt/daya-tampung-snbt</x:v>
      </x:c>
      <x:c r="AA3661" t="str">
        <x:v>Tidak Ada</x:v>
      </x:c>
      <x:c r="AB3661" t="str">
        <x:v>Campus=55; Ratio=0.0; Prodi=50; RelDemand=28.3; Capacity=80.0</x:v>
      </x:c>
    </x:row>
    <x:row r="3662">
      <x:c r="A3662" t="n">
        <x:v>3659</x:v>
      </x:c>
      <x:c r="B3662" t="str">
        <x:v>PTN Akademik</x:v>
      </x:c>
      <x:c r="C3662" t="str">
        <x:v>UNIVERSITAS PATTIMURA</x:v>
      </x:c>
      <x:c r="D3662" t="str">
        <x:v>PENDIDIKAN DOKTER</x:v>
      </x:c>
      <x:c r="E3662" t="str">
        <x:v>Sarjana</x:v>
      </x:c>
      <x:c r="F3662" s="18" t="n">
        <x:v>60</x:v>
      </x:c>
      <x:c r="G3662" s="18" t="n">
        <x:v>689</x:v>
      </x:c>
      <x:c r="H3662" s="19" t="n">
        <x:v>11.483333333333333</x:v>
      </x:c>
      <x:c r="I3662" s="18" t="n">
        <x:f>ROUND(MIN(Model_Config_v3!$B$6,MAX(Q3662,R3662,S3662*Model_Config_v3!$B$4+T3662*Model_Config_v3!$B$5)),0)</x:f>
        <x:v>681</x:v>
      </x:c>
      <x:c r="J3662" s="18" t="n">
        <x:f>MIN(Model_Config_v3!$B$6,I3662+Model_Config_v3!$B$7)</x:f>
        <x:v>701</x:v>
      </x:c>
      <x:c r="K3662" s="20" t="n">
        <x:v>69.8</x:v>
      </x:c>
      <x:c r="L3662" t="str">
        <x:v>SANGAT KETAT</x:v>
      </x:c>
      <x:c r="M3662" t="str">
        <x:v>SEDANG+</x:v>
      </x:c>
      <x:c r="N3662" t="str">
        <x:v>REGULER</x:v>
      </x:c>
      <x:c r="O3662" t="str">
        <x:v>SAINTEK</x:v>
      </x:c>
      <x:c r="P3662" t="str">
        <x:v>KEDOKTERAN</x:v>
      </x:c>
      <x:c r="Q3662" s="18" t="n">
        <x:v>0</x:v>
      </x:c>
      <x:c r="R3662" s="18" t="n">
        <x:v>680</x:v>
      </x:c>
      <x:c r="S3662" s="18" t="n">
        <x:v>636.6074768676381</x:v>
      </x:c>
      <x:c r="T3662" s="18" t="n">
        <x:v>700</x:v>
      </x:c>
      <x:c r="U3662" s="18" t="n">
        <x:v>680</x:v>
      </x:c>
      <x:c r="V3662" s="20" t="n">
        <x:v>12</x:v>
      </x:c>
      <x:c r="W3662" s="20" t="n">
        <x:v>5</x:v>
      </x:c>
      <x:c r="X3662" s="20" t="n">
        <x:v>3</x:v>
      </x:c>
      <x:c r="Y3662" t="str">
        <x:v>Basis arsip 2025/2024</x:v>
      </x:c>
      <x:c r="Z3662" t="str">
        <x:v>https://snpmb.id/utbk-snbt/daya-tampung-snbt</x:v>
      </x:c>
      <x:c r="AA3662" t="str">
        <x:v>Tidak Ada</x:v>
      </x:c>
      <x:c r="AB3662" t="str">
        <x:v>Campus=55; Ratio=62.4; Prodi=100; RelDemand=100.0; Capacity=50.0</x:v>
      </x:c>
    </x:row>
    <x:row r="3663">
      <x:c r="A3663" t="n">
        <x:v>3660</x:v>
      </x:c>
      <x:c r="B3663" t="str">
        <x:v>PTN Akademik</x:v>
      </x:c>
      <x:c r="C3663" t="str">
        <x:v>UNIVERSITAS PATTIMURA</x:v>
      </x:c>
      <x:c r="D3663" t="str">
        <x:v>PERENCANAAN WILAYAH DAN KOTA</x:v>
      </x:c>
      <x:c r="E3663" t="str">
        <x:v>Sarjana</x:v>
      </x:c>
      <x:c r="F3663" s="18" t="n">
        <x:v>40</x:v>
      </x:c>
      <x:c r="G3663" s="18" t="n">
        <x:v>29</x:v>
      </x:c>
      <x:c r="H3663" s="19" t="n">
        <x:v>0.725</x:v>
      </x:c>
      <x:c r="I3663" s="18" t="n">
        <x:f>ROUND(MIN(Model_Config_v3!$B$6,MAX(Q3663,R3663,S3663*Model_Config_v3!$B$4+T3663*Model_Config_v3!$B$5)),0)</x:f>
        <x:v>601</x:v>
      </x:c>
      <x:c r="J3663" s="18" t="n">
        <x:f>MIN(Model_Config_v3!$B$6,I3663+Model_Config_v3!$B$7)</x:f>
        <x:v>621</x:v>
      </x:c>
      <x:c r="K3663" s="20" t="n">
        <x:v>37.7</x:v>
      </x:c>
      <x:c r="L3663" t="str">
        <x:v>RELATIF LONGGAR</x:v>
      </x:c>
      <x:c r="M3663" t="str">
        <x:v>SEDANG</x:v>
      </x:c>
      <x:c r="N3663" t="str">
        <x:v>REGULER</x:v>
      </x:c>
      <x:c r="O3663" t="str">
        <x:v>CAMPURAN</x:v>
      </x:c>
      <x:c r="P3663" t="str">
        <x:v>UMUM</x:v>
      </x:c>
      <x:c r="Q3663" s="18" t="n">
        <x:v>0</x:v>
      </x:c>
      <x:c r="R3663" s="18" t="n">
        <x:v>0</x:v>
      </x:c>
      <x:c r="S3663" s="18" t="n">
        <x:v>520</x:v>
      </x:c>
      <x:c r="T3663" s="18" t="n">
        <x:v>635</x:v>
      </x:c>
      <x:c r="U3663" s="18" t="n">
        <x:v>520</x:v>
      </x:c>
      <x:c r="V3663" s="20" t="n">
        <x:v>8.8</x:v>
      </x:c>
      <x:c r="W3663" s="20" t="n">
        <x:v>9.9</x:v>
      </x:c>
      <x:c r="X3663" s="20" t="n">
        <x:v>3.3</x:v>
      </x:c>
      <x:c r="Y3663" t="str">
        <x:v>Basis arsip 2025/2024</x:v>
      </x:c>
      <x:c r="Z3663" t="str">
        <x:v>https://snpmb.id/utbk-snbt/daya-tampung-snbt</x:v>
      </x:c>
      <x:c r="AA3663" t="str">
        <x:v>Tidak Ada</x:v>
      </x:c>
      <x:c r="AB3663" t="str">
        <x:v>Campus=55; Ratio=0.0; Prodi=40; RelDemand=37.9; Capacity=66.7</x:v>
      </x:c>
    </x:row>
    <x:row r="3664">
      <x:c r="A3664" t="n">
        <x:v>3661</x:v>
      </x:c>
      <x:c r="B3664" t="str">
        <x:v>PTN Akademik</x:v>
      </x:c>
      <x:c r="C3664" t="str">
        <x:v>UNIVERSITAS PATTIMURA</x:v>
      </x:c>
      <x:c r="D3664" t="str">
        <x:v>TEKNIK SIPIL</x:v>
      </x:c>
      <x:c r="E3664" t="str">
        <x:v>Sarjana</x:v>
      </x:c>
      <x:c r="F3664" s="18" t="n">
        <x:v>40</x:v>
      </x:c>
      <x:c r="G3664" s="18" t="n">
        <x:v>122</x:v>
      </x:c>
      <x:c r="H3664" s="19" t="n">
        <x:v>3.05</x:v>
      </x:c>
      <x:c r="I3664" s="18" t="n">
        <x:f>ROUND(MIN(Model_Config_v3!$B$6,MAX(Q3664,R3664,S3664*Model_Config_v3!$B$4+T3664*Model_Config_v3!$B$5)),0)</x:f>
        <x:v>641</x:v>
      </x:c>
      <x:c r="J3664" s="18" t="n">
        <x:f>MIN(Model_Config_v3!$B$6,I3664+Model_Config_v3!$B$7)</x:f>
        <x:v>661</x:v>
      </x:c>
      <x:c r="K3664" s="20" t="n">
        <x:v>55</x:v>
      </x:c>
      <x:c r="L3664" t="str">
        <x:v>KETAT</x:v>
      </x:c>
      <x:c r="M3664" t="str">
        <x:v>SEDANG+</x:v>
      </x:c>
      <x:c r="N3664" t="str">
        <x:v>REGULER</x:v>
      </x:c>
      <x:c r="O3664" t="str">
        <x:v>SAINTEK</x:v>
      </x:c>
      <x:c r="P3664" t="str">
        <x:v>TEKNIK/ARSITEKTUR/STATISTIKA/AKTUARIA</x:v>
      </x:c>
      <x:c r="Q3664" s="18" t="n">
        <x:v>0</x:v>
      </x:c>
      <x:c r="R3664" s="18" t="n">
        <x:v>0</x:v>
      </x:c>
      <x:c r="S3664" s="18" t="n">
        <x:v>573.2729823281464</x:v>
      </x:c>
      <x:c r="T3664" s="18" t="n">
        <x:v>670</x:v>
      </x:c>
      <x:c r="U3664" s="18" t="n">
        <x:v>583.2729823281464</x:v>
      </x:c>
      <x:c r="V3664" s="20" t="n">
        <x:v>12</x:v>
      </x:c>
      <x:c r="W3664" s="20" t="n">
        <x:v>5</x:v>
      </x:c>
      <x:c r="X3664" s="20" t="n">
        <x:v>3</x:v>
      </x:c>
      <x:c r="Y3664" t="str">
        <x:v>Basis arsip 2025/2024</x:v>
      </x:c>
      <x:c r="Z3664" t="str">
        <x:v>https://snpmb.id/utbk-snbt/daya-tampung-snbt</x:v>
      </x:c>
      <x:c r="AA3664" t="str">
        <x:v>Tidak Ada</x:v>
      </x:c>
      <x:c r="AB3664" t="str">
        <x:v>Campus=55; Ratio=28.5; Prodi=60; RelDemand=100.0; Capacity=66.7</x:v>
      </x:c>
    </x:row>
    <x:row r="3665">
      <x:c r="A3665" t="n">
        <x:v>3662</x:v>
      </x:c>
      <x:c r="B3665" t="str">
        <x:v>PTN Akademik</x:v>
      </x:c>
      <x:c r="C3665" t="str">
        <x:v>UNIVERSITAS PATTIMURA</x:v>
      </x:c>
      <x:c r="D3665" t="str">
        <x:v>PEMULIAAN TANAMAN</x:v>
      </x:c>
      <x:c r="E3665" t="str">
        <x:v>Sarjana</x:v>
      </x:c>
      <x:c r="F3665" s="18" t="n">
        <x:v>8</x:v>
      </x:c>
      <x:c r="G3665" s="18"/>
      <x:c r="H3665" s="19" t="n">
        <x:v>0</x:v>
      </x:c>
      <x:c r="I3665" s="18" t="n">
        <x:f>ROUND(MIN(Model_Config_v3!$B$6,MAX(Q3665,R3665,S3665*Model_Config_v3!$B$4+T3665*Model_Config_v3!$B$5)),0)</x:f>
        <x:v>599</x:v>
      </x:c>
      <x:c r="J3665" s="18" t="n">
        <x:f>MIN(Model_Config_v3!$B$6,I3665+Model_Config_v3!$B$7)</x:f>
        <x:v>619</x:v>
      </x:c>
      <x:c r="K3665" s="20" t="n">
        <x:v>36.6</x:v>
      </x:c>
      <x:c r="L3665" t="str">
        <x:v>RELATIF LONGGAR</x:v>
      </x:c>
      <x:c r="M3665" t="str">
        <x:v>RENDAH</x:v>
      </x:c>
      <x:c r="N3665" t="str">
        <x:v>REGULER</x:v>
      </x:c>
      <x:c r="O3665" t="str">
        <x:v>CAMPURAN</x:v>
      </x:c>
      <x:c r="P3665" t="str">
        <x:v>UMUM</x:v>
      </x:c>
      <x:c r="Q3665" s="18" t="n">
        <x:v>0</x:v>
      </x:c>
      <x:c r="R3665" s="18" t="n">
        <x:v>0</x:v>
      </x:c>
      <x:c r="S3665" s="18" t="n">
        <x:v>520</x:v>
      </x:c>
      <x:c r="T3665" s="18" t="n">
        <x:v>633</x:v>
      </x:c>
      <x:c r="U3665" s="18" t="n">
        <x:v>520</x:v>
      </x:c>
      <x:c r="V3665" s="20" t="n">
        <x:v>8.8</x:v>
      </x:c>
      <x:c r="W3665" s="20" t="n">
        <x:v>9.9</x:v>
      </x:c>
      <x:c r="X3665" s="20" t="n">
        <x:v>3.3</x:v>
      </x:c>
      <x:c r="Y3665" t="str">
        <x:v>Basis arsip 2025/2024</x:v>
      </x:c>
      <x:c r="Z3665" t="str">
        <x:v>https://snpmb.id/utbk-snbt/daya-tampung-snbt</x:v>
      </x:c>
      <x:c r="AA3665" t="str">
        <x:v>Tidak Ada</x:v>
      </x:c>
      <x:c r="AB3665" t="str">
        <x:v>Campus=55; Ratio=0.0; Prodi=40; RelDemand=0.0; Capacity=93.3</x:v>
      </x:c>
    </x:row>
    <x:row r="3666">
      <x:c r="A3666" t="n">
        <x:v>3663</x:v>
      </x:c>
      <x:c r="B3666" t="str">
        <x:v>PTN Akademik</x:v>
      </x:c>
      <x:c r="C3666" t="str">
        <x:v>UNIVERSITAS PATTIMURA</x:v>
      </x:c>
      <x:c r="D3666" t="str">
        <x:v>ILMU TANAH</x:v>
      </x:c>
      <x:c r="E3666" t="str">
        <x:v>Sarjana</x:v>
      </x:c>
      <x:c r="F3666" s="18" t="n">
        <x:v>11</x:v>
      </x:c>
      <x:c r="G3666" s="18"/>
      <x:c r="H3666" s="19" t="n">
        <x:v>0</x:v>
      </x:c>
      <x:c r="I3666" s="18" t="n">
        <x:f>ROUND(MIN(Model_Config_v3!$B$6,MAX(Q3666,R3666,S3666*Model_Config_v3!$B$4+T3666*Model_Config_v3!$B$5)),0)</x:f>
        <x:v>599</x:v>
      </x:c>
      <x:c r="J3666" s="18" t="n">
        <x:f>MIN(Model_Config_v3!$B$6,I3666+Model_Config_v3!$B$7)</x:f>
        <x:v>619</x:v>
      </x:c>
      <x:c r="K3666" s="20" t="n">
        <x:v>36.3</x:v>
      </x:c>
      <x:c r="L3666" t="str">
        <x:v>RELATIF LONGGAR</x:v>
      </x:c>
      <x:c r="M3666" t="str">
        <x:v>RENDAH</x:v>
      </x:c>
      <x:c r="N3666" t="str">
        <x:v>REGULER</x:v>
      </x:c>
      <x:c r="O3666" t="str">
        <x:v>CAMPURAN</x:v>
      </x:c>
      <x:c r="P3666" t="str">
        <x:v>UMUM</x:v>
      </x:c>
      <x:c r="Q3666" s="18" t="n">
        <x:v>0</x:v>
      </x:c>
      <x:c r="R3666" s="18" t="n">
        <x:v>0</x:v>
      </x:c>
      <x:c r="S3666" s="18" t="n">
        <x:v>520</x:v>
      </x:c>
      <x:c r="T3666" s="18" t="n">
        <x:v>633</x:v>
      </x:c>
      <x:c r="U3666" s="18" t="n">
        <x:v>520</x:v>
      </x:c>
      <x:c r="V3666" s="20" t="n">
        <x:v>8.8</x:v>
      </x:c>
      <x:c r="W3666" s="20" t="n">
        <x:v>9.9</x:v>
      </x:c>
      <x:c r="X3666" s="20" t="n">
        <x:v>3.3</x:v>
      </x:c>
      <x:c r="Y3666" t="str">
        <x:v>Basis arsip 2025/2024</x:v>
      </x:c>
      <x:c r="Z3666" t="str">
        <x:v>https://snpmb.id/utbk-snbt/daya-tampung-snbt</x:v>
      </x:c>
      <x:c r="AA3666" t="str">
        <x:v>Tidak Ada</x:v>
      </x:c>
      <x:c r="AB3666" t="str">
        <x:v>Campus=55; Ratio=0.0; Prodi=40; RelDemand=0.0; Capacity=90.8</x:v>
      </x:c>
    </x:row>
    <x:row r="3667">
      <x:c r="A3667" t="n">
        <x:v>3664</x:v>
      </x:c>
      <x:c r="B3667" t="str">
        <x:v>PTN Akademik</x:v>
      </x:c>
      <x:c r="C3667" t="str">
        <x:v>UNIVERSITAS PATTIMURA</x:v>
      </x:c>
      <x:c r="D3667" t="str">
        <x:v>TEKNIK GEOLOGI</x:v>
      </x:c>
      <x:c r="E3667" t="str">
        <x:v>Sarjana</x:v>
      </x:c>
      <x:c r="F3667" s="18" t="n">
        <x:v>20</x:v>
      </x:c>
      <x:c r="G3667" s="18" t="n">
        <x:v>53</x:v>
      </x:c>
      <x:c r="H3667" s="19" t="n">
        <x:v>2.65</x:v>
      </x:c>
      <x:c r="I3667" s="18" t="n">
        <x:f>ROUND(MIN(Model_Config_v3!$B$6,MAX(Q3667,R3667,S3667*Model_Config_v3!$B$4+T3667*Model_Config_v3!$B$5)),0)</x:f>
        <x:v>640</x:v>
      </x:c>
      <x:c r="J3667" s="18" t="n">
        <x:f>MIN(Model_Config_v3!$B$6,I3667+Model_Config_v3!$B$7)</x:f>
        <x:v>660</x:v>
      </x:c>
      <x:c r="K3667" s="20" t="n">
        <x:v>55.8</x:v>
      </x:c>
      <x:c r="L3667" t="str">
        <x:v>KETAT</x:v>
      </x:c>
      <x:c r="M3667" t="str">
        <x:v>SEDANG+</x:v>
      </x:c>
      <x:c r="N3667" t="str">
        <x:v>REGULER</x:v>
      </x:c>
      <x:c r="O3667" t="str">
        <x:v>SAINTEK</x:v>
      </x:c>
      <x:c r="P3667" t="str">
        <x:v>TEKNIK/ARSITEKTUR/STATISTIKA/AKTUARIA</x:v>
      </x:c>
      <x:c r="Q3667" s="18" t="n">
        <x:v>0</x:v>
      </x:c>
      <x:c r="R3667" s="18" t="n">
        <x:v>0</x:v>
      </x:c>
      <x:c r="S3667" s="18" t="n">
        <x:v>566.5570461330489</x:v>
      </x:c>
      <x:c r="T3667" s="18" t="n">
        <x:v>672</x:v>
      </x:c>
      <x:c r="U3667" s="18" t="n">
        <x:v>576.5570461330489</x:v>
      </x:c>
      <x:c r="V3667" s="20" t="n">
        <x:v>12</x:v>
      </x:c>
      <x:c r="W3667" s="20" t="n">
        <x:v>5</x:v>
      </x:c>
      <x:c r="X3667" s="20" t="n">
        <x:v>3</x:v>
      </x:c>
      <x:c r="Y3667" t="str">
        <x:v>Basis arsip 2025/2024</x:v>
      </x:c>
      <x:c r="Z3667" t="str">
        <x:v>https://snpmb.id/utbk-snbt/daya-tampung-snbt</x:v>
      </x:c>
      <x:c r="AA3667" t="str">
        <x:v>Tidak Ada</x:v>
      </x:c>
      <x:c r="AB3667" t="str">
        <x:v>Campus=55; Ratio=24.9; Prodi=60; RelDemand=100.0; Capacity=83.3</x:v>
      </x:c>
    </x:row>
    <x:row r="3668">
      <x:c r="A3668" t="n">
        <x:v>3665</x:v>
      </x:c>
      <x:c r="B3668" t="str">
        <x:v>PTN Akademik</x:v>
      </x:c>
      <x:c r="C3668" t="str">
        <x:v>UNIVERSITAS PATTIMURA</x:v>
      </x:c>
      <x:c r="D3668" t="str">
        <x:v>STATISTIKA</x:v>
      </x:c>
      <x:c r="E3668" t="str">
        <x:v>Sarjana</x:v>
      </x:c>
      <x:c r="F3668" s="18" t="n">
        <x:v>40</x:v>
      </x:c>
      <x:c r="G3668" s="18" t="n">
        <x:v>38</x:v>
      </x:c>
      <x:c r="H3668" s="19" t="n">
        <x:v>0.95</x:v>
      </x:c>
      <x:c r="I3668" s="18" t="n">
        <x:f>ROUND(MIN(Model_Config_v3!$B$6,MAX(Q3668,R3668,S3668*Model_Config_v3!$B$4+T3668*Model_Config_v3!$B$5)),0)</x:f>
        <x:v>608</x:v>
      </x:c>
      <x:c r="J3668" s="18" t="n">
        <x:f>MIN(Model_Config_v3!$B$6,I3668+Model_Config_v3!$B$7)</x:f>
        <x:v>628</x:v>
      </x:c>
      <x:c r="K3668" s="20" t="n">
        <x:v>42.9</x:v>
      </x:c>
      <x:c r="L3668" t="str">
        <x:v>RELATIF LONGGAR</x:v>
      </x:c>
      <x:c r="M3668" t="str">
        <x:v>SEDANG+</x:v>
      </x:c>
      <x:c r="N3668" t="str">
        <x:v>REGULER</x:v>
      </x:c>
      <x:c r="O3668" t="str">
        <x:v>SAINTEK</x:v>
      </x:c>
      <x:c r="P3668" t="str">
        <x:v>TEKNIK/ARSITEKTUR/STATISTIKA/AKTUARIA</x:v>
      </x:c>
      <x:c r="Q3668" s="18" t="n">
        <x:v>0</x:v>
      </x:c>
      <x:c r="R3668" s="18" t="n">
        <x:v>0</x:v>
      </x:c>
      <x:c r="S3668" s="18" t="n">
        <x:v>520</x:v>
      </x:c>
      <x:c r="T3668" s="18" t="n">
        <x:v>646</x:v>
      </x:c>
      <x:c r="U3668" s="18" t="n">
        <x:v>530</x:v>
      </x:c>
      <x:c r="V3668" s="20" t="n">
        <x:v>12</x:v>
      </x:c>
      <x:c r="W3668" s="20" t="n">
        <x:v>5</x:v>
      </x:c>
      <x:c r="X3668" s="20" t="n">
        <x:v>3</x:v>
      </x:c>
      <x:c r="Y3668" t="str">
        <x:v>Basis arsip 2025/2024</x:v>
      </x:c>
      <x:c r="Z3668" t="str">
        <x:v>https://snpmb.id/utbk-snbt/daya-tampung-snbt</x:v>
      </x:c>
      <x:c r="AA3668" t="str">
        <x:v>Tidak Ada</x:v>
      </x:c>
      <x:c r="AB3668" t="str">
        <x:v>Campus=55; Ratio=0.0; Prodi=60; RelDemand=49.7; Capacity=66.7</x:v>
      </x:c>
    </x:row>
    <x:row r="3669">
      <x:c r="A3669" t="n">
        <x:v>3666</x:v>
      </x:c>
      <x:c r="B3669" t="str">
        <x:v>PTN Akademik</x:v>
      </x:c>
      <x:c r="C3669" t="str">
        <x:v>UNIVERSITAS PATTIMURA</x:v>
      </x:c>
      <x:c r="D3669" t="str">
        <x:v>PETERNAKAN (PSDKU KAB. MBD)</x:v>
      </x:c>
      <x:c r="E3669" t="str">
        <x:v>Sarjana</x:v>
      </x:c>
      <x:c r="F3669" s="18" t="n">
        <x:v>12</x:v>
      </x:c>
      <x:c r="G3669" s="18"/>
      <x:c r="H3669" s="19" t="n">
        <x:v>0</x:v>
      </x:c>
      <x:c r="I3669" s="18" t="n">
        <x:f>ROUND(MIN(Model_Config_v3!$B$6,MAX(Q3669,R3669,S3669*Model_Config_v3!$B$4+T3669*Model_Config_v3!$B$5)),0)</x:f>
        <x:v>598</x:v>
      </x:c>
      <x:c r="J3669" s="18" t="n">
        <x:f>MIN(Model_Config_v3!$B$6,I3669+Model_Config_v3!$B$7)</x:f>
        <x:v>618</x:v>
      </x:c>
      <x:c r="K3669" s="20" t="n">
        <x:v>36.2</x:v>
      </x:c>
      <x:c r="L3669" t="str">
        <x:v>RELATIF LONGGAR</x:v>
      </x:c>
      <x:c r="M3669" t="str">
        <x:v>RENDAH</x:v>
      </x:c>
      <x:c r="N3669" t="str">
        <x:v>REGULER</x:v>
      </x:c>
      <x:c r="O3669" t="str">
        <x:v>SAINTEK</x:v>
      </x:c>
      <x:c r="P3669" t="str">
        <x:v>UMUM</x:v>
      </x:c>
      <x:c r="Q3669" s="18" t="n">
        <x:v>0</x:v>
      </x:c>
      <x:c r="R3669" s="18" t="n">
        <x:v>0</x:v>
      </x:c>
      <x:c r="S3669" s="18" t="n">
        <x:v>520</x:v>
      </x:c>
      <x:c r="T3669" s="18" t="n">
        <x:v>632</x:v>
      </x:c>
      <x:c r="U3669" s="18" t="n">
        <x:v>520</x:v>
      </x:c>
      <x:c r="V3669" s="20" t="n">
        <x:v>12</x:v>
      </x:c>
      <x:c r="W3669" s="20" t="n">
        <x:v>5</x:v>
      </x:c>
      <x:c r="X3669" s="20" t="n">
        <x:v>3</x:v>
      </x:c>
      <x:c r="Y3669" t="str">
        <x:v>Basis arsip 2025/2024</x:v>
      </x:c>
      <x:c r="Z3669" t="str">
        <x:v>https://snpmb.id/utbk-snbt/daya-tampung-snbt</x:v>
      </x:c>
      <x:c r="AA3669" t="str">
        <x:v>Tidak Ada</x:v>
      </x:c>
      <x:c r="AB3669" t="str">
        <x:v>Campus=55; Ratio=0.0; Prodi=40; RelDemand=0.0; Capacity=90.0</x:v>
      </x:c>
    </x:row>
    <x:row r="3670">
      <x:c r="A3670" t="n">
        <x:v>3667</x:v>
      </x:c>
      <x:c r="B3670" t="str">
        <x:v>PTN Akademik</x:v>
      </x:c>
      <x:c r="C3670" t="str">
        <x:v>UNIVERSITAS PATTIMURA</x:v>
      </x:c>
      <x:c r="D3670" t="str">
        <x:v>PENDIDIKAN MATEMATIKA (PSDKU KAB. MBD)</x:v>
      </x:c>
      <x:c r="E3670" t="str">
        <x:v>Sarjana</x:v>
      </x:c>
      <x:c r="F3670" s="18" t="n">
        <x:v>15</x:v>
      </x:c>
      <x:c r="G3670" s="18"/>
      <x:c r="H3670" s="19" t="n">
        <x:v>0</x:v>
      </x:c>
      <x:c r="I3670" s="18" t="n">
        <x:f>ROUND(MIN(Model_Config_v3!$B$6,MAX(Q3670,R3670,S3670*Model_Config_v3!$B$4+T3670*Model_Config_v3!$B$5)),0)</x:f>
        <x:v>600</x:v>
      </x:c>
      <x:c r="J3670" s="18" t="n">
        <x:f>MIN(Model_Config_v3!$B$6,I3670+Model_Config_v3!$B$7)</x:f>
        <x:v>620</x:v>
      </x:c>
      <x:c r="K3670" s="20" t="n">
        <x:v>37</x:v>
      </x:c>
      <x:c r="L3670" t="str">
        <x:v>RELATIF LONGGAR</x:v>
      </x:c>
      <x:c r="M3670" t="str">
        <x:v>RENDAH</x:v>
      </x:c>
      <x:c r="N3670" t="str">
        <x:v>REGULER</x:v>
      </x:c>
      <x:c r="O3670" t="str">
        <x:v>SAINTEK</x:v>
      </x:c>
      <x:c r="P3670" t="str">
        <x:v>PENDIDIKAN</x:v>
      </x:c>
      <x:c r="Q3670" s="18" t="n">
        <x:v>0</x:v>
      </x:c>
      <x:c r="R3670" s="18" t="n">
        <x:v>0</x:v>
      </x:c>
      <x:c r="S3670" s="18" t="n">
        <x:v>520</x:v>
      </x:c>
      <x:c r="T3670" s="18" t="n">
        <x:v>634</x:v>
      </x:c>
      <x:c r="U3670" s="18" t="n">
        <x:v>520</x:v>
      </x:c>
      <x:c r="V3670" s="20" t="n">
        <x:v>12</x:v>
      </x:c>
      <x:c r="W3670" s="20" t="n">
        <x:v>5</x:v>
      </x:c>
      <x:c r="X3670" s="20" t="n">
        <x:v>3</x:v>
      </x:c>
      <x:c r="Y3670" t="str">
        <x:v>Basis arsip 2025/2024</x:v>
      </x:c>
      <x:c r="Z3670" t="str">
        <x:v>https://snpmb.id/utbk-snbt/daya-tampung-snbt</x:v>
      </x:c>
      <x:c r="AA3670" t="str">
        <x:v>Tidak Ada</x:v>
      </x:c>
      <x:c r="AB3670" t="str">
        <x:v>Campus=55; Ratio=0.0; Prodi=45; RelDemand=0.0; Capacity=87.5</x:v>
      </x:c>
    </x:row>
    <x:row r="3671">
      <x:c r="A3671" t="n">
        <x:v>3668</x:v>
      </x:c>
      <x:c r="B3671" t="str">
        <x:v>PTN Akademik</x:v>
      </x:c>
      <x:c r="C3671" t="str">
        <x:v>UNIVERSITAS PATTIMURA</x:v>
      </x:c>
      <x:c r="D3671" t="str">
        <x:v>PENDIDIKAN MATEMATIKA (PSDKU KAB. ARU)</x:v>
      </x:c>
      <x:c r="E3671" t="str">
        <x:v>Sarjana</x:v>
      </x:c>
      <x:c r="F3671" s="18" t="n">
        <x:v>15</x:v>
      </x:c>
      <x:c r="G3671" s="18"/>
      <x:c r="H3671" s="19" t="n">
        <x:v>0</x:v>
      </x:c>
      <x:c r="I3671" s="18" t="n">
        <x:f>ROUND(MIN(Model_Config_v3!$B$6,MAX(Q3671,R3671,S3671*Model_Config_v3!$B$4+T3671*Model_Config_v3!$B$5)),0)</x:f>
        <x:v>600</x:v>
      </x:c>
      <x:c r="J3671" s="18" t="n">
        <x:f>MIN(Model_Config_v3!$B$6,I3671+Model_Config_v3!$B$7)</x:f>
        <x:v>620</x:v>
      </x:c>
      <x:c r="K3671" s="20" t="n">
        <x:v>37</x:v>
      </x:c>
      <x:c r="L3671" t="str">
        <x:v>RELATIF LONGGAR</x:v>
      </x:c>
      <x:c r="M3671" t="str">
        <x:v>RENDAH</x:v>
      </x:c>
      <x:c r="N3671" t="str">
        <x:v>REGULER</x:v>
      </x:c>
      <x:c r="O3671" t="str">
        <x:v>SAINTEK</x:v>
      </x:c>
      <x:c r="P3671" t="str">
        <x:v>PENDIDIKAN</x:v>
      </x:c>
      <x:c r="Q3671" s="18" t="n">
        <x:v>0</x:v>
      </x:c>
      <x:c r="R3671" s="18" t="n">
        <x:v>0</x:v>
      </x:c>
      <x:c r="S3671" s="18" t="n">
        <x:v>520</x:v>
      </x:c>
      <x:c r="T3671" s="18" t="n">
        <x:v>634</x:v>
      </x:c>
      <x:c r="U3671" s="18" t="n">
        <x:v>520</x:v>
      </x:c>
      <x:c r="V3671" s="20" t="n">
        <x:v>12</x:v>
      </x:c>
      <x:c r="W3671" s="20" t="n">
        <x:v>5</x:v>
      </x:c>
      <x:c r="X3671" s="20" t="n">
        <x:v>3</x:v>
      </x:c>
      <x:c r="Y3671" t="str">
        <x:v>Basis arsip 2025/2024</x:v>
      </x:c>
      <x:c r="Z3671" t="str">
        <x:v>https://snpmb.id/utbk-snbt/daya-tampung-snbt</x:v>
      </x:c>
      <x:c r="AA3671" t="str">
        <x:v>Tidak Ada</x:v>
      </x:c>
      <x:c r="AB3671" t="str">
        <x:v>Campus=55; Ratio=0.0; Prodi=45; RelDemand=0.0; Capacity=87.5</x:v>
      </x:c>
    </x:row>
    <x:row r="3672">
      <x:c r="A3672" t="n">
        <x:v>3669</x:v>
      </x:c>
      <x:c r="B3672" t="str">
        <x:v>PTN Akademik</x:v>
      </x:c>
      <x:c r="C3672" t="str">
        <x:v>UNIVERSITAS PATTIMURA</x:v>
      </x:c>
      <x:c r="D3672" t="str">
        <x:v>TEKNIK GEOFISIKA</x:v>
      </x:c>
      <x:c r="E3672" t="str">
        <x:v>Sarjana</x:v>
      </x:c>
      <x:c r="F3672" s="18" t="n">
        <x:v>16</x:v>
      </x:c>
      <x:c r="G3672" s="18" t="n">
        <x:v>8</x:v>
      </x:c>
      <x:c r="H3672" s="19" t="n">
        <x:v>0.5</x:v>
      </x:c>
      <x:c r="I3672" s="18" t="n">
        <x:f>ROUND(MIN(Model_Config_v3!$B$6,MAX(Q3672,R3672,S3672*Model_Config_v3!$B$4+T3672*Model_Config_v3!$B$5)),0)</x:f>
        <x:v>608</x:v>
      </x:c>
      <x:c r="J3672" s="18" t="n">
        <x:f>MIN(Model_Config_v3!$B$6,I3672+Model_Config_v3!$B$7)</x:f>
        <x:v>628</x:v>
      </x:c>
      <x:c r="K3672" s="20" t="n">
        <x:v>42.5</x:v>
      </x:c>
      <x:c r="L3672" t="str">
        <x:v>RELATIF LONGGAR</x:v>
      </x:c>
      <x:c r="M3672" t="str">
        <x:v>SEDANG+</x:v>
      </x:c>
      <x:c r="N3672" t="str">
        <x:v>REGULER</x:v>
      </x:c>
      <x:c r="O3672" t="str">
        <x:v>SAINTEK</x:v>
      </x:c>
      <x:c r="P3672" t="str">
        <x:v>TEKNIK/ARSITEKTUR/STATISTIKA/AKTUARIA</x:v>
      </x:c>
      <x:c r="Q3672" s="18" t="n">
        <x:v>0</x:v>
      </x:c>
      <x:c r="R3672" s="18" t="n">
        <x:v>0</x:v>
      </x:c>
      <x:c r="S3672" s="18" t="n">
        <x:v>520</x:v>
      </x:c>
      <x:c r="T3672" s="18" t="n">
        <x:v>645</x:v>
      </x:c>
      <x:c r="U3672" s="18" t="n">
        <x:v>530</x:v>
      </x:c>
      <x:c r="V3672" s="20" t="n">
        <x:v>12</x:v>
      </x:c>
      <x:c r="W3672" s="20" t="n">
        <x:v>5</x:v>
      </x:c>
      <x:c r="X3672" s="20" t="n">
        <x:v>3</x:v>
      </x:c>
      <x:c r="Y3672" t="str">
        <x:v>Basis arsip 2025/2024</x:v>
      </x:c>
      <x:c r="Z3672" t="str">
        <x:v>https://snpmb.id/utbk-snbt/daya-tampung-snbt</x:v>
      </x:c>
      <x:c r="AA3672" t="str">
        <x:v>Tidak Ada</x:v>
      </x:c>
      <x:c r="AB3672" t="str">
        <x:v>Campus=55; Ratio=0.0; Prodi=60; RelDemand=26.2; Capacity=86.7</x:v>
      </x:c>
    </x:row>
    <x:row r="3673">
      <x:c r="A3673" t="n">
        <x:v>3670</x:v>
      </x:c>
      <x:c r="B3673" t="str">
        <x:v>PTN Akademik</x:v>
      </x:c>
      <x:c r="C3673" t="str">
        <x:v>UNIVERSITAS PATTIMURA</x:v>
      </x:c>
      <x:c r="D3673" t="str">
        <x:v>TEKNIK PERMINYAKAN</x:v>
      </x:c>
      <x:c r="E3673" t="str">
        <x:v>Sarjana</x:v>
      </x:c>
      <x:c r="F3673" s="18" t="n">
        <x:v>20</x:v>
      </x:c>
      <x:c r="G3673" s="18" t="n">
        <x:v>152</x:v>
      </x:c>
      <x:c r="H3673" s="19" t="n">
        <x:v>7.6</x:v>
      </x:c>
      <x:c r="I3673" s="18" t="n">
        <x:f>ROUND(MIN(Model_Config_v3!$B$6,MAX(Q3673,R3673,S3673*Model_Config_v3!$B$4+T3673*Model_Config_v3!$B$5)),0)</x:f>
        <x:v>665</x:v>
      </x:c>
      <x:c r="J3673" s="18" t="n">
        <x:f>MIN(Model_Config_v3!$B$6,I3673+Model_Config_v3!$B$7)</x:f>
        <x:v>685</x:v>
      </x:c>
      <x:c r="K3673" s="20" t="n">
        <x:v>62.5</x:v>
      </x:c>
      <x:c r="L3673" t="str">
        <x:v>KETAT</x:v>
      </x:c>
      <x:c r="M3673" t="str">
        <x:v>SEDANG+</x:v>
      </x:c>
      <x:c r="N3673" t="str">
        <x:v>REGULER</x:v>
      </x:c>
      <x:c r="O3673" t="str">
        <x:v>SAINTEK</x:v>
      </x:c>
      <x:c r="P3673" t="str">
        <x:v>TEKNIK/ARSITEKTUR/STATISTIKA/AKTUARIA</x:v>
      </x:c>
      <x:c r="Q3673" s="18" t="n">
        <x:v>0</x:v>
      </x:c>
      <x:c r="R3673" s="18" t="n">
        <x:v>0</x:v>
      </x:c>
      <x:c r="S3673" s="18" t="n">
        <x:v>616.889495150887</x:v>
      </x:c>
      <x:c r="T3673" s="18" t="n">
        <x:v>685</x:v>
      </x:c>
      <x:c r="U3673" s="18" t="n">
        <x:v>626.889495150887</x:v>
      </x:c>
      <x:c r="V3673" s="20" t="n">
        <x:v>12</x:v>
      </x:c>
      <x:c r="W3673" s="20" t="n">
        <x:v>5</x:v>
      </x:c>
      <x:c r="X3673" s="20" t="n">
        <x:v>3</x:v>
      </x:c>
      <x:c r="Y3673" t="str">
        <x:v>Basis arsip 2025/2024</x:v>
      </x:c>
      <x:c r="Z3673" t="str">
        <x:v>https://snpmb.id/utbk-snbt/daya-tampung-snbt</x:v>
      </x:c>
      <x:c r="AA3673" t="str">
        <x:v>Tidak Ada</x:v>
      </x:c>
      <x:c r="AB3673" t="str">
        <x:v>Campus=55; Ratio=51.8; Prodi=60; RelDemand=100.0; Capacity=83.3</x:v>
      </x:c>
    </x:row>
    <x:row r="3674">
      <x:c r="A3674" t="n">
        <x:v>3671</x:v>
      </x:c>
      <x:c r="B3674" t="str">
        <x:v>PTN Akademik</x:v>
      </x:c>
      <x:c r="C3674" t="str">
        <x:v>UNIVERSITAS PATTIMURA</x:v>
      </x:c>
      <x:c r="D3674" t="str">
        <x:v>TEKNIK KIMIA</x:v>
      </x:c>
      <x:c r="E3674" t="str">
        <x:v>Sarjana</x:v>
      </x:c>
      <x:c r="F3674" s="18" t="n">
        <x:v>16</x:v>
      </x:c>
      <x:c r="G3674" s="18" t="n">
        <x:v>5</x:v>
      </x:c>
      <x:c r="H3674" s="19" t="n">
        <x:v>0.3125</x:v>
      </x:c>
      <x:c r="I3674" s="18" t="n">
        <x:f>ROUND(MIN(Model_Config_v3!$B$6,MAX(Q3674,R3674,S3674*Model_Config_v3!$B$4+T3674*Model_Config_v3!$B$5)),0)</x:f>
        <x:v>606</x:v>
      </x:c>
      <x:c r="J3674" s="18" t="n">
        <x:f>MIN(Model_Config_v3!$B$6,I3674+Model_Config_v3!$B$7)</x:f>
        <x:v>626</x:v>
      </x:c>
      <x:c r="K3674" s="20" t="n">
        <x:v>41.6</x:v>
      </x:c>
      <x:c r="L3674" t="str">
        <x:v>RELATIF LONGGAR</x:v>
      </x:c>
      <x:c r="M3674" t="str">
        <x:v>SEDANG+</x:v>
      </x:c>
      <x:c r="N3674" t="str">
        <x:v>REGULER</x:v>
      </x:c>
      <x:c r="O3674" t="str">
        <x:v>SAINTEK</x:v>
      </x:c>
      <x:c r="P3674" t="str">
        <x:v>TEKNIK/ARSITEKTUR/STATISTIKA/AKTUARIA</x:v>
      </x:c>
      <x:c r="Q3674" s="18" t="n">
        <x:v>0</x:v>
      </x:c>
      <x:c r="R3674" s="18" t="n">
        <x:v>0</x:v>
      </x:c>
      <x:c r="S3674" s="18" t="n">
        <x:v>520</x:v>
      </x:c>
      <x:c r="T3674" s="18" t="n">
        <x:v>643</x:v>
      </x:c>
      <x:c r="U3674" s="18" t="n">
        <x:v>530</x:v>
      </x:c>
      <x:c r="V3674" s="20" t="n">
        <x:v>12</x:v>
      </x:c>
      <x:c r="W3674" s="20" t="n">
        <x:v>5</x:v>
      </x:c>
      <x:c r="X3674" s="20" t="n">
        <x:v>3</x:v>
      </x:c>
      <x:c r="Y3674" t="str">
        <x:v>Basis arsip 2025/2024</x:v>
      </x:c>
      <x:c r="Z3674" t="str">
        <x:v>https://snpmb.id/utbk-snbt/daya-tampung-snbt</x:v>
      </x:c>
      <x:c r="AA3674" t="str">
        <x:v>Tidak Ada</x:v>
      </x:c>
      <x:c r="AB3674" t="str">
        <x:v>Campus=55; Ratio=0.0; Prodi=60; RelDemand=16.3; Capacity=86.7</x:v>
      </x:c>
    </x:row>
    <x:row r="3675">
      <x:c r="A3675" t="n">
        <x:v>3672</x:v>
      </x:c>
      <x:c r="B3675" t="str">
        <x:v>PTN Akademik</x:v>
      </x:c>
      <x:c r="C3675" t="str">
        <x:v>UNIVERSITAS PATTIMURA</x:v>
      </x:c>
      <x:c r="D3675" t="str">
        <x:v>TEKNIK TRANSPORTASI LAUT</x:v>
      </x:c>
      <x:c r="E3675" t="str">
        <x:v>Sarjana</x:v>
      </x:c>
      <x:c r="F3675" s="18" t="n">
        <x:v>19</x:v>
      </x:c>
      <x:c r="G3675" s="18" t="n">
        <x:v>6</x:v>
      </x:c>
      <x:c r="H3675" s="19" t="n">
        <x:v>0.3157894736842105</x:v>
      </x:c>
      <x:c r="I3675" s="18" t="n">
        <x:f>ROUND(MIN(Model_Config_v3!$B$6,MAX(Q3675,R3675,S3675*Model_Config_v3!$B$4+T3675*Model_Config_v3!$B$5)),0)</x:f>
        <x:v>606</x:v>
      </x:c>
      <x:c r="J3675" s="18" t="n">
        <x:f>MIN(Model_Config_v3!$B$6,I3675+Model_Config_v3!$B$7)</x:f>
        <x:v>626</x:v>
      </x:c>
      <x:c r="K3675" s="20" t="n">
        <x:v>41.3</x:v>
      </x:c>
      <x:c r="L3675" t="str">
        <x:v>RELATIF LONGGAR</x:v>
      </x:c>
      <x:c r="M3675" t="str">
        <x:v>SEDANG+</x:v>
      </x:c>
      <x:c r="N3675" t="str">
        <x:v>REGULER</x:v>
      </x:c>
      <x:c r="O3675" t="str">
        <x:v>SAINTEK</x:v>
      </x:c>
      <x:c r="P3675" t="str">
        <x:v>TEKNIK/ARSITEKTUR/STATISTIKA/AKTUARIA</x:v>
      </x:c>
      <x:c r="Q3675" s="18" t="n">
        <x:v>0</x:v>
      </x:c>
      <x:c r="R3675" s="18" t="n">
        <x:v>0</x:v>
      </x:c>
      <x:c r="S3675" s="18" t="n">
        <x:v>520</x:v>
      </x:c>
      <x:c r="T3675" s="18" t="n">
        <x:v>643</x:v>
      </x:c>
      <x:c r="U3675" s="18" t="n">
        <x:v>530</x:v>
      </x:c>
      <x:c r="V3675" s="20" t="n">
        <x:v>12</x:v>
      </x:c>
      <x:c r="W3675" s="20" t="n">
        <x:v>5</x:v>
      </x:c>
      <x:c r="X3675" s="20" t="n">
        <x:v>3</x:v>
      </x:c>
      <x:c r="Y3675" t="str">
        <x:v>Basis arsip 2025/2024</x:v>
      </x:c>
      <x:c r="Z3675" t="str">
        <x:v>https://snpmb.id/utbk-snbt/daya-tampung-snbt</x:v>
      </x:c>
      <x:c r="AA3675" t="str">
        <x:v>Tidak Ada</x:v>
      </x:c>
      <x:c r="AB3675" t="str">
        <x:v>Campus=55; Ratio=0.0; Prodi=60; RelDemand=16.5; Capacity=84.2</x:v>
      </x:c>
    </x:row>
    <x:row r="3676">
      <x:c r="A3676" t="n">
        <x:v>3673</x:v>
      </x:c>
      <x:c r="B3676" t="str">
        <x:v>PTN Akademik</x:v>
      </x:c>
      <x:c r="C3676" t="str">
        <x:v>UNIVERSITAS PATTIMURA</x:v>
      </x:c>
      <x:c r="D3676" t="str">
        <x:v>IL. HUKUM</x:v>
      </x:c>
      <x:c r="E3676" t="str">
        <x:v>Sarjana</x:v>
      </x:c>
      <x:c r="F3676" s="18" t="n">
        <x:v>244</x:v>
      </x:c>
      <x:c r="G3676" s="18" t="n">
        <x:v>343</x:v>
      </x:c>
      <x:c r="H3676" s="19" t="n">
        <x:v>1.4057377049180328</x:v>
      </x:c>
      <x:c r="I3676" s="18" t="n">
        <x:f>ROUND(MIN(Model_Config_v3!$B$6,MAX(Q3676,R3676,S3676*Model_Config_v3!$B$4+T3676*Model_Config_v3!$B$5)),0)</x:f>
        <x:v>612</x:v>
      </x:c>
      <x:c r="J3676" s="18" t="n">
        <x:f>MIN(Model_Config_v3!$B$6,I3676+Model_Config_v3!$B$7)</x:f>
        <x:v>632</x:v>
      </x:c>
      <x:c r="K3676" s="20" t="n">
        <x:v>41.8</x:v>
      </x:c>
      <x:c r="L3676" t="str">
        <x:v>RELATIF LONGGAR</x:v>
      </x:c>
      <x:c r="M3676" t="str">
        <x:v>SEDANG+</x:v>
      </x:c>
      <x:c r="N3676" t="str">
        <x:v>REGULER</x:v>
      </x:c>
      <x:c r="O3676" t="str">
        <x:v>SOSHUM</x:v>
      </x:c>
      <x:c r="P3676" t="str">
        <x:v>HUKUM</x:v>
      </x:c>
      <x:c r="Q3676" s="18" t="n">
        <x:v>0</x:v>
      </x:c>
      <x:c r="R3676" s="18" t="n">
        <x:v>0</x:v>
      </x:c>
      <x:c r="S3676" s="18" t="n">
        <x:v>536.2694723074445</x:v>
      </x:c>
      <x:c r="T3676" s="18" t="n">
        <x:v>644</x:v>
      </x:c>
      <x:c r="U3676" s="18" t="n">
        <x:v>551.2694723074445</x:v>
      </x:c>
      <x:c r="V3676" s="20" t="n">
        <x:v>4.4</x:v>
      </x:c>
      <x:c r="W3676" s="20" t="n">
        <x:v>14.3</x:v>
      </x:c>
      <x:c r="X3676" s="20" t="n">
        <x:v>3.3</x:v>
      </x:c>
      <x:c r="Y3676" t="str">
        <x:v>Basis arsip 2025/2024</x:v>
      </x:c>
      <x:c r="Z3676" t="str">
        <x:v>https://snpmb.id/utbk-snbt/daya-tampung-snbt</x:v>
      </x:c>
      <x:c r="AA3676" t="str">
        <x:v>Tidak Ada</x:v>
      </x:c>
      <x:c r="AB3676" t="str">
        <x:v>Campus=55; Ratio=8.7; Prodi=65; RelDemand=73.5; Capacity=0.0</x:v>
      </x:c>
    </x:row>
    <x:row r="3677">
      <x:c r="A3677" t="n">
        <x:v>3674</x:v>
      </x:c>
      <x:c r="B3677" t="str">
        <x:v>PTN Akademik</x:v>
      </x:c>
      <x:c r="C3677" t="str">
        <x:v>UNIVERSITAS PATTIMURA</x:v>
      </x:c>
      <x:c r="D3677" t="str">
        <x:v>IL. ADM. NEGARA</x:v>
      </x:c>
      <x:c r="E3677" t="str">
        <x:v>Sarjana</x:v>
      </x:c>
      <x:c r="F3677" s="18" t="n">
        <x:v>76</x:v>
      </x:c>
      <x:c r="G3677" s="18" t="n">
        <x:v>69</x:v>
      </x:c>
      <x:c r="H3677" s="19" t="n">
        <x:v>0.9078947368421053</x:v>
      </x:c>
      <x:c r="I3677" s="18" t="n">
        <x:f>ROUND(MIN(Model_Config_v3!$B$6,MAX(Q3677,R3677,S3677*Model_Config_v3!$B$4+T3677*Model_Config_v3!$B$5)),0)</x:f>
        <x:v>598</x:v>
      </x:c>
      <x:c r="J3677" s="18" t="n">
        <x:f>MIN(Model_Config_v3!$B$6,I3677+Model_Config_v3!$B$7)</x:f>
        <x:v>618</x:v>
      </x:c>
      <x:c r="K3677" s="20" t="n">
        <x:v>35.7</x:v>
      </x:c>
      <x:c r="L3677" t="str">
        <x:v>RELATIF LONGGAR</x:v>
      </x:c>
      <x:c r="M3677" t="str">
        <x:v>SEDANG</x:v>
      </x:c>
      <x:c r="N3677" t="str">
        <x:v>REGULER</x:v>
      </x:c>
      <x:c r="O3677" t="str">
        <x:v>CAMPURAN</x:v>
      </x:c>
      <x:c r="P3677" t="str">
        <x:v>UMUM</x:v>
      </x:c>
      <x:c r="Q3677" s="18" t="n">
        <x:v>0</x:v>
      </x:c>
      <x:c r="R3677" s="18" t="n">
        <x:v>0</x:v>
      </x:c>
      <x:c r="S3677" s="18" t="n">
        <x:v>520</x:v>
      </x:c>
      <x:c r="T3677" s="18" t="n">
        <x:v>631</x:v>
      </x:c>
      <x:c r="U3677" s="18" t="n">
        <x:v>520</x:v>
      </x:c>
      <x:c r="V3677" s="20" t="n">
        <x:v>8.8</x:v>
      </x:c>
      <x:c r="W3677" s="20" t="n">
        <x:v>9.9</x:v>
      </x:c>
      <x:c r="X3677" s="20" t="n">
        <x:v>3.3</x:v>
      </x:c>
      <x:c r="Y3677" t="str">
        <x:v>Basis arsip 2025/2024</x:v>
      </x:c>
      <x:c r="Z3677" t="str">
        <x:v>https://snpmb.id/utbk-snbt/daya-tampung-snbt</x:v>
      </x:c>
      <x:c r="AA3677" t="str">
        <x:v>Tidak Ada</x:v>
      </x:c>
      <x:c r="AB3677" t="str">
        <x:v>Campus=55; Ratio=0.0; Prodi=40; RelDemand=47.5; Capacity=36.7</x:v>
      </x:c>
    </x:row>
    <x:row r="3678">
      <x:c r="A3678" t="n">
        <x:v>3675</x:v>
      </x:c>
      <x:c r="B3678" t="str">
        <x:v>PTN Akademik</x:v>
      </x:c>
      <x:c r="C3678" t="str">
        <x:v>UNIVERSITAS PATTIMURA</x:v>
      </x:c>
      <x:c r="D3678" t="str">
        <x:v>IL. PEMERINTAHAN</x:v>
      </x:c>
      <x:c r="E3678" t="str">
        <x:v>Sarjana</x:v>
      </x:c>
      <x:c r="F3678" s="18" t="n">
        <x:v>72</x:v>
      </x:c>
      <x:c r="G3678" s="18" t="n">
        <x:v>53</x:v>
      </x:c>
      <x:c r="H3678" s="19" t="n">
        <x:v>0.7361111111111112</x:v>
      </x:c>
      <x:c r="I3678" s="18" t="n">
        <x:f>ROUND(MIN(Model_Config_v3!$B$6,MAX(Q3678,R3678,S3678*Model_Config_v3!$B$4+T3678*Model_Config_v3!$B$5)),0)</x:f>
        <x:v>597</x:v>
      </x:c>
      <x:c r="J3678" s="18" t="n">
        <x:f>MIN(Model_Config_v3!$B$6,I3678+Model_Config_v3!$B$7)</x:f>
        <x:v>617</x:v>
      </x:c>
      <x:c r="K3678" s="20" t="n">
        <x:v>35.1</x:v>
      </x:c>
      <x:c r="L3678" t="str">
        <x:v>RELATIF LONGGAR</x:v>
      </x:c>
      <x:c r="M3678" t="str">
        <x:v>SEDANG</x:v>
      </x:c>
      <x:c r="N3678" t="str">
        <x:v>REGULER</x:v>
      </x:c>
      <x:c r="O3678" t="str">
        <x:v>CAMPURAN</x:v>
      </x:c>
      <x:c r="P3678" t="str">
        <x:v>UMUM</x:v>
      </x:c>
      <x:c r="Q3678" s="18" t="n">
        <x:v>0</x:v>
      </x:c>
      <x:c r="R3678" s="18" t="n">
        <x:v>0</x:v>
      </x:c>
      <x:c r="S3678" s="18" t="n">
        <x:v>520</x:v>
      </x:c>
      <x:c r="T3678" s="18" t="n">
        <x:v>630</x:v>
      </x:c>
      <x:c r="U3678" s="18" t="n">
        <x:v>520</x:v>
      </x:c>
      <x:c r="V3678" s="20" t="n">
        <x:v>8.8</x:v>
      </x:c>
      <x:c r="W3678" s="20" t="n">
        <x:v>9.9</x:v>
      </x:c>
      <x:c r="X3678" s="20" t="n">
        <x:v>3.3</x:v>
      </x:c>
      <x:c r="Y3678" t="str">
        <x:v>Basis arsip 2025/2024</x:v>
      </x:c>
      <x:c r="Z3678" t="str">
        <x:v>https://snpmb.id/utbk-snbt/daya-tampung-snbt</x:v>
      </x:c>
      <x:c r="AA3678" t="str">
        <x:v>Tidak Ada</x:v>
      </x:c>
      <x:c r="AB3678" t="str">
        <x:v>Campus=55; Ratio=0.0; Prodi=40; RelDemand=38.5; Capacity=40.0</x:v>
      </x:c>
    </x:row>
    <x:row r="3679">
      <x:c r="A3679" t="n">
        <x:v>3676</x:v>
      </x:c>
      <x:c r="B3679" t="str">
        <x:v>PTN Akademik</x:v>
      </x:c>
      <x:c r="C3679" t="str">
        <x:v>UNIVERSITAS PATTIMURA</x:v>
      </x:c>
      <x:c r="D3679" t="str">
        <x:v>SOSIOLOGI</x:v>
      </x:c>
      <x:c r="E3679" t="str">
        <x:v>Sarjana</x:v>
      </x:c>
      <x:c r="F3679" s="18" t="n">
        <x:v>60</x:v>
      </x:c>
      <x:c r="G3679" s="18" t="n">
        <x:v>21</x:v>
      </x:c>
      <x:c r="H3679" s="19" t="n">
        <x:v>0.35</x:v>
      </x:c>
      <x:c r="I3679" s="18" t="n">
        <x:f>ROUND(MIN(Model_Config_v3!$B$6,MAX(Q3679,R3679,S3679*Model_Config_v3!$B$4+T3679*Model_Config_v3!$B$5)),0)</x:f>
        <x:v>596</x:v>
      </x:c>
      <x:c r="J3679" s="18" t="n">
        <x:f>MIN(Model_Config_v3!$B$6,I3679+Model_Config_v3!$B$7)</x:f>
        <x:v>616</x:v>
      </x:c>
      <x:c r="K3679" s="20" t="n">
        <x:v>34.1</x:v>
      </x:c>
      <x:c r="L3679" t="str">
        <x:v>RELATIF LONGGAR</x:v>
      </x:c>
      <x:c r="M3679" t="str">
        <x:v>SEDANG</x:v>
      </x:c>
      <x:c r="N3679" t="str">
        <x:v>REGULER</x:v>
      </x:c>
      <x:c r="O3679" t="str">
        <x:v>SOSHUM</x:v>
      </x:c>
      <x:c r="P3679" t="str">
        <x:v>UMUM</x:v>
      </x:c>
      <x:c r="Q3679" s="18" t="n">
        <x:v>0</x:v>
      </x:c>
      <x:c r="R3679" s="18" t="n">
        <x:v>0</x:v>
      </x:c>
      <x:c r="S3679" s="18" t="n">
        <x:v>520</x:v>
      </x:c>
      <x:c r="T3679" s="18" t="n">
        <x:v>628</x:v>
      </x:c>
      <x:c r="U3679" s="18" t="n">
        <x:v>520</x:v>
      </x:c>
      <x:c r="V3679" s="20" t="n">
        <x:v>4.4</x:v>
      </x:c>
      <x:c r="W3679" s="20" t="n">
        <x:v>14.3</x:v>
      </x:c>
      <x:c r="X3679" s="20" t="n">
        <x:v>3.3</x:v>
      </x:c>
      <x:c r="Y3679" t="str">
        <x:v>Basis arsip 2025/2024</x:v>
      </x:c>
      <x:c r="Z3679" t="str">
        <x:v>https://snpmb.id/utbk-snbt/daya-tampung-snbt</x:v>
      </x:c>
      <x:c r="AA3679" t="str">
        <x:v>Tidak Ada</x:v>
      </x:c>
      <x:c r="AB3679" t="str">
        <x:v>Campus=55; Ratio=0.0; Prodi=40; RelDemand=18.3; Capacity=50.0</x:v>
      </x:c>
    </x:row>
    <x:row r="3680">
      <x:c r="A3680" t="n">
        <x:v>3677</x:v>
      </x:c>
      <x:c r="B3680" t="str">
        <x:v>PTN Akademik</x:v>
      </x:c>
      <x:c r="C3680" t="str">
        <x:v>UNIVERSITAS PATTIMURA</x:v>
      </x:c>
      <x:c r="D3680" t="str">
        <x:v>MANAJEMEN</x:v>
      </x:c>
      <x:c r="E3680" t="str">
        <x:v>Sarjana</x:v>
      </x:c>
      <x:c r="F3680" s="18" t="n">
        <x:v>172</x:v>
      </x:c>
      <x:c r="G3680" s="18" t="n">
        <x:v>291</x:v>
      </x:c>
      <x:c r="H3680" s="19" t="n">
        <x:v>1.691860465116279</x:v>
      </x:c>
      <x:c r="I3680" s="18" t="n">
        <x:f>ROUND(MIN(Model_Config_v3!$B$6,MAX(Q3680,R3680,S3680*Model_Config_v3!$B$4+T3680*Model_Config_v3!$B$5)),0)</x:f>
        <x:v>618</x:v>
      </x:c>
      <x:c r="J3680" s="18" t="n">
        <x:f>MIN(Model_Config_v3!$B$6,I3680+Model_Config_v3!$B$7)</x:f>
        <x:v>638</x:v>
      </x:c>
      <x:c r="K3680" s="20" t="n">
        <x:v>44.5</x:v>
      </x:c>
      <x:c r="L3680" t="str">
        <x:v>RELATIF LONGGAR</x:v>
      </x:c>
      <x:c r="M3680" t="str">
        <x:v>SEDANG+</x:v>
      </x:c>
      <x:c r="N3680" t="str">
        <x:v>REGULER</x:v>
      </x:c>
      <x:c r="O3680" t="str">
        <x:v>SOSHUM</x:v>
      </x:c>
      <x:c r="P3680" t="str">
        <x:v>BISNIS/EKONOMI/AKUNTANSI</x:v>
      </x:c>
      <x:c r="Q3680" s="18" t="n">
        <x:v>0</x:v>
      </x:c>
      <x:c r="R3680" s="18" t="n">
        <x:v>0</x:v>
      </x:c>
      <x:c r="S3680" s="18" t="n">
        <x:v>545.1200996286194</x:v>
      </x:c>
      <x:c r="T3680" s="18" t="n">
        <x:v>649</x:v>
      </x:c>
      <x:c r="U3680" s="18" t="n">
        <x:v>560.1200996286194</x:v>
      </x:c>
      <x:c r="V3680" s="20" t="n">
        <x:v>4.4</x:v>
      </x:c>
      <x:c r="W3680" s="20" t="n">
        <x:v>14.3</x:v>
      </x:c>
      <x:c r="X3680" s="20" t="n">
        <x:v>3.3</x:v>
      </x:c>
      <x:c r="Y3680" t="str">
        <x:v>Basis arsip 2025/2024</x:v>
      </x:c>
      <x:c r="Z3680" t="str">
        <x:v>https://snpmb.id/utbk-snbt/daya-tampung-snbt</x:v>
      </x:c>
      <x:c r="AA3680" t="str">
        <x:v>Tidak Ada</x:v>
      </x:c>
      <x:c r="AB3680" t="str">
        <x:v>Campus=55; Ratio=13.4; Prodi=65; RelDemand=88.5; Capacity=0.0</x:v>
      </x:c>
    </x:row>
    <x:row r="3681">
      <x:c r="A3681" t="n">
        <x:v>3678</x:v>
      </x:c>
      <x:c r="B3681" t="str">
        <x:v>PTN Akademik</x:v>
      </x:c>
      <x:c r="C3681" t="str">
        <x:v>UNIVERSITAS PATTIMURA</x:v>
      </x:c>
      <x:c r="D3681" t="str">
        <x:v>EKONOMI PEMBANGUNAN</x:v>
      </x:c>
      <x:c r="E3681" t="str">
        <x:v>Sarjana</x:v>
      </x:c>
      <x:c r="F3681" s="18" t="n">
        <x:v>80</x:v>
      </x:c>
      <x:c r="G3681" s="18" t="n">
        <x:v>27</x:v>
      </x:c>
      <x:c r="H3681" s="19" t="n">
        <x:v>0.3375</x:v>
      </x:c>
      <x:c r="I3681" s="18" t="n">
        <x:f>ROUND(MIN(Model_Config_v3!$B$6,MAX(Q3681,R3681,S3681*Model_Config_v3!$B$4+T3681*Model_Config_v3!$B$5)),0)</x:f>
        <x:v>601</x:v>
      </x:c>
      <x:c r="J3681" s="18" t="n">
        <x:f>MIN(Model_Config_v3!$B$6,I3681+Model_Config_v3!$B$7)</x:f>
        <x:v>621</x:v>
      </x:c>
      <x:c r="K3681" s="20" t="n">
        <x:v>37.3</x:v>
      </x:c>
      <x:c r="L3681" t="str">
        <x:v>RELATIF LONGGAR</x:v>
      </x:c>
      <x:c r="M3681" t="str">
        <x:v>SEDANG+</x:v>
      </x:c>
      <x:c r="N3681" t="str">
        <x:v>REGULER</x:v>
      </x:c>
      <x:c r="O3681" t="str">
        <x:v>SOSHUM</x:v>
      </x:c>
      <x:c r="P3681" t="str">
        <x:v>BISNIS/EKONOMI/AKUNTANSI</x:v>
      </x:c>
      <x:c r="Q3681" s="18" t="n">
        <x:v>0</x:v>
      </x:c>
      <x:c r="R3681" s="18" t="n">
        <x:v>0</x:v>
      </x:c>
      <x:c r="S3681" s="18" t="n">
        <x:v>520</x:v>
      </x:c>
      <x:c r="T3681" s="18" t="n">
        <x:v>635</x:v>
      </x:c>
      <x:c r="U3681" s="18" t="n">
        <x:v>520</x:v>
      </x:c>
      <x:c r="V3681" s="20" t="n">
        <x:v>4.4</x:v>
      </x:c>
      <x:c r="W3681" s="20" t="n">
        <x:v>14.3</x:v>
      </x:c>
      <x:c r="X3681" s="20" t="n">
        <x:v>3.3</x:v>
      </x:c>
      <x:c r="Y3681" t="str">
        <x:v>Basis arsip 2025/2024</x:v>
      </x:c>
      <x:c r="Z3681" t="str">
        <x:v>https://snpmb.id/utbk-snbt/daya-tampung-snbt</x:v>
      </x:c>
      <x:c r="AA3681" t="str">
        <x:v>Tidak Ada</x:v>
      </x:c>
      <x:c r="AB3681" t="str">
        <x:v>Campus=55; Ratio=0.0; Prodi=65; RelDemand=17.7; Capacity=33.3</x:v>
      </x:c>
    </x:row>
    <x:row r="3682">
      <x:c r="A3682" t="n">
        <x:v>3679</x:v>
      </x:c>
      <x:c r="B3682" t="str">
        <x:v>PTN Akademik</x:v>
      </x:c>
      <x:c r="C3682" t="str">
        <x:v>UNIVERSITAS PATTIMURA</x:v>
      </x:c>
      <x:c r="D3682" t="str">
        <x:v>AKUNTANSI</x:v>
      </x:c>
      <x:c r="E3682" t="str">
        <x:v>Sarjana</x:v>
      </x:c>
      <x:c r="F3682" s="18" t="n">
        <x:v>176</x:v>
      </x:c>
      <x:c r="G3682" s="18" t="n">
        <x:v>232</x:v>
      </x:c>
      <x:c r="H3682" s="19" t="n">
        <x:v>1.3181818181818181</x:v>
      </x:c>
      <x:c r="I3682" s="18" t="n">
        <x:f>ROUND(MIN(Model_Config_v3!$B$6,MAX(Q3682,R3682,S3682*Model_Config_v3!$B$4+T3682*Model_Config_v3!$B$5)),0)</x:f>
        <x:v>609</x:v>
      </x:c>
      <x:c r="J3682" s="18" t="n">
        <x:f>MIN(Model_Config_v3!$B$6,I3682+Model_Config_v3!$B$7)</x:f>
        <x:v>629</x:v>
      </x:c>
      <x:c r="K3682" s="20" t="n">
        <x:v>40.9</x:v>
      </x:c>
      <x:c r="L3682" t="str">
        <x:v>RELATIF LONGGAR</x:v>
      </x:c>
      <x:c r="M3682" t="str">
        <x:v>SEDANG+</x:v>
      </x:c>
      <x:c r="N3682" t="str">
        <x:v>REGULER</x:v>
      </x:c>
      <x:c r="O3682" t="str">
        <x:v>SOSHUM</x:v>
      </x:c>
      <x:c r="P3682" t="str">
        <x:v>BISNIS/EKONOMI/AKUNTANSI</x:v>
      </x:c>
      <x:c r="Q3682" s="18" t="n">
        <x:v>0</x:v>
      </x:c>
      <x:c r="R3682" s="18" t="n">
        <x:v>0</x:v>
      </x:c>
      <x:c r="S3682" s="18" t="n">
        <x:v>533.1972848784425</x:v>
      </x:c>
      <x:c r="T3682" s="18" t="n">
        <x:v>642</x:v>
      </x:c>
      <x:c r="U3682" s="18" t="n">
        <x:v>533.1972848784425</x:v>
      </x:c>
      <x:c r="V3682" s="20" t="n">
        <x:v>4.4</x:v>
      </x:c>
      <x:c r="W3682" s="20" t="n">
        <x:v>14.3</x:v>
      </x:c>
      <x:c r="X3682" s="20" t="n">
        <x:v>3.3</x:v>
      </x:c>
      <x:c r="Y3682" t="str">
        <x:v>Basis arsip 2025/2024</x:v>
      </x:c>
      <x:c r="Z3682" t="str">
        <x:v>https://snpmb.id/utbk-snbt/daya-tampung-snbt</x:v>
      </x:c>
      <x:c r="AA3682" t="str">
        <x:v>Tidak Ada</x:v>
      </x:c>
      <x:c r="AB3682" t="str">
        <x:v>Campus=55; Ratio=7.1; Prodi=65; RelDemand=69.0; Capacity=0.0</x:v>
      </x:c>
    </x:row>
    <x:row r="3683">
      <x:c r="A3683" t="n">
        <x:v>3680</x:v>
      </x:c>
      <x:c r="B3683" t="str">
        <x:v>PTN Akademik</x:v>
      </x:c>
      <x:c r="C3683" t="str">
        <x:v>UNIVERSITAS PATTIMURA</x:v>
      </x:c>
      <x:c r="D3683" t="str">
        <x:v>PENDIDIKAN SEJARAH</x:v>
      </x:c>
      <x:c r="E3683" t="str">
        <x:v>Sarjana</x:v>
      </x:c>
      <x:c r="F3683" s="18" t="n">
        <x:v>44</x:v>
      </x:c>
      <x:c r="G3683" s="18" t="n">
        <x:v>35</x:v>
      </x:c>
      <x:c r="H3683" s="19" t="n">
        <x:v>0.7954545454545454</x:v>
      </x:c>
      <x:c r="I3683" s="18" t="n">
        <x:f>ROUND(MIN(Model_Config_v3!$B$6,MAX(Q3683,R3683,S3683*Model_Config_v3!$B$4+T3683*Model_Config_v3!$B$5)),0)</x:f>
        <x:v>602</x:v>
      </x:c>
      <x:c r="J3683" s="18" t="n">
        <x:f>MIN(Model_Config_v3!$B$6,I3683+Model_Config_v3!$B$7)</x:f>
        <x:v>622</x:v>
      </x:c>
      <x:c r="K3683" s="20" t="n">
        <x:v>38.7</x:v>
      </x:c>
      <x:c r="L3683" t="str">
        <x:v>RELATIF LONGGAR</x:v>
      </x:c>
      <x:c r="M3683" t="str">
        <x:v>SEDANG+</x:v>
      </x:c>
      <x:c r="N3683" t="str">
        <x:v>REGULER</x:v>
      </x:c>
      <x:c r="O3683" t="str">
        <x:v>SOSHUM</x:v>
      </x:c>
      <x:c r="P3683" t="str">
        <x:v>PENDIDIKAN</x:v>
      </x:c>
      <x:c r="Q3683" s="18" t="n">
        <x:v>0</x:v>
      </x:c>
      <x:c r="R3683" s="18" t="n">
        <x:v>0</x:v>
      </x:c>
      <x:c r="S3683" s="18" t="n">
        <x:v>520</x:v>
      </x:c>
      <x:c r="T3683" s="18" t="n">
        <x:v>637</x:v>
      </x:c>
      <x:c r="U3683" s="18" t="n">
        <x:v>520</x:v>
      </x:c>
      <x:c r="V3683" s="20" t="n">
        <x:v>4.4</x:v>
      </x:c>
      <x:c r="W3683" s="20" t="n">
        <x:v>14.3</x:v>
      </x:c>
      <x:c r="X3683" s="20" t="n">
        <x:v>3.3</x:v>
      </x:c>
      <x:c r="Y3683" t="str">
        <x:v>Basis arsip 2025/2024</x:v>
      </x:c>
      <x:c r="Z3683" t="str">
        <x:v>https://snpmb.id/utbk-snbt/daya-tampung-snbt</x:v>
      </x:c>
      <x:c r="AA3683" t="str">
        <x:v>Tidak Ada</x:v>
      </x:c>
      <x:c r="AB3683" t="str">
        <x:v>Campus=55; Ratio=0.0; Prodi=45; RelDemand=41.6; Capacity=63.3</x:v>
      </x:c>
    </x:row>
    <x:row r="3684">
      <x:c r="A3684" t="n">
        <x:v>3681</x:v>
      </x:c>
      <x:c r="B3684" t="str">
        <x:v>PTN Akademik</x:v>
      </x:c>
      <x:c r="C3684" t="str">
        <x:v>UNIVERSITAS PATTIMURA</x:v>
      </x:c>
      <x:c r="D3684" t="str">
        <x:v>PENDIDIKAN GEOGRAFI</x:v>
      </x:c>
      <x:c r="E3684" t="str">
        <x:v>Sarjana</x:v>
      </x:c>
      <x:c r="F3684" s="18" t="n">
        <x:v>48</x:v>
      </x:c>
      <x:c r="G3684" s="18" t="n">
        <x:v>17</x:v>
      </x:c>
      <x:c r="H3684" s="19" t="n">
        <x:v>0.3541666666666667</x:v>
      </x:c>
      <x:c r="I3684" s="18" t="n">
        <x:f>ROUND(MIN(Model_Config_v3!$B$6,MAX(Q3684,R3684,S3684*Model_Config_v3!$B$4+T3684*Model_Config_v3!$B$5)),0)</x:f>
        <x:v>598</x:v>
      </x:c>
      <x:c r="J3684" s="18" t="n">
        <x:f>MIN(Model_Config_v3!$B$6,I3684+Model_Config_v3!$B$7)</x:f>
        <x:v>618</x:v>
      </x:c>
      <x:c r="K3684" s="20" t="n">
        <x:v>36.1</x:v>
      </x:c>
      <x:c r="L3684" t="str">
        <x:v>RELATIF LONGGAR</x:v>
      </x:c>
      <x:c r="M3684" t="str">
        <x:v>SEDANG+</x:v>
      </x:c>
      <x:c r="N3684" t="str">
        <x:v>REGULER</x:v>
      </x:c>
      <x:c r="O3684" t="str">
        <x:v>CAMPURAN</x:v>
      </x:c>
      <x:c r="P3684" t="str">
        <x:v>PENDIDIKAN</x:v>
      </x:c>
      <x:c r="Q3684" s="18" t="n">
        <x:v>0</x:v>
      </x:c>
      <x:c r="R3684" s="18" t="n">
        <x:v>0</x:v>
      </x:c>
      <x:c r="S3684" s="18" t="n">
        <x:v>520</x:v>
      </x:c>
      <x:c r="T3684" s="18" t="n">
        <x:v>632</x:v>
      </x:c>
      <x:c r="U3684" s="18" t="n">
        <x:v>520</x:v>
      </x:c>
      <x:c r="V3684" s="20" t="n">
        <x:v>8.8</x:v>
      </x:c>
      <x:c r="W3684" s="20" t="n">
        <x:v>9.9</x:v>
      </x:c>
      <x:c r="X3684" s="20" t="n">
        <x:v>3.3</x:v>
      </x:c>
      <x:c r="Y3684" t="str">
        <x:v>Basis arsip 2025/2024</x:v>
      </x:c>
      <x:c r="Z3684" t="str">
        <x:v>https://snpmb.id/utbk-snbt/daya-tampung-snbt</x:v>
      </x:c>
      <x:c r="AA3684" t="str">
        <x:v>Tidak Ada</x:v>
      </x:c>
      <x:c r="AB3684" t="str">
        <x:v>Campus=55; Ratio=0.0; Prodi=45; RelDemand=18.5; Capacity=60.0</x:v>
      </x:c>
    </x:row>
    <x:row r="3685">
      <x:c r="A3685" t="n">
        <x:v>3682</x:v>
      </x:c>
      <x:c r="B3685" t="str">
        <x:v>PTN Akademik</x:v>
      </x:c>
      <x:c r="C3685" t="str">
        <x:v>UNIVERSITAS PATTIMURA</x:v>
      </x:c>
      <x:c r="D3685" t="str">
        <x:v>PENDIDIKAN EKONOMI</x:v>
      </x:c>
      <x:c r="E3685" t="str">
        <x:v>Sarjana</x:v>
      </x:c>
      <x:c r="F3685" s="18" t="n">
        <x:v>32</x:v>
      </x:c>
      <x:c r="G3685" s="18" t="n">
        <x:v>23</x:v>
      </x:c>
      <x:c r="H3685" s="19" t="n">
        <x:v>0.71875</x:v>
      </x:c>
      <x:c r="I3685" s="18" t="n">
        <x:f>ROUND(MIN(Model_Config_v3!$B$6,MAX(Q3685,R3685,S3685*Model_Config_v3!$B$4+T3685*Model_Config_v3!$B$5)),0)</x:f>
        <x:v>603</x:v>
      </x:c>
      <x:c r="J3685" s="18" t="n">
        <x:f>MIN(Model_Config_v3!$B$6,I3685+Model_Config_v3!$B$7)</x:f>
        <x:v>623</x:v>
      </x:c>
      <x:c r="K3685" s="20" t="n">
        <x:v>39.3</x:v>
      </x:c>
      <x:c r="L3685" t="str">
        <x:v>RELATIF LONGGAR</x:v>
      </x:c>
      <x:c r="M3685" t="str">
        <x:v>SEDANG+</x:v>
      </x:c>
      <x:c r="N3685" t="str">
        <x:v>REGULER</x:v>
      </x:c>
      <x:c r="O3685" t="str">
        <x:v>SOSHUM</x:v>
      </x:c>
      <x:c r="P3685" t="str">
        <x:v>PENDIDIKAN</x:v>
      </x:c>
      <x:c r="Q3685" s="18" t="n">
        <x:v>0</x:v>
      </x:c>
      <x:c r="R3685" s="18" t="n">
        <x:v>0</x:v>
      </x:c>
      <x:c r="S3685" s="18" t="n">
        <x:v>520</x:v>
      </x:c>
      <x:c r="T3685" s="18" t="n">
        <x:v>639</x:v>
      </x:c>
      <x:c r="U3685" s="18" t="n">
        <x:v>520</x:v>
      </x:c>
      <x:c r="V3685" s="20" t="n">
        <x:v>4.4</x:v>
      </x:c>
      <x:c r="W3685" s="20" t="n">
        <x:v>14.3</x:v>
      </x:c>
      <x:c r="X3685" s="20" t="n">
        <x:v>3.3</x:v>
      </x:c>
      <x:c r="Y3685" t="str">
        <x:v>Basis arsip 2025/2024</x:v>
      </x:c>
      <x:c r="Z3685" t="str">
        <x:v>https://snpmb.id/utbk-snbt/daya-tampung-snbt</x:v>
      </x:c>
      <x:c r="AA3685" t="str">
        <x:v>Tidak Ada</x:v>
      </x:c>
      <x:c r="AB3685" t="str">
        <x:v>Campus=55; Ratio=0.0; Prodi=45; RelDemand=37.6; Capacity=73.3</x:v>
      </x:c>
    </x:row>
    <x:row r="3686">
      <x:c r="A3686" t="n">
        <x:v>3683</x:v>
      </x:c>
      <x:c r="B3686" t="str">
        <x:v>PTN Akademik</x:v>
      </x:c>
      <x:c r="C3686" t="str">
        <x:v>UNIVERSITAS PATTIMURA</x:v>
      </x:c>
      <x:c r="D3686" t="str">
        <x:v>PPKN</x:v>
      </x:c>
      <x:c r="E3686" t="str">
        <x:v>Sarjana</x:v>
      </x:c>
      <x:c r="F3686" s="18" t="n">
        <x:v>40</x:v>
      </x:c>
      <x:c r="G3686" s="18" t="n">
        <x:v>27</x:v>
      </x:c>
      <x:c r="H3686" s="19" t="n">
        <x:v>0.675</x:v>
      </x:c>
      <x:c r="I3686" s="18" t="n">
        <x:f>ROUND(MIN(Model_Config_v3!$B$6,MAX(Q3686,R3686,S3686*Model_Config_v3!$B$4+T3686*Model_Config_v3!$B$5)),0)</x:f>
        <x:v>601</x:v>
      </x:c>
      <x:c r="J3686" s="18" t="n">
        <x:f>MIN(Model_Config_v3!$B$6,I3686+Model_Config_v3!$B$7)</x:f>
        <x:v>621</x:v>
      </x:c>
      <x:c r="K3686" s="20" t="n">
        <x:v>37.4</x:v>
      </x:c>
      <x:c r="L3686" t="str">
        <x:v>RELATIF LONGGAR</x:v>
      </x:c>
      <x:c r="M3686" t="str">
        <x:v>SEDANG</x:v>
      </x:c>
      <x:c r="N3686" t="str">
        <x:v>REGULER</x:v>
      </x:c>
      <x:c r="O3686" t="str">
        <x:v>CAMPURAN</x:v>
      </x:c>
      <x:c r="P3686" t="str">
        <x:v>UMUM</x:v>
      </x:c>
      <x:c r="Q3686" s="18" t="n">
        <x:v>0</x:v>
      </x:c>
      <x:c r="R3686" s="18" t="n">
        <x:v>0</x:v>
      </x:c>
      <x:c r="S3686" s="18" t="n">
        <x:v>520</x:v>
      </x:c>
      <x:c r="T3686" s="18" t="n">
        <x:v>635</x:v>
      </x:c>
      <x:c r="U3686" s="18" t="n">
        <x:v>520</x:v>
      </x:c>
      <x:c r="V3686" s="20" t="n">
        <x:v>8.8</x:v>
      </x:c>
      <x:c r="W3686" s="20" t="n">
        <x:v>9.9</x:v>
      </x:c>
      <x:c r="X3686" s="20" t="n">
        <x:v>3.3</x:v>
      </x:c>
      <x:c r="Y3686" t="str">
        <x:v>Basis arsip 2025/2024</x:v>
      </x:c>
      <x:c r="Z3686" t="str">
        <x:v>https://snpmb.id/utbk-snbt/daya-tampung-snbt</x:v>
      </x:c>
      <x:c r="AA3686" t="str">
        <x:v>Tidak Ada</x:v>
      </x:c>
      <x:c r="AB3686" t="str">
        <x:v>Campus=55; Ratio=0.0; Prodi=40; RelDemand=35.3; Capacity=66.7</x:v>
      </x:c>
    </x:row>
    <x:row r="3687">
      <x:c r="A3687" t="n">
        <x:v>3684</x:v>
      </x:c>
      <x:c r="B3687" t="str">
        <x:v>PTN Akademik</x:v>
      </x:c>
      <x:c r="C3687" t="str">
        <x:v>UNIVERSITAS PATTIMURA</x:v>
      </x:c>
      <x:c r="D3687" t="str">
        <x:v>PEND. BAHASA INDONESIA</x:v>
      </x:c>
      <x:c r="E3687" t="str">
        <x:v>Sarjana</x:v>
      </x:c>
      <x:c r="F3687" s="18" t="n">
        <x:v>39</x:v>
      </x:c>
      <x:c r="G3687" s="18" t="n">
        <x:v>51</x:v>
      </x:c>
      <x:c r="H3687" s="19" t="n">
        <x:v>1.3076923076923077</x:v>
      </x:c>
      <x:c r="I3687" s="18" t="n">
        <x:f>ROUND(MIN(Model_Config_v3!$B$6,MAX(Q3687,R3687,S3687*Model_Config_v3!$B$4+T3687*Model_Config_v3!$B$5)),0)</x:f>
        <x:v>613</x:v>
      </x:c>
      <x:c r="J3687" s="18" t="n">
        <x:f>MIN(Model_Config_v3!$B$6,I3687+Model_Config_v3!$B$7)</x:f>
        <x:v>633</x:v>
      </x:c>
      <x:c r="K3687" s="20" t="n">
        <x:v>43.6</x:v>
      </x:c>
      <x:c r="L3687" t="str">
        <x:v>RELATIF LONGGAR</x:v>
      </x:c>
      <x:c r="M3687" t="str">
        <x:v>SEDANG+</x:v>
      </x:c>
      <x:c r="N3687" t="str">
        <x:v>REGULER</x:v>
      </x:c>
      <x:c r="O3687" t="str">
        <x:v>SOSHUM</x:v>
      </x:c>
      <x:c r="P3687" t="str">
        <x:v>PENDIDIKAN</x:v>
      </x:c>
      <x:c r="Q3687" s="18" t="n">
        <x:v>0</x:v>
      </x:c>
      <x:c r="R3687" s="18" t="n">
        <x:v>0</x:v>
      </x:c>
      <x:c r="S3687" s="18" t="n">
        <x:v>532.815612597858</x:v>
      </x:c>
      <x:c r="T3687" s="18" t="n">
        <x:v>647</x:v>
      </x:c>
      <x:c r="U3687" s="18" t="n">
        <x:v>532.815612597858</x:v>
      </x:c>
      <x:c r="V3687" s="20" t="n">
        <x:v>4.4</x:v>
      </x:c>
      <x:c r="W3687" s="20" t="n">
        <x:v>14.3</x:v>
      </x:c>
      <x:c r="X3687" s="20" t="n">
        <x:v>3.3</x:v>
      </x:c>
      <x:c r="Y3687" t="str">
        <x:v>Basis arsip 2025/2024</x:v>
      </x:c>
      <x:c r="Z3687" t="str">
        <x:v>https://snpmb.id/utbk-snbt/daya-tampung-snbt</x:v>
      </x:c>
      <x:c r="AA3687" t="str">
        <x:v>Tidak Ada</x:v>
      </x:c>
      <x:c r="AB3687" t="str">
        <x:v>Campus=55; Ratio=6.9; Prodi=45; RelDemand=68.4; Capacity=67.5</x:v>
      </x:c>
    </x:row>
    <x:row r="3688">
      <x:c r="A3688" t="n">
        <x:v>3685</x:v>
      </x:c>
      <x:c r="B3688" t="str">
        <x:v>PTN Akademik</x:v>
      </x:c>
      <x:c r="C3688" t="str">
        <x:v>UNIVERSITAS PATTIMURA</x:v>
      </x:c>
      <x:c r="D3688" t="str">
        <x:v>PEND. BAHASA INGGRIS</x:v>
      </x:c>
      <x:c r="E3688" t="str">
        <x:v>Sarjana</x:v>
      </x:c>
      <x:c r="F3688" s="18" t="n">
        <x:v>48</x:v>
      </x:c>
      <x:c r="G3688" s="18" t="n">
        <x:v>67</x:v>
      </x:c>
      <x:c r="H3688" s="19" t="n">
        <x:v>1.3958333333333333</x:v>
      </x:c>
      <x:c r="I3688" s="18" t="n">
        <x:f>ROUND(MIN(Model_Config_v3!$B$6,MAX(Q3688,R3688,S3688*Model_Config_v3!$B$4+T3688*Model_Config_v3!$B$5)),0)</x:f>
        <x:v>614</x:v>
      </x:c>
      <x:c r="J3688" s="18" t="n">
        <x:f>MIN(Model_Config_v3!$B$6,I3688+Model_Config_v3!$B$7)</x:f>
        <x:v>634</x:v>
      </x:c>
      <x:c r="K3688" s="20" t="n">
        <x:v>43.7</x:v>
      </x:c>
      <x:c r="L3688" t="str">
        <x:v>RELATIF LONGGAR</x:v>
      </x:c>
      <x:c r="M3688" t="str">
        <x:v>SEDANG+</x:v>
      </x:c>
      <x:c r="N3688" t="str">
        <x:v>REGULER</x:v>
      </x:c>
      <x:c r="O3688" t="str">
        <x:v>SOSHUM</x:v>
      </x:c>
      <x:c r="P3688" t="str">
        <x:v>PENDIDIKAN</x:v>
      </x:c>
      <x:c r="Q3688" s="18" t="n">
        <x:v>0</x:v>
      </x:c>
      <x:c r="R3688" s="18" t="n">
        <x:v>0</x:v>
      </x:c>
      <x:c r="S3688" s="18" t="n">
        <x:v>535.9316921857763</x:v>
      </x:c>
      <x:c r="T3688" s="18" t="n">
        <x:v>647</x:v>
      </x:c>
      <x:c r="U3688" s="18" t="n">
        <x:v>535.9316921857763</x:v>
      </x:c>
      <x:c r="V3688" s="20" t="n">
        <x:v>4.4</x:v>
      </x:c>
      <x:c r="W3688" s="20" t="n">
        <x:v>14.3</x:v>
      </x:c>
      <x:c r="X3688" s="20" t="n">
        <x:v>3.3</x:v>
      </x:c>
      <x:c r="Y3688" t="str">
        <x:v>Basis arsip 2025/2024</x:v>
      </x:c>
      <x:c r="Z3688" t="str">
        <x:v>https://snpmb.id/utbk-snbt/daya-tampung-snbt</x:v>
      </x:c>
      <x:c r="AA3688" t="str">
        <x:v>Tidak Ada</x:v>
      </x:c>
      <x:c r="AB3688" t="str">
        <x:v>Campus=55; Ratio=8.5; Prodi=45; RelDemand=73.0; Capacity=60.0</x:v>
      </x:c>
    </x:row>
    <x:row r="3689">
      <x:c r="A3689" t="n">
        <x:v>3686</x:v>
      </x:c>
      <x:c r="B3689" t="str">
        <x:v>PTN Akademik</x:v>
      </x:c>
      <x:c r="C3689" t="str">
        <x:v>UNIVERSITAS PATTIMURA</x:v>
      </x:c>
      <x:c r="D3689" t="str">
        <x:v>PEND. BAHASA JERMAN</x:v>
      </x:c>
      <x:c r="E3689" t="str">
        <x:v>Sarjana</x:v>
      </x:c>
      <x:c r="F3689" s="18" t="n">
        <x:v>11</x:v>
      </x:c>
      <x:c r="G3689" s="18" t="n">
        <x:v>4</x:v>
      </x:c>
      <x:c r="H3689" s="19" t="n">
        <x:v>0.36363636363636365</x:v>
      </x:c>
      <x:c r="I3689" s="18" t="n">
        <x:f>ROUND(MIN(Model_Config_v3!$B$6,MAX(Q3689,R3689,S3689*Model_Config_v3!$B$4+T3689*Model_Config_v3!$B$5)),0)</x:f>
        <x:v>603</x:v>
      </x:c>
      <x:c r="J3689" s="18" t="n">
        <x:f>MIN(Model_Config_v3!$B$6,I3689+Model_Config_v3!$B$7)</x:f>
        <x:v>623</x:v>
      </x:c>
      <x:c r="K3689" s="20" t="n">
        <x:v>39.2</x:v>
      </x:c>
      <x:c r="L3689" t="str">
        <x:v>RELATIF LONGGAR</x:v>
      </x:c>
      <x:c r="M3689" t="str">
        <x:v>SEDANG+</x:v>
      </x:c>
      <x:c r="N3689" t="str">
        <x:v>REGULER</x:v>
      </x:c>
      <x:c r="O3689" t="str">
        <x:v>SOSHUM</x:v>
      </x:c>
      <x:c r="P3689" t="str">
        <x:v>PENDIDIKAN</x:v>
      </x:c>
      <x:c r="Q3689" s="18" t="n">
        <x:v>0</x:v>
      </x:c>
      <x:c r="R3689" s="18" t="n">
        <x:v>0</x:v>
      </x:c>
      <x:c r="S3689" s="18" t="n">
        <x:v>520</x:v>
      </x:c>
      <x:c r="T3689" s="18" t="n">
        <x:v>638</x:v>
      </x:c>
      <x:c r="U3689" s="18" t="n">
        <x:v>520</x:v>
      </x:c>
      <x:c r="V3689" s="20" t="n">
        <x:v>4.4</x:v>
      </x:c>
      <x:c r="W3689" s="20" t="n">
        <x:v>14.3</x:v>
      </x:c>
      <x:c r="X3689" s="20" t="n">
        <x:v>3.3</x:v>
      </x:c>
      <x:c r="Y3689" t="str">
        <x:v>Basis arsip 2025/2024</x:v>
      </x:c>
      <x:c r="Z3689" t="str">
        <x:v>https://snpmb.id/utbk-snbt/daya-tampung-snbt</x:v>
      </x:c>
      <x:c r="AA3689" t="str">
        <x:v>Tidak Ada</x:v>
      </x:c>
      <x:c r="AB3689" t="str">
        <x:v>Campus=55; Ratio=0.0; Prodi=45; RelDemand=19.0; Capacity=90.8</x:v>
      </x:c>
    </x:row>
    <x:row r="3690">
      <x:c r="A3690" t="n">
        <x:v>3687</x:v>
      </x:c>
      <x:c r="B3690" t="str">
        <x:v>PTN Akademik</x:v>
      </x:c>
      <x:c r="C3690" t="str">
        <x:v>UNIVERSITAS PATTIMURA</x:v>
      </x:c>
      <x:c r="D3690" t="str">
        <x:v>PENJASKESREK</x:v>
      </x:c>
      <x:c r="E3690" t="str">
        <x:v>Sarjana</x:v>
      </x:c>
      <x:c r="F3690" s="18" t="n">
        <x:v>40</x:v>
      </x:c>
      <x:c r="G3690" s="18" t="n">
        <x:v>27</x:v>
      </x:c>
      <x:c r="H3690" s="19" t="n">
        <x:v>0.675</x:v>
      </x:c>
      <x:c r="I3690" s="18" t="n">
        <x:f>ROUND(MIN(Model_Config_v3!$B$6,MAX(Q3690,R3690,S3690*Model_Config_v3!$B$4+T3690*Model_Config_v3!$B$5)),0)</x:f>
        <x:v>602</x:v>
      </x:c>
      <x:c r="J3690" s="18" t="n">
        <x:f>MIN(Model_Config_v3!$B$6,I3690+Model_Config_v3!$B$7)</x:f>
        <x:v>622</x:v>
      </x:c>
      <x:c r="K3690" s="20" t="n">
        <x:v>38.4</x:v>
      </x:c>
      <x:c r="L3690" t="str">
        <x:v>RELATIF LONGGAR</x:v>
      </x:c>
      <x:c r="M3690" t="str">
        <x:v>PORTOFOLIO</x:v>
      </x:c>
      <x:c r="N3690" t="str">
        <x:v>REGULER</x:v>
      </x:c>
      <x:c r="O3690" t="str">
        <x:v>SENI/OLAHRAGA</x:v>
      </x:c>
      <x:c r="P3690" t="str">
        <x:v>SENI/OLAHRAGA</x:v>
      </x:c>
      <x:c r="Q3690" s="18" t="n">
        <x:v>0</x:v>
      </x:c>
      <x:c r="R3690" s="18" t="n">
        <x:v>0</x:v>
      </x:c>
      <x:c r="S3690" s="18" t="n">
        <x:v>520</x:v>
      </x:c>
      <x:c r="T3690" s="18" t="n">
        <x:v>637</x:v>
      </x:c>
      <x:c r="U3690" s="18" t="n">
        <x:v>520</x:v>
      </x:c>
      <x:c r="V3690" s="20" t="n">
        <x:v>4.4</x:v>
      </x:c>
      <x:c r="W3690" s="20" t="n">
        <x:v>9.9</x:v>
      </x:c>
      <x:c r="X3690" s="20" t="n">
        <x:v>7.7</x:v>
      </x:c>
      <x:c r="Y3690" t="str">
        <x:v>Basis arsip 2025/2024</x:v>
      </x:c>
      <x:c r="Z3690" t="str">
        <x:v>https://snpmb.id/utbk-snbt/daya-tampung-snbt</x:v>
      </x:c>
      <x:c r="AA3690" t="str">
        <x:v>Olahraga</x:v>
      </x:c>
      <x:c r="AB3690" t="str">
        <x:v>Campus=55; Ratio=0.0; Prodi=45; RelDemand=35.3; Capacity=66.7</x:v>
      </x:c>
    </x:row>
    <x:row r="3691">
      <x:c r="A3691" t="n">
        <x:v>3688</x:v>
      </x:c>
      <x:c r="B3691" t="str">
        <x:v>PTN Akademik</x:v>
      </x:c>
      <x:c r="C3691" t="str">
        <x:v>UNIVERSITAS PATTIMURA</x:v>
      </x:c>
      <x:c r="D3691" t="str">
        <x:v>BIMBINGAN KONSELING</x:v>
      </x:c>
      <x:c r="E3691" t="str">
        <x:v>Sarjana</x:v>
      </x:c>
      <x:c r="F3691" s="18" t="n">
        <x:v>24</x:v>
      </x:c>
      <x:c r="G3691" s="18" t="n">
        <x:v>53</x:v>
      </x:c>
      <x:c r="H3691" s="19" t="n">
        <x:v>2.2083333333333335</x:v>
      </x:c>
      <x:c r="I3691" s="18" t="n">
        <x:f>ROUND(MIN(Model_Config_v3!$B$6,MAX(Q3691,R3691,S3691*Model_Config_v3!$B$4+T3691*Model_Config_v3!$B$5)),0)</x:f>
        <x:v>630</x:v>
      </x:c>
      <x:c r="J3691" s="18" t="n">
        <x:f>MIN(Model_Config_v3!$B$6,I3691+Model_Config_v3!$B$7)</x:f>
        <x:v>650</x:v>
      </x:c>
      <x:c r="K3691" s="20" t="n">
        <x:v>50.3</x:v>
      </x:c>
      <x:c r="L3691" t="str">
        <x:v>MENENGAH</x:v>
      </x:c>
      <x:c r="M3691" t="str">
        <x:v>SEDANG</x:v>
      </x:c>
      <x:c r="N3691" t="str">
        <x:v>REGULER</x:v>
      </x:c>
      <x:c r="O3691" t="str">
        <x:v>CAMPURAN</x:v>
      </x:c>
      <x:c r="P3691" t="str">
        <x:v>UMUM</x:v>
      </x:c>
      <x:c r="Q3691" s="18" t="n">
        <x:v>0</x:v>
      </x:c>
      <x:c r="R3691" s="18" t="n">
        <x:v>0</x:v>
      </x:c>
      <x:c r="S3691" s="18" t="n">
        <x:v>557.8471090678102</x:v>
      </x:c>
      <x:c r="T3691" s="18" t="n">
        <x:v>661</x:v>
      </x:c>
      <x:c r="U3691" s="18" t="n">
        <x:v>557.8471090678102</x:v>
      </x:c>
      <x:c r="V3691" s="20" t="n">
        <x:v>8.8</x:v>
      </x:c>
      <x:c r="W3691" s="20" t="n">
        <x:v>9.9</x:v>
      </x:c>
      <x:c r="X3691" s="20" t="n">
        <x:v>3.3</x:v>
      </x:c>
      <x:c r="Y3691" t="str">
        <x:v>Basis arsip 2025/2024</x:v>
      </x:c>
      <x:c r="Z3691" t="str">
        <x:v>https://snpmb.id/utbk-snbt/daya-tampung-snbt</x:v>
      </x:c>
      <x:c r="AA3691" t="str">
        <x:v>Tidak Ada</x:v>
      </x:c>
      <x:c r="AB3691" t="str">
        <x:v>Campus=55; Ratio=20.3; Prodi=40; RelDemand=100.0; Capacity=80.0</x:v>
      </x:c>
    </x:row>
    <x:row r="3692">
      <x:c r="A3692" t="n">
        <x:v>3689</x:v>
      </x:c>
      <x:c r="B3692" t="str">
        <x:v>PTN Akademik</x:v>
      </x:c>
      <x:c r="C3692" t="str">
        <x:v>UNIVERSITAS PATTIMURA</x:v>
      </x:c>
      <x:c r="D3692" t="str">
        <x:v>PEND. LUAR SEKOLAH</x:v>
      </x:c>
      <x:c r="E3692" t="str">
        <x:v>Sarjana</x:v>
      </x:c>
      <x:c r="F3692" s="18" t="n">
        <x:v>20</x:v>
      </x:c>
      <x:c r="G3692" s="18" t="n">
        <x:v>3</x:v>
      </x:c>
      <x:c r="H3692" s="19" t="n">
        <x:v>0.15</x:v>
      </x:c>
      <x:c r="I3692" s="18" t="n">
        <x:f>ROUND(MIN(Model_Config_v3!$B$6,MAX(Q3692,R3692,S3692*Model_Config_v3!$B$4+T3692*Model_Config_v3!$B$5)),0)</x:f>
        <x:v>601</x:v>
      </x:c>
      <x:c r="J3692" s="18" t="n">
        <x:f>MIN(Model_Config_v3!$B$6,I3692+Model_Config_v3!$B$7)</x:f>
        <x:v>621</x:v>
      </x:c>
      <x:c r="K3692" s="20" t="n">
        <x:v>37.4</x:v>
      </x:c>
      <x:c r="L3692" t="str">
        <x:v>RELATIF LONGGAR</x:v>
      </x:c>
      <x:c r="M3692" t="str">
        <x:v>SEDANG+</x:v>
      </x:c>
      <x:c r="N3692" t="str">
        <x:v>REGULER</x:v>
      </x:c>
      <x:c r="O3692" t="str">
        <x:v>CAMPURAN</x:v>
      </x:c>
      <x:c r="P3692" t="str">
        <x:v>PENDIDIKAN</x:v>
      </x:c>
      <x:c r="Q3692" s="18" t="n">
        <x:v>0</x:v>
      </x:c>
      <x:c r="R3692" s="18" t="n">
        <x:v>0</x:v>
      </x:c>
      <x:c r="S3692" s="18" t="n">
        <x:v>520</x:v>
      </x:c>
      <x:c r="T3692" s="18" t="n">
        <x:v>635</x:v>
      </x:c>
      <x:c r="U3692" s="18" t="n">
        <x:v>520</x:v>
      </x:c>
      <x:c r="V3692" s="20" t="n">
        <x:v>8.8</x:v>
      </x:c>
      <x:c r="W3692" s="20" t="n">
        <x:v>9.9</x:v>
      </x:c>
      <x:c r="X3692" s="20" t="n">
        <x:v>3.3</x:v>
      </x:c>
      <x:c r="Y3692" t="str">
        <x:v>Basis arsip 2025/2024</x:v>
      </x:c>
      <x:c r="Z3692" t="str">
        <x:v>https://snpmb.id/utbk-snbt/daya-tampung-snbt</x:v>
      </x:c>
      <x:c r="AA3692" t="str">
        <x:v>Tidak Ada</x:v>
      </x:c>
      <x:c r="AB3692" t="str">
        <x:v>Campus=55; Ratio=0.0; Prodi=45; RelDemand=7.8; Capacity=83.3</x:v>
      </x:c>
    </x:row>
    <x:row r="3693">
      <x:c r="A3693" t="n">
        <x:v>3690</x:v>
      </x:c>
      <x:c r="B3693" t="str">
        <x:v>PTN Akademik</x:v>
      </x:c>
      <x:c r="C3693" t="str">
        <x:v>UNIVERSITAS PATTIMURA</x:v>
      </x:c>
      <x:c r="D3693" t="str">
        <x:v>PGSD S1</x:v>
      </x:c>
      <x:c r="E3693" t="str">
        <x:v>Sarjana</x:v>
      </x:c>
      <x:c r="F3693" s="18" t="n">
        <x:v>84</x:v>
      </x:c>
      <x:c r="G3693" s="18" t="n">
        <x:v>86</x:v>
      </x:c>
      <x:c r="H3693" s="19" t="n">
        <x:v>1.0238095238095237</x:v>
      </x:c>
      <x:c r="I3693" s="18" t="n">
        <x:f>ROUND(MIN(Model_Config_v3!$B$6,MAX(Q3693,R3693,S3693*Model_Config_v3!$B$4+T3693*Model_Config_v3!$B$5)),0)</x:f>
        <x:v>599</x:v>
      </x:c>
      <x:c r="J3693" s="18" t="n">
        <x:f>MIN(Model_Config_v3!$B$6,I3693+Model_Config_v3!$B$7)</x:f>
        <x:v>619</x:v>
      </x:c>
      <x:c r="K3693" s="20" t="n">
        <x:v>35.8</x:v>
      </x:c>
      <x:c r="L3693" t="str">
        <x:v>RELATIF LONGGAR</x:v>
      </x:c>
      <x:c r="M3693" t="str">
        <x:v>SEDANG</x:v>
      </x:c>
      <x:c r="N3693" t="str">
        <x:v>REGULER</x:v>
      </x:c>
      <x:c r="O3693" t="str">
        <x:v>CAMPURAN</x:v>
      </x:c>
      <x:c r="P3693" t="str">
        <x:v>UMUM</x:v>
      </x:c>
      <x:c r="Q3693" s="18" t="n">
        <x:v>0</x:v>
      </x:c>
      <x:c r="R3693" s="18" t="n">
        <x:v>0</x:v>
      </x:c>
      <x:c r="S3693" s="18" t="n">
        <x:v>521.1241081699854</x:v>
      </x:c>
      <x:c r="T3693" s="18" t="n">
        <x:v>632</x:v>
      </x:c>
      <x:c r="U3693" s="18" t="n">
        <x:v>521.1241081699854</x:v>
      </x:c>
      <x:c r="V3693" s="20" t="n">
        <x:v>8.8</x:v>
      </x:c>
      <x:c r="W3693" s="20" t="n">
        <x:v>9.9</x:v>
      </x:c>
      <x:c r="X3693" s="20" t="n">
        <x:v>3.3</x:v>
      </x:c>
      <x:c r="Y3693" t="str">
        <x:v>Basis arsip 2025/2024</x:v>
      </x:c>
      <x:c r="Z3693" t="str">
        <x:v>https://snpmb.id/utbk-snbt/daya-tampung-snbt</x:v>
      </x:c>
      <x:c r="AA3693" t="str">
        <x:v>Tidak Ada</x:v>
      </x:c>
      <x:c r="AB3693" t="str">
        <x:v>Campus=55; Ratio=0.6; Prodi=40; RelDemand=53.6; Capacity=30.0</x:v>
      </x:c>
    </x:row>
    <x:row r="3694">
      <x:c r="A3694" t="n">
        <x:v>3691</x:v>
      </x:c>
      <x:c r="B3694" t="str">
        <x:v>PTN Akademik</x:v>
      </x:c>
      <x:c r="C3694" t="str">
        <x:v>UNIVERSITAS PATTIMURA</x:v>
      </x:c>
      <x:c r="D3694" t="str">
        <x:v>ILMU KOMUNIKASI</x:v>
      </x:c>
      <x:c r="E3694" t="str">
        <x:v>Sarjana</x:v>
      </x:c>
      <x:c r="F3694" s="18" t="n">
        <x:v>80</x:v>
      </x:c>
      <x:c r="G3694" s="18" t="n">
        <x:v>100</x:v>
      </x:c>
      <x:c r="H3694" s="19" t="n">
        <x:v>1.25</x:v>
      </x:c>
      <x:c r="I3694" s="18" t="n">
        <x:f>ROUND(MIN(Model_Config_v3!$B$6,MAX(Q3694,R3694,S3694*Model_Config_v3!$B$4+T3694*Model_Config_v3!$B$5)),0)</x:f>
        <x:v>605</x:v>
      </x:c>
      <x:c r="J3694" s="18" t="n">
        <x:f>MIN(Model_Config_v3!$B$6,I3694+Model_Config_v3!$B$7)</x:f>
        <x:v>625</x:v>
      </x:c>
      <x:c r="K3694" s="20" t="n">
        <x:v>38.5</x:v>
      </x:c>
      <x:c r="L3694" t="str">
        <x:v>RELATIF LONGGAR</x:v>
      </x:c>
      <x:c r="M3694" t="str">
        <x:v>SEDANG</x:v>
      </x:c>
      <x:c r="N3694" t="str">
        <x:v>REGULER</x:v>
      </x:c>
      <x:c r="O3694" t="str">
        <x:v>SOSHUM</x:v>
      </x:c>
      <x:c r="P3694" t="str">
        <x:v>UMUM</x:v>
      </x:c>
      <x:c r="Q3694" s="18" t="n">
        <x:v>0</x:v>
      </x:c>
      <x:c r="R3694" s="18" t="n">
        <x:v>0</x:v>
      </x:c>
      <x:c r="S3694" s="18" t="n">
        <x:v>530.6601014308862</x:v>
      </x:c>
      <x:c r="T3694" s="18" t="n">
        <x:v>637</x:v>
      </x:c>
      <x:c r="U3694" s="18" t="n">
        <x:v>530.6601014308862</x:v>
      </x:c>
      <x:c r="V3694" s="20" t="n">
        <x:v>4.4</x:v>
      </x:c>
      <x:c r="W3694" s="20" t="n">
        <x:v>14.3</x:v>
      </x:c>
      <x:c r="X3694" s="20" t="n">
        <x:v>3.3</x:v>
      </x:c>
      <x:c r="Y3694" t="str">
        <x:v>Basis arsip 2025/2024</x:v>
      </x:c>
      <x:c r="Z3694" t="str">
        <x:v>https://snpmb.id/utbk-snbt/daya-tampung-snbt</x:v>
      </x:c>
      <x:c r="AA3694" t="str">
        <x:v>Tidak Ada</x:v>
      </x:c>
      <x:c r="AB3694" t="str">
        <x:v>Campus=55; Ratio=5.7; Prodi=40; RelDemand=65.4; Capacity=33.3</x:v>
      </x:c>
    </x:row>
    <x:row r="3695">
      <x:c r="A3695" t="n">
        <x:v>3692</x:v>
      </x:c>
      <x:c r="B3695" t="str">
        <x:v>PTN Akademik</x:v>
      </x:c>
      <x:c r="C3695" t="str">
        <x:v>UNIVERSITAS PATTIMURA</x:v>
      </x:c>
      <x:c r="D3695" t="str">
        <x:v>PENYULUHAN PERTANIAN</x:v>
      </x:c>
      <x:c r="E3695" t="str">
        <x:v>Sarjana</x:v>
      </x:c>
      <x:c r="F3695" s="18" t="n">
        <x:v>12</x:v>
      </x:c>
      <x:c r="G3695" s="18" t="n">
        <x:v>4</x:v>
      </x:c>
      <x:c r="H3695" s="19" t="n">
        <x:v>0.3333333333333333</x:v>
      </x:c>
      <x:c r="I3695" s="18" t="n">
        <x:f>ROUND(MIN(Model_Config_v3!$B$6,MAX(Q3695,R3695,S3695*Model_Config_v3!$B$4+T3695*Model_Config_v3!$B$5)),0)</x:f>
        <x:v>601</x:v>
      </x:c>
      <x:c r="J3695" s="18" t="n">
        <x:f>MIN(Model_Config_v3!$B$6,I3695+Model_Config_v3!$B$7)</x:f>
        <x:v>621</x:v>
      </x:c>
      <x:c r="K3695" s="20" t="n">
        <x:v>38</x:v>
      </x:c>
      <x:c r="L3695" t="str">
        <x:v>RELATIF LONGGAR</x:v>
      </x:c>
      <x:c r="M3695" t="str">
        <x:v>SEDANG</x:v>
      </x:c>
      <x:c r="N3695" t="str">
        <x:v>REGULER</x:v>
      </x:c>
      <x:c r="O3695" t="str">
        <x:v>SAINTEK</x:v>
      </x:c>
      <x:c r="P3695" t="str">
        <x:v>UMUM</x:v>
      </x:c>
      <x:c r="Q3695" s="18" t="n">
        <x:v>0</x:v>
      </x:c>
      <x:c r="R3695" s="18" t="n">
        <x:v>0</x:v>
      </x:c>
      <x:c r="S3695" s="18" t="n">
        <x:v>520</x:v>
      </x:c>
      <x:c r="T3695" s="18" t="n">
        <x:v>636</x:v>
      </x:c>
      <x:c r="U3695" s="18" t="n">
        <x:v>520</x:v>
      </x:c>
      <x:c r="V3695" s="20" t="n">
        <x:v>12</x:v>
      </x:c>
      <x:c r="W3695" s="20" t="n">
        <x:v>5</x:v>
      </x:c>
      <x:c r="X3695" s="20" t="n">
        <x:v>3</x:v>
      </x:c>
      <x:c r="Y3695" t="str">
        <x:v>Basis arsip 2025/2024</x:v>
      </x:c>
      <x:c r="Z3695" t="str">
        <x:v>https://snpmb.id/utbk-snbt/daya-tampung-snbt</x:v>
      </x:c>
      <x:c r="AA3695" t="str">
        <x:v>Tidak Ada</x:v>
      </x:c>
      <x:c r="AB3695" t="str">
        <x:v>Campus=55; Ratio=0.0; Prodi=40; RelDemand=17.4; Capacity=90.0</x:v>
      </x:c>
    </x:row>
    <x:row r="3696">
      <x:c r="A3696" t="n">
        <x:v>3693</x:v>
      </x:c>
      <x:c r="B3696" t="str">
        <x:v>PTN Akademik</x:v>
      </x:c>
      <x:c r="C3696" t="str">
        <x:v>UNIVERSITAS PATTIMURA</x:v>
      </x:c>
      <x:c r="D3696" t="str">
        <x:v>ILMU HUKUM (PSDKU KAB. MBD)</x:v>
      </x:c>
      <x:c r="E3696" t="str">
        <x:v>Sarjana</x:v>
      </x:c>
      <x:c r="F3696" s="18" t="n">
        <x:v>20</x:v>
      </x:c>
      <x:c r="G3696" s="18"/>
      <x:c r="H3696" s="19" t="n">
        <x:v>0</x:v>
      </x:c>
      <x:c r="I3696" s="18" t="n">
        <x:f>ROUND(MIN(Model_Config_v3!$B$6,MAX(Q3696,R3696,S3696*Model_Config_v3!$B$4+T3696*Model_Config_v3!$B$5)),0)</x:f>
        <x:v>605</x:v>
      </x:c>
      <x:c r="J3696" s="18" t="n">
        <x:f>MIN(Model_Config_v3!$B$6,I3696+Model_Config_v3!$B$7)</x:f>
        <x:v>625</x:v>
      </x:c>
      <x:c r="K3696" s="20" t="n">
        <x:v>40.6</x:v>
      </x:c>
      <x:c r="L3696" t="str">
        <x:v>RELATIF LONGGAR</x:v>
      </x:c>
      <x:c r="M3696" t="str">
        <x:v>RENDAH</x:v>
      </x:c>
      <x:c r="N3696" t="str">
        <x:v>REGULER</x:v>
      </x:c>
      <x:c r="O3696" t="str">
        <x:v>SOSHUM</x:v>
      </x:c>
      <x:c r="P3696" t="str">
        <x:v>HUKUM</x:v>
      </x:c>
      <x:c r="Q3696" s="18" t="n">
        <x:v>0</x:v>
      </x:c>
      <x:c r="R3696" s="18" t="n">
        <x:v>0</x:v>
      </x:c>
      <x:c r="S3696" s="18" t="n">
        <x:v>520</x:v>
      </x:c>
      <x:c r="T3696" s="18" t="n">
        <x:v>641</x:v>
      </x:c>
      <x:c r="U3696" s="18" t="n">
        <x:v>535</x:v>
      </x:c>
      <x:c r="V3696" s="20" t="n">
        <x:v>4.4</x:v>
      </x:c>
      <x:c r="W3696" s="20" t="n">
        <x:v>14.3</x:v>
      </x:c>
      <x:c r="X3696" s="20" t="n">
        <x:v>3.3</x:v>
      </x:c>
      <x:c r="Y3696" t="str">
        <x:v>Basis arsip 2025/2024</x:v>
      </x:c>
      <x:c r="Z3696" t="str">
        <x:v>https://snpmb.id/utbk-snbt/daya-tampung-snbt</x:v>
      </x:c>
      <x:c r="AA3696" t="str">
        <x:v>Tidak Ada</x:v>
      </x:c>
      <x:c r="AB3696" t="str">
        <x:v>Campus=55; Ratio=0.0; Prodi=65; RelDemand=0.0; Capacity=83.3</x:v>
      </x:c>
    </x:row>
    <x:row r="3697">
      <x:c r="A3697" t="n">
        <x:v>3694</x:v>
      </x:c>
      <x:c r="B3697" t="str">
        <x:v>PTN Akademik</x:v>
      </x:c>
      <x:c r="C3697" t="str">
        <x:v>UNIVERSITAS PATTIMURA</x:v>
      </x:c>
      <x:c r="D3697" t="str">
        <x:v>AKUNTANSI (PSDKU KAB. MBD)</x:v>
      </x:c>
      <x:c r="E3697" t="str">
        <x:v>Sarjana</x:v>
      </x:c>
      <x:c r="F3697" s="18" t="n">
        <x:v>20</x:v>
      </x:c>
      <x:c r="G3697" s="18"/>
      <x:c r="H3697" s="19" t="n">
        <x:v>0</x:v>
      </x:c>
      <x:c r="I3697" s="18" t="n">
        <x:f>ROUND(MIN(Model_Config_v3!$B$6,MAX(Q3697,R3697,S3697*Model_Config_v3!$B$4+T3697*Model_Config_v3!$B$5)),0)</x:f>
        <x:v>605</x:v>
      </x:c>
      <x:c r="J3697" s="18" t="n">
        <x:f>MIN(Model_Config_v3!$B$6,I3697+Model_Config_v3!$B$7)</x:f>
        <x:v>625</x:v>
      </x:c>
      <x:c r="K3697" s="20" t="n">
        <x:v>40.6</x:v>
      </x:c>
      <x:c r="L3697" t="str">
        <x:v>RELATIF LONGGAR</x:v>
      </x:c>
      <x:c r="M3697" t="str">
        <x:v>RENDAH</x:v>
      </x:c>
      <x:c r="N3697" t="str">
        <x:v>REGULER</x:v>
      </x:c>
      <x:c r="O3697" t="str">
        <x:v>SOSHUM</x:v>
      </x:c>
      <x:c r="P3697" t="str">
        <x:v>BISNIS/EKONOMI/AKUNTANSI</x:v>
      </x:c>
      <x:c r="Q3697" s="18" t="n">
        <x:v>0</x:v>
      </x:c>
      <x:c r="R3697" s="18" t="n">
        <x:v>0</x:v>
      </x:c>
      <x:c r="S3697" s="18" t="n">
        <x:v>520</x:v>
      </x:c>
      <x:c r="T3697" s="18" t="n">
        <x:v>641</x:v>
      </x:c>
      <x:c r="U3697" s="18" t="n">
        <x:v>520</x:v>
      </x:c>
      <x:c r="V3697" s="20" t="n">
        <x:v>4.4</x:v>
      </x:c>
      <x:c r="W3697" s="20" t="n">
        <x:v>14.3</x:v>
      </x:c>
      <x:c r="X3697" s="20" t="n">
        <x:v>3.3</x:v>
      </x:c>
      <x:c r="Y3697" t="str">
        <x:v>Basis arsip 2025/2024</x:v>
      </x:c>
      <x:c r="Z3697" t="str">
        <x:v>https://snpmb.id/utbk-snbt/daya-tampung-snbt</x:v>
      </x:c>
      <x:c r="AA3697" t="str">
        <x:v>Tidak Ada</x:v>
      </x:c>
      <x:c r="AB3697" t="str">
        <x:v>Campus=55; Ratio=0.0; Prodi=65; RelDemand=0.0; Capacity=83.3</x:v>
      </x:c>
    </x:row>
    <x:row r="3698">
      <x:c r="A3698" t="n">
        <x:v>3695</x:v>
      </x:c>
      <x:c r="B3698" t="str">
        <x:v>PTN Akademik</x:v>
      </x:c>
      <x:c r="C3698" t="str">
        <x:v>UNIVERSITAS PATTIMURA</x:v>
      </x:c>
      <x:c r="D3698" t="str">
        <x:v>PEND. GURU SEKOLAH DASAR (PSDKU KAB. MBD)</x:v>
      </x:c>
      <x:c r="E3698" t="str">
        <x:v>Sarjana</x:v>
      </x:c>
      <x:c r="F3698" s="18" t="n">
        <x:v>23</x:v>
      </x:c>
      <x:c r="G3698" s="18" t="n">
        <x:v>5</x:v>
      </x:c>
      <x:c r="H3698" s="19" t="n">
        <x:v>0.21739130434782608</x:v>
      </x:c>
      <x:c r="I3698" s="18" t="n">
        <x:f>ROUND(MIN(Model_Config_v3!$B$6,MAX(Q3698,R3698,S3698*Model_Config_v3!$B$4+T3698*Model_Config_v3!$B$5)),0)</x:f>
        <x:v>601</x:v>
      </x:c>
      <x:c r="J3698" s="18" t="n">
        <x:f>MIN(Model_Config_v3!$B$6,I3698+Model_Config_v3!$B$7)</x:f>
        <x:v>621</x:v>
      </x:c>
      <x:c r="K3698" s="20" t="n">
        <x:v>37.5</x:v>
      </x:c>
      <x:c r="L3698" t="str">
        <x:v>RELATIF LONGGAR</x:v>
      </x:c>
      <x:c r="M3698" t="str">
        <x:v>SEDANG+</x:v>
      </x:c>
      <x:c r="N3698" t="str">
        <x:v>REGULER</x:v>
      </x:c>
      <x:c r="O3698" t="str">
        <x:v>CAMPURAN</x:v>
      </x:c>
      <x:c r="P3698" t="str">
        <x:v>PENDIDIKAN</x:v>
      </x:c>
      <x:c r="Q3698" s="18" t="n">
        <x:v>0</x:v>
      </x:c>
      <x:c r="R3698" s="18" t="n">
        <x:v>0</x:v>
      </x:c>
      <x:c r="S3698" s="18" t="n">
        <x:v>520</x:v>
      </x:c>
      <x:c r="T3698" s="18" t="n">
        <x:v>635</x:v>
      </x:c>
      <x:c r="U3698" s="18" t="n">
        <x:v>520</x:v>
      </x:c>
      <x:c r="V3698" s="20" t="n">
        <x:v>8.8</x:v>
      </x:c>
      <x:c r="W3698" s="20" t="n">
        <x:v>9.9</x:v>
      </x:c>
      <x:c r="X3698" s="20" t="n">
        <x:v>3.3</x:v>
      </x:c>
      <x:c r="Y3698" t="str">
        <x:v>Basis arsip 2025/2024</x:v>
      </x:c>
      <x:c r="Z3698" t="str">
        <x:v>https://snpmb.id/utbk-snbt/daya-tampung-snbt</x:v>
      </x:c>
      <x:c r="AA3698" t="str">
        <x:v>Tidak Ada</x:v>
      </x:c>
      <x:c r="AB3698" t="str">
        <x:v>Campus=55; Ratio=0.0; Prodi=45; RelDemand=11.4; Capacity=80.8</x:v>
      </x:c>
    </x:row>
    <x:row r="3699">
      <x:c r="A3699" t="n">
        <x:v>3696</x:v>
      </x:c>
      <x:c r="B3699" t="str">
        <x:v>PTN Akademik</x:v>
      </x:c>
      <x:c r="C3699" t="str">
        <x:v>UNIVERSITAS PATTIMURA</x:v>
      </x:c>
      <x:c r="D3699" t="str">
        <x:v>PEND. BAHASA INGGRIS (PSDKU KAB. MBD)</x:v>
      </x:c>
      <x:c r="E3699" t="str">
        <x:v>Sarjana</x:v>
      </x:c>
      <x:c r="F3699" s="18" t="n">
        <x:v>15</x:v>
      </x:c>
      <x:c r="G3699" s="18"/>
      <x:c r="H3699" s="19" t="n">
        <x:v>0</x:v>
      </x:c>
      <x:c r="I3699" s="18" t="n">
        <x:f>ROUND(MIN(Model_Config_v3!$B$6,MAX(Q3699,R3699,S3699*Model_Config_v3!$B$4+T3699*Model_Config_v3!$B$5)),0)</x:f>
        <x:v>600</x:v>
      </x:c>
      <x:c r="J3699" s="18" t="n">
        <x:f>MIN(Model_Config_v3!$B$6,I3699+Model_Config_v3!$B$7)</x:f>
        <x:v>620</x:v>
      </x:c>
      <x:c r="K3699" s="20" t="n">
        <x:v>37</x:v>
      </x:c>
      <x:c r="L3699" t="str">
        <x:v>RELATIF LONGGAR</x:v>
      </x:c>
      <x:c r="M3699" t="str">
        <x:v>RENDAH</x:v>
      </x:c>
      <x:c r="N3699" t="str">
        <x:v>REGULER</x:v>
      </x:c>
      <x:c r="O3699" t="str">
        <x:v>SOSHUM</x:v>
      </x:c>
      <x:c r="P3699" t="str">
        <x:v>PENDIDIKAN</x:v>
      </x:c>
      <x:c r="Q3699" s="18" t="n">
        <x:v>0</x:v>
      </x:c>
      <x:c r="R3699" s="18" t="n">
        <x:v>0</x:v>
      </x:c>
      <x:c r="S3699" s="18" t="n">
        <x:v>520</x:v>
      </x:c>
      <x:c r="T3699" s="18" t="n">
        <x:v>634</x:v>
      </x:c>
      <x:c r="U3699" s="18" t="n">
        <x:v>520</x:v>
      </x:c>
      <x:c r="V3699" s="20" t="n">
        <x:v>4.4</x:v>
      </x:c>
      <x:c r="W3699" s="20" t="n">
        <x:v>14.3</x:v>
      </x:c>
      <x:c r="X3699" s="20" t="n">
        <x:v>3.3</x:v>
      </x:c>
      <x:c r="Y3699" t="str">
        <x:v>Basis arsip 2025/2024</x:v>
      </x:c>
      <x:c r="Z3699" t="str">
        <x:v>https://snpmb.id/utbk-snbt/daya-tampung-snbt</x:v>
      </x:c>
      <x:c r="AA3699" t="str">
        <x:v>Tidak Ada</x:v>
      </x:c>
      <x:c r="AB3699" t="str">
        <x:v>Campus=55; Ratio=0.0; Prodi=45; RelDemand=0.0; Capacity=87.5</x:v>
      </x:c>
    </x:row>
    <x:row r="3700">
      <x:c r="A3700" t="n">
        <x:v>3697</x:v>
      </x:c>
      <x:c r="B3700" t="str">
        <x:v>PTN Akademik</x:v>
      </x:c>
      <x:c r="C3700" t="str">
        <x:v>UNIVERSITAS PATTIMURA</x:v>
      </x:c>
      <x:c r="D3700" t="str">
        <x:v>ILMU HUKUM (PSDKU KAB. ARU)</x:v>
      </x:c>
      <x:c r="E3700" t="str">
        <x:v>Sarjana</x:v>
      </x:c>
      <x:c r="F3700" s="18" t="n">
        <x:v>20</x:v>
      </x:c>
      <x:c r="G3700" s="18" t="n">
        <x:v>4</x:v>
      </x:c>
      <x:c r="H3700" s="19" t="n">
        <x:v>0.2</x:v>
      </x:c>
      <x:c r="I3700" s="18" t="n">
        <x:f>ROUND(MIN(Model_Config_v3!$B$6,MAX(Q3700,R3700,S3700*Model_Config_v3!$B$4+T3700*Model_Config_v3!$B$5)),0)</x:f>
        <x:v>606</x:v>
      </x:c>
      <x:c r="J3700" s="18" t="n">
        <x:f>MIN(Model_Config_v3!$B$6,I3700+Model_Config_v3!$B$7)</x:f>
        <x:v>626</x:v>
      </x:c>
      <x:c r="K3700" s="20" t="n">
        <x:v>41.6</x:v>
      </x:c>
      <x:c r="L3700" t="str">
        <x:v>RELATIF LONGGAR</x:v>
      </x:c>
      <x:c r="M3700" t="str">
        <x:v>SEDANG+</x:v>
      </x:c>
      <x:c r="N3700" t="str">
        <x:v>REGULER</x:v>
      </x:c>
      <x:c r="O3700" t="str">
        <x:v>SOSHUM</x:v>
      </x:c>
      <x:c r="P3700" t="str">
        <x:v>HUKUM</x:v>
      </x:c>
      <x:c r="Q3700" s="18" t="n">
        <x:v>0</x:v>
      </x:c>
      <x:c r="R3700" s="18" t="n">
        <x:v>0</x:v>
      </x:c>
      <x:c r="S3700" s="18" t="n">
        <x:v>520</x:v>
      </x:c>
      <x:c r="T3700" s="18" t="n">
        <x:v>643</x:v>
      </x:c>
      <x:c r="U3700" s="18" t="n">
        <x:v>535</x:v>
      </x:c>
      <x:c r="V3700" s="20" t="n">
        <x:v>4.4</x:v>
      </x:c>
      <x:c r="W3700" s="20" t="n">
        <x:v>14.3</x:v>
      </x:c>
      <x:c r="X3700" s="20" t="n">
        <x:v>3.3</x:v>
      </x:c>
      <x:c r="Y3700" t="str">
        <x:v>Basis arsip 2025/2024</x:v>
      </x:c>
      <x:c r="Z3700" t="str">
        <x:v>https://snpmb.id/utbk-snbt/daya-tampung-snbt</x:v>
      </x:c>
      <x:c r="AA3700" t="str">
        <x:v>Tidak Ada</x:v>
      </x:c>
      <x:c r="AB3700" t="str">
        <x:v>Campus=55; Ratio=0.0; Prodi=65; RelDemand=10.5; Capacity=83.3</x:v>
      </x:c>
    </x:row>
    <x:row r="3701">
      <x:c r="A3701" t="n">
        <x:v>3698</x:v>
      </x:c>
      <x:c r="B3701" t="str">
        <x:v>PTN Akademik</x:v>
      </x:c>
      <x:c r="C3701" t="str">
        <x:v>UNIVERSITAS PATTIMURA</x:v>
      </x:c>
      <x:c r="D3701" t="str">
        <x:v>AKUNTANSI (PSDKU KAB. ARU)</x:v>
      </x:c>
      <x:c r="E3701" t="str">
        <x:v>Sarjana</x:v>
      </x:c>
      <x:c r="F3701" s="18" t="n">
        <x:v>20</x:v>
      </x:c>
      <x:c r="G3701" s="18" t="n">
        <x:v>3</x:v>
      </x:c>
      <x:c r="H3701" s="19" t="n">
        <x:v>0.15</x:v>
      </x:c>
      <x:c r="I3701" s="18" t="n">
        <x:f>ROUND(MIN(Model_Config_v3!$B$6,MAX(Q3701,R3701,S3701*Model_Config_v3!$B$4+T3701*Model_Config_v3!$B$5)),0)</x:f>
        <x:v>606</x:v>
      </x:c>
      <x:c r="J3701" s="18" t="n">
        <x:f>MIN(Model_Config_v3!$B$6,I3701+Model_Config_v3!$B$7)</x:f>
        <x:v>626</x:v>
      </x:c>
      <x:c r="K3701" s="20" t="n">
        <x:v>41.4</x:v>
      </x:c>
      <x:c r="L3701" t="str">
        <x:v>RELATIF LONGGAR</x:v>
      </x:c>
      <x:c r="M3701" t="str">
        <x:v>SEDANG+</x:v>
      </x:c>
      <x:c r="N3701" t="str">
        <x:v>REGULER</x:v>
      </x:c>
      <x:c r="O3701" t="str">
        <x:v>SOSHUM</x:v>
      </x:c>
      <x:c r="P3701" t="str">
        <x:v>BISNIS/EKONOMI/AKUNTANSI</x:v>
      </x:c>
      <x:c r="Q3701" s="18" t="n">
        <x:v>0</x:v>
      </x:c>
      <x:c r="R3701" s="18" t="n">
        <x:v>0</x:v>
      </x:c>
      <x:c r="S3701" s="18" t="n">
        <x:v>520</x:v>
      </x:c>
      <x:c r="T3701" s="18" t="n">
        <x:v>643</x:v>
      </x:c>
      <x:c r="U3701" s="18" t="n">
        <x:v>520</x:v>
      </x:c>
      <x:c r="V3701" s="20" t="n">
        <x:v>4.4</x:v>
      </x:c>
      <x:c r="W3701" s="20" t="n">
        <x:v>14.3</x:v>
      </x:c>
      <x:c r="X3701" s="20" t="n">
        <x:v>3.3</x:v>
      </x:c>
      <x:c r="Y3701" t="str">
        <x:v>Basis arsip 2025/2024</x:v>
      </x:c>
      <x:c r="Z3701" t="str">
        <x:v>https://snpmb.id/utbk-snbt/daya-tampung-snbt</x:v>
      </x:c>
      <x:c r="AA3701" t="str">
        <x:v>Tidak Ada</x:v>
      </x:c>
      <x:c r="AB3701" t="str">
        <x:v>Campus=55; Ratio=0.0; Prodi=65; RelDemand=7.8; Capacity=83.3</x:v>
      </x:c>
    </x:row>
    <x:row r="3702">
      <x:c r="A3702" t="n">
        <x:v>3699</x:v>
      </x:c>
      <x:c r="B3702" t="str">
        <x:v>PTN Akademik</x:v>
      </x:c>
      <x:c r="C3702" t="str">
        <x:v>UNIVERSITAS PATTIMURA</x:v>
      </x:c>
      <x:c r="D3702" t="str">
        <x:v>PEND. GURU SEKOLAH DASAR (PSDKU KAB. ARU)</x:v>
      </x:c>
      <x:c r="E3702" t="str">
        <x:v>Sarjana</x:v>
      </x:c>
      <x:c r="F3702" s="18" t="n">
        <x:v>23</x:v>
      </x:c>
      <x:c r="G3702" s="18" t="n">
        <x:v>3</x:v>
      </x:c>
      <x:c r="H3702" s="19" t="n">
        <x:v>0.13043478260869565</x:v>
      </x:c>
      <x:c r="I3702" s="18" t="n">
        <x:f>ROUND(MIN(Model_Config_v3!$B$6,MAX(Q3702,R3702,S3702*Model_Config_v3!$B$4+T3702*Model_Config_v3!$B$5)),0)</x:f>
        <x:v>600</x:v>
      </x:c>
      <x:c r="J3702" s="18" t="n">
        <x:f>MIN(Model_Config_v3!$B$6,I3702+Model_Config_v3!$B$7)</x:f>
        <x:v>620</x:v>
      </x:c>
      <x:c r="K3702" s="20" t="n">
        <x:v>37</x:v>
      </x:c>
      <x:c r="L3702" t="str">
        <x:v>RELATIF LONGGAR</x:v>
      </x:c>
      <x:c r="M3702" t="str">
        <x:v>SEDANG+</x:v>
      </x:c>
      <x:c r="N3702" t="str">
        <x:v>REGULER</x:v>
      </x:c>
      <x:c r="O3702" t="str">
        <x:v>CAMPURAN</x:v>
      </x:c>
      <x:c r="P3702" t="str">
        <x:v>PENDIDIKAN</x:v>
      </x:c>
      <x:c r="Q3702" s="18" t="n">
        <x:v>0</x:v>
      </x:c>
      <x:c r="R3702" s="18" t="n">
        <x:v>0</x:v>
      </x:c>
      <x:c r="S3702" s="18" t="n">
        <x:v>520</x:v>
      </x:c>
      <x:c r="T3702" s="18" t="n">
        <x:v>634</x:v>
      </x:c>
      <x:c r="U3702" s="18" t="n">
        <x:v>520</x:v>
      </x:c>
      <x:c r="V3702" s="20" t="n">
        <x:v>8.8</x:v>
      </x:c>
      <x:c r="W3702" s="20" t="n">
        <x:v>9.9</x:v>
      </x:c>
      <x:c r="X3702" s="20" t="n">
        <x:v>3.3</x:v>
      </x:c>
      <x:c r="Y3702" t="str">
        <x:v>Basis arsip 2025/2024</x:v>
      </x:c>
      <x:c r="Z3702" t="str">
        <x:v>https://snpmb.id/utbk-snbt/daya-tampung-snbt</x:v>
      </x:c>
      <x:c r="AA3702" t="str">
        <x:v>Tidak Ada</x:v>
      </x:c>
      <x:c r="AB3702" t="str">
        <x:v>Campus=55; Ratio=0.0; Prodi=45; RelDemand=6.8; Capacity=80.8</x:v>
      </x:c>
    </x:row>
    <x:row r="3703">
      <x:c r="A3703" t="n">
        <x:v>3700</x:v>
      </x:c>
      <x:c r="B3703" t="str">
        <x:v>PTN Akademik</x:v>
      </x:c>
      <x:c r="C3703" t="str">
        <x:v>UNIVERSITAS PATTIMURA</x:v>
      </x:c>
      <x:c r="D3703" t="str">
        <x:v>PEND. BAHASA INGGRIS (PSDKU KAB. ARU)</x:v>
      </x:c>
      <x:c r="E3703" t="str">
        <x:v>Sarjana</x:v>
      </x:c>
      <x:c r="F3703" s="18" t="n">
        <x:v>15</x:v>
      </x:c>
      <x:c r="G3703" s="18" t="n">
        <x:v>1</x:v>
      </x:c>
      <x:c r="H3703" s="19" t="n">
        <x:v>0.06666666666666667</x:v>
      </x:c>
      <x:c r="I3703" s="18" t="n">
        <x:f>ROUND(MIN(Model_Config_v3!$B$6,MAX(Q3703,R3703,S3703*Model_Config_v3!$B$4+T3703*Model_Config_v3!$B$5)),0)</x:f>
        <x:v>601</x:v>
      </x:c>
      <x:c r="J3703" s="18" t="n">
        <x:f>MIN(Model_Config_v3!$B$6,I3703+Model_Config_v3!$B$7)</x:f>
        <x:v>621</x:v>
      </x:c>
      <x:c r="K3703" s="20" t="n">
        <x:v>37.3</x:v>
      </x:c>
      <x:c r="L3703" t="str">
        <x:v>RELATIF LONGGAR</x:v>
      </x:c>
      <x:c r="M3703" t="str">
        <x:v>SEDANG+</x:v>
      </x:c>
      <x:c r="N3703" t="str">
        <x:v>REGULER</x:v>
      </x:c>
      <x:c r="O3703" t="str">
        <x:v>SOSHUM</x:v>
      </x:c>
      <x:c r="P3703" t="str">
        <x:v>PENDIDIKAN</x:v>
      </x:c>
      <x:c r="Q3703" s="18" t="n">
        <x:v>0</x:v>
      </x:c>
      <x:c r="R3703" s="18" t="n">
        <x:v>0</x:v>
      </x:c>
      <x:c r="S3703" s="18" t="n">
        <x:v>520</x:v>
      </x:c>
      <x:c r="T3703" s="18" t="n">
        <x:v>635</x:v>
      </x:c>
      <x:c r="U3703" s="18" t="n">
        <x:v>520</x:v>
      </x:c>
      <x:c r="V3703" s="20" t="n">
        <x:v>4.4</x:v>
      </x:c>
      <x:c r="W3703" s="20" t="n">
        <x:v>14.3</x:v>
      </x:c>
      <x:c r="X3703" s="20" t="n">
        <x:v>3.3</x:v>
      </x:c>
      <x:c r="Y3703" t="str">
        <x:v>Basis arsip 2025/2024</x:v>
      </x:c>
      <x:c r="Z3703" t="str">
        <x:v>https://snpmb.id/utbk-snbt/daya-tampung-snbt</x:v>
      </x:c>
      <x:c r="AA3703" t="str">
        <x:v>Tidak Ada</x:v>
      </x:c>
      <x:c r="AB3703" t="str">
        <x:v>Campus=55; Ratio=0.0; Prodi=45; RelDemand=3.5; Capacity=87.5</x:v>
      </x:c>
    </x:row>
    <x:row r="3704">
      <x:c r="A3704" t="n">
        <x:v>3701</x:v>
      </x:c>
      <x:c r="B3704" t="str">
        <x:v>PTN Akademik</x:v>
      </x:c>
      <x:c r="C3704" t="str">
        <x:v>UNIVERSITAS PATTIMURA</x:v>
      </x:c>
      <x:c r="D3704" t="str">
        <x:v>PEND. JASMANI, KESEHATAN, DAN REKREASI (PSDKU KAB. ARU)</x:v>
      </x:c>
      <x:c r="E3704" t="str">
        <x:v>Sarjana</x:v>
      </x:c>
      <x:c r="F3704" s="18" t="n">
        <x:v>20</x:v>
      </x:c>
      <x:c r="G3704" s="18" t="n">
        <x:v>2</x:v>
      </x:c>
      <x:c r="H3704" s="19" t="n">
        <x:v>0.1</x:v>
      </x:c>
      <x:c r="I3704" s="18" t="n">
        <x:f>ROUND(MIN(Model_Config_v3!$B$6,MAX(Q3704,R3704,S3704*Model_Config_v3!$B$4+T3704*Model_Config_v3!$B$5)),0)</x:f>
        <x:v>600</x:v>
      </x:c>
      <x:c r="J3704" s="18" t="n">
        <x:f>MIN(Model_Config_v3!$B$6,I3704+Model_Config_v3!$B$7)</x:f>
        <x:v>620</x:v>
      </x:c>
      <x:c r="K3704" s="20" t="n">
        <x:v>37.1</x:v>
      </x:c>
      <x:c r="L3704" t="str">
        <x:v>RELATIF LONGGAR</x:v>
      </x:c>
      <x:c r="M3704" t="str">
        <x:v>PORTOFOLIO</x:v>
      </x:c>
      <x:c r="N3704" t="str">
        <x:v>REGULER</x:v>
      </x:c>
      <x:c r="O3704" t="str">
        <x:v>SENI/OLAHRAGA</x:v>
      </x:c>
      <x:c r="P3704" t="str">
        <x:v>SENI/OLAHRAGA</x:v>
      </x:c>
      <x:c r="Q3704" s="18" t="n">
        <x:v>0</x:v>
      </x:c>
      <x:c r="R3704" s="18" t="n">
        <x:v>0</x:v>
      </x:c>
      <x:c r="S3704" s="18" t="n">
        <x:v>520</x:v>
      </x:c>
      <x:c r="T3704" s="18" t="n">
        <x:v>634</x:v>
      </x:c>
      <x:c r="U3704" s="18" t="n">
        <x:v>520</x:v>
      </x:c>
      <x:c r="V3704" s="20" t="n">
        <x:v>4.4</x:v>
      </x:c>
      <x:c r="W3704" s="20" t="n">
        <x:v>9.9</x:v>
      </x:c>
      <x:c r="X3704" s="20" t="n">
        <x:v>7.7</x:v>
      </x:c>
      <x:c r="Y3704" t="str">
        <x:v>Basis arsip 2025/2024</x:v>
      </x:c>
      <x:c r="Z3704" t="str">
        <x:v>https://snpmb.id/utbk-snbt/daya-tampung-snbt</x:v>
      </x:c>
      <x:c r="AA3704" t="str">
        <x:v>Olahraga</x:v>
      </x:c>
      <x:c r="AB3704" t="str">
        <x:v>Campus=55; Ratio=0.0; Prodi=45; RelDemand=5.2; Capacity=83.3</x:v>
      </x:c>
    </x:row>
    <x:row r="3705">
      <x:c r="A3705" t="n">
        <x:v>3702</x:v>
      </x:c>
      <x:c r="B3705" t="str">
        <x:v>PTN Akademik</x:v>
      </x:c>
      <x:c r="C3705" t="str">
        <x:v>UNIVERSITAS PATTIMURA</x:v>
      </x:c>
      <x:c r="D3705" t="str">
        <x:v>ADMINISTRASI PENDIDIKAN</x:v>
      </x:c>
      <x:c r="E3705" t="str">
        <x:v>Sarjana</x:v>
      </x:c>
      <x:c r="F3705" s="18" t="n">
        <x:v>20</x:v>
      </x:c>
      <x:c r="G3705" s="18" t="n">
        <x:v>9</x:v>
      </x:c>
      <x:c r="H3705" s="19" t="n">
        <x:v>0.45</x:v>
      </x:c>
      <x:c r="I3705" s="18" t="n">
        <x:f>ROUND(MIN(Model_Config_v3!$B$6,MAX(Q3705,R3705,S3705*Model_Config_v3!$B$4+T3705*Model_Config_v3!$B$5)),0)</x:f>
        <x:v>601</x:v>
      </x:c>
      <x:c r="J3705" s="18" t="n">
        <x:f>MIN(Model_Config_v3!$B$6,I3705+Model_Config_v3!$B$7)</x:f>
        <x:v>621</x:v>
      </x:c>
      <x:c r="K3705" s="20" t="n">
        <x:v>37.9</x:v>
      </x:c>
      <x:c r="L3705" t="str">
        <x:v>RELATIF LONGGAR</x:v>
      </x:c>
      <x:c r="M3705" t="str">
        <x:v>SEDANG</x:v>
      </x:c>
      <x:c r="N3705" t="str">
        <x:v>REGULER</x:v>
      </x:c>
      <x:c r="O3705" t="str">
        <x:v>SOSHUM</x:v>
      </x:c>
      <x:c r="P3705" t="str">
        <x:v>UMUM</x:v>
      </x:c>
      <x:c r="Q3705" s="18" t="n">
        <x:v>0</x:v>
      </x:c>
      <x:c r="R3705" s="18" t="n">
        <x:v>0</x:v>
      </x:c>
      <x:c r="S3705" s="18" t="n">
        <x:v>520</x:v>
      </x:c>
      <x:c r="T3705" s="18" t="n">
        <x:v>636</x:v>
      </x:c>
      <x:c r="U3705" s="18" t="n">
        <x:v>520</x:v>
      </x:c>
      <x:c r="V3705" s="20" t="n">
        <x:v>4.4</x:v>
      </x:c>
      <x:c r="W3705" s="20" t="n">
        <x:v>14.3</x:v>
      </x:c>
      <x:c r="X3705" s="20" t="n">
        <x:v>3.3</x:v>
      </x:c>
      <x:c r="Y3705" t="str">
        <x:v>Basis arsip 2025/2024</x:v>
      </x:c>
      <x:c r="Z3705" t="str">
        <x:v>https://snpmb.id/utbk-snbt/daya-tampung-snbt</x:v>
      </x:c>
      <x:c r="AA3705" t="str">
        <x:v>Tidak Ada</x:v>
      </x:c>
      <x:c r="AB3705" t="str">
        <x:v>Campus=55; Ratio=0.0; Prodi=40; RelDemand=23.5; Capacity=83.3</x:v>
      </x:c>
    </x:row>
    <x:row r="3706">
      <x:c r="A3706" t="n">
        <x:v>3703</x:v>
      </x:c>
      <x:c r="B3706" t="str">
        <x:v>PTN Akademik</x:v>
      </x:c>
      <x:c r="C3706" t="str">
        <x:v>UNIVERSITAS PATTIMURA</x:v>
      </x:c>
      <x:c r="D3706" t="str">
        <x:v>ILMU LINGKUNGAN</x:v>
      </x:c>
      <x:c r="E3706" t="str">
        <x:v>Sarjana</x:v>
      </x:c>
      <x:c r="F3706" s="18" t="n">
        <x:v>8</x:v>
      </x:c>
      <x:c r="G3706" s="18" t="n">
        <x:v>1</x:v>
      </x:c>
      <x:c r="H3706" s="19" t="n">
        <x:v>0.125</x:v>
      </x:c>
      <x:c r="I3706" s="18" t="n">
        <x:f>ROUND(MIN(Model_Config_v3!$B$6,MAX(Q3706,R3706,S3706*Model_Config_v3!$B$4+T3706*Model_Config_v3!$B$5)),0)</x:f>
        <x:v>600</x:v>
      </x:c>
      <x:c r="J3706" s="18" t="n">
        <x:f>MIN(Model_Config_v3!$B$6,I3706+Model_Config_v3!$B$7)</x:f>
        <x:v>620</x:v>
      </x:c>
      <x:c r="K3706" s="20" t="n">
        <x:v>37.2</x:v>
      </x:c>
      <x:c r="L3706" t="str">
        <x:v>RELATIF LONGGAR</x:v>
      </x:c>
      <x:c r="M3706" t="str">
        <x:v>SEDANG</x:v>
      </x:c>
      <x:c r="N3706" t="str">
        <x:v>REGULER</x:v>
      </x:c>
      <x:c r="O3706" t="str">
        <x:v>CAMPURAN</x:v>
      </x:c>
      <x:c r="P3706" t="str">
        <x:v>UMUM</x:v>
      </x:c>
      <x:c r="Q3706" s="18" t="n">
        <x:v>0</x:v>
      </x:c>
      <x:c r="R3706" s="18" t="n">
        <x:v>0</x:v>
      </x:c>
      <x:c r="S3706" s="18" t="n">
        <x:v>520</x:v>
      </x:c>
      <x:c r="T3706" s="18" t="n">
        <x:v>634</x:v>
      </x:c>
      <x:c r="U3706" s="18" t="n">
        <x:v>520</x:v>
      </x:c>
      <x:c r="V3706" s="20" t="n">
        <x:v>8.8</x:v>
      </x:c>
      <x:c r="W3706" s="20" t="n">
        <x:v>9.9</x:v>
      </x:c>
      <x:c r="X3706" s="20" t="n">
        <x:v>3.3</x:v>
      </x:c>
      <x:c r="Y3706" t="str">
        <x:v>Basis arsip 2025/2024</x:v>
      </x:c>
      <x:c r="Z3706" t="str">
        <x:v>https://snpmb.id/utbk-snbt/daya-tampung-snbt</x:v>
      </x:c>
      <x:c r="AA3706" t="str">
        <x:v>Tidak Ada</x:v>
      </x:c>
      <x:c r="AB3706" t="str">
        <x:v>Campus=55; Ratio=0.0; Prodi=40; RelDemand=6.5; Capacity=93.3</x:v>
      </x:c>
    </x:row>
    <x:row r="3707">
      <x:c r="A3707" t="n">
        <x:v>3704</x:v>
      </x:c>
      <x:c r="B3707" t="str">
        <x:v>PTN Akademik</x:v>
      </x:c>
      <x:c r="C3707" t="str">
        <x:v>UNIVERSITAS PATTIMURA</x:v>
      </x:c>
      <x:c r="D3707" t="str">
        <x:v>BIOTEKNOLOGI</x:v>
      </x:c>
      <x:c r="E3707" t="str">
        <x:v>Sarjana</x:v>
      </x:c>
      <x:c r="F3707" s="18" t="n">
        <x:v>20</x:v>
      </x:c>
      <x:c r="G3707" s="18" t="n">
        <x:v>10</x:v>
      </x:c>
      <x:c r="H3707" s="19" t="n">
        <x:v>0.5</x:v>
      </x:c>
      <x:c r="I3707" s="18" t="n">
        <x:f>ROUND(MIN(Model_Config_v3!$B$6,MAX(Q3707,R3707,S3707*Model_Config_v3!$B$4+T3707*Model_Config_v3!$B$5)),0)</x:f>
        <x:v>601</x:v>
      </x:c>
      <x:c r="J3707" s="18" t="n">
        <x:f>MIN(Model_Config_v3!$B$6,I3707+Model_Config_v3!$B$7)</x:f>
        <x:v>621</x:v>
      </x:c>
      <x:c r="K3707" s="20" t="n">
        <x:v>38.2</x:v>
      </x:c>
      <x:c r="L3707" t="str">
        <x:v>RELATIF LONGGAR</x:v>
      </x:c>
      <x:c r="M3707" t="str">
        <x:v>SEDANG</x:v>
      </x:c>
      <x:c r="N3707" t="str">
        <x:v>REGULER</x:v>
      </x:c>
      <x:c r="O3707" t="str">
        <x:v>SAINTEK</x:v>
      </x:c>
      <x:c r="P3707" t="str">
        <x:v>UMUM</x:v>
      </x:c>
      <x:c r="Q3707" s="18" t="n">
        <x:v>0</x:v>
      </x:c>
      <x:c r="R3707" s="18" t="n">
        <x:v>0</x:v>
      </x:c>
      <x:c r="S3707" s="18" t="n">
        <x:v>520</x:v>
      </x:c>
      <x:c r="T3707" s="18" t="n">
        <x:v>636</x:v>
      </x:c>
      <x:c r="U3707" s="18" t="n">
        <x:v>520</x:v>
      </x:c>
      <x:c r="V3707" s="20" t="n">
        <x:v>12</x:v>
      </x:c>
      <x:c r="W3707" s="20" t="n">
        <x:v>5</x:v>
      </x:c>
      <x:c r="X3707" s="20" t="n">
        <x:v>3</x:v>
      </x:c>
      <x:c r="Y3707" t="str">
        <x:v>Basis arsip 2025/2024</x:v>
      </x:c>
      <x:c r="Z3707" t="str">
        <x:v>https://snpmb.id/utbk-snbt/daya-tampung-snbt</x:v>
      </x:c>
      <x:c r="AA3707" t="str">
        <x:v>Tidak Ada</x:v>
      </x:c>
      <x:c r="AB3707" t="str">
        <x:v>Campus=55; Ratio=0.0; Prodi=40; RelDemand=26.2; Capacity=83.3</x:v>
      </x:c>
    </x:row>
    <x:row r="3708">
      <x:c r="A3708" t="n">
        <x:v>3705</x:v>
      </x:c>
      <x:c r="B3708" t="str">
        <x:v>PTN Akademik</x:v>
      </x:c>
      <x:c r="C3708" t="str">
        <x:v>UNIVERSITAS PATTIMURA</x:v>
      </x:c>
      <x:c r="D3708" t="str">
        <x:v>PENDIDIKAN AKUNTANSI</x:v>
      </x:c>
      <x:c r="E3708" t="str">
        <x:v>Sarjana</x:v>
      </x:c>
      <x:c r="F3708" s="18" t="n">
        <x:v>16</x:v>
      </x:c>
      <x:c r="G3708" s="18" t="n">
        <x:v>7</x:v>
      </x:c>
      <x:c r="H3708" s="19" t="n">
        <x:v>0.4375</x:v>
      </x:c>
      <x:c r="I3708" s="18" t="n">
        <x:f>ROUND(MIN(Model_Config_v3!$B$6,MAX(Q3708,R3708,S3708*Model_Config_v3!$B$4+T3708*Model_Config_v3!$B$5)),0)</x:f>
        <x:v>608</x:v>
      </x:c>
      <x:c r="J3708" s="18" t="n">
        <x:f>MIN(Model_Config_v3!$B$6,I3708+Model_Config_v3!$B$7)</x:f>
        <x:v>628</x:v>
      </x:c>
      <x:c r="K3708" s="20" t="n">
        <x:v>43.2</x:v>
      </x:c>
      <x:c r="L3708" t="str">
        <x:v>RELATIF LONGGAR</x:v>
      </x:c>
      <x:c r="M3708" t="str">
        <x:v>SEDANG+</x:v>
      </x:c>
      <x:c r="N3708" t="str">
        <x:v>REGULER</x:v>
      </x:c>
      <x:c r="O3708" t="str">
        <x:v>SOSHUM</x:v>
      </x:c>
      <x:c r="P3708" t="str">
        <x:v>BISNIS/EKONOMI/AKUNTANSI</x:v>
      </x:c>
      <x:c r="Q3708" s="18" t="n">
        <x:v>0</x:v>
      </x:c>
      <x:c r="R3708" s="18" t="n">
        <x:v>0</x:v>
      </x:c>
      <x:c r="S3708" s="18" t="n">
        <x:v>520</x:v>
      </x:c>
      <x:c r="T3708" s="18" t="n">
        <x:v>646</x:v>
      </x:c>
      <x:c r="U3708" s="18" t="n">
        <x:v>520</x:v>
      </x:c>
      <x:c r="V3708" s="20" t="n">
        <x:v>4.4</x:v>
      </x:c>
      <x:c r="W3708" s="20" t="n">
        <x:v>14.3</x:v>
      </x:c>
      <x:c r="X3708" s="20" t="n">
        <x:v>3.3</x:v>
      </x:c>
      <x:c r="Y3708" t="str">
        <x:v>Basis arsip 2025/2024</x:v>
      </x:c>
      <x:c r="Z3708" t="str">
        <x:v>https://snpmb.id/utbk-snbt/daya-tampung-snbt</x:v>
      </x:c>
      <x:c r="AA3708" t="str">
        <x:v>Tidak Ada</x:v>
      </x:c>
      <x:c r="AB3708" t="str">
        <x:v>Campus=55; Ratio=0.0; Prodi=65; RelDemand=22.9; Capacity=86.7</x:v>
      </x:c>
    </x:row>
    <x:row r="3709">
      <x:c r="A3709" t="n">
        <x:v>3706</x:v>
      </x:c>
      <x:c r="B3709" t="str">
        <x:v>PTN Akademik</x:v>
      </x:c>
      <x:c r="C3709" t="str">
        <x:v>UNIVERSITAS PATTIMURA</x:v>
      </x:c>
      <x:c r="D3709" t="str">
        <x:v>ILMU KOMPUTER</x:v>
      </x:c>
      <x:c r="E3709" t="str">
        <x:v>Sarjana</x:v>
      </x:c>
      <x:c r="F3709" s="18" t="n">
        <x:v>40</x:v>
      </x:c>
      <x:c r="G3709" s="18" t="n">
        <x:v>177</x:v>
      </x:c>
      <x:c r="H3709" s="19" t="n">
        <x:v>4.425</x:v>
      </x:c>
      <x:c r="I3709" s="18" t="n">
        <x:f>ROUND(MIN(Model_Config_v3!$B$6,MAX(Q3709,R3709,S3709*Model_Config_v3!$B$4+T3709*Model_Config_v3!$B$5)),0)</x:f>
        <x:v>657</x:v>
      </x:c>
      <x:c r="J3709" s="18" t="n">
        <x:f>MIN(Model_Config_v3!$B$6,I3709+Model_Config_v3!$B$7)</x:f>
        <x:v>677</x:v>
      </x:c>
      <x:c r="K3709" s="20" t="n">
        <x:v>62.4</x:v>
      </x:c>
      <x:c r="L3709" t="str">
        <x:v>KETAT</x:v>
      </x:c>
      <x:c r="M3709" t="str">
        <x:v>SEDANG+</x:v>
      </x:c>
      <x:c r="N3709" t="str">
        <x:v>REGULER</x:v>
      </x:c>
      <x:c r="O3709" t="str">
        <x:v>SAINTEK</x:v>
      </x:c>
      <x:c r="P3709" t="str">
        <x:v>KOMPUTER/INFORMATIKA</x:v>
      </x:c>
      <x:c r="Q3709" s="18" t="n">
        <x:v>0</x:v>
      </x:c>
      <x:c r="R3709" s="18" t="n">
        <x:v>0</x:v>
      </x:c>
      <x:c r="S3709" s="18" t="n">
        <x:v>591.0504602537228</x:v>
      </x:c>
      <x:c r="T3709" s="18" t="n">
        <x:v>685</x:v>
      </x:c>
      <x:c r="U3709" s="18" t="n">
        <x:v>616.0504602537228</x:v>
      </x:c>
      <x:c r="V3709" s="20" t="n">
        <x:v>12</x:v>
      </x:c>
      <x:c r="W3709" s="20" t="n">
        <x:v>5</x:v>
      </x:c>
      <x:c r="X3709" s="20" t="n">
        <x:v>3</x:v>
      </x:c>
      <x:c r="Y3709" t="str">
        <x:v>Basis arsip 2025/2024</x:v>
      </x:c>
      <x:c r="Z3709" t="str">
        <x:v>https://snpmb.id/utbk-snbt/daya-tampung-snbt</x:v>
      </x:c>
      <x:c r="AA3709" t="str">
        <x:v>Tidak Ada</x:v>
      </x:c>
      <x:c r="AB3709" t="str">
        <x:v>Campus=55; Ratio=38.0; Prodi=85; RelDemand=100.0; Capacity=66.7</x:v>
      </x:c>
    </x:row>
    <x:row r="3710">
      <x:c r="A3710" t="n">
        <x:v>3707</x:v>
      </x:c>
      <x:c r="B3710" t="str">
        <x:v>PTN Akademik</x:v>
      </x:c>
      <x:c r="C3710" t="str">
        <x:v>UNIVERSITAS PATTIMURA</x:v>
      </x:c>
      <x:c r="D3710" t="str">
        <x:v>PENGELOLAAN HUTAN</x:v>
      </x:c>
      <x:c r="E3710" t="str">
        <x:v>Sarjana</x:v>
      </x:c>
      <x:c r="F3710" s="18" t="n">
        <x:v>8</x:v>
      </x:c>
      <x:c r="G3710" s="18" t="n">
        <x:v>1</x:v>
      </x:c>
      <x:c r="H3710" s="19" t="n">
        <x:v>0.125</x:v>
      </x:c>
      <x:c r="I3710" s="18" t="n">
        <x:f>ROUND(MIN(Model_Config_v3!$B$6,MAX(Q3710,R3710,S3710*Model_Config_v3!$B$4+T3710*Model_Config_v3!$B$5)),0)</x:f>
        <x:v>600</x:v>
      </x:c>
      <x:c r="J3710" s="18" t="n">
        <x:f>MIN(Model_Config_v3!$B$6,I3710+Model_Config_v3!$B$7)</x:f>
        <x:v>620</x:v>
      </x:c>
      <x:c r="K3710" s="20" t="n">
        <x:v>37.2</x:v>
      </x:c>
      <x:c r="L3710" t="str">
        <x:v>RELATIF LONGGAR</x:v>
      </x:c>
      <x:c r="M3710" t="str">
        <x:v>SEDANG</x:v>
      </x:c>
      <x:c r="N3710" t="str">
        <x:v>REGULER</x:v>
      </x:c>
      <x:c r="O3710" t="str">
        <x:v>CAMPURAN</x:v>
      </x:c>
      <x:c r="P3710" t="str">
        <x:v>UMUM</x:v>
      </x:c>
      <x:c r="Q3710" s="18" t="n">
        <x:v>0</x:v>
      </x:c>
      <x:c r="R3710" s="18" t="n">
        <x:v>0</x:v>
      </x:c>
      <x:c r="S3710" s="18" t="n">
        <x:v>520</x:v>
      </x:c>
      <x:c r="T3710" s="18" t="n">
        <x:v>634</x:v>
      </x:c>
      <x:c r="U3710" s="18" t="n">
        <x:v>520</x:v>
      </x:c>
      <x:c r="V3710" s="20" t="n">
        <x:v>8.8</x:v>
      </x:c>
      <x:c r="W3710" s="20" t="n">
        <x:v>9.9</x:v>
      </x:c>
      <x:c r="X3710" s="20" t="n">
        <x:v>3.3</x:v>
      </x:c>
      <x:c r="Y3710" t="str">
        <x:v>Basis arsip 2025/2024</x:v>
      </x:c>
      <x:c r="Z3710" t="str">
        <x:v>https://snpmb.id/utbk-snbt/daya-tampung-snbt</x:v>
      </x:c>
      <x:c r="AA3710" t="str">
        <x:v>Tidak Ada</x:v>
      </x:c>
      <x:c r="AB3710" t="str">
        <x:v>Campus=55; Ratio=0.0; Prodi=40; RelDemand=6.5; Capacity=93.3</x:v>
      </x:c>
    </x:row>
    <x:row r="3711">
      <x:c r="A3711" t="n">
        <x:v>3708</x:v>
      </x:c>
      <x:c r="B3711" t="str">
        <x:v>PTN Akademik</x:v>
      </x:c>
      <x:c r="C3711" t="str">
        <x:v>UNIVERSITAS PATTIMURA</x:v>
      </x:c>
      <x:c r="D3711" t="str">
        <x:v>FARMASI</x:v>
      </x:c>
      <x:c r="E3711" t="str">
        <x:v>Sarjana</x:v>
      </x:c>
      <x:c r="F3711" s="18" t="n">
        <x:v>40</x:v>
      </x:c>
      <x:c r="G3711" s="18" t="n">
        <x:v>232</x:v>
      </x:c>
      <x:c r="H3711" s="19" t="n">
        <x:v>5.8</x:v>
      </x:c>
      <x:c r="I3711" s="18" t="n">
        <x:f>ROUND(MIN(Model_Config_v3!$B$6,MAX(Q3711,R3711,S3711*Model_Config_v3!$B$4+T3711*Model_Config_v3!$B$5)),0)</x:f>
        <x:v>660</x:v>
      </x:c>
      <x:c r="J3711" s="18" t="n">
        <x:f>MIN(Model_Config_v3!$B$6,I3711+Model_Config_v3!$B$7)</x:f>
        <x:v>680</x:v>
      </x:c>
      <x:c r="K3711" s="20" t="n">
        <x:v>62.2</x:v>
      </x:c>
      <x:c r="L3711" t="str">
        <x:v>KETAT</x:v>
      </x:c>
      <x:c r="M3711" t="str">
        <x:v>SEDANG+</x:v>
      </x:c>
      <x:c r="N3711" t="str">
        <x:v>REGULER</x:v>
      </x:c>
      <x:c r="O3711" t="str">
        <x:v>SAINTEK</x:v>
      </x:c>
      <x:c r="P3711" t="str">
        <x:v>FARMASI</x:v>
      </x:c>
      <x:c r="Q3711" s="18" t="n">
        <x:v>0</x:v>
      </x:c>
      <x:c r="R3711" s="18" t="n">
        <x:v>0</x:v>
      </x:c>
      <x:c r="S3711" s="18" t="n">
        <x:v>603.9770792919231</x:v>
      </x:c>
      <x:c r="T3711" s="18" t="n">
        <x:v>684</x:v>
      </x:c>
      <x:c r="U3711" s="18" t="n">
        <x:v>623.9770792919231</x:v>
      </x:c>
      <x:c r="V3711" s="20" t="n">
        <x:v>12</x:v>
      </x:c>
      <x:c r="W3711" s="20" t="n">
        <x:v>5</x:v>
      </x:c>
      <x:c r="X3711" s="20" t="n">
        <x:v>3</x:v>
      </x:c>
      <x:c r="Y3711" t="str">
        <x:v>Basis arsip 2025/2024</x:v>
      </x:c>
      <x:c r="Z3711" t="str">
        <x:v>https://snpmb.id/utbk-snbt/daya-tampung-snbt</x:v>
      </x:c>
      <x:c r="AA3711" t="str">
        <x:v>Tidak Ada</x:v>
      </x:c>
      <x:c r="AB3711" t="str">
        <x:v>Campus=55; Ratio=44.9; Prodi=75; RelDemand=100.0; Capacity=66.7</x:v>
      </x:c>
    </x:row>
    <x:row r="3712">
      <x:c r="A3712" t="n">
        <x:v>3709</x:v>
      </x:c>
      <x:c r="B3712" t="str">
        <x:v>PTN Akademik</x:v>
      </x:c>
      <x:c r="C3712" t="str">
        <x:v>UNIVERSITAS PATTIMURA</x:v>
      </x:c>
      <x:c r="D3712" t="str">
        <x:v>SAINS BIOMEDIS</x:v>
      </x:c>
      <x:c r="E3712" t="str">
        <x:v>Sarjana</x:v>
      </x:c>
      <x:c r="F3712" s="18" t="n">
        <x:v>20</x:v>
      </x:c>
      <x:c r="G3712" s="18" t="n">
        <x:v>29</x:v>
      </x:c>
      <x:c r="H3712" s="19" t="n">
        <x:v>1.45</x:v>
      </x:c>
      <x:c r="I3712" s="18" t="n">
        <x:f>ROUND(MIN(Model_Config_v3!$B$6,MAX(Q3712,R3712,S3712*Model_Config_v3!$B$4+T3712*Model_Config_v3!$B$5)),0)</x:f>
        <x:v>617</x:v>
      </x:c>
      <x:c r="J3712" s="18" t="n">
        <x:f>MIN(Model_Config_v3!$B$6,I3712+Model_Config_v3!$B$7)</x:f>
        <x:v>637</x:v>
      </x:c>
      <x:c r="K3712" s="20" t="n">
        <x:v>45.5</x:v>
      </x:c>
      <x:c r="L3712" t="str">
        <x:v>MENENGAH</x:v>
      </x:c>
      <x:c r="M3712" t="str">
        <x:v>SEDANG</x:v>
      </x:c>
      <x:c r="N3712" t="str">
        <x:v>REGULER</x:v>
      </x:c>
      <x:c r="O3712" t="str">
        <x:v>CAMPURAN</x:v>
      </x:c>
      <x:c r="P3712" t="str">
        <x:v>UMUM</x:v>
      </x:c>
      <x:c r="Q3712" s="18" t="n">
        <x:v>0</x:v>
      </x:c>
      <x:c r="R3712" s="18" t="n">
        <x:v>0</x:v>
      </x:c>
      <x:c r="S3712" s="18" t="n">
        <x:v>537.7504802458473</x:v>
      </x:c>
      <x:c r="T3712" s="18" t="n">
        <x:v>651</x:v>
      </x:c>
      <x:c r="U3712" s="18" t="n">
        <x:v>537.7504802458473</x:v>
      </x:c>
      <x:c r="V3712" s="20" t="n">
        <x:v>8.8</x:v>
      </x:c>
      <x:c r="W3712" s="20" t="n">
        <x:v>9.9</x:v>
      </x:c>
      <x:c r="X3712" s="20" t="n">
        <x:v>3.3</x:v>
      </x:c>
      <x:c r="Y3712" t="str">
        <x:v>Basis arsip 2025/2024</x:v>
      </x:c>
      <x:c r="Z3712" t="str">
        <x:v>https://snpmb.id/utbk-snbt/daya-tampung-snbt</x:v>
      </x:c>
      <x:c r="AA3712" t="str">
        <x:v>Tidak Ada</x:v>
      </x:c>
      <x:c r="AB3712" t="str">
        <x:v>Campus=55; Ratio=9.5; Prodi=40; RelDemand=75.9; Capacity=83.3</x:v>
      </x:c>
    </x:row>
    <x:row r="3713">
      <x:c r="A3713" t="n">
        <x:v>3710</x:v>
      </x:c>
      <x:c r="B3713" t="str">
        <x:v>PTN Akademik</x:v>
      </x:c>
      <x:c r="C3713" t="str">
        <x:v>UNIVERSITAS PATTIMURA</x:v>
      </x:c>
      <x:c r="D3713" t="str">
        <x:v>KESELAMATAN DAN KESEHATAN KERJA</x:v>
      </x:c>
      <x:c r="E3713" t="str">
        <x:v>Sarjana</x:v>
      </x:c>
      <x:c r="F3713" s="18" t="n">
        <x:v>12</x:v>
      </x:c>
      <x:c r="G3713" s="18"/>
      <x:c r="H3713" s="19" t="n">
        <x:v>0</x:v>
      </x:c>
      <x:c r="I3713" s="18" t="n">
        <x:f>ROUND(MIN(Model_Config_v3!$B$6,MAX(Q3713,R3713,S3713*Model_Config_v3!$B$4+T3713*Model_Config_v3!$B$5)),0)</x:f>
        <x:v>603</x:v>
      </x:c>
      <x:c r="J3713" s="18" t="n">
        <x:f>MIN(Model_Config_v3!$B$6,I3713+Model_Config_v3!$B$7)</x:f>
        <x:v>623</x:v>
      </x:c>
      <x:c r="K3713" s="20" t="n">
        <x:v>39.2</x:v>
      </x:c>
      <x:c r="L3713" t="str">
        <x:v>RELATIF LONGGAR</x:v>
      </x:c>
      <x:c r="M3713" t="str">
        <x:v>RENDAH</x:v>
      </x:c>
      <x:c r="N3713" t="str">
        <x:v>REGULER</x:v>
      </x:c>
      <x:c r="O3713" t="str">
        <x:v>SAINTEK</x:v>
      </x:c>
      <x:c r="P3713" t="str">
        <x:v>KESEHAT/GIZI/KEPERAWATAN</x:v>
      </x:c>
      <x:c r="Q3713" s="18" t="n">
        <x:v>0</x:v>
      </x:c>
      <x:c r="R3713" s="18" t="n">
        <x:v>0</x:v>
      </x:c>
      <x:c r="S3713" s="18" t="n">
        <x:v>520</x:v>
      </x:c>
      <x:c r="T3713" s="18" t="n">
        <x:v>638</x:v>
      </x:c>
      <x:c r="U3713" s="18" t="n">
        <x:v>520</x:v>
      </x:c>
      <x:c r="V3713" s="20" t="n">
        <x:v>12</x:v>
      </x:c>
      <x:c r="W3713" s="20" t="n">
        <x:v>5</x:v>
      </x:c>
      <x:c r="X3713" s="20" t="n">
        <x:v>3</x:v>
      </x:c>
      <x:c r="Y3713" t="str">
        <x:v>Basis arsip 2025/2024</x:v>
      </x:c>
      <x:c r="Z3713" t="str">
        <x:v>https://snpmb.id/utbk-snbt/daya-tampung-snbt</x:v>
      </x:c>
      <x:c r="AA3713" t="str">
        <x:v>Tidak Ada</x:v>
      </x:c>
      <x:c r="AB3713" t="str">
        <x:v>Campus=55; Ratio=0.0; Prodi=55; RelDemand=0.0; Capacity=90.0</x:v>
      </x:c>
    </x:row>
    <x:row r="3714">
      <x:c r="A3714" t="n">
        <x:v>3711</x:v>
      </x:c>
      <x:c r="B3714" t="str">
        <x:v>PTN Akademik</x:v>
      </x:c>
      <x:c r="C3714" t="str">
        <x:v>UNIVERSITAS PATTIMURA</x:v>
      </x:c>
      <x:c r="D3714" t="str">
        <x:v>REKAYASA INSTRUMENTASI DAN OTOMASI</x:v>
      </x:c>
      <x:c r="E3714" t="str">
        <x:v>Sarjana</x:v>
      </x:c>
      <x:c r="F3714" s="18" t="n">
        <x:v>21</x:v>
      </x:c>
      <x:c r="G3714" s="18"/>
      <x:c r="H3714" s="19" t="n">
        <x:v>0</x:v>
      </x:c>
      <x:c r="I3714" s="18" t="n">
        <x:f>ROUND(MIN(Model_Config_v3!$B$6,MAX(Q3714,R3714,S3714*Model_Config_v3!$B$4+T3714*Model_Config_v3!$B$5)),0)</x:f>
        <x:v>598</x:v>
      </x:c>
      <x:c r="J3714" s="18" t="n">
        <x:f>MIN(Model_Config_v3!$B$6,I3714+Model_Config_v3!$B$7)</x:f>
        <x:v>618</x:v>
      </x:c>
      <x:c r="K3714" s="20" t="n">
        <x:v>35.5</x:v>
      </x:c>
      <x:c r="L3714" t="str">
        <x:v>RELATIF LONGGAR</x:v>
      </x:c>
      <x:c r="M3714" t="str">
        <x:v>RENDAH</x:v>
      </x:c>
      <x:c r="N3714" t="str">
        <x:v>REGULER</x:v>
      </x:c>
      <x:c r="O3714" t="str">
        <x:v>CAMPURAN</x:v>
      </x:c>
      <x:c r="P3714" t="str">
        <x:v>UMUM</x:v>
      </x:c>
      <x:c r="Q3714" s="18" t="n">
        <x:v>0</x:v>
      </x:c>
      <x:c r="R3714" s="18" t="n">
        <x:v>0</x:v>
      </x:c>
      <x:c r="S3714" s="18" t="n">
        <x:v>520</x:v>
      </x:c>
      <x:c r="T3714" s="18" t="n">
        <x:v>631</x:v>
      </x:c>
      <x:c r="U3714" s="18" t="n">
        <x:v>520</x:v>
      </x:c>
      <x:c r="V3714" s="20" t="n">
        <x:v>8.8</x:v>
      </x:c>
      <x:c r="W3714" s="20" t="n">
        <x:v>9.9</x:v>
      </x:c>
      <x:c r="X3714" s="20" t="n">
        <x:v>3.3</x:v>
      </x:c>
      <x:c r="Y3714" t="str">
        <x:v>Basis arsip 2025/2024</x:v>
      </x:c>
      <x:c r="Z3714" t="str">
        <x:v>https://snpmb.id/utbk-snbt/daya-tampung-snbt</x:v>
      </x:c>
      <x:c r="AA3714" t="str">
        <x:v>Tidak Ada</x:v>
      </x:c>
      <x:c r="AB3714" t="str">
        <x:v>Campus=55; Ratio=0.0; Prodi=40; RelDemand=0.0; Capacity=82.5</x:v>
      </x:c>
    </x:row>
    <x:row r="3715">
      <x:c r="A3715" t="n">
        <x:v>3712</x:v>
      </x:c>
      <x:c r="B3715" t="str">
        <x:v>PTN Akademik</x:v>
      </x:c>
      <x:c r="C3715" t="str">
        <x:v>UNIVERSITAS KHAIRUN</x:v>
      </x:c>
      <x:c r="D3715" t="str">
        <x:v>TEKNIK SIPIL</x:v>
      </x:c>
      <x:c r="E3715" t="str">
        <x:v>Sarjana</x:v>
      </x:c>
      <x:c r="F3715" s="18" t="n">
        <x:v>72</x:v>
      </x:c>
      <x:c r="G3715" s="18" t="n">
        <x:v>109</x:v>
      </x:c>
      <x:c r="H3715" s="19" t="n">
        <x:v>1.5138888888888888</x:v>
      </x:c>
      <x:c r="I3715" s="18" t="n">
        <x:f>ROUND(MIN(Model_Config_v3!$B$6,MAX(Q3715,R3715,S3715*Model_Config_v3!$B$4+T3715*Model_Config_v3!$B$5)),0)</x:f>
        <x:v>616</x:v>
      </x:c>
      <x:c r="J3715" s="18" t="n">
        <x:f>MIN(Model_Config_v3!$B$6,I3715+Model_Config_v3!$B$7)</x:f>
        <x:v>636</x:v>
      </x:c>
      <x:c r="K3715" s="20" t="n">
        <x:v>44.7</x:v>
      </x:c>
      <x:c r="L3715" t="str">
        <x:v>RELATIF LONGGAR</x:v>
      </x:c>
      <x:c r="M3715" t="str">
        <x:v>SEDANG+</x:v>
      </x:c>
      <x:c r="N3715" t="str">
        <x:v>REGULER</x:v>
      </x:c>
      <x:c r="O3715" t="str">
        <x:v>SAINTEK</x:v>
      </x:c>
      <x:c r="P3715" t="str">
        <x:v>TEKNIK/ARSITEKTUR/STATISTIKA/AKTUARIA</x:v>
      </x:c>
      <x:c r="Q3715" s="18" t="n">
        <x:v>0</x:v>
      </x:c>
      <x:c r="R3715" s="18" t="n">
        <x:v>0</x:v>
      </x:c>
      <x:c r="S3715" s="18" t="n">
        <x:v>539.810340166029</x:v>
      </x:c>
      <x:c r="T3715" s="18" t="n">
        <x:v>649</x:v>
      </x:c>
      <x:c r="U3715" s="18" t="n">
        <x:v>549.810340166029</x:v>
      </x:c>
      <x:c r="V3715" s="20" t="n">
        <x:v>12</x:v>
      </x:c>
      <x:c r="W3715" s="20" t="n">
        <x:v>5</x:v>
      </x:c>
      <x:c r="X3715" s="20" t="n">
        <x:v>3</x:v>
      </x:c>
      <x:c r="Y3715" t="str">
        <x:v>Basis arsip 2025/2024</x:v>
      </x:c>
      <x:c r="Z3715" t="str">
        <x:v>https://snpmb.id/utbk-snbt/daya-tampung-snbt</x:v>
      </x:c>
      <x:c r="AA3715" t="str">
        <x:v>Tidak Ada</x:v>
      </x:c>
      <x:c r="AB3715" t="str">
        <x:v>Campus=55; Ratio=10.6; Prodi=60; RelDemand=68.1; Capacity=40.0</x:v>
      </x:c>
    </x:row>
    <x:row r="3716">
      <x:c r="A3716" t="n">
        <x:v>3713</x:v>
      </x:c>
      <x:c r="B3716" t="str">
        <x:v>PTN Akademik</x:v>
      </x:c>
      <x:c r="C3716" t="str">
        <x:v>UNIVERSITAS KHAIRUN</x:v>
      </x:c>
      <x:c r="D3716" t="str">
        <x:v>TEKNIK MESIN</x:v>
      </x:c>
      <x:c r="E3716" t="str">
        <x:v>Sarjana</x:v>
      </x:c>
      <x:c r="F3716" s="18" t="n">
        <x:v>40</x:v>
      </x:c>
      <x:c r="G3716" s="18" t="n">
        <x:v>12</x:v>
      </x:c>
      <x:c r="H3716" s="19" t="n">
        <x:v>0.3</x:v>
      </x:c>
      <x:c r="I3716" s="18" t="n">
        <x:f>ROUND(MIN(Model_Config_v3!$B$6,MAX(Q3716,R3716,S3716*Model_Config_v3!$B$4+T3716*Model_Config_v3!$B$5)),0)</x:f>
        <x:v>603</x:v>
      </x:c>
      <x:c r="J3716" s="18" t="n">
        <x:f>MIN(Model_Config_v3!$B$6,I3716+Model_Config_v3!$B$7)</x:f>
        <x:v>623</x:v>
      </x:c>
      <x:c r="K3716" s="20" t="n">
        <x:v>39.3</x:v>
      </x:c>
      <x:c r="L3716" t="str">
        <x:v>RELATIF LONGGAR</x:v>
      </x:c>
      <x:c r="M3716" t="str">
        <x:v>SEDANG+</x:v>
      </x:c>
      <x:c r="N3716" t="str">
        <x:v>REGULER</x:v>
      </x:c>
      <x:c r="O3716" t="str">
        <x:v>SAINTEK</x:v>
      </x:c>
      <x:c r="P3716" t="str">
        <x:v>TEKNIK/ARSITEKTUR/STATISTIKA/AKTUARIA</x:v>
      </x:c>
      <x:c r="Q3716" s="18" t="n">
        <x:v>0</x:v>
      </x:c>
      <x:c r="R3716" s="18" t="n">
        <x:v>0</x:v>
      </x:c>
      <x:c r="S3716" s="18" t="n">
        <x:v>520</x:v>
      </x:c>
      <x:c r="T3716" s="18" t="n">
        <x:v>639</x:v>
      </x:c>
      <x:c r="U3716" s="18" t="n">
        <x:v>530</x:v>
      </x:c>
      <x:c r="V3716" s="20" t="n">
        <x:v>12</x:v>
      </x:c>
      <x:c r="W3716" s="20" t="n">
        <x:v>5</x:v>
      </x:c>
      <x:c r="X3716" s="20" t="n">
        <x:v>3</x:v>
      </x:c>
      <x:c r="Y3716" t="str">
        <x:v>Basis arsip 2025/2024</x:v>
      </x:c>
      <x:c r="Z3716" t="str">
        <x:v>https://snpmb.id/utbk-snbt/daya-tampung-snbt</x:v>
      </x:c>
      <x:c r="AA3716" t="str">
        <x:v>Tidak Ada</x:v>
      </x:c>
      <x:c r="AB3716" t="str">
        <x:v>Campus=55; Ratio=0.0; Prodi=60; RelDemand=13.5; Capacity=66.7</x:v>
      </x:c>
    </x:row>
    <x:row r="3717">
      <x:c r="A3717" t="n">
        <x:v>3714</x:v>
      </x:c>
      <x:c r="B3717" t="str">
        <x:v>PTN Akademik</x:v>
      </x:c>
      <x:c r="C3717" t="str">
        <x:v>UNIVERSITAS KHAIRUN</x:v>
      </x:c>
      <x:c r="D3717" t="str">
        <x:v>TEKNIK ELEKTRO</x:v>
      </x:c>
      <x:c r="E3717" t="str">
        <x:v>Sarjana</x:v>
      </x:c>
      <x:c r="F3717" s="18" t="n">
        <x:v>48</x:v>
      </x:c>
      <x:c r="G3717" s="18" t="n">
        <x:v>15</x:v>
      </x:c>
      <x:c r="H3717" s="19" t="n">
        <x:v>0.3125</x:v>
      </x:c>
      <x:c r="I3717" s="18" t="n">
        <x:f>ROUND(MIN(Model_Config_v3!$B$6,MAX(Q3717,R3717,S3717*Model_Config_v3!$B$4+T3717*Model_Config_v3!$B$5)),0)</x:f>
        <x:v>602</x:v>
      </x:c>
      <x:c r="J3717" s="18" t="n">
        <x:f>MIN(Model_Config_v3!$B$6,I3717+Model_Config_v3!$B$7)</x:f>
        <x:v>622</x:v>
      </x:c>
      <x:c r="K3717" s="20" t="n">
        <x:v>38.7</x:v>
      </x:c>
      <x:c r="L3717" t="str">
        <x:v>RELATIF LONGGAR</x:v>
      </x:c>
      <x:c r="M3717" t="str">
        <x:v>SEDANG+</x:v>
      </x:c>
      <x:c r="N3717" t="str">
        <x:v>REGULER</x:v>
      </x:c>
      <x:c r="O3717" t="str">
        <x:v>SAINTEK</x:v>
      </x:c>
      <x:c r="P3717" t="str">
        <x:v>TEKNIK/ARSITEKTUR/STATISTIKA/AKTUARIA</x:v>
      </x:c>
      <x:c r="Q3717" s="18" t="n">
        <x:v>0</x:v>
      </x:c>
      <x:c r="R3717" s="18" t="n">
        <x:v>0</x:v>
      </x:c>
      <x:c r="S3717" s="18" t="n">
        <x:v>520</x:v>
      </x:c>
      <x:c r="T3717" s="18" t="n">
        <x:v>637</x:v>
      </x:c>
      <x:c r="U3717" s="18" t="n">
        <x:v>530</x:v>
      </x:c>
      <x:c r="V3717" s="20" t="n">
        <x:v>12</x:v>
      </x:c>
      <x:c r="W3717" s="20" t="n">
        <x:v>5</x:v>
      </x:c>
      <x:c r="X3717" s="20" t="n">
        <x:v>3</x:v>
      </x:c>
      <x:c r="Y3717" t="str">
        <x:v>Basis arsip 2025/2024</x:v>
      </x:c>
      <x:c r="Z3717" t="str">
        <x:v>https://snpmb.id/utbk-snbt/daya-tampung-snbt</x:v>
      </x:c>
      <x:c r="AA3717" t="str">
        <x:v>Tidak Ada</x:v>
      </x:c>
      <x:c r="AB3717" t="str">
        <x:v>Campus=55; Ratio=0.0; Prodi=60; RelDemand=14.1; Capacity=60.0</x:v>
      </x:c>
    </x:row>
    <x:row r="3718">
      <x:c r="A3718" t="n">
        <x:v>3715</x:v>
      </x:c>
      <x:c r="B3718" t="str">
        <x:v>PTN Akademik</x:v>
      </x:c>
      <x:c r="C3718" t="str">
        <x:v>UNIVERSITAS KHAIRUN</x:v>
      </x:c>
      <x:c r="D3718" t="str">
        <x:v>ARSITEKTUR</x:v>
      </x:c>
      <x:c r="E3718" t="str">
        <x:v>Sarjana</x:v>
      </x:c>
      <x:c r="F3718" s="18" t="n">
        <x:v>48</x:v>
      </x:c>
      <x:c r="G3718" s="18" t="n">
        <x:v>37</x:v>
      </x:c>
      <x:c r="H3718" s="19" t="n">
        <x:v>0.7708333333333334</x:v>
      </x:c>
      <x:c r="I3718" s="18" t="n">
        <x:f>ROUND(MIN(Model_Config_v3!$B$6,MAX(Q3718,R3718,S3718*Model_Config_v3!$B$4+T3718*Model_Config_v3!$B$5)),0)</x:f>
        <x:v>605</x:v>
      </x:c>
      <x:c r="J3718" s="18" t="n">
        <x:f>MIN(Model_Config_v3!$B$6,I3718+Model_Config_v3!$B$7)</x:f>
        <x:v>625</x:v>
      </x:c>
      <x:c r="K3718" s="20" t="n">
        <x:v>40.7</x:v>
      </x:c>
      <x:c r="L3718" t="str">
        <x:v>RELATIF LONGGAR</x:v>
      </x:c>
      <x:c r="M3718" t="str">
        <x:v>SEDANG+</x:v>
      </x:c>
      <x:c r="N3718" t="str">
        <x:v>REGULER</x:v>
      </x:c>
      <x:c r="O3718" t="str">
        <x:v>SAINTEK</x:v>
      </x:c>
      <x:c r="P3718" t="str">
        <x:v>TEKNIK/ARSITEKTUR/STATISTIKA/AKTUARIA</x:v>
      </x:c>
      <x:c r="Q3718" s="18" t="n">
        <x:v>0</x:v>
      </x:c>
      <x:c r="R3718" s="18" t="n">
        <x:v>0</x:v>
      </x:c>
      <x:c r="S3718" s="18" t="n">
        <x:v>520</x:v>
      </x:c>
      <x:c r="T3718" s="18" t="n">
        <x:v>641</x:v>
      </x:c>
      <x:c r="U3718" s="18" t="n">
        <x:v>520</x:v>
      </x:c>
      <x:c r="V3718" s="20" t="n">
        <x:v>12</x:v>
      </x:c>
      <x:c r="W3718" s="20" t="n">
        <x:v>5</x:v>
      </x:c>
      <x:c r="X3718" s="20" t="n">
        <x:v>3</x:v>
      </x:c>
      <x:c r="Y3718" t="str">
        <x:v>Basis arsip 2025/2024</x:v>
      </x:c>
      <x:c r="Z3718" t="str">
        <x:v>https://snpmb.id/utbk-snbt/daya-tampung-snbt</x:v>
      </x:c>
      <x:c r="AA3718" t="str">
        <x:v>Tidak Ada</x:v>
      </x:c>
      <x:c r="AB3718" t="str">
        <x:v>Campus=55; Ratio=0.0; Prodi=60; RelDemand=34.7; Capacity=60.0</x:v>
      </x:c>
    </x:row>
    <x:row r="3719">
      <x:c r="A3719" t="n">
        <x:v>3716</x:v>
      </x:c>
      <x:c r="B3719" t="str">
        <x:v>PTN Akademik</x:v>
      </x:c>
      <x:c r="C3719" t="str">
        <x:v>UNIVERSITAS KHAIRUN</x:v>
      </x:c>
      <x:c r="D3719" t="str">
        <x:v>TEKNOLOGI PERTANIAN</x:v>
      </x:c>
      <x:c r="E3719" t="str">
        <x:v>Sarjana</x:v>
      </x:c>
      <x:c r="F3719" s="18" t="n">
        <x:v>20</x:v>
      </x:c>
      <x:c r="G3719" s="18" t="n">
        <x:v>6</x:v>
      </x:c>
      <x:c r="H3719" s="19" t="n">
        <x:v>0.3</x:v>
      </x:c>
      <x:c r="I3719" s="18" t="n">
        <x:f>ROUND(MIN(Model_Config_v3!$B$6,MAX(Q3719,R3719,S3719*Model_Config_v3!$B$4+T3719*Model_Config_v3!$B$5)),0)</x:f>
        <x:v>600</x:v>
      </x:c>
      <x:c r="J3719" s="18" t="n">
        <x:f>MIN(Model_Config_v3!$B$6,I3719+Model_Config_v3!$B$7)</x:f>
        <x:v>620</x:v>
      </x:c>
      <x:c r="K3719" s="20" t="n">
        <x:v>36.9</x:v>
      </x:c>
      <x:c r="L3719" t="str">
        <x:v>RELATIF LONGGAR</x:v>
      </x:c>
      <x:c r="M3719" t="str">
        <x:v>SEDANG</x:v>
      </x:c>
      <x:c r="N3719" t="str">
        <x:v>REGULER</x:v>
      </x:c>
      <x:c r="O3719" t="str">
        <x:v>SAINTEK</x:v>
      </x:c>
      <x:c r="P3719" t="str">
        <x:v>UMUM</x:v>
      </x:c>
      <x:c r="Q3719" s="18" t="n">
        <x:v>0</x:v>
      </x:c>
      <x:c r="R3719" s="18" t="n">
        <x:v>0</x:v>
      </x:c>
      <x:c r="S3719" s="18" t="n">
        <x:v>520</x:v>
      </x:c>
      <x:c r="T3719" s="18" t="n">
        <x:v>634</x:v>
      </x:c>
      <x:c r="U3719" s="18" t="n">
        <x:v>520</x:v>
      </x:c>
      <x:c r="V3719" s="20" t="n">
        <x:v>12</x:v>
      </x:c>
      <x:c r="W3719" s="20" t="n">
        <x:v>5</x:v>
      </x:c>
      <x:c r="X3719" s="20" t="n">
        <x:v>3</x:v>
      </x:c>
      <x:c r="Y3719" t="str">
        <x:v>Basis arsip 2025/2024</x:v>
      </x:c>
      <x:c r="Z3719" t="str">
        <x:v>https://snpmb.id/utbk-snbt/daya-tampung-snbt</x:v>
      </x:c>
      <x:c r="AA3719" t="str">
        <x:v>Tidak Ada</x:v>
      </x:c>
      <x:c r="AB3719" t="str">
        <x:v>Campus=55; Ratio=0.0; Prodi=40; RelDemand=13.5; Capacity=83.3</x:v>
      </x:c>
    </x:row>
    <x:row r="3720">
      <x:c r="A3720" t="n">
        <x:v>3717</x:v>
      </x:c>
      <x:c r="B3720" t="str">
        <x:v>PTN Akademik</x:v>
      </x:c>
      <x:c r="C3720" t="str">
        <x:v>UNIVERSITAS KHAIRUN</x:v>
      </x:c>
      <x:c r="D3720" t="str">
        <x:v>PETERNAKAN</x:v>
      </x:c>
      <x:c r="E3720" t="str">
        <x:v>Sarjana</x:v>
      </x:c>
      <x:c r="F3720" s="18" t="n">
        <x:v>16</x:v>
      </x:c>
      <x:c r="G3720" s="18"/>
      <x:c r="H3720" s="19" t="n">
        <x:v>0</x:v>
      </x:c>
      <x:c r="I3720" s="18" t="n">
        <x:f>ROUND(MIN(Model_Config_v3!$B$6,MAX(Q3720,R3720,S3720*Model_Config_v3!$B$4+T3720*Model_Config_v3!$B$5)),0)</x:f>
        <x:v>598</x:v>
      </x:c>
      <x:c r="J3720" s="18" t="n">
        <x:f>MIN(Model_Config_v3!$B$6,I3720+Model_Config_v3!$B$7)</x:f>
        <x:v>618</x:v>
      </x:c>
      <x:c r="K3720" s="20" t="n">
        <x:v>35.9</x:v>
      </x:c>
      <x:c r="L3720" t="str">
        <x:v>RELATIF LONGGAR</x:v>
      </x:c>
      <x:c r="M3720" t="str">
        <x:v>RENDAH</x:v>
      </x:c>
      <x:c r="N3720" t="str">
        <x:v>REGULER</x:v>
      </x:c>
      <x:c r="O3720" t="str">
        <x:v>SAINTEK</x:v>
      </x:c>
      <x:c r="P3720" t="str">
        <x:v>UMUM</x:v>
      </x:c>
      <x:c r="Q3720" s="18" t="n">
        <x:v>0</x:v>
      </x:c>
      <x:c r="R3720" s="18" t="n">
        <x:v>0</x:v>
      </x:c>
      <x:c r="S3720" s="18" t="n">
        <x:v>520</x:v>
      </x:c>
      <x:c r="T3720" s="18" t="n">
        <x:v>632</x:v>
      </x:c>
      <x:c r="U3720" s="18" t="n">
        <x:v>520</x:v>
      </x:c>
      <x:c r="V3720" s="20" t="n">
        <x:v>12</x:v>
      </x:c>
      <x:c r="W3720" s="20" t="n">
        <x:v>5</x:v>
      </x:c>
      <x:c r="X3720" s="20" t="n">
        <x:v>3</x:v>
      </x:c>
      <x:c r="Y3720" t="str">
        <x:v>Basis arsip 2025/2024</x:v>
      </x:c>
      <x:c r="Z3720" t="str">
        <x:v>https://snpmb.id/utbk-snbt/daya-tampung-snbt</x:v>
      </x:c>
      <x:c r="AA3720" t="str">
        <x:v>Tidak Ada</x:v>
      </x:c>
      <x:c r="AB3720" t="str">
        <x:v>Campus=55; Ratio=0.0; Prodi=40; RelDemand=0.0; Capacity=86.7</x:v>
      </x:c>
    </x:row>
    <x:row r="3721">
      <x:c r="A3721" t="n">
        <x:v>3718</x:v>
      </x:c>
      <x:c r="B3721" t="str">
        <x:v>PTN Akademik</x:v>
      </x:c>
      <x:c r="C3721" t="str">
        <x:v>UNIVERSITAS KHAIRUN</x:v>
      </x:c>
      <x:c r="D3721" t="str">
        <x:v>MANAJEMEN SUMBERDAYA PERAIRAN</x:v>
      </x:c>
      <x:c r="E3721" t="str">
        <x:v>Sarjana</x:v>
      </x:c>
      <x:c r="F3721" s="18" t="n">
        <x:v>24</x:v>
      </x:c>
      <x:c r="G3721" s="18" t="n">
        <x:v>8</x:v>
      </x:c>
      <x:c r="H3721" s="19" t="n">
        <x:v>0.3333333333333333</x:v>
      </x:c>
      <x:c r="I3721" s="18" t="n">
        <x:f>ROUND(MIN(Model_Config_v3!$B$6,MAX(Q3721,R3721,S3721*Model_Config_v3!$B$4+T3721*Model_Config_v3!$B$5)),0)</x:f>
        <x:v>606</x:v>
      </x:c>
      <x:c r="J3721" s="18" t="n">
        <x:f>MIN(Model_Config_v3!$B$6,I3721+Model_Config_v3!$B$7)</x:f>
        <x:v>626</x:v>
      </x:c>
      <x:c r="K3721" s="20" t="n">
        <x:v>41.7</x:v>
      </x:c>
      <x:c r="L3721" t="str">
        <x:v>RELATIF LONGGAR</x:v>
      </x:c>
      <x:c r="M3721" t="str">
        <x:v>SEDANG+</x:v>
      </x:c>
      <x:c r="N3721" t="str">
        <x:v>REGULER</x:v>
      </x:c>
      <x:c r="O3721" t="str">
        <x:v>SOSHUM</x:v>
      </x:c>
      <x:c r="P3721" t="str">
        <x:v>BISNIS/EKONOMI/AKUNTANSI</x:v>
      </x:c>
      <x:c r="Q3721" s="18" t="n">
        <x:v>0</x:v>
      </x:c>
      <x:c r="R3721" s="18" t="n">
        <x:v>0</x:v>
      </x:c>
      <x:c r="S3721" s="18" t="n">
        <x:v>520</x:v>
      </x:c>
      <x:c r="T3721" s="18" t="n">
        <x:v>643</x:v>
      </x:c>
      <x:c r="U3721" s="18" t="n">
        <x:v>535</x:v>
      </x:c>
      <x:c r="V3721" s="20" t="n">
        <x:v>4.4</x:v>
      </x:c>
      <x:c r="W3721" s="20" t="n">
        <x:v>14.3</x:v>
      </x:c>
      <x:c r="X3721" s="20" t="n">
        <x:v>3.3</x:v>
      </x:c>
      <x:c r="Y3721" t="str">
        <x:v>Basis arsip 2025/2024</x:v>
      </x:c>
      <x:c r="Z3721" t="str">
        <x:v>https://snpmb.id/utbk-snbt/daya-tampung-snbt</x:v>
      </x:c>
      <x:c r="AA3721" t="str">
        <x:v>Tidak Ada</x:v>
      </x:c>
      <x:c r="AB3721" t="str">
        <x:v>Campus=55; Ratio=0.0; Prodi=65; RelDemand=15.0; Capacity=80.0</x:v>
      </x:c>
    </x:row>
    <x:row r="3722">
      <x:c r="A3722" t="n">
        <x:v>3719</x:v>
      </x:c>
      <x:c r="B3722" t="str">
        <x:v>PTN Akademik</x:v>
      </x:c>
      <x:c r="C3722" t="str">
        <x:v>UNIVERSITAS KHAIRUN</x:v>
      </x:c>
      <x:c r="D3722" t="str">
        <x:v>ILMU KELAUTAN</x:v>
      </x:c>
      <x:c r="E3722" t="str">
        <x:v>Sarjana</x:v>
      </x:c>
      <x:c r="F3722" s="18" t="n">
        <x:v>16</x:v>
      </x:c>
      <x:c r="G3722" s="18" t="n">
        <x:v>6</x:v>
      </x:c>
      <x:c r="H3722" s="19" t="n">
        <x:v>0.375</x:v>
      </x:c>
      <x:c r="I3722" s="18" t="n">
        <x:f>ROUND(MIN(Model_Config_v3!$B$6,MAX(Q3722,R3722,S3722*Model_Config_v3!$B$4+T3722*Model_Config_v3!$B$5)),0)</x:f>
        <x:v>601</x:v>
      </x:c>
      <x:c r="J3722" s="18" t="n">
        <x:f>MIN(Model_Config_v3!$B$6,I3722+Model_Config_v3!$B$7)</x:f>
        <x:v>621</x:v>
      </x:c>
      <x:c r="K3722" s="20" t="n">
        <x:v>37.6</x:v>
      </x:c>
      <x:c r="L3722" t="str">
        <x:v>RELATIF LONGGAR</x:v>
      </x:c>
      <x:c r="M3722" t="str">
        <x:v>SEDANG</x:v>
      </x:c>
      <x:c r="N3722" t="str">
        <x:v>REGULER</x:v>
      </x:c>
      <x:c r="O3722" t="str">
        <x:v>SAINTEK</x:v>
      </x:c>
      <x:c r="P3722" t="str">
        <x:v>UMUM</x:v>
      </x:c>
      <x:c r="Q3722" s="18" t="n">
        <x:v>0</x:v>
      </x:c>
      <x:c r="R3722" s="18" t="n">
        <x:v>0</x:v>
      </x:c>
      <x:c r="S3722" s="18" t="n">
        <x:v>520</x:v>
      </x:c>
      <x:c r="T3722" s="18" t="n">
        <x:v>635</x:v>
      </x:c>
      <x:c r="U3722" s="18" t="n">
        <x:v>520</x:v>
      </x:c>
      <x:c r="V3722" s="20" t="n">
        <x:v>12</x:v>
      </x:c>
      <x:c r="W3722" s="20" t="n">
        <x:v>5</x:v>
      </x:c>
      <x:c r="X3722" s="20" t="n">
        <x:v>3</x:v>
      </x:c>
      <x:c r="Y3722" t="str">
        <x:v>Basis arsip 2025/2024</x:v>
      </x:c>
      <x:c r="Z3722" t="str">
        <x:v>https://snpmb.id/utbk-snbt/daya-tampung-snbt</x:v>
      </x:c>
      <x:c r="AA3722" t="str">
        <x:v>Tidak Ada</x:v>
      </x:c>
      <x:c r="AB3722" t="str">
        <x:v>Campus=55; Ratio=0.0; Prodi=40; RelDemand=16.9; Capacity=86.7</x:v>
      </x:c>
    </x:row>
    <x:row r="3723">
      <x:c r="A3723" t="n">
        <x:v>3720</x:v>
      </x:c>
      <x:c r="B3723" t="str">
        <x:v>PTN Akademik</x:v>
      </x:c>
      <x:c r="C3723" t="str">
        <x:v>UNIVERSITAS KHAIRUN</x:v>
      </x:c>
      <x:c r="D3723" t="str">
        <x:v>PEMANFAATAN SUMBERDAYA PERAIRAN</x:v>
      </x:c>
      <x:c r="E3723" t="str">
        <x:v>Sarjana</x:v>
      </x:c>
      <x:c r="F3723" s="18" t="n">
        <x:v>16</x:v>
      </x:c>
      <x:c r="G3723" s="18" t="n">
        <x:v>2</x:v>
      </x:c>
      <x:c r="H3723" s="19" t="n">
        <x:v>0.125</x:v>
      </x:c>
      <x:c r="I3723" s="18" t="n">
        <x:f>ROUND(MIN(Model_Config_v3!$B$6,MAX(Q3723,R3723,S3723*Model_Config_v3!$B$4+T3723*Model_Config_v3!$B$5)),0)</x:f>
        <x:v>599</x:v>
      </x:c>
      <x:c r="J3723" s="18" t="n">
        <x:f>MIN(Model_Config_v3!$B$6,I3723+Model_Config_v3!$B$7)</x:f>
        <x:v>619</x:v>
      </x:c>
      <x:c r="K3723" s="20" t="n">
        <x:v>36.5</x:v>
      </x:c>
      <x:c r="L3723" t="str">
        <x:v>RELATIF LONGGAR</x:v>
      </x:c>
      <x:c r="M3723" t="str">
        <x:v>SEDANG</x:v>
      </x:c>
      <x:c r="N3723" t="str">
        <x:v>REGULER</x:v>
      </x:c>
      <x:c r="O3723" t="str">
        <x:v>CAMPURAN</x:v>
      </x:c>
      <x:c r="P3723" t="str">
        <x:v>UMUM</x:v>
      </x:c>
      <x:c r="Q3723" s="18" t="n">
        <x:v>0</x:v>
      </x:c>
      <x:c r="R3723" s="18" t="n">
        <x:v>0</x:v>
      </x:c>
      <x:c r="S3723" s="18" t="n">
        <x:v>520</x:v>
      </x:c>
      <x:c r="T3723" s="18" t="n">
        <x:v>633</x:v>
      </x:c>
      <x:c r="U3723" s="18" t="n">
        <x:v>520</x:v>
      </x:c>
      <x:c r="V3723" s="20" t="n">
        <x:v>8.8</x:v>
      </x:c>
      <x:c r="W3723" s="20" t="n">
        <x:v>9.9</x:v>
      </x:c>
      <x:c r="X3723" s="20" t="n">
        <x:v>3.3</x:v>
      </x:c>
      <x:c r="Y3723" t="str">
        <x:v>Basis arsip 2025/2024</x:v>
      </x:c>
      <x:c r="Z3723" t="str">
        <x:v>https://snpmb.id/utbk-snbt/daya-tampung-snbt</x:v>
      </x:c>
      <x:c r="AA3723" t="str">
        <x:v>Tidak Ada</x:v>
      </x:c>
      <x:c r="AB3723" t="str">
        <x:v>Campus=55; Ratio=0.0; Prodi=40; RelDemand=5.6; Capacity=86.7</x:v>
      </x:c>
    </x:row>
    <x:row r="3724">
      <x:c r="A3724" t="n">
        <x:v>3721</x:v>
      </x:c>
      <x:c r="B3724" t="str">
        <x:v>PTN Akademik</x:v>
      </x:c>
      <x:c r="C3724" t="str">
        <x:v>UNIVERSITAS KHAIRUN</x:v>
      </x:c>
      <x:c r="D3724" t="str">
        <x:v>BUDIDAYA PERAIRAN</x:v>
      </x:c>
      <x:c r="E3724" t="str">
        <x:v>Sarjana</x:v>
      </x:c>
      <x:c r="F3724" s="18" t="n">
        <x:v>16</x:v>
      </x:c>
      <x:c r="G3724" s="18" t="n">
        <x:v>4</x:v>
      </x:c>
      <x:c r="H3724" s="19" t="n">
        <x:v>0.25</x:v>
      </x:c>
      <x:c r="I3724" s="18" t="n">
        <x:f>ROUND(MIN(Model_Config_v3!$B$6,MAX(Q3724,R3724,S3724*Model_Config_v3!$B$4+T3724*Model_Config_v3!$B$5)),0)</x:f>
        <x:v>600</x:v>
      </x:c>
      <x:c r="J3724" s="18" t="n">
        <x:f>MIN(Model_Config_v3!$B$6,I3724+Model_Config_v3!$B$7)</x:f>
        <x:v>620</x:v>
      </x:c>
      <x:c r="K3724" s="20" t="n">
        <x:v>37</x:v>
      </x:c>
      <x:c r="L3724" t="str">
        <x:v>RELATIF LONGGAR</x:v>
      </x:c>
      <x:c r="M3724" t="str">
        <x:v>SEDANG</x:v>
      </x:c>
      <x:c r="N3724" t="str">
        <x:v>REGULER</x:v>
      </x:c>
      <x:c r="O3724" t="str">
        <x:v>CAMPURAN</x:v>
      </x:c>
      <x:c r="P3724" t="str">
        <x:v>UMUM</x:v>
      </x:c>
      <x:c r="Q3724" s="18" t="n">
        <x:v>0</x:v>
      </x:c>
      <x:c r="R3724" s="18" t="n">
        <x:v>0</x:v>
      </x:c>
      <x:c r="S3724" s="18" t="n">
        <x:v>520</x:v>
      </x:c>
      <x:c r="T3724" s="18" t="n">
        <x:v>634</x:v>
      </x:c>
      <x:c r="U3724" s="18" t="n">
        <x:v>520</x:v>
      </x:c>
      <x:c r="V3724" s="20" t="n">
        <x:v>8.8</x:v>
      </x:c>
      <x:c r="W3724" s="20" t="n">
        <x:v>9.9</x:v>
      </x:c>
      <x:c r="X3724" s="20" t="n">
        <x:v>3.3</x:v>
      </x:c>
      <x:c r="Y3724" t="str">
        <x:v>Basis arsip 2025/2024</x:v>
      </x:c>
      <x:c r="Z3724" t="str">
        <x:v>https://snpmb.id/utbk-snbt/daya-tampung-snbt</x:v>
      </x:c>
      <x:c r="AA3724" t="str">
        <x:v>Tidak Ada</x:v>
      </x:c>
      <x:c r="AB3724" t="str">
        <x:v>Campus=55; Ratio=0.0; Prodi=40; RelDemand=11.2; Capacity=86.7</x:v>
      </x:c>
    </x:row>
    <x:row r="3725">
      <x:c r="A3725" t="n">
        <x:v>3722</x:v>
      </x:c>
      <x:c r="B3725" t="str">
        <x:v>PTN Akademik</x:v>
      </x:c>
      <x:c r="C3725" t="str">
        <x:v>UNIVERSITAS KHAIRUN</x:v>
      </x:c>
      <x:c r="D3725" t="str">
        <x:v>PEND. MATEMATIKA</x:v>
      </x:c>
      <x:c r="E3725" t="str">
        <x:v>Sarjana</x:v>
      </x:c>
      <x:c r="F3725" s="18" t="n">
        <x:v>32</x:v>
      </x:c>
      <x:c r="G3725" s="18" t="n">
        <x:v>17</x:v>
      </x:c>
      <x:c r="H3725" s="19" t="n">
        <x:v>0.53125</x:v>
      </x:c>
      <x:c r="I3725" s="18" t="n">
        <x:f>ROUND(MIN(Model_Config_v3!$B$6,MAX(Q3725,R3725,S3725*Model_Config_v3!$B$4+T3725*Model_Config_v3!$B$5)),0)</x:f>
        <x:v>601</x:v>
      </x:c>
      <x:c r="J3725" s="18" t="n">
        <x:f>MIN(Model_Config_v3!$B$6,I3725+Model_Config_v3!$B$7)</x:f>
        <x:v>621</x:v>
      </x:c>
      <x:c r="K3725" s="20" t="n">
        <x:v>38</x:v>
      </x:c>
      <x:c r="L3725" t="str">
        <x:v>RELATIF LONGGAR</x:v>
      </x:c>
      <x:c r="M3725" t="str">
        <x:v>SEDANG+</x:v>
      </x:c>
      <x:c r="N3725" t="str">
        <x:v>REGULER</x:v>
      </x:c>
      <x:c r="O3725" t="str">
        <x:v>SAINTEK</x:v>
      </x:c>
      <x:c r="P3725" t="str">
        <x:v>PENDIDIKAN</x:v>
      </x:c>
      <x:c r="Q3725" s="18" t="n">
        <x:v>0</x:v>
      </x:c>
      <x:c r="R3725" s="18" t="n">
        <x:v>0</x:v>
      </x:c>
      <x:c r="S3725" s="18" t="n">
        <x:v>520</x:v>
      </x:c>
      <x:c r="T3725" s="18" t="n">
        <x:v>636</x:v>
      </x:c>
      <x:c r="U3725" s="18" t="n">
        <x:v>520</x:v>
      </x:c>
      <x:c r="V3725" s="20" t="n">
        <x:v>12</x:v>
      </x:c>
      <x:c r="W3725" s="20" t="n">
        <x:v>5</x:v>
      </x:c>
      <x:c r="X3725" s="20" t="n">
        <x:v>3</x:v>
      </x:c>
      <x:c r="Y3725" t="str">
        <x:v>Basis arsip 2025/2024</x:v>
      </x:c>
      <x:c r="Z3725" t="str">
        <x:v>https://snpmb.id/utbk-snbt/daya-tampung-snbt</x:v>
      </x:c>
      <x:c r="AA3725" t="str">
        <x:v>Tidak Ada</x:v>
      </x:c>
      <x:c r="AB3725" t="str">
        <x:v>Campus=55; Ratio=0.0; Prodi=45; RelDemand=23.9; Capacity=73.3</x:v>
      </x:c>
    </x:row>
    <x:row r="3726">
      <x:c r="A3726" t="n">
        <x:v>3723</x:v>
      </x:c>
      <x:c r="B3726" t="str">
        <x:v>PTN Akademik</x:v>
      </x:c>
      <x:c r="C3726" t="str">
        <x:v>UNIVERSITAS KHAIRUN</x:v>
      </x:c>
      <x:c r="D3726" t="str">
        <x:v>PEND. BIOLOGI</x:v>
      </x:c>
      <x:c r="E3726" t="str">
        <x:v>Sarjana</x:v>
      </x:c>
      <x:c r="F3726" s="18" t="n">
        <x:v>40</x:v>
      </x:c>
      <x:c r="G3726" s="18" t="n">
        <x:v>19</x:v>
      </x:c>
      <x:c r="H3726" s="19" t="n">
        <x:v>0.475</x:v>
      </x:c>
      <x:c r="I3726" s="18" t="n">
        <x:f>ROUND(MIN(Model_Config_v3!$B$6,MAX(Q3726,R3726,S3726*Model_Config_v3!$B$4+T3726*Model_Config_v3!$B$5)),0)</x:f>
        <x:v>600</x:v>
      </x:c>
      <x:c r="J3726" s="18" t="n">
        <x:f>MIN(Model_Config_v3!$B$6,I3726+Model_Config_v3!$B$7)</x:f>
        <x:v>620</x:v>
      </x:c>
      <x:c r="K3726" s="20" t="n">
        <x:v>37.1</x:v>
      </x:c>
      <x:c r="L3726" t="str">
        <x:v>RELATIF LONGGAR</x:v>
      </x:c>
      <x:c r="M3726" t="str">
        <x:v>SEDANG+</x:v>
      </x:c>
      <x:c r="N3726" t="str">
        <x:v>REGULER</x:v>
      </x:c>
      <x:c r="O3726" t="str">
        <x:v>SAINTEK</x:v>
      </x:c>
      <x:c r="P3726" t="str">
        <x:v>PENDIDIKAN</x:v>
      </x:c>
      <x:c r="Q3726" s="18" t="n">
        <x:v>0</x:v>
      </x:c>
      <x:c r="R3726" s="18" t="n">
        <x:v>0</x:v>
      </x:c>
      <x:c r="S3726" s="18" t="n">
        <x:v>520</x:v>
      </x:c>
      <x:c r="T3726" s="18" t="n">
        <x:v>634</x:v>
      </x:c>
      <x:c r="U3726" s="18" t="n">
        <x:v>520</x:v>
      </x:c>
      <x:c r="V3726" s="20" t="n">
        <x:v>12</x:v>
      </x:c>
      <x:c r="W3726" s="20" t="n">
        <x:v>5</x:v>
      </x:c>
      <x:c r="X3726" s="20" t="n">
        <x:v>3</x:v>
      </x:c>
      <x:c r="Y3726" t="str">
        <x:v>Basis arsip 2025/2024</x:v>
      </x:c>
      <x:c r="Z3726" t="str">
        <x:v>https://snpmb.id/utbk-snbt/daya-tampung-snbt</x:v>
      </x:c>
      <x:c r="AA3726" t="str">
        <x:v>Tidak Ada</x:v>
      </x:c>
      <x:c r="AB3726" t="str">
        <x:v>Campus=55; Ratio=0.0; Prodi=45; RelDemand=21.4; Capacity=66.7</x:v>
      </x:c>
    </x:row>
    <x:row r="3727">
      <x:c r="A3727" t="n">
        <x:v>3724</x:v>
      </x:c>
      <x:c r="B3727" t="str">
        <x:v>PTN Akademik</x:v>
      </x:c>
      <x:c r="C3727" t="str">
        <x:v>UNIVERSITAS KHAIRUN</x:v>
      </x:c>
      <x:c r="D3727" t="str">
        <x:v>PEND. FISIKA</x:v>
      </x:c>
      <x:c r="E3727" t="str">
        <x:v>Sarjana</x:v>
      </x:c>
      <x:c r="F3727" s="18" t="n">
        <x:v>20</x:v>
      </x:c>
      <x:c r="G3727" s="18" t="n">
        <x:v>14</x:v>
      </x:c>
      <x:c r="H3727" s="19" t="n">
        <x:v>0.7</x:v>
      </x:c>
      <x:c r="I3727" s="18" t="n">
        <x:f>ROUND(MIN(Model_Config_v3!$B$6,MAX(Q3727,R3727,S3727*Model_Config_v3!$B$4+T3727*Model_Config_v3!$B$5)),0)</x:f>
        <x:v>603</x:v>
      </x:c>
      <x:c r="J3727" s="18" t="n">
        <x:f>MIN(Model_Config_v3!$B$6,I3727+Model_Config_v3!$B$7)</x:f>
        <x:v>623</x:v>
      </x:c>
      <x:c r="K3727" s="20" t="n">
        <x:v>39.7</x:v>
      </x:c>
      <x:c r="L3727" t="str">
        <x:v>RELATIF LONGGAR</x:v>
      </x:c>
      <x:c r="M3727" t="str">
        <x:v>SEDANG+</x:v>
      </x:c>
      <x:c r="N3727" t="str">
        <x:v>REGULER</x:v>
      </x:c>
      <x:c r="O3727" t="str">
        <x:v>SAINTEK</x:v>
      </x:c>
      <x:c r="P3727" t="str">
        <x:v>PENDIDIKAN</x:v>
      </x:c>
      <x:c r="Q3727" s="18" t="n">
        <x:v>0</x:v>
      </x:c>
      <x:c r="R3727" s="18" t="n">
        <x:v>0</x:v>
      </x:c>
      <x:c r="S3727" s="18" t="n">
        <x:v>520</x:v>
      </x:c>
      <x:c r="T3727" s="18" t="n">
        <x:v>639</x:v>
      </x:c>
      <x:c r="U3727" s="18" t="n">
        <x:v>520</x:v>
      </x:c>
      <x:c r="V3727" s="20" t="n">
        <x:v>12</x:v>
      </x:c>
      <x:c r="W3727" s="20" t="n">
        <x:v>5</x:v>
      </x:c>
      <x:c r="X3727" s="20" t="n">
        <x:v>3</x:v>
      </x:c>
      <x:c r="Y3727" t="str">
        <x:v>Basis arsip 2025/2024</x:v>
      </x:c>
      <x:c r="Z3727" t="str">
        <x:v>https://snpmb.id/utbk-snbt/daya-tampung-snbt</x:v>
      </x:c>
      <x:c r="AA3727" t="str">
        <x:v>Tidak Ada</x:v>
      </x:c>
      <x:c r="AB3727" t="str">
        <x:v>Campus=55; Ratio=0.0; Prodi=45; RelDemand=31.5; Capacity=83.3</x:v>
      </x:c>
    </x:row>
    <x:row r="3728">
      <x:c r="A3728" t="n">
        <x:v>3725</x:v>
      </x:c>
      <x:c r="B3728" t="str">
        <x:v>PTN Akademik</x:v>
      </x:c>
      <x:c r="C3728" t="str">
        <x:v>UNIVERSITAS KHAIRUN</x:v>
      </x:c>
      <x:c r="D3728" t="str">
        <x:v>PEND. KIMIA</x:v>
      </x:c>
      <x:c r="E3728" t="str">
        <x:v>Sarjana</x:v>
      </x:c>
      <x:c r="F3728" s="18" t="n">
        <x:v>32</x:v>
      </x:c>
      <x:c r="G3728" s="18" t="n">
        <x:v>10</x:v>
      </x:c>
      <x:c r="H3728" s="19" t="n">
        <x:v>0.3125</x:v>
      </x:c>
      <x:c r="I3728" s="18" t="n">
        <x:f>ROUND(MIN(Model_Config_v3!$B$6,MAX(Q3728,R3728,S3728*Model_Config_v3!$B$4+T3728*Model_Config_v3!$B$5)),0)</x:f>
        <x:v>600</x:v>
      </x:c>
      <x:c r="J3728" s="18" t="n">
        <x:f>MIN(Model_Config_v3!$B$6,I3728+Model_Config_v3!$B$7)</x:f>
        <x:v>620</x:v>
      </x:c>
      <x:c r="K3728" s="20" t="n">
        <x:v>37</x:v>
      </x:c>
      <x:c r="L3728" t="str">
        <x:v>RELATIF LONGGAR</x:v>
      </x:c>
      <x:c r="M3728" t="str">
        <x:v>SEDANG+</x:v>
      </x:c>
      <x:c r="N3728" t="str">
        <x:v>REGULER</x:v>
      </x:c>
      <x:c r="O3728" t="str">
        <x:v>SAINTEK</x:v>
      </x:c>
      <x:c r="P3728" t="str">
        <x:v>PENDIDIKAN</x:v>
      </x:c>
      <x:c r="Q3728" s="18" t="n">
        <x:v>0</x:v>
      </x:c>
      <x:c r="R3728" s="18" t="n">
        <x:v>0</x:v>
      </x:c>
      <x:c r="S3728" s="18" t="n">
        <x:v>520</x:v>
      </x:c>
      <x:c r="T3728" s="18" t="n">
        <x:v>634</x:v>
      </x:c>
      <x:c r="U3728" s="18" t="n">
        <x:v>520</x:v>
      </x:c>
      <x:c r="V3728" s="20" t="n">
        <x:v>12</x:v>
      </x:c>
      <x:c r="W3728" s="20" t="n">
        <x:v>5</x:v>
      </x:c>
      <x:c r="X3728" s="20" t="n">
        <x:v>3</x:v>
      </x:c>
      <x:c r="Y3728" t="str">
        <x:v>Basis arsip 2025/2024</x:v>
      </x:c>
      <x:c r="Z3728" t="str">
        <x:v>https://snpmb.id/utbk-snbt/daya-tampung-snbt</x:v>
      </x:c>
      <x:c r="AA3728" t="str">
        <x:v>Tidak Ada</x:v>
      </x:c>
      <x:c r="AB3728" t="str">
        <x:v>Campus=55; Ratio=0.0; Prodi=45; RelDemand=14.1; Capacity=73.3</x:v>
      </x:c>
    </x:row>
    <x:row r="3729">
      <x:c r="A3729" t="n">
        <x:v>3726</x:v>
      </x:c>
      <x:c r="B3729" t="str">
        <x:v>PTN Akademik</x:v>
      </x:c>
      <x:c r="C3729" t="str">
        <x:v>UNIVERSITAS KHAIRUN</x:v>
      </x:c>
      <x:c r="D3729" t="str">
        <x:v>AGROTEKNOLOGI</x:v>
      </x:c>
      <x:c r="E3729" t="str">
        <x:v>Sarjana</x:v>
      </x:c>
      <x:c r="F3729" s="18" t="n">
        <x:v>20</x:v>
      </x:c>
      <x:c r="G3729" s="18" t="n">
        <x:v>2</x:v>
      </x:c>
      <x:c r="H3729" s="19" t="n">
        <x:v>0.1</x:v>
      </x:c>
      <x:c r="I3729" s="18" t="n">
        <x:f>ROUND(MIN(Model_Config_v3!$B$6,MAX(Q3729,R3729,S3729*Model_Config_v3!$B$4+T3729*Model_Config_v3!$B$5)),0)</x:f>
        <x:v>598</x:v>
      </x:c>
      <x:c r="J3729" s="18" t="n">
        <x:f>MIN(Model_Config_v3!$B$6,I3729+Model_Config_v3!$B$7)</x:f>
        <x:v>618</x:v>
      </x:c>
      <x:c r="K3729" s="20" t="n">
        <x:v>36</x:v>
      </x:c>
      <x:c r="L3729" t="str">
        <x:v>RELATIF LONGGAR</x:v>
      </x:c>
      <x:c r="M3729" t="str">
        <x:v>SEDANG</x:v>
      </x:c>
      <x:c r="N3729" t="str">
        <x:v>REGULER</x:v>
      </x:c>
      <x:c r="O3729" t="str">
        <x:v>SAINTEK</x:v>
      </x:c>
      <x:c r="P3729" t="str">
        <x:v>UMUM</x:v>
      </x:c>
      <x:c r="Q3729" s="18" t="n">
        <x:v>0</x:v>
      </x:c>
      <x:c r="R3729" s="18" t="n">
        <x:v>0</x:v>
      </x:c>
      <x:c r="S3729" s="18" t="n">
        <x:v>520</x:v>
      </x:c>
      <x:c r="T3729" s="18" t="n">
        <x:v>632</x:v>
      </x:c>
      <x:c r="U3729" s="18" t="n">
        <x:v>520</x:v>
      </x:c>
      <x:c r="V3729" s="20" t="n">
        <x:v>12</x:v>
      </x:c>
      <x:c r="W3729" s="20" t="n">
        <x:v>5</x:v>
      </x:c>
      <x:c r="X3729" s="20" t="n">
        <x:v>3</x:v>
      </x:c>
      <x:c r="Y3729" t="str">
        <x:v>Basis arsip 2025/2024</x:v>
      </x:c>
      <x:c r="Z3729" t="str">
        <x:v>https://snpmb.id/utbk-snbt/daya-tampung-snbt</x:v>
      </x:c>
      <x:c r="AA3729" t="str">
        <x:v>Tidak Ada</x:v>
      </x:c>
      <x:c r="AB3729" t="str">
        <x:v>Campus=55; Ratio=0.0; Prodi=40; RelDemand=4.5; Capacity=83.3</x:v>
      </x:c>
    </x:row>
    <x:row r="3730">
      <x:c r="A3730" t="n">
        <x:v>3727</x:v>
      </x:c>
      <x:c r="B3730" t="str">
        <x:v>PTN Akademik</x:v>
      </x:c>
      <x:c r="C3730" t="str">
        <x:v>UNIVERSITAS KHAIRUN</x:v>
      </x:c>
      <x:c r="D3730" t="str">
        <x:v>TEKNIK INFORMATIKA</x:v>
      </x:c>
      <x:c r="E3730" t="str">
        <x:v>Sarjana</x:v>
      </x:c>
      <x:c r="F3730" s="18" t="n">
        <x:v>72</x:v>
      </x:c>
      <x:c r="G3730" s="18" t="n">
        <x:v>223</x:v>
      </x:c>
      <x:c r="H3730" s="19" t="n">
        <x:v>3.0972222222222223</x:v>
      </x:c>
      <x:c r="I3730" s="18" t="n">
        <x:f>ROUND(MIN(Model_Config_v3!$B$6,MAX(Q3730,R3730,S3730*Model_Config_v3!$B$4+T3730*Model_Config_v3!$B$5)),0)</x:f>
        <x:v>645</x:v>
      </x:c>
      <x:c r="J3730" s="18" t="n">
        <x:f>MIN(Model_Config_v3!$B$6,I3730+Model_Config_v3!$B$7)</x:f>
        <x:v>665</x:v>
      </x:c>
      <x:c r="K3730" s="20" t="n">
        <x:v>57.5</x:v>
      </x:c>
      <x:c r="L3730" t="str">
        <x:v>KETAT</x:v>
      </x:c>
      <x:c r="M3730" t="str">
        <x:v>SEDANG+</x:v>
      </x:c>
      <x:c r="N3730" t="str">
        <x:v>REGULER</x:v>
      </x:c>
      <x:c r="O3730" t="str">
        <x:v>SAINTEK</x:v>
      </x:c>
      <x:c r="P3730" t="str">
        <x:v>KOMPUTER/INFORMATIKA</x:v>
      </x:c>
      <x:c r="Q3730" s="18" t="n">
        <x:v>0</x:v>
      </x:c>
      <x:c r="R3730" s="18" t="n">
        <x:v>0</x:v>
      </x:c>
      <x:c r="S3730" s="18" t="n">
        <x:v>574.0069603278581</x:v>
      </x:c>
      <x:c r="T3730" s="18" t="n">
        <x:v>675</x:v>
      </x:c>
      <x:c r="U3730" s="18" t="n">
        <x:v>599.0069603278581</x:v>
      </x:c>
      <x:c r="V3730" s="20" t="n">
        <x:v>12</x:v>
      </x:c>
      <x:c r="W3730" s="20" t="n">
        <x:v>5</x:v>
      </x:c>
      <x:c r="X3730" s="20" t="n">
        <x:v>3</x:v>
      </x:c>
      <x:c r="Y3730" t="str">
        <x:v>Basis arsip 2025/2024</x:v>
      </x:c>
      <x:c r="Z3730" t="str">
        <x:v>https://snpmb.id/utbk-snbt/daya-tampung-snbt</x:v>
      </x:c>
      <x:c r="AA3730" t="str">
        <x:v>Tidak Ada</x:v>
      </x:c>
      <x:c r="AB3730" t="str">
        <x:v>Campus=55; Ratio=28.9; Prodi=85; RelDemand=100.0; Capacity=40.0</x:v>
      </x:c>
    </x:row>
    <x:row r="3731">
      <x:c r="A3731" t="n">
        <x:v>3728</x:v>
      </x:c>
      <x:c r="B3731" t="str">
        <x:v>PTN Akademik</x:v>
      </x:c>
      <x:c r="C3731" t="str">
        <x:v>UNIVERSITAS KHAIRUN</x:v>
      </x:c>
      <x:c r="D3731" t="str">
        <x:v>KEHUTANAN</x:v>
      </x:c>
      <x:c r="E3731" t="str">
        <x:v>Sarjana</x:v>
      </x:c>
      <x:c r="F3731" s="18" t="n">
        <x:v>28</x:v>
      </x:c>
      <x:c r="G3731" s="18" t="n">
        <x:v>15</x:v>
      </x:c>
      <x:c r="H3731" s="19" t="n">
        <x:v>0.5357142857142857</x:v>
      </x:c>
      <x:c r="I3731" s="18" t="n">
        <x:f>ROUND(MIN(Model_Config_v3!$B$6,MAX(Q3731,R3731,S3731*Model_Config_v3!$B$4+T3731*Model_Config_v3!$B$5)),0)</x:f>
        <x:v>601</x:v>
      </x:c>
      <x:c r="J3731" s="18" t="n">
        <x:f>MIN(Model_Config_v3!$B$6,I3731+Model_Config_v3!$B$7)</x:f>
        <x:v>621</x:v>
      </x:c>
      <x:c r="K3731" s="20" t="n">
        <x:v>37.3</x:v>
      </x:c>
      <x:c r="L3731" t="str">
        <x:v>RELATIF LONGGAR</x:v>
      </x:c>
      <x:c r="M3731" t="str">
        <x:v>SEDANG</x:v>
      </x:c>
      <x:c r="N3731" t="str">
        <x:v>REGULER</x:v>
      </x:c>
      <x:c r="O3731" t="str">
        <x:v>CAMPURAN</x:v>
      </x:c>
      <x:c r="P3731" t="str">
        <x:v>UMUM</x:v>
      </x:c>
      <x:c r="Q3731" s="18" t="n">
        <x:v>0</x:v>
      </x:c>
      <x:c r="R3731" s="18" t="n">
        <x:v>0</x:v>
      </x:c>
      <x:c r="S3731" s="18" t="n">
        <x:v>520</x:v>
      </x:c>
      <x:c r="T3731" s="18" t="n">
        <x:v>635</x:v>
      </x:c>
      <x:c r="U3731" s="18" t="n">
        <x:v>520</x:v>
      </x:c>
      <x:c r="V3731" s="20" t="n">
        <x:v>8.8</x:v>
      </x:c>
      <x:c r="W3731" s="20" t="n">
        <x:v>9.9</x:v>
      </x:c>
      <x:c r="X3731" s="20" t="n">
        <x:v>3.3</x:v>
      </x:c>
      <x:c r="Y3731" t="str">
        <x:v>Basis arsip 2025/2024</x:v>
      </x:c>
      <x:c r="Z3731" t="str">
        <x:v>https://snpmb.id/utbk-snbt/daya-tampung-snbt</x:v>
      </x:c>
      <x:c r="AA3731" t="str">
        <x:v>Tidak Ada</x:v>
      </x:c>
      <x:c r="AB3731" t="str">
        <x:v>Campus=55; Ratio=0.0; Prodi=40; RelDemand=24.1; Capacity=76.7</x:v>
      </x:c>
    </x:row>
    <x:row r="3732">
      <x:c r="A3732" t="n">
        <x:v>3729</x:v>
      </x:c>
      <x:c r="B3732" t="str">
        <x:v>PTN Akademik</x:v>
      </x:c>
      <x:c r="C3732" t="str">
        <x:v>UNIVERSITAS KHAIRUN</x:v>
      </x:c>
      <x:c r="D3732" t="str">
        <x:v>TEKNIK PERTAMBANGAN</x:v>
      </x:c>
      <x:c r="E3732" t="str">
        <x:v>Sarjana</x:v>
      </x:c>
      <x:c r="F3732" s="18" t="n">
        <x:v>52</x:v>
      </x:c>
      <x:c r="G3732" s="18" t="n">
        <x:v>153</x:v>
      </x:c>
      <x:c r="H3732" s="19" t="n">
        <x:v>2.9423076923076925</x:v>
      </x:c>
      <x:c r="I3732" s="18" t="n">
        <x:f>ROUND(MIN(Model_Config_v3!$B$6,MAX(Q3732,R3732,S3732*Model_Config_v3!$B$4+T3732*Model_Config_v3!$B$5)),0)</x:f>
        <x:v>639</x:v>
      </x:c>
      <x:c r="J3732" s="18" t="n">
        <x:f>MIN(Model_Config_v3!$B$6,I3732+Model_Config_v3!$B$7)</x:f>
        <x:v>659</x:v>
      </x:c>
      <x:c r="K3732" s="20" t="n">
        <x:v>53.8</x:v>
      </x:c>
      <x:c r="L3732" t="str">
        <x:v>MENENGAH</x:v>
      </x:c>
      <x:c r="M3732" t="str">
        <x:v>SEDANG+</x:v>
      </x:c>
      <x:c r="N3732" t="str">
        <x:v>REGULER</x:v>
      </x:c>
      <x:c r="O3732" t="str">
        <x:v>SAINTEK</x:v>
      </x:c>
      <x:c r="P3732" t="str">
        <x:v>TEKNIK/ARSITEKTUR/STATISTIKA/AKTUARIA</x:v>
      </x:c>
      <x:c r="Q3732" s="18" t="n">
        <x:v>0</x:v>
      </x:c>
      <x:c r="R3732" s="18" t="n">
        <x:v>0</x:v>
      </x:c>
      <x:c r="S3732" s="18" t="n">
        <x:v>571.5556895901079</x:v>
      </x:c>
      <x:c r="T3732" s="18" t="n">
        <x:v>668</x:v>
      </x:c>
      <x:c r="U3732" s="18" t="n">
        <x:v>581.5556895901079</x:v>
      </x:c>
      <x:c r="V3732" s="20" t="n">
        <x:v>12</x:v>
      </x:c>
      <x:c r="W3732" s="20" t="n">
        <x:v>5</x:v>
      </x:c>
      <x:c r="X3732" s="20" t="n">
        <x:v>3</x:v>
      </x:c>
      <x:c r="Y3732" t="str">
        <x:v>Basis arsip 2025/2024</x:v>
      </x:c>
      <x:c r="Z3732" t="str">
        <x:v>https://snpmb.id/utbk-snbt/daya-tampung-snbt</x:v>
      </x:c>
      <x:c r="AA3732" t="str">
        <x:v>Tidak Ada</x:v>
      </x:c>
      <x:c r="AB3732" t="str">
        <x:v>Campus=55; Ratio=27.6; Prodi=60; RelDemand=100.0; Capacity=56.7</x:v>
      </x:c>
    </x:row>
    <x:row r="3733">
      <x:c r="A3733" t="n">
        <x:v>3730</x:v>
      </x:c>
      <x:c r="B3733" t="str">
        <x:v>PTN Akademik</x:v>
      </x:c>
      <x:c r="C3733" t="str">
        <x:v>UNIVERSITAS KHAIRUN</x:v>
      </x:c>
      <x:c r="D3733" t="str">
        <x:v>AGRIBISNIS</x:v>
      </x:c>
      <x:c r="E3733" t="str">
        <x:v>Sarjana</x:v>
      </x:c>
      <x:c r="F3733" s="18" t="n">
        <x:v>32</x:v>
      </x:c>
      <x:c r="G3733" s="18" t="n">
        <x:v>11</x:v>
      </x:c>
      <x:c r="H3733" s="19" t="n">
        <x:v>0.34375</x:v>
      </x:c>
      <x:c r="I3733" s="18" t="n">
        <x:f>ROUND(MIN(Model_Config_v3!$B$6,MAX(Q3733,R3733,S3733*Model_Config_v3!$B$4+T3733*Model_Config_v3!$B$5)),0)</x:f>
        <x:v>605</x:v>
      </x:c>
      <x:c r="J3733" s="18" t="n">
        <x:f>MIN(Model_Config_v3!$B$6,I3733+Model_Config_v3!$B$7)</x:f>
        <x:v>625</x:v>
      </x:c>
      <x:c r="K3733" s="20" t="n">
        <x:v>41.1</x:v>
      </x:c>
      <x:c r="L3733" t="str">
        <x:v>RELATIF LONGGAR</x:v>
      </x:c>
      <x:c r="M3733" t="str">
        <x:v>SEDANG+</x:v>
      </x:c>
      <x:c r="N3733" t="str">
        <x:v>REGULER</x:v>
      </x:c>
      <x:c r="O3733" t="str">
        <x:v>SOSHUM</x:v>
      </x:c>
      <x:c r="P3733" t="str">
        <x:v>BISNIS/EKONOMI/AKUNTANSI</x:v>
      </x:c>
      <x:c r="Q3733" s="18" t="n">
        <x:v>0</x:v>
      </x:c>
      <x:c r="R3733" s="18" t="n">
        <x:v>0</x:v>
      </x:c>
      <x:c r="S3733" s="18" t="n">
        <x:v>520</x:v>
      </x:c>
      <x:c r="T3733" s="18" t="n">
        <x:v>642</x:v>
      </x:c>
      <x:c r="U3733" s="18" t="n">
        <x:v>535</x:v>
      </x:c>
      <x:c r="V3733" s="20" t="n">
        <x:v>4.4</x:v>
      </x:c>
      <x:c r="W3733" s="20" t="n">
        <x:v>14.3</x:v>
      </x:c>
      <x:c r="X3733" s="20" t="n">
        <x:v>3.3</x:v>
      </x:c>
      <x:c r="Y3733" t="str">
        <x:v>Basis arsip 2025/2024</x:v>
      </x:c>
      <x:c r="Z3733" t="str">
        <x:v>https://snpmb.id/utbk-snbt/daya-tampung-snbt</x:v>
      </x:c>
      <x:c r="AA3733" t="str">
        <x:v>Tidak Ada</x:v>
      </x:c>
      <x:c r="AB3733" t="str">
        <x:v>Campus=55; Ratio=0.0; Prodi=65; RelDemand=15.5; Capacity=73.3</x:v>
      </x:c>
    </x:row>
    <x:row r="3734">
      <x:c r="A3734" t="n">
        <x:v>3731</x:v>
      </x:c>
      <x:c r="B3734" t="str">
        <x:v>PTN Akademik</x:v>
      </x:c>
      <x:c r="C3734" t="str">
        <x:v>UNIVERSITAS KHAIRUN</x:v>
      </x:c>
      <x:c r="D3734" t="str">
        <x:v>PENDIDIKAN DOKTER</x:v>
      </x:c>
      <x:c r="E3734" t="str">
        <x:v>Sarjana</x:v>
      </x:c>
      <x:c r="F3734" s="18" t="n">
        <x:v>38</x:v>
      </x:c>
      <x:c r="G3734" s="18" t="n">
        <x:v>329</x:v>
      </x:c>
      <x:c r="H3734" s="19" t="n">
        <x:v>8.657894736842104</x:v>
      </x:c>
      <x:c r="I3734" s="18" t="n">
        <x:f>ROUND(MIN(Model_Config_v3!$B$6,MAX(Q3734,R3734,S3734*Model_Config_v3!$B$4+T3734*Model_Config_v3!$B$5)),0)</x:f>
        <x:v>680</x:v>
      </x:c>
      <x:c r="J3734" s="18" t="n">
        <x:f>MIN(Model_Config_v3!$B$6,I3734+Model_Config_v3!$B$7)</x:f>
        <x:v>700</x:v>
      </x:c>
      <x:c r="K3734" s="20" t="n">
        <x:v>69.9</x:v>
      </x:c>
      <x:c r="L3734" t="str">
        <x:v>SANGAT KETAT</x:v>
      </x:c>
      <x:c r="M3734" t="str">
        <x:v>SEDANG+</x:v>
      </x:c>
      <x:c r="N3734" t="str">
        <x:v>REGULER</x:v>
      </x:c>
      <x:c r="O3734" t="str">
        <x:v>SAINTEK</x:v>
      </x:c>
      <x:c r="P3734" t="str">
        <x:v>KEDOKTERAN</x:v>
      </x:c>
      <x:c r="Q3734" s="18" t="n">
        <x:v>0</x:v>
      </x:c>
      <x:c r="R3734" s="18" t="n">
        <x:v>680</x:v>
      </x:c>
      <x:c r="S3734" s="18" t="n">
        <x:v>623.1153531466481</x:v>
      </x:c>
      <x:c r="T3734" s="18" t="n">
        <x:v>700</x:v>
      </x:c>
      <x:c r="U3734" s="18" t="n">
        <x:v>680</x:v>
      </x:c>
      <x:c r="V3734" s="20" t="n">
        <x:v>12</x:v>
      </x:c>
      <x:c r="W3734" s="20" t="n">
        <x:v>5</x:v>
      </x:c>
      <x:c r="X3734" s="20" t="n">
        <x:v>3</x:v>
      </x:c>
      <x:c r="Y3734" t="str">
        <x:v>Basis arsip 2025/2024</x:v>
      </x:c>
      <x:c r="Z3734" t="str">
        <x:v>https://snpmb.id/utbk-snbt/daya-tampung-snbt</x:v>
      </x:c>
      <x:c r="AA3734" t="str">
        <x:v>Tidak Ada</x:v>
      </x:c>
      <x:c r="AB3734" t="str">
        <x:v>Campus=55; Ratio=55.2; Prodi=100; RelDemand=100.0; Capacity=68.3</x:v>
      </x:c>
    </x:row>
    <x:row r="3735">
      <x:c r="A3735" t="n">
        <x:v>3732</x:v>
      </x:c>
      <x:c r="B3735" t="str">
        <x:v>PTN Akademik</x:v>
      </x:c>
      <x:c r="C3735" t="str">
        <x:v>UNIVERSITAS KHAIRUN</x:v>
      </x:c>
      <x:c r="D3735" t="str">
        <x:v>ILMU TANAH</x:v>
      </x:c>
      <x:c r="E3735" t="str">
        <x:v>Sarjana</x:v>
      </x:c>
      <x:c r="F3735" s="18" t="n">
        <x:v>20</x:v>
      </x:c>
      <x:c r="G3735" s="18" t="n">
        <x:v>4</x:v>
      </x:c>
      <x:c r="H3735" s="19" t="n">
        <x:v>0.2</x:v>
      </x:c>
      <x:c r="I3735" s="18" t="n">
        <x:f>ROUND(MIN(Model_Config_v3!$B$6,MAX(Q3735,R3735,S3735*Model_Config_v3!$B$4+T3735*Model_Config_v3!$B$5)),0)</x:f>
        <x:v>599</x:v>
      </x:c>
      <x:c r="J3735" s="18" t="n">
        <x:f>MIN(Model_Config_v3!$B$6,I3735+Model_Config_v3!$B$7)</x:f>
        <x:v>619</x:v>
      </x:c>
      <x:c r="K3735" s="20" t="n">
        <x:v>36.5</x:v>
      </x:c>
      <x:c r="L3735" t="str">
        <x:v>RELATIF LONGGAR</x:v>
      </x:c>
      <x:c r="M3735" t="str">
        <x:v>SEDANG</x:v>
      </x:c>
      <x:c r="N3735" t="str">
        <x:v>REGULER</x:v>
      </x:c>
      <x:c r="O3735" t="str">
        <x:v>CAMPURAN</x:v>
      </x:c>
      <x:c r="P3735" t="str">
        <x:v>UMUM</x:v>
      </x:c>
      <x:c r="Q3735" s="18" t="n">
        <x:v>0</x:v>
      </x:c>
      <x:c r="R3735" s="18" t="n">
        <x:v>0</x:v>
      </x:c>
      <x:c r="S3735" s="18" t="n">
        <x:v>520</x:v>
      </x:c>
      <x:c r="T3735" s="18" t="n">
        <x:v>633</x:v>
      </x:c>
      <x:c r="U3735" s="18" t="n">
        <x:v>520</x:v>
      </x:c>
      <x:c r="V3735" s="20" t="n">
        <x:v>8.8</x:v>
      </x:c>
      <x:c r="W3735" s="20" t="n">
        <x:v>9.9</x:v>
      </x:c>
      <x:c r="X3735" s="20" t="n">
        <x:v>3.3</x:v>
      </x:c>
      <x:c r="Y3735" t="str">
        <x:v>Basis arsip 2025/2024</x:v>
      </x:c>
      <x:c r="Z3735" t="str">
        <x:v>https://snpmb.id/utbk-snbt/daya-tampung-snbt</x:v>
      </x:c>
      <x:c r="AA3735" t="str">
        <x:v>Tidak Ada</x:v>
      </x:c>
      <x:c r="AB3735" t="str">
        <x:v>Campus=55; Ratio=0.0; Prodi=40; RelDemand=9.0; Capacity=83.3</x:v>
      </x:c>
    </x:row>
    <x:row r="3736">
      <x:c r="A3736" t="n">
        <x:v>3733</x:v>
      </x:c>
      <x:c r="B3736" t="str">
        <x:v>PTN Akademik</x:v>
      </x:c>
      <x:c r="C3736" t="str">
        <x:v>UNIVERSITAS KHAIRUN</x:v>
      </x:c>
      <x:c r="D3736" t="str">
        <x:v>FARMASI</x:v>
      </x:c>
      <x:c r="E3736" t="str">
        <x:v>Sarjana</x:v>
      </x:c>
      <x:c r="F3736" s="18" t="n">
        <x:v>36</x:v>
      </x:c>
      <x:c r="G3736" s="18" t="n">
        <x:v>161</x:v>
      </x:c>
      <x:c r="H3736" s="19" t="n">
        <x:v>4.472222222222222</x:v>
      </x:c>
      <x:c r="I3736" s="18" t="n">
        <x:f>ROUND(MIN(Model_Config_v3!$B$6,MAX(Q3736,R3736,S3736*Model_Config_v3!$B$4+T3736*Model_Config_v3!$B$5)),0)</x:f>
        <x:v>655</x:v>
      </x:c>
      <x:c r="J3736" s="18" t="n">
        <x:f>MIN(Model_Config_v3!$B$6,I3736+Model_Config_v3!$B$7)</x:f>
        <x:v>675</x:v>
      </x:c>
      <x:c r="K3736" s="20" t="n">
        <x:v>60.8</x:v>
      </x:c>
      <x:c r="L3736" t="str">
        <x:v>KETAT</x:v>
      </x:c>
      <x:c r="M3736" t="str">
        <x:v>SEDANG+</x:v>
      </x:c>
      <x:c r="N3736" t="str">
        <x:v>REGULER</x:v>
      </x:c>
      <x:c r="O3736" t="str">
        <x:v>SAINTEK</x:v>
      </x:c>
      <x:c r="P3736" t="str">
        <x:v>FARMASI</x:v>
      </x:c>
      <x:c r="Q3736" s="18" t="n">
        <x:v>0</x:v>
      </x:c>
      <x:c r="R3736" s="18" t="n">
        <x:v>0</x:v>
      </x:c>
      <x:c r="S3736" s="18" t="n">
        <x:v>591.5575712791019</x:v>
      </x:c>
      <x:c r="T3736" s="18" t="n">
        <x:v>682</x:v>
      </x:c>
      <x:c r="U3736" s="18" t="n">
        <x:v>611.5575712791019</x:v>
      </x:c>
      <x:c r="V3736" s="20" t="n">
        <x:v>12</x:v>
      </x:c>
      <x:c r="W3736" s="20" t="n">
        <x:v>5</x:v>
      </x:c>
      <x:c r="X3736" s="20" t="n">
        <x:v>3</x:v>
      </x:c>
      <x:c r="Y3736" t="str">
        <x:v>Basis arsip 2025/2024</x:v>
      </x:c>
      <x:c r="Z3736" t="str">
        <x:v>https://snpmb.id/utbk-snbt/daya-tampung-snbt</x:v>
      </x:c>
      <x:c r="AA3736" t="str">
        <x:v>Tidak Ada</x:v>
      </x:c>
      <x:c r="AB3736" t="str">
        <x:v>Campus=55; Ratio=38.3; Prodi=75; RelDemand=100.0; Capacity=70.0</x:v>
      </x:c>
    </x:row>
    <x:row r="3737">
      <x:c r="A3737" t="n">
        <x:v>3734</x:v>
      </x:c>
      <x:c r="B3737" t="str">
        <x:v>PTN Akademik</x:v>
      </x:c>
      <x:c r="C3737" t="str">
        <x:v>UNIVERSITAS KHAIRUN</x:v>
      </x:c>
      <x:c r="D3737" t="str">
        <x:v>ILMU HUKUM</x:v>
      </x:c>
      <x:c r="E3737" t="str">
        <x:v>Sarjana</x:v>
      </x:c>
      <x:c r="F3737" s="18" t="n">
        <x:v>160</x:v>
      </x:c>
      <x:c r="G3737" s="18" t="n">
        <x:v>124</x:v>
      </x:c>
      <x:c r="H3737" s="19" t="n">
        <x:v>0.775</x:v>
      </x:c>
      <x:c r="I3737" s="18" t="n">
        <x:f>ROUND(MIN(Model_Config_v3!$B$6,MAX(Q3737,R3737,S3737*Model_Config_v3!$B$4+T3737*Model_Config_v3!$B$5)),0)</x:f>
        <x:v>598</x:v>
      </x:c>
      <x:c r="J3737" s="18" t="n">
        <x:f>MIN(Model_Config_v3!$B$6,I3737+Model_Config_v3!$B$7)</x:f>
        <x:v>618</x:v>
      </x:c>
      <x:c r="K3737" s="20" t="n">
        <x:v>35.7</x:v>
      </x:c>
      <x:c r="L3737" t="str">
        <x:v>RELATIF LONGGAR</x:v>
      </x:c>
      <x:c r="M3737" t="str">
        <x:v>SEDANG+</x:v>
      </x:c>
      <x:c r="N3737" t="str">
        <x:v>REGULER</x:v>
      </x:c>
      <x:c r="O3737" t="str">
        <x:v>SOSHUM</x:v>
      </x:c>
      <x:c r="P3737" t="str">
        <x:v>HUKUM</x:v>
      </x:c>
      <x:c r="Q3737" s="18" t="n">
        <x:v>0</x:v>
      </x:c>
      <x:c r="R3737" s="18" t="n">
        <x:v>0</x:v>
      </x:c>
      <x:c r="S3737" s="18" t="n">
        <x:v>520</x:v>
      </x:c>
      <x:c r="T3737" s="18" t="n">
        <x:v>631</x:v>
      </x:c>
      <x:c r="U3737" s="18" t="n">
        <x:v>535</x:v>
      </x:c>
      <x:c r="V3737" s="20" t="n">
        <x:v>4.4</x:v>
      </x:c>
      <x:c r="W3737" s="20" t="n">
        <x:v>14.3</x:v>
      </x:c>
      <x:c r="X3737" s="20" t="n">
        <x:v>3.3</x:v>
      </x:c>
      <x:c r="Y3737" t="str">
        <x:v>Basis arsip 2025/2024</x:v>
      </x:c>
      <x:c r="Z3737" t="str">
        <x:v>https://snpmb.id/utbk-snbt/daya-tampung-snbt</x:v>
      </x:c>
      <x:c r="AA3737" t="str">
        <x:v>Tidak Ada</x:v>
      </x:c>
      <x:c r="AB3737" t="str">
        <x:v>Campus=55; Ratio=0.0; Prodi=65; RelDemand=34.9; Capacity=0.0</x:v>
      </x:c>
    </x:row>
    <x:row r="3738">
      <x:c r="A3738" t="n">
        <x:v>3735</x:v>
      </x:c>
      <x:c r="B3738" t="str">
        <x:v>PTN Akademik</x:v>
      </x:c>
      <x:c r="C3738" t="str">
        <x:v>UNIVERSITAS KHAIRUN</x:v>
      </x:c>
      <x:c r="D3738" t="str">
        <x:v>EKONOMI PEMBANGUNAN</x:v>
      </x:c>
      <x:c r="E3738" t="str">
        <x:v>Sarjana</x:v>
      </x:c>
      <x:c r="F3738" s="18" t="n">
        <x:v>80</x:v>
      </x:c>
      <x:c r="G3738" s="18" t="n">
        <x:v>36</x:v>
      </x:c>
      <x:c r="H3738" s="19" t="n">
        <x:v>0.45</x:v>
      </x:c>
      <x:c r="I3738" s="18" t="n">
        <x:f>ROUND(MIN(Model_Config_v3!$B$6,MAX(Q3738,R3738,S3738*Model_Config_v3!$B$4+T3738*Model_Config_v3!$B$5)),0)</x:f>
        <x:v>601</x:v>
      </x:c>
      <x:c r="J3738" s="18" t="n">
        <x:f>MIN(Model_Config_v3!$B$6,I3738+Model_Config_v3!$B$7)</x:f>
        <x:v>621</x:v>
      </x:c>
      <x:c r="K3738" s="20" t="n">
        <x:v>37.6</x:v>
      </x:c>
      <x:c r="L3738" t="str">
        <x:v>RELATIF LONGGAR</x:v>
      </x:c>
      <x:c r="M3738" t="str">
        <x:v>SEDANG+</x:v>
      </x:c>
      <x:c r="N3738" t="str">
        <x:v>REGULER</x:v>
      </x:c>
      <x:c r="O3738" t="str">
        <x:v>SOSHUM</x:v>
      </x:c>
      <x:c r="P3738" t="str">
        <x:v>BISNIS/EKONOMI/AKUNTANSI</x:v>
      </x:c>
      <x:c r="Q3738" s="18" t="n">
        <x:v>0</x:v>
      </x:c>
      <x:c r="R3738" s="18" t="n">
        <x:v>0</x:v>
      </x:c>
      <x:c r="S3738" s="18" t="n">
        <x:v>520</x:v>
      </x:c>
      <x:c r="T3738" s="18" t="n">
        <x:v>635</x:v>
      </x:c>
      <x:c r="U3738" s="18" t="n">
        <x:v>520</x:v>
      </x:c>
      <x:c r="V3738" s="20" t="n">
        <x:v>4.4</x:v>
      </x:c>
      <x:c r="W3738" s="20" t="n">
        <x:v>14.3</x:v>
      </x:c>
      <x:c r="X3738" s="20" t="n">
        <x:v>3.3</x:v>
      </x:c>
      <x:c r="Y3738" t="str">
        <x:v>Basis arsip 2025/2024</x:v>
      </x:c>
      <x:c r="Z3738" t="str">
        <x:v>https://snpmb.id/utbk-snbt/daya-tampung-snbt</x:v>
      </x:c>
      <x:c r="AA3738" t="str">
        <x:v>Tidak Ada</x:v>
      </x:c>
      <x:c r="AB3738" t="str">
        <x:v>Campus=55; Ratio=0.0; Prodi=65; RelDemand=20.2; Capacity=33.3</x:v>
      </x:c>
    </x:row>
    <x:row r="3739">
      <x:c r="A3739" t="n">
        <x:v>3736</x:v>
      </x:c>
      <x:c r="B3739" t="str">
        <x:v>PTN Akademik</x:v>
      </x:c>
      <x:c r="C3739" t="str">
        <x:v>UNIVERSITAS KHAIRUN</x:v>
      </x:c>
      <x:c r="D3739" t="str">
        <x:v>MANAJEMEN</x:v>
      </x:c>
      <x:c r="E3739" t="str">
        <x:v>Sarjana</x:v>
      </x:c>
      <x:c r="F3739" s="18" t="n">
        <x:v>116</x:v>
      </x:c>
      <x:c r="G3739" s="18" t="n">
        <x:v>211</x:v>
      </x:c>
      <x:c r="H3739" s="19" t="n">
        <x:v>1.8189655172413792</x:v>
      </x:c>
      <x:c r="I3739" s="18" t="n">
        <x:f>ROUND(MIN(Model_Config_v3!$B$6,MAX(Q3739,R3739,S3739*Model_Config_v3!$B$4+T3739*Model_Config_v3!$B$5)),0)</x:f>
        <x:v>619</x:v>
      </x:c>
      <x:c r="J3739" s="18" t="n">
        <x:f>MIN(Model_Config_v3!$B$6,I3739+Model_Config_v3!$B$7)</x:f>
        <x:v>639</x:v>
      </x:c>
      <x:c r="K3739" s="20" t="n">
        <x:v>44.6</x:v>
      </x:c>
      <x:c r="L3739" t="str">
        <x:v>RELATIF LONGGAR</x:v>
      </x:c>
      <x:c r="M3739" t="str">
        <x:v>SEDANG+</x:v>
      </x:c>
      <x:c r="N3739" t="str">
        <x:v>REGULER</x:v>
      </x:c>
      <x:c r="O3739" t="str">
        <x:v>SOSHUM</x:v>
      </x:c>
      <x:c r="P3739" t="str">
        <x:v>BISNIS/EKONOMI/AKUNTANSI</x:v>
      </x:c>
      <x:c r="Q3739" s="18" t="n">
        <x:v>0</x:v>
      </x:c>
      <x:c r="R3739" s="18" t="n">
        <x:v>0</x:v>
      </x:c>
      <x:c r="S3739" s="18" t="n">
        <x:v>548.5806912677851</x:v>
      </x:c>
      <x:c r="T3739" s="18" t="n">
        <x:v>649</x:v>
      </x:c>
      <x:c r="U3739" s="18" t="n">
        <x:v>563.5806912677851</x:v>
      </x:c>
      <x:c r="V3739" s="20" t="n">
        <x:v>4.4</x:v>
      </x:c>
      <x:c r="W3739" s="20" t="n">
        <x:v>14.3</x:v>
      </x:c>
      <x:c r="X3739" s="20" t="n">
        <x:v>3.3</x:v>
      </x:c>
      <x:c r="Y3739" t="str">
        <x:v>Basis arsip 2025/2024</x:v>
      </x:c>
      <x:c r="Z3739" t="str">
        <x:v>https://snpmb.id/utbk-snbt/daya-tampung-snbt</x:v>
      </x:c>
      <x:c r="AA3739" t="str">
        <x:v>Tidak Ada</x:v>
      </x:c>
      <x:c r="AB3739" t="str">
        <x:v>Campus=55; Ratio=15.3; Prodi=65; RelDemand=81.8; Capacity=3.3</x:v>
      </x:c>
    </x:row>
    <x:row r="3740">
      <x:c r="A3740" t="n">
        <x:v>3737</x:v>
      </x:c>
      <x:c r="B3740" t="str">
        <x:v>PTN Akademik</x:v>
      </x:c>
      <x:c r="C3740" t="str">
        <x:v>UNIVERSITAS KHAIRUN</x:v>
      </x:c>
      <x:c r="D3740" t="str">
        <x:v>ILMU SEJARAH</x:v>
      </x:c>
      <x:c r="E3740" t="str">
        <x:v>Sarjana</x:v>
      </x:c>
      <x:c r="F3740" s="18" t="n">
        <x:v>16</x:v>
      </x:c>
      <x:c r="G3740" s="18" t="n">
        <x:v>3</x:v>
      </x:c>
      <x:c r="H3740" s="19" t="n">
        <x:v>0.1875</x:v>
      </x:c>
      <x:c r="I3740" s="18" t="n">
        <x:f>ROUND(MIN(Model_Config_v3!$B$6,MAX(Q3740,R3740,S3740*Model_Config_v3!$B$4+T3740*Model_Config_v3!$B$5)),0)</x:f>
        <x:v>600</x:v>
      </x:c>
      <x:c r="J3740" s="18" t="n">
        <x:f>MIN(Model_Config_v3!$B$6,I3740+Model_Config_v3!$B$7)</x:f>
        <x:v>620</x:v>
      </x:c>
      <x:c r="K3740" s="20" t="n">
        <x:v>36.8</x:v>
      </x:c>
      <x:c r="L3740" t="str">
        <x:v>RELATIF LONGGAR</x:v>
      </x:c>
      <x:c r="M3740" t="str">
        <x:v>SEDANG</x:v>
      </x:c>
      <x:c r="N3740" t="str">
        <x:v>REGULER</x:v>
      </x:c>
      <x:c r="O3740" t="str">
        <x:v>SOSHUM</x:v>
      </x:c>
      <x:c r="P3740" t="str">
        <x:v>UMUM</x:v>
      </x:c>
      <x:c r="Q3740" s="18" t="n">
        <x:v>0</x:v>
      </x:c>
      <x:c r="R3740" s="18" t="n">
        <x:v>0</x:v>
      </x:c>
      <x:c r="S3740" s="18" t="n">
        <x:v>520</x:v>
      </x:c>
      <x:c r="T3740" s="18" t="n">
        <x:v>634</x:v>
      </x:c>
      <x:c r="U3740" s="18" t="n">
        <x:v>520</x:v>
      </x:c>
      <x:c r="V3740" s="20" t="n">
        <x:v>4.4</x:v>
      </x:c>
      <x:c r="W3740" s="20" t="n">
        <x:v>14.3</x:v>
      </x:c>
      <x:c r="X3740" s="20" t="n">
        <x:v>3.3</x:v>
      </x:c>
      <x:c r="Y3740" t="str">
        <x:v>Basis arsip 2025/2024</x:v>
      </x:c>
      <x:c r="Z3740" t="str">
        <x:v>https://snpmb.id/utbk-snbt/daya-tampung-snbt</x:v>
      </x:c>
      <x:c r="AA3740" t="str">
        <x:v>Tidak Ada</x:v>
      </x:c>
      <x:c r="AB3740" t="str">
        <x:v>Campus=55; Ratio=0.0; Prodi=40; RelDemand=8.4; Capacity=86.7</x:v>
      </x:c>
    </x:row>
    <x:row r="3741">
      <x:c r="A3741" t="n">
        <x:v>3738</x:v>
      </x:c>
      <x:c r="B3741" t="str">
        <x:v>PTN Akademik</x:v>
      </x:c>
      <x:c r="C3741" t="str">
        <x:v>UNIVERSITAS KHAIRUN</x:v>
      </x:c>
      <x:c r="D3741" t="str">
        <x:v>SASTRA INDONESIA</x:v>
      </x:c>
      <x:c r="E3741" t="str">
        <x:v>Sarjana</x:v>
      </x:c>
      <x:c r="F3741" s="18" t="n">
        <x:v>12</x:v>
      </x:c>
      <x:c r="G3741" s="18" t="n">
        <x:v>4</x:v>
      </x:c>
      <x:c r="H3741" s="19" t="n">
        <x:v>0.3333333333333333</x:v>
      </x:c>
      <x:c r="I3741" s="18" t="n">
        <x:f>ROUND(MIN(Model_Config_v3!$B$6,MAX(Q3741,R3741,S3741*Model_Config_v3!$B$4+T3741*Model_Config_v3!$B$5)),0)</x:f>
        <x:v>601</x:v>
      </x:c>
      <x:c r="J3741" s="18" t="n">
        <x:f>MIN(Model_Config_v3!$B$6,I3741+Model_Config_v3!$B$7)</x:f>
        <x:v>621</x:v>
      </x:c>
      <x:c r="K3741" s="20" t="n">
        <x:v>37.7</x:v>
      </x:c>
      <x:c r="L3741" t="str">
        <x:v>RELATIF LONGGAR</x:v>
      </x:c>
      <x:c r="M3741" t="str">
        <x:v>SEDANG</x:v>
      </x:c>
      <x:c r="N3741" t="str">
        <x:v>REGULER</x:v>
      </x:c>
      <x:c r="O3741" t="str">
        <x:v>SOSHUM</x:v>
      </x:c>
      <x:c r="P3741" t="str">
        <x:v>UMUM</x:v>
      </x:c>
      <x:c r="Q3741" s="18" t="n">
        <x:v>0</x:v>
      </x:c>
      <x:c r="R3741" s="18" t="n">
        <x:v>0</x:v>
      </x:c>
      <x:c r="S3741" s="18" t="n">
        <x:v>520</x:v>
      </x:c>
      <x:c r="T3741" s="18" t="n">
        <x:v>635</x:v>
      </x:c>
      <x:c r="U3741" s="18" t="n">
        <x:v>520</x:v>
      </x:c>
      <x:c r="V3741" s="20" t="n">
        <x:v>4.4</x:v>
      </x:c>
      <x:c r="W3741" s="20" t="n">
        <x:v>14.3</x:v>
      </x:c>
      <x:c r="X3741" s="20" t="n">
        <x:v>3.3</x:v>
      </x:c>
      <x:c r="Y3741" t="str">
        <x:v>Basis arsip 2025/2024</x:v>
      </x:c>
      <x:c r="Z3741" t="str">
        <x:v>https://snpmb.id/utbk-snbt/daya-tampung-snbt</x:v>
      </x:c>
      <x:c r="AA3741" t="str">
        <x:v>Tidak Ada</x:v>
      </x:c>
      <x:c r="AB3741" t="str">
        <x:v>Campus=55; Ratio=0.0; Prodi=40; RelDemand=15.0; Capacity=90.0</x:v>
      </x:c>
    </x:row>
    <x:row r="3742">
      <x:c r="A3742" t="n">
        <x:v>3739</x:v>
      </x:c>
      <x:c r="B3742" t="str">
        <x:v>PTN Akademik</x:v>
      </x:c>
      <x:c r="C3742" t="str">
        <x:v>UNIVERSITAS KHAIRUN</x:v>
      </x:c>
      <x:c r="D3742" t="str">
        <x:v>SASTRA INGGRIS</x:v>
      </x:c>
      <x:c r="E3742" t="str">
        <x:v>Sarjana</x:v>
      </x:c>
      <x:c r="F3742" s="18" t="n">
        <x:v>48</x:v>
      </x:c>
      <x:c r="G3742" s="18" t="n">
        <x:v>25</x:v>
      </x:c>
      <x:c r="H3742" s="19" t="n">
        <x:v>0.5208333333333334</x:v>
      </x:c>
      <x:c r="I3742" s="18" t="n">
        <x:f>ROUND(MIN(Model_Config_v3!$B$6,MAX(Q3742,R3742,S3742*Model_Config_v3!$B$4+T3742*Model_Config_v3!$B$5)),0)</x:f>
        <x:v>598</x:v>
      </x:c>
      <x:c r="J3742" s="18" t="n">
        <x:f>MIN(Model_Config_v3!$B$6,I3742+Model_Config_v3!$B$7)</x:f>
        <x:v>618</x:v>
      </x:c>
      <x:c r="K3742" s="20" t="n">
        <x:v>35.6</x:v>
      </x:c>
      <x:c r="L3742" t="str">
        <x:v>RELATIF LONGGAR</x:v>
      </x:c>
      <x:c r="M3742" t="str">
        <x:v>SEDANG</x:v>
      </x:c>
      <x:c r="N3742" t="str">
        <x:v>REGULER</x:v>
      </x:c>
      <x:c r="O3742" t="str">
        <x:v>SOSHUM</x:v>
      </x:c>
      <x:c r="P3742" t="str">
        <x:v>UMUM</x:v>
      </x:c>
      <x:c r="Q3742" s="18" t="n">
        <x:v>0</x:v>
      </x:c>
      <x:c r="R3742" s="18" t="n">
        <x:v>0</x:v>
      </x:c>
      <x:c r="S3742" s="18" t="n">
        <x:v>520</x:v>
      </x:c>
      <x:c r="T3742" s="18" t="n">
        <x:v>631</x:v>
      </x:c>
      <x:c r="U3742" s="18" t="n">
        <x:v>520</x:v>
      </x:c>
      <x:c r="V3742" s="20" t="n">
        <x:v>4.4</x:v>
      </x:c>
      <x:c r="W3742" s="20" t="n">
        <x:v>14.3</x:v>
      </x:c>
      <x:c r="X3742" s="20" t="n">
        <x:v>3.3</x:v>
      </x:c>
      <x:c r="Y3742" t="str">
        <x:v>Basis arsip 2025/2024</x:v>
      </x:c>
      <x:c r="Z3742" t="str">
        <x:v>https://snpmb.id/utbk-snbt/daya-tampung-snbt</x:v>
      </x:c>
      <x:c r="AA3742" t="str">
        <x:v>Tidak Ada</x:v>
      </x:c>
      <x:c r="AB3742" t="str">
        <x:v>Campus=55; Ratio=0.0; Prodi=40; RelDemand=23.4; Capacity=60.0</x:v>
      </x:c>
    </x:row>
    <x:row r="3743">
      <x:c r="A3743" t="n">
        <x:v>3740</x:v>
      </x:c>
      <x:c r="B3743" t="str">
        <x:v>PTN Akademik</x:v>
      </x:c>
      <x:c r="C3743" t="str">
        <x:v>UNIVERSITAS KHAIRUN</x:v>
      </x:c>
      <x:c r="D3743" t="str">
        <x:v>PPKN</x:v>
      </x:c>
      <x:c r="E3743" t="str">
        <x:v>Sarjana</x:v>
      </x:c>
      <x:c r="F3743" s="18" t="n">
        <x:v>36</x:v>
      </x:c>
      <x:c r="G3743" s="18" t="n">
        <x:v>15</x:v>
      </x:c>
      <x:c r="H3743" s="19" t="n">
        <x:v>0.4166666666666667</x:v>
      </x:c>
      <x:c r="I3743" s="18" t="n">
        <x:f>ROUND(MIN(Model_Config_v3!$B$6,MAX(Q3743,R3743,S3743*Model_Config_v3!$B$4+T3743*Model_Config_v3!$B$5)),0)</x:f>
        <x:v>598</x:v>
      </x:c>
      <x:c r="J3743" s="18" t="n">
        <x:f>MIN(Model_Config_v3!$B$6,I3743+Model_Config_v3!$B$7)</x:f>
        <x:v>618</x:v>
      </x:c>
      <x:c r="K3743" s="20" t="n">
        <x:v>36.1</x:v>
      </x:c>
      <x:c r="L3743" t="str">
        <x:v>RELATIF LONGGAR</x:v>
      </x:c>
      <x:c r="M3743" t="str">
        <x:v>SEDANG</x:v>
      </x:c>
      <x:c r="N3743" t="str">
        <x:v>REGULER</x:v>
      </x:c>
      <x:c r="O3743" t="str">
        <x:v>CAMPURAN</x:v>
      </x:c>
      <x:c r="P3743" t="str">
        <x:v>UMUM</x:v>
      </x:c>
      <x:c r="Q3743" s="18" t="n">
        <x:v>0</x:v>
      </x:c>
      <x:c r="R3743" s="18" t="n">
        <x:v>0</x:v>
      </x:c>
      <x:c r="S3743" s="18" t="n">
        <x:v>520</x:v>
      </x:c>
      <x:c r="T3743" s="18" t="n">
        <x:v>632</x:v>
      </x:c>
      <x:c r="U3743" s="18" t="n">
        <x:v>520</x:v>
      </x:c>
      <x:c r="V3743" s="20" t="n">
        <x:v>8.8</x:v>
      </x:c>
      <x:c r="W3743" s="20" t="n">
        <x:v>9.9</x:v>
      </x:c>
      <x:c r="X3743" s="20" t="n">
        <x:v>3.3</x:v>
      </x:c>
      <x:c r="Y3743" t="str">
        <x:v>Basis arsip 2025/2024</x:v>
      </x:c>
      <x:c r="Z3743" t="str">
        <x:v>https://snpmb.id/utbk-snbt/daya-tampung-snbt</x:v>
      </x:c>
      <x:c r="AA3743" t="str">
        <x:v>Tidak Ada</x:v>
      </x:c>
      <x:c r="AB3743" t="str">
        <x:v>Campus=55; Ratio=0.0; Prodi=40; RelDemand=18.7; Capacity=70.0</x:v>
      </x:c>
    </x:row>
    <x:row r="3744">
      <x:c r="A3744" t="n">
        <x:v>3741</x:v>
      </x:c>
      <x:c r="B3744" t="str">
        <x:v>PTN Akademik</x:v>
      </x:c>
      <x:c r="C3744" t="str">
        <x:v>UNIVERSITAS KHAIRUN</x:v>
      </x:c>
      <x:c r="D3744" t="str">
        <x:v>PEND. BAHASA INDONESIA</x:v>
      </x:c>
      <x:c r="E3744" t="str">
        <x:v>Sarjana</x:v>
      </x:c>
      <x:c r="F3744" s="18" t="n">
        <x:v>36</x:v>
      </x:c>
      <x:c r="G3744" s="18" t="n">
        <x:v>18</x:v>
      </x:c>
      <x:c r="H3744" s="19" t="n">
        <x:v>0.5</x:v>
      </x:c>
      <x:c r="I3744" s="18" t="n">
        <x:f>ROUND(MIN(Model_Config_v3!$B$6,MAX(Q3744,R3744,S3744*Model_Config_v3!$B$4+T3744*Model_Config_v3!$B$5)),0)</x:f>
        <x:v>601</x:v>
      </x:c>
      <x:c r="J3744" s="18" t="n">
        <x:f>MIN(Model_Config_v3!$B$6,I3744+Model_Config_v3!$B$7)</x:f>
        <x:v>621</x:v>
      </x:c>
      <x:c r="K3744" s="20" t="n">
        <x:v>37.5</x:v>
      </x:c>
      <x:c r="L3744" t="str">
        <x:v>RELATIF LONGGAR</x:v>
      </x:c>
      <x:c r="M3744" t="str">
        <x:v>SEDANG+</x:v>
      </x:c>
      <x:c r="N3744" t="str">
        <x:v>REGULER</x:v>
      </x:c>
      <x:c r="O3744" t="str">
        <x:v>SOSHUM</x:v>
      </x:c>
      <x:c r="P3744" t="str">
        <x:v>PENDIDIKAN</x:v>
      </x:c>
      <x:c r="Q3744" s="18" t="n">
        <x:v>0</x:v>
      </x:c>
      <x:c r="R3744" s="18" t="n">
        <x:v>0</x:v>
      </x:c>
      <x:c r="S3744" s="18" t="n">
        <x:v>520</x:v>
      </x:c>
      <x:c r="T3744" s="18" t="n">
        <x:v>635</x:v>
      </x:c>
      <x:c r="U3744" s="18" t="n">
        <x:v>520</x:v>
      </x:c>
      <x:c r="V3744" s="20" t="n">
        <x:v>4.4</x:v>
      </x:c>
      <x:c r="W3744" s="20" t="n">
        <x:v>14.3</x:v>
      </x:c>
      <x:c r="X3744" s="20" t="n">
        <x:v>3.3</x:v>
      </x:c>
      <x:c r="Y3744" t="str">
        <x:v>Basis arsip 2025/2024</x:v>
      </x:c>
      <x:c r="Z3744" t="str">
        <x:v>https://snpmb.id/utbk-snbt/daya-tampung-snbt</x:v>
      </x:c>
      <x:c r="AA3744" t="str">
        <x:v>Tidak Ada</x:v>
      </x:c>
      <x:c r="AB3744" t="str">
        <x:v>Campus=55; Ratio=0.0; Prodi=45; RelDemand=22.5; Capacity=70.0</x:v>
      </x:c>
    </x:row>
    <x:row r="3745">
      <x:c r="A3745" t="n">
        <x:v>3742</x:v>
      </x:c>
      <x:c r="B3745" t="str">
        <x:v>PTN Akademik</x:v>
      </x:c>
      <x:c r="C3745" t="str">
        <x:v>UNIVERSITAS KHAIRUN</x:v>
      </x:c>
      <x:c r="D3745" t="str">
        <x:v>PEND. BAHASA INGGRIS</x:v>
      </x:c>
      <x:c r="E3745" t="str">
        <x:v>Sarjana</x:v>
      </x:c>
      <x:c r="F3745" s="18" t="n">
        <x:v>48</x:v>
      </x:c>
      <x:c r="G3745" s="18" t="n">
        <x:v>27</x:v>
      </x:c>
      <x:c r="H3745" s="19" t="n">
        <x:v>0.5625</x:v>
      </x:c>
      <x:c r="I3745" s="18" t="n">
        <x:f>ROUND(MIN(Model_Config_v3!$B$6,MAX(Q3745,R3745,S3745*Model_Config_v3!$B$4+T3745*Model_Config_v3!$B$5)),0)</x:f>
        <x:v>600</x:v>
      </x:c>
      <x:c r="J3745" s="18" t="n">
        <x:f>MIN(Model_Config_v3!$B$6,I3745+Model_Config_v3!$B$7)</x:f>
        <x:v>620</x:v>
      </x:c>
      <x:c r="K3745" s="20" t="n">
        <x:v>36.8</x:v>
      </x:c>
      <x:c r="L3745" t="str">
        <x:v>RELATIF LONGGAR</x:v>
      </x:c>
      <x:c r="M3745" t="str">
        <x:v>SEDANG+</x:v>
      </x:c>
      <x:c r="N3745" t="str">
        <x:v>REGULER</x:v>
      </x:c>
      <x:c r="O3745" t="str">
        <x:v>SOSHUM</x:v>
      </x:c>
      <x:c r="P3745" t="str">
        <x:v>PENDIDIKAN</x:v>
      </x:c>
      <x:c r="Q3745" s="18" t="n">
        <x:v>0</x:v>
      </x:c>
      <x:c r="R3745" s="18" t="n">
        <x:v>0</x:v>
      </x:c>
      <x:c r="S3745" s="18" t="n">
        <x:v>520</x:v>
      </x:c>
      <x:c r="T3745" s="18" t="n">
        <x:v>634</x:v>
      </x:c>
      <x:c r="U3745" s="18" t="n">
        <x:v>520</x:v>
      </x:c>
      <x:c r="V3745" s="20" t="n">
        <x:v>4.4</x:v>
      </x:c>
      <x:c r="W3745" s="20" t="n">
        <x:v>14.3</x:v>
      </x:c>
      <x:c r="X3745" s="20" t="n">
        <x:v>3.3</x:v>
      </x:c>
      <x:c r="Y3745" t="str">
        <x:v>Basis arsip 2025/2024</x:v>
      </x:c>
      <x:c r="Z3745" t="str">
        <x:v>https://snpmb.id/utbk-snbt/daya-tampung-snbt</x:v>
      </x:c>
      <x:c r="AA3745" t="str">
        <x:v>Tidak Ada</x:v>
      </x:c>
      <x:c r="AB3745" t="str">
        <x:v>Campus=55; Ratio=0.0; Prodi=45; RelDemand=25.3; Capacity=60.0</x:v>
      </x:c>
    </x:row>
    <x:row r="3746">
      <x:c r="A3746" t="n">
        <x:v>3743</x:v>
      </x:c>
      <x:c r="B3746" t="str">
        <x:v>PTN Akademik</x:v>
      </x:c>
      <x:c r="C3746" t="str">
        <x:v>UNIVERSITAS KHAIRUN</x:v>
      </x:c>
      <x:c r="D3746" t="str">
        <x:v>AKUNTANSI</x:v>
      </x:c>
      <x:c r="E3746" t="str">
        <x:v>Sarjana</x:v>
      </x:c>
      <x:c r="F3746" s="18" t="n">
        <x:v>116</x:v>
      </x:c>
      <x:c r="G3746" s="18" t="n">
        <x:v>115</x:v>
      </x:c>
      <x:c r="H3746" s="19" t="n">
        <x:v>0.9913793103448276</x:v>
      </x:c>
      <x:c r="I3746" s="18" t="n">
        <x:f>ROUND(MIN(Model_Config_v3!$B$6,MAX(Q3746,R3746,S3746*Model_Config_v3!$B$4+T3746*Model_Config_v3!$B$5)),0)</x:f>
        <x:v>600</x:v>
      </x:c>
      <x:c r="J3746" s="18" t="n">
        <x:f>MIN(Model_Config_v3!$B$6,I3746+Model_Config_v3!$B$7)</x:f>
        <x:v>620</x:v>
      </x:c>
      <x:c r="K3746" s="20" t="n">
        <x:v>37</x:v>
      </x:c>
      <x:c r="L3746" t="str">
        <x:v>RELATIF LONGGAR</x:v>
      </x:c>
      <x:c r="M3746" t="str">
        <x:v>SEDANG+</x:v>
      </x:c>
      <x:c r="N3746" t="str">
        <x:v>REGULER</x:v>
      </x:c>
      <x:c r="O3746" t="str">
        <x:v>SOSHUM</x:v>
      </x:c>
      <x:c r="P3746" t="str">
        <x:v>BISNIS/EKONOMI/AKUNTANSI</x:v>
      </x:c>
      <x:c r="Q3746" s="18" t="n">
        <x:v>0</x:v>
      </x:c>
      <x:c r="R3746" s="18" t="n">
        <x:v>0</x:v>
      </x:c>
      <x:c r="S3746" s="18" t="n">
        <x:v>520</x:v>
      </x:c>
      <x:c r="T3746" s="18" t="n">
        <x:v>634</x:v>
      </x:c>
      <x:c r="U3746" s="18" t="n">
        <x:v>520</x:v>
      </x:c>
      <x:c r="V3746" s="20" t="n">
        <x:v>4.4</x:v>
      </x:c>
      <x:c r="W3746" s="20" t="n">
        <x:v>14.3</x:v>
      </x:c>
      <x:c r="X3746" s="20" t="n">
        <x:v>3.3</x:v>
      </x:c>
      <x:c r="Y3746" t="str">
        <x:v>Basis arsip 2025/2024</x:v>
      </x:c>
      <x:c r="Z3746" t="str">
        <x:v>https://snpmb.id/utbk-snbt/daya-tampung-snbt</x:v>
      </x:c>
      <x:c r="AA3746" t="str">
        <x:v>Tidak Ada</x:v>
      </x:c>
      <x:c r="AB3746" t="str">
        <x:v>Campus=55; Ratio=0.0; Prodi=65; RelDemand=44.6; Capacity=3.3</x:v>
      </x:c>
    </x:row>
    <x:row r="3747">
      <x:c r="A3747" t="n">
        <x:v>3744</x:v>
      </x:c>
      <x:c r="B3747" t="str">
        <x:v>PTN Akademik</x:v>
      </x:c>
      <x:c r="C3747" t="str">
        <x:v>UNIVERSITAS KHAIRUN</x:v>
      </x:c>
      <x:c r="D3747" t="str">
        <x:v>PEND. GEOGRAFI</x:v>
      </x:c>
      <x:c r="E3747" t="str">
        <x:v>Sarjana</x:v>
      </x:c>
      <x:c r="F3747" s="18" t="n">
        <x:v>36</x:v>
      </x:c>
      <x:c r="G3747" s="18" t="n">
        <x:v>7</x:v>
      </x:c>
      <x:c r="H3747" s="19" t="n">
        <x:v>0.19444444444444445</x:v>
      </x:c>
      <x:c r="I3747" s="18" t="n">
        <x:f>ROUND(MIN(Model_Config_v3!$B$6,MAX(Q3747,R3747,S3747*Model_Config_v3!$B$4+T3747*Model_Config_v3!$B$5)),0)</x:f>
        <x:v>598</x:v>
      </x:c>
      <x:c r="J3747" s="18" t="n">
        <x:f>MIN(Model_Config_v3!$B$6,I3747+Model_Config_v3!$B$7)</x:f>
        <x:v>618</x:v>
      </x:c>
      <x:c r="K3747" s="20" t="n">
        <x:v>36.1</x:v>
      </x:c>
      <x:c r="L3747" t="str">
        <x:v>RELATIF LONGGAR</x:v>
      </x:c>
      <x:c r="M3747" t="str">
        <x:v>SEDANG+</x:v>
      </x:c>
      <x:c r="N3747" t="str">
        <x:v>REGULER</x:v>
      </x:c>
      <x:c r="O3747" t="str">
        <x:v>CAMPURAN</x:v>
      </x:c>
      <x:c r="P3747" t="str">
        <x:v>PENDIDIKAN</x:v>
      </x:c>
      <x:c r="Q3747" s="18" t="n">
        <x:v>0</x:v>
      </x:c>
      <x:c r="R3747" s="18" t="n">
        <x:v>0</x:v>
      </x:c>
      <x:c r="S3747" s="18" t="n">
        <x:v>520</x:v>
      </x:c>
      <x:c r="T3747" s="18" t="n">
        <x:v>632</x:v>
      </x:c>
      <x:c r="U3747" s="18" t="n">
        <x:v>520</x:v>
      </x:c>
      <x:c r="V3747" s="20" t="n">
        <x:v>8.8</x:v>
      </x:c>
      <x:c r="W3747" s="20" t="n">
        <x:v>9.9</x:v>
      </x:c>
      <x:c r="X3747" s="20" t="n">
        <x:v>3.3</x:v>
      </x:c>
      <x:c r="Y3747" t="str">
        <x:v>Basis arsip 2025/2024</x:v>
      </x:c>
      <x:c r="Z3747" t="str">
        <x:v>https://snpmb.id/utbk-snbt/daya-tampung-snbt</x:v>
      </x:c>
      <x:c r="AA3747" t="str">
        <x:v>Tidak Ada</x:v>
      </x:c>
      <x:c r="AB3747" t="str">
        <x:v>Campus=55; Ratio=0.0; Prodi=45; RelDemand=8.7; Capacity=70.0</x:v>
      </x:c>
    </x:row>
    <x:row r="3748">
      <x:c r="A3748" t="n">
        <x:v>3745</x:v>
      </x:c>
      <x:c r="B3748" t="str">
        <x:v>PTN Akademik</x:v>
      </x:c>
      <x:c r="C3748" t="str">
        <x:v>UNIVERSITAS KHAIRUN</x:v>
      </x:c>
      <x:c r="D3748" t="str">
        <x:v>PGSD S1</x:v>
      </x:c>
      <x:c r="E3748" t="str">
        <x:v>Sarjana</x:v>
      </x:c>
      <x:c r="F3748" s="18" t="n">
        <x:v>76</x:v>
      </x:c>
      <x:c r="G3748" s="18" t="n">
        <x:v>76</x:v>
      </x:c>
      <x:c r="H3748" s="19" t="n">
        <x:v>1</x:v>
      </x:c>
      <x:c r="I3748" s="18" t="n">
        <x:f>ROUND(MIN(Model_Config_v3!$B$6,MAX(Q3748,R3748,S3748*Model_Config_v3!$B$4+T3748*Model_Config_v3!$B$5)),0)</x:f>
        <x:v>598</x:v>
      </x:c>
      <x:c r="J3748" s="18" t="n">
        <x:f>MIN(Model_Config_v3!$B$6,I3748+Model_Config_v3!$B$7)</x:f>
        <x:v>618</x:v>
      </x:c>
      <x:c r="K3748" s="20" t="n">
        <x:v>35.4</x:v>
      </x:c>
      <x:c r="L3748" t="str">
        <x:v>RELATIF LONGGAR</x:v>
      </x:c>
      <x:c r="M3748" t="str">
        <x:v>SEDANG</x:v>
      </x:c>
      <x:c r="N3748" t="str">
        <x:v>REGULER</x:v>
      </x:c>
      <x:c r="O3748" t="str">
        <x:v>CAMPURAN</x:v>
      </x:c>
      <x:c r="P3748" t="str">
        <x:v>UMUM</x:v>
      </x:c>
      <x:c r="Q3748" s="18" t="n">
        <x:v>0</x:v>
      </x:c>
      <x:c r="R3748" s="18" t="n">
        <x:v>0</x:v>
      </x:c>
      <x:c r="S3748" s="18" t="n">
        <x:v>520</x:v>
      </x:c>
      <x:c r="T3748" s="18" t="n">
        <x:v>631</x:v>
      </x:c>
      <x:c r="U3748" s="18" t="n">
        <x:v>520</x:v>
      </x:c>
      <x:c r="V3748" s="20" t="n">
        <x:v>8.8</x:v>
      </x:c>
      <x:c r="W3748" s="20" t="n">
        <x:v>9.9</x:v>
      </x:c>
      <x:c r="X3748" s="20" t="n">
        <x:v>3.3</x:v>
      </x:c>
      <x:c r="Y3748" t="str">
        <x:v>Basis arsip 2025/2024</x:v>
      </x:c>
      <x:c r="Z3748" t="str">
        <x:v>https://snpmb.id/utbk-snbt/daya-tampung-snbt</x:v>
      </x:c>
      <x:c r="AA3748" t="str">
        <x:v>Tidak Ada</x:v>
      </x:c>
      <x:c r="AB3748" t="str">
        <x:v>Campus=55; Ratio=0.0; Prodi=40; RelDemand=45.0; Capacity=36.7</x:v>
      </x:c>
    </x:row>
    <x:row r="3749">
      <x:c r="A3749" t="n">
        <x:v>3746</x:v>
      </x:c>
      <x:c r="B3749" t="str">
        <x:v>PTN Akademik</x:v>
      </x:c>
      <x:c r="C3749" t="str">
        <x:v>UNIVERSITAS KHAIRUN</x:v>
      </x:c>
      <x:c r="D3749" t="str">
        <x:v>ANTROPOLOGI SOSIAL</x:v>
      </x:c>
      <x:c r="E3749" t="str">
        <x:v>Sarjana</x:v>
      </x:c>
      <x:c r="F3749" s="18" t="n">
        <x:v>16</x:v>
      </x:c>
      <x:c r="G3749" s="18" t="n">
        <x:v>4</x:v>
      </x:c>
      <x:c r="H3749" s="19" t="n">
        <x:v>0.25</x:v>
      </x:c>
      <x:c r="I3749" s="18" t="n">
        <x:f>ROUND(MIN(Model_Config_v3!$B$6,MAX(Q3749,R3749,S3749*Model_Config_v3!$B$4+T3749*Model_Config_v3!$B$5)),0)</x:f>
        <x:v>600</x:v>
      </x:c>
      <x:c r="J3749" s="18" t="n">
        <x:f>MIN(Model_Config_v3!$B$6,I3749+Model_Config_v3!$B$7)</x:f>
        <x:v>620</x:v>
      </x:c>
      <x:c r="K3749" s="20" t="n">
        <x:v>37</x:v>
      </x:c>
      <x:c r="L3749" t="str">
        <x:v>RELATIF LONGGAR</x:v>
      </x:c>
      <x:c r="M3749" t="str">
        <x:v>SEDANG</x:v>
      </x:c>
      <x:c r="N3749" t="str">
        <x:v>REGULER</x:v>
      </x:c>
      <x:c r="O3749" t="str">
        <x:v>SOSHUM</x:v>
      </x:c>
      <x:c r="P3749" t="str">
        <x:v>UMUM</x:v>
      </x:c>
      <x:c r="Q3749" s="18" t="n">
        <x:v>0</x:v>
      </x:c>
      <x:c r="R3749" s="18" t="n">
        <x:v>0</x:v>
      </x:c>
      <x:c r="S3749" s="18" t="n">
        <x:v>520</x:v>
      </x:c>
      <x:c r="T3749" s="18" t="n">
        <x:v>634</x:v>
      </x:c>
      <x:c r="U3749" s="18" t="n">
        <x:v>520</x:v>
      </x:c>
      <x:c r="V3749" s="20" t="n">
        <x:v>4.4</x:v>
      </x:c>
      <x:c r="W3749" s="20" t="n">
        <x:v>14.3</x:v>
      </x:c>
      <x:c r="X3749" s="20" t="n">
        <x:v>3.3</x:v>
      </x:c>
      <x:c r="Y3749" t="str">
        <x:v>Basis arsip 2025/2024</x:v>
      </x:c>
      <x:c r="Z3749" t="str">
        <x:v>https://snpmb.id/utbk-snbt/daya-tampung-snbt</x:v>
      </x:c>
      <x:c r="AA3749" t="str">
        <x:v>Tidak Ada</x:v>
      </x:c>
      <x:c r="AB3749" t="str">
        <x:v>Campus=55; Ratio=0.0; Prodi=40; RelDemand=11.2; Capacity=86.7</x:v>
      </x:c>
    </x:row>
    <x:row r="3750">
      <x:c r="A3750" t="n">
        <x:v>3747</x:v>
      </x:c>
      <x:c r="B3750" t="str">
        <x:v>PTN Akademik</x:v>
      </x:c>
      <x:c r="C3750" t="str">
        <x:v>UNIVERSITAS KHAIRUN</x:v>
      </x:c>
      <x:c r="D3750" t="str">
        <x:v>PG PAUD</x:v>
      </x:c>
      <x:c r="E3750" t="str">
        <x:v>Sarjana</x:v>
      </x:c>
      <x:c r="F3750" s="18" t="n">
        <x:v>72</x:v>
      </x:c>
      <x:c r="G3750" s="18" t="n">
        <x:v>41</x:v>
      </x:c>
      <x:c r="H3750" s="19" t="n">
        <x:v>0.5694444444444444</x:v>
      </x:c>
      <x:c r="I3750" s="18" t="n">
        <x:f>ROUND(MIN(Model_Config_v3!$B$6,MAX(Q3750,R3750,S3750*Model_Config_v3!$B$4+T3750*Model_Config_v3!$B$5)),0)</x:f>
        <x:v>596</x:v>
      </x:c>
      <x:c r="J3750" s="18" t="n">
        <x:f>MIN(Model_Config_v3!$B$6,I3750+Model_Config_v3!$B$7)</x:f>
        <x:v>616</x:v>
      </x:c>
      <x:c r="K3750" s="20" t="n">
        <x:v>33.8</x:v>
      </x:c>
      <x:c r="L3750" t="str">
        <x:v>RELATIF LONGGAR</x:v>
      </x:c>
      <x:c r="M3750" t="str">
        <x:v>SEDANG</x:v>
      </x:c>
      <x:c r="N3750" t="str">
        <x:v>REGULER</x:v>
      </x:c>
      <x:c r="O3750" t="str">
        <x:v>CAMPURAN</x:v>
      </x:c>
      <x:c r="P3750" t="str">
        <x:v>UMUM</x:v>
      </x:c>
      <x:c r="Q3750" s="18" t="n">
        <x:v>0</x:v>
      </x:c>
      <x:c r="R3750" s="18" t="n">
        <x:v>0</x:v>
      </x:c>
      <x:c r="S3750" s="18" t="n">
        <x:v>520</x:v>
      </x:c>
      <x:c r="T3750" s="18" t="n">
        <x:v>628</x:v>
      </x:c>
      <x:c r="U3750" s="18" t="n">
        <x:v>520</x:v>
      </x:c>
      <x:c r="V3750" s="20" t="n">
        <x:v>8.8</x:v>
      </x:c>
      <x:c r="W3750" s="20" t="n">
        <x:v>9.9</x:v>
      </x:c>
      <x:c r="X3750" s="20" t="n">
        <x:v>3.3</x:v>
      </x:c>
      <x:c r="Y3750" t="str">
        <x:v>Basis arsip 2025/2024</x:v>
      </x:c>
      <x:c r="Z3750" t="str">
        <x:v>https://snpmb.id/utbk-snbt/daya-tampung-snbt</x:v>
      </x:c>
      <x:c r="AA3750" t="str">
        <x:v>Tidak Ada</x:v>
      </x:c>
      <x:c r="AB3750" t="str">
        <x:v>Campus=55; Ratio=0.0; Prodi=40; RelDemand=25.6; Capacity=40.0</x:v>
      </x:c>
    </x:row>
    <x:row r="3751">
      <x:c r="A3751" t="n">
        <x:v>3748</x:v>
      </x:c>
      <x:c r="B3751" t="str">
        <x:v>PTN Akademik</x:v>
      </x:c>
      <x:c r="C3751" t="str">
        <x:v>UNIVERSITAS KHAIRUN</x:v>
      </x:c>
      <x:c r="D3751" t="str">
        <x:v>PSIKOLOGI</x:v>
      </x:c>
      <x:c r="E3751" t="str">
        <x:v>Sarjana</x:v>
      </x:c>
      <x:c r="F3751" s="18" t="n">
        <x:v>32</x:v>
      </x:c>
      <x:c r="G3751" s="18" t="n">
        <x:v>97</x:v>
      </x:c>
      <x:c r="H3751" s="19" t="n">
        <x:v>3.03125</x:v>
      </x:c>
      <x:c r="I3751" s="18" t="n">
        <x:f>ROUND(MIN(Model_Config_v3!$B$6,MAX(Q3751,R3751,S3751*Model_Config_v3!$B$4+T3751*Model_Config_v3!$B$5)),0)</x:f>
        <x:v>647</x:v>
      </x:c>
      <x:c r="J3751" s="18" t="n">
        <x:f>MIN(Model_Config_v3!$B$6,I3751+Model_Config_v3!$B$7)</x:f>
        <x:v>667</x:v>
      </x:c>
      <x:c r="K3751" s="20" t="n">
        <x:v>59.7</x:v>
      </x:c>
      <x:c r="L3751" t="str">
        <x:v>KETAT</x:v>
      </x:c>
      <x:c r="M3751" t="str">
        <x:v>SEDANG+</x:v>
      </x:c>
      <x:c r="N3751" t="str">
        <x:v>REGULER</x:v>
      </x:c>
      <x:c r="O3751" t="str">
        <x:v>SOSHUM</x:v>
      </x:c>
      <x:c r="P3751" t="str">
        <x:v>PSIKOLOGI</x:v>
      </x:c>
      <x:c r="Q3751" s="18" t="n">
        <x:v>0</x:v>
      </x:c>
      <x:c r="R3751" s="18" t="n">
        <x:v>0</x:v>
      </x:c>
      <x:c r="S3751" s="18" t="n">
        <x:v>572.9783931540973</x:v>
      </x:c>
      <x:c r="T3751" s="18" t="n">
        <x:v>679</x:v>
      </x:c>
      <x:c r="U3751" s="18" t="n">
        <x:v>597.9783931540973</x:v>
      </x:c>
      <x:c r="V3751" s="20" t="n">
        <x:v>4.4</x:v>
      </x:c>
      <x:c r="W3751" s="20" t="n">
        <x:v>14.3</x:v>
      </x:c>
      <x:c r="X3751" s="20" t="n">
        <x:v>3.3</x:v>
      </x:c>
      <x:c r="Y3751" t="str">
        <x:v>Basis arsip 2025/2024</x:v>
      </x:c>
      <x:c r="Z3751" t="str">
        <x:v>https://snpmb.id/utbk-snbt/daya-tampung-snbt</x:v>
      </x:c>
      <x:c r="AA3751" t="str">
        <x:v>Tidak Ada</x:v>
      </x:c>
      <x:c r="AB3751" t="str">
        <x:v>Campus=55; Ratio=28.3; Prodi=80; RelDemand=100.0; Capacity=73.3</x:v>
      </x:c>
    </x:row>
    <x:row r="3752">
      <x:c r="A3752" t="n">
        <x:v>3749</x:v>
      </x:c>
      <x:c r="B3752" t="str">
        <x:v>PTN Akademik</x:v>
      </x:c>
      <x:c r="C3752" t="str">
        <x:v>UNIVERSITAS KHAIRUN</x:v>
      </x:c>
      <x:c r="D3752" t="str">
        <x:v>TEKNIK INDUSTRI</x:v>
      </x:c>
      <x:c r="E3752" t="str">
        <x:v>Sarjana</x:v>
      </x:c>
      <x:c r="F3752" s="18" t="n">
        <x:v>32</x:v>
      </x:c>
      <x:c r="G3752" s="18" t="n">
        <x:v>28</x:v>
      </x:c>
      <x:c r="H3752" s="19" t="n">
        <x:v>0.875</x:v>
      </x:c>
      <x:c r="I3752" s="18" t="n">
        <x:f>ROUND(MIN(Model_Config_v3!$B$6,MAX(Q3752,R3752,S3752*Model_Config_v3!$B$4+T3752*Model_Config_v3!$B$5)),0)</x:f>
        <x:v>608</x:v>
      </x:c>
      <x:c r="J3752" s="18" t="n">
        <x:f>MIN(Model_Config_v3!$B$6,I3752+Model_Config_v3!$B$7)</x:f>
        <x:v>628</x:v>
      </x:c>
      <x:c r="K3752" s="20" t="n">
        <x:v>42.5</x:v>
      </x:c>
      <x:c r="L3752" t="str">
        <x:v>RELATIF LONGGAR</x:v>
      </x:c>
      <x:c r="M3752" t="str">
        <x:v>SEDANG+</x:v>
      </x:c>
      <x:c r="N3752" t="str">
        <x:v>REGULER</x:v>
      </x:c>
      <x:c r="O3752" t="str">
        <x:v>SAINTEK</x:v>
      </x:c>
      <x:c r="P3752" t="str">
        <x:v>TEKNIK/ARSITEKTUR/STATISTIKA/AKTUARIA</x:v>
      </x:c>
      <x:c r="Q3752" s="18" t="n">
        <x:v>0</x:v>
      </x:c>
      <x:c r="R3752" s="18" t="n">
        <x:v>0</x:v>
      </x:c>
      <x:c r="S3752" s="18" t="n">
        <x:v>520</x:v>
      </x:c>
      <x:c r="T3752" s="18" t="n">
        <x:v>645</x:v>
      </x:c>
      <x:c r="U3752" s="18" t="n">
        <x:v>530</x:v>
      </x:c>
      <x:c r="V3752" s="20" t="n">
        <x:v>12</x:v>
      </x:c>
      <x:c r="W3752" s="20" t="n">
        <x:v>5</x:v>
      </x:c>
      <x:c r="X3752" s="20" t="n">
        <x:v>3</x:v>
      </x:c>
      <x:c r="Y3752" t="str">
        <x:v>Basis arsip 2025/2024</x:v>
      </x:c>
      <x:c r="Z3752" t="str">
        <x:v>https://snpmb.id/utbk-snbt/daya-tampung-snbt</x:v>
      </x:c>
      <x:c r="AA3752" t="str">
        <x:v>Tidak Ada</x:v>
      </x:c>
      <x:c r="AB3752" t="str">
        <x:v>Campus=55; Ratio=0.0; Prodi=60; RelDemand=39.4; Capacity=73.3</x:v>
      </x:c>
    </x:row>
    <x:row r="3753">
      <x:c r="A3753" t="n">
        <x:v>3750</x:v>
      </x:c>
      <x:c r="B3753" t="str">
        <x:v>PTN Akademik</x:v>
      </x:c>
      <x:c r="C3753" t="str">
        <x:v>UNIVERSITAS KHAIRUN</x:v>
      </x:c>
      <x:c r="D3753" t="str">
        <x:v>PENDIDIKAN ILMU PENGETAHUAN ALAM</x:v>
      </x:c>
      <x:c r="E3753" t="str">
        <x:v>Sarjana</x:v>
      </x:c>
      <x:c r="F3753" s="18" t="n">
        <x:v>30</x:v>
      </x:c>
      <x:c r="G3753" s="18"/>
      <x:c r="H3753" s="19" t="n">
        <x:v>0</x:v>
      </x:c>
      <x:c r="I3753" s="18" t="n">
        <x:f>ROUND(MIN(Model_Config_v3!$B$6,MAX(Q3753,R3753,S3753*Model_Config_v3!$B$4+T3753*Model_Config_v3!$B$5)),0)</x:f>
        <x:v>598</x:v>
      </x:c>
      <x:c r="J3753" s="18" t="n">
        <x:f>MIN(Model_Config_v3!$B$6,I3753+Model_Config_v3!$B$7)</x:f>
        <x:v>618</x:v>
      </x:c>
      <x:c r="K3753" s="20" t="n">
        <x:v>35.8</x:v>
      </x:c>
      <x:c r="L3753" t="str">
        <x:v>RELATIF LONGGAR</x:v>
      </x:c>
      <x:c r="M3753" t="str">
        <x:v>RENDAH</x:v>
      </x:c>
      <x:c r="N3753" t="str">
        <x:v>REGULER</x:v>
      </x:c>
      <x:c r="O3753" t="str">
        <x:v>CAMPURAN</x:v>
      </x:c>
      <x:c r="P3753" t="str">
        <x:v>PENDIDIKAN</x:v>
      </x:c>
      <x:c r="Q3753" s="18" t="n">
        <x:v>0</x:v>
      </x:c>
      <x:c r="R3753" s="18" t="n">
        <x:v>0</x:v>
      </x:c>
      <x:c r="S3753" s="18" t="n">
        <x:v>520</x:v>
      </x:c>
      <x:c r="T3753" s="18" t="n">
        <x:v>632</x:v>
      </x:c>
      <x:c r="U3753" s="18" t="n">
        <x:v>520</x:v>
      </x:c>
      <x:c r="V3753" s="20" t="n">
        <x:v>8.8</x:v>
      </x:c>
      <x:c r="W3753" s="20" t="n">
        <x:v>9.9</x:v>
      </x:c>
      <x:c r="X3753" s="20" t="n">
        <x:v>3.3</x:v>
      </x:c>
      <x:c r="Y3753" t="str">
        <x:v>Basis arsip 2025/2024</x:v>
      </x:c>
      <x:c r="Z3753" t="str">
        <x:v>https://snpmb.id/utbk-snbt/daya-tampung-snbt</x:v>
      </x:c>
      <x:c r="AA3753" t="str">
        <x:v>Tidak Ada</x:v>
      </x:c>
      <x:c r="AB3753" t="str">
        <x:v>Campus=55; Ratio=0.0; Prodi=45; RelDemand=0.0; Capacity=75.0</x:v>
      </x:c>
    </x:row>
    <x:row r="3754">
      <x:c r="A3754" t="n">
        <x:v>3751</x:v>
      </x:c>
      <x:c r="B3754" t="str">
        <x:v>PTN Akademik</x:v>
      </x:c>
      <x:c r="C3754" t="str">
        <x:v>UNIVERSITAS KHAIRUN</x:v>
      </x:c>
      <x:c r="D3754" t="str">
        <x:v>USAHA PERJALANAN WISATA</x:v>
      </x:c>
      <x:c r="E3754" t="str">
        <x:v>Diploma Tiga</x:v>
      </x:c>
      <x:c r="F3754" s="18" t="n">
        <x:v>12</x:v>
      </x:c>
      <x:c r="G3754" s="18" t="n">
        <x:v>64</x:v>
      </x:c>
      <x:c r="H3754" s="19" t="n">
        <x:v>5.333333333333333</x:v>
      </x:c>
      <x:c r="I3754" s="18" t="n">
        <x:f>ROUND(MIN(Model_Config_v3!$B$6,MAX(Q3754,R3754,S3754*Model_Config_v3!$B$4+T3754*Model_Config_v3!$B$5)),0)</x:f>
        <x:v>652</x:v>
      </x:c>
      <x:c r="J3754" s="18" t="n">
        <x:f>MIN(Model_Config_v3!$B$6,I3754+Model_Config_v3!$B$7)</x:f>
        <x:v>672</x:v>
      </x:c>
      <x:c r="K3754" s="20" t="n">
        <x:v>56.9</x:v>
      </x:c>
      <x:c r="L3754" t="str">
        <x:v>KETAT</x:v>
      </x:c>
      <x:c r="M3754" t="str">
        <x:v>SEDANG</x:v>
      </x:c>
      <x:c r="N3754" t="str">
        <x:v>REGULER</x:v>
      </x:c>
      <x:c r="O3754" t="str">
        <x:v>CAMPURAN</x:v>
      </x:c>
      <x:c r="P3754" t="str">
        <x:v>UMUM</x:v>
      </x:c>
      <x:c r="Q3754" s="18" t="n">
        <x:v>0</x:v>
      </x:c>
      <x:c r="R3754" s="18" t="n">
        <x:v>0</x:v>
      </x:c>
      <x:c r="S3754" s="18" t="n">
        <x:v>599.9698600729888</x:v>
      </x:c>
      <x:c r="T3754" s="18" t="n">
        <x:v>674</x:v>
      </x:c>
      <x:c r="U3754" s="18" t="n">
        <x:v>599.9698600729888</x:v>
      </x:c>
      <x:c r="V3754" s="20" t="n">
        <x:v>8.8</x:v>
      </x:c>
      <x:c r="W3754" s="20" t="n">
        <x:v>9.9</x:v>
      </x:c>
      <x:c r="X3754" s="20" t="n">
        <x:v>3.3</x:v>
      </x:c>
      <x:c r="Y3754" t="str">
        <x:v>Basis arsip 2025/2024</x:v>
      </x:c>
      <x:c r="Z3754" t="str">
        <x:v>https://snpmb.id/utbk-snbt/daya-tampung-snbt</x:v>
      </x:c>
      <x:c r="AA3754" t="str">
        <x:v>Tidak Ada</x:v>
      </x:c>
      <x:c r="AB3754" t="str">
        <x:v>Campus=55; Ratio=42.8; Prodi=40; RelDemand=100.0; Capacity=90.0</x:v>
      </x:c>
    </x:row>
    <x:row r="3755">
      <x:c r="A3755" t="n">
        <x:v>3752</x:v>
      </x:c>
      <x:c r="B3755" t="str">
        <x:v>PTN Akademik</x:v>
      </x:c>
      <x:c r="C3755" t="str">
        <x:v>UNIVERSITAS CENDERAWASIH</x:v>
      </x:c>
      <x:c r="D3755" t="str">
        <x:v>MATEMATIKA</x:v>
      </x:c>
      <x:c r="E3755" t="str">
        <x:v>Sarjana</x:v>
      </x:c>
      <x:c r="F3755" s="18" t="n">
        <x:v>18</x:v>
      </x:c>
      <x:c r="G3755" s="18" t="n">
        <x:v>4</x:v>
      </x:c>
      <x:c r="H3755" s="19" t="n">
        <x:v>0.2222222222222222</x:v>
      </x:c>
      <x:c r="I3755" s="18" t="n">
        <x:f>ROUND(MIN(Model_Config_v3!$B$6,MAX(Q3755,R3755,S3755*Model_Config_v3!$B$4+T3755*Model_Config_v3!$B$5)),0)</x:f>
        <x:v>603</x:v>
      </x:c>
      <x:c r="J3755" s="18" t="n">
        <x:f>MIN(Model_Config_v3!$B$6,I3755+Model_Config_v3!$B$7)</x:f>
        <x:v>623</x:v>
      </x:c>
      <x:c r="K3755" s="20" t="n">
        <x:v>38.9</x:v>
      </x:c>
      <x:c r="L3755" t="str">
        <x:v>RELATIF LONGGAR</x:v>
      </x:c>
      <x:c r="M3755" t="str">
        <x:v>SEDANG+</x:v>
      </x:c>
      <x:c r="N3755" t="str">
        <x:v>REGULER</x:v>
      </x:c>
      <x:c r="O3755" t="str">
        <x:v>SAINTEK</x:v>
      </x:c>
      <x:c r="P3755" t="str">
        <x:v>SAINS DASAR</x:v>
      </x:c>
      <x:c r="Q3755" s="18" t="n">
        <x:v>0</x:v>
      </x:c>
      <x:c r="R3755" s="18" t="n">
        <x:v>0</x:v>
      </x:c>
      <x:c r="S3755" s="18" t="n">
        <x:v>520</x:v>
      </x:c>
      <x:c r="T3755" s="18" t="n">
        <x:v>638</x:v>
      </x:c>
      <x:c r="U3755" s="18" t="n">
        <x:v>520</x:v>
      </x:c>
      <x:c r="V3755" s="20" t="n">
        <x:v>12</x:v>
      </x:c>
      <x:c r="W3755" s="20" t="n">
        <x:v>5</x:v>
      </x:c>
      <x:c r="X3755" s="20" t="n">
        <x:v>3</x:v>
      </x:c>
      <x:c r="Y3755" t="str">
        <x:v>Basis arsip 2025/2024</x:v>
      </x:c>
      <x:c r="Z3755" t="str">
        <x:v>https://snpmb.id/utbk-snbt/daya-tampung-snbt</x:v>
      </x:c>
      <x:c r="AA3755" t="str">
        <x:v>Tidak Ada</x:v>
      </x:c>
      <x:c r="AB3755" t="str">
        <x:v>Campus=55; Ratio=0.0; Prodi=50; RelDemand=11.8; Capacity=85.0</x:v>
      </x:c>
    </x:row>
    <x:row r="3756">
      <x:c r="A3756" t="n">
        <x:v>3753</x:v>
      </x:c>
      <x:c r="B3756" t="str">
        <x:v>PTN Akademik</x:v>
      </x:c>
      <x:c r="C3756" t="str">
        <x:v>UNIVERSITAS CENDERAWASIH</x:v>
      </x:c>
      <x:c r="D3756" t="str">
        <x:v>BIOLOGI</x:v>
      </x:c>
      <x:c r="E3756" t="str">
        <x:v>Sarjana</x:v>
      </x:c>
      <x:c r="F3756" s="18" t="n">
        <x:v>18</x:v>
      </x:c>
      <x:c r="G3756" s="18" t="n">
        <x:v>8</x:v>
      </x:c>
      <x:c r="H3756" s="19" t="n">
        <x:v>0.4444444444444444</x:v>
      </x:c>
      <x:c r="I3756" s="18" t="n">
        <x:f>ROUND(MIN(Model_Config_v3!$B$6,MAX(Q3756,R3756,S3756*Model_Config_v3!$B$4+T3756*Model_Config_v3!$B$5)),0)</x:f>
        <x:v>604</x:v>
      </x:c>
      <x:c r="J3756" s="18" t="n">
        <x:f>MIN(Model_Config_v3!$B$6,I3756+Model_Config_v3!$B$7)</x:f>
        <x:v>624</x:v>
      </x:c>
      <x:c r="K3756" s="20" t="n">
        <x:v>40.1</x:v>
      </x:c>
      <x:c r="L3756" t="str">
        <x:v>RELATIF LONGGAR</x:v>
      </x:c>
      <x:c r="M3756" t="str">
        <x:v>SEDANG+</x:v>
      </x:c>
      <x:c r="N3756" t="str">
        <x:v>REGULER</x:v>
      </x:c>
      <x:c r="O3756" t="str">
        <x:v>SAINTEK</x:v>
      </x:c>
      <x:c r="P3756" t="str">
        <x:v>SAINS DASAR</x:v>
      </x:c>
      <x:c r="Q3756" s="18" t="n">
        <x:v>0</x:v>
      </x:c>
      <x:c r="R3756" s="18" t="n">
        <x:v>0</x:v>
      </x:c>
      <x:c r="S3756" s="18" t="n">
        <x:v>520</x:v>
      </x:c>
      <x:c r="T3756" s="18" t="n">
        <x:v>640</x:v>
      </x:c>
      <x:c r="U3756" s="18" t="n">
        <x:v>520</x:v>
      </x:c>
      <x:c r="V3756" s="20" t="n">
        <x:v>12</x:v>
      </x:c>
      <x:c r="W3756" s="20" t="n">
        <x:v>5</x:v>
      </x:c>
      <x:c r="X3756" s="20" t="n">
        <x:v>3</x:v>
      </x:c>
      <x:c r="Y3756" t="str">
        <x:v>Basis arsip 2025/2024</x:v>
      </x:c>
      <x:c r="Z3756" t="str">
        <x:v>https://snpmb.id/utbk-snbt/daya-tampung-snbt</x:v>
      </x:c>
      <x:c r="AA3756" t="str">
        <x:v>Tidak Ada</x:v>
      </x:c>
      <x:c r="AB3756" t="str">
        <x:v>Campus=55; Ratio=0.0; Prodi=50; RelDemand=23.6; Capacity=85.0</x:v>
      </x:c>
    </x:row>
    <x:row r="3757">
      <x:c r="A3757" t="n">
        <x:v>3754</x:v>
      </x:c>
      <x:c r="B3757" t="str">
        <x:v>PTN Akademik</x:v>
      </x:c>
      <x:c r="C3757" t="str">
        <x:v>UNIVERSITAS CENDERAWASIH</x:v>
      </x:c>
      <x:c r="D3757" t="str">
        <x:v>KIMIA</x:v>
      </x:c>
      <x:c r="E3757" t="str">
        <x:v>Sarjana</x:v>
      </x:c>
      <x:c r="F3757" s="18" t="n">
        <x:v>18</x:v>
      </x:c>
      <x:c r="G3757" s="18" t="n">
        <x:v>2</x:v>
      </x:c>
      <x:c r="H3757" s="19" t="n">
        <x:v>0.1111111111111111</x:v>
      </x:c>
      <x:c r="I3757" s="18" t="n">
        <x:f>ROUND(MIN(Model_Config_v3!$B$6,MAX(Q3757,R3757,S3757*Model_Config_v3!$B$4+T3757*Model_Config_v3!$B$5)),0)</x:f>
        <x:v>602</x:v>
      </x:c>
      <x:c r="J3757" s="18" t="n">
        <x:f>MIN(Model_Config_v3!$B$6,I3757+Model_Config_v3!$B$7)</x:f>
        <x:v>622</x:v>
      </x:c>
      <x:c r="K3757" s="20" t="n">
        <x:v>38.3</x:v>
      </x:c>
      <x:c r="L3757" t="str">
        <x:v>RELATIF LONGGAR</x:v>
      </x:c>
      <x:c r="M3757" t="str">
        <x:v>SEDANG+</x:v>
      </x:c>
      <x:c r="N3757" t="str">
        <x:v>REGULER</x:v>
      </x:c>
      <x:c r="O3757" t="str">
        <x:v>SAINTEK</x:v>
      </x:c>
      <x:c r="P3757" t="str">
        <x:v>SAINS DASAR</x:v>
      </x:c>
      <x:c r="Q3757" s="18" t="n">
        <x:v>0</x:v>
      </x:c>
      <x:c r="R3757" s="18" t="n">
        <x:v>0</x:v>
      </x:c>
      <x:c r="S3757" s="18" t="n">
        <x:v>520</x:v>
      </x:c>
      <x:c r="T3757" s="18" t="n">
        <x:v>637</x:v>
      </x:c>
      <x:c r="U3757" s="18" t="n">
        <x:v>520</x:v>
      </x:c>
      <x:c r="V3757" s="20" t="n">
        <x:v>12</x:v>
      </x:c>
      <x:c r="W3757" s="20" t="n">
        <x:v>5</x:v>
      </x:c>
      <x:c r="X3757" s="20" t="n">
        <x:v>3</x:v>
      </x:c>
      <x:c r="Y3757" t="str">
        <x:v>Basis arsip 2025/2024</x:v>
      </x:c>
      <x:c r="Z3757" t="str">
        <x:v>https://snpmb.id/utbk-snbt/daya-tampung-snbt</x:v>
      </x:c>
      <x:c r="AA3757" t="str">
        <x:v>Tidak Ada</x:v>
      </x:c>
      <x:c r="AB3757" t="str">
        <x:v>Campus=55; Ratio=0.0; Prodi=50; RelDemand=5.9; Capacity=85.0</x:v>
      </x:c>
    </x:row>
    <x:row r="3758">
      <x:c r="A3758" t="n">
        <x:v>3755</x:v>
      </x:c>
      <x:c r="B3758" t="str">
        <x:v>PTN Akademik</x:v>
      </x:c>
      <x:c r="C3758" t="str">
        <x:v>UNIVERSITAS CENDERAWASIH</x:v>
      </x:c>
      <x:c r="D3758" t="str">
        <x:v>FISIKA</x:v>
      </x:c>
      <x:c r="E3758" t="str">
        <x:v>Sarjana</x:v>
      </x:c>
      <x:c r="F3758" s="18" t="n">
        <x:v>18</x:v>
      </x:c>
      <x:c r="G3758" s="18" t="n">
        <x:v>1</x:v>
      </x:c>
      <x:c r="H3758" s="19" t="n">
        <x:v>0.05555555555555555</x:v>
      </x:c>
      <x:c r="I3758" s="18" t="n">
        <x:f>ROUND(MIN(Model_Config_v3!$B$6,MAX(Q3758,R3758,S3758*Model_Config_v3!$B$4+T3758*Model_Config_v3!$B$5)),0)</x:f>
        <x:v>601</x:v>
      </x:c>
      <x:c r="J3758" s="18" t="n">
        <x:f>MIN(Model_Config_v3!$B$6,I3758+Model_Config_v3!$B$7)</x:f>
        <x:v>621</x:v>
      </x:c>
      <x:c r="K3758" s="20" t="n">
        <x:v>38</x:v>
      </x:c>
      <x:c r="L3758" t="str">
        <x:v>RELATIF LONGGAR</x:v>
      </x:c>
      <x:c r="M3758" t="str">
        <x:v>SEDANG+</x:v>
      </x:c>
      <x:c r="N3758" t="str">
        <x:v>REGULER</x:v>
      </x:c>
      <x:c r="O3758" t="str">
        <x:v>SAINTEK</x:v>
      </x:c>
      <x:c r="P3758" t="str">
        <x:v>SAINS DASAR</x:v>
      </x:c>
      <x:c r="Q3758" s="18" t="n">
        <x:v>0</x:v>
      </x:c>
      <x:c r="R3758" s="18" t="n">
        <x:v>0</x:v>
      </x:c>
      <x:c r="S3758" s="18" t="n">
        <x:v>520</x:v>
      </x:c>
      <x:c r="T3758" s="18" t="n">
        <x:v>636</x:v>
      </x:c>
      <x:c r="U3758" s="18" t="n">
        <x:v>520</x:v>
      </x:c>
      <x:c r="V3758" s="20" t="n">
        <x:v>12</x:v>
      </x:c>
      <x:c r="W3758" s="20" t="n">
        <x:v>5</x:v>
      </x:c>
      <x:c r="X3758" s="20" t="n">
        <x:v>3</x:v>
      </x:c>
      <x:c r="Y3758" t="str">
        <x:v>Basis arsip 2025/2024</x:v>
      </x:c>
      <x:c r="Z3758" t="str">
        <x:v>https://snpmb.id/utbk-snbt/daya-tampung-snbt</x:v>
      </x:c>
      <x:c r="AA3758" t="str">
        <x:v>Tidak Ada</x:v>
      </x:c>
      <x:c r="AB3758" t="str">
        <x:v>Campus=55; Ratio=0.0; Prodi=50; RelDemand=3.0; Capacity=85.0</x:v>
      </x:c>
    </x:row>
    <x:row r="3759">
      <x:c r="A3759" t="n">
        <x:v>3756</x:v>
      </x:c>
      <x:c r="B3759" t="str">
        <x:v>PTN Akademik</x:v>
      </x:c>
      <x:c r="C3759" t="str">
        <x:v>UNIVERSITAS CENDERAWASIH</x:v>
      </x:c>
      <x:c r="D3759" t="str">
        <x:v>ILMU KESEHATAN MASYARAKAT</x:v>
      </x:c>
      <x:c r="E3759" t="str">
        <x:v>Sarjana</x:v>
      </x:c>
      <x:c r="F3759" s="18" t="n">
        <x:v>270</x:v>
      </x:c>
      <x:c r="G3759" s="18" t="n">
        <x:v>110</x:v>
      </x:c>
      <x:c r="H3759" s="19" t="n">
        <x:v>0.4074074074074074</x:v>
      </x:c>
      <x:c r="I3759" s="18" t="n">
        <x:f>ROUND(MIN(Model_Config_v3!$B$6,MAX(Q3759,R3759,S3759*Model_Config_v3!$B$4+T3759*Model_Config_v3!$B$5)),0)</x:f>
        <x:v>594</x:v>
      </x:c>
      <x:c r="J3759" s="18" t="n">
        <x:f>MIN(Model_Config_v3!$B$6,I3759+Model_Config_v3!$B$7)</x:f>
        <x:v>614</x:v>
      </x:c>
      <x:c r="K3759" s="20" t="n">
        <x:v>32.4</x:v>
      </x:c>
      <x:c r="L3759" t="str">
        <x:v>RELATIF LONGGAR</x:v>
      </x:c>
      <x:c r="M3759" t="str">
        <x:v>SEDANG+</x:v>
      </x:c>
      <x:c r="N3759" t="str">
        <x:v>REGULER</x:v>
      </x:c>
      <x:c r="O3759" t="str">
        <x:v>SAINTEK</x:v>
      </x:c>
      <x:c r="P3759" t="str">
        <x:v>KESEHAT/GIZI/KEPERAWATAN</x:v>
      </x:c>
      <x:c r="Q3759" s="18" t="n">
        <x:v>0</x:v>
      </x:c>
      <x:c r="R3759" s="18" t="n">
        <x:v>0</x:v>
      </x:c>
      <x:c r="S3759" s="18" t="n">
        <x:v>520</x:v>
      </x:c>
      <x:c r="T3759" s="18" t="n">
        <x:v>625</x:v>
      </x:c>
      <x:c r="U3759" s="18" t="n">
        <x:v>520</x:v>
      </x:c>
      <x:c r="V3759" s="20" t="n">
        <x:v>12</x:v>
      </x:c>
      <x:c r="W3759" s="20" t="n">
        <x:v>5</x:v>
      </x:c>
      <x:c r="X3759" s="20" t="n">
        <x:v>3</x:v>
      </x:c>
      <x:c r="Y3759" t="str">
        <x:v>Basis arsip 2025/2024</x:v>
      </x:c>
      <x:c r="Z3759" t="str">
        <x:v>https://snpmb.id/utbk-snbt/daya-tampung-snbt</x:v>
      </x:c>
      <x:c r="AA3759" t="str">
        <x:v>Tidak Ada</x:v>
      </x:c>
      <x:c r="AB3759" t="str">
        <x:v>Campus=55; Ratio=0.0; Prodi=55; RelDemand=21.7; Capacity=0.0</x:v>
      </x:c>
    </x:row>
    <x:row r="3760">
      <x:c r="A3760" t="n">
        <x:v>3757</x:v>
      </x:c>
      <x:c r="B3760" t="str">
        <x:v>PTN Akademik</x:v>
      </x:c>
      <x:c r="C3760" t="str">
        <x:v>UNIVERSITAS CENDERAWASIH</x:v>
      </x:c>
      <x:c r="D3760" t="str">
        <x:v>PEND. MATEMATIKA</x:v>
      </x:c>
      <x:c r="E3760" t="str">
        <x:v>Sarjana</x:v>
      </x:c>
      <x:c r="F3760" s="18" t="n">
        <x:v>45</x:v>
      </x:c>
      <x:c r="G3760" s="18" t="n">
        <x:v>3</x:v>
      </x:c>
      <x:c r="H3760" s="19" t="n">
        <x:v>0.06666666666666667</x:v>
      </x:c>
      <x:c r="I3760" s="18" t="n">
        <x:f>ROUND(MIN(Model_Config_v3!$B$6,MAX(Q3760,R3760,S3760*Model_Config_v3!$B$4+T3760*Model_Config_v3!$B$5)),0)</x:f>
        <x:v>597</x:v>
      </x:c>
      <x:c r="J3760" s="18" t="n">
        <x:f>MIN(Model_Config_v3!$B$6,I3760+Model_Config_v3!$B$7)</x:f>
        <x:v>617</x:v>
      </x:c>
      <x:c r="K3760" s="20" t="n">
        <x:v>34.9</x:v>
      </x:c>
      <x:c r="L3760" t="str">
        <x:v>RELATIF LONGGAR</x:v>
      </x:c>
      <x:c r="M3760" t="str">
        <x:v>SEDANG+</x:v>
      </x:c>
      <x:c r="N3760" t="str">
        <x:v>REGULER</x:v>
      </x:c>
      <x:c r="O3760" t="str">
        <x:v>SAINTEK</x:v>
      </x:c>
      <x:c r="P3760" t="str">
        <x:v>PENDIDIKAN</x:v>
      </x:c>
      <x:c r="Q3760" s="18" t="n">
        <x:v>0</x:v>
      </x:c>
      <x:c r="R3760" s="18" t="n">
        <x:v>0</x:v>
      </x:c>
      <x:c r="S3760" s="18" t="n">
        <x:v>520</x:v>
      </x:c>
      <x:c r="T3760" s="18" t="n">
        <x:v>630</x:v>
      </x:c>
      <x:c r="U3760" s="18" t="n">
        <x:v>520</x:v>
      </x:c>
      <x:c r="V3760" s="20" t="n">
        <x:v>12</x:v>
      </x:c>
      <x:c r="W3760" s="20" t="n">
        <x:v>5</x:v>
      </x:c>
      <x:c r="X3760" s="20" t="n">
        <x:v>3</x:v>
      </x:c>
      <x:c r="Y3760" t="str">
        <x:v>Basis arsip 2025/2024</x:v>
      </x:c>
      <x:c r="Z3760" t="str">
        <x:v>https://snpmb.id/utbk-snbt/daya-tampung-snbt</x:v>
      </x:c>
      <x:c r="AA3760" t="str">
        <x:v>Tidak Ada</x:v>
      </x:c>
      <x:c r="AB3760" t="str">
        <x:v>Campus=55; Ratio=0.0; Prodi=45; RelDemand=3.5; Capacity=62.5</x:v>
      </x:c>
    </x:row>
    <x:row r="3761">
      <x:c r="A3761" t="n">
        <x:v>3758</x:v>
      </x:c>
      <x:c r="B3761" t="str">
        <x:v>PTN Akademik</x:v>
      </x:c>
      <x:c r="C3761" t="str">
        <x:v>UNIVERSITAS CENDERAWASIH</x:v>
      </x:c>
      <x:c r="D3761" t="str">
        <x:v>PEND. BIOLOGI</x:v>
      </x:c>
      <x:c r="E3761" t="str">
        <x:v>Sarjana</x:v>
      </x:c>
      <x:c r="F3761" s="18" t="n">
        <x:v>45</x:v>
      </x:c>
      <x:c r="G3761" s="18" t="n">
        <x:v>10</x:v>
      </x:c>
      <x:c r="H3761" s="19" t="n">
        <x:v>0.2222222222222222</x:v>
      </x:c>
      <x:c r="I3761" s="18" t="n">
        <x:f>ROUND(MIN(Model_Config_v3!$B$6,MAX(Q3761,R3761,S3761*Model_Config_v3!$B$4+T3761*Model_Config_v3!$B$5)),0)</x:f>
        <x:v>598</x:v>
      </x:c>
      <x:c r="J3761" s="18" t="n">
        <x:f>MIN(Model_Config_v3!$B$6,I3761+Model_Config_v3!$B$7)</x:f>
        <x:v>618</x:v>
      </x:c>
      <x:c r="K3761" s="20" t="n">
        <x:v>35.7</x:v>
      </x:c>
      <x:c r="L3761" t="str">
        <x:v>RELATIF LONGGAR</x:v>
      </x:c>
      <x:c r="M3761" t="str">
        <x:v>SEDANG+</x:v>
      </x:c>
      <x:c r="N3761" t="str">
        <x:v>REGULER</x:v>
      </x:c>
      <x:c r="O3761" t="str">
        <x:v>SAINTEK</x:v>
      </x:c>
      <x:c r="P3761" t="str">
        <x:v>PENDIDIKAN</x:v>
      </x:c>
      <x:c r="Q3761" s="18" t="n">
        <x:v>0</x:v>
      </x:c>
      <x:c r="R3761" s="18" t="n">
        <x:v>0</x:v>
      </x:c>
      <x:c r="S3761" s="18" t="n">
        <x:v>520</x:v>
      </x:c>
      <x:c r="T3761" s="18" t="n">
        <x:v>631</x:v>
      </x:c>
      <x:c r="U3761" s="18" t="n">
        <x:v>520</x:v>
      </x:c>
      <x:c r="V3761" s="20" t="n">
        <x:v>12</x:v>
      </x:c>
      <x:c r="W3761" s="20" t="n">
        <x:v>5</x:v>
      </x:c>
      <x:c r="X3761" s="20" t="n">
        <x:v>3</x:v>
      </x:c>
      <x:c r="Y3761" t="str">
        <x:v>Basis arsip 2025/2024</x:v>
      </x:c>
      <x:c r="Z3761" t="str">
        <x:v>https://snpmb.id/utbk-snbt/daya-tampung-snbt</x:v>
      </x:c>
      <x:c r="AA3761" t="str">
        <x:v>Tidak Ada</x:v>
      </x:c>
      <x:c r="AB3761" t="str">
        <x:v>Campus=55; Ratio=0.0; Prodi=45; RelDemand=11.8; Capacity=62.5</x:v>
      </x:c>
    </x:row>
    <x:row r="3762">
      <x:c r="A3762" t="n">
        <x:v>3759</x:v>
      </x:c>
      <x:c r="B3762" t="str">
        <x:v>PTN Akademik</x:v>
      </x:c>
      <x:c r="C3762" t="str">
        <x:v>UNIVERSITAS CENDERAWASIH</x:v>
      </x:c>
      <x:c r="D3762" t="str">
        <x:v>PEND. KIMIA</x:v>
      </x:c>
      <x:c r="E3762" t="str">
        <x:v>Sarjana</x:v>
      </x:c>
      <x:c r="F3762" s="18" t="n">
        <x:v>45</x:v>
      </x:c>
      <x:c r="G3762" s="18" t="n">
        <x:v>1</x:v>
      </x:c>
      <x:c r="H3762" s="19" t="n">
        <x:v>0.022222222222222223</x:v>
      </x:c>
      <x:c r="I3762" s="18" t="n">
        <x:f>ROUND(MIN(Model_Config_v3!$B$6,MAX(Q3762,R3762,S3762*Model_Config_v3!$B$4+T3762*Model_Config_v3!$B$5)),0)</x:f>
        <x:v>596</x:v>
      </x:c>
      <x:c r="J3762" s="18" t="n">
        <x:f>MIN(Model_Config_v3!$B$6,I3762+Model_Config_v3!$B$7)</x:f>
        <x:v>616</x:v>
      </x:c>
      <x:c r="K3762" s="20" t="n">
        <x:v>34.6</x:v>
      </x:c>
      <x:c r="L3762" t="str">
        <x:v>RELATIF LONGGAR</x:v>
      </x:c>
      <x:c r="M3762" t="str">
        <x:v>SEDANG+</x:v>
      </x:c>
      <x:c r="N3762" t="str">
        <x:v>REGULER</x:v>
      </x:c>
      <x:c r="O3762" t="str">
        <x:v>SAINTEK</x:v>
      </x:c>
      <x:c r="P3762" t="str">
        <x:v>PENDIDIKAN</x:v>
      </x:c>
      <x:c r="Q3762" s="18" t="n">
        <x:v>0</x:v>
      </x:c>
      <x:c r="R3762" s="18" t="n">
        <x:v>0</x:v>
      </x:c>
      <x:c r="S3762" s="18" t="n">
        <x:v>520</x:v>
      </x:c>
      <x:c r="T3762" s="18" t="n">
        <x:v>629</x:v>
      </x:c>
      <x:c r="U3762" s="18" t="n">
        <x:v>520</x:v>
      </x:c>
      <x:c r="V3762" s="20" t="n">
        <x:v>12</x:v>
      </x:c>
      <x:c r="W3762" s="20" t="n">
        <x:v>5</x:v>
      </x:c>
      <x:c r="X3762" s="20" t="n">
        <x:v>3</x:v>
      </x:c>
      <x:c r="Y3762" t="str">
        <x:v>Basis arsip 2025/2024</x:v>
      </x:c>
      <x:c r="Z3762" t="str">
        <x:v>https://snpmb.id/utbk-snbt/daya-tampung-snbt</x:v>
      </x:c>
      <x:c r="AA3762" t="str">
        <x:v>Tidak Ada</x:v>
      </x:c>
      <x:c r="AB3762" t="str">
        <x:v>Campus=55; Ratio=0.0; Prodi=45; RelDemand=1.2; Capacity=62.5</x:v>
      </x:c>
    </x:row>
    <x:row r="3763">
      <x:c r="A3763" t="n">
        <x:v>3760</x:v>
      </x:c>
      <x:c r="B3763" t="str">
        <x:v>PTN Akademik</x:v>
      </x:c>
      <x:c r="C3763" t="str">
        <x:v>UNIVERSITAS CENDERAWASIH</x:v>
      </x:c>
      <x:c r="D3763" t="str">
        <x:v>PEND. FISIKA</x:v>
      </x:c>
      <x:c r="E3763" t="str">
        <x:v>Sarjana</x:v>
      </x:c>
      <x:c r="F3763" s="18" t="n">
        <x:v>45</x:v>
      </x:c>
      <x:c r="G3763" s="18" t="n">
        <x:v>2</x:v>
      </x:c>
      <x:c r="H3763" s="19" t="n">
        <x:v>0.044444444444444446</x:v>
      </x:c>
      <x:c r="I3763" s="18" t="n">
        <x:f>ROUND(MIN(Model_Config_v3!$B$6,MAX(Q3763,R3763,S3763*Model_Config_v3!$B$4+T3763*Model_Config_v3!$B$5)),0)</x:f>
        <x:v>596</x:v>
      </x:c>
      <x:c r="J3763" s="18" t="n">
        <x:f>MIN(Model_Config_v3!$B$6,I3763+Model_Config_v3!$B$7)</x:f>
        <x:v>616</x:v>
      </x:c>
      <x:c r="K3763" s="20" t="n">
        <x:v>34.7</x:v>
      </x:c>
      <x:c r="L3763" t="str">
        <x:v>RELATIF LONGGAR</x:v>
      </x:c>
      <x:c r="M3763" t="str">
        <x:v>SEDANG+</x:v>
      </x:c>
      <x:c r="N3763" t="str">
        <x:v>REGULER</x:v>
      </x:c>
      <x:c r="O3763" t="str">
        <x:v>SAINTEK</x:v>
      </x:c>
      <x:c r="P3763" t="str">
        <x:v>PENDIDIKAN</x:v>
      </x:c>
      <x:c r="Q3763" s="18" t="n">
        <x:v>0</x:v>
      </x:c>
      <x:c r="R3763" s="18" t="n">
        <x:v>0</x:v>
      </x:c>
      <x:c r="S3763" s="18" t="n">
        <x:v>520</x:v>
      </x:c>
      <x:c r="T3763" s="18" t="n">
        <x:v>629</x:v>
      </x:c>
      <x:c r="U3763" s="18" t="n">
        <x:v>520</x:v>
      </x:c>
      <x:c r="V3763" s="20" t="n">
        <x:v>12</x:v>
      </x:c>
      <x:c r="W3763" s="20" t="n">
        <x:v>5</x:v>
      </x:c>
      <x:c r="X3763" s="20" t="n">
        <x:v>3</x:v>
      </x:c>
      <x:c r="Y3763" t="str">
        <x:v>Basis arsip 2025/2024</x:v>
      </x:c>
      <x:c r="Z3763" t="str">
        <x:v>https://snpmb.id/utbk-snbt/daya-tampung-snbt</x:v>
      </x:c>
      <x:c r="AA3763" t="str">
        <x:v>Tidak Ada</x:v>
      </x:c>
      <x:c r="AB3763" t="str">
        <x:v>Campus=55; Ratio=0.0; Prodi=45; RelDemand=2.4; Capacity=62.5</x:v>
      </x:c>
    </x:row>
    <x:row r="3764">
      <x:c r="A3764" t="n">
        <x:v>3761</x:v>
      </x:c>
      <x:c r="B3764" t="str">
        <x:v>PTN Akademik</x:v>
      </x:c>
      <x:c r="C3764" t="str">
        <x:v>UNIVERSITAS CENDERAWASIH</x:v>
      </x:c>
      <x:c r="D3764" t="str">
        <x:v>TEKNIK SIPIL</x:v>
      </x:c>
      <x:c r="E3764" t="str">
        <x:v>Sarjana</x:v>
      </x:c>
      <x:c r="F3764" s="18" t="n">
        <x:v>23</x:v>
      </x:c>
      <x:c r="G3764" s="18" t="n">
        <x:v>40</x:v>
      </x:c>
      <x:c r="H3764" s="19" t="n">
        <x:v>1.7391304347826086</x:v>
      </x:c>
      <x:c r="I3764" s="18" t="n">
        <x:f>ROUND(MIN(Model_Config_v3!$B$6,MAX(Q3764,R3764,S3764*Model_Config_v3!$B$4+T3764*Model_Config_v3!$B$5)),0)</x:f>
        <x:v>629</x:v>
      </x:c>
      <x:c r="J3764" s="18" t="n">
        <x:f>MIN(Model_Config_v3!$B$6,I3764+Model_Config_v3!$B$7)</x:f>
        <x:v>649</x:v>
      </x:c>
      <x:c r="K3764" s="20" t="n">
        <x:v>52.1</x:v>
      </x:c>
      <x:c r="L3764" t="str">
        <x:v>MENENGAH</x:v>
      </x:c>
      <x:c r="M3764" t="str">
        <x:v>SEDANG+</x:v>
      </x:c>
      <x:c r="N3764" t="str">
        <x:v>REGULER</x:v>
      </x:c>
      <x:c r="O3764" t="str">
        <x:v>SAINTEK</x:v>
      </x:c>
      <x:c r="P3764" t="str">
        <x:v>TEKNIK/ARSITEKTUR/STATISTIKA/AKTUARIA</x:v>
      </x:c>
      <x:c r="Q3764" s="18" t="n">
        <x:v>0</x:v>
      </x:c>
      <x:c r="R3764" s="18" t="n">
        <x:v>0</x:v>
      </x:c>
      <x:c r="S3764" s="18" t="n">
        <x:v>546.4365370841407</x:v>
      </x:c>
      <x:c r="T3764" s="18" t="n">
        <x:v>664</x:v>
      </x:c>
      <x:c r="U3764" s="18" t="n">
        <x:v>556.4365370841407</x:v>
      </x:c>
      <x:c r="V3764" s="20" t="n">
        <x:v>12</x:v>
      </x:c>
      <x:c r="W3764" s="20" t="n">
        <x:v>5</x:v>
      </x:c>
      <x:c r="X3764" s="20" t="n">
        <x:v>3</x:v>
      </x:c>
      <x:c r="Y3764" t="str">
        <x:v>Basis arsip 2025/2024</x:v>
      </x:c>
      <x:c r="Z3764" t="str">
        <x:v>https://snpmb.id/utbk-snbt/daya-tampung-snbt</x:v>
      </x:c>
      <x:c r="AA3764" t="str">
        <x:v>Tidak Ada</x:v>
      </x:c>
      <x:c r="AB3764" t="str">
        <x:v>Campus=55; Ratio=14.1; Prodi=60; RelDemand=92.5; Capacity=80.8</x:v>
      </x:c>
    </x:row>
    <x:row r="3765">
      <x:c r="A3765" t="n">
        <x:v>3762</x:v>
      </x:c>
      <x:c r="B3765" t="str">
        <x:v>PTN Akademik</x:v>
      </x:c>
      <x:c r="C3765" t="str">
        <x:v>UNIVERSITAS CENDERAWASIH</x:v>
      </x:c>
      <x:c r="D3765" t="str">
        <x:v>TEKNIK ELEKTRO</x:v>
      </x:c>
      <x:c r="E3765" t="str">
        <x:v>Sarjana</x:v>
      </x:c>
      <x:c r="F3765" s="18" t="n">
        <x:v>23</x:v>
      </x:c>
      <x:c r="G3765" s="18" t="n">
        <x:v>25</x:v>
      </x:c>
      <x:c r="H3765" s="19" t="n">
        <x:v>1.0869565217391304</x:v>
      </x:c>
      <x:c r="I3765" s="18" t="n">
        <x:f>ROUND(MIN(Model_Config_v3!$B$6,MAX(Q3765,R3765,S3765*Model_Config_v3!$B$4+T3765*Model_Config_v3!$B$5)),0)</x:f>
        <x:v>613</x:v>
      </x:c>
      <x:c r="J3765" s="18" t="n">
        <x:f>MIN(Model_Config_v3!$B$6,I3765+Model_Config_v3!$B$7)</x:f>
        <x:v>633</x:v>
      </x:c>
      <x:c r="K3765" s="20" t="n">
        <x:v>45.6</x:v>
      </x:c>
      <x:c r="L3765" t="str">
        <x:v>MENENGAH</x:v>
      </x:c>
      <x:c r="M3765" t="str">
        <x:v>SEDANG+</x:v>
      </x:c>
      <x:c r="N3765" t="str">
        <x:v>REGULER</x:v>
      </x:c>
      <x:c r="O3765" t="str">
        <x:v>SAINTEK</x:v>
      </x:c>
      <x:c r="P3765" t="str">
        <x:v>TEKNIK/ARSITEKTUR/STATISTIKA/AKTUARIA</x:v>
      </x:c>
      <x:c r="Q3765" s="18" t="n">
        <x:v>0</x:v>
      </x:c>
      <x:c r="R3765" s="18" t="n">
        <x:v>0</x:v>
      </x:c>
      <x:c r="S3765" s="18" t="n">
        <x:v>523.983338991989</x:v>
      </x:c>
      <x:c r="T3765" s="18" t="n">
        <x:v>651</x:v>
      </x:c>
      <x:c r="U3765" s="18" t="n">
        <x:v>533.983338991989</x:v>
      </x:c>
      <x:c r="V3765" s="20" t="n">
        <x:v>12</x:v>
      </x:c>
      <x:c r="W3765" s="20" t="n">
        <x:v>5</x:v>
      </x:c>
      <x:c r="X3765" s="20" t="n">
        <x:v>3</x:v>
      </x:c>
      <x:c r="Y3765" t="str">
        <x:v>Basis arsip 2025/2024</x:v>
      </x:c>
      <x:c r="Z3765" t="str">
        <x:v>https://snpmb.id/utbk-snbt/daya-tampung-snbt</x:v>
      </x:c>
      <x:c r="AA3765" t="str">
        <x:v>Tidak Ada</x:v>
      </x:c>
      <x:c r="AB3765" t="str">
        <x:v>Campus=55; Ratio=2.1; Prodi=60; RelDemand=57.8; Capacity=80.8</x:v>
      </x:c>
    </x:row>
    <x:row r="3766">
      <x:c r="A3766" t="n">
        <x:v>3763</x:v>
      </x:c>
      <x:c r="B3766" t="str">
        <x:v>PTN Akademik</x:v>
      </x:c>
      <x:c r="C3766" t="str">
        <x:v>UNIVERSITAS CENDERAWASIH</x:v>
      </x:c>
      <x:c r="D3766" t="str">
        <x:v>PENDIDIKAN DOKTER</x:v>
      </x:c>
      <x:c r="E3766" t="str">
        <x:v>Sarjana</x:v>
      </x:c>
      <x:c r="F3766" s="18" t="n">
        <x:v>40</x:v>
      </x:c>
      <x:c r="G3766" s="18" t="n">
        <x:v>339</x:v>
      </x:c>
      <x:c r="H3766" s="19" t="n">
        <x:v>8.475</x:v>
      </x:c>
      <x:c r="I3766" s="18" t="n">
        <x:f>ROUND(MIN(Model_Config_v3!$B$6,MAX(Q3766,R3766,S3766*Model_Config_v3!$B$4+T3766*Model_Config_v3!$B$5)),0)</x:f>
        <x:v>680</x:v>
      </x:c>
      <x:c r="J3766" s="18" t="n">
        <x:f>MIN(Model_Config_v3!$B$6,I3766+Model_Config_v3!$B$7)</x:f>
        <x:v>700</x:v>
      </x:c>
      <x:c r="K3766" s="20" t="n">
        <x:v>69.6</x:v>
      </x:c>
      <x:c r="L3766" t="str">
        <x:v>SANGAT KETAT</x:v>
      </x:c>
      <x:c r="M3766" t="str">
        <x:v>SEDANG+</x:v>
      </x:c>
      <x:c r="N3766" t="str">
        <x:v>REGULER</x:v>
      </x:c>
      <x:c r="O3766" t="str">
        <x:v>SAINTEK</x:v>
      </x:c>
      <x:c r="P3766" t="str">
        <x:v>KEDOKTERAN</x:v>
      </x:c>
      <x:c r="Q3766" s="18" t="n">
        <x:v>0</x:v>
      </x:c>
      <x:c r="R3766" s="18" t="n">
        <x:v>680</x:v>
      </x:c>
      <x:c r="S3766" s="18" t="n">
        <x:v>622.0953677562632</x:v>
      </x:c>
      <x:c r="T3766" s="18" t="n">
        <x:v>699</x:v>
      </x:c>
      <x:c r="U3766" s="18" t="n">
        <x:v>680</x:v>
      </x:c>
      <x:c r="V3766" s="20" t="n">
        <x:v>12</x:v>
      </x:c>
      <x:c r="W3766" s="20" t="n">
        <x:v>5</x:v>
      </x:c>
      <x:c r="X3766" s="20" t="n">
        <x:v>3</x:v>
      </x:c>
      <x:c r="Y3766" t="str">
        <x:v>Basis arsip 2025/2024</x:v>
      </x:c>
      <x:c r="Z3766" t="str">
        <x:v>https://snpmb.id/utbk-snbt/daya-tampung-snbt</x:v>
      </x:c>
      <x:c r="AA3766" t="str">
        <x:v>Tidak Ada</x:v>
      </x:c>
      <x:c r="AB3766" t="str">
        <x:v>Campus=55; Ratio=54.6; Prodi=100; RelDemand=100.0; Capacity=66.7</x:v>
      </x:c>
    </x:row>
    <x:row r="3767">
      <x:c r="A3767" t="n">
        <x:v>3764</x:v>
      </x:c>
      <x:c r="B3767" t="str">
        <x:v>PTN Akademik</x:v>
      </x:c>
      <x:c r="C3767" t="str">
        <x:v>UNIVERSITAS CENDERAWASIH</x:v>
      </x:c>
      <x:c r="D3767" t="str">
        <x:v>ILMU KEPERAWATAN</x:v>
      </x:c>
      <x:c r="E3767" t="str">
        <x:v>Sarjana</x:v>
      </x:c>
      <x:c r="F3767" s="18" t="n">
        <x:v>20</x:v>
      </x:c>
      <x:c r="G3767" s="18" t="n">
        <x:v>108</x:v>
      </x:c>
      <x:c r="H3767" s="19" t="n">
        <x:v>5.4</x:v>
      </x:c>
      <x:c r="I3767" s="18" t="n">
        <x:f>ROUND(MIN(Model_Config_v3!$B$6,MAX(Q3767,R3767,S3767*Model_Config_v3!$B$4+T3767*Model_Config_v3!$B$5)),0)</x:f>
        <x:v>655</x:v>
      </x:c>
      <x:c r="J3767" s="18" t="n">
        <x:f>MIN(Model_Config_v3!$B$6,I3767+Model_Config_v3!$B$7)</x:f>
        <x:v>675</x:v>
      </x:c>
      <x:c r="K3767" s="20" t="n">
        <x:v>59.4</x:v>
      </x:c>
      <x:c r="L3767" t="str">
        <x:v>KETAT</x:v>
      </x:c>
      <x:c r="M3767" t="str">
        <x:v>SEDANG+</x:v>
      </x:c>
      <x:c r="N3767" t="str">
        <x:v>REGULER</x:v>
      </x:c>
      <x:c r="O3767" t="str">
        <x:v>SAINTEK</x:v>
      </x:c>
      <x:c r="P3767" t="str">
        <x:v>KESEHAT/GIZI/KEPERAWATAN</x:v>
      </x:c>
      <x:c r="Q3767" s="18" t="n">
        <x:v>0</x:v>
      </x:c>
      <x:c r="R3767" s="18" t="n">
        <x:v>0</x:v>
      </x:c>
      <x:c r="S3767" s="18" t="n">
        <x:v>600.5633135805265</x:v>
      </x:c>
      <x:c r="T3767" s="18" t="n">
        <x:v>679</x:v>
      </x:c>
      <x:c r="U3767" s="18" t="n">
        <x:v>600.5633135805265</x:v>
      </x:c>
      <x:c r="V3767" s="20" t="n">
        <x:v>12</x:v>
      </x:c>
      <x:c r="W3767" s="20" t="n">
        <x:v>5</x:v>
      </x:c>
      <x:c r="X3767" s="20" t="n">
        <x:v>3</x:v>
      </x:c>
      <x:c r="Y3767" t="str">
        <x:v>Basis arsip 2025/2024</x:v>
      </x:c>
      <x:c r="Z3767" t="str">
        <x:v>https://snpmb.id/utbk-snbt/daya-tampung-snbt</x:v>
      </x:c>
      <x:c r="AA3767" t="str">
        <x:v>Tidak Ada</x:v>
      </x:c>
      <x:c r="AB3767" t="str">
        <x:v>Campus=55; Ratio=43.1; Prodi=55; RelDemand=100.0; Capacity=83.3</x:v>
      </x:c>
    </x:row>
    <x:row r="3768">
      <x:c r="A3768" t="n">
        <x:v>3765</x:v>
      </x:c>
      <x:c r="B3768" t="str">
        <x:v>PTN Akademik</x:v>
      </x:c>
      <x:c r="C3768" t="str">
        <x:v>UNIVERSITAS CENDERAWASIH</x:v>
      </x:c>
      <x:c r="D3768" t="str">
        <x:v>TEKNIK MESIN</x:v>
      </x:c>
      <x:c r="E3768" t="str">
        <x:v>Sarjana</x:v>
      </x:c>
      <x:c r="F3768" s="18" t="n">
        <x:v>23</x:v>
      </x:c>
      <x:c r="G3768" s="18" t="n">
        <x:v>4</x:v>
      </x:c>
      <x:c r="H3768" s="19" t="n">
        <x:v>0.17391304347826086</x:v>
      </x:c>
      <x:c r="I3768" s="18" t="n">
        <x:f>ROUND(MIN(Model_Config_v3!$B$6,MAX(Q3768,R3768,S3768*Model_Config_v3!$B$4+T3768*Model_Config_v3!$B$5)),0)</x:f>
        <x:v>605</x:v>
      </x:c>
      <x:c r="J3768" s="18" t="n">
        <x:f>MIN(Model_Config_v3!$B$6,I3768+Model_Config_v3!$B$7)</x:f>
        <x:v>625</x:v>
      </x:c>
      <x:c r="K3768" s="20" t="n">
        <x:v>40.3</x:v>
      </x:c>
      <x:c r="L3768" t="str">
        <x:v>RELATIF LONGGAR</x:v>
      </x:c>
      <x:c r="M3768" t="str">
        <x:v>SEDANG+</x:v>
      </x:c>
      <x:c r="N3768" t="str">
        <x:v>REGULER</x:v>
      </x:c>
      <x:c r="O3768" t="str">
        <x:v>SAINTEK</x:v>
      </x:c>
      <x:c r="P3768" t="str">
        <x:v>TEKNIK/ARSITEKTUR/STATISTIKA/AKTUARIA</x:v>
      </x:c>
      <x:c r="Q3768" s="18" t="n">
        <x:v>0</x:v>
      </x:c>
      <x:c r="R3768" s="18" t="n">
        <x:v>0</x:v>
      </x:c>
      <x:c r="S3768" s="18" t="n">
        <x:v>520</x:v>
      </x:c>
      <x:c r="T3768" s="18" t="n">
        <x:v>641</x:v>
      </x:c>
      <x:c r="U3768" s="18" t="n">
        <x:v>530</x:v>
      </x:c>
      <x:c r="V3768" s="20" t="n">
        <x:v>12</x:v>
      </x:c>
      <x:c r="W3768" s="20" t="n">
        <x:v>5</x:v>
      </x:c>
      <x:c r="X3768" s="20" t="n">
        <x:v>3</x:v>
      </x:c>
      <x:c r="Y3768" t="str">
        <x:v>Basis arsip 2025/2024</x:v>
      </x:c>
      <x:c r="Z3768" t="str">
        <x:v>https://snpmb.id/utbk-snbt/daya-tampung-snbt</x:v>
      </x:c>
      <x:c r="AA3768" t="str">
        <x:v>Tidak Ada</x:v>
      </x:c>
      <x:c r="AB3768" t="str">
        <x:v>Campus=55; Ratio=0.0; Prodi=60; RelDemand=9.2; Capacity=80.8</x:v>
      </x:c>
    </x:row>
    <x:row r="3769">
      <x:c r="A3769" t="n">
        <x:v>3766</x:v>
      </x:c>
      <x:c r="B3769" t="str">
        <x:v>PTN Akademik</x:v>
      </x:c>
      <x:c r="C3769" t="str">
        <x:v>UNIVERSITAS CENDERAWASIH</x:v>
      </x:c>
      <x:c r="D3769" t="str">
        <x:v>TEKNIK PERTAMBANGAN</x:v>
      </x:c>
      <x:c r="E3769" t="str">
        <x:v>Sarjana</x:v>
      </x:c>
      <x:c r="F3769" s="18" t="n">
        <x:v>23</x:v>
      </x:c>
      <x:c r="G3769" s="18" t="n">
        <x:v>61</x:v>
      </x:c>
      <x:c r="H3769" s="19" t="n">
        <x:v>2.652173913043478</x:v>
      </x:c>
      <x:c r="I3769" s="18" t="n">
        <x:f>ROUND(MIN(Model_Config_v3!$B$6,MAX(Q3769,R3769,S3769*Model_Config_v3!$B$4+T3769*Model_Config_v3!$B$5)),0)</x:f>
        <x:v>640</x:v>
      </x:c>
      <x:c r="J3769" s="18" t="n">
        <x:f>MIN(Model_Config_v3!$B$6,I3769+Model_Config_v3!$B$7)</x:f>
        <x:v>660</x:v>
      </x:c>
      <x:c r="K3769" s="20" t="n">
        <x:v>55.6</x:v>
      </x:c>
      <x:c r="L3769" t="str">
        <x:v>KETAT</x:v>
      </x:c>
      <x:c r="M3769" t="str">
        <x:v>SEDANG+</x:v>
      </x:c>
      <x:c r="N3769" t="str">
        <x:v>REGULER</x:v>
      </x:c>
      <x:c r="O3769" t="str">
        <x:v>SAINTEK</x:v>
      </x:c>
      <x:c r="P3769" t="str">
        <x:v>TEKNIK/ARSITEKTUR/STATISTIKA/AKTUARIA</x:v>
      </x:c>
      <x:c r="Q3769" s="18" t="n">
        <x:v>0</x:v>
      </x:c>
      <x:c r="R3769" s="18" t="n">
        <x:v>0</x:v>
      </x:c>
      <x:c r="S3769" s="18" t="n">
        <x:v>566.5962198892491</x:v>
      </x:c>
      <x:c r="T3769" s="18" t="n">
        <x:v>671</x:v>
      </x:c>
      <x:c r="U3769" s="18" t="n">
        <x:v>576.5962198892491</x:v>
      </x:c>
      <x:c r="V3769" s="20" t="n">
        <x:v>12</x:v>
      </x:c>
      <x:c r="W3769" s="20" t="n">
        <x:v>5</x:v>
      </x:c>
      <x:c r="X3769" s="20" t="n">
        <x:v>3</x:v>
      </x:c>
      <x:c r="Y3769" t="str">
        <x:v>Basis arsip 2025/2024</x:v>
      </x:c>
      <x:c r="Z3769" t="str">
        <x:v>https://snpmb.id/utbk-snbt/daya-tampung-snbt</x:v>
      </x:c>
      <x:c r="AA3769" t="str">
        <x:v>Tidak Ada</x:v>
      </x:c>
      <x:c r="AB3769" t="str">
        <x:v>Campus=55; Ratio=24.9; Prodi=60; RelDemand=100.0; Capacity=80.8</x:v>
      </x:c>
    </x:row>
    <x:row r="3770">
      <x:c r="A3770" t="n">
        <x:v>3767</x:v>
      </x:c>
      <x:c r="B3770" t="str">
        <x:v>PTN Akademik</x:v>
      </x:c>
      <x:c r="C3770" t="str">
        <x:v>UNIVERSITAS CENDERAWASIH</x:v>
      </x:c>
      <x:c r="D3770" t="str">
        <x:v>ILMU KELAUTAN</x:v>
      </x:c>
      <x:c r="E3770" t="str">
        <x:v>Sarjana</x:v>
      </x:c>
      <x:c r="F3770" s="18" t="n">
        <x:v>18</x:v>
      </x:c>
      <x:c r="G3770" s="18" t="n">
        <x:v>2</x:v>
      </x:c>
      <x:c r="H3770" s="19" t="n">
        <x:v>0.1111111111111111</x:v>
      </x:c>
      <x:c r="I3770" s="18" t="n">
        <x:f>ROUND(MIN(Model_Config_v3!$B$6,MAX(Q3770,R3770,S3770*Model_Config_v3!$B$4+T3770*Model_Config_v3!$B$5)),0)</x:f>
        <x:v>599</x:v>
      </x:c>
      <x:c r="J3770" s="18" t="n">
        <x:f>MIN(Model_Config_v3!$B$6,I3770+Model_Config_v3!$B$7)</x:f>
        <x:v>619</x:v>
      </x:c>
      <x:c r="K3770" s="20" t="n">
        <x:v>36.3</x:v>
      </x:c>
      <x:c r="L3770" t="str">
        <x:v>RELATIF LONGGAR</x:v>
      </x:c>
      <x:c r="M3770" t="str">
        <x:v>SEDANG</x:v>
      </x:c>
      <x:c r="N3770" t="str">
        <x:v>REGULER</x:v>
      </x:c>
      <x:c r="O3770" t="str">
        <x:v>SAINTEK</x:v>
      </x:c>
      <x:c r="P3770" t="str">
        <x:v>UMUM</x:v>
      </x:c>
      <x:c r="Q3770" s="18" t="n">
        <x:v>0</x:v>
      </x:c>
      <x:c r="R3770" s="18" t="n">
        <x:v>0</x:v>
      </x:c>
      <x:c r="S3770" s="18" t="n">
        <x:v>520</x:v>
      </x:c>
      <x:c r="T3770" s="18" t="n">
        <x:v>633</x:v>
      </x:c>
      <x:c r="U3770" s="18" t="n">
        <x:v>520</x:v>
      </x:c>
      <x:c r="V3770" s="20" t="n">
        <x:v>12</x:v>
      </x:c>
      <x:c r="W3770" s="20" t="n">
        <x:v>5</x:v>
      </x:c>
      <x:c r="X3770" s="20" t="n">
        <x:v>3</x:v>
      </x:c>
      <x:c r="Y3770" t="str">
        <x:v>Basis arsip 2025/2024</x:v>
      </x:c>
      <x:c r="Z3770" t="str">
        <x:v>https://snpmb.id/utbk-snbt/daya-tampung-snbt</x:v>
      </x:c>
      <x:c r="AA3770" t="str">
        <x:v>Tidak Ada</x:v>
      </x:c>
      <x:c r="AB3770" t="str">
        <x:v>Campus=55; Ratio=0.0; Prodi=40; RelDemand=5.9; Capacity=85.0</x:v>
      </x:c>
    </x:row>
    <x:row r="3771">
      <x:c r="A3771" t="n">
        <x:v>3768</x:v>
      </x:c>
      <x:c r="B3771" t="str">
        <x:v>PTN Akademik</x:v>
      </x:c>
      <x:c r="C3771" t="str">
        <x:v>UNIVERSITAS CENDERAWASIH</x:v>
      </x:c>
      <x:c r="D3771" t="str">
        <x:v>FARMASI</x:v>
      </x:c>
      <x:c r="E3771" t="str">
        <x:v>Sarjana</x:v>
      </x:c>
      <x:c r="F3771" s="18" t="n">
        <x:v>23</x:v>
      </x:c>
      <x:c r="G3771" s="18" t="n">
        <x:v>153</x:v>
      </x:c>
      <x:c r="H3771" s="19" t="n">
        <x:v>6.6521739130434785</x:v>
      </x:c>
      <x:c r="I3771" s="18" t="n">
        <x:f>ROUND(MIN(Model_Config_v3!$B$6,MAX(Q3771,R3771,S3771*Model_Config_v3!$B$4+T3771*Model_Config_v3!$B$5)),0)</x:f>
        <x:v>665</x:v>
      </x:c>
      <x:c r="J3771" s="18" t="n">
        <x:f>MIN(Model_Config_v3!$B$6,I3771+Model_Config_v3!$B$7)</x:f>
        <x:v>685</x:v>
      </x:c>
      <x:c r="K3771" s="20" t="n">
        <x:v>64.4</x:v>
      </x:c>
      <x:c r="L3771" t="str">
        <x:v>KETAT</x:v>
      </x:c>
      <x:c r="M3771" t="str">
        <x:v>SEDANG+</x:v>
      </x:c>
      <x:c r="N3771" t="str">
        <x:v>REGULER</x:v>
      </x:c>
      <x:c r="O3771" t="str">
        <x:v>SAINTEK</x:v>
      </x:c>
      <x:c r="P3771" t="str">
        <x:v>FARMASI</x:v>
      </x:c>
      <x:c r="Q3771" s="18" t="n">
        <x:v>0</x:v>
      </x:c>
      <x:c r="R3771" s="18" t="n">
        <x:v>0</x:v>
      </x:c>
      <x:c r="S3771" s="18" t="n">
        <x:v>610.5259954280007</x:v>
      </x:c>
      <x:c r="T3771" s="18" t="n">
        <x:v>689</x:v>
      </x:c>
      <x:c r="U3771" s="18" t="n">
        <x:v>630.5259954280007</x:v>
      </x:c>
      <x:c r="V3771" s="20" t="n">
        <x:v>12</x:v>
      </x:c>
      <x:c r="W3771" s="20" t="n">
        <x:v>5</x:v>
      </x:c>
      <x:c r="X3771" s="20" t="n">
        <x:v>3</x:v>
      </x:c>
      <x:c r="Y3771" t="str">
        <x:v>Basis arsip 2025/2024</x:v>
      </x:c>
      <x:c r="Z3771" t="str">
        <x:v>https://snpmb.id/utbk-snbt/daya-tampung-snbt</x:v>
      </x:c>
      <x:c r="AA3771" t="str">
        <x:v>Tidak Ada</x:v>
      </x:c>
      <x:c r="AB3771" t="str">
        <x:v>Campus=55; Ratio=48.4; Prodi=75; RelDemand=100.0; Capacity=80.8</x:v>
      </x:c>
    </x:row>
    <x:row r="3772">
      <x:c r="A3772" t="n">
        <x:v>3769</x:v>
      </x:c>
      <x:c r="B3772" t="str">
        <x:v>PTN Akademik</x:v>
      </x:c>
      <x:c r="C3772" t="str">
        <x:v>UNIVERSITAS CENDERAWASIH</x:v>
      </x:c>
      <x:c r="D3772" t="str">
        <x:v>SISTEM INFORMASI</x:v>
      </x:c>
      <x:c r="E3772" t="str">
        <x:v>Sarjana</x:v>
      </x:c>
      <x:c r="F3772" s="18" t="n">
        <x:v>23</x:v>
      </x:c>
      <x:c r="G3772" s="18" t="n">
        <x:v>49</x:v>
      </x:c>
      <x:c r="H3772" s="19" t="n">
        <x:v>2.130434782608696</x:v>
      </x:c>
      <x:c r="I3772" s="18" t="n">
        <x:f>ROUND(MIN(Model_Config_v3!$B$6,MAX(Q3772,R3772,S3772*Model_Config_v3!$B$4+T3772*Model_Config_v3!$B$5)),0)</x:f>
        <x:v>641</x:v>
      </x:c>
      <x:c r="J3772" s="18" t="n">
        <x:f>MIN(Model_Config_v3!$B$6,I3772+Model_Config_v3!$B$7)</x:f>
        <x:v>661</x:v>
      </x:c>
      <x:c r="K3772" s="20" t="n">
        <x:v>59.2</x:v>
      </x:c>
      <x:c r="L3772" t="str">
        <x:v>KETAT</x:v>
      </x:c>
      <x:c r="M3772" t="str">
        <x:v>SEDANG+</x:v>
      </x:c>
      <x:c r="N3772" t="str">
        <x:v>REGULER</x:v>
      </x:c>
      <x:c r="O3772" t="str">
        <x:v>CAMPURAN</x:v>
      </x:c>
      <x:c r="P3772" t="str">
        <x:v>KOMPUTER/INFORMATIKA</x:v>
      </x:c>
      <x:c r="Q3772" s="18" t="n">
        <x:v>0</x:v>
      </x:c>
      <x:c r="R3772" s="18" t="n">
        <x:v>0</x:v>
      </x:c>
      <x:c r="S3772" s="18" t="n">
        <x:v>556.1315068412013</x:v>
      </x:c>
      <x:c r="T3772" s="18" t="n">
        <x:v>678</x:v>
      </x:c>
      <x:c r="U3772" s="18" t="n">
        <x:v>581.1315068412013</x:v>
      </x:c>
      <x:c r="V3772" s="20" t="n">
        <x:v>8.8</x:v>
      </x:c>
      <x:c r="W3772" s="20" t="n">
        <x:v>9.9</x:v>
      </x:c>
      <x:c r="X3772" s="20" t="n">
        <x:v>3.3</x:v>
      </x:c>
      <x:c r="Y3772" t="str">
        <x:v>Basis arsip 2025/2024</x:v>
      </x:c>
      <x:c r="Z3772" t="str">
        <x:v>https://snpmb.id/utbk-snbt/daya-tampung-snbt</x:v>
      </x:c>
      <x:c r="AA3772" t="str">
        <x:v>Tidak Ada</x:v>
      </x:c>
      <x:c r="AB3772" t="str">
        <x:v>Campus=55; Ratio=19.3; Prodi=85; RelDemand=100.0; Capacity=80.8</x:v>
      </x:c>
    </x:row>
    <x:row r="3773">
      <x:c r="A3773" t="n">
        <x:v>3770</x:v>
      </x:c>
      <x:c r="B3773" t="str">
        <x:v>PTN Akademik</x:v>
      </x:c>
      <x:c r="C3773" t="str">
        <x:v>UNIVERSITAS CENDERAWASIH</x:v>
      </x:c>
      <x:c r="D3773" t="str">
        <x:v>TEKNIK GEOFISIKA</x:v>
      </x:c>
      <x:c r="E3773" t="str">
        <x:v>Sarjana</x:v>
      </x:c>
      <x:c r="F3773" s="18" t="n">
        <x:v>18</x:v>
      </x:c>
      <x:c r="G3773" s="18" t="n">
        <x:v>2</x:v>
      </x:c>
      <x:c r="H3773" s="19" t="n">
        <x:v>0.1111111111111111</x:v>
      </x:c>
      <x:c r="I3773" s="18" t="n">
        <x:f>ROUND(MIN(Model_Config_v3!$B$6,MAX(Q3773,R3773,S3773*Model_Config_v3!$B$4+T3773*Model_Config_v3!$B$5)),0)</x:f>
        <x:v>605</x:v>
      </x:c>
      <x:c r="J3773" s="18" t="n">
        <x:f>MIN(Model_Config_v3!$B$6,I3773+Model_Config_v3!$B$7)</x:f>
        <x:v>625</x:v>
      </x:c>
      <x:c r="K3773" s="20" t="n">
        <x:v>40.3</x:v>
      </x:c>
      <x:c r="L3773" t="str">
        <x:v>RELATIF LONGGAR</x:v>
      </x:c>
      <x:c r="M3773" t="str">
        <x:v>SEDANG+</x:v>
      </x:c>
      <x:c r="N3773" t="str">
        <x:v>REGULER</x:v>
      </x:c>
      <x:c r="O3773" t="str">
        <x:v>SAINTEK</x:v>
      </x:c>
      <x:c r="P3773" t="str">
        <x:v>TEKNIK/ARSITEKTUR/STATISTIKA/AKTUARIA</x:v>
      </x:c>
      <x:c r="Q3773" s="18" t="n">
        <x:v>0</x:v>
      </x:c>
      <x:c r="R3773" s="18" t="n">
        <x:v>0</x:v>
      </x:c>
      <x:c r="S3773" s="18" t="n">
        <x:v>520</x:v>
      </x:c>
      <x:c r="T3773" s="18" t="n">
        <x:v>641</x:v>
      </x:c>
      <x:c r="U3773" s="18" t="n">
        <x:v>530</x:v>
      </x:c>
      <x:c r="V3773" s="20" t="n">
        <x:v>12</x:v>
      </x:c>
      <x:c r="W3773" s="20" t="n">
        <x:v>5</x:v>
      </x:c>
      <x:c r="X3773" s="20" t="n">
        <x:v>3</x:v>
      </x:c>
      <x:c r="Y3773" t="str">
        <x:v>Basis arsip 2025/2024</x:v>
      </x:c>
      <x:c r="Z3773" t="str">
        <x:v>https://snpmb.id/utbk-snbt/daya-tampung-snbt</x:v>
      </x:c>
      <x:c r="AA3773" t="str">
        <x:v>Tidak Ada</x:v>
      </x:c>
      <x:c r="AB3773" t="str">
        <x:v>Campus=55; Ratio=0.0; Prodi=60; RelDemand=5.9; Capacity=85.0</x:v>
      </x:c>
    </x:row>
    <x:row r="3774">
      <x:c r="A3774" t="n">
        <x:v>3771</x:v>
      </x:c>
      <x:c r="B3774" t="str">
        <x:v>PTN Akademik</x:v>
      </x:c>
      <x:c r="C3774" t="str">
        <x:v>UNIVERSITAS CENDERAWASIH</x:v>
      </x:c>
      <x:c r="D3774" t="str">
        <x:v>PERENCANAAN WILAYAH DAN KOTA/PLANOLOGI</x:v>
      </x:c>
      <x:c r="E3774" t="str">
        <x:v>Sarjana</x:v>
      </x:c>
      <x:c r="F3774" s="18" t="n">
        <x:v>23</x:v>
      </x:c>
      <x:c r="G3774" s="18" t="n">
        <x:v>6</x:v>
      </x:c>
      <x:c r="H3774" s="19" t="n">
        <x:v>0.2608695652173913</x:v>
      </x:c>
      <x:c r="I3774" s="18" t="n">
        <x:f>ROUND(MIN(Model_Config_v3!$B$6,MAX(Q3774,R3774,S3774*Model_Config_v3!$B$4+T3774*Model_Config_v3!$B$5)),0)</x:f>
        <x:v>599</x:v>
      </x:c>
      <x:c r="J3774" s="18" t="n">
        <x:f>MIN(Model_Config_v3!$B$6,I3774+Model_Config_v3!$B$7)</x:f>
        <x:v>619</x:v>
      </x:c>
      <x:c r="K3774" s="20" t="n">
        <x:v>36.7</x:v>
      </x:c>
      <x:c r="L3774" t="str">
        <x:v>RELATIF LONGGAR</x:v>
      </x:c>
      <x:c r="M3774" t="str">
        <x:v>SEDANG</x:v>
      </x:c>
      <x:c r="N3774" t="str">
        <x:v>REGULER</x:v>
      </x:c>
      <x:c r="O3774" t="str">
        <x:v>CAMPURAN</x:v>
      </x:c>
      <x:c r="P3774" t="str">
        <x:v>UMUM</x:v>
      </x:c>
      <x:c r="Q3774" s="18" t="n">
        <x:v>0</x:v>
      </x:c>
      <x:c r="R3774" s="18" t="n">
        <x:v>0</x:v>
      </x:c>
      <x:c r="S3774" s="18" t="n">
        <x:v>520</x:v>
      </x:c>
      <x:c r="T3774" s="18" t="n">
        <x:v>633</x:v>
      </x:c>
      <x:c r="U3774" s="18" t="n">
        <x:v>520</x:v>
      </x:c>
      <x:c r="V3774" s="20" t="n">
        <x:v>8.8</x:v>
      </x:c>
      <x:c r="W3774" s="20" t="n">
        <x:v>9.9</x:v>
      </x:c>
      <x:c r="X3774" s="20" t="n">
        <x:v>3.3</x:v>
      </x:c>
      <x:c r="Y3774" t="str">
        <x:v>Basis arsip 2025/2024</x:v>
      </x:c>
      <x:c r="Z3774" t="str">
        <x:v>https://snpmb.id/utbk-snbt/daya-tampung-snbt</x:v>
      </x:c>
      <x:c r="AA3774" t="str">
        <x:v>Tidak Ada</x:v>
      </x:c>
      <x:c r="AB3774" t="str">
        <x:v>Campus=55; Ratio=0.0; Prodi=40; RelDemand=13.9; Capacity=80.8</x:v>
      </x:c>
    </x:row>
    <x:row r="3775">
      <x:c r="A3775" t="n">
        <x:v>3772</x:v>
      </x:c>
      <x:c r="B3775" t="str">
        <x:v>PTN Akademik</x:v>
      </x:c>
      <x:c r="C3775" t="str">
        <x:v>UNIVERSITAS CENDERAWASIH</x:v>
      </x:c>
      <x:c r="D3775" t="str">
        <x:v>ILMU KEOLAHRAGAAN</x:v>
      </x:c>
      <x:c r="E3775" t="str">
        <x:v>Sarjana</x:v>
      </x:c>
      <x:c r="F3775" s="18" t="n">
        <x:v>90</x:v>
      </x:c>
      <x:c r="G3775" s="18" t="n">
        <x:v>1</x:v>
      </x:c>
      <x:c r="H3775" s="19" t="n">
        <x:v>0.011111111111111112</x:v>
      </x:c>
      <x:c r="I3775" s="18" t="n">
        <x:f>ROUND(MIN(Model_Config_v3!$B$6,MAX(Q3775,R3775,S3775*Model_Config_v3!$B$4+T3775*Model_Config_v3!$B$5)),0)</x:f>
        <x:v>591</x:v>
      </x:c>
      <x:c r="J3775" s="18" t="n">
        <x:f>MIN(Model_Config_v3!$B$6,I3775+Model_Config_v3!$B$7)</x:f>
        <x:v>611</x:v>
      </x:c>
      <x:c r="K3775" s="20" t="n">
        <x:v>30.8</x:v>
      </x:c>
      <x:c r="L3775" t="str">
        <x:v>RELATIF LONGGAR</x:v>
      </x:c>
      <x:c r="M3775" t="str">
        <x:v>PORTOFOLIO</x:v>
      </x:c>
      <x:c r="N3775" t="str">
        <x:v>REGULER</x:v>
      </x:c>
      <x:c r="O3775" t="str">
        <x:v>SENI/OLAHRAGA</x:v>
      </x:c>
      <x:c r="P3775" t="str">
        <x:v>SENI/OLAHRAGA</x:v>
      </x:c>
      <x:c r="Q3775" s="18" t="n">
        <x:v>0</x:v>
      </x:c>
      <x:c r="R3775" s="18" t="n">
        <x:v>0</x:v>
      </x:c>
      <x:c r="S3775" s="18" t="n">
        <x:v>520</x:v>
      </x:c>
      <x:c r="T3775" s="18" t="n">
        <x:v>622</x:v>
      </x:c>
      <x:c r="U3775" s="18" t="n">
        <x:v>520</x:v>
      </x:c>
      <x:c r="V3775" s="20" t="n">
        <x:v>4.4</x:v>
      </x:c>
      <x:c r="W3775" s="20" t="n">
        <x:v>9.9</x:v>
      </x:c>
      <x:c r="X3775" s="20" t="n">
        <x:v>7.7</x:v>
      </x:c>
      <x:c r="Y3775" t="str">
        <x:v>Basis arsip 2025/2024</x:v>
      </x:c>
      <x:c r="Z3775" t="str">
        <x:v>https://snpmb.id/utbk-snbt/daya-tampung-snbt</x:v>
      </x:c>
      <x:c r="AA3775" t="str">
        <x:v>Olahraga</x:v>
      </x:c>
      <x:c r="AB3775" t="str">
        <x:v>Campus=55; Ratio=0.0; Prodi=45; RelDemand=0.6; Capacity=25.0</x:v>
      </x:c>
    </x:row>
    <x:row r="3776">
      <x:c r="A3776" t="n">
        <x:v>3773</x:v>
      </x:c>
      <x:c r="B3776" t="str">
        <x:v>PTN Akademik</x:v>
      </x:c>
      <x:c r="C3776" t="str">
        <x:v>UNIVERSITAS CENDERAWASIH</x:v>
      </x:c>
      <x:c r="D3776" t="str">
        <x:v>ILMU PERIKANAN</x:v>
      </x:c>
      <x:c r="E3776" t="str">
        <x:v>Sarjana</x:v>
      </x:c>
      <x:c r="F3776" s="18" t="n">
        <x:v>18</x:v>
      </x:c>
      <x:c r="G3776" s="18" t="n">
        <x:v>3</x:v>
      </x:c>
      <x:c r="H3776" s="19" t="n">
        <x:v>0.16666666666666666</x:v>
      </x:c>
      <x:c r="I3776" s="18" t="n">
        <x:f>ROUND(MIN(Model_Config_v3!$B$6,MAX(Q3776,R3776,S3776*Model_Config_v3!$B$4+T3776*Model_Config_v3!$B$5)),0)</x:f>
        <x:v>599</x:v>
      </x:c>
      <x:c r="J3776" s="18" t="n">
        <x:f>MIN(Model_Config_v3!$B$6,I3776+Model_Config_v3!$B$7)</x:f>
        <x:v>619</x:v>
      </x:c>
      <x:c r="K3776" s="20" t="n">
        <x:v>36.6</x:v>
      </x:c>
      <x:c r="L3776" t="str">
        <x:v>RELATIF LONGGAR</x:v>
      </x:c>
      <x:c r="M3776" t="str">
        <x:v>SEDANG</x:v>
      </x:c>
      <x:c r="N3776" t="str">
        <x:v>REGULER</x:v>
      </x:c>
      <x:c r="O3776" t="str">
        <x:v>SAINTEK</x:v>
      </x:c>
      <x:c r="P3776" t="str">
        <x:v>UMUM</x:v>
      </x:c>
      <x:c r="Q3776" s="18" t="n">
        <x:v>0</x:v>
      </x:c>
      <x:c r="R3776" s="18" t="n">
        <x:v>0</x:v>
      </x:c>
      <x:c r="S3776" s="18" t="n">
        <x:v>520</x:v>
      </x:c>
      <x:c r="T3776" s="18" t="n">
        <x:v>633</x:v>
      </x:c>
      <x:c r="U3776" s="18" t="n">
        <x:v>520</x:v>
      </x:c>
      <x:c r="V3776" s="20" t="n">
        <x:v>12</x:v>
      </x:c>
      <x:c r="W3776" s="20" t="n">
        <x:v>5</x:v>
      </x:c>
      <x:c r="X3776" s="20" t="n">
        <x:v>3</x:v>
      </x:c>
      <x:c r="Y3776" t="str">
        <x:v>Basis arsip 2025/2024</x:v>
      </x:c>
      <x:c r="Z3776" t="str">
        <x:v>https://snpmb.id/utbk-snbt/daya-tampung-snbt</x:v>
      </x:c>
      <x:c r="AA3776" t="str">
        <x:v>Tidak Ada</x:v>
      </x:c>
      <x:c r="AB3776" t="str">
        <x:v>Campus=55; Ratio=0.0; Prodi=40; RelDemand=8.9; Capacity=85.0</x:v>
      </x:c>
    </x:row>
    <x:row r="3777">
      <x:c r="A3777" t="n">
        <x:v>3774</x:v>
      </x:c>
      <x:c r="B3777" t="str">
        <x:v>PTN Akademik</x:v>
      </x:c>
      <x:c r="C3777" t="str">
        <x:v>UNIVERSITAS CENDERAWASIH</x:v>
      </x:c>
      <x:c r="D3777" t="str">
        <x:v>STATISTIKA</x:v>
      </x:c>
      <x:c r="E3777" t="str">
        <x:v>Sarjana</x:v>
      </x:c>
      <x:c r="F3777" s="18" t="n">
        <x:v>18</x:v>
      </x:c>
      <x:c r="G3777" s="18" t="n">
        <x:v>3</x:v>
      </x:c>
      <x:c r="H3777" s="19" t="n">
        <x:v>0.16666666666666666</x:v>
      </x:c>
      <x:c r="I3777" s="18" t="n">
        <x:f>ROUND(MIN(Model_Config_v3!$B$6,MAX(Q3777,R3777,S3777*Model_Config_v3!$B$4+T3777*Model_Config_v3!$B$5)),0)</x:f>
        <x:v>605</x:v>
      </x:c>
      <x:c r="J3777" s="18" t="n">
        <x:f>MIN(Model_Config_v3!$B$6,I3777+Model_Config_v3!$B$7)</x:f>
        <x:v>625</x:v>
      </x:c>
      <x:c r="K3777" s="20" t="n">
        <x:v>40.6</x:v>
      </x:c>
      <x:c r="L3777" t="str">
        <x:v>RELATIF LONGGAR</x:v>
      </x:c>
      <x:c r="M3777" t="str">
        <x:v>SEDANG+</x:v>
      </x:c>
      <x:c r="N3777" t="str">
        <x:v>REGULER</x:v>
      </x:c>
      <x:c r="O3777" t="str">
        <x:v>SAINTEK</x:v>
      </x:c>
      <x:c r="P3777" t="str">
        <x:v>TEKNIK/ARSITEKTUR/STATISTIKA/AKTUARIA</x:v>
      </x:c>
      <x:c r="Q3777" s="18" t="n">
        <x:v>0</x:v>
      </x:c>
      <x:c r="R3777" s="18" t="n">
        <x:v>0</x:v>
      </x:c>
      <x:c r="S3777" s="18" t="n">
        <x:v>520</x:v>
      </x:c>
      <x:c r="T3777" s="18" t="n">
        <x:v>641</x:v>
      </x:c>
      <x:c r="U3777" s="18" t="n">
        <x:v>530</x:v>
      </x:c>
      <x:c r="V3777" s="20" t="n">
        <x:v>12</x:v>
      </x:c>
      <x:c r="W3777" s="20" t="n">
        <x:v>5</x:v>
      </x:c>
      <x:c r="X3777" s="20" t="n">
        <x:v>3</x:v>
      </x:c>
      <x:c r="Y3777" t="str">
        <x:v>Basis arsip 2025/2024</x:v>
      </x:c>
      <x:c r="Z3777" t="str">
        <x:v>https://snpmb.id/utbk-snbt/daya-tampung-snbt</x:v>
      </x:c>
      <x:c r="AA3777" t="str">
        <x:v>Tidak Ada</x:v>
      </x:c>
      <x:c r="AB3777" t="str">
        <x:v>Campus=55; Ratio=0.0; Prodi=60; RelDemand=8.9; Capacity=85.0</x:v>
      </x:c>
    </x:row>
    <x:row r="3778">
      <x:c r="A3778" t="n">
        <x:v>3775</x:v>
      </x:c>
      <x:c r="B3778" t="str">
        <x:v>PTN Akademik</x:v>
      </x:c>
      <x:c r="C3778" t="str">
        <x:v>UNIVERSITAS CENDERAWASIH</x:v>
      </x:c>
      <x:c r="D3778" t="str">
        <x:v>ILMU EKONOMI</x:v>
      </x:c>
      <x:c r="E3778" t="str">
        <x:v>Sarjana</x:v>
      </x:c>
      <x:c r="F3778" s="18" t="n">
        <x:v>108</x:v>
      </x:c>
      <x:c r="G3778" s="18" t="n">
        <x:v>14</x:v>
      </x:c>
      <x:c r="H3778" s="19" t="n">
        <x:v>0.12962962962962962</x:v>
      </x:c>
      <x:c r="I3778" s="18" t="n">
        <x:f>ROUND(MIN(Model_Config_v3!$B$6,MAX(Q3778,R3778,S3778*Model_Config_v3!$B$4+T3778*Model_Config_v3!$B$5)),0)</x:f>
        <x:v>596</x:v>
      </x:c>
      <x:c r="J3778" s="18" t="n">
        <x:f>MIN(Model_Config_v3!$B$6,I3778+Model_Config_v3!$B$7)</x:f>
        <x:v>616</x:v>
      </x:c>
      <x:c r="K3778" s="20" t="n">
        <x:v>33.9</x:v>
      </x:c>
      <x:c r="L3778" t="str">
        <x:v>RELATIF LONGGAR</x:v>
      </x:c>
      <x:c r="M3778" t="str">
        <x:v>SEDANG+</x:v>
      </x:c>
      <x:c r="N3778" t="str">
        <x:v>REGULER</x:v>
      </x:c>
      <x:c r="O3778" t="str">
        <x:v>SOSHUM</x:v>
      </x:c>
      <x:c r="P3778" t="str">
        <x:v>BISNIS/EKONOMI/AKUNTANSI</x:v>
      </x:c>
      <x:c r="Q3778" s="18" t="n">
        <x:v>0</x:v>
      </x:c>
      <x:c r="R3778" s="18" t="n">
        <x:v>0</x:v>
      </x:c>
      <x:c r="S3778" s="18" t="n">
        <x:v>520</x:v>
      </x:c>
      <x:c r="T3778" s="18" t="n">
        <x:v>628</x:v>
      </x:c>
      <x:c r="U3778" s="18" t="n">
        <x:v>520</x:v>
      </x:c>
      <x:c r="V3778" s="20" t="n">
        <x:v>4.4</x:v>
      </x:c>
      <x:c r="W3778" s="20" t="n">
        <x:v>14.3</x:v>
      </x:c>
      <x:c r="X3778" s="20" t="n">
        <x:v>3.3</x:v>
      </x:c>
      <x:c r="Y3778" t="str">
        <x:v>Basis arsip 2025/2024</x:v>
      </x:c>
      <x:c r="Z3778" t="str">
        <x:v>https://snpmb.id/utbk-snbt/daya-tampung-snbt</x:v>
      </x:c>
      <x:c r="AA3778" t="str">
        <x:v>Tidak Ada</x:v>
      </x:c>
      <x:c r="AB3778" t="str">
        <x:v>Campus=55; Ratio=0.0; Prodi=65; RelDemand=6.9; Capacity=10.0</x:v>
      </x:c>
    </x:row>
    <x:row r="3779">
      <x:c r="A3779" t="n">
        <x:v>3776</x:v>
      </x:c>
      <x:c r="B3779" t="str">
        <x:v>PTN Akademik</x:v>
      </x:c>
      <x:c r="C3779" t="str">
        <x:v>UNIVERSITAS CENDERAWASIH</x:v>
      </x:c>
      <x:c r="D3779" t="str">
        <x:v>ILMU ADMINISTRASI NEGARA</x:v>
      </x:c>
      <x:c r="E3779" t="str">
        <x:v>Sarjana</x:v>
      </x:c>
      <x:c r="F3779" s="18" t="n">
        <x:v>36</x:v>
      </x:c>
      <x:c r="G3779" s="18" t="n">
        <x:v>10</x:v>
      </x:c>
      <x:c r="H3779" s="19" t="n">
        <x:v>0.2777777777777778</x:v>
      </x:c>
      <x:c r="I3779" s="18" t="n">
        <x:f>ROUND(MIN(Model_Config_v3!$B$6,MAX(Q3779,R3779,S3779*Model_Config_v3!$B$4+T3779*Model_Config_v3!$B$5)),0)</x:f>
        <x:v>598</x:v>
      </x:c>
      <x:c r="J3779" s="18" t="n">
        <x:f>MIN(Model_Config_v3!$B$6,I3779+Model_Config_v3!$B$7)</x:f>
        <x:v>618</x:v>
      </x:c>
      <x:c r="K3779" s="20" t="n">
        <x:v>35.7</x:v>
      </x:c>
      <x:c r="L3779" t="str">
        <x:v>RELATIF LONGGAR</x:v>
      </x:c>
      <x:c r="M3779" t="str">
        <x:v>SEDANG</x:v>
      </x:c>
      <x:c r="N3779" t="str">
        <x:v>REGULER</x:v>
      </x:c>
      <x:c r="O3779" t="str">
        <x:v>SOSHUM</x:v>
      </x:c>
      <x:c r="P3779" t="str">
        <x:v>UMUM</x:v>
      </x:c>
      <x:c r="Q3779" s="18" t="n">
        <x:v>0</x:v>
      </x:c>
      <x:c r="R3779" s="18" t="n">
        <x:v>0</x:v>
      </x:c>
      <x:c r="S3779" s="18" t="n">
        <x:v>520</x:v>
      </x:c>
      <x:c r="T3779" s="18" t="n">
        <x:v>631</x:v>
      </x:c>
      <x:c r="U3779" s="18" t="n">
        <x:v>520</x:v>
      </x:c>
      <x:c r="V3779" s="20" t="n">
        <x:v>4.4</x:v>
      </x:c>
      <x:c r="W3779" s="20" t="n">
        <x:v>14.3</x:v>
      </x:c>
      <x:c r="X3779" s="20" t="n">
        <x:v>3.3</x:v>
      </x:c>
      <x:c r="Y3779" t="str">
        <x:v>Basis arsip 2025/2024</x:v>
      </x:c>
      <x:c r="Z3779" t="str">
        <x:v>https://snpmb.id/utbk-snbt/daya-tampung-snbt</x:v>
      </x:c>
      <x:c r="AA3779" t="str">
        <x:v>Tidak Ada</x:v>
      </x:c>
      <x:c r="AB3779" t="str">
        <x:v>Campus=55; Ratio=0.0; Prodi=40; RelDemand=14.8; Capacity=70.0</x:v>
      </x:c>
    </x:row>
    <x:row r="3780">
      <x:c r="A3780" t="n">
        <x:v>3777</x:v>
      </x:c>
      <x:c r="B3780" t="str">
        <x:v>PTN Akademik</x:v>
      </x:c>
      <x:c r="C3780" t="str">
        <x:v>UNIVERSITAS CENDERAWASIH</x:v>
      </x:c>
      <x:c r="D3780" t="str">
        <x:v>ANTROPOLOGI SOSIAL</x:v>
      </x:c>
      <x:c r="E3780" t="str">
        <x:v>Sarjana</x:v>
      </x:c>
      <x:c r="F3780" s="18" t="n">
        <x:v>36</x:v>
      </x:c>
      <x:c r="G3780" s="18" t="n">
        <x:v>2</x:v>
      </x:c>
      <x:c r="H3780" s="19" t="n">
        <x:v>0.05555555555555555</x:v>
      </x:c>
      <x:c r="I3780" s="18" t="n">
        <x:f>ROUND(MIN(Model_Config_v3!$B$6,MAX(Q3780,R3780,S3780*Model_Config_v3!$B$4+T3780*Model_Config_v3!$B$5)),0)</x:f>
        <x:v>596</x:v>
      </x:c>
      <x:c r="J3780" s="18" t="n">
        <x:f>MIN(Model_Config_v3!$B$6,I3780+Model_Config_v3!$B$7)</x:f>
        <x:v>616</x:v>
      </x:c>
      <x:c r="K3780" s="20" t="n">
        <x:v>34.5</x:v>
      </x:c>
      <x:c r="L3780" t="str">
        <x:v>RELATIF LONGGAR</x:v>
      </x:c>
      <x:c r="M3780" t="str">
        <x:v>SEDANG</x:v>
      </x:c>
      <x:c r="N3780" t="str">
        <x:v>REGULER</x:v>
      </x:c>
      <x:c r="O3780" t="str">
        <x:v>SOSHUM</x:v>
      </x:c>
      <x:c r="P3780" t="str">
        <x:v>UMUM</x:v>
      </x:c>
      <x:c r="Q3780" s="18" t="n">
        <x:v>0</x:v>
      </x:c>
      <x:c r="R3780" s="18" t="n">
        <x:v>0</x:v>
      </x:c>
      <x:c r="S3780" s="18" t="n">
        <x:v>520</x:v>
      </x:c>
      <x:c r="T3780" s="18" t="n">
        <x:v>629</x:v>
      </x:c>
      <x:c r="U3780" s="18" t="n">
        <x:v>520</x:v>
      </x:c>
      <x:c r="V3780" s="20" t="n">
        <x:v>4.4</x:v>
      </x:c>
      <x:c r="W3780" s="20" t="n">
        <x:v>14.3</x:v>
      </x:c>
      <x:c r="X3780" s="20" t="n">
        <x:v>3.3</x:v>
      </x:c>
      <x:c r="Y3780" t="str">
        <x:v>Basis arsip 2025/2024</x:v>
      </x:c>
      <x:c r="Z3780" t="str">
        <x:v>https://snpmb.id/utbk-snbt/daya-tampung-snbt</x:v>
      </x:c>
      <x:c r="AA3780" t="str">
        <x:v>Tidak Ada</x:v>
      </x:c>
      <x:c r="AB3780" t="str">
        <x:v>Campus=55; Ratio=0.0; Prodi=40; RelDemand=3.0; Capacity=70.0</x:v>
      </x:c>
    </x:row>
    <x:row r="3781">
      <x:c r="A3781" t="n">
        <x:v>3778</x:v>
      </x:c>
      <x:c r="B3781" t="str">
        <x:v>PTN Akademik</x:v>
      </x:c>
      <x:c r="C3781" t="str">
        <x:v>UNIVERSITAS CENDERAWASIH</x:v>
      </x:c>
      <x:c r="D3781" t="str">
        <x:v>ILMU HUKUM</x:v>
      </x:c>
      <x:c r="E3781" t="str">
        <x:v>Sarjana</x:v>
      </x:c>
      <x:c r="F3781" s="18" t="n">
        <x:v>180</x:v>
      </x:c>
      <x:c r="G3781" s="18" t="n">
        <x:v>60</x:v>
      </x:c>
      <x:c r="H3781" s="19" t="n">
        <x:v>0.3333333333333333</x:v>
      </x:c>
      <x:c r="I3781" s="18" t="n">
        <x:f>ROUND(MIN(Model_Config_v3!$B$6,MAX(Q3781,R3781,S3781*Model_Config_v3!$B$4+T3781*Model_Config_v3!$B$5)),0)</x:f>
        <x:v>596</x:v>
      </x:c>
      <x:c r="J3781" s="18" t="n">
        <x:f>MIN(Model_Config_v3!$B$6,I3781+Model_Config_v3!$B$7)</x:f>
        <x:v>616</x:v>
      </x:c>
      <x:c r="K3781" s="20" t="n">
        <x:v>34</x:v>
      </x:c>
      <x:c r="L3781" t="str">
        <x:v>RELATIF LONGGAR</x:v>
      </x:c>
      <x:c r="M3781" t="str">
        <x:v>SEDANG+</x:v>
      </x:c>
      <x:c r="N3781" t="str">
        <x:v>REGULER</x:v>
      </x:c>
      <x:c r="O3781" t="str">
        <x:v>SOSHUM</x:v>
      </x:c>
      <x:c r="P3781" t="str">
        <x:v>HUKUM</x:v>
      </x:c>
      <x:c r="Q3781" s="18" t="n">
        <x:v>0</x:v>
      </x:c>
      <x:c r="R3781" s="18" t="n">
        <x:v>0</x:v>
      </x:c>
      <x:c r="S3781" s="18" t="n">
        <x:v>520</x:v>
      </x:c>
      <x:c r="T3781" s="18" t="n">
        <x:v>628</x:v>
      </x:c>
      <x:c r="U3781" s="18" t="n">
        <x:v>535</x:v>
      </x:c>
      <x:c r="V3781" s="20" t="n">
        <x:v>4.4</x:v>
      </x:c>
      <x:c r="W3781" s="20" t="n">
        <x:v>14.3</x:v>
      </x:c>
      <x:c r="X3781" s="20" t="n">
        <x:v>3.3</x:v>
      </x:c>
      <x:c r="Y3781" t="str">
        <x:v>Basis arsip 2025/2024</x:v>
      </x:c>
      <x:c r="Z3781" t="str">
        <x:v>https://snpmb.id/utbk-snbt/daya-tampung-snbt</x:v>
      </x:c>
      <x:c r="AA3781" t="str">
        <x:v>Tidak Ada</x:v>
      </x:c>
      <x:c r="AB3781" t="str">
        <x:v>Campus=55; Ratio=0.0; Prodi=65; RelDemand=17.7; Capacity=0.0</x:v>
      </x:c>
    </x:row>
    <x:row r="3782">
      <x:c r="A3782" t="n">
        <x:v>3779</x:v>
      </x:c>
      <x:c r="B3782" t="str">
        <x:v>PTN Akademik</x:v>
      </x:c>
      <x:c r="C3782" t="str">
        <x:v>UNIVERSITAS CENDERAWASIH</x:v>
      </x:c>
      <x:c r="D3782" t="str">
        <x:v>MANAJEMEN</x:v>
      </x:c>
      <x:c r="E3782" t="str">
        <x:v>Sarjana</x:v>
      </x:c>
      <x:c r="F3782" s="18" t="n">
        <x:v>108</x:v>
      </x:c>
      <x:c r="G3782" s="18" t="n">
        <x:v>94</x:v>
      </x:c>
      <x:c r="H3782" s="19" t="n">
        <x:v>0.8703703703703703</x:v>
      </x:c>
      <x:c r="I3782" s="18" t="n">
        <x:f>ROUND(MIN(Model_Config_v3!$B$6,MAX(Q3782,R3782,S3782*Model_Config_v3!$B$4+T3782*Model_Config_v3!$B$5)),0)</x:f>
        <x:v>601</x:v>
      </x:c>
      <x:c r="J3782" s="18" t="n">
        <x:f>MIN(Model_Config_v3!$B$6,I3782+Model_Config_v3!$B$7)</x:f>
        <x:v>621</x:v>
      </x:c>
      <x:c r="K3782" s="20" t="n">
        <x:v>37.9</x:v>
      </x:c>
      <x:c r="L3782" t="str">
        <x:v>RELATIF LONGGAR</x:v>
      </x:c>
      <x:c r="M3782" t="str">
        <x:v>SEDANG+</x:v>
      </x:c>
      <x:c r="N3782" t="str">
        <x:v>REGULER</x:v>
      </x:c>
      <x:c r="O3782" t="str">
        <x:v>SOSHUM</x:v>
      </x:c>
      <x:c r="P3782" t="str">
        <x:v>BISNIS/EKONOMI/AKUNTANSI</x:v>
      </x:c>
      <x:c r="Q3782" s="18" t="n">
        <x:v>0</x:v>
      </x:c>
      <x:c r="R3782" s="18" t="n">
        <x:v>0</x:v>
      </x:c>
      <x:c r="S3782" s="18" t="n">
        <x:v>520</x:v>
      </x:c>
      <x:c r="T3782" s="18" t="n">
        <x:v>636</x:v>
      </x:c>
      <x:c r="U3782" s="18" t="n">
        <x:v>535</x:v>
      </x:c>
      <x:c r="V3782" s="20" t="n">
        <x:v>4.4</x:v>
      </x:c>
      <x:c r="W3782" s="20" t="n">
        <x:v>14.3</x:v>
      </x:c>
      <x:c r="X3782" s="20" t="n">
        <x:v>3.3</x:v>
      </x:c>
      <x:c r="Y3782" t="str">
        <x:v>Basis arsip 2025/2024</x:v>
      </x:c>
      <x:c r="Z3782" t="str">
        <x:v>https://snpmb.id/utbk-snbt/daya-tampung-snbt</x:v>
      </x:c>
      <x:c r="AA3782" t="str">
        <x:v>Tidak Ada</x:v>
      </x:c>
      <x:c r="AB3782" t="str">
        <x:v>Campus=55; Ratio=0.0; Prodi=65; RelDemand=46.3; Capacity=10.0</x:v>
      </x:c>
    </x:row>
    <x:row r="3783">
      <x:c r="A3783" t="n">
        <x:v>3780</x:v>
      </x:c>
      <x:c r="B3783" t="str">
        <x:v>PTN Akademik</x:v>
      </x:c>
      <x:c r="C3783" t="str">
        <x:v>UNIVERSITAS CENDERAWASIH</x:v>
      </x:c>
      <x:c r="D3783" t="str">
        <x:v>ILMU KESEJAHTERAAN SOSIAL</x:v>
      </x:c>
      <x:c r="E3783" t="str">
        <x:v>Sarjana</x:v>
      </x:c>
      <x:c r="F3783" s="18" t="n">
        <x:v>36</x:v>
      </x:c>
      <x:c r="G3783" s="18" t="n">
        <x:v>1</x:v>
      </x:c>
      <x:c r="H3783" s="19" t="n">
        <x:v>0.027777777777777776</x:v>
      </x:c>
      <x:c r="I3783" s="18" t="n">
        <x:f>ROUND(MIN(Model_Config_v3!$B$6,MAX(Q3783,R3783,S3783*Model_Config_v3!$B$4+T3783*Model_Config_v3!$B$5)),0)</x:f>
        <x:v>596</x:v>
      </x:c>
      <x:c r="J3783" s="18" t="n">
        <x:f>MIN(Model_Config_v3!$B$6,I3783+Model_Config_v3!$B$7)</x:f>
        <x:v>616</x:v>
      </x:c>
      <x:c r="K3783" s="20" t="n">
        <x:v>34.4</x:v>
      </x:c>
      <x:c r="L3783" t="str">
        <x:v>RELATIF LONGGAR</x:v>
      </x:c>
      <x:c r="M3783" t="str">
        <x:v>SEDANG</x:v>
      </x:c>
      <x:c r="N3783" t="str">
        <x:v>REGULER</x:v>
      </x:c>
      <x:c r="O3783" t="str">
        <x:v>CAMPURAN</x:v>
      </x:c>
      <x:c r="P3783" t="str">
        <x:v>UMUM</x:v>
      </x:c>
      <x:c r="Q3783" s="18" t="n">
        <x:v>0</x:v>
      </x:c>
      <x:c r="R3783" s="18" t="n">
        <x:v>0</x:v>
      </x:c>
      <x:c r="S3783" s="18" t="n">
        <x:v>520</x:v>
      </x:c>
      <x:c r="T3783" s="18" t="n">
        <x:v>629</x:v>
      </x:c>
      <x:c r="U3783" s="18" t="n">
        <x:v>520</x:v>
      </x:c>
      <x:c r="V3783" s="20" t="n">
        <x:v>8.8</x:v>
      </x:c>
      <x:c r="W3783" s="20" t="n">
        <x:v>9.9</x:v>
      </x:c>
      <x:c r="X3783" s="20" t="n">
        <x:v>3.3</x:v>
      </x:c>
      <x:c r="Y3783" t="str">
        <x:v>Basis arsip 2025/2024</x:v>
      </x:c>
      <x:c r="Z3783" t="str">
        <x:v>https://snpmb.id/utbk-snbt/daya-tampung-snbt</x:v>
      </x:c>
      <x:c r="AA3783" t="str">
        <x:v>Tidak Ada</x:v>
      </x:c>
      <x:c r="AB3783" t="str">
        <x:v>Campus=55; Ratio=0.0; Prodi=40; RelDemand=1.5; Capacity=70.0</x:v>
      </x:c>
    </x:row>
    <x:row r="3784">
      <x:c r="A3784" t="n">
        <x:v>3781</x:v>
      </x:c>
      <x:c r="B3784" t="str">
        <x:v>PTN Akademik</x:v>
      </x:c>
      <x:c r="C3784" t="str">
        <x:v>UNIVERSITAS CENDERAWASIH</x:v>
      </x:c>
      <x:c r="D3784" t="str">
        <x:v>PEND. PANCASILA &amp; KEWARGANEG.</x:v>
      </x:c>
      <x:c r="E3784" t="str">
        <x:v>Sarjana</x:v>
      </x:c>
      <x:c r="F3784" s="18" t="n">
        <x:v>45</x:v>
      </x:c>
      <x:c r="G3784" s="18" t="n">
        <x:v>3</x:v>
      </x:c>
      <x:c r="H3784" s="19" t="n">
        <x:v>0.06666666666666667</x:v>
      </x:c>
      <x:c r="I3784" s="18" t="n">
        <x:f>ROUND(MIN(Model_Config_v3!$B$6,MAX(Q3784,R3784,S3784*Model_Config_v3!$B$4+T3784*Model_Config_v3!$B$5)),0)</x:f>
        <x:v>597</x:v>
      </x:c>
      <x:c r="J3784" s="18" t="n">
        <x:f>MIN(Model_Config_v3!$B$6,I3784+Model_Config_v3!$B$7)</x:f>
        <x:v>617</x:v>
      </x:c>
      <x:c r="K3784" s="20" t="n">
        <x:v>34.9</x:v>
      </x:c>
      <x:c r="L3784" t="str">
        <x:v>RELATIF LONGGAR</x:v>
      </x:c>
      <x:c r="M3784" t="str">
        <x:v>SEDANG+</x:v>
      </x:c>
      <x:c r="N3784" t="str">
        <x:v>REGULER</x:v>
      </x:c>
      <x:c r="O3784" t="str">
        <x:v>CAMPURAN</x:v>
      </x:c>
      <x:c r="P3784" t="str">
        <x:v>PENDIDIKAN</x:v>
      </x:c>
      <x:c r="Q3784" s="18" t="n">
        <x:v>0</x:v>
      </x:c>
      <x:c r="R3784" s="18" t="n">
        <x:v>0</x:v>
      </x:c>
      <x:c r="S3784" s="18" t="n">
        <x:v>520</x:v>
      </x:c>
      <x:c r="T3784" s="18" t="n">
        <x:v>630</x:v>
      </x:c>
      <x:c r="U3784" s="18" t="n">
        <x:v>520</x:v>
      </x:c>
      <x:c r="V3784" s="20" t="n">
        <x:v>8.8</x:v>
      </x:c>
      <x:c r="W3784" s="20" t="n">
        <x:v>9.9</x:v>
      </x:c>
      <x:c r="X3784" s="20" t="n">
        <x:v>3.3</x:v>
      </x:c>
      <x:c r="Y3784" t="str">
        <x:v>Basis arsip 2025/2024</x:v>
      </x:c>
      <x:c r="Z3784" t="str">
        <x:v>https://snpmb.id/utbk-snbt/daya-tampung-snbt</x:v>
      </x:c>
      <x:c r="AA3784" t="str">
        <x:v>Tidak Ada</x:v>
      </x:c>
      <x:c r="AB3784" t="str">
        <x:v>Campus=55; Ratio=0.0; Prodi=45; RelDemand=3.5; Capacity=62.5</x:v>
      </x:c>
    </x:row>
    <x:row r="3785">
      <x:c r="A3785" t="n">
        <x:v>3782</x:v>
      </x:c>
      <x:c r="B3785" t="str">
        <x:v>PTN Akademik</x:v>
      </x:c>
      <x:c r="C3785" t="str">
        <x:v>UNIVERSITAS CENDERAWASIH</x:v>
      </x:c>
      <x:c r="D3785" t="str">
        <x:v>AKUNTANSI</x:v>
      </x:c>
      <x:c r="E3785" t="str">
        <x:v>Sarjana</x:v>
      </x:c>
      <x:c r="F3785" s="18" t="n">
        <x:v>104</x:v>
      </x:c>
      <x:c r="G3785" s="18" t="n">
        <x:v>82</x:v>
      </x:c>
      <x:c r="H3785" s="19" t="n">
        <x:v>0.7884615384615384</x:v>
      </x:c>
      <x:c r="I3785" s="18" t="n">
        <x:f>ROUND(MIN(Model_Config_v3!$B$6,MAX(Q3785,R3785,S3785*Model_Config_v3!$B$4+T3785*Model_Config_v3!$B$5)),0)</x:f>
        <x:v>601</x:v>
      </x:c>
      <x:c r="J3785" s="18" t="n">
        <x:f>MIN(Model_Config_v3!$B$6,I3785+Model_Config_v3!$B$7)</x:f>
        <x:v>621</x:v>
      </x:c>
      <x:c r="K3785" s="20" t="n">
        <x:v>37.8</x:v>
      </x:c>
      <x:c r="L3785" t="str">
        <x:v>RELATIF LONGGAR</x:v>
      </x:c>
      <x:c r="M3785" t="str">
        <x:v>SEDANG+</x:v>
      </x:c>
      <x:c r="N3785" t="str">
        <x:v>REGULER</x:v>
      </x:c>
      <x:c r="O3785" t="str">
        <x:v>SOSHUM</x:v>
      </x:c>
      <x:c r="P3785" t="str">
        <x:v>BISNIS/EKONOMI/AKUNTANSI</x:v>
      </x:c>
      <x:c r="Q3785" s="18" t="n">
        <x:v>0</x:v>
      </x:c>
      <x:c r="R3785" s="18" t="n">
        <x:v>0</x:v>
      </x:c>
      <x:c r="S3785" s="18" t="n">
        <x:v>520</x:v>
      </x:c>
      <x:c r="T3785" s="18" t="n">
        <x:v>636</x:v>
      </x:c>
      <x:c r="U3785" s="18" t="n">
        <x:v>520</x:v>
      </x:c>
      <x:c r="V3785" s="20" t="n">
        <x:v>4.4</x:v>
      </x:c>
      <x:c r="W3785" s="20" t="n">
        <x:v>14.3</x:v>
      </x:c>
      <x:c r="X3785" s="20" t="n">
        <x:v>3.3</x:v>
      </x:c>
      <x:c r="Y3785" t="str">
        <x:v>Basis arsip 2025/2024</x:v>
      </x:c>
      <x:c r="Z3785" t="str">
        <x:v>https://snpmb.id/utbk-snbt/daya-tampung-snbt</x:v>
      </x:c>
      <x:c r="AA3785" t="str">
        <x:v>Tidak Ada</x:v>
      </x:c>
      <x:c r="AB3785" t="str">
        <x:v>Campus=55; Ratio=0.0; Prodi=65; RelDemand=41.9; Capacity=13.3</x:v>
      </x:c>
    </x:row>
    <x:row r="3786">
      <x:c r="A3786" t="n">
        <x:v>3783</x:v>
      </x:c>
      <x:c r="B3786" t="str">
        <x:v>PTN Akademik</x:v>
      </x:c>
      <x:c r="C3786" t="str">
        <x:v>UNIVERSITAS CENDERAWASIH</x:v>
      </x:c>
      <x:c r="D3786" t="str">
        <x:v>ILMU PEMERINTAHAN</x:v>
      </x:c>
      <x:c r="E3786" t="str">
        <x:v>Sarjana</x:v>
      </x:c>
      <x:c r="F3786" s="18" t="n">
        <x:v>36</x:v>
      </x:c>
      <x:c r="G3786" s="18" t="n">
        <x:v>17</x:v>
      </x:c>
      <x:c r="H3786" s="19" t="n">
        <x:v>0.4722222222222222</x:v>
      </x:c>
      <x:c r="I3786" s="18" t="n">
        <x:f>ROUND(MIN(Model_Config_v3!$B$6,MAX(Q3786,R3786,S3786*Model_Config_v3!$B$4+T3786*Model_Config_v3!$B$5)),0)</x:f>
        <x:v>600</x:v>
      </x:c>
      <x:c r="J3786" s="18" t="n">
        <x:f>MIN(Model_Config_v3!$B$6,I3786+Model_Config_v3!$B$7)</x:f>
        <x:v>620</x:v>
      </x:c>
      <x:c r="K3786" s="20" t="n">
        <x:v>36.8</x:v>
      </x:c>
      <x:c r="L3786" t="str">
        <x:v>RELATIF LONGGAR</x:v>
      </x:c>
      <x:c r="M3786" t="str">
        <x:v>SEDANG</x:v>
      </x:c>
      <x:c r="N3786" t="str">
        <x:v>REGULER</x:v>
      </x:c>
      <x:c r="O3786" t="str">
        <x:v>CAMPURAN</x:v>
      </x:c>
      <x:c r="P3786" t="str">
        <x:v>UMUM</x:v>
      </x:c>
      <x:c r="Q3786" s="18" t="n">
        <x:v>0</x:v>
      </x:c>
      <x:c r="R3786" s="18" t="n">
        <x:v>0</x:v>
      </x:c>
      <x:c r="S3786" s="18" t="n">
        <x:v>520</x:v>
      </x:c>
      <x:c r="T3786" s="18" t="n">
        <x:v>634</x:v>
      </x:c>
      <x:c r="U3786" s="18" t="n">
        <x:v>520</x:v>
      </x:c>
      <x:c r="V3786" s="20" t="n">
        <x:v>8.8</x:v>
      </x:c>
      <x:c r="W3786" s="20" t="n">
        <x:v>9.9</x:v>
      </x:c>
      <x:c r="X3786" s="20" t="n">
        <x:v>3.3</x:v>
      </x:c>
      <x:c r="Y3786" t="str">
        <x:v>Basis arsip 2025/2024</x:v>
      </x:c>
      <x:c r="Z3786" t="str">
        <x:v>https://snpmb.id/utbk-snbt/daya-tampung-snbt</x:v>
      </x:c>
      <x:c r="AA3786" t="str">
        <x:v>Tidak Ada</x:v>
      </x:c>
      <x:c r="AB3786" t="str">
        <x:v>Campus=55; Ratio=0.0; Prodi=40; RelDemand=25.1; Capacity=70.0</x:v>
      </x:c>
    </x:row>
    <x:row r="3787">
      <x:c r="A3787" t="n">
        <x:v>3784</x:v>
      </x:c>
      <x:c r="B3787" t="str">
        <x:v>PTN Akademik</x:v>
      </x:c>
      <x:c r="C3787" t="str">
        <x:v>UNIVERSITAS CENDERAWASIH</x:v>
      </x:c>
      <x:c r="D3787" t="str">
        <x:v>BIMBINGAN KONSELING</x:v>
      </x:c>
      <x:c r="E3787" t="str">
        <x:v>Sarjana</x:v>
      </x:c>
      <x:c r="F3787" s="18" t="n">
        <x:v>45</x:v>
      </x:c>
      <x:c r="G3787" s="18" t="n">
        <x:v>6</x:v>
      </x:c>
      <x:c r="H3787" s="19" t="n">
        <x:v>0.13333333333333333</x:v>
      </x:c>
      <x:c r="I3787" s="18" t="n">
        <x:f>ROUND(MIN(Model_Config_v3!$B$6,MAX(Q3787,R3787,S3787*Model_Config_v3!$B$4+T3787*Model_Config_v3!$B$5)),0)</x:f>
        <x:v>596</x:v>
      </x:c>
      <x:c r="J3787" s="18" t="n">
        <x:f>MIN(Model_Config_v3!$B$6,I3787+Model_Config_v3!$B$7)</x:f>
        <x:v>616</x:v>
      </x:c>
      <x:c r="K3787" s="20" t="n">
        <x:v>34.2</x:v>
      </x:c>
      <x:c r="L3787" t="str">
        <x:v>RELATIF LONGGAR</x:v>
      </x:c>
      <x:c r="M3787" t="str">
        <x:v>SEDANG</x:v>
      </x:c>
      <x:c r="N3787" t="str">
        <x:v>REGULER</x:v>
      </x:c>
      <x:c r="O3787" t="str">
        <x:v>CAMPURAN</x:v>
      </x:c>
      <x:c r="P3787" t="str">
        <x:v>UMUM</x:v>
      </x:c>
      <x:c r="Q3787" s="18" t="n">
        <x:v>0</x:v>
      </x:c>
      <x:c r="R3787" s="18" t="n">
        <x:v>0</x:v>
      </x:c>
      <x:c r="S3787" s="18" t="n">
        <x:v>520</x:v>
      </x:c>
      <x:c r="T3787" s="18" t="n">
        <x:v>628</x:v>
      </x:c>
      <x:c r="U3787" s="18" t="n">
        <x:v>520</x:v>
      </x:c>
      <x:c r="V3787" s="20" t="n">
        <x:v>8.8</x:v>
      </x:c>
      <x:c r="W3787" s="20" t="n">
        <x:v>9.9</x:v>
      </x:c>
      <x:c r="X3787" s="20" t="n">
        <x:v>3.3</x:v>
      </x:c>
      <x:c r="Y3787" t="str">
        <x:v>Basis arsip 2025/2024</x:v>
      </x:c>
      <x:c r="Z3787" t="str">
        <x:v>https://snpmb.id/utbk-snbt/daya-tampung-snbt</x:v>
      </x:c>
      <x:c r="AA3787" t="str">
        <x:v>Tidak Ada</x:v>
      </x:c>
      <x:c r="AB3787" t="str">
        <x:v>Campus=55; Ratio=0.0; Prodi=40; RelDemand=7.1; Capacity=62.5</x:v>
      </x:c>
    </x:row>
    <x:row r="3788">
      <x:c r="A3788" t="n">
        <x:v>3785</x:v>
      </x:c>
      <x:c r="B3788" t="str">
        <x:v>PTN Akademik</x:v>
      </x:c>
      <x:c r="C3788" t="str">
        <x:v>UNIVERSITAS CENDERAWASIH</x:v>
      </x:c>
      <x:c r="D3788" t="str">
        <x:v>PEND. GEOGRAFI</x:v>
      </x:c>
      <x:c r="E3788" t="str">
        <x:v>Sarjana</x:v>
      </x:c>
      <x:c r="F3788" s="18" t="n">
        <x:v>45</x:v>
      </x:c>
      <x:c r="G3788" s="18" t="n">
        <x:v>4</x:v>
      </x:c>
      <x:c r="H3788" s="19" t="n">
        <x:v>0.08888888888888889</x:v>
      </x:c>
      <x:c r="I3788" s="18" t="n">
        <x:f>ROUND(MIN(Model_Config_v3!$B$6,MAX(Q3788,R3788,S3788*Model_Config_v3!$B$4+T3788*Model_Config_v3!$B$5)),0)</x:f>
        <x:v>597</x:v>
      </x:c>
      <x:c r="J3788" s="18" t="n">
        <x:f>MIN(Model_Config_v3!$B$6,I3788+Model_Config_v3!$B$7)</x:f>
        <x:v>617</x:v>
      </x:c>
      <x:c r="K3788" s="20" t="n">
        <x:v>35</x:v>
      </x:c>
      <x:c r="L3788" t="str">
        <x:v>RELATIF LONGGAR</x:v>
      </x:c>
      <x:c r="M3788" t="str">
        <x:v>SEDANG+</x:v>
      </x:c>
      <x:c r="N3788" t="str">
        <x:v>REGULER</x:v>
      </x:c>
      <x:c r="O3788" t="str">
        <x:v>CAMPURAN</x:v>
      </x:c>
      <x:c r="P3788" t="str">
        <x:v>PENDIDIKAN</x:v>
      </x:c>
      <x:c r="Q3788" s="18" t="n">
        <x:v>0</x:v>
      </x:c>
      <x:c r="R3788" s="18" t="n">
        <x:v>0</x:v>
      </x:c>
      <x:c r="S3788" s="18" t="n">
        <x:v>520</x:v>
      </x:c>
      <x:c r="T3788" s="18" t="n">
        <x:v>630</x:v>
      </x:c>
      <x:c r="U3788" s="18" t="n">
        <x:v>520</x:v>
      </x:c>
      <x:c r="V3788" s="20" t="n">
        <x:v>8.8</x:v>
      </x:c>
      <x:c r="W3788" s="20" t="n">
        <x:v>9.9</x:v>
      </x:c>
      <x:c r="X3788" s="20" t="n">
        <x:v>3.3</x:v>
      </x:c>
      <x:c r="Y3788" t="str">
        <x:v>Basis arsip 2025/2024</x:v>
      </x:c>
      <x:c r="Z3788" t="str">
        <x:v>https://snpmb.id/utbk-snbt/daya-tampung-snbt</x:v>
      </x:c>
      <x:c r="AA3788" t="str">
        <x:v>Tidak Ada</x:v>
      </x:c>
      <x:c r="AB3788" t="str">
        <x:v>Campus=55; Ratio=0.0; Prodi=45; RelDemand=4.7; Capacity=62.5</x:v>
      </x:c>
    </x:row>
    <x:row r="3789">
      <x:c r="A3789" t="n">
        <x:v>3786</x:v>
      </x:c>
      <x:c r="B3789" t="str">
        <x:v>PTN Akademik</x:v>
      </x:c>
      <x:c r="C3789" t="str">
        <x:v>UNIVERSITAS CENDERAWASIH</x:v>
      </x:c>
      <x:c r="D3789" t="str">
        <x:v>PEND. SEJARAH</x:v>
      </x:c>
      <x:c r="E3789" t="str">
        <x:v>Sarjana</x:v>
      </x:c>
      <x:c r="F3789" s="18" t="n">
        <x:v>45</x:v>
      </x:c>
      <x:c r="G3789" s="18" t="n">
        <x:v>1</x:v>
      </x:c>
      <x:c r="H3789" s="19" t="n">
        <x:v>0.022222222222222223</x:v>
      </x:c>
      <x:c r="I3789" s="18" t="n">
        <x:f>ROUND(MIN(Model_Config_v3!$B$6,MAX(Q3789,R3789,S3789*Model_Config_v3!$B$4+T3789*Model_Config_v3!$B$5)),0)</x:f>
        <x:v>596</x:v>
      </x:c>
      <x:c r="J3789" s="18" t="n">
        <x:f>MIN(Model_Config_v3!$B$6,I3789+Model_Config_v3!$B$7)</x:f>
        <x:v>616</x:v>
      </x:c>
      <x:c r="K3789" s="20" t="n">
        <x:v>34.6</x:v>
      </x:c>
      <x:c r="L3789" t="str">
        <x:v>RELATIF LONGGAR</x:v>
      </x:c>
      <x:c r="M3789" t="str">
        <x:v>SEDANG+</x:v>
      </x:c>
      <x:c r="N3789" t="str">
        <x:v>REGULER</x:v>
      </x:c>
      <x:c r="O3789" t="str">
        <x:v>SOSHUM</x:v>
      </x:c>
      <x:c r="P3789" t="str">
        <x:v>PENDIDIKAN</x:v>
      </x:c>
      <x:c r="Q3789" s="18" t="n">
        <x:v>0</x:v>
      </x:c>
      <x:c r="R3789" s="18" t="n">
        <x:v>0</x:v>
      </x:c>
      <x:c r="S3789" s="18" t="n">
        <x:v>520</x:v>
      </x:c>
      <x:c r="T3789" s="18" t="n">
        <x:v>629</x:v>
      </x:c>
      <x:c r="U3789" s="18" t="n">
        <x:v>520</x:v>
      </x:c>
      <x:c r="V3789" s="20" t="n">
        <x:v>4.4</x:v>
      </x:c>
      <x:c r="W3789" s="20" t="n">
        <x:v>14.3</x:v>
      </x:c>
      <x:c r="X3789" s="20" t="n">
        <x:v>3.3</x:v>
      </x:c>
      <x:c r="Y3789" t="str">
        <x:v>Basis arsip 2025/2024</x:v>
      </x:c>
      <x:c r="Z3789" t="str">
        <x:v>https://snpmb.id/utbk-snbt/daya-tampung-snbt</x:v>
      </x:c>
      <x:c r="AA3789" t="str">
        <x:v>Tidak Ada</x:v>
      </x:c>
      <x:c r="AB3789" t="str">
        <x:v>Campus=55; Ratio=0.0; Prodi=45; RelDemand=1.2; Capacity=62.5</x:v>
      </x:c>
    </x:row>
    <x:row r="3790">
      <x:c r="A3790" t="n">
        <x:v>3787</x:v>
      </x:c>
      <x:c r="B3790" t="str">
        <x:v>PTN Akademik</x:v>
      </x:c>
      <x:c r="C3790" t="str">
        <x:v>UNIVERSITAS CENDERAWASIH</x:v>
      </x:c>
      <x:c r="D3790" t="str">
        <x:v>PEND. BHS. SASTRA IND. &amp; DAERAH</x:v>
      </x:c>
      <x:c r="E3790" t="str">
        <x:v>Sarjana</x:v>
      </x:c>
      <x:c r="F3790" s="18" t="n">
        <x:v>45</x:v>
      </x:c>
      <x:c r="G3790" s="18" t="n">
        <x:v>8</x:v>
      </x:c>
      <x:c r="H3790" s="19" t="n">
        <x:v>0.17777777777777778</x:v>
      </x:c>
      <x:c r="I3790" s="18" t="n">
        <x:f>ROUND(MIN(Model_Config_v3!$B$6,MAX(Q3790,R3790,S3790*Model_Config_v3!$B$4+T3790*Model_Config_v3!$B$5)),0)</x:f>
        <x:v>598</x:v>
      </x:c>
      <x:c r="J3790" s="18" t="n">
        <x:f>MIN(Model_Config_v3!$B$6,I3790+Model_Config_v3!$B$7)</x:f>
        <x:v>618</x:v>
      </x:c>
      <x:c r="K3790" s="20" t="n">
        <x:v>35.4</x:v>
      </x:c>
      <x:c r="L3790" t="str">
        <x:v>RELATIF LONGGAR</x:v>
      </x:c>
      <x:c r="M3790" t="str">
        <x:v>SEDANG+</x:v>
      </x:c>
      <x:c r="N3790" t="str">
        <x:v>REGULER</x:v>
      </x:c>
      <x:c r="O3790" t="str">
        <x:v>SOSHUM</x:v>
      </x:c>
      <x:c r="P3790" t="str">
        <x:v>PENDIDIKAN</x:v>
      </x:c>
      <x:c r="Q3790" s="18" t="n">
        <x:v>0</x:v>
      </x:c>
      <x:c r="R3790" s="18" t="n">
        <x:v>0</x:v>
      </x:c>
      <x:c r="S3790" s="18" t="n">
        <x:v>520</x:v>
      </x:c>
      <x:c r="T3790" s="18" t="n">
        <x:v>631</x:v>
      </x:c>
      <x:c r="U3790" s="18" t="n">
        <x:v>520</x:v>
      </x:c>
      <x:c r="V3790" s="20" t="n">
        <x:v>4.4</x:v>
      </x:c>
      <x:c r="W3790" s="20" t="n">
        <x:v>14.3</x:v>
      </x:c>
      <x:c r="X3790" s="20" t="n">
        <x:v>3.3</x:v>
      </x:c>
      <x:c r="Y3790" t="str">
        <x:v>Basis arsip 2025/2024</x:v>
      </x:c>
      <x:c r="Z3790" t="str">
        <x:v>https://snpmb.id/utbk-snbt/daya-tampung-snbt</x:v>
      </x:c>
      <x:c r="AA3790" t="str">
        <x:v>Tidak Ada</x:v>
      </x:c>
      <x:c r="AB3790" t="str">
        <x:v>Campus=55; Ratio=0.0; Prodi=45; RelDemand=9.5; Capacity=62.5</x:v>
      </x:c>
    </x:row>
    <x:row r="3791">
      <x:c r="A3791" t="n">
        <x:v>3788</x:v>
      </x:c>
      <x:c r="B3791" t="str">
        <x:v>PTN Akademik</x:v>
      </x:c>
      <x:c r="C3791" t="str">
        <x:v>UNIVERSITAS CENDERAWASIH</x:v>
      </x:c>
      <x:c r="D3791" t="str">
        <x:v>PEND. BAHASA INGGRIS</x:v>
      </x:c>
      <x:c r="E3791" t="str">
        <x:v>Sarjana</x:v>
      </x:c>
      <x:c r="F3791" s="18" t="n">
        <x:v>45</x:v>
      </x:c>
      <x:c r="G3791" s="18" t="n">
        <x:v>23</x:v>
      </x:c>
      <x:c r="H3791" s="19" t="n">
        <x:v>0.5111111111111111</x:v>
      </x:c>
      <x:c r="I3791" s="18" t="n">
        <x:f>ROUND(MIN(Model_Config_v3!$B$6,MAX(Q3791,R3791,S3791*Model_Config_v3!$B$4+T3791*Model_Config_v3!$B$5)),0)</x:f>
        <x:v>600</x:v>
      </x:c>
      <x:c r="J3791" s="18" t="n">
        <x:f>MIN(Model_Config_v3!$B$6,I3791+Model_Config_v3!$B$7)</x:f>
        <x:v>620</x:v>
      </x:c>
      <x:c r="K3791" s="20" t="n">
        <x:v>37.2</x:v>
      </x:c>
      <x:c r="L3791" t="str">
        <x:v>RELATIF LONGGAR</x:v>
      </x:c>
      <x:c r="M3791" t="str">
        <x:v>SEDANG+</x:v>
      </x:c>
      <x:c r="N3791" t="str">
        <x:v>REGULER</x:v>
      </x:c>
      <x:c r="O3791" t="str">
        <x:v>SOSHUM</x:v>
      </x:c>
      <x:c r="P3791" t="str">
        <x:v>PENDIDIKAN</x:v>
      </x:c>
      <x:c r="Q3791" s="18" t="n">
        <x:v>0</x:v>
      </x:c>
      <x:c r="R3791" s="18" t="n">
        <x:v>0</x:v>
      </x:c>
      <x:c r="S3791" s="18" t="n">
        <x:v>520</x:v>
      </x:c>
      <x:c r="T3791" s="18" t="n">
        <x:v>634</x:v>
      </x:c>
      <x:c r="U3791" s="18" t="n">
        <x:v>520</x:v>
      </x:c>
      <x:c r="V3791" s="20" t="n">
        <x:v>4.4</x:v>
      </x:c>
      <x:c r="W3791" s="20" t="n">
        <x:v>14.3</x:v>
      </x:c>
      <x:c r="X3791" s="20" t="n">
        <x:v>3.3</x:v>
      </x:c>
      <x:c r="Y3791" t="str">
        <x:v>Basis arsip 2025/2024</x:v>
      </x:c>
      <x:c r="Z3791" t="str">
        <x:v>https://snpmb.id/utbk-snbt/daya-tampung-snbt</x:v>
      </x:c>
      <x:c r="AA3791" t="str">
        <x:v>Tidak Ada</x:v>
      </x:c>
      <x:c r="AB3791" t="str">
        <x:v>Campus=55; Ratio=0.0; Prodi=45; RelDemand=27.2; Capacity=62.5</x:v>
      </x:c>
    </x:row>
    <x:row r="3792">
      <x:c r="A3792" t="n">
        <x:v>3789</x:v>
      </x:c>
      <x:c r="B3792" t="str">
        <x:v>PTN Akademik</x:v>
      </x:c>
      <x:c r="C3792" t="str">
        <x:v>UNIVERSITAS CENDERAWASIH</x:v>
      </x:c>
      <x:c r="D3792" t="str">
        <x:v>HUBUNGAN INTERNASIONAL</x:v>
      </x:c>
      <x:c r="E3792" t="str">
        <x:v>Sarjana</x:v>
      </x:c>
      <x:c r="F3792" s="18" t="n">
        <x:v>36</x:v>
      </x:c>
      <x:c r="G3792" s="18" t="n">
        <x:v>22</x:v>
      </x:c>
      <x:c r="H3792" s="19" t="n">
        <x:v>0.6111111111111112</x:v>
      </x:c>
      <x:c r="I3792" s="18" t="n">
        <x:f>ROUND(MIN(Model_Config_v3!$B$6,MAX(Q3792,R3792,S3792*Model_Config_v3!$B$4+T3792*Model_Config_v3!$B$5)),0)</x:f>
        <x:v>601</x:v>
      </x:c>
      <x:c r="J3792" s="18" t="n">
        <x:f>MIN(Model_Config_v3!$B$6,I3792+Model_Config_v3!$B$7)</x:f>
        <x:v>621</x:v>
      </x:c>
      <x:c r="K3792" s="20" t="n">
        <x:v>37.5</x:v>
      </x:c>
      <x:c r="L3792" t="str">
        <x:v>RELATIF LONGGAR</x:v>
      </x:c>
      <x:c r="M3792" t="str">
        <x:v>SEDANG</x:v>
      </x:c>
      <x:c r="N3792" t="str">
        <x:v>REGULER</x:v>
      </x:c>
      <x:c r="O3792" t="str">
        <x:v>SOSHUM</x:v>
      </x:c>
      <x:c r="P3792" t="str">
        <x:v>UMUM</x:v>
      </x:c>
      <x:c r="Q3792" s="18" t="n">
        <x:v>0</x:v>
      </x:c>
      <x:c r="R3792" s="18" t="n">
        <x:v>0</x:v>
      </x:c>
      <x:c r="S3792" s="18" t="n">
        <x:v>520</x:v>
      </x:c>
      <x:c r="T3792" s="18" t="n">
        <x:v>635</x:v>
      </x:c>
      <x:c r="U3792" s="18" t="n">
        <x:v>520</x:v>
      </x:c>
      <x:c r="V3792" s="20" t="n">
        <x:v>4.4</x:v>
      </x:c>
      <x:c r="W3792" s="20" t="n">
        <x:v>14.3</x:v>
      </x:c>
      <x:c r="X3792" s="20" t="n">
        <x:v>3.3</x:v>
      </x:c>
      <x:c r="Y3792" t="str">
        <x:v>Basis arsip 2025/2024</x:v>
      </x:c>
      <x:c r="Z3792" t="str">
        <x:v>https://snpmb.id/utbk-snbt/daya-tampung-snbt</x:v>
      </x:c>
      <x:c r="AA3792" t="str">
        <x:v>Tidak Ada</x:v>
      </x:c>
      <x:c r="AB3792" t="str">
        <x:v>Campus=55; Ratio=0.0; Prodi=40; RelDemand=32.5; Capacity=70.0</x:v>
      </x:c>
    </x:row>
    <x:row r="3793">
      <x:c r="A3793" t="n">
        <x:v>3790</x:v>
      </x:c>
      <x:c r="B3793" t="str">
        <x:v>PTN Akademik</x:v>
      </x:c>
      <x:c r="C3793" t="str">
        <x:v>UNIVERSITAS CENDERAWASIH</x:v>
      </x:c>
      <x:c r="D3793" t="str">
        <x:v>PENDIDIKAN GURU SEKOLAH DASAR</x:v>
      </x:c>
      <x:c r="E3793" t="str">
        <x:v>Sarjana</x:v>
      </x:c>
      <x:c r="F3793" s="18" t="n">
        <x:v>45</x:v>
      </x:c>
      <x:c r="G3793" s="18" t="n">
        <x:v>31</x:v>
      </x:c>
      <x:c r="H3793" s="19" t="n">
        <x:v>0.6888888888888889</x:v>
      </x:c>
      <x:c r="I3793" s="18" t="n">
        <x:f>ROUND(MIN(Model_Config_v3!$B$6,MAX(Q3793,R3793,S3793*Model_Config_v3!$B$4+T3793*Model_Config_v3!$B$5)),0)</x:f>
        <x:v>601</x:v>
      </x:c>
      <x:c r="J3793" s="18" t="n">
        <x:f>MIN(Model_Config_v3!$B$6,I3793+Model_Config_v3!$B$7)</x:f>
        <x:v>621</x:v>
      </x:c>
      <x:c r="K3793" s="20" t="n">
        <x:v>38.2</x:v>
      </x:c>
      <x:c r="L3793" t="str">
        <x:v>RELATIF LONGGAR</x:v>
      </x:c>
      <x:c r="M3793" t="str">
        <x:v>SEDANG+</x:v>
      </x:c>
      <x:c r="N3793" t="str">
        <x:v>REGULER</x:v>
      </x:c>
      <x:c r="O3793" t="str">
        <x:v>CAMPURAN</x:v>
      </x:c>
      <x:c r="P3793" t="str">
        <x:v>PENDIDIKAN</x:v>
      </x:c>
      <x:c r="Q3793" s="18" t="n">
        <x:v>0</x:v>
      </x:c>
      <x:c r="R3793" s="18" t="n">
        <x:v>0</x:v>
      </x:c>
      <x:c r="S3793" s="18" t="n">
        <x:v>520</x:v>
      </x:c>
      <x:c r="T3793" s="18" t="n">
        <x:v>636</x:v>
      </x:c>
      <x:c r="U3793" s="18" t="n">
        <x:v>520</x:v>
      </x:c>
      <x:c r="V3793" s="20" t="n">
        <x:v>8.8</x:v>
      </x:c>
      <x:c r="W3793" s="20" t="n">
        <x:v>9.9</x:v>
      </x:c>
      <x:c r="X3793" s="20" t="n">
        <x:v>3.3</x:v>
      </x:c>
      <x:c r="Y3793" t="str">
        <x:v>Basis arsip 2025/2024</x:v>
      </x:c>
      <x:c r="Z3793" t="str">
        <x:v>https://snpmb.id/utbk-snbt/daya-tampung-snbt</x:v>
      </x:c>
      <x:c r="AA3793" t="str">
        <x:v>Tidak Ada</x:v>
      </x:c>
      <x:c r="AB3793" t="str">
        <x:v>Campus=55; Ratio=0.0; Prodi=45; RelDemand=36.6; Capacity=62.5</x:v>
      </x:c>
    </x:row>
    <x:row r="3794">
      <x:c r="A3794" t="n">
        <x:v>3791</x:v>
      </x:c>
      <x:c r="B3794" t="str">
        <x:v>PTN Akademik</x:v>
      </x:c>
      <x:c r="C3794" t="str">
        <x:v>UNIVERSITAS CENDERAWASIH</x:v>
      </x:c>
      <x:c r="D3794" t="str">
        <x:v>PENDIDKAN JASMANI KESEHATAN REKREASI</x:v>
      </x:c>
      <x:c r="E3794" t="str">
        <x:v>Sarjana</x:v>
      </x:c>
      <x:c r="F3794" s="18" t="n">
        <x:v>45</x:v>
      </x:c>
      <x:c r="G3794" s="18"/>
      <x:c r="H3794" s="19" t="n">
        <x:v>0</x:v>
      </x:c>
      <x:c r="I3794" s="18" t="n">
        <x:f>ROUND(MIN(Model_Config_v3!$B$6,MAX(Q3794,R3794,S3794*Model_Config_v3!$B$4+T3794*Model_Config_v3!$B$5)),0)</x:f>
        <x:v>596</x:v>
      </x:c>
      <x:c r="J3794" s="18" t="n">
        <x:f>MIN(Model_Config_v3!$B$6,I3794+Model_Config_v3!$B$7)</x:f>
        <x:v>616</x:v>
      </x:c>
      <x:c r="K3794" s="20" t="n">
        <x:v>34.5</x:v>
      </x:c>
      <x:c r="L3794" t="str">
        <x:v>RELATIF LONGGAR</x:v>
      </x:c>
      <x:c r="M3794" t="str">
        <x:v>PORTOFOLIO</x:v>
      </x:c>
      <x:c r="N3794" t="str">
        <x:v>REGULER</x:v>
      </x:c>
      <x:c r="O3794" t="str">
        <x:v>SENI/OLAHRAGA</x:v>
      </x:c>
      <x:c r="P3794" t="str">
        <x:v>SENI/OLAHRAGA</x:v>
      </x:c>
      <x:c r="Q3794" s="18" t="n">
        <x:v>0</x:v>
      </x:c>
      <x:c r="R3794" s="18" t="n">
        <x:v>0</x:v>
      </x:c>
      <x:c r="S3794" s="18" t="n">
        <x:v>520</x:v>
      </x:c>
      <x:c r="T3794" s="18" t="n">
        <x:v>629</x:v>
      </x:c>
      <x:c r="U3794" s="18" t="n">
        <x:v>520</x:v>
      </x:c>
      <x:c r="V3794" s="20" t="n">
        <x:v>4.4</x:v>
      </x:c>
      <x:c r="W3794" s="20" t="n">
        <x:v>9.9</x:v>
      </x:c>
      <x:c r="X3794" s="20" t="n">
        <x:v>7.7</x:v>
      </x:c>
      <x:c r="Y3794" t="str">
        <x:v>Basis arsip 2025/2024</x:v>
      </x:c>
      <x:c r="Z3794" t="str">
        <x:v>https://snpmb.id/utbk-snbt/daya-tampung-snbt</x:v>
      </x:c>
      <x:c r="AA3794" t="str">
        <x:v>Olahraga</x:v>
      </x:c>
      <x:c r="AB3794" t="str">
        <x:v>Campus=55; Ratio=0.0; Prodi=45; RelDemand=0.0; Capacity=62.5</x:v>
      </x:c>
    </x:row>
    <x:row r="3795">
      <x:c r="A3795" t="n">
        <x:v>3792</x:v>
      </x:c>
      <x:c r="B3795" t="str">
        <x:v>PTN Akademik</x:v>
      </x:c>
      <x:c r="C3795" t="str">
        <x:v>UNIVERSITAS CENDERAWASIH</x:v>
      </x:c>
      <x:c r="D3795" t="str">
        <x:v>PG PAUD</x:v>
      </x:c>
      <x:c r="E3795" t="str">
        <x:v>Sarjana</x:v>
      </x:c>
      <x:c r="F3795" s="18" t="n">
        <x:v>45</x:v>
      </x:c>
      <x:c r="G3795" s="18" t="n">
        <x:v>5</x:v>
      </x:c>
      <x:c r="H3795" s="19" t="n">
        <x:v>0.1111111111111111</x:v>
      </x:c>
      <x:c r="I3795" s="18" t="n">
        <x:f>ROUND(MIN(Model_Config_v3!$B$6,MAX(Q3795,R3795,S3795*Model_Config_v3!$B$4+T3795*Model_Config_v3!$B$5)),0)</x:f>
        <x:v>596</x:v>
      </x:c>
      <x:c r="J3795" s="18" t="n">
        <x:f>MIN(Model_Config_v3!$B$6,I3795+Model_Config_v3!$B$7)</x:f>
        <x:v>616</x:v>
      </x:c>
      <x:c r="K3795" s="20" t="n">
        <x:v>34.1</x:v>
      </x:c>
      <x:c r="L3795" t="str">
        <x:v>RELATIF LONGGAR</x:v>
      </x:c>
      <x:c r="M3795" t="str">
        <x:v>SEDANG</x:v>
      </x:c>
      <x:c r="N3795" t="str">
        <x:v>REGULER</x:v>
      </x:c>
      <x:c r="O3795" t="str">
        <x:v>CAMPURAN</x:v>
      </x:c>
      <x:c r="P3795" t="str">
        <x:v>UMUM</x:v>
      </x:c>
      <x:c r="Q3795" s="18" t="n">
        <x:v>0</x:v>
      </x:c>
      <x:c r="R3795" s="18" t="n">
        <x:v>0</x:v>
      </x:c>
      <x:c r="S3795" s="18" t="n">
        <x:v>520</x:v>
      </x:c>
      <x:c r="T3795" s="18" t="n">
        <x:v>628</x:v>
      </x:c>
      <x:c r="U3795" s="18" t="n">
        <x:v>520</x:v>
      </x:c>
      <x:c r="V3795" s="20" t="n">
        <x:v>8.8</x:v>
      </x:c>
      <x:c r="W3795" s="20" t="n">
        <x:v>9.9</x:v>
      </x:c>
      <x:c r="X3795" s="20" t="n">
        <x:v>3.3</x:v>
      </x:c>
      <x:c r="Y3795" t="str">
        <x:v>Basis arsip 2025/2024</x:v>
      </x:c>
      <x:c r="Z3795" t="str">
        <x:v>https://snpmb.id/utbk-snbt/daya-tampung-snbt</x:v>
      </x:c>
      <x:c r="AA3795" t="str">
        <x:v>Tidak Ada</x:v>
      </x:c>
      <x:c r="AB3795" t="str">
        <x:v>Campus=55; Ratio=0.0; Prodi=40; RelDemand=5.9; Capacity=62.5</x:v>
      </x:c>
    </x:row>
    <x:row r="3796">
      <x:c r="A3796" t="n">
        <x:v>3793</x:v>
      </x:c>
      <x:c r="B3796" t="str">
        <x:v>PTN Akademik</x:v>
      </x:c>
      <x:c r="C3796" t="str">
        <x:v>UNIVERSITAS CENDERAWASIH</x:v>
      </x:c>
      <x:c r="D3796" t="str">
        <x:v>ILMU PERPUSTAKAAN</x:v>
      </x:c>
      <x:c r="E3796" t="str">
        <x:v>Sarjana</x:v>
      </x:c>
      <x:c r="F3796" s="18" t="n">
        <x:v>36</x:v>
      </x:c>
      <x:c r="G3796" s="18" t="n">
        <x:v>1</x:v>
      </x:c>
      <x:c r="H3796" s="19" t="n">
        <x:v>0.027777777777777776</x:v>
      </x:c>
      <x:c r="I3796" s="18" t="n">
        <x:f>ROUND(MIN(Model_Config_v3!$B$6,MAX(Q3796,R3796,S3796*Model_Config_v3!$B$4+T3796*Model_Config_v3!$B$5)),0)</x:f>
        <x:v>596</x:v>
      </x:c>
      <x:c r="J3796" s="18" t="n">
        <x:f>MIN(Model_Config_v3!$B$6,I3796+Model_Config_v3!$B$7)</x:f>
        <x:v>616</x:v>
      </x:c>
      <x:c r="K3796" s="20" t="n">
        <x:v>34.4</x:v>
      </x:c>
      <x:c r="L3796" t="str">
        <x:v>RELATIF LONGGAR</x:v>
      </x:c>
      <x:c r="M3796" t="str">
        <x:v>SEDANG</x:v>
      </x:c>
      <x:c r="N3796" t="str">
        <x:v>REGULER</x:v>
      </x:c>
      <x:c r="O3796" t="str">
        <x:v>CAMPURAN</x:v>
      </x:c>
      <x:c r="P3796" t="str">
        <x:v>UMUM</x:v>
      </x:c>
      <x:c r="Q3796" s="18" t="n">
        <x:v>0</x:v>
      </x:c>
      <x:c r="R3796" s="18" t="n">
        <x:v>0</x:v>
      </x:c>
      <x:c r="S3796" s="18" t="n">
        <x:v>520</x:v>
      </x:c>
      <x:c r="T3796" s="18" t="n">
        <x:v>629</x:v>
      </x:c>
      <x:c r="U3796" s="18" t="n">
        <x:v>520</x:v>
      </x:c>
      <x:c r="V3796" s="20" t="n">
        <x:v>8.8</x:v>
      </x:c>
      <x:c r="W3796" s="20" t="n">
        <x:v>9.9</x:v>
      </x:c>
      <x:c r="X3796" s="20" t="n">
        <x:v>3.3</x:v>
      </x:c>
      <x:c r="Y3796" t="str">
        <x:v>Basis arsip 2025/2024</x:v>
      </x:c>
      <x:c r="Z3796" t="str">
        <x:v>https://snpmb.id/utbk-snbt/daya-tampung-snbt</x:v>
      </x:c>
      <x:c r="AA3796" t="str">
        <x:v>Tidak Ada</x:v>
      </x:c>
      <x:c r="AB3796" t="str">
        <x:v>Campus=55; Ratio=0.0; Prodi=40; RelDemand=1.5; Capacity=70.0</x:v>
      </x:c>
    </x:row>
    <x:row r="3797">
      <x:c r="A3797" t="n">
        <x:v>3794</x:v>
      </x:c>
      <x:c r="B3797" t="str">
        <x:v>PTN Akademik</x:v>
      </x:c>
      <x:c r="C3797" t="str">
        <x:v>UNIVERSITAS CENDERAWASIH</x:v>
      </x:c>
      <x:c r="D3797" t="str">
        <x:v>MANAJEMEN ADMINISTRASI PERKANTORAN</x:v>
      </x:c>
      <x:c r="E3797" t="str">
        <x:v>Sarjana</x:v>
      </x:c>
      <x:c r="F3797" s="18" t="n">
        <x:v>36</x:v>
      </x:c>
      <x:c r="G3797" s="18" t="n">
        <x:v>26</x:v>
      </x:c>
      <x:c r="H3797" s="19" t="n">
        <x:v>0.7222222222222222</x:v>
      </x:c>
      <x:c r="I3797" s="18" t="n">
        <x:f>ROUND(MIN(Model_Config_v3!$B$6,MAX(Q3797,R3797,S3797*Model_Config_v3!$B$4+T3797*Model_Config_v3!$B$5)),0)</x:f>
        <x:v>608</x:v>
      </x:c>
      <x:c r="J3797" s="18" t="n">
        <x:f>MIN(Model_Config_v3!$B$6,I3797+Model_Config_v3!$B$7)</x:f>
        <x:v>628</x:v>
      </x:c>
      <x:c r="K3797" s="20" t="n">
        <x:v>43.1</x:v>
      </x:c>
      <x:c r="L3797" t="str">
        <x:v>RELATIF LONGGAR</x:v>
      </x:c>
      <x:c r="M3797" t="str">
        <x:v>SEDANG+</x:v>
      </x:c>
      <x:c r="N3797" t="str">
        <x:v>REGULER</x:v>
      </x:c>
      <x:c r="O3797" t="str">
        <x:v>SOSHUM</x:v>
      </x:c>
      <x:c r="P3797" t="str">
        <x:v>BISNIS/EKONOMI/AKUNTANSI</x:v>
      </x:c>
      <x:c r="Q3797" s="18" t="n">
        <x:v>0</x:v>
      </x:c>
      <x:c r="R3797" s="18" t="n">
        <x:v>0</x:v>
      </x:c>
      <x:c r="S3797" s="18" t="n">
        <x:v>520</x:v>
      </x:c>
      <x:c r="T3797" s="18" t="n">
        <x:v>646</x:v>
      </x:c>
      <x:c r="U3797" s="18" t="n">
        <x:v>535</x:v>
      </x:c>
      <x:c r="V3797" s="20" t="n">
        <x:v>4.4</x:v>
      </x:c>
      <x:c r="W3797" s="20" t="n">
        <x:v>14.3</x:v>
      </x:c>
      <x:c r="X3797" s="20" t="n">
        <x:v>3.3</x:v>
      </x:c>
      <x:c r="Y3797" t="str">
        <x:v>Basis arsip 2025/2024</x:v>
      </x:c>
      <x:c r="Z3797" t="str">
        <x:v>https://snpmb.id/utbk-snbt/daya-tampung-snbt</x:v>
      </x:c>
      <x:c r="AA3797" t="str">
        <x:v>Tidak Ada</x:v>
      </x:c>
      <x:c r="AB3797" t="str">
        <x:v>Campus=55; Ratio=0.0; Prodi=65; RelDemand=38.4; Capacity=70.0</x:v>
      </x:c>
    </x:row>
    <x:row r="3798">
      <x:c r="A3798" t="n">
        <x:v>3795</x:v>
      </x:c>
      <x:c r="B3798" t="str">
        <x:v>PTN Akademik</x:v>
      </x:c>
      <x:c r="C3798" t="str">
        <x:v>UNIVERSITAS CENDERAWASIH</x:v>
      </x:c>
      <x:c r="D3798" t="str">
        <x:v>MANAJEMEN PENDIDIKAN</x:v>
      </x:c>
      <x:c r="E3798" t="str">
        <x:v>Sarjana</x:v>
      </x:c>
      <x:c r="F3798" s="18" t="n">
        <x:v>45</x:v>
      </x:c>
      <x:c r="G3798" s="18" t="n">
        <x:v>1</x:v>
      </x:c>
      <x:c r="H3798" s="19" t="n">
        <x:v>0.022222222222222223</x:v>
      </x:c>
      <x:c r="I3798" s="18" t="n">
        <x:f>ROUND(MIN(Model_Config_v3!$B$6,MAX(Q3798,R3798,S3798*Model_Config_v3!$B$4+T3798*Model_Config_v3!$B$5)),0)</x:f>
        <x:v>602</x:v>
      </x:c>
      <x:c r="J3798" s="18" t="n">
        <x:f>MIN(Model_Config_v3!$B$6,I3798+Model_Config_v3!$B$7)</x:f>
        <x:v>622</x:v>
      </x:c>
      <x:c r="K3798" s="20" t="n">
        <x:v>38.6</x:v>
      </x:c>
      <x:c r="L3798" t="str">
        <x:v>RELATIF LONGGAR</x:v>
      </x:c>
      <x:c r="M3798" t="str">
        <x:v>SEDANG+</x:v>
      </x:c>
      <x:c r="N3798" t="str">
        <x:v>REGULER</x:v>
      </x:c>
      <x:c r="O3798" t="str">
        <x:v>SOSHUM</x:v>
      </x:c>
      <x:c r="P3798" t="str">
        <x:v>BISNIS/EKONOMI/AKUNTANSI</x:v>
      </x:c>
      <x:c r="Q3798" s="18" t="n">
        <x:v>0</x:v>
      </x:c>
      <x:c r="R3798" s="18" t="n">
        <x:v>0</x:v>
      </x:c>
      <x:c r="S3798" s="18" t="n">
        <x:v>520</x:v>
      </x:c>
      <x:c r="T3798" s="18" t="n">
        <x:v>637</x:v>
      </x:c>
      <x:c r="U3798" s="18" t="n">
        <x:v>535</x:v>
      </x:c>
      <x:c r="V3798" s="20" t="n">
        <x:v>4.4</x:v>
      </x:c>
      <x:c r="W3798" s="20" t="n">
        <x:v>14.3</x:v>
      </x:c>
      <x:c r="X3798" s="20" t="n">
        <x:v>3.3</x:v>
      </x:c>
      <x:c r="Y3798" t="str">
        <x:v>Basis arsip 2025/2024</x:v>
      </x:c>
      <x:c r="Z3798" t="str">
        <x:v>https://snpmb.id/utbk-snbt/daya-tampung-snbt</x:v>
      </x:c>
      <x:c r="AA3798" t="str">
        <x:v>Tidak Ada</x:v>
      </x:c>
      <x:c r="AB3798" t="str">
        <x:v>Campus=55; Ratio=0.0; Prodi=65; RelDemand=1.2; Capacity=62.5</x:v>
      </x:c>
    </x:row>
    <x:row r="3799">
      <x:c r="A3799" t="n">
        <x:v>3796</x:v>
      </x:c>
      <x:c r="B3799" t="str">
        <x:v>PTN Akademik</x:v>
      </x:c>
      <x:c r="C3799" t="str">
        <x:v>UNIVERSITAS CENDERAWASIH</x:v>
      </x:c>
      <x:c r="D3799" t="str">
        <x:v>PENDIDIKAN KEPELATIHAN OLAHRAGA</x:v>
      </x:c>
      <x:c r="E3799" t="str">
        <x:v>Sarjana</x:v>
      </x:c>
      <x:c r="F3799" s="18" t="n">
        <x:v>90</x:v>
      </x:c>
      <x:c r="G3799" s="18" t="n">
        <x:v>2</x:v>
      </x:c>
      <x:c r="H3799" s="19" t="n">
        <x:v>0.022222222222222223</x:v>
      </x:c>
      <x:c r="I3799" s="18" t="n">
        <x:f>ROUND(MIN(Model_Config_v3!$B$6,MAX(Q3799,R3799,S3799*Model_Config_v3!$B$4+T3799*Model_Config_v3!$B$5)),0)</x:f>
        <x:v>591</x:v>
      </x:c>
      <x:c r="J3799" s="18" t="n">
        <x:f>MIN(Model_Config_v3!$B$6,I3799+Model_Config_v3!$B$7)</x:f>
        <x:v>611</x:v>
      </x:c>
      <x:c r="K3799" s="20" t="n">
        <x:v>30.9</x:v>
      </x:c>
      <x:c r="L3799" t="str">
        <x:v>RELATIF LONGGAR</x:v>
      </x:c>
      <x:c r="M3799" t="str">
        <x:v>PORTOFOLIO</x:v>
      </x:c>
      <x:c r="N3799" t="str">
        <x:v>REGULER</x:v>
      </x:c>
      <x:c r="O3799" t="str">
        <x:v>SENI/OLAHRAGA</x:v>
      </x:c>
      <x:c r="P3799" t="str">
        <x:v>SENI/OLAHRAGA</x:v>
      </x:c>
      <x:c r="Q3799" s="18" t="n">
        <x:v>0</x:v>
      </x:c>
      <x:c r="R3799" s="18" t="n">
        <x:v>0</x:v>
      </x:c>
      <x:c r="S3799" s="18" t="n">
        <x:v>520</x:v>
      </x:c>
      <x:c r="T3799" s="18" t="n">
        <x:v>622</x:v>
      </x:c>
      <x:c r="U3799" s="18" t="n">
        <x:v>520</x:v>
      </x:c>
      <x:c r="V3799" s="20" t="n">
        <x:v>4.4</x:v>
      </x:c>
      <x:c r="W3799" s="20" t="n">
        <x:v>9.9</x:v>
      </x:c>
      <x:c r="X3799" s="20" t="n">
        <x:v>7.7</x:v>
      </x:c>
      <x:c r="Y3799" t="str">
        <x:v>Basis arsip 2025/2024</x:v>
      </x:c>
      <x:c r="Z3799" t="str">
        <x:v>https://snpmb.id/utbk-snbt/daya-tampung-snbt</x:v>
      </x:c>
      <x:c r="AA3799" t="str">
        <x:v>Olahraga</x:v>
      </x:c>
      <x:c r="AB3799" t="str">
        <x:v>Campus=55; Ratio=0.0; Prodi=45; RelDemand=1.2; Capacity=25.0</x:v>
      </x:c>
    </x:row>
    <x:row r="3800">
      <x:c r="A3800" t="n">
        <x:v>3797</x:v>
      </x:c>
      <x:c r="B3800" t="str">
        <x:v>PTN Akademik</x:v>
      </x:c>
      <x:c r="C3800" t="str">
        <x:v>UNIVERSITAS CENDERAWASIH</x:v>
      </x:c>
      <x:c r="D3800" t="str">
        <x:v>TEKNIK GEOLOGI</x:v>
      </x:c>
      <x:c r="E3800" t="str">
        <x:v>Sarjana</x:v>
      </x:c>
      <x:c r="F3800" s="18" t="n">
        <x:v>23</x:v>
      </x:c>
      <x:c r="G3800" s="18" t="n">
        <x:v>13</x:v>
      </x:c>
      <x:c r="H3800" s="19" t="n">
        <x:v>0.5652173913043478</x:v>
      </x:c>
      <x:c r="I3800" s="18" t="n">
        <x:f>ROUND(MIN(Model_Config_v3!$B$6,MAX(Q3800,R3800,S3800*Model_Config_v3!$B$4+T3800*Model_Config_v3!$B$5)),0)</x:f>
        <x:v>608</x:v>
      </x:c>
      <x:c r="J3800" s="18" t="n">
        <x:f>MIN(Model_Config_v3!$B$6,I3800+Model_Config_v3!$B$7)</x:f>
        <x:v>628</x:v>
      </x:c>
      <x:c r="K3800" s="20" t="n">
        <x:v>42.3</x:v>
      </x:c>
      <x:c r="L3800" t="str">
        <x:v>RELATIF LONGGAR</x:v>
      </x:c>
      <x:c r="M3800" t="str">
        <x:v>SEDANG+</x:v>
      </x:c>
      <x:c r="N3800" t="str">
        <x:v>REGULER</x:v>
      </x:c>
      <x:c r="O3800" t="str">
        <x:v>SAINTEK</x:v>
      </x:c>
      <x:c r="P3800" t="str">
        <x:v>TEKNIK/ARSITEKTUR/STATISTIKA/AKTUARIA</x:v>
      </x:c>
      <x:c r="Q3800" s="18" t="n">
        <x:v>0</x:v>
      </x:c>
      <x:c r="R3800" s="18" t="n">
        <x:v>0</x:v>
      </x:c>
      <x:c r="S3800" s="18" t="n">
        <x:v>520</x:v>
      </x:c>
      <x:c r="T3800" s="18" t="n">
        <x:v>645</x:v>
      </x:c>
      <x:c r="U3800" s="18" t="n">
        <x:v>530</x:v>
      </x:c>
      <x:c r="V3800" s="20" t="n">
        <x:v>12</x:v>
      </x:c>
      <x:c r="W3800" s="20" t="n">
        <x:v>5</x:v>
      </x:c>
      <x:c r="X3800" s="20" t="n">
        <x:v>3</x:v>
      </x:c>
      <x:c r="Y3800" t="str">
        <x:v>Basis arsip 2025/2024</x:v>
      </x:c>
      <x:c r="Z3800" t="str">
        <x:v>https://snpmb.id/utbk-snbt/daya-tampung-snbt</x:v>
      </x:c>
      <x:c r="AA3800" t="str">
        <x:v>Tidak Ada</x:v>
      </x:c>
      <x:c r="AB3800" t="str">
        <x:v>Campus=55; Ratio=0.0; Prodi=60; RelDemand=30.0; Capacity=80.8</x:v>
      </x:c>
    </x:row>
    <x:row r="3801">
      <x:c r="A3801" t="n">
        <x:v>3798</x:v>
      </x:c>
      <x:c r="B3801" t="str">
        <x:v>PTN Akademik</x:v>
      </x:c>
      <x:c r="C3801" t="str">
        <x:v>UNIVERSITAS CENDERAWASIH</x:v>
      </x:c>
      <x:c r="D3801" t="str">
        <x:v>TEKNOLOGI PANGAN</x:v>
      </x:c>
      <x:c r="E3801" t="str">
        <x:v>Sarjana</x:v>
      </x:c>
      <x:c r="F3801" s="18" t="n">
        <x:v>23</x:v>
      </x:c>
      <x:c r="G3801" s="18" t="n">
        <x:v>2</x:v>
      </x:c>
      <x:c r="H3801" s="19" t="n">
        <x:v>0.08695652173913043</x:v>
      </x:c>
      <x:c r="I3801" s="18" t="n">
        <x:f>ROUND(MIN(Model_Config_v3!$B$6,MAX(Q3801,R3801,S3801*Model_Config_v3!$B$4+T3801*Model_Config_v3!$B$5)),0)</x:f>
        <x:v>598</x:v>
      </x:c>
      <x:c r="J3801" s="18" t="n">
        <x:f>MIN(Model_Config_v3!$B$6,I3801+Model_Config_v3!$B$7)</x:f>
        <x:v>618</x:v>
      </x:c>
      <x:c r="K3801" s="20" t="n">
        <x:v>35.8</x:v>
      </x:c>
      <x:c r="L3801" t="str">
        <x:v>RELATIF LONGGAR</x:v>
      </x:c>
      <x:c r="M3801" t="str">
        <x:v>SEDANG</x:v>
      </x:c>
      <x:c r="N3801" t="str">
        <x:v>REGULER</x:v>
      </x:c>
      <x:c r="O3801" t="str">
        <x:v>SAINTEK</x:v>
      </x:c>
      <x:c r="P3801" t="str">
        <x:v>UMUM</x:v>
      </x:c>
      <x:c r="Q3801" s="18" t="n">
        <x:v>0</x:v>
      </x:c>
      <x:c r="R3801" s="18" t="n">
        <x:v>0</x:v>
      </x:c>
      <x:c r="S3801" s="18" t="n">
        <x:v>520</x:v>
      </x:c>
      <x:c r="T3801" s="18" t="n">
        <x:v>632</x:v>
      </x:c>
      <x:c r="U3801" s="18" t="n">
        <x:v>520</x:v>
      </x:c>
      <x:c r="V3801" s="20" t="n">
        <x:v>12</x:v>
      </x:c>
      <x:c r="W3801" s="20" t="n">
        <x:v>5</x:v>
      </x:c>
      <x:c r="X3801" s="20" t="n">
        <x:v>3</x:v>
      </x:c>
      <x:c r="Y3801" t="str">
        <x:v>Basis arsip 2025/2024</x:v>
      </x:c>
      <x:c r="Z3801" t="str">
        <x:v>https://snpmb.id/utbk-snbt/daya-tampung-snbt</x:v>
      </x:c>
      <x:c r="AA3801" t="str">
        <x:v>Tidak Ada</x:v>
      </x:c>
      <x:c r="AB3801" t="str">
        <x:v>Campus=55; Ratio=0.0; Prodi=40; RelDemand=4.6; Capacity=80.8</x:v>
      </x:c>
    </x:row>
    <x:row r="3802">
      <x:c r="A3802" t="n">
        <x:v>3799</x:v>
      </x:c>
      <x:c r="B3802" t="str">
        <x:v>PTN Akademik</x:v>
      </x:c>
      <x:c r="C3802" t="str">
        <x:v>UNIVERSITAS CENDERAWASIH</x:v>
      </x:c>
      <x:c r="D3802" t="str">
        <x:v>SOSIOLOGI</x:v>
      </x:c>
      <x:c r="E3802" t="str">
        <x:v>Sarjana</x:v>
      </x:c>
      <x:c r="F3802" s="18" t="n">
        <x:v>36</x:v>
      </x:c>
      <x:c r="G3802" s="18" t="n">
        <x:v>1</x:v>
      </x:c>
      <x:c r="H3802" s="19" t="n">
        <x:v>0.027777777777777776</x:v>
      </x:c>
      <x:c r="I3802" s="18" t="n">
        <x:f>ROUND(MIN(Model_Config_v3!$B$6,MAX(Q3802,R3802,S3802*Model_Config_v3!$B$4+T3802*Model_Config_v3!$B$5)),0)</x:f>
        <x:v>596</x:v>
      </x:c>
      <x:c r="J3802" s="18" t="n">
        <x:f>MIN(Model_Config_v3!$B$6,I3802+Model_Config_v3!$B$7)</x:f>
        <x:v>616</x:v>
      </x:c>
      <x:c r="K3802" s="20" t="n">
        <x:v>34.4</x:v>
      </x:c>
      <x:c r="L3802" t="str">
        <x:v>RELATIF LONGGAR</x:v>
      </x:c>
      <x:c r="M3802" t="str">
        <x:v>SEDANG</x:v>
      </x:c>
      <x:c r="N3802" t="str">
        <x:v>REGULER</x:v>
      </x:c>
      <x:c r="O3802" t="str">
        <x:v>SOSHUM</x:v>
      </x:c>
      <x:c r="P3802" t="str">
        <x:v>UMUM</x:v>
      </x:c>
      <x:c r="Q3802" s="18" t="n">
        <x:v>0</x:v>
      </x:c>
      <x:c r="R3802" s="18" t="n">
        <x:v>0</x:v>
      </x:c>
      <x:c r="S3802" s="18" t="n">
        <x:v>520</x:v>
      </x:c>
      <x:c r="T3802" s="18" t="n">
        <x:v>629</x:v>
      </x:c>
      <x:c r="U3802" s="18" t="n">
        <x:v>520</x:v>
      </x:c>
      <x:c r="V3802" s="20" t="n">
        <x:v>4.4</x:v>
      </x:c>
      <x:c r="W3802" s="20" t="n">
        <x:v>14.3</x:v>
      </x:c>
      <x:c r="X3802" s="20" t="n">
        <x:v>3.3</x:v>
      </x:c>
      <x:c r="Y3802" t="str">
        <x:v>Basis arsip 2025/2024</x:v>
      </x:c>
      <x:c r="Z3802" t="str">
        <x:v>https://snpmb.id/utbk-snbt/daya-tampung-snbt</x:v>
      </x:c>
      <x:c r="AA3802" t="str">
        <x:v>Tidak Ada</x:v>
      </x:c>
      <x:c r="AB3802" t="str">
        <x:v>Campus=55; Ratio=0.0; Prodi=40; RelDemand=1.5; Capacity=70.0</x:v>
      </x:c>
    </x:row>
    <x:row r="3803">
      <x:c r="A3803" t="n">
        <x:v>3800</x:v>
      </x:c>
      <x:c r="B3803" t="str">
        <x:v>PTN Akademik</x:v>
      </x:c>
      <x:c r="C3803" t="str">
        <x:v>UNIVERSITAS CENDERAWASIH</x:v>
      </x:c>
      <x:c r="D3803" t="str">
        <x:v>TEKNIK MINERAL</x:v>
      </x:c>
      <x:c r="E3803" t="str">
        <x:v>Diploma Tiga</x:v>
      </x:c>
      <x:c r="F3803" s="18" t="n">
        <x:v>18</x:v>
      </x:c>
      <x:c r="G3803" s="18" t="n">
        <x:v>28</x:v>
      </x:c>
      <x:c r="H3803" s="19" t="n">
        <x:v>1.5555555555555556</x:v>
      </x:c>
      <x:c r="I3803" s="18" t="n">
        <x:f>ROUND(MIN(Model_Config_v3!$B$6,MAX(Q3803,R3803,S3803*Model_Config_v3!$B$4+T3803*Model_Config_v3!$B$5)),0)</x:f>
        <x:v>626</x:v>
      </x:c>
      <x:c r="J3803" s="18" t="n">
        <x:f>MIN(Model_Config_v3!$B$6,I3803+Model_Config_v3!$B$7)</x:f>
        <x:v>646</x:v>
      </x:c>
      <x:c r="K3803" s="20" t="n">
        <x:v>50.8</x:v>
      </x:c>
      <x:c r="L3803" t="str">
        <x:v>MENENGAH</x:v>
      </x:c>
      <x:c r="M3803" t="str">
        <x:v>SEDANG+</x:v>
      </x:c>
      <x:c r="N3803" t="str">
        <x:v>REGULER</x:v>
      </x:c>
      <x:c r="O3803" t="str">
        <x:v>SAINTEK</x:v>
      </x:c>
      <x:c r="P3803" t="str">
        <x:v>TEKNIK/ARSITEKTUR/STATISTIKA/AKTUARIA</x:v>
      </x:c>
      <x:c r="Q3803" s="18" t="n">
        <x:v>0</x:v>
      </x:c>
      <x:c r="R3803" s="18" t="n">
        <x:v>0</x:v>
      </x:c>
      <x:c r="S3803" s="18" t="n">
        <x:v>541.1074078862805</x:v>
      </x:c>
      <x:c r="T3803" s="18" t="n">
        <x:v>662</x:v>
      </x:c>
      <x:c r="U3803" s="18" t="n">
        <x:v>551.1074078862805</x:v>
      </x:c>
      <x:c r="V3803" s="20" t="n">
        <x:v>12</x:v>
      </x:c>
      <x:c r="W3803" s="20" t="n">
        <x:v>5</x:v>
      </x:c>
      <x:c r="X3803" s="20" t="n">
        <x:v>3</x:v>
      </x:c>
      <x:c r="Y3803" t="str">
        <x:v>Basis arsip 2025/2024</x:v>
      </x:c>
      <x:c r="Z3803" t="str">
        <x:v>https://snpmb.id/utbk-snbt/daya-tampung-snbt</x:v>
      </x:c>
      <x:c r="AA3803" t="str">
        <x:v>Tidak Ada</x:v>
      </x:c>
      <x:c r="AB3803" t="str">
        <x:v>Campus=55; Ratio=11.3; Prodi=60; RelDemand=82.7; Capacity=85.0</x:v>
      </x:c>
    </x:row>
    <x:row r="3804">
      <x:c r="A3804" t="n">
        <x:v>3801</x:v>
      </x:c>
      <x:c r="B3804" t="str">
        <x:v>PTN Akademik</x:v>
      </x:c>
      <x:c r="C3804" t="str">
        <x:v>UNIVERSITAS CENDERAWASIH</x:v>
      </x:c>
      <x:c r="D3804" t="str">
        <x:v>TEKNIK ELEKTRONIKA</x:v>
      </x:c>
      <x:c r="E3804" t="str">
        <x:v>Diploma Tiga</x:v>
      </x:c>
      <x:c r="F3804" s="18" t="n">
        <x:v>18</x:v>
      </x:c>
      <x:c r="G3804" s="18" t="n">
        <x:v>32</x:v>
      </x:c>
      <x:c r="H3804" s="19" t="n">
        <x:v>1.7777777777777777</x:v>
      </x:c>
      <x:c r="I3804" s="18" t="n">
        <x:f>ROUND(MIN(Model_Config_v3!$B$6,MAX(Q3804,R3804,S3804*Model_Config_v3!$B$4+T3804*Model_Config_v3!$B$5)),0)</x:f>
        <x:v>630</x:v>
      </x:c>
      <x:c r="J3804" s="18" t="n">
        <x:f>MIN(Model_Config_v3!$B$6,I3804+Model_Config_v3!$B$7)</x:f>
        <x:v>650</x:v>
      </x:c>
      <x:c r="K3804" s="20" t="n">
        <x:v>52.9</x:v>
      </x:c>
      <x:c r="L3804" t="str">
        <x:v>MENENGAH</x:v>
      </x:c>
      <x:c r="M3804" t="str">
        <x:v>SEDANG+</x:v>
      </x:c>
      <x:c r="N3804" t="str">
        <x:v>REGULER</x:v>
      </x:c>
      <x:c r="O3804" t="str">
        <x:v>SAINTEK</x:v>
      </x:c>
      <x:c r="P3804" t="str">
        <x:v>TEKNIK/ARSITEKTUR/STATISTIKA/AKTUARIA</x:v>
      </x:c>
      <x:c r="Q3804" s="18" t="n">
        <x:v>0</x:v>
      </x:c>
      <x:c r="R3804" s="18" t="n">
        <x:v>0</x:v>
      </x:c>
      <x:c r="S3804" s="18" t="n">
        <x:v>547.486522053826</x:v>
      </x:c>
      <x:c r="T3804" s="18" t="n">
        <x:v>666</x:v>
      </x:c>
      <x:c r="U3804" s="18" t="n">
        <x:v>557.486522053826</x:v>
      </x:c>
      <x:c r="V3804" s="20" t="n">
        <x:v>12</x:v>
      </x:c>
      <x:c r="W3804" s="20" t="n">
        <x:v>5</x:v>
      </x:c>
      <x:c r="X3804" s="20" t="n">
        <x:v>3</x:v>
      </x:c>
      <x:c r="Y3804" t="str">
        <x:v>Basis arsip 2025/2024</x:v>
      </x:c>
      <x:c r="Z3804" t="str">
        <x:v>https://snpmb.id/utbk-snbt/daya-tampung-snbt</x:v>
      </x:c>
      <x:c r="AA3804" t="str">
        <x:v>Tidak Ada</x:v>
      </x:c>
      <x:c r="AB3804" t="str">
        <x:v>Campus=55; Ratio=14.7; Prodi=60; RelDemand=94.5; Capacity=85.0</x:v>
      </x:c>
    </x:row>
    <x:row r="3805">
      <x:c r="A3805" t="n">
        <x:v>3802</x:v>
      </x:c>
      <x:c r="B3805" t="str">
        <x:v>PTN Akademik</x:v>
      </x:c>
      <x:c r="C3805" t="str">
        <x:v>UNIVERSITAS CENDERAWASIH</x:v>
      </x:c>
      <x:c r="D3805" t="str">
        <x:v>TEKNIK SIPIL</x:v>
      </x:c>
      <x:c r="E3805" t="str">
        <x:v>Diploma Tiga</x:v>
      </x:c>
      <x:c r="F3805" s="18" t="n">
        <x:v>18</x:v>
      </x:c>
      <x:c r="G3805" s="18" t="n">
        <x:v>107</x:v>
      </x:c>
      <x:c r="H3805" s="19" t="n">
        <x:v>5.944444444444445</x:v>
      </x:c>
      <x:c r="I3805" s="18" t="n">
        <x:f>ROUND(MIN(Model_Config_v3!$B$6,MAX(Q3805,R3805,S3805*Model_Config_v3!$B$4+T3805*Model_Config_v3!$B$5)),0)</x:f>
        <x:v>659</x:v>
      </x:c>
      <x:c r="J3805" s="18" t="n">
        <x:f>MIN(Model_Config_v3!$B$6,I3805+Model_Config_v3!$B$7)</x:f>
        <x:v>679</x:v>
      </x:c>
      <x:c r="K3805" s="20" t="n">
        <x:v>61.1</x:v>
      </x:c>
      <x:c r="L3805" t="str">
        <x:v>KETAT</x:v>
      </x:c>
      <x:c r="M3805" t="str">
        <x:v>SEDANG+</x:v>
      </x:c>
      <x:c r="N3805" t="str">
        <x:v>REGULER</x:v>
      </x:c>
      <x:c r="O3805" t="str">
        <x:v>SAINTEK</x:v>
      </x:c>
      <x:c r="P3805" t="str">
        <x:v>TEKNIK/ARSITEKTUR/STATISTIKA/AKTUARIA</x:v>
      </x:c>
      <x:c r="Q3805" s="18" t="n">
        <x:v>0</x:v>
      </x:c>
      <x:c r="R3805" s="18" t="n">
        <x:v>0</x:v>
      </x:c>
      <x:c r="S3805" s="18" t="n">
        <x:v>605.1522399840094</x:v>
      </x:c>
      <x:c r="T3805" s="18" t="n">
        <x:v>682</x:v>
      </x:c>
      <x:c r="U3805" s="18" t="n">
        <x:v>615.1522399840094</x:v>
      </x:c>
      <x:c r="V3805" s="20" t="n">
        <x:v>12</x:v>
      </x:c>
      <x:c r="W3805" s="20" t="n">
        <x:v>5</x:v>
      </x:c>
      <x:c r="X3805" s="20" t="n">
        <x:v>3</x:v>
      </x:c>
      <x:c r="Y3805" t="str">
        <x:v>Basis arsip 2025/2024</x:v>
      </x:c>
      <x:c r="Z3805" t="str">
        <x:v>https://snpmb.id/utbk-snbt/daya-tampung-snbt</x:v>
      </x:c>
      <x:c r="AA3805" t="str">
        <x:v>Tidak Ada</x:v>
      </x:c>
      <x:c r="AB3805" t="str">
        <x:v>Campus=55; Ratio=45.6; Prodi=60; RelDemand=100.0; Capacity=85.0</x:v>
      </x:c>
    </x:row>
    <x:row r="3806">
      <x:c r="A3806" t="n">
        <x:v>3803</x:v>
      </x:c>
      <x:c r="B3806" t="str">
        <x:v>PTN Akademik</x:v>
      </x:c>
      <x:c r="C3806" t="str">
        <x:v>UNIVERSITAS CENDERAWASIH</x:v>
      </x:c>
      <x:c r="D3806" t="str">
        <x:v>TEKNIK MESIN</x:v>
      </x:c>
      <x:c r="E3806" t="str">
        <x:v>Diploma Tiga</x:v>
      </x:c>
      <x:c r="F3806" s="18" t="n">
        <x:v>18</x:v>
      </x:c>
      <x:c r="G3806" s="18" t="n">
        <x:v>37</x:v>
      </x:c>
      <x:c r="H3806" s="19" t="n">
        <x:v>2.0555555555555554</x:v>
      </x:c>
      <x:c r="I3806" s="18" t="n">
        <x:f>ROUND(MIN(Model_Config_v3!$B$6,MAX(Q3806,R3806,S3806*Model_Config_v3!$B$4+T3806*Model_Config_v3!$B$5)),0)</x:f>
        <x:v>635</x:v>
      </x:c>
      <x:c r="J3806" s="18" t="n">
        <x:f>MIN(Model_Config_v3!$B$6,I3806+Model_Config_v3!$B$7)</x:f>
        <x:v>655</x:v>
      </x:c>
      <x:c r="K3806" s="20" t="n">
        <x:v>54.4</x:v>
      </x:c>
      <x:c r="L3806" t="str">
        <x:v>MENENGAH</x:v>
      </x:c>
      <x:c r="M3806" t="str">
        <x:v>SEDANG+</x:v>
      </x:c>
      <x:c r="N3806" t="str">
        <x:v>REGULER</x:v>
      </x:c>
      <x:c r="O3806" t="str">
        <x:v>SAINTEK</x:v>
      </x:c>
      <x:c r="P3806" t="str">
        <x:v>TEKNIK/ARSITEKTUR/STATISTIKA/AKTUARIA</x:v>
      </x:c>
      <x:c r="Q3806" s="18" t="n">
        <x:v>0</x:v>
      </x:c>
      <x:c r="R3806" s="18" t="n">
        <x:v>0</x:v>
      </x:c>
      <x:c r="S3806" s="18" t="n">
        <x:v>554.4222140860057</x:v>
      </x:c>
      <x:c r="T3806" s="18" t="n">
        <x:v>669</x:v>
      </x:c>
      <x:c r="U3806" s="18" t="n">
        <x:v>564.4222140860057</x:v>
      </x:c>
      <x:c r="V3806" s="20" t="n">
        <x:v>12</x:v>
      </x:c>
      <x:c r="W3806" s="20" t="n">
        <x:v>5</x:v>
      </x:c>
      <x:c r="X3806" s="20" t="n">
        <x:v>3</x:v>
      </x:c>
      <x:c r="Y3806" t="str">
        <x:v>Basis arsip 2025/2024</x:v>
      </x:c>
      <x:c r="Z3806" t="str">
        <x:v>https://snpmb.id/utbk-snbt/daya-tampung-snbt</x:v>
      </x:c>
      <x:c r="AA3806" t="str">
        <x:v>Tidak Ada</x:v>
      </x:c>
      <x:c r="AB3806" t="str">
        <x:v>Campus=55; Ratio=18.4; Prodi=60; RelDemand=100.0; Capacity=85.0</x:v>
      </x:c>
    </x:row>
    <x:row r="3807">
      <x:c r="A3807" t="n">
        <x:v>3804</x:v>
      </x:c>
      <x:c r="B3807" t="str">
        <x:v>PTN Akademik</x:v>
      </x:c>
      <x:c r="C3807" t="str">
        <x:v>UNIVERSITAS MUSAMUS MERAUKE</x:v>
      </x:c>
      <x:c r="D3807" t="str">
        <x:v>TEKNIK ELEKTRO</x:v>
      </x:c>
      <x:c r="E3807" t="str">
        <x:v>Sarjana</x:v>
      </x:c>
      <x:c r="F3807" s="18" t="n">
        <x:v>30</x:v>
      </x:c>
      <x:c r="G3807" s="18" t="n">
        <x:v>9</x:v>
      </x:c>
      <x:c r="H3807" s="19" t="n">
        <x:v>0.3</x:v>
      </x:c>
      <x:c r="I3807" s="18" t="n">
        <x:f>ROUND(MIN(Model_Config_v3!$B$6,MAX(Q3807,R3807,S3807*Model_Config_v3!$B$4+T3807*Model_Config_v3!$B$5)),0)</x:f>
        <x:v>612</x:v>
      </x:c>
      <x:c r="J3807" s="18" t="n">
        <x:f>MIN(Model_Config_v3!$B$6,I3807+Model_Config_v3!$B$7)</x:f>
        <x:v>632</x:v>
      </x:c>
      <x:c r="K3807" s="20" t="n">
        <x:v>46.1</x:v>
      </x:c>
      <x:c r="L3807" t="str">
        <x:v>MENENGAH</x:v>
      </x:c>
      <x:c r="M3807" t="str">
        <x:v>SEDANG+</x:v>
      </x:c>
      <x:c r="N3807" t="str">
        <x:v>REGULER</x:v>
      </x:c>
      <x:c r="O3807" t="str">
        <x:v>SAINTEK</x:v>
      </x:c>
      <x:c r="P3807" t="str">
        <x:v>TEKNIK/ARSITEKTUR/STATISTIKA/AKTUARIA</x:v>
      </x:c>
      <x:c r="Q3807" s="18" t="n">
        <x:v>0</x:v>
      </x:c>
      <x:c r="R3807" s="18" t="n">
        <x:v>0</x:v>
      </x:c>
      <x:c r="S3807" s="18" t="n">
        <x:v>520</x:v>
      </x:c>
      <x:c r="T3807" s="18" t="n">
        <x:v>652</x:v>
      </x:c>
      <x:c r="U3807" s="18" t="n">
        <x:v>530</x:v>
      </x:c>
      <x:c r="V3807" s="20" t="n">
        <x:v>12</x:v>
      </x:c>
      <x:c r="W3807" s="20" t="n">
        <x:v>5</x:v>
      </x:c>
      <x:c r="X3807" s="20" t="n">
        <x:v>3</x:v>
      </x:c>
      <x:c r="Y3807" t="str">
        <x:v>Basis arsip 2025/2024</x:v>
      </x:c>
      <x:c r="Z3807" t="str">
        <x:v>https://snpmb.id/utbk-snbt/daya-tampung-snbt</x:v>
      </x:c>
      <x:c r="AA3807" t="str">
        <x:v>Tidak Ada</x:v>
      </x:c>
      <x:c r="AB3807" t="str">
        <x:v>Campus=55; Ratio=0.0; Prodi=60; RelDemand=73.5; Capacity=75.0</x:v>
      </x:c>
    </x:row>
    <x:row r="3808">
      <x:c r="A3808" t="n">
        <x:v>3805</x:v>
      </x:c>
      <x:c r="B3808" t="str">
        <x:v>PTN Akademik</x:v>
      </x:c>
      <x:c r="C3808" t="str">
        <x:v>UNIVERSITAS MUSAMUS MERAUKE</x:v>
      </x:c>
      <x:c r="D3808" t="str">
        <x:v>TEKNIK MESIN</x:v>
      </x:c>
      <x:c r="E3808" t="str">
        <x:v>Sarjana</x:v>
      </x:c>
      <x:c r="F3808" s="18" t="n">
        <x:v>30</x:v>
      </x:c>
      <x:c r="G3808" s="18" t="n">
        <x:v>6</x:v>
      </x:c>
      <x:c r="H3808" s="19" t="n">
        <x:v>0.2</x:v>
      </x:c>
      <x:c r="I3808" s="18" t="n">
        <x:f>ROUND(MIN(Model_Config_v3!$B$6,MAX(Q3808,R3808,S3808*Model_Config_v3!$B$4+T3808*Model_Config_v3!$B$5)),0)</x:f>
        <x:v>609</x:v>
      </x:c>
      <x:c r="J3808" s="18" t="n">
        <x:f>MIN(Model_Config_v3!$B$6,I3808+Model_Config_v3!$B$7)</x:f>
        <x:v>629</x:v>
      </x:c>
      <x:c r="K3808" s="20" t="n">
        <x:v>43.6</x:v>
      </x:c>
      <x:c r="L3808" t="str">
        <x:v>RELATIF LONGGAR</x:v>
      </x:c>
      <x:c r="M3808" t="str">
        <x:v>SEDANG+</x:v>
      </x:c>
      <x:c r="N3808" t="str">
        <x:v>REGULER</x:v>
      </x:c>
      <x:c r="O3808" t="str">
        <x:v>SAINTEK</x:v>
      </x:c>
      <x:c r="P3808" t="str">
        <x:v>TEKNIK/ARSITEKTUR/STATISTIKA/AKTUARIA</x:v>
      </x:c>
      <x:c r="Q3808" s="18" t="n">
        <x:v>0</x:v>
      </x:c>
      <x:c r="R3808" s="18" t="n">
        <x:v>0</x:v>
      </x:c>
      <x:c r="S3808" s="18" t="n">
        <x:v>520</x:v>
      </x:c>
      <x:c r="T3808" s="18" t="n">
        <x:v>647</x:v>
      </x:c>
      <x:c r="U3808" s="18" t="n">
        <x:v>530</x:v>
      </x:c>
      <x:c r="V3808" s="20" t="n">
        <x:v>12</x:v>
      </x:c>
      <x:c r="W3808" s="20" t="n">
        <x:v>5</x:v>
      </x:c>
      <x:c r="X3808" s="20" t="n">
        <x:v>3</x:v>
      </x:c>
      <x:c r="Y3808" t="str">
        <x:v>Basis arsip 2025/2024</x:v>
      </x:c>
      <x:c r="Z3808" t="str">
        <x:v>https://snpmb.id/utbk-snbt/daya-tampung-snbt</x:v>
      </x:c>
      <x:c r="AA3808" t="str">
        <x:v>Tidak Ada</x:v>
      </x:c>
      <x:c r="AB3808" t="str">
        <x:v>Campus=55; Ratio=0.0; Prodi=60; RelDemand=49.0; Capacity=75.0</x:v>
      </x:c>
    </x:row>
    <x:row r="3809">
      <x:c r="A3809" t="n">
        <x:v>3806</x:v>
      </x:c>
      <x:c r="B3809" t="str">
        <x:v>PTN Akademik</x:v>
      </x:c>
      <x:c r="C3809" t="str">
        <x:v>UNIVERSITAS MUSAMUS MERAUKE</x:v>
      </x:c>
      <x:c r="D3809" t="str">
        <x:v>TEKNIK SIPIL</x:v>
      </x:c>
      <x:c r="E3809" t="str">
        <x:v>Sarjana</x:v>
      </x:c>
      <x:c r="F3809" s="18" t="n">
        <x:v>40</x:v>
      </x:c>
      <x:c r="G3809" s="18" t="n">
        <x:v>10</x:v>
      </x:c>
      <x:c r="H3809" s="19" t="n">
        <x:v>0.25</x:v>
      </x:c>
      <x:c r="I3809" s="18" t="n">
        <x:f>ROUND(MIN(Model_Config_v3!$B$6,MAX(Q3809,R3809,S3809*Model_Config_v3!$B$4+T3809*Model_Config_v3!$B$5)),0)</x:f>
        <x:v>610</x:v>
      </x:c>
      <x:c r="J3809" s="18" t="n">
        <x:f>MIN(Model_Config_v3!$B$6,I3809+Model_Config_v3!$B$7)</x:f>
        <x:v>630</x:v>
      </x:c>
      <x:c r="K3809" s="20" t="n">
        <x:v>44</x:v>
      </x:c>
      <x:c r="L3809" t="str">
        <x:v>RELATIF LONGGAR</x:v>
      </x:c>
      <x:c r="M3809" t="str">
        <x:v>SEDANG+</x:v>
      </x:c>
      <x:c r="N3809" t="str">
        <x:v>REGULER</x:v>
      </x:c>
      <x:c r="O3809" t="str">
        <x:v>SAINTEK</x:v>
      </x:c>
      <x:c r="P3809" t="str">
        <x:v>TEKNIK/ARSITEKTUR/STATISTIKA/AKTUARIA</x:v>
      </x:c>
      <x:c r="Q3809" s="18" t="n">
        <x:v>0</x:v>
      </x:c>
      <x:c r="R3809" s="18" t="n">
        <x:v>0</x:v>
      </x:c>
      <x:c r="S3809" s="18" t="n">
        <x:v>520</x:v>
      </x:c>
      <x:c r="T3809" s="18" t="n">
        <x:v>648</x:v>
      </x:c>
      <x:c r="U3809" s="18" t="n">
        <x:v>530</x:v>
      </x:c>
      <x:c r="V3809" s="20" t="n">
        <x:v>12</x:v>
      </x:c>
      <x:c r="W3809" s="20" t="n">
        <x:v>5</x:v>
      </x:c>
      <x:c r="X3809" s="20" t="n">
        <x:v>3</x:v>
      </x:c>
      <x:c r="Y3809" t="str">
        <x:v>Basis arsip 2025/2024</x:v>
      </x:c>
      <x:c r="Z3809" t="str">
        <x:v>https://snpmb.id/utbk-snbt/daya-tampung-snbt</x:v>
      </x:c>
      <x:c r="AA3809" t="str">
        <x:v>Tidak Ada</x:v>
      </x:c>
      <x:c r="AB3809" t="str">
        <x:v>Campus=55; Ratio=0.0; Prodi=60; RelDemand=61.2; Capacity=66.7</x:v>
      </x:c>
    </x:row>
    <x:row r="3810">
      <x:c r="A3810" t="n">
        <x:v>3807</x:v>
      </x:c>
      <x:c r="B3810" t="str">
        <x:v>PTN Akademik</x:v>
      </x:c>
      <x:c r="C3810" t="str">
        <x:v>UNIVERSITAS MUSAMUS MERAUKE</x:v>
      </x:c>
      <x:c r="D3810" t="str">
        <x:v>ARSITEKTUR</x:v>
      </x:c>
      <x:c r="E3810" t="str">
        <x:v>Sarjana</x:v>
      </x:c>
      <x:c r="F3810" s="18" t="n">
        <x:v>30</x:v>
      </x:c>
      <x:c r="G3810" s="18" t="n">
        <x:v>10</x:v>
      </x:c>
      <x:c r="H3810" s="19" t="n">
        <x:v>0.3333333333333333</x:v>
      </x:c>
      <x:c r="I3810" s="18" t="n">
        <x:f>ROUND(MIN(Model_Config_v3!$B$6,MAX(Q3810,R3810,S3810*Model_Config_v3!$B$4+T3810*Model_Config_v3!$B$5)),0)</x:f>
        <x:v>614</x:v>
      </x:c>
      <x:c r="J3810" s="18" t="n">
        <x:f>MIN(Model_Config_v3!$B$6,I3810+Model_Config_v3!$B$7)</x:f>
        <x:v>634</x:v>
      </x:c>
      <x:c r="K3810" s="20" t="n">
        <x:v>46.9</x:v>
      </x:c>
      <x:c r="L3810" t="str">
        <x:v>MENENGAH</x:v>
      </x:c>
      <x:c r="M3810" t="str">
        <x:v>SEDANG+</x:v>
      </x:c>
      <x:c r="N3810" t="str">
        <x:v>REGULER</x:v>
      </x:c>
      <x:c r="O3810" t="str">
        <x:v>SAINTEK</x:v>
      </x:c>
      <x:c r="P3810" t="str">
        <x:v>TEKNIK/ARSITEKTUR/STATISTIKA/AKTUARIA</x:v>
      </x:c>
      <x:c r="Q3810" s="18" t="n">
        <x:v>0</x:v>
      </x:c>
      <x:c r="R3810" s="18" t="n">
        <x:v>0</x:v>
      </x:c>
      <x:c r="S3810" s="18" t="n">
        <x:v>520</x:v>
      </x:c>
      <x:c r="T3810" s="18" t="n">
        <x:v>654</x:v>
      </x:c>
      <x:c r="U3810" s="18" t="n">
        <x:v>520</x:v>
      </x:c>
      <x:c r="V3810" s="20" t="n">
        <x:v>12</x:v>
      </x:c>
      <x:c r="W3810" s="20" t="n">
        <x:v>5</x:v>
      </x:c>
      <x:c r="X3810" s="20" t="n">
        <x:v>3</x:v>
      </x:c>
      <x:c r="Y3810" t="str">
        <x:v>Basis arsip 2025/2024</x:v>
      </x:c>
      <x:c r="Z3810" t="str">
        <x:v>https://snpmb.id/utbk-snbt/daya-tampung-snbt</x:v>
      </x:c>
      <x:c r="AA3810" t="str">
        <x:v>Tidak Ada</x:v>
      </x:c>
      <x:c r="AB3810" t="str">
        <x:v>Campus=55; Ratio=0.0; Prodi=60; RelDemand=81.7; Capacity=75.0</x:v>
      </x:c>
    </x:row>
    <x:row r="3811">
      <x:c r="A3811" t="n">
        <x:v>3808</x:v>
      </x:c>
      <x:c r="B3811" t="str">
        <x:v>PTN Akademik</x:v>
      </x:c>
      <x:c r="C3811" t="str">
        <x:v>UNIVERSITAS MUSAMUS MERAUKE</x:v>
      </x:c>
      <x:c r="D3811" t="str">
        <x:v>KETEKNIKAN PERTANIAN</x:v>
      </x:c>
      <x:c r="E3811" t="str">
        <x:v>Sarjana</x:v>
      </x:c>
      <x:c r="F3811" s="18" t="n">
        <x:v>30</x:v>
      </x:c>
      <x:c r="G3811" s="18" t="n">
        <x:v>6</x:v>
      </x:c>
      <x:c r="H3811" s="19" t="n">
        <x:v>0.2</x:v>
      </x:c>
      <x:c r="I3811" s="18" t="n">
        <x:f>ROUND(MIN(Model_Config_v3!$B$6,MAX(Q3811,R3811,S3811*Model_Config_v3!$B$4+T3811*Model_Config_v3!$B$5)),0)</x:f>
        <x:v>609</x:v>
      </x:c>
      <x:c r="J3811" s="18" t="n">
        <x:f>MIN(Model_Config_v3!$B$6,I3811+Model_Config_v3!$B$7)</x:f>
        <x:v>629</x:v>
      </x:c>
      <x:c r="K3811" s="20" t="n">
        <x:v>43.6</x:v>
      </x:c>
      <x:c r="L3811" t="str">
        <x:v>RELATIF LONGGAR</x:v>
      </x:c>
      <x:c r="M3811" t="str">
        <x:v>SEDANG+</x:v>
      </x:c>
      <x:c r="N3811" t="str">
        <x:v>REGULER</x:v>
      </x:c>
      <x:c r="O3811" t="str">
        <x:v>SAINTEK</x:v>
      </x:c>
      <x:c r="P3811" t="str">
        <x:v>TEKNIK/ARSITEKTUR/STATISTIKA/AKTUARIA</x:v>
      </x:c>
      <x:c r="Q3811" s="18" t="n">
        <x:v>0</x:v>
      </x:c>
      <x:c r="R3811" s="18" t="n">
        <x:v>0</x:v>
      </x:c>
      <x:c r="S3811" s="18" t="n">
        <x:v>520</x:v>
      </x:c>
      <x:c r="T3811" s="18" t="n">
        <x:v>647</x:v>
      </x:c>
      <x:c r="U3811" s="18" t="n">
        <x:v>530</x:v>
      </x:c>
      <x:c r="V3811" s="20" t="n">
        <x:v>12</x:v>
      </x:c>
      <x:c r="W3811" s="20" t="n">
        <x:v>5</x:v>
      </x:c>
      <x:c r="X3811" s="20" t="n">
        <x:v>3</x:v>
      </x:c>
      <x:c r="Y3811" t="str">
        <x:v>Basis arsip 2025/2024</x:v>
      </x:c>
      <x:c r="Z3811" t="str">
        <x:v>https://snpmb.id/utbk-snbt/daya-tampung-snbt</x:v>
      </x:c>
      <x:c r="AA3811" t="str">
        <x:v>Tidak Ada</x:v>
      </x:c>
      <x:c r="AB3811" t="str">
        <x:v>Campus=55; Ratio=0.0; Prodi=60; RelDemand=49.0; Capacity=75.0</x:v>
      </x:c>
    </x:row>
    <x:row r="3812">
      <x:c r="A3812" t="n">
        <x:v>3809</x:v>
      </x:c>
      <x:c r="B3812" t="str">
        <x:v>PTN Akademik</x:v>
      </x:c>
      <x:c r="C3812" t="str">
        <x:v>UNIVERSITAS MUSAMUS MERAUKE</x:v>
      </x:c>
      <x:c r="D3812" t="str">
        <x:v>AGRIBISNIS</x:v>
      </x:c>
      <x:c r="E3812" t="str">
        <x:v>Sarjana</x:v>
      </x:c>
      <x:c r="F3812" s="18" t="n">
        <x:v>35</x:v>
      </x:c>
      <x:c r="G3812" s="18" t="n">
        <x:v>11</x:v>
      </x:c>
      <x:c r="H3812" s="19" t="n">
        <x:v>0.3142857142857143</x:v>
      </x:c>
      <x:c r="I3812" s="18" t="n">
        <x:f>ROUND(MIN(Model_Config_v3!$B$6,MAX(Q3812,R3812,S3812*Model_Config_v3!$B$4+T3812*Model_Config_v3!$B$5)),0)</x:f>
        <x:v>614</x:v>
      </x:c>
      <x:c r="J3812" s="18" t="n">
        <x:f>MIN(Model_Config_v3!$B$6,I3812+Model_Config_v3!$B$7)</x:f>
        <x:v>634</x:v>
      </x:c>
      <x:c r="K3812" s="20" t="n">
        <x:v>47</x:v>
      </x:c>
      <x:c r="L3812" t="str">
        <x:v>MENENGAH</x:v>
      </x:c>
      <x:c r="M3812" t="str">
        <x:v>SEDANG+</x:v>
      </x:c>
      <x:c r="N3812" t="str">
        <x:v>REGULER</x:v>
      </x:c>
      <x:c r="O3812" t="str">
        <x:v>SOSHUM</x:v>
      </x:c>
      <x:c r="P3812" t="str">
        <x:v>BISNIS/EKONOMI/AKUNTANSI</x:v>
      </x:c>
      <x:c r="Q3812" s="18" t="n">
        <x:v>0</x:v>
      </x:c>
      <x:c r="R3812" s="18" t="n">
        <x:v>0</x:v>
      </x:c>
      <x:c r="S3812" s="18" t="n">
        <x:v>520</x:v>
      </x:c>
      <x:c r="T3812" s="18" t="n">
        <x:v>654</x:v>
      </x:c>
      <x:c r="U3812" s="18" t="n">
        <x:v>535</x:v>
      </x:c>
      <x:c r="V3812" s="20" t="n">
        <x:v>4.4</x:v>
      </x:c>
      <x:c r="W3812" s="20" t="n">
        <x:v>14.3</x:v>
      </x:c>
      <x:c r="X3812" s="20" t="n">
        <x:v>3.3</x:v>
      </x:c>
      <x:c r="Y3812" t="str">
        <x:v>Basis arsip 2025/2024</x:v>
      </x:c>
      <x:c r="Z3812" t="str">
        <x:v>https://snpmb.id/utbk-snbt/daya-tampung-snbt</x:v>
      </x:c>
      <x:c r="AA3812" t="str">
        <x:v>Tidak Ada</x:v>
      </x:c>
      <x:c r="AB3812" t="str">
        <x:v>Campus=55; Ratio=0.0; Prodi=65; RelDemand=77.0; Capacity=70.8</x:v>
      </x:c>
    </x:row>
    <x:row r="3813">
      <x:c r="A3813" t="n">
        <x:v>3810</x:v>
      </x:c>
      <x:c r="B3813" t="str">
        <x:v>PTN Akademik</x:v>
      </x:c>
      <x:c r="C3813" t="str">
        <x:v>UNIVERSITAS MUSAMUS MERAUKE</x:v>
      </x:c>
      <x:c r="D3813" t="str">
        <x:v>AGROTEKNOLOGI</x:v>
      </x:c>
      <x:c r="E3813" t="str">
        <x:v>Sarjana</x:v>
      </x:c>
      <x:c r="F3813" s="18" t="n">
        <x:v>32</x:v>
      </x:c>
      <x:c r="G3813" s="18" t="n">
        <x:v>2</x:v>
      </x:c>
      <x:c r="H3813" s="19" t="n">
        <x:v>0.0625</x:v>
      </x:c>
      <x:c r="I3813" s="18" t="n">
        <x:f>ROUND(MIN(Model_Config_v3!$B$6,MAX(Q3813,R3813,S3813*Model_Config_v3!$B$4+T3813*Model_Config_v3!$B$5)),0)</x:f>
        <x:v>598</x:v>
      </x:c>
      <x:c r="J3813" s="18" t="n">
        <x:f>MIN(Model_Config_v3!$B$6,I3813+Model_Config_v3!$B$7)</x:f>
        <x:v>618</x:v>
      </x:c>
      <x:c r="K3813" s="20" t="n">
        <x:v>36.1</x:v>
      </x:c>
      <x:c r="L3813" t="str">
        <x:v>RELATIF LONGGAR</x:v>
      </x:c>
      <x:c r="M3813" t="str">
        <x:v>SEDANG</x:v>
      </x:c>
      <x:c r="N3813" t="str">
        <x:v>REGULER</x:v>
      </x:c>
      <x:c r="O3813" t="str">
        <x:v>SAINTEK</x:v>
      </x:c>
      <x:c r="P3813" t="str">
        <x:v>UMUM</x:v>
      </x:c>
      <x:c r="Q3813" s="18" t="n">
        <x:v>0</x:v>
      </x:c>
      <x:c r="R3813" s="18" t="n">
        <x:v>0</x:v>
      </x:c>
      <x:c r="S3813" s="18" t="n">
        <x:v>520</x:v>
      </x:c>
      <x:c r="T3813" s="18" t="n">
        <x:v>632</x:v>
      </x:c>
      <x:c r="U3813" s="18" t="n">
        <x:v>520</x:v>
      </x:c>
      <x:c r="V3813" s="20" t="n">
        <x:v>12</x:v>
      </x:c>
      <x:c r="W3813" s="20" t="n">
        <x:v>5</x:v>
      </x:c>
      <x:c r="X3813" s="20" t="n">
        <x:v>3</x:v>
      </x:c>
      <x:c r="Y3813" t="str">
        <x:v>Basis arsip 2025/2024</x:v>
      </x:c>
      <x:c r="Z3813" t="str">
        <x:v>https://snpmb.id/utbk-snbt/daya-tampung-snbt</x:v>
      </x:c>
      <x:c r="AA3813" t="str">
        <x:v>Tidak Ada</x:v>
      </x:c>
      <x:c r="AB3813" t="str">
        <x:v>Campus=55; Ratio=0.0; Prodi=40; RelDemand=15.3; Capacity=73.3</x:v>
      </x:c>
    </x:row>
    <x:row r="3814">
      <x:c r="A3814" t="n">
        <x:v>3811</x:v>
      </x:c>
      <x:c r="B3814" t="str">
        <x:v>PTN Akademik</x:v>
      </x:c>
      <x:c r="C3814" t="str">
        <x:v>UNIVERSITAS MUSAMUS MERAUKE</x:v>
      </x:c>
      <x:c r="D3814" t="str">
        <x:v>PETERNAKAN</x:v>
      </x:c>
      <x:c r="E3814" t="str">
        <x:v>Sarjana</x:v>
      </x:c>
      <x:c r="F3814" s="18" t="n">
        <x:v>20</x:v>
      </x:c>
      <x:c r="G3814" s="18" t="n">
        <x:v>1</x:v>
      </x:c>
      <x:c r="H3814" s="19" t="n">
        <x:v>0.05</x:v>
      </x:c>
      <x:c r="I3814" s="18" t="n">
        <x:f>ROUND(MIN(Model_Config_v3!$B$6,MAX(Q3814,R3814,S3814*Model_Config_v3!$B$4+T3814*Model_Config_v3!$B$5)),0)</x:f>
        <x:v>600</x:v>
      </x:c>
      <x:c r="J3814" s="18" t="n">
        <x:f>MIN(Model_Config_v3!$B$6,I3814+Model_Config_v3!$B$7)</x:f>
        <x:v>620</x:v>
      </x:c>
      <x:c r="K3814" s="20" t="n">
        <x:v>36.8</x:v>
      </x:c>
      <x:c r="L3814" t="str">
        <x:v>RELATIF LONGGAR</x:v>
      </x:c>
      <x:c r="M3814" t="str">
        <x:v>SEDANG</x:v>
      </x:c>
      <x:c r="N3814" t="str">
        <x:v>REGULER</x:v>
      </x:c>
      <x:c r="O3814" t="str">
        <x:v>SAINTEK</x:v>
      </x:c>
      <x:c r="P3814" t="str">
        <x:v>UMUM</x:v>
      </x:c>
      <x:c r="Q3814" s="18" t="n">
        <x:v>0</x:v>
      </x:c>
      <x:c r="R3814" s="18" t="n">
        <x:v>0</x:v>
      </x:c>
      <x:c r="S3814" s="18" t="n">
        <x:v>520</x:v>
      </x:c>
      <x:c r="T3814" s="18" t="n">
        <x:v>634</x:v>
      </x:c>
      <x:c r="U3814" s="18" t="n">
        <x:v>520</x:v>
      </x:c>
      <x:c r="V3814" s="20" t="n">
        <x:v>12</x:v>
      </x:c>
      <x:c r="W3814" s="20" t="n">
        <x:v>5</x:v>
      </x:c>
      <x:c r="X3814" s="20" t="n">
        <x:v>3</x:v>
      </x:c>
      <x:c r="Y3814" t="str">
        <x:v>Basis arsip 2025/2024</x:v>
      </x:c>
      <x:c r="Z3814" t="str">
        <x:v>https://snpmb.id/utbk-snbt/daya-tampung-snbt</x:v>
      </x:c>
      <x:c r="AA3814" t="str">
        <x:v>Tidak Ada</x:v>
      </x:c>
      <x:c r="AB3814" t="str">
        <x:v>Campus=55; Ratio=0.0; Prodi=40; RelDemand=12.2; Capacity=83.3</x:v>
      </x:c>
    </x:row>
    <x:row r="3815">
      <x:c r="A3815" t="n">
        <x:v>3812</x:v>
      </x:c>
      <x:c r="B3815" t="str">
        <x:v>PTN Akademik</x:v>
      </x:c>
      <x:c r="C3815" t="str">
        <x:v>UNIVERSITAS MUSAMUS MERAUKE</x:v>
      </x:c>
      <x:c r="D3815" t="str">
        <x:v>MANAJEMEN SUMBERDAYA PERAIRAN</x:v>
      </x:c>
      <x:c r="E3815" t="str">
        <x:v>Sarjana</x:v>
      </x:c>
      <x:c r="F3815" s="18" t="n">
        <x:v>20</x:v>
      </x:c>
      <x:c r="G3815" s="18"/>
      <x:c r="H3815" s="19" t="n">
        <x:v>0</x:v>
      </x:c>
      <x:c r="I3815" s="18" t="n">
        <x:f>ROUND(MIN(Model_Config_v3!$B$6,MAX(Q3815,R3815,S3815*Model_Config_v3!$B$4+T3815*Model_Config_v3!$B$5)),0)</x:f>
        <x:v>605</x:v>
      </x:c>
      <x:c r="J3815" s="18" t="n">
        <x:f>MIN(Model_Config_v3!$B$6,I3815+Model_Config_v3!$B$7)</x:f>
        <x:v>625</x:v>
      </x:c>
      <x:c r="K3815" s="20" t="n">
        <x:v>40.6</x:v>
      </x:c>
      <x:c r="L3815" t="str">
        <x:v>RELATIF LONGGAR</x:v>
      </x:c>
      <x:c r="M3815" t="str">
        <x:v>RENDAH</x:v>
      </x:c>
      <x:c r="N3815" t="str">
        <x:v>REGULER</x:v>
      </x:c>
      <x:c r="O3815" t="str">
        <x:v>SOSHUM</x:v>
      </x:c>
      <x:c r="P3815" t="str">
        <x:v>BISNIS/EKONOMI/AKUNTANSI</x:v>
      </x:c>
      <x:c r="Q3815" s="18" t="n">
        <x:v>0</x:v>
      </x:c>
      <x:c r="R3815" s="18" t="n">
        <x:v>0</x:v>
      </x:c>
      <x:c r="S3815" s="18" t="n">
        <x:v>520</x:v>
      </x:c>
      <x:c r="T3815" s="18" t="n">
        <x:v>641</x:v>
      </x:c>
      <x:c r="U3815" s="18" t="n">
        <x:v>535</x:v>
      </x:c>
      <x:c r="V3815" s="20" t="n">
        <x:v>4.4</x:v>
      </x:c>
      <x:c r="W3815" s="20" t="n">
        <x:v>14.3</x:v>
      </x:c>
      <x:c r="X3815" s="20" t="n">
        <x:v>3.3</x:v>
      </x:c>
      <x:c r="Y3815" t="str">
        <x:v>Basis arsip 2025/2024</x:v>
      </x:c>
      <x:c r="Z3815" t="str">
        <x:v>https://snpmb.id/utbk-snbt/daya-tampung-snbt</x:v>
      </x:c>
      <x:c r="AA3815" t="str">
        <x:v>Tidak Ada</x:v>
      </x:c>
      <x:c r="AB3815" t="str">
        <x:v>Campus=55; Ratio=0.0; Prodi=65; RelDemand=0.0; Capacity=83.3</x:v>
      </x:c>
    </x:row>
    <x:row r="3816">
      <x:c r="A3816" t="n">
        <x:v>3813</x:v>
      </x:c>
      <x:c r="B3816" t="str">
        <x:v>PTN Akademik</x:v>
      </x:c>
      <x:c r="C3816" t="str">
        <x:v>UNIVERSITAS MUSAMUS MERAUKE</x:v>
      </x:c>
      <x:c r="D3816" t="str">
        <x:v>TEKNIK INFORMATIKA</x:v>
      </x:c>
      <x:c r="E3816" t="str">
        <x:v>Sarjana</x:v>
      </x:c>
      <x:c r="F3816" s="18" t="n">
        <x:v>60</x:v>
      </x:c>
      <x:c r="G3816" s="18" t="n">
        <x:v>20</x:v>
      </x:c>
      <x:c r="H3816" s="19" t="n">
        <x:v>0.3333333333333333</x:v>
      </x:c>
      <x:c r="I3816" s="18" t="n">
        <x:f>ROUND(MIN(Model_Config_v3!$B$6,MAX(Q3816,R3816,S3816*Model_Config_v3!$B$4+T3816*Model_Config_v3!$B$5)),0)</x:f>
        <x:v>617</x:v>
      </x:c>
      <x:c r="J3816" s="18" t="n">
        <x:f>MIN(Model_Config_v3!$B$6,I3816+Model_Config_v3!$B$7)</x:f>
        <x:v>637</x:v>
      </x:c>
      <x:c r="K3816" s="20" t="n">
        <x:v>49.4</x:v>
      </x:c>
      <x:c r="L3816" t="str">
        <x:v>MENENGAH</x:v>
      </x:c>
      <x:c r="M3816" t="str">
        <x:v>SEDANG+</x:v>
      </x:c>
      <x:c r="N3816" t="str">
        <x:v>REGULER</x:v>
      </x:c>
      <x:c r="O3816" t="str">
        <x:v>SAINTEK</x:v>
      </x:c>
      <x:c r="P3816" t="str">
        <x:v>KOMPUTER/INFORMATIKA</x:v>
      </x:c>
      <x:c r="Q3816" s="18" t="n">
        <x:v>0</x:v>
      </x:c>
      <x:c r="R3816" s="18" t="n">
        <x:v>0</x:v>
      </x:c>
      <x:c r="S3816" s="18" t="n">
        <x:v>520</x:v>
      </x:c>
      <x:c r="T3816" s="18" t="n">
        <x:v>659</x:v>
      </x:c>
      <x:c r="U3816" s="18" t="n">
        <x:v>545</x:v>
      </x:c>
      <x:c r="V3816" s="20" t="n">
        <x:v>12</x:v>
      </x:c>
      <x:c r="W3816" s="20" t="n">
        <x:v>5</x:v>
      </x:c>
      <x:c r="X3816" s="20" t="n">
        <x:v>3</x:v>
      </x:c>
      <x:c r="Y3816" t="str">
        <x:v>Basis arsip 2025/2024</x:v>
      </x:c>
      <x:c r="Z3816" t="str">
        <x:v>https://snpmb.id/utbk-snbt/daya-tampung-snbt</x:v>
      </x:c>
      <x:c r="AA3816" t="str">
        <x:v>Tidak Ada</x:v>
      </x:c>
      <x:c r="AB3816" t="str">
        <x:v>Campus=55; Ratio=0.0; Prodi=85; RelDemand=81.7; Capacity=50.0</x:v>
      </x:c>
    </x:row>
    <x:row r="3817">
      <x:c r="A3817" t="n">
        <x:v>3814</x:v>
      </x:c>
      <x:c r="B3817" t="str">
        <x:v>PTN Akademik</x:v>
      </x:c>
      <x:c r="C3817" t="str">
        <x:v>UNIVERSITAS MUSAMUS MERAUKE</x:v>
      </x:c>
      <x:c r="D3817" t="str">
        <x:v>SISTEM INFORMASI</x:v>
      </x:c>
      <x:c r="E3817" t="str">
        <x:v>Sarjana</x:v>
      </x:c>
      <x:c r="F3817" s="18" t="n">
        <x:v>45</x:v>
      </x:c>
      <x:c r="G3817" s="18" t="n">
        <x:v>14</x:v>
      </x:c>
      <x:c r="H3817" s="19" t="n">
        <x:v>0.3111111111111111</x:v>
      </x:c>
      <x:c r="I3817" s="18" t="n">
        <x:f>ROUND(MIN(Model_Config_v3!$B$6,MAX(Q3817,R3817,S3817*Model_Config_v3!$B$4+T3817*Model_Config_v3!$B$5)),0)</x:f>
        <x:v>618</x:v>
      </x:c>
      <x:c r="J3817" s="18" t="n">
        <x:f>MIN(Model_Config_v3!$B$6,I3817+Model_Config_v3!$B$7)</x:f>
        <x:v>638</x:v>
      </x:c>
      <x:c r="K3817" s="20" t="n">
        <x:v>50.1</x:v>
      </x:c>
      <x:c r="L3817" t="str">
        <x:v>MENENGAH</x:v>
      </x:c>
      <x:c r="M3817" t="str">
        <x:v>SEDANG+</x:v>
      </x:c>
      <x:c r="N3817" t="str">
        <x:v>REGULER</x:v>
      </x:c>
      <x:c r="O3817" t="str">
        <x:v>CAMPURAN</x:v>
      </x:c>
      <x:c r="P3817" t="str">
        <x:v>KOMPUTER/INFORMATIKA</x:v>
      </x:c>
      <x:c r="Q3817" s="18" t="n">
        <x:v>0</x:v>
      </x:c>
      <x:c r="R3817" s="18" t="n">
        <x:v>0</x:v>
      </x:c>
      <x:c r="S3817" s="18" t="n">
        <x:v>520</x:v>
      </x:c>
      <x:c r="T3817" s="18" t="n">
        <x:v>660</x:v>
      </x:c>
      <x:c r="U3817" s="18" t="n">
        <x:v>545</x:v>
      </x:c>
      <x:c r="V3817" s="20" t="n">
        <x:v>8.8</x:v>
      </x:c>
      <x:c r="W3817" s="20" t="n">
        <x:v>9.9</x:v>
      </x:c>
      <x:c r="X3817" s="20" t="n">
        <x:v>3.3</x:v>
      </x:c>
      <x:c r="Y3817" t="str">
        <x:v>Basis arsip 2025/2024</x:v>
      </x:c>
      <x:c r="Z3817" t="str">
        <x:v>https://snpmb.id/utbk-snbt/daya-tampung-snbt</x:v>
      </x:c>
      <x:c r="AA3817" t="str">
        <x:v>Tidak Ada</x:v>
      </x:c>
      <x:c r="AB3817" t="str">
        <x:v>Campus=55; Ratio=0.0; Prodi=85; RelDemand=76.2; Capacity=62.5</x:v>
      </x:c>
    </x:row>
    <x:row r="3818">
      <x:c r="A3818" t="n">
        <x:v>3815</x:v>
      </x:c>
      <x:c r="B3818" t="str">
        <x:v>PTN Akademik</x:v>
      </x:c>
      <x:c r="C3818" t="str">
        <x:v>UNIVERSITAS MUSAMUS MERAUKE</x:v>
      </x:c>
      <x:c r="D3818" t="str">
        <x:v>PENDIDIKAN MATEMATIKA</x:v>
      </x:c>
      <x:c r="E3818" t="str">
        <x:v>Sarjana</x:v>
      </x:c>
      <x:c r="F3818" s="18" t="n">
        <x:v>12</x:v>
      </x:c>
      <x:c r="G3818" s="18" t="n">
        <x:v>4</x:v>
      </x:c>
      <x:c r="H3818" s="19" t="n">
        <x:v>0.3333333333333333</x:v>
      </x:c>
      <x:c r="I3818" s="18" t="n">
        <x:f>ROUND(MIN(Model_Config_v3!$B$6,MAX(Q3818,R3818,S3818*Model_Config_v3!$B$4+T3818*Model_Config_v3!$B$5)),0)</x:f>
        <x:v>612</x:v>
      </x:c>
      <x:c r="J3818" s="18" t="n">
        <x:f>MIN(Model_Config_v3!$B$6,I3818+Model_Config_v3!$B$7)</x:f>
        <x:v>632</x:v>
      </x:c>
      <x:c r="K3818" s="20" t="n">
        <x:v>45.4</x:v>
      </x:c>
      <x:c r="L3818" t="str">
        <x:v>MENENGAH</x:v>
      </x:c>
      <x:c r="M3818" t="str">
        <x:v>SEDANG+</x:v>
      </x:c>
      <x:c r="N3818" t="str">
        <x:v>REGULER</x:v>
      </x:c>
      <x:c r="O3818" t="str">
        <x:v>SAINTEK</x:v>
      </x:c>
      <x:c r="P3818" t="str">
        <x:v>PENDIDIKAN</x:v>
      </x:c>
      <x:c r="Q3818" s="18" t="n">
        <x:v>0</x:v>
      </x:c>
      <x:c r="R3818" s="18" t="n">
        <x:v>0</x:v>
      </x:c>
      <x:c r="S3818" s="18" t="n">
        <x:v>520</x:v>
      </x:c>
      <x:c r="T3818" s="18" t="n">
        <x:v>651</x:v>
      </x:c>
      <x:c r="U3818" s="18" t="n">
        <x:v>520</x:v>
      </x:c>
      <x:c r="V3818" s="20" t="n">
        <x:v>12</x:v>
      </x:c>
      <x:c r="W3818" s="20" t="n">
        <x:v>5</x:v>
      </x:c>
      <x:c r="X3818" s="20" t="n">
        <x:v>3</x:v>
      </x:c>
      <x:c r="Y3818" t="str">
        <x:v>Basis arsip 2025/2024</x:v>
      </x:c>
      <x:c r="Z3818" t="str">
        <x:v>https://snpmb.id/utbk-snbt/daya-tampung-snbt</x:v>
      </x:c>
      <x:c r="AA3818" t="str">
        <x:v>Tidak Ada</x:v>
      </x:c>
      <x:c r="AB3818" t="str">
        <x:v>Campus=55; Ratio=0.0; Prodi=45; RelDemand=81.7; Capacity=90.0</x:v>
      </x:c>
    </x:row>
    <x:row r="3819">
      <x:c r="A3819" t="n">
        <x:v>3816</x:v>
      </x:c>
      <x:c r="B3819" t="str">
        <x:v>PTN Akademik</x:v>
      </x:c>
      <x:c r="C3819" t="str">
        <x:v>UNIVERSITAS MUSAMUS MERAUKE</x:v>
      </x:c>
      <x:c r="D3819" t="str">
        <x:v>PENDIDIKAN FISIKA</x:v>
      </x:c>
      <x:c r="E3819" t="str">
        <x:v>Sarjana</x:v>
      </x:c>
      <x:c r="F3819" s="18" t="n">
        <x:v>15</x:v>
      </x:c>
      <x:c r="G3819" s="18" t="n">
        <x:v>1</x:v>
      </x:c>
      <x:c r="H3819" s="19" t="n">
        <x:v>0.06666666666666667</x:v>
      </x:c>
      <x:c r="I3819" s="18" t="n">
        <x:f>ROUND(MIN(Model_Config_v3!$B$6,MAX(Q3819,R3819,S3819*Model_Config_v3!$B$4+T3819*Model_Config_v3!$B$5)),0)</x:f>
        <x:v>602</x:v>
      </x:c>
      <x:c r="J3819" s="18" t="n">
        <x:f>MIN(Model_Config_v3!$B$6,I3819+Model_Config_v3!$B$7)</x:f>
        <x:v>622</x:v>
      </x:c>
      <x:c r="K3819" s="20" t="n">
        <x:v>38.6</x:v>
      </x:c>
      <x:c r="L3819" t="str">
        <x:v>RELATIF LONGGAR</x:v>
      </x:c>
      <x:c r="M3819" t="str">
        <x:v>SEDANG+</x:v>
      </x:c>
      <x:c r="N3819" t="str">
        <x:v>REGULER</x:v>
      </x:c>
      <x:c r="O3819" t="str">
        <x:v>SAINTEK</x:v>
      </x:c>
      <x:c r="P3819" t="str">
        <x:v>PENDIDIKAN</x:v>
      </x:c>
      <x:c r="Q3819" s="18" t="n">
        <x:v>0</x:v>
      </x:c>
      <x:c r="R3819" s="18" t="n">
        <x:v>0</x:v>
      </x:c>
      <x:c r="S3819" s="18" t="n">
        <x:v>520</x:v>
      </x:c>
      <x:c r="T3819" s="18" t="n">
        <x:v>637</x:v>
      </x:c>
      <x:c r="U3819" s="18" t="n">
        <x:v>520</x:v>
      </x:c>
      <x:c r="V3819" s="20" t="n">
        <x:v>12</x:v>
      </x:c>
      <x:c r="W3819" s="20" t="n">
        <x:v>5</x:v>
      </x:c>
      <x:c r="X3819" s="20" t="n">
        <x:v>3</x:v>
      </x:c>
      <x:c r="Y3819" t="str">
        <x:v>Basis arsip 2025/2024</x:v>
      </x:c>
      <x:c r="Z3819" t="str">
        <x:v>https://snpmb.id/utbk-snbt/daya-tampung-snbt</x:v>
      </x:c>
      <x:c r="AA3819" t="str">
        <x:v>Tidak Ada</x:v>
      </x:c>
      <x:c r="AB3819" t="str">
        <x:v>Campus=55; Ratio=0.0; Prodi=45; RelDemand=16.3; Capacity=87.5</x:v>
      </x:c>
    </x:row>
    <x:row r="3820">
      <x:c r="A3820" t="n">
        <x:v>3817</x:v>
      </x:c>
      <x:c r="B3820" t="str">
        <x:v>PTN Akademik</x:v>
      </x:c>
      <x:c r="C3820" t="str">
        <x:v>UNIVERSITAS MUSAMUS MERAUKE</x:v>
      </x:c>
      <x:c r="D3820" t="str">
        <x:v>PENDIDIKAN KIMIA</x:v>
      </x:c>
      <x:c r="E3820" t="str">
        <x:v>Sarjana</x:v>
      </x:c>
      <x:c r="F3820" s="18" t="n">
        <x:v>15</x:v>
      </x:c>
      <x:c r="G3820" s="18" t="n">
        <x:v>3</x:v>
      </x:c>
      <x:c r="H3820" s="19" t="n">
        <x:v>0.2</x:v>
      </x:c>
      <x:c r="I3820" s="18" t="n">
        <x:f>ROUND(MIN(Model_Config_v3!$B$6,MAX(Q3820,R3820,S3820*Model_Config_v3!$B$4+T3820*Model_Config_v3!$B$5)),0)</x:f>
        <x:v>607</x:v>
      </x:c>
      <x:c r="J3820" s="18" t="n">
        <x:f>MIN(Model_Config_v3!$B$6,I3820+Model_Config_v3!$B$7)</x:f>
        <x:v>627</x:v>
      </x:c>
      <x:c r="K3820" s="20" t="n">
        <x:v>41.9</x:v>
      </x:c>
      <x:c r="L3820" t="str">
        <x:v>RELATIF LONGGAR</x:v>
      </x:c>
      <x:c r="M3820" t="str">
        <x:v>SEDANG+</x:v>
      </x:c>
      <x:c r="N3820" t="str">
        <x:v>REGULER</x:v>
      </x:c>
      <x:c r="O3820" t="str">
        <x:v>SAINTEK</x:v>
      </x:c>
      <x:c r="P3820" t="str">
        <x:v>PENDIDIKAN</x:v>
      </x:c>
      <x:c r="Q3820" s="18" t="n">
        <x:v>0</x:v>
      </x:c>
      <x:c r="R3820" s="18" t="n">
        <x:v>0</x:v>
      </x:c>
      <x:c r="S3820" s="18" t="n">
        <x:v>520</x:v>
      </x:c>
      <x:c r="T3820" s="18" t="n">
        <x:v>644</x:v>
      </x:c>
      <x:c r="U3820" s="18" t="n">
        <x:v>520</x:v>
      </x:c>
      <x:c r="V3820" s="20" t="n">
        <x:v>12</x:v>
      </x:c>
      <x:c r="W3820" s="20" t="n">
        <x:v>5</x:v>
      </x:c>
      <x:c r="X3820" s="20" t="n">
        <x:v>3</x:v>
      </x:c>
      <x:c r="Y3820" t="str">
        <x:v>Basis arsip 2025/2024</x:v>
      </x:c>
      <x:c r="Z3820" t="str">
        <x:v>https://snpmb.id/utbk-snbt/daya-tampung-snbt</x:v>
      </x:c>
      <x:c r="AA3820" t="str">
        <x:v>Tidak Ada</x:v>
      </x:c>
      <x:c r="AB3820" t="str">
        <x:v>Campus=55; Ratio=0.0; Prodi=45; RelDemand=49.0; Capacity=87.5</x:v>
      </x:c>
    </x:row>
    <x:row r="3821">
      <x:c r="A3821" t="n">
        <x:v>3818</x:v>
      </x:c>
      <x:c r="B3821" t="str">
        <x:v>PTN Akademik</x:v>
      </x:c>
      <x:c r="C3821" t="str">
        <x:v>UNIVERSITAS MUSAMUS MERAUKE</x:v>
      </x:c>
      <x:c r="D3821" t="str">
        <x:v>PENDIDIKAN KOMPUTER</x:v>
      </x:c>
      <x:c r="E3821" t="str">
        <x:v>Sarjana</x:v>
      </x:c>
      <x:c r="F3821" s="18" t="n">
        <x:v>30</x:v>
      </x:c>
      <x:c r="G3821" s="18" t="n">
        <x:v>8</x:v>
      </x:c>
      <x:c r="H3821" s="19" t="n">
        <x:v>0.26666666666666666</x:v>
      </x:c>
      <x:c r="I3821" s="18" t="n">
        <x:f>ROUND(MIN(Model_Config_v3!$B$6,MAX(Q3821,R3821,S3821*Model_Config_v3!$B$4+T3821*Model_Config_v3!$B$5)),0)</x:f>
        <x:v>608</x:v>
      </x:c>
      <x:c r="J3821" s="18" t="n">
        <x:f>MIN(Model_Config_v3!$B$6,I3821+Model_Config_v3!$B$7)</x:f>
        <x:v>628</x:v>
      </x:c>
      <x:c r="K3821" s="20" t="n">
        <x:v>42.3</x:v>
      </x:c>
      <x:c r="L3821" t="str">
        <x:v>RELATIF LONGGAR</x:v>
      </x:c>
      <x:c r="M3821" t="str">
        <x:v>SEDANG+</x:v>
      </x:c>
      <x:c r="N3821" t="str">
        <x:v>REGULER</x:v>
      </x:c>
      <x:c r="O3821" t="str">
        <x:v>SAINTEK</x:v>
      </x:c>
      <x:c r="P3821" t="str">
        <x:v>PENDIDIKAN</x:v>
      </x:c>
      <x:c r="Q3821" s="18" t="n">
        <x:v>0</x:v>
      </x:c>
      <x:c r="R3821" s="18" t="n">
        <x:v>0</x:v>
      </x:c>
      <x:c r="S3821" s="18" t="n">
        <x:v>520</x:v>
      </x:c>
      <x:c r="T3821" s="18" t="n">
        <x:v>645</x:v>
      </x:c>
      <x:c r="U3821" s="18" t="n">
        <x:v>520</x:v>
      </x:c>
      <x:c r="V3821" s="20" t="n">
        <x:v>12</x:v>
      </x:c>
      <x:c r="W3821" s="20" t="n">
        <x:v>5</x:v>
      </x:c>
      <x:c r="X3821" s="20" t="n">
        <x:v>3</x:v>
      </x:c>
      <x:c r="Y3821" t="str">
        <x:v>Basis arsip 2025/2024</x:v>
      </x:c>
      <x:c r="Z3821" t="str">
        <x:v>https://snpmb.id/utbk-snbt/daya-tampung-snbt</x:v>
      </x:c>
      <x:c r="AA3821" t="str">
        <x:v>Tidak Ada</x:v>
      </x:c>
      <x:c r="AB3821" t="str">
        <x:v>Campus=55; Ratio=0.0; Prodi=45; RelDemand=65.3; Capacity=75.0</x:v>
      </x:c>
    </x:row>
    <x:row r="3822">
      <x:c r="A3822" t="n">
        <x:v>3819</x:v>
      </x:c>
      <x:c r="B3822" t="str">
        <x:v>PTN Akademik</x:v>
      </x:c>
      <x:c r="C3822" t="str">
        <x:v>UNIVERSITAS MUSAMUS MERAUKE</x:v>
      </x:c>
      <x:c r="D3822" t="str">
        <x:v>EKONOMI PEMBANGUNAN</x:v>
      </x:c>
      <x:c r="E3822" t="str">
        <x:v>Sarjana</x:v>
      </x:c>
      <x:c r="F3822" s="18" t="n">
        <x:v>55</x:v>
      </x:c>
      <x:c r="G3822" s="18" t="n">
        <x:v>2</x:v>
      </x:c>
      <x:c r="H3822" s="19" t="n">
        <x:v>0.03636363636363636</x:v>
      </x:c>
      <x:c r="I3822" s="18" t="n">
        <x:f>ROUND(MIN(Model_Config_v3!$B$6,MAX(Q3822,R3822,S3822*Model_Config_v3!$B$4+T3822*Model_Config_v3!$B$5)),0)</x:f>
        <x:v>602</x:v>
      </x:c>
      <x:c r="J3822" s="18" t="n">
        <x:f>MIN(Model_Config_v3!$B$6,I3822+Model_Config_v3!$B$7)</x:f>
        <x:v>622</x:v>
      </x:c>
      <x:c r="K3822" s="20" t="n">
        <x:v>38.6</x:v>
      </x:c>
      <x:c r="L3822" t="str">
        <x:v>RELATIF LONGGAR</x:v>
      </x:c>
      <x:c r="M3822" t="str">
        <x:v>SEDANG+</x:v>
      </x:c>
      <x:c r="N3822" t="str">
        <x:v>REGULER</x:v>
      </x:c>
      <x:c r="O3822" t="str">
        <x:v>SOSHUM</x:v>
      </x:c>
      <x:c r="P3822" t="str">
        <x:v>BISNIS/EKONOMI/AKUNTANSI</x:v>
      </x:c>
      <x:c r="Q3822" s="18" t="n">
        <x:v>0</x:v>
      </x:c>
      <x:c r="R3822" s="18" t="n">
        <x:v>0</x:v>
      </x:c>
      <x:c r="S3822" s="18" t="n">
        <x:v>520</x:v>
      </x:c>
      <x:c r="T3822" s="18" t="n">
        <x:v>637</x:v>
      </x:c>
      <x:c r="U3822" s="18" t="n">
        <x:v>520</x:v>
      </x:c>
      <x:c r="V3822" s="20" t="n">
        <x:v>4.4</x:v>
      </x:c>
      <x:c r="W3822" s="20" t="n">
        <x:v>14.3</x:v>
      </x:c>
      <x:c r="X3822" s="20" t="n">
        <x:v>3.3</x:v>
      </x:c>
      <x:c r="Y3822" t="str">
        <x:v>Basis arsip 2025/2024</x:v>
      </x:c>
      <x:c r="Z3822" t="str">
        <x:v>https://snpmb.id/utbk-snbt/daya-tampung-snbt</x:v>
      </x:c>
      <x:c r="AA3822" t="str">
        <x:v>Tidak Ada</x:v>
      </x:c>
      <x:c r="AB3822" t="str">
        <x:v>Campus=55; Ratio=0.0; Prodi=65; RelDemand=8.9; Capacity=54.2</x:v>
      </x:c>
    </x:row>
    <x:row r="3823">
      <x:c r="A3823" t="n">
        <x:v>3820</x:v>
      </x:c>
      <x:c r="B3823" t="str">
        <x:v>PTN Akademik</x:v>
      </x:c>
      <x:c r="C3823" t="str">
        <x:v>UNIVERSITAS MUSAMUS MERAUKE</x:v>
      </x:c>
      <x:c r="D3823" t="str">
        <x:v>MANAJEMEN</x:v>
      </x:c>
      <x:c r="E3823" t="str">
        <x:v>Sarjana</x:v>
      </x:c>
      <x:c r="F3823" s="18" t="n">
        <x:v>80</x:v>
      </x:c>
      <x:c r="G3823" s="18" t="n">
        <x:v>59</x:v>
      </x:c>
      <x:c r="H3823" s="19" t="n">
        <x:v>0.7375</x:v>
      </x:c>
      <x:c r="I3823" s="18" t="n">
        <x:f>ROUND(MIN(Model_Config_v3!$B$6,MAX(Q3823,R3823,S3823*Model_Config_v3!$B$4+T3823*Model_Config_v3!$B$5)),0)</x:f>
        <x:v>612</x:v>
      </x:c>
      <x:c r="J3823" s="18" t="n">
        <x:f>MIN(Model_Config_v3!$B$6,I3823+Model_Config_v3!$B$7)</x:f>
        <x:v>632</x:v>
      </x:c>
      <x:c r="K3823" s="20" t="n">
        <x:v>45.6</x:v>
      </x:c>
      <x:c r="L3823" t="str">
        <x:v>MENENGAH</x:v>
      </x:c>
      <x:c r="M3823" t="str">
        <x:v>SEDANG+</x:v>
      </x:c>
      <x:c r="N3823" t="str">
        <x:v>REGULER</x:v>
      </x:c>
      <x:c r="O3823" t="str">
        <x:v>SOSHUM</x:v>
      </x:c>
      <x:c r="P3823" t="str">
        <x:v>BISNIS/EKONOMI/AKUNTANSI</x:v>
      </x:c>
      <x:c r="Q3823" s="18" t="n">
        <x:v>0</x:v>
      </x:c>
      <x:c r="R3823" s="18" t="n">
        <x:v>0</x:v>
      </x:c>
      <x:c r="S3823" s="18" t="n">
        <x:v>520</x:v>
      </x:c>
      <x:c r="T3823" s="18" t="n">
        <x:v>651</x:v>
      </x:c>
      <x:c r="U3823" s="18" t="n">
        <x:v>535</x:v>
      </x:c>
      <x:c r="V3823" s="20" t="n">
        <x:v>4.4</x:v>
      </x:c>
      <x:c r="W3823" s="20" t="n">
        <x:v>14.3</x:v>
      </x:c>
      <x:c r="X3823" s="20" t="n">
        <x:v>3.3</x:v>
      </x:c>
      <x:c r="Y3823" t="str">
        <x:v>Basis arsip 2025/2024</x:v>
      </x:c>
      <x:c r="Z3823" t="str">
        <x:v>https://snpmb.id/utbk-snbt/daya-tampung-snbt</x:v>
      </x:c>
      <x:c r="AA3823" t="str">
        <x:v>Tidak Ada</x:v>
      </x:c>
      <x:c r="AB3823" t="str">
        <x:v>Campus=55; Ratio=0.0; Prodi=65; RelDemand=100.0; Capacity=33.3</x:v>
      </x:c>
    </x:row>
    <x:row r="3824">
      <x:c r="A3824" t="n">
        <x:v>3821</x:v>
      </x:c>
      <x:c r="B3824" t="str">
        <x:v>PTN Akademik</x:v>
      </x:c>
      <x:c r="C3824" t="str">
        <x:v>UNIVERSITAS MUSAMUS MERAUKE</x:v>
      </x:c>
      <x:c r="D3824" t="str">
        <x:v>AKUNTANSI</x:v>
      </x:c>
      <x:c r="E3824" t="str">
        <x:v>Sarjana</x:v>
      </x:c>
      <x:c r="F3824" s="18" t="n">
        <x:v>60</x:v>
      </x:c>
      <x:c r="G3824" s="18" t="n">
        <x:v>35</x:v>
      </x:c>
      <x:c r="H3824" s="19" t="n">
        <x:v>0.5833333333333334</x:v>
      </x:c>
      <x:c r="I3824" s="18" t="n">
        <x:f>ROUND(MIN(Model_Config_v3!$B$6,MAX(Q3824,R3824,S3824*Model_Config_v3!$B$4+T3824*Model_Config_v3!$B$5)),0)</x:f>
        <x:v>614</x:v>
      </x:c>
      <x:c r="J3824" s="18" t="n">
        <x:f>MIN(Model_Config_v3!$B$6,I3824+Model_Config_v3!$B$7)</x:f>
        <x:v>634</x:v>
      </x:c>
      <x:c r="K3824" s="20" t="n">
        <x:v>47.2</x:v>
      </x:c>
      <x:c r="L3824" t="str">
        <x:v>MENENGAH</x:v>
      </x:c>
      <x:c r="M3824" t="str">
        <x:v>SEDANG+</x:v>
      </x:c>
      <x:c r="N3824" t="str">
        <x:v>REGULER</x:v>
      </x:c>
      <x:c r="O3824" t="str">
        <x:v>SOSHUM</x:v>
      </x:c>
      <x:c r="P3824" t="str">
        <x:v>BISNIS/EKONOMI/AKUNTANSI</x:v>
      </x:c>
      <x:c r="Q3824" s="18" t="n">
        <x:v>0</x:v>
      </x:c>
      <x:c r="R3824" s="18" t="n">
        <x:v>0</x:v>
      </x:c>
      <x:c r="S3824" s="18" t="n">
        <x:v>520</x:v>
      </x:c>
      <x:c r="T3824" s="18" t="n">
        <x:v>654</x:v>
      </x:c>
      <x:c r="U3824" s="18" t="n">
        <x:v>520</x:v>
      </x:c>
      <x:c r="V3824" s="20" t="n">
        <x:v>4.4</x:v>
      </x:c>
      <x:c r="W3824" s="20" t="n">
        <x:v>14.3</x:v>
      </x:c>
      <x:c r="X3824" s="20" t="n">
        <x:v>3.3</x:v>
      </x:c>
      <x:c r="Y3824" t="str">
        <x:v>Basis arsip 2025/2024</x:v>
      </x:c>
      <x:c r="Z3824" t="str">
        <x:v>https://snpmb.id/utbk-snbt/daya-tampung-snbt</x:v>
      </x:c>
      <x:c r="AA3824" t="str">
        <x:v>Tidak Ada</x:v>
      </x:c>
      <x:c r="AB3824" t="str">
        <x:v>Campus=55; Ratio=0.0; Prodi=65; RelDemand=100.0; Capacity=50.0</x:v>
      </x:c>
    </x:row>
    <x:row r="3825">
      <x:c r="A3825" t="n">
        <x:v>3822</x:v>
      </x:c>
      <x:c r="B3825" t="str">
        <x:v>PTN Akademik</x:v>
      </x:c>
      <x:c r="C3825" t="str">
        <x:v>UNIVERSITAS MUSAMUS MERAUKE</x:v>
      </x:c>
      <x:c r="D3825" t="str">
        <x:v>ILMU ADMINISTRASI NEGARA</x:v>
      </x:c>
      <x:c r="E3825" t="str">
        <x:v>Sarjana</x:v>
      </x:c>
      <x:c r="F3825" s="18" t="n">
        <x:v>100</x:v>
      </x:c>
      <x:c r="G3825" s="18" t="n">
        <x:v>32</x:v>
      </x:c>
      <x:c r="H3825" s="19" t="n">
        <x:v>0.32</x:v>
      </x:c>
      <x:c r="I3825" s="18" t="n">
        <x:f>ROUND(MIN(Model_Config_v3!$B$6,MAX(Q3825,R3825,S3825*Model_Config_v3!$B$4+T3825*Model_Config_v3!$B$5)),0)</x:f>
        <x:v>600</x:v>
      </x:c>
      <x:c r="J3825" s="18" t="n">
        <x:f>MIN(Model_Config_v3!$B$6,I3825+Model_Config_v3!$B$7)</x:f>
        <x:v>620</x:v>
      </x:c>
      <x:c r="K3825" s="20" t="n">
        <x:v>36.8</x:v>
      </x:c>
      <x:c r="L3825" t="str">
        <x:v>RELATIF LONGGAR</x:v>
      </x:c>
      <x:c r="M3825" t="str">
        <x:v>SEDANG</x:v>
      </x:c>
      <x:c r="N3825" t="str">
        <x:v>REGULER</x:v>
      </x:c>
      <x:c r="O3825" t="str">
        <x:v>SOSHUM</x:v>
      </x:c>
      <x:c r="P3825" t="str">
        <x:v>UMUM</x:v>
      </x:c>
      <x:c r="Q3825" s="18" t="n">
        <x:v>0</x:v>
      </x:c>
      <x:c r="R3825" s="18" t="n">
        <x:v>0</x:v>
      </x:c>
      <x:c r="S3825" s="18" t="n">
        <x:v>520</x:v>
      </x:c>
      <x:c r="T3825" s="18" t="n">
        <x:v>634</x:v>
      </x:c>
      <x:c r="U3825" s="18" t="n">
        <x:v>520</x:v>
      </x:c>
      <x:c r="V3825" s="20" t="n">
        <x:v>4.4</x:v>
      </x:c>
      <x:c r="W3825" s="20" t="n">
        <x:v>14.3</x:v>
      </x:c>
      <x:c r="X3825" s="20" t="n">
        <x:v>3.3</x:v>
      </x:c>
      <x:c r="Y3825" t="str">
        <x:v>Basis arsip 2025/2024</x:v>
      </x:c>
      <x:c r="Z3825" t="str">
        <x:v>https://snpmb.id/utbk-snbt/daya-tampung-snbt</x:v>
      </x:c>
      <x:c r="AA3825" t="str">
        <x:v>Tidak Ada</x:v>
      </x:c>
      <x:c r="AB3825" t="str">
        <x:v>Campus=55; Ratio=0.0; Prodi=40; RelDemand=78.4; Capacity=16.7</x:v>
      </x:c>
    </x:row>
    <x:row r="3826">
      <x:c r="A3826" t="n">
        <x:v>3823</x:v>
      </x:c>
      <x:c r="B3826" t="str">
        <x:v>PTN Akademik</x:v>
      </x:c>
      <x:c r="C3826" t="str">
        <x:v>UNIVERSITAS MUSAMUS MERAUKE</x:v>
      </x:c>
      <x:c r="D3826" t="str">
        <x:v>PENDIDIKAN JASMANI, KESEHATAN DAN REKREASI</x:v>
      </x:c>
      <x:c r="E3826" t="str">
        <x:v>Sarjana</x:v>
      </x:c>
      <x:c r="F3826" s="18" t="n">
        <x:v>65</x:v>
      </x:c>
      <x:c r="G3826" s="18"/>
      <x:c r="H3826" s="19" t="n">
        <x:v>0</x:v>
      </x:c>
      <x:c r="I3826" s="18" t="n">
        <x:f>ROUND(MIN(Model_Config_v3!$B$6,MAX(Q3826,R3826,S3826*Model_Config_v3!$B$4+T3826*Model_Config_v3!$B$5)),0)</x:f>
        <x:v>594</x:v>
      </x:c>
      <x:c r="J3826" s="18" t="n">
        <x:f>MIN(Model_Config_v3!$B$6,I3826+Model_Config_v3!$B$7)</x:f>
        <x:v>614</x:v>
      </x:c>
      <x:c r="K3826" s="20" t="n">
        <x:v>32.8</x:v>
      </x:c>
      <x:c r="L3826" t="str">
        <x:v>RELATIF LONGGAR</x:v>
      </x:c>
      <x:c r="M3826" t="str">
        <x:v>PORTOFOLIO</x:v>
      </x:c>
      <x:c r="N3826" t="str">
        <x:v>REGULER</x:v>
      </x:c>
      <x:c r="O3826" t="str">
        <x:v>SENI/OLAHRAGA</x:v>
      </x:c>
      <x:c r="P3826" t="str">
        <x:v>SENI/OLAHRAGA</x:v>
      </x:c>
      <x:c r="Q3826" s="18" t="n">
        <x:v>0</x:v>
      </x:c>
      <x:c r="R3826" s="18" t="n">
        <x:v>0</x:v>
      </x:c>
      <x:c r="S3826" s="18" t="n">
        <x:v>520</x:v>
      </x:c>
      <x:c r="T3826" s="18" t="n">
        <x:v>626</x:v>
      </x:c>
      <x:c r="U3826" s="18" t="n">
        <x:v>520</x:v>
      </x:c>
      <x:c r="V3826" s="20" t="n">
        <x:v>4.4</x:v>
      </x:c>
      <x:c r="W3826" s="20" t="n">
        <x:v>9.9</x:v>
      </x:c>
      <x:c r="X3826" s="20" t="n">
        <x:v>7.7</x:v>
      </x:c>
      <x:c r="Y3826" t="str">
        <x:v>Basis arsip 2025/2024</x:v>
      </x:c>
      <x:c r="Z3826" t="str">
        <x:v>https://snpmb.id/utbk-snbt/daya-tampung-snbt</x:v>
      </x:c>
      <x:c r="AA3826" t="str">
        <x:v>Olahraga</x:v>
      </x:c>
      <x:c r="AB3826" t="str">
        <x:v>Campus=55; Ratio=0.0; Prodi=45; RelDemand=0.0; Capacity=45.8</x:v>
      </x:c>
    </x:row>
    <x:row r="3827">
      <x:c r="A3827" t="n">
        <x:v>3824</x:v>
      </x:c>
      <x:c r="B3827" t="str">
        <x:v>PTN Akademik</x:v>
      </x:c>
      <x:c r="C3827" t="str">
        <x:v>UNIVERSITAS MUSAMUS MERAUKE</x:v>
      </x:c>
      <x:c r="D3827" t="str">
        <x:v>PENDIDIKAN BAHASA DAN SASTRA INDONESIA</x:v>
      </x:c>
      <x:c r="E3827" t="str">
        <x:v>Sarjana</x:v>
      </x:c>
      <x:c r="F3827" s="18" t="n">
        <x:v>50</x:v>
      </x:c>
      <x:c r="G3827" s="18" t="n">
        <x:v>8</x:v>
      </x:c>
      <x:c r="H3827" s="19" t="n">
        <x:v>0.16</x:v>
      </x:c>
      <x:c r="I3827" s="18" t="n">
        <x:f>ROUND(MIN(Model_Config_v3!$B$6,MAX(Q3827,R3827,S3827*Model_Config_v3!$B$4+T3827*Model_Config_v3!$B$5)),0)</x:f>
        <x:v>601</x:v>
      </x:c>
      <x:c r="J3827" s="18" t="n">
        <x:f>MIN(Model_Config_v3!$B$6,I3827+Model_Config_v3!$B$7)</x:f>
        <x:v>621</x:v>
      </x:c>
      <x:c r="K3827" s="20" t="n">
        <x:v>38</x:v>
      </x:c>
      <x:c r="L3827" t="str">
        <x:v>RELATIF LONGGAR</x:v>
      </x:c>
      <x:c r="M3827" t="str">
        <x:v>SEDANG+</x:v>
      </x:c>
      <x:c r="N3827" t="str">
        <x:v>REGULER</x:v>
      </x:c>
      <x:c r="O3827" t="str">
        <x:v>SOSHUM</x:v>
      </x:c>
      <x:c r="P3827" t="str">
        <x:v>PENDIDIKAN</x:v>
      </x:c>
      <x:c r="Q3827" s="18" t="n">
        <x:v>0</x:v>
      </x:c>
      <x:c r="R3827" s="18" t="n">
        <x:v>0</x:v>
      </x:c>
      <x:c r="S3827" s="18" t="n">
        <x:v>520</x:v>
      </x:c>
      <x:c r="T3827" s="18" t="n">
        <x:v>636</x:v>
      </x:c>
      <x:c r="U3827" s="18" t="n">
        <x:v>520</x:v>
      </x:c>
      <x:c r="V3827" s="20" t="n">
        <x:v>4.4</x:v>
      </x:c>
      <x:c r="W3827" s="20" t="n">
        <x:v>14.3</x:v>
      </x:c>
      <x:c r="X3827" s="20" t="n">
        <x:v>3.3</x:v>
      </x:c>
      <x:c r="Y3827" t="str">
        <x:v>Basis arsip 2025/2024</x:v>
      </x:c>
      <x:c r="Z3827" t="str">
        <x:v>https://snpmb.id/utbk-snbt/daya-tampung-snbt</x:v>
      </x:c>
      <x:c r="AA3827" t="str">
        <x:v>Tidak Ada</x:v>
      </x:c>
      <x:c r="AB3827" t="str">
        <x:v>Campus=55; Ratio=0.0; Prodi=45; RelDemand=39.2; Capacity=58.3</x:v>
      </x:c>
    </x:row>
    <x:row r="3828">
      <x:c r="A3828" t="n">
        <x:v>3825</x:v>
      </x:c>
      <x:c r="B3828" t="str">
        <x:v>PTN Akademik</x:v>
      </x:c>
      <x:c r="C3828" t="str">
        <x:v>UNIVERSITAS MUSAMUS MERAUKE</x:v>
      </x:c>
      <x:c r="D3828" t="str">
        <x:v>PENDIDIKAN BAHASA INGGRIS</x:v>
      </x:c>
      <x:c r="E3828" t="str">
        <x:v>Sarjana</x:v>
      </x:c>
      <x:c r="F3828" s="18" t="n">
        <x:v>19</x:v>
      </x:c>
      <x:c r="G3828" s="18" t="n">
        <x:v>5</x:v>
      </x:c>
      <x:c r="H3828" s="19" t="n">
        <x:v>0.2631578947368421</x:v>
      </x:c>
      <x:c r="I3828" s="18" t="n">
        <x:f>ROUND(MIN(Model_Config_v3!$B$6,MAX(Q3828,R3828,S3828*Model_Config_v3!$B$4+T3828*Model_Config_v3!$B$5)),0)</x:f>
        <x:v>608</x:v>
      </x:c>
      <x:c r="J3828" s="18" t="n">
        <x:f>MIN(Model_Config_v3!$B$6,I3828+Model_Config_v3!$B$7)</x:f>
        <x:v>628</x:v>
      </x:c>
      <x:c r="K3828" s="20" t="n">
        <x:v>43.1</x:v>
      </x:c>
      <x:c r="L3828" t="str">
        <x:v>RELATIF LONGGAR</x:v>
      </x:c>
      <x:c r="M3828" t="str">
        <x:v>SEDANG+</x:v>
      </x:c>
      <x:c r="N3828" t="str">
        <x:v>REGULER</x:v>
      </x:c>
      <x:c r="O3828" t="str">
        <x:v>SOSHUM</x:v>
      </x:c>
      <x:c r="P3828" t="str">
        <x:v>PENDIDIKAN</x:v>
      </x:c>
      <x:c r="Q3828" s="18" t="n">
        <x:v>0</x:v>
      </x:c>
      <x:c r="R3828" s="18" t="n">
        <x:v>0</x:v>
      </x:c>
      <x:c r="S3828" s="18" t="n">
        <x:v>520</x:v>
      </x:c>
      <x:c r="T3828" s="18" t="n">
        <x:v>646</x:v>
      </x:c>
      <x:c r="U3828" s="18" t="n">
        <x:v>520</x:v>
      </x:c>
      <x:c r="V3828" s="20" t="n">
        <x:v>4.4</x:v>
      </x:c>
      <x:c r="W3828" s="20" t="n">
        <x:v>14.3</x:v>
      </x:c>
      <x:c r="X3828" s="20" t="n">
        <x:v>3.3</x:v>
      </x:c>
      <x:c r="Y3828" t="str">
        <x:v>Basis arsip 2025/2024</x:v>
      </x:c>
      <x:c r="Z3828" t="str">
        <x:v>https://snpmb.id/utbk-snbt/daya-tampung-snbt</x:v>
      </x:c>
      <x:c r="AA3828" t="str">
        <x:v>Tidak Ada</x:v>
      </x:c>
      <x:c r="AB3828" t="str">
        <x:v>Campus=55; Ratio=0.0; Prodi=45; RelDemand=64.5; Capacity=84.2</x:v>
      </x:c>
    </x:row>
    <x:row r="3829">
      <x:c r="A3829" t="n">
        <x:v>3826</x:v>
      </x:c>
      <x:c r="B3829" t="str">
        <x:v>PTN Akademik</x:v>
      </x:c>
      <x:c r="C3829" t="str">
        <x:v>UNIVERSITAS MUSAMUS MERAUKE</x:v>
      </x:c>
      <x:c r="D3829" t="str">
        <x:v>PENDIDIKAN GURU SEKOLAH DASAR</x:v>
      </x:c>
      <x:c r="E3829" t="str">
        <x:v>Sarjana</x:v>
      </x:c>
      <x:c r="F3829" s="18" t="n">
        <x:v>80</x:v>
      </x:c>
      <x:c r="G3829" s="18" t="n">
        <x:v>16</x:v>
      </x:c>
      <x:c r="H3829" s="19" t="n">
        <x:v>0.2</x:v>
      </x:c>
      <x:c r="I3829" s="18" t="n">
        <x:f>ROUND(MIN(Model_Config_v3!$B$6,MAX(Q3829,R3829,S3829*Model_Config_v3!$B$4+T3829*Model_Config_v3!$B$5)),0)</x:f>
        <x:v>599</x:v>
      </x:c>
      <x:c r="J3829" s="18" t="n">
        <x:f>MIN(Model_Config_v3!$B$6,I3829+Model_Config_v3!$B$7)</x:f>
        <x:v>619</x:v>
      </x:c>
      <x:c r="K3829" s="20" t="n">
        <x:v>36.5</x:v>
      </x:c>
      <x:c r="L3829" t="str">
        <x:v>RELATIF LONGGAR</x:v>
      </x:c>
      <x:c r="M3829" t="str">
        <x:v>SEDANG+</x:v>
      </x:c>
      <x:c r="N3829" t="str">
        <x:v>REGULER</x:v>
      </x:c>
      <x:c r="O3829" t="str">
        <x:v>CAMPURAN</x:v>
      </x:c>
      <x:c r="P3829" t="str">
        <x:v>PENDIDIKAN</x:v>
      </x:c>
      <x:c r="Q3829" s="18" t="n">
        <x:v>0</x:v>
      </x:c>
      <x:c r="R3829" s="18" t="n">
        <x:v>0</x:v>
      </x:c>
      <x:c r="S3829" s="18" t="n">
        <x:v>520</x:v>
      </x:c>
      <x:c r="T3829" s="18" t="n">
        <x:v>633</x:v>
      </x:c>
      <x:c r="U3829" s="18" t="n">
        <x:v>520</x:v>
      </x:c>
      <x:c r="V3829" s="20" t="n">
        <x:v>8.8</x:v>
      </x:c>
      <x:c r="W3829" s="20" t="n">
        <x:v>9.9</x:v>
      </x:c>
      <x:c r="X3829" s="20" t="n">
        <x:v>3.3</x:v>
      </x:c>
      <x:c r="Y3829" t="str">
        <x:v>Basis arsip 2025/2024</x:v>
      </x:c>
      <x:c r="Z3829" t="str">
        <x:v>https://snpmb.id/utbk-snbt/daya-tampung-snbt</x:v>
      </x:c>
      <x:c r="AA3829" t="str">
        <x:v>Tidak Ada</x:v>
      </x:c>
      <x:c r="AB3829" t="str">
        <x:v>Campus=55; Ratio=0.0; Prodi=45; RelDemand=49.0; Capacity=33.3</x:v>
      </x:c>
    </x:row>
    <x:row r="3830">
      <x:c r="A3830" t="n">
        <x:v>3827</x:v>
      </x:c>
      <x:c r="B3830" t="str">
        <x:v>PTN Akademik</x:v>
      </x:c>
      <x:c r="C3830" t="str">
        <x:v>UNIVERSITAS MUSAMUS MERAUKE</x:v>
      </x:c>
      <x:c r="D3830" t="str">
        <x:v>PENDIDIKAN GURU PENDIDIKAN ANAK USIA DINI</x:v>
      </x:c>
      <x:c r="E3830" t="str">
        <x:v>Sarjana</x:v>
      </x:c>
      <x:c r="F3830" s="18" t="n">
        <x:v>25</x:v>
      </x:c>
      <x:c r="G3830" s="18" t="n">
        <x:v>3</x:v>
      </x:c>
      <x:c r="H3830" s="19" t="n">
        <x:v>0.12</x:v>
      </x:c>
      <x:c r="I3830" s="18" t="n">
        <x:f>ROUND(MIN(Model_Config_v3!$B$6,MAX(Q3830,R3830,S3830*Model_Config_v3!$B$4+T3830*Model_Config_v3!$B$5)),0)</x:f>
        <x:v>603</x:v>
      </x:c>
      <x:c r="J3830" s="18" t="n">
        <x:f>MIN(Model_Config_v3!$B$6,I3830+Model_Config_v3!$B$7)</x:f>
        <x:v>623</x:v>
      </x:c>
      <x:c r="K3830" s="20" t="n">
        <x:v>39.1</x:v>
      </x:c>
      <x:c r="L3830" t="str">
        <x:v>RELATIF LONGGAR</x:v>
      </x:c>
      <x:c r="M3830" t="str">
        <x:v>SEDANG+</x:v>
      </x:c>
      <x:c r="N3830" t="str">
        <x:v>REGULER</x:v>
      </x:c>
      <x:c r="O3830" t="str">
        <x:v>CAMPURAN</x:v>
      </x:c>
      <x:c r="P3830" t="str">
        <x:v>PENDIDIKAN</x:v>
      </x:c>
      <x:c r="Q3830" s="18" t="n">
        <x:v>0</x:v>
      </x:c>
      <x:c r="R3830" s="18" t="n">
        <x:v>0</x:v>
      </x:c>
      <x:c r="S3830" s="18" t="n">
        <x:v>520</x:v>
      </x:c>
      <x:c r="T3830" s="18" t="n">
        <x:v>638</x:v>
      </x:c>
      <x:c r="U3830" s="18" t="n">
        <x:v>520</x:v>
      </x:c>
      <x:c r="V3830" s="20" t="n">
        <x:v>8.8</x:v>
      </x:c>
      <x:c r="W3830" s="20" t="n">
        <x:v>9.9</x:v>
      </x:c>
      <x:c r="X3830" s="20" t="n">
        <x:v>3.3</x:v>
      </x:c>
      <x:c r="Y3830" t="str">
        <x:v>Basis arsip 2025/2024</x:v>
      </x:c>
      <x:c r="Z3830" t="str">
        <x:v>https://snpmb.id/utbk-snbt/daya-tampung-snbt</x:v>
      </x:c>
      <x:c r="AA3830" t="str">
        <x:v>Tidak Ada</x:v>
      </x:c>
      <x:c r="AB3830" t="str">
        <x:v>Campus=55; Ratio=0.0; Prodi=45; RelDemand=29.4; Capacity=79.2</x:v>
      </x:c>
    </x:row>
    <x:row r="3831">
      <x:c r="A3831" t="n">
        <x:v>3828</x:v>
      </x:c>
      <x:c r="B3831" t="str">
        <x:v>PTN Akademik</x:v>
      </x:c>
      <x:c r="C3831" t="str">
        <x:v>UNIVERSITAS MUSAMUS MERAUKE</x:v>
      </x:c>
      <x:c r="D3831" t="str">
        <x:v>ILMU HUKUM</x:v>
      </x:c>
      <x:c r="E3831" t="str">
        <x:v>Sarjana</x:v>
      </x:c>
      <x:c r="F3831" s="18" t="n">
        <x:v>80</x:v>
      </x:c>
      <x:c r="G3831" s="18" t="n">
        <x:v>32</x:v>
      </x:c>
      <x:c r="H3831" s="19" t="n">
        <x:v>0.4</x:v>
      </x:c>
      <x:c r="I3831" s="18" t="n">
        <x:f>ROUND(MIN(Model_Config_v3!$B$6,MAX(Q3831,R3831,S3831*Model_Config_v3!$B$4+T3831*Model_Config_v3!$B$5)),0)</x:f>
        <x:v>612</x:v>
      </x:c>
      <x:c r="J3831" s="18" t="n">
        <x:f>MIN(Model_Config_v3!$B$6,I3831+Model_Config_v3!$B$7)</x:f>
        <x:v>632</x:v>
      </x:c>
      <x:c r="K3831" s="20" t="n">
        <x:v>45.4</x:v>
      </x:c>
      <x:c r="L3831" t="str">
        <x:v>MENENGAH</x:v>
      </x:c>
      <x:c r="M3831" t="str">
        <x:v>SEDANG+</x:v>
      </x:c>
      <x:c r="N3831" t="str">
        <x:v>REGULER</x:v>
      </x:c>
      <x:c r="O3831" t="str">
        <x:v>SOSHUM</x:v>
      </x:c>
      <x:c r="P3831" t="str">
        <x:v>HUKUM</x:v>
      </x:c>
      <x:c r="Q3831" s="18" t="n">
        <x:v>0</x:v>
      </x:c>
      <x:c r="R3831" s="18" t="n">
        <x:v>0</x:v>
      </x:c>
      <x:c r="S3831" s="18" t="n">
        <x:v>520</x:v>
      </x:c>
      <x:c r="T3831" s="18" t="n">
        <x:v>651</x:v>
      </x:c>
      <x:c r="U3831" s="18" t="n">
        <x:v>535</x:v>
      </x:c>
      <x:c r="V3831" s="20" t="n">
        <x:v>4.4</x:v>
      </x:c>
      <x:c r="W3831" s="20" t="n">
        <x:v>14.3</x:v>
      </x:c>
      <x:c r="X3831" s="20" t="n">
        <x:v>3.3</x:v>
      </x:c>
      <x:c r="Y3831" t="str">
        <x:v>Basis arsip 2025/2024</x:v>
      </x:c>
      <x:c r="Z3831" t="str">
        <x:v>https://snpmb.id/utbk-snbt/daya-tampung-snbt</x:v>
      </x:c>
      <x:c r="AA3831" t="str">
        <x:v>Tidak Ada</x:v>
      </x:c>
      <x:c r="AB3831" t="str">
        <x:v>Campus=55; Ratio=0.0; Prodi=65; RelDemand=98.0; Capacity=33.3</x:v>
      </x:c>
    </x:row>
    <x:row r="3832">
      <x:c r="A3832" t="n">
        <x:v>3829</x:v>
      </x:c>
      <x:c r="B3832" t="str">
        <x:v>PTN Akademik</x:v>
      </x:c>
      <x:c r="C3832" t="str">
        <x:v>UNIVERSITAS MUSAMUS MERAUKE</x:v>
      </x:c>
      <x:c r="D3832" t="str">
        <x:v>SASTRA INGGRIS</x:v>
      </x:c>
      <x:c r="E3832" t="str">
        <x:v>Sarjana</x:v>
      </x:c>
      <x:c r="F3832" s="18" t="n">
        <x:v>25</x:v>
      </x:c>
      <x:c r="G3832" s="18" t="n">
        <x:v>5</x:v>
      </x:c>
      <x:c r="H3832" s="19" t="n">
        <x:v>0.2</x:v>
      </x:c>
      <x:c r="I3832" s="18" t="n">
        <x:f>ROUND(MIN(Model_Config_v3!$B$6,MAX(Q3832,R3832,S3832*Model_Config_v3!$B$4+T3832*Model_Config_v3!$B$5)),0)</x:f>
        <x:v>604</x:v>
      </x:c>
      <x:c r="J3832" s="18" t="n">
        <x:f>MIN(Model_Config_v3!$B$6,I3832+Model_Config_v3!$B$7)</x:f>
        <x:v>624</x:v>
      </x:c>
      <x:c r="K3832" s="20" t="n">
        <x:v>40.1</x:v>
      </x:c>
      <x:c r="L3832" t="str">
        <x:v>RELATIF LONGGAR</x:v>
      </x:c>
      <x:c r="M3832" t="str">
        <x:v>SEDANG</x:v>
      </x:c>
      <x:c r="N3832" t="str">
        <x:v>REGULER</x:v>
      </x:c>
      <x:c r="O3832" t="str">
        <x:v>SOSHUM</x:v>
      </x:c>
      <x:c r="P3832" t="str">
        <x:v>UMUM</x:v>
      </x:c>
      <x:c r="Q3832" s="18" t="n">
        <x:v>0</x:v>
      </x:c>
      <x:c r="R3832" s="18" t="n">
        <x:v>0</x:v>
      </x:c>
      <x:c r="S3832" s="18" t="n">
        <x:v>520</x:v>
      </x:c>
      <x:c r="T3832" s="18" t="n">
        <x:v>640</x:v>
      </x:c>
      <x:c r="U3832" s="18" t="n">
        <x:v>520</x:v>
      </x:c>
      <x:c r="V3832" s="20" t="n">
        <x:v>4.4</x:v>
      </x:c>
      <x:c r="W3832" s="20" t="n">
        <x:v>14.3</x:v>
      </x:c>
      <x:c r="X3832" s="20" t="n">
        <x:v>3.3</x:v>
      </x:c>
      <x:c r="Y3832" t="str">
        <x:v>Basis arsip 2025/2024</x:v>
      </x:c>
      <x:c r="Z3832" t="str">
        <x:v>https://snpmb.id/utbk-snbt/daya-tampung-snbt</x:v>
      </x:c>
      <x:c r="AA3832" t="str">
        <x:v>Tidak Ada</x:v>
      </x:c>
      <x:c r="AB3832" t="str">
        <x:v>Campus=55; Ratio=0.0; Prodi=40; RelDemand=49.0; Capacity=79.2</x:v>
      </x:c>
    </x:row>
    <x:row r="3833">
      <x:c r="A3833" t="n">
        <x:v>3830</x:v>
      </x:c>
      <x:c r="B3833" t="str">
        <x:v>PTN Akademik</x:v>
      </x:c>
      <x:c r="C3833" t="str">
        <x:v>UNIVERSITAS MUSAMUS MERAUKE</x:v>
      </x:c>
      <x:c r="D3833" t="str">
        <x:v>PENDIDIKAN EKONOMI</x:v>
      </x:c>
      <x:c r="E3833" t="str">
        <x:v>Sarjana</x:v>
      </x:c>
      <x:c r="F3833" s="18" t="n">
        <x:v>35</x:v>
      </x:c>
      <x:c r="G3833" s="18" t="n">
        <x:v>3</x:v>
      </x:c>
      <x:c r="H3833" s="19" t="n">
        <x:v>0.08571428571428572</x:v>
      </x:c>
      <x:c r="I3833" s="18" t="n">
        <x:f>ROUND(MIN(Model_Config_v3!$B$6,MAX(Q3833,R3833,S3833*Model_Config_v3!$B$4+T3833*Model_Config_v3!$B$5)),0)</x:f>
        <x:v>601</x:v>
      </x:c>
      <x:c r="J3833" s="18" t="n">
        <x:f>MIN(Model_Config_v3!$B$6,I3833+Model_Config_v3!$B$7)</x:f>
        <x:v>621</x:v>
      </x:c>
      <x:c r="K3833" s="20" t="n">
        <x:v>37.4</x:v>
      </x:c>
      <x:c r="L3833" t="str">
        <x:v>RELATIF LONGGAR</x:v>
      </x:c>
      <x:c r="M3833" t="str">
        <x:v>SEDANG+</x:v>
      </x:c>
      <x:c r="N3833" t="str">
        <x:v>REGULER</x:v>
      </x:c>
      <x:c r="O3833" t="str">
        <x:v>SOSHUM</x:v>
      </x:c>
      <x:c r="P3833" t="str">
        <x:v>PENDIDIKAN</x:v>
      </x:c>
      <x:c r="Q3833" s="18" t="n">
        <x:v>0</x:v>
      </x:c>
      <x:c r="R3833" s="18" t="n">
        <x:v>0</x:v>
      </x:c>
      <x:c r="S3833" s="18" t="n">
        <x:v>520</x:v>
      </x:c>
      <x:c r="T3833" s="18" t="n">
        <x:v>635</x:v>
      </x:c>
      <x:c r="U3833" s="18" t="n">
        <x:v>520</x:v>
      </x:c>
      <x:c r="V3833" s="20" t="n">
        <x:v>4.4</x:v>
      </x:c>
      <x:c r="W3833" s="20" t="n">
        <x:v>14.3</x:v>
      </x:c>
      <x:c r="X3833" s="20" t="n">
        <x:v>3.3</x:v>
      </x:c>
      <x:c r="Y3833" t="str">
        <x:v>Basis arsip 2025/2024</x:v>
      </x:c>
      <x:c r="Z3833" t="str">
        <x:v>https://snpmb.id/utbk-snbt/daya-tampung-snbt</x:v>
      </x:c>
      <x:c r="AA3833" t="str">
        <x:v>Tidak Ada</x:v>
      </x:c>
      <x:c r="AB3833" t="str">
        <x:v>Campus=55; Ratio=0.0; Prodi=45; RelDemand=21.0; Capacity=70.8</x:v>
      </x:c>
    </x:row>
    <x:row r="3834">
      <x:c r="A3834" t="n">
        <x:v>3831</x:v>
      </x:c>
      <x:c r="B3834" t="str">
        <x:v>PTN Akademik</x:v>
      </x:c>
      <x:c r="C3834" t="str">
        <x:v>UNIVERSITAS MUSAMUS MERAUKE</x:v>
      </x:c>
      <x:c r="D3834" t="str">
        <x:v>PERENCANAAN WILAYAH DAN KOTA</x:v>
      </x:c>
      <x:c r="E3834" t="str">
        <x:v>Sarjana</x:v>
      </x:c>
      <x:c r="F3834" s="18" t="n">
        <x:v>40</x:v>
      </x:c>
      <x:c r="G3834" s="18"/>
      <x:c r="H3834" s="19" t="n">
        <x:v>0</x:v>
      </x:c>
      <x:c r="I3834" s="18" t="n">
        <x:f>ROUND(MIN(Model_Config_v3!$B$6,MAX(Q3834,R3834,S3834*Model_Config_v3!$B$4+T3834*Model_Config_v3!$B$5)),0)</x:f>
        <x:v>596</x:v>
      </x:c>
      <x:c r="J3834" s="18" t="n">
        <x:f>MIN(Model_Config_v3!$B$6,I3834+Model_Config_v3!$B$7)</x:f>
        <x:v>616</x:v>
      </x:c>
      <x:c r="K3834" s="20" t="n">
        <x:v>33.9</x:v>
      </x:c>
      <x:c r="L3834" t="str">
        <x:v>RELATIF LONGGAR</x:v>
      </x:c>
      <x:c r="M3834" t="str">
        <x:v>RENDAH</x:v>
      </x:c>
      <x:c r="N3834" t="str">
        <x:v>REGULER</x:v>
      </x:c>
      <x:c r="O3834" t="str">
        <x:v>CAMPURAN</x:v>
      </x:c>
      <x:c r="P3834" t="str">
        <x:v>UMUM</x:v>
      </x:c>
      <x:c r="Q3834" s="18" t="n">
        <x:v>0</x:v>
      </x:c>
      <x:c r="R3834" s="18" t="n">
        <x:v>0</x:v>
      </x:c>
      <x:c r="S3834" s="18" t="n">
        <x:v>520</x:v>
      </x:c>
      <x:c r="T3834" s="18" t="n">
        <x:v>628</x:v>
      </x:c>
      <x:c r="U3834" s="18" t="n">
        <x:v>520</x:v>
      </x:c>
      <x:c r="V3834" s="20" t="n">
        <x:v>8.8</x:v>
      </x:c>
      <x:c r="W3834" s="20" t="n">
        <x:v>9.9</x:v>
      </x:c>
      <x:c r="X3834" s="20" t="n">
        <x:v>3.3</x:v>
      </x:c>
      <x:c r="Y3834" t="str">
        <x:v>Basis arsip 2025/2024</x:v>
      </x:c>
      <x:c r="Z3834" t="str">
        <x:v>https://snpmb.id/utbk-snbt/daya-tampung-snbt</x:v>
      </x:c>
      <x:c r="AA3834" t="str">
        <x:v>Tidak Ada</x:v>
      </x:c>
      <x:c r="AB3834" t="str">
        <x:v>Campus=55; Ratio=0.0; Prodi=40; RelDemand=0.0; Capacity=66.7</x:v>
      </x:c>
    </x:row>
    <x:row r="3835">
      <x:c r="A3835" t="n">
        <x:v>3832</x:v>
      </x:c>
      <x:c r="B3835" t="str">
        <x:v>PTN Akademik</x:v>
      </x:c>
      <x:c r="C3835" t="str">
        <x:v>UNIVERSITAS MUSAMUS MERAUKE</x:v>
      </x:c>
      <x:c r="D3835" t="str">
        <x:v>TEKNIK SISTEM PERKAPALAN</x:v>
      </x:c>
      <x:c r="E3835" t="str">
        <x:v>Sarjana</x:v>
      </x:c>
      <x:c r="F3835" s="18" t="n">
        <x:v>20</x:v>
      </x:c>
      <x:c r="G3835" s="18"/>
      <x:c r="H3835" s="19" t="n">
        <x:v>0</x:v>
      </x:c>
      <x:c r="I3835" s="18" t="n">
        <x:f>ROUND(MIN(Model_Config_v3!$B$6,MAX(Q3835,R3835,S3835*Model_Config_v3!$B$4+T3835*Model_Config_v3!$B$5)),0)</x:f>
        <x:v>603</x:v>
      </x:c>
      <x:c r="J3835" s="18" t="n">
        <x:f>MIN(Model_Config_v3!$B$6,I3835+Model_Config_v3!$B$7)</x:f>
        <x:v>623</x:v>
      </x:c>
      <x:c r="K3835" s="20" t="n">
        <x:v>39.6</x:v>
      </x:c>
      <x:c r="L3835" t="str">
        <x:v>RELATIF LONGGAR</x:v>
      </x:c>
      <x:c r="M3835" t="str">
        <x:v>RENDAH</x:v>
      </x:c>
      <x:c r="N3835" t="str">
        <x:v>REGULER</x:v>
      </x:c>
      <x:c r="O3835" t="str">
        <x:v>SAINTEK</x:v>
      </x:c>
      <x:c r="P3835" t="str">
        <x:v>TEKNIK/ARSITEKTUR/STATISTIKA/AKTUARIA</x:v>
      </x:c>
      <x:c r="Q3835" s="18" t="n">
        <x:v>0</x:v>
      </x:c>
      <x:c r="R3835" s="18" t="n">
        <x:v>0</x:v>
      </x:c>
      <x:c r="S3835" s="18" t="n">
        <x:v>520</x:v>
      </x:c>
      <x:c r="T3835" s="18" t="n">
        <x:v>639</x:v>
      </x:c>
      <x:c r="U3835" s="18" t="n">
        <x:v>530</x:v>
      </x:c>
      <x:c r="V3835" s="20" t="n">
        <x:v>12</x:v>
      </x:c>
      <x:c r="W3835" s="20" t="n">
        <x:v>5</x:v>
      </x:c>
      <x:c r="X3835" s="20" t="n">
        <x:v>3</x:v>
      </x:c>
      <x:c r="Y3835" t="str">
        <x:v>Basis arsip 2025/2024</x:v>
      </x:c>
      <x:c r="Z3835" t="str">
        <x:v>https://snpmb.id/utbk-snbt/daya-tampung-snbt</x:v>
      </x:c>
      <x:c r="AA3835" t="str">
        <x:v>Tidak Ada</x:v>
      </x:c>
      <x:c r="AB3835" t="str">
        <x:v>Campus=55; Ratio=0.0; Prodi=60; RelDemand=0.0; Capacity=83.3</x:v>
      </x:c>
    </x:row>
    <x:row r="3836">
      <x:c r="A3836" t="n">
        <x:v>3833</x:v>
      </x:c>
      <x:c r="B3836" t="str">
        <x:v>PTN Akademik</x:v>
      </x:c>
      <x:c r="C3836" t="str">
        <x:v>UNIVERSITAS MUSAMUS MERAUKE</x:v>
      </x:c>
      <x:c r="D3836" t="str">
        <x:v>ILMU POLITIK</x:v>
      </x:c>
      <x:c r="E3836" t="str">
        <x:v>Sarjana</x:v>
      </x:c>
      <x:c r="F3836" s="18" t="n">
        <x:v>28</x:v>
      </x:c>
      <x:c r="G3836" s="18"/>
      <x:c r="H3836" s="19" t="n">
        <x:v>0</x:v>
      </x:c>
      <x:c r="I3836" s="18" t="n">
        <x:f>ROUND(MIN(Model_Config_v3!$B$6,MAX(Q3836,R3836,S3836*Model_Config_v3!$B$4+T3836*Model_Config_v3!$B$5)),0)</x:f>
        <x:v>597</x:v>
      </x:c>
      <x:c r="J3836" s="18" t="n">
        <x:f>MIN(Model_Config_v3!$B$6,I3836+Model_Config_v3!$B$7)</x:f>
        <x:v>617</x:v>
      </x:c>
      <x:c r="K3836" s="20" t="n">
        <x:v>34.9</x:v>
      </x:c>
      <x:c r="L3836" t="str">
        <x:v>RELATIF LONGGAR</x:v>
      </x:c>
      <x:c r="M3836" t="str">
        <x:v>RENDAH</x:v>
      </x:c>
      <x:c r="N3836" t="str">
        <x:v>REGULER</x:v>
      </x:c>
      <x:c r="O3836" t="str">
        <x:v>SOSHUM</x:v>
      </x:c>
      <x:c r="P3836" t="str">
        <x:v>UMUM</x:v>
      </x:c>
      <x:c r="Q3836" s="18" t="n">
        <x:v>0</x:v>
      </x:c>
      <x:c r="R3836" s="18" t="n">
        <x:v>0</x:v>
      </x:c>
      <x:c r="S3836" s="18" t="n">
        <x:v>520</x:v>
      </x:c>
      <x:c r="T3836" s="18" t="n">
        <x:v>630</x:v>
      </x:c>
      <x:c r="U3836" s="18" t="n">
        <x:v>520</x:v>
      </x:c>
      <x:c r="V3836" s="20" t="n">
        <x:v>4.4</x:v>
      </x:c>
      <x:c r="W3836" s="20" t="n">
        <x:v>14.3</x:v>
      </x:c>
      <x:c r="X3836" s="20" t="n">
        <x:v>3.3</x:v>
      </x:c>
      <x:c r="Y3836" t="str">
        <x:v>Basis arsip 2025/2024</x:v>
      </x:c>
      <x:c r="Z3836" t="str">
        <x:v>https://snpmb.id/utbk-snbt/daya-tampung-snbt</x:v>
      </x:c>
      <x:c r="AA3836" t="str">
        <x:v>Tidak Ada</x:v>
      </x:c>
      <x:c r="AB3836" t="str">
        <x:v>Campus=55; Ratio=0.0; Prodi=40; RelDemand=0.0; Capacity=76.7</x:v>
      </x:c>
    </x:row>
    <x:row r="3837">
      <x:c r="A3837" t="n">
        <x:v>3834</x:v>
      </x:c>
      <x:c r="B3837" t="str">
        <x:v>PTN Akademik</x:v>
      </x:c>
      <x:c r="C3837" t="str">
        <x:v>UNIVERSITAS MUSAMUS MERAUKE</x:v>
      </x:c>
      <x:c r="D3837" t="str">
        <x:v>PEMBANGUNAN SOSIAL</x:v>
      </x:c>
      <x:c r="E3837" t="str">
        <x:v>Sarjana</x:v>
      </x:c>
      <x:c r="F3837" s="18" t="n">
        <x:v>28</x:v>
      </x:c>
      <x:c r="G3837" s="18"/>
      <x:c r="H3837" s="19" t="n">
        <x:v>0</x:v>
      </x:c>
      <x:c r="I3837" s="18" t="n">
        <x:f>ROUND(MIN(Model_Config_v3!$B$6,MAX(Q3837,R3837,S3837*Model_Config_v3!$B$4+T3837*Model_Config_v3!$B$5)),0)</x:f>
        <x:v>597</x:v>
      </x:c>
      <x:c r="J3837" s="18" t="n">
        <x:f>MIN(Model_Config_v3!$B$6,I3837+Model_Config_v3!$B$7)</x:f>
        <x:v>617</x:v>
      </x:c>
      <x:c r="K3837" s="20" t="n">
        <x:v>34.9</x:v>
      </x:c>
      <x:c r="L3837" t="str">
        <x:v>RELATIF LONGGAR</x:v>
      </x:c>
      <x:c r="M3837" t="str">
        <x:v>RENDAH</x:v>
      </x:c>
      <x:c r="N3837" t="str">
        <x:v>REGULER</x:v>
      </x:c>
      <x:c r="O3837" t="str">
        <x:v>CAMPURAN</x:v>
      </x:c>
      <x:c r="P3837" t="str">
        <x:v>UMUM</x:v>
      </x:c>
      <x:c r="Q3837" s="18" t="n">
        <x:v>0</x:v>
      </x:c>
      <x:c r="R3837" s="18" t="n">
        <x:v>0</x:v>
      </x:c>
      <x:c r="S3837" s="18" t="n">
        <x:v>520</x:v>
      </x:c>
      <x:c r="T3837" s="18" t="n">
        <x:v>630</x:v>
      </x:c>
      <x:c r="U3837" s="18" t="n">
        <x:v>520</x:v>
      </x:c>
      <x:c r="V3837" s="20" t="n">
        <x:v>8.8</x:v>
      </x:c>
      <x:c r="W3837" s="20" t="n">
        <x:v>9.9</x:v>
      </x:c>
      <x:c r="X3837" s="20" t="n">
        <x:v>3.3</x:v>
      </x:c>
      <x:c r="Y3837" t="str">
        <x:v>Basis arsip 2025/2024</x:v>
      </x:c>
      <x:c r="Z3837" t="str">
        <x:v>https://snpmb.id/utbk-snbt/daya-tampung-snbt</x:v>
      </x:c>
      <x:c r="AA3837" t="str">
        <x:v>Tidak Ada</x:v>
      </x:c>
      <x:c r="AB3837" t="str">
        <x:v>Campus=55; Ratio=0.0; Prodi=40; RelDemand=0.0; Capacity=76.7</x:v>
      </x:c>
    </x:row>
    <x:row r="3838">
      <x:c r="A3838" t="n">
        <x:v>3835</x:v>
      </x:c>
      <x:c r="B3838" t="str">
        <x:v>PTN Akademik</x:v>
      </x:c>
      <x:c r="C3838" t="str">
        <x:v>ISBI TANAH PAPUA</x:v>
      </x:c>
      <x:c r="D3838" t="str">
        <x:v>DESAIN KOMUNIKASI VISUAL</x:v>
      </x:c>
      <x:c r="E3838" t="str">
        <x:v>Sarjana</x:v>
      </x:c>
      <x:c r="F3838" s="18" t="n">
        <x:v>14</x:v>
      </x:c>
      <x:c r="G3838" s="18"/>
      <x:c r="H3838" s="19" t="n">
        <x:v>0</x:v>
      </x:c>
      <x:c r="I3838" s="18" t="n">
        <x:f>ROUND(MIN(Model_Config_v3!$B$6,MAX(Q3838,R3838,S3838*Model_Config_v3!$B$4+T3838*Model_Config_v3!$B$5)),0)</x:f>
        <x:v>607</x:v>
      </x:c>
      <x:c r="J3838" s="18" t="n">
        <x:f>MIN(Model_Config_v3!$B$6,I3838+Model_Config_v3!$B$7)</x:f>
        <x:v>627</x:v>
      </x:c>
      <x:c r="K3838" s="20" t="n">
        <x:v>42.1</x:v>
      </x:c>
      <x:c r="L3838" t="str">
        <x:v>RELATIF LONGGAR</x:v>
      </x:c>
      <x:c r="M3838" t="str">
        <x:v>PORTOFOLIO</x:v>
      </x:c>
      <x:c r="N3838" t="str">
        <x:v>REGULER</x:v>
      </x:c>
      <x:c r="O3838" t="str">
        <x:v>SENI/OLAHRAGA</x:v>
      </x:c>
      <x:c r="P3838" t="str">
        <x:v>SENI/OLAHRAGA</x:v>
      </x:c>
      <x:c r="Q3838" s="18" t="n">
        <x:v>0</x:v>
      </x:c>
      <x:c r="R3838" s="18" t="n">
        <x:v>0</x:v>
      </x:c>
      <x:c r="S3838" s="18" t="n">
        <x:v>520</x:v>
      </x:c>
      <x:c r="T3838" s="18" t="n">
        <x:v>644</x:v>
      </x:c>
      <x:c r="U3838" s="18" t="n">
        <x:v>520</x:v>
      </x:c>
      <x:c r="V3838" s="20" t="n">
        <x:v>4.4</x:v>
      </x:c>
      <x:c r="W3838" s="20" t="n">
        <x:v>9.9</x:v>
      </x:c>
      <x:c r="X3838" s="20" t="n">
        <x:v>7.7</x:v>
      </x:c>
      <x:c r="Y3838" t="str">
        <x:v>Basis arsip 2025/2024</x:v>
      </x:c>
      <x:c r="Z3838" t="str">
        <x:v>https://snpmb.id/utbk-snbt/daya-tampung-snbt</x:v>
      </x:c>
      <x:c r="AA3838" t="str">
        <x:v>Seni Rupa, Desain, dan Kriya</x:v>
      </x:c>
      <x:c r="AB3838" t="str">
        <x:v>Campus=55; Ratio=0.0; Prodi=45; RelDemand=50.0; Capacity=88.3</x:v>
      </x:c>
    </x:row>
    <x:row r="3839">
      <x:c r="A3839" t="n">
        <x:v>3836</x:v>
      </x:c>
      <x:c r="B3839" t="str">
        <x:v>PTN Akademik</x:v>
      </x:c>
      <x:c r="C3839" t="str">
        <x:v>ISBI TANAH PAPUA</x:v>
      </x:c>
      <x:c r="D3839" t="str">
        <x:v>SENI RUPA MURNI</x:v>
      </x:c>
      <x:c r="E3839" t="str">
        <x:v>Sarjana</x:v>
      </x:c>
      <x:c r="F3839" s="18" t="n">
        <x:v>14</x:v>
      </x:c>
      <x:c r="G3839" s="18"/>
      <x:c r="H3839" s="19" t="n">
        <x:v>0</x:v>
      </x:c>
      <x:c r="I3839" s="18" t="n">
        <x:f>ROUND(MIN(Model_Config_v3!$B$6,MAX(Q3839,R3839,S3839*Model_Config_v3!$B$4+T3839*Model_Config_v3!$B$5)),0)</x:f>
        <x:v>607</x:v>
      </x:c>
      <x:c r="J3839" s="18" t="n">
        <x:f>MIN(Model_Config_v3!$B$6,I3839+Model_Config_v3!$B$7)</x:f>
        <x:v>627</x:v>
      </x:c>
      <x:c r="K3839" s="20" t="n">
        <x:v>42.1</x:v>
      </x:c>
      <x:c r="L3839" t="str">
        <x:v>RELATIF LONGGAR</x:v>
      </x:c>
      <x:c r="M3839" t="str">
        <x:v>PORTOFOLIO</x:v>
      </x:c>
      <x:c r="N3839" t="str">
        <x:v>REGULER</x:v>
      </x:c>
      <x:c r="O3839" t="str">
        <x:v>SENI/OLAHRAGA</x:v>
      </x:c>
      <x:c r="P3839" t="str">
        <x:v>SENI/OLAHRAGA</x:v>
      </x:c>
      <x:c r="Q3839" s="18" t="n">
        <x:v>0</x:v>
      </x:c>
      <x:c r="R3839" s="18" t="n">
        <x:v>0</x:v>
      </x:c>
      <x:c r="S3839" s="18" t="n">
        <x:v>520</x:v>
      </x:c>
      <x:c r="T3839" s="18" t="n">
        <x:v>644</x:v>
      </x:c>
      <x:c r="U3839" s="18" t="n">
        <x:v>520</x:v>
      </x:c>
      <x:c r="V3839" s="20" t="n">
        <x:v>4.4</x:v>
      </x:c>
      <x:c r="W3839" s="20" t="n">
        <x:v>9.9</x:v>
      </x:c>
      <x:c r="X3839" s="20" t="n">
        <x:v>7.7</x:v>
      </x:c>
      <x:c r="Y3839" t="str">
        <x:v>Basis arsip 2025/2024</x:v>
      </x:c>
      <x:c r="Z3839" t="str">
        <x:v>https://snpmb.id/utbk-snbt/daya-tampung-snbt</x:v>
      </x:c>
      <x:c r="AA3839" t="str">
        <x:v>Seni Rupa, Desain, dan Kriya</x:v>
      </x:c>
      <x:c r="AB3839" t="str">
        <x:v>Campus=55; Ratio=0.0; Prodi=45; RelDemand=50.0; Capacity=88.3</x:v>
      </x:c>
    </x:row>
    <x:row r="3840">
      <x:c r="A3840" t="n">
        <x:v>3837</x:v>
      </x:c>
      <x:c r="B3840" t="str">
        <x:v>PTN Akademik</x:v>
      </x:c>
      <x:c r="C3840" t="str">
        <x:v>ISBI TANAH PAPUA</x:v>
      </x:c>
      <x:c r="D3840" t="str">
        <x:v>SENI KRIYA</x:v>
      </x:c>
      <x:c r="E3840" t="str">
        <x:v>Sarjana</x:v>
      </x:c>
      <x:c r="F3840" s="18" t="n">
        <x:v>14</x:v>
      </x:c>
      <x:c r="G3840" s="18"/>
      <x:c r="H3840" s="19" t="n">
        <x:v>0</x:v>
      </x:c>
      <x:c r="I3840" s="18" t="n">
        <x:f>ROUND(MIN(Model_Config_v3!$B$6,MAX(Q3840,R3840,S3840*Model_Config_v3!$B$4+T3840*Model_Config_v3!$B$5)),0)</x:f>
        <x:v>607</x:v>
      </x:c>
      <x:c r="J3840" s="18" t="n">
        <x:f>MIN(Model_Config_v3!$B$6,I3840+Model_Config_v3!$B$7)</x:f>
        <x:v>627</x:v>
      </x:c>
      <x:c r="K3840" s="20" t="n">
        <x:v>42.1</x:v>
      </x:c>
      <x:c r="L3840" t="str">
        <x:v>RELATIF LONGGAR</x:v>
      </x:c>
      <x:c r="M3840" t="str">
        <x:v>PORTOFOLIO</x:v>
      </x:c>
      <x:c r="N3840" t="str">
        <x:v>REGULER</x:v>
      </x:c>
      <x:c r="O3840" t="str">
        <x:v>SENI/OLAHRAGA</x:v>
      </x:c>
      <x:c r="P3840" t="str">
        <x:v>SENI/OLAHRAGA</x:v>
      </x:c>
      <x:c r="Q3840" s="18" t="n">
        <x:v>0</x:v>
      </x:c>
      <x:c r="R3840" s="18" t="n">
        <x:v>0</x:v>
      </x:c>
      <x:c r="S3840" s="18" t="n">
        <x:v>520</x:v>
      </x:c>
      <x:c r="T3840" s="18" t="n">
        <x:v>644</x:v>
      </x:c>
      <x:c r="U3840" s="18" t="n">
        <x:v>520</x:v>
      </x:c>
      <x:c r="V3840" s="20" t="n">
        <x:v>4.4</x:v>
      </x:c>
      <x:c r="W3840" s="20" t="n">
        <x:v>9.9</x:v>
      </x:c>
      <x:c r="X3840" s="20" t="n">
        <x:v>7.7</x:v>
      </x:c>
      <x:c r="Y3840" t="str">
        <x:v>Basis arsip 2025/2024</x:v>
      </x:c>
      <x:c r="Z3840" t="str">
        <x:v>https://snpmb.id/utbk-snbt/daya-tampung-snbt</x:v>
      </x:c>
      <x:c r="AA3840" t="str">
        <x:v>Seni Rupa, Desain, dan Kriya</x:v>
      </x:c>
      <x:c r="AB3840" t="str">
        <x:v>Campus=55; Ratio=0.0; Prodi=45; RelDemand=50.0; Capacity=88.3</x:v>
      </x:c>
    </x:row>
    <x:row r="3841">
      <x:c r="A3841" t="n">
        <x:v>3838</x:v>
      </x:c>
      <x:c r="B3841" t="str">
        <x:v>PTN Akademik</x:v>
      </x:c>
      <x:c r="C3841" t="str">
        <x:v>ISBI TANAH PAPUA</x:v>
      </x:c>
      <x:c r="D3841" t="str">
        <x:v>SENI MUSIK</x:v>
      </x:c>
      <x:c r="E3841" t="str">
        <x:v>Sarjana</x:v>
      </x:c>
      <x:c r="F3841" s="18" t="n">
        <x:v>14</x:v>
      </x:c>
      <x:c r="G3841" s="18"/>
      <x:c r="H3841" s="19" t="n">
        <x:v>0</x:v>
      </x:c>
      <x:c r="I3841" s="18" t="n">
        <x:f>ROUND(MIN(Model_Config_v3!$B$6,MAX(Q3841,R3841,S3841*Model_Config_v3!$B$4+T3841*Model_Config_v3!$B$5)),0)</x:f>
        <x:v>607</x:v>
      </x:c>
      <x:c r="J3841" s="18" t="n">
        <x:f>MIN(Model_Config_v3!$B$6,I3841+Model_Config_v3!$B$7)</x:f>
        <x:v>627</x:v>
      </x:c>
      <x:c r="K3841" s="20" t="n">
        <x:v>42.1</x:v>
      </x:c>
      <x:c r="L3841" t="str">
        <x:v>RELATIF LONGGAR</x:v>
      </x:c>
      <x:c r="M3841" t="str">
        <x:v>PORTOFOLIO</x:v>
      </x:c>
      <x:c r="N3841" t="str">
        <x:v>REGULER</x:v>
      </x:c>
      <x:c r="O3841" t="str">
        <x:v>SENI/OLAHRAGA</x:v>
      </x:c>
      <x:c r="P3841" t="str">
        <x:v>SENI/OLAHRAGA</x:v>
      </x:c>
      <x:c r="Q3841" s="18" t="n">
        <x:v>0</x:v>
      </x:c>
      <x:c r="R3841" s="18" t="n">
        <x:v>0</x:v>
      </x:c>
      <x:c r="S3841" s="18" t="n">
        <x:v>520</x:v>
      </x:c>
      <x:c r="T3841" s="18" t="n">
        <x:v>644</x:v>
      </x:c>
      <x:c r="U3841" s="18" t="n">
        <x:v>520</x:v>
      </x:c>
      <x:c r="V3841" s="20" t="n">
        <x:v>4.4</x:v>
      </x:c>
      <x:c r="W3841" s="20" t="n">
        <x:v>9.9</x:v>
      </x:c>
      <x:c r="X3841" s="20" t="n">
        <x:v>7.7</x:v>
      </x:c>
      <x:c r="Y3841" t="str">
        <x:v>Basis arsip 2025/2024</x:v>
      </x:c>
      <x:c r="Z3841" t="str">
        <x:v>https://snpmb.id/utbk-snbt/daya-tampung-snbt</x:v>
      </x:c>
      <x:c r="AA3841" t="str">
        <x:v>Musik</x:v>
      </x:c>
      <x:c r="AB3841" t="str">
        <x:v>Campus=55; Ratio=0.0; Prodi=45; RelDemand=50.0; Capacity=88.3</x:v>
      </x:c>
    </x:row>
    <x:row r="3842">
      <x:c r="A3842" t="n">
        <x:v>3839</x:v>
      </x:c>
      <x:c r="B3842" t="str">
        <x:v>PTN Akademik</x:v>
      </x:c>
      <x:c r="C3842" t="str">
        <x:v>ISBI TANAH PAPUA</x:v>
      </x:c>
      <x:c r="D3842" t="str">
        <x:v>SENI TARI</x:v>
      </x:c>
      <x:c r="E3842" t="str">
        <x:v>Sarjana</x:v>
      </x:c>
      <x:c r="F3842" s="18" t="n">
        <x:v>14</x:v>
      </x:c>
      <x:c r="G3842" s="18"/>
      <x:c r="H3842" s="19" t="n">
        <x:v>0</x:v>
      </x:c>
      <x:c r="I3842" s="18" t="n">
        <x:f>ROUND(MIN(Model_Config_v3!$B$6,MAX(Q3842,R3842,S3842*Model_Config_v3!$B$4+T3842*Model_Config_v3!$B$5)),0)</x:f>
        <x:v>607</x:v>
      </x:c>
      <x:c r="J3842" s="18" t="n">
        <x:f>MIN(Model_Config_v3!$B$6,I3842+Model_Config_v3!$B$7)</x:f>
        <x:v>627</x:v>
      </x:c>
      <x:c r="K3842" s="20" t="n">
        <x:v>42.1</x:v>
      </x:c>
      <x:c r="L3842" t="str">
        <x:v>RELATIF LONGGAR</x:v>
      </x:c>
      <x:c r="M3842" t="str">
        <x:v>PORTOFOLIO</x:v>
      </x:c>
      <x:c r="N3842" t="str">
        <x:v>REGULER</x:v>
      </x:c>
      <x:c r="O3842" t="str">
        <x:v>SENI/OLAHRAGA</x:v>
      </x:c>
      <x:c r="P3842" t="str">
        <x:v>SENI/OLAHRAGA</x:v>
      </x:c>
      <x:c r="Q3842" s="18" t="n">
        <x:v>0</x:v>
      </x:c>
      <x:c r="R3842" s="18" t="n">
        <x:v>0</x:v>
      </x:c>
      <x:c r="S3842" s="18" t="n">
        <x:v>520</x:v>
      </x:c>
      <x:c r="T3842" s="18" t="n">
        <x:v>644</x:v>
      </x:c>
      <x:c r="U3842" s="18" t="n">
        <x:v>520</x:v>
      </x:c>
      <x:c r="V3842" s="20" t="n">
        <x:v>4.4</x:v>
      </x:c>
      <x:c r="W3842" s="20" t="n">
        <x:v>9.9</x:v>
      </x:c>
      <x:c r="X3842" s="20" t="n">
        <x:v>7.7</x:v>
      </x:c>
      <x:c r="Y3842" t="str">
        <x:v>Basis arsip 2025/2024</x:v>
      </x:c>
      <x:c r="Z3842" t="str">
        <x:v>https://snpmb.id/utbk-snbt/daya-tampung-snbt</x:v>
      </x:c>
      <x:c r="AA3842" t="str">
        <x:v>Tari</x:v>
      </x:c>
      <x:c r="AB3842" t="str">
        <x:v>Campus=55; Ratio=0.0; Prodi=45; RelDemand=50.0; Capacity=88.3</x:v>
      </x:c>
    </x:row>
    <x:row r="3843">
      <x:c r="A3843" t="n">
        <x:v>3840</x:v>
      </x:c>
      <x:c r="B3843" t="str">
        <x:v>PTN Akademik</x:v>
      </x:c>
      <x:c r="C3843" t="str">
        <x:v>UNIVERSITAS PAPUA</x:v>
      </x:c>
      <x:c r="D3843" t="str">
        <x:v>TEKNOLOGI HASIL PERTANIAN</x:v>
      </x:c>
      <x:c r="E3843" t="str">
        <x:v>Sarjana</x:v>
      </x:c>
      <x:c r="F3843" s="18" t="n">
        <x:v>48</x:v>
      </x:c>
      <x:c r="G3843" s="18" t="n">
        <x:v>4</x:v>
      </x:c>
      <x:c r="H3843" s="19" t="n">
        <x:v>0.08333333333333333</x:v>
      </x:c>
      <x:c r="I3843" s="18" t="n">
        <x:f>ROUND(MIN(Model_Config_v3!$B$6,MAX(Q3843,R3843,S3843*Model_Config_v3!$B$4+T3843*Model_Config_v3!$B$5)),0)</x:f>
        <x:v>598</x:v>
      </x:c>
      <x:c r="J3843" s="18" t="n">
        <x:f>MIN(Model_Config_v3!$B$6,I3843+Model_Config_v3!$B$7)</x:f>
        <x:v>618</x:v>
      </x:c>
      <x:c r="K3843" s="20" t="n">
        <x:v>35.3</x:v>
      </x:c>
      <x:c r="L3843" t="str">
        <x:v>RELATIF LONGGAR</x:v>
      </x:c>
      <x:c r="M3843" t="str">
        <x:v>SEDANG</x:v>
      </x:c>
      <x:c r="N3843" t="str">
        <x:v>REGULER</x:v>
      </x:c>
      <x:c r="O3843" t="str">
        <x:v>SAINTEK</x:v>
      </x:c>
      <x:c r="P3843" t="str">
        <x:v>UMUM</x:v>
      </x:c>
      <x:c r="Q3843" s="18" t="n">
        <x:v>0</x:v>
      </x:c>
      <x:c r="R3843" s="18" t="n">
        <x:v>0</x:v>
      </x:c>
      <x:c r="S3843" s="18" t="n">
        <x:v>520</x:v>
      </x:c>
      <x:c r="T3843" s="18" t="n">
        <x:v>631</x:v>
      </x:c>
      <x:c r="U3843" s="18" t="n">
        <x:v>520</x:v>
      </x:c>
      <x:c r="V3843" s="20" t="n">
        <x:v>12</x:v>
      </x:c>
      <x:c r="W3843" s="20" t="n">
        <x:v>5</x:v>
      </x:c>
      <x:c r="X3843" s="20" t="n">
        <x:v>3</x:v>
      </x:c>
      <x:c r="Y3843" t="str">
        <x:v>Basis arsip 2025/2024</x:v>
      </x:c>
      <x:c r="Z3843" t="str">
        <x:v>https://snpmb.id/utbk-snbt/daya-tampung-snbt</x:v>
      </x:c>
      <x:c r="AA3843" t="str">
        <x:v>Tidak Ada</x:v>
      </x:c>
      <x:c r="AB3843" t="str">
        <x:v>Campus=55; Ratio=0.0; Prodi=40; RelDemand=20.1; Capacity=60.0</x:v>
      </x:c>
    </x:row>
    <x:row r="3844">
      <x:c r="A3844" t="n">
        <x:v>3841</x:v>
      </x:c>
      <x:c r="B3844" t="str">
        <x:v>PTN Akademik</x:v>
      </x:c>
      <x:c r="C3844" t="str">
        <x:v>UNIVERSITAS PAPUA</x:v>
      </x:c>
      <x:c r="D3844" t="str">
        <x:v>MANAJEMEN SUMBERDAYA PERAIRAN</x:v>
      </x:c>
      <x:c r="E3844" t="str">
        <x:v>Sarjana</x:v>
      </x:c>
      <x:c r="F3844" s="18" t="n">
        <x:v>48</x:v>
      </x:c>
      <x:c r="G3844" s="18" t="n">
        <x:v>2</x:v>
      </x:c>
      <x:c r="H3844" s="19" t="n">
        <x:v>0.041666666666666664</x:v>
      </x:c>
      <x:c r="I3844" s="18" t="n">
        <x:f>ROUND(MIN(Model_Config_v3!$B$6,MAX(Q3844,R3844,S3844*Model_Config_v3!$B$4+T3844*Model_Config_v3!$B$5)),0)</x:f>
        <x:v>603</x:v>
      </x:c>
      <x:c r="J3844" s="18" t="n">
        <x:f>MIN(Model_Config_v3!$B$6,I3844+Model_Config_v3!$B$7)</x:f>
        <x:v>623</x:v>
      </x:c>
      <x:c r="K3844" s="20" t="n">
        <x:v>39.3</x:v>
      </x:c>
      <x:c r="L3844" t="str">
        <x:v>RELATIF LONGGAR</x:v>
      </x:c>
      <x:c r="M3844" t="str">
        <x:v>SEDANG+</x:v>
      </x:c>
      <x:c r="N3844" t="str">
        <x:v>REGULER</x:v>
      </x:c>
      <x:c r="O3844" t="str">
        <x:v>SOSHUM</x:v>
      </x:c>
      <x:c r="P3844" t="str">
        <x:v>BISNIS/EKONOMI/AKUNTANSI</x:v>
      </x:c>
      <x:c r="Q3844" s="18" t="n">
        <x:v>0</x:v>
      </x:c>
      <x:c r="R3844" s="18" t="n">
        <x:v>0</x:v>
      </x:c>
      <x:c r="S3844" s="18" t="n">
        <x:v>520</x:v>
      </x:c>
      <x:c r="T3844" s="18" t="n">
        <x:v>639</x:v>
      </x:c>
      <x:c r="U3844" s="18" t="n">
        <x:v>535</x:v>
      </x:c>
      <x:c r="V3844" s="20" t="n">
        <x:v>4.4</x:v>
      </x:c>
      <x:c r="W3844" s="20" t="n">
        <x:v>14.3</x:v>
      </x:c>
      <x:c r="X3844" s="20" t="n">
        <x:v>3.3</x:v>
      </x:c>
      <x:c r="Y3844" t="str">
        <x:v>Basis arsip 2025/2024</x:v>
      </x:c>
      <x:c r="Z3844" t="str">
        <x:v>https://snpmb.id/utbk-snbt/daya-tampung-snbt</x:v>
      </x:c>
      <x:c r="AA3844" t="str">
        <x:v>Tidak Ada</x:v>
      </x:c>
      <x:c r="AB3844" t="str">
        <x:v>Campus=55; Ratio=0.0; Prodi=65; RelDemand=10.0; Capacity=60.0</x:v>
      </x:c>
    </x:row>
    <x:row r="3845">
      <x:c r="A3845" t="n">
        <x:v>3842</x:v>
      </x:c>
      <x:c r="B3845" t="str">
        <x:v>PTN Akademik</x:v>
      </x:c>
      <x:c r="C3845" t="str">
        <x:v>UNIVERSITAS PAPUA</x:v>
      </x:c>
      <x:c r="D3845" t="str">
        <x:v>ILMU KELAUTAN</x:v>
      </x:c>
      <x:c r="E3845" t="str">
        <x:v>Sarjana</x:v>
      </x:c>
      <x:c r="F3845" s="18" t="n">
        <x:v>48</x:v>
      </x:c>
      <x:c r="G3845" s="18" t="n">
        <x:v>6</x:v>
      </x:c>
      <x:c r="H3845" s="19" t="n">
        <x:v>0.125</x:v>
      </x:c>
      <x:c r="I3845" s="18" t="n">
        <x:f>ROUND(MIN(Model_Config_v3!$B$6,MAX(Q3845,R3845,S3845*Model_Config_v3!$B$4+T3845*Model_Config_v3!$B$5)),0)</x:f>
        <x:v>599</x:v>
      </x:c>
      <x:c r="J3845" s="18" t="n">
        <x:f>MIN(Model_Config_v3!$B$6,I3845+Model_Config_v3!$B$7)</x:f>
        <x:v>619</x:v>
      </x:c>
      <x:c r="K3845" s="20" t="n">
        <x:v>36.3</x:v>
      </x:c>
      <x:c r="L3845" t="str">
        <x:v>RELATIF LONGGAR</x:v>
      </x:c>
      <x:c r="M3845" t="str">
        <x:v>SEDANG</x:v>
      </x:c>
      <x:c r="N3845" t="str">
        <x:v>REGULER</x:v>
      </x:c>
      <x:c r="O3845" t="str">
        <x:v>SAINTEK</x:v>
      </x:c>
      <x:c r="P3845" t="str">
        <x:v>UMUM</x:v>
      </x:c>
      <x:c r="Q3845" s="18" t="n">
        <x:v>0</x:v>
      </x:c>
      <x:c r="R3845" s="18" t="n">
        <x:v>0</x:v>
      </x:c>
      <x:c r="S3845" s="18" t="n">
        <x:v>520</x:v>
      </x:c>
      <x:c r="T3845" s="18" t="n">
        <x:v>633</x:v>
      </x:c>
      <x:c r="U3845" s="18" t="n">
        <x:v>520</x:v>
      </x:c>
      <x:c r="V3845" s="20" t="n">
        <x:v>12</x:v>
      </x:c>
      <x:c r="W3845" s="20" t="n">
        <x:v>5</x:v>
      </x:c>
      <x:c r="X3845" s="20" t="n">
        <x:v>3</x:v>
      </x:c>
      <x:c r="Y3845" t="str">
        <x:v>Basis arsip 2025/2024</x:v>
      </x:c>
      <x:c r="Z3845" t="str">
        <x:v>https://snpmb.id/utbk-snbt/daya-tampung-snbt</x:v>
      </x:c>
      <x:c r="AA3845" t="str">
        <x:v>Tidak Ada</x:v>
      </x:c>
      <x:c r="AB3845" t="str">
        <x:v>Campus=55; Ratio=0.0; Prodi=40; RelDemand=30.1; Capacity=60.0</x:v>
      </x:c>
    </x:row>
    <x:row r="3846">
      <x:c r="A3846" t="n">
        <x:v>3843</x:v>
      </x:c>
      <x:c r="B3846" t="str">
        <x:v>PTN Akademik</x:v>
      </x:c>
      <x:c r="C3846" t="str">
        <x:v>UNIVERSITAS PAPUA</x:v>
      </x:c>
      <x:c r="D3846" t="str">
        <x:v>MATEMATIKA</x:v>
      </x:c>
      <x:c r="E3846" t="str">
        <x:v>Sarjana</x:v>
      </x:c>
      <x:c r="F3846" s="18" t="n">
        <x:v>48</x:v>
      </x:c>
      <x:c r="G3846" s="18"/>
      <x:c r="H3846" s="19" t="n">
        <x:v>0</x:v>
      </x:c>
      <x:c r="I3846" s="18" t="n">
        <x:f>ROUND(MIN(Model_Config_v3!$B$6,MAX(Q3846,R3846,S3846*Model_Config_v3!$B$4+T3846*Model_Config_v3!$B$5)),0)</x:f>
        <x:v>597</x:v>
      </x:c>
      <x:c r="J3846" s="18" t="n">
        <x:f>MIN(Model_Config_v3!$B$6,I3846+Model_Config_v3!$B$7)</x:f>
        <x:v>617</x:v>
      </x:c>
      <x:c r="K3846" s="20" t="n">
        <x:v>35.2</x:v>
      </x:c>
      <x:c r="L3846" t="str">
        <x:v>RELATIF LONGGAR</x:v>
      </x:c>
      <x:c r="M3846" t="str">
        <x:v>RENDAH</x:v>
      </x:c>
      <x:c r="N3846" t="str">
        <x:v>REGULER</x:v>
      </x:c>
      <x:c r="O3846" t="str">
        <x:v>SAINTEK</x:v>
      </x:c>
      <x:c r="P3846" t="str">
        <x:v>SAINS DASAR</x:v>
      </x:c>
      <x:c r="Q3846" s="18" t="n">
        <x:v>0</x:v>
      </x:c>
      <x:c r="R3846" s="18" t="n">
        <x:v>0</x:v>
      </x:c>
      <x:c r="S3846" s="18" t="n">
        <x:v>520</x:v>
      </x:c>
      <x:c r="T3846" s="18" t="n">
        <x:v>630</x:v>
      </x:c>
      <x:c r="U3846" s="18" t="n">
        <x:v>520</x:v>
      </x:c>
      <x:c r="V3846" s="20" t="n">
        <x:v>12</x:v>
      </x:c>
      <x:c r="W3846" s="20" t="n">
        <x:v>5</x:v>
      </x:c>
      <x:c r="X3846" s="20" t="n">
        <x:v>3</x:v>
      </x:c>
      <x:c r="Y3846" t="str">
        <x:v>Basis arsip 2025/2024</x:v>
      </x:c>
      <x:c r="Z3846" t="str">
        <x:v>https://snpmb.id/utbk-snbt/daya-tampung-snbt</x:v>
      </x:c>
      <x:c r="AA3846" t="str">
        <x:v>Tidak Ada</x:v>
      </x:c>
      <x:c r="AB3846" t="str">
        <x:v>Campus=55; Ratio=0.0; Prodi=50; RelDemand=0.0; Capacity=60.0</x:v>
      </x:c>
    </x:row>
    <x:row r="3847">
      <x:c r="A3847" t="n">
        <x:v>3844</x:v>
      </x:c>
      <x:c r="B3847" t="str">
        <x:v>PTN Akademik</x:v>
      </x:c>
      <x:c r="C3847" t="str">
        <x:v>UNIVERSITAS PAPUA</x:v>
      </x:c>
      <x:c r="D3847" t="str">
        <x:v>FISIKA</x:v>
      </x:c>
      <x:c r="E3847" t="str">
        <x:v>Sarjana</x:v>
      </x:c>
      <x:c r="F3847" s="18" t="n">
        <x:v>48</x:v>
      </x:c>
      <x:c r="G3847" s="18"/>
      <x:c r="H3847" s="19" t="n">
        <x:v>0</x:v>
      </x:c>
      <x:c r="I3847" s="18" t="n">
        <x:f>ROUND(MIN(Model_Config_v3!$B$6,MAX(Q3847,R3847,S3847*Model_Config_v3!$B$4+T3847*Model_Config_v3!$B$5)),0)</x:f>
        <x:v>597</x:v>
      </x:c>
      <x:c r="J3847" s="18" t="n">
        <x:f>MIN(Model_Config_v3!$B$6,I3847+Model_Config_v3!$B$7)</x:f>
        <x:v>617</x:v>
      </x:c>
      <x:c r="K3847" s="20" t="n">
        <x:v>35.2</x:v>
      </x:c>
      <x:c r="L3847" t="str">
        <x:v>RELATIF LONGGAR</x:v>
      </x:c>
      <x:c r="M3847" t="str">
        <x:v>RENDAH</x:v>
      </x:c>
      <x:c r="N3847" t="str">
        <x:v>REGULER</x:v>
      </x:c>
      <x:c r="O3847" t="str">
        <x:v>SAINTEK</x:v>
      </x:c>
      <x:c r="P3847" t="str">
        <x:v>SAINS DASAR</x:v>
      </x:c>
      <x:c r="Q3847" s="18" t="n">
        <x:v>0</x:v>
      </x:c>
      <x:c r="R3847" s="18" t="n">
        <x:v>0</x:v>
      </x:c>
      <x:c r="S3847" s="18" t="n">
        <x:v>520</x:v>
      </x:c>
      <x:c r="T3847" s="18" t="n">
        <x:v>630</x:v>
      </x:c>
      <x:c r="U3847" s="18" t="n">
        <x:v>520</x:v>
      </x:c>
      <x:c r="V3847" s="20" t="n">
        <x:v>12</x:v>
      </x:c>
      <x:c r="W3847" s="20" t="n">
        <x:v>5</x:v>
      </x:c>
      <x:c r="X3847" s="20" t="n">
        <x:v>3</x:v>
      </x:c>
      <x:c r="Y3847" t="str">
        <x:v>Basis arsip 2025/2024</x:v>
      </x:c>
      <x:c r="Z3847" t="str">
        <x:v>https://snpmb.id/utbk-snbt/daya-tampung-snbt</x:v>
      </x:c>
      <x:c r="AA3847" t="str">
        <x:v>Tidak Ada</x:v>
      </x:c>
      <x:c r="AB3847" t="str">
        <x:v>Campus=55; Ratio=0.0; Prodi=50; RelDemand=0.0; Capacity=60.0</x:v>
      </x:c>
    </x:row>
    <x:row r="3848">
      <x:c r="A3848" t="n">
        <x:v>3845</x:v>
      </x:c>
      <x:c r="B3848" t="str">
        <x:v>PTN Akademik</x:v>
      </x:c>
      <x:c r="C3848" t="str">
        <x:v>UNIVERSITAS PAPUA</x:v>
      </x:c>
      <x:c r="D3848" t="str">
        <x:v>BIOLOGI</x:v>
      </x:c>
      <x:c r="E3848" t="str">
        <x:v>Sarjana</x:v>
      </x:c>
      <x:c r="F3848" s="18" t="n">
        <x:v>48</x:v>
      </x:c>
      <x:c r="G3848" s="18" t="n">
        <x:v>3</x:v>
      </x:c>
      <x:c r="H3848" s="19" t="n">
        <x:v>0.0625</x:v>
      </x:c>
      <x:c r="I3848" s="18" t="n">
        <x:f>ROUND(MIN(Model_Config_v3!$B$6,MAX(Q3848,R3848,S3848*Model_Config_v3!$B$4+T3848*Model_Config_v3!$B$5)),0)</x:f>
        <x:v>600</x:v>
      </x:c>
      <x:c r="J3848" s="18" t="n">
        <x:f>MIN(Model_Config_v3!$B$6,I3848+Model_Config_v3!$B$7)</x:f>
        <x:v>620</x:v>
      </x:c>
      <x:c r="K3848" s="20" t="n">
        <x:v>36.8</x:v>
      </x:c>
      <x:c r="L3848" t="str">
        <x:v>RELATIF LONGGAR</x:v>
      </x:c>
      <x:c r="M3848" t="str">
        <x:v>SEDANG+</x:v>
      </x:c>
      <x:c r="N3848" t="str">
        <x:v>REGULER</x:v>
      </x:c>
      <x:c r="O3848" t="str">
        <x:v>SAINTEK</x:v>
      </x:c>
      <x:c r="P3848" t="str">
        <x:v>SAINS DASAR</x:v>
      </x:c>
      <x:c r="Q3848" s="18" t="n">
        <x:v>0</x:v>
      </x:c>
      <x:c r="R3848" s="18" t="n">
        <x:v>0</x:v>
      </x:c>
      <x:c r="S3848" s="18" t="n">
        <x:v>520</x:v>
      </x:c>
      <x:c r="T3848" s="18" t="n">
        <x:v>634</x:v>
      </x:c>
      <x:c r="U3848" s="18" t="n">
        <x:v>520</x:v>
      </x:c>
      <x:c r="V3848" s="20" t="n">
        <x:v>12</x:v>
      </x:c>
      <x:c r="W3848" s="20" t="n">
        <x:v>5</x:v>
      </x:c>
      <x:c r="X3848" s="20" t="n">
        <x:v>3</x:v>
      </x:c>
      <x:c r="Y3848" t="str">
        <x:v>Basis arsip 2025/2024</x:v>
      </x:c>
      <x:c r="Z3848" t="str">
        <x:v>https://snpmb.id/utbk-snbt/daya-tampung-snbt</x:v>
      </x:c>
      <x:c r="AA3848" t="str">
        <x:v>Tidak Ada</x:v>
      </x:c>
      <x:c r="AB3848" t="str">
        <x:v>Campus=55; Ratio=0.0; Prodi=50; RelDemand=15.0; Capacity=60.0</x:v>
      </x:c>
    </x:row>
    <x:row r="3849">
      <x:c r="A3849" t="n">
        <x:v>3846</x:v>
      </x:c>
      <x:c r="B3849" t="str">
        <x:v>PTN Akademik</x:v>
      </x:c>
      <x:c r="C3849" t="str">
        <x:v>UNIVERSITAS PAPUA</x:v>
      </x:c>
      <x:c r="D3849" t="str">
        <x:v>KIMIA</x:v>
      </x:c>
      <x:c r="E3849" t="str">
        <x:v>Sarjana</x:v>
      </x:c>
      <x:c r="F3849" s="18" t="n">
        <x:v>48</x:v>
      </x:c>
      <x:c r="G3849" s="18" t="n">
        <x:v>1</x:v>
      </x:c>
      <x:c r="H3849" s="19" t="n">
        <x:v>0.020833333333333332</x:v>
      </x:c>
      <x:c r="I3849" s="18" t="n">
        <x:f>ROUND(MIN(Model_Config_v3!$B$6,MAX(Q3849,R3849,S3849*Model_Config_v3!$B$4+T3849*Model_Config_v3!$B$5)),0)</x:f>
        <x:v>598</x:v>
      </x:c>
      <x:c r="J3849" s="18" t="n">
        <x:f>MIN(Model_Config_v3!$B$6,I3849+Model_Config_v3!$B$7)</x:f>
        <x:v>618</x:v>
      </x:c>
      <x:c r="K3849" s="20" t="n">
        <x:v>35.8</x:v>
      </x:c>
      <x:c r="L3849" t="str">
        <x:v>RELATIF LONGGAR</x:v>
      </x:c>
      <x:c r="M3849" t="str">
        <x:v>SEDANG+</x:v>
      </x:c>
      <x:c r="N3849" t="str">
        <x:v>REGULER</x:v>
      </x:c>
      <x:c r="O3849" t="str">
        <x:v>SAINTEK</x:v>
      </x:c>
      <x:c r="P3849" t="str">
        <x:v>SAINS DASAR</x:v>
      </x:c>
      <x:c r="Q3849" s="18" t="n">
        <x:v>0</x:v>
      </x:c>
      <x:c r="R3849" s="18" t="n">
        <x:v>0</x:v>
      </x:c>
      <x:c r="S3849" s="18" t="n">
        <x:v>520</x:v>
      </x:c>
      <x:c r="T3849" s="18" t="n">
        <x:v>632</x:v>
      </x:c>
      <x:c r="U3849" s="18" t="n">
        <x:v>520</x:v>
      </x:c>
      <x:c r="V3849" s="20" t="n">
        <x:v>12</x:v>
      </x:c>
      <x:c r="W3849" s="20" t="n">
        <x:v>5</x:v>
      </x:c>
      <x:c r="X3849" s="20" t="n">
        <x:v>3</x:v>
      </x:c>
      <x:c r="Y3849" t="str">
        <x:v>Basis arsip 2025/2024</x:v>
      </x:c>
      <x:c r="Z3849" t="str">
        <x:v>https://snpmb.id/utbk-snbt/daya-tampung-snbt</x:v>
      </x:c>
      <x:c r="AA3849" t="str">
        <x:v>Tidak Ada</x:v>
      </x:c>
      <x:c r="AB3849" t="str">
        <x:v>Campus=55; Ratio=0.0; Prodi=50; RelDemand=5.0; Capacity=60.0</x:v>
      </x:c>
    </x:row>
    <x:row r="3850">
      <x:c r="A3850" t="n">
        <x:v>3847</x:v>
      </x:c>
      <x:c r="B3850" t="str">
        <x:v>PTN Akademik</x:v>
      </x:c>
      <x:c r="C3850" t="str">
        <x:v>UNIVERSITAS PAPUA</x:v>
      </x:c>
      <x:c r="D3850" t="str">
        <x:v>AGRIBISNIS</x:v>
      </x:c>
      <x:c r="E3850" t="str">
        <x:v>Sarjana</x:v>
      </x:c>
      <x:c r="F3850" s="18" t="n">
        <x:v>48</x:v>
      </x:c>
      <x:c r="G3850" s="18" t="n">
        <x:v>3</x:v>
      </x:c>
      <x:c r="H3850" s="19" t="n">
        <x:v>0.0625</x:v>
      </x:c>
      <x:c r="I3850" s="18" t="n">
        <x:f>ROUND(MIN(Model_Config_v3!$B$6,MAX(Q3850,R3850,S3850*Model_Config_v3!$B$4+T3850*Model_Config_v3!$B$5)),0)</x:f>
        <x:v>604</x:v>
      </x:c>
      <x:c r="J3850" s="18" t="n">
        <x:f>MIN(Model_Config_v3!$B$6,I3850+Model_Config_v3!$B$7)</x:f>
        <x:v>624</x:v>
      </x:c>
      <x:c r="K3850" s="20" t="n">
        <x:v>39.8</x:v>
      </x:c>
      <x:c r="L3850" t="str">
        <x:v>RELATIF LONGGAR</x:v>
      </x:c>
      <x:c r="M3850" t="str">
        <x:v>SEDANG+</x:v>
      </x:c>
      <x:c r="N3850" t="str">
        <x:v>REGULER</x:v>
      </x:c>
      <x:c r="O3850" t="str">
        <x:v>SOSHUM</x:v>
      </x:c>
      <x:c r="P3850" t="str">
        <x:v>BISNIS/EKONOMI/AKUNTANSI</x:v>
      </x:c>
      <x:c r="Q3850" s="18" t="n">
        <x:v>0</x:v>
      </x:c>
      <x:c r="R3850" s="18" t="n">
        <x:v>0</x:v>
      </x:c>
      <x:c r="S3850" s="18" t="n">
        <x:v>520</x:v>
      </x:c>
      <x:c r="T3850" s="18" t="n">
        <x:v>640</x:v>
      </x:c>
      <x:c r="U3850" s="18" t="n">
        <x:v>535</x:v>
      </x:c>
      <x:c r="V3850" s="20" t="n">
        <x:v>4.4</x:v>
      </x:c>
      <x:c r="W3850" s="20" t="n">
        <x:v>14.3</x:v>
      </x:c>
      <x:c r="X3850" s="20" t="n">
        <x:v>3.3</x:v>
      </x:c>
      <x:c r="Y3850" t="str">
        <x:v>Basis arsip 2025/2024</x:v>
      </x:c>
      <x:c r="Z3850" t="str">
        <x:v>https://snpmb.id/utbk-snbt/daya-tampung-snbt</x:v>
      </x:c>
      <x:c r="AA3850" t="str">
        <x:v>Tidak Ada</x:v>
      </x:c>
      <x:c r="AB3850" t="str">
        <x:v>Campus=55; Ratio=0.0; Prodi=65; RelDemand=15.0; Capacity=60.0</x:v>
      </x:c>
    </x:row>
    <x:row r="3851">
      <x:c r="A3851" t="n">
        <x:v>3848</x:v>
      </x:c>
      <x:c r="B3851" t="str">
        <x:v>PTN Akademik</x:v>
      </x:c>
      <x:c r="C3851" t="str">
        <x:v>UNIVERSITAS PAPUA</x:v>
      </x:c>
      <x:c r="D3851" t="str">
        <x:v>AGROTEKNOLOGI</x:v>
      </x:c>
      <x:c r="E3851" t="str">
        <x:v>Sarjana</x:v>
      </x:c>
      <x:c r="F3851" s="18" t="n">
        <x:v>48</x:v>
      </x:c>
      <x:c r="G3851" s="18" t="n">
        <x:v>3</x:v>
      </x:c>
      <x:c r="H3851" s="19" t="n">
        <x:v>0.0625</x:v>
      </x:c>
      <x:c r="I3851" s="18" t="n">
        <x:f>ROUND(MIN(Model_Config_v3!$B$6,MAX(Q3851,R3851,S3851*Model_Config_v3!$B$4+T3851*Model_Config_v3!$B$5)),0)</x:f>
        <x:v>597</x:v>
      </x:c>
      <x:c r="J3851" s="18" t="n">
        <x:f>MIN(Model_Config_v3!$B$6,I3851+Model_Config_v3!$B$7)</x:f>
        <x:v>617</x:v>
      </x:c>
      <x:c r="K3851" s="20" t="n">
        <x:v>34.8</x:v>
      </x:c>
      <x:c r="L3851" t="str">
        <x:v>RELATIF LONGGAR</x:v>
      </x:c>
      <x:c r="M3851" t="str">
        <x:v>SEDANG</x:v>
      </x:c>
      <x:c r="N3851" t="str">
        <x:v>REGULER</x:v>
      </x:c>
      <x:c r="O3851" t="str">
        <x:v>SAINTEK</x:v>
      </x:c>
      <x:c r="P3851" t="str">
        <x:v>UMUM</x:v>
      </x:c>
      <x:c r="Q3851" s="18" t="n">
        <x:v>0</x:v>
      </x:c>
      <x:c r="R3851" s="18" t="n">
        <x:v>0</x:v>
      </x:c>
      <x:c r="S3851" s="18" t="n">
        <x:v>520</x:v>
      </x:c>
      <x:c r="T3851" s="18" t="n">
        <x:v>630</x:v>
      </x:c>
      <x:c r="U3851" s="18" t="n">
        <x:v>520</x:v>
      </x:c>
      <x:c r="V3851" s="20" t="n">
        <x:v>12</x:v>
      </x:c>
      <x:c r="W3851" s="20" t="n">
        <x:v>5</x:v>
      </x:c>
      <x:c r="X3851" s="20" t="n">
        <x:v>3</x:v>
      </x:c>
      <x:c r="Y3851" t="str">
        <x:v>Basis arsip 2025/2024</x:v>
      </x:c>
      <x:c r="Z3851" t="str">
        <x:v>https://snpmb.id/utbk-snbt/daya-tampung-snbt</x:v>
      </x:c>
      <x:c r="AA3851" t="str">
        <x:v>Tidak Ada</x:v>
      </x:c>
      <x:c r="AB3851" t="str">
        <x:v>Campus=55; Ratio=0.0; Prodi=40; RelDemand=15.0; Capacity=60.0</x:v>
      </x:c>
    </x:row>
    <x:row r="3852">
      <x:c r="A3852" t="n">
        <x:v>3849</x:v>
      </x:c>
      <x:c r="B3852" t="str">
        <x:v>PTN Akademik</x:v>
      </x:c>
      <x:c r="C3852" t="str">
        <x:v>UNIVERSITAS PAPUA</x:v>
      </x:c>
      <x:c r="D3852" t="str">
        <x:v>PETERNAKAN</x:v>
      </x:c>
      <x:c r="E3852" t="str">
        <x:v>Sarjana</x:v>
      </x:c>
      <x:c r="F3852" s="18" t="n">
        <x:v>48</x:v>
      </x:c>
      <x:c r="G3852" s="18"/>
      <x:c r="H3852" s="19" t="n">
        <x:v>0</x:v>
      </x:c>
      <x:c r="I3852" s="18" t="n">
        <x:f>ROUND(MIN(Model_Config_v3!$B$6,MAX(Q3852,R3852,S3852*Model_Config_v3!$B$4+T3852*Model_Config_v3!$B$5)),0)</x:f>
        <x:v>594</x:v>
      </x:c>
      <x:c r="J3852" s="18" t="n">
        <x:f>MIN(Model_Config_v3!$B$6,I3852+Model_Config_v3!$B$7)</x:f>
        <x:v>614</x:v>
      </x:c>
      <x:c r="K3852" s="20" t="n">
        <x:v>33.2</x:v>
      </x:c>
      <x:c r="L3852" t="str">
        <x:v>RELATIF LONGGAR</x:v>
      </x:c>
      <x:c r="M3852" t="str">
        <x:v>RENDAH</x:v>
      </x:c>
      <x:c r="N3852" t="str">
        <x:v>REGULER</x:v>
      </x:c>
      <x:c r="O3852" t="str">
        <x:v>SAINTEK</x:v>
      </x:c>
      <x:c r="P3852" t="str">
        <x:v>UMUM</x:v>
      </x:c>
      <x:c r="Q3852" s="18" t="n">
        <x:v>0</x:v>
      </x:c>
      <x:c r="R3852" s="18" t="n">
        <x:v>0</x:v>
      </x:c>
      <x:c r="S3852" s="18" t="n">
        <x:v>520</x:v>
      </x:c>
      <x:c r="T3852" s="18" t="n">
        <x:v>626</x:v>
      </x:c>
      <x:c r="U3852" s="18" t="n">
        <x:v>520</x:v>
      </x:c>
      <x:c r="V3852" s="20" t="n">
        <x:v>12</x:v>
      </x:c>
      <x:c r="W3852" s="20" t="n">
        <x:v>5</x:v>
      </x:c>
      <x:c r="X3852" s="20" t="n">
        <x:v>3</x:v>
      </x:c>
      <x:c r="Y3852" t="str">
        <x:v>Basis arsip 2025/2024</x:v>
      </x:c>
      <x:c r="Z3852" t="str">
        <x:v>https://snpmb.id/utbk-snbt/daya-tampung-snbt</x:v>
      </x:c>
      <x:c r="AA3852" t="str">
        <x:v>Tidak Ada</x:v>
      </x:c>
      <x:c r="AB3852" t="str">
        <x:v>Campus=55; Ratio=0.0; Prodi=40; RelDemand=0.0; Capacity=60.0</x:v>
      </x:c>
    </x:row>
    <x:row r="3853">
      <x:c r="A3853" t="n">
        <x:v>3850</x:v>
      </x:c>
      <x:c r="B3853" t="str">
        <x:v>PTN Akademik</x:v>
      </x:c>
      <x:c r="C3853" t="str">
        <x:v>UNIVERSITAS PAPUA</x:v>
      </x:c>
      <x:c r="D3853" t="str">
        <x:v>KEHUTANAN</x:v>
      </x:c>
      <x:c r="E3853" t="str">
        <x:v>Sarjana</x:v>
      </x:c>
      <x:c r="F3853" s="18" t="n">
        <x:v>48</x:v>
      </x:c>
      <x:c r="G3853" s="18" t="n">
        <x:v>12</x:v>
      </x:c>
      <x:c r="H3853" s="19" t="n">
        <x:v>0.25</x:v>
      </x:c>
      <x:c r="I3853" s="18" t="n">
        <x:f>ROUND(MIN(Model_Config_v3!$B$6,MAX(Q3853,R3853,S3853*Model_Config_v3!$B$4+T3853*Model_Config_v3!$B$5)),0)</x:f>
        <x:v>603</x:v>
      </x:c>
      <x:c r="J3853" s="18" t="n">
        <x:f>MIN(Model_Config_v3!$B$6,I3853+Model_Config_v3!$B$7)</x:f>
        <x:v>623</x:v>
      </x:c>
      <x:c r="K3853" s="20" t="n">
        <x:v>39.3</x:v>
      </x:c>
      <x:c r="L3853" t="str">
        <x:v>RELATIF LONGGAR</x:v>
      </x:c>
      <x:c r="M3853" t="str">
        <x:v>SEDANG</x:v>
      </x:c>
      <x:c r="N3853" t="str">
        <x:v>REGULER</x:v>
      </x:c>
      <x:c r="O3853" t="str">
        <x:v>CAMPURAN</x:v>
      </x:c>
      <x:c r="P3853" t="str">
        <x:v>UMUM</x:v>
      </x:c>
      <x:c r="Q3853" s="18" t="n">
        <x:v>0</x:v>
      </x:c>
      <x:c r="R3853" s="18" t="n">
        <x:v>0</x:v>
      </x:c>
      <x:c r="S3853" s="18" t="n">
        <x:v>520</x:v>
      </x:c>
      <x:c r="T3853" s="18" t="n">
        <x:v>639</x:v>
      </x:c>
      <x:c r="U3853" s="18" t="n">
        <x:v>520</x:v>
      </x:c>
      <x:c r="V3853" s="20" t="n">
        <x:v>8.8</x:v>
      </x:c>
      <x:c r="W3853" s="20" t="n">
        <x:v>9.9</x:v>
      </x:c>
      <x:c r="X3853" s="20" t="n">
        <x:v>3.3</x:v>
      </x:c>
      <x:c r="Y3853" t="str">
        <x:v>Basis arsip 2025/2024</x:v>
      </x:c>
      <x:c r="Z3853" t="str">
        <x:v>https://snpmb.id/utbk-snbt/daya-tampung-snbt</x:v>
      </x:c>
      <x:c r="AA3853" t="str">
        <x:v>Tidak Ada</x:v>
      </x:c>
      <x:c r="AB3853" t="str">
        <x:v>Campus=55; Ratio=0.0; Prodi=40; RelDemand=60.2; Capacity=60.0</x:v>
      </x:c>
    </x:row>
    <x:row r="3854">
      <x:c r="A3854" t="n">
        <x:v>3851</x:v>
      </x:c>
      <x:c r="B3854" t="str">
        <x:v>PTN Akademik</x:v>
      </x:c>
      <x:c r="C3854" t="str">
        <x:v>UNIVERSITAS PAPUA</x:v>
      </x:c>
      <x:c r="D3854" t="str">
        <x:v>TEKNIK INFORMATIKA</x:v>
      </x:c>
      <x:c r="E3854" t="str">
        <x:v>Sarjana</x:v>
      </x:c>
      <x:c r="F3854" s="18" t="n">
        <x:v>48</x:v>
      </x:c>
      <x:c r="G3854" s="18" t="n">
        <x:v>43</x:v>
      </x:c>
      <x:c r="H3854" s="19" t="n">
        <x:v>0.8958333333333334</x:v>
      </x:c>
      <x:c r="I3854" s="18" t="n">
        <x:f>ROUND(MIN(Model_Config_v3!$B$6,MAX(Q3854,R3854,S3854*Model_Config_v3!$B$4+T3854*Model_Config_v3!$B$5)),0)</x:f>
        <x:v>621</x:v>
      </x:c>
      <x:c r="J3854" s="18" t="n">
        <x:f>MIN(Model_Config_v3!$B$6,I3854+Model_Config_v3!$B$7)</x:f>
        <x:v>641</x:v>
      </x:c>
      <x:c r="K3854" s="20" t="n">
        <x:v>52.2</x:v>
      </x:c>
      <x:c r="L3854" t="str">
        <x:v>MENENGAH</x:v>
      </x:c>
      <x:c r="M3854" t="str">
        <x:v>SEDANG+</x:v>
      </x:c>
      <x:c r="N3854" t="str">
        <x:v>REGULER</x:v>
      </x:c>
      <x:c r="O3854" t="str">
        <x:v>SAINTEK</x:v>
      </x:c>
      <x:c r="P3854" t="str">
        <x:v>KOMPUTER/INFORMATIKA</x:v>
      </x:c>
      <x:c r="Q3854" s="18" t="n">
        <x:v>0</x:v>
      </x:c>
      <x:c r="R3854" s="18" t="n">
        <x:v>0</x:v>
      </x:c>
      <x:c r="S3854" s="18" t="n">
        <x:v>520</x:v>
      </x:c>
      <x:c r="T3854" s="18" t="n">
        <x:v>664</x:v>
      </x:c>
      <x:c r="U3854" s="18" t="n">
        <x:v>545</x:v>
      </x:c>
      <x:c r="V3854" s="20" t="n">
        <x:v>12</x:v>
      </x:c>
      <x:c r="W3854" s="20" t="n">
        <x:v>5</x:v>
      </x:c>
      <x:c r="X3854" s="20" t="n">
        <x:v>3</x:v>
      </x:c>
      <x:c r="Y3854" t="str">
        <x:v>Basis arsip 2025/2024</x:v>
      </x:c>
      <x:c r="Z3854" t="str">
        <x:v>https://snpmb.id/utbk-snbt/daya-tampung-snbt</x:v>
      </x:c>
      <x:c r="AA3854" t="str">
        <x:v>Tidak Ada</x:v>
      </x:c>
      <x:c r="AB3854" t="str">
        <x:v>Campus=55; Ratio=0.0; Prodi=85; RelDemand=100.0; Capacity=60.0</x:v>
      </x:c>
    </x:row>
    <x:row r="3855">
      <x:c r="A3855" t="n">
        <x:v>3852</x:v>
      </x:c>
      <x:c r="B3855" t="str">
        <x:v>PTN Akademik</x:v>
      </x:c>
      <x:c r="C3855" t="str">
        <x:v>UNIVERSITAS PAPUA</x:v>
      </x:c>
      <x:c r="D3855" t="str">
        <x:v>TEKNIK PERTAMBANGAN</x:v>
      </x:c>
      <x:c r="E3855" t="str">
        <x:v>Sarjana</x:v>
      </x:c>
      <x:c r="F3855" s="18" t="n">
        <x:v>48</x:v>
      </x:c>
      <x:c r="G3855" s="18" t="n">
        <x:v>20</x:v>
      </x:c>
      <x:c r="H3855" s="19" t="n">
        <x:v>0.4166666666666667</x:v>
      </x:c>
      <x:c r="I3855" s="18" t="n">
        <x:f>ROUND(MIN(Model_Config_v3!$B$6,MAX(Q3855,R3855,S3855*Model_Config_v3!$B$4+T3855*Model_Config_v3!$B$5)),0)</x:f>
        <x:v>614</x:v>
      </x:c>
      <x:c r="J3855" s="18" t="n">
        <x:f>MIN(Model_Config_v3!$B$6,I3855+Model_Config_v3!$B$7)</x:f>
        <x:v>634</x:v>
      </x:c>
      <x:c r="K3855" s="20" t="n">
        <x:v>47.2</x:v>
      </x:c>
      <x:c r="L3855" t="str">
        <x:v>MENENGAH</x:v>
      </x:c>
      <x:c r="M3855" t="str">
        <x:v>SEDANG+</x:v>
      </x:c>
      <x:c r="N3855" t="str">
        <x:v>REGULER</x:v>
      </x:c>
      <x:c r="O3855" t="str">
        <x:v>SAINTEK</x:v>
      </x:c>
      <x:c r="P3855" t="str">
        <x:v>TEKNIK/ARSITEKTUR/STATISTIKA/AKTUARIA</x:v>
      </x:c>
      <x:c r="Q3855" s="18" t="n">
        <x:v>0</x:v>
      </x:c>
      <x:c r="R3855" s="18" t="n">
        <x:v>0</x:v>
      </x:c>
      <x:c r="S3855" s="18" t="n">
        <x:v>520</x:v>
      </x:c>
      <x:c r="T3855" s="18" t="n">
        <x:v>654</x:v>
      </x:c>
      <x:c r="U3855" s="18" t="n">
        <x:v>530</x:v>
      </x:c>
      <x:c r="V3855" s="20" t="n">
        <x:v>12</x:v>
      </x:c>
      <x:c r="W3855" s="20" t="n">
        <x:v>5</x:v>
      </x:c>
      <x:c r="X3855" s="20" t="n">
        <x:v>3</x:v>
      </x:c>
      <x:c r="Y3855" t="str">
        <x:v>Basis arsip 2025/2024</x:v>
      </x:c>
      <x:c r="Z3855" t="str">
        <x:v>https://snpmb.id/utbk-snbt/daya-tampung-snbt</x:v>
      </x:c>
      <x:c r="AA3855" t="str">
        <x:v>Tidak Ada</x:v>
      </x:c>
      <x:c r="AB3855" t="str">
        <x:v>Campus=55; Ratio=0.0; Prodi=60; RelDemand=100.0; Capacity=60.0</x:v>
      </x:c>
    </x:row>
    <x:row r="3856">
      <x:c r="A3856" t="n">
        <x:v>3853</x:v>
      </x:c>
      <x:c r="B3856" t="str">
        <x:v>PTN Akademik</x:v>
      </x:c>
      <x:c r="C3856" t="str">
        <x:v>UNIVERSITAS PAPUA</x:v>
      </x:c>
      <x:c r="D3856" t="str">
        <x:v>TEKNIK ELEKTRO</x:v>
      </x:c>
      <x:c r="E3856" t="str">
        <x:v>Sarjana</x:v>
      </x:c>
      <x:c r="F3856" s="18" t="n">
        <x:v>48</x:v>
      </x:c>
      <x:c r="G3856" s="18" t="n">
        <x:v>2</x:v>
      </x:c>
      <x:c r="H3856" s="19" t="n">
        <x:v>0.041666666666666664</x:v>
      </x:c>
      <x:c r="I3856" s="18" t="n">
        <x:f>ROUND(MIN(Model_Config_v3!$B$6,MAX(Q3856,R3856,S3856*Model_Config_v3!$B$4+T3856*Model_Config_v3!$B$5)),0)</x:f>
        <x:v>602</x:v>
      </x:c>
      <x:c r="J3856" s="18" t="n">
        <x:f>MIN(Model_Config_v3!$B$6,I3856+Model_Config_v3!$B$7)</x:f>
        <x:v>622</x:v>
      </x:c>
      <x:c r="K3856" s="20" t="n">
        <x:v>38.3</x:v>
      </x:c>
      <x:c r="L3856" t="str">
        <x:v>RELATIF LONGGAR</x:v>
      </x:c>
      <x:c r="M3856" t="str">
        <x:v>SEDANG+</x:v>
      </x:c>
      <x:c r="N3856" t="str">
        <x:v>REGULER</x:v>
      </x:c>
      <x:c r="O3856" t="str">
        <x:v>SAINTEK</x:v>
      </x:c>
      <x:c r="P3856" t="str">
        <x:v>TEKNIK/ARSITEKTUR/STATISTIKA/AKTUARIA</x:v>
      </x:c>
      <x:c r="Q3856" s="18" t="n">
        <x:v>0</x:v>
      </x:c>
      <x:c r="R3856" s="18" t="n">
        <x:v>0</x:v>
      </x:c>
      <x:c r="S3856" s="18" t="n">
        <x:v>520</x:v>
      </x:c>
      <x:c r="T3856" s="18" t="n">
        <x:v>637</x:v>
      </x:c>
      <x:c r="U3856" s="18" t="n">
        <x:v>530</x:v>
      </x:c>
      <x:c r="V3856" s="20" t="n">
        <x:v>12</x:v>
      </x:c>
      <x:c r="W3856" s="20" t="n">
        <x:v>5</x:v>
      </x:c>
      <x:c r="X3856" s="20" t="n">
        <x:v>3</x:v>
      </x:c>
      <x:c r="Y3856" t="str">
        <x:v>Basis arsip 2025/2024</x:v>
      </x:c>
      <x:c r="Z3856" t="str">
        <x:v>https://snpmb.id/utbk-snbt/daya-tampung-snbt</x:v>
      </x:c>
      <x:c r="AA3856" t="str">
        <x:v>Tidak Ada</x:v>
      </x:c>
      <x:c r="AB3856" t="str">
        <x:v>Campus=55; Ratio=0.0; Prodi=60; RelDemand=10.0; Capacity=60.0</x:v>
      </x:c>
    </x:row>
    <x:row r="3857">
      <x:c r="A3857" t="n">
        <x:v>3854</x:v>
      </x:c>
      <x:c r="B3857" t="str">
        <x:v>PTN Akademik</x:v>
      </x:c>
      <x:c r="C3857" t="str">
        <x:v>UNIVERSITAS PAPUA</x:v>
      </x:c>
      <x:c r="D3857" t="str">
        <x:v>PENDIDIKAN BIOLOGI</x:v>
      </x:c>
      <x:c r="E3857" t="str">
        <x:v>Sarjana</x:v>
      </x:c>
      <x:c r="F3857" s="18" t="n">
        <x:v>48</x:v>
      </x:c>
      <x:c r="G3857" s="18" t="n">
        <x:v>7</x:v>
      </x:c>
      <x:c r="H3857" s="19" t="n">
        <x:v>0.14583333333333334</x:v>
      </x:c>
      <x:c r="I3857" s="18" t="n">
        <x:f>ROUND(MIN(Model_Config_v3!$B$6,MAX(Q3857,R3857,S3857*Model_Config_v3!$B$4+T3857*Model_Config_v3!$B$5)),0)</x:f>
        <x:v>601</x:v>
      </x:c>
      <x:c r="J3857" s="18" t="n">
        <x:f>MIN(Model_Config_v3!$B$6,I3857+Model_Config_v3!$B$7)</x:f>
        <x:v>621</x:v>
      </x:c>
      <x:c r="K3857" s="20" t="n">
        <x:v>37.8</x:v>
      </x:c>
      <x:c r="L3857" t="str">
        <x:v>RELATIF LONGGAR</x:v>
      </x:c>
      <x:c r="M3857" t="str">
        <x:v>SEDANG+</x:v>
      </x:c>
      <x:c r="N3857" t="str">
        <x:v>REGULER</x:v>
      </x:c>
      <x:c r="O3857" t="str">
        <x:v>SAINTEK</x:v>
      </x:c>
      <x:c r="P3857" t="str">
        <x:v>PENDIDIKAN</x:v>
      </x:c>
      <x:c r="Q3857" s="18" t="n">
        <x:v>0</x:v>
      </x:c>
      <x:c r="R3857" s="18" t="n">
        <x:v>0</x:v>
      </x:c>
      <x:c r="S3857" s="18" t="n">
        <x:v>520</x:v>
      </x:c>
      <x:c r="T3857" s="18" t="n">
        <x:v>636</x:v>
      </x:c>
      <x:c r="U3857" s="18" t="n">
        <x:v>520</x:v>
      </x:c>
      <x:c r="V3857" s="20" t="n">
        <x:v>12</x:v>
      </x:c>
      <x:c r="W3857" s="20" t="n">
        <x:v>5</x:v>
      </x:c>
      <x:c r="X3857" s="20" t="n">
        <x:v>3</x:v>
      </x:c>
      <x:c r="Y3857" t="str">
        <x:v>Basis arsip 2025/2024</x:v>
      </x:c>
      <x:c r="Z3857" t="str">
        <x:v>https://snpmb.id/utbk-snbt/daya-tampung-snbt</x:v>
      </x:c>
      <x:c r="AA3857" t="str">
        <x:v>Tidak Ada</x:v>
      </x:c>
      <x:c r="AB3857" t="str">
        <x:v>Campus=55; Ratio=0.0; Prodi=45; RelDemand=35.1; Capacity=60.0</x:v>
      </x:c>
    </x:row>
    <x:row r="3858">
      <x:c r="A3858" t="n">
        <x:v>3855</x:v>
      </x:c>
      <x:c r="B3858" t="str">
        <x:v>PTN Akademik</x:v>
      </x:c>
      <x:c r="C3858" t="str">
        <x:v>UNIVERSITAS PAPUA</x:v>
      </x:c>
      <x:c r="D3858" t="str">
        <x:v>PENDIDIKAN MATEMATIKA</x:v>
      </x:c>
      <x:c r="E3858" t="str">
        <x:v>Sarjana</x:v>
      </x:c>
      <x:c r="F3858" s="18" t="n">
        <x:v>48</x:v>
      </x:c>
      <x:c r="G3858" s="18" t="n">
        <x:v>5</x:v>
      </x:c>
      <x:c r="H3858" s="19" t="n">
        <x:v>0.10416666666666667</x:v>
      </x:c>
      <x:c r="I3858" s="18" t="n">
        <x:f>ROUND(MIN(Model_Config_v3!$B$6,MAX(Q3858,R3858,S3858*Model_Config_v3!$B$4+T3858*Model_Config_v3!$B$5)),0)</x:f>
        <x:v>600</x:v>
      </x:c>
      <x:c r="J3858" s="18" t="n">
        <x:f>MIN(Model_Config_v3!$B$6,I3858+Model_Config_v3!$B$7)</x:f>
        <x:v>620</x:v>
      </x:c>
      <x:c r="K3858" s="20" t="n">
        <x:v>36.8</x:v>
      </x:c>
      <x:c r="L3858" t="str">
        <x:v>RELATIF LONGGAR</x:v>
      </x:c>
      <x:c r="M3858" t="str">
        <x:v>SEDANG+</x:v>
      </x:c>
      <x:c r="N3858" t="str">
        <x:v>REGULER</x:v>
      </x:c>
      <x:c r="O3858" t="str">
        <x:v>SAINTEK</x:v>
      </x:c>
      <x:c r="P3858" t="str">
        <x:v>PENDIDIKAN</x:v>
      </x:c>
      <x:c r="Q3858" s="18" t="n">
        <x:v>0</x:v>
      </x:c>
      <x:c r="R3858" s="18" t="n">
        <x:v>0</x:v>
      </x:c>
      <x:c r="S3858" s="18" t="n">
        <x:v>520</x:v>
      </x:c>
      <x:c r="T3858" s="18" t="n">
        <x:v>634</x:v>
      </x:c>
      <x:c r="U3858" s="18" t="n">
        <x:v>520</x:v>
      </x:c>
      <x:c r="V3858" s="20" t="n">
        <x:v>12</x:v>
      </x:c>
      <x:c r="W3858" s="20" t="n">
        <x:v>5</x:v>
      </x:c>
      <x:c r="X3858" s="20" t="n">
        <x:v>3</x:v>
      </x:c>
      <x:c r="Y3858" t="str">
        <x:v>Basis arsip 2025/2024</x:v>
      </x:c>
      <x:c r="Z3858" t="str">
        <x:v>https://snpmb.id/utbk-snbt/daya-tampung-snbt</x:v>
      </x:c>
      <x:c r="AA3858" t="str">
        <x:v>Tidak Ada</x:v>
      </x:c>
      <x:c r="AB3858" t="str">
        <x:v>Campus=55; Ratio=0.0; Prodi=45; RelDemand=25.1; Capacity=60.0</x:v>
      </x:c>
    </x:row>
    <x:row r="3859">
      <x:c r="A3859" t="n">
        <x:v>3856</x:v>
      </x:c>
      <x:c r="B3859" t="str">
        <x:v>PTN Akademik</x:v>
      </x:c>
      <x:c r="C3859" t="str">
        <x:v>UNIVERSITAS PAPUA</x:v>
      </x:c>
      <x:c r="D3859" t="str">
        <x:v>PENDIDIKAN KIMIA</x:v>
      </x:c>
      <x:c r="E3859" t="str">
        <x:v>Sarjana</x:v>
      </x:c>
      <x:c r="F3859" s="18" t="n">
        <x:v>48</x:v>
      </x:c>
      <x:c r="G3859" s="18" t="n">
        <x:v>2</x:v>
      </x:c>
      <x:c r="H3859" s="19" t="n">
        <x:v>0.041666666666666664</x:v>
      </x:c>
      <x:c r="I3859" s="18" t="n">
        <x:f>ROUND(MIN(Model_Config_v3!$B$6,MAX(Q3859,R3859,S3859*Model_Config_v3!$B$4+T3859*Model_Config_v3!$B$5)),0)</x:f>
        <x:v>598</x:v>
      </x:c>
      <x:c r="J3859" s="18" t="n">
        <x:f>MIN(Model_Config_v3!$B$6,I3859+Model_Config_v3!$B$7)</x:f>
        <x:v>618</x:v>
      </x:c>
      <x:c r="K3859" s="20" t="n">
        <x:v>35.3</x:v>
      </x:c>
      <x:c r="L3859" t="str">
        <x:v>RELATIF LONGGAR</x:v>
      </x:c>
      <x:c r="M3859" t="str">
        <x:v>SEDANG+</x:v>
      </x:c>
      <x:c r="N3859" t="str">
        <x:v>REGULER</x:v>
      </x:c>
      <x:c r="O3859" t="str">
        <x:v>SAINTEK</x:v>
      </x:c>
      <x:c r="P3859" t="str">
        <x:v>PENDIDIKAN</x:v>
      </x:c>
      <x:c r="Q3859" s="18" t="n">
        <x:v>0</x:v>
      </x:c>
      <x:c r="R3859" s="18" t="n">
        <x:v>0</x:v>
      </x:c>
      <x:c r="S3859" s="18" t="n">
        <x:v>520</x:v>
      </x:c>
      <x:c r="T3859" s="18" t="n">
        <x:v>631</x:v>
      </x:c>
      <x:c r="U3859" s="18" t="n">
        <x:v>520</x:v>
      </x:c>
      <x:c r="V3859" s="20" t="n">
        <x:v>12</x:v>
      </x:c>
      <x:c r="W3859" s="20" t="n">
        <x:v>5</x:v>
      </x:c>
      <x:c r="X3859" s="20" t="n">
        <x:v>3</x:v>
      </x:c>
      <x:c r="Y3859" t="str">
        <x:v>Basis arsip 2025/2024</x:v>
      </x:c>
      <x:c r="Z3859" t="str">
        <x:v>https://snpmb.id/utbk-snbt/daya-tampung-snbt</x:v>
      </x:c>
      <x:c r="AA3859" t="str">
        <x:v>Tidak Ada</x:v>
      </x:c>
      <x:c r="AB3859" t="str">
        <x:v>Campus=55; Ratio=0.0; Prodi=45; RelDemand=10.0; Capacity=60.0</x:v>
      </x:c>
    </x:row>
    <x:row r="3860">
      <x:c r="A3860" t="n">
        <x:v>3857</x:v>
      </x:c>
      <x:c r="B3860" t="str">
        <x:v>PTN Akademik</x:v>
      </x:c>
      <x:c r="C3860" t="str">
        <x:v>UNIVERSITAS PAPUA</x:v>
      </x:c>
      <x:c r="D3860" t="str">
        <x:v>TEKNIK GEOLOGI</x:v>
      </x:c>
      <x:c r="E3860" t="str">
        <x:v>Sarjana</x:v>
      </x:c>
      <x:c r="F3860" s="18" t="n">
        <x:v>48</x:v>
      </x:c>
      <x:c r="G3860" s="18" t="n">
        <x:v>3</x:v>
      </x:c>
      <x:c r="H3860" s="19" t="n">
        <x:v>0.0625</x:v>
      </x:c>
      <x:c r="I3860" s="18" t="n">
        <x:f>ROUND(MIN(Model_Config_v3!$B$6,MAX(Q3860,R3860,S3860*Model_Config_v3!$B$4+T3860*Model_Config_v3!$B$5)),0)</x:f>
        <x:v>603</x:v>
      </x:c>
      <x:c r="J3860" s="18" t="n">
        <x:f>MIN(Model_Config_v3!$B$6,I3860+Model_Config_v3!$B$7)</x:f>
        <x:v>623</x:v>
      </x:c>
      <x:c r="K3860" s="20" t="n">
        <x:v>38.8</x:v>
      </x:c>
      <x:c r="L3860" t="str">
        <x:v>RELATIF LONGGAR</x:v>
      </x:c>
      <x:c r="M3860" t="str">
        <x:v>SEDANG+</x:v>
      </x:c>
      <x:c r="N3860" t="str">
        <x:v>REGULER</x:v>
      </x:c>
      <x:c r="O3860" t="str">
        <x:v>SAINTEK</x:v>
      </x:c>
      <x:c r="P3860" t="str">
        <x:v>TEKNIK/ARSITEKTUR/STATISTIKA/AKTUARIA</x:v>
      </x:c>
      <x:c r="Q3860" s="18" t="n">
        <x:v>0</x:v>
      </x:c>
      <x:c r="R3860" s="18" t="n">
        <x:v>0</x:v>
      </x:c>
      <x:c r="S3860" s="18" t="n">
        <x:v>520</x:v>
      </x:c>
      <x:c r="T3860" s="18" t="n">
        <x:v>638</x:v>
      </x:c>
      <x:c r="U3860" s="18" t="n">
        <x:v>530</x:v>
      </x:c>
      <x:c r="V3860" s="20" t="n">
        <x:v>12</x:v>
      </x:c>
      <x:c r="W3860" s="20" t="n">
        <x:v>5</x:v>
      </x:c>
      <x:c r="X3860" s="20" t="n">
        <x:v>3</x:v>
      </x:c>
      <x:c r="Y3860" t="str">
        <x:v>Basis arsip 2025/2024</x:v>
      </x:c>
      <x:c r="Z3860" t="str">
        <x:v>https://snpmb.id/utbk-snbt/daya-tampung-snbt</x:v>
      </x:c>
      <x:c r="AA3860" t="str">
        <x:v>Tidak Ada</x:v>
      </x:c>
      <x:c r="AB3860" t="str">
        <x:v>Campus=55; Ratio=0.0; Prodi=60; RelDemand=15.0; Capacity=60.0</x:v>
      </x:c>
    </x:row>
    <x:row r="3861">
      <x:c r="A3861" t="n">
        <x:v>3858</x:v>
      </x:c>
      <x:c r="B3861" t="str">
        <x:v>PTN Akademik</x:v>
      </x:c>
      <x:c r="C3861" t="str">
        <x:v>UNIVERSITAS PAPUA</x:v>
      </x:c>
      <x:c r="D3861" t="str">
        <x:v>PENDIDIKAN FISIKA</x:v>
      </x:c>
      <x:c r="E3861" t="str">
        <x:v>Sarjana</x:v>
      </x:c>
      <x:c r="F3861" s="18" t="n">
        <x:v>48</x:v>
      </x:c>
      <x:c r="G3861" s="18" t="n">
        <x:v>1</x:v>
      </x:c>
      <x:c r="H3861" s="19" t="n">
        <x:v>0.020833333333333332</x:v>
      </x:c>
      <x:c r="I3861" s="18" t="n">
        <x:f>ROUND(MIN(Model_Config_v3!$B$6,MAX(Q3861,R3861,S3861*Model_Config_v3!$B$4+T3861*Model_Config_v3!$B$5)),0)</x:f>
        <x:v>597</x:v>
      </x:c>
      <x:c r="J3861" s="18" t="n">
        <x:f>MIN(Model_Config_v3!$B$6,I3861+Model_Config_v3!$B$7)</x:f>
        <x:v>617</x:v>
      </x:c>
      <x:c r="K3861" s="20" t="n">
        <x:v>34.8</x:v>
      </x:c>
      <x:c r="L3861" t="str">
        <x:v>RELATIF LONGGAR</x:v>
      </x:c>
      <x:c r="M3861" t="str">
        <x:v>SEDANG+</x:v>
      </x:c>
      <x:c r="N3861" t="str">
        <x:v>REGULER</x:v>
      </x:c>
      <x:c r="O3861" t="str">
        <x:v>SAINTEK</x:v>
      </x:c>
      <x:c r="P3861" t="str">
        <x:v>PENDIDIKAN</x:v>
      </x:c>
      <x:c r="Q3861" s="18" t="n">
        <x:v>0</x:v>
      </x:c>
      <x:c r="R3861" s="18" t="n">
        <x:v>0</x:v>
      </x:c>
      <x:c r="S3861" s="18" t="n">
        <x:v>520</x:v>
      </x:c>
      <x:c r="T3861" s="18" t="n">
        <x:v>630</x:v>
      </x:c>
      <x:c r="U3861" s="18" t="n">
        <x:v>520</x:v>
      </x:c>
      <x:c r="V3861" s="20" t="n">
        <x:v>12</x:v>
      </x:c>
      <x:c r="W3861" s="20" t="n">
        <x:v>5</x:v>
      </x:c>
      <x:c r="X3861" s="20" t="n">
        <x:v>3</x:v>
      </x:c>
      <x:c r="Y3861" t="str">
        <x:v>Basis arsip 2025/2024</x:v>
      </x:c>
      <x:c r="Z3861" t="str">
        <x:v>https://snpmb.id/utbk-snbt/daya-tampung-snbt</x:v>
      </x:c>
      <x:c r="AA3861" t="str">
        <x:v>Tidak Ada</x:v>
      </x:c>
      <x:c r="AB3861" t="str">
        <x:v>Campus=55; Ratio=0.0; Prodi=45; RelDemand=5.0; Capacity=60.0</x:v>
      </x:c>
    </x:row>
    <x:row r="3862">
      <x:c r="A3862" t="n">
        <x:v>3859</x:v>
      </x:c>
      <x:c r="B3862" t="str">
        <x:v>PTN Akademik</x:v>
      </x:c>
      <x:c r="C3862" t="str">
        <x:v>UNIVERSITAS PAPUA</x:v>
      </x:c>
      <x:c r="D3862" t="str">
        <x:v>ILMU TANAH</x:v>
      </x:c>
      <x:c r="E3862" t="str">
        <x:v>Sarjana</x:v>
      </x:c>
      <x:c r="F3862" s="18" t="n">
        <x:v>48</x:v>
      </x:c>
      <x:c r="G3862" s="18"/>
      <x:c r="H3862" s="19" t="n">
        <x:v>0</x:v>
      </x:c>
      <x:c r="I3862" s="18" t="n">
        <x:f>ROUND(MIN(Model_Config_v3!$B$6,MAX(Q3862,R3862,S3862*Model_Config_v3!$B$4+T3862*Model_Config_v3!$B$5)),0)</x:f>
        <x:v>594</x:v>
      </x:c>
      <x:c r="J3862" s="18" t="n">
        <x:f>MIN(Model_Config_v3!$B$6,I3862+Model_Config_v3!$B$7)</x:f>
        <x:v>614</x:v>
      </x:c>
      <x:c r="K3862" s="20" t="n">
        <x:v>33.2</x:v>
      </x:c>
      <x:c r="L3862" t="str">
        <x:v>RELATIF LONGGAR</x:v>
      </x:c>
      <x:c r="M3862" t="str">
        <x:v>RENDAH</x:v>
      </x:c>
      <x:c r="N3862" t="str">
        <x:v>REGULER</x:v>
      </x:c>
      <x:c r="O3862" t="str">
        <x:v>CAMPURAN</x:v>
      </x:c>
      <x:c r="P3862" t="str">
        <x:v>UMUM</x:v>
      </x:c>
      <x:c r="Q3862" s="18" t="n">
        <x:v>0</x:v>
      </x:c>
      <x:c r="R3862" s="18" t="n">
        <x:v>0</x:v>
      </x:c>
      <x:c r="S3862" s="18" t="n">
        <x:v>520</x:v>
      </x:c>
      <x:c r="T3862" s="18" t="n">
        <x:v>626</x:v>
      </x:c>
      <x:c r="U3862" s="18" t="n">
        <x:v>520</x:v>
      </x:c>
      <x:c r="V3862" s="20" t="n">
        <x:v>8.8</x:v>
      </x:c>
      <x:c r="W3862" s="20" t="n">
        <x:v>9.9</x:v>
      </x:c>
      <x:c r="X3862" s="20" t="n">
        <x:v>3.3</x:v>
      </x:c>
      <x:c r="Y3862" t="str">
        <x:v>Basis arsip 2025/2024</x:v>
      </x:c>
      <x:c r="Z3862" t="str">
        <x:v>https://snpmb.id/utbk-snbt/daya-tampung-snbt</x:v>
      </x:c>
      <x:c r="AA3862" t="str">
        <x:v>Tidak Ada</x:v>
      </x:c>
      <x:c r="AB3862" t="str">
        <x:v>Campus=55; Ratio=0.0; Prodi=40; RelDemand=0.0; Capacity=60.0</x:v>
      </x:c>
    </x:row>
    <x:row r="3863">
      <x:c r="A3863" t="n">
        <x:v>3860</x:v>
      </x:c>
      <x:c r="B3863" t="str">
        <x:v>PTN Akademik</x:v>
      </x:c>
      <x:c r="C3863" t="str">
        <x:v>UNIVERSITAS PAPUA</x:v>
      </x:c>
      <x:c r="D3863" t="str">
        <x:v>NUTRISI DAN TEKNOLOGI PAKAN TERNAK</x:v>
      </x:c>
      <x:c r="E3863" t="str">
        <x:v>Sarjana</x:v>
      </x:c>
      <x:c r="F3863" s="18" t="n">
        <x:v>48</x:v>
      </x:c>
      <x:c r="G3863" s="18"/>
      <x:c r="H3863" s="19" t="n">
        <x:v>0</x:v>
      </x:c>
      <x:c r="I3863" s="18" t="n">
        <x:f>ROUND(MIN(Model_Config_v3!$B$6,MAX(Q3863,R3863,S3863*Model_Config_v3!$B$4+T3863*Model_Config_v3!$B$5)),0)</x:f>
        <x:v>594</x:v>
      </x:c>
      <x:c r="J3863" s="18" t="n">
        <x:f>MIN(Model_Config_v3!$B$6,I3863+Model_Config_v3!$B$7)</x:f>
        <x:v>614</x:v>
      </x:c>
      <x:c r="K3863" s="20" t="n">
        <x:v>33.2</x:v>
      </x:c>
      <x:c r="L3863" t="str">
        <x:v>RELATIF LONGGAR</x:v>
      </x:c>
      <x:c r="M3863" t="str">
        <x:v>RENDAH</x:v>
      </x:c>
      <x:c r="N3863" t="str">
        <x:v>REGULER</x:v>
      </x:c>
      <x:c r="O3863" t="str">
        <x:v>SAINTEK</x:v>
      </x:c>
      <x:c r="P3863" t="str">
        <x:v>UMUM</x:v>
      </x:c>
      <x:c r="Q3863" s="18" t="n">
        <x:v>0</x:v>
      </x:c>
      <x:c r="R3863" s="18" t="n">
        <x:v>0</x:v>
      </x:c>
      <x:c r="S3863" s="18" t="n">
        <x:v>520</x:v>
      </x:c>
      <x:c r="T3863" s="18" t="n">
        <x:v>626</x:v>
      </x:c>
      <x:c r="U3863" s="18" t="n">
        <x:v>520</x:v>
      </x:c>
      <x:c r="V3863" s="20" t="n">
        <x:v>12</x:v>
      </x:c>
      <x:c r="W3863" s="20" t="n">
        <x:v>5</x:v>
      </x:c>
      <x:c r="X3863" s="20" t="n">
        <x:v>3</x:v>
      </x:c>
      <x:c r="Y3863" t="str">
        <x:v>Basis arsip 2025/2024</x:v>
      </x:c>
      <x:c r="Z3863" t="str">
        <x:v>https://snpmb.id/utbk-snbt/daya-tampung-snbt</x:v>
      </x:c>
      <x:c r="AA3863" t="str">
        <x:v>Tidak Ada</x:v>
      </x:c>
      <x:c r="AB3863" t="str">
        <x:v>Campus=55; Ratio=0.0; Prodi=40; RelDemand=0.0; Capacity=60.0</x:v>
      </x:c>
    </x:row>
    <x:row r="3864">
      <x:c r="A3864" t="n">
        <x:v>3861</x:v>
      </x:c>
      <x:c r="B3864" t="str">
        <x:v>PTN Akademik</x:v>
      </x:c>
      <x:c r="C3864" t="str">
        <x:v>UNIVERSITAS PAPUA</x:v>
      </x:c>
      <x:c r="D3864" t="str">
        <x:v>TEKNIK PERTANIAN DAN BIOSISTEM</x:v>
      </x:c>
      <x:c r="E3864" t="str">
        <x:v>Sarjana</x:v>
      </x:c>
      <x:c r="F3864" s="18" t="n">
        <x:v>48</x:v>
      </x:c>
      <x:c r="G3864" s="18" t="n">
        <x:v>2</x:v>
      </x:c>
      <x:c r="H3864" s="19" t="n">
        <x:v>0.041666666666666664</x:v>
      </x:c>
      <x:c r="I3864" s="18" t="n">
        <x:f>ROUND(MIN(Model_Config_v3!$B$6,MAX(Q3864,R3864,S3864*Model_Config_v3!$B$4+T3864*Model_Config_v3!$B$5)),0)</x:f>
        <x:v>602</x:v>
      </x:c>
      <x:c r="J3864" s="18" t="n">
        <x:f>MIN(Model_Config_v3!$B$6,I3864+Model_Config_v3!$B$7)</x:f>
        <x:v>622</x:v>
      </x:c>
      <x:c r="K3864" s="20" t="n">
        <x:v>38.3</x:v>
      </x:c>
      <x:c r="L3864" t="str">
        <x:v>RELATIF LONGGAR</x:v>
      </x:c>
      <x:c r="M3864" t="str">
        <x:v>SEDANG+</x:v>
      </x:c>
      <x:c r="N3864" t="str">
        <x:v>REGULER</x:v>
      </x:c>
      <x:c r="O3864" t="str">
        <x:v>SAINTEK</x:v>
      </x:c>
      <x:c r="P3864" t="str">
        <x:v>TEKNIK/ARSITEKTUR/STATISTIKA/AKTUARIA</x:v>
      </x:c>
      <x:c r="Q3864" s="18" t="n">
        <x:v>0</x:v>
      </x:c>
      <x:c r="R3864" s="18" t="n">
        <x:v>0</x:v>
      </x:c>
      <x:c r="S3864" s="18" t="n">
        <x:v>520</x:v>
      </x:c>
      <x:c r="T3864" s="18" t="n">
        <x:v>637</x:v>
      </x:c>
      <x:c r="U3864" s="18" t="n">
        <x:v>530</x:v>
      </x:c>
      <x:c r="V3864" s="20" t="n">
        <x:v>12</x:v>
      </x:c>
      <x:c r="W3864" s="20" t="n">
        <x:v>5</x:v>
      </x:c>
      <x:c r="X3864" s="20" t="n">
        <x:v>3</x:v>
      </x:c>
      <x:c r="Y3864" t="str">
        <x:v>Basis arsip 2025/2024</x:v>
      </x:c>
      <x:c r="Z3864" t="str">
        <x:v>https://snpmb.id/utbk-snbt/daya-tampung-snbt</x:v>
      </x:c>
      <x:c r="AA3864" t="str">
        <x:v>Tidak Ada</x:v>
      </x:c>
      <x:c r="AB3864" t="str">
        <x:v>Campus=55; Ratio=0.0; Prodi=60; RelDemand=10.0; Capacity=60.0</x:v>
      </x:c>
    </x:row>
    <x:row r="3865">
      <x:c r="A3865" t="n">
        <x:v>3862</x:v>
      </x:c>
      <x:c r="B3865" t="str">
        <x:v>PTN Akademik</x:v>
      </x:c>
      <x:c r="C3865" t="str">
        <x:v>UNIVERSITAS PAPUA</x:v>
      </x:c>
      <x:c r="D3865" t="str">
        <x:v>TEKNIK SIPIL</x:v>
      </x:c>
      <x:c r="E3865" t="str">
        <x:v>Sarjana</x:v>
      </x:c>
      <x:c r="F3865" s="18" t="n">
        <x:v>48</x:v>
      </x:c>
      <x:c r="G3865" s="18" t="n">
        <x:v>17</x:v>
      </x:c>
      <x:c r="H3865" s="19" t="n">
        <x:v>0.3541666666666667</x:v>
      </x:c>
      <x:c r="I3865" s="18" t="n">
        <x:f>ROUND(MIN(Model_Config_v3!$B$6,MAX(Q3865,R3865,S3865*Model_Config_v3!$B$4+T3865*Model_Config_v3!$B$5)),0)</x:f>
        <x:v>612</x:v>
      </x:c>
      <x:c r="J3865" s="18" t="n">
        <x:f>MIN(Model_Config_v3!$B$6,I3865+Model_Config_v3!$B$7)</x:f>
        <x:v>632</x:v>
      </x:c>
      <x:c r="K3865" s="20" t="n">
        <x:v>45.8</x:v>
      </x:c>
      <x:c r="L3865" t="str">
        <x:v>MENENGAH</x:v>
      </x:c>
      <x:c r="M3865" t="str">
        <x:v>SEDANG+</x:v>
      </x:c>
      <x:c r="N3865" t="str">
        <x:v>REGULER</x:v>
      </x:c>
      <x:c r="O3865" t="str">
        <x:v>SAINTEK</x:v>
      </x:c>
      <x:c r="P3865" t="str">
        <x:v>TEKNIK/ARSITEKTUR/STATISTIKA/AKTUARIA</x:v>
      </x:c>
      <x:c r="Q3865" s="18" t="n">
        <x:v>0</x:v>
      </x:c>
      <x:c r="R3865" s="18" t="n">
        <x:v>0</x:v>
      </x:c>
      <x:c r="S3865" s="18" t="n">
        <x:v>520</x:v>
      </x:c>
      <x:c r="T3865" s="18" t="n">
        <x:v>652</x:v>
      </x:c>
      <x:c r="U3865" s="18" t="n">
        <x:v>530</x:v>
      </x:c>
      <x:c r="V3865" s="20" t="n">
        <x:v>12</x:v>
      </x:c>
      <x:c r="W3865" s="20" t="n">
        <x:v>5</x:v>
      </x:c>
      <x:c r="X3865" s="20" t="n">
        <x:v>3</x:v>
      </x:c>
      <x:c r="Y3865" t="str">
        <x:v>Basis arsip 2025/2024</x:v>
      </x:c>
      <x:c r="Z3865" t="str">
        <x:v>https://snpmb.id/utbk-snbt/daya-tampung-snbt</x:v>
      </x:c>
      <x:c r="AA3865" t="str">
        <x:v>Tidak Ada</x:v>
      </x:c>
      <x:c r="AB3865" t="str">
        <x:v>Campus=55; Ratio=0.0; Prodi=60; RelDemand=85.3; Capacity=60.0</x:v>
      </x:c>
    </x:row>
    <x:row r="3866">
      <x:c r="A3866" t="n">
        <x:v>3863</x:v>
      </x:c>
      <x:c r="B3866" t="str">
        <x:v>PTN Akademik</x:v>
      </x:c>
      <x:c r="C3866" t="str">
        <x:v>UNIVERSITAS PAPUA</x:v>
      </x:c>
      <x:c r="D3866" t="str">
        <x:v>EKONOMI PEMBANGUNAN</x:v>
      </x:c>
      <x:c r="E3866" t="str">
        <x:v>Sarjana</x:v>
      </x:c>
      <x:c r="F3866" s="18" t="n">
        <x:v>48</x:v>
      </x:c>
      <x:c r="G3866" s="18" t="n">
        <x:v>9</x:v>
      </x:c>
      <x:c r="H3866" s="19" t="n">
        <x:v>0.1875</x:v>
      </x:c>
      <x:c r="I3866" s="18" t="n">
        <x:f>ROUND(MIN(Model_Config_v3!$B$6,MAX(Q3866,R3866,S3866*Model_Config_v3!$B$4+T3866*Model_Config_v3!$B$5)),0)</x:f>
        <x:v>608</x:v>
      </x:c>
      <x:c r="J3866" s="18" t="n">
        <x:f>MIN(Model_Config_v3!$B$6,I3866+Model_Config_v3!$B$7)</x:f>
        <x:v>628</x:v>
      </x:c>
      <x:c r="K3866" s="20" t="n">
        <x:v>42.8</x:v>
      </x:c>
      <x:c r="L3866" t="str">
        <x:v>RELATIF LONGGAR</x:v>
      </x:c>
      <x:c r="M3866" t="str">
        <x:v>SEDANG+</x:v>
      </x:c>
      <x:c r="N3866" t="str">
        <x:v>REGULER</x:v>
      </x:c>
      <x:c r="O3866" t="str">
        <x:v>SOSHUM</x:v>
      </x:c>
      <x:c r="P3866" t="str">
        <x:v>BISNIS/EKONOMI/AKUNTANSI</x:v>
      </x:c>
      <x:c r="Q3866" s="18" t="n">
        <x:v>0</x:v>
      </x:c>
      <x:c r="R3866" s="18" t="n">
        <x:v>0</x:v>
      </x:c>
      <x:c r="S3866" s="18" t="n">
        <x:v>520</x:v>
      </x:c>
      <x:c r="T3866" s="18" t="n">
        <x:v>646</x:v>
      </x:c>
      <x:c r="U3866" s="18" t="n">
        <x:v>520</x:v>
      </x:c>
      <x:c r="V3866" s="20" t="n">
        <x:v>4.4</x:v>
      </x:c>
      <x:c r="W3866" s="20" t="n">
        <x:v>14.3</x:v>
      </x:c>
      <x:c r="X3866" s="20" t="n">
        <x:v>3.3</x:v>
      </x:c>
      <x:c r="Y3866" t="str">
        <x:v>Basis arsip 2025/2024</x:v>
      </x:c>
      <x:c r="Z3866" t="str">
        <x:v>https://snpmb.id/utbk-snbt/daya-tampung-snbt</x:v>
      </x:c>
      <x:c r="AA3866" t="str">
        <x:v>Tidak Ada</x:v>
      </x:c>
      <x:c r="AB3866" t="str">
        <x:v>Campus=55; Ratio=0.0; Prodi=65; RelDemand=45.1; Capacity=60.0</x:v>
      </x:c>
    </x:row>
    <x:row r="3867">
      <x:c r="A3867" t="n">
        <x:v>3864</x:v>
      </x:c>
      <x:c r="B3867" t="str">
        <x:v>PTN Akademik</x:v>
      </x:c>
      <x:c r="C3867" t="str">
        <x:v>UNIVERSITAS PAPUA</x:v>
      </x:c>
      <x:c r="D3867" t="str">
        <x:v>SASTRA INGGRIS</x:v>
      </x:c>
      <x:c r="E3867" t="str">
        <x:v>Sarjana</x:v>
      </x:c>
      <x:c r="F3867" s="18" t="n">
        <x:v>48</x:v>
      </x:c>
      <x:c r="G3867" s="18" t="n">
        <x:v>6</x:v>
      </x:c>
      <x:c r="H3867" s="19" t="n">
        <x:v>0.125</x:v>
      </x:c>
      <x:c r="I3867" s="18" t="n">
        <x:f>ROUND(MIN(Model_Config_v3!$B$6,MAX(Q3867,R3867,S3867*Model_Config_v3!$B$4+T3867*Model_Config_v3!$B$5)),0)</x:f>
        <x:v>599</x:v>
      </x:c>
      <x:c r="J3867" s="18" t="n">
        <x:f>MIN(Model_Config_v3!$B$6,I3867+Model_Config_v3!$B$7)</x:f>
        <x:v>619</x:v>
      </x:c>
      <x:c r="K3867" s="20" t="n">
        <x:v>36.3</x:v>
      </x:c>
      <x:c r="L3867" t="str">
        <x:v>RELATIF LONGGAR</x:v>
      </x:c>
      <x:c r="M3867" t="str">
        <x:v>SEDANG</x:v>
      </x:c>
      <x:c r="N3867" t="str">
        <x:v>REGULER</x:v>
      </x:c>
      <x:c r="O3867" t="str">
        <x:v>SOSHUM</x:v>
      </x:c>
      <x:c r="P3867" t="str">
        <x:v>UMUM</x:v>
      </x:c>
      <x:c r="Q3867" s="18" t="n">
        <x:v>0</x:v>
      </x:c>
      <x:c r="R3867" s="18" t="n">
        <x:v>0</x:v>
      </x:c>
      <x:c r="S3867" s="18" t="n">
        <x:v>520</x:v>
      </x:c>
      <x:c r="T3867" s="18" t="n">
        <x:v>633</x:v>
      </x:c>
      <x:c r="U3867" s="18" t="n">
        <x:v>520</x:v>
      </x:c>
      <x:c r="V3867" s="20" t="n">
        <x:v>4.4</x:v>
      </x:c>
      <x:c r="W3867" s="20" t="n">
        <x:v>14.3</x:v>
      </x:c>
      <x:c r="X3867" s="20" t="n">
        <x:v>3.3</x:v>
      </x:c>
      <x:c r="Y3867" t="str">
        <x:v>Basis arsip 2025/2024</x:v>
      </x:c>
      <x:c r="Z3867" t="str">
        <x:v>https://snpmb.id/utbk-snbt/daya-tampung-snbt</x:v>
      </x:c>
      <x:c r="AA3867" t="str">
        <x:v>Tidak Ada</x:v>
      </x:c>
      <x:c r="AB3867" t="str">
        <x:v>Campus=55; Ratio=0.0; Prodi=40; RelDemand=30.1; Capacity=60.0</x:v>
      </x:c>
    </x:row>
    <x:row r="3868">
      <x:c r="A3868" t="n">
        <x:v>3865</x:v>
      </x:c>
      <x:c r="B3868" t="str">
        <x:v>PTN Akademik</x:v>
      </x:c>
      <x:c r="C3868" t="str">
        <x:v>UNIVERSITAS PAPUA</x:v>
      </x:c>
      <x:c r="D3868" t="str">
        <x:v>ANTROPOLOGI</x:v>
      </x:c>
      <x:c r="E3868" t="str">
        <x:v>Sarjana</x:v>
      </x:c>
      <x:c r="F3868" s="18" t="n">
        <x:v>48</x:v>
      </x:c>
      <x:c r="G3868" s="18" t="n">
        <x:v>5</x:v>
      </x:c>
      <x:c r="H3868" s="19" t="n">
        <x:v>0.10416666666666667</x:v>
      </x:c>
      <x:c r="I3868" s="18" t="n">
        <x:f>ROUND(MIN(Model_Config_v3!$B$6,MAX(Q3868,R3868,S3868*Model_Config_v3!$B$4+T3868*Model_Config_v3!$B$5)),0)</x:f>
        <x:v>598</x:v>
      </x:c>
      <x:c r="J3868" s="18" t="n">
        <x:f>MIN(Model_Config_v3!$B$6,I3868+Model_Config_v3!$B$7)</x:f>
        <x:v>618</x:v>
      </x:c>
      <x:c r="K3868" s="20" t="n">
        <x:v>35.8</x:v>
      </x:c>
      <x:c r="L3868" t="str">
        <x:v>RELATIF LONGGAR</x:v>
      </x:c>
      <x:c r="M3868" t="str">
        <x:v>SEDANG</x:v>
      </x:c>
      <x:c r="N3868" t="str">
        <x:v>REGULER</x:v>
      </x:c>
      <x:c r="O3868" t="str">
        <x:v>SOSHUM</x:v>
      </x:c>
      <x:c r="P3868" t="str">
        <x:v>UMUM</x:v>
      </x:c>
      <x:c r="Q3868" s="18" t="n">
        <x:v>0</x:v>
      </x:c>
      <x:c r="R3868" s="18" t="n">
        <x:v>0</x:v>
      </x:c>
      <x:c r="S3868" s="18" t="n">
        <x:v>520</x:v>
      </x:c>
      <x:c r="T3868" s="18" t="n">
        <x:v>632</x:v>
      </x:c>
      <x:c r="U3868" s="18" t="n">
        <x:v>520</x:v>
      </x:c>
      <x:c r="V3868" s="20" t="n">
        <x:v>4.4</x:v>
      </x:c>
      <x:c r="W3868" s="20" t="n">
        <x:v>14.3</x:v>
      </x:c>
      <x:c r="X3868" s="20" t="n">
        <x:v>3.3</x:v>
      </x:c>
      <x:c r="Y3868" t="str">
        <x:v>Basis arsip 2025/2024</x:v>
      </x:c>
      <x:c r="Z3868" t="str">
        <x:v>https://snpmb.id/utbk-snbt/daya-tampung-snbt</x:v>
      </x:c>
      <x:c r="AA3868" t="str">
        <x:v>Tidak Ada</x:v>
      </x:c>
      <x:c r="AB3868" t="str">
        <x:v>Campus=55; Ratio=0.0; Prodi=40; RelDemand=25.1; Capacity=60.0</x:v>
      </x:c>
    </x:row>
    <x:row r="3869">
      <x:c r="A3869" t="n">
        <x:v>3866</x:v>
      </x:c>
      <x:c r="B3869" t="str">
        <x:v>PTN Akademik</x:v>
      </x:c>
      <x:c r="C3869" t="str">
        <x:v>UNIVERSITAS PAPUA</x:v>
      </x:c>
      <x:c r="D3869" t="str">
        <x:v>MANAJEMEN</x:v>
      </x:c>
      <x:c r="E3869" t="str">
        <x:v>Sarjana</x:v>
      </x:c>
      <x:c r="F3869" s="18" t="n">
        <x:v>48</x:v>
      </x:c>
      <x:c r="G3869" s="18" t="n">
        <x:v>45</x:v>
      </x:c>
      <x:c r="H3869" s="19" t="n">
        <x:v>0.9375</x:v>
      </x:c>
      <x:c r="I3869" s="18" t="n">
        <x:f>ROUND(MIN(Model_Config_v3!$B$6,MAX(Q3869,R3869,S3869*Model_Config_v3!$B$4+T3869*Model_Config_v3!$B$5)),0)</x:f>
        <x:v>615</x:v>
      </x:c>
      <x:c r="J3869" s="18" t="n">
        <x:f>MIN(Model_Config_v3!$B$6,I3869+Model_Config_v3!$B$7)</x:f>
        <x:v>635</x:v>
      </x:c>
      <x:c r="K3869" s="20" t="n">
        <x:v>48.2</x:v>
      </x:c>
      <x:c r="L3869" t="str">
        <x:v>MENENGAH</x:v>
      </x:c>
      <x:c r="M3869" t="str">
        <x:v>SEDANG+</x:v>
      </x:c>
      <x:c r="N3869" t="str">
        <x:v>REGULER</x:v>
      </x:c>
      <x:c r="O3869" t="str">
        <x:v>SOSHUM</x:v>
      </x:c>
      <x:c r="P3869" t="str">
        <x:v>BISNIS/EKONOMI/AKUNTANSI</x:v>
      </x:c>
      <x:c r="Q3869" s="18" t="n">
        <x:v>0</x:v>
      </x:c>
      <x:c r="R3869" s="18" t="n">
        <x:v>0</x:v>
      </x:c>
      <x:c r="S3869" s="18" t="n">
        <x:v>520</x:v>
      </x:c>
      <x:c r="T3869" s="18" t="n">
        <x:v>656</x:v>
      </x:c>
      <x:c r="U3869" s="18" t="n">
        <x:v>535</x:v>
      </x:c>
      <x:c r="V3869" s="20" t="n">
        <x:v>4.4</x:v>
      </x:c>
      <x:c r="W3869" s="20" t="n">
        <x:v>14.3</x:v>
      </x:c>
      <x:c r="X3869" s="20" t="n">
        <x:v>3.3</x:v>
      </x:c>
      <x:c r="Y3869" t="str">
        <x:v>Basis arsip 2025/2024</x:v>
      </x:c>
      <x:c r="Z3869" t="str">
        <x:v>https://snpmb.id/utbk-snbt/daya-tampung-snbt</x:v>
      </x:c>
      <x:c r="AA3869" t="str">
        <x:v>Tidak Ada</x:v>
      </x:c>
      <x:c r="AB3869" t="str">
        <x:v>Campus=55; Ratio=0.0; Prodi=65; RelDemand=100.0; Capacity=60.0</x:v>
      </x:c>
    </x:row>
    <x:row r="3870">
      <x:c r="A3870" t="n">
        <x:v>3867</x:v>
      </x:c>
      <x:c r="B3870" t="str">
        <x:v>PTN Akademik</x:v>
      </x:c>
      <x:c r="C3870" t="str">
        <x:v>UNIVERSITAS PAPUA</x:v>
      </x:c>
      <x:c r="D3870" t="str">
        <x:v>AKUNTANSI</x:v>
      </x:c>
      <x:c r="E3870" t="str">
        <x:v>Sarjana</x:v>
      </x:c>
      <x:c r="F3870" s="18" t="n">
        <x:v>48</x:v>
      </x:c>
      <x:c r="G3870" s="18" t="n">
        <x:v>29</x:v>
      </x:c>
      <x:c r="H3870" s="19" t="n">
        <x:v>0.6041666666666666</x:v>
      </x:c>
      <x:c r="I3870" s="18" t="n">
        <x:f>ROUND(MIN(Model_Config_v3!$B$6,MAX(Q3870,R3870,S3870*Model_Config_v3!$B$4+T3870*Model_Config_v3!$B$5)),0)</x:f>
        <x:v>615</x:v>
      </x:c>
      <x:c r="J3870" s="18" t="n">
        <x:f>MIN(Model_Config_v3!$B$6,I3870+Model_Config_v3!$B$7)</x:f>
        <x:v>635</x:v>
      </x:c>
      <x:c r="K3870" s="20" t="n">
        <x:v>48.2</x:v>
      </x:c>
      <x:c r="L3870" t="str">
        <x:v>MENENGAH</x:v>
      </x:c>
      <x:c r="M3870" t="str">
        <x:v>SEDANG+</x:v>
      </x:c>
      <x:c r="N3870" t="str">
        <x:v>REGULER</x:v>
      </x:c>
      <x:c r="O3870" t="str">
        <x:v>SOSHUM</x:v>
      </x:c>
      <x:c r="P3870" t="str">
        <x:v>BISNIS/EKONOMI/AKUNTANSI</x:v>
      </x:c>
      <x:c r="Q3870" s="18" t="n">
        <x:v>0</x:v>
      </x:c>
      <x:c r="R3870" s="18" t="n">
        <x:v>0</x:v>
      </x:c>
      <x:c r="S3870" s="18" t="n">
        <x:v>520</x:v>
      </x:c>
      <x:c r="T3870" s="18" t="n">
        <x:v>656</x:v>
      </x:c>
      <x:c r="U3870" s="18" t="n">
        <x:v>520</x:v>
      </x:c>
      <x:c r="V3870" s="20" t="n">
        <x:v>4.4</x:v>
      </x:c>
      <x:c r="W3870" s="20" t="n">
        <x:v>14.3</x:v>
      </x:c>
      <x:c r="X3870" s="20" t="n">
        <x:v>3.3</x:v>
      </x:c>
      <x:c r="Y3870" t="str">
        <x:v>Basis arsip 2025/2024</x:v>
      </x:c>
      <x:c r="Z3870" t="str">
        <x:v>https://snpmb.id/utbk-snbt/daya-tampung-snbt</x:v>
      </x:c>
      <x:c r="AA3870" t="str">
        <x:v>Tidak Ada</x:v>
      </x:c>
      <x:c r="AB3870" t="str">
        <x:v>Campus=55; Ratio=0.0; Prodi=65; RelDemand=100.0; Capacity=60.0</x:v>
      </x:c>
    </x:row>
    <x:row r="3871">
      <x:c r="A3871" t="n">
        <x:v>3868</x:v>
      </x:c>
      <x:c r="B3871" t="str">
        <x:v>PTN Akademik</x:v>
      </x:c>
      <x:c r="C3871" t="str">
        <x:v>UNIVERSITAS PAPUA</x:v>
      </x:c>
      <x:c r="D3871" t="str">
        <x:v>SASTRA INDONESIA</x:v>
      </x:c>
      <x:c r="E3871" t="str">
        <x:v>Sarjana</x:v>
      </x:c>
      <x:c r="F3871" s="18" t="n">
        <x:v>48</x:v>
      </x:c>
      <x:c r="G3871" s="18" t="n">
        <x:v>3</x:v>
      </x:c>
      <x:c r="H3871" s="19" t="n">
        <x:v>0.0625</x:v>
      </x:c>
      <x:c r="I3871" s="18" t="n">
        <x:f>ROUND(MIN(Model_Config_v3!$B$6,MAX(Q3871,R3871,S3871*Model_Config_v3!$B$4+T3871*Model_Config_v3!$B$5)),0)</x:f>
        <x:v>597</x:v>
      </x:c>
      <x:c r="J3871" s="18" t="n">
        <x:f>MIN(Model_Config_v3!$B$6,I3871+Model_Config_v3!$B$7)</x:f>
        <x:v>617</x:v>
      </x:c>
      <x:c r="K3871" s="20" t="n">
        <x:v>34.8</x:v>
      </x:c>
      <x:c r="L3871" t="str">
        <x:v>RELATIF LONGGAR</x:v>
      </x:c>
      <x:c r="M3871" t="str">
        <x:v>SEDANG</x:v>
      </x:c>
      <x:c r="N3871" t="str">
        <x:v>REGULER</x:v>
      </x:c>
      <x:c r="O3871" t="str">
        <x:v>SOSHUM</x:v>
      </x:c>
      <x:c r="P3871" t="str">
        <x:v>UMUM</x:v>
      </x:c>
      <x:c r="Q3871" s="18" t="n">
        <x:v>0</x:v>
      </x:c>
      <x:c r="R3871" s="18" t="n">
        <x:v>0</x:v>
      </x:c>
      <x:c r="S3871" s="18" t="n">
        <x:v>520</x:v>
      </x:c>
      <x:c r="T3871" s="18" t="n">
        <x:v>630</x:v>
      </x:c>
      <x:c r="U3871" s="18" t="n">
        <x:v>520</x:v>
      </x:c>
      <x:c r="V3871" s="20" t="n">
        <x:v>4.4</x:v>
      </x:c>
      <x:c r="W3871" s="20" t="n">
        <x:v>14.3</x:v>
      </x:c>
      <x:c r="X3871" s="20" t="n">
        <x:v>3.3</x:v>
      </x:c>
      <x:c r="Y3871" t="str">
        <x:v>Basis arsip 2025/2024</x:v>
      </x:c>
      <x:c r="Z3871" t="str">
        <x:v>https://snpmb.id/utbk-snbt/daya-tampung-snbt</x:v>
      </x:c>
      <x:c r="AA3871" t="str">
        <x:v>Tidak Ada</x:v>
      </x:c>
      <x:c r="AB3871" t="str">
        <x:v>Campus=55; Ratio=0.0; Prodi=40; RelDemand=15.0; Capacity=60.0</x:v>
      </x:c>
    </x:row>
    <x:row r="3872">
      <x:c r="A3872" t="n">
        <x:v>3869</x:v>
      </x:c>
      <x:c r="B3872" t="str">
        <x:v>PTN Akademik</x:v>
      </x:c>
      <x:c r="C3872" t="str">
        <x:v>UNIVERSITAS PAPUA</x:v>
      </x:c>
      <x:c r="D3872" t="str">
        <x:v>PENDIDIKAN BAHASA INGGRIS</x:v>
      </x:c>
      <x:c r="E3872" t="str">
        <x:v>Sarjana</x:v>
      </x:c>
      <x:c r="F3872" s="18" t="n">
        <x:v>48</x:v>
      </x:c>
      <x:c r="G3872" s="18" t="n">
        <x:v>2</x:v>
      </x:c>
      <x:c r="H3872" s="19" t="n">
        <x:v>0.041666666666666664</x:v>
      </x:c>
      <x:c r="I3872" s="18" t="n">
        <x:f>ROUND(MIN(Model_Config_v3!$B$6,MAX(Q3872,R3872,S3872*Model_Config_v3!$B$4+T3872*Model_Config_v3!$B$5)),0)</x:f>
        <x:v>598</x:v>
      </x:c>
      <x:c r="J3872" s="18" t="n">
        <x:f>MIN(Model_Config_v3!$B$6,I3872+Model_Config_v3!$B$7)</x:f>
        <x:v>618</x:v>
      </x:c>
      <x:c r="K3872" s="20" t="n">
        <x:v>35.3</x:v>
      </x:c>
      <x:c r="L3872" t="str">
        <x:v>RELATIF LONGGAR</x:v>
      </x:c>
      <x:c r="M3872" t="str">
        <x:v>SEDANG+</x:v>
      </x:c>
      <x:c r="N3872" t="str">
        <x:v>REGULER</x:v>
      </x:c>
      <x:c r="O3872" t="str">
        <x:v>SOSHUM</x:v>
      </x:c>
      <x:c r="P3872" t="str">
        <x:v>PENDIDIKAN</x:v>
      </x:c>
      <x:c r="Q3872" s="18" t="n">
        <x:v>0</x:v>
      </x:c>
      <x:c r="R3872" s="18" t="n">
        <x:v>0</x:v>
      </x:c>
      <x:c r="S3872" s="18" t="n">
        <x:v>520</x:v>
      </x:c>
      <x:c r="T3872" s="18" t="n">
        <x:v>631</x:v>
      </x:c>
      <x:c r="U3872" s="18" t="n">
        <x:v>520</x:v>
      </x:c>
      <x:c r="V3872" s="20" t="n">
        <x:v>4.4</x:v>
      </x:c>
      <x:c r="W3872" s="20" t="n">
        <x:v>14.3</x:v>
      </x:c>
      <x:c r="X3872" s="20" t="n">
        <x:v>3.3</x:v>
      </x:c>
      <x:c r="Y3872" t="str">
        <x:v>Basis arsip 2025/2024</x:v>
      </x:c>
      <x:c r="Z3872" t="str">
        <x:v>https://snpmb.id/utbk-snbt/daya-tampung-snbt</x:v>
      </x:c>
      <x:c r="AA3872" t="str">
        <x:v>Tidak Ada</x:v>
      </x:c>
      <x:c r="AB3872" t="str">
        <x:v>Campus=55; Ratio=0.0; Prodi=45; RelDemand=10.0; Capacity=60.0</x:v>
      </x:c>
    </x:row>
    <x:row r="3873">
      <x:c r="A3873" t="n">
        <x:v>3870</x:v>
      </x:c>
      <x:c r="B3873" t="str">
        <x:v>PTN Akademik</x:v>
      </x:c>
      <x:c r="C3873" t="str">
        <x:v>UNIVERSITAS PAPUA</x:v>
      </x:c>
      <x:c r="D3873" t="str">
        <x:v>TEKNIK PERMINYAKAN</x:v>
      </x:c>
      <x:c r="E3873" t="str">
        <x:v>Sarjana</x:v>
      </x:c>
      <x:c r="F3873" s="18" t="n">
        <x:v>48</x:v>
      </x:c>
      <x:c r="G3873" s="18" t="n">
        <x:v>5</x:v>
      </x:c>
      <x:c r="H3873" s="19" t="n">
        <x:v>0.10416666666666667</x:v>
      </x:c>
      <x:c r="I3873" s="18" t="n">
        <x:f>ROUND(MIN(Model_Config_v3!$B$6,MAX(Q3873,R3873,S3873*Model_Config_v3!$B$4+T3873*Model_Config_v3!$B$5)),0)</x:f>
        <x:v>604</x:v>
      </x:c>
      <x:c r="J3873" s="18" t="n">
        <x:f>MIN(Model_Config_v3!$B$6,I3873+Model_Config_v3!$B$7)</x:f>
        <x:v>624</x:v>
      </x:c>
      <x:c r="K3873" s="20" t="n">
        <x:v>39.8</x:v>
      </x:c>
      <x:c r="L3873" t="str">
        <x:v>RELATIF LONGGAR</x:v>
      </x:c>
      <x:c r="M3873" t="str">
        <x:v>SEDANG+</x:v>
      </x:c>
      <x:c r="N3873" t="str">
        <x:v>REGULER</x:v>
      </x:c>
      <x:c r="O3873" t="str">
        <x:v>SAINTEK</x:v>
      </x:c>
      <x:c r="P3873" t="str">
        <x:v>TEKNIK/ARSITEKTUR/STATISTIKA/AKTUARIA</x:v>
      </x:c>
      <x:c r="Q3873" s="18" t="n">
        <x:v>0</x:v>
      </x:c>
      <x:c r="R3873" s="18" t="n">
        <x:v>0</x:v>
      </x:c>
      <x:c r="S3873" s="18" t="n">
        <x:v>520</x:v>
      </x:c>
      <x:c r="T3873" s="18" t="n">
        <x:v>640</x:v>
      </x:c>
      <x:c r="U3873" s="18" t="n">
        <x:v>530</x:v>
      </x:c>
      <x:c r="V3873" s="20" t="n">
        <x:v>12</x:v>
      </x:c>
      <x:c r="W3873" s="20" t="n">
        <x:v>5</x:v>
      </x:c>
      <x:c r="X3873" s="20" t="n">
        <x:v>3</x:v>
      </x:c>
      <x:c r="Y3873" t="str">
        <x:v>Basis arsip 2025/2024</x:v>
      </x:c>
      <x:c r="Z3873" t="str">
        <x:v>https://snpmb.id/utbk-snbt/daya-tampung-snbt</x:v>
      </x:c>
      <x:c r="AA3873" t="str">
        <x:v>Tidak Ada</x:v>
      </x:c>
      <x:c r="AB3873" t="str">
        <x:v>Campus=55; Ratio=0.0; Prodi=60; RelDemand=25.1; Capacity=60.0</x:v>
      </x:c>
    </x:row>
    <x:row r="3874">
      <x:c r="A3874" t="n">
        <x:v>3871</x:v>
      </x:c>
      <x:c r="B3874" t="str">
        <x:v>PTN Akademik</x:v>
      </x:c>
      <x:c r="C3874" t="str">
        <x:v>UNIVERSITAS PAPUA</x:v>
      </x:c>
      <x:c r="D3874" t="str">
        <x:v>PENDIDKAN GURU SEKOLAH DASAR</x:v>
      </x:c>
      <x:c r="E3874" t="str">
        <x:v>Sarjana</x:v>
      </x:c>
      <x:c r="F3874" s="18" t="n">
        <x:v>48</x:v>
      </x:c>
      <x:c r="G3874" s="18" t="n">
        <x:v>13</x:v>
      </x:c>
      <x:c r="H3874" s="19" t="n">
        <x:v>0.2708333333333333</x:v>
      </x:c>
      <x:c r="I3874" s="18" t="n">
        <x:f>ROUND(MIN(Model_Config_v3!$B$6,MAX(Q3874,R3874,S3874*Model_Config_v3!$B$4+T3874*Model_Config_v3!$B$5)),0)</x:f>
        <x:v>604</x:v>
      </x:c>
      <x:c r="J3874" s="18" t="n">
        <x:f>MIN(Model_Config_v3!$B$6,I3874+Model_Config_v3!$B$7)</x:f>
        <x:v>624</x:v>
      </x:c>
      <x:c r="K3874" s="20" t="n">
        <x:v>39.8</x:v>
      </x:c>
      <x:c r="L3874" t="str">
        <x:v>RELATIF LONGGAR</x:v>
      </x:c>
      <x:c r="M3874" t="str">
        <x:v>SEDANG</x:v>
      </x:c>
      <x:c r="N3874" t="str">
        <x:v>REGULER</x:v>
      </x:c>
      <x:c r="O3874" t="str">
        <x:v>CAMPURAN</x:v>
      </x:c>
      <x:c r="P3874" t="str">
        <x:v>UMUM</x:v>
      </x:c>
      <x:c r="Q3874" s="18" t="n">
        <x:v>0</x:v>
      </x:c>
      <x:c r="R3874" s="18" t="n">
        <x:v>0</x:v>
      </x:c>
      <x:c r="S3874" s="18" t="n">
        <x:v>520</x:v>
      </x:c>
      <x:c r="T3874" s="18" t="n">
        <x:v>640</x:v>
      </x:c>
      <x:c r="U3874" s="18" t="n">
        <x:v>520</x:v>
      </x:c>
      <x:c r="V3874" s="20" t="n">
        <x:v>8.8</x:v>
      </x:c>
      <x:c r="W3874" s="20" t="n">
        <x:v>9.9</x:v>
      </x:c>
      <x:c r="X3874" s="20" t="n">
        <x:v>3.3</x:v>
      </x:c>
      <x:c r="Y3874" t="str">
        <x:v>Basis arsip 2025/2024</x:v>
      </x:c>
      <x:c r="Z3874" t="str">
        <x:v>https://snpmb.id/utbk-snbt/daya-tampung-snbt</x:v>
      </x:c>
      <x:c r="AA3874" t="str">
        <x:v>Tidak Ada</x:v>
      </x:c>
      <x:c r="AB3874" t="str">
        <x:v>Campus=55; Ratio=0.0; Prodi=40; RelDemand=65.2; Capacity=60.0</x:v>
      </x:c>
    </x:row>
    <x:row r="3875">
      <x:c r="A3875" t="n">
        <x:v>3872</x:v>
      </x:c>
      <x:c r="B3875" t="str">
        <x:v>PTN Akademik</x:v>
      </x:c>
      <x:c r="C3875" t="str">
        <x:v>UNIVERSITAS PAPUA</x:v>
      </x:c>
      <x:c r="D3875" t="str">
        <x:v>KONSERVASI HUTAN</x:v>
      </x:c>
      <x:c r="E3875" t="str">
        <x:v>Sarjana</x:v>
      </x:c>
      <x:c r="F3875" s="18" t="n">
        <x:v>48</x:v>
      </x:c>
      <x:c r="G3875" s="18"/>
      <x:c r="H3875" s="19" t="n">
        <x:v>0</x:v>
      </x:c>
      <x:c r="I3875" s="18" t="n">
        <x:f>ROUND(MIN(Model_Config_v3!$B$6,MAX(Q3875,R3875,S3875*Model_Config_v3!$B$4+T3875*Model_Config_v3!$B$5)),0)</x:f>
        <x:v>594</x:v>
      </x:c>
      <x:c r="J3875" s="18" t="n">
        <x:f>MIN(Model_Config_v3!$B$6,I3875+Model_Config_v3!$B$7)</x:f>
        <x:v>614</x:v>
      </x:c>
      <x:c r="K3875" s="20" t="n">
        <x:v>33.2</x:v>
      </x:c>
      <x:c r="L3875" t="str">
        <x:v>RELATIF LONGGAR</x:v>
      </x:c>
      <x:c r="M3875" t="str">
        <x:v>RENDAH</x:v>
      </x:c>
      <x:c r="N3875" t="str">
        <x:v>REGULER</x:v>
      </x:c>
      <x:c r="O3875" t="str">
        <x:v>CAMPURAN</x:v>
      </x:c>
      <x:c r="P3875" t="str">
        <x:v>UMUM</x:v>
      </x:c>
      <x:c r="Q3875" s="18" t="n">
        <x:v>0</x:v>
      </x:c>
      <x:c r="R3875" s="18" t="n">
        <x:v>0</x:v>
      </x:c>
      <x:c r="S3875" s="18" t="n">
        <x:v>520</x:v>
      </x:c>
      <x:c r="T3875" s="18" t="n">
        <x:v>626</x:v>
      </x:c>
      <x:c r="U3875" s="18" t="n">
        <x:v>520</x:v>
      </x:c>
      <x:c r="V3875" s="20" t="n">
        <x:v>8.8</x:v>
      </x:c>
      <x:c r="W3875" s="20" t="n">
        <x:v>9.9</x:v>
      </x:c>
      <x:c r="X3875" s="20" t="n">
        <x:v>3.3</x:v>
      </x:c>
      <x:c r="Y3875" t="str">
        <x:v>Basis arsip 2025/2024</x:v>
      </x:c>
      <x:c r="Z3875" t="str">
        <x:v>https://snpmb.id/utbk-snbt/daya-tampung-snbt</x:v>
      </x:c>
      <x:c r="AA3875" t="str">
        <x:v>Tidak Ada</x:v>
      </x:c>
      <x:c r="AB3875" t="str">
        <x:v>Campus=55; Ratio=0.0; Prodi=40; RelDemand=0.0; Capacity=60.0</x:v>
      </x:c>
    </x:row>
    <x:row r="3876">
      <x:c r="A3876" t="n">
        <x:v>3873</x:v>
      </x:c>
      <x:c r="B3876" t="str">
        <x:v>PTN Akademik</x:v>
      </x:c>
      <x:c r="C3876" t="str">
        <x:v>UNIVERSITAS PAPUA</x:v>
      </x:c>
      <x:c r="D3876" t="str">
        <x:v>TEKNOLOGI HASIL HUTAN</x:v>
      </x:c>
      <x:c r="E3876" t="str">
        <x:v>Sarjana</x:v>
      </x:c>
      <x:c r="F3876" s="18" t="n">
        <x:v>48</x:v>
      </x:c>
      <x:c r="G3876" s="18"/>
      <x:c r="H3876" s="19" t="n">
        <x:v>0</x:v>
      </x:c>
      <x:c r="I3876" s="18" t="n">
        <x:f>ROUND(MIN(Model_Config_v3!$B$6,MAX(Q3876,R3876,S3876*Model_Config_v3!$B$4+T3876*Model_Config_v3!$B$5)),0)</x:f>
        <x:v>594</x:v>
      </x:c>
      <x:c r="J3876" s="18" t="n">
        <x:f>MIN(Model_Config_v3!$B$6,I3876+Model_Config_v3!$B$7)</x:f>
        <x:v>614</x:v>
      </x:c>
      <x:c r="K3876" s="20" t="n">
        <x:v>33.2</x:v>
      </x:c>
      <x:c r="L3876" t="str">
        <x:v>RELATIF LONGGAR</x:v>
      </x:c>
      <x:c r="M3876" t="str">
        <x:v>RENDAH</x:v>
      </x:c>
      <x:c r="N3876" t="str">
        <x:v>REGULER</x:v>
      </x:c>
      <x:c r="O3876" t="str">
        <x:v>SAINTEK</x:v>
      </x:c>
      <x:c r="P3876" t="str">
        <x:v>UMUM</x:v>
      </x:c>
      <x:c r="Q3876" s="18" t="n">
        <x:v>0</x:v>
      </x:c>
      <x:c r="R3876" s="18" t="n">
        <x:v>0</x:v>
      </x:c>
      <x:c r="S3876" s="18" t="n">
        <x:v>520</x:v>
      </x:c>
      <x:c r="T3876" s="18" t="n">
        <x:v>626</x:v>
      </x:c>
      <x:c r="U3876" s="18" t="n">
        <x:v>520</x:v>
      </x:c>
      <x:c r="V3876" s="20" t="n">
        <x:v>12</x:v>
      </x:c>
      <x:c r="W3876" s="20" t="n">
        <x:v>5</x:v>
      </x:c>
      <x:c r="X3876" s="20" t="n">
        <x:v>3</x:v>
      </x:c>
      <x:c r="Y3876" t="str">
        <x:v>Basis arsip 2025/2024</x:v>
      </x:c>
      <x:c r="Z3876" t="str">
        <x:v>https://snpmb.id/utbk-snbt/daya-tampung-snbt</x:v>
      </x:c>
      <x:c r="AA3876" t="str">
        <x:v>Tidak Ada</x:v>
      </x:c>
      <x:c r="AB3876" t="str">
        <x:v>Campus=55; Ratio=0.0; Prodi=40; RelDemand=0.0; Capacity=60.0</x:v>
      </x:c>
    </x:row>
    <x:row r="3877">
      <x:c r="A3877" t="n">
        <x:v>3874</x:v>
      </x:c>
      <x:c r="B3877" t="str">
        <x:v>PTN Akademik</x:v>
      </x:c>
      <x:c r="C3877" t="str">
        <x:v>UNIVERSITAS PAPUA</x:v>
      </x:c>
      <x:c r="D3877" t="str">
        <x:v>ILMU LINGKUNGAN</x:v>
      </x:c>
      <x:c r="E3877" t="str">
        <x:v>Sarjana</x:v>
      </x:c>
      <x:c r="F3877" s="18" t="n">
        <x:v>48</x:v>
      </x:c>
      <x:c r="G3877" s="18"/>
      <x:c r="H3877" s="19" t="n">
        <x:v>0</x:v>
      </x:c>
      <x:c r="I3877" s="18" t="n">
        <x:f>ROUND(MIN(Model_Config_v3!$B$6,MAX(Q3877,R3877,S3877*Model_Config_v3!$B$4+T3877*Model_Config_v3!$B$5)),0)</x:f>
        <x:v>594</x:v>
      </x:c>
      <x:c r="J3877" s="18" t="n">
        <x:f>MIN(Model_Config_v3!$B$6,I3877+Model_Config_v3!$B$7)</x:f>
        <x:v>614</x:v>
      </x:c>
      <x:c r="K3877" s="20" t="n">
        <x:v>33.2</x:v>
      </x:c>
      <x:c r="L3877" t="str">
        <x:v>RELATIF LONGGAR</x:v>
      </x:c>
      <x:c r="M3877" t="str">
        <x:v>RENDAH</x:v>
      </x:c>
      <x:c r="N3877" t="str">
        <x:v>REGULER</x:v>
      </x:c>
      <x:c r="O3877" t="str">
        <x:v>CAMPURAN</x:v>
      </x:c>
      <x:c r="P3877" t="str">
        <x:v>UMUM</x:v>
      </x:c>
      <x:c r="Q3877" s="18" t="n">
        <x:v>0</x:v>
      </x:c>
      <x:c r="R3877" s="18" t="n">
        <x:v>0</x:v>
      </x:c>
      <x:c r="S3877" s="18" t="n">
        <x:v>520</x:v>
      </x:c>
      <x:c r="T3877" s="18" t="n">
        <x:v>626</x:v>
      </x:c>
      <x:c r="U3877" s="18" t="n">
        <x:v>520</x:v>
      </x:c>
      <x:c r="V3877" s="20" t="n">
        <x:v>8.8</x:v>
      </x:c>
      <x:c r="W3877" s="20" t="n">
        <x:v>9.9</x:v>
      </x:c>
      <x:c r="X3877" s="20" t="n">
        <x:v>3.3</x:v>
      </x:c>
      <x:c r="Y3877" t="str">
        <x:v>Basis arsip 2025/2024</x:v>
      </x:c>
      <x:c r="Z3877" t="str">
        <x:v>https://snpmb.id/utbk-snbt/daya-tampung-snbt</x:v>
      </x:c>
      <x:c r="AA3877" t="str">
        <x:v>Tidak Ada</x:v>
      </x:c>
      <x:c r="AB3877" t="str">
        <x:v>Campus=55; Ratio=0.0; Prodi=40; RelDemand=0.0; Capacity=60.0</x:v>
      </x:c>
    </x:row>
    <x:row r="3878">
      <x:c r="A3878" t="n">
        <x:v>3875</x:v>
      </x:c>
      <x:c r="B3878" t="str">
        <x:v>PTN Akademik</x:v>
      </x:c>
      <x:c r="C3878" t="str">
        <x:v>UNIVERSITAS PAPUA</x:v>
      </x:c>
      <x:c r="D3878" t="str">
        <x:v>TEKNIK PERMINYAKAN DAN GAS BUMI</x:v>
      </x:c>
      <x:c r="E3878" t="str">
        <x:v>Diploma Tiga</x:v>
      </x:c>
      <x:c r="F3878" s="18" t="n">
        <x:v>32</x:v>
      </x:c>
      <x:c r="G3878" s="18" t="n">
        <x:v>28</x:v>
      </x:c>
      <x:c r="H3878" s="19" t="n">
        <x:v>0.875</x:v>
      </x:c>
      <x:c r="I3878" s="18" t="n">
        <x:f>ROUND(MIN(Model_Config_v3!$B$6,MAX(Q3878,R3878,S3878*Model_Config_v3!$B$4+T3878*Model_Config_v3!$B$5)),0)</x:f>
        <x:v>616</x:v>
      </x:c>
      <x:c r="J3878" s="18" t="n">
        <x:f>MIN(Model_Config_v3!$B$6,I3878+Model_Config_v3!$B$7)</x:f>
        <x:v>636</x:v>
      </x:c>
      <x:c r="K3878" s="20" t="n">
        <x:v>48.6</x:v>
      </x:c>
      <x:c r="L3878" t="str">
        <x:v>MENENGAH</x:v>
      </x:c>
      <x:c r="M3878" t="str">
        <x:v>SEDANG+</x:v>
      </x:c>
      <x:c r="N3878" t="str">
        <x:v>REGULER</x:v>
      </x:c>
      <x:c r="O3878" t="str">
        <x:v>SAINTEK</x:v>
      </x:c>
      <x:c r="P3878" t="str">
        <x:v>TEKNIK/ARSITEKTUR/STATISTIKA/AKTUARIA</x:v>
      </x:c>
      <x:c r="Q3878" s="18" t="n">
        <x:v>0</x:v>
      </x:c>
      <x:c r="R3878" s="18" t="n">
        <x:v>0</x:v>
      </x:c>
      <x:c r="S3878" s="18" t="n">
        <x:v>520</x:v>
      </x:c>
      <x:c r="T3878" s="18" t="n">
        <x:v>657</x:v>
      </x:c>
      <x:c r="U3878" s="18" t="n">
        <x:v>530</x:v>
      </x:c>
      <x:c r="V3878" s="20" t="n">
        <x:v>12</x:v>
      </x:c>
      <x:c r="W3878" s="20" t="n">
        <x:v>5</x:v>
      </x:c>
      <x:c r="X3878" s="20" t="n">
        <x:v>3</x:v>
      </x:c>
      <x:c r="Y3878" t="str">
        <x:v>Basis arsip 2025/2024</x:v>
      </x:c>
      <x:c r="Z3878" t="str">
        <x:v>https://snpmb.id/utbk-snbt/daya-tampung-snbt</x:v>
      </x:c>
      <x:c r="AA3878" t="str">
        <x:v>Tidak Ada</x:v>
      </x:c>
      <x:c r="AB3878" t="str">
        <x:v>Campus=55; Ratio=0.0; Prodi=60; RelDemand=100.0; Capacity=73.3</x:v>
      </x:c>
    </x:row>
    <x:row r="3879">
      <x:c r="A3879" t="n">
        <x:v>3876</x:v>
      </x:c>
      <x:c r="B3879" t="str">
        <x:v>PTN Akademik</x:v>
      </x:c>
      <x:c r="C3879" t="str">
        <x:v>UNIVERSITAS PAPUA</x:v>
      </x:c>
      <x:c r="D3879" t="str">
        <x:v>KESEHATAN HEWAN</x:v>
      </x:c>
      <x:c r="E3879" t="str">
        <x:v>Diploma Tiga</x:v>
      </x:c>
      <x:c r="F3879" s="18" t="n">
        <x:v>32</x:v>
      </x:c>
      <x:c r="G3879" s="18" t="n">
        <x:v>15</x:v>
      </x:c>
      <x:c r="H3879" s="19" t="n">
        <x:v>0.46875</x:v>
      </x:c>
      <x:c r="I3879" s="18" t="n">
        <x:f>ROUND(MIN(Model_Config_v3!$B$6,MAX(Q3879,R3879,S3879*Model_Config_v3!$B$4+T3879*Model_Config_v3!$B$5)),0)</x:f>
        <x:v>615</x:v>
      </x:c>
      <x:c r="J3879" s="18" t="n">
        <x:f>MIN(Model_Config_v3!$B$6,I3879+Model_Config_v3!$B$7)</x:f>
        <x:v>635</x:v>
      </x:c>
      <x:c r="K3879" s="20" t="n">
        <x:v>47.6</x:v>
      </x:c>
      <x:c r="L3879" t="str">
        <x:v>MENENGAH</x:v>
      </x:c>
      <x:c r="M3879" t="str">
        <x:v>SEDANG+</x:v>
      </x:c>
      <x:c r="N3879" t="str">
        <x:v>REGULER</x:v>
      </x:c>
      <x:c r="O3879" t="str">
        <x:v>SAINTEK</x:v>
      </x:c>
      <x:c r="P3879" t="str">
        <x:v>KESEHAT/GIZI/KEPERAWATAN</x:v>
      </x:c>
      <x:c r="Q3879" s="18" t="n">
        <x:v>0</x:v>
      </x:c>
      <x:c r="R3879" s="18" t="n">
        <x:v>0</x:v>
      </x:c>
      <x:c r="S3879" s="18" t="n">
        <x:v>520</x:v>
      </x:c>
      <x:c r="T3879" s="18" t="n">
        <x:v>655</x:v>
      </x:c>
      <x:c r="U3879" s="18" t="n">
        <x:v>520</x:v>
      </x:c>
      <x:c r="V3879" s="20" t="n">
        <x:v>12</x:v>
      </x:c>
      <x:c r="W3879" s="20" t="n">
        <x:v>5</x:v>
      </x:c>
      <x:c r="X3879" s="20" t="n">
        <x:v>3</x:v>
      </x:c>
      <x:c r="Y3879" t="str">
        <x:v>Basis arsip 2025/2024</x:v>
      </x:c>
      <x:c r="Z3879" t="str">
        <x:v>https://snpmb.id/utbk-snbt/daya-tampung-snbt</x:v>
      </x:c>
      <x:c r="AA3879" t="str">
        <x:v>Tidak Ada</x:v>
      </x:c>
      <x:c r="AB3879" t="str">
        <x:v>Campus=55; Ratio=0.0; Prodi=55; RelDemand=100.0; Capacity=73.3</x:v>
      </x:c>
    </x:row>
    <x:row r="3880">
      <x:c r="A3880" t="n">
        <x:v>3877</x:v>
      </x:c>
      <x:c r="B3880" t="str">
        <x:v>PTN Akademik</x:v>
      </x:c>
      <x:c r="C3880" t="str">
        <x:v>UNIVERSITAS PAPUA</x:v>
      </x:c>
      <x:c r="D3880" t="str">
        <x:v>TEKNIK KOMPUTER</x:v>
      </x:c>
      <x:c r="E3880" t="str">
        <x:v>Diploma Tiga</x:v>
      </x:c>
      <x:c r="F3880" s="18" t="n">
        <x:v>32</x:v>
      </x:c>
      <x:c r="G3880" s="18" t="n">
        <x:v>33</x:v>
      </x:c>
      <x:c r="H3880" s="19" t="n">
        <x:v>1.03125</x:v>
      </x:c>
      <x:c r="I3880" s="18" t="n">
        <x:f>ROUND(MIN(Model_Config_v3!$B$6,MAX(Q3880,R3880,S3880*Model_Config_v3!$B$4+T3880*Model_Config_v3!$B$5)),0)</x:f>
        <x:v>624</x:v>
      </x:c>
      <x:c r="J3880" s="18" t="n">
        <x:f>MIN(Model_Config_v3!$B$6,I3880+Model_Config_v3!$B$7)</x:f>
        <x:v>644</x:v>
      </x:c>
      <x:c r="K3880" s="20" t="n">
        <x:v>53.8</x:v>
      </x:c>
      <x:c r="L3880" t="str">
        <x:v>MENENGAH</x:v>
      </x:c>
      <x:c r="M3880" t="str">
        <x:v>SEDANG+</x:v>
      </x:c>
      <x:c r="N3880" t="str">
        <x:v>REGULER</x:v>
      </x:c>
      <x:c r="O3880" t="str">
        <x:v>SAINTEK</x:v>
      </x:c>
      <x:c r="P3880" t="str">
        <x:v>KOMPUTER/INFORMATIKA</x:v>
      </x:c>
      <x:c r="Q3880" s="18" t="n">
        <x:v>0</x:v>
      </x:c>
      <x:c r="R3880" s="18" t="n">
        <x:v>0</x:v>
      </x:c>
      <x:c r="S3880" s="18" t="n">
        <x:v>521.470035771378</x:v>
      </x:c>
      <x:c r="T3880" s="18" t="n">
        <x:v>668</x:v>
      </x:c>
      <x:c r="U3880" s="18" t="n">
        <x:v>546.470035771378</x:v>
      </x:c>
      <x:c r="V3880" s="20" t="n">
        <x:v>12</x:v>
      </x:c>
      <x:c r="W3880" s="20" t="n">
        <x:v>5</x:v>
      </x:c>
      <x:c r="X3880" s="20" t="n">
        <x:v>3</x:v>
      </x:c>
      <x:c r="Y3880" t="str">
        <x:v>Basis arsip 2025/2024</x:v>
      </x:c>
      <x:c r="Z3880" t="str">
        <x:v>https://snpmb.id/utbk-snbt/daya-tampung-snbt</x:v>
      </x:c>
      <x:c r="AA3880" t="str">
        <x:v>Tidak Ada</x:v>
      </x:c>
      <x:c r="AB3880" t="str">
        <x:v>Campus=55; Ratio=0.8; Prodi=85; RelDemand=100.0; Capacity=73.3</x:v>
      </x:c>
    </x:row>
    <x:row r="3881">
      <x:c r="A3881" t="n">
        <x:v>3878</x:v>
      </x:c>
      <x:c r="B3881" t="str">
        <x:v>PTN Akademik</x:v>
      </x:c>
      <x:c r="C3881" t="str">
        <x:v>UNIVERSITAS PAPUA</x:v>
      </x:c>
      <x:c r="D3881" t="str">
        <x:v>EKOWISATA</x:v>
      </x:c>
      <x:c r="E3881" t="str">
        <x:v>Diploma Tiga</x:v>
      </x:c>
      <x:c r="F3881" s="18" t="n">
        <x:v>32</x:v>
      </x:c>
      <x:c r="G3881" s="18" t="n">
        <x:v>7</x:v>
      </x:c>
      <x:c r="H3881" s="19" t="n">
        <x:v>0.21875</x:v>
      </x:c>
      <x:c r="I3881" s="18" t="n">
        <x:f>ROUND(MIN(Model_Config_v3!$B$6,MAX(Q3881,R3881,S3881*Model_Config_v3!$B$4+T3881*Model_Config_v3!$B$5)),0)</x:f>
        <x:v>604</x:v>
      </x:c>
      <x:c r="J3881" s="18" t="n">
        <x:f>MIN(Model_Config_v3!$B$6,I3881+Model_Config_v3!$B$7)</x:f>
        <x:v>624</x:v>
      </x:c>
      <x:c r="K3881" s="20" t="n">
        <x:v>39.8</x:v>
      </x:c>
      <x:c r="L3881" t="str">
        <x:v>RELATIF LONGGAR</x:v>
      </x:c>
      <x:c r="M3881" t="str">
        <x:v>SEDANG</x:v>
      </x:c>
      <x:c r="N3881" t="str">
        <x:v>REGULER</x:v>
      </x:c>
      <x:c r="O3881" t="str">
        <x:v>CAMPURAN</x:v>
      </x:c>
      <x:c r="P3881" t="str">
        <x:v>UMUM</x:v>
      </x:c>
      <x:c r="Q3881" s="18" t="n">
        <x:v>0</x:v>
      </x:c>
      <x:c r="R3881" s="18" t="n">
        <x:v>0</x:v>
      </x:c>
      <x:c r="S3881" s="18" t="n">
        <x:v>520</x:v>
      </x:c>
      <x:c r="T3881" s="18" t="n">
        <x:v>640</x:v>
      </x:c>
      <x:c r="U3881" s="18" t="n">
        <x:v>520</x:v>
      </x:c>
      <x:c r="V3881" s="20" t="n">
        <x:v>8.8</x:v>
      </x:c>
      <x:c r="W3881" s="20" t="n">
        <x:v>9.9</x:v>
      </x:c>
      <x:c r="X3881" s="20" t="n">
        <x:v>3.3</x:v>
      </x:c>
      <x:c r="Y3881" t="str">
        <x:v>Basis arsip 2025/2024</x:v>
      </x:c>
      <x:c r="Z3881" t="str">
        <x:v>https://snpmb.id/utbk-snbt/daya-tampung-snbt</x:v>
      </x:c>
      <x:c r="AA3881" t="str">
        <x:v>Tidak Ada</x:v>
      </x:c>
      <x:c r="AB3881" t="str">
        <x:v>Campus=55; Ratio=0.0; Prodi=40; RelDemand=52.7; Capacity=73.3</x:v>
      </x:c>
    </x:row>
    <x:row r="3882">
      <x:c r="A3882" t="n">
        <x:v>3879</x:v>
      </x:c>
      <x:c r="B3882" t="str">
        <x:v>PTN Akademik</x:v>
      </x:c>
      <x:c r="C3882" t="str">
        <x:v>UNIVERSITAS PAPUA</x:v>
      </x:c>
      <x:c r="D3882" t="str">
        <x:v>MANAJEMEN HUTAN ALAM PRODUKSI</x:v>
      </x:c>
      <x:c r="E3882" t="str">
        <x:v>Diploma Tiga</x:v>
      </x:c>
      <x:c r="F3882" s="18" t="n">
        <x:v>32</x:v>
      </x:c>
      <x:c r="G3882" s="18" t="n">
        <x:v>6</x:v>
      </x:c>
      <x:c r="H3882" s="19" t="n">
        <x:v>0.1875</x:v>
      </x:c>
      <x:c r="I3882" s="18" t="n">
        <x:f>ROUND(MIN(Model_Config_v3!$B$6,MAX(Q3882,R3882,S3882*Model_Config_v3!$B$4+T3882*Model_Config_v3!$B$5)),0)</x:f>
        <x:v>610</x:v>
      </x:c>
      <x:c r="J3882" s="18" t="n">
        <x:f>MIN(Model_Config_v3!$B$6,I3882+Model_Config_v3!$B$7)</x:f>
        <x:v>630</x:v>
      </x:c>
      <x:c r="K3882" s="20" t="n">
        <x:v>44.1</x:v>
      </x:c>
      <x:c r="L3882" t="str">
        <x:v>RELATIF LONGGAR</x:v>
      </x:c>
      <x:c r="M3882" t="str">
        <x:v>SEDANG+</x:v>
      </x:c>
      <x:c r="N3882" t="str">
        <x:v>REGULER</x:v>
      </x:c>
      <x:c r="O3882" t="str">
        <x:v>SOSHUM</x:v>
      </x:c>
      <x:c r="P3882" t="str">
        <x:v>BISNIS/EKONOMI/AKUNTANSI</x:v>
      </x:c>
      <x:c r="Q3882" s="18" t="n">
        <x:v>0</x:v>
      </x:c>
      <x:c r="R3882" s="18" t="n">
        <x:v>0</x:v>
      </x:c>
      <x:c r="S3882" s="18" t="n">
        <x:v>520</x:v>
      </x:c>
      <x:c r="T3882" s="18" t="n">
        <x:v>648</x:v>
      </x:c>
      <x:c r="U3882" s="18" t="n">
        <x:v>535</x:v>
      </x:c>
      <x:c r="V3882" s="20" t="n">
        <x:v>4.4</x:v>
      </x:c>
      <x:c r="W3882" s="20" t="n">
        <x:v>14.3</x:v>
      </x:c>
      <x:c r="X3882" s="20" t="n">
        <x:v>3.3</x:v>
      </x:c>
      <x:c r="Y3882" t="str">
        <x:v>Basis arsip 2025/2024</x:v>
      </x:c>
      <x:c r="Z3882" t="str">
        <x:v>https://snpmb.id/utbk-snbt/daya-tampung-snbt</x:v>
      </x:c>
      <x:c r="AA3882" t="str">
        <x:v>Tidak Ada</x:v>
      </x:c>
      <x:c r="AB3882" t="str">
        <x:v>Campus=55; Ratio=0.0; Prodi=65; RelDemand=45.1; Capacity=73.3</x:v>
      </x:c>
    </x:row>
    <x:row r="3883">
      <x:c r="A3883" t="n">
        <x:v>3880</x:v>
      </x:c>
      <x:c r="B3883" t="str">
        <x:v>PTN Akademik</x:v>
      </x:c>
      <x:c r="C3883" t="str">
        <x:v>UNIVERSITAS PAPUA</x:v>
      </x:c>
      <x:c r="D3883" t="str">
        <x:v>TEKNIK LISTRIK</x:v>
      </x:c>
      <x:c r="E3883" t="str">
        <x:v>Diploma Tiga</x:v>
      </x:c>
      <x:c r="F3883" s="18" t="n">
        <x:v>32</x:v>
      </x:c>
      <x:c r="G3883" s="18"/>
      <x:c r="H3883" s="19" t="n">
        <x:v>0</x:v>
      </x:c>
      <x:c r="I3883" s="18" t="n">
        <x:f>ROUND(MIN(Model_Config_v3!$B$6,MAX(Q3883,R3883,S3883*Model_Config_v3!$B$4+T3883*Model_Config_v3!$B$5)),0)</x:f>
        <x:v>602</x:v>
      </x:c>
      <x:c r="J3883" s="18" t="n">
        <x:f>MIN(Model_Config_v3!$B$6,I3883+Model_Config_v3!$B$7)</x:f>
        <x:v>622</x:v>
      </x:c>
      <x:c r="K3883" s="20" t="n">
        <x:v>38.6</x:v>
      </x:c>
      <x:c r="L3883" t="str">
        <x:v>RELATIF LONGGAR</x:v>
      </x:c>
      <x:c r="M3883" t="str">
        <x:v>RENDAH</x:v>
      </x:c>
      <x:c r="N3883" t="str">
        <x:v>REGULER</x:v>
      </x:c>
      <x:c r="O3883" t="str">
        <x:v>SAINTEK</x:v>
      </x:c>
      <x:c r="P3883" t="str">
        <x:v>TEKNIK/ARSITEKTUR/STATISTIKA/AKTUARIA</x:v>
      </x:c>
      <x:c r="Q3883" s="18" t="n">
        <x:v>0</x:v>
      </x:c>
      <x:c r="R3883" s="18" t="n">
        <x:v>0</x:v>
      </x:c>
      <x:c r="S3883" s="18" t="n">
        <x:v>520</x:v>
      </x:c>
      <x:c r="T3883" s="18" t="n">
        <x:v>637</x:v>
      </x:c>
      <x:c r="U3883" s="18" t="n">
        <x:v>530</x:v>
      </x:c>
      <x:c r="V3883" s="20" t="n">
        <x:v>12</x:v>
      </x:c>
      <x:c r="W3883" s="20" t="n">
        <x:v>5</x:v>
      </x:c>
      <x:c r="X3883" s="20" t="n">
        <x:v>3</x:v>
      </x:c>
      <x:c r="Y3883" t="str">
        <x:v>Basis arsip 2025/2024</x:v>
      </x:c>
      <x:c r="Z3883" t="str">
        <x:v>https://snpmb.id/utbk-snbt/daya-tampung-snbt</x:v>
      </x:c>
      <x:c r="AA3883" t="str">
        <x:v>Tidak Ada</x:v>
      </x:c>
      <x:c r="AB3883" t="str">
        <x:v>Campus=55; Ratio=0.0; Prodi=60; RelDemand=0.0; Capacity=73.3</x:v>
      </x:c>
    </x:row>
    <x:row r="3884">
      <x:c r="A3884" t="n">
        <x:v>3881</x:v>
      </x:c>
      <x:c r="B3884" t="str">
        <x:v>PTN Akademik</x:v>
      </x:c>
      <x:c r="C3884" t="str">
        <x:v>UNIVERSITAS PAPUA</x:v>
      </x:c>
      <x:c r="D3884" t="str">
        <x:v>TEKNIK GEOLOGI TERAPAN</x:v>
      </x:c>
      <x:c r="E3884" t="str">
        <x:v>Diploma Tiga</x:v>
      </x:c>
      <x:c r="F3884" s="18" t="n">
        <x:v>32</x:v>
      </x:c>
      <x:c r="G3884" s="18" t="n">
        <x:v>5</x:v>
      </x:c>
      <x:c r="H3884" s="19" t="n">
        <x:v>0.15625</x:v>
      </x:c>
      <x:c r="I3884" s="18" t="n">
        <x:f>ROUND(MIN(Model_Config_v3!$B$6,MAX(Q3884,R3884,S3884*Model_Config_v3!$B$4+T3884*Model_Config_v3!$B$5)),0)</x:f>
        <x:v>608</x:v>
      </x:c>
      <x:c r="J3884" s="18" t="n">
        <x:f>MIN(Model_Config_v3!$B$6,I3884+Model_Config_v3!$B$7)</x:f>
        <x:v>628</x:v>
      </x:c>
      <x:c r="K3884" s="20" t="n">
        <x:v>42.3</x:v>
      </x:c>
      <x:c r="L3884" t="str">
        <x:v>RELATIF LONGGAR</x:v>
      </x:c>
      <x:c r="M3884" t="str">
        <x:v>SEDANG+</x:v>
      </x:c>
      <x:c r="N3884" t="str">
        <x:v>REGULER</x:v>
      </x:c>
      <x:c r="O3884" t="str">
        <x:v>SAINTEK</x:v>
      </x:c>
      <x:c r="P3884" t="str">
        <x:v>TEKNIK/ARSITEKTUR/STATISTIKA/AKTUARIA</x:v>
      </x:c>
      <x:c r="Q3884" s="18" t="n">
        <x:v>0</x:v>
      </x:c>
      <x:c r="R3884" s="18" t="n">
        <x:v>0</x:v>
      </x:c>
      <x:c r="S3884" s="18" t="n">
        <x:v>520</x:v>
      </x:c>
      <x:c r="T3884" s="18" t="n">
        <x:v>645</x:v>
      </x:c>
      <x:c r="U3884" s="18" t="n">
        <x:v>530</x:v>
      </x:c>
      <x:c r="V3884" s="20" t="n">
        <x:v>12</x:v>
      </x:c>
      <x:c r="W3884" s="20" t="n">
        <x:v>5</x:v>
      </x:c>
      <x:c r="X3884" s="20" t="n">
        <x:v>3</x:v>
      </x:c>
      <x:c r="Y3884" t="str">
        <x:v>Basis arsip 2025/2024</x:v>
      </x:c>
      <x:c r="Z3884" t="str">
        <x:v>https://snpmb.id/utbk-snbt/daya-tampung-snbt</x:v>
      </x:c>
      <x:c r="AA3884" t="str">
        <x:v>Tidak Ada</x:v>
      </x:c>
      <x:c r="AB3884" t="str">
        <x:v>Campus=55; Ratio=0.0; Prodi=60; RelDemand=37.6; Capacity=73.3</x:v>
      </x:c>
    </x:row>
    <x:row r="3885">
      <x:c r="A3885" t="n">
        <x:v>3882</x:v>
      </x:c>
      <x:c r="B3885" t="str">
        <x:v>PTN Akademik</x:v>
      </x:c>
      <x:c r="C3885" t="str">
        <x:v>UNIVERSITAS PAPUA</x:v>
      </x:c>
      <x:c r="D3885" t="str">
        <x:v>BUDIDAYA TANAMAN PANGAN</x:v>
      </x:c>
      <x:c r="E3885" t="str">
        <x:v>Diploma Tiga</x:v>
      </x:c>
      <x:c r="F3885" s="18" t="n">
        <x:v>32</x:v>
      </x:c>
      <x:c r="G3885" s="18" t="n">
        <x:v>1</x:v>
      </x:c>
      <x:c r="H3885" s="19" t="n">
        <x:v>0.03125</x:v>
      </x:c>
      <x:c r="I3885" s="18" t="n">
        <x:f>ROUND(MIN(Model_Config_v3!$B$6,MAX(Q3885,R3885,S3885*Model_Config_v3!$B$4+T3885*Model_Config_v3!$B$5)),0)</x:f>
        <x:v>598</x:v>
      </x:c>
      <x:c r="J3885" s="18" t="n">
        <x:f>MIN(Model_Config_v3!$B$6,I3885+Model_Config_v3!$B$7)</x:f>
        <x:v>618</x:v>
      </x:c>
      <x:c r="K3885" s="20" t="n">
        <x:v>35.3</x:v>
      </x:c>
      <x:c r="L3885" t="str">
        <x:v>RELATIF LONGGAR</x:v>
      </x:c>
      <x:c r="M3885" t="str">
        <x:v>SEDANG</x:v>
      </x:c>
      <x:c r="N3885" t="str">
        <x:v>REGULER</x:v>
      </x:c>
      <x:c r="O3885" t="str">
        <x:v>CAMPURAN</x:v>
      </x:c>
      <x:c r="P3885" t="str">
        <x:v>UMUM</x:v>
      </x:c>
      <x:c r="Q3885" s="18" t="n">
        <x:v>0</x:v>
      </x:c>
      <x:c r="R3885" s="18" t="n">
        <x:v>0</x:v>
      </x:c>
      <x:c r="S3885" s="18" t="n">
        <x:v>520</x:v>
      </x:c>
      <x:c r="T3885" s="18" t="n">
        <x:v>631</x:v>
      </x:c>
      <x:c r="U3885" s="18" t="n">
        <x:v>520</x:v>
      </x:c>
      <x:c r="V3885" s="20" t="n">
        <x:v>8.8</x:v>
      </x:c>
      <x:c r="W3885" s="20" t="n">
        <x:v>9.9</x:v>
      </x:c>
      <x:c r="X3885" s="20" t="n">
        <x:v>3.3</x:v>
      </x:c>
      <x:c r="Y3885" t="str">
        <x:v>Basis arsip 2025/2024</x:v>
      </x:c>
      <x:c r="Z3885" t="str">
        <x:v>https://snpmb.id/utbk-snbt/daya-tampung-snbt</x:v>
      </x:c>
      <x:c r="AA3885" t="str">
        <x:v>Tidak Ada</x:v>
      </x:c>
      <x:c r="AB3885" t="str">
        <x:v>Campus=55; Ratio=0.0; Prodi=40; RelDemand=7.5; Capacity=73.3</x:v>
      </x:c>
    </x:row>
    <x:row r="3886">
      <x:c r="A3886" t="n">
        <x:v>3883</x:v>
      </x:c>
      <x:c r="B3886" t="str">
        <x:v>PTN Akademik</x:v>
      </x:c>
      <x:c r="C3886" t="str">
        <x:v>UNIVERSITAS PAPUA</x:v>
      </x:c>
      <x:c r="D3886" t="str">
        <x:v>BUDIDAYA HUTAN</x:v>
      </x:c>
      <x:c r="E3886" t="str">
        <x:v>Diploma Tiga</x:v>
      </x:c>
      <x:c r="F3886" s="18" t="n">
        <x:v>32</x:v>
      </x:c>
      <x:c r="G3886" s="18" t="n">
        <x:v>6</x:v>
      </x:c>
      <x:c r="H3886" s="19" t="n">
        <x:v>0.1875</x:v>
      </x:c>
      <x:c r="I3886" s="18" t="n">
        <x:f>ROUND(MIN(Model_Config_v3!$B$6,MAX(Q3886,R3886,S3886*Model_Config_v3!$B$4+T3886*Model_Config_v3!$B$5)),0)</x:f>
        <x:v>603</x:v>
      </x:c>
      <x:c r="J3886" s="18" t="n">
        <x:f>MIN(Model_Config_v3!$B$6,I3886+Model_Config_v3!$B$7)</x:f>
        <x:v>623</x:v>
      </x:c>
      <x:c r="K3886" s="20" t="n">
        <x:v>39.1</x:v>
      </x:c>
      <x:c r="L3886" t="str">
        <x:v>RELATIF LONGGAR</x:v>
      </x:c>
      <x:c r="M3886" t="str">
        <x:v>SEDANG</x:v>
      </x:c>
      <x:c r="N3886" t="str">
        <x:v>REGULER</x:v>
      </x:c>
      <x:c r="O3886" t="str">
        <x:v>CAMPURAN</x:v>
      </x:c>
      <x:c r="P3886" t="str">
        <x:v>UMUM</x:v>
      </x:c>
      <x:c r="Q3886" s="18" t="n">
        <x:v>0</x:v>
      </x:c>
      <x:c r="R3886" s="18" t="n">
        <x:v>0</x:v>
      </x:c>
      <x:c r="S3886" s="18" t="n">
        <x:v>520</x:v>
      </x:c>
      <x:c r="T3886" s="18" t="n">
        <x:v>638</x:v>
      </x:c>
      <x:c r="U3886" s="18" t="n">
        <x:v>520</x:v>
      </x:c>
      <x:c r="V3886" s="20" t="n">
        <x:v>8.8</x:v>
      </x:c>
      <x:c r="W3886" s="20" t="n">
        <x:v>9.9</x:v>
      </x:c>
      <x:c r="X3886" s="20" t="n">
        <x:v>3.3</x:v>
      </x:c>
      <x:c r="Y3886" t="str">
        <x:v>Basis arsip 2025/2024</x:v>
      </x:c>
      <x:c r="Z3886" t="str">
        <x:v>https://snpmb.id/utbk-snbt/daya-tampung-snbt</x:v>
      </x:c>
      <x:c r="AA3886" t="str">
        <x:v>Tidak Ada</x:v>
      </x:c>
      <x:c r="AB3886" t="str">
        <x:v>Campus=55; Ratio=0.0; Prodi=40; RelDemand=45.1; Capacity=73.3</x:v>
      </x:c>
    </x:row>
    <x:row r="3887">
      <x:c r="A3887" t="n">
        <x:v>3884</x:v>
      </x:c>
      <x:c r="B3887" t="str">
        <x:v>PTN Akademik</x:v>
      </x:c>
      <x:c r="C3887" t="str">
        <x:v>UNIVERSITAS PAPUA</x:v>
      </x:c>
      <x:c r="D3887" t="str">
        <x:v>KONSERVASI SUMBERDAYA HUTAN</x:v>
      </x:c>
      <x:c r="E3887" t="str">
        <x:v>Diploma Tiga</x:v>
      </x:c>
      <x:c r="F3887" s="18" t="n">
        <x:v>32</x:v>
      </x:c>
      <x:c r="G3887" s="18" t="n">
        <x:v>3</x:v>
      </x:c>
      <x:c r="H3887" s="19" t="n">
        <x:v>0.09375</x:v>
      </x:c>
      <x:c r="I3887" s="18" t="n">
        <x:f>ROUND(MIN(Model_Config_v3!$B$6,MAX(Q3887,R3887,S3887*Model_Config_v3!$B$4+T3887*Model_Config_v3!$B$5)),0)</x:f>
        <x:v>600</x:v>
      </x:c>
      <x:c r="J3887" s="18" t="n">
        <x:f>MIN(Model_Config_v3!$B$6,I3887+Model_Config_v3!$B$7)</x:f>
        <x:v>620</x:v>
      </x:c>
      <x:c r="K3887" s="20" t="n">
        <x:v>36.8</x:v>
      </x:c>
      <x:c r="L3887" t="str">
        <x:v>RELATIF LONGGAR</x:v>
      </x:c>
      <x:c r="M3887" t="str">
        <x:v>SEDANG</x:v>
      </x:c>
      <x:c r="N3887" t="str">
        <x:v>REGULER</x:v>
      </x:c>
      <x:c r="O3887" t="str">
        <x:v>CAMPURAN</x:v>
      </x:c>
      <x:c r="P3887" t="str">
        <x:v>UMUM</x:v>
      </x:c>
      <x:c r="Q3887" s="18" t="n">
        <x:v>0</x:v>
      </x:c>
      <x:c r="R3887" s="18" t="n">
        <x:v>0</x:v>
      </x:c>
      <x:c r="S3887" s="18" t="n">
        <x:v>520</x:v>
      </x:c>
      <x:c r="T3887" s="18" t="n">
        <x:v>634</x:v>
      </x:c>
      <x:c r="U3887" s="18" t="n">
        <x:v>520</x:v>
      </x:c>
      <x:c r="V3887" s="20" t="n">
        <x:v>8.8</x:v>
      </x:c>
      <x:c r="W3887" s="20" t="n">
        <x:v>9.9</x:v>
      </x:c>
      <x:c r="X3887" s="20" t="n">
        <x:v>3.3</x:v>
      </x:c>
      <x:c r="Y3887" t="str">
        <x:v>Basis arsip 2025/2024</x:v>
      </x:c>
      <x:c r="Z3887" t="str">
        <x:v>https://snpmb.id/utbk-snbt/daya-tampung-snbt</x:v>
      </x:c>
      <x:c r="AA3887" t="str">
        <x:v>Tidak Ada</x:v>
      </x:c>
      <x:c r="AB3887" t="str">
        <x:v>Campus=55; Ratio=0.0; Prodi=40; RelDemand=22.6; Capacity=73.3</x:v>
      </x:c>
    </x:row>
    <x:row r="3888">
      <x:c r="A3888" t="n">
        <x:v>3885</x:v>
      </x:c>
      <x:c r="B3888" t="str">
        <x:v>PTN Akademik</x:v>
      </x:c>
      <x:c r="C3888" t="str">
        <x:v>UNIVERSITAS PAPUA</x:v>
      </x:c>
      <x:c r="D3888" t="str">
        <x:v>TEKNIK PERTAMBANGAN</x:v>
      </x:c>
      <x:c r="E3888" t="str">
        <x:v>Diploma Tiga</x:v>
      </x:c>
      <x:c r="F3888" s="18" t="n">
        <x:v>32</x:v>
      </x:c>
      <x:c r="G3888" s="18" t="n">
        <x:v>49</x:v>
      </x:c>
      <x:c r="H3888" s="19" t="n">
        <x:v>1.53125</x:v>
      </x:c>
      <x:c r="I3888" s="18" t="n">
        <x:f>ROUND(MIN(Model_Config_v3!$B$6,MAX(Q3888,R3888,S3888*Model_Config_v3!$B$4+T3888*Model_Config_v3!$B$5)),0)</x:f>
        <x:v>626</x:v>
      </x:c>
      <x:c r="J3888" s="18" t="n">
        <x:f>MIN(Model_Config_v3!$B$6,I3888+Model_Config_v3!$B$7)</x:f>
        <x:v>646</x:v>
      </x:c>
      <x:c r="K3888" s="20" t="n">
        <x:v>51.3</x:v>
      </x:c>
      <x:c r="L3888" t="str">
        <x:v>MENENGAH</x:v>
      </x:c>
      <x:c r="M3888" t="str">
        <x:v>SEDANG+</x:v>
      </x:c>
      <x:c r="N3888" t="str">
        <x:v>REGULER</x:v>
      </x:c>
      <x:c r="O3888" t="str">
        <x:v>SAINTEK</x:v>
      </x:c>
      <x:c r="P3888" t="str">
        <x:v>TEKNIK/ARSITEKTUR/STATISTIKA/AKTUARIA</x:v>
      </x:c>
      <x:c r="Q3888" s="18" t="n">
        <x:v>0</x:v>
      </x:c>
      <x:c r="R3888" s="18" t="n">
        <x:v>0</x:v>
      </x:c>
      <x:c r="S3888" s="18" t="n">
        <x:v>540.3550711879468</x:v>
      </x:c>
      <x:c r="T3888" s="18" t="n">
        <x:v>663</x:v>
      </x:c>
      <x:c r="U3888" s="18" t="n">
        <x:v>550.3550711879468</x:v>
      </x:c>
      <x:c r="V3888" s="20" t="n">
        <x:v>12</x:v>
      </x:c>
      <x:c r="W3888" s="20" t="n">
        <x:v>5</x:v>
      </x:c>
      <x:c r="X3888" s="20" t="n">
        <x:v>3</x:v>
      </x:c>
      <x:c r="Y3888" t="str">
        <x:v>Basis arsip 2025/2024</x:v>
      </x:c>
      <x:c r="Z3888" t="str">
        <x:v>https://snpmb.id/utbk-snbt/daya-tampung-snbt</x:v>
      </x:c>
      <x:c r="AA3888" t="str">
        <x:v>Tidak Ada</x:v>
      </x:c>
      <x:c r="AB3888" t="str">
        <x:v>Campus=55; Ratio=10.9; Prodi=60; RelDemand=100.0; Capacity=73.3</x:v>
      </x:c>
    </x:row>
    <x:row r="3889">
      <x:c r="A3889" t="n">
        <x:v>3886</x:v>
      </x:c>
      <x:c r="B3889" t="str">
        <x:v>PTN Akademik</x:v>
      </x:c>
      <x:c r="C3889" t="str">
        <x:v>UNIVERSITAS PAPUA</x:v>
      </x:c>
      <x:c r="D3889" t="str">
        <x:v>BUDIDAYA PERIKANAN</x:v>
      </x:c>
      <x:c r="E3889" t="str">
        <x:v>Diploma Tiga</x:v>
      </x:c>
      <x:c r="F3889" s="18" t="n">
        <x:v>32</x:v>
      </x:c>
      <x:c r="G3889" s="18"/>
      <x:c r="H3889" s="19" t="n">
        <x:v>0</x:v>
      </x:c>
      <x:c r="I3889" s="18" t="n">
        <x:f>ROUND(MIN(Model_Config_v3!$B$6,MAX(Q3889,R3889,S3889*Model_Config_v3!$B$4+T3889*Model_Config_v3!$B$5)),0)</x:f>
        <x:v>596</x:v>
      </x:c>
      <x:c r="J3889" s="18" t="n">
        <x:f>MIN(Model_Config_v3!$B$6,I3889+Model_Config_v3!$B$7)</x:f>
        <x:v>616</x:v>
      </x:c>
      <x:c r="K3889" s="20" t="n">
        <x:v>34.6</x:v>
      </x:c>
      <x:c r="L3889" t="str">
        <x:v>RELATIF LONGGAR</x:v>
      </x:c>
      <x:c r="M3889" t="str">
        <x:v>RENDAH</x:v>
      </x:c>
      <x:c r="N3889" t="str">
        <x:v>REGULER</x:v>
      </x:c>
      <x:c r="O3889" t="str">
        <x:v>SAINTEK</x:v>
      </x:c>
      <x:c r="P3889" t="str">
        <x:v>UMUM</x:v>
      </x:c>
      <x:c r="Q3889" s="18" t="n">
        <x:v>0</x:v>
      </x:c>
      <x:c r="R3889" s="18" t="n">
        <x:v>0</x:v>
      </x:c>
      <x:c r="S3889" s="18" t="n">
        <x:v>520</x:v>
      </x:c>
      <x:c r="T3889" s="18" t="n">
        <x:v>629</x:v>
      </x:c>
      <x:c r="U3889" s="18" t="n">
        <x:v>520</x:v>
      </x:c>
      <x:c r="V3889" s="20" t="n">
        <x:v>12</x:v>
      </x:c>
      <x:c r="W3889" s="20" t="n">
        <x:v>5</x:v>
      </x:c>
      <x:c r="X3889" s="20" t="n">
        <x:v>3</x:v>
      </x:c>
      <x:c r="Y3889" t="str">
        <x:v>Basis arsip 2025/2024</x:v>
      </x:c>
      <x:c r="Z3889" t="str">
        <x:v>https://snpmb.id/utbk-snbt/daya-tampung-snbt</x:v>
      </x:c>
      <x:c r="AA3889" t="str">
        <x:v>Tidak Ada</x:v>
      </x:c>
      <x:c r="AB3889" t="str">
        <x:v>Campus=55; Ratio=0.0; Prodi=40; RelDemand=0.0; Capacity=73.3</x:v>
      </x:c>
    </x:row>
    <x:row r="3890">
      <x:c r="A3890" t="n">
        <x:v>3887</x:v>
      </x:c>
      <x:c r="B3890" t="str">
        <x:v>PTN Akademik</x:v>
      </x:c>
      <x:c r="C3890" t="str">
        <x:v>UNIVERSITAS PAPUA</x:v>
      </x:c>
      <x:c r="D3890" t="str">
        <x:v>BUDIDAYA TANAMAN PERKEBUNAN</x:v>
      </x:c>
      <x:c r="E3890" t="str">
        <x:v>Diploma Tiga</x:v>
      </x:c>
      <x:c r="F3890" s="18" t="n">
        <x:v>32</x:v>
      </x:c>
      <x:c r="G3890" s="18" t="n">
        <x:v>3</x:v>
      </x:c>
      <x:c r="H3890" s="19" t="n">
        <x:v>0.09375</x:v>
      </x:c>
      <x:c r="I3890" s="18" t="n">
        <x:f>ROUND(MIN(Model_Config_v3!$B$6,MAX(Q3890,R3890,S3890*Model_Config_v3!$B$4+T3890*Model_Config_v3!$B$5)),0)</x:f>
        <x:v>600</x:v>
      </x:c>
      <x:c r="J3890" s="18" t="n">
        <x:f>MIN(Model_Config_v3!$B$6,I3890+Model_Config_v3!$B$7)</x:f>
        <x:v>620</x:v>
      </x:c>
      <x:c r="K3890" s="20" t="n">
        <x:v>36.8</x:v>
      </x:c>
      <x:c r="L3890" t="str">
        <x:v>RELATIF LONGGAR</x:v>
      </x:c>
      <x:c r="M3890" t="str">
        <x:v>SEDANG</x:v>
      </x:c>
      <x:c r="N3890" t="str">
        <x:v>REGULER</x:v>
      </x:c>
      <x:c r="O3890" t="str">
        <x:v>CAMPURAN</x:v>
      </x:c>
      <x:c r="P3890" t="str">
        <x:v>UMUM</x:v>
      </x:c>
      <x:c r="Q3890" s="18" t="n">
        <x:v>0</x:v>
      </x:c>
      <x:c r="R3890" s="18" t="n">
        <x:v>0</x:v>
      </x:c>
      <x:c r="S3890" s="18" t="n">
        <x:v>520</x:v>
      </x:c>
      <x:c r="T3890" s="18" t="n">
        <x:v>634</x:v>
      </x:c>
      <x:c r="U3890" s="18" t="n">
        <x:v>520</x:v>
      </x:c>
      <x:c r="V3890" s="20" t="n">
        <x:v>8.8</x:v>
      </x:c>
      <x:c r="W3890" s="20" t="n">
        <x:v>9.9</x:v>
      </x:c>
      <x:c r="X3890" s="20" t="n">
        <x:v>3.3</x:v>
      </x:c>
      <x:c r="Y3890" t="str">
        <x:v>Basis arsip 2025/2024</x:v>
      </x:c>
      <x:c r="Z3890" t="str">
        <x:v>https://snpmb.id/utbk-snbt/daya-tampung-snbt</x:v>
      </x:c>
      <x:c r="AA3890" t="str">
        <x:v>Tidak Ada</x:v>
      </x:c>
      <x:c r="AB3890" t="str">
        <x:v>Campus=55; Ratio=0.0; Prodi=40; RelDemand=22.6; Capacity=73.3</x:v>
      </x:c>
    </x:row>
    <x:row r="3891">
      <x:c r="A3891" t="n">
        <x:v>3888</x:v>
      </x:c>
      <x:c r="B3891" t="str">
        <x:v>PTN Akademik</x:v>
      </x:c>
      <x:c r="C3891" t="str">
        <x:v>UNIVERSITAS PAPUA</x:v>
      </x:c>
      <x:c r="D3891" t="str">
        <x:v>BUDIDAYA TERNAK</x:v>
      </x:c>
      <x:c r="E3891" t="str">
        <x:v>Diploma Tiga</x:v>
      </x:c>
      <x:c r="F3891" s="18" t="n">
        <x:v>32</x:v>
      </x:c>
      <x:c r="G3891" s="18" t="n">
        <x:v>1</x:v>
      </x:c>
      <x:c r="H3891" s="19" t="n">
        <x:v>0.03125</x:v>
      </x:c>
      <x:c r="I3891" s="18" t="n">
        <x:f>ROUND(MIN(Model_Config_v3!$B$6,MAX(Q3891,R3891,S3891*Model_Config_v3!$B$4+T3891*Model_Config_v3!$B$5)),0)</x:f>
        <x:v>598</x:v>
      </x:c>
      <x:c r="J3891" s="18" t="n">
        <x:f>MIN(Model_Config_v3!$B$6,I3891+Model_Config_v3!$B$7)</x:f>
        <x:v>618</x:v>
      </x:c>
      <x:c r="K3891" s="20" t="n">
        <x:v>35.3</x:v>
      </x:c>
      <x:c r="L3891" t="str">
        <x:v>RELATIF LONGGAR</x:v>
      </x:c>
      <x:c r="M3891" t="str">
        <x:v>SEDANG</x:v>
      </x:c>
      <x:c r="N3891" t="str">
        <x:v>REGULER</x:v>
      </x:c>
      <x:c r="O3891" t="str">
        <x:v>CAMPURAN</x:v>
      </x:c>
      <x:c r="P3891" t="str">
        <x:v>UMUM</x:v>
      </x:c>
      <x:c r="Q3891" s="18" t="n">
        <x:v>0</x:v>
      </x:c>
      <x:c r="R3891" s="18" t="n">
        <x:v>0</x:v>
      </x:c>
      <x:c r="S3891" s="18" t="n">
        <x:v>520</x:v>
      </x:c>
      <x:c r="T3891" s="18" t="n">
        <x:v>631</x:v>
      </x:c>
      <x:c r="U3891" s="18" t="n">
        <x:v>520</x:v>
      </x:c>
      <x:c r="V3891" s="20" t="n">
        <x:v>8.8</x:v>
      </x:c>
      <x:c r="W3891" s="20" t="n">
        <x:v>9.9</x:v>
      </x:c>
      <x:c r="X3891" s="20" t="n">
        <x:v>3.3</x:v>
      </x:c>
      <x:c r="Y3891" t="str">
        <x:v>Basis arsip 2025/2024</x:v>
      </x:c>
      <x:c r="Z3891" t="str">
        <x:v>https://snpmb.id/utbk-snbt/daya-tampung-snbt</x:v>
      </x:c>
      <x:c r="AA3891" t="str">
        <x:v>Tidak Ada</x:v>
      </x:c>
      <x:c r="AB3891" t="str">
        <x:v>Campus=55; Ratio=0.0; Prodi=40; RelDemand=7.5; Capacity=73.3</x:v>
      </x:c>
    </x:row>
    <x:row r="3892">
      <x:c r="A3892" t="n">
        <x:v>3889</x:v>
      </x:c>
      <x:c r="B3892" t="str">
        <x:v>PTN Vokasi</x:v>
      </x:c>
      <x:c r="C3892" t="str">
        <x:v>POLITEKNIK NEGERI LHOKSEUMAWE</x:v>
      </x:c>
      <x:c r="D3892" t="str">
        <x:v>TEKNOLOGI REKAYASA KONSTRUKSI JALAN DAN JEMBATAN</x:v>
      </x:c>
      <x:c r="E3892" t="str">
        <x:v>Sarjana Terapan</x:v>
      </x:c>
      <x:c r="F3892" s="18" t="n">
        <x:v>36</x:v>
      </x:c>
      <x:c r="G3892" s="18" t="n">
        <x:v>58</x:v>
      </x:c>
      <x:c r="H3892" s="19" t="n">
        <x:v>1.6111111111111112</x:v>
      </x:c>
      <x:c r="I3892" s="18" t="n">
        <x:f>ROUND(MIN(Model_Config_v3!$B$6,MAX(Q3892,R3892,S3892*Model_Config_v3!$B$4+T3892*Model_Config_v3!$B$5)),0)</x:f>
        <x:v>610</x:v>
      </x:c>
      <x:c r="J3892" s="18" t="n">
        <x:f>MIN(Model_Config_v3!$B$6,I3892+Model_Config_v3!$B$7)</x:f>
        <x:v>630</x:v>
      </x:c>
      <x:c r="K3892" s="20" t="n">
        <x:v>39.3</x:v>
      </x:c>
      <x:c r="L3892" t="str">
        <x:v>RELATIF LONGGAR</x:v>
      </x:c>
      <x:c r="M3892" t="str">
        <x:v>SEDANG</x:v>
      </x:c>
      <x:c r="N3892" t="str">
        <x:v>REGULER</x:v>
      </x:c>
      <x:c r="O3892" t="str">
        <x:v>SAINTEK</x:v>
      </x:c>
      <x:c r="P3892" t="str">
        <x:v>UMUM</x:v>
      </x:c>
      <x:c r="Q3892" s="18" t="n">
        <x:v>0</x:v>
      </x:c>
      <x:c r="R3892" s="18" t="n">
        <x:v>0</x:v>
      </x:c>
      <x:c r="S3892" s="18" t="n">
        <x:v>542.7838042075215</x:v>
      </x:c>
      <x:c r="T3892" s="18" t="n">
        <x:v>639</x:v>
      </x:c>
      <x:c r="U3892" s="18" t="n">
        <x:v>542.7838042075215</x:v>
      </x:c>
      <x:c r="V3892" s="20" t="n">
        <x:v>12</x:v>
      </x:c>
      <x:c r="W3892" s="20" t="n">
        <x:v>5</x:v>
      </x:c>
      <x:c r="X3892" s="20" t="n">
        <x:v>3</x:v>
      </x:c>
      <x:c r="Y3892" t="str">
        <x:v>Basis arsip 2025/2024</x:v>
      </x:c>
      <x:c r="Z3892" t="str">
        <x:v>https://snpmb.id/utbk-snbt/daya-tampung-snbt</x:v>
      </x:c>
      <x:c r="AA3892" t="str">
        <x:v>Tidak Ada</x:v>
      </x:c>
      <x:c r="AB3892" t="str">
        <x:v>Campus=55; Ratio=12.2; Prodi=40; RelDemand=19.6; Capacity=70.0</x:v>
      </x:c>
    </x:row>
    <x:row r="3893">
      <x:c r="A3893" t="n">
        <x:v>3890</x:v>
      </x:c>
      <x:c r="B3893" t="str">
        <x:v>PTN Vokasi</x:v>
      </x:c>
      <x:c r="C3893" t="str">
        <x:v>POLITEKNIK NEGERI LHOKSEUMAWE</x:v>
      </x:c>
      <x:c r="D3893" t="str">
        <x:v>TEKNOLOGI REKAYASA KIMIA INDUSTRI</x:v>
      </x:c>
      <x:c r="E3893" t="str">
        <x:v>Sarjana Terapan</x:v>
      </x:c>
      <x:c r="F3893" s="18" t="n">
        <x:v>48</x:v>
      </x:c>
      <x:c r="G3893" s="18" t="n">
        <x:v>113</x:v>
      </x:c>
      <x:c r="H3893" s="19" t="n">
        <x:v>2.3541666666666665</x:v>
      </x:c>
      <x:c r="I3893" s="18" t="n">
        <x:f>ROUND(MIN(Model_Config_v3!$B$6,MAX(Q3893,R3893,S3893*Model_Config_v3!$B$4+T3893*Model_Config_v3!$B$5)),0)</x:f>
        <x:v>621</x:v>
      </x:c>
      <x:c r="J3893" s="18" t="n">
        <x:f>MIN(Model_Config_v3!$B$6,I3893+Model_Config_v3!$B$7)</x:f>
        <x:v>641</x:v>
      </x:c>
      <x:c r="K3893" s="20" t="n">
        <x:v>43.6</x:v>
      </x:c>
      <x:c r="L3893" t="str">
        <x:v>RELATIF LONGGAR</x:v>
      </x:c>
      <x:c r="M3893" t="str">
        <x:v>SEDANG+</x:v>
      </x:c>
      <x:c r="N3893" t="str">
        <x:v>REGULER</x:v>
      </x:c>
      <x:c r="O3893" t="str">
        <x:v>SAINTEK</x:v>
      </x:c>
      <x:c r="P3893" t="str">
        <x:v>SAINS DASAR</x:v>
      </x:c>
      <x:c r="Q3893" s="18" t="n">
        <x:v>0</x:v>
      </x:c>
      <x:c r="R3893" s="18" t="n">
        <x:v>0</x:v>
      </x:c>
      <x:c r="S3893" s="18" t="n">
        <x:v>560.9020926718615</x:v>
      </x:c>
      <x:c r="T3893" s="18" t="n">
        <x:v>647</x:v>
      </x:c>
      <x:c r="U3893" s="18" t="n">
        <x:v>560.9020926718615</x:v>
      </x:c>
      <x:c r="V3893" s="20" t="n">
        <x:v>12</x:v>
      </x:c>
      <x:c r="W3893" s="20" t="n">
        <x:v>5</x:v>
      </x:c>
      <x:c r="X3893" s="20" t="n">
        <x:v>3</x:v>
      </x:c>
      <x:c r="Y3893" t="str">
        <x:v>Basis arsip 2025/2024</x:v>
      </x:c>
      <x:c r="Z3893" t="str">
        <x:v>https://snpmb.id/utbk-snbt/daya-tampung-snbt</x:v>
      </x:c>
      <x:c r="AA3893" t="str">
        <x:v>Tidak Ada</x:v>
      </x:c>
      <x:c r="AB3893" t="str">
        <x:v>Campus=55; Ratio=21.9; Prodi=50; RelDemand=28.6; Capacity=60.0</x:v>
      </x:c>
    </x:row>
    <x:row r="3894">
      <x:c r="A3894" t="n">
        <x:v>3891</x:v>
      </x:c>
      <x:c r="B3894" t="str">
        <x:v>PTN Vokasi</x:v>
      </x:c>
      <x:c r="C3894" t="str">
        <x:v>POLITEKNIK NEGERI LHOKSEUMAWE</x:v>
      </x:c>
      <x:c r="D3894" t="str">
        <x:v>TEKNOLOGI REKAYASA MANUFAKTUR</x:v>
      </x:c>
      <x:c r="E3894" t="str">
        <x:v>Sarjana Terapan</x:v>
      </x:c>
      <x:c r="F3894" s="18" t="n">
        <x:v>23</x:v>
      </x:c>
      <x:c r="G3894" s="18" t="n">
        <x:v>30</x:v>
      </x:c>
      <x:c r="H3894" s="19" t="n">
        <x:v>1.3043478260869565</x:v>
      </x:c>
      <x:c r="I3894" s="18" t="n">
        <x:f>ROUND(MIN(Model_Config_v3!$B$6,MAX(Q3894,R3894,S3894*Model_Config_v3!$B$4+T3894*Model_Config_v3!$B$5)),0)</x:f>
        <x:v>606</x:v>
      </x:c>
      <x:c r="J3894" s="18" t="n">
        <x:f>MIN(Model_Config_v3!$B$6,I3894+Model_Config_v3!$B$7)</x:f>
        <x:v>626</x:v>
      </x:c>
      <x:c r="K3894" s="20" t="n">
        <x:v>38.6</x:v>
      </x:c>
      <x:c r="L3894" t="str">
        <x:v>RELATIF LONGGAR</x:v>
      </x:c>
      <x:c r="M3894" t="str">
        <x:v>SEDANG</x:v>
      </x:c>
      <x:c r="N3894" t="str">
        <x:v>REGULER</x:v>
      </x:c>
      <x:c r="O3894" t="str">
        <x:v>SAINTEK</x:v>
      </x:c>
      <x:c r="P3894" t="str">
        <x:v>UMUM</x:v>
      </x:c>
      <x:c r="Q3894" s="18" t="n">
        <x:v>0</x:v>
      </x:c>
      <x:c r="R3894" s="18" t="n">
        <x:v>0</x:v>
      </x:c>
      <x:c r="S3894" s="18" t="n">
        <x:v>532.6932760572276</x:v>
      </x:c>
      <x:c r="T3894" s="18" t="n">
        <x:v>637</x:v>
      </x:c>
      <x:c r="U3894" s="18" t="n">
        <x:v>532.6932760572276</x:v>
      </x:c>
      <x:c r="V3894" s="20" t="n">
        <x:v>12</x:v>
      </x:c>
      <x:c r="W3894" s="20" t="n">
        <x:v>5</x:v>
      </x:c>
      <x:c r="X3894" s="20" t="n">
        <x:v>3</x:v>
      </x:c>
      <x:c r="Y3894" t="str">
        <x:v>Basis arsip 2025/2024</x:v>
      </x:c>
      <x:c r="Z3894" t="str">
        <x:v>https://snpmb.id/utbk-snbt/daya-tampung-snbt</x:v>
      </x:c>
      <x:c r="AA3894" t="str">
        <x:v>Tidak Ada</x:v>
      </x:c>
      <x:c r="AB3894" t="str">
        <x:v>Campus=55; Ratio=6.8; Prodi=40; RelDemand=15.8; Capacity=80.8</x:v>
      </x:c>
    </x:row>
    <x:row r="3895">
      <x:c r="A3895" t="n">
        <x:v>3892</x:v>
      </x:c>
      <x:c r="B3895" t="str">
        <x:v>PTN Vokasi</x:v>
      </x:c>
      <x:c r="C3895" t="str">
        <x:v>POLITEKNIK NEGERI LHOKSEUMAWE</x:v>
      </x:c>
      <x:c r="D3895" t="str">
        <x:v>TEKNOLOGI REKAYASA JARINGAN TELEKOMUNIKASI</x:v>
      </x:c>
      <x:c r="E3895" t="str">
        <x:v>Sarjana Terapan</x:v>
      </x:c>
      <x:c r="F3895" s="18" t="n">
        <x:v>23</x:v>
      </x:c>
      <x:c r="G3895" s="18" t="n">
        <x:v>37</x:v>
      </x:c>
      <x:c r="H3895" s="19" t="n">
        <x:v>1.608695652173913</x:v>
      </x:c>
      <x:c r="I3895" s="18" t="n">
        <x:f>ROUND(MIN(Model_Config_v3!$B$6,MAX(Q3895,R3895,S3895*Model_Config_v3!$B$4+T3895*Model_Config_v3!$B$5)),0)</x:f>
        <x:v>612</x:v>
      </x:c>
      <x:c r="J3895" s="18" t="n">
        <x:f>MIN(Model_Config_v3!$B$6,I3895+Model_Config_v3!$B$7)</x:f>
        <x:v>632</x:v>
      </x:c>
      <x:c r="K3895" s="20" t="n">
        <x:v>40.3</x:v>
      </x:c>
      <x:c r="L3895" t="str">
        <x:v>RELATIF LONGGAR</x:v>
      </x:c>
      <x:c r="M3895" t="str">
        <x:v>SEDANG</x:v>
      </x:c>
      <x:c r="N3895" t="str">
        <x:v>REGULER</x:v>
      </x:c>
      <x:c r="O3895" t="str">
        <x:v>SAINTEK</x:v>
      </x:c>
      <x:c r="P3895" t="str">
        <x:v>UMUM</x:v>
      </x:c>
      <x:c r="Q3895" s="18" t="n">
        <x:v>0</x:v>
      </x:c>
      <x:c r="R3895" s="18" t="n">
        <x:v>0</x:v>
      </x:c>
      <x:c r="S3895" s="18" t="n">
        <x:v>542.7121276854342</x:v>
      </x:c>
      <x:c r="T3895" s="18" t="n">
        <x:v>641</x:v>
      </x:c>
      <x:c r="U3895" s="18" t="n">
        <x:v>542.7121276854342</x:v>
      </x:c>
      <x:c r="V3895" s="20" t="n">
        <x:v>12</x:v>
      </x:c>
      <x:c r="W3895" s="20" t="n">
        <x:v>5</x:v>
      </x:c>
      <x:c r="X3895" s="20" t="n">
        <x:v>3</x:v>
      </x:c>
      <x:c r="Y3895" t="str">
        <x:v>Basis arsip 2025/2024</x:v>
      </x:c>
      <x:c r="Z3895" t="str">
        <x:v>https://snpmb.id/utbk-snbt/daya-tampung-snbt</x:v>
      </x:c>
      <x:c r="AA3895" t="str">
        <x:v>Tidak Ada</x:v>
      </x:c>
      <x:c r="AB3895" t="str">
        <x:v>Campus=55; Ratio=12.2; Prodi=40; RelDemand=19.5; Capacity=80.8</x:v>
      </x:c>
    </x:row>
    <x:row r="3896">
      <x:c r="A3896" t="n">
        <x:v>3893</x:v>
      </x:c>
      <x:c r="B3896" t="str">
        <x:v>PTN Vokasi</x:v>
      </x:c>
      <x:c r="C3896" t="str">
        <x:v>POLITEKNIK NEGERI LHOKSEUMAWE</x:v>
      </x:c>
      <x:c r="D3896" t="str">
        <x:v>TEKNOLOGI REKAYASA PEMBANGKIT ENERGI</x:v>
      </x:c>
      <x:c r="E3896" t="str">
        <x:v>Sarjana Terapan</x:v>
      </x:c>
      <x:c r="F3896" s="18" t="n">
        <x:v>20</x:v>
      </x:c>
      <x:c r="G3896" s="18" t="n">
        <x:v>42</x:v>
      </x:c>
      <x:c r="H3896" s="19" t="n">
        <x:v>2.1</x:v>
      </x:c>
      <x:c r="I3896" s="18" t="n">
        <x:f>ROUND(MIN(Model_Config_v3!$B$6,MAX(Q3896,R3896,S3896*Model_Config_v3!$B$4+T3896*Model_Config_v3!$B$5)),0)</x:f>
        <x:v>619</x:v>
      </x:c>
      <x:c r="J3896" s="18" t="n">
        <x:f>MIN(Model_Config_v3!$B$6,I3896+Model_Config_v3!$B$7)</x:f>
        <x:v>639</x:v>
      </x:c>
      <x:c r="K3896" s="20" t="n">
        <x:v>42.9</x:v>
      </x:c>
      <x:c r="L3896" t="str">
        <x:v>RELATIF LONGGAR</x:v>
      </x:c>
      <x:c r="M3896" t="str">
        <x:v>SEDANG</x:v>
      </x:c>
      <x:c r="N3896" t="str">
        <x:v>REGULER</x:v>
      </x:c>
      <x:c r="O3896" t="str">
        <x:v>SAINTEK</x:v>
      </x:c>
      <x:c r="P3896" t="str">
        <x:v>UMUM</x:v>
      </x:c>
      <x:c r="Q3896" s="18" t="n">
        <x:v>0</x:v>
      </x:c>
      <x:c r="R3896" s="18" t="n">
        <x:v>0</x:v>
      </x:c>
      <x:c r="S3896" s="18" t="n">
        <x:v>555.4441224207311</x:v>
      </x:c>
      <x:c r="T3896" s="18" t="n">
        <x:v>646</x:v>
      </x:c>
      <x:c r="U3896" s="18" t="n">
        <x:v>555.4441224207311</x:v>
      </x:c>
      <x:c r="V3896" s="20" t="n">
        <x:v>12</x:v>
      </x:c>
      <x:c r="W3896" s="20" t="n">
        <x:v>5</x:v>
      </x:c>
      <x:c r="X3896" s="20" t="n">
        <x:v>3</x:v>
      </x:c>
      <x:c r="Y3896" t="str">
        <x:v>Basis arsip 2025/2024</x:v>
      </x:c>
      <x:c r="Z3896" t="str">
        <x:v>https://snpmb.id/utbk-snbt/daya-tampung-snbt</x:v>
      </x:c>
      <x:c r="AA3896" t="str">
        <x:v>Tidak Ada</x:v>
      </x:c>
      <x:c r="AB3896" t="str">
        <x:v>Campus=55; Ratio=19.0; Prodi=40; RelDemand=25.5; Capacity=83.3</x:v>
      </x:c>
    </x:row>
    <x:row r="3897">
      <x:c r="A3897" t="n">
        <x:v>3894</x:v>
      </x:c>
      <x:c r="B3897" t="str">
        <x:v>PTN Vokasi</x:v>
      </x:c>
      <x:c r="C3897" t="str">
        <x:v>POLITEKNIK NEGERI LHOKSEUMAWE</x:v>
      </x:c>
      <x:c r="D3897" t="str">
        <x:v>TEKNOLOGI REKAYASA INSTRUMENTASI DAN KONTROL</x:v>
      </x:c>
      <x:c r="E3897" t="str">
        <x:v>Sarjana Terapan</x:v>
      </x:c>
      <x:c r="F3897" s="18" t="n">
        <x:v>23</x:v>
      </x:c>
      <x:c r="G3897" s="18" t="n">
        <x:v>41</x:v>
      </x:c>
      <x:c r="H3897" s="19" t="n">
        <x:v>1.7826086956521738</x:v>
      </x:c>
      <x:c r="I3897" s="18" t="n">
        <x:f>ROUND(MIN(Model_Config_v3!$B$6,MAX(Q3897,R3897,S3897*Model_Config_v3!$B$4+T3897*Model_Config_v3!$B$5)),0)</x:f>
        <x:v>614</x:v>
      </x:c>
      <x:c r="J3897" s="18" t="n">
        <x:f>MIN(Model_Config_v3!$B$6,I3897+Model_Config_v3!$B$7)</x:f>
        <x:v>634</x:v>
      </x:c>
      <x:c r="K3897" s="20" t="n">
        <x:v>41.2</x:v>
      </x:c>
      <x:c r="L3897" t="str">
        <x:v>RELATIF LONGGAR</x:v>
      </x:c>
      <x:c r="M3897" t="str">
        <x:v>SEDANG</x:v>
      </x:c>
      <x:c r="N3897" t="str">
        <x:v>REGULER</x:v>
      </x:c>
      <x:c r="O3897" t="str">
        <x:v>SAINTEK</x:v>
      </x:c>
      <x:c r="P3897" t="str">
        <x:v>UMUM</x:v>
      </x:c>
      <x:c r="Q3897" s="18" t="n">
        <x:v>0</x:v>
      </x:c>
      <x:c r="R3897" s="18" t="n">
        <x:v>0</x:v>
      </x:c>
      <x:c r="S3897" s="18" t="n">
        <x:v>547.6161622772357</x:v>
      </x:c>
      <x:c r="T3897" s="18" t="n">
        <x:v>642</x:v>
      </x:c>
      <x:c r="U3897" s="18" t="n">
        <x:v>547.6161622772357</x:v>
      </x:c>
      <x:c r="V3897" s="20" t="n">
        <x:v>12</x:v>
      </x:c>
      <x:c r="W3897" s="20" t="n">
        <x:v>5</x:v>
      </x:c>
      <x:c r="X3897" s="20" t="n">
        <x:v>3</x:v>
      </x:c>
      <x:c r="Y3897" t="str">
        <x:v>Basis arsip 2025/2024</x:v>
      </x:c>
      <x:c r="Z3897" t="str">
        <x:v>https://snpmb.id/utbk-snbt/daya-tampung-snbt</x:v>
      </x:c>
      <x:c r="AA3897" t="str">
        <x:v>Tidak Ada</x:v>
      </x:c>
      <x:c r="AB3897" t="str">
        <x:v>Campus=55; Ratio=14.8; Prodi=40; RelDemand=21.7; Capacity=80.8</x:v>
      </x:c>
    </x:row>
    <x:row r="3898">
      <x:c r="A3898" t="n">
        <x:v>3895</x:v>
      </x:c>
      <x:c r="B3898" t="str">
        <x:v>PTN Vokasi</x:v>
      </x:c>
      <x:c r="C3898" t="str">
        <x:v>POLITEKNIK NEGERI LHOKSEUMAWE</x:v>
      </x:c>
      <x:c r="D3898" t="str">
        <x:v>TEKNIK INFORMATIKA</x:v>
      </x:c>
      <x:c r="E3898" t="str">
        <x:v>Sarjana Terapan</x:v>
      </x:c>
      <x:c r="F3898" s="18" t="n">
        <x:v>60</x:v>
      </x:c>
      <x:c r="G3898" s="18" t="n">
        <x:v>584</x:v>
      </x:c>
      <x:c r="H3898" s="19" t="n">
        <x:v>9.733333333333333</x:v>
      </x:c>
      <x:c r="I3898" s="18" t="n">
        <x:f>ROUND(MIN(Model_Config_v3!$B$6,MAX(Q3898,R3898,S3898*Model_Config_v3!$B$4+T3898*Model_Config_v3!$B$5)),0)</x:f>
        <x:v>673</x:v>
      </x:c>
      <x:c r="J3898" s="18" t="n">
        <x:f>MIN(Model_Config_v3!$B$6,I3898+Model_Config_v3!$B$7)</x:f>
        <x:v>693</x:v>
      </x:c>
      <x:c r="K3898" s="20" t="n">
        <x:v>65.8</x:v>
      </x:c>
      <x:c r="L3898" t="str">
        <x:v>SANGAT KETAT</x:v>
      </x:c>
      <x:c r="M3898" t="str">
        <x:v>SEDANG+</x:v>
      </x:c>
      <x:c r="N3898" t="str">
        <x:v>REGULER</x:v>
      </x:c>
      <x:c r="O3898" t="str">
        <x:v>SAINTEK</x:v>
      </x:c>
      <x:c r="P3898" t="str">
        <x:v>KOMPUTER/INFORMATIKA</x:v>
      </x:c>
      <x:c r="Q3898" s="18" t="n">
        <x:v>0</x:v>
      </x:c>
      <x:c r="R3898" s="18" t="n">
        <x:v>0</x:v>
      </x:c>
      <x:c r="S3898" s="18" t="n">
        <x:v>628.7087756401631</x:v>
      </x:c>
      <x:c r="T3898" s="18" t="n">
        <x:v>692</x:v>
      </x:c>
      <x:c r="U3898" s="18" t="n">
        <x:v>653.7087756401631</x:v>
      </x:c>
      <x:c r="V3898" s="20" t="n">
        <x:v>12</x:v>
      </x:c>
      <x:c r="W3898" s="20" t="n">
        <x:v>5</x:v>
      </x:c>
      <x:c r="X3898" s="20" t="n">
        <x:v>3</x:v>
      </x:c>
      <x:c r="Y3898" t="str">
        <x:v>Basis arsip 2025/2024</x:v>
      </x:c>
      <x:c r="Z3898" t="str">
        <x:v>https://snpmb.id/utbk-snbt/daya-tampung-snbt</x:v>
      </x:c>
      <x:c r="AA3898" t="str">
        <x:v>Tidak Ada</x:v>
      </x:c>
      <x:c r="AB3898" t="str">
        <x:v>Campus=55; Ratio=58.2; Prodi=85; RelDemand=100.0; Capacity=50.0</x:v>
      </x:c>
    </x:row>
    <x:row r="3899">
      <x:c r="A3899" t="n">
        <x:v>3896</x:v>
      </x:c>
      <x:c r="B3899" t="str">
        <x:v>PTN Vokasi</x:v>
      </x:c>
      <x:c r="C3899" t="str">
        <x:v>POLITEKNIK NEGERI LHOKSEUMAWE</x:v>
      </x:c>
      <x:c r="D3899" t="str">
        <x:v>TEKNOLOGI REKAYASA KOMPUTER JARINGAN</x:v>
      </x:c>
      <x:c r="E3899" t="str">
        <x:v>Sarjana Terapan</x:v>
      </x:c>
      <x:c r="F3899" s="18" t="n">
        <x:v>48</x:v>
      </x:c>
      <x:c r="G3899" s="18" t="n">
        <x:v>92</x:v>
      </x:c>
      <x:c r="H3899" s="19" t="n">
        <x:v>1.9166666666666667</x:v>
      </x:c>
      <x:c r="I3899" s="18" t="n">
        <x:f>ROUND(MIN(Model_Config_v3!$B$6,MAX(Q3899,R3899,S3899*Model_Config_v3!$B$4+T3899*Model_Config_v3!$B$5)),0)</x:f>
        <x:v>613</x:v>
      </x:c>
      <x:c r="J3899" s="18" t="n">
        <x:f>MIN(Model_Config_v3!$B$6,I3899+Model_Config_v3!$B$7)</x:f>
        <x:v>633</x:v>
      </x:c>
      <x:c r="K3899" s="20" t="n">
        <x:v>39.7</x:v>
      </x:c>
      <x:c r="L3899" t="str">
        <x:v>RELATIF LONGGAR</x:v>
      </x:c>
      <x:c r="M3899" t="str">
        <x:v>SEDANG</x:v>
      </x:c>
      <x:c r="N3899" t="str">
        <x:v>REGULER</x:v>
      </x:c>
      <x:c r="O3899" t="str">
        <x:v>SAINTEK</x:v>
      </x:c>
      <x:c r="P3899" t="str">
        <x:v>UMUM</x:v>
      </x:c>
      <x:c r="Q3899" s="18" t="n">
        <x:v>0</x:v>
      </x:c>
      <x:c r="R3899" s="18" t="n">
        <x:v>0</x:v>
      </x:c>
      <x:c r="S3899" s="18" t="n">
        <x:v>551.0801248966965</x:v>
      </x:c>
      <x:c r="T3899" s="18" t="n">
        <x:v>639</x:v>
      </x:c>
      <x:c r="U3899" s="18" t="n">
        <x:v>551.0801248966965</x:v>
      </x:c>
      <x:c r="V3899" s="20" t="n">
        <x:v>12</x:v>
      </x:c>
      <x:c r="W3899" s="20" t="n">
        <x:v>5</x:v>
      </x:c>
      <x:c r="X3899" s="20" t="n">
        <x:v>3</x:v>
      </x:c>
      <x:c r="Y3899" t="str">
        <x:v>Basis arsip 2025/2024</x:v>
      </x:c>
      <x:c r="Z3899" t="str">
        <x:v>https://snpmb.id/utbk-snbt/daya-tampung-snbt</x:v>
      </x:c>
      <x:c r="AA3899" t="str">
        <x:v>Tidak Ada</x:v>
      </x:c>
      <x:c r="AB3899" t="str">
        <x:v>Campus=55; Ratio=16.6; Prodi=40; RelDemand=23.3; Capacity=60.0</x:v>
      </x:c>
    </x:row>
    <x:row r="3900">
      <x:c r="A3900" t="n">
        <x:v>3897</x:v>
      </x:c>
      <x:c r="B3900" t="str">
        <x:v>PTN Vokasi</x:v>
      </x:c>
      <x:c r="C3900" t="str">
        <x:v>POLITEKNIK NEGERI LHOKSEUMAWE</x:v>
      </x:c>
      <x:c r="D3900" t="str">
        <x:v>TEKNOLOGI REKAYASA MULTIMEDIA</x:v>
      </x:c>
      <x:c r="E3900" t="str">
        <x:v>Sarjana Terapan</x:v>
      </x:c>
      <x:c r="F3900" s="18" t="n">
        <x:v>36</x:v>
      </x:c>
      <x:c r="G3900" s="18" t="n">
        <x:v>91</x:v>
      </x:c>
      <x:c r="H3900" s="19" t="n">
        <x:v>2.5277777777777777</x:v>
      </x:c>
      <x:c r="I3900" s="18" t="n">
        <x:f>ROUND(MIN(Model_Config_v3!$B$6,MAX(Q3900,R3900,S3900*Model_Config_v3!$B$4+T3900*Model_Config_v3!$B$5)),0)</x:f>
        <x:v>621</x:v>
      </x:c>
      <x:c r="J3900" s="18" t="n">
        <x:f>MIN(Model_Config_v3!$B$6,I3900+Model_Config_v3!$B$7)</x:f>
        <x:v>641</x:v>
      </x:c>
      <x:c r="K3900" s="20" t="n">
        <x:v>43.2</x:v>
      </x:c>
      <x:c r="L3900" t="str">
        <x:v>RELATIF LONGGAR</x:v>
      </x:c>
      <x:c r="M3900" t="str">
        <x:v>SEDANG</x:v>
      </x:c>
      <x:c r="N3900" t="str">
        <x:v>REGULER</x:v>
      </x:c>
      <x:c r="O3900" t="str">
        <x:v>SAINTEK</x:v>
      </x:c>
      <x:c r="P3900" t="str">
        <x:v>UMUM</x:v>
      </x:c>
      <x:c r="Q3900" s="18" t="n">
        <x:v>0</x:v>
      </x:c>
      <x:c r="R3900" s="18" t="n">
        <x:v>0</x:v>
      </x:c>
      <x:c r="S3900" s="18" t="n">
        <x:v>564.3012780709187</x:v>
      </x:c>
      <x:c r="T3900" s="18" t="n">
        <x:v>646</x:v>
      </x:c>
      <x:c r="U3900" s="18" t="n">
        <x:v>564.3012780709187</x:v>
      </x:c>
      <x:c r="V3900" s="20" t="n">
        <x:v>12</x:v>
      </x:c>
      <x:c r="W3900" s="20" t="n">
        <x:v>5</x:v>
      </x:c>
      <x:c r="X3900" s="20" t="n">
        <x:v>3</x:v>
      </x:c>
      <x:c r="Y3900" t="str">
        <x:v>Basis arsip 2025/2024</x:v>
      </x:c>
      <x:c r="Z3900" t="str">
        <x:v>https://snpmb.id/utbk-snbt/daya-tampung-snbt</x:v>
      </x:c>
      <x:c r="AA3900" t="str">
        <x:v>Tidak Ada</x:v>
      </x:c>
      <x:c r="AB3900" t="str">
        <x:v>Campus=55; Ratio=23.7; Prodi=40; RelDemand=30.7; Capacity=70.0</x:v>
      </x:c>
    </x:row>
    <x:row r="3901">
      <x:c r="A3901" t="n">
        <x:v>3898</x:v>
      </x:c>
      <x:c r="B3901" t="str">
        <x:v>PTN Vokasi</x:v>
      </x:c>
      <x:c r="C3901" t="str">
        <x:v>POLITEKNIK NEGERI LHOKSEUMAWE</x:v>
      </x:c>
      <x:c r="D3901" t="str">
        <x:v>TEKNOLOGI REKAYASA PENGELASAN DAN FABRIKASI</x:v>
      </x:c>
      <x:c r="E3901" t="str">
        <x:v>Sarjana Terapan</x:v>
      </x:c>
      <x:c r="F3901" s="18" t="n">
        <x:v>23</x:v>
      </x:c>
      <x:c r="G3901" s="18" t="n">
        <x:v>32</x:v>
      </x:c>
      <x:c r="H3901" s="19" t="n">
        <x:v>1.391304347826087</x:v>
      </x:c>
      <x:c r="I3901" s="18" t="n">
        <x:f>ROUND(MIN(Model_Config_v3!$B$6,MAX(Q3901,R3901,S3901*Model_Config_v3!$B$4+T3901*Model_Config_v3!$B$5)),0)</x:f>
        <x:v>607</x:v>
      </x:c>
      <x:c r="J3901" s="18" t="n">
        <x:f>MIN(Model_Config_v3!$B$6,I3901+Model_Config_v3!$B$7)</x:f>
        <x:v>627</x:v>
      </x:c>
      <x:c r="K3901" s="20" t="n">
        <x:v>39.1</x:v>
      </x:c>
      <x:c r="L3901" t="str">
        <x:v>RELATIF LONGGAR</x:v>
      </x:c>
      <x:c r="M3901" t="str">
        <x:v>SEDANG</x:v>
      </x:c>
      <x:c r="N3901" t="str">
        <x:v>REGULER</x:v>
      </x:c>
      <x:c r="O3901" t="str">
        <x:v>SAINTEK</x:v>
      </x:c>
      <x:c r="P3901" t="str">
        <x:v>UMUM</x:v>
      </x:c>
      <x:c r="Q3901" s="18" t="n">
        <x:v>0</x:v>
      </x:c>
      <x:c r="R3901" s="18" t="n">
        <x:v>0</x:v>
      </x:c>
      <x:c r="S3901" s="18" t="n">
        <x:v>535.7764356532545</x:v>
      </x:c>
      <x:c r="T3901" s="18" t="n">
        <x:v>638</x:v>
      </x:c>
      <x:c r="U3901" s="18" t="n">
        <x:v>535.7764356532545</x:v>
      </x:c>
      <x:c r="V3901" s="20" t="n">
        <x:v>12</x:v>
      </x:c>
      <x:c r="W3901" s="20" t="n">
        <x:v>5</x:v>
      </x:c>
      <x:c r="X3901" s="20" t="n">
        <x:v>3</x:v>
      </x:c>
      <x:c r="Y3901" t="str">
        <x:v>Basis arsip 2025/2024</x:v>
      </x:c>
      <x:c r="Z3901" t="str">
        <x:v>https://snpmb.id/utbk-snbt/daya-tampung-snbt</x:v>
      </x:c>
      <x:c r="AA3901" t="str">
        <x:v>Tidak Ada</x:v>
      </x:c>
      <x:c r="AB3901" t="str">
        <x:v>Campus=55; Ratio=8.4; Prodi=40; RelDemand=16.9; Capacity=80.8</x:v>
      </x:c>
    </x:row>
    <x:row r="3902">
      <x:c r="A3902" t="n">
        <x:v>3899</x:v>
      </x:c>
      <x:c r="B3902" t="str">
        <x:v>PTN Vokasi</x:v>
      </x:c>
      <x:c r="C3902" t="str">
        <x:v>POLITEKNIK NEGERI LHOKSEUMAWE</x:v>
      </x:c>
      <x:c r="D3902" t="str">
        <x:v>TEKNOLOGI REKAYASA KONSTRUKSI BANGUNAN GEDUNG</x:v>
      </x:c>
      <x:c r="E3902" t="str">
        <x:v>Sarjana Terapan</x:v>
      </x:c>
      <x:c r="F3902" s="18" t="n">
        <x:v>36</x:v>
      </x:c>
      <x:c r="G3902" s="18" t="n">
        <x:v>58</x:v>
      </x:c>
      <x:c r="H3902" s="19" t="n">
        <x:v>1.6111111111111112</x:v>
      </x:c>
      <x:c r="I3902" s="18" t="n">
        <x:f>ROUND(MIN(Model_Config_v3!$B$6,MAX(Q3902,R3902,S3902*Model_Config_v3!$B$4+T3902*Model_Config_v3!$B$5)),0)</x:f>
        <x:v>610</x:v>
      </x:c>
      <x:c r="J3902" s="18" t="n">
        <x:f>MIN(Model_Config_v3!$B$6,I3902+Model_Config_v3!$B$7)</x:f>
        <x:v>630</x:v>
      </x:c>
      <x:c r="K3902" s="20" t="n">
        <x:v>39.3</x:v>
      </x:c>
      <x:c r="L3902" t="str">
        <x:v>RELATIF LONGGAR</x:v>
      </x:c>
      <x:c r="M3902" t="str">
        <x:v>SEDANG</x:v>
      </x:c>
      <x:c r="N3902" t="str">
        <x:v>REGULER</x:v>
      </x:c>
      <x:c r="O3902" t="str">
        <x:v>SAINTEK</x:v>
      </x:c>
      <x:c r="P3902" t="str">
        <x:v>UMUM</x:v>
      </x:c>
      <x:c r="Q3902" s="18" t="n">
        <x:v>0</x:v>
      </x:c>
      <x:c r="R3902" s="18" t="n">
        <x:v>0</x:v>
      </x:c>
      <x:c r="S3902" s="18" t="n">
        <x:v>542.7838042075215</x:v>
      </x:c>
      <x:c r="T3902" s="18" t="n">
        <x:v>639</x:v>
      </x:c>
      <x:c r="U3902" s="18" t="n">
        <x:v>542.7838042075215</x:v>
      </x:c>
      <x:c r="V3902" s="20" t="n">
        <x:v>12</x:v>
      </x:c>
      <x:c r="W3902" s="20" t="n">
        <x:v>5</x:v>
      </x:c>
      <x:c r="X3902" s="20" t="n">
        <x:v>3</x:v>
      </x:c>
      <x:c r="Y3902" t="str">
        <x:v>Basis arsip 2025/2024</x:v>
      </x:c>
      <x:c r="Z3902" t="str">
        <x:v>https://snpmb.id/utbk-snbt/daya-tampung-snbt</x:v>
      </x:c>
      <x:c r="AA3902" t="str">
        <x:v>Tidak Ada</x:v>
      </x:c>
      <x:c r="AB3902" t="str">
        <x:v>Campus=55; Ratio=12.2; Prodi=40; RelDemand=19.6; Capacity=70.0</x:v>
      </x:c>
    </x:row>
    <x:row r="3903">
      <x:c r="A3903" t="n">
        <x:v>3900</x:v>
      </x:c>
      <x:c r="B3903" t="str">
        <x:v>PTN Vokasi</x:v>
      </x:c>
      <x:c r="C3903" t="str">
        <x:v>POLITEKNIK NEGERI LHOKSEUMAWE</x:v>
      </x:c>
      <x:c r="D3903" t="str">
        <x:v>AKUNTANSI LEMBAGA KEUANGAN SYARIAH</x:v>
      </x:c>
      <x:c r="E3903" t="str">
        <x:v>Sarjana Terapan</x:v>
      </x:c>
      <x:c r="F3903" s="18" t="n">
        <x:v>36</x:v>
      </x:c>
      <x:c r="G3903" s="18" t="n">
        <x:v>177</x:v>
      </x:c>
      <x:c r="H3903" s="19" t="n">
        <x:v>4.916666666666667</x:v>
      </x:c>
      <x:c r="I3903" s="18" t="n">
        <x:f>ROUND(MIN(Model_Config_v3!$B$6,MAX(Q3903,R3903,S3903*Model_Config_v3!$B$4+T3903*Model_Config_v3!$B$5)),0)</x:f>
        <x:v>649</x:v>
      </x:c>
      <x:c r="J3903" s="18" t="n">
        <x:f>MIN(Model_Config_v3!$B$6,I3903+Model_Config_v3!$B$7)</x:f>
        <x:v>669</x:v>
      </x:c>
      <x:c r="K3903" s="20" t="n">
        <x:v>55.4</x:v>
      </x:c>
      <x:c r="L3903" t="str">
        <x:v>KETAT</x:v>
      </x:c>
      <x:c r="M3903" t="str">
        <x:v>SEDANG+</x:v>
      </x:c>
      <x:c r="N3903" t="str">
        <x:v>REGULER</x:v>
      </x:c>
      <x:c r="O3903" t="str">
        <x:v>SOSHUM</x:v>
      </x:c>
      <x:c r="P3903" t="str">
        <x:v>BISNIS/EKONOMI/AKUNTANSI</x:v>
      </x:c>
      <x:c r="Q3903" s="18" t="n">
        <x:v>0</x:v>
      </x:c>
      <x:c r="R3903" s="18" t="n">
        <x:v>0</x:v>
      </x:c>
      <x:c r="S3903" s="18" t="n">
        <x:v>596.0837842153971</x:v>
      </x:c>
      <x:c r="T3903" s="18" t="n">
        <x:v>671</x:v>
      </x:c>
      <x:c r="U3903" s="18" t="n">
        <x:v>596.0837842153971</x:v>
      </x:c>
      <x:c r="V3903" s="20" t="n">
        <x:v>4.4</x:v>
      </x:c>
      <x:c r="W3903" s="20" t="n">
        <x:v>14.3</x:v>
      </x:c>
      <x:c r="X3903" s="20" t="n">
        <x:v>3.3</x:v>
      </x:c>
      <x:c r="Y3903" t="str">
        <x:v>Basis arsip 2025/2024</x:v>
      </x:c>
      <x:c r="Z3903" t="str">
        <x:v>https://snpmb.id/utbk-snbt/daya-tampung-snbt</x:v>
      </x:c>
      <x:c r="AA3903" t="str">
        <x:v>Tidak Ada</x:v>
      </x:c>
      <x:c r="AB3903" t="str">
        <x:v>Campus=55; Ratio=40.7; Prodi=65; RelDemand=59.7; Capacity=70.0</x:v>
      </x:c>
    </x:row>
    <x:row r="3904">
      <x:c r="A3904" t="n">
        <x:v>3901</x:v>
      </x:c>
      <x:c r="B3904" t="str">
        <x:v>PTN Vokasi</x:v>
      </x:c>
      <x:c r="C3904" t="str">
        <x:v>POLITEKNIK NEGERI LHOKSEUMAWE</x:v>
      </x:c>
      <x:c r="D3904" t="str">
        <x:v>AKUNTANSI SEKTOR PUBLIK</x:v>
      </x:c>
      <x:c r="E3904" t="str">
        <x:v>Sarjana Terapan</x:v>
      </x:c>
      <x:c r="F3904" s="18" t="n">
        <x:v>36</x:v>
      </x:c>
      <x:c r="G3904" s="18" t="n">
        <x:v>76</x:v>
      </x:c>
      <x:c r="H3904" s="19" t="n">
        <x:v>2.111111111111111</x:v>
      </x:c>
      <x:c r="I3904" s="18" t="n">
        <x:f>ROUND(MIN(Model_Config_v3!$B$6,MAX(Q3904,R3904,S3904*Model_Config_v3!$B$4+T3904*Model_Config_v3!$B$5)),0)</x:f>
        <x:v>624</x:v>
      </x:c>
      <x:c r="J3904" s="18" t="n">
        <x:f>MIN(Model_Config_v3!$B$6,I3904+Model_Config_v3!$B$7)</x:f>
        <x:v>644</x:v>
      </x:c>
      <x:c r="K3904" s="20" t="n">
        <x:v>46.6</x:v>
      </x:c>
      <x:c r="L3904" t="str">
        <x:v>MENENGAH</x:v>
      </x:c>
      <x:c r="M3904" t="str">
        <x:v>SEDANG+</x:v>
      </x:c>
      <x:c r="N3904" t="str">
        <x:v>REGULER</x:v>
      </x:c>
      <x:c r="O3904" t="str">
        <x:v>SOSHUM</x:v>
      </x:c>
      <x:c r="P3904" t="str">
        <x:v>BISNIS/EKONOMI/AKUNTANSI</x:v>
      </x:c>
      <x:c r="Q3904" s="18" t="n">
        <x:v>0</x:v>
      </x:c>
      <x:c r="R3904" s="18" t="n">
        <x:v>0</x:v>
      </x:c>
      <x:c r="S3904" s="18" t="n">
        <x:v>555.6962200664855</x:v>
      </x:c>
      <x:c r="T3904" s="18" t="n">
        <x:v>653</x:v>
      </x:c>
      <x:c r="U3904" s="18" t="n">
        <x:v>555.6962200664855</x:v>
      </x:c>
      <x:c r="V3904" s="20" t="n">
        <x:v>4.4</x:v>
      </x:c>
      <x:c r="W3904" s="20" t="n">
        <x:v>14.3</x:v>
      </x:c>
      <x:c r="X3904" s="20" t="n">
        <x:v>3.3</x:v>
      </x:c>
      <x:c r="Y3904" t="str">
        <x:v>Basis arsip 2025/2024</x:v>
      </x:c>
      <x:c r="Z3904" t="str">
        <x:v>https://snpmb.id/utbk-snbt/daya-tampung-snbt</x:v>
      </x:c>
      <x:c r="AA3904" t="str">
        <x:v>Tidak Ada</x:v>
      </x:c>
      <x:c r="AB3904" t="str">
        <x:v>Campus=55; Ratio=19.1; Prodi=65; RelDemand=25.7; Capacity=70.0</x:v>
      </x:c>
    </x:row>
    <x:row r="3905">
      <x:c r="A3905" t="n">
        <x:v>3902</x:v>
      </x:c>
      <x:c r="B3905" t="str">
        <x:v>PTN Vokasi</x:v>
      </x:c>
      <x:c r="C3905" t="str">
        <x:v>POLITEKNIK NEGERI LHOKSEUMAWE</x:v>
      </x:c>
      <x:c r="D3905" t="str">
        <x:v>MANAJEMEN KEUANGAN SEKTOR PUBLIK</x:v>
      </x:c>
      <x:c r="E3905" t="str">
        <x:v>Sarjana Terapan</x:v>
      </x:c>
      <x:c r="F3905" s="18" t="n">
        <x:v>36</x:v>
      </x:c>
      <x:c r="G3905" s="18" t="n">
        <x:v>196</x:v>
      </x:c>
      <x:c r="H3905" s="19" t="n">
        <x:v>5.444444444444445</x:v>
      </x:c>
      <x:c r="I3905" s="18" t="n">
        <x:f>ROUND(MIN(Model_Config_v3!$B$6,MAX(Q3905,R3905,S3905*Model_Config_v3!$B$4+T3905*Model_Config_v3!$B$5)),0)</x:f>
        <x:v>651</x:v>
      </x:c>
      <x:c r="J3905" s="18" t="n">
        <x:f>MIN(Model_Config_v3!$B$6,I3905+Model_Config_v3!$B$7)</x:f>
        <x:v>671</x:v>
      </x:c>
      <x:c r="K3905" s="20" t="n">
        <x:v>56.7</x:v>
      </x:c>
      <x:c r="L3905" t="str">
        <x:v>KETAT</x:v>
      </x:c>
      <x:c r="M3905" t="str">
        <x:v>SEDANG+</x:v>
      </x:c>
      <x:c r="N3905" t="str">
        <x:v>REGULER</x:v>
      </x:c>
      <x:c r="O3905" t="str">
        <x:v>SOSHUM</x:v>
      </x:c>
      <x:c r="P3905" t="str">
        <x:v>BISNIS/EKONOMI/AKUNTANSI</x:v>
      </x:c>
      <x:c r="Q3905" s="18" t="n">
        <x:v>0</x:v>
      </x:c>
      <x:c r="R3905" s="18" t="n">
        <x:v>0</x:v>
      </x:c>
      <x:c r="S3905" s="18" t="n">
        <x:v>600.9548927648108</x:v>
      </x:c>
      <x:c r="T3905" s="18" t="n">
        <x:v>673</x:v>
      </x:c>
      <x:c r="U3905" s="18" t="n">
        <x:v>615.9548927648108</x:v>
      </x:c>
      <x:c r="V3905" s="20" t="n">
        <x:v>4.4</x:v>
      </x:c>
      <x:c r="W3905" s="20" t="n">
        <x:v>14.3</x:v>
      </x:c>
      <x:c r="X3905" s="20" t="n">
        <x:v>3.3</x:v>
      </x:c>
      <x:c r="Y3905" t="str">
        <x:v>Basis arsip 2025/2024</x:v>
      </x:c>
      <x:c r="Z3905" t="str">
        <x:v>https://snpmb.id/utbk-snbt/daya-tampung-snbt</x:v>
      </x:c>
      <x:c r="AA3905" t="str">
        <x:v>Tidak Ada</x:v>
      </x:c>
      <x:c r="AB3905" t="str">
        <x:v>Campus=55; Ratio=43.3; Prodi=65; RelDemand=66.2; Capacity=70.0</x:v>
      </x:c>
    </x:row>
    <x:row r="3906">
      <x:c r="A3906" t="n">
        <x:v>3903</x:v>
      </x:c>
      <x:c r="B3906" t="str">
        <x:v>PTN Vokasi</x:v>
      </x:c>
      <x:c r="C3906" t="str">
        <x:v>POLITEKNIK NEGERI LHOKSEUMAWE</x:v>
      </x:c>
      <x:c r="D3906" t="str">
        <x:v>TEKNOLOGI REKAYASA MEKATRONIKA</x:v>
      </x:c>
      <x:c r="E3906" t="str">
        <x:v>Sarjana Terapan</x:v>
      </x:c>
      <x:c r="F3906" s="18" t="n">
        <x:v>23</x:v>
      </x:c>
      <x:c r="G3906" s="18" t="n">
        <x:v>10</x:v>
      </x:c>
      <x:c r="H3906" s="19" t="n">
        <x:v>0.43478260869565216</x:v>
      </x:c>
      <x:c r="I3906" s="18" t="n">
        <x:f>ROUND(MIN(Model_Config_v3!$B$6,MAX(Q3906,R3906,S3906*Model_Config_v3!$B$4+T3906*Model_Config_v3!$B$5)),0)</x:f>
        <x:v>598</x:v>
      </x:c>
      <x:c r="J3906" s="18" t="n">
        <x:f>MIN(Model_Config_v3!$B$6,I3906+Model_Config_v3!$B$7)</x:f>
        <x:v>618</x:v>
      </x:c>
      <x:c r="K3906" s="20" t="n">
        <x:v>35.9</x:v>
      </x:c>
      <x:c r="L3906" t="str">
        <x:v>RELATIF LONGGAR</x:v>
      </x:c>
      <x:c r="M3906" t="str">
        <x:v>SEDANG</x:v>
      </x:c>
      <x:c r="N3906" t="str">
        <x:v>REGULER</x:v>
      </x:c>
      <x:c r="O3906" t="str">
        <x:v>SAINTEK</x:v>
      </x:c>
      <x:c r="P3906" t="str">
        <x:v>UMUM</x:v>
      </x:c>
      <x:c r="Q3906" s="18" t="n">
        <x:v>0</x:v>
      </x:c>
      <x:c r="R3906" s="18" t="n">
        <x:v>0</x:v>
      </x:c>
      <x:c r="S3906" s="18" t="n">
        <x:v>520</x:v>
      </x:c>
      <x:c r="T3906" s="18" t="n">
        <x:v>632</x:v>
      </x:c>
      <x:c r="U3906" s="18" t="n">
        <x:v>520</x:v>
      </x:c>
      <x:c r="V3906" s="20" t="n">
        <x:v>12</x:v>
      </x:c>
      <x:c r="W3906" s="20" t="n">
        <x:v>5</x:v>
      </x:c>
      <x:c r="X3906" s="20" t="n">
        <x:v>3</x:v>
      </x:c>
      <x:c r="Y3906" t="str">
        <x:v>Basis arsip 2025/2024</x:v>
      </x:c>
      <x:c r="Z3906" t="str">
        <x:v>https://snpmb.id/utbk-snbt/daya-tampung-snbt</x:v>
      </x:c>
      <x:c r="AA3906" t="str">
        <x:v>Tidak Ada</x:v>
      </x:c>
      <x:c r="AB3906" t="str">
        <x:v>Campus=55; Ratio=0.0; Prodi=40; RelDemand=5.3; Capacity=80.8</x:v>
      </x:c>
    </x:row>
    <x:row r="3907">
      <x:c r="A3907" t="n">
        <x:v>3904</x:v>
      </x:c>
      <x:c r="B3907" t="str">
        <x:v>PTN Vokasi</x:v>
      </x:c>
      <x:c r="C3907" t="str">
        <x:v>POLITEKNIK NEGERI LHOKSEUMAWE</x:v>
      </x:c>
      <x:c r="D3907" t="str">
        <x:v>TEKNOLOGI INDUSTRI</x:v>
      </x:c>
      <x:c r="E3907" t="str">
        <x:v>Diploma Tiga</x:v>
      </x:c>
      <x:c r="F3907" s="18" t="n">
        <x:v>36</x:v>
      </x:c>
      <x:c r="G3907" s="18" t="n">
        <x:v>120</x:v>
      </x:c>
      <x:c r="H3907" s="19" t="n">
        <x:v>3.3333333333333335</x:v>
      </x:c>
      <x:c r="I3907" s="18" t="n">
        <x:f>ROUND(MIN(Model_Config_v3!$B$6,MAX(Q3907,R3907,S3907*Model_Config_v3!$B$4+T3907*Model_Config_v3!$B$5)),0)</x:f>
        <x:v>630</x:v>
      </x:c>
      <x:c r="J3907" s="18" t="n">
        <x:f>MIN(Model_Config_v3!$B$6,I3907+Model_Config_v3!$B$7)</x:f>
        <x:v>650</x:v>
      </x:c>
      <x:c r="K3907" s="20" t="n">
        <x:v>46</x:v>
      </x:c>
      <x:c r="L3907" t="str">
        <x:v>MENENGAH</x:v>
      </x:c>
      <x:c r="M3907" t="str">
        <x:v>SEDANG</x:v>
      </x:c>
      <x:c r="N3907" t="str">
        <x:v>REGULER</x:v>
      </x:c>
      <x:c r="O3907" t="str">
        <x:v>SAINTEK</x:v>
      </x:c>
      <x:c r="P3907" t="str">
        <x:v>UMUM</x:v>
      </x:c>
      <x:c r="Q3907" s="18" t="n">
        <x:v>0</x:v>
      </x:c>
      <x:c r="R3907" s="18" t="n">
        <x:v>0</x:v>
      </x:c>
      <x:c r="S3907" s="18" t="n">
        <x:v>577.5166619808372</x:v>
      </x:c>
      <x:c r="T3907" s="18" t="n">
        <x:v>652</x:v>
      </x:c>
      <x:c r="U3907" s="18" t="n">
        <x:v>577.5166619808372</x:v>
      </x:c>
      <x:c r="V3907" s="20" t="n">
        <x:v>12</x:v>
      </x:c>
      <x:c r="W3907" s="20" t="n">
        <x:v>5</x:v>
      </x:c>
      <x:c r="X3907" s="20" t="n">
        <x:v>3</x:v>
      </x:c>
      <x:c r="Y3907" t="str">
        <x:v>Basis arsip 2025/2024</x:v>
      </x:c>
      <x:c r="Z3907" t="str">
        <x:v>https://snpmb.id/utbk-snbt/daya-tampung-snbt</x:v>
      </x:c>
      <x:c r="AA3907" t="str">
        <x:v>Tidak Ada</x:v>
      </x:c>
      <x:c r="AB3907" t="str">
        <x:v>Campus=55; Ratio=30.8; Prodi=40; RelDemand=40.5; Capacity=70.0</x:v>
      </x:c>
    </x:row>
    <x:row r="3908">
      <x:c r="A3908" t="n">
        <x:v>3905</x:v>
      </x:c>
      <x:c r="B3908" t="str">
        <x:v>PTN Vokasi</x:v>
      </x:c>
      <x:c r="C3908" t="str">
        <x:v>POLITEKNIK NEGERI LHOKSEUMAWE</x:v>
      </x:c>
      <x:c r="D3908" t="str">
        <x:v>TEKNOLOGI KONSTRUKSI BANGUNAN AIR</x:v>
      </x:c>
      <x:c r="E3908" t="str">
        <x:v>Diploma Tiga</x:v>
      </x:c>
      <x:c r="F3908" s="18" t="n">
        <x:v>12</x:v>
      </x:c>
      <x:c r="G3908" s="18" t="n">
        <x:v>8</x:v>
      </x:c>
      <x:c r="H3908" s="19" t="n">
        <x:v>0.6666666666666666</x:v>
      </x:c>
      <x:c r="I3908" s="18" t="n">
        <x:f>ROUND(MIN(Model_Config_v3!$B$6,MAX(Q3908,R3908,S3908*Model_Config_v3!$B$4+T3908*Model_Config_v3!$B$5)),0)</x:f>
        <x:v>600</x:v>
      </x:c>
      <x:c r="J3908" s="18" t="n">
        <x:f>MIN(Model_Config_v3!$B$6,I3908+Model_Config_v3!$B$7)</x:f>
        <x:v>620</x:v>
      </x:c>
      <x:c r="K3908" s="20" t="n">
        <x:v>37.1</x:v>
      </x:c>
      <x:c r="L3908" t="str">
        <x:v>RELATIF LONGGAR</x:v>
      </x:c>
      <x:c r="M3908" t="str">
        <x:v>SEDANG</x:v>
      </x:c>
      <x:c r="N3908" t="str">
        <x:v>REGULER</x:v>
      </x:c>
      <x:c r="O3908" t="str">
        <x:v>SAINTEK</x:v>
      </x:c>
      <x:c r="P3908" t="str">
        <x:v>UMUM</x:v>
      </x:c>
      <x:c r="Q3908" s="18" t="n">
        <x:v>0</x:v>
      </x:c>
      <x:c r="R3908" s="18" t="n">
        <x:v>0</x:v>
      </x:c>
      <x:c r="S3908" s="18" t="n">
        <x:v>520</x:v>
      </x:c>
      <x:c r="T3908" s="18" t="n">
        <x:v>634</x:v>
      </x:c>
      <x:c r="U3908" s="18" t="n">
        <x:v>520</x:v>
      </x:c>
      <x:c r="V3908" s="20" t="n">
        <x:v>12</x:v>
      </x:c>
      <x:c r="W3908" s="20" t="n">
        <x:v>5</x:v>
      </x:c>
      <x:c r="X3908" s="20" t="n">
        <x:v>3</x:v>
      </x:c>
      <x:c r="Y3908" t="str">
        <x:v>Basis arsip 2025/2024</x:v>
      </x:c>
      <x:c r="Z3908" t="str">
        <x:v>https://snpmb.id/utbk-snbt/daya-tampung-snbt</x:v>
      </x:c>
      <x:c r="AA3908" t="str">
        <x:v>Tidak Ada</x:v>
      </x:c>
      <x:c r="AB3908" t="str">
        <x:v>Campus=55; Ratio=0.0; Prodi=40; RelDemand=8.1; Capacity=90.0</x:v>
      </x:c>
    </x:row>
    <x:row r="3909">
      <x:c r="A3909" t="n">
        <x:v>3906</x:v>
      </x:c>
      <x:c r="B3909" t="str">
        <x:v>PTN Vokasi</x:v>
      </x:c>
      <x:c r="C3909" t="str">
        <x:v>POLITEKNIK NEGERI LHOKSEUMAWE</x:v>
      </x:c>
      <x:c r="D3909" t="str">
        <x:v>AKUNTANSI</x:v>
      </x:c>
      <x:c r="E3909" t="str">
        <x:v>Diploma Tiga</x:v>
      </x:c>
      <x:c r="F3909" s="18" t="n">
        <x:v>34</x:v>
      </x:c>
      <x:c r="G3909" s="18" t="n">
        <x:v>150</x:v>
      </x:c>
      <x:c r="H3909" s="19" t="n">
        <x:v>4.411764705882353</x:v>
      </x:c>
      <x:c r="I3909" s="18" t="n">
        <x:f>ROUND(MIN(Model_Config_v3!$B$6,MAX(Q3909,R3909,S3909*Model_Config_v3!$B$4+T3909*Model_Config_v3!$B$5)),0)</x:f>
        <x:v>646</x:v>
      </x:c>
      <x:c r="J3909" s="18" t="n">
        <x:f>MIN(Model_Config_v3!$B$6,I3909+Model_Config_v3!$B$7)</x:f>
        <x:v>666</x:v>
      </x:c>
      <x:c r="K3909" s="20" t="n">
        <x:v>54.3</x:v>
      </x:c>
      <x:c r="L3909" t="str">
        <x:v>MENENGAH</x:v>
      </x:c>
      <x:c r="M3909" t="str">
        <x:v>SEDANG+</x:v>
      </x:c>
      <x:c r="N3909" t="str">
        <x:v>REGULER</x:v>
      </x:c>
      <x:c r="O3909" t="str">
        <x:v>SOSHUM</x:v>
      </x:c>
      <x:c r="P3909" t="str">
        <x:v>BISNIS/EKONOMI/AKUNTANSI</x:v>
      </x:c>
      <x:c r="Q3909" s="18" t="n">
        <x:v>0</x:v>
      </x:c>
      <x:c r="R3909" s="18" t="n">
        <x:v>0</x:v>
      </x:c>
      <x:c r="S3909" s="18" t="n">
        <x:v>590.9073576214769</x:v>
      </x:c>
      <x:c r="T3909" s="18" t="n">
        <x:v>669</x:v>
      </x:c>
      <x:c r="U3909" s="18" t="n">
        <x:v>590.9073576214769</x:v>
      </x:c>
      <x:c r="V3909" s="20" t="n">
        <x:v>4.4</x:v>
      </x:c>
      <x:c r="W3909" s="20" t="n">
        <x:v>14.3</x:v>
      </x:c>
      <x:c r="X3909" s="20" t="n">
        <x:v>3.3</x:v>
      </x:c>
      <x:c r="Y3909" t="str">
        <x:v>Basis arsip 2025/2024</x:v>
      </x:c>
      <x:c r="Z3909" t="str">
        <x:v>https://snpmb.id/utbk-snbt/daya-tampung-snbt</x:v>
      </x:c>
      <x:c r="AA3909" t="str">
        <x:v>Tidak Ada</x:v>
      </x:c>
      <x:c r="AB3909" t="str">
        <x:v>Campus=55; Ratio=37.9; Prodi=65; RelDemand=53.6; Capacity=71.7</x:v>
      </x:c>
    </x:row>
    <x:row r="3910">
      <x:c r="A3910" t="n">
        <x:v>3907</x:v>
      </x:c>
      <x:c r="B3910" t="str">
        <x:v>PTN Vokasi</x:v>
      </x:c>
      <x:c r="C3910" t="str">
        <x:v>POLITEKNIK NEGERI LHOKSEUMAWE</x:v>
      </x:c>
      <x:c r="D3910" t="str">
        <x:v>TEKNOLOGI ELEKTRONIKA</x:v>
      </x:c>
      <x:c r="E3910" t="str">
        <x:v>Diploma Tiga</x:v>
      </x:c>
      <x:c r="F3910" s="18" t="n">
        <x:v>23</x:v>
      </x:c>
      <x:c r="G3910" s="18" t="n">
        <x:v>73</x:v>
      </x:c>
      <x:c r="H3910" s="19" t="n">
        <x:v>3.1739130434782608</x:v>
      </x:c>
      <x:c r="I3910" s="18" t="n">
        <x:f>ROUND(MIN(Model_Config_v3!$B$6,MAX(Q3910,R3910,S3910*Model_Config_v3!$B$4+T3910*Model_Config_v3!$B$5)),0)</x:f>
        <x:v>630</x:v>
      </x:c>
      <x:c r="J3910" s="18" t="n">
        <x:f>MIN(Model_Config_v3!$B$6,I3910+Model_Config_v3!$B$7)</x:f>
        <x:v>650</x:v>
      </x:c>
      <x:c r="K3910" s="20" t="n">
        <x:v>46.6</x:v>
      </x:c>
      <x:c r="L3910" t="str">
        <x:v>MENENGAH</x:v>
      </x:c>
      <x:c r="M3910" t="str">
        <x:v>SEDANG</x:v>
      </x:c>
      <x:c r="N3910" t="str">
        <x:v>REGULER</x:v>
      </x:c>
      <x:c r="O3910" t="str">
        <x:v>SAINTEK</x:v>
      </x:c>
      <x:c r="P3910" t="str">
        <x:v>UMUM</x:v>
      </x:c>
      <x:c r="Q3910" s="18" t="n">
        <x:v>0</x:v>
      </x:c>
      <x:c r="R3910" s="18" t="n">
        <x:v>0</x:v>
      </x:c>
      <x:c r="S3910" s="18" t="n">
        <x:v>575.1754526513149</x:v>
      </x:c>
      <x:c r="T3910" s="18" t="n">
        <x:v>653</x:v>
      </x:c>
      <x:c r="U3910" s="18" t="n">
        <x:v>575.1754526513149</x:v>
      </x:c>
      <x:c r="V3910" s="20" t="n">
        <x:v>12</x:v>
      </x:c>
      <x:c r="W3910" s="20" t="n">
        <x:v>5</x:v>
      </x:c>
      <x:c r="X3910" s="20" t="n">
        <x:v>3</x:v>
      </x:c>
      <x:c r="Y3910" t="str">
        <x:v>Basis arsip 2025/2024</x:v>
      </x:c>
      <x:c r="Z3910" t="str">
        <x:v>https://snpmb.id/utbk-snbt/daya-tampung-snbt</x:v>
      </x:c>
      <x:c r="AA3910" t="str">
        <x:v>Tidak Ada</x:v>
      </x:c>
      <x:c r="AB3910" t="str">
        <x:v>Campus=55; Ratio=29.5; Prodi=40; RelDemand=38.6; Capacity=80.8</x:v>
      </x:c>
    </x:row>
    <x:row r="3911">
      <x:c r="A3911" t="n">
        <x:v>3908</x:v>
      </x:c>
      <x:c r="B3911" t="str">
        <x:v>PTN Vokasi</x:v>
      </x:c>
      <x:c r="C3911" t="str">
        <x:v>POLITEKNIK NEGERI LHOKSEUMAWE</x:v>
      </x:c>
      <x:c r="D3911" t="str">
        <x:v>TEKNOLOGI KONSTRUKSI JALAN DAN JEMBATAN</x:v>
      </x:c>
      <x:c r="E3911" t="str">
        <x:v>Diploma Tiga</x:v>
      </x:c>
      <x:c r="F3911" s="18" t="n">
        <x:v>12</x:v>
      </x:c>
      <x:c r="G3911" s="18" t="n">
        <x:v>27</x:v>
      </x:c>
      <x:c r="H3911" s="19" t="n">
        <x:v>2.25</x:v>
      </x:c>
      <x:c r="I3911" s="18" t="n">
        <x:f>ROUND(MIN(Model_Config_v3!$B$6,MAX(Q3911,R3911,S3911*Model_Config_v3!$B$4+T3911*Model_Config_v3!$B$5)),0)</x:f>
        <x:v>621</x:v>
      </x:c>
      <x:c r="J3911" s="18" t="n">
        <x:f>MIN(Model_Config_v3!$B$6,I3911+Model_Config_v3!$B$7)</x:f>
        <x:v>641</x:v>
      </x:c>
      <x:c r="K3911" s="20" t="n">
        <x:v>44.2</x:v>
      </x:c>
      <x:c r="L3911" t="str">
        <x:v>RELATIF LONGGAR</x:v>
      </x:c>
      <x:c r="M3911" t="str">
        <x:v>SEDANG</x:v>
      </x:c>
      <x:c r="N3911" t="str">
        <x:v>REGULER</x:v>
      </x:c>
      <x:c r="O3911" t="str">
        <x:v>SAINTEK</x:v>
      </x:c>
      <x:c r="P3911" t="str">
        <x:v>UMUM</x:v>
      </x:c>
      <x:c r="Q3911" s="18" t="n">
        <x:v>0</x:v>
      </x:c>
      <x:c r="R3911" s="18" t="n">
        <x:v>0</x:v>
      </x:c>
      <x:c r="S3911" s="18" t="n">
        <x:v>558.7400769922499</x:v>
      </x:c>
      <x:c r="T3911" s="18" t="n">
        <x:v>648</x:v>
      </x:c>
      <x:c r="U3911" s="18" t="n">
        <x:v>558.7400769922499</x:v>
      </x:c>
      <x:c r="V3911" s="20" t="n">
        <x:v>12</x:v>
      </x:c>
      <x:c r="W3911" s="20" t="n">
        <x:v>5</x:v>
      </x:c>
      <x:c r="X3911" s="20" t="n">
        <x:v>3</x:v>
      </x:c>
      <x:c r="Y3911" t="str">
        <x:v>Basis arsip 2025/2024</x:v>
      </x:c>
      <x:c r="Z3911" t="str">
        <x:v>https://snpmb.id/utbk-snbt/daya-tampung-snbt</x:v>
      </x:c>
      <x:c r="AA3911" t="str">
        <x:v>Tidak Ada</x:v>
      </x:c>
      <x:c r="AB3911" t="str">
        <x:v>Campus=55; Ratio=20.7; Prodi=40; RelDemand=27.3; Capacity=90.0</x:v>
      </x:c>
    </x:row>
    <x:row r="3912">
      <x:c r="A3912" t="n">
        <x:v>3909</x:v>
      </x:c>
      <x:c r="B3912" t="str">
        <x:v>PTN Vokasi</x:v>
      </x:c>
      <x:c r="C3912" t="str">
        <x:v>POLITEKNIK NEGERI LHOKSEUMAWE</x:v>
      </x:c>
      <x:c r="D3912" t="str">
        <x:v>TEKNOLOGI PENGOLAHAN MINYAK DAN GAS</x:v>
      </x:c>
      <x:c r="E3912" t="str">
        <x:v>Diploma Tiga</x:v>
      </x:c>
      <x:c r="F3912" s="18" t="n">
        <x:v>12</x:v>
      </x:c>
      <x:c r="G3912" s="18" t="n">
        <x:v>401</x:v>
      </x:c>
      <x:c r="H3912" s="19" t="n">
        <x:v>33.416666666666664</x:v>
      </x:c>
      <x:c r="I3912" s="18" t="n">
        <x:f>ROUND(MIN(Model_Config_v3!$B$6,MAX(Q3912,R3912,S3912*Model_Config_v3!$B$4+T3912*Model_Config_v3!$B$5)),0)</x:f>
        <x:v>694</x:v>
      </x:c>
      <x:c r="J3912" s="18" t="n">
        <x:f>MIN(Model_Config_v3!$B$6,I3912+Model_Config_v3!$B$7)</x:f>
        <x:v>714</x:v>
      </x:c>
      <x:c r="K3912" s="20" t="n">
        <x:v>68.7</x:v>
      </x:c>
      <x:c r="L3912" t="str">
        <x:v>SANGAT KETAT</x:v>
      </x:c>
      <x:c r="M3912" t="str">
        <x:v>SEDANG</x:v>
      </x:c>
      <x:c r="N3912" t="str">
        <x:v>REGULER</x:v>
      </x:c>
      <x:c r="O3912" t="str">
        <x:v>SAINTEK</x:v>
      </x:c>
      <x:c r="P3912" t="str">
        <x:v>UMUM</x:v>
      </x:c>
      <x:c r="Q3912" s="18" t="n">
        <x:v>0</x:v>
      </x:c>
      <x:c r="R3912" s="18" t="n">
        <x:v>0</x:v>
      </x:c>
      <x:c r="S3912" s="18" t="n">
        <x:v>687.6359439229814</x:v>
      </x:c>
      <x:c r="T3912" s="18" t="n">
        <x:v>697</x:v>
      </x:c>
      <x:c r="U3912" s="18" t="n">
        <x:v>687.6359439229814</x:v>
      </x:c>
      <x:c r="V3912" s="20" t="n">
        <x:v>12</x:v>
      </x:c>
      <x:c r="W3912" s="20" t="n">
        <x:v>5</x:v>
      </x:c>
      <x:c r="X3912" s="20" t="n">
        <x:v>3</x:v>
      </x:c>
      <x:c r="Y3912" t="str">
        <x:v>Basis arsip 2025/2024</x:v>
      </x:c>
      <x:c r="Z3912" t="str">
        <x:v>https://snpmb.id/utbk-snbt/daya-tampung-snbt</x:v>
      </x:c>
      <x:c r="AA3912" t="str">
        <x:v>Tidak Ada</x:v>
      </x:c>
      <x:c r="AB3912" t="str">
        <x:v>Campus=55; Ratio=89.7; Prodi=40; RelDemand=100.0; Capacity=90.0</x:v>
      </x:c>
    </x:row>
    <x:row r="3913">
      <x:c r="A3913" t="n">
        <x:v>3910</x:v>
      </x:c>
      <x:c r="B3913" t="str">
        <x:v>PTN Vokasi</x:v>
      </x:c>
      <x:c r="C3913" t="str">
        <x:v>POLITEKNIK NEGERI LHOKSEUMAWE</x:v>
      </x:c>
      <x:c r="D3913" t="str">
        <x:v>TEKNOLOGI MESIN</x:v>
      </x:c>
      <x:c r="E3913" t="str">
        <x:v>Diploma Tiga</x:v>
      </x:c>
      <x:c r="F3913" s="18" t="n">
        <x:v>36</x:v>
      </x:c>
      <x:c r="G3913" s="18" t="n">
        <x:v>143</x:v>
      </x:c>
      <x:c r="H3913" s="19" t="n">
        <x:v>3.9722222222222223</x:v>
      </x:c>
      <x:c r="I3913" s="18" t="n">
        <x:f>ROUND(MIN(Model_Config_v3!$B$6,MAX(Q3913,R3913,S3913*Model_Config_v3!$B$4+T3913*Model_Config_v3!$B$5)),0)</x:f>
        <x:v>635</x:v>
      </x:c>
      <x:c r="J3913" s="18" t="n">
        <x:f>MIN(Model_Config_v3!$B$6,I3913+Model_Config_v3!$B$7)</x:f>
        <x:v>655</x:v>
      </x:c>
      <x:c r="K3913" s="20" t="n">
        <x:v>47.9</x:v>
      </x:c>
      <x:c r="L3913" t="str">
        <x:v>MENENGAH</x:v>
      </x:c>
      <x:c r="M3913" t="str">
        <x:v>SEDANG</x:v>
      </x:c>
      <x:c r="N3913" t="str">
        <x:v>REGULER</x:v>
      </x:c>
      <x:c r="O3913" t="str">
        <x:v>SAINTEK</x:v>
      </x:c>
      <x:c r="P3913" t="str">
        <x:v>UMUM</x:v>
      </x:c>
      <x:c r="Q3913" s="18" t="n">
        <x:v>0</x:v>
      </x:c>
      <x:c r="R3913" s="18" t="n">
        <x:v>0</x:v>
      </x:c>
      <x:c r="S3913" s="18" t="n">
        <x:v>585.8936890367552</x:v>
      </x:c>
      <x:c r="T3913" s="18" t="n">
        <x:v>656</x:v>
      </x:c>
      <x:c r="U3913" s="18" t="n">
        <x:v>585.8936890367552</x:v>
      </x:c>
      <x:c r="V3913" s="20" t="n">
        <x:v>12</x:v>
      </x:c>
      <x:c r="W3913" s="20" t="n">
        <x:v>5</x:v>
      </x:c>
      <x:c r="X3913" s="20" t="n">
        <x:v>3</x:v>
      </x:c>
      <x:c r="Y3913" t="str">
        <x:v>Basis arsip 2025/2024</x:v>
      </x:c>
      <x:c r="Z3913" t="str">
        <x:v>https://snpmb.id/utbk-snbt/daya-tampung-snbt</x:v>
      </x:c>
      <x:c r="AA3913" t="str">
        <x:v>Tidak Ada</x:v>
      </x:c>
      <x:c r="AB3913" t="str">
        <x:v>Campus=55; Ratio=35.3; Prodi=40; RelDemand=48.3; Capacity=70.0</x:v>
      </x:c>
    </x:row>
    <x:row r="3914">
      <x:c r="A3914" t="n">
        <x:v>3911</x:v>
      </x:c>
      <x:c r="B3914" t="str">
        <x:v>PTN Vokasi</x:v>
      </x:c>
      <x:c r="C3914" t="str">
        <x:v>POLITEKNIK NEGERI LHOKSEUMAWE</x:v>
      </x:c>
      <x:c r="D3914" t="str">
        <x:v>TEKNOLOGI TELEKOMUNIKASI</x:v>
      </x:c>
      <x:c r="E3914" t="str">
        <x:v>Diploma Tiga</x:v>
      </x:c>
      <x:c r="F3914" s="18" t="n">
        <x:v>23</x:v>
      </x:c>
      <x:c r="G3914" s="18" t="n">
        <x:v>73</x:v>
      </x:c>
      <x:c r="H3914" s="19" t="n">
        <x:v>3.1739130434782608</x:v>
      </x:c>
      <x:c r="I3914" s="18" t="n">
        <x:f>ROUND(MIN(Model_Config_v3!$B$6,MAX(Q3914,R3914,S3914*Model_Config_v3!$B$4+T3914*Model_Config_v3!$B$5)),0)</x:f>
        <x:v>630</x:v>
      </x:c>
      <x:c r="J3914" s="18" t="n">
        <x:f>MIN(Model_Config_v3!$B$6,I3914+Model_Config_v3!$B$7)</x:f>
        <x:v>650</x:v>
      </x:c>
      <x:c r="K3914" s="20" t="n">
        <x:v>46.6</x:v>
      </x:c>
      <x:c r="L3914" t="str">
        <x:v>MENENGAH</x:v>
      </x:c>
      <x:c r="M3914" t="str">
        <x:v>SEDANG</x:v>
      </x:c>
      <x:c r="N3914" t="str">
        <x:v>REGULER</x:v>
      </x:c>
      <x:c r="O3914" t="str">
        <x:v>SAINTEK</x:v>
      </x:c>
      <x:c r="P3914" t="str">
        <x:v>UMUM</x:v>
      </x:c>
      <x:c r="Q3914" s="18" t="n">
        <x:v>0</x:v>
      </x:c>
      <x:c r="R3914" s="18" t="n">
        <x:v>0</x:v>
      </x:c>
      <x:c r="S3914" s="18" t="n">
        <x:v>575.1754526513149</x:v>
      </x:c>
      <x:c r="T3914" s="18" t="n">
        <x:v>653</x:v>
      </x:c>
      <x:c r="U3914" s="18" t="n">
        <x:v>575.1754526513149</x:v>
      </x:c>
      <x:c r="V3914" s="20" t="n">
        <x:v>12</x:v>
      </x:c>
      <x:c r="W3914" s="20" t="n">
        <x:v>5</x:v>
      </x:c>
      <x:c r="X3914" s="20" t="n">
        <x:v>3</x:v>
      </x:c>
      <x:c r="Y3914" t="str">
        <x:v>Basis arsip 2025/2024</x:v>
      </x:c>
      <x:c r="Z3914" t="str">
        <x:v>https://snpmb.id/utbk-snbt/daya-tampung-snbt</x:v>
      </x:c>
      <x:c r="AA3914" t="str">
        <x:v>Tidak Ada</x:v>
      </x:c>
      <x:c r="AB3914" t="str">
        <x:v>Campus=55; Ratio=29.5; Prodi=40; RelDemand=38.6; Capacity=80.8</x:v>
      </x:c>
    </x:row>
    <x:row r="3915">
      <x:c r="A3915" t="n">
        <x:v>3912</x:v>
      </x:c>
      <x:c r="B3915" t="str">
        <x:v>PTN Vokasi</x:v>
      </x:c>
      <x:c r="C3915" t="str">
        <x:v>POLITEKNIK NEGERI LHOKSEUMAWE</x:v>
      </x:c>
      <x:c r="D3915" t="str">
        <x:v>ADMINISTRASI BISNIS</x:v>
      </x:c>
      <x:c r="E3915" t="str">
        <x:v>Diploma Tiga</x:v>
      </x:c>
      <x:c r="F3915" s="18" t="n">
        <x:v>34</x:v>
      </x:c>
      <x:c r="G3915" s="18" t="n">
        <x:v>254</x:v>
      </x:c>
      <x:c r="H3915" s="19" t="n">
        <x:v>7.470588235294118</x:v>
      </x:c>
      <x:c r="I3915" s="18" t="n">
        <x:f>ROUND(MIN(Model_Config_v3!$B$6,MAX(Q3915,R3915,S3915*Model_Config_v3!$B$4+T3915*Model_Config_v3!$B$5)),0)</x:f>
        <x:v>663</x:v>
      </x:c>
      <x:c r="J3915" s="18" t="n">
        <x:f>MIN(Model_Config_v3!$B$6,I3915+Model_Config_v3!$B$7)</x:f>
        <x:v>683</x:v>
      </x:c>
      <x:c r="K3915" s="20" t="n">
        <x:v>61.3</x:v>
      </x:c>
      <x:c r="L3915" t="str">
        <x:v>KETAT</x:v>
      </x:c>
      <x:c r="M3915" t="str">
        <x:v>SEDANG+</x:v>
      </x:c>
      <x:c r="N3915" t="str">
        <x:v>REGULER</x:v>
      </x:c>
      <x:c r="O3915" t="str">
        <x:v>SOSHUM</x:v>
      </x:c>
      <x:c r="P3915" t="str">
        <x:v>BISNIS/EKONOMI/AKUNTANSI</x:v>
      </x:c>
      <x:c r="Q3915" s="18" t="n">
        <x:v>0</x:v>
      </x:c>
      <x:c r="R3915" s="18" t="n">
        <x:v>0</x:v>
      </x:c>
      <x:c r="S3915" s="18" t="n">
        <x:v>616.0690279535451</x:v>
      </x:c>
      <x:c r="T3915" s="18" t="n">
        <x:v>683</x:v>
      </x:c>
      <x:c r="U3915" s="18" t="n">
        <x:v>631.0690279535451</x:v>
      </x:c>
      <x:c r="V3915" s="20" t="n">
        <x:v>4.4</x:v>
      </x:c>
      <x:c r="W3915" s="20" t="n">
        <x:v>14.3</x:v>
      </x:c>
      <x:c r="X3915" s="20" t="n">
        <x:v>3.3</x:v>
      </x:c>
      <x:c r="Y3915" t="str">
        <x:v>Basis arsip 2025/2024</x:v>
      </x:c>
      <x:c r="Z3915" t="str">
        <x:v>https://snpmb.id/utbk-snbt/daya-tampung-snbt</x:v>
      </x:c>
      <x:c r="AA3915" t="str">
        <x:v>Tidak Ada</x:v>
      </x:c>
      <x:c r="AB3915" t="str">
        <x:v>Campus=55; Ratio=51.4; Prodi=65; RelDemand=90.8; Capacity=71.7</x:v>
      </x:c>
    </x:row>
    <x:row r="3916">
      <x:c r="A3916" t="n">
        <x:v>3913</x:v>
      </x:c>
      <x:c r="B3916" t="str">
        <x:v>PTN Vokasi</x:v>
      </x:c>
      <x:c r="C3916" t="str">
        <x:v>POLITEKNIK NEGERI LHOKSEUMAWE</x:v>
      </x:c>
      <x:c r="D3916" t="str">
        <x:v>TEKNOLOGI LISTRIK</x:v>
      </x:c>
      <x:c r="E3916" t="str">
        <x:v>Diploma Tiga</x:v>
      </x:c>
      <x:c r="F3916" s="18" t="n">
        <x:v>23</x:v>
      </x:c>
      <x:c r="G3916" s="18" t="n">
        <x:v>51</x:v>
      </x:c>
      <x:c r="H3916" s="19" t="n">
        <x:v>2.217391304347826</x:v>
      </x:c>
      <x:c r="I3916" s="18" t="n">
        <x:f>ROUND(MIN(Model_Config_v3!$B$6,MAX(Q3916,R3916,S3916*Model_Config_v3!$B$4+T3916*Model_Config_v3!$B$5)),0)</x:f>
        <x:v>620</x:v>
      </x:c>
      <x:c r="J3916" s="18" t="n">
        <x:f>MIN(Model_Config_v3!$B$6,I3916+Model_Config_v3!$B$7)</x:f>
        <x:v>640</x:v>
      </x:c>
      <x:c r="K3916" s="20" t="n">
        <x:v>43.1</x:v>
      </x:c>
      <x:c r="L3916" t="str">
        <x:v>RELATIF LONGGAR</x:v>
      </x:c>
      <x:c r="M3916" t="str">
        <x:v>SEDANG</x:v>
      </x:c>
      <x:c r="N3916" t="str">
        <x:v>REGULER</x:v>
      </x:c>
      <x:c r="O3916" t="str">
        <x:v>SAINTEK</x:v>
      </x:c>
      <x:c r="P3916" t="str">
        <x:v>UMUM</x:v>
      </x:c>
      <x:c r="Q3916" s="18" t="n">
        <x:v>0</x:v>
      </x:c>
      <x:c r="R3916" s="18" t="n">
        <x:v>0</x:v>
      </x:c>
      <x:c r="S3916" s="18" t="n">
        <x:v>558.0426574088378</x:v>
      </x:c>
      <x:c r="T3916" s="18" t="n">
        <x:v>646</x:v>
      </x:c>
      <x:c r="U3916" s="18" t="n">
        <x:v>558.0426574088378</x:v>
      </x:c>
      <x:c r="V3916" s="20" t="n">
        <x:v>12</x:v>
      </x:c>
      <x:c r="W3916" s="20" t="n">
        <x:v>5</x:v>
      </x:c>
      <x:c r="X3916" s="20" t="n">
        <x:v>3</x:v>
      </x:c>
      <x:c r="Y3916" t="str">
        <x:v>Basis arsip 2025/2024</x:v>
      </x:c>
      <x:c r="Z3916" t="str">
        <x:v>https://snpmb.id/utbk-snbt/daya-tampung-snbt</x:v>
      </x:c>
      <x:c r="AA3916" t="str">
        <x:v>Tidak Ada</x:v>
      </x:c>
      <x:c r="AB3916" t="str">
        <x:v>Campus=55; Ratio=20.4; Prodi=40; RelDemand=26.9; Capacity=80.8</x:v>
      </x:c>
    </x:row>
    <x:row r="3917">
      <x:c r="A3917" t="n">
        <x:v>3914</x:v>
      </x:c>
      <x:c r="B3917" t="str">
        <x:v>PTN Vokasi</x:v>
      </x:c>
      <x:c r="C3917" t="str">
        <x:v>POLITEKNIK NEGERI LHOKSEUMAWE</x:v>
      </x:c>
      <x:c r="D3917" t="str">
        <x:v>TEKNOLOGI KIMIA</x:v>
      </x:c>
      <x:c r="E3917" t="str">
        <x:v>Diploma Tiga</x:v>
      </x:c>
      <x:c r="F3917" s="18" t="n">
        <x:v>36</x:v>
      </x:c>
      <x:c r="G3917" s="18" t="n">
        <x:v>74</x:v>
      </x:c>
      <x:c r="H3917" s="19" t="n">
        <x:v>2.0555555555555554</x:v>
      </x:c>
      <x:c r="I3917" s="18" t="n">
        <x:f>ROUND(MIN(Model_Config_v3!$B$6,MAX(Q3917,R3917,S3917*Model_Config_v3!$B$4+T3917*Model_Config_v3!$B$5)),0)</x:f>
        <x:v>619</x:v>
      </x:c>
      <x:c r="J3917" s="18" t="n">
        <x:f>MIN(Model_Config_v3!$B$6,I3917+Model_Config_v3!$B$7)</x:f>
        <x:v>639</x:v>
      </x:c>
      <x:c r="K3917" s="20" t="n">
        <x:v>43.4</x:v>
      </x:c>
      <x:c r="L3917" t="str">
        <x:v>RELATIF LONGGAR</x:v>
      </x:c>
      <x:c r="M3917" t="str">
        <x:v>SEDANG+</x:v>
      </x:c>
      <x:c r="N3917" t="str">
        <x:v>REGULER</x:v>
      </x:c>
      <x:c r="O3917" t="str">
        <x:v>SAINTEK</x:v>
      </x:c>
      <x:c r="P3917" t="str">
        <x:v>SAINS DASAR</x:v>
      </x:c>
      <x:c r="Q3917" s="18" t="n">
        <x:v>0</x:v>
      </x:c>
      <x:c r="R3917" s="18" t="n">
        <x:v>0</x:v>
      </x:c>
      <x:c r="S3917" s="18" t="n">
        <x:v>554.4222140860057</x:v>
      </x:c>
      <x:c r="T3917" s="18" t="n">
        <x:v>647</x:v>
      </x:c>
      <x:c r="U3917" s="18" t="n">
        <x:v>554.4222140860057</x:v>
      </x:c>
      <x:c r="V3917" s="20" t="n">
        <x:v>12</x:v>
      </x:c>
      <x:c r="W3917" s="20" t="n">
        <x:v>5</x:v>
      </x:c>
      <x:c r="X3917" s="20" t="n">
        <x:v>3</x:v>
      </x:c>
      <x:c r="Y3917" t="str">
        <x:v>Basis arsip 2025/2024</x:v>
      </x:c>
      <x:c r="Z3917" t="str">
        <x:v>https://snpmb.id/utbk-snbt/daya-tampung-snbt</x:v>
      </x:c>
      <x:c r="AA3917" t="str">
        <x:v>Tidak Ada</x:v>
      </x:c>
      <x:c r="AB3917" t="str">
        <x:v>Campus=55; Ratio=18.4; Prodi=50; RelDemand=25.0; Capacity=70.0</x:v>
      </x:c>
    </x:row>
    <x:row r="3918">
      <x:c r="A3918" t="n">
        <x:v>3915</x:v>
      </x:c>
      <x:c r="B3918" t="str">
        <x:v>PTN Vokasi</x:v>
      </x:c>
      <x:c r="C3918" t="str">
        <x:v>POLITEKNIK NEGERI MEDAN</x:v>
      </x:c>
      <x:c r="D3918" t="str">
        <x:v>TEKNIK PERANCANGAN JALAN DAN JEMBATAN</x:v>
      </x:c>
      <x:c r="E3918" t="str">
        <x:v>Sarjana Terapan</x:v>
      </x:c>
      <x:c r="F3918" s="18" t="n">
        <x:v>45</x:v>
      </x:c>
      <x:c r="G3918" s="18" t="n">
        <x:v>394</x:v>
      </x:c>
      <x:c r="H3918" s="19" t="n">
        <x:v>8.755555555555556</x:v>
      </x:c>
      <x:c r="I3918" s="18" t="n">
        <x:f>ROUND(MIN(Model_Config_v3!$B$6,MAX(Q3918,R3918,S3918*Model_Config_v3!$B$4+T3918*Model_Config_v3!$B$5)),0)</x:f>
        <x:v>656</x:v>
      </x:c>
      <x:c r="J3918" s="18" t="n">
        <x:f>MIN(Model_Config_v3!$B$6,I3918+Model_Config_v3!$B$7)</x:f>
        <x:v>676</x:v>
      </x:c>
      <x:c r="K3918" s="20" t="n">
        <x:v>54.8</x:v>
      </x:c>
      <x:c r="L3918" t="str">
        <x:v>MENENGAH</x:v>
      </x:c>
      <x:c r="M3918" t="str">
        <x:v>SEDANG+</x:v>
      </x:c>
      <x:c r="N3918" t="str">
        <x:v>REGULER</x:v>
      </x:c>
      <x:c r="O3918" t="str">
        <x:v>SAINTEK</x:v>
      </x:c>
      <x:c r="P3918" t="str">
        <x:v>TEKNIK/ARSITEKTUR/STATISTIKA/AKTUARIA</x:v>
      </x:c>
      <x:c r="Q3918" s="18" t="n">
        <x:v>0</x:v>
      </x:c>
      <x:c r="R3918" s="18" t="n">
        <x:v>0</x:v>
      </x:c>
      <x:c r="S3918" s="18" t="n">
        <x:v>623.6512078855253</x:v>
      </x:c>
      <x:c r="T3918" s="18" t="n">
        <x:v>670</x:v>
      </x:c>
      <x:c r="U3918" s="18" t="n">
        <x:v>633.6512078855253</x:v>
      </x:c>
      <x:c r="V3918" s="20" t="n">
        <x:v>12</x:v>
      </x:c>
      <x:c r="W3918" s="20" t="n">
        <x:v>5</x:v>
      </x:c>
      <x:c r="X3918" s="20" t="n">
        <x:v>3</x:v>
      </x:c>
      <x:c r="Y3918" t="str">
        <x:v>Basis arsip 2025/2024</x:v>
      </x:c>
      <x:c r="Z3918" t="str">
        <x:v>https://snpmb.id/utbk-snbt/daya-tampung-snbt</x:v>
      </x:c>
      <x:c r="AA3918" t="str">
        <x:v>Tidak Ada</x:v>
      </x:c>
      <x:c r="AB3918" t="str">
        <x:v>Campus=55; Ratio=55.5; Prodi=60; RelDemand=34.6; Capacity=62.5</x:v>
      </x:c>
    </x:row>
    <x:row r="3919">
      <x:c r="A3919" t="n">
        <x:v>3916</x:v>
      </x:c>
      <x:c r="B3919" t="str">
        <x:v>PTN Vokasi</x:v>
      </x:c>
      <x:c r="C3919" t="str">
        <x:v>POLITEKNIK NEGERI MEDAN</x:v>
      </x:c>
      <x:c r="D3919" t="str">
        <x:v>MANAJEMEN REKAYASA KONSTRUKSI GEDUNG</x:v>
      </x:c>
      <x:c r="E3919" t="str">
        <x:v>Sarjana Terapan</x:v>
      </x:c>
      <x:c r="F3919" s="18" t="n">
        <x:v>45</x:v>
      </x:c>
      <x:c r="G3919" s="18" t="n">
        <x:v>256</x:v>
      </x:c>
      <x:c r="H3919" s="19" t="n">
        <x:v>5.688888888888889</x:v>
      </x:c>
      <x:c r="I3919" s="18" t="n">
        <x:f>ROUND(MIN(Model_Config_v3!$B$6,MAX(Q3919,R3919,S3919*Model_Config_v3!$B$4+T3919*Model_Config_v3!$B$5)),0)</x:f>
        <x:v>646</x:v>
      </x:c>
      <x:c r="J3919" s="18" t="n">
        <x:f>MIN(Model_Config_v3!$B$6,I3919+Model_Config_v3!$B$7)</x:f>
        <x:v>666</x:v>
      </x:c>
      <x:c r="K3919" s="20" t="n">
        <x:v>51.9</x:v>
      </x:c>
      <x:c r="L3919" t="str">
        <x:v>MENENGAH</x:v>
      </x:c>
      <x:c r="M3919" t="str">
        <x:v>SEDANG+</x:v>
      </x:c>
      <x:c r="N3919" t="str">
        <x:v>REGULER</x:v>
      </x:c>
      <x:c r="O3919" t="str">
        <x:v>SOSHUM</x:v>
      </x:c>
      <x:c r="P3919" t="str">
        <x:v>BISNIS/EKONOMI/AKUNTANSI</x:v>
      </x:c>
      <x:c r="Q3919" s="18" t="n">
        <x:v>0</x:v>
      </x:c>
      <x:c r="R3919" s="18" t="n">
        <x:v>0</x:v>
      </x:c>
      <x:c r="S3919" s="18" t="n">
        <x:v>603.0530196690156</x:v>
      </x:c>
      <x:c r="T3919" s="18" t="n">
        <x:v>664</x:v>
      </x:c>
      <x:c r="U3919" s="18" t="n">
        <x:v>618.0530196690156</x:v>
      </x:c>
      <x:c r="V3919" s="20" t="n">
        <x:v>4.4</x:v>
      </x:c>
      <x:c r="W3919" s="20" t="n">
        <x:v>14.3</x:v>
      </x:c>
      <x:c r="X3919" s="20" t="n">
        <x:v>3.3</x:v>
      </x:c>
      <x:c r="Y3919" t="str">
        <x:v>Basis arsip 2025/2024</x:v>
      </x:c>
      <x:c r="Z3919" t="str">
        <x:v>https://snpmb.id/utbk-snbt/daya-tampung-snbt</x:v>
      </x:c>
      <x:c r="AA3919" t="str">
        <x:v>Tidak Ada</x:v>
      </x:c>
      <x:c r="AB3919" t="str">
        <x:v>Campus=55; Ratio=44.4; Prodi=65; RelDemand=22.5; Capacity=62.5</x:v>
      </x:c>
    </x:row>
    <x:row r="3920">
      <x:c r="A3920" t="n">
        <x:v>3917</x:v>
      </x:c>
      <x:c r="B3920" t="str">
        <x:v>PTN Vokasi</x:v>
      </x:c>
      <x:c r="C3920" t="str">
        <x:v>POLITEKNIK NEGERI MEDAN</x:v>
      </x:c>
      <x:c r="D3920" t="str">
        <x:v>TEKNIK REKAYASA PERANGKAT LUNAK</x:v>
      </x:c>
      <x:c r="E3920" t="str">
        <x:v>Sarjana Terapan</x:v>
      </x:c>
      <x:c r="F3920" s="18" t="n">
        <x:v>56</x:v>
      </x:c>
      <x:c r="G3920" s="18" t="n">
        <x:v>563</x:v>
      </x:c>
      <x:c r="H3920" s="19" t="n">
        <x:v>10.053571428571429</x:v>
      </x:c>
      <x:c r="I3920" s="18" t="n">
        <x:f>ROUND(MIN(Model_Config_v3!$B$6,MAX(Q3920,R3920,S3920*Model_Config_v3!$B$4+T3920*Model_Config_v3!$B$5)),0)</x:f>
        <x:v>659</x:v>
      </x:c>
      <x:c r="J3920" s="18" t="n">
        <x:f>MIN(Model_Config_v3!$B$6,I3920+Model_Config_v3!$B$7)</x:f>
        <x:v>679</x:v>
      </x:c>
      <x:c r="K3920" s="20" t="n">
        <x:v>55.3</x:v>
      </x:c>
      <x:c r="L3920" t="str">
        <x:v>KETAT</x:v>
      </x:c>
      <x:c r="M3920" t="str">
        <x:v>SEDANG+</x:v>
      </x:c>
      <x:c r="N3920" t="str">
        <x:v>REGULER</x:v>
      </x:c>
      <x:c r="O3920" t="str">
        <x:v>SAINTEK</x:v>
      </x:c>
      <x:c r="P3920" t="str">
        <x:v>TEKNIK/ARSITEKTUR/STATISTIKA/AKTUARIA</x:v>
      </x:c>
      <x:c r="Q3920" s="18" t="n">
        <x:v>0</x:v>
      </x:c>
      <x:c r="R3920" s="18" t="n">
        <x:v>0</x:v>
      </x:c>
      <x:c r="S3920" s="18" t="n">
        <x:v>630.2552404629661</x:v>
      </x:c>
      <x:c r="T3920" s="18" t="n">
        <x:v>671</x:v>
      </x:c>
      <x:c r="U3920" s="18" t="n">
        <x:v>640.2552404629661</x:v>
      </x:c>
      <x:c r="V3920" s="20" t="n">
        <x:v>12</x:v>
      </x:c>
      <x:c r="W3920" s="20" t="n">
        <x:v>5</x:v>
      </x:c>
      <x:c r="X3920" s="20" t="n">
        <x:v>3</x:v>
      </x:c>
      <x:c r="Y3920" t="str">
        <x:v>Basis arsip 2025/2024</x:v>
      </x:c>
      <x:c r="Z3920" t="str">
        <x:v>https://snpmb.id/utbk-snbt/daya-tampung-snbt</x:v>
      </x:c>
      <x:c r="AA3920" t="str">
        <x:v>Tidak Ada</x:v>
      </x:c>
      <x:c r="AB3920" t="str">
        <x:v>Campus=55; Ratio=59.0; Prodi=60; RelDemand=39.7; Capacity=53.3</x:v>
      </x:c>
    </x:row>
    <x:row r="3921">
      <x:c r="A3921" t="n">
        <x:v>3918</x:v>
      </x:c>
      <x:c r="B3921" t="str">
        <x:v>PTN Vokasi</x:v>
      </x:c>
      <x:c r="C3921" t="str">
        <x:v>POLITEKNIK NEGERI MEDAN</x:v>
      </x:c>
      <x:c r="D3921" t="str">
        <x:v>TEKNIK REKAYASA MULTIMEDIA GRAFIS</x:v>
      </x:c>
      <x:c r="E3921" t="str">
        <x:v>Sarjana Terapan</x:v>
      </x:c>
      <x:c r="F3921" s="18" t="n">
        <x:v>56</x:v>
      </x:c>
      <x:c r="G3921" s="18" t="n">
        <x:v>452</x:v>
      </x:c>
      <x:c r="H3921" s="19" t="n">
        <x:v>8.071428571428571</x:v>
      </x:c>
      <x:c r="I3921" s="18" t="n">
        <x:f>ROUND(MIN(Model_Config_v3!$B$6,MAX(Q3921,R3921,S3921*Model_Config_v3!$B$4+T3921*Model_Config_v3!$B$5)),0)</x:f>
        <x:v>652</x:v>
      </x:c>
      <x:c r="J3921" s="18" t="n">
        <x:f>MIN(Model_Config_v3!$B$6,I3921+Model_Config_v3!$B$7)</x:f>
        <x:v>672</x:v>
      </x:c>
      <x:c r="K3921" s="20" t="n">
        <x:v>53.1</x:v>
      </x:c>
      <x:c r="L3921" t="str">
        <x:v>MENENGAH</x:v>
      </x:c>
      <x:c r="M3921" t="str">
        <x:v>SEDANG+</x:v>
      </x:c>
      <x:c r="N3921" t="str">
        <x:v>REGULER</x:v>
      </x:c>
      <x:c r="O3921" t="str">
        <x:v>SAINTEK</x:v>
      </x:c>
      <x:c r="P3921" t="str">
        <x:v>TEKNIK/ARSITEKTUR/STATISTIKA/AKTUARIA</x:v>
      </x:c>
      <x:c r="Q3921" s="18" t="n">
        <x:v>0</x:v>
      </x:c>
      <x:c r="R3921" s="18" t="n">
        <x:v>0</x:v>
      </x:c>
      <x:c r="S3921" s="18" t="n">
        <x:v>619.7645448585699</x:v>
      </x:c>
      <x:c r="T3921" s="18" t="n">
        <x:v>666</x:v>
      </x:c>
      <x:c r="U3921" s="18" t="n">
        <x:v>629.7645448585699</x:v>
      </x:c>
      <x:c r="V3921" s="20" t="n">
        <x:v>12</x:v>
      </x:c>
      <x:c r="W3921" s="20" t="n">
        <x:v>5</x:v>
      </x:c>
      <x:c r="X3921" s="20" t="n">
        <x:v>3</x:v>
      </x:c>
      <x:c r="Y3921" t="str">
        <x:v>Basis arsip 2025/2024</x:v>
      </x:c>
      <x:c r="Z3921" t="str">
        <x:v>https://snpmb.id/utbk-snbt/daya-tampung-snbt</x:v>
      </x:c>
      <x:c r="AA3921" t="str">
        <x:v>Tidak Ada</x:v>
      </x:c>
      <x:c r="AB3921" t="str">
        <x:v>Campus=55; Ratio=53.4; Prodi=60; RelDemand=31.9; Capacity=53.3</x:v>
      </x:c>
    </x:row>
    <x:row r="3922">
      <x:c r="A3922" t="n">
        <x:v>3919</x:v>
      </x:c>
      <x:c r="B3922" t="str">
        <x:v>PTN Vokasi</x:v>
      </x:c>
      <x:c r="C3922" t="str">
        <x:v>POLITEKNIK NEGERI MEDAN</x:v>
      </x:c>
      <x:c r="D3922" t="str">
        <x:v>TEKNOLOGI REKAYASA JARINGAN TELEKOMUNIKASI</x:v>
      </x:c>
      <x:c r="E3922" t="str">
        <x:v>Sarjana Terapan</x:v>
      </x:c>
      <x:c r="F3922" s="18" t="n">
        <x:v>45</x:v>
      </x:c>
      <x:c r="G3922" s="18" t="n">
        <x:v>339</x:v>
      </x:c>
      <x:c r="H3922" s="19" t="n">
        <x:v>7.533333333333333</x:v>
      </x:c>
      <x:c r="I3922" s="18" t="n">
        <x:f>ROUND(MIN(Model_Config_v3!$B$6,MAX(Q3922,R3922,S3922*Model_Config_v3!$B$4+T3922*Model_Config_v3!$B$5)),0)</x:f>
        <x:v>646</x:v>
      </x:c>
      <x:c r="J3922" s="18" t="n">
        <x:f>MIN(Model_Config_v3!$B$6,I3922+Model_Config_v3!$B$7)</x:f>
        <x:v>666</x:v>
      </x:c>
      <x:c r="K3922" s="20" t="n">
        <x:v>49.4</x:v>
      </x:c>
      <x:c r="L3922" t="str">
        <x:v>MENENGAH</x:v>
      </x:c>
      <x:c r="M3922" t="str">
        <x:v>SEDANG</x:v>
      </x:c>
      <x:c r="N3922" t="str">
        <x:v>REGULER</x:v>
      </x:c>
      <x:c r="O3922" t="str">
        <x:v>SAINTEK</x:v>
      </x:c>
      <x:c r="P3922" t="str">
        <x:v>UMUM</x:v>
      </x:c>
      <x:c r="Q3922" s="18" t="n">
        <x:v>0</x:v>
      </x:c>
      <x:c r="R3922" s="18" t="n">
        <x:v>0</x:v>
      </x:c>
      <x:c r="S3922" s="18" t="n">
        <x:v>616.4685902870513</x:v>
      </x:c>
      <x:c r="T3922" s="18" t="n">
        <x:v>659</x:v>
      </x:c>
      <x:c r="U3922" s="18" t="n">
        <x:v>616.4685902870513</x:v>
      </x:c>
      <x:c r="V3922" s="20" t="n">
        <x:v>12</x:v>
      </x:c>
      <x:c r="W3922" s="20" t="n">
        <x:v>5</x:v>
      </x:c>
      <x:c r="X3922" s="20" t="n">
        <x:v>3</x:v>
      </x:c>
      <x:c r="Y3922" t="str">
        <x:v>Basis arsip 2025/2024</x:v>
      </x:c>
      <x:c r="Z3922" t="str">
        <x:v>https://snpmb.id/utbk-snbt/daya-tampung-snbt</x:v>
      </x:c>
      <x:c r="AA3922" t="str">
        <x:v>Tidak Ada</x:v>
      </x:c>
      <x:c r="AB3922" t="str">
        <x:v>Campus=55; Ratio=51.6; Prodi=40; RelDemand=29.8; Capacity=62.5</x:v>
      </x:c>
    </x:row>
    <x:row r="3923">
      <x:c r="A3923" t="n">
        <x:v>3920</x:v>
      </x:c>
      <x:c r="B3923" t="str">
        <x:v>PTN Vokasi</x:v>
      </x:c>
      <x:c r="C3923" t="str">
        <x:v>POLITEKNIK NEGERI MEDAN</x:v>
      </x:c>
      <x:c r="D3923" t="str">
        <x:v>TEKNOLOGI REKAYASA PENGELASAN DAN FABRIKASI</x:v>
      </x:c>
      <x:c r="E3923" t="str">
        <x:v>Sarjana Terapan</x:v>
      </x:c>
      <x:c r="F3923" s="18" t="n">
        <x:v>24</x:v>
      </x:c>
      <x:c r="G3923" s="18" t="n">
        <x:v>100</x:v>
      </x:c>
      <x:c r="H3923" s="19" t="n">
        <x:v>4.166666666666667</x:v>
      </x:c>
      <x:c r="I3923" s="18" t="n">
        <x:f>ROUND(MIN(Model_Config_v3!$B$6,MAX(Q3923,R3923,S3923*Model_Config_v3!$B$4+T3923*Model_Config_v3!$B$5)),0)</x:f>
        <x:v>633</x:v>
      </x:c>
      <x:c r="J3923" s="18" t="n">
        <x:f>MIN(Model_Config_v3!$B$6,I3923+Model_Config_v3!$B$7)</x:f>
        <x:v>653</x:v>
      </x:c>
      <x:c r="K3923" s="20" t="n">
        <x:v>46</x:v>
      </x:c>
      <x:c r="L3923" t="str">
        <x:v>MENENGAH</x:v>
      </x:c>
      <x:c r="M3923" t="str">
        <x:v>SEDANG</x:v>
      </x:c>
      <x:c r="N3923" t="str">
        <x:v>REGULER</x:v>
      </x:c>
      <x:c r="O3923" t="str">
        <x:v>SAINTEK</x:v>
      </x:c>
      <x:c r="P3923" t="str">
        <x:v>UMUM</x:v>
      </x:c>
      <x:c r="Q3923" s="18" t="n">
        <x:v>0</x:v>
      </x:c>
      <x:c r="R3923" s="18" t="n">
        <x:v>0</x:v>
      </x:c>
      <x:c r="S3923" s="18" t="n">
        <x:v>588.1767634117233</x:v>
      </x:c>
      <x:c r="T3923" s="18" t="n">
        <x:v>652</x:v>
      </x:c>
      <x:c r="U3923" s="18" t="n">
        <x:v>588.1767634117233</x:v>
      </x:c>
      <x:c r="V3923" s="20" t="n">
        <x:v>12</x:v>
      </x:c>
      <x:c r="W3923" s="20" t="n">
        <x:v>5</x:v>
      </x:c>
      <x:c r="X3923" s="20" t="n">
        <x:v>3</x:v>
      </x:c>
      <x:c r="Y3923" t="str">
        <x:v>Basis arsip 2025/2024</x:v>
      </x:c>
      <x:c r="Z3923" t="str">
        <x:v>https://snpmb.id/utbk-snbt/daya-tampung-snbt</x:v>
      </x:c>
      <x:c r="AA3923" t="str">
        <x:v>Tidak Ada</x:v>
      </x:c>
      <x:c r="AB3923" t="str">
        <x:v>Campus=55; Ratio=36.5; Prodi=40; RelDemand=16.5; Capacity=80.0</x:v>
      </x:c>
    </x:row>
    <x:row r="3924">
      <x:c r="A3924" t="n">
        <x:v>3921</x:v>
      </x:c>
      <x:c r="B3924" t="str">
        <x:v>PTN Vokasi</x:v>
      </x:c>
      <x:c r="C3924" t="str">
        <x:v>POLITEKNIK NEGERI MEDAN</x:v>
      </x:c>
      <x:c r="D3924" t="str">
        <x:v>KEUANGAN DAN PERBANKAN SYARIAH</x:v>
      </x:c>
      <x:c r="E3924" t="str">
        <x:v>Sarjana Terapan</x:v>
      </x:c>
      <x:c r="F3924" s="18" t="n">
        <x:v>34</x:v>
      </x:c>
      <x:c r="G3924" s="18" t="n">
        <x:v>583</x:v>
      </x:c>
      <x:c r="H3924" s="19" t="n">
        <x:v>17.147058823529413</x:v>
      </x:c>
      <x:c r="I3924" s="18" t="n">
        <x:f>ROUND(MIN(Model_Config_v3!$B$6,MAX(Q3924,R3924,S3924*Model_Config_v3!$B$4+T3924*Model_Config_v3!$B$5)),0)</x:f>
        <x:v>672</x:v>
      </x:c>
      <x:c r="J3924" s="18" t="n">
        <x:f>MIN(Model_Config_v3!$B$6,I3924+Model_Config_v3!$B$7)</x:f>
        <x:v>692</x:v>
      </x:c>
      <x:c r="K3924" s="20" t="n">
        <x:v>59.4</x:v>
      </x:c>
      <x:c r="L3924" t="str">
        <x:v>KETAT</x:v>
      </x:c>
      <x:c r="M3924" t="str">
        <x:v>SEDANG</x:v>
      </x:c>
      <x:c r="N3924" t="str">
        <x:v>REGULER</x:v>
      </x:c>
      <x:c r="O3924" t="str">
        <x:v>CAMPURAN</x:v>
      </x:c>
      <x:c r="P3924" t="str">
        <x:v>UMUM</x:v>
      </x:c>
      <x:c r="Q3924" s="18" t="n">
        <x:v>0</x:v>
      </x:c>
      <x:c r="R3924" s="18" t="n">
        <x:v>0</x:v>
      </x:c>
      <x:c r="S3924" s="18" t="n">
        <x:v>655.7608601488434</x:v>
      </x:c>
      <x:c r="T3924" s="18" t="n">
        <x:v>679</x:v>
      </x:c>
      <x:c r="U3924" s="18" t="n">
        <x:v>655.7608601488434</x:v>
      </x:c>
      <x:c r="V3924" s="20" t="n">
        <x:v>8.8</x:v>
      </x:c>
      <x:c r="W3924" s="20" t="n">
        <x:v>9.9</x:v>
      </x:c>
      <x:c r="X3924" s="20" t="n">
        <x:v>3.3</x:v>
      </x:c>
      <x:c r="Y3924" t="str">
        <x:v>Basis arsip 2025/2024</x:v>
      </x:c>
      <x:c r="Z3924" t="str">
        <x:v>https://snpmb.id/utbk-snbt/daya-tampung-snbt</x:v>
      </x:c>
      <x:c r="AA3924" t="str">
        <x:v>Tidak Ada</x:v>
      </x:c>
      <x:c r="AB3924" t="str">
        <x:v>Campus=55; Ratio=72.6; Prodi=40; RelDemand=67.7; Capacity=71.7</x:v>
      </x:c>
    </x:row>
    <x:row r="3925">
      <x:c r="A3925" t="n">
        <x:v>3922</x:v>
      </x:c>
      <x:c r="B3925" t="str">
        <x:v>PTN Vokasi</x:v>
      </x:c>
      <x:c r="C3925" t="str">
        <x:v>POLITEKNIK NEGERI MEDAN</x:v>
      </x:c>
      <x:c r="D3925" t="str">
        <x:v>AKUNTANSI KEUANGAN PUBLIK</x:v>
      </x:c>
      <x:c r="E3925" t="str">
        <x:v>Sarjana Terapan</x:v>
      </x:c>
      <x:c r="F3925" s="18" t="n">
        <x:v>56</x:v>
      </x:c>
      <x:c r="G3925" s="18" t="n">
        <x:v>1403</x:v>
      </x:c>
      <x:c r="H3925" s="19" t="n">
        <x:v>25.053571428571427</x:v>
      </x:c>
      <x:c r="I3925" s="18" t="n">
        <x:f>ROUND(MIN(Model_Config_v3!$B$6,MAX(Q3925,R3925,S3925*Model_Config_v3!$B$4+T3925*Model_Config_v3!$B$5)),0)</x:f>
        <x:v>689</x:v>
      </x:c>
      <x:c r="J3925" s="18" t="n">
        <x:f>MIN(Model_Config_v3!$B$6,I3925+Model_Config_v3!$B$7)</x:f>
        <x:v>709</x:v>
      </x:c>
      <x:c r="K3925" s="20" t="n">
        <x:v>68.1</x:v>
      </x:c>
      <x:c r="L3925" t="str">
        <x:v>SANGAT KETAT</x:v>
      </x:c>
      <x:c r="M3925" t="str">
        <x:v>SEDANG+</x:v>
      </x:c>
      <x:c r="N3925" t="str">
        <x:v>REGULER</x:v>
      </x:c>
      <x:c r="O3925" t="str">
        <x:v>SOSHUM</x:v>
      </x:c>
      <x:c r="P3925" t="str">
        <x:v>BISNIS/EKONOMI/AKUNTANSI</x:v>
      </x:c>
      <x:c r="Q3925" s="18" t="n">
        <x:v>0</x:v>
      </x:c>
      <x:c r="R3925" s="18" t="n">
        <x:v>0</x:v>
      </x:c>
      <x:c r="S3925" s="18" t="n">
        <x:v>673.8756608424376</x:v>
      </x:c>
      <x:c r="T3925" s="18" t="n">
        <x:v>696</x:v>
      </x:c>
      <x:c r="U3925" s="18" t="n">
        <x:v>673.8756608424376</x:v>
      </x:c>
      <x:c r="V3925" s="20" t="n">
        <x:v>4.4</x:v>
      </x:c>
      <x:c r="W3925" s="20" t="n">
        <x:v>14.3</x:v>
      </x:c>
      <x:c r="X3925" s="20" t="n">
        <x:v>3.3</x:v>
      </x:c>
      <x:c r="Y3925" t="str">
        <x:v>Basis arsip 2025/2024</x:v>
      </x:c>
      <x:c r="Z3925" t="str">
        <x:v>https://snpmb.id/utbk-snbt/daya-tampung-snbt</x:v>
      </x:c>
      <x:c r="AA3925" t="str">
        <x:v>Tidak Ada</x:v>
      </x:c>
      <x:c r="AB3925" t="str">
        <x:v>Campus=55; Ratio=82.3; Prodi=65; RelDemand=99.0; Capacity=53.3</x:v>
      </x:c>
    </x:row>
    <x:row r="3926">
      <x:c r="A3926" t="n">
        <x:v>3923</x:v>
      </x:c>
      <x:c r="B3926" t="str">
        <x:v>PTN Vokasi</x:v>
      </x:c>
      <x:c r="C3926" t="str">
        <x:v>POLITEKNIK NEGERI MEDAN</x:v>
      </x:c>
      <x:c r="D3926" t="str">
        <x:v>MEETING, INCENTIVE, CONVENTION, EXHIBITION</x:v>
      </x:c>
      <x:c r="E3926" t="str">
        <x:v>Sarjana Terapan</x:v>
      </x:c>
      <x:c r="F3926" s="18" t="n">
        <x:v>34</x:v>
      </x:c>
      <x:c r="G3926" s="18" t="n">
        <x:v>241</x:v>
      </x:c>
      <x:c r="H3926" s="19" t="n">
        <x:v>7.088235294117647</x:v>
      </x:c>
      <x:c r="I3926" s="18" t="n">
        <x:f>ROUND(MIN(Model_Config_v3!$B$6,MAX(Q3926,R3926,S3926*Model_Config_v3!$B$4+T3926*Model_Config_v3!$B$5)),0)</x:f>
        <x:v>645</x:v>
      </x:c>
      <x:c r="J3926" s="18" t="n">
        <x:f>MIN(Model_Config_v3!$B$6,I3926+Model_Config_v3!$B$7)</x:f>
        <x:v>665</x:v>
      </x:c>
      <x:c r="K3926" s="20" t="n">
        <x:v>49.7</x:v>
      </x:c>
      <x:c r="L3926" t="str">
        <x:v>MENENGAH</x:v>
      </x:c>
      <x:c r="M3926" t="str">
        <x:v>SEDANG</x:v>
      </x:c>
      <x:c r="N3926" t="str">
        <x:v>REGULER</x:v>
      </x:c>
      <x:c r="O3926" t="str">
        <x:v>CAMPURAN</x:v>
      </x:c>
      <x:c r="P3926" t="str">
        <x:v>UMUM</x:v>
      </x:c>
      <x:c r="Q3926" s="18" t="n">
        <x:v>0</x:v>
      </x:c>
      <x:c r="R3926" s="18" t="n">
        <x:v>0</x:v>
      </x:c>
      <x:c r="S3926" s="18" t="n">
        <x:v>613.5591938085875</x:v>
      </x:c>
      <x:c r="T3926" s="18" t="n">
        <x:v>659</x:v>
      </x:c>
      <x:c r="U3926" s="18" t="n">
        <x:v>613.5591938085875</x:v>
      </x:c>
      <x:c r="V3926" s="20" t="n">
        <x:v>8.8</x:v>
      </x:c>
      <x:c r="W3926" s="20" t="n">
        <x:v>9.9</x:v>
      </x:c>
      <x:c r="X3926" s="20" t="n">
        <x:v>3.3</x:v>
      </x:c>
      <x:c r="Y3926" t="str">
        <x:v>Basis arsip 2025/2024</x:v>
      </x:c>
      <x:c r="Z3926" t="str">
        <x:v>https://snpmb.id/utbk-snbt/daya-tampung-snbt</x:v>
      </x:c>
      <x:c r="AA3926" t="str">
        <x:v>Tidak Ada</x:v>
      </x:c>
      <x:c r="AB3926" t="str">
        <x:v>Campus=55; Ratio=50.1; Prodi=40; RelDemand=28.0; Capacity=71.7</x:v>
      </x:c>
    </x:row>
    <x:row r="3927">
      <x:c r="A3927" t="n">
        <x:v>3924</x:v>
      </x:c>
      <x:c r="B3927" t="str">
        <x:v>PTN Vokasi</x:v>
      </x:c>
      <x:c r="C3927" t="str">
        <x:v>POLITEKNIK NEGERI MEDAN</x:v>
      </x:c>
      <x:c r="D3927" t="str">
        <x:v>MANAJEMEN BISNIS</x:v>
      </x:c>
      <x:c r="E3927" t="str">
        <x:v>Sarjana Terapan</x:v>
      </x:c>
      <x:c r="F3927" s="18" t="n">
        <x:v>56</x:v>
      </x:c>
      <x:c r="G3927" s="18" t="n">
        <x:v>2776</x:v>
      </x:c>
      <x:c r="H3927" s="19" t="n">
        <x:v>49.57142857142857</x:v>
      </x:c>
      <x:c r="I3927" s="18" t="n">
        <x:f>ROUND(MIN(Model_Config_v3!$B$6,MAX(Q3927,R3927,S3927*Model_Config_v3!$B$4+T3927*Model_Config_v3!$B$5)),0)</x:f>
        <x:v>705</x:v>
      </x:c>
      <x:c r="J3927" s="18" t="n">
        <x:f>MIN(Model_Config_v3!$B$6,I3927+Model_Config_v3!$B$7)</x:f>
        <x:v>725</x:v>
      </x:c>
      <x:c r="K3927" s="20" t="n">
        <x:v>72.5</x:v>
      </x:c>
      <x:c r="L3927" t="str">
        <x:v>SANGAT KETAT</x:v>
      </x:c>
      <x:c r="M3927" t="str">
        <x:v>SEDANG+</x:v>
      </x:c>
      <x:c r="N3927" t="str">
        <x:v>REGULER</x:v>
      </x:c>
      <x:c r="O3927" t="str">
        <x:v>SOSHUM</x:v>
      </x:c>
      <x:c r="P3927" t="str">
        <x:v>BISNIS/EKONOMI/AKUNTANSI</x:v>
      </x:c>
      <x:c r="Q3927" s="18" t="n">
        <x:v>0</x:v>
      </x:c>
      <x:c r="R3927" s="18" t="n">
        <x:v>0</x:v>
      </x:c>
      <x:c r="S3927" s="18" t="n">
        <x:v>706.4754578254278</x:v>
      </x:c>
      <x:c r="T3927" s="18" t="n">
        <x:v>705</x:v>
      </x:c>
      <x:c r="U3927" s="18" t="n">
        <x:v>721.4754578254278</x:v>
      </x:c>
      <x:c r="V3927" s="20" t="n">
        <x:v>4.4</x:v>
      </x:c>
      <x:c r="W3927" s="20" t="n">
        <x:v>14.3</x:v>
      </x:c>
      <x:c r="X3927" s="20" t="n">
        <x:v>3.3</x:v>
      </x:c>
      <x:c r="Y3927" t="str">
        <x:v>Basis arsip 2025/2024</x:v>
      </x:c>
      <x:c r="Z3927" t="str">
        <x:v>https://snpmb.id/utbk-snbt/daya-tampung-snbt</x:v>
      </x:c>
      <x:c r="AA3927" t="str">
        <x:v>Tidak Ada</x:v>
      </x:c>
      <x:c r="AB3927" t="str">
        <x:v>Campus=55; Ratio=99.8; Prodi=65; RelDemand=100.0; Capacity=53.3</x:v>
      </x:c>
    </x:row>
    <x:row r="3928">
      <x:c r="A3928" t="n">
        <x:v>3925</x:v>
      </x:c>
      <x:c r="B3928" t="str">
        <x:v>PTN Vokasi</x:v>
      </x:c>
      <x:c r="C3928" t="str">
        <x:v>POLITEKNIK NEGERI MEDAN</x:v>
      </x:c>
      <x:c r="D3928" t="str">
        <x:v>TEKNOLOGI REKAYASA INSTALASI LISTRIK</x:v>
      </x:c>
      <x:c r="E3928" t="str">
        <x:v>Sarjana Terapan</x:v>
      </x:c>
      <x:c r="F3928" s="18" t="n">
        <x:v>24</x:v>
      </x:c>
      <x:c r="G3928" s="18" t="n">
        <x:v>165</x:v>
      </x:c>
      <x:c r="H3928" s="19" t="n">
        <x:v>6.875</x:v>
      </x:c>
      <x:c r="I3928" s="18" t="n">
        <x:f>ROUND(MIN(Model_Config_v3!$B$6,MAX(Q3928,R3928,S3928*Model_Config_v3!$B$4+T3928*Model_Config_v3!$B$5)),0)</x:f>
        <x:v>646</x:v>
      </x:c>
      <x:c r="J3928" s="18" t="n">
        <x:f>MIN(Model_Config_v3!$B$6,I3928+Model_Config_v3!$B$7)</x:f>
        <x:v>666</x:v>
      </x:c>
      <x:c r="K3928" s="20" t="n">
        <x:v>50.3</x:v>
      </x:c>
      <x:c r="L3928" t="str">
        <x:v>MENENGAH</x:v>
      </x:c>
      <x:c r="M3928" t="str">
        <x:v>SEDANG</x:v>
      </x:c>
      <x:c r="N3928" t="str">
        <x:v>REGULER</x:v>
      </x:c>
      <x:c r="O3928" t="str">
        <x:v>SAINTEK</x:v>
      </x:c>
      <x:c r="P3928" t="str">
        <x:v>UMUM</x:v>
      </x:c>
      <x:c r="Q3928" s="18" t="n">
        <x:v>0</x:v>
      </x:c>
      <x:c r="R3928" s="18" t="n">
        <x:v>0</x:v>
      </x:c>
      <x:c r="S3928" s="18" t="n">
        <x:v>612.099997275253</x:v>
      </x:c>
      <x:c r="T3928" s="18" t="n">
        <x:v>661</x:v>
      </x:c>
      <x:c r="U3928" s="18" t="n">
        <x:v>612.099997275253</x:v>
      </x:c>
      <x:c r="V3928" s="20" t="n">
        <x:v>12</x:v>
      </x:c>
      <x:c r="W3928" s="20" t="n">
        <x:v>5</x:v>
      </x:c>
      <x:c r="X3928" s="20" t="n">
        <x:v>3</x:v>
      </x:c>
      <x:c r="Y3928" t="str">
        <x:v>Basis arsip 2025/2024</x:v>
      </x:c>
      <x:c r="Z3928" t="str">
        <x:v>https://snpmb.id/utbk-snbt/daya-tampung-snbt</x:v>
      </x:c>
      <x:c r="AA3928" t="str">
        <x:v>Tidak Ada</x:v>
      </x:c>
      <x:c r="AB3928" t="str">
        <x:v>Campus=55; Ratio=49.3; Prodi=40; RelDemand=27.2; Capacity=80.0</x:v>
      </x:c>
    </x:row>
    <x:row r="3929">
      <x:c r="A3929" t="n">
        <x:v>3926</x:v>
      </x:c>
      <x:c r="B3929" t="str">
        <x:v>PTN Vokasi</x:v>
      </x:c>
      <x:c r="C3929" t="str">
        <x:v>POLITEKNIK NEGERI MEDAN</x:v>
      </x:c>
      <x:c r="D3929" t="str">
        <x:v>TEKNOLOGI REKAYASA ENERGI TERBARUKAN</x:v>
      </x:c>
      <x:c r="E3929" t="str">
        <x:v>Sarjana Terapan</x:v>
      </x:c>
      <x:c r="F3929" s="18" t="n">
        <x:v>24</x:v>
      </x:c>
      <x:c r="G3929" s="18" t="n">
        <x:v>102</x:v>
      </x:c>
      <x:c r="H3929" s="19" t="n">
        <x:v>4.25</x:v>
      </x:c>
      <x:c r="I3929" s="18" t="n">
        <x:f>ROUND(MIN(Model_Config_v3!$B$6,MAX(Q3929,R3929,S3929*Model_Config_v3!$B$4+T3929*Model_Config_v3!$B$5)),0)</x:f>
        <x:v>633</x:v>
      </x:c>
      <x:c r="J3929" s="18" t="n">
        <x:f>MIN(Model_Config_v3!$B$6,I3929+Model_Config_v3!$B$7)</x:f>
        <x:v>653</x:v>
      </x:c>
      <x:c r="K3929" s="20" t="n">
        <x:v>46.2</x:v>
      </x:c>
      <x:c r="L3929" t="str">
        <x:v>MENENGAH</x:v>
      </x:c>
      <x:c r="M3929" t="str">
        <x:v>SEDANG</x:v>
      </x:c>
      <x:c r="N3929" t="str">
        <x:v>REGULER</x:v>
      </x:c>
      <x:c r="O3929" t="str">
        <x:v>SAINTEK</x:v>
      </x:c>
      <x:c r="P3929" t="str">
        <x:v>UMUM</x:v>
      </x:c>
      <x:c r="Q3929" s="18" t="n">
        <x:v>0</x:v>
      </x:c>
      <x:c r="R3929" s="18" t="n">
        <x:v>0</x:v>
      </x:c>
      <x:c r="S3929" s="18" t="n">
        <x:v>589.1227823055342</x:v>
      </x:c>
      <x:c r="T3929" s="18" t="n">
        <x:v>652</x:v>
      </x:c>
      <x:c r="U3929" s="18" t="n">
        <x:v>589.1227823055342</x:v>
      </x:c>
      <x:c r="V3929" s="20" t="n">
        <x:v>12</x:v>
      </x:c>
      <x:c r="W3929" s="20" t="n">
        <x:v>5</x:v>
      </x:c>
      <x:c r="X3929" s="20" t="n">
        <x:v>3</x:v>
      </x:c>
      <x:c r="Y3929" t="str">
        <x:v>Basis arsip 2025/2024</x:v>
      </x:c>
      <x:c r="Z3929" t="str">
        <x:v>https://snpmb.id/utbk-snbt/daya-tampung-snbt</x:v>
      </x:c>
      <x:c r="AA3929" t="str">
        <x:v>Tidak Ada</x:v>
      </x:c>
      <x:c r="AB3929" t="str">
        <x:v>Campus=55; Ratio=37.0; Prodi=40; RelDemand=16.8; Capacity=80.0</x:v>
      </x:c>
    </x:row>
    <x:row r="3930">
      <x:c r="A3930" t="n">
        <x:v>3927</x:v>
      </x:c>
      <x:c r="B3930" t="str">
        <x:v>PTN Vokasi</x:v>
      </x:c>
      <x:c r="C3930" t="str">
        <x:v>POLITEKNIK NEGERI MEDAN</x:v>
      </x:c>
      <x:c r="D3930" t="str">
        <x:v>TEKNOLOGI REKAYASA OTOMASI</x:v>
      </x:c>
      <x:c r="E3930" t="str">
        <x:v>Sarjana Terapan</x:v>
      </x:c>
      <x:c r="F3930" s="18" t="n">
        <x:v>12</x:v>
      </x:c>
      <x:c r="G3930" s="18" t="n">
        <x:v>19</x:v>
      </x:c>
      <x:c r="H3930" s="19" t="n">
        <x:v>1.5833333333333333</x:v>
      </x:c>
      <x:c r="I3930" s="18" t="n">
        <x:f>ROUND(MIN(Model_Config_v3!$B$6,MAX(Q3930,R3930,S3930*Model_Config_v3!$B$4+T3930*Model_Config_v3!$B$5)),0)</x:f>
        <x:v>611</x:v>
      </x:c>
      <x:c r="J3930" s="18" t="n">
        <x:f>MIN(Model_Config_v3!$B$6,I3930+Model_Config_v3!$B$7)</x:f>
        <x:v>631</x:v>
      </x:c>
      <x:c r="K3930" s="20" t="n">
        <x:v>39.8</x:v>
      </x:c>
      <x:c r="L3930" t="str">
        <x:v>RELATIF LONGGAR</x:v>
      </x:c>
      <x:c r="M3930" t="str">
        <x:v>SEDANG</x:v>
      </x:c>
      <x:c r="N3930" t="str">
        <x:v>REGULER</x:v>
      </x:c>
      <x:c r="O3930" t="str">
        <x:v>SAINTEK</x:v>
      </x:c>
      <x:c r="P3930" t="str">
        <x:v>UMUM</x:v>
      </x:c>
      <x:c r="Q3930" s="18" t="n">
        <x:v>0</x:v>
      </x:c>
      <x:c r="R3930" s="18" t="n">
        <x:v>0</x:v>
      </x:c>
      <x:c r="S3930" s="18" t="n">
        <x:v>541.9529590395724</x:v>
      </x:c>
      <x:c r="T3930" s="18" t="n">
        <x:v>640</x:v>
      </x:c>
      <x:c r="U3930" s="18" t="n">
        <x:v>541.9529590395724</x:v>
      </x:c>
      <x:c r="V3930" s="20" t="n">
        <x:v>12</x:v>
      </x:c>
      <x:c r="W3930" s="20" t="n">
        <x:v>5</x:v>
      </x:c>
      <x:c r="X3930" s="20" t="n">
        <x:v>3</x:v>
      </x:c>
      <x:c r="Y3930" t="str">
        <x:v>Basis arsip 2025/2024</x:v>
      </x:c>
      <x:c r="Z3930" t="str">
        <x:v>https://snpmb.id/utbk-snbt/daya-tampung-snbt</x:v>
      </x:c>
      <x:c r="AA3930" t="str">
        <x:v>Tidak Ada</x:v>
      </x:c>
      <x:c r="AB3930" t="str">
        <x:v>Campus=55; Ratio=11.7; Prodi=40; RelDemand=6.3; Capacity=90.0</x:v>
      </x:c>
    </x:row>
    <x:row r="3931">
      <x:c r="A3931" t="n">
        <x:v>3928</x:v>
      </x:c>
      <x:c r="B3931" t="str">
        <x:v>PTN Vokasi</x:v>
      </x:c>
      <x:c r="C3931" t="str">
        <x:v>POLITEKNIK NEGERI MEDAN</x:v>
      </x:c>
      <x:c r="D3931" t="str">
        <x:v>TEKNOLOGI REKAYASA MANUFAKTUR</x:v>
      </x:c>
      <x:c r="E3931" t="str">
        <x:v>Sarjana Terapan</x:v>
      </x:c>
      <x:c r="F3931" s="18" t="n">
        <x:v>24</x:v>
      </x:c>
      <x:c r="G3931" s="18" t="n">
        <x:v>50</x:v>
      </x:c>
      <x:c r="H3931" s="19" t="n">
        <x:v>2.0833333333333335</x:v>
      </x:c>
      <x:c r="I3931" s="18" t="n">
        <x:f>ROUND(MIN(Model_Config_v3!$B$6,MAX(Q3931,R3931,S3931*Model_Config_v3!$B$4+T3931*Model_Config_v3!$B$5)),0)</x:f>
        <x:v>616</x:v>
      </x:c>
      <x:c r="J3931" s="18" t="n">
        <x:f>MIN(Model_Config_v3!$B$6,I3931+Model_Config_v3!$B$7)</x:f>
        <x:v>636</x:v>
      </x:c>
      <x:c r="K3931" s="20" t="n">
        <x:v>40.8</x:v>
      </x:c>
      <x:c r="L3931" t="str">
        <x:v>RELATIF LONGGAR</x:v>
      </x:c>
      <x:c r="M3931" t="str">
        <x:v>SEDANG</x:v>
      </x:c>
      <x:c r="N3931" t="str">
        <x:v>REGULER</x:v>
      </x:c>
      <x:c r="O3931" t="str">
        <x:v>SAINTEK</x:v>
      </x:c>
      <x:c r="P3931" t="str">
        <x:v>UMUM</x:v>
      </x:c>
      <x:c r="Q3931" s="18" t="n">
        <x:v>0</x:v>
      </x:c>
      <x:c r="R3931" s="18" t="n">
        <x:v>0</x:v>
      </x:c>
      <x:c r="S3931" s="18" t="n">
        <x:v>555.0634638886854</x:v>
      </x:c>
      <x:c r="T3931" s="18" t="n">
        <x:v>642</x:v>
      </x:c>
      <x:c r="U3931" s="18" t="n">
        <x:v>555.0634638886854</x:v>
      </x:c>
      <x:c r="V3931" s="20" t="n">
        <x:v>12</x:v>
      </x:c>
      <x:c r="W3931" s="20" t="n">
        <x:v>5</x:v>
      </x:c>
      <x:c r="X3931" s="20" t="n">
        <x:v>3</x:v>
      </x:c>
      <x:c r="Y3931" t="str">
        <x:v>Basis arsip 2025/2024</x:v>
      </x:c>
      <x:c r="Z3931" t="str">
        <x:v>https://snpmb.id/utbk-snbt/daya-tampung-snbt</x:v>
      </x:c>
      <x:c r="AA3931" t="str">
        <x:v>Tidak Ada</x:v>
      </x:c>
      <x:c r="AB3931" t="str">
        <x:v>Campus=55; Ratio=18.8; Prodi=40; RelDemand=8.2; Capacity=80.0</x:v>
      </x:c>
    </x:row>
    <x:row r="3932">
      <x:c r="A3932" t="n">
        <x:v>3929</x:v>
      </x:c>
      <x:c r="B3932" t="str">
        <x:v>PTN Vokasi</x:v>
      </x:c>
      <x:c r="C3932" t="str">
        <x:v>POLITEKNIK NEGERI MEDAN</x:v>
      </x:c>
      <x:c r="D3932" t="str">
        <x:v>TEKNOLOGI REKAYASA KIMIA INDUSTRI</x:v>
      </x:c>
      <x:c r="E3932" t="str">
        <x:v>Sarjana Terapan</x:v>
      </x:c>
      <x:c r="F3932" s="18" t="n">
        <x:v>24</x:v>
      </x:c>
      <x:c r="G3932" s="18"/>
      <x:c r="H3932" s="19" t="n">
        <x:v>0</x:v>
      </x:c>
      <x:c r="I3932" s="18" t="n">
        <x:f>ROUND(MIN(Model_Config_v3!$B$6,MAX(Q3932,R3932,S3932*Model_Config_v3!$B$4+T3932*Model_Config_v3!$B$5)),0)</x:f>
        <x:v>600</x:v>
      </x:c>
      <x:c r="J3932" s="18" t="n">
        <x:f>MIN(Model_Config_v3!$B$6,I3932+Model_Config_v3!$B$7)</x:f>
        <x:v>620</x:v>
      </x:c>
      <x:c r="K3932" s="20" t="n">
        <x:v>37.2</x:v>
      </x:c>
      <x:c r="L3932" t="str">
        <x:v>RELATIF LONGGAR</x:v>
      </x:c>
      <x:c r="M3932" t="str">
        <x:v>RENDAH</x:v>
      </x:c>
      <x:c r="N3932" t="str">
        <x:v>REGULER</x:v>
      </x:c>
      <x:c r="O3932" t="str">
        <x:v>SAINTEK</x:v>
      </x:c>
      <x:c r="P3932" t="str">
        <x:v>SAINS DASAR</x:v>
      </x:c>
      <x:c r="Q3932" s="18" t="n">
        <x:v>0</x:v>
      </x:c>
      <x:c r="R3932" s="18" t="n">
        <x:v>0</x:v>
      </x:c>
      <x:c r="S3932" s="18" t="n">
        <x:v>520</x:v>
      </x:c>
      <x:c r="T3932" s="18" t="n">
        <x:v>634</x:v>
      </x:c>
      <x:c r="U3932" s="18" t="n">
        <x:v>520</x:v>
      </x:c>
      <x:c r="V3932" s="20" t="n">
        <x:v>12</x:v>
      </x:c>
      <x:c r="W3932" s="20" t="n">
        <x:v>5</x:v>
      </x:c>
      <x:c r="X3932" s="20" t="n">
        <x:v>3</x:v>
      </x:c>
      <x:c r="Y3932" t="str">
        <x:v>Basis arsip 2025/2024</x:v>
      </x:c>
      <x:c r="Z3932" t="str">
        <x:v>https://snpmb.id/utbk-snbt/daya-tampung-snbt</x:v>
      </x:c>
      <x:c r="AA3932" t="str">
        <x:v>Tidak Ada</x:v>
      </x:c>
      <x:c r="AB3932" t="str">
        <x:v>Campus=55; Ratio=0.0; Prodi=50; RelDemand=0.0; Capacity=80.0</x:v>
      </x:c>
    </x:row>
    <x:row r="3933">
      <x:c r="A3933" t="n">
        <x:v>3930</x:v>
      </x:c>
      <x:c r="B3933" t="str">
        <x:v>PTN Vokasi</x:v>
      </x:c>
      <x:c r="C3933" t="str">
        <x:v>POLITEKNIK NEGERI MEDAN</x:v>
      </x:c>
      <x:c r="D3933" t="str">
        <x:v>KEUANGAN DAN PERBANKAN</x:v>
      </x:c>
      <x:c r="E3933" t="str">
        <x:v>Diploma Tiga</x:v>
      </x:c>
      <x:c r="F3933" s="18" t="n">
        <x:v>90</x:v>
      </x:c>
      <x:c r="G3933" s="18" t="n">
        <x:v>2242</x:v>
      </x:c>
      <x:c r="H3933" s="19" t="n">
        <x:v>24.91111111111111</x:v>
      </x:c>
      <x:c r="I3933" s="18" t="n">
        <x:f>ROUND(MIN(Model_Config_v3!$B$6,MAX(Q3933,R3933,S3933*Model_Config_v3!$B$4+T3933*Model_Config_v3!$B$5)),0)</x:f>
        <x:v>678</x:v>
      </x:c>
      <x:c r="J3933" s="18" t="n">
        <x:f>MIN(Model_Config_v3!$B$6,I3933+Model_Config_v3!$B$7)</x:f>
        <x:v>698</x:v>
      </x:c>
      <x:c r="K3933" s="20" t="n">
        <x:v>60.1</x:v>
      </x:c>
      <x:c r="L3933" t="str">
        <x:v>KETAT</x:v>
      </x:c>
      <x:c r="M3933" t="str">
        <x:v>SEDANG</x:v>
      </x:c>
      <x:c r="N3933" t="str">
        <x:v>REGULER</x:v>
      </x:c>
      <x:c r="O3933" t="str">
        <x:v>CAMPURAN</x:v>
      </x:c>
      <x:c r="P3933" t="str">
        <x:v>UMUM</x:v>
      </x:c>
      <x:c r="Q3933" s="18" t="n">
        <x:v>0</x:v>
      </x:c>
      <x:c r="R3933" s="18" t="n">
        <x:v>0</x:v>
      </x:c>
      <x:c r="S3933" s="18" t="n">
        <x:v>673.6032408701592</x:v>
      </x:c>
      <x:c r="T3933" s="18" t="n">
        <x:v>680</x:v>
      </x:c>
      <x:c r="U3933" s="18" t="n">
        <x:v>673.6032408701592</x:v>
      </x:c>
      <x:c r="V3933" s="20" t="n">
        <x:v>8.8</x:v>
      </x:c>
      <x:c r="W3933" s="20" t="n">
        <x:v>9.9</x:v>
      </x:c>
      <x:c r="X3933" s="20" t="n">
        <x:v>3.3</x:v>
      </x:c>
      <x:c r="Y3933" t="str">
        <x:v>Basis arsip 2025/2024</x:v>
      </x:c>
      <x:c r="Z3933" t="str">
        <x:v>https://snpmb.id/utbk-snbt/daya-tampung-snbt</x:v>
      </x:c>
      <x:c r="AA3933" t="str">
        <x:v>Tidak Ada</x:v>
      </x:c>
      <x:c r="AB3933" t="str">
        <x:v>Campus=55; Ratio=82.2; Prodi=40; RelDemand=98.4; Capacity=25.0</x:v>
      </x:c>
    </x:row>
    <x:row r="3934">
      <x:c r="A3934" t="n">
        <x:v>3931</x:v>
      </x:c>
      <x:c r="B3934" t="str">
        <x:v>PTN Vokasi</x:v>
      </x:c>
      <x:c r="C3934" t="str">
        <x:v>POLITEKNIK NEGERI MEDAN</x:v>
      </x:c>
      <x:c r="D3934" t="str">
        <x:v>TEKNIK KOMPUTER</x:v>
      </x:c>
      <x:c r="E3934" t="str">
        <x:v>Diploma Tiga</x:v>
      </x:c>
      <x:c r="F3934" s="18" t="n">
        <x:v>68</x:v>
      </x:c>
      <x:c r="G3934" s="18" t="n">
        <x:v>1671</x:v>
      </x:c>
      <x:c r="H3934" s="19" t="n">
        <x:v>24.573529411764707</x:v>
      </x:c>
      <x:c r="I3934" s="18" t="n">
        <x:f>ROUND(MIN(Model_Config_v3!$B$6,MAX(Q3934,R3934,S3934*Model_Config_v3!$B$4+T3934*Model_Config_v3!$B$5)),0)</x:f>
        <x:v>693</x:v>
      </x:c>
      <x:c r="J3934" s="18" t="n">
        <x:f>MIN(Model_Config_v3!$B$6,I3934+Model_Config_v3!$B$7)</x:f>
        <x:v>713</x:v>
      </x:c>
      <x:c r="K3934" s="20" t="n">
        <x:v>70.8</x:v>
      </x:c>
      <x:c r="L3934" t="str">
        <x:v>SANGAT KETAT</x:v>
      </x:c>
      <x:c r="M3934" t="str">
        <x:v>SEDANG+</x:v>
      </x:c>
      <x:c r="N3934" t="str">
        <x:v>REGULER</x:v>
      </x:c>
      <x:c r="O3934" t="str">
        <x:v>SAINTEK</x:v>
      </x:c>
      <x:c r="P3934" t="str">
        <x:v>KOMPUTER/INFORMATIKA</x:v>
      </x:c>
      <x:c r="Q3934" s="18" t="n">
        <x:v>0</x:v>
      </x:c>
      <x:c r="R3934" s="18" t="n">
        <x:v>0</x:v>
      </x:c>
      <x:c r="S3934" s="18" t="n">
        <x:v>672.951429090587</x:v>
      </x:c>
      <x:c r="T3934" s="18" t="n">
        <x:v>702</x:v>
      </x:c>
      <x:c r="U3934" s="18" t="n">
        <x:v>697.951429090587</x:v>
      </x:c>
      <x:c r="V3934" s="20" t="n">
        <x:v>12</x:v>
      </x:c>
      <x:c r="W3934" s="20" t="n">
        <x:v>5</x:v>
      </x:c>
      <x:c r="X3934" s="20" t="n">
        <x:v>3</x:v>
      </x:c>
      <x:c r="Y3934" t="str">
        <x:v>Basis arsip 2025/2024</x:v>
      </x:c>
      <x:c r="Z3934" t="str">
        <x:v>https://snpmb.id/utbk-snbt/daya-tampung-snbt</x:v>
      </x:c>
      <x:c r="AA3934" t="str">
        <x:v>Tidak Ada</x:v>
      </x:c>
      <x:c r="AB3934" t="str">
        <x:v>Campus=55; Ratio=81.8; Prodi=85; RelDemand=97.1; Capacity=43.3</x:v>
      </x:c>
    </x:row>
    <x:row r="3935">
      <x:c r="A3935" t="n">
        <x:v>3932</x:v>
      </x:c>
      <x:c r="B3935" t="str">
        <x:v>PTN Vokasi</x:v>
      </x:c>
      <x:c r="C3935" t="str">
        <x:v>POLITEKNIK NEGERI MEDAN</x:v>
      </x:c>
      <x:c r="D3935" t="str">
        <x:v>TEKNIK LISTRIK</x:v>
      </x:c>
      <x:c r="E3935" t="str">
        <x:v>Diploma Tiga</x:v>
      </x:c>
      <x:c r="F3935" s="18" t="n">
        <x:v>45</x:v>
      </x:c>
      <x:c r="G3935" s="18" t="n">
        <x:v>400</x:v>
      </x:c>
      <x:c r="H3935" s="19" t="n">
        <x:v>8.88888888888889</x:v>
      </x:c>
      <x:c r="I3935" s="18" t="n">
        <x:f>ROUND(MIN(Model_Config_v3!$B$6,MAX(Q3935,R3935,S3935*Model_Config_v3!$B$4+T3935*Model_Config_v3!$B$5)),0)</x:f>
        <x:v>656</x:v>
      </x:c>
      <x:c r="J3935" s="18" t="n">
        <x:f>MIN(Model_Config_v3!$B$6,I3935+Model_Config_v3!$B$7)</x:f>
        <x:v>676</x:v>
      </x:c>
      <x:c r="K3935" s="20" t="n">
        <x:v>55</x:v>
      </x:c>
      <x:c r="L3935" t="str">
        <x:v>KETAT</x:v>
      </x:c>
      <x:c r="M3935" t="str">
        <x:v>SEDANG+</x:v>
      </x:c>
      <x:c r="N3935" t="str">
        <x:v>REGULER</x:v>
      </x:c>
      <x:c r="O3935" t="str">
        <x:v>SAINTEK</x:v>
      </x:c>
      <x:c r="P3935" t="str">
        <x:v>TEKNIK/ARSITEKTUR/STATISTIKA/AKTUARIA</x:v>
      </x:c>
      <x:c r="Q3935" s="18" t="n">
        <x:v>0</x:v>
      </x:c>
      <x:c r="R3935" s="18" t="n">
        <x:v>0</x:v>
      </x:c>
      <x:c r="S3935" s="18" t="n">
        <x:v>624.3732225307881</x:v>
      </x:c>
      <x:c r="T3935" s="18" t="n">
        <x:v>670</x:v>
      </x:c>
      <x:c r="U3935" s="18" t="n">
        <x:v>634.3732225307881</x:v>
      </x:c>
      <x:c r="V3935" s="20" t="n">
        <x:v>12</x:v>
      </x:c>
      <x:c r="W3935" s="20" t="n">
        <x:v>5</x:v>
      </x:c>
      <x:c r="X3935" s="20" t="n">
        <x:v>3</x:v>
      </x:c>
      <x:c r="Y3935" t="str">
        <x:v>Basis arsip 2025/2024</x:v>
      </x:c>
      <x:c r="Z3935" t="str">
        <x:v>https://snpmb.id/utbk-snbt/daya-tampung-snbt</x:v>
      </x:c>
      <x:c r="AA3935" t="str">
        <x:v>Tidak Ada</x:v>
      </x:c>
      <x:c r="AB3935" t="str">
        <x:v>Campus=55; Ratio=55.8; Prodi=60; RelDemand=35.1; Capacity=62.5</x:v>
      </x:c>
    </x:row>
    <x:row r="3936">
      <x:c r="A3936" t="n">
        <x:v>3933</x:v>
      </x:c>
      <x:c r="B3936" t="str">
        <x:v>PTN Vokasi</x:v>
      </x:c>
      <x:c r="C3936" t="str">
        <x:v>POLITEKNIK NEGERI MEDAN</x:v>
      </x:c>
      <x:c r="D3936" t="str">
        <x:v>TEKNIK KONVERSI ENERGI</x:v>
      </x:c>
      <x:c r="E3936" t="str">
        <x:v>Diploma Tiga</x:v>
      </x:c>
      <x:c r="F3936" s="18" t="n">
        <x:v>45</x:v>
      </x:c>
      <x:c r="G3936" s="18" t="n">
        <x:v>248</x:v>
      </x:c>
      <x:c r="H3936" s="19" t="n">
        <x:v>5.511111111111111</x:v>
      </x:c>
      <x:c r="I3936" s="18" t="n">
        <x:f>ROUND(MIN(Model_Config_v3!$B$6,MAX(Q3936,R3936,S3936*Model_Config_v3!$B$4+T3936*Model_Config_v3!$B$5)),0)</x:f>
        <x:v>643</x:v>
      </x:c>
      <x:c r="J3936" s="18" t="n">
        <x:f>MIN(Model_Config_v3!$B$6,I3936+Model_Config_v3!$B$7)</x:f>
        <x:v>663</x:v>
      </x:c>
      <x:c r="K3936" s="20" t="n">
        <x:v>50.6</x:v>
      </x:c>
      <x:c r="L3936" t="str">
        <x:v>MENENGAH</x:v>
      </x:c>
      <x:c r="M3936" t="str">
        <x:v>SEDANG+</x:v>
      </x:c>
      <x:c r="N3936" t="str">
        <x:v>REGULER</x:v>
      </x:c>
      <x:c r="O3936" t="str">
        <x:v>SAINTEK</x:v>
      </x:c>
      <x:c r="P3936" t="str">
        <x:v>TEKNIK/ARSITEKTUR/STATISTIKA/AKTUARIA</x:v>
      </x:c>
      <x:c r="Q3936" s="18" t="n">
        <x:v>0</x:v>
      </x:c>
      <x:c r="R3936" s="18" t="n">
        <x:v>0</x:v>
      </x:c>
      <x:c r="S3936" s="18" t="n">
        <x:v>601.536308375596</x:v>
      </x:c>
      <x:c r="T3936" s="18" t="n">
        <x:v>661</x:v>
      </x:c>
      <x:c r="U3936" s="18" t="n">
        <x:v>611.536308375596</x:v>
      </x:c>
      <x:c r="V3936" s="20" t="n">
        <x:v>12</x:v>
      </x:c>
      <x:c r="W3936" s="20" t="n">
        <x:v>5</x:v>
      </x:c>
      <x:c r="X3936" s="20" t="n">
        <x:v>3</x:v>
      </x:c>
      <x:c r="Y3936" t="str">
        <x:v>Basis arsip 2025/2024</x:v>
      </x:c>
      <x:c r="Z3936" t="str">
        <x:v>https://snpmb.id/utbk-snbt/daya-tampung-snbt</x:v>
      </x:c>
      <x:c r="AA3936" t="str">
        <x:v>Tidak Ada</x:v>
      </x:c>
      <x:c r="AB3936" t="str">
        <x:v>Campus=55; Ratio=43.6; Prodi=60; RelDemand=21.8; Capacity=62.5</x:v>
      </x:c>
    </x:row>
    <x:row r="3937">
      <x:c r="A3937" t="n">
        <x:v>3934</x:v>
      </x:c>
      <x:c r="B3937" t="str">
        <x:v>PTN Vokasi</x:v>
      </x:c>
      <x:c r="C3937" t="str">
        <x:v>POLITEKNIK NEGERI MEDAN</x:v>
      </x:c>
      <x:c r="D3937" t="str">
        <x:v>MANAJEMEN INFORMATIKA</x:v>
      </x:c>
      <x:c r="E3937" t="str">
        <x:v>Diploma Tiga</x:v>
      </x:c>
      <x:c r="F3937" s="18" t="n">
        <x:v>68</x:v>
      </x:c>
      <x:c r="G3937" s="18" t="n">
        <x:v>1083</x:v>
      </x:c>
      <x:c r="H3937" s="19" t="n">
        <x:v>15.926470588235293</x:v>
      </x:c>
      <x:c r="I3937" s="18" t="n">
        <x:f>ROUND(MIN(Model_Config_v3!$B$6,MAX(Q3937,R3937,S3937*Model_Config_v3!$B$4+T3937*Model_Config_v3!$B$5)),0)</x:f>
        <x:v>678</x:v>
      </x:c>
      <x:c r="J3937" s="18" t="n">
        <x:f>MIN(Model_Config_v3!$B$6,I3937+Model_Config_v3!$B$7)</x:f>
        <x:v>698</x:v>
      </x:c>
      <x:c r="K3937" s="20" t="n">
        <x:v>64.6</x:v>
      </x:c>
      <x:c r="L3937" t="str">
        <x:v>KETAT</x:v>
      </x:c>
      <x:c r="M3937" t="str">
        <x:v>SEDANG+</x:v>
      </x:c>
      <x:c r="N3937" t="str">
        <x:v>REGULER</x:v>
      </x:c>
      <x:c r="O3937" t="str">
        <x:v>SAINTEK</x:v>
      </x:c>
      <x:c r="P3937" t="str">
        <x:v>KOMPUTER/INFORMATIKA</x:v>
      </x:c>
      <x:c r="Q3937" s="18" t="n">
        <x:v>0</x:v>
      </x:c>
      <x:c r="R3937" s="18" t="n">
        <x:v>0</x:v>
      </x:c>
      <x:c r="S3937" s="18" t="n">
        <x:v>652.2331498310992</x:v>
      </x:c>
      <x:c r="T3937" s="18" t="n">
        <x:v>689</x:v>
      </x:c>
      <x:c r="U3937" s="18" t="n">
        <x:v>677.2331498310992</x:v>
      </x:c>
      <x:c r="V3937" s="20" t="n">
        <x:v>12</x:v>
      </x:c>
      <x:c r="W3937" s="20" t="n">
        <x:v>5</x:v>
      </x:c>
      <x:c r="X3937" s="20" t="n">
        <x:v>3</x:v>
      </x:c>
      <x:c r="Y3937" t="str">
        <x:v>Basis arsip 2025/2024</x:v>
      </x:c>
      <x:c r="Z3937" t="str">
        <x:v>https://snpmb.id/utbk-snbt/daya-tampung-snbt</x:v>
      </x:c>
      <x:c r="AA3937" t="str">
        <x:v>Tidak Ada</x:v>
      </x:c>
      <x:c r="AB3937" t="str">
        <x:v>Campus=55; Ratio=70.8; Prodi=85; RelDemand=62.9; Capacity=43.3</x:v>
      </x:c>
    </x:row>
    <x:row r="3938">
      <x:c r="A3938" t="n">
        <x:v>3935</x:v>
      </x:c>
      <x:c r="B3938" t="str">
        <x:v>PTN Vokasi</x:v>
      </x:c>
      <x:c r="C3938" t="str">
        <x:v>POLITEKNIK NEGERI MEDAN</x:v>
      </x:c>
      <x:c r="D3938" t="str">
        <x:v>ADMINISTRASI BISNIS</x:v>
      </x:c>
      <x:c r="E3938" t="str">
        <x:v>Diploma Tiga</x:v>
      </x:c>
      <x:c r="F3938" s="18" t="n">
        <x:v>112</x:v>
      </x:c>
      <x:c r="G3938" s="18" t="n">
        <x:v>2540</x:v>
      </x:c>
      <x:c r="H3938" s="19" t="n">
        <x:v>22.678571428571427</x:v>
      </x:c>
      <x:c r="I3938" s="18" t="n">
        <x:f>ROUND(MIN(Model_Config_v3!$B$6,MAX(Q3938,R3938,S3938*Model_Config_v3!$B$4+T3938*Model_Config_v3!$B$5)),0)</x:f>
        <x:v>680</x:v>
      </x:c>
      <x:c r="J3938" s="18" t="n">
        <x:f>MIN(Model_Config_v3!$B$6,I3938+Model_Config_v3!$B$7)</x:f>
        <x:v>700</x:v>
      </x:c>
      <x:c r="K3938" s="20" t="n">
        <x:v>61.8</x:v>
      </x:c>
      <x:c r="L3938" t="str">
        <x:v>KETAT</x:v>
      </x:c>
      <x:c r="M3938" t="str">
        <x:v>SEDANG+</x:v>
      </x:c>
      <x:c r="N3938" t="str">
        <x:v>REGULER</x:v>
      </x:c>
      <x:c r="O3938" t="str">
        <x:v>SOSHUM</x:v>
      </x:c>
      <x:c r="P3938" t="str">
        <x:v>BISNIS/EKONOMI/AKUNTANSI</x:v>
      </x:c>
      <x:c r="Q3938" s="18" t="n">
        <x:v>0</x:v>
      </x:c>
      <x:c r="R3938" s="18" t="n">
        <x:v>0</x:v>
      </x:c>
      <x:c r="S3938" s="18" t="n">
        <x:v>669.1177263344732</x:v>
      </x:c>
      <x:c r="T3938" s="18" t="n">
        <x:v>684</x:v>
      </x:c>
      <x:c r="U3938" s="18" t="n">
        <x:v>684.1177263344732</x:v>
      </x:c>
      <x:c r="V3938" s="20" t="n">
        <x:v>4.4</x:v>
      </x:c>
      <x:c r="W3938" s="20" t="n">
        <x:v>14.3</x:v>
      </x:c>
      <x:c r="X3938" s="20" t="n">
        <x:v>3.3</x:v>
      </x:c>
      <x:c r="Y3938" t="str">
        <x:v>Basis arsip 2025/2024</x:v>
      </x:c>
      <x:c r="Z3938" t="str">
        <x:v>https://snpmb.id/utbk-snbt/daya-tampung-snbt</x:v>
      </x:c>
      <x:c r="AA3938" t="str">
        <x:v>Tidak Ada</x:v>
      </x:c>
      <x:c r="AB3938" t="str">
        <x:v>Campus=55; Ratio=79.8; Prodi=65; RelDemand=89.6; Capacity=6.7</x:v>
      </x:c>
    </x:row>
    <x:row r="3939">
      <x:c r="A3939" t="n">
        <x:v>3936</x:v>
      </x:c>
      <x:c r="B3939" t="str">
        <x:v>PTN Vokasi</x:v>
      </x:c>
      <x:c r="C3939" t="str">
        <x:v>POLITEKNIK NEGERI MEDAN</x:v>
      </x:c>
      <x:c r="D3939" t="str">
        <x:v>TEKNIK MESIN</x:v>
      </x:c>
      <x:c r="E3939" t="str">
        <x:v>Diploma Tiga</x:v>
      </x:c>
      <x:c r="F3939" s="18" t="n">
        <x:v>90</x:v>
      </x:c>
      <x:c r="G3939" s="18" t="n">
        <x:v>1027</x:v>
      </x:c>
      <x:c r="H3939" s="19" t="n">
        <x:v>11.411111111111111</x:v>
      </x:c>
      <x:c r="I3939" s="18" t="n">
        <x:f>ROUND(MIN(Model_Config_v3!$B$6,MAX(Q3939,R3939,S3939*Model_Config_v3!$B$4+T3939*Model_Config_v3!$B$5)),0)</x:f>
        <x:v>658</x:v>
      </x:c>
      <x:c r="J3939" s="18" t="n">
        <x:f>MIN(Model_Config_v3!$B$6,I3939+Model_Config_v3!$B$7)</x:f>
        <x:v>678</x:v>
      </x:c>
      <x:c r="K3939" s="20" t="n">
        <x:v>53.8</x:v>
      </x:c>
      <x:c r="L3939" t="str">
        <x:v>MENENGAH</x:v>
      </x:c>
      <x:c r="M3939" t="str">
        <x:v>SEDANG+</x:v>
      </x:c>
      <x:c r="N3939" t="str">
        <x:v>REGULER</x:v>
      </x:c>
      <x:c r="O3939" t="str">
        <x:v>SAINTEK</x:v>
      </x:c>
      <x:c r="P3939" t="str">
        <x:v>TEKNIK/ARSITEKTUR/STATISTIKA/AKTUARIA</x:v>
      </x:c>
      <x:c r="Q3939" s="18" t="n">
        <x:v>0</x:v>
      </x:c>
      <x:c r="R3939" s="18" t="n">
        <x:v>0</x:v>
      </x:c>
      <x:c r="S3939" s="18" t="n">
        <x:v>636.3060727573749</x:v>
      </x:c>
      <x:c r="T3939" s="18" t="n">
        <x:v>668</x:v>
      </x:c>
      <x:c r="U3939" s="18" t="n">
        <x:v>646.3060727573749</x:v>
      </x:c>
      <x:c r="V3939" s="20" t="n">
        <x:v>12</x:v>
      </x:c>
      <x:c r="W3939" s="20" t="n">
        <x:v>5</x:v>
      </x:c>
      <x:c r="X3939" s="20" t="n">
        <x:v>3</x:v>
      </x:c>
      <x:c r="Y3939" t="str">
        <x:v>Basis arsip 2025/2024</x:v>
      </x:c>
      <x:c r="Z3939" t="str">
        <x:v>https://snpmb.id/utbk-snbt/daya-tampung-snbt</x:v>
      </x:c>
      <x:c r="AA3939" t="str">
        <x:v>Tidak Ada</x:v>
      </x:c>
      <x:c r="AB3939" t="str">
        <x:v>Campus=55; Ratio=62.2; Prodi=60; RelDemand=45.1; Capacity=25.0</x:v>
      </x:c>
    </x:row>
    <x:row r="3940">
      <x:c r="A3940" t="n">
        <x:v>3937</x:v>
      </x:c>
      <x:c r="B3940" t="str">
        <x:v>PTN Vokasi</x:v>
      </x:c>
      <x:c r="C3940" t="str">
        <x:v>POLITEKNIK NEGERI MEDAN</x:v>
      </x:c>
      <x:c r="D3940" t="str">
        <x:v>TEKNIK SIPIL</x:v>
      </x:c>
      <x:c r="E3940" t="str">
        <x:v>Diploma Tiga</x:v>
      </x:c>
      <x:c r="F3940" s="18" t="n">
        <x:v>68</x:v>
      </x:c>
      <x:c r="G3940" s="18" t="n">
        <x:v>1484</x:v>
      </x:c>
      <x:c r="H3940" s="19" t="n">
        <x:v>21.823529411764707</x:v>
      </x:c>
      <x:c r="I3940" s="18" t="n">
        <x:f>ROUND(MIN(Model_Config_v3!$B$6,MAX(Q3940,R3940,S3940*Model_Config_v3!$B$4+T3940*Model_Config_v3!$B$5)),0)</x:f>
        <x:v>682</x:v>
      </x:c>
      <x:c r="J3940" s="18" t="n">
        <x:f>MIN(Model_Config_v3!$B$6,I3940+Model_Config_v3!$B$7)</x:f>
        <x:v>702</x:v>
      </x:c>
      <x:c r="K3940" s="20" t="n">
        <x:v>63.9</x:v>
      </x:c>
      <x:c r="L3940" t="str">
        <x:v>KETAT</x:v>
      </x:c>
      <x:c r="M3940" t="str">
        <x:v>SEDANG+</x:v>
      </x:c>
      <x:c r="N3940" t="str">
        <x:v>REGULER</x:v>
      </x:c>
      <x:c r="O3940" t="str">
        <x:v>SAINTEK</x:v>
      </x:c>
      <x:c r="P3940" t="str">
        <x:v>TEKNIK/ARSITEKTUR/STATISTIKA/AKTUARIA</x:v>
      </x:c>
      <x:c r="Q3940" s="18" t="n">
        <x:v>0</x:v>
      </x:c>
      <x:c r="R3940" s="18" t="n">
        <x:v>0</x:v>
      </x:c>
      <x:c r="S3940" s="18" t="n">
        <x:v>667.2817487060449</x:v>
      </x:c>
      <x:c r="T3940" s="18" t="n">
        <x:v>688</x:v>
      </x:c>
      <x:c r="U3940" s="18" t="n">
        <x:v>677.2817487060449</x:v>
      </x:c>
      <x:c r="V3940" s="20" t="n">
        <x:v>12</x:v>
      </x:c>
      <x:c r="W3940" s="20" t="n">
        <x:v>5</x:v>
      </x:c>
      <x:c r="X3940" s="20" t="n">
        <x:v>3</x:v>
      </x:c>
      <x:c r="Y3940" t="str">
        <x:v>Basis arsip 2025/2024</x:v>
      </x:c>
      <x:c r="Z3940" t="str">
        <x:v>https://snpmb.id/utbk-snbt/daya-tampung-snbt</x:v>
      </x:c>
      <x:c r="AA3940" t="str">
        <x:v>Tidak Ada</x:v>
      </x:c>
      <x:c r="AB3940" t="str">
        <x:v>Campus=55; Ratio=78.8; Prodi=60; RelDemand=86.2; Capacity=43.3</x:v>
      </x:c>
    </x:row>
    <x:row r="3941">
      <x:c r="A3941" t="n">
        <x:v>3938</x:v>
      </x:c>
      <x:c r="B3941" t="str">
        <x:v>PTN Vokasi</x:v>
      </x:c>
      <x:c r="C3941" t="str">
        <x:v>POLITEKNIK NEGERI MEDAN</x:v>
      </x:c>
      <x:c r="D3941" t="str">
        <x:v>TEKNIK TELEKOMUNIKASI</x:v>
      </x:c>
      <x:c r="E3941" t="str">
        <x:v>Diploma Tiga</x:v>
      </x:c>
      <x:c r="F3941" s="18" t="n">
        <x:v>45</x:v>
      </x:c>
      <x:c r="G3941" s="18" t="n">
        <x:v>492</x:v>
      </x:c>
      <x:c r="H3941" s="19" t="n">
        <x:v>10.933333333333334</x:v>
      </x:c>
      <x:c r="I3941" s="18" t="n">
        <x:f>ROUND(MIN(Model_Config_v3!$B$6,MAX(Q3941,R3941,S3941*Model_Config_v3!$B$4+T3941*Model_Config_v3!$B$5)),0)</x:f>
        <x:v>662</x:v>
      </x:c>
      <x:c r="J3941" s="18" t="n">
        <x:f>MIN(Model_Config_v3!$B$6,I3941+Model_Config_v3!$B$7)</x:f>
        <x:v>682</x:v>
      </x:c>
      <x:c r="K3941" s="20" t="n">
        <x:v>57.1</x:v>
      </x:c>
      <x:c r="L3941" t="str">
        <x:v>KETAT</x:v>
      </x:c>
      <x:c r="M3941" t="str">
        <x:v>SEDANG+</x:v>
      </x:c>
      <x:c r="N3941" t="str">
        <x:v>REGULER</x:v>
      </x:c>
      <x:c r="O3941" t="str">
        <x:v>SAINTEK</x:v>
      </x:c>
      <x:c r="P3941" t="str">
        <x:v>TEKNIK/ARSITEKTUR/STATISTIKA/AKTUARIA</x:v>
      </x:c>
      <x:c r="Q3941" s="18" t="n">
        <x:v>0</x:v>
      </x:c>
      <x:c r="R3941" s="18" t="n">
        <x:v>0</x:v>
      </x:c>
      <x:c r="S3941" s="18" t="n">
        <x:v>634.2627847891218</x:v>
      </x:c>
      <x:c r="T3941" s="18" t="n">
        <x:v>674</x:v>
      </x:c>
      <x:c r="U3941" s="18" t="n">
        <x:v>644.2627847891218</x:v>
      </x:c>
      <x:c r="V3941" s="20" t="n">
        <x:v>12</x:v>
      </x:c>
      <x:c r="W3941" s="20" t="n">
        <x:v>5</x:v>
      </x:c>
      <x:c r="X3941" s="20" t="n">
        <x:v>3</x:v>
      </x:c>
      <x:c r="Y3941" t="str">
        <x:v>Basis arsip 2025/2024</x:v>
      </x:c>
      <x:c r="Z3941" t="str">
        <x:v>https://snpmb.id/utbk-snbt/daya-tampung-snbt</x:v>
      </x:c>
      <x:c r="AA3941" t="str">
        <x:v>Tidak Ada</x:v>
      </x:c>
      <x:c r="AB3941" t="str">
        <x:v>Campus=55; Ratio=61.1; Prodi=60; RelDemand=43.2; Capacity=62.5</x:v>
      </x:c>
    </x:row>
    <x:row r="3942">
      <x:c r="A3942" t="n">
        <x:v>3939</x:v>
      </x:c>
      <x:c r="B3942" t="str">
        <x:v>PTN Vokasi</x:v>
      </x:c>
      <x:c r="C3942" t="str">
        <x:v>POLITEKNIK NEGERI MEDAN</x:v>
      </x:c>
      <x:c r="D3942" t="str">
        <x:v>AKUNTANSI</x:v>
      </x:c>
      <x:c r="E3942" t="str">
        <x:v>Diploma Tiga</x:v>
      </x:c>
      <x:c r="F3942" s="18" t="n">
        <x:v>90</x:v>
      </x:c>
      <x:c r="G3942" s="18" t="n">
        <x:v>1648</x:v>
      </x:c>
      <x:c r="H3942" s="19" t="n">
        <x:v>18.31111111111111</x:v>
      </x:c>
      <x:c r="I3942" s="18" t="n">
        <x:f>ROUND(MIN(Model_Config_v3!$B$6,MAX(Q3942,R3942,S3942*Model_Config_v3!$B$4+T3942*Model_Config_v3!$B$5)),0)</x:f>
        <x:v>674</x:v>
      </x:c>
      <x:c r="J3942" s="18" t="n">
        <x:f>MIN(Model_Config_v3!$B$6,I3942+Model_Config_v3!$B$7)</x:f>
        <x:v>694</x:v>
      </x:c>
      <x:c r="K3942" s="20" t="n">
        <x:v>60.6</x:v>
      </x:c>
      <x:c r="L3942" t="str">
        <x:v>KETAT</x:v>
      </x:c>
      <x:c r="M3942" t="str">
        <x:v>SEDANG+</x:v>
      </x:c>
      <x:c r="N3942" t="str">
        <x:v>REGULER</x:v>
      </x:c>
      <x:c r="O3942" t="str">
        <x:v>SOSHUM</x:v>
      </x:c>
      <x:c r="P3942" t="str">
        <x:v>BISNIS/EKONOMI/AKUNTANSI</x:v>
      </x:c>
      <x:c r="Q3942" s="18" t="n">
        <x:v>0</x:v>
      </x:c>
      <x:c r="R3942" s="18" t="n">
        <x:v>0</x:v>
      </x:c>
      <x:c r="S3942" s="18" t="n">
        <x:v>658.8986167713949</x:v>
      </x:c>
      <x:c r="T3942" s="18" t="n">
        <x:v>681</x:v>
      </x:c>
      <x:c r="U3942" s="18" t="n">
        <x:v>658.8986167713949</x:v>
      </x:c>
      <x:c r="V3942" s="20" t="n">
        <x:v>4.4</x:v>
      </x:c>
      <x:c r="W3942" s="20" t="n">
        <x:v>14.3</x:v>
      </x:c>
      <x:c r="X3942" s="20" t="n">
        <x:v>3.3</x:v>
      </x:c>
      <x:c r="Y3942" t="str">
        <x:v>Basis arsip 2025/2024</x:v>
      </x:c>
      <x:c r="Z3942" t="str">
        <x:v>https://snpmb.id/utbk-snbt/daya-tampung-snbt</x:v>
      </x:c>
      <x:c r="AA3942" t="str">
        <x:v>Tidak Ada</x:v>
      </x:c>
      <x:c r="AB3942" t="str">
        <x:v>Campus=55; Ratio=74.3; Prodi=65; RelDemand=72.3; Capacity=25.0</x:v>
      </x:c>
    </x:row>
    <x:row r="3943">
      <x:c r="A3943" t="n">
        <x:v>3940</x:v>
      </x:c>
      <x:c r="B3943" t="str">
        <x:v>PTN Vokasi</x:v>
      </x:c>
      <x:c r="C3943" t="str">
        <x:v>POLITEKNIK NEGERI MEDAN</x:v>
      </x:c>
      <x:c r="D3943" t="str">
        <x:v>ELEKTRONIKA</x:v>
      </x:c>
      <x:c r="E3943" t="str">
        <x:v>Diploma Tiga</x:v>
      </x:c>
      <x:c r="F3943" s="18" t="n">
        <x:v>45</x:v>
      </x:c>
      <x:c r="G3943" s="18" t="n">
        <x:v>278</x:v>
      </x:c>
      <x:c r="H3943" s="19" t="n">
        <x:v>6.177777777777778</x:v>
      </x:c>
      <x:c r="I3943" s="18" t="n">
        <x:f>ROUND(MIN(Model_Config_v3!$B$6,MAX(Q3943,R3943,S3943*Model_Config_v3!$B$4+T3943*Model_Config_v3!$B$5)),0)</x:f>
        <x:v>641</x:v>
      </x:c>
      <x:c r="J3943" s="18" t="n">
        <x:f>MIN(Model_Config_v3!$B$6,I3943+Model_Config_v3!$B$7)</x:f>
        <x:v>661</x:v>
      </x:c>
      <x:c r="K3943" s="20" t="n">
        <x:v>47.6</x:v>
      </x:c>
      <x:c r="L3943" t="str">
        <x:v>MENENGAH</x:v>
      </x:c>
      <x:c r="M3943" t="str">
        <x:v>SEDANG</x:v>
      </x:c>
      <x:c r="N3943" t="str">
        <x:v>REGULER</x:v>
      </x:c>
      <x:c r="O3943" t="str">
        <x:v>CAMPURAN</x:v>
      </x:c>
      <x:c r="P3943" t="str">
        <x:v>UMUM</x:v>
      </x:c>
      <x:c r="Q3943" s="18" t="n">
        <x:v>0</x:v>
      </x:c>
      <x:c r="R3943" s="18" t="n">
        <x:v>0</x:v>
      </x:c>
      <x:c r="S3943" s="18" t="n">
        <x:v>606.9915510357006</x:v>
      </x:c>
      <x:c r="T3943" s="18" t="n">
        <x:v>655</x:v>
      </x:c>
      <x:c r="U3943" s="18" t="n">
        <x:v>606.9915510357006</x:v>
      </x:c>
      <x:c r="V3943" s="20" t="n">
        <x:v>8.8</x:v>
      </x:c>
      <x:c r="W3943" s="20" t="n">
        <x:v>9.9</x:v>
      </x:c>
      <x:c r="X3943" s="20" t="n">
        <x:v>3.3</x:v>
      </x:c>
      <x:c r="Y3943" t="str">
        <x:v>Basis arsip 2025/2024</x:v>
      </x:c>
      <x:c r="Z3943" t="str">
        <x:v>https://snpmb.id/utbk-snbt/daya-tampung-snbt</x:v>
      </x:c>
      <x:c r="AA3943" t="str">
        <x:v>Tidak Ada</x:v>
      </x:c>
      <x:c r="AB3943" t="str">
        <x:v>Campus=55; Ratio=46.5; Prodi=40; RelDemand=24.4; Capacity=62.5</x:v>
      </x:c>
    </x:row>
    <x:row r="3944">
      <x:c r="A3944" t="n">
        <x:v>3941</x:v>
      </x:c>
      <x:c r="B3944" t="str">
        <x:v>PTN Vokasi</x:v>
      </x:c>
      <x:c r="C3944" t="str">
        <x:v>POLITEKNIK NEGERI BATAM</x:v>
      </x:c>
      <x:c r="D3944" t="str">
        <x:v>TEKNIK MEKATRONIKA</x:v>
      </x:c>
      <x:c r="E3944" t="str">
        <x:v>Sarjana Terapan</x:v>
      </x:c>
      <x:c r="F3944" s="18" t="n">
        <x:v>41</x:v>
      </x:c>
      <x:c r="G3944" s="18" t="n">
        <x:v>191</x:v>
      </x:c>
      <x:c r="H3944" s="19" t="n">
        <x:v>4.658536585365853</x:v>
      </x:c>
      <x:c r="I3944" s="18" t="n">
        <x:f>ROUND(MIN(Model_Config_v3!$B$6,MAX(Q3944,R3944,S3944*Model_Config_v3!$B$4+T3944*Model_Config_v3!$B$5)),0)</x:f>
        <x:v>643</x:v>
      </x:c>
      <x:c r="J3944" s="18" t="n">
        <x:f>MIN(Model_Config_v3!$B$6,I3944+Model_Config_v3!$B$7)</x:f>
        <x:v>663</x:v>
      </x:c>
      <x:c r="K3944" s="20" t="n">
        <x:v>51.8</x:v>
      </x:c>
      <x:c r="L3944" t="str">
        <x:v>MENENGAH</x:v>
      </x:c>
      <x:c r="M3944" t="str">
        <x:v>SEDANG+</x:v>
      </x:c>
      <x:c r="N3944" t="str">
        <x:v>REGULER</x:v>
      </x:c>
      <x:c r="O3944" t="str">
        <x:v>SAINTEK</x:v>
      </x:c>
      <x:c r="P3944" t="str">
        <x:v>TEKNIK/ARSITEKTUR/STATISTIKA/AKTUARIA</x:v>
      </x:c>
      <x:c r="Q3944" s="18" t="n">
        <x:v>0</x:v>
      </x:c>
      <x:c r="R3944" s="18" t="n">
        <x:v>0</x:v>
      </x:c>
      <x:c r="S3944" s="18" t="n">
        <x:v>593.5074461580791</x:v>
      </x:c>
      <x:c r="T3944" s="18" t="n">
        <x:v>664</x:v>
      </x:c>
      <x:c r="U3944" s="18" t="n">
        <x:v>603.5074461580791</x:v>
      </x:c>
      <x:c r="V3944" s="20" t="n">
        <x:v>12</x:v>
      </x:c>
      <x:c r="W3944" s="20" t="n">
        <x:v>5</x:v>
      </x:c>
      <x:c r="X3944" s="20" t="n">
        <x:v>3</x:v>
      </x:c>
      <x:c r="Y3944" t="str">
        <x:v>Basis arsip 2025/2024</x:v>
      </x:c>
      <x:c r="Z3944" t="str">
        <x:v>https://snpmb.id/utbk-snbt/daya-tampung-snbt</x:v>
      </x:c>
      <x:c r="AA3944" t="str">
        <x:v>Tidak Ada</x:v>
      </x:c>
      <x:c r="AB3944" t="str">
        <x:v>Campus=55; Ratio=39.3; Prodi=60; RelDemand=41.5; Capacity=65.8</x:v>
      </x:c>
    </x:row>
    <x:row r="3945">
      <x:c r="A3945" t="n">
        <x:v>3942</x:v>
      </x:c>
      <x:c r="B3945" t="str">
        <x:v>PTN Vokasi</x:v>
      </x:c>
      <x:c r="C3945" t="str">
        <x:v>POLITEKNIK NEGERI BATAM</x:v>
      </x:c>
      <x:c r="D3945" t="str">
        <x:v>TEKNIK ROBOTIKA</x:v>
      </x:c>
      <x:c r="E3945" t="str">
        <x:v>Sarjana Terapan</x:v>
      </x:c>
      <x:c r="F3945" s="18" t="n">
        <x:v>41</x:v>
      </x:c>
      <x:c r="G3945" s="18" t="n">
        <x:v>77</x:v>
      </x:c>
      <x:c r="H3945" s="19" t="n">
        <x:v>1.8780487804878048</x:v>
      </x:c>
      <x:c r="I3945" s="18" t="n">
        <x:f>ROUND(MIN(Model_Config_v3!$B$6,MAX(Q3945,R3945,S3945*Model_Config_v3!$B$4+T3945*Model_Config_v3!$B$5)),0)</x:f>
        <x:v>618</x:v>
      </x:c>
      <x:c r="J3945" s="18" t="n">
        <x:f>MIN(Model_Config_v3!$B$6,I3945+Model_Config_v3!$B$7)</x:f>
        <x:v>638</x:v>
      </x:c>
      <x:c r="K3945" s="20" t="n">
        <x:v>43.5</x:v>
      </x:c>
      <x:c r="L3945" t="str">
        <x:v>RELATIF LONGGAR</x:v>
      </x:c>
      <x:c r="M3945" t="str">
        <x:v>SEDANG+</x:v>
      </x:c>
      <x:c r="N3945" t="str">
        <x:v>REGULER</x:v>
      </x:c>
      <x:c r="O3945" t="str">
        <x:v>SAINTEK</x:v>
      </x:c>
      <x:c r="P3945" t="str">
        <x:v>TEKNIK/ARSITEKTUR/STATISTIKA/AKTUARIA</x:v>
      </x:c>
      <x:c r="Q3945" s="18" t="n">
        <x:v>0</x:v>
      </x:c>
      <x:c r="R3945" s="18" t="n">
        <x:v>0</x:v>
      </x:c>
      <x:c r="S3945" s="18" t="n">
        <x:v>550.1077555298021</x:v>
      </x:c>
      <x:c r="T3945" s="18" t="n">
        <x:v>647</x:v>
      </x:c>
      <x:c r="U3945" s="18" t="n">
        <x:v>560.1077555298021</x:v>
      </x:c>
      <x:c r="V3945" s="20" t="n">
        <x:v>12</x:v>
      </x:c>
      <x:c r="W3945" s="20" t="n">
        <x:v>5</x:v>
      </x:c>
      <x:c r="X3945" s="20" t="n">
        <x:v>3</x:v>
      </x:c>
      <x:c r="Y3945" t="str">
        <x:v>Basis arsip 2025/2024</x:v>
      </x:c>
      <x:c r="Z3945" t="str">
        <x:v>https://snpmb.id/utbk-snbt/daya-tampung-snbt</x:v>
      </x:c>
      <x:c r="AA3945" t="str">
        <x:v>Tidak Ada</x:v>
      </x:c>
      <x:c r="AB3945" t="str">
        <x:v>Campus=55; Ratio=16.1; Prodi=60; RelDemand=16.7; Capacity=65.8</x:v>
      </x:c>
    </x:row>
    <x:row r="3946">
      <x:c r="A3946" t="n">
        <x:v>3943</x:v>
      </x:c>
      <x:c r="B3946" t="str">
        <x:v>PTN Vokasi</x:v>
      </x:c>
      <x:c r="C3946" t="str">
        <x:v>POLITEKNIK NEGERI BATAM</x:v>
      </x:c>
      <x:c r="D3946" t="str">
        <x:v>TEKNOLOGI REKAYASA PEMBANGKIT ENERGI</x:v>
      </x:c>
      <x:c r="E3946" t="str">
        <x:v>Sarjana Terapan</x:v>
      </x:c>
      <x:c r="F3946" s="18" t="n">
        <x:v>27</x:v>
      </x:c>
      <x:c r="G3946" s="18" t="n">
        <x:v>61</x:v>
      </x:c>
      <x:c r="H3946" s="19" t="n">
        <x:v>2.259259259259259</x:v>
      </x:c>
      <x:c r="I3946" s="18" t="n">
        <x:f>ROUND(MIN(Model_Config_v3!$B$6,MAX(Q3946,R3946,S3946*Model_Config_v3!$B$4+T3946*Model_Config_v3!$B$5)),0)</x:f>
        <x:v>618</x:v>
      </x:c>
      <x:c r="J3946" s="18" t="n">
        <x:f>MIN(Model_Config_v3!$B$6,I3946+Model_Config_v3!$B$7)</x:f>
        <x:v>638</x:v>
      </x:c>
      <x:c r="K3946" s="20" t="n">
        <x:v>42.2</x:v>
      </x:c>
      <x:c r="L3946" t="str">
        <x:v>RELATIF LONGGAR</x:v>
      </x:c>
      <x:c r="M3946" t="str">
        <x:v>SEDANG</x:v>
      </x:c>
      <x:c r="N3946" t="str">
        <x:v>REGULER</x:v>
      </x:c>
      <x:c r="O3946" t="str">
        <x:v>SAINTEK</x:v>
      </x:c>
      <x:c r="P3946" t="str">
        <x:v>UMUM</x:v>
      </x:c>
      <x:c r="Q3946" s="18" t="n">
        <x:v>0</x:v>
      </x:c>
      <x:c r="R3946" s="18" t="n">
        <x:v>0</x:v>
      </x:c>
      <x:c r="S3946" s="18" t="n">
        <x:v>558.9362677936957</x:v>
      </x:c>
      <x:c r="T3946" s="18" t="n">
        <x:v>644</x:v>
      </x:c>
      <x:c r="U3946" s="18" t="n">
        <x:v>558.9362677936957</x:v>
      </x:c>
      <x:c r="V3946" s="20" t="n">
        <x:v>12</x:v>
      </x:c>
      <x:c r="W3946" s="20" t="n">
        <x:v>5</x:v>
      </x:c>
      <x:c r="X3946" s="20" t="n">
        <x:v>3</x:v>
      </x:c>
      <x:c r="Y3946" t="str">
        <x:v>Basis arsip 2025/2024</x:v>
      </x:c>
      <x:c r="Z3946" t="str">
        <x:v>https://snpmb.id/utbk-snbt/daya-tampung-snbt</x:v>
      </x:c>
      <x:c r="AA3946" t="str">
        <x:v>Tidak Ada</x:v>
      </x:c>
      <x:c r="AB3946" t="str">
        <x:v>Campus=55; Ratio=20.8; Prodi=40; RelDemand=20.1; Capacity=77.5</x:v>
      </x:c>
    </x:row>
    <x:row r="3947">
      <x:c r="A3947" t="n">
        <x:v>3944</x:v>
      </x:c>
      <x:c r="B3947" t="str">
        <x:v>PTN Vokasi</x:v>
      </x:c>
      <x:c r="C3947" t="str">
        <x:v>POLITEKNIK NEGERI BATAM</x:v>
      </x:c>
      <x:c r="D3947" t="str">
        <x:v>TEKNOLOGI REKAYASA MULTIMEDIA</x:v>
      </x:c>
      <x:c r="E3947" t="str">
        <x:v>Sarjana Terapan</x:v>
      </x:c>
      <x:c r="F3947" s="18" t="n">
        <x:v>54</x:v>
      </x:c>
      <x:c r="G3947" s="18" t="n">
        <x:v>190</x:v>
      </x:c>
      <x:c r="H3947" s="19" t="n">
        <x:v>3.5185185185185186</x:v>
      </x:c>
      <x:c r="I3947" s="18" t="n">
        <x:f>ROUND(MIN(Model_Config_v3!$B$6,MAX(Q3947,R3947,S3947*Model_Config_v3!$B$4+T3947*Model_Config_v3!$B$5)),0)</x:f>
        <x:v>628</x:v>
      </x:c>
      <x:c r="J3947" s="18" t="n">
        <x:f>MIN(Model_Config_v3!$B$6,I3947+Model_Config_v3!$B$7)</x:f>
        <x:v>648</x:v>
      </x:c>
      <x:c r="K3947" s="20" t="n">
        <x:v>43.9</x:v>
      </x:c>
      <x:c r="L3947" t="str">
        <x:v>RELATIF LONGGAR</x:v>
      </x:c>
      <x:c r="M3947" t="str">
        <x:v>SEDANG</x:v>
      </x:c>
      <x:c r="N3947" t="str">
        <x:v>REGULER</x:v>
      </x:c>
      <x:c r="O3947" t="str">
        <x:v>SAINTEK</x:v>
      </x:c>
      <x:c r="P3947" t="str">
        <x:v>UMUM</x:v>
      </x:c>
      <x:c r="Q3947" s="18" t="n">
        <x:v>0</x:v>
      </x:c>
      <x:c r="R3947" s="18" t="n">
        <x:v>0</x:v>
      </x:c>
      <x:c r="S3947" s="18" t="n">
        <x:v>580.0995825242846</x:v>
      </x:c>
      <x:c r="T3947" s="18" t="n">
        <x:v>648</x:v>
      </x:c>
      <x:c r="U3947" s="18" t="n">
        <x:v>580.0995825242846</x:v>
      </x:c>
      <x:c r="V3947" s="20" t="n">
        <x:v>12</x:v>
      </x:c>
      <x:c r="W3947" s="20" t="n">
        <x:v>5</x:v>
      </x:c>
      <x:c r="X3947" s="20" t="n">
        <x:v>3</x:v>
      </x:c>
      <x:c r="Y3947" t="str">
        <x:v>Basis arsip 2025/2024</x:v>
      </x:c>
      <x:c r="Z3947" t="str">
        <x:v>https://snpmb.id/utbk-snbt/daya-tampung-snbt</x:v>
      </x:c>
      <x:c r="AA3947" t="str">
        <x:v>Tidak Ada</x:v>
      </x:c>
      <x:c r="AB3947" t="str">
        <x:v>Campus=55; Ratio=32.2; Prodi=40; RelDemand=31.3; Capacity=55.0</x:v>
      </x:c>
    </x:row>
    <x:row r="3948">
      <x:c r="A3948" t="n">
        <x:v>3945</x:v>
      </x:c>
      <x:c r="B3948" t="str">
        <x:v>PTN Vokasi</x:v>
      </x:c>
      <x:c r="C3948" t="str">
        <x:v>POLITEKNIK NEGERI BATAM</x:v>
      </x:c>
      <x:c r="D3948" t="str">
        <x:v>ANIMASI</x:v>
      </x:c>
      <x:c r="E3948" t="str">
        <x:v>Sarjana Terapan</x:v>
      </x:c>
      <x:c r="F3948" s="18" t="n">
        <x:v>27</x:v>
      </x:c>
      <x:c r="G3948" s="18" t="n">
        <x:v>84</x:v>
      </x:c>
      <x:c r="H3948" s="19" t="n">
        <x:v>3.111111111111111</x:v>
      </x:c>
      <x:c r="I3948" s="18" t="n">
        <x:f>ROUND(MIN(Model_Config_v3!$B$6,MAX(Q3948,R3948,S3948*Model_Config_v3!$B$4+T3948*Model_Config_v3!$B$5)),0)</x:f>
        <x:v>627</x:v>
      </x:c>
      <x:c r="J3948" s="18" t="n">
        <x:f>MIN(Model_Config_v3!$B$6,I3948+Model_Config_v3!$B$7)</x:f>
        <x:v>647</x:v>
      </x:c>
      <x:c r="K3948" s="20" t="n">
        <x:v>45</x:v>
      </x:c>
      <x:c r="L3948" t="str">
        <x:v>MENENGAH</x:v>
      </x:c>
      <x:c r="M3948" t="str">
        <x:v>SEDANG</x:v>
      </x:c>
      <x:c r="N3948" t="str">
        <x:v>REGULER</x:v>
      </x:c>
      <x:c r="O3948" t="str">
        <x:v>CAMPURAN</x:v>
      </x:c>
      <x:c r="P3948" t="str">
        <x:v>UMUM</x:v>
      </x:c>
      <x:c r="Q3948" s="18" t="n">
        <x:v>0</x:v>
      </x:c>
      <x:c r="R3948" s="18" t="n">
        <x:v>0</x:v>
      </x:c>
      <x:c r="S3948" s="18" t="n">
        <x:v>574.2207074093184</x:v>
      </x:c>
      <x:c r="T3948" s="18" t="n">
        <x:v>650</x:v>
      </x:c>
      <x:c r="U3948" s="18" t="n">
        <x:v>574.2207074093184</x:v>
      </x:c>
      <x:c r="V3948" s="20" t="n">
        <x:v>8.8</x:v>
      </x:c>
      <x:c r="W3948" s="20" t="n">
        <x:v>9.9</x:v>
      </x:c>
      <x:c r="X3948" s="20" t="n">
        <x:v>3.3</x:v>
      </x:c>
      <x:c r="Y3948" t="str">
        <x:v>Basis arsip 2025/2024</x:v>
      </x:c>
      <x:c r="Z3948" t="str">
        <x:v>https://snpmb.id/utbk-snbt/daya-tampung-snbt</x:v>
      </x:c>
      <x:c r="AA3948" t="str">
        <x:v>Tidak Ada</x:v>
      </x:c>
      <x:c r="AB3948" t="str">
        <x:v>Campus=55; Ratio=29.0; Prodi=40; RelDemand=27.7; Capacity=77.5</x:v>
      </x:c>
    </x:row>
    <x:row r="3949">
      <x:c r="A3949" t="n">
        <x:v>3946</x:v>
      </x:c>
      <x:c r="B3949" t="str">
        <x:v>PTN Vokasi</x:v>
      </x:c>
      <x:c r="C3949" t="str">
        <x:v>POLITEKNIK NEGERI BATAM</x:v>
      </x:c>
      <x:c r="D3949" t="str">
        <x:v>REKAYASA KEAMANAN SIBER</x:v>
      </x:c>
      <x:c r="E3949" t="str">
        <x:v>Sarjana Terapan</x:v>
      </x:c>
      <x:c r="F3949" s="18" t="n">
        <x:v>27</x:v>
      </x:c>
      <x:c r="G3949" s="18" t="n">
        <x:v>190</x:v>
      </x:c>
      <x:c r="H3949" s="19" t="n">
        <x:v>7.037037037037037</x:v>
      </x:c>
      <x:c r="I3949" s="18" t="n">
        <x:f>ROUND(MIN(Model_Config_v3!$B$6,MAX(Q3949,R3949,S3949*Model_Config_v3!$B$4+T3949*Model_Config_v3!$B$5)),0)</x:f>
        <x:v>651</x:v>
      </x:c>
      <x:c r="J3949" s="18" t="n">
        <x:f>MIN(Model_Config_v3!$B$6,I3949+Model_Config_v3!$B$7)</x:f>
        <x:v>671</x:v>
      </x:c>
      <x:c r="K3949" s="20" t="n">
        <x:v>53.7</x:v>
      </x:c>
      <x:c r="L3949" t="str">
        <x:v>MENENGAH</x:v>
      </x:c>
      <x:c r="M3949" t="str">
        <x:v>SEDANG</x:v>
      </x:c>
      <x:c r="N3949" t="str">
        <x:v>REGULER</x:v>
      </x:c>
      <x:c r="O3949" t="str">
        <x:v>CAMPURAN</x:v>
      </x:c>
      <x:c r="P3949" t="str">
        <x:v>UMUM</x:v>
      </x:c>
      <x:c r="Q3949" s="18" t="n">
        <x:v>0</x:v>
      </x:c>
      <x:c r="R3949" s="18" t="n">
        <x:v>0</x:v>
      </x:c>
      <x:c r="S3949" s="18" t="n">
        <x:v>613.2128820473226</x:v>
      </x:c>
      <x:c r="T3949" s="18" t="n">
        <x:v>667</x:v>
      </x:c>
      <x:c r="U3949" s="18" t="n">
        <x:v>613.2128820473226</x:v>
      </x:c>
      <x:c r="V3949" s="20" t="n">
        <x:v>8.8</x:v>
      </x:c>
      <x:c r="W3949" s="20" t="n">
        <x:v>9.9</x:v>
      </x:c>
      <x:c r="X3949" s="20" t="n">
        <x:v>3.3</x:v>
      </x:c>
      <x:c r="Y3949" t="str">
        <x:v>Basis arsip 2025/2024</x:v>
      </x:c>
      <x:c r="Z3949" t="str">
        <x:v>https://snpmb.id/utbk-snbt/daya-tampung-snbt</x:v>
      </x:c>
      <x:c r="AA3949" t="str">
        <x:v>Tidak Ada</x:v>
      </x:c>
      <x:c r="AB3949" t="str">
        <x:v>Campus=55; Ratio=49.9; Prodi=40; RelDemand=62.6; Capacity=77.5</x:v>
      </x:c>
    </x:row>
    <x:row r="3950">
      <x:c r="A3950" t="n">
        <x:v>3947</x:v>
      </x:c>
      <x:c r="B3950" t="str">
        <x:v>PTN Vokasi</x:v>
      </x:c>
      <x:c r="C3950" t="str">
        <x:v>POLITEKNIK NEGERI BATAM</x:v>
      </x:c>
      <x:c r="D3950" t="str">
        <x:v>ADMINISTRASI BISNIS TERAPAN</x:v>
      </x:c>
      <x:c r="E3950" t="str">
        <x:v>Sarjana Terapan</x:v>
      </x:c>
      <x:c r="F3950" s="18" t="n">
        <x:v>54</x:v>
      </x:c>
      <x:c r="G3950" s="18" t="n">
        <x:v>755</x:v>
      </x:c>
      <x:c r="H3950" s="19" t="n">
        <x:v>13.981481481481481</x:v>
      </x:c>
      <x:c r="I3950" s="18" t="n">
        <x:f>ROUND(MIN(Model_Config_v3!$B$6,MAX(Q3950,R3950,S3950*Model_Config_v3!$B$4+T3950*Model_Config_v3!$B$5)),0)</x:f>
        <x:v>676</x:v>
      </x:c>
      <x:c r="J3950" s="18" t="n">
        <x:f>MIN(Model_Config_v3!$B$6,I3950+Model_Config_v3!$B$7)</x:f>
        <x:v>696</x:v>
      </x:c>
      <x:c r="K3950" s="20" t="n">
        <x:v>64.6</x:v>
      </x:c>
      <x:c r="L3950" t="str">
        <x:v>KETAT</x:v>
      </x:c>
      <x:c r="M3950" t="str">
        <x:v>SEDANG+</x:v>
      </x:c>
      <x:c r="N3950" t="str">
        <x:v>REGULER</x:v>
      </x:c>
      <x:c r="O3950" t="str">
        <x:v>SOSHUM</x:v>
      </x:c>
      <x:c r="P3950" t="str">
        <x:v>BISNIS/EKONOMI/AKUNTANSI</x:v>
      </x:c>
      <x:c r="Q3950" s="18" t="n">
        <x:v>0</x:v>
      </x:c>
      <x:c r="R3950" s="18" t="n">
        <x:v>0</x:v>
      </x:c>
      <x:c r="S3950" s="18" t="n">
        <x:v>646.0108510986842</x:v>
      </x:c>
      <x:c r="T3950" s="18" t="n">
        <x:v>689</x:v>
      </x:c>
      <x:c r="U3950" s="18" t="n">
        <x:v>661.0108510986842</x:v>
      </x:c>
      <x:c r="V3950" s="20" t="n">
        <x:v>4.4</x:v>
      </x:c>
      <x:c r="W3950" s="20" t="n">
        <x:v>14.3</x:v>
      </x:c>
      <x:c r="X3950" s="20" t="n">
        <x:v>3.3</x:v>
      </x:c>
      <x:c r="Y3950" t="str">
        <x:v>Basis arsip 2025/2024</x:v>
      </x:c>
      <x:c r="Z3950" t="str">
        <x:v>https://snpmb.id/utbk-snbt/daya-tampung-snbt</x:v>
      </x:c>
      <x:c r="AA3950" t="str">
        <x:v>Tidak Ada</x:v>
      </x:c>
      <x:c r="AB3950" t="str">
        <x:v>Campus=55; Ratio=67.4; Prodi=65; RelDemand=100.0; Capacity=55.0</x:v>
      </x:c>
    </x:row>
    <x:row r="3951">
      <x:c r="A3951" t="n">
        <x:v>3948</x:v>
      </x:c>
      <x:c r="B3951" t="str">
        <x:v>PTN Vokasi</x:v>
      </x:c>
      <x:c r="C3951" t="str">
        <x:v>POLITEKNIK NEGERI BATAM</x:v>
      </x:c>
      <x:c r="D3951" t="str">
        <x:v>AKUNTANSI MANAJERIAL</x:v>
      </x:c>
      <x:c r="E3951" t="str">
        <x:v>Sarjana Terapan</x:v>
      </x:c>
      <x:c r="F3951" s="18" t="n">
        <x:v>54</x:v>
      </x:c>
      <x:c r="G3951" s="18" t="n">
        <x:v>413</x:v>
      </x:c>
      <x:c r="H3951" s="19" t="n">
        <x:v>7.648148148148148</x:v>
      </x:c>
      <x:c r="I3951" s="18" t="n">
        <x:f>ROUND(MIN(Model_Config_v3!$B$6,MAX(Q3951,R3951,S3951*Model_Config_v3!$B$4+T3951*Model_Config_v3!$B$5)),0)</x:f>
        <x:v>658</x:v>
      </x:c>
      <x:c r="J3951" s="18" t="n">
        <x:f>MIN(Model_Config_v3!$B$6,I3951+Model_Config_v3!$B$7)</x:f>
        <x:v>678</x:v>
      </x:c>
      <x:c r="K3951" s="20" t="n">
        <x:v>57.6</x:v>
      </x:c>
      <x:c r="L3951" t="str">
        <x:v>KETAT</x:v>
      </x:c>
      <x:c r="M3951" t="str">
        <x:v>SEDANG+</x:v>
      </x:c>
      <x:c r="N3951" t="str">
        <x:v>REGULER</x:v>
      </x:c>
      <x:c r="O3951" t="str">
        <x:v>SOSHUM</x:v>
      </x:c>
      <x:c r="P3951" t="str">
        <x:v>BISNIS/EKONOMI/AKUNTANSI</x:v>
      </x:c>
      <x:c r="Q3951" s="18" t="n">
        <x:v>0</x:v>
      </x:c>
      <x:c r="R3951" s="18" t="n">
        <x:v>0</x:v>
      </x:c>
      <x:c r="S3951" s="18" t="n">
        <x:v>617.1911921016775</x:v>
      </x:c>
      <x:c r="T3951" s="18" t="n">
        <x:v>675</x:v>
      </x:c>
      <x:c r="U3951" s="18" t="n">
        <x:v>617.1911921016775</x:v>
      </x:c>
      <x:c r="V3951" s="20" t="n">
        <x:v>4.4</x:v>
      </x:c>
      <x:c r="W3951" s="20" t="n">
        <x:v>14.3</x:v>
      </x:c>
      <x:c r="X3951" s="20" t="n">
        <x:v>3.3</x:v>
      </x:c>
      <x:c r="Y3951" t="str">
        <x:v>Basis arsip 2025/2024</x:v>
      </x:c>
      <x:c r="Z3951" t="str">
        <x:v>https://snpmb.id/utbk-snbt/daya-tampung-snbt</x:v>
      </x:c>
      <x:c r="AA3951" t="str">
        <x:v>Tidak Ada</x:v>
      </x:c>
      <x:c r="AB3951" t="str">
        <x:v>Campus=55; Ratio=52.0; Prodi=65; RelDemand=68.1; Capacity=55.0</x:v>
      </x:c>
    </x:row>
    <x:row r="3952">
      <x:c r="A3952" t="n">
        <x:v>3949</x:v>
      </x:c>
      <x:c r="B3952" t="str">
        <x:v>PTN Vokasi</x:v>
      </x:c>
      <x:c r="C3952" t="str">
        <x:v>POLITEKNIK NEGERI BATAM</x:v>
      </x:c>
      <x:c r="D3952" t="str">
        <x:v>LOGISTIK PERDAGANGAN INTERNASIONAL</x:v>
      </x:c>
      <x:c r="E3952" t="str">
        <x:v>Sarjana Terapan</x:v>
      </x:c>
      <x:c r="F3952" s="18" t="n">
        <x:v>54</x:v>
      </x:c>
      <x:c r="G3952" s="18" t="n">
        <x:v>599</x:v>
      </x:c>
      <x:c r="H3952" s="19" t="n">
        <x:v>11.092592592592593</x:v>
      </x:c>
      <x:c r="I3952" s="18" t="n">
        <x:f>ROUND(MIN(Model_Config_v3!$B$6,MAX(Q3952,R3952,S3952*Model_Config_v3!$B$4+T3952*Model_Config_v3!$B$5)),0)</x:f>
        <x:v>664</x:v>
      </x:c>
      <x:c r="J3952" s="18" t="n">
        <x:f>MIN(Model_Config_v3!$B$6,I3952+Model_Config_v3!$B$7)</x:f>
        <x:v>684</x:v>
      </x:c>
      <x:c r="K3952" s="20" t="n">
        <x:v>58</x:v>
      </x:c>
      <x:c r="L3952" t="str">
        <x:v>KETAT</x:v>
      </x:c>
      <x:c r="M3952" t="str">
        <x:v>SEDANG</x:v>
      </x:c>
      <x:c r="N3952" t="str">
        <x:v>REGULER</x:v>
      </x:c>
      <x:c r="O3952" t="str">
        <x:v>CAMPURAN</x:v>
      </x:c>
      <x:c r="P3952" t="str">
        <x:v>UMUM</x:v>
      </x:c>
      <x:c r="Q3952" s="18" t="n">
        <x:v>0</x:v>
      </x:c>
      <x:c r="R3952" s="18" t="n">
        <x:v>0</x:v>
      </x:c>
      <x:c r="S3952" s="18" t="n">
        <x:v>634.9536368822977</x:v>
      </x:c>
      <x:c r="T3952" s="18" t="n">
        <x:v>676</x:v>
      </x:c>
      <x:c r="U3952" s="18" t="n">
        <x:v>634.9536368822977</x:v>
      </x:c>
      <x:c r="V3952" s="20" t="n">
        <x:v>8.8</x:v>
      </x:c>
      <x:c r="W3952" s="20" t="n">
        <x:v>9.9</x:v>
      </x:c>
      <x:c r="X3952" s="20" t="n">
        <x:v>3.3</x:v>
      </x:c>
      <x:c r="Y3952" t="str">
        <x:v>Basis arsip 2025/2024</x:v>
      </x:c>
      <x:c r="Z3952" t="str">
        <x:v>https://snpmb.id/utbk-snbt/daya-tampung-snbt</x:v>
      </x:c>
      <x:c r="AA3952" t="str">
        <x:v>Tidak Ada</x:v>
      </x:c>
      <x:c r="AB3952" t="str">
        <x:v>Campus=55; Ratio=61.5; Prodi=40; RelDemand=98.7; Capacity=55.0</x:v>
      </x:c>
    </x:row>
    <x:row r="3953">
      <x:c r="A3953" t="n">
        <x:v>3950</x:v>
      </x:c>
      <x:c r="B3953" t="str">
        <x:v>PTN Vokasi</x:v>
      </x:c>
      <x:c r="C3953" t="str">
        <x:v>POLITEKNIK NEGERI BATAM</x:v>
      </x:c>
      <x:c r="D3953" t="str">
        <x:v>TEKNOLOGI REKAYASA ELEKTRONIKA</x:v>
      </x:c>
      <x:c r="E3953" t="str">
        <x:v>Sarjana Terapan</x:v>
      </x:c>
      <x:c r="F3953" s="18" t="n">
        <x:v>27</x:v>
      </x:c>
      <x:c r="G3953" s="18" t="n">
        <x:v>118</x:v>
      </x:c>
      <x:c r="H3953" s="19" t="n">
        <x:v>4.37037037037037</x:v>
      </x:c>
      <x:c r="I3953" s="18" t="n">
        <x:f>ROUND(MIN(Model_Config_v3!$B$6,MAX(Q3953,R3953,S3953*Model_Config_v3!$B$4+T3953*Model_Config_v3!$B$5)),0)</x:f>
        <x:v>637</x:v>
      </x:c>
      <x:c r="J3953" s="18" t="n">
        <x:f>MIN(Model_Config_v3!$B$6,I3953+Model_Config_v3!$B$7)</x:f>
        <x:v>657</x:v>
      </x:c>
      <x:c r="K3953" s="20" t="n">
        <x:v>48.3</x:v>
      </x:c>
      <x:c r="L3953" t="str">
        <x:v>MENENGAH</x:v>
      </x:c>
      <x:c r="M3953" t="str">
        <x:v>SEDANG</x:v>
      </x:c>
      <x:c r="N3953" t="str">
        <x:v>REGULER</x:v>
      </x:c>
      <x:c r="O3953" t="str">
        <x:v>SAINTEK</x:v>
      </x:c>
      <x:c r="P3953" t="str">
        <x:v>UMUM</x:v>
      </x:c>
      <x:c r="Q3953" s="18" t="n">
        <x:v>0</x:v>
      </x:c>
      <x:c r="R3953" s="18" t="n">
        <x:v>0</x:v>
      </x:c>
      <x:c r="S3953" s="18" t="n">
        <x:v>590.4570067461852</x:v>
      </x:c>
      <x:c r="T3953" s="18" t="n">
        <x:v>657</x:v>
      </x:c>
      <x:c r="U3953" s="18" t="n">
        <x:v>590.4570067461852</x:v>
      </x:c>
      <x:c r="V3953" s="20" t="n">
        <x:v>12</x:v>
      </x:c>
      <x:c r="W3953" s="20" t="n">
        <x:v>5</x:v>
      </x:c>
      <x:c r="X3953" s="20" t="n">
        <x:v>3</x:v>
      </x:c>
      <x:c r="Y3953" t="str">
        <x:v>Basis arsip 2025/2024</x:v>
      </x:c>
      <x:c r="Z3953" t="str">
        <x:v>https://snpmb.id/utbk-snbt/daya-tampung-snbt</x:v>
      </x:c>
      <x:c r="AA3953" t="str">
        <x:v>Tidak Ada</x:v>
      </x:c>
      <x:c r="AB3953" t="str">
        <x:v>Campus=55; Ratio=37.7; Prodi=40; RelDemand=38.9; Capacity=77.5</x:v>
      </x:c>
    </x:row>
    <x:row r="3954">
      <x:c r="A3954" t="n">
        <x:v>3951</x:v>
      </x:c>
      <x:c r="B3954" t="str">
        <x:v>PTN Vokasi</x:v>
      </x:c>
      <x:c r="C3954" t="str">
        <x:v>POLITEKNIK NEGERI BATAM</x:v>
      </x:c>
      <x:c r="D3954" t="str">
        <x:v>TEKNOLOGI REKAYASA KONSTRUKSI PERKAPALAN</x:v>
      </x:c>
      <x:c r="E3954" t="str">
        <x:v>Sarjana Terapan</x:v>
      </x:c>
      <x:c r="F3954" s="18" t="n">
        <x:v>41</x:v>
      </x:c>
      <x:c r="G3954" s="18" t="n">
        <x:v>212</x:v>
      </x:c>
      <x:c r="H3954" s="19" t="n">
        <x:v>5.170731707317073</x:v>
      </x:c>
      <x:c r="I3954" s="18" t="n">
        <x:f>ROUND(MIN(Model_Config_v3!$B$6,MAX(Q3954,R3954,S3954*Model_Config_v3!$B$4+T3954*Model_Config_v3!$B$5)),0)</x:f>
        <x:v>640</x:v>
      </x:c>
      <x:c r="J3954" s="18" t="n">
        <x:f>MIN(Model_Config_v3!$B$6,I3954+Model_Config_v3!$B$7)</x:f>
        <x:v>660</x:v>
      </x:c>
      <x:c r="K3954" s="20" t="n">
        <x:v>48.9</x:v>
      </x:c>
      <x:c r="L3954" t="str">
        <x:v>MENENGAH</x:v>
      </x:c>
      <x:c r="M3954" t="str">
        <x:v>SEDANG</x:v>
      </x:c>
      <x:c r="N3954" t="str">
        <x:v>REGULER</x:v>
      </x:c>
      <x:c r="O3954" t="str">
        <x:v>SAINTEK</x:v>
      </x:c>
      <x:c r="P3954" t="str">
        <x:v>UMUM</x:v>
      </x:c>
      <x:c r="Q3954" s="18" t="n">
        <x:v>0</x:v>
      </x:c>
      <x:c r="R3954" s="18" t="n">
        <x:v>0</x:v>
      </x:c>
      <x:c r="S3954" s="18" t="n">
        <x:v>598.4907204629917</x:v>
      </x:c>
      <x:c r="T3954" s="18" t="n">
        <x:v>658</x:v>
      </x:c>
      <x:c r="U3954" s="18" t="n">
        <x:v>598.4907204629917</x:v>
      </x:c>
      <x:c r="V3954" s="20" t="n">
        <x:v>12</x:v>
      </x:c>
      <x:c r="W3954" s="20" t="n">
        <x:v>5</x:v>
      </x:c>
      <x:c r="X3954" s="20" t="n">
        <x:v>3</x:v>
      </x:c>
      <x:c r="Y3954" t="str">
        <x:v>Basis arsip 2025/2024</x:v>
      </x:c>
      <x:c r="Z3954" t="str">
        <x:v>https://snpmb.id/utbk-snbt/daya-tampung-snbt</x:v>
      </x:c>
      <x:c r="AA3954" t="str">
        <x:v>Tidak Ada</x:v>
      </x:c>
      <x:c r="AB3954" t="str">
        <x:v>Campus=55; Ratio=42.0; Prodi=40; RelDemand=46.0; Capacity=65.8</x:v>
      </x:c>
    </x:row>
    <x:row r="3955">
      <x:c r="A3955" t="n">
        <x:v>3952</x:v>
      </x:c>
      <x:c r="B3955" t="str">
        <x:v>PTN Vokasi</x:v>
      </x:c>
      <x:c r="C3955" t="str">
        <x:v>POLITEKNIK NEGERI BATAM</x:v>
      </x:c>
      <x:c r="D3955" t="str">
        <x:v>TEKNOLOGI REKAYASA PENGELASAN DAN FABRIKASI</x:v>
      </x:c>
      <x:c r="E3955" t="str">
        <x:v>Sarjana Terapan</x:v>
      </x:c>
      <x:c r="F3955" s="18" t="n">
        <x:v>27</x:v>
      </x:c>
      <x:c r="G3955" s="18" t="n">
        <x:v>109</x:v>
      </x:c>
      <x:c r="H3955" s="19" t="n">
        <x:v>4.037037037037037</x:v>
      </x:c>
      <x:c r="I3955" s="18" t="n">
        <x:f>ROUND(MIN(Model_Config_v3!$B$6,MAX(Q3955,R3955,S3955*Model_Config_v3!$B$4+T3955*Model_Config_v3!$B$5)),0)</x:f>
        <x:v>635</x:v>
      </x:c>
      <x:c r="J3955" s="18" t="n">
        <x:f>MIN(Model_Config_v3!$B$6,I3955+Model_Config_v3!$B$7)</x:f>
        <x:v>655</x:v>
      </x:c>
      <x:c r="K3955" s="20" t="n">
        <x:v>47.5</x:v>
      </x:c>
      <x:c r="L3955" t="str">
        <x:v>MENENGAH</x:v>
      </x:c>
      <x:c r="M3955" t="str">
        <x:v>SEDANG</x:v>
      </x:c>
      <x:c r="N3955" t="str">
        <x:v>REGULER</x:v>
      </x:c>
      <x:c r="O3955" t="str">
        <x:v>SAINTEK</x:v>
      </x:c>
      <x:c r="P3955" t="str">
        <x:v>UMUM</x:v>
      </x:c>
      <x:c r="Q3955" s="18" t="n">
        <x:v>0</x:v>
      </x:c>
      <x:c r="R3955" s="18" t="n">
        <x:v>0</x:v>
      </x:c>
      <x:c r="S3955" s="18" t="n">
        <x:v>586.66690071598</x:v>
      </x:c>
      <x:c r="T3955" s="18" t="n">
        <x:v>655</x:v>
      </x:c>
      <x:c r="U3955" s="18" t="n">
        <x:v>586.66690071598</x:v>
      </x:c>
      <x:c r="V3955" s="20" t="n">
        <x:v>12</x:v>
      </x:c>
      <x:c r="W3955" s="20" t="n">
        <x:v>5</x:v>
      </x:c>
      <x:c r="X3955" s="20" t="n">
        <x:v>3</x:v>
      </x:c>
      <x:c r="Y3955" t="str">
        <x:v>Basis arsip 2025/2024</x:v>
      </x:c>
      <x:c r="Z3955" t="str">
        <x:v>https://snpmb.id/utbk-snbt/daya-tampung-snbt</x:v>
      </x:c>
      <x:c r="AA3955" t="str">
        <x:v>Tidak Ada</x:v>
      </x:c>
      <x:c r="AB3955" t="str">
        <x:v>Campus=55; Ratio=35.7; Prodi=40; RelDemand=35.9; Capacity=77.5</x:v>
      </x:c>
    </x:row>
    <x:row r="3956">
      <x:c r="A3956" t="n">
        <x:v>3953</x:v>
      </x:c>
      <x:c r="B3956" t="str">
        <x:v>PTN Vokasi</x:v>
      </x:c>
      <x:c r="C3956" t="str">
        <x:v>POLITEKNIK NEGERI BATAM</x:v>
      </x:c>
      <x:c r="D3956" t="str">
        <x:v>TEKNOLOGI REKAYASA PERANGKAT LUNAK</x:v>
      </x:c>
      <x:c r="E3956" t="str">
        <x:v>Sarjana Terapan</x:v>
      </x:c>
      <x:c r="F3956" s="18" t="n">
        <x:v>41</x:v>
      </x:c>
      <x:c r="G3956" s="18" t="n">
        <x:v>196</x:v>
      </x:c>
      <x:c r="H3956" s="19" t="n">
        <x:v>4.780487804878049</x:v>
      </x:c>
      <x:c r="I3956" s="18" t="n">
        <x:f>ROUND(MIN(Model_Config_v3!$B$6,MAX(Q3956,R3956,S3956*Model_Config_v3!$B$4+T3956*Model_Config_v3!$B$5)),0)</x:f>
        <x:v>638</x:v>
      </x:c>
      <x:c r="J3956" s="18" t="n">
        <x:f>MIN(Model_Config_v3!$B$6,I3956+Model_Config_v3!$B$7)</x:f>
        <x:v>658</x:v>
      </x:c>
      <x:c r="K3956" s="20" t="n">
        <x:v>48.1</x:v>
      </x:c>
      <x:c r="L3956" t="str">
        <x:v>MENENGAH</x:v>
      </x:c>
      <x:c r="M3956" t="str">
        <x:v>SEDANG</x:v>
      </x:c>
      <x:c r="N3956" t="str">
        <x:v>REGULER</x:v>
      </x:c>
      <x:c r="O3956" t="str">
        <x:v>SAINTEK</x:v>
      </x:c>
      <x:c r="P3956" t="str">
        <x:v>UMUM</x:v>
      </x:c>
      <x:c r="Q3956" s="18" t="n">
        <x:v>0</x:v>
      </x:c>
      <x:c r="R3956" s="18" t="n">
        <x:v>0</x:v>
      </x:c>
      <x:c r="S3956" s="18" t="n">
        <x:v>594.7419436100414</x:v>
      </x:c>
      <x:c r="T3956" s="18" t="n">
        <x:v>656</x:v>
      </x:c>
      <x:c r="U3956" s="18" t="n">
        <x:v>594.7419436100414</x:v>
      </x:c>
      <x:c r="V3956" s="20" t="n">
        <x:v>12</x:v>
      </x:c>
      <x:c r="W3956" s="20" t="n">
        <x:v>5</x:v>
      </x:c>
      <x:c r="X3956" s="20" t="n">
        <x:v>3</x:v>
      </x:c>
      <x:c r="Y3956" t="str">
        <x:v>Basis arsip 2025/2024</x:v>
      </x:c>
      <x:c r="Z3956" t="str">
        <x:v>https://snpmb.id/utbk-snbt/daya-tampung-snbt</x:v>
      </x:c>
      <x:c r="AA3956" t="str">
        <x:v>Tidak Ada</x:v>
      </x:c>
      <x:c r="AB3956" t="str">
        <x:v>Campus=55; Ratio=40.0; Prodi=40; RelDemand=42.6; Capacity=65.8</x:v>
      </x:c>
    </x:row>
    <x:row r="3957">
      <x:c r="A3957" t="n">
        <x:v>3954</x:v>
      </x:c>
      <x:c r="B3957" t="str">
        <x:v>PTN Vokasi</x:v>
      </x:c>
      <x:c r="C3957" t="str">
        <x:v>POLITEKNIK NEGERI BATAM</x:v>
      </x:c>
      <x:c r="D3957" t="str">
        <x:v>TEKNOLOGI REKAYASA METALURGI</x:v>
      </x:c>
      <x:c r="E3957" t="str">
        <x:v>Sarjana Terapan</x:v>
      </x:c>
      <x:c r="F3957" s="18" t="n">
        <x:v>14</x:v>
      </x:c>
      <x:c r="G3957" s="18" t="n">
        <x:v>100</x:v>
      </x:c>
      <x:c r="H3957" s="19" t="n">
        <x:v>7.142857142857143</x:v>
      </x:c>
      <x:c r="I3957" s="18" t="n">
        <x:f>ROUND(MIN(Model_Config_v3!$B$6,MAX(Q3957,R3957,S3957*Model_Config_v3!$B$4+T3957*Model_Config_v3!$B$5)),0)</x:f>
        <x:v>653</x:v>
      </x:c>
      <x:c r="J3957" s="18" t="n">
        <x:f>MIN(Model_Config_v3!$B$6,I3957+Model_Config_v3!$B$7)</x:f>
        <x:v>673</x:v>
      </x:c>
      <x:c r="K3957" s="20" t="n">
        <x:v>55</x:v>
      </x:c>
      <x:c r="L3957" t="str">
        <x:v>KETAT</x:v>
      </x:c>
      <x:c r="M3957" t="str">
        <x:v>SEDANG</x:v>
      </x:c>
      <x:c r="N3957" t="str">
        <x:v>REGULER</x:v>
      </x:c>
      <x:c r="O3957" t="str">
        <x:v>SAINTEK</x:v>
      </x:c>
      <x:c r="P3957" t="str">
        <x:v>UMUM</x:v>
      </x:c>
      <x:c r="Q3957" s="18" t="n">
        <x:v>0</x:v>
      </x:c>
      <x:c r="R3957" s="18" t="n">
        <x:v>0</x:v>
      </x:c>
      <x:c r="S3957" s="18" t="n">
        <x:v>613.9259160753938</x:v>
      </x:c>
      <x:c r="T3957" s="18" t="n">
        <x:v>670</x:v>
      </x:c>
      <x:c r="U3957" s="18" t="n">
        <x:v>613.9259160753938</x:v>
      </x:c>
      <x:c r="V3957" s="20" t="n">
        <x:v>12</x:v>
      </x:c>
      <x:c r="W3957" s="20" t="n">
        <x:v>5</x:v>
      </x:c>
      <x:c r="X3957" s="20" t="n">
        <x:v>3</x:v>
      </x:c>
      <x:c r="Y3957" t="str">
        <x:v>Basis arsip 2025/2024</x:v>
      </x:c>
      <x:c r="Z3957" t="str">
        <x:v>https://snpmb.id/utbk-snbt/daya-tampung-snbt</x:v>
      </x:c>
      <x:c r="AA3957" t="str">
        <x:v>Tidak Ada</x:v>
      </x:c>
      <x:c r="AB3957" t="str">
        <x:v>Campus=55; Ratio=50.3; Prodi=40; RelDemand=63.6; Capacity=88.3</x:v>
      </x:c>
    </x:row>
    <x:row r="3958">
      <x:c r="A3958" t="n">
        <x:v>3955</x:v>
      </x:c>
      <x:c r="B3958" t="str">
        <x:v>PTN Vokasi</x:v>
      </x:c>
      <x:c r="C3958" t="str">
        <x:v>POLITEKNIK NEGERI BATAM</x:v>
      </x:c>
      <x:c r="D3958" t="str">
        <x:v>TEKNOLOGI PERMAINAN</x:v>
      </x:c>
      <x:c r="E3958" t="str">
        <x:v>Sarjana Terapan</x:v>
      </x:c>
      <x:c r="F3958" s="18" t="n">
        <x:v>27</x:v>
      </x:c>
      <x:c r="G3958" s="18"/>
      <x:c r="H3958" s="19" t="n">
        <x:v>0</x:v>
      </x:c>
      <x:c r="I3958" s="18" t="n">
        <x:f>ROUND(MIN(Model_Config_v3!$B$6,MAX(Q3958,R3958,S3958*Model_Config_v3!$B$4+T3958*Model_Config_v3!$B$5)),0)</x:f>
        <x:v>597</x:v>
      </x:c>
      <x:c r="J3958" s="18" t="n">
        <x:f>MIN(Model_Config_v3!$B$6,I3958+Model_Config_v3!$B$7)</x:f>
        <x:v>617</x:v>
      </x:c>
      <x:c r="K3958" s="20" t="n">
        <x:v>35</x:v>
      </x:c>
      <x:c r="L3958" t="str">
        <x:v>RELATIF LONGGAR</x:v>
      </x:c>
      <x:c r="M3958" t="str">
        <x:v>RENDAH</x:v>
      </x:c>
      <x:c r="N3958" t="str">
        <x:v>REGULER</x:v>
      </x:c>
      <x:c r="O3958" t="str">
        <x:v>SAINTEK</x:v>
      </x:c>
      <x:c r="P3958" t="str">
        <x:v>UMUM</x:v>
      </x:c>
      <x:c r="Q3958" s="18" t="n">
        <x:v>0</x:v>
      </x:c>
      <x:c r="R3958" s="18" t="n">
        <x:v>0</x:v>
      </x:c>
      <x:c r="S3958" s="18" t="n">
        <x:v>520</x:v>
      </x:c>
      <x:c r="T3958" s="18" t="n">
        <x:v>630</x:v>
      </x:c>
      <x:c r="U3958" s="18" t="n">
        <x:v>520</x:v>
      </x:c>
      <x:c r="V3958" s="20" t="n">
        <x:v>12</x:v>
      </x:c>
      <x:c r="W3958" s="20" t="n">
        <x:v>5</x:v>
      </x:c>
      <x:c r="X3958" s="20" t="n">
        <x:v>3</x:v>
      </x:c>
      <x:c r="Y3958" t="str">
        <x:v>Basis arsip 2025/2024</x:v>
      </x:c>
      <x:c r="Z3958" t="str">
        <x:v>https://snpmb.id/utbk-snbt/daya-tampung-snbt</x:v>
      </x:c>
      <x:c r="AA3958" t="str">
        <x:v>Tidak Ada</x:v>
      </x:c>
      <x:c r="AB3958" t="str">
        <x:v>Campus=55; Ratio=0.0; Prodi=40; RelDemand=0.0; Capacity=77.5</x:v>
      </x:c>
    </x:row>
    <x:row r="3959">
      <x:c r="A3959" t="n">
        <x:v>3956</x:v>
      </x:c>
      <x:c r="B3959" t="str">
        <x:v>PTN Vokasi</x:v>
      </x:c>
      <x:c r="C3959" t="str">
        <x:v>POLITEKNIK NEGERI BATAM</x:v>
      </x:c>
      <x:c r="D3959" t="str">
        <x:v>TEKNIK INFORMATIKA</x:v>
      </x:c>
      <x:c r="E3959" t="str">
        <x:v>Diploma Tiga</x:v>
      </x:c>
      <x:c r="F3959" s="18" t="n">
        <x:v>54</x:v>
      </x:c>
      <x:c r="G3959" s="18" t="n">
        <x:v>650</x:v>
      </x:c>
      <x:c r="H3959" s="19" t="n">
        <x:v>12.037037037037036</x:v>
      </x:c>
      <x:c r="I3959" s="18" t="n">
        <x:f>ROUND(MIN(Model_Config_v3!$B$6,MAX(Q3959,R3959,S3959*Model_Config_v3!$B$4+T3959*Model_Config_v3!$B$5)),0)</x:f>
        <x:v>678</x:v>
      </x:c>
      <x:c r="J3959" s="18" t="n">
        <x:f>MIN(Model_Config_v3!$B$6,I3959+Model_Config_v3!$B$7)</x:f>
        <x:v>698</x:v>
      </x:c>
      <x:c r="K3959" s="20" t="n">
        <x:v>67.6</x:v>
      </x:c>
      <x:c r="L3959" t="str">
        <x:v>SANGAT KETAT</x:v>
      </x:c>
      <x:c r="M3959" t="str">
        <x:v>SEDANG+</x:v>
      </x:c>
      <x:c r="N3959" t="str">
        <x:v>REGULER</x:v>
      </x:c>
      <x:c r="O3959" t="str">
        <x:v>SAINTEK</x:v>
      </x:c>
      <x:c r="P3959" t="str">
        <x:v>KOMPUTER/INFORMATIKA</x:v>
      </x:c>
      <x:c r="Q3959" s="18" t="n">
        <x:v>0</x:v>
      </x:c>
      <x:c r="R3959" s="18" t="n">
        <x:v>0</x:v>
      </x:c>
      <x:c r="S3959" s="18" t="n">
        <x:v>638.8571556501876</x:v>
      </x:c>
      <x:c r="T3959" s="18" t="n">
        <x:v>695</x:v>
      </x:c>
      <x:c r="U3959" s="18" t="n">
        <x:v>663.8571556501876</x:v>
      </x:c>
      <x:c r="V3959" s="20" t="n">
        <x:v>12</x:v>
      </x:c>
      <x:c r="W3959" s="20" t="n">
        <x:v>5</x:v>
      </x:c>
      <x:c r="X3959" s="20" t="n">
        <x:v>3</x:v>
      </x:c>
      <x:c r="Y3959" t="str">
        <x:v>Basis arsip 2025/2024</x:v>
      </x:c>
      <x:c r="Z3959" t="str">
        <x:v>https://snpmb.id/utbk-snbt/daya-tampung-snbt</x:v>
      </x:c>
      <x:c r="AA3959" t="str">
        <x:v>Tidak Ada</x:v>
      </x:c>
      <x:c r="AB3959" t="str">
        <x:v>Campus=55; Ratio=63.6; Prodi=85; RelDemand=100.0; Capacity=55.0</x:v>
      </x:c>
    </x:row>
    <x:row r="3960">
      <x:c r="A3960" t="n">
        <x:v>3957</x:v>
      </x:c>
      <x:c r="B3960" t="str">
        <x:v>PTN Vokasi</x:v>
      </x:c>
      <x:c r="C3960" t="str">
        <x:v>POLITEKNIK NEGERI BATAM</x:v>
      </x:c>
      <x:c r="D3960" t="str">
        <x:v>TEKNIK ELEKTRONIKA MANUFAKTUR</x:v>
      </x:c>
      <x:c r="E3960" t="str">
        <x:v>Diploma Tiga</x:v>
      </x:c>
      <x:c r="F3960" s="18" t="n">
        <x:v>27</x:v>
      </x:c>
      <x:c r="G3960" s="18" t="n">
        <x:v>123</x:v>
      </x:c>
      <x:c r="H3960" s="19" t="n">
        <x:v>4.555555555555555</x:v>
      </x:c>
      <x:c r="I3960" s="18" t="n">
        <x:f>ROUND(MIN(Model_Config_v3!$B$6,MAX(Q3960,R3960,S3960*Model_Config_v3!$B$4+T3960*Model_Config_v3!$B$5)),0)</x:f>
        <x:v>643</x:v>
      </x:c>
      <x:c r="J3960" s="18" t="n">
        <x:f>MIN(Model_Config_v3!$B$6,I3960+Model_Config_v3!$B$7)</x:f>
        <x:v>663</x:v>
      </x:c>
      <x:c r="K3960" s="20" t="n">
        <x:v>52.7</x:v>
      </x:c>
      <x:c r="L3960" t="str">
        <x:v>MENENGAH</x:v>
      </x:c>
      <x:c r="M3960" t="str">
        <x:v>SEDANG+</x:v>
      </x:c>
      <x:c r="N3960" t="str">
        <x:v>REGULER</x:v>
      </x:c>
      <x:c r="O3960" t="str">
        <x:v>SAINTEK</x:v>
      </x:c>
      <x:c r="P3960" t="str">
        <x:v>TEKNIK/ARSITEKTUR/STATISTIKA/AKTUARIA</x:v>
      </x:c>
      <x:c r="Q3960" s="18" t="n">
        <x:v>0</x:v>
      </x:c>
      <x:c r="R3960" s="18" t="n">
        <x:v>0</x:v>
      </x:c>
      <x:c r="S3960" s="18" t="n">
        <x:v>592.4395482008451</x:v>
      </x:c>
      <x:c r="T3960" s="18" t="n">
        <x:v>665</x:v>
      </x:c>
      <x:c r="U3960" s="18" t="n">
        <x:v>602.4395482008451</x:v>
      </x:c>
      <x:c r="V3960" s="20" t="n">
        <x:v>12</x:v>
      </x:c>
      <x:c r="W3960" s="20" t="n">
        <x:v>5</x:v>
      </x:c>
      <x:c r="X3960" s="20" t="n">
        <x:v>3</x:v>
      </x:c>
      <x:c r="Y3960" t="str">
        <x:v>Basis arsip 2025/2024</x:v>
      </x:c>
      <x:c r="Z3960" t="str">
        <x:v>https://snpmb.id/utbk-snbt/daya-tampung-snbt</x:v>
      </x:c>
      <x:c r="AA3960" t="str">
        <x:v>Tidak Ada</x:v>
      </x:c>
      <x:c r="AB3960" t="str">
        <x:v>Campus=55; Ratio=38.8; Prodi=60; RelDemand=40.6; Capacity=77.5</x:v>
      </x:c>
    </x:row>
    <x:row r="3961">
      <x:c r="A3961" t="n">
        <x:v>3958</x:v>
      </x:c>
      <x:c r="B3961" t="str">
        <x:v>PTN Vokasi</x:v>
      </x:c>
      <x:c r="C3961" t="str">
        <x:v>POLITEKNIK NEGERI BATAM</x:v>
      </x:c>
      <x:c r="D3961" t="str">
        <x:v>AKUNTANSI</x:v>
      </x:c>
      <x:c r="E3961" t="str">
        <x:v>Diploma Tiga</x:v>
      </x:c>
      <x:c r="F3961" s="18" t="n">
        <x:v>41</x:v>
      </x:c>
      <x:c r="G3961" s="18" t="n">
        <x:v>411</x:v>
      </x:c>
      <x:c r="H3961" s="19" t="n">
        <x:v>10.024390243902438</x:v>
      </x:c>
      <x:c r="I3961" s="18" t="n">
        <x:f>ROUND(MIN(Model_Config_v3!$B$6,MAX(Q3961,R3961,S3961*Model_Config_v3!$B$4+T3961*Model_Config_v3!$B$5)),0)</x:f>
        <x:v>669</x:v>
      </x:c>
      <x:c r="J3961" s="18" t="n">
        <x:f>MIN(Model_Config_v3!$B$6,I3961+Model_Config_v3!$B$7)</x:f>
        <x:v>689</x:v>
      </x:c>
      <x:c r="K3961" s="20" t="n">
        <x:v>62.5</x:v>
      </x:c>
      <x:c r="L3961" t="str">
        <x:v>KETAT</x:v>
      </x:c>
      <x:c r="M3961" t="str">
        <x:v>SEDANG+</x:v>
      </x:c>
      <x:c r="N3961" t="str">
        <x:v>REGULER</x:v>
      </x:c>
      <x:c r="O3961" t="str">
        <x:v>SOSHUM</x:v>
      </x:c>
      <x:c r="P3961" t="str">
        <x:v>BISNIS/EKONOMI/AKUNTANSI</x:v>
      </x:c>
      <x:c r="Q3961" s="18" t="n">
        <x:v>0</x:v>
      </x:c>
      <x:c r="R3961" s="18" t="n">
        <x:v>0</x:v>
      </x:c>
      <x:c r="S3961" s="18" t="n">
        <x:v>630.1163761671967</x:v>
      </x:c>
      <x:c r="T3961" s="18" t="n">
        <x:v>685</x:v>
      </x:c>
      <x:c r="U3961" s="18" t="n">
        <x:v>630.1163761671967</x:v>
      </x:c>
      <x:c r="V3961" s="20" t="n">
        <x:v>4.4</x:v>
      </x:c>
      <x:c r="W3961" s="20" t="n">
        <x:v>14.3</x:v>
      </x:c>
      <x:c r="X3961" s="20" t="n">
        <x:v>3.3</x:v>
      </x:c>
      <x:c r="Y3961" t="str">
        <x:v>Basis arsip 2025/2024</x:v>
      </x:c>
      <x:c r="Z3961" t="str">
        <x:v>https://snpmb.id/utbk-snbt/daya-tampung-snbt</x:v>
      </x:c>
      <x:c r="AA3961" t="str">
        <x:v>Tidak Ada</x:v>
      </x:c>
      <x:c r="AB3961" t="str">
        <x:v>Campus=55; Ratio=58.9; Prodi=65; RelDemand=89.2; Capacity=65.8</x:v>
      </x:c>
    </x:row>
    <x:row r="3962">
      <x:c r="A3962" t="n">
        <x:v>3959</x:v>
      </x:c>
      <x:c r="B3962" t="str">
        <x:v>PTN Vokasi</x:v>
      </x:c>
      <x:c r="C3962" t="str">
        <x:v>POLITEKNIK NEGERI BATAM</x:v>
      </x:c>
      <x:c r="D3962" t="str">
        <x:v>TEKNIK INSTRUMENTASI</x:v>
      </x:c>
      <x:c r="E3962" t="str">
        <x:v>Diploma Tiga</x:v>
      </x:c>
      <x:c r="F3962" s="18" t="n">
        <x:v>27</x:v>
      </x:c>
      <x:c r="G3962" s="18" t="n">
        <x:v>46</x:v>
      </x:c>
      <x:c r="H3962" s="19" t="n">
        <x:v>1.7037037037037037</x:v>
      </x:c>
      <x:c r="I3962" s="18" t="n">
        <x:f>ROUND(MIN(Model_Config_v3!$B$6,MAX(Q3962,R3962,S3962*Model_Config_v3!$B$4+T3962*Model_Config_v3!$B$5)),0)</x:f>
        <x:v>617</x:v>
      </x:c>
      <x:c r="J3962" s="18" t="n">
        <x:f>MIN(Model_Config_v3!$B$6,I3962+Model_Config_v3!$B$7)</x:f>
        <x:v>637</x:v>
      </x:c>
      <x:c r="K3962" s="20" t="n">
        <x:v>43.9</x:v>
      </x:c>
      <x:c r="L3962" t="str">
        <x:v>RELATIF LONGGAR</x:v>
      </x:c>
      <x:c r="M3962" t="str">
        <x:v>SEDANG+</x:v>
      </x:c>
      <x:c r="N3962" t="str">
        <x:v>REGULER</x:v>
      </x:c>
      <x:c r="O3962" t="str">
        <x:v>SAINTEK</x:v>
      </x:c>
      <x:c r="P3962" t="str">
        <x:v>TEKNIK/ARSITEKTUR/STATISTIKA/AKTUARIA</x:v>
      </x:c>
      <x:c r="Q3962" s="18" t="n">
        <x:v>0</x:v>
      </x:c>
      <x:c r="R3962" s="18" t="n">
        <x:v>0</x:v>
      </x:c>
      <x:c r="S3962" s="18" t="n">
        <x:v>545.4533474274846</x:v>
      </x:c>
      <x:c r="T3962" s="18" t="n">
        <x:v>648</x:v>
      </x:c>
      <x:c r="U3962" s="18" t="n">
        <x:v>555.4533474274846</x:v>
      </x:c>
      <x:c r="V3962" s="20" t="n">
        <x:v>12</x:v>
      </x:c>
      <x:c r="W3962" s="20" t="n">
        <x:v>5</x:v>
      </x:c>
      <x:c r="X3962" s="20" t="n">
        <x:v>3</x:v>
      </x:c>
      <x:c r="Y3962" t="str">
        <x:v>Basis arsip 2025/2024</x:v>
      </x:c>
      <x:c r="Z3962" t="str">
        <x:v>https://snpmb.id/utbk-snbt/daya-tampung-snbt</x:v>
      </x:c>
      <x:c r="AA3962" t="str">
        <x:v>Tidak Ada</x:v>
      </x:c>
      <x:c r="AB3962" t="str">
        <x:v>Campus=55; Ratio=13.6; Prodi=60; RelDemand=15.2; Capacity=77.5</x:v>
      </x:c>
    </x:row>
    <x:row r="3963">
      <x:c r="A3963" t="n">
        <x:v>3960</x:v>
      </x:c>
      <x:c r="B3963" t="str">
        <x:v>PTN Vokasi</x:v>
      </x:c>
      <x:c r="C3963" t="str">
        <x:v>POLITEKNIK NEGERI BATAM</x:v>
      </x:c>
      <x:c r="D3963" t="str">
        <x:v>TEKNOLOGI GEOMATIKA</x:v>
      </x:c>
      <x:c r="E3963" t="str">
        <x:v>Diploma Tiga</x:v>
      </x:c>
      <x:c r="F3963" s="18" t="n">
        <x:v>41</x:v>
      </x:c>
      <x:c r="G3963" s="18" t="n">
        <x:v>90</x:v>
      </x:c>
      <x:c r="H3963" s="19" t="n">
        <x:v>2.1951219512195124</x:v>
      </x:c>
      <x:c r="I3963" s="18" t="n">
        <x:f>ROUND(MIN(Model_Config_v3!$B$6,MAX(Q3963,R3963,S3963*Model_Config_v3!$B$4+T3963*Model_Config_v3!$B$5)),0)</x:f>
        <x:v>617</x:v>
      </x:c>
      <x:c r="J3963" s="18" t="n">
        <x:f>MIN(Model_Config_v3!$B$6,I3963+Model_Config_v3!$B$7)</x:f>
        <x:v>637</x:v>
      </x:c>
      <x:c r="K3963" s="20" t="n">
        <x:v>40.8</x:v>
      </x:c>
      <x:c r="L3963" t="str">
        <x:v>RELATIF LONGGAR</x:v>
      </x:c>
      <x:c r="M3963" t="str">
        <x:v>SEDANG</x:v>
      </x:c>
      <x:c r="N3963" t="str">
        <x:v>REGULER</x:v>
      </x:c>
      <x:c r="O3963" t="str">
        <x:v>SAINTEK</x:v>
      </x:c>
      <x:c r="P3963" t="str">
        <x:v>UMUM</x:v>
      </x:c>
      <x:c r="Q3963" s="18" t="n">
        <x:v>0</x:v>
      </x:c>
      <x:c r="R3963" s="18" t="n">
        <x:v>0</x:v>
      </x:c>
      <x:c r="S3963" s="18" t="n">
        <x:v>557.5604517991549</x:v>
      </x:c>
      <x:c r="T3963" s="18" t="n">
        <x:v>642</x:v>
      </x:c>
      <x:c r="U3963" s="18" t="n">
        <x:v>557.5604517991549</x:v>
      </x:c>
      <x:c r="V3963" s="20" t="n">
        <x:v>12</x:v>
      </x:c>
      <x:c r="W3963" s="20" t="n">
        <x:v>5</x:v>
      </x:c>
      <x:c r="X3963" s="20" t="n">
        <x:v>3</x:v>
      </x:c>
      <x:c r="Y3963" t="str">
        <x:v>Basis arsip 2025/2024</x:v>
      </x:c>
      <x:c r="Z3963" t="str">
        <x:v>https://snpmb.id/utbk-snbt/daya-tampung-snbt</x:v>
      </x:c>
      <x:c r="AA3963" t="str">
        <x:v>Tidak Ada</x:v>
      </x:c>
      <x:c r="AB3963" t="str">
        <x:v>Campus=55; Ratio=20.1; Prodi=40; RelDemand=19.5; Capacity=65.8</x:v>
      </x:c>
    </x:row>
    <x:row r="3964">
      <x:c r="A3964" t="n">
        <x:v>3961</x:v>
      </x:c>
      <x:c r="B3964" t="str">
        <x:v>PTN Vokasi</x:v>
      </x:c>
      <x:c r="C3964" t="str">
        <x:v>POLITEKNIK NEGERI BATAM</x:v>
      </x:c>
      <x:c r="D3964" t="str">
        <x:v>TEKNIK MESIN</x:v>
      </x:c>
      <x:c r="E3964" t="str">
        <x:v>Diploma Tiga</x:v>
      </x:c>
      <x:c r="F3964" s="18" t="n">
        <x:v>41</x:v>
      </x:c>
      <x:c r="G3964" s="18" t="n">
        <x:v>308</x:v>
      </x:c>
      <x:c r="H3964" s="19" t="n">
        <x:v>7.512195121951219</x:v>
      </x:c>
      <x:c r="I3964" s="18" t="n">
        <x:f>ROUND(MIN(Model_Config_v3!$B$6,MAX(Q3964,R3964,S3964*Model_Config_v3!$B$4+T3964*Model_Config_v3!$B$5)),0)</x:f>
        <x:v>657</x:v>
      </x:c>
      <x:c r="J3964" s="18" t="n">
        <x:f>MIN(Model_Config_v3!$B$6,I3964+Model_Config_v3!$B$7)</x:f>
        <x:v>677</x:v>
      </x:c>
      <x:c r="K3964" s="20" t="n">
        <x:v>57.4</x:v>
      </x:c>
      <x:c r="L3964" t="str">
        <x:v>KETAT</x:v>
      </x:c>
      <x:c r="M3964" t="str">
        <x:v>SEDANG+</x:v>
      </x:c>
      <x:c r="N3964" t="str">
        <x:v>REGULER</x:v>
      </x:c>
      <x:c r="O3964" t="str">
        <x:v>SAINTEK</x:v>
      </x:c>
      <x:c r="P3964" t="str">
        <x:v>TEKNIK/ARSITEKTUR/STATISTIKA/AKTUARIA</x:v>
      </x:c>
      <x:c r="Q3964" s="18" t="n">
        <x:v>0</x:v>
      </x:c>
      <x:c r="R3964" s="18" t="n">
        <x:v>0</x:v>
      </x:c>
      <x:c r="S3964" s="18" t="n">
        <x:v>616.3343545758779</x:v>
      </x:c>
      <x:c r="T3964" s="18" t="n">
        <x:v>675</x:v>
      </x:c>
      <x:c r="U3964" s="18" t="n">
        <x:v>626.3343545758779</x:v>
      </x:c>
      <x:c r="V3964" s="20" t="n">
        <x:v>12</x:v>
      </x:c>
      <x:c r="W3964" s="20" t="n">
        <x:v>5</x:v>
      </x:c>
      <x:c r="X3964" s="20" t="n">
        <x:v>3</x:v>
      </x:c>
      <x:c r="Y3964" t="str">
        <x:v>Basis arsip 2025/2024</x:v>
      </x:c>
      <x:c r="Z3964" t="str">
        <x:v>https://snpmb.id/utbk-snbt/daya-tampung-snbt</x:v>
      </x:c>
      <x:c r="AA3964" t="str">
        <x:v>Tidak Ada</x:v>
      </x:c>
      <x:c r="AB3964" t="str">
        <x:v>Campus=55; Ratio=51.5; Prodi=60; RelDemand=66.9; Capacity=65.8</x:v>
      </x:c>
    </x:row>
    <x:row r="3965">
      <x:c r="A3965" t="n">
        <x:v>3962</x:v>
      </x:c>
      <x:c r="B3965" t="str">
        <x:v>PTN Vokasi</x:v>
      </x:c>
      <x:c r="C3965" t="str">
        <x:v>POLITEKNIK NEGERI BATAM</x:v>
      </x:c>
      <x:c r="D3965" t="str">
        <x:v>TEKNIK PERAWATAN PESAWAT UDARA</x:v>
      </x:c>
      <x:c r="E3965" t="str">
        <x:v>Diploma Tiga</x:v>
      </x:c>
      <x:c r="F3965" s="18" t="n">
        <x:v>43</x:v>
      </x:c>
      <x:c r="G3965" s="18" t="n">
        <x:v>209</x:v>
      </x:c>
      <x:c r="H3965" s="19" t="n">
        <x:v>4.8604651162790695</x:v>
      </x:c>
      <x:c r="I3965" s="18" t="n">
        <x:f>ROUND(MIN(Model_Config_v3!$B$6,MAX(Q3965,R3965,S3965*Model_Config_v3!$B$4+T3965*Model_Config_v3!$B$5)),0)</x:f>
        <x:v>643</x:v>
      </x:c>
      <x:c r="J3965" s="18" t="n">
        <x:f>MIN(Model_Config_v3!$B$6,I3965+Model_Config_v3!$B$7)</x:f>
        <x:v>663</x:v>
      </x:c>
      <x:c r="K3965" s="20" t="n">
        <x:v>52.1</x:v>
      </x:c>
      <x:c r="L3965" t="str">
        <x:v>MENENGAH</x:v>
      </x:c>
      <x:c r="M3965" t="str">
        <x:v>SEDANG+</x:v>
      </x:c>
      <x:c r="N3965" t="str">
        <x:v>REGULER</x:v>
      </x:c>
      <x:c r="O3965" t="str">
        <x:v>SAINTEK</x:v>
      </x:c>
      <x:c r="P3965" t="str">
        <x:v>TEKNIK/ARSITEKTUR/STATISTIKA/AKTUARIA</x:v>
      </x:c>
      <x:c r="Q3965" s="18" t="n">
        <x:v>0</x:v>
      </x:c>
      <x:c r="R3965" s="18" t="n">
        <x:v>0</x:v>
      </x:c>
      <x:c r="S3965" s="18" t="n">
        <x:v>595.5345613584614</x:v>
      </x:c>
      <x:c r="T3965" s="18" t="n">
        <x:v>664</x:v>
      </x:c>
      <x:c r="U3965" s="18" t="n">
        <x:v>605.5345613584614</x:v>
      </x:c>
      <x:c r="V3965" s="20" t="n">
        <x:v>12</x:v>
      </x:c>
      <x:c r="W3965" s="20" t="n">
        <x:v>5</x:v>
      </x:c>
      <x:c r="X3965" s="20" t="n">
        <x:v>3</x:v>
      </x:c>
      <x:c r="Y3965" t="str">
        <x:v>Basis arsip 2025/2024</x:v>
      </x:c>
      <x:c r="Z3965" t="str">
        <x:v>https://snpmb.id/utbk-snbt/daya-tampung-snbt</x:v>
      </x:c>
      <x:c r="AA3965" t="str">
        <x:v>Tidak Ada</x:v>
      </x:c>
      <x:c r="AB3965" t="str">
        <x:v>Campus=55; Ratio=40.4; Prodi=60; RelDemand=43.3; Capacity=64.2</x:v>
      </x:c>
    </x:row>
    <x:row r="3966">
      <x:c r="A3966" t="n">
        <x:v>3963</x:v>
      </x:c>
      <x:c r="B3966" t="str">
        <x:v>PTN Vokasi</x:v>
      </x:c>
      <x:c r="C3966" t="str">
        <x:v>POLITEKNIK NEGERI BENGKALIS</x:v>
      </x:c>
      <x:c r="D3966" t="str">
        <x:v>TEKNIK LISTRIK</x:v>
      </x:c>
      <x:c r="E3966" t="str">
        <x:v>Sarjana Terapan</x:v>
      </x:c>
      <x:c r="F3966" s="18" t="n">
        <x:v>52</x:v>
      </x:c>
      <x:c r="G3966" s="18" t="n">
        <x:v>49</x:v>
      </x:c>
      <x:c r="H3966" s="19" t="n">
        <x:v>0.9423076923076923</x:v>
      </x:c>
      <x:c r="I3966" s="18" t="n">
        <x:f>ROUND(MIN(Model_Config_v3!$B$6,MAX(Q3966,R3966,S3966*Model_Config_v3!$B$4+T3966*Model_Config_v3!$B$5)),0)</x:f>
        <x:v>603</x:v>
      </x:c>
      <x:c r="J3966" s="18" t="n">
        <x:f>MIN(Model_Config_v3!$B$6,I3966+Model_Config_v3!$B$7)</x:f>
        <x:v>623</x:v>
      </x:c>
      <x:c r="K3966" s="20" t="n">
        <x:v>39.5</x:v>
      </x:c>
      <x:c r="L3966" t="str">
        <x:v>RELATIF LONGGAR</x:v>
      </x:c>
      <x:c r="M3966" t="str">
        <x:v>SEDANG+</x:v>
      </x:c>
      <x:c r="N3966" t="str">
        <x:v>REGULER</x:v>
      </x:c>
      <x:c r="O3966" t="str">
        <x:v>SAINTEK</x:v>
      </x:c>
      <x:c r="P3966" t="str">
        <x:v>TEKNIK/ARSITEKTUR/STATISTIKA/AKTUARIA</x:v>
      </x:c>
      <x:c r="Q3966" s="18" t="n">
        <x:v>0</x:v>
      </x:c>
      <x:c r="R3966" s="18" t="n">
        <x:v>0</x:v>
      </x:c>
      <x:c r="S3966" s="18" t="n">
        <x:v>520</x:v>
      </x:c>
      <x:c r="T3966" s="18" t="n">
        <x:v>639</x:v>
      </x:c>
      <x:c r="U3966" s="18" t="n">
        <x:v>530</x:v>
      </x:c>
      <x:c r="V3966" s="20" t="n">
        <x:v>12</x:v>
      </x:c>
      <x:c r="W3966" s="20" t="n">
        <x:v>5</x:v>
      </x:c>
      <x:c r="X3966" s="20" t="n">
        <x:v>3</x:v>
      </x:c>
      <x:c r="Y3966" t="str">
        <x:v>Basis arsip 2025/2024</x:v>
      </x:c>
      <x:c r="Z3966" t="str">
        <x:v>https://snpmb.id/utbk-snbt/daya-tampung-snbt</x:v>
      </x:c>
      <x:c r="AA3966" t="str">
        <x:v>Tidak Ada</x:v>
      </x:c>
      <x:c r="AB3966" t="str">
        <x:v>Campus=55; Ratio=0.0; Prodi=60; RelDemand=25.4; Capacity=56.7</x:v>
      </x:c>
    </x:row>
    <x:row r="3967">
      <x:c r="A3967" t="n">
        <x:v>3964</x:v>
      </x:c>
      <x:c r="B3967" t="str">
        <x:v>PTN Vokasi</x:v>
      </x:c>
      <x:c r="C3967" t="str">
        <x:v>POLITEKNIK NEGERI BENGKALIS</x:v>
      </x:c>
      <x:c r="D3967" t="str">
        <x:v>TEKNIK MESIN PRODUKSI DAN PERAWATAN</x:v>
      </x:c>
      <x:c r="E3967" t="str">
        <x:v>Sarjana Terapan</x:v>
      </x:c>
      <x:c r="F3967" s="18" t="n">
        <x:v>34</x:v>
      </x:c>
      <x:c r="G3967" s="18" t="n">
        <x:v>47</x:v>
      </x:c>
      <x:c r="H3967" s="19" t="n">
        <x:v>1.3823529411764706</x:v>
      </x:c>
      <x:c r="I3967" s="18" t="n">
        <x:f>ROUND(MIN(Model_Config_v3!$B$6,MAX(Q3967,R3967,S3967*Model_Config_v3!$B$4+T3967*Model_Config_v3!$B$5)),0)</x:f>
        <x:v>614</x:v>
      </x:c>
      <x:c r="J3967" s="18" t="n">
        <x:f>MIN(Model_Config_v3!$B$6,I3967+Model_Config_v3!$B$7)</x:f>
        <x:v>634</x:v>
      </x:c>
      <x:c r="K3967" s="20" t="n">
        <x:v>44.2</x:v>
      </x:c>
      <x:c r="L3967" t="str">
        <x:v>RELATIF LONGGAR</x:v>
      </x:c>
      <x:c r="M3967" t="str">
        <x:v>SEDANG+</x:v>
      </x:c>
      <x:c r="N3967" t="str">
        <x:v>REGULER</x:v>
      </x:c>
      <x:c r="O3967" t="str">
        <x:v>SAINTEK</x:v>
      </x:c>
      <x:c r="P3967" t="str">
        <x:v>TEKNIK/ARSITEKTUR/STATISTIKA/AKTUARIA</x:v>
      </x:c>
      <x:c r="Q3967" s="18" t="n">
        <x:v>0</x:v>
      </x:c>
      <x:c r="R3967" s="18" t="n">
        <x:v>0</x:v>
      </x:c>
      <x:c r="S3967" s="18" t="n">
        <x:v>535.4680834982809</x:v>
      </x:c>
      <x:c r="T3967" s="18" t="n">
        <x:v>648</x:v>
      </x:c>
      <x:c r="U3967" s="18" t="n">
        <x:v>545.4680834982809</x:v>
      </x:c>
      <x:c r="V3967" s="20" t="n">
        <x:v>12</x:v>
      </x:c>
      <x:c r="W3967" s="20" t="n">
        <x:v>5</x:v>
      </x:c>
      <x:c r="X3967" s="20" t="n">
        <x:v>3</x:v>
      </x:c>
      <x:c r="Y3967" t="str">
        <x:v>Basis arsip 2025/2024</x:v>
      </x:c>
      <x:c r="Z3967" t="str">
        <x:v>https://snpmb.id/utbk-snbt/daya-tampung-snbt</x:v>
      </x:c>
      <x:c r="AA3967" t="str">
        <x:v>Tidak Ada</x:v>
      </x:c>
      <x:c r="AB3967" t="str">
        <x:v>Campus=55; Ratio=8.3; Prodi=60; RelDemand=37.3; Capacity=71.7</x:v>
      </x:c>
    </x:row>
    <x:row r="3968">
      <x:c r="A3968" t="n">
        <x:v>3965</x:v>
      </x:c>
      <x:c r="B3968" t="str">
        <x:v>PTN Vokasi</x:v>
      </x:c>
      <x:c r="C3968" t="str">
        <x:v>POLITEKNIK NEGERI BENGKALIS</x:v>
      </x:c>
      <x:c r="D3968" t="str">
        <x:v>TEKNIK PERANCANGAN JALAN DAN JEMBATAN</x:v>
      </x:c>
      <x:c r="E3968" t="str">
        <x:v>Sarjana Terapan</x:v>
      </x:c>
      <x:c r="F3968" s="18" t="n">
        <x:v>39</x:v>
      </x:c>
      <x:c r="G3968" s="18" t="n">
        <x:v>30</x:v>
      </x:c>
      <x:c r="H3968" s="19" t="n">
        <x:v>0.7692307692307693</x:v>
      </x:c>
      <x:c r="I3968" s="18" t="n">
        <x:f>ROUND(MIN(Model_Config_v3!$B$6,MAX(Q3968,R3968,S3968*Model_Config_v3!$B$4+T3968*Model_Config_v3!$B$5)),0)</x:f>
        <x:v>604</x:v>
      </x:c>
      <x:c r="J3968" s="18" t="n">
        <x:f>MIN(Model_Config_v3!$B$6,I3968+Model_Config_v3!$B$7)</x:f>
        <x:v>624</x:v>
      </x:c>
      <x:c r="K3968" s="20" t="n">
        <x:v>40.1</x:v>
      </x:c>
      <x:c r="L3968" t="str">
        <x:v>RELATIF LONGGAR</x:v>
      </x:c>
      <x:c r="M3968" t="str">
        <x:v>SEDANG+</x:v>
      </x:c>
      <x:c r="N3968" t="str">
        <x:v>REGULER</x:v>
      </x:c>
      <x:c r="O3968" t="str">
        <x:v>SAINTEK</x:v>
      </x:c>
      <x:c r="P3968" t="str">
        <x:v>TEKNIK/ARSITEKTUR/STATISTIKA/AKTUARIA</x:v>
      </x:c>
      <x:c r="Q3968" s="18" t="n">
        <x:v>0</x:v>
      </x:c>
      <x:c r="R3968" s="18" t="n">
        <x:v>0</x:v>
      </x:c>
      <x:c r="S3968" s="18" t="n">
        <x:v>520</x:v>
      </x:c>
      <x:c r="T3968" s="18" t="n">
        <x:v>640</x:v>
      </x:c>
      <x:c r="U3968" s="18" t="n">
        <x:v>530</x:v>
      </x:c>
      <x:c r="V3968" s="20" t="n">
        <x:v>12</x:v>
      </x:c>
      <x:c r="W3968" s="20" t="n">
        <x:v>5</x:v>
      </x:c>
      <x:c r="X3968" s="20" t="n">
        <x:v>3</x:v>
      </x:c>
      <x:c r="Y3968" t="str">
        <x:v>Basis arsip 2025/2024</x:v>
      </x:c>
      <x:c r="Z3968" t="str">
        <x:v>https://snpmb.id/utbk-snbt/daya-tampung-snbt</x:v>
      </x:c>
      <x:c r="AA3968" t="str">
        <x:v>Tidak Ada</x:v>
      </x:c>
      <x:c r="AB3968" t="str">
        <x:v>Campus=55; Ratio=0.0; Prodi=60; RelDemand=20.8; Capacity=67.5</x:v>
      </x:c>
    </x:row>
    <x:row r="3969">
      <x:c r="A3969" t="n">
        <x:v>3966</x:v>
      </x:c>
      <x:c r="B3969" t="str">
        <x:v>PTN Vokasi</x:v>
      </x:c>
      <x:c r="C3969" t="str">
        <x:v>POLITEKNIK NEGERI BENGKALIS</x:v>
      </x:c>
      <x:c r="D3969" t="str">
        <x:v>REKAYASA PERANGKAT LUNAK</x:v>
      </x:c>
      <x:c r="E3969" t="str">
        <x:v>Sarjana Terapan</x:v>
      </x:c>
      <x:c r="F3969" s="18" t="n">
        <x:v>34</x:v>
      </x:c>
      <x:c r="G3969" s="18" t="n">
        <x:v>74</x:v>
      </x:c>
      <x:c r="H3969" s="19" t="n">
        <x:v>2.176470588235294</x:v>
      </x:c>
      <x:c r="I3969" s="18" t="n">
        <x:f>ROUND(MIN(Model_Config_v3!$B$6,MAX(Q3969,R3969,S3969*Model_Config_v3!$B$4+T3969*Model_Config_v3!$B$5)),0)</x:f>
        <x:v>623</x:v>
      </x:c>
      <x:c r="J3969" s="18" t="n">
        <x:f>MIN(Model_Config_v3!$B$6,I3969+Model_Config_v3!$B$7)</x:f>
        <x:v>643</x:v>
      </x:c>
      <x:c r="K3969" s="20" t="n">
        <x:v>45.3</x:v>
      </x:c>
      <x:c r="L3969" t="str">
        <x:v>MENENGAH</x:v>
      </x:c>
      <x:c r="M3969" t="str">
        <x:v>SEDANG</x:v>
      </x:c>
      <x:c r="N3969" t="str">
        <x:v>REGULER</x:v>
      </x:c>
      <x:c r="O3969" t="str">
        <x:v>CAMPURAN</x:v>
      </x:c>
      <x:c r="P3969" t="str">
        <x:v>UMUM</x:v>
      </x:c>
      <x:c r="Q3969" s="18" t="n">
        <x:v>0</x:v>
      </x:c>
      <x:c r="R3969" s="18" t="n">
        <x:v>0</x:v>
      </x:c>
      <x:c r="S3969" s="18" t="n">
        <x:v>557.1528082957593</x:v>
      </x:c>
      <x:c r="T3969" s="18" t="n">
        <x:v>651</x:v>
      </x:c>
      <x:c r="U3969" s="18" t="n">
        <x:v>557.1528082957593</x:v>
      </x:c>
      <x:c r="V3969" s="20" t="n">
        <x:v>8.8</x:v>
      </x:c>
      <x:c r="W3969" s="20" t="n">
        <x:v>9.9</x:v>
      </x:c>
      <x:c r="X3969" s="20" t="n">
        <x:v>3.3</x:v>
      </x:c>
      <x:c r="Y3969" t="str">
        <x:v>Basis arsip 2025/2024</x:v>
      </x:c>
      <x:c r="Z3969" t="str">
        <x:v>https://snpmb.id/utbk-snbt/daya-tampung-snbt</x:v>
      </x:c>
      <x:c r="AA3969" t="str">
        <x:v>Tidak Ada</x:v>
      </x:c>
      <x:c r="AB3969" t="str">
        <x:v>Campus=55; Ratio=19.9; Prodi=40; RelDemand=58.8; Capacity=71.7</x:v>
      </x:c>
    </x:row>
    <x:row r="3970">
      <x:c r="A3970" t="n">
        <x:v>3967</x:v>
      </x:c>
      <x:c r="B3970" t="str">
        <x:v>PTN Vokasi</x:v>
      </x:c>
      <x:c r="C3970" t="str">
        <x:v>POLITEKNIK NEGERI BENGKALIS</x:v>
      </x:c>
      <x:c r="D3970" t="str">
        <x:v>TEKNOLOGI REKAYASA ARSITEKTUR PERKAPALAN</x:v>
      </x:c>
      <x:c r="E3970" t="str">
        <x:v>Sarjana Terapan</x:v>
      </x:c>
      <x:c r="F3970" s="18" t="n">
        <x:v>39</x:v>
      </x:c>
      <x:c r="G3970" s="18" t="n">
        <x:v>14</x:v>
      </x:c>
      <x:c r="H3970" s="19" t="n">
        <x:v>0.358974358974359</x:v>
      </x:c>
      <x:c r="I3970" s="18" t="n">
        <x:f>ROUND(MIN(Model_Config_v3!$B$6,MAX(Q3970,R3970,S3970*Model_Config_v3!$B$4+T3970*Model_Config_v3!$B$5)),0)</x:f>
        <x:v>603</x:v>
      </x:c>
      <x:c r="J3970" s="18" t="n">
        <x:f>MIN(Model_Config_v3!$B$6,I3970+Model_Config_v3!$B$7)</x:f>
        <x:v>623</x:v>
      </x:c>
      <x:c r="K3970" s="20" t="n">
        <x:v>39</x:v>
      </x:c>
      <x:c r="L3970" t="str">
        <x:v>RELATIF LONGGAR</x:v>
      </x:c>
      <x:c r="M3970" t="str">
        <x:v>SEDANG+</x:v>
      </x:c>
      <x:c r="N3970" t="str">
        <x:v>REGULER</x:v>
      </x:c>
      <x:c r="O3970" t="str">
        <x:v>SAINTEK</x:v>
      </x:c>
      <x:c r="P3970" t="str">
        <x:v>TEKNIK/ARSITEKTUR/STATISTIKA/AKTUARIA</x:v>
      </x:c>
      <x:c r="Q3970" s="18" t="n">
        <x:v>0</x:v>
      </x:c>
      <x:c r="R3970" s="18" t="n">
        <x:v>0</x:v>
      </x:c>
      <x:c r="S3970" s="18" t="n">
        <x:v>520</x:v>
      </x:c>
      <x:c r="T3970" s="18" t="n">
        <x:v>638</x:v>
      </x:c>
      <x:c r="U3970" s="18" t="n">
        <x:v>520</x:v>
      </x:c>
      <x:c r="V3970" s="20" t="n">
        <x:v>12</x:v>
      </x:c>
      <x:c r="W3970" s="20" t="n">
        <x:v>5</x:v>
      </x:c>
      <x:c r="X3970" s="20" t="n">
        <x:v>3</x:v>
      </x:c>
      <x:c r="Y3970" t="str">
        <x:v>Basis arsip 2025/2024</x:v>
      </x:c>
      <x:c r="Z3970" t="str">
        <x:v>https://snpmb.id/utbk-snbt/daya-tampung-snbt</x:v>
      </x:c>
      <x:c r="AA3970" t="str">
        <x:v>Tidak Ada</x:v>
      </x:c>
      <x:c r="AB3970" t="str">
        <x:v>Campus=55; Ratio=0.0; Prodi=60; RelDemand=9.7; Capacity=67.5</x:v>
      </x:c>
    </x:row>
    <x:row r="3971">
      <x:c r="A3971" t="n">
        <x:v>3968</x:v>
      </x:c>
      <x:c r="B3971" t="str">
        <x:v>PTN Vokasi</x:v>
      </x:c>
      <x:c r="C3971" t="str">
        <x:v>POLITEKNIK NEGERI BENGKALIS</x:v>
      </x:c>
      <x:c r="D3971" t="str">
        <x:v>KEAMANAN SISTEM INFORMASI</x:v>
      </x:c>
      <x:c r="E3971" t="str">
        <x:v>Sarjana Terapan</x:v>
      </x:c>
      <x:c r="F3971" s="18" t="n">
        <x:v>23</x:v>
      </x:c>
      <x:c r="G3971" s="18" t="n">
        <x:v>57</x:v>
      </x:c>
      <x:c r="H3971" s="19" t="n">
        <x:v>2.4782608695652173</x:v>
      </x:c>
      <x:c r="I3971" s="18" t="n">
        <x:f>ROUND(MIN(Model_Config_v3!$B$6,MAX(Q3971,R3971,S3971*Model_Config_v3!$B$4+T3971*Model_Config_v3!$B$5)),0)</x:f>
        <x:v>641</x:v>
      </x:c>
      <x:c r="J3971" s="18" t="n">
        <x:f>MIN(Model_Config_v3!$B$6,I3971+Model_Config_v3!$B$7)</x:f>
        <x:v>661</x:v>
      </x:c>
      <x:c r="K3971" s="20" t="n">
        <x:v>56.8</x:v>
      </x:c>
      <x:c r="L3971" t="str">
        <x:v>KETAT</x:v>
      </x:c>
      <x:c r="M3971" t="str">
        <x:v>SEDANG+</x:v>
      </x:c>
      <x:c r="N3971" t="str">
        <x:v>REGULER</x:v>
      </x:c>
      <x:c r="O3971" t="str">
        <x:v>CAMPURAN</x:v>
      </x:c>
      <x:c r="P3971" t="str">
        <x:v>KOMPUTER/INFORMATIKA</x:v>
      </x:c>
      <x:c r="Q3971" s="18" t="n">
        <x:v>0</x:v>
      </x:c>
      <x:c r="R3971" s="18" t="n">
        <x:v>0</x:v>
      </x:c>
      <x:c r="S3971" s="18" t="n">
        <x:v>563.3561721620388</x:v>
      </x:c>
      <x:c r="T3971" s="18" t="n">
        <x:v>674</x:v>
      </x:c>
      <x:c r="U3971" s="18" t="n">
        <x:v>588.3561721620388</x:v>
      </x:c>
      <x:c r="V3971" s="20" t="n">
        <x:v>8.8</x:v>
      </x:c>
      <x:c r="W3971" s="20" t="n">
        <x:v>9.9</x:v>
      </x:c>
      <x:c r="X3971" s="20" t="n">
        <x:v>3.3</x:v>
      </x:c>
      <x:c r="Y3971" t="str">
        <x:v>Basis arsip 2025/2024</x:v>
      </x:c>
      <x:c r="Z3971" t="str">
        <x:v>https://snpmb.id/utbk-snbt/daya-tampung-snbt</x:v>
      </x:c>
      <x:c r="AA3971" t="str">
        <x:v>Tidak Ada</x:v>
      </x:c>
      <x:c r="AB3971" t="str">
        <x:v>Campus=55; Ratio=23.2; Prodi=85; RelDemand=66.9; Capacity=80.8</x:v>
      </x:c>
    </x:row>
    <x:row r="3972">
      <x:c r="A3972" t="n">
        <x:v>3969</x:v>
      </x:c>
      <x:c r="B3972" t="str">
        <x:v>PTN Vokasi</x:v>
      </x:c>
      <x:c r="C3972" t="str">
        <x:v>POLITEKNIK NEGERI BENGKALIS</x:v>
      </x:c>
      <x:c r="D3972" t="str">
        <x:v>ADMINISTRASI BISNIS INTERNASIONAL</x:v>
      </x:c>
      <x:c r="E3972" t="str">
        <x:v>Sarjana Terapan</x:v>
      </x:c>
      <x:c r="F3972" s="18" t="n">
        <x:v>52</x:v>
      </x:c>
      <x:c r="G3972" s="18" t="n">
        <x:v>123</x:v>
      </x:c>
      <x:c r="H3972" s="19" t="n">
        <x:v>2.3653846153846154</x:v>
      </x:c>
      <x:c r="I3972" s="18" t="n">
        <x:f>ROUND(MIN(Model_Config_v3!$B$6,MAX(Q3972,R3972,S3972*Model_Config_v3!$B$4+T3972*Model_Config_v3!$B$5)),0)</x:f>
        <x:v>630</x:v>
      </x:c>
      <x:c r="J3972" s="18" t="n">
        <x:f>MIN(Model_Config_v3!$B$6,I3972+Model_Config_v3!$B$7)</x:f>
        <x:v>650</x:v>
      </x:c>
      <x:c r="K3972" s="20" t="n">
        <x:v>49.8</x:v>
      </x:c>
      <x:c r="L3972" t="str">
        <x:v>MENENGAH</x:v>
      </x:c>
      <x:c r="M3972" t="str">
        <x:v>SEDANG+</x:v>
      </x:c>
      <x:c r="N3972" t="str">
        <x:v>REGULER</x:v>
      </x:c>
      <x:c r="O3972" t="str">
        <x:v>SOSHUM</x:v>
      </x:c>
      <x:c r="P3972" t="str">
        <x:v>BISNIS/EKONOMI/AKUNTANSI</x:v>
      </x:c>
      <x:c r="Q3972" s="18" t="n">
        <x:v>0</x:v>
      </x:c>
      <x:c r="R3972" s="18" t="n">
        <x:v>0</x:v>
      </x:c>
      <x:c r="S3972" s="18" t="n">
        <x:v>561.1291944585058</x:v>
      </x:c>
      <x:c r="T3972" s="18" t="n">
        <x:v>660</x:v>
      </x:c>
      <x:c r="U3972" s="18" t="n">
        <x:v>576.1291944585058</x:v>
      </x:c>
      <x:c r="V3972" s="20" t="n">
        <x:v>4.4</x:v>
      </x:c>
      <x:c r="W3972" s="20" t="n">
        <x:v>14.3</x:v>
      </x:c>
      <x:c r="X3972" s="20" t="n">
        <x:v>3.3</x:v>
      </x:c>
      <x:c r="Y3972" t="str">
        <x:v>Basis arsip 2025/2024</x:v>
      </x:c>
      <x:c r="Z3972" t="str">
        <x:v>https://snpmb.id/utbk-snbt/daya-tampung-snbt</x:v>
      </x:c>
      <x:c r="AA3972" t="str">
        <x:v>Tidak Ada</x:v>
      </x:c>
      <x:c r="AB3972" t="str">
        <x:v>Campus=55; Ratio=22.0; Prodi=65; RelDemand=63.9; Capacity=56.7</x:v>
      </x:c>
    </x:row>
    <x:row r="3973">
      <x:c r="A3973" t="n">
        <x:v>3970</x:v>
      </x:c>
      <x:c r="B3973" t="str">
        <x:v>PTN Vokasi</x:v>
      </x:c>
      <x:c r="C3973" t="str">
        <x:v>POLITEKNIK NEGERI BENGKALIS</x:v>
      </x:c>
      <x:c r="D3973" t="str">
        <x:v>AKUNTANSI KEUANGAN PUBLIK</x:v>
      </x:c>
      <x:c r="E3973" t="str">
        <x:v>Sarjana Terapan</x:v>
      </x:c>
      <x:c r="F3973" s="18" t="n">
        <x:v>52</x:v>
      </x:c>
      <x:c r="G3973" s="18" t="n">
        <x:v>101</x:v>
      </x:c>
      <x:c r="H3973" s="19" t="n">
        <x:v>1.9423076923076923</x:v>
      </x:c>
      <x:c r="I3973" s="18" t="n">
        <x:f>ROUND(MIN(Model_Config_v3!$B$6,MAX(Q3973,R3973,S3973*Model_Config_v3!$B$4+T3973*Model_Config_v3!$B$5)),0)</x:f>
        <x:v>624</x:v>
      </x:c>
      <x:c r="J3973" s="18" t="n">
        <x:f>MIN(Model_Config_v3!$B$6,I3973+Model_Config_v3!$B$7)</x:f>
        <x:v>644</x:v>
      </x:c>
      <x:c r="K3973" s="20" t="n">
        <x:v>47.4</x:v>
      </x:c>
      <x:c r="L3973" t="str">
        <x:v>MENENGAH</x:v>
      </x:c>
      <x:c r="M3973" t="str">
        <x:v>SEDANG+</x:v>
      </x:c>
      <x:c r="N3973" t="str">
        <x:v>REGULER</x:v>
      </x:c>
      <x:c r="O3973" t="str">
        <x:v>SOSHUM</x:v>
      </x:c>
      <x:c r="P3973" t="str">
        <x:v>BISNIS/EKONOMI/AKUNTANSI</x:v>
      </x:c>
      <x:c r="Q3973" s="18" t="n">
        <x:v>0</x:v>
      </x:c>
      <x:c r="R3973" s="18" t="n">
        <x:v>0</x:v>
      </x:c>
      <x:c r="S3973" s="18" t="n">
        <x:v>551.7149833162628</x:v>
      </x:c>
      <x:c r="T3973" s="18" t="n">
        <x:v>655</x:v>
      </x:c>
      <x:c r="U3973" s="18" t="n">
        <x:v>551.7149833162628</x:v>
      </x:c>
      <x:c r="V3973" s="20" t="n">
        <x:v>4.4</x:v>
      </x:c>
      <x:c r="W3973" s="20" t="n">
        <x:v>14.3</x:v>
      </x:c>
      <x:c r="X3973" s="20" t="n">
        <x:v>3.3</x:v>
      </x:c>
      <x:c r="Y3973" t="str">
        <x:v>Basis arsip 2025/2024</x:v>
      </x:c>
      <x:c r="Z3973" t="str">
        <x:v>https://snpmb.id/utbk-snbt/daya-tampung-snbt</x:v>
      </x:c>
      <x:c r="AA3973" t="str">
        <x:v>Tidak Ada</x:v>
      </x:c>
      <x:c r="AB3973" t="str">
        <x:v>Campus=55; Ratio=17.0; Prodi=65; RelDemand=52.4; Capacity=56.7</x:v>
      </x:c>
    </x:row>
    <x:row r="3974">
      <x:c r="A3974" t="n">
        <x:v>3971</x:v>
      </x:c>
      <x:c r="B3974" t="str">
        <x:v>PTN Vokasi</x:v>
      </x:c>
      <x:c r="C3974" t="str">
        <x:v>POLITEKNIK NEGERI BENGKALIS</x:v>
      </x:c>
      <x:c r="D3974" t="str">
        <x:v>BAHASA INGGRIS UNTUK KOMUNIKASI BISNIS DAN PROFESIONAL</x:v>
      </x:c>
      <x:c r="E3974" t="str">
        <x:v>Sarjana Terapan</x:v>
      </x:c>
      <x:c r="F3974" s="18" t="n">
        <x:v>26</x:v>
      </x:c>
      <x:c r="G3974" s="18" t="n">
        <x:v>27</x:v>
      </x:c>
      <x:c r="H3974" s="19" t="n">
        <x:v>1.0384615384615385</x:v>
      </x:c>
      <x:c r="I3974" s="18" t="n">
        <x:f>ROUND(MIN(Model_Config_v3!$B$6,MAX(Q3974,R3974,S3974*Model_Config_v3!$B$4+T3974*Model_Config_v3!$B$5)),0)</x:f>
        <x:v>609</x:v>
      </x:c>
      <x:c r="J3974" s="18" t="n">
        <x:f>MIN(Model_Config_v3!$B$6,I3974+Model_Config_v3!$B$7)</x:f>
        <x:v>629</x:v>
      </x:c>
      <x:c r="K3974" s="20" t="n">
        <x:v>43.1</x:v>
      </x:c>
      <x:c r="L3974" t="str">
        <x:v>RELATIF LONGGAR</x:v>
      </x:c>
      <x:c r="M3974" t="str">
        <x:v>SEDANG+</x:v>
      </x:c>
      <x:c r="N3974" t="str">
        <x:v>REGULER</x:v>
      </x:c>
      <x:c r="O3974" t="str">
        <x:v>SOSHUM</x:v>
      </x:c>
      <x:c r="P3974" t="str">
        <x:v>BISNIS/EKONOMI/AKUNTANSI</x:v>
      </x:c>
      <x:c r="Q3974" s="18" t="n">
        <x:v>0</x:v>
      </x:c>
      <x:c r="R3974" s="18" t="n">
        <x:v>0</x:v>
      </x:c>
      <x:c r="S3974" s="18" t="n">
        <x:v>521.8029457806987</x:v>
      </x:c>
      <x:c r="T3974" s="18" t="n">
        <x:v>646</x:v>
      </x:c>
      <x:c r="U3974" s="18" t="n">
        <x:v>536.8029457806987</x:v>
      </x:c>
      <x:c r="V3974" s="20" t="n">
        <x:v>4.4</x:v>
      </x:c>
      <x:c r="W3974" s="20" t="n">
        <x:v>14.3</x:v>
      </x:c>
      <x:c r="X3974" s="20" t="n">
        <x:v>3.3</x:v>
      </x:c>
      <x:c r="Y3974" t="str">
        <x:v>Basis arsip 2025/2024</x:v>
      </x:c>
      <x:c r="Z3974" t="str">
        <x:v>https://snpmb.id/utbk-snbt/daya-tampung-snbt</x:v>
      </x:c>
      <x:c r="AA3974" t="str">
        <x:v>Tidak Ada</x:v>
      </x:c>
      <x:c r="AB3974" t="str">
        <x:v>Campus=55; Ratio=1.0; Prodi=65; RelDemand=28.0; Capacity=78.3</x:v>
      </x:c>
    </x:row>
    <x:row r="3975">
      <x:c r="A3975" t="n">
        <x:v>3972</x:v>
      </x:c>
      <x:c r="B3975" t="str">
        <x:v>PTN Vokasi</x:v>
      </x:c>
      <x:c r="C3975" t="str">
        <x:v>POLITEKNIK NEGERI BENGKALIS</x:v>
      </x:c>
      <x:c r="D3975" t="str">
        <x:v>BISNIS DIGITAL</x:v>
      </x:c>
      <x:c r="E3975" t="str">
        <x:v>Sarjana Terapan</x:v>
      </x:c>
      <x:c r="F3975" s="18" t="n">
        <x:v>52</x:v>
      </x:c>
      <x:c r="G3975" s="18" t="n">
        <x:v>74</x:v>
      </x:c>
      <x:c r="H3975" s="19" t="n">
        <x:v>1.4230769230769231</x:v>
      </x:c>
      <x:c r="I3975" s="18" t="n">
        <x:f>ROUND(MIN(Model_Config_v3!$B$6,MAX(Q3975,R3975,S3975*Model_Config_v3!$B$4+T3975*Model_Config_v3!$B$5)),0)</x:f>
        <x:v>615</x:v>
      </x:c>
      <x:c r="J3975" s="18" t="n">
        <x:f>MIN(Model_Config_v3!$B$6,I3975+Model_Config_v3!$B$7)</x:f>
        <x:v>635</x:v>
      </x:c>
      <x:c r="K3975" s="20" t="n">
        <x:v>44</x:v>
      </x:c>
      <x:c r="L3975" t="str">
        <x:v>RELATIF LONGGAR</x:v>
      </x:c>
      <x:c r="M3975" t="str">
        <x:v>SEDANG+</x:v>
      </x:c>
      <x:c r="N3975" t="str">
        <x:v>REGULER</x:v>
      </x:c>
      <x:c r="O3975" t="str">
        <x:v>SOSHUM</x:v>
      </x:c>
      <x:c r="P3975" t="str">
        <x:v>BISNIS/EKONOMI/AKUNTANSI</x:v>
      </x:c>
      <x:c r="Q3975" s="18" t="n">
        <x:v>0</x:v>
      </x:c>
      <x:c r="R3975" s="18" t="n">
        <x:v>0</x:v>
      </x:c>
      <x:c r="S3975" s="18" t="n">
        <x:v>536.8551213705795</x:v>
      </x:c>
      <x:c r="T3975" s="18" t="n">
        <x:v>648</x:v>
      </x:c>
      <x:c r="U3975" s="18" t="n">
        <x:v>551.8551213705795</x:v>
      </x:c>
      <x:c r="V3975" s="20" t="n">
        <x:v>4.4</x:v>
      </x:c>
      <x:c r="W3975" s="20" t="n">
        <x:v>14.3</x:v>
      </x:c>
      <x:c r="X3975" s="20" t="n">
        <x:v>3.3</x:v>
      </x:c>
      <x:c r="Y3975" t="str">
        <x:v>Basis arsip 2025/2024</x:v>
      </x:c>
      <x:c r="Z3975" t="str">
        <x:v>https://snpmb.id/utbk-snbt/daya-tampung-snbt</x:v>
      </x:c>
      <x:c r="AA3975" t="str">
        <x:v>Tidak Ada</x:v>
      </x:c>
      <x:c r="AB3975" t="str">
        <x:v>Campus=55; Ratio=9.0; Prodi=65; RelDemand=38.4; Capacity=56.7</x:v>
      </x:c>
    </x:row>
    <x:row r="3976">
      <x:c r="A3976" t="n">
        <x:v>3973</x:v>
      </x:c>
      <x:c r="B3976" t="str">
        <x:v>PTN Vokasi</x:v>
      </x:c>
      <x:c r="C3976" t="str">
        <x:v>POLITEKNIK NEGERI BENGKALIS</x:v>
      </x:c>
      <x:c r="D3976" t="str">
        <x:v>BAHASA INGGRIS</x:v>
      </x:c>
      <x:c r="E3976" t="str">
        <x:v>Diploma Tiga</x:v>
      </x:c>
      <x:c r="F3976" s="18" t="n">
        <x:v>13</x:v>
      </x:c>
      <x:c r="G3976" s="18" t="n">
        <x:v>33</x:v>
      </x:c>
      <x:c r="H3976" s="19" t="n">
        <x:v>2.5384615384615383</x:v>
      </x:c>
      <x:c r="I3976" s="18" t="n">
        <x:f>ROUND(MIN(Model_Config_v3!$B$6,MAX(Q3976,R3976,S3976*Model_Config_v3!$B$4+T3976*Model_Config_v3!$B$5)),0)</x:f>
        <x:v>630</x:v>
      </x:c>
      <x:c r="J3976" s="18" t="n">
        <x:f>MIN(Model_Config_v3!$B$6,I3976+Model_Config_v3!$B$7)</x:f>
        <x:v>650</x:v>
      </x:c>
      <x:c r="K3976" s="20" t="n">
        <x:v>49</x:v>
      </x:c>
      <x:c r="L3976" t="str">
        <x:v>MENENGAH</x:v>
      </x:c>
      <x:c r="M3976" t="str">
        <x:v>SEDANG</x:v>
      </x:c>
      <x:c r="N3976" t="str">
        <x:v>REGULER</x:v>
      </x:c>
      <x:c r="O3976" t="str">
        <x:v>SOSHUM</x:v>
      </x:c>
      <x:c r="P3976" t="str">
        <x:v>UMUM</x:v>
      </x:c>
      <x:c r="Q3976" s="18" t="n">
        <x:v>0</x:v>
      </x:c>
      <x:c r="R3976" s="18" t="n">
        <x:v>0</x:v>
      </x:c>
      <x:c r="S3976" s="18" t="n">
        <x:v>564.5027646328156</x:v>
      </x:c>
      <x:c r="T3976" s="18" t="n">
        <x:v>658</x:v>
      </x:c>
      <x:c r="U3976" s="18" t="n">
        <x:v>564.5027646328156</x:v>
      </x:c>
      <x:c r="V3976" s="20" t="n">
        <x:v>4.4</x:v>
      </x:c>
      <x:c r="W3976" s="20" t="n">
        <x:v>14.3</x:v>
      </x:c>
      <x:c r="X3976" s="20" t="n">
        <x:v>3.3</x:v>
      </x:c>
      <x:c r="Y3976" t="str">
        <x:v>Basis arsip 2025/2024</x:v>
      </x:c>
      <x:c r="Z3976" t="str">
        <x:v>https://snpmb.id/utbk-snbt/daya-tampung-snbt</x:v>
      </x:c>
      <x:c r="AA3976" t="str">
        <x:v>Tidak Ada</x:v>
      </x:c>
      <x:c r="AB3976" t="str">
        <x:v>Campus=55; Ratio=23.8; Prodi=40; RelDemand=68.5; Capacity=89.2</x:v>
      </x:c>
    </x:row>
    <x:row r="3977">
      <x:c r="A3977" t="n">
        <x:v>3974</x:v>
      </x:c>
      <x:c r="B3977" t="str">
        <x:v>PTN Vokasi</x:v>
      </x:c>
      <x:c r="C3977" t="str">
        <x:v>POLITEKNIK NEGERI BENGKALIS</x:v>
      </x:c>
      <x:c r="D3977" t="str">
        <x:v>TEKNIK MESIN</x:v>
      </x:c>
      <x:c r="E3977" t="str">
        <x:v>Diploma Tiga</x:v>
      </x:c>
      <x:c r="F3977" s="18" t="n">
        <x:v>23</x:v>
      </x:c>
      <x:c r="G3977" s="18" t="n">
        <x:v>38</x:v>
      </x:c>
      <x:c r="H3977" s="19" t="n">
        <x:v>1.6521739130434783</x:v>
      </x:c>
      <x:c r="I3977" s="18" t="n">
        <x:f>ROUND(MIN(Model_Config_v3!$B$6,MAX(Q3977,R3977,S3977*Model_Config_v3!$B$4+T3977*Model_Config_v3!$B$5)),0)</x:f>
        <x:v>621</x:v>
      </x:c>
      <x:c r="J3977" s="18" t="n">
        <x:f>MIN(Model_Config_v3!$B$6,I3977+Model_Config_v3!$B$7)</x:f>
        <x:v>641</x:v>
      </x:c>
      <x:c r="K3977" s="20" t="n">
        <x:v>47</x:v>
      </x:c>
      <x:c r="L3977" t="str">
        <x:v>MENENGAH</x:v>
      </x:c>
      <x:c r="M3977" t="str">
        <x:v>SEDANG+</x:v>
      </x:c>
      <x:c r="N3977" t="str">
        <x:v>REGULER</x:v>
      </x:c>
      <x:c r="O3977" t="str">
        <x:v>SAINTEK</x:v>
      </x:c>
      <x:c r="P3977" t="str">
        <x:v>TEKNIK/ARSITEKTUR/STATISTIKA/AKTUARIA</x:v>
      </x:c>
      <x:c r="Q3977" s="18" t="n">
        <x:v>0</x:v>
      </x:c>
      <x:c r="R3977" s="18" t="n">
        <x:v>0</x:v>
      </x:c>
      <x:c r="S3977" s="18" t="n">
        <x:v>543.9861336659139</x:v>
      </x:c>
      <x:c r="T3977" s="18" t="n">
        <x:v>654</x:v>
      </x:c>
      <x:c r="U3977" s="18" t="n">
        <x:v>553.9861336659139</x:v>
      </x:c>
      <x:c r="V3977" s="20" t="n">
        <x:v>12</x:v>
      </x:c>
      <x:c r="W3977" s="20" t="n">
        <x:v>5</x:v>
      </x:c>
      <x:c r="X3977" s="20" t="n">
        <x:v>3</x:v>
      </x:c>
      <x:c r="Y3977" t="str">
        <x:v>Basis arsip 2025/2024</x:v>
      </x:c>
      <x:c r="Z3977" t="str">
        <x:v>https://snpmb.id/utbk-snbt/daya-tampung-snbt</x:v>
      </x:c>
      <x:c r="AA3977" t="str">
        <x:v>Tidak Ada</x:v>
      </x:c>
      <x:c r="AB3977" t="str">
        <x:v>Campus=55; Ratio=12.8; Prodi=60; RelDemand=44.6; Capacity=80.8</x:v>
      </x:c>
    </x:row>
    <x:row r="3978">
      <x:c r="A3978" t="n">
        <x:v>3975</x:v>
      </x:c>
      <x:c r="B3978" t="str">
        <x:v>PTN Vokasi</x:v>
      </x:c>
      <x:c r="C3978" t="str">
        <x:v>POLITEKNIK NEGERI BENGKALIS</x:v>
      </x:c>
      <x:c r="D3978" t="str">
        <x:v>TEKNIK PERKAPALAN</x:v>
      </x:c>
      <x:c r="E3978" t="str">
        <x:v>Diploma Tiga</x:v>
      </x:c>
      <x:c r="F3978" s="18" t="n">
        <x:v>39</x:v>
      </x:c>
      <x:c r="G3978" s="18" t="n">
        <x:v>54</x:v>
      </x:c>
      <x:c r="H3978" s="19" t="n">
        <x:v>1.3846153846153846</x:v>
      </x:c>
      <x:c r="I3978" s="18" t="n">
        <x:f>ROUND(MIN(Model_Config_v3!$B$6,MAX(Q3978,R3978,S3978*Model_Config_v3!$B$4+T3978*Model_Config_v3!$B$5)),0)</x:f>
        <x:v>614</x:v>
      </x:c>
      <x:c r="J3978" s="18" t="n">
        <x:f>MIN(Model_Config_v3!$B$6,I3978+Model_Config_v3!$B$7)</x:f>
        <x:v>634</x:v>
      </x:c>
      <x:c r="K3978" s="20" t="n">
        <x:v>43.8</x:v>
      </x:c>
      <x:c r="L3978" t="str">
        <x:v>RELATIF LONGGAR</x:v>
      </x:c>
      <x:c r="M3978" t="str">
        <x:v>SEDANG+</x:v>
      </x:c>
      <x:c r="N3978" t="str">
        <x:v>REGULER</x:v>
      </x:c>
      <x:c r="O3978" t="str">
        <x:v>SAINTEK</x:v>
      </x:c>
      <x:c r="P3978" t="str">
        <x:v>TEKNIK/ARSITEKTUR/STATISTIKA/AKTUARIA</x:v>
      </x:c>
      <x:c r="Q3978" s="18" t="n">
        <x:v>0</x:v>
      </x:c>
      <x:c r="R3978" s="18" t="n">
        <x:v>0</x:v>
      </x:c>
      <x:c r="S3978" s="18" t="n">
        <x:v>535.5462068076116</x:v>
      </x:c>
      <x:c r="T3978" s="18" t="n">
        <x:v>648</x:v>
      </x:c>
      <x:c r="U3978" s="18" t="n">
        <x:v>545.5462068076116</x:v>
      </x:c>
      <x:c r="V3978" s="20" t="n">
        <x:v>12</x:v>
      </x:c>
      <x:c r="W3978" s="20" t="n">
        <x:v>5</x:v>
      </x:c>
      <x:c r="X3978" s="20" t="n">
        <x:v>3</x:v>
      </x:c>
      <x:c r="Y3978" t="str">
        <x:v>Basis arsip 2025/2024</x:v>
      </x:c>
      <x:c r="Z3978" t="str">
        <x:v>https://snpmb.id/utbk-snbt/daya-tampung-snbt</x:v>
      </x:c>
      <x:c r="AA3978" t="str">
        <x:v>Tidak Ada</x:v>
      </x:c>
      <x:c r="AB3978" t="str">
        <x:v>Campus=55; Ratio=8.3; Prodi=60; RelDemand=37.4; Capacity=67.5</x:v>
      </x:c>
    </x:row>
    <x:row r="3979">
      <x:c r="A3979" t="n">
        <x:v>3976</x:v>
      </x:c>
      <x:c r="B3979" t="str">
        <x:v>PTN Vokasi</x:v>
      </x:c>
      <x:c r="C3979" t="str">
        <x:v>POLITEKNIK NEGERI BENGKALIS</x:v>
      </x:c>
      <x:c r="D3979" t="str">
        <x:v>NAUTIKA</x:v>
      </x:c>
      <x:c r="E3979" t="str">
        <x:v>Diploma Tiga</x:v>
      </x:c>
      <x:c r="F3979" s="18" t="n">
        <x:v>10</x:v>
      </x:c>
      <x:c r="G3979" s="18" t="n">
        <x:v>41</x:v>
      </x:c>
      <x:c r="H3979" s="19" t="n">
        <x:v>4.1</x:v>
      </x:c>
      <x:c r="I3979" s="18" t="n">
        <x:f>ROUND(MIN(Model_Config_v3!$B$6,MAX(Q3979,R3979,S3979*Model_Config_v3!$B$4+T3979*Model_Config_v3!$B$5)),0)</x:f>
        <x:v>646</x:v>
      </x:c>
      <x:c r="J3979" s="18" t="n">
        <x:f>MIN(Model_Config_v3!$B$6,I3979+Model_Config_v3!$B$7)</x:f>
        <x:v>666</x:v>
      </x:c>
      <x:c r="K3979" s="20" t="n">
        <x:v>55.4</x:v>
      </x:c>
      <x:c r="L3979" t="str">
        <x:v>KETAT</x:v>
      </x:c>
      <x:c r="M3979" t="str">
        <x:v>SEDANG</x:v>
      </x:c>
      <x:c r="N3979" t="str">
        <x:v>REGULER</x:v>
      </x:c>
      <x:c r="O3979" t="str">
        <x:v>CAMPURAN</x:v>
      </x:c>
      <x:c r="P3979" t="str">
        <x:v>UMUM</x:v>
      </x:c>
      <x:c r="Q3979" s="18" t="n">
        <x:v>0</x:v>
      </x:c>
      <x:c r="R3979" s="18" t="n">
        <x:v>0</x:v>
      </x:c>
      <x:c r="S3979" s="18" t="n">
        <x:v>587.4062242391709</x:v>
      </x:c>
      <x:c r="T3979" s="18" t="n">
        <x:v>671</x:v>
      </x:c>
      <x:c r="U3979" s="18" t="n">
        <x:v>587.4062242391709</x:v>
      </x:c>
      <x:c r="V3979" s="20" t="n">
        <x:v>8.8</x:v>
      </x:c>
      <x:c r="W3979" s="20" t="n">
        <x:v>9.9</x:v>
      </x:c>
      <x:c r="X3979" s="20" t="n">
        <x:v>3.3</x:v>
      </x:c>
      <x:c r="Y3979" t="str">
        <x:v>Basis arsip 2025/2024</x:v>
      </x:c>
      <x:c r="Z3979" t="str">
        <x:v>https://snpmb.id/utbk-snbt/daya-tampung-snbt</x:v>
      </x:c>
      <x:c r="AA3979" t="str">
        <x:v>Tidak Ada</x:v>
      </x:c>
      <x:c r="AB3979" t="str">
        <x:v>Campus=55; Ratio=36.1; Prodi=40; RelDemand=100.0; Capacity=91.7</x:v>
      </x:c>
    </x:row>
    <x:row r="3980">
      <x:c r="A3980" t="n">
        <x:v>3977</x:v>
      </x:c>
      <x:c r="B3980" t="str">
        <x:v>PTN Vokasi</x:v>
      </x:c>
      <x:c r="C3980" t="str">
        <x:v>POLITEKNIK NEGERI BENGKALIS</x:v>
      </x:c>
      <x:c r="D3980" t="str">
        <x:v>KETATALAKSANAAN PELAYARAN NIAGA</x:v>
      </x:c>
      <x:c r="E3980" t="str">
        <x:v>Diploma Tiga</x:v>
      </x:c>
      <x:c r="F3980" s="18" t="n">
        <x:v>26</x:v>
      </x:c>
      <x:c r="G3980" s="18" t="n">
        <x:v>38</x:v>
      </x:c>
      <x:c r="H3980" s="19" t="n">
        <x:v>1.4615384615384615</x:v>
      </x:c>
      <x:c r="I3980" s="18" t="n">
        <x:f>ROUND(MIN(Model_Config_v3!$B$6,MAX(Q3980,R3980,S3980*Model_Config_v3!$B$4+T3980*Model_Config_v3!$B$5)),0)</x:f>
        <x:v>612</x:v>
      </x:c>
      <x:c r="J3980" s="18" t="n">
        <x:f>MIN(Model_Config_v3!$B$6,I3980+Model_Config_v3!$B$7)</x:f>
        <x:v>632</x:v>
      </x:c>
      <x:c r="K3980" s="20" t="n">
        <x:v>41.5</x:v>
      </x:c>
      <x:c r="L3980" t="str">
        <x:v>RELATIF LONGGAR</x:v>
      </x:c>
      <x:c r="M3980" t="str">
        <x:v>SEDANG</x:v>
      </x:c>
      <x:c r="N3980" t="str">
        <x:v>REGULER</x:v>
      </x:c>
      <x:c r="O3980" t="str">
        <x:v>CAMPURAN</x:v>
      </x:c>
      <x:c r="P3980" t="str">
        <x:v>UMUM</x:v>
      </x:c>
      <x:c r="Q3980" s="18" t="n">
        <x:v>0</x:v>
      </x:c>
      <x:c r="R3980" s="18" t="n">
        <x:v>0</x:v>
      </x:c>
      <x:c r="S3980" s="18" t="n">
        <x:v>538.1291273510592</x:v>
      </x:c>
      <x:c r="T3980" s="18" t="n">
        <x:v>643</x:v>
      </x:c>
      <x:c r="U3980" s="18" t="n">
        <x:v>538.1291273510592</x:v>
      </x:c>
      <x:c r="V3980" s="20" t="n">
        <x:v>8.8</x:v>
      </x:c>
      <x:c r="W3980" s="20" t="n">
        <x:v>9.9</x:v>
      </x:c>
      <x:c r="X3980" s="20" t="n">
        <x:v>3.3</x:v>
      </x:c>
      <x:c r="Y3980" t="str">
        <x:v>Basis arsip 2025/2024</x:v>
      </x:c>
      <x:c r="Z3980" t="str">
        <x:v>https://snpmb.id/utbk-snbt/daya-tampung-snbt</x:v>
      </x:c>
      <x:c r="AA3980" t="str">
        <x:v>Tidak Ada</x:v>
      </x:c>
      <x:c r="AB3980" t="str">
        <x:v>Campus=55; Ratio=9.7; Prodi=40; RelDemand=39.5; Capacity=78.3</x:v>
      </x:c>
    </x:row>
    <x:row r="3981">
      <x:c r="A3981" t="n">
        <x:v>3978</x:v>
      </x:c>
      <x:c r="B3981" t="str">
        <x:v>PTN Vokasi</x:v>
      </x:c>
      <x:c r="C3981" t="str">
        <x:v>POLITEKNIK NEGERI BENGKALIS</x:v>
      </x:c>
      <x:c r="D3981" t="str">
        <x:v>TEKNIK INFORMATIKA</x:v>
      </x:c>
      <x:c r="E3981" t="str">
        <x:v>Diploma Tiga</x:v>
      </x:c>
      <x:c r="F3981" s="18" t="n">
        <x:v>34</x:v>
      </x:c>
      <x:c r="G3981" s="18" t="n">
        <x:v>113</x:v>
      </x:c>
      <x:c r="H3981" s="19" t="n">
        <x:v>3.323529411764706</x:v>
      </x:c>
      <x:c r="I3981" s="18" t="n">
        <x:f>ROUND(MIN(Model_Config_v3!$B$6,MAX(Q3981,R3981,S3981*Model_Config_v3!$B$4+T3981*Model_Config_v3!$B$5)),0)</x:f>
        <x:v>649</x:v>
      </x:c>
      <x:c r="J3981" s="18" t="n">
        <x:f>MIN(Model_Config_v3!$B$6,I3981+Model_Config_v3!$B$7)</x:f>
        <x:v>669</x:v>
      </x:c>
      <x:c r="K3981" s="20" t="n">
        <x:v>60.1</x:v>
      </x:c>
      <x:c r="L3981" t="str">
        <x:v>KETAT</x:v>
      </x:c>
      <x:c r="M3981" t="str">
        <x:v>SEDANG+</x:v>
      </x:c>
      <x:c r="N3981" t="str">
        <x:v>REGULER</x:v>
      </x:c>
      <x:c r="O3981" t="str">
        <x:v>SAINTEK</x:v>
      </x:c>
      <x:c r="P3981" t="str">
        <x:v>KOMPUTER/INFORMATIKA</x:v>
      </x:c>
      <x:c r="Q3981" s="18" t="n">
        <x:v>0</x:v>
      </x:c>
      <x:c r="R3981" s="18" t="n">
        <x:v>0</x:v>
      </x:c>
      <x:c r="S3981" s="18" t="n">
        <x:v>577.3759479085281</x:v>
      </x:c>
      <x:c r="T3981" s="18" t="n">
        <x:v>680</x:v>
      </x:c>
      <x:c r="U3981" s="18" t="n">
        <x:v>602.3759479085281</x:v>
      </x:c>
      <x:c r="V3981" s="20" t="n">
        <x:v>12</x:v>
      </x:c>
      <x:c r="W3981" s="20" t="n">
        <x:v>5</x:v>
      </x:c>
      <x:c r="X3981" s="20" t="n">
        <x:v>3</x:v>
      </x:c>
      <x:c r="Y3981" t="str">
        <x:v>Basis arsip 2025/2024</x:v>
      </x:c>
      <x:c r="Z3981" t="str">
        <x:v>https://snpmb.id/utbk-snbt/daya-tampung-snbt</x:v>
      </x:c>
      <x:c r="AA3981" t="str">
        <x:v>Tidak Ada</x:v>
      </x:c>
      <x:c r="AB3981" t="str">
        <x:v>Campus=55; Ratio=30.7; Prodi=85; RelDemand=89.7; Capacity=71.7</x:v>
      </x:c>
    </x:row>
    <x:row r="3982">
      <x:c r="A3982" t="n">
        <x:v>3979</x:v>
      </x:c>
      <x:c r="B3982" t="str">
        <x:v>PTN Vokasi</x:v>
      </x:c>
      <x:c r="C3982" t="str">
        <x:v>POLITEKNIK NEGERI BENGKALIS</x:v>
      </x:c>
      <x:c r="D3982" t="str">
        <x:v>TEKNIK ELEKTRONIKA</x:v>
      </x:c>
      <x:c r="E3982" t="str">
        <x:v>Diploma Tiga</x:v>
      </x:c>
      <x:c r="F3982" s="18" t="n">
        <x:v>26</x:v>
      </x:c>
      <x:c r="G3982" s="18" t="n">
        <x:v>30</x:v>
      </x:c>
      <x:c r="H3982" s="19" t="n">
        <x:v>1.1538461538461537</x:v>
      </x:c>
      <x:c r="I3982" s="18" t="n">
        <x:f>ROUND(MIN(Model_Config_v3!$B$6,MAX(Q3982,R3982,S3982*Model_Config_v3!$B$4+T3982*Model_Config_v3!$B$5)),0)</x:f>
        <x:v>610</x:v>
      </x:c>
      <x:c r="J3982" s="18" t="n">
        <x:f>MIN(Model_Config_v3!$B$6,I3982+Model_Config_v3!$B$7)</x:f>
        <x:v>630</x:v>
      </x:c>
      <x:c r="K3982" s="20" t="n">
        <x:v>43.1</x:v>
      </x:c>
      <x:c r="L3982" t="str">
        <x:v>RELATIF LONGGAR</x:v>
      </x:c>
      <x:c r="M3982" t="str">
        <x:v>SEDANG+</x:v>
      </x:c>
      <x:c r="N3982" t="str">
        <x:v>REGULER</x:v>
      </x:c>
      <x:c r="O3982" t="str">
        <x:v>SAINTEK</x:v>
      </x:c>
      <x:c r="P3982" t="str">
        <x:v>TEKNIK/ARSITEKTUR/STATISTIKA/AKTUARIA</x:v>
      </x:c>
      <x:c r="Q3982" s="18" t="n">
        <x:v>0</x:v>
      </x:c>
      <x:c r="R3982" s="18" t="n">
        <x:v>0</x:v>
      </x:c>
      <x:c r="S3982" s="18" t="n">
        <x:v>526.8362697423729</x:v>
      </x:c>
      <x:c r="T3982" s="18" t="n">
        <x:v>646</x:v>
      </x:c>
      <x:c r="U3982" s="18" t="n">
        <x:v>536.8362697423729</x:v>
      </x:c>
      <x:c r="V3982" s="20" t="n">
        <x:v>12</x:v>
      </x:c>
      <x:c r="W3982" s="20" t="n">
        <x:v>5</x:v>
      </x:c>
      <x:c r="X3982" s="20" t="n">
        <x:v>3</x:v>
      </x:c>
      <x:c r="Y3982" t="str">
        <x:v>Basis arsip 2025/2024</x:v>
      </x:c>
      <x:c r="Z3982" t="str">
        <x:v>https://snpmb.id/utbk-snbt/daya-tampung-snbt</x:v>
      </x:c>
      <x:c r="AA3982" t="str">
        <x:v>Tidak Ada</x:v>
      </x:c>
      <x:c r="AB3982" t="str">
        <x:v>Campus=55; Ratio=3.7; Prodi=60; RelDemand=31.2; Capacity=78.3</x:v>
      </x:c>
    </x:row>
    <x:row r="3983">
      <x:c r="A3983" t="n">
        <x:v>3980</x:v>
      </x:c>
      <x:c r="B3983" t="str">
        <x:v>PTN Vokasi</x:v>
      </x:c>
      <x:c r="C3983" t="str">
        <x:v>POLITEKNIK NEGERI BENGKALIS</x:v>
      </x:c>
      <x:c r="D3983" t="str">
        <x:v>TEKNIK SIPIL</x:v>
      </x:c>
      <x:c r="E3983" t="str">
        <x:v>Diploma Tiga</x:v>
      </x:c>
      <x:c r="F3983" s="18" t="n">
        <x:v>26</x:v>
      </x:c>
      <x:c r="G3983" s="18" t="n">
        <x:v>74</x:v>
      </x:c>
      <x:c r="H3983" s="19" t="n">
        <x:v>2.8461538461538463</x:v>
      </x:c>
      <x:c r="I3983" s="18" t="n">
        <x:f>ROUND(MIN(Model_Config_v3!$B$6,MAX(Q3983,R3983,S3983*Model_Config_v3!$B$4+T3983*Model_Config_v3!$B$5)),0)</x:f>
        <x:v>638</x:v>
      </x:c>
      <x:c r="J3983" s="18" t="n">
        <x:f>MIN(Model_Config_v3!$B$6,I3983+Model_Config_v3!$B$7)</x:f>
        <x:v>658</x:v>
      </x:c>
      <x:c r="K3983" s="20" t="n">
        <x:v>53.5</x:v>
      </x:c>
      <x:c r="L3983" t="str">
        <x:v>MENENGAH</x:v>
      </x:c>
      <x:c r="M3983" t="str">
        <x:v>SEDANG+</x:v>
      </x:c>
      <x:c r="N3983" t="str">
        <x:v>REGULER</x:v>
      </x:c>
      <x:c r="O3983" t="str">
        <x:v>SAINTEK</x:v>
      </x:c>
      <x:c r="P3983" t="str">
        <x:v>TEKNIK/ARSITEKTUR/STATISTIKA/AKTUARIA</x:v>
      </x:c>
      <x:c r="Q3983" s="18" t="n">
        <x:v>0</x:v>
      </x:c>
      <x:c r="R3983" s="18" t="n">
        <x:v>0</x:v>
      </x:c>
      <x:c r="S3983" s="18" t="n">
        <x:v>569.9684208936173</x:v>
      </x:c>
      <x:c r="T3983" s="18" t="n">
        <x:v>667</x:v>
      </x:c>
      <x:c r="U3983" s="18" t="n">
        <x:v>579.9684208936173</x:v>
      </x:c>
      <x:c r="V3983" s="20" t="n">
        <x:v>12</x:v>
      </x:c>
      <x:c r="W3983" s="20" t="n">
        <x:v>5</x:v>
      </x:c>
      <x:c r="X3983" s="20" t="n">
        <x:v>3</x:v>
      </x:c>
      <x:c r="Y3983" t="str">
        <x:v>Basis arsip 2025/2024</x:v>
      </x:c>
      <x:c r="Z3983" t="str">
        <x:v>https://snpmb.id/utbk-snbt/daya-tampung-snbt</x:v>
      </x:c>
      <x:c r="AA3983" t="str">
        <x:v>Tidak Ada</x:v>
      </x:c>
      <x:c r="AB3983" t="str">
        <x:v>Campus=55; Ratio=26.7; Prodi=60; RelDemand=76.8; Capacity=78.3</x:v>
      </x:c>
    </x:row>
    <x:row r="3984">
      <x:c r="A3984" t="n">
        <x:v>3981</x:v>
      </x:c>
      <x:c r="B3984" t="str">
        <x:v>PTN Vokasi</x:v>
      </x:c>
      <x:c r="C3984" t="str">
        <x:v>POLITEKNIK NEGERI PADANG</x:v>
      </x:c>
      <x:c r="D3984" t="str">
        <x:v>TEKNIK ELEKTRONIKA INDUSTRI</x:v>
      </x:c>
      <x:c r="E3984" t="str">
        <x:v>Sarjana Terapan</x:v>
      </x:c>
      <x:c r="F3984" s="18" t="n">
        <x:v>34</x:v>
      </x:c>
      <x:c r="G3984" s="18" t="n">
        <x:v>447</x:v>
      </x:c>
      <x:c r="H3984" s="19" t="n">
        <x:v>13.147058823529411</x:v>
      </x:c>
      <x:c r="I3984" s="18" t="n">
        <x:f>ROUND(MIN(Model_Config_v3!$B$6,MAX(Q3984,R3984,S3984*Model_Config_v3!$B$4+T3984*Model_Config_v3!$B$5)),0)</x:f>
        <x:v>668</x:v>
      </x:c>
      <x:c r="J3984" s="18" t="n">
        <x:f>MIN(Model_Config_v3!$B$6,I3984+Model_Config_v3!$B$7)</x:f>
        <x:v>688</x:v>
      </x:c>
      <x:c r="K3984" s="20" t="n">
        <x:v>59.7</x:v>
      </x:c>
      <x:c r="L3984" t="str">
        <x:v>KETAT</x:v>
      </x:c>
      <x:c r="M3984" t="str">
        <x:v>SEDANG+</x:v>
      </x:c>
      <x:c r="N3984" t="str">
        <x:v>REGULER</x:v>
      </x:c>
      <x:c r="O3984" t="str">
        <x:v>SAINTEK</x:v>
      </x:c>
      <x:c r="P3984" t="str">
        <x:v>TEKNIK/ARSITEKTUR/STATISTIKA/AKTUARIA</x:v>
      </x:c>
      <x:c r="Q3984" s="18" t="n">
        <x:v>0</x:v>
      </x:c>
      <x:c r="R3984" s="18" t="n">
        <x:v>0</x:v>
      </x:c>
      <x:c r="S3984" s="18" t="n">
        <x:v>643.0711466698649</x:v>
      </x:c>
      <x:c r="T3984" s="18" t="n">
        <x:v>679</x:v>
      </x:c>
      <x:c r="U3984" s="18" t="n">
        <x:v>653.0711466698649</x:v>
      </x:c>
      <x:c r="V3984" s="20" t="n">
        <x:v>12</x:v>
      </x:c>
      <x:c r="W3984" s="20" t="n">
        <x:v>5</x:v>
      </x:c>
      <x:c r="X3984" s="20" t="n">
        <x:v>3</x:v>
      </x:c>
      <x:c r="Y3984" t="str">
        <x:v>Basis arsip 2025/2024</x:v>
      </x:c>
      <x:c r="Z3984" t="str">
        <x:v>https://snpmb.id/utbk-snbt/daya-tampung-snbt</x:v>
      </x:c>
      <x:c r="AA3984" t="str">
        <x:v>Tidak Ada</x:v>
      </x:c>
      <x:c r="AB3984" t="str">
        <x:v>Campus=55; Ratio=65.9; Prodi=60; RelDemand=47.9; Capacity=71.7</x:v>
      </x:c>
    </x:row>
    <x:row r="3985">
      <x:c r="A3985" t="n">
        <x:v>3982</x:v>
      </x:c>
      <x:c r="B3985" t="str">
        <x:v>PTN Vokasi</x:v>
      </x:c>
      <x:c r="C3985" t="str">
        <x:v>POLITEKNIK NEGERI PADANG</x:v>
      </x:c>
      <x:c r="D3985" t="str">
        <x:v>TEKNIK TELEKOMUNIKASI</x:v>
      </x:c>
      <x:c r="E3985" t="str">
        <x:v>Sarjana Terapan</x:v>
      </x:c>
      <x:c r="F3985" s="18" t="n">
        <x:v>34</x:v>
      </x:c>
      <x:c r="G3985" s="18" t="n">
        <x:v>435</x:v>
      </x:c>
      <x:c r="H3985" s="19" t="n">
        <x:v>12.794117647058824</x:v>
      </x:c>
      <x:c r="I3985" s="18" t="n">
        <x:f>ROUND(MIN(Model_Config_v3!$B$6,MAX(Q3985,R3985,S3985*Model_Config_v3!$B$4+T3985*Model_Config_v3!$B$5)),0)</x:f>
        <x:v>668</x:v>
      </x:c>
      <x:c r="J3985" s="18" t="n">
        <x:f>MIN(Model_Config_v3!$B$6,I3985+Model_Config_v3!$B$7)</x:f>
        <x:v>688</x:v>
      </x:c>
      <x:c r="K3985" s="20" t="n">
        <x:v>59.4</x:v>
      </x:c>
      <x:c r="L3985" t="str">
        <x:v>KETAT</x:v>
      </x:c>
      <x:c r="M3985" t="str">
        <x:v>SEDANG+</x:v>
      </x:c>
      <x:c r="N3985" t="str">
        <x:v>REGULER</x:v>
      </x:c>
      <x:c r="O3985" t="str">
        <x:v>SAINTEK</x:v>
      </x:c>
      <x:c r="P3985" t="str">
        <x:v>TEKNIK/ARSITEKTUR/STATISTIKA/AKTUARIA</x:v>
      </x:c>
      <x:c r="Q3985" s="18" t="n">
        <x:v>0</x:v>
      </x:c>
      <x:c r="R3985" s="18" t="n">
        <x:v>0</x:v>
      </x:c>
      <x:c r="S3985" s="18" t="n">
        <x:v>641.771137390362</x:v>
      </x:c>
      <x:c r="T3985" s="18" t="n">
        <x:v>679</x:v>
      </x:c>
      <x:c r="U3985" s="18" t="n">
        <x:v>651.771137390362</x:v>
      </x:c>
      <x:c r="V3985" s="20" t="n">
        <x:v>12</x:v>
      </x:c>
      <x:c r="W3985" s="20" t="n">
        <x:v>5</x:v>
      </x:c>
      <x:c r="X3985" s="20" t="n">
        <x:v>3</x:v>
      </x:c>
      <x:c r="Y3985" t="str">
        <x:v>Basis arsip 2025/2024</x:v>
      </x:c>
      <x:c r="Z3985" t="str">
        <x:v>https://snpmb.id/utbk-snbt/daya-tampung-snbt</x:v>
      </x:c>
      <x:c r="AA3985" t="str">
        <x:v>Tidak Ada</x:v>
      </x:c>
      <x:c r="AB3985" t="str">
        <x:v>Campus=55; Ratio=65.2; Prodi=60; RelDemand=46.6; Capacity=71.7</x:v>
      </x:c>
    </x:row>
    <x:row r="3986">
      <x:c r="A3986" t="n">
        <x:v>3983</x:v>
      </x:c>
      <x:c r="B3986" t="str">
        <x:v>PTN Vokasi</x:v>
      </x:c>
      <x:c r="C3986" t="str">
        <x:v>POLITEKNIK NEGERI PADANG</x:v>
      </x:c>
      <x:c r="D3986" t="str">
        <x:v>TEKNIK MANUFAKTUR</x:v>
      </x:c>
      <x:c r="E3986" t="str">
        <x:v>Sarjana Terapan</x:v>
      </x:c>
      <x:c r="F3986" s="18" t="n">
        <x:v>23</x:v>
      </x:c>
      <x:c r="G3986" s="18" t="n">
        <x:v>199</x:v>
      </x:c>
      <x:c r="H3986" s="19" t="n">
        <x:v>8.652173913043478</x:v>
      </x:c>
      <x:c r="I3986" s="18" t="n">
        <x:f>ROUND(MIN(Model_Config_v3!$B$6,MAX(Q3986,R3986,S3986*Model_Config_v3!$B$4+T3986*Model_Config_v3!$B$5)),0)</x:f>
        <x:v>658</x:v>
      </x:c>
      <x:c r="J3986" s="18" t="n">
        <x:f>MIN(Model_Config_v3!$B$6,I3986+Model_Config_v3!$B$7)</x:f>
        <x:v>678</x:v>
      </x:c>
      <x:c r="K3986" s="20" t="n">
        <x:v>56.3</x:v>
      </x:c>
      <x:c r="L3986" t="str">
        <x:v>KETAT</x:v>
      </x:c>
      <x:c r="M3986" t="str">
        <x:v>SEDANG+</x:v>
      </x:c>
      <x:c r="N3986" t="str">
        <x:v>REGULER</x:v>
      </x:c>
      <x:c r="O3986" t="str">
        <x:v>SAINTEK</x:v>
      </x:c>
      <x:c r="P3986" t="str">
        <x:v>TEKNIK/ARSITEKTUR/STATISTIKA/AKTUARIA</x:v>
      </x:c>
      <x:c r="Q3986" s="18" t="n">
        <x:v>0</x:v>
      </x:c>
      <x:c r="R3986" s="18" t="n">
        <x:v>0</x:v>
      </x:c>
      <x:c r="S3986" s="18" t="n">
        <x:v>623.0837764431325</x:v>
      </x:c>
      <x:c r="T3986" s="18" t="n">
        <x:v>673</x:v>
      </x:c>
      <x:c r="U3986" s="18" t="n">
        <x:v>633.0837764431325</x:v>
      </x:c>
      <x:c r="V3986" s="20" t="n">
        <x:v>12</x:v>
      </x:c>
      <x:c r="W3986" s="20" t="n">
        <x:v>5</x:v>
      </x:c>
      <x:c r="X3986" s="20" t="n">
        <x:v>3</x:v>
      </x:c>
      <x:c r="Y3986" t="str">
        <x:v>Basis arsip 2025/2024</x:v>
      </x:c>
      <x:c r="Z3986" t="str">
        <x:v>https://snpmb.id/utbk-snbt/daya-tampung-snbt</x:v>
      </x:c>
      <x:c r="AA3986" t="str">
        <x:v>Tidak Ada</x:v>
      </x:c>
      <x:c r="AB3986" t="str">
        <x:v>Campus=55; Ratio=55.2; Prodi=60; RelDemand=31.5; Capacity=80.8</x:v>
      </x:c>
    </x:row>
    <x:row r="3987">
      <x:c r="A3987" t="n">
        <x:v>3984</x:v>
      </x:c>
      <x:c r="B3987" t="str">
        <x:v>PTN Vokasi</x:v>
      </x:c>
      <x:c r="C3987" t="str">
        <x:v>POLITEKNIK NEGERI PADANG</x:v>
      </x:c>
      <x:c r="D3987" t="str">
        <x:v>TEKNIK PERENCANAAN IRIGASI DAN RAWA</x:v>
      </x:c>
      <x:c r="E3987" t="str">
        <x:v>Sarjana Terapan</x:v>
      </x:c>
      <x:c r="F3987" s="18" t="n">
        <x:v>23</x:v>
      </x:c>
      <x:c r="G3987" s="18" t="n">
        <x:v>108</x:v>
      </x:c>
      <x:c r="H3987" s="19" t="n">
        <x:v>4.695652173913044</x:v>
      </x:c>
      <x:c r="I3987" s="18" t="n">
        <x:f>ROUND(MIN(Model_Config_v3!$B$6,MAX(Q3987,R3987,S3987*Model_Config_v3!$B$4+T3987*Model_Config_v3!$B$5)),0)</x:f>
        <x:v>642</x:v>
      </x:c>
      <x:c r="J3987" s="18" t="n">
        <x:f>MIN(Model_Config_v3!$B$6,I3987+Model_Config_v3!$B$7)</x:f>
        <x:v>662</x:v>
      </x:c>
      <x:c r="K3987" s="20" t="n">
        <x:v>50.9</x:v>
      </x:c>
      <x:c r="L3987" t="str">
        <x:v>MENENGAH</x:v>
      </x:c>
      <x:c r="M3987" t="str">
        <x:v>SEDANG+</x:v>
      </x:c>
      <x:c r="N3987" t="str">
        <x:v>REGULER</x:v>
      </x:c>
      <x:c r="O3987" t="str">
        <x:v>SAINTEK</x:v>
      </x:c>
      <x:c r="P3987" t="str">
        <x:v>TEKNIK/ARSITEKTUR/STATISTIKA/AKTUARIA</x:v>
      </x:c>
      <x:c r="Q3987" s="18" t="n">
        <x:v>0</x:v>
      </x:c>
      <x:c r="R3987" s="18" t="n">
        <x:v>0</x:v>
      </x:c>
      <x:c r="S3987" s="18" t="n">
        <x:v>593.8865511416293</x:v>
      </x:c>
      <x:c r="T3987" s="18" t="n">
        <x:v>662</x:v>
      </x:c>
      <x:c r="U3987" s="18" t="n">
        <x:v>603.8865511416293</x:v>
      </x:c>
      <x:c r="V3987" s="20" t="n">
        <x:v>12</x:v>
      </x:c>
      <x:c r="W3987" s="20" t="n">
        <x:v>5</x:v>
      </x:c>
      <x:c r="X3987" s="20" t="n">
        <x:v>3</x:v>
      </x:c>
      <x:c r="Y3987" t="str">
        <x:v>Basis arsip 2025/2024</x:v>
      </x:c>
      <x:c r="Z3987" t="str">
        <x:v>https://snpmb.id/utbk-snbt/daya-tampung-snbt</x:v>
      </x:c>
      <x:c r="AA3987" t="str">
        <x:v>Tidak Ada</x:v>
      </x:c>
      <x:c r="AB3987" t="str">
        <x:v>Campus=55; Ratio=39.5; Prodi=60; RelDemand=17.1; Capacity=80.8</x:v>
      </x:c>
    </x:row>
    <x:row r="3988">
      <x:c r="A3988" t="n">
        <x:v>3985</x:v>
      </x:c>
      <x:c r="B3988" t="str">
        <x:v>PTN Vokasi</x:v>
      </x:c>
      <x:c r="C3988" t="str">
        <x:v>POLITEKNIK NEGERI PADANG</x:v>
      </x:c>
      <x:c r="D3988" t="str">
        <x:v>PERANCANGAN JALAN DAN JEMBATAN</x:v>
      </x:c>
      <x:c r="E3988" t="str">
        <x:v>Sarjana Terapan</x:v>
      </x:c>
      <x:c r="F3988" s="18" t="n">
        <x:v>23</x:v>
      </x:c>
      <x:c r="G3988" s="18" t="n">
        <x:v>381</x:v>
      </x:c>
      <x:c r="H3988" s="19" t="n">
        <x:v>16.565217391304348</x:v>
      </x:c>
      <x:c r="I3988" s="18" t="n">
        <x:f>ROUND(MIN(Model_Config_v3!$B$6,MAX(Q3988,R3988,S3988*Model_Config_v3!$B$4+T3988*Model_Config_v3!$B$5)),0)</x:f>
        <x:v>672</x:v>
      </x:c>
      <x:c r="J3988" s="18" t="n">
        <x:f>MIN(Model_Config_v3!$B$6,I3988+Model_Config_v3!$B$7)</x:f>
        <x:v>692</x:v>
      </x:c>
      <x:c r="K3988" s="20" t="n">
        <x:v>59.3</x:v>
      </x:c>
      <x:c r="L3988" t="str">
        <x:v>KETAT</x:v>
      </x:c>
      <x:c r="M3988" t="str">
        <x:v>SEDANG</x:v>
      </x:c>
      <x:c r="N3988" t="str">
        <x:v>REGULER</x:v>
      </x:c>
      <x:c r="O3988" t="str">
        <x:v>CAMPURAN</x:v>
      </x:c>
      <x:c r="P3988" t="str">
        <x:v>UMUM</x:v>
      </x:c>
      <x:c r="Q3988" s="18" t="n">
        <x:v>0</x:v>
      </x:c>
      <x:c r="R3988" s="18" t="n">
        <x:v>0</x:v>
      </x:c>
      <x:c r="S3988" s="18" t="n">
        <x:v>654.1116853623829</x:v>
      </x:c>
      <x:c r="T3988" s="18" t="n">
        <x:v>679</x:v>
      </x:c>
      <x:c r="U3988" s="18" t="n">
        <x:v>654.1116853623829</x:v>
      </x:c>
      <x:c r="V3988" s="20" t="n">
        <x:v>8.8</x:v>
      </x:c>
      <x:c r="W3988" s="20" t="n">
        <x:v>9.9</x:v>
      </x:c>
      <x:c r="X3988" s="20" t="n">
        <x:v>3.3</x:v>
      </x:c>
      <x:c r="Y3988" t="str">
        <x:v>Basis arsip 2025/2024</x:v>
      </x:c>
      <x:c r="Z3988" t="str">
        <x:v>https://snpmb.id/utbk-snbt/daya-tampung-snbt</x:v>
      </x:c>
      <x:c r="AA3988" t="str">
        <x:v>Tidak Ada</x:v>
      </x:c>
      <x:c r="AB3988" t="str">
        <x:v>Campus=55; Ratio=71.8; Prodi=40; RelDemand=60.4; Capacity=80.8</x:v>
      </x:c>
    </x:row>
    <x:row r="3989">
      <x:c r="A3989" t="n">
        <x:v>3986</x:v>
      </x:c>
      <x:c r="B3989" t="str">
        <x:v>PTN Vokasi</x:v>
      </x:c>
      <x:c r="C3989" t="str">
        <x:v>POLITEKNIK NEGERI PADANG</x:v>
      </x:c>
      <x:c r="D3989" t="str">
        <x:v>MANAJEMEN REKAYASA KONSTRUKSI</x:v>
      </x:c>
      <x:c r="E3989" t="str">
        <x:v>Sarjana Terapan</x:v>
      </x:c>
      <x:c r="F3989" s="18" t="n">
        <x:v>23</x:v>
      </x:c>
      <x:c r="G3989" s="18" t="n">
        <x:v>259</x:v>
      </x:c>
      <x:c r="H3989" s="19" t="n">
        <x:v>11.26086956521739</x:v>
      </x:c>
      <x:c r="I3989" s="18" t="n">
        <x:f>ROUND(MIN(Model_Config_v3!$B$6,MAX(Q3989,R3989,S3989*Model_Config_v3!$B$4+T3989*Model_Config_v3!$B$5)),0)</x:f>
        <x:v>667</x:v>
      </x:c>
      <x:c r="J3989" s="18" t="n">
        <x:f>MIN(Model_Config_v3!$B$6,I3989+Model_Config_v3!$B$7)</x:f>
        <x:v>687</x:v>
      </x:c>
      <x:c r="K3989" s="20" t="n">
        <x:v>59.9</x:v>
      </x:c>
      <x:c r="L3989" t="str">
        <x:v>KETAT</x:v>
      </x:c>
      <x:c r="M3989" t="str">
        <x:v>SEDANG+</x:v>
      </x:c>
      <x:c r="N3989" t="str">
        <x:v>REGULER</x:v>
      </x:c>
      <x:c r="O3989" t="str">
        <x:v>SOSHUM</x:v>
      </x:c>
      <x:c r="P3989" t="str">
        <x:v>BISNIS/EKONOMI/AKUNTANSI</x:v>
      </x:c>
      <x:c r="Q3989" s="18" t="n">
        <x:v>0</x:v>
      </x:c>
      <x:c r="R3989" s="18" t="n">
        <x:v>0</x:v>
      </x:c>
      <x:c r="S3989" s="18" t="n">
        <x:v>635.6729120870025</x:v>
      </x:c>
      <x:c r="T3989" s="18" t="n">
        <x:v>680</x:v>
      </x:c>
      <x:c r="U3989" s="18" t="n">
        <x:v>650.6729120870025</x:v>
      </x:c>
      <x:c r="V3989" s="20" t="n">
        <x:v>4.4</x:v>
      </x:c>
      <x:c r="W3989" s="20" t="n">
        <x:v>14.3</x:v>
      </x:c>
      <x:c r="X3989" s="20" t="n">
        <x:v>3.3</x:v>
      </x:c>
      <x:c r="Y3989" t="str">
        <x:v>Basis arsip 2025/2024</x:v>
      </x:c>
      <x:c r="Z3989" t="str">
        <x:v>https://snpmb.id/utbk-snbt/daya-tampung-snbt</x:v>
      </x:c>
      <x:c r="AA3989" t="str">
        <x:v>Tidak Ada</x:v>
      </x:c>
      <x:c r="AB3989" t="str">
        <x:v>Campus=55; Ratio=61.9; Prodi=65; RelDemand=41.0; Capacity=80.8</x:v>
      </x:c>
    </x:row>
    <x:row r="3990">
      <x:c r="A3990" t="n">
        <x:v>3987</x:v>
      </x:c>
      <x:c r="B3990" t="str">
        <x:v>PTN Vokasi</x:v>
      </x:c>
      <x:c r="C3990" t="str">
        <x:v>POLITEKNIK NEGERI PADANG</x:v>
      </x:c>
      <x:c r="D3990" t="str">
        <x:v>TEKNOLOGI REKAYASA PERANGKAT LUNAK</x:v>
      </x:c>
      <x:c r="E3990" t="str">
        <x:v>Sarjana Terapan</x:v>
      </x:c>
      <x:c r="F3990" s="18" t="n">
        <x:v>45</x:v>
      </x:c>
      <x:c r="G3990" s="18" t="n">
        <x:v>499</x:v>
      </x:c>
      <x:c r="H3990" s="19" t="n">
        <x:v>11.088888888888889</x:v>
      </x:c>
      <x:c r="I3990" s="18" t="n">
        <x:f>ROUND(MIN(Model_Config_v3!$B$6,MAX(Q3990,R3990,S3990*Model_Config_v3!$B$4+T3990*Model_Config_v3!$B$5)),0)</x:f>
        <x:v>657</x:v>
      </x:c>
      <x:c r="J3990" s="18" t="n">
        <x:f>MIN(Model_Config_v3!$B$6,I3990+Model_Config_v3!$B$7)</x:f>
        <x:v>677</x:v>
      </x:c>
      <x:c r="K3990" s="20" t="n">
        <x:v>52.9</x:v>
      </x:c>
      <x:c r="L3990" t="str">
        <x:v>MENENGAH</x:v>
      </x:c>
      <x:c r="M3990" t="str">
        <x:v>SEDANG</x:v>
      </x:c>
      <x:c r="N3990" t="str">
        <x:v>REGULER</x:v>
      </x:c>
      <x:c r="O3990" t="str">
        <x:v>SAINTEK</x:v>
      </x:c>
      <x:c r="P3990" t="str">
        <x:v>UMUM</x:v>
      </x:c>
      <x:c r="Q3990" s="18" t="n">
        <x:v>0</x:v>
      </x:c>
      <x:c r="R3990" s="18" t="n">
        <x:v>0</x:v>
      </x:c>
      <x:c r="S3990" s="18" t="n">
        <x:v>634.937683503285</x:v>
      </x:c>
      <x:c r="T3990" s="18" t="n">
        <x:v>666</x:v>
      </x:c>
      <x:c r="U3990" s="18" t="n">
        <x:v>634.937683503285</x:v>
      </x:c>
      <x:c r="V3990" s="20" t="n">
        <x:v>12</x:v>
      </x:c>
      <x:c r="W3990" s="20" t="n">
        <x:v>5</x:v>
      </x:c>
      <x:c r="X3990" s="20" t="n">
        <x:v>3</x:v>
      </x:c>
      <x:c r="Y3990" t="str">
        <x:v>Basis arsip 2025/2024</x:v>
      </x:c>
      <x:c r="Z3990" t="str">
        <x:v>https://snpmb.id/utbk-snbt/daya-tampung-snbt</x:v>
      </x:c>
      <x:c r="AA3990" t="str">
        <x:v>Tidak Ada</x:v>
      </x:c>
      <x:c r="AB3990" t="str">
        <x:v>Campus=55; Ratio=61.5; Prodi=40; RelDemand=40.4; Capacity=62.5</x:v>
      </x:c>
    </x:row>
    <x:row r="3991">
      <x:c r="A3991" t="n">
        <x:v>3988</x:v>
      </x:c>
      <x:c r="B3991" t="str">
        <x:v>PTN Vokasi</x:v>
      </x:c>
      <x:c r="C3991" t="str">
        <x:v>POLITEKNIK NEGERI PADANG</x:v>
      </x:c>
      <x:c r="D3991" t="str">
        <x:v>TEKNOLOGI REKAYASA INSTALASI LISTRIK</x:v>
      </x:c>
      <x:c r="E3991" t="str">
        <x:v>Sarjana Terapan</x:v>
      </x:c>
      <x:c r="F3991" s="18" t="n">
        <x:v>34</x:v>
      </x:c>
      <x:c r="G3991" s="18" t="n">
        <x:v>145</x:v>
      </x:c>
      <x:c r="H3991" s="19" t="n">
        <x:v>4.264705882352941</x:v>
      </x:c>
      <x:c r="I3991" s="18" t="n">
        <x:f>ROUND(MIN(Model_Config_v3!$B$6,MAX(Q3991,R3991,S3991*Model_Config_v3!$B$4+T3991*Model_Config_v3!$B$5)),0)</x:f>
        <x:v>632</x:v>
      </x:c>
      <x:c r="J3991" s="18" t="n">
        <x:f>MIN(Model_Config_v3!$B$6,I3991+Model_Config_v3!$B$7)</x:f>
        <x:v>652</x:v>
      </x:c>
      <x:c r="K3991" s="20" t="n">
        <x:v>45.2</x:v>
      </x:c>
      <x:c r="L3991" t="str">
        <x:v>MENENGAH</x:v>
      </x:c>
      <x:c r="M3991" t="str">
        <x:v>SEDANG</x:v>
      </x:c>
      <x:c r="N3991" t="str">
        <x:v>REGULER</x:v>
      </x:c>
      <x:c r="O3991" t="str">
        <x:v>SAINTEK</x:v>
      </x:c>
      <x:c r="P3991" t="str">
        <x:v>UMUM</x:v>
      </x:c>
      <x:c r="Q3991" s="18" t="n">
        <x:v>0</x:v>
      </x:c>
      <x:c r="R3991" s="18" t="n">
        <x:v>0</x:v>
      </x:c>
      <x:c r="S3991" s="18" t="n">
        <x:v>589.2877993711992</x:v>
      </x:c>
      <x:c r="T3991" s="18" t="n">
        <x:v>650</x:v>
      </x:c>
      <x:c r="U3991" s="18" t="n">
        <x:v>589.2877993711992</x:v>
      </x:c>
      <x:c r="V3991" s="20" t="n">
        <x:v>12</x:v>
      </x:c>
      <x:c r="W3991" s="20" t="n">
        <x:v>5</x:v>
      </x:c>
      <x:c r="X3991" s="20" t="n">
        <x:v>3</x:v>
      </x:c>
      <x:c r="Y3991" t="str">
        <x:v>Basis arsip 2025/2024</x:v>
      </x:c>
      <x:c r="Z3991" t="str">
        <x:v>https://snpmb.id/utbk-snbt/daya-tampung-snbt</x:v>
      </x:c>
      <x:c r="AA3991" t="str">
        <x:v>Tidak Ada</x:v>
      </x:c>
      <x:c r="AB3991" t="str">
        <x:v>Campus=55; Ratio=37.1; Prodi=40; RelDemand=15.5; Capacity=71.7</x:v>
      </x:c>
    </x:row>
    <x:row r="3992">
      <x:c r="A3992" t="n">
        <x:v>3989</x:v>
      </x:c>
      <x:c r="B3992" t="str">
        <x:v>PTN Vokasi</x:v>
      </x:c>
      <x:c r="C3992" t="str">
        <x:v>POLITEKNIK NEGERI PADANG</x:v>
      </x:c>
      <x:c r="D3992" t="str">
        <x:v>REKAYASA PERANCANGAN MEKANIK</x:v>
      </x:c>
      <x:c r="E3992" t="str">
        <x:v>Sarjana Terapan</x:v>
      </x:c>
      <x:c r="F3992" s="18" t="n">
        <x:v>23</x:v>
      </x:c>
      <x:c r="G3992" s="18" t="n">
        <x:v>67</x:v>
      </x:c>
      <x:c r="H3992" s="19" t="n">
        <x:v>2.9130434782608696</x:v>
      </x:c>
      <x:c r="I3992" s="18" t="n">
        <x:f>ROUND(MIN(Model_Config_v3!$B$6,MAX(Q3992,R3992,S3992*Model_Config_v3!$B$4+T3992*Model_Config_v3!$B$5)),0)</x:f>
        <x:v>624</x:v>
      </x:c>
      <x:c r="J3992" s="18" t="n">
        <x:f>MIN(Model_Config_v3!$B$6,I3992+Model_Config_v3!$B$7)</x:f>
        <x:v>644</x:v>
      </x:c>
      <x:c r="K3992" s="20" t="n">
        <x:v>43.2</x:v>
      </x:c>
      <x:c r="L3992" t="str">
        <x:v>RELATIF LONGGAR</x:v>
      </x:c>
      <x:c r="M3992" t="str">
        <x:v>SEDANG</x:v>
      </x:c>
      <x:c r="N3992" t="str">
        <x:v>REGULER</x:v>
      </x:c>
      <x:c r="O3992" t="str">
        <x:v>CAMPURAN</x:v>
      </x:c>
      <x:c r="P3992" t="str">
        <x:v>UMUM</x:v>
      </x:c>
      <x:c r="Q3992" s="18" t="n">
        <x:v>0</x:v>
      </x:c>
      <x:c r="R3992" s="18" t="n">
        <x:v>0</x:v>
      </x:c>
      <x:c r="S3992" s="18" t="n">
        <x:v>571.0781663351557</x:v>
      </x:c>
      <x:c r="T3992" s="18" t="n">
        <x:v>646</x:v>
      </x:c>
      <x:c r="U3992" s="18" t="n">
        <x:v>571.0781663351557</x:v>
      </x:c>
      <x:c r="V3992" s="20" t="n">
        <x:v>8.8</x:v>
      </x:c>
      <x:c r="W3992" s="20" t="n">
        <x:v>9.9</x:v>
      </x:c>
      <x:c r="X3992" s="20" t="n">
        <x:v>3.3</x:v>
      </x:c>
      <x:c r="Y3992" t="str">
        <x:v>Basis arsip 2025/2024</x:v>
      </x:c>
      <x:c r="Z3992" t="str">
        <x:v>https://snpmb.id/utbk-snbt/daya-tampung-snbt</x:v>
      </x:c>
      <x:c r="AA3992" t="str">
        <x:v>Tidak Ada</x:v>
      </x:c>
      <x:c r="AB3992" t="str">
        <x:v>Campus=55; Ratio=27.3; Prodi=40; RelDemand=10.6; Capacity=80.8</x:v>
      </x:c>
    </x:row>
    <x:row r="3993">
      <x:c r="A3993" t="n">
        <x:v>3990</x:v>
      </x:c>
      <x:c r="B3993" t="str">
        <x:v>PTN Vokasi</x:v>
      </x:c>
      <x:c r="C3993" t="str">
        <x:v>POLITEKNIK NEGERI PADANG</x:v>
      </x:c>
      <x:c r="D3993" t="str">
        <x:v>AKUNTANSI</x:v>
      </x:c>
      <x:c r="E3993" t="str">
        <x:v>Sarjana Terapan</x:v>
      </x:c>
      <x:c r="F3993" s="18" t="n">
        <x:v>36</x:v>
      </x:c>
      <x:c r="G3993" s="18" t="n">
        <x:v>1319</x:v>
      </x:c>
      <x:c r="H3993" s="19" t="n">
        <x:v>36.638888888888886</x:v>
      </x:c>
      <x:c r="I3993" s="18" t="n">
        <x:f>ROUND(MIN(Model_Config_v3!$B$6,MAX(Q3993,R3993,S3993*Model_Config_v3!$B$4+T3993*Model_Config_v3!$B$5)),0)</x:f>
        <x:v>701</x:v>
      </x:c>
      <x:c r="J3993" s="18" t="n">
        <x:f>MIN(Model_Config_v3!$B$6,I3993+Model_Config_v3!$B$7)</x:f>
        <x:v>721</x:v>
      </x:c>
      <x:c r="K3993" s="20" t="n">
        <x:v>72.3</x:v>
      </x:c>
      <x:c r="L3993" t="str">
        <x:v>SANGAT KETAT</x:v>
      </x:c>
      <x:c r="M3993" t="str">
        <x:v>SEDANG+</x:v>
      </x:c>
      <x:c r="N3993" t="str">
        <x:v>REGULER</x:v>
      </x:c>
      <x:c r="O3993" t="str">
        <x:v>SOSHUM</x:v>
      </x:c>
      <x:c r="P3993" t="str">
        <x:v>BISNIS/EKONOMI/AKUNTANSI</x:v>
      </x:c>
      <x:c r="Q3993" s="18" t="n">
        <x:v>0</x:v>
      </x:c>
      <x:c r="R3993" s="18" t="n">
        <x:v>0</x:v>
      </x:c>
      <x:c r="S3993" s="18" t="n">
        <x:v>692.0336524256986</x:v>
      </x:c>
      <x:c r="T3993" s="18" t="n">
        <x:v>705</x:v>
      </x:c>
      <x:c r="U3993" s="18" t="n">
        <x:v>692.0336524256986</x:v>
      </x:c>
      <x:c r="V3993" s="20" t="n">
        <x:v>4.4</x:v>
      </x:c>
      <x:c r="W3993" s="20" t="n">
        <x:v>14.3</x:v>
      </x:c>
      <x:c r="X3993" s="20" t="n">
        <x:v>3.3</x:v>
      </x:c>
      <x:c r="Y3993" t="str">
        <x:v>Basis arsip 2025/2024</x:v>
      </x:c>
      <x:c r="Z3993" t="str">
        <x:v>https://snpmb.id/utbk-snbt/daya-tampung-snbt</x:v>
      </x:c>
      <x:c r="AA3993" t="str">
        <x:v>Tidak Ada</x:v>
      </x:c>
      <x:c r="AB3993" t="str">
        <x:v>Campus=55; Ratio=92.1; Prodi=65; RelDemand=100.0; Capacity=70.0</x:v>
      </x:c>
    </x:row>
    <x:row r="3994">
      <x:c r="A3994" t="n">
        <x:v>3991</x:v>
      </x:c>
      <x:c r="B3994" t="str">
        <x:v>PTN Vokasi</x:v>
      </x:c>
      <x:c r="C3994" t="str">
        <x:v>POLITEKNIK NEGERI PADANG</x:v>
      </x:c>
      <x:c r="D3994" t="str">
        <x:v>BAHASA INGGRIS UNTUK KOMUNIKASI BISNIS DAN PROFESIONAL</x:v>
      </x:c>
      <x:c r="E3994" t="str">
        <x:v>Sarjana Terapan</x:v>
      </x:c>
      <x:c r="F3994" s="18" t="n">
        <x:v>24</x:v>
      </x:c>
      <x:c r="G3994" s="18" t="n">
        <x:v>220</x:v>
      </x:c>
      <x:c r="H3994" s="19" t="n">
        <x:v>9.166666666666666</x:v>
      </x:c>
      <x:c r="I3994" s="18" t="n">
        <x:f>ROUND(MIN(Model_Config_v3!$B$6,MAX(Q3994,R3994,S3994*Model_Config_v3!$B$4+T3994*Model_Config_v3!$B$5)),0)</x:f>
        <x:v>661</x:v>
      </x:c>
      <x:c r="J3994" s="18" t="n">
        <x:f>MIN(Model_Config_v3!$B$6,I3994+Model_Config_v3!$B$7)</x:f>
        <x:v>681</x:v>
      </x:c>
      <x:c r="K3994" s="20" t="n">
        <x:v>57.8</x:v>
      </x:c>
      <x:c r="L3994" t="str">
        <x:v>KETAT</x:v>
      </x:c>
      <x:c r="M3994" t="str">
        <x:v>SEDANG+</x:v>
      </x:c>
      <x:c r="N3994" t="str">
        <x:v>REGULER</x:v>
      </x:c>
      <x:c r="O3994" t="str">
        <x:v>SOSHUM</x:v>
      </x:c>
      <x:c r="P3994" t="str">
        <x:v>BISNIS/EKONOMI/AKUNTANSI</x:v>
      </x:c>
      <x:c r="Q3994" s="18" t="n">
        <x:v>0</x:v>
      </x:c>
      <x:c r="R3994" s="18" t="n">
        <x:v>0</x:v>
      </x:c>
      <x:c r="S3994" s="18" t="n">
        <x:v>625.843258302166</x:v>
      </x:c>
      <x:c r="T3994" s="18" t="n">
        <x:v>676</x:v>
      </x:c>
      <x:c r="U3994" s="18" t="n">
        <x:v>640.843258302166</x:v>
      </x:c>
      <x:c r="V3994" s="20" t="n">
        <x:v>4.4</x:v>
      </x:c>
      <x:c r="W3994" s="20" t="n">
        <x:v>14.3</x:v>
      </x:c>
      <x:c r="X3994" s="20" t="n">
        <x:v>3.3</x:v>
      </x:c>
      <x:c r="Y3994" t="str">
        <x:v>Basis arsip 2025/2024</x:v>
      </x:c>
      <x:c r="Z3994" t="str">
        <x:v>https://snpmb.id/utbk-snbt/daya-tampung-snbt</x:v>
      </x:c>
      <x:c r="AA3994" t="str">
        <x:v>Tidak Ada</x:v>
      </x:c>
      <x:c r="AB3994" t="str">
        <x:v>Campus=55; Ratio=56.6; Prodi=65; RelDemand=33.4; Capacity=80.0</x:v>
      </x:c>
    </x:row>
    <x:row r="3995">
      <x:c r="A3995" t="n">
        <x:v>3992</x:v>
      </x:c>
      <x:c r="B3995" t="str">
        <x:v>PTN Vokasi</x:v>
      </x:c>
      <x:c r="C3995" t="str">
        <x:v>POLITEKNIK NEGERI PADANG</x:v>
      </x:c>
      <x:c r="D3995" t="str">
        <x:v>DESTINASI PARIWISATA</x:v>
      </x:c>
      <x:c r="E3995" t="str">
        <x:v>Sarjana Terapan</x:v>
      </x:c>
      <x:c r="F3995" s="18" t="n">
        <x:v>24</x:v>
      </x:c>
      <x:c r="G3995" s="18" t="n">
        <x:v>314</x:v>
      </x:c>
      <x:c r="H3995" s="19" t="n">
        <x:v>13.083333333333334</x:v>
      </x:c>
      <x:c r="I3995" s="18" t="n">
        <x:f>ROUND(MIN(Model_Config_v3!$B$6,MAX(Q3995,R3995,S3995*Model_Config_v3!$B$4+T3995*Model_Config_v3!$B$5)),0)</x:f>
        <x:v>664</x:v>
      </x:c>
      <x:c r="J3995" s="18" t="n">
        <x:f>MIN(Model_Config_v3!$B$6,I3995+Model_Config_v3!$B$7)</x:f>
        <x:v>684</x:v>
      </x:c>
      <x:c r="K3995" s="20" t="n">
        <x:v>56.5</x:v>
      </x:c>
      <x:c r="L3995" t="str">
        <x:v>KETAT</x:v>
      </x:c>
      <x:c r="M3995" t="str">
        <x:v>SEDANG</x:v>
      </x:c>
      <x:c r="N3995" t="str">
        <x:v>REGULER</x:v>
      </x:c>
      <x:c r="O3995" t="str">
        <x:v>CAMPURAN</x:v>
      </x:c>
      <x:c r="P3995" t="str">
        <x:v>UMUM</x:v>
      </x:c>
      <x:c r="Q3995" s="18" t="n">
        <x:v>0</x:v>
      </x:c>
      <x:c r="R3995" s="18" t="n">
        <x:v>0</x:v>
      </x:c>
      <x:c r="S3995" s="18" t="n">
        <x:v>642.8390246997769</x:v>
      </x:c>
      <x:c r="T3995" s="18" t="n">
        <x:v>673</x:v>
      </x:c>
      <x:c r="U3995" s="18" t="n">
        <x:v>642.8390246997769</x:v>
      </x:c>
      <x:c r="V3995" s="20" t="n">
        <x:v>8.8</x:v>
      </x:c>
      <x:c r="W3995" s="20" t="n">
        <x:v>9.9</x:v>
      </x:c>
      <x:c r="X3995" s="20" t="n">
        <x:v>3.3</x:v>
      </x:c>
      <x:c r="Y3995" t="str">
        <x:v>Basis arsip 2025/2024</x:v>
      </x:c>
      <x:c r="Z3995" t="str">
        <x:v>https://snpmb.id/utbk-snbt/daya-tampung-snbt</x:v>
      </x:c>
      <x:c r="AA3995" t="str">
        <x:v>Tidak Ada</x:v>
      </x:c>
      <x:c r="AB3995" t="str">
        <x:v>Campus=55; Ratio=65.7; Prodi=40; RelDemand=47.7; Capacity=80.0</x:v>
      </x:c>
    </x:row>
    <x:row r="3996">
      <x:c r="A3996" t="n">
        <x:v>3993</x:v>
      </x:c>
      <x:c r="B3996" t="str">
        <x:v>PTN Vokasi</x:v>
      </x:c>
      <x:c r="C3996" t="str">
        <x:v>POLITEKNIK NEGERI PADANG</x:v>
      </x:c>
      <x:c r="D3996" t="str">
        <x:v>USAHA PERJALANAN WISATA</x:v>
      </x:c>
      <x:c r="E3996" t="str">
        <x:v>Sarjana Terapan</x:v>
      </x:c>
      <x:c r="F3996" s="18" t="n">
        <x:v>36</x:v>
      </x:c>
      <x:c r="G3996" s="18" t="n">
        <x:v>181</x:v>
      </x:c>
      <x:c r="H3996" s="19" t="n">
        <x:v>5.027777777777778</x:v>
      </x:c>
      <x:c r="I3996" s="18" t="n">
        <x:f>ROUND(MIN(Model_Config_v3!$B$6,MAX(Q3996,R3996,S3996*Model_Config_v3!$B$4+T3996*Model_Config_v3!$B$5)),0)</x:f>
        <x:v>636</x:v>
      </x:c>
      <x:c r="J3996" s="18" t="n">
        <x:f>MIN(Model_Config_v3!$B$6,I3996+Model_Config_v3!$B$7)</x:f>
        <x:v>656</x:v>
      </x:c>
      <x:c r="K3996" s="20" t="n">
        <x:v>46.4</x:v>
      </x:c>
      <x:c r="L3996" t="str">
        <x:v>MENENGAH</x:v>
      </x:c>
      <x:c r="M3996" t="str">
        <x:v>SEDANG</x:v>
      </x:c>
      <x:c r="N3996" t="str">
        <x:v>REGULER</x:v>
      </x:c>
      <x:c r="O3996" t="str">
        <x:v>CAMPURAN</x:v>
      </x:c>
      <x:c r="P3996" t="str">
        <x:v>UMUM</x:v>
      </x:c>
      <x:c r="Q3996" s="18" t="n">
        <x:v>0</x:v>
      </x:c>
      <x:c r="R3996" s="18" t="n">
        <x:v>0</x:v>
      </x:c>
      <x:c r="S3996" s="18" t="n">
        <x:v>597.1513681512087</x:v>
      </x:c>
      <x:c r="T3996" s="18" t="n">
        <x:v>653</x:v>
      </x:c>
      <x:c r="U3996" s="18" t="n">
        <x:v>597.1513681512087</x:v>
      </x:c>
      <x:c r="V3996" s="20" t="n">
        <x:v>8.8</x:v>
      </x:c>
      <x:c r="W3996" s="20" t="n">
        <x:v>9.9</x:v>
      </x:c>
      <x:c r="X3996" s="20" t="n">
        <x:v>3.3</x:v>
      </x:c>
      <x:c r="Y3996" t="str">
        <x:v>Basis arsip 2025/2024</x:v>
      </x:c>
      <x:c r="Z3996" t="str">
        <x:v>https://snpmb.id/utbk-snbt/daya-tampung-snbt</x:v>
      </x:c>
      <x:c r="AA3996" t="str">
        <x:v>Tidak Ada</x:v>
      </x:c>
      <x:c r="AB3996" t="str">
        <x:v>Campus=55; Ratio=41.3; Prodi=40; RelDemand=18.3; Capacity=70.0</x:v>
      </x:c>
    </x:row>
    <x:row r="3997">
      <x:c r="A3997" t="n">
        <x:v>3994</x:v>
      </x:c>
      <x:c r="B3997" t="str">
        <x:v>PTN Vokasi</x:v>
      </x:c>
      <x:c r="C3997" t="str">
        <x:v>POLITEKNIK NEGERI PADANG</x:v>
      </x:c>
      <x:c r="D3997" t="str">
        <x:v>BISNIS DIGITAL</x:v>
      </x:c>
      <x:c r="E3997" t="str">
        <x:v>Sarjana Terapan</x:v>
      </x:c>
      <x:c r="F3997" s="18" t="n">
        <x:v>24</x:v>
      </x:c>
      <x:c r="G3997" s="18" t="n">
        <x:v>751</x:v>
      </x:c>
      <x:c r="H3997" s="19" t="n">
        <x:v>31.291666666666668</x:v>
      </x:c>
      <x:c r="I3997" s="18" t="n">
        <x:f>ROUND(MIN(Model_Config_v3!$B$6,MAX(Q3997,R3997,S3997*Model_Config_v3!$B$4+T3997*Model_Config_v3!$B$5)),0)</x:f>
        <x:v>699</x:v>
      </x:c>
      <x:c r="J3997" s="18" t="n">
        <x:f>MIN(Model_Config_v3!$B$6,I3997+Model_Config_v3!$B$7)</x:f>
        <x:v>719</x:v>
      </x:c>
      <x:c r="K3997" s="20" t="n">
        <x:v>72.3</x:v>
      </x:c>
      <x:c r="L3997" t="str">
        <x:v>SANGAT KETAT</x:v>
      </x:c>
      <x:c r="M3997" t="str">
        <x:v>SEDANG+</x:v>
      </x:c>
      <x:c r="N3997" t="str">
        <x:v>REGULER</x:v>
      </x:c>
      <x:c r="O3997" t="str">
        <x:v>SOSHUM</x:v>
      </x:c>
      <x:c r="P3997" t="str">
        <x:v>BISNIS/EKONOMI/AKUNTANSI</x:v>
      </x:c>
      <x:c r="Q3997" s="18" t="n">
        <x:v>0</x:v>
      </x:c>
      <x:c r="R3997" s="18" t="n">
        <x:v>0</x:v>
      </x:c>
      <x:c r="S3997" s="18" t="n">
        <x:v>684.4971564821818</x:v>
      </x:c>
      <x:c r="T3997" s="18" t="n">
        <x:v>705</x:v>
      </x:c>
      <x:c r="U3997" s="18" t="n">
        <x:v>699.4971564821818</x:v>
      </x:c>
      <x:c r="V3997" s="20" t="n">
        <x:v>4.4</x:v>
      </x:c>
      <x:c r="W3997" s="20" t="n">
        <x:v>14.3</x:v>
      </x:c>
      <x:c r="X3997" s="20" t="n">
        <x:v>3.3</x:v>
      </x:c>
      <x:c r="Y3997" t="str">
        <x:v>Basis arsip 2025/2024</x:v>
      </x:c>
      <x:c r="Z3997" t="str">
        <x:v>https://snpmb.id/utbk-snbt/daya-tampung-snbt</x:v>
      </x:c>
      <x:c r="AA3997" t="str">
        <x:v>Tidak Ada</x:v>
      </x:c>
      <x:c r="AB3997" t="str">
        <x:v>Campus=55; Ratio=88.0; Prodi=65; RelDemand=100.0; Capacity=80.0</x:v>
      </x:c>
    </x:row>
    <x:row r="3998">
      <x:c r="A3998" t="n">
        <x:v>3995</x:v>
      </x:c>
      <x:c r="B3998" t="str">
        <x:v>PTN Vokasi</x:v>
      </x:c>
      <x:c r="C3998" t="str">
        <x:v>POLITEKNIK NEGERI PADANG</x:v>
      </x:c>
      <x:c r="D3998" t="str">
        <x:v>ANIMASI</x:v>
      </x:c>
      <x:c r="E3998" t="str">
        <x:v>Sarjana Terapan</x:v>
      </x:c>
      <x:c r="F3998" s="18" t="n">
        <x:v>23</x:v>
      </x:c>
      <x:c r="G3998" s="18" t="n">
        <x:v>96</x:v>
      </x:c>
      <x:c r="H3998" s="19" t="n">
        <x:v>4.173913043478261</x:v>
      </x:c>
      <x:c r="I3998" s="18" t="n">
        <x:f>ROUND(MIN(Model_Config_v3!$B$6,MAX(Q3998,R3998,S3998*Model_Config_v3!$B$4+T3998*Model_Config_v3!$B$5)),0)</x:f>
        <x:v>633</x:v>
      </x:c>
      <x:c r="J3998" s="18" t="n">
        <x:f>MIN(Model_Config_v3!$B$6,I3998+Model_Config_v3!$B$7)</x:f>
        <x:v>653</x:v>
      </x:c>
      <x:c r="K3998" s="20" t="n">
        <x:v>46</x:v>
      </x:c>
      <x:c r="L3998" t="str">
        <x:v>MENENGAH</x:v>
      </x:c>
      <x:c r="M3998" t="str">
        <x:v>SEDANG</x:v>
      </x:c>
      <x:c r="N3998" t="str">
        <x:v>REGULER</x:v>
      </x:c>
      <x:c r="O3998" t="str">
        <x:v>CAMPURAN</x:v>
      </x:c>
      <x:c r="P3998" t="str">
        <x:v>UMUM</x:v>
      </x:c>
      <x:c r="Q3998" s="18" t="n">
        <x:v>0</x:v>
      </x:c>
      <x:c r="R3998" s="18" t="n">
        <x:v>0</x:v>
      </x:c>
      <x:c r="S3998" s="18" t="n">
        <x:v>588.2597736724173</x:v>
      </x:c>
      <x:c r="T3998" s="18" t="n">
        <x:v>652</x:v>
      </x:c>
      <x:c r="U3998" s="18" t="n">
        <x:v>588.2597736724173</x:v>
      </x:c>
      <x:c r="V3998" s="20" t="n">
        <x:v>8.8</x:v>
      </x:c>
      <x:c r="W3998" s="20" t="n">
        <x:v>9.9</x:v>
      </x:c>
      <x:c r="X3998" s="20" t="n">
        <x:v>3.3</x:v>
      </x:c>
      <x:c r="Y3998" t="str">
        <x:v>Basis arsip 2025/2024</x:v>
      </x:c>
      <x:c r="Z3998" t="str">
        <x:v>https://snpmb.id/utbk-snbt/daya-tampung-snbt</x:v>
      </x:c>
      <x:c r="AA3998" t="str">
        <x:v>Tidak Ada</x:v>
      </x:c>
      <x:c r="AB3998" t="str">
        <x:v>Campus=55; Ratio=36.5; Prodi=40; RelDemand=15.2; Capacity=80.8</x:v>
      </x:c>
    </x:row>
    <x:row r="3999">
      <x:c r="A3999" t="n">
        <x:v>3996</x:v>
      </x:c>
      <x:c r="B3999" t="str">
        <x:v>PTN Vokasi</x:v>
      </x:c>
      <x:c r="C3999" t="str">
        <x:v>POLITEKNIK NEGERI PADANG</x:v>
      </x:c>
      <x:c r="D3999" t="str">
        <x:v>LOGISTIK PERDAGANGAN INTERNASIONAL</x:v>
      </x:c>
      <x:c r="E3999" t="str">
        <x:v>Sarjana Terapan</x:v>
      </x:c>
      <x:c r="F3999" s="18" t="n">
        <x:v>24</x:v>
      </x:c>
      <x:c r="G3999" s="18" t="n">
        <x:v>368</x:v>
      </x:c>
      <x:c r="H3999" s="19" t="n">
        <x:v>15.333333333333334</x:v>
      </x:c>
      <x:c r="I3999" s="18" t="n">
        <x:f>ROUND(MIN(Model_Config_v3!$B$6,MAX(Q3999,R3999,S3999*Model_Config_v3!$B$4+T3999*Model_Config_v3!$B$5)),0)</x:f>
        <x:v>669</x:v>
      </x:c>
      <x:c r="J3999" s="18" t="n">
        <x:f>MIN(Model_Config_v3!$B$6,I3999+Model_Config_v3!$B$7)</x:f>
        <x:v>689</x:v>
      </x:c>
      <x:c r="K3999" s="20" t="n">
        <x:v>58.3</x:v>
      </x:c>
      <x:c r="L3999" t="str">
        <x:v>KETAT</x:v>
      </x:c>
      <x:c r="M3999" t="str">
        <x:v>SEDANG</x:v>
      </x:c>
      <x:c r="N3999" t="str">
        <x:v>REGULER</x:v>
      </x:c>
      <x:c r="O3999" t="str">
        <x:v>CAMPURAN</x:v>
      </x:c>
      <x:c r="P3999" t="str">
        <x:v>UMUM</x:v>
      </x:c>
      <x:c r="Q3999" s="18" t="n">
        <x:v>0</x:v>
      </x:c>
      <x:c r="R3999" s="18" t="n">
        <x:v>0</x:v>
      </x:c>
      <x:c r="S3999" s="18" t="n">
        <x:v>650.4200234658103</x:v>
      </x:c>
      <x:c r="T3999" s="18" t="n">
        <x:v>677</x:v>
      </x:c>
      <x:c r="U3999" s="18" t="n">
        <x:v>650.4200234658103</x:v>
      </x:c>
      <x:c r="V3999" s="20" t="n">
        <x:v>8.8</x:v>
      </x:c>
      <x:c r="W3999" s="20" t="n">
        <x:v>9.9</x:v>
      </x:c>
      <x:c r="X3999" s="20" t="n">
        <x:v>3.3</x:v>
      </x:c>
      <x:c r="Y3999" t="str">
        <x:v>Basis arsip 2025/2024</x:v>
      </x:c>
      <x:c r="Z3999" t="str">
        <x:v>https://snpmb.id/utbk-snbt/daya-tampung-snbt</x:v>
      </x:c>
      <x:c r="AA3999" t="str">
        <x:v>Tidak Ada</x:v>
      </x:c>
      <x:c r="AB3999" t="str">
        <x:v>Campus=55; Ratio=69.8; Prodi=40; RelDemand=55.9; Capacity=80.0</x:v>
      </x:c>
    </x:row>
    <x:row r="4000">
      <x:c r="A4000" t="n">
        <x:v>3997</x:v>
      </x:c>
      <x:c r="B4000" t="str">
        <x:v>PTN Vokasi</x:v>
      </x:c>
      <x:c r="C4000" t="str">
        <x:v>POLITEKNIK NEGERI PADANG</x:v>
      </x:c>
      <x:c r="D4000" t="str">
        <x:v>SISTEM INFORMASI (KAMPUS KAB. TANAH DATAR)</x:v>
      </x:c>
      <x:c r="E4000" t="str">
        <x:v>Diploma Tiga</x:v>
      </x:c>
      <x:c r="F4000" s="18" t="n">
        <x:v>23</x:v>
      </x:c>
      <x:c r="G4000" s="18" t="n">
        <x:v>152</x:v>
      </x:c>
      <x:c r="H4000" s="19" t="n">
        <x:v>6.608695652173913</x:v>
      </x:c>
      <x:c r="I4000" s="18" t="n">
        <x:f>ROUND(MIN(Model_Config_v3!$B$6,MAX(Q4000,R4000,S4000*Model_Config_v3!$B$4+T4000*Model_Config_v3!$B$5)),0)</x:f>
        <x:v>658</x:v>
      </x:c>
      <x:c r="J4000" s="18" t="n">
        <x:f>MIN(Model_Config_v3!$B$6,I4000+Model_Config_v3!$B$7)</x:f>
        <x:v>678</x:v>
      </x:c>
      <x:c r="K4000" s="20" t="n">
        <x:v>58.8</x:v>
      </x:c>
      <x:c r="L4000" t="str">
        <x:v>KETAT</x:v>
      </x:c>
      <x:c r="M4000" t="str">
        <x:v>SEDANG+</x:v>
      </x:c>
      <x:c r="N4000" t="str">
        <x:v>REGULER</x:v>
      </x:c>
      <x:c r="O4000" t="str">
        <x:v>CAMPURAN</x:v>
      </x:c>
      <x:c r="P4000" t="str">
        <x:v>KOMPUTER/INFORMATIKA</x:v>
      </x:c>
      <x:c r="Q4000" s="18" t="n">
        <x:v>0</x:v>
      </x:c>
      <x:c r="R4000" s="18" t="n">
        <x:v>0</x:v>
      </x:c>
      <x:c r="S4000" s="18" t="n">
        <x:v>610.2127327119897</x:v>
      </x:c>
      <x:c r="T4000" s="18" t="n">
        <x:v>678</x:v>
      </x:c>
      <x:c r="U4000" s="18" t="n">
        <x:v>635.2127327119897</x:v>
      </x:c>
      <x:c r="V4000" s="20" t="n">
        <x:v>8.8</x:v>
      </x:c>
      <x:c r="W4000" s="20" t="n">
        <x:v>9.9</x:v>
      </x:c>
      <x:c r="X4000" s="20" t="n">
        <x:v>3.3</x:v>
      </x:c>
      <x:c r="Y4000" t="str">
        <x:v>Basis arsip 2025/2024</x:v>
      </x:c>
      <x:c r="Z4000" t="str">
        <x:v>https://snpmb.id/utbk-snbt/daya-tampung-snbt</x:v>
      </x:c>
      <x:c r="AA4000" t="str">
        <x:v>Tidak Ada</x:v>
      </x:c>
      <x:c r="AB4000" t="str">
        <x:v>Campus=55; Ratio=48.3; Prodi=85; RelDemand=24.1; Capacity=80.8</x:v>
      </x:c>
    </x:row>
    <x:row r="4001">
      <x:c r="A4001" t="n">
        <x:v>3998</x:v>
      </x:c>
      <x:c r="B4001" t="str">
        <x:v>PTN Vokasi</x:v>
      </x:c>
      <x:c r="C4001" t="str">
        <x:v>POLITEKNIK NEGERI PADANG</x:v>
      </x:c>
      <x:c r="D4001" t="str">
        <x:v>TEKNIK KOMPUTER (KAMPUS KAB SOLOK SELATAN)</x:v>
      </x:c>
      <x:c r="E4001" t="str">
        <x:v>Diploma Tiga</x:v>
      </x:c>
      <x:c r="F4001" s="18" t="n">
        <x:v>12</x:v>
      </x:c>
      <x:c r="G4001" s="18" t="n">
        <x:v>25</x:v>
      </x:c>
      <x:c r="H4001" s="19" t="n">
        <x:v>2.0833333333333335</x:v>
      </x:c>
      <x:c r="I4001" s="18" t="n">
        <x:f>ROUND(MIN(Model_Config_v3!$B$6,MAX(Q4001,R4001,S4001*Model_Config_v3!$B$4+T4001*Model_Config_v3!$B$5)),0)</x:f>
        <x:v>629</x:v>
      </x:c>
      <x:c r="J4001" s="18" t="n">
        <x:f>MIN(Model_Config_v3!$B$6,I4001+Model_Config_v3!$B$7)</x:f>
        <x:v>649</x:v>
      </x:c>
      <x:c r="K4001" s="20" t="n">
        <x:v>50.7</x:v>
      </x:c>
      <x:c r="L4001" t="str">
        <x:v>MENENGAH</x:v>
      </x:c>
      <x:c r="M4001" t="str">
        <x:v>SEDANG+</x:v>
      </x:c>
      <x:c r="N4001" t="str">
        <x:v>REGULER</x:v>
      </x:c>
      <x:c r="O4001" t="str">
        <x:v>SAINTEK</x:v>
      </x:c>
      <x:c r="P4001" t="str">
        <x:v>KOMPUTER/INFORMATIKA</x:v>
      </x:c>
      <x:c r="Q4001" s="18" t="n">
        <x:v>0</x:v>
      </x:c>
      <x:c r="R4001" s="18" t="n">
        <x:v>0</x:v>
      </x:c>
      <x:c r="S4001" s="18" t="n">
        <x:v>555.0634638886854</x:v>
      </x:c>
      <x:c r="T4001" s="18" t="n">
        <x:v>661</x:v>
      </x:c>
      <x:c r="U4001" s="18" t="n">
        <x:v>580.0634638886854</x:v>
      </x:c>
      <x:c r="V4001" s="20" t="n">
        <x:v>12</x:v>
      </x:c>
      <x:c r="W4001" s="20" t="n">
        <x:v>5</x:v>
      </x:c>
      <x:c r="X4001" s="20" t="n">
        <x:v>3</x:v>
      </x:c>
      <x:c r="Y4001" t="str">
        <x:v>Basis arsip 2025/2024</x:v>
      </x:c>
      <x:c r="Z4001" t="str">
        <x:v>https://snpmb.id/utbk-snbt/daya-tampung-snbt</x:v>
      </x:c>
      <x:c r="AA4001" t="str">
        <x:v>Tidak Ada</x:v>
      </x:c>
      <x:c r="AB4001" t="str">
        <x:v>Campus=55; Ratio=18.8; Prodi=85; RelDemand=7.6; Capacity=90.0</x:v>
      </x:c>
    </x:row>
    <x:row r="4002">
      <x:c r="A4002" t="n">
        <x:v>3999</x:v>
      </x:c>
      <x:c r="B4002" t="str">
        <x:v>PTN Vokasi</x:v>
      </x:c>
      <x:c r="C4002" t="str">
        <x:v>POLITEKNIK NEGERI PADANG</x:v>
      </x:c>
      <x:c r="D4002" t="str">
        <x:v>AKUNTANSI (KAMPUS KAB SOLOK SELATAN)</x:v>
      </x:c>
      <x:c r="E4002" t="str">
        <x:v>Diploma Tiga</x:v>
      </x:c>
      <x:c r="F4002" s="18" t="n">
        <x:v>12</x:v>
      </x:c>
      <x:c r="G4002" s="18" t="n">
        <x:v>10</x:v>
      </x:c>
      <x:c r="H4002" s="19" t="n">
        <x:v>0.8333333333333334</x:v>
      </x:c>
      <x:c r="I4002" s="18" t="n">
        <x:f>ROUND(MIN(Model_Config_v3!$B$6,MAX(Q4002,R4002,S4002*Model_Config_v3!$B$4+T4002*Model_Config_v3!$B$5)),0)</x:f>
        <x:v>606</x:v>
      </x:c>
      <x:c r="J4002" s="18" t="n">
        <x:f>MIN(Model_Config_v3!$B$6,I4002+Model_Config_v3!$B$7)</x:f>
        <x:v>626</x:v>
      </x:c>
      <x:c r="K4002" s="20" t="n">
        <x:v>41.6</x:v>
      </x:c>
      <x:c r="L4002" t="str">
        <x:v>RELATIF LONGGAR</x:v>
      </x:c>
      <x:c r="M4002" t="str">
        <x:v>SEDANG+</x:v>
      </x:c>
      <x:c r="N4002" t="str">
        <x:v>REGULER</x:v>
      </x:c>
      <x:c r="O4002" t="str">
        <x:v>SOSHUM</x:v>
      </x:c>
      <x:c r="P4002" t="str">
        <x:v>BISNIS/EKONOMI/AKUNTANSI</x:v>
      </x:c>
      <x:c r="Q4002" s="18" t="n">
        <x:v>0</x:v>
      </x:c>
      <x:c r="R4002" s="18" t="n">
        <x:v>0</x:v>
      </x:c>
      <x:c r="S4002" s="18" t="n">
        <x:v>520</x:v>
      </x:c>
      <x:c r="T4002" s="18" t="n">
        <x:v>643</x:v>
      </x:c>
      <x:c r="U4002" s="18" t="n">
        <x:v>520</x:v>
      </x:c>
      <x:c r="V4002" s="20" t="n">
        <x:v>4.4</x:v>
      </x:c>
      <x:c r="W4002" s="20" t="n">
        <x:v>14.3</x:v>
      </x:c>
      <x:c r="X4002" s="20" t="n">
        <x:v>3.3</x:v>
      </x:c>
      <x:c r="Y4002" t="str">
        <x:v>Basis arsip 2025/2024</x:v>
      </x:c>
      <x:c r="Z4002" t="str">
        <x:v>https://snpmb.id/utbk-snbt/daya-tampung-snbt</x:v>
      </x:c>
      <x:c r="AA4002" t="str">
        <x:v>Tidak Ada</x:v>
      </x:c>
      <x:c r="AB4002" t="str">
        <x:v>Campus=55; Ratio=0.0; Prodi=65; RelDemand=3.0; Capacity=90.0</x:v>
      </x:c>
    </x:row>
    <x:row r="4003">
      <x:c r="A4003" t="n">
        <x:v>4000</x:v>
      </x:c>
      <x:c r="B4003" t="str">
        <x:v>PTN Vokasi</x:v>
      </x:c>
      <x:c r="C4003" t="str">
        <x:v>POLITEKNIK NEGERI PADANG</x:v>
      </x:c>
      <x:c r="D4003" t="str">
        <x:v>TEKNIK ALAT BERAT</x:v>
      </x:c>
      <x:c r="E4003" t="str">
        <x:v>Diploma Tiga</x:v>
      </x:c>
      <x:c r="F4003" s="18" t="n">
        <x:v>34</x:v>
      </x:c>
      <x:c r="G4003" s="18" t="n">
        <x:v>1210</x:v>
      </x:c>
      <x:c r="H4003" s="19" t="n">
        <x:v>35.588235294117645</x:v>
      </x:c>
      <x:c r="I4003" s="18" t="n">
        <x:f>ROUND(MIN(Model_Config_v3!$B$6,MAX(Q4003,R4003,S4003*Model_Config_v3!$B$4+T4003*Model_Config_v3!$B$5)),0)</x:f>
        <x:v>699</x:v>
      </x:c>
      <x:c r="J4003" s="18" t="n">
        <x:f>MIN(Model_Config_v3!$B$6,I4003+Model_Config_v3!$B$7)</x:f>
        <x:v>719</x:v>
      </x:c>
      <x:c r="K4003" s="20" t="n">
        <x:v>71.2</x:v>
      </x:c>
      <x:c r="L4003" t="str">
        <x:v>SANGAT KETAT</x:v>
      </x:c>
      <x:c r="M4003" t="str">
        <x:v>SEDANG+</x:v>
      </x:c>
      <x:c r="N4003" t="str">
        <x:v>REGULER</x:v>
      </x:c>
      <x:c r="O4003" t="str">
        <x:v>SAINTEK</x:v>
      </x:c>
      <x:c r="P4003" t="str">
        <x:v>TEKNIK/ARSITEKTUR/STATISTIKA/AKTUARIA</x:v>
      </x:c>
      <x:c r="Q4003" s="18" t="n">
        <x:v>0</x:v>
      </x:c>
      <x:c r="R4003" s="18" t="n">
        <x:v>0</x:v>
      </x:c>
      <x:c r="S4003" s="18" t="n">
        <x:v>690.6437098601614</x:v>
      </x:c>
      <x:c r="T4003" s="18" t="n">
        <x:v>702</x:v>
      </x:c>
      <x:c r="U4003" s="18" t="n">
        <x:v>700.6437098601614</x:v>
      </x:c>
      <x:c r="V4003" s="20" t="n">
        <x:v>12</x:v>
      </x:c>
      <x:c r="W4003" s="20" t="n">
        <x:v>5</x:v>
      </x:c>
      <x:c r="X4003" s="20" t="n">
        <x:v>3</x:v>
      </x:c>
      <x:c r="Y4003" t="str">
        <x:v>Basis arsip 2025/2024</x:v>
      </x:c>
      <x:c r="Z4003" t="str">
        <x:v>https://snpmb.id/utbk-snbt/daya-tampung-snbt</x:v>
      </x:c>
      <x:c r="AA4003" t="str">
        <x:v>Tidak Ada</x:v>
      </x:c>
      <x:c r="AB4003" t="str">
        <x:v>Campus=55; Ratio=91.3; Prodi=60; RelDemand=100.0; Capacity=71.7</x:v>
      </x:c>
    </x:row>
    <x:row r="4004">
      <x:c r="A4004" t="n">
        <x:v>4001</x:v>
      </x:c>
      <x:c r="B4004" t="str">
        <x:v>PTN Vokasi</x:v>
      </x:c>
      <x:c r="C4004" t="str">
        <x:v>POLITEKNIK NEGERI PADANG</x:v>
      </x:c>
      <x:c r="D4004" t="str">
        <x:v>MANAJEMEN INFORMATIKA (KAMPUS KAB PELALAWAN)</x:v>
      </x:c>
      <x:c r="E4004" t="str">
        <x:v>Diploma Tiga</x:v>
      </x:c>
      <x:c r="F4004" s="18" t="n">
        <x:v>12</x:v>
      </x:c>
      <x:c r="G4004" s="18" t="n">
        <x:v>20</x:v>
      </x:c>
      <x:c r="H4004" s="19" t="n">
        <x:v>1.6666666666666667</x:v>
      </x:c>
      <x:c r="I4004" s="18" t="n">
        <x:f>ROUND(MIN(Model_Config_v3!$B$6,MAX(Q4004,R4004,S4004*Model_Config_v3!$B$4+T4004*Model_Config_v3!$B$5)),0)</x:f>
        <x:v>624</x:v>
      </x:c>
      <x:c r="J4004" s="18" t="n">
        <x:f>MIN(Model_Config_v3!$B$6,I4004+Model_Config_v3!$B$7)</x:f>
        <x:v>644</x:v>
      </x:c>
      <x:c r="K4004" s="20" t="n">
        <x:v>49.1</x:v>
      </x:c>
      <x:c r="L4004" t="str">
        <x:v>MENENGAH</x:v>
      </x:c>
      <x:c r="M4004" t="str">
        <x:v>SEDANG+</x:v>
      </x:c>
      <x:c r="N4004" t="str">
        <x:v>REGULER</x:v>
      </x:c>
      <x:c r="O4004" t="str">
        <x:v>SAINTEK</x:v>
      </x:c>
      <x:c r="P4004" t="str">
        <x:v>KOMPUTER/INFORMATIKA</x:v>
      </x:c>
      <x:c r="Q4004" s="18" t="n">
        <x:v>0</x:v>
      </x:c>
      <x:c r="R4004" s="18" t="n">
        <x:v>0</x:v>
      </x:c>
      <x:c r="S4004" s="18" t="n">
        <x:v>544.4033624577992</x:v>
      </x:c>
      <x:c r="T4004" s="18" t="n">
        <x:v>658</x:v>
      </x:c>
      <x:c r="U4004" s="18" t="n">
        <x:v>569.4033624577992</x:v>
      </x:c>
      <x:c r="V4004" s="20" t="n">
        <x:v>12</x:v>
      </x:c>
      <x:c r="W4004" s="20" t="n">
        <x:v>5</x:v>
      </x:c>
      <x:c r="X4004" s="20" t="n">
        <x:v>3</x:v>
      </x:c>
      <x:c r="Y4004" t="str">
        <x:v>Basis arsip 2025/2024</x:v>
      </x:c>
      <x:c r="Z4004" t="str">
        <x:v>https://snpmb.id/utbk-snbt/daya-tampung-snbt</x:v>
      </x:c>
      <x:c r="AA4004" t="str">
        <x:v>Tidak Ada</x:v>
      </x:c>
      <x:c r="AB4004" t="str">
        <x:v>Campus=55; Ratio=13.1; Prodi=85; RelDemand=6.1; Capacity=90.0</x:v>
      </x:c>
    </x:row>
    <x:row r="4005">
      <x:c r="A4005" t="n">
        <x:v>4002</x:v>
      </x:c>
      <x:c r="B4005" t="str">
        <x:v>PTN Vokasi</x:v>
      </x:c>
      <x:c r="C4005" t="str">
        <x:v>POLITEKNIK NEGERI PADANG</x:v>
      </x:c>
      <x:c r="D4005" t="str">
        <x:v>ADMINISTRASI BISNIS</x:v>
      </x:c>
      <x:c r="E4005" t="str">
        <x:v>Diploma Tiga</x:v>
      </x:c>
      <x:c r="F4005" s="18" t="n">
        <x:v>72</x:v>
      </x:c>
      <x:c r="G4005" s="18" t="n">
        <x:v>1924</x:v>
      </x:c>
      <x:c r="H4005" s="19" t="n">
        <x:v>26.72222222222222</x:v>
      </x:c>
      <x:c r="I4005" s="18" t="n">
        <x:f>ROUND(MIN(Model_Config_v3!$B$6,MAX(Q4005,R4005,S4005*Model_Config_v3!$B$4+T4005*Model_Config_v3!$B$5)),0)</x:f>
        <x:v>689</x:v>
      </x:c>
      <x:c r="J4005" s="18" t="n">
        <x:f>MIN(Model_Config_v3!$B$6,I4005+Model_Config_v3!$B$7)</x:f>
        <x:v>709</x:v>
      </x:c>
      <x:c r="K4005" s="20" t="n">
        <x:v>67</x:v>
      </x:c>
      <x:c r="L4005" t="str">
        <x:v>SANGAT KETAT</x:v>
      </x:c>
      <x:c r="M4005" t="str">
        <x:v>SEDANG+</x:v>
      </x:c>
      <x:c r="N4005" t="str">
        <x:v>REGULER</x:v>
      </x:c>
      <x:c r="O4005" t="str">
        <x:v>SOSHUM</x:v>
      </x:c>
      <x:c r="P4005" t="str">
        <x:v>BISNIS/EKONOMI/AKUNTANSI</x:v>
      </x:c>
      <x:c r="Q4005" s="18" t="n">
        <x:v>0</x:v>
      </x:c>
      <x:c r="R4005" s="18" t="n">
        <x:v>0</x:v>
      </x:c>
      <x:c r="S4005" s="18" t="n">
        <x:v>676.9559828397578</x:v>
      </x:c>
      <x:c r="T4005" s="18" t="n">
        <x:v>694</x:v>
      </x:c>
      <x:c r="U4005" s="18" t="n">
        <x:v>691.9559828397578</x:v>
      </x:c>
      <x:c r="V4005" s="20" t="n">
        <x:v>4.4</x:v>
      </x:c>
      <x:c r="W4005" s="20" t="n">
        <x:v>14.3</x:v>
      </x:c>
      <x:c r="X4005" s="20" t="n">
        <x:v>3.3</x:v>
      </x:c>
      <x:c r="Y4005" t="str">
        <x:v>Basis arsip 2025/2024</x:v>
      </x:c>
      <x:c r="Z4005" t="str">
        <x:v>https://snpmb.id/utbk-snbt/daya-tampung-snbt</x:v>
      </x:c>
      <x:c r="AA4005" t="str">
        <x:v>Tidak Ada</x:v>
      </x:c>
      <x:c r="AB4005" t="str">
        <x:v>Campus=55; Ratio=84.0; Prodi=65; RelDemand=97.4; Capacity=40.0</x:v>
      </x:c>
    </x:row>
    <x:row r="4006">
      <x:c r="A4006" t="n">
        <x:v>4003</x:v>
      </x:c>
      <x:c r="B4006" t="str">
        <x:v>PTN Vokasi</x:v>
      </x:c>
      <x:c r="C4006" t="str">
        <x:v>POLITEKNIK NEGERI PADANG</x:v>
      </x:c>
      <x:c r="D4006" t="str">
        <x:v>TEKNIK LISTRIK (KAMPUS KAB PELALAWAN)</x:v>
      </x:c>
      <x:c r="E4006" t="str">
        <x:v>Diploma Tiga</x:v>
      </x:c>
      <x:c r="F4006" s="18" t="n">
        <x:v>12</x:v>
      </x:c>
      <x:c r="G4006" s="18" t="n">
        <x:v>9</x:v>
      </x:c>
      <x:c r="H4006" s="19" t="n">
        <x:v>0.75</x:v>
      </x:c>
      <x:c r="I4006" s="18" t="n">
        <x:f>ROUND(MIN(Model_Config_v3!$B$6,MAX(Q4006,R4006,S4006*Model_Config_v3!$B$4+T4006*Model_Config_v3!$B$5)),0)</x:f>
        <x:v>605</x:v>
      </x:c>
      <x:c r="J4006" s="18" t="n">
        <x:f>MIN(Model_Config_v3!$B$6,I4006+Model_Config_v3!$B$7)</x:f>
        <x:v>625</x:v>
      </x:c>
      <x:c r="K4006" s="20" t="n">
        <x:v>40.5</x:v>
      </x:c>
      <x:c r="L4006" t="str">
        <x:v>RELATIF LONGGAR</x:v>
      </x:c>
      <x:c r="M4006" t="str">
        <x:v>SEDANG+</x:v>
      </x:c>
      <x:c r="N4006" t="str">
        <x:v>REGULER</x:v>
      </x:c>
      <x:c r="O4006" t="str">
        <x:v>SAINTEK</x:v>
      </x:c>
      <x:c r="P4006" t="str">
        <x:v>TEKNIK/ARSITEKTUR/STATISTIKA/AKTUARIA</x:v>
      </x:c>
      <x:c r="Q4006" s="18" t="n">
        <x:v>0</x:v>
      </x:c>
      <x:c r="R4006" s="18" t="n">
        <x:v>0</x:v>
      </x:c>
      <x:c r="S4006" s="18" t="n">
        <x:v>520</x:v>
      </x:c>
      <x:c r="T4006" s="18" t="n">
        <x:v>641</x:v>
      </x:c>
      <x:c r="U4006" s="18" t="n">
        <x:v>530</x:v>
      </x:c>
      <x:c r="V4006" s="20" t="n">
        <x:v>12</x:v>
      </x:c>
      <x:c r="W4006" s="20" t="n">
        <x:v>5</x:v>
      </x:c>
      <x:c r="X4006" s="20" t="n">
        <x:v>3</x:v>
      </x:c>
      <x:c r="Y4006" t="str">
        <x:v>Basis arsip 2025/2024</x:v>
      </x:c>
      <x:c r="Z4006" t="str">
        <x:v>https://snpmb.id/utbk-snbt/daya-tampung-snbt</x:v>
      </x:c>
      <x:c r="AA4006" t="str">
        <x:v>Tidak Ada</x:v>
      </x:c>
      <x:c r="AB4006" t="str">
        <x:v>Campus=55; Ratio=0.0; Prodi=60; RelDemand=2.7; Capacity=90.0</x:v>
      </x:c>
    </x:row>
    <x:row r="4007">
      <x:c r="A4007" t="n">
        <x:v>4004</x:v>
      </x:c>
      <x:c r="B4007" t="str">
        <x:v>PTN Vokasi</x:v>
      </x:c>
      <x:c r="C4007" t="str">
        <x:v>POLITEKNIK NEGERI PADANG</x:v>
      </x:c>
      <x:c r="D4007" t="str">
        <x:v>TEKNOLOGI SIPIL (KAMPUS KAB. TANAH DATAR)</x:v>
      </x:c>
      <x:c r="E4007" t="str">
        <x:v>Diploma Tiga</x:v>
      </x:c>
      <x:c r="F4007" s="18" t="n">
        <x:v>12</x:v>
      </x:c>
      <x:c r="G4007" s="18" t="n">
        <x:v>22</x:v>
      </x:c>
      <x:c r="H4007" s="19" t="n">
        <x:v>1.8333333333333333</x:v>
      </x:c>
      <x:c r="I4007" s="18" t="n">
        <x:f>ROUND(MIN(Model_Config_v3!$B$6,MAX(Q4007,R4007,S4007*Model_Config_v3!$B$4+T4007*Model_Config_v3!$B$5)),0)</x:f>
        <x:v>614</x:v>
      </x:c>
      <x:c r="J4007" s="18" t="n">
        <x:f>MIN(Model_Config_v3!$B$6,I4007+Model_Config_v3!$B$7)</x:f>
        <x:v>634</x:v>
      </x:c>
      <x:c r="K4007" s="20" t="n">
        <x:v>40.8</x:v>
      </x:c>
      <x:c r="L4007" t="str">
        <x:v>RELATIF LONGGAR</x:v>
      </x:c>
      <x:c r="M4007" t="str">
        <x:v>SEDANG</x:v>
      </x:c>
      <x:c r="N4007" t="str">
        <x:v>REGULER</x:v>
      </x:c>
      <x:c r="O4007" t="str">
        <x:v>SAINTEK</x:v>
      </x:c>
      <x:c r="P4007" t="str">
        <x:v>UMUM</x:v>
      </x:c>
      <x:c r="Q4007" s="18" t="n">
        <x:v>0</x:v>
      </x:c>
      <x:c r="R4007" s="18" t="n">
        <x:v>0</x:v>
      </x:c>
      <x:c r="S4007" s="18" t="n">
        <x:v>548.956557825204</x:v>
      </x:c>
      <x:c r="T4007" s="18" t="n">
        <x:v>642</x:v>
      </x:c>
      <x:c r="U4007" s="18" t="n">
        <x:v>548.956557825204</x:v>
      </x:c>
      <x:c r="V4007" s="20" t="n">
        <x:v>12</x:v>
      </x:c>
      <x:c r="W4007" s="20" t="n">
        <x:v>5</x:v>
      </x:c>
      <x:c r="X4007" s="20" t="n">
        <x:v>3</x:v>
      </x:c>
      <x:c r="Y4007" t="str">
        <x:v>Basis arsip 2025/2024</x:v>
      </x:c>
      <x:c r="Z4007" t="str">
        <x:v>https://snpmb.id/utbk-snbt/daya-tampung-snbt</x:v>
      </x:c>
      <x:c r="AA4007" t="str">
        <x:v>Tidak Ada</x:v>
      </x:c>
      <x:c r="AB4007" t="str">
        <x:v>Campus=55; Ratio=15.5; Prodi=40; RelDemand=6.7; Capacity=90.0</x:v>
      </x:c>
    </x:row>
    <x:row r="4008">
      <x:c r="A4008" t="n">
        <x:v>4005</x:v>
      </x:c>
      <x:c r="B4008" t="str">
        <x:v>PTN Vokasi</x:v>
      </x:c>
      <x:c r="C4008" t="str">
        <x:v>POLITEKNIK NEGERI PADANG</x:v>
      </x:c>
      <x:c r="D4008" t="str">
        <x:v>BAHASA INGGRIS</x:v>
      </x:c>
      <x:c r="E4008" t="str">
        <x:v>Diploma Tiga</x:v>
      </x:c>
      <x:c r="F4008" s="18" t="n">
        <x:v>36</x:v>
      </x:c>
      <x:c r="G4008" s="18" t="n">
        <x:v>254</x:v>
      </x:c>
      <x:c r="H4008" s="19" t="n">
        <x:v>7.055555555555555</x:v>
      </x:c>
      <x:c r="I4008" s="18" t="n">
        <x:f>ROUND(MIN(Model_Config_v3!$B$6,MAX(Q4008,R4008,S4008*Model_Config_v3!$B$4+T4008*Model_Config_v3!$B$5)),0)</x:f>
        <x:v>645</x:v>
      </x:c>
      <x:c r="J4008" s="18" t="n">
        <x:f>MIN(Model_Config_v3!$B$6,I4008+Model_Config_v3!$B$7)</x:f>
        <x:v>665</x:v>
      </x:c>
      <x:c r="K4008" s="20" t="n">
        <x:v>49.3</x:v>
      </x:c>
      <x:c r="L4008" t="str">
        <x:v>MENENGAH</x:v>
      </x:c>
      <x:c r="M4008" t="str">
        <x:v>SEDANG</x:v>
      </x:c>
      <x:c r="N4008" t="str">
        <x:v>REGULER</x:v>
      </x:c>
      <x:c r="O4008" t="str">
        <x:v>SOSHUM</x:v>
      </x:c>
      <x:c r="P4008" t="str">
        <x:v>UMUM</x:v>
      </x:c>
      <x:c r="Q4008" s="18" t="n">
        <x:v>0</x:v>
      </x:c>
      <x:c r="R4008" s="18" t="n">
        <x:v>0</x:v>
      </x:c>
      <x:c r="S4008" s="18" t="n">
        <x:v>613.3384337437916</x:v>
      </x:c>
      <x:c r="T4008" s="18" t="n">
        <x:v>659</x:v>
      </x:c>
      <x:c r="U4008" s="18" t="n">
        <x:v>613.3384337437916</x:v>
      </x:c>
      <x:c r="V4008" s="20" t="n">
        <x:v>4.4</x:v>
      </x:c>
      <x:c r="W4008" s="20" t="n">
        <x:v>14.3</x:v>
      </x:c>
      <x:c r="X4008" s="20" t="n">
        <x:v>3.3</x:v>
      </x:c>
      <x:c r="Y4008" t="str">
        <x:v>Basis arsip 2025/2024</x:v>
      </x:c>
      <x:c r="Z4008" t="str">
        <x:v>https://snpmb.id/utbk-snbt/daya-tampung-snbt</x:v>
      </x:c>
      <x:c r="AA4008" t="str">
        <x:v>Tidak Ada</x:v>
      </x:c>
      <x:c r="AB4008" t="str">
        <x:v>Campus=55; Ratio=49.9; Prodi=40; RelDemand=25.7; Capacity=70.0</x:v>
      </x:c>
    </x:row>
    <x:row r="4009">
      <x:c r="A4009" t="n">
        <x:v>4006</x:v>
      </x:c>
      <x:c r="B4009" t="str">
        <x:v>PTN Vokasi</x:v>
      </x:c>
      <x:c r="C4009" t="str">
        <x:v>POLITEKNIK NEGERI PADANG</x:v>
      </x:c>
      <x:c r="D4009" t="str">
        <x:v>TEKNIK LISTRIK</x:v>
      </x:c>
      <x:c r="E4009" t="str">
        <x:v>Diploma Tiga</x:v>
      </x:c>
      <x:c r="F4009" s="18" t="n">
        <x:v>45</x:v>
      </x:c>
      <x:c r="G4009" s="18" t="n">
        <x:v>357</x:v>
      </x:c>
      <x:c r="H4009" s="19" t="n">
        <x:v>7.933333333333334</x:v>
      </x:c>
      <x:c r="I4009" s="18" t="n">
        <x:f>ROUND(MIN(Model_Config_v3!$B$6,MAX(Q4009,R4009,S4009*Model_Config_v3!$B$4+T4009*Model_Config_v3!$B$5)),0)</x:f>
        <x:v>653</x:v>
      </x:c>
      <x:c r="J4009" s="18" t="n">
        <x:f>MIN(Model_Config_v3!$B$6,I4009+Model_Config_v3!$B$7)</x:f>
        <x:v>673</x:v>
      </x:c>
      <x:c r="K4009" s="20" t="n">
        <x:v>53.6</x:v>
      </x:c>
      <x:c r="L4009" t="str">
        <x:v>MENENGAH</x:v>
      </x:c>
      <x:c r="M4009" t="str">
        <x:v>SEDANG+</x:v>
      </x:c>
      <x:c r="N4009" t="str">
        <x:v>REGULER</x:v>
      </x:c>
      <x:c r="O4009" t="str">
        <x:v>SAINTEK</x:v>
      </x:c>
      <x:c r="P4009" t="str">
        <x:v>TEKNIK/ARSITEKTUR/STATISTIKA/AKTUARIA</x:v>
      </x:c>
      <x:c r="Q4009" s="18" t="n">
        <x:v>0</x:v>
      </x:c>
      <x:c r="R4009" s="18" t="n">
        <x:v>0</x:v>
      </x:c>
      <x:c r="S4009" s="18" t="n">
        <x:v>618.9401272570534</x:v>
      </x:c>
      <x:c r="T4009" s="18" t="n">
        <x:v>667</x:v>
      </x:c>
      <x:c r="U4009" s="18" t="n">
        <x:v>628.9401272570534</x:v>
      </x:c>
      <x:c r="V4009" s="20" t="n">
        <x:v>12</x:v>
      </x:c>
      <x:c r="W4009" s="20" t="n">
        <x:v>5</x:v>
      </x:c>
      <x:c r="X4009" s="20" t="n">
        <x:v>3</x:v>
      </x:c>
      <x:c r="Y4009" t="str">
        <x:v>Basis arsip 2025/2024</x:v>
      </x:c>
      <x:c r="Z4009" t="str">
        <x:v>https://snpmb.id/utbk-snbt/daya-tampung-snbt</x:v>
      </x:c>
      <x:c r="AA4009" t="str">
        <x:v>Tidak Ada</x:v>
      </x:c>
      <x:c r="AB4009" t="str">
        <x:v>Campus=55; Ratio=52.9; Prodi=60; RelDemand=28.9; Capacity=62.5</x:v>
      </x:c>
    </x:row>
    <x:row r="4010">
      <x:c r="A4010" t="n">
        <x:v>4007</x:v>
      </x:c>
      <x:c r="B4010" t="str">
        <x:v>PTN Vokasi</x:v>
      </x:c>
      <x:c r="C4010" t="str">
        <x:v>POLITEKNIK NEGERI PADANG</x:v>
      </x:c>
      <x:c r="D4010" t="str">
        <x:v>TEKNIK TELEKOMUNIKASI</x:v>
      </x:c>
      <x:c r="E4010" t="str">
        <x:v>Diploma Tiga</x:v>
      </x:c>
      <x:c r="F4010" s="18" t="n">
        <x:v>45</x:v>
      </x:c>
      <x:c r="G4010" s="18" t="n">
        <x:v>448</x:v>
      </x:c>
      <x:c r="H4010" s="19" t="n">
        <x:v>9.955555555555556</x:v>
      </x:c>
      <x:c r="I4010" s="18" t="n">
        <x:f>ROUND(MIN(Model_Config_v3!$B$6,MAX(Q4010,R4010,S4010*Model_Config_v3!$B$4+T4010*Model_Config_v3!$B$5)),0)</x:f>
        <x:v>659</x:v>
      </x:c>
      <x:c r="J4010" s="18" t="n">
        <x:f>MIN(Model_Config_v3!$B$6,I4010+Model_Config_v3!$B$7)</x:f>
        <x:v>679</x:v>
      </x:c>
      <x:c r="K4010" s="20" t="n">
        <x:v>55.8</x:v>
      </x:c>
      <x:c r="L4010" t="str">
        <x:v>KETAT</x:v>
      </x:c>
      <x:c r="M4010" t="str">
        <x:v>SEDANG+</x:v>
      </x:c>
      <x:c r="N4010" t="str">
        <x:v>REGULER</x:v>
      </x:c>
      <x:c r="O4010" t="str">
        <x:v>SAINTEK</x:v>
      </x:c>
      <x:c r="P4010" t="str">
        <x:v>TEKNIK/ARSITEKTUR/STATISTIKA/AKTUARIA</x:v>
      </x:c>
      <x:c r="Q4010" s="18" t="n">
        <x:v>0</x:v>
      </x:c>
      <x:c r="R4010" s="18" t="n">
        <x:v>0</x:v>
      </x:c>
      <x:c r="S4010" s="18" t="n">
        <x:v>629.787205024508</x:v>
      </x:c>
      <x:c r="T4010" s="18" t="n">
        <x:v>672</x:v>
      </x:c>
      <x:c r="U4010" s="18" t="n">
        <x:v>639.787205024508</x:v>
      </x:c>
      <x:c r="V4010" s="20" t="n">
        <x:v>12</x:v>
      </x:c>
      <x:c r="W4010" s="20" t="n">
        <x:v>5</x:v>
      </x:c>
      <x:c r="X4010" s="20" t="n">
        <x:v>3</x:v>
      </x:c>
      <x:c r="Y4010" t="str">
        <x:v>Basis arsip 2025/2024</x:v>
      </x:c>
      <x:c r="Z4010" t="str">
        <x:v>https://snpmb.id/utbk-snbt/daya-tampung-snbt</x:v>
      </x:c>
      <x:c r="AA4010" t="str">
        <x:v>Tidak Ada</x:v>
      </x:c>
      <x:c r="AB4010" t="str">
        <x:v>Campus=55; Ratio=58.7; Prodi=60; RelDemand=36.3; Capacity=62.5</x:v>
      </x:c>
    </x:row>
    <x:row r="4011">
      <x:c r="A4011" t="n">
        <x:v>4008</x:v>
      </x:c>
      <x:c r="B4011" t="str">
        <x:v>PTN Vokasi</x:v>
      </x:c>
      <x:c r="C4011" t="str">
        <x:v>POLITEKNIK NEGERI PADANG</x:v>
      </x:c>
      <x:c r="D4011" t="str">
        <x:v>TEKNIK MESIN</x:v>
      </x:c>
      <x:c r="E4011" t="str">
        <x:v>Diploma Tiga</x:v>
      </x:c>
      <x:c r="F4011" s="18" t="n">
        <x:v>68</x:v>
      </x:c>
      <x:c r="G4011" s="18" t="n">
        <x:v>771</x:v>
      </x:c>
      <x:c r="H4011" s="19" t="n">
        <x:v>11.338235294117647</x:v>
      </x:c>
      <x:c r="I4011" s="18" t="n">
        <x:f>ROUND(MIN(Model_Config_v3!$B$6,MAX(Q4011,R4011,S4011*Model_Config_v3!$B$4+T4011*Model_Config_v3!$B$5)),0)</x:f>
        <x:v>660</x:v>
      </x:c>
      <x:c r="J4011" s="18" t="n">
        <x:f>MIN(Model_Config_v3!$B$6,I4011+Model_Config_v3!$B$7)</x:f>
        <x:v>680</x:v>
      </x:c>
      <x:c r="K4011" s="20" t="n">
        <x:v>55.2</x:v>
      </x:c>
      <x:c r="L4011" t="str">
        <x:v>KETAT</x:v>
      </x:c>
      <x:c r="M4011" t="str">
        <x:v>SEDANG+</x:v>
      </x:c>
      <x:c r="N4011" t="str">
        <x:v>REGULER</x:v>
      </x:c>
      <x:c r="O4011" t="str">
        <x:v>SAINTEK</x:v>
      </x:c>
      <x:c r="P4011" t="str">
        <x:v>TEKNIK/ARSITEKTUR/STATISTIKA/AKTUARIA</x:v>
      </x:c>
      <x:c r="Q4011" s="18" t="n">
        <x:v>0</x:v>
      </x:c>
      <x:c r="R4011" s="18" t="n">
        <x:v>0</x:v>
      </x:c>
      <x:c r="S4011" s="18" t="n">
        <x:v>636.0000011879192</x:v>
      </x:c>
      <x:c r="T4011" s="18" t="n">
        <x:v>670</x:v>
      </x:c>
      <x:c r="U4011" s="18" t="n">
        <x:v>646.0000011879192</x:v>
      </x:c>
      <x:c r="V4011" s="20" t="n">
        <x:v>12</x:v>
      </x:c>
      <x:c r="W4011" s="20" t="n">
        <x:v>5</x:v>
      </x:c>
      <x:c r="X4011" s="20" t="n">
        <x:v>3</x:v>
      </x:c>
      <x:c r="Y4011" t="str">
        <x:v>Basis arsip 2025/2024</x:v>
      </x:c>
      <x:c r="Z4011" t="str">
        <x:v>https://snpmb.id/utbk-snbt/daya-tampung-snbt</x:v>
      </x:c>
      <x:c r="AA4011" t="str">
        <x:v>Tidak Ada</x:v>
      </x:c>
      <x:c r="AB4011" t="str">
        <x:v>Campus=55; Ratio=62.1; Prodi=60; RelDemand=41.3; Capacity=43.3</x:v>
      </x:c>
    </x:row>
    <x:row r="4012">
      <x:c r="A4012" t="n">
        <x:v>4009</x:v>
      </x:c>
      <x:c r="B4012" t="str">
        <x:v>PTN Vokasi</x:v>
      </x:c>
      <x:c r="C4012" t="str">
        <x:v>POLITEKNIK NEGERI PADANG</x:v>
      </x:c>
      <x:c r="D4012" t="str">
        <x:v>AKUNTANSI</x:v>
      </x:c>
      <x:c r="E4012" t="str">
        <x:v>Diploma Tiga</x:v>
      </x:c>
      <x:c r="F4012" s="18" t="n">
        <x:v>36</x:v>
      </x:c>
      <x:c r="G4012" s="18" t="n">
        <x:v>719</x:v>
      </x:c>
      <x:c r="H4012" s="19" t="n">
        <x:v>19.97222222222222</x:v>
      </x:c>
      <x:c r="I4012" s="18" t="n">
        <x:f>ROUND(MIN(Model_Config_v3!$B$6,MAX(Q4012,R4012,S4012*Model_Config_v3!$B$4+T4012*Model_Config_v3!$B$5)),0)</x:f>
        <x:v>683</x:v>
      </x:c>
      <x:c r="J4012" s="18" t="n">
        <x:f>MIN(Model_Config_v3!$B$6,I4012+Model_Config_v3!$B$7)</x:f>
        <x:v>703</x:v>
      </x:c>
      <x:c r="K4012" s="20" t="n">
        <x:v>65.7</x:v>
      </x:c>
      <x:c r="L4012" t="str">
        <x:v>SANGAT KETAT</x:v>
      </x:c>
      <x:c r="M4012" t="str">
        <x:v>SEDANG+</x:v>
      </x:c>
      <x:c r="N4012" t="str">
        <x:v>REGULER</x:v>
      </x:c>
      <x:c r="O4012" t="str">
        <x:v>SOSHUM</x:v>
      </x:c>
      <x:c r="P4012" t="str">
        <x:v>BISNIS/EKONOMI/AKUNTANSI</x:v>
      </x:c>
      <x:c r="Q4012" s="18" t="n">
        <x:v>0</x:v>
      </x:c>
      <x:c r="R4012" s="18" t="n">
        <x:v>0</x:v>
      </x:c>
      <x:c r="S4012" s="18" t="n">
        <x:v>663.0469028577155</x:v>
      </x:c>
      <x:c r="T4012" s="18" t="n">
        <x:v>691</x:v>
      </x:c>
      <x:c r="U4012" s="18" t="n">
        <x:v>663.0469028577155</x:v>
      </x:c>
      <x:c r="V4012" s="20" t="n">
        <x:v>4.4</x:v>
      </x:c>
      <x:c r="W4012" s="20" t="n">
        <x:v>14.3</x:v>
      </x:c>
      <x:c r="X4012" s="20" t="n">
        <x:v>3.3</x:v>
      </x:c>
      <x:c r="Y4012" t="str">
        <x:v>Basis arsip 2025/2024</x:v>
      </x:c>
      <x:c r="Z4012" t="str">
        <x:v>https://snpmb.id/utbk-snbt/daya-tampung-snbt</x:v>
      </x:c>
      <x:c r="AA4012" t="str">
        <x:v>Tidak Ada</x:v>
      </x:c>
      <x:c r="AB4012" t="str">
        <x:v>Campus=55; Ratio=76.5; Prodi=65; RelDemand=72.8; Capacity=70.0</x:v>
      </x:c>
    </x:row>
    <x:row r="4013">
      <x:c r="A4013" t="n">
        <x:v>4010</x:v>
      </x:c>
      <x:c r="B4013" t="str">
        <x:v>PTN Vokasi</x:v>
      </x:c>
      <x:c r="C4013" t="str">
        <x:v>POLITEKNIK NEGERI PADANG</x:v>
      </x:c>
      <x:c r="D4013" t="str">
        <x:v>MANAJEMEN INFORMATIKA</x:v>
      </x:c>
      <x:c r="E4013" t="str">
        <x:v>Diploma Tiga</x:v>
      </x:c>
      <x:c r="F4013" s="18" t="n">
        <x:v>34</x:v>
      </x:c>
      <x:c r="G4013" s="18" t="n">
        <x:v>908</x:v>
      </x:c>
      <x:c r="H4013" s="19" t="n">
        <x:v>26.705882352941178</x:v>
      </x:c>
      <x:c r="I4013" s="18" t="n">
        <x:f>ROUND(MIN(Model_Config_v3!$B$6,MAX(Q4013,R4013,S4013*Model_Config_v3!$B$4+T4013*Model_Config_v3!$B$5)),0)</x:f>
        <x:v>699</x:v>
      </x:c>
      <x:c r="J4013" s="18" t="n">
        <x:f>MIN(Model_Config_v3!$B$6,I4013+Model_Config_v3!$B$7)</x:f>
        <x:v>719</x:v>
      </x:c>
      <x:c r="K4013" s="20" t="n">
        <x:v>74.1</x:v>
      </x:c>
      <x:c r="L4013" t="str">
        <x:v>SANGAT KETAT</x:v>
      </x:c>
      <x:c r="M4013" t="str">
        <x:v>SEDANG+</x:v>
      </x:c>
      <x:c r="N4013" t="str">
        <x:v>REGULER</x:v>
      </x:c>
      <x:c r="O4013" t="str">
        <x:v>SAINTEK</x:v>
      </x:c>
      <x:c r="P4013" t="str">
        <x:v>KOMPUTER/INFORMATIKA</x:v>
      </x:c>
      <x:c r="Q4013" s="18" t="n">
        <x:v>0</x:v>
      </x:c>
      <x:c r="R4013" s="18" t="n">
        <x:v>0</x:v>
      </x:c>
      <x:c r="S4013" s="18" t="n">
        <x:v>676.9267624626713</x:v>
      </x:c>
      <x:c r="T4013" s="18" t="n">
        <x:v>708</x:v>
      </x:c>
      <x:c r="U4013" s="18" t="n">
        <x:v>701.9267624626713</x:v>
      </x:c>
      <x:c r="V4013" s="20" t="n">
        <x:v>12</x:v>
      </x:c>
      <x:c r="W4013" s="20" t="n">
        <x:v>5</x:v>
      </x:c>
      <x:c r="X4013" s="20" t="n">
        <x:v>3</x:v>
      </x:c>
      <x:c r="Y4013" t="str">
        <x:v>Basis arsip 2025/2024</x:v>
      </x:c>
      <x:c r="Z4013" t="str">
        <x:v>https://snpmb.id/utbk-snbt/daya-tampung-snbt</x:v>
      </x:c>
      <x:c r="AA4013" t="str">
        <x:v>Tidak Ada</x:v>
      </x:c>
      <x:c r="AB4013" t="str">
        <x:v>Campus=55; Ratio=84.0; Prodi=85; RelDemand=97.3; Capacity=71.7</x:v>
      </x:c>
    </x:row>
    <x:row r="4014">
      <x:c r="A4014" t="n">
        <x:v>4011</x:v>
      </x:c>
      <x:c r="B4014" t="str">
        <x:v>PTN Vokasi</x:v>
      </x:c>
      <x:c r="C4014" t="str">
        <x:v>POLITEKNIK NEGERI PADANG</x:v>
      </x:c>
      <x:c r="D4014" t="str">
        <x:v>TEKNIK KOMPUTER</x:v>
      </x:c>
      <x:c r="E4014" t="str">
        <x:v>Diploma Tiga</x:v>
      </x:c>
      <x:c r="F4014" s="18" t="n">
        <x:v>23</x:v>
      </x:c>
      <x:c r="G4014" s="18" t="n">
        <x:v>934</x:v>
      </x:c>
      <x:c r="H4014" s="19" t="n">
        <x:v>40.608695652173914</x:v>
      </x:c>
      <x:c r="I4014" s="18" t="n">
        <x:f>ROUND(MIN(Model_Config_v3!$B$6,MAX(Q4014,R4014,S4014*Model_Config_v3!$B$4+T4014*Model_Config_v3!$B$5)),0)</x:f>
        <x:v>710</x:v>
      </x:c>
      <x:c r="J4014" s="18" t="n">
        <x:f>MIN(Model_Config_v3!$B$6,I4014+Model_Config_v3!$B$7)</x:f>
        <x:v>730</x:v>
      </x:c>
      <x:c r="K4014" s="20" t="n">
        <x:v>78</x:v>
      </x:c>
      <x:c r="L4014" t="str">
        <x:v>ELITE</x:v>
      </x:c>
      <x:c r="M4014" t="str">
        <x:v>SEDANG+</x:v>
      </x:c>
      <x:c r="N4014" t="str">
        <x:v>REGULER</x:v>
      </x:c>
      <x:c r="O4014" t="str">
        <x:v>SAINTEK</x:v>
      </x:c>
      <x:c r="P4014" t="str">
        <x:v>KOMPUTER/INFORMATIKA</x:v>
      </x:c>
      <x:c r="Q4014" s="18" t="n">
        <x:v>0</x:v>
      </x:c>
      <x:c r="R4014" s="18" t="n">
        <x:v>0</x:v>
      </x:c>
      <x:c r="S4014" s="18" t="n">
        <x:v>696.9480944233751</x:v>
      </x:c>
      <x:c r="T4014" s="18" t="n">
        <x:v>716</x:v>
      </x:c>
      <x:c r="U4014" s="18" t="n">
        <x:v>721.9480944233751</x:v>
      </x:c>
      <x:c r="V4014" s="20" t="n">
        <x:v>12</x:v>
      </x:c>
      <x:c r="W4014" s="20" t="n">
        <x:v>5</x:v>
      </x:c>
      <x:c r="X4014" s="20" t="n">
        <x:v>3</x:v>
      </x:c>
      <x:c r="Y4014" t="str">
        <x:v>Basis arsip 2025/2024</x:v>
      </x:c>
      <x:c r="Z4014" t="str">
        <x:v>https://snpmb.id/utbk-snbt/daya-tampung-snbt</x:v>
      </x:c>
      <x:c r="AA4014" t="str">
        <x:v>Tidak Ada</x:v>
      </x:c>
      <x:c r="AB4014" t="str">
        <x:v>Campus=55; Ratio=94.7; Prodi=85; RelDemand=100.0; Capacity=80.8</x:v>
      </x:c>
    </x:row>
    <x:row r="4015">
      <x:c r="A4015" t="n">
        <x:v>4012</x:v>
      </x:c>
      <x:c r="B4015" t="str">
        <x:v>PTN Vokasi</x:v>
      </x:c>
      <x:c r="C4015" t="str">
        <x:v>POLITEKNIK NEGERI PADANG</x:v>
      </x:c>
      <x:c r="D4015" t="str">
        <x:v>TEKNIK SIPIL</x:v>
      </x:c>
      <x:c r="E4015" t="str">
        <x:v>Diploma Tiga</x:v>
      </x:c>
      <x:c r="F4015" s="18" t="n">
        <x:v>34</x:v>
      </x:c>
      <x:c r="G4015" s="18" t="n">
        <x:v>1502</x:v>
      </x:c>
      <x:c r="H4015" s="19" t="n">
        <x:v>44.1764705882353</x:v>
      </x:c>
      <x:c r="I4015" s="18" t="n">
        <x:f>ROUND(MIN(Model_Config_v3!$B$6,MAX(Q4015,R4015,S4015*Model_Config_v3!$B$4+T4015*Model_Config_v3!$B$5)),0)</x:f>
        <x:v>704</x:v>
      </x:c>
      <x:c r="J4015" s="18" t="n">
        <x:f>MIN(Model_Config_v3!$B$6,I4015+Model_Config_v3!$B$7)</x:f>
        <x:v>724</x:v>
      </x:c>
      <x:c r="K4015" s="20" t="n">
        <x:v>72.6</x:v>
      </x:c>
      <x:c r="L4015" t="str">
        <x:v>SANGAT KETAT</x:v>
      </x:c>
      <x:c r="M4015" t="str">
        <x:v>SEDANG+</x:v>
      </x:c>
      <x:c r="N4015" t="str">
        <x:v>REGULER</x:v>
      </x:c>
      <x:c r="O4015" t="str">
        <x:v>SAINTEK</x:v>
      </x:c>
      <x:c r="P4015" t="str">
        <x:v>TEKNIK/ARSITEKTUR/STATISTIKA/AKTUARIA</x:v>
      </x:c>
      <x:c r="Q4015" s="18" t="n">
        <x:v>0</x:v>
      </x:c>
      <x:c r="R4015" s="18" t="n">
        <x:v>0</x:v>
      </x:c>
      <x:c r="S4015" s="18" t="n">
        <x:v>700.9710117188483</x:v>
      </x:c>
      <x:c r="T4015" s="18" t="n">
        <x:v>705</x:v>
      </x:c>
      <x:c r="U4015" s="18" t="n">
        <x:v>710.9710117188483</x:v>
      </x:c>
      <x:c r="V4015" s="20" t="n">
        <x:v>12</x:v>
      </x:c>
      <x:c r="W4015" s="20" t="n">
        <x:v>5</x:v>
      </x:c>
      <x:c r="X4015" s="20" t="n">
        <x:v>3</x:v>
      </x:c>
      <x:c r="Y4015" t="str">
        <x:v>Basis arsip 2025/2024</x:v>
      </x:c>
      <x:c r="Z4015" t="str">
        <x:v>https://snpmb.id/utbk-snbt/daya-tampung-snbt</x:v>
      </x:c>
      <x:c r="AA4015" t="str">
        <x:v>Tidak Ada</x:v>
      </x:c>
      <x:c r="AB4015" t="str">
        <x:v>Campus=55; Ratio=96.8; Prodi=60; RelDemand=100.0; Capacity=71.7</x:v>
      </x:c>
    </x:row>
    <x:row r="4016">
      <x:c r="A4016" t="n">
        <x:v>4013</x:v>
      </x:c>
      <x:c r="B4016" t="str">
        <x:v>PTN Vokasi</x:v>
      </x:c>
      <x:c r="C4016" t="str">
        <x:v>POLITEKNIK NEGERI PADANG</x:v>
      </x:c>
      <x:c r="D4016" t="str">
        <x:v>TEKNIK ELEKTRONIKA</x:v>
      </x:c>
      <x:c r="E4016" t="str">
        <x:v>Diploma Tiga</x:v>
      </x:c>
      <x:c r="F4016" s="18" t="n">
        <x:v>45</x:v>
      </x:c>
      <x:c r="G4016" s="18" t="n">
        <x:v>393</x:v>
      </x:c>
      <x:c r="H4016" s="19" t="n">
        <x:v>8.733333333333333</x:v>
      </x:c>
      <x:c r="I4016" s="18" t="n">
        <x:f>ROUND(MIN(Model_Config_v3!$B$6,MAX(Q4016,R4016,S4016*Model_Config_v3!$B$4+T4016*Model_Config_v3!$B$5)),0)</x:f>
        <x:v>655</x:v>
      </x:c>
      <x:c r="J4016" s="18" t="n">
        <x:f>MIN(Model_Config_v3!$B$6,I4016+Model_Config_v3!$B$7)</x:f>
        <x:v>675</x:v>
      </x:c>
      <x:c r="K4016" s="20" t="n">
        <x:v>54.5</x:v>
      </x:c>
      <x:c r="L4016" t="str">
        <x:v>MENENGAH</x:v>
      </x:c>
      <x:c r="M4016" t="str">
        <x:v>SEDANG+</x:v>
      </x:c>
      <x:c r="N4016" t="str">
        <x:v>REGULER</x:v>
      </x:c>
      <x:c r="O4016" t="str">
        <x:v>SAINTEK</x:v>
      </x:c>
      <x:c r="P4016" t="str">
        <x:v>TEKNIK/ARSITEKTUR/STATISTIKA/AKTUARIA</x:v>
      </x:c>
      <x:c r="Q4016" s="18" t="n">
        <x:v>0</x:v>
      </x:c>
      <x:c r="R4016" s="18" t="n">
        <x:v>0</x:v>
      </x:c>
      <x:c r="S4016" s="18" t="n">
        <x:v>623.5298040260092</x:v>
      </x:c>
      <x:c r="T4016" s="18" t="n">
        <x:v>669</x:v>
      </x:c>
      <x:c r="U4016" s="18" t="n">
        <x:v>633.5298040260092</x:v>
      </x:c>
      <x:c r="V4016" s="20" t="n">
        <x:v>12</x:v>
      </x:c>
      <x:c r="W4016" s="20" t="n">
        <x:v>5</x:v>
      </x:c>
      <x:c r="X4016" s="20" t="n">
        <x:v>3</x:v>
      </x:c>
      <x:c r="Y4016" t="str">
        <x:v>Basis arsip 2025/2024</x:v>
      </x:c>
      <x:c r="Z4016" t="str">
        <x:v>https://snpmb.id/utbk-snbt/daya-tampung-snbt</x:v>
      </x:c>
      <x:c r="AA4016" t="str">
        <x:v>Tidak Ada</x:v>
      </x:c>
      <x:c r="AB4016" t="str">
        <x:v>Campus=55; Ratio=55.4; Prodi=60; RelDemand=31.8; Capacity=62.5</x:v>
      </x:c>
    </x:row>
    <x:row r="4017">
      <x:c r="A4017" t="n">
        <x:v>4014</x:v>
      </x:c>
      <x:c r="B4017" t="str">
        <x:v>PTN Vokasi</x:v>
      </x:c>
      <x:c r="C4017" t="str">
        <x:v>POLITEKNIK PERTANIAN NEGERI PAYAKUMBUH</x:v>
      </x:c>
      <x:c r="D4017" t="str">
        <x:v>PENGELOLAAN AGRIBISNIS</x:v>
      </x:c>
      <x:c r="E4017" t="str">
        <x:v>Sarjana Terapan</x:v>
      </x:c>
      <x:c r="F4017" s="18" t="n">
        <x:v>30</x:v>
      </x:c>
      <x:c r="G4017" s="18" t="n">
        <x:v>134</x:v>
      </x:c>
      <x:c r="H4017" s="19" t="n">
        <x:v>4.466666666666667</x:v>
      </x:c>
      <x:c r="I4017" s="18" t="n">
        <x:f>ROUND(MIN(Model_Config_v3!$B$6,MAX(Q4017,R4017,S4017*Model_Config_v3!$B$4+T4017*Model_Config_v3!$B$5)),0)</x:f>
        <x:v>650</x:v>
      </x:c>
      <x:c r="J4017" s="18" t="n">
        <x:f>MIN(Model_Config_v3!$B$6,I4017+Model_Config_v3!$B$7)</x:f>
        <x:v>670</x:v>
      </x:c>
      <x:c r="K4017" s="20" t="n">
        <x:v>57.5</x:v>
      </x:c>
      <x:c r="L4017" t="str">
        <x:v>KETAT</x:v>
      </x:c>
      <x:c r="M4017" t="str">
        <x:v>SEDANG+</x:v>
      </x:c>
      <x:c r="N4017" t="str">
        <x:v>REGULER</x:v>
      </x:c>
      <x:c r="O4017" t="str">
        <x:v>SOSHUM</x:v>
      </x:c>
      <x:c r="P4017" t="str">
        <x:v>BISNIS/EKONOMI/AKUNTANSI</x:v>
      </x:c>
      <x:c r="Q4017" s="18" t="n">
        <x:v>0</x:v>
      </x:c>
      <x:c r="R4017" s="18" t="n">
        <x:v>0</x:v>
      </x:c>
      <x:c r="S4017" s="18" t="n">
        <x:v>591.498189800966</x:v>
      </x:c>
      <x:c r="T4017" s="18" t="n">
        <x:v>675</x:v>
      </x:c>
      <x:c r="U4017" s="18" t="n">
        <x:v>606.498189800966</x:v>
      </x:c>
      <x:c r="V4017" s="20" t="n">
        <x:v>4.4</x:v>
      </x:c>
      <x:c r="W4017" s="20" t="n">
        <x:v>14.3</x:v>
      </x:c>
      <x:c r="X4017" s="20" t="n">
        <x:v>3.3</x:v>
      </x:c>
      <x:c r="Y4017" t="str">
        <x:v>Basis arsip 2025/2024</x:v>
      </x:c>
      <x:c r="Z4017" t="str">
        <x:v>https://snpmb.id/utbk-snbt/daya-tampung-snbt</x:v>
      </x:c>
      <x:c r="AA4017" t="str">
        <x:v>Tidak Ada</x:v>
      </x:c>
      <x:c r="AB4017" t="str">
        <x:v>Campus=55; Ratio=38.3; Prodi=65; RelDemand=81.8; Capacity=75.0</x:v>
      </x:c>
    </x:row>
    <x:row r="4018">
      <x:c r="A4018" t="n">
        <x:v>4015</x:v>
      </x:c>
      <x:c r="B4018" t="str">
        <x:v>PTN Vokasi</x:v>
      </x:c>
      <x:c r="C4018" t="str">
        <x:v>POLITEKNIK PERTANIAN NEGERI PAYAKUMBUH</x:v>
      </x:c>
      <x:c r="D4018" t="str">
        <x:v>PENGELOLAAN PERKEBUNAN</x:v>
      </x:c>
      <x:c r="E4018" t="str">
        <x:v>Sarjana Terapan</x:v>
      </x:c>
      <x:c r="F4018" s="18" t="n">
        <x:v>30</x:v>
      </x:c>
      <x:c r="G4018" s="18" t="n">
        <x:v>155</x:v>
      </x:c>
      <x:c r="H4018" s="19" t="n">
        <x:v>5.166666666666667</x:v>
      </x:c>
      <x:c r="I4018" s="18" t="n">
        <x:f>ROUND(MIN(Model_Config_v3!$B$6,MAX(Q4018,R4018,S4018*Model_Config_v3!$B$4+T4018*Model_Config_v3!$B$5)),0)</x:f>
        <x:v>648</x:v>
      </x:c>
      <x:c r="J4018" s="18" t="n">
        <x:f>MIN(Model_Config_v3!$B$6,I4018+Model_Config_v3!$B$7)</x:f>
        <x:v>668</x:v>
      </x:c>
      <x:c r="K4018" s="20" t="n">
        <x:v>54.7</x:v>
      </x:c>
      <x:c r="L4018" t="str">
        <x:v>MENENGAH</x:v>
      </x:c>
      <x:c r="M4018" t="str">
        <x:v>SEDANG</x:v>
      </x:c>
      <x:c r="N4018" t="str">
        <x:v>REGULER</x:v>
      </x:c>
      <x:c r="O4018" t="str">
        <x:v>CAMPURAN</x:v>
      </x:c>
      <x:c r="P4018" t="str">
        <x:v>UMUM</x:v>
      </x:c>
      <x:c r="Q4018" s="18" t="n">
        <x:v>0</x:v>
      </x:c>
      <x:c r="R4018" s="18" t="n">
        <x:v>0</x:v>
      </x:c>
      <x:c r="S4018" s="18" t="n">
        <x:v>598.4531487795692</x:v>
      </x:c>
      <x:c r="T4018" s="18" t="n">
        <x:v>669</x:v>
      </x:c>
      <x:c r="U4018" s="18" t="n">
        <x:v>598.4531487795692</x:v>
      </x:c>
      <x:c r="V4018" s="20" t="n">
        <x:v>8.8</x:v>
      </x:c>
      <x:c r="W4018" s="20" t="n">
        <x:v>9.9</x:v>
      </x:c>
      <x:c r="X4018" s="20" t="n">
        <x:v>3.3</x:v>
      </x:c>
      <x:c r="Y4018" t="str">
        <x:v>Basis arsip 2025/2024</x:v>
      </x:c>
      <x:c r="Z4018" t="str">
        <x:v>https://snpmb.id/utbk-snbt/daya-tampung-snbt</x:v>
      </x:c>
      <x:c r="AA4018" t="str">
        <x:v>Tidak Ada</x:v>
      </x:c>
      <x:c r="AB4018" t="str">
        <x:v>Campus=55; Ratio=42.0; Prodi=40; RelDemand=94.6; Capacity=75.0</x:v>
      </x:c>
    </x:row>
    <x:row r="4019">
      <x:c r="A4019" t="n">
        <x:v>4016</x:v>
      </x:c>
      <x:c r="B4019" t="str">
        <x:v>PTN Vokasi</x:v>
      </x:c>
      <x:c r="C4019" t="str">
        <x:v>POLITEKNIK PERTANIAN NEGERI PAYAKUMBUH</x:v>
      </x:c>
      <x:c r="D4019" t="str">
        <x:v>TEKNOLOGI BENIH</x:v>
      </x:c>
      <x:c r="E4019" t="str">
        <x:v>Sarjana Terapan</x:v>
      </x:c>
      <x:c r="F4019" s="18" t="n">
        <x:v>30</x:v>
      </x:c>
      <x:c r="G4019" s="18" t="n">
        <x:v>36</x:v>
      </x:c>
      <x:c r="H4019" s="19" t="n">
        <x:v>1.2</x:v>
      </x:c>
      <x:c r="I4019" s="18" t="n">
        <x:f>ROUND(MIN(Model_Config_v3!$B$6,MAX(Q4019,R4019,S4019*Model_Config_v3!$B$4+T4019*Model_Config_v3!$B$5)),0)</x:f>
        <x:v>604</x:v>
      </x:c>
      <x:c r="J4019" s="18" t="n">
        <x:f>MIN(Model_Config_v3!$B$6,I4019+Model_Config_v3!$B$7)</x:f>
        <x:v>624</x:v>
      </x:c>
      <x:c r="K4019" s="20" t="n">
        <x:v>38.1</x:v>
      </x:c>
      <x:c r="L4019" t="str">
        <x:v>RELATIF LONGGAR</x:v>
      </x:c>
      <x:c r="M4019" t="str">
        <x:v>SEDANG</x:v>
      </x:c>
      <x:c r="N4019" t="str">
        <x:v>REGULER</x:v>
      </x:c>
      <x:c r="O4019" t="str">
        <x:v>SAINTEK</x:v>
      </x:c>
      <x:c r="P4019" t="str">
        <x:v>UMUM</x:v>
      </x:c>
      <x:c r="Q4019" s="18" t="n">
        <x:v>0</x:v>
      </x:c>
      <x:c r="R4019" s="18" t="n">
        <x:v>0</x:v>
      </x:c>
      <x:c r="S4019" s="18" t="n">
        <x:v>528.7099370652387</x:v>
      </x:c>
      <x:c r="T4019" s="18" t="n">
        <x:v>636</x:v>
      </x:c>
      <x:c r="U4019" s="18" t="n">
        <x:v>528.7099370652387</x:v>
      </x:c>
      <x:c r="V4019" s="20" t="n">
        <x:v>12</x:v>
      </x:c>
      <x:c r="W4019" s="20" t="n">
        <x:v>5</x:v>
      </x:c>
      <x:c r="X4019" s="20" t="n">
        <x:v>3</x:v>
      </x:c>
      <x:c r="Y4019" t="str">
        <x:v>Basis arsip 2025/2024</x:v>
      </x:c>
      <x:c r="Z4019" t="str">
        <x:v>https://snpmb.id/utbk-snbt/daya-tampung-snbt</x:v>
      </x:c>
      <x:c r="AA4019" t="str">
        <x:v>Tidak Ada</x:v>
      </x:c>
      <x:c r="AB4019" t="str">
        <x:v>Campus=55; Ratio=4.7; Prodi=40; RelDemand=22.0; Capacity=75.0</x:v>
      </x:c>
    </x:row>
    <x:row r="4020">
      <x:c r="A4020" t="n">
        <x:v>4017</x:v>
      </x:c>
      <x:c r="B4020" t="str">
        <x:v>PTN Vokasi</x:v>
      </x:c>
      <x:c r="C4020" t="str">
        <x:v>POLITEKNIK PERTANIAN NEGERI PAYAKUMBUH</x:v>
      </x:c>
      <x:c r="D4020" t="str">
        <x:v>TEKNOLOGI REKAYASA PANGAN</x:v>
      </x:c>
      <x:c r="E4020" t="str">
        <x:v>Sarjana Terapan</x:v>
      </x:c>
      <x:c r="F4020" s="18" t="n">
        <x:v>30</x:v>
      </x:c>
      <x:c r="G4020" s="18" t="n">
        <x:v>43</x:v>
      </x:c>
      <x:c r="H4020" s="19" t="n">
        <x:v>1.4333333333333333</x:v>
      </x:c>
      <x:c r="I4020" s="18" t="n">
        <x:f>ROUND(MIN(Model_Config_v3!$B$6,MAX(Q4020,R4020,S4020*Model_Config_v3!$B$4+T4020*Model_Config_v3!$B$5)),0)</x:f>
        <x:v>608</x:v>
      </x:c>
      <x:c r="J4020" s="18" t="n">
        <x:f>MIN(Model_Config_v3!$B$6,I4020+Model_Config_v3!$B$7)</x:f>
        <x:v>628</x:v>
      </x:c>
      <x:c r="K4020" s="20" t="n">
        <x:v>39.7</x:v>
      </x:c>
      <x:c r="L4020" t="str">
        <x:v>RELATIF LONGGAR</x:v>
      </x:c>
      <x:c r="M4020" t="str">
        <x:v>SEDANG</x:v>
      </x:c>
      <x:c r="N4020" t="str">
        <x:v>REGULER</x:v>
      </x:c>
      <x:c r="O4020" t="str">
        <x:v>SAINTEK</x:v>
      </x:c>
      <x:c r="P4020" t="str">
        <x:v>UMUM</x:v>
      </x:c>
      <x:c r="Q4020" s="18" t="n">
        <x:v>0</x:v>
      </x:c>
      <x:c r="R4020" s="18" t="n">
        <x:v>0</x:v>
      </x:c>
      <x:c r="S4020" s="18" t="n">
        <x:v>537.1981920945916</x:v>
      </x:c>
      <x:c r="T4020" s="18" t="n">
        <x:v>639</x:v>
      </x:c>
      <x:c r="U4020" s="18" t="n">
        <x:v>537.1981920945916</x:v>
      </x:c>
      <x:c r="V4020" s="20" t="n">
        <x:v>12</x:v>
      </x:c>
      <x:c r="W4020" s="20" t="n">
        <x:v>5</x:v>
      </x:c>
      <x:c r="X4020" s="20" t="n">
        <x:v>3</x:v>
      </x:c>
      <x:c r="Y4020" t="str">
        <x:v>Basis arsip 2025/2024</x:v>
      </x:c>
      <x:c r="Z4020" t="str">
        <x:v>https://snpmb.id/utbk-snbt/daya-tampung-snbt</x:v>
      </x:c>
      <x:c r="AA4020" t="str">
        <x:v>Tidak Ada</x:v>
      </x:c>
      <x:c r="AB4020" t="str">
        <x:v>Campus=55; Ratio=9.2; Prodi=40; RelDemand=26.2; Capacity=75.0</x:v>
      </x:c>
    </x:row>
    <x:row r="4021">
      <x:c r="A4021" t="n">
        <x:v>4018</x:v>
      </x:c>
      <x:c r="B4021" t="str">
        <x:v>PTN Vokasi</x:v>
      </x:c>
      <x:c r="C4021" t="str">
        <x:v>POLITEKNIK PERTANIAN NEGERI PAYAKUMBUH</x:v>
      </x:c>
      <x:c r="D4021" t="str">
        <x:v>TEKNOLOGI REKAYASA KOMPUTER</x:v>
      </x:c>
      <x:c r="E4021" t="str">
        <x:v>Sarjana Terapan</x:v>
      </x:c>
      <x:c r="F4021" s="18" t="n">
        <x:v>30</x:v>
      </x:c>
      <x:c r="G4021" s="18" t="n">
        <x:v>67</x:v>
      </x:c>
      <x:c r="H4021" s="19" t="n">
        <x:v>2.2333333333333334</x:v>
      </x:c>
      <x:c r="I4021" s="18" t="n">
        <x:f>ROUND(MIN(Model_Config_v3!$B$6,MAX(Q4021,R4021,S4021*Model_Config_v3!$B$4+T4021*Model_Config_v3!$B$5)),0)</x:f>
        <x:v>621</x:v>
      </x:c>
      <x:c r="J4021" s="18" t="n">
        <x:f>MIN(Model_Config_v3!$B$6,I4021+Model_Config_v3!$B$7)</x:f>
        <x:v>641</x:v>
      </x:c>
      <x:c r="K4021" s="20" t="n">
        <x:v>44</x:v>
      </x:c>
      <x:c r="L4021" t="str">
        <x:v>RELATIF LONGGAR</x:v>
      </x:c>
      <x:c r="M4021" t="str">
        <x:v>SEDANG</x:v>
      </x:c>
      <x:c r="N4021" t="str">
        <x:v>REGULER</x:v>
      </x:c>
      <x:c r="O4021" t="str">
        <x:v>SAINTEK</x:v>
      </x:c>
      <x:c r="P4021" t="str">
        <x:v>UMUM</x:v>
      </x:c>
      <x:c r="Q4021" s="18" t="n">
        <x:v>0</x:v>
      </x:c>
      <x:c r="R4021" s="18" t="n">
        <x:v>0</x:v>
      </x:c>
      <x:c r="S4021" s="18" t="n">
        <x:v>558.384890277928</x:v>
      </x:c>
      <x:c r="T4021" s="18" t="n">
        <x:v>648</x:v>
      </x:c>
      <x:c r="U4021" s="18" t="n">
        <x:v>558.384890277928</x:v>
      </x:c>
      <x:c r="V4021" s="20" t="n">
        <x:v>12</x:v>
      </x:c>
      <x:c r="W4021" s="20" t="n">
        <x:v>5</x:v>
      </x:c>
      <x:c r="X4021" s="20" t="n">
        <x:v>3</x:v>
      </x:c>
      <x:c r="Y4021" t="str">
        <x:v>Basis arsip 2025/2024</x:v>
      </x:c>
      <x:c r="Z4021" t="str">
        <x:v>https://snpmb.id/utbk-snbt/daya-tampung-snbt</x:v>
      </x:c>
      <x:c r="AA4021" t="str">
        <x:v>Tidak Ada</x:v>
      </x:c>
      <x:c r="AB4021" t="str">
        <x:v>Campus=55; Ratio=20.5; Prodi=40; RelDemand=40.9; Capacity=75.0</x:v>
      </x:c>
    </x:row>
    <x:row r="4022">
      <x:c r="A4022" t="n">
        <x:v>4019</x:v>
      </x:c>
      <x:c r="B4022" t="str">
        <x:v>PTN Vokasi</x:v>
      </x:c>
      <x:c r="C4022" t="str">
        <x:v>POLITEKNIK PERTANIAN NEGERI PAYAKUMBUH</x:v>
      </x:c>
      <x:c r="D4022" t="str">
        <x:v>TEKNOLOGI PRODUKSI TERNAK</x:v>
      </x:c>
      <x:c r="E4022" t="str">
        <x:v>Sarjana Terapan</x:v>
      </x:c>
      <x:c r="F4022" s="18" t="n">
        <x:v>46</x:v>
      </x:c>
      <x:c r="G4022" s="18" t="n">
        <x:v>71</x:v>
      </x:c>
      <x:c r="H4022" s="19" t="n">
        <x:v>1.5434782608695652</x:v>
      </x:c>
      <x:c r="I4022" s="18" t="n">
        <x:f>ROUND(MIN(Model_Config_v3!$B$6,MAX(Q4022,R4022,S4022*Model_Config_v3!$B$4+T4022*Model_Config_v3!$B$5)),0)</x:f>
        <x:v>609</x:v>
      </x:c>
      <x:c r="J4022" s="18" t="n">
        <x:f>MIN(Model_Config_v3!$B$6,I4022+Model_Config_v3!$B$7)</x:f>
        <x:v>629</x:v>
      </x:c>
      <x:c r="K4022" s="20" t="n">
        <x:v>39</x:v>
      </x:c>
      <x:c r="L4022" t="str">
        <x:v>RELATIF LONGGAR</x:v>
      </x:c>
      <x:c r="M4022" t="str">
        <x:v>SEDANG</x:v>
      </x:c>
      <x:c r="N4022" t="str">
        <x:v>REGULER</x:v>
      </x:c>
      <x:c r="O4022" t="str">
        <x:v>SAINTEK</x:v>
      </x:c>
      <x:c r="P4022" t="str">
        <x:v>UMUM</x:v>
      </x:c>
      <x:c r="Q4022" s="18" t="n">
        <x:v>0</x:v>
      </x:c>
      <x:c r="R4022" s="18" t="n">
        <x:v>0</x:v>
      </x:c>
      <x:c r="S4022" s="18" t="n">
        <x:v>540.7350568741251</x:v>
      </x:c>
      <x:c r="T4022" s="18" t="n">
        <x:v>638</x:v>
      </x:c>
      <x:c r="U4022" s="18" t="n">
        <x:v>540.7350568741251</x:v>
      </x:c>
      <x:c r="V4022" s="20" t="n">
        <x:v>12</x:v>
      </x:c>
      <x:c r="W4022" s="20" t="n">
        <x:v>5</x:v>
      </x:c>
      <x:c r="X4022" s="20" t="n">
        <x:v>3</x:v>
      </x:c>
      <x:c r="Y4022" t="str">
        <x:v>Basis arsip 2025/2024</x:v>
      </x:c>
      <x:c r="Z4022" t="str">
        <x:v>https://snpmb.id/utbk-snbt/daya-tampung-snbt</x:v>
      </x:c>
      <x:c r="AA4022" t="str">
        <x:v>Tidak Ada</x:v>
      </x:c>
      <x:c r="AB4022" t="str">
        <x:v>Campus=55; Ratio=11.1; Prodi=40; RelDemand=28.3; Capacity=61.7</x:v>
      </x:c>
    </x:row>
    <x:row r="4023">
      <x:c r="A4023" t="n">
        <x:v>4020</x:v>
      </x:c>
      <x:c r="B4023" t="str">
        <x:v>PTN Vokasi</x:v>
      </x:c>
      <x:c r="C4023" t="str">
        <x:v>POLITEKNIK PERTANIAN NEGERI PAYAKUMBUH</x:v>
      </x:c>
      <x:c r="D4023" t="str">
        <x:v>TEKNOLOGI PRODUKSI TANAMAN PANGAN</x:v>
      </x:c>
      <x:c r="E4023" t="str">
        <x:v>Sarjana Terapan</x:v>
      </x:c>
      <x:c r="F4023" s="18" t="n">
        <x:v>30</x:v>
      </x:c>
      <x:c r="G4023" s="18" t="n">
        <x:v>58</x:v>
      </x:c>
      <x:c r="H4023" s="19" t="n">
        <x:v>1.9333333333333333</x:v>
      </x:c>
      <x:c r="I4023" s="18" t="n">
        <x:f>ROUND(MIN(Model_Config_v3!$B$6,MAX(Q4023,R4023,S4023*Model_Config_v3!$B$4+T4023*Model_Config_v3!$B$5)),0)</x:f>
        <x:v>617</x:v>
      </x:c>
      <x:c r="J4023" s="18" t="n">
        <x:f>MIN(Model_Config_v3!$B$6,I4023+Model_Config_v3!$B$7)</x:f>
        <x:v>637</x:v>
      </x:c>
      <x:c r="K4023" s="20" t="n">
        <x:v>42.5</x:v>
      </x:c>
      <x:c r="L4023" t="str">
        <x:v>RELATIF LONGGAR</x:v>
      </x:c>
      <x:c r="M4023" t="str">
        <x:v>SEDANG</x:v>
      </x:c>
      <x:c r="N4023" t="str">
        <x:v>REGULER</x:v>
      </x:c>
      <x:c r="O4023" t="str">
        <x:v>SAINTEK</x:v>
      </x:c>
      <x:c r="P4023" t="str">
        <x:v>UMUM</x:v>
      </x:c>
      <x:c r="Q4023" s="18" t="n">
        <x:v>0</x:v>
      </x:c>
      <x:c r="R4023" s="18" t="n">
        <x:v>0</x:v>
      </x:c>
      <x:c r="S4023" s="18" t="n">
        <x:v>551.4937412727602</x:v>
      </x:c>
      <x:c r="T4023" s="18" t="n">
        <x:v>645</x:v>
      </x:c>
      <x:c r="U4023" s="18" t="n">
        <x:v>551.4937412727602</x:v>
      </x:c>
      <x:c r="V4023" s="20" t="n">
        <x:v>12</x:v>
      </x:c>
      <x:c r="W4023" s="20" t="n">
        <x:v>5</x:v>
      </x:c>
      <x:c r="X4023" s="20" t="n">
        <x:v>3</x:v>
      </x:c>
      <x:c r="Y4023" t="str">
        <x:v>Basis arsip 2025/2024</x:v>
      </x:c>
      <x:c r="Z4023" t="str">
        <x:v>https://snpmb.id/utbk-snbt/daya-tampung-snbt</x:v>
      </x:c>
      <x:c r="AA4023" t="str">
        <x:v>Tidak Ada</x:v>
      </x:c>
      <x:c r="AB4023" t="str">
        <x:v>Campus=55; Ratio=16.9; Prodi=40; RelDemand=35.4; Capacity=75.0</x:v>
      </x:c>
    </x:row>
    <x:row r="4024">
      <x:c r="A4024" t="n">
        <x:v>4021</x:v>
      </x:c>
      <x:c r="B4024" t="str">
        <x:v>PTN Vokasi</x:v>
      </x:c>
      <x:c r="C4024" t="str">
        <x:v>POLITEKNIK PERTANIAN NEGERI PAYAKUMBUH</x:v>
      </x:c>
      <x:c r="D4024" t="str">
        <x:v>TEKNOLOGI PRODUKSI TANAMAN PERKEBUNAN</x:v>
      </x:c>
      <x:c r="E4024" t="str">
        <x:v>Sarjana Terapan</x:v>
      </x:c>
      <x:c r="F4024" s="18" t="n">
        <x:v>30</x:v>
      </x:c>
      <x:c r="G4024" s="18" t="n">
        <x:v>73</x:v>
      </x:c>
      <x:c r="H4024" s="19" t="n">
        <x:v>2.433333333333333</x:v>
      </x:c>
      <x:c r="I4024" s="18" t="n">
        <x:f>ROUND(MIN(Model_Config_v3!$B$6,MAX(Q4024,R4024,S4024*Model_Config_v3!$B$4+T4024*Model_Config_v3!$B$5)),0)</x:f>
        <x:v>624</x:v>
      </x:c>
      <x:c r="J4024" s="18" t="n">
        <x:f>MIN(Model_Config_v3!$B$6,I4024+Model_Config_v3!$B$7)</x:f>
        <x:v>644</x:v>
      </x:c>
      <x:c r="K4024" s="20" t="n">
        <x:v>44.9</x:v>
      </x:c>
      <x:c r="L4024" t="str">
        <x:v>RELATIF LONGGAR</x:v>
      </x:c>
      <x:c r="M4024" t="str">
        <x:v>SEDANG</x:v>
      </x:c>
      <x:c r="N4024" t="str">
        <x:v>REGULER</x:v>
      </x:c>
      <x:c r="O4024" t="str">
        <x:v>SAINTEK</x:v>
      </x:c>
      <x:c r="P4024" t="str">
        <x:v>UMUM</x:v>
      </x:c>
      <x:c r="Q4024" s="18" t="n">
        <x:v>0</x:v>
      </x:c>
      <x:c r="R4024" s="18" t="n">
        <x:v>0</x:v>
      </x:c>
      <x:c r="S4024" s="18" t="n">
        <x:v>562.4821765940873</x:v>
      </x:c>
      <x:c r="T4024" s="18" t="n">
        <x:v>650</x:v>
      </x:c>
      <x:c r="U4024" s="18" t="n">
        <x:v>562.4821765940873</x:v>
      </x:c>
      <x:c r="V4024" s="20" t="n">
        <x:v>12</x:v>
      </x:c>
      <x:c r="W4024" s="20" t="n">
        <x:v>5</x:v>
      </x:c>
      <x:c r="X4024" s="20" t="n">
        <x:v>3</x:v>
      </x:c>
      <x:c r="Y4024" t="str">
        <x:v>Basis arsip 2025/2024</x:v>
      </x:c>
      <x:c r="Z4024" t="str">
        <x:v>https://snpmb.id/utbk-snbt/daya-tampung-snbt</x:v>
      </x:c>
      <x:c r="AA4024" t="str">
        <x:v>Tidak Ada</x:v>
      </x:c>
      <x:c r="AB4024" t="str">
        <x:v>Campus=55; Ratio=22.7; Prodi=40; RelDemand=44.5; Capacity=75.0</x:v>
      </x:c>
    </x:row>
    <x:row r="4025">
      <x:c r="A4025" t="n">
        <x:v>4022</x:v>
      </x:c>
      <x:c r="B4025" t="str">
        <x:v>PTN Vokasi</x:v>
      </x:c>
      <x:c r="C4025" t="str">
        <x:v>POLITEKNIK PERTANIAN NEGERI PAYAKUMBUH</x:v>
      </x:c>
      <x:c r="D4025" t="str">
        <x:v>TEKNOLOGI MEKANISASI PERTANIAN</x:v>
      </x:c>
      <x:c r="E4025" t="str">
        <x:v>Diploma Tiga</x:v>
      </x:c>
      <x:c r="F4025" s="18" t="n">
        <x:v>30</x:v>
      </x:c>
      <x:c r="G4025" s="18" t="n">
        <x:v>53</x:v>
      </x:c>
      <x:c r="H4025" s="19" t="n">
        <x:v>1.7666666666666666</x:v>
      </x:c>
      <x:c r="I4025" s="18" t="n">
        <x:f>ROUND(MIN(Model_Config_v3!$B$6,MAX(Q4025,R4025,S4025*Model_Config_v3!$B$4+T4025*Model_Config_v3!$B$5)),0)</x:f>
        <x:v>614</x:v>
      </x:c>
      <x:c r="J4025" s="18" t="n">
        <x:f>MIN(Model_Config_v3!$B$6,I4025+Model_Config_v3!$B$7)</x:f>
        <x:v>634</x:v>
      </x:c>
      <x:c r="K4025" s="20" t="n">
        <x:v>41.6</x:v>
      </x:c>
      <x:c r="L4025" t="str">
        <x:v>RELATIF LONGGAR</x:v>
      </x:c>
      <x:c r="M4025" t="str">
        <x:v>SEDANG</x:v>
      </x:c>
      <x:c r="N4025" t="str">
        <x:v>REGULER</x:v>
      </x:c>
      <x:c r="O4025" t="str">
        <x:v>SAINTEK</x:v>
      </x:c>
      <x:c r="P4025" t="str">
        <x:v>UMUM</x:v>
      </x:c>
      <x:c r="Q4025" s="18" t="n">
        <x:v>0</x:v>
      </x:c>
      <x:c r="R4025" s="18" t="n">
        <x:v>0</x:v>
      </x:c>
      <x:c r="S4025" s="18" t="n">
        <x:v>547.1870076369239</x:v>
      </x:c>
      <x:c r="T4025" s="18" t="n">
        <x:v>643</x:v>
      </x:c>
      <x:c r="U4025" s="18" t="n">
        <x:v>547.1870076369239</x:v>
      </x:c>
      <x:c r="V4025" s="20" t="n">
        <x:v>12</x:v>
      </x:c>
      <x:c r="W4025" s="20" t="n">
        <x:v>5</x:v>
      </x:c>
      <x:c r="X4025" s="20" t="n">
        <x:v>3</x:v>
      </x:c>
      <x:c r="Y4025" t="str">
        <x:v>Basis arsip 2025/2024</x:v>
      </x:c>
      <x:c r="Z4025" t="str">
        <x:v>https://snpmb.id/utbk-snbt/daya-tampung-snbt</x:v>
      </x:c>
      <x:c r="AA4025" t="str">
        <x:v>Tidak Ada</x:v>
      </x:c>
      <x:c r="AB4025" t="str">
        <x:v>Campus=55; Ratio=14.5; Prodi=40; RelDemand=32.3; Capacity=75.0</x:v>
      </x:c>
    </x:row>
    <x:row r="4026">
      <x:c r="A4026" t="n">
        <x:v>4023</x:v>
      </x:c>
      <x:c r="B4026" t="str">
        <x:v>PTN Vokasi</x:v>
      </x:c>
      <x:c r="C4026" t="str">
        <x:v>POLITEKNIK PERTANIAN NEGERI PAYAKUMBUH</x:v>
      </x:c>
      <x:c r="D4026" t="str">
        <x:v>TEKNOLOGI PANGAN</x:v>
      </x:c>
      <x:c r="E4026" t="str">
        <x:v>Diploma Tiga</x:v>
      </x:c>
      <x:c r="F4026" s="18" t="n">
        <x:v>30</x:v>
      </x:c>
      <x:c r="G4026" s="18" t="n">
        <x:v>104</x:v>
      </x:c>
      <x:c r="H4026" s="19" t="n">
        <x:v>3.466666666666667</x:v>
      </x:c>
      <x:c r="I4026" s="18" t="n">
        <x:f>ROUND(MIN(Model_Config_v3!$B$6,MAX(Q4026,R4026,S4026*Model_Config_v3!$B$4+T4026*Model_Config_v3!$B$5)),0)</x:f>
        <x:v>634</x:v>
      </x:c>
      <x:c r="J4026" s="18" t="n">
        <x:f>MIN(Model_Config_v3!$B$6,I4026+Model_Config_v3!$B$7)</x:f>
        <x:v>654</x:v>
      </x:c>
      <x:c r="K4026" s="20" t="n">
        <x:v>49</x:v>
      </x:c>
      <x:c r="L4026" t="str">
        <x:v>MENENGAH</x:v>
      </x:c>
      <x:c r="M4026" t="str">
        <x:v>SEDANG</x:v>
      </x:c>
      <x:c r="N4026" t="str">
        <x:v>REGULER</x:v>
      </x:c>
      <x:c r="O4026" t="str">
        <x:v>SAINTEK</x:v>
      </x:c>
      <x:c r="P4026" t="str">
        <x:v>UMUM</x:v>
      </x:c>
      <x:c r="Q4026" s="18" t="n">
        <x:v>0</x:v>
      </x:c>
      <x:c r="R4026" s="18" t="n">
        <x:v>0</x:v>
      </x:c>
      <x:c r="S4026" s="18" t="n">
        <x:v>579.390329303703</x:v>
      </x:c>
      <x:c r="T4026" s="18" t="n">
        <x:v>658</x:v>
      </x:c>
      <x:c r="U4026" s="18" t="n">
        <x:v>579.390329303703</x:v>
      </x:c>
      <x:c r="V4026" s="20" t="n">
        <x:v>12</x:v>
      </x:c>
      <x:c r="W4026" s="20" t="n">
        <x:v>5</x:v>
      </x:c>
      <x:c r="X4026" s="20" t="n">
        <x:v>3</x:v>
      </x:c>
      <x:c r="Y4026" t="str">
        <x:v>Basis arsip 2025/2024</x:v>
      </x:c>
      <x:c r="Z4026" t="str">
        <x:v>https://snpmb.id/utbk-snbt/daya-tampung-snbt</x:v>
      </x:c>
      <x:c r="AA4026" t="str">
        <x:v>Tidak Ada</x:v>
      </x:c>
      <x:c r="AB4026" t="str">
        <x:v>Campus=55; Ratio=31.8; Prodi=40; RelDemand=63.5; Capacity=75.0</x:v>
      </x:c>
    </x:row>
    <x:row r="4027">
      <x:c r="A4027" t="n">
        <x:v>4024</x:v>
      </x:c>
      <x:c r="B4027" t="str">
        <x:v>PTN Vokasi</x:v>
      </x:c>
      <x:c r="C4027" t="str">
        <x:v>POLITEKNIK PERTANIAN NEGERI PAYAKUMBUH</x:v>
      </x:c>
      <x:c r="D4027" t="str">
        <x:v>AGRIBISNIS</x:v>
      </x:c>
      <x:c r="E4027" t="str">
        <x:v>Diploma Tiga</x:v>
      </x:c>
      <x:c r="F4027" s="18" t="n">
        <x:v>30</x:v>
      </x:c>
      <x:c r="G4027" s="18" t="n">
        <x:v>192</x:v>
      </x:c>
      <x:c r="H4027" s="19" t="n">
        <x:v>6.4</x:v>
      </x:c>
      <x:c r="I4027" s="18" t="n">
        <x:f>ROUND(MIN(Model_Config_v3!$B$6,MAX(Q4027,R4027,S4027*Model_Config_v3!$B$4+T4027*Model_Config_v3!$B$5)),0)</x:f>
        <x:v>661</x:v>
      </x:c>
      <x:c r="J4027" s="18" t="n">
        <x:f>MIN(Model_Config_v3!$B$6,I4027+Model_Config_v3!$B$7)</x:f>
        <x:v>681</x:v>
      </x:c>
      <x:c r="K4027" s="20" t="n">
        <x:v>61.6</x:v>
      </x:c>
      <x:c r="L4027" t="str">
        <x:v>KETAT</x:v>
      </x:c>
      <x:c r="M4027" t="str">
        <x:v>SEDANG+</x:v>
      </x:c>
      <x:c r="N4027" t="str">
        <x:v>REGULER</x:v>
      </x:c>
      <x:c r="O4027" t="str">
        <x:v>SOSHUM</x:v>
      </x:c>
      <x:c r="P4027" t="str">
        <x:v>BISNIS/EKONOMI/AKUNTANSI</x:v>
      </x:c>
      <x:c r="Q4027" s="18" t="n">
        <x:v>0</x:v>
      </x:c>
      <x:c r="R4027" s="18" t="n">
        <x:v>0</x:v>
      </x:c>
      <x:c r="S4027" s="18" t="n">
        <x:v>608.6797971382276</x:v>
      </x:c>
      <x:c r="T4027" s="18" t="n">
        <x:v>683</x:v>
      </x:c>
      <x:c r="U4027" s="18" t="n">
        <x:v>623.6797971382276</x:v>
      </x:c>
      <x:c r="V4027" s="20" t="n">
        <x:v>4.4</x:v>
      </x:c>
      <x:c r="W4027" s="20" t="n">
        <x:v>14.3</x:v>
      </x:c>
      <x:c r="X4027" s="20" t="n">
        <x:v>3.3</x:v>
      </x:c>
      <x:c r="Y4027" t="str">
        <x:v>Basis arsip 2025/2024</x:v>
      </x:c>
      <x:c r="Z4027" t="str">
        <x:v>https://snpmb.id/utbk-snbt/daya-tampung-snbt</x:v>
      </x:c>
      <x:c r="AA4027" t="str">
        <x:v>Tidak Ada</x:v>
      </x:c>
      <x:c r="AB4027" t="str">
        <x:v>Campus=55; Ratio=47.5; Prodi=65; RelDemand=100.0; Capacity=75.0</x:v>
      </x:c>
    </x:row>
    <x:row r="4028">
      <x:c r="A4028" t="n">
        <x:v>4025</x:v>
      </x:c>
      <x:c r="B4028" t="str">
        <x:v>PTN Vokasi</x:v>
      </x:c>
      <x:c r="C4028" t="str">
        <x:v>POLITEKNIK PERTANIAN NEGERI PAYAKUMBUH</x:v>
      </x:c>
      <x:c r="D4028" t="str">
        <x:v>TATA AIR PERTANIAN</x:v>
      </x:c>
      <x:c r="E4028" t="str">
        <x:v>Diploma Tiga</x:v>
      </x:c>
      <x:c r="F4028" s="18" t="n">
        <x:v>30</x:v>
      </x:c>
      <x:c r="G4028" s="18" t="n">
        <x:v>20</x:v>
      </x:c>
      <x:c r="H4028" s="19" t="n">
        <x:v>0.6666666666666666</x:v>
      </x:c>
      <x:c r="I4028" s="18" t="n">
        <x:f>ROUND(MIN(Model_Config_v3!$B$6,MAX(Q4028,R4028,S4028*Model_Config_v3!$B$4+T4028*Model_Config_v3!$B$5)),0)</x:f>
        <x:v>598</x:v>
      </x:c>
      <x:c r="J4028" s="18" t="n">
        <x:f>MIN(Model_Config_v3!$B$6,I4028+Model_Config_v3!$B$7)</x:f>
        <x:v>618</x:v>
      </x:c>
      <x:c r="K4028" s="20" t="n">
        <x:v>36</x:v>
      </x:c>
      <x:c r="L4028" t="str">
        <x:v>RELATIF LONGGAR</x:v>
      </x:c>
      <x:c r="M4028" t="str">
        <x:v>SEDANG</x:v>
      </x:c>
      <x:c r="N4028" t="str">
        <x:v>REGULER</x:v>
      </x:c>
      <x:c r="O4028" t="str">
        <x:v>SAINTEK</x:v>
      </x:c>
      <x:c r="P4028" t="str">
        <x:v>UMUM</x:v>
      </x:c>
      <x:c r="Q4028" s="18" t="n">
        <x:v>0</x:v>
      </x:c>
      <x:c r="R4028" s="18" t="n">
        <x:v>0</x:v>
      </x:c>
      <x:c r="S4028" s="18" t="n">
        <x:v>520</x:v>
      </x:c>
      <x:c r="T4028" s="18" t="n">
        <x:v>632</x:v>
      </x:c>
      <x:c r="U4028" s="18" t="n">
        <x:v>520</x:v>
      </x:c>
      <x:c r="V4028" s="20" t="n">
        <x:v>12</x:v>
      </x:c>
      <x:c r="W4028" s="20" t="n">
        <x:v>5</x:v>
      </x:c>
      <x:c r="X4028" s="20" t="n">
        <x:v>3</x:v>
      </x:c>
      <x:c r="Y4028" t="str">
        <x:v>Basis arsip 2025/2024</x:v>
      </x:c>
      <x:c r="Z4028" t="str">
        <x:v>https://snpmb.id/utbk-snbt/daya-tampung-snbt</x:v>
      </x:c>
      <x:c r="AA4028" t="str">
        <x:v>Tidak Ada</x:v>
      </x:c>
      <x:c r="AB4028" t="str">
        <x:v>Campus=55; Ratio=0.0; Prodi=40; RelDemand=12.2; Capacity=75.0</x:v>
      </x:c>
    </x:row>
    <x:row r="4029">
      <x:c r="A4029" t="n">
        <x:v>4026</x:v>
      </x:c>
      <x:c r="B4029" t="str">
        <x:v>PTN Vokasi</x:v>
      </x:c>
      <x:c r="C4029" t="str">
        <x:v>POLITEKNIK PERTANIAN NEGERI PAYAKUMBUH</x:v>
      </x:c>
      <x:c r="D4029" t="str">
        <x:v>PARAMEDIK VETERINER</x:v>
      </x:c>
      <x:c r="E4029" t="str">
        <x:v>Diploma Tiga</x:v>
      </x:c>
      <x:c r="F4029" s="18" t="n">
        <x:v>30</x:v>
      </x:c>
      <x:c r="G4029" s="18" t="n">
        <x:v>84</x:v>
      </x:c>
      <x:c r="H4029" s="19" t="n">
        <x:v>2.8</x:v>
      </x:c>
      <x:c r="I4029" s="18" t="n">
        <x:f>ROUND(MIN(Model_Config_v3!$B$6,MAX(Q4029,R4029,S4029*Model_Config_v3!$B$4+T4029*Model_Config_v3!$B$5)),0)</x:f>
        <x:v>628</x:v>
      </x:c>
      <x:c r="J4029" s="18" t="n">
        <x:f>MIN(Model_Config_v3!$B$6,I4029+Model_Config_v3!$B$7)</x:f>
        <x:v>648</x:v>
      </x:c>
      <x:c r="K4029" s="20" t="n">
        <x:v>46.5</x:v>
      </x:c>
      <x:c r="L4029" t="str">
        <x:v>MENENGAH</x:v>
      </x:c>
      <x:c r="M4029" t="str">
        <x:v>SEDANG</x:v>
      </x:c>
      <x:c r="N4029" t="str">
        <x:v>REGULER</x:v>
      </x:c>
      <x:c r="O4029" t="str">
        <x:v>CAMPURAN</x:v>
      </x:c>
      <x:c r="P4029" t="str">
        <x:v>UMUM</x:v>
      </x:c>
      <x:c r="Q4029" s="18" t="n">
        <x:v>0</x:v>
      </x:c>
      <x:c r="R4029" s="18" t="n">
        <x:v>0</x:v>
      </x:c>
      <x:c r="S4029" s="18" t="n">
        <x:v>569.1873834476442</x:v>
      </x:c>
      <x:c r="T4029" s="18" t="n">
        <x:v>653</x:v>
      </x:c>
      <x:c r="U4029" s="18" t="n">
        <x:v>569.1873834476442</x:v>
      </x:c>
      <x:c r="V4029" s="20" t="n">
        <x:v>8.8</x:v>
      </x:c>
      <x:c r="W4029" s="20" t="n">
        <x:v>9.9</x:v>
      </x:c>
      <x:c r="X4029" s="20" t="n">
        <x:v>3.3</x:v>
      </x:c>
      <x:c r="Y4029" t="str">
        <x:v>Basis arsip 2025/2024</x:v>
      </x:c>
      <x:c r="Z4029" t="str">
        <x:v>https://snpmb.id/utbk-snbt/daya-tampung-snbt</x:v>
      </x:c>
      <x:c r="AA4029" t="str">
        <x:v>Tidak Ada</x:v>
      </x:c>
      <x:c r="AB4029" t="str">
        <x:v>Campus=55; Ratio=26.3; Prodi=40; RelDemand=51.3; Capacity=75.0</x:v>
      </x:c>
    </x:row>
    <x:row r="4030">
      <x:c r="A4030" t="n">
        <x:v>4027</x:v>
      </x:c>
      <x:c r="B4030" t="str">
        <x:v>PTN Vokasi</x:v>
      </x:c>
      <x:c r="C4030" t="str">
        <x:v>POLITEKNIK PERTANIAN NEGERI PAYAKUMBUH</x:v>
      </x:c>
      <x:c r="D4030" t="str">
        <x:v>BUDI DAYA TANAMAN HORTIKULTURA</x:v>
      </x:c>
      <x:c r="E4030" t="str">
        <x:v>Diploma Tiga</x:v>
      </x:c>
      <x:c r="F4030" s="18" t="n">
        <x:v>30</x:v>
      </x:c>
      <x:c r="G4030" s="18" t="n">
        <x:v>82</x:v>
      </x:c>
      <x:c r="H4030" s="19" t="n">
        <x:v>2.7333333333333334</x:v>
      </x:c>
      <x:c r="I4030" s="18" t="n">
        <x:f>ROUND(MIN(Model_Config_v3!$B$6,MAX(Q4030,R4030,S4030*Model_Config_v3!$B$4+T4030*Model_Config_v3!$B$5)),0)</x:f>
        <x:v>627</x:v>
      </x:c>
      <x:c r="J4030" s="18" t="n">
        <x:f>MIN(Model_Config_v3!$B$6,I4030+Model_Config_v3!$B$7)</x:f>
        <x:v>647</x:v>
      </x:c>
      <x:c r="K4030" s="20" t="n">
        <x:v>46.2</x:v>
      </x:c>
      <x:c r="L4030" t="str">
        <x:v>MENENGAH</x:v>
      </x:c>
      <x:c r="M4030" t="str">
        <x:v>SEDANG</x:v>
      </x:c>
      <x:c r="N4030" t="str">
        <x:v>REGULER</x:v>
      </x:c>
      <x:c r="O4030" t="str">
        <x:v>CAMPURAN</x:v>
      </x:c>
      <x:c r="P4030" t="str">
        <x:v>UMUM</x:v>
      </x:c>
      <x:c r="Q4030" s="18" t="n">
        <x:v>0</x:v>
      </x:c>
      <x:c r="R4030" s="18" t="n">
        <x:v>0</x:v>
      </x:c>
      <x:c r="S4030" s="18" t="n">
        <x:v>568.036185743046</x:v>
      </x:c>
      <x:c r="T4030" s="18" t="n">
        <x:v>652</x:v>
      </x:c>
      <x:c r="U4030" s="18" t="n">
        <x:v>568.036185743046</x:v>
      </x:c>
      <x:c r="V4030" s="20" t="n">
        <x:v>8.8</x:v>
      </x:c>
      <x:c r="W4030" s="20" t="n">
        <x:v>9.9</x:v>
      </x:c>
      <x:c r="X4030" s="20" t="n">
        <x:v>3.3</x:v>
      </x:c>
      <x:c r="Y4030" t="str">
        <x:v>Basis arsip 2025/2024</x:v>
      </x:c>
      <x:c r="Z4030" t="str">
        <x:v>https://snpmb.id/utbk-snbt/daya-tampung-snbt</x:v>
      </x:c>
      <x:c r="AA4030" t="str">
        <x:v>Tidak Ada</x:v>
      </x:c>
      <x:c r="AB4030" t="str">
        <x:v>Campus=55; Ratio=25.7; Prodi=40; RelDemand=50.0; Capacity=75.0</x:v>
      </x:c>
    </x:row>
    <x:row r="4031">
      <x:c r="A4031" t="n">
        <x:v>4028</x:v>
      </x:c>
      <x:c r="B4031" t="str">
        <x:v>PTN Vokasi</x:v>
      </x:c>
      <x:c r="C4031" t="str">
        <x:v>POLITEKNIK NEGERI SRIWIJAYA</x:v>
      </x:c>
      <x:c r="D4031" t="str">
        <x:v>PERANCANGAN JALAN DAN JEMBATAN</x:v>
      </x:c>
      <x:c r="E4031" t="str">
        <x:v>Sarjana Terapan</x:v>
      </x:c>
      <x:c r="F4031" s="18" t="n">
        <x:v>68</x:v>
      </x:c>
      <x:c r="G4031" s="18" t="n">
        <x:v>446</x:v>
      </x:c>
      <x:c r="H4031" s="19" t="n">
        <x:v>6.5588235294117645</x:v>
      </x:c>
      <x:c r="I4031" s="18" t="n">
        <x:f>ROUND(MIN(Model_Config_v3!$B$6,MAX(Q4031,R4031,S4031*Model_Config_v3!$B$4+T4031*Model_Config_v3!$B$5)),0)</x:f>
        <x:v>642</x:v>
      </x:c>
      <x:c r="J4031" s="18" t="n">
        <x:f>MIN(Model_Config_v3!$B$6,I4031+Model_Config_v3!$B$7)</x:f>
        <x:v>662</x:v>
      </x:c>
      <x:c r="K4031" s="20" t="n">
        <x:v>48.2</x:v>
      </x:c>
      <x:c r="L4031" t="str">
        <x:v>MENENGAH</x:v>
      </x:c>
      <x:c r="M4031" t="str">
        <x:v>SEDANG</x:v>
      </x:c>
      <x:c r="N4031" t="str">
        <x:v>REGULER</x:v>
      </x:c>
      <x:c r="O4031" t="str">
        <x:v>CAMPURAN</x:v>
      </x:c>
      <x:c r="P4031" t="str">
        <x:v>UMUM</x:v>
      </x:c>
      <x:c r="Q4031" s="18" t="n">
        <x:v>0</x:v>
      </x:c>
      <x:c r="R4031" s="18" t="n">
        <x:v>0</x:v>
      </x:c>
      <x:c r="S4031" s="18" t="n">
        <x:v>609.8508540606496</x:v>
      </x:c>
      <x:c r="T4031" s="18" t="n">
        <x:v>656</x:v>
      </x:c>
      <x:c r="U4031" s="18" t="n">
        <x:v>609.8508540606496</x:v>
      </x:c>
      <x:c r="V4031" s="20" t="n">
        <x:v>8.8</x:v>
      </x:c>
      <x:c r="W4031" s="20" t="n">
        <x:v>9.9</x:v>
      </x:c>
      <x:c r="X4031" s="20" t="n">
        <x:v>3.3</x:v>
      </x:c>
      <x:c r="Y4031" t="str">
        <x:v>Basis arsip 2025/2024</x:v>
      </x:c>
      <x:c r="Z4031" t="str">
        <x:v>https://snpmb.id/utbk-snbt/daya-tampung-snbt</x:v>
      </x:c>
      <x:c r="AA4031" t="str">
        <x:v>Tidak Ada</x:v>
      </x:c>
      <x:c r="AB4031" t="str">
        <x:v>Campus=55; Ratio=48.1; Prodi=40; RelDemand=45.8; Capacity=43.3</x:v>
      </x:c>
    </x:row>
    <x:row r="4032">
      <x:c r="A4032" t="n">
        <x:v>4029</x:v>
      </x:c>
      <x:c r="B4032" t="str">
        <x:v>PTN Vokasi</x:v>
      </x:c>
      <x:c r="C4032" t="str">
        <x:v>POLITEKNIK NEGERI SRIWIJAYA</x:v>
      </x:c>
      <x:c r="D4032" t="str">
        <x:v>TEKNIK MESIN PRODUKSI DAN PERAWATAN</x:v>
      </x:c>
      <x:c r="E4032" t="str">
        <x:v>Sarjana Terapan</x:v>
      </x:c>
      <x:c r="F4032" s="18" t="n">
        <x:v>58</x:v>
      </x:c>
      <x:c r="G4032" s="18" t="n">
        <x:v>291</x:v>
      </x:c>
      <x:c r="H4032" s="19" t="n">
        <x:v>5.017241379310345</x:v>
      </x:c>
      <x:c r="I4032" s="18" t="n">
        <x:f>ROUND(MIN(Model_Config_v3!$B$6,MAX(Q4032,R4032,S4032*Model_Config_v3!$B$4+T4032*Model_Config_v3!$B$5)),0)</x:f>
        <x:v>641</x:v>
      </x:c>
      <x:c r="J4032" s="18" t="n">
        <x:f>MIN(Model_Config_v3!$B$6,I4032+Model_Config_v3!$B$7)</x:f>
        <x:v>661</x:v>
      </x:c>
      <x:c r="K4032" s="20" t="n">
        <x:v>50.2</x:v>
      </x:c>
      <x:c r="L4032" t="str">
        <x:v>MENENGAH</x:v>
      </x:c>
      <x:c r="M4032" t="str">
        <x:v>SEDANG+</x:v>
      </x:c>
      <x:c r="N4032" t="str">
        <x:v>REGULER</x:v>
      </x:c>
      <x:c r="O4032" t="str">
        <x:v>SAINTEK</x:v>
      </x:c>
      <x:c r="P4032" t="str">
        <x:v>TEKNIK/ARSITEKTUR/STATISTIKA/AKTUARIA</x:v>
      </x:c>
      <x:c r="Q4032" s="18" t="n">
        <x:v>0</x:v>
      </x:c>
      <x:c r="R4032" s="18" t="n">
        <x:v>0</x:v>
      </x:c>
      <x:c r="S4032" s="18" t="n">
        <x:v>597.0511494965267</x:v>
      </x:c>
      <x:c r="T4032" s="18" t="n">
        <x:v>660</x:v>
      </x:c>
      <x:c r="U4032" s="18" t="n">
        <x:v>607.0511494965267</x:v>
      </x:c>
      <x:c r="V4032" s="20" t="n">
        <x:v>12</x:v>
      </x:c>
      <x:c r="W4032" s="20" t="n">
        <x:v>5</x:v>
      </x:c>
      <x:c r="X4032" s="20" t="n">
        <x:v>3</x:v>
      </x:c>
      <x:c r="Y4032" t="str">
        <x:v>Basis arsip 2025/2024</x:v>
      </x:c>
      <x:c r="Z4032" t="str">
        <x:v>https://snpmb.id/utbk-snbt/daya-tampung-snbt</x:v>
      </x:c>
      <x:c r="AA4032" t="str">
        <x:v>Tidak Ada</x:v>
      </x:c>
      <x:c r="AB4032" t="str">
        <x:v>Campus=55; Ratio=41.2; Prodi=60; RelDemand=35.0; Capacity=51.7</x:v>
      </x:c>
    </x:row>
    <x:row r="4033">
      <x:c r="A4033" t="n">
        <x:v>4030</x:v>
      </x:c>
      <x:c r="B4033" t="str">
        <x:v>PTN Vokasi</x:v>
      </x:c>
      <x:c r="C4033" t="str">
        <x:v>POLITEKNIK NEGERI SRIWIJAYA</x:v>
      </x:c>
      <x:c r="D4033" t="str">
        <x:v>TEKNIK ELEKTRO</x:v>
      </x:c>
      <x:c r="E4033" t="str">
        <x:v>Sarjana Terapan</x:v>
      </x:c>
      <x:c r="F4033" s="18" t="n">
        <x:v>39</x:v>
      </x:c>
      <x:c r="G4033" s="18" t="n">
        <x:v>832</x:v>
      </x:c>
      <x:c r="H4033" s="19" t="n">
        <x:v>21.333333333333332</x:v>
      </x:c>
      <x:c r="I4033" s="18" t="n">
        <x:f>ROUND(MIN(Model_Config_v3!$B$6,MAX(Q4033,R4033,S4033*Model_Config_v3!$B$4+T4033*Model_Config_v3!$B$5)),0)</x:f>
        <x:v>686</x:v>
      </x:c>
      <x:c r="J4033" s="18" t="n">
        <x:f>MIN(Model_Config_v3!$B$6,I4033+Model_Config_v3!$B$7)</x:f>
        <x:v>706</x:v>
      </x:c>
      <x:c r="K4033" s="20" t="n">
        <x:v>67.6</x:v>
      </x:c>
      <x:c r="L4033" t="str">
        <x:v>SANGAT KETAT</x:v>
      </x:c>
      <x:c r="M4033" t="str">
        <x:v>SEDANG+</x:v>
      </x:c>
      <x:c r="N4033" t="str">
        <x:v>REGULER</x:v>
      </x:c>
      <x:c r="O4033" t="str">
        <x:v>SAINTEK</x:v>
      </x:c>
      <x:c r="P4033" t="str">
        <x:v>TEKNIK/ARSITEKTUR/STATISTIKA/AKTUARIA</x:v>
      </x:c>
      <x:c r="Q4033" s="18" t="n">
        <x:v>0</x:v>
      </x:c>
      <x:c r="R4033" s="18" t="n">
        <x:v>0</x:v>
      </x:c>
      <x:c r="S4033" s="18" t="n">
        <x:v>666.1964591190647</x:v>
      </x:c>
      <x:c r="T4033" s="18" t="n">
        <x:v>695</x:v>
      </x:c>
      <x:c r="U4033" s="18" t="n">
        <x:v>676.1964591190647</x:v>
      </x:c>
      <x:c r="V4033" s="20" t="n">
        <x:v>12</x:v>
      </x:c>
      <x:c r="W4033" s="20" t="n">
        <x:v>5</x:v>
      </x:c>
      <x:c r="X4033" s="20" t="n">
        <x:v>3</x:v>
      </x:c>
      <x:c r="Y4033" t="str">
        <x:v>Basis arsip 2025/2024</x:v>
      </x:c>
      <x:c r="Z4033" t="str">
        <x:v>https://snpmb.id/utbk-snbt/daya-tampung-snbt</x:v>
      </x:c>
      <x:c r="AA4033" t="str">
        <x:v>Tidak Ada</x:v>
      </x:c>
      <x:c r="AB4033" t="str">
        <x:v>Campus=55; Ratio=78.2; Prodi=60; RelDemand=100.0; Capacity=67.5</x:v>
      </x:c>
    </x:row>
    <x:row r="4034">
      <x:c r="A4034" t="n">
        <x:v>4031</x:v>
      </x:c>
      <x:c r="B4034" t="str">
        <x:v>PTN Vokasi</x:v>
      </x:c>
      <x:c r="C4034" t="str">
        <x:v>POLITEKNIK NEGERI SRIWIJAYA</x:v>
      </x:c>
      <x:c r="D4034" t="str">
        <x:v>TEKNIK TELEKOMUNIKASI</x:v>
      </x:c>
      <x:c r="E4034" t="str">
        <x:v>Sarjana Terapan</x:v>
      </x:c>
      <x:c r="F4034" s="18" t="n">
        <x:v>39</x:v>
      </x:c>
      <x:c r="G4034" s="18" t="n">
        <x:v>204</x:v>
      </x:c>
      <x:c r="H4034" s="19" t="n">
        <x:v>5.230769230769231</x:v>
      </x:c>
      <x:c r="I4034" s="18" t="n">
        <x:f>ROUND(MIN(Model_Config_v3!$B$6,MAX(Q4034,R4034,S4034*Model_Config_v3!$B$4+T4034*Model_Config_v3!$B$5)),0)</x:f>
        <x:v>645</x:v>
      </x:c>
      <x:c r="J4034" s="18" t="n">
        <x:f>MIN(Model_Config_v3!$B$6,I4034+Model_Config_v3!$B$7)</x:f>
        <x:v>665</x:v>
      </x:c>
      <x:c r="K4034" s="20" t="n">
        <x:v>52.2</x:v>
      </x:c>
      <x:c r="L4034" t="str">
        <x:v>MENENGAH</x:v>
      </x:c>
      <x:c r="M4034" t="str">
        <x:v>SEDANG+</x:v>
      </x:c>
      <x:c r="N4034" t="str">
        <x:v>REGULER</x:v>
      </x:c>
      <x:c r="O4034" t="str">
        <x:v>SAINTEK</x:v>
      </x:c>
      <x:c r="P4034" t="str">
        <x:v>TEKNIK/ARSITEKTUR/STATISTIKA/AKTUARIA</x:v>
      </x:c>
      <x:c r="Q4034" s="18" t="n">
        <x:v>0</x:v>
      </x:c>
      <x:c r="R4034" s="18" t="n">
        <x:v>0</x:v>
      </x:c>
      <x:c r="S4034" s="18" t="n">
        <x:v>599.0422116439339</x:v>
      </x:c>
      <x:c r="T4034" s="18" t="n">
        <x:v>664</x:v>
      </x:c>
      <x:c r="U4034" s="18" t="n">
        <x:v>609.0422116439339</x:v>
      </x:c>
      <x:c r="V4034" s="20" t="n">
        <x:v>12</x:v>
      </x:c>
      <x:c r="W4034" s="20" t="n">
        <x:v>5</x:v>
      </x:c>
      <x:c r="X4034" s="20" t="n">
        <x:v>3</x:v>
      </x:c>
      <x:c r="Y4034" t="str">
        <x:v>Basis arsip 2025/2024</x:v>
      </x:c>
      <x:c r="Z4034" t="str">
        <x:v>https://snpmb.id/utbk-snbt/daya-tampung-snbt</x:v>
      </x:c>
      <x:c r="AA4034" t="str">
        <x:v>Tidak Ada</x:v>
      </x:c>
      <x:c r="AB4034" t="str">
        <x:v>Campus=55; Ratio=42.3; Prodi=60; RelDemand=36.5; Capacity=67.5</x:v>
      </x:c>
    </x:row>
    <x:row r="4035">
      <x:c r="A4035" t="n">
        <x:v>4032</x:v>
      </x:c>
      <x:c r="B4035" t="str">
        <x:v>PTN Vokasi</x:v>
      </x:c>
      <x:c r="C4035" t="str">
        <x:v>POLITEKNIK NEGERI SRIWIJAYA</x:v>
      </x:c>
      <x:c r="D4035" t="str">
        <x:v>TEKNIK ENERGI</x:v>
      </x:c>
      <x:c r="E4035" t="str">
        <x:v>Sarjana Terapan</x:v>
      </x:c>
      <x:c r="F4035" s="18" t="n">
        <x:v>58</x:v>
      </x:c>
      <x:c r="G4035" s="18" t="n">
        <x:v>233</x:v>
      </x:c>
      <x:c r="H4035" s="19" t="n">
        <x:v>4.017241379310345</x:v>
      </x:c>
      <x:c r="I4035" s="18" t="n">
        <x:f>ROUND(MIN(Model_Config_v3!$B$6,MAX(Q4035,R4035,S4035*Model_Config_v3!$B$4+T4035*Model_Config_v3!$B$5)),0)</x:f>
        <x:v>635</x:v>
      </x:c>
      <x:c r="J4035" s="18" t="n">
        <x:f>MIN(Model_Config_v3!$B$6,I4035+Model_Config_v3!$B$7)</x:f>
        <x:v>655</x:v>
      </x:c>
      <x:c r="K4035" s="20" t="n">
        <x:v>48.1</x:v>
      </x:c>
      <x:c r="L4035" t="str">
        <x:v>MENENGAH</x:v>
      </x:c>
      <x:c r="M4035" t="str">
        <x:v>SEDANG+</x:v>
      </x:c>
      <x:c r="N4035" t="str">
        <x:v>REGULER</x:v>
      </x:c>
      <x:c r="O4035" t="str">
        <x:v>SAINTEK</x:v>
      </x:c>
      <x:c r="P4035" t="str">
        <x:v>TEKNIK/ARSITEKTUR/STATISTIKA/AKTUARIA</x:v>
      </x:c>
      <x:c r="Q4035" s="18" t="n">
        <x:v>0</x:v>
      </x:c>
      <x:c r="R4035" s="18" t="n">
        <x:v>0</x:v>
      </x:c>
      <x:c r="S4035" s="18" t="n">
        <x:v>586.432072020939</x:v>
      </x:c>
      <x:c r="T4035" s="18" t="n">
        <x:v>656</x:v>
      </x:c>
      <x:c r="U4035" s="18" t="n">
        <x:v>596.432072020939</x:v>
      </x:c>
      <x:c r="V4035" s="20" t="n">
        <x:v>12</x:v>
      </x:c>
      <x:c r="W4035" s="20" t="n">
        <x:v>5</x:v>
      </x:c>
      <x:c r="X4035" s="20" t="n">
        <x:v>3</x:v>
      </x:c>
      <x:c r="Y4035" t="str">
        <x:v>Basis arsip 2025/2024</x:v>
      </x:c>
      <x:c r="Z4035" t="str">
        <x:v>https://snpmb.id/utbk-snbt/daya-tampung-snbt</x:v>
      </x:c>
      <x:c r="AA4035" t="str">
        <x:v>Tidak Ada</x:v>
      </x:c>
      <x:c r="AB4035" t="str">
        <x:v>Campus=55; Ratio=35.5; Prodi=60; RelDemand=28.0; Capacity=51.7</x:v>
      </x:c>
    </x:row>
    <x:row r="4036">
      <x:c r="A4036" t="n">
        <x:v>4033</x:v>
      </x:c>
      <x:c r="B4036" t="str">
        <x:v>PTN Vokasi</x:v>
      </x:c>
      <x:c r="C4036" t="str">
        <x:v>POLITEKNIK NEGERI SRIWIJAYA</x:v>
      </x:c>
      <x:c r="D4036" t="str">
        <x:v>TEKNOLOGI KIMIA INDUSTRI</x:v>
      </x:c>
      <x:c r="E4036" t="str">
        <x:v>Sarjana Terapan</x:v>
      </x:c>
      <x:c r="F4036" s="18" t="n">
        <x:v>58</x:v>
      </x:c>
      <x:c r="G4036" s="18" t="n">
        <x:v>491</x:v>
      </x:c>
      <x:c r="H4036" s="19" t="n">
        <x:v>8.46551724137931</x:v>
      </x:c>
      <x:c r="I4036" s="18" t="n">
        <x:f>ROUND(MIN(Model_Config_v3!$B$6,MAX(Q4036,R4036,S4036*Model_Config_v3!$B$4+T4036*Model_Config_v3!$B$5)),0)</x:f>
        <x:v>654</x:v>
      </x:c>
      <x:c r="J4036" s="18" t="n">
        <x:f>MIN(Model_Config_v3!$B$6,I4036+Model_Config_v3!$B$7)</x:f>
        <x:v>674</x:v>
      </x:c>
      <x:c r="K4036" s="20" t="n">
        <x:v>54</x:v>
      </x:c>
      <x:c r="L4036" t="str">
        <x:v>MENENGAH</x:v>
      </x:c>
      <x:c r="M4036" t="str">
        <x:v>SEDANG+</x:v>
      </x:c>
      <x:c r="N4036" t="str">
        <x:v>REGULER</x:v>
      </x:c>
      <x:c r="O4036" t="str">
        <x:v>SAINTEK</x:v>
      </x:c>
      <x:c r="P4036" t="str">
        <x:v>SAINS DASAR</x:v>
      </x:c>
      <x:c r="Q4036" s="18" t="n">
        <x:v>0</x:v>
      </x:c>
      <x:c r="R4036" s="18" t="n">
        <x:v>0</x:v>
      </x:c>
      <x:c r="S4036" s="18" t="n">
        <x:v>622.0418848416034</x:v>
      </x:c>
      <x:c r="T4036" s="18" t="n">
        <x:v>668</x:v>
      </x:c>
      <x:c r="U4036" s="18" t="n">
        <x:v>622.0418848416034</x:v>
      </x:c>
      <x:c r="V4036" s="20" t="n">
        <x:v>12</x:v>
      </x:c>
      <x:c r="W4036" s="20" t="n">
        <x:v>5</x:v>
      </x:c>
      <x:c r="X4036" s="20" t="n">
        <x:v>3</x:v>
      </x:c>
      <x:c r="Y4036" t="str">
        <x:v>Basis arsip 2025/2024</x:v>
      </x:c>
      <x:c r="Z4036" t="str">
        <x:v>https://snpmb.id/utbk-snbt/daya-tampung-snbt</x:v>
      </x:c>
      <x:c r="AA4036" t="str">
        <x:v>Tidak Ada</x:v>
      </x:c>
      <x:c r="AB4036" t="str">
        <x:v>Campus=55; Ratio=54.6; Prodi=50; RelDemand=59.1; Capacity=51.7</x:v>
      </x:c>
    </x:row>
    <x:row r="4037">
      <x:c r="A4037" t="n">
        <x:v>4034</x:v>
      </x:c>
      <x:c r="B4037" t="str">
        <x:v>PTN Vokasi</x:v>
      </x:c>
      <x:c r="C4037" t="str">
        <x:v>POLITEKNIK NEGERI SRIWIJAYA</x:v>
      </x:c>
      <x:c r="D4037" t="str">
        <x:v>TEKNOLOGI INFORMATIKA MULTIMEDIA DIGITAL</x:v>
      </x:c>
      <x:c r="E4037" t="str">
        <x:v>Sarjana Terapan</x:v>
      </x:c>
      <x:c r="F4037" s="18" t="n">
        <x:v>48</x:v>
      </x:c>
      <x:c r="G4037" s="18" t="n">
        <x:v>558</x:v>
      </x:c>
      <x:c r="H4037" s="19" t="n">
        <x:v>11.625</x:v>
      </x:c>
      <x:c r="I4037" s="18" t="n">
        <x:f>ROUND(MIN(Model_Config_v3!$B$6,MAX(Q4037,R4037,S4037*Model_Config_v3!$B$4+T4037*Model_Config_v3!$B$5)),0)</x:f>
        <x:v>676</x:v>
      </x:c>
      <x:c r="J4037" s="18" t="n">
        <x:f>MIN(Model_Config_v3!$B$6,I4037+Model_Config_v3!$B$7)</x:f>
        <x:v>696</x:v>
      </x:c>
      <x:c r="K4037" s="20" t="n">
        <x:v>66</x:v>
      </x:c>
      <x:c r="L4037" t="str">
        <x:v>SANGAT KETAT</x:v>
      </x:c>
      <x:c r="M4037" t="str">
        <x:v>SEDANG+</x:v>
      </x:c>
      <x:c r="N4037" t="str">
        <x:v>REGULER</x:v>
      </x:c>
      <x:c r="O4037" t="str">
        <x:v>SAINTEK</x:v>
      </x:c>
      <x:c r="P4037" t="str">
        <x:v>KOMPUTER/INFORMATIKA</x:v>
      </x:c>
      <x:c r="Q4037" s="18" t="n">
        <x:v>0</x:v>
      </x:c>
      <x:c r="R4037" s="18" t="n">
        <x:v>0</x:v>
      </x:c>
      <x:c r="S4037" s="18" t="n">
        <x:v>637.193225771819</x:v>
      </x:c>
      <x:c r="T4037" s="18" t="n">
        <x:v>692</x:v>
      </x:c>
      <x:c r="U4037" s="18" t="n">
        <x:v>662.193225771819</x:v>
      </x:c>
      <x:c r="V4037" s="20" t="n">
        <x:v>12</x:v>
      </x:c>
      <x:c r="W4037" s="20" t="n">
        <x:v>5</x:v>
      </x:c>
      <x:c r="X4037" s="20" t="n">
        <x:v>3</x:v>
      </x:c>
      <x:c r="Y4037" t="str">
        <x:v>Basis arsip 2025/2024</x:v>
      </x:c>
      <x:c r="Z4037" t="str">
        <x:v>https://snpmb.id/utbk-snbt/daya-tampung-snbt</x:v>
      </x:c>
      <x:c r="AA4037" t="str">
        <x:v>Tidak Ada</x:v>
      </x:c>
      <x:c r="AB4037" t="str">
        <x:v>Campus=55; Ratio=62.7; Prodi=85; RelDemand=81.2; Capacity=60.0</x:v>
      </x:c>
    </x:row>
    <x:row r="4038">
      <x:c r="A4038" t="n">
        <x:v>4035</x:v>
      </x:c>
      <x:c r="B4038" t="str">
        <x:v>PTN Vokasi</x:v>
      </x:c>
      <x:c r="C4038" t="str">
        <x:v>POLITEKNIK NEGERI SRIWIJAYA</x:v>
      </x:c>
      <x:c r="D4038" t="str">
        <x:v>PERANCANGAN JALAN DAN JEMBATAN PSDKU OKU</x:v>
      </x:c>
      <x:c r="E4038" t="str">
        <x:v>Sarjana Terapan</x:v>
      </x:c>
      <x:c r="F4038" s="18" t="n">
        <x:v>10</x:v>
      </x:c>
      <x:c r="G4038" s="18" t="n">
        <x:v>11</x:v>
      </x:c>
      <x:c r="H4038" s="19" t="n">
        <x:v>1.1</x:v>
      </x:c>
      <x:c r="I4038" s="18" t="n">
        <x:f>ROUND(MIN(Model_Config_v3!$B$6,MAX(Q4038,R4038,S4038*Model_Config_v3!$B$4+T4038*Model_Config_v3!$B$5)),0)</x:f>
        <x:v>603</x:v>
      </x:c>
      <x:c r="J4038" s="18" t="n">
        <x:f>MIN(Model_Config_v3!$B$6,I4038+Model_Config_v3!$B$7)</x:f>
        <x:v>623</x:v>
      </x:c>
      <x:c r="K4038" s="20" t="n">
        <x:v>37.8</x:v>
      </x:c>
      <x:c r="L4038" t="str">
        <x:v>RELATIF LONGGAR</x:v>
      </x:c>
      <x:c r="M4038" t="str">
        <x:v>SEDANG</x:v>
      </x:c>
      <x:c r="N4038" t="str">
        <x:v>REGULER</x:v>
      </x:c>
      <x:c r="O4038" t="str">
        <x:v>CAMPURAN</x:v>
      </x:c>
      <x:c r="P4038" t="str">
        <x:v>UMUM</x:v>
      </x:c>
      <x:c r="Q4038" s="18" t="n">
        <x:v>0</x:v>
      </x:c>
      <x:c r="R4038" s="18" t="n">
        <x:v>0</x:v>
      </x:c>
      <x:c r="S4038" s="18" t="n">
        <x:v>524.5531953674048</x:v>
      </x:c>
      <x:c r="T4038" s="18" t="n">
        <x:v>636</x:v>
      </x:c>
      <x:c r="U4038" s="18" t="n">
        <x:v>524.5531953674048</x:v>
      </x:c>
      <x:c r="V4038" s="20" t="n">
        <x:v>8.8</x:v>
      </x:c>
      <x:c r="W4038" s="20" t="n">
        <x:v>9.9</x:v>
      </x:c>
      <x:c r="X4038" s="20" t="n">
        <x:v>3.3</x:v>
      </x:c>
      <x:c r="Y4038" t="str">
        <x:v>Basis arsip 2025/2024</x:v>
      </x:c>
      <x:c r="Z4038" t="str">
        <x:v>https://snpmb.id/utbk-snbt/daya-tampung-snbt</x:v>
      </x:c>
      <x:c r="AA4038" t="str">
        <x:v>Tidak Ada</x:v>
      </x:c>
      <x:c r="AB4038" t="str">
        <x:v>Campus=55; Ratio=2.4; Prodi=40; RelDemand=7.7; Capacity=91.7</x:v>
      </x:c>
    </x:row>
    <x:row r="4039">
      <x:c r="A4039" t="n">
        <x:v>4036</x:v>
      </x:c>
      <x:c r="B4039" t="str">
        <x:v>PTN Vokasi</x:v>
      </x:c>
      <x:c r="C4039" t="str">
        <x:v>POLITEKNIK NEGERI SRIWIJAYA</x:v>
      </x:c>
      <x:c r="D4039" t="str">
        <x:v>TEKNIK MESIN PRODUKSI DAN PERAWATAN PSDKU SIAK</x:v>
      </x:c>
      <x:c r="E4039" t="str">
        <x:v>Sarjana Terapan</x:v>
      </x:c>
      <x:c r="F4039" s="18" t="n">
        <x:v>10</x:v>
      </x:c>
      <x:c r="G4039" s="18" t="n">
        <x:v>12</x:v>
      </x:c>
      <x:c r="H4039" s="19" t="n">
        <x:v>1.2</x:v>
      </x:c>
      <x:c r="I4039" s="18" t="n">
        <x:f>ROUND(MIN(Model_Config_v3!$B$6,MAX(Q4039,R4039,S4039*Model_Config_v3!$B$4+T4039*Model_Config_v3!$B$5)),0)</x:f>
        <x:v>610</x:v>
      </x:c>
      <x:c r="J4039" s="18" t="n">
        <x:f>MIN(Model_Config_v3!$B$6,I4039+Model_Config_v3!$B$7)</x:f>
        <x:v>630</x:v>
      </x:c>
      <x:c r="K4039" s="20" t="n">
        <x:v>42.4</x:v>
      </x:c>
      <x:c r="L4039" t="str">
        <x:v>RELATIF LONGGAR</x:v>
      </x:c>
      <x:c r="M4039" t="str">
        <x:v>SEDANG+</x:v>
      </x:c>
      <x:c r="N4039" t="str">
        <x:v>REGULER</x:v>
      </x:c>
      <x:c r="O4039" t="str">
        <x:v>SAINTEK</x:v>
      </x:c>
      <x:c r="P4039" t="str">
        <x:v>TEKNIK/ARSITEKTUR/STATISTIKA/AKTUARIA</x:v>
      </x:c>
      <x:c r="Q4039" s="18" t="n">
        <x:v>0</x:v>
      </x:c>
      <x:c r="R4039" s="18" t="n">
        <x:v>0</x:v>
      </x:c>
      <x:c r="S4039" s="18" t="n">
        <x:v>528.7099370652387</x:v>
      </x:c>
      <x:c r="T4039" s="18" t="n">
        <x:v>645</x:v>
      </x:c>
      <x:c r="U4039" s="18" t="n">
        <x:v>538.7099370652387</x:v>
      </x:c>
      <x:c r="V4039" s="20" t="n">
        <x:v>12</x:v>
      </x:c>
      <x:c r="W4039" s="20" t="n">
        <x:v>5</x:v>
      </x:c>
      <x:c r="X4039" s="20" t="n">
        <x:v>3</x:v>
      </x:c>
      <x:c r="Y4039" t="str">
        <x:v>Basis arsip 2025/2024</x:v>
      </x:c>
      <x:c r="Z4039" t="str">
        <x:v>https://snpmb.id/utbk-snbt/daya-tampung-snbt</x:v>
      </x:c>
      <x:c r="AA4039" t="str">
        <x:v>Tidak Ada</x:v>
      </x:c>
      <x:c r="AB4039" t="str">
        <x:v>Campus=55; Ratio=4.7; Prodi=60; RelDemand=8.4; Capacity=91.7</x:v>
      </x:c>
    </x:row>
    <x:row r="4040">
      <x:c r="A4040" t="n">
        <x:v>4037</x:v>
      </x:c>
      <x:c r="B4040" t="str">
        <x:v>PTN Vokasi</x:v>
      </x:c>
      <x:c r="C4040" t="str">
        <x:v>POLITEKNIK NEGERI SRIWIJAYA</x:v>
      </x:c>
      <x:c r="D4040" t="str">
        <x:v>TEKNOLOGI PRODUKSI TANAMAN PERKEBUNAN</x:v>
      </x:c>
      <x:c r="E4040" t="str">
        <x:v>Sarjana Terapan</x:v>
      </x:c>
      <x:c r="F4040" s="18" t="n">
        <x:v>29</x:v>
      </x:c>
      <x:c r="G4040" s="18" t="n">
        <x:v>134</x:v>
      </x:c>
      <x:c r="H4040" s="19" t="n">
        <x:v>4.620689655172414</x:v>
      </x:c>
      <x:c r="I4040" s="18" t="n">
        <x:f>ROUND(MIN(Model_Config_v3!$B$6,MAX(Q4040,R4040,S4040*Model_Config_v3!$B$4+T4040*Model_Config_v3!$B$5)),0)</x:f>
        <x:v>637</x:v>
      </x:c>
      <x:c r="J4040" s="18" t="n">
        <x:f>MIN(Model_Config_v3!$B$6,I4040+Model_Config_v3!$B$7)</x:f>
        <x:v>657</x:v>
      </x:c>
      <x:c r="K4040" s="20" t="n">
        <x:v>47.8</x:v>
      </x:c>
      <x:c r="L4040" t="str">
        <x:v>MENENGAH</x:v>
      </x:c>
      <x:c r="M4040" t="str">
        <x:v>SEDANG</x:v>
      </x:c>
      <x:c r="N4040" t="str">
        <x:v>REGULER</x:v>
      </x:c>
      <x:c r="O4040" t="str">
        <x:v>SAINTEK</x:v>
      </x:c>
      <x:c r="P4040" t="str">
        <x:v>UMUM</x:v>
      </x:c>
      <x:c r="Q4040" s="18" t="n">
        <x:v>0</x:v>
      </x:c>
      <x:c r="R4040" s="18" t="n">
        <x:v>0</x:v>
      </x:c>
      <x:c r="S4040" s="18" t="n">
        <x:v>593.1177480512437</x:v>
      </x:c>
      <x:c r="T4040" s="18" t="n">
        <x:v>656</x:v>
      </x:c>
      <x:c r="U4040" s="18" t="n">
        <x:v>593.1177480512437</x:v>
      </x:c>
      <x:c r="V4040" s="20" t="n">
        <x:v>12</x:v>
      </x:c>
      <x:c r="W4040" s="20" t="n">
        <x:v>5</x:v>
      </x:c>
      <x:c r="X4040" s="20" t="n">
        <x:v>3</x:v>
      </x:c>
      <x:c r="Y4040" t="str">
        <x:v>Basis arsip 2025/2024</x:v>
      </x:c>
      <x:c r="Z4040" t="str">
        <x:v>https://snpmb.id/utbk-snbt/daya-tampung-snbt</x:v>
      </x:c>
      <x:c r="AA4040" t="str">
        <x:v>Tidak Ada</x:v>
      </x:c>
      <x:c r="AB4040" t="str">
        <x:v>Campus=55; Ratio=39.1; Prodi=40; RelDemand=32.3; Capacity=75.8</x:v>
      </x:c>
    </x:row>
    <x:row r="4041">
      <x:c r="A4041" t="n">
        <x:v>4038</x:v>
      </x:c>
      <x:c r="B4041" t="str">
        <x:v>PTN Vokasi</x:v>
      </x:c>
      <x:c r="C4041" t="str">
        <x:v>POLITEKNIK NEGERI SRIWIJAYA</x:v>
      </x:c>
      <x:c r="D4041" t="str">
        <x:v>MANAJEMEN INFORMATIKA</x:v>
      </x:c>
      <x:c r="E4041" t="str">
        <x:v>Sarjana Terapan</x:v>
      </x:c>
      <x:c r="F4041" s="18" t="n">
        <x:v>68</x:v>
      </x:c>
      <x:c r="G4041" s="18" t="n">
        <x:v>803</x:v>
      </x:c>
      <x:c r="H4041" s="19" t="n">
        <x:v>11.808823529411764</x:v>
      </x:c>
      <x:c r="I4041" s="18" t="n">
        <x:f>ROUND(MIN(Model_Config_v3!$B$6,MAX(Q4041,R4041,S4041*Model_Config_v3!$B$4+T4041*Model_Config_v3!$B$5)),0)</x:f>
        <x:v>674</x:v>
      </x:c>
      <x:c r="J4041" s="18" t="n">
        <x:f>MIN(Model_Config_v3!$B$6,I4041+Model_Config_v3!$B$7)</x:f>
        <x:v>694</x:v>
      </x:c>
      <x:c r="K4041" s="20" t="n">
        <x:v>64.6</x:v>
      </x:c>
      <x:c r="L4041" t="str">
        <x:v>KETAT</x:v>
      </x:c>
      <x:c r="M4041" t="str">
        <x:v>SEDANG+</x:v>
      </x:c>
      <x:c r="N4041" t="str">
        <x:v>REGULER</x:v>
      </x:c>
      <x:c r="O4041" t="str">
        <x:v>SAINTEK</x:v>
      </x:c>
      <x:c r="P4041" t="str">
        <x:v>KOMPUTER/INFORMATIKA</x:v>
      </x:c>
      <x:c r="Q4041" s="18" t="n">
        <x:v>0</x:v>
      </x:c>
      <x:c r="R4041" s="18" t="n">
        <x:v>0</x:v>
      </x:c>
      <x:c r="S4041" s="18" t="n">
        <x:v>637.9427295829689</x:v>
      </x:c>
      <x:c r="T4041" s="18" t="n">
        <x:v>689</x:v>
      </x:c>
      <x:c r="U4041" s="18" t="n">
        <x:v>662.9427295829689</x:v>
      </x:c>
      <x:c r="V4041" s="20" t="n">
        <x:v>12</x:v>
      </x:c>
      <x:c r="W4041" s="20" t="n">
        <x:v>5</x:v>
      </x:c>
      <x:c r="X4041" s="20" t="n">
        <x:v>3</x:v>
      </x:c>
      <x:c r="Y4041" t="str">
        <x:v>Basis arsip 2025/2024</x:v>
      </x:c>
      <x:c r="Z4041" t="str">
        <x:v>https://snpmb.id/utbk-snbt/daya-tampung-snbt</x:v>
      </x:c>
      <x:c r="AA4041" t="str">
        <x:v>Tidak Ada</x:v>
      </x:c>
      <x:c r="AB4041" t="str">
        <x:v>Campus=55; Ratio=63.1; Prodi=85; RelDemand=82.4; Capacity=43.3</x:v>
      </x:c>
    </x:row>
    <x:row r="4042">
      <x:c r="A4042" t="n">
        <x:v>4039</x:v>
      </x:c>
      <x:c r="B4042" t="str">
        <x:v>PTN Vokasi</x:v>
      </x:c>
      <x:c r="C4042" t="str">
        <x:v>POLITEKNIK NEGERI SRIWIJAYA</x:v>
      </x:c>
      <x:c r="D4042" t="str">
        <x:v>MANAJEMEN INFORMATIKA KAMPUS BANYUASIN</x:v>
      </x:c>
      <x:c r="E4042" t="str">
        <x:v>Sarjana Terapan</x:v>
      </x:c>
      <x:c r="F4042" s="18" t="n">
        <x:v>10</x:v>
      </x:c>
      <x:c r="G4042" s="18" t="n">
        <x:v>18</x:v>
      </x:c>
      <x:c r="H4042" s="19" t="n">
        <x:v>1.8</x:v>
      </x:c>
      <x:c r="I4042" s="18" t="n">
        <x:f>ROUND(MIN(Model_Config_v3!$B$6,MAX(Q4042,R4042,S4042*Model_Config_v3!$B$4+T4042*Model_Config_v3!$B$5)),0)</x:f>
        <x:v>627</x:v>
      </x:c>
      <x:c r="J4042" s="18" t="n">
        <x:f>MIN(Model_Config_v3!$B$6,I4042+Model_Config_v3!$B$7)</x:f>
        <x:v>647</x:v>
      </x:c>
      <x:c r="K4042" s="20" t="n">
        <x:v>50.4</x:v>
      </x:c>
      <x:c r="L4042" t="str">
        <x:v>MENENGAH</x:v>
      </x:c>
      <x:c r="M4042" t="str">
        <x:v>SEDANG+</x:v>
      </x:c>
      <x:c r="N4042" t="str">
        <x:v>REGULER</x:v>
      </x:c>
      <x:c r="O4042" t="str">
        <x:v>SAINTEK</x:v>
      </x:c>
      <x:c r="P4042" t="str">
        <x:v>KOMPUTER/INFORMATIKA</x:v>
      </x:c>
      <x:c r="Q4042" s="18" t="n">
        <x:v>0</x:v>
      </x:c>
      <x:c r="R4042" s="18" t="n">
        <x:v>0</x:v>
      </x:c>
      <x:c r="S4042" s="18" t="n">
        <x:v>548.0799755613637</x:v>
      </x:c>
      <x:c r="T4042" s="18" t="n">
        <x:v>661</x:v>
      </x:c>
      <x:c r="U4042" s="18" t="n">
        <x:v>573.0799755613637</x:v>
      </x:c>
      <x:c r="V4042" s="20" t="n">
        <x:v>12</x:v>
      </x:c>
      <x:c r="W4042" s="20" t="n">
        <x:v>5</x:v>
      </x:c>
      <x:c r="X4042" s="20" t="n">
        <x:v>3</x:v>
      </x:c>
      <x:c r="Y4042" t="str">
        <x:v>Basis arsip 2025/2024</x:v>
      </x:c>
      <x:c r="Z4042" t="str">
        <x:v>https://snpmb.id/utbk-snbt/daya-tampung-snbt</x:v>
      </x:c>
      <x:c r="AA4042" t="str">
        <x:v>Tidak Ada</x:v>
      </x:c>
      <x:c r="AB4042" t="str">
        <x:v>Campus=55; Ratio=15.0; Prodi=85; RelDemand=12.6; Capacity=91.7</x:v>
      </x:c>
    </x:row>
    <x:row r="4043">
      <x:c r="A4043" t="n">
        <x:v>4040</x:v>
      </x:c>
      <x:c r="B4043" t="str">
        <x:v>PTN Vokasi</x:v>
      </x:c>
      <x:c r="C4043" t="str">
        <x:v>POLITEKNIK NEGERI SRIWIJAYA</x:v>
      </x:c>
      <x:c r="D4043" t="str">
        <x:v>AKUNTANSI SEKTOR PUBLIK</x:v>
      </x:c>
      <x:c r="E4043" t="str">
        <x:v>Sarjana Terapan</x:v>
      </x:c>
      <x:c r="F4043" s="18" t="n">
        <x:v>68</x:v>
      </x:c>
      <x:c r="G4043" s="18" t="n">
        <x:v>672</x:v>
      </x:c>
      <x:c r="H4043" s="19" t="n">
        <x:v>9.882352941176471</x:v>
      </x:c>
      <x:c r="I4043" s="18" t="n">
        <x:f>ROUND(MIN(Model_Config_v3!$B$6,MAX(Q4043,R4043,S4043*Model_Config_v3!$B$4+T4043*Model_Config_v3!$B$5)),0)</x:f>
        <x:v>662</x:v>
      </x:c>
      <x:c r="J4043" s="18" t="n">
        <x:f>MIN(Model_Config_v3!$B$6,I4043+Model_Config_v3!$B$7)</x:f>
        <x:v>682</x:v>
      </x:c>
      <x:c r="K4043" s="20" t="n">
        <x:v>58.1</x:v>
      </x:c>
      <x:c r="L4043" t="str">
        <x:v>KETAT</x:v>
      </x:c>
      <x:c r="M4043" t="str">
        <x:v>SEDANG+</x:v>
      </x:c>
      <x:c r="N4043" t="str">
        <x:v>REGULER</x:v>
      </x:c>
      <x:c r="O4043" t="str">
        <x:v>SOSHUM</x:v>
      </x:c>
      <x:c r="P4043" t="str">
        <x:v>BISNIS/EKONOMI/AKUNTANSI</x:v>
      </x:c>
      <x:c r="Q4043" s="18" t="n">
        <x:v>0</x:v>
      </x:c>
      <x:c r="R4043" s="18" t="n">
        <x:v>0</x:v>
      </x:c>
      <x:c r="S4043" s="18" t="n">
        <x:v>629.4346396382348</x:v>
      </x:c>
      <x:c r="T4043" s="18" t="n">
        <x:v>676</x:v>
      </x:c>
      <x:c r="U4043" s="18" t="n">
        <x:v>629.4346396382348</x:v>
      </x:c>
      <x:c r="V4043" s="20" t="n">
        <x:v>4.4</x:v>
      </x:c>
      <x:c r="W4043" s="20" t="n">
        <x:v>14.3</x:v>
      </x:c>
      <x:c r="X4043" s="20" t="n">
        <x:v>3.3</x:v>
      </x:c>
      <x:c r="Y4043" t="str">
        <x:v>Basis arsip 2025/2024</x:v>
      </x:c>
      <x:c r="Z4043" t="str">
        <x:v>https://snpmb.id/utbk-snbt/daya-tampung-snbt</x:v>
      </x:c>
      <x:c r="AA4043" t="str">
        <x:v>Tidak Ada</x:v>
      </x:c>
      <x:c r="AB4043" t="str">
        <x:v>Campus=55; Ratio=58.6; Prodi=65; RelDemand=69.0; Capacity=43.3</x:v>
      </x:c>
    </x:row>
    <x:row r="4044">
      <x:c r="A4044" t="n">
        <x:v>4041</x:v>
      </x:c>
      <x:c r="B4044" t="str">
        <x:v>PTN Vokasi</x:v>
      </x:c>
      <x:c r="C4044" t="str">
        <x:v>POLITEKNIK NEGERI SRIWIJAYA</x:v>
      </x:c>
      <x:c r="D4044" t="str">
        <x:v>AKUNTANSI SEKTOR PUBLIK KAMPUS BANYUASIN</x:v>
      </x:c>
      <x:c r="E4044" t="str">
        <x:v>Sarjana Terapan</x:v>
      </x:c>
      <x:c r="F4044" s="18" t="n">
        <x:v>10</x:v>
      </x:c>
      <x:c r="G4044" s="18" t="n">
        <x:v>20</x:v>
      </x:c>
      <x:c r="H4044" s="19" t="n">
        <x:v>2</x:v>
      </x:c>
      <x:c r="I4044" s="18" t="n">
        <x:f>ROUND(MIN(Model_Config_v3!$B$6,MAX(Q4044,R4044,S4044*Model_Config_v3!$B$4+T4044*Model_Config_v3!$B$5)),0)</x:f>
        <x:v>624</x:v>
      </x:c>
      <x:c r="J4044" s="18" t="n">
        <x:f>MIN(Model_Config_v3!$B$6,I4044+Model_Config_v3!$B$7)</x:f>
        <x:v>644</x:v>
      </x:c>
      <x:c r="K4044" s="20" t="n">
        <x:v>47.2</x:v>
      </x:c>
      <x:c r="L4044" t="str">
        <x:v>MENENGAH</x:v>
      </x:c>
      <x:c r="M4044" t="str">
        <x:v>SEDANG+</x:v>
      </x:c>
      <x:c r="N4044" t="str">
        <x:v>REGULER</x:v>
      </x:c>
      <x:c r="O4044" t="str">
        <x:v>SOSHUM</x:v>
      </x:c>
      <x:c r="P4044" t="str">
        <x:v>BISNIS/EKONOMI/AKUNTANSI</x:v>
      </x:c>
      <x:c r="Q4044" s="18" t="n">
        <x:v>0</x:v>
      </x:c>
      <x:c r="R4044" s="18" t="n">
        <x:v>0</x:v>
      </x:c>
      <x:c r="S4044" s="18" t="n">
        <x:v>553.1132995230379</x:v>
      </x:c>
      <x:c r="T4044" s="18" t="n">
        <x:v>654</x:v>
      </x:c>
      <x:c r="U4044" s="18" t="n">
        <x:v>553.1132995230379</x:v>
      </x:c>
      <x:c r="V4044" s="20" t="n">
        <x:v>4.4</x:v>
      </x:c>
      <x:c r="W4044" s="20" t="n">
        <x:v>14.3</x:v>
      </x:c>
      <x:c r="X4044" s="20" t="n">
        <x:v>3.3</x:v>
      </x:c>
      <x:c r="Y4044" t="str">
        <x:v>Basis arsip 2025/2024</x:v>
      </x:c>
      <x:c r="Z4044" t="str">
        <x:v>https://snpmb.id/utbk-snbt/daya-tampung-snbt</x:v>
      </x:c>
      <x:c r="AA4044" t="str">
        <x:v>Tidak Ada</x:v>
      </x:c>
      <x:c r="AB4044" t="str">
        <x:v>Campus=55; Ratio=17.7; Prodi=65; RelDemand=14.0; Capacity=91.7</x:v>
      </x:c>
    </x:row>
    <x:row r="4045">
      <x:c r="A4045" t="n">
        <x:v>4042</x:v>
      </x:c>
      <x:c r="B4045" t="str">
        <x:v>PTN Vokasi</x:v>
      </x:c>
      <x:c r="C4045" t="str">
        <x:v>POLITEKNIK NEGERI SRIWIJAYA</x:v>
      </x:c>
      <x:c r="D4045" t="str">
        <x:v>USAHA PERJALANAN WISATA</x:v>
      </x:c>
      <x:c r="E4045" t="str">
        <x:v>Sarjana Terapan</x:v>
      </x:c>
      <x:c r="F4045" s="18" t="n">
        <x:v>29</x:v>
      </x:c>
      <x:c r="G4045" s="18" t="n">
        <x:v>282</x:v>
      </x:c>
      <x:c r="H4045" s="19" t="n">
        <x:v>9.724137931034482</x:v>
      </x:c>
      <x:c r="I4045" s="18" t="n">
        <x:f>ROUND(MIN(Model_Config_v3!$B$6,MAX(Q4045,R4045,S4045*Model_Config_v3!$B$4+T4045*Model_Config_v3!$B$5)),0)</x:f>
        <x:v>659</x:v>
      </x:c>
      <x:c r="J4045" s="18" t="n">
        <x:f>MIN(Model_Config_v3!$B$6,I4045+Model_Config_v3!$B$7)</x:f>
        <x:v>679</x:v>
      </x:c>
      <x:c r="K4045" s="20" t="n">
        <x:v>56.2</x:v>
      </x:c>
      <x:c r="L4045" t="str">
        <x:v>KETAT</x:v>
      </x:c>
      <x:c r="M4045" t="str">
        <x:v>SEDANG</x:v>
      </x:c>
      <x:c r="N4045" t="str">
        <x:v>REGULER</x:v>
      </x:c>
      <x:c r="O4045" t="str">
        <x:v>CAMPURAN</x:v>
      </x:c>
      <x:c r="P4045" t="str">
        <x:v>UMUM</x:v>
      </x:c>
      <x:c r="Q4045" s="18" t="n">
        <x:v>0</x:v>
      </x:c>
      <x:c r="R4045" s="18" t="n">
        <x:v>0</x:v>
      </x:c>
      <x:c r="S4045" s="18" t="n">
        <x:v>628.6636221462445</x:v>
      </x:c>
      <x:c r="T4045" s="18" t="n">
        <x:v>672</x:v>
      </x:c>
      <x:c r="U4045" s="18" t="n">
        <x:v>628.6636221462445</x:v>
      </x:c>
      <x:c r="V4045" s="20" t="n">
        <x:v>8.8</x:v>
      </x:c>
      <x:c r="W4045" s="20" t="n">
        <x:v>9.9</x:v>
      </x:c>
      <x:c r="X4045" s="20" t="n">
        <x:v>3.3</x:v>
      </x:c>
      <x:c r="Y4045" t="str">
        <x:v>Basis arsip 2025/2024</x:v>
      </x:c>
      <x:c r="Z4045" t="str">
        <x:v>https://snpmb.id/utbk-snbt/daya-tampung-snbt</x:v>
      </x:c>
      <x:c r="AA4045" t="str">
        <x:v>Tidak Ada</x:v>
      </x:c>
      <x:c r="AB4045" t="str">
        <x:v>Campus=55; Ratio=58.1; Prodi=40; RelDemand=67.9; Capacity=75.8</x:v>
      </x:c>
    </x:row>
    <x:row r="4046">
      <x:c r="A4046" t="n">
        <x:v>4043</x:v>
      </x:c>
      <x:c r="B4046" t="str">
        <x:v>PTN Vokasi</x:v>
      </x:c>
      <x:c r="C4046" t="str">
        <x:v>POLITEKNIK NEGERI SRIWIJAYA</x:v>
      </x:c>
      <x:c r="D4046" t="str">
        <x:v>MANAJEMEN BISNIS</x:v>
      </x:c>
      <x:c r="E4046" t="str">
        <x:v>Sarjana Terapan</x:v>
      </x:c>
      <x:c r="F4046" s="18" t="n">
        <x:v>48</x:v>
      </x:c>
      <x:c r="G4046" s="18" t="n">
        <x:v>1897</x:v>
      </x:c>
      <x:c r="H4046" s="19" t="n">
        <x:v>39.520833333333336</x:v>
      </x:c>
      <x:c r="I4046" s="18" t="n">
        <x:f>ROUND(MIN(Model_Config_v3!$B$6,MAX(Q4046,R4046,S4046*Model_Config_v3!$B$4+T4046*Model_Config_v3!$B$5)),0)</x:f>
        <x:v>701</x:v>
      </x:c>
      <x:c r="J4046" s="18" t="n">
        <x:f>MIN(Model_Config_v3!$B$6,I4046+Model_Config_v3!$B$7)</x:f>
        <x:v>721</x:v>
      </x:c>
      <x:c r="K4046" s="20" t="n">
        <x:v>71.7</x:v>
      </x:c>
      <x:c r="L4046" t="str">
        <x:v>SANGAT KETAT</x:v>
      </x:c>
      <x:c r="M4046" t="str">
        <x:v>SEDANG+</x:v>
      </x:c>
      <x:c r="N4046" t="str">
        <x:v>REGULER</x:v>
      </x:c>
      <x:c r="O4046" t="str">
        <x:v>SOSHUM</x:v>
      </x:c>
      <x:c r="P4046" t="str">
        <x:v>BISNIS/EKONOMI/AKUNTANSI</x:v>
      </x:c>
      <x:c r="Q4046" s="18" t="n">
        <x:v>0</x:v>
      </x:c>
      <x:c r="R4046" s="18" t="n">
        <x:v>0</x:v>
      </x:c>
      <x:c r="S4046" s="18" t="n">
        <x:v>695.6508702864382</x:v>
      </x:c>
      <x:c r="T4046" s="18" t="n">
        <x:v>703</x:v>
      </x:c>
      <x:c r="U4046" s="18" t="n">
        <x:v>710.6508702864382</x:v>
      </x:c>
      <x:c r="V4046" s="20" t="n">
        <x:v>4.4</x:v>
      </x:c>
      <x:c r="W4046" s="20" t="n">
        <x:v>14.3</x:v>
      </x:c>
      <x:c r="X4046" s="20" t="n">
        <x:v>3.3</x:v>
      </x:c>
      <x:c r="Y4046" t="str">
        <x:v>Basis arsip 2025/2024</x:v>
      </x:c>
      <x:c r="Z4046" t="str">
        <x:v>https://snpmb.id/utbk-snbt/daya-tampung-snbt</x:v>
      </x:c>
      <x:c r="AA4046" t="str">
        <x:v>Tidak Ada</x:v>
      </x:c>
      <x:c r="AB4046" t="str">
        <x:v>Campus=55; Ratio=94.0; Prodi=65; RelDemand=100.0; Capacity=60.0</x:v>
      </x:c>
    </x:row>
    <x:row r="4047">
      <x:c r="A4047" t="n">
        <x:v>4044</x:v>
      </x:c>
      <x:c r="B4047" t="str">
        <x:v>PTN Vokasi</x:v>
      </x:c>
      <x:c r="C4047" t="str">
        <x:v>POLITEKNIK NEGERI SRIWIJAYA</x:v>
      </x:c>
      <x:c r="D4047" t="str">
        <x:v>AKUNTANSI SEKTOR PUBLIK PSDKU OKU</x:v>
      </x:c>
      <x:c r="E4047" t="str">
        <x:v>Sarjana Terapan</x:v>
      </x:c>
      <x:c r="F4047" s="18" t="n">
        <x:v>10</x:v>
      </x:c>
      <x:c r="G4047" s="18" t="n">
        <x:v>16</x:v>
      </x:c>
      <x:c r="H4047" s="19" t="n">
        <x:v>1.6</x:v>
      </x:c>
      <x:c r="I4047" s="18" t="n">
        <x:f>ROUND(MIN(Model_Config_v3!$B$6,MAX(Q4047,R4047,S4047*Model_Config_v3!$B$4+T4047*Model_Config_v3!$B$5)),0)</x:f>
        <x:v>618</x:v>
      </x:c>
      <x:c r="J4047" s="18" t="n">
        <x:f>MIN(Model_Config_v3!$B$6,I4047+Model_Config_v3!$B$7)</x:f>
        <x:v>638</x:v>
      </x:c>
      <x:c r="K4047" s="20" t="n">
        <x:v>45.5</x:v>
      </x:c>
      <x:c r="L4047" t="str">
        <x:v>MENENGAH</x:v>
      </x:c>
      <x:c r="M4047" t="str">
        <x:v>SEDANG+</x:v>
      </x:c>
      <x:c r="N4047" t="str">
        <x:v>REGULER</x:v>
      </x:c>
      <x:c r="O4047" t="str">
        <x:v>SOSHUM</x:v>
      </x:c>
      <x:c r="P4047" t="str">
        <x:v>BISNIS/EKONOMI/AKUNTANSI</x:v>
      </x:c>
      <x:c r="Q4047" s="18" t="n">
        <x:v>0</x:v>
      </x:c>
      <x:c r="R4047" s="18" t="n">
        <x:v>0</x:v>
      </x:c>
      <x:c r="S4047" s="18" t="n">
        <x:v>542.4531980921518</x:v>
      </x:c>
      <x:c r="T4047" s="18" t="n">
        <x:v>651</x:v>
      </x:c>
      <x:c r="U4047" s="18" t="n">
        <x:v>542.4531980921518</x:v>
      </x:c>
      <x:c r="V4047" s="20" t="n">
        <x:v>4.4</x:v>
      </x:c>
      <x:c r="W4047" s="20" t="n">
        <x:v>14.3</x:v>
      </x:c>
      <x:c r="X4047" s="20" t="n">
        <x:v>3.3</x:v>
      </x:c>
      <x:c r="Y4047" t="str">
        <x:v>Basis arsip 2025/2024</x:v>
      </x:c>
      <x:c r="Z4047" t="str">
        <x:v>https://snpmb.id/utbk-snbt/daya-tampung-snbt</x:v>
      </x:c>
      <x:c r="AA4047" t="str">
        <x:v>Tidak Ada</x:v>
      </x:c>
      <x:c r="AB4047" t="str">
        <x:v>Campus=55; Ratio=12.0; Prodi=65; RelDemand=11.2; Capacity=91.7</x:v>
      </x:c>
    </x:row>
    <x:row r="4048">
      <x:c r="A4048" t="n">
        <x:v>4045</x:v>
      </x:c>
      <x:c r="B4048" t="str">
        <x:v>PTN Vokasi</x:v>
      </x:c>
      <x:c r="C4048" t="str">
        <x:v>POLITEKNIK NEGERI SRIWIJAYA</x:v>
      </x:c>
      <x:c r="D4048" t="str">
        <x:v>AKUNTANSI SEKTOR PUBLIK PSDKU SIAK</x:v>
      </x:c>
      <x:c r="E4048" t="str">
        <x:v>Sarjana Terapan</x:v>
      </x:c>
      <x:c r="F4048" s="18" t="n">
        <x:v>10</x:v>
      </x:c>
      <x:c r="G4048" s="18" t="n">
        <x:v>17</x:v>
      </x:c>
      <x:c r="H4048" s="19" t="n">
        <x:v>1.7</x:v>
      </x:c>
      <x:c r="I4048" s="18" t="n">
        <x:f>ROUND(MIN(Model_Config_v3!$B$6,MAX(Q4048,R4048,S4048*Model_Config_v3!$B$4+T4048*Model_Config_v3!$B$5)),0)</x:f>
        <x:v>620</x:v>
      </x:c>
      <x:c r="J4048" s="18" t="n">
        <x:f>MIN(Model_Config_v3!$B$6,I4048+Model_Config_v3!$B$7)</x:f>
        <x:v>640</x:v>
      </x:c>
      <x:c r="K4048" s="20" t="n">
        <x:v>46</x:v>
      </x:c>
      <x:c r="L4048" t="str">
        <x:v>MENENGAH</x:v>
      </x:c>
      <x:c r="M4048" t="str">
        <x:v>SEDANG+</x:v>
      </x:c>
      <x:c r="N4048" t="str">
        <x:v>REGULER</x:v>
      </x:c>
      <x:c r="O4048" t="str">
        <x:v>SOSHUM</x:v>
      </x:c>
      <x:c r="P4048" t="str">
        <x:v>BISNIS/EKONOMI/AKUNTANSI</x:v>
      </x:c>
      <x:c r="Q4048" s="18" t="n">
        <x:v>0</x:v>
      </x:c>
      <x:c r="R4048" s="18" t="n">
        <x:v>0</x:v>
      </x:c>
      <x:c r="S4048" s="18" t="n">
        <x:v>545.3493813516101</x:v>
      </x:c>
      <x:c r="T4048" s="18" t="n">
        <x:v>652</x:v>
      </x:c>
      <x:c r="U4048" s="18" t="n">
        <x:v>545.3493813516101</x:v>
      </x:c>
      <x:c r="V4048" s="20" t="n">
        <x:v>4.4</x:v>
      </x:c>
      <x:c r="W4048" s="20" t="n">
        <x:v>14.3</x:v>
      </x:c>
      <x:c r="X4048" s="20" t="n">
        <x:v>3.3</x:v>
      </x:c>
      <x:c r="Y4048" t="str">
        <x:v>Basis arsip 2025/2024</x:v>
      </x:c>
      <x:c r="Z4048" t="str">
        <x:v>https://snpmb.id/utbk-snbt/daya-tampung-snbt</x:v>
      </x:c>
      <x:c r="AA4048" t="str">
        <x:v>Tidak Ada</x:v>
      </x:c>
      <x:c r="AB4048" t="str">
        <x:v>Campus=55; Ratio=13.6; Prodi=65; RelDemand=11.9; Capacity=91.7</x:v>
      </x:c>
    </x:row>
    <x:row r="4049">
      <x:c r="A4049" t="n">
        <x:v>4046</x:v>
      </x:c>
      <x:c r="B4049" t="str">
        <x:v>PTN Vokasi</x:v>
      </x:c>
      <x:c r="C4049" t="str">
        <x:v>POLITEKNIK NEGERI SRIWIJAYA</x:v>
      </x:c>
      <x:c r="D4049" t="str">
        <x:v>BISNIS DIGITAL</x:v>
      </x:c>
      <x:c r="E4049" t="str">
        <x:v>Sarjana Terapan</x:v>
      </x:c>
      <x:c r="F4049" s="18" t="n">
        <x:v>29</x:v>
      </x:c>
      <x:c r="G4049" s="18" t="n">
        <x:v>334</x:v>
      </x:c>
      <x:c r="H4049" s="19" t="n">
        <x:v>11.517241379310345</x:v>
      </x:c>
      <x:c r="I4049" s="18" t="n">
        <x:f>ROUND(MIN(Model_Config_v3!$B$6,MAX(Q4049,R4049,S4049*Model_Config_v3!$B$4+T4049*Model_Config_v3!$B$5)),0)</x:f>
        <x:v>672</x:v>
      </x:c>
      <x:c r="J4049" s="18" t="n">
        <x:f>MIN(Model_Config_v3!$B$6,I4049+Model_Config_v3!$B$7)</x:f>
        <x:v>692</x:v>
      </x:c>
      <x:c r="K4049" s="20" t="n">
        <x:v>63.5</x:v>
      </x:c>
      <x:c r="L4049" t="str">
        <x:v>KETAT</x:v>
      </x:c>
      <x:c r="M4049" t="str">
        <x:v>SEDANG+</x:v>
      </x:c>
      <x:c r="N4049" t="str">
        <x:v>REGULER</x:v>
      </x:c>
      <x:c r="O4049" t="str">
        <x:v>SOSHUM</x:v>
      </x:c>
      <x:c r="P4049" t="str">
        <x:v>BISNIS/EKONOMI/AKUNTANSI</x:v>
      </x:c>
      <x:c r="Q4049" s="18" t="n">
        <x:v>0</x:v>
      </x:c>
      <x:c r="R4049" s="18" t="n">
        <x:v>0</x:v>
      </x:c>
      <x:c r="S4049" s="18" t="n">
        <x:v>636.7483315803869</x:v>
      </x:c>
      <x:c r="T4049" s="18" t="n">
        <x:v>687</x:v>
      </x:c>
      <x:c r="U4049" s="18" t="n">
        <x:v>651.7483315803869</x:v>
      </x:c>
      <x:c r="V4049" s="20" t="n">
        <x:v>4.4</x:v>
      </x:c>
      <x:c r="W4049" s="20" t="n">
        <x:v>14.3</x:v>
      </x:c>
      <x:c r="X4049" s="20" t="n">
        <x:v>3.3</x:v>
      </x:c>
      <x:c r="Y4049" t="str">
        <x:v>Basis arsip 2025/2024</x:v>
      </x:c>
      <x:c r="Z4049" t="str">
        <x:v>https://snpmb.id/utbk-snbt/daya-tampung-snbt</x:v>
      </x:c>
      <x:c r="AA4049" t="str">
        <x:v>Tidak Ada</x:v>
      </x:c>
      <x:c r="AB4049" t="str">
        <x:v>Campus=55; Ratio=62.5; Prodi=65; RelDemand=80.4; Capacity=75.8</x:v>
      </x:c>
    </x:row>
    <x:row r="4050">
      <x:c r="A4050" t="n">
        <x:v>4047</x:v>
      </x:c>
      <x:c r="B4050" t="str">
        <x:v>PTN Vokasi</x:v>
      </x:c>
      <x:c r="C4050" t="str">
        <x:v>POLITEKNIK NEGERI SRIWIJAYA</x:v>
      </x:c>
      <x:c r="D4050" t="str">
        <x:v>ARSITEKTUR BANGUNAN GEDUNG</x:v>
      </x:c>
      <x:c r="E4050" t="str">
        <x:v>Sarjana Terapan</x:v>
      </x:c>
      <x:c r="F4050" s="18" t="n">
        <x:v>20</x:v>
      </x:c>
      <x:c r="G4050" s="18"/>
      <x:c r="H4050" s="19" t="n">
        <x:v>0</x:v>
      </x:c>
      <x:c r="I4050" s="18" t="n">
        <x:f>ROUND(MIN(Model_Config_v3!$B$6,MAX(Q4050,R4050,S4050*Model_Config_v3!$B$4+T4050*Model_Config_v3!$B$5)),0)</x:f>
        <x:v>603</x:v>
      </x:c>
      <x:c r="J4050" s="18" t="n">
        <x:f>MIN(Model_Config_v3!$B$6,I4050+Model_Config_v3!$B$7)</x:f>
        <x:v>623</x:v>
      </x:c>
      <x:c r="K4050" s="20" t="n">
        <x:v>39.6</x:v>
      </x:c>
      <x:c r="L4050" t="str">
        <x:v>RELATIF LONGGAR</x:v>
      </x:c>
      <x:c r="M4050" t="str">
        <x:v>RENDAH</x:v>
      </x:c>
      <x:c r="N4050" t="str">
        <x:v>REGULER</x:v>
      </x:c>
      <x:c r="O4050" t="str">
        <x:v>SAINTEK</x:v>
      </x:c>
      <x:c r="P4050" t="str">
        <x:v>TEKNIK/ARSITEKTUR/STATISTIKA/AKTUARIA</x:v>
      </x:c>
      <x:c r="Q4050" s="18" t="n">
        <x:v>0</x:v>
      </x:c>
      <x:c r="R4050" s="18" t="n">
        <x:v>0</x:v>
      </x:c>
      <x:c r="S4050" s="18" t="n">
        <x:v>520</x:v>
      </x:c>
      <x:c r="T4050" s="18" t="n">
        <x:v>639</x:v>
      </x:c>
      <x:c r="U4050" s="18" t="n">
        <x:v>520</x:v>
      </x:c>
      <x:c r="V4050" s="20" t="n">
        <x:v>12</x:v>
      </x:c>
      <x:c r="W4050" s="20" t="n">
        <x:v>5</x:v>
      </x:c>
      <x:c r="X4050" s="20" t="n">
        <x:v>3</x:v>
      </x:c>
      <x:c r="Y4050" t="str">
        <x:v>Basis arsip 2025/2024</x:v>
      </x:c>
      <x:c r="Z4050" t="str">
        <x:v>https://snpmb.id/utbk-snbt/daya-tampung-snbt</x:v>
      </x:c>
      <x:c r="AA4050" t="str">
        <x:v>Tidak Ada</x:v>
      </x:c>
      <x:c r="AB4050" t="str">
        <x:v>Campus=55; Ratio=0.0; Prodi=60; RelDemand=0.0; Capacity=83.3</x:v>
      </x:c>
    </x:row>
    <x:row r="4051">
      <x:c r="A4051" t="n">
        <x:v>4048</x:v>
      </x:c>
      <x:c r="B4051" t="str">
        <x:v>PTN Vokasi</x:v>
      </x:c>
      <x:c r="C4051" t="str">
        <x:v>POLITEKNIK NEGERI SRIWIJAYA</x:v>
      </x:c>
      <x:c r="D4051" t="str">
        <x:v>MANAJEMEN AGRIBISNIS</x:v>
      </x:c>
      <x:c r="E4051" t="str">
        <x:v>Sarjana Terapan</x:v>
      </x:c>
      <x:c r="F4051" s="18" t="n">
        <x:v>20</x:v>
      </x:c>
      <x:c r="G4051" s="18"/>
      <x:c r="H4051" s="19" t="n">
        <x:v>0</x:v>
      </x:c>
      <x:c r="I4051" s="18" t="n">
        <x:f>ROUND(MIN(Model_Config_v3!$B$6,MAX(Q4051,R4051,S4051*Model_Config_v3!$B$4+T4051*Model_Config_v3!$B$5)),0)</x:f>
        <x:v>605</x:v>
      </x:c>
      <x:c r="J4051" s="18" t="n">
        <x:f>MIN(Model_Config_v3!$B$6,I4051+Model_Config_v3!$B$7)</x:f>
        <x:v>625</x:v>
      </x:c>
      <x:c r="K4051" s="20" t="n">
        <x:v>40.6</x:v>
      </x:c>
      <x:c r="L4051" t="str">
        <x:v>RELATIF LONGGAR</x:v>
      </x:c>
      <x:c r="M4051" t="str">
        <x:v>RENDAH</x:v>
      </x:c>
      <x:c r="N4051" t="str">
        <x:v>REGULER</x:v>
      </x:c>
      <x:c r="O4051" t="str">
        <x:v>SOSHUM</x:v>
      </x:c>
      <x:c r="P4051" t="str">
        <x:v>BISNIS/EKONOMI/AKUNTANSI</x:v>
      </x:c>
      <x:c r="Q4051" s="18" t="n">
        <x:v>0</x:v>
      </x:c>
      <x:c r="R4051" s="18" t="n">
        <x:v>0</x:v>
      </x:c>
      <x:c r="S4051" s="18" t="n">
        <x:v>520</x:v>
      </x:c>
      <x:c r="T4051" s="18" t="n">
        <x:v>641</x:v>
      </x:c>
      <x:c r="U4051" s="18" t="n">
        <x:v>535</x:v>
      </x:c>
      <x:c r="V4051" s="20" t="n">
        <x:v>4.4</x:v>
      </x:c>
      <x:c r="W4051" s="20" t="n">
        <x:v>14.3</x:v>
      </x:c>
      <x:c r="X4051" s="20" t="n">
        <x:v>3.3</x:v>
      </x:c>
      <x:c r="Y4051" t="str">
        <x:v>Basis arsip 2025/2024</x:v>
      </x:c>
      <x:c r="Z4051" t="str">
        <x:v>https://snpmb.id/utbk-snbt/daya-tampung-snbt</x:v>
      </x:c>
      <x:c r="AA4051" t="str">
        <x:v>Tidak Ada</x:v>
      </x:c>
      <x:c r="AB4051" t="str">
        <x:v>Campus=55; Ratio=0.0; Prodi=65; RelDemand=0.0; Capacity=83.3</x:v>
      </x:c>
    </x:row>
    <x:row r="4052">
      <x:c r="A4052" t="n">
        <x:v>4049</x:v>
      </x:c>
      <x:c r="B4052" t="str">
        <x:v>PTN Vokasi</x:v>
      </x:c>
      <x:c r="C4052" t="str">
        <x:v>POLITEKNIK NEGERI SRIWIJAYA</x:v>
      </x:c>
      <x:c r="D4052" t="str">
        <x:v>AGRIBISNIS PANGAN</x:v>
      </x:c>
      <x:c r="E4052" t="str">
        <x:v>Sarjana Terapan</x:v>
      </x:c>
      <x:c r="F4052" s="18" t="n">
        <x:v>20</x:v>
      </x:c>
      <x:c r="G4052" s="18"/>
      <x:c r="H4052" s="19" t="n">
        <x:v>0</x:v>
      </x:c>
      <x:c r="I4052" s="18" t="n">
        <x:f>ROUND(MIN(Model_Config_v3!$B$6,MAX(Q4052,R4052,S4052*Model_Config_v3!$B$4+T4052*Model_Config_v3!$B$5)),0)</x:f>
        <x:v>605</x:v>
      </x:c>
      <x:c r="J4052" s="18" t="n">
        <x:f>MIN(Model_Config_v3!$B$6,I4052+Model_Config_v3!$B$7)</x:f>
        <x:v>625</x:v>
      </x:c>
      <x:c r="K4052" s="20" t="n">
        <x:v>40.6</x:v>
      </x:c>
      <x:c r="L4052" t="str">
        <x:v>RELATIF LONGGAR</x:v>
      </x:c>
      <x:c r="M4052" t="str">
        <x:v>RENDAH</x:v>
      </x:c>
      <x:c r="N4052" t="str">
        <x:v>REGULER</x:v>
      </x:c>
      <x:c r="O4052" t="str">
        <x:v>SOSHUM</x:v>
      </x:c>
      <x:c r="P4052" t="str">
        <x:v>BISNIS/EKONOMI/AKUNTANSI</x:v>
      </x:c>
      <x:c r="Q4052" s="18" t="n">
        <x:v>0</x:v>
      </x:c>
      <x:c r="R4052" s="18" t="n">
        <x:v>0</x:v>
      </x:c>
      <x:c r="S4052" s="18" t="n">
        <x:v>520</x:v>
      </x:c>
      <x:c r="T4052" s="18" t="n">
        <x:v>641</x:v>
      </x:c>
      <x:c r="U4052" s="18" t="n">
        <x:v>535</x:v>
      </x:c>
      <x:c r="V4052" s="20" t="n">
        <x:v>4.4</x:v>
      </x:c>
      <x:c r="W4052" s="20" t="n">
        <x:v>14.3</x:v>
      </x:c>
      <x:c r="X4052" s="20" t="n">
        <x:v>3.3</x:v>
      </x:c>
      <x:c r="Y4052" t="str">
        <x:v>Basis arsip 2025/2024</x:v>
      </x:c>
      <x:c r="Z4052" t="str">
        <x:v>https://snpmb.id/utbk-snbt/daya-tampung-snbt</x:v>
      </x:c>
      <x:c r="AA4052" t="str">
        <x:v>Tidak Ada</x:v>
      </x:c>
      <x:c r="AB4052" t="str">
        <x:v>Campus=55; Ratio=0.0; Prodi=65; RelDemand=0.0; Capacity=83.3</x:v>
      </x:c>
    </x:row>
    <x:row r="4053">
      <x:c r="A4053" t="n">
        <x:v>4050</x:v>
      </x:c>
      <x:c r="B4053" t="str">
        <x:v>PTN Vokasi</x:v>
      </x:c>
      <x:c r="C4053" t="str">
        <x:v>POLITEKNIK NEGERI SRIWIJAYA</x:v>
      </x:c>
      <x:c r="D4053" t="str">
        <x:v>BAHASA INGGRIS UNTUK KOMUNIKASI BISNIS DAN PROFESIONAL</x:v>
      </x:c>
      <x:c r="E4053" t="str">
        <x:v>Sarjana Terapan</x:v>
      </x:c>
      <x:c r="F4053" s="18" t="n">
        <x:v>20</x:v>
      </x:c>
      <x:c r="G4053" s="18"/>
      <x:c r="H4053" s="19" t="n">
        <x:v>0</x:v>
      </x:c>
      <x:c r="I4053" s="18" t="n">
        <x:f>ROUND(MIN(Model_Config_v3!$B$6,MAX(Q4053,R4053,S4053*Model_Config_v3!$B$4+T4053*Model_Config_v3!$B$5)),0)</x:f>
        <x:v>605</x:v>
      </x:c>
      <x:c r="J4053" s="18" t="n">
        <x:f>MIN(Model_Config_v3!$B$6,I4053+Model_Config_v3!$B$7)</x:f>
        <x:v>625</x:v>
      </x:c>
      <x:c r="K4053" s="20" t="n">
        <x:v>40.6</x:v>
      </x:c>
      <x:c r="L4053" t="str">
        <x:v>RELATIF LONGGAR</x:v>
      </x:c>
      <x:c r="M4053" t="str">
        <x:v>RENDAH</x:v>
      </x:c>
      <x:c r="N4053" t="str">
        <x:v>REGULER</x:v>
      </x:c>
      <x:c r="O4053" t="str">
        <x:v>SOSHUM</x:v>
      </x:c>
      <x:c r="P4053" t="str">
        <x:v>BISNIS/EKONOMI/AKUNTANSI</x:v>
      </x:c>
      <x:c r="Q4053" s="18" t="n">
        <x:v>0</x:v>
      </x:c>
      <x:c r="R4053" s="18" t="n">
        <x:v>0</x:v>
      </x:c>
      <x:c r="S4053" s="18" t="n">
        <x:v>520</x:v>
      </x:c>
      <x:c r="T4053" s="18" t="n">
        <x:v>641</x:v>
      </x:c>
      <x:c r="U4053" s="18" t="n">
        <x:v>535</x:v>
      </x:c>
      <x:c r="V4053" s="20" t="n">
        <x:v>4.4</x:v>
      </x:c>
      <x:c r="W4053" s="20" t="n">
        <x:v>14.3</x:v>
      </x:c>
      <x:c r="X4053" s="20" t="n">
        <x:v>3.3</x:v>
      </x:c>
      <x:c r="Y4053" t="str">
        <x:v>Basis arsip 2025/2024</x:v>
      </x:c>
      <x:c r="Z4053" t="str">
        <x:v>https://snpmb.id/utbk-snbt/daya-tampung-snbt</x:v>
      </x:c>
      <x:c r="AA4053" t="str">
        <x:v>Tidak Ada</x:v>
      </x:c>
      <x:c r="AB4053" t="str">
        <x:v>Campus=55; Ratio=0.0; Prodi=65; RelDemand=0.0; Capacity=83.3</x:v>
      </x:c>
    </x:row>
    <x:row r="4054">
      <x:c r="A4054" t="n">
        <x:v>4051</x:v>
      </x:c>
      <x:c r="B4054" t="str">
        <x:v>PTN Vokasi</x:v>
      </x:c>
      <x:c r="C4054" t="str">
        <x:v>POLITEKNIK NEGERI SRIWIJAYA</x:v>
      </x:c>
      <x:c r="D4054" t="str">
        <x:v>TEKNOLOGI REKAYASA INSTALASI LISTRIK</x:v>
      </x:c>
      <x:c r="E4054" t="str">
        <x:v>Sarjana Terapan</x:v>
      </x:c>
      <x:c r="F4054" s="18" t="n">
        <x:v>29</x:v>
      </x:c>
      <x:c r="G4054" s="18"/>
      <x:c r="H4054" s="19" t="n">
        <x:v>0</x:v>
      </x:c>
      <x:c r="I4054" s="18" t="n">
        <x:f>ROUND(MIN(Model_Config_v3!$B$6,MAX(Q4054,R4054,S4054*Model_Config_v3!$B$4+T4054*Model_Config_v3!$B$5)),0)</x:f>
        <x:v>597</x:v>
      </x:c>
      <x:c r="J4054" s="18" t="n">
        <x:f>MIN(Model_Config_v3!$B$6,I4054+Model_Config_v3!$B$7)</x:f>
        <x:v>617</x:v>
      </x:c>
      <x:c r="K4054" s="20" t="n">
        <x:v>34.8</x:v>
      </x:c>
      <x:c r="L4054" t="str">
        <x:v>RELATIF LONGGAR</x:v>
      </x:c>
      <x:c r="M4054" t="str">
        <x:v>RENDAH</x:v>
      </x:c>
      <x:c r="N4054" t="str">
        <x:v>REGULER</x:v>
      </x:c>
      <x:c r="O4054" t="str">
        <x:v>SAINTEK</x:v>
      </x:c>
      <x:c r="P4054" t="str">
        <x:v>UMUM</x:v>
      </x:c>
      <x:c r="Q4054" s="18" t="n">
        <x:v>0</x:v>
      </x:c>
      <x:c r="R4054" s="18" t="n">
        <x:v>0</x:v>
      </x:c>
      <x:c r="S4054" s="18" t="n">
        <x:v>520</x:v>
      </x:c>
      <x:c r="T4054" s="18" t="n">
        <x:v>630</x:v>
      </x:c>
      <x:c r="U4054" s="18" t="n">
        <x:v>520</x:v>
      </x:c>
      <x:c r="V4054" s="20" t="n">
        <x:v>12</x:v>
      </x:c>
      <x:c r="W4054" s="20" t="n">
        <x:v>5</x:v>
      </x:c>
      <x:c r="X4054" s="20" t="n">
        <x:v>3</x:v>
      </x:c>
      <x:c r="Y4054" t="str">
        <x:v>Basis arsip 2025/2024</x:v>
      </x:c>
      <x:c r="Z4054" t="str">
        <x:v>https://snpmb.id/utbk-snbt/daya-tampung-snbt</x:v>
      </x:c>
      <x:c r="AA4054" t="str">
        <x:v>Tidak Ada</x:v>
      </x:c>
      <x:c r="AB4054" t="str">
        <x:v>Campus=55; Ratio=0.0; Prodi=40; RelDemand=0.0; Capacity=75.8</x:v>
      </x:c>
    </x:row>
    <x:row r="4055">
      <x:c r="A4055" t="n">
        <x:v>4052</x:v>
      </x:c>
      <x:c r="B4055" t="str">
        <x:v>PTN Vokasi</x:v>
      </x:c>
      <x:c r="C4055" t="str">
        <x:v>POLITEKNIK NEGERI SRIWIJAYA</x:v>
      </x:c>
      <x:c r="D4055" t="str">
        <x:v>TEKNOLOGI AKUAKULTUR</x:v>
      </x:c>
      <x:c r="E4055" t="str">
        <x:v>Sarjana Terapan</x:v>
      </x:c>
      <x:c r="F4055" s="18" t="n">
        <x:v>17</x:v>
      </x:c>
      <x:c r="G4055" s="18"/>
      <x:c r="H4055" s="19" t="n">
        <x:v>0</x:v>
      </x:c>
      <x:c r="I4055" s="18" t="n">
        <x:f>ROUND(MIN(Model_Config_v3!$B$6,MAX(Q4055,R4055,S4055*Model_Config_v3!$B$4+T4055*Model_Config_v3!$B$5)),0)</x:f>
        <x:v>598</x:v>
      </x:c>
      <x:c r="J4055" s="18" t="n">
        <x:f>MIN(Model_Config_v3!$B$6,I4055+Model_Config_v3!$B$7)</x:f>
        <x:v>618</x:v>
      </x:c>
      <x:c r="K4055" s="20" t="n">
        <x:v>35.8</x:v>
      </x:c>
      <x:c r="L4055" t="str">
        <x:v>RELATIF LONGGAR</x:v>
      </x:c>
      <x:c r="M4055" t="str">
        <x:v>RENDAH</x:v>
      </x:c>
      <x:c r="N4055" t="str">
        <x:v>REGULER</x:v>
      </x:c>
      <x:c r="O4055" t="str">
        <x:v>SAINTEK</x:v>
      </x:c>
      <x:c r="P4055" t="str">
        <x:v>UMUM</x:v>
      </x:c>
      <x:c r="Q4055" s="18" t="n">
        <x:v>0</x:v>
      </x:c>
      <x:c r="R4055" s="18" t="n">
        <x:v>0</x:v>
      </x:c>
      <x:c r="S4055" s="18" t="n">
        <x:v>520</x:v>
      </x:c>
      <x:c r="T4055" s="18" t="n">
        <x:v>632</x:v>
      </x:c>
      <x:c r="U4055" s="18" t="n">
        <x:v>520</x:v>
      </x:c>
      <x:c r="V4055" s="20" t="n">
        <x:v>12</x:v>
      </x:c>
      <x:c r="W4055" s="20" t="n">
        <x:v>5</x:v>
      </x:c>
      <x:c r="X4055" s="20" t="n">
        <x:v>3</x:v>
      </x:c>
      <x:c r="Y4055" t="str">
        <x:v>Basis arsip 2025/2024</x:v>
      </x:c>
      <x:c r="Z4055" t="str">
        <x:v>https://snpmb.id/utbk-snbt/daya-tampung-snbt</x:v>
      </x:c>
      <x:c r="AA4055" t="str">
        <x:v>Tidak Ada</x:v>
      </x:c>
      <x:c r="AB4055" t="str">
        <x:v>Campus=55; Ratio=0.0; Prodi=40; RelDemand=0.0; Capacity=85.8</x:v>
      </x:c>
    </x:row>
    <x:row r="4056">
      <x:c r="A4056" t="n">
        <x:v>4053</x:v>
      </x:c>
      <x:c r="B4056" t="str">
        <x:v>PTN Vokasi</x:v>
      </x:c>
      <x:c r="C4056" t="str">
        <x:v>POLITEKNIK NEGERI SRIWIJAYA</x:v>
      </x:c>
      <x:c r="D4056" t="str">
        <x:v>TEKNIK KOMPUTER</x:v>
      </x:c>
      <x:c r="E4056" t="str">
        <x:v>Diploma Tiga</x:v>
      </x:c>
      <x:c r="F4056" s="18" t="n">
        <x:v>77</x:v>
      </x:c>
      <x:c r="G4056" s="18" t="n">
        <x:v>906</x:v>
      </x:c>
      <x:c r="H4056" s="19" t="n">
        <x:v>11.766233766233766</x:v>
      </x:c>
      <x:c r="I4056" s="18" t="n">
        <x:f>ROUND(MIN(Model_Config_v3!$B$6,MAX(Q4056,R4056,S4056*Model_Config_v3!$B$4+T4056*Model_Config_v3!$B$5)),0)</x:f>
        <x:v>673</x:v>
      </x:c>
      <x:c r="J4056" s="18" t="n">
        <x:f>MIN(Model_Config_v3!$B$6,I4056+Model_Config_v3!$B$7)</x:f>
        <x:v>693</x:v>
      </x:c>
      <x:c r="K4056" s="20" t="n">
        <x:v>63.8</x:v>
      </x:c>
      <x:c r="L4056" t="str">
        <x:v>KETAT</x:v>
      </x:c>
      <x:c r="M4056" t="str">
        <x:v>SEDANG+</x:v>
      </x:c>
      <x:c r="N4056" t="str">
        <x:v>REGULER</x:v>
      </x:c>
      <x:c r="O4056" t="str">
        <x:v>SAINTEK</x:v>
      </x:c>
      <x:c r="P4056" t="str">
        <x:v>KOMPUTER/INFORMATIKA</x:v>
      </x:c>
      <x:c r="Q4056" s="18" t="n">
        <x:v>0</x:v>
      </x:c>
      <x:c r="R4056" s="18" t="n">
        <x:v>0</x:v>
      </x:c>
      <x:c r="S4056" s="18" t="n">
        <x:v>637.7701219754764</x:v>
      </x:c>
      <x:c r="T4056" s="18" t="n">
        <x:v>688</x:v>
      </x:c>
      <x:c r="U4056" s="18" t="n">
        <x:v>662.7701219754764</x:v>
      </x:c>
      <x:c r="V4056" s="20" t="n">
        <x:v>12</x:v>
      </x:c>
      <x:c r="W4056" s="20" t="n">
        <x:v>5</x:v>
      </x:c>
      <x:c r="X4056" s="20" t="n">
        <x:v>3</x:v>
      </x:c>
      <x:c r="Y4056" t="str">
        <x:v>Basis arsip 2025/2024</x:v>
      </x:c>
      <x:c r="Z4056" t="str">
        <x:v>https://snpmb.id/utbk-snbt/daya-tampung-snbt</x:v>
      </x:c>
      <x:c r="AA4056" t="str">
        <x:v>Tidak Ada</x:v>
      </x:c>
      <x:c r="AB4056" t="str">
        <x:v>Campus=55; Ratio=63.0; Prodi=85; RelDemand=82.1; Capacity=35.8</x:v>
      </x:c>
    </x:row>
    <x:row r="4057">
      <x:c r="A4057" t="n">
        <x:v>4054</x:v>
      </x:c>
      <x:c r="B4057" t="str">
        <x:v>PTN Vokasi</x:v>
      </x:c>
      <x:c r="C4057" t="str">
        <x:v>POLITEKNIK NEGERI SRIWIJAYA</x:v>
      </x:c>
      <x:c r="D4057" t="str">
        <x:v>TEKNIK ELEKTRONIKA</x:v>
      </x:c>
      <x:c r="E4057" t="str">
        <x:v>Diploma Tiga</x:v>
      </x:c>
      <x:c r="F4057" s="18" t="n">
        <x:v>58</x:v>
      </x:c>
      <x:c r="G4057" s="18" t="n">
        <x:v>252</x:v>
      </x:c>
      <x:c r="H4057" s="19" t="n">
        <x:v>4.344827586206897</x:v>
      </x:c>
      <x:c r="I4057" s="18" t="n">
        <x:f>ROUND(MIN(Model_Config_v3!$B$6,MAX(Q4057,R4057,S4057*Model_Config_v3!$B$4+T4057*Model_Config_v3!$B$5)),0)</x:f>
        <x:v>638</x:v>
      </x:c>
      <x:c r="J4057" s="18" t="n">
        <x:f>MIN(Model_Config_v3!$B$6,I4057+Model_Config_v3!$B$7)</x:f>
        <x:v>658</x:v>
      </x:c>
      <x:c r="K4057" s="20" t="n">
        <x:v>48.8</x:v>
      </x:c>
      <x:c r="L4057" t="str">
        <x:v>MENENGAH</x:v>
      </x:c>
      <x:c r="M4057" t="str">
        <x:v>SEDANG+</x:v>
      </x:c>
      <x:c r="N4057" t="str">
        <x:v>REGULER</x:v>
      </x:c>
      <x:c r="O4057" t="str">
        <x:v>SAINTEK</x:v>
      </x:c>
      <x:c r="P4057" t="str">
        <x:v>TEKNIK/ARSITEKTUR/STATISTIKA/AKTUARIA</x:v>
      </x:c>
      <x:c r="Q4057" s="18" t="n">
        <x:v>0</x:v>
      </x:c>
      <x:c r="R4057" s="18" t="n">
        <x:v>0</x:v>
      </x:c>
      <x:c r="S4057" s="18" t="n">
        <x:v>590.1769801940468</x:v>
      </x:c>
      <x:c r="T4057" s="18" t="n">
        <x:v>658</x:v>
      </x:c>
      <x:c r="U4057" s="18" t="n">
        <x:v>600.1769801940468</x:v>
      </x:c>
      <x:c r="V4057" s="20" t="n">
        <x:v>12</x:v>
      </x:c>
      <x:c r="W4057" s="20" t="n">
        <x:v>5</x:v>
      </x:c>
      <x:c r="X4057" s="20" t="n">
        <x:v>3</x:v>
      </x:c>
      <x:c r="Y4057" t="str">
        <x:v>Basis arsip 2025/2024</x:v>
      </x:c>
      <x:c r="Z4057" t="str">
        <x:v>https://snpmb.id/utbk-snbt/daya-tampung-snbt</x:v>
      </x:c>
      <x:c r="AA4057" t="str">
        <x:v>Tidak Ada</x:v>
      </x:c>
      <x:c r="AB4057" t="str">
        <x:v>Campus=55; Ratio=37.6; Prodi=60; RelDemand=30.3; Capacity=51.7</x:v>
      </x:c>
    </x:row>
    <x:row r="4058">
      <x:c r="A4058" t="n">
        <x:v>4055</x:v>
      </x:c>
      <x:c r="B4058" t="str">
        <x:v>PTN Vokasi</x:v>
      </x:c>
      <x:c r="C4058" t="str">
        <x:v>POLITEKNIK NEGERI SRIWIJAYA</x:v>
      </x:c>
      <x:c r="D4058" t="str">
        <x:v>TEKNIK KIMIA (KAMPUS KAB SIAK)</x:v>
      </x:c>
      <x:c r="E4058" t="str">
        <x:v>Diploma Tiga</x:v>
      </x:c>
      <x:c r="F4058" s="18" t="n">
        <x:v>10</x:v>
      </x:c>
      <x:c r="G4058" s="18" t="n">
        <x:v>7</x:v>
      </x:c>
      <x:c r="H4058" s="19" t="n">
        <x:v>0.7</x:v>
      </x:c>
      <x:c r="I4058" s="18" t="n">
        <x:f>ROUND(MIN(Model_Config_v3!$B$6,MAX(Q4058,R4058,S4058*Model_Config_v3!$B$4+T4058*Model_Config_v3!$B$5)),0)</x:f>
        <x:v>605</x:v>
      </x:c>
      <x:c r="J4058" s="18" t="n">
        <x:f>MIN(Model_Config_v3!$B$6,I4058+Model_Config_v3!$B$7)</x:f>
        <x:v>625</x:v>
      </x:c>
      <x:c r="K4058" s="20" t="n">
        <x:v>40.9</x:v>
      </x:c>
      <x:c r="L4058" t="str">
        <x:v>RELATIF LONGGAR</x:v>
      </x:c>
      <x:c r="M4058" t="str">
        <x:v>SEDANG+</x:v>
      </x:c>
      <x:c r="N4058" t="str">
        <x:v>REGULER</x:v>
      </x:c>
      <x:c r="O4058" t="str">
        <x:v>SAINTEK</x:v>
      </x:c>
      <x:c r="P4058" t="str">
        <x:v>TEKNIK/ARSITEKTUR/STATISTIKA/AKTUARIA</x:v>
      </x:c>
      <x:c r="Q4058" s="18" t="n">
        <x:v>0</x:v>
      </x:c>
      <x:c r="R4058" s="18" t="n">
        <x:v>0</x:v>
      </x:c>
      <x:c r="S4058" s="18" t="n">
        <x:v>520</x:v>
      </x:c>
      <x:c r="T4058" s="18" t="n">
        <x:v>642</x:v>
      </x:c>
      <x:c r="U4058" s="18" t="n">
        <x:v>530</x:v>
      </x:c>
      <x:c r="V4058" s="20" t="n">
        <x:v>12</x:v>
      </x:c>
      <x:c r="W4058" s="20" t="n">
        <x:v>5</x:v>
      </x:c>
      <x:c r="X4058" s="20" t="n">
        <x:v>3</x:v>
      </x:c>
      <x:c r="Y4058" t="str">
        <x:v>Basis arsip 2025/2024</x:v>
      </x:c>
      <x:c r="Z4058" t="str">
        <x:v>https://snpmb.id/utbk-snbt/daya-tampung-snbt</x:v>
      </x:c>
      <x:c r="AA4058" t="str">
        <x:v>Tidak Ada</x:v>
      </x:c>
      <x:c r="AB4058" t="str">
        <x:v>Campus=55; Ratio=0.0; Prodi=60; RelDemand=4.9; Capacity=91.7</x:v>
      </x:c>
    </x:row>
    <x:row r="4059">
      <x:c r="A4059" t="n">
        <x:v>4056</x:v>
      </x:c>
      <x:c r="B4059" t="str">
        <x:v>PTN Vokasi</x:v>
      </x:c>
      <x:c r="C4059" t="str">
        <x:v>POLITEKNIK NEGERI SRIWIJAYA</x:v>
      </x:c>
      <x:c r="D4059" t="str">
        <x:v>TEKNIK MESIN</x:v>
      </x:c>
      <x:c r="E4059" t="str">
        <x:v>Diploma Tiga</x:v>
      </x:c>
      <x:c r="F4059" s="18" t="n">
        <x:v>77</x:v>
      </x:c>
      <x:c r="G4059" s="18" t="n">
        <x:v>729</x:v>
      </x:c>
      <x:c r="H4059" s="19" t="n">
        <x:v>9.467532467532468</x:v>
      </x:c>
      <x:c r="I4059" s="18" t="n">
        <x:f>ROUND(MIN(Model_Config_v3!$B$6,MAX(Q4059,R4059,S4059*Model_Config_v3!$B$4+T4059*Model_Config_v3!$B$5)),0)</x:f>
        <x:v>659</x:v>
      </x:c>
      <x:c r="J4059" s="18" t="n">
        <x:f>MIN(Model_Config_v3!$B$6,I4059+Model_Config_v3!$B$7)</x:f>
        <x:v>679</x:v>
      </x:c>
      <x:c r="K4059" s="20" t="n">
        <x:v>55.8</x:v>
      </x:c>
      <x:c r="L4059" t="str">
        <x:v>KETAT</x:v>
      </x:c>
      <x:c r="M4059" t="str">
        <x:v>SEDANG+</x:v>
      </x:c>
      <x:c r="N4059" t="str">
        <x:v>REGULER</x:v>
      </x:c>
      <x:c r="O4059" t="str">
        <x:v>SAINTEK</x:v>
      </x:c>
      <x:c r="P4059" t="str">
        <x:v>TEKNIK/ARSITEKTUR/STATISTIKA/AKTUARIA</x:v>
      </x:c>
      <x:c r="Q4059" s="18" t="n">
        <x:v>0</x:v>
      </x:c>
      <x:c r="R4059" s="18" t="n">
        <x:v>0</x:v>
      </x:c>
      <x:c r="S4059" s="18" t="n">
        <x:v>627.3860483460041</x:v>
      </x:c>
      <x:c r="T4059" s="18" t="n">
        <x:v>672</x:v>
      </x:c>
      <x:c r="U4059" s="18" t="n">
        <x:v>637.3860483460041</x:v>
      </x:c>
      <x:c r="V4059" s="20" t="n">
        <x:v>12</x:v>
      </x:c>
      <x:c r="W4059" s="20" t="n">
        <x:v>5</x:v>
      </x:c>
      <x:c r="X4059" s="20" t="n">
        <x:v>3</x:v>
      </x:c>
      <x:c r="Y4059" t="str">
        <x:v>Basis arsip 2025/2024</x:v>
      </x:c>
      <x:c r="Z4059" t="str">
        <x:v>https://snpmb.id/utbk-snbt/daya-tampung-snbt</x:v>
      </x:c>
      <x:c r="AA4059" t="str">
        <x:v>Tidak Ada</x:v>
      </x:c>
      <x:c r="AB4059" t="str">
        <x:v>Campus=55; Ratio=57.5; Prodi=60; RelDemand=66.1; Capacity=35.8</x:v>
      </x:c>
    </x:row>
    <x:row r="4060">
      <x:c r="A4060" t="n">
        <x:v>4057</x:v>
      </x:c>
      <x:c r="B4060" t="str">
        <x:v>PTN Vokasi</x:v>
      </x:c>
      <x:c r="C4060" t="str">
        <x:v>POLITEKNIK NEGERI SRIWIJAYA</x:v>
      </x:c>
      <x:c r="D4060" t="str">
        <x:v>ADMINISTRASI BISNIS (KAMPUS KAB. OGAN KOMERING ULU)</x:v>
      </x:c>
      <x:c r="E4060" t="str">
        <x:v>Diploma Tiga</x:v>
      </x:c>
      <x:c r="F4060" s="18" t="n">
        <x:v>10</x:v>
      </x:c>
      <x:c r="G4060" s="18" t="n">
        <x:v>38</x:v>
      </x:c>
      <x:c r="H4060" s="19" t="n">
        <x:v>3.8</x:v>
      </x:c>
      <x:c r="I4060" s="18" t="n">
        <x:f>ROUND(MIN(Model_Config_v3!$B$6,MAX(Q4060,R4060,S4060*Model_Config_v3!$B$4+T4060*Model_Config_v3!$B$5)),0)</x:f>
        <x:v>641</x:v>
      </x:c>
      <x:c r="J4060" s="18" t="n">
        <x:f>MIN(Model_Config_v3!$B$6,I4060+Model_Config_v3!$B$7)</x:f>
        <x:v>661</x:v>
      </x:c>
      <x:c r="K4060" s="20" t="n">
        <x:v>52.6</x:v>
      </x:c>
      <x:c r="L4060" t="str">
        <x:v>MENENGAH</x:v>
      </x:c>
      <x:c r="M4060" t="str">
        <x:v>SEDANG+</x:v>
      </x:c>
      <x:c r="N4060" t="str">
        <x:v>REGULER</x:v>
      </x:c>
      <x:c r="O4060" t="str">
        <x:v>SOSHUM</x:v>
      </x:c>
      <x:c r="P4060" t="str">
        <x:v>BISNIS/EKONOMI/AKUNTANSI</x:v>
      </x:c>
      <x:c r="Q4060" s="18" t="n">
        <x:v>0</x:v>
      </x:c>
      <x:c r="R4060" s="18" t="n">
        <x:v>0</x:v>
      </x:c>
      <x:c r="S4060" s="18" t="n">
        <x:v>583.7761956278491</x:v>
      </x:c>
      <x:c r="T4060" s="18" t="n">
        <x:v>665</x:v>
      </x:c>
      <x:c r="U4060" s="18" t="n">
        <x:v>598.7761956278491</x:v>
      </x:c>
      <x:c r="V4060" s="20" t="n">
        <x:v>4.4</x:v>
      </x:c>
      <x:c r="W4060" s="20" t="n">
        <x:v>14.3</x:v>
      </x:c>
      <x:c r="X4060" s="20" t="n">
        <x:v>3.3</x:v>
      </x:c>
      <x:c r="Y4060" t="str">
        <x:v>Basis arsip 2025/2024</x:v>
      </x:c>
      <x:c r="Z4060" t="str">
        <x:v>https://snpmb.id/utbk-snbt/daya-tampung-snbt</x:v>
      </x:c>
      <x:c r="AA4060" t="str">
        <x:v>Tidak Ada</x:v>
      </x:c>
      <x:c r="AB4060" t="str">
        <x:v>Campus=55; Ratio=34.1; Prodi=65; RelDemand=26.5; Capacity=91.7</x:v>
      </x:c>
    </x:row>
    <x:row r="4061">
      <x:c r="A4061" t="n">
        <x:v>4058</x:v>
      </x:c>
      <x:c r="B4061" t="str">
        <x:v>PTN Vokasi</x:v>
      </x:c>
      <x:c r="C4061" t="str">
        <x:v>POLITEKNIK NEGERI SRIWIJAYA</x:v>
      </x:c>
      <x:c r="D4061" t="str">
        <x:v>AKUNTANSI</x:v>
      </x:c>
      <x:c r="E4061" t="str">
        <x:v>Diploma Tiga</x:v>
      </x:c>
      <x:c r="F4061" s="18" t="n">
        <x:v>87</x:v>
      </x:c>
      <x:c r="G4061" s="18" t="n">
        <x:v>890</x:v>
      </x:c>
      <x:c r="H4061" s="19" t="n">
        <x:v>10.229885057471265</x:v>
      </x:c>
      <x:c r="I4061" s="18" t="n">
        <x:f>ROUND(MIN(Model_Config_v3!$B$6,MAX(Q4061,R4061,S4061*Model_Config_v3!$B$4+T4061*Model_Config_v3!$B$5)),0)</x:f>
        <x:v>661</x:v>
      </x:c>
      <x:c r="J4061" s="18" t="n">
        <x:f>MIN(Model_Config_v3!$B$6,I4061+Model_Config_v3!$B$7)</x:f>
        <x:v>681</x:v>
      </x:c>
      <x:c r="K4061" s="20" t="n">
        <x:v>57</x:v>
      </x:c>
      <x:c r="L4061" t="str">
        <x:v>KETAT</x:v>
      </x:c>
      <x:c r="M4061" t="str">
        <x:v>SEDANG+</x:v>
      </x:c>
      <x:c r="N4061" t="str">
        <x:v>REGULER</x:v>
      </x:c>
      <x:c r="O4061" t="str">
        <x:v>SOSHUM</x:v>
      </x:c>
      <x:c r="P4061" t="str">
        <x:v>BISNIS/EKONOMI/AKUNTANSI</x:v>
      </x:c>
      <x:c r="Q4061" s="18" t="n">
        <x:v>0</x:v>
      </x:c>
      <x:c r="R4061" s="18" t="n">
        <x:v>0</x:v>
      </x:c>
      <x:c r="S4061" s="18" t="n">
        <x:v>631.0857829428924</x:v>
      </x:c>
      <x:c r="T4061" s="18" t="n">
        <x:v>674</x:v>
      </x:c>
      <x:c r="U4061" s="18" t="n">
        <x:v>631.0857829428924</x:v>
      </x:c>
      <x:c r="V4061" s="20" t="n">
        <x:v>4.4</x:v>
      </x:c>
      <x:c r="W4061" s="20" t="n">
        <x:v>14.3</x:v>
      </x:c>
      <x:c r="X4061" s="20" t="n">
        <x:v>3.3</x:v>
      </x:c>
      <x:c r="Y4061" t="str">
        <x:v>Basis arsip 2025/2024</x:v>
      </x:c>
      <x:c r="Z4061" t="str">
        <x:v>https://snpmb.id/utbk-snbt/daya-tampung-snbt</x:v>
      </x:c>
      <x:c r="AA4061" t="str">
        <x:v>Tidak Ada</x:v>
      </x:c>
      <x:c r="AB4061" t="str">
        <x:v>Campus=55; Ratio=59.4; Prodi=65; RelDemand=71.4; Capacity=27.5</x:v>
      </x:c>
    </x:row>
    <x:row r="4062">
      <x:c r="A4062" t="n">
        <x:v>4059</x:v>
      </x:c>
      <x:c r="B4062" t="str">
        <x:v>PTN Vokasi</x:v>
      </x:c>
      <x:c r="C4062" t="str">
        <x:v>POLITEKNIK NEGERI SRIWIJAYA</x:v>
      </x:c>
      <x:c r="D4062" t="str">
        <x:v>TEKNIK TELEKOMUNIKASI</x:v>
      </x:c>
      <x:c r="E4062" t="str">
        <x:v>Diploma Tiga</x:v>
      </x:c>
      <x:c r="F4062" s="18" t="n">
        <x:v>58</x:v>
      </x:c>
      <x:c r="G4062" s="18" t="n">
        <x:v>293</x:v>
      </x:c>
      <x:c r="H4062" s="19" t="n">
        <x:v>5.051724137931035</x:v>
      </x:c>
      <x:c r="I4062" s="18" t="n">
        <x:f>ROUND(MIN(Model_Config_v3!$B$6,MAX(Q4062,R4062,S4062*Model_Config_v3!$B$4+T4062*Model_Config_v3!$B$5)),0)</x:f>
        <x:v>642</x:v>
      </x:c>
      <x:c r="J4062" s="18" t="n">
        <x:f>MIN(Model_Config_v3!$B$6,I4062+Model_Config_v3!$B$7)</x:f>
        <x:v>662</x:v>
      </x:c>
      <x:c r="K4062" s="20" t="n">
        <x:v>50.3</x:v>
      </x:c>
      <x:c r="L4062" t="str">
        <x:v>MENENGAH</x:v>
      </x:c>
      <x:c r="M4062" t="str">
        <x:v>SEDANG+</x:v>
      </x:c>
      <x:c r="N4062" t="str">
        <x:v>REGULER</x:v>
      </x:c>
      <x:c r="O4062" t="str">
        <x:v>SAINTEK</x:v>
      </x:c>
      <x:c r="P4062" t="str">
        <x:v>TEKNIK/ARSITEKTUR/STATISTIKA/AKTUARIA</x:v>
      </x:c>
      <x:c r="Q4062" s="18" t="n">
        <x:v>0</x:v>
      </x:c>
      <x:c r="R4062" s="18" t="n">
        <x:v>0</x:v>
      </x:c>
      <x:c r="S4062" s="18" t="n">
        <x:v>597.3783589470289</x:v>
      </x:c>
      <x:c r="T4062" s="18" t="n">
        <x:v>661</x:v>
      </x:c>
      <x:c r="U4062" s="18" t="n">
        <x:v>607.3783589470289</x:v>
      </x:c>
      <x:c r="V4062" s="20" t="n">
        <x:v>12</x:v>
      </x:c>
      <x:c r="W4062" s="20" t="n">
        <x:v>5</x:v>
      </x:c>
      <x:c r="X4062" s="20" t="n">
        <x:v>3</x:v>
      </x:c>
      <x:c r="Y4062" t="str">
        <x:v>Basis arsip 2025/2024</x:v>
      </x:c>
      <x:c r="Z4062" t="str">
        <x:v>https://snpmb.id/utbk-snbt/daya-tampung-snbt</x:v>
      </x:c>
      <x:c r="AA4062" t="str">
        <x:v>Tidak Ada</x:v>
      </x:c>
      <x:c r="AB4062" t="str">
        <x:v>Campus=55; Ratio=41.4; Prodi=60; RelDemand=35.3; Capacity=51.7</x:v>
      </x:c>
    </x:row>
    <x:row r="4063">
      <x:c r="A4063" t="n">
        <x:v>4060</x:v>
      </x:c>
      <x:c r="B4063" t="str">
        <x:v>PTN Vokasi</x:v>
      </x:c>
      <x:c r="C4063" t="str">
        <x:v>POLITEKNIK NEGERI SRIWIJAYA</x:v>
      </x:c>
      <x:c r="D4063" t="str">
        <x:v>TEKNIK LISTRIK</x:v>
      </x:c>
      <x:c r="E4063" t="str">
        <x:v>Diploma Tiga</x:v>
      </x:c>
      <x:c r="F4063" s="18" t="n">
        <x:v>58</x:v>
      </x:c>
      <x:c r="G4063" s="18" t="n">
        <x:v>344</x:v>
      </x:c>
      <x:c r="H4063" s="19" t="n">
        <x:v>5.931034482758621</x:v>
      </x:c>
      <x:c r="I4063" s="18" t="n">
        <x:f>ROUND(MIN(Model_Config_v3!$B$6,MAX(Q4063,R4063,S4063*Model_Config_v3!$B$4+T4063*Model_Config_v3!$B$5)),0)</x:f>
        <x:v>646</x:v>
      </x:c>
      <x:c r="J4063" s="18" t="n">
        <x:f>MIN(Model_Config_v3!$B$6,I4063+Model_Config_v3!$B$7)</x:f>
        <x:v>666</x:v>
      </x:c>
      <x:c r="K4063" s="20" t="n">
        <x:v>51.9</x:v>
      </x:c>
      <x:c r="L4063" t="str">
        <x:v>MENENGAH</x:v>
      </x:c>
      <x:c r="M4063" t="str">
        <x:v>SEDANG+</x:v>
      </x:c>
      <x:c r="N4063" t="str">
        <x:v>REGULER</x:v>
      </x:c>
      <x:c r="O4063" t="str">
        <x:v>SAINTEK</x:v>
      </x:c>
      <x:c r="P4063" t="str">
        <x:v>TEKNIK/ARSITEKTUR/STATISTIKA/AKTUARIA</x:v>
      </x:c>
      <x:c r="Q4063" s="18" t="n">
        <x:v>0</x:v>
      </x:c>
      <x:c r="R4063" s="18" t="n">
        <x:v>0</x:v>
      </x:c>
      <x:c r="S4063" s="18" t="n">
        <x:v>605.0443493909452</x:v>
      </x:c>
      <x:c r="T4063" s="18" t="n">
        <x:v>664</x:v>
      </x:c>
      <x:c r="U4063" s="18" t="n">
        <x:v>615.0443493909452</x:v>
      </x:c>
      <x:c r="V4063" s="20" t="n">
        <x:v>12</x:v>
      </x:c>
      <x:c r="W4063" s="20" t="n">
        <x:v>5</x:v>
      </x:c>
      <x:c r="X4063" s="20" t="n">
        <x:v>3</x:v>
      </x:c>
      <x:c r="Y4063" t="str">
        <x:v>Basis arsip 2025/2024</x:v>
      </x:c>
      <x:c r="Z4063" t="str">
        <x:v>https://snpmb.id/utbk-snbt/daya-tampung-snbt</x:v>
      </x:c>
      <x:c r="AA4063" t="str">
        <x:v>Tidak Ada</x:v>
      </x:c>
      <x:c r="AB4063" t="str">
        <x:v>Campus=55; Ratio=45.5; Prodi=60; RelDemand=41.4; Capacity=51.7</x:v>
      </x:c>
    </x:row>
    <x:row r="4064">
      <x:c r="A4064" t="n">
        <x:v>4061</x:v>
      </x:c>
      <x:c r="B4064" t="str">
        <x:v>PTN Vokasi</x:v>
      </x:c>
      <x:c r="C4064" t="str">
        <x:v>POLITEKNIK NEGERI SRIWIJAYA</x:v>
      </x:c>
      <x:c r="D4064" t="str">
        <x:v>TEKNOLOGI PANGAN</x:v>
      </x:c>
      <x:c r="E4064" t="str">
        <x:v>Diploma Tiga</x:v>
      </x:c>
      <x:c r="F4064" s="18" t="n">
        <x:v>20</x:v>
      </x:c>
      <x:c r="G4064" s="18" t="n">
        <x:v>383</x:v>
      </x:c>
      <x:c r="H4064" s="19" t="n">
        <x:v>19.15</x:v>
      </x:c>
      <x:c r="I4064" s="18" t="n">
        <x:f>ROUND(MIN(Model_Config_v3!$B$6,MAX(Q4064,R4064,S4064*Model_Config_v3!$B$4+T4064*Model_Config_v3!$B$5)),0)</x:f>
        <x:v>681</x:v>
      </x:c>
      <x:c r="J4064" s="18" t="n">
        <x:f>MIN(Model_Config_v3!$B$6,I4064+Model_Config_v3!$B$7)</x:f>
        <x:v>701</x:v>
      </x:c>
      <x:c r="K4064" s="20" t="n">
        <x:v>64.5</x:v>
      </x:c>
      <x:c r="L4064" t="str">
        <x:v>KETAT</x:v>
      </x:c>
      <x:c r="M4064" t="str">
        <x:v>SEDANG</x:v>
      </x:c>
      <x:c r="N4064" t="str">
        <x:v>REGULER</x:v>
      </x:c>
      <x:c r="O4064" t="str">
        <x:v>SAINTEK</x:v>
      </x:c>
      <x:c r="P4064" t="str">
        <x:v>UMUM</x:v>
      </x:c>
      <x:c r="Q4064" s="18" t="n">
        <x:v>0</x:v>
      </x:c>
      <x:c r="R4064" s="18" t="n">
        <x:v>0</x:v>
      </x:c>
      <x:c r="S4064" s="18" t="n">
        <x:v>661.0385656135105</x:v>
      </x:c>
      <x:c r="T4064" s="18" t="n">
        <x:v>689</x:v>
      </x:c>
      <x:c r="U4064" s="18" t="n">
        <x:v>661.0385656135105</x:v>
      </x:c>
      <x:c r="V4064" s="20" t="n">
        <x:v>12</x:v>
      </x:c>
      <x:c r="W4064" s="20" t="n">
        <x:v>5</x:v>
      </x:c>
      <x:c r="X4064" s="20" t="n">
        <x:v>3</x:v>
      </x:c>
      <x:c r="Y4064" t="str">
        <x:v>Basis arsip 2025/2024</x:v>
      </x:c>
      <x:c r="Z4064" t="str">
        <x:v>https://snpmb.id/utbk-snbt/daya-tampung-snbt</x:v>
      </x:c>
      <x:c r="AA4064" t="str">
        <x:v>Tidak Ada</x:v>
      </x:c>
      <x:c r="AB4064" t="str">
        <x:v>Campus=55; Ratio=75.5; Prodi=40; RelDemand=100.0; Capacity=83.3</x:v>
      </x:c>
    </x:row>
    <x:row r="4065">
      <x:c r="A4065" t="n">
        <x:v>4062</x:v>
      </x:c>
      <x:c r="B4065" t="str">
        <x:v>PTN Vokasi</x:v>
      </x:c>
      <x:c r="C4065" t="str">
        <x:v>POLITEKNIK NEGERI SRIWIJAYA</x:v>
      </x:c>
      <x:c r="D4065" t="str">
        <x:v>BAHASA INGGRIS</x:v>
      </x:c>
      <x:c r="E4065" t="str">
        <x:v>Diploma Tiga</x:v>
      </x:c>
      <x:c r="F4065" s="18" t="n">
        <x:v>39</x:v>
      </x:c>
      <x:c r="G4065" s="18" t="n">
        <x:v>327</x:v>
      </x:c>
      <x:c r="H4065" s="19" t="n">
        <x:v>8.384615384615385</x:v>
      </x:c>
      <x:c r="I4065" s="18" t="n">
        <x:f>ROUND(MIN(Model_Config_v3!$B$6,MAX(Q4065,R4065,S4065*Model_Config_v3!$B$4+T4065*Model_Config_v3!$B$5)),0)</x:f>
        <x:v>653</x:v>
      </x:c>
      <x:c r="J4065" s="18" t="n">
        <x:f>MIN(Model_Config_v3!$B$6,I4065+Model_Config_v3!$B$7)</x:f>
        <x:v>673</x:v>
      </x:c>
      <x:c r="K4065" s="20" t="n">
        <x:v>53.4</x:v>
      </x:c>
      <x:c r="L4065" t="str">
        <x:v>MENENGAH</x:v>
      </x:c>
      <x:c r="M4065" t="str">
        <x:v>SEDANG</x:v>
      </x:c>
      <x:c r="N4065" t="str">
        <x:v>REGULER</x:v>
      </x:c>
      <x:c r="O4065" t="str">
        <x:v>SOSHUM</x:v>
      </x:c>
      <x:c r="P4065" t="str">
        <x:v>UMUM</x:v>
      </x:c>
      <x:c r="Q4065" s="18" t="n">
        <x:v>0</x:v>
      </x:c>
      <x:c r="R4065" s="18" t="n">
        <x:v>0</x:v>
      </x:c>
      <x:c r="S4065" s="18" t="n">
        <x:v>621.5831460197165</x:v>
      </x:c>
      <x:c r="T4065" s="18" t="n">
        <x:v>667</x:v>
      </x:c>
      <x:c r="U4065" s="18" t="n">
        <x:v>621.5831460197165</x:v>
      </x:c>
      <x:c r="V4065" s="20" t="n">
        <x:v>4.4</x:v>
      </x:c>
      <x:c r="W4065" s="20" t="n">
        <x:v>14.3</x:v>
      </x:c>
      <x:c r="X4065" s="20" t="n">
        <x:v>3.3</x:v>
      </x:c>
      <x:c r="Y4065" t="str">
        <x:v>Basis arsip 2025/2024</x:v>
      </x:c>
      <x:c r="Z4065" t="str">
        <x:v>https://snpmb.id/utbk-snbt/daya-tampung-snbt</x:v>
      </x:c>
      <x:c r="AA4065" t="str">
        <x:v>Tidak Ada</x:v>
      </x:c>
      <x:c r="AB4065" t="str">
        <x:v>Campus=55; Ratio=54.4; Prodi=40; RelDemand=58.5; Capacity=67.5</x:v>
      </x:c>
    </x:row>
    <x:row r="4066">
      <x:c r="A4066" t="n">
        <x:v>4063</x:v>
      </x:c>
      <x:c r="B4066" t="str">
        <x:v>PTN Vokasi</x:v>
      </x:c>
      <x:c r="C4066" t="str">
        <x:v>POLITEKNIK NEGERI SRIWIJAYA</x:v>
      </x:c>
      <x:c r="D4066" t="str">
        <x:v>MANAJEMEN INFORMATIKA</x:v>
      </x:c>
      <x:c r="E4066" t="str">
        <x:v>Diploma Tiga</x:v>
      </x:c>
      <x:c r="F4066" s="18" t="n">
        <x:v>87</x:v>
      </x:c>
      <x:c r="G4066" s="18" t="n">
        <x:v>781</x:v>
      </x:c>
      <x:c r="H4066" s="19" t="n">
        <x:v>8.977011494252874</x:v>
      </x:c>
      <x:c r="I4066" s="18" t="n">
        <x:f>ROUND(MIN(Model_Config_v3!$B$6,MAX(Q4066,R4066,S4066*Model_Config_v3!$B$4+T4066*Model_Config_v3!$B$5)),0)</x:f>
        <x:v>663</x:v>
      </x:c>
      <x:c r="J4066" s="18" t="n">
        <x:f>MIN(Model_Config_v3!$B$6,I4066+Model_Config_v3!$B$7)</x:f>
        <x:v>683</x:v>
      </x:c>
      <x:c r="K4066" s="20" t="n">
        <x:v>59.3</x:v>
      </x:c>
      <x:c r="L4066" t="str">
        <x:v>KETAT</x:v>
      </x:c>
      <x:c r="M4066" t="str">
        <x:v>SEDANG+</x:v>
      </x:c>
      <x:c r="N4066" t="str">
        <x:v>REGULER</x:v>
      </x:c>
      <x:c r="O4066" t="str">
        <x:v>SAINTEK</x:v>
      </x:c>
      <x:c r="P4066" t="str">
        <x:v>KOMPUTER/INFORMATIKA</x:v>
      </x:c>
      <x:c r="Q4066" s="18" t="n">
        <x:v>0</x:v>
      </x:c>
      <x:c r="R4066" s="18" t="n">
        <x:v>0</x:v>
      </x:c>
      <x:c r="S4066" s="18" t="n">
        <x:v>624.844495938455</x:v>
      </x:c>
      <x:c r="T4066" s="18" t="n">
        <x:v>679</x:v>
      </x:c>
      <x:c r="U4066" s="18" t="n">
        <x:v>649.844495938455</x:v>
      </x:c>
      <x:c r="V4066" s="20" t="n">
        <x:v>12</x:v>
      </x:c>
      <x:c r="W4066" s="20" t="n">
        <x:v>5</x:v>
      </x:c>
      <x:c r="X4066" s="20" t="n">
        <x:v>3</x:v>
      </x:c>
      <x:c r="Y4066" t="str">
        <x:v>Basis arsip 2025/2024</x:v>
      </x:c>
      <x:c r="Z4066" t="str">
        <x:v>https://snpmb.id/utbk-snbt/daya-tampung-snbt</x:v>
      </x:c>
      <x:c r="AA4066" t="str">
        <x:v>Tidak Ada</x:v>
      </x:c>
      <x:c r="AB4066" t="str">
        <x:v>Campus=55; Ratio=56.1; Prodi=85; RelDemand=62.7; Capacity=27.5</x:v>
      </x:c>
    </x:row>
    <x:row r="4067">
      <x:c r="A4067" t="n">
        <x:v>4064</x:v>
      </x:c>
      <x:c r="B4067" t="str">
        <x:v>PTN Vokasi</x:v>
      </x:c>
      <x:c r="C4067" t="str">
        <x:v>POLITEKNIK NEGERI SRIWIJAYA</x:v>
      </x:c>
      <x:c r="D4067" t="str">
        <x:v>TEKNIK SIPIL</x:v>
      </x:c>
      <x:c r="E4067" t="str">
        <x:v>Diploma Tiga</x:v>
      </x:c>
      <x:c r="F4067" s="18" t="n">
        <x:v>87</x:v>
      </x:c>
      <x:c r="G4067" s="18" t="n">
        <x:v>1232</x:v>
      </x:c>
      <x:c r="H4067" s="19" t="n">
        <x:v>14.160919540229886</x:v>
      </x:c>
      <x:c r="I4067" s="18" t="n">
        <x:f>ROUND(MIN(Model_Config_v3!$B$6,MAX(Q4067,R4067,S4067*Model_Config_v3!$B$4+T4067*Model_Config_v3!$B$5)),0)</x:f>
        <x:v>671</x:v>
      </x:c>
      <x:c r="J4067" s="18" t="n">
        <x:f>MIN(Model_Config_v3!$B$6,I4067+Model_Config_v3!$B$7)</x:f>
        <x:v>691</x:v>
      </x:c>
      <x:c r="K4067" s="20" t="n">
        <x:v>60.8</x:v>
      </x:c>
      <x:c r="L4067" t="str">
        <x:v>KETAT</x:v>
      </x:c>
      <x:c r="M4067" t="str">
        <x:v>SEDANG+</x:v>
      </x:c>
      <x:c r="N4067" t="str">
        <x:v>REGULER</x:v>
      </x:c>
      <x:c r="O4067" t="str">
        <x:v>SAINTEK</x:v>
      </x:c>
      <x:c r="P4067" t="str">
        <x:v>TEKNIK/ARSITEKTUR/STATISTIKA/AKTUARIA</x:v>
      </x:c>
      <x:c r="Q4067" s="18" t="n">
        <x:v>0</x:v>
      </x:c>
      <x:c r="R4067" s="18" t="n">
        <x:v>0</x:v>
      </x:c>
      <x:c r="S4067" s="18" t="n">
        <x:v>646.6200600730767</x:v>
      </x:c>
      <x:c r="T4067" s="18" t="n">
        <x:v>682</x:v>
      </x:c>
      <x:c r="U4067" s="18" t="n">
        <x:v>656.6200600730767</x:v>
      </x:c>
      <x:c r="V4067" s="20" t="n">
        <x:v>12</x:v>
      </x:c>
      <x:c r="W4067" s="20" t="n">
        <x:v>5</x:v>
      </x:c>
      <x:c r="X4067" s="20" t="n">
        <x:v>3</x:v>
      </x:c>
      <x:c r="Y4067" t="str">
        <x:v>Basis arsip 2025/2024</x:v>
      </x:c>
      <x:c r="Z4067" t="str">
        <x:v>https://snpmb.id/utbk-snbt/daya-tampung-snbt</x:v>
      </x:c>
      <x:c r="AA4067" t="str">
        <x:v>Tidak Ada</x:v>
      </x:c>
      <x:c r="AB4067" t="str">
        <x:v>Campus=55; Ratio=67.8; Prodi=60; RelDemand=98.9; Capacity=27.5</x:v>
      </x:c>
    </x:row>
    <x:row r="4068">
      <x:c r="A4068" t="n">
        <x:v>4065</x:v>
      </x:c>
      <x:c r="B4068" t="str">
        <x:v>PTN Vokasi</x:v>
      </x:c>
      <x:c r="C4068" t="str">
        <x:v>POLITEKNIK NEGERI SRIWIJAYA</x:v>
      </x:c>
      <x:c r="D4068" t="str">
        <x:v>TEKNIK KIMIA</x:v>
      </x:c>
      <x:c r="E4068" t="str">
        <x:v>Diploma Tiga</x:v>
      </x:c>
      <x:c r="F4068" s="18" t="n">
        <x:v>58</x:v>
      </x:c>
      <x:c r="G4068" s="18" t="n">
        <x:v>503</x:v>
      </x:c>
      <x:c r="H4068" s="19" t="n">
        <x:v>8.672413793103448</x:v>
      </x:c>
      <x:c r="I4068" s="18" t="n">
        <x:f>ROUND(MIN(Model_Config_v3!$B$6,MAX(Q4068,R4068,S4068*Model_Config_v3!$B$4+T4068*Model_Config_v3!$B$5)),0)</x:f>
        <x:v>658</x:v>
      </x:c>
      <x:c r="J4068" s="18" t="n">
        <x:f>MIN(Model_Config_v3!$B$6,I4068+Model_Config_v3!$B$7)</x:f>
        <x:v>678</x:v>
      </x:c>
      <x:c r="K4068" s="20" t="n">
        <x:v>56.3</x:v>
      </x:c>
      <x:c r="L4068" t="str">
        <x:v>KETAT</x:v>
      </x:c>
      <x:c r="M4068" t="str">
        <x:v>SEDANG+</x:v>
      </x:c>
      <x:c r="N4068" t="str">
        <x:v>REGULER</x:v>
      </x:c>
      <x:c r="O4068" t="str">
        <x:v>SAINTEK</x:v>
      </x:c>
      <x:c r="P4068" t="str">
        <x:v>TEKNIK/ARSITEKTUR/STATISTIKA/AKTUARIA</x:v>
      </x:c>
      <x:c r="Q4068" s="18" t="n">
        <x:v>0</x:v>
      </x:c>
      <x:c r="R4068" s="18" t="n">
        <x:v>0</x:v>
      </x:c>
      <x:c r="S4068" s="18" t="n">
        <x:v>623.1953990642289</x:v>
      </x:c>
      <x:c r="T4068" s="18" t="n">
        <x:v>673</x:v>
      </x:c>
      <x:c r="U4068" s="18" t="n">
        <x:v>633.1953990642289</x:v>
      </x:c>
      <x:c r="V4068" s="20" t="n">
        <x:v>12</x:v>
      </x:c>
      <x:c r="W4068" s="20" t="n">
        <x:v>5</x:v>
      </x:c>
      <x:c r="X4068" s="20" t="n">
        <x:v>3</x:v>
      </x:c>
      <x:c r="Y4068" t="str">
        <x:v>Basis arsip 2025/2024</x:v>
      </x:c>
      <x:c r="Z4068" t="str">
        <x:v>https://snpmb.id/utbk-snbt/daya-tampung-snbt</x:v>
      </x:c>
      <x:c r="AA4068" t="str">
        <x:v>Tidak Ada</x:v>
      </x:c>
      <x:c r="AB4068" t="str">
        <x:v>Campus=55; Ratio=55.2; Prodi=60; RelDemand=60.5; Capacity=51.7</x:v>
      </x:c>
    </x:row>
    <x:row r="4069">
      <x:c r="A4069" t="n">
        <x:v>4066</x:v>
      </x:c>
      <x:c r="B4069" t="str">
        <x:v>PTN Vokasi</x:v>
      </x:c>
      <x:c r="C4069" t="str">
        <x:v>POLITEKNIK NEGERI SRIWIJAYA</x:v>
      </x:c>
      <x:c r="D4069" t="str">
        <x:v>ADMINISTRASI BISNIS</x:v>
      </x:c>
      <x:c r="E4069" t="str">
        <x:v>Diploma Tiga</x:v>
      </x:c>
      <x:c r="F4069" s="18" t="n">
        <x:v>68</x:v>
      </x:c>
      <x:c r="G4069" s="18" t="n">
        <x:v>1407</x:v>
      </x:c>
      <x:c r="H4069" s="19" t="n">
        <x:v>20.691176470588236</x:v>
      </x:c>
      <x:c r="I4069" s="18" t="n">
        <x:f>ROUND(MIN(Model_Config_v3!$B$6,MAX(Q4069,R4069,S4069*Model_Config_v3!$B$4+T4069*Model_Config_v3!$B$5)),0)</x:f>
        <x:v>684</x:v>
      </x:c>
      <x:c r="J4069" s="18" t="n">
        <x:f>MIN(Model_Config_v3!$B$6,I4069+Model_Config_v3!$B$7)</x:f>
        <x:v>704</x:v>
      </x:c>
      <x:c r="K4069" s="20" t="n">
        <x:v>65.9</x:v>
      </x:c>
      <x:c r="L4069" t="str">
        <x:v>SANGAT KETAT</x:v>
      </x:c>
      <x:c r="M4069" t="str">
        <x:v>SEDANG+</x:v>
      </x:c>
      <x:c r="N4069" t="str">
        <x:v>REGULER</x:v>
      </x:c>
      <x:c r="O4069" t="str">
        <x:v>SOSHUM</x:v>
      </x:c>
      <x:c r="P4069" t="str">
        <x:v>BISNIS/EKONOMI/AKUNTANSI</x:v>
      </x:c>
      <x:c r="Q4069" s="18" t="n">
        <x:v>0</x:v>
      </x:c>
      <x:c r="R4069" s="18" t="n">
        <x:v>0</x:v>
      </x:c>
      <x:c r="S4069" s="18" t="n">
        <x:v>664.7363703201361</x:v>
      </x:c>
      <x:c r="T4069" s="18" t="n">
        <x:v>692</x:v>
      </x:c>
      <x:c r="U4069" s="18" t="n">
        <x:v>679.7363703201361</x:v>
      </x:c>
      <x:c r="V4069" s="20" t="n">
        <x:v>4.4</x:v>
      </x:c>
      <x:c r="W4069" s="20" t="n">
        <x:v>14.3</x:v>
      </x:c>
      <x:c r="X4069" s="20" t="n">
        <x:v>3.3</x:v>
      </x:c>
      <x:c r="Y4069" t="str">
        <x:v>Basis arsip 2025/2024</x:v>
      </x:c>
      <x:c r="Z4069" t="str">
        <x:v>https://snpmb.id/utbk-snbt/daya-tampung-snbt</x:v>
      </x:c>
      <x:c r="AA4069" t="str">
        <x:v>Tidak Ada</x:v>
      </x:c>
      <x:c r="AB4069" t="str">
        <x:v>Campus=55; Ratio=77.4; Prodi=65; RelDemand=100.0; Capacity=43.3</x:v>
      </x:c>
    </x:row>
    <x:row r="4070">
      <x:c r="A4070" t="n">
        <x:v>4067</x:v>
      </x:c>
      <x:c r="B4070" t="str">
        <x:v>PTN Vokasi</x:v>
      </x:c>
      <x:c r="C4070" t="str">
        <x:v>POLITEKNIK NEGERI SRIWIJAYA</x:v>
      </x:c>
      <x:c r="D4070" t="str">
        <x:v>ADMINISTRASI BISNIS KAMPUS BANYUASIN</x:v>
      </x:c>
      <x:c r="E4070" t="str">
        <x:v>Diploma Tiga</x:v>
      </x:c>
      <x:c r="F4070" s="18" t="n">
        <x:v>10</x:v>
      </x:c>
      <x:c r="G4070" s="18" t="n">
        <x:v>36</x:v>
      </x:c>
      <x:c r="H4070" s="19" t="n">
        <x:v>3.6</x:v>
      </x:c>
      <x:c r="I4070" s="18" t="n">
        <x:f>ROUND(MIN(Model_Config_v3!$B$6,MAX(Q4070,R4070,S4070*Model_Config_v3!$B$4+T4070*Model_Config_v3!$B$5)),0)</x:f>
        <x:v>639</x:v>
      </x:c>
      <x:c r="J4070" s="18" t="n">
        <x:f>MIN(Model_Config_v3!$B$6,I4070+Model_Config_v3!$B$7)</x:f>
        <x:v>659</x:v>
      </x:c>
      <x:c r="K4070" s="20" t="n">
        <x:v>52.1</x:v>
      </x:c>
      <x:c r="L4070" t="str">
        <x:v>MENENGAH</x:v>
      </x:c>
      <x:c r="M4070" t="str">
        <x:v>SEDANG+</x:v>
      </x:c>
      <x:c r="N4070" t="str">
        <x:v>REGULER</x:v>
      </x:c>
      <x:c r="O4070" t="str">
        <x:v>SOSHUM</x:v>
      </x:c>
      <x:c r="P4070" t="str">
        <x:v>BISNIS/EKONOMI/AKUNTANSI</x:v>
      </x:c>
      <x:c r="Q4070" s="18" t="n">
        <x:v>0</x:v>
      </x:c>
      <x:c r="R4070" s="18" t="n">
        <x:v>0</x:v>
      </x:c>
      <x:c r="S4070" s="18" t="n">
        <x:v>581.1932750844015</x:v>
      </x:c>
      <x:c r="T4070" s="18" t="n">
        <x:v>664</x:v>
      </x:c>
      <x:c r="U4070" s="18" t="n">
        <x:v>596.1932750844015</x:v>
      </x:c>
      <x:c r="V4070" s="20" t="n">
        <x:v>4.4</x:v>
      </x:c>
      <x:c r="W4070" s="20" t="n">
        <x:v>14.3</x:v>
      </x:c>
      <x:c r="X4070" s="20" t="n">
        <x:v>3.3</x:v>
      </x:c>
      <x:c r="Y4070" t="str">
        <x:v>Basis arsip 2025/2024</x:v>
      </x:c>
      <x:c r="Z4070" t="str">
        <x:v>https://snpmb.id/utbk-snbt/daya-tampung-snbt</x:v>
      </x:c>
      <x:c r="AA4070" t="str">
        <x:v>Tidak Ada</x:v>
      </x:c>
      <x:c r="AB4070" t="str">
        <x:v>Campus=55; Ratio=32.7; Prodi=65; RelDemand=25.1; Capacity=91.7</x:v>
      </x:c>
    </x:row>
    <x:row r="4071">
      <x:c r="A4071" t="n">
        <x:v>4068</x:v>
      </x:c>
      <x:c r="B4071" t="str">
        <x:v>PTN Vokasi</x:v>
      </x:c>
      <x:c r="C4071" t="str">
        <x:v>POLITEKNIK NEGERI SRIWIJAYA</x:v>
      </x:c>
      <x:c r="D4071" t="str">
        <x:v>PEMELIHARAAN ALAT BERAT</x:v>
      </x:c>
      <x:c r="E4071" t="str">
        <x:v>Diploma Tiga</x:v>
      </x:c>
      <x:c r="F4071" s="18" t="n">
        <x:v>10</x:v>
      </x:c>
      <x:c r="G4071" s="18"/>
      <x:c r="H4071" s="19" t="n">
        <x:v>0</x:v>
      </x:c>
      <x:c r="I4071" s="18" t="n">
        <x:f>ROUND(MIN(Model_Config_v3!$B$6,MAX(Q4071,R4071,S4071*Model_Config_v3!$B$4+T4071*Model_Config_v3!$B$5)),0)</x:f>
        <x:v>599</x:v>
      </x:c>
      <x:c r="J4071" s="18" t="n">
        <x:f>MIN(Model_Config_v3!$B$6,I4071+Model_Config_v3!$B$7)</x:f>
        <x:v>619</x:v>
      </x:c>
      <x:c r="K4071" s="20" t="n">
        <x:v>36.4</x:v>
      </x:c>
      <x:c r="L4071" t="str">
        <x:v>RELATIF LONGGAR</x:v>
      </x:c>
      <x:c r="M4071" t="str">
        <x:v>RENDAH</x:v>
      </x:c>
      <x:c r="N4071" t="str">
        <x:v>REGULER</x:v>
      </x:c>
      <x:c r="O4071" t="str">
        <x:v>CAMPURAN</x:v>
      </x:c>
      <x:c r="P4071" t="str">
        <x:v>UMUM</x:v>
      </x:c>
      <x:c r="Q4071" s="18" t="n">
        <x:v>0</x:v>
      </x:c>
      <x:c r="R4071" s="18" t="n">
        <x:v>0</x:v>
      </x:c>
      <x:c r="S4071" s="18" t="n">
        <x:v>520</x:v>
      </x:c>
      <x:c r="T4071" s="18" t="n">
        <x:v>633</x:v>
      </x:c>
      <x:c r="U4071" s="18" t="n">
        <x:v>520</x:v>
      </x:c>
      <x:c r="V4071" s="20" t="n">
        <x:v>8.8</x:v>
      </x:c>
      <x:c r="W4071" s="20" t="n">
        <x:v>9.9</x:v>
      </x:c>
      <x:c r="X4071" s="20" t="n">
        <x:v>3.3</x:v>
      </x:c>
      <x:c r="Y4071" t="str">
        <x:v>Basis arsip 2025/2024</x:v>
      </x:c>
      <x:c r="Z4071" t="str">
        <x:v>https://snpmb.id/utbk-snbt/daya-tampung-snbt</x:v>
      </x:c>
      <x:c r="AA4071" t="str">
        <x:v>Tidak Ada</x:v>
      </x:c>
      <x:c r="AB4071" t="str">
        <x:v>Campus=55; Ratio=0.0; Prodi=40; RelDemand=0.0; Capacity=91.7</x:v>
      </x:c>
    </x:row>
    <x:row r="4072">
      <x:c r="A4072" t="n">
        <x:v>4069</x:v>
      </x:c>
      <x:c r="B4072" t="str">
        <x:v>PTN Vokasi</x:v>
      </x:c>
      <x:c r="C4072" t="str">
        <x:v>POLITEKNIK MANUFAKTUR NEGERI BANGKA BELITUNG</x:v>
      </x:c>
      <x:c r="D4072" t="str">
        <x:v>TEKNIK MESIN DAN MANUFAKTUR</x:v>
      </x:c>
      <x:c r="E4072" t="str">
        <x:v>Sarjana Terapan</x:v>
      </x:c>
      <x:c r="F4072" s="18" t="n">
        <x:v>24</x:v>
      </x:c>
      <x:c r="G4072" s="18" t="n">
        <x:v>82</x:v>
      </x:c>
      <x:c r="H4072" s="19" t="n">
        <x:v>3.4166666666666665</x:v>
      </x:c>
      <x:c r="I4072" s="18" t="n">
        <x:f>ROUND(MIN(Model_Config_v3!$B$6,MAX(Q4072,R4072,S4072*Model_Config_v3!$B$4+T4072*Model_Config_v3!$B$5)),0)</x:f>
        <x:v>640</x:v>
      </x:c>
      <x:c r="J4072" s="18" t="n">
        <x:f>MIN(Model_Config_v3!$B$6,I4072+Model_Config_v3!$B$7)</x:f>
        <x:v>660</x:v>
      </x:c>
      <x:c r="K4072" s="20" t="n">
        <x:v>53.1</x:v>
      </x:c>
      <x:c r="L4072" t="str">
        <x:v>MENENGAH</x:v>
      </x:c>
      <x:c r="M4072" t="str">
        <x:v>SEDANG+</x:v>
      </x:c>
      <x:c r="N4072" t="str">
        <x:v>REGULER</x:v>
      </x:c>
      <x:c r="O4072" t="str">
        <x:v>SAINTEK</x:v>
      </x:c>
      <x:c r="P4072" t="str">
        <x:v>TEKNIK/ARSITEKTUR/STATISTIKA/AKTUARIA</x:v>
      </x:c>
      <x:c r="Q4072" s="18" t="n">
        <x:v>0</x:v>
      </x:c>
      <x:c r="R4072" s="18" t="n">
        <x:v>0</x:v>
      </x:c>
      <x:c r="S4072" s="18" t="n">
        <x:v>578.6962871739322</x:v>
      </x:c>
      <x:c r="T4072" s="18" t="n">
        <x:v>666</x:v>
      </x:c>
      <x:c r="U4072" s="18" t="n">
        <x:v>588.6962871739322</x:v>
      </x:c>
      <x:c r="V4072" s="20" t="n">
        <x:v>12</x:v>
      </x:c>
      <x:c r="W4072" s="20" t="n">
        <x:v>5</x:v>
      </x:c>
      <x:c r="X4072" s="20" t="n">
        <x:v>3</x:v>
      </x:c>
      <x:c r="Y4072" t="str">
        <x:v>Basis arsip 2025/2024</x:v>
      </x:c>
      <x:c r="Z4072" t="str">
        <x:v>https://snpmb.id/utbk-snbt/daya-tampung-snbt</x:v>
      </x:c>
      <x:c r="AA4072" t="str">
        <x:v>Tidak Ada</x:v>
      </x:c>
      <x:c r="AB4072" t="str">
        <x:v>Campus=55; Ratio=31.4; Prodi=60; RelDemand=59.7; Capacity=80.0</x:v>
      </x:c>
    </x:row>
    <x:row r="4073">
      <x:c r="A4073" t="n">
        <x:v>4070</x:v>
      </x:c>
      <x:c r="B4073" t="str">
        <x:v>PTN Vokasi</x:v>
      </x:c>
      <x:c r="C4073" t="str">
        <x:v>POLITEKNIK MANUFAKTUR NEGERI BANGKA BELITUNG</x:v>
      </x:c>
      <x:c r="D4073" t="str">
        <x:v>TEKNIK ELEKTRONIKA</x:v>
      </x:c>
      <x:c r="E4073" t="str">
        <x:v>Sarjana Terapan</x:v>
      </x:c>
      <x:c r="F4073" s="18" t="n">
        <x:v>24</x:v>
      </x:c>
      <x:c r="G4073" s="18" t="n">
        <x:v>74</x:v>
      </x:c>
      <x:c r="H4073" s="19" t="n">
        <x:v>3.0833333333333335</x:v>
      </x:c>
      <x:c r="I4073" s="18" t="n">
        <x:f>ROUND(MIN(Model_Config_v3!$B$6,MAX(Q4073,R4073,S4073*Model_Config_v3!$B$4+T4073*Model_Config_v3!$B$5)),0)</x:f>
        <x:v>637</x:v>
      </x:c>
      <x:c r="J4073" s="18" t="n">
        <x:f>MIN(Model_Config_v3!$B$6,I4073+Model_Config_v3!$B$7)</x:f>
        <x:v>657</x:v>
      </x:c>
      <x:c r="K4073" s="20" t="n">
        <x:v>51.8</x:v>
      </x:c>
      <x:c r="L4073" t="str">
        <x:v>MENENGAH</x:v>
      </x:c>
      <x:c r="M4073" t="str">
        <x:v>SEDANG+</x:v>
      </x:c>
      <x:c r="N4073" t="str">
        <x:v>REGULER</x:v>
      </x:c>
      <x:c r="O4073" t="str">
        <x:v>SAINTEK</x:v>
      </x:c>
      <x:c r="P4073" t="str">
        <x:v>TEKNIK/ARSITEKTUR/STATISTIKA/AKTUARIA</x:v>
      </x:c>
      <x:c r="Q4073" s="18" t="n">
        <x:v>0</x:v>
      </x:c>
      <x:c r="R4073" s="18" t="n">
        <x:v>0</x:v>
      </x:c>
      <x:c r="S4073" s="18" t="n">
        <x:v>573.7922525821307</x:v>
      </x:c>
      <x:c r="T4073" s="18" t="n">
        <x:v>664</x:v>
      </x:c>
      <x:c r="U4073" s="18" t="n">
        <x:v>583.7922525821307</x:v>
      </x:c>
      <x:c r="V4073" s="20" t="n">
        <x:v>12</x:v>
      </x:c>
      <x:c r="W4073" s="20" t="n">
        <x:v>5</x:v>
      </x:c>
      <x:c r="X4073" s="20" t="n">
        <x:v>3</x:v>
      </x:c>
      <x:c r="Y4073" t="str">
        <x:v>Basis arsip 2025/2024</x:v>
      </x:c>
      <x:c r="Z4073" t="str">
        <x:v>https://snpmb.id/utbk-snbt/daya-tampung-snbt</x:v>
      </x:c>
      <x:c r="AA4073" t="str">
        <x:v>Tidak Ada</x:v>
      </x:c>
      <x:c r="AB4073" t="str">
        <x:v>Campus=55; Ratio=28.8; Prodi=60; RelDemand=53.9; Capacity=80.0</x:v>
      </x:c>
    </x:row>
    <x:row r="4074">
      <x:c r="A4074" t="n">
        <x:v>4071</x:v>
      </x:c>
      <x:c r="B4074" t="str">
        <x:v>PTN Vokasi</x:v>
      </x:c>
      <x:c r="C4074" t="str">
        <x:v>POLITEKNIK MANUFAKTUR NEGERI BANGKA BELITUNG</x:v>
      </x:c>
      <x:c r="D4074" t="str">
        <x:v>TEKNOLOGI REKAYASA PERANGKAT LUNAK</x:v>
      </x:c>
      <x:c r="E4074" t="str">
        <x:v>Sarjana Terapan</x:v>
      </x:c>
      <x:c r="F4074" s="18" t="n">
        <x:v>36</x:v>
      </x:c>
      <x:c r="G4074" s="18" t="n">
        <x:v>117</x:v>
      </x:c>
      <x:c r="H4074" s="19" t="n">
        <x:v>3.25</x:v>
      </x:c>
      <x:c r="I4074" s="18" t="n">
        <x:f>ROUND(MIN(Model_Config_v3!$B$6,MAX(Q4074,R4074,S4074*Model_Config_v3!$B$4+T4074*Model_Config_v3!$B$5)),0)</x:f>
        <x:v>631</x:v>
      </x:c>
      <x:c r="J4074" s="18" t="n">
        <x:f>MIN(Model_Config_v3!$B$6,I4074+Model_Config_v3!$B$7)</x:f>
        <x:v>651</x:v>
      </x:c>
      <x:c r="K4074" s="20" t="n">
        <x:v>47.5</x:v>
      </x:c>
      <x:c r="L4074" t="str">
        <x:v>MENENGAH</x:v>
      </x:c>
      <x:c r="M4074" t="str">
        <x:v>SEDANG</x:v>
      </x:c>
      <x:c r="N4074" t="str">
        <x:v>REGULER</x:v>
      </x:c>
      <x:c r="O4074" t="str">
        <x:v>SAINTEK</x:v>
      </x:c>
      <x:c r="P4074" t="str">
        <x:v>UMUM</x:v>
      </x:c>
      <x:c r="Q4074" s="18" t="n">
        <x:v>0</x:v>
      </x:c>
      <x:c r="R4074" s="18" t="n">
        <x:v>0</x:v>
      </x:c>
      <x:c r="S4074" s="18" t="n">
        <x:v>576.3071697076762</x:v>
      </x:c>
      <x:c r="T4074" s="18" t="n">
        <x:v>655</x:v>
      </x:c>
      <x:c r="U4074" s="18" t="n">
        <x:v>576.3071697076762</x:v>
      </x:c>
      <x:c r="V4074" s="20" t="n">
        <x:v>12</x:v>
      </x:c>
      <x:c r="W4074" s="20" t="n">
        <x:v>5</x:v>
      </x:c>
      <x:c r="X4074" s="20" t="n">
        <x:v>3</x:v>
      </x:c>
      <x:c r="Y4074" t="str">
        <x:v>Basis arsip 2025/2024</x:v>
      </x:c>
      <x:c r="Z4074" t="str">
        <x:v>https://snpmb.id/utbk-snbt/daya-tampung-snbt</x:v>
      </x:c>
      <x:c r="AA4074" t="str">
        <x:v>Tidak Ada</x:v>
      </x:c>
      <x:c r="AB4074" t="str">
        <x:v>Campus=55; Ratio=30.1; Prodi=40; RelDemand=56.8; Capacity=70.0</x:v>
      </x:c>
    </x:row>
    <x:row r="4075">
      <x:c r="A4075" t="n">
        <x:v>4072</x:v>
      </x:c>
      <x:c r="B4075" t="str">
        <x:v>PTN Vokasi</x:v>
      </x:c>
      <x:c r="C4075" t="str">
        <x:v>POLITEKNIK MANUFAKTUR NEGERI BANGKA BELITUNG</x:v>
      </x:c>
      <x:c r="D4075" t="str">
        <x:v>TEKNOLOGI REKAYASA PERANCANGAN MANUFAKTUR</x:v>
      </x:c>
      <x:c r="E4075" t="str">
        <x:v>Sarjana Terapan</x:v>
      </x:c>
      <x:c r="F4075" s="18" t="n">
        <x:v>12</x:v>
      </x:c>
      <x:c r="G4075" s="18" t="n">
        <x:v>26</x:v>
      </x:c>
      <x:c r="H4075" s="19" t="n">
        <x:v>2.1666666666666665</x:v>
      </x:c>
      <x:c r="I4075" s="18" t="n">
        <x:f>ROUND(MIN(Model_Config_v3!$B$6,MAX(Q4075,R4075,S4075*Model_Config_v3!$B$4+T4075*Model_Config_v3!$B$5)),0)</x:f>
        <x:v>622</x:v>
      </x:c>
      <x:c r="J4075" s="18" t="n">
        <x:f>MIN(Model_Config_v3!$B$6,I4075+Model_Config_v3!$B$7)</x:f>
        <x:v>642</x:v>
      </x:c>
      <x:c r="K4075" s="20" t="n">
        <x:v>45</x:v>
      </x:c>
      <x:c r="L4075" t="str">
        <x:v>MENENGAH</x:v>
      </x:c>
      <x:c r="M4075" t="str">
        <x:v>SEDANG</x:v>
      </x:c>
      <x:c r="N4075" t="str">
        <x:v>REGULER</x:v>
      </x:c>
      <x:c r="O4075" t="str">
        <x:v>SAINTEK</x:v>
      </x:c>
      <x:c r="P4075" t="str">
        <x:v>UMUM</x:v>
      </x:c>
      <x:c r="Q4075" s="18" t="n">
        <x:v>0</x:v>
      </x:c>
      <x:c r="R4075" s="18" t="n">
        <x:v>0</x:v>
      </x:c>
      <x:c r="S4075" s="18" t="n">
        <x:v>556.9371312115512</x:v>
      </x:c>
      <x:c r="T4075" s="18" t="n">
        <x:v>650</x:v>
      </x:c>
      <x:c r="U4075" s="18" t="n">
        <x:v>556.9371312115512</x:v>
      </x:c>
      <x:c r="V4075" s="20" t="n">
        <x:v>12</x:v>
      </x:c>
      <x:c r="W4075" s="20" t="n">
        <x:v>5</x:v>
      </x:c>
      <x:c r="X4075" s="20" t="n">
        <x:v>3</x:v>
      </x:c>
      <x:c r="Y4075" t="str">
        <x:v>Basis arsip 2025/2024</x:v>
      </x:c>
      <x:c r="Z4075" t="str">
        <x:v>https://snpmb.id/utbk-snbt/daya-tampung-snbt</x:v>
      </x:c>
      <x:c r="AA4075" t="str">
        <x:v>Tidak Ada</x:v>
      </x:c>
      <x:c r="AB4075" t="str">
        <x:v>Campus=55; Ratio=19.8; Prodi=40; RelDemand=37.9; Capacity=90.0</x:v>
      </x:c>
    </x:row>
    <x:row r="4076">
      <x:c r="A4076" t="n">
        <x:v>4073</x:v>
      </x:c>
      <x:c r="B4076" t="str">
        <x:v>PTN Vokasi</x:v>
      </x:c>
      <x:c r="C4076" t="str">
        <x:v>POLITEKNIK MANUFAKTUR NEGERI BANGKA BELITUNG</x:v>
      </x:c>
      <x:c r="D4076" t="str">
        <x:v>PERTANIAN PRESISI</x:v>
      </x:c>
      <x:c r="E4076" t="str">
        <x:v>Sarjana Terapan</x:v>
      </x:c>
      <x:c r="F4076" s="18" t="n">
        <x:v>24</x:v>
      </x:c>
      <x:c r="G4076" s="18" t="n">
        <x:v>48</x:v>
      </x:c>
      <x:c r="H4076" s="19" t="n">
        <x:v>2</x:v>
      </x:c>
      <x:c r="I4076" s="18" t="n">
        <x:f>ROUND(MIN(Model_Config_v3!$B$6,MAX(Q4076,R4076,S4076*Model_Config_v3!$B$4+T4076*Model_Config_v3!$B$5)),0)</x:f>
        <x:v>618</x:v>
      </x:c>
      <x:c r="J4076" s="18" t="n">
        <x:f>MIN(Model_Config_v3!$B$6,I4076+Model_Config_v3!$B$7)</x:f>
        <x:v>638</x:v>
      </x:c>
      <x:c r="K4076" s="20" t="n">
        <x:v>43.2</x:v>
      </x:c>
      <x:c r="L4076" t="str">
        <x:v>RELATIF LONGGAR</x:v>
      </x:c>
      <x:c r="M4076" t="str">
        <x:v>SEDANG</x:v>
      </x:c>
      <x:c r="N4076" t="str">
        <x:v>REGULER</x:v>
      </x:c>
      <x:c r="O4076" t="str">
        <x:v>SAINTEK</x:v>
      </x:c>
      <x:c r="P4076" t="str">
        <x:v>UMUM</x:v>
      </x:c>
      <x:c r="Q4076" s="18" t="n">
        <x:v>0</x:v>
      </x:c>
      <x:c r="R4076" s="18" t="n">
        <x:v>0</x:v>
      </x:c>
      <x:c r="S4076" s="18" t="n">
        <x:v>553.1132995230379</x:v>
      </x:c>
      <x:c r="T4076" s="18" t="n">
        <x:v>646</x:v>
      </x:c>
      <x:c r="U4076" s="18" t="n">
        <x:v>553.1132995230379</x:v>
      </x:c>
      <x:c r="V4076" s="20" t="n">
        <x:v>12</x:v>
      </x:c>
      <x:c r="W4076" s="20" t="n">
        <x:v>5</x:v>
      </x:c>
      <x:c r="X4076" s="20" t="n">
        <x:v>3</x:v>
      </x:c>
      <x:c r="Y4076" t="str">
        <x:v>Basis arsip 2025/2024</x:v>
      </x:c>
      <x:c r="Z4076" t="str">
        <x:v>https://snpmb.id/utbk-snbt/daya-tampung-snbt</x:v>
      </x:c>
      <x:c r="AA4076" t="str">
        <x:v>Tidak Ada</x:v>
      </x:c>
      <x:c r="AB4076" t="str">
        <x:v>Campus=55; Ratio=17.7; Prodi=40; RelDemand=35.0; Capacity=80.0</x:v>
      </x:c>
    </x:row>
    <x:row r="4077">
      <x:c r="A4077" t="n">
        <x:v>4074</x:v>
      </x:c>
      <x:c r="B4077" t="str">
        <x:v>PTN Vokasi</x:v>
      </x:c>
      <x:c r="C4077" t="str">
        <x:v>POLITEKNIK MANUFAKTUR NEGERI BANGKA BELITUNG</x:v>
      </x:c>
      <x:c r="D4077" t="str">
        <x:v>BISNIS DIGITAL</x:v>
      </x:c>
      <x:c r="E4077" t="str">
        <x:v>Sarjana Terapan</x:v>
      </x:c>
      <x:c r="F4077" s="18" t="n">
        <x:v>36</x:v>
      </x:c>
      <x:c r="G4077" s="18" t="n">
        <x:v>145</x:v>
      </x:c>
      <x:c r="H4077" s="19" t="n">
        <x:v>4.027777777777778</x:v>
      </x:c>
      <x:c r="I4077" s="18" t="n">
        <x:f>ROUND(MIN(Model_Config_v3!$B$6,MAX(Q4077,R4077,S4077*Model_Config_v3!$B$4+T4077*Model_Config_v3!$B$5)),0)</x:f>
        <x:v>645</x:v>
      </x:c>
      <x:c r="J4077" s="18" t="n">
        <x:f>MIN(Model_Config_v3!$B$6,I4077+Model_Config_v3!$B$7)</x:f>
        <x:v>665</x:v>
      </x:c>
      <x:c r="K4077" s="20" t="n">
        <x:v>55.2</x:v>
      </x:c>
      <x:c r="L4077" t="str">
        <x:v>KETAT</x:v>
      </x:c>
      <x:c r="M4077" t="str">
        <x:v>SEDANG+</x:v>
      </x:c>
      <x:c r="N4077" t="str">
        <x:v>REGULER</x:v>
      </x:c>
      <x:c r="O4077" t="str">
        <x:v>SOSHUM</x:v>
      </x:c>
      <x:c r="P4077" t="str">
        <x:v>BISNIS/EKONOMI/AKUNTANSI</x:v>
      </x:c>
      <x:c r="Q4077" s="18" t="n">
        <x:v>0</x:v>
      </x:c>
      <x:c r="R4077" s="18" t="n">
        <x:v>0</x:v>
      </x:c>
      <x:c r="S4077" s="18" t="n">
        <x:v>586.5572051614456</x:v>
      </x:c>
      <x:c r="T4077" s="18" t="n">
        <x:v>670</x:v>
      </x:c>
      <x:c r="U4077" s="18" t="n">
        <x:v>601.5572051614456</x:v>
      </x:c>
      <x:c r="V4077" s="20" t="n">
        <x:v>4.4</x:v>
      </x:c>
      <x:c r="W4077" s="20" t="n">
        <x:v>14.3</x:v>
      </x:c>
      <x:c r="X4077" s="20" t="n">
        <x:v>3.3</x:v>
      </x:c>
      <x:c r="Y4077" t="str">
        <x:v>Basis arsip 2025/2024</x:v>
      </x:c>
      <x:c r="Z4077" t="str">
        <x:v>https://snpmb.id/utbk-snbt/daya-tampung-snbt</x:v>
      </x:c>
      <x:c r="AA4077" t="str">
        <x:v>Tidak Ada</x:v>
      </x:c>
      <x:c r="AB4077" t="str">
        <x:v>Campus=55; Ratio=35.6; Prodi=65; RelDemand=70.4; Capacity=70.0</x:v>
      </x:c>
    </x:row>
    <x:row r="4078">
      <x:c r="A4078" t="n">
        <x:v>4075</x:v>
      </x:c>
      <x:c r="B4078" t="str">
        <x:v>PTN Vokasi</x:v>
      </x:c>
      <x:c r="C4078" t="str">
        <x:v>POLITEKNIK MANUFAKTUR NEGERI BANGKA BELITUNG</x:v>
      </x:c>
      <x:c r="D4078" t="str">
        <x:v>TEKNIK PERAWATAN DAN PERBAIKAN MESIN</x:v>
      </x:c>
      <x:c r="E4078" t="str">
        <x:v>Diploma Tiga</x:v>
      </x:c>
      <x:c r="F4078" s="18" t="n">
        <x:v>24</x:v>
      </x:c>
      <x:c r="G4078" s="18" t="n">
        <x:v>50</x:v>
      </x:c>
      <x:c r="H4078" s="19" t="n">
        <x:v>2.0833333333333335</x:v>
      </x:c>
      <x:c r="I4078" s="18" t="n">
        <x:f>ROUND(MIN(Model_Config_v3!$B$6,MAX(Q4078,R4078,S4078*Model_Config_v3!$B$4+T4078*Model_Config_v3!$B$5)),0)</x:f>
        <x:v>625</x:v>
      </x:c>
      <x:c r="J4078" s="18" t="n">
        <x:f>MIN(Model_Config_v3!$B$6,I4078+Model_Config_v3!$B$7)</x:f>
        <x:v>645</x:v>
      </x:c>
      <x:c r="K4078" s="20" t="n">
        <x:v>47.6</x:v>
      </x:c>
      <x:c r="L4078" t="str">
        <x:v>MENENGAH</x:v>
      </x:c>
      <x:c r="M4078" t="str">
        <x:v>SEDANG+</x:v>
      </x:c>
      <x:c r="N4078" t="str">
        <x:v>REGULER</x:v>
      </x:c>
      <x:c r="O4078" t="str">
        <x:v>SAINTEK</x:v>
      </x:c>
      <x:c r="P4078" t="str">
        <x:v>TEKNIK/ARSITEKTUR/STATISTIKA/AKTUARIA</x:v>
      </x:c>
      <x:c r="Q4078" s="18" t="n">
        <x:v>0</x:v>
      </x:c>
      <x:c r="R4078" s="18" t="n">
        <x:v>0</x:v>
      </x:c>
      <x:c r="S4078" s="18" t="n">
        <x:v>555.0634638886854</x:v>
      </x:c>
      <x:c r="T4078" s="18" t="n">
        <x:v>655</x:v>
      </x:c>
      <x:c r="U4078" s="18" t="n">
        <x:v>565.0634638886854</x:v>
      </x:c>
      <x:c r="V4078" s="20" t="n">
        <x:v>12</x:v>
      </x:c>
      <x:c r="W4078" s="20" t="n">
        <x:v>5</x:v>
      </x:c>
      <x:c r="X4078" s="20" t="n">
        <x:v>3</x:v>
      </x:c>
      <x:c r="Y4078" t="str">
        <x:v>Basis arsip 2025/2024</x:v>
      </x:c>
      <x:c r="Z4078" t="str">
        <x:v>https://snpmb.id/utbk-snbt/daya-tampung-snbt</x:v>
      </x:c>
      <x:c r="AA4078" t="str">
        <x:v>Tidak Ada</x:v>
      </x:c>
      <x:c r="AB4078" t="str">
        <x:v>Campus=55; Ratio=18.8; Prodi=60; RelDemand=36.4; Capacity=80.0</x:v>
      </x:c>
    </x:row>
    <x:row r="4079">
      <x:c r="A4079" t="n">
        <x:v>4076</x:v>
      </x:c>
      <x:c r="B4079" t="str">
        <x:v>PTN Vokasi</x:v>
      </x:c>
      <x:c r="C4079" t="str">
        <x:v>POLITEKNIK MANUFAKTUR NEGERI BANGKA BELITUNG</x:v>
      </x:c>
      <x:c r="D4079" t="str">
        <x:v>TEKNIK ELEKTRONIKA</x:v>
      </x:c>
      <x:c r="E4079" t="str">
        <x:v>Diploma Tiga</x:v>
      </x:c>
      <x:c r="F4079" s="18" t="n">
        <x:v>24</x:v>
      </x:c>
      <x:c r="G4079" s="18" t="n">
        <x:v>107</x:v>
      </x:c>
      <x:c r="H4079" s="19" t="n">
        <x:v>4.458333333333333</x:v>
      </x:c>
      <x:c r="I4079" s="18" t="n">
        <x:f>ROUND(MIN(Model_Config_v3!$B$6,MAX(Q4079,R4079,S4079*Model_Config_v3!$B$4+T4079*Model_Config_v3!$B$5)),0)</x:f>
        <x:v>649</x:v>
      </x:c>
      <x:c r="J4079" s="18" t="n">
        <x:f>MIN(Model_Config_v3!$B$6,I4079+Model_Config_v3!$B$7)</x:f>
        <x:v>669</x:v>
      </x:c>
      <x:c r="K4079" s="20" t="n">
        <x:v>56.6</x:v>
      </x:c>
      <x:c r="L4079" t="str">
        <x:v>KETAT</x:v>
      </x:c>
      <x:c r="M4079" t="str">
        <x:v>SEDANG+</x:v>
      </x:c>
      <x:c r="N4079" t="str">
        <x:v>REGULER</x:v>
      </x:c>
      <x:c r="O4079" t="str">
        <x:v>SAINTEK</x:v>
      </x:c>
      <x:c r="P4079" t="str">
        <x:v>TEKNIK/ARSITEKTUR/STATISTIKA/AKTUARIA</x:v>
      </x:c>
      <x:c r="Q4079" s="18" t="n">
        <x:v>0</x:v>
      </x:c>
      <x:c r="R4079" s="18" t="n">
        <x:v>0</x:v>
      </x:c>
      <x:c r="S4079" s="18" t="n">
        <x:v>591.4089789570963</x:v>
      </x:c>
      <x:c r="T4079" s="18" t="n">
        <x:v>673</x:v>
      </x:c>
      <x:c r="U4079" s="18" t="n">
        <x:v>601.4089789570963</x:v>
      </x:c>
      <x:c r="V4079" s="20" t="n">
        <x:v>12</x:v>
      </x:c>
      <x:c r="W4079" s="20" t="n">
        <x:v>5</x:v>
      </x:c>
      <x:c r="X4079" s="20" t="n">
        <x:v>3</x:v>
      </x:c>
      <x:c r="Y4079" t="str">
        <x:v>Basis arsip 2025/2024</x:v>
      </x:c>
      <x:c r="Z4079" t="str">
        <x:v>https://snpmb.id/utbk-snbt/daya-tampung-snbt</x:v>
      </x:c>
      <x:c r="AA4079" t="str">
        <x:v>Tidak Ada</x:v>
      </x:c>
      <x:c r="AB4079" t="str">
        <x:v>Campus=55; Ratio=38.2; Prodi=60; RelDemand=78.0; Capacity=80.0</x:v>
      </x:c>
    </x:row>
    <x:row r="4080">
      <x:c r="A4080" t="n">
        <x:v>4077</x:v>
      </x:c>
      <x:c r="B4080" t="str">
        <x:v>PTN Vokasi</x:v>
      </x:c>
      <x:c r="C4080" t="str">
        <x:v>POLITEKNIK MANUFAKTUR NEGERI BANGKA BELITUNG</x:v>
      </x:c>
      <x:c r="D4080" t="str">
        <x:v>TEKNIK PERANCANGAN MEKANIK</x:v>
      </x:c>
      <x:c r="E4080" t="str">
        <x:v>Diploma Tiga</x:v>
      </x:c>
      <x:c r="F4080" s="18" t="n">
        <x:v>24</x:v>
      </x:c>
      <x:c r="G4080" s="18" t="n">
        <x:v>30</x:v>
      </x:c>
      <x:c r="H4080" s="19" t="n">
        <x:v>1.25</x:v>
      </x:c>
      <x:c r="I4080" s="18" t="n">
        <x:f>ROUND(MIN(Model_Config_v3!$B$6,MAX(Q4080,R4080,S4080*Model_Config_v3!$B$4+T4080*Model_Config_v3!$B$5)),0)</x:f>
        <x:v>611</x:v>
      </x:c>
      <x:c r="J4080" s="18" t="n">
        <x:f>MIN(Model_Config_v3!$B$6,I4080+Model_Config_v3!$B$7)</x:f>
        <x:v>631</x:v>
      </x:c>
      <x:c r="K4080" s="20" t="n">
        <x:v>42.9</x:v>
      </x:c>
      <x:c r="L4080" t="str">
        <x:v>RELATIF LONGGAR</x:v>
      </x:c>
      <x:c r="M4080" t="str">
        <x:v>SEDANG+</x:v>
      </x:c>
      <x:c r="N4080" t="str">
        <x:v>REGULER</x:v>
      </x:c>
      <x:c r="O4080" t="str">
        <x:v>SAINTEK</x:v>
      </x:c>
      <x:c r="P4080" t="str">
        <x:v>TEKNIK/ARSITEKTUR/STATISTIKA/AKTUARIA</x:v>
      </x:c>
      <x:c r="Q4080" s="18" t="n">
        <x:v>0</x:v>
      </x:c>
      <x:c r="R4080" s="18" t="n">
        <x:v>0</x:v>
      </x:c>
      <x:c r="S4080" s="18" t="n">
        <x:v>530.6601014308862</x:v>
      </x:c>
      <x:c r="T4080" s="18" t="n">
        <x:v>646</x:v>
      </x:c>
      <x:c r="U4080" s="18" t="n">
        <x:v>540.6601014308862</x:v>
      </x:c>
      <x:c r="V4080" s="20" t="n">
        <x:v>12</x:v>
      </x:c>
      <x:c r="W4080" s="20" t="n">
        <x:v>5</x:v>
      </x:c>
      <x:c r="X4080" s="20" t="n">
        <x:v>3</x:v>
      </x:c>
      <x:c r="Y4080" t="str">
        <x:v>Basis arsip 2025/2024</x:v>
      </x:c>
      <x:c r="Z4080" t="str">
        <x:v>https://snpmb.id/utbk-snbt/daya-tampung-snbt</x:v>
      </x:c>
      <x:c r="AA4080" t="str">
        <x:v>Tidak Ada</x:v>
      </x:c>
      <x:c r="AB4080" t="str">
        <x:v>Campus=55; Ratio=5.7; Prodi=60; RelDemand=21.9; Capacity=80.0</x:v>
      </x:c>
    </x:row>
    <x:row r="4081">
      <x:c r="A4081" t="n">
        <x:v>4078</x:v>
      </x:c>
      <x:c r="B4081" t="str">
        <x:v>PTN Vokasi</x:v>
      </x:c>
      <x:c r="C4081" t="str">
        <x:v>POLITEKNIK NEGERI LAMPUNG</x:v>
      </x:c>
      <x:c r="D4081" t="str">
        <x:v>TEKNOLOGI PERBENIHAN</x:v>
      </x:c>
      <x:c r="E4081" t="str">
        <x:v>Sarjana Terapan</x:v>
      </x:c>
      <x:c r="F4081" s="18" t="n">
        <x:v>56</x:v>
      </x:c>
      <x:c r="G4081" s="18" t="n">
        <x:v>20</x:v>
      </x:c>
      <x:c r="H4081" s="19" t="n">
        <x:v>0.35714285714285715</x:v>
      </x:c>
      <x:c r="I4081" s="18" t="n">
        <x:f>ROUND(MIN(Model_Config_v3!$B$6,MAX(Q4081,R4081,S4081*Model_Config_v3!$B$4+T4081*Model_Config_v3!$B$5)),0)</x:f>
        <x:v>595</x:v>
      </x:c>
      <x:c r="J4081" s="18" t="n">
        <x:f>MIN(Model_Config_v3!$B$6,I4081+Model_Config_v3!$B$7)</x:f>
        <x:v>615</x:v>
      </x:c>
      <x:c r="K4081" s="20" t="n">
        <x:v>33.4</x:v>
      </x:c>
      <x:c r="L4081" t="str">
        <x:v>RELATIF LONGGAR</x:v>
      </x:c>
      <x:c r="M4081" t="str">
        <x:v>SEDANG</x:v>
      </x:c>
      <x:c r="N4081" t="str">
        <x:v>REGULER</x:v>
      </x:c>
      <x:c r="O4081" t="str">
        <x:v>SAINTEK</x:v>
      </x:c>
      <x:c r="P4081" t="str">
        <x:v>UMUM</x:v>
      </x:c>
      <x:c r="Q4081" s="18" t="n">
        <x:v>0</x:v>
      </x:c>
      <x:c r="R4081" s="18" t="n">
        <x:v>0</x:v>
      </x:c>
      <x:c r="S4081" s="18" t="n">
        <x:v>520</x:v>
      </x:c>
      <x:c r="T4081" s="18" t="n">
        <x:v>627</x:v>
      </x:c>
      <x:c r="U4081" s="18" t="n">
        <x:v>520</x:v>
      </x:c>
      <x:c r="V4081" s="20" t="n">
        <x:v>12</x:v>
      </x:c>
      <x:c r="W4081" s="20" t="n">
        <x:v>5</x:v>
      </x:c>
      <x:c r="X4081" s="20" t="n">
        <x:v>3</x:v>
      </x:c>
      <x:c r="Y4081" t="str">
        <x:v>Basis arsip 2025/2024</x:v>
      </x:c>
      <x:c r="Z4081" t="str">
        <x:v>https://snpmb.id/utbk-snbt/daya-tampung-snbt</x:v>
      </x:c>
      <x:c r="AA4081" t="str">
        <x:v>Tidak Ada</x:v>
      </x:c>
      <x:c r="AB4081" t="str">
        <x:v>Campus=55; Ratio=0.0; Prodi=40; RelDemand=8.4; Capacity=53.3</x:v>
      </x:c>
    </x:row>
    <x:row r="4082">
      <x:c r="A4082" t="n">
        <x:v>4079</x:v>
      </x:c>
      <x:c r="B4082" t="str">
        <x:v>PTN Vokasi</x:v>
      </x:c>
      <x:c r="C4082" t="str">
        <x:v>POLITEKNIK NEGERI LAMPUNG</x:v>
      </x:c>
      <x:c r="D4082" t="str">
        <x:v>TEKNOLOGI PRODUKSI TANAMAN HORTIKULTURA</x:v>
      </x:c>
      <x:c r="E4082" t="str">
        <x:v>Sarjana Terapan</x:v>
      </x:c>
      <x:c r="F4082" s="18" t="n">
        <x:v>56</x:v>
      </x:c>
      <x:c r="G4082" s="18" t="n">
        <x:v>52</x:v>
      </x:c>
      <x:c r="H4082" s="19" t="n">
        <x:v>0.9285714285714286</x:v>
      </x:c>
      <x:c r="I4082" s="18" t="n">
        <x:f>ROUND(MIN(Model_Config_v3!$B$6,MAX(Q4082,R4082,S4082*Model_Config_v3!$B$4+T4082*Model_Config_v3!$B$5)),0)</x:f>
        <x:v>597</x:v>
      </x:c>
      <x:c r="J4082" s="18" t="n">
        <x:f>MIN(Model_Config_v3!$B$6,I4082+Model_Config_v3!$B$7)</x:f>
        <x:v>617</x:v>
      </x:c>
      <x:c r="K4082" s="20" t="n">
        <x:v>34.8</x:v>
      </x:c>
      <x:c r="L4082" t="str">
        <x:v>RELATIF LONGGAR</x:v>
      </x:c>
      <x:c r="M4082" t="str">
        <x:v>SEDANG</x:v>
      </x:c>
      <x:c r="N4082" t="str">
        <x:v>REGULER</x:v>
      </x:c>
      <x:c r="O4082" t="str">
        <x:v>SAINTEK</x:v>
      </x:c>
      <x:c r="P4082" t="str">
        <x:v>UMUM</x:v>
      </x:c>
      <x:c r="Q4082" s="18" t="n">
        <x:v>0</x:v>
      </x:c>
      <x:c r="R4082" s="18" t="n">
        <x:v>0</x:v>
      </x:c>
      <x:c r="S4082" s="18" t="n">
        <x:v>520</x:v>
      </x:c>
      <x:c r="T4082" s="18" t="n">
        <x:v>630</x:v>
      </x:c>
      <x:c r="U4082" s="18" t="n">
        <x:v>520</x:v>
      </x:c>
      <x:c r="V4082" s="20" t="n">
        <x:v>12</x:v>
      </x:c>
      <x:c r="W4082" s="20" t="n">
        <x:v>5</x:v>
      </x:c>
      <x:c r="X4082" s="20" t="n">
        <x:v>3</x:v>
      </x:c>
      <x:c r="Y4082" t="str">
        <x:v>Basis arsip 2025/2024</x:v>
      </x:c>
      <x:c r="Z4082" t="str">
        <x:v>https://snpmb.id/utbk-snbt/daya-tampung-snbt</x:v>
      </x:c>
      <x:c r="AA4082" t="str">
        <x:v>Tidak Ada</x:v>
      </x:c>
      <x:c r="AB4082" t="str">
        <x:v>Campus=55; Ratio=0.0; Prodi=40; RelDemand=21.7; Capacity=53.3</x:v>
      </x:c>
    </x:row>
    <x:row r="4083">
      <x:c r="A4083" t="n">
        <x:v>4080</x:v>
      </x:c>
      <x:c r="B4083" t="str">
        <x:v>PTN Vokasi</x:v>
      </x:c>
      <x:c r="C4083" t="str">
        <x:v>POLITEKNIK NEGERI LAMPUNG</x:v>
      </x:c>
      <x:c r="D4083" t="str">
        <x:v>PRODUKSI DAN MANAJEMEN INDUSTRI PERKEBUNAN</x:v>
      </x:c>
      <x:c r="E4083" t="str">
        <x:v>Sarjana Terapan</x:v>
      </x:c>
      <x:c r="F4083" s="18" t="n">
        <x:v>70</x:v>
      </x:c>
      <x:c r="G4083" s="18" t="n">
        <x:v>124</x:v>
      </x:c>
      <x:c r="H4083" s="19" t="n">
        <x:v>1.7714285714285714</x:v>
      </x:c>
      <x:c r="I4083" s="18" t="n">
        <x:f>ROUND(MIN(Model_Config_v3!$B$6,MAX(Q4083,R4083,S4083*Model_Config_v3!$B$4+T4083*Model_Config_v3!$B$5)),0)</x:f>
        <x:v>618</x:v>
      </x:c>
      <x:c r="J4083" s="18" t="n">
        <x:f>MIN(Model_Config_v3!$B$6,I4083+Model_Config_v3!$B$7)</x:f>
        <x:v>638</x:v>
      </x:c>
      <x:c r="K4083" s="20" t="n">
        <x:v>44.2</x:v>
      </x:c>
      <x:c r="L4083" t="str">
        <x:v>RELATIF LONGGAR</x:v>
      </x:c>
      <x:c r="M4083" t="str">
        <x:v>SEDANG+</x:v>
      </x:c>
      <x:c r="N4083" t="str">
        <x:v>REGULER</x:v>
      </x:c>
      <x:c r="O4083" t="str">
        <x:v>SOSHUM</x:v>
      </x:c>
      <x:c r="P4083" t="str">
        <x:v>BISNIS/EKONOMI/AKUNTANSI</x:v>
      </x:c>
      <x:c r="Q4083" s="18" t="n">
        <x:v>0</x:v>
      </x:c>
      <x:c r="R4083" s="18" t="n">
        <x:v>0</x:v>
      </x:c>
      <x:c r="S4083" s="18" t="n">
        <x:v>547.3156009662775</x:v>
      </x:c>
      <x:c r="T4083" s="18" t="n">
        <x:v>648</x:v>
      </x:c>
      <x:c r="U4083" s="18" t="n">
        <x:v>562.3156009662775</x:v>
      </x:c>
      <x:c r="V4083" s="20" t="n">
        <x:v>4.4</x:v>
      </x:c>
      <x:c r="W4083" s="20" t="n">
        <x:v>14.3</x:v>
      </x:c>
      <x:c r="X4083" s="20" t="n">
        <x:v>3.3</x:v>
      </x:c>
      <x:c r="Y4083" t="str">
        <x:v>Basis arsip 2025/2024</x:v>
      </x:c>
      <x:c r="Z4083" t="str">
        <x:v>https://snpmb.id/utbk-snbt/daya-tampung-snbt</x:v>
      </x:c>
      <x:c r="AA4083" t="str">
        <x:v>Tidak Ada</x:v>
      </x:c>
      <x:c r="AB4083" t="str">
        <x:v>Campus=55; Ratio=14.6; Prodi=65; RelDemand=41.4; Capacity=41.7</x:v>
      </x:c>
    </x:row>
    <x:row r="4084">
      <x:c r="A4084" t="n">
        <x:v>4081</x:v>
      </x:c>
      <x:c r="B4084" t="str">
        <x:v>PTN Vokasi</x:v>
      </x:c>
      <x:c r="C4084" t="str">
        <x:v>POLITEKNIK NEGERI LAMPUNG</x:v>
      </x:c>
      <x:c r="D4084" t="str">
        <x:v>TEKNOLOGI REKASAYA KIMIA INDUSTRI</x:v>
      </x:c>
      <x:c r="E4084" t="str">
        <x:v>Sarjana Terapan</x:v>
      </x:c>
      <x:c r="F4084" s="18" t="n">
        <x:v>42</x:v>
      </x:c>
      <x:c r="G4084" s="18" t="n">
        <x:v>121</x:v>
      </x:c>
      <x:c r="H4084" s="19" t="n">
        <x:v>2.880952380952381</x:v>
      </x:c>
      <x:c r="I4084" s="18" t="n">
        <x:f>ROUND(MIN(Model_Config_v3!$B$6,MAX(Q4084,R4084,S4084*Model_Config_v3!$B$4+T4084*Model_Config_v3!$B$5)),0)</x:f>
        <x:v>632</x:v>
      </x:c>
      <x:c r="J4084" s="18" t="n">
        <x:f>MIN(Model_Config_v3!$B$6,I4084+Model_Config_v3!$B$7)</x:f>
        <x:v>652</x:v>
      </x:c>
      <x:c r="K4084" s="20" t="n">
        <x:v>49.3</x:v>
      </x:c>
      <x:c r="L4084" t="str">
        <x:v>MENENGAH</x:v>
      </x:c>
      <x:c r="M4084" t="str">
        <x:v>SEDANG+</x:v>
      </x:c>
      <x:c r="N4084" t="str">
        <x:v>REGULER</x:v>
      </x:c>
      <x:c r="O4084" t="str">
        <x:v>SAINTEK</x:v>
      </x:c>
      <x:c r="P4084" t="str">
        <x:v>SAINS DASAR</x:v>
      </x:c>
      <x:c r="Q4084" s="18" t="n">
        <x:v>0</x:v>
      </x:c>
      <x:c r="R4084" s="18" t="n">
        <x:v>0</x:v>
      </x:c>
      <x:c r="S4084" s="18" t="n">
        <x:v>570.5489687910405</x:v>
      </x:c>
      <x:c r="T4084" s="18" t="n">
        <x:v>659</x:v>
      </x:c>
      <x:c r="U4084" s="18" t="n">
        <x:v>570.5489687910405</x:v>
      </x:c>
      <x:c r="V4084" s="20" t="n">
        <x:v>12</x:v>
      </x:c>
      <x:c r="W4084" s="20" t="n">
        <x:v>5</x:v>
      </x:c>
      <x:c r="X4084" s="20" t="n">
        <x:v>3</x:v>
      </x:c>
      <x:c r="Y4084" t="str">
        <x:v>Basis arsip 2025/2024</x:v>
      </x:c>
      <x:c r="Z4084" t="str">
        <x:v>https://snpmb.id/utbk-snbt/daya-tampung-snbt</x:v>
      </x:c>
      <x:c r="AA4084" t="str">
        <x:v>Tidak Ada</x:v>
      </x:c>
      <x:c r="AB4084" t="str">
        <x:v>Campus=55; Ratio=27.0; Prodi=50; RelDemand=67.4; Capacity=65.0</x:v>
      </x:c>
    </x:row>
    <x:row r="4085">
      <x:c r="A4085" t="n">
        <x:v>4082</x:v>
      </x:c>
      <x:c r="B4085" t="str">
        <x:v>PTN Vokasi</x:v>
      </x:c>
      <x:c r="C4085" t="str">
        <x:v>POLITEKNIK NEGERI LAMPUNG</x:v>
      </x:c>
      <x:c r="D4085" t="str">
        <x:v>TEKNOLOGI REKAYASA KONSTRUKSI JALAN DAN JEMBATAN</x:v>
      </x:c>
      <x:c r="E4085" t="str">
        <x:v>Sarjana Terapan</x:v>
      </x:c>
      <x:c r="F4085" s="18" t="n">
        <x:v>28</x:v>
      </x:c>
      <x:c r="G4085" s="18" t="n">
        <x:v>75</x:v>
      </x:c>
      <x:c r="H4085" s="19" t="n">
        <x:v>2.6785714285714284</x:v>
      </x:c>
      <x:c r="I4085" s="18" t="n">
        <x:f>ROUND(MIN(Model_Config_v3!$B$6,MAX(Q4085,R4085,S4085*Model_Config_v3!$B$4+T4085*Model_Config_v3!$B$5)),0)</x:f>
        <x:v>629</x:v>
      </x:c>
      <x:c r="J4085" s="18" t="n">
        <x:f>MIN(Model_Config_v3!$B$6,I4085+Model_Config_v3!$B$7)</x:f>
        <x:v>649</x:v>
      </x:c>
      <x:c r="K4085" s="20" t="n">
        <x:v>47.5</x:v>
      </x:c>
      <x:c r="L4085" t="str">
        <x:v>MENENGAH</x:v>
      </x:c>
      <x:c r="M4085" t="str">
        <x:v>SEDANG</x:v>
      </x:c>
      <x:c r="N4085" t="str">
        <x:v>REGULER</x:v>
      </x:c>
      <x:c r="O4085" t="str">
        <x:v>SAINTEK</x:v>
      </x:c>
      <x:c r="P4085" t="str">
        <x:v>UMUM</x:v>
      </x:c>
      <x:c r="Q4085" s="18" t="n">
        <x:v>0</x:v>
      </x:c>
      <x:c r="R4085" s="18" t="n">
        <x:v>0</x:v>
      </x:c>
      <x:c r="S4085" s="18" t="n">
        <x:v>567.0693555254429</x:v>
      </x:c>
      <x:c r="T4085" s="18" t="n">
        <x:v>655</x:v>
      </x:c>
      <x:c r="U4085" s="18" t="n">
        <x:v>567.0693555254429</x:v>
      </x:c>
      <x:c r="V4085" s="20" t="n">
        <x:v>12</x:v>
      </x:c>
      <x:c r="W4085" s="20" t="n">
        <x:v>5</x:v>
      </x:c>
      <x:c r="X4085" s="20" t="n">
        <x:v>3</x:v>
      </x:c>
      <x:c r="Y4085" t="str">
        <x:v>Basis arsip 2025/2024</x:v>
      </x:c>
      <x:c r="Z4085" t="str">
        <x:v>https://snpmb.id/utbk-snbt/daya-tampung-snbt</x:v>
      </x:c>
      <x:c r="AA4085" t="str">
        <x:v>Tidak Ada</x:v>
      </x:c>
      <x:c r="AB4085" t="str">
        <x:v>Campus=55; Ratio=25.2; Prodi=40; RelDemand=62.7; Capacity=76.7</x:v>
      </x:c>
    </x:row>
    <x:row r="4086">
      <x:c r="A4086" t="n">
        <x:v>4083</x:v>
      </x:c>
      <x:c r="B4086" t="str">
        <x:v>PTN Vokasi</x:v>
      </x:c>
      <x:c r="C4086" t="str">
        <x:v>POLITEKNIK NEGERI LAMPUNG</x:v>
      </x:c>
      <x:c r="D4086" t="str">
        <x:v>PENGEMBANGAN PRODUK AGRO INDUSTRI</x:v>
      </x:c>
      <x:c r="E4086" t="str">
        <x:v>Sarjana Terapan</x:v>
      </x:c>
      <x:c r="F4086" s="18" t="n">
        <x:v>56</x:v>
      </x:c>
      <x:c r="G4086" s="18" t="n">
        <x:v>64</x:v>
      </x:c>
      <x:c r="H4086" s="19" t="n">
        <x:v>1.1428571428571428</x:v>
      </x:c>
      <x:c r="I4086" s="18" t="n">
        <x:f>ROUND(MIN(Model_Config_v3!$B$6,MAX(Q4086,R4086,S4086*Model_Config_v3!$B$4+T4086*Model_Config_v3!$B$5)),0)</x:f>
        <x:v>600</x:v>
      </x:c>
      <x:c r="J4086" s="18" t="n">
        <x:f>MIN(Model_Config_v3!$B$6,I4086+Model_Config_v3!$B$7)</x:f>
        <x:v>620</x:v>
      </x:c>
      <x:c r="K4086" s="20" t="n">
        <x:v>36.1</x:v>
      </x:c>
      <x:c r="L4086" t="str">
        <x:v>RELATIF LONGGAR</x:v>
      </x:c>
      <x:c r="M4086" t="str">
        <x:v>SEDANG</x:v>
      </x:c>
      <x:c r="N4086" t="str">
        <x:v>REGULER</x:v>
      </x:c>
      <x:c r="O4086" t="str">
        <x:v>CAMPURAN</x:v>
      </x:c>
      <x:c r="P4086" t="str">
        <x:v>UMUM</x:v>
      </x:c>
      <x:c r="Q4086" s="18" t="n">
        <x:v>0</x:v>
      </x:c>
      <x:c r="R4086" s="18" t="n">
        <x:v>0</x:v>
      </x:c>
      <x:c r="S4086" s="18" t="n">
        <x:v>526.3791141675456</x:v>
      </x:c>
      <x:c r="T4086" s="18" t="n">
        <x:v>632</x:v>
      </x:c>
      <x:c r="U4086" s="18" t="n">
        <x:v>526.3791141675456</x:v>
      </x:c>
      <x:c r="V4086" s="20" t="n">
        <x:v>8.8</x:v>
      </x:c>
      <x:c r="W4086" s="20" t="n">
        <x:v>9.9</x:v>
      </x:c>
      <x:c r="X4086" s="20" t="n">
        <x:v>3.3</x:v>
      </x:c>
      <x:c r="Y4086" t="str">
        <x:v>Basis arsip 2025/2024</x:v>
      </x:c>
      <x:c r="Z4086" t="str">
        <x:v>https://snpmb.id/utbk-snbt/daya-tampung-snbt</x:v>
      </x:c>
      <x:c r="AA4086" t="str">
        <x:v>Tidak Ada</x:v>
      </x:c>
      <x:c r="AB4086" t="str">
        <x:v>Campus=55; Ratio=3.4; Prodi=40; RelDemand=26.7; Capacity=53.3</x:v>
      </x:c>
    </x:row>
    <x:row r="4087">
      <x:c r="A4087" t="n">
        <x:v>4084</x:v>
      </x:c>
      <x:c r="B4087" t="str">
        <x:v>PTN Vokasi</x:v>
      </x:c>
      <x:c r="C4087" t="str">
        <x:v>POLITEKNIK NEGERI LAMPUNG</x:v>
      </x:c>
      <x:c r="D4087" t="str">
        <x:v>TEKNOLOGI PRODUKSI TERNAK</x:v>
      </x:c>
      <x:c r="E4087" t="str">
        <x:v>Sarjana Terapan</x:v>
      </x:c>
      <x:c r="F4087" s="18" t="n">
        <x:v>56</x:v>
      </x:c>
      <x:c r="G4087" s="18" t="n">
        <x:v>56</x:v>
      </x:c>
      <x:c r="H4087" s="19" t="n">
        <x:v>1</x:v>
      </x:c>
      <x:c r="I4087" s="18" t="n">
        <x:f>ROUND(MIN(Model_Config_v3!$B$6,MAX(Q4087,R4087,S4087*Model_Config_v3!$B$4+T4087*Model_Config_v3!$B$5)),0)</x:f>
        <x:v>597</x:v>
      </x:c>
      <x:c r="J4087" s="18" t="n">
        <x:f>MIN(Model_Config_v3!$B$6,I4087+Model_Config_v3!$B$7)</x:f>
        <x:v>617</x:v>
      </x:c>
      <x:c r="K4087" s="20" t="n">
        <x:v>34.9</x:v>
      </x:c>
      <x:c r="L4087" t="str">
        <x:v>RELATIF LONGGAR</x:v>
      </x:c>
      <x:c r="M4087" t="str">
        <x:v>SEDANG</x:v>
      </x:c>
      <x:c r="N4087" t="str">
        <x:v>REGULER</x:v>
      </x:c>
      <x:c r="O4087" t="str">
        <x:v>SAINTEK</x:v>
      </x:c>
      <x:c r="P4087" t="str">
        <x:v>UMUM</x:v>
      </x:c>
      <x:c r="Q4087" s="18" t="n">
        <x:v>0</x:v>
      </x:c>
      <x:c r="R4087" s="18" t="n">
        <x:v>0</x:v>
      </x:c>
      <x:c r="S4087" s="18" t="n">
        <x:v>520</x:v>
      </x:c>
      <x:c r="T4087" s="18" t="n">
        <x:v>630</x:v>
      </x:c>
      <x:c r="U4087" s="18" t="n">
        <x:v>520</x:v>
      </x:c>
      <x:c r="V4087" s="20" t="n">
        <x:v>12</x:v>
      </x:c>
      <x:c r="W4087" s="20" t="n">
        <x:v>5</x:v>
      </x:c>
      <x:c r="X4087" s="20" t="n">
        <x:v>3</x:v>
      </x:c>
      <x:c r="Y4087" t="str">
        <x:v>Basis arsip 2025/2024</x:v>
      </x:c>
      <x:c r="Z4087" t="str">
        <x:v>https://snpmb.id/utbk-snbt/daya-tampung-snbt</x:v>
      </x:c>
      <x:c r="AA4087" t="str">
        <x:v>Tidak Ada</x:v>
      </x:c>
      <x:c r="AB4087" t="str">
        <x:v>Campus=55; Ratio=0.0; Prodi=40; RelDemand=23.4; Capacity=53.3</x:v>
      </x:c>
    </x:row>
    <x:row r="4088">
      <x:c r="A4088" t="n">
        <x:v>4085</x:v>
      </x:c>
      <x:c r="B4088" t="str">
        <x:v>PTN Vokasi</x:v>
      </x:c>
      <x:c r="C4088" t="str">
        <x:v>POLITEKNIK NEGERI LAMPUNG</x:v>
      </x:c>
      <x:c r="D4088" t="str">
        <x:v>TEKNOLOGI PEMBENIHAN IKAN</x:v>
      </x:c>
      <x:c r="E4088" t="str">
        <x:v>Sarjana Terapan</x:v>
      </x:c>
      <x:c r="F4088" s="18" t="n">
        <x:v>56</x:v>
      </x:c>
      <x:c r="G4088" s="18" t="n">
        <x:v>31</x:v>
      </x:c>
      <x:c r="H4088" s="19" t="n">
        <x:v>0.5535714285714286</x:v>
      </x:c>
      <x:c r="I4088" s="18" t="n">
        <x:f>ROUND(MIN(Model_Config_v3!$B$6,MAX(Q4088,R4088,S4088*Model_Config_v3!$B$4+T4088*Model_Config_v3!$B$5)),0)</x:f>
        <x:v>596</x:v>
      </x:c>
      <x:c r="J4088" s="18" t="n">
        <x:f>MIN(Model_Config_v3!$B$6,I4088+Model_Config_v3!$B$7)</x:f>
        <x:v>616</x:v>
      </x:c>
      <x:c r="K4088" s="20" t="n">
        <x:v>33.9</x:v>
      </x:c>
      <x:c r="L4088" t="str">
        <x:v>RELATIF LONGGAR</x:v>
      </x:c>
      <x:c r="M4088" t="str">
        <x:v>SEDANG</x:v>
      </x:c>
      <x:c r="N4088" t="str">
        <x:v>REGULER</x:v>
      </x:c>
      <x:c r="O4088" t="str">
        <x:v>SAINTEK</x:v>
      </x:c>
      <x:c r="P4088" t="str">
        <x:v>UMUM</x:v>
      </x:c>
      <x:c r="Q4088" s="18" t="n">
        <x:v>0</x:v>
      </x:c>
      <x:c r="R4088" s="18" t="n">
        <x:v>0</x:v>
      </x:c>
      <x:c r="S4088" s="18" t="n">
        <x:v>520</x:v>
      </x:c>
      <x:c r="T4088" s="18" t="n">
        <x:v>628</x:v>
      </x:c>
      <x:c r="U4088" s="18" t="n">
        <x:v>520</x:v>
      </x:c>
      <x:c r="V4088" s="20" t="n">
        <x:v>12</x:v>
      </x:c>
      <x:c r="W4088" s="20" t="n">
        <x:v>5</x:v>
      </x:c>
      <x:c r="X4088" s="20" t="n">
        <x:v>3</x:v>
      </x:c>
      <x:c r="Y4088" t="str">
        <x:v>Basis arsip 2025/2024</x:v>
      </x:c>
      <x:c r="Z4088" t="str">
        <x:v>https://snpmb.id/utbk-snbt/daya-tampung-snbt</x:v>
      </x:c>
      <x:c r="AA4088" t="str">
        <x:v>Tidak Ada</x:v>
      </x:c>
      <x:c r="AB4088" t="str">
        <x:v>Campus=55; Ratio=0.0; Prodi=40; RelDemand=12.9; Capacity=53.3</x:v>
      </x:c>
    </x:row>
    <x:row r="4089">
      <x:c r="A4089" t="n">
        <x:v>4086</x:v>
      </x:c>
      <x:c r="B4089" t="str">
        <x:v>PTN Vokasi</x:v>
      </x:c>
      <x:c r="C4089" t="str">
        <x:v>POLITEKNIK NEGERI LAMPUNG</x:v>
      </x:c>
      <x:c r="D4089" t="str">
        <x:v>AGRIBISNIS PANGAN</x:v>
      </x:c>
      <x:c r="E4089" t="str">
        <x:v>Sarjana Terapan</x:v>
      </x:c>
      <x:c r="F4089" s="18" t="n">
        <x:v>70</x:v>
      </x:c>
      <x:c r="G4089" s="18" t="n">
        <x:v>187</x:v>
      </x:c>
      <x:c r="H4089" s="19" t="n">
        <x:v>2.6714285714285713</x:v>
      </x:c>
      <x:c r="I4089" s="18" t="n">
        <x:f>ROUND(MIN(Model_Config_v3!$B$6,MAX(Q4089,R4089,S4089*Model_Config_v3!$B$4+T4089*Model_Config_v3!$B$5)),0)</x:f>
        <x:v>631</x:v>
      </x:c>
      <x:c r="J4089" s="18" t="n">
        <x:f>MIN(Model_Config_v3!$B$6,I4089+Model_Config_v3!$B$7)</x:f>
        <x:v>651</x:v>
      </x:c>
      <x:c r="K4089" s="20" t="n">
        <x:v>48.9</x:v>
      </x:c>
      <x:c r="L4089" t="str">
        <x:v>MENENGAH</x:v>
      </x:c>
      <x:c r="M4089" t="str">
        <x:v>SEDANG+</x:v>
      </x:c>
      <x:c r="N4089" t="str">
        <x:v>REGULER</x:v>
      </x:c>
      <x:c r="O4089" t="str">
        <x:v>SOSHUM</x:v>
      </x:c>
      <x:c r="P4089" t="str">
        <x:v>BISNIS/EKONOMI/AKUNTANSI</x:v>
      </x:c>
      <x:c r="Q4089" s="18" t="n">
        <x:v>0</x:v>
      </x:c>
      <x:c r="R4089" s="18" t="n">
        <x:v>0</x:v>
      </x:c>
      <x:c r="S4089" s="18" t="n">
        <x:v>566.9417923174466</x:v>
      </x:c>
      <x:c r="T4089" s="18" t="n">
        <x:v>658</x:v>
      </x:c>
      <x:c r="U4089" s="18" t="n">
        <x:v>581.9417923174466</x:v>
      </x:c>
      <x:c r="V4089" s="20" t="n">
        <x:v>4.4</x:v>
      </x:c>
      <x:c r="W4089" s="20" t="n">
        <x:v>14.3</x:v>
      </x:c>
      <x:c r="X4089" s="20" t="n">
        <x:v>3.3</x:v>
      </x:c>
      <x:c r="Y4089" t="str">
        <x:v>Basis arsip 2025/2024</x:v>
      </x:c>
      <x:c r="Z4089" t="str">
        <x:v>https://snpmb.id/utbk-snbt/daya-tampung-snbt</x:v>
      </x:c>
      <x:c r="AA4089" t="str">
        <x:v>Tidak Ada</x:v>
      </x:c>
      <x:c r="AB4089" t="str">
        <x:v>Campus=55; Ratio=25.1; Prodi=65; RelDemand=62.5; Capacity=41.7</x:v>
      </x:c>
    </x:row>
    <x:row r="4090">
      <x:c r="A4090" t="n">
        <x:v>4087</x:v>
      </x:c>
      <x:c r="B4090" t="str">
        <x:v>PTN Vokasi</x:v>
      </x:c>
      <x:c r="C4090" t="str">
        <x:v>POLITEKNIK NEGERI LAMPUNG</x:v>
      </x:c>
      <x:c r="D4090" t="str">
        <x:v>PENGELOLAAN PERKEBUNAN KOPI</x:v>
      </x:c>
      <x:c r="E4090" t="str">
        <x:v>Sarjana Terapan</x:v>
      </x:c>
      <x:c r="F4090" s="18" t="n">
        <x:v>28</x:v>
      </x:c>
      <x:c r="G4090" s="18" t="n">
        <x:v>23</x:v>
      </x:c>
      <x:c r="H4090" s="19" t="n">
        <x:v>0.8214285714285714</x:v>
      </x:c>
      <x:c r="I4090" s="18" t="n">
        <x:f>ROUND(MIN(Model_Config_v3!$B$6,MAX(Q4090,R4090,S4090*Model_Config_v3!$B$4+T4090*Model_Config_v3!$B$5)),0)</x:f>
        <x:v>600</x:v>
      </x:c>
      <x:c r="J4090" s="18" t="n">
        <x:f>MIN(Model_Config_v3!$B$6,I4090+Model_Config_v3!$B$7)</x:f>
        <x:v>620</x:v>
      </x:c>
      <x:c r="K4090" s="20" t="n">
        <x:v>36.8</x:v>
      </x:c>
      <x:c r="L4090" t="str">
        <x:v>RELATIF LONGGAR</x:v>
      </x:c>
      <x:c r="M4090" t="str">
        <x:v>SEDANG</x:v>
      </x:c>
      <x:c r="N4090" t="str">
        <x:v>REGULER</x:v>
      </x:c>
      <x:c r="O4090" t="str">
        <x:v>CAMPURAN</x:v>
      </x:c>
      <x:c r="P4090" t="str">
        <x:v>UMUM</x:v>
      </x:c>
      <x:c r="Q4090" s="18" t="n">
        <x:v>0</x:v>
      </x:c>
      <x:c r="R4090" s="18" t="n">
        <x:v>0</x:v>
      </x:c>
      <x:c r="S4090" s="18" t="n">
        <x:v>520</x:v>
      </x:c>
      <x:c r="T4090" s="18" t="n">
        <x:v>634</x:v>
      </x:c>
      <x:c r="U4090" s="18" t="n">
        <x:v>520</x:v>
      </x:c>
      <x:c r="V4090" s="20" t="n">
        <x:v>8.8</x:v>
      </x:c>
      <x:c r="W4090" s="20" t="n">
        <x:v>9.9</x:v>
      </x:c>
      <x:c r="X4090" s="20" t="n">
        <x:v>3.3</x:v>
      </x:c>
      <x:c r="Y4090" t="str">
        <x:v>Basis arsip 2025/2024</x:v>
      </x:c>
      <x:c r="Z4090" t="str">
        <x:v>https://snpmb.id/utbk-snbt/daya-tampung-snbt</x:v>
      </x:c>
      <x:c r="AA4090" t="str">
        <x:v>Tidak Ada</x:v>
      </x:c>
      <x:c r="AB4090" t="str">
        <x:v>Campus=55; Ratio=0.0; Prodi=40; RelDemand=19.2; Capacity=76.7</x:v>
      </x:c>
    </x:row>
    <x:row r="4091">
      <x:c r="A4091" t="n">
        <x:v>4088</x:v>
      </x:c>
      <x:c r="B4091" t="str">
        <x:v>PTN Vokasi</x:v>
      </x:c>
      <x:c r="C4091" t="str">
        <x:v>POLITEKNIK NEGERI LAMPUNG</x:v>
      </x:c>
      <x:c r="D4091" t="str">
        <x:v>PENGELOLAAN AGRIBISNIS</x:v>
      </x:c>
      <x:c r="E4091" t="str">
        <x:v>Sarjana Terapan</x:v>
      </x:c>
      <x:c r="F4091" s="18" t="n">
        <x:v>70</x:v>
      </x:c>
      <x:c r="G4091" s="18" t="n">
        <x:v>168</x:v>
      </x:c>
      <x:c r="H4091" s="19" t="n">
        <x:v>2.4</x:v>
      </x:c>
      <x:c r="I4091" s="18" t="n">
        <x:f>ROUND(MIN(Model_Config_v3!$B$6,MAX(Q4091,R4091,S4091*Model_Config_v3!$B$4+T4091*Model_Config_v3!$B$5)),0)</x:f>
        <x:v>627</x:v>
      </x:c>
      <x:c r="J4091" s="18" t="n">
        <x:f>MIN(Model_Config_v3!$B$6,I4091+Model_Config_v3!$B$7)</x:f>
        <x:v>647</x:v>
      </x:c>
      <x:c r="K4091" s="20" t="n">
        <x:v>47.6</x:v>
      </x:c>
      <x:c r="L4091" t="str">
        <x:v>MENENGAH</x:v>
      </x:c>
      <x:c r="M4091" t="str">
        <x:v>SEDANG+</x:v>
      </x:c>
      <x:c r="N4091" t="str">
        <x:v>REGULER</x:v>
      </x:c>
      <x:c r="O4091" t="str">
        <x:v>SOSHUM</x:v>
      </x:c>
      <x:c r="P4091" t="str">
        <x:v>BISNIS/EKONOMI/AKUNTANSI</x:v>
      </x:c>
      <x:c r="Q4091" s="18" t="n">
        <x:v>0</x:v>
      </x:c>
      <x:c r="R4091" s="18" t="n">
        <x:v>0</x:v>
      </x:c>
      <x:c r="S4091" s="18" t="n">
        <x:v>561.8232365882767</x:v>
      </x:c>
      <x:c r="T4091" s="18" t="n">
        <x:v>655</x:v>
      </x:c>
      <x:c r="U4091" s="18" t="n">
        <x:v>576.8232365882767</x:v>
      </x:c>
      <x:c r="V4091" s="20" t="n">
        <x:v>4.4</x:v>
      </x:c>
      <x:c r="W4091" s="20" t="n">
        <x:v>14.3</x:v>
      </x:c>
      <x:c r="X4091" s="20" t="n">
        <x:v>3.3</x:v>
      </x:c>
      <x:c r="Y4091" t="str">
        <x:v>Basis arsip 2025/2024</x:v>
      </x:c>
      <x:c r="Z4091" t="str">
        <x:v>https://snpmb.id/utbk-snbt/daya-tampung-snbt</x:v>
      </x:c>
      <x:c r="AA4091" t="str">
        <x:v>Tidak Ada</x:v>
      </x:c>
      <x:c r="AB4091" t="str">
        <x:v>Campus=55; Ratio=22.4; Prodi=65; RelDemand=56.1; Capacity=41.7</x:v>
      </x:c>
    </x:row>
    <x:row r="4092">
      <x:c r="A4092" t="n">
        <x:v>4089</x:v>
      </x:c>
      <x:c r="B4092" t="str">
        <x:v>PTN Vokasi</x:v>
      </x:c>
      <x:c r="C4092" t="str">
        <x:v>POLITEKNIK NEGERI LAMPUNG</x:v>
      </x:c>
      <x:c r="D4092" t="str">
        <x:v>AKUNTANSI PERPAJAKAN</x:v>
      </x:c>
      <x:c r="E4092" t="str">
        <x:v>Sarjana Terapan</x:v>
      </x:c>
      <x:c r="F4092" s="18" t="n">
        <x:v>70</x:v>
      </x:c>
      <x:c r="G4092" s="18" t="n">
        <x:v>483</x:v>
      </x:c>
      <x:c r="H4092" s="19" t="n">
        <x:v>6.9</x:v>
      </x:c>
      <x:c r="I4092" s="18" t="n">
        <x:f>ROUND(MIN(Model_Config_v3!$B$6,MAX(Q4092,R4092,S4092*Model_Config_v3!$B$4+T4092*Model_Config_v3!$B$5)),0)</x:f>
        <x:v>658</x:v>
      </x:c>
      <x:c r="J4092" s="18" t="n">
        <x:f>MIN(Model_Config_v3!$B$6,I4092+Model_Config_v3!$B$7)</x:f>
        <x:v>678</x:v>
      </x:c>
      <x:c r="K4092" s="20" t="n">
        <x:v>58.8</x:v>
      </x:c>
      <x:c r="L4092" t="str">
        <x:v>KETAT</x:v>
      </x:c>
      <x:c r="M4092" t="str">
        <x:v>SEDANG+</x:v>
      </x:c>
      <x:c r="N4092" t="str">
        <x:v>REGULER</x:v>
      </x:c>
      <x:c r="O4092" t="str">
        <x:v>SOSHUM</x:v>
      </x:c>
      <x:c r="P4092" t="str">
        <x:v>BISNIS/EKONOMI/AKUNTANSI</x:v>
      </x:c>
      <x:c r="Q4092" s="18" t="n">
        <x:v>0</x:v>
      </x:c>
      <x:c r="R4092" s="18" t="n">
        <x:v>0</x:v>
      </x:c>
      <x:c r="S4092" s="18" t="n">
        <x:v>612.2733999810981</x:v>
      </x:c>
      <x:c r="T4092" s="18" t="n">
        <x:v>678</x:v>
      </x:c>
      <x:c r="U4092" s="18" t="n">
        <x:v>612.2733999810981</x:v>
      </x:c>
      <x:c r="V4092" s="20" t="n">
        <x:v>4.4</x:v>
      </x:c>
      <x:c r="W4092" s="20" t="n">
        <x:v>14.3</x:v>
      </x:c>
      <x:c r="X4092" s="20" t="n">
        <x:v>3.3</x:v>
      </x:c>
      <x:c r="Y4092" t="str">
        <x:v>Basis arsip 2025/2024</x:v>
      </x:c>
      <x:c r="Z4092" t="str">
        <x:v>https://snpmb.id/utbk-snbt/daya-tampung-snbt</x:v>
      </x:c>
      <x:c r="AA4092" t="str">
        <x:v>Tidak Ada</x:v>
      </x:c>
      <x:c r="AB4092" t="str">
        <x:v>Campus=55; Ratio=49.4; Prodi=65; RelDemand=100.0; Capacity=41.7</x:v>
      </x:c>
    </x:row>
    <x:row r="4093">
      <x:c r="A4093" t="n">
        <x:v>4090</x:v>
      </x:c>
      <x:c r="B4093" t="str">
        <x:v>PTN Vokasi</x:v>
      </x:c>
      <x:c r="C4093" t="str">
        <x:v>POLITEKNIK NEGERI LAMPUNG</x:v>
      </x:c>
      <x:c r="D4093" t="str">
        <x:v>PENGELOLAAN PERHOTELAN</x:v>
      </x:c>
      <x:c r="E4093" t="str">
        <x:v>Sarjana Terapan</x:v>
      </x:c>
      <x:c r="F4093" s="18" t="n">
        <x:v>70</x:v>
      </x:c>
      <x:c r="G4093" s="18" t="n">
        <x:v>156</x:v>
      </x:c>
      <x:c r="H4093" s="19" t="n">
        <x:v>2.2285714285714286</x:v>
      </x:c>
      <x:c r="I4093" s="18" t="n">
        <x:f>ROUND(MIN(Model_Config_v3!$B$6,MAX(Q4093,R4093,S4093*Model_Config_v3!$B$4+T4093*Model_Config_v3!$B$5)),0)</x:f>
        <x:v>618</x:v>
      </x:c>
      <x:c r="J4093" s="18" t="n">
        <x:f>MIN(Model_Config_v3!$B$6,I4093+Model_Config_v3!$B$7)</x:f>
        <x:v>638</x:v>
      </x:c>
      <x:c r="K4093" s="20" t="n">
        <x:v>41.8</x:v>
      </x:c>
      <x:c r="L4093" t="str">
        <x:v>RELATIF LONGGAR</x:v>
      </x:c>
      <x:c r="M4093" t="str">
        <x:v>SEDANG</x:v>
      </x:c>
      <x:c r="N4093" t="str">
        <x:v>REGULER</x:v>
      </x:c>
      <x:c r="O4093" t="str">
        <x:v>CAMPURAN</x:v>
      </x:c>
      <x:c r="P4093" t="str">
        <x:v>UMUM</x:v>
      </x:c>
      <x:c r="Q4093" s="18" t="n">
        <x:v>0</x:v>
      </x:c>
      <x:c r="R4093" s="18" t="n">
        <x:v>0</x:v>
      </x:c>
      <x:c r="S4093" s="18" t="n">
        <x:v>558.2829214174225</x:v>
      </x:c>
      <x:c r="T4093" s="18" t="n">
        <x:v>644</x:v>
      </x:c>
      <x:c r="U4093" s="18" t="n">
        <x:v>558.2829214174225</x:v>
      </x:c>
      <x:c r="V4093" s="20" t="n">
        <x:v>8.8</x:v>
      </x:c>
      <x:c r="W4093" s="20" t="n">
        <x:v>9.9</x:v>
      </x:c>
      <x:c r="X4093" s="20" t="n">
        <x:v>3.3</x:v>
      </x:c>
      <x:c r="Y4093" t="str">
        <x:v>Basis arsip 2025/2024</x:v>
      </x:c>
      <x:c r="Z4093" t="str">
        <x:v>https://snpmb.id/utbk-snbt/daya-tampung-snbt</x:v>
      </x:c>
      <x:c r="AA4093" t="str">
        <x:v>Tidak Ada</x:v>
      </x:c>
      <x:c r="AB4093" t="str">
        <x:v>Campus=55; Ratio=20.5; Prodi=40; RelDemand=52.1; Capacity=41.7</x:v>
      </x:c>
    </x:row>
    <x:row r="4094">
      <x:c r="A4094" t="n">
        <x:v>4091</x:v>
      </x:c>
      <x:c r="B4094" t="str">
        <x:v>PTN Vokasi</x:v>
      </x:c>
      <x:c r="C4094" t="str">
        <x:v>POLITEKNIK NEGERI LAMPUNG</x:v>
      </x:c>
      <x:c r="D4094" t="str">
        <x:v>AKUNTANSI BISNIS DIGITAL</x:v>
      </x:c>
      <x:c r="E4094" t="str">
        <x:v>Sarjana Terapan</x:v>
      </x:c>
      <x:c r="F4094" s="18" t="n">
        <x:v>70</x:v>
      </x:c>
      <x:c r="G4094" s="18" t="n">
        <x:v>351</x:v>
      </x:c>
      <x:c r="H4094" s="19" t="n">
        <x:v>5.014285714285714</x:v>
      </x:c>
      <x:c r="I4094" s="18" t="n">
        <x:f>ROUND(MIN(Model_Config_v3!$B$6,MAX(Q4094,R4094,S4094*Model_Config_v3!$B$4+T4094*Model_Config_v3!$B$5)),0)</x:f>
        <x:v>650</x:v>
      </x:c>
      <x:c r="J4094" s="18" t="n">
        <x:f>MIN(Model_Config_v3!$B$6,I4094+Model_Config_v3!$B$7)</x:f>
        <x:v>670</x:v>
      </x:c>
      <x:c r="K4094" s="20" t="n">
        <x:v>56.7</x:v>
      </x:c>
      <x:c r="L4094" t="str">
        <x:v>KETAT</x:v>
      </x:c>
      <x:c r="M4094" t="str">
        <x:v>SEDANG+</x:v>
      </x:c>
      <x:c r="N4094" t="str">
        <x:v>REGULER</x:v>
      </x:c>
      <x:c r="O4094" t="str">
        <x:v>SOSHUM</x:v>
      </x:c>
      <x:c r="P4094" t="str">
        <x:v>BISNIS/EKONOMI/AKUNTANSI</x:v>
      </x:c>
      <x:c r="Q4094" s="18" t="n">
        <x:v>0</x:v>
      </x:c>
      <x:c r="R4094" s="18" t="n">
        <x:v>0</x:v>
      </x:c>
      <x:c r="S4094" s="18" t="n">
        <x:v>597.0229984096724</x:v>
      </x:c>
      <x:c r="T4094" s="18" t="n">
        <x:v>673</x:v>
      </x:c>
      <x:c r="U4094" s="18" t="n">
        <x:v>612.0229984096724</x:v>
      </x:c>
      <x:c r="V4094" s="20" t="n">
        <x:v>4.4</x:v>
      </x:c>
      <x:c r="W4094" s="20" t="n">
        <x:v>14.3</x:v>
      </x:c>
      <x:c r="X4094" s="20" t="n">
        <x:v>3.3</x:v>
      </x:c>
      <x:c r="Y4094" t="str">
        <x:v>Basis arsip 2025/2024</x:v>
      </x:c>
      <x:c r="Z4094" t="str">
        <x:v>https://snpmb.id/utbk-snbt/daya-tampung-snbt</x:v>
      </x:c>
      <x:c r="AA4094" t="str">
        <x:v>Tidak Ada</x:v>
      </x:c>
      <x:c r="AB4094" t="str">
        <x:v>Campus=55; Ratio=41.2; Prodi=65; RelDemand=100.0; Capacity=41.7</x:v>
      </x:c>
    </x:row>
    <x:row r="4095">
      <x:c r="A4095" t="n">
        <x:v>4092</x:v>
      </x:c>
      <x:c r="B4095" t="str">
        <x:v>PTN Vokasi</x:v>
      </x:c>
      <x:c r="C4095" t="str">
        <x:v>POLITEKNIK NEGERI LAMPUNG</x:v>
      </x:c>
      <x:c r="D4095" t="str">
        <x:v>TEKNOLOGI PAKAN TERNAK</x:v>
      </x:c>
      <x:c r="E4095" t="str">
        <x:v>Sarjana Terapan</x:v>
      </x:c>
      <x:c r="F4095" s="18" t="n">
        <x:v>42</x:v>
      </x:c>
      <x:c r="G4095" s="18" t="n">
        <x:v>41</x:v>
      </x:c>
      <x:c r="H4095" s="19" t="n">
        <x:v>0.9761904761904762</x:v>
      </x:c>
      <x:c r="I4095" s="18" t="n">
        <x:f>ROUND(MIN(Model_Config_v3!$B$6,MAX(Q4095,R4095,S4095*Model_Config_v3!$B$4+T4095*Model_Config_v3!$B$5)),0)</x:f>
        <x:v>598</x:v>
      </x:c>
      <x:c r="J4095" s="18" t="n">
        <x:f>MIN(Model_Config_v3!$B$6,I4095+Model_Config_v3!$B$7)</x:f>
        <x:v>618</x:v>
      </x:c>
      <x:c r="K4095" s="20" t="n">
        <x:v>36</x:v>
      </x:c>
      <x:c r="L4095" t="str">
        <x:v>RELATIF LONGGAR</x:v>
      </x:c>
      <x:c r="M4095" t="str">
        <x:v>SEDANG</x:v>
      </x:c>
      <x:c r="N4095" t="str">
        <x:v>REGULER</x:v>
      </x:c>
      <x:c r="O4095" t="str">
        <x:v>SAINTEK</x:v>
      </x:c>
      <x:c r="P4095" t="str">
        <x:v>UMUM</x:v>
      </x:c>
      <x:c r="Q4095" s="18" t="n">
        <x:v>0</x:v>
      </x:c>
      <x:c r="R4095" s="18" t="n">
        <x:v>0</x:v>
      </x:c>
      <x:c r="S4095" s="18" t="n">
        <x:v>520</x:v>
      </x:c>
      <x:c r="T4095" s="18" t="n">
        <x:v>632</x:v>
      </x:c>
      <x:c r="U4095" s="18" t="n">
        <x:v>520</x:v>
      </x:c>
      <x:c r="V4095" s="20" t="n">
        <x:v>12</x:v>
      </x:c>
      <x:c r="W4095" s="20" t="n">
        <x:v>5</x:v>
      </x:c>
      <x:c r="X4095" s="20" t="n">
        <x:v>3</x:v>
      </x:c>
      <x:c r="Y4095" t="str">
        <x:v>Basis arsip 2025/2024</x:v>
      </x:c>
      <x:c r="Z4095" t="str">
        <x:v>https://snpmb.id/utbk-snbt/daya-tampung-snbt</x:v>
      </x:c>
      <x:c r="AA4095" t="str">
        <x:v>Tidak Ada</x:v>
      </x:c>
      <x:c r="AB4095" t="str">
        <x:v>Campus=55; Ratio=0.0; Prodi=40; RelDemand=22.8; Capacity=65.0</x:v>
      </x:c>
    </x:row>
    <x:row r="4096">
      <x:c r="A4096" t="n">
        <x:v>4093</x:v>
      </x:c>
      <x:c r="B4096" t="str">
        <x:v>PTN Vokasi</x:v>
      </x:c>
      <x:c r="C4096" t="str">
        <x:v>POLITEKNIK NEGERI LAMPUNG</x:v>
      </x:c>
      <x:c r="D4096" t="str">
        <x:v>TEKNOLOGI REKAYASA INTERNET</x:v>
      </x:c>
      <x:c r="E4096" t="str">
        <x:v>Sarjana Terapan</x:v>
      </x:c>
      <x:c r="F4096" s="18" t="n">
        <x:v>70</x:v>
      </x:c>
      <x:c r="G4096" s="18" t="n">
        <x:v>99</x:v>
      </x:c>
      <x:c r="H4096" s="19" t="n">
        <x:v>1.4142857142857144</x:v>
      </x:c>
      <x:c r="I4096" s="18" t="n">
        <x:f>ROUND(MIN(Model_Config_v3!$B$6,MAX(Q4096,R4096,S4096*Model_Config_v3!$B$4+T4096*Model_Config_v3!$B$5)),0)</x:f>
        <x:v>605</x:v>
      </x:c>
      <x:c r="J4096" s="18" t="n">
        <x:f>MIN(Model_Config_v3!$B$6,I4096+Model_Config_v3!$B$7)</x:f>
        <x:v>625</x:v>
      </x:c>
      <x:c r="K4096" s="20" t="n">
        <x:v>36.9</x:v>
      </x:c>
      <x:c r="L4096" t="str">
        <x:v>RELATIF LONGGAR</x:v>
      </x:c>
      <x:c r="M4096" t="str">
        <x:v>SEDANG</x:v>
      </x:c>
      <x:c r="N4096" t="str">
        <x:v>REGULER</x:v>
      </x:c>
      <x:c r="O4096" t="str">
        <x:v>SAINTEK</x:v>
      </x:c>
      <x:c r="P4096" t="str">
        <x:v>UMUM</x:v>
      </x:c>
      <x:c r="Q4096" s="18" t="n">
        <x:v>0</x:v>
      </x:c>
      <x:c r="R4096" s="18" t="n">
        <x:v>0</x:v>
      </x:c>
      <x:c r="S4096" s="18" t="n">
        <x:v>536.5590870041623</x:v>
      </x:c>
      <x:c r="T4096" s="18" t="n">
        <x:v>634</x:v>
      </x:c>
      <x:c r="U4096" s="18" t="n">
        <x:v>536.5590870041623</x:v>
      </x:c>
      <x:c r="V4096" s="20" t="n">
        <x:v>12</x:v>
      </x:c>
      <x:c r="W4096" s="20" t="n">
        <x:v>5</x:v>
      </x:c>
      <x:c r="X4096" s="20" t="n">
        <x:v>3</x:v>
      </x:c>
      <x:c r="Y4096" t="str">
        <x:v>Basis arsip 2025/2024</x:v>
      </x:c>
      <x:c r="Z4096" t="str">
        <x:v>https://snpmb.id/utbk-snbt/daya-tampung-snbt</x:v>
      </x:c>
      <x:c r="AA4096" t="str">
        <x:v>Tidak Ada</x:v>
      </x:c>
      <x:c r="AB4096" t="str">
        <x:v>Campus=55; Ratio=8.9; Prodi=40; RelDemand=33.1; Capacity=41.7</x:v>
      </x:c>
    </x:row>
    <x:row r="4097">
      <x:c r="A4097" t="n">
        <x:v>4094</x:v>
      </x:c>
      <x:c r="B4097" t="str">
        <x:v>PTN Vokasi</x:v>
      </x:c>
      <x:c r="C4097" t="str">
        <x:v>POLITEKNIK NEGERI LAMPUNG</x:v>
      </x:c>
      <x:c r="D4097" t="str">
        <x:v>TEKNOLOGI REKAYASA PERANGKAT LUNAK</x:v>
      </x:c>
      <x:c r="E4097" t="str">
        <x:v>Sarjana Terapan</x:v>
      </x:c>
      <x:c r="F4097" s="18" t="n">
        <x:v>70</x:v>
      </x:c>
      <x:c r="G4097" s="18" t="n">
        <x:v>134</x:v>
      </x:c>
      <x:c r="H4097" s="19" t="n">
        <x:v>1.9142857142857144</x:v>
      </x:c>
      <x:c r="I4097" s="18" t="n">
        <x:f>ROUND(MIN(Model_Config_v3!$B$6,MAX(Q4097,R4097,S4097*Model_Config_v3!$B$4+T4097*Model_Config_v3!$B$5)),0)</x:f>
        <x:v>613</x:v>
      </x:c>
      <x:c r="J4097" s="18" t="n">
        <x:f>MIN(Model_Config_v3!$B$6,I4097+Model_Config_v3!$B$7)</x:f>
        <x:v>633</x:v>
      </x:c>
      <x:c r="K4097" s="20" t="n">
        <x:v>40</x:v>
      </x:c>
      <x:c r="L4097" t="str">
        <x:v>RELATIF LONGGAR</x:v>
      </x:c>
      <x:c r="M4097" t="str">
        <x:v>SEDANG</x:v>
      </x:c>
      <x:c r="N4097" t="str">
        <x:v>REGULER</x:v>
      </x:c>
      <x:c r="O4097" t="str">
        <x:v>SAINTEK</x:v>
      </x:c>
      <x:c r="P4097" t="str">
        <x:v>UMUM</x:v>
      </x:c>
      <x:c r="Q4097" s="18" t="n">
        <x:v>0</x:v>
      </x:c>
      <x:c r="R4097" s="18" t="n">
        <x:v>0</x:v>
      </x:c>
      <x:c r="S4097" s="18" t="n">
        <x:v>551.0207434185606</x:v>
      </x:c>
      <x:c r="T4097" s="18" t="n">
        <x:v>640</x:v>
      </x:c>
      <x:c r="U4097" s="18" t="n">
        <x:v>551.0207434185606</x:v>
      </x:c>
      <x:c r="V4097" s="20" t="n">
        <x:v>12</x:v>
      </x:c>
      <x:c r="W4097" s="20" t="n">
        <x:v>5</x:v>
      </x:c>
      <x:c r="X4097" s="20" t="n">
        <x:v>3</x:v>
      </x:c>
      <x:c r="Y4097" t="str">
        <x:v>Basis arsip 2025/2024</x:v>
      </x:c>
      <x:c r="Z4097" t="str">
        <x:v>https://snpmb.id/utbk-snbt/daya-tampung-snbt</x:v>
      </x:c>
      <x:c r="AA4097" t="str">
        <x:v>Tidak Ada</x:v>
      </x:c>
      <x:c r="AB4097" t="str">
        <x:v>Campus=55; Ratio=16.6; Prodi=40; RelDemand=44.8; Capacity=41.7</x:v>
      </x:c>
    </x:row>
    <x:row r="4098">
      <x:c r="A4098" t="n">
        <x:v>4095</x:v>
      </x:c>
      <x:c r="B4098" t="str">
        <x:v>PTN Vokasi</x:v>
      </x:c>
      <x:c r="C4098" t="str">
        <x:v>POLITEKNIK NEGERI LAMPUNG</x:v>
      </x:c>
      <x:c r="D4098" t="str">
        <x:v>TEKNOLOGI REKAYASA ELEKTRONIKA</x:v>
      </x:c>
      <x:c r="E4098" t="str">
        <x:v>Sarjana Terapan</x:v>
      </x:c>
      <x:c r="F4098" s="18" t="n">
        <x:v>28</x:v>
      </x:c>
      <x:c r="G4098" s="18" t="n">
        <x:v>52</x:v>
      </x:c>
      <x:c r="H4098" s="19" t="n">
        <x:v>1.8571428571428572</x:v>
      </x:c>
      <x:c r="I4098" s="18" t="n">
        <x:f>ROUND(MIN(Model_Config_v3!$B$6,MAX(Q4098,R4098,S4098*Model_Config_v3!$B$4+T4098*Model_Config_v3!$B$5)),0)</x:f>
        <x:v>617</x:v>
      </x:c>
      <x:c r="J4098" s="18" t="n">
        <x:f>MIN(Model_Config_v3!$B$6,I4098+Model_Config_v3!$B$7)</x:f>
        <x:v>637</x:v>
      </x:c>
      <x:c r="K4098" s="20" t="n">
        <x:v>43.2</x:v>
      </x:c>
      <x:c r="L4098" t="str">
        <x:v>RELATIF LONGGAR</x:v>
      </x:c>
      <x:c r="M4098" t="str">
        <x:v>SEDANG</x:v>
      </x:c>
      <x:c r="N4098" t="str">
        <x:v>REGULER</x:v>
      </x:c>
      <x:c r="O4098" t="str">
        <x:v>SAINTEK</x:v>
      </x:c>
      <x:c r="P4098" t="str">
        <x:v>UMUM</x:v>
      </x:c>
      <x:c r="Q4098" s="18" t="n">
        <x:v>0</x:v>
      </x:c>
      <x:c r="R4098" s="18" t="n">
        <x:v>0</x:v>
      </x:c>
      <x:c r="S4098" s="18" t="n">
        <x:v>549.5729843521838</x:v>
      </x:c>
      <x:c r="T4098" s="18" t="n">
        <x:v>646</x:v>
      </x:c>
      <x:c r="U4098" s="18" t="n">
        <x:v>549.5729843521838</x:v>
      </x:c>
      <x:c r="V4098" s="20" t="n">
        <x:v>12</x:v>
      </x:c>
      <x:c r="W4098" s="20" t="n">
        <x:v>5</x:v>
      </x:c>
      <x:c r="X4098" s="20" t="n">
        <x:v>3</x:v>
      </x:c>
      <x:c r="Y4098" t="str">
        <x:v>Basis arsip 2025/2024</x:v>
      </x:c>
      <x:c r="Z4098" t="str">
        <x:v>https://snpmb.id/utbk-snbt/daya-tampung-snbt</x:v>
      </x:c>
      <x:c r="AA4098" t="str">
        <x:v>Tidak Ada</x:v>
      </x:c>
      <x:c r="AB4098" t="str">
        <x:v>Campus=55; Ratio=15.8; Prodi=40; RelDemand=43.4; Capacity=76.7</x:v>
      </x:c>
    </x:row>
    <x:row r="4099">
      <x:c r="A4099" t="n">
        <x:v>4096</x:v>
      </x:c>
      <x:c r="B4099" t="str">
        <x:v>PTN Vokasi</x:v>
      </x:c>
      <x:c r="C4099" t="str">
        <x:v>POLITEKNIK NEGERI LAMPUNG</x:v>
      </x:c>
      <x:c r="D4099" t="str">
        <x:v>TEKNOLOGI PRODUKSI TANAMAN PANGAN</x:v>
      </x:c>
      <x:c r="E4099" t="str">
        <x:v>Sarjana Terapan</x:v>
      </x:c>
      <x:c r="F4099" s="18" t="n">
        <x:v>42</x:v>
      </x:c>
      <x:c r="G4099" s="18" t="n">
        <x:v>60</x:v>
      </x:c>
      <x:c r="H4099" s="19" t="n">
        <x:v>1.4285714285714286</x:v>
      </x:c>
      <x:c r="I4099" s="18" t="n">
        <x:f>ROUND(MIN(Model_Config_v3!$B$6,MAX(Q4099,R4099,S4099*Model_Config_v3!$B$4+T4099*Model_Config_v3!$B$5)),0)</x:f>
        <x:v>608</x:v>
      </x:c>
      <x:c r="J4099" s="18" t="n">
        <x:f>MIN(Model_Config_v3!$B$6,I4099+Model_Config_v3!$B$7)</x:f>
        <x:v>628</x:v>
      </x:c>
      <x:c r="K4099" s="20" t="n">
        <x:v>39.4</x:v>
      </x:c>
      <x:c r="L4099" t="str">
        <x:v>RELATIF LONGGAR</x:v>
      </x:c>
      <x:c r="M4099" t="str">
        <x:v>SEDANG</x:v>
      </x:c>
      <x:c r="N4099" t="str">
        <x:v>REGULER</x:v>
      </x:c>
      <x:c r="O4099" t="str">
        <x:v>SAINTEK</x:v>
      </x:c>
      <x:c r="P4099" t="str">
        <x:v>UMUM</x:v>
      </x:c>
      <x:c r="Q4099" s="18" t="n">
        <x:v>0</x:v>
      </x:c>
      <x:c r="R4099" s="18" t="n">
        <x:v>0</x:v>
      </x:c>
      <x:c r="S4099" s="18" t="n">
        <x:v>537.0392155984317</x:v>
      </x:c>
      <x:c r="T4099" s="18" t="n">
        <x:v>639</x:v>
      </x:c>
      <x:c r="U4099" s="18" t="n">
        <x:v>537.0392155984317</x:v>
      </x:c>
      <x:c r="V4099" s="20" t="n">
        <x:v>12</x:v>
      </x:c>
      <x:c r="W4099" s="20" t="n">
        <x:v>5</x:v>
      </x:c>
      <x:c r="X4099" s="20" t="n">
        <x:v>3</x:v>
      </x:c>
      <x:c r="Y4099" t="str">
        <x:v>Basis arsip 2025/2024</x:v>
      </x:c>
      <x:c r="Z4099" t="str">
        <x:v>https://snpmb.id/utbk-snbt/daya-tampung-snbt</x:v>
      </x:c>
      <x:c r="AA4099" t="str">
        <x:v>Tidak Ada</x:v>
      </x:c>
      <x:c r="AB4099" t="str">
        <x:v>Campus=55; Ratio=9.1; Prodi=40; RelDemand=33.4; Capacity=65.0</x:v>
      </x:c>
    </x:row>
    <x:row r="4100">
      <x:c r="A4100" t="n">
        <x:v>4097</x:v>
      </x:c>
      <x:c r="B4100" t="str">
        <x:v>PTN Vokasi</x:v>
      </x:c>
      <x:c r="C4100" t="str">
        <x:v>POLITEKNIK NEGERI LAMPUNG</x:v>
      </x:c>
      <x:c r="D4100" t="str">
        <x:v>AGRIBISNIS PETERNAKAN</x:v>
      </x:c>
      <x:c r="E4100" t="str">
        <x:v>Sarjana Terapan</x:v>
      </x:c>
      <x:c r="F4100" s="18" t="n">
        <x:v>54</x:v>
      </x:c>
      <x:c r="G4100" s="18" t="n">
        <x:v>72</x:v>
      </x:c>
      <x:c r="H4100" s="19" t="n">
        <x:v>1.3333333333333333</x:v>
      </x:c>
      <x:c r="I4100" s="18" t="n">
        <x:f>ROUND(MIN(Model_Config_v3!$B$6,MAX(Q4100,R4100,S4100*Model_Config_v3!$B$4+T4100*Model_Config_v3!$B$5)),0)</x:f>
        <x:v>612</x:v>
      </x:c>
      <x:c r="J4100" s="18" t="n">
        <x:f>MIN(Model_Config_v3!$B$6,I4100+Model_Config_v3!$B$7)</x:f>
        <x:v>632</x:v>
      </x:c>
      <x:c r="K4100" s="20" t="n">
        <x:v>42.7</x:v>
      </x:c>
      <x:c r="L4100" t="str">
        <x:v>RELATIF LONGGAR</x:v>
      </x:c>
      <x:c r="M4100" t="str">
        <x:v>SEDANG+</x:v>
      </x:c>
      <x:c r="N4100" t="str">
        <x:v>REGULER</x:v>
      </x:c>
      <x:c r="O4100" t="str">
        <x:v>SAINTEK</x:v>
      </x:c>
      <x:c r="P4100" t="str">
        <x:v>BISNIS/EKONOMI/AKUNTANSI</x:v>
      </x:c>
      <x:c r="Q4100" s="18" t="n">
        <x:v>0</x:v>
      </x:c>
      <x:c r="R4100" s="18" t="n">
        <x:v>0</x:v>
      </x:c>
      <x:c r="S4100" s="18" t="n">
        <x:v>533.7432610269129</x:v>
      </x:c>
      <x:c r="T4100" s="18" t="n">
        <x:v>645</x:v>
      </x:c>
      <x:c r="U4100" s="18" t="n">
        <x:v>548.7432610269129</x:v>
      </x:c>
      <x:c r="V4100" s="20" t="n">
        <x:v>12</x:v>
      </x:c>
      <x:c r="W4100" s="20" t="n">
        <x:v>5</x:v>
      </x:c>
      <x:c r="X4100" s="20" t="n">
        <x:v>3</x:v>
      </x:c>
      <x:c r="Y4100" t="str">
        <x:v>Basis arsip 2025/2024</x:v>
      </x:c>
      <x:c r="Z4100" t="str">
        <x:v>https://snpmb.id/utbk-snbt/daya-tampung-snbt</x:v>
      </x:c>
      <x:c r="AA4100" t="str">
        <x:v>Tidak Ada</x:v>
      </x:c>
      <x:c r="AB4100" t="str">
        <x:v>Campus=55; Ratio=7.4; Prodi=65; RelDemand=31.2; Capacity=55.0</x:v>
      </x:c>
    </x:row>
    <x:row r="4101">
      <x:c r="A4101" t="n">
        <x:v>4098</x:v>
      </x:c>
      <x:c r="B4101" t="str">
        <x:v>PTN Vokasi</x:v>
      </x:c>
      <x:c r="C4101" t="str">
        <x:v>POLITEKNIK NEGERI LAMPUNG</x:v>
      </x:c>
      <x:c r="D4101" t="str">
        <x:v>PENGELOLAAN KONVENSI DAN ACARA</x:v>
      </x:c>
      <x:c r="E4101" t="str">
        <x:v>Sarjana Terapan</x:v>
      </x:c>
      <x:c r="F4101" s="18" t="n">
        <x:v>28</x:v>
      </x:c>
      <x:c r="G4101" s="18" t="n">
        <x:v>17</x:v>
      </x:c>
      <x:c r="H4101" s="19" t="n">
        <x:v>0.6071428571428571</x:v>
      </x:c>
      <x:c r="I4101" s="18" t="n">
        <x:f>ROUND(MIN(Model_Config_v3!$B$6,MAX(Q4101,R4101,S4101*Model_Config_v3!$B$4+T4101*Model_Config_v3!$B$5)),0)</x:f>
        <x:v>599</x:v>
      </x:c>
      <x:c r="J4101" s="18" t="n">
        <x:f>MIN(Model_Config_v3!$B$6,I4101+Model_Config_v3!$B$7)</x:f>
        <x:v>619</x:v>
      </x:c>
      <x:c r="K4101" s="20" t="n">
        <x:v>36.3</x:v>
      </x:c>
      <x:c r="L4101" t="str">
        <x:v>RELATIF LONGGAR</x:v>
      </x:c>
      <x:c r="M4101" t="str">
        <x:v>SEDANG</x:v>
      </x:c>
      <x:c r="N4101" t="str">
        <x:v>REGULER</x:v>
      </x:c>
      <x:c r="O4101" t="str">
        <x:v>CAMPURAN</x:v>
      </x:c>
      <x:c r="P4101" t="str">
        <x:v>UMUM</x:v>
      </x:c>
      <x:c r="Q4101" s="18" t="n">
        <x:v>0</x:v>
      </x:c>
      <x:c r="R4101" s="18" t="n">
        <x:v>0</x:v>
      </x:c>
      <x:c r="S4101" s="18" t="n">
        <x:v>520</x:v>
      </x:c>
      <x:c r="T4101" s="18" t="n">
        <x:v>633</x:v>
      </x:c>
      <x:c r="U4101" s="18" t="n">
        <x:v>520</x:v>
      </x:c>
      <x:c r="V4101" s="20" t="n">
        <x:v>8.8</x:v>
      </x:c>
      <x:c r="W4101" s="20" t="n">
        <x:v>9.9</x:v>
      </x:c>
      <x:c r="X4101" s="20" t="n">
        <x:v>3.3</x:v>
      </x:c>
      <x:c r="Y4101" t="str">
        <x:v>Basis arsip 2025/2024</x:v>
      </x:c>
      <x:c r="Z4101" t="str">
        <x:v>https://snpmb.id/utbk-snbt/daya-tampung-snbt</x:v>
      </x:c>
      <x:c r="AA4101" t="str">
        <x:v>Tidak Ada</x:v>
      </x:c>
      <x:c r="AB4101" t="str">
        <x:v>Campus=55; Ratio=0.0; Prodi=40; RelDemand=14.2; Capacity=76.7</x:v>
      </x:c>
    </x:row>
    <x:row r="4102">
      <x:c r="A4102" t="n">
        <x:v>4099</x:v>
      </x:c>
      <x:c r="B4102" t="str">
        <x:v>PTN Vokasi</x:v>
      </x:c>
      <x:c r="C4102" t="str">
        <x:v>POLITEKNIK NEGERI LAMPUNG</x:v>
      </x:c>
      <x:c r="D4102" t="str">
        <x:v>KIMIA TERAPAN</x:v>
      </x:c>
      <x:c r="E4102" t="str">
        <x:v>Sarjana Terapan</x:v>
      </x:c>
      <x:c r="F4102" s="18" t="n">
        <x:v>28</x:v>
      </x:c>
      <x:c r="G4102" s="18"/>
      <x:c r="H4102" s="19" t="n">
        <x:v>0</x:v>
      </x:c>
      <x:c r="I4102" s="18" t="n">
        <x:f>ROUND(MIN(Model_Config_v3!$B$6,MAX(Q4102,R4102,S4102*Model_Config_v3!$B$4+T4102*Model_Config_v3!$B$5)),0)</x:f>
        <x:v>600</x:v>
      </x:c>
      <x:c r="J4102" s="18" t="n">
        <x:f>MIN(Model_Config_v3!$B$6,I4102+Model_Config_v3!$B$7)</x:f>
        <x:v>620</x:v>
      </x:c>
      <x:c r="K4102" s="20" t="n">
        <x:v>36.9</x:v>
      </x:c>
      <x:c r="L4102" t="str">
        <x:v>RELATIF LONGGAR</x:v>
      </x:c>
      <x:c r="M4102" t="str">
        <x:v>RENDAH</x:v>
      </x:c>
      <x:c r="N4102" t="str">
        <x:v>REGULER</x:v>
      </x:c>
      <x:c r="O4102" t="str">
        <x:v>SAINTEK</x:v>
      </x:c>
      <x:c r="P4102" t="str">
        <x:v>SAINS DASAR</x:v>
      </x:c>
      <x:c r="Q4102" s="18" t="n">
        <x:v>0</x:v>
      </x:c>
      <x:c r="R4102" s="18" t="n">
        <x:v>0</x:v>
      </x:c>
      <x:c r="S4102" s="18" t="n">
        <x:v>520</x:v>
      </x:c>
      <x:c r="T4102" s="18" t="n">
        <x:v>634</x:v>
      </x:c>
      <x:c r="U4102" s="18" t="n">
        <x:v>520</x:v>
      </x:c>
      <x:c r="V4102" s="20" t="n">
        <x:v>12</x:v>
      </x:c>
      <x:c r="W4102" s="20" t="n">
        <x:v>5</x:v>
      </x:c>
      <x:c r="X4102" s="20" t="n">
        <x:v>3</x:v>
      </x:c>
      <x:c r="Y4102" t="str">
        <x:v>Basis arsip 2025/2024</x:v>
      </x:c>
      <x:c r="Z4102" t="str">
        <x:v>https://snpmb.id/utbk-snbt/daya-tampung-snbt</x:v>
      </x:c>
      <x:c r="AA4102" t="str">
        <x:v>Tidak Ada</x:v>
      </x:c>
      <x:c r="AB4102" t="str">
        <x:v>Campus=55; Ratio=0.0; Prodi=50; RelDemand=0.0; Capacity=76.7</x:v>
      </x:c>
    </x:row>
    <x:row r="4103">
      <x:c r="A4103" t="n">
        <x:v>4100</x:v>
      </x:c>
      <x:c r="B4103" t="str">
        <x:v>PTN Vokasi</x:v>
      </x:c>
      <x:c r="C4103" t="str">
        <x:v>POLITEKNIK NEGERI LAMPUNG</x:v>
      </x:c>
      <x:c r="D4103" t="str">
        <x:v>PRODUKSI MEDIA</x:v>
      </x:c>
      <x:c r="E4103" t="str">
        <x:v>Sarjana Terapan</x:v>
      </x:c>
      <x:c r="F4103" s="18" t="n">
        <x:v>28</x:v>
      </x:c>
      <x:c r="G4103" s="18"/>
      <x:c r="H4103" s="19" t="n">
        <x:v>0</x:v>
      </x:c>
      <x:c r="I4103" s="18" t="n">
        <x:f>ROUND(MIN(Model_Config_v3!$B$6,MAX(Q4103,R4103,S4103*Model_Config_v3!$B$4+T4103*Model_Config_v3!$B$5)),0)</x:f>
        <x:v>597</x:v>
      </x:c>
      <x:c r="J4103" s="18" t="n">
        <x:f>MIN(Model_Config_v3!$B$6,I4103+Model_Config_v3!$B$7)</x:f>
        <x:v>617</x:v>
      </x:c>
      <x:c r="K4103" s="20" t="n">
        <x:v>34.9</x:v>
      </x:c>
      <x:c r="L4103" t="str">
        <x:v>RELATIF LONGGAR</x:v>
      </x:c>
      <x:c r="M4103" t="str">
        <x:v>RENDAH</x:v>
      </x:c>
      <x:c r="N4103" t="str">
        <x:v>REGULER</x:v>
      </x:c>
      <x:c r="O4103" t="str">
        <x:v>CAMPURAN</x:v>
      </x:c>
      <x:c r="P4103" t="str">
        <x:v>UMUM</x:v>
      </x:c>
      <x:c r="Q4103" s="18" t="n">
        <x:v>0</x:v>
      </x:c>
      <x:c r="R4103" s="18" t="n">
        <x:v>0</x:v>
      </x:c>
      <x:c r="S4103" s="18" t="n">
        <x:v>520</x:v>
      </x:c>
      <x:c r="T4103" s="18" t="n">
        <x:v>630</x:v>
      </x:c>
      <x:c r="U4103" s="18" t="n">
        <x:v>520</x:v>
      </x:c>
      <x:c r="V4103" s="20" t="n">
        <x:v>8.8</x:v>
      </x:c>
      <x:c r="W4103" s="20" t="n">
        <x:v>9.9</x:v>
      </x:c>
      <x:c r="X4103" s="20" t="n">
        <x:v>3.3</x:v>
      </x:c>
      <x:c r="Y4103" t="str">
        <x:v>Basis arsip 2025/2024</x:v>
      </x:c>
      <x:c r="Z4103" t="str">
        <x:v>https://snpmb.id/utbk-snbt/daya-tampung-snbt</x:v>
      </x:c>
      <x:c r="AA4103" t="str">
        <x:v>Tidak Ada</x:v>
      </x:c>
      <x:c r="AB4103" t="str">
        <x:v>Campus=55; Ratio=0.0; Prodi=40; RelDemand=0.0; Capacity=76.7</x:v>
      </x:c>
    </x:row>
    <x:row r="4104">
      <x:c r="A4104" t="n">
        <x:v>4101</x:v>
      </x:c>
      <x:c r="B4104" t="str">
        <x:v>PTN Vokasi</x:v>
      </x:c>
      <x:c r="C4104" t="str">
        <x:v>POLITEKNIK NEGERI LAMPUNG</x:v>
      </x:c>
      <x:c r="D4104" t="str">
        <x:v>TEKNOLOGI REKAYASA OTOMOTIF</x:v>
      </x:c>
      <x:c r="E4104" t="str">
        <x:v>Sarjana Terapan</x:v>
      </x:c>
      <x:c r="F4104" s="18" t="n">
        <x:v>28</x:v>
      </x:c>
      <x:c r="G4104" s="18"/>
      <x:c r="H4104" s="19" t="n">
        <x:v>0</x:v>
      </x:c>
      <x:c r="I4104" s="18" t="n">
        <x:f>ROUND(MIN(Model_Config_v3!$B$6,MAX(Q4104,R4104,S4104*Model_Config_v3!$B$4+T4104*Model_Config_v3!$B$5)),0)</x:f>
        <x:v>597</x:v>
      </x:c>
      <x:c r="J4104" s="18" t="n">
        <x:f>MIN(Model_Config_v3!$B$6,I4104+Model_Config_v3!$B$7)</x:f>
        <x:v>617</x:v>
      </x:c>
      <x:c r="K4104" s="20" t="n">
        <x:v>34.9</x:v>
      </x:c>
      <x:c r="L4104" t="str">
        <x:v>RELATIF LONGGAR</x:v>
      </x:c>
      <x:c r="M4104" t="str">
        <x:v>RENDAH</x:v>
      </x:c>
      <x:c r="N4104" t="str">
        <x:v>REGULER</x:v>
      </x:c>
      <x:c r="O4104" t="str">
        <x:v>SAINTEK</x:v>
      </x:c>
      <x:c r="P4104" t="str">
        <x:v>UMUM</x:v>
      </x:c>
      <x:c r="Q4104" s="18" t="n">
        <x:v>0</x:v>
      </x:c>
      <x:c r="R4104" s="18" t="n">
        <x:v>0</x:v>
      </x:c>
      <x:c r="S4104" s="18" t="n">
        <x:v>520</x:v>
      </x:c>
      <x:c r="T4104" s="18" t="n">
        <x:v>630</x:v>
      </x:c>
      <x:c r="U4104" s="18" t="n">
        <x:v>520</x:v>
      </x:c>
      <x:c r="V4104" s="20" t="n">
        <x:v>12</x:v>
      </x:c>
      <x:c r="W4104" s="20" t="n">
        <x:v>5</x:v>
      </x:c>
      <x:c r="X4104" s="20" t="n">
        <x:v>3</x:v>
      </x:c>
      <x:c r="Y4104" t="str">
        <x:v>Basis arsip 2025/2024</x:v>
      </x:c>
      <x:c r="Z4104" t="str">
        <x:v>https://snpmb.id/utbk-snbt/daya-tampung-snbt</x:v>
      </x:c>
      <x:c r="AA4104" t="str">
        <x:v>Tidak Ada</x:v>
      </x:c>
      <x:c r="AB4104" t="str">
        <x:v>Campus=55; Ratio=0.0; Prodi=40; RelDemand=0.0; Capacity=76.7</x:v>
      </x:c>
    </x:row>
    <x:row r="4105">
      <x:c r="A4105" t="n">
        <x:v>4102</x:v>
      </x:c>
      <x:c r="B4105" t="str">
        <x:v>PTN Vokasi</x:v>
      </x:c>
      <x:c r="C4105" t="str">
        <x:v>POLITEKNIK NEGERI LAMPUNG</x:v>
      </x:c>
      <x:c r="D4105" t="str">
        <x:v>BAHASA INGGRIS UNTUK KOMUNIKASI BISNIS DAN PROFESIONAL</x:v>
      </x:c>
      <x:c r="E4105" t="str">
        <x:v>Sarjana Terapan</x:v>
      </x:c>
      <x:c r="F4105" s="18" t="n">
        <x:v>50</x:v>
      </x:c>
      <x:c r="G4105" s="18"/>
      <x:c r="H4105" s="19" t="n">
        <x:v>0</x:v>
      </x:c>
      <x:c r="I4105" s="18" t="n">
        <x:f>ROUND(MIN(Model_Config_v3!$B$6,MAX(Q4105,R4105,S4105*Model_Config_v3!$B$4+T4105*Model_Config_v3!$B$5)),0)</x:f>
        <x:v>601</x:v>
      </x:c>
      <x:c r="J4105" s="18" t="n">
        <x:f>MIN(Model_Config_v3!$B$6,I4105+Model_Config_v3!$B$7)</x:f>
        <x:v>621</x:v>
      </x:c>
      <x:c r="K4105" s="20" t="n">
        <x:v>38.1</x:v>
      </x:c>
      <x:c r="L4105" t="str">
        <x:v>RELATIF LONGGAR</x:v>
      </x:c>
      <x:c r="M4105" t="str">
        <x:v>RENDAH</x:v>
      </x:c>
      <x:c r="N4105" t="str">
        <x:v>REGULER</x:v>
      </x:c>
      <x:c r="O4105" t="str">
        <x:v>SOSHUM</x:v>
      </x:c>
      <x:c r="P4105" t="str">
        <x:v>BISNIS/EKONOMI/AKUNTANSI</x:v>
      </x:c>
      <x:c r="Q4105" s="18" t="n">
        <x:v>0</x:v>
      </x:c>
      <x:c r="R4105" s="18" t="n">
        <x:v>0</x:v>
      </x:c>
      <x:c r="S4105" s="18" t="n">
        <x:v>520</x:v>
      </x:c>
      <x:c r="T4105" s="18" t="n">
        <x:v>636</x:v>
      </x:c>
      <x:c r="U4105" s="18" t="n">
        <x:v>535</x:v>
      </x:c>
      <x:c r="V4105" s="20" t="n">
        <x:v>4.4</x:v>
      </x:c>
      <x:c r="W4105" s="20" t="n">
        <x:v>14.3</x:v>
      </x:c>
      <x:c r="X4105" s="20" t="n">
        <x:v>3.3</x:v>
      </x:c>
      <x:c r="Y4105" t="str">
        <x:v>Basis arsip 2025/2024</x:v>
      </x:c>
      <x:c r="Z4105" t="str">
        <x:v>https://snpmb.id/utbk-snbt/daya-tampung-snbt</x:v>
      </x:c>
      <x:c r="AA4105" t="str">
        <x:v>Tidak Ada</x:v>
      </x:c>
      <x:c r="AB4105" t="str">
        <x:v>Campus=55; Ratio=0.0; Prodi=65; RelDemand=0.0; Capacity=58.3</x:v>
      </x:c>
    </x:row>
    <x:row r="4106">
      <x:c r="A4106" t="n">
        <x:v>4103</x:v>
      </x:c>
      <x:c r="B4106" t="str">
        <x:v>PTN Vokasi</x:v>
      </x:c>
      <x:c r="C4106" t="str">
        <x:v>POLITEKNIK NEGERI LAMPUNG</x:v>
      </x:c>
      <x:c r="D4106" t="str">
        <x:v>PERJALANAN WISATA</x:v>
      </x:c>
      <x:c r="E4106" t="str">
        <x:v>Diploma Tiga</x:v>
      </x:c>
      <x:c r="F4106" s="18" t="n">
        <x:v>70</x:v>
      </x:c>
      <x:c r="G4106" s="18" t="n">
        <x:v>240</x:v>
      </x:c>
      <x:c r="H4106" s="19" t="n">
        <x:v>3.4285714285714284</x:v>
      </x:c>
      <x:c r="I4106" s="18" t="n">
        <x:f>ROUND(MIN(Model_Config_v3!$B$6,MAX(Q4106,R4106,S4106*Model_Config_v3!$B$4+T4106*Model_Config_v3!$B$5)),0)</x:f>
        <x:v>632</x:v>
      </x:c>
      <x:c r="J4106" s="18" t="n">
        <x:f>MIN(Model_Config_v3!$B$6,I4106+Model_Config_v3!$B$7)</x:f>
        <x:v>652</x:v>
      </x:c>
      <x:c r="K4106" s="20" t="n">
        <x:v>47.3</x:v>
      </x:c>
      <x:c r="L4106" t="str">
        <x:v>MENENGAH</x:v>
      </x:c>
      <x:c r="M4106" t="str">
        <x:v>SEDANG</x:v>
      </x:c>
      <x:c r="N4106" t="str">
        <x:v>REGULER</x:v>
      </x:c>
      <x:c r="O4106" t="str">
        <x:v>CAMPURAN</x:v>
      </x:c>
      <x:c r="P4106" t="str">
        <x:v>UMUM</x:v>
      </x:c>
      <x:c r="Q4106" s="18" t="n">
        <x:v>0</x:v>
      </x:c>
      <x:c r="R4106" s="18" t="n">
        <x:v>0</x:v>
      </x:c>
      <x:c r="S4106" s="18" t="n">
        <x:v>578.8624521867084</x:v>
      </x:c>
      <x:c r="T4106" s="18" t="n">
        <x:v>655</x:v>
      </x:c>
      <x:c r="U4106" s="18" t="n">
        <x:v>578.8624521867084</x:v>
      </x:c>
      <x:c r="V4106" s="20" t="n">
        <x:v>8.8</x:v>
      </x:c>
      <x:c r="W4106" s="20" t="n">
        <x:v>9.9</x:v>
      </x:c>
      <x:c r="X4106" s="20" t="n">
        <x:v>3.3</x:v>
      </x:c>
      <x:c r="Y4106" t="str">
        <x:v>Basis arsip 2025/2024</x:v>
      </x:c>
      <x:c r="Z4106" t="str">
        <x:v>https://snpmb.id/utbk-snbt/daya-tampung-snbt</x:v>
      </x:c>
      <x:c r="AA4106" t="str">
        <x:v>Tidak Ada</x:v>
      </x:c>
      <x:c r="AB4106" t="str">
        <x:v>Campus=55; Ratio=31.5; Prodi=40; RelDemand=80.2; Capacity=41.7</x:v>
      </x:c>
    </x:row>
    <x:row r="4107">
      <x:c r="A4107" t="n">
        <x:v>4104</x:v>
      </x:c>
      <x:c r="B4107" t="str">
        <x:v>PTN Vokasi</x:v>
      </x:c>
      <x:c r="C4107" t="str">
        <x:v>POLITEKNIK NEGERI LAMPUNG</x:v>
      </x:c>
      <x:c r="D4107" t="str">
        <x:v>TEKNOLOGI PANGAN</x:v>
      </x:c>
      <x:c r="E4107" t="str">
        <x:v>Diploma Tiga</x:v>
      </x:c>
      <x:c r="F4107" s="18" t="n">
        <x:v>42</x:v>
      </x:c>
      <x:c r="G4107" s="18" t="n">
        <x:v>343</x:v>
      </x:c>
      <x:c r="H4107" s="19" t="n">
        <x:v>8.166666666666666</x:v>
      </x:c>
      <x:c r="I4107" s="18" t="n">
        <x:f>ROUND(MIN(Model_Config_v3!$B$6,MAX(Q4107,R4107,S4107*Model_Config_v3!$B$4+T4107*Model_Config_v3!$B$5)),0)</x:f>
        <x:v>658</x:v>
      </x:c>
      <x:c r="J4107" s="18" t="n">
        <x:f>MIN(Model_Config_v3!$B$6,I4107+Model_Config_v3!$B$7)</x:f>
        <x:v>678</x:v>
      </x:c>
      <x:c r="K4107" s="20" t="n">
        <x:v>57.2</x:v>
      </x:c>
      <x:c r="L4107" t="str">
        <x:v>KETAT</x:v>
      </x:c>
      <x:c r="M4107" t="str">
        <x:v>SEDANG</x:v>
      </x:c>
      <x:c r="N4107" t="str">
        <x:v>REGULER</x:v>
      </x:c>
      <x:c r="O4107" t="str">
        <x:v>SAINTEK</x:v>
      </x:c>
      <x:c r="P4107" t="str">
        <x:v>UMUM</x:v>
      </x:c>
      <x:c r="Q4107" s="18" t="n">
        <x:v>0</x:v>
      </x:c>
      <x:c r="R4107" s="18" t="n">
        <x:v>0</x:v>
      </x:c>
      <x:c r="S4107" s="18" t="n">
        <x:v>620.3249312609357</x:v>
      </x:c>
      <x:c r="T4107" s="18" t="n">
        <x:v>674</x:v>
      </x:c>
      <x:c r="U4107" s="18" t="n">
        <x:v>620.3249312609357</x:v>
      </x:c>
      <x:c r="V4107" s="20" t="n">
        <x:v>12</x:v>
      </x:c>
      <x:c r="W4107" s="20" t="n">
        <x:v>5</x:v>
      </x:c>
      <x:c r="X4107" s="20" t="n">
        <x:v>3</x:v>
      </x:c>
      <x:c r="Y4107" t="str">
        <x:v>Basis arsip 2025/2024</x:v>
      </x:c>
      <x:c r="Z4107" t="str">
        <x:v>https://snpmb.id/utbk-snbt/daya-tampung-snbt</x:v>
      </x:c>
      <x:c r="AA4107" t="str">
        <x:v>Tidak Ada</x:v>
      </x:c>
      <x:c r="AB4107" t="str">
        <x:v>Campus=55; Ratio=53.7; Prodi=40; RelDemand=100.0; Capacity=65.0</x:v>
      </x:c>
    </x:row>
    <x:row r="4108">
      <x:c r="A4108" t="n">
        <x:v>4105</x:v>
      </x:c>
      <x:c r="B4108" t="str">
        <x:v>PTN Vokasi</x:v>
      </x:c>
      <x:c r="C4108" t="str">
        <x:v>POLITEKNIK NEGERI LAMPUNG</x:v>
      </x:c>
      <x:c r="D4108" t="str">
        <x:v>TEKNIK SUMBERDAYA LAHAN DAN LINGKUNGAN</x:v>
      </x:c>
      <x:c r="E4108" t="str">
        <x:v>Diploma Tiga</x:v>
      </x:c>
      <x:c r="F4108" s="18" t="n">
        <x:v>28</x:v>
      </x:c>
      <x:c r="G4108" s="18" t="n">
        <x:v>89</x:v>
      </x:c>
      <x:c r="H4108" s="19" t="n">
        <x:v>3.1785714285714284</x:v>
      </x:c>
      <x:c r="I4108" s="18" t="n">
        <x:f>ROUND(MIN(Model_Config_v3!$B$6,MAX(Q4108,R4108,S4108*Model_Config_v3!$B$4+T4108*Model_Config_v3!$B$5)),0)</x:f>
        <x:v>639</x:v>
      </x:c>
      <x:c r="J4108" s="18" t="n">
        <x:f>MIN(Model_Config_v3!$B$6,I4108+Model_Config_v3!$B$7)</x:f>
        <x:v>659</x:v>
      </x:c>
      <x:c r="K4108" s="20" t="n">
        <x:v>53.7</x:v>
      </x:c>
      <x:c r="L4108" t="str">
        <x:v>MENENGAH</x:v>
      </x:c>
      <x:c r="M4108" t="str">
        <x:v>SEDANG+</x:v>
      </x:c>
      <x:c r="N4108" t="str">
        <x:v>REGULER</x:v>
      </x:c>
      <x:c r="O4108" t="str">
        <x:v>SAINTEK</x:v>
      </x:c>
      <x:c r="P4108" t="str">
        <x:v>TEKNIK/ARSITEKTUR/STATISTIKA/AKTUARIA</x:v>
      </x:c>
      <x:c r="Q4108" s="18" t="n">
        <x:v>0</x:v>
      </x:c>
      <x:c r="R4108" s="18" t="n">
        <x:v>0</x:v>
      </x:c>
      <x:c r="S4108" s="18" t="n">
        <x:v>575.2455172832963</x:v>
      </x:c>
      <x:c r="T4108" s="18" t="n">
        <x:v>667</x:v>
      </x:c>
      <x:c r="U4108" s="18" t="n">
        <x:v>585.2455172832963</x:v>
      </x:c>
      <x:c r="V4108" s="20" t="n">
        <x:v>12</x:v>
      </x:c>
      <x:c r="W4108" s="20" t="n">
        <x:v>5</x:v>
      </x:c>
      <x:c r="X4108" s="20" t="n">
        <x:v>3</x:v>
      </x:c>
      <x:c r="Y4108" t="str">
        <x:v>Basis arsip 2025/2024</x:v>
      </x:c>
      <x:c r="Z4108" t="str">
        <x:v>https://snpmb.id/utbk-snbt/daya-tampung-snbt</x:v>
      </x:c>
      <x:c r="AA4108" t="str">
        <x:v>Tidak Ada</x:v>
      </x:c>
      <x:c r="AB4108" t="str">
        <x:v>Campus=55; Ratio=29.6; Prodi=60; RelDemand=74.3; Capacity=76.7</x:v>
      </x:c>
    </x:row>
    <x:row r="4109">
      <x:c r="A4109" t="n">
        <x:v>4106</x:v>
      </x:c>
      <x:c r="B4109" t="str">
        <x:v>PTN Vokasi</x:v>
      </x:c>
      <x:c r="C4109" t="str">
        <x:v>POLITEKNIK NEGERI LAMPUNG</x:v>
      </x:c>
      <x:c r="D4109" t="str">
        <x:v>MEKANISASI PERTANIAN</x:v>
      </x:c>
      <x:c r="E4109" t="str">
        <x:v>Diploma Tiga</x:v>
      </x:c>
      <x:c r="F4109" s="18" t="n">
        <x:v>28</x:v>
      </x:c>
      <x:c r="G4109" s="18" t="n">
        <x:v>91</x:v>
      </x:c>
      <x:c r="H4109" s="19" t="n">
        <x:v>3.25</x:v>
      </x:c>
      <x:c r="I4109" s="18" t="n">
        <x:f>ROUND(MIN(Model_Config_v3!$B$6,MAX(Q4109,R4109,S4109*Model_Config_v3!$B$4+T4109*Model_Config_v3!$B$5)),0)</x:f>
        <x:v>635</x:v>
      </x:c>
      <x:c r="J4109" s="18" t="n">
        <x:f>MIN(Model_Config_v3!$B$6,I4109+Model_Config_v3!$B$7)</x:f>
        <x:v>655</x:v>
      </x:c>
      <x:c r="K4109" s="20" t="n">
        <x:v>50.1</x:v>
      </x:c>
      <x:c r="L4109" t="str">
        <x:v>MENENGAH</x:v>
      </x:c>
      <x:c r="M4109" t="str">
        <x:v>SEDANG</x:v>
      </x:c>
      <x:c r="N4109" t="str">
        <x:v>REGULER</x:v>
      </x:c>
      <x:c r="O4109" t="str">
        <x:v>SAINTEK</x:v>
      </x:c>
      <x:c r="P4109" t="str">
        <x:v>UMUM</x:v>
      </x:c>
      <x:c r="Q4109" s="18" t="n">
        <x:v>0</x:v>
      </x:c>
      <x:c r="R4109" s="18" t="n">
        <x:v>0</x:v>
      </x:c>
      <x:c r="S4109" s="18" t="n">
        <x:v>576.3071697076762</x:v>
      </x:c>
      <x:c r="T4109" s="18" t="n">
        <x:v>660</x:v>
      </x:c>
      <x:c r="U4109" s="18" t="n">
        <x:v>576.3071697076762</x:v>
      </x:c>
      <x:c r="V4109" s="20" t="n">
        <x:v>12</x:v>
      </x:c>
      <x:c r="W4109" s="20" t="n">
        <x:v>5</x:v>
      </x:c>
      <x:c r="X4109" s="20" t="n">
        <x:v>3</x:v>
      </x:c>
      <x:c r="Y4109" t="str">
        <x:v>Basis arsip 2025/2024</x:v>
      </x:c>
      <x:c r="Z4109" t="str">
        <x:v>https://snpmb.id/utbk-snbt/daya-tampung-snbt</x:v>
      </x:c>
      <x:c r="AA4109" t="str">
        <x:v>Tidak Ada</x:v>
      </x:c>
      <x:c r="AB4109" t="str">
        <x:v>Campus=55; Ratio=30.1; Prodi=40; RelDemand=76.0; Capacity=76.7</x:v>
      </x:c>
    </x:row>
    <x:row r="4110">
      <x:c r="A4110" t="n">
        <x:v>4107</x:v>
      </x:c>
      <x:c r="B4110" t="str">
        <x:v>PTN Vokasi</x:v>
      </x:c>
      <x:c r="C4110" t="str">
        <x:v>POLITEKNIK NEGERI LAMPUNG</x:v>
      </x:c>
      <x:c r="D4110" t="str">
        <x:v>PERIKANAN TANGKAP</x:v>
      </x:c>
      <x:c r="E4110" t="str">
        <x:v>Diploma Tiga</x:v>
      </x:c>
      <x:c r="F4110" s="18" t="n">
        <x:v>28</x:v>
      </x:c>
      <x:c r="G4110" s="18" t="n">
        <x:v>9</x:v>
      </x:c>
      <x:c r="H4110" s="19" t="n">
        <x:v>0.32142857142857145</x:v>
      </x:c>
      <x:c r="I4110" s="18" t="n">
        <x:f>ROUND(MIN(Model_Config_v3!$B$6,MAX(Q4110,R4110,S4110*Model_Config_v3!$B$4+T4110*Model_Config_v3!$B$5)),0)</x:f>
        <x:v>598</x:v>
      </x:c>
      <x:c r="J4110" s="18" t="n">
        <x:f>MIN(Model_Config_v3!$B$6,I4110+Model_Config_v3!$B$7)</x:f>
        <x:v>618</x:v>
      </x:c>
      <x:c r="K4110" s="20" t="n">
        <x:v>35.7</x:v>
      </x:c>
      <x:c r="L4110" t="str">
        <x:v>RELATIF LONGGAR</x:v>
      </x:c>
      <x:c r="M4110" t="str">
        <x:v>SEDANG</x:v>
      </x:c>
      <x:c r="N4110" t="str">
        <x:v>REGULER</x:v>
      </x:c>
      <x:c r="O4110" t="str">
        <x:v>SAINTEK</x:v>
      </x:c>
      <x:c r="P4110" t="str">
        <x:v>UMUM</x:v>
      </x:c>
      <x:c r="Q4110" s="18" t="n">
        <x:v>0</x:v>
      </x:c>
      <x:c r="R4110" s="18" t="n">
        <x:v>0</x:v>
      </x:c>
      <x:c r="S4110" s="18" t="n">
        <x:v>520</x:v>
      </x:c>
      <x:c r="T4110" s="18" t="n">
        <x:v>631</x:v>
      </x:c>
      <x:c r="U4110" s="18" t="n">
        <x:v>520</x:v>
      </x:c>
      <x:c r="V4110" s="20" t="n">
        <x:v>12</x:v>
      </x:c>
      <x:c r="W4110" s="20" t="n">
        <x:v>5</x:v>
      </x:c>
      <x:c r="X4110" s="20" t="n">
        <x:v>3</x:v>
      </x:c>
      <x:c r="Y4110" t="str">
        <x:v>Basis arsip 2025/2024</x:v>
      </x:c>
      <x:c r="Z4110" t="str">
        <x:v>https://snpmb.id/utbk-snbt/daya-tampung-snbt</x:v>
      </x:c>
      <x:c r="AA4110" t="str">
        <x:v>Tidak Ada</x:v>
      </x:c>
      <x:c r="AB4110" t="str">
        <x:v>Campus=55; Ratio=0.0; Prodi=40; RelDemand=7.5; Capacity=76.7</x:v>
      </x:c>
    </x:row>
    <x:row r="4111">
      <x:c r="A4111" t="n">
        <x:v>4108</x:v>
      </x:c>
      <x:c r="B4111" t="str">
        <x:v>PTN Vokasi</x:v>
      </x:c>
      <x:c r="C4111" t="str">
        <x:v>POLITEKNIK NEGERI LAMPUNG</x:v>
      </x:c>
      <x:c r="D4111" t="str">
        <x:v>HORTIKULTURA</x:v>
      </x:c>
      <x:c r="E4111" t="str">
        <x:v>Diploma Tiga</x:v>
      </x:c>
      <x:c r="F4111" s="18" t="n">
        <x:v>42</x:v>
      </x:c>
      <x:c r="G4111" s="18" t="n">
        <x:v>72</x:v>
      </x:c>
      <x:c r="H4111" s="19" t="n">
        <x:v>1.7142857142857142</x:v>
      </x:c>
      <x:c r="I4111" s="18" t="n">
        <x:f>ROUND(MIN(Model_Config_v3!$B$6,MAX(Q4111,R4111,S4111*Model_Config_v3!$B$4+T4111*Model_Config_v3!$B$5)),0)</x:f>
        <x:v>613</x:v>
      </x:c>
      <x:c r="J4111" s="18" t="n">
        <x:f>MIN(Model_Config_v3!$B$6,I4111+Model_Config_v3!$B$7)</x:f>
        <x:v>633</x:v>
      </x:c>
      <x:c r="K4111" s="20" t="n">
        <x:v>41.2</x:v>
      </x:c>
      <x:c r="L4111" t="str">
        <x:v>RELATIF LONGGAR</x:v>
      </x:c>
      <x:c r="M4111" t="str">
        <x:v>SEDANG</x:v>
      </x:c>
      <x:c r="N4111" t="str">
        <x:v>REGULER</x:v>
      </x:c>
      <x:c r="O4111" t="str">
        <x:v>CAMPURAN</x:v>
      </x:c>
      <x:c r="P4111" t="str">
        <x:v>UMUM</x:v>
      </x:c>
      <x:c r="Q4111" s="18" t="n">
        <x:v>0</x:v>
      </x:c>
      <x:c r="R4111" s="18" t="n">
        <x:v>0</x:v>
      </x:c>
      <x:c r="S4111" s="18" t="n">
        <x:v>545.7491526636704</x:v>
      </x:c>
      <x:c r="T4111" s="18" t="n">
        <x:v>642</x:v>
      </x:c>
      <x:c r="U4111" s="18" t="n">
        <x:v>545.7491526636704</x:v>
      </x:c>
      <x:c r="V4111" s="20" t="n">
        <x:v>8.8</x:v>
      </x:c>
      <x:c r="W4111" s="20" t="n">
        <x:v>9.9</x:v>
      </x:c>
      <x:c r="X4111" s="20" t="n">
        <x:v>3.3</x:v>
      </x:c>
      <x:c r="Y4111" t="str">
        <x:v>Basis arsip 2025/2024</x:v>
      </x:c>
      <x:c r="Z4111" t="str">
        <x:v>https://snpmb.id/utbk-snbt/daya-tampung-snbt</x:v>
      </x:c>
      <x:c r="AA4111" t="str">
        <x:v>Tidak Ada</x:v>
      </x:c>
      <x:c r="AB4111" t="str">
        <x:v>Campus=55; Ratio=13.8; Prodi=40; RelDemand=40.1; Capacity=65.0</x:v>
      </x:c>
    </x:row>
    <x:row r="4112">
      <x:c r="A4112" t="n">
        <x:v>4109</x:v>
      </x:c>
      <x:c r="B4112" t="str">
        <x:v>PTN Vokasi</x:v>
      </x:c>
      <x:c r="C4112" t="str">
        <x:v>POLITEKNIK NEGERI LAMPUNG</x:v>
      </x:c>
      <x:c r="D4112" t="str">
        <x:v>MANAJEMEN INFORMATIKA</x:v>
      </x:c>
      <x:c r="E4112" t="str">
        <x:v>Diploma Tiga</x:v>
      </x:c>
      <x:c r="F4112" s="18" t="n">
        <x:v>70</x:v>
      </x:c>
      <x:c r="G4112" s="18" t="n">
        <x:v>501</x:v>
      </x:c>
      <x:c r="H4112" s="19" t="n">
        <x:v>7.1571428571428575</x:v>
      </x:c>
      <x:c r="I4112" s="18" t="n">
        <x:f>ROUND(MIN(Model_Config_v3!$B$6,MAX(Q4112,R4112,S4112*Model_Config_v3!$B$4+T4112*Model_Config_v3!$B$5)),0)</x:f>
        <x:v>664</x:v>
      </x:c>
      <x:c r="J4112" s="18" t="n">
        <x:f>MIN(Model_Config_v3!$B$6,I4112+Model_Config_v3!$B$7)</x:f>
        <x:v>684</x:v>
      </x:c>
      <x:c r="K4112" s="20" t="n">
        <x:v>63</x:v>
      </x:c>
      <x:c r="L4112" t="str">
        <x:v>KETAT</x:v>
      </x:c>
      <x:c r="M4112" t="str">
        <x:v>SEDANG+</x:v>
      </x:c>
      <x:c r="N4112" t="str">
        <x:v>REGULER</x:v>
      </x:c>
      <x:c r="O4112" t="str">
        <x:v>SAINTEK</x:v>
      </x:c>
      <x:c r="P4112" t="str">
        <x:v>KOMPUTER/INFORMATIKA</x:v>
      </x:c>
      <x:c r="Q4112" s="18" t="n">
        <x:v>0</x:v>
      </x:c>
      <x:c r="R4112" s="18" t="n">
        <x:v>0</x:v>
      </x:c>
      <x:c r="S4112" s="18" t="n">
        <x:v>614.0213654438288</x:v>
      </x:c>
      <x:c r="T4112" s="18" t="n">
        <x:v>686</x:v>
      </x:c>
      <x:c r="U4112" s="18" t="n">
        <x:v>639.0213654438288</x:v>
      </x:c>
      <x:c r="V4112" s="20" t="n">
        <x:v>12</x:v>
      </x:c>
      <x:c r="W4112" s="20" t="n">
        <x:v>5</x:v>
      </x:c>
      <x:c r="X4112" s="20" t="n">
        <x:v>3</x:v>
      </x:c>
      <x:c r="Y4112" t="str">
        <x:v>Basis arsip 2025/2024</x:v>
      </x:c>
      <x:c r="Z4112" t="str">
        <x:v>https://snpmb.id/utbk-snbt/daya-tampung-snbt</x:v>
      </x:c>
      <x:c r="AA4112" t="str">
        <x:v>Tidak Ada</x:v>
      </x:c>
      <x:c r="AB4112" t="str">
        <x:v>Campus=55; Ratio=50.3; Prodi=85; RelDemand=100.0; Capacity=41.7</x:v>
      </x:c>
    </x:row>
    <x:row r="4113">
      <x:c r="A4113" t="n">
        <x:v>4110</x:v>
      </x:c>
      <x:c r="B4113" t="str">
        <x:v>PTN Vokasi</x:v>
      </x:c>
      <x:c r="C4113" t="str">
        <x:v>POLITEKNIK NEGERI LAMPUNG</x:v>
      </x:c>
      <x:c r="D4113" t="str">
        <x:v>PRODUKSI TANAMAN PERKEBUNAN</x:v>
      </x:c>
      <x:c r="E4113" t="str">
        <x:v>Diploma Tiga</x:v>
      </x:c>
      <x:c r="F4113" s="18" t="n">
        <x:v>56</x:v>
      </x:c>
      <x:c r="G4113" s="18" t="n">
        <x:v>122</x:v>
      </x:c>
      <x:c r="H4113" s="19" t="n">
        <x:v>2.1785714285714284</x:v>
      </x:c>
      <x:c r="I4113" s="18" t="n">
        <x:f>ROUND(MIN(Model_Config_v3!$B$6,MAX(Q4113,R4113,S4113*Model_Config_v3!$B$4+T4113*Model_Config_v3!$B$5)),0)</x:f>
        <x:v>619</x:v>
      </x:c>
      <x:c r="J4113" s="18" t="n">
        <x:f>MIN(Model_Config_v3!$B$6,I4113+Model_Config_v3!$B$7)</x:f>
        <x:v>639</x:v>
      </x:c>
      <x:c r="K4113" s="20" t="n">
        <x:v>42.7</x:v>
      </x:c>
      <x:c r="L4113" t="str">
        <x:v>RELATIF LONGGAR</x:v>
      </x:c>
      <x:c r="M4113" t="str">
        <x:v>SEDANG</x:v>
      </x:c>
      <x:c r="N4113" t="str">
        <x:v>REGULER</x:v>
      </x:c>
      <x:c r="O4113" t="str">
        <x:v>CAMPURAN</x:v>
      </x:c>
      <x:c r="P4113" t="str">
        <x:v>UMUM</x:v>
      </x:c>
      <x:c r="Q4113" s="18" t="n">
        <x:v>0</x:v>
      </x:c>
      <x:c r="R4113" s="18" t="n">
        <x:v>0</x:v>
      </x:c>
      <x:c r="S4113" s="18" t="n">
        <x:v>557.1988984035403</x:v>
      </x:c>
      <x:c r="T4113" s="18" t="n">
        <x:v>645</x:v>
      </x:c>
      <x:c r="U4113" s="18" t="n">
        <x:v>557.1988984035403</x:v>
      </x:c>
      <x:c r="V4113" s="20" t="n">
        <x:v>8.8</x:v>
      </x:c>
      <x:c r="W4113" s="20" t="n">
        <x:v>9.9</x:v>
      </x:c>
      <x:c r="X4113" s="20" t="n">
        <x:v>3.3</x:v>
      </x:c>
      <x:c r="Y4113" t="str">
        <x:v>Basis arsip 2025/2024</x:v>
      </x:c>
      <x:c r="Z4113" t="str">
        <x:v>https://snpmb.id/utbk-snbt/daya-tampung-snbt</x:v>
      </x:c>
      <x:c r="AA4113" t="str">
        <x:v>Tidak Ada</x:v>
      </x:c>
      <x:c r="AB4113" t="str">
        <x:v>Campus=55; Ratio=19.9; Prodi=40; RelDemand=51.0; Capacity=53.3</x:v>
      </x:c>
    </x:row>
    <x:row r="4114">
      <x:c r="A4114" t="n">
        <x:v>4111</x:v>
      </x:c>
      <x:c r="B4114" t="str">
        <x:v>PTN Vokasi</x:v>
      </x:c>
      <x:c r="C4114" t="str">
        <x:v>POLITEKNIK NEGERI LAMPUNG</x:v>
      </x:c>
      <x:c r="D4114" t="str">
        <x:v>BUDIDAYA PERIKANAN</x:v>
      </x:c>
      <x:c r="E4114" t="str">
        <x:v>Diploma Tiga</x:v>
      </x:c>
      <x:c r="F4114" s="18" t="n">
        <x:v>42</x:v>
      </x:c>
      <x:c r="G4114" s="18" t="n">
        <x:v>101</x:v>
      </x:c>
      <x:c r="H4114" s="19" t="n">
        <x:v>2.4047619047619047</x:v>
      </x:c>
      <x:c r="I4114" s="18" t="n">
        <x:f>ROUND(MIN(Model_Config_v3!$B$6,MAX(Q4114,R4114,S4114*Model_Config_v3!$B$4+T4114*Model_Config_v3!$B$5)),0)</x:f>
        <x:v>624</x:v>
      </x:c>
      <x:c r="J4114" s="18" t="n">
        <x:f>MIN(Model_Config_v3!$B$6,I4114+Model_Config_v3!$B$7)</x:f>
        <x:v>644</x:v>
      </x:c>
      <x:c r="K4114" s="20" t="n">
        <x:v>45</x:v>
      </x:c>
      <x:c r="L4114" t="str">
        <x:v>MENENGAH</x:v>
      </x:c>
      <x:c r="M4114" t="str">
        <x:v>SEDANG</x:v>
      </x:c>
      <x:c r="N4114" t="str">
        <x:v>REGULER</x:v>
      </x:c>
      <x:c r="O4114" t="str">
        <x:v>SAINTEK</x:v>
      </x:c>
      <x:c r="P4114" t="str">
        <x:v>UMUM</x:v>
      </x:c>
      <x:c r="Q4114" s="18" t="n">
        <x:v>0</x:v>
      </x:c>
      <x:c r="R4114" s="18" t="n">
        <x:v>0</x:v>
      </x:c>
      <x:c r="S4114" s="18" t="n">
        <x:v>561.9179291723216</x:v>
      </x:c>
      <x:c r="T4114" s="18" t="n">
        <x:v>650</x:v>
      </x:c>
      <x:c r="U4114" s="18" t="n">
        <x:v>561.9179291723216</x:v>
      </x:c>
      <x:c r="V4114" s="20" t="n">
        <x:v>12</x:v>
      </x:c>
      <x:c r="W4114" s="20" t="n">
        <x:v>5</x:v>
      </x:c>
      <x:c r="X4114" s="20" t="n">
        <x:v>3</x:v>
      </x:c>
      <x:c r="Y4114" t="str">
        <x:v>Basis arsip 2025/2024</x:v>
      </x:c>
      <x:c r="Z4114" t="str">
        <x:v>https://snpmb.id/utbk-snbt/daya-tampung-snbt</x:v>
      </x:c>
      <x:c r="AA4114" t="str">
        <x:v>Tidak Ada</x:v>
      </x:c>
      <x:c r="AB4114" t="str">
        <x:v>Campus=55; Ratio=22.4; Prodi=40; RelDemand=56.2; Capacity=65.0</x:v>
      </x:c>
    </x:row>
    <x:row r="4115">
      <x:c r="A4115" t="n">
        <x:v>4112</x:v>
      </x:c>
      <x:c r="B4115" t="str">
        <x:v>PTN Vokasi</x:v>
      </x:c>
      <x:c r="C4115" t="str">
        <x:v>POLITEKNIK NEGERI JAKARTA</x:v>
      </x:c>
      <x:c r="D4115" t="str">
        <x:v>TEKNIK KONSTRUKSI GEDUNG</x:v>
      </x:c>
      <x:c r="E4115" t="str">
        <x:v>Sarjana Terapan</x:v>
      </x:c>
      <x:c r="F4115" s="18" t="n">
        <x:v>45</x:v>
      </x:c>
      <x:c r="G4115" s="18" t="n">
        <x:v>582</x:v>
      </x:c>
      <x:c r="H4115" s="19" t="n">
        <x:v>12.933333333333334</x:v>
      </x:c>
      <x:c r="I4115" s="18" t="n">
        <x:f>ROUND(MIN(Model_Config_v3!$B$6,MAX(Q4115,R4115,S4115*Model_Config_v3!$B$4+T4115*Model_Config_v3!$B$5)),0)</x:f>
        <x:v>664</x:v>
      </x:c>
      <x:c r="J4115" s="18" t="n">
        <x:f>MIN(Model_Config_v3!$B$6,I4115+Model_Config_v3!$B$7)</x:f>
        <x:v>684</x:v>
      </x:c>
      <x:c r="K4115" s="20" t="n">
        <x:v>57</x:v>
      </x:c>
      <x:c r="L4115" t="str">
        <x:v>KETAT</x:v>
      </x:c>
      <x:c r="M4115" t="str">
        <x:v>SEDANG+</x:v>
      </x:c>
      <x:c r="N4115" t="str">
        <x:v>REGULER</x:v>
      </x:c>
      <x:c r="O4115" t="str">
        <x:v>SAINTEK</x:v>
      </x:c>
      <x:c r="P4115" t="str">
        <x:v>TEKNIK/ARSITEKTUR/STATISTIKA/AKTUARIA</x:v>
      </x:c>
      <x:c r="Q4115" s="18" t="n">
        <x:v>0</x:v>
      </x:c>
      <x:c r="R4115" s="18" t="n">
        <x:v>0</x:v>
      </x:c>
      <x:c r="S4115" s="18" t="n">
        <x:v>642.2881517961999</x:v>
      </x:c>
      <x:c r="T4115" s="18" t="n">
        <x:v>674</x:v>
      </x:c>
      <x:c r="U4115" s="18" t="n">
        <x:v>652.2881517961999</x:v>
      </x:c>
      <x:c r="V4115" s="20" t="n">
        <x:v>12</x:v>
      </x:c>
      <x:c r="W4115" s="20" t="n">
        <x:v>5</x:v>
      </x:c>
      <x:c r="X4115" s="20" t="n">
        <x:v>3</x:v>
      </x:c>
      <x:c r="Y4115" t="str">
        <x:v>Basis arsip 2025/2024</x:v>
      </x:c>
      <x:c r="Z4115" t="str">
        <x:v>https://snpmb.id/utbk-snbt/daya-tampung-snbt</x:v>
      </x:c>
      <x:c r="AA4115" t="str">
        <x:v>Tidak Ada</x:v>
      </x:c>
      <x:c r="AB4115" t="str">
        <x:v>Campus=55; Ratio=65.4; Prodi=60; RelDemand=31.3; Capacity=62.5</x:v>
      </x:c>
    </x:row>
    <x:row r="4116">
      <x:c r="A4116" t="n">
        <x:v>4113</x:v>
      </x:c>
      <x:c r="B4116" t="str">
        <x:v>PTN Vokasi</x:v>
      </x:c>
      <x:c r="C4116" t="str">
        <x:v>POLITEKNIK NEGERI JAKARTA</x:v>
      </x:c>
      <x:c r="D4116" t="str">
        <x:v>TEKNIK PERANCANGAN JALAN DAN JEMBATAN</x:v>
      </x:c>
      <x:c r="E4116" t="str">
        <x:v>Sarjana Terapan</x:v>
      </x:c>
      <x:c r="F4116" s="18" t="n">
        <x:v>30</x:v>
      </x:c>
      <x:c r="G4116" s="18" t="n">
        <x:v>371</x:v>
      </x:c>
      <x:c r="H4116" s="19" t="n">
        <x:v>12.366666666666667</x:v>
      </x:c>
      <x:c r="I4116" s="18" t="n">
        <x:f>ROUND(MIN(Model_Config_v3!$B$6,MAX(Q4116,R4116,S4116*Model_Config_v3!$B$4+T4116*Model_Config_v3!$B$5)),0)</x:f>
        <x:v>665</x:v>
      </x:c>
      <x:c r="J4116" s="18" t="n">
        <x:f>MIN(Model_Config_v3!$B$6,I4116+Model_Config_v3!$B$7)</x:f>
        <x:v>685</x:v>
      </x:c>
      <x:c r="K4116" s="20" t="n">
        <x:v>57.8</x:v>
      </x:c>
      <x:c r="L4116" t="str">
        <x:v>KETAT</x:v>
      </x:c>
      <x:c r="M4116" t="str">
        <x:v>SEDANG+</x:v>
      </x:c>
      <x:c r="N4116" t="str">
        <x:v>REGULER</x:v>
      </x:c>
      <x:c r="O4116" t="str">
        <x:v>SAINTEK</x:v>
      </x:c>
      <x:c r="P4116" t="str">
        <x:v>TEKNIK/ARSITEKTUR/STATISTIKA/AKTUARIA</x:v>
      </x:c>
      <x:c r="Q4116" s="18" t="n">
        <x:v>0</x:v>
      </x:c>
      <x:c r="R4116" s="18" t="n">
        <x:v>0</x:v>
      </x:c>
      <x:c r="S4116" s="18" t="n">
        <x:v>640.1477920384922</x:v>
      </x:c>
      <x:c r="T4116" s="18" t="n">
        <x:v>676</x:v>
      </x:c>
      <x:c r="U4116" s="18" t="n">
        <x:v>650.1477920384922</x:v>
      </x:c>
      <x:c r="V4116" s="20" t="n">
        <x:v>12</x:v>
      </x:c>
      <x:c r="W4116" s="20" t="n">
        <x:v>5</x:v>
      </x:c>
      <x:c r="X4116" s="20" t="n">
        <x:v>3</x:v>
      </x:c>
      <x:c r="Y4116" t="str">
        <x:v>Basis arsip 2025/2024</x:v>
      </x:c>
      <x:c r="Z4116" t="str">
        <x:v>https://snpmb.id/utbk-snbt/daya-tampung-snbt</x:v>
      </x:c>
      <x:c r="AA4116" t="str">
        <x:v>Tidak Ada</x:v>
      </x:c>
      <x:c r="AB4116" t="str">
        <x:v>Campus=55; Ratio=64.3; Prodi=60; RelDemand=29.9; Capacity=75.0</x:v>
      </x:c>
    </x:row>
    <x:row r="4117">
      <x:c r="A4117" t="n">
        <x:v>4114</x:v>
      </x:c>
      <x:c r="B4117" t="str">
        <x:v>PTN Vokasi</x:v>
      </x:c>
      <x:c r="C4117" t="str">
        <x:v>POLITEKNIK NEGERI JAKARTA</x:v>
      </x:c>
      <x:c r="D4117" t="str">
        <x:v>TEKNOLOGI REKAYASA MANUFAKTUR</x:v>
      </x:c>
      <x:c r="E4117" t="str">
        <x:v>Sarjana Terapan</x:v>
      </x:c>
      <x:c r="F4117" s="18" t="n">
        <x:v>30</x:v>
      </x:c>
      <x:c r="G4117" s="18" t="n">
        <x:v>232</x:v>
      </x:c>
      <x:c r="H4117" s="19" t="n">
        <x:v>7.733333333333333</x:v>
      </x:c>
      <x:c r="I4117" s="18" t="n">
        <x:f>ROUND(MIN(Model_Config_v3!$B$6,MAX(Q4117,R4117,S4117*Model_Config_v3!$B$4+T4117*Model_Config_v3!$B$5)),0)</x:f>
        <x:v>647</x:v>
      </x:c>
      <x:c r="J4117" s="18" t="n">
        <x:f>MIN(Model_Config_v3!$B$6,I4117+Model_Config_v3!$B$7)</x:f>
        <x:v>667</x:v>
      </x:c>
      <x:c r="K4117" s="20" t="n">
        <x:v>49.7</x:v>
      </x:c>
      <x:c r="L4117" t="str">
        <x:v>MENENGAH</x:v>
      </x:c>
      <x:c r="M4117" t="str">
        <x:v>SEDANG</x:v>
      </x:c>
      <x:c r="N4117" t="str">
        <x:v>REGULER</x:v>
      </x:c>
      <x:c r="O4117" t="str">
        <x:v>SAINTEK</x:v>
      </x:c>
      <x:c r="P4117" t="str">
        <x:v>UMUM</x:v>
      </x:c>
      <x:c r="Q4117" s="18" t="n">
        <x:v>0</x:v>
      </x:c>
      <x:c r="R4117" s="18" t="n">
        <x:v>0</x:v>
      </x:c>
      <x:c r="S4117" s="18" t="n">
        <x:v>617.7203403188361</x:v>
      </x:c>
      <x:c r="T4117" s="18" t="n">
        <x:v>659</x:v>
      </x:c>
      <x:c r="U4117" s="18" t="n">
        <x:v>617.7203403188361</x:v>
      </x:c>
      <x:c r="V4117" s="20" t="n">
        <x:v>12</x:v>
      </x:c>
      <x:c r="W4117" s="20" t="n">
        <x:v>5</x:v>
      </x:c>
      <x:c r="X4117" s="20" t="n">
        <x:v>3</x:v>
      </x:c>
      <x:c r="Y4117" t="str">
        <x:v>Basis arsip 2025/2024</x:v>
      </x:c>
      <x:c r="Z4117" t="str">
        <x:v>https://snpmb.id/utbk-snbt/daya-tampung-snbt</x:v>
      </x:c>
      <x:c r="AA4117" t="str">
        <x:v>Tidak Ada</x:v>
      </x:c>
      <x:c r="AB4117" t="str">
        <x:v>Campus=55; Ratio=52.3; Prodi=40; RelDemand=18.7; Capacity=75.0</x:v>
      </x:c>
    </x:row>
    <x:row r="4118">
      <x:c r="A4118" t="n">
        <x:v>4115</x:v>
      </x:c>
      <x:c r="B4118" t="str">
        <x:v>PTN Vokasi</x:v>
      </x:c>
      <x:c r="C4118" t="str">
        <x:v>POLITEKNIK NEGERI JAKARTA</x:v>
      </x:c>
      <x:c r="D4118" t="str">
        <x:v>TEKNOLOGI REKAYASA PEMBANGKIT ENERGI</x:v>
      </x:c>
      <x:c r="E4118" t="str">
        <x:v>Sarjana Terapan</x:v>
      </x:c>
      <x:c r="F4118" s="18" t="n">
        <x:v>30</x:v>
      </x:c>
      <x:c r="G4118" s="18" t="n">
        <x:v>190</x:v>
      </x:c>
      <x:c r="H4118" s="19" t="n">
        <x:v>6.333333333333333</x:v>
      </x:c>
      <x:c r="I4118" s="18" t="n">
        <x:f>ROUND(MIN(Model_Config_v3!$B$6,MAX(Q4118,R4118,S4118*Model_Config_v3!$B$4+T4118*Model_Config_v3!$B$5)),0)</x:f>
        <x:v>642</x:v>
      </x:c>
      <x:c r="J4118" s="18" t="n">
        <x:f>MIN(Model_Config_v3!$B$6,I4118+Model_Config_v3!$B$7)</x:f>
        <x:v>662</x:v>
      </x:c>
      <x:c r="K4118" s="20" t="n">
        <x:v>48.1</x:v>
      </x:c>
      <x:c r="L4118" t="str">
        <x:v>MENENGAH</x:v>
      </x:c>
      <x:c r="M4118" t="str">
        <x:v>SEDANG</x:v>
      </x:c>
      <x:c r="N4118" t="str">
        <x:v>REGULER</x:v>
      </x:c>
      <x:c r="O4118" t="str">
        <x:v>SAINTEK</x:v>
      </x:c>
      <x:c r="P4118" t="str">
        <x:v>UMUM</x:v>
      </x:c>
      <x:c r="Q4118" s="18" t="n">
        <x:v>0</x:v>
      </x:c>
      <x:c r="R4118" s="18" t="n">
        <x:v>0</x:v>
      </x:c>
      <x:c r="S4118" s="18" t="n">
        <x:v>608.1795580856483</x:v>
      </x:c>
      <x:c r="T4118" s="18" t="n">
        <x:v>656</x:v>
      </x:c>
      <x:c r="U4118" s="18" t="n">
        <x:v>608.1795580856483</x:v>
      </x:c>
      <x:c r="V4118" s="20" t="n">
        <x:v>12</x:v>
      </x:c>
      <x:c r="W4118" s="20" t="n">
        <x:v>5</x:v>
      </x:c>
      <x:c r="X4118" s="20" t="n">
        <x:v>3</x:v>
      </x:c>
      <x:c r="Y4118" t="str">
        <x:v>Basis arsip 2025/2024</x:v>
      </x:c>
      <x:c r="Z4118" t="str">
        <x:v>https://snpmb.id/utbk-snbt/daya-tampung-snbt</x:v>
      </x:c>
      <x:c r="AA4118" t="str">
        <x:v>Tidak Ada</x:v>
      </x:c>
      <x:c r="AB4118" t="str">
        <x:v>Campus=55; Ratio=47.2; Prodi=40; RelDemand=15.3; Capacity=75.0</x:v>
      </x:c>
    </x:row>
    <x:row r="4119">
      <x:c r="A4119" t="n">
        <x:v>4116</x:v>
      </x:c>
      <x:c r="B4119" t="str">
        <x:v>PTN Vokasi</x:v>
      </x:c>
      <x:c r="C4119" t="str">
        <x:v>POLITEKNIK NEGERI JAKARTA</x:v>
      </x:c>
      <x:c r="D4119" t="str">
        <x:v>TEKNIK OTOMASI LISTRIK INDUSTRI</x:v>
      </x:c>
      <x:c r="E4119" t="str">
        <x:v>Sarjana Terapan</x:v>
      </x:c>
      <x:c r="F4119" s="18" t="n">
        <x:v>24</x:v>
      </x:c>
      <x:c r="G4119" s="18" t="n">
        <x:v>330</x:v>
      </x:c>
      <x:c r="H4119" s="19" t="n">
        <x:v>13.75</x:v>
      </x:c>
      <x:c r="I4119" s="18" t="n">
        <x:f>ROUND(MIN(Model_Config_v3!$B$6,MAX(Q4119,R4119,S4119*Model_Config_v3!$B$4+T4119*Model_Config_v3!$B$5)),0)</x:f>
        <x:v>669</x:v>
      </x:c>
      <x:c r="J4119" s="18" t="n">
        <x:f>MIN(Model_Config_v3!$B$6,I4119+Model_Config_v3!$B$7)</x:f>
        <x:v>689</x:v>
      </x:c>
      <x:c r="K4119" s="20" t="n">
        <x:v>59.3</x:v>
      </x:c>
      <x:c r="L4119" t="str">
        <x:v>KETAT</x:v>
      </x:c>
      <x:c r="M4119" t="str">
        <x:v>SEDANG+</x:v>
      </x:c>
      <x:c r="N4119" t="str">
        <x:v>REGULER</x:v>
      </x:c>
      <x:c r="O4119" t="str">
        <x:v>SAINTEK</x:v>
      </x:c>
      <x:c r="P4119" t="str">
        <x:v>TEKNIK/ARSITEKTUR/STATISTIKA/AKTUARIA</x:v>
      </x:c>
      <x:c r="Q4119" s="18" t="n">
        <x:v>0</x:v>
      </x:c>
      <x:c r="R4119" s="18" t="n">
        <x:v>0</x:v>
      </x:c>
      <x:c r="S4119" s="18" t="n">
        <x:v>645.2132967982909</x:v>
      </x:c>
      <x:c r="T4119" s="18" t="n">
        <x:v>679</x:v>
      </x:c>
      <x:c r="U4119" s="18" t="n">
        <x:v>655.2132967982909</x:v>
      </x:c>
      <x:c r="V4119" s="20" t="n">
        <x:v>12</x:v>
      </x:c>
      <x:c r="W4119" s="20" t="n">
        <x:v>5</x:v>
      </x:c>
      <x:c r="X4119" s="20" t="n">
        <x:v>3</x:v>
      </x:c>
      <x:c r="Y4119" t="str">
        <x:v>Basis arsip 2025/2024</x:v>
      </x:c>
      <x:c r="Z4119" t="str">
        <x:v>https://snpmb.id/utbk-snbt/daya-tampung-snbt</x:v>
      </x:c>
      <x:c r="AA4119" t="str">
        <x:v>Tidak Ada</x:v>
      </x:c>
      <x:c r="AB4119" t="str">
        <x:v>Campus=55; Ratio=67.0; Prodi=60; RelDemand=33.3; Capacity=80.0</x:v>
      </x:c>
    </x:row>
    <x:row r="4120">
      <x:c r="A4120" t="n">
        <x:v>4117</x:v>
      </x:c>
      <x:c r="B4120" t="str">
        <x:v>PTN Vokasi</x:v>
      </x:c>
      <x:c r="C4120" t="str">
        <x:v>POLITEKNIK NEGERI JAKARTA</x:v>
      </x:c>
      <x:c r="D4120" t="str">
        <x:v>INSTRUMENTASI DAN KONTROL INDUSTRI</x:v>
      </x:c>
      <x:c r="E4120" t="str">
        <x:v>Sarjana Terapan</x:v>
      </x:c>
      <x:c r="F4120" s="18" t="n">
        <x:v>24</x:v>
      </x:c>
      <x:c r="G4120" s="18" t="n">
        <x:v>235</x:v>
      </x:c>
      <x:c r="H4120" s="19" t="n">
        <x:v>9.791666666666666</x:v>
      </x:c>
      <x:c r="I4120" s="18" t="n">
        <x:f>ROUND(MIN(Model_Config_v3!$B$6,MAX(Q4120,R4120,S4120*Model_Config_v3!$B$4+T4120*Model_Config_v3!$B$5)),0)</x:f>
        <x:v>653</x:v>
      </x:c>
      <x:c r="J4120" s="18" t="n">
        <x:f>MIN(Model_Config_v3!$B$6,I4120+Model_Config_v3!$B$7)</x:f>
        <x:v>673</x:v>
      </x:c>
      <x:c r="K4120" s="20" t="n">
        <x:v>52.2</x:v>
      </x:c>
      <x:c r="L4120" t="str">
        <x:v>MENENGAH</x:v>
      </x:c>
      <x:c r="M4120" t="str">
        <x:v>SEDANG</x:v>
      </x:c>
      <x:c r="N4120" t="str">
        <x:v>REGULER</x:v>
      </x:c>
      <x:c r="O4120" t="str">
        <x:v>CAMPURAN</x:v>
      </x:c>
      <x:c r="P4120" t="str">
        <x:v>UMUM</x:v>
      </x:c>
      <x:c r="Q4120" s="18" t="n">
        <x:v>0</x:v>
      </x:c>
      <x:c r="R4120" s="18" t="n">
        <x:v>0</x:v>
      </x:c>
      <x:c r="S4120" s="18" t="n">
        <x:v>628.9942282616144</x:v>
      </x:c>
      <x:c r="T4120" s="18" t="n">
        <x:v>664</x:v>
      </x:c>
      <x:c r="U4120" s="18" t="n">
        <x:v>628.9942282616144</x:v>
      </x:c>
      <x:c r="V4120" s="20" t="n">
        <x:v>8.8</x:v>
      </x:c>
      <x:c r="W4120" s="20" t="n">
        <x:v>9.9</x:v>
      </x:c>
      <x:c r="X4120" s="20" t="n">
        <x:v>3.3</x:v>
      </x:c>
      <x:c r="Y4120" t="str">
        <x:v>Basis arsip 2025/2024</x:v>
      </x:c>
      <x:c r="Z4120" t="str">
        <x:v>https://snpmb.id/utbk-snbt/daya-tampung-snbt</x:v>
      </x:c>
      <x:c r="AA4120" t="str">
        <x:v>Tidak Ada</x:v>
      </x:c>
      <x:c r="AB4120" t="str">
        <x:v>Campus=55; Ratio=58.3; Prodi=40; RelDemand=23.7; Capacity=80.0</x:v>
      </x:c>
    </x:row>
    <x:row r="4121">
      <x:c r="A4121" t="n">
        <x:v>4118</x:v>
      </x:c>
      <x:c r="B4121" t="str">
        <x:v>PTN Vokasi</x:v>
      </x:c>
      <x:c r="C4121" t="str">
        <x:v>POLITEKNIK NEGERI JAKARTA</x:v>
      </x:c>
      <x:c r="D4121" t="str">
        <x:v>BROADBAND MULTIMEDIA</x:v>
      </x:c>
      <x:c r="E4121" t="str">
        <x:v>Sarjana Terapan</x:v>
      </x:c>
      <x:c r="F4121" s="18" t="n">
        <x:v>24</x:v>
      </x:c>
      <x:c r="G4121" s="18" t="n">
        <x:v>268</x:v>
      </x:c>
      <x:c r="H4121" s="19" t="n">
        <x:v>11.166666666666666</x:v>
      </x:c>
      <x:c r="I4121" s="18" t="n">
        <x:f>ROUND(MIN(Model_Config_v3!$B$6,MAX(Q4121,R4121,S4121*Model_Config_v3!$B$4+T4121*Model_Config_v3!$B$5)),0)</x:f>
        <x:v>657</x:v>
      </x:c>
      <x:c r="J4121" s="18" t="n">
        <x:f>MIN(Model_Config_v3!$B$6,I4121+Model_Config_v3!$B$7)</x:f>
        <x:v>677</x:v>
      </x:c>
      <x:c r="K4121" s="20" t="n">
        <x:v>53.4</x:v>
      </x:c>
      <x:c r="L4121" t="str">
        <x:v>MENENGAH</x:v>
      </x:c>
      <x:c r="M4121" t="str">
        <x:v>SEDANG</x:v>
      </x:c>
      <x:c r="N4121" t="str">
        <x:v>REGULER</x:v>
      </x:c>
      <x:c r="O4121" t="str">
        <x:v>CAMPURAN</x:v>
      </x:c>
      <x:c r="P4121" t="str">
        <x:v>UMUM</x:v>
      </x:c>
      <x:c r="Q4121" s="18" t="n">
        <x:v>0</x:v>
      </x:c>
      <x:c r="R4121" s="18" t="n">
        <x:v>0</x:v>
      </x:c>
      <x:c r="S4121" s="18" t="n">
        <x:v>635.2715907548901</x:v>
      </x:c>
      <x:c r="T4121" s="18" t="n">
        <x:v>667</x:v>
      </x:c>
      <x:c r="U4121" s="18" t="n">
        <x:v>635.2715907548901</x:v>
      </x:c>
      <x:c r="V4121" s="20" t="n">
        <x:v>8.8</x:v>
      </x:c>
      <x:c r="W4121" s="20" t="n">
        <x:v>9.9</x:v>
      </x:c>
      <x:c r="X4121" s="20" t="n">
        <x:v>3.3</x:v>
      </x:c>
      <x:c r="Y4121" t="str">
        <x:v>Basis arsip 2025/2024</x:v>
      </x:c>
      <x:c r="Z4121" t="str">
        <x:v>https://snpmb.id/utbk-snbt/daya-tampung-snbt</x:v>
      </x:c>
      <x:c r="AA4121" t="str">
        <x:v>Tidak Ada</x:v>
      </x:c>
      <x:c r="AB4121" t="str">
        <x:v>Campus=55; Ratio=61.7; Prodi=40; RelDemand=27.0; Capacity=80.0</x:v>
      </x:c>
    </x:row>
    <x:row r="4122">
      <x:c r="A4122" t="n">
        <x:v>4119</x:v>
      </x:c>
      <x:c r="B4122" t="str">
        <x:v>PTN Vokasi</x:v>
      </x:c>
      <x:c r="C4122" t="str">
        <x:v>POLITEKNIK NEGERI JAKARTA</x:v>
      </x:c>
      <x:c r="D4122" t="str">
        <x:v>TEKNIK INFORMATIKA</x:v>
      </x:c>
      <x:c r="E4122" t="str">
        <x:v>Sarjana Terapan</x:v>
      </x:c>
      <x:c r="F4122" s="18" t="n">
        <x:v>45</x:v>
      </x:c>
      <x:c r="G4122" s="18" t="n">
        <x:v>3030</x:v>
      </x:c>
      <x:c r="H4122" s="19" t="n">
        <x:v>67.33333333333333</x:v>
      </x:c>
      <x:c r="I4122" s="18" t="n">
        <x:f>ROUND(MIN(Model_Config_v3!$B$6,MAX(Q4122,R4122,S4122*Model_Config_v3!$B$4+T4122*Model_Config_v3!$B$5)),0)</x:f>
        <x:v>717</x:v>
      </x:c>
      <x:c r="J4122" s="18" t="n">
        <x:f>MIN(Model_Config_v3!$B$6,I4122+Model_Config_v3!$B$7)</x:f>
        <x:v>737</x:v>
      </x:c>
      <x:c r="K4122" s="20" t="n">
        <x:v>77.5</x:v>
      </x:c>
      <x:c r="L4122" t="str">
        <x:v>ELITE</x:v>
      </x:c>
      <x:c r="M4122" t="str">
        <x:v>SEDANG+</x:v>
      </x:c>
      <x:c r="N4122" t="str">
        <x:v>REGULER</x:v>
      </x:c>
      <x:c r="O4122" t="str">
        <x:v>SAINTEK</x:v>
      </x:c>
      <x:c r="P4122" t="str">
        <x:v>KOMPUTER/INFORMATIKA</x:v>
      </x:c>
      <x:c r="Q4122" s="18" t="n">
        <x:v>0</x:v>
      </x:c>
      <x:c r="R4122" s="18" t="n">
        <x:v>0</x:v>
      </x:c>
      <x:c r="S4122" s="18" t="n">
        <x:v>721.1053126199657</x:v>
      </x:c>
      <x:c r="T4122" s="18" t="n">
        <x:v>715</x:v>
      </x:c>
      <x:c r="U4122" s="18" t="n">
        <x:v>746.1053126199657</x:v>
      </x:c>
      <x:c r="V4122" s="20" t="n">
        <x:v>12</x:v>
      </x:c>
      <x:c r="W4122" s="20" t="n">
        <x:v>5</x:v>
      </x:c>
      <x:c r="X4122" s="20" t="n">
        <x:v>3</x:v>
      </x:c>
      <x:c r="Y4122" t="str">
        <x:v>Basis arsip 2025/2024</x:v>
      </x:c>
      <x:c r="Z4122" t="str">
        <x:v>https://snpmb.id/utbk-snbt/daya-tampung-snbt</x:v>
      </x:c>
      <x:c r="AA4122" t="str">
        <x:v>Tidak Ada</x:v>
      </x:c>
      <x:c r="AB4122" t="str">
        <x:v>Campus=55; Ratio=100.0; Prodi=85; RelDemand=100.0; Capacity=62.5</x:v>
      </x:c>
    </x:row>
    <x:row r="4123">
      <x:c r="A4123" t="n">
        <x:v>4120</x:v>
      </x:c>
      <x:c r="B4123" t="str">
        <x:v>PTN Vokasi</x:v>
      </x:c>
      <x:c r="C4123" t="str">
        <x:v>POLITEKNIK NEGERI JAKARTA</x:v>
      </x:c>
      <x:c r="D4123" t="str">
        <x:v>TEKNIK MULTIMEDIA DAN JARINGAN</x:v>
      </x:c>
      <x:c r="E4123" t="str">
        <x:v>Sarjana Terapan</x:v>
      </x:c>
      <x:c r="F4123" s="18" t="n">
        <x:v>45</x:v>
      </x:c>
      <x:c r="G4123" s="18" t="n">
        <x:v>607</x:v>
      </x:c>
      <x:c r="H4123" s="19" t="n">
        <x:v>13.488888888888889</x:v>
      </x:c>
      <x:c r="I4123" s="18" t="n">
        <x:f>ROUND(MIN(Model_Config_v3!$B$6,MAX(Q4123,R4123,S4123*Model_Config_v3!$B$4+T4123*Model_Config_v3!$B$5)),0)</x:f>
        <x:v>666</x:v>
      </x:c>
      <x:c r="J4123" s="18" t="n">
        <x:f>MIN(Model_Config_v3!$B$6,I4123+Model_Config_v3!$B$7)</x:f>
        <x:v>686</x:v>
      </x:c>
      <x:c r="K4123" s="20" t="n">
        <x:v>57.4</x:v>
      </x:c>
      <x:c r="L4123" t="str">
        <x:v>KETAT</x:v>
      </x:c>
      <x:c r="M4123" t="str">
        <x:v>SEDANG+</x:v>
      </x:c>
      <x:c r="N4123" t="str">
        <x:v>REGULER</x:v>
      </x:c>
      <x:c r="O4123" t="str">
        <x:v>SAINTEK</x:v>
      </x:c>
      <x:c r="P4123" t="str">
        <x:v>TEKNIK/ARSITEKTUR/STATISTIKA/AKTUARIA</x:v>
      </x:c>
      <x:c r="Q4123" s="18" t="n">
        <x:v>0</x:v>
      </x:c>
      <x:c r="R4123" s="18" t="n">
        <x:v>0</x:v>
      </x:c>
      <x:c r="S4123" s="18" t="n">
        <x:v>644.2973795029906</x:v>
      </x:c>
      <x:c r="T4123" s="18" t="n">
        <x:v>675</x:v>
      </x:c>
      <x:c r="U4123" s="18" t="n">
        <x:v>654.2973795029906</x:v>
      </x:c>
      <x:c r="V4123" s="20" t="n">
        <x:v>12</x:v>
      </x:c>
      <x:c r="W4123" s="20" t="n">
        <x:v>5</x:v>
      </x:c>
      <x:c r="X4123" s="20" t="n">
        <x:v>3</x:v>
      </x:c>
      <x:c r="Y4123" t="str">
        <x:v>Basis arsip 2025/2024</x:v>
      </x:c>
      <x:c r="Z4123" t="str">
        <x:v>https://snpmb.id/utbk-snbt/daya-tampung-snbt</x:v>
      </x:c>
      <x:c r="AA4123" t="str">
        <x:v>Tidak Ada</x:v>
      </x:c>
      <x:c r="AB4123" t="str">
        <x:v>Campus=55; Ratio=66.5; Prodi=60; RelDemand=32.6; Capacity=62.5</x:v>
      </x:c>
    </x:row>
    <x:row r="4124">
      <x:c r="A4124" t="n">
        <x:v>4121</x:v>
      </x:c>
      <x:c r="B4124" t="str">
        <x:v>PTN Vokasi</x:v>
      </x:c>
      <x:c r="C4124" t="str">
        <x:v>POLITEKNIK NEGERI JAKARTA</x:v>
      </x:c>
      <x:c r="D4124" t="str">
        <x:v>TEKNIK MULTIMEDIA DIGITAL</x:v>
      </x:c>
      <x:c r="E4124" t="str">
        <x:v>Sarjana Terapan</x:v>
      </x:c>
      <x:c r="F4124" s="18" t="n">
        <x:v>45</x:v>
      </x:c>
      <x:c r="G4124" s="18" t="n">
        <x:v>784</x:v>
      </x:c>
      <x:c r="H4124" s="19" t="n">
        <x:v>17.42222222222222</x:v>
      </x:c>
      <x:c r="I4124" s="18" t="n">
        <x:f>ROUND(MIN(Model_Config_v3!$B$6,MAX(Q4124,R4124,S4124*Model_Config_v3!$B$4+T4124*Model_Config_v3!$B$5)),0)</x:f>
        <x:v>673</x:v>
      </x:c>
      <x:c r="J4124" s="18" t="n">
        <x:f>MIN(Model_Config_v3!$B$6,I4124+Model_Config_v3!$B$7)</x:f>
        <x:v>693</x:v>
      </x:c>
      <x:c r="K4124" s="20" t="n">
        <x:v>60</x:v>
      </x:c>
      <x:c r="L4124" t="str">
        <x:v>KETAT</x:v>
      </x:c>
      <x:c r="M4124" t="str">
        <x:v>SEDANG+</x:v>
      </x:c>
      <x:c r="N4124" t="str">
        <x:v>REGULER</x:v>
      </x:c>
      <x:c r="O4124" t="str">
        <x:v>SAINTEK</x:v>
      </x:c>
      <x:c r="P4124" t="str">
        <x:v>TEKNIK/ARSITEKTUR/STATISTIKA/AKTUARIA</x:v>
      </x:c>
      <x:c r="Q4124" s="18" t="n">
        <x:v>0</x:v>
      </x:c>
      <x:c r="R4124" s="18" t="n">
        <x:v>0</x:v>
      </x:c>
      <x:c r="S4124" s="18" t="n">
        <x:v>656.5213903800004</x:v>
      </x:c>
      <x:c r="T4124" s="18" t="n">
        <x:v>680</x:v>
      </x:c>
      <x:c r="U4124" s="18" t="n">
        <x:v>666.5213903800004</x:v>
      </x:c>
      <x:c r="V4124" s="20" t="n">
        <x:v>12</x:v>
      </x:c>
      <x:c r="W4124" s="20" t="n">
        <x:v>5</x:v>
      </x:c>
      <x:c r="X4124" s="20" t="n">
        <x:v>3</x:v>
      </x:c>
      <x:c r="Y4124" t="str">
        <x:v>Basis arsip 2025/2024</x:v>
      </x:c>
      <x:c r="Z4124" t="str">
        <x:v>https://snpmb.id/utbk-snbt/daya-tampung-snbt</x:v>
      </x:c>
      <x:c r="AA4124" t="str">
        <x:v>Tidak Ada</x:v>
      </x:c>
      <x:c r="AB4124" t="str">
        <x:v>Campus=55; Ratio=73.1; Prodi=60; RelDemand=42.1; Capacity=62.5</x:v>
      </x:c>
    </x:row>
    <x:row r="4125">
      <x:c r="A4125" t="n">
        <x:v>4122</x:v>
      </x:c>
      <x:c r="B4125" t="str">
        <x:v>PTN Vokasi</x:v>
      </x:c>
      <x:c r="C4125" t="str">
        <x:v>POLITEKNIK NEGERI JAKARTA</x:v>
      </x:c>
      <x:c r="D4125" t="str">
        <x:v>DESAIN GRAFIS</x:v>
      </x:c>
      <x:c r="E4125" t="str">
        <x:v>Sarjana Terapan</x:v>
      </x:c>
      <x:c r="F4125" s="18" t="n">
        <x:v>41</x:v>
      </x:c>
      <x:c r="G4125" s="18" t="n">
        <x:v>1203</x:v>
      </x:c>
      <x:c r="H4125" s="19" t="n">
        <x:v>29.341463414634145</x:v>
      </x:c>
      <x:c r="I4125" s="18" t="n">
        <x:f>ROUND(MIN(Model_Config_v3!$B$6,MAX(Q4125,R4125,S4125*Model_Config_v3!$B$4+T4125*Model_Config_v3!$B$5)),0)</x:f>
        <x:v>684</x:v>
      </x:c>
      <x:c r="J4125" s="18" t="n">
        <x:f>MIN(Model_Config_v3!$B$6,I4125+Model_Config_v3!$B$7)</x:f>
        <x:v>704</x:v>
      </x:c>
      <x:c r="K4125" s="20" t="n">
        <x:v>62.5</x:v>
      </x:c>
      <x:c r="L4125" t="str">
        <x:v>KETAT</x:v>
      </x:c>
      <x:c r="M4125" t="str">
        <x:v>SEDANG</x:v>
      </x:c>
      <x:c r="N4125" t="str">
        <x:v>REGULER</x:v>
      </x:c>
      <x:c r="O4125" t="str">
        <x:v>CAMPURAN</x:v>
      </x:c>
      <x:c r="P4125" t="str">
        <x:v>UMUM</x:v>
      </x:c>
      <x:c r="Q4125" s="18" t="n">
        <x:v>0</x:v>
      </x:c>
      <x:c r="R4125" s="18" t="n">
        <x:v>0</x:v>
      </x:c>
      <x:c r="S4125" s="18" t="n">
        <x:v>681.422994768212</x:v>
      </x:c>
      <x:c r="T4125" s="18" t="n">
        <x:v>685</x:v>
      </x:c>
      <x:c r="U4125" s="18" t="n">
        <x:v>681.422994768212</x:v>
      </x:c>
      <x:c r="V4125" s="20" t="n">
        <x:v>8.8</x:v>
      </x:c>
      <x:c r="W4125" s="20" t="n">
        <x:v>9.9</x:v>
      </x:c>
      <x:c r="X4125" s="20" t="n">
        <x:v>3.3</x:v>
      </x:c>
      <x:c r="Y4125" t="str">
        <x:v>Basis arsip 2025/2024</x:v>
      </x:c>
      <x:c r="Z4125" t="str">
        <x:v>https://snpmb.id/utbk-snbt/daya-tampung-snbt</x:v>
      </x:c>
      <x:c r="AA4125" t="str">
        <x:v>Tidak Ada</x:v>
      </x:c>
      <x:c r="AB4125" t="str">
        <x:v>Campus=55; Ratio=86.4; Prodi=40; RelDemand=71.0; Capacity=65.8</x:v>
      </x:c>
    </x:row>
    <x:row r="4126">
      <x:c r="A4126" t="n">
        <x:v>4123</x:v>
      </x:c>
      <x:c r="B4126" t="str">
        <x:v>PTN Vokasi</x:v>
      </x:c>
      <x:c r="C4126" t="str">
        <x:v>POLITEKNIK NEGERI JAKARTA</x:v>
      </x:c>
      <x:c r="D4126" t="str">
        <x:v>TEKNOLOGI INDUSTRI CETAK KEMASAN</x:v>
      </x:c>
      <x:c r="E4126" t="str">
        <x:v>Sarjana Terapan</x:v>
      </x:c>
      <x:c r="F4126" s="18" t="n">
        <x:v>41</x:v>
      </x:c>
      <x:c r="G4126" s="18" t="n">
        <x:v>179</x:v>
      </x:c>
      <x:c r="H4126" s="19" t="n">
        <x:v>4.365853658536586</x:v>
      </x:c>
      <x:c r="I4126" s="18" t="n">
        <x:f>ROUND(MIN(Model_Config_v3!$B$6,MAX(Q4126,R4126,S4126*Model_Config_v3!$B$4+T4126*Model_Config_v3!$B$5)),0)</x:f>
        <x:v>631</x:v>
      </x:c>
      <x:c r="J4126" s="18" t="n">
        <x:f>MIN(Model_Config_v3!$B$6,I4126+Model_Config_v3!$B$7)</x:f>
        <x:v>651</x:v>
      </x:c>
      <x:c r="K4126" s="20" t="n">
        <x:v>44.3</x:v>
      </x:c>
      <x:c r="L4126" t="str">
        <x:v>RELATIF LONGGAR</x:v>
      </x:c>
      <x:c r="M4126" t="str">
        <x:v>SEDANG</x:v>
      </x:c>
      <x:c r="N4126" t="str">
        <x:v>REGULER</x:v>
      </x:c>
      <x:c r="O4126" t="str">
        <x:v>SAINTEK</x:v>
      </x:c>
      <x:c r="P4126" t="str">
        <x:v>UMUM</x:v>
      </x:c>
      <x:c r="Q4126" s="18" t="n">
        <x:v>0</x:v>
      </x:c>
      <x:c r="R4126" s="18" t="n">
        <x:v>0</x:v>
      </x:c>
      <x:c r="S4126" s="18" t="n">
        <x:v>590.4076091686173</x:v>
      </x:c>
      <x:c r="T4126" s="18" t="n">
        <x:v>649</x:v>
      </x:c>
      <x:c r="U4126" s="18" t="n">
        <x:v>590.4076091686173</x:v>
      </x:c>
      <x:c r="V4126" s="20" t="n">
        <x:v>12</x:v>
      </x:c>
      <x:c r="W4126" s="20" t="n">
        <x:v>5</x:v>
      </x:c>
      <x:c r="X4126" s="20" t="n">
        <x:v>3</x:v>
      </x:c>
      <x:c r="Y4126" t="str">
        <x:v>Basis arsip 2025/2024</x:v>
      </x:c>
      <x:c r="Z4126" t="str">
        <x:v>https://snpmb.id/utbk-snbt/daya-tampung-snbt</x:v>
      </x:c>
      <x:c r="AA4126" t="str">
        <x:v>Tidak Ada</x:v>
      </x:c>
      <x:c r="AB4126" t="str">
        <x:v>Campus=55; Ratio=37.7; Prodi=40; RelDemand=10.6; Capacity=65.8</x:v>
      </x:c>
    </x:row>
    <x:row r="4127">
      <x:c r="A4127" t="n">
        <x:v>4124</x:v>
      </x:c>
      <x:c r="B4127" t="str">
        <x:v>PTN Vokasi</x:v>
      </x:c>
      <x:c r="C4127" t="str">
        <x:v>POLITEKNIK NEGERI JAKARTA</x:v>
      </x:c>
      <x:c r="D4127" t="str">
        <x:v>TEKNOLOGI REKAYASA MANUFAKTUR (KAMPUS KOTA PEKALONGAN)</x:v>
      </x:c>
      <x:c r="E4127" t="str">
        <x:v>Sarjana Terapan</x:v>
      </x:c>
      <x:c r="F4127" s="18" t="n">
        <x:v>15</x:v>
      </x:c>
      <x:c r="G4127" s="18" t="n">
        <x:v>39</x:v>
      </x:c>
      <x:c r="H4127" s="19" t="n">
        <x:v>2.6</x:v>
      </x:c>
      <x:c r="I4127" s="18" t="n">
        <x:f>ROUND(MIN(Model_Config_v3!$B$6,MAX(Q4127,R4127,S4127*Model_Config_v3!$B$4+T4127*Model_Config_v3!$B$5)),0)</x:f>
        <x:v>621</x:v>
      </x:c>
      <x:c r="J4127" s="18" t="n">
        <x:f>MIN(Model_Config_v3!$B$6,I4127+Model_Config_v3!$B$7)</x:f>
        <x:v>641</x:v>
      </x:c>
      <x:c r="K4127" s="20" t="n">
        <x:v>42.7</x:v>
      </x:c>
      <x:c r="L4127" t="str">
        <x:v>RELATIF LONGGAR</x:v>
      </x:c>
      <x:c r="M4127" t="str">
        <x:v>SEDANG</x:v>
      </x:c>
      <x:c r="N4127" t="str">
        <x:v>REGULER</x:v>
      </x:c>
      <x:c r="O4127" t="str">
        <x:v>SAINTEK</x:v>
      </x:c>
      <x:c r="P4127" t="str">
        <x:v>UMUM</x:v>
      </x:c>
      <x:c r="Q4127" s="18" t="n">
        <x:v>0</x:v>
      </x:c>
      <x:c r="R4127" s="18" t="n">
        <x:v>0</x:v>
      </x:c>
      <x:c r="S4127" s="18" t="n">
        <x:v>565.6470682767899</x:v>
      </x:c>
      <x:c r="T4127" s="18" t="n">
        <x:v>645</x:v>
      </x:c>
      <x:c r="U4127" s="18" t="n">
        <x:v>565.6470682767899</x:v>
      </x:c>
      <x:c r="V4127" s="20" t="n">
        <x:v>12</x:v>
      </x:c>
      <x:c r="W4127" s="20" t="n">
        <x:v>5</x:v>
      </x:c>
      <x:c r="X4127" s="20" t="n">
        <x:v>3</x:v>
      </x:c>
      <x:c r="Y4127" t="str">
        <x:v>Basis arsip 2025/2024</x:v>
      </x:c>
      <x:c r="Z4127" t="str">
        <x:v>https://snpmb.id/utbk-snbt/daya-tampung-snbt</x:v>
      </x:c>
      <x:c r="AA4127" t="str">
        <x:v>Tidak Ada</x:v>
      </x:c>
      <x:c r="AB4127" t="str">
        <x:v>Campus=55; Ratio=24.4; Prodi=40; RelDemand=6.3; Capacity=87.5</x:v>
      </x:c>
    </x:row>
    <x:row r="4128">
      <x:c r="A4128" t="n">
        <x:v>4125</x:v>
      </x:c>
      <x:c r="B4128" t="str">
        <x:v>PTN Vokasi</x:v>
      </x:c>
      <x:c r="C4128" t="str">
        <x:v>POLITEKNIK NEGERI JAKARTA</x:v>
      </x:c>
      <x:c r="D4128" t="str">
        <x:v>TEKNOLOGI REKAYASA KONVERSI ENERGI</x:v>
      </x:c>
      <x:c r="E4128" t="str">
        <x:v>Sarjana Terapan</x:v>
      </x:c>
      <x:c r="F4128" s="18" t="n">
        <x:v>36</x:v>
      </x:c>
      <x:c r="G4128" s="18" t="n">
        <x:v>249</x:v>
      </x:c>
      <x:c r="H4128" s="19" t="n">
        <x:v>6.916666666666667</x:v>
      </x:c>
      <x:c r="I4128" s="18" t="n">
        <x:f>ROUND(MIN(Model_Config_v3!$B$6,MAX(Q4128,R4128,S4128*Model_Config_v3!$B$4+T4128*Model_Config_v3!$B$5)),0)</x:f>
        <x:v>644</x:v>
      </x:c>
      <x:c r="J4128" s="18" t="n">
        <x:f>MIN(Model_Config_v3!$B$6,I4128+Model_Config_v3!$B$7)</x:f>
        <x:v>664</x:v>
      </x:c>
      <x:c r="K4128" s="20" t="n">
        <x:v>48.3</x:v>
      </x:c>
      <x:c r="L4128" t="str">
        <x:v>MENENGAH</x:v>
      </x:c>
      <x:c r="M4128" t="str">
        <x:v>SEDANG</x:v>
      </x:c>
      <x:c r="N4128" t="str">
        <x:v>REGULER</x:v>
      </x:c>
      <x:c r="O4128" t="str">
        <x:v>SAINTEK</x:v>
      </x:c>
      <x:c r="P4128" t="str">
        <x:v>UMUM</x:v>
      </x:c>
      <x:c r="Q4128" s="18" t="n">
        <x:v>0</x:v>
      </x:c>
      <x:c r="R4128" s="18" t="n">
        <x:v>0</x:v>
      </x:c>
      <x:c r="S4128" s="18" t="n">
        <x:v>612.3886530961294</x:v>
      </x:c>
      <x:c r="T4128" s="18" t="n">
        <x:v>657</x:v>
      </x:c>
      <x:c r="U4128" s="18" t="n">
        <x:v>612.3886530961294</x:v>
      </x:c>
      <x:c r="V4128" s="20" t="n">
        <x:v>12</x:v>
      </x:c>
      <x:c r="W4128" s="20" t="n">
        <x:v>5</x:v>
      </x:c>
      <x:c r="X4128" s="20" t="n">
        <x:v>3</x:v>
      </x:c>
      <x:c r="Y4128" t="str">
        <x:v>Basis arsip 2025/2024</x:v>
      </x:c>
      <x:c r="Z4128" t="str">
        <x:v>https://snpmb.id/utbk-snbt/daya-tampung-snbt</x:v>
      </x:c>
      <x:c r="AA4128" t="str">
        <x:v>Tidak Ada</x:v>
      </x:c>
      <x:c r="AB4128" t="str">
        <x:v>Campus=55; Ratio=49.4; Prodi=40; RelDemand=16.7; Capacity=70.0</x:v>
      </x:c>
    </x:row>
    <x:row r="4129">
      <x:c r="A4129" t="n">
        <x:v>4126</x:v>
      </x:c>
      <x:c r="B4129" t="str">
        <x:v>PTN Vokasi</x:v>
      </x:c>
      <x:c r="C4129" t="str">
        <x:v>POLITEKNIK NEGERI JAKARTA</x:v>
      </x:c>
      <x:c r="D4129" t="str">
        <x:v>TEKNOLOGI REKAYASA PEMELIHARAAN ALAT BERAT</x:v>
      </x:c>
      <x:c r="E4129" t="str">
        <x:v>Sarjana Terapan</x:v>
      </x:c>
      <x:c r="F4129" s="18" t="n">
        <x:v>36</x:v>
      </x:c>
      <x:c r="G4129" s="18" t="n">
        <x:v>335</x:v>
      </x:c>
      <x:c r="H4129" s="19" t="n">
        <x:v>9.305555555555555</x:v>
      </x:c>
      <x:c r="I4129" s="18" t="n">
        <x:f>ROUND(MIN(Model_Config_v3!$B$6,MAX(Q4129,R4129,S4129*Model_Config_v3!$B$4+T4129*Model_Config_v3!$B$5)),0)</x:f>
        <x:v>651</x:v>
      </x:c>
      <x:c r="J4129" s="18" t="n">
        <x:f>MIN(Model_Config_v3!$B$6,I4129+Model_Config_v3!$B$7)</x:f>
        <x:v>671</x:v>
      </x:c>
      <x:c r="K4129" s="20" t="n">
        <x:v>50.8</x:v>
      </x:c>
      <x:c r="L4129" t="str">
        <x:v>MENENGAH</x:v>
      </x:c>
      <x:c r="M4129" t="str">
        <x:v>SEDANG</x:v>
      </x:c>
      <x:c r="N4129" t="str">
        <x:v>REGULER</x:v>
      </x:c>
      <x:c r="O4129" t="str">
        <x:v>SAINTEK</x:v>
      </x:c>
      <x:c r="P4129" t="str">
        <x:v>UMUM</x:v>
      </x:c>
      <x:c r="Q4129" s="18" t="n">
        <x:v>0</x:v>
      </x:c>
      <x:c r="R4129" s="18" t="n">
        <x:v>0</x:v>
      </x:c>
      <x:c r="S4129" s="18" t="n">
        <x:v>626.5616536896514</x:v>
      </x:c>
      <x:c r="T4129" s="18" t="n">
        <x:v>662</x:v>
      </x:c>
      <x:c r="U4129" s="18" t="n">
        <x:v>626.5616536896514</x:v>
      </x:c>
      <x:c r="V4129" s="20" t="n">
        <x:v>12</x:v>
      </x:c>
      <x:c r="W4129" s="20" t="n">
        <x:v>5</x:v>
      </x:c>
      <x:c r="X4129" s="20" t="n">
        <x:v>3</x:v>
      </x:c>
      <x:c r="Y4129" t="str">
        <x:v>Basis arsip 2025/2024</x:v>
      </x:c>
      <x:c r="Z4129" t="str">
        <x:v>https://snpmb.id/utbk-snbt/daya-tampung-snbt</x:v>
      </x:c>
      <x:c r="AA4129" t="str">
        <x:v>Tidak Ada</x:v>
      </x:c>
      <x:c r="AB4129" t="str">
        <x:v>Campus=55; Ratio=57.0; Prodi=40; RelDemand=22.5; Capacity=70.0</x:v>
      </x:c>
    </x:row>
    <x:row r="4130">
      <x:c r="A4130" t="n">
        <x:v>4127</x:v>
      </x:c>
      <x:c r="B4130" t="str">
        <x:v>PTN Vokasi</x:v>
      </x:c>
      <x:c r="C4130" t="str">
        <x:v>POLITEKNIK NEGERI JAKARTA</x:v>
      </x:c>
      <x:c r="D4130" t="str">
        <x:v>AKUNTANSI KEUANGAN</x:v>
      </x:c>
      <x:c r="E4130" t="str">
        <x:v>Sarjana Terapan</x:v>
      </x:c>
      <x:c r="F4130" s="18" t="n">
        <x:v>30</x:v>
      </x:c>
      <x:c r="G4130" s="18" t="n">
        <x:v>1179</x:v>
      </x:c>
      <x:c r="H4130" s="19" t="n">
        <x:v>39.3</x:v>
      </x:c>
      <x:c r="I4130" s="18" t="n">
        <x:f>ROUND(MIN(Model_Config_v3!$B$6,MAX(Q4130,R4130,S4130*Model_Config_v3!$B$4+T4130*Model_Config_v3!$B$5)),0)</x:f>
        <x:v>702</x:v>
      </x:c>
      <x:c r="J4130" s="18" t="n">
        <x:f>MIN(Model_Config_v3!$B$6,I4130+Model_Config_v3!$B$7)</x:f>
        <x:v>722</x:v>
      </x:c>
      <x:c r="K4130" s="20" t="n">
        <x:v>72.7</x:v>
      </x:c>
      <x:c r="L4130" t="str">
        <x:v>SANGAT KETAT</x:v>
      </x:c>
      <x:c r="M4130" t="str">
        <x:v>SEDANG+</x:v>
      </x:c>
      <x:c r="N4130" t="str">
        <x:v>REGULER</x:v>
      </x:c>
      <x:c r="O4130" t="str">
        <x:v>SOSHUM</x:v>
      </x:c>
      <x:c r="P4130" t="str">
        <x:v>BISNIS/EKONOMI/AKUNTANSI</x:v>
      </x:c>
      <x:c r="Q4130" s="18" t="n">
        <x:v>0</x:v>
      </x:c>
      <x:c r="R4130" s="18" t="n">
        <x:v>0</x:v>
      </x:c>
      <x:c r="S4130" s="18" t="n">
        <x:v>695.383180541297</x:v>
      </x:c>
      <x:c r="T4130" s="18" t="n">
        <x:v>705</x:v>
      </x:c>
      <x:c r="U4130" s="18" t="n">
        <x:v>695.383180541297</x:v>
      </x:c>
      <x:c r="V4130" s="20" t="n">
        <x:v>4.4</x:v>
      </x:c>
      <x:c r="W4130" s="20" t="n">
        <x:v>14.3</x:v>
      </x:c>
      <x:c r="X4130" s="20" t="n">
        <x:v>3.3</x:v>
      </x:c>
      <x:c r="Y4130" t="str">
        <x:v>Basis arsip 2025/2024</x:v>
      </x:c>
      <x:c r="Z4130" t="str">
        <x:v>https://snpmb.id/utbk-snbt/daya-tampung-snbt</x:v>
      </x:c>
      <x:c r="AA4130" t="str">
        <x:v>Tidak Ada</x:v>
      </x:c>
      <x:c r="AB4130" t="str">
        <x:v>Campus=55; Ratio=93.8; Prodi=65; RelDemand=95.1; Capacity=75.0</x:v>
      </x:c>
    </x:row>
    <x:row r="4131">
      <x:c r="A4131" t="n">
        <x:v>4128</x:v>
      </x:c>
      <x:c r="B4131" t="str">
        <x:v>PTN Vokasi</x:v>
      </x:c>
      <x:c r="C4131" t="str">
        <x:v>POLITEKNIK NEGERI JAKARTA</x:v>
      </x:c>
      <x:c r="D4131" t="str">
        <x:v>KEUANGAN DAN PERBANKAN</x:v>
      </x:c>
      <x:c r="E4131" t="str">
        <x:v>Sarjana Terapan</x:v>
      </x:c>
      <x:c r="F4131" s="18" t="n">
        <x:v>30</x:v>
      </x:c>
      <x:c r="G4131" s="18" t="n">
        <x:v>1045</x:v>
      </x:c>
      <x:c r="H4131" s="19" t="n">
        <x:v>34.833333333333336</x:v>
      </x:c>
      <x:c r="I4131" s="18" t="n">
        <x:f>ROUND(MIN(Model_Config_v3!$B$6,MAX(Q4131,R4131,S4131*Model_Config_v3!$B$4+T4131*Model_Config_v3!$B$5)),0)</x:f>
        <x:v>691</x:v>
      </x:c>
      <x:c r="J4131" s="18" t="n">
        <x:f>MIN(Model_Config_v3!$B$6,I4131+Model_Config_v3!$B$7)</x:f>
        <x:v>711</x:v>
      </x:c>
      <x:c r="K4131" s="20" t="n">
        <x:v>65.9</x:v>
      </x:c>
      <x:c r="L4131" t="str">
        <x:v>SANGAT KETAT</x:v>
      </x:c>
      <x:c r="M4131" t="str">
        <x:v>SEDANG</x:v>
      </x:c>
      <x:c r="N4131" t="str">
        <x:v>REGULER</x:v>
      </x:c>
      <x:c r="O4131" t="str">
        <x:v>CAMPURAN</x:v>
      </x:c>
      <x:c r="P4131" t="str">
        <x:v>UMUM</x:v>
      </x:c>
      <x:c r="Q4131" s="18" t="n">
        <x:v>0</x:v>
      </x:c>
      <x:c r="R4131" s="18" t="n">
        <x:v>0</x:v>
      </x:c>
      <x:c r="S4131" s="18" t="n">
        <x:v>689.6194539300151</x:v>
      </x:c>
      <x:c r="T4131" s="18" t="n">
        <x:v>692</x:v>
      </x:c>
      <x:c r="U4131" s="18" t="n">
        <x:v>689.6194539300151</x:v>
      </x:c>
      <x:c r="V4131" s="20" t="n">
        <x:v>8.8</x:v>
      </x:c>
      <x:c r="W4131" s="20" t="n">
        <x:v>9.9</x:v>
      </x:c>
      <x:c r="X4131" s="20" t="n">
        <x:v>3.3</x:v>
      </x:c>
      <x:c r="Y4131" t="str">
        <x:v>Basis arsip 2025/2024</x:v>
      </x:c>
      <x:c r="Z4131" t="str">
        <x:v>https://snpmb.id/utbk-snbt/daya-tampung-snbt</x:v>
      </x:c>
      <x:c r="AA4131" t="str">
        <x:v>Tidak Ada</x:v>
      </x:c>
      <x:c r="AB4131" t="str">
        <x:v>Campus=55; Ratio=90.8; Prodi=40; RelDemand=84.2; Capacity=75.0</x:v>
      </x:c>
    </x:row>
    <x:row r="4132">
      <x:c r="A4132" t="n">
        <x:v>4129</x:v>
      </x:c>
      <x:c r="B4132" t="str">
        <x:v>PTN Vokasi</x:v>
      </x:c>
      <x:c r="C4132" t="str">
        <x:v>POLITEKNIK NEGERI JAKARTA</x:v>
      </x:c>
      <x:c r="D4132" t="str">
        <x:v>KEUANGAN DAN PEBANKAN SYARIAH</x:v>
      </x:c>
      <x:c r="E4132" t="str">
        <x:v>Sarjana Terapan</x:v>
      </x:c>
      <x:c r="F4132" s="18" t="n">
        <x:v>30</x:v>
      </x:c>
      <x:c r="G4132" s="18" t="n">
        <x:v>731</x:v>
      </x:c>
      <x:c r="H4132" s="19" t="n">
        <x:v>24.366666666666667</x:v>
      </x:c>
      <x:c r="I4132" s="18" t="n">
        <x:f>ROUND(MIN(Model_Config_v3!$B$6,MAX(Q4132,R4132,S4132*Model_Config_v3!$B$4+T4132*Model_Config_v3!$B$5)),0)</x:f>
        <x:v>679</x:v>
      </x:c>
      <x:c r="J4132" s="18" t="n">
        <x:f>MIN(Model_Config_v3!$B$6,I4132+Model_Config_v3!$B$7)</x:f>
        <x:v>699</x:v>
      </x:c>
      <x:c r="K4132" s="20" t="n">
        <x:v>61</x:v>
      </x:c>
      <x:c r="L4132" t="str">
        <x:v>KETAT</x:v>
      </x:c>
      <x:c r="M4132" t="str">
        <x:v>SEDANG</x:v>
      </x:c>
      <x:c r="N4132" t="str">
        <x:v>REGULER</x:v>
      </x:c>
      <x:c r="O4132" t="str">
        <x:v>CAMPURAN</x:v>
      </x:c>
      <x:c r="P4132" t="str">
        <x:v>UMUM</x:v>
      </x:c>
      <x:c r="Q4132" s="18" t="n">
        <x:v>0</x:v>
      </x:c>
      <x:c r="R4132" s="18" t="n">
        <x:v>0</x:v>
      </x:c>
      <x:c r="S4132" s="18" t="n">
        <x:v>672.5475734462018</x:v>
      </x:c>
      <x:c r="T4132" s="18" t="n">
        <x:v>682</x:v>
      </x:c>
      <x:c r="U4132" s="18" t="n">
        <x:v>672.5475734462018</x:v>
      </x:c>
      <x:c r="V4132" s="20" t="n">
        <x:v>8.8</x:v>
      </x:c>
      <x:c r="W4132" s="20" t="n">
        <x:v>9.9</x:v>
      </x:c>
      <x:c r="X4132" s="20" t="n">
        <x:v>3.3</x:v>
      </x:c>
      <x:c r="Y4132" t="str">
        <x:v>Basis arsip 2025/2024</x:v>
      </x:c>
      <x:c r="Z4132" t="str">
        <x:v>https://snpmb.id/utbk-snbt/daya-tampung-snbt</x:v>
      </x:c>
      <x:c r="AA4132" t="str">
        <x:v>Tidak Ada</x:v>
      </x:c>
      <x:c r="AB4132" t="str">
        <x:v>Campus=55; Ratio=81.6; Prodi=40; RelDemand=58.9; Capacity=75.0</x:v>
      </x:c>
    </x:row>
    <x:row r="4133">
      <x:c r="A4133" t="n">
        <x:v>4130</x:v>
      </x:c>
      <x:c r="B4133" t="str">
        <x:v>PTN Vokasi</x:v>
      </x:c>
      <x:c r="C4133" t="str">
        <x:v>POLITEKNIK NEGERI JAKARTA</x:v>
      </x:c>
      <x:c r="D4133" t="str">
        <x:v>MANAJEMEN KEUANGAN</x:v>
      </x:c>
      <x:c r="E4133" t="str">
        <x:v>Sarjana Terapan</x:v>
      </x:c>
      <x:c r="F4133" s="18" t="n">
        <x:v>30</x:v>
      </x:c>
      <x:c r="G4133" s="18" t="n">
        <x:v>1124</x:v>
      </x:c>
      <x:c r="H4133" s="19" t="n">
        <x:v>37.46666666666667</x:v>
      </x:c>
      <x:c r="I4133" s="18" t="n">
        <x:f>ROUND(MIN(Model_Config_v3!$B$6,MAX(Q4133,R4133,S4133*Model_Config_v3!$B$4+T4133*Model_Config_v3!$B$5)),0)</x:f>
        <x:v>701</x:v>
      </x:c>
      <x:c r="J4133" s="18" t="n">
        <x:f>MIN(Model_Config_v3!$B$6,I4133+Model_Config_v3!$B$7)</x:f>
        <x:v>721</x:v>
      </x:c>
      <x:c r="K4133" s="20" t="n">
        <x:v>72</x:v>
      </x:c>
      <x:c r="L4133" t="str">
        <x:v>SANGAT KETAT</x:v>
      </x:c>
      <x:c r="M4133" t="str">
        <x:v>SEDANG+</x:v>
      </x:c>
      <x:c r="N4133" t="str">
        <x:v>REGULER</x:v>
      </x:c>
      <x:c r="O4133" t="str">
        <x:v>SOSHUM</x:v>
      </x:c>
      <x:c r="P4133" t="str">
        <x:v>BISNIS/EKONOMI/AKUNTANSI</x:v>
      </x:c>
      <x:c r="Q4133" s="18" t="n">
        <x:v>0</x:v>
      </x:c>
      <x:c r="R4133" s="18" t="n">
        <x:v>0</x:v>
      </x:c>
      <x:c r="S4133" s="18" t="n">
        <x:v>693.1009562164718</x:v>
      </x:c>
      <x:c r="T4133" s="18" t="n">
        <x:v>704</x:v>
      </x:c>
      <x:c r="U4133" s="18" t="n">
        <x:v>708.1009562164718</x:v>
      </x:c>
      <x:c r="V4133" s="20" t="n">
        <x:v>4.4</x:v>
      </x:c>
      <x:c r="W4133" s="20" t="n">
        <x:v>14.3</x:v>
      </x:c>
      <x:c r="X4133" s="20" t="n">
        <x:v>3.3</x:v>
      </x:c>
      <x:c r="Y4133" t="str">
        <x:v>Basis arsip 2025/2024</x:v>
      </x:c>
      <x:c r="Z4133" t="str">
        <x:v>https://snpmb.id/utbk-snbt/daya-tampung-snbt</x:v>
      </x:c>
      <x:c r="AA4133" t="str">
        <x:v>Tidak Ada</x:v>
      </x:c>
      <x:c r="AB4133" t="str">
        <x:v>Campus=55; Ratio=92.6; Prodi=65; RelDemand=90.6; Capacity=75.0</x:v>
      </x:c>
    </x:row>
    <x:row r="4134">
      <x:c r="A4134" t="n">
        <x:v>4131</x:v>
      </x:c>
      <x:c r="B4134" t="str">
        <x:v>PTN Vokasi</x:v>
      </x:c>
      <x:c r="C4134" t="str">
        <x:v>POLITEKNIK NEGERI JAKARTA</x:v>
      </x:c>
      <x:c r="D4134" t="str">
        <x:v>USAHA JASA KONVENSI, PERJALANAN INSENTIF DAN PAMERAN</x:v>
      </x:c>
      <x:c r="E4134" t="str">
        <x:v>Sarjana Terapan</x:v>
      </x:c>
      <x:c r="F4134" s="18" t="n">
        <x:v>45</x:v>
      </x:c>
      <x:c r="G4134" s="18" t="n">
        <x:v>641</x:v>
      </x:c>
      <x:c r="H4134" s="19" t="n">
        <x:v>14.244444444444444</x:v>
      </x:c>
      <x:c r="I4134" s="18" t="n">
        <x:f>ROUND(MIN(Model_Config_v3!$B$6,MAX(Q4134,R4134,S4134*Model_Config_v3!$B$4+T4134*Model_Config_v3!$B$5)),0)</x:f>
        <x:v>662</x:v>
      </x:c>
      <x:c r="J4134" s="18" t="n">
        <x:f>MIN(Model_Config_v3!$B$6,I4134+Model_Config_v3!$B$7)</x:f>
        <x:v>682</x:v>
      </x:c>
      <x:c r="K4134" s="20" t="n">
        <x:v>53.9</x:v>
      </x:c>
      <x:c r="L4134" t="str">
        <x:v>MENENGAH</x:v>
      </x:c>
      <x:c r="M4134" t="str">
        <x:v>SEDANG</x:v>
      </x:c>
      <x:c r="N4134" t="str">
        <x:v>REGULER</x:v>
      </x:c>
      <x:c r="O4134" t="str">
        <x:v>CAMPURAN</x:v>
      </x:c>
      <x:c r="P4134" t="str">
        <x:v>UMUM</x:v>
      </x:c>
      <x:c r="Q4134" s="18" t="n">
        <x:v>0</x:v>
      </x:c>
      <x:c r="R4134" s="18" t="n">
        <x:v>0</x:v>
      </x:c>
      <x:c r="S4134" s="18" t="n">
        <x:v>646.9010067317821</x:v>
      </x:c>
      <x:c r="T4134" s="18" t="n">
        <x:v>668</x:v>
      </x:c>
      <x:c r="U4134" s="18" t="n">
        <x:v>646.9010067317821</x:v>
      </x:c>
      <x:c r="V4134" s="20" t="n">
        <x:v>8.8</x:v>
      </x:c>
      <x:c r="W4134" s="20" t="n">
        <x:v>9.9</x:v>
      </x:c>
      <x:c r="X4134" s="20" t="n">
        <x:v>3.3</x:v>
      </x:c>
      <x:c r="Y4134" t="str">
        <x:v>Basis arsip 2025/2024</x:v>
      </x:c>
      <x:c r="Z4134" t="str">
        <x:v>https://snpmb.id/utbk-snbt/daya-tampung-snbt</x:v>
      </x:c>
      <x:c r="AA4134" t="str">
        <x:v>Tidak Ada</x:v>
      </x:c>
      <x:c r="AB4134" t="str">
        <x:v>Campus=55; Ratio=67.9; Prodi=40; RelDemand=34.5; Capacity=62.5</x:v>
      </x:c>
    </x:row>
    <x:row r="4135">
      <x:c r="A4135" t="n">
        <x:v>4132</x:v>
      </x:c>
      <x:c r="B4135" t="str">
        <x:v>PTN Vokasi</x:v>
      </x:c>
      <x:c r="C4135" t="str">
        <x:v>POLITEKNIK NEGERI JAKARTA</x:v>
      </x:c>
      <x:c r="D4135" t="str">
        <x:v>ADMINISTRASI BISNIS TERAPAN</x:v>
      </x:c>
      <x:c r="E4135" t="str">
        <x:v>Sarjana Terapan</x:v>
      </x:c>
      <x:c r="F4135" s="18" t="n">
        <x:v>45</x:v>
      </x:c>
      <x:c r="G4135" s="18" t="n">
        <x:v>1529</x:v>
      </x:c>
      <x:c r="H4135" s="19" t="n">
        <x:v>33.977777777777774</x:v>
      </x:c>
      <x:c r="I4135" s="18" t="n">
        <x:f>ROUND(MIN(Model_Config_v3!$B$6,MAX(Q4135,R4135,S4135*Model_Config_v3!$B$4+T4135*Model_Config_v3!$B$5)),0)</x:f>
        <x:v>695</x:v>
      </x:c>
      <x:c r="J4135" s="18" t="n">
        <x:f>MIN(Model_Config_v3!$B$6,I4135+Model_Config_v3!$B$7)</x:f>
        <x:v>715</x:v>
      </x:c>
      <x:c r="K4135" s="20" t="n">
        <x:v>69.2</x:v>
      </x:c>
      <x:c r="L4135" t="str">
        <x:v>SANGAT KETAT</x:v>
      </x:c>
      <x:c r="M4135" t="str">
        <x:v>SEDANG+</x:v>
      </x:c>
      <x:c r="N4135" t="str">
        <x:v>REGULER</x:v>
      </x:c>
      <x:c r="O4135" t="str">
        <x:v>SOSHUM</x:v>
      </x:c>
      <x:c r="P4135" t="str">
        <x:v>BISNIS/EKONOMI/AKUNTANSI</x:v>
      </x:c>
      <x:c r="Q4135" s="18" t="n">
        <x:v>0</x:v>
      </x:c>
      <x:c r="R4135" s="18" t="n">
        <x:v>0</x:v>
      </x:c>
      <x:c r="S4135" s="18" t="n">
        <x:v>688.4314468800674</x:v>
      </x:c>
      <x:c r="T4135" s="18" t="n">
        <x:v>698</x:v>
      </x:c>
      <x:c r="U4135" s="18" t="n">
        <x:v>703.4314468800674</x:v>
      </x:c>
      <x:c r="V4135" s="20" t="n">
        <x:v>4.4</x:v>
      </x:c>
      <x:c r="W4135" s="20" t="n">
        <x:v>14.3</x:v>
      </x:c>
      <x:c r="X4135" s="20" t="n">
        <x:v>3.3</x:v>
      </x:c>
      <x:c r="Y4135" t="str">
        <x:v>Basis arsip 2025/2024</x:v>
      </x:c>
      <x:c r="Z4135" t="str">
        <x:v>https://snpmb.id/utbk-snbt/daya-tampung-snbt</x:v>
      </x:c>
      <x:c r="AA4135" t="str">
        <x:v>Tidak Ada</x:v>
      </x:c>
      <x:c r="AB4135" t="str">
        <x:v>Campus=55; Ratio=90.1; Prodi=65; RelDemand=82.2; Capacity=62.5</x:v>
      </x:c>
    </x:row>
    <x:row r="4136">
      <x:c r="A4136" t="n">
        <x:v>4133</x:v>
      </x:c>
      <x:c r="B4136" t="str">
        <x:v>PTN Vokasi</x:v>
      </x:c>
      <x:c r="C4136" t="str">
        <x:v>POLITEKNIK NEGERI JAKARTA</x:v>
      </x:c>
      <x:c r="D4136" t="str">
        <x:v>BAHASA INGGRIS UNTUK KOMUNIKASI BISNIS DAN PROFESIONAL</x:v>
      </x:c>
      <x:c r="E4136" t="str">
        <x:v>Sarjana Terapan</x:v>
      </x:c>
      <x:c r="F4136" s="18" t="n">
        <x:v>45</x:v>
      </x:c>
      <x:c r="G4136" s="18" t="n">
        <x:v>920</x:v>
      </x:c>
      <x:c r="H4136" s="19" t="n">
        <x:v>20.444444444444443</x:v>
      </x:c>
      <x:c r="I4136" s="18" t="n">
        <x:f>ROUND(MIN(Model_Config_v3!$B$6,MAX(Q4136,R4136,S4136*Model_Config_v3!$B$4+T4136*Model_Config_v3!$B$5)),0)</x:f>
        <x:v>679</x:v>
      </x:c>
      <x:c r="J4136" s="18" t="n">
        <x:f>MIN(Model_Config_v3!$B$6,I4136+Model_Config_v3!$B$7)</x:f>
        <x:v>699</x:v>
      </x:c>
      <x:c r="K4136" s="20" t="n">
        <x:v>62.7</x:v>
      </x:c>
      <x:c r="L4136" t="str">
        <x:v>KETAT</x:v>
      </x:c>
      <x:c r="M4136" t="str">
        <x:v>SEDANG+</x:v>
      </x:c>
      <x:c r="N4136" t="str">
        <x:v>REGULER</x:v>
      </x:c>
      <x:c r="O4136" t="str">
        <x:v>SOSHUM</x:v>
      </x:c>
      <x:c r="P4136" t="str">
        <x:v>BISNIS/EKONOMI/AKUNTANSI</x:v>
      </x:c>
      <x:c r="Q4136" s="18" t="n">
        <x:v>0</x:v>
      </x:c>
      <x:c r="R4136" s="18" t="n">
        <x:v>0</x:v>
      </x:c>
      <x:c r="S4136" s="18" t="n">
        <x:v>664.1632844927233</x:v>
      </x:c>
      <x:c r="T4136" s="18" t="n">
        <x:v>685</x:v>
      </x:c>
      <x:c r="U4136" s="18" t="n">
        <x:v>679.1632844927233</x:v>
      </x:c>
      <x:c r="V4136" s="20" t="n">
        <x:v>4.4</x:v>
      </x:c>
      <x:c r="W4136" s="20" t="n">
        <x:v>14.3</x:v>
      </x:c>
      <x:c r="X4136" s="20" t="n">
        <x:v>3.3</x:v>
      </x:c>
      <x:c r="Y4136" t="str">
        <x:v>Basis arsip 2025/2024</x:v>
      </x:c>
      <x:c r="Z4136" t="str">
        <x:v>https://snpmb.id/utbk-snbt/daya-tampung-snbt</x:v>
      </x:c>
      <x:c r="AA4136" t="str">
        <x:v>Tidak Ada</x:v>
      </x:c>
      <x:c r="AB4136" t="str">
        <x:v>Campus=55; Ratio=77.1; Prodi=65; RelDemand=49.4; Capacity=62.5</x:v>
      </x:c>
    </x:row>
    <x:row r="4137">
      <x:c r="A4137" t="n">
        <x:v>4134</x:v>
      </x:c>
      <x:c r="B4137" t="str">
        <x:v>PTN Vokasi</x:v>
      </x:c>
      <x:c r="C4137" t="str">
        <x:v>POLITEKNIK NEGERI JAKARTA</x:v>
      </x:c>
      <x:c r="D4137" t="str">
        <x:v>USAHA JASA KONVENSI, PERJALANAN INSENTIF, DAN PAMERAN (KAMPUS KAB. DEMAK)</x:v>
      </x:c>
      <x:c r="E4137" t="str">
        <x:v>Sarjana Terapan</x:v>
      </x:c>
      <x:c r="F4137" s="18" t="n">
        <x:v>15</x:v>
      </x:c>
      <x:c r="G4137" s="18" t="n">
        <x:v>18</x:v>
      </x:c>
      <x:c r="H4137" s="19" t="n">
        <x:v>1.2</x:v>
      </x:c>
      <x:c r="I4137" s="18" t="n">
        <x:f>ROUND(MIN(Model_Config_v3!$B$6,MAX(Q4137,R4137,S4137*Model_Config_v3!$B$4+T4137*Model_Config_v3!$B$5)),0)</x:f>
        <x:v>603</x:v>
      </x:c>
      <x:c r="J4137" s="18" t="n">
        <x:f>MIN(Model_Config_v3!$B$6,I4137+Model_Config_v3!$B$7)</x:f>
        <x:v>623</x:v>
      </x:c>
      <x:c r="K4137" s="20" t="n">
        <x:v>37.5</x:v>
      </x:c>
      <x:c r="L4137" t="str">
        <x:v>RELATIF LONGGAR</x:v>
      </x:c>
      <x:c r="M4137" t="str">
        <x:v>SEDANG</x:v>
      </x:c>
      <x:c r="N4137" t="str">
        <x:v>REGULER</x:v>
      </x:c>
      <x:c r="O4137" t="str">
        <x:v>CAMPURAN</x:v>
      </x:c>
      <x:c r="P4137" t="str">
        <x:v>UMUM</x:v>
      </x:c>
      <x:c r="Q4137" s="18" t="n">
        <x:v>0</x:v>
      </x:c>
      <x:c r="R4137" s="18" t="n">
        <x:v>0</x:v>
      </x:c>
      <x:c r="S4137" s="18" t="n">
        <x:v>528.7099370652387</x:v>
      </x:c>
      <x:c r="T4137" s="18" t="n">
        <x:v>635</x:v>
      </x:c>
      <x:c r="U4137" s="18" t="n">
        <x:v>528.7099370652387</x:v>
      </x:c>
      <x:c r="V4137" s="20" t="n">
        <x:v>8.8</x:v>
      </x:c>
      <x:c r="W4137" s="20" t="n">
        <x:v>9.9</x:v>
      </x:c>
      <x:c r="X4137" s="20" t="n">
        <x:v>3.3</x:v>
      </x:c>
      <x:c r="Y4137" t="str">
        <x:v>Basis arsip 2025/2024</x:v>
      </x:c>
      <x:c r="Z4137" t="str">
        <x:v>https://snpmb.id/utbk-snbt/daya-tampung-snbt</x:v>
      </x:c>
      <x:c r="AA4137" t="str">
        <x:v>Tidak Ada</x:v>
      </x:c>
      <x:c r="AB4137" t="str">
        <x:v>Campus=55; Ratio=4.7; Prodi=40; RelDemand=2.9; Capacity=87.5</x:v>
      </x:c>
    </x:row>
    <x:row r="4138">
      <x:c r="A4138" t="n">
        <x:v>4135</x:v>
      </x:c>
      <x:c r="B4138" t="str">
        <x:v>PTN Vokasi</x:v>
      </x:c>
      <x:c r="C4138" t="str">
        <x:v>POLITEKNIK NEGERI JAKARTA</x:v>
      </x:c>
      <x:c r="D4138" t="str">
        <x:v>TEKNOLOGI REKAYASA CETAK DAN GRAFIS 3 DIMENSI</x:v>
      </x:c>
      <x:c r="E4138" t="str">
        <x:v>Sarjana Terapan</x:v>
      </x:c>
      <x:c r="F4138" s="18" t="n">
        <x:v>27</x:v>
      </x:c>
      <x:c r="G4138" s="18" t="n">
        <x:v>79</x:v>
      </x:c>
      <x:c r="H4138" s="19" t="n">
        <x:v>2.925925925925926</x:v>
      </x:c>
      <x:c r="I4138" s="18" t="n">
        <x:f>ROUND(MIN(Model_Config_v3!$B$6,MAX(Q4138,R4138,S4138*Model_Config_v3!$B$4+T4138*Model_Config_v3!$B$5)),0)</x:f>
        <x:v>623</x:v>
      </x:c>
      <x:c r="J4138" s="18" t="n">
        <x:f>MIN(Model_Config_v3!$B$6,I4138+Model_Config_v3!$B$7)</x:f>
        <x:v>643</x:v>
      </x:c>
      <x:c r="K4138" s="20" t="n">
        <x:v>42.6</x:v>
      </x:c>
      <x:c r="L4138" t="str">
        <x:v>RELATIF LONGGAR</x:v>
      </x:c>
      <x:c r="M4138" t="str">
        <x:v>SEDANG</x:v>
      </x:c>
      <x:c r="N4138" t="str">
        <x:v>REGULER</x:v>
      </x:c>
      <x:c r="O4138" t="str">
        <x:v>SAINTEK</x:v>
      </x:c>
      <x:c r="P4138" t="str">
        <x:v>UMUM</x:v>
      </x:c>
      <x:c r="Q4138" s="18" t="n">
        <x:v>0</x:v>
      </x:c>
      <x:c r="R4138" s="18" t="n">
        <x:v>0</x:v>
      </x:c>
      <x:c r="S4138" s="18" t="n">
        <x:v>571.28896598446</x:v>
      </x:c>
      <x:c r="T4138" s="18" t="n">
        <x:v>645</x:v>
      </x:c>
      <x:c r="U4138" s="18" t="n">
        <x:v>571.28896598446</x:v>
      </x:c>
      <x:c r="V4138" s="20" t="n">
        <x:v>12</x:v>
      </x:c>
      <x:c r="W4138" s="20" t="n">
        <x:v>5</x:v>
      </x:c>
      <x:c r="X4138" s="20" t="n">
        <x:v>3</x:v>
      </x:c>
      <x:c r="Y4138" t="str">
        <x:v>Basis arsip 2025/2024</x:v>
      </x:c>
      <x:c r="Z4138" t="str">
        <x:v>https://snpmb.id/utbk-snbt/daya-tampung-snbt</x:v>
      </x:c>
      <x:c r="AA4138" t="str">
        <x:v>Tidak Ada</x:v>
      </x:c>
      <x:c r="AB4138" t="str">
        <x:v>Campus=55; Ratio=27.4; Prodi=40; RelDemand=7.1; Capacity=77.5</x:v>
      </x:c>
    </x:row>
    <x:row r="4139">
      <x:c r="A4139" t="n">
        <x:v>4136</x:v>
      </x:c>
      <x:c r="B4139" t="str">
        <x:v>PTN Vokasi</x:v>
      </x:c>
      <x:c r="C4139" t="str">
        <x:v>POLITEKNIK NEGERI JAKARTA</x:v>
      </x:c>
      <x:c r="D4139" t="str">
        <x:v>ADMINISTRASI BISNIS</x:v>
      </x:c>
      <x:c r="E4139" t="str">
        <x:v>Diploma Tiga</x:v>
      </x:c>
      <x:c r="F4139" s="18" t="n">
        <x:v>60</x:v>
      </x:c>
      <x:c r="G4139" s="18" t="n">
        <x:v>3306</x:v>
      </x:c>
      <x:c r="H4139" s="19" t="n">
        <x:v>55.1</x:v>
      </x:c>
      <x:c r="I4139" s="18" t="n">
        <x:f>ROUND(MIN(Model_Config_v3!$B$6,MAX(Q4139,R4139,S4139*Model_Config_v3!$B$4+T4139*Model_Config_v3!$B$5)),0)</x:f>
        <x:v>706</x:v>
      </x:c>
      <x:c r="J4139" s="18" t="n">
        <x:f>MIN(Model_Config_v3!$B$6,I4139+Model_Config_v3!$B$7)</x:f>
        <x:v>726</x:v>
      </x:c>
      <x:c r="K4139" s="20" t="n">
        <x:v>72.2</x:v>
      </x:c>
      <x:c r="L4139" t="str">
        <x:v>SANGAT KETAT</x:v>
      </x:c>
      <x:c r="M4139" t="str">
        <x:v>SEDANG+</x:v>
      </x:c>
      <x:c r="N4139" t="str">
        <x:v>REGULER</x:v>
      </x:c>
      <x:c r="O4139" t="str">
        <x:v>SOSHUM</x:v>
      </x:c>
      <x:c r="P4139" t="str">
        <x:v>BISNIS/EKONOMI/AKUNTANSI</x:v>
      </x:c>
      <x:c r="Q4139" s="18" t="n">
        <x:v>0</x:v>
      </x:c>
      <x:c r="R4139" s="18" t="n">
        <x:v>0</x:v>
      </x:c>
      <x:c r="S4139" s="18" t="n">
        <x:v>711.5266758736964</x:v>
      </x:c>
      <x:c r="T4139" s="18" t="n">
        <x:v>704</x:v>
      </x:c>
      <x:c r="U4139" s="18" t="n">
        <x:v>726.5266758736964</x:v>
      </x:c>
      <x:c r="V4139" s="20" t="n">
        <x:v>4.4</x:v>
      </x:c>
      <x:c r="W4139" s="20" t="n">
        <x:v>14.3</x:v>
      </x:c>
      <x:c r="X4139" s="20" t="n">
        <x:v>3.3</x:v>
      </x:c>
      <x:c r="Y4139" t="str">
        <x:v>Basis arsip 2025/2024</x:v>
      </x:c>
      <x:c r="Z4139" t="str">
        <x:v>https://snpmb.id/utbk-snbt/daya-tampung-snbt</x:v>
      </x:c>
      <x:c r="AA4139" t="str">
        <x:v>Tidak Ada</x:v>
      </x:c>
      <x:c r="AB4139" t="str">
        <x:v>Campus=55; Ratio=100.0; Prodi=65; RelDemand=100.0; Capacity=50.0</x:v>
      </x:c>
    </x:row>
    <x:row r="4140">
      <x:c r="A4140" t="n">
        <x:v>4137</x:v>
      </x:c>
      <x:c r="B4140" t="str">
        <x:v>PTN Vokasi</x:v>
      </x:c>
      <x:c r="C4140" t="str">
        <x:v>POLITEKNIK NEGERI JAKARTA</x:v>
      </x:c>
      <x:c r="D4140" t="str">
        <x:v>TEKNIK MESIN (KAMPUS KAB. DEMAK)</x:v>
      </x:c>
      <x:c r="E4140" t="str">
        <x:v>Diploma Tiga</x:v>
      </x:c>
      <x:c r="F4140" s="18" t="n">
        <x:v>15</x:v>
      </x:c>
      <x:c r="G4140" s="18" t="n">
        <x:v>49</x:v>
      </x:c>
      <x:c r="H4140" s="19" t="n">
        <x:v>3.2666666666666666</x:v>
      </x:c>
      <x:c r="I4140" s="18" t="n">
        <x:f>ROUND(MIN(Model_Config_v3!$B$6,MAX(Q4140,R4140,S4140*Model_Config_v3!$B$4+T4140*Model_Config_v3!$B$5)),0)</x:f>
        <x:v>633</x:v>
      </x:c>
      <x:c r="J4140" s="18" t="n">
        <x:f>MIN(Model_Config_v3!$B$6,I4140+Model_Config_v3!$B$7)</x:f>
        <x:v>653</x:v>
      </x:c>
      <x:c r="K4140" s="20" t="n">
        <x:v>48.4</x:v>
      </x:c>
      <x:c r="L4140" t="str">
        <x:v>MENENGAH</x:v>
      </x:c>
      <x:c r="M4140" t="str">
        <x:v>SEDANG+</x:v>
      </x:c>
      <x:c r="N4140" t="str">
        <x:v>REGULER</x:v>
      </x:c>
      <x:c r="O4140" t="str">
        <x:v>SAINTEK</x:v>
      </x:c>
      <x:c r="P4140" t="str">
        <x:v>TEKNIK/ARSITEKTUR/STATISTIKA/AKTUARIA</x:v>
      </x:c>
      <x:c r="Q4140" s="18" t="n">
        <x:v>0</x:v>
      </x:c>
      <x:c r="R4140" s="18" t="n">
        <x:v>0</x:v>
      </x:c>
      <x:c r="S4140" s="18" t="n">
        <x:v>576.5515303070116</x:v>
      </x:c>
      <x:c r="T4140" s="18" t="n">
        <x:v>657</x:v>
      </x:c>
      <x:c r="U4140" s="18" t="n">
        <x:v>586.5515303070116</x:v>
      </x:c>
      <x:c r="V4140" s="20" t="n">
        <x:v>12</x:v>
      </x:c>
      <x:c r="W4140" s="20" t="n">
        <x:v>5</x:v>
      </x:c>
      <x:c r="X4140" s="20" t="n">
        <x:v>3</x:v>
      </x:c>
      <x:c r="Y4140" t="str">
        <x:v>Basis arsip 2025/2024</x:v>
      </x:c>
      <x:c r="Z4140" t="str">
        <x:v>https://snpmb.id/utbk-snbt/daya-tampung-snbt</x:v>
      </x:c>
      <x:c r="AA4140" t="str">
        <x:v>Tidak Ada</x:v>
      </x:c>
      <x:c r="AB4140" t="str">
        <x:v>Campus=55; Ratio=30.3; Prodi=60; RelDemand=7.9; Capacity=87.5</x:v>
      </x:c>
    </x:row>
    <x:row r="4141">
      <x:c r="A4141" t="n">
        <x:v>4138</x:v>
      </x:c>
      <x:c r="B4141" t="str">
        <x:v>PTN Vokasi</x:v>
      </x:c>
      <x:c r="C4141" t="str">
        <x:v>POLITEKNIK NEGERI JAKARTA</x:v>
      </x:c>
      <x:c r="D4141" t="str">
        <x:v>TEKNIK MESIN</x:v>
      </x:c>
      <x:c r="E4141" t="str">
        <x:v>Diploma Tiga</x:v>
      </x:c>
      <x:c r="F4141" s="18" t="n">
        <x:v>90</x:v>
      </x:c>
      <x:c r="G4141" s="18" t="n">
        <x:v>1575</x:v>
      </x:c>
      <x:c r="H4141" s="19" t="n">
        <x:v>17.5</x:v>
      </x:c>
      <x:c r="I4141" s="18" t="n">
        <x:f>ROUND(MIN(Model_Config_v3!$B$6,MAX(Q4141,R4141,S4141*Model_Config_v3!$B$4+T4141*Model_Config_v3!$B$5)),0)</x:f>
        <x:v>668</x:v>
      </x:c>
      <x:c r="J4141" s="18" t="n">
        <x:f>MIN(Model_Config_v3!$B$6,I4141+Model_Config_v3!$B$7)</x:f>
        <x:v>688</x:v>
      </x:c>
      <x:c r="K4141" s="20" t="n">
        <x:v>56.3</x:v>
      </x:c>
      <x:c r="L4141" t="str">
        <x:v>KETAT</x:v>
      </x:c>
      <x:c r="M4141" t="str">
        <x:v>SEDANG+</x:v>
      </x:c>
      <x:c r="N4141" t="str">
        <x:v>REGULER</x:v>
      </x:c>
      <x:c r="O4141" t="str">
        <x:v>SAINTEK</x:v>
      </x:c>
      <x:c r="P4141" t="str">
        <x:v>TEKNIK/ARSITEKTUR/STATISTIKA/AKTUARIA</x:v>
      </x:c>
      <x:c r="Q4141" s="18" t="n">
        <x:v>0</x:v>
      </x:c>
      <x:c r="R4141" s="18" t="n">
        <x:v>0</x:v>
      </x:c>
      <x:c r="S4141" s="18" t="n">
        <x:v>656.7341853554924</x:v>
      </x:c>
      <x:c r="T4141" s="18" t="n">
        <x:v>673</x:v>
      </x:c>
      <x:c r="U4141" s="18" t="n">
        <x:v>666.7341853554924</x:v>
      </x:c>
      <x:c r="V4141" s="20" t="n">
        <x:v>12</x:v>
      </x:c>
      <x:c r="W4141" s="20" t="n">
        <x:v>5</x:v>
      </x:c>
      <x:c r="X4141" s="20" t="n">
        <x:v>3</x:v>
      </x:c>
      <x:c r="Y4141" t="str">
        <x:v>Basis arsip 2025/2024</x:v>
      </x:c>
      <x:c r="Z4141" t="str">
        <x:v>https://snpmb.id/utbk-snbt/daya-tampung-snbt</x:v>
      </x:c>
      <x:c r="AA4141" t="str">
        <x:v>Tidak Ada</x:v>
      </x:c>
      <x:c r="AB4141" t="str">
        <x:v>Campus=55; Ratio=73.2; Prodi=60; RelDemand=42.3; Capacity=25.0</x:v>
      </x:c>
    </x:row>
    <x:row r="4142">
      <x:c r="A4142" t="n">
        <x:v>4139</x:v>
      </x:c>
      <x:c r="B4142" t="str">
        <x:v>PTN Vokasi</x:v>
      </x:c>
      <x:c r="C4142" t="str">
        <x:v>POLITEKNIK NEGERI JAKARTA</x:v>
      </x:c>
      <x:c r="D4142" t="str">
        <x:v>ELEKTRONIKA INDUSTRI</x:v>
      </x:c>
      <x:c r="E4142" t="str">
        <x:v>Diploma Tiga</x:v>
      </x:c>
      <x:c r="F4142" s="18" t="n">
        <x:v>48</x:v>
      </x:c>
      <x:c r="G4142" s="18" t="n">
        <x:v>673</x:v>
      </x:c>
      <x:c r="H4142" s="19" t="n">
        <x:v>14.020833333333334</x:v>
      </x:c>
      <x:c r="I4142" s="18" t="n">
        <x:f>ROUND(MIN(Model_Config_v3!$B$6,MAX(Q4142,R4142,S4142*Model_Config_v3!$B$4+T4142*Model_Config_v3!$B$5)),0)</x:f>
        <x:v>661</x:v>
      </x:c>
      <x:c r="J4142" s="18" t="n">
        <x:f>MIN(Model_Config_v3!$B$6,I4142+Model_Config_v3!$B$7)</x:f>
        <x:v>681</x:v>
      </x:c>
      <x:c r="K4142" s="20" t="n">
        <x:v>53.5</x:v>
      </x:c>
      <x:c r="L4142" t="str">
        <x:v>MENENGAH</x:v>
      </x:c>
      <x:c r="M4142" t="str">
        <x:v>SEDANG</x:v>
      </x:c>
      <x:c r="N4142" t="str">
        <x:v>REGULER</x:v>
      </x:c>
      <x:c r="O4142" t="str">
        <x:v>CAMPURAN</x:v>
      </x:c>
      <x:c r="P4142" t="str">
        <x:v>UMUM</x:v>
      </x:c>
      <x:c r="Q4142" s="18" t="n">
        <x:v>0</x:v>
      </x:c>
      <x:c r="R4142" s="18" t="n">
        <x:v>0</x:v>
      </x:c>
      <x:c r="S4142" s="18" t="n">
        <x:v>646.1451209533228</x:v>
      </x:c>
      <x:c r="T4142" s="18" t="n">
        <x:v>667</x:v>
      </x:c>
      <x:c r="U4142" s="18" t="n">
        <x:v>646.1451209533228</x:v>
      </x:c>
      <x:c r="V4142" s="20" t="n">
        <x:v>8.8</x:v>
      </x:c>
      <x:c r="W4142" s="20" t="n">
        <x:v>9.9</x:v>
      </x:c>
      <x:c r="X4142" s="20" t="n">
        <x:v>3.3</x:v>
      </x:c>
      <x:c r="Y4142" t="str">
        <x:v>Basis arsip 2025/2024</x:v>
      </x:c>
      <x:c r="Z4142" t="str">
        <x:v>https://snpmb.id/utbk-snbt/daya-tampung-snbt</x:v>
      </x:c>
      <x:c r="AA4142" t="str">
        <x:v>Tidak Ada</x:v>
      </x:c>
      <x:c r="AB4142" t="str">
        <x:v>Campus=55; Ratio=67.5; Prodi=40; RelDemand=33.9; Capacity=60.0</x:v>
      </x:c>
    </x:row>
    <x:row r="4143">
      <x:c r="A4143" t="n">
        <x:v>4140</x:v>
      </x:c>
      <x:c r="B4143" t="str">
        <x:v>PTN Vokasi</x:v>
      </x:c>
      <x:c r="C4143" t="str">
        <x:v>POLITEKNIK NEGERI JAKARTA</x:v>
      </x:c>
      <x:c r="D4143" t="str">
        <x:v>PENERBITAN</x:v>
      </x:c>
      <x:c r="E4143" t="str">
        <x:v>Diploma Tiga</x:v>
      </x:c>
      <x:c r="F4143" s="18" t="n">
        <x:v>63</x:v>
      </x:c>
      <x:c r="G4143" s="18" t="n">
        <x:v>797</x:v>
      </x:c>
      <x:c r="H4143" s="19" t="n">
        <x:v>12.65079365079365</x:v>
      </x:c>
      <x:c r="I4143" s="18" t="n">
        <x:f>ROUND(MIN(Model_Config_v3!$B$6,MAX(Q4143,R4143,S4143*Model_Config_v3!$B$4+T4143*Model_Config_v3!$B$5)),0)</x:f>
        <x:v>656</x:v>
      </x:c>
      <x:c r="J4143" s="18" t="n">
        <x:f>MIN(Model_Config_v3!$B$6,I4143+Model_Config_v3!$B$7)</x:f>
        <x:v>676</x:v>
      </x:c>
      <x:c r="K4143" s="20" t="n">
        <x:v>51.3</x:v>
      </x:c>
      <x:c r="L4143" t="str">
        <x:v>MENENGAH</x:v>
      </x:c>
      <x:c r="M4143" t="str">
        <x:v>SEDANG</x:v>
      </x:c>
      <x:c r="N4143" t="str">
        <x:v>REGULER</x:v>
      </x:c>
      <x:c r="O4143" t="str">
        <x:v>CAMPURAN</x:v>
      </x:c>
      <x:c r="P4143" t="str">
        <x:v>UMUM</x:v>
      </x:c>
      <x:c r="Q4143" s="18" t="n">
        <x:v>0</x:v>
      </x:c>
      <x:c r="R4143" s="18" t="n">
        <x:v>0</x:v>
      </x:c>
      <x:c r="S4143" s="18" t="n">
        <x:v>641.2329549136783</x:v>
      </x:c>
      <x:c r="T4143" s="18" t="n">
        <x:v>663</x:v>
      </x:c>
      <x:c r="U4143" s="18" t="n">
        <x:v>641.2329549136783</x:v>
      </x:c>
      <x:c r="V4143" s="20" t="n">
        <x:v>8.8</x:v>
      </x:c>
      <x:c r="W4143" s="20" t="n">
        <x:v>9.9</x:v>
      </x:c>
      <x:c r="X4143" s="20" t="n">
        <x:v>3.3</x:v>
      </x:c>
      <x:c r="Y4143" t="str">
        <x:v>Basis arsip 2025/2024</x:v>
      </x:c>
      <x:c r="Z4143" t="str">
        <x:v>https://snpmb.id/utbk-snbt/daya-tampung-snbt</x:v>
      </x:c>
      <x:c r="AA4143" t="str">
        <x:v>Tidak Ada</x:v>
      </x:c>
      <x:c r="AB4143" t="str">
        <x:v>Campus=55; Ratio=64.9; Prodi=40; RelDemand=30.6; Capacity=47.5</x:v>
      </x:c>
    </x:row>
    <x:row r="4144">
      <x:c r="A4144" t="n">
        <x:v>4141</x:v>
      </x:c>
      <x:c r="B4144" t="str">
        <x:v>PTN Vokasi</x:v>
      </x:c>
      <x:c r="C4144" t="str">
        <x:v>POLITEKNIK NEGERI JAKARTA</x:v>
      </x:c>
      <x:c r="D4144" t="str">
        <x:v>KONSTRUKSI GEDUNG</x:v>
      </x:c>
      <x:c r="E4144" t="str">
        <x:v>Diploma Tiga</x:v>
      </x:c>
      <x:c r="F4144" s="18" t="n">
        <x:v>30</x:v>
      </x:c>
      <x:c r="G4144" s="18" t="n">
        <x:v>520</x:v>
      </x:c>
      <x:c r="H4144" s="19" t="n">
        <x:v>17.333333333333332</x:v>
      </x:c>
      <x:c r="I4144" s="18" t="n">
        <x:f>ROUND(MIN(Model_Config_v3!$B$6,MAX(Q4144,R4144,S4144*Model_Config_v3!$B$4+T4144*Model_Config_v3!$B$5)),0)</x:f>
        <x:v>669</x:v>
      </x:c>
      <x:c r="J4144" s="18" t="n">
        <x:f>MIN(Model_Config_v3!$B$6,I4144+Model_Config_v3!$B$7)</x:f>
        <x:v>689</x:v>
      </x:c>
      <x:c r="K4144" s="20" t="n">
        <x:v>57.2</x:v>
      </x:c>
      <x:c r="L4144" t="str">
        <x:v>KETAT</x:v>
      </x:c>
      <x:c r="M4144" t="str">
        <x:v>SEDANG</x:v>
      </x:c>
      <x:c r="N4144" t="str">
        <x:v>REGULER</x:v>
      </x:c>
      <x:c r="O4144" t="str">
        <x:v>CAMPURAN</x:v>
      </x:c>
      <x:c r="P4144" t="str">
        <x:v>UMUM</x:v>
      </x:c>
      <x:c r="Q4144" s="18" t="n">
        <x:v>0</x:v>
      </x:c>
      <x:c r="R4144" s="18" t="n">
        <x:v>0</x:v>
      </x:c>
      <x:c r="S4144" s="18" t="n">
        <x:v>656.2770297806651</x:v>
      </x:c>
      <x:c r="T4144" s="18" t="n">
        <x:v>674</x:v>
      </x:c>
      <x:c r="U4144" s="18" t="n">
        <x:v>656.2770297806651</x:v>
      </x:c>
      <x:c r="V4144" s="20" t="n">
        <x:v>8.8</x:v>
      </x:c>
      <x:c r="W4144" s="20" t="n">
        <x:v>9.9</x:v>
      </x:c>
      <x:c r="X4144" s="20" t="n">
        <x:v>3.3</x:v>
      </x:c>
      <x:c r="Y4144" t="str">
        <x:v>Basis arsip 2025/2024</x:v>
      </x:c>
      <x:c r="Z4144" t="str">
        <x:v>https://snpmb.id/utbk-snbt/daya-tampung-snbt</x:v>
      </x:c>
      <x:c r="AA4144" t="str">
        <x:v>Tidak Ada</x:v>
      </x:c>
      <x:c r="AB4144" t="str">
        <x:v>Campus=55; Ratio=72.9; Prodi=40; RelDemand=41.9; Capacity=75.0</x:v>
      </x:c>
    </x:row>
    <x:row r="4145">
      <x:c r="A4145" t="n">
        <x:v>4142</x:v>
      </x:c>
      <x:c r="B4145" t="str">
        <x:v>PTN Vokasi</x:v>
      </x:c>
      <x:c r="C4145" t="str">
        <x:v>POLITEKNIK NEGERI JAKARTA</x:v>
      </x:c>
      <x:c r="D4145" t="str">
        <x:v>TELEKOMUNIKASI</x:v>
      </x:c>
      <x:c r="E4145" t="str">
        <x:v>Diploma Tiga</x:v>
      </x:c>
      <x:c r="F4145" s="18" t="n">
        <x:v>48</x:v>
      </x:c>
      <x:c r="G4145" s="18" t="n">
        <x:v>1235</x:v>
      </x:c>
      <x:c r="H4145" s="19" t="n">
        <x:v>25.729166666666668</x:v>
      </x:c>
      <x:c r="I4145" s="18" t="n">
        <x:f>ROUND(MIN(Model_Config_v3!$B$6,MAX(Q4145,R4145,S4145*Model_Config_v3!$B$4+T4145*Model_Config_v3!$B$5)),0)</x:f>
        <x:v>679</x:v>
      </x:c>
      <x:c r="J4145" s="18" t="n">
        <x:f>MIN(Model_Config_v3!$B$6,I4145+Model_Config_v3!$B$7)</x:f>
        <x:v>699</x:v>
      </x:c>
      <x:c r="K4145" s="20" t="n">
        <x:v>60.2</x:v>
      </x:c>
      <x:c r="L4145" t="str">
        <x:v>KETAT</x:v>
      </x:c>
      <x:c r="M4145" t="str">
        <x:v>SEDANG</x:v>
      </x:c>
      <x:c r="N4145" t="str">
        <x:v>REGULER</x:v>
      </x:c>
      <x:c r="O4145" t="str">
        <x:v>SOSHUM</x:v>
      </x:c>
      <x:c r="P4145" t="str">
        <x:v>UMUM</x:v>
      </x:c>
      <x:c r="Q4145" s="18" t="n">
        <x:v>0</x:v>
      </x:c>
      <x:c r="R4145" s="18" t="n">
        <x:v>0</x:v>
      </x:c>
      <x:c r="S4145" s="18" t="n">
        <x:v>675.1468292242107</x:v>
      </x:c>
      <x:c r="T4145" s="18" t="n">
        <x:v>680</x:v>
      </x:c>
      <x:c r="U4145" s="18" t="n">
        <x:v>675.1468292242107</x:v>
      </x:c>
      <x:c r="V4145" s="20" t="n">
        <x:v>4.4</x:v>
      </x:c>
      <x:c r="W4145" s="20" t="n">
        <x:v>14.3</x:v>
      </x:c>
      <x:c r="X4145" s="20" t="n">
        <x:v>3.3</x:v>
      </x:c>
      <x:c r="Y4145" t="str">
        <x:v>Basis arsip 2025/2024</x:v>
      </x:c>
      <x:c r="Z4145" t="str">
        <x:v>https://snpmb.id/utbk-snbt/daya-tampung-snbt</x:v>
      </x:c>
      <x:c r="AA4145" t="str">
        <x:v>Tidak Ada</x:v>
      </x:c>
      <x:c r="AB4145" t="str">
        <x:v>Campus=55; Ratio=83.0; Prodi=40; RelDemand=62.2; Capacity=60.0</x:v>
      </x:c>
    </x:row>
    <x:row r="4146">
      <x:c r="A4146" t="n">
        <x:v>4143</x:v>
      </x:c>
      <x:c r="B4146" t="str">
        <x:v>PTN Vokasi</x:v>
      </x:c>
      <x:c r="C4146" t="str">
        <x:v>POLITEKNIK NEGERI JAKARTA</x:v>
      </x:c>
      <x:c r="D4146" t="str">
        <x:v>TEKNIK LISTRIK</x:v>
      </x:c>
      <x:c r="E4146" t="str">
        <x:v>Diploma Tiga</x:v>
      </x:c>
      <x:c r="F4146" s="18" t="n">
        <x:v>48</x:v>
      </x:c>
      <x:c r="G4146" s="18" t="n">
        <x:v>671</x:v>
      </x:c>
      <x:c r="H4146" s="19" t="n">
        <x:v>13.979166666666666</x:v>
      </x:c>
      <x:c r="I4146" s="18" t="n">
        <x:f>ROUND(MIN(Model_Config_v3!$B$6,MAX(Q4146,R4146,S4146*Model_Config_v3!$B$4+T4146*Model_Config_v3!$B$5)),0)</x:f>
        <x:v>666</x:v>
      </x:c>
      <x:c r="J4146" s="18" t="n">
        <x:f>MIN(Model_Config_v3!$B$6,I4146+Model_Config_v3!$B$7)</x:f>
        <x:v>686</x:v>
      </x:c>
      <x:c r="K4146" s="20" t="n">
        <x:v>57.5</x:v>
      </x:c>
      <x:c r="L4146" t="str">
        <x:v>KETAT</x:v>
      </x:c>
      <x:c r="M4146" t="str">
        <x:v>SEDANG+</x:v>
      </x:c>
      <x:c r="N4146" t="str">
        <x:v>REGULER</x:v>
      </x:c>
      <x:c r="O4146" t="str">
        <x:v>SAINTEK</x:v>
      </x:c>
      <x:c r="P4146" t="str">
        <x:v>TEKNIK/ARSITEKTUR/STATISTIKA/AKTUARIA</x:v>
      </x:c>
      <x:c r="Q4146" s="18" t="n">
        <x:v>0</x:v>
      </x:c>
      <x:c r="R4146" s="18" t="n">
        <x:v>0</x:v>
      </x:c>
      <x:c r="S4146" s="18" t="n">
        <x:v>646.0029411072745</x:v>
      </x:c>
      <x:c r="T4146" s="18" t="n">
        <x:v>675</x:v>
      </x:c>
      <x:c r="U4146" s="18" t="n">
        <x:v>656.0029411072745</x:v>
      </x:c>
      <x:c r="V4146" s="20" t="n">
        <x:v>12</x:v>
      </x:c>
      <x:c r="W4146" s="20" t="n">
        <x:v>5</x:v>
      </x:c>
      <x:c r="X4146" s="20" t="n">
        <x:v>3</x:v>
      </x:c>
      <x:c r="Y4146" t="str">
        <x:v>Basis arsip 2025/2024</x:v>
      </x:c>
      <x:c r="Z4146" t="str">
        <x:v>https://snpmb.id/utbk-snbt/daya-tampung-snbt</x:v>
      </x:c>
      <x:c r="AA4146" t="str">
        <x:v>Tidak Ada</x:v>
      </x:c>
      <x:c r="AB4146" t="str">
        <x:v>Campus=55; Ratio=67.4; Prodi=60; RelDemand=33.8; Capacity=60.0</x:v>
      </x:c>
    </x:row>
    <x:row r="4147">
      <x:c r="A4147" t="n">
        <x:v>4144</x:v>
      </x:c>
      <x:c r="B4147" t="str">
        <x:v>PTN Vokasi</x:v>
      </x:c>
      <x:c r="C4147" t="str">
        <x:v>POLITEKNIK NEGERI JAKARTA</x:v>
      </x:c>
      <x:c r="D4147" t="str">
        <x:v>KEUANGAN DAN PERBANKAN</x:v>
      </x:c>
      <x:c r="E4147" t="str">
        <x:v>Diploma Tiga</x:v>
      </x:c>
      <x:c r="F4147" s="18" t="n">
        <x:v>30</x:v>
      </x:c>
      <x:c r="G4147" s="18" t="n">
        <x:v>1609</x:v>
      </x:c>
      <x:c r="H4147" s="19" t="n">
        <x:v>53.63333333333333</x:v>
      </x:c>
      <x:c r="I4147" s="18" t="n">
        <x:f>ROUND(MIN(Model_Config_v3!$B$6,MAX(Q4147,R4147,S4147*Model_Config_v3!$B$4+T4147*Model_Config_v3!$B$5)),0)</x:f>
        <x:v>703</x:v>
      </x:c>
      <x:c r="J4147" s="18" t="n">
        <x:f>MIN(Model_Config_v3!$B$6,I4147+Model_Config_v3!$B$7)</x:f>
        <x:v>723</x:v>
      </x:c>
      <x:c r="K4147" s="20" t="n">
        <x:v>69.8</x:v>
      </x:c>
      <x:c r="L4147" t="str">
        <x:v>SANGAT KETAT</x:v>
      </x:c>
      <x:c r="M4147" t="str">
        <x:v>SEDANG</x:v>
      </x:c>
      <x:c r="N4147" t="str">
        <x:v>REGULER</x:v>
      </x:c>
      <x:c r="O4147" t="str">
        <x:v>CAMPURAN</x:v>
      </x:c>
      <x:c r="P4147" t="str">
        <x:v>UMUM</x:v>
      </x:c>
      <x:c r="Q4147" s="18" t="n">
        <x:v>0</x:v>
      </x:c>
      <x:c r="R4147" s="18" t="n">
        <x:v>0</x:v>
      </x:c>
      <x:c r="S4147" s="18" t="n">
        <x:v>710.2378268317303</x:v>
      </x:c>
      <x:c r="T4147" s="18" t="n">
        <x:v>700</x:v>
      </x:c>
      <x:c r="U4147" s="18" t="n">
        <x:v>710.2378268317303</x:v>
      </x:c>
      <x:c r="V4147" s="20" t="n">
        <x:v>8.8</x:v>
      </x:c>
      <x:c r="W4147" s="20" t="n">
        <x:v>9.9</x:v>
      </x:c>
      <x:c r="X4147" s="20" t="n">
        <x:v>3.3</x:v>
      </x:c>
      <x:c r="Y4147" t="str">
        <x:v>Basis arsip 2025/2024</x:v>
      </x:c>
      <x:c r="Z4147" t="str">
        <x:v>https://snpmb.id/utbk-snbt/daya-tampung-snbt</x:v>
      </x:c>
      <x:c r="AA4147" t="str">
        <x:v>Tidak Ada</x:v>
      </x:c>
      <x:c r="AB4147" t="str">
        <x:v>Campus=55; Ratio=100.0; Prodi=40; RelDemand=100.0; Capacity=75.0</x:v>
      </x:c>
    </x:row>
    <x:row r="4148">
      <x:c r="A4148" t="n">
        <x:v>4145</x:v>
      </x:c>
      <x:c r="B4148" t="str">
        <x:v>PTN Vokasi</x:v>
      </x:c>
      <x:c r="C4148" t="str">
        <x:v>POLITEKNIK NEGERI JAKARTA</x:v>
      </x:c>
      <x:c r="D4148" t="str">
        <x:v>AKUNTANSI</x:v>
      </x:c>
      <x:c r="E4148" t="str">
        <x:v>Diploma Tiga</x:v>
      </x:c>
      <x:c r="F4148" s="18" t="n">
        <x:v>30</x:v>
      </x:c>
      <x:c r="G4148" s="18" t="n">
        <x:v>1590</x:v>
      </x:c>
      <x:c r="H4148" s="19" t="n">
        <x:v>53</x:v>
      </x:c>
      <x:c r="I4148" s="18" t="n">
        <x:f>ROUND(MIN(Model_Config_v3!$B$6,MAX(Q4148,R4148,S4148*Model_Config_v3!$B$4+T4148*Model_Config_v3!$B$5)),0)</x:f>
        <x:v>710</x:v>
      </x:c>
      <x:c r="J4148" s="18" t="n">
        <x:f>MIN(Model_Config_v3!$B$6,I4148+Model_Config_v3!$B$7)</x:f>
        <x:v>730</x:v>
      </x:c>
      <x:c r="K4148" s="20" t="n">
        <x:v>74.8</x:v>
      </x:c>
      <x:c r="L4148" t="str">
        <x:v>SANGAT KETAT</x:v>
      </x:c>
      <x:c r="M4148" t="str">
        <x:v>SEDANG+</x:v>
      </x:c>
      <x:c r="N4148" t="str">
        <x:v>REGULER</x:v>
      </x:c>
      <x:c r="O4148" t="str">
        <x:v>SOSHUM</x:v>
      </x:c>
      <x:c r="P4148" t="str">
        <x:v>BISNIS/EKONOMI/AKUNTANSI</x:v>
      </x:c>
      <x:c r="Q4148" s="18" t="n">
        <x:v>0</x:v>
      </x:c>
      <x:c r="R4148" s="18" t="n">
        <x:v>0</x:v>
      </x:c>
      <x:c r="S4148" s="18" t="n">
        <x:v>709.6703456560867</x:v>
      </x:c>
      <x:c r="T4148" s="18" t="n">
        <x:v>710</x:v>
      </x:c>
      <x:c r="U4148" s="18" t="n">
        <x:v>709.6703456560867</x:v>
      </x:c>
      <x:c r="V4148" s="20" t="n">
        <x:v>4.4</x:v>
      </x:c>
      <x:c r="W4148" s="20" t="n">
        <x:v>14.3</x:v>
      </x:c>
      <x:c r="X4148" s="20" t="n">
        <x:v>3.3</x:v>
      </x:c>
      <x:c r="Y4148" t="str">
        <x:v>Basis arsip 2025/2024</x:v>
      </x:c>
      <x:c r="Z4148" t="str">
        <x:v>https://snpmb.id/utbk-snbt/daya-tampung-snbt</x:v>
      </x:c>
      <x:c r="AA4148" t="str">
        <x:v>Tidak Ada</x:v>
      </x:c>
      <x:c r="AB4148" t="str">
        <x:v>Campus=55; Ratio=100.0; Prodi=65; RelDemand=100.0; Capacity=75.0</x:v>
      </x:c>
    </x:row>
    <x:row r="4149">
      <x:c r="A4149" t="n">
        <x:v>4146</x:v>
      </x:c>
      <x:c r="B4149" t="str">
        <x:v>PTN Vokasi</x:v>
      </x:c>
      <x:c r="C4149" t="str">
        <x:v>POLITEKNIK NEGERI JAKARTA</x:v>
      </x:c>
      <x:c r="D4149" t="str">
        <x:v>KONSTRUKSI SIPIL</x:v>
      </x:c>
      <x:c r="E4149" t="str">
        <x:v>Diploma Tiga</x:v>
      </x:c>
      <x:c r="F4149" s="18" t="n">
        <x:v>45</x:v>
      </x:c>
      <x:c r="G4149" s="18" t="n">
        <x:v>1068</x:v>
      </x:c>
      <x:c r="H4149" s="19" t="n">
        <x:v>23.733333333333334</x:v>
      </x:c>
      <x:c r="I4149" s="18" t="n">
        <x:f>ROUND(MIN(Model_Config_v3!$B$6,MAX(Q4149,R4149,S4149*Model_Config_v3!$B$4+T4149*Model_Config_v3!$B$5)),0)</x:f>
        <x:v>677</x:v>
      </x:c>
      <x:c r="J4149" s="18" t="n">
        <x:f>MIN(Model_Config_v3!$B$6,I4149+Model_Config_v3!$B$7)</x:f>
        <x:v>697</x:v>
      </x:c>
      <x:c r="K4149" s="20" t="n">
        <x:v>59.5</x:v>
      </x:c>
      <x:c r="L4149" t="str">
        <x:v>KETAT</x:v>
      </x:c>
      <x:c r="M4149" t="str">
        <x:v>SEDANG</x:v>
      </x:c>
      <x:c r="N4149" t="str">
        <x:v>REGULER</x:v>
      </x:c>
      <x:c r="O4149" t="str">
        <x:v>CAMPURAN</x:v>
      </x:c>
      <x:c r="P4149" t="str">
        <x:v>UMUM</x:v>
      </x:c>
      <x:c r="Q4149" s="18" t="n">
        <x:v>0</x:v>
      </x:c>
      <x:c r="R4149" s="18" t="n">
        <x:v>0</x:v>
      </x:c>
      <x:c r="S4149" s="18" t="n">
        <x:v>671.2894612808914</x:v>
      </x:c>
      <x:c r="T4149" s="18" t="n">
        <x:v>679</x:v>
      </x:c>
      <x:c r="U4149" s="18" t="n">
        <x:v>671.2894612808914</x:v>
      </x:c>
      <x:c r="V4149" s="20" t="n">
        <x:v>8.8</x:v>
      </x:c>
      <x:c r="W4149" s="20" t="n">
        <x:v>9.9</x:v>
      </x:c>
      <x:c r="X4149" s="20" t="n">
        <x:v>3.3</x:v>
      </x:c>
      <x:c r="Y4149" t="str">
        <x:v>Basis arsip 2025/2024</x:v>
      </x:c>
      <x:c r="Z4149" t="str">
        <x:v>https://snpmb.id/utbk-snbt/daya-tampung-snbt</x:v>
      </x:c>
      <x:c r="AA4149" t="str">
        <x:v>Tidak Ada</x:v>
      </x:c>
      <x:c r="AB4149" t="str">
        <x:v>Campus=55; Ratio=81.0; Prodi=40; RelDemand=57.4; Capacity=62.5</x:v>
      </x:c>
    </x:row>
    <x:row r="4150">
      <x:c r="A4150" t="n">
        <x:v>4147</x:v>
      </x:c>
      <x:c r="B4150" t="str">
        <x:v>PTN Vokasi</x:v>
      </x:c>
      <x:c r="C4150" t="str">
        <x:v>POLITEKNIK NEGERI MEDIA KREATIF</x:v>
      </x:c>
      <x:c r="D4150" t="str">
        <x:v>TEKNOLOGI REKAYASA MULTIMEDIA</x:v>
      </x:c>
      <x:c r="E4150" t="str">
        <x:v>Sarjana Terapan</x:v>
      </x:c>
      <x:c r="F4150" s="18" t="n">
        <x:v>80</x:v>
      </x:c>
      <x:c r="G4150" s="18" t="n">
        <x:v>526</x:v>
      </x:c>
      <x:c r="H4150" s="19" t="n">
        <x:v>6.575</x:v>
      </x:c>
      <x:c r="I4150" s="18" t="n">
        <x:f>ROUND(MIN(Model_Config_v3!$B$6,MAX(Q4150,R4150,S4150*Model_Config_v3!$B$4+T4150*Model_Config_v3!$B$5)),0)</x:f>
        <x:v>646</x:v>
      </x:c>
      <x:c r="J4150" s="18" t="n">
        <x:f>MIN(Model_Config_v3!$B$6,I4150+Model_Config_v3!$B$7)</x:f>
        <x:v>666</x:v>
      </x:c>
      <x:c r="K4150" s="20" t="n">
        <x:v>50.8</x:v>
      </x:c>
      <x:c r="L4150" t="str">
        <x:v>MENENGAH</x:v>
      </x:c>
      <x:c r="M4150" t="str">
        <x:v>SEDANG</x:v>
      </x:c>
      <x:c r="N4150" t="str">
        <x:v>REGULER</x:v>
      </x:c>
      <x:c r="O4150" t="str">
        <x:v>SAINTEK</x:v>
      </x:c>
      <x:c r="P4150" t="str">
        <x:v>UMUM</x:v>
      </x:c>
      <x:c r="Q4150" s="18" t="n">
        <x:v>0</x:v>
      </x:c>
      <x:c r="R4150" s="18" t="n">
        <x:v>0</x:v>
      </x:c>
      <x:c r="S4150" s="18" t="n">
        <x:v>609.9685332877975</x:v>
      </x:c>
      <x:c r="T4150" s="18" t="n">
        <x:v>662</x:v>
      </x:c>
      <x:c r="U4150" s="18" t="n">
        <x:v>609.9685332877975</x:v>
      </x:c>
      <x:c r="V4150" s="20" t="n">
        <x:v>12</x:v>
      </x:c>
      <x:c r="W4150" s="20" t="n">
        <x:v>5</x:v>
      </x:c>
      <x:c r="X4150" s="20" t="n">
        <x:v>3</x:v>
      </x:c>
      <x:c r="Y4150" t="str">
        <x:v>Basis arsip 2025/2024</x:v>
      </x:c>
      <x:c r="Z4150" t="str">
        <x:v>https://snpmb.id/utbk-snbt/daya-tampung-snbt</x:v>
      </x:c>
      <x:c r="AA4150" t="str">
        <x:v>Tidak Ada</x:v>
      </x:c>
      <x:c r="AB4150" t="str">
        <x:v>Campus=55; Ratio=48.1; Prodi=40; RelDemand=81.7; Capacity=33.3</x:v>
      </x:c>
    </x:row>
    <x:row r="4151">
      <x:c r="A4151" t="n">
        <x:v>4148</x:v>
      </x:c>
      <x:c r="B4151" t="str">
        <x:v>PTN Vokasi</x:v>
      </x:c>
      <x:c r="C4151" t="str">
        <x:v>POLITEKNIK NEGERI MEDIA KREATIF</x:v>
      </x:c>
      <x:c r="D4151" t="str">
        <x:v>TEKNOLOGI PERMAINAN</x:v>
      </x:c>
      <x:c r="E4151" t="str">
        <x:v>Sarjana Terapan</x:v>
      </x:c>
      <x:c r="F4151" s="18" t="n">
        <x:v>48</x:v>
      </x:c>
      <x:c r="G4151" s="18" t="n">
        <x:v>187</x:v>
      </x:c>
      <x:c r="H4151" s="19" t="n">
        <x:v>3.8958333333333335</x:v>
      </x:c>
      <x:c r="I4151" s="18" t="n">
        <x:f>ROUND(MIN(Model_Config_v3!$B$6,MAX(Q4151,R4151,S4151*Model_Config_v3!$B$4+T4151*Model_Config_v3!$B$5)),0)</x:f>
        <x:v>633</x:v>
      </x:c>
      <x:c r="J4151" s="18" t="n">
        <x:f>MIN(Model_Config_v3!$B$6,I4151+Model_Config_v3!$B$7)</x:f>
        <x:v>653</x:v>
      </x:c>
      <x:c r="K4151" s="20" t="n">
        <x:v>46.8</x:v>
      </x:c>
      <x:c r="L4151" t="str">
        <x:v>MENENGAH</x:v>
      </x:c>
      <x:c r="M4151" t="str">
        <x:v>SEDANG</x:v>
      </x:c>
      <x:c r="N4151" t="str">
        <x:v>REGULER</x:v>
      </x:c>
      <x:c r="O4151" t="str">
        <x:v>SAINTEK</x:v>
      </x:c>
      <x:c r="P4151" t="str">
        <x:v>UMUM</x:v>
      </x:c>
      <x:c r="Q4151" s="18" t="n">
        <x:v>0</x:v>
      </x:c>
      <x:c r="R4151" s="18" t="n">
        <x:v>0</x:v>
      </x:c>
      <x:c r="S4151" s="18" t="n">
        <x:v>584.9660406077003</x:v>
      </x:c>
      <x:c r="T4151" s="18" t="n">
        <x:v>654</x:v>
      </x:c>
      <x:c r="U4151" s="18" t="n">
        <x:v>584.9660406077003</x:v>
      </x:c>
      <x:c r="V4151" s="20" t="n">
        <x:v>12</x:v>
      </x:c>
      <x:c r="W4151" s="20" t="n">
        <x:v>5</x:v>
      </x:c>
      <x:c r="X4151" s="20" t="n">
        <x:v>3</x:v>
      </x:c>
      <x:c r="Y4151" t="str">
        <x:v>Basis arsip 2025/2024</x:v>
      </x:c>
      <x:c r="Z4151" t="str">
        <x:v>https://snpmb.id/utbk-snbt/daya-tampung-snbt</x:v>
      </x:c>
      <x:c r="AA4151" t="str">
        <x:v>Tidak Ada</x:v>
      </x:c>
      <x:c r="AB4151" t="str">
        <x:v>Campus=55; Ratio=34.8; Prodi=40; RelDemand=48.4; Capacity=60.0</x:v>
      </x:c>
    </x:row>
    <x:row r="4152">
      <x:c r="A4152" t="n">
        <x:v>4149</x:v>
      </x:c>
      <x:c r="B4152" t="str">
        <x:v>PTN Vokasi</x:v>
      </x:c>
      <x:c r="C4152" t="str">
        <x:v>POLITEKNIK NEGERI MEDIA KREATIF</x:v>
      </x:c>
      <x:c r="D4152" t="str">
        <x:v>DESAIN MODE</x:v>
      </x:c>
      <x:c r="E4152" t="str">
        <x:v>Sarjana Terapan</x:v>
      </x:c>
      <x:c r="F4152" s="18" t="n">
        <x:v>32</x:v>
      </x:c>
      <x:c r="G4152" s="18" t="n">
        <x:v>53</x:v>
      </x:c>
      <x:c r="H4152" s="19" t="n">
        <x:v>1.65625</x:v>
      </x:c>
      <x:c r="I4152" s="18" t="n">
        <x:f>ROUND(MIN(Model_Config_v3!$B$6,MAX(Q4152,R4152,S4152*Model_Config_v3!$B$4+T4152*Model_Config_v3!$B$5)),0)</x:f>
        <x:v>613</x:v>
      </x:c>
      <x:c r="J4152" s="18" t="n">
        <x:f>MIN(Model_Config_v3!$B$6,I4152+Model_Config_v3!$B$7)</x:f>
        <x:v>633</x:v>
      </x:c>
      <x:c r="K4152" s="20" t="n">
        <x:v>40.9</x:v>
      </x:c>
      <x:c r="L4152" t="str">
        <x:v>RELATIF LONGGAR</x:v>
      </x:c>
      <x:c r="M4152" t="str">
        <x:v>PORTOFOLIO</x:v>
      </x:c>
      <x:c r="N4152" t="str">
        <x:v>REGULER</x:v>
      </x:c>
      <x:c r="O4152" t="str">
        <x:v>SENI/OLAHRAGA</x:v>
      </x:c>
      <x:c r="P4152" t="str">
        <x:v>SENI/OLAHRAGA</x:v>
      </x:c>
      <x:c r="Q4152" s="18" t="n">
        <x:v>0</x:v>
      </x:c>
      <x:c r="R4152" s="18" t="n">
        <x:v>0</x:v>
      </x:c>
      <x:c r="S4152" s="18" t="n">
        <x:v>544.1038480408971</x:v>
      </x:c>
      <x:c r="T4152" s="18" t="n">
        <x:v>642</x:v>
      </x:c>
      <x:c r="U4152" s="18" t="n">
        <x:v>544.1038480408971</x:v>
      </x:c>
      <x:c r="V4152" s="20" t="n">
        <x:v>4.4</x:v>
      </x:c>
      <x:c r="W4152" s="20" t="n">
        <x:v>9.9</x:v>
      </x:c>
      <x:c r="X4152" s="20" t="n">
        <x:v>7.7</x:v>
      </x:c>
      <x:c r="Y4152" t="str">
        <x:v>Basis arsip 2025/2024</x:v>
      </x:c>
      <x:c r="Z4152" t="str">
        <x:v>https://snpmb.id/utbk-snbt/daya-tampung-snbt</x:v>
      </x:c>
      <x:c r="AA4152" t="str">
        <x:v>Seni Rupa, Desain, dan Kriya</x:v>
      </x:c>
      <x:c r="AB4152" t="str">
        <x:v>Campus=55; Ratio=12.9; Prodi=45; RelDemand=20.6; Capacity=73.3</x:v>
      </x:c>
    </x:row>
    <x:row r="4153">
      <x:c r="A4153" t="n">
        <x:v>4150</x:v>
      </x:c>
      <x:c r="B4153" t="str">
        <x:v>PTN Vokasi</x:v>
      </x:c>
      <x:c r="C4153" t="str">
        <x:v>POLITEKNIK NEGERI MEDIA KREATIF</x:v>
      </x:c>
      <x:c r="D4153" t="str">
        <x:v>PENGELOLAAN PERHOTELAN</x:v>
      </x:c>
      <x:c r="E4153" t="str">
        <x:v>Sarjana Terapan</x:v>
      </x:c>
      <x:c r="F4153" s="18" t="n">
        <x:v>48</x:v>
      </x:c>
      <x:c r="G4153" s="18" t="n">
        <x:v>346</x:v>
      </x:c>
      <x:c r="H4153" s="19" t="n">
        <x:v>7.208333333333333</x:v>
      </x:c>
      <x:c r="I4153" s="18" t="n">
        <x:f>ROUND(MIN(Model_Config_v3!$B$6,MAX(Q4153,R4153,S4153*Model_Config_v3!$B$4+T4153*Model_Config_v3!$B$5)),0)</x:f>
        <x:v>653</x:v>
      </x:c>
      <x:c r="J4153" s="18" t="n">
        <x:f>MIN(Model_Config_v3!$B$6,I4153+Model_Config_v3!$B$7)</x:f>
        <x:v>673</x:v>
      </x:c>
      <x:c r="K4153" s="20" t="n">
        <x:v>54.8</x:v>
      </x:c>
      <x:c r="L4153" t="str">
        <x:v>MENENGAH</x:v>
      </x:c>
      <x:c r="M4153" t="str">
        <x:v>SEDANG</x:v>
      </x:c>
      <x:c r="N4153" t="str">
        <x:v>REGULER</x:v>
      </x:c>
      <x:c r="O4153" t="str">
        <x:v>CAMPURAN</x:v>
      </x:c>
      <x:c r="P4153" t="str">
        <x:v>UMUM</x:v>
      </x:c>
      <x:c r="Q4153" s="18" t="n">
        <x:v>0</x:v>
      </x:c>
      <x:c r="R4153" s="18" t="n">
        <x:v>0</x:v>
      </x:c>
      <x:c r="S4153" s="18" t="n">
        <x:v>614.3618347558909</x:v>
      </x:c>
      <x:c r="T4153" s="18" t="n">
        <x:v>670</x:v>
      </x:c>
      <x:c r="U4153" s="18" t="n">
        <x:v>614.3618347558909</x:v>
      </x:c>
      <x:c r="V4153" s="20" t="n">
        <x:v>8.8</x:v>
      </x:c>
      <x:c r="W4153" s="20" t="n">
        <x:v>9.9</x:v>
      </x:c>
      <x:c r="X4153" s="20" t="n">
        <x:v>3.3</x:v>
      </x:c>
      <x:c r="Y4153" t="str">
        <x:v>Basis arsip 2025/2024</x:v>
      </x:c>
      <x:c r="Z4153" t="str">
        <x:v>https://snpmb.id/utbk-snbt/daya-tampung-snbt</x:v>
      </x:c>
      <x:c r="AA4153" t="str">
        <x:v>Tidak Ada</x:v>
      </x:c>
      <x:c r="AB4153" t="str">
        <x:v>Campus=55; Ratio=50.5; Prodi=40; RelDemand=89.6; Capacity=60.0</x:v>
      </x:c>
    </x:row>
    <x:row r="4154">
      <x:c r="A4154" t="n">
        <x:v>4151</x:v>
      </x:c>
      <x:c r="B4154" t="str">
        <x:v>PTN Vokasi</x:v>
      </x:c>
      <x:c r="C4154" t="str">
        <x:v>POLITEKNIK NEGERI MEDIA KREATIF</x:v>
      </x:c>
      <x:c r="D4154" t="str">
        <x:v>ANIMASI</x:v>
      </x:c>
      <x:c r="E4154" t="str">
        <x:v>Sarjana Terapan</x:v>
      </x:c>
      <x:c r="F4154" s="18" t="n">
        <x:v>64</x:v>
      </x:c>
      <x:c r="G4154" s="18" t="n">
        <x:v>222</x:v>
      </x:c>
      <x:c r="H4154" s="19" t="n">
        <x:v>3.46875</x:v>
      </x:c>
      <x:c r="I4154" s="18" t="n">
        <x:f>ROUND(MIN(Model_Config_v3!$B$6,MAX(Q4154,R4154,S4154*Model_Config_v3!$B$4+T4154*Model_Config_v3!$B$5)),0)</x:f>
        <x:v>629</x:v>
      </x:c>
      <x:c r="J4154" s="18" t="n">
        <x:f>MIN(Model_Config_v3!$B$6,I4154+Model_Config_v3!$B$7)</x:f>
        <x:v>649</x:v>
      </x:c>
      <x:c r="K4154" s="20" t="n">
        <x:v>45.2</x:v>
      </x:c>
      <x:c r="L4154" t="str">
        <x:v>MENENGAH</x:v>
      </x:c>
      <x:c r="M4154" t="str">
        <x:v>PORTOFOLIO</x:v>
      </x:c>
      <x:c r="N4154" t="str">
        <x:v>REGULER</x:v>
      </x:c>
      <x:c r="O4154" t="str">
        <x:v>SENI/OLAHRAGA</x:v>
      </x:c>
      <x:c r="P4154" t="str">
        <x:v>SENI/OLAHRAGA</x:v>
      </x:c>
      <x:c r="Q4154" s="18" t="n">
        <x:v>0</x:v>
      </x:c>
      <x:c r="R4154" s="18" t="n">
        <x:v>0</x:v>
      </x:c>
      <x:c r="S4154" s="18" t="n">
        <x:v>579.4190300513427</x:v>
      </x:c>
      <x:c r="T4154" s="18" t="n">
        <x:v>650</x:v>
      </x:c>
      <x:c r="U4154" s="18" t="n">
        <x:v>579.4190300513427</x:v>
      </x:c>
      <x:c r="V4154" s="20" t="n">
        <x:v>4.4</x:v>
      </x:c>
      <x:c r="W4154" s="20" t="n">
        <x:v>9.9</x:v>
      </x:c>
      <x:c r="X4154" s="20" t="n">
        <x:v>7.7</x:v>
      </x:c>
      <x:c r="Y4154" t="str">
        <x:v>Basis arsip 2025/2024</x:v>
      </x:c>
      <x:c r="Z4154" t="str">
        <x:v>https://snpmb.id/utbk-snbt/daya-tampung-snbt</x:v>
      </x:c>
      <x:c r="AA4154" t="str">
        <x:v>Seni Rupa, Desain, dan Kriya</x:v>
      </x:c>
      <x:c r="AB4154" t="str">
        <x:v>Campus=55; Ratio=31.8; Prodi=45; RelDemand=43.1; Capacity=46.7</x:v>
      </x:c>
    </x:row>
    <x:row r="4155">
      <x:c r="A4155" t="n">
        <x:v>4152</x:v>
      </x:c>
      <x:c r="B4155" t="str">
        <x:v>PTN Vokasi</x:v>
      </x:c>
      <x:c r="C4155" t="str">
        <x:v>POLITEKNIK NEGERI MEDIA KREATIF</x:v>
      </x:c>
      <x:c r="D4155" t="str">
        <x:v>FILM DAN TELEVISI</x:v>
      </x:c>
      <x:c r="E4155" t="str">
        <x:v>Sarjana Terapan</x:v>
      </x:c>
      <x:c r="F4155" s="18" t="n">
        <x:v>48</x:v>
      </x:c>
      <x:c r="G4155" s="18" t="n">
        <x:v>220</x:v>
      </x:c>
      <x:c r="H4155" s="19" t="n">
        <x:v>4.583333333333333</x:v>
      </x:c>
      <x:c r="I4155" s="18" t="n">
        <x:f>ROUND(MIN(Model_Config_v3!$B$6,MAX(Q4155,R4155,S4155*Model_Config_v3!$B$4+T4155*Model_Config_v3!$B$5)),0)</x:f>
        <x:v>639</x:v>
      </x:c>
      <x:c r="J4155" s="18" t="n">
        <x:f>MIN(Model_Config_v3!$B$6,I4155+Model_Config_v3!$B$7)</x:f>
        <x:v>659</x:v>
      </x:c>
      <x:c r="K4155" s="20" t="n">
        <x:v>49.7</x:v>
      </x:c>
      <x:c r="L4155" t="str">
        <x:v>MENENGAH</x:v>
      </x:c>
      <x:c r="M4155" t="str">
        <x:v>PORTOFOLIO</x:v>
      </x:c>
      <x:c r="N4155" t="str">
        <x:v>REGULER</x:v>
      </x:c>
      <x:c r="O4155" t="str">
        <x:v>SENI/OLAHRAGA</x:v>
      </x:c>
      <x:c r="P4155" t="str">
        <x:v>SENI/OLAHRAGA</x:v>
      </x:c>
      <x:c r="Q4155" s="18" t="n">
        <x:v>0</x:v>
      </x:c>
      <x:c r="R4155" s="18" t="n">
        <x:v>0</x:v>
      </x:c>
      <x:c r="S4155" s="18" t="n">
        <x:v>592.7299587791281</x:v>
      </x:c>
      <x:c r="T4155" s="18" t="n">
        <x:v>659</x:v>
      </x:c>
      <x:c r="U4155" s="18" t="n">
        <x:v>592.7299587791281</x:v>
      </x:c>
      <x:c r="V4155" s="20" t="n">
        <x:v>4.4</x:v>
      </x:c>
      <x:c r="W4155" s="20" t="n">
        <x:v>9.9</x:v>
      </x:c>
      <x:c r="X4155" s="20" t="n">
        <x:v>7.7</x:v>
      </x:c>
      <x:c r="Y4155" t="str">
        <x:v>Basis arsip 2025/2024</x:v>
      </x:c>
      <x:c r="Z4155" t="str">
        <x:v>https://snpmb.id/utbk-snbt/daya-tampung-snbt</x:v>
      </x:c>
      <x:c r="AA4155" t="str">
        <x:v>Film dan Televisi</x:v>
      </x:c>
      <x:c r="AB4155" t="str">
        <x:v>Campus=55; Ratio=38.9; Prodi=45; RelDemand=57.0; Capacity=60.0</x:v>
      </x:c>
    </x:row>
    <x:row r="4156">
      <x:c r="A4156" t="n">
        <x:v>4153</x:v>
      </x:c>
      <x:c r="B4156" t="str">
        <x:v>PTN Vokasi</x:v>
      </x:c>
      <x:c r="C4156" t="str">
        <x:v>POLITEKNIK NEGERI MEDIA KREATIF</x:v>
      </x:c>
      <x:c r="D4156" t="str">
        <x:v>TEKNOLOGI REKAYASA PENGEMASAN</x:v>
      </x:c>
      <x:c r="E4156" t="str">
        <x:v>Sarjana Terapan</x:v>
      </x:c>
      <x:c r="F4156" s="18" t="n">
        <x:v>32</x:v>
      </x:c>
      <x:c r="G4156" s="18" t="n">
        <x:v>67</x:v>
      </x:c>
      <x:c r="H4156" s="19" t="n">
        <x:v>2.09375</x:v>
      </x:c>
      <x:c r="I4156" s="18" t="n">
        <x:f>ROUND(MIN(Model_Config_v3!$B$6,MAX(Q4156,R4156,S4156*Model_Config_v3!$B$4+T4156*Model_Config_v3!$B$5)),0)</x:f>
        <x:v>617</x:v>
      </x:c>
      <x:c r="J4156" s="18" t="n">
        <x:f>MIN(Model_Config_v3!$B$6,I4156+Model_Config_v3!$B$7)</x:f>
        <x:v>637</x:v>
      </x:c>
      <x:c r="K4156" s="20" t="n">
        <x:v>41.9</x:v>
      </x:c>
      <x:c r="L4156" t="str">
        <x:v>RELATIF LONGGAR</x:v>
      </x:c>
      <x:c r="M4156" t="str">
        <x:v>SEDANG</x:v>
      </x:c>
      <x:c r="N4156" t="str">
        <x:v>REGULER</x:v>
      </x:c>
      <x:c r="O4156" t="str">
        <x:v>SAINTEK</x:v>
      </x:c>
      <x:c r="P4156" t="str">
        <x:v>UMUM</x:v>
      </x:c>
      <x:c r="Q4156" s="18" t="n">
        <x:v>0</x:v>
      </x:c>
      <x:c r="R4156" s="18" t="n">
        <x:v>0</x:v>
      </x:c>
      <x:c r="S4156" s="18" t="n">
        <x:v>555.3017306819013</x:v>
      </x:c>
      <x:c r="T4156" s="18" t="n">
        <x:v>644</x:v>
      </x:c>
      <x:c r="U4156" s="18" t="n">
        <x:v>555.3017306819013</x:v>
      </x:c>
      <x:c r="V4156" s="20" t="n">
        <x:v>12</x:v>
      </x:c>
      <x:c r="W4156" s="20" t="n">
        <x:v>5</x:v>
      </x:c>
      <x:c r="X4156" s="20" t="n">
        <x:v>3</x:v>
      </x:c>
      <x:c r="Y4156" t="str">
        <x:v>Basis arsip 2025/2024</x:v>
      </x:c>
      <x:c r="Z4156" t="str">
        <x:v>https://snpmb.id/utbk-snbt/daya-tampung-snbt</x:v>
      </x:c>
      <x:c r="AA4156" t="str">
        <x:v>Tidak Ada</x:v>
      </x:c>
      <x:c r="AB4156" t="str">
        <x:v>Campus=55; Ratio=18.9; Prodi=40; RelDemand=26.0; Capacity=73.3</x:v>
      </x:c>
    </x:row>
    <x:row r="4157">
      <x:c r="A4157" t="n">
        <x:v>4154</x:v>
      </x:c>
      <x:c r="B4157" t="str">
        <x:v>PTN Vokasi</x:v>
      </x:c>
      <x:c r="C4157" t="str">
        <x:v>POLITEKNIK NEGERI MEDIA KREATIF</x:v>
      </x:c>
      <x:c r="D4157" t="str">
        <x:v>TEKNIK GRAFIKA (PSDKU MEDAN)</x:v>
      </x:c>
      <x:c r="E4157" t="str">
        <x:v>Diploma Tiga</x:v>
      </x:c>
      <x:c r="F4157" s="18" t="n">
        <x:v>16</x:v>
      </x:c>
      <x:c r="G4157" s="18" t="n">
        <x:v>10</x:v>
      </x:c>
      <x:c r="H4157" s="19" t="n">
        <x:v>0.625</x:v>
      </x:c>
      <x:c r="I4157" s="18" t="n">
        <x:f>ROUND(MIN(Model_Config_v3!$B$6,MAX(Q4157,R4157,S4157*Model_Config_v3!$B$4+T4157*Model_Config_v3!$B$5)),0)</x:f>
        <x:v>605</x:v>
      </x:c>
      <x:c r="J4157" s="18" t="n">
        <x:f>MIN(Model_Config_v3!$B$6,I4157+Model_Config_v3!$B$7)</x:f>
        <x:v>625</x:v>
      </x:c>
      <x:c r="K4157" s="20" t="n">
        <x:v>40.7</x:v>
      </x:c>
      <x:c r="L4157" t="str">
        <x:v>RELATIF LONGGAR</x:v>
      </x:c>
      <x:c r="M4157" t="str">
        <x:v>SEDANG+</x:v>
      </x:c>
      <x:c r="N4157" t="str">
        <x:v>REGULER</x:v>
      </x:c>
      <x:c r="O4157" t="str">
        <x:v>SAINTEK</x:v>
      </x:c>
      <x:c r="P4157" t="str">
        <x:v>TEKNIK/ARSITEKTUR/STATISTIKA/AKTUARIA</x:v>
      </x:c>
      <x:c r="Q4157" s="18" t="n">
        <x:v>0</x:v>
      </x:c>
      <x:c r="R4157" s="18" t="n">
        <x:v>0</x:v>
      </x:c>
      <x:c r="S4157" s="18" t="n">
        <x:v>520</x:v>
      </x:c>
      <x:c r="T4157" s="18" t="n">
        <x:v>641</x:v>
      </x:c>
      <x:c r="U4157" s="18" t="n">
        <x:v>530</x:v>
      </x:c>
      <x:c r="V4157" s="20" t="n">
        <x:v>12</x:v>
      </x:c>
      <x:c r="W4157" s="20" t="n">
        <x:v>5</x:v>
      </x:c>
      <x:c r="X4157" s="20" t="n">
        <x:v>3</x:v>
      </x:c>
      <x:c r="Y4157" t="str">
        <x:v>Basis arsip 2025/2024</x:v>
      </x:c>
      <x:c r="Z4157" t="str">
        <x:v>https://snpmb.id/utbk-snbt/daya-tampung-snbt</x:v>
      </x:c>
      <x:c r="AA4157" t="str">
        <x:v>Tidak Ada</x:v>
      </x:c>
      <x:c r="AB4157" t="str">
        <x:v>Campus=55; Ratio=0.0; Prodi=60; RelDemand=7.8; Capacity=86.7</x:v>
      </x:c>
    </x:row>
    <x:row r="4158">
      <x:c r="A4158" t="n">
        <x:v>4155</x:v>
      </x:c>
      <x:c r="B4158" t="str">
        <x:v>PTN Vokasi</x:v>
      </x:c>
      <x:c r="C4158" t="str">
        <x:v>POLITEKNIK NEGERI MEDIA KREATIF</x:v>
      </x:c>
      <x:c r="D4158" t="str">
        <x:v>PENYIARAN</x:v>
      </x:c>
      <x:c r="E4158" t="str">
        <x:v>Diploma Tiga</x:v>
      </x:c>
      <x:c r="F4158" s="18" t="n">
        <x:v>80</x:v>
      </x:c>
      <x:c r="G4158" s="18" t="n">
        <x:v>744</x:v>
      </x:c>
      <x:c r="H4158" s="19" t="n">
        <x:v>9.3</x:v>
      </x:c>
      <x:c r="I4158" s="18" t="n">
        <x:f>ROUND(MIN(Model_Config_v3!$B$6,MAX(Q4158,R4158,S4158*Model_Config_v3!$B$4+T4158*Model_Config_v3!$B$5)),0)</x:f>
        <x:v>657</x:v>
      </x:c>
      <x:c r="J4158" s="18" t="n">
        <x:f>MIN(Model_Config_v3!$B$6,I4158+Model_Config_v3!$B$7)</x:f>
        <x:v>677</x:v>
      </x:c>
      <x:c r="K4158" s="20" t="n">
        <x:v>54.8</x:v>
      </x:c>
      <x:c r="L4158" t="str">
        <x:v>MENENGAH</x:v>
      </x:c>
      <x:c r="M4158" t="str">
        <x:v>SEDANG</x:v>
      </x:c>
      <x:c r="N4158" t="str">
        <x:v>REGULER</x:v>
      </x:c>
      <x:c r="O4158" t="str">
        <x:v>CAMPURAN</x:v>
      </x:c>
      <x:c r="P4158" t="str">
        <x:v>UMUM</x:v>
      </x:c>
      <x:c r="Q4158" s="18" t="n">
        <x:v>0</x:v>
      </x:c>
      <x:c r="R4158" s="18" t="n">
        <x:v>0</x:v>
      </x:c>
      <x:c r="S4158" s="18" t="n">
        <x:v>626.5331243409329</x:v>
      </x:c>
      <x:c r="T4158" s="18" t="n">
        <x:v>670</x:v>
      </x:c>
      <x:c r="U4158" s="18" t="n">
        <x:v>626.5331243409329</x:v>
      </x:c>
      <x:c r="V4158" s="20" t="n">
        <x:v>8.8</x:v>
      </x:c>
      <x:c r="W4158" s="20" t="n">
        <x:v>9.9</x:v>
      </x:c>
      <x:c r="X4158" s="20" t="n">
        <x:v>3.3</x:v>
      </x:c>
      <x:c r="Y4158" t="str">
        <x:v>Basis arsip 2025/2024</x:v>
      </x:c>
      <x:c r="Z4158" t="str">
        <x:v>https://snpmb.id/utbk-snbt/daya-tampung-snbt</x:v>
      </x:c>
      <x:c r="AA4158" t="str">
        <x:v>Tidak Ada</x:v>
      </x:c>
      <x:c r="AB4158" t="str">
        <x:v>Campus=55; Ratio=57.0; Prodi=40; RelDemand=100.0; Capacity=33.3</x:v>
      </x:c>
    </x:row>
    <x:row r="4159">
      <x:c r="A4159" t="n">
        <x:v>4156</x:v>
      </x:c>
      <x:c r="B4159" t="str">
        <x:v>PTN Vokasi</x:v>
      </x:c>
      <x:c r="C4159" t="str">
        <x:v>POLITEKNIK NEGERI MEDIA KREATIF</x:v>
      </x:c>
      <x:c r="D4159" t="str">
        <x:v>DESAIN GRAFIS (PSDKU MEDAN)</x:v>
      </x:c>
      <x:c r="E4159" t="str">
        <x:v>Diploma Tiga</x:v>
      </x:c>
      <x:c r="F4159" s="18" t="n">
        <x:v>48</x:v>
      </x:c>
      <x:c r="G4159" s="18" t="n">
        <x:v>117</x:v>
      </x:c>
      <x:c r="H4159" s="19" t="n">
        <x:v>2.4375</x:v>
      </x:c>
      <x:c r="I4159" s="18" t="n">
        <x:f>ROUND(MIN(Model_Config_v3!$B$6,MAX(Q4159,R4159,S4159*Model_Config_v3!$B$4+T4159*Model_Config_v3!$B$5)),0)</x:f>
        <x:v>620</x:v>
      </x:c>
      <x:c r="J4159" s="18" t="n">
        <x:f>MIN(Model_Config_v3!$B$6,I4159+Model_Config_v3!$B$7)</x:f>
        <x:v>640</x:v>
      </x:c>
      <x:c r="K4159" s="20" t="n">
        <x:v>42</x:v>
      </x:c>
      <x:c r="L4159" t="str">
        <x:v>RELATIF LONGGAR</x:v>
      </x:c>
      <x:c r="M4159" t="str">
        <x:v>SEDANG</x:v>
      </x:c>
      <x:c r="N4159" t="str">
        <x:v>REGULER</x:v>
      </x:c>
      <x:c r="O4159" t="str">
        <x:v>CAMPURAN</x:v>
      </x:c>
      <x:c r="P4159" t="str">
        <x:v>UMUM</x:v>
      </x:c>
      <x:c r="Q4159" s="18" t="n">
        <x:v>0</x:v>
      </x:c>
      <x:c r="R4159" s="18" t="n">
        <x:v>0</x:v>
      </x:c>
      <x:c r="S4159" s="18" t="n">
        <x:v>562.5639086807632</x:v>
      </x:c>
      <x:c r="T4159" s="18" t="n">
        <x:v>644</x:v>
      </x:c>
      <x:c r="U4159" s="18" t="n">
        <x:v>562.5639086807632</x:v>
      </x:c>
      <x:c r="V4159" s="20" t="n">
        <x:v>8.8</x:v>
      </x:c>
      <x:c r="W4159" s="20" t="n">
        <x:v>9.9</x:v>
      </x:c>
      <x:c r="X4159" s="20" t="n">
        <x:v>3.3</x:v>
      </x:c>
      <x:c r="Y4159" t="str">
        <x:v>Basis arsip 2025/2024</x:v>
      </x:c>
      <x:c r="Z4159" t="str">
        <x:v>https://snpmb.id/utbk-snbt/daya-tampung-snbt</x:v>
      </x:c>
      <x:c r="AA4159" t="str">
        <x:v>Tidak Ada</x:v>
      </x:c>
      <x:c r="AB4159" t="str">
        <x:v>Campus=55; Ratio=22.8; Prodi=40; RelDemand=30.3; Capacity=60.0</x:v>
      </x:c>
    </x:row>
    <x:row r="4160">
      <x:c r="A4160" t="n">
        <x:v>4157</x:v>
      </x:c>
      <x:c r="B4160" t="str">
        <x:v>PTN Vokasi</x:v>
      </x:c>
      <x:c r="C4160" t="str">
        <x:v>POLITEKNIK NEGERI MEDIA KREATIF</x:v>
      </x:c>
      <x:c r="D4160" t="str">
        <x:v>FOTOGRAFI</x:v>
      </x:c>
      <x:c r="E4160" t="str">
        <x:v>Diploma Tiga</x:v>
      </x:c>
      <x:c r="F4160" s="18" t="n">
        <x:v>48</x:v>
      </x:c>
      <x:c r="G4160" s="18" t="n">
        <x:v>378</x:v>
      </x:c>
      <x:c r="H4160" s="19" t="n">
        <x:v>7.875</x:v>
      </x:c>
      <x:c r="I4160" s="18" t="n">
        <x:f>ROUND(MIN(Model_Config_v3!$B$6,MAX(Q4160,R4160,S4160*Model_Config_v3!$B$4+T4160*Model_Config_v3!$B$5)),0)</x:f>
        <x:v>656</x:v>
      </x:c>
      <x:c r="J4160" s="18" t="n">
        <x:f>MIN(Model_Config_v3!$B$6,I4160+Model_Config_v3!$B$7)</x:f>
        <x:v>676</x:v>
      </x:c>
      <x:c r="K4160" s="20" t="n">
        <x:v>56.2</x:v>
      </x:c>
      <x:c r="L4160" t="str">
        <x:v>KETAT</x:v>
      </x:c>
      <x:c r="M4160" t="str">
        <x:v>SEDANG</x:v>
      </x:c>
      <x:c r="N4160" t="str">
        <x:v>REGULER</x:v>
      </x:c>
      <x:c r="O4160" t="str">
        <x:v>CAMPURAN</x:v>
      </x:c>
      <x:c r="P4160" t="str">
        <x:v>UMUM</x:v>
      </x:c>
      <x:c r="Q4160" s="18" t="n">
        <x:v>0</x:v>
      </x:c>
      <x:c r="R4160" s="18" t="n">
        <x:v>0</x:v>
      </x:c>
      <x:c r="S4160" s="18" t="n">
        <x:v>618.5875618707802</x:v>
      </x:c>
      <x:c r="T4160" s="18" t="n">
        <x:v>672</x:v>
      </x:c>
      <x:c r="U4160" s="18" t="n">
        <x:v>618.5875618707802</x:v>
      </x:c>
      <x:c r="V4160" s="20" t="n">
        <x:v>8.8</x:v>
      </x:c>
      <x:c r="W4160" s="20" t="n">
        <x:v>9.9</x:v>
      </x:c>
      <x:c r="X4160" s="20" t="n">
        <x:v>3.3</x:v>
      </x:c>
      <x:c r="Y4160" t="str">
        <x:v>Basis arsip 2025/2024</x:v>
      </x:c>
      <x:c r="Z4160" t="str">
        <x:v>https://snpmb.id/utbk-snbt/daya-tampung-snbt</x:v>
      </x:c>
      <x:c r="AA4160" t="str">
        <x:v>Tidak Ada</x:v>
      </x:c>
      <x:c r="AB4160" t="str">
        <x:v>Campus=55; Ratio=52.8; Prodi=40; RelDemand=97.9; Capacity=60.0</x:v>
      </x:c>
    </x:row>
    <x:row r="4161">
      <x:c r="A4161" t="n">
        <x:v>4158</x:v>
      </x:c>
      <x:c r="B4161" t="str">
        <x:v>PTN Vokasi</x:v>
      </x:c>
      <x:c r="C4161" t="str">
        <x:v>POLITEKNIK NEGERI MEDIA KREATIF</x:v>
      </x:c>
      <x:c r="D4161" t="str">
        <x:v>PEMELIHARAAN MESIN</x:v>
      </x:c>
      <x:c r="E4161" t="str">
        <x:v>Diploma Tiga</x:v>
      </x:c>
      <x:c r="F4161" s="18" t="n">
        <x:v>16</x:v>
      </x:c>
      <x:c r="G4161" s="18" t="n">
        <x:v>70</x:v>
      </x:c>
      <x:c r="H4161" s="19" t="n">
        <x:v>4.375</x:v>
      </x:c>
      <x:c r="I4161" s="18" t="n">
        <x:f>ROUND(MIN(Model_Config_v3!$B$6,MAX(Q4161,R4161,S4161*Model_Config_v3!$B$4+T4161*Model_Config_v3!$B$5)),0)</x:f>
        <x:v>641</x:v>
      </x:c>
      <x:c r="J4161" s="18" t="n">
        <x:f>MIN(Model_Config_v3!$B$6,I4161+Model_Config_v3!$B$7)</x:f>
        <x:v>661</x:v>
      </x:c>
      <x:c r="K4161" s="20" t="n">
        <x:v>50.8</x:v>
      </x:c>
      <x:c r="L4161" t="str">
        <x:v>MENENGAH</x:v>
      </x:c>
      <x:c r="M4161" t="str">
        <x:v>SEDANG</x:v>
      </x:c>
      <x:c r="N4161" t="str">
        <x:v>REGULER</x:v>
      </x:c>
      <x:c r="O4161" t="str">
        <x:v>CAMPURAN</x:v>
      </x:c>
      <x:c r="P4161" t="str">
        <x:v>UMUM</x:v>
      </x:c>
      <x:c r="Q4161" s="18" t="n">
        <x:v>0</x:v>
      </x:c>
      <x:c r="R4161" s="18" t="n">
        <x:v>0</x:v>
      </x:c>
      <x:c r="S4161" s="18" t="n">
        <x:v>590.5075863094165</x:v>
      </x:c>
      <x:c r="T4161" s="18" t="n">
        <x:v>662</x:v>
      </x:c>
      <x:c r="U4161" s="18" t="n">
        <x:v>590.5075863094165</x:v>
      </x:c>
      <x:c r="V4161" s="20" t="n">
        <x:v>8.8</x:v>
      </x:c>
      <x:c r="W4161" s="20" t="n">
        <x:v>9.9</x:v>
      </x:c>
      <x:c r="X4161" s="20" t="n">
        <x:v>3.3</x:v>
      </x:c>
      <x:c r="Y4161" t="str">
        <x:v>Basis arsip 2025/2024</x:v>
      </x:c>
      <x:c r="Z4161" t="str">
        <x:v>https://snpmb.id/utbk-snbt/daya-tampung-snbt</x:v>
      </x:c>
      <x:c r="AA4161" t="str">
        <x:v>Tidak Ada</x:v>
      </x:c>
      <x:c r="AB4161" t="str">
        <x:v>Campus=55; Ratio=37.7; Prodi=40; RelDemand=54.4; Capacity=86.7</x:v>
      </x:c>
    </x:row>
    <x:row r="4162">
      <x:c r="A4162" t="n">
        <x:v>4159</x:v>
      </x:c>
      <x:c r="B4162" t="str">
        <x:v>PTN Vokasi</x:v>
      </x:c>
      <x:c r="C4162" t="str">
        <x:v>POLITEKNIK NEGERI MEDIA KREATIF</x:v>
      </x:c>
      <x:c r="D4162" t="str">
        <x:v>TEKNIK GRAFIKA</x:v>
      </x:c>
      <x:c r="E4162" t="str">
        <x:v>Diploma Tiga</x:v>
      </x:c>
      <x:c r="F4162" s="18" t="n">
        <x:v>48</x:v>
      </x:c>
      <x:c r="G4162" s="18" t="n">
        <x:v>114</x:v>
      </x:c>
      <x:c r="H4162" s="19" t="n">
        <x:v>2.375</x:v>
      </x:c>
      <x:c r="I4162" s="18" t="n">
        <x:f>ROUND(MIN(Model_Config_v3!$B$6,MAX(Q4162,R4162,S4162*Model_Config_v3!$B$4+T4162*Model_Config_v3!$B$5)),0)</x:f>
        <x:v>624</x:v>
      </x:c>
      <x:c r="J4162" s="18" t="n">
        <x:f>MIN(Model_Config_v3!$B$6,I4162+Model_Config_v3!$B$7)</x:f>
        <x:v>644</x:v>
      </x:c>
      <x:c r="K4162" s="20" t="n">
        <x:v>45.7</x:v>
      </x:c>
      <x:c r="L4162" t="str">
        <x:v>MENENGAH</x:v>
      </x:c>
      <x:c r="M4162" t="str">
        <x:v>SEDANG+</x:v>
      </x:c>
      <x:c r="N4162" t="str">
        <x:v>REGULER</x:v>
      </x:c>
      <x:c r="O4162" t="str">
        <x:v>SAINTEK</x:v>
      </x:c>
      <x:c r="P4162" t="str">
        <x:v>TEKNIK/ARSITEKTUR/STATISTIKA/AKTUARIA</x:v>
      </x:c>
      <x:c r="Q4162" s="18" t="n">
        <x:v>0</x:v>
      </x:c>
      <x:c r="R4162" s="18" t="n">
        <x:v>0</x:v>
      </x:c>
      <x:c r="S4162" s="18" t="n">
        <x:v>561.3229975356974</x:v>
      </x:c>
      <x:c r="T4162" s="18" t="n">
        <x:v>651</x:v>
      </x:c>
      <x:c r="U4162" s="18" t="n">
        <x:v>571.3229975356974</x:v>
      </x:c>
      <x:c r="V4162" s="20" t="n">
        <x:v>12</x:v>
      </x:c>
      <x:c r="W4162" s="20" t="n">
        <x:v>5</x:v>
      </x:c>
      <x:c r="X4162" s="20" t="n">
        <x:v>3</x:v>
      </x:c>
      <x:c r="Y4162" t="str">
        <x:v>Basis arsip 2025/2024</x:v>
      </x:c>
      <x:c r="Z4162" t="str">
        <x:v>https://snpmb.id/utbk-snbt/daya-tampung-snbt</x:v>
      </x:c>
      <x:c r="AA4162" t="str">
        <x:v>Tidak Ada</x:v>
      </x:c>
      <x:c r="AB4162" t="str">
        <x:v>Campus=55; Ratio=22.1; Prodi=60; RelDemand=29.5; Capacity=60.0</x:v>
      </x:c>
    </x:row>
    <x:row r="4163">
      <x:c r="A4163" t="n">
        <x:v>4160</x:v>
      </x:c>
      <x:c r="B4163" t="str">
        <x:v>PTN Vokasi</x:v>
      </x:c>
      <x:c r="C4163" t="str">
        <x:v>POLITEKNIK NEGERI MEDIA KREATIF</x:v>
      </x:c>
      <x:c r="D4163" t="str">
        <x:v>PENERBITAN</x:v>
      </x:c>
      <x:c r="E4163" t="str">
        <x:v>Diploma Tiga</x:v>
      </x:c>
      <x:c r="F4163" s="18" t="n">
        <x:v>48</x:v>
      </x:c>
      <x:c r="G4163" s="18" t="n">
        <x:v>223</x:v>
      </x:c>
      <x:c r="H4163" s="19" t="n">
        <x:v>4.645833333333333</x:v>
      </x:c>
      <x:c r="I4163" s="18" t="n">
        <x:f>ROUND(MIN(Model_Config_v3!$B$6,MAX(Q4163,R4163,S4163*Model_Config_v3!$B$4+T4163*Model_Config_v3!$B$5)),0)</x:f>
        <x:v>639</x:v>
      </x:c>
      <x:c r="J4163" s="18" t="n">
        <x:f>MIN(Model_Config_v3!$B$6,I4163+Model_Config_v3!$B$7)</x:f>
        <x:v>659</x:v>
      </x:c>
      <x:c r="K4163" s="20" t="n">
        <x:v>48.8</x:v>
      </x:c>
      <x:c r="L4163" t="str">
        <x:v>MENENGAH</x:v>
      </x:c>
      <x:c r="M4163" t="str">
        <x:v>SEDANG</x:v>
      </x:c>
      <x:c r="N4163" t="str">
        <x:v>REGULER</x:v>
      </x:c>
      <x:c r="O4163" t="str">
        <x:v>CAMPURAN</x:v>
      </x:c>
      <x:c r="P4163" t="str">
        <x:v>UMUM</x:v>
      </x:c>
      <x:c r="Q4163" s="18" t="n">
        <x:v>0</x:v>
      </x:c>
      <x:c r="R4163" s="18" t="n">
        <x:v>0</x:v>
      </x:c>
      <x:c r="S4163" s="18" t="n">
        <x:v>593.3769988239831</x:v>
      </x:c>
      <x:c r="T4163" s="18" t="n">
        <x:v>658</x:v>
      </x:c>
      <x:c r="U4163" s="18" t="n">
        <x:v>593.3769988239831</x:v>
      </x:c>
      <x:c r="V4163" s="20" t="n">
        <x:v>8.8</x:v>
      </x:c>
      <x:c r="W4163" s="20" t="n">
        <x:v>9.9</x:v>
      </x:c>
      <x:c r="X4163" s="20" t="n">
        <x:v>3.3</x:v>
      </x:c>
      <x:c r="Y4163" t="str">
        <x:v>Basis arsip 2025/2024</x:v>
      </x:c>
      <x:c r="Z4163" t="str">
        <x:v>https://snpmb.id/utbk-snbt/daya-tampung-snbt</x:v>
      </x:c>
      <x:c r="AA4163" t="str">
        <x:v>Tidak Ada</x:v>
      </x:c>
      <x:c r="AB4163" t="str">
        <x:v>Campus=55; Ratio=39.3; Prodi=40; RelDemand=57.8; Capacity=60.0</x:v>
      </x:c>
    </x:row>
    <x:row r="4164">
      <x:c r="A4164" t="n">
        <x:v>4161</x:v>
      </x:c>
      <x:c r="B4164" t="str">
        <x:v>PTN Vokasi</x:v>
      </x:c>
      <x:c r="C4164" t="str">
        <x:v>POLITEKNIK NEGERI MEDIA KREATIF</x:v>
      </x:c>
      <x:c r="D4164" t="str">
        <x:v>DESAIN GRAFIS (PSDKU MAKASSAR)</x:v>
      </x:c>
      <x:c r="E4164" t="str">
        <x:v>Diploma Tiga</x:v>
      </x:c>
      <x:c r="F4164" s="18" t="n">
        <x:v>41</x:v>
      </x:c>
      <x:c r="G4164" s="18" t="n">
        <x:v>35</x:v>
      </x:c>
      <x:c r="H4164" s="19" t="n">
        <x:v>0.8536585365853658</x:v>
      </x:c>
      <x:c r="I4164" s="18" t="n">
        <x:f>ROUND(MIN(Model_Config_v3!$B$6,MAX(Q4164,R4164,S4164*Model_Config_v3!$B$4+T4164*Model_Config_v3!$B$5)),0)</x:f>
        <x:v>597</x:v>
      </x:c>
      <x:c r="J4164" s="18" t="n">
        <x:f>MIN(Model_Config_v3!$B$6,I4164+Model_Config_v3!$B$7)</x:f>
        <x:v>617</x:v>
      </x:c>
      <x:c r="K4164" s="20" t="n">
        <x:v>34.9</x:v>
      </x:c>
      <x:c r="L4164" t="str">
        <x:v>RELATIF LONGGAR</x:v>
      </x:c>
      <x:c r="M4164" t="str">
        <x:v>SEDANG</x:v>
      </x:c>
      <x:c r="N4164" t="str">
        <x:v>REGULER</x:v>
      </x:c>
      <x:c r="O4164" t="str">
        <x:v>CAMPURAN</x:v>
      </x:c>
      <x:c r="P4164" t="str">
        <x:v>UMUM</x:v>
      </x:c>
      <x:c r="Q4164" s="18" t="n">
        <x:v>0</x:v>
      </x:c>
      <x:c r="R4164" s="18" t="n">
        <x:v>0</x:v>
      </x:c>
      <x:c r="S4164" s="18" t="n">
        <x:v>520</x:v>
      </x:c>
      <x:c r="T4164" s="18" t="n">
        <x:v>630</x:v>
      </x:c>
      <x:c r="U4164" s="18" t="n">
        <x:v>520</x:v>
      </x:c>
      <x:c r="V4164" s="20" t="n">
        <x:v>8.8</x:v>
      </x:c>
      <x:c r="W4164" s="20" t="n">
        <x:v>9.9</x:v>
      </x:c>
      <x:c r="X4164" s="20" t="n">
        <x:v>3.3</x:v>
      </x:c>
      <x:c r="Y4164" t="str">
        <x:v>Basis arsip 2025/2024</x:v>
      </x:c>
      <x:c r="Z4164" t="str">
        <x:v>https://snpmb.id/utbk-snbt/daya-tampung-snbt</x:v>
      </x:c>
      <x:c r="AA4164" t="str">
        <x:v>Tidak Ada</x:v>
      </x:c>
      <x:c r="AB4164" t="str">
        <x:v>Campus=55; Ratio=0.0; Prodi=40; RelDemand=10.6; Capacity=65.8</x:v>
      </x:c>
    </x:row>
    <x:row r="4165">
      <x:c r="A4165" t="n">
        <x:v>4162</x:v>
      </x:c>
      <x:c r="B4165" t="str">
        <x:v>PTN Vokasi</x:v>
      </x:c>
      <x:c r="C4165" t="str">
        <x:v>POLITEKNIK NEGERI MEDIA KREATIF</x:v>
      </x:c>
      <x:c r="D4165" t="str">
        <x:v>TEKNIK GRAFIKA (PSDKU MAKASSAR)</x:v>
      </x:c>
      <x:c r="E4165" t="str">
        <x:v>Diploma Tiga</x:v>
      </x:c>
      <x:c r="F4165" s="18" t="n">
        <x:v>16</x:v>
      </x:c>
      <x:c r="G4165" s="18" t="n">
        <x:v>4</x:v>
      </x:c>
      <x:c r="H4165" s="19" t="n">
        <x:v>0.25</x:v>
      </x:c>
      <x:c r="I4165" s="18" t="n">
        <x:f>ROUND(MIN(Model_Config_v3!$B$6,MAX(Q4165,R4165,S4165*Model_Config_v3!$B$4+T4165*Model_Config_v3!$B$5)),0)</x:f>
        <x:v>604</x:v>
      </x:c>
      <x:c r="J4165" s="18" t="n">
        <x:f>MIN(Model_Config_v3!$B$6,I4165+Model_Config_v3!$B$7)</x:f>
        <x:v>624</x:v>
      </x:c>
      <x:c r="K4165" s="20" t="n">
        <x:v>40.2</x:v>
      </x:c>
      <x:c r="L4165" t="str">
        <x:v>RELATIF LONGGAR</x:v>
      </x:c>
      <x:c r="M4165" t="str">
        <x:v>SEDANG+</x:v>
      </x:c>
      <x:c r="N4165" t="str">
        <x:v>REGULER</x:v>
      </x:c>
      <x:c r="O4165" t="str">
        <x:v>SAINTEK</x:v>
      </x:c>
      <x:c r="P4165" t="str">
        <x:v>TEKNIK/ARSITEKTUR/STATISTIKA/AKTUARIA</x:v>
      </x:c>
      <x:c r="Q4165" s="18" t="n">
        <x:v>0</x:v>
      </x:c>
      <x:c r="R4165" s="18" t="n">
        <x:v>0</x:v>
      </x:c>
      <x:c r="S4165" s="18" t="n">
        <x:v>520</x:v>
      </x:c>
      <x:c r="T4165" s="18" t="n">
        <x:v>640</x:v>
      </x:c>
      <x:c r="U4165" s="18" t="n">
        <x:v>530</x:v>
      </x:c>
      <x:c r="V4165" s="20" t="n">
        <x:v>12</x:v>
      </x:c>
      <x:c r="W4165" s="20" t="n">
        <x:v>5</x:v>
      </x:c>
      <x:c r="X4165" s="20" t="n">
        <x:v>3</x:v>
      </x:c>
      <x:c r="Y4165" t="str">
        <x:v>Basis arsip 2025/2024</x:v>
      </x:c>
      <x:c r="Z4165" t="str">
        <x:v>https://snpmb.id/utbk-snbt/daya-tampung-snbt</x:v>
      </x:c>
      <x:c r="AA4165" t="str">
        <x:v>Tidak Ada</x:v>
      </x:c>
      <x:c r="AB4165" t="str">
        <x:v>Campus=55; Ratio=0.0; Prodi=60; RelDemand=3.1; Capacity=86.7</x:v>
      </x:c>
    </x:row>
    <x:row r="4166">
      <x:c r="A4166" t="n">
        <x:v>4163</x:v>
      </x:c>
      <x:c r="B4166" t="str">
        <x:v>PTN Vokasi</x:v>
      </x:c>
      <x:c r="C4166" t="str">
        <x:v>POLITEKNIK NEGERI MEDIA KREATIF</x:v>
      </x:c>
      <x:c r="D4166" t="str">
        <x:v>DESAIN GRAFIS</x:v>
      </x:c>
      <x:c r="E4166" t="str">
        <x:v>Diploma Tiga</x:v>
      </x:c>
      <x:c r="F4166" s="18" t="n">
        <x:v>80</x:v>
      </x:c>
      <x:c r="G4166" s="18" t="n">
        <x:v>363</x:v>
      </x:c>
      <x:c r="H4166" s="19" t="n">
        <x:v>4.5375</x:v>
      </x:c>
      <x:c r="I4166" s="18" t="n">
        <x:f>ROUND(MIN(Model_Config_v3!$B$6,MAX(Q4166,R4166,S4166*Model_Config_v3!$B$4+T4166*Model_Config_v3!$B$5)),0)</x:f>
        <x:v>635</x:v>
      </x:c>
      <x:c r="J4166" s="18" t="n">
        <x:f>MIN(Model_Config_v3!$B$6,I4166+Model_Config_v3!$B$7)</x:f>
        <x:v>655</x:v>
      </x:c>
      <x:c r="K4166" s="20" t="n">
        <x:v>46.9</x:v>
      </x:c>
      <x:c r="L4166" t="str">
        <x:v>MENENGAH</x:v>
      </x:c>
      <x:c r="M4166" t="str">
        <x:v>PORTOFOLIO</x:v>
      </x:c>
      <x:c r="N4166" t="str">
        <x:v>REGULER</x:v>
      </x:c>
      <x:c r="O4166" t="str">
        <x:v>SENI/OLAHRAGA</x:v>
      </x:c>
      <x:c r="P4166" t="str">
        <x:v>SENI/OLAHRAGA</x:v>
      </x:c>
      <x:c r="Q4166" s="18" t="n">
        <x:v>0</x:v>
      </x:c>
      <x:c r="R4166" s="18" t="n">
        <x:v>0</x:v>
      </x:c>
      <x:c r="S4166" s="18" t="n">
        <x:v>592.2498301848585</x:v>
      </x:c>
      <x:c r="T4166" s="18" t="n">
        <x:v>654</x:v>
      </x:c>
      <x:c r="U4166" s="18" t="n">
        <x:v>592.2498301848585</x:v>
      </x:c>
      <x:c r="V4166" s="20" t="n">
        <x:v>4.4</x:v>
      </x:c>
      <x:c r="W4166" s="20" t="n">
        <x:v>9.9</x:v>
      </x:c>
      <x:c r="X4166" s="20" t="n">
        <x:v>7.7</x:v>
      </x:c>
      <x:c r="Y4166" t="str">
        <x:v>Basis arsip 2025/2024</x:v>
      </x:c>
      <x:c r="Z4166" t="str">
        <x:v>https://snpmb.id/utbk-snbt/daya-tampung-snbt</x:v>
      </x:c>
      <x:c r="AA4166" t="str">
        <x:v>Seni Rupa, Desain, dan Kriya</x:v>
      </x:c>
      <x:c r="AB4166" t="str">
        <x:v>Campus=55; Ratio=38.7; Prodi=45; RelDemand=56.4; Capacity=33.3</x:v>
      </x:c>
    </x:row>
    <x:row r="4167">
      <x:c r="A4167" t="n">
        <x:v>4164</x:v>
      </x:c>
      <x:c r="B4167" t="str">
        <x:v>PTN Vokasi</x:v>
      </x:c>
      <x:c r="C4167" t="str">
        <x:v>POLITEKNIK NEGERI MEDIA KREATIF</x:v>
      </x:c>
      <x:c r="D4167" t="str">
        <x:v>SENI KULINER</x:v>
      </x:c>
      <x:c r="E4167" t="str">
        <x:v>Diploma Tiga</x:v>
      </x:c>
      <x:c r="F4167" s="18" t="n">
        <x:v>32</x:v>
      </x:c>
      <x:c r="G4167" s="18" t="n">
        <x:v>471</x:v>
      </x:c>
      <x:c r="H4167" s="19" t="n">
        <x:v>14.71875</x:v>
      </x:c>
      <x:c r="I4167" s="18" t="n">
        <x:f>ROUND(MIN(Model_Config_v3!$B$6,MAX(Q4167,R4167,S4167*Model_Config_v3!$B$4+T4167*Model_Config_v3!$B$5)),0)</x:f>
        <x:v>673</x:v>
      </x:c>
      <x:c r="J4167" s="18" t="n">
        <x:f>MIN(Model_Config_v3!$B$6,I4167+Model_Config_v3!$B$7)</x:f>
        <x:v>693</x:v>
      </x:c>
      <x:c r="K4167" s="20" t="n">
        <x:v>61.8</x:v>
      </x:c>
      <x:c r="L4167" t="str">
        <x:v>KETAT</x:v>
      </x:c>
      <x:c r="M4167" t="str">
        <x:v>SEDANG</x:v>
      </x:c>
      <x:c r="N4167" t="str">
        <x:v>REGULER</x:v>
      </x:c>
      <x:c r="O4167" t="str">
        <x:v>CAMPURAN</x:v>
      </x:c>
      <x:c r="P4167" t="str">
        <x:v>UMUM</x:v>
      </x:c>
      <x:c r="Q4167" s="18" t="n">
        <x:v>0</x:v>
      </x:c>
      <x:c r="R4167" s="18" t="n">
        <x:v>0</x:v>
      </x:c>
      <x:c r="S4167" s="18" t="n">
        <x:v>648.465802168989</x:v>
      </x:c>
      <x:c r="T4167" s="18" t="n">
        <x:v>684</x:v>
      </x:c>
      <x:c r="U4167" s="18" t="n">
        <x:v>648.465802168989</x:v>
      </x:c>
      <x:c r="V4167" s="20" t="n">
        <x:v>8.8</x:v>
      </x:c>
      <x:c r="W4167" s="20" t="n">
        <x:v>9.9</x:v>
      </x:c>
      <x:c r="X4167" s="20" t="n">
        <x:v>3.3</x:v>
      </x:c>
      <x:c r="Y4167" t="str">
        <x:v>Basis arsip 2025/2024</x:v>
      </x:c>
      <x:c r="Z4167" t="str">
        <x:v>https://snpmb.id/utbk-snbt/daya-tampung-snbt</x:v>
      </x:c>
      <x:c r="AA4167" t="str">
        <x:v>Tidak Ada</x:v>
      </x:c>
      <x:c r="AB4167" t="str">
        <x:v>Campus=55; Ratio=68.7; Prodi=40; RelDemand=100.0; Capacity=73.3</x:v>
      </x:c>
    </x:row>
    <x:row r="4168">
      <x:c r="A4168" t="n">
        <x:v>4165</x:v>
      </x:c>
      <x:c r="B4168" t="str">
        <x:v>PTN Vokasi</x:v>
      </x:c>
      <x:c r="C4168" t="str">
        <x:v>POLITEKNIK NEGERI MEDIA KREATIF</x:v>
      </x:c>
      <x:c r="D4168" t="str">
        <x:v>PERIKLANAN</x:v>
      </x:c>
      <x:c r="E4168" t="str">
        <x:v>Diploma Tiga</x:v>
      </x:c>
      <x:c r="F4168" s="18" t="n">
        <x:v>64</x:v>
      </x:c>
      <x:c r="G4168" s="18" t="n">
        <x:v>510</x:v>
      </x:c>
      <x:c r="H4168" s="19" t="n">
        <x:v>7.96875</x:v>
      </x:c>
      <x:c r="I4168" s="18" t="n">
        <x:f>ROUND(MIN(Model_Config_v3!$B$6,MAX(Q4168,R4168,S4168*Model_Config_v3!$B$4+T4168*Model_Config_v3!$B$5)),0)</x:f>
        <x:v>655</x:v>
      </x:c>
      <x:c r="J4168" s="18" t="n">
        <x:f>MIN(Model_Config_v3!$B$6,I4168+Model_Config_v3!$B$7)</x:f>
        <x:v>675</x:v>
      </x:c>
      <x:c r="K4168" s="20" t="n">
        <x:v>55.1</x:v>
      </x:c>
      <x:c r="L4168" t="str">
        <x:v>KETAT</x:v>
      </x:c>
      <x:c r="M4168" t="str">
        <x:v>SEDANG</x:v>
      </x:c>
      <x:c r="N4168" t="str">
        <x:v>REGULER</x:v>
      </x:c>
      <x:c r="O4168" t="str">
        <x:v>CAMPURAN</x:v>
      </x:c>
      <x:c r="P4168" t="str">
        <x:v>UMUM</x:v>
      </x:c>
      <x:c r="Q4168" s="18" t="n">
        <x:v>0</x:v>
      </x:c>
      <x:c r="R4168" s="18" t="n">
        <x:v>0</x:v>
      </x:c>
      <x:c r="S4168" s="18" t="n">
        <x:v>619.1529222325454</x:v>
      </x:c>
      <x:c r="T4168" s="18" t="n">
        <x:v>670</x:v>
      </x:c>
      <x:c r="U4168" s="18" t="n">
        <x:v>619.1529222325454</x:v>
      </x:c>
      <x:c r="V4168" s="20" t="n">
        <x:v>8.8</x:v>
      </x:c>
      <x:c r="W4168" s="20" t="n">
        <x:v>9.9</x:v>
      </x:c>
      <x:c r="X4168" s="20" t="n">
        <x:v>3.3</x:v>
      </x:c>
      <x:c r="Y4168" t="str">
        <x:v>Basis arsip 2025/2024</x:v>
      </x:c>
      <x:c r="Z4168" t="str">
        <x:v>https://snpmb.id/utbk-snbt/daya-tampung-snbt</x:v>
      </x:c>
      <x:c r="AA4168" t="str">
        <x:v>Tidak Ada</x:v>
      </x:c>
      <x:c r="AB4168" t="str">
        <x:v>Campus=55; Ratio=53.1; Prodi=40; RelDemand=99.1; Capacity=46.7</x:v>
      </x:c>
    </x:row>
    <x:row r="4169">
      <x:c r="A4169" t="n">
        <x:v>4166</x:v>
      </x:c>
      <x:c r="B4169" t="str">
        <x:v>PTN Vokasi</x:v>
      </x:c>
      <x:c r="C4169" t="str">
        <x:v>POLITEKNIK NEGERI MEDIA KREATIF</x:v>
      </x:c>
      <x:c r="D4169" t="str">
        <x:v>PENERBITAN (PSDKU MAKASSAR)</x:v>
      </x:c>
      <x:c r="E4169" t="str">
        <x:v>Diploma Tiga</x:v>
      </x:c>
      <x:c r="F4169" s="18" t="n">
        <x:v>16</x:v>
      </x:c>
      <x:c r="G4169" s="18" t="n">
        <x:v>3</x:v>
      </x:c>
      <x:c r="H4169" s="19" t="n">
        <x:v>0.1875</x:v>
      </x:c>
      <x:c r="I4169" s="18" t="n">
        <x:f>ROUND(MIN(Model_Config_v3!$B$6,MAX(Q4169,R4169,S4169*Model_Config_v3!$B$4+T4169*Model_Config_v3!$B$5)),0)</x:f>
        <x:v>598</x:v>
      </x:c>
      <x:c r="J4169" s="18" t="n">
        <x:f>MIN(Model_Config_v3!$B$6,I4169+Model_Config_v3!$B$7)</x:f>
        <x:v>618</x:v>
      </x:c>
      <x:c r="K4169" s="20" t="n">
        <x:v>36.1</x:v>
      </x:c>
      <x:c r="L4169" t="str">
        <x:v>RELATIF LONGGAR</x:v>
      </x:c>
      <x:c r="M4169" t="str">
        <x:v>SEDANG</x:v>
      </x:c>
      <x:c r="N4169" t="str">
        <x:v>REGULER</x:v>
      </x:c>
      <x:c r="O4169" t="str">
        <x:v>CAMPURAN</x:v>
      </x:c>
      <x:c r="P4169" t="str">
        <x:v>UMUM</x:v>
      </x:c>
      <x:c r="Q4169" s="18" t="n">
        <x:v>0</x:v>
      </x:c>
      <x:c r="R4169" s="18" t="n">
        <x:v>0</x:v>
      </x:c>
      <x:c r="S4169" s="18" t="n">
        <x:v>520</x:v>
      </x:c>
      <x:c r="T4169" s="18" t="n">
        <x:v>632</x:v>
      </x:c>
      <x:c r="U4169" s="18" t="n">
        <x:v>520</x:v>
      </x:c>
      <x:c r="V4169" s="20" t="n">
        <x:v>8.8</x:v>
      </x:c>
      <x:c r="W4169" s="20" t="n">
        <x:v>9.9</x:v>
      </x:c>
      <x:c r="X4169" s="20" t="n">
        <x:v>3.3</x:v>
      </x:c>
      <x:c r="Y4169" t="str">
        <x:v>Basis arsip 2025/2024</x:v>
      </x:c>
      <x:c r="Z4169" t="str">
        <x:v>https://snpmb.id/utbk-snbt/daya-tampung-snbt</x:v>
      </x:c>
      <x:c r="AA4169" t="str">
        <x:v>Tidak Ada</x:v>
      </x:c>
      <x:c r="AB4169" t="str">
        <x:v>Campus=55; Ratio=0.0; Prodi=40; RelDemand=2.3; Capacity=86.7</x:v>
      </x:c>
    </x:row>
    <x:row r="4170">
      <x:c r="A4170" t="n">
        <x:v>4167</x:v>
      </x:c>
      <x:c r="B4170" t="str">
        <x:v>PTN Vokasi</x:v>
      </x:c>
      <x:c r="C4170" t="str">
        <x:v>POLITEKNIK NEGERI MEDIA KREATIF</x:v>
      </x:c>
      <x:c r="D4170" t="str">
        <x:v>PERIKLANAN (PSDKU MAKASSAR)</x:v>
      </x:c>
      <x:c r="E4170" t="str">
        <x:v>Diploma Tiga</x:v>
      </x:c>
      <x:c r="F4170" s="18" t="n">
        <x:v>16</x:v>
      </x:c>
      <x:c r="G4170" s="18" t="n">
        <x:v>9</x:v>
      </x:c>
      <x:c r="H4170" s="19" t="n">
        <x:v>0.5625</x:v>
      </x:c>
      <x:c r="I4170" s="18" t="n">
        <x:f>ROUND(MIN(Model_Config_v3!$B$6,MAX(Q4170,R4170,S4170*Model_Config_v3!$B$4+T4170*Model_Config_v3!$B$5)),0)</x:f>
        <x:v>599</x:v>
      </x:c>
      <x:c r="J4170" s="18" t="n">
        <x:f>MIN(Model_Config_v3!$B$6,I4170+Model_Config_v3!$B$7)</x:f>
        <x:v>619</x:v>
      </x:c>
      <x:c r="K4170" s="20" t="n">
        <x:v>36.6</x:v>
      </x:c>
      <x:c r="L4170" t="str">
        <x:v>RELATIF LONGGAR</x:v>
      </x:c>
      <x:c r="M4170" t="str">
        <x:v>SEDANG</x:v>
      </x:c>
      <x:c r="N4170" t="str">
        <x:v>REGULER</x:v>
      </x:c>
      <x:c r="O4170" t="str">
        <x:v>CAMPURAN</x:v>
      </x:c>
      <x:c r="P4170" t="str">
        <x:v>UMUM</x:v>
      </x:c>
      <x:c r="Q4170" s="18" t="n">
        <x:v>0</x:v>
      </x:c>
      <x:c r="R4170" s="18" t="n">
        <x:v>0</x:v>
      </x:c>
      <x:c r="S4170" s="18" t="n">
        <x:v>520</x:v>
      </x:c>
      <x:c r="T4170" s="18" t="n">
        <x:v>633</x:v>
      </x:c>
      <x:c r="U4170" s="18" t="n">
        <x:v>520</x:v>
      </x:c>
      <x:c r="V4170" s="20" t="n">
        <x:v>8.8</x:v>
      </x:c>
      <x:c r="W4170" s="20" t="n">
        <x:v>9.9</x:v>
      </x:c>
      <x:c r="X4170" s="20" t="n">
        <x:v>3.3</x:v>
      </x:c>
      <x:c r="Y4170" t="str">
        <x:v>Basis arsip 2025/2024</x:v>
      </x:c>
      <x:c r="Z4170" t="str">
        <x:v>https://snpmb.id/utbk-snbt/daya-tampung-snbt</x:v>
      </x:c>
      <x:c r="AA4170" t="str">
        <x:v>Tidak Ada</x:v>
      </x:c>
      <x:c r="AB4170" t="str">
        <x:v>Campus=55; Ratio=0.0; Prodi=40; RelDemand=7.0; Capacity=86.7</x:v>
      </x:c>
    </x:row>
    <x:row r="4171">
      <x:c r="A4171" t="n">
        <x:v>4168</x:v>
      </x:c>
      <x:c r="B4171" t="str">
        <x:v>PTN Vokasi</x:v>
      </x:c>
      <x:c r="C4171" t="str">
        <x:v>POLITEKNIK NEGERI MEDIA KREATIF</x:v>
      </x:c>
      <x:c r="D4171" t="str">
        <x:v>PENERBITAN (PSDKU MEDAN)</x:v>
      </x:c>
      <x:c r="E4171" t="str">
        <x:v>Diploma Tiga</x:v>
      </x:c>
      <x:c r="F4171" s="18" t="n">
        <x:v>16</x:v>
      </x:c>
      <x:c r="G4171" s="18" t="n">
        <x:v>13</x:v>
      </x:c>
      <x:c r="H4171" s="19" t="n">
        <x:v>0.8125</x:v>
      </x:c>
      <x:c r="I4171" s="18" t="n">
        <x:f>ROUND(MIN(Model_Config_v3!$B$6,MAX(Q4171,R4171,S4171*Model_Config_v3!$B$4+T4171*Model_Config_v3!$B$5)),0)</x:f>
        <x:v>600</x:v>
      </x:c>
      <x:c r="J4171" s="18" t="n">
        <x:f>MIN(Model_Config_v3!$B$6,I4171+Model_Config_v3!$B$7)</x:f>
        <x:v>620</x:v>
      </x:c>
      <x:c r="K4171" s="20" t="n">
        <x:v>36.9</x:v>
      </x:c>
      <x:c r="L4171" t="str">
        <x:v>RELATIF LONGGAR</x:v>
      </x:c>
      <x:c r="M4171" t="str">
        <x:v>SEDANG</x:v>
      </x:c>
      <x:c r="N4171" t="str">
        <x:v>REGULER</x:v>
      </x:c>
      <x:c r="O4171" t="str">
        <x:v>CAMPURAN</x:v>
      </x:c>
      <x:c r="P4171" t="str">
        <x:v>UMUM</x:v>
      </x:c>
      <x:c r="Q4171" s="18" t="n">
        <x:v>0</x:v>
      </x:c>
      <x:c r="R4171" s="18" t="n">
        <x:v>0</x:v>
      </x:c>
      <x:c r="S4171" s="18" t="n">
        <x:v>520</x:v>
      </x:c>
      <x:c r="T4171" s="18" t="n">
        <x:v>634</x:v>
      </x:c>
      <x:c r="U4171" s="18" t="n">
        <x:v>520</x:v>
      </x:c>
      <x:c r="V4171" s="20" t="n">
        <x:v>8.8</x:v>
      </x:c>
      <x:c r="W4171" s="20" t="n">
        <x:v>9.9</x:v>
      </x:c>
      <x:c r="X4171" s="20" t="n">
        <x:v>3.3</x:v>
      </x:c>
      <x:c r="Y4171" t="str">
        <x:v>Basis arsip 2025/2024</x:v>
      </x:c>
      <x:c r="Z4171" t="str">
        <x:v>https://snpmb.id/utbk-snbt/daya-tampung-snbt</x:v>
      </x:c>
      <x:c r="AA4171" t="str">
        <x:v>Tidak Ada</x:v>
      </x:c>
      <x:c r="AB4171" t="str">
        <x:v>Campus=55; Ratio=0.0; Prodi=40; RelDemand=10.1; Capacity=86.7</x:v>
      </x:c>
    </x:row>
    <x:row r="4172">
      <x:c r="A4172" t="n">
        <x:v>4169</x:v>
      </x:c>
      <x:c r="B4172" t="str">
        <x:v>PTN Vokasi</x:v>
      </x:c>
      <x:c r="C4172" t="str">
        <x:v>POLITEKNIK NEGERI MEDIA KREATIF</x:v>
      </x:c>
      <x:c r="D4172" t="str">
        <x:v>PERIKLANAN (PSDKU MEDAN)</x:v>
      </x:c>
      <x:c r="E4172" t="str">
        <x:v>Diploma Tiga</x:v>
      </x:c>
      <x:c r="F4172" s="18" t="n">
        <x:v>16</x:v>
      </x:c>
      <x:c r="G4172" s="18" t="n">
        <x:v>24</x:v>
      </x:c>
      <x:c r="H4172" s="19" t="n">
        <x:v>1.5</x:v>
      </x:c>
      <x:c r="I4172" s="18" t="n">
        <x:f>ROUND(MIN(Model_Config_v3!$B$6,MAX(Q4172,R4172,S4172*Model_Config_v3!$B$4+T4172*Model_Config_v3!$B$5)),0)</x:f>
        <x:v>611</x:v>
      </x:c>
      <x:c r="J4172" s="18" t="n">
        <x:f>MIN(Model_Config_v3!$B$6,I4172+Model_Config_v3!$B$7)</x:f>
        <x:v>631</x:v>
      </x:c>
      <x:c r="K4172" s="20" t="n">
        <x:v>40.4</x:v>
      </x:c>
      <x:c r="L4172" t="str">
        <x:v>RELATIF LONGGAR</x:v>
      </x:c>
      <x:c r="M4172" t="str">
        <x:v>SEDANG</x:v>
      </x:c>
      <x:c r="N4172" t="str">
        <x:v>REGULER</x:v>
      </x:c>
      <x:c r="O4172" t="str">
        <x:v>CAMPURAN</x:v>
      </x:c>
      <x:c r="P4172" t="str">
        <x:v>UMUM</x:v>
      </x:c>
      <x:c r="Q4172" s="18" t="n">
        <x:v>0</x:v>
      </x:c>
      <x:c r="R4172" s="18" t="n">
        <x:v>0</x:v>
      </x:c>
      <x:c r="S4172" s="18" t="n">
        <x:v>539.370038496125</x:v>
      </x:c>
      <x:c r="T4172" s="18" t="n">
        <x:v>641</x:v>
      </x:c>
      <x:c r="U4172" s="18" t="n">
        <x:v>539.370038496125</x:v>
      </x:c>
      <x:c r="V4172" s="20" t="n">
        <x:v>8.8</x:v>
      </x:c>
      <x:c r="W4172" s="20" t="n">
        <x:v>9.9</x:v>
      </x:c>
      <x:c r="X4172" s="20" t="n">
        <x:v>3.3</x:v>
      </x:c>
      <x:c r="Y4172" t="str">
        <x:v>Basis arsip 2025/2024</x:v>
      </x:c>
      <x:c r="Z4172" t="str">
        <x:v>https://snpmb.id/utbk-snbt/daya-tampung-snbt</x:v>
      </x:c>
      <x:c r="AA4172" t="str">
        <x:v>Tidak Ada</x:v>
      </x:c>
      <x:c r="AB4172" t="str">
        <x:v>Campus=55; Ratio=10.4; Prodi=40; RelDemand=18.6; Capacity=86.7</x:v>
      </x:c>
    </x:row>
    <x:row r="4173">
      <x:c r="A4173" t="n">
        <x:v>4170</x:v>
      </x:c>
      <x:c r="B4173" t="str">
        <x:v>PTN Vokasi</x:v>
      </x:c>
      <x:c r="C4173" t="str">
        <x:v>POLITEKNIK NEGERI BANDUNG</x:v>
      </x:c>
      <x:c r="D4173" t="str">
        <x:v>TEKNIK PERANCANGAN JALAN DAN JEMBATAN</x:v>
      </x:c>
      <x:c r="E4173" t="str">
        <x:v>Sarjana Terapan</x:v>
      </x:c>
      <x:c r="F4173" s="18" t="n">
        <x:v>32</x:v>
      </x:c>
      <x:c r="G4173" s="18" t="n">
        <x:v>840</x:v>
      </x:c>
      <x:c r="H4173" s="19" t="n">
        <x:v>26.25</x:v>
      </x:c>
      <x:c r="I4173" s="18" t="n">
        <x:f>ROUND(MIN(Model_Config_v3!$B$6,MAX(Q4173,R4173,S4173*Model_Config_v3!$B$4+T4173*Model_Config_v3!$B$5)),0)</x:f>
        <x:v>684</x:v>
      </x:c>
      <x:c r="J4173" s="18" t="n">
        <x:f>MIN(Model_Config_v3!$B$6,I4173+Model_Config_v3!$B$7)</x:f>
        <x:v>704</x:v>
      </x:c>
      <x:c r="K4173" s="20" t="n">
        <x:v>63.8</x:v>
      </x:c>
      <x:c r="L4173" t="str">
        <x:v>KETAT</x:v>
      </x:c>
      <x:c r="M4173" t="str">
        <x:v>SEDANG+</x:v>
      </x:c>
      <x:c r="N4173" t="str">
        <x:v>REGULER</x:v>
      </x:c>
      <x:c r="O4173" t="str">
        <x:v>SAINTEK</x:v>
      </x:c>
      <x:c r="P4173" t="str">
        <x:v>TEKNIK/ARSITEKTUR/STATISTIKA/AKTUARIA</x:v>
      </x:c>
      <x:c r="Q4173" s="18" t="n">
        <x:v>0</x:v>
      </x:c>
      <x:c r="R4173" s="18" t="n">
        <x:v>0</x:v>
      </x:c>
      <x:c r="S4173" s="18" t="n">
        <x:v>676.1042238516173</x:v>
      </x:c>
      <x:c r="T4173" s="18" t="n">
        <x:v>688</x:v>
      </x:c>
      <x:c r="U4173" s="18" t="n">
        <x:v>686.1042238516173</x:v>
      </x:c>
      <x:c r="V4173" s="20" t="n">
        <x:v>12</x:v>
      </x:c>
      <x:c r="W4173" s="20" t="n">
        <x:v>5</x:v>
      </x:c>
      <x:c r="X4173" s="20" t="n">
        <x:v>3</x:v>
      </x:c>
      <x:c r="Y4173" t="str">
        <x:v>Basis arsip 2025/2024</x:v>
      </x:c>
      <x:c r="Z4173" t="str">
        <x:v>https://snpmb.id/utbk-snbt/daya-tampung-snbt</x:v>
      </x:c>
      <x:c r="AA4173" t="str">
        <x:v>Tidak Ada</x:v>
      </x:c>
      <x:c r="AB4173" t="str">
        <x:v>Campus=55; Ratio=83.5; Prodi=60; RelDemand=43.3; Capacity=73.3</x:v>
      </x:c>
    </x:row>
    <x:row r="4174">
      <x:c r="A4174" t="n">
        <x:v>4171</x:v>
      </x:c>
      <x:c r="B4174" t="str">
        <x:v>PTN Vokasi</x:v>
      </x:c>
      <x:c r="C4174" t="str">
        <x:v>POLITEKNIK NEGERI BANDUNG</x:v>
      </x:c>
      <x:c r="D4174" t="str">
        <x:v>TEKNIK PERAWATAN DAN PERBAIKAN GEDUNG</x:v>
      </x:c>
      <x:c r="E4174" t="str">
        <x:v>Sarjana Terapan</x:v>
      </x:c>
      <x:c r="F4174" s="18" t="n">
        <x:v>32</x:v>
      </x:c>
      <x:c r="G4174" s="18" t="n">
        <x:v>440</x:v>
      </x:c>
      <x:c r="H4174" s="19" t="n">
        <x:v>13.75</x:v>
      </x:c>
      <x:c r="I4174" s="18" t="n">
        <x:f>ROUND(MIN(Model_Config_v3!$B$6,MAX(Q4174,R4174,S4174*Model_Config_v3!$B$4+T4174*Model_Config_v3!$B$5)),0)</x:f>
        <x:v>666</x:v>
      </x:c>
      <x:c r="J4174" s="18" t="n">
        <x:f>MIN(Model_Config_v3!$B$6,I4174+Model_Config_v3!$B$7)</x:f>
        <x:v>686</x:v>
      </x:c>
      <x:c r="K4174" s="20" t="n">
        <x:v>57.6</x:v>
      </x:c>
      <x:c r="L4174" t="str">
        <x:v>KETAT</x:v>
      </x:c>
      <x:c r="M4174" t="str">
        <x:v>SEDANG+</x:v>
      </x:c>
      <x:c r="N4174" t="str">
        <x:v>REGULER</x:v>
      </x:c>
      <x:c r="O4174" t="str">
        <x:v>SAINTEK</x:v>
      </x:c>
      <x:c r="P4174" t="str">
        <x:v>TEKNIK/ARSITEKTUR/STATISTIKA/AKTUARIA</x:v>
      </x:c>
      <x:c r="Q4174" s="18" t="n">
        <x:v>0</x:v>
      </x:c>
      <x:c r="R4174" s="18" t="n">
        <x:v>0</x:v>
      </x:c>
      <x:c r="S4174" s="18" t="n">
        <x:v>645.2132967982909</x:v>
      </x:c>
      <x:c r="T4174" s="18" t="n">
        <x:v>675</x:v>
      </x:c>
      <x:c r="U4174" s="18" t="n">
        <x:v>655.2132967982909</x:v>
      </x:c>
      <x:c r="V4174" s="20" t="n">
        <x:v>12</x:v>
      </x:c>
      <x:c r="W4174" s="20" t="n">
        <x:v>5</x:v>
      </x:c>
      <x:c r="X4174" s="20" t="n">
        <x:v>3</x:v>
      </x:c>
      <x:c r="Y4174" t="str">
        <x:v>Basis arsip 2025/2024</x:v>
      </x:c>
      <x:c r="Z4174" t="str">
        <x:v>https://snpmb.id/utbk-snbt/daya-tampung-snbt</x:v>
      </x:c>
      <x:c r="AA4174" t="str">
        <x:v>Tidak Ada</x:v>
      </x:c>
      <x:c r="AB4174" t="str">
        <x:v>Campus=55; Ratio=67.0; Prodi=60; RelDemand=22.7; Capacity=73.3</x:v>
      </x:c>
    </x:row>
    <x:row r="4175">
      <x:c r="A4175" t="n">
        <x:v>4172</x:v>
      </x:c>
      <x:c r="B4175" t="str">
        <x:v>PTN Vokasi</x:v>
      </x:c>
      <x:c r="C4175" t="str">
        <x:v>POLITEKNIK NEGERI BANDUNG</x:v>
      </x:c>
      <x:c r="D4175" t="str">
        <x:v>TEKNIK PERANCANGAN DAN KONSTRUKSI MESIN</x:v>
      </x:c>
      <x:c r="E4175" t="str">
        <x:v>Sarjana Terapan</x:v>
      </x:c>
      <x:c r="F4175" s="18" t="n">
        <x:v>32</x:v>
      </x:c>
      <x:c r="G4175" s="18" t="n">
        <x:v>529</x:v>
      </x:c>
      <x:c r="H4175" s="19" t="n">
        <x:v>16.53125</x:v>
      </x:c>
      <x:c r="I4175" s="18" t="n">
        <x:f>ROUND(MIN(Model_Config_v3!$B$6,MAX(Q4175,R4175,S4175*Model_Config_v3!$B$4+T4175*Model_Config_v3!$B$5)),0)</x:f>
        <x:v>671</x:v>
      </x:c>
      <x:c r="J4175" s="18" t="n">
        <x:f>MIN(Model_Config_v3!$B$6,I4175+Model_Config_v3!$B$7)</x:f>
        <x:v>691</x:v>
      </x:c>
      <x:c r="K4175" s="20" t="n">
        <x:v>59.2</x:v>
      </x:c>
      <x:c r="L4175" t="str">
        <x:v>KETAT</x:v>
      </x:c>
      <x:c r="M4175" t="str">
        <x:v>SEDANG+</x:v>
      </x:c>
      <x:c r="N4175" t="str">
        <x:v>REGULER</x:v>
      </x:c>
      <x:c r="O4175" t="str">
        <x:v>SAINTEK</x:v>
      </x:c>
      <x:c r="P4175" t="str">
        <x:v>TEKNIK/ARSITEKTUR/STATISTIKA/AKTUARIA</x:v>
      </x:c>
      <x:c r="Q4175" s="18" t="n">
        <x:v>0</x:v>
      </x:c>
      <x:c r="R4175" s="18" t="n">
        <x:v>0</x:v>
      </x:c>
      <x:c r="S4175" s="18" t="n">
        <x:v>654.0136263086807</x:v>
      </x:c>
      <x:c r="T4175" s="18" t="n">
        <x:v>678</x:v>
      </x:c>
      <x:c r="U4175" s="18" t="n">
        <x:v>664.0136263086807</x:v>
      </x:c>
      <x:c r="V4175" s="20" t="n">
        <x:v>12</x:v>
      </x:c>
      <x:c r="W4175" s="20" t="n">
        <x:v>5</x:v>
      </x:c>
      <x:c r="X4175" s="20" t="n">
        <x:v>3</x:v>
      </x:c>
      <x:c r="Y4175" t="str">
        <x:v>Basis arsip 2025/2024</x:v>
      </x:c>
      <x:c r="Z4175" t="str">
        <x:v>https://snpmb.id/utbk-snbt/daya-tampung-snbt</x:v>
      </x:c>
      <x:c r="AA4175" t="str">
        <x:v>Tidak Ada</x:v>
      </x:c>
      <x:c r="AB4175" t="str">
        <x:v>Campus=55; Ratio=71.7; Prodi=60; RelDemand=27.3; Capacity=73.3</x:v>
      </x:c>
    </x:row>
    <x:row r="4176">
      <x:c r="A4176" t="n">
        <x:v>4173</x:v>
      </x:c>
      <x:c r="B4176" t="str">
        <x:v>PTN Vokasi</x:v>
      </x:c>
      <x:c r="C4176" t="str">
        <x:v>POLITEKNIK NEGERI BANDUNG</x:v>
      </x:c>
      <x:c r="D4176" t="str">
        <x:v>PROSES MANUFAKTUR</x:v>
      </x:c>
      <x:c r="E4176" t="str">
        <x:v>Sarjana Terapan</x:v>
      </x:c>
      <x:c r="F4176" s="18" t="n">
        <x:v>32</x:v>
      </x:c>
      <x:c r="G4176" s="18" t="n">
        <x:v>314</x:v>
      </x:c>
      <x:c r="H4176" s="19" t="n">
        <x:v>9.8125</x:v>
      </x:c>
      <x:c r="I4176" s="18" t="n">
        <x:f>ROUND(MIN(Model_Config_v3!$B$6,MAX(Q4176,R4176,S4176*Model_Config_v3!$B$4+T4176*Model_Config_v3!$B$5)),0)</x:f>
        <x:v>652</x:v>
      </x:c>
      <x:c r="J4176" s="18" t="n">
        <x:f>MIN(Model_Config_v3!$B$6,I4176+Model_Config_v3!$B$7)</x:f>
        <x:v>672</x:v>
      </x:c>
      <x:c r="K4176" s="20" t="n">
        <x:v>50.8</x:v>
      </x:c>
      <x:c r="L4176" t="str">
        <x:v>MENENGAH</x:v>
      </x:c>
      <x:c r="M4176" t="str">
        <x:v>SEDANG</x:v>
      </x:c>
      <x:c r="N4176" t="str">
        <x:v>REGULER</x:v>
      </x:c>
      <x:c r="O4176" t="str">
        <x:v>CAMPURAN</x:v>
      </x:c>
      <x:c r="P4176" t="str">
        <x:v>UMUM</x:v>
      </x:c>
      <x:c r="Q4176" s="18" t="n">
        <x:v>0</x:v>
      </x:c>
      <x:c r="R4176" s="18" t="n">
        <x:v>0</x:v>
      </x:c>
      <x:c r="S4176" s="18" t="n">
        <x:v>629.095763672864</x:v>
      </x:c>
      <x:c r="T4176" s="18" t="n">
        <x:v>662</x:v>
      </x:c>
      <x:c r="U4176" s="18" t="n">
        <x:v>629.095763672864</x:v>
      </x:c>
      <x:c r="V4176" s="20" t="n">
        <x:v>8.8</x:v>
      </x:c>
      <x:c r="W4176" s="20" t="n">
        <x:v>9.9</x:v>
      </x:c>
      <x:c r="X4176" s="20" t="n">
        <x:v>3.3</x:v>
      </x:c>
      <x:c r="Y4176" t="str">
        <x:v>Basis arsip 2025/2024</x:v>
      </x:c>
      <x:c r="Z4176" t="str">
        <x:v>https://snpmb.id/utbk-snbt/daya-tampung-snbt</x:v>
      </x:c>
      <x:c r="AA4176" t="str">
        <x:v>Tidak Ada</x:v>
      </x:c>
      <x:c r="AB4176" t="str">
        <x:v>Campus=55; Ratio=58.4; Prodi=40; RelDemand=16.2; Capacity=73.3</x:v>
      </x:c>
    </x:row>
    <x:row r="4177">
      <x:c r="A4177" t="n">
        <x:v>4174</x:v>
      </x:c>
      <x:c r="B4177" t="str">
        <x:v>PTN Vokasi</x:v>
      </x:c>
      <x:c r="C4177" t="str">
        <x:v>POLITEKNIK NEGERI BANDUNG</x:v>
      </x:c>
      <x:c r="D4177" t="str">
        <x:v>TEKNIK PENDINGIN DAN TATA UDARA</x:v>
      </x:c>
      <x:c r="E4177" t="str">
        <x:v>Sarjana Terapan</x:v>
      </x:c>
      <x:c r="F4177" s="18" t="n">
        <x:v>32</x:v>
      </x:c>
      <x:c r="G4177" s="18" t="n">
        <x:v>176</x:v>
      </x:c>
      <x:c r="H4177" s="19" t="n">
        <x:v>5.5</x:v>
      </x:c>
      <x:c r="I4177" s="18" t="n">
        <x:f>ROUND(MIN(Model_Config_v3!$B$6,MAX(Q4177,R4177,S4177*Model_Config_v3!$B$4+T4177*Model_Config_v3!$B$5)),0)</x:f>
        <x:v>643</x:v>
      </x:c>
      <x:c r="J4177" s="18" t="n">
        <x:f>MIN(Model_Config_v3!$B$6,I4177+Model_Config_v3!$B$7)</x:f>
        <x:v>663</x:v>
      </x:c>
      <x:c r="K4177" s="20" t="n">
        <x:v>50.4</x:v>
      </x:c>
      <x:c r="L4177" t="str">
        <x:v>MENENGAH</x:v>
      </x:c>
      <x:c r="M4177" t="str">
        <x:v>SEDANG+</x:v>
      </x:c>
      <x:c r="N4177" t="str">
        <x:v>REGULER</x:v>
      </x:c>
      <x:c r="O4177" t="str">
        <x:v>SAINTEK</x:v>
      </x:c>
      <x:c r="P4177" t="str">
        <x:v>TEKNIK/ARSITEKTUR/STATISTIKA/AKTUARIA</x:v>
      </x:c>
      <x:c r="Q4177" s="18" t="n">
        <x:v>0</x:v>
      </x:c>
      <x:c r="R4177" s="18" t="n">
        <x:v>0</x:v>
      </x:c>
      <x:c r="S4177" s="18" t="n">
        <x:v>601.4398958443668</x:v>
      </x:c>
      <x:c r="T4177" s="18" t="n">
        <x:v>661</x:v>
      </x:c>
      <x:c r="U4177" s="18" t="n">
        <x:v>611.4398958443668</x:v>
      </x:c>
      <x:c r="V4177" s="20" t="n">
        <x:v>12</x:v>
      </x:c>
      <x:c r="W4177" s="20" t="n">
        <x:v>5</x:v>
      </x:c>
      <x:c r="X4177" s="20" t="n">
        <x:v>3</x:v>
      </x:c>
      <x:c r="Y4177" t="str">
        <x:v>Basis arsip 2025/2024</x:v>
      </x:c>
      <x:c r="Z4177" t="str">
        <x:v>https://snpmb.id/utbk-snbt/daya-tampung-snbt</x:v>
      </x:c>
      <x:c r="AA4177" t="str">
        <x:v>Tidak Ada</x:v>
      </x:c>
      <x:c r="AB4177" t="str">
        <x:v>Campus=55; Ratio=43.6; Prodi=60; RelDemand=9.1; Capacity=73.3</x:v>
      </x:c>
    </x:row>
    <x:row r="4178">
      <x:c r="A4178" t="n">
        <x:v>4175</x:v>
      </x:c>
      <x:c r="B4178" t="str">
        <x:v>PTN Vokasi</x:v>
      </x:c>
      <x:c r="C4178" t="str">
        <x:v>POLITEKNIK NEGERI BANDUNG</x:v>
      </x:c>
      <x:c r="D4178" t="str">
        <x:v>TEKNOLOGI PEMBANGKIT TENAGA LISTRIK</x:v>
      </x:c>
      <x:c r="E4178" t="str">
        <x:v>Sarjana Terapan</x:v>
      </x:c>
      <x:c r="F4178" s="18" t="n">
        <x:v>48</x:v>
      </x:c>
      <x:c r="G4178" s="18" t="n">
        <x:v>380</x:v>
      </x:c>
      <x:c r="H4178" s="19" t="n">
        <x:v>7.916666666666667</x:v>
      </x:c>
      <x:c r="I4178" s="18" t="n">
        <x:f>ROUND(MIN(Model_Config_v3!$B$6,MAX(Q4178,R4178,S4178*Model_Config_v3!$B$4+T4178*Model_Config_v3!$B$5)),0)</x:f>
        <x:v>645</x:v>
      </x:c>
      <x:c r="J4178" s="18" t="n">
        <x:f>MIN(Model_Config_v3!$B$6,I4178+Model_Config_v3!$B$7)</x:f>
        <x:v>665</x:v>
      </x:c>
      <x:c r="K4178" s="20" t="n">
        <x:v>47.8</x:v>
      </x:c>
      <x:c r="L4178" t="str">
        <x:v>MENENGAH</x:v>
      </x:c>
      <x:c r="M4178" t="str">
        <x:v>SEDANG</x:v>
      </x:c>
      <x:c r="N4178" t="str">
        <x:v>REGULER</x:v>
      </x:c>
      <x:c r="O4178" t="str">
        <x:v>SAINTEK</x:v>
      </x:c>
      <x:c r="P4178" t="str">
        <x:v>UMUM</x:v>
      </x:c>
      <x:c r="Q4178" s="18" t="n">
        <x:v>0</x:v>
      </x:c>
      <x:c r="R4178" s="18" t="n">
        <x:v>0</x:v>
      </x:c>
      <x:c r="S4178" s="18" t="n">
        <x:v>618.8396595165345</x:v>
      </x:c>
      <x:c r="T4178" s="18" t="n">
        <x:v>656</x:v>
      </x:c>
      <x:c r="U4178" s="18" t="n">
        <x:v>618.8396595165345</x:v>
      </x:c>
      <x:c r="V4178" s="20" t="n">
        <x:v>12</x:v>
      </x:c>
      <x:c r="W4178" s="20" t="n">
        <x:v>5</x:v>
      </x:c>
      <x:c r="X4178" s="20" t="n">
        <x:v>3</x:v>
      </x:c>
      <x:c r="Y4178" t="str">
        <x:v>Basis arsip 2025/2024</x:v>
      </x:c>
      <x:c r="Z4178" t="str">
        <x:v>https://snpmb.id/utbk-snbt/daya-tampung-snbt</x:v>
      </x:c>
      <x:c r="AA4178" t="str">
        <x:v>Tidak Ada</x:v>
      </x:c>
      <x:c r="AB4178" t="str">
        <x:v>Campus=55; Ratio=52.9; Prodi=40; RelDemand=13.1; Capacity=60.0</x:v>
      </x:c>
    </x:row>
    <x:row r="4179">
      <x:c r="A4179" t="n">
        <x:v>4176</x:v>
      </x:c>
      <x:c r="B4179" t="str">
        <x:v>PTN Vokasi</x:v>
      </x:c>
      <x:c r="C4179" t="str">
        <x:v>POLITEKNIK NEGERI BANDUNG</x:v>
      </x:c>
      <x:c r="D4179" t="str">
        <x:v>TEKNIK KONSERVASI ENERGI</x:v>
      </x:c>
      <x:c r="E4179" t="str">
        <x:v>Sarjana Terapan</x:v>
      </x:c>
      <x:c r="F4179" s="18" t="n">
        <x:v>32</x:v>
      </x:c>
      <x:c r="G4179" s="18" t="n">
        <x:v>370</x:v>
      </x:c>
      <x:c r="H4179" s="19" t="n">
        <x:v>11.5625</x:v>
      </x:c>
      <x:c r="I4179" s="18" t="n">
        <x:f>ROUND(MIN(Model_Config_v3!$B$6,MAX(Q4179,R4179,S4179*Model_Config_v3!$B$4+T4179*Model_Config_v3!$B$5)),0)</x:f>
        <x:v>661</x:v>
      </x:c>
      <x:c r="J4179" s="18" t="n">
        <x:f>MIN(Model_Config_v3!$B$6,I4179+Model_Config_v3!$B$7)</x:f>
        <x:v>681</x:v>
      </x:c>
      <x:c r="K4179" s="20" t="n">
        <x:v>56.1</x:v>
      </x:c>
      <x:c r="L4179" t="str">
        <x:v>KETAT</x:v>
      </x:c>
      <x:c r="M4179" t="str">
        <x:v>SEDANG+</x:v>
      </x:c>
      <x:c r="N4179" t="str">
        <x:v>REGULER</x:v>
      </x:c>
      <x:c r="O4179" t="str">
        <x:v>SAINTEK</x:v>
      </x:c>
      <x:c r="P4179" t="str">
        <x:v>TEKNIK/ARSITEKTUR/STATISTIKA/AKTUARIA</x:v>
      </x:c>
      <x:c r="Q4179" s="18" t="n">
        <x:v>0</x:v>
      </x:c>
      <x:c r="R4179" s="18" t="n">
        <x:v>0</x:v>
      </x:c>
      <x:c r="S4179" s="18" t="n">
        <x:v>636.9356920321798</x:v>
      </x:c>
      <x:c r="T4179" s="18" t="n">
        <x:v>672</x:v>
      </x:c>
      <x:c r="U4179" s="18" t="n">
        <x:v>646.9356920321798</x:v>
      </x:c>
      <x:c r="V4179" s="20" t="n">
        <x:v>12</x:v>
      </x:c>
      <x:c r="W4179" s="20" t="n">
        <x:v>5</x:v>
      </x:c>
      <x:c r="X4179" s="20" t="n">
        <x:v>3</x:v>
      </x:c>
      <x:c r="Y4179" t="str">
        <x:v>Basis arsip 2025/2024</x:v>
      </x:c>
      <x:c r="Z4179" t="str">
        <x:v>https://snpmb.id/utbk-snbt/daya-tampung-snbt</x:v>
      </x:c>
      <x:c r="AA4179" t="str">
        <x:v>Tidak Ada</x:v>
      </x:c>
      <x:c r="AB4179" t="str">
        <x:v>Campus=55; Ratio=62.6; Prodi=60; RelDemand=19.1; Capacity=73.3</x:v>
      </x:c>
    </x:row>
    <x:row r="4180">
      <x:c r="A4180" t="n">
        <x:v>4177</x:v>
      </x:c>
      <x:c r="B4180" t="str">
        <x:v>PTN Vokasi</x:v>
      </x:c>
      <x:c r="C4180" t="str">
        <x:v>POLITEKNIK NEGERI BANDUNG</x:v>
      </x:c>
      <x:c r="D4180" t="str">
        <x:v>TEKNIK ELEKTRONIKA</x:v>
      </x:c>
      <x:c r="E4180" t="str">
        <x:v>Sarjana Terapan</x:v>
      </x:c>
      <x:c r="F4180" s="18" t="n">
        <x:v>48</x:v>
      </x:c>
      <x:c r="G4180" s="18" t="n">
        <x:v>727</x:v>
      </x:c>
      <x:c r="H4180" s="19" t="n">
        <x:v>15.145833333333334</x:v>
      </x:c>
      <x:c r="I4180" s="18" t="n">
        <x:f>ROUND(MIN(Model_Config_v3!$B$6,MAX(Q4180,R4180,S4180*Model_Config_v3!$B$4+T4180*Model_Config_v3!$B$5)),0)</x:f>
        <x:v>667</x:v>
      </x:c>
      <x:c r="J4180" s="18" t="n">
        <x:f>MIN(Model_Config_v3!$B$6,I4180+Model_Config_v3!$B$7)</x:f>
        <x:v>687</x:v>
      </x:c>
      <x:c r="K4180" s="20" t="n">
        <x:v>57.1</x:v>
      </x:c>
      <x:c r="L4180" t="str">
        <x:v>KETAT</x:v>
      </x:c>
      <x:c r="M4180" t="str">
        <x:v>SEDANG+</x:v>
      </x:c>
      <x:c r="N4180" t="str">
        <x:v>REGULER</x:v>
      </x:c>
      <x:c r="O4180" t="str">
        <x:v>SAINTEK</x:v>
      </x:c>
      <x:c r="P4180" t="str">
        <x:v>TEKNIK/ARSITEKTUR/STATISTIKA/AKTUARIA</x:v>
      </x:c>
      <x:c r="Q4180" s="18" t="n">
        <x:v>0</x:v>
      </x:c>
      <x:c r="R4180" s="18" t="n">
        <x:v>0</x:v>
      </x:c>
      <x:c r="S4180" s="18" t="n">
        <x:v>649.8322490831796</x:v>
      </x:c>
      <x:c r="T4180" s="18" t="n">
        <x:v>674</x:v>
      </x:c>
      <x:c r="U4180" s="18" t="n">
        <x:v>659.8322490831796</x:v>
      </x:c>
      <x:c r="V4180" s="20" t="n">
        <x:v>12</x:v>
      </x:c>
      <x:c r="W4180" s="20" t="n">
        <x:v>5</x:v>
      </x:c>
      <x:c r="X4180" s="20" t="n">
        <x:v>3</x:v>
      </x:c>
      <x:c r="Y4180" t="str">
        <x:v>Basis arsip 2025/2024</x:v>
      </x:c>
      <x:c r="Z4180" t="str">
        <x:v>https://snpmb.id/utbk-snbt/daya-tampung-snbt</x:v>
      </x:c>
      <x:c r="AA4180" t="str">
        <x:v>Tidak Ada</x:v>
      </x:c>
      <x:c r="AB4180" t="str">
        <x:v>Campus=55; Ratio=69.5; Prodi=60; RelDemand=25.0; Capacity=60.0</x:v>
      </x:c>
    </x:row>
    <x:row r="4181">
      <x:c r="A4181" t="n">
        <x:v>4178</x:v>
      </x:c>
      <x:c r="B4181" t="str">
        <x:v>PTN Vokasi</x:v>
      </x:c>
      <x:c r="C4181" t="str">
        <x:v>POLITEKNIK NEGERI BANDUNG</x:v>
      </x:c>
      <x:c r="D4181" t="str">
        <x:v>TEKNIK OTOMASI INDUSTRI</x:v>
      </x:c>
      <x:c r="E4181" t="str">
        <x:v>Sarjana Terapan</x:v>
      </x:c>
      <x:c r="F4181" s="18" t="n">
        <x:v>47</x:v>
      </x:c>
      <x:c r="G4181" s="18" t="n">
        <x:v>525</x:v>
      </x:c>
      <x:c r="H4181" s="19" t="n">
        <x:v>11.170212765957446</x:v>
      </x:c>
      <x:c r="I4181" s="18" t="n">
        <x:f>ROUND(MIN(Model_Config_v3!$B$6,MAX(Q4181,R4181,S4181*Model_Config_v3!$B$4+T4181*Model_Config_v3!$B$5)),0)</x:f>
        <x:v>659</x:v>
      </x:c>
      <x:c r="J4181" s="18" t="n">
        <x:f>MIN(Model_Config_v3!$B$6,I4181+Model_Config_v3!$B$7)</x:f>
        <x:v>679</x:v>
      </x:c>
      <x:c r="K4181" s="20" t="n">
        <x:v>54.6</x:v>
      </x:c>
      <x:c r="L4181" t="str">
        <x:v>MENENGAH</x:v>
      </x:c>
      <x:c r="M4181" t="str">
        <x:v>SEDANG+</x:v>
      </x:c>
      <x:c r="N4181" t="str">
        <x:v>REGULER</x:v>
      </x:c>
      <x:c r="O4181" t="str">
        <x:v>SAINTEK</x:v>
      </x:c>
      <x:c r="P4181" t="str">
        <x:v>TEKNIK/ARSITEKTUR/STATISTIKA/AKTUARIA</x:v>
      </x:c>
      <x:c r="Q4181" s="18" t="n">
        <x:v>0</x:v>
      </x:c>
      <x:c r="R4181" s="18" t="n">
        <x:v>0</x:v>
      </x:c>
      <x:c r="S4181" s="18" t="n">
        <x:v>635.2867590017263</x:v>
      </x:c>
      <x:c r="T4181" s="18" t="n">
        <x:v>669</x:v>
      </x:c>
      <x:c r="U4181" s="18" t="n">
        <x:v>645.2867590017263</x:v>
      </x:c>
      <x:c r="V4181" s="20" t="n">
        <x:v>12</x:v>
      </x:c>
      <x:c r="W4181" s="20" t="n">
        <x:v>5</x:v>
      </x:c>
      <x:c r="X4181" s="20" t="n">
        <x:v>3</x:v>
      </x:c>
      <x:c r="Y4181" t="str">
        <x:v>Basis arsip 2025/2024</x:v>
      </x:c>
      <x:c r="Z4181" t="str">
        <x:v>https://snpmb.id/utbk-snbt/daya-tampung-snbt</x:v>
      </x:c>
      <x:c r="AA4181" t="str">
        <x:v>Tidak Ada</x:v>
      </x:c>
      <x:c r="AB4181" t="str">
        <x:v>Campus=55; Ratio=61.7; Prodi=60; RelDemand=18.4; Capacity=60.8</x:v>
      </x:c>
    </x:row>
    <x:row r="4182">
      <x:c r="A4182" t="n">
        <x:v>4179</x:v>
      </x:c>
      <x:c r="B4182" t="str">
        <x:v>PTN Vokasi</x:v>
      </x:c>
      <x:c r="C4182" t="str">
        <x:v>POLITEKNIK NEGERI BANDUNG</x:v>
      </x:c>
      <x:c r="D4182" t="str">
        <x:v>TEKNIK KIMIA PRODUKSI BERSIH</x:v>
      </x:c>
      <x:c r="E4182" t="str">
        <x:v>Sarjana Terapan</x:v>
      </x:c>
      <x:c r="F4182" s="18" t="n">
        <x:v>48</x:v>
      </x:c>
      <x:c r="G4182" s="18" t="n">
        <x:v>686</x:v>
      </x:c>
      <x:c r="H4182" s="19" t="n">
        <x:v>14.291666666666666</x:v>
      </x:c>
      <x:c r="I4182" s="18" t="n">
        <x:f>ROUND(MIN(Model_Config_v3!$B$6,MAX(Q4182,R4182,S4182*Model_Config_v3!$B$4+T4182*Model_Config_v3!$B$5)),0)</x:f>
        <x:v>665</x:v>
      </x:c>
      <x:c r="J4182" s="18" t="n">
        <x:f>MIN(Model_Config_v3!$B$6,I4182+Model_Config_v3!$B$7)</x:f>
        <x:v>685</x:v>
      </x:c>
      <x:c r="K4182" s="20" t="n">
        <x:v>56.6</x:v>
      </x:c>
      <x:c r="L4182" t="str">
        <x:v>KETAT</x:v>
      </x:c>
      <x:c r="M4182" t="str">
        <x:v>SEDANG+</x:v>
      </x:c>
      <x:c r="N4182" t="str">
        <x:v>REGULER</x:v>
      </x:c>
      <x:c r="O4182" t="str">
        <x:v>SAINTEK</x:v>
      </x:c>
      <x:c r="P4182" t="str">
        <x:v>TEKNIK/ARSITEKTUR/STATISTIKA/AKTUARIA</x:v>
      </x:c>
      <x:c r="Q4182" s="18" t="n">
        <x:v>0</x:v>
      </x:c>
      <x:c r="R4182" s="18" t="n">
        <x:v>0</x:v>
      </x:c>
      <x:c r="S4182" s="18" t="n">
        <x:v>647.0591166164281</x:v>
      </x:c>
      <x:c r="T4182" s="18" t="n">
        <x:v>673</x:v>
      </x:c>
      <x:c r="U4182" s="18" t="n">
        <x:v>657.0591166164281</x:v>
      </x:c>
      <x:c r="V4182" s="20" t="n">
        <x:v>12</x:v>
      </x:c>
      <x:c r="W4182" s="20" t="n">
        <x:v>5</x:v>
      </x:c>
      <x:c r="X4182" s="20" t="n">
        <x:v>3</x:v>
      </x:c>
      <x:c r="Y4182" t="str">
        <x:v>Basis arsip 2025/2024</x:v>
      </x:c>
      <x:c r="Z4182" t="str">
        <x:v>https://snpmb.id/utbk-snbt/daya-tampung-snbt</x:v>
      </x:c>
      <x:c r="AA4182" t="str">
        <x:v>Tidak Ada</x:v>
      </x:c>
      <x:c r="AB4182" t="str">
        <x:v>Campus=55; Ratio=68.0; Prodi=60; RelDemand=23.6; Capacity=60.0</x:v>
      </x:c>
    </x:row>
    <x:row r="4183">
      <x:c r="A4183" t="n">
        <x:v>4180</x:v>
      </x:c>
      <x:c r="B4183" t="str">
        <x:v>PTN Vokasi</x:v>
      </x:c>
      <x:c r="C4183" t="str">
        <x:v>POLITEKNIK NEGERI BANDUNG</x:v>
      </x:c>
      <x:c r="D4183" t="str">
        <x:v>TEKNIK INFORMATIKA</x:v>
      </x:c>
      <x:c r="E4183" t="str">
        <x:v>Sarjana Terapan</x:v>
      </x:c>
      <x:c r="F4183" s="18" t="n">
        <x:v>64</x:v>
      </x:c>
      <x:c r="G4183" s="18" t="n">
        <x:v>3090</x:v>
      </x:c>
      <x:c r="H4183" s="19" t="n">
        <x:v>48.28125</x:v>
      </x:c>
      <x:c r="I4183" s="18" t="n">
        <x:f>ROUND(MIN(Model_Config_v3!$B$6,MAX(Q4183,R4183,S4183*Model_Config_v3!$B$4+T4183*Model_Config_v3!$B$5)),0)</x:f>
        <x:v>706</x:v>
      </x:c>
      <x:c r="J4183" s="18" t="n">
        <x:f>MIN(Model_Config_v3!$B$6,I4183+Model_Config_v3!$B$7)</x:f>
        <x:v>726</x:v>
      </x:c>
      <x:c r="K4183" s="20" t="n">
        <x:v>73.7</x:v>
      </x:c>
      <x:c r="L4183" t="str">
        <x:v>SANGAT KETAT</x:v>
      </x:c>
      <x:c r="M4183" t="str">
        <x:v>SEDANG+</x:v>
      </x:c>
      <x:c r="N4183" t="str">
        <x:v>REGULER</x:v>
      </x:c>
      <x:c r="O4183" t="str">
        <x:v>SAINTEK</x:v>
      </x:c>
      <x:c r="P4183" t="str">
        <x:v>KOMPUTER/INFORMATIKA</x:v>
      </x:c>
      <x:c r="Q4183" s="18" t="n">
        <x:v>0</x:v>
      </x:c>
      <x:c r="R4183" s="18" t="n">
        <x:v>0</x:v>
      </x:c>
      <x:c r="S4183" s="18" t="n">
        <x:v>705.2156355985042</x:v>
      </x:c>
      <x:c r="T4183" s="18" t="n">
        <x:v>707</x:v>
      </x:c>
      <x:c r="U4183" s="18" t="n">
        <x:v>730.2156355985042</x:v>
      </x:c>
      <x:c r="V4183" s="20" t="n">
        <x:v>12</x:v>
      </x:c>
      <x:c r="W4183" s="20" t="n">
        <x:v>5</x:v>
      </x:c>
      <x:c r="X4183" s="20" t="n">
        <x:v>3</x:v>
      </x:c>
      <x:c r="Y4183" t="str">
        <x:v>Basis arsip 2025/2024</x:v>
      </x:c>
      <x:c r="Z4183" t="str">
        <x:v>https://snpmb.id/utbk-snbt/daya-tampung-snbt</x:v>
      </x:c>
      <x:c r="AA4183" t="str">
        <x:v>Tidak Ada</x:v>
      </x:c>
      <x:c r="AB4183" t="str">
        <x:v>Campus=55; Ratio=99.1; Prodi=85; RelDemand=79.6; Capacity=46.7</x:v>
      </x:c>
    </x:row>
    <x:row r="4184">
      <x:c r="A4184" t="n">
        <x:v>4181</x:v>
      </x:c>
      <x:c r="B4184" t="str">
        <x:v>PTN Vokasi</x:v>
      </x:c>
      <x:c r="C4184" t="str">
        <x:v>POLITEKNIK NEGERI BANDUNG</x:v>
      </x:c>
      <x:c r="D4184" t="str">
        <x:v>TEKNIK TELEKOMUNIKASI NIRKABEL</x:v>
      </x:c>
      <x:c r="E4184" t="str">
        <x:v>Sarjana Terapan</x:v>
      </x:c>
      <x:c r="F4184" s="18" t="n">
        <x:v>48</x:v>
      </x:c>
      <x:c r="G4184" s="18" t="n">
        <x:v>317</x:v>
      </x:c>
      <x:c r="H4184" s="19" t="n">
        <x:v>6.604166666666667</x:v>
      </x:c>
      <x:c r="I4184" s="18" t="n">
        <x:f>ROUND(MIN(Model_Config_v3!$B$6,MAX(Q4184,R4184,S4184*Model_Config_v3!$B$4+T4184*Model_Config_v3!$B$5)),0)</x:f>
        <x:v>646</x:v>
      </x:c>
      <x:c r="J4184" s="18" t="n">
        <x:f>MIN(Model_Config_v3!$B$6,I4184+Model_Config_v3!$B$7)</x:f>
        <x:v>666</x:v>
      </x:c>
      <x:c r="K4184" s="20" t="n">
        <x:v>50.4</x:v>
      </x:c>
      <x:c r="L4184" t="str">
        <x:v>MENENGAH</x:v>
      </x:c>
      <x:c r="M4184" t="str">
        <x:v>SEDANG+</x:v>
      </x:c>
      <x:c r="N4184" t="str">
        <x:v>REGULER</x:v>
      </x:c>
      <x:c r="O4184" t="str">
        <x:v>SAINTEK</x:v>
      </x:c>
      <x:c r="P4184" t="str">
        <x:v>TEKNIK/ARSITEKTUR/STATISTIKA/AKTUARIA</x:v>
      </x:c>
      <x:c r="Q4184" s="18" t="n">
        <x:v>0</x:v>
      </x:c>
      <x:c r="R4184" s="18" t="n">
        <x:v>0</x:v>
      </x:c>
      <x:c r="S4184" s="18" t="n">
        <x:v>610.1799827326381</x:v>
      </x:c>
      <x:c r="T4184" s="18" t="n">
        <x:v>661</x:v>
      </x:c>
      <x:c r="U4184" s="18" t="n">
        <x:v>620.1799827326381</x:v>
      </x:c>
      <x:c r="V4184" s="20" t="n">
        <x:v>12</x:v>
      </x:c>
      <x:c r="W4184" s="20" t="n">
        <x:v>5</x:v>
      </x:c>
      <x:c r="X4184" s="20" t="n">
        <x:v>3</x:v>
      </x:c>
      <x:c r="Y4184" t="str">
        <x:v>Basis arsip 2025/2024</x:v>
      </x:c>
      <x:c r="Z4184" t="str">
        <x:v>https://snpmb.id/utbk-snbt/daya-tampung-snbt</x:v>
      </x:c>
      <x:c r="AA4184" t="str">
        <x:v>Tidak Ada</x:v>
      </x:c>
      <x:c r="AB4184" t="str">
        <x:v>Campus=55; Ratio=48.3; Prodi=60; RelDemand=10.9; Capacity=60.0</x:v>
      </x:c>
    </x:row>
    <x:row r="4185">
      <x:c r="A4185" t="n">
        <x:v>4182</x:v>
      </x:c>
      <x:c r="B4185" t="str">
        <x:v>PTN Vokasi</x:v>
      </x:c>
      <x:c r="C4185" t="str">
        <x:v>POLITEKNIK NEGERI BANDUNG</x:v>
      </x:c>
      <x:c r="D4185" t="str">
        <x:v>KEUANGAN SYARIAH</x:v>
      </x:c>
      <x:c r="E4185" t="str">
        <x:v>Sarjana Terapan</x:v>
      </x:c>
      <x:c r="F4185" s="18" t="n">
        <x:v>48</x:v>
      </x:c>
      <x:c r="G4185" s="18" t="n">
        <x:v>665</x:v>
      </x:c>
      <x:c r="H4185" s="19" t="n">
        <x:v>13.854166666666666</x:v>
      </x:c>
      <x:c r="I4185" s="18" t="n">
        <x:f>ROUND(MIN(Model_Config_v3!$B$6,MAX(Q4185,R4185,S4185*Model_Config_v3!$B$4+T4185*Model_Config_v3!$B$5)),0)</x:f>
        <x:v>659</x:v>
      </x:c>
      <x:c r="J4185" s="18" t="n">
        <x:f>MIN(Model_Config_v3!$B$6,I4185+Model_Config_v3!$B$7)</x:f>
        <x:v>679</x:v>
      </x:c>
      <x:c r="K4185" s="20" t="n">
        <x:v>52.3</x:v>
      </x:c>
      <x:c r="L4185" t="str">
        <x:v>MENENGAH</x:v>
      </x:c>
      <x:c r="M4185" t="str">
        <x:v>SEDANG</x:v>
      </x:c>
      <x:c r="N4185" t="str">
        <x:v>REGULER</x:v>
      </x:c>
      <x:c r="O4185" t="str">
        <x:v>CAMPURAN</x:v>
      </x:c>
      <x:c r="P4185" t="str">
        <x:v>UMUM</x:v>
      </x:c>
      <x:c r="Q4185" s="18" t="n">
        <x:v>0</x:v>
      </x:c>
      <x:c r="R4185" s="18" t="n">
        <x:v>0</x:v>
      </x:c>
      <x:c r="S4185" s="18" t="n">
        <x:v>645.5738448720269</x:v>
      </x:c>
      <x:c r="T4185" s="18" t="n">
        <x:v>665</x:v>
      </x:c>
      <x:c r="U4185" s="18" t="n">
        <x:v>645.5738448720269</x:v>
      </x:c>
      <x:c r="V4185" s="20" t="n">
        <x:v>8.8</x:v>
      </x:c>
      <x:c r="W4185" s="20" t="n">
        <x:v>9.9</x:v>
      </x:c>
      <x:c r="X4185" s="20" t="n">
        <x:v>3.3</x:v>
      </x:c>
      <x:c r="Y4185" t="str">
        <x:v>Basis arsip 2025/2024</x:v>
      </x:c>
      <x:c r="Z4185" t="str">
        <x:v>https://snpmb.id/utbk-snbt/daya-tampung-snbt</x:v>
      </x:c>
      <x:c r="AA4185" t="str">
        <x:v>Tidak Ada</x:v>
      </x:c>
      <x:c r="AB4185" t="str">
        <x:v>Campus=55; Ratio=67.2; Prodi=40; RelDemand=22.8; Capacity=60.0</x:v>
      </x:c>
    </x:row>
    <x:row r="4186">
      <x:c r="A4186" t="n">
        <x:v>4183</x:v>
      </x:c>
      <x:c r="B4186" t="str">
        <x:v>PTN Vokasi</x:v>
      </x:c>
      <x:c r="C4186" t="str">
        <x:v>POLITEKNIK NEGERI BANDUNG</x:v>
      </x:c>
      <x:c r="D4186" t="str">
        <x:v>AKUNTANSI MANAGEMEN PEMERINTAHAN</x:v>
      </x:c>
      <x:c r="E4186" t="str">
        <x:v>Sarjana Terapan</x:v>
      </x:c>
      <x:c r="F4186" s="18" t="n">
        <x:v>32</x:v>
      </x:c>
      <x:c r="G4186" s="18" t="n">
        <x:v>794</x:v>
      </x:c>
      <x:c r="H4186" s="19" t="n">
        <x:v>24.8125</x:v>
      </x:c>
      <x:c r="I4186" s="18" t="n">
        <x:f>ROUND(MIN(Model_Config_v3!$B$6,MAX(Q4186,R4186,S4186*Model_Config_v3!$B$4+T4186*Model_Config_v3!$B$5)),0)</x:f>
        <x:v>684</x:v>
      </x:c>
      <x:c r="J4186" s="18" t="n">
        <x:f>MIN(Model_Config_v3!$B$6,I4186+Model_Config_v3!$B$7)</x:f>
        <x:v>704</x:v>
      </x:c>
      <x:c r="K4186" s="20" t="n">
        <x:v>64.2</x:v>
      </x:c>
      <x:c r="L4186" t="str">
        <x:v>KETAT</x:v>
      </x:c>
      <x:c r="M4186" t="str">
        <x:v>SEDANG+</x:v>
      </x:c>
      <x:c r="N4186" t="str">
        <x:v>REGULER</x:v>
      </x:c>
      <x:c r="O4186" t="str">
        <x:v>SOSHUM</x:v>
      </x:c>
      <x:c r="P4186" t="str">
        <x:v>BISNIS/EKONOMI/AKUNTANSI</x:v>
      </x:c>
      <x:c r="Q4186" s="18" t="n">
        <x:v>0</x:v>
      </x:c>
      <x:c r="R4186" s="18" t="n">
        <x:v>0</x:v>
      </x:c>
      <x:c r="S4186" s="18" t="n">
        <x:v>673.4137576517909</x:v>
      </x:c>
      <x:c r="T4186" s="18" t="n">
        <x:v>688</x:v>
      </x:c>
      <x:c r="U4186" s="18" t="n">
        <x:v>673.4137576517909</x:v>
      </x:c>
      <x:c r="V4186" s="20" t="n">
        <x:v>4.4</x:v>
      </x:c>
      <x:c r="W4186" s="20" t="n">
        <x:v>14.3</x:v>
      </x:c>
      <x:c r="X4186" s="20" t="n">
        <x:v>3.3</x:v>
      </x:c>
      <x:c r="Y4186" t="str">
        <x:v>Basis arsip 2025/2024</x:v>
      </x:c>
      <x:c r="Z4186" t="str">
        <x:v>https://snpmb.id/utbk-snbt/daya-tampung-snbt</x:v>
      </x:c>
      <x:c r="AA4186" t="str">
        <x:v>Tidak Ada</x:v>
      </x:c>
      <x:c r="AB4186" t="str">
        <x:v>Campus=55; Ratio=82.1; Prodi=65; RelDemand=40.9; Capacity=73.3</x:v>
      </x:c>
    </x:row>
    <x:row r="4187">
      <x:c r="A4187" t="n">
        <x:v>4184</x:v>
      </x:c>
      <x:c r="B4187" t="str">
        <x:v>PTN Vokasi</x:v>
      </x:c>
      <x:c r="C4187" t="str">
        <x:v>POLITEKNIK NEGERI BANDUNG</x:v>
      </x:c>
      <x:c r="D4187" t="str">
        <x:v>AKUNTANSI</x:v>
      </x:c>
      <x:c r="E4187" t="str">
        <x:v>Sarjana Terapan</x:v>
      </x:c>
      <x:c r="F4187" s="18" t="n">
        <x:v>32</x:v>
      </x:c>
      <x:c r="G4187" s="18" t="n">
        <x:v>1405</x:v>
      </x:c>
      <x:c r="H4187" s="19" t="n">
        <x:v>43.90625</x:v>
      </x:c>
      <x:c r="I4187" s="18" t="n">
        <x:f>ROUND(MIN(Model_Config_v3!$B$6,MAX(Q4187,R4187,S4187*Model_Config_v3!$B$4+T4187*Model_Config_v3!$B$5)),0)</x:f>
        <x:v>702</x:v>
      </x:c>
      <x:c r="J4187" s="18" t="n">
        <x:f>MIN(Model_Config_v3!$B$6,I4187+Model_Config_v3!$B$7)</x:f>
        <x:v>722</x:v>
      </x:c>
      <x:c r="K4187" s="20" t="n">
        <x:v>71</x:v>
      </x:c>
      <x:c r="L4187" t="str">
        <x:v>SANGAT KETAT</x:v>
      </x:c>
      <x:c r="M4187" t="str">
        <x:v>SEDANG+</x:v>
      </x:c>
      <x:c r="N4187" t="str">
        <x:v>REGULER</x:v>
      </x:c>
      <x:c r="O4187" t="str">
        <x:v>SOSHUM</x:v>
      </x:c>
      <x:c r="P4187" t="str">
        <x:v>BISNIS/EKONOMI/AKUNTANSI</x:v>
      </x:c>
      <x:c r="Q4187" s="18" t="n">
        <x:v>0</x:v>
      </x:c>
      <x:c r="R4187" s="18" t="n">
        <x:v>0</x:v>
      </x:c>
      <x:c r="S4187" s="18" t="n">
        <x:v>700.6778980513312</x:v>
      </x:c>
      <x:c r="T4187" s="18" t="n">
        <x:v>702</x:v>
      </x:c>
      <x:c r="U4187" s="18" t="n">
        <x:v>700.6778980513312</x:v>
      </x:c>
      <x:c r="V4187" s="20" t="n">
        <x:v>4.4</x:v>
      </x:c>
      <x:c r="W4187" s="20" t="n">
        <x:v>14.3</x:v>
      </x:c>
      <x:c r="X4187" s="20" t="n">
        <x:v>3.3</x:v>
      </x:c>
      <x:c r="Y4187" t="str">
        <x:v>Basis arsip 2025/2024</x:v>
      </x:c>
      <x:c r="Z4187" t="str">
        <x:v>https://snpmb.id/utbk-snbt/daya-tampung-snbt</x:v>
      </x:c>
      <x:c r="AA4187" t="str">
        <x:v>Tidak Ada</x:v>
      </x:c>
      <x:c r="AB4187" t="str">
        <x:v>Campus=55; Ratio=96.7; Prodi=65; RelDemand=72.4; Capacity=73.3</x:v>
      </x:c>
    </x:row>
    <x:row r="4188">
      <x:c r="A4188" t="n">
        <x:v>4185</x:v>
      </x:c>
      <x:c r="B4188" t="str">
        <x:v>PTN Vokasi</x:v>
      </x:c>
      <x:c r="C4188" t="str">
        <x:v>POLITEKNIK NEGERI BANDUNG</x:v>
      </x:c>
      <x:c r="D4188" t="str">
        <x:v>ADMINISTRASI BISNIS</x:v>
      </x:c>
      <x:c r="E4188" t="str">
        <x:v>Sarjana Terapan</x:v>
      </x:c>
      <x:c r="F4188" s="18" t="n">
        <x:v>32</x:v>
      </x:c>
      <x:c r="G4188" s="18" t="n">
        <x:v>2314</x:v>
      </x:c>
      <x:c r="H4188" s="19" t="n">
        <x:v>72.3125</x:v>
      </x:c>
      <x:c r="I4188" s="18" t="n">
        <x:f>ROUND(MIN(Model_Config_v3!$B$6,MAX(Q4188,R4188,S4188*Model_Config_v3!$B$4+T4188*Model_Config_v3!$B$5)),0)</x:f>
        <x:v>714</x:v>
      </x:c>
      <x:c r="J4188" s="18" t="n">
        <x:f>MIN(Model_Config_v3!$B$6,I4188+Model_Config_v3!$B$7)</x:f>
        <x:v>734</x:v>
      </x:c>
      <x:c r="K4188" s="20" t="n">
        <x:v>74.6</x:v>
      </x:c>
      <x:c r="L4188" t="str">
        <x:v>SANGAT KETAT</x:v>
      </x:c>
      <x:c r="M4188" t="str">
        <x:v>SEDANG+</x:v>
      </x:c>
      <x:c r="N4188" t="str">
        <x:v>REGULER</x:v>
      </x:c>
      <x:c r="O4188" t="str">
        <x:v>SOSHUM</x:v>
      </x:c>
      <x:c r="P4188" t="str">
        <x:v>BISNIS/EKONOMI/AKUNTANSI</x:v>
      </x:c>
      <x:c r="Q4188" s="18" t="n">
        <x:v>0</x:v>
      </x:c>
      <x:c r="R4188" s="18" t="n">
        <x:v>0</x:v>
      </x:c>
      <x:c r="S4188" s="18" t="n">
        <x:v>724.5134713925407</x:v>
      </x:c>
      <x:c r="T4188" s="18" t="n">
        <x:v>709</x:v>
      </x:c>
      <x:c r="U4188" s="18" t="n">
        <x:v>739.5134713925407</x:v>
      </x:c>
      <x:c r="V4188" s="20" t="n">
        <x:v>4.4</x:v>
      </x:c>
      <x:c r="W4188" s="20" t="n">
        <x:v>14.3</x:v>
      </x:c>
      <x:c r="X4188" s="20" t="n">
        <x:v>3.3</x:v>
      </x:c>
      <x:c r="Y4188" t="str">
        <x:v>Basis arsip 2025/2024</x:v>
      </x:c>
      <x:c r="Z4188" t="str">
        <x:v>https://snpmb.id/utbk-snbt/daya-tampung-snbt</x:v>
      </x:c>
      <x:c r="AA4188" t="str">
        <x:v>Tidak Ada</x:v>
      </x:c>
      <x:c r="AB4188" t="str">
        <x:v>Campus=55; Ratio=100.0; Prodi=65; RelDemand=100.0; Capacity=73.3</x:v>
      </x:c>
    </x:row>
    <x:row r="4189">
      <x:c r="A4189" t="n">
        <x:v>4186</x:v>
      </x:c>
      <x:c r="B4189" t="str">
        <x:v>PTN Vokasi</x:v>
      </x:c>
      <x:c r="C4189" t="str">
        <x:v>POLITEKNIK NEGERI BANDUNG</x:v>
      </x:c>
      <x:c r="D4189" t="str">
        <x:v>MANAJEMEN ASET</x:v>
      </x:c>
      <x:c r="E4189" t="str">
        <x:v>Sarjana Terapan</x:v>
      </x:c>
      <x:c r="F4189" s="18" t="n">
        <x:v>48</x:v>
      </x:c>
      <x:c r="G4189" s="18" t="n">
        <x:v>807</x:v>
      </x:c>
      <x:c r="H4189" s="19" t="n">
        <x:v>16.8125</x:v>
      </x:c>
      <x:c r="I4189" s="18" t="n">
        <x:f>ROUND(MIN(Model_Config_v3!$B$6,MAX(Q4189,R4189,S4189*Model_Config_v3!$B$4+T4189*Model_Config_v3!$B$5)),0)</x:f>
        <x:v>671</x:v>
      </x:c>
      <x:c r="J4189" s="18" t="n">
        <x:f>MIN(Model_Config_v3!$B$6,I4189+Model_Config_v3!$B$7)</x:f>
        <x:v>691</x:v>
      </x:c>
      <x:c r="K4189" s="20" t="n">
        <x:v>59.1</x:v>
      </x:c>
      <x:c r="L4189" t="str">
        <x:v>KETAT</x:v>
      </x:c>
      <x:c r="M4189" t="str">
        <x:v>SEDANG+</x:v>
      </x:c>
      <x:c r="N4189" t="str">
        <x:v>REGULER</x:v>
      </x:c>
      <x:c r="O4189" t="str">
        <x:v>SOSHUM</x:v>
      </x:c>
      <x:c r="P4189" t="str">
        <x:v>BISNIS/EKONOMI/AKUNTANSI</x:v>
      </x:c>
      <x:c r="Q4189" s="18" t="n">
        <x:v>0</x:v>
      </x:c>
      <x:c r="R4189" s="18" t="n">
        <x:v>0</x:v>
      </x:c>
      <x:c r="S4189" s="18" t="n">
        <x:v>654.8195527081132</x:v>
      </x:c>
      <x:c r="T4189" s="18" t="n">
        <x:v>678</x:v>
      </x:c>
      <x:c r="U4189" s="18" t="n">
        <x:v>669.8195527081132</x:v>
      </x:c>
      <x:c r="V4189" s="20" t="n">
        <x:v>4.4</x:v>
      </x:c>
      <x:c r="W4189" s="20" t="n">
        <x:v>14.3</x:v>
      </x:c>
      <x:c r="X4189" s="20" t="n">
        <x:v>3.3</x:v>
      </x:c>
      <x:c r="Y4189" t="str">
        <x:v>Basis arsip 2025/2024</x:v>
      </x:c>
      <x:c r="Z4189" t="str">
        <x:v>https://snpmb.id/utbk-snbt/daya-tampung-snbt</x:v>
      </x:c>
      <x:c r="AA4189" t="str">
        <x:v>Tidak Ada</x:v>
      </x:c>
      <x:c r="AB4189" t="str">
        <x:v>Campus=55; Ratio=72.1; Prodi=65; RelDemand=27.7; Capacity=60.0</x:v>
      </x:c>
    </x:row>
    <x:row r="4190">
      <x:c r="A4190" t="n">
        <x:v>4187</x:v>
      </x:c>
      <x:c r="B4190" t="str">
        <x:v>PTN Vokasi</x:v>
      </x:c>
      <x:c r="C4190" t="str">
        <x:v>POLITEKNIK NEGERI BANDUNG</x:v>
      </x:c>
      <x:c r="D4190" t="str">
        <x:v>MANAJEMEN PEMASARAN</x:v>
      </x:c>
      <x:c r="E4190" t="str">
        <x:v>Sarjana Terapan</x:v>
      </x:c>
      <x:c r="F4190" s="18" t="n">
        <x:v>32</x:v>
      </x:c>
      <x:c r="G4190" s="18" t="n">
        <x:v>1204</x:v>
      </x:c>
      <x:c r="H4190" s="19" t="n">
        <x:v>37.625</x:v>
      </x:c>
      <x:c r="I4190" s="18" t="n">
        <x:f>ROUND(MIN(Model_Config_v3!$B$6,MAX(Q4190,R4190,S4190*Model_Config_v3!$B$4+T4190*Model_Config_v3!$B$5)),0)</x:f>
        <x:v>697</x:v>
      </x:c>
      <x:c r="J4190" s="18" t="n">
        <x:f>MIN(Model_Config_v3!$B$6,I4190+Model_Config_v3!$B$7)</x:f>
        <x:v>717</x:v>
      </x:c>
      <x:c r="K4190" s="20" t="n">
        <x:v>69</x:v>
      </x:c>
      <x:c r="L4190" t="str">
        <x:v>SANGAT KETAT</x:v>
      </x:c>
      <x:c r="M4190" t="str">
        <x:v>SEDANG+</x:v>
      </x:c>
      <x:c r="N4190" t="str">
        <x:v>REGULER</x:v>
      </x:c>
      <x:c r="O4190" t="str">
        <x:v>SOSHUM</x:v>
      </x:c>
      <x:c r="P4190" t="str">
        <x:v>BISNIS/EKONOMI/AKUNTANSI</x:v>
      </x:c>
      <x:c r="Q4190" s="18" t="n">
        <x:v>0</x:v>
      </x:c>
      <x:c r="R4190" s="18" t="n">
        <x:v>0</x:v>
      </x:c>
      <x:c r="S4190" s="18" t="n">
        <x:v>693.302415946209</x:v>
      </x:c>
      <x:c r="T4190" s="18" t="n">
        <x:v>698</x:v>
      </x:c>
      <x:c r="U4190" s="18" t="n">
        <x:v>708.302415946209</x:v>
      </x:c>
      <x:c r="V4190" s="20" t="n">
        <x:v>4.4</x:v>
      </x:c>
      <x:c r="W4190" s="20" t="n">
        <x:v>14.3</x:v>
      </x:c>
      <x:c r="X4190" s="20" t="n">
        <x:v>3.3</x:v>
      </x:c>
      <x:c r="Y4190" t="str">
        <x:v>Basis arsip 2025/2024</x:v>
      </x:c>
      <x:c r="Z4190" t="str">
        <x:v>https://snpmb.id/utbk-snbt/daya-tampung-snbt</x:v>
      </x:c>
      <x:c r="AA4190" t="str">
        <x:v>Tidak Ada</x:v>
      </x:c>
      <x:c r="AB4190" t="str">
        <x:v>Campus=55; Ratio=92.7; Prodi=65; RelDemand=62.1; Capacity=73.3</x:v>
      </x:c>
    </x:row>
    <x:row r="4191">
      <x:c r="A4191" t="n">
        <x:v>4188</x:v>
      </x:c>
      <x:c r="B4191" t="str">
        <x:v>PTN Vokasi</x:v>
      </x:c>
      <x:c r="C4191" t="str">
        <x:v>POLITEKNIK NEGERI BANDUNG</x:v>
      </x:c>
      <x:c r="D4191" t="str">
        <x:v>DESTINASI PARIWISATA</x:v>
      </x:c>
      <x:c r="E4191" t="str">
        <x:v>Sarjana Terapan</x:v>
      </x:c>
      <x:c r="F4191" s="18" t="n">
        <x:v>32</x:v>
      </x:c>
      <x:c r="G4191" s="18" t="n">
        <x:v>1272</x:v>
      </x:c>
      <x:c r="H4191" s="19" t="n">
        <x:v>39.75</x:v>
      </x:c>
      <x:c r="I4191" s="18" t="n">
        <x:f>ROUND(MIN(Model_Config_v3!$B$6,MAX(Q4191,R4191,S4191*Model_Config_v3!$B$4+T4191*Model_Config_v3!$B$5)),0)</x:f>
        <x:v>691</x:v>
      </x:c>
      <x:c r="J4191" s="18" t="n">
        <x:f>MIN(Model_Config_v3!$B$6,I4191+Model_Config_v3!$B$7)</x:f>
        <x:v>711</x:v>
      </x:c>
      <x:c r="K4191" s="20" t="n">
        <x:v>64.7</x:v>
      </x:c>
      <x:c r="L4191" t="str">
        <x:v>KETAT</x:v>
      </x:c>
      <x:c r="M4191" t="str">
        <x:v>SEDANG</x:v>
      </x:c>
      <x:c r="N4191" t="str">
        <x:v>REGULER</x:v>
      </x:c>
      <x:c r="O4191" t="str">
        <x:v>CAMPURAN</x:v>
      </x:c>
      <x:c r="P4191" t="str">
        <x:v>UMUM</x:v>
      </x:c>
      <x:c r="Q4191" s="18" t="n">
        <x:v>0</x:v>
      </x:c>
      <x:c r="R4191" s="18" t="n">
        <x:v>0</x:v>
      </x:c>
      <x:c r="S4191" s="18" t="n">
        <x:v>695.9270846291738</x:v>
      </x:c>
      <x:c r="T4191" s="18" t="n">
        <x:v>689</x:v>
      </x:c>
      <x:c r="U4191" s="18" t="n">
        <x:v>695.9270846291738</x:v>
      </x:c>
      <x:c r="V4191" s="20" t="n">
        <x:v>8.8</x:v>
      </x:c>
      <x:c r="W4191" s="20" t="n">
        <x:v>9.9</x:v>
      </x:c>
      <x:c r="X4191" s="20" t="n">
        <x:v>3.3</x:v>
      </x:c>
      <x:c r="Y4191" t="str">
        <x:v>Basis arsip 2025/2024</x:v>
      </x:c>
      <x:c r="Z4191" t="str">
        <x:v>https://snpmb.id/utbk-snbt/daya-tampung-snbt</x:v>
      </x:c>
      <x:c r="AA4191" t="str">
        <x:v>Tidak Ada</x:v>
      </x:c>
      <x:c r="AB4191" t="str">
        <x:v>Campus=55; Ratio=94.1; Prodi=40; RelDemand=65.6; Capacity=73.3</x:v>
      </x:c>
    </x:row>
    <x:row r="4192">
      <x:c r="A4192" t="n">
        <x:v>4189</x:v>
      </x:c>
      <x:c r="B4192" t="str">
        <x:v>PTN Vokasi</x:v>
      </x:c>
      <x:c r="C4192" t="str">
        <x:v>POLITEKNIK NEGERI BANDUNG</x:v>
      </x:c>
      <x:c r="D4192" t="str">
        <x:v>TEKNIK PENDINGIN DAN TATA UDARA</x:v>
      </x:c>
      <x:c r="E4192" t="str">
        <x:v>Diploma Tiga</x:v>
      </x:c>
      <x:c r="F4192" s="18" t="n">
        <x:v>32</x:v>
      </x:c>
      <x:c r="G4192" s="18" t="n">
        <x:v>301</x:v>
      </x:c>
      <x:c r="H4192" s="19" t="n">
        <x:v>9.40625</x:v>
      </x:c>
      <x:c r="I4192" s="18" t="n">
        <x:f>ROUND(MIN(Model_Config_v3!$B$6,MAX(Q4192,R4192,S4192*Model_Config_v3!$B$4+T4192*Model_Config_v3!$B$5)),0)</x:f>
        <x:v>656</x:v>
      </x:c>
      <x:c r="J4192" s="18" t="n">
        <x:f>MIN(Model_Config_v3!$B$6,I4192+Model_Config_v3!$B$7)</x:f>
        <x:v>676</x:v>
      </x:c>
      <x:c r="K4192" s="20" t="n">
        <x:v>54.5</x:v>
      </x:c>
      <x:c r="L4192" t="str">
        <x:v>MENENGAH</x:v>
      </x:c>
      <x:c r="M4192" t="str">
        <x:v>SEDANG+</x:v>
      </x:c>
      <x:c r="N4192" t="str">
        <x:v>REGULER</x:v>
      </x:c>
      <x:c r="O4192" t="str">
        <x:v>SAINTEK</x:v>
      </x:c>
      <x:c r="P4192" t="str">
        <x:v>TEKNIK/ARSITEKTUR/STATISTIKA/AKTUARIA</x:v>
      </x:c>
      <x:c r="Q4192" s="18" t="n">
        <x:v>0</x:v>
      </x:c>
      <x:c r="R4192" s="18" t="n">
        <x:v>0</x:v>
      </x:c>
      <x:c r="S4192" s="18" t="n">
        <x:v>627.0758169001331</x:v>
      </x:c>
      <x:c r="T4192" s="18" t="n">
        <x:v>669</x:v>
      </x:c>
      <x:c r="U4192" s="18" t="n">
        <x:v>637.0758169001331</x:v>
      </x:c>
      <x:c r="V4192" s="20" t="n">
        <x:v>12</x:v>
      </x:c>
      <x:c r="W4192" s="20" t="n">
        <x:v>5</x:v>
      </x:c>
      <x:c r="X4192" s="20" t="n">
        <x:v>3</x:v>
      </x:c>
      <x:c r="Y4192" t="str">
        <x:v>Basis arsip 2025/2024</x:v>
      </x:c>
      <x:c r="Z4192" t="str">
        <x:v>https://snpmb.id/utbk-snbt/daya-tampung-snbt</x:v>
      </x:c>
      <x:c r="AA4192" t="str">
        <x:v>Tidak Ada</x:v>
      </x:c>
      <x:c r="AB4192" t="str">
        <x:v>Campus=55; Ratio=57.3; Prodi=60; RelDemand=15.5; Capacity=73.3</x:v>
      </x:c>
    </x:row>
    <x:row r="4193">
      <x:c r="A4193" t="n">
        <x:v>4190</x:v>
      </x:c>
      <x:c r="B4193" t="str">
        <x:v>PTN Vokasi</x:v>
      </x:c>
      <x:c r="C4193" t="str">
        <x:v>POLITEKNIK NEGERI BANDUNG</x:v>
      </x:c>
      <x:c r="D4193" t="str">
        <x:v>TEKNIK KONSTRUKSI SIPIL</x:v>
      </x:c>
      <x:c r="E4193" t="str">
        <x:v>Diploma Tiga</x:v>
      </x:c>
      <x:c r="F4193" s="18" t="n">
        <x:v>48</x:v>
      </x:c>
      <x:c r="G4193" s="18" t="n">
        <x:v>1709</x:v>
      </x:c>
      <x:c r="H4193" s="19" t="n">
        <x:v>35.604166666666664</x:v>
      </x:c>
      <x:c r="I4193" s="18" t="n">
        <x:f>ROUND(MIN(Model_Config_v3!$B$6,MAX(Q4193,R4193,S4193*Model_Config_v3!$B$4+T4193*Model_Config_v3!$B$5)),0)</x:f>
        <x:v>692</x:v>
      </x:c>
      <x:c r="J4193" s="18" t="n">
        <x:f>MIN(Model_Config_v3!$B$6,I4193+Model_Config_v3!$B$7)</x:f>
        <x:v>712</x:v>
      </x:c>
      <x:c r="K4193" s="20" t="n">
        <x:v>66</x:v>
      </x:c>
      <x:c r="L4193" t="str">
        <x:v>SANGAT KETAT</x:v>
      </x:c>
      <x:c r="M4193" t="str">
        <x:v>SEDANG+</x:v>
      </x:c>
      <x:c r="N4193" t="str">
        <x:v>REGULER</x:v>
      </x:c>
      <x:c r="O4193" t="str">
        <x:v>SAINTEK</x:v>
      </x:c>
      <x:c r="P4193" t="str">
        <x:v>TEKNIK/ARSITEKTUR/STATISTIKA/AKTUARIA</x:v>
      </x:c>
      <x:c r="Q4193" s="18" t="n">
        <x:v>0</x:v>
      </x:c>
      <x:c r="R4193" s="18" t="n">
        <x:v>0</x:v>
      </x:c>
      <x:c r="S4193" s="18" t="n">
        <x:v>690.6650907879664</x:v>
      </x:c>
      <x:c r="T4193" s="18" t="n">
        <x:v>692</x:v>
      </x:c>
      <x:c r="U4193" s="18" t="n">
        <x:v>700.6650907879664</x:v>
      </x:c>
      <x:c r="V4193" s="20" t="n">
        <x:v>12</x:v>
      </x:c>
      <x:c r="W4193" s="20" t="n">
        <x:v>5</x:v>
      </x:c>
      <x:c r="X4193" s="20" t="n">
        <x:v>3</x:v>
      </x:c>
      <x:c r="Y4193" t="str">
        <x:v>Basis arsip 2025/2024</x:v>
      </x:c>
      <x:c r="Z4193" t="str">
        <x:v>https://snpmb.id/utbk-snbt/daya-tampung-snbt</x:v>
      </x:c>
      <x:c r="AA4193" t="str">
        <x:v>Tidak Ada</x:v>
      </x:c>
      <x:c r="AB4193" t="str">
        <x:v>Campus=55; Ratio=91.3; Prodi=60; RelDemand=58.7; Capacity=60.0</x:v>
      </x:c>
    </x:row>
    <x:row r="4194">
      <x:c r="A4194" t="n">
        <x:v>4191</x:v>
      </x:c>
      <x:c r="B4194" t="str">
        <x:v>PTN Vokasi</x:v>
      </x:c>
      <x:c r="C4194" t="str">
        <x:v>POLITEKNIK NEGERI BANDUNG</x:v>
      </x:c>
      <x:c r="D4194" t="str">
        <x:v>MANAJEMEN PEMASARAN</x:v>
      </x:c>
      <x:c r="E4194" t="str">
        <x:v>Diploma Tiga</x:v>
      </x:c>
      <x:c r="F4194" s="18" t="n">
        <x:v>32</x:v>
      </x:c>
      <x:c r="G4194" s="18" t="n">
        <x:v>2162</x:v>
      </x:c>
      <x:c r="H4194" s="19" t="n">
        <x:v>67.5625</x:v>
      </x:c>
      <x:c r="I4194" s="18" t="n">
        <x:f>ROUND(MIN(Model_Config_v3!$B$6,MAX(Q4194,R4194,S4194*Model_Config_v3!$B$4+T4194*Model_Config_v3!$B$5)),0)</x:f>
        <x:v>713</x:v>
      </x:c>
      <x:c r="J4194" s="18" t="n">
        <x:f>MIN(Model_Config_v3!$B$6,I4194+Model_Config_v3!$B$7)</x:f>
        <x:v>733</x:v>
      </x:c>
      <x:c r="K4194" s="20" t="n">
        <x:v>74.6</x:v>
      </x:c>
      <x:c r="L4194" t="str">
        <x:v>SANGAT KETAT</x:v>
      </x:c>
      <x:c r="M4194" t="str">
        <x:v>SEDANG+</x:v>
      </x:c>
      <x:c r="N4194" t="str">
        <x:v>REGULER</x:v>
      </x:c>
      <x:c r="O4194" t="str">
        <x:v>SOSHUM</x:v>
      </x:c>
      <x:c r="P4194" t="str">
        <x:v>BISNIS/EKONOMI/AKUNTANSI</x:v>
      </x:c>
      <x:c r="Q4194" s="18" t="n">
        <x:v>0</x:v>
      </x:c>
      <x:c r="R4194" s="18" t="n">
        <x:v>0</x:v>
      </x:c>
      <x:c r="S4194" s="18" t="n">
        <x:v>721.2676282427124</x:v>
      </x:c>
      <x:c r="T4194" s="18" t="n">
        <x:v>709</x:v>
      </x:c>
      <x:c r="U4194" s="18" t="n">
        <x:v>736.2676282427124</x:v>
      </x:c>
      <x:c r="V4194" s="20" t="n">
        <x:v>4.4</x:v>
      </x:c>
      <x:c r="W4194" s="20" t="n">
        <x:v>14.3</x:v>
      </x:c>
      <x:c r="X4194" s="20" t="n">
        <x:v>3.3</x:v>
      </x:c>
      <x:c r="Y4194" t="str">
        <x:v>Basis arsip 2025/2024</x:v>
      </x:c>
      <x:c r="Z4194" t="str">
        <x:v>https://snpmb.id/utbk-snbt/daya-tampung-snbt</x:v>
      </x:c>
      <x:c r="AA4194" t="str">
        <x:v>Tidak Ada</x:v>
      </x:c>
      <x:c r="AB4194" t="str">
        <x:v>Campus=55; Ratio=100.0; Prodi=65; RelDemand=100.0; Capacity=73.3</x:v>
      </x:c>
    </x:row>
    <x:row r="4195">
      <x:c r="A4195" t="n">
        <x:v>4192</x:v>
      </x:c>
      <x:c r="B4195" t="str">
        <x:v>PTN Vokasi</x:v>
      </x:c>
      <x:c r="C4195" t="str">
        <x:v>POLITEKNIK NEGERI BANDUNG</x:v>
      </x:c>
      <x:c r="D4195" t="str">
        <x:v>TEKNIK KONSTRUKSI GEDUNG</x:v>
      </x:c>
      <x:c r="E4195" t="str">
        <x:v>Diploma Tiga</x:v>
      </x:c>
      <x:c r="F4195" s="18" t="n">
        <x:v>48</x:v>
      </x:c>
      <x:c r="G4195" s="18" t="n">
        <x:v>579</x:v>
      </x:c>
      <x:c r="H4195" s="19" t="n">
        <x:v>12.0625</x:v>
      </x:c>
      <x:c r="I4195" s="18" t="n">
        <x:f>ROUND(MIN(Model_Config_v3!$B$6,MAX(Q4195,R4195,S4195*Model_Config_v3!$B$4+T4195*Model_Config_v3!$B$5)),0)</x:f>
        <x:v>661</x:v>
      </x:c>
      <x:c r="J4195" s="18" t="n">
        <x:f>MIN(Model_Config_v3!$B$6,I4195+Model_Config_v3!$B$7)</x:f>
        <x:v>681</x:v>
      </x:c>
      <x:c r="K4195" s="20" t="n">
        <x:v>55.2</x:v>
      </x:c>
      <x:c r="L4195" t="str">
        <x:v>KETAT</x:v>
      </x:c>
      <x:c r="M4195" t="str">
        <x:v>SEDANG+</x:v>
      </x:c>
      <x:c r="N4195" t="str">
        <x:v>REGULER</x:v>
      </x:c>
      <x:c r="O4195" t="str">
        <x:v>SAINTEK</x:v>
      </x:c>
      <x:c r="P4195" t="str">
        <x:v>TEKNIK/ARSITEKTUR/STATISTIKA/AKTUARIA</x:v>
      </x:c>
      <x:c r="Q4195" s="18" t="n">
        <x:v>0</x:v>
      </x:c>
      <x:c r="R4195" s="18" t="n">
        <x:v>0</x:v>
      </x:c>
      <x:c r="S4195" s="18" t="n">
        <x:v>638.9581058987034</x:v>
      </x:c>
      <x:c r="T4195" s="18" t="n">
        <x:v>670</x:v>
      </x:c>
      <x:c r="U4195" s="18" t="n">
        <x:v>648.9581058987034</x:v>
      </x:c>
      <x:c r="V4195" s="20" t="n">
        <x:v>12</x:v>
      </x:c>
      <x:c r="W4195" s="20" t="n">
        <x:v>5</x:v>
      </x:c>
      <x:c r="X4195" s="20" t="n">
        <x:v>3</x:v>
      </x:c>
      <x:c r="Y4195" t="str">
        <x:v>Basis arsip 2025/2024</x:v>
      </x:c>
      <x:c r="Z4195" t="str">
        <x:v>https://snpmb.id/utbk-snbt/daya-tampung-snbt</x:v>
      </x:c>
      <x:c r="AA4195" t="str">
        <x:v>Tidak Ada</x:v>
      </x:c>
      <x:c r="AB4195" t="str">
        <x:v>Campus=55; Ratio=63.7; Prodi=60; RelDemand=19.9; Capacity=60.0</x:v>
      </x:c>
    </x:row>
    <x:row r="4196">
      <x:c r="A4196" t="n">
        <x:v>4193</x:v>
      </x:c>
      <x:c r="B4196" t="str">
        <x:v>PTN Vokasi</x:v>
      </x:c>
      <x:c r="C4196" t="str">
        <x:v>POLITEKNIK NEGERI BANDUNG</x:v>
      </x:c>
      <x:c r="D4196" t="str">
        <x:v>TEKNIK AERONAUTIKA</x:v>
      </x:c>
      <x:c r="E4196" t="str">
        <x:v>Diploma Tiga</x:v>
      </x:c>
      <x:c r="F4196" s="18" t="n">
        <x:v>38</x:v>
      </x:c>
      <x:c r="G4196" s="18" t="n">
        <x:v>517</x:v>
      </x:c>
      <x:c r="H4196" s="19" t="n">
        <x:v>13.605263157894736</x:v>
      </x:c>
      <x:c r="I4196" s="18" t="n">
        <x:f>ROUND(MIN(Model_Config_v3!$B$6,MAX(Q4196,R4196,S4196*Model_Config_v3!$B$4+T4196*Model_Config_v3!$B$5)),0)</x:f>
        <x:v>665</x:v>
      </x:c>
      <x:c r="J4196" s="18" t="n">
        <x:f>MIN(Model_Config_v3!$B$6,I4196+Model_Config_v3!$B$7)</x:f>
        <x:v>685</x:v>
      </x:c>
      <x:c r="K4196" s="20" t="n">
        <x:v>57</x:v>
      </x:c>
      <x:c r="L4196" t="str">
        <x:v>KETAT</x:v>
      </x:c>
      <x:c r="M4196" t="str">
        <x:v>SEDANG+</x:v>
      </x:c>
      <x:c r="N4196" t="str">
        <x:v>REGULER</x:v>
      </x:c>
      <x:c r="O4196" t="str">
        <x:v>SAINTEK</x:v>
      </x:c>
      <x:c r="P4196" t="str">
        <x:v>TEKNIK/ARSITEKTUR/STATISTIKA/AKTUARIA</x:v>
      </x:c>
      <x:c r="Q4196" s="18" t="n">
        <x:v>0</x:v>
      </x:c>
      <x:c r="R4196" s="18" t="n">
        <x:v>0</x:v>
      </x:c>
      <x:c r="S4196" s="18" t="n">
        <x:v>644.7077641124846</x:v>
      </x:c>
      <x:c r="T4196" s="18" t="n">
        <x:v>674</x:v>
      </x:c>
      <x:c r="U4196" s="18" t="n">
        <x:v>654.7077641124846</x:v>
      </x:c>
      <x:c r="V4196" s="20" t="n">
        <x:v>12</x:v>
      </x:c>
      <x:c r="W4196" s="20" t="n">
        <x:v>5</x:v>
      </x:c>
      <x:c r="X4196" s="20" t="n">
        <x:v>3</x:v>
      </x:c>
      <x:c r="Y4196" t="str">
        <x:v>Basis arsip 2025/2024</x:v>
      </x:c>
      <x:c r="Z4196" t="str">
        <x:v>https://snpmb.id/utbk-snbt/daya-tampung-snbt</x:v>
      </x:c>
      <x:c r="AA4196" t="str">
        <x:v>Tidak Ada</x:v>
      </x:c>
      <x:c r="AB4196" t="str">
        <x:v>Campus=55; Ratio=66.7; Prodi=60; RelDemand=22.4; Capacity=68.3</x:v>
      </x:c>
    </x:row>
    <x:row r="4197">
      <x:c r="A4197" t="n">
        <x:v>4194</x:v>
      </x:c>
      <x:c r="B4197" t="str">
        <x:v>PTN Vokasi</x:v>
      </x:c>
      <x:c r="C4197" t="str">
        <x:v>POLITEKNIK NEGERI BANDUNG</x:v>
      </x:c>
      <x:c r="D4197" t="str">
        <x:v>KEUANGAN DAN PERBANKAN</x:v>
      </x:c>
      <x:c r="E4197" t="str">
        <x:v>Diploma Tiga</x:v>
      </x:c>
      <x:c r="F4197" s="18" t="n">
        <x:v>32</x:v>
      </x:c>
      <x:c r="G4197" s="18" t="n">
        <x:v>2023</x:v>
      </x:c>
      <x:c r="H4197" s="19" t="n">
        <x:v>63.21875</x:v>
      </x:c>
      <x:c r="I4197" s="18" t="n">
        <x:f>ROUND(MIN(Model_Config_v3!$B$6,MAX(Q4197,R4197,S4197*Model_Config_v3!$B$4+T4197*Model_Config_v3!$B$5)),0)</x:f>
        <x:v>705</x:v>
      </x:c>
      <x:c r="J4197" s="18" t="n">
        <x:f>MIN(Model_Config_v3!$B$6,I4197+Model_Config_v3!$B$7)</x:f>
        <x:v>725</x:v>
      </x:c>
      <x:c r="K4197" s="20" t="n">
        <x:v>69.6</x:v>
      </x:c>
      <x:c r="L4197" t="str">
        <x:v>SANGAT KETAT</x:v>
      </x:c>
      <x:c r="M4197" t="str">
        <x:v>SEDANG</x:v>
      </x:c>
      <x:c r="N4197" t="str">
        <x:v>REGULER</x:v>
      </x:c>
      <x:c r="O4197" t="str">
        <x:v>CAMPURAN</x:v>
      </x:c>
      <x:c r="P4197" t="str">
        <x:v>UMUM</x:v>
      </x:c>
      <x:c r="Q4197" s="18" t="n">
        <x:v>0</x:v>
      </x:c>
      <x:c r="R4197" s="18" t="n">
        <x:v>0</x:v>
      </x:c>
      <x:c r="S4197" s="18" t="n">
        <x:v>718.0930494895988</x:v>
      </x:c>
      <x:c r="T4197" s="18" t="n">
        <x:v>699</x:v>
      </x:c>
      <x:c r="U4197" s="18" t="n">
        <x:v>718.0930494895988</x:v>
      </x:c>
      <x:c r="V4197" s="20" t="n">
        <x:v>8.8</x:v>
      </x:c>
      <x:c r="W4197" s="20" t="n">
        <x:v>9.9</x:v>
      </x:c>
      <x:c r="X4197" s="20" t="n">
        <x:v>3.3</x:v>
      </x:c>
      <x:c r="Y4197" t="str">
        <x:v>Basis arsip 2025/2024</x:v>
      </x:c>
      <x:c r="Z4197" t="str">
        <x:v>https://snpmb.id/utbk-snbt/daya-tampung-snbt</x:v>
      </x:c>
      <x:c r="AA4197" t="str">
        <x:v>Tidak Ada</x:v>
      </x:c>
      <x:c r="AB4197" t="str">
        <x:v>Campus=55; Ratio=100.0; Prodi=40; RelDemand=100.0; Capacity=73.3</x:v>
      </x:c>
    </x:row>
    <x:row r="4198">
      <x:c r="A4198" t="n">
        <x:v>4195</x:v>
      </x:c>
      <x:c r="B4198" t="str">
        <x:v>PTN Vokasi</x:v>
      </x:c>
      <x:c r="C4198" t="str">
        <x:v>POLITEKNIK NEGERI BANDUNG</x:v>
      </x:c>
      <x:c r="D4198" t="str">
        <x:v>TEKNIK INFORMATIKA</x:v>
      </x:c>
      <x:c r="E4198" t="str">
        <x:v>Diploma Tiga</x:v>
      </x:c>
      <x:c r="F4198" s="18" t="n">
        <x:v>32</x:v>
      </x:c>
      <x:c r="G4198" s="18" t="n">
        <x:v>3293</x:v>
      </x:c>
      <x:c r="H4198" s="19" t="n">
        <x:v>102.90625</x:v>
      </x:c>
      <x:c r="I4198" s="18" t="n">
        <x:f>ROUND(MIN(Model_Config_v3!$B$6,MAX(Q4198,R4198,S4198*Model_Config_v3!$B$4+T4198*Model_Config_v3!$B$5)),0)</x:f>
        <x:v>724</x:v>
      </x:c>
      <x:c r="J4198" s="18" t="n">
        <x:f>MIN(Model_Config_v3!$B$6,I4198+Model_Config_v3!$B$7)</x:f>
        <x:v>744</x:v>
      </x:c>
      <x:c r="K4198" s="20" t="n">
        <x:v>78.6</x:v>
      </x:c>
      <x:c r="L4198" t="str">
        <x:v>ELITE</x:v>
      </x:c>
      <x:c r="M4198" t="str">
        <x:v>SEDANG+</x:v>
      </x:c>
      <x:c r="N4198" t="str">
        <x:v>REGULER</x:v>
      </x:c>
      <x:c r="O4198" t="str">
        <x:v>SAINTEK</x:v>
      </x:c>
      <x:c r="P4198" t="str">
        <x:v>KOMPUTER/INFORMATIKA</x:v>
      </x:c>
      <x:c r="Q4198" s="18" t="n">
        <x:v>0</x:v>
      </x:c>
      <x:c r="R4198" s="18" t="n">
        <x:v>0</x:v>
      </x:c>
      <x:c r="S4198" s="18" t="n">
        <x:v>741.3685927631202</x:v>
      </x:c>
      <x:c r="T4198" s="18" t="n">
        <x:v>717</x:v>
      </x:c>
      <x:c r="U4198" s="18" t="n">
        <x:v>766.3685927631202</x:v>
      </x:c>
      <x:c r="V4198" s="20" t="n">
        <x:v>12</x:v>
      </x:c>
      <x:c r="W4198" s="20" t="n">
        <x:v>5</x:v>
      </x:c>
      <x:c r="X4198" s="20" t="n">
        <x:v>3</x:v>
      </x:c>
      <x:c r="Y4198" t="str">
        <x:v>Basis arsip 2025/2024</x:v>
      </x:c>
      <x:c r="Z4198" t="str">
        <x:v>https://snpmb.id/utbk-snbt/daya-tampung-snbt</x:v>
      </x:c>
      <x:c r="AA4198" t="str">
        <x:v>Tidak Ada</x:v>
      </x:c>
      <x:c r="AB4198" t="str">
        <x:v>Campus=55; Ratio=100.0; Prodi=85; RelDemand=100.0; Capacity=73.3</x:v>
      </x:c>
    </x:row>
    <x:row r="4199">
      <x:c r="A4199" t="n">
        <x:v>4196</x:v>
      </x:c>
      <x:c r="B4199" t="str">
        <x:v>PTN Vokasi</x:v>
      </x:c>
      <x:c r="C4199" t="str">
        <x:v>POLITEKNIK NEGERI BANDUNG</x:v>
      </x:c>
      <x:c r="D4199" t="str">
        <x:v>ADMINISTRASI BISNIS</x:v>
      </x:c>
      <x:c r="E4199" t="str">
        <x:v>Diploma Tiga</x:v>
      </x:c>
      <x:c r="F4199" s="18" t="n">
        <x:v>32</x:v>
      </x:c>
      <x:c r="G4199" s="18" t="n">
        <x:v>3271</x:v>
      </x:c>
      <x:c r="H4199" s="19" t="n">
        <x:v>102.21875</x:v>
      </x:c>
      <x:c r="I4199" s="18" t="n">
        <x:f>ROUND(MIN(Model_Config_v3!$B$6,MAX(Q4199,R4199,S4199*Model_Config_v3!$B$4+T4199*Model_Config_v3!$B$5)),0)</x:f>
        <x:v>719</x:v>
      </x:c>
      <x:c r="J4199" s="18" t="n">
        <x:f>MIN(Model_Config_v3!$B$6,I4199+Model_Config_v3!$B$7)</x:f>
        <x:v>739</x:v>
      </x:c>
      <x:c r="K4199" s="20" t="n">
        <x:v>74.6</x:v>
      </x:c>
      <x:c r="L4199" t="str">
        <x:v>SANGAT KETAT</x:v>
      </x:c>
      <x:c r="M4199" t="str">
        <x:v>SEDANG+</x:v>
      </x:c>
      <x:c r="N4199" t="str">
        <x:v>REGULER</x:v>
      </x:c>
      <x:c r="O4199" t="str">
        <x:v>SOSHUM</x:v>
      </x:c>
      <x:c r="P4199" t="str">
        <x:v>BISNIS/EKONOMI/AKUNTANSI</x:v>
      </x:c>
      <x:c r="Q4199" s="18" t="n">
        <x:v>0</x:v>
      </x:c>
      <x:c r="R4199" s="18" t="n">
        <x:v>0</x:v>
      </x:c>
      <x:c r="S4199" s="18" t="n">
        <x:v>741.0483622385583</x:v>
      </x:c>
      <x:c r="T4199" s="18" t="n">
        <x:v>709</x:v>
      </x:c>
      <x:c r="U4199" s="18" t="n">
        <x:v>756.0483622385583</x:v>
      </x:c>
      <x:c r="V4199" s="20" t="n">
        <x:v>4.4</x:v>
      </x:c>
      <x:c r="W4199" s="20" t="n">
        <x:v>14.3</x:v>
      </x:c>
      <x:c r="X4199" s="20" t="n">
        <x:v>3.3</x:v>
      </x:c>
      <x:c r="Y4199" t="str">
        <x:v>Basis arsip 2025/2024</x:v>
      </x:c>
      <x:c r="Z4199" t="str">
        <x:v>https://snpmb.id/utbk-snbt/daya-tampung-snbt</x:v>
      </x:c>
      <x:c r="AA4199" t="str">
        <x:v>Tidak Ada</x:v>
      </x:c>
      <x:c r="AB4199" t="str">
        <x:v>Campus=55; Ratio=100.0; Prodi=65; RelDemand=100.0; Capacity=73.3</x:v>
      </x:c>
    </x:row>
    <x:row r="4200">
      <x:c r="A4200" t="n">
        <x:v>4197</x:v>
      </x:c>
      <x:c r="B4200" t="str">
        <x:v>PTN Vokasi</x:v>
      </x:c>
      <x:c r="C4200" t="str">
        <x:v>POLITEKNIK NEGERI BANDUNG</x:v>
      </x:c>
      <x:c r="D4200" t="str">
        <x:v>TEKNIK MESIN</x:v>
      </x:c>
      <x:c r="E4200" t="str">
        <x:v>Diploma Tiga</x:v>
      </x:c>
      <x:c r="F4200" s="18" t="n">
        <x:v>48</x:v>
      </x:c>
      <x:c r="G4200" s="18" t="n">
        <x:v>1527</x:v>
      </x:c>
      <x:c r="H4200" s="19" t="n">
        <x:v>31.8125</x:v>
      </x:c>
      <x:c r="I4200" s="18" t="n">
        <x:f>ROUND(MIN(Model_Config_v3!$B$6,MAX(Q4200,R4200,S4200*Model_Config_v3!$B$4+T4200*Model_Config_v3!$B$5)),0)</x:f>
        <x:v>688</x:v>
      </x:c>
      <x:c r="J4200" s="18" t="n">
        <x:f>MIN(Model_Config_v3!$B$6,I4200+Model_Config_v3!$B$7)</x:f>
        <x:v>708</x:v>
      </x:c>
      <x:c r="K4200" s="20" t="n">
        <x:v>64.6</x:v>
      </x:c>
      <x:c r="L4200" t="str">
        <x:v>KETAT</x:v>
      </x:c>
      <x:c r="M4200" t="str">
        <x:v>SEDANG+</x:v>
      </x:c>
      <x:c r="N4200" t="str">
        <x:v>REGULER</x:v>
      </x:c>
      <x:c r="O4200" t="str">
        <x:v>SAINTEK</x:v>
      </x:c>
      <x:c r="P4200" t="str">
        <x:v>TEKNIK/ARSITEKTUR/STATISTIKA/AKTUARIA</x:v>
      </x:c>
      <x:c r="Q4200" s="18" t="n">
        <x:v>0</x:v>
      </x:c>
      <x:c r="R4200" s="18" t="n">
        <x:v>0</x:v>
      </x:c>
      <x:c r="S4200" s="18" t="n">
        <x:v>685.2857579648917</x:v>
      </x:c>
      <x:c r="T4200" s="18" t="n">
        <x:v>689</x:v>
      </x:c>
      <x:c r="U4200" s="18" t="n">
        <x:v>695.2857579648917</x:v>
      </x:c>
      <x:c r="V4200" s="20" t="n">
        <x:v>12</x:v>
      </x:c>
      <x:c r="W4200" s="20" t="n">
        <x:v>5</x:v>
      </x:c>
      <x:c r="X4200" s="20" t="n">
        <x:v>3</x:v>
      </x:c>
      <x:c r="Y4200" t="str">
        <x:v>Basis arsip 2025/2024</x:v>
      </x:c>
      <x:c r="Z4200" t="str">
        <x:v>https://snpmb.id/utbk-snbt/daya-tampung-snbt</x:v>
      </x:c>
      <x:c r="AA4200" t="str">
        <x:v>Tidak Ada</x:v>
      </x:c>
      <x:c r="AB4200" t="str">
        <x:v>Campus=55; Ratio=88.4; Prodi=60; RelDemand=52.5; Capacity=60.0</x:v>
      </x:c>
    </x:row>
    <x:row r="4201">
      <x:c r="A4201" t="n">
        <x:v>4198</x:v>
      </x:c>
      <x:c r="B4201" t="str">
        <x:v>PTN Vokasi</x:v>
      </x:c>
      <x:c r="C4201" t="str">
        <x:v>POLITEKNIK NEGERI BANDUNG</x:v>
      </x:c>
      <x:c r="D4201" t="str">
        <x:v>AKUNTANSI</x:v>
      </x:c>
      <x:c r="E4201" t="str">
        <x:v>Diploma Tiga</x:v>
      </x:c>
      <x:c r="F4201" s="18" t="n">
        <x:v>48</x:v>
      </x:c>
      <x:c r="G4201" s="18" t="n">
        <x:v>1855</x:v>
      </x:c>
      <x:c r="H4201" s="19" t="n">
        <x:v>38.645833333333336</x:v>
      </x:c>
      <x:c r="I4201" s="18" t="n">
        <x:f>ROUND(MIN(Model_Config_v3!$B$6,MAX(Q4201,R4201,S4201*Model_Config_v3!$B$4+T4201*Model_Config_v3!$B$5)),0)</x:f>
        <x:v>696</x:v>
      </x:c>
      <x:c r="J4201" s="18" t="n">
        <x:f>MIN(Model_Config_v3!$B$6,I4201+Model_Config_v3!$B$7)</x:f>
        <x:v>716</x:v>
      </x:c>
      <x:c r="K4201" s="20" t="n">
        <x:v>68</x:v>
      </x:c>
      <x:c r="L4201" t="str">
        <x:v>SANGAT KETAT</x:v>
      </x:c>
      <x:c r="M4201" t="str">
        <x:v>SEDANG+</x:v>
      </x:c>
      <x:c r="N4201" t="str">
        <x:v>REGULER</x:v>
      </x:c>
      <x:c r="O4201" t="str">
        <x:v>SOSHUM</x:v>
      </x:c>
      <x:c r="P4201" t="str">
        <x:v>BISNIS/EKONOMI/AKUNTANSI</x:v>
      </x:c>
      <x:c r="Q4201" s="18" t="n">
        <x:v>0</x:v>
      </x:c>
      <x:c r="R4201" s="18" t="n">
        <x:v>0</x:v>
      </x:c>
      <x:c r="S4201" s="18" t="n">
        <x:v>694.5812944233026</x:v>
      </x:c>
      <x:c r="T4201" s="18" t="n">
        <x:v>696</x:v>
      </x:c>
      <x:c r="U4201" s="18" t="n">
        <x:v>694.5812944233026</x:v>
      </x:c>
      <x:c r="V4201" s="20" t="n">
        <x:v>4.4</x:v>
      </x:c>
      <x:c r="W4201" s="20" t="n">
        <x:v>14.3</x:v>
      </x:c>
      <x:c r="X4201" s="20" t="n">
        <x:v>3.3</x:v>
      </x:c>
      <x:c r="Y4201" t="str">
        <x:v>Basis arsip 2025/2024</x:v>
      </x:c>
      <x:c r="Z4201" t="str">
        <x:v>https://snpmb.id/utbk-snbt/daya-tampung-snbt</x:v>
      </x:c>
      <x:c r="AA4201" t="str">
        <x:v>Tidak Ada</x:v>
      </x:c>
      <x:c r="AB4201" t="str">
        <x:v>Campus=55; Ratio=93.4; Prodi=65; RelDemand=63.7; Capacity=60.0</x:v>
      </x:c>
    </x:row>
    <x:row r="4202">
      <x:c r="A4202" t="n">
        <x:v>4199</x:v>
      </x:c>
      <x:c r="B4202" t="str">
        <x:v>PTN Vokasi</x:v>
      </x:c>
      <x:c r="C4202" t="str">
        <x:v>POLITEKNIK NEGERI BANDUNG</x:v>
      </x:c>
      <x:c r="D4202" t="str">
        <x:v>ANALIS KIMIA</x:v>
      </x:c>
      <x:c r="E4202" t="str">
        <x:v>Diploma Tiga</x:v>
      </x:c>
      <x:c r="F4202" s="18" t="n">
        <x:v>32</x:v>
      </x:c>
      <x:c r="G4202" s="18" t="n">
        <x:v>1266</x:v>
      </x:c>
      <x:c r="H4202" s="19" t="n">
        <x:v>39.5625</x:v>
      </x:c>
      <x:c r="I4202" s="18" t="n">
        <x:f>ROUND(MIN(Model_Config_v3!$B$6,MAX(Q4202,R4202,S4202*Model_Config_v3!$B$4+T4202*Model_Config_v3!$B$5)),0)</x:f>
        <x:v>694</x:v>
      </x:c>
      <x:c r="J4202" s="18" t="n">
        <x:f>MIN(Model_Config_v3!$B$6,I4202+Model_Config_v3!$B$7)</x:f>
        <x:v>714</x:v>
      </x:c>
      <x:c r="K4202" s="20" t="n">
        <x:v>66.6</x:v>
      </x:c>
      <x:c r="L4202" t="str">
        <x:v>SANGAT KETAT</x:v>
      </x:c>
      <x:c r="M4202" t="str">
        <x:v>SEDANG+</x:v>
      </x:c>
      <x:c r="N4202" t="str">
        <x:v>REGULER</x:v>
      </x:c>
      <x:c r="O4202" t="str">
        <x:v>SAINTEK</x:v>
      </x:c>
      <x:c r="P4202" t="str">
        <x:v>SAINS DASAR</x:v>
      </x:c>
      <x:c r="Q4202" s="18" t="n">
        <x:v>0</x:v>
      </x:c>
      <x:c r="R4202" s="18" t="n">
        <x:v>0</x:v>
      </x:c>
      <x:c r="S4202" s="18" t="n">
        <x:v>695.7012100097573</x:v>
      </x:c>
      <x:c r="T4202" s="18" t="n">
        <x:v>693</x:v>
      </x:c>
      <x:c r="U4202" s="18" t="n">
        <x:v>695.7012100097573</x:v>
      </x:c>
      <x:c r="V4202" s="20" t="n">
        <x:v>12</x:v>
      </x:c>
      <x:c r="W4202" s="20" t="n">
        <x:v>5</x:v>
      </x:c>
      <x:c r="X4202" s="20" t="n">
        <x:v>3</x:v>
      </x:c>
      <x:c r="Y4202" t="str">
        <x:v>Basis arsip 2025/2024</x:v>
      </x:c>
      <x:c r="Z4202" t="str">
        <x:v>https://snpmb.id/utbk-snbt/daya-tampung-snbt</x:v>
      </x:c>
      <x:c r="AA4202" t="str">
        <x:v>Tidak Ada</x:v>
      </x:c>
      <x:c r="AB4202" t="str">
        <x:v>Campus=55; Ratio=94.0; Prodi=50; RelDemand=65.2; Capacity=73.3</x:v>
      </x:c>
    </x:row>
    <x:row r="4203">
      <x:c r="A4203" t="n">
        <x:v>4200</x:v>
      </x:c>
      <x:c r="B4203" t="str">
        <x:v>PTN Vokasi</x:v>
      </x:c>
      <x:c r="C4203" t="str">
        <x:v>POLITEKNIK NEGERI BANDUNG</x:v>
      </x:c>
      <x:c r="D4203" t="str">
        <x:v>TEKNIK KONVERSI ENERGI</x:v>
      </x:c>
      <x:c r="E4203" t="str">
        <x:v>Diploma Tiga</x:v>
      </x:c>
      <x:c r="F4203" s="18" t="n">
        <x:v>32</x:v>
      </x:c>
      <x:c r="G4203" s="18" t="n">
        <x:v>528</x:v>
      </x:c>
      <x:c r="H4203" s="19" t="n">
        <x:v>16.5</x:v>
      </x:c>
      <x:c r="I4203" s="18" t="n">
        <x:f>ROUND(MIN(Model_Config_v3!$B$6,MAX(Q4203,R4203,S4203*Model_Config_v3!$B$4+T4203*Model_Config_v3!$B$5)),0)</x:f>
        <x:v>671</x:v>
      </x:c>
      <x:c r="J4203" s="18" t="n">
        <x:f>MIN(Model_Config_v3!$B$6,I4203+Model_Config_v3!$B$7)</x:f>
        <x:v>691</x:v>
      </x:c>
      <x:c r="K4203" s="20" t="n">
        <x:v>59.2</x:v>
      </x:c>
      <x:c r="L4203" t="str">
        <x:v>KETAT</x:v>
      </x:c>
      <x:c r="M4203" t="str">
        <x:v>SEDANG+</x:v>
      </x:c>
      <x:c r="N4203" t="str">
        <x:v>REGULER</x:v>
      </x:c>
      <x:c r="O4203" t="str">
        <x:v>SAINTEK</x:v>
      </x:c>
      <x:c r="P4203" t="str">
        <x:v>TEKNIK/ARSITEKTUR/STATISTIKA/AKTUARIA</x:v>
      </x:c>
      <x:c r="Q4203" s="18" t="n">
        <x:v>0</x:v>
      </x:c>
      <x:c r="R4203" s="18" t="n">
        <x:v>0</x:v>
      </x:c>
      <x:c r="S4203" s="18" t="n">
        <x:v>653.9232338635297</x:v>
      </x:c>
      <x:c r="T4203" s="18" t="n">
        <x:v>678</x:v>
      </x:c>
      <x:c r="U4203" s="18" t="n">
        <x:v>663.9232338635297</x:v>
      </x:c>
      <x:c r="V4203" s="20" t="n">
        <x:v>12</x:v>
      </x:c>
      <x:c r="W4203" s="20" t="n">
        <x:v>5</x:v>
      </x:c>
      <x:c r="X4203" s="20" t="n">
        <x:v>3</x:v>
      </x:c>
      <x:c r="Y4203" t="str">
        <x:v>Basis arsip 2025/2024</x:v>
      </x:c>
      <x:c r="Z4203" t="str">
        <x:v>https://snpmb.id/utbk-snbt/daya-tampung-snbt</x:v>
      </x:c>
      <x:c r="AA4203" t="str">
        <x:v>Tidak Ada</x:v>
      </x:c>
      <x:c r="AB4203" t="str">
        <x:v>Campus=55; Ratio=71.7; Prodi=60; RelDemand=27.2; Capacity=73.3</x:v>
      </x:c>
    </x:row>
    <x:row r="4204">
      <x:c r="A4204" t="n">
        <x:v>4201</x:v>
      </x:c>
      <x:c r="B4204" t="str">
        <x:v>PTN Vokasi</x:v>
      </x:c>
      <x:c r="C4204" t="str">
        <x:v>POLITEKNIK NEGERI BANDUNG</x:v>
      </x:c>
      <x:c r="D4204" t="str">
        <x:v>BAHASA INGGRIS</x:v>
      </x:c>
      <x:c r="E4204" t="str">
        <x:v>Diploma Tiga</x:v>
      </x:c>
      <x:c r="F4204" s="18" t="n">
        <x:v>48</x:v>
      </x:c>
      <x:c r="G4204" s="18" t="n">
        <x:v>1664</x:v>
      </x:c>
      <x:c r="H4204" s="19" t="n">
        <x:v>34.666666666666664</x:v>
      </x:c>
      <x:c r="I4204" s="18" t="n">
        <x:f>ROUND(MIN(Model_Config_v3!$B$6,MAX(Q4204,R4204,S4204*Model_Config_v3!$B$4+T4204*Model_Config_v3!$B$5)),0)</x:f>
        <x:v>685</x:v>
      </x:c>
      <x:c r="J4204" s="18" t="n">
        <x:f>MIN(Model_Config_v3!$B$6,I4204+Model_Config_v3!$B$7)</x:f>
        <x:v>705</x:v>
      </x:c>
      <x:c r="K4204" s="20" t="n">
        <x:v>61.6</x:v>
      </x:c>
      <x:c r="L4204" t="str">
        <x:v>KETAT</x:v>
      </x:c>
      <x:c r="M4204" t="str">
        <x:v>SEDANG</x:v>
      </x:c>
      <x:c r="N4204" t="str">
        <x:v>REGULER</x:v>
      </x:c>
      <x:c r="O4204" t="str">
        <x:v>SOSHUM</x:v>
      </x:c>
      <x:c r="P4204" t="str">
        <x:v>UMUM</x:v>
      </x:c>
      <x:c r="Q4204" s="18" t="n">
        <x:v>0</x:v>
      </x:c>
      <x:c r="R4204" s="18" t="n">
        <x:v>0</x:v>
      </x:c>
      <x:c r="S4204" s="18" t="n">
        <x:v>689.390329303703</x:v>
      </x:c>
      <x:c r="T4204" s="18" t="n">
        <x:v>683</x:v>
      </x:c>
      <x:c r="U4204" s="18" t="n">
        <x:v>689.390329303703</x:v>
      </x:c>
      <x:c r="V4204" s="20" t="n">
        <x:v>4.4</x:v>
      </x:c>
      <x:c r="W4204" s="20" t="n">
        <x:v>14.3</x:v>
      </x:c>
      <x:c r="X4204" s="20" t="n">
        <x:v>3.3</x:v>
      </x:c>
      <x:c r="Y4204" t="str">
        <x:v>Basis arsip 2025/2024</x:v>
      </x:c>
      <x:c r="Z4204" t="str">
        <x:v>https://snpmb.id/utbk-snbt/daya-tampung-snbt</x:v>
      </x:c>
      <x:c r="AA4204" t="str">
        <x:v>Tidak Ada</x:v>
      </x:c>
      <x:c r="AB4204" t="str">
        <x:v>Campus=55; Ratio=90.6; Prodi=40; RelDemand=57.2; Capacity=60.0</x:v>
      </x:c>
    </x:row>
    <x:row r="4205">
      <x:c r="A4205" t="n">
        <x:v>4202</x:v>
      </x:c>
      <x:c r="B4205" t="str">
        <x:v>PTN Vokasi</x:v>
      </x:c>
      <x:c r="C4205" t="str">
        <x:v>POLITEKNIK NEGERI BANDUNG</x:v>
      </x:c>
      <x:c r="D4205" t="str">
        <x:v>USAHA PERJALANAN WISATA</x:v>
      </x:c>
      <x:c r="E4205" t="str">
        <x:v>Diploma Tiga</x:v>
      </x:c>
      <x:c r="F4205" s="18" t="n">
        <x:v>32</x:v>
      </x:c>
      <x:c r="G4205" s="18" t="n">
        <x:v>1337</x:v>
      </x:c>
      <x:c r="H4205" s="19" t="n">
        <x:v>41.78125</x:v>
      </x:c>
      <x:c r="I4205" s="18" t="n">
        <x:f>ROUND(MIN(Model_Config_v3!$B$6,MAX(Q4205,R4205,S4205*Model_Config_v3!$B$4+T4205*Model_Config_v3!$B$5)),0)</x:f>
        <x:v>693</x:v>
      </x:c>
      <x:c r="J4205" s="18" t="n">
        <x:f>MIN(Model_Config_v3!$B$6,I4205+Model_Config_v3!$B$7)</x:f>
        <x:v>713</x:v>
      </x:c>
      <x:c r="K4205" s="20" t="n">
        <x:v>65.3</x:v>
      </x:c>
      <x:c r="L4205" t="str">
        <x:v>SANGAT KETAT</x:v>
      </x:c>
      <x:c r="M4205" t="str">
        <x:v>SEDANG</x:v>
      </x:c>
      <x:c r="N4205" t="str">
        <x:v>REGULER</x:v>
      </x:c>
      <x:c r="O4205" t="str">
        <x:v>CAMPURAN</x:v>
      </x:c>
      <x:c r="P4205" t="str">
        <x:v>UMUM</x:v>
      </x:c>
      <x:c r="Q4205" s="18" t="n">
        <x:v>0</x:v>
      </x:c>
      <x:c r="R4205" s="18" t="n">
        <x:v>0</x:v>
      </x:c>
      <x:c r="S4205" s="18" t="n">
        <x:v>698.3079571836286</x:v>
      </x:c>
      <x:c r="T4205" s="18" t="n">
        <x:v>691</x:v>
      </x:c>
      <x:c r="U4205" s="18" t="n">
        <x:v>698.3079571836286</x:v>
      </x:c>
      <x:c r="V4205" s="20" t="n">
        <x:v>8.8</x:v>
      </x:c>
      <x:c r="W4205" s="20" t="n">
        <x:v>9.9</x:v>
      </x:c>
      <x:c r="X4205" s="20" t="n">
        <x:v>3.3</x:v>
      </x:c>
      <x:c r="Y4205" t="str">
        <x:v>Basis arsip 2025/2024</x:v>
      </x:c>
      <x:c r="Z4205" t="str">
        <x:v>https://snpmb.id/utbk-snbt/daya-tampung-snbt</x:v>
      </x:c>
      <x:c r="AA4205" t="str">
        <x:v>Tidak Ada</x:v>
      </x:c>
      <x:c r="AB4205" t="str">
        <x:v>Campus=55; Ratio=95.4; Prodi=40; RelDemand=68.9; Capacity=73.3</x:v>
      </x:c>
    </x:row>
    <x:row r="4206">
      <x:c r="A4206" t="n">
        <x:v>4203</x:v>
      </x:c>
      <x:c r="B4206" t="str">
        <x:v>PTN Vokasi</x:v>
      </x:c>
      <x:c r="C4206" t="str">
        <x:v>POLITEKNIK NEGERI BANDUNG</x:v>
      </x:c>
      <x:c r="D4206" t="str">
        <x:v>TEKNIK KIMIA</x:v>
      </x:c>
      <x:c r="E4206" t="str">
        <x:v>Diploma Tiga</x:v>
      </x:c>
      <x:c r="F4206" s="18" t="n">
        <x:v>64</x:v>
      </x:c>
      <x:c r="G4206" s="18" t="n">
        <x:v>1191</x:v>
      </x:c>
      <x:c r="H4206" s="19" t="n">
        <x:v>18.609375</x:v>
      </x:c>
      <x:c r="I4206" s="18" t="n">
        <x:f>ROUND(MIN(Model_Config_v3!$B$6,MAX(Q4206,R4206,S4206*Model_Config_v3!$B$4+T4206*Model_Config_v3!$B$5)),0)</x:f>
        <x:v>670</x:v>
      </x:c>
      <x:c r="J4206" s="18" t="n">
        <x:f>MIN(Model_Config_v3!$B$6,I4206+Model_Config_v3!$B$7)</x:f>
        <x:v>690</x:v>
      </x:c>
      <x:c r="K4206" s="20" t="n">
        <x:v>57.7</x:v>
      </x:c>
      <x:c r="L4206" t="str">
        <x:v>KETAT</x:v>
      </x:c>
      <x:c r="M4206" t="str">
        <x:v>SEDANG+</x:v>
      </x:c>
      <x:c r="N4206" t="str">
        <x:v>REGULER</x:v>
      </x:c>
      <x:c r="O4206" t="str">
        <x:v>SAINTEK</x:v>
      </x:c>
      <x:c r="P4206" t="str">
        <x:v>TEKNIK/ARSITEKTUR/STATISTIKA/AKTUARIA</x:v>
      </x:c>
      <x:c r="Q4206" s="18" t="n">
        <x:v>0</x:v>
      </x:c>
      <x:c r="R4206" s="18" t="n">
        <x:v>0</x:v>
      </x:c>
      <x:c r="S4206" s="18" t="n">
        <x:v>659.670496624878</x:v>
      </x:c>
      <x:c r="T4206" s="18" t="n">
        <x:v>675</x:v>
      </x:c>
      <x:c r="U4206" s="18" t="n">
        <x:v>669.670496624878</x:v>
      </x:c>
      <x:c r="V4206" s="20" t="n">
        <x:v>12</x:v>
      </x:c>
      <x:c r="W4206" s="20" t="n">
        <x:v>5</x:v>
      </x:c>
      <x:c r="X4206" s="20" t="n">
        <x:v>3</x:v>
      </x:c>
      <x:c r="Y4206" t="str">
        <x:v>Basis arsip 2025/2024</x:v>
      </x:c>
      <x:c r="Z4206" t="str">
        <x:v>https://snpmb.id/utbk-snbt/daya-tampung-snbt</x:v>
      </x:c>
      <x:c r="AA4206" t="str">
        <x:v>Tidak Ada</x:v>
      </x:c>
      <x:c r="AB4206" t="str">
        <x:v>Campus=55; Ratio=74.7; Prodi=60; RelDemand=30.7; Capacity=46.7</x:v>
      </x:c>
    </x:row>
    <x:row r="4207">
      <x:c r="A4207" t="n">
        <x:v>4204</x:v>
      </x:c>
      <x:c r="B4207" t="str">
        <x:v>PTN Vokasi</x:v>
      </x:c>
      <x:c r="C4207" t="str">
        <x:v>POLITEKNIK NEGERI BANDUNG</x:v>
      </x:c>
      <x:c r="D4207" t="str">
        <x:v>TEKNIK TELEKOMUNIKASI</x:v>
      </x:c>
      <x:c r="E4207" t="str">
        <x:v>Diploma Tiga</x:v>
      </x:c>
      <x:c r="F4207" s="18" t="n">
        <x:v>32</x:v>
      </x:c>
      <x:c r="G4207" s="18" t="n">
        <x:v>742</x:v>
      </x:c>
      <x:c r="H4207" s="19" t="n">
        <x:v>23.1875</x:v>
      </x:c>
      <x:c r="I4207" s="18" t="n">
        <x:f>ROUND(MIN(Model_Config_v3!$B$6,MAX(Q4207,R4207,S4207*Model_Config_v3!$B$4+T4207*Model_Config_v3!$B$5)),0)</x:f>
        <x:v>681</x:v>
      </x:c>
      <x:c r="J4207" s="18" t="n">
        <x:f>MIN(Model_Config_v3!$B$6,I4207+Model_Config_v3!$B$7)</x:f>
        <x:v>701</x:v>
      </x:c>
      <x:c r="K4207" s="20" t="n">
        <x:v>62.5</x:v>
      </x:c>
      <x:c r="L4207" t="str">
        <x:v>KETAT</x:v>
      </x:c>
      <x:c r="M4207" t="str">
        <x:v>SEDANG+</x:v>
      </x:c>
      <x:c r="N4207" t="str">
        <x:v>REGULER</x:v>
      </x:c>
      <x:c r="O4207" t="str">
        <x:v>SAINTEK</x:v>
      </x:c>
      <x:c r="P4207" t="str">
        <x:v>TEKNIK/ARSITEKTUR/STATISTIKA/AKTUARIA</x:v>
      </x:c>
      <x:c r="Q4207" s="18" t="n">
        <x:v>0</x:v>
      </x:c>
      <x:c r="R4207" s="18" t="n">
        <x:v>0</x:v>
      </x:c>
      <x:c r="S4207" s="18" t="n">
        <x:v>670.1779319655033</x:v>
      </x:c>
      <x:c r="T4207" s="18" t="n">
        <x:v>685</x:v>
      </x:c>
      <x:c r="U4207" s="18" t="n">
        <x:v>680.1779319655033</x:v>
      </x:c>
      <x:c r="V4207" s="20" t="n">
        <x:v>12</x:v>
      </x:c>
      <x:c r="W4207" s="20" t="n">
        <x:v>5</x:v>
      </x:c>
      <x:c r="X4207" s="20" t="n">
        <x:v>3</x:v>
      </x:c>
      <x:c r="Y4207" t="str">
        <x:v>Basis arsip 2025/2024</x:v>
      </x:c>
      <x:c r="Z4207" t="str">
        <x:v>https://snpmb.id/utbk-snbt/daya-tampung-snbt</x:v>
      </x:c>
      <x:c r="AA4207" t="str">
        <x:v>Tidak Ada</x:v>
      </x:c>
      <x:c r="AB4207" t="str">
        <x:v>Campus=55; Ratio=80.4; Prodi=60; RelDemand=38.2; Capacity=73.3</x:v>
      </x:c>
    </x:row>
    <x:row r="4208">
      <x:c r="A4208" t="n">
        <x:v>4205</x:v>
      </x:c>
      <x:c r="B4208" t="str">
        <x:v>PTN Vokasi</x:v>
      </x:c>
      <x:c r="C4208" t="str">
        <x:v>POLITEKNIK NEGERI BANDUNG</x:v>
      </x:c>
      <x:c r="D4208" t="str">
        <x:v>TEKNIK ELEKTRONIKA</x:v>
      </x:c>
      <x:c r="E4208" t="str">
        <x:v>Diploma Tiga</x:v>
      </x:c>
      <x:c r="F4208" s="18" t="n">
        <x:v>32</x:v>
      </x:c>
      <x:c r="G4208" s="18" t="n">
        <x:v>675</x:v>
      </x:c>
      <x:c r="H4208" s="19" t="n">
        <x:v>21.09375</x:v>
      </x:c>
      <x:c r="I4208" s="18" t="n">
        <x:f>ROUND(MIN(Model_Config_v3!$B$6,MAX(Q4208,R4208,S4208*Model_Config_v3!$B$4+T4208*Model_Config_v3!$B$5)),0)</x:f>
        <x:v>678</x:v>
      </x:c>
      <x:c r="J4208" s="18" t="n">
        <x:f>MIN(Model_Config_v3!$B$6,I4208+Model_Config_v3!$B$7)</x:f>
        <x:v>698</x:v>
      </x:c>
      <x:c r="K4208" s="20" t="n">
        <x:v>61.5</x:v>
      </x:c>
      <x:c r="L4208" t="str">
        <x:v>KETAT</x:v>
      </x:c>
      <x:c r="M4208" t="str">
        <x:v>SEDANG+</x:v>
      </x:c>
      <x:c r="N4208" t="str">
        <x:v>REGULER</x:v>
      </x:c>
      <x:c r="O4208" t="str">
        <x:v>SAINTEK</x:v>
      </x:c>
      <x:c r="P4208" t="str">
        <x:v>TEKNIK/ARSITEKTUR/STATISTIKA/AKTUARIA</x:v>
      </x:c>
      <x:c r="Q4208" s="18" t="n">
        <x:v>0</x:v>
      </x:c>
      <x:c r="R4208" s="18" t="n">
        <x:v>0</x:v>
      </x:c>
      <x:c r="S4208" s="18" t="n">
        <x:v>665.6569173962231</x:v>
      </x:c>
      <x:c r="T4208" s="18" t="n">
        <x:v>683</x:v>
      </x:c>
      <x:c r="U4208" s="18" t="n">
        <x:v>675.6569173962231</x:v>
      </x:c>
      <x:c r="V4208" s="20" t="n">
        <x:v>12</x:v>
      </x:c>
      <x:c r="W4208" s="20" t="n">
        <x:v>5</x:v>
      </x:c>
      <x:c r="X4208" s="20" t="n">
        <x:v>3</x:v>
      </x:c>
      <x:c r="Y4208" t="str">
        <x:v>Basis arsip 2025/2024</x:v>
      </x:c>
      <x:c r="Z4208" t="str">
        <x:v>https://snpmb.id/utbk-snbt/daya-tampung-snbt</x:v>
      </x:c>
      <x:c r="AA4208" t="str">
        <x:v>Tidak Ada</x:v>
      </x:c>
      <x:c r="AB4208" t="str">
        <x:v>Campus=55; Ratio=77.9; Prodi=60; RelDemand=34.8; Capacity=73.3</x:v>
      </x:c>
    </x:row>
    <x:row r="4209">
      <x:c r="A4209" t="n">
        <x:v>4206</x:v>
      </x:c>
      <x:c r="B4209" t="str">
        <x:v>PTN Vokasi</x:v>
      </x:c>
      <x:c r="C4209" t="str">
        <x:v>POLITEKNIK NEGERI BANDUNG</x:v>
      </x:c>
      <x:c r="D4209" t="str">
        <x:v>TEKNIK LISTRIK</x:v>
      </x:c>
      <x:c r="E4209" t="str">
        <x:v>Diploma Tiga</x:v>
      </x:c>
      <x:c r="F4209" s="18" t="n">
        <x:v>32</x:v>
      </x:c>
      <x:c r="G4209" s="18" t="n">
        <x:v>430</x:v>
      </x:c>
      <x:c r="H4209" s="19" t="n">
        <x:v>13.4375</x:v>
      </x:c>
      <x:c r="I4209" s="18" t="n">
        <x:f>ROUND(MIN(Model_Config_v3!$B$6,MAX(Q4209,R4209,S4209*Model_Config_v3!$B$4+T4209*Model_Config_v3!$B$5)),0)</x:f>
        <x:v>666</x:v>
      </x:c>
      <x:c r="J4209" s="18" t="n">
        <x:f>MIN(Model_Config_v3!$B$6,I4209+Model_Config_v3!$B$7)</x:f>
        <x:v>686</x:v>
      </x:c>
      <x:c r="K4209" s="20" t="n">
        <x:v>57.4</x:v>
      </x:c>
      <x:c r="L4209" t="str">
        <x:v>KETAT</x:v>
      </x:c>
      <x:c r="M4209" t="str">
        <x:v>SEDANG+</x:v>
      </x:c>
      <x:c r="N4209" t="str">
        <x:v>REGULER</x:v>
      </x:c>
      <x:c r="O4209" t="str">
        <x:v>SAINTEK</x:v>
      </x:c>
      <x:c r="P4209" t="str">
        <x:v>TEKNIK/ARSITEKTUR/STATISTIKA/AKTUARIA</x:v>
      </x:c>
      <x:c r="Q4209" s="18" t="n">
        <x:v>0</x:v>
      </x:c>
      <x:c r="R4209" s="18" t="n">
        <x:v>0</x:v>
      </x:c>
      <x:c r="S4209" s="18" t="n">
        <x:v>644.1150324985649</x:v>
      </x:c>
      <x:c r="T4209" s="18" t="n">
        <x:v>675</x:v>
      </x:c>
      <x:c r="U4209" s="18" t="n">
        <x:v>654.1150324985649</x:v>
      </x:c>
      <x:c r="V4209" s="20" t="n">
        <x:v>12</x:v>
      </x:c>
      <x:c r="W4209" s="20" t="n">
        <x:v>5</x:v>
      </x:c>
      <x:c r="X4209" s="20" t="n">
        <x:v>3</x:v>
      </x:c>
      <x:c r="Y4209" t="str">
        <x:v>Basis arsip 2025/2024</x:v>
      </x:c>
      <x:c r="Z4209" t="str">
        <x:v>https://snpmb.id/utbk-snbt/daya-tampung-snbt</x:v>
      </x:c>
      <x:c r="AA4209" t="str">
        <x:v>Tidak Ada</x:v>
      </x:c>
      <x:c r="AB4209" t="str">
        <x:v>Campus=55; Ratio=66.4; Prodi=60; RelDemand=22.2; Capacity=73.3</x:v>
      </x:c>
    </x:row>
    <x:row r="4210">
      <x:c r="A4210" t="n">
        <x:v>4207</x:v>
      </x:c>
      <x:c r="B4210" t="str">
        <x:v>PTN Vokasi</x:v>
      </x:c>
      <x:c r="C4210" t="str">
        <x:v>POLITEKNIK MANUFAKTUR BANDUNG</x:v>
      </x:c>
      <x:c r="D4210" t="str">
        <x:v>TEKNOLOGI REKAYASA MANUFAKTUR</x:v>
      </x:c>
      <x:c r="E4210" t="str">
        <x:v>Sarjana Terapan</x:v>
      </x:c>
      <x:c r="F4210" s="18" t="n">
        <x:v>21</x:v>
      </x:c>
      <x:c r="G4210" s="18" t="n">
        <x:v>339</x:v>
      </x:c>
      <x:c r="H4210" s="19" t="n">
        <x:v>16.142857142857142</x:v>
      </x:c>
      <x:c r="I4210" s="18" t="n">
        <x:f>ROUND(MIN(Model_Config_v3!$B$6,MAX(Q4210,R4210,S4210*Model_Config_v3!$B$4+T4210*Model_Config_v3!$B$5)),0)</x:f>
        <x:v>673</x:v>
      </x:c>
      <x:c r="J4210" s="18" t="n">
        <x:f>MIN(Model_Config_v3!$B$6,I4210+Model_Config_v3!$B$7)</x:f>
        <x:v>693</x:v>
      </x:c>
      <x:c r="K4210" s="20" t="n">
        <x:v>60.9</x:v>
      </x:c>
      <x:c r="L4210" t="str">
        <x:v>KETAT</x:v>
      </x:c>
      <x:c r="M4210" t="str">
        <x:v>SEDANG</x:v>
      </x:c>
      <x:c r="N4210" t="str">
        <x:v>REGULER</x:v>
      </x:c>
      <x:c r="O4210" t="str">
        <x:v>SAINTEK</x:v>
      </x:c>
      <x:c r="P4210" t="str">
        <x:v>UMUM</x:v>
      </x:c>
      <x:c r="Q4210" s="18" t="n">
        <x:v>0</x:v>
      </x:c>
      <x:c r="R4210" s="18" t="n">
        <x:v>0</x:v>
      </x:c>
      <x:c r="S4210" s="18" t="n">
        <x:v>652.8778443816079</x:v>
      </x:c>
      <x:c r="T4210" s="18" t="n">
        <x:v>682</x:v>
      </x:c>
      <x:c r="U4210" s="18" t="n">
        <x:v>652.8778443816079</x:v>
      </x:c>
      <x:c r="V4210" s="20" t="n">
        <x:v>12</x:v>
      </x:c>
      <x:c r="W4210" s="20" t="n">
        <x:v>5</x:v>
      </x:c>
      <x:c r="X4210" s="20" t="n">
        <x:v>3</x:v>
      </x:c>
      <x:c r="Y4210" t="str">
        <x:v>Basis arsip 2025/2024</x:v>
      </x:c>
      <x:c r="Z4210" t="str">
        <x:v>https://snpmb.id/utbk-snbt/daya-tampung-snbt</x:v>
      </x:c>
      <x:c r="AA4210" t="str">
        <x:v>Tidak Ada</x:v>
      </x:c>
      <x:c r="AB4210" t="str">
        <x:v>Campus=55; Ratio=71.1; Prodi=40; RelDemand=76.0; Capacity=82.5</x:v>
      </x:c>
    </x:row>
    <x:row r="4211">
      <x:c r="A4211" t="n">
        <x:v>4208</x:v>
      </x:c>
      <x:c r="B4211" t="str">
        <x:v>PTN Vokasi</x:v>
      </x:c>
      <x:c r="C4211" t="str">
        <x:v>POLITEKNIK MANUFAKTUR BANDUNG</x:v>
      </x:c>
      <x:c r="D4211" t="str">
        <x:v>TEKNOLOGI REKAYASA PERANCANGAN MANUFAKTUR</x:v>
      </x:c>
      <x:c r="E4211" t="str">
        <x:v>Sarjana Terapan</x:v>
      </x:c>
      <x:c r="F4211" s="18" t="n">
        <x:v>20</x:v>
      </x:c>
      <x:c r="G4211" s="18" t="n">
        <x:v>167</x:v>
      </x:c>
      <x:c r="H4211" s="19" t="n">
        <x:v>8.35</x:v>
      </x:c>
      <x:c r="I4211" s="18" t="n">
        <x:f>ROUND(MIN(Model_Config_v3!$B$6,MAX(Q4211,R4211,S4211*Model_Config_v3!$B$4+T4211*Model_Config_v3!$B$5)),0)</x:f>
        <x:v>653</x:v>
      </x:c>
      <x:c r="J4211" s="18" t="n">
        <x:f>MIN(Model_Config_v3!$B$6,I4211+Model_Config_v3!$B$7)</x:f>
        <x:v>673</x:v>
      </x:c>
      <x:c r="K4211" s="20" t="n">
        <x:v>53.1</x:v>
      </x:c>
      <x:c r="L4211" t="str">
        <x:v>MENENGAH</x:v>
      </x:c>
      <x:c r="M4211" t="str">
        <x:v>SEDANG</x:v>
      </x:c>
      <x:c r="N4211" t="str">
        <x:v>REGULER</x:v>
      </x:c>
      <x:c r="O4211" t="str">
        <x:v>SAINTEK</x:v>
      </x:c>
      <x:c r="P4211" t="str">
        <x:v>UMUM</x:v>
      </x:c>
      <x:c r="Q4211" s="18" t="n">
        <x:v>0</x:v>
      </x:c>
      <x:c r="R4211" s="18" t="n">
        <x:v>0</x:v>
      </x:c>
      <x:c r="S4211" s="18" t="n">
        <x:v>621.3855123031963</x:v>
      </x:c>
      <x:c r="T4211" s="18" t="n">
        <x:v>666</x:v>
      </x:c>
      <x:c r="U4211" s="18" t="n">
        <x:v>621.3855123031963</x:v>
      </x:c>
      <x:c r="V4211" s="20" t="n">
        <x:v>12</x:v>
      </x:c>
      <x:c r="W4211" s="20" t="n">
        <x:v>5</x:v>
      </x:c>
      <x:c r="X4211" s="20" t="n">
        <x:v>3</x:v>
      </x:c>
      <x:c r="Y4211" t="str">
        <x:v>Basis arsip 2025/2024</x:v>
      </x:c>
      <x:c r="Z4211" t="str">
        <x:v>https://snpmb.id/utbk-snbt/daya-tampung-snbt</x:v>
      </x:c>
      <x:c r="AA4211" t="str">
        <x:v>Tidak Ada</x:v>
      </x:c>
      <x:c r="AB4211" t="str">
        <x:v>Campus=55; Ratio=54.2; Prodi=40; RelDemand=39.3; Capacity=83.3</x:v>
      </x:c>
    </x:row>
    <x:row r="4212">
      <x:c r="A4212" t="n">
        <x:v>4209</x:v>
      </x:c>
      <x:c r="B4212" t="str">
        <x:v>PTN Vokasi</x:v>
      </x:c>
      <x:c r="C4212" t="str">
        <x:v>POLITEKNIK MANUFAKTUR BANDUNG</x:v>
      </x:c>
      <x:c r="D4212" t="str">
        <x:v>TEKNOLOGI REKAYASA OTOMASI</x:v>
      </x:c>
      <x:c r="E4212" t="str">
        <x:v>Sarjana Terapan</x:v>
      </x:c>
      <x:c r="F4212" s="18" t="n">
        <x:v>21</x:v>
      </x:c>
      <x:c r="G4212" s="18" t="n">
        <x:v>177</x:v>
      </x:c>
      <x:c r="H4212" s="19" t="n">
        <x:v>8.428571428571429</x:v>
      </x:c>
      <x:c r="I4212" s="18" t="n">
        <x:f>ROUND(MIN(Model_Config_v3!$B$6,MAX(Q4212,R4212,S4212*Model_Config_v3!$B$4+T4212*Model_Config_v3!$B$5)),0)</x:f>
        <x:v>653</x:v>
      </x:c>
      <x:c r="J4212" s="18" t="n">
        <x:f>MIN(Model_Config_v3!$B$6,I4212+Model_Config_v3!$B$7)</x:f>
        <x:v>673</x:v>
      </x:c>
      <x:c r="K4212" s="20" t="n">
        <x:v>53.1</x:v>
      </x:c>
      <x:c r="L4212" t="str">
        <x:v>MENENGAH</x:v>
      </x:c>
      <x:c r="M4212" t="str">
        <x:v>SEDANG</x:v>
      </x:c>
      <x:c r="N4212" t="str">
        <x:v>REGULER</x:v>
      </x:c>
      <x:c r="O4212" t="str">
        <x:v>SAINTEK</x:v>
      </x:c>
      <x:c r="P4212" t="str">
        <x:v>UMUM</x:v>
      </x:c>
      <x:c r="Q4212" s="18" t="n">
        <x:v>0</x:v>
      </x:c>
      <x:c r="R4212" s="18" t="n">
        <x:v>0</x:v>
      </x:c>
      <x:c r="S4212" s="18" t="n">
        <x:v>621.8329368790676</x:v>
      </x:c>
      <x:c r="T4212" s="18" t="n">
        <x:v>666</x:v>
      </x:c>
      <x:c r="U4212" s="18" t="n">
        <x:v>621.8329368790676</x:v>
      </x:c>
      <x:c r="V4212" s="20" t="n">
        <x:v>12</x:v>
      </x:c>
      <x:c r="W4212" s="20" t="n">
        <x:v>5</x:v>
      </x:c>
      <x:c r="X4212" s="20" t="n">
        <x:v>3</x:v>
      </x:c>
      <x:c r="Y4212" t="str">
        <x:v>Basis arsip 2025/2024</x:v>
      </x:c>
      <x:c r="Z4212" t="str">
        <x:v>https://snpmb.id/utbk-snbt/daya-tampung-snbt</x:v>
      </x:c>
      <x:c r="AA4212" t="str">
        <x:v>Tidak Ada</x:v>
      </x:c>
      <x:c r="AB4212" t="str">
        <x:v>Campus=55; Ratio=54.5; Prodi=40; RelDemand=39.7; Capacity=82.5</x:v>
      </x:c>
    </x:row>
    <x:row r="4213">
      <x:c r="A4213" t="n">
        <x:v>4210</x:v>
      </x:c>
      <x:c r="B4213" t="str">
        <x:v>PTN Vokasi</x:v>
      </x:c>
      <x:c r="C4213" t="str">
        <x:v>POLITEKNIK MANUFAKTUR BANDUNG</x:v>
      </x:c>
      <x:c r="D4213" t="str">
        <x:v>TEKNOLOGI REKAYASA MATERIAL MAJU</x:v>
      </x:c>
      <x:c r="E4213" t="str">
        <x:v>Sarjana Terapan</x:v>
      </x:c>
      <x:c r="F4213" s="18" t="n">
        <x:v>20</x:v>
      </x:c>
      <x:c r="G4213" s="18" t="n">
        <x:v>66</x:v>
      </x:c>
      <x:c r="H4213" s="19" t="n">
        <x:v>3.3</x:v>
      </x:c>
      <x:c r="I4213" s="18" t="n">
        <x:f>ROUND(MIN(Model_Config_v3!$B$6,MAX(Q4213,R4213,S4213*Model_Config_v3!$B$4+T4213*Model_Config_v3!$B$5)),0)</x:f>
        <x:v>628</x:v>
      </x:c>
      <x:c r="J4213" s="18" t="n">
        <x:f>MIN(Model_Config_v3!$B$6,I4213+Model_Config_v3!$B$7)</x:f>
        <x:v>648</x:v>
      </x:c>
      <x:c r="K4213" s="20" t="n">
        <x:v>44.8</x:v>
      </x:c>
      <x:c r="L4213" t="str">
        <x:v>RELATIF LONGGAR</x:v>
      </x:c>
      <x:c r="M4213" t="str">
        <x:v>SEDANG</x:v>
      </x:c>
      <x:c r="N4213" t="str">
        <x:v>REGULER</x:v>
      </x:c>
      <x:c r="O4213" t="str">
        <x:v>SAINTEK</x:v>
      </x:c>
      <x:c r="P4213" t="str">
        <x:v>UMUM</x:v>
      </x:c>
      <x:c r="Q4213" s="18" t="n">
        <x:v>0</x:v>
      </x:c>
      <x:c r="R4213" s="18" t="n">
        <x:v>0</x:v>
      </x:c>
      <x:c r="S4213" s="18" t="n">
        <x:v>577.0365333865676</x:v>
      </x:c>
      <x:c r="T4213" s="18" t="n">
        <x:v>650</x:v>
      </x:c>
      <x:c r="U4213" s="18" t="n">
        <x:v>577.0365333865676</x:v>
      </x:c>
      <x:c r="V4213" s="20" t="n">
        <x:v>12</x:v>
      </x:c>
      <x:c r="W4213" s="20" t="n">
        <x:v>5</x:v>
      </x:c>
      <x:c r="X4213" s="20" t="n">
        <x:v>3</x:v>
      </x:c>
      <x:c r="Y4213" t="str">
        <x:v>Basis arsip 2025/2024</x:v>
      </x:c>
      <x:c r="Z4213" t="str">
        <x:v>https://snpmb.id/utbk-snbt/daya-tampung-snbt</x:v>
      </x:c>
      <x:c r="AA4213" t="str">
        <x:v>Tidak Ada</x:v>
      </x:c>
      <x:c r="AB4213" t="str">
        <x:v>Campus=55; Ratio=30.5; Prodi=40; RelDemand=15.5; Capacity=83.3</x:v>
      </x:c>
    </x:row>
    <x:row r="4214">
      <x:c r="A4214" t="n">
        <x:v>4211</x:v>
      </x:c>
      <x:c r="B4214" t="str">
        <x:v>PTN Vokasi</x:v>
      </x:c>
      <x:c r="C4214" t="str">
        <x:v>POLITEKNIK MANUFAKTUR BANDUNG</x:v>
      </x:c>
      <x:c r="D4214" t="str">
        <x:v>REKAYASA PERANCANGAN MEKANIK</x:v>
      </x:c>
      <x:c r="E4214" t="str">
        <x:v>Sarjana Terapan</x:v>
      </x:c>
      <x:c r="F4214" s="18" t="n">
        <x:v>20</x:v>
      </x:c>
      <x:c r="G4214" s="18" t="n">
        <x:v>125</x:v>
      </x:c>
      <x:c r="H4214" s="19" t="n">
        <x:v>6.25</x:v>
      </x:c>
      <x:c r="I4214" s="18" t="n">
        <x:f>ROUND(MIN(Model_Config_v3!$B$6,MAX(Q4214,R4214,S4214*Model_Config_v3!$B$4+T4214*Model_Config_v3!$B$5)),0)</x:f>
        <x:v>644</x:v>
      </x:c>
      <x:c r="J4214" s="18" t="n">
        <x:f>MIN(Model_Config_v3!$B$6,I4214+Model_Config_v3!$B$7)</x:f>
        <x:v>664</x:v>
      </x:c>
      <x:c r="K4214" s="20" t="n">
        <x:v>50.2</x:v>
      </x:c>
      <x:c r="L4214" t="str">
        <x:v>MENENGAH</x:v>
      </x:c>
      <x:c r="M4214" t="str">
        <x:v>SEDANG</x:v>
      </x:c>
      <x:c r="N4214" t="str">
        <x:v>REGULER</x:v>
      </x:c>
      <x:c r="O4214" t="str">
        <x:v>CAMPURAN</x:v>
      </x:c>
      <x:c r="P4214" t="str">
        <x:v>UMUM</x:v>
      </x:c>
      <x:c r="Q4214" s="18" t="n">
        <x:v>0</x:v>
      </x:c>
      <x:c r="R4214" s="18" t="n">
        <x:v>0</x:v>
      </x:c>
      <x:c r="S4214" s="18" t="n">
        <x:v>607.5468019078482</x:v>
      </x:c>
      <x:c r="T4214" s="18" t="n">
        <x:v>660</x:v>
      </x:c>
      <x:c r="U4214" s="18" t="n">
        <x:v>607.5468019078482</x:v>
      </x:c>
      <x:c r="V4214" s="20" t="n">
        <x:v>8.8</x:v>
      </x:c>
      <x:c r="W4214" s="20" t="n">
        <x:v>9.9</x:v>
      </x:c>
      <x:c r="X4214" s="20" t="n">
        <x:v>3.3</x:v>
      </x:c>
      <x:c r="Y4214" t="str">
        <x:v>Basis arsip 2025/2024</x:v>
      </x:c>
      <x:c r="Z4214" t="str">
        <x:v>https://snpmb.id/utbk-snbt/daya-tampung-snbt</x:v>
      </x:c>
      <x:c r="AA4214" t="str">
        <x:v>Tidak Ada</x:v>
      </x:c>
      <x:c r="AB4214" t="str">
        <x:v>Campus=55; Ratio=46.8; Prodi=40; RelDemand=29.4; Capacity=83.3</x:v>
      </x:c>
    </x:row>
    <x:row r="4215">
      <x:c r="A4215" t="n">
        <x:v>4212</x:v>
      </x:c>
      <x:c r="B4215" t="str">
        <x:v>PTN Vokasi</x:v>
      </x:c>
      <x:c r="C4215" t="str">
        <x:v>POLITEKNIK MANUFAKTUR BANDUNG</x:v>
      </x:c>
      <x:c r="D4215" t="str">
        <x:v>TEKNOLOGI REKAYASA MEKATRONIKA</x:v>
      </x:c>
      <x:c r="E4215" t="str">
        <x:v>Sarjana Terapan</x:v>
      </x:c>
      <x:c r="F4215" s="18" t="n">
        <x:v>21</x:v>
      </x:c>
      <x:c r="G4215" s="18" t="n">
        <x:v>289</x:v>
      </x:c>
      <x:c r="H4215" s="19" t="n">
        <x:v>13.761904761904763</x:v>
      </x:c>
      <x:c r="I4215" s="18" t="n">
        <x:f>ROUND(MIN(Model_Config_v3!$B$6,MAX(Q4215,R4215,S4215*Model_Config_v3!$B$4+T4215*Model_Config_v3!$B$5)),0)</x:f>
        <x:v>667</x:v>
      </x:c>
      <x:c r="J4215" s="18" t="n">
        <x:f>MIN(Model_Config_v3!$B$6,I4215+Model_Config_v3!$B$7)</x:f>
        <x:v>687</x:v>
      </x:c>
      <x:c r="K4215" s="20" t="n">
        <x:v>58.7</x:v>
      </x:c>
      <x:c r="L4215" t="str">
        <x:v>KETAT</x:v>
      </x:c>
      <x:c r="M4215" t="str">
        <x:v>SEDANG</x:v>
      </x:c>
      <x:c r="N4215" t="str">
        <x:v>REGULER</x:v>
      </x:c>
      <x:c r="O4215" t="str">
        <x:v>SAINTEK</x:v>
      </x:c>
      <x:c r="P4215" t="str">
        <x:v>UMUM</x:v>
      </x:c>
      <x:c r="Q4215" s="18" t="n">
        <x:v>0</x:v>
      </x:c>
      <x:c r="R4215" s="18" t="n">
        <x:v>0</x:v>
      </x:c>
      <x:c r="S4215" s="18" t="n">
        <x:v>645.2546402824892</x:v>
      </x:c>
      <x:c r="T4215" s="18" t="n">
        <x:v>677</x:v>
      </x:c>
      <x:c r="U4215" s="18" t="n">
        <x:v>645.2546402824892</x:v>
      </x:c>
      <x:c r="V4215" s="20" t="n">
        <x:v>12</x:v>
      </x:c>
      <x:c r="W4215" s="20" t="n">
        <x:v>5</x:v>
      </x:c>
      <x:c r="X4215" s="20" t="n">
        <x:v>3</x:v>
      </x:c>
      <x:c r="Y4215" t="str">
        <x:v>Basis arsip 2025/2024</x:v>
      </x:c>
      <x:c r="Z4215" t="str">
        <x:v>https://snpmb.id/utbk-snbt/daya-tampung-snbt</x:v>
      </x:c>
      <x:c r="AA4215" t="str">
        <x:v>Tidak Ada</x:v>
      </x:c>
      <x:c r="AB4215" t="str">
        <x:v>Campus=55; Ratio=67.0; Prodi=40; RelDemand=64.8; Capacity=82.5</x:v>
      </x:c>
    </x:row>
    <x:row r="4216">
      <x:c r="A4216" t="n">
        <x:v>4213</x:v>
      </x:c>
      <x:c r="B4216" t="str">
        <x:v>PTN Vokasi</x:v>
      </x:c>
      <x:c r="C4216" t="str">
        <x:v>POLITEKNIK MANUFAKTUR BANDUNG</x:v>
      </x:c>
      <x:c r="D4216" t="str">
        <x:v>MANAJEMEN TEKNOLOGI REKAYASA</x:v>
      </x:c>
      <x:c r="E4216" t="str">
        <x:v>Sarjana Terapan</x:v>
      </x:c>
      <x:c r="F4216" s="18" t="n">
        <x:v>26</x:v>
      </x:c>
      <x:c r="G4216" s="18" t="n">
        <x:v>237</x:v>
      </x:c>
      <x:c r="H4216" s="19" t="n">
        <x:v>9.115384615384615</x:v>
      </x:c>
      <x:c r="I4216" s="18" t="n">
        <x:f>ROUND(MIN(Model_Config_v3!$B$6,MAX(Q4216,R4216,S4216*Model_Config_v3!$B$4+T4216*Model_Config_v3!$B$5)),0)</x:f>
        <x:v>662</x:v>
      </x:c>
      <x:c r="J4216" s="18" t="n">
        <x:f>MIN(Model_Config_v3!$B$6,I4216+Model_Config_v3!$B$7)</x:f>
        <x:v>682</x:v>
      </x:c>
      <x:c r="K4216" s="20" t="n">
        <x:v>58.5</x:v>
      </x:c>
      <x:c r="L4216" t="str">
        <x:v>KETAT</x:v>
      </x:c>
      <x:c r="M4216" t="str">
        <x:v>SEDANG+</x:v>
      </x:c>
      <x:c r="N4216" t="str">
        <x:v>REGULER</x:v>
      </x:c>
      <x:c r="O4216" t="str">
        <x:v>SAINTEK</x:v>
      </x:c>
      <x:c r="P4216" t="str">
        <x:v>BISNIS/EKONOMI/AKUNTANSI</x:v>
      </x:c>
      <x:c r="Q4216" s="18" t="n">
        <x:v>0</x:v>
      </x:c>
      <x:c r="R4216" s="18" t="n">
        <x:v>0</x:v>
      </x:c>
      <x:c r="S4216" s="18" t="n">
        <x:v>625.5752497843214</x:v>
      </x:c>
      <x:c r="T4216" s="18" t="n">
        <x:v>677</x:v>
      </x:c>
      <x:c r="U4216" s="18" t="n">
        <x:v>640.5752497843214</x:v>
      </x:c>
      <x:c r="V4216" s="20" t="n">
        <x:v>12</x:v>
      </x:c>
      <x:c r="W4216" s="20" t="n">
        <x:v>5</x:v>
      </x:c>
      <x:c r="X4216" s="20" t="n">
        <x:v>3</x:v>
      </x:c>
      <x:c r="Y4216" t="str">
        <x:v>Basis arsip 2025/2024</x:v>
      </x:c>
      <x:c r="Z4216" t="str">
        <x:v>https://snpmb.id/utbk-snbt/daya-tampung-snbt</x:v>
      </x:c>
      <x:c r="AA4216" t="str">
        <x:v>Tidak Ada</x:v>
      </x:c>
      <x:c r="AB4216" t="str">
        <x:v>Campus=55; Ratio=56.5; Prodi=65; RelDemand=42.9; Capacity=78.3</x:v>
      </x:c>
    </x:row>
    <x:row r="4217">
      <x:c r="A4217" t="n">
        <x:v>4214</x:v>
      </x:c>
      <x:c r="B4217" t="str">
        <x:v>PTN Vokasi</x:v>
      </x:c>
      <x:c r="C4217" t="str">
        <x:v>POLITEKNIK MANUFAKTUR BANDUNG</x:v>
      </x:c>
      <x:c r="D4217" t="str">
        <x:v>TEKNOLOGI REKAYASA INFORMATIKA INDUSTRI</x:v>
      </x:c>
      <x:c r="E4217" t="str">
        <x:v>Sarjana Terapan</x:v>
      </x:c>
      <x:c r="F4217" s="18" t="n">
        <x:v>21</x:v>
      </x:c>
      <x:c r="G4217" s="18" t="n">
        <x:v>381</x:v>
      </x:c>
      <x:c r="H4217" s="19" t="n">
        <x:v>18.142857142857142</x:v>
      </x:c>
      <x:c r="I4217" s="18" t="n">
        <x:f>ROUND(MIN(Model_Config_v3!$B$6,MAX(Q4217,R4217,S4217*Model_Config_v3!$B$4+T4217*Model_Config_v3!$B$5)),0)</x:f>
        <x:v>690</x:v>
      </x:c>
      <x:c r="J4217" s="18" t="n">
        <x:f>MIN(Model_Config_v3!$B$6,I4217+Model_Config_v3!$B$7)</x:f>
        <x:v>710</x:v>
      </x:c>
      <x:c r="K4217" s="20" t="n">
        <x:v>71.6</x:v>
      </x:c>
      <x:c r="L4217" t="str">
        <x:v>SANGAT KETAT</x:v>
      </x:c>
      <x:c r="M4217" t="str">
        <x:v>SEDANG+</x:v>
      </x:c>
      <x:c r="N4217" t="str">
        <x:v>REGULER</x:v>
      </x:c>
      <x:c r="O4217" t="str">
        <x:v>SAINTEK</x:v>
      </x:c>
      <x:c r="P4217" t="str">
        <x:v>KOMPUTER/INFORMATIKA</x:v>
      </x:c>
      <x:c r="Q4217" s="18" t="n">
        <x:v>0</x:v>
      </x:c>
      <x:c r="R4217" s="18" t="n">
        <x:v>0</x:v>
      </x:c>
      <x:c r="S4217" s="18" t="n">
        <x:v>658.457624903587</x:v>
      </x:c>
      <x:c r="T4217" s="18" t="n">
        <x:v>703</x:v>
      </x:c>
      <x:c r="U4217" s="18" t="n">
        <x:v>683.457624903587</x:v>
      </x:c>
      <x:c r="V4217" s="20" t="n">
        <x:v>12</x:v>
      </x:c>
      <x:c r="W4217" s="20" t="n">
        <x:v>5</x:v>
      </x:c>
      <x:c r="X4217" s="20" t="n">
        <x:v>3</x:v>
      </x:c>
      <x:c r="Y4217" t="str">
        <x:v>Basis arsip 2025/2024</x:v>
      </x:c>
      <x:c r="Z4217" t="str">
        <x:v>https://snpmb.id/utbk-snbt/daya-tampung-snbt</x:v>
      </x:c>
      <x:c r="AA4217" t="str">
        <x:v>Tidak Ada</x:v>
      </x:c>
      <x:c r="AB4217" t="str">
        <x:v>Campus=55; Ratio=74.1; Prodi=85; RelDemand=85.4; Capacity=82.5</x:v>
      </x:c>
    </x:row>
    <x:row r="4218">
      <x:c r="A4218" t="n">
        <x:v>4215</x:v>
      </x:c>
      <x:c r="B4218" t="str">
        <x:v>PTN Vokasi</x:v>
      </x:c>
      <x:c r="C4218" t="str">
        <x:v>POLITEKNIK MANUFAKTUR BANDUNG</x:v>
      </x:c>
      <x:c r="D4218" t="str">
        <x:v>TEKNOLOGI REKAYASA SISTEM AERIAL NIRAWAK</x:v>
      </x:c>
      <x:c r="E4218" t="str">
        <x:v>Sarjana Terapan</x:v>
      </x:c>
      <x:c r="F4218" s="18" t="n">
        <x:v>10</x:v>
      </x:c>
      <x:c r="G4218" s="18"/>
      <x:c r="H4218" s="19" t="n">
        <x:v>0</x:v>
      </x:c>
      <x:c r="I4218" s="18" t="n">
        <x:f>ROUND(MIN(Model_Config_v3!$B$6,MAX(Q4218,R4218,S4218*Model_Config_v3!$B$4+T4218*Model_Config_v3!$B$5)),0)</x:f>
        <x:v>599</x:v>
      </x:c>
      <x:c r="J4218" s="18" t="n">
        <x:f>MIN(Model_Config_v3!$B$6,I4218+Model_Config_v3!$B$7)</x:f>
        <x:v>619</x:v>
      </x:c>
      <x:c r="K4218" s="20" t="n">
        <x:v>36.4</x:v>
      </x:c>
      <x:c r="L4218" t="str">
        <x:v>RELATIF LONGGAR</x:v>
      </x:c>
      <x:c r="M4218" t="str">
        <x:v>RENDAH</x:v>
      </x:c>
      <x:c r="N4218" t="str">
        <x:v>REGULER</x:v>
      </x:c>
      <x:c r="O4218" t="str">
        <x:v>SAINTEK</x:v>
      </x:c>
      <x:c r="P4218" t="str">
        <x:v>UMUM</x:v>
      </x:c>
      <x:c r="Q4218" s="18" t="n">
        <x:v>0</x:v>
      </x:c>
      <x:c r="R4218" s="18" t="n">
        <x:v>0</x:v>
      </x:c>
      <x:c r="S4218" s="18" t="n">
        <x:v>520</x:v>
      </x:c>
      <x:c r="T4218" s="18" t="n">
        <x:v>633</x:v>
      </x:c>
      <x:c r="U4218" s="18" t="n">
        <x:v>520</x:v>
      </x:c>
      <x:c r="V4218" s="20" t="n">
        <x:v>12</x:v>
      </x:c>
      <x:c r="W4218" s="20" t="n">
        <x:v>5</x:v>
      </x:c>
      <x:c r="X4218" s="20" t="n">
        <x:v>3</x:v>
      </x:c>
      <x:c r="Y4218" t="str">
        <x:v>Basis arsip 2025/2024</x:v>
      </x:c>
      <x:c r="Z4218" t="str">
        <x:v>https://snpmb.id/utbk-snbt/daya-tampung-snbt</x:v>
      </x:c>
      <x:c r="AA4218" t="str">
        <x:v>Tidak Ada</x:v>
      </x:c>
      <x:c r="AB4218" t="str">
        <x:v>Campus=55; Ratio=0.0; Prodi=40; RelDemand=0.0; Capacity=91.7</x:v>
      </x:c>
    </x:row>
    <x:row r="4219">
      <x:c r="A4219" t="n">
        <x:v>4216</x:v>
      </x:c>
      <x:c r="B4219" t="str">
        <x:v>PTN Vokasi</x:v>
      </x:c>
      <x:c r="C4219" t="str">
        <x:v>POLITEKNIK MANUFAKTUR BANDUNG</x:v>
      </x:c>
      <x:c r="D4219" t="str">
        <x:v>PEMELIHARAAN MESIN</x:v>
      </x:c>
      <x:c r="E4219" t="str">
        <x:v>Diploma Tiga</x:v>
      </x:c>
      <x:c r="F4219" s="18" t="n">
        <x:v>21</x:v>
      </x:c>
      <x:c r="G4219" s="18" t="n">
        <x:v>350</x:v>
      </x:c>
      <x:c r="H4219" s="19" t="n">
        <x:v>16.666666666666668</x:v>
      </x:c>
      <x:c r="I4219" s="18" t="n">
        <x:f>ROUND(MIN(Model_Config_v3!$B$6,MAX(Q4219,R4219,S4219*Model_Config_v3!$B$4+T4219*Model_Config_v3!$B$5)),0)</x:f>
        <x:v>674</x:v>
      </x:c>
      <x:c r="J4219" s="18" t="n">
        <x:f>MIN(Model_Config_v3!$B$6,I4219+Model_Config_v3!$B$7)</x:f>
        <x:v>694</x:v>
      </x:c>
      <x:c r="K4219" s="20" t="n">
        <x:v>61.3</x:v>
      </x:c>
      <x:c r="L4219" t="str">
        <x:v>KETAT</x:v>
      </x:c>
      <x:c r="M4219" t="str">
        <x:v>SEDANG</x:v>
      </x:c>
      <x:c r="N4219" t="str">
        <x:v>REGULER</x:v>
      </x:c>
      <x:c r="O4219" t="str">
        <x:v>CAMPURAN</x:v>
      </x:c>
      <x:c r="P4219" t="str">
        <x:v>UMUM</x:v>
      </x:c>
      <x:c r="Q4219" s="18" t="n">
        <x:v>0</x:v>
      </x:c>
      <x:c r="R4219" s="18" t="n">
        <x:v>0</x:v>
      </x:c>
      <x:c r="S4219" s="18" t="n">
        <x:v>654.4033624577992</x:v>
      </x:c>
      <x:c r="T4219" s="18" t="n">
        <x:v>683</x:v>
      </x:c>
      <x:c r="U4219" s="18" t="n">
        <x:v>654.4033624577992</x:v>
      </x:c>
      <x:c r="V4219" s="20" t="n">
        <x:v>8.8</x:v>
      </x:c>
      <x:c r="W4219" s="20" t="n">
        <x:v>9.9</x:v>
      </x:c>
      <x:c r="X4219" s="20" t="n">
        <x:v>3.3</x:v>
      </x:c>
      <x:c r="Y4219" t="str">
        <x:v>Basis arsip 2025/2024</x:v>
      </x:c>
      <x:c r="Z4219" t="str">
        <x:v>https://snpmb.id/utbk-snbt/daya-tampung-snbt</x:v>
      </x:c>
      <x:c r="AA4219" t="str">
        <x:v>Tidak Ada</x:v>
      </x:c>
      <x:c r="AB4219" t="str">
        <x:v>Campus=55; Ratio=71.9; Prodi=40; RelDemand=78.4; Capacity=82.5</x:v>
      </x:c>
    </x:row>
    <x:row r="4220">
      <x:c r="A4220" t="n">
        <x:v>4217</x:v>
      </x:c>
      <x:c r="B4220" t="str">
        <x:v>PTN Vokasi</x:v>
      </x:c>
      <x:c r="C4220" t="str">
        <x:v>POLITEKNIK MANUFAKTUR BANDUNG</x:v>
      </x:c>
      <x:c r="D4220" t="str">
        <x:v>TEKNOLOGI MANUFAKTUR</x:v>
      </x:c>
      <x:c r="E4220" t="str">
        <x:v>Diploma Tiga</x:v>
      </x:c>
      <x:c r="F4220" s="18" t="n">
        <x:v>21</x:v>
      </x:c>
      <x:c r="G4220" s="18" t="n">
        <x:v>601</x:v>
      </x:c>
      <x:c r="H4220" s="19" t="n">
        <x:v>28.61904761904762</x:v>
      </x:c>
      <x:c r="I4220" s="18" t="n">
        <x:f>ROUND(MIN(Model_Config_v3!$B$6,MAX(Q4220,R4220,S4220*Model_Config_v3!$B$4+T4220*Model_Config_v3!$B$5)),0)</x:f>
        <x:v>690</x:v>
      </x:c>
      <x:c r="J4220" s="18" t="n">
        <x:f>MIN(Model_Config_v3!$B$6,I4220+Model_Config_v3!$B$7)</x:f>
        <x:v>710</x:v>
      </x:c>
      <x:c r="K4220" s="20" t="n">
        <x:v>66.9</x:v>
      </x:c>
      <x:c r="L4220" t="str">
        <x:v>SANGAT KETAT</x:v>
      </x:c>
      <x:c r="M4220" t="str">
        <x:v>SEDANG</x:v>
      </x:c>
      <x:c r="N4220" t="str">
        <x:v>REGULER</x:v>
      </x:c>
      <x:c r="O4220" t="str">
        <x:v>SAINTEK</x:v>
      </x:c>
      <x:c r="P4220" t="str">
        <x:v>UMUM</x:v>
      </x:c>
      <x:c r="Q4220" s="18" t="n">
        <x:v>0</x:v>
      </x:c>
      <x:c r="R4220" s="18" t="n">
        <x:v>0</x:v>
      </x:c>
      <x:c r="S4220" s="18" t="n">
        <x:v>680.2320694995702</x:v>
      </x:c>
      <x:c r="T4220" s="18" t="n">
        <x:v>694</x:v>
      </x:c>
      <x:c r="U4220" s="18" t="n">
        <x:v>680.2320694995702</x:v>
      </x:c>
      <x:c r="V4220" s="20" t="n">
        <x:v>12</x:v>
      </x:c>
      <x:c r="W4220" s="20" t="n">
        <x:v>5</x:v>
      </x:c>
      <x:c r="X4220" s="20" t="n">
        <x:v>3</x:v>
      </x:c>
      <x:c r="Y4220" t="str">
        <x:v>Basis arsip 2025/2024</x:v>
      </x:c>
      <x:c r="Z4220" t="str">
        <x:v>https://snpmb.id/utbk-snbt/daya-tampung-snbt</x:v>
      </x:c>
      <x:c r="AA4220" t="str">
        <x:v>Tidak Ada</x:v>
      </x:c>
      <x:c r="AB4220" t="str">
        <x:v>Campus=55; Ratio=85.7; Prodi=40; RelDemand=100.0; Capacity=82.5</x:v>
      </x:c>
    </x:row>
    <x:row r="4221">
      <x:c r="A4221" t="n">
        <x:v>4218</x:v>
      </x:c>
      <x:c r="B4221" t="str">
        <x:v>PTN Vokasi</x:v>
      </x:c>
      <x:c r="C4221" t="str">
        <x:v>POLITEKNIK MANUFAKTUR BANDUNG</x:v>
      </x:c>
      <x:c r="D4221" t="str">
        <x:v>TEKNOLOGI PEMBUATAN PERKAKAS PRESISI</x:v>
      </x:c>
      <x:c r="E4221" t="str">
        <x:v>Diploma Tiga</x:v>
      </x:c>
      <x:c r="F4221" s="18" t="n">
        <x:v>21</x:v>
      </x:c>
      <x:c r="G4221" s="18" t="n">
        <x:v>130</x:v>
      </x:c>
      <x:c r="H4221" s="19" t="n">
        <x:v>6.190476190476191</x:v>
      </x:c>
      <x:c r="I4221" s="18" t="n">
        <x:f>ROUND(MIN(Model_Config_v3!$B$6,MAX(Q4221,R4221,S4221*Model_Config_v3!$B$4+T4221*Model_Config_v3!$B$5)),0)</x:f>
        <x:v>644</x:v>
      </x:c>
      <x:c r="J4221" s="18" t="n">
        <x:f>MIN(Model_Config_v3!$B$6,I4221+Model_Config_v3!$B$7)</x:f>
        <x:v>664</x:v>
      </x:c>
      <x:c r="K4221" s="20" t="n">
        <x:v>50.1</x:v>
      </x:c>
      <x:c r="L4221" t="str">
        <x:v>MENENGAH</x:v>
      </x:c>
      <x:c r="M4221" t="str">
        <x:v>SEDANG</x:v>
      </x:c>
      <x:c r="N4221" t="str">
        <x:v>REGULER</x:v>
      </x:c>
      <x:c r="O4221" t="str">
        <x:v>SAINTEK</x:v>
      </x:c>
      <x:c r="P4221" t="str">
        <x:v>UMUM</x:v>
      </x:c>
      <x:c r="Q4221" s="18" t="n">
        <x:v>0</x:v>
      </x:c>
      <x:c r="R4221" s="18" t="n">
        <x:v>0</x:v>
      </x:c>
      <x:c r="S4221" s="18" t="n">
        <x:v>607.0896463330209</x:v>
      </x:c>
      <x:c r="T4221" s="18" t="n">
        <x:v>660</x:v>
      </x:c>
      <x:c r="U4221" s="18" t="n">
        <x:v>607.0896463330209</x:v>
      </x:c>
      <x:c r="V4221" s="20" t="n">
        <x:v>12</x:v>
      </x:c>
      <x:c r="W4221" s="20" t="n">
        <x:v>5</x:v>
      </x:c>
      <x:c r="X4221" s="20" t="n">
        <x:v>3</x:v>
      </x:c>
      <x:c r="Y4221" t="str">
        <x:v>Basis arsip 2025/2024</x:v>
      </x:c>
      <x:c r="Z4221" t="str">
        <x:v>https://snpmb.id/utbk-snbt/daya-tampung-snbt</x:v>
      </x:c>
      <x:c r="AA4221" t="str">
        <x:v>Tidak Ada</x:v>
      </x:c>
      <x:c r="AB4221" t="str">
        <x:v>Campus=55; Ratio=46.6; Prodi=40; RelDemand=29.1; Capacity=82.5</x:v>
      </x:c>
    </x:row>
    <x:row r="4222">
      <x:c r="A4222" t="n">
        <x:v>4219</x:v>
      </x:c>
      <x:c r="B4222" t="str">
        <x:v>PTN Vokasi</x:v>
      </x:c>
      <x:c r="C4222" t="str">
        <x:v>POLITEKNIK MANUFAKTUR BANDUNG</x:v>
      </x:c>
      <x:c r="D4222" t="str">
        <x:v>TEKNOLOGI PERANCANGAN PERKAKAS PRESISI</x:v>
      </x:c>
      <x:c r="E4222" t="str">
        <x:v>Diploma Tiga</x:v>
      </x:c>
      <x:c r="F4222" s="18" t="n">
        <x:v>20</x:v>
      </x:c>
      <x:c r="G4222" s="18" t="n">
        <x:v>131</x:v>
      </x:c>
      <x:c r="H4222" s="19" t="n">
        <x:v>6.55</x:v>
      </x:c>
      <x:c r="I4222" s="18" t="n">
        <x:f>ROUND(MIN(Model_Config_v3!$B$6,MAX(Q4222,R4222,S4222*Model_Config_v3!$B$4+T4222*Model_Config_v3!$B$5)),0)</x:f>
        <x:v>646</x:v>
      </x:c>
      <x:c r="J4222" s="18" t="n">
        <x:f>MIN(Model_Config_v3!$B$6,I4222+Model_Config_v3!$B$7)</x:f>
        <x:v>666</x:v>
      </x:c>
      <x:c r="K4222" s="20" t="n">
        <x:v>50.7</x:v>
      </x:c>
      <x:c r="L4222" t="str">
        <x:v>MENENGAH</x:v>
      </x:c>
      <x:c r="M4222" t="str">
        <x:v>SEDANG</x:v>
      </x:c>
      <x:c r="N4222" t="str">
        <x:v>REGULER</x:v>
      </x:c>
      <x:c r="O4222" t="str">
        <x:v>SAINTEK</x:v>
      </x:c>
      <x:c r="P4222" t="str">
        <x:v>UMUM</x:v>
      </x:c>
      <x:c r="Q4222" s="18" t="n">
        <x:v>0</x:v>
      </x:c>
      <x:c r="R4222" s="18" t="n">
        <x:v>0</x:v>
      </x:c>
      <x:c r="S4222" s="18" t="n">
        <x:v>609.7865429990961</x:v>
      </x:c>
      <x:c r="T4222" s="18" t="n">
        <x:v>661</x:v>
      </x:c>
      <x:c r="U4222" s="18" t="n">
        <x:v>609.7865429990961</x:v>
      </x:c>
      <x:c r="V4222" s="20" t="n">
        <x:v>12</x:v>
      </x:c>
      <x:c r="W4222" s="20" t="n">
        <x:v>5</x:v>
      </x:c>
      <x:c r="X4222" s="20" t="n">
        <x:v>3</x:v>
      </x:c>
      <x:c r="Y4222" t="str">
        <x:v>Basis arsip 2025/2024</x:v>
      </x:c>
      <x:c r="Z4222" t="str">
        <x:v>https://snpmb.id/utbk-snbt/daya-tampung-snbt</x:v>
      </x:c>
      <x:c r="AA4222" t="str">
        <x:v>Tidak Ada</x:v>
      </x:c>
      <x:c r="AB4222" t="str">
        <x:v>Campus=55; Ratio=48.0; Prodi=40; RelDemand=30.8; Capacity=83.3</x:v>
      </x:c>
    </x:row>
    <x:row r="4223">
      <x:c r="A4223" t="n">
        <x:v>4220</x:v>
      </x:c>
      <x:c r="B4223" t="str">
        <x:v>PTN Vokasi</x:v>
      </x:c>
      <x:c r="C4223" t="str">
        <x:v>POLITEKNIK MANUFAKTUR BANDUNG</x:v>
      </x:c>
      <x:c r="D4223" t="str">
        <x:v>TEKNOLOGI PENGECORAN LOGAM</x:v>
      </x:c>
      <x:c r="E4223" t="str">
        <x:v>Diploma Tiga</x:v>
      </x:c>
      <x:c r="F4223" s="18" t="n">
        <x:v>29</x:v>
      </x:c>
      <x:c r="G4223" s="18" t="n">
        <x:v>210</x:v>
      </x:c>
      <x:c r="H4223" s="19" t="n">
        <x:v>7.241379310344827</x:v>
      </x:c>
      <x:c r="I4223" s="18" t="n">
        <x:f>ROUND(MIN(Model_Config_v3!$B$6,MAX(Q4223,R4223,S4223*Model_Config_v3!$B$4+T4223*Model_Config_v3!$B$5)),0)</x:f>
        <x:v>648</x:v>
      </x:c>
      <x:c r="J4223" s="18" t="n">
        <x:f>MIN(Model_Config_v3!$B$6,I4223+Model_Config_v3!$B$7)</x:f>
        <x:v>668</x:v>
      </x:c>
      <x:c r="K4223" s="20" t="n">
        <x:v>50.9</x:v>
      </x:c>
      <x:c r="L4223" t="str">
        <x:v>MENENGAH</x:v>
      </x:c>
      <x:c r="M4223" t="str">
        <x:v>SEDANG</x:v>
      </x:c>
      <x:c r="N4223" t="str">
        <x:v>REGULER</x:v>
      </x:c>
      <x:c r="O4223" t="str">
        <x:v>SAINTEK</x:v>
      </x:c>
      <x:c r="P4223" t="str">
        <x:v>UMUM</x:v>
      </x:c>
      <x:c r="Q4223" s="18" t="n">
        <x:v>0</x:v>
      </x:c>
      <x:c r="R4223" s="18" t="n">
        <x:v>0</x:v>
      </x:c>
      <x:c r="S4223" s="18" t="n">
        <x:v>614.580342651846</x:v>
      </x:c>
      <x:c r="T4223" s="18" t="n">
        <x:v>662</x:v>
      </x:c>
      <x:c r="U4223" s="18" t="n">
        <x:v>614.580342651846</x:v>
      </x:c>
      <x:c r="V4223" s="20" t="n">
        <x:v>12</x:v>
      </x:c>
      <x:c r="W4223" s="20" t="n">
        <x:v>5</x:v>
      </x:c>
      <x:c r="X4223" s="20" t="n">
        <x:v>3</x:v>
      </x:c>
      <x:c r="Y4223" t="str">
        <x:v>Basis arsip 2025/2024</x:v>
      </x:c>
      <x:c r="Z4223" t="str">
        <x:v>https://snpmb.id/utbk-snbt/daya-tampung-snbt</x:v>
      </x:c>
      <x:c r="AA4223" t="str">
        <x:v>Tidak Ada</x:v>
      </x:c>
      <x:c r="AB4223" t="str">
        <x:v>Campus=55; Ratio=50.6; Prodi=40; RelDemand=34.1; Capacity=75.8</x:v>
      </x:c>
    </x:row>
    <x:row r="4224">
      <x:c r="A4224" t="n">
        <x:v>4221</x:v>
      </x:c>
      <x:c r="B4224" t="str">
        <x:v>PTN Vokasi</x:v>
      </x:c>
      <x:c r="C4224" t="str">
        <x:v>POLITEKNIK NEGERI INDRAMAYU</x:v>
      </x:c>
      <x:c r="D4224" t="str">
        <x:v>PERANCANGAN MANUFAKTUR</x:v>
      </x:c>
      <x:c r="E4224" t="str">
        <x:v>Sarjana Terapan</x:v>
      </x:c>
      <x:c r="F4224" s="18" t="n">
        <x:v>48</x:v>
      </x:c>
      <x:c r="G4224" s="18" t="n">
        <x:v>58</x:v>
      </x:c>
      <x:c r="H4224" s="19" t="n">
        <x:v>1.2083333333333333</x:v>
      </x:c>
      <x:c r="I4224" s="18" t="n">
        <x:f>ROUND(MIN(Model_Config_v3!$B$6,MAX(Q4224,R4224,S4224*Model_Config_v3!$B$4+T4224*Model_Config_v3!$B$5)),0)</x:f>
        <x:v>602</x:v>
      </x:c>
      <x:c r="J4224" s="18" t="n">
        <x:f>MIN(Model_Config_v3!$B$6,I4224+Model_Config_v3!$B$7)</x:f>
        <x:v>622</x:v>
      </x:c>
      <x:c r="K4224" s="20" t="n">
        <x:v>36.7</x:v>
      </x:c>
      <x:c r="L4224" t="str">
        <x:v>RELATIF LONGGAR</x:v>
      </x:c>
      <x:c r="M4224" t="str">
        <x:v>SEDANG</x:v>
      </x:c>
      <x:c r="N4224" t="str">
        <x:v>REGULER</x:v>
      </x:c>
      <x:c r="O4224" t="str">
        <x:v>CAMPURAN</x:v>
      </x:c>
      <x:c r="P4224" t="str">
        <x:v>UMUM</x:v>
      </x:c>
      <x:c r="Q4224" s="18" t="n">
        <x:v>0</x:v>
      </x:c>
      <x:c r="R4224" s="18" t="n">
        <x:v>0</x:v>
      </x:c>
      <x:c r="S4224" s="18" t="n">
        <x:v>529.0405431806086</x:v>
      </x:c>
      <x:c r="T4224" s="18" t="n">
        <x:v>633</x:v>
      </x:c>
      <x:c r="U4224" s="18" t="n">
        <x:v>529.0405431806086</x:v>
      </x:c>
      <x:c r="V4224" s="20" t="n">
        <x:v>8.8</x:v>
      </x:c>
      <x:c r="W4224" s="20" t="n">
        <x:v>9.9</x:v>
      </x:c>
      <x:c r="X4224" s="20" t="n">
        <x:v>3.3</x:v>
      </x:c>
      <x:c r="Y4224" t="str">
        <x:v>Basis arsip 2025/2024</x:v>
      </x:c>
      <x:c r="Z4224" t="str">
        <x:v>https://snpmb.id/utbk-snbt/daya-tampung-snbt</x:v>
      </x:c>
      <x:c r="AA4224" t="str">
        <x:v>Tidak Ada</x:v>
      </x:c>
      <x:c r="AB4224" t="str">
        <x:v>Campus=55; Ratio=4.8; Prodi=40; RelDemand=22.5; Capacity=60.0</x:v>
      </x:c>
    </x:row>
    <x:row r="4225">
      <x:c r="A4225" t="n">
        <x:v>4222</x:v>
      </x:c>
      <x:c r="B4225" t="str">
        <x:v>PTN Vokasi</x:v>
      </x:c>
      <x:c r="C4225" t="str">
        <x:v>POLITEKNIK NEGERI INDRAMAYU</x:v>
      </x:c>
      <x:c r="D4225" t="str">
        <x:v>REKAYASA PERANGKAT LUNAK</x:v>
      </x:c>
      <x:c r="E4225" t="str">
        <x:v>Sarjana Terapan</x:v>
      </x:c>
      <x:c r="F4225" s="18" t="n">
        <x:v>48</x:v>
      </x:c>
      <x:c r="G4225" s="18" t="n">
        <x:v>87</x:v>
      </x:c>
      <x:c r="H4225" s="19" t="n">
        <x:v>1.8125</x:v>
      </x:c>
      <x:c r="I4225" s="18" t="n">
        <x:f>ROUND(MIN(Model_Config_v3!$B$6,MAX(Q4225,R4225,S4225*Model_Config_v3!$B$4+T4225*Model_Config_v3!$B$5)),0)</x:f>
        <x:v>613</x:v>
      </x:c>
      <x:c r="J4225" s="18" t="n">
        <x:f>MIN(Model_Config_v3!$B$6,I4225+Model_Config_v3!$B$7)</x:f>
        <x:v>633</x:v>
      </x:c>
      <x:c r="K4225" s="20" t="n">
        <x:v>40.4</x:v>
      </x:c>
      <x:c r="L4225" t="str">
        <x:v>RELATIF LONGGAR</x:v>
      </x:c>
      <x:c r="M4225" t="str">
        <x:v>SEDANG</x:v>
      </x:c>
      <x:c r="N4225" t="str">
        <x:v>REGULER</x:v>
      </x:c>
      <x:c r="O4225" t="str">
        <x:v>CAMPURAN</x:v>
      </x:c>
      <x:c r="P4225" t="str">
        <x:v>UMUM</x:v>
      </x:c>
      <x:c r="Q4225" s="18" t="n">
        <x:v>0</x:v>
      </x:c>
      <x:c r="R4225" s="18" t="n">
        <x:v>0</x:v>
      </x:c>
      <x:c r="S4225" s="18" t="n">
        <x:v>548.4105816767335</x:v>
      </x:c>
      <x:c r="T4225" s="18" t="n">
        <x:v>641</x:v>
      </x:c>
      <x:c r="U4225" s="18" t="n">
        <x:v>548.4105816767335</x:v>
      </x:c>
      <x:c r="V4225" s="20" t="n">
        <x:v>8.8</x:v>
      </x:c>
      <x:c r="W4225" s="20" t="n">
        <x:v>9.9</x:v>
      </x:c>
      <x:c r="X4225" s="20" t="n">
        <x:v>3.3</x:v>
      </x:c>
      <x:c r="Y4225" t="str">
        <x:v>Basis arsip 2025/2024</x:v>
      </x:c>
      <x:c r="Z4225" t="str">
        <x:v>https://snpmb.id/utbk-snbt/daya-tampung-snbt</x:v>
      </x:c>
      <x:c r="AA4225" t="str">
        <x:v>Tidak Ada</x:v>
      </x:c>
      <x:c r="AB4225" t="str">
        <x:v>Campus=55; Ratio=15.2; Prodi=40; RelDemand=33.7; Capacity=60.0</x:v>
      </x:c>
    </x:row>
    <x:row r="4226">
      <x:c r="A4226" t="n">
        <x:v>4223</x:v>
      </x:c>
      <x:c r="B4226" t="str">
        <x:v>PTN Vokasi</x:v>
      </x:c>
      <x:c r="C4226" t="str">
        <x:v>POLITEKNIK NEGERI INDRAMAYU</x:v>
      </x:c>
      <x:c r="D4226" t="str">
        <x:v>SISTEM INFORMASI KOTA CERDAS</x:v>
      </x:c>
      <x:c r="E4226" t="str">
        <x:v>Sarjana Terapan</x:v>
      </x:c>
      <x:c r="F4226" s="18" t="n">
        <x:v>48</x:v>
      </x:c>
      <x:c r="G4226" s="18" t="n">
        <x:v>95</x:v>
      </x:c>
      <x:c r="H4226" s="19" t="n">
        <x:v>1.9791666666666667</x:v>
      </x:c>
      <x:c r="I4226" s="18" t="n">
        <x:f>ROUND(MIN(Model_Config_v3!$B$6,MAX(Q4226,R4226,S4226*Model_Config_v3!$B$4+T4226*Model_Config_v3!$B$5)),0)</x:f>
        <x:v>628</x:v>
      </x:c>
      <x:c r="J4226" s="18" t="n">
        <x:f>MIN(Model_Config_v3!$B$6,I4226+Model_Config_v3!$B$7)</x:f>
        <x:v>648</x:v>
      </x:c>
      <x:c r="K4226" s="20" t="n">
        <x:v>50.3</x:v>
      </x:c>
      <x:c r="L4226" t="str">
        <x:v>MENENGAH</x:v>
      </x:c>
      <x:c r="M4226" t="str">
        <x:v>SEDANG+</x:v>
      </x:c>
      <x:c r="N4226" t="str">
        <x:v>REGULER</x:v>
      </x:c>
      <x:c r="O4226" t="str">
        <x:v>CAMPURAN</x:v>
      </x:c>
      <x:c r="P4226" t="str">
        <x:v>KOMPUTER/INFORMATIKA</x:v>
      </x:c>
      <x:c r="Q4226" s="18" t="n">
        <x:v>0</x:v>
      </x:c>
      <x:c r="R4226" s="18" t="n">
        <x:v>0</x:v>
      </x:c>
      <x:c r="S4226" s="18" t="n">
        <x:v>552.6130604704587</x:v>
      </x:c>
      <x:c r="T4226" s="18" t="n">
        <x:v>661</x:v>
      </x:c>
      <x:c r="U4226" s="18" t="n">
        <x:v>577.6130604704587</x:v>
      </x:c>
      <x:c r="V4226" s="20" t="n">
        <x:v>8.8</x:v>
      </x:c>
      <x:c r="W4226" s="20" t="n">
        <x:v>9.9</x:v>
      </x:c>
      <x:c r="X4226" s="20" t="n">
        <x:v>3.3</x:v>
      </x:c>
      <x:c r="Y4226" t="str">
        <x:v>Basis arsip 2025/2024</x:v>
      </x:c>
      <x:c r="Z4226" t="str">
        <x:v>https://snpmb.id/utbk-snbt/daya-tampung-snbt</x:v>
      </x:c>
      <x:c r="AA4226" t="str">
        <x:v>Tidak Ada</x:v>
      </x:c>
      <x:c r="AB4226" t="str">
        <x:v>Campus=55; Ratio=17.5; Prodi=85; RelDemand=36.8; Capacity=60.0</x:v>
      </x:c>
    </x:row>
    <x:row r="4227">
      <x:c r="A4227" t="n">
        <x:v>4224</x:v>
      </x:c>
      <x:c r="B4227" t="str">
        <x:v>PTN Vokasi</x:v>
      </x:c>
      <x:c r="C4227" t="str">
        <x:v>POLITEKNIK NEGERI INDRAMAYU</x:v>
      </x:c>
      <x:c r="D4227" t="str">
        <x:v>TEKNOLOGI REKAYASA INSTRUMENTASI DAN KONTROL</x:v>
      </x:c>
      <x:c r="E4227" t="str">
        <x:v>Sarjana Terapan</x:v>
      </x:c>
      <x:c r="F4227" s="18" t="n">
        <x:v>48</x:v>
      </x:c>
      <x:c r="G4227" s="18" t="n">
        <x:v>44</x:v>
      </x:c>
      <x:c r="H4227" s="19" t="n">
        <x:v>0.9166666666666666</x:v>
      </x:c>
      <x:c r="I4227" s="18" t="n">
        <x:f>ROUND(MIN(Model_Config_v3!$B$6,MAX(Q4227,R4227,S4227*Model_Config_v3!$B$4+T4227*Model_Config_v3!$B$5)),0)</x:f>
        <x:v>597</x:v>
      </x:c>
      <x:c r="J4227" s="18" t="n">
        <x:f>MIN(Model_Config_v3!$B$6,I4227+Model_Config_v3!$B$7)</x:f>
        <x:v>617</x:v>
      </x:c>
      <x:c r="K4227" s="20" t="n">
        <x:v>35</x:v>
      </x:c>
      <x:c r="L4227" t="str">
        <x:v>RELATIF LONGGAR</x:v>
      </x:c>
      <x:c r="M4227" t="str">
        <x:v>SEDANG</x:v>
      </x:c>
      <x:c r="N4227" t="str">
        <x:v>REGULER</x:v>
      </x:c>
      <x:c r="O4227" t="str">
        <x:v>SAINTEK</x:v>
      </x:c>
      <x:c r="P4227" t="str">
        <x:v>UMUM</x:v>
      </x:c>
      <x:c r="Q4227" s="18" t="n">
        <x:v>0</x:v>
      </x:c>
      <x:c r="R4227" s="18" t="n">
        <x:v>0</x:v>
      </x:c>
      <x:c r="S4227" s="18" t="n">
        <x:v>520</x:v>
      </x:c>
      <x:c r="T4227" s="18" t="n">
        <x:v>630</x:v>
      </x:c>
      <x:c r="U4227" s="18" t="n">
        <x:v>520</x:v>
      </x:c>
      <x:c r="V4227" s="20" t="n">
        <x:v>12</x:v>
      </x:c>
      <x:c r="W4227" s="20" t="n">
        <x:v>5</x:v>
      </x:c>
      <x:c r="X4227" s="20" t="n">
        <x:v>3</x:v>
      </x:c>
      <x:c r="Y4227" t="str">
        <x:v>Basis arsip 2025/2024</x:v>
      </x:c>
      <x:c r="Z4227" t="str">
        <x:v>https://snpmb.id/utbk-snbt/daya-tampung-snbt</x:v>
      </x:c>
      <x:c r="AA4227" t="str">
        <x:v>Tidak Ada</x:v>
      </x:c>
      <x:c r="AB4227" t="str">
        <x:v>Campus=55; Ratio=0.0; Prodi=40; RelDemand=17.1; Capacity=60.0</x:v>
      </x:c>
    </x:row>
    <x:row r="4228">
      <x:c r="A4228" t="n">
        <x:v>4225</x:v>
      </x:c>
      <x:c r="B4228" t="str">
        <x:v>PTN Vokasi</x:v>
      </x:c>
      <x:c r="C4228" t="str">
        <x:v>POLITEKNIK NEGERI INDRAMAYU</x:v>
      </x:c>
      <x:c r="D4228" t="str">
        <x:v>TEKNOLOGI REKAYASA KOMPUTER</x:v>
      </x:c>
      <x:c r="E4228" t="str">
        <x:v>Sarjana Terapan</x:v>
      </x:c>
      <x:c r="F4228" s="18" t="n">
        <x:v>27</x:v>
      </x:c>
      <x:c r="G4228" s="18"/>
      <x:c r="H4228" s="19" t="n">
        <x:v>0</x:v>
      </x:c>
      <x:c r="I4228" s="18" t="n">
        <x:f>ROUND(MIN(Model_Config_v3!$B$6,MAX(Q4228,R4228,S4228*Model_Config_v3!$B$4+T4228*Model_Config_v3!$B$5)),0)</x:f>
        <x:v>597</x:v>
      </x:c>
      <x:c r="J4228" s="18" t="n">
        <x:f>MIN(Model_Config_v3!$B$6,I4228+Model_Config_v3!$B$7)</x:f>
        <x:v>617</x:v>
      </x:c>
      <x:c r="K4228" s="20" t="n">
        <x:v>35</x:v>
      </x:c>
      <x:c r="L4228" t="str">
        <x:v>RELATIF LONGGAR</x:v>
      </x:c>
      <x:c r="M4228" t="str">
        <x:v>RENDAH</x:v>
      </x:c>
      <x:c r="N4228" t="str">
        <x:v>REGULER</x:v>
      </x:c>
      <x:c r="O4228" t="str">
        <x:v>SAINTEK</x:v>
      </x:c>
      <x:c r="P4228" t="str">
        <x:v>UMUM</x:v>
      </x:c>
      <x:c r="Q4228" s="18" t="n">
        <x:v>0</x:v>
      </x:c>
      <x:c r="R4228" s="18" t="n">
        <x:v>0</x:v>
      </x:c>
      <x:c r="S4228" s="18" t="n">
        <x:v>520</x:v>
      </x:c>
      <x:c r="T4228" s="18" t="n">
        <x:v>630</x:v>
      </x:c>
      <x:c r="U4228" s="18" t="n">
        <x:v>520</x:v>
      </x:c>
      <x:c r="V4228" s="20" t="n">
        <x:v>12</x:v>
      </x:c>
      <x:c r="W4228" s="20" t="n">
        <x:v>5</x:v>
      </x:c>
      <x:c r="X4228" s="20" t="n">
        <x:v>3</x:v>
      </x:c>
      <x:c r="Y4228" t="str">
        <x:v>Basis arsip 2025/2024</x:v>
      </x:c>
      <x:c r="Z4228" t="str">
        <x:v>https://snpmb.id/utbk-snbt/daya-tampung-snbt</x:v>
      </x:c>
      <x:c r="AA4228" t="str">
        <x:v>Tidak Ada</x:v>
      </x:c>
      <x:c r="AB4228" t="str">
        <x:v>Campus=55; Ratio=0.0; Prodi=40; RelDemand=0.0; Capacity=77.5</x:v>
      </x:c>
    </x:row>
    <x:row r="4229">
      <x:c r="A4229" t="n">
        <x:v>4226</x:v>
      </x:c>
      <x:c r="B4229" t="str">
        <x:v>PTN Vokasi</x:v>
      </x:c>
      <x:c r="C4229" t="str">
        <x:v>POLITEKNIK NEGERI INDRAMAYU</x:v>
      </x:c>
      <x:c r="D4229" t="str">
        <x:v>KEPERAWATAN</x:v>
      </x:c>
      <x:c r="E4229" t="str">
        <x:v>Diploma Tiga</x:v>
      </x:c>
      <x:c r="F4229" s="18" t="n">
        <x:v>48</x:v>
      </x:c>
      <x:c r="G4229" s="18" t="n">
        <x:v>392</x:v>
      </x:c>
      <x:c r="H4229" s="19" t="n">
        <x:v>8.166666666666666</x:v>
      </x:c>
      <x:c r="I4229" s="18" t="n">
        <x:f>ROUND(MIN(Model_Config_v3!$B$6,MAX(Q4229,R4229,S4229*Model_Config_v3!$B$4+T4229*Model_Config_v3!$B$5)),0)</x:f>
        <x:v>661</x:v>
      </x:c>
      <x:c r="J4229" s="18" t="n">
        <x:f>MIN(Model_Config_v3!$B$6,I4229+Model_Config_v3!$B$7)</x:f>
        <x:v>681</x:v>
      </x:c>
      <x:c r="K4229" s="20" t="n">
        <x:v>59.7</x:v>
      </x:c>
      <x:c r="L4229" t="str">
        <x:v>KETAT</x:v>
      </x:c>
      <x:c r="M4229" t="str">
        <x:v>SEDANG+</x:v>
      </x:c>
      <x:c r="N4229" t="str">
        <x:v>REGULER</x:v>
      </x:c>
      <x:c r="O4229" t="str">
        <x:v>SAINTEK</x:v>
      </x:c>
      <x:c r="P4229" t="str">
        <x:v>KESEHAT/GIZI/KEPERAWATAN</x:v>
      </x:c>
      <x:c r="Q4229" s="18" t="n">
        <x:v>0</x:v>
      </x:c>
      <x:c r="R4229" s="18" t="n">
        <x:v>0</x:v>
      </x:c>
      <x:c r="S4229" s="18" t="n">
        <x:v>620.3249312609357</x:v>
      </x:c>
      <x:c r="T4229" s="18" t="n">
        <x:v>679</x:v>
      </x:c>
      <x:c r="U4229" s="18" t="n">
        <x:v>620.3249312609357</x:v>
      </x:c>
      <x:c r="V4229" s="20" t="n">
        <x:v>12</x:v>
      </x:c>
      <x:c r="W4229" s="20" t="n">
        <x:v>5</x:v>
      </x:c>
      <x:c r="X4229" s="20" t="n">
        <x:v>3</x:v>
      </x:c>
      <x:c r="Y4229" t="str">
        <x:v>Basis arsip 2025/2024</x:v>
      </x:c>
      <x:c r="Z4229" t="str">
        <x:v>https://snpmb.id/utbk-snbt/daya-tampung-snbt</x:v>
      </x:c>
      <x:c r="AA4229" t="str">
        <x:v>Tidak Ada</x:v>
      </x:c>
      <x:c r="AB4229" t="str">
        <x:v>Campus=55; Ratio=53.7; Prodi=55; RelDemand=100.0; Capacity=60.0</x:v>
      </x:c>
    </x:row>
    <x:row r="4230">
      <x:c r="A4230" t="n">
        <x:v>4227</x:v>
      </x:c>
      <x:c r="B4230" t="str">
        <x:v>PTN Vokasi</x:v>
      </x:c>
      <x:c r="C4230" t="str">
        <x:v>POLITEKNIK NEGERI INDRAMAYU</x:v>
      </x:c>
      <x:c r="D4230" t="str">
        <x:v>TEKNIK MESIN</x:v>
      </x:c>
      <x:c r="E4230" t="str">
        <x:v>Diploma Tiga</x:v>
      </x:c>
      <x:c r="F4230" s="18" t="n">
        <x:v>48</x:v>
      </x:c>
      <x:c r="G4230" s="18" t="n">
        <x:v>122</x:v>
      </x:c>
      <x:c r="H4230" s="19" t="n">
        <x:v>2.5416666666666665</x:v>
      </x:c>
      <x:c r="I4230" s="18" t="n">
        <x:f>ROUND(MIN(Model_Config_v3!$B$6,MAX(Q4230,R4230,S4230*Model_Config_v3!$B$4+T4230*Model_Config_v3!$B$5)),0)</x:f>
        <x:v>629</x:v>
      </x:c>
      <x:c r="J4230" s="18" t="n">
        <x:f>MIN(Model_Config_v3!$B$6,I4230+Model_Config_v3!$B$7)</x:f>
        <x:v>649</x:v>
      </x:c>
      <x:c r="K4230" s="20" t="n">
        <x:v>47.9</x:v>
      </x:c>
      <x:c r="L4230" t="str">
        <x:v>MENENGAH</x:v>
      </x:c>
      <x:c r="M4230" t="str">
        <x:v>SEDANG+</x:v>
      </x:c>
      <x:c r="N4230" t="str">
        <x:v>REGULER</x:v>
      </x:c>
      <x:c r="O4230" t="str">
        <x:v>SAINTEK</x:v>
      </x:c>
      <x:c r="P4230" t="str">
        <x:v>TEKNIK/ARSITEKTUR/STATISTIKA/AKTUARIA</x:v>
      </x:c>
      <x:c r="Q4230" s="18" t="n">
        <x:v>0</x:v>
      </x:c>
      <x:c r="R4230" s="18" t="n">
        <x:v>0</x:v>
      </x:c>
      <x:c r="S4230" s="18" t="n">
        <x:v>564.5630452629077</x:v>
      </x:c>
      <x:c r="T4230" s="18" t="n">
        <x:v>656</x:v>
      </x:c>
      <x:c r="U4230" s="18" t="n">
        <x:v>574.5630452629077</x:v>
      </x:c>
      <x:c r="V4230" s="20" t="n">
        <x:v>12</x:v>
      </x:c>
      <x:c r="W4230" s="20" t="n">
        <x:v>5</x:v>
      </x:c>
      <x:c r="X4230" s="20" t="n">
        <x:v>3</x:v>
      </x:c>
      <x:c r="Y4230" t="str">
        <x:v>Basis arsip 2025/2024</x:v>
      </x:c>
      <x:c r="Z4230" t="str">
        <x:v>https://snpmb.id/utbk-snbt/daya-tampung-snbt</x:v>
      </x:c>
      <x:c r="AA4230" t="str">
        <x:v>Tidak Ada</x:v>
      </x:c>
      <x:c r="AB4230" t="str">
        <x:v>Campus=55; Ratio=23.8; Prodi=60; RelDemand=47.3; Capacity=60.0</x:v>
      </x:c>
    </x:row>
    <x:row r="4231">
      <x:c r="A4231" t="n">
        <x:v>4228</x:v>
      </x:c>
      <x:c r="B4231" t="str">
        <x:v>PTN Vokasi</x:v>
      </x:c>
      <x:c r="C4231" t="str">
        <x:v>POLITEKNIK NEGERI INDRAMAYU</x:v>
      </x:c>
      <x:c r="D4231" t="str">
        <x:v>TEKNIK INFORMATIKA</x:v>
      </x:c>
      <x:c r="E4231" t="str">
        <x:v>Diploma Tiga</x:v>
      </x:c>
      <x:c r="F4231" s="18" t="n">
        <x:v>48</x:v>
      </x:c>
      <x:c r="G4231" s="18" t="n">
        <x:v>294</x:v>
      </x:c>
      <x:c r="H4231" s="19" t="n">
        <x:v>6.125</x:v>
      </x:c>
      <x:c r="I4231" s="18" t="n">
        <x:f>ROUND(MIN(Model_Config_v3!$B$6,MAX(Q4231,R4231,S4231*Model_Config_v3!$B$4+T4231*Model_Config_v3!$B$5)),0)</x:f>
        <x:v>664</x:v>
      </x:c>
      <x:c r="J4231" s="18" t="n">
        <x:f>MIN(Model_Config_v3!$B$6,I4231+Model_Config_v3!$B$7)</x:f>
        <x:v>684</x:v>
      </x:c>
      <x:c r="K4231" s="20" t="n">
        <x:v>63.8</x:v>
      </x:c>
      <x:c r="L4231" t="str">
        <x:v>KETAT</x:v>
      </x:c>
      <x:c r="M4231" t="str">
        <x:v>SEDANG+</x:v>
      </x:c>
      <x:c r="N4231" t="str">
        <x:v>REGULER</x:v>
      </x:c>
      <x:c r="O4231" t="str">
        <x:v>SAINTEK</x:v>
      </x:c>
      <x:c r="P4231" t="str">
        <x:v>KOMPUTER/INFORMATIKA</x:v>
      </x:c>
      <x:c r="Q4231" s="18" t="n">
        <x:v>0</x:v>
      </x:c>
      <x:c r="R4231" s="18" t="n">
        <x:v>0</x:v>
      </x:c>
      <x:c r="S4231" s="18" t="n">
        <x:v>606.5816702340227</x:v>
      </x:c>
      <x:c r="T4231" s="18" t="n">
        <x:v>688</x:v>
      </x:c>
      <x:c r="U4231" s="18" t="n">
        <x:v>631.5816702340227</x:v>
      </x:c>
      <x:c r="V4231" s="20" t="n">
        <x:v>12</x:v>
      </x:c>
      <x:c r="W4231" s="20" t="n">
        <x:v>5</x:v>
      </x:c>
      <x:c r="X4231" s="20" t="n">
        <x:v>3</x:v>
      </x:c>
      <x:c r="Y4231" t="str">
        <x:v>Basis arsip 2025/2024</x:v>
      </x:c>
      <x:c r="Z4231" t="str">
        <x:v>https://snpmb.id/utbk-snbt/daya-tampung-snbt</x:v>
      </x:c>
      <x:c r="AA4231" t="str">
        <x:v>Tidak Ada</x:v>
      </x:c>
      <x:c r="AB4231" t="str">
        <x:v>Campus=55; Ratio=46.3; Prodi=85; RelDemand=100.0; Capacity=60.0</x:v>
      </x:c>
    </x:row>
    <x:row r="4232">
      <x:c r="A4232" t="n">
        <x:v>4229</x:v>
      </x:c>
      <x:c r="B4232" t="str">
        <x:v>PTN Vokasi</x:v>
      </x:c>
      <x:c r="C4232" t="str">
        <x:v>POLITEKNIK NEGERI INDRAMAYU</x:v>
      </x:c>
      <x:c r="D4232" t="str">
        <x:v>TEKNIK PENDINGIN DAN TATA UDARA</x:v>
      </x:c>
      <x:c r="E4232" t="str">
        <x:v>Diploma Tiga</x:v>
      </x:c>
      <x:c r="F4232" s="18" t="n">
        <x:v>48</x:v>
      </x:c>
      <x:c r="G4232" s="18" t="n">
        <x:v>69</x:v>
      </x:c>
      <x:c r="H4232" s="19" t="n">
        <x:v>1.4375</x:v>
      </x:c>
      <x:c r="I4232" s="18" t="n">
        <x:f>ROUND(MIN(Model_Config_v3!$B$6,MAX(Q4232,R4232,S4232*Model_Config_v3!$B$4+T4232*Model_Config_v3!$B$5)),0)</x:f>
        <x:v>612</x:v>
      </x:c>
      <x:c r="J4232" s="18" t="n">
        <x:f>MIN(Model_Config_v3!$B$6,I4232+Model_Config_v3!$B$7)</x:f>
        <x:v>632</x:v>
      </x:c>
      <x:c r="K4232" s="20" t="n">
        <x:v>42.2</x:v>
      </x:c>
      <x:c r="L4232" t="str">
        <x:v>RELATIF LONGGAR</x:v>
      </x:c>
      <x:c r="M4232" t="str">
        <x:v>SEDANG+</x:v>
      </x:c>
      <x:c r="N4232" t="str">
        <x:v>REGULER</x:v>
      </x:c>
      <x:c r="O4232" t="str">
        <x:v>SAINTEK</x:v>
      </x:c>
      <x:c r="P4232" t="str">
        <x:v>TEKNIK/ARSITEKTUR/STATISTIKA/AKTUARIA</x:v>
      </x:c>
      <x:c r="Q4232" s="18" t="n">
        <x:v>0</x:v>
      </x:c>
      <x:c r="R4232" s="18" t="n">
        <x:v>0</x:v>
      </x:c>
      <x:c r="S4232" s="18" t="n">
        <x:v>537.3368638697835</x:v>
      </x:c>
      <x:c r="T4232" s="18" t="n">
        <x:v>644</x:v>
      </x:c>
      <x:c r="U4232" s="18" t="n">
        <x:v>547.3368638697835</x:v>
      </x:c>
      <x:c r="V4232" s="20" t="n">
        <x:v>12</x:v>
      </x:c>
      <x:c r="W4232" s="20" t="n">
        <x:v>5</x:v>
      </x:c>
      <x:c r="X4232" s="20" t="n">
        <x:v>3</x:v>
      </x:c>
      <x:c r="Y4232" t="str">
        <x:v>Basis arsip 2025/2024</x:v>
      </x:c>
      <x:c r="Z4232" t="str">
        <x:v>https://snpmb.id/utbk-snbt/daya-tampung-snbt</x:v>
      </x:c>
      <x:c r="AA4232" t="str">
        <x:v>Tidak Ada</x:v>
      </x:c>
      <x:c r="AB4232" t="str">
        <x:v>Campus=55; Ratio=9.3; Prodi=60; RelDemand=26.7; Capacity=60.0</x:v>
      </x:c>
    </x:row>
    <x:row r="4233">
      <x:c r="A4233" t="n">
        <x:v>4230</x:v>
      </x:c>
      <x:c r="B4233" t="str">
        <x:v>PTN Vokasi</x:v>
      </x:c>
      <x:c r="C4233" t="str">
        <x:v>POLITEKNIK NEGERI SUBANG</x:v>
      </x:c>
      <x:c r="D4233" t="str">
        <x:v>TEKNOLOGI REKAYASA PERANGKAT LUNAK</x:v>
      </x:c>
      <x:c r="E4233" t="str">
        <x:v>Sarjana Terapan</x:v>
      </x:c>
      <x:c r="F4233" s="18" t="n">
        <x:v>26</x:v>
      </x:c>
      <x:c r="G4233" s="18" t="n">
        <x:v>92</x:v>
      </x:c>
      <x:c r="H4233" s="19" t="n">
        <x:v>3.5384615384615383</x:v>
      </x:c>
      <x:c r="I4233" s="18" t="n">
        <x:f>ROUND(MIN(Model_Config_v3!$B$6,MAX(Q4233,R4233,S4233*Model_Config_v3!$B$4+T4233*Model_Config_v3!$B$5)),0)</x:f>
        <x:v>633</x:v>
      </x:c>
      <x:c r="J4233" s="18" t="n">
        <x:f>MIN(Model_Config_v3!$B$6,I4233+Model_Config_v3!$B$7)</x:f>
        <x:v>653</x:v>
      </x:c>
      <x:c r="K4233" s="20" t="n">
        <x:v>47.3</x:v>
      </x:c>
      <x:c r="L4233" t="str">
        <x:v>MENENGAH</x:v>
      </x:c>
      <x:c r="M4233" t="str">
        <x:v>SEDANG</x:v>
      </x:c>
      <x:c r="N4233" t="str">
        <x:v>REGULER</x:v>
      </x:c>
      <x:c r="O4233" t="str">
        <x:v>SAINTEK</x:v>
      </x:c>
      <x:c r="P4233" t="str">
        <x:v>UMUM</x:v>
      </x:c>
      <x:c r="Q4233" s="18" t="n">
        <x:v>0</x:v>
      </x:c>
      <x:c r="R4233" s="18" t="n">
        <x:v>0</x:v>
      </x:c>
      <x:c r="S4233" s="18" t="n">
        <x:v>580.3695927312211</x:v>
      </x:c>
      <x:c r="T4233" s="18" t="n">
        <x:v>655</x:v>
      </x:c>
      <x:c r="U4233" s="18" t="n">
        <x:v>580.3695927312211</x:v>
      </x:c>
      <x:c r="V4233" s="20" t="n">
        <x:v>12</x:v>
      </x:c>
      <x:c r="W4233" s="20" t="n">
        <x:v>5</x:v>
      </x:c>
      <x:c r="X4233" s="20" t="n">
        <x:v>3</x:v>
      </x:c>
      <x:c r="Y4233" t="str">
        <x:v>Basis arsip 2025/2024</x:v>
      </x:c>
      <x:c r="Z4233" t="str">
        <x:v>https://snpmb.id/utbk-snbt/daya-tampung-snbt</x:v>
      </x:c>
      <x:c r="AA4233" t="str">
        <x:v>Tidak Ada</x:v>
      </x:c>
      <x:c r="AB4233" t="str">
        <x:v>Campus=55; Ratio=32.3; Prodi=40; RelDemand=41.6; Capacity=78.3</x:v>
      </x:c>
    </x:row>
    <x:row r="4234">
      <x:c r="A4234" t="n">
        <x:v>4231</x:v>
      </x:c>
      <x:c r="B4234" t="str">
        <x:v>PTN Vokasi</x:v>
      </x:c>
      <x:c r="C4234" t="str">
        <x:v>POLITEKNIK NEGERI SUBANG</x:v>
      </x:c>
      <x:c r="D4234" t="str">
        <x:v>TEKNOLOGI REKAYASA MANUFAKTUR</x:v>
      </x:c>
      <x:c r="E4234" t="str">
        <x:v>Sarjana Terapan</x:v>
      </x:c>
      <x:c r="F4234" s="18" t="n">
        <x:v>26</x:v>
      </x:c>
      <x:c r="G4234" s="18" t="n">
        <x:v>44</x:v>
      </x:c>
      <x:c r="H4234" s="19" t="n">
        <x:v>1.6923076923076923</x:v>
      </x:c>
      <x:c r="I4234" s="18" t="n">
        <x:f>ROUND(MIN(Model_Config_v3!$B$6,MAX(Q4234,R4234,S4234*Model_Config_v3!$B$4+T4234*Model_Config_v3!$B$5)),0)</x:f>
        <x:v>612</x:v>
      </x:c>
      <x:c r="J4234" s="18" t="n">
        <x:f>MIN(Model_Config_v3!$B$6,I4234+Model_Config_v3!$B$7)</x:f>
        <x:v>632</x:v>
      </x:c>
      <x:c r="K4234" s="20" t="n">
        <x:v>40.4</x:v>
      </x:c>
      <x:c r="L4234" t="str">
        <x:v>RELATIF LONGGAR</x:v>
      </x:c>
      <x:c r="M4234" t="str">
        <x:v>SEDANG</x:v>
      </x:c>
      <x:c r="N4234" t="str">
        <x:v>REGULER</x:v>
      </x:c>
      <x:c r="O4234" t="str">
        <x:v>SAINTEK</x:v>
      </x:c>
      <x:c r="P4234" t="str">
        <x:v>UMUM</x:v>
      </x:c>
      <x:c r="Q4234" s="18" t="n">
        <x:v>0</x:v>
      </x:c>
      <x:c r="R4234" s="18" t="n">
        <x:v>0</x:v>
      </x:c>
      <x:c r="S4234" s="18" t="n">
        <x:v>545.1327261366906</x:v>
      </x:c>
      <x:c r="T4234" s="18" t="n">
        <x:v>641</x:v>
      </x:c>
      <x:c r="U4234" s="18" t="n">
        <x:v>545.1327261366906</x:v>
      </x:c>
      <x:c r="V4234" s="20" t="n">
        <x:v>12</x:v>
      </x:c>
      <x:c r="W4234" s="20" t="n">
        <x:v>5</x:v>
      </x:c>
      <x:c r="X4234" s="20" t="n">
        <x:v>3</x:v>
      </x:c>
      <x:c r="Y4234" t="str">
        <x:v>Basis arsip 2025/2024</x:v>
      </x:c>
      <x:c r="Z4234" t="str">
        <x:v>https://snpmb.id/utbk-snbt/daya-tampung-snbt</x:v>
      </x:c>
      <x:c r="AA4234" t="str">
        <x:v>Tidak Ada</x:v>
      </x:c>
      <x:c r="AB4234" t="str">
        <x:v>Campus=55; Ratio=13.4; Prodi=40; RelDemand=19.9; Capacity=78.3</x:v>
      </x:c>
    </x:row>
    <x:row r="4235">
      <x:c r="A4235" t="n">
        <x:v>4232</x:v>
      </x:c>
      <x:c r="B4235" t="str">
        <x:v>PTN Vokasi</x:v>
      </x:c>
      <x:c r="C4235" t="str">
        <x:v>POLITEKNIK NEGERI SUBANG</x:v>
      </x:c>
      <x:c r="D4235" t="str">
        <x:v>TEKNOLOGI PRODUKSI TANAMAN PANGAN</x:v>
      </x:c>
      <x:c r="E4235" t="str">
        <x:v>Sarjana Terapan</x:v>
      </x:c>
      <x:c r="F4235" s="18" t="n">
        <x:v>26</x:v>
      </x:c>
      <x:c r="G4235" s="18" t="n">
        <x:v>86</x:v>
      </x:c>
      <x:c r="H4235" s="19" t="n">
        <x:v>3.3076923076923075</x:v>
      </x:c>
      <x:c r="I4235" s="18" t="n">
        <x:f>ROUND(MIN(Model_Config_v3!$B$6,MAX(Q4235,R4235,S4235*Model_Config_v3!$B$4+T4235*Model_Config_v3!$B$5)),0)</x:f>
        <x:v>630</x:v>
      </x:c>
      <x:c r="J4235" s="18" t="n">
        <x:f>MIN(Model_Config_v3!$B$6,I4235+Model_Config_v3!$B$7)</x:f>
        <x:v>650</x:v>
      </x:c>
      <x:c r="K4235" s="20" t="n">
        <x:v>46.6</x:v>
      </x:c>
      <x:c r="L4235" t="str">
        <x:v>MENENGAH</x:v>
      </x:c>
      <x:c r="M4235" t="str">
        <x:v>SEDANG</x:v>
      </x:c>
      <x:c r="N4235" t="str">
        <x:v>REGULER</x:v>
      </x:c>
      <x:c r="O4235" t="str">
        <x:v>SAINTEK</x:v>
      </x:c>
      <x:c r="P4235" t="str">
        <x:v>UMUM</x:v>
      </x:c>
      <x:c r="Q4235" s="18" t="n">
        <x:v>0</x:v>
      </x:c>
      <x:c r="R4235" s="18" t="n">
        <x:v>0</x:v>
      </x:c>
      <x:c r="S4235" s="18" t="n">
        <x:v>577.1477613600025</x:v>
      </x:c>
      <x:c r="T4235" s="18" t="n">
        <x:v>653</x:v>
      </x:c>
      <x:c r="U4235" s="18" t="n">
        <x:v>577.1477613600025</x:v>
      </x:c>
      <x:c r="V4235" s="20" t="n">
        <x:v>12</x:v>
      </x:c>
      <x:c r="W4235" s="20" t="n">
        <x:v>5</x:v>
      </x:c>
      <x:c r="X4235" s="20" t="n">
        <x:v>3</x:v>
      </x:c>
      <x:c r="Y4235" t="str">
        <x:v>Basis arsip 2025/2024</x:v>
      </x:c>
      <x:c r="Z4235" t="str">
        <x:v>https://snpmb.id/utbk-snbt/daya-tampung-snbt</x:v>
      </x:c>
      <x:c r="AA4235" t="str">
        <x:v>Tidak Ada</x:v>
      </x:c>
      <x:c r="AB4235" t="str">
        <x:v>Campus=55; Ratio=30.6; Prodi=40; RelDemand=38.9; Capacity=78.3</x:v>
      </x:c>
    </x:row>
    <x:row r="4236">
      <x:c r="A4236" t="n">
        <x:v>4233</x:v>
      </x:c>
      <x:c r="B4236" t="str">
        <x:v>PTN Vokasi</x:v>
      </x:c>
      <x:c r="C4236" t="str">
        <x:v>POLITEKNIK NEGERI SUBANG</x:v>
      </x:c>
      <x:c r="D4236" t="str">
        <x:v>AGROINDUSTRI</x:v>
      </x:c>
      <x:c r="E4236" t="str">
        <x:v>Diploma Tiga</x:v>
      </x:c>
      <x:c r="F4236" s="18" t="n">
        <x:v>26</x:v>
      </x:c>
      <x:c r="G4236" s="18" t="n">
        <x:v>148</x:v>
      </x:c>
      <x:c r="H4236" s="19" t="n">
        <x:v>5.6923076923076925</x:v>
      </x:c>
      <x:c r="I4236" s="18" t="n">
        <x:f>ROUND(MIN(Model_Config_v3!$B$6,MAX(Q4236,R4236,S4236*Model_Config_v3!$B$4+T4236*Model_Config_v3!$B$5)),0)</x:f>
        <x:v>647</x:v>
      </x:c>
      <x:c r="J4236" s="18" t="n">
        <x:f>MIN(Model_Config_v3!$B$6,I4236+Model_Config_v3!$B$7)</x:f>
        <x:v>667</x:v>
      </x:c>
      <x:c r="K4236" s="20" t="n">
        <x:v>52.9</x:v>
      </x:c>
      <x:c r="L4236" t="str">
        <x:v>MENENGAH</x:v>
      </x:c>
      <x:c r="M4236" t="str">
        <x:v>SEDANG</x:v>
      </x:c>
      <x:c r="N4236" t="str">
        <x:v>REGULER</x:v>
      </x:c>
      <x:c r="O4236" t="str">
        <x:v>CAMPURAN</x:v>
      </x:c>
      <x:c r="P4236" t="str">
        <x:v>UMUM</x:v>
      </x:c>
      <x:c r="Q4236" s="18" t="n">
        <x:v>0</x:v>
      </x:c>
      <x:c r="R4236" s="18" t="n">
        <x:v>0</x:v>
      </x:c>
      <x:c r="S4236" s="18" t="n">
        <x:v>603.0817204166553</x:v>
      </x:c>
      <x:c r="T4236" s="18" t="n">
        <x:v>666</x:v>
      </x:c>
      <x:c r="U4236" s="18" t="n">
        <x:v>603.0817204166553</x:v>
      </x:c>
      <x:c r="V4236" s="20" t="n">
        <x:v>8.8</x:v>
      </x:c>
      <x:c r="W4236" s="20" t="n">
        <x:v>9.9</x:v>
      </x:c>
      <x:c r="X4236" s="20" t="n">
        <x:v>3.3</x:v>
      </x:c>
      <x:c r="Y4236" t="str">
        <x:v>Basis arsip 2025/2024</x:v>
      </x:c>
      <x:c r="Z4236" t="str">
        <x:v>https://snpmb.id/utbk-snbt/daya-tampung-snbt</x:v>
      </x:c>
      <x:c r="AA4236" t="str">
        <x:v>Tidak Ada</x:v>
      </x:c>
      <x:c r="AB4236" t="str">
        <x:v>Campus=55; Ratio=44.5; Prodi=40; RelDemand=66.9; Capacity=78.3</x:v>
      </x:c>
    </x:row>
    <x:row r="4237">
      <x:c r="A4237" t="n">
        <x:v>4234</x:v>
      </x:c>
      <x:c r="B4237" t="str">
        <x:v>PTN Vokasi</x:v>
      </x:c>
      <x:c r="C4237" t="str">
        <x:v>POLITEKNIK NEGERI SUBANG</x:v>
      </x:c>
      <x:c r="D4237" t="str">
        <x:v>PEMELIHARAAN MESIN</x:v>
      </x:c>
      <x:c r="E4237" t="str">
        <x:v>Diploma Tiga</x:v>
      </x:c>
      <x:c r="F4237" s="18" t="n">
        <x:v>26</x:v>
      </x:c>
      <x:c r="G4237" s="18" t="n">
        <x:v>73</x:v>
      </x:c>
      <x:c r="H4237" s="19" t="n">
        <x:v>2.8076923076923075</x:v>
      </x:c>
      <x:c r="I4237" s="18" t="n">
        <x:f>ROUND(MIN(Model_Config_v3!$B$6,MAX(Q4237,R4237,S4237*Model_Config_v3!$B$4+T4237*Model_Config_v3!$B$5)),0)</x:f>
        <x:v>626</x:v>
      </x:c>
      <x:c r="J4237" s="18" t="n">
        <x:f>MIN(Model_Config_v3!$B$6,I4237+Model_Config_v3!$B$7)</x:f>
        <x:v>646</x:v>
      </x:c>
      <x:c r="K4237" s="20" t="n">
        <x:v>45</x:v>
      </x:c>
      <x:c r="L4237" t="str">
        <x:v>MENENGAH</x:v>
      </x:c>
      <x:c r="M4237" t="str">
        <x:v>SEDANG</x:v>
      </x:c>
      <x:c r="N4237" t="str">
        <x:v>REGULER</x:v>
      </x:c>
      <x:c r="O4237" t="str">
        <x:v>CAMPURAN</x:v>
      </x:c>
      <x:c r="P4237" t="str">
        <x:v>UMUM</x:v>
      </x:c>
      <x:c r="Q4237" s="18" t="n">
        <x:v>0</x:v>
      </x:c>
      <x:c r="R4237" s="18" t="n">
        <x:v>0</x:v>
      </x:c>
      <x:c r="S4237" s="18" t="n">
        <x:v>569.3184463364602</x:v>
      </x:c>
      <x:c r="T4237" s="18" t="n">
        <x:v>650</x:v>
      </x:c>
      <x:c r="U4237" s="18" t="n">
        <x:v>569.3184463364602</x:v>
      </x:c>
      <x:c r="V4237" s="20" t="n">
        <x:v>8.8</x:v>
      </x:c>
      <x:c r="W4237" s="20" t="n">
        <x:v>9.9</x:v>
      </x:c>
      <x:c r="X4237" s="20" t="n">
        <x:v>3.3</x:v>
      </x:c>
      <x:c r="Y4237" t="str">
        <x:v>Basis arsip 2025/2024</x:v>
      </x:c>
      <x:c r="Z4237" t="str">
        <x:v>https://snpmb.id/utbk-snbt/daya-tampung-snbt</x:v>
      </x:c>
      <x:c r="AA4237" t="str">
        <x:v>Tidak Ada</x:v>
      </x:c>
      <x:c r="AB4237" t="str">
        <x:v>Campus=55; Ratio=26.4; Prodi=40; RelDemand=33.0; Capacity=78.3</x:v>
      </x:c>
    </x:row>
    <x:row r="4238">
      <x:c r="A4238" t="n">
        <x:v>4235</x:v>
      </x:c>
      <x:c r="B4238" t="str">
        <x:v>PTN Vokasi</x:v>
      </x:c>
      <x:c r="C4238" t="str">
        <x:v>POLITEKNIK NEGERI SUBANG</x:v>
      </x:c>
      <x:c r="D4238" t="str">
        <x:v>SISTEM INFORMASI</x:v>
      </x:c>
      <x:c r="E4238" t="str">
        <x:v>Diploma Tiga</x:v>
      </x:c>
      <x:c r="F4238" s="18" t="n">
        <x:v>39</x:v>
      </x:c>
      <x:c r="G4238" s="18" t="n">
        <x:v>196</x:v>
      </x:c>
      <x:c r="H4238" s="19" t="n">
        <x:v>5.0256410256410255</x:v>
      </x:c>
      <x:c r="I4238" s="18" t="n">
        <x:f>ROUND(MIN(Model_Config_v3!$B$6,MAX(Q4238,R4238,S4238*Model_Config_v3!$B$4+T4238*Model_Config_v3!$B$5)),0)</x:f>
        <x:v>654</x:v>
      </x:c>
      <x:c r="J4238" s="18" t="n">
        <x:f>MIN(Model_Config_v3!$B$6,I4238+Model_Config_v3!$B$7)</x:f>
        <x:v>674</x:v>
      </x:c>
      <x:c r="K4238" s="20" t="n">
        <x:v>59.2</x:v>
      </x:c>
      <x:c r="L4238" t="str">
        <x:v>KETAT</x:v>
      </x:c>
      <x:c r="M4238" t="str">
        <x:v>SEDANG+</x:v>
      </x:c>
      <x:c r="N4238" t="str">
        <x:v>REGULER</x:v>
      </x:c>
      <x:c r="O4238" t="str">
        <x:v>CAMPURAN</x:v>
      </x:c>
      <x:c r="P4238" t="str">
        <x:v>KOMPUTER/INFORMATIKA</x:v>
      </x:c>
      <x:c r="Q4238" s="18" t="n">
        <x:v>0</x:v>
      </x:c>
      <x:c r="R4238" s="18" t="n">
        <x:v>0</x:v>
      </x:c>
      <x:c r="S4238" s="18" t="n">
        <x:v>597.1310610762974</x:v>
      </x:c>
      <x:c r="T4238" s="18" t="n">
        <x:v>678</x:v>
      </x:c>
      <x:c r="U4238" s="18" t="n">
        <x:v>622.1310610762974</x:v>
      </x:c>
      <x:c r="V4238" s="20" t="n">
        <x:v>8.8</x:v>
      </x:c>
      <x:c r="W4238" s="20" t="n">
        <x:v>9.9</x:v>
      </x:c>
      <x:c r="X4238" s="20" t="n">
        <x:v>3.3</x:v>
      </x:c>
      <x:c r="Y4238" t="str">
        <x:v>Basis arsip 2025/2024</x:v>
      </x:c>
      <x:c r="Z4238" t="str">
        <x:v>https://snpmb.id/utbk-snbt/daya-tampung-snbt</x:v>
      </x:c>
      <x:c r="AA4238" t="str">
        <x:v>Tidak Ada</x:v>
      </x:c>
      <x:c r="AB4238" t="str">
        <x:v>Campus=55; Ratio=41.3; Prodi=85; RelDemand=59.0; Capacity=67.5</x:v>
      </x:c>
    </x:row>
    <x:row r="4239">
      <x:c r="A4239" t="n">
        <x:v>4236</x:v>
      </x:c>
      <x:c r="B4239" t="str">
        <x:v>PTN Vokasi</x:v>
      </x:c>
      <x:c r="C4239" t="str">
        <x:v>POLITEKNIK NEGERI SUBANG</x:v>
      </x:c>
      <x:c r="D4239" t="str">
        <x:v>KEPERAWATAN</x:v>
      </x:c>
      <x:c r="E4239" t="str">
        <x:v>Diploma Tiga</x:v>
      </x:c>
      <x:c r="F4239" s="18" t="n">
        <x:v>64</x:v>
      </x:c>
      <x:c r="G4239" s="18" t="n">
        <x:v>495</x:v>
      </x:c>
      <x:c r="H4239" s="19" t="n">
        <x:v>7.734375</x:v>
      </x:c>
      <x:c r="I4239" s="18" t="n">
        <x:f>ROUND(MIN(Model_Config_v3!$B$6,MAX(Q4239,R4239,S4239*Model_Config_v3!$B$4+T4239*Model_Config_v3!$B$5)),0)</x:f>
        <x:v>657</x:v>
      </x:c>
      <x:c r="J4239" s="18" t="n">
        <x:f>MIN(Model_Config_v3!$B$6,I4239+Model_Config_v3!$B$7)</x:f>
        <x:v>677</x:v>
      </x:c>
      <x:c r="K4239" s="20" t="n">
        <x:v>57.1</x:v>
      </x:c>
      <x:c r="L4239" t="str">
        <x:v>KETAT</x:v>
      </x:c>
      <x:c r="M4239" t="str">
        <x:v>SEDANG+</x:v>
      </x:c>
      <x:c r="N4239" t="str">
        <x:v>REGULER</x:v>
      </x:c>
      <x:c r="O4239" t="str">
        <x:v>SAINTEK</x:v>
      </x:c>
      <x:c r="P4239" t="str">
        <x:v>KESEHAT/GIZI/KEPERAWATAN</x:v>
      </x:c>
      <x:c r="Q4239" s="18" t="n">
        <x:v>0</x:v>
      </x:c>
      <x:c r="R4239" s="18" t="n">
        <x:v>0</x:v>
      </x:c>
      <x:c r="S4239" s="18" t="n">
        <x:v>617.7267747444649</x:v>
      </x:c>
      <x:c r="T4239" s="18" t="n">
        <x:v>674</x:v>
      </x:c>
      <x:c r="U4239" s="18" t="n">
        <x:v>617.7267747444649</x:v>
      </x:c>
      <x:c r="V4239" s="20" t="n">
        <x:v>12</x:v>
      </x:c>
      <x:c r="W4239" s="20" t="n">
        <x:v>5</x:v>
      </x:c>
      <x:c r="X4239" s="20" t="n">
        <x:v>3</x:v>
      </x:c>
      <x:c r="Y4239" t="str">
        <x:v>Basis arsip 2025/2024</x:v>
      </x:c>
      <x:c r="Z4239" t="str">
        <x:v>https://snpmb.id/utbk-snbt/daya-tampung-snbt</x:v>
      </x:c>
      <x:c r="AA4239" t="str">
        <x:v>Tidak Ada</x:v>
      </x:c>
      <x:c r="AB4239" t="str">
        <x:v>Campus=55; Ratio=52.3; Prodi=55; RelDemand=90.8; Capacity=46.7</x:v>
      </x:c>
    </x:row>
    <x:row r="4240">
      <x:c r="A4240" t="n">
        <x:v>4237</x:v>
      </x:c>
      <x:c r="B4240" t="str">
        <x:v>PTN Vokasi</x:v>
      </x:c>
      <x:c r="C4240" t="str">
        <x:v>POLITEKNIK NEGERI SEMARANG</x:v>
      </x:c>
      <x:c r="D4240" t="str">
        <x:v>TEKNIK PERAWATAN DAN PERBAIKAN GEDUNG</x:v>
      </x:c>
      <x:c r="E4240" t="str">
        <x:v>Sarjana Terapan</x:v>
      </x:c>
      <x:c r="F4240" s="18" t="n">
        <x:v>36</x:v>
      </x:c>
      <x:c r="G4240" s="18" t="n">
        <x:v>298</x:v>
      </x:c>
      <x:c r="H4240" s="19" t="n">
        <x:v>8.277777777777779</x:v>
      </x:c>
      <x:c r="I4240" s="18" t="n">
        <x:f>ROUND(MIN(Model_Config_v3!$B$6,MAX(Q4240,R4240,S4240*Model_Config_v3!$B$4+T4240*Model_Config_v3!$B$5)),0)</x:f>
        <x:v>655</x:v>
      </x:c>
      <x:c r="J4240" s="18" t="n">
        <x:f>MIN(Model_Config_v3!$B$6,I4240+Model_Config_v3!$B$7)</x:f>
        <x:v>675</x:v>
      </x:c>
      <x:c r="K4240" s="20" t="n">
        <x:v>54.6</x:v>
      </x:c>
      <x:c r="L4240" t="str">
        <x:v>MENENGAH</x:v>
      </x:c>
      <x:c r="M4240" t="str">
        <x:v>SEDANG+</x:v>
      </x:c>
      <x:c r="N4240" t="str">
        <x:v>REGULER</x:v>
      </x:c>
      <x:c r="O4240" t="str">
        <x:v>SAINTEK</x:v>
      </x:c>
      <x:c r="P4240" t="str">
        <x:v>TEKNIK/ARSITEKTUR/STATISTIKA/AKTUARIA</x:v>
      </x:c>
      <x:c r="Q4240" s="18" t="n">
        <x:v>0</x:v>
      </x:c>
      <x:c r="R4240" s="18" t="n">
        <x:v>0</x:v>
      </x:c>
      <x:c r="S4240" s="18" t="n">
        <x:v>620.9705139639865</x:v>
      </x:c>
      <x:c r="T4240" s="18" t="n">
        <x:v>669</x:v>
      </x:c>
      <x:c r="U4240" s="18" t="n">
        <x:v>630.9705139639865</x:v>
      </x:c>
      <x:c r="V4240" s="20" t="n">
        <x:v>12</x:v>
      </x:c>
      <x:c r="W4240" s="20" t="n">
        <x:v>5</x:v>
      </x:c>
      <x:c r="X4240" s="20" t="n">
        <x:v>3</x:v>
      </x:c>
      <x:c r="Y4240" t="str">
        <x:v>Basis arsip 2025/2024</x:v>
      </x:c>
      <x:c r="Z4240" t="str">
        <x:v>https://snpmb.id/utbk-snbt/daya-tampung-snbt</x:v>
      </x:c>
      <x:c r="AA4240" t="str">
        <x:v>Tidak Ada</x:v>
      </x:c>
      <x:c r="AB4240" t="str">
        <x:v>Campus=55; Ratio=54.0; Prodi=60; RelDemand=28.6; Capacity=70.0</x:v>
      </x:c>
    </x:row>
    <x:row r="4241">
      <x:c r="A4241" t="n">
        <x:v>4238</x:v>
      </x:c>
      <x:c r="B4241" t="str">
        <x:v>PTN Vokasi</x:v>
      </x:c>
      <x:c r="C4241" t="str">
        <x:v>POLITEKNIK NEGERI SEMARANG</x:v>
      </x:c>
      <x:c r="D4241" t="str">
        <x:v>PERANCANGAN JALAN DAN JEMBATAN</x:v>
      </x:c>
      <x:c r="E4241" t="str">
        <x:v>Sarjana Terapan</x:v>
      </x:c>
      <x:c r="F4241" s="18" t="n">
        <x:v>24</x:v>
      </x:c>
      <x:c r="G4241" s="18" t="n">
        <x:v>325</x:v>
      </x:c>
      <x:c r="H4241" s="19" t="n">
        <x:v>13.541666666666666</x:v>
      </x:c>
      <x:c r="I4241" s="18" t="n">
        <x:f>ROUND(MIN(Model_Config_v3!$B$6,MAX(Q4241,R4241,S4241*Model_Config_v3!$B$4+T4241*Model_Config_v3!$B$5)),0)</x:f>
        <x:v>664</x:v>
      </x:c>
      <x:c r="J4241" s="18" t="n">
        <x:f>MIN(Model_Config_v3!$B$6,I4241+Model_Config_v3!$B$7)</x:f>
        <x:v>684</x:v>
      </x:c>
      <x:c r="K4241" s="20" t="n">
        <x:v>56.6</x:v>
      </x:c>
      <x:c r="L4241" t="str">
        <x:v>KETAT</x:v>
      </x:c>
      <x:c r="M4241" t="str">
        <x:v>SEDANG</x:v>
      </x:c>
      <x:c r="N4241" t="str">
        <x:v>REGULER</x:v>
      </x:c>
      <x:c r="O4241" t="str">
        <x:v>CAMPURAN</x:v>
      </x:c>
      <x:c r="P4241" t="str">
        <x:v>UMUM</x:v>
      </x:c>
      <x:c r="Q4241" s="18" t="n">
        <x:v>0</x:v>
      </x:c>
      <x:c r="R4241" s="18" t="n">
        <x:v>0</x:v>
      </x:c>
      <x:c r="S4241" s="18" t="n">
        <x:v>644.4839331193995</x:v>
      </x:c>
      <x:c r="T4241" s="18" t="n">
        <x:v>673</x:v>
      </x:c>
      <x:c r="U4241" s="18" t="n">
        <x:v>644.4839331193995</x:v>
      </x:c>
      <x:c r="V4241" s="20" t="n">
        <x:v>8.8</x:v>
      </x:c>
      <x:c r="W4241" s="20" t="n">
        <x:v>9.9</x:v>
      </x:c>
      <x:c r="X4241" s="20" t="n">
        <x:v>3.3</x:v>
      </x:c>
      <x:c r="Y4241" t="str">
        <x:v>Basis arsip 2025/2024</x:v>
      </x:c>
      <x:c r="Z4241" t="str">
        <x:v>https://snpmb.id/utbk-snbt/daya-tampung-snbt</x:v>
      </x:c>
      <x:c r="AA4241" t="str">
        <x:v>Tidak Ada</x:v>
      </x:c>
      <x:c r="AB4241" t="str">
        <x:v>Campus=55; Ratio=66.6; Prodi=40; RelDemand=46.8; Capacity=80.0</x:v>
      </x:c>
    </x:row>
    <x:row r="4242">
      <x:c r="A4242" t="n">
        <x:v>4239</x:v>
      </x:c>
      <x:c r="B4242" t="str">
        <x:v>PTN Vokasi</x:v>
      </x:c>
      <x:c r="C4242" t="str">
        <x:v>POLITEKNIK NEGERI SEMARANG</x:v>
      </x:c>
      <x:c r="D4242" t="str">
        <x:v>TEKNIK MESIN PRODUKSI DAN PERAWATAN</x:v>
      </x:c>
      <x:c r="E4242" t="str">
        <x:v>Sarjana Terapan</x:v>
      </x:c>
      <x:c r="F4242" s="18" t="n">
        <x:v>33</x:v>
      </x:c>
      <x:c r="G4242" s="18" t="n">
        <x:v>357</x:v>
      </x:c>
      <x:c r="H4242" s="19" t="n">
        <x:v>10.818181818181818</x:v>
      </x:c>
      <x:c r="I4242" s="18" t="n">
        <x:f>ROUND(MIN(Model_Config_v3!$B$6,MAX(Q4242,R4242,S4242*Model_Config_v3!$B$4+T4242*Model_Config_v3!$B$5)),0)</x:f>
        <x:v>663</x:v>
      </x:c>
      <x:c r="J4242" s="18" t="n">
        <x:f>MIN(Model_Config_v3!$B$6,I4242+Model_Config_v3!$B$7)</x:f>
        <x:v>683</x:v>
      </x:c>
      <x:c r="K4242" s="20" t="n">
        <x:v>57.5</x:v>
      </x:c>
      <x:c r="L4242" t="str">
        <x:v>KETAT</x:v>
      </x:c>
      <x:c r="M4242" t="str">
        <x:v>SEDANG+</x:v>
      </x:c>
      <x:c r="N4242" t="str">
        <x:v>REGULER</x:v>
      </x:c>
      <x:c r="O4242" t="str">
        <x:v>SAINTEK</x:v>
      </x:c>
      <x:c r="P4242" t="str">
        <x:v>TEKNIK/ARSITEKTUR/STATISTIKA/AKTUARIA</x:v>
      </x:c>
      <x:c r="Q4242" s="18" t="n">
        <x:v>0</x:v>
      </x:c>
      <x:c r="R4242" s="18" t="n">
        <x:v>0</x:v>
      </x:c>
      <x:c r="S4242" s="18" t="n">
        <x:v>633.7569703857737</x:v>
      </x:c>
      <x:c r="T4242" s="18" t="n">
        <x:v>675</x:v>
      </x:c>
      <x:c r="U4242" s="18" t="n">
        <x:v>643.7569703857737</x:v>
      </x:c>
      <x:c r="V4242" s="20" t="n">
        <x:v>12</x:v>
      </x:c>
      <x:c r="W4242" s="20" t="n">
        <x:v>5</x:v>
      </x:c>
      <x:c r="X4242" s="20" t="n">
        <x:v>3</x:v>
      </x:c>
      <x:c r="Y4242" t="str">
        <x:v>Basis arsip 2025/2024</x:v>
      </x:c>
      <x:c r="Z4242" t="str">
        <x:v>https://snpmb.id/utbk-snbt/daya-tampung-snbt</x:v>
      </x:c>
      <x:c r="AA4242" t="str">
        <x:v>Tidak Ada</x:v>
      </x:c>
      <x:c r="AB4242" t="str">
        <x:v>Campus=55; Ratio=60.9; Prodi=60; RelDemand=37.4; Capacity=72.5</x:v>
      </x:c>
    </x:row>
    <x:row r="4243">
      <x:c r="A4243" t="n">
        <x:v>4240</x:v>
      </x:c>
      <x:c r="B4243" t="str">
        <x:v>PTN Vokasi</x:v>
      </x:c>
      <x:c r="C4243" t="str">
        <x:v>POLITEKNIK NEGERI SEMARANG</x:v>
      </x:c>
      <x:c r="D4243" t="str">
        <x:v>TEKNOLOGI REKAYASA PEMBANGKIT ENERGI</x:v>
      </x:c>
      <x:c r="E4243" t="str">
        <x:v>Sarjana Terapan</x:v>
      </x:c>
      <x:c r="F4243" s="18" t="n">
        <x:v>33</x:v>
      </x:c>
      <x:c r="G4243" s="18" t="n">
        <x:v>179</x:v>
      </x:c>
      <x:c r="H4243" s="19" t="n">
        <x:v>5.424242424242424</x:v>
      </x:c>
      <x:c r="I4243" s="18" t="n">
        <x:f>ROUND(MIN(Model_Config_v3!$B$6,MAX(Q4243,R4243,S4243*Model_Config_v3!$B$4+T4243*Model_Config_v3!$B$5)),0)</x:f>
        <x:v>638</x:v>
      </x:c>
      <x:c r="J4243" s="18" t="n">
        <x:f>MIN(Model_Config_v3!$B$6,I4243+Model_Config_v3!$B$7)</x:f>
        <x:v>658</x:v>
      </x:c>
      <x:c r="K4243" s="20" t="n">
        <x:v>47.2</x:v>
      </x:c>
      <x:c r="L4243" t="str">
        <x:v>MENENGAH</x:v>
      </x:c>
      <x:c r="M4243" t="str">
        <x:v>SEDANG</x:v>
      </x:c>
      <x:c r="N4243" t="str">
        <x:v>REGULER</x:v>
      </x:c>
      <x:c r="O4243" t="str">
        <x:v>SAINTEK</x:v>
      </x:c>
      <x:c r="P4243" t="str">
        <x:v>UMUM</x:v>
      </x:c>
      <x:c r="Q4243" s="18" t="n">
        <x:v>0</x:v>
      </x:c>
      <x:c r="R4243" s="18" t="n">
        <x:v>0</x:v>
      </x:c>
      <x:c r="S4243" s="18" t="n">
        <x:v>600.7773000212206</x:v>
      </x:c>
      <x:c r="T4243" s="18" t="n">
        <x:v>654</x:v>
      </x:c>
      <x:c r="U4243" s="18" t="n">
        <x:v>600.7773000212206</x:v>
      </x:c>
      <x:c r="V4243" s="20" t="n">
        <x:v>12</x:v>
      </x:c>
      <x:c r="W4243" s="20" t="n">
        <x:v>5</x:v>
      </x:c>
      <x:c r="X4243" s="20" t="n">
        <x:v>3</x:v>
      </x:c>
      <x:c r="Y4243" t="str">
        <x:v>Basis arsip 2025/2024</x:v>
      </x:c>
      <x:c r="Z4243" t="str">
        <x:v>https://snpmb.id/utbk-snbt/daya-tampung-snbt</x:v>
      </x:c>
      <x:c r="AA4243" t="str">
        <x:v>Tidak Ada</x:v>
      </x:c>
      <x:c r="AB4243" t="str">
        <x:v>Campus=55; Ratio=43.2; Prodi=40; RelDemand=18.7; Capacity=72.5</x:v>
      </x:c>
    </x:row>
    <x:row r="4244">
      <x:c r="A4244" t="n">
        <x:v>4241</x:v>
      </x:c>
      <x:c r="B4244" t="str">
        <x:v>PTN Vokasi</x:v>
      </x:c>
      <x:c r="C4244" t="str">
        <x:v>POLITEKNIK NEGERI SEMARANG</x:v>
      </x:c>
      <x:c r="D4244" t="str">
        <x:v>TEKNIK TELEKOMUNIKASI</x:v>
      </x:c>
      <x:c r="E4244" t="str">
        <x:v>Sarjana Terapan</x:v>
      </x:c>
      <x:c r="F4244" s="18" t="n">
        <x:v>54</x:v>
      </x:c>
      <x:c r="G4244" s="18" t="n">
        <x:v>494</x:v>
      </x:c>
      <x:c r="H4244" s="19" t="n">
        <x:v>9.148148148148149</x:v>
      </x:c>
      <x:c r="I4244" s="18" t="n">
        <x:f>ROUND(MIN(Model_Config_v3!$B$6,MAX(Q4244,R4244,S4244*Model_Config_v3!$B$4+T4244*Model_Config_v3!$B$5)),0)</x:f>
        <x:v>655</x:v>
      </x:c>
      <x:c r="J4244" s="18" t="n">
        <x:f>MIN(Model_Config_v3!$B$6,I4244+Model_Config_v3!$B$7)</x:f>
        <x:v>675</x:v>
      </x:c>
      <x:c r="K4244" s="20" t="n">
        <x:v>54.1</x:v>
      </x:c>
      <x:c r="L4244" t="str">
        <x:v>MENENGAH</x:v>
      </x:c>
      <x:c r="M4244" t="str">
        <x:v>SEDANG+</x:v>
      </x:c>
      <x:c r="N4244" t="str">
        <x:v>REGULER</x:v>
      </x:c>
      <x:c r="O4244" t="str">
        <x:v>SAINTEK</x:v>
      </x:c>
      <x:c r="P4244" t="str">
        <x:v>TEKNIK/ARSITEKTUR/STATISTIKA/AKTUARIA</x:v>
      </x:c>
      <x:c r="Q4244" s="18" t="n">
        <x:v>0</x:v>
      </x:c>
      <x:c r="R4244" s="18" t="n">
        <x:v>0</x:v>
      </x:c>
      <x:c r="S4244" s="18" t="n">
        <x:v>625.7466508010746</x:v>
      </x:c>
      <x:c r="T4244" s="18" t="n">
        <x:v>668</x:v>
      </x:c>
      <x:c r="U4244" s="18" t="n">
        <x:v>635.7466508010746</x:v>
      </x:c>
      <x:c r="V4244" s="20" t="n">
        <x:v>12</x:v>
      </x:c>
      <x:c r="W4244" s="20" t="n">
        <x:v>5</x:v>
      </x:c>
      <x:c r="X4244" s="20" t="n">
        <x:v>3</x:v>
      </x:c>
      <x:c r="Y4244" t="str">
        <x:v>Basis arsip 2025/2024</x:v>
      </x:c>
      <x:c r="Z4244" t="str">
        <x:v>https://snpmb.id/utbk-snbt/daya-tampung-snbt</x:v>
      </x:c>
      <x:c r="AA4244" t="str">
        <x:v>Tidak Ada</x:v>
      </x:c>
      <x:c r="AB4244" t="str">
        <x:v>Campus=55; Ratio=56.6; Prodi=60; RelDemand=31.6; Capacity=55.0</x:v>
      </x:c>
    </x:row>
    <x:row r="4245">
      <x:c r="A4245" t="n">
        <x:v>4242</x:v>
      </x:c>
      <x:c r="B4245" t="str">
        <x:v>PTN Vokasi</x:v>
      </x:c>
      <x:c r="C4245" t="str">
        <x:v>POLITEKNIK NEGERI SEMARANG</x:v>
      </x:c>
      <x:c r="D4245" t="str">
        <x:v>TEKNOLOGI REKAYASA INSTALASI LISTRIK</x:v>
      </x:c>
      <x:c r="E4245" t="str">
        <x:v>Sarjana Terapan</x:v>
      </x:c>
      <x:c r="F4245" s="18" t="n">
        <x:v>33</x:v>
      </x:c>
      <x:c r="G4245" s="18" t="n">
        <x:v>186</x:v>
      </x:c>
      <x:c r="H4245" s="19" t="n">
        <x:v>5.636363636363637</x:v>
      </x:c>
      <x:c r="I4245" s="18" t="n">
        <x:f>ROUND(MIN(Model_Config_v3!$B$6,MAX(Q4245,R4245,S4245*Model_Config_v3!$B$4+T4245*Model_Config_v3!$B$5)),0)</x:f>
        <x:v>639</x:v>
      </x:c>
      <x:c r="J4245" s="18" t="n">
        <x:f>MIN(Model_Config_v3!$B$6,I4245+Model_Config_v3!$B$7)</x:f>
        <x:v>659</x:v>
      </x:c>
      <x:c r="K4245" s="20" t="n">
        <x:v>47.5</x:v>
      </x:c>
      <x:c r="L4245" t="str">
        <x:v>MENENGAH</x:v>
      </x:c>
      <x:c r="M4245" t="str">
        <x:v>SEDANG</x:v>
      </x:c>
      <x:c r="N4245" t="str">
        <x:v>REGULER</x:v>
      </x:c>
      <x:c r="O4245" t="str">
        <x:v>SAINTEK</x:v>
      </x:c>
      <x:c r="P4245" t="str">
        <x:v>UMUM</x:v>
      </x:c>
      <x:c r="Q4245" s="18" t="n">
        <x:v>0</x:v>
      </x:c>
      <x:c r="R4245" s="18" t="n">
        <x:v>0</x:v>
      </x:c>
      <x:c r="S4245" s="18" t="n">
        <x:v>602.6098904774032</x:v>
      </x:c>
      <x:c r="T4245" s="18" t="n">
        <x:v>655</x:v>
      </x:c>
      <x:c r="U4245" s="18" t="n">
        <x:v>602.6098904774032</x:v>
      </x:c>
      <x:c r="V4245" s="20" t="n">
        <x:v>12</x:v>
      </x:c>
      <x:c r="W4245" s="20" t="n">
        <x:v>5</x:v>
      </x:c>
      <x:c r="X4245" s="20" t="n">
        <x:v>3</x:v>
      </x:c>
      <x:c r="Y4245" t="str">
        <x:v>Basis arsip 2025/2024</x:v>
      </x:c>
      <x:c r="Z4245" t="str">
        <x:v>https://snpmb.id/utbk-snbt/daya-tampung-snbt</x:v>
      </x:c>
      <x:c r="AA4245" t="str">
        <x:v>Tidak Ada</x:v>
      </x:c>
      <x:c r="AB4245" t="str">
        <x:v>Campus=55; Ratio=44.2; Prodi=40; RelDemand=19.5; Capacity=72.5</x:v>
      </x:c>
    </x:row>
    <x:row r="4246">
      <x:c r="A4246" t="n">
        <x:v>4243</x:v>
      </x:c>
      <x:c r="B4246" t="str">
        <x:v>PTN Vokasi</x:v>
      </x:c>
      <x:c r="C4246" t="str">
        <x:v>POLITEKNIK NEGERI SEMARANG</x:v>
      </x:c>
      <x:c r="D4246" t="str">
        <x:v>TEKNOLOGI REKAYASA KOMPUTER</x:v>
      </x:c>
      <x:c r="E4246" t="str">
        <x:v>Sarjana Terapan</x:v>
      </x:c>
      <x:c r="F4246" s="18" t="n">
        <x:v>36</x:v>
      </x:c>
      <x:c r="G4246" s="18" t="n">
        <x:v>508</x:v>
      </x:c>
      <x:c r="H4246" s="19" t="n">
        <x:v>14.11111111111111</x:v>
      </x:c>
      <x:c r="I4246" s="18" t="n">
        <x:f>ROUND(MIN(Model_Config_v3!$B$6,MAX(Q4246,R4246,S4246*Model_Config_v3!$B$4+T4246*Model_Config_v3!$B$5)),0)</x:f>
        <x:v>664</x:v>
      </x:c>
      <x:c r="J4246" s="18" t="n">
        <x:f>MIN(Model_Config_v3!$B$6,I4246+Model_Config_v3!$B$7)</x:f>
        <x:v>684</x:v>
      </x:c>
      <x:c r="K4246" s="20" t="n">
        <x:v>56</x:v>
      </x:c>
      <x:c r="L4246" t="str">
        <x:v>KETAT</x:v>
      </x:c>
      <x:c r="M4246" t="str">
        <x:v>SEDANG</x:v>
      </x:c>
      <x:c r="N4246" t="str">
        <x:v>REGULER</x:v>
      </x:c>
      <x:c r="O4246" t="str">
        <x:v>SAINTEK</x:v>
      </x:c>
      <x:c r="P4246" t="str">
        <x:v>UMUM</x:v>
      </x:c>
      <x:c r="Q4246" s="18" t="n">
        <x:v>0</x:v>
      </x:c>
      <x:c r="R4246" s="18" t="n">
        <x:v>0</x:v>
      </x:c>
      <x:c r="S4246" s="18" t="n">
        <x:v>646.4517332668295</x:v>
      </x:c>
      <x:c r="T4246" s="18" t="n">
        <x:v>672</x:v>
      </x:c>
      <x:c r="U4246" s="18" t="n">
        <x:v>646.4517332668295</x:v>
      </x:c>
      <x:c r="V4246" s="20" t="n">
        <x:v>12</x:v>
      </x:c>
      <x:c r="W4246" s="20" t="n">
        <x:v>5</x:v>
      </x:c>
      <x:c r="X4246" s="20" t="n">
        <x:v>3</x:v>
      </x:c>
      <x:c r="Y4246" t="str">
        <x:v>Basis arsip 2025/2024</x:v>
      </x:c>
      <x:c r="Z4246" t="str">
        <x:v>https://snpmb.id/utbk-snbt/daya-tampung-snbt</x:v>
      </x:c>
      <x:c r="AA4246" t="str">
        <x:v>Tidak Ada</x:v>
      </x:c>
      <x:c r="AB4246" t="str">
        <x:v>Campus=55; Ratio=67.7; Prodi=40; RelDemand=48.7; Capacity=70.0</x:v>
      </x:c>
    </x:row>
    <x:row r="4247">
      <x:c r="A4247" t="n">
        <x:v>4244</x:v>
      </x:c>
      <x:c r="B4247" t="str">
        <x:v>PTN Vokasi</x:v>
      </x:c>
      <x:c r="C4247" t="str">
        <x:v>POLITEKNIK NEGERI SEMARANG</x:v>
      </x:c>
      <x:c r="D4247" t="str">
        <x:v>KOMPUTERISASI AKUNTANSI</x:v>
      </x:c>
      <x:c r="E4247" t="str">
        <x:v>Sarjana Terapan</x:v>
      </x:c>
      <x:c r="F4247" s="18" t="n">
        <x:v>54</x:v>
      </x:c>
      <x:c r="G4247" s="18" t="n">
        <x:v>392</x:v>
      </x:c>
      <x:c r="H4247" s="19" t="n">
        <x:v>7.2592592592592595</x:v>
      </x:c>
      <x:c r="I4247" s="18" t="n">
        <x:f>ROUND(MIN(Model_Config_v3!$B$6,MAX(Q4247,R4247,S4247*Model_Config_v3!$B$4+T4247*Model_Config_v3!$B$5)),0)</x:f>
        <x:v>651</x:v>
      </x:c>
      <x:c r="J4247" s="18" t="n">
        <x:f>MIN(Model_Config_v3!$B$6,I4247+Model_Config_v3!$B$7)</x:f>
        <x:v>671</x:v>
      </x:c>
      <x:c r="K4247" s="20" t="n">
        <x:v>52.9</x:v>
      </x:c>
      <x:c r="L4247" t="str">
        <x:v>MENENGAH</x:v>
      </x:c>
      <x:c r="M4247" t="str">
        <x:v>SEDANG+</x:v>
      </x:c>
      <x:c r="N4247" t="str">
        <x:v>REGULER</x:v>
      </x:c>
      <x:c r="O4247" t="str">
        <x:v>SAINTEK</x:v>
      </x:c>
      <x:c r="P4247" t="str">
        <x:v>BISNIS/EKONOMI/AKUNTANSI</x:v>
      </x:c>
      <x:c r="Q4247" s="18" t="n">
        <x:v>0</x:v>
      </x:c>
      <x:c r="R4247" s="18" t="n">
        <x:v>0</x:v>
      </x:c>
      <x:c r="S4247" s="18" t="n">
        <x:v>614.6981537917237</x:v>
      </x:c>
      <x:c r="T4247" s="18" t="n">
        <x:v>666</x:v>
      </x:c>
      <x:c r="U4247" s="18" t="n">
        <x:v>614.6981537917237</x:v>
      </x:c>
      <x:c r="V4247" s="20" t="n">
        <x:v>12</x:v>
      </x:c>
      <x:c r="W4247" s="20" t="n">
        <x:v>5</x:v>
      </x:c>
      <x:c r="X4247" s="20" t="n">
        <x:v>3</x:v>
      </x:c>
      <x:c r="Y4247" t="str">
        <x:v>Basis arsip 2025/2024</x:v>
      </x:c>
      <x:c r="Z4247" t="str">
        <x:v>https://snpmb.id/utbk-snbt/daya-tampung-snbt</x:v>
      </x:c>
      <x:c r="AA4247" t="str">
        <x:v>Tidak Ada</x:v>
      </x:c>
      <x:c r="AB4247" t="str">
        <x:v>Campus=55; Ratio=50.7; Prodi=65; RelDemand=25.1; Capacity=55.0</x:v>
      </x:c>
    </x:row>
    <x:row r="4248">
      <x:c r="A4248" t="n">
        <x:v>4245</x:v>
      </x:c>
      <x:c r="B4248" t="str">
        <x:v>PTN Vokasi</x:v>
      </x:c>
      <x:c r="C4248" t="str">
        <x:v>POLITEKNIK NEGERI SEMARANG</x:v>
      </x:c>
      <x:c r="D4248" t="str">
        <x:v>TEKNOLOGI REKAYASA ELEKTRONIKA</x:v>
      </x:c>
      <x:c r="E4248" t="str">
        <x:v>Sarjana Terapan</x:v>
      </x:c>
      <x:c r="F4248" s="18" t="n">
        <x:v>47</x:v>
      </x:c>
      <x:c r="G4248" s="18" t="n">
        <x:v>206</x:v>
      </x:c>
      <x:c r="H4248" s="19" t="n">
        <x:v>4.382978723404255</x:v>
      </x:c>
      <x:c r="I4248" s="18" t="n">
        <x:f>ROUND(MIN(Model_Config_v3!$B$6,MAX(Q4248,R4248,S4248*Model_Config_v3!$B$4+T4248*Model_Config_v3!$B$5)),0)</x:f>
        <x:v>631</x:v>
      </x:c>
      <x:c r="J4248" s="18" t="n">
        <x:f>MIN(Model_Config_v3!$B$6,I4248+Model_Config_v3!$B$7)</x:f>
        <x:v>651</x:v>
      </x:c>
      <x:c r="K4248" s="20" t="n">
        <x:v>44.3</x:v>
      </x:c>
      <x:c r="L4248" t="str">
        <x:v>RELATIF LONGGAR</x:v>
      </x:c>
      <x:c r="M4248" t="str">
        <x:v>SEDANG</x:v>
      </x:c>
      <x:c r="N4248" t="str">
        <x:v>REGULER</x:v>
      </x:c>
      <x:c r="O4248" t="str">
        <x:v>SAINTEK</x:v>
      </x:c>
      <x:c r="P4248" t="str">
        <x:v>UMUM</x:v>
      </x:c>
      <x:c r="Q4248" s="18" t="n">
        <x:v>0</x:v>
      </x:c>
      <x:c r="R4248" s="18" t="n">
        <x:v>0</x:v>
      </x:c>
      <x:c r="S4248" s="18" t="n">
        <x:v>590.5946298676779</x:v>
      </x:c>
      <x:c r="T4248" s="18" t="n">
        <x:v>649</x:v>
      </x:c>
      <x:c r="U4248" s="18" t="n">
        <x:v>590.5946298676779</x:v>
      </x:c>
      <x:c r="V4248" s="20" t="n">
        <x:v>12</x:v>
      </x:c>
      <x:c r="W4248" s="20" t="n">
        <x:v>5</x:v>
      </x:c>
      <x:c r="X4248" s="20" t="n">
        <x:v>3</x:v>
      </x:c>
      <x:c r="Y4248" t="str">
        <x:v>Basis arsip 2025/2024</x:v>
      </x:c>
      <x:c r="Z4248" t="str">
        <x:v>https://snpmb.id/utbk-snbt/daya-tampung-snbt</x:v>
      </x:c>
      <x:c r="AA4248" t="str">
        <x:v>Tidak Ada</x:v>
      </x:c>
      <x:c r="AB4248" t="str">
        <x:v>Campus=55; Ratio=37.8; Prodi=40; RelDemand=15.1; Capacity=60.8</x:v>
      </x:c>
    </x:row>
    <x:row r="4249">
      <x:c r="A4249" t="n">
        <x:v>4246</x:v>
      </x:c>
      <x:c r="B4249" t="str">
        <x:v>PTN Vokasi</x:v>
      </x:c>
      <x:c r="C4249" t="str">
        <x:v>POLITEKNIK NEGERI SEMARANG</x:v>
      </x:c>
      <x:c r="D4249" t="str">
        <x:v>PERBANKAN SYARIAH</x:v>
      </x:c>
      <x:c r="E4249" t="str">
        <x:v>Sarjana Terapan</x:v>
      </x:c>
      <x:c r="F4249" s="18" t="n">
        <x:v>54</x:v>
      </x:c>
      <x:c r="G4249" s="18" t="n">
        <x:v>502</x:v>
      </x:c>
      <x:c r="H4249" s="19" t="n">
        <x:v>9.296296296296296</x:v>
      </x:c>
      <x:c r="I4249" s="18" t="n">
        <x:f>ROUND(MIN(Model_Config_v3!$B$6,MAX(Q4249,R4249,S4249*Model_Config_v3!$B$4+T4249*Model_Config_v3!$B$5)),0)</x:f>
        <x:v>650</x:v>
      </x:c>
      <x:c r="J4249" s="18" t="n">
        <x:f>MIN(Model_Config_v3!$B$6,I4249+Model_Config_v3!$B$7)</x:f>
        <x:v>670</x:v>
      </x:c>
      <x:c r="K4249" s="20" t="n">
        <x:v>50.2</x:v>
      </x:c>
      <x:c r="L4249" t="str">
        <x:v>MENENGAH</x:v>
      </x:c>
      <x:c r="M4249" t="str">
        <x:v>SEDANG</x:v>
      </x:c>
      <x:c r="N4249" t="str">
        <x:v>REGULER</x:v>
      </x:c>
      <x:c r="O4249" t="str">
        <x:v>CAMPURAN</x:v>
      </x:c>
      <x:c r="P4249" t="str">
        <x:v>UMUM</x:v>
      </x:c>
      <x:c r="Q4249" s="18" t="n">
        <x:v>0</x:v>
      </x:c>
      <x:c r="R4249" s="18" t="n">
        <x:v>0</x:v>
      </x:c>
      <x:c r="S4249" s="18" t="n">
        <x:v>626.5140953054256</x:v>
      </x:c>
      <x:c r="T4249" s="18" t="n">
        <x:v>660</x:v>
      </x:c>
      <x:c r="U4249" s="18" t="n">
        <x:v>626.5140953054256</x:v>
      </x:c>
      <x:c r="V4249" s="20" t="n">
        <x:v>8.8</x:v>
      </x:c>
      <x:c r="W4249" s="20" t="n">
        <x:v>9.9</x:v>
      </x:c>
      <x:c r="X4249" s="20" t="n">
        <x:v>3.3</x:v>
      </x:c>
      <x:c r="Y4249" t="str">
        <x:v>Basis arsip 2025/2024</x:v>
      </x:c>
      <x:c r="Z4249" t="str">
        <x:v>https://snpmb.id/utbk-snbt/daya-tampung-snbt</x:v>
      </x:c>
      <x:c r="AA4249" t="str">
        <x:v>Tidak Ada</x:v>
      </x:c>
      <x:c r="AB4249" t="str">
        <x:v>Campus=55; Ratio=57.0; Prodi=40; RelDemand=32.1; Capacity=55.0</x:v>
      </x:c>
    </x:row>
    <x:row r="4250">
      <x:c r="A4250" t="n">
        <x:v>4247</x:v>
      </x:c>
      <x:c r="B4250" t="str">
        <x:v>PTN Vokasi</x:v>
      </x:c>
      <x:c r="C4250" t="str">
        <x:v>POLITEKNIK NEGERI SEMARANG</x:v>
      </x:c>
      <x:c r="D4250" t="str">
        <x:v>ANALISIS KEUANGAN</x:v>
      </x:c>
      <x:c r="E4250" t="str">
        <x:v>Sarjana Terapan</x:v>
      </x:c>
      <x:c r="F4250" s="18" t="n">
        <x:v>54</x:v>
      </x:c>
      <x:c r="G4250" s="18" t="n">
        <x:v>422</x:v>
      </x:c>
      <x:c r="H4250" s="19" t="n">
        <x:v>7.814814814814815</x:v>
      </x:c>
      <x:c r="I4250" s="18" t="n">
        <x:f>ROUND(MIN(Model_Config_v3!$B$6,MAX(Q4250,R4250,S4250*Model_Config_v3!$B$4+T4250*Model_Config_v3!$B$5)),0)</x:f>
        <x:v>645</x:v>
      </x:c>
      <x:c r="J4250" s="18" t="n">
        <x:f>MIN(Model_Config_v3!$B$6,I4250+Model_Config_v3!$B$7)</x:f>
        <x:v>665</x:v>
      </x:c>
      <x:c r="K4250" s="20" t="n">
        <x:v>48.6</x:v>
      </x:c>
      <x:c r="L4250" t="str">
        <x:v>MENENGAH</x:v>
      </x:c>
      <x:c r="M4250" t="str">
        <x:v>SEDANG</x:v>
      </x:c>
      <x:c r="N4250" t="str">
        <x:v>REGULER</x:v>
      </x:c>
      <x:c r="O4250" t="str">
        <x:v>CAMPURAN</x:v>
      </x:c>
      <x:c r="P4250" t="str">
        <x:v>UMUM</x:v>
      </x:c>
      <x:c r="Q4250" s="18" t="n">
        <x:v>0</x:v>
      </x:c>
      <x:c r="R4250" s="18" t="n">
        <x:v>0</x:v>
      </x:c>
      <x:c r="S4250" s="18" t="n">
        <x:v>618.2210560252576</x:v>
      </x:c>
      <x:c r="T4250" s="18" t="n">
        <x:v>657</x:v>
      </x:c>
      <x:c r="U4250" s="18" t="n">
        <x:v>618.2210560252576</x:v>
      </x:c>
      <x:c r="V4250" s="20" t="n">
        <x:v>8.8</x:v>
      </x:c>
      <x:c r="W4250" s="20" t="n">
        <x:v>9.9</x:v>
      </x:c>
      <x:c r="X4250" s="20" t="n">
        <x:v>3.3</x:v>
      </x:c>
      <x:c r="Y4250" t="str">
        <x:v>Basis arsip 2025/2024</x:v>
      </x:c>
      <x:c r="Z4250" t="str">
        <x:v>https://snpmb.id/utbk-snbt/daya-tampung-snbt</x:v>
      </x:c>
      <x:c r="AA4250" t="str">
        <x:v>Tidak Ada</x:v>
      </x:c>
      <x:c r="AB4250" t="str">
        <x:v>Campus=55; Ratio=52.6; Prodi=40; RelDemand=27.0; Capacity=55.0</x:v>
      </x:c>
    </x:row>
    <x:row r="4251">
      <x:c r="A4251" t="n">
        <x:v>4248</x:v>
      </x:c>
      <x:c r="B4251" t="str">
        <x:v>PTN Vokasi</x:v>
      </x:c>
      <x:c r="C4251" t="str">
        <x:v>POLITEKNIK NEGERI SEMARANG</x:v>
      </x:c>
      <x:c r="D4251" t="str">
        <x:v>AKUNTANSI MANAJERIAL</x:v>
      </x:c>
      <x:c r="E4251" t="str">
        <x:v>Sarjana Terapan</x:v>
      </x:c>
      <x:c r="F4251" s="18" t="n">
        <x:v>54</x:v>
      </x:c>
      <x:c r="G4251" s="18" t="n">
        <x:v>573</x:v>
      </x:c>
      <x:c r="H4251" s="19" t="n">
        <x:v>10.61111111111111</x:v>
      </x:c>
      <x:c r="I4251" s="18" t="n">
        <x:f>ROUND(MIN(Model_Config_v3!$B$6,MAX(Q4251,R4251,S4251*Model_Config_v3!$B$4+T4251*Model_Config_v3!$B$5)),0)</x:f>
        <x:v>661</x:v>
      </x:c>
      <x:c r="J4251" s="18" t="n">
        <x:f>MIN(Model_Config_v3!$B$6,I4251+Model_Config_v3!$B$7)</x:f>
        <x:v>681</x:v>
      </x:c>
      <x:c r="K4251" s="20" t="n">
        <x:v>56.5</x:v>
      </x:c>
      <x:c r="L4251" t="str">
        <x:v>KETAT</x:v>
      </x:c>
      <x:c r="M4251" t="str">
        <x:v>SEDANG+</x:v>
      </x:c>
      <x:c r="N4251" t="str">
        <x:v>REGULER</x:v>
      </x:c>
      <x:c r="O4251" t="str">
        <x:v>SOSHUM</x:v>
      </x:c>
      <x:c r="P4251" t="str">
        <x:v>BISNIS/EKONOMI/AKUNTANSI</x:v>
      </x:c>
      <x:c r="Q4251" s="18" t="n">
        <x:v>0</x:v>
      </x:c>
      <x:c r="R4251" s="18" t="n">
        <x:v>0</x:v>
      </x:c>
      <x:c r="S4251" s="18" t="n">
        <x:v>632.8336948358864</x:v>
      </x:c>
      <x:c r="T4251" s="18" t="n">
        <x:v>673</x:v>
      </x:c>
      <x:c r="U4251" s="18" t="n">
        <x:v>632.8336948358864</x:v>
      </x:c>
      <x:c r="V4251" s="20" t="n">
        <x:v>4.4</x:v>
      </x:c>
      <x:c r="W4251" s="20" t="n">
        <x:v>14.3</x:v>
      </x:c>
      <x:c r="X4251" s="20" t="n">
        <x:v>3.3</x:v>
      </x:c>
      <x:c r="Y4251" t="str">
        <x:v>Basis arsip 2025/2024</x:v>
      </x:c>
      <x:c r="Z4251" t="str">
        <x:v>https://snpmb.id/utbk-snbt/daya-tampung-snbt</x:v>
      </x:c>
      <x:c r="AA4251" t="str">
        <x:v>Tidak Ada</x:v>
      </x:c>
      <x:c r="AB4251" t="str">
        <x:v>Campus=55; Ratio=60.4; Prodi=65; RelDemand=36.7; Capacity=55.0</x:v>
      </x:c>
    </x:row>
    <x:row r="4252">
      <x:c r="A4252" t="n">
        <x:v>4249</x:v>
      </x:c>
      <x:c r="B4252" t="str">
        <x:v>PTN Vokasi</x:v>
      </x:c>
      <x:c r="C4252" t="str">
        <x:v>POLITEKNIK NEGERI SEMARANG</x:v>
      </x:c>
      <x:c r="D4252" t="str">
        <x:v>MANAJEMEN BISNIS INTERNASIONAL</x:v>
      </x:c>
      <x:c r="E4252" t="str">
        <x:v>Sarjana Terapan</x:v>
      </x:c>
      <x:c r="F4252" s="18" t="n">
        <x:v>54</x:v>
      </x:c>
      <x:c r="G4252" s="18" t="n">
        <x:v>1041</x:v>
      </x:c>
      <x:c r="H4252" s="19" t="n">
        <x:v>19.27777777777778</x:v>
      </x:c>
      <x:c r="I4252" s="18" t="n">
        <x:f>ROUND(MIN(Model_Config_v3!$B$6,MAX(Q4252,R4252,S4252*Model_Config_v3!$B$4+T4252*Model_Config_v3!$B$5)),0)</x:f>
        <x:v>679</x:v>
      </x:c>
      <x:c r="J4252" s="18" t="n">
        <x:f>MIN(Model_Config_v3!$B$6,I4252+Model_Config_v3!$B$7)</x:f>
        <x:v>699</x:v>
      </x:c>
      <x:c r="K4252" s="20" t="n">
        <x:v>63.3</x:v>
      </x:c>
      <x:c r="L4252" t="str">
        <x:v>KETAT</x:v>
      </x:c>
      <x:c r="M4252" t="str">
        <x:v>SEDANG+</x:v>
      </x:c>
      <x:c r="N4252" t="str">
        <x:v>REGULER</x:v>
      </x:c>
      <x:c r="O4252" t="str">
        <x:v>SOSHUM</x:v>
      </x:c>
      <x:c r="P4252" t="str">
        <x:v>BISNIS/EKONOMI/AKUNTANSI</x:v>
      </x:c>
      <x:c r="Q4252" s="18" t="n">
        <x:v>0</x:v>
      </x:c>
      <x:c r="R4252" s="18" t="n">
        <x:v>0</x:v>
      </x:c>
      <x:c r="S4252" s="18" t="n">
        <x:v>661.3562666656325</x:v>
      </x:c>
      <x:c r="T4252" s="18" t="n">
        <x:v>687</x:v>
      </x:c>
      <x:c r="U4252" s="18" t="n">
        <x:v>676.3562666656325</x:v>
      </x:c>
      <x:c r="V4252" s="20" t="n">
        <x:v>4.4</x:v>
      </x:c>
      <x:c r="W4252" s="20" t="n">
        <x:v>14.3</x:v>
      </x:c>
      <x:c r="X4252" s="20" t="n">
        <x:v>3.3</x:v>
      </x:c>
      <x:c r="Y4252" t="str">
        <x:v>Basis arsip 2025/2024</x:v>
      </x:c>
      <x:c r="Z4252" t="str">
        <x:v>https://snpmb.id/utbk-snbt/daya-tampung-snbt</x:v>
      </x:c>
      <x:c r="AA4252" t="str">
        <x:v>Tidak Ada</x:v>
      </x:c>
      <x:c r="AB4252" t="str">
        <x:v>Campus=55; Ratio=75.6; Prodi=65; RelDemand=66.6; Capacity=55.0</x:v>
      </x:c>
    </x:row>
    <x:row r="4253">
      <x:c r="A4253" t="n">
        <x:v>4250</x:v>
      </x:c>
      <x:c r="B4253" t="str">
        <x:v>PTN Vokasi</x:v>
      </x:c>
      <x:c r="C4253" t="str">
        <x:v>POLITEKNIK NEGERI SEMARANG</x:v>
      </x:c>
      <x:c r="D4253" t="str">
        <x:v>ADMINISTRASI BISNIS TERAPAN</x:v>
      </x:c>
      <x:c r="E4253" t="str">
        <x:v>Sarjana Terapan</x:v>
      </x:c>
      <x:c r="F4253" s="18" t="n">
        <x:v>54</x:v>
      </x:c>
      <x:c r="G4253" s="18" t="n">
        <x:v>1199</x:v>
      </x:c>
      <x:c r="H4253" s="19" t="n">
        <x:v>22.203703703703702</x:v>
      </x:c>
      <x:c r="I4253" s="18" t="n">
        <x:f>ROUND(MIN(Model_Config_v3!$B$6,MAX(Q4253,R4253,S4253*Model_Config_v3!$B$4+T4253*Model_Config_v3!$B$5)),0)</x:f>
        <x:v>683</x:v>
      </x:c>
      <x:c r="J4253" s="18" t="n">
        <x:f>MIN(Model_Config_v3!$B$6,I4253+Model_Config_v3!$B$7)</x:f>
        <x:v>703</x:v>
      </x:c>
      <x:c r="K4253" s="20" t="n">
        <x:v>65.2</x:v>
      </x:c>
      <x:c r="L4253" t="str">
        <x:v>SANGAT KETAT</x:v>
      </x:c>
      <x:c r="M4253" t="str">
        <x:v>SEDANG+</x:v>
      </x:c>
      <x:c r="N4253" t="str">
        <x:v>REGULER</x:v>
      </x:c>
      <x:c r="O4253" t="str">
        <x:v>SOSHUM</x:v>
      </x:c>
      <x:c r="P4253" t="str">
        <x:v>BISNIS/EKONOMI/AKUNTANSI</x:v>
      </x:c>
      <x:c r="Q4253" s="18" t="n">
        <x:v>0</x:v>
      </x:c>
      <x:c r="R4253" s="18" t="n">
        <x:v>0</x:v>
      </x:c>
      <x:c r="S4253" s="18" t="n">
        <x:v>668.1067965603468</x:v>
      </x:c>
      <x:c r="T4253" s="18" t="n">
        <x:v>690</x:v>
      </x:c>
      <x:c r="U4253" s="18" t="n">
        <x:v>683.1067965603468</x:v>
      </x:c>
      <x:c r="V4253" s="20" t="n">
        <x:v>4.4</x:v>
      </x:c>
      <x:c r="W4253" s="20" t="n">
        <x:v>14.3</x:v>
      </x:c>
      <x:c r="X4253" s="20" t="n">
        <x:v>3.3</x:v>
      </x:c>
      <x:c r="Y4253" t="str">
        <x:v>Basis arsip 2025/2024</x:v>
      </x:c>
      <x:c r="Z4253" t="str">
        <x:v>https://snpmb.id/utbk-snbt/daya-tampung-snbt</x:v>
      </x:c>
      <x:c r="AA4253" t="str">
        <x:v>Tidak Ada</x:v>
      </x:c>
      <x:c r="AB4253" t="str">
        <x:v>Campus=55; Ratio=79.2; Prodi=65; RelDemand=76.7; Capacity=55.0</x:v>
      </x:c>
    </x:row>
    <x:row r="4254">
      <x:c r="A4254" t="n">
        <x:v>4251</x:v>
      </x:c>
      <x:c r="B4254" t="str">
        <x:v>PTN Vokasi</x:v>
      </x:c>
      <x:c r="C4254" t="str">
        <x:v>POLITEKNIK NEGERI SEMARANG</x:v>
      </x:c>
      <x:c r="D4254" t="str">
        <x:v>MANAJEMEN PEMASARAN/MARKETING</x:v>
      </x:c>
      <x:c r="E4254" t="str">
        <x:v>Diploma Tiga</x:v>
      </x:c>
      <x:c r="F4254" s="18" t="n">
        <x:v>54</x:v>
      </x:c>
      <x:c r="G4254" s="18" t="n">
        <x:v>1401</x:v>
      </x:c>
      <x:c r="H4254" s="19" t="n">
        <x:v>25.944444444444443</x:v>
      </x:c>
      <x:c r="I4254" s="18" t="n">
        <x:f>ROUND(MIN(Model_Config_v3!$B$6,MAX(Q4254,R4254,S4254*Model_Config_v3!$B$4+T4254*Model_Config_v3!$B$5)),0)</x:f>
        <x:v>689</x:v>
      </x:c>
      <x:c r="J4254" s="18" t="n">
        <x:f>MIN(Model_Config_v3!$B$6,I4254+Model_Config_v3!$B$7)</x:f>
        <x:v>709</x:v>
      </x:c>
      <x:c r="K4254" s="20" t="n">
        <x:v>67.5</x:v>
      </x:c>
      <x:c r="L4254" t="str">
        <x:v>SANGAT KETAT</x:v>
      </x:c>
      <x:c r="M4254" t="str">
        <x:v>SEDANG+</x:v>
      </x:c>
      <x:c r="N4254" t="str">
        <x:v>REGULER</x:v>
      </x:c>
      <x:c r="O4254" t="str">
        <x:v>SOSHUM</x:v>
      </x:c>
      <x:c r="P4254" t="str">
        <x:v>BISNIS/EKONOMI/AKUNTANSI</x:v>
      </x:c>
      <x:c r="Q4254" s="18" t="n">
        <x:v>0</x:v>
      </x:c>
      <x:c r="R4254" s="18" t="n">
        <x:v>0</x:v>
      </x:c>
      <x:c r="S4254" s="18" t="n">
        <x:v>675.5448813009086</x:v>
      </x:c>
      <x:c r="T4254" s="18" t="n">
        <x:v>695</x:v>
      </x:c>
      <x:c r="U4254" s="18" t="n">
        <x:v>690.5448813009086</x:v>
      </x:c>
      <x:c r="V4254" s="20" t="n">
        <x:v>4.4</x:v>
      </x:c>
      <x:c r="W4254" s="20" t="n">
        <x:v>14.3</x:v>
      </x:c>
      <x:c r="X4254" s="20" t="n">
        <x:v>3.3</x:v>
      </x:c>
      <x:c r="Y4254" t="str">
        <x:v>Basis arsip 2025/2024</x:v>
      </x:c>
      <x:c r="Z4254" t="str">
        <x:v>https://snpmb.id/utbk-snbt/daya-tampung-snbt</x:v>
      </x:c>
      <x:c r="AA4254" t="str">
        <x:v>Tidak Ada</x:v>
      </x:c>
      <x:c r="AB4254" t="str">
        <x:v>Campus=55; Ratio=83.2; Prodi=65; RelDemand=89.6; Capacity=55.0</x:v>
      </x:c>
    </x:row>
    <x:row r="4255">
      <x:c r="A4255" t="n">
        <x:v>4252</x:v>
      </x:c>
      <x:c r="B4255" t="str">
        <x:v>PTN Vokasi</x:v>
      </x:c>
      <x:c r="C4255" t="str">
        <x:v>POLITEKNIK NEGERI SEMARANG</x:v>
      </x:c>
      <x:c r="D4255" t="str">
        <x:v>ADMINISTRASI BISNIS</x:v>
      </x:c>
      <x:c r="E4255" t="str">
        <x:v>Diploma Tiga</x:v>
      </x:c>
      <x:c r="F4255" s="18" t="n">
        <x:v>54</x:v>
      </x:c>
      <x:c r="G4255" s="18" t="n">
        <x:v>2034</x:v>
      </x:c>
      <x:c r="H4255" s="19" t="n">
        <x:v>37.666666666666664</x:v>
      </x:c>
      <x:c r="I4255" s="18" t="n">
        <x:f>ROUND(MIN(Model_Config_v3!$B$6,MAX(Q4255,R4255,S4255*Model_Config_v3!$B$4+T4255*Model_Config_v3!$B$5)),0)</x:f>
        <x:v>699</x:v>
      </x:c>
      <x:c r="J4255" s="18" t="n">
        <x:f>MIN(Model_Config_v3!$B$6,I4255+Model_Config_v3!$B$7)</x:f>
        <x:v>719</x:v>
      </x:c>
      <x:c r="K4255" s="20" t="n">
        <x:v>70.9</x:v>
      </x:c>
      <x:c r="L4255" t="str">
        <x:v>SANGAT KETAT</x:v>
      </x:c>
      <x:c r="M4255" t="str">
        <x:v>SEDANG+</x:v>
      </x:c>
      <x:c r="N4255" t="str">
        <x:v>REGULER</x:v>
      </x:c>
      <x:c r="O4255" t="str">
        <x:v>SOSHUM</x:v>
      </x:c>
      <x:c r="P4255" t="str">
        <x:v>BISNIS/EKONOMI/AKUNTANSI</x:v>
      </x:c>
      <x:c r="Q4255" s="18" t="n">
        <x:v>0</x:v>
      </x:c>
      <x:c r="R4255" s="18" t="n">
        <x:v>0</x:v>
      </x:c>
      <x:c r="S4255" s="18" t="n">
        <x:v>693.3552907640133</x:v>
      </x:c>
      <x:c r="T4255" s="18" t="n">
        <x:v>702</x:v>
      </x:c>
      <x:c r="U4255" s="18" t="n">
        <x:v>708.3552907640133</x:v>
      </x:c>
      <x:c r="V4255" s="20" t="n">
        <x:v>4.4</x:v>
      </x:c>
      <x:c r="W4255" s="20" t="n">
        <x:v>14.3</x:v>
      </x:c>
      <x:c r="X4255" s="20" t="n">
        <x:v>3.3</x:v>
      </x:c>
      <x:c r="Y4255" t="str">
        <x:v>Basis arsip 2025/2024</x:v>
      </x:c>
      <x:c r="Z4255" t="str">
        <x:v>https://snpmb.id/utbk-snbt/daya-tampung-snbt</x:v>
      </x:c>
      <x:c r="AA4255" t="str">
        <x:v>Tidak Ada</x:v>
      </x:c>
      <x:c r="AB4255" t="str">
        <x:v>Campus=55; Ratio=92.8; Prodi=65; RelDemand=100.0; Capacity=55.0</x:v>
      </x:c>
    </x:row>
    <x:row r="4256">
      <x:c r="A4256" t="n">
        <x:v>4253</x:v>
      </x:c>
      <x:c r="B4256" t="str">
        <x:v>PTN Vokasi</x:v>
      </x:c>
      <x:c r="C4256" t="str">
        <x:v>POLITEKNIK NEGERI SEMARANG</x:v>
      </x:c>
      <x:c r="D4256" t="str">
        <x:v>TEKNIK INFORMATIKA</x:v>
      </x:c>
      <x:c r="E4256" t="str">
        <x:v>Diploma Tiga</x:v>
      </x:c>
      <x:c r="F4256" s="18" t="n">
        <x:v>47</x:v>
      </x:c>
      <x:c r="G4256" s="18" t="n">
        <x:v>1899</x:v>
      </x:c>
      <x:c r="H4256" s="19" t="n">
        <x:v>40.40425531914894</x:v>
      </x:c>
      <x:c r="I4256" s="18" t="n">
        <x:f>ROUND(MIN(Model_Config_v3!$B$6,MAX(Q4256,R4256,S4256*Model_Config_v3!$B$4+T4256*Model_Config_v3!$B$5)),0)</x:f>
        <x:v>707</x:v>
      </x:c>
      <x:c r="J4256" s="18" t="n">
        <x:f>MIN(Model_Config_v3!$B$6,I4256+Model_Config_v3!$B$7)</x:f>
        <x:v>727</x:v>
      </x:c>
      <x:c r="K4256" s="20" t="n">
        <x:v>76</x:v>
      </x:c>
      <x:c r="L4256" t="str">
        <x:v>ELITE</x:v>
      </x:c>
      <x:c r="M4256" t="str">
        <x:v>SEDANG+</x:v>
      </x:c>
      <x:c r="N4256" t="str">
        <x:v>REGULER</x:v>
      </x:c>
      <x:c r="O4256" t="str">
        <x:v>SAINTEK</x:v>
      </x:c>
      <x:c r="P4256" t="str">
        <x:v>KOMPUTER/INFORMATIKA</x:v>
      </x:c>
      <x:c r="Q4256" s="18" t="n">
        <x:v>0</x:v>
      </x:c>
      <x:c r="R4256" s="18" t="n">
        <x:v>0</x:v>
      </x:c>
      <x:c r="S4256" s="18" t="n">
        <x:v>696.706981748143</x:v>
      </x:c>
      <x:c r="T4256" s="18" t="n">
        <x:v>712</x:v>
      </x:c>
      <x:c r="U4256" s="18" t="n">
        <x:v>721.706981748143</x:v>
      </x:c>
      <x:c r="V4256" s="20" t="n">
        <x:v>12</x:v>
      </x:c>
      <x:c r="W4256" s="20" t="n">
        <x:v>5</x:v>
      </x:c>
      <x:c r="X4256" s="20" t="n">
        <x:v>3</x:v>
      </x:c>
      <x:c r="Y4256" t="str">
        <x:v>Basis arsip 2025/2024</x:v>
      </x:c>
      <x:c r="Z4256" t="str">
        <x:v>https://snpmb.id/utbk-snbt/daya-tampung-snbt</x:v>
      </x:c>
      <x:c r="AA4256" t="str">
        <x:v>Tidak Ada</x:v>
      </x:c>
      <x:c r="AB4256" t="str">
        <x:v>Campus=55; Ratio=94.6; Prodi=85; RelDemand=100.0; Capacity=60.8</x:v>
      </x:c>
    </x:row>
    <x:row r="4257">
      <x:c r="A4257" t="n">
        <x:v>4254</x:v>
      </x:c>
      <x:c r="B4257" t="str">
        <x:v>PTN Vokasi</x:v>
      </x:c>
      <x:c r="C4257" t="str">
        <x:v>POLITEKNIK NEGERI SEMARANG</x:v>
      </x:c>
      <x:c r="D4257" t="str">
        <x:v>KEUANGAN DAN PERBANKAN</x:v>
      </x:c>
      <x:c r="E4257" t="str">
        <x:v>Diploma Tiga</x:v>
      </x:c>
      <x:c r="F4257" s="18" t="n">
        <x:v>54</x:v>
      </x:c>
      <x:c r="G4257" s="18" t="n">
        <x:v>1268</x:v>
      </x:c>
      <x:c r="H4257" s="19" t="n">
        <x:v>23.48148148148148</x:v>
      </x:c>
      <x:c r="I4257" s="18" t="n">
        <x:f>ROUND(MIN(Model_Config_v3!$B$6,MAX(Q4257,R4257,S4257*Model_Config_v3!$B$4+T4257*Model_Config_v3!$B$5)),0)</x:f>
        <x:v>679</x:v>
      </x:c>
      <x:c r="J4257" s="18" t="n">
        <x:f>MIN(Model_Config_v3!$B$6,I4257+Model_Config_v3!$B$7)</x:f>
        <x:v>699</x:v>
      </x:c>
      <x:c r="K4257" s="20" t="n">
        <x:v>61</x:v>
      </x:c>
      <x:c r="L4257" t="str">
        <x:v>KETAT</x:v>
      </x:c>
      <x:c r="M4257" t="str">
        <x:v>SEDANG</x:v>
      </x:c>
      <x:c r="N4257" t="str">
        <x:v>REGULER</x:v>
      </x:c>
      <x:c r="O4257" t="str">
        <x:v>CAMPURAN</x:v>
      </x:c>
      <x:c r="P4257" t="str">
        <x:v>UMUM</x:v>
      </x:c>
      <x:c r="Q4257" s="18" t="n">
        <x:v>0</x:v>
      </x:c>
      <x:c r="R4257" s="18" t="n">
        <x:v>0</x:v>
      </x:c>
      <x:c r="S4257" s="18" t="n">
        <x:v>670.779804309502</x:v>
      </x:c>
      <x:c r="T4257" s="18" t="n">
        <x:v>682</x:v>
      </x:c>
      <x:c r="U4257" s="18" t="n">
        <x:v>670.779804309502</x:v>
      </x:c>
      <x:c r="V4257" s="20" t="n">
        <x:v>8.8</x:v>
      </x:c>
      <x:c r="W4257" s="20" t="n">
        <x:v>9.9</x:v>
      </x:c>
      <x:c r="X4257" s="20" t="n">
        <x:v>3.3</x:v>
      </x:c>
      <x:c r="Y4257" t="str">
        <x:v>Basis arsip 2025/2024</x:v>
      </x:c>
      <x:c r="Z4257" t="str">
        <x:v>https://snpmb.id/utbk-snbt/daya-tampung-snbt</x:v>
      </x:c>
      <x:c r="AA4257" t="str">
        <x:v>Tidak Ada</x:v>
      </x:c>
      <x:c r="AB4257" t="str">
        <x:v>Campus=55; Ratio=80.7; Prodi=40; RelDemand=81.1; Capacity=55.0</x:v>
      </x:c>
    </x:row>
    <x:row r="4258">
      <x:c r="A4258" t="n">
        <x:v>4255</x:v>
      </x:c>
      <x:c r="B4258" t="str">
        <x:v>PTN Vokasi</x:v>
      </x:c>
      <x:c r="C4258" t="str">
        <x:v>POLITEKNIK NEGERI SEMARANG</x:v>
      </x:c>
      <x:c r="D4258" t="str">
        <x:v>TEKNIK MESIN</x:v>
      </x:c>
      <x:c r="E4258" t="str">
        <x:v>Diploma Tiga</x:v>
      </x:c>
      <x:c r="F4258" s="18" t="n">
        <x:v>87</x:v>
      </x:c>
      <x:c r="G4258" s="18" t="n">
        <x:v>1036</x:v>
      </x:c>
      <x:c r="H4258" s="19" t="n">
        <x:v>11.908045977011493</x:v>
      </x:c>
      <x:c r="I4258" s="18" t="n">
        <x:f>ROUND(MIN(Model_Config_v3!$B$6,MAX(Q4258,R4258,S4258*Model_Config_v3!$B$4+T4258*Model_Config_v3!$B$5)),0)</x:f>
        <x:v>659</x:v>
      </x:c>
      <x:c r="J4258" s="18" t="n">
        <x:f>MIN(Model_Config_v3!$B$6,I4258+Model_Config_v3!$B$7)</x:f>
        <x:v>679</x:v>
      </x:c>
      <x:c r="K4258" s="20" t="n">
        <x:v>53.9</x:v>
      </x:c>
      <x:c r="L4258" t="str">
        <x:v>MENENGAH</x:v>
      </x:c>
      <x:c r="M4258" t="str">
        <x:v>SEDANG+</x:v>
      </x:c>
      <x:c r="N4258" t="str">
        <x:v>REGULER</x:v>
      </x:c>
      <x:c r="O4258" t="str">
        <x:v>SAINTEK</x:v>
      </x:c>
      <x:c r="P4258" t="str">
        <x:v>TEKNIK/ARSITEKTUR/STATISTIKA/AKTUARIA</x:v>
      </x:c>
      <x:c r="Q4258" s="18" t="n">
        <x:v>0</x:v>
      </x:c>
      <x:c r="R4258" s="18" t="n">
        <x:v>0</x:v>
      </x:c>
      <x:c r="S4258" s="18" t="n">
        <x:v>638.3424553069655</x:v>
      </x:c>
      <x:c r="T4258" s="18" t="n">
        <x:v>668</x:v>
      </x:c>
      <x:c r="U4258" s="18" t="n">
        <x:v>648.3424553069655</x:v>
      </x:c>
      <x:c r="V4258" s="20" t="n">
        <x:v>12</x:v>
      </x:c>
      <x:c r="W4258" s="20" t="n">
        <x:v>5</x:v>
      </x:c>
      <x:c r="X4258" s="20" t="n">
        <x:v>3</x:v>
      </x:c>
      <x:c r="Y4258" t="str">
        <x:v>Basis arsip 2025/2024</x:v>
      </x:c>
      <x:c r="Z4258" t="str">
        <x:v>https://snpmb.id/utbk-snbt/daya-tampung-snbt</x:v>
      </x:c>
      <x:c r="AA4258" t="str">
        <x:v>Tidak Ada</x:v>
      </x:c>
      <x:c r="AB4258" t="str">
        <x:v>Campus=55; Ratio=63.3; Prodi=60; RelDemand=41.1; Capacity=27.5</x:v>
      </x:c>
    </x:row>
    <x:row r="4259">
      <x:c r="A4259" t="n">
        <x:v>4256</x:v>
      </x:c>
      <x:c r="B4259" t="str">
        <x:v>PTN Vokasi</x:v>
      </x:c>
      <x:c r="C4259" t="str">
        <x:v>POLITEKNIK NEGERI SEMARANG</x:v>
      </x:c>
      <x:c r="D4259" t="str">
        <x:v>TEKNIK LISTRIK</x:v>
      </x:c>
      <x:c r="E4259" t="str">
        <x:v>Diploma Tiga</x:v>
      </x:c>
      <x:c r="F4259" s="18" t="n">
        <x:v>44</x:v>
      </x:c>
      <x:c r="G4259" s="18" t="n">
        <x:v>422</x:v>
      </x:c>
      <x:c r="H4259" s="19" t="n">
        <x:v>9.590909090909092</x:v>
      </x:c>
      <x:c r="I4259" s="18" t="n">
        <x:f>ROUND(MIN(Model_Config_v3!$B$6,MAX(Q4259,R4259,S4259*Model_Config_v3!$B$4+T4259*Model_Config_v3!$B$5)),0)</x:f>
        <x:v>658</x:v>
      </x:c>
      <x:c r="J4259" s="18" t="n">
        <x:f>MIN(Model_Config_v3!$B$6,I4259+Model_Config_v3!$B$7)</x:f>
        <x:v>678</x:v>
      </x:c>
      <x:c r="K4259" s="20" t="n">
        <x:v>55.3</x:v>
      </x:c>
      <x:c r="L4259" t="str">
        <x:v>KETAT</x:v>
      </x:c>
      <x:c r="M4259" t="str">
        <x:v>SEDANG+</x:v>
      </x:c>
      <x:c r="N4259" t="str">
        <x:v>REGULER</x:v>
      </x:c>
      <x:c r="O4259" t="str">
        <x:v>SAINTEK</x:v>
      </x:c>
      <x:c r="P4259" t="str">
        <x:v>TEKNIK/ARSITEKTUR/STATISTIKA/AKTUARIA</x:v>
      </x:c>
      <x:c r="Q4259" s="18" t="n">
        <x:v>0</x:v>
      </x:c>
      <x:c r="R4259" s="18" t="n">
        <x:v>0</x:v>
      </x:c>
      <x:c r="S4259" s="18" t="n">
        <x:v>628.0045751923035</x:v>
      </x:c>
      <x:c r="T4259" s="18" t="n">
        <x:v>671</x:v>
      </x:c>
      <x:c r="U4259" s="18" t="n">
        <x:v>638.0045751923035</x:v>
      </x:c>
      <x:c r="V4259" s="20" t="n">
        <x:v>12</x:v>
      </x:c>
      <x:c r="W4259" s="20" t="n">
        <x:v>5</x:v>
      </x:c>
      <x:c r="X4259" s="20" t="n">
        <x:v>3</x:v>
      </x:c>
      <x:c r="Y4259" t="str">
        <x:v>Basis arsip 2025/2024</x:v>
      </x:c>
      <x:c r="Z4259" t="str">
        <x:v>https://snpmb.id/utbk-snbt/daya-tampung-snbt</x:v>
      </x:c>
      <x:c r="AA4259" t="str">
        <x:v>Tidak Ada</x:v>
      </x:c>
      <x:c r="AB4259" t="str">
        <x:v>Campus=55; Ratio=57.8; Prodi=60; RelDemand=33.1; Capacity=63.3</x:v>
      </x:c>
    </x:row>
    <x:row r="4260">
      <x:c r="A4260" t="n">
        <x:v>4257</x:v>
      </x:c>
      <x:c r="B4260" t="str">
        <x:v>PTN Vokasi</x:v>
      </x:c>
      <x:c r="C4260" t="str">
        <x:v>POLITEKNIK NEGERI SEMARANG</x:v>
      </x:c>
      <x:c r="D4260" t="str">
        <x:v>KONSTRUKSI SIPIL</x:v>
      </x:c>
      <x:c r="E4260" t="str">
        <x:v>Diploma Tiga</x:v>
      </x:c>
      <x:c r="F4260" s="18" t="n">
        <x:v>47</x:v>
      </x:c>
      <x:c r="G4260" s="18" t="n">
        <x:v>1043</x:v>
      </x:c>
      <x:c r="H4260" s="19" t="n">
        <x:v>22.19148936170213</x:v>
      </x:c>
      <x:c r="I4260" s="18" t="n">
        <x:f>ROUND(MIN(Model_Config_v3!$B$6,MAX(Q4260,R4260,S4260*Model_Config_v3!$B$4+T4260*Model_Config_v3!$B$5)),0)</x:f>
        <x:v>678</x:v>
      </x:c>
      <x:c r="J4260" s="18" t="n">
        <x:f>MIN(Model_Config_v3!$B$6,I4260+Model_Config_v3!$B$7)</x:f>
        <x:v>698</x:v>
      </x:c>
      <x:c r="K4260" s="20" t="n">
        <x:v>60.8</x:v>
      </x:c>
      <x:c r="L4260" t="str">
        <x:v>KETAT</x:v>
      </x:c>
      <x:c r="M4260" t="str">
        <x:v>SEDANG</x:v>
      </x:c>
      <x:c r="N4260" t="str">
        <x:v>REGULER</x:v>
      </x:c>
      <x:c r="O4260" t="str">
        <x:v>CAMPURAN</x:v>
      </x:c>
      <x:c r="P4260" t="str">
        <x:v>UMUM</x:v>
      </x:c>
      <x:c r="Q4260" s="18" t="n">
        <x:v>0</x:v>
      </x:c>
      <x:c r="R4260" s="18" t="n">
        <x:v>0</x:v>
      </x:c>
      <x:c r="S4260" s="18" t="n">
        <x:v>668.0805095539895</x:v>
      </x:c>
      <x:c r="T4260" s="18" t="n">
        <x:v>682</x:v>
      </x:c>
      <x:c r="U4260" s="18" t="n">
        <x:v>668.0805095539895</x:v>
      </x:c>
      <x:c r="V4260" s="20" t="n">
        <x:v>8.8</x:v>
      </x:c>
      <x:c r="W4260" s="20" t="n">
        <x:v>9.9</x:v>
      </x:c>
      <x:c r="X4260" s="20" t="n">
        <x:v>3.3</x:v>
      </x:c>
      <x:c r="Y4260" t="str">
        <x:v>Basis arsip 2025/2024</x:v>
      </x:c>
      <x:c r="Z4260" t="str">
        <x:v>https://snpmb.id/utbk-snbt/daya-tampung-snbt</x:v>
      </x:c>
      <x:c r="AA4260" t="str">
        <x:v>Tidak Ada</x:v>
      </x:c>
      <x:c r="AB4260" t="str">
        <x:v>Campus=55; Ratio=79.2; Prodi=40; RelDemand=76.7; Capacity=60.8</x:v>
      </x:c>
    </x:row>
    <x:row r="4261">
      <x:c r="A4261" t="n">
        <x:v>4258</x:v>
      </x:c>
      <x:c r="B4261" t="str">
        <x:v>PTN Vokasi</x:v>
      </x:c>
      <x:c r="C4261" t="str">
        <x:v>POLITEKNIK NEGERI SEMARANG</x:v>
      </x:c>
      <x:c r="D4261" t="str">
        <x:v>TEKNIK KONVERSI ENERGI</x:v>
      </x:c>
      <x:c r="E4261" t="str">
        <x:v>Diploma Tiga</x:v>
      </x:c>
      <x:c r="F4261" s="18" t="n">
        <x:v>54</x:v>
      </x:c>
      <x:c r="G4261" s="18" t="n">
        <x:v>349</x:v>
      </x:c>
      <x:c r="H4261" s="19" t="n">
        <x:v>6.462962962962963</x:v>
      </x:c>
      <x:c r="I4261" s="18" t="n">
        <x:f>ROUND(MIN(Model_Config_v3!$B$6,MAX(Q4261,R4261,S4261*Model_Config_v3!$B$4+T4261*Model_Config_v3!$B$5)),0)</x:f>
        <x:v>646</x:v>
      </x:c>
      <x:c r="J4261" s="18" t="n">
        <x:f>MIN(Model_Config_v3!$B$6,I4261+Model_Config_v3!$B$7)</x:f>
        <x:v>666</x:v>
      </x:c>
      <x:c r="K4261" s="20" t="n">
        <x:v>50.9</x:v>
      </x:c>
      <x:c r="L4261" t="str">
        <x:v>MENENGAH</x:v>
      </x:c>
      <x:c r="M4261" t="str">
        <x:v>SEDANG+</x:v>
      </x:c>
      <x:c r="N4261" t="str">
        <x:v>REGULER</x:v>
      </x:c>
      <x:c r="O4261" t="str">
        <x:v>SAINTEK</x:v>
      </x:c>
      <x:c r="P4261" t="str">
        <x:v>TEKNIK/ARSITEKTUR/STATISTIKA/AKTUARIA</x:v>
      </x:c>
      <x:c r="Q4261" s="18" t="n">
        <x:v>0</x:v>
      </x:c>
      <x:c r="R4261" s="18" t="n">
        <x:v>0</x:v>
      </x:c>
      <x:c r="S4261" s="18" t="n">
        <x:v>609.1474833849833</x:v>
      </x:c>
      <x:c r="T4261" s="18" t="n">
        <x:v>662</x:v>
      </x:c>
      <x:c r="U4261" s="18" t="n">
        <x:v>619.1474833849833</x:v>
      </x:c>
      <x:c r="V4261" s="20" t="n">
        <x:v>12</x:v>
      </x:c>
      <x:c r="W4261" s="20" t="n">
        <x:v>5</x:v>
      </x:c>
      <x:c r="X4261" s="20" t="n">
        <x:v>3</x:v>
      </x:c>
      <x:c r="Y4261" t="str">
        <x:v>Basis arsip 2025/2024</x:v>
      </x:c>
      <x:c r="Z4261" t="str">
        <x:v>https://snpmb.id/utbk-snbt/daya-tampung-snbt</x:v>
      </x:c>
      <x:c r="AA4261" t="str">
        <x:v>Tidak Ada</x:v>
      </x:c>
      <x:c r="AB4261" t="str">
        <x:v>Campus=55; Ratio=47.7; Prodi=60; RelDemand=22.3; Capacity=55.0</x:v>
      </x:c>
    </x:row>
    <x:row r="4262">
      <x:c r="A4262" t="n">
        <x:v>4259</x:v>
      </x:c>
      <x:c r="B4262" t="str">
        <x:v>PTN Vokasi</x:v>
      </x:c>
      <x:c r="C4262" t="str">
        <x:v>POLITEKNIK NEGERI SEMARANG</x:v>
      </x:c>
      <x:c r="D4262" t="str">
        <x:v>AKUNTANSI</x:v>
      </x:c>
      <x:c r="E4262" t="str">
        <x:v>Diploma Tiga</x:v>
      </x:c>
      <x:c r="F4262" s="18" t="n">
        <x:v>81</x:v>
      </x:c>
      <x:c r="G4262" s="18" t="n">
        <x:v>1465</x:v>
      </x:c>
      <x:c r="H4262" s="19" t="n">
        <x:v>18.08641975308642</x:v>
      </x:c>
      <x:c r="I4262" s="18" t="n">
        <x:f>ROUND(MIN(Model_Config_v3!$B$6,MAX(Q4262,R4262,S4262*Model_Config_v3!$B$4+T4262*Model_Config_v3!$B$5)),0)</x:f>
        <x:v>673</x:v>
      </x:c>
      <x:c r="J4262" s="18" t="n">
        <x:f>MIN(Model_Config_v3!$B$6,I4262+Model_Config_v3!$B$7)</x:f>
        <x:v>693</x:v>
      </x:c>
      <x:c r="K4262" s="20" t="n">
        <x:v>60.2</x:v>
      </x:c>
      <x:c r="L4262" t="str">
        <x:v>KETAT</x:v>
      </x:c>
      <x:c r="M4262" t="str">
        <x:v>SEDANG+</x:v>
      </x:c>
      <x:c r="N4262" t="str">
        <x:v>REGULER</x:v>
      </x:c>
      <x:c r="O4262" t="str">
        <x:v>SOSHUM</x:v>
      </x:c>
      <x:c r="P4262" t="str">
        <x:v>BISNIS/EKONOMI/AKUNTANSI</x:v>
      </x:c>
      <x:c r="Q4262" s="18" t="n">
        <x:v>0</x:v>
      </x:c>
      <x:c r="R4262" s="18" t="n">
        <x:v>0</x:v>
      </x:c>
      <x:c r="S4262" s="18" t="n">
        <x:v>658.3087866392626</x:v>
      </x:c>
      <x:c r="T4262" s="18" t="n">
        <x:v>680</x:v>
      </x:c>
      <x:c r="U4262" s="18" t="n">
        <x:v>658.3087866392626</x:v>
      </x:c>
      <x:c r="V4262" s="20" t="n">
        <x:v>4.4</x:v>
      </x:c>
      <x:c r="W4262" s="20" t="n">
        <x:v>14.3</x:v>
      </x:c>
      <x:c r="X4262" s="20" t="n">
        <x:v>3.3</x:v>
      </x:c>
      <x:c r="Y4262" t="str">
        <x:v>Basis arsip 2025/2024</x:v>
      </x:c>
      <x:c r="Z4262" t="str">
        <x:v>https://snpmb.id/utbk-snbt/daya-tampung-snbt</x:v>
      </x:c>
      <x:c r="AA4262" t="str">
        <x:v>Tidak Ada</x:v>
      </x:c>
      <x:c r="AB4262" t="str">
        <x:v>Campus=55; Ratio=74.0; Prodi=65; RelDemand=62.5; Capacity=32.5</x:v>
      </x:c>
    </x:row>
    <x:row r="4263">
      <x:c r="A4263" t="n">
        <x:v>4260</x:v>
      </x:c>
      <x:c r="B4263" t="str">
        <x:v>PTN Vokasi</x:v>
      </x:c>
      <x:c r="C4263" t="str">
        <x:v>POLITEKNIK NEGERI SEMARANG</x:v>
      </x:c>
      <x:c r="D4263" t="str">
        <x:v>TEKNIK ELEKTRONIKA</x:v>
      </x:c>
      <x:c r="E4263" t="str">
        <x:v>Diploma Tiga</x:v>
      </x:c>
      <x:c r="F4263" s="18" t="n">
        <x:v>47</x:v>
      </x:c>
      <x:c r="G4263" s="18" t="n">
        <x:v>526</x:v>
      </x:c>
      <x:c r="H4263" s="19" t="n">
        <x:v>11.191489361702128</x:v>
      </x:c>
      <x:c r="I4263" s="18" t="n">
        <x:f>ROUND(MIN(Model_Config_v3!$B$6,MAX(Q4263,R4263,S4263*Model_Config_v3!$B$4+T4263*Model_Config_v3!$B$5)),0)</x:f>
        <x:v>662</x:v>
      </x:c>
      <x:c r="J4263" s="18" t="n">
        <x:f>MIN(Model_Config_v3!$B$6,I4263+Model_Config_v3!$B$7)</x:f>
        <x:v>682</x:v>
      </x:c>
      <x:c r="K4263" s="20" t="n">
        <x:v>56.6</x:v>
      </x:c>
      <x:c r="L4263" t="str">
        <x:v>KETAT</x:v>
      </x:c>
      <x:c r="M4263" t="str">
        <x:v>SEDANG+</x:v>
      </x:c>
      <x:c r="N4263" t="str">
        <x:v>REGULER</x:v>
      </x:c>
      <x:c r="O4263" t="str">
        <x:v>SAINTEK</x:v>
      </x:c>
      <x:c r="P4263" t="str">
        <x:v>TEKNIK/ARSITEKTUR/STATISTIKA/AKTUARIA</x:v>
      </x:c>
      <x:c r="Q4263" s="18" t="n">
        <x:v>0</x:v>
      </x:c>
      <x:c r="R4263" s="18" t="n">
        <x:v>0</x:v>
      </x:c>
      <x:c r="S4263" s="18" t="n">
        <x:v>635.3776674839823</x:v>
      </x:c>
      <x:c r="T4263" s="18" t="n">
        <x:v>673</x:v>
      </x:c>
      <x:c r="U4263" s="18" t="n">
        <x:v>645.3776674839823</x:v>
      </x:c>
      <x:c r="V4263" s="20" t="n">
        <x:v>12</x:v>
      </x:c>
      <x:c r="W4263" s="20" t="n">
        <x:v>5</x:v>
      </x:c>
      <x:c r="X4263" s="20" t="n">
        <x:v>3</x:v>
      </x:c>
      <x:c r="Y4263" t="str">
        <x:v>Basis arsip 2025/2024</x:v>
      </x:c>
      <x:c r="Z4263" t="str">
        <x:v>https://snpmb.id/utbk-snbt/daya-tampung-snbt</x:v>
      </x:c>
      <x:c r="AA4263" t="str">
        <x:v>Tidak Ada</x:v>
      </x:c>
      <x:c r="AB4263" t="str">
        <x:v>Campus=55; Ratio=61.7; Prodi=60; RelDemand=38.7; Capacity=60.8</x:v>
      </x:c>
    </x:row>
    <x:row r="4264">
      <x:c r="A4264" t="n">
        <x:v>4261</x:v>
      </x:c>
      <x:c r="B4264" t="str">
        <x:v>PTN Vokasi</x:v>
      </x:c>
      <x:c r="C4264" t="str">
        <x:v>POLITEKNIK NEGERI SEMARANG</x:v>
      </x:c>
      <x:c r="D4264" t="str">
        <x:v>TEKNIK TELEKOMUNIKASI</x:v>
      </x:c>
      <x:c r="E4264" t="str">
        <x:v>Diploma Tiga</x:v>
      </x:c>
      <x:c r="F4264" s="18" t="n">
        <x:v>44</x:v>
      </x:c>
      <x:c r="G4264" s="18" t="n">
        <x:v>571</x:v>
      </x:c>
      <x:c r="H4264" s="19" t="n">
        <x:v>12.977272727272727</x:v>
      </x:c>
      <x:c r="I4264" s="18" t="n">
        <x:f>ROUND(MIN(Model_Config_v3!$B$6,MAX(Q4264,R4264,S4264*Model_Config_v3!$B$4+T4264*Model_Config_v3!$B$5)),0)</x:f>
        <x:v>667</x:v>
      </x:c>
      <x:c r="J4264" s="18" t="n">
        <x:f>MIN(Model_Config_v3!$B$6,I4264+Model_Config_v3!$B$7)</x:f>
        <x:v>687</x:v>
      </x:c>
      <x:c r="K4264" s="20" t="n">
        <x:v>58.4</x:v>
      </x:c>
      <x:c r="L4264" t="str">
        <x:v>KETAT</x:v>
      </x:c>
      <x:c r="M4264" t="str">
        <x:v>SEDANG+</x:v>
      </x:c>
      <x:c r="N4264" t="str">
        <x:v>REGULER</x:v>
      </x:c>
      <x:c r="O4264" t="str">
        <x:v>SAINTEK</x:v>
      </x:c>
      <x:c r="P4264" t="str">
        <x:v>TEKNIK/ARSITEKTUR/STATISTIKA/AKTUARIA</x:v>
      </x:c>
      <x:c r="Q4264" s="18" t="n">
        <x:v>0</x:v>
      </x:c>
      <x:c r="R4264" s="18" t="n">
        <x:v>0</x:v>
      </x:c>
      <x:c r="S4264" s="18" t="n">
        <x:v>642.4501774935627</x:v>
      </x:c>
      <x:c r="T4264" s="18" t="n">
        <x:v>677</x:v>
      </x:c>
      <x:c r="U4264" s="18" t="n">
        <x:v>652.4501774935627</x:v>
      </x:c>
      <x:c r="V4264" s="20" t="n">
        <x:v>12</x:v>
      </x:c>
      <x:c r="W4264" s="20" t="n">
        <x:v>5</x:v>
      </x:c>
      <x:c r="X4264" s="20" t="n">
        <x:v>3</x:v>
      </x:c>
      <x:c r="Y4264" t="str">
        <x:v>Basis arsip 2025/2024</x:v>
      </x:c>
      <x:c r="Z4264" t="str">
        <x:v>https://snpmb.id/utbk-snbt/daya-tampung-snbt</x:v>
      </x:c>
      <x:c r="AA4264" t="str">
        <x:v>Tidak Ada</x:v>
      </x:c>
      <x:c r="AB4264" t="str">
        <x:v>Campus=55; Ratio=65.5; Prodi=60; RelDemand=44.8; Capacity=63.3</x:v>
      </x:c>
    </x:row>
    <x:row r="4265">
      <x:c r="A4265" t="n">
        <x:v>4262</x:v>
      </x:c>
      <x:c r="B4265" t="str">
        <x:v>PTN Vokasi</x:v>
      </x:c>
      <x:c r="C4265" t="str">
        <x:v>POLITEKNIK NEGERI SEMARANG</x:v>
      </x:c>
      <x:c r="D4265" t="str">
        <x:v>KONSTRUKSI GEDUNG</x:v>
      </x:c>
      <x:c r="E4265" t="str">
        <x:v>Diploma Tiga</x:v>
      </x:c>
      <x:c r="F4265" s="18" t="n">
        <x:v>47</x:v>
      </x:c>
      <x:c r="G4265" s="18" t="n">
        <x:v>407</x:v>
      </x:c>
      <x:c r="H4265" s="19" t="n">
        <x:v>8.659574468085106</x:v>
      </x:c>
      <x:c r="I4265" s="18" t="n">
        <x:f>ROUND(MIN(Model_Config_v3!$B$6,MAX(Q4265,R4265,S4265*Model_Config_v3!$B$4+T4265*Model_Config_v3!$B$5)),0)</x:f>
        <x:v>649</x:v>
      </x:c>
      <x:c r="J4265" s="18" t="n">
        <x:f>MIN(Model_Config_v3!$B$6,I4265+Model_Config_v3!$B$7)</x:f>
        <x:v>669</x:v>
      </x:c>
      <x:c r="K4265" s="20" t="n">
        <x:v>50.1</x:v>
      </x:c>
      <x:c r="L4265" t="str">
        <x:v>MENENGAH</x:v>
      </x:c>
      <x:c r="M4265" t="str">
        <x:v>SEDANG</x:v>
      </x:c>
      <x:c r="N4265" t="str">
        <x:v>REGULER</x:v>
      </x:c>
      <x:c r="O4265" t="str">
        <x:v>CAMPURAN</x:v>
      </x:c>
      <x:c r="P4265" t="str">
        <x:v>UMUM</x:v>
      </x:c>
      <x:c r="Q4265" s="18" t="n">
        <x:v>0</x:v>
      </x:c>
      <x:c r="R4265" s="18" t="n">
        <x:v>0</x:v>
      </x:c>
      <x:c r="S4265" s="18" t="n">
        <x:v>623.1246206418452</x:v>
      </x:c>
      <x:c r="T4265" s="18" t="n">
        <x:v>660</x:v>
      </x:c>
      <x:c r="U4265" s="18" t="n">
        <x:v>623.1246206418452</x:v>
      </x:c>
      <x:c r="V4265" s="20" t="n">
        <x:v>8.8</x:v>
      </x:c>
      <x:c r="W4265" s="20" t="n">
        <x:v>9.9</x:v>
      </x:c>
      <x:c r="X4265" s="20" t="n">
        <x:v>3.3</x:v>
      </x:c>
      <x:c r="Y4265" t="str">
        <x:v>Basis arsip 2025/2024</x:v>
      </x:c>
      <x:c r="Z4265" t="str">
        <x:v>https://snpmb.id/utbk-snbt/daya-tampung-snbt</x:v>
      </x:c>
      <x:c r="AA4265" t="str">
        <x:v>Tidak Ada</x:v>
      </x:c>
      <x:c r="AB4265" t="str">
        <x:v>Campus=55; Ratio=55.2; Prodi=40; RelDemand=29.9; Capacity=60.8</x:v>
      </x:c>
    </x:row>
    <x:row r="4266">
      <x:c r="A4266" t="n">
        <x:v>4263</x:v>
      </x:c>
      <x:c r="B4266" t="str">
        <x:v>PTN Vokasi</x:v>
      </x:c>
      <x:c r="C4266" t="str">
        <x:v>POLITEKNIK NEGERI CILACAP</x:v>
      </x:c>
      <x:c r="D4266" t="str">
        <x:v>TEKNIK PENGENDALIAN PENCEMARAN LINGKUNGAN</x:v>
      </x:c>
      <x:c r="E4266" t="str">
        <x:v>Sarjana Terapan</x:v>
      </x:c>
      <x:c r="F4266" s="18" t="n">
        <x:v>52</x:v>
      </x:c>
      <x:c r="G4266" s="18" t="n">
        <x:v>178</x:v>
      </x:c>
      <x:c r="H4266" s="19" t="n">
        <x:v>3.423076923076923</x:v>
      </x:c>
      <x:c r="I4266" s="18" t="n">
        <x:f>ROUND(MIN(Model_Config_v3!$B$6,MAX(Q4266,R4266,S4266*Model_Config_v3!$B$4+T4266*Model_Config_v3!$B$5)),0)</x:f>
        <x:v>637</x:v>
      </x:c>
      <x:c r="J4266" s="18" t="n">
        <x:f>MIN(Model_Config_v3!$B$6,I4266+Model_Config_v3!$B$7)</x:f>
        <x:v>657</x:v>
      </x:c>
      <x:c r="K4266" s="20" t="n">
        <x:v>50.8</x:v>
      </x:c>
      <x:c r="L4266" t="str">
        <x:v>MENENGAH</x:v>
      </x:c>
      <x:c r="M4266" t="str">
        <x:v>SEDANG+</x:v>
      </x:c>
      <x:c r="N4266" t="str">
        <x:v>REGULER</x:v>
      </x:c>
      <x:c r="O4266" t="str">
        <x:v>SAINTEK</x:v>
      </x:c>
      <x:c r="P4266" t="str">
        <x:v>TEKNIK/ARSITEKTUR/STATISTIKA/AKTUARIA</x:v>
      </x:c>
      <x:c r="Q4266" s="18" t="n">
        <x:v>0</x:v>
      </x:c>
      <x:c r="R4266" s="18" t="n">
        <x:v>0</x:v>
      </x:c>
      <x:c r="S4266" s="18" t="n">
        <x:v>578.7858324541504</x:v>
      </x:c>
      <x:c r="T4266" s="18" t="n">
        <x:v>662</x:v>
      </x:c>
      <x:c r="U4266" s="18" t="n">
        <x:v>588.7858324541504</x:v>
      </x:c>
      <x:c r="V4266" s="20" t="n">
        <x:v>12</x:v>
      </x:c>
      <x:c r="W4266" s="20" t="n">
        <x:v>5</x:v>
      </x:c>
      <x:c r="X4266" s="20" t="n">
        <x:v>3</x:v>
      </x:c>
      <x:c r="Y4266" t="str">
        <x:v>Basis arsip 2025/2024</x:v>
      </x:c>
      <x:c r="Z4266" t="str">
        <x:v>https://snpmb.id/utbk-snbt/daya-tampung-snbt</x:v>
      </x:c>
      <x:c r="AA4266" t="str">
        <x:v>Tidak Ada</x:v>
      </x:c>
      <x:c r="AB4266" t="str">
        <x:v>Campus=55; Ratio=31.5; Prodi=60; RelDemand=59.9; Capacity=56.7</x:v>
      </x:c>
    </x:row>
    <x:row r="4267">
      <x:c r="A4267" t="n">
        <x:v>4264</x:v>
      </x:c>
      <x:c r="B4267" t="str">
        <x:v>PTN Vokasi</x:v>
      </x:c>
      <x:c r="C4267" t="str">
        <x:v>POLITEKNIK NEGERI CILACAP</x:v>
      </x:c>
      <x:c r="D4267" t="str">
        <x:v>PENGEMBANGAN PRODUK AGROINDUSTRI</x:v>
      </x:c>
      <x:c r="E4267" t="str">
        <x:v>Sarjana Terapan</x:v>
      </x:c>
      <x:c r="F4267" s="18" t="n">
        <x:v>39</x:v>
      </x:c>
      <x:c r="G4267" s="18" t="n">
        <x:v>100</x:v>
      </x:c>
      <x:c r="H4267" s="19" t="n">
        <x:v>2.5641025641025643</x:v>
      </x:c>
      <x:c r="I4267" s="18" t="n">
        <x:f>ROUND(MIN(Model_Config_v3!$B$6,MAX(Q4267,R4267,S4267*Model_Config_v3!$B$4+T4267*Model_Config_v3!$B$5)),0)</x:f>
        <x:v>624</x:v>
      </x:c>
      <x:c r="J4267" s="18" t="n">
        <x:f>MIN(Model_Config_v3!$B$6,I4267+Model_Config_v3!$B$7)</x:f>
        <x:v>644</x:v>
      </x:c>
      <x:c r="K4267" s="20" t="n">
        <x:v>44.5</x:v>
      </x:c>
      <x:c r="L4267" t="str">
        <x:v>RELATIF LONGGAR</x:v>
      </x:c>
      <x:c r="M4267" t="str">
        <x:v>SEDANG</x:v>
      </x:c>
      <x:c r="N4267" t="str">
        <x:v>REGULER</x:v>
      </x:c>
      <x:c r="O4267" t="str">
        <x:v>CAMPURAN</x:v>
      </x:c>
      <x:c r="P4267" t="str">
        <x:v>UMUM</x:v>
      </x:c>
      <x:c r="Q4267" s="18" t="n">
        <x:v>0</x:v>
      </x:c>
      <x:c r="R4267" s="18" t="n">
        <x:v>0</x:v>
      </x:c>
      <x:c r="S4267" s="18" t="n">
        <x:v>564.9828932270851</x:v>
      </x:c>
      <x:c r="T4267" s="18" t="n">
        <x:v>649</x:v>
      </x:c>
      <x:c r="U4267" s="18" t="n">
        <x:v>564.9828932270851</x:v>
      </x:c>
      <x:c r="V4267" s="20" t="n">
        <x:v>8.8</x:v>
      </x:c>
      <x:c r="W4267" s="20" t="n">
        <x:v>9.9</x:v>
      </x:c>
      <x:c r="X4267" s="20" t="n">
        <x:v>3.3</x:v>
      </x:c>
      <x:c r="Y4267" t="str">
        <x:v>Basis arsip 2025/2024</x:v>
      </x:c>
      <x:c r="Z4267" t="str">
        <x:v>https://snpmb.id/utbk-snbt/daya-tampung-snbt</x:v>
      </x:c>
      <x:c r="AA4267" t="str">
        <x:v>Tidak Ada</x:v>
      </x:c>
      <x:c r="AB4267" t="str">
        <x:v>Campus=55; Ratio=24.1; Prodi=40; RelDemand=44.9; Capacity=67.5</x:v>
      </x:c>
    </x:row>
    <x:row r="4268">
      <x:c r="A4268" t="n">
        <x:v>4265</x:v>
      </x:c>
      <x:c r="B4268" t="str">
        <x:v>PTN Vokasi</x:v>
      </x:c>
      <x:c r="C4268" t="str">
        <x:v>POLITEKNIK NEGERI CILACAP</x:v>
      </x:c>
      <x:c r="D4268" t="str">
        <x:v>REKAYASA KEAMANAN SIBER</x:v>
      </x:c>
      <x:c r="E4268" t="str">
        <x:v>Sarjana Terapan</x:v>
      </x:c>
      <x:c r="F4268" s="18" t="n">
        <x:v>39</x:v>
      </x:c>
      <x:c r="G4268" s="18" t="n">
        <x:v>154</x:v>
      </x:c>
      <x:c r="H4268" s="19" t="n">
        <x:v>3.948717948717949</x:v>
      </x:c>
      <x:c r="I4268" s="18" t="n">
        <x:f>ROUND(MIN(Model_Config_v3!$B$6,MAX(Q4268,R4268,S4268*Model_Config_v3!$B$4+T4268*Model_Config_v3!$B$5)),0)</x:f>
        <x:v>637</x:v>
      </x:c>
      <x:c r="J4268" s="18" t="n">
        <x:f>MIN(Model_Config_v3!$B$6,I4268+Model_Config_v3!$B$7)</x:f>
        <x:v>657</x:v>
      </x:c>
      <x:c r="K4268" s="20" t="n">
        <x:v>49.7</x:v>
      </x:c>
      <x:c r="L4268" t="str">
        <x:v>MENENGAH</x:v>
      </x:c>
      <x:c r="M4268" t="str">
        <x:v>SEDANG</x:v>
      </x:c>
      <x:c r="N4268" t="str">
        <x:v>REGULER</x:v>
      </x:c>
      <x:c r="O4268" t="str">
        <x:v>CAMPURAN</x:v>
      </x:c>
      <x:c r="P4268" t="str">
        <x:v>UMUM</x:v>
      </x:c>
      <x:c r="Q4268" s="18" t="n">
        <x:v>0</x:v>
      </x:c>
      <x:c r="R4268" s="18" t="n">
        <x:v>0</x:v>
      </x:c>
      <x:c r="S4268" s="18" t="n">
        <x:v>585.6101725190961</x:v>
      </x:c>
      <x:c r="T4268" s="18" t="n">
        <x:v>659</x:v>
      </x:c>
      <x:c r="U4268" s="18" t="n">
        <x:v>585.6101725190961</x:v>
      </x:c>
      <x:c r="V4268" s="20" t="n">
        <x:v>8.8</x:v>
      </x:c>
      <x:c r="W4268" s="20" t="n">
        <x:v>9.9</x:v>
      </x:c>
      <x:c r="X4268" s="20" t="n">
        <x:v>3.3</x:v>
      </x:c>
      <x:c r="Y4268" t="str">
        <x:v>Basis arsip 2025/2024</x:v>
      </x:c>
      <x:c r="Z4268" t="str">
        <x:v>https://snpmb.id/utbk-snbt/daya-tampung-snbt</x:v>
      </x:c>
      <x:c r="AA4268" t="str">
        <x:v>Tidak Ada</x:v>
      </x:c>
      <x:c r="AB4268" t="str">
        <x:v>Campus=55; Ratio=35.1; Prodi=40; RelDemand=69.1; Capacity=67.5</x:v>
      </x:c>
    </x:row>
    <x:row r="4269">
      <x:c r="A4269" t="n">
        <x:v>4266</x:v>
      </x:c>
      <x:c r="B4269" t="str">
        <x:v>PTN Vokasi</x:v>
      </x:c>
      <x:c r="C4269" t="str">
        <x:v>POLITEKNIK NEGERI CILACAP</x:v>
      </x:c>
      <x:c r="D4269" t="str">
        <x:v>AKUNTANSI LEMBAGA KEUANGAN SYARIAH</x:v>
      </x:c>
      <x:c r="E4269" t="str">
        <x:v>Sarjana Terapan</x:v>
      </x:c>
      <x:c r="F4269" s="18" t="n">
        <x:v>39</x:v>
      </x:c>
      <x:c r="G4269" s="18" t="n">
        <x:v>141</x:v>
      </x:c>
      <x:c r="H4269" s="19" t="n">
        <x:v>3.6153846153846154</x:v>
      </x:c>
      <x:c r="I4269" s="18" t="n">
        <x:f>ROUND(MIN(Model_Config_v3!$B$6,MAX(Q4269,R4269,S4269*Model_Config_v3!$B$4+T4269*Model_Config_v3!$B$5)),0)</x:f>
        <x:v>641</x:v>
      </x:c>
      <x:c r="J4269" s="18" t="n">
        <x:f>MIN(Model_Config_v3!$B$6,I4269+Model_Config_v3!$B$7)</x:f>
        <x:v>661</x:v>
      </x:c>
      <x:c r="K4269" s="20" t="n">
        <x:v>53.5</x:v>
      </x:c>
      <x:c r="L4269" t="str">
        <x:v>MENENGAH</x:v>
      </x:c>
      <x:c r="M4269" t="str">
        <x:v>SEDANG+</x:v>
      </x:c>
      <x:c r="N4269" t="str">
        <x:v>REGULER</x:v>
      </x:c>
      <x:c r="O4269" t="str">
        <x:v>SOSHUM</x:v>
      </x:c>
      <x:c r="P4269" t="str">
        <x:v>BISNIS/EKONOMI/AKUNTANSI</x:v>
      </x:c>
      <x:c r="Q4269" s="18" t="n">
        <x:v>0</x:v>
      </x:c>
      <x:c r="R4269" s="18" t="n">
        <x:v>0</x:v>
      </x:c>
      <x:c r="S4269" s="18" t="n">
        <x:v>581.3969956191769</x:v>
      </x:c>
      <x:c r="T4269" s="18" t="n">
        <x:v>667</x:v>
      </x:c>
      <x:c r="U4269" s="18" t="n">
        <x:v>581.3969956191769</x:v>
      </x:c>
      <x:c r="V4269" s="20" t="n">
        <x:v>4.4</x:v>
      </x:c>
      <x:c r="W4269" s="20" t="n">
        <x:v>14.3</x:v>
      </x:c>
      <x:c r="X4269" s="20" t="n">
        <x:v>3.3</x:v>
      </x:c>
      <x:c r="Y4269" t="str">
        <x:v>Basis arsip 2025/2024</x:v>
      </x:c>
      <x:c r="Z4269" t="str">
        <x:v>https://snpmb.id/utbk-snbt/daya-tampung-snbt</x:v>
      </x:c>
      <x:c r="AA4269" t="str">
        <x:v>Tidak Ada</x:v>
      </x:c>
      <x:c r="AB4269" t="str">
        <x:v>Campus=55; Ratio=32.9; Prodi=65; RelDemand=63.2; Capacity=67.5</x:v>
      </x:c>
    </x:row>
    <x:row r="4270">
      <x:c r="A4270" t="n">
        <x:v>4267</x:v>
      </x:c>
      <x:c r="B4270" t="str">
        <x:v>PTN Vokasi</x:v>
      </x:c>
      <x:c r="C4270" t="str">
        <x:v>POLITEKNIK NEGERI CILACAP</x:v>
      </x:c>
      <x:c r="D4270" t="str">
        <x:v>TEKNOLOGI REKAYASA MEKATRONIKA</x:v>
      </x:c>
      <x:c r="E4270" t="str">
        <x:v>Sarjana Terapan</x:v>
      </x:c>
      <x:c r="F4270" s="18" t="n">
        <x:v>29</x:v>
      </x:c>
      <x:c r="G4270" s="18" t="n">
        <x:v>36</x:v>
      </x:c>
      <x:c r="H4270" s="19" t="n">
        <x:v>1.2413793103448276</x:v>
      </x:c>
      <x:c r="I4270" s="18" t="n">
        <x:f>ROUND(MIN(Model_Config_v3!$B$6,MAX(Q4270,R4270,S4270*Model_Config_v3!$B$4+T4270*Model_Config_v3!$B$5)),0)</x:f>
        <x:v>605</x:v>
      </x:c>
      <x:c r="J4270" s="18" t="n">
        <x:f>MIN(Model_Config_v3!$B$6,I4270+Model_Config_v3!$B$7)</x:f>
        <x:v>625</x:v>
      </x:c>
      <x:c r="K4270" s="20" t="n">
        <x:v>38.4</x:v>
      </x:c>
      <x:c r="L4270" t="str">
        <x:v>RELATIF LONGGAR</x:v>
      </x:c>
      <x:c r="M4270" t="str">
        <x:v>SEDANG</x:v>
      </x:c>
      <x:c r="N4270" t="str">
        <x:v>REGULER</x:v>
      </x:c>
      <x:c r="O4270" t="str">
        <x:v>SAINTEK</x:v>
      </x:c>
      <x:c r="P4270" t="str">
        <x:v>UMUM</x:v>
      </x:c>
      <x:c r="Q4270" s="18" t="n">
        <x:v>0</x:v>
      </x:c>
      <x:c r="R4270" s="18" t="n">
        <x:v>0</x:v>
      </x:c>
      <x:c r="S4270" s="18" t="n">
        <x:v>530.3294953155164</x:v>
      </x:c>
      <x:c r="T4270" s="18" t="n">
        <x:v>637</x:v>
      </x:c>
      <x:c r="U4270" s="18" t="n">
        <x:v>530.3294953155164</x:v>
      </x:c>
      <x:c r="V4270" s="20" t="n">
        <x:v>12</x:v>
      </x:c>
      <x:c r="W4270" s="20" t="n">
        <x:v>5</x:v>
      </x:c>
      <x:c r="X4270" s="20" t="n">
        <x:v>3</x:v>
      </x:c>
      <x:c r="Y4270" t="str">
        <x:v>Basis arsip 2025/2024</x:v>
      </x:c>
      <x:c r="Z4270" t="str">
        <x:v>https://snpmb.id/utbk-snbt/daya-tampung-snbt</x:v>
      </x:c>
      <x:c r="AA4270" t="str">
        <x:v>Tidak Ada</x:v>
      </x:c>
      <x:c r="AB4270" t="str">
        <x:v>Campus=55; Ratio=5.5; Prodi=40; RelDemand=21.7; Capacity=75.8</x:v>
      </x:c>
    </x:row>
    <x:row r="4271">
      <x:c r="A4271" t="n">
        <x:v>4268</x:v>
      </x:c>
      <x:c r="B4271" t="str">
        <x:v>PTN Vokasi</x:v>
      </x:c>
      <x:c r="C4271" t="str">
        <x:v>POLITEKNIK NEGERI CILACAP</x:v>
      </x:c>
      <x:c r="D4271" t="str">
        <x:v>TEKNOLOGI REKAYASA MULTIMEDIA</x:v>
      </x:c>
      <x:c r="E4271" t="str">
        <x:v>Sarjana Terapan</x:v>
      </x:c>
      <x:c r="F4271" s="18" t="n">
        <x:v>39</x:v>
      </x:c>
      <x:c r="G4271" s="18" t="n">
        <x:v>96</x:v>
      </x:c>
      <x:c r="H4271" s="19" t="n">
        <x:v>2.4615384615384617</x:v>
      </x:c>
      <x:c r="I4271" s="18" t="n">
        <x:f>ROUND(MIN(Model_Config_v3!$B$6,MAX(Q4271,R4271,S4271*Model_Config_v3!$B$4+T4271*Model_Config_v3!$B$5)),0)</x:f>
        <x:v>623</x:v>
      </x:c>
      <x:c r="J4271" s="18" t="n">
        <x:f>MIN(Model_Config_v3!$B$6,I4271+Model_Config_v3!$B$7)</x:f>
        <x:v>643</x:v>
      </x:c>
      <x:c r="K4271" s="20" t="n">
        <x:v>44.1</x:v>
      </x:c>
      <x:c r="L4271" t="str">
        <x:v>RELATIF LONGGAR</x:v>
      </x:c>
      <x:c r="M4271" t="str">
        <x:v>SEDANG</x:v>
      </x:c>
      <x:c r="N4271" t="str">
        <x:v>REGULER</x:v>
      </x:c>
      <x:c r="O4271" t="str">
        <x:v>SAINTEK</x:v>
      </x:c>
      <x:c r="P4271" t="str">
        <x:v>UMUM</x:v>
      </x:c>
      <x:c r="Q4271" s="18" t="n">
        <x:v>0</x:v>
      </x:c>
      <x:c r="R4271" s="18" t="n">
        <x:v>0</x:v>
      </x:c>
      <x:c r="S4271" s="18" t="n">
        <x:v>563.0327288614376</x:v>
      </x:c>
      <x:c r="T4271" s="18" t="n">
        <x:v>648</x:v>
      </x:c>
      <x:c r="U4271" s="18" t="n">
        <x:v>563.0327288614376</x:v>
      </x:c>
      <x:c r="V4271" s="20" t="n">
        <x:v>12</x:v>
      </x:c>
      <x:c r="W4271" s="20" t="n">
        <x:v>5</x:v>
      </x:c>
      <x:c r="X4271" s="20" t="n">
        <x:v>3</x:v>
      </x:c>
      <x:c r="Y4271" t="str">
        <x:v>Basis arsip 2025/2024</x:v>
      </x:c>
      <x:c r="Z4271" t="str">
        <x:v>https://snpmb.id/utbk-snbt/daya-tampung-snbt</x:v>
      </x:c>
      <x:c r="AA4271" t="str">
        <x:v>Tidak Ada</x:v>
      </x:c>
      <x:c r="AB4271" t="str">
        <x:v>Campus=55; Ratio=23.0; Prodi=40; RelDemand=43.1; Capacity=67.5</x:v>
      </x:c>
    </x:row>
    <x:row r="4272">
      <x:c r="A4272" t="n">
        <x:v>4269</x:v>
      </x:c>
      <x:c r="B4272" t="str">
        <x:v>PTN Vokasi</x:v>
      </x:c>
      <x:c r="C4272" t="str">
        <x:v>POLITEKNIK NEGERI CILACAP</x:v>
      </x:c>
      <x:c r="D4272" t="str">
        <x:v>TEKNOLOGI REKAYASA ENERGI TERBARUKAN</x:v>
      </x:c>
      <x:c r="E4272" t="str">
        <x:v>Sarjana Terapan</x:v>
      </x:c>
      <x:c r="F4272" s="18" t="n">
        <x:v>20</x:v>
      </x:c>
      <x:c r="G4272" s="18" t="n">
        <x:v>36</x:v>
      </x:c>
      <x:c r="H4272" s="19" t="n">
        <x:v>1.8</x:v>
      </x:c>
      <x:c r="I4272" s="18" t="n">
        <x:f>ROUND(MIN(Model_Config_v3!$B$6,MAX(Q4272,R4272,S4272*Model_Config_v3!$B$4+T4272*Model_Config_v3!$B$5)),0)</x:f>
        <x:v>616</x:v>
      </x:c>
      <x:c r="J4272" s="18" t="n">
        <x:f>MIN(Model_Config_v3!$B$6,I4272+Model_Config_v3!$B$7)</x:f>
        <x:v>636</x:v>
      </x:c>
      <x:c r="K4272" s="20" t="n">
        <x:v>42.5</x:v>
      </x:c>
      <x:c r="L4272" t="str">
        <x:v>RELATIF LONGGAR</x:v>
      </x:c>
      <x:c r="M4272" t="str">
        <x:v>SEDANG</x:v>
      </x:c>
      <x:c r="N4272" t="str">
        <x:v>REGULER</x:v>
      </x:c>
      <x:c r="O4272" t="str">
        <x:v>SAINTEK</x:v>
      </x:c>
      <x:c r="P4272" t="str">
        <x:v>UMUM</x:v>
      </x:c>
      <x:c r="Q4272" s="18" t="n">
        <x:v>0</x:v>
      </x:c>
      <x:c r="R4272" s="18" t="n">
        <x:v>0</x:v>
      </x:c>
      <x:c r="S4272" s="18" t="n">
        <x:v>548.0799755613637</x:v>
      </x:c>
      <x:c r="T4272" s="18" t="n">
        <x:v>645</x:v>
      </x:c>
      <x:c r="U4272" s="18" t="n">
        <x:v>548.0799755613637</x:v>
      </x:c>
      <x:c r="V4272" s="20" t="n">
        <x:v>12</x:v>
      </x:c>
      <x:c r="W4272" s="20" t="n">
        <x:v>5</x:v>
      </x:c>
      <x:c r="X4272" s="20" t="n">
        <x:v>3</x:v>
      </x:c>
      <x:c r="Y4272" t="str">
        <x:v>Basis arsip 2025/2024</x:v>
      </x:c>
      <x:c r="Z4272" t="str">
        <x:v>https://snpmb.id/utbk-snbt/daya-tampung-snbt</x:v>
      </x:c>
      <x:c r="AA4272" t="str">
        <x:v>Tidak Ada</x:v>
      </x:c>
      <x:c r="AB4272" t="str">
        <x:v>Campus=55; Ratio=15.0; Prodi=40; RelDemand=31.5; Capacity=83.3</x:v>
      </x:c>
    </x:row>
    <x:row r="4273">
      <x:c r="A4273" t="n">
        <x:v>4270</x:v>
      </x:c>
      <x:c r="B4273" t="str">
        <x:v>PTN Vokasi</x:v>
      </x:c>
      <x:c r="C4273" t="str">
        <x:v>POLITEKNIK NEGERI CILACAP</x:v>
      </x:c>
      <x:c r="D4273" t="str">
        <x:v>TEKNOLOGI REKAYASA KIMIA INDUSTRI</x:v>
      </x:c>
      <x:c r="E4273" t="str">
        <x:v>Sarjana Terapan</x:v>
      </x:c>
      <x:c r="F4273" s="18" t="n">
        <x:v>13</x:v>
      </x:c>
      <x:c r="G4273" s="18"/>
      <x:c r="H4273" s="19" t="n">
        <x:v>0</x:v>
      </x:c>
      <x:c r="I4273" s="18" t="n">
        <x:f>ROUND(MIN(Model_Config_v3!$B$6,MAX(Q4273,R4273,S4273*Model_Config_v3!$B$4+T4273*Model_Config_v3!$B$5)),0)</x:f>
        <x:v>601</x:v>
      </x:c>
      <x:c r="J4273" s="18" t="n">
        <x:f>MIN(Model_Config_v3!$B$6,I4273+Model_Config_v3!$B$7)</x:f>
        <x:v>621</x:v>
      </x:c>
      <x:c r="K4273" s="20" t="n">
        <x:v>38.2</x:v>
      </x:c>
      <x:c r="L4273" t="str">
        <x:v>RELATIF LONGGAR</x:v>
      </x:c>
      <x:c r="M4273" t="str">
        <x:v>RENDAH</x:v>
      </x:c>
      <x:c r="N4273" t="str">
        <x:v>REGULER</x:v>
      </x:c>
      <x:c r="O4273" t="str">
        <x:v>SAINTEK</x:v>
      </x:c>
      <x:c r="P4273" t="str">
        <x:v>SAINS DASAR</x:v>
      </x:c>
      <x:c r="Q4273" s="18" t="n">
        <x:v>0</x:v>
      </x:c>
      <x:c r="R4273" s="18" t="n">
        <x:v>0</x:v>
      </x:c>
      <x:c r="S4273" s="18" t="n">
        <x:v>520</x:v>
      </x:c>
      <x:c r="T4273" s="18" t="n">
        <x:v>636</x:v>
      </x:c>
      <x:c r="U4273" s="18" t="n">
        <x:v>520</x:v>
      </x:c>
      <x:c r="V4273" s="20" t="n">
        <x:v>12</x:v>
      </x:c>
      <x:c r="W4273" s="20" t="n">
        <x:v>5</x:v>
      </x:c>
      <x:c r="X4273" s="20" t="n">
        <x:v>3</x:v>
      </x:c>
      <x:c r="Y4273" t="str">
        <x:v>Basis arsip 2025/2024</x:v>
      </x:c>
      <x:c r="Z4273" t="str">
        <x:v>https://snpmb.id/utbk-snbt/daya-tampung-snbt</x:v>
      </x:c>
      <x:c r="AA4273" t="str">
        <x:v>Tidak Ada</x:v>
      </x:c>
      <x:c r="AB4273" t="str">
        <x:v>Campus=55; Ratio=0.0; Prodi=50; RelDemand=0.0; Capacity=89.2</x:v>
      </x:c>
    </x:row>
    <x:row r="4274">
      <x:c r="A4274" t="n">
        <x:v>4271</x:v>
      </x:c>
      <x:c r="B4274" t="str">
        <x:v>PTN Vokasi</x:v>
      </x:c>
      <x:c r="C4274" t="str">
        <x:v>POLITEKNIK NEGERI CILACAP</x:v>
      </x:c>
      <x:c r="D4274" t="str">
        <x:v>TEKNOLOGI REKAYASA PERANGKAT LUNAK</x:v>
      </x:c>
      <x:c r="E4274" t="str">
        <x:v>Sarjana Terapan</x:v>
      </x:c>
      <x:c r="F4274" s="18" t="n">
        <x:v>26</x:v>
      </x:c>
      <x:c r="G4274" s="18"/>
      <x:c r="H4274" s="19" t="n">
        <x:v>0</x:v>
      </x:c>
      <x:c r="I4274" s="18" t="n">
        <x:f>ROUND(MIN(Model_Config_v3!$B$6,MAX(Q4274,R4274,S4274*Model_Config_v3!$B$4+T4274*Model_Config_v3!$B$5)),0)</x:f>
        <x:v>597</x:v>
      </x:c>
      <x:c r="J4274" s="18" t="n">
        <x:f>MIN(Model_Config_v3!$B$6,I4274+Model_Config_v3!$B$7)</x:f>
        <x:v>617</x:v>
      </x:c>
      <x:c r="K4274" s="20" t="n">
        <x:v>35.1</x:v>
      </x:c>
      <x:c r="L4274" t="str">
        <x:v>RELATIF LONGGAR</x:v>
      </x:c>
      <x:c r="M4274" t="str">
        <x:v>RENDAH</x:v>
      </x:c>
      <x:c r="N4274" t="str">
        <x:v>REGULER</x:v>
      </x:c>
      <x:c r="O4274" t="str">
        <x:v>SAINTEK</x:v>
      </x:c>
      <x:c r="P4274" t="str">
        <x:v>UMUM</x:v>
      </x:c>
      <x:c r="Q4274" s="18" t="n">
        <x:v>0</x:v>
      </x:c>
      <x:c r="R4274" s="18" t="n">
        <x:v>0</x:v>
      </x:c>
      <x:c r="S4274" s="18" t="n">
        <x:v>520</x:v>
      </x:c>
      <x:c r="T4274" s="18" t="n">
        <x:v>630</x:v>
      </x:c>
      <x:c r="U4274" s="18" t="n">
        <x:v>520</x:v>
      </x:c>
      <x:c r="V4274" s="20" t="n">
        <x:v>12</x:v>
      </x:c>
      <x:c r="W4274" s="20" t="n">
        <x:v>5</x:v>
      </x:c>
      <x:c r="X4274" s="20" t="n">
        <x:v>3</x:v>
      </x:c>
      <x:c r="Y4274" t="str">
        <x:v>Basis arsip 2025/2024</x:v>
      </x:c>
      <x:c r="Z4274" t="str">
        <x:v>https://snpmb.id/utbk-snbt/daya-tampung-snbt</x:v>
      </x:c>
      <x:c r="AA4274" t="str">
        <x:v>Tidak Ada</x:v>
      </x:c>
      <x:c r="AB4274" t="str">
        <x:v>Campus=55; Ratio=0.0; Prodi=40; RelDemand=0.0; Capacity=78.3</x:v>
      </x:c>
    </x:row>
    <x:row r="4275">
      <x:c r="A4275" t="n">
        <x:v>4272</x:v>
      </x:c>
      <x:c r="B4275" t="str">
        <x:v>PTN Vokasi</x:v>
      </x:c>
      <x:c r="C4275" t="str">
        <x:v>POLITEKNIK NEGERI CILACAP</x:v>
      </x:c>
      <x:c r="D4275" t="str">
        <x:v>TEKNIK LISTRIK</x:v>
      </x:c>
      <x:c r="E4275" t="str">
        <x:v>Diploma Tiga</x:v>
      </x:c>
      <x:c r="F4275" s="18" t="n">
        <x:v>39</x:v>
      </x:c>
      <x:c r="G4275" s="18" t="n">
        <x:v>68</x:v>
      </x:c>
      <x:c r="H4275" s="19" t="n">
        <x:v>1.7435897435897436</x:v>
      </x:c>
      <x:c r="I4275" s="18" t="n">
        <x:f>ROUND(MIN(Model_Config_v3!$B$6,MAX(Q4275,R4275,S4275*Model_Config_v3!$B$4+T4275*Model_Config_v3!$B$5)),0)</x:f>
        <x:v>618</x:v>
      </x:c>
      <x:c r="J4275" s="18" t="n">
        <x:f>MIN(Model_Config_v3!$B$6,I4275+Model_Config_v3!$B$7)</x:f>
        <x:v>638</x:v>
      </x:c>
      <x:c r="K4275" s="20" t="n">
        <x:v>44.6</x:v>
      </x:c>
      <x:c r="L4275" t="str">
        <x:v>RELATIF LONGGAR</x:v>
      </x:c>
      <x:c r="M4275" t="str">
        <x:v>SEDANG+</x:v>
      </x:c>
      <x:c r="N4275" t="str">
        <x:v>REGULER</x:v>
      </x:c>
      <x:c r="O4275" t="str">
        <x:v>SAINTEK</x:v>
      </x:c>
      <x:c r="P4275" t="str">
        <x:v>TEKNIK/ARSITEKTUR/STATISTIKA/AKTUARIA</x:v>
      </x:c>
      <x:c r="Q4275" s="18" t="n">
        <x:v>0</x:v>
      </x:c>
      <x:c r="R4275" s="18" t="n">
        <x:v>0</x:v>
      </x:c>
      <x:c r="S4275" s="18" t="n">
        <x:v>546.5588736247711</x:v>
      </x:c>
      <x:c r="T4275" s="18" t="n">
        <x:v>649</x:v>
      </x:c>
      <x:c r="U4275" s="18" t="n">
        <x:v>556.5588736247711</x:v>
      </x:c>
      <x:c r="V4275" s="20" t="n">
        <x:v>12</x:v>
      </x:c>
      <x:c r="W4275" s="20" t="n">
        <x:v>5</x:v>
      </x:c>
      <x:c r="X4275" s="20" t="n">
        <x:v>3</x:v>
      </x:c>
      <x:c r="Y4275" t="str">
        <x:v>Basis arsip 2025/2024</x:v>
      </x:c>
      <x:c r="Z4275" t="str">
        <x:v>https://snpmb.id/utbk-snbt/daya-tampung-snbt</x:v>
      </x:c>
      <x:c r="AA4275" t="str">
        <x:v>Tidak Ada</x:v>
      </x:c>
      <x:c r="AB4275" t="str">
        <x:v>Campus=55; Ratio=14.2; Prodi=60; RelDemand=30.5; Capacity=67.5</x:v>
      </x:c>
    </x:row>
    <x:row r="4276">
      <x:c r="A4276" t="n">
        <x:v>4273</x:v>
      </x:c>
      <x:c r="B4276" t="str">
        <x:v>PTN Vokasi</x:v>
      </x:c>
      <x:c r="C4276" t="str">
        <x:v>POLITEKNIK NEGERI CILACAP</x:v>
      </x:c>
      <x:c r="D4276" t="str">
        <x:v>TEKNIK INFORMATIKA</x:v>
      </x:c>
      <x:c r="E4276" t="str">
        <x:v>Diploma Tiga</x:v>
      </x:c>
      <x:c r="F4276" s="18" t="n">
        <x:v>52</x:v>
      </x:c>
      <x:c r="G4276" s="18" t="n">
        <x:v>424</x:v>
      </x:c>
      <x:c r="H4276" s="19" t="n">
        <x:v>8.153846153846153</x:v>
      </x:c>
      <x:c r="I4276" s="18" t="n">
        <x:f>ROUND(MIN(Model_Config_v3!$B$6,MAX(Q4276,R4276,S4276*Model_Config_v3!$B$4+T4276*Model_Config_v3!$B$5)),0)</x:f>
        <x:v>670</x:v>
      </x:c>
      <x:c r="J4276" s="18" t="n">
        <x:f>MIN(Model_Config_v3!$B$6,I4276+Model_Config_v3!$B$7)</x:f>
        <x:v>690</x:v>
      </x:c>
      <x:c r="K4276" s="20" t="n">
        <x:v>65.3</x:v>
      </x:c>
      <x:c r="L4276" t="str">
        <x:v>SANGAT KETAT</x:v>
      </x:c>
      <x:c r="M4276" t="str">
        <x:v>SEDANG+</x:v>
      </x:c>
      <x:c r="N4276" t="str">
        <x:v>REGULER</x:v>
      </x:c>
      <x:c r="O4276" t="str">
        <x:v>SAINTEK</x:v>
      </x:c>
      <x:c r="P4276" t="str">
        <x:v>KOMPUTER/INFORMATIKA</x:v>
      </x:c>
      <x:c r="Q4276" s="18" t="n">
        <x:v>0</x:v>
      </x:c>
      <x:c r="R4276" s="18" t="n">
        <x:v>0</x:v>
      </x:c>
      <x:c r="S4276" s="18" t="n">
        <x:v>620.2498764253727</x:v>
      </x:c>
      <x:c r="T4276" s="18" t="n">
        <x:v>691</x:v>
      </x:c>
      <x:c r="U4276" s="18" t="n">
        <x:v>645.2498764253727</x:v>
      </x:c>
      <x:c r="V4276" s="20" t="n">
        <x:v>12</x:v>
      </x:c>
      <x:c r="W4276" s="20" t="n">
        <x:v>5</x:v>
      </x:c>
      <x:c r="X4276" s="20" t="n">
        <x:v>3</x:v>
      </x:c>
      <x:c r="Y4276" t="str">
        <x:v>Basis arsip 2025/2024</x:v>
      </x:c>
      <x:c r="Z4276" t="str">
        <x:v>https://snpmb.id/utbk-snbt/daya-tampung-snbt</x:v>
      </x:c>
      <x:c r="AA4276" t="str">
        <x:v>Tidak Ada</x:v>
      </x:c>
      <x:c r="AB4276" t="str">
        <x:v>Campus=55; Ratio=53.6; Prodi=85; RelDemand=100.0; Capacity=56.7</x:v>
      </x:c>
    </x:row>
    <x:row r="4277">
      <x:c r="A4277" t="n">
        <x:v>4274</x:v>
      </x:c>
      <x:c r="B4277" t="str">
        <x:v>PTN Vokasi</x:v>
      </x:c>
      <x:c r="C4277" t="str">
        <x:v>POLITEKNIK NEGERI CILACAP</x:v>
      </x:c>
      <x:c r="D4277" t="str">
        <x:v>TEKNIK ELEKTRONIKA</x:v>
      </x:c>
      <x:c r="E4277" t="str">
        <x:v>Diploma Tiga</x:v>
      </x:c>
      <x:c r="F4277" s="18" t="n">
        <x:v>39</x:v>
      </x:c>
      <x:c r="G4277" s="18" t="n">
        <x:v>103</x:v>
      </x:c>
      <x:c r="H4277" s="19" t="n">
        <x:v>2.641025641025641</x:v>
      </x:c>
      <x:c r="I4277" s="18" t="n">
        <x:f>ROUND(MIN(Model_Config_v3!$B$6,MAX(Q4277,R4277,S4277*Model_Config_v3!$B$4+T4277*Model_Config_v3!$B$5)),0)</x:f>
        <x:v>631</x:v>
      </x:c>
      <x:c r="J4277" s="18" t="n">
        <x:f>MIN(Model_Config_v3!$B$6,I4277+Model_Config_v3!$B$7)</x:f>
        <x:v>651</x:v>
      </x:c>
      <x:c r="K4277" s="20" t="n">
        <x:v>48.8</x:v>
      </x:c>
      <x:c r="L4277" t="str">
        <x:v>MENENGAH</x:v>
      </x:c>
      <x:c r="M4277" t="str">
        <x:v>SEDANG+</x:v>
      </x:c>
      <x:c r="N4277" t="str">
        <x:v>REGULER</x:v>
      </x:c>
      <x:c r="O4277" t="str">
        <x:v>SAINTEK</x:v>
      </x:c>
      <x:c r="P4277" t="str">
        <x:v>TEKNIK/ARSITEKTUR/STATISTIKA/AKTUARIA</x:v>
      </x:c>
      <x:c r="Q4277" s="18" t="n">
        <x:v>0</x:v>
      </x:c>
      <x:c r="R4277" s="18" t="n">
        <x:v>0</x:v>
      </x:c>
      <x:c r="S4277" s="18" t="n">
        <x:v>566.3949879446541</x:v>
      </x:c>
      <x:c r="T4277" s="18" t="n">
        <x:v>658</x:v>
      </x:c>
      <x:c r="U4277" s="18" t="n">
        <x:v>576.3949879446541</x:v>
      </x:c>
      <x:c r="V4277" s="20" t="n">
        <x:v>12</x:v>
      </x:c>
      <x:c r="W4277" s="20" t="n">
        <x:v>5</x:v>
      </x:c>
      <x:c r="X4277" s="20" t="n">
        <x:v>3</x:v>
      </x:c>
      <x:c r="Y4277" t="str">
        <x:v>Basis arsip 2025/2024</x:v>
      </x:c>
      <x:c r="Z4277" t="str">
        <x:v>https://snpmb.id/utbk-snbt/daya-tampung-snbt</x:v>
      </x:c>
      <x:c r="AA4277" t="str">
        <x:v>Tidak Ada</x:v>
      </x:c>
      <x:c r="AB4277" t="str">
        <x:v>Campus=55; Ratio=24.8; Prodi=60; RelDemand=46.2; Capacity=67.5</x:v>
      </x:c>
    </x:row>
    <x:row r="4278">
      <x:c r="A4278" t="n">
        <x:v>4275</x:v>
      </x:c>
      <x:c r="B4278" t="str">
        <x:v>PTN Vokasi</x:v>
      </x:c>
      <x:c r="C4278" t="str">
        <x:v>POLITEKNIK NEGERI CILACAP</x:v>
      </x:c>
      <x:c r="D4278" t="str">
        <x:v>TEKNIK MESIN</x:v>
      </x:c>
      <x:c r="E4278" t="str">
        <x:v>Diploma Tiga</x:v>
      </x:c>
      <x:c r="F4278" s="18" t="n">
        <x:v>39</x:v>
      </x:c>
      <x:c r="G4278" s="18" t="n">
        <x:v>217</x:v>
      </x:c>
      <x:c r="H4278" s="19" t="n">
        <x:v>5.564102564102564</x:v>
      </x:c>
      <x:c r="I4278" s="18" t="n">
        <x:f>ROUND(MIN(Model_Config_v3!$B$6,MAX(Q4278,R4278,S4278*Model_Config_v3!$B$4+T4278*Model_Config_v3!$B$5)),0)</x:f>
        <x:v>654</x:v>
      </x:c>
      <x:c r="J4278" s="18" t="n">
        <x:f>MIN(Model_Config_v3!$B$6,I4278+Model_Config_v3!$B$7)</x:f>
        <x:v>674</x:v>
      </x:c>
      <x:c r="K4278" s="20" t="n">
        <x:v>58.7</x:v>
      </x:c>
      <x:c r="L4278" t="str">
        <x:v>KETAT</x:v>
      </x:c>
      <x:c r="M4278" t="str">
        <x:v>SEDANG+</x:v>
      </x:c>
      <x:c r="N4278" t="str">
        <x:v>REGULER</x:v>
      </x:c>
      <x:c r="O4278" t="str">
        <x:v>SAINTEK</x:v>
      </x:c>
      <x:c r="P4278" t="str">
        <x:v>TEKNIK/ARSITEKTUR/STATISTIKA/AKTUARIA</x:v>
      </x:c>
      <x:c r="Q4278" s="18" t="n">
        <x:v>0</x:v>
      </x:c>
      <x:c r="R4278" s="18" t="n">
        <x:v>0</x:v>
      </x:c>
      <x:c r="S4278" s="18" t="n">
        <x:v>601.9934639504233</x:v>
      </x:c>
      <x:c r="T4278" s="18" t="n">
        <x:v>677</x:v>
      </x:c>
      <x:c r="U4278" s="18" t="n">
        <x:v>611.9934639504233</x:v>
      </x:c>
      <x:c r="V4278" s="20" t="n">
        <x:v>12</x:v>
      </x:c>
      <x:c r="W4278" s="20" t="n">
        <x:v>5</x:v>
      </x:c>
      <x:c r="X4278" s="20" t="n">
        <x:v>3</x:v>
      </x:c>
      <x:c r="Y4278" t="str">
        <x:v>Basis arsip 2025/2024</x:v>
      </x:c>
      <x:c r="Z4278" t="str">
        <x:v>https://snpmb.id/utbk-snbt/daya-tampung-snbt</x:v>
      </x:c>
      <x:c r="AA4278" t="str">
        <x:v>Tidak Ada</x:v>
      </x:c>
      <x:c r="AB4278" t="str">
        <x:v>Campus=55; Ratio=43.9; Prodi=60; RelDemand=97.3; Capacity=67.5</x:v>
      </x:c>
    </x:row>
    <x:row r="4279">
      <x:c r="A4279" t="n">
        <x:v>4276</x:v>
      </x:c>
      <x:c r="B4279" t="str">
        <x:v>PTN Vokasi</x:v>
      </x:c>
      <x:c r="C4279" t="str">
        <x:v>POLITEKNIK MARITIM NEGERI INDONESIA</x:v>
      </x:c>
      <x:c r="D4279" t="str">
        <x:v>TRANSPORTASI LAUT</x:v>
      </x:c>
      <x:c r="E4279" t="str">
        <x:v>Sarjana Terapan</x:v>
      </x:c>
      <x:c r="F4279" s="18" t="n">
        <x:v>60</x:v>
      </x:c>
      <x:c r="G4279" s="18" t="n">
        <x:v>542</x:v>
      </x:c>
      <x:c r="H4279" s="19" t="n">
        <x:v>9.033333333333333</x:v>
      </x:c>
      <x:c r="I4279" s="18" t="n">
        <x:f>ROUND(MIN(Model_Config_v3!$B$6,MAX(Q4279,R4279,S4279*Model_Config_v3!$B$4+T4279*Model_Config_v3!$B$5)),0)</x:f>
        <x:v>659</x:v>
      </x:c>
      <x:c r="J4279" s="18" t="n">
        <x:f>MIN(Model_Config_v3!$B$6,I4279+Model_Config_v3!$B$7)</x:f>
        <x:v>679</x:v>
      </x:c>
      <x:c r="K4279" s="20" t="n">
        <x:v>56.3</x:v>
      </x:c>
      <x:c r="L4279" t="str">
        <x:v>KETAT</x:v>
      </x:c>
      <x:c r="M4279" t="str">
        <x:v>SEDANG</x:v>
      </x:c>
      <x:c r="N4279" t="str">
        <x:v>REGULER</x:v>
      </x:c>
      <x:c r="O4279" t="str">
        <x:v>CAMPURAN</x:v>
      </x:c>
      <x:c r="P4279" t="str">
        <x:v>UMUM</x:v>
      </x:c>
      <x:c r="Q4279" s="18" t="n">
        <x:v>0</x:v>
      </x:c>
      <x:c r="R4279" s="18" t="n">
        <x:v>0</x:v>
      </x:c>
      <x:c r="S4279" s="18" t="n">
        <x:v>625.1432839770217</x:v>
      </x:c>
      <x:c r="T4279" s="18" t="n">
        <x:v>673</x:v>
      </x:c>
      <x:c r="U4279" s="18" t="n">
        <x:v>625.1432839770217</x:v>
      </x:c>
      <x:c r="V4279" s="20" t="n">
        <x:v>8.8</x:v>
      </x:c>
      <x:c r="W4279" s="20" t="n">
        <x:v>9.9</x:v>
      </x:c>
      <x:c r="X4279" s="20" t="n">
        <x:v>3.3</x:v>
      </x:c>
      <x:c r="Y4279" t="str">
        <x:v>Basis arsip 2025/2024</x:v>
      </x:c>
      <x:c r="Z4279" t="str">
        <x:v>https://snpmb.id/utbk-snbt/daya-tampung-snbt</x:v>
      </x:c>
      <x:c r="AA4279" t="str">
        <x:v>Tidak Ada</x:v>
      </x:c>
      <x:c r="AB4279" t="str">
        <x:v>Campus=55; Ratio=56.3; Prodi=40; RelDemand=100.0; Capacity=50.0</x:v>
      </x:c>
    </x:row>
    <x:row r="4280">
      <x:c r="A4280" t="n">
        <x:v>4277</x:v>
      </x:c>
      <x:c r="B4280" t="str">
        <x:v>PTN Vokasi</x:v>
      </x:c>
      <x:c r="C4280" t="str">
        <x:v>POLITEKNIK MARITIM NEGERI INDONESIA</x:v>
      </x:c>
      <x:c r="D4280" t="str">
        <x:v>NAUTIKA</x:v>
      </x:c>
      <x:c r="E4280" t="str">
        <x:v>Sarjana Terapan</x:v>
      </x:c>
      <x:c r="F4280" s="18" t="n">
        <x:v>29</x:v>
      </x:c>
      <x:c r="G4280" s="18"/>
      <x:c r="H4280" s="19" t="n">
        <x:v>0</x:v>
      </x:c>
      <x:c r="I4280" s="18" t="n">
        <x:f>ROUND(MIN(Model_Config_v3!$B$6,MAX(Q4280,R4280,S4280*Model_Config_v3!$B$4+T4280*Model_Config_v3!$B$5)),0)</x:f>
        <x:v>597</x:v>
      </x:c>
      <x:c r="J4280" s="18" t="n">
        <x:f>MIN(Model_Config_v3!$B$6,I4280+Model_Config_v3!$B$7)</x:f>
        <x:v>617</x:v>
      </x:c>
      <x:c r="K4280" s="20" t="n">
        <x:v>34.8</x:v>
      </x:c>
      <x:c r="L4280" t="str">
        <x:v>RELATIF LONGGAR</x:v>
      </x:c>
      <x:c r="M4280" t="str">
        <x:v>RENDAH</x:v>
      </x:c>
      <x:c r="N4280" t="str">
        <x:v>REGULER</x:v>
      </x:c>
      <x:c r="O4280" t="str">
        <x:v>CAMPURAN</x:v>
      </x:c>
      <x:c r="P4280" t="str">
        <x:v>UMUM</x:v>
      </x:c>
      <x:c r="Q4280" s="18" t="n">
        <x:v>0</x:v>
      </x:c>
      <x:c r="R4280" s="18" t="n">
        <x:v>0</x:v>
      </x:c>
      <x:c r="S4280" s="18" t="n">
        <x:v>520</x:v>
      </x:c>
      <x:c r="T4280" s="18" t="n">
        <x:v>630</x:v>
      </x:c>
      <x:c r="U4280" s="18" t="n">
        <x:v>520</x:v>
      </x:c>
      <x:c r="V4280" s="20" t="n">
        <x:v>8.8</x:v>
      </x:c>
      <x:c r="W4280" s="20" t="n">
        <x:v>9.9</x:v>
      </x:c>
      <x:c r="X4280" s="20" t="n">
        <x:v>3.3</x:v>
      </x:c>
      <x:c r="Y4280" t="str">
        <x:v>Basis arsip 2025/2024</x:v>
      </x:c>
      <x:c r="Z4280" t="str">
        <x:v>https://snpmb.id/utbk-snbt/daya-tampung-snbt</x:v>
      </x:c>
      <x:c r="AA4280" t="str">
        <x:v>Tidak Ada</x:v>
      </x:c>
      <x:c r="AB4280" t="str">
        <x:v>Campus=55; Ratio=0.0; Prodi=40; RelDemand=0.0; Capacity=75.8</x:v>
      </x:c>
    </x:row>
    <x:row r="4281">
      <x:c r="A4281" t="n">
        <x:v>4278</x:v>
      </x:c>
      <x:c r="B4281" t="str">
        <x:v>PTN Vokasi</x:v>
      </x:c>
      <x:c r="C4281" t="str">
        <x:v>POLITEKNIK MARITIM NEGERI INDONESIA</x:v>
      </x:c>
      <x:c r="D4281" t="str">
        <x:v>TEKNOLOGI REKAYASA PERMESINAN KAPAL</x:v>
      </x:c>
      <x:c r="E4281" t="str">
        <x:v>Sarjana Terapan</x:v>
      </x:c>
      <x:c r="F4281" s="18" t="n">
        <x:v>29</x:v>
      </x:c>
      <x:c r="G4281" s="18"/>
      <x:c r="H4281" s="19" t="n">
        <x:v>0</x:v>
      </x:c>
      <x:c r="I4281" s="18" t="n">
        <x:f>ROUND(MIN(Model_Config_v3!$B$6,MAX(Q4281,R4281,S4281*Model_Config_v3!$B$4+T4281*Model_Config_v3!$B$5)),0)</x:f>
        <x:v>597</x:v>
      </x:c>
      <x:c r="J4281" s="18" t="n">
        <x:f>MIN(Model_Config_v3!$B$6,I4281+Model_Config_v3!$B$7)</x:f>
        <x:v>617</x:v>
      </x:c>
      <x:c r="K4281" s="20" t="n">
        <x:v>34.8</x:v>
      </x:c>
      <x:c r="L4281" t="str">
        <x:v>RELATIF LONGGAR</x:v>
      </x:c>
      <x:c r="M4281" t="str">
        <x:v>RENDAH</x:v>
      </x:c>
      <x:c r="N4281" t="str">
        <x:v>REGULER</x:v>
      </x:c>
      <x:c r="O4281" t="str">
        <x:v>SAINTEK</x:v>
      </x:c>
      <x:c r="P4281" t="str">
        <x:v>UMUM</x:v>
      </x:c>
      <x:c r="Q4281" s="18" t="n">
        <x:v>0</x:v>
      </x:c>
      <x:c r="R4281" s="18" t="n">
        <x:v>0</x:v>
      </x:c>
      <x:c r="S4281" s="18" t="n">
        <x:v>520</x:v>
      </x:c>
      <x:c r="T4281" s="18" t="n">
        <x:v>630</x:v>
      </x:c>
      <x:c r="U4281" s="18" t="n">
        <x:v>520</x:v>
      </x:c>
      <x:c r="V4281" s="20" t="n">
        <x:v>12</x:v>
      </x:c>
      <x:c r="W4281" s="20" t="n">
        <x:v>5</x:v>
      </x:c>
      <x:c r="X4281" s="20" t="n">
        <x:v>3</x:v>
      </x:c>
      <x:c r="Y4281" t="str">
        <x:v>Basis arsip 2025/2024</x:v>
      </x:c>
      <x:c r="Z4281" t="str">
        <x:v>https://snpmb.id/utbk-snbt/daya-tampung-snbt</x:v>
      </x:c>
      <x:c r="AA4281" t="str">
        <x:v>Tidak Ada</x:v>
      </x:c>
      <x:c r="AB4281" t="str">
        <x:v>Campus=55; Ratio=0.0; Prodi=40; RelDemand=0.0; Capacity=75.8</x:v>
      </x:c>
    </x:row>
    <x:row r="4282">
      <x:c r="A4282" t="n">
        <x:v>4279</x:v>
      </x:c>
      <x:c r="B4282" t="str">
        <x:v>PTN Vokasi</x:v>
      </x:c>
      <x:c r="C4282" t="str">
        <x:v>POLITEKNIK MARITIM NEGERI INDONESIA</x:v>
      </x:c>
      <x:c r="D4282" t="str">
        <x:v>TEKNOLOGI REKAYASA MEKATRONIKA</x:v>
      </x:c>
      <x:c r="E4282" t="str">
        <x:v>Sarjana Terapan</x:v>
      </x:c>
      <x:c r="F4282" s="18" t="n">
        <x:v>36</x:v>
      </x:c>
      <x:c r="G4282" s="18"/>
      <x:c r="H4282" s="19" t="n">
        <x:v>0</x:v>
      </x:c>
      <x:c r="I4282" s="18" t="n">
        <x:f>ROUND(MIN(Model_Config_v3!$B$6,MAX(Q4282,R4282,S4282*Model_Config_v3!$B$4+T4282*Model_Config_v3!$B$5)),0)</x:f>
        <x:v>596</x:v>
      </x:c>
      <x:c r="J4282" s="18" t="n">
        <x:f>MIN(Model_Config_v3!$B$6,I4282+Model_Config_v3!$B$7)</x:f>
        <x:v>616</x:v>
      </x:c>
      <x:c r="K4282" s="20" t="n">
        <x:v>34.2</x:v>
      </x:c>
      <x:c r="L4282" t="str">
        <x:v>RELATIF LONGGAR</x:v>
      </x:c>
      <x:c r="M4282" t="str">
        <x:v>RENDAH</x:v>
      </x:c>
      <x:c r="N4282" t="str">
        <x:v>REGULER</x:v>
      </x:c>
      <x:c r="O4282" t="str">
        <x:v>SAINTEK</x:v>
      </x:c>
      <x:c r="P4282" t="str">
        <x:v>UMUM</x:v>
      </x:c>
      <x:c r="Q4282" s="18" t="n">
        <x:v>0</x:v>
      </x:c>
      <x:c r="R4282" s="18" t="n">
        <x:v>0</x:v>
      </x:c>
      <x:c r="S4282" s="18" t="n">
        <x:v>520</x:v>
      </x:c>
      <x:c r="T4282" s="18" t="n">
        <x:v>628</x:v>
      </x:c>
      <x:c r="U4282" s="18" t="n">
        <x:v>520</x:v>
      </x:c>
      <x:c r="V4282" s="20" t="n">
        <x:v>12</x:v>
      </x:c>
      <x:c r="W4282" s="20" t="n">
        <x:v>5</x:v>
      </x:c>
      <x:c r="X4282" s="20" t="n">
        <x:v>3</x:v>
      </x:c>
      <x:c r="Y4282" t="str">
        <x:v>Basis arsip 2025/2024</x:v>
      </x:c>
      <x:c r="Z4282" t="str">
        <x:v>https://snpmb.id/utbk-snbt/daya-tampung-snbt</x:v>
      </x:c>
      <x:c r="AA4282" t="str">
        <x:v>Tidak Ada</x:v>
      </x:c>
      <x:c r="AB4282" t="str">
        <x:v>Campus=55; Ratio=0.0; Prodi=40; RelDemand=0.0; Capacity=70.0</x:v>
      </x:c>
    </x:row>
    <x:row r="4283">
      <x:c r="A4283" t="n">
        <x:v>4280</x:v>
      </x:c>
      <x:c r="B4283" t="str">
        <x:v>PTN Vokasi</x:v>
      </x:c>
      <x:c r="C4283" t="str">
        <x:v>POLITEKNIK MARITIM NEGERI INDONESIA</x:v>
      </x:c>
      <x:c r="D4283" t="str">
        <x:v>BISNIS DAN LOGISTIK MARITIM</x:v>
      </x:c>
      <x:c r="E4283" t="str">
        <x:v>Sarjana Terapan</x:v>
      </x:c>
      <x:c r="F4283" s="18" t="n">
        <x:v>48</x:v>
      </x:c>
      <x:c r="G4283" s="18"/>
      <x:c r="H4283" s="19" t="n">
        <x:v>0</x:v>
      </x:c>
      <x:c r="I4283" s="18" t="n">
        <x:f>ROUND(MIN(Model_Config_v3!$B$6,MAX(Q4283,R4283,S4283*Model_Config_v3!$B$4+T4283*Model_Config_v3!$B$5)),0)</x:f>
        <x:v>601</x:v>
      </x:c>
      <x:c r="J4283" s="18" t="n">
        <x:f>MIN(Model_Config_v3!$B$6,I4283+Model_Config_v3!$B$7)</x:f>
        <x:v>621</x:v>
      </x:c>
      <x:c r="K4283" s="20" t="n">
        <x:v>38.2</x:v>
      </x:c>
      <x:c r="L4283" t="str">
        <x:v>RELATIF LONGGAR</x:v>
      </x:c>
      <x:c r="M4283" t="str">
        <x:v>RENDAH</x:v>
      </x:c>
      <x:c r="N4283" t="str">
        <x:v>REGULER</x:v>
      </x:c>
      <x:c r="O4283" t="str">
        <x:v>SOSHUM</x:v>
      </x:c>
      <x:c r="P4283" t="str">
        <x:v>BISNIS/EKONOMI/AKUNTANSI</x:v>
      </x:c>
      <x:c r="Q4283" s="18" t="n">
        <x:v>0</x:v>
      </x:c>
      <x:c r="R4283" s="18" t="n">
        <x:v>0</x:v>
      </x:c>
      <x:c r="S4283" s="18" t="n">
        <x:v>520</x:v>
      </x:c>
      <x:c r="T4283" s="18" t="n">
        <x:v>636</x:v>
      </x:c>
      <x:c r="U4283" s="18" t="n">
        <x:v>535</x:v>
      </x:c>
      <x:c r="V4283" s="20" t="n">
        <x:v>4.4</x:v>
      </x:c>
      <x:c r="W4283" s="20" t="n">
        <x:v>14.3</x:v>
      </x:c>
      <x:c r="X4283" s="20" t="n">
        <x:v>3.3</x:v>
      </x:c>
      <x:c r="Y4283" t="str">
        <x:v>Basis arsip 2025/2024</x:v>
      </x:c>
      <x:c r="Z4283" t="str">
        <x:v>https://snpmb.id/utbk-snbt/daya-tampung-snbt</x:v>
      </x:c>
      <x:c r="AA4283" t="str">
        <x:v>Tidak Ada</x:v>
      </x:c>
      <x:c r="AB4283" t="str">
        <x:v>Campus=55; Ratio=0.0; Prodi=65; RelDemand=0.0; Capacity=60.0</x:v>
      </x:c>
    </x:row>
    <x:row r="4284">
      <x:c r="A4284" t="n">
        <x:v>4281</x:v>
      </x:c>
      <x:c r="B4284" t="str">
        <x:v>PTN Vokasi</x:v>
      </x:c>
      <x:c r="C4284" t="str">
        <x:v>POLITEKNIK MARITIM NEGERI INDONESIA</x:v>
      </x:c>
      <x:c r="D4284" t="str">
        <x:v>NAUTIKA</x:v>
      </x:c>
      <x:c r="E4284" t="str">
        <x:v>Diploma Tiga</x:v>
      </x:c>
      <x:c r="F4284" s="18" t="n">
        <x:v>20</x:v>
      </x:c>
      <x:c r="G4284" s="18"/>
      <x:c r="H4284" s="19" t="n">
        <x:v>0</x:v>
      </x:c>
      <x:c r="I4284" s="18" t="n">
        <x:f>ROUND(MIN(Model_Config_v3!$B$6,MAX(Q4284,R4284,S4284*Model_Config_v3!$B$4+T4284*Model_Config_v3!$B$5)),0)</x:f>
        <x:v>598</x:v>
      </x:c>
      <x:c r="J4284" s="18" t="n">
        <x:f>MIN(Model_Config_v3!$B$6,I4284+Model_Config_v3!$B$7)</x:f>
        <x:v>618</x:v>
      </x:c>
      <x:c r="K4284" s="20" t="n">
        <x:v>35.6</x:v>
      </x:c>
      <x:c r="L4284" t="str">
        <x:v>RELATIF LONGGAR</x:v>
      </x:c>
      <x:c r="M4284" t="str">
        <x:v>RENDAH</x:v>
      </x:c>
      <x:c r="N4284" t="str">
        <x:v>REGULER</x:v>
      </x:c>
      <x:c r="O4284" t="str">
        <x:v>CAMPURAN</x:v>
      </x:c>
      <x:c r="P4284" t="str">
        <x:v>UMUM</x:v>
      </x:c>
      <x:c r="Q4284" s="18" t="n">
        <x:v>0</x:v>
      </x:c>
      <x:c r="R4284" s="18" t="n">
        <x:v>0</x:v>
      </x:c>
      <x:c r="S4284" s="18" t="n">
        <x:v>520</x:v>
      </x:c>
      <x:c r="T4284" s="18" t="n">
        <x:v>631</x:v>
      </x:c>
      <x:c r="U4284" s="18" t="n">
        <x:v>520</x:v>
      </x:c>
      <x:c r="V4284" s="20" t="n">
        <x:v>8.8</x:v>
      </x:c>
      <x:c r="W4284" s="20" t="n">
        <x:v>9.9</x:v>
      </x:c>
      <x:c r="X4284" s="20" t="n">
        <x:v>3.3</x:v>
      </x:c>
      <x:c r="Y4284" t="str">
        <x:v>Basis arsip 2025/2024</x:v>
      </x:c>
      <x:c r="Z4284" t="str">
        <x:v>https://snpmb.id/utbk-snbt/daya-tampung-snbt</x:v>
      </x:c>
      <x:c r="AA4284" t="str">
        <x:v>Tidak Ada</x:v>
      </x:c>
      <x:c r="AB4284" t="str">
        <x:v>Campus=55; Ratio=0.0; Prodi=40; RelDemand=0.0; Capacity=83.3</x:v>
      </x:c>
    </x:row>
    <x:row r="4285">
      <x:c r="A4285" t="n">
        <x:v>4282</x:v>
      </x:c>
      <x:c r="B4285" t="str">
        <x:v>PTN Vokasi</x:v>
      </x:c>
      <x:c r="C4285" t="str">
        <x:v>POLITEKNIK MARITIM NEGERI INDONESIA</x:v>
      </x:c>
      <x:c r="D4285" t="str">
        <x:v>TEKNIKA</x:v>
      </x:c>
      <x:c r="E4285" t="str">
        <x:v>Diploma Tiga</x:v>
      </x:c>
      <x:c r="F4285" s="18" t="n">
        <x:v>29</x:v>
      </x:c>
      <x:c r="G4285" s="18"/>
      <x:c r="H4285" s="19" t="n">
        <x:v>0</x:v>
      </x:c>
      <x:c r="I4285" s="18" t="n">
        <x:f>ROUND(MIN(Model_Config_v3!$B$6,MAX(Q4285,R4285,S4285*Model_Config_v3!$B$4+T4285*Model_Config_v3!$B$5)),0)</x:f>
        <x:v>603</x:v>
      </x:c>
      <x:c r="J4285" s="18" t="n">
        <x:f>MIN(Model_Config_v3!$B$6,I4285+Model_Config_v3!$B$7)</x:f>
        <x:v>623</x:v>
      </x:c>
      <x:c r="K4285" s="20" t="n">
        <x:v>38.8</x:v>
      </x:c>
      <x:c r="L4285" t="str">
        <x:v>RELATIF LONGGAR</x:v>
      </x:c>
      <x:c r="M4285" t="str">
        <x:v>RENDAH</x:v>
      </x:c>
      <x:c r="N4285" t="str">
        <x:v>REGULER</x:v>
      </x:c>
      <x:c r="O4285" t="str">
        <x:v>SAINTEK</x:v>
      </x:c>
      <x:c r="P4285" t="str">
        <x:v>TEKNIK/ARSITEKTUR/STATISTIKA/AKTUARIA</x:v>
      </x:c>
      <x:c r="Q4285" s="18" t="n">
        <x:v>0</x:v>
      </x:c>
      <x:c r="R4285" s="18" t="n">
        <x:v>0</x:v>
      </x:c>
      <x:c r="S4285" s="18" t="n">
        <x:v>520</x:v>
      </x:c>
      <x:c r="T4285" s="18" t="n">
        <x:v>638</x:v>
      </x:c>
      <x:c r="U4285" s="18" t="n">
        <x:v>530</x:v>
      </x:c>
      <x:c r="V4285" s="20" t="n">
        <x:v>12</x:v>
      </x:c>
      <x:c r="W4285" s="20" t="n">
        <x:v>5</x:v>
      </x:c>
      <x:c r="X4285" s="20" t="n">
        <x:v>3</x:v>
      </x:c>
      <x:c r="Y4285" t="str">
        <x:v>Basis arsip 2025/2024</x:v>
      </x:c>
      <x:c r="Z4285" t="str">
        <x:v>https://snpmb.id/utbk-snbt/daya-tampung-snbt</x:v>
      </x:c>
      <x:c r="AA4285" t="str">
        <x:v>Tidak Ada</x:v>
      </x:c>
      <x:c r="AB4285" t="str">
        <x:v>Campus=55; Ratio=0.0; Prodi=60; RelDemand=0.0; Capacity=75.8</x:v>
      </x:c>
    </x:row>
    <x:row r="4286">
      <x:c r="A4286" t="n">
        <x:v>4283</x:v>
      </x:c>
      <x:c r="B4286" t="str">
        <x:v>PTN Vokasi</x:v>
      </x:c>
      <x:c r="C4286" t="str">
        <x:v>POLITEKNIK NEGERI BANYUWANGI</x:v>
      </x:c>
      <x:c r="D4286" t="str">
        <x:v>AGRIBISNIS</x:v>
      </x:c>
      <x:c r="E4286" t="str">
        <x:v>Sarjana Terapan</x:v>
      </x:c>
      <x:c r="F4286" s="18" t="n">
        <x:v>60</x:v>
      </x:c>
      <x:c r="G4286" s="18" t="n">
        <x:v>134</x:v>
      </x:c>
      <x:c r="H4286" s="19" t="n">
        <x:v>2.2333333333333334</x:v>
      </x:c>
      <x:c r="I4286" s="18" t="n">
        <x:f>ROUND(MIN(Model_Config_v3!$B$6,MAX(Q4286,R4286,S4286*Model_Config_v3!$B$4+T4286*Model_Config_v3!$B$5)),0)</x:f>
        <x:v>628</x:v>
      </x:c>
      <x:c r="J4286" s="18" t="n">
        <x:f>MIN(Model_Config_v3!$B$6,I4286+Model_Config_v3!$B$7)</x:f>
        <x:v>648</x:v>
      </x:c>
      <x:c r="K4286" s="20" t="n">
        <x:v>49</x:v>
      </x:c>
      <x:c r="L4286" t="str">
        <x:v>MENENGAH</x:v>
      </x:c>
      <x:c r="M4286" t="str">
        <x:v>SEDANG+</x:v>
      </x:c>
      <x:c r="N4286" t="str">
        <x:v>REGULER</x:v>
      </x:c>
      <x:c r="O4286" t="str">
        <x:v>SOSHUM</x:v>
      </x:c>
      <x:c r="P4286" t="str">
        <x:v>BISNIS/EKONOMI/AKUNTANSI</x:v>
      </x:c>
      <x:c r="Q4286" s="18" t="n">
        <x:v>0</x:v>
      </x:c>
      <x:c r="R4286" s="18" t="n">
        <x:v>0</x:v>
      </x:c>
      <x:c r="S4286" s="18" t="n">
        <x:v>558.384890277928</x:v>
      </x:c>
      <x:c r="T4286" s="18" t="n">
        <x:v>658</x:v>
      </x:c>
      <x:c r="U4286" s="18" t="n">
        <x:v>573.384890277928</x:v>
      </x:c>
      <x:c r="V4286" s="20" t="n">
        <x:v>4.4</x:v>
      </x:c>
      <x:c r="W4286" s="20" t="n">
        <x:v>14.3</x:v>
      </x:c>
      <x:c r="X4286" s="20" t="n">
        <x:v>3.3</x:v>
      </x:c>
      <x:c r="Y4286" t="str">
        <x:v>Basis arsip 2025/2024</x:v>
      </x:c>
      <x:c r="Z4286" t="str">
        <x:v>https://snpmb.id/utbk-snbt/daya-tampung-snbt</x:v>
      </x:c>
      <x:c r="AA4286" t="str">
        <x:v>Tidak Ada</x:v>
      </x:c>
      <x:c r="AB4286" t="str">
        <x:v>Campus=55; Ratio=20.5; Prodi=65; RelDemand=65.7; Capacity=50.0</x:v>
      </x:c>
    </x:row>
    <x:row r="4287">
      <x:c r="A4287" t="n">
        <x:v>4284</x:v>
      </x:c>
      <x:c r="B4287" t="str">
        <x:v>PTN Vokasi</x:v>
      </x:c>
      <x:c r="C4287" t="str">
        <x:v>POLITEKNIK NEGERI BANYUWANGI</x:v>
      </x:c>
      <x:c r="D4287" t="str">
        <x:v>TEKNOLOGI PENGOLAHAN HASIL TERNAK</x:v>
      </x:c>
      <x:c r="E4287" t="str">
        <x:v>Sarjana Terapan</x:v>
      </x:c>
      <x:c r="F4287" s="18" t="n">
        <x:v>36</x:v>
      </x:c>
      <x:c r="G4287" s="18" t="n">
        <x:v>25</x:v>
      </x:c>
      <x:c r="H4287" s="19" t="n">
        <x:v>0.6944444444444444</x:v>
      </x:c>
      <x:c r="I4287" s="18" t="n">
        <x:f>ROUND(MIN(Model_Config_v3!$B$6,MAX(Q4287,R4287,S4287*Model_Config_v3!$B$4+T4287*Model_Config_v3!$B$5)),0)</x:f>
        <x:v>599</x:v>
      </x:c>
      <x:c r="J4287" s="18" t="n">
        <x:f>MIN(Model_Config_v3!$B$6,I4287+Model_Config_v3!$B$7)</x:f>
        <x:v>619</x:v>
      </x:c>
      <x:c r="K4287" s="20" t="n">
        <x:v>36.3</x:v>
      </x:c>
      <x:c r="L4287" t="str">
        <x:v>RELATIF LONGGAR</x:v>
      </x:c>
      <x:c r="M4287" t="str">
        <x:v>SEDANG</x:v>
      </x:c>
      <x:c r="N4287" t="str">
        <x:v>REGULER</x:v>
      </x:c>
      <x:c r="O4287" t="str">
        <x:v>SAINTEK</x:v>
      </x:c>
      <x:c r="P4287" t="str">
        <x:v>UMUM</x:v>
      </x:c>
      <x:c r="Q4287" s="18" t="n">
        <x:v>0</x:v>
      </x:c>
      <x:c r="R4287" s="18" t="n">
        <x:v>0</x:v>
      </x:c>
      <x:c r="S4287" s="18" t="n">
        <x:v>520</x:v>
      </x:c>
      <x:c r="T4287" s="18" t="n">
        <x:v>633</x:v>
      </x:c>
      <x:c r="U4287" s="18" t="n">
        <x:v>520</x:v>
      </x:c>
      <x:c r="V4287" s="20" t="n">
        <x:v>12</x:v>
      </x:c>
      <x:c r="W4287" s="20" t="n">
        <x:v>5</x:v>
      </x:c>
      <x:c r="X4287" s="20" t="n">
        <x:v>3</x:v>
      </x:c>
      <x:c r="Y4287" t="str">
        <x:v>Basis arsip 2025/2024</x:v>
      </x:c>
      <x:c r="Z4287" t="str">
        <x:v>https://snpmb.id/utbk-snbt/daya-tampung-snbt</x:v>
      </x:c>
      <x:c r="AA4287" t="str">
        <x:v>Tidak Ada</x:v>
      </x:c>
      <x:c r="AB4287" t="str">
        <x:v>Campus=55; Ratio=0.0; Prodi=40; RelDemand=20.4; Capacity=70.0</x:v>
      </x:c>
    </x:row>
    <x:row r="4288">
      <x:c r="A4288" t="n">
        <x:v>4285</x:v>
      </x:c>
      <x:c r="B4288" t="str">
        <x:v>PTN Vokasi</x:v>
      </x:c>
      <x:c r="C4288" t="str">
        <x:v>POLITEKNIK NEGERI BANYUWANGI</x:v>
      </x:c>
      <x:c r="D4288" t="str">
        <x:v>TEKNIK MANUFAKTUR KAPAL</x:v>
      </x:c>
      <x:c r="E4288" t="str">
        <x:v>Sarjana Terapan</x:v>
      </x:c>
      <x:c r="F4288" s="18" t="n">
        <x:v>36</x:v>
      </x:c>
      <x:c r="G4288" s="18" t="n">
        <x:v>28</x:v>
      </x:c>
      <x:c r="H4288" s="19" t="n">
        <x:v>0.7777777777777778</x:v>
      </x:c>
      <x:c r="I4288" s="18" t="n">
        <x:f>ROUND(MIN(Model_Config_v3!$B$6,MAX(Q4288,R4288,S4288*Model_Config_v3!$B$4+T4288*Model_Config_v3!$B$5)),0)</x:f>
        <x:v>605</x:v>
      </x:c>
      <x:c r="J4288" s="18" t="n">
        <x:f>MIN(Model_Config_v3!$B$6,I4288+Model_Config_v3!$B$7)</x:f>
        <x:v>625</x:v>
      </x:c>
      <x:c r="K4288" s="20" t="n">
        <x:v>40.5</x:v>
      </x:c>
      <x:c r="L4288" t="str">
        <x:v>RELATIF LONGGAR</x:v>
      </x:c>
      <x:c r="M4288" t="str">
        <x:v>SEDANG+</x:v>
      </x:c>
      <x:c r="N4288" t="str">
        <x:v>REGULER</x:v>
      </x:c>
      <x:c r="O4288" t="str">
        <x:v>SAINTEK</x:v>
      </x:c>
      <x:c r="P4288" t="str">
        <x:v>TEKNIK/ARSITEKTUR/STATISTIKA/AKTUARIA</x:v>
      </x:c>
      <x:c r="Q4288" s="18" t="n">
        <x:v>0</x:v>
      </x:c>
      <x:c r="R4288" s="18" t="n">
        <x:v>0</x:v>
      </x:c>
      <x:c r="S4288" s="18" t="n">
        <x:v>520</x:v>
      </x:c>
      <x:c r="T4288" s="18" t="n">
        <x:v>641</x:v>
      </x:c>
      <x:c r="U4288" s="18" t="n">
        <x:v>530</x:v>
      </x:c>
      <x:c r="V4288" s="20" t="n">
        <x:v>12</x:v>
      </x:c>
      <x:c r="W4288" s="20" t="n">
        <x:v>5</x:v>
      </x:c>
      <x:c r="X4288" s="20" t="n">
        <x:v>3</x:v>
      </x:c>
      <x:c r="Y4288" t="str">
        <x:v>Basis arsip 2025/2024</x:v>
      </x:c>
      <x:c r="Z4288" t="str">
        <x:v>https://snpmb.id/utbk-snbt/daya-tampung-snbt</x:v>
      </x:c>
      <x:c r="AA4288" t="str">
        <x:v>Tidak Ada</x:v>
      </x:c>
      <x:c r="AB4288" t="str">
        <x:v>Campus=55; Ratio=0.0; Prodi=60; RelDemand=22.9; Capacity=70.0</x:v>
      </x:c>
    </x:row>
    <x:row r="4289">
      <x:c r="A4289" t="n">
        <x:v>4286</x:v>
      </x:c>
      <x:c r="B4289" t="str">
        <x:v>PTN Vokasi</x:v>
      </x:c>
      <x:c r="C4289" t="str">
        <x:v>POLITEKNIK NEGERI BANYUWANGI</x:v>
      </x:c>
      <x:c r="D4289" t="str">
        <x:v>MANAJEMEN BISNIS PARIWISATA</x:v>
      </x:c>
      <x:c r="E4289" t="str">
        <x:v>Sarjana Terapan</x:v>
      </x:c>
      <x:c r="F4289" s="18" t="n">
        <x:v>60</x:v>
      </x:c>
      <x:c r="G4289" s="18" t="n">
        <x:v>204</x:v>
      </x:c>
      <x:c r="H4289" s="19" t="n">
        <x:v>3.4</x:v>
      </x:c>
      <x:c r="I4289" s="18" t="n">
        <x:f>ROUND(MIN(Model_Config_v3!$B$6,MAX(Q4289,R4289,S4289*Model_Config_v3!$B$4+T4289*Model_Config_v3!$B$5)),0)</x:f>
        <x:v>643</x:v>
      </x:c>
      <x:c r="J4289" s="18" t="n">
        <x:f>MIN(Model_Config_v3!$B$6,I4289+Model_Config_v3!$B$7)</x:f>
        <x:v>663</x:v>
      </x:c>
      <x:c r="K4289" s="20" t="n">
        <x:v>55.1</x:v>
      </x:c>
      <x:c r="L4289" t="str">
        <x:v>KETAT</x:v>
      </x:c>
      <x:c r="M4289" t="str">
        <x:v>SEDANG+</x:v>
      </x:c>
      <x:c r="N4289" t="str">
        <x:v>REGULER</x:v>
      </x:c>
      <x:c r="O4289" t="str">
        <x:v>SOSHUM</x:v>
      </x:c>
      <x:c r="P4289" t="str">
        <x:v>BISNIS/EKONOMI/AKUNTANSI</x:v>
      </x:c>
      <x:c r="Q4289" s="18" t="n">
        <x:v>0</x:v>
      </x:c>
      <x:c r="R4289" s="18" t="n">
        <x:v>0</x:v>
      </x:c>
      <x:c r="S4289" s="18" t="n">
        <x:v>578.4626808746481</x:v>
      </x:c>
      <x:c r="T4289" s="18" t="n">
        <x:v>670</x:v>
      </x:c>
      <x:c r="U4289" s="18" t="n">
        <x:v>593.4626808746481</x:v>
      </x:c>
      <x:c r="V4289" s="20" t="n">
        <x:v>4.4</x:v>
      </x:c>
      <x:c r="W4289" s="20" t="n">
        <x:v>14.3</x:v>
      </x:c>
      <x:c r="X4289" s="20" t="n">
        <x:v>3.3</x:v>
      </x:c>
      <x:c r="Y4289" t="str">
        <x:v>Basis arsip 2025/2024</x:v>
      </x:c>
      <x:c r="Z4289" t="str">
        <x:v>https://snpmb.id/utbk-snbt/daya-tampung-snbt</x:v>
      </x:c>
      <x:c r="AA4289" t="str">
        <x:v>Tidak Ada</x:v>
      </x:c>
      <x:c r="AB4289" t="str">
        <x:v>Campus=55; Ratio=31.3; Prodi=65; RelDemand=100.0; Capacity=50.0</x:v>
      </x:c>
    </x:row>
    <x:row r="4290">
      <x:c r="A4290" t="n">
        <x:v>4287</x:v>
      </x:c>
      <x:c r="B4290" t="str">
        <x:v>PTN Vokasi</x:v>
      </x:c>
      <x:c r="C4290" t="str">
        <x:v>POLITEKNIK NEGERI BANYUWANGI</x:v>
      </x:c>
      <x:c r="D4290" t="str">
        <x:v>TEKNOLOGI REKAYASA MANUFAKTUR</x:v>
      </x:c>
      <x:c r="E4290" t="str">
        <x:v>Sarjana Terapan</x:v>
      </x:c>
      <x:c r="F4290" s="18" t="n">
        <x:v>48</x:v>
      </x:c>
      <x:c r="G4290" s="18" t="n">
        <x:v>25</x:v>
      </x:c>
      <x:c r="H4290" s="19" t="n">
        <x:v>0.5208333333333334</x:v>
      </x:c>
      <x:c r="I4290" s="18" t="n">
        <x:f>ROUND(MIN(Model_Config_v3!$B$6,MAX(Q4290,R4290,S4290*Model_Config_v3!$B$4+T4290*Model_Config_v3!$B$5)),0)</x:f>
        <x:v>597</x:v>
      </x:c>
      <x:c r="J4290" s="18" t="n">
        <x:f>MIN(Model_Config_v3!$B$6,I4290+Model_Config_v3!$B$7)</x:f>
        <x:v>617</x:v>
      </x:c>
      <x:c r="K4290" s="20" t="n">
        <x:v>34.8</x:v>
      </x:c>
      <x:c r="L4290" t="str">
        <x:v>RELATIF LONGGAR</x:v>
      </x:c>
      <x:c r="M4290" t="str">
        <x:v>SEDANG</x:v>
      </x:c>
      <x:c r="N4290" t="str">
        <x:v>REGULER</x:v>
      </x:c>
      <x:c r="O4290" t="str">
        <x:v>SAINTEK</x:v>
      </x:c>
      <x:c r="P4290" t="str">
        <x:v>UMUM</x:v>
      </x:c>
      <x:c r="Q4290" s="18" t="n">
        <x:v>0</x:v>
      </x:c>
      <x:c r="R4290" s="18" t="n">
        <x:v>0</x:v>
      </x:c>
      <x:c r="S4290" s="18" t="n">
        <x:v>520</x:v>
      </x:c>
      <x:c r="T4290" s="18" t="n">
        <x:v>630</x:v>
      </x:c>
      <x:c r="U4290" s="18" t="n">
        <x:v>520</x:v>
      </x:c>
      <x:c r="V4290" s="20" t="n">
        <x:v>12</x:v>
      </x:c>
      <x:c r="W4290" s="20" t="n">
        <x:v>5</x:v>
      </x:c>
      <x:c r="X4290" s="20" t="n">
        <x:v>3</x:v>
      </x:c>
      <x:c r="Y4290" t="str">
        <x:v>Basis arsip 2025/2024</x:v>
      </x:c>
      <x:c r="Z4290" t="str">
        <x:v>https://snpmb.id/utbk-snbt/daya-tampung-snbt</x:v>
      </x:c>
      <x:c r="AA4290" t="str">
        <x:v>Tidak Ada</x:v>
      </x:c>
      <x:c r="AB4290" t="str">
        <x:v>Campus=55; Ratio=0.0; Prodi=40; RelDemand=15.3; Capacity=60.0</x:v>
      </x:c>
    </x:row>
    <x:row r="4291">
      <x:c r="A4291" t="n">
        <x:v>4288</x:v>
      </x:c>
      <x:c r="B4291" t="str">
        <x:v>PTN Vokasi</x:v>
      </x:c>
      <x:c r="C4291" t="str">
        <x:v>POLITEKNIK NEGERI BANYUWANGI</x:v>
      </x:c>
      <x:c r="D4291" t="str">
        <x:v>TEKNOLOGI REKAYASA PERANGKAT LUNAK</x:v>
      </x:c>
      <x:c r="E4291" t="str">
        <x:v>Sarjana Terapan</x:v>
      </x:c>
      <x:c r="F4291" s="18" t="n">
        <x:v>60</x:v>
      </x:c>
      <x:c r="G4291" s="18" t="n">
        <x:v>110</x:v>
      </x:c>
      <x:c r="H4291" s="19" t="n">
        <x:v>1.8333333333333333</x:v>
      </x:c>
      <x:c r="I4291" s="18" t="n">
        <x:f>ROUND(MIN(Model_Config_v3!$B$6,MAX(Q4291,R4291,S4291*Model_Config_v3!$B$4+T4291*Model_Config_v3!$B$5)),0)</x:f>
        <x:v>615</x:v>
      </x:c>
      <x:c r="J4291" s="18" t="n">
        <x:f>MIN(Model_Config_v3!$B$6,I4291+Model_Config_v3!$B$7)</x:f>
        <x:v>635</x:v>
      </x:c>
      <x:c r="K4291" s="20" t="n">
        <x:v>41.5</x:v>
      </x:c>
      <x:c r="L4291" t="str">
        <x:v>RELATIF LONGGAR</x:v>
      </x:c>
      <x:c r="M4291" t="str">
        <x:v>SEDANG</x:v>
      </x:c>
      <x:c r="N4291" t="str">
        <x:v>REGULER</x:v>
      </x:c>
      <x:c r="O4291" t="str">
        <x:v>SAINTEK</x:v>
      </x:c>
      <x:c r="P4291" t="str">
        <x:v>UMUM</x:v>
      </x:c>
      <x:c r="Q4291" s="18" t="n">
        <x:v>0</x:v>
      </x:c>
      <x:c r="R4291" s="18" t="n">
        <x:v>0</x:v>
      </x:c>
      <x:c r="S4291" s="18" t="n">
        <x:v>548.956557825204</x:v>
      </x:c>
      <x:c r="T4291" s="18" t="n">
        <x:v>643</x:v>
      </x:c>
      <x:c r="U4291" s="18" t="n">
        <x:v>548.956557825204</x:v>
      </x:c>
      <x:c r="V4291" s="20" t="n">
        <x:v>12</x:v>
      </x:c>
      <x:c r="W4291" s="20" t="n">
        <x:v>5</x:v>
      </x:c>
      <x:c r="X4291" s="20" t="n">
        <x:v>3</x:v>
      </x:c>
      <x:c r="Y4291" t="str">
        <x:v>Basis arsip 2025/2024</x:v>
      </x:c>
      <x:c r="Z4291" t="str">
        <x:v>https://snpmb.id/utbk-snbt/daya-tampung-snbt</x:v>
      </x:c>
      <x:c r="AA4291" t="str">
        <x:v>Tidak Ada</x:v>
      </x:c>
      <x:c r="AB4291" t="str">
        <x:v>Campus=55; Ratio=15.5; Prodi=40; RelDemand=53.9; Capacity=50.0</x:v>
      </x:c>
    </x:row>
    <x:row r="4292">
      <x:c r="A4292" t="n">
        <x:v>4289</x:v>
      </x:c>
      <x:c r="B4292" t="str">
        <x:v>PTN Vokasi</x:v>
      </x:c>
      <x:c r="C4292" t="str">
        <x:v>POLITEKNIK NEGERI BANYUWANGI</x:v>
      </x:c>
      <x:c r="D4292" t="str">
        <x:v>TEKNOLOGI REKAYASA KOMPUTER</x:v>
      </x:c>
      <x:c r="E4292" t="str">
        <x:v>Sarjana Terapan</x:v>
      </x:c>
      <x:c r="F4292" s="18" t="n">
        <x:v>24</x:v>
      </x:c>
      <x:c r="G4292" s="18" t="n">
        <x:v>61</x:v>
      </x:c>
      <x:c r="H4292" s="19" t="n">
        <x:v>2.5416666666666665</x:v>
      </x:c>
      <x:c r="I4292" s="18" t="n">
        <x:f>ROUND(MIN(Model_Config_v3!$B$6,MAX(Q4292,R4292,S4292*Model_Config_v3!$B$4+T4292*Model_Config_v3!$B$5)),0)</x:f>
        <x:v>629</x:v>
      </x:c>
      <x:c r="J4292" s="18" t="n">
        <x:f>MIN(Model_Config_v3!$B$6,I4292+Model_Config_v3!$B$7)</x:f>
        <x:v>649</x:v>
      </x:c>
      <x:c r="K4292" s="20" t="n">
        <x:v>48.7</x:v>
      </x:c>
      <x:c r="L4292" t="str">
        <x:v>MENENGAH</x:v>
      </x:c>
      <x:c r="M4292" t="str">
        <x:v>SEDANG</x:v>
      </x:c>
      <x:c r="N4292" t="str">
        <x:v>REGULER</x:v>
      </x:c>
      <x:c r="O4292" t="str">
        <x:v>SAINTEK</x:v>
      </x:c>
      <x:c r="P4292" t="str">
        <x:v>UMUM</x:v>
      </x:c>
      <x:c r="Q4292" s="18" t="n">
        <x:v>0</x:v>
      </x:c>
      <x:c r="R4292" s="18" t="n">
        <x:v>0</x:v>
      </x:c>
      <x:c r="S4292" s="18" t="n">
        <x:v>564.5630452629077</x:v>
      </x:c>
      <x:c r="T4292" s="18" t="n">
        <x:v>657</x:v>
      </x:c>
      <x:c r="U4292" s="18" t="n">
        <x:v>564.5630452629077</x:v>
      </x:c>
      <x:c r="V4292" s="20" t="n">
        <x:v>12</x:v>
      </x:c>
      <x:c r="W4292" s="20" t="n">
        <x:v>5</x:v>
      </x:c>
      <x:c r="X4292" s="20" t="n">
        <x:v>3</x:v>
      </x:c>
      <x:c r="Y4292" t="str">
        <x:v>Basis arsip 2025/2024</x:v>
      </x:c>
      <x:c r="Z4292" t="str">
        <x:v>https://snpmb.id/utbk-snbt/daya-tampung-snbt</x:v>
      </x:c>
      <x:c r="AA4292" t="str">
        <x:v>Tidak Ada</x:v>
      </x:c>
      <x:c r="AB4292" t="str">
        <x:v>Campus=55; Ratio=23.8; Prodi=40; RelDemand=74.8; Capacity=80.0</x:v>
      </x:c>
    </x:row>
    <x:row r="4293">
      <x:c r="A4293" t="n">
        <x:v>4290</x:v>
      </x:c>
      <x:c r="B4293" t="str">
        <x:v>PTN Vokasi</x:v>
      </x:c>
      <x:c r="C4293" t="str">
        <x:v>POLITEKNIK NEGERI BANYUWANGI</x:v>
      </x:c>
      <x:c r="D4293" t="str">
        <x:v>BISNIS DIGITAL</x:v>
      </x:c>
      <x:c r="E4293" t="str">
        <x:v>Sarjana Terapan</x:v>
      </x:c>
      <x:c r="F4293" s="18" t="n">
        <x:v>36</x:v>
      </x:c>
      <x:c r="G4293" s="18" t="n">
        <x:v>173</x:v>
      </x:c>
      <x:c r="H4293" s="19" t="n">
        <x:v>4.805555555555555</x:v>
      </x:c>
      <x:c r="I4293" s="18" t="n">
        <x:f>ROUND(MIN(Model_Config_v3!$B$6,MAX(Q4293,R4293,S4293*Model_Config_v3!$B$4+T4293*Model_Config_v3!$B$5)),0)</x:f>
        <x:v>654</x:v>
      </x:c>
      <x:c r="J4293" s="18" t="n">
        <x:f>MIN(Model_Config_v3!$B$6,I4293+Model_Config_v3!$B$7)</x:f>
        <x:v>674</x:v>
      </x:c>
      <x:c r="K4293" s="20" t="n">
        <x:v>59.3</x:v>
      </x:c>
      <x:c r="L4293" t="str">
        <x:v>KETAT</x:v>
      </x:c>
      <x:c r="M4293" t="str">
        <x:v>SEDANG+</x:v>
      </x:c>
      <x:c r="N4293" t="str">
        <x:v>REGULER</x:v>
      </x:c>
      <x:c r="O4293" t="str">
        <x:v>SOSHUM</x:v>
      </x:c>
      <x:c r="P4293" t="str">
        <x:v>BISNIS/EKONOMI/AKUNTANSI</x:v>
      </x:c>
      <x:c r="Q4293" s="18" t="n">
        <x:v>0</x:v>
      </x:c>
      <x:c r="R4293" s="18" t="n">
        <x:v>0</x:v>
      </x:c>
      <x:c r="S4293" s="18" t="n">
        <x:v>594.9917962597659</x:v>
      </x:c>
      <x:c r="T4293" s="18" t="n">
        <x:v>679</x:v>
      </x:c>
      <x:c r="U4293" s="18" t="n">
        <x:v>609.9917962597659</x:v>
      </x:c>
      <x:c r="V4293" s="20" t="n">
        <x:v>4.4</x:v>
      </x:c>
      <x:c r="W4293" s="20" t="n">
        <x:v>14.3</x:v>
      </x:c>
      <x:c r="X4293" s="20" t="n">
        <x:v>3.3</x:v>
      </x:c>
      <x:c r="Y4293" t="str">
        <x:v>Basis arsip 2025/2024</x:v>
      </x:c>
      <x:c r="Z4293" t="str">
        <x:v>https://snpmb.id/utbk-snbt/daya-tampung-snbt</x:v>
      </x:c>
      <x:c r="AA4293" t="str">
        <x:v>Tidak Ada</x:v>
      </x:c>
      <x:c r="AB4293" t="str">
        <x:v>Campus=55; Ratio=40.1; Prodi=65; RelDemand=100.0; Capacity=70.0</x:v>
      </x:c>
    </x:row>
    <x:row r="4294">
      <x:c r="A4294" t="n">
        <x:v>4291</x:v>
      </x:c>
      <x:c r="B4294" t="str">
        <x:v>PTN Vokasi</x:v>
      </x:c>
      <x:c r="C4294" t="str">
        <x:v>POLITEKNIK NEGERI BANYUWANGI</x:v>
      </x:c>
      <x:c r="D4294" t="str">
        <x:v>TEKNOLOGI REKAYASA KONSTRUKSI JALAN DAN JEMBATAN</x:v>
      </x:c>
      <x:c r="E4294" t="str">
        <x:v>Sarjana Terapan</x:v>
      </x:c>
      <x:c r="F4294" s="18" t="n">
        <x:v>24</x:v>
      </x:c>
      <x:c r="G4294" s="18" t="n">
        <x:v>42</x:v>
      </x:c>
      <x:c r="H4294" s="19" t="n">
        <x:v>1.75</x:v>
      </x:c>
      <x:c r="I4294" s="18" t="n">
        <x:f>ROUND(MIN(Model_Config_v3!$B$6,MAX(Q4294,R4294,S4294*Model_Config_v3!$B$4+T4294*Model_Config_v3!$B$5)),0)</x:f>
        <x:v>618</x:v>
      </x:c>
      <x:c r="J4294" s="18" t="n">
        <x:f>MIN(Model_Config_v3!$B$6,I4294+Model_Config_v3!$B$7)</x:f>
        <x:v>638</x:v>
      </x:c>
      <x:c r="K4294" s="20" t="n">
        <x:v>44</x:v>
      </x:c>
      <x:c r="L4294" t="str">
        <x:v>RELATIF LONGGAR</x:v>
      </x:c>
      <x:c r="M4294" t="str">
        <x:v>SEDANG</x:v>
      </x:c>
      <x:c r="N4294" t="str">
        <x:v>REGULER</x:v>
      </x:c>
      <x:c r="O4294" t="str">
        <x:v>SAINTEK</x:v>
      </x:c>
      <x:c r="P4294" t="str">
        <x:v>UMUM</x:v>
      </x:c>
      <x:c r="Q4294" s="18" t="n">
        <x:v>0</x:v>
      </x:c>
      <x:c r="R4294" s="18" t="n">
        <x:v>0</x:v>
      </x:c>
      <x:c r="S4294" s="18" t="n">
        <x:v>546.7341853554924</x:v>
      </x:c>
      <x:c r="T4294" s="18" t="n">
        <x:v>648</x:v>
      </x:c>
      <x:c r="U4294" s="18" t="n">
        <x:v>546.7341853554924</x:v>
      </x:c>
      <x:c r="V4294" s="20" t="n">
        <x:v>12</x:v>
      </x:c>
      <x:c r="W4294" s="20" t="n">
        <x:v>5</x:v>
      </x:c>
      <x:c r="X4294" s="20" t="n">
        <x:v>3</x:v>
      </x:c>
      <x:c r="Y4294" t="str">
        <x:v>Basis arsip 2025/2024</x:v>
      </x:c>
      <x:c r="Z4294" t="str">
        <x:v>https://snpmb.id/utbk-snbt/daya-tampung-snbt</x:v>
      </x:c>
      <x:c r="AA4294" t="str">
        <x:v>Tidak Ada</x:v>
      </x:c>
      <x:c r="AB4294" t="str">
        <x:v>Campus=55; Ratio=14.3; Prodi=40; RelDemand=51.5; Capacity=80.0</x:v>
      </x:c>
    </x:row>
    <x:row r="4295">
      <x:c r="A4295" t="n">
        <x:v>4292</x:v>
      </x:c>
      <x:c r="B4295" t="str">
        <x:v>PTN Vokasi</x:v>
      </x:c>
      <x:c r="C4295" t="str">
        <x:v>POLITEKNIK NEGERI BANYUWANGI</x:v>
      </x:c>
      <x:c r="D4295" t="str">
        <x:v>TEKNOLOGI PRODUKSI TERNAK</x:v>
      </x:c>
      <x:c r="E4295" t="str">
        <x:v>Sarjana Terapan</x:v>
      </x:c>
      <x:c r="F4295" s="18" t="n">
        <x:v>24</x:v>
      </x:c>
      <x:c r="G4295" s="18" t="n">
        <x:v>20</x:v>
      </x:c>
      <x:c r="H4295" s="19" t="n">
        <x:v>0.8333333333333334</x:v>
      </x:c>
      <x:c r="I4295" s="18" t="n">
        <x:f>ROUND(MIN(Model_Config_v3!$B$6,MAX(Q4295,R4295,S4295*Model_Config_v3!$B$4+T4295*Model_Config_v3!$B$5)),0)</x:f>
        <x:v>601</x:v>
      </x:c>
      <x:c r="J4295" s="18" t="n">
        <x:f>MIN(Model_Config_v3!$B$6,I4295+Model_Config_v3!$B$7)</x:f>
        <x:v>621</x:v>
      </x:c>
      <x:c r="K4295" s="20" t="n">
        <x:v>37.7</x:v>
      </x:c>
      <x:c r="L4295" t="str">
        <x:v>RELATIF LONGGAR</x:v>
      </x:c>
      <x:c r="M4295" t="str">
        <x:v>SEDANG</x:v>
      </x:c>
      <x:c r="N4295" t="str">
        <x:v>REGULER</x:v>
      </x:c>
      <x:c r="O4295" t="str">
        <x:v>SAINTEK</x:v>
      </x:c>
      <x:c r="P4295" t="str">
        <x:v>UMUM</x:v>
      </x:c>
      <x:c r="Q4295" s="18" t="n">
        <x:v>0</x:v>
      </x:c>
      <x:c r="R4295" s="18" t="n">
        <x:v>0</x:v>
      </x:c>
      <x:c r="S4295" s="18" t="n">
        <x:v>520</x:v>
      </x:c>
      <x:c r="T4295" s="18" t="n">
        <x:v>635</x:v>
      </x:c>
      <x:c r="U4295" s="18" t="n">
        <x:v>520</x:v>
      </x:c>
      <x:c r="V4295" s="20" t="n">
        <x:v>12</x:v>
      </x:c>
      <x:c r="W4295" s="20" t="n">
        <x:v>5</x:v>
      </x:c>
      <x:c r="X4295" s="20" t="n">
        <x:v>3</x:v>
      </x:c>
      <x:c r="Y4295" t="str">
        <x:v>Basis arsip 2025/2024</x:v>
      </x:c>
      <x:c r="Z4295" t="str">
        <x:v>https://snpmb.id/utbk-snbt/daya-tampung-snbt</x:v>
      </x:c>
      <x:c r="AA4295" t="str">
        <x:v>Tidak Ada</x:v>
      </x:c>
      <x:c r="AB4295" t="str">
        <x:v>Campus=55; Ratio=0.0; Prodi=40; RelDemand=24.5; Capacity=80.0</x:v>
      </x:c>
    </x:row>
    <x:row r="4296">
      <x:c r="A4296" t="n">
        <x:v>4293</x:v>
      </x:c>
      <x:c r="B4296" t="str">
        <x:v>PTN Vokasi</x:v>
      </x:c>
      <x:c r="C4296" t="str">
        <x:v>POLITEKNIK NEGERI BANYUWANGI</x:v>
      </x:c>
      <x:c r="D4296" t="str">
        <x:v>PENGEMBANGAN PRODUK AGROINDUSTRI</x:v>
      </x:c>
      <x:c r="E4296" t="str">
        <x:v>Sarjana Terapan</x:v>
      </x:c>
      <x:c r="F4296" s="18" t="n">
        <x:v>24</x:v>
      </x:c>
      <x:c r="G4296" s="18" t="n">
        <x:v>16</x:v>
      </x:c>
      <x:c r="H4296" s="19" t="n">
        <x:v>0.6666666666666666</x:v>
      </x:c>
      <x:c r="I4296" s="18" t="n">
        <x:f>ROUND(MIN(Model_Config_v3!$B$6,MAX(Q4296,R4296,S4296*Model_Config_v3!$B$4+T4296*Model_Config_v3!$B$5)),0)</x:f>
        <x:v>600</x:v>
      </x:c>
      <x:c r="J4296" s="18" t="n">
        <x:f>MIN(Model_Config_v3!$B$6,I4296+Model_Config_v3!$B$7)</x:f>
        <x:v>620</x:v>
      </x:c>
      <x:c r="K4296" s="20" t="n">
        <x:v>37.2</x:v>
      </x:c>
      <x:c r="L4296" t="str">
        <x:v>RELATIF LONGGAR</x:v>
      </x:c>
      <x:c r="M4296" t="str">
        <x:v>SEDANG</x:v>
      </x:c>
      <x:c r="N4296" t="str">
        <x:v>REGULER</x:v>
      </x:c>
      <x:c r="O4296" t="str">
        <x:v>CAMPURAN</x:v>
      </x:c>
      <x:c r="P4296" t="str">
        <x:v>UMUM</x:v>
      </x:c>
      <x:c r="Q4296" s="18" t="n">
        <x:v>0</x:v>
      </x:c>
      <x:c r="R4296" s="18" t="n">
        <x:v>0</x:v>
      </x:c>
      <x:c r="S4296" s="18" t="n">
        <x:v>520</x:v>
      </x:c>
      <x:c r="T4296" s="18" t="n">
        <x:v>634</x:v>
      </x:c>
      <x:c r="U4296" s="18" t="n">
        <x:v>520</x:v>
      </x:c>
      <x:c r="V4296" s="20" t="n">
        <x:v>8.8</x:v>
      </x:c>
      <x:c r="W4296" s="20" t="n">
        <x:v>9.9</x:v>
      </x:c>
      <x:c r="X4296" s="20" t="n">
        <x:v>3.3</x:v>
      </x:c>
      <x:c r="Y4296" t="str">
        <x:v>Basis arsip 2025/2024</x:v>
      </x:c>
      <x:c r="Z4296" t="str">
        <x:v>https://snpmb.id/utbk-snbt/daya-tampung-snbt</x:v>
      </x:c>
      <x:c r="AA4296" t="str">
        <x:v>Tidak Ada</x:v>
      </x:c>
      <x:c r="AB4296" t="str">
        <x:v>Campus=55; Ratio=0.0; Prodi=40; RelDemand=19.6; Capacity=80.0</x:v>
      </x:c>
    </x:row>
    <x:row r="4297">
      <x:c r="A4297" t="n">
        <x:v>4294</x:v>
      </x:c>
      <x:c r="B4297" t="str">
        <x:v>PTN Vokasi</x:v>
      </x:c>
      <x:c r="C4297" t="str">
        <x:v>POLITEKNIK NEGERI BANYUWANGI</x:v>
      </x:c>
      <x:c r="D4297" t="str">
        <x:v>TEKNOLOGI BUDI DAYA PERIKANAN/TEKNOLOGI AKUAKULTUR</x:v>
      </x:c>
      <x:c r="E4297" t="str">
        <x:v>Sarjana Terapan</x:v>
      </x:c>
      <x:c r="F4297" s="18" t="n">
        <x:v>24</x:v>
      </x:c>
      <x:c r="G4297" s="18" t="n">
        <x:v>18</x:v>
      </x:c>
      <x:c r="H4297" s="19" t="n">
        <x:v>0.75</x:v>
      </x:c>
      <x:c r="I4297" s="18" t="n">
        <x:f>ROUND(MIN(Model_Config_v3!$B$6,MAX(Q4297,R4297,S4297*Model_Config_v3!$B$4+T4297*Model_Config_v3!$B$5)),0)</x:f>
        <x:v>601</x:v>
      </x:c>
      <x:c r="J4297" s="18" t="n">
        <x:f>MIN(Model_Config_v3!$B$6,I4297+Model_Config_v3!$B$7)</x:f>
        <x:v>621</x:v>
      </x:c>
      <x:c r="K4297" s="20" t="n">
        <x:v>37.5</x:v>
      </x:c>
      <x:c r="L4297" t="str">
        <x:v>RELATIF LONGGAR</x:v>
      </x:c>
      <x:c r="M4297" t="str">
        <x:v>SEDANG</x:v>
      </x:c>
      <x:c r="N4297" t="str">
        <x:v>REGULER</x:v>
      </x:c>
      <x:c r="O4297" t="str">
        <x:v>SAINTEK</x:v>
      </x:c>
      <x:c r="P4297" t="str">
        <x:v>UMUM</x:v>
      </x:c>
      <x:c r="Q4297" s="18" t="n">
        <x:v>0</x:v>
      </x:c>
      <x:c r="R4297" s="18" t="n">
        <x:v>0</x:v>
      </x:c>
      <x:c r="S4297" s="18" t="n">
        <x:v>520</x:v>
      </x:c>
      <x:c r="T4297" s="18" t="n">
        <x:v>635</x:v>
      </x:c>
      <x:c r="U4297" s="18" t="n">
        <x:v>520</x:v>
      </x:c>
      <x:c r="V4297" s="20" t="n">
        <x:v>12</x:v>
      </x:c>
      <x:c r="W4297" s="20" t="n">
        <x:v>5</x:v>
      </x:c>
      <x:c r="X4297" s="20" t="n">
        <x:v>3</x:v>
      </x:c>
      <x:c r="Y4297" t="str">
        <x:v>Basis arsip 2025/2024</x:v>
      </x:c>
      <x:c r="Z4297" t="str">
        <x:v>https://snpmb.id/utbk-snbt/daya-tampung-snbt</x:v>
      </x:c>
      <x:c r="AA4297" t="str">
        <x:v>Tidak Ada</x:v>
      </x:c>
      <x:c r="AB4297" t="str">
        <x:v>Campus=55; Ratio=0.0; Prodi=40; RelDemand=22.1; Capacity=80.0</x:v>
      </x:c>
    </x:row>
    <x:row r="4298">
      <x:c r="A4298" t="n">
        <x:v>4295</x:v>
      </x:c>
      <x:c r="B4298" t="str">
        <x:v>PTN Vokasi</x:v>
      </x:c>
      <x:c r="C4298" t="str">
        <x:v>POLITEKNIK NEGERI BANYUWANGI</x:v>
      </x:c>
      <x:c r="D4298" t="str">
        <x:v>TEKNOLOGI PRODUKSI TANAMAN PANGAN</x:v>
      </x:c>
      <x:c r="E4298" t="str">
        <x:v>Sarjana Terapan</x:v>
      </x:c>
      <x:c r="F4298" s="18" t="n">
        <x:v>24</x:v>
      </x:c>
      <x:c r="G4298" s="18" t="n">
        <x:v>24</x:v>
      </x:c>
      <x:c r="H4298" s="19" t="n">
        <x:v>1</x:v>
      </x:c>
      <x:c r="I4298" s="18" t="n">
        <x:f>ROUND(MIN(Model_Config_v3!$B$6,MAX(Q4298,R4298,S4298*Model_Config_v3!$B$4+T4298*Model_Config_v3!$B$5)),0)</x:f>
        <x:v>601</x:v>
      </x:c>
      <x:c r="J4298" s="18" t="n">
        <x:f>MIN(Model_Config_v3!$B$6,I4298+Model_Config_v3!$B$7)</x:f>
        <x:v>621</x:v>
      </x:c>
      <x:c r="K4298" s="20" t="n">
        <x:v>38.2</x:v>
      </x:c>
      <x:c r="L4298" t="str">
        <x:v>RELATIF LONGGAR</x:v>
      </x:c>
      <x:c r="M4298" t="str">
        <x:v>SEDANG</x:v>
      </x:c>
      <x:c r="N4298" t="str">
        <x:v>REGULER</x:v>
      </x:c>
      <x:c r="O4298" t="str">
        <x:v>SAINTEK</x:v>
      </x:c>
      <x:c r="P4298" t="str">
        <x:v>UMUM</x:v>
      </x:c>
      <x:c r="Q4298" s="18" t="n">
        <x:v>0</x:v>
      </x:c>
      <x:c r="R4298" s="18" t="n">
        <x:v>0</x:v>
      </x:c>
      <x:c r="S4298" s="18" t="n">
        <x:v>520</x:v>
      </x:c>
      <x:c r="T4298" s="18" t="n">
        <x:v>636</x:v>
      </x:c>
      <x:c r="U4298" s="18" t="n">
        <x:v>520</x:v>
      </x:c>
      <x:c r="V4298" s="20" t="n">
        <x:v>12</x:v>
      </x:c>
      <x:c r="W4298" s="20" t="n">
        <x:v>5</x:v>
      </x:c>
      <x:c r="X4298" s="20" t="n">
        <x:v>3</x:v>
      </x:c>
      <x:c r="Y4298" t="str">
        <x:v>Basis arsip 2025/2024</x:v>
      </x:c>
      <x:c r="Z4298" t="str">
        <x:v>https://snpmb.id/utbk-snbt/daya-tampung-snbt</x:v>
      </x:c>
      <x:c r="AA4298" t="str">
        <x:v>Tidak Ada</x:v>
      </x:c>
      <x:c r="AB4298" t="str">
        <x:v>Campus=55; Ratio=0.0; Prodi=40; RelDemand=29.4; Capacity=80.0</x:v>
      </x:c>
    </x:row>
    <x:row r="4299">
      <x:c r="A4299" t="n">
        <x:v>4296</x:v>
      </x:c>
      <x:c r="B4299" t="str">
        <x:v>PTN Vokasi</x:v>
      </x:c>
      <x:c r="C4299" t="str">
        <x:v>POLITEKNIK NEGERI BANYUWANGI</x:v>
      </x:c>
      <x:c r="D4299" t="str">
        <x:v>PENGELOLAAN PERHOTELAN</x:v>
      </x:c>
      <x:c r="E4299" t="str">
        <x:v>Sarjana Terapan</x:v>
      </x:c>
      <x:c r="F4299" s="18" t="n">
        <x:v>24</x:v>
      </x:c>
      <x:c r="G4299" s="18" t="n">
        <x:v>37</x:v>
      </x:c>
      <x:c r="H4299" s="19" t="n">
        <x:v>1.5416666666666667</x:v>
      </x:c>
      <x:c r="I4299" s="18" t="n">
        <x:f>ROUND(MIN(Model_Config_v3!$B$6,MAX(Q4299,R4299,S4299*Model_Config_v3!$B$4+T4299*Model_Config_v3!$B$5)),0)</x:f>
        <x:v>614</x:v>
      </x:c>
      <x:c r="J4299" s="18" t="n">
        <x:f>MIN(Model_Config_v3!$B$6,I4299+Model_Config_v3!$B$7)</x:f>
        <x:v>634</x:v>
      </x:c>
      <x:c r="K4299" s="20" t="n">
        <x:v>42.6</x:v>
      </x:c>
      <x:c r="L4299" t="str">
        <x:v>RELATIF LONGGAR</x:v>
      </x:c>
      <x:c r="M4299" t="str">
        <x:v>SEDANG</x:v>
      </x:c>
      <x:c r="N4299" t="str">
        <x:v>REGULER</x:v>
      </x:c>
      <x:c r="O4299" t="str">
        <x:v>CAMPURAN</x:v>
      </x:c>
      <x:c r="P4299" t="str">
        <x:v>UMUM</x:v>
      </x:c>
      <x:c r="Q4299" s="18" t="n">
        <x:v>0</x:v>
      </x:c>
      <x:c r="R4299" s="18" t="n">
        <x:v>0</x:v>
      </x:c>
      <x:c r="S4299" s="18" t="n">
        <x:v>540.6789530590928</x:v>
      </x:c>
      <x:c r="T4299" s="18" t="n">
        <x:v>645</x:v>
      </x:c>
      <x:c r="U4299" s="18" t="n">
        <x:v>540.6789530590928</x:v>
      </x:c>
      <x:c r="V4299" s="20" t="n">
        <x:v>8.8</x:v>
      </x:c>
      <x:c r="W4299" s="20" t="n">
        <x:v>9.9</x:v>
      </x:c>
      <x:c r="X4299" s="20" t="n">
        <x:v>3.3</x:v>
      </x:c>
      <x:c r="Y4299" t="str">
        <x:v>Basis arsip 2025/2024</x:v>
      </x:c>
      <x:c r="Z4299" t="str">
        <x:v>https://snpmb.id/utbk-snbt/daya-tampung-snbt</x:v>
      </x:c>
      <x:c r="AA4299" t="str">
        <x:v>Tidak Ada</x:v>
      </x:c>
      <x:c r="AB4299" t="str">
        <x:v>Campus=55; Ratio=11.1; Prodi=40; RelDemand=45.3; Capacity=80.0</x:v>
      </x:c>
    </x:row>
    <x:row r="4300">
      <x:c r="A4300" t="n">
        <x:v>4297</x:v>
      </x:c>
      <x:c r="B4300" t="str">
        <x:v>PTN Vokasi</x:v>
      </x:c>
      <x:c r="C4300" t="str">
        <x:v>POLITEKNIK NEGERI BANYUWANGI</x:v>
      </x:c>
      <x:c r="D4300" t="str">
        <x:v>DESTINASI PARIWISATA</x:v>
      </x:c>
      <x:c r="E4300" t="str">
        <x:v>Sarjana Terapan</x:v>
      </x:c>
      <x:c r="F4300" s="18" t="n">
        <x:v>24</x:v>
      </x:c>
      <x:c r="G4300" s="18" t="n">
        <x:v>71</x:v>
      </x:c>
      <x:c r="H4300" s="19" t="n">
        <x:v>2.9583333333333335</x:v>
      </x:c>
      <x:c r="I4300" s="18" t="n">
        <x:f>ROUND(MIN(Model_Config_v3!$B$6,MAX(Q4300,R4300,S4300*Model_Config_v3!$B$4+T4300*Model_Config_v3!$B$5)),0)</x:f>
        <x:v>635</x:v>
      </x:c>
      <x:c r="J4300" s="18" t="n">
        <x:f>MIN(Model_Config_v3!$B$6,I4300+Model_Config_v3!$B$7)</x:f>
        <x:v>655</x:v>
      </x:c>
      <x:c r="K4300" s="20" t="n">
        <x:v>50.9</x:v>
      </x:c>
      <x:c r="L4300" t="str">
        <x:v>MENENGAH</x:v>
      </x:c>
      <x:c r="M4300" t="str">
        <x:v>SEDANG</x:v>
      </x:c>
      <x:c r="N4300" t="str">
        <x:v>REGULER</x:v>
      </x:c>
      <x:c r="O4300" t="str">
        <x:v>CAMPURAN</x:v>
      </x:c>
      <x:c r="P4300" t="str">
        <x:v>UMUM</x:v>
      </x:c>
      <x:c r="Q4300" s="18" t="n">
        <x:v>0</x:v>
      </x:c>
      <x:c r="R4300" s="18" t="n">
        <x:v>0</x:v>
      </x:c>
      <x:c r="S4300" s="18" t="n">
        <x:v>571.8151817708216</x:v>
      </x:c>
      <x:c r="T4300" s="18" t="n">
        <x:v>662</x:v>
      </x:c>
      <x:c r="U4300" s="18" t="n">
        <x:v>571.8151817708216</x:v>
      </x:c>
      <x:c r="V4300" s="20" t="n">
        <x:v>8.8</x:v>
      </x:c>
      <x:c r="W4300" s="20" t="n">
        <x:v>9.9</x:v>
      </x:c>
      <x:c r="X4300" s="20" t="n">
        <x:v>3.3</x:v>
      </x:c>
      <x:c r="Y4300" t="str">
        <x:v>Basis arsip 2025/2024</x:v>
      </x:c>
      <x:c r="Z4300" t="str">
        <x:v>https://snpmb.id/utbk-snbt/daya-tampung-snbt</x:v>
      </x:c>
      <x:c r="AA4300" t="str">
        <x:v>Tidak Ada</x:v>
      </x:c>
      <x:c r="AB4300" t="str">
        <x:v>Campus=55; Ratio=27.7; Prodi=40; RelDemand=87.0; Capacity=80.0</x:v>
      </x:c>
    </x:row>
    <x:row r="4301">
      <x:c r="A4301" t="n">
        <x:v>4298</x:v>
      </x:c>
      <x:c r="B4301" t="str">
        <x:v>PTN Vokasi</x:v>
      </x:c>
      <x:c r="C4301" t="str">
        <x:v>POLITEKNIK NEGERI BANYUWANGI</x:v>
      </x:c>
      <x:c r="D4301" t="str">
        <x:v>MANAJEMEN KONSTRUKSI</x:v>
      </x:c>
      <x:c r="E4301" t="str">
        <x:v>Sarjana Terapan</x:v>
      </x:c>
      <x:c r="F4301" s="18" t="n">
        <x:v>12</x:v>
      </x:c>
      <x:c r="G4301" s="18"/>
      <x:c r="H4301" s="19" t="n">
        <x:v>0</x:v>
      </x:c>
      <x:c r="I4301" s="18" t="n">
        <x:f>ROUND(MIN(Model_Config_v3!$B$6,MAX(Q4301,R4301,S4301*Model_Config_v3!$B$4+T4301*Model_Config_v3!$B$5)),0)</x:f>
        <x:v>605</x:v>
      </x:c>
      <x:c r="J4301" s="18" t="n">
        <x:f>MIN(Model_Config_v3!$B$6,I4301+Model_Config_v3!$B$7)</x:f>
        <x:v>625</x:v>
      </x:c>
      <x:c r="K4301" s="20" t="n">
        <x:v>41.2</x:v>
      </x:c>
      <x:c r="L4301" t="str">
        <x:v>RELATIF LONGGAR</x:v>
      </x:c>
      <x:c r="M4301" t="str">
        <x:v>RENDAH</x:v>
      </x:c>
      <x:c r="N4301" t="str">
        <x:v>REGULER</x:v>
      </x:c>
      <x:c r="O4301" t="str">
        <x:v>SOSHUM</x:v>
      </x:c>
      <x:c r="P4301" t="str">
        <x:v>BISNIS/EKONOMI/AKUNTANSI</x:v>
      </x:c>
      <x:c r="Q4301" s="18" t="n">
        <x:v>0</x:v>
      </x:c>
      <x:c r="R4301" s="18" t="n">
        <x:v>0</x:v>
      </x:c>
      <x:c r="S4301" s="18" t="n">
        <x:v>520</x:v>
      </x:c>
      <x:c r="T4301" s="18" t="n">
        <x:v>642</x:v>
      </x:c>
      <x:c r="U4301" s="18" t="n">
        <x:v>535</x:v>
      </x:c>
      <x:c r="V4301" s="20" t="n">
        <x:v>4.4</x:v>
      </x:c>
      <x:c r="W4301" s="20" t="n">
        <x:v>14.3</x:v>
      </x:c>
      <x:c r="X4301" s="20" t="n">
        <x:v>3.3</x:v>
      </x:c>
      <x:c r="Y4301" t="str">
        <x:v>Basis arsip 2025/2024</x:v>
      </x:c>
      <x:c r="Z4301" t="str">
        <x:v>https://snpmb.id/utbk-snbt/daya-tampung-snbt</x:v>
      </x:c>
      <x:c r="AA4301" t="str">
        <x:v>Tidak Ada</x:v>
      </x:c>
      <x:c r="AB4301" t="str">
        <x:v>Campus=55; Ratio=0.0; Prodi=65; RelDemand=0.0; Capacity=90.0</x:v>
      </x:c>
    </x:row>
    <x:row r="4302">
      <x:c r="A4302" t="n">
        <x:v>4299</x:v>
      </x:c>
      <x:c r="B4302" t="str">
        <x:v>PTN Vokasi</x:v>
      </x:c>
      <x:c r="C4302" t="str">
        <x:v>POLITEKNIK NEGERI BANYUWANGI</x:v>
      </x:c>
      <x:c r="D4302" t="str">
        <x:v>TEKNOLOGI REKAYASA KONSTRUKSI BANGUNAN GEDUNG</x:v>
      </x:c>
      <x:c r="E4302" t="str">
        <x:v>Sarjana Terapan</x:v>
      </x:c>
      <x:c r="F4302" s="18" t="n">
        <x:v>12</x:v>
      </x:c>
      <x:c r="G4302" s="18"/>
      <x:c r="H4302" s="19" t="n">
        <x:v>0</x:v>
      </x:c>
      <x:c r="I4302" s="18" t="n">
        <x:f>ROUND(MIN(Model_Config_v3!$B$6,MAX(Q4302,R4302,S4302*Model_Config_v3!$B$4+T4302*Model_Config_v3!$B$5)),0)</x:f>
        <x:v>598</x:v>
      </x:c>
      <x:c r="J4302" s="18" t="n">
        <x:f>MIN(Model_Config_v3!$B$6,I4302+Model_Config_v3!$B$7)</x:f>
        <x:v>618</x:v>
      </x:c>
      <x:c r="K4302" s="20" t="n">
        <x:v>36.2</x:v>
      </x:c>
      <x:c r="L4302" t="str">
        <x:v>RELATIF LONGGAR</x:v>
      </x:c>
      <x:c r="M4302" t="str">
        <x:v>RENDAH</x:v>
      </x:c>
      <x:c r="N4302" t="str">
        <x:v>REGULER</x:v>
      </x:c>
      <x:c r="O4302" t="str">
        <x:v>SAINTEK</x:v>
      </x:c>
      <x:c r="P4302" t="str">
        <x:v>UMUM</x:v>
      </x:c>
      <x:c r="Q4302" s="18" t="n">
        <x:v>0</x:v>
      </x:c>
      <x:c r="R4302" s="18" t="n">
        <x:v>0</x:v>
      </x:c>
      <x:c r="S4302" s="18" t="n">
        <x:v>520</x:v>
      </x:c>
      <x:c r="T4302" s="18" t="n">
        <x:v>632</x:v>
      </x:c>
      <x:c r="U4302" s="18" t="n">
        <x:v>520</x:v>
      </x:c>
      <x:c r="V4302" s="20" t="n">
        <x:v>12</x:v>
      </x:c>
      <x:c r="W4302" s="20" t="n">
        <x:v>5</x:v>
      </x:c>
      <x:c r="X4302" s="20" t="n">
        <x:v>3</x:v>
      </x:c>
      <x:c r="Y4302" t="str">
        <x:v>Basis arsip 2025/2024</x:v>
      </x:c>
      <x:c r="Z4302" t="str">
        <x:v>https://snpmb.id/utbk-snbt/daya-tampung-snbt</x:v>
      </x:c>
      <x:c r="AA4302" t="str">
        <x:v>Tidak Ada</x:v>
      </x:c>
      <x:c r="AB4302" t="str">
        <x:v>Campus=55; Ratio=0.0; Prodi=40; RelDemand=0.0; Capacity=90.0</x:v>
      </x:c>
    </x:row>
    <x:row r="4303">
      <x:c r="A4303" t="n">
        <x:v>4300</x:v>
      </x:c>
      <x:c r="B4303" t="str">
        <x:v>PTN Vokasi</x:v>
      </x:c>
      <x:c r="C4303" t="str">
        <x:v>POLITEKNIK NEGERI BANYUWANGI</x:v>
      </x:c>
      <x:c r="D4303" t="str">
        <x:v>TEKNIK SIPIL</x:v>
      </x:c>
      <x:c r="E4303" t="str">
        <x:v>Diploma Tiga</x:v>
      </x:c>
      <x:c r="F4303" s="18" t="n">
        <x:v>48</x:v>
      </x:c>
      <x:c r="G4303" s="18" t="n">
        <x:v>206</x:v>
      </x:c>
      <x:c r="H4303" s="19" t="n">
        <x:v>4.291666666666667</x:v>
      </x:c>
      <x:c r="I4303" s="18" t="n">
        <x:f>ROUND(MIN(Model_Config_v3!$B$6,MAX(Q4303,R4303,S4303*Model_Config_v3!$B$4+T4303*Model_Config_v3!$B$5)),0)</x:f>
        <x:v>648</x:v>
      </x:c>
      <x:c r="J4303" s="18" t="n">
        <x:f>MIN(Model_Config_v3!$B$6,I4303+Model_Config_v3!$B$7)</x:f>
        <x:v>668</x:v>
      </x:c>
      <x:c r="K4303" s="20" t="n">
        <x:v>56.6</x:v>
      </x:c>
      <x:c r="L4303" t="str">
        <x:v>KETAT</x:v>
      </x:c>
      <x:c r="M4303" t="str">
        <x:v>SEDANG+</x:v>
      </x:c>
      <x:c r="N4303" t="str">
        <x:v>REGULER</x:v>
      </x:c>
      <x:c r="O4303" t="str">
        <x:v>SAINTEK</x:v>
      </x:c>
      <x:c r="P4303" t="str">
        <x:v>TEKNIK/ARSITEKTUR/STATISTIKA/AKTUARIA</x:v>
      </x:c>
      <x:c r="Q4303" s="18" t="n">
        <x:v>0</x:v>
      </x:c>
      <x:c r="R4303" s="18" t="n">
        <x:v>0</x:v>
      </x:c>
      <x:c r="S4303" s="18" t="n">
        <x:v>589.5888581292922</x:v>
      </x:c>
      <x:c r="T4303" s="18" t="n">
        <x:v>673</x:v>
      </x:c>
      <x:c r="U4303" s="18" t="n">
        <x:v>599.5888581292922</x:v>
      </x:c>
      <x:c r="V4303" s="20" t="n">
        <x:v>12</x:v>
      </x:c>
      <x:c r="W4303" s="20" t="n">
        <x:v>5</x:v>
      </x:c>
      <x:c r="X4303" s="20" t="n">
        <x:v>3</x:v>
      </x:c>
      <x:c r="Y4303" t="str">
        <x:v>Basis arsip 2025/2024</x:v>
      </x:c>
      <x:c r="Z4303" t="str">
        <x:v>https://snpmb.id/utbk-snbt/daya-tampung-snbt</x:v>
      </x:c>
      <x:c r="AA4303" t="str">
        <x:v>Tidak Ada</x:v>
      </x:c>
      <x:c r="AB4303" t="str">
        <x:v>Campus=55; Ratio=37.2; Prodi=60; RelDemand=100.0; Capacity=60.0</x:v>
      </x:c>
    </x:row>
    <x:row r="4304">
      <x:c r="A4304" t="n">
        <x:v>4301</x:v>
      </x:c>
      <x:c r="B4304" t="str">
        <x:v>PTN Vokasi</x:v>
      </x:c>
      <x:c r="C4304" t="str">
        <x:v>POLITEKNIK NEGERI JEMBER</x:v>
      </x:c>
      <x:c r="D4304" t="str">
        <x:v>GIZI KLINIK</x:v>
      </x:c>
      <x:c r="E4304" t="str">
        <x:v>Sarjana Terapan</x:v>
      </x:c>
      <x:c r="F4304" s="18" t="n">
        <x:v>60</x:v>
      </x:c>
      <x:c r="G4304" s="18" t="n">
        <x:v>811</x:v>
      </x:c>
      <x:c r="H4304" s="19" t="n">
        <x:v>13.516666666666667</x:v>
      </x:c>
      <x:c r="I4304" s="18" t="n">
        <x:f>ROUND(MIN(Model_Config_v3!$B$6,MAX(Q4304,R4304,S4304*Model_Config_v3!$B$4+T4304*Model_Config_v3!$B$5)),0)</x:f>
        <x:v>672</x:v>
      </x:c>
      <x:c r="J4304" s="18" t="n">
        <x:f>MIN(Model_Config_v3!$B$6,I4304+Model_Config_v3!$B$7)</x:f>
        <x:v>692</x:v>
      </x:c>
      <x:c r="K4304" s="20" t="n">
        <x:v>61.9</x:v>
      </x:c>
      <x:c r="L4304" t="str">
        <x:v>KETAT</x:v>
      </x:c>
      <x:c r="M4304" t="str">
        <x:v>SEDANG+</x:v>
      </x:c>
      <x:c r="N4304" t="str">
        <x:v>REGULER</x:v>
      </x:c>
      <x:c r="O4304" t="str">
        <x:v>SAINTEK</x:v>
      </x:c>
      <x:c r="P4304" t="str">
        <x:v>KESEHAT/GIZI/KEPERAWATAN</x:v>
      </x:c>
      <x:c r="Q4304" s="18" t="n">
        <x:v>0</x:v>
      </x:c>
      <x:c r="R4304" s="18" t="n">
        <x:v>0</x:v>
      </x:c>
      <x:c r="S4304" s="18" t="n">
        <x:v>644.3956564210264</x:v>
      </x:c>
      <x:c r="T4304" s="18" t="n">
        <x:v>684</x:v>
      </x:c>
      <x:c r="U4304" s="18" t="n">
        <x:v>644.3956564210264</x:v>
      </x:c>
      <x:c r="V4304" s="20" t="n">
        <x:v>12</x:v>
      </x:c>
      <x:c r="W4304" s="20" t="n">
        <x:v>5</x:v>
      </x:c>
      <x:c r="X4304" s="20" t="n">
        <x:v>3</x:v>
      </x:c>
      <x:c r="Y4304" t="str">
        <x:v>Basis arsip 2025/2024</x:v>
      </x:c>
      <x:c r="Z4304" t="str">
        <x:v>https://snpmb.id/utbk-snbt/daya-tampung-snbt</x:v>
      </x:c>
      <x:c r="AA4304" t="str">
        <x:v>Tidak Ada</x:v>
      </x:c>
      <x:c r="AB4304" t="str">
        <x:v>Campus=55; Ratio=66.6; Prodi=55; RelDemand=100.0; Capacity=50.0</x:v>
      </x:c>
    </x:row>
    <x:row r="4305">
      <x:c r="A4305" t="n">
        <x:v>4302</x:v>
      </x:c>
      <x:c r="B4305" t="str">
        <x:v>PTN Vokasi</x:v>
      </x:c>
      <x:c r="C4305" t="str">
        <x:v>POLITEKNIK NEGERI JEMBER</x:v>
      </x:c>
      <x:c r="D4305" t="str">
        <x:v>MANAJEMEN AGROINDUSTRI</x:v>
      </x:c>
      <x:c r="E4305" t="str">
        <x:v>Sarjana Terapan</x:v>
      </x:c>
      <x:c r="F4305" s="18" t="n">
        <x:v>72</x:v>
      </x:c>
      <x:c r="G4305" s="18" t="n">
        <x:v>220</x:v>
      </x:c>
      <x:c r="H4305" s="19" t="n">
        <x:v>3.0555555555555554</x:v>
      </x:c>
      <x:c r="I4305" s="18" t="n">
        <x:f>ROUND(MIN(Model_Config_v3!$B$6,MAX(Q4305,R4305,S4305*Model_Config_v3!$B$4+T4305*Model_Config_v3!$B$5)),0)</x:f>
        <x:v>631</x:v>
      </x:c>
      <x:c r="J4305" s="18" t="n">
        <x:f>MIN(Model_Config_v3!$B$6,I4305+Model_Config_v3!$B$7)</x:f>
        <x:v>651</x:v>
      </x:c>
      <x:c r="K4305" s="20" t="n">
        <x:v>47.5</x:v>
      </x:c>
      <x:c r="L4305" t="str">
        <x:v>MENENGAH</x:v>
      </x:c>
      <x:c r="M4305" t="str">
        <x:v>SEDANG+</x:v>
      </x:c>
      <x:c r="N4305" t="str">
        <x:v>REGULER</x:v>
      </x:c>
      <x:c r="O4305" t="str">
        <x:v>SOSHUM</x:v>
      </x:c>
      <x:c r="P4305" t="str">
        <x:v>BISNIS/EKONOMI/AKUNTANSI</x:v>
      </x:c>
      <x:c r="Q4305" s="18" t="n">
        <x:v>0</x:v>
      </x:c>
      <x:c r="R4305" s="18" t="n">
        <x:v>0</x:v>
      </x:c>
      <x:c r="S4305" s="18" t="n">
        <x:v>573.3599202830031</x:v>
      </x:c>
      <x:c r="T4305" s="18" t="n">
        <x:v>655</x:v>
      </x:c>
      <x:c r="U4305" s="18" t="n">
        <x:v>588.3599202830031</x:v>
      </x:c>
      <x:c r="V4305" s="20" t="n">
        <x:v>4.4</x:v>
      </x:c>
      <x:c r="W4305" s="20" t="n">
        <x:v>14.3</x:v>
      </x:c>
      <x:c r="X4305" s="20" t="n">
        <x:v>3.3</x:v>
      </x:c>
      <x:c r="Y4305" t="str">
        <x:v>Basis arsip 2025/2024</x:v>
      </x:c>
      <x:c r="Z4305" t="str">
        <x:v>https://snpmb.id/utbk-snbt/daya-tampung-snbt</x:v>
      </x:c>
      <x:c r="AA4305" t="str">
        <x:v>Tidak Ada</x:v>
      </x:c>
      <x:c r="AB4305" t="str">
        <x:v>Campus=55; Ratio=28.6; Prodi=65; RelDemand=40.7; Capacity=40.0</x:v>
      </x:c>
    </x:row>
    <x:row r="4306">
      <x:c r="A4306" t="n">
        <x:v>4303</x:v>
      </x:c>
      <x:c r="B4306" t="str">
        <x:v>PTN Vokasi</x:v>
      </x:c>
      <x:c r="C4306" t="str">
        <x:v>POLITEKNIK NEGERI JEMBER</x:v>
      </x:c>
      <x:c r="D4306" t="str">
        <x:v>TEKNIK ENERGI TERBARUKAN</x:v>
      </x:c>
      <x:c r="E4306" t="str">
        <x:v>Sarjana Terapan</x:v>
      </x:c>
      <x:c r="F4306" s="18" t="n">
        <x:v>48</x:v>
      </x:c>
      <x:c r="G4306" s="18" t="n">
        <x:v>119</x:v>
      </x:c>
      <x:c r="H4306" s="19" t="n">
        <x:v>2.4791666666666665</x:v>
      </x:c>
      <x:c r="I4306" s="18" t="n">
        <x:f>ROUND(MIN(Model_Config_v3!$B$6,MAX(Q4306,R4306,S4306*Model_Config_v3!$B$4+T4306*Model_Config_v3!$B$5)),0)</x:f>
        <x:v>626</x:v>
      </x:c>
      <x:c r="J4306" s="18" t="n">
        <x:f>MIN(Model_Config_v3!$B$6,I4306+Model_Config_v3!$B$7)</x:f>
        <x:v>646</x:v>
      </x:c>
      <x:c r="K4306" s="20" t="n">
        <x:v>46.4</x:v>
      </x:c>
      <x:c r="L4306" t="str">
        <x:v>MENENGAH</x:v>
      </x:c>
      <x:c r="M4306" t="str">
        <x:v>SEDANG+</x:v>
      </x:c>
      <x:c r="N4306" t="str">
        <x:v>REGULER</x:v>
      </x:c>
      <x:c r="O4306" t="str">
        <x:v>SAINTEK</x:v>
      </x:c>
      <x:c r="P4306" t="str">
        <x:v>TEKNIK/ARSITEKTUR/STATISTIKA/AKTUARIA</x:v>
      </x:c>
      <x:c r="Q4306" s="18" t="n">
        <x:v>0</x:v>
      </x:c>
      <x:c r="R4306" s="18" t="n">
        <x:v>0</x:v>
      </x:c>
      <x:c r="S4306" s="18" t="n">
        <x:v>563.3736296418638</x:v>
      </x:c>
      <x:c r="T4306" s="18" t="n">
        <x:v>653</x:v>
      </x:c>
      <x:c r="U4306" s="18" t="n">
        <x:v>573.3736296418638</x:v>
      </x:c>
      <x:c r="V4306" s="20" t="n">
        <x:v>12</x:v>
      </x:c>
      <x:c r="W4306" s="20" t="n">
        <x:v>5</x:v>
      </x:c>
      <x:c r="X4306" s="20" t="n">
        <x:v>3</x:v>
      </x:c>
      <x:c r="Y4306" t="str">
        <x:v>Basis arsip 2025/2024</x:v>
      </x:c>
      <x:c r="Z4306" t="str">
        <x:v>https://snpmb.id/utbk-snbt/daya-tampung-snbt</x:v>
      </x:c>
      <x:c r="AA4306" t="str">
        <x:v>Tidak Ada</x:v>
      </x:c>
      <x:c r="AB4306" t="str">
        <x:v>Campus=55; Ratio=23.2; Prodi=60; RelDemand=33.0; Capacity=60.0</x:v>
      </x:c>
    </x:row>
    <x:row r="4307">
      <x:c r="A4307" t="n">
        <x:v>4304</x:v>
      </x:c>
      <x:c r="B4307" t="str">
        <x:v>PTN Vokasi</x:v>
      </x:c>
      <x:c r="C4307" t="str">
        <x:v>POLITEKNIK NEGERI JEMBER</x:v>
      </x:c>
      <x:c r="D4307" t="str">
        <x:v>TEKNIK PRODUKSI TANAMAN PANGAN</x:v>
      </x:c>
      <x:c r="E4307" t="str">
        <x:v>Sarjana Terapan</x:v>
      </x:c>
      <x:c r="F4307" s="18" t="n">
        <x:v>36</x:v>
      </x:c>
      <x:c r="G4307" s="18" t="n">
        <x:v>98</x:v>
      </x:c>
      <x:c r="H4307" s="19" t="n">
        <x:v>2.7222222222222223</x:v>
      </x:c>
      <x:c r="I4307" s="18" t="n">
        <x:f>ROUND(MIN(Model_Config_v3!$B$6,MAX(Q4307,R4307,S4307*Model_Config_v3!$B$4+T4307*Model_Config_v3!$B$5)),0)</x:f>
        <x:v>630</x:v>
      </x:c>
      <x:c r="J4307" s="18" t="n">
        <x:f>MIN(Model_Config_v3!$B$6,I4307+Model_Config_v3!$B$7)</x:f>
        <x:v>650</x:v>
      </x:c>
      <x:c r="K4307" s="20" t="n">
        <x:v>48.3</x:v>
      </x:c>
      <x:c r="L4307" t="str">
        <x:v>MENENGAH</x:v>
      </x:c>
      <x:c r="M4307" t="str">
        <x:v>SEDANG+</x:v>
      </x:c>
      <x:c r="N4307" t="str">
        <x:v>REGULER</x:v>
      </x:c>
      <x:c r="O4307" t="str">
        <x:v>SAINTEK</x:v>
      </x:c>
      <x:c r="P4307" t="str">
        <x:v>TEKNIK/ARSITEKTUR/STATISTIKA/AKTUARIA</x:v>
      </x:c>
      <x:c r="Q4307" s="18" t="n">
        <x:v>0</x:v>
      </x:c>
      <x:c r="R4307" s="18" t="n">
        <x:v>0</x:v>
      </x:c>
      <x:c r="S4307" s="18" t="n">
        <x:v>567.8415932417728</x:v>
      </x:c>
      <x:c r="T4307" s="18" t="n">
        <x:v>657</x:v>
      </x:c>
      <x:c r="U4307" s="18" t="n">
        <x:v>577.8415932417728</x:v>
      </x:c>
      <x:c r="V4307" s="20" t="n">
        <x:v>12</x:v>
      </x:c>
      <x:c r="W4307" s="20" t="n">
        <x:v>5</x:v>
      </x:c>
      <x:c r="X4307" s="20" t="n">
        <x:v>3</x:v>
      </x:c>
      <x:c r="Y4307" t="str">
        <x:v>Basis arsip 2025/2024</x:v>
      </x:c>
      <x:c r="Z4307" t="str">
        <x:v>https://snpmb.id/utbk-snbt/daya-tampung-snbt</x:v>
      </x:c>
      <x:c r="AA4307" t="str">
        <x:v>Tidak Ada</x:v>
      </x:c>
      <x:c r="AB4307" t="str">
        <x:v>Campus=55; Ratio=25.6; Prodi=60; RelDemand=36.2; Capacity=70.0</x:v>
      </x:c>
    </x:row>
    <x:row r="4308">
      <x:c r="A4308" t="n">
        <x:v>4305</x:v>
      </x:c>
      <x:c r="B4308" t="str">
        <x:v>PTN Vokasi</x:v>
      </x:c>
      <x:c r="C4308" t="str">
        <x:v>POLITEKNIK NEGERI JEMBER</x:v>
      </x:c>
      <x:c r="D4308" t="str">
        <x:v>MANAGEMEN BISNIS UNGGAS</x:v>
      </x:c>
      <x:c r="E4308" t="str">
        <x:v>Sarjana Terapan</x:v>
      </x:c>
      <x:c r="F4308" s="18" t="n">
        <x:v>48</x:v>
      </x:c>
      <x:c r="G4308" s="18" t="n">
        <x:v>50</x:v>
      </x:c>
      <x:c r="H4308" s="19" t="n">
        <x:v>1.0416666666666667</x:v>
      </x:c>
      <x:c r="I4308" s="18" t="n">
        <x:f>ROUND(MIN(Model_Config_v3!$B$6,MAX(Q4308,R4308,S4308*Model_Config_v3!$B$4+T4308*Model_Config_v3!$B$5)),0)</x:f>
        <x:v>605</x:v>
      </x:c>
      <x:c r="J4308" s="18" t="n">
        <x:f>MIN(Model_Config_v3!$B$6,I4308+Model_Config_v3!$B$7)</x:f>
        <x:v>625</x:v>
      </x:c>
      <x:c r="K4308" s="20" t="n">
        <x:v>39.9</x:v>
      </x:c>
      <x:c r="L4308" t="str">
        <x:v>RELATIF LONGGAR</x:v>
      </x:c>
      <x:c r="M4308" t="str">
        <x:v>SEDANG+</x:v>
      </x:c>
      <x:c r="N4308" t="str">
        <x:v>REGULER</x:v>
      </x:c>
      <x:c r="O4308" t="str">
        <x:v>SOSHUM</x:v>
      </x:c>
      <x:c r="P4308" t="str">
        <x:v>BISNIS/EKONOMI/AKUNTANSI</x:v>
      </x:c>
      <x:c r="Q4308" s="18" t="n">
        <x:v>0</x:v>
      </x:c>
      <x:c r="R4308" s="18" t="n">
        <x:v>0</x:v>
      </x:c>
      <x:c r="S4308" s="18" t="n">
        <x:v>521.9501643656474</x:v>
      </x:c>
      <x:c r="T4308" s="18" t="n">
        <x:v>640</x:v>
      </x:c>
      <x:c r="U4308" s="18" t="n">
        <x:v>536.9501643656474</x:v>
      </x:c>
      <x:c r="V4308" s="20" t="n">
        <x:v>4.4</x:v>
      </x:c>
      <x:c r="W4308" s="20" t="n">
        <x:v>14.3</x:v>
      </x:c>
      <x:c r="X4308" s="20" t="n">
        <x:v>3.3</x:v>
      </x:c>
      <x:c r="Y4308" t="str">
        <x:v>Basis arsip 2025/2024</x:v>
      </x:c>
      <x:c r="Z4308" t="str">
        <x:v>https://snpmb.id/utbk-snbt/daya-tampung-snbt</x:v>
      </x:c>
      <x:c r="AA4308" t="str">
        <x:v>Tidak Ada</x:v>
      </x:c>
      <x:c r="AB4308" t="str">
        <x:v>Campus=55; Ratio=1.0; Prodi=65; RelDemand=13.9; Capacity=60.0</x:v>
      </x:c>
    </x:row>
    <x:row r="4309">
      <x:c r="A4309" t="n">
        <x:v>4306</x:v>
      </x:c>
      <x:c r="B4309" t="str">
        <x:v>PTN Vokasi</x:v>
      </x:c>
      <x:c r="C4309" t="str">
        <x:v>POLITEKNIK NEGERI JEMBER</x:v>
      </x:c>
      <x:c r="D4309" t="str">
        <x:v>TEKNIK INFORMATIKA</x:v>
      </x:c>
      <x:c r="E4309" t="str">
        <x:v>Sarjana Terapan</x:v>
      </x:c>
      <x:c r="F4309" s="18" t="n">
        <x:v>84</x:v>
      </x:c>
      <x:c r="G4309" s="18" t="n">
        <x:v>706</x:v>
      </x:c>
      <x:c r="H4309" s="19" t="n">
        <x:v>8.404761904761905</x:v>
      </x:c>
      <x:c r="I4309" s="18" t="n">
        <x:f>ROUND(MIN(Model_Config_v3!$B$6,MAX(Q4309,R4309,S4309*Model_Config_v3!$B$4+T4309*Model_Config_v3!$B$5)),0)</x:f>
        <x:v>667</x:v>
      </x:c>
      <x:c r="J4309" s="18" t="n">
        <x:f>MIN(Model_Config_v3!$B$6,I4309+Model_Config_v3!$B$7)</x:f>
        <x:v>687</x:v>
      </x:c>
      <x:c r="K4309" s="20" t="n">
        <x:v>62.9</x:v>
      </x:c>
      <x:c r="L4309" t="str">
        <x:v>KETAT</x:v>
      </x:c>
      <x:c r="M4309" t="str">
        <x:v>SEDANG+</x:v>
      </x:c>
      <x:c r="N4309" t="str">
        <x:v>REGULER</x:v>
      </x:c>
      <x:c r="O4309" t="str">
        <x:v>SAINTEK</x:v>
      </x:c>
      <x:c r="P4309" t="str">
        <x:v>KOMPUTER/INFORMATIKA</x:v>
      </x:c>
      <x:c r="Q4309" s="18" t="n">
        <x:v>0</x:v>
      </x:c>
      <x:c r="R4309" s="18" t="n">
        <x:v>0</x:v>
      </x:c>
      <x:c r="S4309" s="18" t="n">
        <x:v>621.6977956488914</x:v>
      </x:c>
      <x:c r="T4309" s="18" t="n">
        <x:v>686</x:v>
      </x:c>
      <x:c r="U4309" s="18" t="n">
        <x:v>646.6977956488914</x:v>
      </x:c>
      <x:c r="V4309" s="20" t="n">
        <x:v>12</x:v>
      </x:c>
      <x:c r="W4309" s="20" t="n">
        <x:v>5</x:v>
      </x:c>
      <x:c r="X4309" s="20" t="n">
        <x:v>3</x:v>
      </x:c>
      <x:c r="Y4309" t="str">
        <x:v>Basis arsip 2025/2024</x:v>
      </x:c>
      <x:c r="Z4309" t="str">
        <x:v>https://snpmb.id/utbk-snbt/daya-tampung-snbt</x:v>
      </x:c>
      <x:c r="AA4309" t="str">
        <x:v>Tidak Ada</x:v>
      </x:c>
      <x:c r="AB4309" t="str">
        <x:v>Campus=55; Ratio=54.4; Prodi=85; RelDemand=100.0; Capacity=30.0</x:v>
      </x:c>
    </x:row>
    <x:row r="4310">
      <x:c r="A4310" t="n">
        <x:v>4307</x:v>
      </x:c>
      <x:c r="B4310" t="str">
        <x:v>PTN Vokasi</x:v>
      </x:c>
      <x:c r="C4310" t="str">
        <x:v>POLITEKNIK NEGERI JEMBER</x:v>
      </x:c>
      <x:c r="D4310" t="str">
        <x:v>TEKNIK PRODUKSI BENIH</x:v>
      </x:c>
      <x:c r="E4310" t="str">
        <x:v>Sarjana Terapan</x:v>
      </x:c>
      <x:c r="F4310" s="18" t="n">
        <x:v>36</x:v>
      </x:c>
      <x:c r="G4310" s="18" t="n">
        <x:v>83</x:v>
      </x:c>
      <x:c r="H4310" s="19" t="n">
        <x:v>2.3055555555555554</x:v>
      </x:c>
      <x:c r="I4310" s="18" t="n">
        <x:f>ROUND(MIN(Model_Config_v3!$B$6,MAX(Q4310,R4310,S4310*Model_Config_v3!$B$4+T4310*Model_Config_v3!$B$5)),0)</x:f>
        <x:v>625</x:v>
      </x:c>
      <x:c r="J4310" s="18" t="n">
        <x:f>MIN(Model_Config_v3!$B$6,I4310+Model_Config_v3!$B$7)</x:f>
        <x:v>645</x:v>
      </x:c>
      <x:c r="K4310" s="20" t="n">
        <x:v>46.7</x:v>
      </x:c>
      <x:c r="L4310" t="str">
        <x:v>MENENGAH</x:v>
      </x:c>
      <x:c r="M4310" t="str">
        <x:v>SEDANG+</x:v>
      </x:c>
      <x:c r="N4310" t="str">
        <x:v>REGULER</x:v>
      </x:c>
      <x:c r="O4310" t="str">
        <x:v>SAINTEK</x:v>
      </x:c>
      <x:c r="P4310" t="str">
        <x:v>TEKNIK/ARSITEKTUR/STATISTIKA/AKTUARIA</x:v>
      </x:c>
      <x:c r="Q4310" s="18" t="n">
        <x:v>0</x:v>
      </x:c>
      <x:c r="R4310" s="18" t="n">
        <x:v>0</x:v>
      </x:c>
      <x:c r="S4310" s="18" t="n">
        <x:v>559.9053150769665</x:v>
      </x:c>
      <x:c r="T4310" s="18" t="n">
        <x:v>653</x:v>
      </x:c>
      <x:c r="U4310" s="18" t="n">
        <x:v>569.9053150769665</x:v>
      </x:c>
      <x:c r="V4310" s="20" t="n">
        <x:v>12</x:v>
      </x:c>
      <x:c r="W4310" s="20" t="n">
        <x:v>5</x:v>
      </x:c>
      <x:c r="X4310" s="20" t="n">
        <x:v>3</x:v>
      </x:c>
      <x:c r="Y4310" t="str">
        <x:v>Basis arsip 2025/2024</x:v>
      </x:c>
      <x:c r="Z4310" t="str">
        <x:v>https://snpmb.id/utbk-snbt/daya-tampung-snbt</x:v>
      </x:c>
      <x:c r="AA4310" t="str">
        <x:v>Tidak Ada</x:v>
      </x:c>
      <x:c r="AB4310" t="str">
        <x:v>Campus=55; Ratio=21.4; Prodi=60; RelDemand=30.7; Capacity=70.0</x:v>
      </x:c>
    </x:row>
    <x:row r="4311">
      <x:c r="A4311" t="n">
        <x:v>4308</x:v>
      </x:c>
      <x:c r="B4311" t="str">
        <x:v>PTN Vokasi</x:v>
      </x:c>
      <x:c r="C4311" t="str">
        <x:v>POLITEKNIK NEGERI JEMBER</x:v>
      </x:c>
      <x:c r="D4311" t="str">
        <x:v>MANAJEMEN INFORMASI KESEHATAN</x:v>
      </x:c>
      <x:c r="E4311" t="str">
        <x:v>Sarjana Terapan</x:v>
      </x:c>
      <x:c r="F4311" s="18" t="n">
        <x:v>72</x:v>
      </x:c>
      <x:c r="G4311" s="18" t="n">
        <x:v>598</x:v>
      </x:c>
      <x:c r="H4311" s="19" t="n">
        <x:v>8.305555555555555</x:v>
      </x:c>
      <x:c r="I4311" s="18" t="n">
        <x:f>ROUND(MIN(Model_Config_v3!$B$6,MAX(Q4311,R4311,S4311*Model_Config_v3!$B$4+T4311*Model_Config_v3!$B$5)),0)</x:f>
        <x:v>662</x:v>
      </x:c>
      <x:c r="J4311" s="18" t="n">
        <x:f>MIN(Model_Config_v3!$B$6,I4311+Model_Config_v3!$B$7)</x:f>
        <x:v>682</x:v>
      </x:c>
      <x:c r="K4311" s="20" t="n">
        <x:v>59.8</x:v>
      </x:c>
      <x:c r="L4311" t="str">
        <x:v>KETAT</x:v>
      </x:c>
      <x:c r="M4311" t="str">
        <x:v>SEDANG+</x:v>
      </x:c>
      <x:c r="N4311" t="str">
        <x:v>REGULER</x:v>
      </x:c>
      <x:c r="O4311" t="str">
        <x:v>SAINTEK</x:v>
      </x:c>
      <x:c r="P4311" t="str">
        <x:v>BISNIS/EKONOMI/AKUNTANSI</x:v>
      </x:c>
      <x:c r="Q4311" s="18" t="n">
        <x:v>0</x:v>
      </x:c>
      <x:c r="R4311" s="18" t="n">
        <x:v>0</x:v>
      </x:c>
      <x:c r="S4311" s="18" t="n">
        <x:v>621.1305556312857</x:v>
      </x:c>
      <x:c r="T4311" s="18" t="n">
        <x:v>680</x:v>
      </x:c>
      <x:c r="U4311" s="18" t="n">
        <x:v>636.1305556312857</x:v>
      </x:c>
      <x:c r="V4311" s="20" t="n">
        <x:v>12</x:v>
      </x:c>
      <x:c r="W4311" s="20" t="n">
        <x:v>5</x:v>
      </x:c>
      <x:c r="X4311" s="20" t="n">
        <x:v>3</x:v>
      </x:c>
      <x:c r="Y4311" t="str">
        <x:v>Basis arsip 2025/2024</x:v>
      </x:c>
      <x:c r="Z4311" t="str">
        <x:v>https://snpmb.id/utbk-snbt/daya-tampung-snbt</x:v>
      </x:c>
      <x:c r="AA4311" t="str">
        <x:v>Tidak Ada</x:v>
      </x:c>
      <x:c r="AB4311" t="str">
        <x:v>Campus=55; Ratio=54.1; Prodi=65; RelDemand=100.0; Capacity=40.0</x:v>
      </x:c>
    </x:row>
    <x:row r="4312">
      <x:c r="A4312" t="n">
        <x:v>4309</x:v>
      </x:c>
      <x:c r="B4312" t="str">
        <x:v>PTN Vokasi</x:v>
      </x:c>
      <x:c r="C4312" t="str">
        <x:v>POLITEKNIK NEGERI JEMBER</x:v>
      </x:c>
      <x:c r="D4312" t="str">
        <x:v>MESIN OTOMOTIF</x:v>
      </x:c>
      <x:c r="E4312" t="str">
        <x:v>Sarjana Terapan</x:v>
      </x:c>
      <x:c r="F4312" s="18" t="n">
        <x:v>48</x:v>
      </x:c>
      <x:c r="G4312" s="18" t="n">
        <x:v>181</x:v>
      </x:c>
      <x:c r="H4312" s="19" t="n">
        <x:v>3.7708333333333335</x:v>
      </x:c>
      <x:c r="I4312" s="18" t="n">
        <x:f>ROUND(MIN(Model_Config_v3!$B$6,MAX(Q4312,R4312,S4312*Model_Config_v3!$B$4+T4312*Model_Config_v3!$B$5)),0)</x:f>
        <x:v>633</x:v>
      </x:c>
      <x:c r="J4312" s="18" t="n">
        <x:f>MIN(Model_Config_v3!$B$6,I4312+Model_Config_v3!$B$7)</x:f>
        <x:v>653</x:v>
      </x:c>
      <x:c r="K4312" s="20" t="n">
        <x:v>46.8</x:v>
      </x:c>
      <x:c r="L4312" t="str">
        <x:v>MENENGAH</x:v>
      </x:c>
      <x:c r="M4312" t="str">
        <x:v>SEDANG</x:v>
      </x:c>
      <x:c r="N4312" t="str">
        <x:v>REGULER</x:v>
      </x:c>
      <x:c r="O4312" t="str">
        <x:v>CAMPURAN</x:v>
      </x:c>
      <x:c r="P4312" t="str">
        <x:v>UMUM</x:v>
      </x:c>
      <x:c r="Q4312" s="18" t="n">
        <x:v>0</x:v>
      </x:c>
      <x:c r="R4312" s="18" t="n">
        <x:v>0</x:v>
      </x:c>
      <x:c r="S4312" s="18" t="n">
        <x:v>583.4081071242957</x:v>
      </x:c>
      <x:c r="T4312" s="18" t="n">
        <x:v>654</x:v>
      </x:c>
      <x:c r="U4312" s="18" t="n">
        <x:v>583.4081071242957</x:v>
      </x:c>
      <x:c r="V4312" s="20" t="n">
        <x:v>8.8</x:v>
      </x:c>
      <x:c r="W4312" s="20" t="n">
        <x:v>9.9</x:v>
      </x:c>
      <x:c r="X4312" s="20" t="n">
        <x:v>3.3</x:v>
      </x:c>
      <x:c r="Y4312" t="str">
        <x:v>Basis arsip 2025/2024</x:v>
      </x:c>
      <x:c r="Z4312" t="str">
        <x:v>https://snpmb.id/utbk-snbt/daya-tampung-snbt</x:v>
      </x:c>
      <x:c r="AA4312" t="str">
        <x:v>Tidak Ada</x:v>
      </x:c>
      <x:c r="AB4312" t="str">
        <x:v>Campus=55; Ratio=33.9; Prodi=40; RelDemand=50.2; Capacity=60.0</x:v>
      </x:c>
    </x:row>
    <x:row r="4313">
      <x:c r="A4313" t="n">
        <x:v>4310</x:v>
      </x:c>
      <x:c r="B4313" t="str">
        <x:v>PTN Vokasi</x:v>
      </x:c>
      <x:c r="C4313" t="str">
        <x:v>POLITEKNIK NEGERI JEMBER</x:v>
      </x:c>
      <x:c r="D4313" t="str">
        <x:v>BUDIDAYA TANAMAN PERKEBUNAN</x:v>
      </x:c>
      <x:c r="E4313" t="str">
        <x:v>Sarjana Terapan</x:v>
      </x:c>
      <x:c r="F4313" s="18" t="n">
        <x:v>36</x:v>
      </x:c>
      <x:c r="G4313" s="18" t="n">
        <x:v>97</x:v>
      </x:c>
      <x:c r="H4313" s="19" t="n">
        <x:v>2.6944444444444446</x:v>
      </x:c>
      <x:c r="I4313" s="18" t="n">
        <x:f>ROUND(MIN(Model_Config_v3!$B$6,MAX(Q4313,R4313,S4313*Model_Config_v3!$B$4+T4313*Model_Config_v3!$B$5)),0)</x:f>
        <x:v>624</x:v>
      </x:c>
      <x:c r="J4313" s="18" t="n">
        <x:f>MIN(Model_Config_v3!$B$6,I4313+Model_Config_v3!$B$7)</x:f>
        <x:v>644</x:v>
      </x:c>
      <x:c r="K4313" s="20" t="n">
        <x:v>44.2</x:v>
      </x:c>
      <x:c r="L4313" t="str">
        <x:v>RELATIF LONGGAR</x:v>
      </x:c>
      <x:c r="M4313" t="str">
        <x:v>SEDANG</x:v>
      </x:c>
      <x:c r="N4313" t="str">
        <x:v>REGULER</x:v>
      </x:c>
      <x:c r="O4313" t="str">
        <x:v>CAMPURAN</x:v>
      </x:c>
      <x:c r="P4313" t="str">
        <x:v>UMUM</x:v>
      </x:c>
      <x:c r="Q4313" s="18" t="n">
        <x:v>0</x:v>
      </x:c>
      <x:c r="R4313" s="18" t="n">
        <x:v>0</x:v>
      </x:c>
      <x:c r="S4313" s="18" t="n">
        <x:v>567.3516156848854</x:v>
      </x:c>
      <x:c r="T4313" s="18" t="n">
        <x:v>648</x:v>
      </x:c>
      <x:c r="U4313" s="18" t="n">
        <x:v>567.3516156848854</x:v>
      </x:c>
      <x:c r="V4313" s="20" t="n">
        <x:v>8.8</x:v>
      </x:c>
      <x:c r="W4313" s="20" t="n">
        <x:v>9.9</x:v>
      </x:c>
      <x:c r="X4313" s="20" t="n">
        <x:v>3.3</x:v>
      </x:c>
      <x:c r="Y4313" t="str">
        <x:v>Basis arsip 2025/2024</x:v>
      </x:c>
      <x:c r="Z4313" t="str">
        <x:v>https://snpmb.id/utbk-snbt/daya-tampung-snbt</x:v>
      </x:c>
      <x:c r="AA4313" t="str">
        <x:v>Tidak Ada</x:v>
      </x:c>
      <x:c r="AB4313" t="str">
        <x:v>Campus=55; Ratio=25.3; Prodi=40; RelDemand=35.9; Capacity=70.0</x:v>
      </x:c>
    </x:row>
    <x:row r="4314">
      <x:c r="A4314" t="n">
        <x:v>4311</x:v>
      </x:c>
      <x:c r="B4314" t="str">
        <x:v>PTN Vokasi</x:v>
      </x:c>
      <x:c r="C4314" t="str">
        <x:v>POLITEKNIK NEGERI JEMBER</x:v>
      </x:c>
      <x:c r="D4314" t="str">
        <x:v>TEKNOLOGI REKAYASA PANGAN</x:v>
      </x:c>
      <x:c r="E4314" t="str">
        <x:v>Sarjana Terapan</x:v>
      </x:c>
      <x:c r="F4314" s="18" t="n">
        <x:v>48</x:v>
      </x:c>
      <x:c r="G4314" s="18" t="n">
        <x:v>182</x:v>
      </x:c>
      <x:c r="H4314" s="19" t="n">
        <x:v>3.7916666666666665</x:v>
      </x:c>
      <x:c r="I4314" s="18" t="n">
        <x:f>ROUND(MIN(Model_Config_v3!$B$6,MAX(Q4314,R4314,S4314*Model_Config_v3!$B$4+T4314*Model_Config_v3!$B$5)),0)</x:f>
        <x:v>633</x:v>
      </x:c>
      <x:c r="J4314" s="18" t="n">
        <x:f>MIN(Model_Config_v3!$B$6,I4314+Model_Config_v3!$B$7)</x:f>
        <x:v>653</x:v>
      </x:c>
      <x:c r="K4314" s="20" t="n">
        <x:v>46.8</x:v>
      </x:c>
      <x:c r="L4314" t="str">
        <x:v>MENENGAH</x:v>
      </x:c>
      <x:c r="M4314" t="str">
        <x:v>SEDANG</x:v>
      </x:c>
      <x:c r="N4314" t="str">
        <x:v>REGULER</x:v>
      </x:c>
      <x:c r="O4314" t="str">
        <x:v>SAINTEK</x:v>
      </x:c>
      <x:c r="P4314" t="str">
        <x:v>UMUM</x:v>
      </x:c>
      <x:c r="Q4314" s="18" t="n">
        <x:v>0</x:v>
      </x:c>
      <x:c r="R4314" s="18" t="n">
        <x:v>0</x:v>
      </x:c>
      <x:c r="S4314" s="18" t="n">
        <x:v>583.6713165670436</x:v>
      </x:c>
      <x:c r="T4314" s="18" t="n">
        <x:v>654</x:v>
      </x:c>
      <x:c r="U4314" s="18" t="n">
        <x:v>583.6713165670436</x:v>
      </x:c>
      <x:c r="V4314" s="20" t="n">
        <x:v>12</x:v>
      </x:c>
      <x:c r="W4314" s="20" t="n">
        <x:v>5</x:v>
      </x:c>
      <x:c r="X4314" s="20" t="n">
        <x:v>3</x:v>
      </x:c>
      <x:c r="Y4314" t="str">
        <x:v>Basis arsip 2025/2024</x:v>
      </x:c>
      <x:c r="Z4314" t="str">
        <x:v>https://snpmb.id/utbk-snbt/daya-tampung-snbt</x:v>
      </x:c>
      <x:c r="AA4314" t="str">
        <x:v>Tidak Ada</x:v>
      </x:c>
      <x:c r="AB4314" t="str">
        <x:v>Campus=55; Ratio=34.1; Prodi=40; RelDemand=50.5; Capacity=60.0</x:v>
      </x:c>
    </x:row>
    <x:row r="4315">
      <x:c r="A4315" t="n">
        <x:v>4312</x:v>
      </x:c>
      <x:c r="B4315" t="str">
        <x:v>PTN Vokasi</x:v>
      </x:c>
      <x:c r="C4315" t="str">
        <x:v>POLITEKNIK NEGERI JEMBER</x:v>
      </x:c>
      <x:c r="D4315" t="str">
        <x:v>PENGELOLAAN PERKEBUNAN KOPI</x:v>
      </x:c>
      <x:c r="E4315" t="str">
        <x:v>Sarjana Terapan</x:v>
      </x:c>
      <x:c r="F4315" s="18" t="n">
        <x:v>24</x:v>
      </x:c>
      <x:c r="G4315" s="18" t="n">
        <x:v>23</x:v>
      </x:c>
      <x:c r="H4315" s="19" t="n">
        <x:v>0.9583333333333334</x:v>
      </x:c>
      <x:c r="I4315" s="18" t="n">
        <x:f>ROUND(MIN(Model_Config_v3!$B$6,MAX(Q4315,R4315,S4315*Model_Config_v3!$B$4+T4315*Model_Config_v3!$B$5)),0)</x:f>
        <x:v>599</x:v>
      </x:c>
      <x:c r="J4315" s="18" t="n">
        <x:f>MIN(Model_Config_v3!$B$6,I4315+Model_Config_v3!$B$7)</x:f>
        <x:v>619</x:v>
      </x:c>
      <x:c r="K4315" s="20" t="n">
        <x:v>36.5</x:v>
      </x:c>
      <x:c r="L4315" t="str">
        <x:v>RELATIF LONGGAR</x:v>
      </x:c>
      <x:c r="M4315" t="str">
        <x:v>SEDANG</x:v>
      </x:c>
      <x:c r="N4315" t="str">
        <x:v>REGULER</x:v>
      </x:c>
      <x:c r="O4315" t="str">
        <x:v>CAMPURAN</x:v>
      </x:c>
      <x:c r="P4315" t="str">
        <x:v>UMUM</x:v>
      </x:c>
      <x:c r="Q4315" s="18" t="n">
        <x:v>0</x:v>
      </x:c>
      <x:c r="R4315" s="18" t="n">
        <x:v>0</x:v>
      </x:c>
      <x:c r="S4315" s="18" t="n">
        <x:v>520</x:v>
      </x:c>
      <x:c r="T4315" s="18" t="n">
        <x:v>633</x:v>
      </x:c>
      <x:c r="U4315" s="18" t="n">
        <x:v>520</x:v>
      </x:c>
      <x:c r="V4315" s="20" t="n">
        <x:v>8.8</x:v>
      </x:c>
      <x:c r="W4315" s="20" t="n">
        <x:v>9.9</x:v>
      </x:c>
      <x:c r="X4315" s="20" t="n">
        <x:v>3.3</x:v>
      </x:c>
      <x:c r="Y4315" t="str">
        <x:v>Basis arsip 2025/2024</x:v>
      </x:c>
      <x:c r="Z4315" t="str">
        <x:v>https://snpmb.id/utbk-snbt/daya-tampung-snbt</x:v>
      </x:c>
      <x:c r="AA4315" t="str">
        <x:v>Tidak Ada</x:v>
      </x:c>
      <x:c r="AB4315" t="str">
        <x:v>Campus=55; Ratio=0.0; Prodi=40; RelDemand=12.8; Capacity=80.0</x:v>
      </x:c>
    </x:row>
    <x:row r="4316">
      <x:c r="A4316" t="n">
        <x:v>4313</x:v>
      </x:c>
      <x:c r="B4316" t="str">
        <x:v>PTN Vokasi</x:v>
      </x:c>
      <x:c r="C4316" t="str">
        <x:v>POLITEKNIK NEGERI JEMBER</x:v>
      </x:c>
      <x:c r="D4316" t="str">
        <x:v>TEKNOLOGI REKAYASA MEKATRONIKA</x:v>
      </x:c>
      <x:c r="E4316" t="str">
        <x:v>Sarjana Terapan</x:v>
      </x:c>
      <x:c r="F4316" s="18" t="n">
        <x:v>48</x:v>
      </x:c>
      <x:c r="G4316" s="18" t="n">
        <x:v>56</x:v>
      </x:c>
      <x:c r="H4316" s="19" t="n">
        <x:v>1.1666666666666667</x:v>
      </x:c>
      <x:c r="I4316" s="18" t="n">
        <x:f>ROUND(MIN(Model_Config_v3!$B$6,MAX(Q4316,R4316,S4316*Model_Config_v3!$B$4+T4316*Model_Config_v3!$B$5)),0)</x:f>
        <x:v>601</x:v>
      </x:c>
      <x:c r="J4316" s="18" t="n">
        <x:f>MIN(Model_Config_v3!$B$6,I4316+Model_Config_v3!$B$7)</x:f>
        <x:v>621</x:v>
      </x:c>
      <x:c r="K4316" s="20" t="n">
        <x:v>35.8</x:v>
      </x:c>
      <x:c r="L4316" t="str">
        <x:v>RELATIF LONGGAR</x:v>
      </x:c>
      <x:c r="M4316" t="str">
        <x:v>SEDANG</x:v>
      </x:c>
      <x:c r="N4316" t="str">
        <x:v>REGULER</x:v>
      </x:c>
      <x:c r="O4316" t="str">
        <x:v>SAINTEK</x:v>
      </x:c>
      <x:c r="P4316" t="str">
        <x:v>UMUM</x:v>
      </x:c>
      <x:c r="Q4316" s="18" t="n">
        <x:v>0</x:v>
      </x:c>
      <x:c r="R4316" s="18" t="n">
        <x:v>0</x:v>
      </x:c>
      <x:c r="S4316" s="18" t="n">
        <x:v>527.3641468593675</x:v>
      </x:c>
      <x:c r="T4316" s="18" t="n">
        <x:v>632</x:v>
      </x:c>
      <x:c r="U4316" s="18" t="n">
        <x:v>527.3641468593675</x:v>
      </x:c>
      <x:c r="V4316" s="20" t="n">
        <x:v>12</x:v>
      </x:c>
      <x:c r="W4316" s="20" t="n">
        <x:v>5</x:v>
      </x:c>
      <x:c r="X4316" s="20" t="n">
        <x:v>3</x:v>
      </x:c>
      <x:c r="Y4316" t="str">
        <x:v>Basis arsip 2025/2024</x:v>
      </x:c>
      <x:c r="Z4316" t="str">
        <x:v>https://snpmb.id/utbk-snbt/daya-tampung-snbt</x:v>
      </x:c>
      <x:c r="AA4316" t="str">
        <x:v>Tidak Ada</x:v>
      </x:c>
      <x:c r="AB4316" t="str">
        <x:v>Campus=55; Ratio=3.9; Prodi=40; RelDemand=15.5; Capacity=60.0</x:v>
      </x:c>
    </x:row>
    <x:row r="4317">
      <x:c r="A4317" t="n">
        <x:v>4314</x:v>
      </x:c>
      <x:c r="B4317" t="str">
        <x:v>PTN Vokasi</x:v>
      </x:c>
      <x:c r="C4317" t="str">
        <x:v>POLITEKNIK NEGERI JEMBER</x:v>
      </x:c>
      <x:c r="D4317" t="str">
        <x:v>PSDKU TEKNIK INFORMATIKA KAB. NGANJUK</x:v>
      </x:c>
      <x:c r="E4317" t="str">
        <x:v>Sarjana Terapan</x:v>
      </x:c>
      <x:c r="F4317" s="18" t="n">
        <x:v>36</x:v>
      </x:c>
      <x:c r="G4317" s="18" t="n">
        <x:v>49</x:v>
      </x:c>
      <x:c r="H4317" s="19" t="n">
        <x:v>1.3611111111111112</x:v>
      </x:c>
      <x:c r="I4317" s="18" t="n">
        <x:f>ROUND(MIN(Model_Config_v3!$B$6,MAX(Q4317,R4317,S4317*Model_Config_v3!$B$4+T4317*Model_Config_v3!$B$5)),0)</x:f>
        <x:v>618</x:v>
      </x:c>
      <x:c r="J4317" s="18" t="n">
        <x:f>MIN(Model_Config_v3!$B$6,I4317+Model_Config_v3!$B$7)</x:f>
        <x:v>638</x:v>
      </x:c>
      <x:c r="K4317" s="20" t="n">
        <x:v>47</x:v>
      </x:c>
      <x:c r="L4317" t="str">
        <x:v>MENENGAH</x:v>
      </x:c>
      <x:c r="M4317" t="str">
        <x:v>SEDANG+</x:v>
      </x:c>
      <x:c r="N4317" t="str">
        <x:v>REGULER</x:v>
      </x:c>
      <x:c r="O4317" t="str">
        <x:v>SAINTEK</x:v>
      </x:c>
      <x:c r="P4317" t="str">
        <x:v>KOMPUTER/INFORMATIKA</x:v>
      </x:c>
      <x:c r="Q4317" s="18" t="n">
        <x:v>0</x:v>
      </x:c>
      <x:c r="R4317" s="18" t="n">
        <x:v>0</x:v>
      </x:c>
      <x:c r="S4317" s="18" t="n">
        <x:v>534.7282937187349</x:v>
      </x:c>
      <x:c r="T4317" s="18" t="n">
        <x:v>654</x:v>
      </x:c>
      <x:c r="U4317" s="18" t="n">
        <x:v>559.7282937187349</x:v>
      </x:c>
      <x:c r="V4317" s="20" t="n">
        <x:v>12</x:v>
      </x:c>
      <x:c r="W4317" s="20" t="n">
        <x:v>5</x:v>
      </x:c>
      <x:c r="X4317" s="20" t="n">
        <x:v>3</x:v>
      </x:c>
      <x:c r="Y4317" t="str">
        <x:v>Basis arsip 2025/2024</x:v>
      </x:c>
      <x:c r="Z4317" t="str">
        <x:v>https://snpmb.id/utbk-snbt/daya-tampung-snbt</x:v>
      </x:c>
      <x:c r="AA4317" t="str">
        <x:v>Tidak Ada</x:v>
      </x:c>
      <x:c r="AB4317" t="str">
        <x:v>Campus=55; Ratio=7.9; Prodi=85; RelDemand=18.1; Capacity=70.0</x:v>
      </x:c>
    </x:row>
    <x:row r="4318">
      <x:c r="A4318" t="n">
        <x:v>4315</x:v>
      </x:c>
      <x:c r="B4318" t="str">
        <x:v>PTN Vokasi</x:v>
      </x:c>
      <x:c r="C4318" t="str">
        <x:v>POLITEKNIK NEGERI JEMBER</x:v>
      </x:c>
      <x:c r="D4318" t="str">
        <x:v>TEKNOLOGI PAKAN TERNAK</x:v>
      </x:c>
      <x:c r="E4318" t="str">
        <x:v>Sarjana Terapan</x:v>
      </x:c>
      <x:c r="F4318" s="18" t="n">
        <x:v>36</x:v>
      </x:c>
      <x:c r="G4318" s="18" t="n">
        <x:v>67</x:v>
      </x:c>
      <x:c r="H4318" s="19" t="n">
        <x:v>1.8611111111111112</x:v>
      </x:c>
      <x:c r="I4318" s="18" t="n">
        <x:f>ROUND(MIN(Model_Config_v3!$B$6,MAX(Q4318,R4318,S4318*Model_Config_v3!$B$4+T4318*Model_Config_v3!$B$5)),0)</x:f>
        <x:v>614</x:v>
      </x:c>
      <x:c r="J4318" s="18" t="n">
        <x:f>MIN(Model_Config_v3!$B$6,I4318+Model_Config_v3!$B$7)</x:f>
        <x:v>634</x:v>
      </x:c>
      <x:c r="K4318" s="20" t="n">
        <x:v>40.7</x:v>
      </x:c>
      <x:c r="L4318" t="str">
        <x:v>RELATIF LONGGAR</x:v>
      </x:c>
      <x:c r="M4318" t="str">
        <x:v>SEDANG</x:v>
      </x:c>
      <x:c r="N4318" t="str">
        <x:v>REGULER</x:v>
      </x:c>
      <x:c r="O4318" t="str">
        <x:v>SAINTEK</x:v>
      </x:c>
      <x:c r="P4318" t="str">
        <x:v>UMUM</x:v>
      </x:c>
      <x:c r="Q4318" s="18" t="n">
        <x:v>0</x:v>
      </x:c>
      <x:c r="R4318" s="18" t="n">
        <x:v>0</x:v>
      </x:c>
      <x:c r="S4318" s="18" t="n">
        <x:v>549.6749532126893</x:v>
      </x:c>
      <x:c r="T4318" s="18" t="n">
        <x:v>641</x:v>
      </x:c>
      <x:c r="U4318" s="18" t="n">
        <x:v>549.6749532126893</x:v>
      </x:c>
      <x:c r="V4318" s="20" t="n">
        <x:v>12</x:v>
      </x:c>
      <x:c r="W4318" s="20" t="n">
        <x:v>5</x:v>
      </x:c>
      <x:c r="X4318" s="20" t="n">
        <x:v>3</x:v>
      </x:c>
      <x:c r="Y4318" t="str">
        <x:v>Basis arsip 2025/2024</x:v>
      </x:c>
      <x:c r="Z4318" t="str">
        <x:v>https://snpmb.id/utbk-snbt/daya-tampung-snbt</x:v>
      </x:c>
      <x:c r="AA4318" t="str">
        <x:v>Tidak Ada</x:v>
      </x:c>
      <x:c r="AB4318" t="str">
        <x:v>Campus=55; Ratio=15.9; Prodi=40; RelDemand=24.8; Capacity=70.0</x:v>
      </x:c>
    </x:row>
    <x:row r="4319">
      <x:c r="A4319" t="n">
        <x:v>4316</x:v>
      </x:c>
      <x:c r="B4319" t="str">
        <x:v>PTN Vokasi</x:v>
      </x:c>
      <x:c r="C4319" t="str">
        <x:v>POLITEKNIK NEGERI JEMBER</x:v>
      </x:c>
      <x:c r="D4319" t="str">
        <x:v>PSDKU MANAJEMEN AGROINDUSTRI KAB. SIDOARJO</x:v>
      </x:c>
      <x:c r="E4319" t="str">
        <x:v>Sarjana Terapan</x:v>
      </x:c>
      <x:c r="F4319" s="18" t="n">
        <x:v>24</x:v>
      </x:c>
      <x:c r="G4319" s="18" t="n">
        <x:v>28</x:v>
      </x:c>
      <x:c r="H4319" s="19" t="n">
        <x:v>1.1666666666666667</x:v>
      </x:c>
      <x:c r="I4319" s="18" t="n">
        <x:f>ROUND(MIN(Model_Config_v3!$B$6,MAX(Q4319,R4319,S4319*Model_Config_v3!$B$4+T4319*Model_Config_v3!$B$5)),0)</x:f>
        <x:v>610</x:v>
      </x:c>
      <x:c r="J4319" s="18" t="n">
        <x:f>MIN(Model_Config_v3!$B$6,I4319+Model_Config_v3!$B$7)</x:f>
        <x:v>630</x:v>
      </x:c>
      <x:c r="K4319" s="20" t="n">
        <x:v>42.8</x:v>
      </x:c>
      <x:c r="L4319" t="str">
        <x:v>RELATIF LONGGAR</x:v>
      </x:c>
      <x:c r="M4319" t="str">
        <x:v>SEDANG+</x:v>
      </x:c>
      <x:c r="N4319" t="str">
        <x:v>REGULER</x:v>
      </x:c>
      <x:c r="O4319" t="str">
        <x:v>SOSHUM</x:v>
      </x:c>
      <x:c r="P4319" t="str">
        <x:v>BISNIS/EKONOMI/AKUNTANSI</x:v>
      </x:c>
      <x:c r="Q4319" s="18" t="n">
        <x:v>0</x:v>
      </x:c>
      <x:c r="R4319" s="18" t="n">
        <x:v>0</x:v>
      </x:c>
      <x:c r="S4319" s="18" t="n">
        <x:v>527.3641468593675</x:v>
      </x:c>
      <x:c r="T4319" s="18" t="n">
        <x:v>646</x:v>
      </x:c>
      <x:c r="U4319" s="18" t="n">
        <x:v>542.3641468593675</x:v>
      </x:c>
      <x:c r="V4319" s="20" t="n">
        <x:v>4.4</x:v>
      </x:c>
      <x:c r="W4319" s="20" t="n">
        <x:v>14.3</x:v>
      </x:c>
      <x:c r="X4319" s="20" t="n">
        <x:v>3.3</x:v>
      </x:c>
      <x:c r="Y4319" t="str">
        <x:v>Basis arsip 2025/2024</x:v>
      </x:c>
      <x:c r="Z4319" t="str">
        <x:v>https://snpmb.id/utbk-snbt/daya-tampung-snbt</x:v>
      </x:c>
      <x:c r="AA4319" t="str">
        <x:v>Tidak Ada</x:v>
      </x:c>
      <x:c r="AB4319" t="str">
        <x:v>Campus=55; Ratio=3.9; Prodi=65; RelDemand=15.5; Capacity=80.0</x:v>
      </x:c>
    </x:row>
    <x:row r="4320">
      <x:c r="A4320" t="n">
        <x:v>4317</x:v>
      </x:c>
      <x:c r="B4320" t="str">
        <x:v>PTN Vokasi</x:v>
      </x:c>
      <x:c r="C4320" t="str">
        <x:v>POLITEKNIK NEGERI JEMBER</x:v>
      </x:c>
      <x:c r="D4320" t="str">
        <x:v>PSDKU TEKNIK INFORMATIKA KAB. SIDOARJO</x:v>
      </x:c>
      <x:c r="E4320" t="str">
        <x:v>Sarjana Terapan</x:v>
      </x:c>
      <x:c r="F4320" s="18" t="n">
        <x:v>36</x:v>
      </x:c>
      <x:c r="G4320" s="18" t="n">
        <x:v>56</x:v>
      </x:c>
      <x:c r="H4320" s="19" t="n">
        <x:v>1.5555555555555556</x:v>
      </x:c>
      <x:c r="I4320" s="18" t="n">
        <x:f>ROUND(MIN(Model_Config_v3!$B$6,MAX(Q4320,R4320,S4320*Model_Config_v3!$B$4+T4320*Model_Config_v3!$B$5)),0)</x:f>
        <x:v>622</x:v>
      </x:c>
      <x:c r="J4320" s="18" t="n">
        <x:f>MIN(Model_Config_v3!$B$6,I4320+Model_Config_v3!$B$7)</x:f>
        <x:v>642</x:v>
      </x:c>
      <x:c r="K4320" s="20" t="n">
        <x:v>48.1</x:v>
      </x:c>
      <x:c r="L4320" t="str">
        <x:v>MENENGAH</x:v>
      </x:c>
      <x:c r="M4320" t="str">
        <x:v>SEDANG+</x:v>
      </x:c>
      <x:c r="N4320" t="str">
        <x:v>REGULER</x:v>
      </x:c>
      <x:c r="O4320" t="str">
        <x:v>SAINTEK</x:v>
      </x:c>
      <x:c r="P4320" t="str">
        <x:v>KOMPUTER/INFORMATIKA</x:v>
      </x:c>
      <x:c r="Q4320" s="18" t="n">
        <x:v>0</x:v>
      </x:c>
      <x:c r="R4320" s="18" t="n">
        <x:v>0</x:v>
      </x:c>
      <x:c r="S4320" s="18" t="n">
        <x:v>541.1074078862805</x:v>
      </x:c>
      <x:c r="T4320" s="18" t="n">
        <x:v>656</x:v>
      </x:c>
      <x:c r="U4320" s="18" t="n">
        <x:v>566.1074078862805</x:v>
      </x:c>
      <x:c r="V4320" s="20" t="n">
        <x:v>12</x:v>
      </x:c>
      <x:c r="W4320" s="20" t="n">
        <x:v>5</x:v>
      </x:c>
      <x:c r="X4320" s="20" t="n">
        <x:v>3</x:v>
      </x:c>
      <x:c r="Y4320" t="str">
        <x:v>Basis arsip 2025/2024</x:v>
      </x:c>
      <x:c r="Z4320" t="str">
        <x:v>https://snpmb.id/utbk-snbt/daya-tampung-snbt</x:v>
      </x:c>
      <x:c r="AA4320" t="str">
        <x:v>Tidak Ada</x:v>
      </x:c>
      <x:c r="AB4320" t="str">
        <x:v>Campus=55; Ratio=11.3; Prodi=85; RelDemand=20.7; Capacity=70.0</x:v>
      </x:c>
    </x:row>
    <x:row r="4321">
      <x:c r="A4321" t="n">
        <x:v>4318</x:v>
      </x:c>
      <x:c r="B4321" t="str">
        <x:v>PTN Vokasi</x:v>
      </x:c>
      <x:c r="C4321" t="str">
        <x:v>POLITEKNIK NEGERI JEMBER</x:v>
      </x:c>
      <x:c r="D4321" t="str">
        <x:v>PROMOSI KESEHATAN</x:v>
      </x:c>
      <x:c r="E4321" t="str">
        <x:v>Sarjana Terapan</x:v>
      </x:c>
      <x:c r="F4321" s="18" t="n">
        <x:v>48</x:v>
      </x:c>
      <x:c r="G4321" s="18" t="n">
        <x:v>149</x:v>
      </x:c>
      <x:c r="H4321" s="19" t="n">
        <x:v>3.1041666666666665</x:v>
      </x:c>
      <x:c r="I4321" s="18" t="n">
        <x:f>ROUND(MIN(Model_Config_v3!$B$6,MAX(Q4321,R4321,S4321*Model_Config_v3!$B$4+T4321*Model_Config_v3!$B$5)),0)</x:f>
        <x:v>631</x:v>
      </x:c>
      <x:c r="J4321" s="18" t="n">
        <x:f>MIN(Model_Config_v3!$B$6,I4321+Model_Config_v3!$B$7)</x:f>
        <x:v>651</x:v>
      </x:c>
      <x:c r="K4321" s="20" t="n">
        <x:v>47.6</x:v>
      </x:c>
      <x:c r="L4321" t="str">
        <x:v>MENENGAH</x:v>
      </x:c>
      <x:c r="M4321" t="str">
        <x:v>SEDANG+</x:v>
      </x:c>
      <x:c r="N4321" t="str">
        <x:v>REGULER</x:v>
      </x:c>
      <x:c r="O4321" t="str">
        <x:v>SAINTEK</x:v>
      </x:c>
      <x:c r="P4321" t="str">
        <x:v>KESEHAT/GIZI/KEPERAWATAN</x:v>
      </x:c>
      <x:c r="Q4321" s="18" t="n">
        <x:v>0</x:v>
      </x:c>
      <x:c r="R4321" s="18" t="n">
        <x:v>0</x:v>
      </x:c>
      <x:c r="S4321" s="18" t="n">
        <x:v>574.1139534140356</x:v>
      </x:c>
      <x:c r="T4321" s="18" t="n">
        <x:v>655</x:v>
      </x:c>
      <x:c r="U4321" s="18" t="n">
        <x:v>574.1139534140356</x:v>
      </x:c>
      <x:c r="V4321" s="20" t="n">
        <x:v>12</x:v>
      </x:c>
      <x:c r="W4321" s="20" t="n">
        <x:v>5</x:v>
      </x:c>
      <x:c r="X4321" s="20" t="n">
        <x:v>3</x:v>
      </x:c>
      <x:c r="Y4321" t="str">
        <x:v>Basis arsip 2025/2024</x:v>
      </x:c>
      <x:c r="Z4321" t="str">
        <x:v>https://snpmb.id/utbk-snbt/daya-tampung-snbt</x:v>
      </x:c>
      <x:c r="AA4321" t="str">
        <x:v>Tidak Ada</x:v>
      </x:c>
      <x:c r="AB4321" t="str">
        <x:v>Campus=55; Ratio=29.0; Prodi=55; RelDemand=41.3; Capacity=60.0</x:v>
      </x:c>
    </x:row>
    <x:row r="4322">
      <x:c r="A4322" t="n">
        <x:v>4319</x:v>
      </x:c>
      <x:c r="B4322" t="str">
        <x:v>PTN Vokasi</x:v>
      </x:c>
      <x:c r="C4322" t="str">
        <x:v>POLITEKNIK NEGERI JEMBER</x:v>
      </x:c>
      <x:c r="D4322" t="str">
        <x:v>BISNIS DIGITAL</x:v>
      </x:c>
      <x:c r="E4322" t="str">
        <x:v>Sarjana Terapan</x:v>
      </x:c>
      <x:c r="F4322" s="18" t="n">
        <x:v>48</x:v>
      </x:c>
      <x:c r="G4322" s="18" t="n">
        <x:v>222</x:v>
      </x:c>
      <x:c r="H4322" s="19" t="n">
        <x:v>4.625</x:v>
      </x:c>
      <x:c r="I4322" s="18" t="n">
        <x:f>ROUND(MIN(Model_Config_v3!$B$6,MAX(Q4322,R4322,S4322*Model_Config_v3!$B$4+T4322*Model_Config_v3!$B$5)),0)</x:f>
        <x:v>646</x:v>
      </x:c>
      <x:c r="J4322" s="18" t="n">
        <x:f>MIN(Model_Config_v3!$B$6,I4322+Model_Config_v3!$B$7)</x:f>
        <x:v>666</x:v>
      </x:c>
      <x:c r="K4322" s="20" t="n">
        <x:v>54.2</x:v>
      </x:c>
      <x:c r="L4322" t="str">
        <x:v>MENENGAH</x:v>
      </x:c>
      <x:c r="M4322" t="str">
        <x:v>SEDANG+</x:v>
      </x:c>
      <x:c r="N4322" t="str">
        <x:v>REGULER</x:v>
      </x:c>
      <x:c r="O4322" t="str">
        <x:v>SOSHUM</x:v>
      </x:c>
      <x:c r="P4322" t="str">
        <x:v>BISNIS/EKONOMI/AKUNTANSI</x:v>
      </x:c>
      <x:c r="Q4322" s="18" t="n">
        <x:v>0</x:v>
      </x:c>
      <x:c r="R4322" s="18" t="n">
        <x:v>0</x:v>
      </x:c>
      <x:c r="S4322" s="18" t="n">
        <x:v>593.1622910782556</x:v>
      </x:c>
      <x:c r="T4322" s="18" t="n">
        <x:v>668</x:v>
      </x:c>
      <x:c r="U4322" s="18" t="n">
        <x:v>608.1622910782556</x:v>
      </x:c>
      <x:c r="V4322" s="20" t="n">
        <x:v>4.4</x:v>
      </x:c>
      <x:c r="W4322" s="20" t="n">
        <x:v>14.3</x:v>
      </x:c>
      <x:c r="X4322" s="20" t="n">
        <x:v>3.3</x:v>
      </x:c>
      <x:c r="Y4322" t="str">
        <x:v>Basis arsip 2025/2024</x:v>
      </x:c>
      <x:c r="Z4322" t="str">
        <x:v>https://snpmb.id/utbk-snbt/daya-tampung-snbt</x:v>
      </x:c>
      <x:c r="AA4322" t="str">
        <x:v>Tidak Ada</x:v>
      </x:c>
      <x:c r="AB4322" t="str">
        <x:v>Campus=55; Ratio=39.1; Prodi=65; RelDemand=61.6; Capacity=60.0</x:v>
      </x:c>
    </x:row>
    <x:row r="4323">
      <x:c r="A4323" t="n">
        <x:v>4320</x:v>
      </x:c>
      <x:c r="B4323" t="str">
        <x:v>PTN Vokasi</x:v>
      </x:c>
      <x:c r="C4323" t="str">
        <x:v>POLITEKNIK NEGERI JEMBER</x:v>
      </x:c>
      <x:c r="D4323" t="str">
        <x:v>AKUNTANSI SEKTOR PUBLIK</x:v>
      </x:c>
      <x:c r="E4323" t="str">
        <x:v>Sarjana Terapan</x:v>
      </x:c>
      <x:c r="F4323" s="18" t="n">
        <x:v>60</x:v>
      </x:c>
      <x:c r="G4323" s="18" t="n">
        <x:v>282</x:v>
      </x:c>
      <x:c r="H4323" s="19" t="n">
        <x:v>4.7</x:v>
      </x:c>
      <x:c r="I4323" s="18" t="n">
        <x:f>ROUND(MIN(Model_Config_v3!$B$6,MAX(Q4323,R4323,S4323*Model_Config_v3!$B$4+T4323*Model_Config_v3!$B$5)),0)</x:f>
        <x:v>645</x:v>
      </x:c>
      <x:c r="J4323" s="18" t="n">
        <x:f>MIN(Model_Config_v3!$B$6,I4323+Model_Config_v3!$B$7)</x:f>
        <x:v>665</x:v>
      </x:c>
      <x:c r="K4323" s="20" t="n">
        <x:v>53.4</x:v>
      </x:c>
      <x:c r="L4323" t="str">
        <x:v>MENENGAH</x:v>
      </x:c>
      <x:c r="M4323" t="str">
        <x:v>SEDANG+</x:v>
      </x:c>
      <x:c r="N4323" t="str">
        <x:v>REGULER</x:v>
      </x:c>
      <x:c r="O4323" t="str">
        <x:v>SOSHUM</x:v>
      </x:c>
      <x:c r="P4323" t="str">
        <x:v>BISNIS/EKONOMI/AKUNTANSI</x:v>
      </x:c>
      <x:c r="Q4323" s="18" t="n">
        <x:v>0</x:v>
      </x:c>
      <x:c r="R4323" s="18" t="n">
        <x:v>0</x:v>
      </x:c>
      <x:c r="S4323" s="18" t="n">
        <x:v>593.9307643729289</x:v>
      </x:c>
      <x:c r="T4323" s="18" t="n">
        <x:v>667</x:v>
      </x:c>
      <x:c r="U4323" s="18" t="n">
        <x:v>593.9307643729289</x:v>
      </x:c>
      <x:c r="V4323" s="20" t="n">
        <x:v>4.4</x:v>
      </x:c>
      <x:c r="W4323" s="20" t="n">
        <x:v>14.3</x:v>
      </x:c>
      <x:c r="X4323" s="20" t="n">
        <x:v>3.3</x:v>
      </x:c>
      <x:c r="Y4323" t="str">
        <x:v>Basis arsip 2025/2024</x:v>
      </x:c>
      <x:c r="Z4323" t="str">
        <x:v>https://snpmb.id/utbk-snbt/daya-tampung-snbt</x:v>
      </x:c>
      <x:c r="AA4323" t="str">
        <x:v>Tidak Ada</x:v>
      </x:c>
      <x:c r="AB4323" t="str">
        <x:v>Campus=55; Ratio=39.6; Prodi=65; RelDemand=62.6; Capacity=50.0</x:v>
      </x:c>
    </x:row>
    <x:row r="4324">
      <x:c r="A4324" t="n">
        <x:v>4321</x:v>
      </x:c>
      <x:c r="B4324" t="str">
        <x:v>PTN Vokasi</x:v>
      </x:c>
      <x:c r="C4324" t="str">
        <x:v>POLITEKNIK NEGERI JEMBER</x:v>
      </x:c>
      <x:c r="D4324" t="str">
        <x:v>MANAJEMEN PEMASARAN INTERNASIONAL</x:v>
      </x:c>
      <x:c r="E4324" t="str">
        <x:v>Sarjana Terapan</x:v>
      </x:c>
      <x:c r="F4324" s="18" t="n">
        <x:v>60</x:v>
      </x:c>
      <x:c r="G4324" s="18" t="n">
        <x:v>220</x:v>
      </x:c>
      <x:c r="H4324" s="19" t="n">
        <x:v>3.6666666666666665</x:v>
      </x:c>
      <x:c r="I4324" s="18" t="n">
        <x:f>ROUND(MIN(Model_Config_v3!$B$6,MAX(Q4324,R4324,S4324*Model_Config_v3!$B$4+T4324*Model_Config_v3!$B$5)),0)</x:f>
        <x:v>637</x:v>
      </x:c>
      <x:c r="J4324" s="18" t="n">
        <x:f>MIN(Model_Config_v3!$B$6,I4324+Model_Config_v3!$B$7)</x:f>
        <x:v>657</x:v>
      </x:c>
      <x:c r="K4324" s="20" t="n">
        <x:v>50.4</x:v>
      </x:c>
      <x:c r="L4324" t="str">
        <x:v>MENENGAH</x:v>
      </x:c>
      <x:c r="M4324" t="str">
        <x:v>SEDANG+</x:v>
      </x:c>
      <x:c r="N4324" t="str">
        <x:v>REGULER</x:v>
      </x:c>
      <x:c r="O4324" t="str">
        <x:v>SOSHUM</x:v>
      </x:c>
      <x:c r="P4324" t="str">
        <x:v>BISNIS/EKONOMI/AKUNTANSI</x:v>
      </x:c>
      <x:c r="Q4324" s="18" t="n">
        <x:v>0</x:v>
      </x:c>
      <x:c r="R4324" s="18" t="n">
        <x:v>0</x:v>
      </x:c>
      <x:c r="S4324" s="18" t="n">
        <x:v>582.0698573482418</x:v>
      </x:c>
      <x:c r="T4324" s="18" t="n">
        <x:v>661</x:v>
      </x:c>
      <x:c r="U4324" s="18" t="n">
        <x:v>597.0698573482418</x:v>
      </x:c>
      <x:c r="V4324" s="20" t="n">
        <x:v>4.4</x:v>
      </x:c>
      <x:c r="W4324" s="20" t="n">
        <x:v>14.3</x:v>
      </x:c>
      <x:c r="X4324" s="20" t="n">
        <x:v>3.3</x:v>
      </x:c>
      <x:c r="Y4324" t="str">
        <x:v>Basis arsip 2025/2024</x:v>
      </x:c>
      <x:c r="Z4324" t="str">
        <x:v>https://snpmb.id/utbk-snbt/daya-tampung-snbt</x:v>
      </x:c>
      <x:c r="AA4324" t="str">
        <x:v>Tidak Ada</x:v>
      </x:c>
      <x:c r="AB4324" t="str">
        <x:v>Campus=55; Ratio=33.2; Prodi=65; RelDemand=48.8; Capacity=50.0</x:v>
      </x:c>
    </x:row>
    <x:row r="4325">
      <x:c r="A4325" t="n">
        <x:v>4322</x:v>
      </x:c>
      <x:c r="B4325" t="str">
        <x:v>PTN Vokasi</x:v>
      </x:c>
      <x:c r="C4325" t="str">
        <x:v>POLITEKNIK NEGERI JEMBER</x:v>
      </x:c>
      <x:c r="D4325" t="str">
        <x:v>DESTINASI PARIWISATA</x:v>
      </x:c>
      <x:c r="E4325" t="str">
        <x:v>Sarjana Terapan</x:v>
      </x:c>
      <x:c r="F4325" s="18" t="n">
        <x:v>48</x:v>
      </x:c>
      <x:c r="G4325" s="18" t="n">
        <x:v>181</x:v>
      </x:c>
      <x:c r="H4325" s="19" t="n">
        <x:v>3.7708333333333335</x:v>
      </x:c>
      <x:c r="I4325" s="18" t="n">
        <x:f>ROUND(MIN(Model_Config_v3!$B$6,MAX(Q4325,R4325,S4325*Model_Config_v3!$B$4+T4325*Model_Config_v3!$B$5)),0)</x:f>
        <x:v>633</x:v>
      </x:c>
      <x:c r="J4325" s="18" t="n">
        <x:f>MIN(Model_Config_v3!$B$6,I4325+Model_Config_v3!$B$7)</x:f>
        <x:v>653</x:v>
      </x:c>
      <x:c r="K4325" s="20" t="n">
        <x:v>46.8</x:v>
      </x:c>
      <x:c r="L4325" t="str">
        <x:v>MENENGAH</x:v>
      </x:c>
      <x:c r="M4325" t="str">
        <x:v>SEDANG</x:v>
      </x:c>
      <x:c r="N4325" t="str">
        <x:v>REGULER</x:v>
      </x:c>
      <x:c r="O4325" t="str">
        <x:v>CAMPURAN</x:v>
      </x:c>
      <x:c r="P4325" t="str">
        <x:v>UMUM</x:v>
      </x:c>
      <x:c r="Q4325" s="18" t="n">
        <x:v>0</x:v>
      </x:c>
      <x:c r="R4325" s="18" t="n">
        <x:v>0</x:v>
      </x:c>
      <x:c r="S4325" s="18" t="n">
        <x:v>583.4081071242957</x:v>
      </x:c>
      <x:c r="T4325" s="18" t="n">
        <x:v>654</x:v>
      </x:c>
      <x:c r="U4325" s="18" t="n">
        <x:v>583.4081071242957</x:v>
      </x:c>
      <x:c r="V4325" s="20" t="n">
        <x:v>8.8</x:v>
      </x:c>
      <x:c r="W4325" s="20" t="n">
        <x:v>9.9</x:v>
      </x:c>
      <x:c r="X4325" s="20" t="n">
        <x:v>3.3</x:v>
      </x:c>
      <x:c r="Y4325" t="str">
        <x:v>Basis arsip 2025/2024</x:v>
      </x:c>
      <x:c r="Z4325" t="str">
        <x:v>https://snpmb.id/utbk-snbt/daya-tampung-snbt</x:v>
      </x:c>
      <x:c r="AA4325" t="str">
        <x:v>Tidak Ada</x:v>
      </x:c>
      <x:c r="AB4325" t="str">
        <x:v>Campus=55; Ratio=33.9; Prodi=40; RelDemand=50.2; Capacity=60.0</x:v>
      </x:c>
    </x:row>
    <x:row r="4326">
      <x:c r="A4326" t="n">
        <x:v>4323</x:v>
      </x:c>
      <x:c r="B4326" t="str">
        <x:v>PTN Vokasi</x:v>
      </x:c>
      <x:c r="C4326" t="str">
        <x:v>POLITEKNIK NEGERI JEMBER</x:v>
      </x:c>
      <x:c r="D4326" t="str">
        <x:v>PSDKU MANAJEMEN AGRIBISNIS KAB. NGAWI</x:v>
      </x:c>
      <x:c r="E4326" t="str">
        <x:v>Sarjana Terapan</x:v>
      </x:c>
      <x:c r="F4326" s="18" t="n">
        <x:v>24</x:v>
      </x:c>
      <x:c r="G4326" s="18" t="n">
        <x:v>23</x:v>
      </x:c>
      <x:c r="H4326" s="19" t="n">
        <x:v>0.9583333333333334</x:v>
      </x:c>
      <x:c r="I4326" s="18" t="n">
        <x:f>ROUND(MIN(Model_Config_v3!$B$6,MAX(Q4326,R4326,S4326*Model_Config_v3!$B$4+T4326*Model_Config_v3!$B$5)),0)</x:f>
        <x:v>606</x:v>
      </x:c>
      <x:c r="J4326" s="18" t="n">
        <x:f>MIN(Model_Config_v3!$B$6,I4326+Model_Config_v3!$B$7)</x:f>
        <x:v>626</x:v>
      </x:c>
      <x:c r="K4326" s="20" t="n">
        <x:v>41.5</x:v>
      </x:c>
      <x:c r="L4326" t="str">
        <x:v>RELATIF LONGGAR</x:v>
      </x:c>
      <x:c r="M4326" t="str">
        <x:v>SEDANG+</x:v>
      </x:c>
      <x:c r="N4326" t="str">
        <x:v>REGULER</x:v>
      </x:c>
      <x:c r="O4326" t="str">
        <x:v>SOSHUM</x:v>
      </x:c>
      <x:c r="P4326" t="str">
        <x:v>BISNIS/EKONOMI/AKUNTANSI</x:v>
      </x:c>
      <x:c r="Q4326" s="18" t="n">
        <x:v>0</x:v>
      </x:c>
      <x:c r="R4326" s="18" t="n">
        <x:v>0</x:v>
      </x:c>
      <x:c r="S4326" s="18" t="n">
        <x:v>520</x:v>
      </x:c>
      <x:c r="T4326" s="18" t="n">
        <x:v>643</x:v>
      </x:c>
      <x:c r="U4326" s="18" t="n">
        <x:v>535</x:v>
      </x:c>
      <x:c r="V4326" s="20" t="n">
        <x:v>4.4</x:v>
      </x:c>
      <x:c r="W4326" s="20" t="n">
        <x:v>14.3</x:v>
      </x:c>
      <x:c r="X4326" s="20" t="n">
        <x:v>3.3</x:v>
      </x:c>
      <x:c r="Y4326" t="str">
        <x:v>Basis arsip 2025/2024</x:v>
      </x:c>
      <x:c r="Z4326" t="str">
        <x:v>https://snpmb.id/utbk-snbt/daya-tampung-snbt</x:v>
      </x:c>
      <x:c r="AA4326" t="str">
        <x:v>Tidak Ada</x:v>
      </x:c>
      <x:c r="AB4326" t="str">
        <x:v>Campus=55; Ratio=0.0; Prodi=65; RelDemand=12.8; Capacity=80.0</x:v>
      </x:c>
    </x:row>
    <x:row r="4327">
      <x:c r="A4327" t="n">
        <x:v>4324</x:v>
      </x:c>
      <x:c r="B4327" t="str">
        <x:v>PTN Vokasi</x:v>
      </x:c>
      <x:c r="C4327" t="str">
        <x:v>POLITEKNIK NEGERI JEMBER</x:v>
      </x:c>
      <x:c r="D4327" t="str">
        <x:v>PSDKU MANAJEMEN INFORMASI KESEHATAN KAB. NGAWI</x:v>
      </x:c>
      <x:c r="E4327" t="str">
        <x:v>Sarjana Terapan</x:v>
      </x:c>
      <x:c r="F4327" s="18" t="n">
        <x:v>24</x:v>
      </x:c>
      <x:c r="G4327" s="18" t="n">
        <x:v>51</x:v>
      </x:c>
      <x:c r="H4327" s="19" t="n">
        <x:v>2.125</x:v>
      </x:c>
      <x:c r="I4327" s="18" t="n">
        <x:f>ROUND(MIN(Model_Config_v3!$B$6,MAX(Q4327,R4327,S4327*Model_Config_v3!$B$4+T4327*Model_Config_v3!$B$5)),0)</x:f>
        <x:v>626</x:v>
      </x:c>
      <x:c r="J4327" s="18" t="n">
        <x:f>MIN(Model_Config_v3!$B$6,I4327+Model_Config_v3!$B$7)</x:f>
        <x:v>646</x:v>
      </x:c>
      <x:c r="K4327" s="20" t="n">
        <x:v>47.9</x:v>
      </x:c>
      <x:c r="L4327" t="str">
        <x:v>MENENGAH</x:v>
      </x:c>
      <x:c r="M4327" t="str">
        <x:v>SEDANG+</x:v>
      </x:c>
      <x:c r="N4327" t="str">
        <x:v>REGULER</x:v>
      </x:c>
      <x:c r="O4327" t="str">
        <x:v>SAINTEK</x:v>
      </x:c>
      <x:c r="P4327" t="str">
        <x:v>BISNIS/EKONOMI/AKUNTANSI</x:v>
      </x:c>
      <x:c r="Q4327" s="18" t="n">
        <x:v>0</x:v>
      </x:c>
      <x:c r="R4327" s="18" t="n">
        <x:v>0</x:v>
      </x:c>
      <x:c r="S4327" s="18" t="n">
        <x:v>556.0094827824963</x:v>
      </x:c>
      <x:c r="T4327" s="18" t="n">
        <x:v>656</x:v>
      </x:c>
      <x:c r="U4327" s="18" t="n">
        <x:v>571.0094827824963</x:v>
      </x:c>
      <x:c r="V4327" s="20" t="n">
        <x:v>12</x:v>
      </x:c>
      <x:c r="W4327" s="20" t="n">
        <x:v>5</x:v>
      </x:c>
      <x:c r="X4327" s="20" t="n">
        <x:v>3</x:v>
      </x:c>
      <x:c r="Y4327" t="str">
        <x:v>Basis arsip 2025/2024</x:v>
      </x:c>
      <x:c r="Z4327" t="str">
        <x:v>https://snpmb.id/utbk-snbt/daya-tampung-snbt</x:v>
      </x:c>
      <x:c r="AA4327" t="str">
        <x:v>Tidak Ada</x:v>
      </x:c>
      <x:c r="AB4327" t="str">
        <x:v>Campus=55; Ratio=19.3; Prodi=65; RelDemand=28.3; Capacity=80.0</x:v>
      </x:c>
    </x:row>
    <x:row r="4328">
      <x:c r="A4328" t="n">
        <x:v>4325</x:v>
      </x:c>
      <x:c r="B4328" t="str">
        <x:v>PTN Vokasi</x:v>
      </x:c>
      <x:c r="C4328" t="str">
        <x:v>POLITEKNIK NEGERI JEMBER</x:v>
      </x:c>
      <x:c r="D4328" t="str">
        <x:v>PRODUKSI MEDIA KAMPUS BONDOWOSO</x:v>
      </x:c>
      <x:c r="E4328" t="str">
        <x:v>Sarjana Terapan</x:v>
      </x:c>
      <x:c r="F4328" s="18" t="n">
        <x:v>24</x:v>
      </x:c>
      <x:c r="G4328" s="18" t="n">
        <x:v>25</x:v>
      </x:c>
      <x:c r="H4328" s="19" t="n">
        <x:v>1.0416666666666667</x:v>
      </x:c>
      <x:c r="I4328" s="18" t="n">
        <x:f>ROUND(MIN(Model_Config_v3!$B$6,MAX(Q4328,R4328,S4328*Model_Config_v3!$B$4+T4328*Model_Config_v3!$B$5)),0)</x:f>
        <x:v>600</x:v>
      </x:c>
      <x:c r="J4328" s="18" t="n">
        <x:f>MIN(Model_Config_v3!$B$6,I4328+Model_Config_v3!$B$7)</x:f>
        <x:v>620</x:v>
      </x:c>
      <x:c r="K4328" s="20" t="n">
        <x:v>36.9</x:v>
      </x:c>
      <x:c r="L4328" t="str">
        <x:v>RELATIF LONGGAR</x:v>
      </x:c>
      <x:c r="M4328" t="str">
        <x:v>SEDANG</x:v>
      </x:c>
      <x:c r="N4328" t="str">
        <x:v>REGULER</x:v>
      </x:c>
      <x:c r="O4328" t="str">
        <x:v>CAMPURAN</x:v>
      </x:c>
      <x:c r="P4328" t="str">
        <x:v>UMUM</x:v>
      </x:c>
      <x:c r="Q4328" s="18" t="n">
        <x:v>0</x:v>
      </x:c>
      <x:c r="R4328" s="18" t="n">
        <x:v>0</x:v>
      </x:c>
      <x:c r="S4328" s="18" t="n">
        <x:v>521.9501643656474</x:v>
      </x:c>
      <x:c r="T4328" s="18" t="n">
        <x:v>634</x:v>
      </x:c>
      <x:c r="U4328" s="18" t="n">
        <x:v>521.9501643656474</x:v>
      </x:c>
      <x:c r="V4328" s="20" t="n">
        <x:v>8.8</x:v>
      </x:c>
      <x:c r="W4328" s="20" t="n">
        <x:v>9.9</x:v>
      </x:c>
      <x:c r="X4328" s="20" t="n">
        <x:v>3.3</x:v>
      </x:c>
      <x:c r="Y4328" t="str">
        <x:v>Basis arsip 2025/2024</x:v>
      </x:c>
      <x:c r="Z4328" t="str">
        <x:v>https://snpmb.id/utbk-snbt/daya-tampung-snbt</x:v>
      </x:c>
      <x:c r="AA4328" t="str">
        <x:v>Tidak Ada</x:v>
      </x:c>
      <x:c r="AB4328" t="str">
        <x:v>Campus=55; Ratio=1.0; Prodi=40; RelDemand=13.9; Capacity=80.0</x:v>
      </x:c>
    </x:row>
    <x:row r="4329">
      <x:c r="A4329" t="n">
        <x:v>4326</x:v>
      </x:c>
      <x:c r="B4329" t="str">
        <x:v>PTN Vokasi</x:v>
      </x:c>
      <x:c r="C4329" t="str">
        <x:v>POLITEKNIK NEGERI JEMBER</x:v>
      </x:c>
      <x:c r="D4329" t="str">
        <x:v>PSDKU TEKNOLOGI REKAYASA PERANGKAT LUNAK KAB. SABU RAIJUA</x:v>
      </x:c>
      <x:c r="E4329" t="str">
        <x:v>Sarjana Terapan</x:v>
      </x:c>
      <x:c r="F4329" s="18" t="n">
        <x:v>24</x:v>
      </x:c>
      <x:c r="G4329" s="18"/>
      <x:c r="H4329" s="19" t="n">
        <x:v>0</x:v>
      </x:c>
      <x:c r="I4329" s="18" t="n">
        <x:f>ROUND(MIN(Model_Config_v3!$B$6,MAX(Q4329,R4329,S4329*Model_Config_v3!$B$4+T4329*Model_Config_v3!$B$5)),0)</x:f>
        <x:v>597</x:v>
      </x:c>
      <x:c r="J4329" s="18" t="n">
        <x:f>MIN(Model_Config_v3!$B$6,I4329+Model_Config_v3!$B$7)</x:f>
        <x:v>617</x:v>
      </x:c>
      <x:c r="K4329" s="20" t="n">
        <x:v>35.2</x:v>
      </x:c>
      <x:c r="L4329" t="str">
        <x:v>RELATIF LONGGAR</x:v>
      </x:c>
      <x:c r="M4329" t="str">
        <x:v>RENDAH</x:v>
      </x:c>
      <x:c r="N4329" t="str">
        <x:v>REGULER</x:v>
      </x:c>
      <x:c r="O4329" t="str">
        <x:v>SAINTEK</x:v>
      </x:c>
      <x:c r="P4329" t="str">
        <x:v>UMUM</x:v>
      </x:c>
      <x:c r="Q4329" s="18" t="n">
        <x:v>0</x:v>
      </x:c>
      <x:c r="R4329" s="18" t="n">
        <x:v>0</x:v>
      </x:c>
      <x:c r="S4329" s="18" t="n">
        <x:v>520</x:v>
      </x:c>
      <x:c r="T4329" s="18" t="n">
        <x:v>630</x:v>
      </x:c>
      <x:c r="U4329" s="18" t="n">
        <x:v>520</x:v>
      </x:c>
      <x:c r="V4329" s="20" t="n">
        <x:v>12</x:v>
      </x:c>
      <x:c r="W4329" s="20" t="n">
        <x:v>5</x:v>
      </x:c>
      <x:c r="X4329" s="20" t="n">
        <x:v>3</x:v>
      </x:c>
      <x:c r="Y4329" t="str">
        <x:v>Basis arsip 2025/2024</x:v>
      </x:c>
      <x:c r="Z4329" t="str">
        <x:v>https://snpmb.id/utbk-snbt/daya-tampung-snbt</x:v>
      </x:c>
      <x:c r="AA4329" t="str">
        <x:v>Tidak Ada</x:v>
      </x:c>
      <x:c r="AB4329" t="str">
        <x:v>Campus=55; Ratio=0.0; Prodi=40; RelDemand=0.0; Capacity=80.0</x:v>
      </x:c>
    </x:row>
    <x:row r="4330">
      <x:c r="A4330" t="n">
        <x:v>4327</x:v>
      </x:c>
      <x:c r="B4330" t="str">
        <x:v>PTN Vokasi</x:v>
      </x:c>
      <x:c r="C4330" t="str">
        <x:v>POLITEKNIK NEGERI JEMBER</x:v>
      </x:c>
      <x:c r="D4330" t="str">
        <x:v>TEKNOLOGI REKAYASA KOMPUTER</x:v>
      </x:c>
      <x:c r="E4330" t="str">
        <x:v>Sarjana Terapan</x:v>
      </x:c>
      <x:c r="F4330" s="18" t="n">
        <x:v>85</x:v>
      </x:c>
      <x:c r="G4330" s="18"/>
      <x:c r="H4330" s="19" t="n">
        <x:v>0</x:v>
      </x:c>
      <x:c r="I4330" s="18" t="n">
        <x:f>ROUND(MIN(Model_Config_v3!$B$6,MAX(Q4330,R4330,S4330*Model_Config_v3!$B$4+T4330*Model_Config_v3!$B$5)),0)</x:f>
        <x:v>590</x:v>
      </x:c>
      <x:c r="J4330" s="18" t="n">
        <x:f>MIN(Model_Config_v3!$B$6,I4330+Model_Config_v3!$B$7)</x:f>
        <x:v>610</x:v>
      </x:c>
      <x:c r="K4330" s="20" t="n">
        <x:v>30.2</x:v>
      </x:c>
      <x:c r="L4330" t="str">
        <x:v>RELATIF LONGGAR</x:v>
      </x:c>
      <x:c r="M4330" t="str">
        <x:v>RENDAH</x:v>
      </x:c>
      <x:c r="N4330" t="str">
        <x:v>REGULER</x:v>
      </x:c>
      <x:c r="O4330" t="str">
        <x:v>SAINTEK</x:v>
      </x:c>
      <x:c r="P4330" t="str">
        <x:v>UMUM</x:v>
      </x:c>
      <x:c r="Q4330" s="18" t="n">
        <x:v>0</x:v>
      </x:c>
      <x:c r="R4330" s="18" t="n">
        <x:v>0</x:v>
      </x:c>
      <x:c r="S4330" s="18" t="n">
        <x:v>520</x:v>
      </x:c>
      <x:c r="T4330" s="18" t="n">
        <x:v>620</x:v>
      </x:c>
      <x:c r="U4330" s="18" t="n">
        <x:v>520</x:v>
      </x:c>
      <x:c r="V4330" s="20" t="n">
        <x:v>12</x:v>
      </x:c>
      <x:c r="W4330" s="20" t="n">
        <x:v>5</x:v>
      </x:c>
      <x:c r="X4330" s="20" t="n">
        <x:v>3</x:v>
      </x:c>
      <x:c r="Y4330" t="str">
        <x:v>Basis arsip 2025/2024</x:v>
      </x:c>
      <x:c r="Z4330" t="str">
        <x:v>https://snpmb.id/utbk-snbt/daya-tampung-snbt</x:v>
      </x:c>
      <x:c r="AA4330" t="str">
        <x:v>Tidak Ada</x:v>
      </x:c>
      <x:c r="AB4330" t="str">
        <x:v>Campus=55; Ratio=0.0; Prodi=40; RelDemand=0.0; Capacity=29.2</x:v>
      </x:c>
    </x:row>
    <x:row r="4331">
      <x:c r="A4331" t="n">
        <x:v>4328</x:v>
      </x:c>
      <x:c r="B4331" t="str">
        <x:v>PTN Vokasi</x:v>
      </x:c>
      <x:c r="C4331" t="str">
        <x:v>POLITEKNIK NEGERI JEMBER</x:v>
      </x:c>
      <x:c r="D4331" t="str">
        <x:v>MANAJEMEN AGRIBISNIS KAMPUS BONDOWOSO</x:v>
      </x:c>
      <x:c r="E4331" t="str">
        <x:v>Sarjana Terapan</x:v>
      </x:c>
      <x:c r="F4331" s="18" t="n">
        <x:v>57</x:v>
      </x:c>
      <x:c r="G4331" s="18"/>
      <x:c r="H4331" s="19" t="n">
        <x:v>0</x:v>
      </x:c>
      <x:c r="I4331" s="18" t="n">
        <x:f>ROUND(MIN(Model_Config_v3!$B$6,MAX(Q4331,R4331,S4331*Model_Config_v3!$B$4+T4331*Model_Config_v3!$B$5)),0)</x:f>
        <x:v>601</x:v>
      </x:c>
      <x:c r="J4331" s="18" t="n">
        <x:f>MIN(Model_Config_v3!$B$6,I4331+Model_Config_v3!$B$7)</x:f>
        <x:v>621</x:v>
      </x:c>
      <x:c r="K4331" s="20" t="n">
        <x:v>37.5</x:v>
      </x:c>
      <x:c r="L4331" t="str">
        <x:v>RELATIF LONGGAR</x:v>
      </x:c>
      <x:c r="M4331" t="str">
        <x:v>RENDAH</x:v>
      </x:c>
      <x:c r="N4331" t="str">
        <x:v>REGULER</x:v>
      </x:c>
      <x:c r="O4331" t="str">
        <x:v>SOSHUM</x:v>
      </x:c>
      <x:c r="P4331" t="str">
        <x:v>BISNIS/EKONOMI/AKUNTANSI</x:v>
      </x:c>
      <x:c r="Q4331" s="18" t="n">
        <x:v>0</x:v>
      </x:c>
      <x:c r="R4331" s="18" t="n">
        <x:v>0</x:v>
      </x:c>
      <x:c r="S4331" s="18" t="n">
        <x:v>520</x:v>
      </x:c>
      <x:c r="T4331" s="18" t="n">
        <x:v>635</x:v>
      </x:c>
      <x:c r="U4331" s="18" t="n">
        <x:v>535</x:v>
      </x:c>
      <x:c r="V4331" s="20" t="n">
        <x:v>4.4</x:v>
      </x:c>
      <x:c r="W4331" s="20" t="n">
        <x:v>14.3</x:v>
      </x:c>
      <x:c r="X4331" s="20" t="n">
        <x:v>3.3</x:v>
      </x:c>
      <x:c r="Y4331" t="str">
        <x:v>Basis arsip 2025/2024</x:v>
      </x:c>
      <x:c r="Z4331" t="str">
        <x:v>https://snpmb.id/utbk-snbt/daya-tampung-snbt</x:v>
      </x:c>
      <x:c r="AA4331" t="str">
        <x:v>Tidak Ada</x:v>
      </x:c>
      <x:c r="AB4331" t="str">
        <x:v>Campus=55; Ratio=0.0; Prodi=65; RelDemand=0.0; Capacity=52.5</x:v>
      </x:c>
    </x:row>
    <x:row r="4332">
      <x:c r="A4332" t="n">
        <x:v>4329</x:v>
      </x:c>
      <x:c r="B4332" t="str">
        <x:v>PTN Vokasi</x:v>
      </x:c>
      <x:c r="C4332" t="str">
        <x:v>POLITEKNIK NEGERI JEMBER</x:v>
      </x:c>
      <x:c r="D4332" t="str">
        <x:v>MANAJEMEN AGRIBISNIS</x:v>
      </x:c>
      <x:c r="E4332" t="str">
        <x:v>Diploma Tiga</x:v>
      </x:c>
      <x:c r="F4332" s="18" t="n">
        <x:v>48</x:v>
      </x:c>
      <x:c r="G4332" s="18" t="n">
        <x:v>464</x:v>
      </x:c>
      <x:c r="H4332" s="19" t="n">
        <x:v>9.666666666666666</x:v>
      </x:c>
      <x:c r="I4332" s="18" t="n">
        <x:f>ROUND(MIN(Model_Config_v3!$B$6,MAX(Q4332,R4332,S4332*Model_Config_v3!$B$4+T4332*Model_Config_v3!$B$5)),0)</x:f>
        <x:v>668</x:v>
      </x:c>
      <x:c r="J4332" s="18" t="n">
        <x:f>MIN(Model_Config_v3!$B$6,I4332+Model_Config_v3!$B$7)</x:f>
        <x:v>688</x:v>
      </x:c>
      <x:c r="K4332" s="20" t="n">
        <x:v>62.7</x:v>
      </x:c>
      <x:c r="L4332" t="str">
        <x:v>KETAT</x:v>
      </x:c>
      <x:c r="M4332" t="str">
        <x:v>SEDANG+</x:v>
      </x:c>
      <x:c r="N4332" t="str">
        <x:v>REGULER</x:v>
      </x:c>
      <x:c r="O4332" t="str">
        <x:v>SOSHUM</x:v>
      </x:c>
      <x:c r="P4332" t="str">
        <x:v>BISNIS/EKONOMI/AKUNTANSI</x:v>
      </x:c>
      <x:c r="Q4332" s="18" t="n">
        <x:v>0</x:v>
      </x:c>
      <x:c r="R4332" s="18" t="n">
        <x:v>0</x:v>
      </x:c>
      <x:c r="S4332" s="18" t="n">
        <x:v>628.3804417497223</x:v>
      </x:c>
      <x:c r="T4332" s="18" t="n">
        <x:v>685</x:v>
      </x:c>
      <x:c r="U4332" s="18" t="n">
        <x:v>643.3804417497223</x:v>
      </x:c>
      <x:c r="V4332" s="20" t="n">
        <x:v>4.4</x:v>
      </x:c>
      <x:c r="W4332" s="20" t="n">
        <x:v>14.3</x:v>
      </x:c>
      <x:c r="X4332" s="20" t="n">
        <x:v>3.3</x:v>
      </x:c>
      <x:c r="Y4332" t="str">
        <x:v>Basis arsip 2025/2024</x:v>
      </x:c>
      <x:c r="Z4332" t="str">
        <x:v>https://snpmb.id/utbk-snbt/daya-tampung-snbt</x:v>
      </x:c>
      <x:c r="AA4332" t="str">
        <x:v>Tidak Ada</x:v>
      </x:c>
      <x:c r="AB4332" t="str">
        <x:v>Campus=55; Ratio=58.0; Prodi=65; RelDemand=100.0; Capacity=60.0</x:v>
      </x:c>
    </x:row>
    <x:row r="4333">
      <x:c r="A4333" t="n">
        <x:v>4330</x:v>
      </x:c>
      <x:c r="B4333" t="str">
        <x:v>PTN Vokasi</x:v>
      </x:c>
      <x:c r="C4333" t="str">
        <x:v>POLITEKNIK NEGERI JEMBER</x:v>
      </x:c>
      <x:c r="D4333" t="str">
        <x:v>PRODUKSI TANAMAN HORTIKULTURA</x:v>
      </x:c>
      <x:c r="E4333" t="str">
        <x:v>Diploma Tiga</x:v>
      </x:c>
      <x:c r="F4333" s="18" t="n">
        <x:v>24</x:v>
      </x:c>
      <x:c r="G4333" s="18" t="n">
        <x:v>75</x:v>
      </x:c>
      <x:c r="H4333" s="19" t="n">
        <x:v>3.125</x:v>
      </x:c>
      <x:c r="I4333" s="18" t="n">
        <x:f>ROUND(MIN(Model_Config_v3!$B$6,MAX(Q4333,R4333,S4333*Model_Config_v3!$B$4+T4333*Model_Config_v3!$B$5)),0)</x:f>
        <x:v>629</x:v>
      </x:c>
      <x:c r="J4333" s="18" t="n">
        <x:f>MIN(Model_Config_v3!$B$6,I4333+Model_Config_v3!$B$7)</x:f>
        <x:v>649</x:v>
      </x:c>
      <x:c r="K4333" s="20" t="n">
        <x:v>46.7</x:v>
      </x:c>
      <x:c r="L4333" t="str">
        <x:v>MENENGAH</x:v>
      </x:c>
      <x:c r="M4333" t="str">
        <x:v>SEDANG</x:v>
      </x:c>
      <x:c r="N4333" t="str">
        <x:v>REGULER</x:v>
      </x:c>
      <x:c r="O4333" t="str">
        <x:v>CAMPURAN</x:v>
      </x:c>
      <x:c r="P4333" t="str">
        <x:v>UMUM</x:v>
      </x:c>
      <x:c r="Q4333" s="18" t="n">
        <x:v>0</x:v>
      </x:c>
      <x:c r="R4333" s="18" t="n">
        <x:v>0</x:v>
      </x:c>
      <x:c r="S4333" s="18" t="n">
        <x:v>574.4335023848104</x:v>
      </x:c>
      <x:c r="T4333" s="18" t="n">
        <x:v>653</x:v>
      </x:c>
      <x:c r="U4333" s="18" t="n">
        <x:v>574.4335023848104</x:v>
      </x:c>
      <x:c r="V4333" s="20" t="n">
        <x:v>8.8</x:v>
      </x:c>
      <x:c r="W4333" s="20" t="n">
        <x:v>9.9</x:v>
      </x:c>
      <x:c r="X4333" s="20" t="n">
        <x:v>3.3</x:v>
      </x:c>
      <x:c r="Y4333" t="str">
        <x:v>Basis arsip 2025/2024</x:v>
      </x:c>
      <x:c r="Z4333" t="str">
        <x:v>https://snpmb.id/utbk-snbt/daya-tampung-snbt</x:v>
      </x:c>
      <x:c r="AA4333" t="str">
        <x:v>Tidak Ada</x:v>
      </x:c>
      <x:c r="AB4333" t="str">
        <x:v>Campus=55; Ratio=29.1; Prodi=40; RelDemand=41.6; Capacity=80.0</x:v>
      </x:c>
    </x:row>
    <x:row r="4334">
      <x:c r="A4334" t="n">
        <x:v>4331</x:v>
      </x:c>
      <x:c r="B4334" t="str">
        <x:v>PTN Vokasi</x:v>
      </x:c>
      <x:c r="C4334" t="str">
        <x:v>POLITEKNIK NEGERI JEMBER</x:v>
      </x:c>
      <x:c r="D4334" t="str">
        <x:v>PRODUKSI TANAMAN PERKEBUNAN</x:v>
      </x:c>
      <x:c r="E4334" t="str">
        <x:v>Diploma Tiga</x:v>
      </x:c>
      <x:c r="F4334" s="18" t="n">
        <x:v>24</x:v>
      </x:c>
      <x:c r="G4334" s="18" t="n">
        <x:v>137</x:v>
      </x:c>
      <x:c r="H4334" s="19" t="n">
        <x:v>5.708333333333333</x:v>
      </x:c>
      <x:c r="I4334" s="18" t="n">
        <x:f>ROUND(MIN(Model_Config_v3!$B$6,MAX(Q4334,R4334,S4334*Model_Config_v3!$B$4+T4334*Model_Config_v3!$B$5)),0)</x:f>
        <x:v>649</x:v>
      </x:c>
      <x:c r="J4334" s="18" t="n">
        <x:f>MIN(Model_Config_v3!$B$6,I4334+Model_Config_v3!$B$7)</x:f>
        <x:v>669</x:v>
      </x:c>
      <x:c r="K4334" s="20" t="n">
        <x:v>54</x:v>
      </x:c>
      <x:c r="L4334" t="str">
        <x:v>MENENGAH</x:v>
      </x:c>
      <x:c r="M4334" t="str">
        <x:v>SEDANG</x:v>
      </x:c>
      <x:c r="N4334" t="str">
        <x:v>REGULER</x:v>
      </x:c>
      <x:c r="O4334" t="str">
        <x:v>CAMPURAN</x:v>
      </x:c>
      <x:c r="P4334" t="str">
        <x:v>UMUM</x:v>
      </x:c>
      <x:c r="Q4334" s="18" t="n">
        <x:v>0</x:v>
      </x:c>
      <x:c r="R4334" s="18" t="n">
        <x:v>0</x:v>
      </x:c>
      <x:c r="S4334" s="18" t="n">
        <x:v>603.2160257989281</x:v>
      </x:c>
      <x:c r="T4334" s="18" t="n">
        <x:v>668</x:v>
      </x:c>
      <x:c r="U4334" s="18" t="n">
        <x:v>603.2160257989281</x:v>
      </x:c>
      <x:c r="V4334" s="20" t="n">
        <x:v>8.8</x:v>
      </x:c>
      <x:c r="W4334" s="20" t="n">
        <x:v>9.9</x:v>
      </x:c>
      <x:c r="X4334" s="20" t="n">
        <x:v>3.3</x:v>
      </x:c>
      <x:c r="Y4334" t="str">
        <x:v>Basis arsip 2025/2024</x:v>
      </x:c>
      <x:c r="Z4334" t="str">
        <x:v>https://snpmb.id/utbk-snbt/daya-tampung-snbt</x:v>
      </x:c>
      <x:c r="AA4334" t="str">
        <x:v>Tidak Ada</x:v>
      </x:c>
      <x:c r="AB4334" t="str">
        <x:v>Campus=55; Ratio=44.5; Prodi=40; RelDemand=76.0; Capacity=80.0</x:v>
      </x:c>
    </x:row>
    <x:row r="4335">
      <x:c r="A4335" t="n">
        <x:v>4332</x:v>
      </x:c>
      <x:c r="B4335" t="str">
        <x:v>PTN Vokasi</x:v>
      </x:c>
      <x:c r="C4335" t="str">
        <x:v>POLITEKNIK NEGERI JEMBER</x:v>
      </x:c>
      <x:c r="D4335" t="str">
        <x:v>TEKNOLOGI INDUSTRI PANGAN</x:v>
      </x:c>
      <x:c r="E4335" t="str">
        <x:v>Diploma Tiga</x:v>
      </x:c>
      <x:c r="F4335" s="18" t="n">
        <x:v>48</x:v>
      </x:c>
      <x:c r="G4335" s="18" t="n">
        <x:v>438</x:v>
      </x:c>
      <x:c r="H4335" s="19" t="n">
        <x:v>9.125</x:v>
      </x:c>
      <x:c r="I4335" s="18" t="n">
        <x:f>ROUND(MIN(Model_Config_v3!$B$6,MAX(Q4335,R4335,S4335*Model_Config_v3!$B$4+T4335*Model_Config_v3!$B$5)),0)</x:f>
        <x:v>660</x:v>
      </x:c>
      <x:c r="J4335" s="18" t="n">
        <x:f>MIN(Model_Config_v3!$B$6,I4335+Model_Config_v3!$B$7)</x:f>
        <x:v>680</x:v>
      </x:c>
      <x:c r="K4335" s="20" t="n">
        <x:v>57.4</x:v>
      </x:c>
      <x:c r="L4335" t="str">
        <x:v>KETAT</x:v>
      </x:c>
      <x:c r="M4335" t="str">
        <x:v>SEDANG</x:v>
      </x:c>
      <x:c r="N4335" t="str">
        <x:v>REGULER</x:v>
      </x:c>
      <x:c r="O4335" t="str">
        <x:v>SAINTEK</x:v>
      </x:c>
      <x:c r="P4335" t="str">
        <x:v>UMUM</x:v>
      </x:c>
      <x:c r="Q4335" s="18" t="n">
        <x:v>0</x:v>
      </x:c>
      <x:c r="R4335" s="18" t="n">
        <x:v>0</x:v>
      </x:c>
      <x:c r="S4335" s="18" t="n">
        <x:v>625.6256160441363</x:v>
      </x:c>
      <x:c r="T4335" s="18" t="n">
        <x:v>675</x:v>
      </x:c>
      <x:c r="U4335" s="18" t="n">
        <x:v>625.6256160441363</x:v>
      </x:c>
      <x:c r="V4335" s="20" t="n">
        <x:v>12</x:v>
      </x:c>
      <x:c r="W4335" s="20" t="n">
        <x:v>5</x:v>
      </x:c>
      <x:c r="X4335" s="20" t="n">
        <x:v>3</x:v>
      </x:c>
      <x:c r="Y4335" t="str">
        <x:v>Basis arsip 2025/2024</x:v>
      </x:c>
      <x:c r="Z4335" t="str">
        <x:v>https://snpmb.id/utbk-snbt/daya-tampung-snbt</x:v>
      </x:c>
      <x:c r="AA4335" t="str">
        <x:v>Tidak Ada</x:v>
      </x:c>
      <x:c r="AB4335" t="str">
        <x:v>Campus=55; Ratio=56.5; Prodi=40; RelDemand=100.0; Capacity=60.0</x:v>
      </x:c>
    </x:row>
    <x:row r="4336">
      <x:c r="A4336" t="n">
        <x:v>4333</x:v>
      </x:c>
      <x:c r="B4336" t="str">
        <x:v>PTN Vokasi</x:v>
      </x:c>
      <x:c r="C4336" t="str">
        <x:v>POLITEKNIK NEGERI JEMBER</x:v>
      </x:c>
      <x:c r="D4336" t="str">
        <x:v>BAHASA INGGRIS</x:v>
      </x:c>
      <x:c r="E4336" t="str">
        <x:v>Diploma Tiga</x:v>
      </x:c>
      <x:c r="F4336" s="18" t="n">
        <x:v>36</x:v>
      </x:c>
      <x:c r="G4336" s="18" t="n">
        <x:v>215</x:v>
      </x:c>
      <x:c r="H4336" s="19" t="n">
        <x:v>5.972222222222222</x:v>
      </x:c>
      <x:c r="I4336" s="18" t="n">
        <x:f>ROUND(MIN(Model_Config_v3!$B$6,MAX(Q4336,R4336,S4336*Model_Config_v3!$B$4+T4336*Model_Config_v3!$B$5)),0)</x:f>
        <x:v>649</x:v>
      </x:c>
      <x:c r="J4336" s="18" t="n">
        <x:f>MIN(Model_Config_v3!$B$6,I4336+Model_Config_v3!$B$7)</x:f>
        <x:v>669</x:v>
      </x:c>
      <x:c r="K4336" s="20" t="n">
        <x:v>53.6</x:v>
      </x:c>
      <x:c r="L4336" t="str">
        <x:v>MENENGAH</x:v>
      </x:c>
      <x:c r="M4336" t="str">
        <x:v>SEDANG</x:v>
      </x:c>
      <x:c r="N4336" t="str">
        <x:v>REGULER</x:v>
      </x:c>
      <x:c r="O4336" t="str">
        <x:v>SOSHUM</x:v>
      </x:c>
      <x:c r="P4336" t="str">
        <x:v>UMUM</x:v>
      </x:c>
      <x:c r="Q4336" s="18" t="n">
        <x:v>0</x:v>
      </x:c>
      <x:c r="R4336" s="18" t="n">
        <x:v>0</x:v>
      </x:c>
      <x:c r="S4336" s="18" t="n">
        <x:v>605.374955506315</x:v>
      </x:c>
      <x:c r="T4336" s="18" t="n">
        <x:v>667</x:v>
      </x:c>
      <x:c r="U4336" s="18" t="n">
        <x:v>605.374955506315</x:v>
      </x:c>
      <x:c r="V4336" s="20" t="n">
        <x:v>4.4</x:v>
      </x:c>
      <x:c r="W4336" s="20" t="n">
        <x:v>14.3</x:v>
      </x:c>
      <x:c r="X4336" s="20" t="n">
        <x:v>3.3</x:v>
      </x:c>
      <x:c r="Y4336" t="str">
        <x:v>Basis arsip 2025/2024</x:v>
      </x:c>
      <x:c r="Z4336" t="str">
        <x:v>https://snpmb.id/utbk-snbt/daya-tampung-snbt</x:v>
      </x:c>
      <x:c r="AA4336" t="str">
        <x:v>Tidak Ada</x:v>
      </x:c>
      <x:c r="AB4336" t="str">
        <x:v>Campus=55; Ratio=45.7; Prodi=40; RelDemand=79.5; Capacity=70.0</x:v>
      </x:c>
    </x:row>
    <x:row r="4337">
      <x:c r="A4337" t="n">
        <x:v>4334</x:v>
      </x:c>
      <x:c r="B4337" t="str">
        <x:v>PTN Vokasi</x:v>
      </x:c>
      <x:c r="C4337" t="str">
        <x:v>POLITEKNIK NEGERI JEMBER</x:v>
      </x:c>
      <x:c r="D4337" t="str">
        <x:v>PRODUKSI TERNAK</x:v>
      </x:c>
      <x:c r="E4337" t="str">
        <x:v>Diploma Tiga</x:v>
      </x:c>
      <x:c r="F4337" s="18" t="n">
        <x:v>36</x:v>
      </x:c>
      <x:c r="G4337" s="18" t="n">
        <x:v>167</x:v>
      </x:c>
      <x:c r="H4337" s="19" t="n">
        <x:v>4.638888888888889</x:v>
      </x:c>
      <x:c r="I4337" s="18" t="n">
        <x:f>ROUND(MIN(Model_Config_v3!$B$6,MAX(Q4337,R4337,S4337*Model_Config_v3!$B$4+T4337*Model_Config_v3!$B$5)),0)</x:f>
        <x:v>640</x:v>
      </x:c>
      <x:c r="J4337" s="18" t="n">
        <x:f>MIN(Model_Config_v3!$B$6,I4337+Model_Config_v3!$B$7)</x:f>
        <x:v>660</x:v>
      </x:c>
      <x:c r="K4337" s="20" t="n">
        <x:v>50.2</x:v>
      </x:c>
      <x:c r="L4337" t="str">
        <x:v>MENENGAH</x:v>
      </x:c>
      <x:c r="M4337" t="str">
        <x:v>SEDANG</x:v>
      </x:c>
      <x:c r="N4337" t="str">
        <x:v>REGULER</x:v>
      </x:c>
      <x:c r="O4337" t="str">
        <x:v>CAMPURAN</x:v>
      </x:c>
      <x:c r="P4337" t="str">
        <x:v>UMUM</x:v>
      </x:c>
      <x:c r="Q4337" s="18" t="n">
        <x:v>0</x:v>
      </x:c>
      <x:c r="R4337" s="18" t="n">
        <x:v>0</x:v>
      </x:c>
      <x:c r="S4337" s="18" t="n">
        <x:v>593.3055367418326</x:v>
      </x:c>
      <x:c r="T4337" s="18" t="n">
        <x:v>660</x:v>
      </x:c>
      <x:c r="U4337" s="18" t="n">
        <x:v>593.3055367418326</x:v>
      </x:c>
      <x:c r="V4337" s="20" t="n">
        <x:v>8.8</x:v>
      </x:c>
      <x:c r="W4337" s="20" t="n">
        <x:v>9.9</x:v>
      </x:c>
      <x:c r="X4337" s="20" t="n">
        <x:v>3.3</x:v>
      </x:c>
      <x:c r="Y4337" t="str">
        <x:v>Basis arsip 2025/2024</x:v>
      </x:c>
      <x:c r="Z4337" t="str">
        <x:v>https://snpmb.id/utbk-snbt/daya-tampung-snbt</x:v>
      </x:c>
      <x:c r="AA4337" t="str">
        <x:v>Tidak Ada</x:v>
      </x:c>
      <x:c r="AB4337" t="str">
        <x:v>Campus=55; Ratio=39.2; Prodi=40; RelDemand=61.8; Capacity=70.0</x:v>
      </x:c>
    </x:row>
    <x:row r="4338">
      <x:c r="A4338" t="n">
        <x:v>4335</x:v>
      </x:c>
      <x:c r="B4338" t="str">
        <x:v>PTN Vokasi</x:v>
      </x:c>
      <x:c r="C4338" t="str">
        <x:v>POLITEKNIK NEGERI JEMBER</x:v>
      </x:c>
      <x:c r="D4338" t="str">
        <x:v>MANAJEMEN INFORMATIKA</x:v>
      </x:c>
      <x:c r="E4338" t="str">
        <x:v>Diploma Tiga</x:v>
      </x:c>
      <x:c r="F4338" s="18" t="n">
        <x:v>60</x:v>
      </x:c>
      <x:c r="G4338" s="18" t="n">
        <x:v>380</x:v>
      </x:c>
      <x:c r="H4338" s="19" t="n">
        <x:v>6.333333333333333</x:v>
      </x:c>
      <x:c r="I4338" s="18" t="n">
        <x:f>ROUND(MIN(Model_Config_v3!$B$6,MAX(Q4338,R4338,S4338*Model_Config_v3!$B$4+T4338*Model_Config_v3!$B$5)),0)</x:f>
        <x:v>661</x:v>
      </x:c>
      <x:c r="J4338" s="18" t="n">
        <x:f>MIN(Model_Config_v3!$B$6,I4338+Model_Config_v3!$B$7)</x:f>
        <x:v>681</x:v>
      </x:c>
      <x:c r="K4338" s="20" t="n">
        <x:v>61.5</x:v>
      </x:c>
      <x:c r="L4338" t="str">
        <x:v>KETAT</x:v>
      </x:c>
      <x:c r="M4338" t="str">
        <x:v>SEDANG+</x:v>
      </x:c>
      <x:c r="N4338" t="str">
        <x:v>REGULER</x:v>
      </x:c>
      <x:c r="O4338" t="str">
        <x:v>SAINTEK</x:v>
      </x:c>
      <x:c r="P4338" t="str">
        <x:v>KOMPUTER/INFORMATIKA</x:v>
      </x:c>
      <x:c r="Q4338" s="18" t="n">
        <x:v>0</x:v>
      </x:c>
      <x:c r="R4338" s="18" t="n">
        <x:v>0</x:v>
      </x:c>
      <x:c r="S4338" s="18" t="n">
        <x:v>608.1795580856483</x:v>
      </x:c>
      <x:c r="T4338" s="18" t="n">
        <x:v>683</x:v>
      </x:c>
      <x:c r="U4338" s="18" t="n">
        <x:v>633.1795580856483</x:v>
      </x:c>
      <x:c r="V4338" s="20" t="n">
        <x:v>12</x:v>
      </x:c>
      <x:c r="W4338" s="20" t="n">
        <x:v>5</x:v>
      </x:c>
      <x:c r="X4338" s="20" t="n">
        <x:v>3</x:v>
      </x:c>
      <x:c r="Y4338" t="str">
        <x:v>Basis arsip 2025/2024</x:v>
      </x:c>
      <x:c r="Z4338" t="str">
        <x:v>https://snpmb.id/utbk-snbt/daya-tampung-snbt</x:v>
      </x:c>
      <x:c r="AA4338" t="str">
        <x:v>Tidak Ada</x:v>
      </x:c>
      <x:c r="AB4338" t="str">
        <x:v>Campus=55; Ratio=47.2; Prodi=85; RelDemand=84.3; Capacity=50.0</x:v>
      </x:c>
    </x:row>
    <x:row r="4339">
      <x:c r="A4339" t="n">
        <x:v>4336</x:v>
      </x:c>
      <x:c r="B4339" t="str">
        <x:v>PTN Vokasi</x:v>
      </x:c>
      <x:c r="C4339" t="str">
        <x:v>POLITEKNIK NEGERI JEMBER</x:v>
      </x:c>
      <x:c r="D4339" t="str">
        <x:v>MANAJEMEN AGRIBISNIS (KAMPUS KAB. NGANJUK)</x:v>
      </x:c>
      <x:c r="E4339" t="str">
        <x:v>Diploma Tiga</x:v>
      </x:c>
      <x:c r="F4339" s="18" t="n">
        <x:v>24</x:v>
      </x:c>
      <x:c r="G4339" s="18" t="n">
        <x:v>60</x:v>
      </x:c>
      <x:c r="H4339" s="19" t="n">
        <x:v>2.5</x:v>
      </x:c>
      <x:c r="I4339" s="18" t="n">
        <x:f>ROUND(MIN(Model_Config_v3!$B$6,MAX(Q4339,R4339,S4339*Model_Config_v3!$B$4+T4339*Model_Config_v3!$B$5)),0)</x:f>
        <x:v>630</x:v>
      </x:c>
      <x:c r="J4339" s="18" t="n">
        <x:f>MIN(Model_Config_v3!$B$6,I4339+Model_Config_v3!$B$7)</x:f>
        <x:v>650</x:v>
      </x:c>
      <x:c r="K4339" s="20" t="n">
        <x:v>49.4</x:v>
      </x:c>
      <x:c r="L4339" t="str">
        <x:v>MENENGAH</x:v>
      </x:c>
      <x:c r="M4339" t="str">
        <x:v>SEDANG+</x:v>
      </x:c>
      <x:c r="N4339" t="str">
        <x:v>REGULER</x:v>
      </x:c>
      <x:c r="O4339" t="str">
        <x:v>SOSHUM</x:v>
      </x:c>
      <x:c r="P4339" t="str">
        <x:v>BISNIS/EKONOMI/AKUNTANSI</x:v>
      </x:c>
      <x:c r="Q4339" s="18" t="n">
        <x:v>0</x:v>
      </x:c>
      <x:c r="R4339" s="18" t="n">
        <x:v>0</x:v>
      </x:c>
      <x:c r="S4339" s="18" t="n">
        <x:v>563.7734009539241</x:v>
      </x:c>
      <x:c r="T4339" s="18" t="n">
        <x:v>659</x:v>
      </x:c>
      <x:c r="U4339" s="18" t="n">
        <x:v>578.7734009539241</x:v>
      </x:c>
      <x:c r="V4339" s="20" t="n">
        <x:v>4.4</x:v>
      </x:c>
      <x:c r="W4339" s="20" t="n">
        <x:v>14.3</x:v>
      </x:c>
      <x:c r="X4339" s="20" t="n">
        <x:v>3.3</x:v>
      </x:c>
      <x:c r="Y4339" t="str">
        <x:v>Basis arsip 2025/2024</x:v>
      </x:c>
      <x:c r="Z4339" t="str">
        <x:v>https://snpmb.id/utbk-snbt/daya-tampung-snbt</x:v>
      </x:c>
      <x:c r="AA4339" t="str">
        <x:v>Tidak Ada</x:v>
      </x:c>
      <x:c r="AB4339" t="str">
        <x:v>Campus=55; Ratio=23.4; Prodi=65; RelDemand=33.3; Capacity=80.0</x:v>
      </x:c>
    </x:row>
    <x:row r="4340">
      <x:c r="A4340" t="n">
        <x:v>4337</x:v>
      </x:c>
      <x:c r="B4340" t="str">
        <x:v>PTN Vokasi</x:v>
      </x:c>
      <x:c r="C4340" t="str">
        <x:v>POLITEKNIK NEGERI JEMBER</x:v>
      </x:c>
      <x:c r="D4340" t="str">
        <x:v>KETEKNIKAN PERTANIAN</x:v>
      </x:c>
      <x:c r="E4340" t="str">
        <x:v>Diploma Tiga</x:v>
      </x:c>
      <x:c r="F4340" s="18" t="n">
        <x:v>36</x:v>
      </x:c>
      <x:c r="G4340" s="18" t="n">
        <x:v>176</x:v>
      </x:c>
      <x:c r="H4340" s="19" t="n">
        <x:v>4.888888888888889</x:v>
      </x:c>
      <x:c r="I4340" s="18" t="n">
        <x:f>ROUND(MIN(Model_Config_v3!$B$6,MAX(Q4340,R4340,S4340*Model_Config_v3!$B$4+T4340*Model_Config_v3!$B$5)),0)</x:f>
        <x:v>648</x:v>
      </x:c>
      <x:c r="J4340" s="18" t="n">
        <x:f>MIN(Model_Config_v3!$B$6,I4340+Model_Config_v3!$B$7)</x:f>
        <x:v>668</x:v>
      </x:c>
      <x:c r="K4340" s="20" t="n">
        <x:v>54.9</x:v>
      </x:c>
      <x:c r="L4340" t="str">
        <x:v>MENENGAH</x:v>
      </x:c>
      <x:c r="M4340" t="str">
        <x:v>SEDANG+</x:v>
      </x:c>
      <x:c r="N4340" t="str">
        <x:v>REGULER</x:v>
      </x:c>
      <x:c r="O4340" t="str">
        <x:v>SAINTEK</x:v>
      </x:c>
      <x:c r="P4340" t="str">
        <x:v>TEKNIK/ARSITEKTUR/STATISTIKA/AKTUARIA</x:v>
      </x:c>
      <x:c r="Q4340" s="18" t="n">
        <x:v>0</x:v>
      </x:c>
      <x:c r="R4340" s="18" t="n">
        <x:v>0</x:v>
      </x:c>
      <x:c r="S4340" s="18" t="n">
        <x:v>595.8131183751549</x:v>
      </x:c>
      <x:c r="T4340" s="18" t="n">
        <x:v>670</x:v>
      </x:c>
      <x:c r="U4340" s="18" t="n">
        <x:v>605.8131183751549</x:v>
      </x:c>
      <x:c r="V4340" s="20" t="n">
        <x:v>12</x:v>
      </x:c>
      <x:c r="W4340" s="20" t="n">
        <x:v>5</x:v>
      </x:c>
      <x:c r="X4340" s="20" t="n">
        <x:v>3</x:v>
      </x:c>
      <x:c r="Y4340" t="str">
        <x:v>Basis arsip 2025/2024</x:v>
      </x:c>
      <x:c r="Z4340" t="str">
        <x:v>https://snpmb.id/utbk-snbt/daya-tampung-snbt</x:v>
      </x:c>
      <x:c r="AA4340" t="str">
        <x:v>Tidak Ada</x:v>
      </x:c>
      <x:c r="AB4340" t="str">
        <x:v>Campus=55; Ratio=40.6; Prodi=60; RelDemand=65.1; Capacity=70.0</x:v>
      </x:c>
    </x:row>
    <x:row r="4341">
      <x:c r="A4341" t="n">
        <x:v>4338</x:v>
      </x:c>
      <x:c r="B4341" t="str">
        <x:v>PTN Vokasi</x:v>
      </x:c>
      <x:c r="C4341" t="str">
        <x:v>POLITEKNIK NEGERI JEMBER</x:v>
      </x:c>
      <x:c r="D4341" t="str">
        <x:v>TEKNIK KOMPUTER</x:v>
      </x:c>
      <x:c r="E4341" t="str">
        <x:v>Diploma Tiga</x:v>
      </x:c>
      <x:c r="F4341" s="18" t="n">
        <x:v>60</x:v>
      </x:c>
      <x:c r="G4341" s="18" t="n">
        <x:v>395</x:v>
      </x:c>
      <x:c r="H4341" s="19" t="n">
        <x:v>6.583333333333333</x:v>
      </x:c>
      <x:c r="I4341" s="18" t="n">
        <x:f>ROUND(MIN(Model_Config_v3!$B$6,MAX(Q4341,R4341,S4341*Model_Config_v3!$B$4+T4341*Model_Config_v3!$B$5)),0)</x:f>
        <x:v>662</x:v>
      </x:c>
      <x:c r="J4341" s="18" t="n">
        <x:f>MIN(Model_Config_v3!$B$6,I4341+Model_Config_v3!$B$7)</x:f>
        <x:v>682</x:v>
      </x:c>
      <x:c r="K4341" s="20" t="n">
        <x:v>62.1</x:v>
      </x:c>
      <x:c r="L4341" t="str">
        <x:v>KETAT</x:v>
      </x:c>
      <x:c r="M4341" t="str">
        <x:v>SEDANG+</x:v>
      </x:c>
      <x:c r="N4341" t="str">
        <x:v>REGULER</x:v>
      </x:c>
      <x:c r="O4341" t="str">
        <x:v>SAINTEK</x:v>
      </x:c>
      <x:c r="P4341" t="str">
        <x:v>KOMPUTER/INFORMATIKA</x:v>
      </x:c>
      <x:c r="Q4341" s="18" t="n">
        <x:v>0</x:v>
      </x:c>
      <x:c r="R4341" s="18" t="n">
        <x:v>0</x:v>
      </x:c>
      <x:c r="S4341" s="18" t="n">
        <x:v>610.0290429767098</x:v>
      </x:c>
      <x:c r="T4341" s="18" t="n">
        <x:v>684</x:v>
      </x:c>
      <x:c r="U4341" s="18" t="n">
        <x:v>635.0290429767098</x:v>
      </x:c>
      <x:c r="V4341" s="20" t="n">
        <x:v>12</x:v>
      </x:c>
      <x:c r="W4341" s="20" t="n">
        <x:v>5</x:v>
      </x:c>
      <x:c r="X4341" s="20" t="n">
        <x:v>3</x:v>
      </x:c>
      <x:c r="Y4341" t="str">
        <x:v>Basis arsip 2025/2024</x:v>
      </x:c>
      <x:c r="Z4341" t="str">
        <x:v>https://snpmb.id/utbk-snbt/daya-tampung-snbt</x:v>
      </x:c>
      <x:c r="AA4341" t="str">
        <x:v>Tidak Ada</x:v>
      </x:c>
      <x:c r="AB4341" t="str">
        <x:v>Campus=55; Ratio=48.2; Prodi=85; RelDemand=87.7; Capacity=50.0</x:v>
      </x:c>
    </x:row>
    <x:row r="4342">
      <x:c r="A4342" t="n">
        <x:v>4339</x:v>
      </x:c>
      <x:c r="B4342" t="str">
        <x:v>PTN Vokasi</x:v>
      </x:c>
      <x:c r="C4342" t="str">
        <x:v>POLITEKNIK NEGERI MADIUN</x:v>
      </x:c>
      <x:c r="D4342" t="str">
        <x:v>PERKERETAAPIAN</x:v>
      </x:c>
      <x:c r="E4342" t="str">
        <x:v>Sarjana Terapan</x:v>
      </x:c>
      <x:c r="F4342" s="18" t="n">
        <x:v>48</x:v>
      </x:c>
      <x:c r="G4342" s="18" t="n">
        <x:v>1052</x:v>
      </x:c>
      <x:c r="H4342" s="19" t="n">
        <x:v>21.916666666666668</x:v>
      </x:c>
      <x:c r="I4342" s="18" t="n">
        <x:f>ROUND(MIN(Model_Config_v3!$B$6,MAX(Q4342,R4342,S4342*Model_Config_v3!$B$4+T4342*Model_Config_v3!$B$5)),0)</x:f>
        <x:v>680</x:v>
      </x:c>
      <x:c r="J4342" s="18" t="n">
        <x:f>MIN(Model_Config_v3!$B$6,I4342+Model_Config_v3!$B$7)</x:f>
        <x:v>700</x:v>
      </x:c>
      <x:c r="K4342" s="20" t="n">
        <x:v>63</x:v>
      </x:c>
      <x:c r="L4342" t="str">
        <x:v>KETAT</x:v>
      </x:c>
      <x:c r="M4342" t="str">
        <x:v>SEDANG</x:v>
      </x:c>
      <x:c r="N4342" t="str">
        <x:v>REGULER</x:v>
      </x:c>
      <x:c r="O4342" t="str">
        <x:v>CAMPURAN</x:v>
      </x:c>
      <x:c r="P4342" t="str">
        <x:v>UMUM</x:v>
      </x:c>
      <x:c r="Q4342" s="18" t="n">
        <x:v>0</x:v>
      </x:c>
      <x:c r="R4342" s="18" t="n">
        <x:v>0</x:v>
      </x:c>
      <x:c r="S4342" s="18" t="n">
        <x:v>667.4851952686346</x:v>
      </x:c>
      <x:c r="T4342" s="18" t="n">
        <x:v>686</x:v>
      </x:c>
      <x:c r="U4342" s="18" t="n">
        <x:v>667.4851952686346</x:v>
      </x:c>
      <x:c r="V4342" s="20" t="n">
        <x:v>8.8</x:v>
      </x:c>
      <x:c r="W4342" s="20" t="n">
        <x:v>9.9</x:v>
      </x:c>
      <x:c r="X4342" s="20" t="n">
        <x:v>3.3</x:v>
      </x:c>
      <x:c r="Y4342" t="str">
        <x:v>Basis arsip 2025/2024</x:v>
      </x:c>
      <x:c r="Z4342" t="str">
        <x:v>https://snpmb.id/utbk-snbt/daya-tampung-snbt</x:v>
      </x:c>
      <x:c r="AA4342" t="str">
        <x:v>Tidak Ada</x:v>
      </x:c>
      <x:c r="AB4342" t="str">
        <x:v>Campus=55; Ratio=78.9; Prodi=40; RelDemand=100.0; Capacity=60.0</x:v>
      </x:c>
    </x:row>
    <x:row r="4343">
      <x:c r="A4343" t="n">
        <x:v>4340</x:v>
      </x:c>
      <x:c r="B4343" t="str">
        <x:v>PTN Vokasi</x:v>
      </x:c>
      <x:c r="C4343" t="str">
        <x:v>POLITEKNIK NEGERI MADIUN</x:v>
      </x:c>
      <x:c r="D4343" t="str">
        <x:v>AKUNTANSI PERPAJAKAN</x:v>
      </x:c>
      <x:c r="E4343" t="str">
        <x:v>Sarjana Terapan</x:v>
      </x:c>
      <x:c r="F4343" s="18" t="n">
        <x:v>48</x:v>
      </x:c>
      <x:c r="G4343" s="18" t="n">
        <x:v>370</x:v>
      </x:c>
      <x:c r="H4343" s="19" t="n">
        <x:v>7.708333333333333</x:v>
      </x:c>
      <x:c r="I4343" s="18" t="n">
        <x:f>ROUND(MIN(Model_Config_v3!$B$6,MAX(Q4343,R4343,S4343*Model_Config_v3!$B$4+T4343*Model_Config_v3!$B$5)),0)</x:f>
        <x:v>659</x:v>
      </x:c>
      <x:c r="J4343" s="18" t="n">
        <x:f>MIN(Model_Config_v3!$B$6,I4343+Model_Config_v3!$B$7)</x:f>
        <x:v>679</x:v>
      </x:c>
      <x:c r="K4343" s="20" t="n">
        <x:v>58.4</x:v>
      </x:c>
      <x:c r="L4343" t="str">
        <x:v>KETAT</x:v>
      </x:c>
      <x:c r="M4343" t="str">
        <x:v>SEDANG+</x:v>
      </x:c>
      <x:c r="N4343" t="str">
        <x:v>REGULER</x:v>
      </x:c>
      <x:c r="O4343" t="str">
        <x:v>SOSHUM</x:v>
      </x:c>
      <x:c r="P4343" t="str">
        <x:v>BISNIS/EKONOMI/AKUNTANSI</x:v>
      </x:c>
      <x:c r="Q4343" s="18" t="n">
        <x:v>0</x:v>
      </x:c>
      <x:c r="R4343" s="18" t="n">
        <x:v>0</x:v>
      </x:c>
      <x:c r="S4343" s="18" t="n">
        <x:v>617.5656535360548</x:v>
      </x:c>
      <x:c r="T4343" s="18" t="n">
        <x:v>677</x:v>
      </x:c>
      <x:c r="U4343" s="18" t="n">
        <x:v>617.5656535360548</x:v>
      </x:c>
      <x:c r="V4343" s="20" t="n">
        <x:v>4.4</x:v>
      </x:c>
      <x:c r="W4343" s="20" t="n">
        <x:v>14.3</x:v>
      </x:c>
      <x:c r="X4343" s="20" t="n">
        <x:v>3.3</x:v>
      </x:c>
      <x:c r="Y4343" t="str">
        <x:v>Basis arsip 2025/2024</x:v>
      </x:c>
      <x:c r="Z4343" t="str">
        <x:v>https://snpmb.id/utbk-snbt/daya-tampung-snbt</x:v>
      </x:c>
      <x:c r="AA4343" t="str">
        <x:v>Tidak Ada</x:v>
      </x:c>
      <x:c r="AB4343" t="str">
        <x:v>Campus=55; Ratio=52.2; Prodi=65; RelDemand=70.8; Capacity=60.0</x:v>
      </x:c>
    </x:row>
    <x:row r="4344">
      <x:c r="A4344" t="n">
        <x:v>4341</x:v>
      </x:c>
      <x:c r="B4344" t="str">
        <x:v>PTN Vokasi</x:v>
      </x:c>
      <x:c r="C4344" t="str">
        <x:v>POLITEKNIK NEGERI MADIUN</x:v>
      </x:c>
      <x:c r="D4344" t="str">
        <x:v>TEKNOLOGI REKAYASA OTOMOTIF</x:v>
      </x:c>
      <x:c r="E4344" t="str">
        <x:v>Sarjana Terapan</x:v>
      </x:c>
      <x:c r="F4344" s="18" t="n">
        <x:v>48</x:v>
      </x:c>
      <x:c r="G4344" s="18" t="n">
        <x:v>82</x:v>
      </x:c>
      <x:c r="H4344" s="19" t="n">
        <x:v>1.7083333333333333</x:v>
      </x:c>
      <x:c r="I4344" s="18" t="n">
        <x:f>ROUND(MIN(Model_Config_v3!$B$6,MAX(Q4344,R4344,S4344*Model_Config_v3!$B$4+T4344*Model_Config_v3!$B$5)),0)</x:f>
        <x:v>609</x:v>
      </x:c>
      <x:c r="J4344" s="18" t="n">
        <x:f>MIN(Model_Config_v3!$B$6,I4344+Model_Config_v3!$B$7)</x:f>
        <x:v>629</x:v>
      </x:c>
      <x:c r="K4344" s="20" t="n">
        <x:v>38.2</x:v>
      </x:c>
      <x:c r="L4344" t="str">
        <x:v>RELATIF LONGGAR</x:v>
      </x:c>
      <x:c r="M4344" t="str">
        <x:v>SEDANG</x:v>
      </x:c>
      <x:c r="N4344" t="str">
        <x:v>REGULER</x:v>
      </x:c>
      <x:c r="O4344" t="str">
        <x:v>SAINTEK</x:v>
      </x:c>
      <x:c r="P4344" t="str">
        <x:v>UMUM</x:v>
      </x:c>
      <x:c r="Q4344" s="18" t="n">
        <x:v>0</x:v>
      </x:c>
      <x:c r="R4344" s="18" t="n">
        <x:v>0</x:v>
      </x:c>
      <x:c r="S4344" s="18" t="n">
        <x:v>545.5829876508942</x:v>
      </x:c>
      <x:c r="T4344" s="18" t="n">
        <x:v>636</x:v>
      </x:c>
      <x:c r="U4344" s="18" t="n">
        <x:v>545.5829876508942</x:v>
      </x:c>
      <x:c r="V4344" s="20" t="n">
        <x:v>12</x:v>
      </x:c>
      <x:c r="W4344" s="20" t="n">
        <x:v>5</x:v>
      </x:c>
      <x:c r="X4344" s="20" t="n">
        <x:v>3</x:v>
      </x:c>
      <x:c r="Y4344" t="str">
        <x:v>Basis arsip 2025/2024</x:v>
      </x:c>
      <x:c r="Z4344" t="str">
        <x:v>https://snpmb.id/utbk-snbt/daya-tampung-snbt</x:v>
      </x:c>
      <x:c r="AA4344" t="str">
        <x:v>Tidak Ada</x:v>
      </x:c>
      <x:c r="AB4344" t="str">
        <x:v>Campus=55; Ratio=13.7; Prodi=40; RelDemand=15.7; Capacity=60.0</x:v>
      </x:c>
    </x:row>
    <x:row r="4345">
      <x:c r="A4345" t="n">
        <x:v>4342</x:v>
      </x:c>
      <x:c r="B4345" t="str">
        <x:v>PTN Vokasi</x:v>
      </x:c>
      <x:c r="C4345" t="str">
        <x:v>POLITEKNIK NEGERI MADIUN</x:v>
      </x:c>
      <x:c r="D4345" t="str">
        <x:v>TEKNOLOGI REKAYASA PERANGKAT LUNAK</x:v>
      </x:c>
      <x:c r="E4345" t="str">
        <x:v>Sarjana Terapan</x:v>
      </x:c>
      <x:c r="F4345" s="18" t="n">
        <x:v>24</x:v>
      </x:c>
      <x:c r="G4345" s="18" t="n">
        <x:v>105</x:v>
      </x:c>
      <x:c r="H4345" s="19" t="n">
        <x:v>4.375</x:v>
      </x:c>
      <x:c r="I4345" s="18" t="n">
        <x:f>ROUND(MIN(Model_Config_v3!$B$6,MAX(Q4345,R4345,S4345*Model_Config_v3!$B$4+T4345*Model_Config_v3!$B$5)),0)</x:f>
        <x:v>637</x:v>
      </x:c>
      <x:c r="J4345" s="18" t="n">
        <x:f>MIN(Model_Config_v3!$B$6,I4345+Model_Config_v3!$B$7)</x:f>
        <x:v>657</x:v>
      </x:c>
      <x:c r="K4345" s="20" t="n">
        <x:v>48.7</x:v>
      </x:c>
      <x:c r="L4345" t="str">
        <x:v>MENENGAH</x:v>
      </x:c>
      <x:c r="M4345" t="str">
        <x:v>SEDANG</x:v>
      </x:c>
      <x:c r="N4345" t="str">
        <x:v>REGULER</x:v>
      </x:c>
      <x:c r="O4345" t="str">
        <x:v>SAINTEK</x:v>
      </x:c>
      <x:c r="P4345" t="str">
        <x:v>UMUM</x:v>
      </x:c>
      <x:c r="Q4345" s="18" t="n">
        <x:v>0</x:v>
      </x:c>
      <x:c r="R4345" s="18" t="n">
        <x:v>0</x:v>
      </x:c>
      <x:c r="S4345" s="18" t="n">
        <x:v>590.5075863094165</x:v>
      </x:c>
      <x:c r="T4345" s="18" t="n">
        <x:v>657</x:v>
      </x:c>
      <x:c r="U4345" s="18" t="n">
        <x:v>590.5075863094165</x:v>
      </x:c>
      <x:c r="V4345" s="20" t="n">
        <x:v>12</x:v>
      </x:c>
      <x:c r="W4345" s="20" t="n">
        <x:v>5</x:v>
      </x:c>
      <x:c r="X4345" s="20" t="n">
        <x:v>3</x:v>
      </x:c>
      <x:c r="Y4345" t="str">
        <x:v>Basis arsip 2025/2024</x:v>
      </x:c>
      <x:c r="Z4345" t="str">
        <x:v>https://snpmb.id/utbk-snbt/daya-tampung-snbt</x:v>
      </x:c>
      <x:c r="AA4345" t="str">
        <x:v>Tidak Ada</x:v>
      </x:c>
      <x:c r="AB4345" t="str">
        <x:v>Campus=55; Ratio=37.7; Prodi=40; RelDemand=40.2; Capacity=80.0</x:v>
      </x:c>
    </x:row>
    <x:row r="4346">
      <x:c r="A4346" t="n">
        <x:v>4343</x:v>
      </x:c>
      <x:c r="B4346" t="str">
        <x:v>PTN Vokasi</x:v>
      </x:c>
      <x:c r="C4346" t="str">
        <x:v>POLITEKNIK NEGERI MADIUN</x:v>
      </x:c>
      <x:c r="D4346" t="str">
        <x:v>AKUNTANSI SEKTOR PUBLIK</x:v>
      </x:c>
      <x:c r="E4346" t="str">
        <x:v>Sarjana Terapan</x:v>
      </x:c>
      <x:c r="F4346" s="18" t="n">
        <x:v>36</x:v>
      </x:c>
      <x:c r="G4346" s="18" t="n">
        <x:v>139</x:v>
      </x:c>
      <x:c r="H4346" s="19" t="n">
        <x:v>3.861111111111111</x:v>
      </x:c>
      <x:c r="I4346" s="18" t="n">
        <x:f>ROUND(MIN(Model_Config_v3!$B$6,MAX(Q4346,R4346,S4346*Model_Config_v3!$B$4+T4346*Model_Config_v3!$B$5)),0)</x:f>
        <x:v>639</x:v>
      </x:c>
      <x:c r="J4346" s="18" t="n">
        <x:f>MIN(Model_Config_v3!$B$6,I4346+Model_Config_v3!$B$7)</x:f>
        <x:v>659</x:v>
      </x:c>
      <x:c r="K4346" s="20" t="n">
        <x:v>51.4</x:v>
      </x:c>
      <x:c r="L4346" t="str">
        <x:v>MENENGAH</x:v>
      </x:c>
      <x:c r="M4346" t="str">
        <x:v>SEDANG+</x:v>
      </x:c>
      <x:c r="N4346" t="str">
        <x:v>REGULER</x:v>
      </x:c>
      <x:c r="O4346" t="str">
        <x:v>SOSHUM</x:v>
      </x:c>
      <x:c r="P4346" t="str">
        <x:v>BISNIS/EKONOMI/AKUNTANSI</x:v>
      </x:c>
      <x:c r="Q4346" s="18" t="n">
        <x:v>0</x:v>
      </x:c>
      <x:c r="R4346" s="18" t="n">
        <x:v>0</x:v>
      </x:c>
      <x:c r="S4346" s="18" t="n">
        <x:v>584.5383529435488</x:v>
      </x:c>
      <x:c r="T4346" s="18" t="n">
        <x:v>663</x:v>
      </x:c>
      <x:c r="U4346" s="18" t="n">
        <x:v>584.5383529435488</x:v>
      </x:c>
      <x:c r="V4346" s="20" t="n">
        <x:v>4.4</x:v>
      </x:c>
      <x:c r="W4346" s="20" t="n">
        <x:v>14.3</x:v>
      </x:c>
      <x:c r="X4346" s="20" t="n">
        <x:v>3.3</x:v>
      </x:c>
      <x:c r="Y4346" t="str">
        <x:v>Basis arsip 2025/2024</x:v>
      </x:c>
      <x:c r="Z4346" t="str">
        <x:v>https://snpmb.id/utbk-snbt/daya-tampung-snbt</x:v>
      </x:c>
      <x:c r="AA4346" t="str">
        <x:v>Tidak Ada</x:v>
      </x:c>
      <x:c r="AB4346" t="str">
        <x:v>Campus=55; Ratio=34.5; Prodi=65; RelDemand=35.5; Capacity=70.0</x:v>
      </x:c>
    </x:row>
    <x:row r="4347">
      <x:c r="A4347" t="n">
        <x:v>4344</x:v>
      </x:c>
      <x:c r="B4347" t="str">
        <x:v>PTN Vokasi</x:v>
      </x:c>
      <x:c r="C4347" t="str">
        <x:v>POLITEKNIK NEGERI MADIUN</x:v>
      </x:c>
      <x:c r="D4347" t="str">
        <x:v>PEMASARAN DIGITAL</x:v>
      </x:c>
      <x:c r="E4347" t="str">
        <x:v>Sarjana Terapan</x:v>
      </x:c>
      <x:c r="F4347" s="18" t="n">
        <x:v>24</x:v>
      </x:c>
      <x:c r="G4347" s="18" t="n">
        <x:v>138</x:v>
      </x:c>
      <x:c r="H4347" s="19" t="n">
        <x:v>5.75</x:v>
      </x:c>
      <x:c r="I4347" s="18" t="n">
        <x:f>ROUND(MIN(Model_Config_v3!$B$6,MAX(Q4347,R4347,S4347*Model_Config_v3!$B$4+T4347*Model_Config_v3!$B$5)),0)</x:f>
        <x:v>645</x:v>
      </x:c>
      <x:c r="J4347" s="18" t="n">
        <x:f>MIN(Model_Config_v3!$B$6,I4347+Model_Config_v3!$B$7)</x:f>
        <x:v>665</x:v>
      </x:c>
      <x:c r="K4347" s="20" t="n">
        <x:v>51.7</x:v>
      </x:c>
      <x:c r="L4347" t="str">
        <x:v>MENENGAH</x:v>
      </x:c>
      <x:c r="M4347" t="str">
        <x:v>SEDANG</x:v>
      </x:c>
      <x:c r="N4347" t="str">
        <x:v>REGULER</x:v>
      </x:c>
      <x:c r="O4347" t="str">
        <x:v>CAMPURAN</x:v>
      </x:c>
      <x:c r="P4347" t="str">
        <x:v>UMUM</x:v>
      </x:c>
      <x:c r="Q4347" s="18" t="n">
        <x:v>0</x:v>
      </x:c>
      <x:c r="R4347" s="18" t="n">
        <x:v>0</x:v>
      </x:c>
      <x:c r="S4347" s="18" t="n">
        <x:v>603.5634629158593</x:v>
      </x:c>
      <x:c r="T4347" s="18" t="n">
        <x:v>663</x:v>
      </x:c>
      <x:c r="U4347" s="18" t="n">
        <x:v>603.5634629158593</x:v>
      </x:c>
      <x:c r="V4347" s="20" t="n">
        <x:v>8.8</x:v>
      </x:c>
      <x:c r="W4347" s="20" t="n">
        <x:v>9.9</x:v>
      </x:c>
      <x:c r="X4347" s="20" t="n">
        <x:v>3.3</x:v>
      </x:c>
      <x:c r="Y4347" t="str">
        <x:v>Basis arsip 2025/2024</x:v>
      </x:c>
      <x:c r="Z4347" t="str">
        <x:v>https://snpmb.id/utbk-snbt/daya-tampung-snbt</x:v>
      </x:c>
      <x:c r="AA4347" t="str">
        <x:v>Tidak Ada</x:v>
      </x:c>
      <x:c r="AB4347" t="str">
        <x:v>Campus=55; Ratio=44.7; Prodi=40; RelDemand=52.8; Capacity=80.0</x:v>
      </x:c>
    </x:row>
    <x:row r="4348">
      <x:c r="A4348" t="n">
        <x:v>4345</x:v>
      </x:c>
      <x:c r="B4348" t="str">
        <x:v>PTN Vokasi</x:v>
      </x:c>
      <x:c r="C4348" t="str">
        <x:v>POLITEKNIK NEGERI MADIUN</x:v>
      </x:c>
      <x:c r="D4348" t="str">
        <x:v>TEKNOLOGI REKAYASA ELEKTRONIKA</x:v>
      </x:c>
      <x:c r="E4348" t="str">
        <x:v>Sarjana Terapan</x:v>
      </x:c>
      <x:c r="F4348" s="18" t="n">
        <x:v>24</x:v>
      </x:c>
      <x:c r="G4348" s="18" t="n">
        <x:v>29</x:v>
      </x:c>
      <x:c r="H4348" s="19" t="n">
        <x:v>1.2083333333333333</x:v>
      </x:c>
      <x:c r="I4348" s="18" t="n">
        <x:f>ROUND(MIN(Model_Config_v3!$B$6,MAX(Q4348,R4348,S4348*Model_Config_v3!$B$4+T4348*Model_Config_v3!$B$5)),0)</x:f>
        <x:v>603</x:v>
      </x:c>
      <x:c r="J4348" s="18" t="n">
        <x:f>MIN(Model_Config_v3!$B$6,I4348+Model_Config_v3!$B$7)</x:f>
        <x:v>623</x:v>
      </x:c>
      <x:c r="K4348" s="20" t="n">
        <x:v>37.6</x:v>
      </x:c>
      <x:c r="L4348" t="str">
        <x:v>RELATIF LONGGAR</x:v>
      </x:c>
      <x:c r="M4348" t="str">
        <x:v>SEDANG</x:v>
      </x:c>
      <x:c r="N4348" t="str">
        <x:v>REGULER</x:v>
      </x:c>
      <x:c r="O4348" t="str">
        <x:v>SAINTEK</x:v>
      </x:c>
      <x:c r="P4348" t="str">
        <x:v>UMUM</x:v>
      </x:c>
      <x:c r="Q4348" s="18" t="n">
        <x:v>0</x:v>
      </x:c>
      <x:c r="R4348" s="18" t="n">
        <x:v>0</x:v>
      </x:c>
      <x:c r="S4348" s="18" t="n">
        <x:v>529.0405431806086</x:v>
      </x:c>
      <x:c r="T4348" s="18" t="n">
        <x:v>635</x:v>
      </x:c>
      <x:c r="U4348" s="18" t="n">
        <x:v>529.0405431806086</x:v>
      </x:c>
      <x:c r="V4348" s="20" t="n">
        <x:v>12</x:v>
      </x:c>
      <x:c r="W4348" s="20" t="n">
        <x:v>5</x:v>
      </x:c>
      <x:c r="X4348" s="20" t="n">
        <x:v>3</x:v>
      </x:c>
      <x:c r="Y4348" t="str">
        <x:v>Basis arsip 2025/2024</x:v>
      </x:c>
      <x:c r="Z4348" t="str">
        <x:v>https://snpmb.id/utbk-snbt/daya-tampung-snbt</x:v>
      </x:c>
      <x:c r="AA4348" t="str">
        <x:v>Tidak Ada</x:v>
      </x:c>
      <x:c r="AB4348" t="str">
        <x:v>Campus=55; Ratio=4.8; Prodi=40; RelDemand=11.1; Capacity=80.0</x:v>
      </x:c>
    </x:row>
    <x:row r="4349">
      <x:c r="A4349" t="n">
        <x:v>4346</x:v>
      </x:c>
      <x:c r="B4349" t="str">
        <x:v>PTN Vokasi</x:v>
      </x:c>
      <x:c r="C4349" t="str">
        <x:v>POLITEKNIK NEGERI MADIUN</x:v>
      </x:c>
      <x:c r="D4349" t="str">
        <x:v>TEKNOLOGI REKAYASA OTOMASI</x:v>
      </x:c>
      <x:c r="E4349" t="str">
        <x:v>Sarjana Terapan</x:v>
      </x:c>
      <x:c r="F4349" s="18" t="n">
        <x:v>24</x:v>
      </x:c>
      <x:c r="G4349" s="18"/>
      <x:c r="H4349" s="19" t="n">
        <x:v>0</x:v>
      </x:c>
      <x:c r="I4349" s="18" t="n">
        <x:f>ROUND(MIN(Model_Config_v3!$B$6,MAX(Q4349,R4349,S4349*Model_Config_v3!$B$4+T4349*Model_Config_v3!$B$5)),0)</x:f>
        <x:v>597</x:v>
      </x:c>
      <x:c r="J4349" s="18" t="n">
        <x:f>MIN(Model_Config_v3!$B$6,I4349+Model_Config_v3!$B$7)</x:f>
        <x:v>617</x:v>
      </x:c>
      <x:c r="K4349" s="20" t="n">
        <x:v>35.2</x:v>
      </x:c>
      <x:c r="L4349" t="str">
        <x:v>RELATIF LONGGAR</x:v>
      </x:c>
      <x:c r="M4349" t="str">
        <x:v>RENDAH</x:v>
      </x:c>
      <x:c r="N4349" t="str">
        <x:v>REGULER</x:v>
      </x:c>
      <x:c r="O4349" t="str">
        <x:v>SAINTEK</x:v>
      </x:c>
      <x:c r="P4349" t="str">
        <x:v>UMUM</x:v>
      </x:c>
      <x:c r="Q4349" s="18" t="n">
        <x:v>0</x:v>
      </x:c>
      <x:c r="R4349" s="18" t="n">
        <x:v>0</x:v>
      </x:c>
      <x:c r="S4349" s="18" t="n">
        <x:v>520</x:v>
      </x:c>
      <x:c r="T4349" s="18" t="n">
        <x:v>630</x:v>
      </x:c>
      <x:c r="U4349" s="18" t="n">
        <x:v>520</x:v>
      </x:c>
      <x:c r="V4349" s="20" t="n">
        <x:v>12</x:v>
      </x:c>
      <x:c r="W4349" s="20" t="n">
        <x:v>5</x:v>
      </x:c>
      <x:c r="X4349" s="20" t="n">
        <x:v>3</x:v>
      </x:c>
      <x:c r="Y4349" t="str">
        <x:v>Basis arsip 2025/2024</x:v>
      </x:c>
      <x:c r="Z4349" t="str">
        <x:v>https://snpmb.id/utbk-snbt/daya-tampung-snbt</x:v>
      </x:c>
      <x:c r="AA4349" t="str">
        <x:v>Tidak Ada</x:v>
      </x:c>
      <x:c r="AB4349" t="str">
        <x:v>Campus=55; Ratio=0.0; Prodi=40; RelDemand=0.0; Capacity=80.0</x:v>
      </x:c>
    </x:row>
    <x:row r="4350">
      <x:c r="A4350" t="n">
        <x:v>4347</x:v>
      </x:c>
      <x:c r="B4350" t="str">
        <x:v>PTN Vokasi</x:v>
      </x:c>
      <x:c r="C4350" t="str">
        <x:v>POLITEKNIK NEGERI MADIUN</x:v>
      </x:c>
      <x:c r="D4350" t="str">
        <x:v>BAHASA INGGRIS UNTUK KOMUNIKASI BISNIS DAN PROFESIONAL</x:v>
      </x:c>
      <x:c r="E4350" t="str">
        <x:v>Sarjana Terapan</x:v>
      </x:c>
      <x:c r="F4350" s="18" t="n">
        <x:v>24</x:v>
      </x:c>
      <x:c r="G4350" s="18"/>
      <x:c r="H4350" s="19" t="n">
        <x:v>0</x:v>
      </x:c>
      <x:c r="I4350" s="18" t="n">
        <x:f>ROUND(MIN(Model_Config_v3!$B$6,MAX(Q4350,R4350,S4350*Model_Config_v3!$B$4+T4350*Model_Config_v3!$B$5)),0)</x:f>
        <x:v>604</x:v>
      </x:c>
      <x:c r="J4350" s="18" t="n">
        <x:f>MIN(Model_Config_v3!$B$6,I4350+Model_Config_v3!$B$7)</x:f>
        <x:v>624</x:v>
      </x:c>
      <x:c r="K4350" s="20" t="n">
        <x:v>40.2</x:v>
      </x:c>
      <x:c r="L4350" t="str">
        <x:v>RELATIF LONGGAR</x:v>
      </x:c>
      <x:c r="M4350" t="str">
        <x:v>RENDAH</x:v>
      </x:c>
      <x:c r="N4350" t="str">
        <x:v>REGULER</x:v>
      </x:c>
      <x:c r="O4350" t="str">
        <x:v>SOSHUM</x:v>
      </x:c>
      <x:c r="P4350" t="str">
        <x:v>BISNIS/EKONOMI/AKUNTANSI</x:v>
      </x:c>
      <x:c r="Q4350" s="18" t="n">
        <x:v>0</x:v>
      </x:c>
      <x:c r="R4350" s="18" t="n">
        <x:v>0</x:v>
      </x:c>
      <x:c r="S4350" s="18" t="n">
        <x:v>520</x:v>
      </x:c>
      <x:c r="T4350" s="18" t="n">
        <x:v>640</x:v>
      </x:c>
      <x:c r="U4350" s="18" t="n">
        <x:v>535</x:v>
      </x:c>
      <x:c r="V4350" s="20" t="n">
        <x:v>4.4</x:v>
      </x:c>
      <x:c r="W4350" s="20" t="n">
        <x:v>14.3</x:v>
      </x:c>
      <x:c r="X4350" s="20" t="n">
        <x:v>3.3</x:v>
      </x:c>
      <x:c r="Y4350" t="str">
        <x:v>Basis arsip 2025/2024</x:v>
      </x:c>
      <x:c r="Z4350" t="str">
        <x:v>https://snpmb.id/utbk-snbt/daya-tampung-snbt</x:v>
      </x:c>
      <x:c r="AA4350" t="str">
        <x:v>Tidak Ada</x:v>
      </x:c>
      <x:c r="AB4350" t="str">
        <x:v>Campus=55; Ratio=0.0; Prodi=65; RelDemand=0.0; Capacity=80.0</x:v>
      </x:c>
    </x:row>
    <x:row r="4351">
      <x:c r="A4351" t="n">
        <x:v>4348</x:v>
      </x:c>
      <x:c r="B4351" t="str">
        <x:v>PTN Vokasi</x:v>
      </x:c>
      <x:c r="C4351" t="str">
        <x:v>POLITEKNIK NEGERI MADIUN</x:v>
      </x:c>
      <x:c r="D4351" t="str">
        <x:v>AKUNTANSI</x:v>
      </x:c>
      <x:c r="E4351" t="str">
        <x:v>Diploma Tiga</x:v>
      </x:c>
      <x:c r="F4351" s="18" t="n">
        <x:v>48</x:v>
      </x:c>
      <x:c r="G4351" s="18" t="n">
        <x:v>305</x:v>
      </x:c>
      <x:c r="H4351" s="19" t="n">
        <x:v>6.354166666666667</x:v>
      </x:c>
      <x:c r="I4351" s="18" t="n">
        <x:f>ROUND(MIN(Model_Config_v3!$B$6,MAX(Q4351,R4351,S4351*Model_Config_v3!$B$4+T4351*Model_Config_v3!$B$5)),0)</x:f>
        <x:v>653</x:v>
      </x:c>
      <x:c r="J4351" s="18" t="n">
        <x:f>MIN(Model_Config_v3!$B$6,I4351+Model_Config_v3!$B$7)</x:f>
        <x:v>673</x:v>
      </x:c>
      <x:c r="K4351" s="20" t="n">
        <x:v>55.9</x:v>
      </x:c>
      <x:c r="L4351" t="str">
        <x:v>KETAT</x:v>
      </x:c>
      <x:c r="M4351" t="str">
        <x:v>SEDANG+</x:v>
      </x:c>
      <x:c r="N4351" t="str">
        <x:v>REGULER</x:v>
      </x:c>
      <x:c r="O4351" t="str">
        <x:v>SOSHUM</x:v>
      </x:c>
      <x:c r="P4351" t="str">
        <x:v>BISNIS/EKONOMI/AKUNTANSI</x:v>
      </x:c>
      <x:c r="Q4351" s="18" t="n">
        <x:v>0</x:v>
      </x:c>
      <x:c r="R4351" s="18" t="n">
        <x:v>0</x:v>
      </x:c>
      <x:c r="S4351" s="18" t="n">
        <x:v>608.3364462168319</x:v>
      </x:c>
      <x:c r="T4351" s="18" t="n">
        <x:v>672</x:v>
      </x:c>
      <x:c r="U4351" s="18" t="n">
        <x:v>608.3364462168319</x:v>
      </x:c>
      <x:c r="V4351" s="20" t="n">
        <x:v>4.4</x:v>
      </x:c>
      <x:c r="W4351" s="20" t="n">
        <x:v>14.3</x:v>
      </x:c>
      <x:c r="X4351" s="20" t="n">
        <x:v>3.3</x:v>
      </x:c>
      <x:c r="Y4351" t="str">
        <x:v>Basis arsip 2025/2024</x:v>
      </x:c>
      <x:c r="Z4351" t="str">
        <x:v>https://snpmb.id/utbk-snbt/daya-tampung-snbt</x:v>
      </x:c>
      <x:c r="AA4351" t="str">
        <x:v>Tidak Ada</x:v>
      </x:c>
      <x:c r="AB4351" t="str">
        <x:v>Campus=55; Ratio=47.3; Prodi=65; RelDemand=58.4; Capacity=60.0</x:v>
      </x:c>
    </x:row>
    <x:row r="4352">
      <x:c r="A4352" t="n">
        <x:v>4349</x:v>
      </x:c>
      <x:c r="B4352" t="str">
        <x:v>PTN Vokasi</x:v>
      </x:c>
      <x:c r="C4352" t="str">
        <x:v>POLITEKNIK NEGERI MADIUN</x:v>
      </x:c>
      <x:c r="D4352" t="str">
        <x:v>TEKNOLOGI INFORMASI</x:v>
      </x:c>
      <x:c r="E4352" t="str">
        <x:v>Diploma Tiga</x:v>
      </x:c>
      <x:c r="F4352" s="18" t="n">
        <x:v>48</x:v>
      </x:c>
      <x:c r="G4352" s="18" t="n">
        <x:v>325</x:v>
      </x:c>
      <x:c r="H4352" s="19" t="n">
        <x:v>6.770833333333333</x:v>
      </x:c>
      <x:c r="I4352" s="18" t="n">
        <x:f>ROUND(MIN(Model_Config_v3!$B$6,MAX(Q4352,R4352,S4352*Model_Config_v3!$B$4+T4352*Model_Config_v3!$B$5)),0)</x:f>
        <x:v>648</x:v>
      </x:c>
      <x:c r="J4352" s="18" t="n">
        <x:f>MIN(Model_Config_v3!$B$6,I4352+Model_Config_v3!$B$7)</x:f>
        <x:v>668</x:v>
      </x:c>
      <x:c r="K4352" s="20" t="n">
        <x:v>51.7</x:v>
      </x:c>
      <x:c r="L4352" t="str">
        <x:v>MENENGAH</x:v>
      </x:c>
      <x:c r="M4352" t="str">
        <x:v>SEDANG</x:v>
      </x:c>
      <x:c r="N4352" t="str">
        <x:v>REGULER</x:v>
      </x:c>
      <x:c r="O4352" t="str">
        <x:v>SAINTEK</x:v>
      </x:c>
      <x:c r="P4352" t="str">
        <x:v>UMUM</x:v>
      </x:c>
      <x:c r="Q4352" s="18" t="n">
        <x:v>0</x:v>
      </x:c>
      <x:c r="R4352" s="18" t="n">
        <x:v>0</x:v>
      </x:c>
      <x:c r="S4352" s="18" t="n">
        <x:v>611.3706335963616</x:v>
      </x:c>
      <x:c r="T4352" s="18" t="n">
        <x:v>663</x:v>
      </x:c>
      <x:c r="U4352" s="18" t="n">
        <x:v>611.3706335963616</x:v>
      </x:c>
      <x:c r="V4352" s="20" t="n">
        <x:v>12</x:v>
      </x:c>
      <x:c r="W4352" s="20" t="n">
        <x:v>5</x:v>
      </x:c>
      <x:c r="X4352" s="20" t="n">
        <x:v>3</x:v>
      </x:c>
      <x:c r="Y4352" t="str">
        <x:v>Basis arsip 2025/2024</x:v>
      </x:c>
      <x:c r="Z4352" t="str">
        <x:v>https://snpmb.id/utbk-snbt/daya-tampung-snbt</x:v>
      </x:c>
      <x:c r="AA4352" t="str">
        <x:v>Tidak Ada</x:v>
      </x:c>
      <x:c r="AB4352" t="str">
        <x:v>Campus=55; Ratio=48.9; Prodi=40; RelDemand=62.2; Capacity=60.0</x:v>
      </x:c>
    </x:row>
    <x:row r="4353">
      <x:c r="A4353" t="n">
        <x:v>4350</x:v>
      </x:c>
      <x:c r="B4353" t="str">
        <x:v>PTN Vokasi</x:v>
      </x:c>
      <x:c r="C4353" t="str">
        <x:v>POLITEKNIK NEGERI MADIUN</x:v>
      </x:c>
      <x:c r="D4353" t="str">
        <x:v>TEKNIK KOMPUTER KONTROL</x:v>
      </x:c>
      <x:c r="E4353" t="str">
        <x:v>Diploma Tiga</x:v>
      </x:c>
      <x:c r="F4353" s="18" t="n">
        <x:v>48</x:v>
      </x:c>
      <x:c r="G4353" s="18" t="n">
        <x:v>105</x:v>
      </x:c>
      <x:c r="H4353" s="19" t="n">
        <x:v>2.1875</x:v>
      </x:c>
      <x:c r="I4353" s="18" t="n">
        <x:f>ROUND(MIN(Model_Config_v3!$B$6,MAX(Q4353,R4353,S4353*Model_Config_v3!$B$4+T4353*Model_Config_v3!$B$5)),0)</x:f>
        <x:v>629</x:v>
      </x:c>
      <x:c r="J4353" s="18" t="n">
        <x:f>MIN(Model_Config_v3!$B$6,I4353+Model_Config_v3!$B$7)</x:f>
        <x:v>649</x:v>
      </x:c>
      <x:c r="K4353" s="20" t="n">
        <x:v>49.3</x:v>
      </x:c>
      <x:c r="L4353" t="str">
        <x:v>MENENGAH</x:v>
      </x:c>
      <x:c r="M4353" t="str">
        <x:v>SEDANG+</x:v>
      </x:c>
      <x:c r="N4353" t="str">
        <x:v>REGULER</x:v>
      </x:c>
      <x:c r="O4353" t="str">
        <x:v>SAINTEK</x:v>
      </x:c>
      <x:c r="P4353" t="str">
        <x:v>KOMPUTER/INFORMATIKA</x:v>
      </x:c>
      <x:c r="Q4353" s="18" t="n">
        <x:v>0</x:v>
      </x:c>
      <x:c r="R4353" s="18" t="n">
        <x:v>0</x:v>
      </x:c>
      <x:c r="S4353" s="18" t="n">
        <x:v>557.3942867863786</x:v>
      </x:c>
      <x:c r="T4353" s="18" t="n">
        <x:v>659</x:v>
      </x:c>
      <x:c r="U4353" s="18" t="n">
        <x:v>582.3942867863786</x:v>
      </x:c>
      <x:c r="V4353" s="20" t="n">
        <x:v>12</x:v>
      </x:c>
      <x:c r="W4353" s="20" t="n">
        <x:v>5</x:v>
      </x:c>
      <x:c r="X4353" s="20" t="n">
        <x:v>3</x:v>
      </x:c>
      <x:c r="Y4353" t="str">
        <x:v>Basis arsip 2025/2024</x:v>
      </x:c>
      <x:c r="Z4353" t="str">
        <x:v>https://snpmb.id/utbk-snbt/daya-tampung-snbt</x:v>
      </x:c>
      <x:c r="AA4353" t="str">
        <x:v>Tidak Ada</x:v>
      </x:c>
      <x:c r="AB4353" t="str">
        <x:v>Campus=55; Ratio=20.0; Prodi=85; RelDemand=20.1; Capacity=60.0</x:v>
      </x:c>
    </x:row>
    <x:row r="4354">
      <x:c r="A4354" t="n">
        <x:v>4351</x:v>
      </x:c>
      <x:c r="B4354" t="str">
        <x:v>PTN Vokasi</x:v>
      </x:c>
      <x:c r="C4354" t="str">
        <x:v>POLITEKNIK NEGERI MADIUN</x:v>
      </x:c>
      <x:c r="D4354" t="str">
        <x:v>BAHASA INGGRIS</x:v>
      </x:c>
      <x:c r="E4354" t="str">
        <x:v>Diploma Tiga</x:v>
      </x:c>
      <x:c r="F4354" s="18" t="n">
        <x:v>36</x:v>
      </x:c>
      <x:c r="G4354" s="18" t="n">
        <x:v>137</x:v>
      </x:c>
      <x:c r="H4354" s="19" t="n">
        <x:v>3.8055555555555554</x:v>
      </x:c>
      <x:c r="I4354" s="18" t="n">
        <x:f>ROUND(MIN(Model_Config_v3!$B$6,MAX(Q4354,R4354,S4354*Model_Config_v3!$B$4+T4354*Model_Config_v3!$B$5)),0)</x:f>
        <x:v>632</x:v>
      </x:c>
      <x:c r="J4354" s="18" t="n">
        <x:f>MIN(Model_Config_v3!$B$6,I4354+Model_Config_v3!$B$7)</x:f>
        <x:v>652</x:v>
      </x:c>
      <x:c r="K4354" s="20" t="n">
        <x:v>46.3</x:v>
      </x:c>
      <x:c r="L4354" t="str">
        <x:v>MENENGAH</x:v>
      </x:c>
      <x:c r="M4354" t="str">
        <x:v>SEDANG</x:v>
      </x:c>
      <x:c r="N4354" t="str">
        <x:v>REGULER</x:v>
      </x:c>
      <x:c r="O4354" t="str">
        <x:v>SOSHUM</x:v>
      </x:c>
      <x:c r="P4354" t="str">
        <x:v>UMUM</x:v>
      </x:c>
      <x:c r="Q4354" s="18" t="n">
        <x:v>0</x:v>
      </x:c>
      <x:c r="R4354" s="18" t="n">
        <x:v>0</x:v>
      </x:c>
      <x:c r="S4354" s="18" t="n">
        <x:v>583.8459873028031</x:v>
      </x:c>
      <x:c r="T4354" s="18" t="n">
        <x:v>653</x:v>
      </x:c>
      <x:c r="U4354" s="18" t="n">
        <x:v>583.8459873028031</x:v>
      </x:c>
      <x:c r="V4354" s="20" t="n">
        <x:v>4.4</x:v>
      </x:c>
      <x:c r="W4354" s="20" t="n">
        <x:v>14.3</x:v>
      </x:c>
      <x:c r="X4354" s="20" t="n">
        <x:v>3.3</x:v>
      </x:c>
      <x:c r="Y4354" t="str">
        <x:v>Basis arsip 2025/2024</x:v>
      </x:c>
      <x:c r="Z4354" t="str">
        <x:v>https://snpmb.id/utbk-snbt/daya-tampung-snbt</x:v>
      </x:c>
      <x:c r="AA4354" t="str">
        <x:v>Tidak Ada</x:v>
      </x:c>
      <x:c r="AB4354" t="str">
        <x:v>Campus=55; Ratio=34.2; Prodi=40; RelDemand=35.0; Capacity=70.0</x:v>
      </x:c>
    </x:row>
    <x:row r="4355">
      <x:c r="A4355" t="n">
        <x:v>4352</x:v>
      </x:c>
      <x:c r="B4355" t="str">
        <x:v>PTN Vokasi</x:v>
      </x:c>
      <x:c r="C4355" t="str">
        <x:v>POLITEKNIK NEGERI MADIUN</x:v>
      </x:c>
      <x:c r="D4355" t="str">
        <x:v>TEKNIK LISTRIK</x:v>
      </x:c>
      <x:c r="E4355" t="str">
        <x:v>Diploma Tiga</x:v>
      </x:c>
      <x:c r="F4355" s="18" t="n">
        <x:v>48</x:v>
      </x:c>
      <x:c r="G4355" s="18" t="n">
        <x:v>148</x:v>
      </x:c>
      <x:c r="H4355" s="19" t="n">
        <x:v>3.0833333333333335</x:v>
      </x:c>
      <x:c r="I4355" s="18" t="n">
        <x:f>ROUND(MIN(Model_Config_v3!$B$6,MAX(Q4355,R4355,S4355*Model_Config_v3!$B$4+T4355*Model_Config_v3!$B$5)),0)</x:f>
        <x:v>631</x:v>
      </x:c>
      <x:c r="J4355" s="18" t="n">
        <x:f>MIN(Model_Config_v3!$B$6,I4355+Model_Config_v3!$B$7)</x:f>
        <x:v>651</x:v>
      </x:c>
      <x:c r="K4355" s="20" t="n">
        <x:v>47.3</x:v>
      </x:c>
      <x:c r="L4355" t="str">
        <x:v>MENENGAH</x:v>
      </x:c>
      <x:c r="M4355" t="str">
        <x:v>SEDANG+</x:v>
      </x:c>
      <x:c r="N4355" t="str">
        <x:v>REGULER</x:v>
      </x:c>
      <x:c r="O4355" t="str">
        <x:v>SAINTEK</x:v>
      </x:c>
      <x:c r="P4355" t="str">
        <x:v>TEKNIK/ARSITEKTUR/STATISTIKA/AKTUARIA</x:v>
      </x:c>
      <x:c r="Q4355" s="18" t="n">
        <x:v>0</x:v>
      </x:c>
      <x:c r="R4355" s="18" t="n">
        <x:v>0</x:v>
      </x:c>
      <x:c r="S4355" s="18" t="n">
        <x:v>573.7922525821307</x:v>
      </x:c>
      <x:c r="T4355" s="18" t="n">
        <x:v>655</x:v>
      </x:c>
      <x:c r="U4355" s="18" t="n">
        <x:v>583.7922525821307</x:v>
      </x:c>
      <x:c r="V4355" s="20" t="n">
        <x:v>12</x:v>
      </x:c>
      <x:c r="W4355" s="20" t="n">
        <x:v>5</x:v>
      </x:c>
      <x:c r="X4355" s="20" t="n">
        <x:v>3</x:v>
      </x:c>
      <x:c r="Y4355" t="str">
        <x:v>Basis arsip 2025/2024</x:v>
      </x:c>
      <x:c r="Z4355" t="str">
        <x:v>https://snpmb.id/utbk-snbt/daya-tampung-snbt</x:v>
      </x:c>
      <x:c r="AA4355" t="str">
        <x:v>Tidak Ada</x:v>
      </x:c>
      <x:c r="AB4355" t="str">
        <x:v>Campus=55; Ratio=28.8; Prodi=60; RelDemand=28.3; Capacity=60.0</x:v>
      </x:c>
    </x:row>
    <x:row r="4356">
      <x:c r="A4356" t="n">
        <x:v>4353</x:v>
      </x:c>
      <x:c r="B4356" t="str">
        <x:v>PTN Vokasi</x:v>
      </x:c>
      <x:c r="C4356" t="str">
        <x:v>POLITEKNIK NEGERI MADIUN</x:v>
      </x:c>
      <x:c r="D4356" t="str">
        <x:v>ADMINISTRASI BISNIS</x:v>
      </x:c>
      <x:c r="E4356" t="str">
        <x:v>Diploma Tiga</x:v>
      </x:c>
      <x:c r="F4356" s="18" t="n">
        <x:v>48</x:v>
      </x:c>
      <x:c r="G4356" s="18" t="n">
        <x:v>619</x:v>
      </x:c>
      <x:c r="H4356" s="19" t="n">
        <x:v>12.895833333333334</x:v>
      </x:c>
      <x:c r="I4356" s="18" t="n">
        <x:f>ROUND(MIN(Model_Config_v3!$B$6,MAX(Q4356,R4356,S4356*Model_Config_v3!$B$4+T4356*Model_Config_v3!$B$5)),0)</x:f>
        <x:v>675</x:v>
      </x:c>
      <x:c r="J4356" s="18" t="n">
        <x:f>MIN(Model_Config_v3!$B$6,I4356+Model_Config_v3!$B$7)</x:f>
        <x:v>695</x:v>
      </x:c>
      <x:c r="K4356" s="20" t="n">
        <x:v>64.6</x:v>
      </x:c>
      <x:c r="L4356" t="str">
        <x:v>KETAT</x:v>
      </x:c>
      <x:c r="M4356" t="str">
        <x:v>SEDANG+</x:v>
      </x:c>
      <x:c r="N4356" t="str">
        <x:v>REGULER</x:v>
      </x:c>
      <x:c r="O4356" t="str">
        <x:v>SOSHUM</x:v>
      </x:c>
      <x:c r="P4356" t="str">
        <x:v>BISNIS/EKONOMI/AKUNTANSI</x:v>
      </x:c>
      <x:c r="Q4356" s="18" t="n">
        <x:v>0</x:v>
      </x:c>
      <x:c r="R4356" s="18" t="n">
        <x:v>0</x:v>
      </x:c>
      <x:c r="S4356" s="18" t="n">
        <x:v>642.1494352808984</x:v>
      </x:c>
      <x:c r="T4356" s="18" t="n">
        <x:v>689</x:v>
      </x:c>
      <x:c r="U4356" s="18" t="n">
        <x:v>657.1494352808984</x:v>
      </x:c>
      <x:c r="V4356" s="20" t="n">
        <x:v>4.4</x:v>
      </x:c>
      <x:c r="W4356" s="20" t="n">
        <x:v>14.3</x:v>
      </x:c>
      <x:c r="X4356" s="20" t="n">
        <x:v>3.3</x:v>
      </x:c>
      <x:c r="Y4356" t="str">
        <x:v>Basis arsip 2025/2024</x:v>
      </x:c>
      <x:c r="Z4356" t="str">
        <x:v>https://snpmb.id/utbk-snbt/daya-tampung-snbt</x:v>
      </x:c>
      <x:c r="AA4356" t="str">
        <x:v>Tidak Ada</x:v>
      </x:c>
      <x:c r="AB4356" t="str">
        <x:v>Campus=55; Ratio=65.4; Prodi=65; RelDemand=100.0; Capacity=60.0</x:v>
      </x:c>
    </x:row>
    <x:row r="4357">
      <x:c r="A4357" t="n">
        <x:v>4354</x:v>
      </x:c>
      <x:c r="B4357" t="str">
        <x:v>PTN Vokasi</x:v>
      </x:c>
      <x:c r="C4357" t="str">
        <x:v>POLITEKNIK NEGERI MALANG</x:v>
      </x:c>
      <x:c r="D4357" t="str">
        <x:v>TEKNIK JARINGAN TELEKOMUNIKASI DIGITAL</x:v>
      </x:c>
      <x:c r="E4357" t="str">
        <x:v>Sarjana Terapan</x:v>
      </x:c>
      <x:c r="F4357" s="18" t="n">
        <x:v>61</x:v>
      </x:c>
      <x:c r="G4357" s="18" t="n">
        <x:v>302</x:v>
      </x:c>
      <x:c r="H4357" s="19" t="n">
        <x:v>4.950819672131147</x:v>
      </x:c>
      <x:c r="I4357" s="18" t="n">
        <x:f>ROUND(MIN(Model_Config_v3!$B$6,MAX(Q4357,R4357,S4357*Model_Config_v3!$B$4+T4357*Model_Config_v3!$B$5)),0)</x:f>
        <x:v>639</x:v>
      </x:c>
      <x:c r="J4357" s="18" t="n">
        <x:f>MIN(Model_Config_v3!$B$6,I4357+Model_Config_v3!$B$7)</x:f>
        <x:v>659</x:v>
      </x:c>
      <x:c r="K4357" s="20" t="n">
        <x:v>48.7</x:v>
      </x:c>
      <x:c r="L4357" t="str">
        <x:v>MENENGAH</x:v>
      </x:c>
      <x:c r="M4357" t="str">
        <x:v>SEDANG+</x:v>
      </x:c>
      <x:c r="N4357" t="str">
        <x:v>REGULER</x:v>
      </x:c>
      <x:c r="O4357" t="str">
        <x:v>SAINTEK</x:v>
      </x:c>
      <x:c r="P4357" t="str">
        <x:v>TEKNIK/ARSITEKTUR/STATISTIKA/AKTUARIA</x:v>
      </x:c>
      <x:c r="Q4357" s="18" t="n">
        <x:v>0</x:v>
      </x:c>
      <x:c r="R4357" s="18" t="n">
        <x:v>0</x:v>
      </x:c>
      <x:c r="S4357" s="18" t="n">
        <x:v>596.4144818741022</x:v>
      </x:c>
      <x:c r="T4357" s="18" t="n">
        <x:v>657</x:v>
      </x:c>
      <x:c r="U4357" s="18" t="n">
        <x:v>606.4144818741022</x:v>
      </x:c>
      <x:c r="V4357" s="20" t="n">
        <x:v>12</x:v>
      </x:c>
      <x:c r="W4357" s="20" t="n">
        <x:v>5</x:v>
      </x:c>
      <x:c r="X4357" s="20" t="n">
        <x:v>3</x:v>
      </x:c>
      <x:c r="Y4357" t="str">
        <x:v>Basis arsip 2025/2024</x:v>
      </x:c>
      <x:c r="Z4357" t="str">
        <x:v>https://snpmb.id/utbk-snbt/daya-tampung-snbt</x:v>
      </x:c>
      <x:c r="AA4357" t="str">
        <x:v>Tidak Ada</x:v>
      </x:c>
      <x:c r="AB4357" t="str">
        <x:v>Campus=55; Ratio=40.9; Prodi=60; RelDemand=23.3; Capacity=49.2</x:v>
      </x:c>
    </x:row>
    <x:row r="4358">
      <x:c r="A4358" t="n">
        <x:v>4355</x:v>
      </x:c>
      <x:c r="B4358" t="str">
        <x:v>PTN Vokasi</x:v>
      </x:c>
      <x:c r="C4358" t="str">
        <x:v>POLITEKNIK NEGERI MALANG</x:v>
      </x:c>
      <x:c r="D4358" t="str">
        <x:v>MANAJEMEN REKAYASA KONSTRUKSI</x:v>
      </x:c>
      <x:c r="E4358" t="str">
        <x:v>Sarjana Terapan</x:v>
      </x:c>
      <x:c r="F4358" s="18" t="n">
        <x:v>52</x:v>
      </x:c>
      <x:c r="G4358" s="18" t="n">
        <x:v>342</x:v>
      </x:c>
      <x:c r="H4358" s="19" t="n">
        <x:v>6.576923076923077</x:v>
      </x:c>
      <x:c r="I4358" s="18" t="n">
        <x:f>ROUND(MIN(Model_Config_v3!$B$6,MAX(Q4358,R4358,S4358*Model_Config_v3!$B$4+T4358*Model_Config_v3!$B$5)),0)</x:f>
        <x:v>649</x:v>
      </x:c>
      <x:c r="J4358" s="18" t="n">
        <x:f>MIN(Model_Config_v3!$B$6,I4358+Model_Config_v3!$B$7)</x:f>
        <x:v>669</x:v>
      </x:c>
      <x:c r="K4358" s="20" t="n">
        <x:v>53.1</x:v>
      </x:c>
      <x:c r="L4358" t="str">
        <x:v>MENENGAH</x:v>
      </x:c>
      <x:c r="M4358" t="str">
        <x:v>SEDANG+</x:v>
      </x:c>
      <x:c r="N4358" t="str">
        <x:v>REGULER</x:v>
      </x:c>
      <x:c r="O4358" t="str">
        <x:v>SOSHUM</x:v>
      </x:c>
      <x:c r="P4358" t="str">
        <x:v>BISNIS/EKONOMI/AKUNTANSI</x:v>
      </x:c>
      <x:c r="Q4358" s="18" t="n">
        <x:v>0</x:v>
      </x:c>
      <x:c r="R4358" s="18" t="n">
        <x:v>0</x:v>
      </x:c>
      <x:c r="S4358" s="18" t="n">
        <x:v>609.982503866347</x:v>
      </x:c>
      <x:c r="T4358" s="18" t="n">
        <x:v>666</x:v>
      </x:c>
      <x:c r="U4358" s="18" t="n">
        <x:v>624.982503866347</x:v>
      </x:c>
      <x:c r="V4358" s="20" t="n">
        <x:v>4.4</x:v>
      </x:c>
      <x:c r="W4358" s="20" t="n">
        <x:v>14.3</x:v>
      </x:c>
      <x:c r="X4358" s="20" t="n">
        <x:v>3.3</x:v>
      </x:c>
      <x:c r="Y4358" t="str">
        <x:v>Basis arsip 2025/2024</x:v>
      </x:c>
      <x:c r="Z4358" t="str">
        <x:v>https://snpmb.id/utbk-snbt/daya-tampung-snbt</x:v>
      </x:c>
      <x:c r="AA4358" t="str">
        <x:v>Tidak Ada</x:v>
      </x:c>
      <x:c r="AB4358" t="str">
        <x:v>Campus=55; Ratio=48.1; Prodi=65; RelDemand=31.0; Capacity=56.7</x:v>
      </x:c>
    </x:row>
    <x:row r="4359">
      <x:c r="A4359" t="n">
        <x:v>4356</x:v>
      </x:c>
      <x:c r="B4359" t="str">
        <x:v>PTN Vokasi</x:v>
      </x:c>
      <x:c r="C4359" t="str">
        <x:v>POLITEKNIK NEGERI MALANG</x:v>
      </x:c>
      <x:c r="D4359" t="str">
        <x:v>SISTEM KELISTRIKAN</x:v>
      </x:c>
      <x:c r="E4359" t="str">
        <x:v>Sarjana Terapan</x:v>
      </x:c>
      <x:c r="F4359" s="18" t="n">
        <x:v>48</x:v>
      </x:c>
      <x:c r="G4359" s="18" t="n">
        <x:v>186</x:v>
      </x:c>
      <x:c r="H4359" s="19" t="n">
        <x:v>3.875</x:v>
      </x:c>
      <x:c r="I4359" s="18" t="n">
        <x:f>ROUND(MIN(Model_Config_v3!$B$6,MAX(Q4359,R4359,S4359*Model_Config_v3!$B$4+T4359*Model_Config_v3!$B$5)),0)</x:f>
        <x:v>628</x:v>
      </x:c>
      <x:c r="J4359" s="18" t="n">
        <x:f>MIN(Model_Config_v3!$B$6,I4359+Model_Config_v3!$B$7)</x:f>
        <x:v>648</x:v>
      </x:c>
      <x:c r="K4359" s="20" t="n">
        <x:v>43.7</x:v>
      </x:c>
      <x:c r="L4359" t="str">
        <x:v>RELATIF LONGGAR</x:v>
      </x:c>
      <x:c r="M4359" t="str">
        <x:v>SEDANG</x:v>
      </x:c>
      <x:c r="N4359" t="str">
        <x:v>REGULER</x:v>
      </x:c>
      <x:c r="O4359" t="str">
        <x:v>CAMPURAN</x:v>
      </x:c>
      <x:c r="P4359" t="str">
        <x:v>UMUM</x:v>
      </x:c>
      <x:c r="Q4359" s="18" t="n">
        <x:v>0</x:v>
      </x:c>
      <x:c r="R4359" s="18" t="n">
        <x:v>0</x:v>
      </x:c>
      <x:c r="S4359" s="18" t="n">
        <x:v>584.7098877526562</x:v>
      </x:c>
      <x:c r="T4359" s="18" t="n">
        <x:v>647</x:v>
      </x:c>
      <x:c r="U4359" s="18" t="n">
        <x:v>584.7098877526562</x:v>
      </x:c>
      <x:c r="V4359" s="20" t="n">
        <x:v>8.8</x:v>
      </x:c>
      <x:c r="W4359" s="20" t="n">
        <x:v>9.9</x:v>
      </x:c>
      <x:c r="X4359" s="20" t="n">
        <x:v>3.3</x:v>
      </x:c>
      <x:c r="Y4359" t="str">
        <x:v>Basis arsip 2025/2024</x:v>
      </x:c>
      <x:c r="Z4359" t="str">
        <x:v>https://snpmb.id/utbk-snbt/daya-tampung-snbt</x:v>
      </x:c>
      <x:c r="AA4359" t="str">
        <x:v>Tidak Ada</x:v>
      </x:c>
      <x:c r="AB4359" t="str">
        <x:v>Campus=55; Ratio=34.6; Prodi=40; RelDemand=18.3; Capacity=60.0</x:v>
      </x:c>
    </x:row>
    <x:row r="4360">
      <x:c r="A4360" t="n">
        <x:v>4357</x:v>
      </x:c>
      <x:c r="B4360" t="str">
        <x:v>PTN Vokasi</x:v>
      </x:c>
      <x:c r="C4360" t="str">
        <x:v>POLITEKNIK NEGERI MALANG</x:v>
      </x:c>
      <x:c r="D4360" t="str">
        <x:v>TEKNIK ELEKTRONIKA</x:v>
      </x:c>
      <x:c r="E4360" t="str">
        <x:v>Sarjana Terapan</x:v>
      </x:c>
      <x:c r="F4360" s="18" t="n">
        <x:v>68</x:v>
      </x:c>
      <x:c r="G4360" s="18" t="n">
        <x:v>489</x:v>
      </x:c>
      <x:c r="H4360" s="19" t="n">
        <x:v>7.1911764705882355</x:v>
      </x:c>
      <x:c r="I4360" s="18" t="n">
        <x:f>ROUND(MIN(Model_Config_v3!$B$6,MAX(Q4360,R4360,S4360*Model_Config_v3!$B$4+T4360*Model_Config_v3!$B$5)),0)</x:f>
        <x:v>648</x:v>
      </x:c>
      <x:c r="J4360" s="18" t="n">
        <x:f>MIN(Model_Config_v3!$B$6,I4360+Model_Config_v3!$B$7)</x:f>
        <x:v>668</x:v>
      </x:c>
      <x:c r="K4360" s="20" t="n">
        <x:v>51.6</x:v>
      </x:c>
      <x:c r="L4360" t="str">
        <x:v>MENENGAH</x:v>
      </x:c>
      <x:c r="M4360" t="str">
        <x:v>SEDANG+</x:v>
      </x:c>
      <x:c r="N4360" t="str">
        <x:v>REGULER</x:v>
      </x:c>
      <x:c r="O4360" t="str">
        <x:v>SAINTEK</x:v>
      </x:c>
      <x:c r="P4360" t="str">
        <x:v>TEKNIK/ARSITEKTUR/STATISTIKA/AKTUARIA</x:v>
      </x:c>
      <x:c r="Q4360" s="18" t="n">
        <x:v>0</x:v>
      </x:c>
      <x:c r="R4360" s="18" t="n">
        <x:v>0</x:v>
      </x:c>
      <x:c r="S4360" s="18" t="n">
        <x:v>614.2479941059122</x:v>
      </x:c>
      <x:c r="T4360" s="18" t="n">
        <x:v>663</x:v>
      </x:c>
      <x:c r="U4360" s="18" t="n">
        <x:v>624.2479941059122</x:v>
      </x:c>
      <x:c r="V4360" s="20" t="n">
        <x:v>12</x:v>
      </x:c>
      <x:c r="W4360" s="20" t="n">
        <x:v>5</x:v>
      </x:c>
      <x:c r="X4360" s="20" t="n">
        <x:v>3</x:v>
      </x:c>
      <x:c r="Y4360" t="str">
        <x:v>Basis arsip 2025/2024</x:v>
      </x:c>
      <x:c r="Z4360" t="str">
        <x:v>https://snpmb.id/utbk-snbt/daya-tampung-snbt</x:v>
      </x:c>
      <x:c r="AA4360" t="str">
        <x:v>Tidak Ada</x:v>
      </x:c>
      <x:c r="AB4360" t="str">
        <x:v>Campus=55; Ratio=50.4; Prodi=60; RelDemand=33.9; Capacity=43.3</x:v>
      </x:c>
    </x:row>
    <x:row r="4361">
      <x:c r="A4361" t="n">
        <x:v>4358</x:v>
      </x:c>
      <x:c r="B4361" t="str">
        <x:v>PTN Vokasi</x:v>
      </x:c>
      <x:c r="C4361" t="str">
        <x:v>POLITEKNIK NEGERI MALANG</x:v>
      </x:c>
      <x:c r="D4361" t="str">
        <x:v>TEKNIK INFORMATIKA</x:v>
      </x:c>
      <x:c r="E4361" t="str">
        <x:v>Sarjana Terapan</x:v>
      </x:c>
      <x:c r="F4361" s="18" t="n">
        <x:v>96</x:v>
      </x:c>
      <x:c r="G4361" s="18" t="n">
        <x:v>1740</x:v>
      </x:c>
      <x:c r="H4361" s="19" t="n">
        <x:v>18.125</x:v>
      </x:c>
      <x:c r="I4361" s="18" t="n">
        <x:f>ROUND(MIN(Model_Config_v3!$B$6,MAX(Q4361,R4361,S4361*Model_Config_v3!$B$4+T4361*Model_Config_v3!$B$5)),0)</x:f>
        <x:v>681</x:v>
      </x:c>
      <x:c r="J4361" s="18" t="n">
        <x:f>MIN(Model_Config_v3!$B$6,I4361+Model_Config_v3!$B$7)</x:f>
        <x:v>701</x:v>
      </x:c>
      <x:c r="K4361" s="20" t="n">
        <x:v>65.3</x:v>
      </x:c>
      <x:c r="L4361" t="str">
        <x:v>SANGAT KETAT</x:v>
      </x:c>
      <x:c r="M4361" t="str">
        <x:v>SEDANG+</x:v>
      </x:c>
      <x:c r="N4361" t="str">
        <x:v>REGULER</x:v>
      </x:c>
      <x:c r="O4361" t="str">
        <x:v>SAINTEK</x:v>
      </x:c>
      <x:c r="P4361" t="str">
        <x:v>KOMPUTER/INFORMATIKA</x:v>
      </x:c>
      <x:c r="Q4361" s="18" t="n">
        <x:v>0</x:v>
      </x:c>
      <x:c r="R4361" s="18" t="n">
        <x:v>0</x:v>
      </x:c>
      <x:c r="S4361" s="18" t="n">
        <x:v>658.4105816767335</x:v>
      </x:c>
      <x:c r="T4361" s="18" t="n">
        <x:v>691</x:v>
      </x:c>
      <x:c r="U4361" s="18" t="n">
        <x:v>683.4105816767335</x:v>
      </x:c>
      <x:c r="V4361" s="20" t="n">
        <x:v>12</x:v>
      </x:c>
      <x:c r="W4361" s="20" t="n">
        <x:v>5</x:v>
      </x:c>
      <x:c r="X4361" s="20" t="n">
        <x:v>3</x:v>
      </x:c>
      <x:c r="Y4361" t="str">
        <x:v>Basis arsip 2025/2024</x:v>
      </x:c>
      <x:c r="Z4361" t="str">
        <x:v>https://snpmb.id/utbk-snbt/daya-tampung-snbt</x:v>
      </x:c>
      <x:c r="AA4361" t="str">
        <x:v>Tidak Ada</x:v>
      </x:c>
      <x:c r="AB4361" t="str">
        <x:v>Campus=55; Ratio=74.1; Prodi=85; RelDemand=85.4; Capacity=20.0</x:v>
      </x:c>
    </x:row>
    <x:row r="4362">
      <x:c r="A4362" t="n">
        <x:v>4359</x:v>
      </x:c>
      <x:c r="B4362" t="str">
        <x:v>PTN Vokasi</x:v>
      </x:c>
      <x:c r="C4362" t="str">
        <x:v>POLITEKNIK NEGERI MALANG</x:v>
      </x:c>
      <x:c r="D4362" t="str">
        <x:v>TEKNOLOGI KIMIA INDUSTRI</x:v>
      </x:c>
      <x:c r="E4362" t="str">
        <x:v>Sarjana Terapan</x:v>
      </x:c>
      <x:c r="F4362" s="18" t="n">
        <x:v>60</x:v>
      </x:c>
      <x:c r="G4362" s="18" t="n">
        <x:v>662</x:v>
      </x:c>
      <x:c r="H4362" s="19" t="n">
        <x:v>11.033333333333333</x:v>
      </x:c>
      <x:c r="I4362" s="18" t="n">
        <x:f>ROUND(MIN(Model_Config_v3!$B$6,MAX(Q4362,R4362,S4362*Model_Config_v3!$B$4+T4362*Model_Config_v3!$B$5)),0)</x:f>
        <x:v>659</x:v>
      </x:c>
      <x:c r="J4362" s="18" t="n">
        <x:f>MIN(Model_Config_v3!$B$6,I4362+Model_Config_v3!$B$7)</x:f>
        <x:v>679</x:v>
      </x:c>
      <x:c r="K4362" s="20" t="n">
        <x:v>54.8</x:v>
      </x:c>
      <x:c r="L4362" t="str">
        <x:v>MENENGAH</x:v>
      </x:c>
      <x:c r="M4362" t="str">
        <x:v>SEDANG+</x:v>
      </x:c>
      <x:c r="N4362" t="str">
        <x:v>REGULER</x:v>
      </x:c>
      <x:c r="O4362" t="str">
        <x:v>SAINTEK</x:v>
      </x:c>
      <x:c r="P4362" t="str">
        <x:v>SAINS DASAR</x:v>
      </x:c>
      <x:c r="Q4362" s="18" t="n">
        <x:v>0</x:v>
      </x:c>
      <x:c r="R4362" s="18" t="n">
        <x:v>0</x:v>
      </x:c>
      <x:c r="S4362" s="18" t="n">
        <x:v>634.6977412961662</x:v>
      </x:c>
      <x:c r="T4362" s="18" t="n">
        <x:v>670</x:v>
      </x:c>
      <x:c r="U4362" s="18" t="n">
        <x:v>634.6977412961662</x:v>
      </x:c>
      <x:c r="V4362" s="20" t="n">
        <x:v>12</x:v>
      </x:c>
      <x:c r="W4362" s="20" t="n">
        <x:v>5</x:v>
      </x:c>
      <x:c r="X4362" s="20" t="n">
        <x:v>3</x:v>
      </x:c>
      <x:c r="Y4362" t="str">
        <x:v>Basis arsip 2025/2024</x:v>
      </x:c>
      <x:c r="Z4362" t="str">
        <x:v>https://snpmb.id/utbk-snbt/daya-tampung-snbt</x:v>
      </x:c>
      <x:c r="AA4362" t="str">
        <x:v>Tidak Ada</x:v>
      </x:c>
      <x:c r="AB4362" t="str">
        <x:v>Campus=55; Ratio=61.4; Prodi=50; RelDemand=52.0; Capacity=50.0</x:v>
      </x:c>
    </x:row>
    <x:row r="4363">
      <x:c r="A4363" t="n">
        <x:v>4360</x:v>
      </x:c>
      <x:c r="B4363" t="str">
        <x:v>PTN Vokasi</x:v>
      </x:c>
      <x:c r="C4363" t="str">
        <x:v>POLITEKNIK NEGERI MALANG</x:v>
      </x:c>
      <x:c r="D4363" t="str">
        <x:v>TEKNIK MESIN PRODUKSI DAN PERAWATAN</x:v>
      </x:c>
      <x:c r="E4363" t="str">
        <x:v>Sarjana Terapan</x:v>
      </x:c>
      <x:c r="F4363" s="18" t="n">
        <x:v>60</x:v>
      </x:c>
      <x:c r="G4363" s="18" t="n">
        <x:v>567</x:v>
      </x:c>
      <x:c r="H4363" s="19" t="n">
        <x:v>9.45</x:v>
      </x:c>
      <x:c r="I4363" s="18" t="n">
        <x:f>ROUND(MIN(Model_Config_v3!$B$6,MAX(Q4363,R4363,S4363*Model_Config_v3!$B$4+T4363*Model_Config_v3!$B$5)),0)</x:f>
        <x:v>657</x:v>
      </x:c>
      <x:c r="J4363" s="18" t="n">
        <x:f>MIN(Model_Config_v3!$B$6,I4363+Model_Config_v3!$B$7)</x:f>
        <x:v>677</x:v>
      </x:c>
      <x:c r="K4363" s="20" t="n">
        <x:v>55.1</x:v>
      </x:c>
      <x:c r="L4363" t="str">
        <x:v>KETAT</x:v>
      </x:c>
      <x:c r="M4363" t="str">
        <x:v>SEDANG+</x:v>
      </x:c>
      <x:c r="N4363" t="str">
        <x:v>REGULER</x:v>
      </x:c>
      <x:c r="O4363" t="str">
        <x:v>SAINTEK</x:v>
      </x:c>
      <x:c r="P4363" t="str">
        <x:v>TEKNIK/ARSITEKTUR/STATISTIKA/AKTUARIA</x:v>
      </x:c>
      <x:c r="Q4363" s="18" t="n">
        <x:v>0</x:v>
      </x:c>
      <x:c r="R4363" s="18" t="n">
        <x:v>0</x:v>
      </x:c>
      <x:c r="S4363" s="18" t="n">
        <x:v>627.2974989360189</x:v>
      </x:c>
      <x:c r="T4363" s="18" t="n">
        <x:v>670</x:v>
      </x:c>
      <x:c r="U4363" s="18" t="n">
        <x:v>637.2974989360189</x:v>
      </x:c>
      <x:c r="V4363" s="20" t="n">
        <x:v>12</x:v>
      </x:c>
      <x:c r="W4363" s="20" t="n">
        <x:v>5</x:v>
      </x:c>
      <x:c r="X4363" s="20" t="n">
        <x:v>3</x:v>
      </x:c>
      <x:c r="Y4363" t="str">
        <x:v>Basis arsip 2025/2024</x:v>
      </x:c>
      <x:c r="Z4363" t="str">
        <x:v>https://snpmb.id/utbk-snbt/daya-tampung-snbt</x:v>
      </x:c>
      <x:c r="AA4363" t="str">
        <x:v>Tidak Ada</x:v>
      </x:c>
      <x:c r="AB4363" t="str">
        <x:v>Campus=55; Ratio=57.4; Prodi=60; RelDemand=44.5; Capacity=50.0</x:v>
      </x:c>
    </x:row>
    <x:row r="4364">
      <x:c r="A4364" t="n">
        <x:v>4361</x:v>
      </x:c>
      <x:c r="B4364" t="str">
        <x:v>PTN Vokasi</x:v>
      </x:c>
      <x:c r="C4364" t="str">
        <x:v>POLITEKNIK NEGERI MALANG</x:v>
      </x:c>
      <x:c r="D4364" t="str">
        <x:v>TEKNIK OTOMOTIF ELEKTRONIK</x:v>
      </x:c>
      <x:c r="E4364" t="str">
        <x:v>Sarjana Terapan</x:v>
      </x:c>
      <x:c r="F4364" s="18" t="n">
        <x:v>48</x:v>
      </x:c>
      <x:c r="G4364" s="18" t="n">
        <x:v>159</x:v>
      </x:c>
      <x:c r="H4364" s="19" t="n">
        <x:v>3.3125</x:v>
      </x:c>
      <x:c r="I4364" s="18" t="n">
        <x:f>ROUND(MIN(Model_Config_v3!$B$6,MAX(Q4364,R4364,S4364*Model_Config_v3!$B$4+T4364*Model_Config_v3!$B$5)),0)</x:f>
        <x:v>630</x:v>
      </x:c>
      <x:c r="J4364" s="18" t="n">
        <x:f>MIN(Model_Config_v3!$B$6,I4364+Model_Config_v3!$B$7)</x:f>
        <x:v>650</x:v>
      </x:c>
      <x:c r="K4364" s="20" t="n">
        <x:v>46.5</x:v>
      </x:c>
      <x:c r="L4364" t="str">
        <x:v>MENENGAH</x:v>
      </x:c>
      <x:c r="M4364" t="str">
        <x:v>SEDANG+</x:v>
      </x:c>
      <x:c r="N4364" t="str">
        <x:v>REGULER</x:v>
      </x:c>
      <x:c r="O4364" t="str">
        <x:v>SAINTEK</x:v>
      </x:c>
      <x:c r="P4364" t="str">
        <x:v>TEKNIK/ARSITEKTUR/STATISTIKA/AKTUARIA</x:v>
      </x:c>
      <x:c r="Q4364" s="18" t="n">
        <x:v>0</x:v>
      </x:c>
      <x:c r="R4364" s="18" t="n">
        <x:v>0</x:v>
      </x:c>
      <x:c r="S4364" s="18" t="n">
        <x:v>577.2171475639351</x:v>
      </x:c>
      <x:c r="T4364" s="18" t="n">
        <x:v>653</x:v>
      </x:c>
      <x:c r="U4364" s="18" t="n">
        <x:v>587.2171475639351</x:v>
      </x:c>
      <x:c r="V4364" s="20" t="n">
        <x:v>12</x:v>
      </x:c>
      <x:c r="W4364" s="20" t="n">
        <x:v>5</x:v>
      </x:c>
      <x:c r="X4364" s="20" t="n">
        <x:v>3</x:v>
      </x:c>
      <x:c r="Y4364" t="str">
        <x:v>Basis arsip 2025/2024</x:v>
      </x:c>
      <x:c r="Z4364" t="str">
        <x:v>https://snpmb.id/utbk-snbt/daya-tampung-snbt</x:v>
      </x:c>
      <x:c r="AA4364" t="str">
        <x:v>Tidak Ada</x:v>
      </x:c>
      <x:c r="AB4364" t="str">
        <x:v>Campus=55; Ratio=30.6; Prodi=60; RelDemand=15.6; Capacity=60.0</x:v>
      </x:c>
    </x:row>
    <x:row r="4365">
      <x:c r="A4365" t="n">
        <x:v>4362</x:v>
      </x:c>
      <x:c r="B4365" t="str">
        <x:v>PTN Vokasi</x:v>
      </x:c>
      <x:c r="C4365" t="str">
        <x:v>POLITEKNIK NEGERI MALANG</x:v>
      </x:c>
      <x:c r="D4365" t="str">
        <x:v>TEKNOLOGI REKAYASA KONSTRUKSI JALAN DAN JEMBATAN</x:v>
      </x:c>
      <x:c r="E4365" t="str">
        <x:v>Sarjana Terapan</x:v>
      </x:c>
      <x:c r="F4365" s="18" t="n">
        <x:v>21</x:v>
      </x:c>
      <x:c r="G4365" s="18" t="n">
        <x:v>216</x:v>
      </x:c>
      <x:c r="H4365" s="19" t="n">
        <x:v>10.285714285714286</x:v>
      </x:c>
      <x:c r="I4365" s="18" t="n">
        <x:f>ROUND(MIN(Model_Config_v3!$B$6,MAX(Q4365,R4365,S4365*Model_Config_v3!$B$4+T4365*Model_Config_v3!$B$5)),0)</x:f>
        <x:v>658</x:v>
      </x:c>
      <x:c r="J4365" s="18" t="n">
        <x:f>MIN(Model_Config_v3!$B$6,I4365+Model_Config_v3!$B$7)</x:f>
        <x:v>678</x:v>
      </x:c>
      <x:c r="K4365" s="20" t="n">
        <x:v>55.2</x:v>
      </x:c>
      <x:c r="L4365" t="str">
        <x:v>KETAT</x:v>
      </x:c>
      <x:c r="M4365" t="str">
        <x:v>SEDANG</x:v>
      </x:c>
      <x:c r="N4365" t="str">
        <x:v>REGULER</x:v>
      </x:c>
      <x:c r="O4365" t="str">
        <x:v>SAINTEK</x:v>
      </x:c>
      <x:c r="P4365" t="str">
        <x:v>UMUM</x:v>
      </x:c>
      <x:c r="Q4365" s="18" t="n">
        <x:v>0</x:v>
      </x:c>
      <x:c r="R4365" s="18" t="n">
        <x:v>0</x:v>
      </x:c>
      <x:c r="S4365" s="18" t="n">
        <x:v>631.3457902058713</x:v>
      </x:c>
      <x:c r="T4365" s="18" t="n">
        <x:v>670</x:v>
      </x:c>
      <x:c r="U4365" s="18" t="n">
        <x:v>631.3457902058713</x:v>
      </x:c>
      <x:c r="V4365" s="20" t="n">
        <x:v>12</x:v>
      </x:c>
      <x:c r="W4365" s="20" t="n">
        <x:v>5</x:v>
      </x:c>
      <x:c r="X4365" s="20" t="n">
        <x:v>3</x:v>
      </x:c>
      <x:c r="Y4365" t="str">
        <x:v>Basis arsip 2025/2024</x:v>
      </x:c>
      <x:c r="Z4365" t="str">
        <x:v>https://snpmb.id/utbk-snbt/daya-tampung-snbt</x:v>
      </x:c>
      <x:c r="AA4365" t="str">
        <x:v>Tidak Ada</x:v>
      </x:c>
      <x:c r="AB4365" t="str">
        <x:v>Campus=55; Ratio=59.6; Prodi=40; RelDemand=48.5; Capacity=82.5</x:v>
      </x:c>
    </x:row>
    <x:row r="4366">
      <x:c r="A4366" t="n">
        <x:v>4363</x:v>
      </x:c>
      <x:c r="B4366" t="str">
        <x:v>PTN Vokasi</x:v>
      </x:c>
      <x:c r="C4366" t="str">
        <x:v>POLITEKNIK NEGERI MALANG</x:v>
      </x:c>
      <x:c r="D4366" t="str">
        <x:v>TEKNIK ELEKTRONIKA (PSDKU KEDIRI)</x:v>
      </x:c>
      <x:c r="E4366" t="str">
        <x:v>Sarjana Terapan</x:v>
      </x:c>
      <x:c r="F4366" s="18" t="n">
        <x:v>24</x:v>
      </x:c>
      <x:c r="G4366" s="18" t="n">
        <x:v>108</x:v>
      </x:c>
      <x:c r="H4366" s="19" t="n">
        <x:v>4.5</x:v>
      </x:c>
      <x:c r="I4366" s="18" t="n">
        <x:f>ROUND(MIN(Model_Config_v3!$B$6,MAX(Q4366,R4366,S4366*Model_Config_v3!$B$4+T4366*Model_Config_v3!$B$5)),0)</x:f>
        <x:v>641</x:v>
      </x:c>
      <x:c r="J4366" s="18" t="n">
        <x:f>MIN(Model_Config_v3!$B$6,I4366+Model_Config_v3!$B$7)</x:f>
        <x:v>661</x:v>
      </x:c>
      <x:c r="K4366" s="20" t="n">
        <x:v>51</x:v>
      </x:c>
      <x:c r="L4366" t="str">
        <x:v>MENENGAH</x:v>
      </x:c>
      <x:c r="M4366" t="str">
        <x:v>SEDANG+</x:v>
      </x:c>
      <x:c r="N4366" t="str">
        <x:v>REGULER</x:v>
      </x:c>
      <x:c r="O4366" t="str">
        <x:v>SAINTEK</x:v>
      </x:c>
      <x:c r="P4366" t="str">
        <x:v>TEKNIK/ARSITEKTUR/STATISTIKA/AKTUARIA</x:v>
      </x:c>
      <x:c r="Q4366" s="18" t="n">
        <x:v>0</x:v>
      </x:c>
      <x:c r="R4366" s="18" t="n">
        <x:v>0</x:v>
      </x:c>
      <x:c r="S4366" s="18" t="n">
        <x:v>591.8533765152878</x:v>
      </x:c>
      <x:c r="T4366" s="18" t="n">
        <x:v>662</x:v>
      </x:c>
      <x:c r="U4366" s="18" t="n">
        <x:v>601.8533765152878</x:v>
      </x:c>
      <x:c r="V4366" s="20" t="n">
        <x:v>12</x:v>
      </x:c>
      <x:c r="W4366" s="20" t="n">
        <x:v>5</x:v>
      </x:c>
      <x:c r="X4366" s="20" t="n">
        <x:v>3</x:v>
      </x:c>
      <x:c r="Y4366" t="str">
        <x:v>Basis arsip 2025/2024</x:v>
      </x:c>
      <x:c r="Z4366" t="str">
        <x:v>https://snpmb.id/utbk-snbt/daya-tampung-snbt</x:v>
      </x:c>
      <x:c r="AA4366" t="str">
        <x:v>Tidak Ada</x:v>
      </x:c>
      <x:c r="AB4366" t="str">
        <x:v>Campus=55; Ratio=38.4; Prodi=60; RelDemand=21.2; Capacity=80.0</x:v>
      </x:c>
    </x:row>
    <x:row r="4367">
      <x:c r="A4367" t="n">
        <x:v>4364</x:v>
      </x:c>
      <x:c r="B4367" t="str">
        <x:v>PTN Vokasi</x:v>
      </x:c>
      <x:c r="C4367" t="str">
        <x:v>POLITEKNIK NEGERI MALANG</x:v>
      </x:c>
      <x:c r="D4367" t="str">
        <x:v>TEKNIK MESIN PRODUKSI DAN PERAWATAN (PSDKU KEDIRI)</x:v>
      </x:c>
      <x:c r="E4367" t="str">
        <x:v>Sarjana Terapan</x:v>
      </x:c>
      <x:c r="F4367" s="18" t="n">
        <x:v>36</x:v>
      </x:c>
      <x:c r="G4367" s="18" t="n">
        <x:v>119</x:v>
      </x:c>
      <x:c r="H4367" s="19" t="n">
        <x:v>3.3055555555555554</x:v>
      </x:c>
      <x:c r="I4367" s="18" t="n">
        <x:f>ROUND(MIN(Model_Config_v3!$B$6,MAX(Q4367,R4367,S4367*Model_Config_v3!$B$4+T4367*Model_Config_v3!$B$5)),0)</x:f>
        <x:v>632</x:v>
      </x:c>
      <x:c r="J4367" s="18" t="n">
        <x:f>MIN(Model_Config_v3!$B$6,I4367+Model_Config_v3!$B$7)</x:f>
        <x:v>652</x:v>
      </x:c>
      <x:c r="K4367" s="20" t="n">
        <x:v>47.4</x:v>
      </x:c>
      <x:c r="L4367" t="str">
        <x:v>MENENGAH</x:v>
      </x:c>
      <x:c r="M4367" t="str">
        <x:v>SEDANG+</x:v>
      </x:c>
      <x:c r="N4367" t="str">
        <x:v>REGULER</x:v>
      </x:c>
      <x:c r="O4367" t="str">
        <x:v>SAINTEK</x:v>
      </x:c>
      <x:c r="P4367" t="str">
        <x:v>TEKNIK/ARSITEKTUR/STATISTIKA/AKTUARIA</x:v>
      </x:c>
      <x:c r="Q4367" s="18" t="n">
        <x:v>0</x:v>
      </x:c>
      <x:c r="R4367" s="18" t="n">
        <x:v>0</x:v>
      </x:c>
      <x:c r="S4367" s="18" t="n">
        <x:v>577.1168906687768</x:v>
      </x:c>
      <x:c r="T4367" s="18" t="n">
        <x:v>655</x:v>
      </x:c>
      <x:c r="U4367" s="18" t="n">
        <x:v>587.1168906687768</x:v>
      </x:c>
      <x:c r="V4367" s="20" t="n">
        <x:v>12</x:v>
      </x:c>
      <x:c r="W4367" s="20" t="n">
        <x:v>5</x:v>
      </x:c>
      <x:c r="X4367" s="20" t="n">
        <x:v>3</x:v>
      </x:c>
      <x:c r="Y4367" t="str">
        <x:v>Basis arsip 2025/2024</x:v>
      </x:c>
      <x:c r="Z4367" t="str">
        <x:v>https://snpmb.id/utbk-snbt/daya-tampung-snbt</x:v>
      </x:c>
      <x:c r="AA4367" t="str">
        <x:v>Tidak Ada</x:v>
      </x:c>
      <x:c r="AB4367" t="str">
        <x:v>Campus=55; Ratio=30.6; Prodi=60; RelDemand=15.6; Capacity=70.0</x:v>
      </x:c>
    </x:row>
    <x:row r="4368">
      <x:c r="A4368" t="n">
        <x:v>4365</x:v>
      </x:c>
      <x:c r="B4368" t="str">
        <x:v>PTN Vokasi</x:v>
      </x:c>
      <x:c r="C4368" t="str">
        <x:v>POLITEKNIK NEGERI MALANG</x:v>
      </x:c>
      <x:c r="D4368" t="str">
        <x:v>TEKNOLOGI REKAYASA OTOMOTIF (PSDKU LUMAJANG)</x:v>
      </x:c>
      <x:c r="E4368" t="str">
        <x:v>Sarjana Terapan</x:v>
      </x:c>
      <x:c r="F4368" s="18" t="n">
        <x:v>24</x:v>
      </x:c>
      <x:c r="G4368" s="18" t="n">
        <x:v>22</x:v>
      </x:c>
      <x:c r="H4368" s="19" t="n">
        <x:v>0.9166666666666666</x:v>
      </x:c>
      <x:c r="I4368" s="18" t="n">
        <x:f>ROUND(MIN(Model_Config_v3!$B$6,MAX(Q4368,R4368,S4368*Model_Config_v3!$B$4+T4368*Model_Config_v3!$B$5)),0)</x:f>
        <x:v>598</x:v>
      </x:c>
      <x:c r="J4368" s="18" t="n">
        <x:f>MIN(Model_Config_v3!$B$6,I4368+Model_Config_v3!$B$7)</x:f>
        <x:v>618</x:v>
      </x:c>
      <x:c r="K4368" s="20" t="n">
        <x:v>35.7</x:v>
      </x:c>
      <x:c r="L4368" t="str">
        <x:v>RELATIF LONGGAR</x:v>
      </x:c>
      <x:c r="M4368" t="str">
        <x:v>SEDANG</x:v>
      </x:c>
      <x:c r="N4368" t="str">
        <x:v>REGULER</x:v>
      </x:c>
      <x:c r="O4368" t="str">
        <x:v>SAINTEK</x:v>
      </x:c>
      <x:c r="P4368" t="str">
        <x:v>UMUM</x:v>
      </x:c>
      <x:c r="Q4368" s="18" t="n">
        <x:v>0</x:v>
      </x:c>
      <x:c r="R4368" s="18" t="n">
        <x:v>0</x:v>
      </x:c>
      <x:c r="S4368" s="18" t="n">
        <x:v>520</x:v>
      </x:c>
      <x:c r="T4368" s="18" t="n">
        <x:v>631</x:v>
      </x:c>
      <x:c r="U4368" s="18" t="n">
        <x:v>520</x:v>
      </x:c>
      <x:c r="V4368" s="20" t="n">
        <x:v>12</x:v>
      </x:c>
      <x:c r="W4368" s="20" t="n">
        <x:v>5</x:v>
      </x:c>
      <x:c r="X4368" s="20" t="n">
        <x:v>3</x:v>
      </x:c>
      <x:c r="Y4368" t="str">
        <x:v>Basis arsip 2025/2024</x:v>
      </x:c>
      <x:c r="Z4368" t="str">
        <x:v>https://snpmb.id/utbk-snbt/daya-tampung-snbt</x:v>
      </x:c>
      <x:c r="AA4368" t="str">
        <x:v>Tidak Ada</x:v>
      </x:c>
      <x:c r="AB4368" t="str">
        <x:v>Campus=55; Ratio=0.0; Prodi=40; RelDemand=4.3; Capacity=80.0</x:v>
      </x:c>
    </x:row>
    <x:row r="4369">
      <x:c r="A4369" t="n">
        <x:v>4366</x:v>
      </x:c>
      <x:c r="B4369" t="str">
        <x:v>PTN Vokasi</x:v>
      </x:c>
      <x:c r="C4369" t="str">
        <x:v>POLITEKNIK NEGERI MALANG</x:v>
      </x:c>
      <x:c r="D4369" t="str">
        <x:v>TEKNIK OTOMOTIF ELEKTRONIK (PSDKU PAMEKASAN)</x:v>
      </x:c>
      <x:c r="E4369" t="str">
        <x:v>Sarjana Terapan</x:v>
      </x:c>
      <x:c r="F4369" s="18" t="n">
        <x:v>10</x:v>
      </x:c>
      <x:c r="G4369" s="18" t="n">
        <x:v>2</x:v>
      </x:c>
      <x:c r="H4369" s="19" t="n">
        <x:v>0.2</x:v>
      </x:c>
      <x:c r="I4369" s="18" t="n">
        <x:f>ROUND(MIN(Model_Config_v3!$B$6,MAX(Q4369,R4369,S4369*Model_Config_v3!$B$4+T4369*Model_Config_v3!$B$5)),0)</x:f>
        <x:v>605</x:v>
      </x:c>
      <x:c r="J4369" s="18" t="n">
        <x:f>MIN(Model_Config_v3!$B$6,I4369+Model_Config_v3!$B$7)</x:f>
        <x:v>625</x:v>
      </x:c>
      <x:c r="K4369" s="20" t="n">
        <x:v>40.5</x:v>
      </x:c>
      <x:c r="L4369" t="str">
        <x:v>RELATIF LONGGAR</x:v>
      </x:c>
      <x:c r="M4369" t="str">
        <x:v>SEDANG+</x:v>
      </x:c>
      <x:c r="N4369" t="str">
        <x:v>REGULER</x:v>
      </x:c>
      <x:c r="O4369" t="str">
        <x:v>SAINTEK</x:v>
      </x:c>
      <x:c r="P4369" t="str">
        <x:v>TEKNIK/ARSITEKTUR/STATISTIKA/AKTUARIA</x:v>
      </x:c>
      <x:c r="Q4369" s="18" t="n">
        <x:v>0</x:v>
      </x:c>
      <x:c r="R4369" s="18" t="n">
        <x:v>0</x:v>
      </x:c>
      <x:c r="S4369" s="18" t="n">
        <x:v>520</x:v>
      </x:c>
      <x:c r="T4369" s="18" t="n">
        <x:v>641</x:v>
      </x:c>
      <x:c r="U4369" s="18" t="n">
        <x:v>530</x:v>
      </x:c>
      <x:c r="V4369" s="20" t="n">
        <x:v>12</x:v>
      </x:c>
      <x:c r="W4369" s="20" t="n">
        <x:v>5</x:v>
      </x:c>
      <x:c r="X4369" s="20" t="n">
        <x:v>3</x:v>
      </x:c>
      <x:c r="Y4369" t="str">
        <x:v>Basis arsip 2025/2024</x:v>
      </x:c>
      <x:c r="Z4369" t="str">
        <x:v>https://snpmb.id/utbk-snbt/daya-tampung-snbt</x:v>
      </x:c>
      <x:c r="AA4369" t="str">
        <x:v>Tidak Ada</x:v>
      </x:c>
      <x:c r="AB4369" t="str">
        <x:v>Campus=55; Ratio=0.0; Prodi=60; RelDemand=0.9; Capacity=91.7</x:v>
      </x:c>
    </x:row>
    <x:row r="4370">
      <x:c r="A4370" t="n">
        <x:v>4367</x:v>
      </x:c>
      <x:c r="B4370" t="str">
        <x:v>PTN Vokasi</x:v>
      </x:c>
      <x:c r="C4370" t="str">
        <x:v>POLITEKNIK NEGERI MALANG</x:v>
      </x:c>
      <x:c r="D4370" t="str">
        <x:v>AKUNTANSI MANAJEMEN</x:v>
      </x:c>
      <x:c r="E4370" t="str">
        <x:v>Sarjana Terapan</x:v>
      </x:c>
      <x:c r="F4370" s="18" t="n">
        <x:v>96</x:v>
      </x:c>
      <x:c r="G4370" s="18" t="n">
        <x:v>1224</x:v>
      </x:c>
      <x:c r="H4370" s="19" t="n">
        <x:v>12.75</x:v>
      </x:c>
      <x:c r="I4370" s="18" t="n">
        <x:f>ROUND(MIN(Model_Config_v3!$B$6,MAX(Q4370,R4370,S4370*Model_Config_v3!$B$4+T4370*Model_Config_v3!$B$5)),0)</x:f>
        <x:v>664</x:v>
      </x:c>
      <x:c r="J4370" s="18" t="n">
        <x:f>MIN(Model_Config_v3!$B$6,I4370+Model_Config_v3!$B$7)</x:f>
        <x:v>684</x:v>
      </x:c>
      <x:c r="K4370" s="20" t="n">
        <x:v>56.5</x:v>
      </x:c>
      <x:c r="L4370" t="str">
        <x:v>KETAT</x:v>
      </x:c>
      <x:c r="M4370" t="str">
        <x:v>SEDANG+</x:v>
      </x:c>
      <x:c r="N4370" t="str">
        <x:v>REGULER</x:v>
      </x:c>
      <x:c r="O4370" t="str">
        <x:v>SOSHUM</x:v>
      </x:c>
      <x:c r="P4370" t="str">
        <x:v>BISNIS/EKONOMI/AKUNTANSI</x:v>
      </x:c>
      <x:c r="Q4370" s="18" t="n">
        <x:v>0</x:v>
      </x:c>
      <x:c r="R4370" s="18" t="n">
        <x:v>0</x:v>
      </x:c>
      <x:c r="S4370" s="18" t="n">
        <x:v>641.6061203246971</x:v>
      </x:c>
      <x:c r="T4370" s="18" t="n">
        <x:v>673</x:v>
      </x:c>
      <x:c r="U4370" s="18" t="n">
        <x:v>656.6061203246971</x:v>
      </x:c>
      <x:c r="V4370" s="20" t="n">
        <x:v>4.4</x:v>
      </x:c>
      <x:c r="W4370" s="20" t="n">
        <x:v>14.3</x:v>
      </x:c>
      <x:c r="X4370" s="20" t="n">
        <x:v>3.3</x:v>
      </x:c>
      <x:c r="Y4370" t="str">
        <x:v>Basis arsip 2025/2024</x:v>
      </x:c>
      <x:c r="Z4370" t="str">
        <x:v>https://snpmb.id/utbk-snbt/daya-tampung-snbt</x:v>
      </x:c>
      <x:c r="AA4370" t="str">
        <x:v>Tidak Ada</x:v>
      </x:c>
      <x:c r="AB4370" t="str">
        <x:v>Campus=55; Ratio=65.1; Prodi=65; RelDemand=60.1; Capacity=20.0</x:v>
      </x:c>
    </x:row>
    <x:row r="4371">
      <x:c r="A4371" t="n">
        <x:v>4368</x:v>
      </x:c>
      <x:c r="B4371" t="str">
        <x:v>PTN Vokasi</x:v>
      </x:c>
      <x:c r="C4371" t="str">
        <x:v>POLITEKNIK NEGERI MALANG</x:v>
      </x:c>
      <x:c r="D4371" t="str">
        <x:v>KEUANGAN</x:v>
      </x:c>
      <x:c r="E4371" t="str">
        <x:v>Sarjana Terapan</x:v>
      </x:c>
      <x:c r="F4371" s="18" t="n">
        <x:v>36</x:v>
      </x:c>
      <x:c r="G4371" s="18" t="n">
        <x:v>393</x:v>
      </x:c>
      <x:c r="H4371" s="19" t="n">
        <x:v>10.916666666666666</x:v>
      </x:c>
      <x:c r="I4371" s="18" t="n">
        <x:f>ROUND(MIN(Model_Config_v3!$B$6,MAX(Q4371,R4371,S4371*Model_Config_v3!$B$4+T4371*Model_Config_v3!$B$5)),0)</x:f>
        <x:v>659</x:v>
      </x:c>
      <x:c r="J4371" s="18" t="n">
        <x:f>MIN(Model_Config_v3!$B$6,I4371+Model_Config_v3!$B$7)</x:f>
        <x:v>679</x:v>
      </x:c>
      <x:c r="K4371" s="20" t="n">
        <x:v>54.7</x:v>
      </x:c>
      <x:c r="L4371" t="str">
        <x:v>MENENGAH</x:v>
      </x:c>
      <x:c r="M4371" t="str">
        <x:v>SEDANG</x:v>
      </x:c>
      <x:c r="N4371" t="str">
        <x:v>REGULER</x:v>
      </x:c>
      <x:c r="O4371" t="str">
        <x:v>CAMPURAN</x:v>
      </x:c>
      <x:c r="P4371" t="str">
        <x:v>UMUM</x:v>
      </x:c>
      <x:c r="Q4371" s="18" t="n">
        <x:v>0</x:v>
      </x:c>
      <x:c r="R4371" s="18" t="n">
        <x:v>0</x:v>
      </x:c>
      <x:c r="S4371" s="18" t="n">
        <x:v>634.1899054568953</x:v>
      </x:c>
      <x:c r="T4371" s="18" t="n">
        <x:v>669</x:v>
      </x:c>
      <x:c r="U4371" s="18" t="n">
        <x:v>634.1899054568953</x:v>
      </x:c>
      <x:c r="V4371" s="20" t="n">
        <x:v>8.8</x:v>
      </x:c>
      <x:c r="W4371" s="20" t="n">
        <x:v>9.9</x:v>
      </x:c>
      <x:c r="X4371" s="20" t="n">
        <x:v>3.3</x:v>
      </x:c>
      <x:c r="Y4371" t="str">
        <x:v>Basis arsip 2025/2024</x:v>
      </x:c>
      <x:c r="Z4371" t="str">
        <x:v>https://snpmb.id/utbk-snbt/daya-tampung-snbt</x:v>
      </x:c>
      <x:c r="AA4371" t="str">
        <x:v>Tidak Ada</x:v>
      </x:c>
      <x:c r="AB4371" t="str">
        <x:v>Campus=55; Ratio=61.1; Prodi=40; RelDemand=51.5; Capacity=70.0</x:v>
      </x:c>
    </x:row>
    <x:row r="4372">
      <x:c r="A4372" t="n">
        <x:v>4369</x:v>
      </x:c>
      <x:c r="B4372" t="str">
        <x:v>PTN Vokasi</x:v>
      </x:c>
      <x:c r="C4372" t="str">
        <x:v>POLITEKNIK NEGERI MALANG</x:v>
      </x:c>
      <x:c r="D4372" t="str">
        <x:v>MANAJEMEN PEMASARAN</x:v>
      </x:c>
      <x:c r="E4372" t="str">
        <x:v>Sarjana Terapan</x:v>
      </x:c>
      <x:c r="F4372" s="18" t="n">
        <x:v>84</x:v>
      </x:c>
      <x:c r="G4372" s="18" t="n">
        <x:v>990</x:v>
      </x:c>
      <x:c r="H4372" s="19" t="n">
        <x:v>11.785714285714286</x:v>
      </x:c>
      <x:c r="I4372" s="18" t="n">
        <x:f>ROUND(MIN(Model_Config_v3!$B$6,MAX(Q4372,R4372,S4372*Model_Config_v3!$B$4+T4372*Model_Config_v3!$B$5)),0)</x:f>
        <x:v>662</x:v>
      </x:c>
      <x:c r="J4372" s="18" t="n">
        <x:f>MIN(Model_Config_v3!$B$6,I4372+Model_Config_v3!$B$7)</x:f>
        <x:v>682</x:v>
      </x:c>
      <x:c r="K4372" s="20" t="n">
        <x:v>56.6</x:v>
      </x:c>
      <x:c r="L4372" t="str">
        <x:v>KETAT</x:v>
      </x:c>
      <x:c r="M4372" t="str">
        <x:v>SEDANG+</x:v>
      </x:c>
      <x:c r="N4372" t="str">
        <x:v>REGULER</x:v>
      </x:c>
      <x:c r="O4372" t="str">
        <x:v>SOSHUM</x:v>
      </x:c>
      <x:c r="P4372" t="str">
        <x:v>BISNIS/EKONOMI/AKUNTANSI</x:v>
      </x:c>
      <x:c r="Q4372" s="18" t="n">
        <x:v>0</x:v>
      </x:c>
      <x:c r="R4372" s="18" t="n">
        <x:v>0</x:v>
      </x:c>
      <x:c r="S4372" s="18" t="n">
        <x:v>637.8491499389235</x:v>
      </x:c>
      <x:c r="T4372" s="18" t="n">
        <x:v>673</x:v>
      </x:c>
      <x:c r="U4372" s="18" t="n">
        <x:v>652.8491499389235</x:v>
      </x:c>
      <x:c r="V4372" s="20" t="n">
        <x:v>4.4</x:v>
      </x:c>
      <x:c r="W4372" s="20" t="n">
        <x:v>14.3</x:v>
      </x:c>
      <x:c r="X4372" s="20" t="n">
        <x:v>3.3</x:v>
      </x:c>
      <x:c r="Y4372" t="str">
        <x:v>Basis arsip 2025/2024</x:v>
      </x:c>
      <x:c r="Z4372" t="str">
        <x:v>https://snpmb.id/utbk-snbt/daya-tampung-snbt</x:v>
      </x:c>
      <x:c r="AA4372" t="str">
        <x:v>Tidak Ada</x:v>
      </x:c>
      <x:c r="AB4372" t="str">
        <x:v>Campus=55; Ratio=63.1; Prodi=65; RelDemand=55.6; Capacity=30.0</x:v>
      </x:c>
    </x:row>
    <x:row r="4373">
      <x:c r="A4373" t="n">
        <x:v>4370</x:v>
      </x:c>
      <x:c r="B4373" t="str">
        <x:v>PTN Vokasi</x:v>
      </x:c>
      <x:c r="C4373" t="str">
        <x:v>POLITEKNIK NEGERI MALANG</x:v>
      </x:c>
      <x:c r="D4373" t="str">
        <x:v>BAHASA INGGRIS UNTUK KOMUNIKASI BISNIS DAN PROFESIONAL</x:v>
      </x:c>
      <x:c r="E4373" t="str">
        <x:v>Sarjana Terapan</x:v>
      </x:c>
      <x:c r="F4373" s="18" t="n">
        <x:v>36</x:v>
      </x:c>
      <x:c r="G4373" s="18" t="n">
        <x:v>451</x:v>
      </x:c>
      <x:c r="H4373" s="19" t="n">
        <x:v>12.527777777777779</x:v>
      </x:c>
      <x:c r="I4373" s="18" t="n">
        <x:f>ROUND(MIN(Model_Config_v3!$B$6,MAX(Q4373,R4373,S4373*Model_Config_v3!$B$4+T4373*Model_Config_v3!$B$5)),0)</x:f>
        <x:v>670</x:v>
      </x:c>
      <x:c r="J4373" s="18" t="n">
        <x:f>MIN(Model_Config_v3!$B$6,I4373+Model_Config_v3!$B$7)</x:f>
        <x:v>690</x:v>
      </x:c>
      <x:c r="K4373" s="20" t="n">
        <x:v>61.3</x:v>
      </x:c>
      <x:c r="L4373" t="str">
        <x:v>KETAT</x:v>
      </x:c>
      <x:c r="M4373" t="str">
        <x:v>SEDANG+</x:v>
      </x:c>
      <x:c r="N4373" t="str">
        <x:v>REGULER</x:v>
      </x:c>
      <x:c r="O4373" t="str">
        <x:v>SOSHUM</x:v>
      </x:c>
      <x:c r="P4373" t="str">
        <x:v>BISNIS/EKONOMI/AKUNTANSI</x:v>
      </x:c>
      <x:c r="Q4373" s="18" t="n">
        <x:v>0</x:v>
      </x:c>
      <x:c r="R4373" s="18" t="n">
        <x:v>0</x:v>
      </x:c>
      <x:c r="S4373" s="18" t="n">
        <x:v>640.766144522174</x:v>
      </x:c>
      <x:c r="T4373" s="18" t="n">
        <x:v>683</x:v>
      </x:c>
      <x:c r="U4373" s="18" t="n">
        <x:v>655.766144522174</x:v>
      </x:c>
      <x:c r="V4373" s="20" t="n">
        <x:v>4.4</x:v>
      </x:c>
      <x:c r="W4373" s="20" t="n">
        <x:v>14.3</x:v>
      </x:c>
      <x:c r="X4373" s="20" t="n">
        <x:v>3.3</x:v>
      </x:c>
      <x:c r="Y4373" t="str">
        <x:v>Basis arsip 2025/2024</x:v>
      </x:c>
      <x:c r="Z4373" t="str">
        <x:v>https://snpmb.id/utbk-snbt/daya-tampung-snbt</x:v>
      </x:c>
      <x:c r="AA4373" t="str">
        <x:v>Tidak Ada</x:v>
      </x:c>
      <x:c r="AB4373" t="str">
        <x:v>Campus=55; Ratio=64.6; Prodi=65; RelDemand=59.1; Capacity=70.0</x:v>
      </x:c>
    </x:row>
    <x:row r="4374">
      <x:c r="A4374" t="n">
        <x:v>4371</x:v>
      </x:c>
      <x:c r="B4374" t="str">
        <x:v>PTN Vokasi</x:v>
      </x:c>
      <x:c r="C4374" t="str">
        <x:v>POLITEKNIK NEGERI MALANG</x:v>
      </x:c>
      <x:c r="D4374" t="str">
        <x:v>PENGELOLAAN ARSIP DAN REKAMAN INFORMASI</x:v>
      </x:c>
      <x:c r="E4374" t="str">
        <x:v>Sarjana Terapan</x:v>
      </x:c>
      <x:c r="F4374" s="18" t="n">
        <x:v>24</x:v>
      </x:c>
      <x:c r="G4374" s="18" t="n">
        <x:v>290</x:v>
      </x:c>
      <x:c r="H4374" s="19" t="n">
        <x:v>12.083333333333334</x:v>
      </x:c>
      <x:c r="I4374" s="18" t="n">
        <x:f>ROUND(MIN(Model_Config_v3!$B$6,MAX(Q4374,R4374,S4374*Model_Config_v3!$B$4+T4374*Model_Config_v3!$B$5)),0)</x:f>
        <x:v>664</x:v>
      </x:c>
      <x:c r="J4374" s="18" t="n">
        <x:f>MIN(Model_Config_v3!$B$6,I4374+Model_Config_v3!$B$7)</x:f>
        <x:v>684</x:v>
      </x:c>
      <x:c r="K4374" s="20" t="n">
        <x:v>56.9</x:v>
      </x:c>
      <x:c r="L4374" t="str">
        <x:v>KETAT</x:v>
      </x:c>
      <x:c r="M4374" t="str">
        <x:v>SEDANG</x:v>
      </x:c>
      <x:c r="N4374" t="str">
        <x:v>REGULER</x:v>
      </x:c>
      <x:c r="O4374" t="str">
        <x:v>CAMPURAN</x:v>
      </x:c>
      <x:c r="P4374" t="str">
        <x:v>UMUM</x:v>
      </x:c>
      <x:c r="Q4374" s="18" t="n">
        <x:v>0</x:v>
      </x:c>
      <x:c r="R4374" s="18" t="n">
        <x:v>0</x:v>
      </x:c>
      <x:c r="S4374" s="18" t="n">
        <x:v>639.0405431806084</x:v>
      </x:c>
      <x:c r="T4374" s="18" t="n">
        <x:v>674</x:v>
      </x:c>
      <x:c r="U4374" s="18" t="n">
        <x:v>639.0405431806084</x:v>
      </x:c>
      <x:c r="V4374" s="20" t="n">
        <x:v>8.8</x:v>
      </x:c>
      <x:c r="W4374" s="20" t="n">
        <x:v>9.9</x:v>
      </x:c>
      <x:c r="X4374" s="20" t="n">
        <x:v>3.3</x:v>
      </x:c>
      <x:c r="Y4374" t="str">
        <x:v>Basis arsip 2025/2024</x:v>
      </x:c>
      <x:c r="Z4374" t="str">
        <x:v>https://snpmb.id/utbk-snbt/daya-tampung-snbt</x:v>
      </x:c>
      <x:c r="AA4374" t="str">
        <x:v>Tidak Ada</x:v>
      </x:c>
      <x:c r="AB4374" t="str">
        <x:v>Campus=55; Ratio=63.7; Prodi=40; RelDemand=57.0; Capacity=80.0</x:v>
      </x:c>
    </x:row>
    <x:row r="4375">
      <x:c r="A4375" t="n">
        <x:v>4372</x:v>
      </x:c>
      <x:c r="B4375" t="str">
        <x:v>PTN Vokasi</x:v>
      </x:c>
      <x:c r="C4375" t="str">
        <x:v>POLITEKNIK NEGERI MALANG</x:v>
      </x:c>
      <x:c r="D4375" t="str">
        <x:v>USAHA PERJALANAN WISATA</x:v>
      </x:c>
      <x:c r="E4375" t="str">
        <x:v>Sarjana Terapan</x:v>
      </x:c>
      <x:c r="F4375" s="18" t="n">
        <x:v>24</x:v>
      </x:c>
      <x:c r="G4375" s="18" t="n">
        <x:v>298</x:v>
      </x:c>
      <x:c r="H4375" s="19" t="n">
        <x:v>12.416666666666666</x:v>
      </x:c>
      <x:c r="I4375" s="18" t="n">
        <x:f>ROUND(MIN(Model_Config_v3!$B$6,MAX(Q4375,R4375,S4375*Model_Config_v3!$B$4+T4375*Model_Config_v3!$B$5)),0)</x:f>
        <x:v>664</x:v>
      </x:c>
      <x:c r="J4375" s="18" t="n">
        <x:f>MIN(Model_Config_v3!$B$6,I4375+Model_Config_v3!$B$7)</x:f>
        <x:v>684</x:v>
      </x:c>
      <x:c r="K4375" s="20" t="n">
        <x:v>57.2</x:v>
      </x:c>
      <x:c r="L4375" t="str">
        <x:v>KETAT</x:v>
      </x:c>
      <x:c r="M4375" t="str">
        <x:v>SEDANG</x:v>
      </x:c>
      <x:c r="N4375" t="str">
        <x:v>REGULER</x:v>
      </x:c>
      <x:c r="O4375" t="str">
        <x:v>CAMPURAN</x:v>
      </x:c>
      <x:c r="P4375" t="str">
        <x:v>UMUM</x:v>
      </x:c>
      <x:c r="Q4375" s="18" t="n">
        <x:v>0</x:v>
      </x:c>
      <x:c r="R4375" s="18" t="n">
        <x:v>0</x:v>
      </x:c>
      <x:c r="S4375" s="18" t="n">
        <x:v>640.3405524601114</x:v>
      </x:c>
      <x:c r="T4375" s="18" t="n">
        <x:v>674</x:v>
      </x:c>
      <x:c r="U4375" s="18" t="n">
        <x:v>640.3405524601114</x:v>
      </x:c>
      <x:c r="V4375" s="20" t="n">
        <x:v>8.8</x:v>
      </x:c>
      <x:c r="W4375" s="20" t="n">
        <x:v>9.9</x:v>
      </x:c>
      <x:c r="X4375" s="20" t="n">
        <x:v>3.3</x:v>
      </x:c>
      <x:c r="Y4375" t="str">
        <x:v>Basis arsip 2025/2024</x:v>
      </x:c>
      <x:c r="Z4375" t="str">
        <x:v>https://snpmb.id/utbk-snbt/daya-tampung-snbt</x:v>
      </x:c>
      <x:c r="AA4375" t="str">
        <x:v>Tidak Ada</x:v>
      </x:c>
      <x:c r="AB4375" t="str">
        <x:v>Campus=55; Ratio=64.4; Prodi=40; RelDemand=58.5; Capacity=80.0</x:v>
      </x:c>
    </x:row>
    <x:row r="4376">
      <x:c r="A4376" t="n">
        <x:v>4373</x:v>
      </x:c>
      <x:c r="B4376" t="str">
        <x:v>PTN Vokasi</x:v>
      </x:c>
      <x:c r="C4376" t="str">
        <x:v>POLITEKNIK NEGERI MALANG</x:v>
      </x:c>
      <x:c r="D4376" t="str">
        <x:v>KEUANGAN (PSDKU KEDIRI)</x:v>
      </x:c>
      <x:c r="E4376" t="str">
        <x:v>Sarjana Terapan</x:v>
      </x:c>
      <x:c r="F4376" s="18" t="n">
        <x:v>36</x:v>
      </x:c>
      <x:c r="G4376" s="18" t="n">
        <x:v>251</x:v>
      </x:c>
      <x:c r="H4376" s="19" t="n">
        <x:v>6.972222222222222</x:v>
      </x:c>
      <x:c r="I4376" s="18" t="n">
        <x:f>ROUND(MIN(Model_Config_v3!$B$6,MAX(Q4376,R4376,S4376*Model_Config_v3!$B$4+T4376*Model_Config_v3!$B$5)),0)</x:f>
        <x:v>646</x:v>
      </x:c>
      <x:c r="J4376" s="18" t="n">
        <x:f>MIN(Model_Config_v3!$B$6,I4376+Model_Config_v3!$B$7)</x:f>
        <x:v>666</x:v>
      </x:c>
      <x:c r="K4376" s="20" t="n">
        <x:v>49.9</x:v>
      </x:c>
      <x:c r="L4376" t="str">
        <x:v>MENENGAH</x:v>
      </x:c>
      <x:c r="M4376" t="str">
        <x:v>SEDANG</x:v>
      </x:c>
      <x:c r="N4376" t="str">
        <x:v>REGULER</x:v>
      </x:c>
      <x:c r="O4376" t="str">
        <x:v>CAMPURAN</x:v>
      </x:c>
      <x:c r="P4376" t="str">
        <x:v>UMUM</x:v>
      </x:c>
      <x:c r="Q4376" s="18" t="n">
        <x:v>0</x:v>
      </x:c>
      <x:c r="R4376" s="18" t="n">
        <x:v>0</x:v>
      </x:c>
      <x:c r="S4376" s="18" t="n">
        <x:v>612.7708342785126</x:v>
      </x:c>
      <x:c r="T4376" s="18" t="n">
        <x:v>660</x:v>
      </x:c>
      <x:c r="U4376" s="18" t="n">
        <x:v>612.7708342785126</x:v>
      </x:c>
      <x:c r="V4376" s="20" t="n">
        <x:v>8.8</x:v>
      </x:c>
      <x:c r="W4376" s="20" t="n">
        <x:v>9.9</x:v>
      </x:c>
      <x:c r="X4376" s="20" t="n">
        <x:v>3.3</x:v>
      </x:c>
      <x:c r="Y4376" t="str">
        <x:v>Basis arsip 2025/2024</x:v>
      </x:c>
      <x:c r="Z4376" t="str">
        <x:v>https://snpmb.id/utbk-snbt/daya-tampung-snbt</x:v>
      </x:c>
      <x:c r="AA4376" t="str">
        <x:v>Tidak Ada</x:v>
      </x:c>
      <x:c r="AB4376" t="str">
        <x:v>Campus=55; Ratio=49.6; Prodi=40; RelDemand=32.9; Capacity=70.0</x:v>
      </x:c>
    </x:row>
    <x:row r="4377">
      <x:c r="A4377" t="n">
        <x:v>4374</x:v>
      </x:c>
      <x:c r="B4377" t="str">
        <x:v>PTN Vokasi</x:v>
      </x:c>
      <x:c r="C4377" t="str">
        <x:v>POLITEKNIK NEGERI MALANG</x:v>
      </x:c>
      <x:c r="D4377" t="str">
        <x:v>AKUNTANSI MANAJEMEN (PSDKU PAMEKASAN)</x:v>
      </x:c>
      <x:c r="E4377" t="str">
        <x:v>Sarjana Terapan</x:v>
      </x:c>
      <x:c r="F4377" s="18" t="n">
        <x:v>10</x:v>
      </x:c>
      <x:c r="G4377" s="18" t="n">
        <x:v>13</x:v>
      </x:c>
      <x:c r="H4377" s="19" t="n">
        <x:v>1.3</x:v>
      </x:c>
      <x:c r="I4377" s="18" t="n">
        <x:f>ROUND(MIN(Model_Config_v3!$B$6,MAX(Q4377,R4377,S4377*Model_Config_v3!$B$4+T4377*Model_Config_v3!$B$5)),0)</x:f>
        <x:v>613</x:v>
      </x:c>
      <x:c r="J4377" s="18" t="n">
        <x:f>MIN(Model_Config_v3!$B$6,I4377+Model_Config_v3!$B$7)</x:f>
        <x:v>633</x:v>
      </x:c>
      <x:c r="K4377" s="20" t="n">
        <x:v>43.7</x:v>
      </x:c>
      <x:c r="L4377" t="str">
        <x:v>RELATIF LONGGAR</x:v>
      </x:c>
      <x:c r="M4377" t="str">
        <x:v>SEDANG+</x:v>
      </x:c>
      <x:c r="N4377" t="str">
        <x:v>REGULER</x:v>
      </x:c>
      <x:c r="O4377" t="str">
        <x:v>SOSHUM</x:v>
      </x:c>
      <x:c r="P4377" t="str">
        <x:v>BISNIS/EKONOMI/AKUNTANSI</x:v>
      </x:c>
      <x:c r="Q4377" s="18" t="n">
        <x:v>0</x:v>
      </x:c>
      <x:c r="R4377" s="18" t="n">
        <x:v>0</x:v>
      </x:c>
      <x:c r="S4377" s="18" t="n">
        <x:v>532.533768753752</x:v>
      </x:c>
      <x:c r="T4377" s="18" t="n">
        <x:v>647</x:v>
      </x:c>
      <x:c r="U4377" s="18" t="n">
        <x:v>547.533768753752</x:v>
      </x:c>
      <x:c r="V4377" s="20" t="n">
        <x:v>4.4</x:v>
      </x:c>
      <x:c r="W4377" s="20" t="n">
        <x:v>14.3</x:v>
      </x:c>
      <x:c r="X4377" s="20" t="n">
        <x:v>3.3</x:v>
      </x:c>
      <x:c r="Y4377" t="str">
        <x:v>Basis arsip 2025/2024</x:v>
      </x:c>
      <x:c r="Z4377" t="str">
        <x:v>https://snpmb.id/utbk-snbt/daya-tampung-snbt</x:v>
      </x:c>
      <x:c r="AA4377" t="str">
        <x:v>Tidak Ada</x:v>
      </x:c>
      <x:c r="AB4377" t="str">
        <x:v>Campus=55; Ratio=6.7; Prodi=65; RelDemand=6.1; Capacity=91.7</x:v>
      </x:c>
    </x:row>
    <x:row r="4378">
      <x:c r="A4378" t="n">
        <x:v>4375</x:v>
      </x:c>
      <x:c r="B4378" t="str">
        <x:v>PTN Vokasi</x:v>
      </x:c>
      <x:c r="C4378" t="str">
        <x:v>POLITEKNIK NEGERI MALANG</x:v>
      </x:c>
      <x:c r="D4378" t="str">
        <x:v>SISTEM INFORMASI BISNIS</x:v>
      </x:c>
      <x:c r="E4378" t="str">
        <x:v>Sarjana Terapan</x:v>
      </x:c>
      <x:c r="F4378" s="18" t="n">
        <x:v>72</x:v>
      </x:c>
      <x:c r="G4378" s="18" t="n">
        <x:v>706</x:v>
      </x:c>
      <x:c r="H4378" s="19" t="n">
        <x:v>9.805555555555555</x:v>
      </x:c>
      <x:c r="I4378" s="18" t="n">
        <x:f>ROUND(MIN(Model_Config_v3!$B$6,MAX(Q4378,R4378,S4378*Model_Config_v3!$B$4+T4378*Model_Config_v3!$B$5)),0)</x:f>
        <x:v>664</x:v>
      </x:c>
      <x:c r="J4378" s="18" t="n">
        <x:f>MIN(Model_Config_v3!$B$6,I4378+Model_Config_v3!$B$7)</x:f>
        <x:v>684</x:v>
      </x:c>
      <x:c r="K4378" s="20" t="n">
        <x:v>59.5</x:v>
      </x:c>
      <x:c r="L4378" t="str">
        <x:v>KETAT</x:v>
      </x:c>
      <x:c r="M4378" t="str">
        <x:v>SEDANG+</x:v>
      </x:c>
      <x:c r="N4378" t="str">
        <x:v>REGULER</x:v>
      </x:c>
      <x:c r="O4378" t="str">
        <x:v>SOSHUM</x:v>
      </x:c>
      <x:c r="P4378" t="str">
        <x:v>KOMPUTER/INFORMATIKA</x:v>
      </x:c>
      <x:c r="Q4378" s="18" t="n">
        <x:v>0</x:v>
      </x:c>
      <x:c r="R4378" s="18" t="n">
        <x:v>0</x:v>
      </x:c>
      <x:c r="S4378" s="18" t="n">
        <x:v>629.0619425082589</x:v>
      </x:c>
      <x:c r="T4378" s="18" t="n">
        <x:v>679</x:v>
      </x:c>
      <x:c r="U4378" s="18" t="n">
        <x:v>654.0619425082589</x:v>
      </x:c>
      <x:c r="V4378" s="20" t="n">
        <x:v>4.4</x:v>
      </x:c>
      <x:c r="W4378" s="20" t="n">
        <x:v>14.3</x:v>
      </x:c>
      <x:c r="X4378" s="20" t="n">
        <x:v>3.3</x:v>
      </x:c>
      <x:c r="Y4378" t="str">
        <x:v>Basis arsip 2025/2024</x:v>
      </x:c>
      <x:c r="Z4378" t="str">
        <x:v>https://snpmb.id/utbk-snbt/daya-tampung-snbt</x:v>
      </x:c>
      <x:c r="AA4378" t="str">
        <x:v>Tidak Ada</x:v>
      </x:c>
      <x:c r="AB4378" t="str">
        <x:v>Campus=55; Ratio=58.4; Prodi=85; RelDemand=46.2; Capacity=40.0</x:v>
      </x:c>
    </x:row>
    <x:row r="4379">
      <x:c r="A4379" t="n">
        <x:v>4376</x:v>
      </x:c>
      <x:c r="B4379" t="str">
        <x:v>PTN Vokasi</x:v>
      </x:c>
      <x:c r="C4379" t="str">
        <x:v>POLITEKNIK NEGERI MALANG</x:v>
      </x:c>
      <x:c r="D4379" t="str">
        <x:v>BAHASA INGGRIS UNTUK INDUSTRI PARIWISATA</x:v>
      </x:c>
      <x:c r="E4379" t="str">
        <x:v>Sarjana Terapan</x:v>
      </x:c>
      <x:c r="F4379" s="18" t="n">
        <x:v>24</x:v>
      </x:c>
      <x:c r="G4379" s="18" t="n">
        <x:v>226</x:v>
      </x:c>
      <x:c r="H4379" s="19" t="n">
        <x:v>9.416666666666666</x:v>
      </x:c>
      <x:c r="I4379" s="18" t="n">
        <x:f>ROUND(MIN(Model_Config_v3!$B$6,MAX(Q4379,R4379,S4379*Model_Config_v3!$B$4+T4379*Model_Config_v3!$B$5)),0)</x:f>
        <x:v>656</x:v>
      </x:c>
      <x:c r="J4379" s="18" t="n">
        <x:f>MIN(Model_Config_v3!$B$6,I4379+Model_Config_v3!$B$7)</x:f>
        <x:v>676</x:v>
      </x:c>
      <x:c r="K4379" s="20" t="n">
        <x:v>54</x:v>
      </x:c>
      <x:c r="L4379" t="str">
        <x:v>MENENGAH</x:v>
      </x:c>
      <x:c r="M4379" t="str">
        <x:v>SEDANG</x:v>
      </x:c>
      <x:c r="N4379" t="str">
        <x:v>REGULER</x:v>
      </x:c>
      <x:c r="O4379" t="str">
        <x:v>SOSHUM</x:v>
      </x:c>
      <x:c r="P4379" t="str">
        <x:v>UMUM</x:v>
      </x:c>
      <x:c r="Q4379" s="18" t="n">
        <x:v>0</x:v>
      </x:c>
      <x:c r="R4379" s="18" t="n">
        <x:v>0</x:v>
      </x:c>
      <x:c r="S4379" s="18" t="n">
        <x:v>627.1286917179374</x:v>
      </x:c>
      <x:c r="T4379" s="18" t="n">
        <x:v>668</x:v>
      </x:c>
      <x:c r="U4379" s="18" t="n">
        <x:v>627.1286917179374</x:v>
      </x:c>
      <x:c r="V4379" s="20" t="n">
        <x:v>4.4</x:v>
      </x:c>
      <x:c r="W4379" s="20" t="n">
        <x:v>14.3</x:v>
      </x:c>
      <x:c r="X4379" s="20" t="n">
        <x:v>3.3</x:v>
      </x:c>
      <x:c r="Y4379" t="str">
        <x:v>Basis arsip 2025/2024</x:v>
      </x:c>
      <x:c r="Z4379" t="str">
        <x:v>https://snpmb.id/utbk-snbt/daya-tampung-snbt</x:v>
      </x:c>
      <x:c r="AA4379" t="str">
        <x:v>Tidak Ada</x:v>
      </x:c>
      <x:c r="AB4379" t="str">
        <x:v>Campus=55; Ratio=57.3; Prodi=40; RelDemand=44.4; Capacity=80.0</x:v>
      </x:c>
    </x:row>
    <x:row r="4380">
      <x:c r="A4380" t="n">
        <x:v>4377</x:v>
      </x:c>
      <x:c r="B4380" t="str">
        <x:v>PTN Vokasi</x:v>
      </x:c>
      <x:c r="C4380" t="str">
        <x:v>POLITEKNIK NEGERI MALANG</x:v>
      </x:c>
      <x:c r="D4380" t="str">
        <x:v>TEKNOLOGI PERTAMBANGAN</x:v>
      </x:c>
      <x:c r="E4380" t="str">
        <x:v>Diploma Tiga</x:v>
      </x:c>
      <x:c r="F4380" s="18" t="n">
        <x:v>32</x:v>
      </x:c>
      <x:c r="G4380" s="18" t="n">
        <x:v>1540</x:v>
      </x:c>
      <x:c r="H4380" s="19" t="n">
        <x:v>48.125</x:v>
      </x:c>
      <x:c r="I4380" s="18" t="n">
        <x:f>ROUND(MIN(Model_Config_v3!$B$6,MAX(Q4380,R4380,S4380*Model_Config_v3!$B$4+T4380*Model_Config_v3!$B$5)),0)</x:f>
        <x:v>701</x:v>
      </x:c>
      <x:c r="J4380" s="18" t="n">
        <x:f>MIN(Model_Config_v3!$B$6,I4380+Model_Config_v3!$B$7)</x:f>
        <x:v>721</x:v>
      </x:c>
      <x:c r="K4380" s="20" t="n">
        <x:v>69.3</x:v>
      </x:c>
      <x:c r="L4380" t="str">
        <x:v>SANGAT KETAT</x:v>
      </x:c>
      <x:c r="M4380" t="str">
        <x:v>SEDANG</x:v>
      </x:c>
      <x:c r="N4380" t="str">
        <x:v>REGULER</x:v>
      </x:c>
      <x:c r="O4380" t="str">
        <x:v>SAINTEK</x:v>
      </x:c>
      <x:c r="P4380" t="str">
        <x:v>UMUM</x:v>
      </x:c>
      <x:c r="Q4380" s="18" t="n">
        <x:v>0</x:v>
      </x:c>
      <x:c r="R4380" s="18" t="n">
        <x:v>0</x:v>
      </x:c>
      <x:c r="S4380" s="18" t="n">
        <x:v>705.0607816768213</x:v>
      </x:c>
      <x:c r="T4380" s="18" t="n">
        <x:v>699</x:v>
      </x:c>
      <x:c r="U4380" s="18" t="n">
        <x:v>705.0607816768213</x:v>
      </x:c>
      <x:c r="V4380" s="20" t="n">
        <x:v>12</x:v>
      </x:c>
      <x:c r="W4380" s="20" t="n">
        <x:v>5</x:v>
      </x:c>
      <x:c r="X4380" s="20" t="n">
        <x:v>3</x:v>
      </x:c>
      <x:c r="Y4380" t="str">
        <x:v>Basis arsip 2025/2024</x:v>
      </x:c>
      <x:c r="Z4380" t="str">
        <x:v>https://snpmb.id/utbk-snbt/daya-tampung-snbt</x:v>
      </x:c>
      <x:c r="AA4380" t="str">
        <x:v>Tidak Ada</x:v>
      </x:c>
      <x:c r="AB4380" t="str">
        <x:v>Campus=55; Ratio=99.0; Prodi=40; RelDemand=100.0; Capacity=73.3</x:v>
      </x:c>
    </x:row>
    <x:row r="4381">
      <x:c r="A4381" t="n">
        <x:v>4378</x:v>
      </x:c>
      <x:c r="B4381" t="str">
        <x:v>PTN Vokasi</x:v>
      </x:c>
      <x:c r="C4381" t="str">
        <x:v>POLITEKNIK NEGERI MALANG</x:v>
      </x:c>
      <x:c r="D4381" t="str">
        <x:v>TEKNIK KIMIA</x:v>
      </x:c>
      <x:c r="E4381" t="str">
        <x:v>Diploma Tiga</x:v>
      </x:c>
      <x:c r="F4381" s="18" t="n">
        <x:v>48</x:v>
      </x:c>
      <x:c r="G4381" s="18" t="n">
        <x:v>773</x:v>
      </x:c>
      <x:c r="H4381" s="19" t="n">
        <x:v>16.104166666666668</x:v>
      </x:c>
      <x:c r="I4381" s="18" t="n">
        <x:f>ROUND(MIN(Model_Config_v3!$B$6,MAX(Q4381,R4381,S4381*Model_Config_v3!$B$4+T4381*Model_Config_v3!$B$5)),0)</x:f>
        <x:v>675</x:v>
      </x:c>
      <x:c r="J4381" s="18" t="n">
        <x:f>MIN(Model_Config_v3!$B$6,I4381+Model_Config_v3!$B$7)</x:f>
        <x:v>695</x:v>
      </x:c>
      <x:c r="K4381" s="20" t="n">
        <x:v>62.6</x:v>
      </x:c>
      <x:c r="L4381" t="str">
        <x:v>KETAT</x:v>
      </x:c>
      <x:c r="M4381" t="str">
        <x:v>SEDANG+</x:v>
      </x:c>
      <x:c r="N4381" t="str">
        <x:v>REGULER</x:v>
      </x:c>
      <x:c r="O4381" t="str">
        <x:v>SAINTEK</x:v>
      </x:c>
      <x:c r="P4381" t="str">
        <x:v>TEKNIK/ARSITEKTUR/STATISTIKA/AKTUARIA</x:v>
      </x:c>
      <x:c r="Q4381" s="18" t="n">
        <x:v>0</x:v>
      </x:c>
      <x:c r="R4381" s="18" t="n">
        <x:v>0</x:v>
      </x:c>
      <x:c r="S4381" s="18" t="n">
        <x:v>652.7632082197011</x:v>
      </x:c>
      <x:c r="T4381" s="18" t="n">
        <x:v>685</x:v>
      </x:c>
      <x:c r="U4381" s="18" t="n">
        <x:v>662.7632082197011</x:v>
      </x:c>
      <x:c r="V4381" s="20" t="n">
        <x:v>12</x:v>
      </x:c>
      <x:c r="W4381" s="20" t="n">
        <x:v>5</x:v>
      </x:c>
      <x:c r="X4381" s="20" t="n">
        <x:v>3</x:v>
      </x:c>
      <x:c r="Y4381" t="str">
        <x:v>Basis arsip 2025/2024</x:v>
      </x:c>
      <x:c r="Z4381" t="str">
        <x:v>https://snpmb.id/utbk-snbt/daya-tampung-snbt</x:v>
      </x:c>
      <x:c r="AA4381" t="str">
        <x:v>Tidak Ada</x:v>
      </x:c>
      <x:c r="AB4381" t="str">
        <x:v>Campus=55; Ratio=71.0; Prodi=60; RelDemand=75.9; Capacity=60.0</x:v>
      </x:c>
    </x:row>
    <x:row r="4382">
      <x:c r="A4382" t="n">
        <x:v>4379</x:v>
      </x:c>
      <x:c r="B4382" t="str">
        <x:v>PTN Vokasi</x:v>
      </x:c>
      <x:c r="C4382" t="str">
        <x:v>POLITEKNIK NEGERI MALANG</x:v>
      </x:c>
      <x:c r="D4382" t="str">
        <x:v>TEKNOLOGI KONSTRUKSI JALAN, JEMBATAN, DAN BANGUNAN AIR</x:v>
      </x:c>
      <x:c r="E4382" t="str">
        <x:v>Diploma Tiga</x:v>
      </x:c>
      <x:c r="F4382" s="18" t="n">
        <x:v>32</x:v>
      </x:c>
      <x:c r="G4382" s="18" t="n">
        <x:v>352</x:v>
      </x:c>
      <x:c r="H4382" s="19" t="n">
        <x:v>11</x:v>
      </x:c>
      <x:c r="I4382" s="18" t="n">
        <x:f>ROUND(MIN(Model_Config_v3!$B$6,MAX(Q4382,R4382,S4382*Model_Config_v3!$B$4+T4382*Model_Config_v3!$B$5)),0)</x:f>
        <x:v>659</x:v>
      </x:c>
      <x:c r="J4382" s="18" t="n">
        <x:f>MIN(Model_Config_v3!$B$6,I4382+Model_Config_v3!$B$7)</x:f>
        <x:v>679</x:v>
      </x:c>
      <x:c r="K4382" s="20" t="n">
        <x:v>55.1</x:v>
      </x:c>
      <x:c r="L4382" t="str">
        <x:v>KETAT</x:v>
      </x:c>
      <x:c r="M4382" t="str">
        <x:v>SEDANG</x:v>
      </x:c>
      <x:c r="N4382" t="str">
        <x:v>REGULER</x:v>
      </x:c>
      <x:c r="O4382" t="str">
        <x:v>SAINTEK</x:v>
      </x:c>
      <x:c r="P4382" t="str">
        <x:v>UMUM</x:v>
      </x:c>
      <x:c r="Q4382" s="18" t="n">
        <x:v>0</x:v>
      </x:c>
      <x:c r="R4382" s="18" t="n">
        <x:v>0</x:v>
      </x:c>
      <x:c r="S4382" s="18" t="n">
        <x:v>634.5531953674048</x:v>
      </x:c>
      <x:c r="T4382" s="18" t="n">
        <x:v>670</x:v>
      </x:c>
      <x:c r="U4382" s="18" t="n">
        <x:v>634.5531953674048</x:v>
      </x:c>
      <x:c r="V4382" s="20" t="n">
        <x:v>12</x:v>
      </x:c>
      <x:c r="W4382" s="20" t="n">
        <x:v>5</x:v>
      </x:c>
      <x:c r="X4382" s="20" t="n">
        <x:v>3</x:v>
      </x:c>
      <x:c r="Y4382" t="str">
        <x:v>Basis arsip 2025/2024</x:v>
      </x:c>
      <x:c r="Z4382" t="str">
        <x:v>https://snpmb.id/utbk-snbt/daya-tampung-snbt</x:v>
      </x:c>
      <x:c r="AA4382" t="str">
        <x:v>Tidak Ada</x:v>
      </x:c>
      <x:c r="AB4382" t="str">
        <x:v>Campus=55; Ratio=61.3; Prodi=40; RelDemand=51.9; Capacity=73.3</x:v>
      </x:c>
    </x:row>
    <x:row r="4383">
      <x:c r="A4383" t="n">
        <x:v>4380</x:v>
      </x:c>
      <x:c r="B4383" t="str">
        <x:v>PTN Vokasi</x:v>
      </x:c>
      <x:c r="C4383" t="str">
        <x:v>POLITEKNIK NEGERI MALANG</x:v>
      </x:c>
      <x:c r="D4383" t="str">
        <x:v>TEKNOLOGI SIPIL (KAMPUS KAB LUMAJANG)</x:v>
      </x:c>
      <x:c r="E4383" t="str">
        <x:v>Diploma Tiga</x:v>
      </x:c>
      <x:c r="F4383" s="18" t="n">
        <x:v>32</x:v>
      </x:c>
      <x:c r="G4383" s="18" t="n">
        <x:v>48</x:v>
      </x:c>
      <x:c r="H4383" s="19" t="n">
        <x:v>1.5</x:v>
      </x:c>
      <x:c r="I4383" s="18" t="n">
        <x:f>ROUND(MIN(Model_Config_v3!$B$6,MAX(Q4383,R4383,S4383*Model_Config_v3!$B$4+T4383*Model_Config_v3!$B$5)),0)</x:f>
        <x:v>607</x:v>
      </x:c>
      <x:c r="J4383" s="18" t="n">
        <x:f>MIN(Model_Config_v3!$B$6,I4383+Model_Config_v3!$B$7)</x:f>
        <x:v>627</x:v>
      </x:c>
      <x:c r="K4383" s="20" t="n">
        <x:v>37.9</x:v>
      </x:c>
      <x:c r="L4383" t="str">
        <x:v>RELATIF LONGGAR</x:v>
      </x:c>
      <x:c r="M4383" t="str">
        <x:v>SEDANG</x:v>
      </x:c>
      <x:c r="N4383" t="str">
        <x:v>REGULER</x:v>
      </x:c>
      <x:c r="O4383" t="str">
        <x:v>SAINTEK</x:v>
      </x:c>
      <x:c r="P4383" t="str">
        <x:v>UMUM</x:v>
      </x:c>
      <x:c r="Q4383" s="18" t="n">
        <x:v>0</x:v>
      </x:c>
      <x:c r="R4383" s="18" t="n">
        <x:v>0</x:v>
      </x:c>
      <x:c r="S4383" s="18" t="n">
        <x:v>539.370038496125</x:v>
      </x:c>
      <x:c r="T4383" s="18" t="n">
        <x:v>636</x:v>
      </x:c>
      <x:c r="U4383" s="18" t="n">
        <x:v>539.370038496125</x:v>
      </x:c>
      <x:c r="V4383" s="20" t="n">
        <x:v>12</x:v>
      </x:c>
      <x:c r="W4383" s="20" t="n">
        <x:v>5</x:v>
      </x:c>
      <x:c r="X4383" s="20" t="n">
        <x:v>3</x:v>
      </x:c>
      <x:c r="Y4383" t="str">
        <x:v>Basis arsip 2025/2024</x:v>
      </x:c>
      <x:c r="Z4383" t="str">
        <x:v>https://snpmb.id/utbk-snbt/daya-tampung-snbt</x:v>
      </x:c>
      <x:c r="AA4383" t="str">
        <x:v>Tidak Ada</x:v>
      </x:c>
      <x:c r="AB4383" t="str">
        <x:v>Campus=55; Ratio=10.4; Prodi=40; RelDemand=7.1; Capacity=73.3</x:v>
      </x:c>
    </x:row>
    <x:row r="4384">
      <x:c r="A4384" t="n">
        <x:v>4381</x:v>
      </x:c>
      <x:c r="B4384" t="str">
        <x:v>PTN Vokasi</x:v>
      </x:c>
      <x:c r="C4384" t="str">
        <x:v>POLITEKNIK NEGERI MALANG</x:v>
      </x:c>
      <x:c r="D4384" t="str">
        <x:v>TEKNOLOGI INFORMASI (KAMPUS KAB LUMAJANG)</x:v>
      </x:c>
      <x:c r="E4384" t="str">
        <x:v>Diploma Tiga</x:v>
      </x:c>
      <x:c r="F4384" s="18" t="n">
        <x:v>36</x:v>
      </x:c>
      <x:c r="G4384" s="18" t="n">
        <x:v>107</x:v>
      </x:c>
      <x:c r="H4384" s="19" t="n">
        <x:v>2.9722222222222223</x:v>
      </x:c>
      <x:c r="I4384" s="18" t="n">
        <x:f>ROUND(MIN(Model_Config_v3!$B$6,MAX(Q4384,R4384,S4384*Model_Config_v3!$B$4+T4384*Model_Config_v3!$B$5)),0)</x:f>
        <x:v>623</x:v>
      </x:c>
      <x:c r="J4384" s="18" t="n">
        <x:f>MIN(Model_Config_v3!$B$6,I4384+Model_Config_v3!$B$7)</x:f>
        <x:v>643</x:v>
      </x:c>
      <x:c r="K4384" s="20" t="n">
        <x:v>42.6</x:v>
      </x:c>
      <x:c r="L4384" t="str">
        <x:v>RELATIF LONGGAR</x:v>
      </x:c>
      <x:c r="M4384" t="str">
        <x:v>SEDANG</x:v>
      </x:c>
      <x:c r="N4384" t="str">
        <x:v>REGULER</x:v>
      </x:c>
      <x:c r="O4384" t="str">
        <x:v>SAINTEK</x:v>
      </x:c>
      <x:c r="P4384" t="str">
        <x:v>UMUM</x:v>
      </x:c>
      <x:c r="Q4384" s="18" t="n">
        <x:v>0</x:v>
      </x:c>
      <x:c r="R4384" s="18" t="n">
        <x:v>0</x:v>
      </x:c>
      <x:c r="S4384" s="18" t="n">
        <x:v>572.0389404609715</x:v>
      </x:c>
      <x:c r="T4384" s="18" t="n">
        <x:v>645</x:v>
      </x:c>
      <x:c r="U4384" s="18" t="n">
        <x:v>572.0389404609715</x:v>
      </x:c>
      <x:c r="V4384" s="20" t="n">
        <x:v>12</x:v>
      </x:c>
      <x:c r="W4384" s="20" t="n">
        <x:v>5</x:v>
      </x:c>
      <x:c r="X4384" s="20" t="n">
        <x:v>3</x:v>
      </x:c>
      <x:c r="Y4384" t="str">
        <x:v>Basis arsip 2025/2024</x:v>
      </x:c>
      <x:c r="Z4384" t="str">
        <x:v>https://snpmb.id/utbk-snbt/daya-tampung-snbt</x:v>
      </x:c>
      <x:c r="AA4384" t="str">
        <x:v>Tidak Ada</x:v>
      </x:c>
      <x:c r="AB4384" t="str">
        <x:v>Campus=55; Ratio=27.8; Prodi=40; RelDemand=14.0; Capacity=70.0</x:v>
      </x:c>
    </x:row>
    <x:row r="4385">
      <x:c r="A4385" t="n">
        <x:v>4382</x:v>
      </x:c>
      <x:c r="B4385" t="str">
        <x:v>PTN Vokasi</x:v>
      </x:c>
      <x:c r="C4385" t="str">
        <x:v>POLITEKNIK NEGERI MALANG</x:v>
      </x:c>
      <x:c r="D4385" t="str">
        <x:v>TEKNIK LISTRIK</x:v>
      </x:c>
      <x:c r="E4385" t="str">
        <x:v>Diploma Tiga</x:v>
      </x:c>
      <x:c r="F4385" s="18" t="n">
        <x:v>40</x:v>
      </x:c>
      <x:c r="G4385" s="18" t="n">
        <x:v>293</x:v>
      </x:c>
      <x:c r="H4385" s="19" t="n">
        <x:v>7.325</x:v>
      </x:c>
      <x:c r="I4385" s="18" t="n">
        <x:f>ROUND(MIN(Model_Config_v3!$B$6,MAX(Q4385,R4385,S4385*Model_Config_v3!$B$4+T4385*Model_Config_v3!$B$5)),0)</x:f>
        <x:v>652</x:v>
      </x:c>
      <x:c r="J4385" s="18" t="n">
        <x:f>MIN(Model_Config_v3!$B$6,I4385+Model_Config_v3!$B$7)</x:f>
        <x:v>672</x:v>
      </x:c>
      <x:c r="K4385" s="20" t="n">
        <x:v>54.1</x:v>
      </x:c>
      <x:c r="L4385" t="str">
        <x:v>MENENGAH</x:v>
      </x:c>
      <x:c r="M4385" t="str">
        <x:v>SEDANG+</x:v>
      </x:c>
      <x:c r="N4385" t="str">
        <x:v>REGULER</x:v>
      </x:c>
      <x:c r="O4385" t="str">
        <x:v>SAINTEK</x:v>
      </x:c>
      <x:c r="P4385" t="str">
        <x:v>TEKNIK/ARSITEKTUR/STATISTIKA/AKTUARIA</x:v>
      </x:c>
      <x:c r="Q4385" s="18" t="n">
        <x:v>0</x:v>
      </x:c>
      <x:c r="R4385" s="18" t="n">
        <x:v>0</x:v>
      </x:c>
      <x:c r="S4385" s="18" t="n">
        <x:v>615.1288391928762</x:v>
      </x:c>
      <x:c r="T4385" s="18" t="n">
        <x:v>668</x:v>
      </x:c>
      <x:c r="U4385" s="18" t="n">
        <x:v>625.1288391928762</x:v>
      </x:c>
      <x:c r="V4385" s="20" t="n">
        <x:v>12</x:v>
      </x:c>
      <x:c r="W4385" s="20" t="n">
        <x:v>5</x:v>
      </x:c>
      <x:c r="X4385" s="20" t="n">
        <x:v>3</x:v>
      </x:c>
      <x:c r="Y4385" t="str">
        <x:v>Basis arsip 2025/2024</x:v>
      </x:c>
      <x:c r="Z4385" t="str">
        <x:v>https://snpmb.id/utbk-snbt/daya-tampung-snbt</x:v>
      </x:c>
      <x:c r="AA4385" t="str">
        <x:v>Tidak Ada</x:v>
      </x:c>
      <x:c r="AB4385" t="str">
        <x:v>Campus=55; Ratio=50.9; Prodi=60; RelDemand=34.5; Capacity=66.7</x:v>
      </x:c>
    </x:row>
    <x:row r="4386">
      <x:c r="A4386" t="n">
        <x:v>4383</x:v>
      </x:c>
      <x:c r="B4386" t="str">
        <x:v>PTN Vokasi</x:v>
      </x:c>
      <x:c r="C4386" t="str">
        <x:v>POLITEKNIK NEGERI MALANG</x:v>
      </x:c>
      <x:c r="D4386" t="str">
        <x:v>AKUNTANSI, KAMPUS KEDIRI</x:v>
      </x:c>
      <x:c r="E4386" t="str">
        <x:v>Diploma Tiga</x:v>
      </x:c>
      <x:c r="F4386" s="18" t="n">
        <x:v>60</x:v>
      </x:c>
      <x:c r="G4386" s="18" t="n">
        <x:v>337</x:v>
      </x:c>
      <x:c r="H4386" s="19" t="n">
        <x:v>5.616666666666666</x:v>
      </x:c>
      <x:c r="I4386" s="18" t="n">
        <x:f>ROUND(MIN(Model_Config_v3!$B$6,MAX(Q4386,R4386,S4386*Model_Config_v3!$B$4+T4386*Model_Config_v3!$B$5)),0)</x:f>
        <x:v>644</x:v>
      </x:c>
      <x:c r="J4386" s="18" t="n">
        <x:f>MIN(Model_Config_v3!$B$6,I4386+Model_Config_v3!$B$7)</x:f>
        <x:v>664</x:v>
      </x:c>
      <x:c r="K4386" s="20" t="n">
        <x:v>50.9</x:v>
      </x:c>
      <x:c r="L4386" t="str">
        <x:v>MENENGAH</x:v>
      </x:c>
      <x:c r="M4386" t="str">
        <x:v>SEDANG+</x:v>
      </x:c>
      <x:c r="N4386" t="str">
        <x:v>REGULER</x:v>
      </x:c>
      <x:c r="O4386" t="str">
        <x:v>SOSHUM</x:v>
      </x:c>
      <x:c r="P4386" t="str">
        <x:v>BISNIS/EKONOMI/AKUNTANSI</x:v>
      </x:c>
      <x:c r="Q4386" s="18" t="n">
        <x:v>0</x:v>
      </x:c>
      <x:c r="R4386" s="18" t="n">
        <x:v>0</x:v>
      </x:c>
      <x:c r="S4386" s="18" t="n">
        <x:v>602.4426515536464</x:v>
      </x:c>
      <x:c r="T4386" s="18" t="n">
        <x:v>662</x:v>
      </x:c>
      <x:c r="U4386" s="18" t="n">
        <x:v>602.4426515536464</x:v>
      </x:c>
      <x:c r="V4386" s="20" t="n">
        <x:v>4.4</x:v>
      </x:c>
      <x:c r="W4386" s="20" t="n">
        <x:v>14.3</x:v>
      </x:c>
      <x:c r="X4386" s="20" t="n">
        <x:v>3.3</x:v>
      </x:c>
      <x:c r="Y4386" t="str">
        <x:v>Basis arsip 2025/2024</x:v>
      </x:c>
      <x:c r="Z4386" t="str">
        <x:v>https://snpmb.id/utbk-snbt/daya-tampung-snbt</x:v>
      </x:c>
      <x:c r="AA4386" t="str">
        <x:v>Tidak Ada</x:v>
      </x:c>
      <x:c r="AB4386" t="str">
        <x:v>Campus=55; Ratio=44.1; Prodi=65; RelDemand=26.5; Capacity=50.0</x:v>
      </x:c>
    </x:row>
    <x:row r="4387">
      <x:c r="A4387" t="n">
        <x:v>4384</x:v>
      </x:c>
      <x:c r="B4387" t="str">
        <x:v>PTN Vokasi</x:v>
      </x:c>
      <x:c r="C4387" t="str">
        <x:v>POLITEKNIK NEGERI MALANG</x:v>
      </x:c>
      <x:c r="D4387" t="str">
        <x:v>TEKNIK MESIN, KAMPUS KEDIRI</x:v>
      </x:c>
      <x:c r="E4387" t="str">
        <x:v>Diploma Tiga</x:v>
      </x:c>
      <x:c r="F4387" s="18" t="n">
        <x:v>52</x:v>
      </x:c>
      <x:c r="G4387" s="18" t="n">
        <x:v>185</x:v>
      </x:c>
      <x:c r="H4387" s="19" t="n">
        <x:v>3.5576923076923075</x:v>
      </x:c>
      <x:c r="I4387" s="18" t="n">
        <x:f>ROUND(MIN(Model_Config_v3!$B$6,MAX(Q4387,R4387,S4387*Model_Config_v3!$B$4+T4387*Model_Config_v3!$B$5)),0)</x:f>
        <x:v>631</x:v>
      </x:c>
      <x:c r="J4387" s="18" t="n">
        <x:f>MIN(Model_Config_v3!$B$6,I4387+Model_Config_v3!$B$7)</x:f>
        <x:v>651</x:v>
      </x:c>
      <x:c r="K4387" s="20" t="n">
        <x:v>46.7</x:v>
      </x:c>
      <x:c r="L4387" t="str">
        <x:v>MENENGAH</x:v>
      </x:c>
      <x:c r="M4387" t="str">
        <x:v>SEDANG+</x:v>
      </x:c>
      <x:c r="N4387" t="str">
        <x:v>REGULER</x:v>
      </x:c>
      <x:c r="O4387" t="str">
        <x:v>SAINTEK</x:v>
      </x:c>
      <x:c r="P4387" t="str">
        <x:v>TEKNIK/ARSITEKTUR/STATISTIKA/AKTUARIA</x:v>
      </x:c>
      <x:c r="Q4387" s="18" t="n">
        <x:v>0</x:v>
      </x:c>
      <x:c r="R4387" s="18" t="n">
        <x:v>0</x:v>
      </x:c>
      <x:c r="S4387" s="18" t="n">
        <x:v>580.6285223245036</x:v>
      </x:c>
      <x:c r="T4387" s="18" t="n">
        <x:v>653</x:v>
      </x:c>
      <x:c r="U4387" s="18" t="n">
        <x:v>590.6285223245036</x:v>
      </x:c>
      <x:c r="V4387" s="20" t="n">
        <x:v>12</x:v>
      </x:c>
      <x:c r="W4387" s="20" t="n">
        <x:v>5</x:v>
      </x:c>
      <x:c r="X4387" s="20" t="n">
        <x:v>3</x:v>
      </x:c>
      <x:c r="Y4387" t="str">
        <x:v>Basis arsip 2025/2024</x:v>
      </x:c>
      <x:c r="Z4387" t="str">
        <x:v>https://snpmb.id/utbk-snbt/daya-tampung-snbt</x:v>
      </x:c>
      <x:c r="AA4387" t="str">
        <x:v>Tidak Ada</x:v>
      </x:c>
      <x:c r="AB4387" t="str">
        <x:v>Campus=55; Ratio=32.4; Prodi=60; RelDemand=16.8; Capacity=56.7</x:v>
      </x:c>
    </x:row>
    <x:row r="4388">
      <x:c r="A4388" t="n">
        <x:v>4385</x:v>
      </x:c>
      <x:c r="B4388" t="str">
        <x:v>PTN Vokasi</x:v>
      </x:c>
      <x:c r="C4388" t="str">
        <x:v>POLITEKNIK NEGERI MALANG</x:v>
      </x:c>
      <x:c r="D4388" t="str">
        <x:v>MANAJEMEN INFORMATIKA (KAMPUS KAB PAMEKASAN)</x:v>
      </x:c>
      <x:c r="E4388" t="str">
        <x:v>Diploma Tiga</x:v>
      </x:c>
      <x:c r="F4388" s="18" t="n">
        <x:v>10</x:v>
      </x:c>
      <x:c r="G4388" s="18" t="n">
        <x:v>43</x:v>
      </x:c>
      <x:c r="H4388" s="19" t="n">
        <x:v>4.3</x:v>
      </x:c>
      <x:c r="I4388" s="18" t="n">
        <x:f>ROUND(MIN(Model_Config_v3!$B$6,MAX(Q4388,R4388,S4388*Model_Config_v3!$B$4+T4388*Model_Config_v3!$B$5)),0)</x:f>
        <x:v>649</x:v>
      </x:c>
      <x:c r="J4388" s="18" t="n">
        <x:f>MIN(Model_Config_v3!$B$6,I4388+Model_Config_v3!$B$7)</x:f>
        <x:v>669</x:v>
      </x:c>
      <x:c r="K4388" s="20" t="n">
        <x:v>56.8</x:v>
      </x:c>
      <x:c r="L4388" t="str">
        <x:v>KETAT</x:v>
      </x:c>
      <x:c r="M4388" t="str">
        <x:v>SEDANG+</x:v>
      </x:c>
      <x:c r="N4388" t="str">
        <x:v>REGULER</x:v>
      </x:c>
      <x:c r="O4388" t="str">
        <x:v>SAINTEK</x:v>
      </x:c>
      <x:c r="P4388" t="str">
        <x:v>KOMPUTER/INFORMATIKA</x:v>
      </x:c>
      <x:c r="Q4388" s="18" t="n">
        <x:v>0</x:v>
      </x:c>
      <x:c r="R4388" s="18" t="n">
        <x:v>0</x:v>
      </x:c>
      <x:c r="S4388" s="18" t="n">
        <x:v>589.6815301137545</x:v>
      </x:c>
      <x:c r="T4388" s="18" t="n">
        <x:v>674</x:v>
      </x:c>
      <x:c r="U4388" s="18" t="n">
        <x:v>614.6815301137545</x:v>
      </x:c>
      <x:c r="V4388" s="20" t="n">
        <x:v>12</x:v>
      </x:c>
      <x:c r="W4388" s="20" t="n">
        <x:v>5</x:v>
      </x:c>
      <x:c r="X4388" s="20" t="n">
        <x:v>3</x:v>
      </x:c>
      <x:c r="Y4388" t="str">
        <x:v>Basis arsip 2025/2024</x:v>
      </x:c>
      <x:c r="Z4388" t="str">
        <x:v>https://snpmb.id/utbk-snbt/daya-tampung-snbt</x:v>
      </x:c>
      <x:c r="AA4388" t="str">
        <x:v>Tidak Ada</x:v>
      </x:c>
      <x:c r="AB4388" t="str">
        <x:v>Campus=55; Ratio=37.3; Prodi=85; RelDemand=20.3; Capacity=91.7</x:v>
      </x:c>
    </x:row>
    <x:row r="4389">
      <x:c r="A4389" t="n">
        <x:v>4386</x:v>
      </x:c>
      <x:c r="B4389" t="str">
        <x:v>PTN Vokasi</x:v>
      </x:c>
      <x:c r="C4389" t="str">
        <x:v>POLITEKNIK NEGERI MALANG</x:v>
      </x:c>
      <x:c r="D4389" t="str">
        <x:v>AKUNTANSI (KAMPUS KAB LUMAJANG)</x:v>
      </x:c>
      <x:c r="E4389" t="str">
        <x:v>Diploma Tiga</x:v>
      </x:c>
      <x:c r="F4389" s="18" t="n">
        <x:v>36</x:v>
      </x:c>
      <x:c r="G4389" s="18" t="n">
        <x:v>56</x:v>
      </x:c>
      <x:c r="H4389" s="19" t="n">
        <x:v>1.5555555555555556</x:v>
      </x:c>
      <x:c r="I4389" s="18" t="n">
        <x:f>ROUND(MIN(Model_Config_v3!$B$6,MAX(Q4389,R4389,S4389*Model_Config_v3!$B$4+T4389*Model_Config_v3!$B$5)),0)</x:f>
        <x:v>615</x:v>
      </x:c>
      <x:c r="J4389" s="18" t="n">
        <x:f>MIN(Model_Config_v3!$B$6,I4389+Model_Config_v3!$B$7)</x:f>
        <x:v>635</x:v>
      </x:c>
      <x:c r="K4389" s="20" t="n">
        <x:v>42.8</x:v>
      </x:c>
      <x:c r="L4389" t="str">
        <x:v>RELATIF LONGGAR</x:v>
      </x:c>
      <x:c r="M4389" t="str">
        <x:v>SEDANG+</x:v>
      </x:c>
      <x:c r="N4389" t="str">
        <x:v>REGULER</x:v>
      </x:c>
      <x:c r="O4389" t="str">
        <x:v>SOSHUM</x:v>
      </x:c>
      <x:c r="P4389" t="str">
        <x:v>BISNIS/EKONOMI/AKUNTANSI</x:v>
      </x:c>
      <x:c r="Q4389" s="18" t="n">
        <x:v>0</x:v>
      </x:c>
      <x:c r="R4389" s="18" t="n">
        <x:v>0</x:v>
      </x:c>
      <x:c r="S4389" s="18" t="n">
        <x:v>541.1074078862805</x:v>
      </x:c>
      <x:c r="T4389" s="18" t="n">
        <x:v>646</x:v>
      </x:c>
      <x:c r="U4389" s="18" t="n">
        <x:v>541.1074078862805</x:v>
      </x:c>
      <x:c r="V4389" s="20" t="n">
        <x:v>4.4</x:v>
      </x:c>
      <x:c r="W4389" s="20" t="n">
        <x:v>14.3</x:v>
      </x:c>
      <x:c r="X4389" s="20" t="n">
        <x:v>3.3</x:v>
      </x:c>
      <x:c r="Y4389" t="str">
        <x:v>Basis arsip 2025/2024</x:v>
      </x:c>
      <x:c r="Z4389" t="str">
        <x:v>https://snpmb.id/utbk-snbt/daya-tampung-snbt</x:v>
      </x:c>
      <x:c r="AA4389" t="str">
        <x:v>Tidak Ada</x:v>
      </x:c>
      <x:c r="AB4389" t="str">
        <x:v>Campus=55; Ratio=11.3; Prodi=65; RelDemand=7.3; Capacity=70.0</x:v>
      </x:c>
    </x:row>
    <x:row r="4390">
      <x:c r="A4390" t="n">
        <x:v>4387</x:v>
      </x:c>
      <x:c r="B4390" t="str">
        <x:v>PTN Vokasi</x:v>
      </x:c>
      <x:c r="C4390" t="str">
        <x:v>POLITEKNIK NEGERI MALANG</x:v>
      </x:c>
      <x:c r="D4390" t="str">
        <x:v>ADMINISTRASI BISNIS</x:v>
      </x:c>
      <x:c r="E4390" t="str">
        <x:v>Diploma Tiga</x:v>
      </x:c>
      <x:c r="F4390" s="18" t="n">
        <x:v>72</x:v>
      </x:c>
      <x:c r="G4390" s="18" t="n">
        <x:v>2475</x:v>
      </x:c>
      <x:c r="H4390" s="19" t="n">
        <x:v>34.375</x:v>
      </x:c>
      <x:c r="I4390" s="18" t="n">
        <x:f>ROUND(MIN(Model_Config_v3!$B$6,MAX(Q4390,R4390,S4390*Model_Config_v3!$B$4+T4390*Model_Config_v3!$B$5)),0)</x:f>
        <x:v>695</x:v>
      </x:c>
      <x:c r="J4390" s="18" t="n">
        <x:f>MIN(Model_Config_v3!$B$6,I4390+Model_Config_v3!$B$7)</x:f>
        <x:v>715</x:v>
      </x:c>
      <x:c r="K4390" s="20" t="n">
        <x:v>68.9</x:v>
      </x:c>
      <x:c r="L4390" t="str">
        <x:v>SANGAT KETAT</x:v>
      </x:c>
      <x:c r="M4390" t="str">
        <x:v>SEDANG+</x:v>
      </x:c>
      <x:c r="N4390" t="str">
        <x:v>REGULER</x:v>
      </x:c>
      <x:c r="O4390" t="str">
        <x:v>SOSHUM</x:v>
      </x:c>
      <x:c r="P4390" t="str">
        <x:v>BISNIS/EKONOMI/AKUNTANSI</x:v>
      </x:c>
      <x:c r="Q4390" s="18" t="n">
        <x:v>0</x:v>
      </x:c>
      <x:c r="R4390" s="18" t="n">
        <x:v>0</x:v>
      </x:c>
      <x:c r="S4390" s="18" t="n">
        <x:v>688.986697752215</x:v>
      </x:c>
      <x:c r="T4390" s="18" t="n">
        <x:v>698</x:v>
      </x:c>
      <x:c r="U4390" s="18" t="n">
        <x:v>703.986697752215</x:v>
      </x:c>
      <x:c r="V4390" s="20" t="n">
        <x:v>4.4</x:v>
      </x:c>
      <x:c r="W4390" s="20" t="n">
        <x:v>14.3</x:v>
      </x:c>
      <x:c r="X4390" s="20" t="n">
        <x:v>3.3</x:v>
      </x:c>
      <x:c r="Y4390" t="str">
        <x:v>Basis arsip 2025/2024</x:v>
      </x:c>
      <x:c r="Z4390" t="str">
        <x:v>https://snpmb.id/utbk-snbt/daya-tampung-snbt</x:v>
      </x:c>
      <x:c r="AA4390" t="str">
        <x:v>Tidak Ada</x:v>
      </x:c>
      <x:c r="AB4390" t="str">
        <x:v>Campus=55; Ratio=90.4; Prodi=65; RelDemand=100.0; Capacity=40.0</x:v>
      </x:c>
    </x:row>
    <x:row r="4391">
      <x:c r="A4391" t="n">
        <x:v>4388</x:v>
      </x:c>
      <x:c r="B4391" t="str">
        <x:v>PTN Vokasi</x:v>
      </x:c>
      <x:c r="C4391" t="str">
        <x:v>POLITEKNIK NEGERI MALANG</x:v>
      </x:c>
      <x:c r="D4391" t="str">
        <x:v>AKUNTANSI</x:v>
      </x:c>
      <x:c r="E4391" t="str">
        <x:v>Diploma Tiga</x:v>
      </x:c>
      <x:c r="F4391" s="18" t="n">
        <x:v>60</x:v>
      </x:c>
      <x:c r="G4391" s="18" t="n">
        <x:v>1247</x:v>
      </x:c>
      <x:c r="H4391" s="19" t="n">
        <x:v>20.783333333333335</x:v>
      </x:c>
      <x:c r="I4391" s="18" t="n">
        <x:f>ROUND(MIN(Model_Config_v3!$B$6,MAX(Q4391,R4391,S4391*Model_Config_v3!$B$4+T4391*Model_Config_v3!$B$5)),0)</x:f>
        <x:v>685</x:v>
      </x:c>
      <x:c r="J4391" s="18" t="n">
        <x:f>MIN(Model_Config_v3!$B$6,I4391+Model_Config_v3!$B$7)</x:f>
        <x:v>705</x:v>
      </x:c>
      <x:c r="K4391" s="20" t="n">
        <x:v>66.4</x:v>
      </x:c>
      <x:c r="L4391" t="str">
        <x:v>SANGAT KETAT</x:v>
      </x:c>
      <x:c r="M4391" t="str">
        <x:v>SEDANG+</x:v>
      </x:c>
      <x:c r="N4391" t="str">
        <x:v>REGULER</x:v>
      </x:c>
      <x:c r="O4391" t="str">
        <x:v>SOSHUM</x:v>
      </x:c>
      <x:c r="P4391" t="str">
        <x:v>BISNIS/EKONOMI/AKUNTANSI</x:v>
      </x:c>
      <x:c r="Q4391" s="18" t="n">
        <x:v>0</x:v>
      </x:c>
      <x:c r="R4391" s="18" t="n">
        <x:v>0</x:v>
      </x:c>
      <x:c r="S4391" s="18" t="n">
        <x:v>664.9486723404389</x:v>
      </x:c>
      <x:c r="T4391" s="18" t="n">
        <x:v>693</x:v>
      </x:c>
      <x:c r="U4391" s="18" t="n">
        <x:v>664.9486723404389</x:v>
      </x:c>
      <x:c r="V4391" s="20" t="n">
        <x:v>4.4</x:v>
      </x:c>
      <x:c r="W4391" s="20" t="n">
        <x:v>14.3</x:v>
      </x:c>
      <x:c r="X4391" s="20" t="n">
        <x:v>3.3</x:v>
      </x:c>
      <x:c r="Y4391" t="str">
        <x:v>Basis arsip 2025/2024</x:v>
      </x:c>
      <x:c r="Z4391" t="str">
        <x:v>https://snpmb.id/utbk-snbt/daya-tampung-snbt</x:v>
      </x:c>
      <x:c r="AA4391" t="str">
        <x:v>Tidak Ada</x:v>
      </x:c>
      <x:c r="AB4391" t="str">
        <x:v>Campus=55; Ratio=77.6; Prodi=65; RelDemand=98.0; Capacity=50.0</x:v>
      </x:c>
    </x:row>
    <x:row r="4392">
      <x:c r="A4392" t="n">
        <x:v>4389</x:v>
      </x:c>
      <x:c r="B4392" t="str">
        <x:v>PTN Vokasi</x:v>
      </x:c>
      <x:c r="C4392" t="str">
        <x:v>POLITEKNIK NEGERI MALANG</x:v>
      </x:c>
      <x:c r="D4392" t="str">
        <x:v>MANAJEMEN INFORMATIKA, KAMPUS KEDIRI</x:v>
      </x:c>
      <x:c r="E4392" t="str">
        <x:v>Diploma Tiga</x:v>
      </x:c>
      <x:c r="F4392" s="18" t="n">
        <x:v>60</x:v>
      </x:c>
      <x:c r="G4392" s="18" t="n">
        <x:v>463</x:v>
      </x:c>
      <x:c r="H4392" s="19" t="n">
        <x:v>7.716666666666667</x:v>
      </x:c>
      <x:c r="I4392" s="18" t="n">
        <x:f>ROUND(MIN(Model_Config_v3!$B$6,MAX(Q4392,R4392,S4392*Model_Config_v3!$B$4+T4392*Model_Config_v3!$B$5)),0)</x:f>
        <x:v>658</x:v>
      </x:c>
      <x:c r="J4392" s="18" t="n">
        <x:f>MIN(Model_Config_v3!$B$6,I4392+Model_Config_v3!$B$7)</x:f>
        <x:v>678</x:v>
      </x:c>
      <x:c r="K4392" s="20" t="n">
        <x:v>57.9</x:v>
      </x:c>
      <x:c r="L4392" t="str">
        <x:v>KETAT</x:v>
      </x:c>
      <x:c r="M4392" t="str">
        <x:v>SEDANG+</x:v>
      </x:c>
      <x:c r="N4392" t="str">
        <x:v>REGULER</x:v>
      </x:c>
      <x:c r="O4392" t="str">
        <x:v>SAINTEK</x:v>
      </x:c>
      <x:c r="P4392" t="str">
        <x:v>KOMPUTER/INFORMATIKA</x:v>
      </x:c>
      <x:c r="Q4392" s="18" t="n">
        <x:v>0</x:v>
      </x:c>
      <x:c r="R4392" s="18" t="n">
        <x:v>0</x:v>
      </x:c>
      <x:c r="S4392" s="18" t="n">
        <x:v>617.617271469774</x:v>
      </x:c>
      <x:c r="T4392" s="18" t="n">
        <x:v>676</x:v>
      </x:c>
      <x:c r="U4392" s="18" t="n">
        <x:v>642.617271469774</x:v>
      </x:c>
      <x:c r="V4392" s="20" t="n">
        <x:v>12</x:v>
      </x:c>
      <x:c r="W4392" s="20" t="n">
        <x:v>5</x:v>
      </x:c>
      <x:c r="X4392" s="20" t="n">
        <x:v>3</x:v>
      </x:c>
      <x:c r="Y4392" t="str">
        <x:v>Basis arsip 2025/2024</x:v>
      </x:c>
      <x:c r="Z4392" t="str">
        <x:v>https://snpmb.id/utbk-snbt/daya-tampung-snbt</x:v>
      </x:c>
      <x:c r="AA4392" t="str">
        <x:v>Tidak Ada</x:v>
      </x:c>
      <x:c r="AB4392" t="str">
        <x:v>Campus=55; Ratio=52.2; Prodi=85; RelDemand=36.4; Capacity=50.0</x:v>
      </x:c>
    </x:row>
    <x:row r="4393">
      <x:c r="A4393" t="n">
        <x:v>4390</x:v>
      </x:c>
      <x:c r="B4393" t="str">
        <x:v>PTN Vokasi</x:v>
      </x:c>
      <x:c r="C4393" t="str">
        <x:v>POLITEKNIK NEGERI MALANG</x:v>
      </x:c>
      <x:c r="D4393" t="str">
        <x:v>TEKNIK MESIN</x:v>
      </x:c>
      <x:c r="E4393" t="str">
        <x:v>Diploma Tiga</x:v>
      </x:c>
      <x:c r="F4393" s="18" t="n">
        <x:v>84</x:v>
      </x:c>
      <x:c r="G4393" s="18" t="n">
        <x:v>1000</x:v>
      </x:c>
      <x:c r="H4393" s="19" t="n">
        <x:v>11.904761904761905</x:v>
      </x:c>
      <x:c r="I4393" s="18" t="n">
        <x:f>ROUND(MIN(Model_Config_v3!$B$6,MAX(Q4393,R4393,S4393*Model_Config_v3!$B$4+T4393*Model_Config_v3!$B$5)),0)</x:f>
        <x:v>661</x:v>
      </x:c>
      <x:c r="J4393" s="18" t="n">
        <x:f>MIN(Model_Config_v3!$B$6,I4393+Model_Config_v3!$B$7)</x:f>
        <x:v>681</x:v>
      </x:c>
      <x:c r="K4393" s="20" t="n">
        <x:v>55.7</x:v>
      </x:c>
      <x:c r="L4393" t="str">
        <x:v>KETAT</x:v>
      </x:c>
      <x:c r="M4393" t="str">
        <x:v>SEDANG+</x:v>
      </x:c>
      <x:c r="N4393" t="str">
        <x:v>REGULER</x:v>
      </x:c>
      <x:c r="O4393" t="str">
        <x:v>SAINTEK</x:v>
      </x:c>
      <x:c r="P4393" t="str">
        <x:v>TEKNIK/ARSITEKTUR/STATISTIKA/AKTUARIA</x:v>
      </x:c>
      <x:c r="Q4393" s="18" t="n">
        <x:v>0</x:v>
      </x:c>
      <x:c r="R4393" s="18" t="n">
        <x:v>0</x:v>
      </x:c>
      <x:c r="S4393" s="18" t="n">
        <x:v>638.329278533193</x:v>
      </x:c>
      <x:c r="T4393" s="18" t="n">
        <x:v>671</x:v>
      </x:c>
      <x:c r="U4393" s="18" t="n">
        <x:v>648.329278533193</x:v>
      </x:c>
      <x:c r="V4393" s="20" t="n">
        <x:v>12</x:v>
      </x:c>
      <x:c r="W4393" s="20" t="n">
        <x:v>5</x:v>
      </x:c>
      <x:c r="X4393" s="20" t="n">
        <x:v>3</x:v>
      </x:c>
      <x:c r="Y4393" t="str">
        <x:v>Basis arsip 2025/2024</x:v>
      </x:c>
      <x:c r="Z4393" t="str">
        <x:v>https://snpmb.id/utbk-snbt/daya-tampung-snbt</x:v>
      </x:c>
      <x:c r="AA4393" t="str">
        <x:v>Tidak Ada</x:v>
      </x:c>
      <x:c r="AB4393" t="str">
        <x:v>Campus=55; Ratio=63.3; Prodi=60; RelDemand=56.1; Capacity=30.0</x:v>
      </x:c>
    </x:row>
    <x:row r="4394">
      <x:c r="A4394" t="n">
        <x:v>4391</x:v>
      </x:c>
      <x:c r="B4394" t="str">
        <x:v>PTN Vokasi</x:v>
      </x:c>
      <x:c r="C4394" t="str">
        <x:v>POLITEKNIK NEGERI MALANG</x:v>
      </x:c>
      <x:c r="D4394" t="str">
        <x:v>TEKNIK SIPIL</x:v>
      </x:c>
      <x:c r="E4394" t="str">
        <x:v>Diploma Tiga</x:v>
      </x:c>
      <x:c r="F4394" s="18" t="n">
        <x:v>32</x:v>
      </x:c>
      <x:c r="G4394" s="18" t="n">
        <x:v>1361</x:v>
      </x:c>
      <x:c r="H4394" s="19" t="n">
        <x:v>42.53125</x:v>
      </x:c>
      <x:c r="I4394" s="18" t="n">
        <x:f>ROUND(MIN(Model_Config_v3!$B$6,MAX(Q4394,R4394,S4394*Model_Config_v3!$B$4+T4394*Model_Config_v3!$B$5)),0)</x:f>
        <x:v>703</x:v>
      </x:c>
      <x:c r="J4394" s="18" t="n">
        <x:f>MIN(Model_Config_v3!$B$6,I4394+Model_Config_v3!$B$7)</x:f>
        <x:v>723</x:v>
      </x:c>
      <x:c r="K4394" s="20" t="n">
        <x:v>72.5</x:v>
      </x:c>
      <x:c r="L4394" t="str">
        <x:v>SANGAT KETAT</x:v>
      </x:c>
      <x:c r="M4394" t="str">
        <x:v>SEDANG+</x:v>
      </x:c>
      <x:c r="N4394" t="str">
        <x:v>REGULER</x:v>
      </x:c>
      <x:c r="O4394" t="str">
        <x:v>SAINTEK</x:v>
      </x:c>
      <x:c r="P4394" t="str">
        <x:v>TEKNIK/ARSITEKTUR/STATISTIKA/AKTUARIA</x:v>
      </x:c>
      <x:c r="Q4394" s="18" t="n">
        <x:v>0</x:v>
      </x:c>
      <x:c r="R4394" s="18" t="n">
        <x:v>0</x:v>
      </x:c>
      <x:c r="S4394" s="18" t="n">
        <x:v>699.1578961571771</x:v>
      </x:c>
      <x:c r="T4394" s="18" t="n">
        <x:v>705</x:v>
      </x:c>
      <x:c r="U4394" s="18" t="n">
        <x:v>709.1578961571771</x:v>
      </x:c>
      <x:c r="V4394" s="20" t="n">
        <x:v>12</x:v>
      </x:c>
      <x:c r="W4394" s="20" t="n">
        <x:v>5</x:v>
      </x:c>
      <x:c r="X4394" s="20" t="n">
        <x:v>3</x:v>
      </x:c>
      <x:c r="Y4394" t="str">
        <x:v>Basis arsip 2025/2024</x:v>
      </x:c>
      <x:c r="Z4394" t="str">
        <x:v>https://snpmb.id/utbk-snbt/daya-tampung-snbt</x:v>
      </x:c>
      <x:c r="AA4394" t="str">
        <x:v>Tidak Ada</x:v>
      </x:c>
      <x:c r="AB4394" t="str">
        <x:v>Campus=55; Ratio=95.9; Prodi=60; RelDemand=100.0; Capacity=73.3</x:v>
      </x:c>
    </x:row>
    <x:row r="4395">
      <x:c r="A4395" t="n">
        <x:v>4392</x:v>
      </x:c>
      <x:c r="B4395" t="str">
        <x:v>PTN Vokasi</x:v>
      </x:c>
      <x:c r="C4395" t="str">
        <x:v>POLITEKNIK NEGERI MALANG</x:v>
      </x:c>
      <x:c r="D4395" t="str">
        <x:v>TEKNIK ELEKTRONIKA</x:v>
      </x:c>
      <x:c r="E4395" t="str">
        <x:v>Diploma Tiga</x:v>
      </x:c>
      <x:c r="F4395" s="18" t="n">
        <x:v>59</x:v>
      </x:c>
      <x:c r="G4395" s="18" t="n">
        <x:v>518</x:v>
      </x:c>
      <x:c r="H4395" s="19" t="n">
        <x:v>8.779661016949152</x:v>
      </x:c>
      <x:c r="I4395" s="18" t="n">
        <x:f>ROUND(MIN(Model_Config_v3!$B$6,MAX(Q4395,R4395,S4395*Model_Config_v3!$B$4+T4395*Model_Config_v3!$B$5)),0)</x:f>
        <x:v>655</x:v>
      </x:c>
      <x:c r="J4395" s="18" t="n">
        <x:f>MIN(Model_Config_v3!$B$6,I4395+Model_Config_v3!$B$7)</x:f>
        <x:v>675</x:v>
      </x:c>
      <x:c r="K4395" s="20" t="n">
        <x:v>54.4</x:v>
      </x:c>
      <x:c r="L4395" t="str">
        <x:v>MENENGAH</x:v>
      </x:c>
      <x:c r="M4395" t="str">
        <x:v>SEDANG+</x:v>
      </x:c>
      <x:c r="N4395" t="str">
        <x:v>REGULER</x:v>
      </x:c>
      <x:c r="O4395" t="str">
        <x:v>SAINTEK</x:v>
      </x:c>
      <x:c r="P4395" t="str">
        <x:v>TEKNIK/ARSITEKTUR/STATISTIKA/AKTUARIA</x:v>
      </x:c>
      <x:c r="Q4395" s="18" t="n">
        <x:v>0</x:v>
      </x:c>
      <x:c r="R4395" s="18" t="n">
        <x:v>0</x:v>
      </x:c>
      <x:c r="S4395" s="18" t="n">
        <x:v>623.7825522913397</x:v>
      </x:c>
      <x:c r="T4395" s="18" t="n">
        <x:v>669</x:v>
      </x:c>
      <x:c r="U4395" s="18" t="n">
        <x:v>633.7825522913397</x:v>
      </x:c>
      <x:c r="V4395" s="20" t="n">
        <x:v>12</x:v>
      </x:c>
      <x:c r="W4395" s="20" t="n">
        <x:v>5</x:v>
      </x:c>
      <x:c r="X4395" s="20" t="n">
        <x:v>3</x:v>
      </x:c>
      <x:c r="Y4395" t="str">
        <x:v>Basis arsip 2025/2024</x:v>
      </x:c>
      <x:c r="Z4395" t="str">
        <x:v>https://snpmb.id/utbk-snbt/daya-tampung-snbt</x:v>
      </x:c>
      <x:c r="AA4395" t="str">
        <x:v>Tidak Ada</x:v>
      </x:c>
      <x:c r="AB4395" t="str">
        <x:v>Campus=55; Ratio=55.5; Prodi=60; RelDemand=41.4; Capacity=50.8</x:v>
      </x:c>
    </x:row>
    <x:row r="4396">
      <x:c r="A4396" t="n">
        <x:v>4393</x:v>
      </x:c>
      <x:c r="B4396" t="str">
        <x:v>PTN Vokasi</x:v>
      </x:c>
      <x:c r="C4396" t="str">
        <x:v>POLITEKNIK NEGERI MALANG</x:v>
      </x:c>
      <x:c r="D4396" t="str">
        <x:v>TEKNIK TELEKOMUNIKASI</x:v>
      </x:c>
      <x:c r="E4396" t="str">
        <x:v>Diploma Tiga</x:v>
      </x:c>
      <x:c r="F4396" s="18" t="n">
        <x:v>40</x:v>
      </x:c>
      <x:c r="G4396" s="18" t="n">
        <x:v>497</x:v>
      </x:c>
      <x:c r="H4396" s="19" t="n">
        <x:v>12.425</x:v>
      </x:c>
      <x:c r="I4396" s="18" t="n">
        <x:f>ROUND(MIN(Model_Config_v3!$B$6,MAX(Q4396,R4396,S4396*Model_Config_v3!$B$4+T4396*Model_Config_v3!$B$5)),0)</x:f>
        <x:v>668</x:v>
      </x:c>
      <x:c r="J4396" s="18" t="n">
        <x:f>MIN(Model_Config_v3!$B$6,I4396+Model_Config_v3!$B$7)</x:f>
        <x:v>688</x:v>
      </x:c>
      <x:c r="K4396" s="20" t="n">
        <x:v>59.9</x:v>
      </x:c>
      <x:c r="L4396" t="str">
        <x:v>KETAT</x:v>
      </x:c>
      <x:c r="M4396" t="str">
        <x:v>SEDANG+</x:v>
      </x:c>
      <x:c r="N4396" t="str">
        <x:v>REGULER</x:v>
      </x:c>
      <x:c r="O4396" t="str">
        <x:v>SAINTEK</x:v>
      </x:c>
      <x:c r="P4396" t="str">
        <x:v>TEKNIK/ARSITEKTUR/STATISTIKA/AKTUARIA</x:v>
      </x:c>
      <x:c r="Q4396" s="18" t="n">
        <x:v>0</x:v>
      </x:c>
      <x:c r="R4396" s="18" t="n">
        <x:v>0</x:v>
      </x:c>
      <x:c r="S4396" s="18" t="n">
        <x:v>640.3726037145907</x:v>
      </x:c>
      <x:c r="T4396" s="18" t="n">
        <x:v>680</x:v>
      </x:c>
      <x:c r="U4396" s="18" t="n">
        <x:v>650.3726037145907</x:v>
      </x:c>
      <x:c r="V4396" s="20" t="n">
        <x:v>12</x:v>
      </x:c>
      <x:c r="W4396" s="20" t="n">
        <x:v>5</x:v>
      </x:c>
      <x:c r="X4396" s="20" t="n">
        <x:v>3</x:v>
      </x:c>
      <x:c r="Y4396" t="str">
        <x:v>Basis arsip 2025/2024</x:v>
      </x:c>
      <x:c r="Z4396" t="str">
        <x:v>https://snpmb.id/utbk-snbt/daya-tampung-snbt</x:v>
      </x:c>
      <x:c r="AA4396" t="str">
        <x:v>Tidak Ada</x:v>
      </x:c>
      <x:c r="AB4396" t="str">
        <x:v>Campus=55; Ratio=64.4; Prodi=60; RelDemand=58.6; Capacity=66.7</x:v>
      </x:c>
    </x:row>
    <x:row r="4397">
      <x:c r="A4397" t="n">
        <x:v>4394</x:v>
      </x:c>
      <x:c r="B4397" t="str">
        <x:v>PTN Vokasi</x:v>
      </x:c>
      <x:c r="C4397" t="str">
        <x:v>POLITEKNIK PERKAPALAN NEGERI SURABAYA</x:v>
      </x:c>
      <x:c r="D4397" t="str">
        <x:v>TEKNIK KESELAMATAN DAN KESEHATAN KERJA</x:v>
      </x:c>
      <x:c r="E4397" t="str">
        <x:v>Sarjana Terapan</x:v>
      </x:c>
      <x:c r="F4397" s="18" t="n">
        <x:v>120</x:v>
      </x:c>
      <x:c r="G4397" s="18" t="n">
        <x:v>1716</x:v>
      </x:c>
      <x:c r="H4397" s="19" t="n">
        <x:v>14.3</x:v>
      </x:c>
      <x:c r="I4397" s="18" t="n">
        <x:f>ROUND(MIN(Model_Config_v3!$B$6,MAX(Q4397,R4397,S4397*Model_Config_v3!$B$4+T4397*Model_Config_v3!$B$5)),0)</x:f>
        <x:v>668</x:v>
      </x:c>
      <x:c r="J4397" s="18" t="n">
        <x:f>MIN(Model_Config_v3!$B$6,I4397+Model_Config_v3!$B$7)</x:f>
        <x:v>688</x:v>
      </x:c>
      <x:c r="K4397" s="20" t="n">
        <x:v>58.3</x:v>
      </x:c>
      <x:c r="L4397" t="str">
        <x:v>KETAT</x:v>
      </x:c>
      <x:c r="M4397" t="str">
        <x:v>SEDANG+</x:v>
      </x:c>
      <x:c r="N4397" t="str">
        <x:v>REGULER</x:v>
      </x:c>
      <x:c r="O4397" t="str">
        <x:v>SAINTEK</x:v>
      </x:c>
      <x:c r="P4397" t="str">
        <x:v>TEKNIK/ARSITEKTUR/STATISTIKA/AKTUARIA</x:v>
      </x:c>
      <x:c r="Q4397" s="18" t="n">
        <x:v>0</x:v>
      </x:c>
      <x:c r="R4397" s="18" t="n">
        <x:v>0</x:v>
      </x:c>
      <x:c r="S4397" s="18" t="n">
        <x:v>647.0869641211568</x:v>
      </x:c>
      <x:c r="T4397" s="18" t="n">
        <x:v>677</x:v>
      </x:c>
      <x:c r="U4397" s="18" t="n">
        <x:v>657.0869641211568</x:v>
      </x:c>
      <x:c r="V4397" s="20" t="n">
        <x:v>12</x:v>
      </x:c>
      <x:c r="W4397" s="20" t="n">
        <x:v>5</x:v>
      </x:c>
      <x:c r="X4397" s="20" t="n">
        <x:v>3</x:v>
      </x:c>
      <x:c r="Y4397" t="str">
        <x:v>Basis arsip 2025/2024</x:v>
      </x:c>
      <x:c r="Z4397" t="str">
        <x:v>https://snpmb.id/utbk-snbt/daya-tampung-snbt</x:v>
      </x:c>
      <x:c r="AA4397" t="str">
        <x:v>Tidak Ada</x:v>
      </x:c>
      <x:c r="AB4397" t="str">
        <x:v>Campus=55; Ratio=68.0; Prodi=60; RelDemand=100.0; Capacity=0.0</x:v>
      </x:c>
    </x:row>
    <x:row r="4398">
      <x:c r="A4398" t="n">
        <x:v>4395</x:v>
      </x:c>
      <x:c r="B4398" t="str">
        <x:v>PTN Vokasi</x:v>
      </x:c>
      <x:c r="C4398" t="str">
        <x:v>POLITEKNIK PERKAPALAN NEGERI SURABAYA</x:v>
      </x:c>
      <x:c r="D4398" t="str">
        <x:v>TEKNIK DESAIN DAN MANUFAKTUR</x:v>
      </x:c>
      <x:c r="E4398" t="str">
        <x:v>Sarjana Terapan</x:v>
      </x:c>
      <x:c r="F4398" s="18" t="n">
        <x:v>48</x:v>
      </x:c>
      <x:c r="G4398" s="18" t="n">
        <x:v>105</x:v>
      </x:c>
      <x:c r="H4398" s="19" t="n">
        <x:v>2.1875</x:v>
      </x:c>
      <x:c r="I4398" s="18" t="n">
        <x:f>ROUND(MIN(Model_Config_v3!$B$6,MAX(Q4398,R4398,S4398*Model_Config_v3!$B$4+T4398*Model_Config_v3!$B$5)),0)</x:f>
        <x:v>621</x:v>
      </x:c>
      <x:c r="J4398" s="18" t="n">
        <x:f>MIN(Model_Config_v3!$B$6,I4398+Model_Config_v3!$B$7)</x:f>
        <x:v>641</x:v>
      </x:c>
      <x:c r="K4398" s="20" t="n">
        <x:v>44</x:v>
      </x:c>
      <x:c r="L4398" t="str">
        <x:v>RELATIF LONGGAR</x:v>
      </x:c>
      <x:c r="M4398" t="str">
        <x:v>SEDANG+</x:v>
      </x:c>
      <x:c r="N4398" t="str">
        <x:v>REGULER</x:v>
      </x:c>
      <x:c r="O4398" t="str">
        <x:v>SAINTEK</x:v>
      </x:c>
      <x:c r="P4398" t="str">
        <x:v>TEKNIK/ARSITEKTUR/STATISTIKA/AKTUARIA</x:v>
      </x:c>
      <x:c r="Q4398" s="18" t="n">
        <x:v>0</x:v>
      </x:c>
      <x:c r="R4398" s="18" t="n">
        <x:v>0</x:v>
      </x:c>
      <x:c r="S4398" s="18" t="n">
        <x:v>557.3942867863786</x:v>
      </x:c>
      <x:c r="T4398" s="18" t="n">
        <x:v>648</x:v>
      </x:c>
      <x:c r="U4398" s="18" t="n">
        <x:v>567.3942867863786</x:v>
      </x:c>
      <x:c r="V4398" s="20" t="n">
        <x:v>12</x:v>
      </x:c>
      <x:c r="W4398" s="20" t="n">
        <x:v>5</x:v>
      </x:c>
      <x:c r="X4398" s="20" t="n">
        <x:v>3</x:v>
      </x:c>
      <x:c r="Y4398" t="str">
        <x:v>Basis arsip 2025/2024</x:v>
      </x:c>
      <x:c r="Z4398" t="str">
        <x:v>https://snpmb.id/utbk-snbt/daya-tampung-snbt</x:v>
      </x:c>
      <x:c r="AA4398" t="str">
        <x:v>Tidak Ada</x:v>
      </x:c>
      <x:c r="AB4398" t="str">
        <x:v>Campus=55; Ratio=20.0; Prodi=60; RelDemand=17.0; Capacity=60.0</x:v>
      </x:c>
    </x:row>
    <x:row r="4399">
      <x:c r="A4399" t="n">
        <x:v>4396</x:v>
      </x:c>
      <x:c r="B4399" t="str">
        <x:v>PTN Vokasi</x:v>
      </x:c>
      <x:c r="C4399" t="str">
        <x:v>POLITEKNIK PERKAPALAN NEGERI SURABAYA</x:v>
      </x:c>
      <x:c r="D4399" t="str">
        <x:v>TEKNIK PENGELASAN</x:v>
      </x:c>
      <x:c r="E4399" t="str">
        <x:v>Sarjana Terapan</x:v>
      </x:c>
      <x:c r="F4399" s="18" t="n">
        <x:v>48</x:v>
      </x:c>
      <x:c r="G4399" s="18" t="n">
        <x:v>303</x:v>
      </x:c>
      <x:c r="H4399" s="19" t="n">
        <x:v>6.3125</x:v>
      </x:c>
      <x:c r="I4399" s="18" t="n">
        <x:f>ROUND(MIN(Model_Config_v3!$B$6,MAX(Q4399,R4399,S4399*Model_Config_v3!$B$4+T4399*Model_Config_v3!$B$5)),0)</x:f>
        <x:v>650</x:v>
      </x:c>
      <x:c r="J4399" s="18" t="n">
        <x:f>MIN(Model_Config_v3!$B$6,I4399+Model_Config_v3!$B$7)</x:f>
        <x:v>670</x:v>
      </x:c>
      <x:c r="K4399" s="20" t="n">
        <x:v>53.9</x:v>
      </x:c>
      <x:c r="L4399" t="str">
        <x:v>MENENGAH</x:v>
      </x:c>
      <x:c r="M4399" t="str">
        <x:v>SEDANG+</x:v>
      </x:c>
      <x:c r="N4399" t="str">
        <x:v>REGULER</x:v>
      </x:c>
      <x:c r="O4399" t="str">
        <x:v>SAINTEK</x:v>
      </x:c>
      <x:c r="P4399" t="str">
        <x:v>TEKNIK/ARSITEKTUR/STATISTIKA/AKTUARIA</x:v>
      </x:c>
      <x:c r="Q4399" s="18" t="n">
        <x:v>0</x:v>
      </x:c>
      <x:c r="R4399" s="18" t="n">
        <x:v>0</x:v>
      </x:c>
      <x:c r="S4399" s="18" t="n">
        <x:v>608.0221530239389</x:v>
      </x:c>
      <x:c r="T4399" s="18" t="n">
        <x:v>668</x:v>
      </x:c>
      <x:c r="U4399" s="18" t="n">
        <x:v>618.0221530239389</x:v>
      </x:c>
      <x:c r="V4399" s="20" t="n">
        <x:v>12</x:v>
      </x:c>
      <x:c r="W4399" s="20" t="n">
        <x:v>5</x:v>
      </x:c>
      <x:c r="X4399" s="20" t="n">
        <x:v>3</x:v>
      </x:c>
      <x:c r="Y4399" t="str">
        <x:v>Basis arsip 2025/2024</x:v>
      </x:c>
      <x:c r="Z4399" t="str">
        <x:v>https://snpmb.id/utbk-snbt/daya-tampung-snbt</x:v>
      </x:c>
      <x:c r="AA4399" t="str">
        <x:v>Tidak Ada</x:v>
      </x:c>
      <x:c r="AB4399" t="str">
        <x:v>Campus=55; Ratio=47.1; Prodi=60; RelDemand=49.2; Capacity=60.0</x:v>
      </x:c>
    </x:row>
    <x:row r="4400">
      <x:c r="A4400" t="n">
        <x:v>4397</x:v>
      </x:c>
      <x:c r="B4400" t="str">
        <x:v>PTN Vokasi</x:v>
      </x:c>
      <x:c r="C4400" t="str">
        <x:v>POLITEKNIK PERKAPALAN NEGERI SURABAYA</x:v>
      </x:c>
      <x:c r="D4400" t="str">
        <x:v>TEKNIK PERPIPAAN</x:v>
      </x:c>
      <x:c r="E4400" t="str">
        <x:v>Sarjana Terapan</x:v>
      </x:c>
      <x:c r="F4400" s="18" t="n">
        <x:v>60</x:v>
      </x:c>
      <x:c r="G4400" s="18" t="n">
        <x:v>147</x:v>
      </x:c>
      <x:c r="H4400" s="19" t="n">
        <x:v>2.45</x:v>
      </x:c>
      <x:c r="I4400" s="18" t="n">
        <x:f>ROUND(MIN(Model_Config_v3!$B$6,MAX(Q4400,R4400,S4400*Model_Config_v3!$B$4+T4400*Model_Config_v3!$B$5)),0)</x:f>
        <x:v>622</x:v>
      </x:c>
      <x:c r="J4400" s="18" t="n">
        <x:f>MIN(Model_Config_v3!$B$6,I4400+Model_Config_v3!$B$7)</x:f>
        <x:v>642</x:v>
      </x:c>
      <x:c r="K4400" s="20" t="n">
        <x:v>43.9</x:v>
      </x:c>
      <x:c r="L4400" t="str">
        <x:v>RELATIF LONGGAR</x:v>
      </x:c>
      <x:c r="M4400" t="str">
        <x:v>SEDANG+</x:v>
      </x:c>
      <x:c r="N4400" t="str">
        <x:v>REGULER</x:v>
      </x:c>
      <x:c r="O4400" t="str">
        <x:v>SAINTEK</x:v>
      </x:c>
      <x:c r="P4400" t="str">
        <x:v>TEKNIK/ARSITEKTUR/STATISTIKA/AKTUARIA</x:v>
      </x:c>
      <x:c r="Q4400" s="18" t="n">
        <x:v>0</x:v>
      </x:c>
      <x:c r="R4400" s="18" t="n">
        <x:v>0</x:v>
      </x:c>
      <x:c r="S4400" s="18" t="n">
        <x:v>562.8082692800986</x:v>
      </x:c>
      <x:c r="T4400" s="18" t="n">
        <x:v>648</x:v>
      </x:c>
      <x:c r="U4400" s="18" t="n">
        <x:v>572.8082692800986</x:v>
      </x:c>
      <x:c r="V4400" s="20" t="n">
        <x:v>12</x:v>
      </x:c>
      <x:c r="W4400" s="20" t="n">
        <x:v>5</x:v>
      </x:c>
      <x:c r="X4400" s="20" t="n">
        <x:v>3</x:v>
      </x:c>
      <x:c r="Y4400" t="str">
        <x:v>Basis arsip 2025/2024</x:v>
      </x:c>
      <x:c r="Z4400" t="str">
        <x:v>https://snpmb.id/utbk-snbt/daya-tampung-snbt</x:v>
      </x:c>
      <x:c r="AA4400" t="str">
        <x:v>Tidak Ada</x:v>
      </x:c>
      <x:c r="AB4400" t="str">
        <x:v>Campus=55; Ratio=22.9; Prodi=60; RelDemand=19.1; Capacity=50.0</x:v>
      </x:c>
    </x:row>
    <x:row r="4401">
      <x:c r="A4401" t="n">
        <x:v>4398</x:v>
      </x:c>
      <x:c r="B4401" t="str">
        <x:v>PTN Vokasi</x:v>
      </x:c>
      <x:c r="C4401" t="str">
        <x:v>POLITEKNIK PERKAPALAN NEGERI SURABAYA</x:v>
      </x:c>
      <x:c r="D4401" t="str">
        <x:v>TEKNIK OTOMASI</x:v>
      </x:c>
      <x:c r="E4401" t="str">
        <x:v>Sarjana Terapan</x:v>
      </x:c>
      <x:c r="F4401" s="18" t="n">
        <x:v>60</x:v>
      </x:c>
      <x:c r="G4401" s="18" t="n">
        <x:v>148</x:v>
      </x:c>
      <x:c r="H4401" s="19" t="n">
        <x:v>2.466666666666667</x:v>
      </x:c>
      <x:c r="I4401" s="18" t="n">
        <x:f>ROUND(MIN(Model_Config_v3!$B$6,MAX(Q4401,R4401,S4401*Model_Config_v3!$B$4+T4401*Model_Config_v3!$B$5)),0)</x:f>
        <x:v>623</x:v>
      </x:c>
      <x:c r="J4401" s="18" t="n">
        <x:f>MIN(Model_Config_v3!$B$6,I4401+Model_Config_v3!$B$7)</x:f>
        <x:v>643</x:v>
      </x:c>
      <x:c r="K4401" s="20" t="n">
        <x:v>43.9</x:v>
      </x:c>
      <x:c r="L4401" t="str">
        <x:v>RELATIF LONGGAR</x:v>
      </x:c>
      <x:c r="M4401" t="str">
        <x:v>SEDANG+</x:v>
      </x:c>
      <x:c r="N4401" t="str">
        <x:v>REGULER</x:v>
      </x:c>
      <x:c r="O4401" t="str">
        <x:v>SAINTEK</x:v>
      </x:c>
      <x:c r="P4401" t="str">
        <x:v>TEKNIK/ARSITEKTUR/STATISTIKA/AKTUARIA</x:v>
      </x:c>
      <x:c r="Q4401" s="18" t="n">
        <x:v>0</x:v>
      </x:c>
      <x:c r="R4401" s="18" t="n">
        <x:v>0</x:v>
      </x:c>
      <x:c r="S4401" s="18" t="n">
        <x:v>563.1321511512446</x:v>
      </x:c>
      <x:c r="T4401" s="18" t="n">
        <x:v>648</x:v>
      </x:c>
      <x:c r="U4401" s="18" t="n">
        <x:v>573.1321511512446</x:v>
      </x:c>
      <x:c r="V4401" s="20" t="n">
        <x:v>12</x:v>
      </x:c>
      <x:c r="W4401" s="20" t="n">
        <x:v>5</x:v>
      </x:c>
      <x:c r="X4401" s="20" t="n">
        <x:v>3</x:v>
      </x:c>
      <x:c r="Y4401" t="str">
        <x:v>Basis arsip 2025/2024</x:v>
      </x:c>
      <x:c r="Z4401" t="str">
        <x:v>https://snpmb.id/utbk-snbt/daya-tampung-snbt</x:v>
      </x:c>
      <x:c r="AA4401" t="str">
        <x:v>Tidak Ada</x:v>
      </x:c>
      <x:c r="AB4401" t="str">
        <x:v>Campus=55; Ratio=23.1; Prodi=60; RelDemand=19.2; Capacity=50.0</x:v>
      </x:c>
    </x:row>
    <x:row r="4402">
      <x:c r="A4402" t="n">
        <x:v>4399</x:v>
      </x:c>
      <x:c r="B4402" t="str">
        <x:v>PTN Vokasi</x:v>
      </x:c>
      <x:c r="C4402" t="str">
        <x:v>POLITEKNIK PERKAPALAN NEGERI SURABAYA</x:v>
      </x:c>
      <x:c r="D4402" t="str">
        <x:v>TEKNIK PENGOLAHAN LIMBAH</x:v>
      </x:c>
      <x:c r="E4402" t="str">
        <x:v>Sarjana Terapan</x:v>
      </x:c>
      <x:c r="F4402" s="18" t="n">
        <x:v>60</x:v>
      </x:c>
      <x:c r="G4402" s="18" t="n">
        <x:v>250</x:v>
      </x:c>
      <x:c r="H4402" s="19" t="n">
        <x:v>4.166666666666667</x:v>
      </x:c>
      <x:c r="I4402" s="18" t="n">
        <x:f>ROUND(MIN(Model_Config_v3!$B$6,MAX(Q4402,R4402,S4402*Model_Config_v3!$B$4+T4402*Model_Config_v3!$B$5)),0)</x:f>
        <x:v>636</x:v>
      </x:c>
      <x:c r="J4402" s="18" t="n">
        <x:f>MIN(Model_Config_v3!$B$6,I4402+Model_Config_v3!$B$7)</x:f>
        <x:v>656</x:v>
      </x:c>
      <x:c r="K4402" s="20" t="n">
        <x:v>48.6</x:v>
      </x:c>
      <x:c r="L4402" t="str">
        <x:v>MENENGAH</x:v>
      </x:c>
      <x:c r="M4402" t="str">
        <x:v>SEDANG+</x:v>
      </x:c>
      <x:c r="N4402" t="str">
        <x:v>REGULER</x:v>
      </x:c>
      <x:c r="O4402" t="str">
        <x:v>SAINTEK</x:v>
      </x:c>
      <x:c r="P4402" t="str">
        <x:v>TEKNIK/ARSITEKTUR/STATISTIKA/AKTUARIA</x:v>
      </x:c>
      <x:c r="Q4402" s="18" t="n">
        <x:v>0</x:v>
      </x:c>
      <x:c r="R4402" s="18" t="n">
        <x:v>0</x:v>
      </x:c>
      <x:c r="S4402" s="18" t="n">
        <x:v>588.1767634117233</x:v>
      </x:c>
      <x:c r="T4402" s="18" t="n">
        <x:v>657</x:v>
      </x:c>
      <x:c r="U4402" s="18" t="n">
        <x:v>598.1767634117233</x:v>
      </x:c>
      <x:c r="V4402" s="20" t="n">
        <x:v>12</x:v>
      </x:c>
      <x:c r="W4402" s="20" t="n">
        <x:v>5</x:v>
      </x:c>
      <x:c r="X4402" s="20" t="n">
        <x:v>3</x:v>
      </x:c>
      <x:c r="Y4402" t="str">
        <x:v>Basis arsip 2025/2024</x:v>
      </x:c>
      <x:c r="Z4402" t="str">
        <x:v>https://snpmb.id/utbk-snbt/daya-tampung-snbt</x:v>
      </x:c>
      <x:c r="AA4402" t="str">
        <x:v>Tidak Ada</x:v>
      </x:c>
      <x:c r="AB4402" t="str">
        <x:v>Campus=55; Ratio=36.5; Prodi=60; RelDemand=32.5; Capacity=50.0</x:v>
      </x:c>
    </x:row>
    <x:row r="4403">
      <x:c r="A4403" t="n">
        <x:v>4400</x:v>
      </x:c>
      <x:c r="B4403" t="str">
        <x:v>PTN Vokasi</x:v>
      </x:c>
      <x:c r="C4403" t="str">
        <x:v>POLITEKNIK PERKAPALAN NEGERI SURABAYA</x:v>
      </x:c>
      <x:c r="D4403" t="str">
        <x:v>TEKNIK PERANCANGAN DAN KONSTRUKSI KAPAL</x:v>
      </x:c>
      <x:c r="E4403" t="str">
        <x:v>Sarjana Terapan</x:v>
      </x:c>
      <x:c r="F4403" s="18" t="n">
        <x:v>48</x:v>
      </x:c>
      <x:c r="G4403" s="18" t="n">
        <x:v>208</x:v>
      </x:c>
      <x:c r="H4403" s="19" t="n">
        <x:v>4.333333333333333</x:v>
      </x:c>
      <x:c r="I4403" s="18" t="n">
        <x:f>ROUND(MIN(Model_Config_v3!$B$6,MAX(Q4403,R4403,S4403*Model_Config_v3!$B$4+T4403*Model_Config_v3!$B$5)),0)</x:f>
        <x:v>639</x:v>
      </x:c>
      <x:c r="J4403" s="18" t="n">
        <x:f>MIN(Model_Config_v3!$B$6,I4403+Model_Config_v3!$B$7)</x:f>
        <x:v>659</x:v>
      </x:c>
      <x:c r="K4403" s="20" t="n">
        <x:v>50</x:v>
      </x:c>
      <x:c r="L4403" t="str">
        <x:v>MENENGAH</x:v>
      </x:c>
      <x:c r="M4403" t="str">
        <x:v>SEDANG+</x:v>
      </x:c>
      <x:c r="N4403" t="str">
        <x:v>REGULER</x:v>
      </x:c>
      <x:c r="O4403" t="str">
        <x:v>SAINTEK</x:v>
      </x:c>
      <x:c r="P4403" t="str">
        <x:v>TEKNIK/ARSITEKTUR/STATISTIKA/AKTUARIA</x:v>
      </x:c>
      <x:c r="Q4403" s="18" t="n">
        <x:v>0</x:v>
      </x:c>
      <x:c r="R4403" s="18" t="n">
        <x:v>0</x:v>
      </x:c>
      <x:c r="S4403" s="18" t="n">
        <x:v>590.0504307345892</x:v>
      </x:c>
      <x:c r="T4403" s="18" t="n">
        <x:v>660</x:v>
      </x:c>
      <x:c r="U4403" s="18" t="n">
        <x:v>600.0504307345892</x:v>
      </x:c>
      <x:c r="V4403" s="20" t="n">
        <x:v>12</x:v>
      </x:c>
      <x:c r="W4403" s="20" t="n">
        <x:v>5</x:v>
      </x:c>
      <x:c r="X4403" s="20" t="n">
        <x:v>3</x:v>
      </x:c>
      <x:c r="Y4403" t="str">
        <x:v>Basis arsip 2025/2024</x:v>
      </x:c>
      <x:c r="Z4403" t="str">
        <x:v>https://snpmb.id/utbk-snbt/daya-tampung-snbt</x:v>
      </x:c>
      <x:c r="AA4403" t="str">
        <x:v>Tidak Ada</x:v>
      </x:c>
      <x:c r="AB4403" t="str">
        <x:v>Campus=55; Ratio=37.5; Prodi=60; RelDemand=33.8; Capacity=60.0</x:v>
      </x:c>
    </x:row>
    <x:row r="4404">
      <x:c r="A4404" t="n">
        <x:v>4401</x:v>
      </x:c>
      <x:c r="B4404" t="str">
        <x:v>PTN Vokasi</x:v>
      </x:c>
      <x:c r="C4404" t="str">
        <x:v>POLITEKNIK PERKAPALAN NEGERI SURABAYA</x:v>
      </x:c>
      <x:c r="D4404" t="str">
        <x:v>TEKNIK PERMESINAN KAPAL</x:v>
      </x:c>
      <x:c r="E4404" t="str">
        <x:v>Sarjana Terapan</x:v>
      </x:c>
      <x:c r="F4404" s="18" t="n">
        <x:v>48</x:v>
      </x:c>
      <x:c r="G4404" s="18" t="n">
        <x:v>306</x:v>
      </x:c>
      <x:c r="H4404" s="19" t="n">
        <x:v>6.375</x:v>
      </x:c>
      <x:c r="I4404" s="18" t="n">
        <x:f>ROUND(MIN(Model_Config_v3!$B$6,MAX(Q4404,R4404,S4404*Model_Config_v3!$B$4+T4404*Model_Config_v3!$B$5)),0)</x:f>
        <x:v>650</x:v>
      </x:c>
      <x:c r="J4404" s="18" t="n">
        <x:f>MIN(Model_Config_v3!$B$6,I4404+Model_Config_v3!$B$7)</x:f>
        <x:v>670</x:v>
      </x:c>
      <x:c r="K4404" s="20" t="n">
        <x:v>54.1</x:v>
      </x:c>
      <x:c r="L4404" t="str">
        <x:v>MENENGAH</x:v>
      </x:c>
      <x:c r="M4404" t="str">
        <x:v>SEDANG+</x:v>
      </x:c>
      <x:c r="N4404" t="str">
        <x:v>REGULER</x:v>
      </x:c>
      <x:c r="O4404" t="str">
        <x:v>SAINTEK</x:v>
      </x:c>
      <x:c r="P4404" t="str">
        <x:v>TEKNIK/ARSITEKTUR/STATISTIKA/AKTUARIA</x:v>
      </x:c>
      <x:c r="Q4404" s="18" t="n">
        <x:v>0</x:v>
      </x:c>
      <x:c r="R4404" s="18" t="n">
        <x:v>0</x:v>
      </x:c>
      <x:c r="S4404" s="18" t="n">
        <x:v>608.4928208016591</x:v>
      </x:c>
      <x:c r="T4404" s="18" t="n">
        <x:v>668</x:v>
      </x:c>
      <x:c r="U4404" s="18" t="n">
        <x:v>618.4928208016591</x:v>
      </x:c>
      <x:c r="V4404" s="20" t="n">
        <x:v>12</x:v>
      </x:c>
      <x:c r="W4404" s="20" t="n">
        <x:v>5</x:v>
      </x:c>
      <x:c r="X4404" s="20" t="n">
        <x:v>3</x:v>
      </x:c>
      <x:c r="Y4404" t="str">
        <x:v>Basis arsip 2025/2024</x:v>
      </x:c>
      <x:c r="Z4404" t="str">
        <x:v>https://snpmb.id/utbk-snbt/daya-tampung-snbt</x:v>
      </x:c>
      <x:c r="AA4404" t="str">
        <x:v>Tidak Ada</x:v>
      </x:c>
      <x:c r="AB4404" t="str">
        <x:v>Campus=55; Ratio=47.4; Prodi=60; RelDemand=49.7; Capacity=60.0</x:v>
      </x:c>
    </x:row>
    <x:row r="4405">
      <x:c r="A4405" t="n">
        <x:v>4402</x:v>
      </x:c>
      <x:c r="B4405" t="str">
        <x:v>PTN Vokasi</x:v>
      </x:c>
      <x:c r="C4405" t="str">
        <x:v>POLITEKNIK PERKAPALAN NEGERI SURABAYA</x:v>
      </x:c>
      <x:c r="D4405" t="str">
        <x:v>TEKNIK KELISTRIKAN KAPAL</x:v>
      </x:c>
      <x:c r="E4405" t="str">
        <x:v>Sarjana Terapan</x:v>
      </x:c>
      <x:c r="F4405" s="18" t="n">
        <x:v>48</x:v>
      </x:c>
      <x:c r="G4405" s="18" t="n">
        <x:v>158</x:v>
      </x:c>
      <x:c r="H4405" s="19" t="n">
        <x:v>3.2916666666666665</x:v>
      </x:c>
      <x:c r="I4405" s="18" t="n">
        <x:f>ROUND(MIN(Model_Config_v3!$B$6,MAX(Q4405,R4405,S4405*Model_Config_v3!$B$4+T4405*Model_Config_v3!$B$5)),0)</x:f>
        <x:v>632</x:v>
      </x:c>
      <x:c r="J4405" s="18" t="n">
        <x:f>MIN(Model_Config_v3!$B$6,I4405+Model_Config_v3!$B$7)</x:f>
        <x:v>652</x:v>
      </x:c>
      <x:c r="K4405" s="20" t="n">
        <x:v>47.4</x:v>
      </x:c>
      <x:c r="L4405" t="str">
        <x:v>MENENGAH</x:v>
      </x:c>
      <x:c r="M4405" t="str">
        <x:v>SEDANG+</x:v>
      </x:c>
      <x:c r="N4405" t="str">
        <x:v>REGULER</x:v>
      </x:c>
      <x:c r="O4405" t="str">
        <x:v>SAINTEK</x:v>
      </x:c>
      <x:c r="P4405" t="str">
        <x:v>TEKNIK/ARSITEKTUR/STATISTIKA/AKTUARIA</x:v>
      </x:c>
      <x:c r="Q4405" s="18" t="n">
        <x:v>0</x:v>
      </x:c>
      <x:c r="R4405" s="18" t="n">
        <x:v>0</x:v>
      </x:c>
      <x:c r="S4405" s="18" t="n">
        <x:v>576.9157434536719</x:v>
      </x:c>
      <x:c r="T4405" s="18" t="n">
        <x:v>655</x:v>
      </x:c>
      <x:c r="U4405" s="18" t="n">
        <x:v>586.9157434536719</x:v>
      </x:c>
      <x:c r="V4405" s="20" t="n">
        <x:v>12</x:v>
      </x:c>
      <x:c r="W4405" s="20" t="n">
        <x:v>5</x:v>
      </x:c>
      <x:c r="X4405" s="20" t="n">
        <x:v>3</x:v>
      </x:c>
      <x:c r="Y4405" t="str">
        <x:v>Basis arsip 2025/2024</x:v>
      </x:c>
      <x:c r="Z4405" t="str">
        <x:v>https://snpmb.id/utbk-snbt/daya-tampung-snbt</x:v>
      </x:c>
      <x:c r="AA4405" t="str">
        <x:v>Tidak Ada</x:v>
      </x:c>
      <x:c r="AB4405" t="str">
        <x:v>Campus=55; Ratio=30.5; Prodi=60; RelDemand=25.6; Capacity=60.0</x:v>
      </x:c>
    </x:row>
    <x:row r="4406">
      <x:c r="A4406" t="n">
        <x:v>4403</x:v>
      </x:c>
      <x:c r="B4406" t="str">
        <x:v>PTN Vokasi</x:v>
      </x:c>
      <x:c r="C4406" t="str">
        <x:v>POLITEKNIK PERKAPALAN NEGERI SURABAYA</x:v>
      </x:c>
      <x:c r="D4406" t="str">
        <x:v>MANAJEMEN BISNIS</x:v>
      </x:c>
      <x:c r="E4406" t="str">
        <x:v>Sarjana Terapan</x:v>
      </x:c>
      <x:c r="F4406" s="18" t="n">
        <x:v>96</x:v>
      </x:c>
      <x:c r="G4406" s="18" t="n">
        <x:v>843</x:v>
      </x:c>
      <x:c r="H4406" s="19" t="n">
        <x:v>8.78125</x:v>
      </x:c>
      <x:c r="I4406" s="18" t="n">
        <x:f>ROUND(MIN(Model_Config_v3!$B$6,MAX(Q4406,R4406,S4406*Model_Config_v3!$B$4+T4406*Model_Config_v3!$B$5)),0)</x:f>
        <x:v>656</x:v>
      </x:c>
      <x:c r="J4406" s="18" t="n">
        <x:f>MIN(Model_Config_v3!$B$6,I4406+Model_Config_v3!$B$7)</x:f>
        <x:v>676</x:v>
      </x:c>
      <x:c r="K4406" s="20" t="n">
        <x:v>55</x:v>
      </x:c>
      <x:c r="L4406" t="str">
        <x:v>KETAT</x:v>
      </x:c>
      <x:c r="M4406" t="str">
        <x:v>SEDANG+</x:v>
      </x:c>
      <x:c r="N4406" t="str">
        <x:v>REGULER</x:v>
      </x:c>
      <x:c r="O4406" t="str">
        <x:v>SOSHUM</x:v>
      </x:c>
      <x:c r="P4406" t="str">
        <x:v>BISNIS/EKONOMI/AKUNTANSI</x:v>
      </x:c>
      <x:c r="Q4406" s="18" t="n">
        <x:v>0</x:v>
      </x:c>
      <x:c r="R4406" s="18" t="n">
        <x:v>0</x:v>
      </x:c>
      <x:c r="S4406" s="18" t="n">
        <x:v>623.7911975743691</x:v>
      </x:c>
      <x:c r="T4406" s="18" t="n">
        <x:v>670</x:v>
      </x:c>
      <x:c r="U4406" s="18" t="n">
        <x:v>638.7911975743691</x:v>
      </x:c>
      <x:c r="V4406" s="20" t="n">
        <x:v>4.4</x:v>
      </x:c>
      <x:c r="W4406" s="20" t="n">
        <x:v>14.3</x:v>
      </x:c>
      <x:c r="X4406" s="20" t="n">
        <x:v>3.3</x:v>
      </x:c>
      <x:c r="Y4406" t="str">
        <x:v>Basis arsip 2025/2024</x:v>
      </x:c>
      <x:c r="Z4406" t="str">
        <x:v>https://snpmb.id/utbk-snbt/daya-tampung-snbt</x:v>
      </x:c>
      <x:c r="AA4406" t="str">
        <x:v>Tidak Ada</x:v>
      </x:c>
      <x:c r="AB4406" t="str">
        <x:v>Campus=55; Ratio=55.5; Prodi=65; RelDemand=68.4; Capacity=20.0</x:v>
      </x:c>
    </x:row>
    <x:row r="4407">
      <x:c r="A4407" t="n">
        <x:v>4404</x:v>
      </x:c>
      <x:c r="B4407" t="str">
        <x:v>PTN Vokasi</x:v>
      </x:c>
      <x:c r="C4407" t="str">
        <x:v>POLITEKNIK PERKAPALAN NEGERI SURABAYA</x:v>
      </x:c>
      <x:c r="D4407" t="str">
        <x:v>TEKNOLOGI REKAYASA ENERGI BERKELANJUTAN</x:v>
      </x:c>
      <x:c r="E4407" t="str">
        <x:v>Sarjana Terapan</x:v>
      </x:c>
      <x:c r="F4407" s="18" t="n">
        <x:v>24</x:v>
      </x:c>
      <x:c r="G4407" s="18" t="n">
        <x:v>62</x:v>
      </x:c>
      <x:c r="H4407" s="19" t="n">
        <x:v>2.5833333333333335</x:v>
      </x:c>
      <x:c r="I4407" s="18" t="n">
        <x:f>ROUND(MIN(Model_Config_v3!$B$6,MAX(Q4407,R4407,S4407*Model_Config_v3!$B$4+T4407*Model_Config_v3!$B$5)),0)</x:f>
        <x:v>623</x:v>
      </x:c>
      <x:c r="J4407" s="18" t="n">
        <x:f>MIN(Model_Config_v3!$B$6,I4407+Model_Config_v3!$B$7)</x:f>
        <x:v>643</x:v>
      </x:c>
      <x:c r="K4407" s="20" t="n">
        <x:v>43.3</x:v>
      </x:c>
      <x:c r="L4407" t="str">
        <x:v>RELATIF LONGGAR</x:v>
      </x:c>
      <x:c r="M4407" t="str">
        <x:v>SEDANG</x:v>
      </x:c>
      <x:c r="N4407" t="str">
        <x:v>REGULER</x:v>
      </x:c>
      <x:c r="O4407" t="str">
        <x:v>SAINTEK</x:v>
      </x:c>
      <x:c r="P4407" t="str">
        <x:v>UMUM</x:v>
      </x:c>
      <x:c r="Q4407" s="18" t="n">
        <x:v>0</x:v>
      </x:c>
      <x:c r="R4407" s="18" t="n">
        <x:v>0</x:v>
      </x:c>
      <x:c r="S4407" s="18" t="n">
        <x:v>565.3398492565312</x:v>
      </x:c>
      <x:c r="T4407" s="18" t="n">
        <x:v>647</x:v>
      </x:c>
      <x:c r="U4407" s="18" t="n">
        <x:v>565.3398492565312</x:v>
      </x:c>
      <x:c r="V4407" s="20" t="n">
        <x:v>12</x:v>
      </x:c>
      <x:c r="W4407" s="20" t="n">
        <x:v>5</x:v>
      </x:c>
      <x:c r="X4407" s="20" t="n">
        <x:v>3</x:v>
      </x:c>
      <x:c r="Y4407" t="str">
        <x:v>Basis arsip 2025/2024</x:v>
      </x:c>
      <x:c r="Z4407" t="str">
        <x:v>https://snpmb.id/utbk-snbt/daya-tampung-snbt</x:v>
      </x:c>
      <x:c r="AA4407" t="str">
        <x:v>Tidak Ada</x:v>
      </x:c>
      <x:c r="AB4407" t="str">
        <x:v>Campus=55; Ratio=24.3; Prodi=40; RelDemand=20.1; Capacity=80.0</x:v>
      </x:c>
    </x:row>
    <x:row r="4408">
      <x:c r="A4408" t="n">
        <x:v>4405</x:v>
      </x:c>
      <x:c r="B4408" t="str">
        <x:v>PTN Vokasi</x:v>
      </x:c>
      <x:c r="C4408" t="str">
        <x:v>POLITEKNIK PERKAPALAN NEGERI SURABAYA</x:v>
      </x:c>
      <x:c r="D4408" t="str">
        <x:v>TEKNOLOGI REKAYASA KONSTRUKSI PERKAPALAN</x:v>
      </x:c>
      <x:c r="E4408" t="str">
        <x:v>Sarjana Terapan</x:v>
      </x:c>
      <x:c r="F4408" s="18" t="n">
        <x:v>24</x:v>
      </x:c>
      <x:c r="G4408" s="18" t="n">
        <x:v>36</x:v>
      </x:c>
      <x:c r="H4408" s="19" t="n">
        <x:v>1.5</x:v>
      </x:c>
      <x:c r="I4408" s="18" t="n">
        <x:f>ROUND(MIN(Model_Config_v3!$B$6,MAX(Q4408,R4408,S4408*Model_Config_v3!$B$4+T4408*Model_Config_v3!$B$5)),0)</x:f>
        <x:v>608</x:v>
      </x:c>
      <x:c r="J4408" s="18" t="n">
        <x:f>MIN(Model_Config_v3!$B$6,I4408+Model_Config_v3!$B$7)</x:f>
        <x:v>628</x:v>
      </x:c>
      <x:c r="K4408" s="20" t="n">
        <x:v>39</x:v>
      </x:c>
      <x:c r="L4408" t="str">
        <x:v>RELATIF LONGGAR</x:v>
      </x:c>
      <x:c r="M4408" t="str">
        <x:v>SEDANG</x:v>
      </x:c>
      <x:c r="N4408" t="str">
        <x:v>REGULER</x:v>
      </x:c>
      <x:c r="O4408" t="str">
        <x:v>SAINTEK</x:v>
      </x:c>
      <x:c r="P4408" t="str">
        <x:v>UMUM</x:v>
      </x:c>
      <x:c r="Q4408" s="18" t="n">
        <x:v>0</x:v>
      </x:c>
      <x:c r="R4408" s="18" t="n">
        <x:v>0</x:v>
      </x:c>
      <x:c r="S4408" s="18" t="n">
        <x:v>539.370038496125</x:v>
      </x:c>
      <x:c r="T4408" s="18" t="n">
        <x:v>638</x:v>
      </x:c>
      <x:c r="U4408" s="18" t="n">
        <x:v>539.370038496125</x:v>
      </x:c>
      <x:c r="V4408" s="20" t="n">
        <x:v>12</x:v>
      </x:c>
      <x:c r="W4408" s="20" t="n">
        <x:v>5</x:v>
      </x:c>
      <x:c r="X4408" s="20" t="n">
        <x:v>3</x:v>
      </x:c>
      <x:c r="Y4408" t="str">
        <x:v>Basis arsip 2025/2024</x:v>
      </x:c>
      <x:c r="Z4408" t="str">
        <x:v>https://snpmb.id/utbk-snbt/daya-tampung-snbt</x:v>
      </x:c>
      <x:c r="AA4408" t="str">
        <x:v>Tidak Ada</x:v>
      </x:c>
      <x:c r="AB4408" t="str">
        <x:v>Campus=55; Ratio=10.4; Prodi=40; RelDemand=11.7; Capacity=80.0</x:v>
      </x:c>
    </x:row>
    <x:row r="4409">
      <x:c r="A4409" t="n">
        <x:v>4406</x:v>
      </x:c>
      <x:c r="B4409" t="str">
        <x:v>PTN Vokasi</x:v>
      </x:c>
      <x:c r="C4409" t="str">
        <x:v>POLITEKNIK PERKAPALAN NEGERI SURABAYA</x:v>
      </x:c>
      <x:c r="D4409" t="str">
        <x:v>TEKNIK KELISTRIKAN KAPAL</x:v>
      </x:c>
      <x:c r="E4409" t="str">
        <x:v>Diploma Tiga</x:v>
      </x:c>
      <x:c r="F4409" s="18" t="n">
        <x:v>36</x:v>
      </x:c>
      <x:c r="G4409" s="18" t="n">
        <x:v>252</x:v>
      </x:c>
      <x:c r="H4409" s="19" t="n">
        <x:v>7</x:v>
      </x:c>
      <x:c r="I4409" s="18" t="n">
        <x:f>ROUND(MIN(Model_Config_v3!$B$6,MAX(Q4409,R4409,S4409*Model_Config_v3!$B$4+T4409*Model_Config_v3!$B$5)),0)</x:f>
        <x:v>654</x:v>
      </x:c>
      <x:c r="J4409" s="18" t="n">
        <x:f>MIN(Model_Config_v3!$B$6,I4409+Model_Config_v3!$B$7)</x:f>
        <x:v>674</x:v>
      </x:c>
      <x:c r="K4409" s="20" t="n">
        <x:v>56.1</x:v>
      </x:c>
      <x:c r="L4409" t="str">
        <x:v>KETAT</x:v>
      </x:c>
      <x:c r="M4409" t="str">
        <x:v>SEDANG+</x:v>
      </x:c>
      <x:c r="N4409" t="str">
        <x:v>REGULER</x:v>
      </x:c>
      <x:c r="O4409" t="str">
        <x:v>SAINTEK</x:v>
      </x:c>
      <x:c r="P4409" t="str">
        <x:v>TEKNIK/ARSITEKTUR/STATISTIKA/AKTUARIA</x:v>
      </x:c>
      <x:c r="Q4409" s="18" t="n">
        <x:v>0</x:v>
      </x:c>
      <x:c r="R4409" s="18" t="n">
        <x:v>0</x:v>
      </x:c>
      <x:c r="S4409" s="18" t="n">
        <x:v>612.9607844015683</x:v>
      </x:c>
      <x:c r="T4409" s="18" t="n">
        <x:v>672</x:v>
      </x:c>
      <x:c r="U4409" s="18" t="n">
        <x:v>622.9607844015683</x:v>
      </x:c>
      <x:c r="V4409" s="20" t="n">
        <x:v>12</x:v>
      </x:c>
      <x:c r="W4409" s="20" t="n">
        <x:v>5</x:v>
      </x:c>
      <x:c r="X4409" s="20" t="n">
        <x:v>3</x:v>
      </x:c>
      <x:c r="Y4409" t="str">
        <x:v>Basis arsip 2025/2024</x:v>
      </x:c>
      <x:c r="Z4409" t="str">
        <x:v>https://snpmb.id/utbk-snbt/daya-tampung-snbt</x:v>
      </x:c>
      <x:c r="AA4409" t="str">
        <x:v>Tidak Ada</x:v>
      </x:c>
      <x:c r="AB4409" t="str">
        <x:v>Campus=55; Ratio=49.7; Prodi=60; RelDemand=54.5; Capacity=70.0</x:v>
      </x:c>
    </x:row>
    <x:row r="4410">
      <x:c r="A4410" t="n">
        <x:v>4407</x:v>
      </x:c>
      <x:c r="B4410" t="str">
        <x:v>PTN Vokasi</x:v>
      </x:c>
      <x:c r="C4410" t="str">
        <x:v>POLITEKNIK PERKAPALAN NEGERI SURABAYA</x:v>
      </x:c>
      <x:c r="D4410" t="str">
        <x:v>TEKNIK PERMESINAN KAPAL</x:v>
      </x:c>
      <x:c r="E4410" t="str">
        <x:v>Diploma Tiga</x:v>
      </x:c>
      <x:c r="F4410" s="18" t="n">
        <x:v>36</x:v>
      </x:c>
      <x:c r="G4410" s="18" t="n">
        <x:v>529</x:v>
      </x:c>
      <x:c r="H4410" s="19" t="n">
        <x:v>14.694444444444445</x:v>
      </x:c>
      <x:c r="I4410" s="18" t="n">
        <x:f>ROUND(MIN(Model_Config_v3!$B$6,MAX(Q4410,R4410,S4410*Model_Config_v3!$B$4+T4410*Model_Config_v3!$B$5)),0)</x:f>
        <x:v>678</x:v>
      </x:c>
      <x:c r="J4410" s="18" t="n">
        <x:f>MIN(Model_Config_v3!$B$6,I4410+Model_Config_v3!$B$7)</x:f>
        <x:v>698</x:v>
      </x:c>
      <x:c r="K4410" s="20" t="n">
        <x:v>65.4</x:v>
      </x:c>
      <x:c r="L4410" t="str">
        <x:v>SANGAT KETAT</x:v>
      </x:c>
      <x:c r="M4410" t="str">
        <x:v>SEDANG+</x:v>
      </x:c>
      <x:c r="N4410" t="str">
        <x:v>REGULER</x:v>
      </x:c>
      <x:c r="O4410" t="str">
        <x:v>SAINTEK</x:v>
      </x:c>
      <x:c r="P4410" t="str">
        <x:v>TEKNIK/ARSITEKTUR/STATISTIKA/AKTUARIA</x:v>
      </x:c>
      <x:c r="Q4410" s="18" t="n">
        <x:v>0</x:v>
      </x:c>
      <x:c r="R4410" s="18" t="n">
        <x:v>0</x:v>
      </x:c>
      <x:c r="S4410" s="18" t="n">
        <x:v>648.3868488394688</x:v>
      </x:c>
      <x:c r="T4410" s="18" t="n">
        <x:v>691</x:v>
      </x:c>
      <x:c r="U4410" s="18" t="n">
        <x:v>658.3868488394688</x:v>
      </x:c>
      <x:c r="V4410" s="20" t="n">
        <x:v>12</x:v>
      </x:c>
      <x:c r="W4410" s="20" t="n">
        <x:v>5</x:v>
      </x:c>
      <x:c r="X4410" s="20" t="n">
        <x:v>3</x:v>
      </x:c>
      <x:c r="Y4410" t="str">
        <x:v>Basis arsip 2025/2024</x:v>
      </x:c>
      <x:c r="Z4410" t="str">
        <x:v>https://snpmb.id/utbk-snbt/daya-tampung-snbt</x:v>
      </x:c>
      <x:c r="AA4410" t="str">
        <x:v>Tidak Ada</x:v>
      </x:c>
      <x:c r="AB4410" t="str">
        <x:v>Campus=55; Ratio=68.7; Prodi=60; RelDemand=100.0; Capacity=70.0</x:v>
      </x:c>
    </x:row>
    <x:row r="4411">
      <x:c r="A4411" t="n">
        <x:v>4408</x:v>
      </x:c>
      <x:c r="B4411" t="str">
        <x:v>PTN Vokasi</x:v>
      </x:c>
      <x:c r="C4411" t="str">
        <x:v>POLITEKNIK PERKAPALAN NEGERI SURABAYA</x:v>
      </x:c>
      <x:c r="D4411" t="str">
        <x:v>TEKNIK PERANCANGAN DAN KONSTRUKSI KAPAL</x:v>
      </x:c>
      <x:c r="E4411" t="str">
        <x:v>Diploma Tiga</x:v>
      </x:c>
      <x:c r="F4411" s="18" t="n">
        <x:v>36</x:v>
      </x:c>
      <x:c r="G4411" s="18" t="n">
        <x:v>535</x:v>
      </x:c>
      <x:c r="H4411" s="19" t="n">
        <x:v>14.86111111111111</x:v>
      </x:c>
      <x:c r="I4411" s="18" t="n">
        <x:f>ROUND(MIN(Model_Config_v3!$B$6,MAX(Q4411,R4411,S4411*Model_Config_v3!$B$4+T4411*Model_Config_v3!$B$5)),0)</x:f>
        <x:v>678</x:v>
      </x:c>
      <x:c r="J4411" s="18" t="n">
        <x:f>MIN(Model_Config_v3!$B$6,I4411+Model_Config_v3!$B$7)</x:f>
        <x:v>698</x:v>
      </x:c>
      <x:c r="K4411" s="20" t="n">
        <x:v>65.5</x:v>
      </x:c>
      <x:c r="L4411" t="str">
        <x:v>SANGAT KETAT</x:v>
      </x:c>
      <x:c r="M4411" t="str">
        <x:v>SEDANG+</x:v>
      </x:c>
      <x:c r="N4411" t="str">
        <x:v>REGULER</x:v>
      </x:c>
      <x:c r="O4411" t="str">
        <x:v>SAINTEK</x:v>
      </x:c>
      <x:c r="P4411" t="str">
        <x:v>TEKNIK/ARSITEKTUR/STATISTIKA/AKTUARIA</x:v>
      </x:c>
      <x:c r="Q4411" s="18" t="n">
        <x:v>0</x:v>
      </x:c>
      <x:c r="R4411" s="18" t="n">
        <x:v>0</x:v>
      </x:c>
      <x:c r="S4411" s="18" t="n">
        <x:v>648.9256409379335</x:v>
      </x:c>
      <x:c r="T4411" s="18" t="n">
        <x:v>691</x:v>
      </x:c>
      <x:c r="U4411" s="18" t="n">
        <x:v>658.9256409379335</x:v>
      </x:c>
      <x:c r="V4411" s="20" t="n">
        <x:v>12</x:v>
      </x:c>
      <x:c r="W4411" s="20" t="n">
        <x:v>5</x:v>
      </x:c>
      <x:c r="X4411" s="20" t="n">
        <x:v>3</x:v>
      </x:c>
      <x:c r="Y4411" t="str">
        <x:v>Basis arsip 2025/2024</x:v>
      </x:c>
      <x:c r="Z4411" t="str">
        <x:v>https://snpmb.id/utbk-snbt/daya-tampung-snbt</x:v>
      </x:c>
      <x:c r="AA4411" t="str">
        <x:v>Tidak Ada</x:v>
      </x:c>
      <x:c r="AB4411" t="str">
        <x:v>Campus=55; Ratio=69.0; Prodi=60; RelDemand=100.0; Capacity=70.0</x:v>
      </x:c>
    </x:row>
    <x:row r="4412">
      <x:c r="A4412" t="n">
        <x:v>4409</x:v>
      </x:c>
      <x:c r="B4412" t="str">
        <x:v>PTN Vokasi</x:v>
      </x:c>
      <x:c r="C4412" t="str">
        <x:v>POLITEKNIK PERKAPALAN NEGERI SURABAYA</x:v>
      </x:c>
      <x:c r="D4412" t="str">
        <x:v>TEKNIK BANGUNAN KAPAL</x:v>
      </x:c>
      <x:c r="E4412" t="str">
        <x:v>Diploma Tiga</x:v>
      </x:c>
      <x:c r="F4412" s="18" t="n">
        <x:v>36</x:v>
      </x:c>
      <x:c r="G4412" s="18" t="n">
        <x:v>265</x:v>
      </x:c>
      <x:c r="H4412" s="19" t="n">
        <x:v>7.361111111111111</x:v>
      </x:c>
      <x:c r="I4412" s="18" t="n">
        <x:f>ROUND(MIN(Model_Config_v3!$B$6,MAX(Q4412,R4412,S4412*Model_Config_v3!$B$4+T4412*Model_Config_v3!$B$5)),0)</x:f>
        <x:v>656</x:v>
      </x:c>
      <x:c r="J4412" s="18" t="n">
        <x:f>MIN(Model_Config_v3!$B$6,I4412+Model_Config_v3!$B$7)</x:f>
        <x:v>676</x:v>
      </x:c>
      <x:c r="K4412" s="20" t="n">
        <x:v>56.7</x:v>
      </x:c>
      <x:c r="L4412" t="str">
        <x:v>KETAT</x:v>
      </x:c>
      <x:c r="M4412" t="str">
        <x:v>SEDANG+</x:v>
      </x:c>
      <x:c r="N4412" t="str">
        <x:v>REGULER</x:v>
      </x:c>
      <x:c r="O4412" t="str">
        <x:v>SAINTEK</x:v>
      </x:c>
      <x:c r="P4412" t="str">
        <x:v>TEKNIK/ARSITEKTUR/STATISTIKA/AKTUARIA</x:v>
      </x:c>
      <x:c r="Q4412" s="18" t="n">
        <x:v>0</x:v>
      </x:c>
      <x:c r="R4412" s="18" t="n">
        <x:v>0</x:v>
      </x:c>
      <x:c r="S4412" s="18" t="n">
        <x:v>615.3637710486472</x:v>
      </x:c>
      <x:c r="T4412" s="18" t="n">
        <x:v>673</x:v>
      </x:c>
      <x:c r="U4412" s="18" t="n">
        <x:v>625.3637710486472</x:v>
      </x:c>
      <x:c r="V4412" s="20" t="n">
        <x:v>12</x:v>
      </x:c>
      <x:c r="W4412" s="20" t="n">
        <x:v>5</x:v>
      </x:c>
      <x:c r="X4412" s="20" t="n">
        <x:v>3</x:v>
      </x:c>
      <x:c r="Y4412" t="str">
        <x:v>Basis arsip 2025/2024</x:v>
      </x:c>
      <x:c r="Z4412" t="str">
        <x:v>https://snpmb.id/utbk-snbt/daya-tampung-snbt</x:v>
      </x:c>
      <x:c r="AA4412" t="str">
        <x:v>Tidak Ada</x:v>
      </x:c>
      <x:c r="AB4412" t="str">
        <x:v>Campus=55; Ratio=51.0; Prodi=60; RelDemand=57.4; Capacity=70.0</x:v>
      </x:c>
    </x:row>
    <x:row r="4413">
      <x:c r="A4413" t="n">
        <x:v>4410</x:v>
      </x:c>
      <x:c r="B4413" t="str">
        <x:v>PTN Vokasi</x:v>
      </x:c>
      <x:c r="C4413" t="str">
        <x:v>POLITEKNIK ELEKTRONIKA NEGERI SURABAYA (PENS)</x:v>
      </x:c>
      <x:c r="D4413" t="str">
        <x:v>TEKNIK ELEKTRONIKA</x:v>
      </x:c>
      <x:c r="E4413" t="str">
        <x:v>Sarjana Terapan</x:v>
      </x:c>
      <x:c r="F4413" s="18" t="n">
        <x:v>60</x:v>
      </x:c>
      <x:c r="G4413" s="18" t="n">
        <x:v>488</x:v>
      </x:c>
      <x:c r="H4413" s="19" t="n">
        <x:v>8.133333333333333</x:v>
      </x:c>
      <x:c r="I4413" s="18" t="n">
        <x:f>ROUND(MIN(Model_Config_v3!$B$6,MAX(Q4413,R4413,S4413*Model_Config_v3!$B$4+T4413*Model_Config_v3!$B$5)),0)</x:f>
        <x:v>652</x:v>
      </x:c>
      <x:c r="J4413" s="18" t="n">
        <x:f>MIN(Model_Config_v3!$B$6,I4413+Model_Config_v3!$B$7)</x:f>
        <x:v>672</x:v>
      </x:c>
      <x:c r="K4413" s="20" t="n">
        <x:v>52.4</x:v>
      </x:c>
      <x:c r="L4413" t="str">
        <x:v>MENENGAH</x:v>
      </x:c>
      <x:c r="M4413" t="str">
        <x:v>SEDANG+</x:v>
      </x:c>
      <x:c r="N4413" t="str">
        <x:v>REGULER</x:v>
      </x:c>
      <x:c r="O4413" t="str">
        <x:v>SAINTEK</x:v>
      </x:c>
      <x:c r="P4413" t="str">
        <x:v>TEKNIK/ARSITEKTUR/STATISTIKA/AKTUARIA</x:v>
      </x:c>
      <x:c r="Q4413" s="18" t="n">
        <x:v>0</x:v>
      </x:c>
      <x:c r="R4413" s="18" t="n">
        <x:v>0</x:v>
      </x:c>
      <x:c r="S4413" s="18" t="n">
        <x:v>620.1295428780974</x:v>
      </x:c>
      <x:c r="T4413" s="18" t="n">
        <x:v>665</x:v>
      </x:c>
      <x:c r="U4413" s="18" t="n">
        <x:v>630.1295428780974</x:v>
      </x:c>
      <x:c r="V4413" s="20" t="n">
        <x:v>12</x:v>
      </x:c>
      <x:c r="W4413" s="20" t="n">
        <x:v>5</x:v>
      </x:c>
      <x:c r="X4413" s="20" t="n">
        <x:v>3</x:v>
      </x:c>
      <x:c r="Y4413" t="str">
        <x:v>Basis arsip 2025/2024</x:v>
      </x:c>
      <x:c r="Z4413" t="str">
        <x:v>https://snpmb.id/utbk-snbt/daya-tampung-snbt</x:v>
      </x:c>
      <x:c r="AA4413" t="str">
        <x:v>Tidak Ada</x:v>
      </x:c>
      <x:c r="AB4413" t="str">
        <x:v>Campus=55; Ratio=53.6; Prodi=60; RelDemand=27.1; Capacity=50.0</x:v>
      </x:c>
    </x:row>
    <x:row r="4414">
      <x:c r="A4414" t="n">
        <x:v>4411</x:v>
      </x:c>
      <x:c r="B4414" t="str">
        <x:v>PTN Vokasi</x:v>
      </x:c>
      <x:c r="C4414" t="str">
        <x:v>POLITEKNIK ELEKTRONIKA NEGERI SURABAYA (PENS)</x:v>
      </x:c>
      <x:c r="D4414" t="str">
        <x:v>TEKNIK TELEKOMUNIKASI</x:v>
      </x:c>
      <x:c r="E4414" t="str">
        <x:v>Sarjana Terapan</x:v>
      </x:c>
      <x:c r="F4414" s="18" t="n">
        <x:v>48</x:v>
      </x:c>
      <x:c r="G4414" s="18" t="n">
        <x:v>320</x:v>
      </x:c>
      <x:c r="H4414" s="19" t="n">
        <x:v>6.666666666666667</x:v>
      </x:c>
      <x:c r="I4414" s="18" t="n">
        <x:f>ROUND(MIN(Model_Config_v3!$B$6,MAX(Q4414,R4414,S4414*Model_Config_v3!$B$4+T4414*Model_Config_v3!$B$5)),0)</x:f>
        <x:v>647</x:v>
      </x:c>
      <x:c r="J4414" s="18" t="n">
        <x:f>MIN(Model_Config_v3!$B$6,I4414+Model_Config_v3!$B$7)</x:f>
        <x:v>667</x:v>
      </x:c>
      <x:c r="K4414" s="20" t="n">
        <x:v>51.6</x:v>
      </x:c>
      <x:c r="L4414" t="str">
        <x:v>MENENGAH</x:v>
      </x:c>
      <x:c r="M4414" t="str">
        <x:v>SEDANG+</x:v>
      </x:c>
      <x:c r="N4414" t="str">
        <x:v>REGULER</x:v>
      </x:c>
      <x:c r="O4414" t="str">
        <x:v>SAINTEK</x:v>
      </x:c>
      <x:c r="P4414" t="str">
        <x:v>TEKNIK/ARSITEKTUR/STATISTIKA/AKTUARIA</x:v>
      </x:c>
      <x:c r="Q4414" s="18" t="n">
        <x:v>0</x:v>
      </x:c>
      <x:c r="R4414" s="18" t="n">
        <x:v>0</x:v>
      </x:c>
      <x:c r="S4414" s="18" t="n">
        <x:v>610.629961503875</x:v>
      </x:c>
      <x:c r="T4414" s="18" t="n">
        <x:v>663</x:v>
      </x:c>
      <x:c r="U4414" s="18" t="n">
        <x:v>620.629961503875</x:v>
      </x:c>
      <x:c r="V4414" s="20" t="n">
        <x:v>12</x:v>
      </x:c>
      <x:c r="W4414" s="20" t="n">
        <x:v>5</x:v>
      </x:c>
      <x:c r="X4414" s="20" t="n">
        <x:v>3</x:v>
      </x:c>
      <x:c r="Y4414" t="str">
        <x:v>Basis arsip 2025/2024</x:v>
      </x:c>
      <x:c r="Z4414" t="str">
        <x:v>https://snpmb.id/utbk-snbt/daya-tampung-snbt</x:v>
      </x:c>
      <x:c r="AA4414" t="str">
        <x:v>Tidak Ada</x:v>
      </x:c>
      <x:c r="AB4414" t="str">
        <x:v>Campus=55; Ratio=48.5; Prodi=60; RelDemand=22.2; Capacity=60.0</x:v>
      </x:c>
    </x:row>
    <x:row r="4415">
      <x:c r="A4415" t="n">
        <x:v>4412</x:v>
      </x:c>
      <x:c r="B4415" t="str">
        <x:v>PTN Vokasi</x:v>
      </x:c>
      <x:c r="C4415" t="str">
        <x:v>POLITEKNIK ELEKTRONIKA NEGERI SURABAYA (PENS)</x:v>
      </x:c>
      <x:c r="D4415" t="str">
        <x:v>TEKNIK ELEKTRO INDUSTRI</x:v>
      </x:c>
      <x:c r="E4415" t="str">
        <x:v>Sarjana Terapan</x:v>
      </x:c>
      <x:c r="F4415" s="18" t="n">
        <x:v>48</x:v>
      </x:c>
      <x:c r="G4415" s="18" t="n">
        <x:v>546</x:v>
      </x:c>
      <x:c r="H4415" s="19" t="n">
        <x:v>11.375</x:v>
      </x:c>
      <x:c r="I4415" s="18" t="n">
        <x:f>ROUND(MIN(Model_Config_v3!$B$6,MAX(Q4415,R4415,S4415*Model_Config_v3!$B$4+T4415*Model_Config_v3!$B$5)),0)</x:f>
        <x:v>662</x:v>
      </x:c>
      <x:c r="J4415" s="18" t="n">
        <x:f>MIN(Model_Config_v3!$B$6,I4415+Model_Config_v3!$B$7)</x:f>
        <x:v>682</x:v>
      </x:c>
      <x:c r="K4415" s="20" t="n">
        <x:v>56.6</x:v>
      </x:c>
      <x:c r="L4415" t="str">
        <x:v>KETAT</x:v>
      </x:c>
      <x:c r="M4415" t="str">
        <x:v>SEDANG+</x:v>
      </x:c>
      <x:c r="N4415" t="str">
        <x:v>REGULER</x:v>
      </x:c>
      <x:c r="O4415" t="str">
        <x:v>SAINTEK</x:v>
      </x:c>
      <x:c r="P4415" t="str">
        <x:v>TEKNIK/ARSITEKTUR/STATISTIKA/AKTUARIA</x:v>
      </x:c>
      <x:c r="Q4415" s="18" t="n">
        <x:v>0</x:v>
      </x:c>
      <x:c r="R4415" s="18" t="n">
        <x:v>0</x:v>
      </x:c>
      <x:c r="S4415" s="18" t="n">
        <x:v>636.1546545862064</x:v>
      </x:c>
      <x:c r="T4415" s="18" t="n">
        <x:v>673</x:v>
      </x:c>
      <x:c r="U4415" s="18" t="n">
        <x:v>646.1546545862064</x:v>
      </x:c>
      <x:c r="V4415" s="20" t="n">
        <x:v>12</x:v>
      </x:c>
      <x:c r="W4415" s="20" t="n">
        <x:v>5</x:v>
      </x:c>
      <x:c r="X4415" s="20" t="n">
        <x:v>3</x:v>
      </x:c>
      <x:c r="Y4415" t="str">
        <x:v>Basis arsip 2025/2024</x:v>
      </x:c>
      <x:c r="Z4415" t="str">
        <x:v>https://snpmb.id/utbk-snbt/daya-tampung-snbt</x:v>
      </x:c>
      <x:c r="AA4415" t="str">
        <x:v>Tidak Ada</x:v>
      </x:c>
      <x:c r="AB4415" t="str">
        <x:v>Campus=55; Ratio=62.2; Prodi=60; RelDemand=37.9; Capacity=60.0</x:v>
      </x:c>
    </x:row>
    <x:row r="4416">
      <x:c r="A4416" t="n">
        <x:v>4413</x:v>
      </x:c>
      <x:c r="B4416" t="str">
        <x:v>PTN Vokasi</x:v>
      </x:c>
      <x:c r="C4416" t="str">
        <x:v>POLITEKNIK ELEKTRONIKA NEGERI SURABAYA (PENS)</x:v>
      </x:c>
      <x:c r="D4416" t="str">
        <x:v>TEKNIK INFORMATIKA</x:v>
      </x:c>
      <x:c r="E4416" t="str">
        <x:v>Sarjana Terapan</x:v>
      </x:c>
      <x:c r="F4416" s="18" t="n">
        <x:v>48</x:v>
      </x:c>
      <x:c r="G4416" s="18" t="n">
        <x:v>1324</x:v>
      </x:c>
      <x:c r="H4416" s="19" t="n">
        <x:v>27.583333333333332</x:v>
      </x:c>
      <x:c r="I4416" s="18" t="n">
        <x:f>ROUND(MIN(Model_Config_v3!$B$6,MAX(Q4416,R4416,S4416*Model_Config_v3!$B$4+T4416*Model_Config_v3!$B$5)),0)</x:f>
        <x:v>697</x:v>
      </x:c>
      <x:c r="J4416" s="18" t="n">
        <x:f>MIN(Model_Config_v3!$B$6,I4416+Model_Config_v3!$B$7)</x:f>
        <x:v>717</x:v>
      </x:c>
      <x:c r="K4416" s="20" t="n">
        <x:v>72.6</x:v>
      </x:c>
      <x:c r="L4416" t="str">
        <x:v>SANGAT KETAT</x:v>
      </x:c>
      <x:c r="M4416" t="str">
        <x:v>SEDANG+</x:v>
      </x:c>
      <x:c r="N4416" t="str">
        <x:v>REGULER</x:v>
      </x:c>
      <x:c r="O4416" t="str">
        <x:v>SAINTEK</x:v>
      </x:c>
      <x:c r="P4416" t="str">
        <x:v>KOMPUTER/INFORMATIKA</x:v>
      </x:c>
      <x:c r="Q4416" s="18" t="n">
        <x:v>0</x:v>
      </x:c>
      <x:c r="R4416" s="18" t="n">
        <x:v>0</x:v>
      </x:c>
      <x:c r="S4416" s="18" t="n">
        <x:v>678.4711422500903</x:v>
      </x:c>
      <x:c r="T4416" s="18" t="n">
        <x:v>705</x:v>
      </x:c>
      <x:c r="U4416" s="18" t="n">
        <x:v>703.4711422500903</x:v>
      </x:c>
      <x:c r="V4416" s="20" t="n">
        <x:v>12</x:v>
      </x:c>
      <x:c r="W4416" s="20" t="n">
        <x:v>5</x:v>
      </x:c>
      <x:c r="X4416" s="20" t="n">
        <x:v>3</x:v>
      </x:c>
      <x:c r="Y4416" t="str">
        <x:v>Basis arsip 2025/2024</x:v>
      </x:c>
      <x:c r="Z4416" t="str">
        <x:v>https://snpmb.id/utbk-snbt/daya-tampung-snbt</x:v>
      </x:c>
      <x:c r="AA4416" t="str">
        <x:v>Tidak Ada</x:v>
      </x:c>
      <x:c r="AB4416" t="str">
        <x:v>Campus=55; Ratio=84.8; Prodi=85; RelDemand=91.9; Capacity=60.0</x:v>
      </x:c>
    </x:row>
    <x:row r="4417">
      <x:c r="A4417" t="n">
        <x:v>4414</x:v>
      </x:c>
      <x:c r="B4417" t="str">
        <x:v>PTN Vokasi</x:v>
      </x:c>
      <x:c r="C4417" t="str">
        <x:v>POLITEKNIK ELEKTRONIKA NEGERI SURABAYA (PENS)</x:v>
      </x:c>
      <x:c r="D4417" t="str">
        <x:v>TEKNIK KOMPUTER</x:v>
      </x:c>
      <x:c r="E4417" t="str">
        <x:v>Sarjana Terapan</x:v>
      </x:c>
      <x:c r="F4417" s="18" t="n">
        <x:v>48</x:v>
      </x:c>
      <x:c r="G4417" s="18" t="n">
        <x:v>374</x:v>
      </x:c>
      <x:c r="H4417" s="19" t="n">
        <x:v>7.791666666666667</x:v>
      </x:c>
      <x:c r="I4417" s="18" t="n">
        <x:f>ROUND(MIN(Model_Config_v3!$B$6,MAX(Q4417,R4417,S4417*Model_Config_v3!$B$4+T4417*Model_Config_v3!$B$5)),0)</x:f>
        <x:v>659</x:v>
      </x:c>
      <x:c r="J4417" s="18" t="n">
        <x:f>MIN(Model_Config_v3!$B$6,I4417+Model_Config_v3!$B$7)</x:f>
        <x:v>679</x:v>
      </x:c>
      <x:c r="K4417" s="20" t="n">
        <x:v>58</x:v>
      </x:c>
      <x:c r="L4417" t="str">
        <x:v>KETAT</x:v>
      </x:c>
      <x:c r="M4417" t="str">
        <x:v>SEDANG+</x:v>
      </x:c>
      <x:c r="N4417" t="str">
        <x:v>REGULER</x:v>
      </x:c>
      <x:c r="O4417" t="str">
        <x:v>SAINTEK</x:v>
      </x:c>
      <x:c r="P4417" t="str">
        <x:v>KOMPUTER/INFORMATIKA</x:v>
      </x:c>
      <x:c r="Q4417" s="18" t="n">
        <x:v>0</x:v>
      </x:c>
      <x:c r="R4417" s="18" t="n">
        <x:v>0</x:v>
      </x:c>
      <x:c r="S4417" s="18" t="n">
        <x:v>618.0793401307383</x:v>
      </x:c>
      <x:c r="T4417" s="18" t="n">
        <x:v>676</x:v>
      </x:c>
      <x:c r="U4417" s="18" t="n">
        <x:v>643.0793401307383</x:v>
      </x:c>
      <x:c r="V4417" s="20" t="n">
        <x:v>12</x:v>
      </x:c>
      <x:c r="W4417" s="20" t="n">
        <x:v>5</x:v>
      </x:c>
      <x:c r="X4417" s="20" t="n">
        <x:v>3</x:v>
      </x:c>
      <x:c r="Y4417" t="str">
        <x:v>Basis arsip 2025/2024</x:v>
      </x:c>
      <x:c r="Z4417" t="str">
        <x:v>https://snpmb.id/utbk-snbt/daya-tampung-snbt</x:v>
      </x:c>
      <x:c r="AA4417" t="str">
        <x:v>Tidak Ada</x:v>
      </x:c>
      <x:c r="AB4417" t="str">
        <x:v>Campus=55; Ratio=52.5; Prodi=85; RelDemand=26.0; Capacity=60.0</x:v>
      </x:c>
    </x:row>
    <x:row r="4418">
      <x:c r="A4418" t="n">
        <x:v>4415</x:v>
      </x:c>
      <x:c r="B4418" t="str">
        <x:v>PTN Vokasi</x:v>
      </x:c>
      <x:c r="C4418" t="str">
        <x:v>POLITEKNIK ELEKTRONIKA NEGERI SURABAYA (PENS)</x:v>
      </x:c>
      <x:c r="D4418" t="str">
        <x:v>TEKNIK MEKATRONIKA</x:v>
      </x:c>
      <x:c r="E4418" t="str">
        <x:v>Sarjana Terapan</x:v>
      </x:c>
      <x:c r="F4418" s="18" t="n">
        <x:v>48</x:v>
      </x:c>
      <x:c r="G4418" s="18" t="n">
        <x:v>243</x:v>
      </x:c>
      <x:c r="H4418" s="19" t="n">
        <x:v>5.0625</x:v>
      </x:c>
      <x:c r="I4418" s="18" t="n">
        <x:f>ROUND(MIN(Model_Config_v3!$B$6,MAX(Q4418,R4418,S4418*Model_Config_v3!$B$4+T4418*Model_Config_v3!$B$5)),0)</x:f>
        <x:v>641</x:v>
      </x:c>
      <x:c r="J4418" s="18" t="n">
        <x:f>MIN(Model_Config_v3!$B$6,I4418+Model_Config_v3!$B$7)</x:f>
        <x:v>661</x:v>
      </x:c>
      <x:c r="K4418" s="20" t="n">
        <x:v>49.3</x:v>
      </x:c>
      <x:c r="L4418" t="str">
        <x:v>MENENGAH</x:v>
      </x:c>
      <x:c r="M4418" t="str">
        <x:v>SEDANG+</x:v>
      </x:c>
      <x:c r="N4418" t="str">
        <x:v>REGULER</x:v>
      </x:c>
      <x:c r="O4418" t="str">
        <x:v>SAINTEK</x:v>
      </x:c>
      <x:c r="P4418" t="str">
        <x:v>TEKNIK/ARSITEKTUR/STATISTIKA/AKTUARIA</x:v>
      </x:c>
      <x:c r="Q4418" s="18" t="n">
        <x:v>0</x:v>
      </x:c>
      <x:c r="R4418" s="18" t="n">
        <x:v>0</x:v>
      </x:c>
      <x:c r="S4418" s="18" t="n">
        <x:v>597.4801539844998</x:v>
      </x:c>
      <x:c r="T4418" s="18" t="n">
        <x:v>659</x:v>
      </x:c>
      <x:c r="U4418" s="18" t="n">
        <x:v>607.4801539844998</x:v>
      </x:c>
      <x:c r="V4418" s="20" t="n">
        <x:v>12</x:v>
      </x:c>
      <x:c r="W4418" s="20" t="n">
        <x:v>5</x:v>
      </x:c>
      <x:c r="X4418" s="20" t="n">
        <x:v>3</x:v>
      </x:c>
      <x:c r="Y4418" t="str">
        <x:v>Basis arsip 2025/2024</x:v>
      </x:c>
      <x:c r="Z4418" t="str">
        <x:v>https://snpmb.id/utbk-snbt/daya-tampung-snbt</x:v>
      </x:c>
      <x:c r="AA4418" t="str">
        <x:v>Tidak Ada</x:v>
      </x:c>
      <x:c r="AB4418" t="str">
        <x:v>Campus=55; Ratio=41.5; Prodi=60; RelDemand=16.9; Capacity=60.0</x:v>
      </x:c>
    </x:row>
    <x:row r="4419">
      <x:c r="A4419" t="n">
        <x:v>4416</x:v>
      </x:c>
      <x:c r="B4419" t="str">
        <x:v>PTN Vokasi</x:v>
      </x:c>
      <x:c r="C4419" t="str">
        <x:v>POLITEKNIK ELEKTRONIKA NEGERI SURABAYA (PENS)</x:v>
      </x:c>
      <x:c r="D4419" t="str">
        <x:v>SISTEM PEMBANGKIT ENERGI</x:v>
      </x:c>
      <x:c r="E4419" t="str">
        <x:v>Sarjana Terapan</x:v>
      </x:c>
      <x:c r="F4419" s="18" t="n">
        <x:v>48</x:v>
      </x:c>
      <x:c r="G4419" s="18" t="n">
        <x:v>132</x:v>
      </x:c>
      <x:c r="H4419" s="19" t="n">
        <x:v>2.75</x:v>
      </x:c>
      <x:c r="I4419" s="18" t="n">
        <x:f>ROUND(MIN(Model_Config_v3!$B$6,MAX(Q4419,R4419,S4419*Model_Config_v3!$B$4+T4419*Model_Config_v3!$B$5)),0)</x:f>
        <x:v>619</x:v>
      </x:c>
      <x:c r="J4419" s="18" t="n">
        <x:f>MIN(Model_Config_v3!$B$6,I4419+Model_Config_v3!$B$7)</x:f>
        <x:v>639</x:v>
      </x:c>
      <x:c r="K4419" s="20" t="n">
        <x:v>40.6</x:v>
      </x:c>
      <x:c r="L4419" t="str">
        <x:v>RELATIF LONGGAR</x:v>
      </x:c>
      <x:c r="M4419" t="str">
        <x:v>SEDANG</x:v>
      </x:c>
      <x:c r="N4419" t="str">
        <x:v>REGULER</x:v>
      </x:c>
      <x:c r="O4419" t="str">
        <x:v>CAMPURAN</x:v>
      </x:c>
      <x:c r="P4419" t="str">
        <x:v>UMUM</x:v>
      </x:c>
      <x:c r="Q4419" s="18" t="n">
        <x:v>0</x:v>
      </x:c>
      <x:c r="R4419" s="18" t="n">
        <x:v>0</x:v>
      </x:c>
      <x:c r="S4419" s="18" t="n">
        <x:v>568.3265963213289</x:v>
      </x:c>
      <x:c r="T4419" s="18" t="n">
        <x:v>641</x:v>
      </x:c>
      <x:c r="U4419" s="18" t="n">
        <x:v>568.3265963213289</x:v>
      </x:c>
      <x:c r="V4419" s="20" t="n">
        <x:v>8.8</x:v>
      </x:c>
      <x:c r="W4419" s="20" t="n">
        <x:v>9.9</x:v>
      </x:c>
      <x:c r="X4419" s="20" t="n">
        <x:v>3.3</x:v>
      </x:c>
      <x:c r="Y4419" t="str">
        <x:v>Basis arsip 2025/2024</x:v>
      </x:c>
      <x:c r="Z4419" t="str">
        <x:v>https://snpmb.id/utbk-snbt/daya-tampung-snbt</x:v>
      </x:c>
      <x:c r="AA4419" t="str">
        <x:v>Tidak Ada</x:v>
      </x:c>
      <x:c r="AB4419" t="str">
        <x:v>Campus=55; Ratio=25.9; Prodi=40; RelDemand=9.2; Capacity=60.0</x:v>
      </x:c>
    </x:row>
    <x:row r="4420">
      <x:c r="A4420" t="n">
        <x:v>4417</x:v>
      </x:c>
      <x:c r="B4420" t="str">
        <x:v>PTN Vokasi</x:v>
      </x:c>
      <x:c r="C4420" t="str">
        <x:v>POLITEKNIK ELEKTRONIKA NEGERI SURABAYA (PENS)</x:v>
      </x:c>
      <x:c r="D4420" t="str">
        <x:v>TEKNOLOGI GAME</x:v>
      </x:c>
      <x:c r="E4420" t="str">
        <x:v>Sarjana Terapan</x:v>
      </x:c>
      <x:c r="F4420" s="18" t="n">
        <x:v>48</x:v>
      </x:c>
      <x:c r="G4420" s="18" t="n">
        <x:v>329</x:v>
      </x:c>
      <x:c r="H4420" s="19" t="n">
        <x:v>6.854166666666667</x:v>
      </x:c>
      <x:c r="I4420" s="18" t="n">
        <x:f>ROUND(MIN(Model_Config_v3!$B$6,MAX(Q4420,R4420,S4420*Model_Config_v3!$B$4+T4420*Model_Config_v3!$B$5)),0)</x:f>
        <x:v>643</x:v>
      </x:c>
      <x:c r="J4420" s="18" t="n">
        <x:f>MIN(Model_Config_v3!$B$6,I4420+Model_Config_v3!$B$7)</x:f>
        <x:v>663</x:v>
      </x:c>
      <x:c r="K4420" s="20" t="n">
        <x:v>47.8</x:v>
      </x:c>
      <x:c r="L4420" t="str">
        <x:v>MENENGAH</x:v>
      </x:c>
      <x:c r="M4420" t="str">
        <x:v>SEDANG</x:v>
      </x:c>
      <x:c r="N4420" t="str">
        <x:v>REGULER</x:v>
      </x:c>
      <x:c r="O4420" t="str">
        <x:v>SAINTEK</x:v>
      </x:c>
      <x:c r="P4420" t="str">
        <x:v>UMUM</x:v>
      </x:c>
      <x:c r="Q4420" s="18" t="n">
        <x:v>0</x:v>
      </x:c>
      <x:c r="R4420" s="18" t="n">
        <x:v>0</x:v>
      </x:c>
      <x:c r="S4420" s="18" t="n">
        <x:v>611.9550126631825</x:v>
      </x:c>
      <x:c r="T4420" s="18" t="n">
        <x:v>656</x:v>
      </x:c>
      <x:c r="U4420" s="18" t="n">
        <x:v>611.9550126631825</x:v>
      </x:c>
      <x:c r="V4420" s="20" t="n">
        <x:v>12</x:v>
      </x:c>
      <x:c r="W4420" s="20" t="n">
        <x:v>5</x:v>
      </x:c>
      <x:c r="X4420" s="20" t="n">
        <x:v>3</x:v>
      </x:c>
      <x:c r="Y4420" t="str">
        <x:v>Basis arsip 2025/2024</x:v>
      </x:c>
      <x:c r="Z4420" t="str">
        <x:v>https://snpmb.id/utbk-snbt/daya-tampung-snbt</x:v>
      </x:c>
      <x:c r="AA4420" t="str">
        <x:v>Tidak Ada</x:v>
      </x:c>
      <x:c r="AB4420" t="str">
        <x:v>Campus=55; Ratio=49.2; Prodi=40; RelDemand=22.8; Capacity=60.0</x:v>
      </x:c>
    </x:row>
    <x:row r="4421">
      <x:c r="A4421" t="n">
        <x:v>4418</x:v>
      </x:c>
      <x:c r="B4421" t="str">
        <x:v>PTN Vokasi</x:v>
      </x:c>
      <x:c r="C4421" t="str">
        <x:v>POLITEKNIK ELEKTRONIKA NEGERI SURABAYA (PENS)</x:v>
      </x:c>
      <x:c r="D4421" t="str">
        <x:v>TEKNOLOGI REKAYASA INTERNET</x:v>
      </x:c>
      <x:c r="E4421" t="str">
        <x:v>Sarjana Terapan</x:v>
      </x:c>
      <x:c r="F4421" s="18" t="n">
        <x:v>36</x:v>
      </x:c>
      <x:c r="G4421" s="18" t="n">
        <x:v>136</x:v>
      </x:c>
      <x:c r="H4421" s="19" t="n">
        <x:v>3.7777777777777777</x:v>
      </x:c>
      <x:c r="I4421" s="18" t="n">
        <x:f>ROUND(MIN(Model_Config_v3!$B$6,MAX(Q4421,R4421,S4421*Model_Config_v3!$B$4+T4421*Model_Config_v3!$B$5)),0)</x:f>
        <x:v>629</x:v>
      </x:c>
      <x:c r="J4421" s="18" t="n">
        <x:f>MIN(Model_Config_v3!$B$6,I4421+Model_Config_v3!$B$7)</x:f>
        <x:v>649</x:v>
      </x:c>
      <x:c r="K4421" s="20" t="n">
        <x:v>44</x:v>
      </x:c>
      <x:c r="L4421" t="str">
        <x:v>RELATIF LONGGAR</x:v>
      </x:c>
      <x:c r="M4421" t="str">
        <x:v>SEDANG</x:v>
      </x:c>
      <x:c r="N4421" t="str">
        <x:v>REGULER</x:v>
      </x:c>
      <x:c r="O4421" t="str">
        <x:v>SAINTEK</x:v>
      </x:c>
      <x:c r="P4421" t="str">
        <x:v>UMUM</x:v>
      </x:c>
      <x:c r="Q4421" s="18" t="n">
        <x:v>0</x:v>
      </x:c>
      <x:c r="R4421" s="18" t="n">
        <x:v>0</x:v>
      </x:c>
      <x:c r="S4421" s="18" t="n">
        <x:v>583.4960048363223</x:v>
      </x:c>
      <x:c r="T4421" s="18" t="n">
        <x:v>648</x:v>
      </x:c>
      <x:c r="U4421" s="18" t="n">
        <x:v>583.4960048363223</x:v>
      </x:c>
      <x:c r="V4421" s="20" t="n">
        <x:v>12</x:v>
      </x:c>
      <x:c r="W4421" s="20" t="n">
        <x:v>5</x:v>
      </x:c>
      <x:c r="X4421" s="20" t="n">
        <x:v>3</x:v>
      </x:c>
      <x:c r="Y4421" t="str">
        <x:v>Basis arsip 2025/2024</x:v>
      </x:c>
      <x:c r="Z4421" t="str">
        <x:v>https://snpmb.id/utbk-snbt/daya-tampung-snbt</x:v>
      </x:c>
      <x:c r="AA4421" t="str">
        <x:v>Tidak Ada</x:v>
      </x:c>
      <x:c r="AB4421" t="str">
        <x:v>Campus=55; Ratio=34.0; Prodi=40; RelDemand=12.6; Capacity=70.0</x:v>
      </x:c>
    </x:row>
    <x:row r="4422">
      <x:c r="A4422" t="n">
        <x:v>4419</x:v>
      </x:c>
      <x:c r="B4422" t="str">
        <x:v>PTN Vokasi</x:v>
      </x:c>
      <x:c r="C4422" t="str">
        <x:v>POLITEKNIK ELEKTRONIKA NEGERI SURABAYA (PENS)</x:v>
      </x:c>
      <x:c r="D4422" t="str">
        <x:v>TEKNOLOGI REKAYASA MULTIMEDIA</x:v>
      </x:c>
      <x:c r="E4422" t="str">
        <x:v>Sarjana Terapan</x:v>
      </x:c>
      <x:c r="F4422" s="18" t="n">
        <x:v>36</x:v>
      </x:c>
      <x:c r="G4422" s="18" t="n">
        <x:v>289</x:v>
      </x:c>
      <x:c r="H4422" s="19" t="n">
        <x:v>8.027777777777779</x:v>
      </x:c>
      <x:c r="I4422" s="18" t="n">
        <x:f>ROUND(MIN(Model_Config_v3!$B$6,MAX(Q4422,R4422,S4422*Model_Config_v3!$B$4+T4422*Model_Config_v3!$B$5)),0)</x:f>
        <x:v>648</x:v>
      </x:c>
      <x:c r="J4422" s="18" t="n">
        <x:f>MIN(Model_Config_v3!$B$6,I4422+Model_Config_v3!$B$7)</x:f>
        <x:v>668</x:v>
      </x:c>
      <x:c r="K4422" s="20" t="n">
        <x:v>50.2</x:v>
      </x:c>
      <x:c r="L4422" t="str">
        <x:v>MENENGAH</x:v>
      </x:c>
      <x:c r="M4422" t="str">
        <x:v>SEDANG</x:v>
      </x:c>
      <x:c r="N4422" t="str">
        <x:v>REGULER</x:v>
      </x:c>
      <x:c r="O4422" t="str">
        <x:v>SAINTEK</x:v>
      </x:c>
      <x:c r="P4422" t="str">
        <x:v>UMUM</x:v>
      </x:c>
      <x:c r="Q4422" s="18" t="n">
        <x:v>0</x:v>
      </x:c>
      <x:c r="R4422" s="18" t="n">
        <x:v>0</x:v>
      </x:c>
      <x:c r="S4422" s="18" t="n">
        <x:v>619.5054876188186</x:v>
      </x:c>
      <x:c r="T4422" s="18" t="n">
        <x:v>660</x:v>
      </x:c>
      <x:c r="U4422" s="18" t="n">
        <x:v>619.5054876188186</x:v>
      </x:c>
      <x:c r="V4422" s="20" t="n">
        <x:v>12</x:v>
      </x:c>
      <x:c r="W4422" s="20" t="n">
        <x:v>5</x:v>
      </x:c>
      <x:c r="X4422" s="20" t="n">
        <x:v>3</x:v>
      </x:c>
      <x:c r="Y4422" t="str">
        <x:v>Basis arsip 2025/2024</x:v>
      </x:c>
      <x:c r="Z4422" t="str">
        <x:v>https://snpmb.id/utbk-snbt/daya-tampung-snbt</x:v>
      </x:c>
      <x:c r="AA4422" t="str">
        <x:v>Tidak Ada</x:v>
      </x:c>
      <x:c r="AB4422" t="str">
        <x:v>Campus=55; Ratio=53.2; Prodi=40; RelDemand=26.7; Capacity=70.0</x:v>
      </x:c>
    </x:row>
    <x:row r="4423">
      <x:c r="A4423" t="n">
        <x:v>4420</x:v>
      </x:c>
      <x:c r="B4423" t="str">
        <x:v>PTN Vokasi</x:v>
      </x:c>
      <x:c r="C4423" t="str">
        <x:v>POLITEKNIK ELEKTRONIKA NEGERI SURABAYA (PENS)</x:v>
      </x:c>
      <x:c r="D4423" t="str">
        <x:v>SAINS DATA TERAPAN</x:v>
      </x:c>
      <x:c r="E4423" t="str">
        <x:v>Sarjana Terapan</x:v>
      </x:c>
      <x:c r="F4423" s="18" t="n">
        <x:v>36</x:v>
      </x:c>
      <x:c r="G4423" s="18" t="n">
        <x:v>450</x:v>
      </x:c>
      <x:c r="H4423" s="19" t="n">
        <x:v>12.5</x:v>
      </x:c>
      <x:c r="I4423" s="18" t="n">
        <x:f>ROUND(MIN(Model_Config_v3!$B$6,MAX(Q4423,R4423,S4423*Model_Config_v3!$B$4+T4423*Model_Config_v3!$B$5)),0)</x:f>
        <x:v>660</x:v>
      </x:c>
      <x:c r="J4423" s="18" t="n">
        <x:f>MIN(Model_Config_v3!$B$6,I4423+Model_Config_v3!$B$7)</x:f>
        <x:v>680</x:v>
      </x:c>
      <x:c r="K4423" s="20" t="n">
        <x:v>54.6</x:v>
      </x:c>
      <x:c r="L4423" t="str">
        <x:v>MENENGAH</x:v>
      </x:c>
      <x:c r="M4423" t="str">
        <x:v>SEDANG</x:v>
      </x:c>
      <x:c r="N4423" t="str">
        <x:v>REGULER</x:v>
      </x:c>
      <x:c r="O4423" t="str">
        <x:v>CAMPURAN</x:v>
      </x:c>
      <x:c r="P4423" t="str">
        <x:v>UMUM</x:v>
      </x:c>
      <x:c r="Q4423" s="18" t="n">
        <x:v>0</x:v>
      </x:c>
      <x:c r="R4423" s="18" t="n">
        <x:v>0</x:v>
      </x:c>
      <x:c r="S4423" s="18" t="n">
        <x:v>640.6601014308862</x:v>
      </x:c>
      <x:c r="T4423" s="18" t="n">
        <x:v>669</x:v>
      </x:c>
      <x:c r="U4423" s="18" t="n">
        <x:v>640.6601014308862</x:v>
      </x:c>
      <x:c r="V4423" s="20" t="n">
        <x:v>8.8</x:v>
      </x:c>
      <x:c r="W4423" s="20" t="n">
        <x:v>9.9</x:v>
      </x:c>
      <x:c r="X4423" s="20" t="n">
        <x:v>3.3</x:v>
      </x:c>
      <x:c r="Y4423" t="str">
        <x:v>Basis arsip 2025/2024</x:v>
      </x:c>
      <x:c r="Z4423" t="str">
        <x:v>https://snpmb.id/utbk-snbt/daya-tampung-snbt</x:v>
      </x:c>
      <x:c r="AA4423" t="str">
        <x:v>Tidak Ada</x:v>
      </x:c>
      <x:c r="AB4423" t="str">
        <x:v>Campus=55; Ratio=64.6; Prodi=40; RelDemand=41.6; Capacity=70.0</x:v>
      </x:c>
    </x:row>
    <x:row r="4424">
      <x:c r="A4424" t="n">
        <x:v>4421</x:v>
      </x:c>
      <x:c r="B4424" t="str">
        <x:v>PTN Vokasi</x:v>
      </x:c>
      <x:c r="C4424" t="str">
        <x:v>POLITEKNIK ELEKTRONIKA NEGERI SURABAYA (PENS)</x:v>
      </x:c>
      <x:c r="D4424" t="str">
        <x:v>TEKNOLOGI MULTIMEDIA BROADCASTING (KAMPUS KAB LAMONGAN)</x:v>
      </x:c>
      <x:c r="E4424" t="str">
        <x:v>Diploma Tiga</x:v>
      </x:c>
      <x:c r="F4424" s="18" t="n">
        <x:v>12</x:v>
      </x:c>
      <x:c r="G4424" s="18" t="n">
        <x:v>68</x:v>
      </x:c>
      <x:c r="H4424" s="19" t="n">
        <x:v>5.666666666666667</x:v>
      </x:c>
      <x:c r="I4424" s="18" t="n">
        <x:f>ROUND(MIN(Model_Config_v3!$B$6,MAX(Q4424,R4424,S4424*Model_Config_v3!$B$4+T4424*Model_Config_v3!$B$5)),0)</x:f>
        <x:v>641</x:v>
      </x:c>
      <x:c r="J4424" s="18" t="n">
        <x:f>MIN(Model_Config_v3!$B$6,I4424+Model_Config_v3!$B$7)</x:f>
        <x:v>661</x:v>
      </x:c>
      <x:c r="K4424" s="20" t="n">
        <x:v>49.2</x:v>
      </x:c>
      <x:c r="L4424" t="str">
        <x:v>MENENGAH</x:v>
      </x:c>
      <x:c r="M4424" t="str">
        <x:v>SEDANG</x:v>
      </x:c>
      <x:c r="N4424" t="str">
        <x:v>REGULER</x:v>
      </x:c>
      <x:c r="O4424" t="str">
        <x:v>SAINTEK</x:v>
      </x:c>
      <x:c r="P4424" t="str">
        <x:v>UMUM</x:v>
      </x:c>
      <x:c r="Q4424" s="18" t="n">
        <x:v>0</x:v>
      </x:c>
      <x:c r="R4424" s="18" t="n">
        <x:v>0</x:v>
      </x:c>
      <x:c r="S4424" s="18" t="n">
        <x:v>602.8660433324472</x:v>
      </x:c>
      <x:c r="T4424" s="18" t="n">
        <x:v>658</x:v>
      </x:c>
      <x:c r="U4424" s="18" t="n">
        <x:v>602.8660433324472</x:v>
      </x:c>
      <x:c r="V4424" s="20" t="n">
        <x:v>12</x:v>
      </x:c>
      <x:c r="W4424" s="20" t="n">
        <x:v>5</x:v>
      </x:c>
      <x:c r="X4424" s="20" t="n">
        <x:v>3</x:v>
      </x:c>
      <x:c r="Y4424" t="str">
        <x:v>Basis arsip 2025/2024</x:v>
      </x:c>
      <x:c r="Z4424" t="str">
        <x:v>https://snpmb.id/utbk-snbt/daya-tampung-snbt</x:v>
      </x:c>
      <x:c r="AA4424" t="str">
        <x:v>Tidak Ada</x:v>
      </x:c>
      <x:c r="AB4424" t="str">
        <x:v>Campus=55; Ratio=44.3; Prodi=40; RelDemand=18.9; Capacity=90.0</x:v>
      </x:c>
    </x:row>
    <x:row r="4425">
      <x:c r="A4425" t="n">
        <x:v>4422</x:v>
      </x:c>
      <x:c r="B4425" t="str">
        <x:v>PTN Vokasi</x:v>
      </x:c>
      <x:c r="C4425" t="str">
        <x:v>POLITEKNIK ELEKTRONIKA NEGERI SURABAYA (PENS)</x:v>
      </x:c>
      <x:c r="D4425" t="str">
        <x:v>TEKNIK ELEKTRO INDUSTRI</x:v>
      </x:c>
      <x:c r="E4425" t="str">
        <x:v>Diploma Tiga</x:v>
      </x:c>
      <x:c r="F4425" s="18" t="n">
        <x:v>24</x:v>
      </x:c>
      <x:c r="G4425" s="18" t="n">
        <x:v>864</x:v>
      </x:c>
      <x:c r="H4425" s="19" t="n">
        <x:v>36</x:v>
      </x:c>
      <x:c r="I4425" s="18" t="n">
        <x:f>ROUND(MIN(Model_Config_v3!$B$6,MAX(Q4425,R4425,S4425*Model_Config_v3!$B$4+T4425*Model_Config_v3!$B$5)),0)</x:f>
        <x:v>700</x:v>
      </x:c>
      <x:c r="J4425" s="18" t="n">
        <x:f>MIN(Model_Config_v3!$B$6,I4425+Model_Config_v3!$B$7)</x:f>
        <x:v>720</x:v>
      </x:c>
      <x:c r="K4425" s="20" t="n">
        <x:v>72.2</x:v>
      </x:c>
      <x:c r="L4425" t="str">
        <x:v>SANGAT KETAT</x:v>
      </x:c>
      <x:c r="M4425" t="str">
        <x:v>SEDANG+</x:v>
      </x:c>
      <x:c r="N4425" t="str">
        <x:v>REGULER</x:v>
      </x:c>
      <x:c r="O4425" t="str">
        <x:v>SAINTEK</x:v>
      </x:c>
      <x:c r="P4425" t="str">
        <x:v>TEKNIK/ARSITEKTUR/STATISTIKA/AKTUARIA</x:v>
      </x:c>
      <x:c r="Q4425" s="18" t="n">
        <x:v>0</x:v>
      </x:c>
      <x:c r="R4425" s="18" t="n">
        <x:v>0</x:v>
      </x:c>
      <x:c r="S4425" s="18" t="n">
        <x:v>691.1932750844015</x:v>
      </x:c>
      <x:c r="T4425" s="18" t="n">
        <x:v>704</x:v>
      </x:c>
      <x:c r="U4425" s="18" t="n">
        <x:v>701.1932750844015</x:v>
      </x:c>
      <x:c r="V4425" s="20" t="n">
        <x:v>12</x:v>
      </x:c>
      <x:c r="W4425" s="20" t="n">
        <x:v>5</x:v>
      </x:c>
      <x:c r="X4425" s="20" t="n">
        <x:v>3</x:v>
      </x:c>
      <x:c r="Y4425" t="str">
        <x:v>Basis arsip 2025/2024</x:v>
      </x:c>
      <x:c r="Z4425" t="str">
        <x:v>https://snpmb.id/utbk-snbt/daya-tampung-snbt</x:v>
      </x:c>
      <x:c r="AA4425" t="str">
        <x:v>Tidak Ada</x:v>
      </x:c>
      <x:c r="AB4425" t="str">
        <x:v>Campus=55; Ratio=91.6; Prodi=60; RelDemand=100.0; Capacity=80.0</x:v>
      </x:c>
    </x:row>
    <x:row r="4426">
      <x:c r="A4426" t="n">
        <x:v>4423</x:v>
      </x:c>
      <x:c r="B4426" t="str">
        <x:v>PTN Vokasi</x:v>
      </x:c>
      <x:c r="C4426" t="str">
        <x:v>POLITEKNIK ELEKTRONIKA NEGERI SURABAYA (PENS)</x:v>
      </x:c>
      <x:c r="D4426" t="str">
        <x:v>TEKNIK INFORMATIKA (KAMPUS KAB SUMENEP)</x:v>
      </x:c>
      <x:c r="E4426" t="str">
        <x:v>Diploma Tiga</x:v>
      </x:c>
      <x:c r="F4426" s="18" t="n">
        <x:v>12</x:v>
      </x:c>
      <x:c r="G4426" s="18" t="n">
        <x:v>14</x:v>
      </x:c>
      <x:c r="H4426" s="19" t="n">
        <x:v>1.1666666666666667</x:v>
      </x:c>
      <x:c r="I4426" s="18" t="n">
        <x:f>ROUND(MIN(Model_Config_v3!$B$6,MAX(Q4426,R4426,S4426*Model_Config_v3!$B$4+T4426*Model_Config_v3!$B$5)),0)</x:f>
        <x:v>615</x:v>
      </x:c>
      <x:c r="J4426" s="18" t="n">
        <x:f>MIN(Model_Config_v3!$B$6,I4426+Model_Config_v3!$B$7)</x:f>
        <x:v>635</x:v>
      </x:c>
      <x:c r="K4426" s="20" t="n">
        <x:v>46.6</x:v>
      </x:c>
      <x:c r="L4426" t="str">
        <x:v>MENENGAH</x:v>
      </x:c>
      <x:c r="M4426" t="str">
        <x:v>SEDANG+</x:v>
      </x:c>
      <x:c r="N4426" t="str">
        <x:v>REGULER</x:v>
      </x:c>
      <x:c r="O4426" t="str">
        <x:v>SAINTEK</x:v>
      </x:c>
      <x:c r="P4426" t="str">
        <x:v>KOMPUTER/INFORMATIKA</x:v>
      </x:c>
      <x:c r="Q4426" s="18" t="n">
        <x:v>0</x:v>
      </x:c>
      <x:c r="R4426" s="18" t="n">
        <x:v>0</x:v>
      </x:c>
      <x:c r="S4426" s="18" t="n">
        <x:v>527.3641468593675</x:v>
      </x:c>
      <x:c r="T4426" s="18" t="n">
        <x:v>653</x:v>
      </x:c>
      <x:c r="U4426" s="18" t="n">
        <x:v>552.3641468593675</x:v>
      </x:c>
      <x:c r="V4426" s="20" t="n">
        <x:v>12</x:v>
      </x:c>
      <x:c r="W4426" s="20" t="n">
        <x:v>5</x:v>
      </x:c>
      <x:c r="X4426" s="20" t="n">
        <x:v>3</x:v>
      </x:c>
      <x:c r="Y4426" t="str">
        <x:v>Basis arsip 2025/2024</x:v>
      </x:c>
      <x:c r="Z4426" t="str">
        <x:v>https://snpmb.id/utbk-snbt/daya-tampung-snbt</x:v>
      </x:c>
      <x:c r="AA4426" t="str">
        <x:v>Tidak Ada</x:v>
      </x:c>
      <x:c r="AB4426" t="str">
        <x:v>Campus=55; Ratio=3.9; Prodi=85; RelDemand=3.9; Capacity=90.0</x:v>
      </x:c>
    </x:row>
    <x:row r="4427">
      <x:c r="A4427" t="n">
        <x:v>4424</x:v>
      </x:c>
      <x:c r="B4427" t="str">
        <x:v>PTN Vokasi</x:v>
      </x:c>
      <x:c r="C4427" t="str">
        <x:v>POLITEKNIK ELEKTRONIKA NEGERI SURABAYA (PENS)</x:v>
      </x:c>
      <x:c r="D4427" t="str">
        <x:v>TEKNIK ELEKTRONIKA</x:v>
      </x:c>
      <x:c r="E4427" t="str">
        <x:v>Diploma Tiga</x:v>
      </x:c>
      <x:c r="F4427" s="18" t="n">
        <x:v>24</x:v>
      </x:c>
      <x:c r="G4427" s="18" t="n">
        <x:v>585</x:v>
      </x:c>
      <x:c r="H4427" s="19" t="n">
        <x:v>24.375</x:v>
      </x:c>
      <x:c r="I4427" s="18" t="n">
        <x:f>ROUND(MIN(Model_Config_v3!$B$6,MAX(Q4427,R4427,S4427*Model_Config_v3!$B$4+T4427*Model_Config_v3!$B$5)),0)</x:f>
        <x:v>689</x:v>
      </x:c>
      <x:c r="J4427" s="18" t="n">
        <x:f>MIN(Model_Config_v3!$B$6,I4427+Model_Config_v3!$B$7)</x:f>
        <x:v>709</x:v>
      </x:c>
      <x:c r="K4427" s="20" t="n">
        <x:v>67.8</x:v>
      </x:c>
      <x:c r="L4427" t="str">
        <x:v>SANGAT KETAT</x:v>
      </x:c>
      <x:c r="M4427" t="str">
        <x:v>SEDANG+</x:v>
      </x:c>
      <x:c r="N4427" t="str">
        <x:v>REGULER</x:v>
      </x:c>
      <x:c r="O4427" t="str">
        <x:v>SAINTEK</x:v>
      </x:c>
      <x:c r="P4427" t="str">
        <x:v>TEKNIK/ARSITEKTUR/STATISTIKA/AKTUARIA</x:v>
      </x:c>
      <x:c r="Q4427" s="18" t="n">
        <x:v>0</x:v>
      </x:c>
      <x:c r="R4427" s="18" t="n">
        <x:v>0</x:v>
      </x:c>
      <x:c r="S4427" s="18" t="n">
        <x:v>672.5639086807632</x:v>
      </x:c>
      <x:c r="T4427" s="18" t="n">
        <x:v>696</x:v>
      </x:c>
      <x:c r="U4427" s="18" t="n">
        <x:v>682.5639086807632</x:v>
      </x:c>
      <x:c r="V4427" s="20" t="n">
        <x:v>12</x:v>
      </x:c>
      <x:c r="W4427" s="20" t="n">
        <x:v>5</x:v>
      </x:c>
      <x:c r="X4427" s="20" t="n">
        <x:v>3</x:v>
      </x:c>
      <x:c r="Y4427" t="str">
        <x:v>Basis arsip 2025/2024</x:v>
      </x:c>
      <x:c r="Z4427" t="str">
        <x:v>https://snpmb.id/utbk-snbt/daya-tampung-snbt</x:v>
      </x:c>
      <x:c r="AA4427" t="str">
        <x:v>Tidak Ada</x:v>
      </x:c>
      <x:c r="AB4427" t="str">
        <x:v>Campus=55; Ratio=81.6; Prodi=60; RelDemand=81.2; Capacity=80.0</x:v>
      </x:c>
    </x:row>
    <x:row r="4428">
      <x:c r="A4428" t="n">
        <x:v>4425</x:v>
      </x:c>
      <x:c r="B4428" t="str">
        <x:v>PTN Vokasi</x:v>
      </x:c>
      <x:c r="C4428" t="str">
        <x:v>POLITEKNIK ELEKTRONIKA NEGERI SURABAYA (PENS)</x:v>
      </x:c>
      <x:c r="D4428" t="str">
        <x:v>TEKNOLOGI MULTIMEDIA BROADCASTING (KAMPUS KAB. SUMENEP)</x:v>
      </x:c>
      <x:c r="E4428" t="str">
        <x:v>Diploma Tiga</x:v>
      </x:c>
      <x:c r="F4428" s="18" t="n">
        <x:v>12</x:v>
      </x:c>
      <x:c r="G4428" s="18" t="n">
        <x:v>18</x:v>
      </x:c>
      <x:c r="H4428" s="19" t="n">
        <x:v>1.5</x:v>
      </x:c>
      <x:c r="I4428" s="18" t="n">
        <x:f>ROUND(MIN(Model_Config_v3!$B$6,MAX(Q4428,R4428,S4428*Model_Config_v3!$B$4+T4428*Model_Config_v3!$B$5)),0)</x:f>
        <x:v>609</x:v>
      </x:c>
      <x:c r="J4428" s="18" t="n">
        <x:f>MIN(Model_Config_v3!$B$6,I4428+Model_Config_v3!$B$7)</x:f>
        <x:v>629</x:v>
      </x:c>
      <x:c r="K4428" s="20" t="n">
        <x:v>39.3</x:v>
      </x:c>
      <x:c r="L4428" t="str">
        <x:v>RELATIF LONGGAR</x:v>
      </x:c>
      <x:c r="M4428" t="str">
        <x:v>SEDANG</x:v>
      </x:c>
      <x:c r="N4428" t="str">
        <x:v>REGULER</x:v>
      </x:c>
      <x:c r="O4428" t="str">
        <x:v>SAINTEK</x:v>
      </x:c>
      <x:c r="P4428" t="str">
        <x:v>UMUM</x:v>
      </x:c>
      <x:c r="Q4428" s="18" t="n">
        <x:v>0</x:v>
      </x:c>
      <x:c r="R4428" s="18" t="n">
        <x:v>0</x:v>
      </x:c>
      <x:c r="S4428" s="18" t="n">
        <x:v>539.370038496125</x:v>
      </x:c>
      <x:c r="T4428" s="18" t="n">
        <x:v>639</x:v>
      </x:c>
      <x:c r="U4428" s="18" t="n">
        <x:v>539.370038496125</x:v>
      </x:c>
      <x:c r="V4428" s="20" t="n">
        <x:v>12</x:v>
      </x:c>
      <x:c r="W4428" s="20" t="n">
        <x:v>5</x:v>
      </x:c>
      <x:c r="X4428" s="20" t="n">
        <x:v>3</x:v>
      </x:c>
      <x:c r="Y4428" t="str">
        <x:v>Basis arsip 2025/2024</x:v>
      </x:c>
      <x:c r="Z4428" t="str">
        <x:v>https://snpmb.id/utbk-snbt/daya-tampung-snbt</x:v>
      </x:c>
      <x:c r="AA4428" t="str">
        <x:v>Tidak Ada</x:v>
      </x:c>
      <x:c r="AB4428" t="str">
        <x:v>Campus=55; Ratio=10.4; Prodi=40; RelDemand=5.0; Capacity=90.0</x:v>
      </x:c>
    </x:row>
    <x:row r="4429">
      <x:c r="A4429" t="n">
        <x:v>4426</x:v>
      </x:c>
      <x:c r="B4429" t="str">
        <x:v>PTN Vokasi</x:v>
      </x:c>
      <x:c r="C4429" t="str">
        <x:v>POLITEKNIK ELEKTRONIKA NEGERI SURABAYA (PENS)</x:v>
      </x:c>
      <x:c r="D4429" t="str">
        <x:v>TEKNIK INFORMATIKA (KAMPUS KAB LAMONGAN)</x:v>
      </x:c>
      <x:c r="E4429" t="str">
        <x:v>Diploma Tiga</x:v>
      </x:c>
      <x:c r="F4429" s="18" t="n">
        <x:v>24</x:v>
      </x:c>
      <x:c r="G4429" s="18" t="n">
        <x:v>146</x:v>
      </x:c>
      <x:c r="H4429" s="19" t="n">
        <x:v>6.083333333333333</x:v>
      </x:c>
      <x:c r="I4429" s="18" t="n">
        <x:f>ROUND(MIN(Model_Config_v3!$B$6,MAX(Q4429,R4429,S4429*Model_Config_v3!$B$4+T4429*Model_Config_v3!$B$5)),0)</x:f>
        <x:v>655</x:v>
      </x:c>
      <x:c r="J4429" s="18" t="n">
        <x:f>MIN(Model_Config_v3!$B$6,I4429+Model_Config_v3!$B$7)</x:f>
        <x:v>675</x:v>
      </x:c>
      <x:c r="K4429" s="20" t="n">
        <x:v>57.8</x:v>
      </x:c>
      <x:c r="L4429" t="str">
        <x:v>KETAT</x:v>
      </x:c>
      <x:c r="M4429" t="str">
        <x:v>SEDANG+</x:v>
      </x:c>
      <x:c r="N4429" t="str">
        <x:v>REGULER</x:v>
      </x:c>
      <x:c r="O4429" t="str">
        <x:v>SAINTEK</x:v>
      </x:c>
      <x:c r="P4429" t="str">
        <x:v>KOMPUTER/INFORMATIKA</x:v>
      </x:c>
      <x:c r="Q4429" s="18" t="n">
        <x:v>0</x:v>
      </x:c>
      <x:c r="R4429" s="18" t="n">
        <x:v>0</x:v>
      </x:c>
      <x:c r="S4429" s="18" t="n">
        <x:v>606.2555775480114</x:v>
      </x:c>
      <x:c r="T4429" s="18" t="n">
        <x:v>676</x:v>
      </x:c>
      <x:c r="U4429" s="18" t="n">
        <x:v>631.2555775480114</x:v>
      </x:c>
      <x:c r="V4429" s="20" t="n">
        <x:v>12</x:v>
      </x:c>
      <x:c r="W4429" s="20" t="n">
        <x:v>5</x:v>
      </x:c>
      <x:c r="X4429" s="20" t="n">
        <x:v>3</x:v>
      </x:c>
      <x:c r="Y4429" t="str">
        <x:v>Basis arsip 2025/2024</x:v>
      </x:c>
      <x:c r="Z4429" t="str">
        <x:v>https://snpmb.id/utbk-snbt/daya-tampung-snbt</x:v>
      </x:c>
      <x:c r="AA4429" t="str">
        <x:v>Tidak Ada</x:v>
      </x:c>
      <x:c r="AB4429" t="str">
        <x:v>Campus=55; Ratio=46.2; Prodi=85; RelDemand=20.3; Capacity=80.0</x:v>
      </x:c>
    </x:row>
    <x:row r="4430">
      <x:c r="A4430" t="n">
        <x:v>4427</x:v>
      </x:c>
      <x:c r="B4430" t="str">
        <x:v>PTN Vokasi</x:v>
      </x:c>
      <x:c r="C4430" t="str">
        <x:v>POLITEKNIK ELEKTRONIKA NEGERI SURABAYA (PENS)</x:v>
      </x:c>
      <x:c r="D4430" t="str">
        <x:v>TEKNOLOGI MULTIMEDIA DAN BROADCASTING</x:v>
      </x:c>
      <x:c r="E4430" t="str">
        <x:v>Diploma Tiga</x:v>
      </x:c>
      <x:c r="F4430" s="18" t="n">
        <x:v>24</x:v>
      </x:c>
      <x:c r="G4430" s="18" t="n">
        <x:v>709</x:v>
      </x:c>
      <x:c r="H4430" s="19" t="n">
        <x:v>29.541666666666668</x:v>
      </x:c>
      <x:c r="I4430" s="18" t="n">
        <x:f>ROUND(MIN(Model_Config_v3!$B$6,MAX(Q4430,R4430,S4430*Model_Config_v3!$B$4+T4430*Model_Config_v3!$B$5)),0)</x:f>
        <x:v>690</x:v>
      </x:c>
      <x:c r="J4430" s="18" t="n">
        <x:f>MIN(Model_Config_v3!$B$6,I4430+Model_Config_v3!$B$7)</x:f>
        <x:v>710</x:v>
      </x:c>
      <x:c r="K4430" s="20" t="n">
        <x:v>66.7</x:v>
      </x:c>
      <x:c r="L4430" t="str">
        <x:v>SANGAT KETAT</x:v>
      </x:c>
      <x:c r="M4430" t="str">
        <x:v>SEDANG</x:v>
      </x:c>
      <x:c r="N4430" t="str">
        <x:v>REGULER</x:v>
      </x:c>
      <x:c r="O4430" t="str">
        <x:v>SAINTEK</x:v>
      </x:c>
      <x:c r="P4430" t="str">
        <x:v>UMUM</x:v>
      </x:c>
      <x:c r="Q4430" s="18" t="n">
        <x:v>0</x:v>
      </x:c>
      <x:c r="R4430" s="18" t="n">
        <x:v>0</x:v>
      </x:c>
      <x:c r="S4430" s="18" t="n">
        <x:v>681.7478492818607</x:v>
      </x:c>
      <x:c r="T4430" s="18" t="n">
        <x:v>693</x:v>
      </x:c>
      <x:c r="U4430" s="18" t="n">
        <x:v>681.7478492818607</x:v>
      </x:c>
      <x:c r="V4430" s="20" t="n">
        <x:v>12</x:v>
      </x:c>
      <x:c r="W4430" s="20" t="n">
        <x:v>5</x:v>
      </x:c>
      <x:c r="X4430" s="20" t="n">
        <x:v>3</x:v>
      </x:c>
      <x:c r="Y4430" t="str">
        <x:v>Basis arsip 2025/2024</x:v>
      </x:c>
      <x:c r="Z4430" t="str">
        <x:v>https://snpmb.id/utbk-snbt/daya-tampung-snbt</x:v>
      </x:c>
      <x:c r="AA4430" t="str">
        <x:v>Tidak Ada</x:v>
      </x:c>
      <x:c r="AB4430" t="str">
        <x:v>Campus=55; Ratio=86.5; Prodi=40; RelDemand=98.4; Capacity=80.0</x:v>
      </x:c>
    </x:row>
    <x:row r="4431">
      <x:c r="A4431" t="n">
        <x:v>4428</x:v>
      </x:c>
      <x:c r="B4431" t="str">
        <x:v>PTN Vokasi</x:v>
      </x:c>
      <x:c r="C4431" t="str">
        <x:v>POLITEKNIK ELEKTRONIKA NEGERI SURABAYA (PENS)</x:v>
      </x:c>
      <x:c r="D4431" t="str">
        <x:v>TEKNIK INFORMATIKA</x:v>
      </x:c>
      <x:c r="E4431" t="str">
        <x:v>Diploma Tiga</x:v>
      </x:c>
      <x:c r="F4431" s="18" t="n">
        <x:v>24</x:v>
      </x:c>
      <x:c r="G4431" s="18" t="n">
        <x:v>1765</x:v>
      </x:c>
      <x:c r="H4431" s="19" t="n">
        <x:v>73.54166666666667</x:v>
      </x:c>
      <x:c r="I4431" s="18" t="n">
        <x:f>ROUND(MIN(Model_Config_v3!$B$6,MAX(Q4431,R4431,S4431*Model_Config_v3!$B$4+T4431*Model_Config_v3!$B$5)),0)</x:f>
        <x:v>720</x:v>
      </x:c>
      <x:c r="J4431" s="18" t="n">
        <x:f>MIN(Model_Config_v3!$B$6,I4431+Model_Config_v3!$B$7)</x:f>
        <x:v>740</x:v>
      </x:c>
      <x:c r="K4431" s="20" t="n">
        <x:v>79.2</x:v>
      </x:c>
      <x:c r="L4431" t="str">
        <x:v>ELITE</x:v>
      </x:c>
      <x:c r="M4431" t="str">
        <x:v>SEDANG+</x:v>
      </x:c>
      <x:c r="N4431" t="str">
        <x:v>REGULER</x:v>
      </x:c>
      <x:c r="O4431" t="str">
        <x:v>SAINTEK</x:v>
      </x:c>
      <x:c r="P4431" t="str">
        <x:v>KOMPUTER/INFORMATIKA</x:v>
      </x:c>
      <x:c r="Q4431" s="18" t="n">
        <x:v>0</x:v>
      </x:c>
      <x:c r="R4431" s="18" t="n">
        <x:v>0</x:v>
      </x:c>
      <x:c r="S4431" s="18" t="n">
        <x:v>725.3186814813458</x:v>
      </x:c>
      <x:c r="T4431" s="18" t="n">
        <x:v>718</x:v>
      </x:c>
      <x:c r="U4431" s="18" t="n">
        <x:v>750.3186814813458</x:v>
      </x:c>
      <x:c r="V4431" s="20" t="n">
        <x:v>12</x:v>
      </x:c>
      <x:c r="W4431" s="20" t="n">
        <x:v>5</x:v>
      </x:c>
      <x:c r="X4431" s="20" t="n">
        <x:v>3</x:v>
      </x:c>
      <x:c r="Y4431" t="str">
        <x:v>Basis arsip 2025/2024</x:v>
      </x:c>
      <x:c r="Z4431" t="str">
        <x:v>https://snpmb.id/utbk-snbt/daya-tampung-snbt</x:v>
      </x:c>
      <x:c r="AA4431" t="str">
        <x:v>Tidak Ada</x:v>
      </x:c>
      <x:c r="AB4431" t="str">
        <x:v>Campus=55; Ratio=100.0; Prodi=85; RelDemand=100.0; Capacity=80.0</x:v>
      </x:c>
    </x:row>
    <x:row r="4432">
      <x:c r="A4432" t="n">
        <x:v>4429</x:v>
      </x:c>
      <x:c r="B4432" t="str">
        <x:v>PTN Vokasi</x:v>
      </x:c>
      <x:c r="C4432" t="str">
        <x:v>POLITEKNIK ELEKTRONIKA NEGERI SURABAYA (PENS)</x:v>
      </x:c>
      <x:c r="D4432" t="str">
        <x:v>TEKNIK TELEKOMUNIKASI</x:v>
      </x:c>
      <x:c r="E4432" t="str">
        <x:v>Diploma Tiga</x:v>
      </x:c>
      <x:c r="F4432" s="18" t="n">
        <x:v>24</x:v>
      </x:c>
      <x:c r="G4432" s="18" t="n">
        <x:v>524</x:v>
      </x:c>
      <x:c r="H4432" s="19" t="n">
        <x:v>21.833333333333332</x:v>
      </x:c>
      <x:c r="I4432" s="18" t="n">
        <x:f>ROUND(MIN(Model_Config_v3!$B$6,MAX(Q4432,R4432,S4432*Model_Config_v3!$B$4+T4432*Model_Config_v3!$B$5)),0)</x:f>
        <x:v>685</x:v>
      </x:c>
      <x:c r="J4432" s="18" t="n">
        <x:f>MIN(Model_Config_v3!$B$6,I4432+Model_Config_v3!$B$7)</x:f>
        <x:v>705</x:v>
      </x:c>
      <x:c r="K4432" s="20" t="n">
        <x:v>66.2</x:v>
      </x:c>
      <x:c r="L4432" t="str">
        <x:v>SANGAT KETAT</x:v>
      </x:c>
      <x:c r="M4432" t="str">
        <x:v>SEDANG+</x:v>
      </x:c>
      <x:c r="N4432" t="str">
        <x:v>REGULER</x:v>
      </x:c>
      <x:c r="O4432" t="str">
        <x:v>SAINTEK</x:v>
      </x:c>
      <x:c r="P4432" t="str">
        <x:v>TEKNIK/ARSITEKTUR/STATISTIKA/AKTUARIA</x:v>
      </x:c>
      <x:c r="Q4432" s="18" t="n">
        <x:v>0</x:v>
      </x:c>
      <x:c r="R4432" s="18" t="n">
        <x:v>0</x:v>
      </x:c>
      <x:c r="S4432" s="18" t="n">
        <x:v>667.3032049799333</x:v>
      </x:c>
      <x:c r="T4432" s="18" t="n">
        <x:v>692</x:v>
      </x:c>
      <x:c r="U4432" s="18" t="n">
        <x:v>677.3032049799333</x:v>
      </x:c>
      <x:c r="V4432" s="20" t="n">
        <x:v>12</x:v>
      </x:c>
      <x:c r="W4432" s="20" t="n">
        <x:v>5</x:v>
      </x:c>
      <x:c r="X4432" s="20" t="n">
        <x:v>3</x:v>
      </x:c>
      <x:c r="Y4432" t="str">
        <x:v>Basis arsip 2025/2024</x:v>
      </x:c>
      <x:c r="Z4432" t="str">
        <x:v>https://snpmb.id/utbk-snbt/daya-tampung-snbt</x:v>
      </x:c>
      <x:c r="AA4432" t="str">
        <x:v>Tidak Ada</x:v>
      </x:c>
      <x:c r="AB4432" t="str">
        <x:v>Campus=55; Ratio=78.8; Prodi=60; RelDemand=72.7; Capacity=80.0</x:v>
      </x:c>
    </x:row>
    <x:row r="4433">
      <x:c r="A4433" t="n">
        <x:v>4430</x:v>
      </x:c>
      <x:c r="B4433" t="str">
        <x:v>PTN Vokasi</x:v>
      </x:c>
      <x:c r="C4433" t="str">
        <x:v>POLITEKNIK NEGERI MADURA</x:v>
      </x:c>
      <x:c r="D4433" t="str">
        <x:v>TEKNOLOGI REKAYASA KESELAMATAN</x:v>
      </x:c>
      <x:c r="E4433" t="str">
        <x:v>Sarjana Terapan</x:v>
      </x:c>
      <x:c r="F4433" s="18" t="n">
        <x:v>28</x:v>
      </x:c>
      <x:c r="G4433" s="18" t="n">
        <x:v>31</x:v>
      </x:c>
      <x:c r="H4433" s="19" t="n">
        <x:v>1.1071428571428572</x:v>
      </x:c>
      <x:c r="I4433" s="18" t="n">
        <x:f>ROUND(MIN(Model_Config_v3!$B$6,MAX(Q4433,R4433,S4433*Model_Config_v3!$B$4+T4433*Model_Config_v3!$B$5)),0)</x:f>
        <x:v>603</x:v>
      </x:c>
      <x:c r="J4433" s="18" t="n">
        <x:f>MIN(Model_Config_v3!$B$6,I4433+Model_Config_v3!$B$7)</x:f>
        <x:v>623</x:v>
      </x:c>
      <x:c r="K4433" s="20" t="n">
        <x:v>38.4</x:v>
      </x:c>
      <x:c r="L4433" t="str">
        <x:v>RELATIF LONGGAR</x:v>
      </x:c>
      <x:c r="M4433" t="str">
        <x:v>SEDANG</x:v>
      </x:c>
      <x:c r="N4433" t="str">
        <x:v>REGULER</x:v>
      </x:c>
      <x:c r="O4433" t="str">
        <x:v>SAINTEK</x:v>
      </x:c>
      <x:c r="P4433" t="str">
        <x:v>UMUM</x:v>
      </x:c>
      <x:c r="Q4433" s="18" t="n">
        <x:v>0</x:v>
      </x:c>
      <x:c r="R4433" s="18" t="n">
        <x:v>0</x:v>
      </x:c>
      <x:c r="S4433" s="18" t="n">
        <x:v>524.8624028741259</x:v>
      </x:c>
      <x:c r="T4433" s="18" t="n">
        <x:v>637</x:v>
      </x:c>
      <x:c r="U4433" s="18" t="n">
        <x:v>524.8624028741259</x:v>
      </x:c>
      <x:c r="V4433" s="20" t="n">
        <x:v>12</x:v>
      </x:c>
      <x:c r="W4433" s="20" t="n">
        <x:v>5</x:v>
      </x:c>
      <x:c r="X4433" s="20" t="n">
        <x:v>3</x:v>
      </x:c>
      <x:c r="Y4433" t="str">
        <x:v>Basis arsip 2025/2024</x:v>
      </x:c>
      <x:c r="Z4433" t="str">
        <x:v>https://snpmb.id/utbk-snbt/daya-tampung-snbt</x:v>
      </x:c>
      <x:c r="AA4433" t="str">
        <x:v>Tidak Ada</x:v>
      </x:c>
      <x:c r="AB4433" t="str">
        <x:v>Campus=55; Ratio=2.6; Prodi=40; RelDemand=28.2; Capacity=76.7</x:v>
      </x:c>
    </x:row>
    <x:row r="4434">
      <x:c r="A4434" t="n">
        <x:v>4431</x:v>
      </x:c>
      <x:c r="B4434" t="str">
        <x:v>PTN Vokasi</x:v>
      </x:c>
      <x:c r="C4434" t="str">
        <x:v>POLITEKNIK NEGERI MADURA</x:v>
      </x:c>
      <x:c r="D4434" t="str">
        <x:v>TEKNOLOGI REKAYASA OTOMASI</x:v>
      </x:c>
      <x:c r="E4434" t="str">
        <x:v>Sarjana Terapan</x:v>
      </x:c>
      <x:c r="F4434" s="18" t="n">
        <x:v>12</x:v>
      </x:c>
      <x:c r="G4434" s="18" t="n">
        <x:v>9</x:v>
      </x:c>
      <x:c r="H4434" s="19" t="n">
        <x:v>0.75</x:v>
      </x:c>
      <x:c r="I4434" s="18" t="n">
        <x:f>ROUND(MIN(Model_Config_v3!$B$6,MAX(Q4434,R4434,S4434*Model_Config_v3!$B$4+T4434*Model_Config_v3!$B$5)),0)</x:f>
        <x:v>601</x:v>
      </x:c>
      <x:c r="J4434" s="18" t="n">
        <x:f>MIN(Model_Config_v3!$B$6,I4434+Model_Config_v3!$B$7)</x:f>
        <x:v>621</x:v>
      </x:c>
      <x:c r="K4434" s="20" t="n">
        <x:v>38.2</x:v>
      </x:c>
      <x:c r="L4434" t="str">
        <x:v>RELATIF LONGGAR</x:v>
      </x:c>
      <x:c r="M4434" t="str">
        <x:v>SEDANG</x:v>
      </x:c>
      <x:c r="N4434" t="str">
        <x:v>REGULER</x:v>
      </x:c>
      <x:c r="O4434" t="str">
        <x:v>SAINTEK</x:v>
      </x:c>
      <x:c r="P4434" t="str">
        <x:v>UMUM</x:v>
      </x:c>
      <x:c r="Q4434" s="18" t="n">
        <x:v>0</x:v>
      </x:c>
      <x:c r="R4434" s="18" t="n">
        <x:v>0</x:v>
      </x:c>
      <x:c r="S4434" s="18" t="n">
        <x:v>520</x:v>
      </x:c>
      <x:c r="T4434" s="18" t="n">
        <x:v>636</x:v>
      </x:c>
      <x:c r="U4434" s="18" t="n">
        <x:v>520</x:v>
      </x:c>
      <x:c r="V4434" s="20" t="n">
        <x:v>12</x:v>
      </x:c>
      <x:c r="W4434" s="20" t="n">
        <x:v>5</x:v>
      </x:c>
      <x:c r="X4434" s="20" t="n">
        <x:v>3</x:v>
      </x:c>
      <x:c r="Y4434" t="str">
        <x:v>Basis arsip 2025/2024</x:v>
      </x:c>
      <x:c r="Z4434" t="str">
        <x:v>https://snpmb.id/utbk-snbt/daya-tampung-snbt</x:v>
      </x:c>
      <x:c r="AA4434" t="str">
        <x:v>Tidak Ada</x:v>
      </x:c>
      <x:c r="AB4434" t="str">
        <x:v>Campus=55; Ratio=0.0; Prodi=40; RelDemand=19.1; Capacity=90.0</x:v>
      </x:c>
    </x:row>
    <x:row r="4435">
      <x:c r="A4435" t="n">
        <x:v>4432</x:v>
      </x:c>
      <x:c r="B4435" t="str">
        <x:v>PTN Vokasi</x:v>
      </x:c>
      <x:c r="C4435" t="str">
        <x:v>POLITEKNIK NEGERI MADURA</x:v>
      </x:c>
      <x:c r="D4435" t="str">
        <x:v>PROMOSI KESEHATAN</x:v>
      </x:c>
      <x:c r="E4435" t="str">
        <x:v>Sarjana Terapan</x:v>
      </x:c>
      <x:c r="F4435" s="18" t="n">
        <x:v>28</x:v>
      </x:c>
      <x:c r="G4435" s="18" t="n">
        <x:v>76</x:v>
      </x:c>
      <x:c r="H4435" s="19" t="n">
        <x:v>2.7142857142857144</x:v>
      </x:c>
      <x:c r="I4435" s="18" t="n">
        <x:f>ROUND(MIN(Model_Config_v3!$B$6,MAX(Q4435,R4435,S4435*Model_Config_v3!$B$4+T4435*Model_Config_v3!$B$5)),0)</x:f>
        <x:v>634</x:v>
      </x:c>
      <x:c r="J4435" s="18" t="n">
        <x:f>MIN(Model_Config_v3!$B$6,I4435+Model_Config_v3!$B$7)</x:f>
        <x:v>654</x:v>
      </x:c>
      <x:c r="K4435" s="20" t="n">
        <x:v>51.2</x:v>
      </x:c>
      <x:c r="L4435" t="str">
        <x:v>MENENGAH</x:v>
      </x:c>
      <x:c r="M4435" t="str">
        <x:v>SEDANG+</x:v>
      </x:c>
      <x:c r="N4435" t="str">
        <x:v>REGULER</x:v>
      </x:c>
      <x:c r="O4435" t="str">
        <x:v>SAINTEK</x:v>
      </x:c>
      <x:c r="P4435" t="str">
        <x:v>KESEHAT/GIZI/KEPERAWATAN</x:v>
      </x:c>
      <x:c r="Q4435" s="18" t="n">
        <x:v>0</x:v>
      </x:c>
      <x:c r="R4435" s="18" t="n">
        <x:v>0</x:v>
      </x:c>
      <x:c r="S4435" s="18" t="n">
        <x:v>567.702111703243</x:v>
      </x:c>
      <x:c r="T4435" s="18" t="n">
        <x:v>662</x:v>
      </x:c>
      <x:c r="U4435" s="18" t="n">
        <x:v>567.702111703243</x:v>
      </x:c>
      <x:c r="V4435" s="20" t="n">
        <x:v>12</x:v>
      </x:c>
      <x:c r="W4435" s="20" t="n">
        <x:v>5</x:v>
      </x:c>
      <x:c r="X4435" s="20" t="n">
        <x:v>3</x:v>
      </x:c>
      <x:c r="Y4435" t="str">
        <x:v>Basis arsip 2025/2024</x:v>
      </x:c>
      <x:c r="Z4435" t="str">
        <x:v>https://snpmb.id/utbk-snbt/daya-tampung-snbt</x:v>
      </x:c>
      <x:c r="AA4435" t="str">
        <x:v>Tidak Ada</x:v>
      </x:c>
      <x:c r="AB4435" t="str">
        <x:v>Campus=55; Ratio=25.5; Prodi=55; RelDemand=69.2; Capacity=76.7</x:v>
      </x:c>
    </x:row>
    <x:row r="4436">
      <x:c r="A4436" t="n">
        <x:v>4433</x:v>
      </x:c>
      <x:c r="B4436" t="str">
        <x:v>PTN Vokasi</x:v>
      </x:c>
      <x:c r="C4436" t="str">
        <x:v>POLITEKNIK NEGERI MADURA</x:v>
      </x:c>
      <x:c r="D4436" t="str">
        <x:v>TEKNIK MESIN ALAT BERAT</x:v>
      </x:c>
      <x:c r="E4436" t="str">
        <x:v>Diploma Tiga</x:v>
      </x:c>
      <x:c r="F4436" s="18" t="n">
        <x:v>28</x:v>
      </x:c>
      <x:c r="G4436" s="18" t="n">
        <x:v>48</x:v>
      </x:c>
      <x:c r="H4436" s="19" t="n">
        <x:v>1.7142857142857142</x:v>
      </x:c>
      <x:c r="I4436" s="18" t="n">
        <x:f>ROUND(MIN(Model_Config_v3!$B$6,MAX(Q4436,R4436,S4436*Model_Config_v3!$B$4+T4436*Model_Config_v3!$B$5)),0)</x:f>
        <x:v>621</x:v>
      </x:c>
      <x:c r="J4436" s="18" t="n">
        <x:f>MIN(Model_Config_v3!$B$6,I4436+Model_Config_v3!$B$7)</x:f>
        <x:v>641</x:v>
      </x:c>
      <x:c r="K4436" s="20" t="n">
        <x:v>46.7</x:v>
      </x:c>
      <x:c r="L4436" t="str">
        <x:v>MENENGAH</x:v>
      </x:c>
      <x:c r="M4436" t="str">
        <x:v>SEDANG+</x:v>
      </x:c>
      <x:c r="N4436" t="str">
        <x:v>REGULER</x:v>
      </x:c>
      <x:c r="O4436" t="str">
        <x:v>SAINTEK</x:v>
      </x:c>
      <x:c r="P4436" t="str">
        <x:v>TEKNIK/ARSITEKTUR/STATISTIKA/AKTUARIA</x:v>
      </x:c>
      <x:c r="Q4436" s="18" t="n">
        <x:v>0</x:v>
      </x:c>
      <x:c r="R4436" s="18" t="n">
        <x:v>0</x:v>
      </x:c>
      <x:c r="S4436" s="18" t="n">
        <x:v>545.7491526636704</x:v>
      </x:c>
      <x:c r="T4436" s="18" t="n">
        <x:v>653</x:v>
      </x:c>
      <x:c r="U4436" s="18" t="n">
        <x:v>555.7491526636704</x:v>
      </x:c>
      <x:c r="V4436" s="20" t="n">
        <x:v>12</x:v>
      </x:c>
      <x:c r="W4436" s="20" t="n">
        <x:v>5</x:v>
      </x:c>
      <x:c r="X4436" s="20" t="n">
        <x:v>3</x:v>
      </x:c>
      <x:c r="Y4436" t="str">
        <x:v>Basis arsip 2025/2024</x:v>
      </x:c>
      <x:c r="Z4436" t="str">
        <x:v>https://snpmb.id/utbk-snbt/daya-tampung-snbt</x:v>
      </x:c>
      <x:c r="AA4436" t="str">
        <x:v>Tidak Ada</x:v>
      </x:c>
      <x:c r="AB4436" t="str">
        <x:v>Campus=55; Ratio=13.8; Prodi=60; RelDemand=43.7; Capacity=76.7</x:v>
      </x:c>
    </x:row>
    <x:row r="4437">
      <x:c r="A4437" t="n">
        <x:v>4434</x:v>
      </x:c>
      <x:c r="B4437" t="str">
        <x:v>PTN Vokasi</x:v>
      </x:c>
      <x:c r="C4437" t="str">
        <x:v>POLITEKNIK NEGERI MADURA</x:v>
      </x:c>
      <x:c r="D4437" t="str">
        <x:v>TEKNIK LISTRIK INDUSTRI</x:v>
      </x:c>
      <x:c r="E4437" t="str">
        <x:v>Diploma Tiga</x:v>
      </x:c>
      <x:c r="F4437" s="18" t="n">
        <x:v>24</x:v>
      </x:c>
      <x:c r="G4437" s="18" t="n">
        <x:v>41</x:v>
      </x:c>
      <x:c r="H4437" s="19" t="n">
        <x:v>1.7083333333333333</x:v>
      </x:c>
      <x:c r="I4437" s="18" t="n">
        <x:f>ROUND(MIN(Model_Config_v3!$B$6,MAX(Q4437,R4437,S4437*Model_Config_v3!$B$4+T4437*Model_Config_v3!$B$5)),0)</x:f>
        <x:v>621</x:v>
      </x:c>
      <x:c r="J4437" s="18" t="n">
        <x:f>MIN(Model_Config_v3!$B$6,I4437+Model_Config_v3!$B$7)</x:f>
        <x:v>641</x:v>
      </x:c>
      <x:c r="K4437" s="20" t="n">
        <x:v>47</x:v>
      </x:c>
      <x:c r="L4437" t="str">
        <x:v>MENENGAH</x:v>
      </x:c>
      <x:c r="M4437" t="str">
        <x:v>SEDANG+</x:v>
      </x:c>
      <x:c r="N4437" t="str">
        <x:v>REGULER</x:v>
      </x:c>
      <x:c r="O4437" t="str">
        <x:v>SAINTEK</x:v>
      </x:c>
      <x:c r="P4437" t="str">
        <x:v>TEKNIK/ARSITEKTUR/STATISTIKA/AKTUARIA</x:v>
      </x:c>
      <x:c r="Q4437" s="18" t="n">
        <x:v>0</x:v>
      </x:c>
      <x:c r="R4437" s="18" t="n">
        <x:v>0</x:v>
      </x:c>
      <x:c r="S4437" s="18" t="n">
        <x:v>545.5829876508942</x:v>
      </x:c>
      <x:c r="T4437" s="18" t="n">
        <x:v>654</x:v>
      </x:c>
      <x:c r="U4437" s="18" t="n">
        <x:v>555.5829876508942</x:v>
      </x:c>
      <x:c r="V4437" s="20" t="n">
        <x:v>12</x:v>
      </x:c>
      <x:c r="W4437" s="20" t="n">
        <x:v>5</x:v>
      </x:c>
      <x:c r="X4437" s="20" t="n">
        <x:v>3</x:v>
      </x:c>
      <x:c r="Y4437" t="str">
        <x:v>Basis arsip 2025/2024</x:v>
      </x:c>
      <x:c r="Z4437" t="str">
        <x:v>https://snpmb.id/utbk-snbt/daya-tampung-snbt</x:v>
      </x:c>
      <x:c r="AA4437" t="str">
        <x:v>Tidak Ada</x:v>
      </x:c>
      <x:c r="AB4437" t="str">
        <x:v>Campus=55; Ratio=13.7; Prodi=60; RelDemand=43.6; Capacity=80.0</x:v>
      </x:c>
    </x:row>
    <x:row r="4438">
      <x:c r="A4438" t="n">
        <x:v>4435</x:v>
      </x:c>
      <x:c r="B4438" t="str">
        <x:v>PTN Vokasi</x:v>
      </x:c>
      <x:c r="C4438" t="str">
        <x:v>POLITEKNIK NEGERI MADURA</x:v>
      </x:c>
      <x:c r="D4438" t="str">
        <x:v>TEKNIK BANGUNAN KAPAL</x:v>
      </x:c>
      <x:c r="E4438" t="str">
        <x:v>Diploma Tiga</x:v>
      </x:c>
      <x:c r="F4438" s="18" t="n">
        <x:v>24</x:v>
      </x:c>
      <x:c r="G4438" s="18" t="n">
        <x:v>21</x:v>
      </x:c>
      <x:c r="H4438" s="19" t="n">
        <x:v>0.875</x:v>
      </x:c>
      <x:c r="I4438" s="18" t="n">
        <x:f>ROUND(MIN(Model_Config_v3!$B$6,MAX(Q4438,R4438,S4438*Model_Config_v3!$B$4+T4438*Model_Config_v3!$B$5)),0)</x:f>
        <x:v>606</x:v>
      </x:c>
      <x:c r="J4438" s="18" t="n">
        <x:f>MIN(Model_Config_v3!$B$6,I4438+Model_Config_v3!$B$7)</x:f>
        <x:v>626</x:v>
      </x:c>
      <x:c r="K4438" s="20" t="n">
        <x:v>41.5</x:v>
      </x:c>
      <x:c r="L4438" t="str">
        <x:v>RELATIF LONGGAR</x:v>
      </x:c>
      <x:c r="M4438" t="str">
        <x:v>SEDANG+</x:v>
      </x:c>
      <x:c r="N4438" t="str">
        <x:v>REGULER</x:v>
      </x:c>
      <x:c r="O4438" t="str">
        <x:v>SAINTEK</x:v>
      </x:c>
      <x:c r="P4438" t="str">
        <x:v>TEKNIK/ARSITEKTUR/STATISTIKA/AKTUARIA</x:v>
      </x:c>
      <x:c r="Q4438" s="18" t="n">
        <x:v>0</x:v>
      </x:c>
      <x:c r="R4438" s="18" t="n">
        <x:v>0</x:v>
      </x:c>
      <x:c r="S4438" s="18" t="n">
        <x:v>520</x:v>
      </x:c>
      <x:c r="T4438" s="18" t="n">
        <x:v>643</x:v>
      </x:c>
      <x:c r="U4438" s="18" t="n">
        <x:v>530</x:v>
      </x:c>
      <x:c r="V4438" s="20" t="n">
        <x:v>12</x:v>
      </x:c>
      <x:c r="W4438" s="20" t="n">
        <x:v>5</x:v>
      </x:c>
      <x:c r="X4438" s="20" t="n">
        <x:v>3</x:v>
      </x:c>
      <x:c r="Y4438" t="str">
        <x:v>Basis arsip 2025/2024</x:v>
      </x:c>
      <x:c r="Z4438" t="str">
        <x:v>https://snpmb.id/utbk-snbt/daya-tampung-snbt</x:v>
      </x:c>
      <x:c r="AA4438" t="str">
        <x:v>Tidak Ada</x:v>
      </x:c>
      <x:c r="AB4438" t="str">
        <x:v>Campus=55; Ratio=0.0; Prodi=60; RelDemand=22.3; Capacity=80.0</x:v>
      </x:c>
    </x:row>
    <x:row r="4439">
      <x:c r="A4439" t="n">
        <x:v>4436</x:v>
      </x:c>
      <x:c r="B4439" t="str">
        <x:v>PTN Vokasi</x:v>
      </x:c>
      <x:c r="C4439" t="str">
        <x:v>POLITEKNIK NEGERI MADURA</x:v>
      </x:c>
      <x:c r="D4439" t="str">
        <x:v>KEPERAWATAN</x:v>
      </x:c>
      <x:c r="E4439" t="str">
        <x:v>Diploma Tiga</x:v>
      </x:c>
      <x:c r="F4439" s="18" t="n">
        <x:v>60</x:v>
      </x:c>
      <x:c r="G4439" s="18" t="n">
        <x:v>291</x:v>
      </x:c>
      <x:c r="H4439" s="19" t="n">
        <x:v>4.85</x:v>
      </x:c>
      <x:c r="I4439" s="18" t="n">
        <x:f>ROUND(MIN(Model_Config_v3!$B$6,MAX(Q4439,R4439,S4439*Model_Config_v3!$B$4+T4439*Model_Config_v3!$B$5)),0)</x:f>
        <x:v>648</x:v>
      </x:c>
      <x:c r="J4439" s="18" t="n">
        <x:f>MIN(Model_Config_v3!$B$6,I4439+Model_Config_v3!$B$7)</x:f>
        <x:v>668</x:v>
      </x:c>
      <x:c r="K4439" s="20" t="n">
        <x:v>55.3</x:v>
      </x:c>
      <x:c r="L4439" t="str">
        <x:v>KETAT</x:v>
      </x:c>
      <x:c r="M4439" t="str">
        <x:v>SEDANG+</x:v>
      </x:c>
      <x:c r="N4439" t="str">
        <x:v>REGULER</x:v>
      </x:c>
      <x:c r="O4439" t="str">
        <x:v>SAINTEK</x:v>
      </x:c>
      <x:c r="P4439" t="str">
        <x:v>KESEHAT/GIZI/KEPERAWATAN</x:v>
      </x:c>
      <x:c r="Q4439" s="18" t="n">
        <x:v>0</x:v>
      </x:c>
      <x:c r="R4439" s="18" t="n">
        <x:v>0</x:v>
      </x:c>
      <x:c r="S4439" s="18" t="n">
        <x:v>595.431591246249</x:v>
      </x:c>
      <x:c r="T4439" s="18" t="n">
        <x:v>671</x:v>
      </x:c>
      <x:c r="U4439" s="18" t="n">
        <x:v>595.431591246249</x:v>
      </x:c>
      <x:c r="V4439" s="20" t="n">
        <x:v>12</x:v>
      </x:c>
      <x:c r="W4439" s="20" t="n">
        <x:v>5</x:v>
      </x:c>
      <x:c r="X4439" s="20" t="n">
        <x:v>3</x:v>
      </x:c>
      <x:c r="Y4439" t="str">
        <x:v>Basis arsip 2025/2024</x:v>
      </x:c>
      <x:c r="Z4439" t="str">
        <x:v>https://snpmb.id/utbk-snbt/daya-tampung-snbt</x:v>
      </x:c>
      <x:c r="AA4439" t="str">
        <x:v>Tidak Ada</x:v>
      </x:c>
      <x:c r="AB4439" t="str">
        <x:v>Campus=55; Ratio=40.4; Prodi=55; RelDemand=100.0; Capacity=50.0</x:v>
      </x:c>
    </x:row>
    <x:row r="4440">
      <x:c r="A4440" t="n">
        <x:v>4437</x:v>
      </x:c>
      <x:c r="B4440" t="str">
        <x:v>PTN Vokasi</x:v>
      </x:c>
      <x:c r="C4440" t="str">
        <x:v>POLITEKNIK NEGERI PONTIANAK</x:v>
      </x:c>
      <x:c r="D4440" t="str">
        <x:v>PERENCANAAN PERUMAHAN &amp; PEMUKIMAN</x:v>
      </x:c>
      <x:c r="E4440" t="str">
        <x:v>Sarjana Terapan</x:v>
      </x:c>
      <x:c r="F4440" s="18" t="n">
        <x:v>69</x:v>
      </x:c>
      <x:c r="G4440" s="18" t="n">
        <x:v>122</x:v>
      </x:c>
      <x:c r="H4440" s="19" t="n">
        <x:v>1.7681159420289856</x:v>
      </x:c>
      <x:c r="I4440" s="18" t="n">
        <x:f>ROUND(MIN(Model_Config_v3!$B$6,MAX(Q4440,R4440,S4440*Model_Config_v3!$B$4+T4440*Model_Config_v3!$B$5)),0)</x:f>
        <x:v>609</x:v>
      </x:c>
      <x:c r="J4440" s="18" t="n">
        <x:f>MIN(Model_Config_v3!$B$6,I4440+Model_Config_v3!$B$7)</x:f>
        <x:v>629</x:v>
      </x:c>
      <x:c r="K4440" s="20" t="n">
        <x:v>37.9</x:v>
      </x:c>
      <x:c r="L4440" t="str">
        <x:v>RELATIF LONGGAR</x:v>
      </x:c>
      <x:c r="M4440" t="str">
        <x:v>SEDANG</x:v>
      </x:c>
      <x:c r="N4440" t="str">
        <x:v>REGULER</x:v>
      </x:c>
      <x:c r="O4440" t="str">
        <x:v>CAMPURAN</x:v>
      </x:c>
      <x:c r="P4440" t="str">
        <x:v>UMUM</x:v>
      </x:c>
      <x:c r="Q4440" s="18" t="n">
        <x:v>0</x:v>
      </x:c>
      <x:c r="R4440" s="18" t="n">
        <x:v>0</x:v>
      </x:c>
      <x:c r="S4440" s="18" t="n">
        <x:v>547.2261813931242</x:v>
      </x:c>
      <x:c r="T4440" s="18" t="n">
        <x:v>636</x:v>
      </x:c>
      <x:c r="U4440" s="18" t="n">
        <x:v>547.2261813931242</x:v>
      </x:c>
      <x:c r="V4440" s="20" t="n">
        <x:v>8.8</x:v>
      </x:c>
      <x:c r="W4440" s="20" t="n">
        <x:v>9.9</x:v>
      </x:c>
      <x:c r="X4440" s="20" t="n">
        <x:v>3.3</x:v>
      </x:c>
      <x:c r="Y4440" t="str">
        <x:v>Basis arsip 2025/2024</x:v>
      </x:c>
      <x:c r="Z4440" t="str">
        <x:v>https://snpmb.id/utbk-snbt/daya-tampung-snbt</x:v>
      </x:c>
      <x:c r="AA4440" t="str">
        <x:v>Tidak Ada</x:v>
      </x:c>
      <x:c r="AB4440" t="str">
        <x:v>Campus=55; Ratio=14.6; Prodi=40; RelDemand=28.0; Capacity=42.5</x:v>
      </x:c>
    </x:row>
    <x:row r="4441">
      <x:c r="A4441" t="n">
        <x:v>4438</x:v>
      </x:c>
      <x:c r="B4441" t="str">
        <x:v>PTN Vokasi</x:v>
      </x:c>
      <x:c r="C4441" t="str">
        <x:v>POLITEKNIK NEGERI PONTIANAK</x:v>
      </x:c>
      <x:c r="D4441" t="str">
        <x:v>TEKNIK MESIN</x:v>
      </x:c>
      <x:c r="E4441" t="str">
        <x:v>Sarjana Terapan</x:v>
      </x:c>
      <x:c r="F4441" s="18" t="n">
        <x:v>41</x:v>
      </x:c>
      <x:c r="G4441" s="18" t="n">
        <x:v>157</x:v>
      </x:c>
      <x:c r="H4441" s="19" t="n">
        <x:v>3.8292682926829267</x:v>
      </x:c>
      <x:c r="I4441" s="18" t="n">
        <x:f>ROUND(MIN(Model_Config_v3!$B$6,MAX(Q4441,R4441,S4441*Model_Config_v3!$B$4+T4441*Model_Config_v3!$B$5)),0)</x:f>
        <x:v>641</x:v>
      </x:c>
      <x:c r="J4441" s="18" t="n">
        <x:f>MIN(Model_Config_v3!$B$6,I4441+Model_Config_v3!$B$7)</x:f>
        <x:v>661</x:v>
      </x:c>
      <x:c r="K4441" s="20" t="n">
        <x:v>52.5</x:v>
      </x:c>
      <x:c r="L4441" t="str">
        <x:v>MENENGAH</x:v>
      </x:c>
      <x:c r="M4441" t="str">
        <x:v>SEDANG+</x:v>
      </x:c>
      <x:c r="N4441" t="str">
        <x:v>REGULER</x:v>
      </x:c>
      <x:c r="O4441" t="str">
        <x:v>SAINTEK</x:v>
      </x:c>
      <x:c r="P4441" t="str">
        <x:v>TEKNIK/ARSITEKTUR/STATISTIKA/AKTUARIA</x:v>
      </x:c>
      <x:c r="Q4441" s="18" t="n">
        <x:v>0</x:v>
      </x:c>
      <x:c r="R4441" s="18" t="n">
        <x:v>0</x:v>
      </x:c>
      <x:c r="S4441" s="18" t="n">
        <x:v>584.1427375258448</x:v>
      </x:c>
      <x:c r="T4441" s="18" t="n">
        <x:v>665</x:v>
      </x:c>
      <x:c r="U4441" s="18" t="n">
        <x:v>594.1427375258448</x:v>
      </x:c>
      <x:c r="V4441" s="20" t="n">
        <x:v>12</x:v>
      </x:c>
      <x:c r="W4441" s="20" t="n">
        <x:v>5</x:v>
      </x:c>
      <x:c r="X4441" s="20" t="n">
        <x:v>3</x:v>
      </x:c>
      <x:c r="Y4441" t="str">
        <x:v>Basis arsip 2025/2024</x:v>
      </x:c>
      <x:c r="Z4441" t="str">
        <x:v>https://snpmb.id/utbk-snbt/daya-tampung-snbt</x:v>
      </x:c>
      <x:c r="AA4441" t="str">
        <x:v>Tidak Ada</x:v>
      </x:c>
      <x:c r="AB4441" t="str">
        <x:v>Campus=55; Ratio=34.3; Prodi=60; RelDemand=60.6; Capacity=65.8</x:v>
      </x:c>
    </x:row>
    <x:row r="4442">
      <x:c r="A4442" t="n">
        <x:v>4439</x:v>
      </x:c>
      <x:c r="B4442" t="str">
        <x:v>PTN Vokasi</x:v>
      </x:c>
      <x:c r="C4442" t="str">
        <x:v>POLITEKNIK NEGERI PONTIANAK</x:v>
      </x:c>
      <x:c r="D4442" t="str">
        <x:v>MANAJEMEN PERKEBUNAN</x:v>
      </x:c>
      <x:c r="E4442" t="str">
        <x:v>Sarjana Terapan</x:v>
      </x:c>
      <x:c r="F4442" s="18" t="n">
        <x:v>40</x:v>
      </x:c>
      <x:c r="G4442" s="18" t="n">
        <x:v>128</x:v>
      </x:c>
      <x:c r="H4442" s="19" t="n">
        <x:v>3.2</x:v>
      </x:c>
      <x:c r="I4442" s="18" t="n">
        <x:f>ROUND(MIN(Model_Config_v3!$B$6,MAX(Q4442,R4442,S4442*Model_Config_v3!$B$4+T4442*Model_Config_v3!$B$5)),0)</x:f>
        <x:v>637</x:v>
      </x:c>
      <x:c r="J4442" s="18" t="n">
        <x:f>MIN(Model_Config_v3!$B$6,I4442+Model_Config_v3!$B$7)</x:f>
        <x:v>657</x:v>
      </x:c>
      <x:c r="K4442" s="20" t="n">
        <x:v>51.4</x:v>
      </x:c>
      <x:c r="L4442" t="str">
        <x:v>MENENGAH</x:v>
      </x:c>
      <x:c r="M4442" t="str">
        <x:v>SEDANG+</x:v>
      </x:c>
      <x:c r="N4442" t="str">
        <x:v>REGULER</x:v>
      </x:c>
      <x:c r="O4442" t="str">
        <x:v>SOSHUM</x:v>
      </x:c>
      <x:c r="P4442" t="str">
        <x:v>BISNIS/EKONOMI/AKUNTANSI</x:v>
      </x:c>
      <x:c r="Q4442" s="18" t="n">
        <x:v>0</x:v>
      </x:c>
      <x:c r="R4442" s="18" t="n">
        <x:v>0</x:v>
      </x:c>
      <x:c r="S4442" s="18" t="n">
        <x:v>575.5664976151896</x:v>
      </x:c>
      <x:c r="T4442" s="18" t="n">
        <x:v>663</x:v>
      </x:c>
      <x:c r="U4442" s="18" t="n">
        <x:v>590.5664976151896</x:v>
      </x:c>
      <x:c r="V4442" s="20" t="n">
        <x:v>4.4</x:v>
      </x:c>
      <x:c r="W4442" s="20" t="n">
        <x:v>14.3</x:v>
      </x:c>
      <x:c r="X4442" s="20" t="n">
        <x:v>3.3</x:v>
      </x:c>
      <x:c r="Y4442" t="str">
        <x:v>Basis arsip 2025/2024</x:v>
      </x:c>
      <x:c r="Z4442" t="str">
        <x:v>https://snpmb.id/utbk-snbt/daya-tampung-snbt</x:v>
      </x:c>
      <x:c r="AA4442" t="str">
        <x:v>Tidak Ada</x:v>
      </x:c>
      <x:c r="AB4442" t="str">
        <x:v>Campus=55; Ratio=29.7; Prodi=65; RelDemand=50.6; Capacity=66.7</x:v>
      </x:c>
    </x:row>
    <x:row r="4443">
      <x:c r="A4443" t="n">
        <x:v>4440</x:v>
      </x:c>
      <x:c r="B4443" t="str">
        <x:v>PTN Vokasi</x:v>
      </x:c>
      <x:c r="C4443" t="str">
        <x:v>POLITEKNIK NEGERI PONTIANAK</x:v>
      </x:c>
      <x:c r="D4443" t="str">
        <x:v>BUDIDAYA TANAMAN PERKEBUNAN</x:v>
      </x:c>
      <x:c r="E4443" t="str">
        <x:v>Sarjana Terapan</x:v>
      </x:c>
      <x:c r="F4443" s="18" t="n">
        <x:v>27</x:v>
      </x:c>
      <x:c r="G4443" s="18" t="n">
        <x:v>82</x:v>
      </x:c>
      <x:c r="H4443" s="19" t="n">
        <x:v>3.037037037037037</x:v>
      </x:c>
      <x:c r="I4443" s="18" t="n">
        <x:f>ROUND(MIN(Model_Config_v3!$B$6,MAX(Q4443,R4443,S4443*Model_Config_v3!$B$4+T4443*Model_Config_v3!$B$5)),0)</x:f>
        <x:v>630</x:v>
      </x:c>
      <x:c r="J4443" s="18" t="n">
        <x:f>MIN(Model_Config_v3!$B$6,I4443+Model_Config_v3!$B$7)</x:f>
        <x:v>650</x:v>
      </x:c>
      <x:c r="K4443" s="20" t="n">
        <x:v>46.9</x:v>
      </x:c>
      <x:c r="L4443" t="str">
        <x:v>MENENGAH</x:v>
      </x:c>
      <x:c r="M4443" t="str">
        <x:v>SEDANG</x:v>
      </x:c>
      <x:c r="N4443" t="str">
        <x:v>REGULER</x:v>
      </x:c>
      <x:c r="O4443" t="str">
        <x:v>CAMPURAN</x:v>
      </x:c>
      <x:c r="P4443" t="str">
        <x:v>UMUM</x:v>
      </x:c>
      <x:c r="Q4443" s="18" t="n">
        <x:v>0</x:v>
      </x:c>
      <x:c r="R4443" s="18" t="n">
        <x:v>0</x:v>
      </x:c>
      <x:c r="S4443" s="18" t="n">
        <x:v>573.0695097047202</x:v>
      </x:c>
      <x:c r="T4443" s="18" t="n">
        <x:v>654</x:v>
      </x:c>
      <x:c r="U4443" s="18" t="n">
        <x:v>573.0695097047202</x:v>
      </x:c>
      <x:c r="V4443" s="20" t="n">
        <x:v>8.8</x:v>
      </x:c>
      <x:c r="W4443" s="20" t="n">
        <x:v>9.9</x:v>
      </x:c>
      <x:c r="X4443" s="20" t="n">
        <x:v>3.3</x:v>
      </x:c>
      <x:c r="Y4443" t="str">
        <x:v>Basis arsip 2025/2024</x:v>
      </x:c>
      <x:c r="Z4443" t="str">
        <x:v>https://snpmb.id/utbk-snbt/daya-tampung-snbt</x:v>
      </x:c>
      <x:c r="AA4443" t="str">
        <x:v>Tidak Ada</x:v>
      </x:c>
      <x:c r="AB4443" t="str">
        <x:v>Campus=55; Ratio=28.4; Prodi=40; RelDemand=48.0; Capacity=77.5</x:v>
      </x:c>
    </x:row>
    <x:row r="4444">
      <x:c r="A4444" t="n">
        <x:v>4441</x:v>
      </x:c>
      <x:c r="B4444" t="str">
        <x:v>PTN Vokasi</x:v>
      </x:c>
      <x:c r="C4444" t="str">
        <x:v>POLITEKNIK NEGERI PONTIANAK</x:v>
      </x:c>
      <x:c r="D4444" t="str">
        <x:v>DESAIN KAWASAN BINAAN</x:v>
      </x:c>
      <x:c r="E4444" t="str">
        <x:v>Sarjana Terapan</x:v>
      </x:c>
      <x:c r="F4444" s="18" t="n">
        <x:v>27</x:v>
      </x:c>
      <x:c r="G4444" s="18" t="n">
        <x:v>19</x:v>
      </x:c>
      <x:c r="H4444" s="19" t="n">
        <x:v>0.7037037037037037</x:v>
      </x:c>
      <x:c r="I4444" s="18" t="n">
        <x:f>ROUND(MIN(Model_Config_v3!$B$6,MAX(Q4444,R4444,S4444*Model_Config_v3!$B$4+T4444*Model_Config_v3!$B$5)),0)</x:f>
        <x:v>598</x:v>
      </x:c>
      <x:c r="J4444" s="18" t="n">
        <x:f>MIN(Model_Config_v3!$B$6,I4444+Model_Config_v3!$B$7)</x:f>
        <x:v>618</x:v>
      </x:c>
      <x:c r="K4444" s="20" t="n">
        <x:v>36.1</x:v>
      </x:c>
      <x:c r="L4444" t="str">
        <x:v>RELATIF LONGGAR</x:v>
      </x:c>
      <x:c r="M4444" t="str">
        <x:v>SEDANG</x:v>
      </x:c>
      <x:c r="N4444" t="str">
        <x:v>REGULER</x:v>
      </x:c>
      <x:c r="O4444" t="str">
        <x:v>CAMPURAN</x:v>
      </x:c>
      <x:c r="P4444" t="str">
        <x:v>UMUM</x:v>
      </x:c>
      <x:c r="Q4444" s="18" t="n">
        <x:v>0</x:v>
      </x:c>
      <x:c r="R4444" s="18" t="n">
        <x:v>0</x:v>
      </x:c>
      <x:c r="S4444" s="18" t="n">
        <x:v>520</x:v>
      </x:c>
      <x:c r="T4444" s="18" t="n">
        <x:v>632</x:v>
      </x:c>
      <x:c r="U4444" s="18" t="n">
        <x:v>520</x:v>
      </x:c>
      <x:c r="V4444" s="20" t="n">
        <x:v>8.8</x:v>
      </x:c>
      <x:c r="W4444" s="20" t="n">
        <x:v>9.9</x:v>
      </x:c>
      <x:c r="X4444" s="20" t="n">
        <x:v>3.3</x:v>
      </x:c>
      <x:c r="Y4444" t="str">
        <x:v>Basis arsip 2025/2024</x:v>
      </x:c>
      <x:c r="Z4444" t="str">
        <x:v>https://snpmb.id/utbk-snbt/daya-tampung-snbt</x:v>
      </x:c>
      <x:c r="AA4444" t="str">
        <x:v>Tidak Ada</x:v>
      </x:c>
      <x:c r="AB4444" t="str">
        <x:v>Campus=55; Ratio=0.0; Prodi=40; RelDemand=11.1; Capacity=77.5</x:v>
      </x:c>
    </x:row>
    <x:row r="4445">
      <x:c r="A4445" t="n">
        <x:v>4442</x:v>
      </x:c>
      <x:c r="B4445" t="str">
        <x:v>PTN Vokasi</x:v>
      </x:c>
      <x:c r="C4445" t="str">
        <x:v>POLITEKNIK NEGERI PONTIANAK</x:v>
      </x:c>
      <x:c r="D4445" t="str">
        <x:v>ARSITEKTUR BANGUNAN GEDUNG</x:v>
      </x:c>
      <x:c r="E4445" t="str">
        <x:v>Sarjana Terapan</x:v>
      </x:c>
      <x:c r="F4445" s="18" t="n">
        <x:v>41</x:v>
      </x:c>
      <x:c r="G4445" s="18" t="n">
        <x:v>96</x:v>
      </x:c>
      <x:c r="H4445" s="19" t="n">
        <x:v>2.341463414634146</x:v>
      </x:c>
      <x:c r="I4445" s="18" t="n">
        <x:f>ROUND(MIN(Model_Config_v3!$B$6,MAX(Q4445,R4445,S4445*Model_Config_v3!$B$4+T4445*Model_Config_v3!$B$5)),0)</x:f>
        <x:v>626</x:v>
      </x:c>
      <x:c r="J4445" s="18" t="n">
        <x:f>MIN(Model_Config_v3!$B$6,I4445+Model_Config_v3!$B$7)</x:f>
        <x:v>646</x:v>
      </x:c>
      <x:c r="K4445" s="20" t="n">
        <x:v>47</x:v>
      </x:c>
      <x:c r="L4445" t="str">
        <x:v>MENENGAH</x:v>
      </x:c>
      <x:c r="M4445" t="str">
        <x:v>SEDANG+</x:v>
      </x:c>
      <x:c r="N4445" t="str">
        <x:v>REGULER</x:v>
      </x:c>
      <x:c r="O4445" t="str">
        <x:v>SAINTEK</x:v>
      </x:c>
      <x:c r="P4445" t="str">
        <x:v>TEKNIK/ARSITEKTUR/STATISTIKA/AKTUARIA</x:v>
      </x:c>
      <x:c r="Q4445" s="18" t="n">
        <x:v>0</x:v>
      </x:c>
      <x:c r="R4445" s="18" t="n">
        <x:v>0</x:v>
      </x:c>
      <x:c r="S4445" s="18" t="n">
        <x:v>560.6436113951817</x:v>
      </x:c>
      <x:c r="T4445" s="18" t="n">
        <x:v>654</x:v>
      </x:c>
      <x:c r="U4445" s="18" t="n">
        <x:v>560.6436113951817</x:v>
      </x:c>
      <x:c r="V4445" s="20" t="n">
        <x:v>12</x:v>
      </x:c>
      <x:c r="W4445" s="20" t="n">
        <x:v>5</x:v>
      </x:c>
      <x:c r="X4445" s="20" t="n">
        <x:v>3</x:v>
      </x:c>
      <x:c r="Y4445" t="str">
        <x:v>Basis arsip 2025/2024</x:v>
      </x:c>
      <x:c r="Z4445" t="str">
        <x:v>https://snpmb.id/utbk-snbt/daya-tampung-snbt</x:v>
      </x:c>
      <x:c r="AA4445" t="str">
        <x:v>Tidak Ada</x:v>
      </x:c>
      <x:c r="AB4445" t="str">
        <x:v>Campus=55; Ratio=21.7; Prodi=60; RelDemand=37.0; Capacity=65.8</x:v>
      </x:c>
    </x:row>
    <x:row r="4446">
      <x:c r="A4446" t="n">
        <x:v>4443</x:v>
      </x:c>
      <x:c r="B4446" t="str">
        <x:v>PTN Vokasi</x:v>
      </x:c>
      <x:c r="C4446" t="str">
        <x:v>POLITEKNIK NEGERI PONTIANAK</x:v>
      </x:c>
      <x:c r="D4446" t="str">
        <x:v>ADMINISTRASI NEGARA</x:v>
      </x:c>
      <x:c r="E4446" t="str">
        <x:v>Sarjana Terapan</x:v>
      </x:c>
      <x:c r="F4446" s="18" t="n">
        <x:v>81</x:v>
      </x:c>
      <x:c r="G4446" s="18" t="n">
        <x:v>982</x:v>
      </x:c>
      <x:c r="H4446" s="19" t="n">
        <x:v>12.123456790123457</x:v>
      </x:c>
      <x:c r="I4446" s="18" t="n">
        <x:f>ROUND(MIN(Model_Config_v3!$B$6,MAX(Q4446,R4446,S4446*Model_Config_v3!$B$4+T4446*Model_Config_v3!$B$5)),0)</x:f>
        <x:v>663</x:v>
      </x:c>
      <x:c r="J4446" s="18" t="n">
        <x:f>MIN(Model_Config_v3!$B$6,I4446+Model_Config_v3!$B$7)</x:f>
        <x:v>683</x:v>
      </x:c>
      <x:c r="K4446" s="20" t="n">
        <x:v>56.4</x:v>
      </x:c>
      <x:c r="L4446" t="str">
        <x:v>KETAT</x:v>
      </x:c>
      <x:c r="M4446" t="str">
        <x:v>SEDANG</x:v>
      </x:c>
      <x:c r="N4446" t="str">
        <x:v>REGULER</x:v>
      </x:c>
      <x:c r="O4446" t="str">
        <x:v>SOSHUM</x:v>
      </x:c>
      <x:c r="P4446" t="str">
        <x:v>UMUM</x:v>
      </x:c>
      <x:c r="Q4446" s="18" t="n">
        <x:v>0</x:v>
      </x:c>
      <x:c r="R4446" s="18" t="n">
        <x:v>0</x:v>
      </x:c>
      <x:c r="S4446" s="18" t="n">
        <x:v>639.198911579913</x:v>
      </x:c>
      <x:c r="T4446" s="18" t="n">
        <x:v>673</x:v>
      </x:c>
      <x:c r="U4446" s="18" t="n">
        <x:v>639.198911579913</x:v>
      </x:c>
      <x:c r="V4446" s="20" t="n">
        <x:v>4.4</x:v>
      </x:c>
      <x:c r="W4446" s="20" t="n">
        <x:v>14.3</x:v>
      </x:c>
      <x:c r="X4446" s="20" t="n">
        <x:v>3.3</x:v>
      </x:c>
      <x:c r="Y4446" t="str">
        <x:v>Basis arsip 2025/2024</x:v>
      </x:c>
      <x:c r="Z4446" t="str">
        <x:v>https://snpmb.id/utbk-snbt/daya-tampung-snbt</x:v>
      </x:c>
      <x:c r="AA4446" t="str">
        <x:v>Tidak Ada</x:v>
      </x:c>
      <x:c r="AB4446" t="str">
        <x:v>Campus=55; Ratio=63.8; Prodi=40; RelDemand=100.0; Capacity=32.5</x:v>
      </x:c>
    </x:row>
    <x:row r="4447">
      <x:c r="A4447" t="n">
        <x:v>4444</x:v>
      </x:c>
      <x:c r="B4447" t="str">
        <x:v>PTN Vokasi</x:v>
      </x:c>
      <x:c r="C4447" t="str">
        <x:v>POLITEKNIK NEGERI PONTIANAK</x:v>
      </x:c>
      <x:c r="D4447" t="str">
        <x:v>ADMINISTRASI BISNIS OTOMOTIF</x:v>
      </x:c>
      <x:c r="E4447" t="str">
        <x:v>Sarjana Terapan</x:v>
      </x:c>
      <x:c r="F4447" s="18" t="n">
        <x:v>41</x:v>
      </x:c>
      <x:c r="G4447" s="18" t="n">
        <x:v>77</x:v>
      </x:c>
      <x:c r="H4447" s="19" t="n">
        <x:v>1.8780487804878048</x:v>
      </x:c>
      <x:c r="I4447" s="18" t="n">
        <x:f>ROUND(MIN(Model_Config_v3!$B$6,MAX(Q4447,R4447,S4447*Model_Config_v3!$B$4+T4447*Model_Config_v3!$B$5)),0)</x:f>
        <x:v>621</x:v>
      </x:c>
      <x:c r="J4447" s="18" t="n">
        <x:f>MIN(Model_Config_v3!$B$6,I4447+Model_Config_v3!$B$7)</x:f>
        <x:v>641</x:v>
      </x:c>
      <x:c r="K4447" s="20" t="n">
        <x:v>45.8</x:v>
      </x:c>
      <x:c r="L4447" t="str">
        <x:v>MENENGAH</x:v>
      </x:c>
      <x:c r="M4447" t="str">
        <x:v>SEDANG+</x:v>
      </x:c>
      <x:c r="N4447" t="str">
        <x:v>REGULER</x:v>
      </x:c>
      <x:c r="O4447" t="str">
        <x:v>SOSHUM</x:v>
      </x:c>
      <x:c r="P4447" t="str">
        <x:v>BISNIS/EKONOMI/AKUNTANSI</x:v>
      </x:c>
      <x:c r="Q4447" s="18" t="n">
        <x:v>0</x:v>
      </x:c>
      <x:c r="R4447" s="18" t="n">
        <x:v>0</x:v>
      </x:c>
      <x:c r="S4447" s="18" t="n">
        <x:v>550.1077555298021</x:v>
      </x:c>
      <x:c r="T4447" s="18" t="n">
        <x:v>652</x:v>
      </x:c>
      <x:c r="U4447" s="18" t="n">
        <x:v>565.1077555298021</x:v>
      </x:c>
      <x:c r="V4447" s="20" t="n">
        <x:v>4.4</x:v>
      </x:c>
      <x:c r="W4447" s="20" t="n">
        <x:v>14.3</x:v>
      </x:c>
      <x:c r="X4447" s="20" t="n">
        <x:v>3.3</x:v>
      </x:c>
      <x:c r="Y4447" t="str">
        <x:v>Basis arsip 2025/2024</x:v>
      </x:c>
      <x:c r="Z4447" t="str">
        <x:v>https://snpmb.id/utbk-snbt/daya-tampung-snbt</x:v>
      </x:c>
      <x:c r="AA4447" t="str">
        <x:v>Tidak Ada</x:v>
      </x:c>
      <x:c r="AB4447" t="str">
        <x:v>Campus=55; Ratio=16.1; Prodi=65; RelDemand=29.7; Capacity=65.8</x:v>
      </x:c>
    </x:row>
    <x:row r="4448">
      <x:c r="A4448" t="n">
        <x:v>4445</x:v>
      </x:c>
      <x:c r="B4448" t="str">
        <x:v>PTN Vokasi</x:v>
      </x:c>
      <x:c r="C4448" t="str">
        <x:v>POLITEKNIK NEGERI PONTIANAK</x:v>
      </x:c>
      <x:c r="D4448" t="str">
        <x:v>AKUNTANSI SEKTOR PUBLIK</x:v>
      </x:c>
      <x:c r="E4448" t="str">
        <x:v>Sarjana Terapan</x:v>
      </x:c>
      <x:c r="F4448" s="18" t="n">
        <x:v>94</x:v>
      </x:c>
      <x:c r="G4448" s="18" t="n">
        <x:v>284</x:v>
      </x:c>
      <x:c r="H4448" s="19" t="n">
        <x:v>3.021276595744681</x:v>
      </x:c>
      <x:c r="I4448" s="18" t="n">
        <x:f>ROUND(MIN(Model_Config_v3!$B$6,MAX(Q4448,R4448,S4448*Model_Config_v3!$B$4+T4448*Model_Config_v3!$B$5)),0)</x:f>
        <x:v>629</x:v>
      </x:c>
      <x:c r="J4448" s="18" t="n">
        <x:f>MIN(Model_Config_v3!$B$6,I4448+Model_Config_v3!$B$7)</x:f>
        <x:v>649</x:v>
      </x:c>
      <x:c r="K4448" s="20" t="n">
        <x:v>46.3</x:v>
      </x:c>
      <x:c r="L4448" t="str">
        <x:v>MENENGAH</x:v>
      </x:c>
      <x:c r="M4448" t="str">
        <x:v>SEDANG+</x:v>
      </x:c>
      <x:c r="N4448" t="str">
        <x:v>REGULER</x:v>
      </x:c>
      <x:c r="O4448" t="str">
        <x:v>SOSHUM</x:v>
      </x:c>
      <x:c r="P4448" t="str">
        <x:v>BISNIS/EKONOMI/AKUNTANSI</x:v>
      </x:c>
      <x:c r="Q4448" s="18" t="n">
        <x:v>0</x:v>
      </x:c>
      <x:c r="R4448" s="18" t="n">
        <x:v>0</x:v>
      </x:c>
      <x:c r="S4448" s="18" t="n">
        <x:v>572.8209535092072</x:v>
      </x:c>
      <x:c r="T4448" s="18" t="n">
        <x:v>653</x:v>
      </x:c>
      <x:c r="U4448" s="18" t="n">
        <x:v>572.8209535092072</x:v>
      </x:c>
      <x:c r="V4448" s="20" t="n">
        <x:v>4.4</x:v>
      </x:c>
      <x:c r="W4448" s="20" t="n">
        <x:v>14.3</x:v>
      </x:c>
      <x:c r="X4448" s="20" t="n">
        <x:v>3.3</x:v>
      </x:c>
      <x:c r="Y4448" t="str">
        <x:v>Basis arsip 2025/2024</x:v>
      </x:c>
      <x:c r="Z4448" t="str">
        <x:v>https://snpmb.id/utbk-snbt/daya-tampung-snbt</x:v>
      </x:c>
      <x:c r="AA4448" t="str">
        <x:v>Tidak Ada</x:v>
      </x:c>
      <x:c r="AB4448" t="str">
        <x:v>Campus=55; Ratio=28.3; Prodi=65; RelDemand=47.8; Capacity=21.7</x:v>
      </x:c>
    </x:row>
    <x:row r="4449">
      <x:c r="A4449" t="n">
        <x:v>4446</x:v>
      </x:c>
      <x:c r="B4449" t="str">
        <x:v>PTN Vokasi</x:v>
      </x:c>
      <x:c r="C4449" t="str">
        <x:v>POLITEKNIK NEGERI PONTIANAK</x:v>
      </x:c>
      <x:c r="D4449" t="str">
        <x:v>PENGOLAHAN HASIL PERKEBUNAN TERPADU</x:v>
      </x:c>
      <x:c r="E4449" t="str">
        <x:v>Sarjana Terapan</x:v>
      </x:c>
      <x:c r="F4449" s="18" t="n">
        <x:v>54</x:v>
      </x:c>
      <x:c r="G4449" s="18" t="n">
        <x:v>60</x:v>
      </x:c>
      <x:c r="H4449" s="19" t="n">
        <x:v>1.1111111111111112</x:v>
      </x:c>
      <x:c r="I4449" s="18" t="n">
        <x:f>ROUND(MIN(Model_Config_v3!$B$6,MAX(Q4449,R4449,S4449*Model_Config_v3!$B$4+T4449*Model_Config_v3!$B$5)),0)</x:f>
        <x:v>599</x:v>
      </x:c>
      <x:c r="J4449" s="18" t="n">
        <x:f>MIN(Model_Config_v3!$B$6,I4449+Model_Config_v3!$B$7)</x:f>
        <x:v>619</x:v>
      </x:c>
      <x:c r="K4449" s="20" t="n">
        <x:v>35.2</x:v>
      </x:c>
      <x:c r="L4449" t="str">
        <x:v>RELATIF LONGGAR</x:v>
      </x:c>
      <x:c r="M4449" t="str">
        <x:v>SEDANG</x:v>
      </x:c>
      <x:c r="N4449" t="str">
        <x:v>REGULER</x:v>
      </x:c>
      <x:c r="O4449" t="str">
        <x:v>CAMPURAN</x:v>
      </x:c>
      <x:c r="P4449" t="str">
        <x:v>UMUM</x:v>
      </x:c>
      <x:c r="Q4449" s="18" t="n">
        <x:v>0</x:v>
      </x:c>
      <x:c r="R4449" s="18" t="n">
        <x:v>0</x:v>
      </x:c>
      <x:c r="S4449" s="18" t="n">
        <x:v>525.0333239616742</x:v>
      </x:c>
      <x:c r="T4449" s="18" t="n">
        <x:v>630</x:v>
      </x:c>
      <x:c r="U4449" s="18" t="n">
        <x:v>525.0333239616742</x:v>
      </x:c>
      <x:c r="V4449" s="20" t="n">
        <x:v>8.8</x:v>
      </x:c>
      <x:c r="W4449" s="20" t="n">
        <x:v>9.9</x:v>
      </x:c>
      <x:c r="X4449" s="20" t="n">
        <x:v>3.3</x:v>
      </x:c>
      <x:c r="Y4449" t="str">
        <x:v>Basis arsip 2025/2024</x:v>
      </x:c>
      <x:c r="Z4449" t="str">
        <x:v>https://snpmb.id/utbk-snbt/daya-tampung-snbt</x:v>
      </x:c>
      <x:c r="AA4449" t="str">
        <x:v>Tidak Ada</x:v>
      </x:c>
      <x:c r="AB4449" t="str">
        <x:v>Campus=55; Ratio=2.7; Prodi=40; RelDemand=17.6; Capacity=55.0</x:v>
      </x:c>
    </x:row>
    <x:row r="4450">
      <x:c r="A4450" t="n">
        <x:v>4447</x:v>
      </x:c>
      <x:c r="B4450" t="str">
        <x:v>PTN Vokasi</x:v>
      </x:c>
      <x:c r="C4450" t="str">
        <x:v>POLITEKNIK NEGERI PONTIANAK</x:v>
      </x:c>
      <x:c r="D4450" t="str">
        <x:v>TEKNOLOGI REKAYASA SISTEM ELEKTRONIKA</x:v>
      </x:c>
      <x:c r="E4450" t="str">
        <x:v>Sarjana Terapan</x:v>
      </x:c>
      <x:c r="F4450" s="18" t="n">
        <x:v>37</x:v>
      </x:c>
      <x:c r="G4450" s="18" t="n">
        <x:v>85</x:v>
      </x:c>
      <x:c r="H4450" s="19" t="n">
        <x:v>2.2972972972972974</x:v>
      </x:c>
      <x:c r="I4450" s="18" t="n">
        <x:f>ROUND(MIN(Model_Config_v3!$B$6,MAX(Q4450,R4450,S4450*Model_Config_v3!$B$4+T4450*Model_Config_v3!$B$5)),0)</x:f>
        <x:v>620</x:v>
      </x:c>
      <x:c r="J4450" s="18" t="n">
        <x:f>MIN(Model_Config_v3!$B$6,I4450+Model_Config_v3!$B$7)</x:f>
        <x:v>640</x:v>
      </x:c>
      <x:c r="K4450" s="20" t="n">
        <x:v>43.1</x:v>
      </x:c>
      <x:c r="L4450" t="str">
        <x:v>RELATIF LONGGAR</x:v>
      </x:c>
      <x:c r="M4450" t="str">
        <x:v>SEDANG</x:v>
      </x:c>
      <x:c r="N4450" t="str">
        <x:v>REGULER</x:v>
      </x:c>
      <x:c r="O4450" t="str">
        <x:v>SAINTEK</x:v>
      </x:c>
      <x:c r="P4450" t="str">
        <x:v>UMUM</x:v>
      </x:c>
      <x:c r="Q4450" s="18" t="n">
        <x:v>0</x:v>
      </x:c>
      <x:c r="R4450" s="18" t="n">
        <x:v>0</x:v>
      </x:c>
      <x:c r="S4450" s="18" t="n">
        <x:v>559.7338921812027</x:v>
      </x:c>
      <x:c r="T4450" s="18" t="n">
        <x:v>646</x:v>
      </x:c>
      <x:c r="U4450" s="18" t="n">
        <x:v>559.7338921812027</x:v>
      </x:c>
      <x:c r="V4450" s="20" t="n">
        <x:v>12</x:v>
      </x:c>
      <x:c r="W4450" s="20" t="n">
        <x:v>5</x:v>
      </x:c>
      <x:c r="X4450" s="20" t="n">
        <x:v>3</x:v>
      </x:c>
      <x:c r="Y4450" t="str">
        <x:v>Basis arsip 2025/2024</x:v>
      </x:c>
      <x:c r="Z4450" t="str">
        <x:v>https://snpmb.id/utbk-snbt/daya-tampung-snbt</x:v>
      </x:c>
      <x:c r="AA4450" t="str">
        <x:v>Tidak Ada</x:v>
      </x:c>
      <x:c r="AB4450" t="str">
        <x:v>Campus=55; Ratio=21.3; Prodi=40; RelDemand=36.3; Capacity=69.2</x:v>
      </x:c>
    </x:row>
    <x:row r="4451">
      <x:c r="A4451" t="n">
        <x:v>4448</x:v>
      </x:c>
      <x:c r="B4451" t="str">
        <x:v>PTN Vokasi</x:v>
      </x:c>
      <x:c r="C4451" t="str">
        <x:v>POLITEKNIK NEGERI PONTIANAK</x:v>
      </x:c>
      <x:c r="D4451" t="str">
        <x:v>PENGELOLAAN USAHA REKREASI</x:v>
      </x:c>
      <x:c r="E4451" t="str">
        <x:v>Sarjana Terapan</x:v>
      </x:c>
      <x:c r="F4451" s="18" t="n">
        <x:v>27</x:v>
      </x:c>
      <x:c r="G4451" s="18" t="n">
        <x:v>36</x:v>
      </x:c>
      <x:c r="H4451" s="19" t="n">
        <x:v>1.3333333333333333</x:v>
      </x:c>
      <x:c r="I4451" s="18" t="n">
        <x:f>ROUND(MIN(Model_Config_v3!$B$6,MAX(Q4451,R4451,S4451*Model_Config_v3!$B$4+T4451*Model_Config_v3!$B$5)),0)</x:f>
        <x:v>607</x:v>
      </x:c>
      <x:c r="J4451" s="18" t="n">
        <x:f>MIN(Model_Config_v3!$B$6,I4451+Model_Config_v3!$B$7)</x:f>
        <x:v>627</x:v>
      </x:c>
      <x:c r="K4451" s="20" t="n">
        <x:v>38.9</x:v>
      </x:c>
      <x:c r="L4451" t="str">
        <x:v>RELATIF LONGGAR</x:v>
      </x:c>
      <x:c r="M4451" t="str">
        <x:v>SEDANG</x:v>
      </x:c>
      <x:c r="N4451" t="str">
        <x:v>REGULER</x:v>
      </x:c>
      <x:c r="O4451" t="str">
        <x:v>CAMPURAN</x:v>
      </x:c>
      <x:c r="P4451" t="str">
        <x:v>UMUM</x:v>
      </x:c>
      <x:c r="Q4451" s="18" t="n">
        <x:v>0</x:v>
      </x:c>
      <x:c r="R4451" s="18" t="n">
        <x:v>0</x:v>
      </x:c>
      <x:c r="S4451" s="18" t="n">
        <x:v>533.7432610269129</x:v>
      </x:c>
      <x:c r="T4451" s="18" t="n">
        <x:v>638</x:v>
      </x:c>
      <x:c r="U4451" s="18" t="n">
        <x:v>533.7432610269129</x:v>
      </x:c>
      <x:c r="V4451" s="20" t="n">
        <x:v>8.8</x:v>
      </x:c>
      <x:c r="W4451" s="20" t="n">
        <x:v>9.9</x:v>
      </x:c>
      <x:c r="X4451" s="20" t="n">
        <x:v>3.3</x:v>
      </x:c>
      <x:c r="Y4451" t="str">
        <x:v>Basis arsip 2025/2024</x:v>
      </x:c>
      <x:c r="Z4451" t="str">
        <x:v>https://snpmb.id/utbk-snbt/daya-tampung-snbt</x:v>
      </x:c>
      <x:c r="AA4451" t="str">
        <x:v>Tidak Ada</x:v>
      </x:c>
      <x:c r="AB4451" t="str">
        <x:v>Campus=55; Ratio=7.4; Prodi=40; RelDemand=21.1; Capacity=77.5</x:v>
      </x:c>
    </x:row>
    <x:row r="4452">
      <x:c r="A4452" t="n">
        <x:v>4449</x:v>
      </x:c>
      <x:c r="B4452" t="str">
        <x:v>PTN Vokasi</x:v>
      </x:c>
      <x:c r="C4452" t="str">
        <x:v>POLITEKNIK NEGERI PONTIANAK</x:v>
      </x:c>
      <x:c r="D4452" t="str">
        <x:v>TEKNOLOGI REKAYASA KONSTRUKSI JALAN DAN JEMBATAN</x:v>
      </x:c>
      <x:c r="E4452" t="str">
        <x:v>Sarjana Terapan</x:v>
      </x:c>
      <x:c r="F4452" s="18" t="n">
        <x:v>27</x:v>
      </x:c>
      <x:c r="G4452" s="18" t="n">
        <x:v>45</x:v>
      </x:c>
      <x:c r="H4452" s="19" t="n">
        <x:v>1.6666666666666667</x:v>
      </x:c>
      <x:c r="I4452" s="18" t="n">
        <x:f>ROUND(MIN(Model_Config_v3!$B$6,MAX(Q4452,R4452,S4452*Model_Config_v3!$B$4+T4452*Model_Config_v3!$B$5)),0)</x:f>
        <x:v>613</x:v>
      </x:c>
      <x:c r="J4452" s="18" t="n">
        <x:f>MIN(Model_Config_v3!$B$6,I4452+Model_Config_v3!$B$7)</x:f>
        <x:v>633</x:v>
      </x:c>
      <x:c r="K4452" s="20" t="n">
        <x:v>40.9</x:v>
      </x:c>
      <x:c r="L4452" t="str">
        <x:v>RELATIF LONGGAR</x:v>
      </x:c>
      <x:c r="M4452" t="str">
        <x:v>SEDANG</x:v>
      </x:c>
      <x:c r="N4452" t="str">
        <x:v>REGULER</x:v>
      </x:c>
      <x:c r="O4452" t="str">
        <x:v>SAINTEK</x:v>
      </x:c>
      <x:c r="P4452" t="str">
        <x:v>UMUM</x:v>
      </x:c>
      <x:c r="Q4452" s="18" t="n">
        <x:v>0</x:v>
      </x:c>
      <x:c r="R4452" s="18" t="n">
        <x:v>0</x:v>
      </x:c>
      <x:c r="S4452" s="18" t="n">
        <x:v>544.4033624577992</x:v>
      </x:c>
      <x:c r="T4452" s="18" t="n">
        <x:v>642</x:v>
      </x:c>
      <x:c r="U4452" s="18" t="n">
        <x:v>544.4033624577992</x:v>
      </x:c>
      <x:c r="V4452" s="20" t="n">
        <x:v>12</x:v>
      </x:c>
      <x:c r="W4452" s="20" t="n">
        <x:v>5</x:v>
      </x:c>
      <x:c r="X4452" s="20" t="n">
        <x:v>3</x:v>
      </x:c>
      <x:c r="Y4452" t="str">
        <x:v>Basis arsip 2025/2024</x:v>
      </x:c>
      <x:c r="Z4452" t="str">
        <x:v>https://snpmb.id/utbk-snbt/daya-tampung-snbt</x:v>
      </x:c>
      <x:c r="AA4452" t="str">
        <x:v>Tidak Ada</x:v>
      </x:c>
      <x:c r="AB4452" t="str">
        <x:v>Campus=55; Ratio=13.1; Prodi=40; RelDemand=26.4; Capacity=77.5</x:v>
      </x:c>
    </x:row>
    <x:row r="4453">
      <x:c r="A4453" t="n">
        <x:v>4450</x:v>
      </x:c>
      <x:c r="B4453" t="str">
        <x:v>PTN Vokasi</x:v>
      </x:c>
      <x:c r="C4453" t="str">
        <x:v>POLITEKNIK NEGERI PONTIANAK</x:v>
      </x:c>
      <x:c r="D4453" t="str">
        <x:v>AKUNTANSI SEKTOR PUBLIK (KAMPUS KAB.SUKAMARA)</x:v>
      </x:c>
      <x:c r="E4453" t="str">
        <x:v>Sarjana Terapan</x:v>
      </x:c>
      <x:c r="F4453" s="18" t="n">
        <x:v>27</x:v>
      </x:c>
      <x:c r="G4453" s="18" t="n">
        <x:v>2</x:v>
      </x:c>
      <x:c r="H4453" s="19" t="n">
        <x:v>0.07407407407407407</x:v>
      </x:c>
      <x:c r="I4453" s="18" t="n">
        <x:f>ROUND(MIN(Model_Config_v3!$B$6,MAX(Q4453,R4453,S4453*Model_Config_v3!$B$4+T4453*Model_Config_v3!$B$5)),0)</x:f>
        <x:v>604</x:v>
      </x:c>
      <x:c r="J4453" s="18" t="n">
        <x:f>MIN(Model_Config_v3!$B$6,I4453+Model_Config_v3!$B$7)</x:f>
        <x:v>624</x:v>
      </x:c>
      <x:c r="K4453" s="20" t="n">
        <x:v>40.1</x:v>
      </x:c>
      <x:c r="L4453" t="str">
        <x:v>RELATIF LONGGAR</x:v>
      </x:c>
      <x:c r="M4453" t="str">
        <x:v>SEDANG+</x:v>
      </x:c>
      <x:c r="N4453" t="str">
        <x:v>REGULER</x:v>
      </x:c>
      <x:c r="O4453" t="str">
        <x:v>SOSHUM</x:v>
      </x:c>
      <x:c r="P4453" t="str">
        <x:v>BISNIS/EKONOMI/AKUNTANSI</x:v>
      </x:c>
      <x:c r="Q4453" s="18" t="n">
        <x:v>0</x:v>
      </x:c>
      <x:c r="R4453" s="18" t="n">
        <x:v>0</x:v>
      </x:c>
      <x:c r="S4453" s="18" t="n">
        <x:v>520</x:v>
      </x:c>
      <x:c r="T4453" s="18" t="n">
        <x:v>640</x:v>
      </x:c>
      <x:c r="U4453" s="18" t="n">
        <x:v>520</x:v>
      </x:c>
      <x:c r="V4453" s="20" t="n">
        <x:v>4.4</x:v>
      </x:c>
      <x:c r="W4453" s="20" t="n">
        <x:v>14.3</x:v>
      </x:c>
      <x:c r="X4453" s="20" t="n">
        <x:v>3.3</x:v>
      </x:c>
      <x:c r="Y4453" t="str">
        <x:v>Basis arsip 2025/2024</x:v>
      </x:c>
      <x:c r="Z4453" t="str">
        <x:v>https://snpmb.id/utbk-snbt/daya-tampung-snbt</x:v>
      </x:c>
      <x:c r="AA4453" t="str">
        <x:v>Tidak Ada</x:v>
      </x:c>
      <x:c r="AB4453" t="str">
        <x:v>Campus=55; Ratio=0.0; Prodi=65; RelDemand=1.2; Capacity=77.5</x:v>
      </x:c>
    </x:row>
    <x:row r="4454">
      <x:c r="A4454" t="n">
        <x:v>4451</x:v>
      </x:c>
      <x:c r="B4454" t="str">
        <x:v>PTN Vokasi</x:v>
      </x:c>
      <x:c r="C4454" t="str">
        <x:v>POLITEKNIK NEGERI PONTIANAK</x:v>
      </x:c>
      <x:c r="D4454" t="str">
        <x:v>PENGOLAHAN DAN PENYIMPANAN HASIL PERIKANAN</x:v>
      </x:c>
      <x:c r="E4454" t="str">
        <x:v>Sarjana Terapan</x:v>
      </x:c>
      <x:c r="F4454" s="18" t="n">
        <x:v>26</x:v>
      </x:c>
      <x:c r="G4454" s="18" t="n">
        <x:v>19</x:v>
      </x:c>
      <x:c r="H4454" s="19" t="n">
        <x:v>0.7307692307692307</x:v>
      </x:c>
      <x:c r="I4454" s="18" t="n">
        <x:f>ROUND(MIN(Model_Config_v3!$B$6,MAX(Q4454,R4454,S4454*Model_Config_v3!$B$4+T4454*Model_Config_v3!$B$5)),0)</x:f>
        <x:v>598</x:v>
      </x:c>
      <x:c r="J4454" s="18" t="n">
        <x:f>MIN(Model_Config_v3!$B$6,I4454+Model_Config_v3!$B$7)</x:f>
        <x:v>618</x:v>
      </x:c>
      <x:c r="K4454" s="20" t="n">
        <x:v>36.2</x:v>
      </x:c>
      <x:c r="L4454" t="str">
        <x:v>RELATIF LONGGAR</x:v>
      </x:c>
      <x:c r="M4454" t="str">
        <x:v>SEDANG</x:v>
      </x:c>
      <x:c r="N4454" t="str">
        <x:v>REGULER</x:v>
      </x:c>
      <x:c r="O4454" t="str">
        <x:v>SAINTEK</x:v>
      </x:c>
      <x:c r="P4454" t="str">
        <x:v>UMUM</x:v>
      </x:c>
      <x:c r="Q4454" s="18" t="n">
        <x:v>0</x:v>
      </x:c>
      <x:c r="R4454" s="18" t="n">
        <x:v>0</x:v>
      </x:c>
      <x:c r="S4454" s="18" t="n">
        <x:v>520</x:v>
      </x:c>
      <x:c r="T4454" s="18" t="n">
        <x:v>632</x:v>
      </x:c>
      <x:c r="U4454" s="18" t="n">
        <x:v>520</x:v>
      </x:c>
      <x:c r="V4454" s="20" t="n">
        <x:v>12</x:v>
      </x:c>
      <x:c r="W4454" s="20" t="n">
        <x:v>5</x:v>
      </x:c>
      <x:c r="X4454" s="20" t="n">
        <x:v>3</x:v>
      </x:c>
      <x:c r="Y4454" t="str">
        <x:v>Basis arsip 2025/2024</x:v>
      </x:c>
      <x:c r="Z4454" t="str">
        <x:v>https://snpmb.id/utbk-snbt/daya-tampung-snbt</x:v>
      </x:c>
      <x:c r="AA4454" t="str">
        <x:v>Tidak Ada</x:v>
      </x:c>
      <x:c r="AB4454" t="str">
        <x:v>Campus=55; Ratio=0.0; Prodi=40; RelDemand=11.6; Capacity=78.3</x:v>
      </x:c>
    </x:row>
    <x:row r="4455">
      <x:c r="A4455" t="n">
        <x:v>4452</x:v>
      </x:c>
      <x:c r="B4455" t="str">
        <x:v>PTN Vokasi</x:v>
      </x:c>
      <x:c r="C4455" t="str">
        <x:v>POLITEKNIK NEGERI PONTIANAK</x:v>
      </x:c>
      <x:c r="D4455" t="str">
        <x:v>AKUNTANSI PERPAJAKAN</x:v>
      </x:c>
      <x:c r="E4455" t="str">
        <x:v>Sarjana Terapan</x:v>
      </x:c>
      <x:c r="F4455" s="18" t="n">
        <x:v>31</x:v>
      </x:c>
      <x:c r="G4455" s="18" t="n">
        <x:v>361</x:v>
      </x:c>
      <x:c r="H4455" s="19" t="n">
        <x:v>11.64516129032258</x:v>
      </x:c>
      <x:c r="I4455" s="18" t="n">
        <x:f>ROUND(MIN(Model_Config_v3!$B$6,MAX(Q4455,R4455,S4455*Model_Config_v3!$B$4+T4455*Model_Config_v3!$B$5)),0)</x:f>
        <x:v>675</x:v>
      </x:c>
      <x:c r="J4455" s="18" t="n">
        <x:f>MIN(Model_Config_v3!$B$6,I4455+Model_Config_v3!$B$7)</x:f>
        <x:v>695</x:v>
      </x:c>
      <x:c r="K4455" s="20" t="n">
        <x:v>65.4</x:v>
      </x:c>
      <x:c r="L4455" t="str">
        <x:v>SANGAT KETAT</x:v>
      </x:c>
      <x:c r="M4455" t="str">
        <x:v>SEDANG+</x:v>
      </x:c>
      <x:c r="N4455" t="str">
        <x:v>REGULER</x:v>
      </x:c>
      <x:c r="O4455" t="str">
        <x:v>SOSHUM</x:v>
      </x:c>
      <x:c r="P4455" t="str">
        <x:v>BISNIS/EKONOMI/AKUNTANSI</x:v>
      </x:c>
      <x:c r="Q4455" s="18" t="n">
        <x:v>0</x:v>
      </x:c>
      <x:c r="R4455" s="18" t="n">
        <x:v>0</x:v>
      </x:c>
      <x:c r="S4455" s="18" t="n">
        <x:v>637.2760058878523</x:v>
      </x:c>
      <x:c r="T4455" s="18" t="n">
        <x:v>691</x:v>
      </x:c>
      <x:c r="U4455" s="18" t="n">
        <x:v>637.2760058878523</x:v>
      </x:c>
      <x:c r="V4455" s="20" t="n">
        <x:v>4.4</x:v>
      </x:c>
      <x:c r="W4455" s="20" t="n">
        <x:v>14.3</x:v>
      </x:c>
      <x:c r="X4455" s="20" t="n">
        <x:v>3.3</x:v>
      </x:c>
      <x:c r="Y4455" t="str">
        <x:v>Basis arsip 2025/2024</x:v>
      </x:c>
      <x:c r="Z4455" t="str">
        <x:v>https://snpmb.id/utbk-snbt/daya-tampung-snbt</x:v>
      </x:c>
      <x:c r="AA4455" t="str">
        <x:v>Tidak Ada</x:v>
      </x:c>
      <x:c r="AB4455" t="str">
        <x:v>Campus=55; Ratio=62.8; Prodi=65; RelDemand=100.0; Capacity=74.2</x:v>
      </x:c>
    </x:row>
    <x:row r="4456">
      <x:c r="A4456" t="n">
        <x:v>4453</x:v>
      </x:c>
      <x:c r="B4456" t="str">
        <x:v>PTN Vokasi</x:v>
      </x:c>
      <x:c r="C4456" t="str">
        <x:v>POLITEKNIK NEGERI PONTIANAK</x:v>
      </x:c>
      <x:c r="D4456" t="str">
        <x:v>PERBANKAN DAN KEUANGAN DIGITAL</x:v>
      </x:c>
      <x:c r="E4456" t="str">
        <x:v>Sarjana Terapan</x:v>
      </x:c>
      <x:c r="F4456" s="18" t="n">
        <x:v>31</x:v>
      </x:c>
      <x:c r="G4456" s="18" t="n">
        <x:v>223</x:v>
      </x:c>
      <x:c r="H4456" s="19" t="n">
        <x:v>7.193548387096774</x:v>
      </x:c>
      <x:c r="I4456" s="18" t="n">
        <x:f>ROUND(MIN(Model_Config_v3!$B$6,MAX(Q4456,R4456,S4456*Model_Config_v3!$B$4+T4456*Model_Config_v3!$B$5)),0)</x:f>
        <x:v>657</x:v>
      </x:c>
      <x:c r="J4456" s="18" t="n">
        <x:f>MIN(Model_Config_v3!$B$6,I4456+Model_Config_v3!$B$7)</x:f>
        <x:v>677</x:v>
      </x:c>
      <x:c r="K4456" s="20" t="n">
        <x:v>57.3</x:v>
      </x:c>
      <x:c r="L4456" t="str">
        <x:v>KETAT</x:v>
      </x:c>
      <x:c r="M4456" t="str">
        <x:v>SEDANG</x:v>
      </x:c>
      <x:c r="N4456" t="str">
        <x:v>REGULER</x:v>
      </x:c>
      <x:c r="O4456" t="str">
        <x:v>CAMPURAN</x:v>
      </x:c>
      <x:c r="P4456" t="str">
        <x:v>UMUM</x:v>
      </x:c>
      <x:c r="Q4456" s="18" t="n">
        <x:v>0</x:v>
      </x:c>
      <x:c r="R4456" s="18" t="n">
        <x:v>0</x:v>
      </x:c>
      <x:c r="S4456" s="18" t="n">
        <x:v>614.2637486135277</x:v>
      </x:c>
      <x:c r="T4456" s="18" t="n">
        <x:v>675</x:v>
      </x:c>
      <x:c r="U4456" s="18" t="n">
        <x:v>614.2637486135277</x:v>
      </x:c>
      <x:c r="V4456" s="20" t="n">
        <x:v>8.8</x:v>
      </x:c>
      <x:c r="W4456" s="20" t="n">
        <x:v>9.9</x:v>
      </x:c>
      <x:c r="X4456" s="20" t="n">
        <x:v>3.3</x:v>
      </x:c>
      <x:c r="Y4456" t="str">
        <x:v>Basis arsip 2025/2024</x:v>
      </x:c>
      <x:c r="Z4456" t="str">
        <x:v>https://snpmb.id/utbk-snbt/daya-tampung-snbt</x:v>
      </x:c>
      <x:c r="AA4456" t="str">
        <x:v>Tidak Ada</x:v>
      </x:c>
      <x:c r="AB4456" t="str">
        <x:v>Campus=55; Ratio=50.4; Prodi=40; RelDemand=100.0; Capacity=74.2</x:v>
      </x:c>
    </x:row>
    <x:row r="4457">
      <x:c r="A4457" t="n">
        <x:v>4454</x:v>
      </x:c>
      <x:c r="B4457" t="str">
        <x:v>PTN Vokasi</x:v>
      </x:c>
      <x:c r="C4457" t="str">
        <x:v>POLITEKNIK NEGERI PONTIANAK</x:v>
      </x:c>
      <x:c r="D4457" t="str">
        <x:v>BUDIDAYA PERIKANAN</x:v>
      </x:c>
      <x:c r="E4457" t="str">
        <x:v>Diploma Tiga</x:v>
      </x:c>
      <x:c r="F4457" s="18" t="n">
        <x:v>33</x:v>
      </x:c>
      <x:c r="G4457" s="18" t="n">
        <x:v>62</x:v>
      </x:c>
      <x:c r="H4457" s="19" t="n">
        <x:v>1.878787878787879</x:v>
      </x:c>
      <x:c r="I4457" s="18" t="n">
        <x:f>ROUND(MIN(Model_Config_v3!$B$6,MAX(Q4457,R4457,S4457*Model_Config_v3!$B$4+T4457*Model_Config_v3!$B$5)),0)</x:f>
        <x:v>615</x:v>
      </x:c>
      <x:c r="J4457" s="18" t="n">
        <x:f>MIN(Model_Config_v3!$B$6,I4457+Model_Config_v3!$B$7)</x:f>
        <x:v>635</x:v>
      </x:c>
      <x:c r="K4457" s="20" t="n">
        <x:v>41.5</x:v>
      </x:c>
      <x:c r="L4457" t="str">
        <x:v>RELATIF LONGGAR</x:v>
      </x:c>
      <x:c r="M4457" t="str">
        <x:v>SEDANG</x:v>
      </x:c>
      <x:c r="N4457" t="str">
        <x:v>REGULER</x:v>
      </x:c>
      <x:c r="O4457" t="str">
        <x:v>SAINTEK</x:v>
      </x:c>
      <x:c r="P4457" t="str">
        <x:v>UMUM</x:v>
      </x:c>
      <x:c r="Q4457" s="18" t="n">
        <x:v>0</x:v>
      </x:c>
      <x:c r="R4457" s="18" t="n">
        <x:v>0</x:v>
      </x:c>
      <x:c r="S4457" s="18" t="n">
        <x:v>550.1265524582403</x:v>
      </x:c>
      <x:c r="T4457" s="18" t="n">
        <x:v>643</x:v>
      </x:c>
      <x:c r="U4457" s="18" t="n">
        <x:v>550.1265524582403</x:v>
      </x:c>
      <x:c r="V4457" s="20" t="n">
        <x:v>12</x:v>
      </x:c>
      <x:c r="W4457" s="20" t="n">
        <x:v>5</x:v>
      </x:c>
      <x:c r="X4457" s="20" t="n">
        <x:v>3</x:v>
      </x:c>
      <x:c r="Y4457" t="str">
        <x:v>Basis arsip 2025/2024</x:v>
      </x:c>
      <x:c r="Z4457" t="str">
        <x:v>https://snpmb.id/utbk-snbt/daya-tampung-snbt</x:v>
      </x:c>
      <x:c r="AA4457" t="str">
        <x:v>Tidak Ada</x:v>
      </x:c>
      <x:c r="AB4457" t="str">
        <x:v>Campus=55; Ratio=16.1; Prodi=40; RelDemand=29.7; Capacity=72.5</x:v>
      </x:c>
    </x:row>
    <x:row r="4458">
      <x:c r="A4458" t="n">
        <x:v>4455</x:v>
      </x:c>
      <x:c r="B4458" t="str">
        <x:v>PTN Vokasi</x:v>
      </x:c>
      <x:c r="C4458" t="str">
        <x:v>POLITEKNIK NEGERI PONTIANAK</x:v>
      </x:c>
      <x:c r="D4458" t="str">
        <x:v>TEKNOLOGI BUDIDAYA PERIKANAN K. KAB. KAPUAS HULU</x:v>
      </x:c>
      <x:c r="E4458" t="str">
        <x:v>Diploma Tiga</x:v>
      </x:c>
      <x:c r="F4458" s="18" t="n">
        <x:v>22</x:v>
      </x:c>
      <x:c r="G4458" s="18" t="n">
        <x:v>7</x:v>
      </x:c>
      <x:c r="H4458" s="19" t="n">
        <x:v>0.3181818181818182</x:v>
      </x:c>
      <x:c r="I4458" s="18" t="n">
        <x:f>ROUND(MIN(Model_Config_v3!$B$6,MAX(Q4458,R4458,S4458*Model_Config_v3!$B$4+T4458*Model_Config_v3!$B$5)),0)</x:f>
        <x:v>598</x:v>
      </x:c>
      <x:c r="J4458" s="18" t="n">
        <x:f>MIN(Model_Config_v3!$B$6,I4458+Model_Config_v3!$B$7)</x:f>
        <x:v>618</x:v>
      </x:c>
      <x:c r="K4458" s="20" t="n">
        <x:v>35.9</x:v>
      </x:c>
      <x:c r="L4458" t="str">
        <x:v>RELATIF LONGGAR</x:v>
      </x:c>
      <x:c r="M4458" t="str">
        <x:v>SEDANG</x:v>
      </x:c>
      <x:c r="N4458" t="str">
        <x:v>REGULER</x:v>
      </x:c>
      <x:c r="O4458" t="str">
        <x:v>SAINTEK</x:v>
      </x:c>
      <x:c r="P4458" t="str">
        <x:v>UMUM</x:v>
      </x:c>
      <x:c r="Q4458" s="18" t="n">
        <x:v>0</x:v>
      </x:c>
      <x:c r="R4458" s="18" t="n">
        <x:v>0</x:v>
      </x:c>
      <x:c r="S4458" s="18" t="n">
        <x:v>520</x:v>
      </x:c>
      <x:c r="T4458" s="18" t="n">
        <x:v>632</x:v>
      </x:c>
      <x:c r="U4458" s="18" t="n">
        <x:v>520</x:v>
      </x:c>
      <x:c r="V4458" s="20" t="n">
        <x:v>12</x:v>
      </x:c>
      <x:c r="W4458" s="20" t="n">
        <x:v>5</x:v>
      </x:c>
      <x:c r="X4458" s="20" t="n">
        <x:v>3</x:v>
      </x:c>
      <x:c r="Y4458" t="str">
        <x:v>Basis arsip 2025/2024</x:v>
      </x:c>
      <x:c r="Z4458" t="str">
        <x:v>https://snpmb.id/utbk-snbt/daya-tampung-snbt</x:v>
      </x:c>
      <x:c r="AA4458" t="str">
        <x:v>Tidak Ada</x:v>
      </x:c>
      <x:c r="AB4458" t="str">
        <x:v>Campus=55; Ratio=0.0; Prodi=40; RelDemand=5.0; Capacity=81.7</x:v>
      </x:c>
    </x:row>
    <x:row r="4459">
      <x:c r="A4459" t="n">
        <x:v>4456</x:v>
      </x:c>
      <x:c r="B4459" t="str">
        <x:v>PTN Vokasi</x:v>
      </x:c>
      <x:c r="C4459" t="str">
        <x:v>POLITEKNIK NEGERI PONTIANAK</x:v>
      </x:c>
      <x:c r="D4459" t="str">
        <x:v>PENGELOLAAN HASIL PERKEBUNAN (KAMPUS KAB. SANGGAU)</x:v>
      </x:c>
      <x:c r="E4459" t="str">
        <x:v>Diploma Tiga</x:v>
      </x:c>
      <x:c r="F4459" s="18" t="n">
        <x:v>27</x:v>
      </x:c>
      <x:c r="G4459" s="18" t="n">
        <x:v>21</x:v>
      </x:c>
      <x:c r="H4459" s="19" t="n">
        <x:v>0.7777777777777778</x:v>
      </x:c>
      <x:c r="I4459" s="18" t="n">
        <x:f>ROUND(MIN(Model_Config_v3!$B$6,MAX(Q4459,R4459,S4459*Model_Config_v3!$B$4+T4459*Model_Config_v3!$B$5)),0)</x:f>
        <x:v>598</x:v>
      </x:c>
      <x:c r="J4459" s="18" t="n">
        <x:f>MIN(Model_Config_v3!$B$6,I4459+Model_Config_v3!$B$7)</x:f>
        <x:v>618</x:v>
      </x:c>
      <x:c r="K4459" s="20" t="n">
        <x:v>36.2</x:v>
      </x:c>
      <x:c r="L4459" t="str">
        <x:v>RELATIF LONGGAR</x:v>
      </x:c>
      <x:c r="M4459" t="str">
        <x:v>SEDANG</x:v>
      </x:c>
      <x:c r="N4459" t="str">
        <x:v>REGULER</x:v>
      </x:c>
      <x:c r="O4459" t="str">
        <x:v>CAMPURAN</x:v>
      </x:c>
      <x:c r="P4459" t="str">
        <x:v>UMUM</x:v>
      </x:c>
      <x:c r="Q4459" s="18" t="n">
        <x:v>0</x:v>
      </x:c>
      <x:c r="R4459" s="18" t="n">
        <x:v>0</x:v>
      </x:c>
      <x:c r="S4459" s="18" t="n">
        <x:v>520</x:v>
      </x:c>
      <x:c r="T4459" s="18" t="n">
        <x:v>632</x:v>
      </x:c>
      <x:c r="U4459" s="18" t="n">
        <x:v>520</x:v>
      </x:c>
      <x:c r="V4459" s="20" t="n">
        <x:v>8.8</x:v>
      </x:c>
      <x:c r="W4459" s="20" t="n">
        <x:v>9.9</x:v>
      </x:c>
      <x:c r="X4459" s="20" t="n">
        <x:v>3.3</x:v>
      </x:c>
      <x:c r="Y4459" t="str">
        <x:v>Basis arsip 2025/2024</x:v>
      </x:c>
      <x:c r="Z4459" t="str">
        <x:v>https://snpmb.id/utbk-snbt/daya-tampung-snbt</x:v>
      </x:c>
      <x:c r="AA4459" t="str">
        <x:v>Tidak Ada</x:v>
      </x:c>
      <x:c r="AB4459" t="str">
        <x:v>Campus=55; Ratio=0.0; Prodi=40; RelDemand=12.3; Capacity=77.5</x:v>
      </x:c>
    </x:row>
    <x:row r="4460">
      <x:c r="A4460" t="n">
        <x:v>4457</x:v>
      </x:c>
      <x:c r="B4460" t="str">
        <x:v>PTN Vokasi</x:v>
      </x:c>
      <x:c r="C4460" t="str">
        <x:v>POLITEKNIK NEGERI PONTIANAK</x:v>
      </x:c>
      <x:c r="D4460" t="str">
        <x:v>TEKNIK INFORMATIKA</x:v>
      </x:c>
      <x:c r="E4460" t="str">
        <x:v>Diploma Tiga</x:v>
      </x:c>
      <x:c r="F4460" s="18" t="n">
        <x:v>68</x:v>
      </x:c>
      <x:c r="G4460" s="18" t="n">
        <x:v>698</x:v>
      </x:c>
      <x:c r="H4460" s="19" t="n">
        <x:v>10.264705882352942</x:v>
      </x:c>
      <x:c r="I4460" s="18" t="n">
        <x:f>ROUND(MIN(Model_Config_v3!$B$6,MAX(Q4460,R4460,S4460*Model_Config_v3!$B$4+T4460*Model_Config_v3!$B$5)),0)</x:f>
        <x:v>673</x:v>
      </x:c>
      <x:c r="J4460" s="18" t="n">
        <x:f>MIN(Model_Config_v3!$B$6,I4460+Model_Config_v3!$B$7)</x:f>
        <x:v>693</x:v>
      </x:c>
      <x:c r="K4460" s="20" t="n">
        <x:v>65.5</x:v>
      </x:c>
      <x:c r="L4460" t="str">
        <x:v>SANGAT KETAT</x:v>
      </x:c>
      <x:c r="M4460" t="str">
        <x:v>SEDANG+</x:v>
      </x:c>
      <x:c r="N4460" t="str">
        <x:v>REGULER</x:v>
      </x:c>
      <x:c r="O4460" t="str">
        <x:v>SAINTEK</x:v>
      </x:c>
      <x:c r="P4460" t="str">
        <x:v>KOMPUTER/INFORMATIKA</x:v>
      </x:c>
      <x:c r="Q4460" s="18" t="n">
        <x:v>0</x:v>
      </x:c>
      <x:c r="R4460" s="18" t="n">
        <x:v>0</x:v>
      </x:c>
      <x:c r="S4460" s="18" t="n">
        <x:v>631.2481160908617</x:v>
      </x:c>
      <x:c r="T4460" s="18" t="n">
        <x:v>691</x:v>
      </x:c>
      <x:c r="U4460" s="18" t="n">
        <x:v>656.2481160908617</x:v>
      </x:c>
      <x:c r="V4460" s="20" t="n">
        <x:v>12</x:v>
      </x:c>
      <x:c r="W4460" s="20" t="n">
        <x:v>5</x:v>
      </x:c>
      <x:c r="X4460" s="20" t="n">
        <x:v>3</x:v>
      </x:c>
      <x:c r="Y4460" t="str">
        <x:v>Basis arsip 2025/2024</x:v>
      </x:c>
      <x:c r="Z4460" t="str">
        <x:v>https://snpmb.id/utbk-snbt/daya-tampung-snbt</x:v>
      </x:c>
      <x:c r="AA4460" t="str">
        <x:v>Tidak Ada</x:v>
      </x:c>
      <x:c r="AB4460" t="str">
        <x:v>Campus=55; Ratio=59.5; Prodi=85; RelDemand=100.0; Capacity=43.3</x:v>
      </x:c>
    </x:row>
    <x:row r="4461">
      <x:c r="A4461" t="n">
        <x:v>4458</x:v>
      </x:c>
      <x:c r="B4461" t="str">
        <x:v>PTN Vokasi</x:v>
      </x:c>
      <x:c r="C4461" t="str">
        <x:v>POLITEKNIK NEGERI PONTIANAK</x:v>
      </x:c>
      <x:c r="D4461" t="str">
        <x:v>TEKNIK LISTRIK</x:v>
      </x:c>
      <x:c r="E4461" t="str">
        <x:v>Diploma Tiga</x:v>
      </x:c>
      <x:c r="F4461" s="18" t="n">
        <x:v>36</x:v>
      </x:c>
      <x:c r="G4461" s="18" t="n">
        <x:v>102</x:v>
      </x:c>
      <x:c r="H4461" s="19" t="n">
        <x:v>2.8333333333333335</x:v>
      </x:c>
      <x:c r="I4461" s="18" t="n">
        <x:f>ROUND(MIN(Model_Config_v3!$B$6,MAX(Q4461,R4461,S4461*Model_Config_v3!$B$4+T4461*Model_Config_v3!$B$5)),0)</x:f>
        <x:v>632</x:v>
      </x:c>
      <x:c r="J4461" s="18" t="n">
        <x:f>MIN(Model_Config_v3!$B$6,I4461+Model_Config_v3!$B$7)</x:f>
        <x:v>652</x:v>
      </x:c>
      <x:c r="K4461" s="20" t="n">
        <x:v>49.4</x:v>
      </x:c>
      <x:c r="L4461" t="str">
        <x:v>MENENGAH</x:v>
      </x:c>
      <x:c r="M4461" t="str">
        <x:v>SEDANG+</x:v>
      </x:c>
      <x:c r="N4461" t="str">
        <x:v>REGULER</x:v>
      </x:c>
      <x:c r="O4461" t="str">
        <x:v>SAINTEK</x:v>
      </x:c>
      <x:c r="P4461" t="str">
        <x:v>TEKNIK/ARSITEKTUR/STATISTIKA/AKTUARIA</x:v>
      </x:c>
      <x:c r="Q4461" s="18" t="n">
        <x:v>0</x:v>
      </x:c>
      <x:c r="R4461" s="18" t="n">
        <x:v>0</x:v>
      </x:c>
      <x:c r="S4461" s="18" t="n">
        <x:v>569.7527438094094</x:v>
      </x:c>
      <x:c r="T4461" s="18" t="n">
        <x:v>659</x:v>
      </x:c>
      <x:c r="U4461" s="18" t="n">
        <x:v>579.7527438094094</x:v>
      </x:c>
      <x:c r="V4461" s="20" t="n">
        <x:v>12</x:v>
      </x:c>
      <x:c r="W4461" s="20" t="n">
        <x:v>5</x:v>
      </x:c>
      <x:c r="X4461" s="20" t="n">
        <x:v>3</x:v>
      </x:c>
      <x:c r="Y4461" t="str">
        <x:v>Basis arsip 2025/2024</x:v>
      </x:c>
      <x:c r="Z4461" t="str">
        <x:v>https://snpmb.id/utbk-snbt/daya-tampung-snbt</x:v>
      </x:c>
      <x:c r="AA4461" t="str">
        <x:v>Tidak Ada</x:v>
      </x:c>
      <x:c r="AB4461" t="str">
        <x:v>Campus=55; Ratio=26.6; Prodi=60; RelDemand=44.8; Capacity=70.0</x:v>
      </x:c>
    </x:row>
    <x:row r="4462">
      <x:c r="A4462" t="n">
        <x:v>4459</x:v>
      </x:c>
      <x:c r="B4462" t="str">
        <x:v>PTN Vokasi</x:v>
      </x:c>
      <x:c r="C4462" t="str">
        <x:v>POLITEKNIK NEGERI PONTIANAK</x:v>
      </x:c>
      <x:c r="D4462" t="str">
        <x:v>ADMINISTRASI BISNIS</x:v>
      </x:c>
      <x:c r="E4462" t="str">
        <x:v>Diploma Tiga</x:v>
      </x:c>
      <x:c r="F4462" s="18" t="n">
        <x:v>82</x:v>
      </x:c>
      <x:c r="G4462" s="18" t="n">
        <x:v>1001</x:v>
      </x:c>
      <x:c r="H4462" s="19" t="n">
        <x:v>12.207317073170731</x:v>
      </x:c>
      <x:c r="I4462" s="18" t="n">
        <x:f>ROUND(MIN(Model_Config_v3!$B$6,MAX(Q4462,R4462,S4462*Model_Config_v3!$B$4+T4462*Model_Config_v3!$B$5)),0)</x:f>
        <x:v>670</x:v>
      </x:c>
      <x:c r="J4462" s="18" t="n">
        <x:f>MIN(Model_Config_v3!$B$6,I4462+Model_Config_v3!$B$7)</x:f>
        <x:v>690</x:v>
      </x:c>
      <x:c r="K4462" s="20" t="n">
        <x:v>61.4</x:v>
      </x:c>
      <x:c r="L4462" t="str">
        <x:v>KETAT</x:v>
      </x:c>
      <x:c r="M4462" t="str">
        <x:v>SEDANG+</x:v>
      </x:c>
      <x:c r="N4462" t="str">
        <x:v>REGULER</x:v>
      </x:c>
      <x:c r="O4462" t="str">
        <x:v>SOSHUM</x:v>
      </x:c>
      <x:c r="P4462" t="str">
        <x:v>BISNIS/EKONOMI/AKUNTANSI</x:v>
      </x:c>
      <x:c r="Q4462" s="18" t="n">
        <x:v>0</x:v>
      </x:c>
      <x:c r="R4462" s="18" t="n">
        <x:v>0</x:v>
      </x:c>
      <x:c r="S4462" s="18" t="n">
        <x:v>639.5282247605162</x:v>
      </x:c>
      <x:c r="T4462" s="18" t="n">
        <x:v>683</x:v>
      </x:c>
      <x:c r="U4462" s="18" t="n">
        <x:v>654.5282247605162</x:v>
      </x:c>
      <x:c r="V4462" s="20" t="n">
        <x:v>4.4</x:v>
      </x:c>
      <x:c r="W4462" s="20" t="n">
        <x:v>14.3</x:v>
      </x:c>
      <x:c r="X4462" s="20" t="n">
        <x:v>3.3</x:v>
      </x:c>
      <x:c r="Y4462" t="str">
        <x:v>Basis arsip 2025/2024</x:v>
      </x:c>
      <x:c r="Z4462" t="str">
        <x:v>https://snpmb.id/utbk-snbt/daya-tampung-snbt</x:v>
      </x:c>
      <x:c r="AA4462" t="str">
        <x:v>Tidak Ada</x:v>
      </x:c>
      <x:c r="AB4462" t="str">
        <x:v>Campus=55; Ratio=64.0; Prodi=65; RelDemand=100.0; Capacity=31.7</x:v>
      </x:c>
    </x:row>
    <x:row r="4463">
      <x:c r="A4463" t="n">
        <x:v>4460</x:v>
      </x:c>
      <x:c r="B4463" t="str">
        <x:v>PTN Vokasi</x:v>
      </x:c>
      <x:c r="C4463" t="str">
        <x:v>POLITEKNIK NEGERI PONTIANAK</x:v>
      </x:c>
      <x:c r="D4463" t="str">
        <x:v>TEKNIK MESIN</x:v>
      </x:c>
      <x:c r="E4463" t="str">
        <x:v>Diploma Tiga</x:v>
      </x:c>
      <x:c r="F4463" s="18" t="n">
        <x:v>41</x:v>
      </x:c>
      <x:c r="G4463" s="18" t="n">
        <x:v>140</x:v>
      </x:c>
      <x:c r="H4463" s="19" t="n">
        <x:v>3.4146341463414633</x:v>
      </x:c>
      <x:c r="I4463" s="18" t="n">
        <x:f>ROUND(MIN(Model_Config_v3!$B$6,MAX(Q4463,R4463,S4463*Model_Config_v3!$B$4+T4463*Model_Config_v3!$B$5)),0)</x:f>
        <x:v>637</x:v>
      </x:c>
      <x:c r="J4463" s="18" t="n">
        <x:f>MIN(Model_Config_v3!$B$6,I4463+Model_Config_v3!$B$7)</x:f>
        <x:v>657</x:v>
      </x:c>
      <x:c r="K4463" s="20" t="n">
        <x:v>51.1</x:v>
      </x:c>
      <x:c r="L4463" t="str">
        <x:v>MENENGAH</x:v>
      </x:c>
      <x:c r="M4463" t="str">
        <x:v>SEDANG+</x:v>
      </x:c>
      <x:c r="N4463" t="str">
        <x:v>REGULER</x:v>
      </x:c>
      <x:c r="O4463" t="str">
        <x:v>SAINTEK</x:v>
      </x:c>
      <x:c r="P4463" t="str">
        <x:v>TEKNIK/ARSITEKTUR/STATISTIKA/AKTUARIA</x:v>
      </x:c>
      <x:c r="Q4463" s="18" t="n">
        <x:v>0</x:v>
      </x:c>
      <x:c r="R4463" s="18" t="n">
        <x:v>0</x:v>
      </x:c>
      <x:c r="S4463" s="18" t="n">
        <x:v>578.6678596854352</x:v>
      </x:c>
      <x:c r="T4463" s="18" t="n">
        <x:v>662</x:v>
      </x:c>
      <x:c r="U4463" s="18" t="n">
        <x:v>588.6678596854352</x:v>
      </x:c>
      <x:c r="V4463" s="20" t="n">
        <x:v>12</x:v>
      </x:c>
      <x:c r="W4463" s="20" t="n">
        <x:v>5</x:v>
      </x:c>
      <x:c r="X4463" s="20" t="n">
        <x:v>3</x:v>
      </x:c>
      <x:c r="Y4463" t="str">
        <x:v>Basis arsip 2025/2024</x:v>
      </x:c>
      <x:c r="Z4463" t="str">
        <x:v>https://snpmb.id/utbk-snbt/daya-tampung-snbt</x:v>
      </x:c>
      <x:c r="AA4463" t="str">
        <x:v>Tidak Ada</x:v>
      </x:c>
      <x:c r="AB4463" t="str">
        <x:v>Campus=55; Ratio=31.4; Prodi=60; RelDemand=54.0; Capacity=65.8</x:v>
      </x:c>
    </x:row>
    <x:row r="4464">
      <x:c r="A4464" t="n">
        <x:v>4461</x:v>
      </x:c>
      <x:c r="B4464" t="str">
        <x:v>PTN Vokasi</x:v>
      </x:c>
      <x:c r="C4464" t="str">
        <x:v>POLITEKNIK NEGERI PONTIANAK</x:v>
      </x:c>
      <x:c r="D4464" t="str">
        <x:v>ARSITEKTUR</x:v>
      </x:c>
      <x:c r="E4464" t="str">
        <x:v>Diploma Tiga</x:v>
      </x:c>
      <x:c r="F4464" s="18" t="n">
        <x:v>54</x:v>
      </x:c>
      <x:c r="G4464" s="18" t="n">
        <x:v>146</x:v>
      </x:c>
      <x:c r="H4464" s="19" t="n">
        <x:v>2.7037037037037037</x:v>
      </x:c>
      <x:c r="I4464" s="18" t="n">
        <x:f>ROUND(MIN(Model_Config_v3!$B$6,MAX(Q4464,R4464,S4464*Model_Config_v3!$B$4+T4464*Model_Config_v3!$B$5)),0)</x:f>
        <x:v>629</x:v>
      </x:c>
      <x:c r="J4464" s="18" t="n">
        <x:f>MIN(Model_Config_v3!$B$6,I4464+Model_Config_v3!$B$7)</x:f>
        <x:v>649</x:v>
      </x:c>
      <x:c r="K4464" s="20" t="n">
        <x:v>47.4</x:v>
      </x:c>
      <x:c r="L4464" t="str">
        <x:v>MENENGAH</x:v>
      </x:c>
      <x:c r="M4464" t="str">
        <x:v>SEDANG+</x:v>
      </x:c>
      <x:c r="N4464" t="str">
        <x:v>REGULER</x:v>
      </x:c>
      <x:c r="O4464" t="str">
        <x:v>SAINTEK</x:v>
      </x:c>
      <x:c r="P4464" t="str">
        <x:v>TEKNIK/ARSITEKTUR/STATISTIKA/AKTUARIA</x:v>
      </x:c>
      <x:c r="Q4464" s="18" t="n">
        <x:v>0</x:v>
      </x:c>
      <x:c r="R4464" s="18" t="n">
        <x:v>0</x:v>
      </x:c>
      <x:c r="S4464" s="18" t="n">
        <x:v>567.5155005557615</x:v>
      </x:c>
      <x:c r="T4464" s="18" t="n">
        <x:v>655</x:v>
      </x:c>
      <x:c r="U4464" s="18" t="n">
        <x:v>567.5155005557615</x:v>
      </x:c>
      <x:c r="V4464" s="20" t="n">
        <x:v>12</x:v>
      </x:c>
      <x:c r="W4464" s="20" t="n">
        <x:v>5</x:v>
      </x:c>
      <x:c r="X4464" s="20" t="n">
        <x:v>3</x:v>
      </x:c>
      <x:c r="Y4464" t="str">
        <x:v>Basis arsip 2025/2024</x:v>
      </x:c>
      <x:c r="Z4464" t="str">
        <x:v>https://snpmb.id/utbk-snbt/daya-tampung-snbt</x:v>
      </x:c>
      <x:c r="AA4464" t="str">
        <x:v>Tidak Ada</x:v>
      </x:c>
      <x:c r="AB4464" t="str">
        <x:v>Campus=55; Ratio=25.4; Prodi=60; RelDemand=42.8; Capacity=55.0</x:v>
      </x:c>
    </x:row>
    <x:row r="4465">
      <x:c r="A4465" t="n">
        <x:v>4462</x:v>
      </x:c>
      <x:c r="B4465" t="str">
        <x:v>PTN Vokasi</x:v>
      </x:c>
      <x:c r="C4465" t="str">
        <x:v>POLITEKNIK NEGERI PONTIANAK</x:v>
      </x:c>
      <x:c r="D4465" t="str">
        <x:v>AKUNTANSI (KAMPUS KAB. SANGGAU)</x:v>
      </x:c>
      <x:c r="E4465" t="str">
        <x:v>Diploma Tiga</x:v>
      </x:c>
      <x:c r="F4465" s="18" t="n">
        <x:v>40</x:v>
      </x:c>
      <x:c r="G4465" s="18" t="n">
        <x:v>23</x:v>
      </x:c>
      <x:c r="H4465" s="19" t="n">
        <x:v>0.575</x:v>
      </x:c>
      <x:c r="I4465" s="18" t="n">
        <x:f>ROUND(MIN(Model_Config_v3!$B$6,MAX(Q4465,R4465,S4465*Model_Config_v3!$B$4+T4465*Model_Config_v3!$B$5)),0)</x:f>
        <x:v>604</x:v>
      </x:c>
      <x:c r="J4465" s="18" t="n">
        <x:f>MIN(Model_Config_v3!$B$6,I4465+Model_Config_v3!$B$7)</x:f>
        <x:v>624</x:v>
      </x:c>
      <x:c r="K4465" s="20" t="n">
        <x:v>39.8</x:v>
      </x:c>
      <x:c r="L4465" t="str">
        <x:v>RELATIF LONGGAR</x:v>
      </x:c>
      <x:c r="M4465" t="str">
        <x:v>SEDANG+</x:v>
      </x:c>
      <x:c r="N4465" t="str">
        <x:v>REGULER</x:v>
      </x:c>
      <x:c r="O4465" t="str">
        <x:v>SOSHUM</x:v>
      </x:c>
      <x:c r="P4465" t="str">
        <x:v>BISNIS/EKONOMI/AKUNTANSI</x:v>
      </x:c>
      <x:c r="Q4465" s="18" t="n">
        <x:v>0</x:v>
      </x:c>
      <x:c r="R4465" s="18" t="n">
        <x:v>0</x:v>
      </x:c>
      <x:c r="S4465" s="18" t="n">
        <x:v>520</x:v>
      </x:c>
      <x:c r="T4465" s="18" t="n">
        <x:v>640</x:v>
      </x:c>
      <x:c r="U4465" s="18" t="n">
        <x:v>520</x:v>
      </x:c>
      <x:c r="V4465" s="20" t="n">
        <x:v>4.4</x:v>
      </x:c>
      <x:c r="W4465" s="20" t="n">
        <x:v>14.3</x:v>
      </x:c>
      <x:c r="X4465" s="20" t="n">
        <x:v>3.3</x:v>
      </x:c>
      <x:c r="Y4465" t="str">
        <x:v>Basis arsip 2025/2024</x:v>
      </x:c>
      <x:c r="Z4465" t="str">
        <x:v>https://snpmb.id/utbk-snbt/daya-tampung-snbt</x:v>
      </x:c>
      <x:c r="AA4465" t="str">
        <x:v>Tidak Ada</x:v>
      </x:c>
      <x:c r="AB4465" t="str">
        <x:v>Campus=55; Ratio=0.0; Prodi=65; RelDemand=9.1; Capacity=66.7</x:v>
      </x:c>
    </x:row>
    <x:row r="4466">
      <x:c r="A4466" t="n">
        <x:v>4463</x:v>
      </x:c>
      <x:c r="B4466" t="str">
        <x:v>PTN Vokasi</x:v>
      </x:c>
      <x:c r="C4466" t="str">
        <x:v>POLITEKNIK NEGERI PONTIANAK</x:v>
      </x:c>
      <x:c r="D4466" t="str">
        <x:v>AKUNTANSI</x:v>
      </x:c>
      <x:c r="E4466" t="str">
        <x:v>Diploma Tiga</x:v>
      </x:c>
      <x:c r="F4466" s="18" t="n">
        <x:v>95</x:v>
      </x:c>
      <x:c r="G4466" s="18" t="n">
        <x:v>610</x:v>
      </x:c>
      <x:c r="H4466" s="19" t="n">
        <x:v>6.421052631578948</x:v>
      </x:c>
      <x:c r="I4466" s="18" t="n">
        <x:f>ROUND(MIN(Model_Config_v3!$B$6,MAX(Q4466,R4466,S4466*Model_Config_v3!$B$4+T4466*Model_Config_v3!$B$5)),0)</x:f>
        <x:v>653</x:v>
      </x:c>
      <x:c r="J4466" s="18" t="n">
        <x:f>MIN(Model_Config_v3!$B$6,I4466+Model_Config_v3!$B$7)</x:f>
        <x:v>673</x:v>
      </x:c>
      <x:c r="K4466" s="20" t="n">
        <x:v>56.2</x:v>
      </x:c>
      <x:c r="L4466" t="str">
        <x:v>KETAT</x:v>
      </x:c>
      <x:c r="M4466" t="str">
        <x:v>SEDANG+</x:v>
      </x:c>
      <x:c r="N4466" t="str">
        <x:v>REGULER</x:v>
      </x:c>
      <x:c r="O4466" t="str">
        <x:v>SOSHUM</x:v>
      </x:c>
      <x:c r="P4466" t="str">
        <x:v>BISNIS/EKONOMI/AKUNTANSI</x:v>
      </x:c>
      <x:c r="Q4466" s="18" t="n">
        <x:v>0</x:v>
      </x:c>
      <x:c r="R4466" s="18" t="n">
        <x:v>0</x:v>
      </x:c>
      <x:c r="S4466" s="18" t="n">
        <x:v>608.8366852694111</x:v>
      </x:c>
      <x:c r="T4466" s="18" t="n">
        <x:v>672</x:v>
      </x:c>
      <x:c r="U4466" s="18" t="n">
        <x:v>608.8366852694111</x:v>
      </x:c>
      <x:c r="V4466" s="20" t="n">
        <x:v>4.4</x:v>
      </x:c>
      <x:c r="W4466" s="20" t="n">
        <x:v>14.3</x:v>
      </x:c>
      <x:c r="X4466" s="20" t="n">
        <x:v>3.3</x:v>
      </x:c>
      <x:c r="Y4466" t="str">
        <x:v>Basis arsip 2025/2024</x:v>
      </x:c>
      <x:c r="Z4466" t="str">
        <x:v>https://snpmb.id/utbk-snbt/daya-tampung-snbt</x:v>
      </x:c>
      <x:c r="AA4466" t="str">
        <x:v>Tidak Ada</x:v>
      </x:c>
      <x:c r="AB4466" t="str">
        <x:v>Campus=55; Ratio=47.5; Prodi=65; RelDemand=100.0; Capacity=20.8</x:v>
      </x:c>
    </x:row>
    <x:row r="4467">
      <x:c r="A4467" t="n">
        <x:v>4464</x:v>
      </x:c>
      <x:c r="B4467" t="str">
        <x:v>PTN Vokasi</x:v>
      </x:c>
      <x:c r="C4467" t="str">
        <x:v>POLITEKNIK NEGERI PONTIANAK</x:v>
      </x:c>
      <x:c r="D4467" t="str">
        <x:v>TEKNIK SIPIL</x:v>
      </x:c>
      <x:c r="E4467" t="str">
        <x:v>Diploma Tiga</x:v>
      </x:c>
      <x:c r="F4467" s="18" t="n">
        <x:v>68</x:v>
      </x:c>
      <x:c r="G4467" s="18" t="n">
        <x:v>414</x:v>
      </x:c>
      <x:c r="H4467" s="19" t="n">
        <x:v>6.088235294117647</x:v>
      </x:c>
      <x:c r="I4467" s="18" t="n">
        <x:f>ROUND(MIN(Model_Config_v3!$B$6,MAX(Q4467,R4467,S4467*Model_Config_v3!$B$4+T4467*Model_Config_v3!$B$5)),0)</x:f>
        <x:v>654</x:v>
      </x:c>
      <x:c r="J4467" s="18" t="n">
        <x:f>MIN(Model_Config_v3!$B$6,I4467+Model_Config_v3!$B$7)</x:f>
        <x:v>674</x:v>
      </x:c>
      <x:c r="K4467" s="20" t="n">
        <x:v>56.8</x:v>
      </x:c>
      <x:c r="L4467" t="str">
        <x:v>KETAT</x:v>
      </x:c>
      <x:c r="M4467" t="str">
        <x:v>SEDANG+</x:v>
      </x:c>
      <x:c r="N4467" t="str">
        <x:v>REGULER</x:v>
      </x:c>
      <x:c r="O4467" t="str">
        <x:v>SAINTEK</x:v>
      </x:c>
      <x:c r="P4467" t="str">
        <x:v>TEKNIK/ARSITEKTUR/STATISTIKA/AKTUARIA</x:v>
      </x:c>
      <x:c r="Q4467" s="18" t="n">
        <x:v>0</x:v>
      </x:c>
      <x:c r="R4467" s="18" t="n">
        <x:v>0</x:v>
      </x:c>
      <x:c r="S4467" s="18" t="n">
        <x:v>606.2940571256129</x:v>
      </x:c>
      <x:c r="T4467" s="18" t="n">
        <x:v>674</x:v>
      </x:c>
      <x:c r="U4467" s="18" t="n">
        <x:v>616.2940571256129</x:v>
      </x:c>
      <x:c r="V4467" s="20" t="n">
        <x:v>12</x:v>
      </x:c>
      <x:c r="W4467" s="20" t="n">
        <x:v>5</x:v>
      </x:c>
      <x:c r="X4467" s="20" t="n">
        <x:v>3</x:v>
      </x:c>
      <x:c r="Y4467" t="str">
        <x:v>Basis arsip 2025/2024</x:v>
      </x:c>
      <x:c r="Z4467" t="str">
        <x:v>https://snpmb.id/utbk-snbt/daya-tampung-snbt</x:v>
      </x:c>
      <x:c r="AA4467" t="str">
        <x:v>Tidak Ada</x:v>
      </x:c>
      <x:c r="AB4467" t="str">
        <x:v>Campus=55; Ratio=46.2; Prodi=60; RelDemand=96.3; Capacity=43.3</x:v>
      </x:c>
    </x:row>
    <x:row r="4468">
      <x:c r="A4468" t="n">
        <x:v>4465</x:v>
      </x:c>
      <x:c r="B4468" t="str">
        <x:v>PTN Vokasi</x:v>
      </x:c>
      <x:c r="C4468" t="str">
        <x:v>POLITEKNIK NEGERI PONTIANAK</x:v>
      </x:c>
      <x:c r="D4468" t="str">
        <x:v>TEKNIK SIPIL K. KAB. KAPUAS HULU</x:v>
      </x:c>
      <x:c r="E4468" t="str">
        <x:v>Diploma Tiga</x:v>
      </x:c>
      <x:c r="F4468" s="18" t="n">
        <x:v>41</x:v>
      </x:c>
      <x:c r="G4468" s="18" t="n">
        <x:v>12</x:v>
      </x:c>
      <x:c r="H4468" s="19" t="n">
        <x:v>0.2926829268292683</x:v>
      </x:c>
      <x:c r="I4468" s="18" t="n">
        <x:f>ROUND(MIN(Model_Config_v3!$B$6,MAX(Q4468,R4468,S4468*Model_Config_v3!$B$4+T4468*Model_Config_v3!$B$5)),0)</x:f>
        <x:v>602</x:v>
      </x:c>
      <x:c r="J4468" s="18" t="n">
        <x:f>MIN(Model_Config_v3!$B$6,I4468+Model_Config_v3!$B$7)</x:f>
        <x:v>622</x:v>
      </x:c>
      <x:c r="K4468" s="20" t="n">
        <x:v>38.3</x:v>
      </x:c>
      <x:c r="L4468" t="str">
        <x:v>RELATIF LONGGAR</x:v>
      </x:c>
      <x:c r="M4468" t="str">
        <x:v>SEDANG+</x:v>
      </x:c>
      <x:c r="N4468" t="str">
        <x:v>REGULER</x:v>
      </x:c>
      <x:c r="O4468" t="str">
        <x:v>SAINTEK</x:v>
      </x:c>
      <x:c r="P4468" t="str">
        <x:v>TEKNIK/ARSITEKTUR/STATISTIKA/AKTUARIA</x:v>
      </x:c>
      <x:c r="Q4468" s="18" t="n">
        <x:v>0</x:v>
      </x:c>
      <x:c r="R4468" s="18" t="n">
        <x:v>0</x:v>
      </x:c>
      <x:c r="S4468" s="18" t="n">
        <x:v>520</x:v>
      </x:c>
      <x:c r="T4468" s="18" t="n">
        <x:v>637</x:v>
      </x:c>
      <x:c r="U4468" s="18" t="n">
        <x:v>530</x:v>
      </x:c>
      <x:c r="V4468" s="20" t="n">
        <x:v>12</x:v>
      </x:c>
      <x:c r="W4468" s="20" t="n">
        <x:v>5</x:v>
      </x:c>
      <x:c r="X4468" s="20" t="n">
        <x:v>3</x:v>
      </x:c>
      <x:c r="Y4468" t="str">
        <x:v>Basis arsip 2025/2024</x:v>
      </x:c>
      <x:c r="Z4468" t="str">
        <x:v>https://snpmb.id/utbk-snbt/daya-tampung-snbt</x:v>
      </x:c>
      <x:c r="AA4468" t="str">
        <x:v>Tidak Ada</x:v>
      </x:c>
      <x:c r="AB4468" t="str">
        <x:v>Campus=55; Ratio=0.0; Prodi=60; RelDemand=4.6; Capacity=65.8</x:v>
      </x:c>
    </x:row>
    <x:row r="4469">
      <x:c r="A4469" t="n">
        <x:v>4466</x:v>
      </x:c>
      <x:c r="B4469" t="str">
        <x:v>PTN Vokasi</x:v>
      </x:c>
      <x:c r="C4469" t="str">
        <x:v>POLITEKNIK NEGERI PONTIANAK</x:v>
      </x:c>
      <x:c r="D4469" t="str">
        <x:v>TEKNOLOGI PENGOLAHAN HASIL PERKEBUNAN K, KAB KAPUAS HULU</x:v>
      </x:c>
      <x:c r="E4469" t="str">
        <x:v>Diploma Tiga</x:v>
      </x:c>
      <x:c r="F4469" s="18" t="n">
        <x:v>27</x:v>
      </x:c>
      <x:c r="G4469" s="18" t="n">
        <x:v>11</x:v>
      </x:c>
      <x:c r="H4469" s="19" t="n">
        <x:v>0.4074074074074074</x:v>
      </x:c>
      <x:c r="I4469" s="18" t="n">
        <x:f>ROUND(MIN(Model_Config_v3!$B$6,MAX(Q4469,R4469,S4469*Model_Config_v3!$B$4+T4469*Model_Config_v3!$B$5)),0)</x:f>
        <x:v>598</x:v>
      </x:c>
      <x:c r="J4469" s="18" t="n">
        <x:f>MIN(Model_Config_v3!$B$6,I4469+Model_Config_v3!$B$7)</x:f>
        <x:v>618</x:v>
      </x:c>
      <x:c r="K4469" s="20" t="n">
        <x:v>35.6</x:v>
      </x:c>
      <x:c r="L4469" t="str">
        <x:v>RELATIF LONGGAR</x:v>
      </x:c>
      <x:c r="M4469" t="str">
        <x:v>SEDANG</x:v>
      </x:c>
      <x:c r="N4469" t="str">
        <x:v>REGULER</x:v>
      </x:c>
      <x:c r="O4469" t="str">
        <x:v>SAINTEK</x:v>
      </x:c>
      <x:c r="P4469" t="str">
        <x:v>UMUM</x:v>
      </x:c>
      <x:c r="Q4469" s="18" t="n">
        <x:v>0</x:v>
      </x:c>
      <x:c r="R4469" s="18" t="n">
        <x:v>0</x:v>
      </x:c>
      <x:c r="S4469" s="18" t="n">
        <x:v>520</x:v>
      </x:c>
      <x:c r="T4469" s="18" t="n">
        <x:v>631</x:v>
      </x:c>
      <x:c r="U4469" s="18" t="n">
        <x:v>520</x:v>
      </x:c>
      <x:c r="V4469" s="20" t="n">
        <x:v>12</x:v>
      </x:c>
      <x:c r="W4469" s="20" t="n">
        <x:v>5</x:v>
      </x:c>
      <x:c r="X4469" s="20" t="n">
        <x:v>3</x:v>
      </x:c>
      <x:c r="Y4469" t="str">
        <x:v>Basis arsip 2025/2024</x:v>
      </x:c>
      <x:c r="Z4469" t="str">
        <x:v>https://snpmb.id/utbk-snbt/daya-tampung-snbt</x:v>
      </x:c>
      <x:c r="AA4469" t="str">
        <x:v>Tidak Ada</x:v>
      </x:c>
      <x:c r="AB4469" t="str">
        <x:v>Campus=55; Ratio=0.0; Prodi=40; RelDemand=6.4; Capacity=77.5</x:v>
      </x:c>
    </x:row>
    <x:row r="4470">
      <x:c r="A4470" t="n">
        <x:v>4467</x:v>
      </x:c>
      <x:c r="B4470" t="str">
        <x:v>PTN Vokasi</x:v>
      </x:c>
      <x:c r="C4470" t="str">
        <x:v>POLITEKNIK NEGERI PONTIANAK</x:v>
      </x:c>
      <x:c r="D4470" t="str">
        <x:v>TEKNOLOGI PENANGKAPAN IKAN</x:v>
      </x:c>
      <x:c r="E4470" t="str">
        <x:v>Diploma Tiga</x:v>
      </x:c>
      <x:c r="F4470" s="18" t="n">
        <x:v>22</x:v>
      </x:c>
      <x:c r="G4470" s="18" t="n">
        <x:v>10</x:v>
      </x:c>
      <x:c r="H4470" s="19" t="n">
        <x:v>0.45454545454545453</x:v>
      </x:c>
      <x:c r="I4470" s="18" t="n">
        <x:f>ROUND(MIN(Model_Config_v3!$B$6,MAX(Q4470,R4470,S4470*Model_Config_v3!$B$4+T4470*Model_Config_v3!$B$5)),0)</x:f>
        <x:v>598</x:v>
      </x:c>
      <x:c r="J4470" s="18" t="n">
        <x:f>MIN(Model_Config_v3!$B$6,I4470+Model_Config_v3!$B$7)</x:f>
        <x:v>618</x:v>
      </x:c>
      <x:c r="K4470" s="20" t="n">
        <x:v>36.1</x:v>
      </x:c>
      <x:c r="L4470" t="str">
        <x:v>RELATIF LONGGAR</x:v>
      </x:c>
      <x:c r="M4470" t="str">
        <x:v>SEDANG</x:v>
      </x:c>
      <x:c r="N4470" t="str">
        <x:v>REGULER</x:v>
      </x:c>
      <x:c r="O4470" t="str">
        <x:v>SAINTEK</x:v>
      </x:c>
      <x:c r="P4470" t="str">
        <x:v>UMUM</x:v>
      </x:c>
      <x:c r="Q4470" s="18" t="n">
        <x:v>0</x:v>
      </x:c>
      <x:c r="R4470" s="18" t="n">
        <x:v>0</x:v>
      </x:c>
      <x:c r="S4470" s="18" t="n">
        <x:v>520</x:v>
      </x:c>
      <x:c r="T4470" s="18" t="n">
        <x:v>632</x:v>
      </x:c>
      <x:c r="U4470" s="18" t="n">
        <x:v>520</x:v>
      </x:c>
      <x:c r="V4470" s="20" t="n">
        <x:v>12</x:v>
      </x:c>
      <x:c r="W4470" s="20" t="n">
        <x:v>5</x:v>
      </x:c>
      <x:c r="X4470" s="20" t="n">
        <x:v>3</x:v>
      </x:c>
      <x:c r="Y4470" t="str">
        <x:v>Basis arsip 2025/2024</x:v>
      </x:c>
      <x:c r="Z4470" t="str">
        <x:v>https://snpmb.id/utbk-snbt/daya-tampung-snbt</x:v>
      </x:c>
      <x:c r="AA4470" t="str">
        <x:v>Tidak Ada</x:v>
      </x:c>
      <x:c r="AB4470" t="str">
        <x:v>Campus=55; Ratio=0.0; Prodi=40; RelDemand=7.2; Capacity=81.7</x:v>
      </x:c>
    </x:row>
    <x:row r="4471">
      <x:c r="A4471" t="n">
        <x:v>4468</x:v>
      </x:c>
      <x:c r="B4471" t="str">
        <x:v>PTN Vokasi</x:v>
      </x:c>
      <x:c r="C4471" t="str">
        <x:v>POLITEKNIK NEGERI PONTIANAK</x:v>
      </x:c>
      <x:c r="D4471" t="str">
        <x:v>TEKNOLOGI MESIN (KAMPUS KAB. SANGGAU)</x:v>
      </x:c>
      <x:c r="E4471" t="str">
        <x:v>Diploma Tiga</x:v>
      </x:c>
      <x:c r="F4471" s="18" t="n">
        <x:v>14</x:v>
      </x:c>
      <x:c r="G4471" s="18" t="n">
        <x:v>3</x:v>
      </x:c>
      <x:c r="H4471" s="19" t="n">
        <x:v>0.21428571428571427</x:v>
      </x:c>
      <x:c r="I4471" s="18" t="n">
        <x:f>ROUND(MIN(Model_Config_v3!$B$6,MAX(Q4471,R4471,S4471*Model_Config_v3!$B$4+T4471*Model_Config_v3!$B$5)),0)</x:f>
        <x:v>599</x:v>
      </x:c>
      <x:c r="J4471" s="18" t="n">
        <x:f>MIN(Model_Config_v3!$B$6,I4471+Model_Config_v3!$B$7)</x:f>
        <x:v>619</x:v>
      </x:c>
      <x:c r="K4471" s="20" t="n">
        <x:v>36.4</x:v>
      </x:c>
      <x:c r="L4471" t="str">
        <x:v>RELATIF LONGGAR</x:v>
      </x:c>
      <x:c r="M4471" t="str">
        <x:v>SEDANG</x:v>
      </x:c>
      <x:c r="N4471" t="str">
        <x:v>REGULER</x:v>
      </x:c>
      <x:c r="O4471" t="str">
        <x:v>SAINTEK</x:v>
      </x:c>
      <x:c r="P4471" t="str">
        <x:v>UMUM</x:v>
      </x:c>
      <x:c r="Q4471" s="18" t="n">
        <x:v>0</x:v>
      </x:c>
      <x:c r="R4471" s="18" t="n">
        <x:v>0</x:v>
      </x:c>
      <x:c r="S4471" s="18" t="n">
        <x:v>520</x:v>
      </x:c>
      <x:c r="T4471" s="18" t="n">
        <x:v>633</x:v>
      </x:c>
      <x:c r="U4471" s="18" t="n">
        <x:v>520</x:v>
      </x:c>
      <x:c r="V4471" s="20" t="n">
        <x:v>12</x:v>
      </x:c>
      <x:c r="W4471" s="20" t="n">
        <x:v>5</x:v>
      </x:c>
      <x:c r="X4471" s="20" t="n">
        <x:v>3</x:v>
      </x:c>
      <x:c r="Y4471" t="str">
        <x:v>Basis arsip 2025/2024</x:v>
      </x:c>
      <x:c r="Z4471" t="str">
        <x:v>https://snpmb.id/utbk-snbt/daya-tampung-snbt</x:v>
      </x:c>
      <x:c r="AA4471" t="str">
        <x:v>Tidak Ada</x:v>
      </x:c>
      <x:c r="AB4471" t="str">
        <x:v>Campus=55; Ratio=0.0; Prodi=40; RelDemand=3.4; Capacity=88.3</x:v>
      </x:c>
    </x:row>
    <x:row r="4472">
      <x:c r="A4472" t="n">
        <x:v>4469</x:v>
      </x:c>
      <x:c r="B4472" t="str">
        <x:v>PTN Vokasi</x:v>
      </x:c>
      <x:c r="C4472" t="str">
        <x:v>POLITEKNIK NEGERI PONTIANAK</x:v>
      </x:c>
      <x:c r="D4472" t="str">
        <x:v>BUDI DAYA IKAN (KAMPUS KAB.SUKAMARA)</x:v>
      </x:c>
      <x:c r="E4472" t="str">
        <x:v>Diploma Tiga</x:v>
      </x:c>
      <x:c r="F4472" s="18" t="n">
        <x:v>23</x:v>
      </x:c>
      <x:c r="G4472" s="18" t="n">
        <x:v>1</x:v>
      </x:c>
      <x:c r="H4472" s="19" t="n">
        <x:v>0.043478260869565216</x:v>
      </x:c>
      <x:c r="I4472" s="18" t="n">
        <x:f>ROUND(MIN(Model_Config_v3!$B$6,MAX(Q4472,R4472,S4472*Model_Config_v3!$B$4+T4472*Model_Config_v3!$B$5)),0)</x:f>
        <x:v>598</x:v>
      </x:c>
      <x:c r="J4472" s="18" t="n">
        <x:f>MIN(Model_Config_v3!$B$6,I4472+Model_Config_v3!$B$7)</x:f>
        <x:v>618</x:v>
      </x:c>
      <x:c r="K4472" s="20" t="n">
        <x:v>35.4</x:v>
      </x:c>
      <x:c r="L4472" t="str">
        <x:v>RELATIF LONGGAR</x:v>
      </x:c>
      <x:c r="M4472" t="str">
        <x:v>SEDANG</x:v>
      </x:c>
      <x:c r="N4472" t="str">
        <x:v>REGULER</x:v>
      </x:c>
      <x:c r="O4472" t="str">
        <x:v>CAMPURAN</x:v>
      </x:c>
      <x:c r="P4472" t="str">
        <x:v>UMUM</x:v>
      </x:c>
      <x:c r="Q4472" s="18" t="n">
        <x:v>0</x:v>
      </x:c>
      <x:c r="R4472" s="18" t="n">
        <x:v>0</x:v>
      </x:c>
      <x:c r="S4472" s="18" t="n">
        <x:v>520</x:v>
      </x:c>
      <x:c r="T4472" s="18" t="n">
        <x:v>631</x:v>
      </x:c>
      <x:c r="U4472" s="18" t="n">
        <x:v>520</x:v>
      </x:c>
      <x:c r="V4472" s="20" t="n">
        <x:v>8.8</x:v>
      </x:c>
      <x:c r="W4472" s="20" t="n">
        <x:v>9.9</x:v>
      </x:c>
      <x:c r="X4472" s="20" t="n">
        <x:v>3.3</x:v>
      </x:c>
      <x:c r="Y4472" t="str">
        <x:v>Basis arsip 2025/2024</x:v>
      </x:c>
      <x:c r="Z4472" t="str">
        <x:v>https://snpmb.id/utbk-snbt/daya-tampung-snbt</x:v>
      </x:c>
      <x:c r="AA4472" t="str">
        <x:v>Tidak Ada</x:v>
      </x:c>
      <x:c r="AB4472" t="str">
        <x:v>Campus=55; Ratio=0.0; Prodi=40; RelDemand=0.7; Capacity=80.8</x:v>
      </x:c>
    </x:row>
    <x:row r="4473">
      <x:c r="A4473" t="n">
        <x:v>4470</x:v>
      </x:c>
      <x:c r="B4473" t="str">
        <x:v>PTN Vokasi</x:v>
      </x:c>
      <x:c r="C4473" t="str">
        <x:v>POLITEKNIK NEGERI PONTIANAK</x:v>
      </x:c>
      <x:c r="D4473" t="str">
        <x:v>TEKNOLOGI INFORMASI (KAMPUS KAB.SUKAMARA)</x:v>
      </x:c>
      <x:c r="E4473" t="str">
        <x:v>Diploma Tiga</x:v>
      </x:c>
      <x:c r="F4473" s="18" t="n">
        <x:v>18</x:v>
      </x:c>
      <x:c r="G4473" s="18" t="n">
        <x:v>11</x:v>
      </x:c>
      <x:c r="H4473" s="19" t="n">
        <x:v>0.6111111111111112</x:v>
      </x:c>
      <x:c r="I4473" s="18" t="n">
        <x:f>ROUND(MIN(Model_Config_v3!$B$6,MAX(Q4473,R4473,S4473*Model_Config_v3!$B$4+T4473*Model_Config_v3!$B$5)),0)</x:f>
        <x:v>599</x:v>
      </x:c>
      <x:c r="J4473" s="18" t="n">
        <x:f>MIN(Model_Config_v3!$B$6,I4473+Model_Config_v3!$B$7)</x:f>
        <x:v>619</x:v>
      </x:c>
      <x:c r="K4473" s="20" t="n">
        <x:v>36.7</x:v>
      </x:c>
      <x:c r="L4473" t="str">
        <x:v>RELATIF LONGGAR</x:v>
      </x:c>
      <x:c r="M4473" t="str">
        <x:v>SEDANG</x:v>
      </x:c>
      <x:c r="N4473" t="str">
        <x:v>REGULER</x:v>
      </x:c>
      <x:c r="O4473" t="str">
        <x:v>SAINTEK</x:v>
      </x:c>
      <x:c r="P4473" t="str">
        <x:v>UMUM</x:v>
      </x:c>
      <x:c r="Q4473" s="18" t="n">
        <x:v>0</x:v>
      </x:c>
      <x:c r="R4473" s="18" t="n">
        <x:v>0</x:v>
      </x:c>
      <x:c r="S4473" s="18" t="n">
        <x:v>520</x:v>
      </x:c>
      <x:c r="T4473" s="18" t="n">
        <x:v>633</x:v>
      </x:c>
      <x:c r="U4473" s="18" t="n">
        <x:v>520</x:v>
      </x:c>
      <x:c r="V4473" s="20" t="n">
        <x:v>12</x:v>
      </x:c>
      <x:c r="W4473" s="20" t="n">
        <x:v>5</x:v>
      </x:c>
      <x:c r="X4473" s="20" t="n">
        <x:v>3</x:v>
      </x:c>
      <x:c r="Y4473" t="str">
        <x:v>Basis arsip 2025/2024</x:v>
      </x:c>
      <x:c r="Z4473" t="str">
        <x:v>https://snpmb.id/utbk-snbt/daya-tampung-snbt</x:v>
      </x:c>
      <x:c r="AA4473" t="str">
        <x:v>Tidak Ada</x:v>
      </x:c>
      <x:c r="AB4473" t="str">
        <x:v>Campus=55; Ratio=0.0; Prodi=40; RelDemand=9.7; Capacity=85.0</x:v>
      </x:c>
    </x:row>
    <x:row r="4474">
      <x:c r="A4474" t="n">
        <x:v>4471</x:v>
      </x:c>
      <x:c r="B4474" t="str">
        <x:v>PTN Vokasi</x:v>
      </x:c>
      <x:c r="C4474" t="str">
        <x:v>POLITEKNIK NEGERI KETAPANG</x:v>
      </x:c>
      <x:c r="D4474" t="str">
        <x:v>TEKNOLOGI PRODUKSI TANAMAN PERKEBUNAN</x:v>
      </x:c>
      <x:c r="E4474" t="str">
        <x:v>Sarjana Terapan</x:v>
      </x:c>
      <x:c r="F4474" s="18" t="n">
        <x:v>40</x:v>
      </x:c>
      <x:c r="G4474" s="18" t="n">
        <x:v>44</x:v>
      </x:c>
      <x:c r="H4474" s="19" t="n">
        <x:v>1.1</x:v>
      </x:c>
      <x:c r="I4474" s="18" t="n">
        <x:f>ROUND(MIN(Model_Config_v3!$B$6,MAX(Q4474,R4474,S4474*Model_Config_v3!$B$4+T4474*Model_Config_v3!$B$5)),0)</x:f>
        <x:v>605</x:v>
      </x:c>
      <x:c r="J4474" s="18" t="n">
        <x:f>MIN(Model_Config_v3!$B$6,I4474+Model_Config_v3!$B$7)</x:f>
        <x:v>625</x:v>
      </x:c>
      <x:c r="K4474" s="20" t="n">
        <x:v>40</x:v>
      </x:c>
      <x:c r="L4474" t="str">
        <x:v>RELATIF LONGGAR</x:v>
      </x:c>
      <x:c r="M4474" t="str">
        <x:v>SEDANG</x:v>
      </x:c>
      <x:c r="N4474" t="str">
        <x:v>REGULER</x:v>
      </x:c>
      <x:c r="O4474" t="str">
        <x:v>SAINTEK</x:v>
      </x:c>
      <x:c r="P4474" t="str">
        <x:v>UMUM</x:v>
      </x:c>
      <x:c r="Q4474" s="18" t="n">
        <x:v>0</x:v>
      </x:c>
      <x:c r="R4474" s="18" t="n">
        <x:v>0</x:v>
      </x:c>
      <x:c r="S4474" s="18" t="n">
        <x:v>524.5531953674048</x:v>
      </x:c>
      <x:c r="T4474" s="18" t="n">
        <x:v>640</x:v>
      </x:c>
      <x:c r="U4474" s="18" t="n">
        <x:v>524.5531953674048</x:v>
      </x:c>
      <x:c r="V4474" s="20" t="n">
        <x:v>12</x:v>
      </x:c>
      <x:c r="W4474" s="20" t="n">
        <x:v>5</x:v>
      </x:c>
      <x:c r="X4474" s="20" t="n">
        <x:v>3</x:v>
      </x:c>
      <x:c r="Y4474" t="str">
        <x:v>Basis arsip 2025/2024</x:v>
      </x:c>
      <x:c r="Z4474" t="str">
        <x:v>https://snpmb.id/utbk-snbt/daya-tampung-snbt</x:v>
      </x:c>
      <x:c r="AA4474" t="str">
        <x:v>Tidak Ada</x:v>
      </x:c>
      <x:c r="AB4474" t="str">
        <x:v>Campus=55; Ratio=2.4; Prodi=40; RelDemand=54.7; Capacity=66.7</x:v>
      </x:c>
    </x:row>
    <x:row r="4475">
      <x:c r="A4475" t="n">
        <x:v>4472</x:v>
      </x:c>
      <x:c r="B4475" t="str">
        <x:v>PTN Vokasi</x:v>
      </x:c>
      <x:c r="C4475" t="str">
        <x:v>POLITEKNIK NEGERI KETAPANG</x:v>
      </x:c>
      <x:c r="D4475" t="str">
        <x:v>TEKNOLOGI REKAYASA KONSTRUKSI JALAN DAN JEMBATAN</x:v>
      </x:c>
      <x:c r="E4475" t="str">
        <x:v>Sarjana Terapan</x:v>
      </x:c>
      <x:c r="F4475" s="18" t="n">
        <x:v>40</x:v>
      </x:c>
      <x:c r="G4475" s="18" t="n">
        <x:v>48</x:v>
      </x:c>
      <x:c r="H4475" s="19" t="n">
        <x:v>1.2</x:v>
      </x:c>
      <x:c r="I4475" s="18" t="n">
        <x:f>ROUND(MIN(Model_Config_v3!$B$6,MAX(Q4475,R4475,S4475*Model_Config_v3!$B$4+T4475*Model_Config_v3!$B$5)),0)</x:f>
        <x:v>608</x:v>
      </x:c>
      <x:c r="J4475" s="18" t="n">
        <x:f>MIN(Model_Config_v3!$B$6,I4475+Model_Config_v3!$B$7)</x:f>
        <x:v>628</x:v>
      </x:c>
      <x:c r="K4475" s="20" t="n">
        <x:v>41</x:v>
      </x:c>
      <x:c r="L4475" t="str">
        <x:v>RELATIF LONGGAR</x:v>
      </x:c>
      <x:c r="M4475" t="str">
        <x:v>SEDANG</x:v>
      </x:c>
      <x:c r="N4475" t="str">
        <x:v>REGULER</x:v>
      </x:c>
      <x:c r="O4475" t="str">
        <x:v>SAINTEK</x:v>
      </x:c>
      <x:c r="P4475" t="str">
        <x:v>UMUM</x:v>
      </x:c>
      <x:c r="Q4475" s="18" t="n">
        <x:v>0</x:v>
      </x:c>
      <x:c r="R4475" s="18" t="n">
        <x:v>0</x:v>
      </x:c>
      <x:c r="S4475" s="18" t="n">
        <x:v>528.7099370652387</x:v>
      </x:c>
      <x:c r="T4475" s="18" t="n">
        <x:v>642</x:v>
      </x:c>
      <x:c r="U4475" s="18" t="n">
        <x:v>528.7099370652387</x:v>
      </x:c>
      <x:c r="V4475" s="20" t="n">
        <x:v>12</x:v>
      </x:c>
      <x:c r="W4475" s="20" t="n">
        <x:v>5</x:v>
      </x:c>
      <x:c r="X4475" s="20" t="n">
        <x:v>3</x:v>
      </x:c>
      <x:c r="Y4475" t="str">
        <x:v>Basis arsip 2025/2024</x:v>
      </x:c>
      <x:c r="Z4475" t="str">
        <x:v>https://snpmb.id/utbk-snbt/daya-tampung-snbt</x:v>
      </x:c>
      <x:c r="AA4475" t="str">
        <x:v>Tidak Ada</x:v>
      </x:c>
      <x:c r="AB4475" t="str">
        <x:v>Campus=55; Ratio=4.7; Prodi=40; RelDemand=59.7; Capacity=66.7</x:v>
      </x:c>
    </x:row>
    <x:row r="4476">
      <x:c r="A4476" t="n">
        <x:v>4473</x:v>
      </x:c>
      <x:c r="B4476" t="str">
        <x:v>PTN Vokasi</x:v>
      </x:c>
      <x:c r="C4476" t="str">
        <x:v>POLITEKNIK NEGERI KETAPANG</x:v>
      </x:c>
      <x:c r="D4476" t="str">
        <x:v>MANAJEMEN AGRIBISNIS</x:v>
      </x:c>
      <x:c r="E4476" t="str">
        <x:v>Sarjana Terapan</x:v>
      </x:c>
      <x:c r="F4476" s="18" t="n">
        <x:v>40</x:v>
      </x:c>
      <x:c r="G4476" s="18"/>
      <x:c r="H4476" s="19" t="n">
        <x:v>0</x:v>
      </x:c>
      <x:c r="I4476" s="18" t="n">
        <x:f>ROUND(MIN(Model_Config_v3!$B$6,MAX(Q4476,R4476,S4476*Model_Config_v3!$B$4+T4476*Model_Config_v3!$B$5)),0)</x:f>
        <x:v>603</x:v>
      </x:c>
      <x:c r="J4476" s="18" t="n">
        <x:f>MIN(Model_Config_v3!$B$6,I4476+Model_Config_v3!$B$7)</x:f>
        <x:v>623</x:v>
      </x:c>
      <x:c r="K4476" s="20" t="n">
        <x:v>38.9</x:v>
      </x:c>
      <x:c r="L4476" t="str">
        <x:v>RELATIF LONGGAR</x:v>
      </x:c>
      <x:c r="M4476" t="str">
        <x:v>RENDAH</x:v>
      </x:c>
      <x:c r="N4476" t="str">
        <x:v>REGULER</x:v>
      </x:c>
      <x:c r="O4476" t="str">
        <x:v>SOSHUM</x:v>
      </x:c>
      <x:c r="P4476" t="str">
        <x:v>BISNIS/EKONOMI/AKUNTANSI</x:v>
      </x:c>
      <x:c r="Q4476" s="18" t="n">
        <x:v>0</x:v>
      </x:c>
      <x:c r="R4476" s="18" t="n">
        <x:v>0</x:v>
      </x:c>
      <x:c r="S4476" s="18" t="n">
        <x:v>520</x:v>
      </x:c>
      <x:c r="T4476" s="18" t="n">
        <x:v>638</x:v>
      </x:c>
      <x:c r="U4476" s="18" t="n">
        <x:v>535</x:v>
      </x:c>
      <x:c r="V4476" s="20" t="n">
        <x:v>4.4</x:v>
      </x:c>
      <x:c r="W4476" s="20" t="n">
        <x:v>14.3</x:v>
      </x:c>
      <x:c r="X4476" s="20" t="n">
        <x:v>3.3</x:v>
      </x:c>
      <x:c r="Y4476" t="str">
        <x:v>Basis arsip 2025/2024</x:v>
      </x:c>
      <x:c r="Z4476" t="str">
        <x:v>https://snpmb.id/utbk-snbt/daya-tampung-snbt</x:v>
      </x:c>
      <x:c r="AA4476" t="str">
        <x:v>Tidak Ada</x:v>
      </x:c>
      <x:c r="AB4476" t="str">
        <x:v>Campus=55; Ratio=0.0; Prodi=65; RelDemand=0.0; Capacity=66.7</x:v>
      </x:c>
    </x:row>
    <x:row r="4477">
      <x:c r="A4477" t="n">
        <x:v>4474</x:v>
      </x:c>
      <x:c r="B4477" t="str">
        <x:v>PTN Vokasi</x:v>
      </x:c>
      <x:c r="C4477" t="str">
        <x:v>POLITEKNIK NEGERI KETAPANG</x:v>
      </x:c>
      <x:c r="D4477" t="str">
        <x:v>TEKNOLOGI HASIL PERKEBUNAN</x:v>
      </x:c>
      <x:c r="E4477" t="str">
        <x:v>Diploma Tiga</x:v>
      </x:c>
      <x:c r="F4477" s="18" t="n">
        <x:v>40</x:v>
      </x:c>
      <x:c r="G4477" s="18" t="n">
        <x:v>34</x:v>
      </x:c>
      <x:c r="H4477" s="19" t="n">
        <x:v>0.85</x:v>
      </x:c>
      <x:c r="I4477" s="18" t="n">
        <x:f>ROUND(MIN(Model_Config_v3!$B$6,MAX(Q4477,R4477,S4477*Model_Config_v3!$B$4+T4477*Model_Config_v3!$B$5)),0)</x:f>
        <x:v>601</x:v>
      </x:c>
      <x:c r="J4477" s="18" t="n">
        <x:f>MIN(Model_Config_v3!$B$6,I4477+Model_Config_v3!$B$7)</x:f>
        <x:v>621</x:v>
      </x:c>
      <x:c r="K4477" s="20" t="n">
        <x:v>38.1</x:v>
      </x:c>
      <x:c r="L4477" t="str">
        <x:v>RELATIF LONGGAR</x:v>
      </x:c>
      <x:c r="M4477" t="str">
        <x:v>SEDANG</x:v>
      </x:c>
      <x:c r="N4477" t="str">
        <x:v>REGULER</x:v>
      </x:c>
      <x:c r="O4477" t="str">
        <x:v>SAINTEK</x:v>
      </x:c>
      <x:c r="P4477" t="str">
        <x:v>UMUM</x:v>
      </x:c>
      <x:c r="Q4477" s="18" t="n">
        <x:v>0</x:v>
      </x:c>
      <x:c r="R4477" s="18" t="n">
        <x:v>0</x:v>
      </x:c>
      <x:c r="S4477" s="18" t="n">
        <x:v>520</x:v>
      </x:c>
      <x:c r="T4477" s="18" t="n">
        <x:v>636</x:v>
      </x:c>
      <x:c r="U4477" s="18" t="n">
        <x:v>520</x:v>
      </x:c>
      <x:c r="V4477" s="20" t="n">
        <x:v>12</x:v>
      </x:c>
      <x:c r="W4477" s="20" t="n">
        <x:v>5</x:v>
      </x:c>
      <x:c r="X4477" s="20" t="n">
        <x:v>3</x:v>
      </x:c>
      <x:c r="Y4477" t="str">
        <x:v>Basis arsip 2025/2024</x:v>
      </x:c>
      <x:c r="Z4477" t="str">
        <x:v>https://snpmb.id/utbk-snbt/daya-tampung-snbt</x:v>
      </x:c>
      <x:c r="AA4477" t="str">
        <x:v>Tidak Ada</x:v>
      </x:c>
      <x:c r="AB4477" t="str">
        <x:v>Campus=55; Ratio=0.0; Prodi=40; RelDemand=42.3; Capacity=66.7</x:v>
      </x:c>
    </x:row>
    <x:row r="4478">
      <x:c r="A4478" t="n">
        <x:v>4475</x:v>
      </x:c>
      <x:c r="B4478" t="str">
        <x:v>PTN Vokasi</x:v>
      </x:c>
      <x:c r="C4478" t="str">
        <x:v>POLITEKNIK NEGERI KETAPANG</x:v>
      </x:c>
      <x:c r="D4478" t="str">
        <x:v>PEMELIHARAAN MESIN</x:v>
      </x:c>
      <x:c r="E4478" t="str">
        <x:v>Diploma Tiga</x:v>
      </x:c>
      <x:c r="F4478" s="18" t="n">
        <x:v>40</x:v>
      </x:c>
      <x:c r="G4478" s="18" t="n">
        <x:v>16</x:v>
      </x:c>
      <x:c r="H4478" s="19" t="n">
        <x:v>0.4</x:v>
      </x:c>
      <x:c r="I4478" s="18" t="n">
        <x:f>ROUND(MIN(Model_Config_v3!$B$6,MAX(Q4478,R4478,S4478*Model_Config_v3!$B$4+T4478*Model_Config_v3!$B$5)),0)</x:f>
        <x:v>598</x:v>
      </x:c>
      <x:c r="J4478" s="18" t="n">
        <x:f>MIN(Model_Config_v3!$B$6,I4478+Model_Config_v3!$B$7)</x:f>
        <x:v>618</x:v>
      </x:c>
      <x:c r="K4478" s="20" t="n">
        <x:v>35.9</x:v>
      </x:c>
      <x:c r="L4478" t="str">
        <x:v>RELATIF LONGGAR</x:v>
      </x:c>
      <x:c r="M4478" t="str">
        <x:v>SEDANG</x:v>
      </x:c>
      <x:c r="N4478" t="str">
        <x:v>REGULER</x:v>
      </x:c>
      <x:c r="O4478" t="str">
        <x:v>CAMPURAN</x:v>
      </x:c>
      <x:c r="P4478" t="str">
        <x:v>UMUM</x:v>
      </x:c>
      <x:c r="Q4478" s="18" t="n">
        <x:v>0</x:v>
      </x:c>
      <x:c r="R4478" s="18" t="n">
        <x:v>0</x:v>
      </x:c>
      <x:c r="S4478" s="18" t="n">
        <x:v>520</x:v>
      </x:c>
      <x:c r="T4478" s="18" t="n">
        <x:v>632</x:v>
      </x:c>
      <x:c r="U4478" s="18" t="n">
        <x:v>520</x:v>
      </x:c>
      <x:c r="V4478" s="20" t="n">
        <x:v>8.8</x:v>
      </x:c>
      <x:c r="W4478" s="20" t="n">
        <x:v>9.9</x:v>
      </x:c>
      <x:c r="X4478" s="20" t="n">
        <x:v>3.3</x:v>
      </x:c>
      <x:c r="Y4478" t="str">
        <x:v>Basis arsip 2025/2024</x:v>
      </x:c>
      <x:c r="Z4478" t="str">
        <x:v>https://snpmb.id/utbk-snbt/daya-tampung-snbt</x:v>
      </x:c>
      <x:c r="AA4478" t="str">
        <x:v>Tidak Ada</x:v>
      </x:c>
      <x:c r="AB4478" t="str">
        <x:v>Campus=55; Ratio=0.0; Prodi=40; RelDemand=19.9; Capacity=66.7</x:v>
      </x:c>
    </x:row>
    <x:row r="4479">
      <x:c r="A4479" t="n">
        <x:v>4476</x:v>
      </x:c>
      <x:c r="B4479" t="str">
        <x:v>PTN Vokasi</x:v>
      </x:c>
      <x:c r="C4479" t="str">
        <x:v>POLITEKNIK NEGERI KETAPANG</x:v>
      </x:c>
      <x:c r="D4479" t="str">
        <x:v>TEKNOLOGI LISTRIK</x:v>
      </x:c>
      <x:c r="E4479" t="str">
        <x:v>Diploma Tiga</x:v>
      </x:c>
      <x:c r="F4479" s="18" t="n">
        <x:v>40</x:v>
      </x:c>
      <x:c r="G4479" s="18" t="n">
        <x:v>29</x:v>
      </x:c>
      <x:c r="H4479" s="19" t="n">
        <x:v>0.725</x:v>
      </x:c>
      <x:c r="I4479" s="18" t="n">
        <x:f>ROUND(MIN(Model_Config_v3!$B$6,MAX(Q4479,R4479,S4479*Model_Config_v3!$B$4+T4479*Model_Config_v3!$B$5)),0)</x:f>
        <x:v>601</x:v>
      </x:c>
      <x:c r="J4479" s="18" t="n">
        <x:f>MIN(Model_Config_v3!$B$6,I4479+Model_Config_v3!$B$7)</x:f>
        <x:v>621</x:v>
      </x:c>
      <x:c r="K4479" s="20" t="n">
        <x:v>37.5</x:v>
      </x:c>
      <x:c r="L4479" t="str">
        <x:v>RELATIF LONGGAR</x:v>
      </x:c>
      <x:c r="M4479" t="str">
        <x:v>SEDANG</x:v>
      </x:c>
      <x:c r="N4479" t="str">
        <x:v>REGULER</x:v>
      </x:c>
      <x:c r="O4479" t="str">
        <x:v>SAINTEK</x:v>
      </x:c>
      <x:c r="P4479" t="str">
        <x:v>UMUM</x:v>
      </x:c>
      <x:c r="Q4479" s="18" t="n">
        <x:v>0</x:v>
      </x:c>
      <x:c r="R4479" s="18" t="n">
        <x:v>0</x:v>
      </x:c>
      <x:c r="S4479" s="18" t="n">
        <x:v>520</x:v>
      </x:c>
      <x:c r="T4479" s="18" t="n">
        <x:v>635</x:v>
      </x:c>
      <x:c r="U4479" s="18" t="n">
        <x:v>520</x:v>
      </x:c>
      <x:c r="V4479" s="20" t="n">
        <x:v>12</x:v>
      </x:c>
      <x:c r="W4479" s="20" t="n">
        <x:v>5</x:v>
      </x:c>
      <x:c r="X4479" s="20" t="n">
        <x:v>3</x:v>
      </x:c>
      <x:c r="Y4479" t="str">
        <x:v>Basis arsip 2025/2024</x:v>
      </x:c>
      <x:c r="Z4479" t="str">
        <x:v>https://snpmb.id/utbk-snbt/daya-tampung-snbt</x:v>
      </x:c>
      <x:c r="AA4479" t="str">
        <x:v>Tidak Ada</x:v>
      </x:c>
      <x:c r="AB4479" t="str">
        <x:v>Campus=55; Ratio=0.0; Prodi=40; RelDemand=36.0; Capacity=66.7</x:v>
      </x:c>
    </x:row>
    <x:row r="4480">
      <x:c r="A4480" t="n">
        <x:v>4477</x:v>
      </x:c>
      <x:c r="B4480" t="str">
        <x:v>PTN Vokasi</x:v>
      </x:c>
      <x:c r="C4480" t="str">
        <x:v>POLITEKNIK NEGERI KETAPANG</x:v>
      </x:c>
      <x:c r="D4480" t="str">
        <x:v>TEKNOLOGI PERTAMBANGAN</x:v>
      </x:c>
      <x:c r="E4480" t="str">
        <x:v>Diploma Tiga</x:v>
      </x:c>
      <x:c r="F4480" s="18" t="n">
        <x:v>40</x:v>
      </x:c>
      <x:c r="G4480" s="18" t="n">
        <x:v>65</x:v>
      </x:c>
      <x:c r="H4480" s="19" t="n">
        <x:v>1.625</x:v>
      </x:c>
      <x:c r="I4480" s="18" t="n">
        <x:f>ROUND(MIN(Model_Config_v3!$B$6,MAX(Q4480,R4480,S4480*Model_Config_v3!$B$4+T4480*Model_Config_v3!$B$5)),0)</x:f>
        <x:v>618</x:v>
      </x:c>
      <x:c r="J4480" s="18" t="n">
        <x:f>MIN(Model_Config_v3!$B$6,I4480+Model_Config_v3!$B$7)</x:f>
        <x:v>638</x:v>
      </x:c>
      <x:c r="K4480" s="20" t="n">
        <x:v>45.1</x:v>
      </x:c>
      <x:c r="L4480" t="str">
        <x:v>MENENGAH</x:v>
      </x:c>
      <x:c r="M4480" t="str">
        <x:v>SEDANG</x:v>
      </x:c>
      <x:c r="N4480" t="str">
        <x:v>REGULER</x:v>
      </x:c>
      <x:c r="O4480" t="str">
        <x:v>SAINTEK</x:v>
      </x:c>
      <x:c r="P4480" t="str">
        <x:v>UMUM</x:v>
      </x:c>
      <x:c r="Q4480" s="18" t="n">
        <x:v>0</x:v>
      </x:c>
      <x:c r="R4480" s="18" t="n">
        <x:v>0</x:v>
      </x:c>
      <x:c r="S4480" s="18" t="n">
        <x:v>543.1938701846383</x:v>
      </x:c>
      <x:c r="T4480" s="18" t="n">
        <x:v>650</x:v>
      </x:c>
      <x:c r="U4480" s="18" t="n">
        <x:v>543.1938701846383</x:v>
      </x:c>
      <x:c r="V4480" s="20" t="n">
        <x:v>12</x:v>
      </x:c>
      <x:c r="W4480" s="20" t="n">
        <x:v>5</x:v>
      </x:c>
      <x:c r="X4480" s="20" t="n">
        <x:v>3</x:v>
      </x:c>
      <x:c r="Y4480" t="str">
        <x:v>Basis arsip 2025/2024</x:v>
      </x:c>
      <x:c r="Z4480" t="str">
        <x:v>https://snpmb.id/utbk-snbt/daya-tampung-snbt</x:v>
      </x:c>
      <x:c r="AA4480" t="str">
        <x:v>Tidak Ada</x:v>
      </x:c>
      <x:c r="AB4480" t="str">
        <x:v>Campus=55; Ratio=12.4; Prodi=40; RelDemand=80.8; Capacity=66.7</x:v>
      </x:c>
    </x:row>
    <x:row r="4481">
      <x:c r="A4481" t="n">
        <x:v>4478</x:v>
      </x:c>
      <x:c r="B4481" t="str">
        <x:v>PTN Vokasi</x:v>
      </x:c>
      <x:c r="C4481" t="str">
        <x:v>POLITEKNIK NEGERI KETAPANG</x:v>
      </x:c>
      <x:c r="D4481" t="str">
        <x:v>TEKNOLOGI INFORMASI</x:v>
      </x:c>
      <x:c r="E4481" t="str">
        <x:v>Diploma Tiga</x:v>
      </x:c>
      <x:c r="F4481" s="18" t="n">
        <x:v>40</x:v>
      </x:c>
      <x:c r="G4481" s="18" t="n">
        <x:v>98</x:v>
      </x:c>
      <x:c r="H4481" s="19" t="n">
        <x:v>2.45</x:v>
      </x:c>
      <x:c r="I4481" s="18" t="n">
        <x:f>ROUND(MIN(Model_Config_v3!$B$6,MAX(Q4481,R4481,S4481*Model_Config_v3!$B$4+T4481*Model_Config_v3!$B$5)),0)</x:f>
        <x:v>630</x:v>
      </x:c>
      <x:c r="J4481" s="18" t="n">
        <x:f>MIN(Model_Config_v3!$B$6,I4481+Model_Config_v3!$B$7)</x:f>
        <x:v>650</x:v>
      </x:c>
      <x:c r="K4481" s="20" t="n">
        <x:v>49.6</x:v>
      </x:c>
      <x:c r="L4481" t="str">
        <x:v>MENENGAH</x:v>
      </x:c>
      <x:c r="M4481" t="str">
        <x:v>SEDANG</x:v>
      </x:c>
      <x:c r="N4481" t="str">
        <x:v>REGULER</x:v>
      </x:c>
      <x:c r="O4481" t="str">
        <x:v>SAINTEK</x:v>
      </x:c>
      <x:c r="P4481" t="str">
        <x:v>UMUM</x:v>
      </x:c>
      <x:c r="Q4481" s="18" t="n">
        <x:v>0</x:v>
      </x:c>
      <x:c r="R4481" s="18" t="n">
        <x:v>0</x:v>
      </x:c>
      <x:c r="S4481" s="18" t="n">
        <x:v>562.8082692800986</x:v>
      </x:c>
      <x:c r="T4481" s="18" t="n">
        <x:v>659</x:v>
      </x:c>
      <x:c r="U4481" s="18" t="n">
        <x:v>562.8082692800986</x:v>
      </x:c>
      <x:c r="V4481" s="20" t="n">
        <x:v>12</x:v>
      </x:c>
      <x:c r="W4481" s="20" t="n">
        <x:v>5</x:v>
      </x:c>
      <x:c r="X4481" s="20" t="n">
        <x:v>3</x:v>
      </x:c>
      <x:c r="Y4481" t="str">
        <x:v>Basis arsip 2025/2024</x:v>
      </x:c>
      <x:c r="Z4481" t="str">
        <x:v>https://snpmb.id/utbk-snbt/daya-tampung-snbt</x:v>
      </x:c>
      <x:c r="AA4481" t="str">
        <x:v>Tidak Ada</x:v>
      </x:c>
      <x:c r="AB4481" t="str">
        <x:v>Campus=55; Ratio=22.9; Prodi=40; RelDemand=100.0; Capacity=66.7</x:v>
      </x:c>
    </x:row>
    <x:row r="4482">
      <x:c r="A4482" t="n">
        <x:v>4479</x:v>
      </x:c>
      <x:c r="B4482" t="str">
        <x:v>PTN Vokasi</x:v>
      </x:c>
      <x:c r="C4482" t="str">
        <x:v>POLITEKNIK NEGERI KETAPANG</x:v>
      </x:c>
      <x:c r="D4482" t="str">
        <x:v>AGROINDUSTRI</x:v>
      </x:c>
      <x:c r="E4482" t="str">
        <x:v>Diploma Tiga</x:v>
      </x:c>
      <x:c r="F4482" s="18" t="n">
        <x:v>40</x:v>
      </x:c>
      <x:c r="G4482" s="18" t="n">
        <x:v>28</x:v>
      </x:c>
      <x:c r="H4482" s="19" t="n">
        <x:v>0.7</x:v>
      </x:c>
      <x:c r="I4482" s="18" t="n">
        <x:f>ROUND(MIN(Model_Config_v3!$B$6,MAX(Q4482,R4482,S4482*Model_Config_v3!$B$4+T4482*Model_Config_v3!$B$5)),0)</x:f>
        <x:v>601</x:v>
      </x:c>
      <x:c r="J4482" s="18" t="n">
        <x:f>MIN(Model_Config_v3!$B$6,I4482+Model_Config_v3!$B$7)</x:f>
        <x:v>621</x:v>
      </x:c>
      <x:c r="K4482" s="20" t="n">
        <x:v>37.4</x:v>
      </x:c>
      <x:c r="L4482" t="str">
        <x:v>RELATIF LONGGAR</x:v>
      </x:c>
      <x:c r="M4482" t="str">
        <x:v>SEDANG</x:v>
      </x:c>
      <x:c r="N4482" t="str">
        <x:v>REGULER</x:v>
      </x:c>
      <x:c r="O4482" t="str">
        <x:v>CAMPURAN</x:v>
      </x:c>
      <x:c r="P4482" t="str">
        <x:v>UMUM</x:v>
      </x:c>
      <x:c r="Q4482" s="18" t="n">
        <x:v>0</x:v>
      </x:c>
      <x:c r="R4482" s="18" t="n">
        <x:v>0</x:v>
      </x:c>
      <x:c r="S4482" s="18" t="n">
        <x:v>520</x:v>
      </x:c>
      <x:c r="T4482" s="18" t="n">
        <x:v>635</x:v>
      </x:c>
      <x:c r="U4482" s="18" t="n">
        <x:v>520</x:v>
      </x:c>
      <x:c r="V4482" s="20" t="n">
        <x:v>8.8</x:v>
      </x:c>
      <x:c r="W4482" s="20" t="n">
        <x:v>9.9</x:v>
      </x:c>
      <x:c r="X4482" s="20" t="n">
        <x:v>3.3</x:v>
      </x:c>
      <x:c r="Y4482" t="str">
        <x:v>Basis arsip 2025/2024</x:v>
      </x:c>
      <x:c r="Z4482" t="str">
        <x:v>https://snpmb.id/utbk-snbt/daya-tampung-snbt</x:v>
      </x:c>
      <x:c r="AA4482" t="str">
        <x:v>Tidak Ada</x:v>
      </x:c>
      <x:c r="AB4482" t="str">
        <x:v>Campus=55; Ratio=0.0; Prodi=40; RelDemand=34.8; Capacity=66.7</x:v>
      </x:c>
    </x:row>
    <x:row r="4483">
      <x:c r="A4483" t="n">
        <x:v>4480</x:v>
      </x:c>
      <x:c r="B4483" t="str">
        <x:v>PTN Vokasi</x:v>
      </x:c>
      <x:c r="C4483" t="str">
        <x:v>POLITEKNIK NEGERI SAMBAS</x:v>
      </x:c>
      <x:c r="D4483" t="str">
        <x:v>AGROINDUSTRI PANGAN</x:v>
      </x:c>
      <x:c r="E4483" t="str">
        <x:v>Sarjana Terapan</x:v>
      </x:c>
      <x:c r="F4483" s="18" t="n">
        <x:v>45</x:v>
      </x:c>
      <x:c r="G4483" s="18" t="n">
        <x:v>61</x:v>
      </x:c>
      <x:c r="H4483" s="19" t="n">
        <x:v>1.3555555555555556</x:v>
      </x:c>
      <x:c r="I4483" s="18" t="n">
        <x:f>ROUND(MIN(Model_Config_v3!$B$6,MAX(Q4483,R4483,S4483*Model_Config_v3!$B$4+T4483*Model_Config_v3!$B$5)),0)</x:f>
        <x:v>608</x:v>
      </x:c>
      <x:c r="J4483" s="18" t="n">
        <x:f>MIN(Model_Config_v3!$B$6,I4483+Model_Config_v3!$B$7)</x:f>
        <x:v>628</x:v>
      </x:c>
      <x:c r="K4483" s="20" t="n">
        <x:v>39.3</x:v>
      </x:c>
      <x:c r="L4483" t="str">
        <x:v>RELATIF LONGGAR</x:v>
      </x:c>
      <x:c r="M4483" t="str">
        <x:v>SEDANG</x:v>
      </x:c>
      <x:c r="N4483" t="str">
        <x:v>REGULER</x:v>
      </x:c>
      <x:c r="O4483" t="str">
        <x:v>CAMPURAN</x:v>
      </x:c>
      <x:c r="P4483" t="str">
        <x:v>UMUM</x:v>
      </x:c>
      <x:c r="Q4483" s="18" t="n">
        <x:v>0</x:v>
      </x:c>
      <x:c r="R4483" s="18" t="n">
        <x:v>0</x:v>
      </x:c>
      <x:c r="S4483" s="18" t="n">
        <x:v>534.5329053358965</x:v>
      </x:c>
      <x:c r="T4483" s="18" t="n">
        <x:v>639</x:v>
      </x:c>
      <x:c r="U4483" s="18" t="n">
        <x:v>534.5329053358965</x:v>
      </x:c>
      <x:c r="V4483" s="20" t="n">
        <x:v>8.8</x:v>
      </x:c>
      <x:c r="W4483" s="20" t="n">
        <x:v>9.9</x:v>
      </x:c>
      <x:c r="X4483" s="20" t="n">
        <x:v>3.3</x:v>
      </x:c>
      <x:c r="Y4483" t="str">
        <x:v>Basis arsip 2025/2024</x:v>
      </x:c>
      <x:c r="Z4483" t="str">
        <x:v>https://snpmb.id/utbk-snbt/daya-tampung-snbt</x:v>
      </x:c>
      <x:c r="AA4483" t="str">
        <x:v>Tidak Ada</x:v>
      </x:c>
      <x:c r="AB4483" t="str">
        <x:v>Campus=55; Ratio=7.8; Prodi=40; RelDemand=38.4; Capacity=62.5</x:v>
      </x:c>
    </x:row>
    <x:row r="4484">
      <x:c r="A4484" t="n">
        <x:v>4481</x:v>
      </x:c>
      <x:c r="B4484" t="str">
        <x:v>PTN Vokasi</x:v>
      </x:c>
      <x:c r="C4484" t="str">
        <x:v>POLITEKNIK NEGERI SAMBAS</x:v>
      </x:c>
      <x:c r="D4484" t="str">
        <x:v>TEKNIK MULTIMEDIA</x:v>
      </x:c>
      <x:c r="E4484" t="str">
        <x:v>Sarjana Terapan</x:v>
      </x:c>
      <x:c r="F4484" s="18" t="n">
        <x:v>45</x:v>
      </x:c>
      <x:c r="G4484" s="18" t="n">
        <x:v>123</x:v>
      </x:c>
      <x:c r="H4484" s="19" t="n">
        <x:v>2.7333333333333334</x:v>
      </x:c>
      <x:c r="I4484" s="18" t="n">
        <x:f>ROUND(MIN(Model_Config_v3!$B$6,MAX(Q4484,R4484,S4484*Model_Config_v3!$B$4+T4484*Model_Config_v3!$B$5)),0)</x:f>
        <x:v>635</x:v>
      </x:c>
      <x:c r="J4484" s="18" t="n">
        <x:f>MIN(Model_Config_v3!$B$6,I4484+Model_Config_v3!$B$7)</x:f>
        <x:v>655</x:v>
      </x:c>
      <x:c r="K4484" s="20" t="n">
        <x:v>51.7</x:v>
      </x:c>
      <x:c r="L4484" t="str">
        <x:v>MENENGAH</x:v>
      </x:c>
      <x:c r="M4484" t="str">
        <x:v>SEDANG+</x:v>
      </x:c>
      <x:c r="N4484" t="str">
        <x:v>REGULER</x:v>
      </x:c>
      <x:c r="O4484" t="str">
        <x:v>SAINTEK</x:v>
      </x:c>
      <x:c r="P4484" t="str">
        <x:v>TEKNIK/ARSITEKTUR/STATISTIKA/AKTUARIA</x:v>
      </x:c>
      <x:c r="Q4484" s="18" t="n">
        <x:v>0</x:v>
      </x:c>
      <x:c r="R4484" s="18" t="n">
        <x:v>0</x:v>
      </x:c>
      <x:c r="S4484" s="18" t="n">
        <x:v>568.036185743046</x:v>
      </x:c>
      <x:c r="T4484" s="18" t="n">
        <x:v>663</x:v>
      </x:c>
      <x:c r="U4484" s="18" t="n">
        <x:v>578.036185743046</x:v>
      </x:c>
      <x:c r="V4484" s="20" t="n">
        <x:v>12</x:v>
      </x:c>
      <x:c r="W4484" s="20" t="n">
        <x:v>5</x:v>
      </x:c>
      <x:c r="X4484" s="20" t="n">
        <x:v>3</x:v>
      </x:c>
      <x:c r="Y4484" t="str">
        <x:v>Basis arsip 2025/2024</x:v>
      </x:c>
      <x:c r="Z4484" t="str">
        <x:v>https://snpmb.id/utbk-snbt/daya-tampung-snbt</x:v>
      </x:c>
      <x:c r="AA4484" t="str">
        <x:v>Tidak Ada</x:v>
      </x:c>
      <x:c r="AB4484" t="str">
        <x:v>Campus=55; Ratio=25.7; Prodi=60; RelDemand=77.4; Capacity=62.5</x:v>
      </x:c>
    </x:row>
    <x:row r="4485">
      <x:c r="A4485" t="n">
        <x:v>4482</x:v>
      </x:c>
      <x:c r="B4485" t="str">
        <x:v>PTN Vokasi</x:v>
      </x:c>
      <x:c r="C4485" t="str">
        <x:v>POLITEKNIK NEGERI SAMBAS</x:v>
      </x:c>
      <x:c r="D4485" t="str">
        <x:v>TEKNIK MESIN PERTANIAN</x:v>
      </x:c>
      <x:c r="E4485" t="str">
        <x:v>Sarjana Terapan</x:v>
      </x:c>
      <x:c r="F4485" s="18" t="n">
        <x:v>25</x:v>
      </x:c>
      <x:c r="G4485" s="18" t="n">
        <x:v>20</x:v>
      </x:c>
      <x:c r="H4485" s="19" t="n">
        <x:v>0.8</x:v>
      </x:c>
      <x:c r="I4485" s="18" t="n">
        <x:f>ROUND(MIN(Model_Config_v3!$B$6,MAX(Q4485,R4485,S4485*Model_Config_v3!$B$4+T4485*Model_Config_v3!$B$5)),0)</x:f>
        <x:v>606</x:v>
      </x:c>
      <x:c r="J4485" s="18" t="n">
        <x:f>MIN(Model_Config_v3!$B$6,I4485+Model_Config_v3!$B$7)</x:f>
        <x:v>626</x:v>
      </x:c>
      <x:c r="K4485" s="20" t="n">
        <x:v>41.4</x:v>
      </x:c>
      <x:c r="L4485" t="str">
        <x:v>RELATIF LONGGAR</x:v>
      </x:c>
      <x:c r="M4485" t="str">
        <x:v>SEDANG+</x:v>
      </x:c>
      <x:c r="N4485" t="str">
        <x:v>REGULER</x:v>
      </x:c>
      <x:c r="O4485" t="str">
        <x:v>SAINTEK</x:v>
      </x:c>
      <x:c r="P4485" t="str">
        <x:v>TEKNIK/ARSITEKTUR/STATISTIKA/AKTUARIA</x:v>
      </x:c>
      <x:c r="Q4485" s="18" t="n">
        <x:v>0</x:v>
      </x:c>
      <x:c r="R4485" s="18" t="n">
        <x:v>0</x:v>
      </x:c>
      <x:c r="S4485" s="18" t="n">
        <x:v>520</x:v>
      </x:c>
      <x:c r="T4485" s="18" t="n">
        <x:v>643</x:v>
      </x:c>
      <x:c r="U4485" s="18" t="n">
        <x:v>530</x:v>
      </x:c>
      <x:c r="V4485" s="20" t="n">
        <x:v>12</x:v>
      </x:c>
      <x:c r="W4485" s="20" t="n">
        <x:v>5</x:v>
      </x:c>
      <x:c r="X4485" s="20" t="n">
        <x:v>3</x:v>
      </x:c>
      <x:c r="Y4485" t="str">
        <x:v>Basis arsip 2025/2024</x:v>
      </x:c>
      <x:c r="Z4485" t="str">
        <x:v>https://snpmb.id/utbk-snbt/daya-tampung-snbt</x:v>
      </x:c>
      <x:c r="AA4485" t="str">
        <x:v>Tidak Ada</x:v>
      </x:c>
      <x:c r="AB4485" t="str">
        <x:v>Campus=55; Ratio=0.0; Prodi=60; RelDemand=22.7; Capacity=79.2</x:v>
      </x:c>
    </x:row>
    <x:row r="4486">
      <x:c r="A4486" t="n">
        <x:v>4483</x:v>
      </x:c>
      <x:c r="B4486" t="str">
        <x:v>PTN Vokasi</x:v>
      </x:c>
      <x:c r="C4486" t="str">
        <x:v>POLITEKNIK NEGERI SAMBAS</x:v>
      </x:c>
      <x:c r="D4486" t="str">
        <x:v>AGRIBISNIS PERIKANAN DAN KELAUTAN</x:v>
      </x:c>
      <x:c r="E4486" t="str">
        <x:v>Sarjana Terapan</x:v>
      </x:c>
      <x:c r="F4486" s="18" t="n">
        <x:v>30</x:v>
      </x:c>
      <x:c r="G4486" s="18" t="n">
        <x:v>27</x:v>
      </x:c>
      <x:c r="H4486" s="19" t="n">
        <x:v>0.9</x:v>
      </x:c>
      <x:c r="I4486" s="18" t="n">
        <x:f>ROUND(MIN(Model_Config_v3!$B$6,MAX(Q4486,R4486,S4486*Model_Config_v3!$B$4+T4486*Model_Config_v3!$B$5)),0)</x:f>
        <x:v>608</x:v>
      </x:c>
      <x:c r="J4486" s="18" t="n">
        <x:f>MIN(Model_Config_v3!$B$6,I4486+Model_Config_v3!$B$7)</x:f>
        <x:v>628</x:v>
      </x:c>
      <x:c r="K4486" s="20" t="n">
        <x:v>42.3</x:v>
      </x:c>
      <x:c r="L4486" t="str">
        <x:v>RELATIF LONGGAR</x:v>
      </x:c>
      <x:c r="M4486" t="str">
        <x:v>SEDANG+</x:v>
      </x:c>
      <x:c r="N4486" t="str">
        <x:v>REGULER</x:v>
      </x:c>
      <x:c r="O4486" t="str">
        <x:v>SAINTEK</x:v>
      </x:c>
      <x:c r="P4486" t="str">
        <x:v>BISNIS/EKONOMI/AKUNTANSI</x:v>
      </x:c>
      <x:c r="Q4486" s="18" t="n">
        <x:v>0</x:v>
      </x:c>
      <x:c r="R4486" s="18" t="n">
        <x:v>0</x:v>
      </x:c>
      <x:c r="S4486" s="18" t="n">
        <x:v>520</x:v>
      </x:c>
      <x:c r="T4486" s="18" t="n">
        <x:v>645</x:v>
      </x:c>
      <x:c r="U4486" s="18" t="n">
        <x:v>535</x:v>
      </x:c>
      <x:c r="V4486" s="20" t="n">
        <x:v>12</x:v>
      </x:c>
      <x:c r="W4486" s="20" t="n">
        <x:v>5</x:v>
      </x:c>
      <x:c r="X4486" s="20" t="n">
        <x:v>3</x:v>
      </x:c>
      <x:c r="Y4486" t="str">
        <x:v>Basis arsip 2025/2024</x:v>
      </x:c>
      <x:c r="Z4486" t="str">
        <x:v>https://snpmb.id/utbk-snbt/daya-tampung-snbt</x:v>
      </x:c>
      <x:c r="AA4486" t="str">
        <x:v>Tidak Ada</x:v>
      </x:c>
      <x:c r="AB4486" t="str">
        <x:v>Campus=55; Ratio=0.0; Prodi=65; RelDemand=25.5; Capacity=75.0</x:v>
      </x:c>
    </x:row>
    <x:row r="4487">
      <x:c r="A4487" t="n">
        <x:v>4484</x:v>
      </x:c>
      <x:c r="B4487" t="str">
        <x:v>PTN Vokasi</x:v>
      </x:c>
      <x:c r="C4487" t="str">
        <x:v>POLITEKNIK NEGERI SAMBAS</x:v>
      </x:c>
      <x:c r="D4487" t="str">
        <x:v>MANAJEMEN BISNIS PARIWISATA</x:v>
      </x:c>
      <x:c r="E4487" t="str">
        <x:v>Sarjana Terapan</x:v>
      </x:c>
      <x:c r="F4487" s="18" t="n">
        <x:v>45</x:v>
      </x:c>
      <x:c r="G4487" s="18" t="n">
        <x:v>109</x:v>
      </x:c>
      <x:c r="H4487" s="19" t="n">
        <x:v>2.422222222222222</x:v>
      </x:c>
      <x:c r="I4487" s="18" t="n">
        <x:f>ROUND(MIN(Model_Config_v3!$B$6,MAX(Q4487,R4487,S4487*Model_Config_v3!$B$4+T4487*Model_Config_v3!$B$5)),0)</x:f>
        <x:v>632</x:v>
      </x:c>
      <x:c r="J4487" s="18" t="n">
        <x:f>MIN(Model_Config_v3!$B$6,I4487+Model_Config_v3!$B$7)</x:f>
        <x:v>652</x:v>
      </x:c>
      <x:c r="K4487" s="20" t="n">
        <x:v>51</x:v>
      </x:c>
      <x:c r="L4487" t="str">
        <x:v>MENENGAH</x:v>
      </x:c>
      <x:c r="M4487" t="str">
        <x:v>SEDANG+</x:v>
      </x:c>
      <x:c r="N4487" t="str">
        <x:v>REGULER</x:v>
      </x:c>
      <x:c r="O4487" t="str">
        <x:v>SOSHUM</x:v>
      </x:c>
      <x:c r="P4487" t="str">
        <x:v>BISNIS/EKONOMI/AKUNTANSI</x:v>
      </x:c>
      <x:c r="Q4487" s="18" t="n">
        <x:v>0</x:v>
      </x:c>
      <x:c r="R4487" s="18" t="n">
        <x:v>0</x:v>
      </x:c>
      <x:c r="S4487" s="18" t="n">
        <x:v>562.2635382581808</x:v>
      </x:c>
      <x:c r="T4487" s="18" t="n">
        <x:v>662</x:v>
      </x:c>
      <x:c r="U4487" s="18" t="n">
        <x:v>577.2635382581808</x:v>
      </x:c>
      <x:c r="V4487" s="20" t="n">
        <x:v>4.4</x:v>
      </x:c>
      <x:c r="W4487" s="20" t="n">
        <x:v>14.3</x:v>
      </x:c>
      <x:c r="X4487" s="20" t="n">
        <x:v>3.3</x:v>
      </x:c>
      <x:c r="Y4487" t="str">
        <x:v>Basis arsip 2025/2024</x:v>
      </x:c>
      <x:c r="Z4487" t="str">
        <x:v>https://snpmb.id/utbk-snbt/daya-tampung-snbt</x:v>
      </x:c>
      <x:c r="AA4487" t="str">
        <x:v>Tidak Ada</x:v>
      </x:c>
      <x:c r="AB4487" t="str">
        <x:v>Campus=55; Ratio=22.6; Prodi=65; RelDemand=68.6; Capacity=62.5</x:v>
      </x:c>
    </x:row>
    <x:row r="4488">
      <x:c r="A4488" t="n">
        <x:v>4485</x:v>
      </x:c>
      <x:c r="B4488" t="str">
        <x:v>PTN Vokasi</x:v>
      </x:c>
      <x:c r="C4488" t="str">
        <x:v>POLITEKNIK NEGERI SAMBAS</x:v>
      </x:c>
      <x:c r="D4488" t="str">
        <x:v>AKUNTANSI KEUANGAN PERUSAHAAN</x:v>
      </x:c>
      <x:c r="E4488" t="str">
        <x:v>Sarjana Terapan</x:v>
      </x:c>
      <x:c r="F4488" s="18" t="n">
        <x:v>45</x:v>
      </x:c>
      <x:c r="G4488" s="18" t="n">
        <x:v>155</x:v>
      </x:c>
      <x:c r="H4488" s="19" t="n">
        <x:v>3.4444444444444446</x:v>
      </x:c>
      <x:c r="I4488" s="18" t="n">
        <x:f>ROUND(MIN(Model_Config_v3!$B$6,MAX(Q4488,R4488,S4488*Model_Config_v3!$B$4+T4488*Model_Config_v3!$B$5)),0)</x:f>
        <x:v>644</x:v>
      </x:c>
      <x:c r="J4488" s="18" t="n">
        <x:f>MIN(Model_Config_v3!$B$6,I4488+Model_Config_v3!$B$7)</x:f>
        <x:v>664</x:v>
      </x:c>
      <x:c r="K4488" s="20" t="n">
        <x:v>56.2</x:v>
      </x:c>
      <x:c r="L4488" t="str">
        <x:v>KETAT</x:v>
      </x:c>
      <x:c r="M4488" t="str">
        <x:v>SEDANG+</x:v>
      </x:c>
      <x:c r="N4488" t="str">
        <x:v>REGULER</x:v>
      </x:c>
      <x:c r="O4488" t="str">
        <x:v>SOSHUM</x:v>
      </x:c>
      <x:c r="P4488" t="str">
        <x:v>BISNIS/EKONOMI/AKUNTANSI</x:v>
      </x:c>
      <x:c r="Q4488" s="18" t="n">
        <x:v>0</x:v>
      </x:c>
      <x:c r="R4488" s="18" t="n">
        <x:v>0</x:v>
      </x:c>
      <x:c r="S4488" s="18" t="n">
        <x:v>579.0831102834443</x:v>
      </x:c>
      <x:c r="T4488" s="18" t="n">
        <x:v>672</x:v>
      </x:c>
      <x:c r="U4488" s="18" t="n">
        <x:v>579.0831102834443</x:v>
      </x:c>
      <x:c r="V4488" s="20" t="n">
        <x:v>4.4</x:v>
      </x:c>
      <x:c r="W4488" s="20" t="n">
        <x:v>14.3</x:v>
      </x:c>
      <x:c r="X4488" s="20" t="n">
        <x:v>3.3</x:v>
      </x:c>
      <x:c r="Y4488" t="str">
        <x:v>Basis arsip 2025/2024</x:v>
      </x:c>
      <x:c r="Z4488" t="str">
        <x:v>https://snpmb.id/utbk-snbt/daya-tampung-snbt</x:v>
      </x:c>
      <x:c r="AA4488" t="str">
        <x:v>Tidak Ada</x:v>
      </x:c>
      <x:c r="AB4488" t="str">
        <x:v>Campus=55; Ratio=31.6; Prodi=65; RelDemand=97.6; Capacity=62.5</x:v>
      </x:c>
    </x:row>
    <x:row r="4489">
      <x:c r="A4489" t="n">
        <x:v>4486</x:v>
      </x:c>
      <x:c r="B4489" t="str">
        <x:v>PTN Vokasi</x:v>
      </x:c>
      <x:c r="C4489" t="str">
        <x:v>POLITEKNIK NEGERI SAMBAS</x:v>
      </x:c>
      <x:c r="D4489" t="str">
        <x:v>AKUNTANSI SEKTOR PUBLIK</x:v>
      </x:c>
      <x:c r="E4489" t="str">
        <x:v>Sarjana Terapan</x:v>
      </x:c>
      <x:c r="F4489" s="18" t="n">
        <x:v>45</x:v>
      </x:c>
      <x:c r="G4489" s="18" t="n">
        <x:v>48</x:v>
      </x:c>
      <x:c r="H4489" s="19" t="n">
        <x:v>1.0666666666666667</x:v>
      </x:c>
      <x:c r="I4489" s="18" t="n">
        <x:f>ROUND(MIN(Model_Config_v3!$B$6,MAX(Q4489,R4489,S4489*Model_Config_v3!$B$4+T4489*Model_Config_v3!$B$5)),0)</x:f>
        <x:v>608</x:v>
      </x:c>
      <x:c r="J4489" s="18" t="n">
        <x:f>MIN(Model_Config_v3!$B$6,I4489+Model_Config_v3!$B$7)</x:f>
        <x:v>628</x:v>
      </x:c>
      <x:c r="K4489" s="20" t="n">
        <x:v>41.9</x:v>
      </x:c>
      <x:c r="L4489" t="str">
        <x:v>RELATIF LONGGAR</x:v>
      </x:c>
      <x:c r="M4489" t="str">
        <x:v>SEDANG+</x:v>
      </x:c>
      <x:c r="N4489" t="str">
        <x:v>REGULER</x:v>
      </x:c>
      <x:c r="O4489" t="str">
        <x:v>SOSHUM</x:v>
      </x:c>
      <x:c r="P4489" t="str">
        <x:v>BISNIS/EKONOMI/AKUNTANSI</x:v>
      </x:c>
      <x:c r="Q4489" s="18" t="n">
        <x:v>0</x:v>
      </x:c>
      <x:c r="R4489" s="18" t="n">
        <x:v>0</x:v>
      </x:c>
      <x:c r="S4489" s="18" t="n">
        <x:v>523.0831595960268</x:v>
      </x:c>
      <x:c r="T4489" s="18" t="n">
        <x:v>644</x:v>
      </x:c>
      <x:c r="U4489" s="18" t="n">
        <x:v>523.0831595960268</x:v>
      </x:c>
      <x:c r="V4489" s="20" t="n">
        <x:v>4.4</x:v>
      </x:c>
      <x:c r="W4489" s="20" t="n">
        <x:v>14.3</x:v>
      </x:c>
      <x:c r="X4489" s="20" t="n">
        <x:v>3.3</x:v>
      </x:c>
      <x:c r="Y4489" t="str">
        <x:v>Basis arsip 2025/2024</x:v>
      </x:c>
      <x:c r="Z4489" t="str">
        <x:v>https://snpmb.id/utbk-snbt/daya-tampung-snbt</x:v>
      </x:c>
      <x:c r="AA4489" t="str">
        <x:v>Tidak Ada</x:v>
      </x:c>
      <x:c r="AB4489" t="str">
        <x:v>Campus=55; Ratio=1.6; Prodi=65; RelDemand=30.2; Capacity=62.5</x:v>
      </x:c>
    </x:row>
    <x:row r="4490">
      <x:c r="A4490" t="n">
        <x:v>4487</x:v>
      </x:c>
      <x:c r="B4490" t="str">
        <x:v>PTN Vokasi</x:v>
      </x:c>
      <x:c r="C4490" t="str">
        <x:v>POLITEKNIK NEGERI SAMBAS</x:v>
      </x:c>
      <x:c r="D4490" t="str">
        <x:v>PENGELOLAAN PERKEBUNAN</x:v>
      </x:c>
      <x:c r="E4490" t="str">
        <x:v>Sarjana Terapan</x:v>
      </x:c>
      <x:c r="F4490" s="18" t="n">
        <x:v>30</x:v>
      </x:c>
      <x:c r="G4490" s="18"/>
      <x:c r="H4490" s="19" t="n">
        <x:v>0</x:v>
      </x:c>
      <x:c r="I4490" s="18" t="n">
        <x:f>ROUND(MIN(Model_Config_v3!$B$6,MAX(Q4490,R4490,S4490*Model_Config_v3!$B$4+T4490*Model_Config_v3!$B$5)),0)</x:f>
        <x:v>597</x:v>
      </x:c>
      <x:c r="J4490" s="18" t="n">
        <x:f>MIN(Model_Config_v3!$B$6,I4490+Model_Config_v3!$B$7)</x:f>
        <x:v>617</x:v>
      </x:c>
      <x:c r="K4490" s="20" t="n">
        <x:v>34.8</x:v>
      </x:c>
      <x:c r="L4490" t="str">
        <x:v>RELATIF LONGGAR</x:v>
      </x:c>
      <x:c r="M4490" t="str">
        <x:v>RENDAH</x:v>
      </x:c>
      <x:c r="N4490" t="str">
        <x:v>REGULER</x:v>
      </x:c>
      <x:c r="O4490" t="str">
        <x:v>CAMPURAN</x:v>
      </x:c>
      <x:c r="P4490" t="str">
        <x:v>UMUM</x:v>
      </x:c>
      <x:c r="Q4490" s="18" t="n">
        <x:v>0</x:v>
      </x:c>
      <x:c r="R4490" s="18" t="n">
        <x:v>0</x:v>
      </x:c>
      <x:c r="S4490" s="18" t="n">
        <x:v>520</x:v>
      </x:c>
      <x:c r="T4490" s="18" t="n">
        <x:v>630</x:v>
      </x:c>
      <x:c r="U4490" s="18" t="n">
        <x:v>520</x:v>
      </x:c>
      <x:c r="V4490" s="20" t="n">
        <x:v>8.8</x:v>
      </x:c>
      <x:c r="W4490" s="20" t="n">
        <x:v>9.9</x:v>
      </x:c>
      <x:c r="X4490" s="20" t="n">
        <x:v>3.3</x:v>
      </x:c>
      <x:c r="Y4490" t="str">
        <x:v>Basis arsip 2025/2024</x:v>
      </x:c>
      <x:c r="Z4490" t="str">
        <x:v>https://snpmb.id/utbk-snbt/daya-tampung-snbt</x:v>
      </x:c>
      <x:c r="AA4490" t="str">
        <x:v>Tidak Ada</x:v>
      </x:c>
      <x:c r="AB4490" t="str">
        <x:v>Campus=55; Ratio=0.0; Prodi=40; RelDemand=0.0; Capacity=75.0</x:v>
      </x:c>
    </x:row>
    <x:row r="4491">
      <x:c r="A4491" t="n">
        <x:v>4488</x:v>
      </x:c>
      <x:c r="B4491" t="str">
        <x:v>PTN Vokasi</x:v>
      </x:c>
      <x:c r="C4491" t="str">
        <x:v>POLITEKNIK NEGERI SAMBAS</x:v>
      </x:c>
      <x:c r="D4491" t="str">
        <x:v>AGROBISNIS</x:v>
      </x:c>
      <x:c r="E4491" t="str">
        <x:v>Diploma Tiga</x:v>
      </x:c>
      <x:c r="F4491" s="18" t="n">
        <x:v>33</x:v>
      </x:c>
      <x:c r="G4491" s="18" t="n">
        <x:v>73</x:v>
      </x:c>
      <x:c r="H4491" s="19" t="n">
        <x:v>2.212121212121212</x:v>
      </x:c>
      <x:c r="I4491" s="18" t="n">
        <x:f>ROUND(MIN(Model_Config_v3!$B$6,MAX(Q4491,R4491,S4491*Model_Config_v3!$B$4+T4491*Model_Config_v3!$B$5)),0)</x:f>
        <x:v>631</x:v>
      </x:c>
      <x:c r="J4491" s="18" t="n">
        <x:f>MIN(Model_Config_v3!$B$6,I4491+Model_Config_v3!$B$7)</x:f>
        <x:v>651</x:v>
      </x:c>
      <x:c r="K4491" s="20" t="n">
        <x:v>50.8</x:v>
      </x:c>
      <x:c r="L4491" t="str">
        <x:v>MENENGAH</x:v>
      </x:c>
      <x:c r="M4491" t="str">
        <x:v>SEDANG+</x:v>
      </x:c>
      <x:c r="N4491" t="str">
        <x:v>REGULER</x:v>
      </x:c>
      <x:c r="O4491" t="str">
        <x:v>SOSHUM</x:v>
      </x:c>
      <x:c r="P4491" t="str">
        <x:v>BISNIS/EKONOMI/AKUNTANSI</x:v>
      </x:c>
      <x:c r="Q4491" s="18" t="n">
        <x:v>0</x:v>
      </x:c>
      <x:c r="R4491" s="18" t="n">
        <x:v>0</x:v>
      </x:c>
      <x:c r="S4491" s="18" t="n">
        <x:v>557.9289812266825</x:v>
      </x:c>
      <x:c r="T4491" s="18" t="n">
        <x:v>662</x:v>
      </x:c>
      <x:c r="U4491" s="18" t="n">
        <x:v>572.9289812266825</x:v>
      </x:c>
      <x:c r="V4491" s="20" t="n">
        <x:v>4.4</x:v>
      </x:c>
      <x:c r="W4491" s="20" t="n">
        <x:v>14.3</x:v>
      </x:c>
      <x:c r="X4491" s="20" t="n">
        <x:v>3.3</x:v>
      </x:c>
      <x:c r="Y4491" t="str">
        <x:v>Basis arsip 2025/2024</x:v>
      </x:c>
      <x:c r="Z4491" t="str">
        <x:v>https://snpmb.id/utbk-snbt/daya-tampung-snbt</x:v>
      </x:c>
      <x:c r="AA4491" t="str">
        <x:v>Tidak Ada</x:v>
      </x:c>
      <x:c r="AB4491" t="str">
        <x:v>Campus=55; Ratio=20.3; Prodi=65; RelDemand=62.7; Capacity=72.5</x:v>
      </x:c>
    </x:row>
    <x:row r="4492">
      <x:c r="A4492" t="n">
        <x:v>4489</x:v>
      </x:c>
      <x:c r="B4492" t="str">
        <x:v>PTN Vokasi</x:v>
      </x:c>
      <x:c r="C4492" t="str">
        <x:v>POLITEKNIK NEGERI SAMBAS</x:v>
      </x:c>
      <x:c r="D4492" t="str">
        <x:v>MANAJEMEN INFORMATIKA</x:v>
      </x:c>
      <x:c r="E4492" t="str">
        <x:v>Diploma Tiga</x:v>
      </x:c>
      <x:c r="F4492" s="18" t="n">
        <x:v>45</x:v>
      </x:c>
      <x:c r="G4492" s="18" t="n">
        <x:v>143</x:v>
      </x:c>
      <x:c r="H4492" s="19" t="n">
        <x:v>3.1777777777777776</x:v>
      </x:c>
      <x:c r="I4492" s="18" t="n">
        <x:f>ROUND(MIN(Model_Config_v3!$B$6,MAX(Q4492,R4492,S4492*Model_Config_v3!$B$4+T4492*Model_Config_v3!$B$5)),0)</x:f>
        <x:v>647</x:v>
      </x:c>
      <x:c r="J4492" s="18" t="n">
        <x:f>MIN(Model_Config_v3!$B$6,I4492+Model_Config_v3!$B$7)</x:f>
        <x:v>667</x:v>
      </x:c>
      <x:c r="K4492" s="20" t="n">
        <x:v>58.9</x:v>
      </x:c>
      <x:c r="L4492" t="str">
        <x:v>KETAT</x:v>
      </x:c>
      <x:c r="M4492" t="str">
        <x:v>SEDANG+</x:v>
      </x:c>
      <x:c r="N4492" t="str">
        <x:v>REGULER</x:v>
      </x:c>
      <x:c r="O4492" t="str">
        <x:v>SAINTEK</x:v>
      </x:c>
      <x:c r="P4492" t="str">
        <x:v>KOMPUTER/INFORMATIKA</x:v>
      </x:c>
      <x:c r="Q4492" s="18" t="n">
        <x:v>0</x:v>
      </x:c>
      <x:c r="R4492" s="18" t="n">
        <x:v>0</x:v>
      </x:c>
      <x:c r="S4492" s="18" t="n">
        <x:v>575.233587605869</x:v>
      </x:c>
      <x:c r="T4492" s="18" t="n">
        <x:v>678</x:v>
      </x:c>
      <x:c r="U4492" s="18" t="n">
        <x:v>600.233587605869</x:v>
      </x:c>
      <x:c r="V4492" s="20" t="n">
        <x:v>12</x:v>
      </x:c>
      <x:c r="W4492" s="20" t="n">
        <x:v>5</x:v>
      </x:c>
      <x:c r="X4492" s="20" t="n">
        <x:v>3</x:v>
      </x:c>
      <x:c r="Y4492" t="str">
        <x:v>Basis arsip 2025/2024</x:v>
      </x:c>
      <x:c r="Z4492" t="str">
        <x:v>https://snpmb.id/utbk-snbt/daya-tampung-snbt</x:v>
      </x:c>
      <x:c r="AA4492" t="str">
        <x:v>Tidak Ada</x:v>
      </x:c>
      <x:c r="AB4492" t="str">
        <x:v>Campus=55; Ratio=29.6; Prodi=85; RelDemand=90.0; Capacity=62.5</x:v>
      </x:c>
    </x:row>
    <x:row r="4493">
      <x:c r="A4493" t="n">
        <x:v>4490</x:v>
      </x:c>
      <x:c r="B4493" t="str">
        <x:v>PTN Vokasi</x:v>
      </x:c>
      <x:c r="C4493" t="str">
        <x:v>POLITEKNIK NEGERI SAMBAS</x:v>
      </x:c>
      <x:c r="D4493" t="str">
        <x:v>TEKNIK MESIN</x:v>
      </x:c>
      <x:c r="E4493" t="str">
        <x:v>Diploma Tiga</x:v>
      </x:c>
      <x:c r="F4493" s="18" t="n">
        <x:v>30</x:v>
      </x:c>
      <x:c r="G4493" s="18" t="n">
        <x:v>39</x:v>
      </x:c>
      <x:c r="H4493" s="19" t="n">
        <x:v>1.3</x:v>
      </x:c>
      <x:c r="I4493" s="18" t="n">
        <x:f>ROUND(MIN(Model_Config_v3!$B$6,MAX(Q4493,R4493,S4493*Model_Config_v3!$B$4+T4493*Model_Config_v3!$B$5)),0)</x:f>
        <x:v>613</x:v>
      </x:c>
      <x:c r="J4493" s="18" t="n">
        <x:f>MIN(Model_Config_v3!$B$6,I4493+Model_Config_v3!$B$7)</x:f>
        <x:v>633</x:v>
      </x:c>
      <x:c r="K4493" s="20" t="n">
        <x:v>44.1</x:v>
      </x:c>
      <x:c r="L4493" t="str">
        <x:v>RELATIF LONGGAR</x:v>
      </x:c>
      <x:c r="M4493" t="str">
        <x:v>SEDANG+</x:v>
      </x:c>
      <x:c r="N4493" t="str">
        <x:v>REGULER</x:v>
      </x:c>
      <x:c r="O4493" t="str">
        <x:v>SAINTEK</x:v>
      </x:c>
      <x:c r="P4493" t="str">
        <x:v>TEKNIK/ARSITEKTUR/STATISTIKA/AKTUARIA</x:v>
      </x:c>
      <x:c r="Q4493" s="18" t="n">
        <x:v>0</x:v>
      </x:c>
      <x:c r="R4493" s="18" t="n">
        <x:v>0</x:v>
      </x:c>
      <x:c r="S4493" s="18" t="n">
        <x:v>532.533768753752</x:v>
      </x:c>
      <x:c r="T4493" s="18" t="n">
        <x:v>648</x:v>
      </x:c>
      <x:c r="U4493" s="18" t="n">
        <x:v>542.533768753752</x:v>
      </x:c>
      <x:c r="V4493" s="20" t="n">
        <x:v>12</x:v>
      </x:c>
      <x:c r="W4493" s="20" t="n">
        <x:v>5</x:v>
      </x:c>
      <x:c r="X4493" s="20" t="n">
        <x:v>3</x:v>
      </x:c>
      <x:c r="Y4493" t="str">
        <x:v>Basis arsip 2025/2024</x:v>
      </x:c>
      <x:c r="Z4493" t="str">
        <x:v>https://snpmb.id/utbk-snbt/daya-tampung-snbt</x:v>
      </x:c>
      <x:c r="AA4493" t="str">
        <x:v>Tidak Ada</x:v>
      </x:c>
      <x:c r="AB4493" t="str">
        <x:v>Campus=55; Ratio=6.7; Prodi=60; RelDemand=36.8; Capacity=75.0</x:v>
      </x:c>
    </x:row>
    <x:row r="4494">
      <x:c r="A4494" t="n">
        <x:v>4491</x:v>
      </x:c>
      <x:c r="B4494" t="str">
        <x:v>PTN Vokasi</x:v>
      </x:c>
      <x:c r="C4494" t="str">
        <x:v>POLITEKNIK NEGERI BANJARMASIN</x:v>
      </x:c>
      <x:c r="D4494" t="str">
        <x:v>TEKNIK BANGUNAN RAWA</x:v>
      </x:c>
      <x:c r="E4494" t="str">
        <x:v>Sarjana Terapan</x:v>
      </x:c>
      <x:c r="F4494" s="18" t="n">
        <x:v>30</x:v>
      </x:c>
      <x:c r="G4494" s="18" t="n">
        <x:v>18</x:v>
      </x:c>
      <x:c r="H4494" s="19" t="n">
        <x:v>0.6</x:v>
      </x:c>
      <x:c r="I4494" s="18" t="n">
        <x:f>ROUND(MIN(Model_Config_v3!$B$6,MAX(Q4494,R4494,S4494*Model_Config_v3!$B$4+T4494*Model_Config_v3!$B$5)),0)</x:f>
        <x:v>604</x:v>
      </x:c>
      <x:c r="J4494" s="18" t="n">
        <x:f>MIN(Model_Config_v3!$B$6,I4494+Model_Config_v3!$B$7)</x:f>
        <x:v>624</x:v>
      </x:c>
      <x:c r="K4494" s="20" t="n">
        <x:v>40</x:v>
      </x:c>
      <x:c r="L4494" t="str">
        <x:v>RELATIF LONGGAR</x:v>
      </x:c>
      <x:c r="M4494" t="str">
        <x:v>SEDANG+</x:v>
      </x:c>
      <x:c r="N4494" t="str">
        <x:v>REGULER</x:v>
      </x:c>
      <x:c r="O4494" t="str">
        <x:v>SAINTEK</x:v>
      </x:c>
      <x:c r="P4494" t="str">
        <x:v>TEKNIK/ARSITEKTUR/STATISTIKA/AKTUARIA</x:v>
      </x:c>
      <x:c r="Q4494" s="18" t="n">
        <x:v>0</x:v>
      </x:c>
      <x:c r="R4494" s="18" t="n">
        <x:v>0</x:v>
      </x:c>
      <x:c r="S4494" s="18" t="n">
        <x:v>520</x:v>
      </x:c>
      <x:c r="T4494" s="18" t="n">
        <x:v>640</x:v>
      </x:c>
      <x:c r="U4494" s="18" t="n">
        <x:v>530</x:v>
      </x:c>
      <x:c r="V4494" s="20" t="n">
        <x:v>12</x:v>
      </x:c>
      <x:c r="W4494" s="20" t="n">
        <x:v>5</x:v>
      </x:c>
      <x:c r="X4494" s="20" t="n">
        <x:v>3</x:v>
      </x:c>
      <x:c r="Y4494" t="str">
        <x:v>Basis arsip 2025/2024</x:v>
      </x:c>
      <x:c r="Z4494" t="str">
        <x:v>https://snpmb.id/utbk-snbt/daya-tampung-snbt</x:v>
      </x:c>
      <x:c r="AA4494" t="str">
        <x:v>Tidak Ada</x:v>
      </x:c>
      <x:c r="AB4494" t="str">
        <x:v>Campus=55; Ratio=0.0; Prodi=60; RelDemand=12.3; Capacity=75.0</x:v>
      </x:c>
    </x:row>
    <x:row r="4495">
      <x:c r="A4495" t="n">
        <x:v>4492</x:v>
      </x:c>
      <x:c r="B4495" t="str">
        <x:v>PTN Vokasi</x:v>
      </x:c>
      <x:c r="C4495" t="str">
        <x:v>POLITEKNIK NEGERI BANJARMASIN</x:v>
      </x:c>
      <x:c r="D4495" t="str">
        <x:v>TEKNOLOGI REKAYASA KONSTRUKSI JALAN DAN JEMBATAN</x:v>
      </x:c>
      <x:c r="E4495" t="str">
        <x:v>Sarjana Terapan</x:v>
      </x:c>
      <x:c r="F4495" s="18" t="n">
        <x:v>30</x:v>
      </x:c>
      <x:c r="G4495" s="18" t="n">
        <x:v>40</x:v>
      </x:c>
      <x:c r="H4495" s="19" t="n">
        <x:v>1.3333333333333333</x:v>
      </x:c>
      <x:c r="I4495" s="18" t="n">
        <x:f>ROUND(MIN(Model_Config_v3!$B$6,MAX(Q4495,R4495,S4495*Model_Config_v3!$B$4+T4495*Model_Config_v3!$B$5)),0)</x:f>
        <x:v>607</x:v>
      </x:c>
      <x:c r="J4495" s="18" t="n">
        <x:f>MIN(Model_Config_v3!$B$6,I4495+Model_Config_v3!$B$7)</x:f>
        <x:v>627</x:v>
      </x:c>
      <x:c r="K4495" s="20" t="n">
        <x:v>39.3</x:v>
      </x:c>
      <x:c r="L4495" t="str">
        <x:v>RELATIF LONGGAR</x:v>
      </x:c>
      <x:c r="M4495" t="str">
        <x:v>SEDANG</x:v>
      </x:c>
      <x:c r="N4495" t="str">
        <x:v>REGULER</x:v>
      </x:c>
      <x:c r="O4495" t="str">
        <x:v>SAINTEK</x:v>
      </x:c>
      <x:c r="P4495" t="str">
        <x:v>UMUM</x:v>
      </x:c>
      <x:c r="Q4495" s="18" t="n">
        <x:v>0</x:v>
      </x:c>
      <x:c r="R4495" s="18" t="n">
        <x:v>0</x:v>
      </x:c>
      <x:c r="S4495" s="18" t="n">
        <x:v>533.7432610269129</x:v>
      </x:c>
      <x:c r="T4495" s="18" t="n">
        <x:v>639</x:v>
      </x:c>
      <x:c r="U4495" s="18" t="n">
        <x:v>533.7432610269129</x:v>
      </x:c>
      <x:c r="V4495" s="20" t="n">
        <x:v>12</x:v>
      </x:c>
      <x:c r="W4495" s="20" t="n">
        <x:v>5</x:v>
      </x:c>
      <x:c r="X4495" s="20" t="n">
        <x:v>3</x:v>
      </x:c>
      <x:c r="Y4495" t="str">
        <x:v>Basis arsip 2025/2024</x:v>
      </x:c>
      <x:c r="Z4495" t="str">
        <x:v>https://snpmb.id/utbk-snbt/daya-tampung-snbt</x:v>
      </x:c>
      <x:c r="AA4495" t="str">
        <x:v>Tidak Ada</x:v>
      </x:c>
      <x:c r="AB4495" t="str">
        <x:v>Campus=55; Ratio=7.4; Prodi=40; RelDemand=27.3; Capacity=75.0</x:v>
      </x:c>
    </x:row>
    <x:row r="4496">
      <x:c r="A4496" t="n">
        <x:v>4493</x:v>
      </x:c>
      <x:c r="B4496" t="str">
        <x:v>PTN Vokasi</x:v>
      </x:c>
      <x:c r="C4496" t="str">
        <x:v>POLITEKNIK NEGERI BANJARMASIN</x:v>
      </x:c>
      <x:c r="D4496" t="str">
        <x:v>TEKNOLOGI REKAYASA PEMBANGKIT ENERGI</x:v>
      </x:c>
      <x:c r="E4496" t="str">
        <x:v>Sarjana Terapan</x:v>
      </x:c>
      <x:c r="F4496" s="18" t="n">
        <x:v>30</x:v>
      </x:c>
      <x:c r="G4496" s="18" t="n">
        <x:v>20</x:v>
      </x:c>
      <x:c r="H4496" s="19" t="n">
        <x:v>0.6666666666666666</x:v>
      </x:c>
      <x:c r="I4496" s="18" t="n">
        <x:f>ROUND(MIN(Model_Config_v3!$B$6,MAX(Q4496,R4496,S4496*Model_Config_v3!$B$4+T4496*Model_Config_v3!$B$5)),0)</x:f>
        <x:v>598</x:v>
      </x:c>
      <x:c r="J4496" s="18" t="n">
        <x:f>MIN(Model_Config_v3!$B$6,I4496+Model_Config_v3!$B$7)</x:f>
        <x:v>618</x:v>
      </x:c>
      <x:c r="K4496" s="20" t="n">
        <x:v>36.1</x:v>
      </x:c>
      <x:c r="L4496" t="str">
        <x:v>RELATIF LONGGAR</x:v>
      </x:c>
      <x:c r="M4496" t="str">
        <x:v>SEDANG</x:v>
      </x:c>
      <x:c r="N4496" t="str">
        <x:v>REGULER</x:v>
      </x:c>
      <x:c r="O4496" t="str">
        <x:v>SAINTEK</x:v>
      </x:c>
      <x:c r="P4496" t="str">
        <x:v>UMUM</x:v>
      </x:c>
      <x:c r="Q4496" s="18" t="n">
        <x:v>0</x:v>
      </x:c>
      <x:c r="R4496" s="18" t="n">
        <x:v>0</x:v>
      </x:c>
      <x:c r="S4496" s="18" t="n">
        <x:v>520</x:v>
      </x:c>
      <x:c r="T4496" s="18" t="n">
        <x:v>632</x:v>
      </x:c>
      <x:c r="U4496" s="18" t="n">
        <x:v>520</x:v>
      </x:c>
      <x:c r="V4496" s="20" t="n">
        <x:v>12</x:v>
      </x:c>
      <x:c r="W4496" s="20" t="n">
        <x:v>5</x:v>
      </x:c>
      <x:c r="X4496" s="20" t="n">
        <x:v>3</x:v>
      </x:c>
      <x:c r="Y4496" t="str">
        <x:v>Basis arsip 2025/2024</x:v>
      </x:c>
      <x:c r="Z4496" t="str">
        <x:v>https://snpmb.id/utbk-snbt/daya-tampung-snbt</x:v>
      </x:c>
      <x:c r="AA4496" t="str">
        <x:v>Tidak Ada</x:v>
      </x:c>
      <x:c r="AB4496" t="str">
        <x:v>Campus=55; Ratio=0.0; Prodi=40; RelDemand=13.6; Capacity=75.0</x:v>
      </x:c>
    </x:row>
    <x:row r="4497">
      <x:c r="A4497" t="n">
        <x:v>4494</x:v>
      </x:c>
      <x:c r="B4497" t="str">
        <x:v>PTN Vokasi</x:v>
      </x:c>
      <x:c r="C4497" t="str">
        <x:v>POLITEKNIK NEGERI BANJARMASIN</x:v>
      </x:c>
      <x:c r="D4497" t="str">
        <x:v>SISTEM INFORMASI KOTA CERDAS</x:v>
      </x:c>
      <x:c r="E4497" t="str">
        <x:v>Sarjana Terapan</x:v>
      </x:c>
      <x:c r="F4497" s="18" t="n">
        <x:v>30</x:v>
      </x:c>
      <x:c r="G4497" s="18" t="n">
        <x:v>70</x:v>
      </x:c>
      <x:c r="H4497" s="19" t="n">
        <x:v>2.3333333333333335</x:v>
      </x:c>
      <x:c r="I4497" s="18" t="n">
        <x:f>ROUND(MIN(Model_Config_v3!$B$6,MAX(Q4497,R4497,S4497*Model_Config_v3!$B$4+T4497*Model_Config_v3!$B$5)),0)</x:f>
        <x:v>636</x:v>
      </x:c>
      <x:c r="J4497" s="18" t="n">
        <x:f>MIN(Model_Config_v3!$B$6,I4497+Model_Config_v3!$B$7)</x:f>
        <x:v>656</x:v>
      </x:c>
      <x:c r="K4497" s="20" t="n">
        <x:v>53.9</x:v>
      </x:c>
      <x:c r="L4497" t="str">
        <x:v>MENENGAH</x:v>
      </x:c>
      <x:c r="M4497" t="str">
        <x:v>SEDANG+</x:v>
      </x:c>
      <x:c r="N4497" t="str">
        <x:v>REGULER</x:v>
      </x:c>
      <x:c r="O4497" t="str">
        <x:v>CAMPURAN</x:v>
      </x:c>
      <x:c r="P4497" t="str">
        <x:v>KOMPUTER/INFORMATIKA</x:v>
      </x:c>
      <x:c r="Q4497" s="18" t="n">
        <x:v>0</x:v>
      </x:c>
      <x:c r="R4497" s="18" t="n">
        <x:v>0</x:v>
      </x:c>
      <x:c r="S4497" s="18" t="n">
        <x:v>560.4774463824053</x:v>
      </x:c>
      <x:c r="T4497" s="18" t="n">
        <x:v>668</x:v>
      </x:c>
      <x:c r="U4497" s="18" t="n">
        <x:v>585.4774463824053</x:v>
      </x:c>
      <x:c r="V4497" s="20" t="n">
        <x:v>8.8</x:v>
      </x:c>
      <x:c r="W4497" s="20" t="n">
        <x:v>9.9</x:v>
      </x:c>
      <x:c r="X4497" s="20" t="n">
        <x:v>3.3</x:v>
      </x:c>
      <x:c r="Y4497" t="str">
        <x:v>Basis arsip 2025/2024</x:v>
      </x:c>
      <x:c r="Z4497" t="str">
        <x:v>https://snpmb.id/utbk-snbt/daya-tampung-snbt</x:v>
      </x:c>
      <x:c r="AA4497" t="str">
        <x:v>Tidak Ada</x:v>
      </x:c>
      <x:c r="AB4497" t="str">
        <x:v>Campus=55; Ratio=21.7; Prodi=85; RelDemand=47.8; Capacity=75.0</x:v>
      </x:c>
    </x:row>
    <x:row r="4498">
      <x:c r="A4498" t="n">
        <x:v>4495</x:v>
      </x:c>
      <x:c r="B4498" t="str">
        <x:v>PTN Vokasi</x:v>
      </x:c>
      <x:c r="C4498" t="str">
        <x:v>POLITEKNIK NEGERI BANJARMASIN</x:v>
      </x:c>
      <x:c r="D4498" t="str">
        <x:v>AKUNTANSI LEMBAGA KEUANGAN SYARIAH</x:v>
      </x:c>
      <x:c r="E4498" t="str">
        <x:v>Sarjana Terapan</x:v>
      </x:c>
      <x:c r="F4498" s="18" t="n">
        <x:v>30</x:v>
      </x:c>
      <x:c r="G4498" s="18" t="n">
        <x:v>130</x:v>
      </x:c>
      <x:c r="H4498" s="19" t="n">
        <x:v>4.333333333333333</x:v>
      </x:c>
      <x:c r="I4498" s="18" t="n">
        <x:f>ROUND(MIN(Model_Config_v3!$B$6,MAX(Q4498,R4498,S4498*Model_Config_v3!$B$4+T4498*Model_Config_v3!$B$5)),0)</x:f>
        <x:v>650</x:v>
      </x:c>
      <x:c r="J4498" s="18" t="n">
        <x:f>MIN(Model_Config_v3!$B$6,I4498+Model_Config_v3!$B$7)</x:f>
        <x:v>670</x:v>
      </x:c>
      <x:c r="K4498" s="20" t="n">
        <x:v>58</x:v>
      </x:c>
      <x:c r="L4498" t="str">
        <x:v>KETAT</x:v>
      </x:c>
      <x:c r="M4498" t="str">
        <x:v>SEDANG+</x:v>
      </x:c>
      <x:c r="N4498" t="str">
        <x:v>REGULER</x:v>
      </x:c>
      <x:c r="O4498" t="str">
        <x:v>SOSHUM</x:v>
      </x:c>
      <x:c r="P4498" t="str">
        <x:v>BISNIS/EKONOMI/AKUNTANSI</x:v>
      </x:c>
      <x:c r="Q4498" s="18" t="n">
        <x:v>0</x:v>
      </x:c>
      <x:c r="R4498" s="18" t="n">
        <x:v>0</x:v>
      </x:c>
      <x:c r="S4498" s="18" t="n">
        <x:v>590.0504307345892</x:v>
      </x:c>
      <x:c r="T4498" s="18" t="n">
        <x:v>676</x:v>
      </x:c>
      <x:c r="U4498" s="18" t="n">
        <x:v>590.0504307345892</x:v>
      </x:c>
      <x:c r="V4498" s="20" t="n">
        <x:v>4.4</x:v>
      </x:c>
      <x:c r="W4498" s="20" t="n">
        <x:v>14.3</x:v>
      </x:c>
      <x:c r="X4498" s="20" t="n">
        <x:v>3.3</x:v>
      </x:c>
      <x:c r="Y4498" t="str">
        <x:v>Basis arsip 2025/2024</x:v>
      </x:c>
      <x:c r="Z4498" t="str">
        <x:v>https://snpmb.id/utbk-snbt/daya-tampung-snbt</x:v>
      </x:c>
      <x:c r="AA4498" t="str">
        <x:v>Tidak Ada</x:v>
      </x:c>
      <x:c r="AB4498" t="str">
        <x:v>Campus=55; Ratio=37.5; Prodi=65; RelDemand=88.7; Capacity=75.0</x:v>
      </x:c>
    </x:row>
    <x:row r="4499">
      <x:c r="A4499" t="n">
        <x:v>4496</x:v>
      </x:c>
      <x:c r="B4499" t="str">
        <x:v>PTN Vokasi</x:v>
      </x:c>
      <x:c r="C4499" t="str">
        <x:v>POLITEKNIK NEGERI BANJARMASIN</x:v>
      </x:c>
      <x:c r="D4499" t="str">
        <x:v>BISNIS DIGITAL</x:v>
      </x:c>
      <x:c r="E4499" t="str">
        <x:v>Sarjana Terapan</x:v>
      </x:c>
      <x:c r="F4499" s="18" t="n">
        <x:v>60</x:v>
      </x:c>
      <x:c r="G4499" s="18" t="n">
        <x:v>227</x:v>
      </x:c>
      <x:c r="H4499" s="19" t="n">
        <x:v>3.783333333333333</x:v>
      </x:c>
      <x:c r="I4499" s="18" t="n">
        <x:f>ROUND(MIN(Model_Config_v3!$B$6,MAX(Q4499,R4499,S4499*Model_Config_v3!$B$4+T4499*Model_Config_v3!$B$5)),0)</x:f>
        <x:v>642</x:v>
      </x:c>
      <x:c r="J4499" s="18" t="n">
        <x:f>MIN(Model_Config_v3!$B$6,I4499+Model_Config_v3!$B$7)</x:f>
        <x:v>662</x:v>
      </x:c>
      <x:c r="K4499" s="20" t="n">
        <x:v>53.5</x:v>
      </x:c>
      <x:c r="L4499" t="str">
        <x:v>MENENGAH</x:v>
      </x:c>
      <x:c r="M4499" t="str">
        <x:v>SEDANG+</x:v>
      </x:c>
      <x:c r="N4499" t="str">
        <x:v>REGULER</x:v>
      </x:c>
      <x:c r="O4499" t="str">
        <x:v>SOSHUM</x:v>
      </x:c>
      <x:c r="P4499" t="str">
        <x:v>BISNIS/EKONOMI/AKUNTANSI</x:v>
      </x:c>
      <x:c r="Q4499" s="18" t="n">
        <x:v>0</x:v>
      </x:c>
      <x:c r="R4499" s="18" t="n">
        <x:v>0</x:v>
      </x:c>
      <x:c r="S4499" s="18" t="n">
        <x:v>583.5662067490427</x:v>
      </x:c>
      <x:c r="T4499" s="18" t="n">
        <x:v>667</x:v>
      </x:c>
      <x:c r="U4499" s="18" t="n">
        <x:v>598.5662067490427</x:v>
      </x:c>
      <x:c r="V4499" s="20" t="n">
        <x:v>4.4</x:v>
      </x:c>
      <x:c r="W4499" s="20" t="n">
        <x:v>14.3</x:v>
      </x:c>
      <x:c r="X4499" s="20" t="n">
        <x:v>3.3</x:v>
      </x:c>
      <x:c r="Y4499" t="str">
        <x:v>Basis arsip 2025/2024</x:v>
      </x:c>
      <x:c r="Z4499" t="str">
        <x:v>https://snpmb.id/utbk-snbt/daya-tampung-snbt</x:v>
      </x:c>
      <x:c r="AA4499" t="str">
        <x:v>Tidak Ada</x:v>
      </x:c>
      <x:c r="AB4499" t="str">
        <x:v>Campus=55; Ratio=34.0; Prodi=65; RelDemand=77.4; Capacity=50.0</x:v>
      </x:c>
    </x:row>
    <x:row r="4500">
      <x:c r="A4500" t="n">
        <x:v>4497</x:v>
      </x:c>
      <x:c r="B4500" t="str">
        <x:v>PTN Vokasi</x:v>
      </x:c>
      <x:c r="C4500" t="str">
        <x:v>POLITEKNIK NEGERI BANJARMASIN</x:v>
      </x:c>
      <x:c r="D4500" t="str">
        <x:v>TEKNOLOGI REKAYASA GEOMATIKA DAN SURVEI</x:v>
      </x:c>
      <x:c r="E4500" t="str">
        <x:v>Sarjana Terapan</x:v>
      </x:c>
      <x:c r="F4500" s="18" t="n">
        <x:v>30</x:v>
      </x:c>
      <x:c r="G4500" s="18" t="n">
        <x:v>29</x:v>
      </x:c>
      <x:c r="H4500" s="19" t="n">
        <x:v>0.9666666666666667</x:v>
      </x:c>
      <x:c r="I4500" s="18" t="n">
        <x:f>ROUND(MIN(Model_Config_v3!$B$6,MAX(Q4500,R4500,S4500*Model_Config_v3!$B$4+T4500*Model_Config_v3!$B$5)),0)</x:f>
        <x:v>599</x:v>
      </x:c>
      <x:c r="J4500" s="18" t="n">
        <x:f>MIN(Model_Config_v3!$B$6,I4500+Model_Config_v3!$B$7)</x:f>
        <x:v>619</x:v>
      </x:c>
      <x:c r="K4500" s="20" t="n">
        <x:v>36.7</x:v>
      </x:c>
      <x:c r="L4500" t="str">
        <x:v>RELATIF LONGGAR</x:v>
      </x:c>
      <x:c r="M4500" t="str">
        <x:v>SEDANG</x:v>
      </x:c>
      <x:c r="N4500" t="str">
        <x:v>REGULER</x:v>
      </x:c>
      <x:c r="O4500" t="str">
        <x:v>SAINTEK</x:v>
      </x:c>
      <x:c r="P4500" t="str">
        <x:v>UMUM</x:v>
      </x:c>
      <x:c r="Q4500" s="18" t="n">
        <x:v>0</x:v>
      </x:c>
      <x:c r="R4500" s="18" t="n">
        <x:v>0</x:v>
      </x:c>
      <x:c r="S4500" s="18" t="n">
        <x:v>520</x:v>
      </x:c>
      <x:c r="T4500" s="18" t="n">
        <x:v>633</x:v>
      </x:c>
      <x:c r="U4500" s="18" t="n">
        <x:v>520</x:v>
      </x:c>
      <x:c r="V4500" s="20" t="n">
        <x:v>12</x:v>
      </x:c>
      <x:c r="W4500" s="20" t="n">
        <x:v>5</x:v>
      </x:c>
      <x:c r="X4500" s="20" t="n">
        <x:v>3</x:v>
      </x:c>
      <x:c r="Y4500" t="str">
        <x:v>Basis arsip 2025/2024</x:v>
      </x:c>
      <x:c r="Z4500" t="str">
        <x:v>https://snpmb.id/utbk-snbt/daya-tampung-snbt</x:v>
      </x:c>
      <x:c r="AA4500" t="str">
        <x:v>Tidak Ada</x:v>
      </x:c>
      <x:c r="AB4500" t="str">
        <x:v>Campus=55; Ratio=0.0; Prodi=40; RelDemand=19.8; Capacity=75.0</x:v>
      </x:c>
    </x:row>
    <x:row r="4501">
      <x:c r="A4501" t="n">
        <x:v>4498</x:v>
      </x:c>
      <x:c r="B4501" t="str">
        <x:v>PTN Vokasi</x:v>
      </x:c>
      <x:c r="C4501" t="str">
        <x:v>POLITEKNIK NEGERI BANJARMASIN</x:v>
      </x:c>
      <x:c r="D4501" t="str">
        <x:v>TEKNOLOGI REKAYASA OTOMOTIF</x:v>
      </x:c>
      <x:c r="E4501" t="str">
        <x:v>Sarjana Terapan</x:v>
      </x:c>
      <x:c r="F4501" s="18" t="n">
        <x:v>45</x:v>
      </x:c>
      <x:c r="G4501" s="18" t="n">
        <x:v>33</x:v>
      </x:c>
      <x:c r="H4501" s="19" t="n">
        <x:v>0.7333333333333333</x:v>
      </x:c>
      <x:c r="I4501" s="18" t="n">
        <x:f>ROUND(MIN(Model_Config_v3!$B$6,MAX(Q4501,R4501,S4501*Model_Config_v3!$B$4+T4501*Model_Config_v3!$B$5)),0)</x:f>
        <x:v>597</x:v>
      </x:c>
      <x:c r="J4501" s="18" t="n">
        <x:f>MIN(Model_Config_v3!$B$6,I4501+Model_Config_v3!$B$7)</x:f>
        <x:v>617</x:v>
      </x:c>
      <x:c r="K4501" s="20" t="n">
        <x:v>35</x:v>
      </x:c>
      <x:c r="L4501" t="str">
        <x:v>RELATIF LONGGAR</x:v>
      </x:c>
      <x:c r="M4501" t="str">
        <x:v>SEDANG</x:v>
      </x:c>
      <x:c r="N4501" t="str">
        <x:v>REGULER</x:v>
      </x:c>
      <x:c r="O4501" t="str">
        <x:v>SAINTEK</x:v>
      </x:c>
      <x:c r="P4501" t="str">
        <x:v>UMUM</x:v>
      </x:c>
      <x:c r="Q4501" s="18" t="n">
        <x:v>0</x:v>
      </x:c>
      <x:c r="R4501" s="18" t="n">
        <x:v>0</x:v>
      </x:c>
      <x:c r="S4501" s="18" t="n">
        <x:v>520</x:v>
      </x:c>
      <x:c r="T4501" s="18" t="n">
        <x:v>630</x:v>
      </x:c>
      <x:c r="U4501" s="18" t="n">
        <x:v>520</x:v>
      </x:c>
      <x:c r="V4501" s="20" t="n">
        <x:v>12</x:v>
      </x:c>
      <x:c r="W4501" s="20" t="n">
        <x:v>5</x:v>
      </x:c>
      <x:c r="X4501" s="20" t="n">
        <x:v>3</x:v>
      </x:c>
      <x:c r="Y4501" t="str">
        <x:v>Basis arsip 2025/2024</x:v>
      </x:c>
      <x:c r="Z4501" t="str">
        <x:v>https://snpmb.id/utbk-snbt/daya-tampung-snbt</x:v>
      </x:c>
      <x:c r="AA4501" t="str">
        <x:v>Tidak Ada</x:v>
      </x:c>
      <x:c r="AB4501" t="str">
        <x:v>Campus=55; Ratio=0.0; Prodi=40; RelDemand=15.0; Capacity=62.5</x:v>
      </x:c>
    </x:row>
    <x:row r="4502">
      <x:c r="A4502" t="n">
        <x:v>4499</x:v>
      </x:c>
      <x:c r="B4502" t="str">
        <x:v>PTN Vokasi</x:v>
      </x:c>
      <x:c r="C4502" t="str">
        <x:v>POLITEKNIK NEGERI BANJARMASIN</x:v>
      </x:c>
      <x:c r="D4502" t="str">
        <x:v>TEKNOLOGI REKAYASA OTOMASI</x:v>
      </x:c>
      <x:c r="E4502" t="str">
        <x:v>Sarjana Terapan</x:v>
      </x:c>
      <x:c r="F4502" s="18" t="n">
        <x:v>15</x:v>
      </x:c>
      <x:c r="G4502" s="18" t="n">
        <x:v>4</x:v>
      </x:c>
      <x:c r="H4502" s="19" t="n">
        <x:v>0.26666666666666666</x:v>
      </x:c>
      <x:c r="I4502" s="18" t="n">
        <x:f>ROUND(MIN(Model_Config_v3!$B$6,MAX(Q4502,R4502,S4502*Model_Config_v3!$B$4+T4502*Model_Config_v3!$B$5)),0)</x:f>
        <x:v>599</x:v>
      </x:c>
      <x:c r="J4502" s="18" t="n">
        <x:f>MIN(Model_Config_v3!$B$6,I4502+Model_Config_v3!$B$7)</x:f>
        <x:v>619</x:v>
      </x:c>
      <x:c r="K4502" s="20" t="n">
        <x:v>36.5</x:v>
      </x:c>
      <x:c r="L4502" t="str">
        <x:v>RELATIF LONGGAR</x:v>
      </x:c>
      <x:c r="M4502" t="str">
        <x:v>SEDANG</x:v>
      </x:c>
      <x:c r="N4502" t="str">
        <x:v>REGULER</x:v>
      </x:c>
      <x:c r="O4502" t="str">
        <x:v>SAINTEK</x:v>
      </x:c>
      <x:c r="P4502" t="str">
        <x:v>UMUM</x:v>
      </x:c>
      <x:c r="Q4502" s="18" t="n">
        <x:v>0</x:v>
      </x:c>
      <x:c r="R4502" s="18" t="n">
        <x:v>0</x:v>
      </x:c>
      <x:c r="S4502" s="18" t="n">
        <x:v>520</x:v>
      </x:c>
      <x:c r="T4502" s="18" t="n">
        <x:v>633</x:v>
      </x:c>
      <x:c r="U4502" s="18" t="n">
        <x:v>520</x:v>
      </x:c>
      <x:c r="V4502" s="20" t="n">
        <x:v>12</x:v>
      </x:c>
      <x:c r="W4502" s="20" t="n">
        <x:v>5</x:v>
      </x:c>
      <x:c r="X4502" s="20" t="n">
        <x:v>3</x:v>
      </x:c>
      <x:c r="Y4502" t="str">
        <x:v>Basis arsip 2025/2024</x:v>
      </x:c>
      <x:c r="Z4502" t="str">
        <x:v>https://snpmb.id/utbk-snbt/daya-tampung-snbt</x:v>
      </x:c>
      <x:c r="AA4502" t="str">
        <x:v>Tidak Ada</x:v>
      </x:c>
      <x:c r="AB4502" t="str">
        <x:v>Campus=55; Ratio=0.0; Prodi=40; RelDemand=5.5; Capacity=87.5</x:v>
      </x:c>
    </x:row>
    <x:row r="4503">
      <x:c r="A4503" t="n">
        <x:v>4500</x:v>
      </x:c>
      <x:c r="B4503" t="str">
        <x:v>PTN Vokasi</x:v>
      </x:c>
      <x:c r="C4503" t="str">
        <x:v>POLITEKNIK NEGERI BANJARMASIN</x:v>
      </x:c>
      <x:c r="D4503" t="str">
        <x:v>KOMPUTERISASI AKUNTANSI</x:v>
      </x:c>
      <x:c r="E4503" t="str">
        <x:v>Diploma Tiga</x:v>
      </x:c>
      <x:c r="F4503" s="18" t="n">
        <x:v>30</x:v>
      </x:c>
      <x:c r="G4503" s="18" t="n">
        <x:v>31</x:v>
      </x:c>
      <x:c r="H4503" s="19" t="n">
        <x:v>1.0333333333333334</x:v>
      </x:c>
      <x:c r="I4503" s="18" t="n">
        <x:f>ROUND(MIN(Model_Config_v3!$B$6,MAX(Q4503,R4503,S4503*Model_Config_v3!$B$4+T4503*Model_Config_v3!$B$5)),0)</x:f>
        <x:v>607</x:v>
      </x:c>
      <x:c r="J4503" s="18" t="n">
        <x:f>MIN(Model_Config_v3!$B$6,I4503+Model_Config_v3!$B$7)</x:f>
        <x:v>627</x:v>
      </x:c>
      <x:c r="K4503" s="20" t="n">
        <x:v>42.1</x:v>
      </x:c>
      <x:c r="L4503" t="str">
        <x:v>RELATIF LONGGAR</x:v>
      </x:c>
      <x:c r="M4503" t="str">
        <x:v>SEDANG+</x:v>
      </x:c>
      <x:c r="N4503" t="str">
        <x:v>REGULER</x:v>
      </x:c>
      <x:c r="O4503" t="str">
        <x:v>SAINTEK</x:v>
      </x:c>
      <x:c r="P4503" t="str">
        <x:v>BISNIS/EKONOMI/AKUNTANSI</x:v>
      </x:c>
      <x:c r="Q4503" s="18" t="n">
        <x:v>0</x:v>
      </x:c>
      <x:c r="R4503" s="18" t="n">
        <x:v>0</x:v>
      </x:c>
      <x:c r="S4503" s="18" t="n">
        <x:v>521.5664483026071</x:v>
      </x:c>
      <x:c r="T4503" s="18" t="n">
        <x:v>644</x:v>
      </x:c>
      <x:c r="U4503" s="18" t="n">
        <x:v>521.5664483026071</x:v>
      </x:c>
      <x:c r="V4503" s="20" t="n">
        <x:v>12</x:v>
      </x:c>
      <x:c r="W4503" s="20" t="n">
        <x:v>5</x:v>
      </x:c>
      <x:c r="X4503" s="20" t="n">
        <x:v>3</x:v>
      </x:c>
      <x:c r="Y4503" t="str">
        <x:v>Basis arsip 2025/2024</x:v>
      </x:c>
      <x:c r="Z4503" t="str">
        <x:v>https://snpmb.id/utbk-snbt/daya-tampung-snbt</x:v>
      </x:c>
      <x:c r="AA4503" t="str">
        <x:v>Tidak Ada</x:v>
      </x:c>
      <x:c r="AB4503" t="str">
        <x:v>Campus=55; Ratio=0.8; Prodi=65; RelDemand=21.1; Capacity=75.0</x:v>
      </x:c>
    </x:row>
    <x:row r="4504">
      <x:c r="A4504" t="n">
        <x:v>4501</x:v>
      </x:c>
      <x:c r="B4504" t="str">
        <x:v>PTN Vokasi</x:v>
      </x:c>
      <x:c r="C4504" t="str">
        <x:v>POLITEKNIK NEGERI BANJARMASIN</x:v>
      </x:c>
      <x:c r="D4504" t="str">
        <x:v>TEKNIK LISTRIK</x:v>
      </x:c>
      <x:c r="E4504" t="str">
        <x:v>Diploma Tiga</x:v>
      </x:c>
      <x:c r="F4504" s="18" t="n">
        <x:v>60</x:v>
      </x:c>
      <x:c r="G4504" s="18" t="n">
        <x:v>51</x:v>
      </x:c>
      <x:c r="H4504" s="19" t="n">
        <x:v>0.85</x:v>
      </x:c>
      <x:c r="I4504" s="18" t="n">
        <x:f>ROUND(MIN(Model_Config_v3!$B$6,MAX(Q4504,R4504,S4504*Model_Config_v3!$B$4+T4504*Model_Config_v3!$B$5)),0)</x:f>
        <x:v>601</x:v>
      </x:c>
      <x:c r="J4504" s="18" t="n">
        <x:f>MIN(Model_Config_v3!$B$6,I4504+Model_Config_v3!$B$7)</x:f>
        <x:v>621</x:v>
      </x:c>
      <x:c r="K4504" s="20" t="n">
        <x:v>38</x:v>
      </x:c>
      <x:c r="L4504" t="str">
        <x:v>RELATIF LONGGAR</x:v>
      </x:c>
      <x:c r="M4504" t="str">
        <x:v>SEDANG+</x:v>
      </x:c>
      <x:c r="N4504" t="str">
        <x:v>REGULER</x:v>
      </x:c>
      <x:c r="O4504" t="str">
        <x:v>SAINTEK</x:v>
      </x:c>
      <x:c r="P4504" t="str">
        <x:v>TEKNIK/ARSITEKTUR/STATISTIKA/AKTUARIA</x:v>
      </x:c>
      <x:c r="Q4504" s="18" t="n">
        <x:v>0</x:v>
      </x:c>
      <x:c r="R4504" s="18" t="n">
        <x:v>0</x:v>
      </x:c>
      <x:c r="S4504" s="18" t="n">
        <x:v>520</x:v>
      </x:c>
      <x:c r="T4504" s="18" t="n">
        <x:v>636</x:v>
      </x:c>
      <x:c r="U4504" s="18" t="n">
        <x:v>530</x:v>
      </x:c>
      <x:c r="V4504" s="20" t="n">
        <x:v>12</x:v>
      </x:c>
      <x:c r="W4504" s="20" t="n">
        <x:v>5</x:v>
      </x:c>
      <x:c r="X4504" s="20" t="n">
        <x:v>3</x:v>
      </x:c>
      <x:c r="Y4504" t="str">
        <x:v>Basis arsip 2025/2024</x:v>
      </x:c>
      <x:c r="Z4504" t="str">
        <x:v>https://snpmb.id/utbk-snbt/daya-tampung-snbt</x:v>
      </x:c>
      <x:c r="AA4504" t="str">
        <x:v>Tidak Ada</x:v>
      </x:c>
      <x:c r="AB4504" t="str">
        <x:v>Campus=55; Ratio=0.0; Prodi=60; RelDemand=17.4; Capacity=50.0</x:v>
      </x:c>
    </x:row>
    <x:row r="4505">
      <x:c r="A4505" t="n">
        <x:v>4502</x:v>
      </x:c>
      <x:c r="B4505" t="str">
        <x:v>PTN Vokasi</x:v>
      </x:c>
      <x:c r="C4505" t="str">
        <x:v>POLITEKNIK NEGERI BANJARMASIN</x:v>
      </x:c>
      <x:c r="D4505" t="str">
        <x:v>MANAJEMEN INFORMATIKA</x:v>
      </x:c>
      <x:c r="E4505" t="str">
        <x:v>Diploma Tiga</x:v>
      </x:c>
      <x:c r="F4505" s="18" t="n">
        <x:v>75</x:v>
      </x:c>
      <x:c r="G4505" s="18" t="n">
        <x:v>183</x:v>
      </x:c>
      <x:c r="H4505" s="19" t="n">
        <x:v>2.44</x:v>
      </x:c>
      <x:c r="I4505" s="18" t="n">
        <x:f>ROUND(MIN(Model_Config_v3!$B$6,MAX(Q4505,R4505,S4505*Model_Config_v3!$B$4+T4505*Model_Config_v3!$B$5)),0)</x:f>
        <x:v>631</x:v>
      </x:c>
      <x:c r="J4505" s="18" t="n">
        <x:f>MIN(Model_Config_v3!$B$6,I4505+Model_Config_v3!$B$7)</x:f>
        <x:v>651</x:v>
      </x:c>
      <x:c r="K4505" s="20" t="n">
        <x:v>50.7</x:v>
      </x:c>
      <x:c r="L4505" t="str">
        <x:v>MENENGAH</x:v>
      </x:c>
      <x:c r="M4505" t="str">
        <x:v>SEDANG+</x:v>
      </x:c>
      <x:c r="N4505" t="str">
        <x:v>REGULER</x:v>
      </x:c>
      <x:c r="O4505" t="str">
        <x:v>SAINTEK</x:v>
      </x:c>
      <x:c r="P4505" t="str">
        <x:v>KOMPUTER/INFORMATIKA</x:v>
      </x:c>
      <x:c r="Q4505" s="18" t="n">
        <x:v>0</x:v>
      </x:c>
      <x:c r="R4505" s="18" t="n">
        <x:v>0</x:v>
      </x:c>
      <x:c r="S4505" s="18" t="n">
        <x:v>562.6128808972602</x:v>
      </x:c>
      <x:c r="T4505" s="18" t="n">
        <x:v>661</x:v>
      </x:c>
      <x:c r="U4505" s="18" t="n">
        <x:v>587.6128808972602</x:v>
      </x:c>
      <x:c r="V4505" s="20" t="n">
        <x:v>12</x:v>
      </x:c>
      <x:c r="W4505" s="20" t="n">
        <x:v>5</x:v>
      </x:c>
      <x:c r="X4505" s="20" t="n">
        <x:v>3</x:v>
      </x:c>
      <x:c r="Y4505" t="str">
        <x:v>Basis arsip 2025/2024</x:v>
      </x:c>
      <x:c r="Z4505" t="str">
        <x:v>https://snpmb.id/utbk-snbt/daya-tampung-snbt</x:v>
      </x:c>
      <x:c r="AA4505" t="str">
        <x:v>Tidak Ada</x:v>
      </x:c>
      <x:c r="AB4505" t="str">
        <x:v>Campus=55; Ratio=22.8; Prodi=85; RelDemand=49.9; Capacity=37.5</x:v>
      </x:c>
    </x:row>
    <x:row r="4506">
      <x:c r="A4506" t="n">
        <x:v>4503</x:v>
      </x:c>
      <x:c r="B4506" t="str">
        <x:v>PTN Vokasi</x:v>
      </x:c>
      <x:c r="C4506" t="str">
        <x:v>POLITEKNIK NEGERI BANJARMASIN</x:v>
      </x:c>
      <x:c r="D4506" t="str">
        <x:v>ADMINISTRASI BISNIS</x:v>
      </x:c>
      <x:c r="E4506" t="str">
        <x:v>Diploma Tiga</x:v>
      </x:c>
      <x:c r="F4506" s="18" t="n">
        <x:v>90</x:v>
      </x:c>
      <x:c r="G4506" s="18" t="n">
        <x:v>492</x:v>
      </x:c>
      <x:c r="H4506" s="19" t="n">
        <x:v>5.466666666666667</x:v>
      </x:c>
      <x:c r="I4506" s="18" t="n">
        <x:f>ROUND(MIN(Model_Config_v3!$B$6,MAX(Q4506,R4506,S4506*Model_Config_v3!$B$4+T4506*Model_Config_v3!$B$5)),0)</x:f>
        <x:v>650</x:v>
      </x:c>
      <x:c r="J4506" s="18" t="n">
        <x:f>MIN(Model_Config_v3!$B$6,I4506+Model_Config_v3!$B$7)</x:f>
        <x:v>670</x:v>
      </x:c>
      <x:c r="K4506" s="20" t="n">
        <x:v>55.6</x:v>
      </x:c>
      <x:c r="L4506" t="str">
        <x:v>KETAT</x:v>
      </x:c>
      <x:c r="M4506" t="str">
        <x:v>SEDANG+</x:v>
      </x:c>
      <x:c r="N4506" t="str">
        <x:v>REGULER</x:v>
      </x:c>
      <x:c r="O4506" t="str">
        <x:v>SOSHUM</x:v>
      </x:c>
      <x:c r="P4506" t="str">
        <x:v>BISNIS/EKONOMI/AKUNTANSI</x:v>
      </x:c>
      <x:c r="Q4506" s="18" t="n">
        <x:v>0</x:v>
      </x:c>
      <x:c r="R4506" s="18" t="n">
        <x:v>0</x:v>
      </x:c>
      <x:c r="S4506" s="18" t="n">
        <x:v>601.1494852660838</x:v>
      </x:c>
      <x:c r="T4506" s="18" t="n">
        <x:v>671</x:v>
      </x:c>
      <x:c r="U4506" s="18" t="n">
        <x:v>616.1494852660838</x:v>
      </x:c>
      <x:c r="V4506" s="20" t="n">
        <x:v>4.4</x:v>
      </x:c>
      <x:c r="W4506" s="20" t="n">
        <x:v>14.3</x:v>
      </x:c>
      <x:c r="X4506" s="20" t="n">
        <x:v>3.3</x:v>
      </x:c>
      <x:c r="Y4506" t="str">
        <x:v>Basis arsip 2025/2024</x:v>
      </x:c>
      <x:c r="Z4506" t="str">
        <x:v>https://snpmb.id/utbk-snbt/daya-tampung-snbt</x:v>
      </x:c>
      <x:c r="AA4506" t="str">
        <x:v>Tidak Ada</x:v>
      </x:c>
      <x:c r="AB4506" t="str">
        <x:v>Campus=55; Ratio=43.4; Prodi=65; RelDemand=100.0; Capacity=25.0</x:v>
      </x:c>
    </x:row>
    <x:row r="4507">
      <x:c r="A4507" t="n">
        <x:v>4504</x:v>
      </x:c>
      <x:c r="B4507" t="str">
        <x:v>PTN Vokasi</x:v>
      </x:c>
      <x:c r="C4507" t="str">
        <x:v>POLITEKNIK NEGERI BANJARMASIN</x:v>
      </x:c>
      <x:c r="D4507" t="str">
        <x:v>TEKNIK MESIN</x:v>
      </x:c>
      <x:c r="E4507" t="str">
        <x:v>Diploma Tiga</x:v>
      </x:c>
      <x:c r="F4507" s="18" t="n">
        <x:v>45</x:v>
      </x:c>
      <x:c r="G4507" s="18" t="n">
        <x:v>82</x:v>
      </x:c>
      <x:c r="H4507" s="19" t="n">
        <x:v>1.8222222222222222</x:v>
      </x:c>
      <x:c r="I4507" s="18" t="n">
        <x:f>ROUND(MIN(Model_Config_v3!$B$6,MAX(Q4507,R4507,S4507*Model_Config_v3!$B$4+T4507*Model_Config_v3!$B$5)),0)</x:f>
        <x:v>620</x:v>
      </x:c>
      <x:c r="J4507" s="18" t="n">
        <x:f>MIN(Model_Config_v3!$B$6,I4507+Model_Config_v3!$B$7)</x:f>
        <x:v>640</x:v>
      </x:c>
      <x:c r="K4507" s="20" t="n">
        <x:v>45.1</x:v>
      </x:c>
      <x:c r="L4507" t="str">
        <x:v>MENENGAH</x:v>
      </x:c>
      <x:c r="M4507" t="str">
        <x:v>SEDANG+</x:v>
      </x:c>
      <x:c r="N4507" t="str">
        <x:v>REGULER</x:v>
      </x:c>
      <x:c r="O4507" t="str">
        <x:v>SAINTEK</x:v>
      </x:c>
      <x:c r="P4507" t="str">
        <x:v>TEKNIK/ARSITEKTUR/STATISTIKA/AKTUARIA</x:v>
      </x:c>
      <x:c r="Q4507" s="18" t="n">
        <x:v>0</x:v>
      </x:c>
      <x:c r="R4507" s="18" t="n">
        <x:v>0</x:v>
      </x:c>
      <x:c r="S4507" s="18" t="n">
        <x:v>548.666147246921</x:v>
      </x:c>
      <x:c r="T4507" s="18" t="n">
        <x:v>650</x:v>
      </x:c>
      <x:c r="U4507" s="18" t="n">
        <x:v>558.666147246921</x:v>
      </x:c>
      <x:c r="V4507" s="20" t="n">
        <x:v>12</x:v>
      </x:c>
      <x:c r="W4507" s="20" t="n">
        <x:v>5</x:v>
      </x:c>
      <x:c r="X4507" s="20" t="n">
        <x:v>3</x:v>
      </x:c>
      <x:c r="Y4507" t="str">
        <x:v>Basis arsip 2025/2024</x:v>
      </x:c>
      <x:c r="Z4507" t="str">
        <x:v>https://snpmb.id/utbk-snbt/daya-tampung-snbt</x:v>
      </x:c>
      <x:c r="AA4507" t="str">
        <x:v>Tidak Ada</x:v>
      </x:c>
      <x:c r="AB4507" t="str">
        <x:v>Campus=55; Ratio=15.3; Prodi=60; RelDemand=37.3; Capacity=62.5</x:v>
      </x:c>
    </x:row>
    <x:row r="4508">
      <x:c r="A4508" t="n">
        <x:v>4505</x:v>
      </x:c>
      <x:c r="B4508" t="str">
        <x:v>PTN Vokasi</x:v>
      </x:c>
      <x:c r="C4508" t="str">
        <x:v>POLITEKNIK NEGERI BANJARMASIN</x:v>
      </x:c>
      <x:c r="D4508" t="str">
        <x:v>AKUNTANSI</x:v>
      </x:c>
      <x:c r="E4508" t="str">
        <x:v>Diploma Tiga</x:v>
      </x:c>
      <x:c r="F4508" s="18" t="n">
        <x:v>45</x:v>
      </x:c>
      <x:c r="G4508" s="18" t="n">
        <x:v>174</x:v>
      </x:c>
      <x:c r="H4508" s="19" t="n">
        <x:v>3.8666666666666667</x:v>
      </x:c>
      <x:c r="I4508" s="18" t="n">
        <x:f>ROUND(MIN(Model_Config_v3!$B$6,MAX(Q4508,R4508,S4508*Model_Config_v3!$B$4+T4508*Model_Config_v3!$B$5)),0)</x:f>
        <x:v>644</x:v>
      </x:c>
      <x:c r="J4508" s="18" t="n">
        <x:f>MIN(Model_Config_v3!$B$6,I4508+Model_Config_v3!$B$7)</x:f>
        <x:v>664</x:v>
      </x:c>
      <x:c r="K4508" s="20" t="n">
        <x:v>55.1</x:v>
      </x:c>
      <x:c r="L4508" t="str">
        <x:v>KETAT</x:v>
      </x:c>
      <x:c r="M4508" t="str">
        <x:v>SEDANG+</x:v>
      </x:c>
      <x:c r="N4508" t="str">
        <x:v>REGULER</x:v>
      </x:c>
      <x:c r="O4508" t="str">
        <x:v>SOSHUM</x:v>
      </x:c>
      <x:c r="P4508" t="str">
        <x:v>BISNIS/EKONOMI/AKUNTANSI</x:v>
      </x:c>
      <x:c r="Q4508" s="18" t="n">
        <x:v>0</x:v>
      </x:c>
      <x:c r="R4508" s="18" t="n">
        <x:v>0</x:v>
      </x:c>
      <x:c r="S4508" s="18" t="n">
        <x:v>584.6070407957982</x:v>
      </x:c>
      <x:c r="T4508" s="18" t="n">
        <x:v>670</x:v>
      </x:c>
      <x:c r="U4508" s="18" t="n">
        <x:v>584.6070407957982</x:v>
      </x:c>
      <x:c r="V4508" s="20" t="n">
        <x:v>4.4</x:v>
      </x:c>
      <x:c r="W4508" s="20" t="n">
        <x:v>14.3</x:v>
      </x:c>
      <x:c r="X4508" s="20" t="n">
        <x:v>3.3</x:v>
      </x:c>
      <x:c r="Y4508" t="str">
        <x:v>Basis arsip 2025/2024</x:v>
      </x:c>
      <x:c r="Z4508" t="str">
        <x:v>https://snpmb.id/utbk-snbt/daya-tampung-snbt</x:v>
      </x:c>
      <x:c r="AA4508" t="str">
        <x:v>Tidak Ada</x:v>
      </x:c>
      <x:c r="AB4508" t="str">
        <x:v>Campus=55; Ratio=34.6; Prodi=65; RelDemand=79.1; Capacity=62.5</x:v>
      </x:c>
    </x:row>
    <x:row r="4509">
      <x:c r="A4509" t="n">
        <x:v>4506</x:v>
      </x:c>
      <x:c r="B4509" t="str">
        <x:v>PTN Vokasi</x:v>
      </x:c>
      <x:c r="C4509" t="str">
        <x:v>POLITEKNIK NEGERI BANJARMASIN</x:v>
      </x:c>
      <x:c r="D4509" t="str">
        <x:v>TEKNIK SIPIL</x:v>
      </x:c>
      <x:c r="E4509" t="str">
        <x:v>Diploma Tiga</x:v>
      </x:c>
      <x:c r="F4509" s="18" t="n">
        <x:v>75</x:v>
      </x:c>
      <x:c r="G4509" s="18" t="n">
        <x:v>245</x:v>
      </x:c>
      <x:c r="H4509" s="19" t="n">
        <x:v>3.2666666666666666</x:v>
      </x:c>
      <x:c r="I4509" s="18" t="n">
        <x:f>ROUND(MIN(Model_Config_v3!$B$6,MAX(Q4509,R4509,S4509*Model_Config_v3!$B$4+T4509*Model_Config_v3!$B$5)),0)</x:f>
        <x:v>634</x:v>
      </x:c>
      <x:c r="J4509" s="18" t="n">
        <x:f>MIN(Model_Config_v3!$B$6,I4509+Model_Config_v3!$B$7)</x:f>
        <x:v>654</x:v>
      </x:c>
      <x:c r="K4509" s="20" t="n">
        <x:v>49.3</x:v>
      </x:c>
      <x:c r="L4509" t="str">
        <x:v>MENENGAH</x:v>
      </x:c>
      <x:c r="M4509" t="str">
        <x:v>SEDANG+</x:v>
      </x:c>
      <x:c r="N4509" t="str">
        <x:v>REGULER</x:v>
      </x:c>
      <x:c r="O4509" t="str">
        <x:v>SAINTEK</x:v>
      </x:c>
      <x:c r="P4509" t="str">
        <x:v>TEKNIK/ARSITEKTUR/STATISTIKA/AKTUARIA</x:v>
      </x:c>
      <x:c r="Q4509" s="18" t="n">
        <x:v>0</x:v>
      </x:c>
      <x:c r="R4509" s="18" t="n">
        <x:v>0</x:v>
      </x:c>
      <x:c r="S4509" s="18" t="n">
        <x:v>576.5515303070116</x:v>
      </x:c>
      <x:c r="T4509" s="18" t="n">
        <x:v>659</x:v>
      </x:c>
      <x:c r="U4509" s="18" t="n">
        <x:v>586.5515303070116</x:v>
      </x:c>
      <x:c r="V4509" s="20" t="n">
        <x:v>12</x:v>
      </x:c>
      <x:c r="W4509" s="20" t="n">
        <x:v>5</x:v>
      </x:c>
      <x:c r="X4509" s="20" t="n">
        <x:v>3</x:v>
      </x:c>
      <x:c r="Y4509" t="str">
        <x:v>Basis arsip 2025/2024</x:v>
      </x:c>
      <x:c r="Z4509" t="str">
        <x:v>https://snpmb.id/utbk-snbt/daya-tampung-snbt</x:v>
      </x:c>
      <x:c r="AA4509" t="str">
        <x:v>Tidak Ada</x:v>
      </x:c>
      <x:c r="AB4509" t="str">
        <x:v>Campus=55; Ratio=30.3; Prodi=60; RelDemand=66.9; Capacity=37.5</x:v>
      </x:c>
    </x:row>
    <x:row r="4510">
      <x:c r="A4510" t="n">
        <x:v>4507</x:v>
      </x:c>
      <x:c r="B4510" t="str">
        <x:v>PTN Vokasi</x:v>
      </x:c>
      <x:c r="C4510" t="str">
        <x:v>POLITEKNIK NEGERI BANJARMASIN</x:v>
      </x:c>
      <x:c r="D4510" t="str">
        <x:v>TEKNIK PERTAMBANGAN</x:v>
      </x:c>
      <x:c r="E4510" t="str">
        <x:v>Diploma Tiga</x:v>
      </x:c>
      <x:c r="F4510" s="18" t="n">
        <x:v>75</x:v>
      </x:c>
      <x:c r="G4510" s="18" t="n">
        <x:v>435</x:v>
      </x:c>
      <x:c r="H4510" s="19" t="n">
        <x:v>5.8</x:v>
      </x:c>
      <x:c r="I4510" s="18" t="n">
        <x:f>ROUND(MIN(Model_Config_v3!$B$6,MAX(Q4510,R4510,S4510*Model_Config_v3!$B$4+T4510*Model_Config_v3!$B$5)),0)</x:f>
        <x:v>652</x:v>
      </x:c>
      <x:c r="J4510" s="18" t="n">
        <x:f>MIN(Model_Config_v3!$B$6,I4510+Model_Config_v3!$B$7)</x:f>
        <x:v>672</x:v>
      </x:c>
      <x:c r="K4510" s="20" t="n">
        <x:v>56.2</x:v>
      </x:c>
      <x:c r="L4510" t="str">
        <x:v>KETAT</x:v>
      </x:c>
      <x:c r="M4510" t="str">
        <x:v>SEDANG+</x:v>
      </x:c>
      <x:c r="N4510" t="str">
        <x:v>REGULER</x:v>
      </x:c>
      <x:c r="O4510" t="str">
        <x:v>SAINTEK</x:v>
      </x:c>
      <x:c r="P4510" t="str">
        <x:v>TEKNIK/ARSITEKTUR/STATISTIKA/AKTUARIA</x:v>
      </x:c>
      <x:c r="Q4510" s="18" t="n">
        <x:v>0</x:v>
      </x:c>
      <x:c r="R4510" s="18" t="n">
        <x:v>0</x:v>
      </x:c>
      <x:c r="S4510" s="18" t="n">
        <x:v>603.9770792919231</x:v>
      </x:c>
      <x:c r="T4510" s="18" t="n">
        <x:v>672</x:v>
      </x:c>
      <x:c r="U4510" s="18" t="n">
        <x:v>613.9770792919231</x:v>
      </x:c>
      <x:c r="V4510" s="20" t="n">
        <x:v>12</x:v>
      </x:c>
      <x:c r="W4510" s="20" t="n">
        <x:v>5</x:v>
      </x:c>
      <x:c r="X4510" s="20" t="n">
        <x:v>3</x:v>
      </x:c>
      <x:c r="Y4510" t="str">
        <x:v>Basis arsip 2025/2024</x:v>
      </x:c>
      <x:c r="Z4510" t="str">
        <x:v>https://snpmb.id/utbk-snbt/daya-tampung-snbt</x:v>
      </x:c>
      <x:c r="AA4510" t="str">
        <x:v>Tidak Ada</x:v>
      </x:c>
      <x:c r="AB4510" t="str">
        <x:v>Campus=55; Ratio=44.9; Prodi=60; RelDemand=100.0; Capacity=37.5</x:v>
      </x:c>
    </x:row>
    <x:row r="4511">
      <x:c r="A4511" t="n">
        <x:v>4508</x:v>
      </x:c>
      <x:c r="B4511" t="str">
        <x:v>PTN Vokasi</x:v>
      </x:c>
      <x:c r="C4511" t="str">
        <x:v>POLITEKNIK NEGERI BANJARMASIN</x:v>
      </x:c>
      <x:c r="D4511" t="str">
        <x:v>ALAT BERAT</x:v>
      </x:c>
      <x:c r="E4511" t="str">
        <x:v>Diploma Tiga</x:v>
      </x:c>
      <x:c r="F4511" s="18" t="n">
        <x:v>27</x:v>
      </x:c>
      <x:c r="G4511" s="18" t="n">
        <x:v>94</x:v>
      </x:c>
      <x:c r="H4511" s="19" t="n">
        <x:v>3.4814814814814814</x:v>
      </x:c>
      <x:c r="I4511" s="18" t="n">
        <x:f>ROUND(MIN(Model_Config_v3!$B$6,MAX(Q4511,R4511,S4511*Model_Config_v3!$B$4+T4511*Model_Config_v3!$B$5)),0)</x:f>
        <x:v>636</x:v>
      </x:c>
      <x:c r="J4511" s="18" t="n">
        <x:f>MIN(Model_Config_v3!$B$6,I4511+Model_Config_v3!$B$7)</x:f>
        <x:v>656</x:v>
      </x:c>
      <x:c r="K4511" s="20" t="n">
        <x:v>50.1</x:v>
      </x:c>
      <x:c r="L4511" t="str">
        <x:v>MENENGAH</x:v>
      </x:c>
      <x:c r="M4511" t="str">
        <x:v>SEDANG</x:v>
      </x:c>
      <x:c r="N4511" t="str">
        <x:v>REGULER</x:v>
      </x:c>
      <x:c r="O4511" t="str">
        <x:v>CAMPURAN</x:v>
      </x:c>
      <x:c r="P4511" t="str">
        <x:v>UMUM</x:v>
      </x:c>
      <x:c r="Q4511" s="18" t="n">
        <x:v>0</x:v>
      </x:c>
      <x:c r="R4511" s="18" t="n">
        <x:v>0</x:v>
      </x:c>
      <x:c r="S4511" s="18" t="n">
        <x:v>579.5940498384782</x:v>
      </x:c>
      <x:c r="T4511" s="18" t="n">
        <x:v>660</x:v>
      </x:c>
      <x:c r="U4511" s="18" t="n">
        <x:v>579.5940498384782</x:v>
      </x:c>
      <x:c r="V4511" s="20" t="n">
        <x:v>8.8</x:v>
      </x:c>
      <x:c r="W4511" s="20" t="n">
        <x:v>9.9</x:v>
      </x:c>
      <x:c r="X4511" s="20" t="n">
        <x:v>3.3</x:v>
      </x:c>
      <x:c r="Y4511" t="str">
        <x:v>Basis arsip 2025/2024</x:v>
      </x:c>
      <x:c r="Z4511" t="str">
        <x:v>https://snpmb.id/utbk-snbt/daya-tampung-snbt</x:v>
      </x:c>
      <x:c r="AA4511" t="str">
        <x:v>Tidak Ada</x:v>
      </x:c>
      <x:c r="AB4511" t="str">
        <x:v>Campus=55; Ratio=31.9; Prodi=40; RelDemand=71.2; Capacity=77.5</x:v>
      </x:c>
    </x:row>
    <x:row r="4512">
      <x:c r="A4512" t="n">
        <x:v>4509</x:v>
      </x:c>
      <x:c r="B4512" t="str">
        <x:v>PTN Vokasi</x:v>
      </x:c>
      <x:c r="C4512" t="str">
        <x:v>POLITEKNIK NEGERI BANJARMASIN</x:v>
      </x:c>
      <x:c r="D4512" t="str">
        <x:v>TEKNIK INFORMATIKA</x:v>
      </x:c>
      <x:c r="E4512" t="str">
        <x:v>Diploma Tiga</x:v>
      </x:c>
      <x:c r="F4512" s="18" t="n">
        <x:v>75</x:v>
      </x:c>
      <x:c r="G4512" s="18" t="n">
        <x:v>374</x:v>
      </x:c>
      <x:c r="H4512" s="19" t="n">
        <x:v>4.986666666666666</x:v>
      </x:c>
      <x:c r="I4512" s="18" t="n">
        <x:f>ROUND(MIN(Model_Config_v3!$B$6,MAX(Q4512,R4512,S4512*Model_Config_v3!$B$4+T4512*Model_Config_v3!$B$5)),0)</x:f>
        <x:v>656</x:v>
      </x:c>
      <x:c r="J4512" s="18" t="n">
        <x:f>MIN(Model_Config_v3!$B$6,I4512+Model_Config_v3!$B$7)</x:f>
        <x:v>676</x:v>
      </x:c>
      <x:c r="K4512" s="20" t="n">
        <x:v>60.3</x:v>
      </x:c>
      <x:c r="L4512" t="str">
        <x:v>KETAT</x:v>
      </x:c>
      <x:c r="M4512" t="str">
        <x:v>SEDANG+</x:v>
      </x:c>
      <x:c r="N4512" t="str">
        <x:v>REGULER</x:v>
      </x:c>
      <x:c r="O4512" t="str">
        <x:v>SAINTEK</x:v>
      </x:c>
      <x:c r="P4512" t="str">
        <x:v>KOMPUTER/INFORMATIKA</x:v>
      </x:c>
      <x:c r="Q4512" s="18" t="n">
        <x:v>0</x:v>
      </x:c>
      <x:c r="R4512" s="18" t="n">
        <x:v>0</x:v>
      </x:c>
      <x:c r="S4512" s="18" t="n">
        <x:v>596.7591372689658</x:v>
      </x:c>
      <x:c r="T4512" s="18" t="n">
        <x:v>681</x:v>
      </x:c>
      <x:c r="U4512" s="18" t="n">
        <x:v>621.7591372689658</x:v>
      </x:c>
      <x:c r="V4512" s="20" t="n">
        <x:v>12</x:v>
      </x:c>
      <x:c r="W4512" s="20" t="n">
        <x:v>5</x:v>
      </x:c>
      <x:c r="X4512" s="20" t="n">
        <x:v>3</x:v>
      </x:c>
      <x:c r="Y4512" t="str">
        <x:v>Basis arsip 2025/2024</x:v>
      </x:c>
      <x:c r="Z4512" t="str">
        <x:v>https://snpmb.id/utbk-snbt/daya-tampung-snbt</x:v>
      </x:c>
      <x:c r="AA4512" t="str">
        <x:v>Tidak Ada</x:v>
      </x:c>
      <x:c r="AB4512" t="str">
        <x:v>Campus=55; Ratio=41.1; Prodi=85; RelDemand=100.0; Capacity=37.5</x:v>
      </x:c>
    </x:row>
    <x:row r="4513">
      <x:c r="A4513" t="n">
        <x:v>4510</x:v>
      </x:c>
      <x:c r="B4513" t="str">
        <x:v>PTN Vokasi</x:v>
      </x:c>
      <x:c r="C4513" t="str">
        <x:v>POLITEKNIK NEGERI BANJARMASIN</x:v>
      </x:c>
      <x:c r="D4513" t="str">
        <x:v>ELEKTRONIKA</x:v>
      </x:c>
      <x:c r="E4513" t="str">
        <x:v>Diploma Tiga</x:v>
      </x:c>
      <x:c r="F4513" s="18" t="n">
        <x:v>30</x:v>
      </x:c>
      <x:c r="G4513" s="18" t="n">
        <x:v>25</x:v>
      </x:c>
      <x:c r="H4513" s="19" t="n">
        <x:v>0.8333333333333334</x:v>
      </x:c>
      <x:c r="I4513" s="18" t="n">
        <x:f>ROUND(MIN(Model_Config_v3!$B$6,MAX(Q4513,R4513,S4513*Model_Config_v3!$B$4+T4513*Model_Config_v3!$B$5)),0)</x:f>
        <x:v>599</x:v>
      </x:c>
      <x:c r="J4513" s="18" t="n">
        <x:f>MIN(Model_Config_v3!$B$6,I4513+Model_Config_v3!$B$7)</x:f>
        <x:v>619</x:v>
      </x:c>
      <x:c r="K4513" s="20" t="n">
        <x:v>36.5</x:v>
      </x:c>
      <x:c r="L4513" t="str">
        <x:v>RELATIF LONGGAR</x:v>
      </x:c>
      <x:c r="M4513" t="str">
        <x:v>SEDANG</x:v>
      </x:c>
      <x:c r="N4513" t="str">
        <x:v>REGULER</x:v>
      </x:c>
      <x:c r="O4513" t="str">
        <x:v>CAMPURAN</x:v>
      </x:c>
      <x:c r="P4513" t="str">
        <x:v>UMUM</x:v>
      </x:c>
      <x:c r="Q4513" s="18" t="n">
        <x:v>0</x:v>
      </x:c>
      <x:c r="R4513" s="18" t="n">
        <x:v>0</x:v>
      </x:c>
      <x:c r="S4513" s="18" t="n">
        <x:v>520</x:v>
      </x:c>
      <x:c r="T4513" s="18" t="n">
        <x:v>633</x:v>
      </x:c>
      <x:c r="U4513" s="18" t="n">
        <x:v>520</x:v>
      </x:c>
      <x:c r="V4513" s="20" t="n">
        <x:v>8.8</x:v>
      </x:c>
      <x:c r="W4513" s="20" t="n">
        <x:v>9.9</x:v>
      </x:c>
      <x:c r="X4513" s="20" t="n">
        <x:v>3.3</x:v>
      </x:c>
      <x:c r="Y4513" t="str">
        <x:v>Basis arsip 2025/2024</x:v>
      </x:c>
      <x:c r="Z4513" t="str">
        <x:v>https://snpmb.id/utbk-snbt/daya-tampung-snbt</x:v>
      </x:c>
      <x:c r="AA4513" t="str">
        <x:v>Tidak Ada</x:v>
      </x:c>
      <x:c r="AB4513" t="str">
        <x:v>Campus=55; Ratio=0.0; Prodi=40; RelDemand=17.1; Capacity=75.0</x:v>
      </x:c>
    </x:row>
    <x:row r="4514">
      <x:c r="A4514" t="n">
        <x:v>4511</x:v>
      </x:c>
      <x:c r="B4514" t="str">
        <x:v>PTN Vokasi</x:v>
      </x:c>
      <x:c r="C4514" t="str">
        <x:v>POLITEKNIK NEGERI TANAH LAUT</x:v>
      </x:c>
      <x:c r="D4514" t="str">
        <x:v>TEKNOLOGI REKAYASA KOMPUTER JARINGAN</x:v>
      </x:c>
      <x:c r="E4514" t="str">
        <x:v>Sarjana Terapan</x:v>
      </x:c>
      <x:c r="F4514" s="18" t="n">
        <x:v>42</x:v>
      </x:c>
      <x:c r="G4514" s="18" t="n">
        <x:v>31</x:v>
      </x:c>
      <x:c r="H4514" s="19" t="n">
        <x:v>0.7380952380952381</x:v>
      </x:c>
      <x:c r="I4514" s="18" t="n">
        <x:f>ROUND(MIN(Model_Config_v3!$B$6,MAX(Q4514,R4514,S4514*Model_Config_v3!$B$4+T4514*Model_Config_v3!$B$5)),0)</x:f>
        <x:v>602</x:v>
      </x:c>
      <x:c r="J4514" s="18" t="n">
        <x:f>MIN(Model_Config_v3!$B$6,I4514+Model_Config_v3!$B$7)</x:f>
        <x:v>622</x:v>
      </x:c>
      <x:c r="K4514" s="20" t="n">
        <x:v>38.3</x:v>
      </x:c>
      <x:c r="L4514" t="str">
        <x:v>RELATIF LONGGAR</x:v>
      </x:c>
      <x:c r="M4514" t="str">
        <x:v>SEDANG</x:v>
      </x:c>
      <x:c r="N4514" t="str">
        <x:v>REGULER</x:v>
      </x:c>
      <x:c r="O4514" t="str">
        <x:v>SAINTEK</x:v>
      </x:c>
      <x:c r="P4514" t="str">
        <x:v>UMUM</x:v>
      </x:c>
      <x:c r="Q4514" s="18" t="n">
        <x:v>0</x:v>
      </x:c>
      <x:c r="R4514" s="18" t="n">
        <x:v>0</x:v>
      </x:c>
      <x:c r="S4514" s="18" t="n">
        <x:v>520</x:v>
      </x:c>
      <x:c r="T4514" s="18" t="n">
        <x:v>637</x:v>
      </x:c>
      <x:c r="U4514" s="18" t="n">
        <x:v>520</x:v>
      </x:c>
      <x:c r="V4514" s="20" t="n">
        <x:v>12</x:v>
      </x:c>
      <x:c r="W4514" s="20" t="n">
        <x:v>5</x:v>
      </x:c>
      <x:c r="X4514" s="20" t="n">
        <x:v>3</x:v>
      </x:c>
      <x:c r="Y4514" t="str">
        <x:v>Basis arsip 2025/2024</x:v>
      </x:c>
      <x:c r="Z4514" t="str">
        <x:v>https://snpmb.id/utbk-snbt/daya-tampung-snbt</x:v>
      </x:c>
      <x:c r="AA4514" t="str">
        <x:v>Tidak Ada</x:v>
      </x:c>
      <x:c r="AB4514" t="str">
        <x:v>Campus=55; Ratio=0.0; Prodi=40; RelDemand=45.8; Capacity=65.0</x:v>
      </x:c>
    </x:row>
    <x:row r="4515">
      <x:c r="A4515" t="n">
        <x:v>4512</x:v>
      </x:c>
      <x:c r="B4515" t="str">
        <x:v>PTN Vokasi</x:v>
      </x:c>
      <x:c r="C4515" t="str">
        <x:v>POLITEKNIK NEGERI TANAH LAUT</x:v>
      </x:c>
      <x:c r="D4515" t="str">
        <x:v>TEKNOLOGI REKAYASA KONSTRUKSI JALAN DAN JEMBATAN</x:v>
      </x:c>
      <x:c r="E4515" t="str">
        <x:v>Sarjana Terapan</x:v>
      </x:c>
      <x:c r="F4515" s="18" t="n">
        <x:v>42</x:v>
      </x:c>
      <x:c r="G4515" s="18" t="n">
        <x:v>16</x:v>
      </x:c>
      <x:c r="H4515" s="19" t="n">
        <x:v>0.38095238095238093</x:v>
      </x:c>
      <x:c r="I4515" s="18" t="n">
        <x:f>ROUND(MIN(Model_Config_v3!$B$6,MAX(Q4515,R4515,S4515*Model_Config_v3!$B$4+T4515*Model_Config_v3!$B$5)),0)</x:f>
        <x:v>598</x:v>
      </x:c>
      <x:c r="J4515" s="18" t="n">
        <x:f>MIN(Model_Config_v3!$B$6,I4515+Model_Config_v3!$B$7)</x:f>
        <x:v>618</x:v>
      </x:c>
      <x:c r="K4515" s="20" t="n">
        <x:v>36.1</x:v>
      </x:c>
      <x:c r="L4515" t="str">
        <x:v>RELATIF LONGGAR</x:v>
      </x:c>
      <x:c r="M4515" t="str">
        <x:v>SEDANG</x:v>
      </x:c>
      <x:c r="N4515" t="str">
        <x:v>REGULER</x:v>
      </x:c>
      <x:c r="O4515" t="str">
        <x:v>SAINTEK</x:v>
      </x:c>
      <x:c r="P4515" t="str">
        <x:v>UMUM</x:v>
      </x:c>
      <x:c r="Q4515" s="18" t="n">
        <x:v>0</x:v>
      </x:c>
      <x:c r="R4515" s="18" t="n">
        <x:v>0</x:v>
      </x:c>
      <x:c r="S4515" s="18" t="n">
        <x:v>520</x:v>
      </x:c>
      <x:c r="T4515" s="18" t="n">
        <x:v>632</x:v>
      </x:c>
      <x:c r="U4515" s="18" t="n">
        <x:v>520</x:v>
      </x:c>
      <x:c r="V4515" s="20" t="n">
        <x:v>12</x:v>
      </x:c>
      <x:c r="W4515" s="20" t="n">
        <x:v>5</x:v>
      </x:c>
      <x:c r="X4515" s="20" t="n">
        <x:v>3</x:v>
      </x:c>
      <x:c r="Y4515" t="str">
        <x:v>Basis arsip 2025/2024</x:v>
      </x:c>
      <x:c r="Z4515" t="str">
        <x:v>https://snpmb.id/utbk-snbt/daya-tampung-snbt</x:v>
      </x:c>
      <x:c r="AA4515" t="str">
        <x:v>Tidak Ada</x:v>
      </x:c>
      <x:c r="AB4515" t="str">
        <x:v>Campus=55; Ratio=0.0; Prodi=40; RelDemand=23.6; Capacity=65.0</x:v>
      </x:c>
    </x:row>
    <x:row r="4516">
      <x:c r="A4516" t="n">
        <x:v>4513</x:v>
      </x:c>
      <x:c r="B4516" t="str">
        <x:v>PTN Vokasi</x:v>
      </x:c>
      <x:c r="C4516" t="str">
        <x:v>POLITEKNIK NEGERI TANAH LAUT</x:v>
      </x:c>
      <x:c r="D4516" t="str">
        <x:v>TEKNOLOGI PAKAN TERNAK</x:v>
      </x:c>
      <x:c r="E4516" t="str">
        <x:v>Sarjana Terapan</x:v>
      </x:c>
      <x:c r="F4516" s="18" t="n">
        <x:v>28</x:v>
      </x:c>
      <x:c r="G4516" s="18" t="n">
        <x:v>13</x:v>
      </x:c>
      <x:c r="H4516" s="19" t="n">
        <x:v>0.4642857142857143</x:v>
      </x:c>
      <x:c r="I4516" s="18" t="n">
        <x:f>ROUND(MIN(Model_Config_v3!$B$6,MAX(Q4516,R4516,S4516*Model_Config_v3!$B$4+T4516*Model_Config_v3!$B$5)),0)</x:f>
        <x:v>601</x:v>
      </x:c>
      <x:c r="J4516" s="18" t="n">
        <x:f>MIN(Model_Config_v3!$B$6,I4516+Model_Config_v3!$B$7)</x:f>
        <x:v>621</x:v>
      </x:c>
      <x:c r="K4516" s="20" t="n">
        <x:v>37.8</x:v>
      </x:c>
      <x:c r="L4516" t="str">
        <x:v>RELATIF LONGGAR</x:v>
      </x:c>
      <x:c r="M4516" t="str">
        <x:v>SEDANG</x:v>
      </x:c>
      <x:c r="N4516" t="str">
        <x:v>REGULER</x:v>
      </x:c>
      <x:c r="O4516" t="str">
        <x:v>SAINTEK</x:v>
      </x:c>
      <x:c r="P4516" t="str">
        <x:v>UMUM</x:v>
      </x:c>
      <x:c r="Q4516" s="18" t="n">
        <x:v>0</x:v>
      </x:c>
      <x:c r="R4516" s="18" t="n">
        <x:v>0</x:v>
      </x:c>
      <x:c r="S4516" s="18" t="n">
        <x:v>520</x:v>
      </x:c>
      <x:c r="T4516" s="18" t="n">
        <x:v>636</x:v>
      </x:c>
      <x:c r="U4516" s="18" t="n">
        <x:v>520</x:v>
      </x:c>
      <x:c r="V4516" s="20" t="n">
        <x:v>12</x:v>
      </x:c>
      <x:c r="W4516" s="20" t="n">
        <x:v>5</x:v>
      </x:c>
      <x:c r="X4516" s="20" t="n">
        <x:v>3</x:v>
      </x:c>
      <x:c r="Y4516" t="str">
        <x:v>Basis arsip 2025/2024</x:v>
      </x:c>
      <x:c r="Z4516" t="str">
        <x:v>https://snpmb.id/utbk-snbt/daya-tampung-snbt</x:v>
      </x:c>
      <x:c r="AA4516" t="str">
        <x:v>Tidak Ada</x:v>
      </x:c>
      <x:c r="AB4516" t="str">
        <x:v>Campus=55; Ratio=0.0; Prodi=40; RelDemand=28.8; Capacity=76.7</x:v>
      </x:c>
    </x:row>
    <x:row r="4517">
      <x:c r="A4517" t="n">
        <x:v>4514</x:v>
      </x:c>
      <x:c r="B4517" t="str">
        <x:v>PTN Vokasi</x:v>
      </x:c>
      <x:c r="C4517" t="str">
        <x:v>POLITEKNIK NEGERI TANAH LAUT</x:v>
      </x:c>
      <x:c r="D4517" t="str">
        <x:v>TEKNOLOGI REKAYASA PEMELIHARAAN ALAT BERAT</x:v>
      </x:c>
      <x:c r="E4517" t="str">
        <x:v>Sarjana Terapan</x:v>
      </x:c>
      <x:c r="F4517" s="18" t="n">
        <x:v>28</x:v>
      </x:c>
      <x:c r="G4517" s="18" t="n">
        <x:v>27</x:v>
      </x:c>
      <x:c r="H4517" s="19" t="n">
        <x:v>0.9642857142857143</x:v>
      </x:c>
      <x:c r="I4517" s="18" t="n">
        <x:f>ROUND(MIN(Model_Config_v3!$B$6,MAX(Q4517,R4517,S4517*Model_Config_v3!$B$4+T4517*Model_Config_v3!$B$5)),0)</x:f>
        <x:v>605</x:v>
      </x:c>
      <x:c r="J4517" s="18" t="n">
        <x:f>MIN(Model_Config_v3!$B$6,I4517+Model_Config_v3!$B$7)</x:f>
        <x:v>625</x:v>
      </x:c>
      <x:c r="K4517" s="20" t="n">
        <x:v>40.9</x:v>
      </x:c>
      <x:c r="L4517" t="str">
        <x:v>RELATIF LONGGAR</x:v>
      </x:c>
      <x:c r="M4517" t="str">
        <x:v>SEDANG</x:v>
      </x:c>
      <x:c r="N4517" t="str">
        <x:v>REGULER</x:v>
      </x:c>
      <x:c r="O4517" t="str">
        <x:v>SAINTEK</x:v>
      </x:c>
      <x:c r="P4517" t="str">
        <x:v>UMUM</x:v>
      </x:c>
      <x:c r="Q4517" s="18" t="n">
        <x:v>0</x:v>
      </x:c>
      <x:c r="R4517" s="18" t="n">
        <x:v>0</x:v>
      </x:c>
      <x:c r="S4517" s="18" t="n">
        <x:v>520</x:v>
      </x:c>
      <x:c r="T4517" s="18" t="n">
        <x:v>642</x:v>
      </x:c>
      <x:c r="U4517" s="18" t="n">
        <x:v>520</x:v>
      </x:c>
      <x:c r="V4517" s="20" t="n">
        <x:v>12</x:v>
      </x:c>
      <x:c r="W4517" s="20" t="n">
        <x:v>5</x:v>
      </x:c>
      <x:c r="X4517" s="20" t="n">
        <x:v>3</x:v>
      </x:c>
      <x:c r="Y4517" t="str">
        <x:v>Basis arsip 2025/2024</x:v>
      </x:c>
      <x:c r="Z4517" t="str">
        <x:v>https://snpmb.id/utbk-snbt/daya-tampung-snbt</x:v>
      </x:c>
      <x:c r="AA4517" t="str">
        <x:v>Tidak Ada</x:v>
      </x:c>
      <x:c r="AB4517" t="str">
        <x:v>Campus=55; Ratio=0.0; Prodi=40; RelDemand=59.8; Capacity=76.7</x:v>
      </x:c>
    </x:row>
    <x:row r="4518">
      <x:c r="A4518" t="n">
        <x:v>4515</x:v>
      </x:c>
      <x:c r="B4518" t="str">
        <x:v>PTN Vokasi</x:v>
      </x:c>
      <x:c r="C4518" t="str">
        <x:v>POLITEKNIK NEGERI TANAH LAUT</x:v>
      </x:c>
      <x:c r="D4518" t="str">
        <x:v>AKUNTANSI PERPAJAKAN</x:v>
      </x:c>
      <x:c r="E4518" t="str">
        <x:v>Sarjana Terapan</x:v>
      </x:c>
      <x:c r="F4518" s="18" t="n">
        <x:v>42</x:v>
      </x:c>
      <x:c r="G4518" s="18" t="n">
        <x:v>43</x:v>
      </x:c>
      <x:c r="H4518" s="19" t="n">
        <x:v>1.0238095238095237</x:v>
      </x:c>
      <x:c r="I4518" s="18" t="n">
        <x:f>ROUND(MIN(Model_Config_v3!$B$6,MAX(Q4518,R4518,S4518*Model_Config_v3!$B$4+T4518*Model_Config_v3!$B$5)),0)</x:f>
        <x:v>612</x:v>
      </x:c>
      <x:c r="J4518" s="18" t="n">
        <x:f>MIN(Model_Config_v3!$B$6,I4518+Model_Config_v3!$B$7)</x:f>
        <x:v>632</x:v>
      </x:c>
      <x:c r="K4518" s="20" t="n">
        <x:v>45.3</x:v>
      </x:c>
      <x:c r="L4518" t="str">
        <x:v>MENENGAH</x:v>
      </x:c>
      <x:c r="M4518" t="str">
        <x:v>SEDANG+</x:v>
      </x:c>
      <x:c r="N4518" t="str">
        <x:v>REGULER</x:v>
      </x:c>
      <x:c r="O4518" t="str">
        <x:v>SOSHUM</x:v>
      </x:c>
      <x:c r="P4518" t="str">
        <x:v>BISNIS/EKONOMI/AKUNTANSI</x:v>
      </x:c>
      <x:c r="Q4518" s="18" t="n">
        <x:v>0</x:v>
      </x:c>
      <x:c r="R4518" s="18" t="n">
        <x:v>0</x:v>
      </x:c>
      <x:c r="S4518" s="18" t="n">
        <x:v>521.1241081699854</x:v>
      </x:c>
      <x:c r="T4518" s="18" t="n">
        <x:v>651</x:v>
      </x:c>
      <x:c r="U4518" s="18" t="n">
        <x:v>521.1241081699854</x:v>
      </x:c>
      <x:c r="V4518" s="20" t="n">
        <x:v>4.4</x:v>
      </x:c>
      <x:c r="W4518" s="20" t="n">
        <x:v>14.3</x:v>
      </x:c>
      <x:c r="X4518" s="20" t="n">
        <x:v>3.3</x:v>
      </x:c>
      <x:c r="Y4518" t="str">
        <x:v>Basis arsip 2025/2024</x:v>
      </x:c>
      <x:c r="Z4518" t="str">
        <x:v>https://snpmb.id/utbk-snbt/daya-tampung-snbt</x:v>
      </x:c>
      <x:c r="AA4518" t="str">
        <x:v>Tidak Ada</x:v>
      </x:c>
      <x:c r="AB4518" t="str">
        <x:v>Campus=55; Ratio=0.6; Prodi=65; RelDemand=63.5; Capacity=65.0</x:v>
      </x:c>
    </x:row>
    <x:row r="4519">
      <x:c r="A4519" t="n">
        <x:v>4516</x:v>
      </x:c>
      <x:c r="B4519" t="str">
        <x:v>PTN Vokasi</x:v>
      </x:c>
      <x:c r="C4519" t="str">
        <x:v>POLITEKNIK NEGERI TANAH LAUT</x:v>
      </x:c>
      <x:c r="D4519" t="str">
        <x:v>PENGEMBANGAN PRODUK AGROINDUSTRI</x:v>
      </x:c>
      <x:c r="E4519" t="str">
        <x:v>Sarjana Terapan</x:v>
      </x:c>
      <x:c r="F4519" s="18" t="n">
        <x:v>28</x:v>
      </x:c>
      <x:c r="G4519" s="18" t="n">
        <x:v>22</x:v>
      </x:c>
      <x:c r="H4519" s="19" t="n">
        <x:v>0.7857142857142857</x:v>
      </x:c>
      <x:c r="I4519" s="18" t="n">
        <x:f>ROUND(MIN(Model_Config_v3!$B$6,MAX(Q4519,R4519,S4519*Model_Config_v3!$B$4+T4519*Model_Config_v3!$B$5)),0)</x:f>
        <x:v>604</x:v>
      </x:c>
      <x:c r="J4519" s="18" t="n">
        <x:f>MIN(Model_Config_v3!$B$6,I4519+Model_Config_v3!$B$7)</x:f>
        <x:v>624</x:v>
      </x:c>
      <x:c r="K4519" s="20" t="n">
        <x:v>39.8</x:v>
      </x:c>
      <x:c r="L4519" t="str">
        <x:v>RELATIF LONGGAR</x:v>
      </x:c>
      <x:c r="M4519" t="str">
        <x:v>SEDANG</x:v>
      </x:c>
      <x:c r="N4519" t="str">
        <x:v>REGULER</x:v>
      </x:c>
      <x:c r="O4519" t="str">
        <x:v>CAMPURAN</x:v>
      </x:c>
      <x:c r="P4519" t="str">
        <x:v>UMUM</x:v>
      </x:c>
      <x:c r="Q4519" s="18" t="n">
        <x:v>0</x:v>
      </x:c>
      <x:c r="R4519" s="18" t="n">
        <x:v>0</x:v>
      </x:c>
      <x:c r="S4519" s="18" t="n">
        <x:v>520</x:v>
      </x:c>
      <x:c r="T4519" s="18" t="n">
        <x:v>640</x:v>
      </x:c>
      <x:c r="U4519" s="18" t="n">
        <x:v>520</x:v>
      </x:c>
      <x:c r="V4519" s="20" t="n">
        <x:v>8.8</x:v>
      </x:c>
      <x:c r="W4519" s="20" t="n">
        <x:v>9.9</x:v>
      </x:c>
      <x:c r="X4519" s="20" t="n">
        <x:v>3.3</x:v>
      </x:c>
      <x:c r="Y4519" t="str">
        <x:v>Basis arsip 2025/2024</x:v>
      </x:c>
      <x:c r="Z4519" t="str">
        <x:v>https://snpmb.id/utbk-snbt/daya-tampung-snbt</x:v>
      </x:c>
      <x:c r="AA4519" t="str">
        <x:v>Tidak Ada</x:v>
      </x:c>
      <x:c r="AB4519" t="str">
        <x:v>Campus=55; Ratio=0.0; Prodi=40; RelDemand=48.8; Capacity=76.7</x:v>
      </x:c>
    </x:row>
    <x:row r="4520">
      <x:c r="A4520" t="n">
        <x:v>4517</x:v>
      </x:c>
      <x:c r="B4520" t="str">
        <x:v>PTN Vokasi</x:v>
      </x:c>
      <x:c r="C4520" t="str">
        <x:v>POLITEKNIK NEGERI TANAH LAUT</x:v>
      </x:c>
      <x:c r="D4520" t="str">
        <x:v>TEKNOLOGI INFORMASI</x:v>
      </x:c>
      <x:c r="E4520" t="str">
        <x:v>Diploma Tiga</x:v>
      </x:c>
      <x:c r="F4520" s="18" t="n">
        <x:v>70</x:v>
      </x:c>
      <x:c r="G4520" s="18" t="n">
        <x:v>90</x:v>
      </x:c>
      <x:c r="H4520" s="19" t="n">
        <x:v>1.2857142857142858</x:v>
      </x:c>
      <x:c r="I4520" s="18" t="n">
        <x:f>ROUND(MIN(Model_Config_v3!$B$6,MAX(Q4520,R4520,S4520*Model_Config_v3!$B$4+T4520*Model_Config_v3!$B$5)),0)</x:f>
        <x:v>609</x:v>
      </x:c>
      <x:c r="J4520" s="18" t="n">
        <x:f>MIN(Model_Config_v3!$B$6,I4520+Model_Config_v3!$B$7)</x:f>
        <x:v>629</x:v>
      </x:c>
      <x:c r="K4520" s="20" t="n">
        <x:v>41</x:v>
      </x:c>
      <x:c r="L4520" t="str">
        <x:v>RELATIF LONGGAR</x:v>
      </x:c>
      <x:c r="M4520" t="str">
        <x:v>SEDANG</x:v>
      </x:c>
      <x:c r="N4520" t="str">
        <x:v>REGULER</x:v>
      </x:c>
      <x:c r="O4520" t="str">
        <x:v>SAINTEK</x:v>
      </x:c>
      <x:c r="P4520" t="str">
        <x:v>UMUM</x:v>
      </x:c>
      <x:c r="Q4520" s="18" t="n">
        <x:v>0</x:v>
      </x:c>
      <x:c r="R4520" s="18" t="n">
        <x:v>0</x:v>
      </x:c>
      <x:c r="S4520" s="18" t="n">
        <x:v>532.0058916367575</x:v>
      </x:c>
      <x:c r="T4520" s="18" t="n">
        <x:v>642</x:v>
      </x:c>
      <x:c r="U4520" s="18" t="n">
        <x:v>532.0058916367575</x:v>
      </x:c>
      <x:c r="V4520" s="20" t="n">
        <x:v>12</x:v>
      </x:c>
      <x:c r="W4520" s="20" t="n">
        <x:v>5</x:v>
      </x:c>
      <x:c r="X4520" s="20" t="n">
        <x:v>3</x:v>
      </x:c>
      <x:c r="Y4520" t="str">
        <x:v>Basis arsip 2025/2024</x:v>
      </x:c>
      <x:c r="Z4520" t="str">
        <x:v>https://snpmb.id/utbk-snbt/daya-tampung-snbt</x:v>
      </x:c>
      <x:c r="AA4520" t="str">
        <x:v>Tidak Ada</x:v>
      </x:c>
      <x:c r="AB4520" t="str">
        <x:v>Campus=55; Ratio=6.4; Prodi=40; RelDemand=79.8; Capacity=41.7</x:v>
      </x:c>
    </x:row>
    <x:row r="4521">
      <x:c r="A4521" t="n">
        <x:v>4518</x:v>
      </x:c>
      <x:c r="B4521" t="str">
        <x:v>PTN Vokasi</x:v>
      </x:c>
      <x:c r="C4521" t="str">
        <x:v>POLITEKNIK NEGERI TANAH LAUT</x:v>
      </x:c>
      <x:c r="D4521" t="str">
        <x:v>TEKNOLOGI OTOMOTIF</x:v>
      </x:c>
      <x:c r="E4521" t="str">
        <x:v>Diploma Tiga</x:v>
      </x:c>
      <x:c r="F4521" s="18" t="n">
        <x:v>28</x:v>
      </x:c>
      <x:c r="G4521" s="18" t="n">
        <x:v>21</x:v>
      </x:c>
      <x:c r="H4521" s="19" t="n">
        <x:v>0.75</x:v>
      </x:c>
      <x:c r="I4521" s="18" t="n">
        <x:f>ROUND(MIN(Model_Config_v3!$B$6,MAX(Q4521,R4521,S4521*Model_Config_v3!$B$4+T4521*Model_Config_v3!$B$5)),0)</x:f>
        <x:v>603</x:v>
      </x:c>
      <x:c r="J4521" s="18" t="n">
        <x:f>MIN(Model_Config_v3!$B$6,I4521+Model_Config_v3!$B$7)</x:f>
        <x:v>623</x:v>
      </x:c>
      <x:c r="K4521" s="20" t="n">
        <x:v>39.6</x:v>
      </x:c>
      <x:c r="L4521" t="str">
        <x:v>RELATIF LONGGAR</x:v>
      </x:c>
      <x:c r="M4521" t="str">
        <x:v>SEDANG</x:v>
      </x:c>
      <x:c r="N4521" t="str">
        <x:v>REGULER</x:v>
      </x:c>
      <x:c r="O4521" t="str">
        <x:v>SAINTEK</x:v>
      </x:c>
      <x:c r="P4521" t="str">
        <x:v>UMUM</x:v>
      </x:c>
      <x:c r="Q4521" s="18" t="n">
        <x:v>0</x:v>
      </x:c>
      <x:c r="R4521" s="18" t="n">
        <x:v>0</x:v>
      </x:c>
      <x:c r="S4521" s="18" t="n">
        <x:v>520</x:v>
      </x:c>
      <x:c r="T4521" s="18" t="n">
        <x:v>639</x:v>
      </x:c>
      <x:c r="U4521" s="18" t="n">
        <x:v>520</x:v>
      </x:c>
      <x:c r="V4521" s="20" t="n">
        <x:v>12</x:v>
      </x:c>
      <x:c r="W4521" s="20" t="n">
        <x:v>5</x:v>
      </x:c>
      <x:c r="X4521" s="20" t="n">
        <x:v>3</x:v>
      </x:c>
      <x:c r="Y4521" t="str">
        <x:v>Basis arsip 2025/2024</x:v>
      </x:c>
      <x:c r="Z4521" t="str">
        <x:v>https://snpmb.id/utbk-snbt/daya-tampung-snbt</x:v>
      </x:c>
      <x:c r="AA4521" t="str">
        <x:v>Tidak Ada</x:v>
      </x:c>
      <x:c r="AB4521" t="str">
        <x:v>Campus=55; Ratio=0.0; Prodi=40; RelDemand=46.5; Capacity=76.7</x:v>
      </x:c>
    </x:row>
    <x:row r="4522">
      <x:c r="A4522" t="n">
        <x:v>4519</x:v>
      </x:c>
      <x:c r="B4522" t="str">
        <x:v>PTN Vokasi</x:v>
      </x:c>
      <x:c r="C4522" t="str">
        <x:v>POLITEKNIK NEGERI TANAH LAUT</x:v>
      </x:c>
      <x:c r="D4522" t="str">
        <x:v>AKUNTANSI</x:v>
      </x:c>
      <x:c r="E4522" t="str">
        <x:v>Diploma Tiga</x:v>
      </x:c>
      <x:c r="F4522" s="18" t="n">
        <x:v>70</x:v>
      </x:c>
      <x:c r="G4522" s="18" t="n">
        <x:v>69</x:v>
      </x:c>
      <x:c r="H4522" s="19" t="n">
        <x:v>0.9857142857142858</x:v>
      </x:c>
      <x:c r="I4522" s="18" t="n">
        <x:f>ROUND(MIN(Model_Config_v3!$B$6,MAX(Q4522,R4522,S4522*Model_Config_v3!$B$4+T4522*Model_Config_v3!$B$5)),0)</x:f>
        <x:v>608</x:v>
      </x:c>
      <x:c r="J4522" s="18" t="n">
        <x:f>MIN(Model_Config_v3!$B$6,I4522+Model_Config_v3!$B$7)</x:f>
        <x:v>628</x:v>
      </x:c>
      <x:c r="K4522" s="20" t="n">
        <x:v>42.5</x:v>
      </x:c>
      <x:c r="L4522" t="str">
        <x:v>RELATIF LONGGAR</x:v>
      </x:c>
      <x:c r="M4522" t="str">
        <x:v>SEDANG+</x:v>
      </x:c>
      <x:c r="N4522" t="str">
        <x:v>REGULER</x:v>
      </x:c>
      <x:c r="O4522" t="str">
        <x:v>SOSHUM</x:v>
      </x:c>
      <x:c r="P4522" t="str">
        <x:v>BISNIS/EKONOMI/AKUNTANSI</x:v>
      </x:c>
      <x:c r="Q4522" s="18" t="n">
        <x:v>0</x:v>
      </x:c>
      <x:c r="R4522" s="18" t="n">
        <x:v>0</x:v>
      </x:c>
      <x:c r="S4522" s="18" t="n">
        <x:v>520</x:v>
      </x:c>
      <x:c r="T4522" s="18" t="n">
        <x:v>645</x:v>
      </x:c>
      <x:c r="U4522" s="18" t="n">
        <x:v>520</x:v>
      </x:c>
      <x:c r="V4522" s="20" t="n">
        <x:v>4.4</x:v>
      </x:c>
      <x:c r="W4522" s="20" t="n">
        <x:v>14.3</x:v>
      </x:c>
      <x:c r="X4522" s="20" t="n">
        <x:v>3.3</x:v>
      </x:c>
      <x:c r="Y4522" t="str">
        <x:v>Basis arsip 2025/2024</x:v>
      </x:c>
      <x:c r="Z4522" t="str">
        <x:v>https://snpmb.id/utbk-snbt/daya-tampung-snbt</x:v>
      </x:c>
      <x:c r="AA4522" t="str">
        <x:v>Tidak Ada</x:v>
      </x:c>
      <x:c r="AB4522" t="str">
        <x:v>Campus=55; Ratio=0.0; Prodi=65; RelDemand=61.2; Capacity=41.7</x:v>
      </x:c>
    </x:row>
    <x:row r="4523">
      <x:c r="A4523" t="n">
        <x:v>4520</x:v>
      </x:c>
      <x:c r="B4523" t="str">
        <x:v>PTN Vokasi</x:v>
      </x:c>
      <x:c r="C4523" t="str">
        <x:v>POLITEKNIK NEGERI TANAH LAUT</x:v>
      </x:c>
      <x:c r="D4523" t="str">
        <x:v>AGROINDUSTRI</x:v>
      </x:c>
      <x:c r="E4523" t="str">
        <x:v>Diploma Tiga</x:v>
      </x:c>
      <x:c r="F4523" s="18" t="n">
        <x:v>56</x:v>
      </x:c>
      <x:c r="G4523" s="18" t="n">
        <x:v>38</x:v>
      </x:c>
      <x:c r="H4523" s="19" t="n">
        <x:v>0.6785714285714286</x:v>
      </x:c>
      <x:c r="I4523" s="18" t="n">
        <x:f>ROUND(MIN(Model_Config_v3!$B$6,MAX(Q4523,R4523,S4523*Model_Config_v3!$B$4+T4523*Model_Config_v3!$B$5)),0)</x:f>
        <x:v>600</x:v>
      </x:c>
      <x:c r="J4523" s="18" t="n">
        <x:f>MIN(Model_Config_v3!$B$6,I4523+Model_Config_v3!$B$7)</x:f>
        <x:v>620</x:v>
      </x:c>
      <x:c r="K4523" s="20" t="n">
        <x:v>36.8</x:v>
      </x:c>
      <x:c r="L4523" t="str">
        <x:v>RELATIF LONGGAR</x:v>
      </x:c>
      <x:c r="M4523" t="str">
        <x:v>SEDANG</x:v>
      </x:c>
      <x:c r="N4523" t="str">
        <x:v>REGULER</x:v>
      </x:c>
      <x:c r="O4523" t="str">
        <x:v>CAMPURAN</x:v>
      </x:c>
      <x:c r="P4523" t="str">
        <x:v>UMUM</x:v>
      </x:c>
      <x:c r="Q4523" s="18" t="n">
        <x:v>0</x:v>
      </x:c>
      <x:c r="R4523" s="18" t="n">
        <x:v>0</x:v>
      </x:c>
      <x:c r="S4523" s="18" t="n">
        <x:v>520</x:v>
      </x:c>
      <x:c r="T4523" s="18" t="n">
        <x:v>634</x:v>
      </x:c>
      <x:c r="U4523" s="18" t="n">
        <x:v>520</x:v>
      </x:c>
      <x:c r="V4523" s="20" t="n">
        <x:v>8.8</x:v>
      </x:c>
      <x:c r="W4523" s="20" t="n">
        <x:v>9.9</x:v>
      </x:c>
      <x:c r="X4523" s="20" t="n">
        <x:v>3.3</x:v>
      </x:c>
      <x:c r="Y4523" t="str">
        <x:v>Basis arsip 2025/2024</x:v>
      </x:c>
      <x:c r="Z4523" t="str">
        <x:v>https://snpmb.id/utbk-snbt/daya-tampung-snbt</x:v>
      </x:c>
      <x:c r="AA4523" t="str">
        <x:v>Tidak Ada</x:v>
      </x:c>
      <x:c r="AB4523" t="str">
        <x:v>Campus=55; Ratio=0.0; Prodi=40; RelDemand=42.1; Capacity=53.3</x:v>
      </x:c>
    </x:row>
    <x:row r="4524">
      <x:c r="A4524" t="n">
        <x:v>4521</x:v>
      </x:c>
      <x:c r="B4524" t="str">
        <x:v>PTN Vokasi</x:v>
      </x:c>
      <x:c r="C4524" t="str">
        <x:v>POLITEKNIK NEGERI NUNUKAN</x:v>
      </x:c>
      <x:c r="D4524" t="str">
        <x:v>ADMINISTRASI BISNIS</x:v>
      </x:c>
      <x:c r="E4524" t="str">
        <x:v>Diploma Tiga</x:v>
      </x:c>
      <x:c r="F4524" s="18" t="n">
        <x:v>29</x:v>
      </x:c>
      <x:c r="G4524" s="18" t="n">
        <x:v>21</x:v>
      </x:c>
      <x:c r="H4524" s="19" t="n">
        <x:v>0.7241379310344828</x:v>
      </x:c>
      <x:c r="I4524" s="18" t="n">
        <x:f>ROUND(MIN(Model_Config_v3!$B$6,MAX(Q4524,R4524,S4524*Model_Config_v3!$B$4+T4524*Model_Config_v3!$B$5)),0)</x:f>
        <x:v>612</x:v>
      </x:c>
      <x:c r="J4524" s="18" t="n">
        <x:f>MIN(Model_Config_v3!$B$6,I4524+Model_Config_v3!$B$7)</x:f>
        <x:v>632</x:v>
      </x:c>
      <x:c r="K4524" s="20" t="n">
        <x:v>46.2</x:v>
      </x:c>
      <x:c r="L4524" t="str">
        <x:v>MENENGAH</x:v>
      </x:c>
      <x:c r="M4524" t="str">
        <x:v>SEDANG+</x:v>
      </x:c>
      <x:c r="N4524" t="str">
        <x:v>REGULER</x:v>
      </x:c>
      <x:c r="O4524" t="str">
        <x:v>SOSHUM</x:v>
      </x:c>
      <x:c r="P4524" t="str">
        <x:v>BISNIS/EKONOMI/AKUNTANSI</x:v>
      </x:c>
      <x:c r="Q4524" s="18" t="n">
        <x:v>0</x:v>
      </x:c>
      <x:c r="R4524" s="18" t="n">
        <x:v>0</x:v>
      </x:c>
      <x:c r="S4524" s="18" t="n">
        <x:v>520</x:v>
      </x:c>
      <x:c r="T4524" s="18" t="n">
        <x:v>652</x:v>
      </x:c>
      <x:c r="U4524" s="18" t="n">
        <x:v>535</x:v>
      </x:c>
      <x:c r="V4524" s="20" t="n">
        <x:v>4.4</x:v>
      </x:c>
      <x:c r="W4524" s="20" t="n">
        <x:v>14.3</x:v>
      </x:c>
      <x:c r="X4524" s="20" t="n">
        <x:v>3.3</x:v>
      </x:c>
      <x:c r="Y4524" t="str">
        <x:v>Basis arsip 2025/2024</x:v>
      </x:c>
      <x:c r="Z4524" t="str">
        <x:v>https://snpmb.id/utbk-snbt/daya-tampung-snbt</x:v>
      </x:c>
      <x:c r="AA4524" t="str">
        <x:v>Tidak Ada</x:v>
      </x:c>
      <x:c r="AB4524" t="str">
        <x:v>Campus=55; Ratio=0.0; Prodi=65; RelDemand=63.7; Capacity=75.8</x:v>
      </x:c>
    </x:row>
    <x:row r="4525">
      <x:c r="A4525" t="n">
        <x:v>4522</x:v>
      </x:c>
      <x:c r="B4525" t="str">
        <x:v>PTN Vokasi</x:v>
      </x:c>
      <x:c r="C4525" t="str">
        <x:v>POLITEKNIK NEGERI NUNUKAN</x:v>
      </x:c>
      <x:c r="D4525" t="str">
        <x:v>TEKNIK ALAT BERAT</x:v>
      </x:c>
      <x:c r="E4525" t="str">
        <x:v>Diploma Tiga</x:v>
      </x:c>
      <x:c r="F4525" s="18" t="n">
        <x:v>20</x:v>
      </x:c>
      <x:c r="G4525" s="18" t="n">
        <x:v>8</x:v>
      </x:c>
      <x:c r="H4525" s="19" t="n">
        <x:v>0.4</x:v>
      </x:c>
      <x:c r="I4525" s="18" t="n">
        <x:f>ROUND(MIN(Model_Config_v3!$B$6,MAX(Q4525,R4525,S4525*Model_Config_v3!$B$4+T4525*Model_Config_v3!$B$5)),0)</x:f>
        <x:v>608</x:v>
      </x:c>
      <x:c r="J4525" s="18" t="n">
        <x:f>MIN(Model_Config_v3!$B$6,I4525+Model_Config_v3!$B$7)</x:f>
        <x:v>628</x:v>
      </x:c>
      <x:c r="K4525" s="20" t="n">
        <x:v>43.1</x:v>
      </x:c>
      <x:c r="L4525" t="str">
        <x:v>RELATIF LONGGAR</x:v>
      </x:c>
      <x:c r="M4525" t="str">
        <x:v>SEDANG+</x:v>
      </x:c>
      <x:c r="N4525" t="str">
        <x:v>REGULER</x:v>
      </x:c>
      <x:c r="O4525" t="str">
        <x:v>SAINTEK</x:v>
      </x:c>
      <x:c r="P4525" t="str">
        <x:v>TEKNIK/ARSITEKTUR/STATISTIKA/AKTUARIA</x:v>
      </x:c>
      <x:c r="Q4525" s="18" t="n">
        <x:v>0</x:v>
      </x:c>
      <x:c r="R4525" s="18" t="n">
        <x:v>0</x:v>
      </x:c>
      <x:c r="S4525" s="18" t="n">
        <x:v>520</x:v>
      </x:c>
      <x:c r="T4525" s="18" t="n">
        <x:v>646</x:v>
      </x:c>
      <x:c r="U4525" s="18" t="n">
        <x:v>530</x:v>
      </x:c>
      <x:c r="V4525" s="20" t="n">
        <x:v>12</x:v>
      </x:c>
      <x:c r="W4525" s="20" t="n">
        <x:v>5</x:v>
      </x:c>
      <x:c r="X4525" s="20" t="n">
        <x:v>3</x:v>
      </x:c>
      <x:c r="Y4525" t="str">
        <x:v>Basis arsip 2025/2024</x:v>
      </x:c>
      <x:c r="Z4525" t="str">
        <x:v>https://snpmb.id/utbk-snbt/daya-tampung-snbt</x:v>
      </x:c>
      <x:c r="AA4525" t="str">
        <x:v>Tidak Ada</x:v>
      </x:c>
      <x:c r="AB4525" t="str">
        <x:v>Campus=55; Ratio=0.0; Prodi=60; RelDemand=35.2; Capacity=83.3</x:v>
      </x:c>
    </x:row>
    <x:row r="4526">
      <x:c r="A4526" t="n">
        <x:v>4523</x:v>
      </x:c>
      <x:c r="B4526" t="str">
        <x:v>PTN Vokasi</x:v>
      </x:c>
      <x:c r="C4526" t="str">
        <x:v>POLITEKNIK NEGERI NUNUKAN</x:v>
      </x:c>
      <x:c r="D4526" t="str">
        <x:v>TEKNIK SIPIL INFRASTRUKTUR PERKOTAAN</x:v>
      </x:c>
      <x:c r="E4526" t="str">
        <x:v>Diploma Tiga</x:v>
      </x:c>
      <x:c r="F4526" s="18" t="n">
        <x:v>20</x:v>
      </x:c>
      <x:c r="G4526" s="18" t="n">
        <x:v>7</x:v>
      </x:c>
      <x:c r="H4526" s="19" t="n">
        <x:v>0.35</x:v>
      </x:c>
      <x:c r="I4526" s="18" t="n">
        <x:f>ROUND(MIN(Model_Config_v3!$B$6,MAX(Q4526,R4526,S4526*Model_Config_v3!$B$4+T4526*Model_Config_v3!$B$5)),0)</x:f>
        <x:v>608</x:v>
      </x:c>
      <x:c r="J4526" s="18" t="n">
        <x:f>MIN(Model_Config_v3!$B$6,I4526+Model_Config_v3!$B$7)</x:f>
        <x:v>628</x:v>
      </x:c>
      <x:c r="K4526" s="20" t="n">
        <x:v>42.7</x:v>
      </x:c>
      <x:c r="L4526" t="str">
        <x:v>RELATIF LONGGAR</x:v>
      </x:c>
      <x:c r="M4526" t="str">
        <x:v>SEDANG+</x:v>
      </x:c>
      <x:c r="N4526" t="str">
        <x:v>REGULER</x:v>
      </x:c>
      <x:c r="O4526" t="str">
        <x:v>SAINTEK</x:v>
      </x:c>
      <x:c r="P4526" t="str">
        <x:v>TEKNIK/ARSITEKTUR/STATISTIKA/AKTUARIA</x:v>
      </x:c>
      <x:c r="Q4526" s="18" t="n">
        <x:v>0</x:v>
      </x:c>
      <x:c r="R4526" s="18" t="n">
        <x:v>0</x:v>
      </x:c>
      <x:c r="S4526" s="18" t="n">
        <x:v>520</x:v>
      </x:c>
      <x:c r="T4526" s="18" t="n">
        <x:v>645</x:v>
      </x:c>
      <x:c r="U4526" s="18" t="n">
        <x:v>530</x:v>
      </x:c>
      <x:c r="V4526" s="20" t="n">
        <x:v>12</x:v>
      </x:c>
      <x:c r="W4526" s="20" t="n">
        <x:v>5</x:v>
      </x:c>
      <x:c r="X4526" s="20" t="n">
        <x:v>3</x:v>
      </x:c>
      <x:c r="Y4526" t="str">
        <x:v>Basis arsip 2025/2024</x:v>
      </x:c>
      <x:c r="Z4526" t="str">
        <x:v>https://snpmb.id/utbk-snbt/daya-tampung-snbt</x:v>
      </x:c>
      <x:c r="AA4526" t="str">
        <x:v>Tidak Ada</x:v>
      </x:c>
      <x:c r="AB4526" t="str">
        <x:v>Campus=55; Ratio=0.0; Prodi=60; RelDemand=30.8; Capacity=83.3</x:v>
      </x:c>
    </x:row>
    <x:row r="4527">
      <x:c r="A4527" t="n">
        <x:v>4524</x:v>
      </x:c>
      <x:c r="B4527" t="str">
        <x:v>PTN Vokasi</x:v>
      </x:c>
      <x:c r="C4527" t="str">
        <x:v>POLITEKNIK NEGERI NUNUKAN</x:v>
      </x:c>
      <x:c r="D4527" t="str">
        <x:v>TEKNOLOGI HASIL PERIKANAN</x:v>
      </x:c>
      <x:c r="E4527" t="str">
        <x:v>Diploma Tiga</x:v>
      </x:c>
      <x:c r="F4527" s="18" t="n">
        <x:v>10</x:v>
      </x:c>
      <x:c r="G4527" s="18" t="n">
        <x:v>8</x:v>
      </x:c>
      <x:c r="H4527" s="19" t="n">
        <x:v>0.8</x:v>
      </x:c>
      <x:c r="I4527" s="18" t="n">
        <x:f>ROUND(MIN(Model_Config_v3!$B$6,MAX(Q4527,R4527,S4527*Model_Config_v3!$B$4+T4527*Model_Config_v3!$B$5)),0)</x:f>
        <x:v>609</x:v>
      </x:c>
      <x:c r="J4527" s="18" t="n">
        <x:f>MIN(Model_Config_v3!$B$6,I4527+Model_Config_v3!$B$7)</x:f>
        <x:v>629</x:v>
      </x:c>
      <x:c r="K4527" s="20" t="n">
        <x:v>43.5</x:v>
      </x:c>
      <x:c r="L4527" t="str">
        <x:v>RELATIF LONGGAR</x:v>
      </x:c>
      <x:c r="M4527" t="str">
        <x:v>SEDANG</x:v>
      </x:c>
      <x:c r="N4527" t="str">
        <x:v>REGULER</x:v>
      </x:c>
      <x:c r="O4527" t="str">
        <x:v>SAINTEK</x:v>
      </x:c>
      <x:c r="P4527" t="str">
        <x:v>UMUM</x:v>
      </x:c>
      <x:c r="Q4527" s="18" t="n">
        <x:v>0</x:v>
      </x:c>
      <x:c r="R4527" s="18" t="n">
        <x:v>0</x:v>
      </x:c>
      <x:c r="S4527" s="18" t="n">
        <x:v>520</x:v>
      </x:c>
      <x:c r="T4527" s="18" t="n">
        <x:v>647</x:v>
      </x:c>
      <x:c r="U4527" s="18" t="n">
        <x:v>520</x:v>
      </x:c>
      <x:c r="V4527" s="20" t="n">
        <x:v>12</x:v>
      </x:c>
      <x:c r="W4527" s="20" t="n">
        <x:v>5</x:v>
      </x:c>
      <x:c r="X4527" s="20" t="n">
        <x:v>3</x:v>
      </x:c>
      <x:c r="Y4527" t="str">
        <x:v>Basis arsip 2025/2024</x:v>
      </x:c>
      <x:c r="Z4527" t="str">
        <x:v>https://snpmb.id/utbk-snbt/daya-tampung-snbt</x:v>
      </x:c>
      <x:c r="AA4527" t="str">
        <x:v>Tidak Ada</x:v>
      </x:c>
      <x:c r="AB4527" t="str">
        <x:v>Campus=55; Ratio=0.0; Prodi=40; RelDemand=70.4; Capacity=91.7</x:v>
      </x:c>
    </x:row>
    <x:row r="4528">
      <x:c r="A4528" t="n">
        <x:v>4525</x:v>
      </x:c>
      <x:c r="B4528" t="str">
        <x:v>PTN Vokasi</x:v>
      </x:c>
      <x:c r="C4528" t="str">
        <x:v>POLITEKNIK PERTANIAN NEGERI SAMARINDA</x:v>
      </x:c>
      <x:c r="D4528" t="str">
        <x:v>PENGELOLAAN PERKEBUNAN</x:v>
      </x:c>
      <x:c r="E4528" t="str">
        <x:v>Sarjana Terapan</x:v>
      </x:c>
      <x:c r="F4528" s="18" t="n">
        <x:v>39</x:v>
      </x:c>
      <x:c r="G4528" s="18" t="n">
        <x:v>36</x:v>
      </x:c>
      <x:c r="H4528" s="19" t="n">
        <x:v>0.9230769230769231</x:v>
      </x:c>
      <x:c r="I4528" s="18" t="n">
        <x:f>ROUND(MIN(Model_Config_v3!$B$6,MAX(Q4528,R4528,S4528*Model_Config_v3!$B$4+T4528*Model_Config_v3!$B$5)),0)</x:f>
        <x:v>603</x:v>
      </x:c>
      <x:c r="J4528" s="18" t="n">
        <x:f>MIN(Model_Config_v3!$B$6,I4528+Model_Config_v3!$B$7)</x:f>
        <x:v>623</x:v>
      </x:c>
      <x:c r="K4528" s="20" t="n">
        <x:v>38.9</x:v>
      </x:c>
      <x:c r="L4528" t="str">
        <x:v>RELATIF LONGGAR</x:v>
      </x:c>
      <x:c r="M4528" t="str">
        <x:v>SEDANG</x:v>
      </x:c>
      <x:c r="N4528" t="str">
        <x:v>REGULER</x:v>
      </x:c>
      <x:c r="O4528" t="str">
        <x:v>CAMPURAN</x:v>
      </x:c>
      <x:c r="P4528" t="str">
        <x:v>UMUM</x:v>
      </x:c>
      <x:c r="Q4528" s="18" t="n">
        <x:v>0</x:v>
      </x:c>
      <x:c r="R4528" s="18" t="n">
        <x:v>0</x:v>
      </x:c>
      <x:c r="S4528" s="18" t="n">
        <x:v>520</x:v>
      </x:c>
      <x:c r="T4528" s="18" t="n">
        <x:v>638</x:v>
      </x:c>
      <x:c r="U4528" s="18" t="n">
        <x:v>520</x:v>
      </x:c>
      <x:c r="V4528" s="20" t="n">
        <x:v>8.8</x:v>
      </x:c>
      <x:c r="W4528" s="20" t="n">
        <x:v>9.9</x:v>
      </x:c>
      <x:c r="X4528" s="20" t="n">
        <x:v>3.3</x:v>
      </x:c>
      <x:c r="Y4528" t="str">
        <x:v>Basis arsip 2025/2024</x:v>
      </x:c>
      <x:c r="Z4528" t="str">
        <x:v>https://snpmb.id/utbk-snbt/daya-tampung-snbt</x:v>
      </x:c>
      <x:c r="AA4528" t="str">
        <x:v>Tidak Ada</x:v>
      </x:c>
      <x:c r="AB4528" t="str">
        <x:v>Campus=55; Ratio=0.0; Prodi=40; RelDemand=49.2; Capacity=67.5</x:v>
      </x:c>
    </x:row>
    <x:row r="4529">
      <x:c r="A4529" t="n">
        <x:v>4526</x:v>
      </x:c>
      <x:c r="B4529" t="str">
        <x:v>PTN Vokasi</x:v>
      </x:c>
      <x:c r="C4529" t="str">
        <x:v>POLITEKNIK PERTANIAN NEGERI SAMARINDA</x:v>
      </x:c>
      <x:c r="D4529" t="str">
        <x:v>TEKNOLOGI REKAYASA PERANGKAT LUNAK</x:v>
      </x:c>
      <x:c r="E4529" t="str">
        <x:v>Sarjana Terapan</x:v>
      </x:c>
      <x:c r="F4529" s="18" t="n">
        <x:v>31</x:v>
      </x:c>
      <x:c r="G4529" s="18" t="n">
        <x:v>16</x:v>
      </x:c>
      <x:c r="H4529" s="19" t="n">
        <x:v>0.5161290322580645</x:v>
      </x:c>
      <x:c r="I4529" s="18" t="n">
        <x:f>ROUND(MIN(Model_Config_v3!$B$6,MAX(Q4529,R4529,S4529*Model_Config_v3!$B$4+T4529*Model_Config_v3!$B$5)),0)</x:f>
        <x:v>601</x:v>
      </x:c>
      <x:c r="J4529" s="18" t="n">
        <x:f>MIN(Model_Config_v3!$B$6,I4529+Model_Config_v3!$B$7)</x:f>
        <x:v>621</x:v>
      </x:c>
      <x:c r="K4529" s="20" t="n">
        <x:v>37.4</x:v>
      </x:c>
      <x:c r="L4529" t="str">
        <x:v>RELATIF LONGGAR</x:v>
      </x:c>
      <x:c r="M4529" t="str">
        <x:v>SEDANG</x:v>
      </x:c>
      <x:c r="N4529" t="str">
        <x:v>REGULER</x:v>
      </x:c>
      <x:c r="O4529" t="str">
        <x:v>SAINTEK</x:v>
      </x:c>
      <x:c r="P4529" t="str">
        <x:v>UMUM</x:v>
      </x:c>
      <x:c r="Q4529" s="18" t="n">
        <x:v>0</x:v>
      </x:c>
      <x:c r="R4529" s="18" t="n">
        <x:v>0</x:v>
      </x:c>
      <x:c r="S4529" s="18" t="n">
        <x:v>520</x:v>
      </x:c>
      <x:c r="T4529" s="18" t="n">
        <x:v>635</x:v>
      </x:c>
      <x:c r="U4529" s="18" t="n">
        <x:v>520</x:v>
      </x:c>
      <x:c r="V4529" s="20" t="n">
        <x:v>12</x:v>
      </x:c>
      <x:c r="W4529" s="20" t="n">
        <x:v>5</x:v>
      </x:c>
      <x:c r="X4529" s="20" t="n">
        <x:v>3</x:v>
      </x:c>
      <x:c r="Y4529" t="str">
        <x:v>Basis arsip 2025/2024</x:v>
      </x:c>
      <x:c r="Z4529" t="str">
        <x:v>https://snpmb.id/utbk-snbt/daya-tampung-snbt</x:v>
      </x:c>
      <x:c r="AA4529" t="str">
        <x:v>Tidak Ada</x:v>
      </x:c>
      <x:c r="AB4529" t="str">
        <x:v>Campus=55; Ratio=0.0; Prodi=40; RelDemand=27.5; Capacity=74.2</x:v>
      </x:c>
    </x:row>
    <x:row r="4530">
      <x:c r="A4530" t="n">
        <x:v>4527</x:v>
      </x:c>
      <x:c r="B4530" t="str">
        <x:v>PTN Vokasi</x:v>
      </x:c>
      <x:c r="C4530" t="str">
        <x:v>POLITEKNIK PERTANIAN NEGERI SAMARINDA</x:v>
      </x:c>
      <x:c r="D4530" t="str">
        <x:v>REKAYASA KAYU</x:v>
      </x:c>
      <x:c r="E4530" t="str">
        <x:v>Sarjana Terapan</x:v>
      </x:c>
      <x:c r="F4530" s="18" t="n">
        <x:v>12</x:v>
      </x:c>
      <x:c r="G4530" s="18" t="n">
        <x:v>1</x:v>
      </x:c>
      <x:c r="H4530" s="19" t="n">
        <x:v>0.08333333333333333</x:v>
      </x:c>
      <x:c r="I4530" s="18" t="n">
        <x:f>ROUND(MIN(Model_Config_v3!$B$6,MAX(Q4530,R4530,S4530*Model_Config_v3!$B$4+T4530*Model_Config_v3!$B$5)),0)</x:f>
        <x:v>599</x:v>
      </x:c>
      <x:c r="J4530" s="18" t="n">
        <x:f>MIN(Model_Config_v3!$B$6,I4530+Model_Config_v3!$B$7)</x:f>
        <x:v>619</x:v>
      </x:c>
      <x:c r="K4530" s="20" t="n">
        <x:v>36.7</x:v>
      </x:c>
      <x:c r="L4530" t="str">
        <x:v>RELATIF LONGGAR</x:v>
      </x:c>
      <x:c r="M4530" t="str">
        <x:v>SEDANG</x:v>
      </x:c>
      <x:c r="N4530" t="str">
        <x:v>REGULER</x:v>
      </x:c>
      <x:c r="O4530" t="str">
        <x:v>CAMPURAN</x:v>
      </x:c>
      <x:c r="P4530" t="str">
        <x:v>UMUM</x:v>
      </x:c>
      <x:c r="Q4530" s="18" t="n">
        <x:v>0</x:v>
      </x:c>
      <x:c r="R4530" s="18" t="n">
        <x:v>0</x:v>
      </x:c>
      <x:c r="S4530" s="18" t="n">
        <x:v>520</x:v>
      </x:c>
      <x:c r="T4530" s="18" t="n">
        <x:v>633</x:v>
      </x:c>
      <x:c r="U4530" s="18" t="n">
        <x:v>520</x:v>
      </x:c>
      <x:c r="V4530" s="20" t="n">
        <x:v>8.8</x:v>
      </x:c>
      <x:c r="W4530" s="20" t="n">
        <x:v>9.9</x:v>
      </x:c>
      <x:c r="X4530" s="20" t="n">
        <x:v>3.3</x:v>
      </x:c>
      <x:c r="Y4530" t="str">
        <x:v>Basis arsip 2025/2024</x:v>
      </x:c>
      <x:c r="Z4530" t="str">
        <x:v>https://snpmb.id/utbk-snbt/daya-tampung-snbt</x:v>
      </x:c>
      <x:c r="AA4530" t="str">
        <x:v>Tidak Ada</x:v>
      </x:c>
      <x:c r="AB4530" t="str">
        <x:v>Campus=55; Ratio=0.0; Prodi=40; RelDemand=4.4; Capacity=90.0</x:v>
      </x:c>
    </x:row>
    <x:row r="4531">
      <x:c r="A4531" t="n">
        <x:v>4528</x:v>
      </x:c>
      <x:c r="B4531" t="str">
        <x:v>PTN Vokasi</x:v>
      </x:c>
      <x:c r="C4531" t="str">
        <x:v>POLITEKNIK PERTANIAN NEGERI SAMARINDA</x:v>
      </x:c>
      <x:c r="D4531" t="str">
        <x:v>TEKNOLOGI REKAYASA GEOMATIKA DAN SURVEI</x:v>
      </x:c>
      <x:c r="E4531" t="str">
        <x:v>Sarjana Terapan</x:v>
      </x:c>
      <x:c r="F4531" s="18" t="n">
        <x:v>28</x:v>
      </x:c>
      <x:c r="G4531" s="18" t="n">
        <x:v>38</x:v>
      </x:c>
      <x:c r="H4531" s="19" t="n">
        <x:v>1.3571428571428572</x:v>
      </x:c>
      <x:c r="I4531" s="18" t="n">
        <x:f>ROUND(MIN(Model_Config_v3!$B$6,MAX(Q4531,R4531,S4531*Model_Config_v3!$B$4+T4531*Model_Config_v3!$B$5)),0)</x:f>
        <x:v>614</x:v>
      </x:c>
      <x:c r="J4531" s="18" t="n">
        <x:f>MIN(Model_Config_v3!$B$6,I4531+Model_Config_v3!$B$7)</x:f>
        <x:v>634</x:v>
      </x:c>
      <x:c r="K4531" s="20" t="n">
        <x:v>44.1</x:v>
      </x:c>
      <x:c r="L4531" t="str">
        <x:v>RELATIF LONGGAR</x:v>
      </x:c>
      <x:c r="M4531" t="str">
        <x:v>SEDANG</x:v>
      </x:c>
      <x:c r="N4531" t="str">
        <x:v>REGULER</x:v>
      </x:c>
      <x:c r="O4531" t="str">
        <x:v>SAINTEK</x:v>
      </x:c>
      <x:c r="P4531" t="str">
        <x:v>UMUM</x:v>
      </x:c>
      <x:c r="Q4531" s="18" t="n">
        <x:v>0</x:v>
      </x:c>
      <x:c r="R4531" s="18" t="n">
        <x:v>0</x:v>
      </x:c>
      <x:c r="S4531" s="18" t="n">
        <x:v>534.588812180205</x:v>
      </x:c>
      <x:c r="T4531" s="18" t="n">
        <x:v>648</x:v>
      </x:c>
      <x:c r="U4531" s="18" t="n">
        <x:v>534.588812180205</x:v>
      </x:c>
      <x:c r="V4531" s="20" t="n">
        <x:v>12</x:v>
      </x:c>
      <x:c r="W4531" s="20" t="n">
        <x:v>5</x:v>
      </x:c>
      <x:c r="X4531" s="20" t="n">
        <x:v>3</x:v>
      </x:c>
      <x:c r="Y4531" t="str">
        <x:v>Basis arsip 2025/2024</x:v>
      </x:c>
      <x:c r="Z4531" t="str">
        <x:v>https://snpmb.id/utbk-snbt/daya-tampung-snbt</x:v>
      </x:c>
      <x:c r="AA4531" t="str">
        <x:v>Tidak Ada</x:v>
      </x:c>
      <x:c r="AB4531" t="str">
        <x:v>Campus=55; Ratio=7.8; Prodi=40; RelDemand=72.4; Capacity=76.7</x:v>
      </x:c>
    </x:row>
    <x:row r="4532">
      <x:c r="A4532" t="n">
        <x:v>4529</x:v>
      </x:c>
      <x:c r="B4532" t="str">
        <x:v>PTN Vokasi</x:v>
      </x:c>
      <x:c r="C4532" t="str">
        <x:v>POLITEKNIK PERTANIAN NEGERI SAMARINDA</x:v>
      </x:c>
      <x:c r="D4532" t="str">
        <x:v>TEKNOLOGI PRODUKSI TANAMAN PANGAN</x:v>
      </x:c>
      <x:c r="E4532" t="str">
        <x:v>Sarjana Terapan</x:v>
      </x:c>
      <x:c r="F4532" s="18" t="n">
        <x:v>12</x:v>
      </x:c>
      <x:c r="G4532" s="18" t="n">
        <x:v>25</x:v>
      </x:c>
      <x:c r="H4532" s="19" t="n">
        <x:v>2.0833333333333335</x:v>
      </x:c>
      <x:c r="I4532" s="18" t="n">
        <x:f>ROUND(MIN(Model_Config_v3!$B$6,MAX(Q4532,R4532,S4532*Model_Config_v3!$B$4+T4532*Model_Config_v3!$B$5)),0)</x:f>
        <x:v>630</x:v>
      </x:c>
      <x:c r="J4532" s="18" t="n">
        <x:f>MIN(Model_Config_v3!$B$6,I4532+Model_Config_v3!$B$7)</x:f>
        <x:v>650</x:v>
      </x:c>
      <x:c r="K4532" s="20" t="n">
        <x:v>50.9</x:v>
      </x:c>
      <x:c r="L4532" t="str">
        <x:v>MENENGAH</x:v>
      </x:c>
      <x:c r="M4532" t="str">
        <x:v>SEDANG</x:v>
      </x:c>
      <x:c r="N4532" t="str">
        <x:v>REGULER</x:v>
      </x:c>
      <x:c r="O4532" t="str">
        <x:v>SAINTEK</x:v>
      </x:c>
      <x:c r="P4532" t="str">
        <x:v>UMUM</x:v>
      </x:c>
      <x:c r="Q4532" s="18" t="n">
        <x:v>0</x:v>
      </x:c>
      <x:c r="R4532" s="18" t="n">
        <x:v>0</x:v>
      </x:c>
      <x:c r="S4532" s="18" t="n">
        <x:v>555.0634638886854</x:v>
      </x:c>
      <x:c r="T4532" s="18" t="n">
        <x:v>662</x:v>
      </x:c>
      <x:c r="U4532" s="18" t="n">
        <x:v>555.0634638886854</x:v>
      </x:c>
      <x:c r="V4532" s="20" t="n">
        <x:v>12</x:v>
      </x:c>
      <x:c r="W4532" s="20" t="n">
        <x:v>5</x:v>
      </x:c>
      <x:c r="X4532" s="20" t="n">
        <x:v>3</x:v>
      </x:c>
      <x:c r="Y4532" t="str">
        <x:v>Basis arsip 2025/2024</x:v>
      </x:c>
      <x:c r="Z4532" t="str">
        <x:v>https://snpmb.id/utbk-snbt/daya-tampung-snbt</x:v>
      </x:c>
      <x:c r="AA4532" t="str">
        <x:v>Tidak Ada</x:v>
      </x:c>
      <x:c r="AB4532" t="str">
        <x:v>Campus=55; Ratio=18.8; Prodi=40; RelDemand=100.0; Capacity=90.0</x:v>
      </x:c>
    </x:row>
    <x:row r="4533">
      <x:c r="A4533" t="n">
        <x:v>4530</x:v>
      </x:c>
      <x:c r="B4533" t="str">
        <x:v>PTN Vokasi</x:v>
      </x:c>
      <x:c r="C4533" t="str">
        <x:v>POLITEKNIK PERTANIAN NEGERI SAMARINDA</x:v>
      </x:c>
      <x:c r="D4533" t="str">
        <x:v>TEKNOLOGI REKAYASA PENGENDALIAN PENCEMARAN LINGKUNGAN</x:v>
      </x:c>
      <x:c r="E4533" t="str">
        <x:v>Sarjana Terapan</x:v>
      </x:c>
      <x:c r="F4533" s="18" t="n">
        <x:v>12</x:v>
      </x:c>
      <x:c r="G4533" s="18"/>
      <x:c r="H4533" s="19" t="n">
        <x:v>0</x:v>
      </x:c>
      <x:c r="I4533" s="18" t="n">
        <x:f>ROUND(MIN(Model_Config_v3!$B$6,MAX(Q4533,R4533,S4533*Model_Config_v3!$B$4+T4533*Model_Config_v3!$B$5)),0)</x:f>
        <x:v>598</x:v>
      </x:c>
      <x:c r="J4533" s="18" t="n">
        <x:f>MIN(Model_Config_v3!$B$6,I4533+Model_Config_v3!$B$7)</x:f>
        <x:v>618</x:v>
      </x:c>
      <x:c r="K4533" s="20" t="n">
        <x:v>36.2</x:v>
      </x:c>
      <x:c r="L4533" t="str">
        <x:v>RELATIF LONGGAR</x:v>
      </x:c>
      <x:c r="M4533" t="str">
        <x:v>RENDAH</x:v>
      </x:c>
      <x:c r="N4533" t="str">
        <x:v>REGULER</x:v>
      </x:c>
      <x:c r="O4533" t="str">
        <x:v>SAINTEK</x:v>
      </x:c>
      <x:c r="P4533" t="str">
        <x:v>UMUM</x:v>
      </x:c>
      <x:c r="Q4533" s="18" t="n">
        <x:v>0</x:v>
      </x:c>
      <x:c r="R4533" s="18" t="n">
        <x:v>0</x:v>
      </x:c>
      <x:c r="S4533" s="18" t="n">
        <x:v>520</x:v>
      </x:c>
      <x:c r="T4533" s="18" t="n">
        <x:v>632</x:v>
      </x:c>
      <x:c r="U4533" s="18" t="n">
        <x:v>520</x:v>
      </x:c>
      <x:c r="V4533" s="20" t="n">
        <x:v>12</x:v>
      </x:c>
      <x:c r="W4533" s="20" t="n">
        <x:v>5</x:v>
      </x:c>
      <x:c r="X4533" s="20" t="n">
        <x:v>3</x:v>
      </x:c>
      <x:c r="Y4533" t="str">
        <x:v>Basis arsip 2025/2024</x:v>
      </x:c>
      <x:c r="Z4533" t="str">
        <x:v>https://snpmb.id/utbk-snbt/daya-tampung-snbt</x:v>
      </x:c>
      <x:c r="AA4533" t="str">
        <x:v>Tidak Ada</x:v>
      </x:c>
      <x:c r="AB4533" t="str">
        <x:v>Campus=55; Ratio=0.0; Prodi=40; RelDemand=0.0; Capacity=90.0</x:v>
      </x:c>
    </x:row>
    <x:row r="4534">
      <x:c r="A4534" t="n">
        <x:v>4531</x:v>
      </x:c>
      <x:c r="B4534" t="str">
        <x:v>PTN Vokasi</x:v>
      </x:c>
      <x:c r="C4534" t="str">
        <x:v>POLITEKNIK PERTANIAN NEGERI SAMARINDA</x:v>
      </x:c>
      <x:c r="D4534" t="str">
        <x:v>TEKNOLOGI REKAYASA PANGAN</x:v>
      </x:c>
      <x:c r="E4534" t="str">
        <x:v>Sarjana Terapan</x:v>
      </x:c>
      <x:c r="F4534" s="18" t="n">
        <x:v>12</x:v>
      </x:c>
      <x:c r="G4534" s="18"/>
      <x:c r="H4534" s="19" t="n">
        <x:v>0</x:v>
      </x:c>
      <x:c r="I4534" s="18" t="n">
        <x:f>ROUND(MIN(Model_Config_v3!$B$6,MAX(Q4534,R4534,S4534*Model_Config_v3!$B$4+T4534*Model_Config_v3!$B$5)),0)</x:f>
        <x:v>598</x:v>
      </x:c>
      <x:c r="J4534" s="18" t="n">
        <x:f>MIN(Model_Config_v3!$B$6,I4534+Model_Config_v3!$B$7)</x:f>
        <x:v>618</x:v>
      </x:c>
      <x:c r="K4534" s="20" t="n">
        <x:v>36.2</x:v>
      </x:c>
      <x:c r="L4534" t="str">
        <x:v>RELATIF LONGGAR</x:v>
      </x:c>
      <x:c r="M4534" t="str">
        <x:v>RENDAH</x:v>
      </x:c>
      <x:c r="N4534" t="str">
        <x:v>REGULER</x:v>
      </x:c>
      <x:c r="O4534" t="str">
        <x:v>SAINTEK</x:v>
      </x:c>
      <x:c r="P4534" t="str">
        <x:v>UMUM</x:v>
      </x:c>
      <x:c r="Q4534" s="18" t="n">
        <x:v>0</x:v>
      </x:c>
      <x:c r="R4534" s="18" t="n">
        <x:v>0</x:v>
      </x:c>
      <x:c r="S4534" s="18" t="n">
        <x:v>520</x:v>
      </x:c>
      <x:c r="T4534" s="18" t="n">
        <x:v>632</x:v>
      </x:c>
      <x:c r="U4534" s="18" t="n">
        <x:v>520</x:v>
      </x:c>
      <x:c r="V4534" s="20" t="n">
        <x:v>12</x:v>
      </x:c>
      <x:c r="W4534" s="20" t="n">
        <x:v>5</x:v>
      </x:c>
      <x:c r="X4534" s="20" t="n">
        <x:v>3</x:v>
      </x:c>
      <x:c r="Y4534" t="str">
        <x:v>Basis arsip 2025/2024</x:v>
      </x:c>
      <x:c r="Z4534" t="str">
        <x:v>https://snpmb.id/utbk-snbt/daya-tampung-snbt</x:v>
      </x:c>
      <x:c r="AA4534" t="str">
        <x:v>Tidak Ada</x:v>
      </x:c>
      <x:c r="AB4534" t="str">
        <x:v>Campus=55; Ratio=0.0; Prodi=40; RelDemand=0.0; Capacity=90.0</x:v>
      </x:c>
    </x:row>
    <x:row r="4535">
      <x:c r="A4535" t="n">
        <x:v>4532</x:v>
      </x:c>
      <x:c r="B4535" t="str">
        <x:v>PTN Vokasi</x:v>
      </x:c>
      <x:c r="C4535" t="str">
        <x:v>POLITEKNIK PERTANIAN NEGERI SAMARINDA</x:v>
      </x:c>
      <x:c r="D4535" t="str">
        <x:v>BUDIDAYA TANAMAN PERKEBUNAN</x:v>
      </x:c>
      <x:c r="E4535" t="str">
        <x:v>Diploma Tiga</x:v>
      </x:c>
      <x:c r="F4535" s="18" t="n">
        <x:v>24</x:v>
      </x:c>
      <x:c r="G4535" s="18" t="n">
        <x:v>62</x:v>
      </x:c>
      <x:c r="H4535" s="19" t="n">
        <x:v>2.5833333333333335</x:v>
      </x:c>
      <x:c r="I4535" s="18" t="n">
        <x:f>ROUND(MIN(Model_Config_v3!$B$6,MAX(Q4535,R4535,S4535*Model_Config_v3!$B$4+T4535*Model_Config_v3!$B$5)),0)</x:f>
        <x:v>634</x:v>
      </x:c>
      <x:c r="J4535" s="18" t="n">
        <x:f>MIN(Model_Config_v3!$B$6,I4535+Model_Config_v3!$B$7)</x:f>
        <x:v>654</x:v>
      </x:c>
      <x:c r="K4535" s="20" t="n">
        <x:v>51.3</x:v>
      </x:c>
      <x:c r="L4535" t="str">
        <x:v>MENENGAH</x:v>
      </x:c>
      <x:c r="M4535" t="str">
        <x:v>SEDANG</x:v>
      </x:c>
      <x:c r="N4535" t="str">
        <x:v>REGULER</x:v>
      </x:c>
      <x:c r="O4535" t="str">
        <x:v>CAMPURAN</x:v>
      </x:c>
      <x:c r="P4535" t="str">
        <x:v>UMUM</x:v>
      </x:c>
      <x:c r="Q4535" s="18" t="n">
        <x:v>0</x:v>
      </x:c>
      <x:c r="R4535" s="18" t="n">
        <x:v>0</x:v>
      </x:c>
      <x:c r="S4535" s="18" t="n">
        <x:v>565.3398492565312</x:v>
      </x:c>
      <x:c r="T4535" s="18" t="n">
        <x:v>663</x:v>
      </x:c>
      <x:c r="U4535" s="18" t="n">
        <x:v>565.3398492565312</x:v>
      </x:c>
      <x:c r="V4535" s="20" t="n">
        <x:v>8.8</x:v>
      </x:c>
      <x:c r="W4535" s="20" t="n">
        <x:v>9.9</x:v>
      </x:c>
      <x:c r="X4535" s="20" t="n">
        <x:v>3.3</x:v>
      </x:c>
      <x:c r="Y4535" t="str">
        <x:v>Basis arsip 2025/2024</x:v>
      </x:c>
      <x:c r="Z4535" t="str">
        <x:v>https://snpmb.id/utbk-snbt/daya-tampung-snbt</x:v>
      </x:c>
      <x:c r="AA4535" t="str">
        <x:v>Tidak Ada</x:v>
      </x:c>
      <x:c r="AB4535" t="str">
        <x:v>Campus=55; Ratio=24.3; Prodi=40; RelDemand=100.0; Capacity=80.0</x:v>
      </x:c>
    </x:row>
    <x:row r="4536">
      <x:c r="A4536" t="n">
        <x:v>4533</x:v>
      </x:c>
      <x:c r="B4536" t="str">
        <x:v>PTN Vokasi</x:v>
      </x:c>
      <x:c r="C4536" t="str">
        <x:v>POLITEKNIK PERTANIAN NEGERI SAMARINDA</x:v>
      </x:c>
      <x:c r="D4536" t="str">
        <x:v>TEKNOLOGI HASIL PERKEBUNAN</x:v>
      </x:c>
      <x:c r="E4536" t="str">
        <x:v>Diploma Tiga</x:v>
      </x:c>
      <x:c r="F4536" s="18" t="n">
        <x:v>24</x:v>
      </x:c>
      <x:c r="G4536" s="18" t="n">
        <x:v>12</x:v>
      </x:c>
      <x:c r="H4536" s="19" t="n">
        <x:v>0.5</x:v>
      </x:c>
      <x:c r="I4536" s="18" t="n">
        <x:f>ROUND(MIN(Model_Config_v3!$B$6,MAX(Q4536,R4536,S4536*Model_Config_v3!$B$4+T4536*Model_Config_v3!$B$5)),0)</x:f>
        <x:v>601</x:v>
      </x:c>
      <x:c r="J4536" s="18" t="n">
        <x:f>MIN(Model_Config_v3!$B$6,I4536+Model_Config_v3!$B$7)</x:f>
        <x:v>621</x:v>
      </x:c>
      <x:c r="K4536" s="20" t="n">
        <x:v>37.9</x:v>
      </x:c>
      <x:c r="L4536" t="str">
        <x:v>RELATIF LONGGAR</x:v>
      </x:c>
      <x:c r="M4536" t="str">
        <x:v>SEDANG</x:v>
      </x:c>
      <x:c r="N4536" t="str">
        <x:v>REGULER</x:v>
      </x:c>
      <x:c r="O4536" t="str">
        <x:v>SAINTEK</x:v>
      </x:c>
      <x:c r="P4536" t="str">
        <x:v>UMUM</x:v>
      </x:c>
      <x:c r="Q4536" s="18" t="n">
        <x:v>0</x:v>
      </x:c>
      <x:c r="R4536" s="18" t="n">
        <x:v>0</x:v>
      </x:c>
      <x:c r="S4536" s="18" t="n">
        <x:v>520</x:v>
      </x:c>
      <x:c r="T4536" s="18" t="n">
        <x:v>636</x:v>
      </x:c>
      <x:c r="U4536" s="18" t="n">
        <x:v>520</x:v>
      </x:c>
      <x:c r="V4536" s="20" t="n">
        <x:v>12</x:v>
      </x:c>
      <x:c r="W4536" s="20" t="n">
        <x:v>5</x:v>
      </x:c>
      <x:c r="X4536" s="20" t="n">
        <x:v>3</x:v>
      </x:c>
      <x:c r="Y4536" t="str">
        <x:v>Basis arsip 2025/2024</x:v>
      </x:c>
      <x:c r="Z4536" t="str">
        <x:v>https://snpmb.id/utbk-snbt/daya-tampung-snbt</x:v>
      </x:c>
      <x:c r="AA4536" t="str">
        <x:v>Tidak Ada</x:v>
      </x:c>
      <x:c r="AB4536" t="str">
        <x:v>Campus=55; Ratio=0.0; Prodi=40; RelDemand=26.7; Capacity=80.0</x:v>
      </x:c>
    </x:row>
    <x:row r="4537">
      <x:c r="A4537" t="n">
        <x:v>4534</x:v>
      </x:c>
      <x:c r="B4537" t="str">
        <x:v>PTN Vokasi</x:v>
      </x:c>
      <x:c r="C4537" t="str">
        <x:v>POLITEKNIK PERTANIAN NEGERI SAMARINDA</x:v>
      </x:c>
      <x:c r="D4537" t="str">
        <x:v>PENGOLAHAN HASIL HUTAN</x:v>
      </x:c>
      <x:c r="E4537" t="str">
        <x:v>Diploma Tiga</x:v>
      </x:c>
      <x:c r="F4537" s="18" t="n">
        <x:v>24</x:v>
      </x:c>
      <x:c r="G4537" s="18" t="n">
        <x:v>7</x:v>
      </x:c>
      <x:c r="H4537" s="19" t="n">
        <x:v>0.2916666666666667</x:v>
      </x:c>
      <x:c r="I4537" s="18" t="n">
        <x:f>ROUND(MIN(Model_Config_v3!$B$6,MAX(Q4537,R4537,S4537*Model_Config_v3!$B$4+T4537*Model_Config_v3!$B$5)),0)</x:f>
        <x:v>600</x:v>
      </x:c>
      <x:c r="J4537" s="18" t="n">
        <x:f>MIN(Model_Config_v3!$B$6,I4537+Model_Config_v3!$B$7)</x:f>
        <x:v>620</x:v>
      </x:c>
      <x:c r="K4537" s="20" t="n">
        <x:v>36.8</x:v>
      </x:c>
      <x:c r="L4537" t="str">
        <x:v>RELATIF LONGGAR</x:v>
      </x:c>
      <x:c r="M4537" t="str">
        <x:v>SEDANG</x:v>
      </x:c>
      <x:c r="N4537" t="str">
        <x:v>REGULER</x:v>
      </x:c>
      <x:c r="O4537" t="str">
        <x:v>CAMPURAN</x:v>
      </x:c>
      <x:c r="P4537" t="str">
        <x:v>UMUM</x:v>
      </x:c>
      <x:c r="Q4537" s="18" t="n">
        <x:v>0</x:v>
      </x:c>
      <x:c r="R4537" s="18" t="n">
        <x:v>0</x:v>
      </x:c>
      <x:c r="S4537" s="18" t="n">
        <x:v>520</x:v>
      </x:c>
      <x:c r="T4537" s="18" t="n">
        <x:v>634</x:v>
      </x:c>
      <x:c r="U4537" s="18" t="n">
        <x:v>520</x:v>
      </x:c>
      <x:c r="V4537" s="20" t="n">
        <x:v>8.8</x:v>
      </x:c>
      <x:c r="W4537" s="20" t="n">
        <x:v>9.9</x:v>
      </x:c>
      <x:c r="X4537" s="20" t="n">
        <x:v>3.3</x:v>
      </x:c>
      <x:c r="Y4537" t="str">
        <x:v>Basis arsip 2025/2024</x:v>
      </x:c>
      <x:c r="Z4537" t="str">
        <x:v>https://snpmb.id/utbk-snbt/daya-tampung-snbt</x:v>
      </x:c>
      <x:c r="AA4537" t="str">
        <x:v>Tidak Ada</x:v>
      </x:c>
      <x:c r="AB4537" t="str">
        <x:v>Campus=55; Ratio=0.0; Prodi=40; RelDemand=15.6; Capacity=80.0</x:v>
      </x:c>
    </x:row>
    <x:row r="4538">
      <x:c r="A4538" t="n">
        <x:v>4535</x:v>
      </x:c>
      <x:c r="B4538" t="str">
        <x:v>PTN Vokasi</x:v>
      </x:c>
      <x:c r="C4538" t="str">
        <x:v>POLITEKNIK PERTANIAN NEGERI SAMARINDA</x:v>
      </x:c>
      <x:c r="D4538" t="str">
        <x:v>TEKNOLOGI GEOMATIKA</x:v>
      </x:c>
      <x:c r="E4538" t="str">
        <x:v>Diploma Tiga</x:v>
      </x:c>
      <x:c r="F4538" s="18" t="n">
        <x:v>20</x:v>
      </x:c>
      <x:c r="G4538" s="18" t="n">
        <x:v>34</x:v>
      </x:c>
      <x:c r="H4538" s="19" t="n">
        <x:v>1.7</x:v>
      </x:c>
      <x:c r="I4538" s="18" t="n">
        <x:f>ROUND(MIN(Model_Config_v3!$B$6,MAX(Q4538,R4538,S4538*Model_Config_v3!$B$4+T4538*Model_Config_v3!$B$5)),0)</x:f>
        <x:v>623</x:v>
      </x:c>
      <x:c r="J4538" s="18" t="n">
        <x:f>MIN(Model_Config_v3!$B$6,I4538+Model_Config_v3!$B$7)</x:f>
        <x:v>643</x:v>
      </x:c>
      <x:c r="K4538" s="20" t="n">
        <x:v>48</x:v>
      </x:c>
      <x:c r="L4538" t="str">
        <x:v>MENENGAH</x:v>
      </x:c>
      <x:c r="M4538" t="str">
        <x:v>SEDANG</x:v>
      </x:c>
      <x:c r="N4538" t="str">
        <x:v>REGULER</x:v>
      </x:c>
      <x:c r="O4538" t="str">
        <x:v>SAINTEK</x:v>
      </x:c>
      <x:c r="P4538" t="str">
        <x:v>UMUM</x:v>
      </x:c>
      <x:c r="Q4538" s="18" t="n">
        <x:v>0</x:v>
      </x:c>
      <x:c r="R4538" s="18" t="n">
        <x:v>0</x:v>
      </x:c>
      <x:c r="S4538" s="18" t="n">
        <x:v>545.3493813516101</x:v>
      </x:c>
      <x:c r="T4538" s="18" t="n">
        <x:v>656</x:v>
      </x:c>
      <x:c r="U4538" s="18" t="n">
        <x:v>545.3493813516101</x:v>
      </x:c>
      <x:c r="V4538" s="20" t="n">
        <x:v>12</x:v>
      </x:c>
      <x:c r="W4538" s="20" t="n">
        <x:v>5</x:v>
      </x:c>
      <x:c r="X4538" s="20" t="n">
        <x:v>3</x:v>
      </x:c>
      <x:c r="Y4538" t="str">
        <x:v>Basis arsip 2025/2024</x:v>
      </x:c>
      <x:c r="Z4538" t="str">
        <x:v>https://snpmb.id/utbk-snbt/daya-tampung-snbt</x:v>
      </x:c>
      <x:c r="AA4538" t="str">
        <x:v>Tidak Ada</x:v>
      </x:c>
      <x:c r="AB4538" t="str">
        <x:v>Campus=55; Ratio=13.6; Prodi=40; RelDemand=90.7; Capacity=83.3</x:v>
      </x:c>
    </x:row>
    <x:row r="4539">
      <x:c r="A4539" t="n">
        <x:v>4536</x:v>
      </x:c>
      <x:c r="B4539" t="str">
        <x:v>PTN Vokasi</x:v>
      </x:c>
      <x:c r="C4539" t="str">
        <x:v>POLITEKNIK PERTANIAN NEGERI SAMARINDA</x:v>
      </x:c>
      <x:c r="D4539" t="str">
        <x:v>PENGELOLAAN LINGKUNGAN</x:v>
      </x:c>
      <x:c r="E4539" t="str">
        <x:v>Diploma Tiga</x:v>
      </x:c>
      <x:c r="F4539" s="18" t="n">
        <x:v>24</x:v>
      </x:c>
      <x:c r="G4539" s="18" t="n">
        <x:v>27</x:v>
      </x:c>
      <x:c r="H4539" s="19" t="n">
        <x:v>1.125</x:v>
      </x:c>
      <x:c r="I4539" s="18" t="n">
        <x:f>ROUND(MIN(Model_Config_v3!$B$6,MAX(Q4539,R4539,S4539*Model_Config_v3!$B$4+T4539*Model_Config_v3!$B$5)),0)</x:f>
        <x:v>608</x:v>
      </x:c>
      <x:c r="J4539" s="18" t="n">
        <x:f>MIN(Model_Config_v3!$B$6,I4539+Model_Config_v3!$B$7)</x:f>
        <x:v>628</x:v>
      </x:c>
      <x:c r="K4539" s="20" t="n">
        <x:v>42</x:v>
      </x:c>
      <x:c r="L4539" t="str">
        <x:v>RELATIF LONGGAR</x:v>
      </x:c>
      <x:c r="M4539" t="str">
        <x:v>SEDANG</x:v>
      </x:c>
      <x:c r="N4539" t="str">
        <x:v>REGULER</x:v>
      </x:c>
      <x:c r="O4539" t="str">
        <x:v>CAMPURAN</x:v>
      </x:c>
      <x:c r="P4539" t="str">
        <x:v>UMUM</x:v>
      </x:c>
      <x:c r="Q4539" s="18" t="n">
        <x:v>0</x:v>
      </x:c>
      <x:c r="R4539" s="18" t="n">
        <x:v>0</x:v>
      </x:c>
      <x:c r="S4539" s="18" t="n">
        <x:v>525.6267774692119</x:v>
      </x:c>
      <x:c r="T4539" s="18" t="n">
        <x:v>644</x:v>
      </x:c>
      <x:c r="U4539" s="18" t="n">
        <x:v>525.6267774692119</x:v>
      </x:c>
      <x:c r="V4539" s="20" t="n">
        <x:v>8.8</x:v>
      </x:c>
      <x:c r="W4539" s="20" t="n">
        <x:v>9.9</x:v>
      </x:c>
      <x:c r="X4539" s="20" t="n">
        <x:v>3.3</x:v>
      </x:c>
      <x:c r="Y4539" t="str">
        <x:v>Basis arsip 2025/2024</x:v>
      </x:c>
      <x:c r="Z4539" t="str">
        <x:v>https://snpmb.id/utbk-snbt/daya-tampung-snbt</x:v>
      </x:c>
      <x:c r="AA4539" t="str">
        <x:v>Tidak Ada</x:v>
      </x:c>
      <x:c r="AB4539" t="str">
        <x:v>Campus=55; Ratio=3.0; Prodi=40; RelDemand=60.0; Capacity=80.0</x:v>
      </x:c>
    </x:row>
    <x:row r="4540">
      <x:c r="A4540" t="n">
        <x:v>4537</x:v>
      </x:c>
      <x:c r="B4540" t="str">
        <x:v>PTN Vokasi</x:v>
      </x:c>
      <x:c r="C4540" t="str">
        <x:v>POLITEKNIK PERTANIAN NEGERI SAMARINDA</x:v>
      </x:c>
      <x:c r="D4540" t="str">
        <x:v>PENGELOLAAN HUTAN</x:v>
      </x:c>
      <x:c r="E4540" t="str">
        <x:v>Diploma Tiga</x:v>
      </x:c>
      <x:c r="F4540" s="18" t="n">
        <x:v>24</x:v>
      </x:c>
      <x:c r="G4540" s="18" t="n">
        <x:v>30</x:v>
      </x:c>
      <x:c r="H4540" s="19" t="n">
        <x:v>1.25</x:v>
      </x:c>
      <x:c r="I4540" s="18" t="n">
        <x:f>ROUND(MIN(Model_Config_v3!$B$6,MAX(Q4540,R4540,S4540*Model_Config_v3!$B$4+T4540*Model_Config_v3!$B$5)),0)</x:f>
        <x:v>612</x:v>
      </x:c>
      <x:c r="J4540" s="18" t="n">
        <x:f>MIN(Model_Config_v3!$B$6,I4540+Model_Config_v3!$B$7)</x:f>
        <x:v>632</x:v>
      </x:c>
      <x:c r="K4540" s="20" t="n">
        <x:v>43.3</x:v>
      </x:c>
      <x:c r="L4540" t="str">
        <x:v>RELATIF LONGGAR</x:v>
      </x:c>
      <x:c r="M4540" t="str">
        <x:v>SEDANG</x:v>
      </x:c>
      <x:c r="N4540" t="str">
        <x:v>REGULER</x:v>
      </x:c>
      <x:c r="O4540" t="str">
        <x:v>CAMPURAN</x:v>
      </x:c>
      <x:c r="P4540" t="str">
        <x:v>UMUM</x:v>
      </x:c>
      <x:c r="Q4540" s="18" t="n">
        <x:v>0</x:v>
      </x:c>
      <x:c r="R4540" s="18" t="n">
        <x:v>0</x:v>
      </x:c>
      <x:c r="S4540" s="18" t="n">
        <x:v>530.6601014308862</x:v>
      </x:c>
      <x:c r="T4540" s="18" t="n">
        <x:v>647</x:v>
      </x:c>
      <x:c r="U4540" s="18" t="n">
        <x:v>530.6601014308862</x:v>
      </x:c>
      <x:c r="V4540" s="20" t="n">
        <x:v>8.8</x:v>
      </x:c>
      <x:c r="W4540" s="20" t="n">
        <x:v>9.9</x:v>
      </x:c>
      <x:c r="X4540" s="20" t="n">
        <x:v>3.3</x:v>
      </x:c>
      <x:c r="Y4540" t="str">
        <x:v>Basis arsip 2025/2024</x:v>
      </x:c>
      <x:c r="Z4540" t="str">
        <x:v>https://snpmb.id/utbk-snbt/daya-tampung-snbt</x:v>
      </x:c>
      <x:c r="AA4540" t="str">
        <x:v>Tidak Ada</x:v>
      </x:c>
      <x:c r="AB4540" t="str">
        <x:v>Campus=55; Ratio=5.7; Prodi=40; RelDemand=66.7; Capacity=80.0</x:v>
      </x:c>
    </x:row>
    <x:row r="4541">
      <x:c r="A4541" t="n">
        <x:v>4538</x:v>
      </x:c>
      <x:c r="B4541" t="str">
        <x:v>PTN Vokasi</x:v>
      </x:c>
      <x:c r="C4541" t="str">
        <x:v>POLITEKNIK PERTANIAN NEGERI SAMARINDA</x:v>
      </x:c>
      <x:c r="D4541" t="str">
        <x:v>SISTEM INFORMASI AKUNTANSI</x:v>
      </x:c>
      <x:c r="E4541" t="str">
        <x:v>Diploma Tiga</x:v>
      </x:c>
      <x:c r="F4541" s="18" t="n">
        <x:v>24</x:v>
      </x:c>
      <x:c r="G4541" s="18" t="n">
        <x:v>17</x:v>
      </x:c>
      <x:c r="H4541" s="19" t="n">
        <x:v>0.7083333333333334</x:v>
      </x:c>
      <x:c r="I4541" s="18" t="n">
        <x:f>ROUND(MIN(Model_Config_v3!$B$6,MAX(Q4541,R4541,S4541*Model_Config_v3!$B$4+T4541*Model_Config_v3!$B$5)),0)</x:f>
        <x:v>615</x:v>
      </x:c>
      <x:c r="J4541" s="18" t="n">
        <x:f>MIN(Model_Config_v3!$B$6,I4541+Model_Config_v3!$B$7)</x:f>
        <x:v>635</x:v>
      </x:c>
      <x:c r="K4541" s="20" t="n">
        <x:v>48</x:v>
      </x:c>
      <x:c r="L4541" t="str">
        <x:v>MENENGAH</x:v>
      </x:c>
      <x:c r="M4541" t="str">
        <x:v>SEDANG+</x:v>
      </x:c>
      <x:c r="N4541" t="str">
        <x:v>REGULER</x:v>
      </x:c>
      <x:c r="O4541" t="str">
        <x:v>SOSHUM</x:v>
      </x:c>
      <x:c r="P4541" t="str">
        <x:v>KOMPUTER/INFORMATIKA</x:v>
      </x:c>
      <x:c r="Q4541" s="18" t="n">
        <x:v>0</x:v>
      </x:c>
      <x:c r="R4541" s="18" t="n">
        <x:v>0</x:v>
      </x:c>
      <x:c r="S4541" s="18" t="n">
        <x:v>520</x:v>
      </x:c>
      <x:c r="T4541" s="18" t="n">
        <x:v>656</x:v>
      </x:c>
      <x:c r="U4541" s="18" t="n">
        <x:v>545</x:v>
      </x:c>
      <x:c r="V4541" s="20" t="n">
        <x:v>4.4</x:v>
      </x:c>
      <x:c r="W4541" s="20" t="n">
        <x:v>14.3</x:v>
      </x:c>
      <x:c r="X4541" s="20" t="n">
        <x:v>3.3</x:v>
      </x:c>
      <x:c r="Y4541" t="str">
        <x:v>Basis arsip 2025/2024</x:v>
      </x:c>
      <x:c r="Z4541" t="str">
        <x:v>https://snpmb.id/utbk-snbt/daya-tampung-snbt</x:v>
      </x:c>
      <x:c r="AA4541" t="str">
        <x:v>Tidak Ada</x:v>
      </x:c>
      <x:c r="AB4541" t="str">
        <x:v>Campus=55; Ratio=0.0; Prodi=85; RelDemand=37.8; Capacity=80.0</x:v>
      </x:c>
    </x:row>
    <x:row r="4542">
      <x:c r="A4542" t="n">
        <x:v>4539</x:v>
      </x:c>
      <x:c r="B4542" t="str">
        <x:v>PTN Vokasi</x:v>
      </x:c>
      <x:c r="C4542" t="str">
        <x:v>POLITEKNIK NEGERI SAMARINDA</x:v>
      </x:c>
      <x:c r="D4542" t="str">
        <x:v>TEKNIK MESIN PRODUKSI DAN PERAWATAN</x:v>
      </x:c>
      <x:c r="E4542" t="str">
        <x:v>Sarjana Terapan</x:v>
      </x:c>
      <x:c r="F4542" s="18" t="n">
        <x:v>48</x:v>
      </x:c>
      <x:c r="G4542" s="18" t="n">
        <x:v>235</x:v>
      </x:c>
      <x:c r="H4542" s="19" t="n">
        <x:v>4.895833333333333</x:v>
      </x:c>
      <x:c r="I4542" s="18" t="n">
        <x:f>ROUND(MIN(Model_Config_v3!$B$6,MAX(Q4542,R4542,S4542*Model_Config_v3!$B$4+T4542*Model_Config_v3!$B$5)),0)</x:f>
        <x:v>642</x:v>
      </x:c>
      <x:c r="J4542" s="18" t="n">
        <x:f>MIN(Model_Config_v3!$B$6,I4542+Model_Config_v3!$B$7)</x:f>
        <x:v>662</x:v>
      </x:c>
      <x:c r="K4542" s="20" t="n">
        <x:v>50.9</x:v>
      </x:c>
      <x:c r="L4542" t="str">
        <x:v>MENENGAH</x:v>
      </x:c>
      <x:c r="M4542" t="str">
        <x:v>SEDANG+</x:v>
      </x:c>
      <x:c r="N4542" t="str">
        <x:v>REGULER</x:v>
      </x:c>
      <x:c r="O4542" t="str">
        <x:v>SAINTEK</x:v>
      </x:c>
      <x:c r="P4542" t="str">
        <x:v>TEKNIK/ARSITEKTUR/STATISTIKA/AKTUARIA</x:v>
      </x:c>
      <x:c r="Q4542" s="18" t="n">
        <x:v>0</x:v>
      </x:c>
      <x:c r="R4542" s="18" t="n">
        <x:v>0</x:v>
      </x:c>
      <x:c r="S4542" s="18" t="n">
        <x:v>595.8809287385764</x:v>
      </x:c>
      <x:c r="T4542" s="18" t="n">
        <x:v>662</x:v>
      </x:c>
      <x:c r="U4542" s="18" t="n">
        <x:v>605.8809287385764</x:v>
      </x:c>
      <x:c r="V4542" s="20" t="n">
        <x:v>12</x:v>
      </x:c>
      <x:c r="W4542" s="20" t="n">
        <x:v>5</x:v>
      </x:c>
      <x:c r="X4542" s="20" t="n">
        <x:v>3</x:v>
      </x:c>
      <x:c r="Y4542" t="str">
        <x:v>Basis arsip 2025/2024</x:v>
      </x:c>
      <x:c r="Z4542" t="str">
        <x:v>https://snpmb.id/utbk-snbt/daya-tampung-snbt</x:v>
      </x:c>
      <x:c r="AA4542" t="str">
        <x:v>Tidak Ada</x:v>
      </x:c>
      <x:c r="AB4542" t="str">
        <x:v>Campus=55; Ratio=40.6; Prodi=60; RelDemand=35.1; Capacity=60.0</x:v>
      </x:c>
    </x:row>
    <x:row r="4543">
      <x:c r="A4543" t="n">
        <x:v>4540</x:v>
      </x:c>
      <x:c r="B4543" t="str">
        <x:v>PTN Vokasi</x:v>
      </x:c>
      <x:c r="C4543" t="str">
        <x:v>POLITEKNIK NEGERI SAMARINDA</x:v>
      </x:c>
      <x:c r="D4543" t="str">
        <x:v>TEKNIK LISTRIK</x:v>
      </x:c>
      <x:c r="E4543" t="str">
        <x:v>Sarjana Terapan</x:v>
      </x:c>
      <x:c r="F4543" s="18" t="n">
        <x:v>32</x:v>
      </x:c>
      <x:c r="G4543" s="18" t="n">
        <x:v>146</x:v>
      </x:c>
      <x:c r="H4543" s="19" t="n">
        <x:v>4.5625</x:v>
      </x:c>
      <x:c r="I4543" s="18" t="n">
        <x:f>ROUND(MIN(Model_Config_v3!$B$6,MAX(Q4543,R4543,S4543*Model_Config_v3!$B$4+T4543*Model_Config_v3!$B$5)),0)</x:f>
        <x:v>642</x:v>
      </x:c>
      <x:c r="J4543" s="18" t="n">
        <x:f>MIN(Model_Config_v3!$B$6,I4543+Model_Config_v3!$B$7)</x:f>
        <x:v>662</x:v>
      </x:c>
      <x:c r="K4543" s="20" t="n">
        <x:v>51.6</x:v>
      </x:c>
      <x:c r="L4543" t="str">
        <x:v>MENENGAH</x:v>
      </x:c>
      <x:c r="M4543" t="str">
        <x:v>SEDANG+</x:v>
      </x:c>
      <x:c r="N4543" t="str">
        <x:v>REGULER</x:v>
      </x:c>
      <x:c r="O4543" t="str">
        <x:v>SAINTEK</x:v>
      </x:c>
      <x:c r="P4543" t="str">
        <x:v>TEKNIK/ARSITEKTUR/STATISTIKA/AKTUARIA</x:v>
      </x:c>
      <x:c r="Q4543" s="18" t="n">
        <x:v>0</x:v>
      </x:c>
      <x:c r="R4543" s="18" t="n">
        <x:v>0</x:v>
      </x:c>
      <x:c r="S4543" s="18" t="n">
        <x:v>592.5123165210985</x:v>
      </x:c>
      <x:c r="T4543" s="18" t="n">
        <x:v>663</x:v>
      </x:c>
      <x:c r="U4543" s="18" t="n">
        <x:v>602.5123165210985</x:v>
      </x:c>
      <x:c r="V4543" s="20" t="n">
        <x:v>12</x:v>
      </x:c>
      <x:c r="W4543" s="20" t="n">
        <x:v>5</x:v>
      </x:c>
      <x:c r="X4543" s="20" t="n">
        <x:v>3</x:v>
      </x:c>
      <x:c r="Y4543" t="str">
        <x:v>Basis arsip 2025/2024</x:v>
      </x:c>
      <x:c r="Z4543" t="str">
        <x:v>https://snpmb.id/utbk-snbt/daya-tampung-snbt</x:v>
      </x:c>
      <x:c r="AA4543" t="str">
        <x:v>Tidak Ada</x:v>
      </x:c>
      <x:c r="AB4543" t="str">
        <x:v>Campus=55; Ratio=38.8; Prodi=60; RelDemand=32.7; Capacity=73.3</x:v>
      </x:c>
    </x:row>
    <x:row r="4544">
      <x:c r="A4544" t="n">
        <x:v>4541</x:v>
      </x:c>
      <x:c r="B4544" t="str">
        <x:v>PTN Vokasi</x:v>
      </x:c>
      <x:c r="C4544" t="str">
        <x:v>POLITEKNIK NEGERI SAMARINDA</x:v>
      </x:c>
      <x:c r="D4544" t="str">
        <x:v>TEKNOLOGI KIMIA INDUSTRI</x:v>
      </x:c>
      <x:c r="E4544" t="str">
        <x:v>Sarjana Terapan</x:v>
      </x:c>
      <x:c r="F4544" s="18" t="n">
        <x:v>36</x:v>
      </x:c>
      <x:c r="G4544" s="18" t="n">
        <x:v>194</x:v>
      </x:c>
      <x:c r="H4544" s="19" t="n">
        <x:v>5.388888888888889</x:v>
      </x:c>
      <x:c r="I4544" s="18" t="n">
        <x:f>ROUND(MIN(Model_Config_v3!$B$6,MAX(Q4544,R4544,S4544*Model_Config_v3!$B$4+T4544*Model_Config_v3!$B$5)),0)</x:f>
        <x:v>644</x:v>
      </x:c>
      <x:c r="J4544" s="18" t="n">
        <x:f>MIN(Model_Config_v3!$B$6,I4544+Model_Config_v3!$B$7)</x:f>
        <x:v>664</x:v>
      </x:c>
      <x:c r="K4544" s="20" t="n">
        <x:v>50.9</x:v>
      </x:c>
      <x:c r="L4544" t="str">
        <x:v>MENENGAH</x:v>
      </x:c>
      <x:c r="M4544" t="str">
        <x:v>SEDANG+</x:v>
      </x:c>
      <x:c r="N4544" t="str">
        <x:v>REGULER</x:v>
      </x:c>
      <x:c r="O4544" t="str">
        <x:v>SAINTEK</x:v>
      </x:c>
      <x:c r="P4544" t="str">
        <x:v>SAINS DASAR</x:v>
      </x:c>
      <x:c r="Q4544" s="18" t="n">
        <x:v>0</x:v>
      </x:c>
      <x:c r="R4544" s="18" t="n">
        <x:v>0</x:v>
      </x:c>
      <x:c r="S4544" s="18" t="n">
        <x:v>600.4649152079232</x:v>
      </x:c>
      <x:c r="T4544" s="18" t="n">
        <x:v>662</x:v>
      </x:c>
      <x:c r="U4544" s="18" t="n">
        <x:v>600.4649152079232</x:v>
      </x:c>
      <x:c r="V4544" s="20" t="n">
        <x:v>12</x:v>
      </x:c>
      <x:c r="W4544" s="20" t="n">
        <x:v>5</x:v>
      </x:c>
      <x:c r="X4544" s="20" t="n">
        <x:v>3</x:v>
      </x:c>
      <x:c r="Y4544" t="str">
        <x:v>Basis arsip 2025/2024</x:v>
      </x:c>
      <x:c r="Z4544" t="str">
        <x:v>https://snpmb.id/utbk-snbt/daya-tampung-snbt</x:v>
      </x:c>
      <x:c r="AA4544" t="str">
        <x:v>Tidak Ada</x:v>
      </x:c>
      <x:c r="AB4544" t="str">
        <x:v>Campus=55; Ratio=43.1; Prodi=50; RelDemand=38.6; Capacity=70.0</x:v>
      </x:c>
    </x:row>
    <x:row r="4545">
      <x:c r="A4545" t="n">
        <x:v>4542</x:v>
      </x:c>
      <x:c r="B4545" t="str">
        <x:v>PTN Vokasi</x:v>
      </x:c>
      <x:c r="C4545" t="str">
        <x:v>POLITEKNIK NEGERI SAMARINDA</x:v>
      </x:c>
      <x:c r="D4545" t="str">
        <x:v>REKAYASA JALAN &amp; JEMBATAN</x:v>
      </x:c>
      <x:c r="E4545" t="str">
        <x:v>Sarjana Terapan</x:v>
      </x:c>
      <x:c r="F4545" s="18" t="n">
        <x:v>32</x:v>
      </x:c>
      <x:c r="G4545" s="18" t="n">
        <x:v>124</x:v>
      </x:c>
      <x:c r="H4545" s="19" t="n">
        <x:v>3.875</x:v>
      </x:c>
      <x:c r="I4545" s="18" t="n">
        <x:f>ROUND(MIN(Model_Config_v3!$B$6,MAX(Q4545,R4545,S4545*Model_Config_v3!$B$4+T4545*Model_Config_v3!$B$5)),0)</x:f>
        <x:v>632</x:v>
      </x:c>
      <x:c r="J4545" s="18" t="n">
        <x:f>MIN(Model_Config_v3!$B$6,I4545+Model_Config_v3!$B$7)</x:f>
        <x:v>652</x:v>
      </x:c>
      <x:c r="K4545" s="20" t="n">
        <x:v>46</x:v>
      </x:c>
      <x:c r="L4545" t="str">
        <x:v>MENENGAH</x:v>
      </x:c>
      <x:c r="M4545" t="str">
        <x:v>SEDANG</x:v>
      </x:c>
      <x:c r="N4545" t="str">
        <x:v>REGULER</x:v>
      </x:c>
      <x:c r="O4545" t="str">
        <x:v>CAMPURAN</x:v>
      </x:c>
      <x:c r="P4545" t="str">
        <x:v>UMUM</x:v>
      </x:c>
      <x:c r="Q4545" s="18" t="n">
        <x:v>0</x:v>
      </x:c>
      <x:c r="R4545" s="18" t="n">
        <x:v>0</x:v>
      </x:c>
      <x:c r="S4545" s="18" t="n">
        <x:v>584.7098877526562</x:v>
      </x:c>
      <x:c r="T4545" s="18" t="n">
        <x:v>652</x:v>
      </x:c>
      <x:c r="U4545" s="18" t="n">
        <x:v>584.7098877526562</x:v>
      </x:c>
      <x:c r="V4545" s="20" t="n">
        <x:v>8.8</x:v>
      </x:c>
      <x:c r="W4545" s="20" t="n">
        <x:v>9.9</x:v>
      </x:c>
      <x:c r="X4545" s="20" t="n">
        <x:v>3.3</x:v>
      </x:c>
      <x:c r="Y4545" t="str">
        <x:v>Basis arsip 2025/2024</x:v>
      </x:c>
      <x:c r="Z4545" t="str">
        <x:v>https://snpmb.id/utbk-snbt/daya-tampung-snbt</x:v>
      </x:c>
      <x:c r="AA4545" t="str">
        <x:v>Tidak Ada</x:v>
      </x:c>
      <x:c r="AB4545" t="str">
        <x:v>Campus=55; Ratio=34.6; Prodi=40; RelDemand=27.8; Capacity=73.3</x:v>
      </x:c>
    </x:row>
    <x:row r="4546">
      <x:c r="A4546" t="n">
        <x:v>4543</x:v>
      </x:c>
      <x:c r="B4546" t="str">
        <x:v>PTN Vokasi</x:v>
      </x:c>
      <x:c r="C4546" t="str">
        <x:v>POLITEKNIK NEGERI SAMARINDA</x:v>
      </x:c>
      <x:c r="D4546" t="str">
        <x:v>TEKNIK INFORMATIKA MULTIMEDIA</x:v>
      </x:c>
      <x:c r="E4546" t="str">
        <x:v>Sarjana Terapan</x:v>
      </x:c>
      <x:c r="F4546" s="18" t="n">
        <x:v>36</x:v>
      </x:c>
      <x:c r="G4546" s="18" t="n">
        <x:v>396</x:v>
      </x:c>
      <x:c r="H4546" s="19" t="n">
        <x:v>11</x:v>
      </x:c>
      <x:c r="I4546" s="18" t="n">
        <x:f>ROUND(MIN(Model_Config_v3!$B$6,MAX(Q4546,R4546,S4546*Model_Config_v3!$B$4+T4546*Model_Config_v3!$B$5)),0)</x:f>
        <x:v>675</x:v>
      </x:c>
      <x:c r="J4546" s="18" t="n">
        <x:f>MIN(Model_Config_v3!$B$6,I4546+Model_Config_v3!$B$7)</x:f>
        <x:v>695</x:v>
      </x:c>
      <x:c r="K4546" s="20" t="n">
        <x:v>66.5</x:v>
      </x:c>
      <x:c r="L4546" t="str">
        <x:v>SANGAT KETAT</x:v>
      </x:c>
      <x:c r="M4546" t="str">
        <x:v>SEDANG+</x:v>
      </x:c>
      <x:c r="N4546" t="str">
        <x:v>REGULER</x:v>
      </x:c>
      <x:c r="O4546" t="str">
        <x:v>SAINTEK</x:v>
      </x:c>
      <x:c r="P4546" t="str">
        <x:v>KOMPUTER/INFORMATIKA</x:v>
      </x:c>
      <x:c r="Q4546" s="18" t="n">
        <x:v>0</x:v>
      </x:c>
      <x:c r="R4546" s="18" t="n">
        <x:v>0</x:v>
      </x:c>
      <x:c r="S4546" s="18" t="n">
        <x:v>634.5531953674048</x:v>
      </x:c>
      <x:c r="T4546" s="18" t="n">
        <x:v>693</x:v>
      </x:c>
      <x:c r="U4546" s="18" t="n">
        <x:v>659.5531953674048</x:v>
      </x:c>
      <x:c r="V4546" s="20" t="n">
        <x:v>12</x:v>
      </x:c>
      <x:c r="W4546" s="20" t="n">
        <x:v>5</x:v>
      </x:c>
      <x:c r="X4546" s="20" t="n">
        <x:v>3</x:v>
      </x:c>
      <x:c r="Y4546" t="str">
        <x:v>Basis arsip 2025/2024</x:v>
      </x:c>
      <x:c r="Z4546" t="str">
        <x:v>https://snpmb.id/utbk-snbt/daya-tampung-snbt</x:v>
      </x:c>
      <x:c r="AA4546" t="str">
        <x:v>Tidak Ada</x:v>
      </x:c>
      <x:c r="AB4546" t="str">
        <x:v>Campus=55; Ratio=61.3; Prodi=85; RelDemand=78.8; Capacity=70.0</x:v>
      </x:c>
    </x:row>
    <x:row r="4547">
      <x:c r="A4547" t="n">
        <x:v>4544</x:v>
      </x:c>
      <x:c r="B4547" t="str">
        <x:v>PTN Vokasi</x:v>
      </x:c>
      <x:c r="C4547" t="str">
        <x:v>POLITEKNIK NEGERI SAMARINDA</x:v>
      </x:c>
      <x:c r="D4547" t="str">
        <x:v>TEKNOLOGI REKAYASA KOMPUTER</x:v>
      </x:c>
      <x:c r="E4547" t="str">
        <x:v>Sarjana Terapan</x:v>
      </x:c>
      <x:c r="F4547" s="18" t="n">
        <x:v>36</x:v>
      </x:c>
      <x:c r="G4547" s="18" t="n">
        <x:v>114</x:v>
      </x:c>
      <x:c r="H4547" s="19" t="n">
        <x:v>3.1666666666666665</x:v>
      </x:c>
      <x:c r="I4547" s="18" t="n">
        <x:f>ROUND(MIN(Model_Config_v3!$B$6,MAX(Q4547,R4547,S4547*Model_Config_v3!$B$4+T4547*Model_Config_v3!$B$5)),0)</x:f>
        <x:v>626</x:v>
      </x:c>
      <x:c r="J4547" s="18" t="n">
        <x:f>MIN(Model_Config_v3!$B$6,I4547+Model_Config_v3!$B$7)</x:f>
        <x:v>646</x:v>
      </x:c>
      <x:c r="K4547" s="20" t="n">
        <x:v>43.9</x:v>
      </x:c>
      <x:c r="L4547" t="str">
        <x:v>RELATIF LONGGAR</x:v>
      </x:c>
      <x:c r="M4547" t="str">
        <x:v>SEDANG</x:v>
      </x:c>
      <x:c r="N4547" t="str">
        <x:v>REGULER</x:v>
      </x:c>
      <x:c r="O4547" t="str">
        <x:v>SAINTEK</x:v>
      </x:c>
      <x:c r="P4547" t="str">
        <x:v>UMUM</x:v>
      </x:c>
      <x:c r="Q4547" s="18" t="n">
        <x:v>0</x:v>
      </x:c>
      <x:c r="R4547" s="18" t="n">
        <x:v>0</x:v>
      </x:c>
      <x:c r="S4547" s="18" t="n">
        <x:v>575.0662585626104</x:v>
      </x:c>
      <x:c r="T4547" s="18" t="n">
        <x:v>648</x:v>
      </x:c>
      <x:c r="U4547" s="18" t="n">
        <x:v>575.0662585626104</x:v>
      </x:c>
      <x:c r="V4547" s="20" t="n">
        <x:v>12</x:v>
      </x:c>
      <x:c r="W4547" s="20" t="n">
        <x:v>5</x:v>
      </x:c>
      <x:c r="X4547" s="20" t="n">
        <x:v>3</x:v>
      </x:c>
      <x:c r="Y4547" t="str">
        <x:v>Basis arsip 2025/2024</x:v>
      </x:c>
      <x:c r="Z4547" t="str">
        <x:v>https://snpmb.id/utbk-snbt/daya-tampung-snbt</x:v>
      </x:c>
      <x:c r="AA4547" t="str">
        <x:v>Tidak Ada</x:v>
      </x:c>
      <x:c r="AB4547" t="str">
        <x:v>Campus=55; Ratio=29.5; Prodi=40; RelDemand=22.7; Capacity=70.0</x:v>
      </x:c>
    </x:row>
    <x:row r="4548">
      <x:c r="A4548" t="n">
        <x:v>4545</x:v>
      </x:c>
      <x:c r="B4548" t="str">
        <x:v>PTN Vokasi</x:v>
      </x:c>
      <x:c r="C4548" t="str">
        <x:v>POLITEKNIK NEGERI SAMARINDA</x:v>
      </x:c>
      <x:c r="D4548" t="str">
        <x:v>USAHA PERJALANAN WISATA</x:v>
      </x:c>
      <x:c r="E4548" t="str">
        <x:v>Sarjana Terapan</x:v>
      </x:c>
      <x:c r="F4548" s="18" t="n">
        <x:v>22</x:v>
      </x:c>
      <x:c r="G4548" s="18" t="n">
        <x:v>91</x:v>
      </x:c>
      <x:c r="H4548" s="19" t="n">
        <x:v>4.136363636363637</x:v>
      </x:c>
      <x:c r="I4548" s="18" t="n">
        <x:f>ROUND(MIN(Model_Config_v3!$B$6,MAX(Q4548,R4548,S4548*Model_Config_v3!$B$4+T4548*Model_Config_v3!$B$5)),0)</x:f>
        <x:v>635</x:v>
      </x:c>
      <x:c r="J4548" s="18" t="n">
        <x:f>MIN(Model_Config_v3!$B$6,I4548+Model_Config_v3!$B$7)</x:f>
        <x:v>655</x:v>
      </x:c>
      <x:c r="K4548" s="20" t="n">
        <x:v>47.5</x:v>
      </x:c>
      <x:c r="L4548" t="str">
        <x:v>MENENGAH</x:v>
      </x:c>
      <x:c r="M4548" t="str">
        <x:v>SEDANG</x:v>
      </x:c>
      <x:c r="N4548" t="str">
        <x:v>REGULER</x:v>
      </x:c>
      <x:c r="O4548" t="str">
        <x:v>CAMPURAN</x:v>
      </x:c>
      <x:c r="P4548" t="str">
        <x:v>UMUM</x:v>
      </x:c>
      <x:c r="Q4548" s="18" t="n">
        <x:v>0</x:v>
      </x:c>
      <x:c r="R4548" s="18" t="n">
        <x:v>0</x:v>
      </x:c>
      <x:c r="S4548" s="18" t="n">
        <x:v>587.8280582648777</x:v>
      </x:c>
      <x:c r="T4548" s="18" t="n">
        <x:v>655</x:v>
      </x:c>
      <x:c r="U4548" s="18" t="n">
        <x:v>587.8280582648777</x:v>
      </x:c>
      <x:c r="V4548" s="20" t="n">
        <x:v>8.8</x:v>
      </x:c>
      <x:c r="W4548" s="20" t="n">
        <x:v>9.9</x:v>
      </x:c>
      <x:c r="X4548" s="20" t="n">
        <x:v>3.3</x:v>
      </x:c>
      <x:c r="Y4548" t="str">
        <x:v>Basis arsip 2025/2024</x:v>
      </x:c>
      <x:c r="Z4548" t="str">
        <x:v>https://snpmb.id/utbk-snbt/daya-tampung-snbt</x:v>
      </x:c>
      <x:c r="AA4548" t="str">
        <x:v>Tidak Ada</x:v>
      </x:c>
      <x:c r="AB4548" t="str">
        <x:v>Campus=55; Ratio=36.3; Prodi=40; RelDemand=29.6; Capacity=81.7</x:v>
      </x:c>
    </x:row>
    <x:row r="4549">
      <x:c r="A4549" t="n">
        <x:v>4546</x:v>
      </x:c>
      <x:c r="B4549" t="str">
        <x:v>PTN Vokasi</x:v>
      </x:c>
      <x:c r="C4549" t="str">
        <x:v>POLITEKNIK NEGERI SAMARINDA</x:v>
      </x:c>
      <x:c r="D4549" t="str">
        <x:v>AKUNTANSI MANAJERIAL</x:v>
      </x:c>
      <x:c r="E4549" t="str">
        <x:v>Sarjana Terapan</x:v>
      </x:c>
      <x:c r="F4549" s="18" t="n">
        <x:v>32</x:v>
      </x:c>
      <x:c r="G4549" s="18" t="n">
        <x:v>393</x:v>
      </x:c>
      <x:c r="H4549" s="19" t="n">
        <x:v>12.28125</x:v>
      </x:c>
      <x:c r="I4549" s="18" t="n">
        <x:f>ROUND(MIN(Model_Config_v3!$B$6,MAX(Q4549,R4549,S4549*Model_Config_v3!$B$4+T4549*Model_Config_v3!$B$5)),0)</x:f>
        <x:v>674</x:v>
      </x:c>
      <x:c r="J4549" s="18" t="n">
        <x:f>MIN(Model_Config_v3!$B$6,I4549+Model_Config_v3!$B$7)</x:f>
        <x:v>694</x:v>
      </x:c>
      <x:c r="K4549" s="20" t="n">
        <x:v>64.4</x:v>
      </x:c>
      <x:c r="L4549" t="str">
        <x:v>KETAT</x:v>
      </x:c>
      <x:c r="M4549" t="str">
        <x:v>SEDANG+</x:v>
      </x:c>
      <x:c r="N4549" t="str">
        <x:v>REGULER</x:v>
      </x:c>
      <x:c r="O4549" t="str">
        <x:v>SOSHUM</x:v>
      </x:c>
      <x:c r="P4549" t="str">
        <x:v>BISNIS/EKONOMI/AKUNTANSI</x:v>
      </x:c>
      <x:c r="Q4549" s="18" t="n">
        <x:v>0</x:v>
      </x:c>
      <x:c r="R4549" s="18" t="n">
        <x:v>0</x:v>
      </x:c>
      <x:c r="S4549" s="18" t="n">
        <x:v>639.8166829261072</x:v>
      </x:c>
      <x:c r="T4549" s="18" t="n">
        <x:v>689</x:v>
      </x:c>
      <x:c r="U4549" s="18" t="n">
        <x:v>639.8166829261072</x:v>
      </x:c>
      <x:c r="V4549" s="20" t="n">
        <x:v>4.4</x:v>
      </x:c>
      <x:c r="W4549" s="20" t="n">
        <x:v>14.3</x:v>
      </x:c>
      <x:c r="X4549" s="20" t="n">
        <x:v>3.3</x:v>
      </x:c>
      <x:c r="Y4549" t="str">
        <x:v>Basis arsip 2025/2024</x:v>
      </x:c>
      <x:c r="Z4549" t="str">
        <x:v>https://snpmb.id/utbk-snbt/daya-tampung-snbt</x:v>
      </x:c>
      <x:c r="AA4549" t="str">
        <x:v>Tidak Ada</x:v>
      </x:c>
      <x:c r="AB4549" t="str">
        <x:v>Campus=55; Ratio=64.1; Prodi=65; RelDemand=88.0; Capacity=73.3</x:v>
      </x:c>
    </x:row>
    <x:row r="4550">
      <x:c r="A4550" t="n">
        <x:v>4547</x:v>
      </x:c>
      <x:c r="B4550" t="str">
        <x:v>PTN Vokasi</x:v>
      </x:c>
      <x:c r="C4550" t="str">
        <x:v>POLITEKNIK NEGERI SAMARINDA</x:v>
      </x:c>
      <x:c r="D4550" t="str">
        <x:v>KEUANGAN DAN PERBANKAN</x:v>
      </x:c>
      <x:c r="E4550" t="str">
        <x:v>Sarjana Terapan</x:v>
      </x:c>
      <x:c r="F4550" s="18" t="n">
        <x:v>32</x:v>
      </x:c>
      <x:c r="G4550" s="18" t="n">
        <x:v>469</x:v>
      </x:c>
      <x:c r="H4550" s="19" t="n">
        <x:v>14.65625</x:v>
      </x:c>
      <x:c r="I4550" s="18" t="n">
        <x:f>ROUND(MIN(Model_Config_v3!$B$6,MAX(Q4550,R4550,S4550*Model_Config_v3!$B$4+T4550*Model_Config_v3!$B$5)),0)</x:f>
        <x:v>673</x:v>
      </x:c>
      <x:c r="J4550" s="18" t="n">
        <x:f>MIN(Model_Config_v3!$B$6,I4550+Model_Config_v3!$B$7)</x:f>
        <x:v>693</x:v>
      </x:c>
      <x:c r="K4550" s="20" t="n">
        <x:v>61.7</x:v>
      </x:c>
      <x:c r="L4550" t="str">
        <x:v>KETAT</x:v>
      </x:c>
      <x:c r="M4550" t="str">
        <x:v>SEDANG</x:v>
      </x:c>
      <x:c r="N4550" t="str">
        <x:v>REGULER</x:v>
      </x:c>
      <x:c r="O4550" t="str">
        <x:v>CAMPURAN</x:v>
      </x:c>
      <x:c r="P4550" t="str">
        <x:v>UMUM</x:v>
      </x:c>
      <x:c r="Q4550" s="18" t="n">
        <x:v>0</x:v>
      </x:c>
      <x:c r="R4550" s="18" t="n">
        <x:v>0</x:v>
      </x:c>
      <x:c r="S4550" s="18" t="n">
        <x:v>648.2625150834695</x:v>
      </x:c>
      <x:c r="T4550" s="18" t="n">
        <x:v>683</x:v>
      </x:c>
      <x:c r="U4550" s="18" t="n">
        <x:v>648.2625150834695</x:v>
      </x:c>
      <x:c r="V4550" s="20" t="n">
        <x:v>8.8</x:v>
      </x:c>
      <x:c r="W4550" s="20" t="n">
        <x:v>9.9</x:v>
      </x:c>
      <x:c r="X4550" s="20" t="n">
        <x:v>3.3</x:v>
      </x:c>
      <x:c r="Y4550" t="str">
        <x:v>Basis arsip 2025/2024</x:v>
      </x:c>
      <x:c r="Z4550" t="str">
        <x:v>https://snpmb.id/utbk-snbt/daya-tampung-snbt</x:v>
      </x:c>
      <x:c r="AA4550" t="str">
        <x:v>Tidak Ada</x:v>
      </x:c>
      <x:c r="AB4550" t="str">
        <x:v>Campus=55; Ratio=68.6; Prodi=40; RelDemand=100.0; Capacity=73.3</x:v>
      </x:c>
    </x:row>
    <x:row r="4551">
      <x:c r="A4551" t="n">
        <x:v>4548</x:v>
      </x:c>
      <x:c r="B4551" t="str">
        <x:v>PTN Vokasi</x:v>
      </x:c>
      <x:c r="C4551" t="str">
        <x:v>POLITEKNIK NEGERI SAMARINDA</x:v>
      </x:c>
      <x:c r="D4551" t="str">
        <x:v>MANAJEMEN PEMASARAN</x:v>
      </x:c>
      <x:c r="E4551" t="str">
        <x:v>Sarjana Terapan</x:v>
      </x:c>
      <x:c r="F4551" s="18" t="n">
        <x:v>39</x:v>
      </x:c>
      <x:c r="G4551" s="18" t="n">
        <x:v>508</x:v>
      </x:c>
      <x:c r="H4551" s="19" t="n">
        <x:v>13.025641025641026</x:v>
      </x:c>
      <x:c r="I4551" s="18" t="n">
        <x:f>ROUND(MIN(Model_Config_v3!$B$6,MAX(Q4551,R4551,S4551*Model_Config_v3!$B$4+T4551*Model_Config_v3!$B$5)),0)</x:f>
        <x:v>675</x:v>
      </x:c>
      <x:c r="J4551" s="18" t="n">
        <x:f>MIN(Model_Config_v3!$B$6,I4551+Model_Config_v3!$B$7)</x:f>
        <x:v>695</x:v>
      </x:c>
      <x:c r="K4551" s="20" t="n">
        <x:v>64.7</x:v>
      </x:c>
      <x:c r="L4551" t="str">
        <x:v>KETAT</x:v>
      </x:c>
      <x:c r="M4551" t="str">
        <x:v>SEDANG+</x:v>
      </x:c>
      <x:c r="N4551" t="str">
        <x:v>REGULER</x:v>
      </x:c>
      <x:c r="O4551" t="str">
        <x:v>SOSHUM</x:v>
      </x:c>
      <x:c r="P4551" t="str">
        <x:v>BISNIS/EKONOMI/AKUNTANSI</x:v>
      </x:c>
      <x:c r="Q4551" s="18" t="n">
        <x:v>0</x:v>
      </x:c>
      <x:c r="R4551" s="18" t="n">
        <x:v>0</x:v>
      </x:c>
      <x:c r="S4551" s="18" t="n">
        <x:v>642.6279015783161</x:v>
      </x:c>
      <x:c r="T4551" s="18" t="n">
        <x:v>689</x:v>
      </x:c>
      <x:c r="U4551" s="18" t="n">
        <x:v>657.6279015783161</x:v>
      </x:c>
      <x:c r="V4551" s="20" t="n">
        <x:v>4.4</x:v>
      </x:c>
      <x:c r="W4551" s="20" t="n">
        <x:v>14.3</x:v>
      </x:c>
      <x:c r="X4551" s="20" t="n">
        <x:v>3.3</x:v>
      </x:c>
      <x:c r="Y4551" t="str">
        <x:v>Basis arsip 2025/2024</x:v>
      </x:c>
      <x:c r="Z4551" t="str">
        <x:v>https://snpmb.id/utbk-snbt/daya-tampung-snbt</x:v>
      </x:c>
      <x:c r="AA4551" t="str">
        <x:v>Tidak Ada</x:v>
      </x:c>
      <x:c r="AB4551" t="str">
        <x:v>Campus=55; Ratio=65.6; Prodi=65; RelDemand=93.3; Capacity=67.5</x:v>
      </x:c>
    </x:row>
    <x:row r="4552">
      <x:c r="A4552" t="n">
        <x:v>4549</x:v>
      </x:c>
      <x:c r="B4552" t="str">
        <x:v>PTN Vokasi</x:v>
      </x:c>
      <x:c r="C4552" t="str">
        <x:v>POLITEKNIK NEGERI SAMARINDA</x:v>
      </x:c>
      <x:c r="D4552" t="str">
        <x:v>ARSITEKTUR BANGUNAN GEDUNG</x:v>
      </x:c>
      <x:c r="E4552" t="str">
        <x:v>Sarjana Terapan</x:v>
      </x:c>
      <x:c r="F4552" s="18" t="n">
        <x:v>34</x:v>
      </x:c>
      <x:c r="G4552" s="18" t="n">
        <x:v>138</x:v>
      </x:c>
      <x:c r="H4552" s="19" t="n">
        <x:v>4.0588235294117645</x:v>
      </x:c>
      <x:c r="I4552" s="18" t="n">
        <x:f>ROUND(MIN(Model_Config_v3!$B$6,MAX(Q4552,R4552,S4552*Model_Config_v3!$B$4+T4552*Model_Config_v3!$B$5)),0)</x:f>
        <x:v>639</x:v>
      </x:c>
      <x:c r="J4552" s="18" t="n">
        <x:f>MIN(Model_Config_v3!$B$6,I4552+Model_Config_v3!$B$7)</x:f>
        <x:v>659</x:v>
      </x:c>
      <x:c r="K4552" s="20" t="n">
        <x:v>50.3</x:v>
      </x:c>
      <x:c r="L4552" t="str">
        <x:v>MENENGAH</x:v>
      </x:c>
      <x:c r="M4552" t="str">
        <x:v>SEDANG+</x:v>
      </x:c>
      <x:c r="N4552" t="str">
        <x:v>REGULER</x:v>
      </x:c>
      <x:c r="O4552" t="str">
        <x:v>SAINTEK</x:v>
      </x:c>
      <x:c r="P4552" t="str">
        <x:v>TEKNIK/ARSITEKTUR/STATISTIKA/AKTUARIA</x:v>
      </x:c>
      <x:c r="Q4552" s="18" t="n">
        <x:v>0</x:v>
      </x:c>
      <x:c r="R4552" s="18" t="n">
        <x:v>0</x:v>
      </x:c>
      <x:c r="S4552" s="18" t="n">
        <x:v>586.9240186294879</x:v>
      </x:c>
      <x:c r="T4552" s="18" t="n">
        <x:v>661</x:v>
      </x:c>
      <x:c r="U4552" s="18" t="n">
        <x:v>586.9240186294879</x:v>
      </x:c>
      <x:c r="V4552" s="20" t="n">
        <x:v>12</x:v>
      </x:c>
      <x:c r="W4552" s="20" t="n">
        <x:v>5</x:v>
      </x:c>
      <x:c r="X4552" s="20" t="n">
        <x:v>3</x:v>
      </x:c>
      <x:c r="Y4552" t="str">
        <x:v>Basis arsip 2025/2024</x:v>
      </x:c>
      <x:c r="Z4552" t="str">
        <x:v>https://snpmb.id/utbk-snbt/daya-tampung-snbt</x:v>
      </x:c>
      <x:c r="AA4552" t="str">
        <x:v>Tidak Ada</x:v>
      </x:c>
      <x:c r="AB4552" t="str">
        <x:v>Campus=55; Ratio=35.8; Prodi=60; RelDemand=29.1; Capacity=71.7</x:v>
      </x:c>
    </x:row>
    <x:row r="4553">
      <x:c r="A4553" t="n">
        <x:v>4550</x:v>
      </x:c>
      <x:c r="B4553" t="str">
        <x:v>PTN Vokasi</x:v>
      </x:c>
      <x:c r="C4553" t="str">
        <x:v>POLITEKNIK NEGERI SAMARINDA</x:v>
      </x:c>
      <x:c r="D4553" t="str">
        <x:v>BISNIS DIGITAL</x:v>
      </x:c>
      <x:c r="E4553" t="str">
        <x:v>Sarjana Terapan</x:v>
      </x:c>
      <x:c r="F4553" s="18" t="n">
        <x:v>48</x:v>
      </x:c>
      <x:c r="G4553" s="18" t="n">
        <x:v>497</x:v>
      </x:c>
      <x:c r="H4553" s="19" t="n">
        <x:v>10.354166666666666</x:v>
      </x:c>
      <x:c r="I4553" s="18" t="n">
        <x:f>ROUND(MIN(Model_Config_v3!$B$6,MAX(Q4553,R4553,S4553*Model_Config_v3!$B$4+T4553*Model_Config_v3!$B$5)),0)</x:f>
        <x:v>666</x:v>
      </x:c>
      <x:c r="J4553" s="18" t="n">
        <x:f>MIN(Model_Config_v3!$B$6,I4553+Model_Config_v3!$B$7)</x:f>
        <x:v>686</x:v>
      </x:c>
      <x:c r="K4553" s="20" t="n">
        <x:v>60.6</x:v>
      </x:c>
      <x:c r="L4553" t="str">
        <x:v>KETAT</x:v>
      </x:c>
      <x:c r="M4553" t="str">
        <x:v>SEDANG+</x:v>
      </x:c>
      <x:c r="N4553" t="str">
        <x:v>REGULER</x:v>
      </x:c>
      <x:c r="O4553" t="str">
        <x:v>SOSHUM</x:v>
      </x:c>
      <x:c r="P4553" t="str">
        <x:v>BISNIS/EKONOMI/AKUNTANSI</x:v>
      </x:c>
      <x:c r="Q4553" s="18" t="n">
        <x:v>0</x:v>
      </x:c>
      <x:c r="R4553" s="18" t="n">
        <x:v>0</x:v>
      </x:c>
      <x:c r="S4553" s="18" t="n">
        <x:v>631.6626666493519</x:v>
      </x:c>
      <x:c r="T4553" s="18" t="n">
        <x:v>681</x:v>
      </x:c>
      <x:c r="U4553" s="18" t="n">
        <x:v>646.6626666493519</x:v>
      </x:c>
      <x:c r="V4553" s="20" t="n">
        <x:v>4.4</x:v>
      </x:c>
      <x:c r="W4553" s="20" t="n">
        <x:v>14.3</x:v>
      </x:c>
      <x:c r="X4553" s="20" t="n">
        <x:v>3.3</x:v>
      </x:c>
      <x:c r="Y4553" t="str">
        <x:v>Basis arsip 2025/2024</x:v>
      </x:c>
      <x:c r="Z4553" t="str">
        <x:v>https://snpmb.id/utbk-snbt/daya-tampung-snbt</x:v>
      </x:c>
      <x:c r="AA4553" t="str">
        <x:v>Tidak Ada</x:v>
      </x:c>
      <x:c r="AB4553" t="str">
        <x:v>Campus=55; Ratio=59.7; Prodi=65; RelDemand=74.2; Capacity=60.0</x:v>
      </x:c>
    </x:row>
    <x:row r="4554">
      <x:c r="A4554" t="n">
        <x:v>4551</x:v>
      </x:c>
      <x:c r="B4554" t="str">
        <x:v>PTN Vokasi</x:v>
      </x:c>
      <x:c r="C4554" t="str">
        <x:v>POLITEKNIK NEGERI SAMARINDA</x:v>
      </x:c>
      <x:c r="D4554" t="str">
        <x:v>DESAIN PRODUK KAYU DAN SERAT</x:v>
      </x:c>
      <x:c r="E4554" t="str">
        <x:v>Sarjana Terapan</x:v>
      </x:c>
      <x:c r="F4554" s="18" t="n">
        <x:v>23</x:v>
      </x:c>
      <x:c r="G4554" s="18" t="n">
        <x:v>26</x:v>
      </x:c>
      <x:c r="H4554" s="19" t="n">
        <x:v>1.1304347826086956</x:v>
      </x:c>
      <x:c r="I4554" s="18" t="n">
        <x:f>ROUND(MIN(Model_Config_v3!$B$6,MAX(Q4554,R4554,S4554*Model_Config_v3!$B$4+T4554*Model_Config_v3!$B$5)),0)</x:f>
        <x:v>602</x:v>
      </x:c>
      <x:c r="J4554" s="18" t="n">
        <x:f>MIN(Model_Config_v3!$B$6,I4554+Model_Config_v3!$B$7)</x:f>
        <x:v>622</x:v>
      </x:c>
      <x:c r="K4554" s="20" t="n">
        <x:v>36.9</x:v>
      </x:c>
      <x:c r="L4554" t="str">
        <x:v>RELATIF LONGGAR</x:v>
      </x:c>
      <x:c r="M4554" t="str">
        <x:v>SEDANG</x:v>
      </x:c>
      <x:c r="N4554" t="str">
        <x:v>REGULER</x:v>
      </x:c>
      <x:c r="O4554" t="str">
        <x:v>CAMPURAN</x:v>
      </x:c>
      <x:c r="P4554" t="str">
        <x:v>UMUM</x:v>
      </x:c>
      <x:c r="Q4554" s="18" t="n">
        <x:v>0</x:v>
      </x:c>
      <x:c r="R4554" s="18" t="n">
        <x:v>0</x:v>
      </x:c>
      <x:c r="S4554" s="18" t="n">
        <x:v>525.8570063148547</x:v>
      </x:c>
      <x:c r="T4554" s="18" t="n">
        <x:v>634</x:v>
      </x:c>
      <x:c r="U4554" s="18" t="n">
        <x:v>525.8570063148547</x:v>
      </x:c>
      <x:c r="V4554" s="20" t="n">
        <x:v>8.8</x:v>
      </x:c>
      <x:c r="W4554" s="20" t="n">
        <x:v>9.9</x:v>
      </x:c>
      <x:c r="X4554" s="20" t="n">
        <x:v>3.3</x:v>
      </x:c>
      <x:c r="Y4554" t="str">
        <x:v>Basis arsip 2025/2024</x:v>
      </x:c>
      <x:c r="Z4554" t="str">
        <x:v>https://snpmb.id/utbk-snbt/daya-tampung-snbt</x:v>
      </x:c>
      <x:c r="AA4554" t="str">
        <x:v>Tidak Ada</x:v>
      </x:c>
      <x:c r="AB4554" t="str">
        <x:v>Campus=55; Ratio=3.1; Prodi=40; RelDemand=8.1; Capacity=80.8</x:v>
      </x:c>
    </x:row>
    <x:row r="4555">
      <x:c r="A4555" t="n">
        <x:v>4552</x:v>
      </x:c>
      <x:c r="B4555" t="str">
        <x:v>PTN Vokasi</x:v>
      </x:c>
      <x:c r="C4555" t="str">
        <x:v>POLITEKNIK NEGERI SAMARINDA</x:v>
      </x:c>
      <x:c r="D4555" t="str">
        <x:v>TEKNOLOGI REKAYASA KONSTRUKSI BANGUNAN GEDUNG</x:v>
      </x:c>
      <x:c r="E4555" t="str">
        <x:v>Sarjana Terapan</x:v>
      </x:c>
      <x:c r="F4555" s="18" t="n">
        <x:v>22</x:v>
      </x:c>
      <x:c r="G4555" s="18" t="n">
        <x:v>148</x:v>
      </x:c>
      <x:c r="H4555" s="19" t="n">
        <x:v>6.7272727272727275</x:v>
      </x:c>
      <x:c r="I4555" s="18" t="n">
        <x:f>ROUND(MIN(Model_Config_v3!$B$6,MAX(Q4555,R4555,S4555*Model_Config_v3!$B$4+T4555*Model_Config_v3!$B$5)),0)</x:f>
        <x:v>649</x:v>
      </x:c>
      <x:c r="J4555" s="18" t="n">
        <x:f>MIN(Model_Config_v3!$B$6,I4555+Model_Config_v3!$B$7)</x:f>
        <x:v>669</x:v>
      </x:c>
      <x:c r="K4555" s="20" t="n">
        <x:v>52.4</x:v>
      </x:c>
      <x:c r="L4555" t="str">
        <x:v>MENENGAH</x:v>
      </x:c>
      <x:c r="M4555" t="str">
        <x:v>SEDANG</x:v>
      </x:c>
      <x:c r="N4555" t="str">
        <x:v>REGULER</x:v>
      </x:c>
      <x:c r="O4555" t="str">
        <x:v>SAINTEK</x:v>
      </x:c>
      <x:c r="P4555" t="str">
        <x:v>UMUM</x:v>
      </x:c>
      <x:c r="Q4555" s="18" t="n">
        <x:v>0</x:v>
      </x:c>
      <x:c r="R4555" s="18" t="n">
        <x:v>0</x:v>
      </x:c>
      <x:c r="S4555" s="18" t="n">
        <x:v>611.0622938030026</x:v>
      </x:c>
      <x:c r="T4555" s="18" t="n">
        <x:v>665</x:v>
      </x:c>
      <x:c r="U4555" s="18" t="n">
        <x:v>611.0622938030026</x:v>
      </x:c>
      <x:c r="V4555" s="20" t="n">
        <x:v>12</x:v>
      </x:c>
      <x:c r="W4555" s="20" t="n">
        <x:v>5</x:v>
      </x:c>
      <x:c r="X4555" s="20" t="n">
        <x:v>3</x:v>
      </x:c>
      <x:c r="Y4555" t="str">
        <x:v>Basis arsip 2025/2024</x:v>
      </x:c>
      <x:c r="Z4555" t="str">
        <x:v>https://snpmb.id/utbk-snbt/daya-tampung-snbt</x:v>
      </x:c>
      <x:c r="AA4555" t="str">
        <x:v>Tidak Ada</x:v>
      </x:c>
      <x:c r="AB4555" t="str">
        <x:v>Campus=55; Ratio=48.7; Prodi=40; RelDemand=48.2; Capacity=81.7</x:v>
      </x:c>
    </x:row>
    <x:row r="4556">
      <x:c r="A4556" t="n">
        <x:v>4553</x:v>
      </x:c>
      <x:c r="B4556" t="str">
        <x:v>PTN Vokasi</x:v>
      </x:c>
      <x:c r="C4556" t="str">
        <x:v>POLITEKNIK NEGERI SAMARINDA</x:v>
      </x:c>
      <x:c r="D4556" t="str">
        <x:v>TEKNOLOGI REKAYASA KONSTRUKSI BANGUNAN AIR</x:v>
      </x:c>
      <x:c r="E4556" t="str">
        <x:v>Sarjana Terapan</x:v>
      </x:c>
      <x:c r="F4556" s="18" t="n">
        <x:v>12</x:v>
      </x:c>
      <x:c r="G4556" s="18" t="n">
        <x:v>25</x:v>
      </x:c>
      <x:c r="H4556" s="19" t="n">
        <x:v>2.0833333333333335</x:v>
      </x:c>
      <x:c r="I4556" s="18" t="n">
        <x:f>ROUND(MIN(Model_Config_v3!$B$6,MAX(Q4556,R4556,S4556*Model_Config_v3!$B$4+T4556*Model_Config_v3!$B$5)),0)</x:f>
        <x:v>618</x:v>
      </x:c>
      <x:c r="J4556" s="18" t="n">
        <x:f>MIN(Model_Config_v3!$B$6,I4556+Model_Config_v3!$B$7)</x:f>
        <x:v>638</x:v>
      </x:c>
      <x:c r="K4556" s="20" t="n">
        <x:v>42.4</x:v>
      </x:c>
      <x:c r="L4556" t="str">
        <x:v>RELATIF LONGGAR</x:v>
      </x:c>
      <x:c r="M4556" t="str">
        <x:v>SEDANG</x:v>
      </x:c>
      <x:c r="N4556" t="str">
        <x:v>REGULER</x:v>
      </x:c>
      <x:c r="O4556" t="str">
        <x:v>SAINTEK</x:v>
      </x:c>
      <x:c r="P4556" t="str">
        <x:v>UMUM</x:v>
      </x:c>
      <x:c r="Q4556" s="18" t="n">
        <x:v>0</x:v>
      </x:c>
      <x:c r="R4556" s="18" t="n">
        <x:v>0</x:v>
      </x:c>
      <x:c r="S4556" s="18" t="n">
        <x:v>555.0634638886854</x:v>
      </x:c>
      <x:c r="T4556" s="18" t="n">
        <x:v>645</x:v>
      </x:c>
      <x:c r="U4556" s="18" t="n">
        <x:v>555.0634638886854</x:v>
      </x:c>
      <x:c r="V4556" s="20" t="n">
        <x:v>12</x:v>
      </x:c>
      <x:c r="W4556" s="20" t="n">
        <x:v>5</x:v>
      </x:c>
      <x:c r="X4556" s="20" t="n">
        <x:v>3</x:v>
      </x:c>
      <x:c r="Y4556" t="str">
        <x:v>Basis arsip 2025/2024</x:v>
      </x:c>
      <x:c r="Z4556" t="str">
        <x:v>https://snpmb.id/utbk-snbt/daya-tampung-snbt</x:v>
      </x:c>
      <x:c r="AA4556" t="str">
        <x:v>Tidak Ada</x:v>
      </x:c>
      <x:c r="AB4556" t="str">
        <x:v>Campus=55; Ratio=18.8; Prodi=40; RelDemand=14.9; Capacity=90.0</x:v>
      </x:c>
    </x:row>
    <x:row r="4557">
      <x:c r="A4557" t="n">
        <x:v>4554</x:v>
      </x:c>
      <x:c r="B4557" t="str">
        <x:v>PTN Vokasi</x:v>
      </x:c>
      <x:c r="C4557" t="str">
        <x:v>POLITEKNIK NEGERI SAMARINDA</x:v>
      </x:c>
      <x:c r="D4557" t="str">
        <x:v>TEKNIK INFORMATIKA</x:v>
      </x:c>
      <x:c r="E4557" t="str">
        <x:v>Diploma Tiga</x:v>
      </x:c>
      <x:c r="F4557" s="18" t="n">
        <x:v>36</x:v>
      </x:c>
      <x:c r="G4557" s="18" t="n">
        <x:v>547</x:v>
      </x:c>
      <x:c r="H4557" s="19" t="n">
        <x:v>15.194444444444445</x:v>
      </x:c>
      <x:c r="I4557" s="18" t="n">
        <x:f>ROUND(MIN(Model_Config_v3!$B$6,MAX(Q4557,R4557,S4557*Model_Config_v3!$B$4+T4557*Model_Config_v3!$B$5)),0)</x:f>
        <x:v>686</x:v>
      </x:c>
      <x:c r="J4557" s="18" t="n">
        <x:f>MIN(Model_Config_v3!$B$6,I4557+Model_Config_v3!$B$7)</x:f>
        <x:v>706</x:v>
      </x:c>
      <x:c r="K4557" s="20" t="n">
        <x:v>70.6</x:v>
      </x:c>
      <x:c r="L4557" t="str">
        <x:v>SANGAT KETAT</x:v>
      </x:c>
      <x:c r="M4557" t="str">
        <x:v>SEDANG+</x:v>
      </x:c>
      <x:c r="N4557" t="str">
        <x:v>REGULER</x:v>
      </x:c>
      <x:c r="O4557" t="str">
        <x:v>SAINTEK</x:v>
      </x:c>
      <x:c r="P4557" t="str">
        <x:v>KOMPUTER/INFORMATIKA</x:v>
      </x:c>
      <x:c r="Q4557" s="18" t="n">
        <x:v>0</x:v>
      </x:c>
      <x:c r="R4557" s="18" t="n">
        <x:v>0</x:v>
      </x:c>
      <x:c r="S4557" s="18" t="n">
        <x:v>649.9853308122758</x:v>
      </x:c>
      <x:c r="T4557" s="18" t="n">
        <x:v>701</x:v>
      </x:c>
      <x:c r="U4557" s="18" t="n">
        <x:v>674.9853308122758</x:v>
      </x:c>
      <x:c r="V4557" s="20" t="n">
        <x:v>12</x:v>
      </x:c>
      <x:c r="W4557" s="20" t="n">
        <x:v>5</x:v>
      </x:c>
      <x:c r="X4557" s="20" t="n">
        <x:v>3</x:v>
      </x:c>
      <x:c r="Y4557" t="str">
        <x:v>Basis arsip 2025/2024</x:v>
      </x:c>
      <x:c r="Z4557" t="str">
        <x:v>https://snpmb.id/utbk-snbt/daya-tampung-snbt</x:v>
      </x:c>
      <x:c r="AA4557" t="str">
        <x:v>Tidak Ada</x:v>
      </x:c>
      <x:c r="AB4557" t="str">
        <x:v>Campus=55; Ratio=69.6; Prodi=85; RelDemand=100.0; Capacity=70.0</x:v>
      </x:c>
    </x:row>
    <x:row r="4558">
      <x:c r="A4558" t="n">
        <x:v>4555</x:v>
      </x:c>
      <x:c r="B4558" t="str">
        <x:v>PTN Vokasi</x:v>
      </x:c>
      <x:c r="C4558" t="str">
        <x:v>POLITEKNIK NEGERI SAMARINDA</x:v>
      </x:c>
      <x:c r="D4558" t="str">
        <x:v>PETRO DAN OLEO KIMIA</x:v>
      </x:c>
      <x:c r="E4558" t="str">
        <x:v>Diploma Tiga</x:v>
      </x:c>
      <x:c r="F4558" s="18" t="n">
        <x:v>24</x:v>
      </x:c>
      <x:c r="G4558" s="18" t="n">
        <x:v>109</x:v>
      </x:c>
      <x:c r="H4558" s="19" t="n">
        <x:v>4.541666666666667</x:v>
      </x:c>
      <x:c r="I4558" s="18" t="n">
        <x:f>ROUND(MIN(Model_Config_v3!$B$6,MAX(Q4558,R4558,S4558*Model_Config_v3!$B$4+T4558*Model_Config_v3!$B$5)),0)</x:f>
        <x:v>640</x:v>
      </x:c>
      <x:c r="J4558" s="18" t="n">
        <x:f>MIN(Model_Config_v3!$B$6,I4558+Model_Config_v3!$B$7)</x:f>
        <x:v>660</x:v>
      </x:c>
      <x:c r="K4558" s="20" t="n">
        <x:v>50.2</x:v>
      </x:c>
      <x:c r="L4558" t="str">
        <x:v>MENENGAH</x:v>
      </x:c>
      <x:c r="M4558" t="str">
        <x:v>SEDANG+</x:v>
      </x:c>
      <x:c r="N4558" t="str">
        <x:v>REGULER</x:v>
      </x:c>
      <x:c r="O4558" t="str">
        <x:v>SAINTEK</x:v>
      </x:c>
      <x:c r="P4558" t="str">
        <x:v>SAINS DASAR</x:v>
      </x:c>
      <x:c r="Q4558" s="18" t="n">
        <x:v>0</x:v>
      </x:c>
      <x:c r="R4558" s="18" t="n">
        <x:v>0</x:v>
      </x:c>
      <x:c r="S4558" s="18" t="n">
        <x:v>592.293678185192</x:v>
      </x:c>
      <x:c r="T4558" s="18" t="n">
        <x:v>660</x:v>
      </x:c>
      <x:c r="U4558" s="18" t="n">
        <x:v>592.293678185192</x:v>
      </x:c>
      <x:c r="V4558" s="20" t="n">
        <x:v>12</x:v>
      </x:c>
      <x:c r="W4558" s="20" t="n">
        <x:v>5</x:v>
      </x:c>
      <x:c r="X4558" s="20" t="n">
        <x:v>3</x:v>
      </x:c>
      <x:c r="Y4558" t="str">
        <x:v>Basis arsip 2025/2024</x:v>
      </x:c>
      <x:c r="Z4558" t="str">
        <x:v>https://snpmb.id/utbk-snbt/daya-tampung-snbt</x:v>
      </x:c>
      <x:c r="AA4558" t="str">
        <x:v>Tidak Ada</x:v>
      </x:c>
      <x:c r="AB4558" t="str">
        <x:v>Campus=55; Ratio=38.7; Prodi=50; RelDemand=32.5; Capacity=80.0</x:v>
      </x:c>
    </x:row>
    <x:row r="4559">
      <x:c r="A4559" t="n">
        <x:v>4556</x:v>
      </x:c>
      <x:c r="B4559" t="str">
        <x:v>PTN Vokasi</x:v>
      </x:c>
      <x:c r="C4559" t="str">
        <x:v>POLITEKNIK NEGERI SAMARINDA</x:v>
      </x:c>
      <x:c r="D4559" t="str">
        <x:v>PERAWATAN DAN PERBAIKAN MESIN</x:v>
      </x:c>
      <x:c r="E4559" t="str">
        <x:v>Diploma Tiga</x:v>
      </x:c>
      <x:c r="F4559" s="18" t="n">
        <x:v>48</x:v>
      </x:c>
      <x:c r="G4559" s="18" t="n">
        <x:v>178</x:v>
      </x:c>
      <x:c r="H4559" s="19" t="n">
        <x:v>3.7083333333333335</x:v>
      </x:c>
      <x:c r="I4559" s="18" t="n">
        <x:f>ROUND(MIN(Model_Config_v3!$B$6,MAX(Q4559,R4559,S4559*Model_Config_v3!$B$4+T4559*Model_Config_v3!$B$5)),0)</x:f>
        <x:v>629</x:v>
      </x:c>
      <x:c r="J4559" s="18" t="n">
        <x:f>MIN(Model_Config_v3!$B$6,I4559+Model_Config_v3!$B$7)</x:f>
        <x:v>649</x:v>
      </x:c>
      <x:c r="K4559" s="20" t="n">
        <x:v>44.3</x:v>
      </x:c>
      <x:c r="L4559" t="str">
        <x:v>RELATIF LONGGAR</x:v>
      </x:c>
      <x:c r="M4559" t="str">
        <x:v>SEDANG</x:v>
      </x:c>
      <x:c r="N4559" t="str">
        <x:v>REGULER</x:v>
      </x:c>
      <x:c r="O4559" t="str">
        <x:v>CAMPURAN</x:v>
      </x:c>
      <x:c r="P4559" t="str">
        <x:v>UMUM</x:v>
      </x:c>
      <x:c r="Q4559" s="18" t="n">
        <x:v>0</x:v>
      </x:c>
      <x:c r="R4559" s="18" t="n">
        <x:v>0</x:v>
      </x:c>
      <x:c r="S4559" s="18" t="n">
        <x:v>582.6096641426637</x:v>
      </x:c>
      <x:c r="T4559" s="18" t="n">
        <x:v>649</x:v>
      </x:c>
      <x:c r="U4559" s="18" t="n">
        <x:v>582.6096641426637</x:v>
      </x:c>
      <x:c r="V4559" s="20" t="n">
        <x:v>8.8</x:v>
      </x:c>
      <x:c r="W4559" s="20" t="n">
        <x:v>9.9</x:v>
      </x:c>
      <x:c r="X4559" s="20" t="n">
        <x:v>3.3</x:v>
      </x:c>
      <x:c r="Y4559" t="str">
        <x:v>Basis arsip 2025/2024</x:v>
      </x:c>
      <x:c r="Z4559" t="str">
        <x:v>https://snpmb.id/utbk-snbt/daya-tampung-snbt</x:v>
      </x:c>
      <x:c r="AA4559" t="str">
        <x:v>Tidak Ada</x:v>
      </x:c>
      <x:c r="AB4559" t="str">
        <x:v>Campus=55; Ratio=33.5; Prodi=40; RelDemand=26.6; Capacity=60.0</x:v>
      </x:c>
    </x:row>
    <x:row r="4560">
      <x:c r="A4560" t="n">
        <x:v>4557</x:v>
      </x:c>
      <x:c r="B4560" t="str">
        <x:v>PTN Vokasi</x:v>
      </x:c>
      <x:c r="C4560" t="str">
        <x:v>POLITEKNIK NEGERI SAMARINDA</x:v>
      </x:c>
      <x:c r="D4560" t="str">
        <x:v>NAUTIKA</x:v>
      </x:c>
      <x:c r="E4560" t="str">
        <x:v>Diploma Tiga</x:v>
      </x:c>
      <x:c r="F4560" s="18" t="n">
        <x:v>24</x:v>
      </x:c>
      <x:c r="G4560" s="18" t="n">
        <x:v>61</x:v>
      </x:c>
      <x:c r="H4560" s="19" t="n">
        <x:v>2.5416666666666665</x:v>
      </x:c>
      <x:c r="I4560" s="18" t="n">
        <x:f>ROUND(MIN(Model_Config_v3!$B$6,MAX(Q4560,R4560,S4560*Model_Config_v3!$B$4+T4560*Model_Config_v3!$B$5)),0)</x:f>
        <x:v>622</x:v>
      </x:c>
      <x:c r="J4560" s="18" t="n">
        <x:f>MIN(Model_Config_v3!$B$6,I4560+Model_Config_v3!$B$7)</x:f>
        <x:v>642</x:v>
      </x:c>
      <x:c r="K4560" s="20" t="n">
        <x:v>43</x:v>
      </x:c>
      <x:c r="L4560" t="str">
        <x:v>RELATIF LONGGAR</x:v>
      </x:c>
      <x:c r="M4560" t="str">
        <x:v>SEDANG</x:v>
      </x:c>
      <x:c r="N4560" t="str">
        <x:v>REGULER</x:v>
      </x:c>
      <x:c r="O4560" t="str">
        <x:v>CAMPURAN</x:v>
      </x:c>
      <x:c r="P4560" t="str">
        <x:v>UMUM</x:v>
      </x:c>
      <x:c r="Q4560" s="18" t="n">
        <x:v>0</x:v>
      </x:c>
      <x:c r="R4560" s="18" t="n">
        <x:v>0</x:v>
      </x:c>
      <x:c r="S4560" s="18" t="n">
        <x:v>564.5630452629077</x:v>
      </x:c>
      <x:c r="T4560" s="18" t="n">
        <x:v>646</x:v>
      </x:c>
      <x:c r="U4560" s="18" t="n">
        <x:v>564.5630452629077</x:v>
      </x:c>
      <x:c r="V4560" s="20" t="n">
        <x:v>8.8</x:v>
      </x:c>
      <x:c r="W4560" s="20" t="n">
        <x:v>9.9</x:v>
      </x:c>
      <x:c r="X4560" s="20" t="n">
        <x:v>3.3</x:v>
      </x:c>
      <x:c r="Y4560" t="str">
        <x:v>Basis arsip 2025/2024</x:v>
      </x:c>
      <x:c r="Z4560" t="str">
        <x:v>https://snpmb.id/utbk-snbt/daya-tampung-snbt</x:v>
      </x:c>
      <x:c r="AA4560" t="str">
        <x:v>Tidak Ada</x:v>
      </x:c>
      <x:c r="AB4560" t="str">
        <x:v>Campus=55; Ratio=23.8; Prodi=40; RelDemand=18.2; Capacity=80.0</x:v>
      </x:c>
    </x:row>
    <x:row r="4561">
      <x:c r="A4561" t="n">
        <x:v>4558</x:v>
      </x:c>
      <x:c r="B4561" t="str">
        <x:v>PTN Vokasi</x:v>
      </x:c>
      <x:c r="C4561" t="str">
        <x:v>POLITEKNIK NEGERI SAMARINDA</x:v>
      </x:c>
      <x:c r="D4561" t="str">
        <x:v>TEKNIK KOMPUTER</x:v>
      </x:c>
      <x:c r="E4561" t="str">
        <x:v>Diploma Tiga</x:v>
      </x:c>
      <x:c r="F4561" s="18" t="n">
        <x:v>36</x:v>
      </x:c>
      <x:c r="G4561" s="18" t="n">
        <x:v>278</x:v>
      </x:c>
      <x:c r="H4561" s="19" t="n">
        <x:v>7.722222222222222</x:v>
      </x:c>
      <x:c r="I4561" s="18" t="n">
        <x:f>ROUND(MIN(Model_Config_v3!$B$6,MAX(Q4561,R4561,S4561*Model_Config_v3!$B$4+T4561*Model_Config_v3!$B$5)),0)</x:f>
        <x:v>664</x:v>
      </x:c>
      <x:c r="J4561" s="18" t="n">
        <x:f>MIN(Model_Config_v3!$B$6,I4561+Model_Config_v3!$B$7)</x:f>
        <x:v>684</x:v>
      </x:c>
      <x:c r="K4561" s="20" t="n">
        <x:v>61.8</x:v>
      </x:c>
      <x:c r="L4561" t="str">
        <x:v>KETAT</x:v>
      </x:c>
      <x:c r="M4561" t="str">
        <x:v>SEDANG+</x:v>
      </x:c>
      <x:c r="N4561" t="str">
        <x:v>REGULER</x:v>
      </x:c>
      <x:c r="O4561" t="str">
        <x:v>SAINTEK</x:v>
      </x:c>
      <x:c r="P4561" t="str">
        <x:v>KOMPUTER/INFORMATIKA</x:v>
      </x:c>
      <x:c r="Q4561" s="18" t="n">
        <x:v>0</x:v>
      </x:c>
      <x:c r="R4561" s="18" t="n">
        <x:v>0</x:v>
      </x:c>
      <x:c r="S4561" s="18" t="n">
        <x:v>617.6516524665867</x:v>
      </x:c>
      <x:c r="T4561" s="18" t="n">
        <x:v>684</x:v>
      </x:c>
      <x:c r="U4561" s="18" t="n">
        <x:v>642.6516524665867</x:v>
      </x:c>
      <x:c r="V4561" s="20" t="n">
        <x:v>12</x:v>
      </x:c>
      <x:c r="W4561" s="20" t="n">
        <x:v>5</x:v>
      </x:c>
      <x:c r="X4561" s="20" t="n">
        <x:v>3</x:v>
      </x:c>
      <x:c r="Y4561" t="str">
        <x:v>Basis arsip 2025/2024</x:v>
      </x:c>
      <x:c r="Z4561" t="str">
        <x:v>https://snpmb.id/utbk-snbt/daya-tampung-snbt</x:v>
      </x:c>
      <x:c r="AA4561" t="str">
        <x:v>Tidak Ada</x:v>
      </x:c>
      <x:c r="AB4561" t="str">
        <x:v>Campus=55; Ratio=52.3; Prodi=85; RelDemand=55.3; Capacity=70.0</x:v>
      </x:c>
    </x:row>
    <x:row r="4562">
      <x:c r="A4562" t="n">
        <x:v>4559</x:v>
      </x:c>
      <x:c r="B4562" t="str">
        <x:v>PTN Vokasi</x:v>
      </x:c>
      <x:c r="C4562" t="str">
        <x:v>POLITEKNIK NEGERI SAMARINDA</x:v>
      </x:c>
      <x:c r="D4562" t="str">
        <x:v>TEKNIKA</x:v>
      </x:c>
      <x:c r="E4562" t="str">
        <x:v>Diploma Tiga</x:v>
      </x:c>
      <x:c r="F4562" s="18" t="n">
        <x:v>24</x:v>
      </x:c>
      <x:c r="G4562" s="18" t="n">
        <x:v>35</x:v>
      </x:c>
      <x:c r="H4562" s="19" t="n">
        <x:v>1.4583333333333333</x:v>
      </x:c>
      <x:c r="I4562" s="18" t="n">
        <x:f>ROUND(MIN(Model_Config_v3!$B$6,MAX(Q4562,R4562,S4562*Model_Config_v3!$B$4+T4562*Model_Config_v3!$B$5)),0)</x:f>
        <x:v>613</x:v>
      </x:c>
      <x:c r="J4562" s="18" t="n">
        <x:f>MIN(Model_Config_v3!$B$6,I4562+Model_Config_v3!$B$7)</x:f>
        <x:v>633</x:v>
      </x:c>
      <x:c r="K4562" s="20" t="n">
        <x:v>42.7</x:v>
      </x:c>
      <x:c r="L4562" t="str">
        <x:v>RELATIF LONGGAR</x:v>
      </x:c>
      <x:c r="M4562" t="str">
        <x:v>SEDANG+</x:v>
      </x:c>
      <x:c r="N4562" t="str">
        <x:v>REGULER</x:v>
      </x:c>
      <x:c r="O4562" t="str">
        <x:v>SAINTEK</x:v>
      </x:c>
      <x:c r="P4562" t="str">
        <x:v>TEKNIK/ARSITEKTUR/STATISTIKA/AKTUARIA</x:v>
      </x:c>
      <x:c r="Q4562" s="18" t="n">
        <x:v>0</x:v>
      </x:c>
      <x:c r="R4562" s="18" t="n">
        <x:v>0</x:v>
      </x:c>
      <x:c r="S4562" s="18" t="n">
        <x:v>538.0242482902537</x:v>
      </x:c>
      <x:c r="T4562" s="18" t="n">
        <x:v>645</x:v>
      </x:c>
      <x:c r="U4562" s="18" t="n">
        <x:v>548.0242482902537</x:v>
      </x:c>
      <x:c r="V4562" s="20" t="n">
        <x:v>12</x:v>
      </x:c>
      <x:c r="W4562" s="20" t="n">
        <x:v>5</x:v>
      </x:c>
      <x:c r="X4562" s="20" t="n">
        <x:v>3</x:v>
      </x:c>
      <x:c r="Y4562" t="str">
        <x:v>Basis arsip 2025/2024</x:v>
      </x:c>
      <x:c r="Z4562" t="str">
        <x:v>https://snpmb.id/utbk-snbt/daya-tampung-snbt</x:v>
      </x:c>
      <x:c r="AA4562" t="str">
        <x:v>Tidak Ada</x:v>
      </x:c>
      <x:c r="AB4562" t="str">
        <x:v>Campus=55; Ratio=9.6; Prodi=60; RelDemand=10.5; Capacity=80.0</x:v>
      </x:c>
    </x:row>
    <x:row r="4563">
      <x:c r="A4563" t="n">
        <x:v>4560</x:v>
      </x:c>
      <x:c r="B4563" t="str">
        <x:v>PTN Vokasi</x:v>
      </x:c>
      <x:c r="C4563" t="str">
        <x:v>POLITEKNIK NEGERI SAMARINDA</x:v>
      </x:c>
      <x:c r="D4563" t="str">
        <x:v>PARIWISATA</x:v>
      </x:c>
      <x:c r="E4563" t="str">
        <x:v>Diploma Tiga</x:v>
      </x:c>
      <x:c r="F4563" s="18" t="n">
        <x:v>32</x:v>
      </x:c>
      <x:c r="G4563" s="18" t="n">
        <x:v>391</x:v>
      </x:c>
      <x:c r="H4563" s="19" t="n">
        <x:v>12.21875</x:v>
      </x:c>
      <x:c r="I4563" s="18" t="n">
        <x:f>ROUND(MIN(Model_Config_v3!$B$6,MAX(Q4563,R4563,S4563*Model_Config_v3!$B$4+T4563*Model_Config_v3!$B$5)),0)</x:f>
        <x:v>667</x:v>
      </x:c>
      <x:c r="J4563" s="18" t="n">
        <x:f>MIN(Model_Config_v3!$B$6,I4563+Model_Config_v3!$B$7)</x:f>
        <x:v>687</x:v>
      </x:c>
      <x:c r="K4563" s="20" t="n">
        <x:v>59.3</x:v>
      </x:c>
      <x:c r="L4563" t="str">
        <x:v>KETAT</x:v>
      </x:c>
      <x:c r="M4563" t="str">
        <x:v>SEDANG</x:v>
      </x:c>
      <x:c r="N4563" t="str">
        <x:v>REGULER</x:v>
      </x:c>
      <x:c r="O4563" t="str">
        <x:v>CAMPURAN</x:v>
      </x:c>
      <x:c r="P4563" t="str">
        <x:v>UMUM</x:v>
      </x:c>
      <x:c r="Q4563" s="18" t="n">
        <x:v>0</x:v>
      </x:c>
      <x:c r="R4563" s="18" t="n">
        <x:v>0</x:v>
      </x:c>
      <x:c r="S4563" s="18" t="n">
        <x:v>639.5729456983556</x:v>
      </x:c>
      <x:c r="T4563" s="18" t="n">
        <x:v>679</x:v>
      </x:c>
      <x:c r="U4563" s="18" t="n">
        <x:v>639.5729456983556</x:v>
      </x:c>
      <x:c r="V4563" s="20" t="n">
        <x:v>8.8</x:v>
      </x:c>
      <x:c r="W4563" s="20" t="n">
        <x:v>9.9</x:v>
      </x:c>
      <x:c r="X4563" s="20" t="n">
        <x:v>3.3</x:v>
      </x:c>
      <x:c r="Y4563" t="str">
        <x:v>Basis arsip 2025/2024</x:v>
      </x:c>
      <x:c r="Z4563" t="str">
        <x:v>https://snpmb.id/utbk-snbt/daya-tampung-snbt</x:v>
      </x:c>
      <x:c r="AA4563" t="str">
        <x:v>Tidak Ada</x:v>
      </x:c>
      <x:c r="AB4563" t="str">
        <x:v>Campus=55; Ratio=64.0; Prodi=40; RelDemand=87.6; Capacity=73.3</x:v>
      </x:c>
    </x:row>
    <x:row r="4564">
      <x:c r="A4564" t="n">
        <x:v>4561</x:v>
      </x:c>
      <x:c r="B4564" t="str">
        <x:v>PTN Vokasi</x:v>
      </x:c>
      <x:c r="C4564" t="str">
        <x:v>POLITEKNIK NEGERI SAMARINDA</x:v>
      </x:c>
      <x:c r="D4564" t="str">
        <x:v>TEKNIK LISTRIK</x:v>
      </x:c>
      <x:c r="E4564" t="str">
        <x:v>Diploma Tiga</x:v>
      </x:c>
      <x:c r="F4564" s="18" t="n">
        <x:v>22</x:v>
      </x:c>
      <x:c r="G4564" s="18" t="n">
        <x:v>130</x:v>
      </x:c>
      <x:c r="H4564" s="19" t="n">
        <x:v>5.909090909090909</x:v>
      </x:c>
      <x:c r="I4564" s="18" t="n">
        <x:f>ROUND(MIN(Model_Config_v3!$B$6,MAX(Q4564,R4564,S4564*Model_Config_v3!$B$4+T4564*Model_Config_v3!$B$5)),0)</x:f>
        <x:v>650</x:v>
      </x:c>
      <x:c r="J4564" s="18" t="n">
        <x:f>MIN(Model_Config_v3!$B$6,I4564+Model_Config_v3!$B$7)</x:f>
        <x:v>670</x:v>
      </x:c>
      <x:c r="K4564" s="20" t="n">
        <x:v>55</x:v>
      </x:c>
      <x:c r="L4564" t="str">
        <x:v>KETAT</x:v>
      </x:c>
      <x:c r="M4564" t="str">
        <x:v>SEDANG+</x:v>
      </x:c>
      <x:c r="N4564" t="str">
        <x:v>REGULER</x:v>
      </x:c>
      <x:c r="O4564" t="str">
        <x:v>SAINTEK</x:v>
      </x:c>
      <x:c r="P4564" t="str">
        <x:v>TEKNIK/ARSITEKTUR/STATISTIKA/AKTUARIA</x:v>
      </x:c>
      <x:c r="Q4564" s="18" t="n">
        <x:v>0</x:v>
      </x:c>
      <x:c r="R4564" s="18" t="n">
        <x:v>0</x:v>
      </x:c>
      <x:c r="S4564" s="18" t="n">
        <x:v>604.8672738633094</x:v>
      </x:c>
      <x:c r="T4564" s="18" t="n">
        <x:v>670</x:v>
      </x:c>
      <x:c r="U4564" s="18" t="n">
        <x:v>614.8672738633094</x:v>
      </x:c>
      <x:c r="V4564" s="20" t="n">
        <x:v>12</x:v>
      </x:c>
      <x:c r="W4564" s="20" t="n">
        <x:v>5</x:v>
      </x:c>
      <x:c r="X4564" s="20" t="n">
        <x:v>3</x:v>
      </x:c>
      <x:c r="Y4564" t="str">
        <x:v>Basis arsip 2025/2024</x:v>
      </x:c>
      <x:c r="Z4564" t="str">
        <x:v>https://snpmb.id/utbk-snbt/daya-tampung-snbt</x:v>
      </x:c>
      <x:c r="AA4564" t="str">
        <x:v>Tidak Ada</x:v>
      </x:c>
      <x:c r="AB4564" t="str">
        <x:v>Campus=55; Ratio=45.4; Prodi=60; RelDemand=42.3; Capacity=81.7</x:v>
      </x:c>
    </x:row>
    <x:row r="4565">
      <x:c r="A4565" t="n">
        <x:v>4562</x:v>
      </x:c>
      <x:c r="B4565" t="str">
        <x:v>PTN Vokasi</x:v>
      </x:c>
      <x:c r="C4565" t="str">
        <x:v>POLITEKNIK NEGERI SAMARINDA</x:v>
      </x:c>
      <x:c r="D4565" t="str">
        <x:v>TEKNIK ALAT BERAT</x:v>
      </x:c>
      <x:c r="E4565" t="str">
        <x:v>Diploma Tiga</x:v>
      </x:c>
      <x:c r="F4565" s="18" t="n">
        <x:v>48</x:v>
      </x:c>
      <x:c r="G4565" s="18" t="n">
        <x:v>419</x:v>
      </x:c>
      <x:c r="H4565" s="19" t="n">
        <x:v>8.729166666666666</x:v>
      </x:c>
      <x:c r="I4565" s="18" t="n">
        <x:f>ROUND(MIN(Model_Config_v3!$B$6,MAX(Q4565,R4565,S4565*Model_Config_v3!$B$4+T4565*Model_Config_v3!$B$5)),0)</x:f>
        <x:v>660</x:v>
      </x:c>
      <x:c r="J4565" s="18" t="n">
        <x:f>MIN(Model_Config_v3!$B$6,I4565+Model_Config_v3!$B$7)</x:f>
        <x:v>680</x:v>
      </x:c>
      <x:c r="K4565" s="20" t="n">
        <x:v>57.4</x:v>
      </x:c>
      <x:c r="L4565" t="str">
        <x:v>KETAT</x:v>
      </x:c>
      <x:c r="M4565" t="str">
        <x:v>SEDANG+</x:v>
      </x:c>
      <x:c r="N4565" t="str">
        <x:v>REGULER</x:v>
      </x:c>
      <x:c r="O4565" t="str">
        <x:v>SAINTEK</x:v>
      </x:c>
      <x:c r="P4565" t="str">
        <x:v>TEKNIK/ARSITEKTUR/STATISTIKA/AKTUARIA</x:v>
      </x:c>
      <x:c r="Q4565" s="18" t="n">
        <x:v>0</x:v>
      </x:c>
      <x:c r="R4565" s="18" t="n">
        <x:v>0</x:v>
      </x:c>
      <x:c r="S4565" s="18" t="n">
        <x:v>623.5070064149779</x:v>
      </x:c>
      <x:c r="T4565" s="18" t="n">
        <x:v>675</x:v>
      </x:c>
      <x:c r="U4565" s="18" t="n">
        <x:v>633.5070064149779</x:v>
      </x:c>
      <x:c r="V4565" s="20" t="n">
        <x:v>12</x:v>
      </x:c>
      <x:c r="W4565" s="20" t="n">
        <x:v>5</x:v>
      </x:c>
      <x:c r="X4565" s="20" t="n">
        <x:v>3</x:v>
      </x:c>
      <x:c r="Y4565" t="str">
        <x:v>Basis arsip 2025/2024</x:v>
      </x:c>
      <x:c r="Z4565" t="str">
        <x:v>https://snpmb.id/utbk-snbt/daya-tampung-snbt</x:v>
      </x:c>
      <x:c r="AA4565" t="str">
        <x:v>Tidak Ada</x:v>
      </x:c>
      <x:c r="AB4565" t="str">
        <x:v>Campus=55; Ratio=55.4; Prodi=60; RelDemand=62.6; Capacity=60.0</x:v>
      </x:c>
    </x:row>
    <x:row r="4566">
      <x:c r="A4566" t="n">
        <x:v>4563</x:v>
      </x:c>
      <x:c r="B4566" t="str">
        <x:v>PTN Vokasi</x:v>
      </x:c>
      <x:c r="C4566" t="str">
        <x:v>POLITEKNIK NEGERI SAMARINDA</x:v>
      </x:c>
      <x:c r="D4566" t="str">
        <x:v>KETATALAKSANAAN PELAYARAN NIAGA DAN KEPELABUHAN</x:v>
      </x:c>
      <x:c r="E4566" t="str">
        <x:v>Diploma Tiga</x:v>
      </x:c>
      <x:c r="F4566" s="18" t="n">
        <x:v>48</x:v>
      </x:c>
      <x:c r="G4566" s="18" t="n">
        <x:v>158</x:v>
      </x:c>
      <x:c r="H4566" s="19" t="n">
        <x:v>3.2916666666666665</x:v>
      </x:c>
      <x:c r="I4566" s="18" t="n">
        <x:f>ROUND(MIN(Model_Config_v3!$B$6,MAX(Q4566,R4566,S4566*Model_Config_v3!$B$4+T4566*Model_Config_v3!$B$5)),0)</x:f>
        <x:v>625</x:v>
      </x:c>
      <x:c r="J4566" s="18" t="n">
        <x:f>MIN(Model_Config_v3!$B$6,I4566+Model_Config_v3!$B$7)</x:f>
        <x:v>645</x:v>
      </x:c>
      <x:c r="K4566" s="20" t="n">
        <x:v>43.2</x:v>
      </x:c>
      <x:c r="L4566" t="str">
        <x:v>RELATIF LONGGAR</x:v>
      </x:c>
      <x:c r="M4566" t="str">
        <x:v>SEDANG</x:v>
      </x:c>
      <x:c r="N4566" t="str">
        <x:v>REGULER</x:v>
      </x:c>
      <x:c r="O4566" t="str">
        <x:v>CAMPURAN</x:v>
      </x:c>
      <x:c r="P4566" t="str">
        <x:v>UMUM</x:v>
      </x:c>
      <x:c r="Q4566" s="18" t="n">
        <x:v>0</x:v>
      </x:c>
      <x:c r="R4566" s="18" t="n">
        <x:v>0</x:v>
      </x:c>
      <x:c r="S4566" s="18" t="n">
        <x:v>576.9157434536719</x:v>
      </x:c>
      <x:c r="T4566" s="18" t="n">
        <x:v>646</x:v>
      </x:c>
      <x:c r="U4566" s="18" t="n">
        <x:v>576.9157434536719</x:v>
      </x:c>
      <x:c r="V4566" s="20" t="n">
        <x:v>8.8</x:v>
      </x:c>
      <x:c r="W4566" s="20" t="n">
        <x:v>9.9</x:v>
      </x:c>
      <x:c r="X4566" s="20" t="n">
        <x:v>3.3</x:v>
      </x:c>
      <x:c r="Y4566" t="str">
        <x:v>Basis arsip 2025/2024</x:v>
      </x:c>
      <x:c r="Z4566" t="str">
        <x:v>https://snpmb.id/utbk-snbt/daya-tampung-snbt</x:v>
      </x:c>
      <x:c r="AA4566" t="str">
        <x:v>Tidak Ada</x:v>
      </x:c>
      <x:c r="AB4566" t="str">
        <x:v>Campus=55; Ratio=30.5; Prodi=40; RelDemand=23.6; Capacity=60.0</x:v>
      </x:c>
    </x:row>
    <x:row r="4567">
      <x:c r="A4567" t="n">
        <x:v>4564</x:v>
      </x:c>
      <x:c r="B4567" t="str">
        <x:v>PTN Vokasi</x:v>
      </x:c>
      <x:c r="C4567" t="str">
        <x:v>POLITEKNIK NEGERI SAMARINDA</x:v>
      </x:c>
      <x:c r="D4567" t="str">
        <x:v>AKUNTANSI</x:v>
      </x:c>
      <x:c r="E4567" t="str">
        <x:v>Diploma Tiga</x:v>
      </x:c>
      <x:c r="F4567" s="18" t="n">
        <x:v>40</x:v>
      </x:c>
      <x:c r="G4567" s="18" t="n">
        <x:v>590</x:v>
      </x:c>
      <x:c r="H4567" s="19" t="n">
        <x:v>14.75</x:v>
      </x:c>
      <x:c r="I4567" s="18" t="n">
        <x:f>ROUND(MIN(Model_Config_v3!$B$6,MAX(Q4567,R4567,S4567*Model_Config_v3!$B$4+T4567*Model_Config_v3!$B$5)),0)</x:f>
        <x:v>679</x:v>
      </x:c>
      <x:c r="J4567" s="18" t="n">
        <x:f>MIN(Model_Config_v3!$B$6,I4567+Model_Config_v3!$B$7)</x:f>
        <x:v>699</x:v>
      </x:c>
      <x:c r="K4567" s="20" t="n">
        <x:v>66.1</x:v>
      </x:c>
      <x:c r="L4567" t="str">
        <x:v>SANGAT KETAT</x:v>
      </x:c>
      <x:c r="M4567" t="str">
        <x:v>SEDANG+</x:v>
      </x:c>
      <x:c r="N4567" t="str">
        <x:v>REGULER</x:v>
      </x:c>
      <x:c r="O4567" t="str">
        <x:v>SOSHUM</x:v>
      </x:c>
      <x:c r="P4567" t="str">
        <x:v>BISNIS/EKONOMI/AKUNTANSI</x:v>
      </x:c>
      <x:c r="Q4567" s="18" t="n">
        <x:v>0</x:v>
      </x:c>
      <x:c r="R4567" s="18" t="n">
        <x:v>0</x:v>
      </x:c>
      <x:c r="S4567" s="18" t="n">
        <x:v>648.56712223456</x:v>
      </x:c>
      <x:c r="T4567" s="18" t="n">
        <x:v>692</x:v>
      </x:c>
      <x:c r="U4567" s="18" t="n">
        <x:v>648.56712223456</x:v>
      </x:c>
      <x:c r="V4567" s="20" t="n">
        <x:v>4.4</x:v>
      </x:c>
      <x:c r="W4567" s="20" t="n">
        <x:v>14.3</x:v>
      </x:c>
      <x:c r="X4567" s="20" t="n">
        <x:v>3.3</x:v>
      </x:c>
      <x:c r="Y4567" t="str">
        <x:v>Basis arsip 2025/2024</x:v>
      </x:c>
      <x:c r="Z4567" t="str">
        <x:v>https://snpmb.id/utbk-snbt/daya-tampung-snbt</x:v>
      </x:c>
      <x:c r="AA4567" t="str">
        <x:v>Tidak Ada</x:v>
      </x:c>
      <x:c r="AB4567" t="str">
        <x:v>Campus=55; Ratio=68.8; Prodi=65; RelDemand=100.0; Capacity=66.7</x:v>
      </x:c>
    </x:row>
    <x:row r="4568">
      <x:c r="A4568" t="n">
        <x:v>4565</x:v>
      </x:c>
      <x:c r="B4568" t="str">
        <x:v>PTN Vokasi</x:v>
      </x:c>
      <x:c r="C4568" t="str">
        <x:v>POLITEKNIK NEGERI BALIKPAPAN</x:v>
      </x:c>
      <x:c r="D4568" t="str">
        <x:v>TEKNOLOGI REKAYASA KONSTRUKSI JALAN DAN JEMBATAN</x:v>
      </x:c>
      <x:c r="E4568" t="str">
        <x:v>Sarjana Terapan</x:v>
      </x:c>
      <x:c r="F4568" s="18" t="n">
        <x:v>37</x:v>
      </x:c>
      <x:c r="G4568" s="18" t="n">
        <x:v>96</x:v>
      </x:c>
      <x:c r="H4568" s="19" t="n">
        <x:v>2.5945945945945947</x:v>
      </x:c>
      <x:c r="I4568" s="18" t="n">
        <x:f>ROUND(MIN(Model_Config_v3!$B$6,MAX(Q4568,R4568,S4568*Model_Config_v3!$B$4+T4568*Model_Config_v3!$B$5)),0)</x:f>
        <x:v>624</x:v>
      </x:c>
      <x:c r="J4568" s="18" t="n">
        <x:f>MIN(Model_Config_v3!$B$6,I4568+Model_Config_v3!$B$7)</x:f>
        <x:v>644</x:v>
      </x:c>
      <x:c r="K4568" s="20" t="n">
        <x:v>44.3</x:v>
      </x:c>
      <x:c r="L4568" t="str">
        <x:v>RELATIF LONGGAR</x:v>
      </x:c>
      <x:c r="M4568" t="str">
        <x:v>SEDANG</x:v>
      </x:c>
      <x:c r="N4568" t="str">
        <x:v>REGULER</x:v>
      </x:c>
      <x:c r="O4568" t="str">
        <x:v>SAINTEK</x:v>
      </x:c>
      <x:c r="P4568" t="str">
        <x:v>UMUM</x:v>
      </x:c>
      <x:c r="Q4568" s="18" t="n">
        <x:v>0</x:v>
      </x:c>
      <x:c r="R4568" s="18" t="n">
        <x:v>0</x:v>
      </x:c>
      <x:c r="S4568" s="18" t="n">
        <x:v>565.5476459869831</x:v>
      </x:c>
      <x:c r="T4568" s="18" t="n">
        <x:v>649</x:v>
      </x:c>
      <x:c r="U4568" s="18" t="n">
        <x:v>565.5476459869831</x:v>
      </x:c>
      <x:c r="V4568" s="20" t="n">
        <x:v>12</x:v>
      </x:c>
      <x:c r="W4568" s="20" t="n">
        <x:v>5</x:v>
      </x:c>
      <x:c r="X4568" s="20" t="n">
        <x:v>3</x:v>
      </x:c>
      <x:c r="Y4568" t="str">
        <x:v>Basis arsip 2025/2024</x:v>
      </x:c>
      <x:c r="Z4568" t="str">
        <x:v>https://snpmb.id/utbk-snbt/daya-tampung-snbt</x:v>
      </x:c>
      <x:c r="AA4568" t="str">
        <x:v>Tidak Ada</x:v>
      </x:c>
      <x:c r="AB4568" t="str">
        <x:v>Campus=55; Ratio=24.4; Prodi=40; RelDemand=40.8; Capacity=69.2</x:v>
      </x:c>
    </x:row>
    <x:row r="4569">
      <x:c r="A4569" t="n">
        <x:v>4566</x:v>
      </x:c>
      <x:c r="B4569" t="str">
        <x:v>PTN Vokasi</x:v>
      </x:c>
      <x:c r="C4569" t="str">
        <x:v>POLITEKNIK NEGERI BALIKPAPAN</x:v>
      </x:c>
      <x:c r="D4569" t="str">
        <x:v>AKUNTANSI PERPAJAKAN</x:v>
      </x:c>
      <x:c r="E4569" t="str">
        <x:v>Sarjana Terapan</x:v>
      </x:c>
      <x:c r="F4569" s="18" t="n">
        <x:v>46</x:v>
      </x:c>
      <x:c r="G4569" s="18" t="n">
        <x:v>215</x:v>
      </x:c>
      <x:c r="H4569" s="19" t="n">
        <x:v>4.673913043478261</x:v>
      </x:c>
      <x:c r="I4569" s="18" t="n">
        <x:f>ROUND(MIN(Model_Config_v3!$B$6,MAX(Q4569,R4569,S4569*Model_Config_v3!$B$4+T4569*Model_Config_v3!$B$5)),0)</x:f>
        <x:v>648</x:v>
      </x:c>
      <x:c r="J4569" s="18" t="n">
        <x:f>MIN(Model_Config_v3!$B$6,I4569+Model_Config_v3!$B$7)</x:f>
        <x:v>668</x:v>
      </x:c>
      <x:c r="K4569" s="20" t="n">
        <x:v>55.6</x:v>
      </x:c>
      <x:c r="L4569" t="str">
        <x:v>KETAT</x:v>
      </x:c>
      <x:c r="M4569" t="str">
        <x:v>SEDANG+</x:v>
      </x:c>
      <x:c r="N4569" t="str">
        <x:v>REGULER</x:v>
      </x:c>
      <x:c r="O4569" t="str">
        <x:v>SOSHUM</x:v>
      </x:c>
      <x:c r="P4569" t="str">
        <x:v>BISNIS/EKONOMI/AKUNTANSI</x:v>
      </x:c>
      <x:c r="Q4569" s="18" t="n">
        <x:v>0</x:v>
      </x:c>
      <x:c r="R4569" s="18" t="n">
        <x:v>0</x:v>
      </x:c>
      <x:c r="S4569" s="18" t="n">
        <x:v>593.6648691057435</x:v>
      </x:c>
      <x:c r="T4569" s="18" t="n">
        <x:v>671</x:v>
      </x:c>
      <x:c r="U4569" s="18" t="n">
        <x:v>593.6648691057435</x:v>
      </x:c>
      <x:c r="V4569" s="20" t="n">
        <x:v>4.4</x:v>
      </x:c>
      <x:c r="W4569" s="20" t="n">
        <x:v>14.3</x:v>
      </x:c>
      <x:c r="X4569" s="20" t="n">
        <x:v>3.3</x:v>
      </x:c>
      <x:c r="Y4569" t="str">
        <x:v>Basis arsip 2025/2024</x:v>
      </x:c>
      <x:c r="Z4569" t="str">
        <x:v>https://snpmb.id/utbk-snbt/daya-tampung-snbt</x:v>
      </x:c>
      <x:c r="AA4569" t="str">
        <x:v>Tidak Ada</x:v>
      </x:c>
      <x:c r="AB4569" t="str">
        <x:v>Campus=55; Ratio=39.4; Prodi=65; RelDemand=73.6; Capacity=61.7</x:v>
      </x:c>
    </x:row>
    <x:row r="4570">
      <x:c r="A4570" t="n">
        <x:v>4567</x:v>
      </x:c>
      <x:c r="B4570" t="str">
        <x:v>PTN Vokasi</x:v>
      </x:c>
      <x:c r="C4570" t="str">
        <x:v>POLITEKNIK NEGERI BALIKPAPAN</x:v>
      </x:c>
      <x:c r="D4570" t="str">
        <x:v>PENGELOLAAN PERHOTELAN</x:v>
      </x:c>
      <x:c r="E4570" t="str">
        <x:v>Sarjana Terapan</x:v>
      </x:c>
      <x:c r="F4570" s="18" t="n">
        <x:v>45</x:v>
      </x:c>
      <x:c r="G4570" s="18" t="n">
        <x:v>90</x:v>
      </x:c>
      <x:c r="H4570" s="19" t="n">
        <x:v>2</x:v>
      </x:c>
      <x:c r="I4570" s="18" t="n">
        <x:f>ROUND(MIN(Model_Config_v3!$B$6,MAX(Q4570,R4570,S4570*Model_Config_v3!$B$4+T4570*Model_Config_v3!$B$5)),0)</x:f>
        <x:v>615</x:v>
      </x:c>
      <x:c r="J4570" s="18" t="n">
        <x:f>MIN(Model_Config_v3!$B$6,I4570+Model_Config_v3!$B$7)</x:f>
        <x:v>635</x:v>
      </x:c>
      <x:c r="K4570" s="20" t="n">
        <x:v>41.1</x:v>
      </x:c>
      <x:c r="L4570" t="str">
        <x:v>RELATIF LONGGAR</x:v>
      </x:c>
      <x:c r="M4570" t="str">
        <x:v>SEDANG</x:v>
      </x:c>
      <x:c r="N4570" t="str">
        <x:v>REGULER</x:v>
      </x:c>
      <x:c r="O4570" t="str">
        <x:v>CAMPURAN</x:v>
      </x:c>
      <x:c r="P4570" t="str">
        <x:v>UMUM</x:v>
      </x:c>
      <x:c r="Q4570" s="18" t="n">
        <x:v>0</x:v>
      </x:c>
      <x:c r="R4570" s="18" t="n">
        <x:v>0</x:v>
      </x:c>
      <x:c r="S4570" s="18" t="n">
        <x:v>553.1132995230379</x:v>
      </x:c>
      <x:c r="T4570" s="18" t="n">
        <x:v>642</x:v>
      </x:c>
      <x:c r="U4570" s="18" t="n">
        <x:v>553.1132995230379</x:v>
      </x:c>
      <x:c r="V4570" s="20" t="n">
        <x:v>8.8</x:v>
      </x:c>
      <x:c r="W4570" s="20" t="n">
        <x:v>9.9</x:v>
      </x:c>
      <x:c r="X4570" s="20" t="n">
        <x:v>3.3</x:v>
      </x:c>
      <x:c r="Y4570" t="str">
        <x:v>Basis arsip 2025/2024</x:v>
      </x:c>
      <x:c r="Z4570" t="str">
        <x:v>https://snpmb.id/utbk-snbt/daya-tampung-snbt</x:v>
      </x:c>
      <x:c r="AA4570" t="str">
        <x:v>Tidak Ada</x:v>
      </x:c>
      <x:c r="AB4570" t="str">
        <x:v>Campus=55; Ratio=17.7; Prodi=40; RelDemand=31.5; Capacity=62.5</x:v>
      </x:c>
    </x:row>
    <x:row r="4571">
      <x:c r="A4571" t="n">
        <x:v>4568</x:v>
      </x:c>
      <x:c r="B4571" t="str">
        <x:v>PTN Vokasi</x:v>
      </x:c>
      <x:c r="C4571" t="str">
        <x:v>POLITEKNIK NEGERI BALIKPAPAN</x:v>
      </x:c>
      <x:c r="D4571" t="str">
        <x:v>PERBANKAN DAN KEUANGAN DIGITAL</x:v>
      </x:c>
      <x:c r="E4571" t="str">
        <x:v>Sarjana Terapan</x:v>
      </x:c>
      <x:c r="F4571" s="18" t="n">
        <x:v>60</x:v>
      </x:c>
      <x:c r="G4571" s="18" t="n">
        <x:v>189</x:v>
      </x:c>
      <x:c r="H4571" s="19" t="n">
        <x:v>3.15</x:v>
      </x:c>
      <x:c r="I4571" s="18" t="n">
        <x:f>ROUND(MIN(Model_Config_v3!$B$6,MAX(Q4571,R4571,S4571*Model_Config_v3!$B$4+T4571*Model_Config_v3!$B$5)),0)</x:f>
        <x:v>627</x:v>
      </x:c>
      <x:c r="J4571" s="18" t="n">
        <x:f>MIN(Model_Config_v3!$B$6,I4571+Model_Config_v3!$B$7)</x:f>
        <x:v>647</x:v>
      </x:c>
      <x:c r="K4571" s="20" t="n">
        <x:v>44.5</x:v>
      </x:c>
      <x:c r="L4571" t="str">
        <x:v>RELATIF LONGGAR</x:v>
      </x:c>
      <x:c r="M4571" t="str">
        <x:v>SEDANG</x:v>
      </x:c>
      <x:c r="N4571" t="str">
        <x:v>REGULER</x:v>
      </x:c>
      <x:c r="O4571" t="str">
        <x:v>CAMPURAN</x:v>
      </x:c>
      <x:c r="P4571" t="str">
        <x:v>UMUM</x:v>
      </x:c>
      <x:c r="Q4571" s="18" t="n">
        <x:v>0</x:v>
      </x:c>
      <x:c r="R4571" s="18" t="n">
        <x:v>0</x:v>
      </x:c>
      <x:c r="S4571" s="18" t="n">
        <x:v>574.814160916856</x:v>
      </x:c>
      <x:c r="T4571" s="18" t="n">
        <x:v>649</x:v>
      </x:c>
      <x:c r="U4571" s="18" t="n">
        <x:v>574.814160916856</x:v>
      </x:c>
      <x:c r="V4571" s="20" t="n">
        <x:v>8.8</x:v>
      </x:c>
      <x:c r="W4571" s="20" t="n">
        <x:v>9.9</x:v>
      </x:c>
      <x:c r="X4571" s="20" t="n">
        <x:v>3.3</x:v>
      </x:c>
      <x:c r="Y4571" t="str">
        <x:v>Basis arsip 2025/2024</x:v>
      </x:c>
      <x:c r="Z4571" t="str">
        <x:v>https://snpmb.id/utbk-snbt/daya-tampung-snbt</x:v>
      </x:c>
      <x:c r="AA4571" t="str">
        <x:v>Tidak Ada</x:v>
      </x:c>
      <x:c r="AB4571" t="str">
        <x:v>Campus=55; Ratio=29.3; Prodi=40; RelDemand=49.6; Capacity=50.0</x:v>
      </x:c>
    </x:row>
    <x:row r="4572">
      <x:c r="A4572" t="n">
        <x:v>4569</x:v>
      </x:c>
      <x:c r="B4572" t="str">
        <x:v>PTN Vokasi</x:v>
      </x:c>
      <x:c r="C4572" t="str">
        <x:v>POLITEKNIK NEGERI BALIKPAPAN</x:v>
      </x:c>
      <x:c r="D4572" t="str">
        <x:v>TEKNOLOGI REKAYASA MANUFAKTUR</x:v>
      </x:c>
      <x:c r="E4572" t="str">
        <x:v>Sarjana Terapan</x:v>
      </x:c>
      <x:c r="F4572" s="18" t="n">
        <x:v>37</x:v>
      </x:c>
      <x:c r="G4572" s="18"/>
      <x:c r="H4572" s="19" t="n">
        <x:v>0</x:v>
      </x:c>
      <x:c r="I4572" s="18" t="n">
        <x:f>ROUND(MIN(Model_Config_v3!$B$6,MAX(Q4572,R4572,S4572*Model_Config_v3!$B$4+T4572*Model_Config_v3!$B$5)),0)</x:f>
        <x:v>596</x:v>
      </x:c>
      <x:c r="J4572" s="18" t="n">
        <x:f>MIN(Model_Config_v3!$B$6,I4572+Model_Config_v3!$B$7)</x:f>
        <x:v>616</x:v>
      </x:c>
      <x:c r="K4572" s="20" t="n">
        <x:v>34.2</x:v>
      </x:c>
      <x:c r="L4572" t="str">
        <x:v>RELATIF LONGGAR</x:v>
      </x:c>
      <x:c r="M4572" t="str">
        <x:v>RENDAH</x:v>
      </x:c>
      <x:c r="N4572" t="str">
        <x:v>REGULER</x:v>
      </x:c>
      <x:c r="O4572" t="str">
        <x:v>SAINTEK</x:v>
      </x:c>
      <x:c r="P4572" t="str">
        <x:v>UMUM</x:v>
      </x:c>
      <x:c r="Q4572" s="18" t="n">
        <x:v>0</x:v>
      </x:c>
      <x:c r="R4572" s="18" t="n">
        <x:v>0</x:v>
      </x:c>
      <x:c r="S4572" s="18" t="n">
        <x:v>520</x:v>
      </x:c>
      <x:c r="T4572" s="18" t="n">
        <x:v>628</x:v>
      </x:c>
      <x:c r="U4572" s="18" t="n">
        <x:v>520</x:v>
      </x:c>
      <x:c r="V4572" s="20" t="n">
        <x:v>12</x:v>
      </x:c>
      <x:c r="W4572" s="20" t="n">
        <x:v>5</x:v>
      </x:c>
      <x:c r="X4572" s="20" t="n">
        <x:v>3</x:v>
      </x:c>
      <x:c r="Y4572" t="str">
        <x:v>Basis arsip 2025/2024</x:v>
      </x:c>
      <x:c r="Z4572" t="str">
        <x:v>https://snpmb.id/utbk-snbt/daya-tampung-snbt</x:v>
      </x:c>
      <x:c r="AA4572" t="str">
        <x:v>Tidak Ada</x:v>
      </x:c>
      <x:c r="AB4572" t="str">
        <x:v>Campus=55; Ratio=0.0; Prodi=40; RelDemand=0.0; Capacity=69.2</x:v>
      </x:c>
    </x:row>
    <x:row r="4573">
      <x:c r="A4573" t="n">
        <x:v>4570</x:v>
      </x:c>
      <x:c r="B4573" t="str">
        <x:v>PTN Vokasi</x:v>
      </x:c>
      <x:c r="C4573" t="str">
        <x:v>POLITEKNIK NEGERI BALIKPAPAN</x:v>
      </x:c>
      <x:c r="D4573" t="str">
        <x:v>TEKNOLOGI LISTRIK</x:v>
      </x:c>
      <x:c r="E4573" t="str">
        <x:v>Diploma Tiga</x:v>
      </x:c>
      <x:c r="F4573" s="18" t="n">
        <x:v>25</x:v>
      </x:c>
      <x:c r="G4573" s="18" t="n">
        <x:v>67</x:v>
      </x:c>
      <x:c r="H4573" s="19" t="n">
        <x:v>2.68</x:v>
      </x:c>
      <x:c r="I4573" s="18" t="n">
        <x:f>ROUND(MIN(Model_Config_v3!$B$6,MAX(Q4573,R4573,S4573*Model_Config_v3!$B$4+T4573*Model_Config_v3!$B$5)),0)</x:f>
        <x:v>626</x:v>
      </x:c>
      <x:c r="J4573" s="18" t="n">
        <x:f>MIN(Model_Config_v3!$B$6,I4573+Model_Config_v3!$B$7)</x:f>
        <x:v>646</x:v>
      </x:c>
      <x:c r="K4573" s="20" t="n">
        <x:v>45.7</x:v>
      </x:c>
      <x:c r="L4573" t="str">
        <x:v>MENENGAH</x:v>
      </x:c>
      <x:c r="M4573" t="str">
        <x:v>SEDANG</x:v>
      </x:c>
      <x:c r="N4573" t="str">
        <x:v>REGULER</x:v>
      </x:c>
      <x:c r="O4573" t="str">
        <x:v>SAINTEK</x:v>
      </x:c>
      <x:c r="P4573" t="str">
        <x:v>UMUM</x:v>
      </x:c>
      <x:c r="Q4573" s="18" t="n">
        <x:v>0</x:v>
      </x:c>
      <x:c r="R4573" s="18" t="n">
        <x:v>0</x:v>
      </x:c>
      <x:c r="S4573" s="18" t="n">
        <x:v>567.0948273431668</x:v>
      </x:c>
      <x:c r="T4573" s="18" t="n">
        <x:v>651</x:v>
      </x:c>
      <x:c r="U4573" s="18" t="n">
        <x:v>567.0948273431668</x:v>
      </x:c>
      <x:c r="V4573" s="20" t="n">
        <x:v>12</x:v>
      </x:c>
      <x:c r="W4573" s="20" t="n">
        <x:v>5</x:v>
      </x:c>
      <x:c r="X4573" s="20" t="n">
        <x:v>3</x:v>
      </x:c>
      <x:c r="Y4573" t="str">
        <x:v>Basis arsip 2025/2024</x:v>
      </x:c>
      <x:c r="Z4573" t="str">
        <x:v>https://snpmb.id/utbk-snbt/daya-tampung-snbt</x:v>
      </x:c>
      <x:c r="AA4573" t="str">
        <x:v>Tidak Ada</x:v>
      </x:c>
      <x:c r="AB4573" t="str">
        <x:v>Campus=55; Ratio=25.2; Prodi=40; RelDemand=42.2; Capacity=79.2</x:v>
      </x:c>
    </x:row>
    <x:row r="4574">
      <x:c r="A4574" t="n">
        <x:v>4571</x:v>
      </x:c>
      <x:c r="B4574" t="str">
        <x:v>PTN Vokasi</x:v>
      </x:c>
      <x:c r="C4574" t="str">
        <x:v>POLITEKNIK NEGERI BALIKPAPAN</x:v>
      </x:c>
      <x:c r="D4574" t="str">
        <x:v>TEKNIK ELEKTRONIKA</x:v>
      </x:c>
      <x:c r="E4574" t="str">
        <x:v>Diploma Tiga</x:v>
      </x:c>
      <x:c r="F4574" s="18" t="n">
        <x:v>50</x:v>
      </x:c>
      <x:c r="G4574" s="18" t="n">
        <x:v>139</x:v>
      </x:c>
      <x:c r="H4574" s="19" t="n">
        <x:v>2.78</x:v>
      </x:c>
      <x:c r="I4574" s="18" t="n">
        <x:f>ROUND(MIN(Model_Config_v3!$B$6,MAX(Q4574,R4574,S4574*Model_Config_v3!$B$4+T4574*Model_Config_v3!$B$5)),0)</x:f>
        <x:v>630</x:v>
      </x:c>
      <x:c r="J4574" s="18" t="n">
        <x:f>MIN(Model_Config_v3!$B$6,I4574+Model_Config_v3!$B$7)</x:f>
        <x:v>650</x:v>
      </x:c>
      <x:c r="K4574" s="20" t="n">
        <x:v>48</x:v>
      </x:c>
      <x:c r="L4574" t="str">
        <x:v>MENENGAH</x:v>
      </x:c>
      <x:c r="M4574" t="str">
        <x:v>SEDANG+</x:v>
      </x:c>
      <x:c r="N4574" t="str">
        <x:v>REGULER</x:v>
      </x:c>
      <x:c r="O4574" t="str">
        <x:v>SAINTEK</x:v>
      </x:c>
      <x:c r="P4574" t="str">
        <x:v>TEKNIK/ARSITEKTUR/STATISTIKA/AKTUARIA</x:v>
      </x:c>
      <x:c r="Q4574" s="18" t="n">
        <x:v>0</x:v>
      </x:c>
      <x:c r="R4574" s="18" t="n">
        <x:v>0</x:v>
      </x:c>
      <x:c r="S4574" s="18" t="n">
        <x:v>568.8449275509884</x:v>
      </x:c>
      <x:c r="T4574" s="18" t="n">
        <x:v>656</x:v>
      </x:c>
      <x:c r="U4574" s="18" t="n">
        <x:v>578.8449275509884</x:v>
      </x:c>
      <x:c r="V4574" s="20" t="n">
        <x:v>12</x:v>
      </x:c>
      <x:c r="W4574" s="20" t="n">
        <x:v>5</x:v>
      </x:c>
      <x:c r="X4574" s="20" t="n">
        <x:v>3</x:v>
      </x:c>
      <x:c r="Y4574" t="str">
        <x:v>Basis arsip 2025/2024</x:v>
      </x:c>
      <x:c r="Z4574" t="str">
        <x:v>https://snpmb.id/utbk-snbt/daya-tampung-snbt</x:v>
      </x:c>
      <x:c r="AA4574" t="str">
        <x:v>Tidak Ada</x:v>
      </x:c>
      <x:c r="AB4574" t="str">
        <x:v>Campus=55; Ratio=26.1; Prodi=60; RelDemand=43.8; Capacity=58.3</x:v>
      </x:c>
    </x:row>
    <x:row r="4575">
      <x:c r="A4575" t="n">
        <x:v>4572</x:v>
      </x:c>
      <x:c r="B4575" t="str">
        <x:v>PTN Vokasi</x:v>
      </x:c>
      <x:c r="C4575" t="str">
        <x:v>POLITEKNIK NEGERI BALIKPAPAN</x:v>
      </x:c>
      <x:c r="D4575" t="str">
        <x:v>ALAT BERAT</x:v>
      </x:c>
      <x:c r="E4575" t="str">
        <x:v>Diploma Tiga</x:v>
      </x:c>
      <x:c r="F4575" s="18" t="n">
        <x:v>50</x:v>
      </x:c>
      <x:c r="G4575" s="18" t="n">
        <x:v>210</x:v>
      </x:c>
      <x:c r="H4575" s="19" t="n">
        <x:v>4.2</x:v>
      </x:c>
      <x:c r="I4575" s="18" t="n">
        <x:f>ROUND(MIN(Model_Config_v3!$B$6,MAX(Q4575,R4575,S4575*Model_Config_v3!$B$4+T4575*Model_Config_v3!$B$5)),0)</x:f>
        <x:v>637</x:v>
      </x:c>
      <x:c r="J4575" s="18" t="n">
        <x:f>MIN(Model_Config_v3!$B$6,I4575+Model_Config_v3!$B$7)</x:f>
        <x:v>657</x:v>
      </x:c>
      <x:c r="K4575" s="20" t="n">
        <x:v>48.9</x:v>
      </x:c>
      <x:c r="L4575" t="str">
        <x:v>MENENGAH</x:v>
      </x:c>
      <x:c r="M4575" t="str">
        <x:v>SEDANG</x:v>
      </x:c>
      <x:c r="N4575" t="str">
        <x:v>REGULER</x:v>
      </x:c>
      <x:c r="O4575" t="str">
        <x:v>CAMPURAN</x:v>
      </x:c>
      <x:c r="P4575" t="str">
        <x:v>UMUM</x:v>
      </x:c>
      <x:c r="Q4575" s="18" t="n">
        <x:v>0</x:v>
      </x:c>
      <x:c r="R4575" s="18" t="n">
        <x:v>0</x:v>
      </x:c>
      <x:c r="S4575" s="18" t="n">
        <x:v>588.557421943769</x:v>
      </x:c>
      <x:c r="T4575" s="18" t="n">
        <x:v>658</x:v>
      </x:c>
      <x:c r="U4575" s="18" t="n">
        <x:v>588.557421943769</x:v>
      </x:c>
      <x:c r="V4575" s="20" t="n">
        <x:v>8.8</x:v>
      </x:c>
      <x:c r="W4575" s="20" t="n">
        <x:v>9.9</x:v>
      </x:c>
      <x:c r="X4575" s="20" t="n">
        <x:v>3.3</x:v>
      </x:c>
      <x:c r="Y4575" t="str">
        <x:v>Basis arsip 2025/2024</x:v>
      </x:c>
      <x:c r="Z4575" t="str">
        <x:v>https://snpmb.id/utbk-snbt/daya-tampung-snbt</x:v>
      </x:c>
      <x:c r="AA4575" t="str">
        <x:v>Tidak Ada</x:v>
      </x:c>
      <x:c r="AB4575" t="str">
        <x:v>Campus=55; Ratio=36.7; Prodi=40; RelDemand=66.1; Capacity=58.3</x:v>
      </x:c>
    </x:row>
    <x:row r="4576">
      <x:c r="A4576" t="n">
        <x:v>4573</x:v>
      </x:c>
      <x:c r="B4576" t="str">
        <x:v>PTN Vokasi</x:v>
      </x:c>
      <x:c r="C4576" t="str">
        <x:v>POLITEKNIK NEGERI BALIKPAPAN</x:v>
      </x:c>
      <x:c r="D4576" t="str">
        <x:v>TEKNIK SIPIL</x:v>
      </x:c>
      <x:c r="E4576" t="str">
        <x:v>Diploma Tiga</x:v>
      </x:c>
      <x:c r="F4576" s="18" t="n">
        <x:v>50</x:v>
      </x:c>
      <x:c r="G4576" s="18" t="n">
        <x:v>330</x:v>
      </x:c>
      <x:c r="H4576" s="19" t="n">
        <x:v>6.6</x:v>
      </x:c>
      <x:c r="I4576" s="18" t="n">
        <x:f>ROUND(MIN(Model_Config_v3!$B$6,MAX(Q4576,R4576,S4576*Model_Config_v3!$B$4+T4576*Model_Config_v3!$B$5)),0)</x:f>
        <x:v>658</x:v>
      </x:c>
      <x:c r="J4576" s="18" t="n">
        <x:f>MIN(Model_Config_v3!$B$6,I4576+Model_Config_v3!$B$7)</x:f>
        <x:v>678</x:v>
      </x:c>
      <x:c r="K4576" s="20" t="n">
        <x:v>59.1</x:v>
      </x:c>
      <x:c r="L4576" t="str">
        <x:v>KETAT</x:v>
      </x:c>
      <x:c r="M4576" t="str">
        <x:v>SEDANG+</x:v>
      </x:c>
      <x:c r="N4576" t="str">
        <x:v>REGULER</x:v>
      </x:c>
      <x:c r="O4576" t="str">
        <x:v>SAINTEK</x:v>
      </x:c>
      <x:c r="P4576" t="str">
        <x:v>TEKNIK/ARSITEKTUR/STATISTIKA/AKTUARIA</x:v>
      </x:c>
      <x:c r="Q4576" s="18" t="n">
        <x:v>0</x:v>
      </x:c>
      <x:c r="R4576" s="18" t="n">
        <x:v>0</x:v>
      </x:c>
      <x:c r="S4576" s="18" t="n">
        <x:v>610.1498329096055</x:v>
      </x:c>
      <x:c r="T4576" s="18" t="n">
        <x:v>678</x:v>
      </x:c>
      <x:c r="U4576" s="18" t="n">
        <x:v>620.1498329096055</x:v>
      </x:c>
      <x:c r="V4576" s="20" t="n">
        <x:v>12</x:v>
      </x:c>
      <x:c r="W4576" s="20" t="n">
        <x:v>5</x:v>
      </x:c>
      <x:c r="X4576" s="20" t="n">
        <x:v>3</x:v>
      </x:c>
      <x:c r="Y4576" t="str">
        <x:v>Basis arsip 2025/2024</x:v>
      </x:c>
      <x:c r="Z4576" t="str">
        <x:v>https://snpmb.id/utbk-snbt/daya-tampung-snbt</x:v>
      </x:c>
      <x:c r="AA4576" t="str">
        <x:v>Tidak Ada</x:v>
      </x:c>
      <x:c r="AB4576" t="str">
        <x:v>Campus=55; Ratio=48.2; Prodi=60; RelDemand=100.0; Capacity=58.3</x:v>
      </x:c>
    </x:row>
    <x:row r="4577">
      <x:c r="A4577" t="n">
        <x:v>4574</x:v>
      </x:c>
      <x:c r="B4577" t="str">
        <x:v>PTN Vokasi</x:v>
      </x:c>
      <x:c r="C4577" t="str">
        <x:v>POLITEKNIK NEGERI BALIKPAPAN</x:v>
      </x:c>
      <x:c r="D4577" t="str">
        <x:v>TATA BOGA</x:v>
      </x:c>
      <x:c r="E4577" t="str">
        <x:v>Diploma Tiga</x:v>
      </x:c>
      <x:c r="F4577" s="18" t="n">
        <x:v>60</x:v>
      </x:c>
      <x:c r="G4577" s="18" t="n">
        <x:v>185</x:v>
      </x:c>
      <x:c r="H4577" s="19" t="n">
        <x:v>3.0833333333333335</x:v>
      </x:c>
      <x:c r="I4577" s="18" t="n">
        <x:f>ROUND(MIN(Model_Config_v3!$B$6,MAX(Q4577,R4577,S4577*Model_Config_v3!$B$4+T4577*Model_Config_v3!$B$5)),0)</x:f>
        <x:v>626</x:v>
      </x:c>
      <x:c r="J4577" s="18" t="n">
        <x:f>MIN(Model_Config_v3!$B$6,I4577+Model_Config_v3!$B$7)</x:f>
        <x:v>646</x:v>
      </x:c>
      <x:c r="K4577" s="20" t="n">
        <x:v>44.3</x:v>
      </x:c>
      <x:c r="L4577" t="str">
        <x:v>RELATIF LONGGAR</x:v>
      </x:c>
      <x:c r="M4577" t="str">
        <x:v>SEDANG</x:v>
      </x:c>
      <x:c r="N4577" t="str">
        <x:v>REGULER</x:v>
      </x:c>
      <x:c r="O4577" t="str">
        <x:v>CAMPURAN</x:v>
      </x:c>
      <x:c r="P4577" t="str">
        <x:v>UMUM</x:v>
      </x:c>
      <x:c r="Q4577" s="18" t="n">
        <x:v>0</x:v>
      </x:c>
      <x:c r="R4577" s="18" t="n">
        <x:v>0</x:v>
      </x:c>
      <x:c r="S4577" s="18" t="n">
        <x:v>573.7922525821307</x:v>
      </x:c>
      <x:c r="T4577" s="18" t="n">
        <x:v>649</x:v>
      </x:c>
      <x:c r="U4577" s="18" t="n">
        <x:v>573.7922525821307</x:v>
      </x:c>
      <x:c r="V4577" s="20" t="n">
        <x:v>8.8</x:v>
      </x:c>
      <x:c r="W4577" s="20" t="n">
        <x:v>9.9</x:v>
      </x:c>
      <x:c r="X4577" s="20" t="n">
        <x:v>3.3</x:v>
      </x:c>
      <x:c r="Y4577" t="str">
        <x:v>Basis arsip 2025/2024</x:v>
      </x:c>
      <x:c r="Z4577" t="str">
        <x:v>https://snpmb.id/utbk-snbt/daya-tampung-snbt</x:v>
      </x:c>
      <x:c r="AA4577" t="str">
        <x:v>Tidak Ada</x:v>
      </x:c>
      <x:c r="AB4577" t="str">
        <x:v>Campus=55; Ratio=28.8; Prodi=40; RelDemand=48.5; Capacity=50.0</x:v>
      </x:c>
    </x:row>
    <x:row r="4578">
      <x:c r="A4578" t="n">
        <x:v>4575</x:v>
      </x:c>
      <x:c r="B4578" t="str">
        <x:v>PTN Vokasi</x:v>
      </x:c>
      <x:c r="C4578" t="str">
        <x:v>POLITEKNIK NEGERI BALI</x:v>
      </x:c>
      <x:c r="D4578" t="str">
        <x:v>MANAJEMEN PROYEK KONSTRUKSI</x:v>
      </x:c>
      <x:c r="E4578" t="str">
        <x:v>Sarjana Terapan</x:v>
      </x:c>
      <x:c r="F4578" s="18" t="n">
        <x:v>68</x:v>
      </x:c>
      <x:c r="G4578" s="18" t="n">
        <x:v>101</x:v>
      </x:c>
      <x:c r="H4578" s="19" t="n">
        <x:v>1.4852941176470589</x:v>
      </x:c>
      <x:c r="I4578" s="18" t="n">
        <x:f>ROUND(MIN(Model_Config_v3!$B$6,MAX(Q4578,R4578,S4578*Model_Config_v3!$B$4+T4578*Model_Config_v3!$B$5)),0)</x:f>
        <x:v>612</x:v>
      </x:c>
      <x:c r="J4578" s="18" t="n">
        <x:f>MIN(Model_Config_v3!$B$6,I4578+Model_Config_v3!$B$7)</x:f>
        <x:v>632</x:v>
      </x:c>
      <x:c r="K4578" s="20" t="n">
        <x:v>42.1</x:v>
      </x:c>
      <x:c r="L4578" t="str">
        <x:v>RELATIF LONGGAR</x:v>
      </x:c>
      <x:c r="M4578" t="str">
        <x:v>SEDANG+</x:v>
      </x:c>
      <x:c r="N4578" t="str">
        <x:v>REGULER</x:v>
      </x:c>
      <x:c r="O4578" t="str">
        <x:v>SOSHUM</x:v>
      </x:c>
      <x:c r="P4578" t="str">
        <x:v>BISNIS/EKONOMI/AKUNTANSI</x:v>
      </x:c>
      <x:c r="Q4578" s="18" t="n">
        <x:v>0</x:v>
      </x:c>
      <x:c r="R4578" s="18" t="n">
        <x:v>0</x:v>
      </x:c>
      <x:c r="S4578" s="18" t="n">
        <x:v>538.8993707184047</x:v>
      </x:c>
      <x:c r="T4578" s="18" t="n">
        <x:v>644</x:v>
      </x:c>
      <x:c r="U4578" s="18" t="n">
        <x:v>553.8993707184047</x:v>
      </x:c>
      <x:c r="V4578" s="20" t="n">
        <x:v>4.4</x:v>
      </x:c>
      <x:c r="W4578" s="20" t="n">
        <x:v>14.3</x:v>
      </x:c>
      <x:c r="X4578" s="20" t="n">
        <x:v>3.3</x:v>
      </x:c>
      <x:c r="Y4578" t="str">
        <x:v>Basis arsip 2025/2024</x:v>
      </x:c>
      <x:c r="Z4578" t="str">
        <x:v>https://snpmb.id/utbk-snbt/daya-tampung-snbt</x:v>
      </x:c>
      <x:c r="AA4578" t="str">
        <x:v>Tidak Ada</x:v>
      </x:c>
      <x:c r="AB4578" t="str">
        <x:v>Campus=55; Ratio=10.1; Prodi=65; RelDemand=29.4; Capacity=43.3</x:v>
      </x:c>
    </x:row>
    <x:row r="4579">
      <x:c r="A4579" t="n">
        <x:v>4576</x:v>
      </x:c>
      <x:c r="B4579" t="str">
        <x:v>PTN Vokasi</x:v>
      </x:c>
      <x:c r="C4579" t="str">
        <x:v>POLITEKNIK NEGERI BALI</x:v>
      </x:c>
      <x:c r="D4579" t="str">
        <x:v>TEKNOLOGI REKAYASA UTILITAS</x:v>
      </x:c>
      <x:c r="E4579" t="str">
        <x:v>Sarjana Terapan</x:v>
      </x:c>
      <x:c r="F4579" s="18" t="n">
        <x:v>27</x:v>
      </x:c>
      <x:c r="G4579" s="18" t="n">
        <x:v>20</x:v>
      </x:c>
      <x:c r="H4579" s="19" t="n">
        <x:v>0.7407407407407407</x:v>
      </x:c>
      <x:c r="I4579" s="18" t="n">
        <x:f>ROUND(MIN(Model_Config_v3!$B$6,MAX(Q4579,R4579,S4579*Model_Config_v3!$B$4+T4579*Model_Config_v3!$B$5)),0)</x:f>
        <x:v>599</x:v>
      </x:c>
      <x:c r="J4579" s="18" t="n">
        <x:f>MIN(Model_Config_v3!$B$6,I4579+Model_Config_v3!$B$7)</x:f>
        <x:v>619</x:v>
      </x:c>
      <x:c r="K4579" s="20" t="n">
        <x:v>36.5</x:v>
      </x:c>
      <x:c r="L4579" t="str">
        <x:v>RELATIF LONGGAR</x:v>
      </x:c>
      <x:c r="M4579" t="str">
        <x:v>SEDANG</x:v>
      </x:c>
      <x:c r="N4579" t="str">
        <x:v>REGULER</x:v>
      </x:c>
      <x:c r="O4579" t="str">
        <x:v>SAINTEK</x:v>
      </x:c>
      <x:c r="P4579" t="str">
        <x:v>UMUM</x:v>
      </x:c>
      <x:c r="Q4579" s="18" t="n">
        <x:v>0</x:v>
      </x:c>
      <x:c r="R4579" s="18" t="n">
        <x:v>0</x:v>
      </x:c>
      <x:c r="S4579" s="18" t="n">
        <x:v>520</x:v>
      </x:c>
      <x:c r="T4579" s="18" t="n">
        <x:v>633</x:v>
      </x:c>
      <x:c r="U4579" s="18" t="n">
        <x:v>520</x:v>
      </x:c>
      <x:c r="V4579" s="20" t="n">
        <x:v>12</x:v>
      </x:c>
      <x:c r="W4579" s="20" t="n">
        <x:v>5</x:v>
      </x:c>
      <x:c r="X4579" s="20" t="n">
        <x:v>3</x:v>
      </x:c>
      <x:c r="Y4579" t="str">
        <x:v>Basis arsip 2025/2024</x:v>
      </x:c>
      <x:c r="Z4579" t="str">
        <x:v>https://snpmb.id/utbk-snbt/daya-tampung-snbt</x:v>
      </x:c>
      <x:c r="AA4579" t="str">
        <x:v>Tidak Ada</x:v>
      </x:c>
      <x:c r="AB4579" t="str">
        <x:v>Campus=55; Ratio=0.0; Prodi=40; RelDemand=14.7; Capacity=77.5</x:v>
      </x:c>
    </x:row>
    <x:row r="4580">
      <x:c r="A4580" t="n">
        <x:v>4577</x:v>
      </x:c>
      <x:c r="B4580" t="str">
        <x:v>PTN Vokasi</x:v>
      </x:c>
      <x:c r="C4580" t="str">
        <x:v>POLITEKNIK NEGERI BALI</x:v>
      </x:c>
      <x:c r="D4580" t="str">
        <x:v>TEKNIK OTOMASI</x:v>
      </x:c>
      <x:c r="E4580" t="str">
        <x:v>Sarjana Terapan</x:v>
      </x:c>
      <x:c r="F4580" s="18" t="n">
        <x:v>41</x:v>
      </x:c>
      <x:c r="G4580" s="18" t="n">
        <x:v>38</x:v>
      </x:c>
      <x:c r="H4580" s="19" t="n">
        <x:v>0.926829268292683</x:v>
      </x:c>
      <x:c r="I4580" s="18" t="n">
        <x:f>ROUND(MIN(Model_Config_v3!$B$6,MAX(Q4580,R4580,S4580*Model_Config_v3!$B$4+T4580*Model_Config_v3!$B$5)),0)</x:f>
        <x:v>603</x:v>
      </x:c>
      <x:c r="J4580" s="18" t="n">
        <x:f>MIN(Model_Config_v3!$B$6,I4580+Model_Config_v3!$B$7)</x:f>
        <x:v>623</x:v>
      </x:c>
      <x:c r="K4580" s="20" t="n">
        <x:v>39.7</x:v>
      </x:c>
      <x:c r="L4580" t="str">
        <x:v>RELATIF LONGGAR</x:v>
      </x:c>
      <x:c r="M4580" t="str">
        <x:v>SEDANG+</x:v>
      </x:c>
      <x:c r="N4580" t="str">
        <x:v>REGULER</x:v>
      </x:c>
      <x:c r="O4580" t="str">
        <x:v>SAINTEK</x:v>
      </x:c>
      <x:c r="P4580" t="str">
        <x:v>TEKNIK/ARSITEKTUR/STATISTIKA/AKTUARIA</x:v>
      </x:c>
      <x:c r="Q4580" s="18" t="n">
        <x:v>0</x:v>
      </x:c>
      <x:c r="R4580" s="18" t="n">
        <x:v>0</x:v>
      </x:c>
      <x:c r="S4580" s="18" t="n">
        <x:v>520</x:v>
      </x:c>
      <x:c r="T4580" s="18" t="n">
        <x:v>639</x:v>
      </x:c>
      <x:c r="U4580" s="18" t="n">
        <x:v>530</x:v>
      </x:c>
      <x:c r="V4580" s="20" t="n">
        <x:v>12</x:v>
      </x:c>
      <x:c r="W4580" s="20" t="n">
        <x:v>5</x:v>
      </x:c>
      <x:c r="X4580" s="20" t="n">
        <x:v>3</x:v>
      </x:c>
      <x:c r="Y4580" t="str">
        <x:v>Basis arsip 2025/2024</x:v>
      </x:c>
      <x:c r="Z4580" t="str">
        <x:v>https://snpmb.id/utbk-snbt/daya-tampung-snbt</x:v>
      </x:c>
      <x:c r="AA4580" t="str">
        <x:v>Tidak Ada</x:v>
      </x:c>
      <x:c r="AB4580" t="str">
        <x:v>Campus=55; Ratio=0.0; Prodi=60; RelDemand=18.3; Capacity=65.8</x:v>
      </x:c>
    </x:row>
    <x:row r="4581">
      <x:c r="A4581" t="n">
        <x:v>4578</x:v>
      </x:c>
      <x:c r="B4581" t="str">
        <x:v>PTN Vokasi</x:v>
      </x:c>
      <x:c r="C4581" t="str">
        <x:v>POLITEKNIK NEGERI BALI</x:v>
      </x:c>
      <x:c r="D4581" t="str">
        <x:v>TEKNOLOGI REKAYASA PERANGKAT LUNAK</x:v>
      </x:c>
      <x:c r="E4581" t="str">
        <x:v>Sarjana Terapan</x:v>
      </x:c>
      <x:c r="F4581" s="18" t="n">
        <x:v>54</x:v>
      </x:c>
      <x:c r="G4581" s="18" t="n">
        <x:v>87</x:v>
      </x:c>
      <x:c r="H4581" s="19" t="n">
        <x:v>1.6111111111111112</x:v>
      </x:c>
      <x:c r="I4581" s="18" t="n">
        <x:f>ROUND(MIN(Model_Config_v3!$B$6,MAX(Q4581,R4581,S4581*Model_Config_v3!$B$4+T4581*Model_Config_v3!$B$5)),0)</x:f>
        <x:v>609</x:v>
      </x:c>
      <x:c r="J4581" s="18" t="n">
        <x:f>MIN(Model_Config_v3!$B$6,I4581+Model_Config_v3!$B$7)</x:f>
        <x:v>629</x:v>
      </x:c>
      <x:c r="K4581" s="20" t="n">
        <x:v>39</x:v>
      </x:c>
      <x:c r="L4581" t="str">
        <x:v>RELATIF LONGGAR</x:v>
      </x:c>
      <x:c r="M4581" t="str">
        <x:v>SEDANG</x:v>
      </x:c>
      <x:c r="N4581" t="str">
        <x:v>REGULER</x:v>
      </x:c>
      <x:c r="O4581" t="str">
        <x:v>SAINTEK</x:v>
      </x:c>
      <x:c r="P4581" t="str">
        <x:v>UMUM</x:v>
      </x:c>
      <x:c r="Q4581" s="18" t="n">
        <x:v>0</x:v>
      </x:c>
      <x:c r="R4581" s="18" t="n">
        <x:v>0</x:v>
      </x:c>
      <x:c r="S4581" s="18" t="n">
        <x:v>542.7838042075215</x:v>
      </x:c>
      <x:c r="T4581" s="18" t="n">
        <x:v>638</x:v>
      </x:c>
      <x:c r="U4581" s="18" t="n">
        <x:v>542.7838042075215</x:v>
      </x:c>
      <x:c r="V4581" s="20" t="n">
        <x:v>12</x:v>
      </x:c>
      <x:c r="W4581" s="20" t="n">
        <x:v>5</x:v>
      </x:c>
      <x:c r="X4581" s="20" t="n">
        <x:v>3</x:v>
      </x:c>
      <x:c r="Y4581" t="str">
        <x:v>Basis arsip 2025/2024</x:v>
      </x:c>
      <x:c r="Z4581" t="str">
        <x:v>https://snpmb.id/utbk-snbt/daya-tampung-snbt</x:v>
      </x:c>
      <x:c r="AA4581" t="str">
        <x:v>Tidak Ada</x:v>
      </x:c>
      <x:c r="AB4581" t="str">
        <x:v>Campus=55; Ratio=12.2; Prodi=40; RelDemand=31.9; Capacity=55.0</x:v>
      </x:c>
    </x:row>
    <x:row r="4582">
      <x:c r="A4582" t="n">
        <x:v>4579</x:v>
      </x:c>
      <x:c r="B4582" t="str">
        <x:v>PTN Vokasi</x:v>
      </x:c>
      <x:c r="C4582" t="str">
        <x:v>POLITEKNIK NEGERI BALI</x:v>
      </x:c>
      <x:c r="D4582" t="str">
        <x:v>TEKNOLOGI REKAYASA KONSTRUKSI BANGUNAN GEDUNG</x:v>
      </x:c>
      <x:c r="E4582" t="str">
        <x:v>Sarjana Terapan</x:v>
      </x:c>
      <x:c r="F4582" s="18" t="n">
        <x:v>27</x:v>
      </x:c>
      <x:c r="G4582" s="18" t="n">
        <x:v>45</x:v>
      </x:c>
      <x:c r="H4582" s="19" t="n">
        <x:v>1.6666666666666667</x:v>
      </x:c>
      <x:c r="I4582" s="18" t="n">
        <x:f>ROUND(MIN(Model_Config_v3!$B$6,MAX(Q4582,R4582,S4582*Model_Config_v3!$B$4+T4582*Model_Config_v3!$B$5)),0)</x:f>
        <x:v>613</x:v>
      </x:c>
      <x:c r="J4582" s="18" t="n">
        <x:f>MIN(Model_Config_v3!$B$6,I4582+Model_Config_v3!$B$7)</x:f>
        <x:v>633</x:v>
      </x:c>
      <x:c r="K4582" s="20" t="n">
        <x:v>41.6</x:v>
      </x:c>
      <x:c r="L4582" t="str">
        <x:v>RELATIF LONGGAR</x:v>
      </x:c>
      <x:c r="M4582" t="str">
        <x:v>SEDANG</x:v>
      </x:c>
      <x:c r="N4582" t="str">
        <x:v>REGULER</x:v>
      </x:c>
      <x:c r="O4582" t="str">
        <x:v>SAINTEK</x:v>
      </x:c>
      <x:c r="P4582" t="str">
        <x:v>UMUM</x:v>
      </x:c>
      <x:c r="Q4582" s="18" t="n">
        <x:v>0</x:v>
      </x:c>
      <x:c r="R4582" s="18" t="n">
        <x:v>0</x:v>
      </x:c>
      <x:c r="S4582" s="18" t="n">
        <x:v>544.4033624577992</x:v>
      </x:c>
      <x:c r="T4582" s="18" t="n">
        <x:v>643</x:v>
      </x:c>
      <x:c r="U4582" s="18" t="n">
        <x:v>544.4033624577992</x:v>
      </x:c>
      <x:c r="V4582" s="20" t="n">
        <x:v>12</x:v>
      </x:c>
      <x:c r="W4582" s="20" t="n">
        <x:v>5</x:v>
      </x:c>
      <x:c r="X4582" s="20" t="n">
        <x:v>3</x:v>
      </x:c>
      <x:c r="Y4582" t="str">
        <x:v>Basis arsip 2025/2024</x:v>
      </x:c>
      <x:c r="Z4582" t="str">
        <x:v>https://snpmb.id/utbk-snbt/daya-tampung-snbt</x:v>
      </x:c>
      <x:c r="AA4582" t="str">
        <x:v>Tidak Ada</x:v>
      </x:c>
      <x:c r="AB4582" t="str">
        <x:v>Campus=55; Ratio=13.1; Prodi=40; RelDemand=33.0; Capacity=77.5</x:v>
      </x:c>
    </x:row>
    <x:row r="4583">
      <x:c r="A4583" t="n">
        <x:v>4580</x:v>
      </x:c>
      <x:c r="B4583" t="str">
        <x:v>PTN Vokasi</x:v>
      </x:c>
      <x:c r="C4583" t="str">
        <x:v>POLITEKNIK NEGERI BALI</x:v>
      </x:c>
      <x:c r="D4583" t="str">
        <x:v>AKUNTANSI PERPAJAKAN</x:v>
      </x:c>
      <x:c r="E4583" t="str">
        <x:v>Sarjana Terapan</x:v>
      </x:c>
      <x:c r="F4583" s="18" t="n">
        <x:v>68</x:v>
      </x:c>
      <x:c r="G4583" s="18" t="n">
        <x:v>366</x:v>
      </x:c>
      <x:c r="H4583" s="19" t="n">
        <x:v>5.382352941176471</x:v>
      </x:c>
      <x:c r="I4583" s="18" t="n">
        <x:f>ROUND(MIN(Model_Config_v3!$B$6,MAX(Q4583,R4583,S4583*Model_Config_v3!$B$4+T4583*Model_Config_v3!$B$5)),0)</x:f>
        <x:v>653</x:v>
      </x:c>
      <x:c r="J4583" s="18" t="n">
        <x:f>MIN(Model_Config_v3!$B$6,I4583+Model_Config_v3!$B$7)</x:f>
        <x:v>673</x:v>
      </x:c>
      <x:c r="K4583" s="20" t="n">
        <x:v>57.3</x:v>
      </x:c>
      <x:c r="L4583" t="str">
        <x:v>KETAT</x:v>
      </x:c>
      <x:c r="M4583" t="str">
        <x:v>SEDANG+</x:v>
      </x:c>
      <x:c r="N4583" t="str">
        <x:v>REGULER</x:v>
      </x:c>
      <x:c r="O4583" t="str">
        <x:v>SOSHUM</x:v>
      </x:c>
      <x:c r="P4583" t="str">
        <x:v>BISNIS/EKONOMI/AKUNTANSI</x:v>
      </x:c>
      <x:c r="Q4583" s="18" t="n">
        <x:v>0</x:v>
      </x:c>
      <x:c r="R4583" s="18" t="n">
        <x:v>0</x:v>
      </x:c>
      <x:c r="S4583" s="18" t="n">
        <x:v>600.4069389956992</x:v>
      </x:c>
      <x:c r="T4583" s="18" t="n">
        <x:v>675</x:v>
      </x:c>
      <x:c r="U4583" s="18" t="n">
        <x:v>600.4069389956992</x:v>
      </x:c>
      <x:c r="V4583" s="20" t="n">
        <x:v>4.4</x:v>
      </x:c>
      <x:c r="W4583" s="20" t="n">
        <x:v>14.3</x:v>
      </x:c>
      <x:c r="X4583" s="20" t="n">
        <x:v>3.3</x:v>
      </x:c>
      <x:c r="Y4583" t="str">
        <x:v>Basis arsip 2025/2024</x:v>
      </x:c>
      <x:c r="Z4583" t="str">
        <x:v>https://snpmb.id/utbk-snbt/daya-tampung-snbt</x:v>
      </x:c>
      <x:c r="AA4583" t="str">
        <x:v>Tidak Ada</x:v>
      </x:c>
      <x:c r="AB4583" t="str">
        <x:v>Campus=55; Ratio=43.0; Prodi=65; RelDemand=100.0; Capacity=43.3</x:v>
      </x:c>
    </x:row>
    <x:row r="4584">
      <x:c r="A4584" t="n">
        <x:v>4581</x:v>
      </x:c>
      <x:c r="B4584" t="str">
        <x:v>PTN Vokasi</x:v>
      </x:c>
      <x:c r="C4584" t="str">
        <x:v>POLITEKNIK NEGERI BALI</x:v>
      </x:c>
      <x:c r="D4584" t="str">
        <x:v>AKUNTANSI MANAJERIAL</x:v>
      </x:c>
      <x:c r="E4584" t="str">
        <x:v>Sarjana Terapan</x:v>
      </x:c>
      <x:c r="F4584" s="18" t="n">
        <x:v>81</x:v>
      </x:c>
      <x:c r="G4584" s="18" t="n">
        <x:v>200</x:v>
      </x:c>
      <x:c r="H4584" s="19" t="n">
        <x:v>2.4691358024691357</x:v>
      </x:c>
      <x:c r="I4584" s="18" t="n">
        <x:f>ROUND(MIN(Model_Config_v3!$B$6,MAX(Q4584,R4584,S4584*Model_Config_v3!$B$4+T4584*Model_Config_v3!$B$5)),0)</x:f>
        <x:v>625</x:v>
      </x:c>
      <x:c r="J4584" s="18" t="n">
        <x:f>MIN(Model_Config_v3!$B$6,I4584+Model_Config_v3!$B$7)</x:f>
        <x:v>645</x:v>
      </x:c>
      <x:c r="K4584" s="20" t="n">
        <x:v>46.2</x:v>
      </x:c>
      <x:c r="L4584" t="str">
        <x:v>MENENGAH</x:v>
      </x:c>
      <x:c r="M4584" t="str">
        <x:v>SEDANG+</x:v>
      </x:c>
      <x:c r="N4584" t="str">
        <x:v>REGULER</x:v>
      </x:c>
      <x:c r="O4584" t="str">
        <x:v>SOSHUM</x:v>
      </x:c>
      <x:c r="P4584" t="str">
        <x:v>BISNIS/EKONOMI/AKUNTANSI</x:v>
      </x:c>
      <x:c r="Q4584" s="18" t="n">
        <x:v>0</x:v>
      </x:c>
      <x:c r="R4584" s="18" t="n">
        <x:v>0</x:v>
      </x:c>
      <x:c r="S4584" s="18" t="n">
        <x:v>563.1799474463864</x:v>
      </x:c>
      <x:c r="T4584" s="18" t="n">
        <x:v>652</x:v>
      </x:c>
      <x:c r="U4584" s="18" t="n">
        <x:v>563.1799474463864</x:v>
      </x:c>
      <x:c r="V4584" s="20" t="n">
        <x:v>4.4</x:v>
      </x:c>
      <x:c r="W4584" s="20" t="n">
        <x:v>14.3</x:v>
      </x:c>
      <x:c r="X4584" s="20" t="n">
        <x:v>3.3</x:v>
      </x:c>
      <x:c r="Y4584" t="str">
        <x:v>Basis arsip 2025/2024</x:v>
      </x:c>
      <x:c r="Z4584" t="str">
        <x:v>https://snpmb.id/utbk-snbt/daya-tampung-snbt</x:v>
      </x:c>
      <x:c r="AA4584" t="str">
        <x:v>Tidak Ada</x:v>
      </x:c>
      <x:c r="AB4584" t="str">
        <x:v>Campus=55; Ratio=23.1; Prodi=65; RelDemand=48.9; Capacity=32.5</x:v>
      </x:c>
    </x:row>
    <x:row r="4585">
      <x:c r="A4585" t="n">
        <x:v>4582</x:v>
      </x:c>
      <x:c r="B4585" t="str">
        <x:v>PTN Vokasi</x:v>
      </x:c>
      <x:c r="C4585" t="str">
        <x:v>POLITEKNIK NEGERI BALI</x:v>
      </x:c>
      <x:c r="D4585" t="str">
        <x:v>MANAJEMEN BISNIS INTERNASIONAL</x:v>
      </x:c>
      <x:c r="E4585" t="str">
        <x:v>Sarjana Terapan</x:v>
      </x:c>
      <x:c r="F4585" s="18" t="n">
        <x:v>95</x:v>
      </x:c>
      <x:c r="G4585" s="18" t="n">
        <x:v>376</x:v>
      </x:c>
      <x:c r="H4585" s="19" t="n">
        <x:v>3.957894736842105</x:v>
      </x:c>
      <x:c r="I4585" s="18" t="n">
        <x:f>ROUND(MIN(Model_Config_v3!$B$6,MAX(Q4585,R4585,S4585*Model_Config_v3!$B$4+T4585*Model_Config_v3!$B$5)),0)</x:f>
        <x:v>639</x:v>
      </x:c>
      <x:c r="J4585" s="18" t="n">
        <x:f>MIN(Model_Config_v3!$B$6,I4585+Model_Config_v3!$B$7)</x:f>
        <x:v>659</x:v>
      </x:c>
      <x:c r="K4585" s="20" t="n">
        <x:v>51</x:v>
      </x:c>
      <x:c r="L4585" t="str">
        <x:v>MENENGAH</x:v>
      </x:c>
      <x:c r="M4585" t="str">
        <x:v>SEDANG+</x:v>
      </x:c>
      <x:c r="N4585" t="str">
        <x:v>REGULER</x:v>
      </x:c>
      <x:c r="O4585" t="str">
        <x:v>SOSHUM</x:v>
      </x:c>
      <x:c r="P4585" t="str">
        <x:v>BISNIS/EKONOMI/AKUNTANSI</x:v>
      </x:c>
      <x:c r="Q4585" s="18" t="n">
        <x:v>0</x:v>
      </x:c>
      <x:c r="R4585" s="18" t="n">
        <x:v>0</x:v>
      </x:c>
      <x:c r="S4585" s="18" t="n">
        <x:v>585.7210663602694</x:v>
      </x:c>
      <x:c r="T4585" s="18" t="n">
        <x:v>662</x:v>
      </x:c>
      <x:c r="U4585" s="18" t="n">
        <x:v>600.7210663602694</x:v>
      </x:c>
      <x:c r="V4585" s="20" t="n">
        <x:v>4.4</x:v>
      </x:c>
      <x:c r="W4585" s="20" t="n">
        <x:v>14.3</x:v>
      </x:c>
      <x:c r="X4585" s="20" t="n">
        <x:v>3.3</x:v>
      </x:c>
      <x:c r="Y4585" t="str">
        <x:v>Basis arsip 2025/2024</x:v>
      </x:c>
      <x:c r="Z4585" t="str">
        <x:v>https://snpmb.id/utbk-snbt/daya-tampung-snbt</x:v>
      </x:c>
      <x:c r="AA4585" t="str">
        <x:v>Tidak Ada</x:v>
      </x:c>
      <x:c r="AB4585" t="str">
        <x:v>Campus=55; Ratio=35.2; Prodi=65; RelDemand=78.4; Capacity=20.8</x:v>
      </x:c>
    </x:row>
    <x:row r="4586">
      <x:c r="A4586" t="n">
        <x:v>4583</x:v>
      </x:c>
      <x:c r="B4586" t="str">
        <x:v>PTN Vokasi</x:v>
      </x:c>
      <x:c r="C4586" t="str">
        <x:v>POLITEKNIK NEGERI BALI</x:v>
      </x:c>
      <x:c r="D4586" t="str">
        <x:v>MANAJEMEN BISNIS PARIWISATA</x:v>
      </x:c>
      <x:c r="E4586" t="str">
        <x:v>Sarjana Terapan</x:v>
      </x:c>
      <x:c r="F4586" s="18" t="n">
        <x:v>95</x:v>
      </x:c>
      <x:c r="G4586" s="18" t="n">
        <x:v>509</x:v>
      </x:c>
      <x:c r="H4586" s="19" t="n">
        <x:v>5.3578947368421055</x:v>
      </x:c>
      <x:c r="I4586" s="18" t="n">
        <x:f>ROUND(MIN(Model_Config_v3!$B$6,MAX(Q4586,R4586,S4586*Model_Config_v3!$B$4+T4586*Model_Config_v3!$B$5)),0)</x:f>
        <x:v>649</x:v>
      </x:c>
      <x:c r="J4586" s="18" t="n">
        <x:f>MIN(Model_Config_v3!$B$6,I4586+Model_Config_v3!$B$7)</x:f>
        <x:v>669</x:v>
      </x:c>
      <x:c r="K4586" s="20" t="n">
        <x:v>55.1</x:v>
      </x:c>
      <x:c r="L4586" t="str">
        <x:v>KETAT</x:v>
      </x:c>
      <x:c r="M4586" t="str">
        <x:v>SEDANG+</x:v>
      </x:c>
      <x:c r="N4586" t="str">
        <x:v>REGULER</x:v>
      </x:c>
      <x:c r="O4586" t="str">
        <x:v>SOSHUM</x:v>
      </x:c>
      <x:c r="P4586" t="str">
        <x:v>BISNIS/EKONOMI/AKUNTANSI</x:v>
      </x:c>
      <x:c r="Q4586" s="18" t="n">
        <x:v>0</x:v>
      </x:c>
      <x:c r="R4586" s="18" t="n">
        <x:v>0</x:v>
      </x:c>
      <x:c r="S4586" s="18" t="n">
        <x:v>600.1893594752702</x:v>
      </x:c>
      <x:c r="T4586" s="18" t="n">
        <x:v>670</x:v>
      </x:c>
      <x:c r="U4586" s="18" t="n">
        <x:v>615.1893594752702</x:v>
      </x:c>
      <x:c r="V4586" s="20" t="n">
        <x:v>4.4</x:v>
      </x:c>
      <x:c r="W4586" s="20" t="n">
        <x:v>14.3</x:v>
      </x:c>
      <x:c r="X4586" s="20" t="n">
        <x:v>3.3</x:v>
      </x:c>
      <x:c r="Y4586" t="str">
        <x:v>Basis arsip 2025/2024</x:v>
      </x:c>
      <x:c r="Z4586" t="str">
        <x:v>https://snpmb.id/utbk-snbt/daya-tampung-snbt</x:v>
      </x:c>
      <x:c r="AA4586" t="str">
        <x:v>Tidak Ada</x:v>
      </x:c>
      <x:c r="AB4586" t="str">
        <x:v>Campus=55; Ratio=42.9; Prodi=65; RelDemand=100.0; Capacity=20.8</x:v>
      </x:c>
    </x:row>
    <x:row r="4587">
      <x:c r="A4587" t="n">
        <x:v>4584</x:v>
      </x:c>
      <x:c r="B4587" t="str">
        <x:v>PTN Vokasi</x:v>
      </x:c>
      <x:c r="C4587" t="str">
        <x:v>POLITEKNIK NEGERI BALI</x:v>
      </x:c>
      <x:c r="D4587" t="str">
        <x:v>BISNIS DIGITAL</x:v>
      </x:c>
      <x:c r="E4587" t="str">
        <x:v>Sarjana Terapan</x:v>
      </x:c>
      <x:c r="F4587" s="18" t="n">
        <x:v>54</x:v>
      </x:c>
      <x:c r="G4587" s="18" t="n">
        <x:v>283</x:v>
      </x:c>
      <x:c r="H4587" s="19" t="n">
        <x:v>5.2407407407407405</x:v>
      </x:c>
      <x:c r="I4587" s="18" t="n">
        <x:f>ROUND(MIN(Model_Config_v3!$B$6,MAX(Q4587,R4587,S4587*Model_Config_v3!$B$4+T4587*Model_Config_v3!$B$5)),0)</x:f>
        <x:v>654</x:v>
      </x:c>
      <x:c r="J4587" s="18" t="n">
        <x:f>MIN(Model_Config_v3!$B$6,I4587+Model_Config_v3!$B$7)</x:f>
        <x:v>674</x:v>
      </x:c>
      <x:c r="K4587" s="20" t="n">
        <x:v>58.3</x:v>
      </x:c>
      <x:c r="L4587" t="str">
        <x:v>KETAT</x:v>
      </x:c>
      <x:c r="M4587" t="str">
        <x:v>SEDANG+</x:v>
      </x:c>
      <x:c r="N4587" t="str">
        <x:v>REGULER</x:v>
      </x:c>
      <x:c r="O4587" t="str">
        <x:v>SOSHUM</x:v>
      </x:c>
      <x:c r="P4587" t="str">
        <x:v>BISNIS/EKONOMI/AKUNTANSI</x:v>
      </x:c>
      <x:c r="Q4587" s="18" t="n">
        <x:v>0</x:v>
      </x:c>
      <x:c r="R4587" s="18" t="n">
        <x:v>0</x:v>
      </x:c>
      <x:c r="S4587" s="18" t="n">
        <x:v>599.1331943271454</x:v>
      </x:c>
      <x:c r="T4587" s="18" t="n">
        <x:v>677</x:v>
      </x:c>
      <x:c r="U4587" s="18" t="n">
        <x:v>614.1331943271454</x:v>
      </x:c>
      <x:c r="V4587" s="20" t="n">
        <x:v>4.4</x:v>
      </x:c>
      <x:c r="W4587" s="20" t="n">
        <x:v>14.3</x:v>
      </x:c>
      <x:c r="X4587" s="20" t="n">
        <x:v>3.3</x:v>
      </x:c>
      <x:c r="Y4587" t="str">
        <x:v>Basis arsip 2025/2024</x:v>
      </x:c>
      <x:c r="Z4587" t="str">
        <x:v>https://snpmb.id/utbk-snbt/daya-tampung-snbt</x:v>
      </x:c>
      <x:c r="AA4587" t="str">
        <x:v>Tidak Ada</x:v>
      </x:c>
      <x:c r="AB4587" t="str">
        <x:v>Campus=55; Ratio=42.3; Prodi=65; RelDemand=100.0; Capacity=55.0</x:v>
      </x:c>
    </x:row>
    <x:row r="4588">
      <x:c r="A4588" t="n">
        <x:v>4585</x:v>
      </x:c>
      <x:c r="B4588" t="str">
        <x:v>PTN Vokasi</x:v>
      </x:c>
      <x:c r="C4588" t="str">
        <x:v>POLITEKNIK NEGERI BALI</x:v>
      </x:c>
      <x:c r="D4588" t="str">
        <x:v>TEKNOLOGI REKAYASA KONSTRUKSI BANGUNAN AIR</x:v>
      </x:c>
      <x:c r="E4588" t="str">
        <x:v>Sarjana Terapan</x:v>
      </x:c>
      <x:c r="F4588" s="18" t="n">
        <x:v>14</x:v>
      </x:c>
      <x:c r="G4588" s="18" t="n">
        <x:v>16</x:v>
      </x:c>
      <x:c r="H4588" s="19" t="n">
        <x:v>1.1428571428571428</x:v>
      </x:c>
      <x:c r="I4588" s="18" t="n">
        <x:f>ROUND(MIN(Model_Config_v3!$B$6,MAX(Q4588,R4588,S4588*Model_Config_v3!$B$4+T4588*Model_Config_v3!$B$5)),0)</x:f>
        <x:v>605</x:v>
      </x:c>
      <x:c r="J4588" s="18" t="n">
        <x:f>MIN(Model_Config_v3!$B$6,I4588+Model_Config_v3!$B$7)</x:f>
        <x:v>625</x:v>
      </x:c>
      <x:c r="K4588" s="20" t="n">
        <x:v>39.2</x:v>
      </x:c>
      <x:c r="L4588" t="str">
        <x:v>RELATIF LONGGAR</x:v>
      </x:c>
      <x:c r="M4588" t="str">
        <x:v>SEDANG</x:v>
      </x:c>
      <x:c r="N4588" t="str">
        <x:v>REGULER</x:v>
      </x:c>
      <x:c r="O4588" t="str">
        <x:v>SAINTEK</x:v>
      </x:c>
      <x:c r="P4588" t="str">
        <x:v>UMUM</x:v>
      </x:c>
      <x:c r="Q4588" s="18" t="n">
        <x:v>0</x:v>
      </x:c>
      <x:c r="R4588" s="18" t="n">
        <x:v>0</x:v>
      </x:c>
      <x:c r="S4588" s="18" t="n">
        <x:v>526.3791141675456</x:v>
      </x:c>
      <x:c r="T4588" s="18" t="n">
        <x:v>638</x:v>
      </x:c>
      <x:c r="U4588" s="18" t="n">
        <x:v>526.3791141675456</x:v>
      </x:c>
      <x:c r="V4588" s="20" t="n">
        <x:v>12</x:v>
      </x:c>
      <x:c r="W4588" s="20" t="n">
        <x:v>5</x:v>
      </x:c>
      <x:c r="X4588" s="20" t="n">
        <x:v>3</x:v>
      </x:c>
      <x:c r="Y4588" t="str">
        <x:v>Basis arsip 2025/2024</x:v>
      </x:c>
      <x:c r="Z4588" t="str">
        <x:v>https://snpmb.id/utbk-snbt/daya-tampung-snbt</x:v>
      </x:c>
      <x:c r="AA4588" t="str">
        <x:v>Tidak Ada</x:v>
      </x:c>
      <x:c r="AB4588" t="str">
        <x:v>Campus=55; Ratio=3.4; Prodi=40; RelDemand=22.6; Capacity=88.3</x:v>
      </x:c>
    </x:row>
    <x:row r="4589">
      <x:c r="A4589" t="n">
        <x:v>4586</x:v>
      </x:c>
      <x:c r="B4589" t="str">
        <x:v>PTN Vokasi</x:v>
      </x:c>
      <x:c r="C4589" t="str">
        <x:v>POLITEKNIK NEGERI BALI</x:v>
      </x:c>
      <x:c r="D4589" t="str">
        <x:v>REKAYASA PERANCANGAN MEKANIK</x:v>
      </x:c>
      <x:c r="E4589" t="str">
        <x:v>Sarjana Terapan</x:v>
      </x:c>
      <x:c r="F4589" s="18" t="n">
        <x:v>14</x:v>
      </x:c>
      <x:c r="G4589" s="18" t="n">
        <x:v>8</x:v>
      </x:c>
      <x:c r="H4589" s="19" t="n">
        <x:v>0.5714285714285714</x:v>
      </x:c>
      <x:c r="I4589" s="18" t="n">
        <x:f>ROUND(MIN(Model_Config_v3!$B$6,MAX(Q4589,R4589,S4589*Model_Config_v3!$B$4+T4589*Model_Config_v3!$B$5)),0)</x:f>
        <x:v>600</x:v>
      </x:c>
      <x:c r="J4589" s="18" t="n">
        <x:f>MIN(Model_Config_v3!$B$6,I4589+Model_Config_v3!$B$7)</x:f>
        <x:v>620</x:v>
      </x:c>
      <x:c r="K4589" s="20" t="n">
        <x:v>37.2</x:v>
      </x:c>
      <x:c r="L4589" t="str">
        <x:v>RELATIF LONGGAR</x:v>
      </x:c>
      <x:c r="M4589" t="str">
        <x:v>SEDANG</x:v>
      </x:c>
      <x:c r="N4589" t="str">
        <x:v>REGULER</x:v>
      </x:c>
      <x:c r="O4589" t="str">
        <x:v>CAMPURAN</x:v>
      </x:c>
      <x:c r="P4589" t="str">
        <x:v>UMUM</x:v>
      </x:c>
      <x:c r="Q4589" s="18" t="n">
        <x:v>0</x:v>
      </x:c>
      <x:c r="R4589" s="18" t="n">
        <x:v>0</x:v>
      </x:c>
      <x:c r="S4589" s="18" t="n">
        <x:v>520</x:v>
      </x:c>
      <x:c r="T4589" s="18" t="n">
        <x:v>634</x:v>
      </x:c>
      <x:c r="U4589" s="18" t="n">
        <x:v>520</x:v>
      </x:c>
      <x:c r="V4589" s="20" t="n">
        <x:v>8.8</x:v>
      </x:c>
      <x:c r="W4589" s="20" t="n">
        <x:v>9.9</x:v>
      </x:c>
      <x:c r="X4589" s="20" t="n">
        <x:v>3.3</x:v>
      </x:c>
      <x:c r="Y4589" t="str">
        <x:v>Basis arsip 2025/2024</x:v>
      </x:c>
      <x:c r="Z4589" t="str">
        <x:v>https://snpmb.id/utbk-snbt/daya-tampung-snbt</x:v>
      </x:c>
      <x:c r="AA4589" t="str">
        <x:v>Tidak Ada</x:v>
      </x:c>
      <x:c r="AB4589" t="str">
        <x:v>Campus=55; Ratio=0.0; Prodi=40; RelDemand=11.3; Capacity=88.3</x:v>
      </x:c>
    </x:row>
    <x:row r="4590">
      <x:c r="A4590" t="n">
        <x:v>4587</x:v>
      </x:c>
      <x:c r="B4590" t="str">
        <x:v>PTN Vokasi</x:v>
      </x:c>
      <x:c r="C4590" t="str">
        <x:v>POLITEKNIK NEGERI BALI</x:v>
      </x:c>
      <x:c r="D4590" t="str">
        <x:v>BAHASA INGGRIS UNTUK KOMUNIKASI BISNIS DAN PROFESIONAL</x:v>
      </x:c>
      <x:c r="E4590" t="str">
        <x:v>Sarjana Terapan</x:v>
      </x:c>
      <x:c r="F4590" s="18" t="n">
        <x:v>14</x:v>
      </x:c>
      <x:c r="G4590" s="18" t="n">
        <x:v>104</x:v>
      </x:c>
      <x:c r="H4590" s="19" t="n">
        <x:v>7.428571428571429</x:v>
      </x:c>
      <x:c r="I4590" s="18" t="n">
        <x:f>ROUND(MIN(Model_Config_v3!$B$6,MAX(Q4590,R4590,S4590*Model_Config_v3!$B$4+T4590*Model_Config_v3!$B$5)),0)</x:f>
        <x:v>666</x:v>
      </x:c>
      <x:c r="J4590" s="18" t="n">
        <x:f>MIN(Model_Config_v3!$B$6,I4590+Model_Config_v3!$B$7)</x:f>
        <x:v>686</x:v>
      </x:c>
      <x:c r="K4590" s="20" t="n">
        <x:v>63.9</x:v>
      </x:c>
      <x:c r="L4590" t="str">
        <x:v>KETAT</x:v>
      </x:c>
      <x:c r="M4590" t="str">
        <x:v>SEDANG+</x:v>
      </x:c>
      <x:c r="N4590" t="str">
        <x:v>REGULER</x:v>
      </x:c>
      <x:c r="O4590" t="str">
        <x:v>SOSHUM</x:v>
      </x:c>
      <x:c r="P4590" t="str">
        <x:v>BISNIS/EKONOMI/AKUNTANSI</x:v>
      </x:c>
      <x:c r="Q4590" s="18" t="n">
        <x:v>0</x:v>
      </x:c>
      <x:c r="R4590" s="18" t="n">
        <x:v>0</x:v>
      </x:c>
      <x:c r="S4590" s="18" t="n">
        <x:v>615.7995833982596</x:v>
      </x:c>
      <x:c r="T4590" s="18" t="n">
        <x:v>688</x:v>
      </x:c>
      <x:c r="U4590" s="18" t="n">
        <x:v>630.7995833982596</x:v>
      </x:c>
      <x:c r="V4590" s="20" t="n">
        <x:v>4.4</x:v>
      </x:c>
      <x:c r="W4590" s="20" t="n">
        <x:v>14.3</x:v>
      </x:c>
      <x:c r="X4590" s="20" t="n">
        <x:v>3.3</x:v>
      </x:c>
      <x:c r="Y4590" t="str">
        <x:v>Basis arsip 2025/2024</x:v>
      </x:c>
      <x:c r="Z4590" t="str">
        <x:v>https://snpmb.id/utbk-snbt/daya-tampung-snbt</x:v>
      </x:c>
      <x:c r="AA4590" t="str">
        <x:v>Tidak Ada</x:v>
      </x:c>
      <x:c r="AB4590" t="str">
        <x:v>Campus=55; Ratio=51.3; Prodi=65; RelDemand=100.0; Capacity=88.3</x:v>
      </x:c>
    </x:row>
    <x:row r="4591">
      <x:c r="A4591" t="n">
        <x:v>4588</x:v>
      </x:c>
      <x:c r="B4591" t="str">
        <x:v>PTN Vokasi</x:v>
      </x:c>
      <x:c r="C4591" t="str">
        <x:v>POLITEKNIK NEGERI BALI</x:v>
      </x:c>
      <x:c r="D4591" t="str">
        <x:v>TEKNOLOGI REKAYASA ENERGI TERBARUKAN</x:v>
      </x:c>
      <x:c r="E4591" t="str">
        <x:v>Sarjana Terapan</x:v>
      </x:c>
      <x:c r="F4591" s="18" t="n">
        <x:v>27</x:v>
      </x:c>
      <x:c r="G4591" s="18" t="n">
        <x:v>21</x:v>
      </x:c>
      <x:c r="H4591" s="19" t="n">
        <x:v>0.7777777777777778</x:v>
      </x:c>
      <x:c r="I4591" s="18" t="n">
        <x:f>ROUND(MIN(Model_Config_v3!$B$6,MAX(Q4591,R4591,S4591*Model_Config_v3!$B$4+T4591*Model_Config_v3!$B$5)),0)</x:f>
        <x:v>599</x:v>
      </x:c>
      <x:c r="J4591" s="18" t="n">
        <x:f>MIN(Model_Config_v3!$B$6,I4591+Model_Config_v3!$B$7)</x:f>
        <x:v>619</x:v>
      </x:c>
      <x:c r="K4591" s="20" t="n">
        <x:v>36.5</x:v>
      </x:c>
      <x:c r="L4591" t="str">
        <x:v>RELATIF LONGGAR</x:v>
      </x:c>
      <x:c r="M4591" t="str">
        <x:v>SEDANG</x:v>
      </x:c>
      <x:c r="N4591" t="str">
        <x:v>REGULER</x:v>
      </x:c>
      <x:c r="O4591" t="str">
        <x:v>SAINTEK</x:v>
      </x:c>
      <x:c r="P4591" t="str">
        <x:v>UMUM</x:v>
      </x:c>
      <x:c r="Q4591" s="18" t="n">
        <x:v>0</x:v>
      </x:c>
      <x:c r="R4591" s="18" t="n">
        <x:v>0</x:v>
      </x:c>
      <x:c r="S4591" s="18" t="n">
        <x:v>520</x:v>
      </x:c>
      <x:c r="T4591" s="18" t="n">
        <x:v>633</x:v>
      </x:c>
      <x:c r="U4591" s="18" t="n">
        <x:v>520</x:v>
      </x:c>
      <x:c r="V4591" s="20" t="n">
        <x:v>12</x:v>
      </x:c>
      <x:c r="W4591" s="20" t="n">
        <x:v>5</x:v>
      </x:c>
      <x:c r="X4591" s="20" t="n">
        <x:v>3</x:v>
      </x:c>
      <x:c r="Y4591" t="str">
        <x:v>Basis arsip 2025/2024</x:v>
      </x:c>
      <x:c r="Z4591" t="str">
        <x:v>https://snpmb.id/utbk-snbt/daya-tampung-snbt</x:v>
      </x:c>
      <x:c r="AA4591" t="str">
        <x:v>Tidak Ada</x:v>
      </x:c>
      <x:c r="AB4591" t="str">
        <x:v>Campus=55; Ratio=0.0; Prodi=40; RelDemand=15.4; Capacity=77.5</x:v>
      </x:c>
    </x:row>
    <x:row r="4592">
      <x:c r="A4592" t="n">
        <x:v>4589</x:v>
      </x:c>
      <x:c r="B4592" t="str">
        <x:v>PTN Vokasi</x:v>
      </x:c>
      <x:c r="C4592" t="str">
        <x:v>POLITEKNIK NEGERI BALI</x:v>
      </x:c>
      <x:c r="D4592" t="str">
        <x:v>AKUNTANSI BISNIS DIGITAL</x:v>
      </x:c>
      <x:c r="E4592" t="str">
        <x:v>Sarjana Terapan</x:v>
      </x:c>
      <x:c r="F4592" s="18" t="n">
        <x:v>27</x:v>
      </x:c>
      <x:c r="G4592" s="18"/>
      <x:c r="H4592" s="19" t="n">
        <x:v>0</x:v>
      </x:c>
      <x:c r="I4592" s="18" t="n">
        <x:f>ROUND(MIN(Model_Config_v3!$B$6,MAX(Q4592,R4592,S4592*Model_Config_v3!$B$4+T4592*Model_Config_v3!$B$5)),0)</x:f>
        <x:v>604</x:v>
      </x:c>
      <x:c r="J4592" s="18" t="n">
        <x:f>MIN(Model_Config_v3!$B$6,I4592+Model_Config_v3!$B$7)</x:f>
        <x:v>624</x:v>
      </x:c>
      <x:c r="K4592" s="20" t="n">
        <x:v>40</x:v>
      </x:c>
      <x:c r="L4592" t="str">
        <x:v>RELATIF LONGGAR</x:v>
      </x:c>
      <x:c r="M4592" t="str">
        <x:v>RENDAH</x:v>
      </x:c>
      <x:c r="N4592" t="str">
        <x:v>REGULER</x:v>
      </x:c>
      <x:c r="O4592" t="str">
        <x:v>SOSHUM</x:v>
      </x:c>
      <x:c r="P4592" t="str">
        <x:v>BISNIS/EKONOMI/AKUNTANSI</x:v>
      </x:c>
      <x:c r="Q4592" s="18" t="n">
        <x:v>0</x:v>
      </x:c>
      <x:c r="R4592" s="18" t="n">
        <x:v>0</x:v>
      </x:c>
      <x:c r="S4592" s="18" t="n">
        <x:v>520</x:v>
      </x:c>
      <x:c r="T4592" s="18" t="n">
        <x:v>640</x:v>
      </x:c>
      <x:c r="U4592" s="18" t="n">
        <x:v>535</x:v>
      </x:c>
      <x:c r="V4592" s="20" t="n">
        <x:v>4.4</x:v>
      </x:c>
      <x:c r="W4592" s="20" t="n">
        <x:v>14.3</x:v>
      </x:c>
      <x:c r="X4592" s="20" t="n">
        <x:v>3.3</x:v>
      </x:c>
      <x:c r="Y4592" t="str">
        <x:v>Basis arsip 2025/2024</x:v>
      </x:c>
      <x:c r="Z4592" t="str">
        <x:v>https://snpmb.id/utbk-snbt/daya-tampung-snbt</x:v>
      </x:c>
      <x:c r="AA4592" t="str">
        <x:v>Tidak Ada</x:v>
      </x:c>
      <x:c r="AB4592" t="str">
        <x:v>Campus=55; Ratio=0.0; Prodi=65; RelDemand=0.0; Capacity=77.5</x:v>
      </x:c>
    </x:row>
    <x:row r="4593">
      <x:c r="A4593" t="n">
        <x:v>4590</x:v>
      </x:c>
      <x:c r="B4593" t="str">
        <x:v>PTN Vokasi</x:v>
      </x:c>
      <x:c r="C4593" t="str">
        <x:v>POLITEKNIK NEGERI BALI</x:v>
      </x:c>
      <x:c r="D4593" t="str">
        <x:v>ADMINISTRASI BISNIS</x:v>
      </x:c>
      <x:c r="E4593" t="str">
        <x:v>Diploma Tiga</x:v>
      </x:c>
      <x:c r="F4593" s="18" t="n">
        <x:v>108</x:v>
      </x:c>
      <x:c r="G4593" s="18" t="n">
        <x:v>441</x:v>
      </x:c>
      <x:c r="H4593" s="19" t="n">
        <x:v>4.083333333333333</x:v>
      </x:c>
      <x:c r="I4593" s="18" t="n">
        <x:f>ROUND(MIN(Model_Config_v3!$B$6,MAX(Q4593,R4593,S4593*Model_Config_v3!$B$4+T4593*Model_Config_v3!$B$5)),0)</x:f>
        <x:v>639</x:v>
      </x:c>
      <x:c r="J4593" s="18" t="n">
        <x:f>MIN(Model_Config_v3!$B$6,I4593+Model_Config_v3!$B$7)</x:f>
        <x:v>659</x:v>
      </x:c>
      <x:c r="K4593" s="20" t="n">
        <x:v>50.3</x:v>
      </x:c>
      <x:c r="L4593" t="str">
        <x:v>MENENGAH</x:v>
      </x:c>
      <x:c r="M4593" t="str">
        <x:v>SEDANG+</x:v>
      </x:c>
      <x:c r="N4593" t="str">
        <x:v>REGULER</x:v>
      </x:c>
      <x:c r="O4593" t="str">
        <x:v>SOSHUM</x:v>
      </x:c>
      <x:c r="P4593" t="str">
        <x:v>BISNIS/EKONOMI/AKUNTANSI</x:v>
      </x:c>
      <x:c r="Q4593" s="18" t="n">
        <x:v>0</x:v>
      </x:c>
      <x:c r="R4593" s="18" t="n">
        <x:v>0</x:v>
      </x:c>
      <x:c r="S4593" s="18" t="n">
        <x:v>587.2116317378977</x:v>
      </x:c>
      <x:c r="T4593" s="18" t="n">
        <x:v>661</x:v>
      </x:c>
      <x:c r="U4593" s="18" t="n">
        <x:v>602.2116317378977</x:v>
      </x:c>
      <x:c r="V4593" s="20" t="n">
        <x:v>4.4</x:v>
      </x:c>
      <x:c r="W4593" s="20" t="n">
        <x:v>14.3</x:v>
      </x:c>
      <x:c r="X4593" s="20" t="n">
        <x:v>3.3</x:v>
      </x:c>
      <x:c r="Y4593" t="str">
        <x:v>Basis arsip 2025/2024</x:v>
      </x:c>
      <x:c r="Z4593" t="str">
        <x:v>https://snpmb.id/utbk-snbt/daya-tampung-snbt</x:v>
      </x:c>
      <x:c r="AA4593" t="str">
        <x:v>Tidak Ada</x:v>
      </x:c>
      <x:c r="AB4593" t="str">
        <x:v>Campus=55; Ratio=36.0; Prodi=65; RelDemand=80.8; Capacity=10.0</x:v>
      </x:c>
    </x:row>
    <x:row r="4594">
      <x:c r="A4594" t="n">
        <x:v>4591</x:v>
      </x:c>
      <x:c r="B4594" t="str">
        <x:v>PTN Vokasi</x:v>
      </x:c>
      <x:c r="C4594" t="str">
        <x:v>POLITEKNIK NEGERI BALI</x:v>
      </x:c>
      <x:c r="D4594" t="str">
        <x:v>AKUNTANSI</x:v>
      </x:c>
      <x:c r="E4594" t="str">
        <x:v>Diploma Tiga</x:v>
      </x:c>
      <x:c r="F4594" s="18" t="n">
        <x:v>95</x:v>
      </x:c>
      <x:c r="G4594" s="18" t="n">
        <x:v>248</x:v>
      </x:c>
      <x:c r="H4594" s="19" t="n">
        <x:v>2.610526315789474</x:v>
      </x:c>
      <x:c r="I4594" s="18" t="n">
        <x:f>ROUND(MIN(Model_Config_v3!$B$6,MAX(Q4594,R4594,S4594*Model_Config_v3!$B$4+T4594*Model_Config_v3!$B$5)),0)</x:f>
        <x:v>625</x:v>
      </x:c>
      <x:c r="J4594" s="18" t="n">
        <x:f>MIN(Model_Config_v3!$B$6,I4594+Model_Config_v3!$B$7)</x:f>
        <x:v>645</x:v>
      </x:c>
      <x:c r="K4594" s="20" t="n">
        <x:v>45.6</x:v>
      </x:c>
      <x:c r="L4594" t="str">
        <x:v>MENENGAH</x:v>
      </x:c>
      <x:c r="M4594" t="str">
        <x:v>SEDANG+</x:v>
      </x:c>
      <x:c r="N4594" t="str">
        <x:v>REGULER</x:v>
      </x:c>
      <x:c r="O4594" t="str">
        <x:v>SOSHUM</x:v>
      </x:c>
      <x:c r="P4594" t="str">
        <x:v>BISNIS/EKONOMI/AKUNTANSI</x:v>
      </x:c>
      <x:c r="Q4594" s="18" t="n">
        <x:v>0</x:v>
      </x:c>
      <x:c r="R4594" s="18" t="n">
        <x:v>0</x:v>
      </x:c>
      <x:c r="S4594" s="18" t="n">
        <x:v>565.8400883091106</x:v>
      </x:c>
      <x:c r="T4594" s="18" t="n">
        <x:v>651</x:v>
      </x:c>
      <x:c r="U4594" s="18" t="n">
        <x:v>565.8400883091106</x:v>
      </x:c>
      <x:c r="V4594" s="20" t="n">
        <x:v>4.4</x:v>
      </x:c>
      <x:c r="W4594" s="20" t="n">
        <x:v>14.3</x:v>
      </x:c>
      <x:c r="X4594" s="20" t="n">
        <x:v>3.3</x:v>
      </x:c>
      <x:c r="Y4594" t="str">
        <x:v>Basis arsip 2025/2024</x:v>
      </x:c>
      <x:c r="Z4594" t="str">
        <x:v>https://snpmb.id/utbk-snbt/daya-tampung-snbt</x:v>
      </x:c>
      <x:c r="AA4594" t="str">
        <x:v>Tidak Ada</x:v>
      </x:c>
      <x:c r="AB4594" t="str">
        <x:v>Campus=55; Ratio=24.5; Prodi=65; RelDemand=51.7; Capacity=20.8</x:v>
      </x:c>
    </x:row>
    <x:row r="4595">
      <x:c r="A4595" t="n">
        <x:v>4592</x:v>
      </x:c>
      <x:c r="B4595" t="str">
        <x:v>PTN Vokasi</x:v>
      </x:c>
      <x:c r="C4595" t="str">
        <x:v>POLITEKNIK NEGERI BALI</x:v>
      </x:c>
      <x:c r="D4595" t="str">
        <x:v>TEKNIK SIPIL</x:v>
      </x:c>
      <x:c r="E4595" t="str">
        <x:v>Diploma Tiga</x:v>
      </x:c>
      <x:c r="F4595" s="18" t="n">
        <x:v>68</x:v>
      </x:c>
      <x:c r="G4595" s="18" t="n">
        <x:v>257</x:v>
      </x:c>
      <x:c r="H4595" s="19" t="n">
        <x:v>3.7794117647058822</x:v>
      </x:c>
      <x:c r="I4595" s="18" t="n">
        <x:f>ROUND(MIN(Model_Config_v3!$B$6,MAX(Q4595,R4595,S4595*Model_Config_v3!$B$4+T4595*Model_Config_v3!$B$5)),0)</x:f>
        <x:v>639</x:v>
      </x:c>
      <x:c r="J4595" s="18" t="n">
        <x:f>MIN(Model_Config_v3!$B$6,I4595+Model_Config_v3!$B$7)</x:f>
        <x:v>659</x:v>
      </x:c>
      <x:c r="K4595" s="20" t="n">
        <x:v>51.6</x:v>
      </x:c>
      <x:c r="L4595" t="str">
        <x:v>MENENGAH</x:v>
      </x:c>
      <x:c r="M4595" t="str">
        <x:v>SEDANG+</x:v>
      </x:c>
      <x:c r="N4595" t="str">
        <x:v>REGULER</x:v>
      </x:c>
      <x:c r="O4595" t="str">
        <x:v>SAINTEK</x:v>
      </x:c>
      <x:c r="P4595" t="str">
        <x:v>TEKNIK/ARSITEKTUR/STATISTIKA/AKTUARIA</x:v>
      </x:c>
      <x:c r="Q4595" s="18" t="n">
        <x:v>0</x:v>
      </x:c>
      <x:c r="R4595" s="18" t="n">
        <x:v>0</x:v>
      </x:c>
      <x:c r="S4595" s="18" t="n">
        <x:v>583.5166631687564</x:v>
      </x:c>
      <x:c r="T4595" s="18" t="n">
        <x:v>663</x:v>
      </x:c>
      <x:c r="U4595" s="18" t="n">
        <x:v>593.5166631687564</x:v>
      </x:c>
      <x:c r="V4595" s="20" t="n">
        <x:v>12</x:v>
      </x:c>
      <x:c r="W4595" s="20" t="n">
        <x:v>5</x:v>
      </x:c>
      <x:c r="X4595" s="20" t="n">
        <x:v>3</x:v>
      </x:c>
      <x:c r="Y4595" t="str">
        <x:v>Basis arsip 2025/2024</x:v>
      </x:c>
      <x:c r="Z4595" t="str">
        <x:v>https://snpmb.id/utbk-snbt/daya-tampung-snbt</x:v>
      </x:c>
      <x:c r="AA4595" t="str">
        <x:v>Tidak Ada</x:v>
      </x:c>
      <x:c r="AB4595" t="str">
        <x:v>Campus=55; Ratio=34.0; Prodi=60; RelDemand=74.8; Capacity=43.3</x:v>
      </x:c>
    </x:row>
    <x:row r="4596">
      <x:c r="A4596" t="n">
        <x:v>4593</x:v>
      </x:c>
      <x:c r="B4596" t="str">
        <x:v>PTN Vokasi</x:v>
      </x:c>
      <x:c r="C4596" t="str">
        <x:v>POLITEKNIK NEGERI BALI</x:v>
      </x:c>
      <x:c r="D4596" t="str">
        <x:v>TEKNIK LISTRIK</x:v>
      </x:c>
      <x:c r="E4596" t="str">
        <x:v>Diploma Tiga</x:v>
      </x:c>
      <x:c r="F4596" s="18" t="n">
        <x:v>68</x:v>
      </x:c>
      <x:c r="G4596" s="18" t="n">
        <x:v>109</x:v>
      </x:c>
      <x:c r="H4596" s="19" t="n">
        <x:v>1.6029411764705883</x:v>
      </x:c>
      <x:c r="I4596" s="18" t="n">
        <x:f>ROUND(MIN(Model_Config_v3!$B$6,MAX(Q4596,R4596,S4596*Model_Config_v3!$B$4+T4596*Model_Config_v3!$B$5)),0)</x:f>
        <x:v>614</x:v>
      </x:c>
      <x:c r="J4596" s="18" t="n">
        <x:f>MIN(Model_Config_v3!$B$6,I4596+Model_Config_v3!$B$7)</x:f>
        <x:v>634</x:v>
      </x:c>
      <x:c r="K4596" s="20" t="n">
        <x:v>41.8</x:v>
      </x:c>
      <x:c r="L4596" t="str">
        <x:v>RELATIF LONGGAR</x:v>
      </x:c>
      <x:c r="M4596" t="str">
        <x:v>SEDANG+</x:v>
      </x:c>
      <x:c r="N4596" t="str">
        <x:v>REGULER</x:v>
      </x:c>
      <x:c r="O4596" t="str">
        <x:v>SAINTEK</x:v>
      </x:c>
      <x:c r="P4596" t="str">
        <x:v>TEKNIK/ARSITEKTUR/STATISTIKA/AKTUARIA</x:v>
      </x:c>
      <x:c r="Q4596" s="18" t="n">
        <x:v>0</x:v>
      </x:c>
      <x:c r="R4596" s="18" t="n">
        <x:v>0</x:v>
      </x:c>
      <x:c r="S4596" s="18" t="n">
        <x:v>542.5409343757826</x:v>
      </x:c>
      <x:c r="T4596" s="18" t="n">
        <x:v>644</x:v>
      </x:c>
      <x:c r="U4596" s="18" t="n">
        <x:v>552.5409343757826</x:v>
      </x:c>
      <x:c r="V4596" s="20" t="n">
        <x:v>12</x:v>
      </x:c>
      <x:c r="W4596" s="20" t="n">
        <x:v>5</x:v>
      </x:c>
      <x:c r="X4596" s="20" t="n">
        <x:v>3</x:v>
      </x:c>
      <x:c r="Y4596" t="str">
        <x:v>Basis arsip 2025/2024</x:v>
      </x:c>
      <x:c r="Z4596" t="str">
        <x:v>https://snpmb.id/utbk-snbt/daya-tampung-snbt</x:v>
      </x:c>
      <x:c r="AA4596" t="str">
        <x:v>Tidak Ada</x:v>
      </x:c>
      <x:c r="AB4596" t="str">
        <x:v>Campus=55; Ratio=12.1; Prodi=60; RelDemand=31.7; Capacity=43.3</x:v>
      </x:c>
    </x:row>
    <x:row r="4597">
      <x:c r="A4597" t="n">
        <x:v>4594</x:v>
      </x:c>
      <x:c r="B4597" t="str">
        <x:v>PTN Vokasi</x:v>
      </x:c>
      <x:c r="C4597" t="str">
        <x:v>POLITEKNIK NEGERI BALI</x:v>
      </x:c>
      <x:c r="D4597" t="str">
        <x:v>PERHOTELAN (KAMPUS KAB. KARANGASEM)</x:v>
      </x:c>
      <x:c r="E4597" t="str">
        <x:v>Diploma Tiga</x:v>
      </x:c>
      <x:c r="F4597" s="18" t="n">
        <x:v>27</x:v>
      </x:c>
      <x:c r="G4597" s="18" t="n">
        <x:v>27</x:v>
      </x:c>
      <x:c r="H4597" s="19" t="n">
        <x:v>1</x:v>
      </x:c>
      <x:c r="I4597" s="18" t="n">
        <x:f>ROUND(MIN(Model_Config_v3!$B$6,MAX(Q4597,R4597,S4597*Model_Config_v3!$B$4+T4597*Model_Config_v3!$B$5)),0)</x:f>
        <x:v>600</x:v>
      </x:c>
      <x:c r="J4597" s="18" t="n">
        <x:f>MIN(Model_Config_v3!$B$6,I4597+Model_Config_v3!$B$7)</x:f>
        <x:v>620</x:v>
      </x:c>
      <x:c r="K4597" s="20" t="n">
        <x:v>37</x:v>
      </x:c>
      <x:c r="L4597" t="str">
        <x:v>RELATIF LONGGAR</x:v>
      </x:c>
      <x:c r="M4597" t="str">
        <x:v>SEDANG</x:v>
      </x:c>
      <x:c r="N4597" t="str">
        <x:v>REGULER</x:v>
      </x:c>
      <x:c r="O4597" t="str">
        <x:v>CAMPURAN</x:v>
      </x:c>
      <x:c r="P4597" t="str">
        <x:v>UMUM</x:v>
      </x:c>
      <x:c r="Q4597" s="18" t="n">
        <x:v>0</x:v>
      </x:c>
      <x:c r="R4597" s="18" t="n">
        <x:v>0</x:v>
      </x:c>
      <x:c r="S4597" s="18" t="n">
        <x:v>520</x:v>
      </x:c>
      <x:c r="T4597" s="18" t="n">
        <x:v>634</x:v>
      </x:c>
      <x:c r="U4597" s="18" t="n">
        <x:v>520</x:v>
      </x:c>
      <x:c r="V4597" s="20" t="n">
        <x:v>8.8</x:v>
      </x:c>
      <x:c r="W4597" s="20" t="n">
        <x:v>9.9</x:v>
      </x:c>
      <x:c r="X4597" s="20" t="n">
        <x:v>3.3</x:v>
      </x:c>
      <x:c r="Y4597" t="str">
        <x:v>Basis arsip 2025/2024</x:v>
      </x:c>
      <x:c r="Z4597" t="str">
        <x:v>https://snpmb.id/utbk-snbt/daya-tampung-snbt</x:v>
      </x:c>
      <x:c r="AA4597" t="str">
        <x:v>Tidak Ada</x:v>
      </x:c>
      <x:c r="AB4597" t="str">
        <x:v>Campus=55; Ratio=0.0; Prodi=40; RelDemand=19.8; Capacity=77.5</x:v>
      </x:c>
    </x:row>
    <x:row r="4598">
      <x:c r="A4598" t="n">
        <x:v>4595</x:v>
      </x:c>
      <x:c r="B4598" t="str">
        <x:v>PTN Vokasi</x:v>
      </x:c>
      <x:c r="C4598" t="str">
        <x:v>POLITEKNIK NEGERI BALI</x:v>
      </x:c>
      <x:c r="D4598" t="str">
        <x:v>PERHOTELAN (KAMPUS KAB. JEMBRANA)</x:v>
      </x:c>
      <x:c r="E4598" t="str">
        <x:v>Diploma Tiga</x:v>
      </x:c>
      <x:c r="F4598" s="18" t="n">
        <x:v>27</x:v>
      </x:c>
      <x:c r="G4598" s="18" t="n">
        <x:v>32</x:v>
      </x:c>
      <x:c r="H4598" s="19" t="n">
        <x:v>1.1851851851851851</x:v>
      </x:c>
      <x:c r="I4598" s="18" t="n">
        <x:f>ROUND(MIN(Model_Config_v3!$B$6,MAX(Q4598,R4598,S4598*Model_Config_v3!$B$4+T4598*Model_Config_v3!$B$5)),0)</x:f>
        <x:v>604</x:v>
      </x:c>
      <x:c r="J4598" s="18" t="n">
        <x:f>MIN(Model_Config_v3!$B$6,I4598+Model_Config_v3!$B$7)</x:f>
        <x:v>624</x:v>
      </x:c>
      <x:c r="K4598" s="20" t="n">
        <x:v>38.4</x:v>
      </x:c>
      <x:c r="L4598" t="str">
        <x:v>RELATIF LONGGAR</x:v>
      </x:c>
      <x:c r="M4598" t="str">
        <x:v>SEDANG</x:v>
      </x:c>
      <x:c r="N4598" t="str">
        <x:v>REGULER</x:v>
      </x:c>
      <x:c r="O4598" t="str">
        <x:v>CAMPURAN</x:v>
      </x:c>
      <x:c r="P4598" t="str">
        <x:v>UMUM</x:v>
      </x:c>
      <x:c r="Q4598" s="18" t="n">
        <x:v>0</x:v>
      </x:c>
      <x:c r="R4598" s="18" t="n">
        <x:v>0</x:v>
      </x:c>
      <x:c r="S4598" s="18" t="n">
        <x:v>528.116483557701</x:v>
      </x:c>
      <x:c r="T4598" s="18" t="n">
        <x:v>637</x:v>
      </x:c>
      <x:c r="U4598" s="18" t="n">
        <x:v>528.116483557701</x:v>
      </x:c>
      <x:c r="V4598" s="20" t="n">
        <x:v>8.8</x:v>
      </x:c>
      <x:c r="W4598" s="20" t="n">
        <x:v>9.9</x:v>
      </x:c>
      <x:c r="X4598" s="20" t="n">
        <x:v>3.3</x:v>
      </x:c>
      <x:c r="Y4598" t="str">
        <x:v>Basis arsip 2025/2024</x:v>
      </x:c>
      <x:c r="Z4598" t="str">
        <x:v>https://snpmb.id/utbk-snbt/daya-tampung-snbt</x:v>
      </x:c>
      <x:c r="AA4598" t="str">
        <x:v>Tidak Ada</x:v>
      </x:c>
      <x:c r="AB4598" t="str">
        <x:v>Campus=55; Ratio=4.3; Prodi=40; RelDemand=23.5; Capacity=77.5</x:v>
      </x:c>
    </x:row>
    <x:row r="4599">
      <x:c r="A4599" t="n">
        <x:v>4596</x:v>
      </x:c>
      <x:c r="B4599" t="str">
        <x:v>PTN Vokasi</x:v>
      </x:c>
      <x:c r="C4599" t="str">
        <x:v>POLITEKNIK NEGERI BALI</x:v>
      </x:c>
      <x:c r="D4599" t="str">
        <x:v>USAHA PERJALANAN WISATA</x:v>
      </x:c>
      <x:c r="E4599" t="str">
        <x:v>Diploma Tiga</x:v>
      </x:c>
      <x:c r="F4599" s="18" t="n">
        <x:v>41</x:v>
      </x:c>
      <x:c r="G4599" s="18" t="n">
        <x:v>228</x:v>
      </x:c>
      <x:c r="H4599" s="19" t="n">
        <x:v>5.560975609756097</x:v>
      </x:c>
      <x:c r="I4599" s="18" t="n">
        <x:f>ROUND(MIN(Model_Config_v3!$B$6,MAX(Q4599,R4599,S4599*Model_Config_v3!$B$4+T4599*Model_Config_v3!$B$5)),0)</x:f>
        <x:v>650</x:v>
      </x:c>
      <x:c r="J4599" s="18" t="n">
        <x:f>MIN(Model_Config_v3!$B$6,I4599+Model_Config_v3!$B$7)</x:f>
        <x:v>670</x:v>
      </x:c>
      <x:c r="K4599" s="20" t="n">
        <x:v>54.8</x:v>
      </x:c>
      <x:c r="L4599" t="str">
        <x:v>MENENGAH</x:v>
      </x:c>
      <x:c r="M4599" t="str">
        <x:v>SEDANG</x:v>
      </x:c>
      <x:c r="N4599" t="str">
        <x:v>REGULER</x:v>
      </x:c>
      <x:c r="O4599" t="str">
        <x:v>CAMPURAN</x:v>
      </x:c>
      <x:c r="P4599" t="str">
        <x:v>UMUM</x:v>
      </x:c>
      <x:c r="Q4599" s="18" t="n">
        <x:v>0</x:v>
      </x:c>
      <x:c r="R4599" s="18" t="n">
        <x:v>0</x:v>
      </x:c>
      <x:c r="S4599" s="18" t="n">
        <x:v>601.966608930879</x:v>
      </x:c>
      <x:c r="T4599" s="18" t="n">
        <x:v>670</x:v>
      </x:c>
      <x:c r="U4599" s="18" t="n">
        <x:v>601.966608930879</x:v>
      </x:c>
      <x:c r="V4599" s="20" t="n">
        <x:v>8.8</x:v>
      </x:c>
      <x:c r="W4599" s="20" t="n">
        <x:v>9.9</x:v>
      </x:c>
      <x:c r="X4599" s="20" t="n">
        <x:v>3.3</x:v>
      </x:c>
      <x:c r="Y4599" t="str">
        <x:v>Basis arsip 2025/2024</x:v>
      </x:c>
      <x:c r="Z4599" t="str">
        <x:v>https://snpmb.id/utbk-snbt/daya-tampung-snbt</x:v>
      </x:c>
      <x:c r="AA4599" t="str">
        <x:v>Tidak Ada</x:v>
      </x:c>
      <x:c r="AB4599" t="str">
        <x:v>Campus=55; Ratio=43.9; Prodi=40; RelDemand=100.0; Capacity=65.8</x:v>
      </x:c>
    </x:row>
    <x:row r="4600">
      <x:c r="A4600" t="n">
        <x:v>4597</x:v>
      </x:c>
      <x:c r="B4600" t="str">
        <x:v>PTN Vokasi</x:v>
      </x:c>
      <x:c r="C4600" t="str">
        <x:v>POLITEKNIK NEGERI BALI</x:v>
      </x:c>
      <x:c r="D4600" t="str">
        <x:v>TEKNIK MESIN</x:v>
      </x:c>
      <x:c r="E4600" t="str">
        <x:v>Diploma Tiga</x:v>
      </x:c>
      <x:c r="F4600" s="18" t="n">
        <x:v>68</x:v>
      </x:c>
      <x:c r="G4600" s="18" t="n">
        <x:v>161</x:v>
      </x:c>
      <x:c r="H4600" s="19" t="n">
        <x:v>2.3676470588235294</x:v>
      </x:c>
      <x:c r="I4600" s="18" t="n">
        <x:f>ROUND(MIN(Model_Config_v3!$B$6,MAX(Q4600,R4600,S4600*Model_Config_v3!$B$4+T4600*Model_Config_v3!$B$5)),0)</x:f>
        <x:v>625</x:v>
      </x:c>
      <x:c r="J4600" s="18" t="n">
        <x:f>MIN(Model_Config_v3!$B$6,I4600+Model_Config_v3!$B$7)</x:f>
        <x:v>645</x:v>
      </x:c>
      <x:c r="K4600" s="20" t="n">
        <x:v>45.8</x:v>
      </x:c>
      <x:c r="L4600" t="str">
        <x:v>MENENGAH</x:v>
      </x:c>
      <x:c r="M4600" t="str">
        <x:v>SEDANG+</x:v>
      </x:c>
      <x:c r="N4600" t="str">
        <x:v>REGULER</x:v>
      </x:c>
      <x:c r="O4600" t="str">
        <x:v>SAINTEK</x:v>
      </x:c>
      <x:c r="P4600" t="str">
        <x:v>TEKNIK/ARSITEKTUR/STATISTIKA/AKTUARIA</x:v>
      </x:c>
      <x:c r="Q4600" s="18" t="n">
        <x:v>0</x:v>
      </x:c>
      <x:c r="R4600" s="18" t="n">
        <x:v>0</x:v>
      </x:c>
      <x:c r="S4600" s="18" t="n">
        <x:v>561.1748659658175</x:v>
      </x:c>
      <x:c r="T4600" s="18" t="n">
        <x:v>652</x:v>
      </x:c>
      <x:c r="U4600" s="18" t="n">
        <x:v>571.1748659658175</x:v>
      </x:c>
      <x:c r="V4600" s="20" t="n">
        <x:v>12</x:v>
      </x:c>
      <x:c r="W4600" s="20" t="n">
        <x:v>5</x:v>
      </x:c>
      <x:c r="X4600" s="20" t="n">
        <x:v>3</x:v>
      </x:c>
      <x:c r="Y4600" t="str">
        <x:v>Basis arsip 2025/2024</x:v>
      </x:c>
      <x:c r="Z4600" t="str">
        <x:v>https://snpmb.id/utbk-snbt/daya-tampung-snbt</x:v>
      </x:c>
      <x:c r="AA4600" t="str">
        <x:v>Tidak Ada</x:v>
      </x:c>
      <x:c r="AB4600" t="str">
        <x:v>Campus=55; Ratio=22.0; Prodi=60; RelDemand=46.9; Capacity=43.3</x:v>
      </x:c>
    </x:row>
    <x:row r="4601">
      <x:c r="A4601" t="n">
        <x:v>4598</x:v>
      </x:c>
      <x:c r="B4601" t="str">
        <x:v>PTN Vokasi</x:v>
      </x:c>
      <x:c r="C4601" t="str">
        <x:v>POLITEKNIK NEGERI BALI</x:v>
      </x:c>
      <x:c r="D4601" t="str">
        <x:v>PERHOTELAN (KAMPUS KAB. LOMBOK BARAT)</x:v>
      </x:c>
      <x:c r="E4601" t="str">
        <x:v>Diploma Tiga</x:v>
      </x:c>
      <x:c r="F4601" s="18" t="n">
        <x:v>27</x:v>
      </x:c>
      <x:c r="G4601" s="18" t="n">
        <x:v>19</x:v>
      </x:c>
      <x:c r="H4601" s="19" t="n">
        <x:v>0.7037037037037037</x:v>
      </x:c>
      <x:c r="I4601" s="18" t="n">
        <x:f>ROUND(MIN(Model_Config_v3!$B$6,MAX(Q4601,R4601,S4601*Model_Config_v3!$B$4+T4601*Model_Config_v3!$B$5)),0)</x:f>
        <x:v>599</x:v>
      </x:c>
      <x:c r="J4601" s="18" t="n">
        <x:f>MIN(Model_Config_v3!$B$6,I4601+Model_Config_v3!$B$7)</x:f>
        <x:v>619</x:v>
      </x:c>
      <x:c r="K4601" s="20" t="n">
        <x:v>36.4</x:v>
      </x:c>
      <x:c r="L4601" t="str">
        <x:v>RELATIF LONGGAR</x:v>
      </x:c>
      <x:c r="M4601" t="str">
        <x:v>SEDANG</x:v>
      </x:c>
      <x:c r="N4601" t="str">
        <x:v>REGULER</x:v>
      </x:c>
      <x:c r="O4601" t="str">
        <x:v>CAMPURAN</x:v>
      </x:c>
      <x:c r="P4601" t="str">
        <x:v>UMUM</x:v>
      </x:c>
      <x:c r="Q4601" s="18" t="n">
        <x:v>0</x:v>
      </x:c>
      <x:c r="R4601" s="18" t="n">
        <x:v>0</x:v>
      </x:c>
      <x:c r="S4601" s="18" t="n">
        <x:v>520</x:v>
      </x:c>
      <x:c r="T4601" s="18" t="n">
        <x:v>633</x:v>
      </x:c>
      <x:c r="U4601" s="18" t="n">
        <x:v>520</x:v>
      </x:c>
      <x:c r="V4601" s="20" t="n">
        <x:v>8.8</x:v>
      </x:c>
      <x:c r="W4601" s="20" t="n">
        <x:v>9.9</x:v>
      </x:c>
      <x:c r="X4601" s="20" t="n">
        <x:v>3.3</x:v>
      </x:c>
      <x:c r="Y4601" t="str">
        <x:v>Basis arsip 2025/2024</x:v>
      </x:c>
      <x:c r="Z4601" t="str">
        <x:v>https://snpmb.id/utbk-snbt/daya-tampung-snbt</x:v>
      </x:c>
      <x:c r="AA4601" t="str">
        <x:v>Tidak Ada</x:v>
      </x:c>
      <x:c r="AB4601" t="str">
        <x:v>Campus=55; Ratio=0.0; Prodi=40; RelDemand=13.9; Capacity=77.5</x:v>
      </x:c>
    </x:row>
    <x:row r="4602">
      <x:c r="A4602" t="n">
        <x:v>4599</x:v>
      </x:c>
      <x:c r="B4602" t="str">
        <x:v>PTN Vokasi</x:v>
      </x:c>
      <x:c r="C4602" t="str">
        <x:v>POLITEKNIK NEGERI BALI</x:v>
      </x:c>
      <x:c r="D4602" t="str">
        <x:v>TEKNIK PENDINGIN DAN TATA UDARA</x:v>
      </x:c>
      <x:c r="E4602" t="str">
        <x:v>Diploma Tiga</x:v>
      </x:c>
      <x:c r="F4602" s="18" t="n">
        <x:v>41</x:v>
      </x:c>
      <x:c r="G4602" s="18" t="n">
        <x:v>30</x:v>
      </x:c>
      <x:c r="H4602" s="19" t="n">
        <x:v>0.7317073170731707</x:v>
      </x:c>
      <x:c r="I4602" s="18" t="n">
        <x:f>ROUND(MIN(Model_Config_v3!$B$6,MAX(Q4602,R4602,S4602*Model_Config_v3!$B$4+T4602*Model_Config_v3!$B$5)),0)</x:f>
        <x:v>603</x:v>
      </x:c>
      <x:c r="J4602" s="18" t="n">
        <x:f>MIN(Model_Config_v3!$B$6,I4602+Model_Config_v3!$B$7)</x:f>
        <x:v>623</x:v>
      </x:c>
      <x:c r="K4602" s="20" t="n">
        <x:v>39.3</x:v>
      </x:c>
      <x:c r="L4602" t="str">
        <x:v>RELATIF LONGGAR</x:v>
      </x:c>
      <x:c r="M4602" t="str">
        <x:v>SEDANG+</x:v>
      </x:c>
      <x:c r="N4602" t="str">
        <x:v>REGULER</x:v>
      </x:c>
      <x:c r="O4602" t="str">
        <x:v>SAINTEK</x:v>
      </x:c>
      <x:c r="P4602" t="str">
        <x:v>TEKNIK/ARSITEKTUR/STATISTIKA/AKTUARIA</x:v>
      </x:c>
      <x:c r="Q4602" s="18" t="n">
        <x:v>0</x:v>
      </x:c>
      <x:c r="R4602" s="18" t="n">
        <x:v>0</x:v>
      </x:c>
      <x:c r="S4602" s="18" t="n">
        <x:v>520</x:v>
      </x:c>
      <x:c r="T4602" s="18" t="n">
        <x:v>639</x:v>
      </x:c>
      <x:c r="U4602" s="18" t="n">
        <x:v>530</x:v>
      </x:c>
      <x:c r="V4602" s="20" t="n">
        <x:v>12</x:v>
      </x:c>
      <x:c r="W4602" s="20" t="n">
        <x:v>5</x:v>
      </x:c>
      <x:c r="X4602" s="20" t="n">
        <x:v>3</x:v>
      </x:c>
      <x:c r="Y4602" t="str">
        <x:v>Basis arsip 2025/2024</x:v>
      </x:c>
      <x:c r="Z4602" t="str">
        <x:v>https://snpmb.id/utbk-snbt/daya-tampung-snbt</x:v>
      </x:c>
      <x:c r="AA4602" t="str">
        <x:v>Tidak Ada</x:v>
      </x:c>
      <x:c r="AB4602" t="str">
        <x:v>Campus=55; Ratio=0.0; Prodi=60; RelDemand=14.5; Capacity=65.8</x:v>
      </x:c>
    </x:row>
    <x:row r="4603">
      <x:c r="A4603" t="n">
        <x:v>4600</x:v>
      </x:c>
      <x:c r="B4603" t="str">
        <x:v>PTN Vokasi</x:v>
      </x:c>
      <x:c r="C4603" t="str">
        <x:v>POLITEKNIK NEGERI BALI</x:v>
      </x:c>
      <x:c r="D4603" t="str">
        <x:v>MANAJEMEN INFORMATIKA</x:v>
      </x:c>
      <x:c r="E4603" t="str">
        <x:v>Diploma Tiga</x:v>
      </x:c>
      <x:c r="F4603" s="18" t="n">
        <x:v>54</x:v>
      </x:c>
      <x:c r="G4603" s="18" t="n">
        <x:v>226</x:v>
      </x:c>
      <x:c r="H4603" s="19" t="n">
        <x:v>4.185185185185185</x:v>
      </x:c>
      <x:c r="I4603" s="18" t="n">
        <x:f>ROUND(MIN(Model_Config_v3!$B$6,MAX(Q4603,R4603,S4603*Model_Config_v3!$B$4+T4603*Model_Config_v3!$B$5)),0)</x:f>
        <x:v>651</x:v>
      </x:c>
      <x:c r="J4603" s="18" t="n">
        <x:f>MIN(Model_Config_v3!$B$6,I4603+Model_Config_v3!$B$7)</x:f>
        <x:v>671</x:v>
      </x:c>
      <x:c r="K4603" s="20" t="n">
        <x:v>59.2</x:v>
      </x:c>
      <x:c r="L4603" t="str">
        <x:v>KETAT</x:v>
      </x:c>
      <x:c r="M4603" t="str">
        <x:v>SEDANG+</x:v>
      </x:c>
      <x:c r="N4603" t="str">
        <x:v>REGULER</x:v>
      </x:c>
      <x:c r="O4603" t="str">
        <x:v>SAINTEK</x:v>
      </x:c>
      <x:c r="P4603" t="str">
        <x:v>KOMPUTER/INFORMATIKA</x:v>
      </x:c>
      <x:c r="Q4603" s="18" t="n">
        <x:v>0</x:v>
      </x:c>
      <x:c r="R4603" s="18" t="n">
        <x:v>0</x:v>
      </x:c>
      <x:c r="S4603" s="18" t="n">
        <x:v>588.3886147256876</x:v>
      </x:c>
      <x:c r="T4603" s="18" t="n">
        <x:v>678</x:v>
      </x:c>
      <x:c r="U4603" s="18" t="n">
        <x:v>613.3886147256876</x:v>
      </x:c>
      <x:c r="V4603" s="20" t="n">
        <x:v>12</x:v>
      </x:c>
      <x:c r="W4603" s="20" t="n">
        <x:v>5</x:v>
      </x:c>
      <x:c r="X4603" s="20" t="n">
        <x:v>3</x:v>
      </x:c>
      <x:c r="Y4603" t="str">
        <x:v>Basis arsip 2025/2024</x:v>
      </x:c>
      <x:c r="Z4603" t="str">
        <x:v>https://snpmb.id/utbk-snbt/daya-tampung-snbt</x:v>
      </x:c>
      <x:c r="AA4603" t="str">
        <x:v>Tidak Ada</x:v>
      </x:c>
      <x:c r="AB4603" t="str">
        <x:v>Campus=55; Ratio=36.6; Prodi=85; RelDemand=82.9; Capacity=55.0</x:v>
      </x:c>
    </x:row>
    <x:row r="4604">
      <x:c r="A4604" t="n">
        <x:v>4601</x:v>
      </x:c>
      <x:c r="B4604" t="str">
        <x:v>PTN Vokasi</x:v>
      </x:c>
      <x:c r="C4604" t="str">
        <x:v>POLITEKNIK NEGERI BALI</x:v>
      </x:c>
      <x:c r="D4604" t="str">
        <x:v>PERHOTELAN</x:v>
      </x:c>
      <x:c r="E4604" t="str">
        <x:v>Diploma Tiga</x:v>
      </x:c>
      <x:c r="F4604" s="18" t="n">
        <x:v>162</x:v>
      </x:c>
      <x:c r="G4604" s="18" t="n">
        <x:v>570</x:v>
      </x:c>
      <x:c r="H4604" s="19" t="n">
        <x:v>3.5185185185185186</x:v>
      </x:c>
      <x:c r="I4604" s="18" t="n">
        <x:f>ROUND(MIN(Model_Config_v3!$B$6,MAX(Q4604,R4604,S4604*Model_Config_v3!$B$4+T4604*Model_Config_v3!$B$5)),0)</x:f>
        <x:v>626</x:v>
      </x:c>
      <x:c r="J4604" s="18" t="n">
        <x:f>MIN(Model_Config_v3!$B$6,I4604+Model_Config_v3!$B$7)</x:f>
        <x:v>646</x:v>
      </x:c>
      <x:c r="K4604" s="20" t="n">
        <x:v>42.3</x:v>
      </x:c>
      <x:c r="L4604" t="str">
        <x:v>RELATIF LONGGAR</x:v>
      </x:c>
      <x:c r="M4604" t="str">
        <x:v>SEDANG</x:v>
      </x:c>
      <x:c r="N4604" t="str">
        <x:v>REGULER</x:v>
      </x:c>
      <x:c r="O4604" t="str">
        <x:v>CAMPURAN</x:v>
      </x:c>
      <x:c r="P4604" t="str">
        <x:v>UMUM</x:v>
      </x:c>
      <x:c r="Q4604" s="18" t="n">
        <x:v>0</x:v>
      </x:c>
      <x:c r="R4604" s="18" t="n">
        <x:v>0</x:v>
      </x:c>
      <x:c r="S4604" s="18" t="n">
        <x:v>580.0995825242846</x:v>
      </x:c>
      <x:c r="T4604" s="18" t="n">
        <x:v>645</x:v>
      </x:c>
      <x:c r="U4604" s="18" t="n">
        <x:v>580.0995825242846</x:v>
      </x:c>
      <x:c r="V4604" s="20" t="n">
        <x:v>8.8</x:v>
      </x:c>
      <x:c r="W4604" s="20" t="n">
        <x:v>9.9</x:v>
      </x:c>
      <x:c r="X4604" s="20" t="n">
        <x:v>3.3</x:v>
      </x:c>
      <x:c r="Y4604" t="str">
        <x:v>Basis arsip 2025/2024</x:v>
      </x:c>
      <x:c r="Z4604" t="str">
        <x:v>https://snpmb.id/utbk-snbt/daya-tampung-snbt</x:v>
      </x:c>
      <x:c r="AA4604" t="str">
        <x:v>Tidak Ada</x:v>
      </x:c>
      <x:c r="AB4604" t="str">
        <x:v>Campus=55; Ratio=32.2; Prodi=40; RelDemand=69.7; Capacity=0.0</x:v>
      </x:c>
    </x:row>
    <x:row r="4605">
      <x:c r="A4605" t="n">
        <x:v>4602</x:v>
      </x:c>
      <x:c r="B4605" t="str">
        <x:v>PTN Vokasi</x:v>
      </x:c>
      <x:c r="C4605" t="str">
        <x:v>POLITEKNIK NEGERI BALI</x:v>
      </x:c>
      <x:c r="D4605" t="str">
        <x:v>ADMINISTRASI BISNIS (KAMPUS KAB. KARANGASEM)</x:v>
      </x:c>
      <x:c r="E4605" t="str">
        <x:v>Diploma Tiga</x:v>
      </x:c>
      <x:c r="F4605" s="18" t="n">
        <x:v>27</x:v>
      </x:c>
      <x:c r="G4605" s="18" t="n">
        <x:v>17</x:v>
      </x:c>
      <x:c r="H4605" s="19" t="n">
        <x:v>0.6296296296296297</x:v>
      </x:c>
      <x:c r="I4605" s="18" t="n">
        <x:f>ROUND(MIN(Model_Config_v3!$B$6,MAX(Q4605,R4605,S4605*Model_Config_v3!$B$4+T4605*Model_Config_v3!$B$5)),0)</x:f>
        <x:v>605</x:v>
      </x:c>
      <x:c r="J4605" s="18" t="n">
        <x:f>MIN(Model_Config_v3!$B$6,I4605+Model_Config_v3!$B$7)</x:f>
        <x:v>625</x:v>
      </x:c>
      <x:c r="K4605" s="20" t="n">
        <x:v>41.2</x:v>
      </x:c>
      <x:c r="L4605" t="str">
        <x:v>RELATIF LONGGAR</x:v>
      </x:c>
      <x:c r="M4605" t="str">
        <x:v>SEDANG+</x:v>
      </x:c>
      <x:c r="N4605" t="str">
        <x:v>REGULER</x:v>
      </x:c>
      <x:c r="O4605" t="str">
        <x:v>SOSHUM</x:v>
      </x:c>
      <x:c r="P4605" t="str">
        <x:v>BISNIS/EKONOMI/AKUNTANSI</x:v>
      </x:c>
      <x:c r="Q4605" s="18" t="n">
        <x:v>0</x:v>
      </x:c>
      <x:c r="R4605" s="18" t="n">
        <x:v>0</x:v>
      </x:c>
      <x:c r="S4605" s="18" t="n">
        <x:v>520</x:v>
      </x:c>
      <x:c r="T4605" s="18" t="n">
        <x:v>642</x:v>
      </x:c>
      <x:c r="U4605" s="18" t="n">
        <x:v>535</x:v>
      </x:c>
      <x:c r="V4605" s="20" t="n">
        <x:v>4.4</x:v>
      </x:c>
      <x:c r="W4605" s="20" t="n">
        <x:v>14.3</x:v>
      </x:c>
      <x:c r="X4605" s="20" t="n">
        <x:v>3.3</x:v>
      </x:c>
      <x:c r="Y4605" t="str">
        <x:v>Basis arsip 2025/2024</x:v>
      </x:c>
      <x:c r="Z4605" t="str">
        <x:v>https://snpmb.id/utbk-snbt/daya-tampung-snbt</x:v>
      </x:c>
      <x:c r="AA4605" t="str">
        <x:v>Tidak Ada</x:v>
      </x:c>
      <x:c r="AB4605" t="str">
        <x:v>Campus=55; Ratio=0.0; Prodi=65; RelDemand=12.5; Capacity=77.5</x:v>
      </x:c>
    </x:row>
    <x:row r="4606">
      <x:c r="A4606" t="n">
        <x:v>4603</x:v>
      </x:c>
      <x:c r="B4606" t="str">
        <x:v>PTN Vokasi</x:v>
      </x:c>
      <x:c r="C4606" t="str">
        <x:v>POLITEKNIK NEGERI KUPANG</x:v>
      </x:c>
      <x:c r="D4606" t="str">
        <x:v>PERANCANGAN JALAN DAN JEMBATAN</x:v>
      </x:c>
      <x:c r="E4606" t="str">
        <x:v>Sarjana Terapan</x:v>
      </x:c>
      <x:c r="F4606" s="18" t="n">
        <x:v>52</x:v>
      </x:c>
      <x:c r="G4606" s="18" t="n">
        <x:v>281</x:v>
      </x:c>
      <x:c r="H4606" s="19" t="n">
        <x:v>5.403846153846154</x:v>
      </x:c>
      <x:c r="I4606" s="18" t="n">
        <x:f>ROUND(MIN(Model_Config_v3!$B$6,MAX(Q4606,R4606,S4606*Model_Config_v3!$B$4+T4606*Model_Config_v3!$B$5)),0)</x:f>
        <x:v>642</x:v>
      </x:c>
      <x:c r="J4606" s="18" t="n">
        <x:f>MIN(Model_Config_v3!$B$6,I4606+Model_Config_v3!$B$7)</x:f>
        <x:v>662</x:v>
      </x:c>
      <x:c r="K4606" s="20" t="n">
        <x:v>50</x:v>
      </x:c>
      <x:c r="L4606" t="str">
        <x:v>MENENGAH</x:v>
      </x:c>
      <x:c r="M4606" t="str">
        <x:v>SEDANG</x:v>
      </x:c>
      <x:c r="N4606" t="str">
        <x:v>REGULER</x:v>
      </x:c>
      <x:c r="O4606" t="str">
        <x:v>CAMPURAN</x:v>
      </x:c>
      <x:c r="P4606" t="str">
        <x:v>UMUM</x:v>
      </x:c>
      <x:c r="Q4606" s="18" t="n">
        <x:v>0</x:v>
      </x:c>
      <x:c r="R4606" s="18" t="n">
        <x:v>0</x:v>
      </x:c>
      <x:c r="S4606" s="18" t="n">
        <x:v>600.5973273897309</x:v>
      </x:c>
      <x:c r="T4606" s="18" t="n">
        <x:v>660</x:v>
      </x:c>
      <x:c r="U4606" s="18" t="n">
        <x:v>600.5973273897309</x:v>
      </x:c>
      <x:c r="V4606" s="20" t="n">
        <x:v>8.8</x:v>
      </x:c>
      <x:c r="W4606" s="20" t="n">
        <x:v>9.9</x:v>
      </x:c>
      <x:c r="X4606" s="20" t="n">
        <x:v>3.3</x:v>
      </x:c>
      <x:c r="Y4606" t="str">
        <x:v>Basis arsip 2025/2024</x:v>
      </x:c>
      <x:c r="Z4606" t="str">
        <x:v>https://snpmb.id/utbk-snbt/daya-tampung-snbt</x:v>
      </x:c>
      <x:c r="AA4606" t="str">
        <x:v>Tidak Ada</x:v>
      </x:c>
      <x:c r="AB4606" t="str">
        <x:v>Campus=55; Ratio=43.1; Prodi=40; RelDemand=63.0; Capacity=56.7</x:v>
      </x:c>
    </x:row>
    <x:row r="4607">
      <x:c r="A4607" t="n">
        <x:v>4604</x:v>
      </x:c>
      <x:c r="B4607" t="str">
        <x:v>PTN Vokasi</x:v>
      </x:c>
      <x:c r="C4607" t="str">
        <x:v>POLITEKNIK NEGERI KUPANG</x:v>
      </x:c>
      <x:c r="D4607" t="str">
        <x:v>TEKNIK PERANCANGAN IRIGASI DAN PENANGANAN PANTAI</x:v>
      </x:c>
      <x:c r="E4607" t="str">
        <x:v>Sarjana Terapan</x:v>
      </x:c>
      <x:c r="F4607" s="18" t="n">
        <x:v>52</x:v>
      </x:c>
      <x:c r="G4607" s="18" t="n">
        <x:v>68</x:v>
      </x:c>
      <x:c r="H4607" s="19" t="n">
        <x:v>1.3076923076923077</x:v>
      </x:c>
      <x:c r="I4607" s="18" t="n">
        <x:f>ROUND(MIN(Model_Config_v3!$B$6,MAX(Q4607,R4607,S4607*Model_Config_v3!$B$4+T4607*Model_Config_v3!$B$5)),0)</x:f>
        <x:v>608</x:v>
      </x:c>
      <x:c r="J4607" s="18" t="n">
        <x:f>MIN(Model_Config_v3!$B$6,I4607+Model_Config_v3!$B$7)</x:f>
        <x:v>628</x:v>
      </x:c>
      <x:c r="K4607" s="20" t="n">
        <x:v>40.2</x:v>
      </x:c>
      <x:c r="L4607" t="str">
        <x:v>RELATIF LONGGAR</x:v>
      </x:c>
      <x:c r="M4607" t="str">
        <x:v>SEDANG+</x:v>
      </x:c>
      <x:c r="N4607" t="str">
        <x:v>REGULER</x:v>
      </x:c>
      <x:c r="O4607" t="str">
        <x:v>SAINTEK</x:v>
      </x:c>
      <x:c r="P4607" t="str">
        <x:v>TEKNIK/ARSITEKTUR/STATISTIKA/AKTUARIA</x:v>
      </x:c>
      <x:c r="Q4607" s="18" t="n">
        <x:v>0</x:v>
      </x:c>
      <x:c r="R4607" s="18" t="n">
        <x:v>0</x:v>
      </x:c>
      <x:c r="S4607" s="18" t="n">
        <x:v>532.815612597858</x:v>
      </x:c>
      <x:c r="T4607" s="18" t="n">
        <x:v>640</x:v>
      </x:c>
      <x:c r="U4607" s="18" t="n">
        <x:v>542.815612597858</x:v>
      </x:c>
      <x:c r="V4607" s="20" t="n">
        <x:v>12</x:v>
      </x:c>
      <x:c r="W4607" s="20" t="n">
        <x:v>5</x:v>
      </x:c>
      <x:c r="X4607" s="20" t="n">
        <x:v>3</x:v>
      </x:c>
      <x:c r="Y4607" t="str">
        <x:v>Basis arsip 2025/2024</x:v>
      </x:c>
      <x:c r="Z4607" t="str">
        <x:v>https://snpmb.id/utbk-snbt/daya-tampung-snbt</x:v>
      </x:c>
      <x:c r="AA4607" t="str">
        <x:v>Tidak Ada</x:v>
      </x:c>
      <x:c r="AB4607" t="str">
        <x:v>Campus=55; Ratio=6.9; Prodi=60; RelDemand=15.3; Capacity=56.7</x:v>
      </x:c>
    </x:row>
    <x:row r="4608">
      <x:c r="A4608" t="n">
        <x:v>4605</x:v>
      </x:c>
      <x:c r="B4608" t="str">
        <x:v>PTN Vokasi</x:v>
      </x:c>
      <x:c r="C4608" t="str">
        <x:v>POLITEKNIK NEGERI KUPANG</x:v>
      </x:c>
      <x:c r="D4608" t="str">
        <x:v>TEKNIK MESIN PRODUKSI DAN PERAWATAN</x:v>
      </x:c>
      <x:c r="E4608" t="str">
        <x:v>Sarjana Terapan</x:v>
      </x:c>
      <x:c r="F4608" s="18" t="n">
        <x:v>39</x:v>
      </x:c>
      <x:c r="G4608" s="18" t="n">
        <x:v>66</x:v>
      </x:c>
      <x:c r="H4608" s="19" t="n">
        <x:v>1.6923076923076923</x:v>
      </x:c>
      <x:c r="I4608" s="18" t="n">
        <x:f>ROUND(MIN(Model_Config_v3!$B$6,MAX(Q4608,R4608,S4608*Model_Config_v3!$B$4+T4608*Model_Config_v3!$B$5)),0)</x:f>
        <x:v>616</x:v>
      </x:c>
      <x:c r="J4608" s="18" t="n">
        <x:f>MIN(Model_Config_v3!$B$6,I4608+Model_Config_v3!$B$7)</x:f>
        <x:v>636</x:v>
      </x:c>
      <x:c r="K4608" s="20" t="n">
        <x:v>43.3</x:v>
      </x:c>
      <x:c r="L4608" t="str">
        <x:v>RELATIF LONGGAR</x:v>
      </x:c>
      <x:c r="M4608" t="str">
        <x:v>SEDANG+</x:v>
      </x:c>
      <x:c r="N4608" t="str">
        <x:v>REGULER</x:v>
      </x:c>
      <x:c r="O4608" t="str">
        <x:v>SAINTEK</x:v>
      </x:c>
      <x:c r="P4608" t="str">
        <x:v>TEKNIK/ARSITEKTUR/STATISTIKA/AKTUARIA</x:v>
      </x:c>
      <x:c r="Q4608" s="18" t="n">
        <x:v>0</x:v>
      </x:c>
      <x:c r="R4608" s="18" t="n">
        <x:v>0</x:v>
      </x:c>
      <x:c r="S4608" s="18" t="n">
        <x:v>545.1327261366906</x:v>
      </x:c>
      <x:c r="T4608" s="18" t="n">
        <x:v>647</x:v>
      </x:c>
      <x:c r="U4608" s="18" t="n">
        <x:v>555.1327261366906</x:v>
      </x:c>
      <x:c r="V4608" s="20" t="n">
        <x:v>12</x:v>
      </x:c>
      <x:c r="W4608" s="20" t="n">
        <x:v>5</x:v>
      </x:c>
      <x:c r="X4608" s="20" t="n">
        <x:v>3</x:v>
      </x:c>
      <x:c r="Y4608" t="str">
        <x:v>Basis arsip 2025/2024</x:v>
      </x:c>
      <x:c r="Z4608" t="str">
        <x:v>https://snpmb.id/utbk-snbt/daya-tampung-snbt</x:v>
      </x:c>
      <x:c r="AA4608" t="str">
        <x:v>Tidak Ada</x:v>
      </x:c>
      <x:c r="AB4608" t="str">
        <x:v>Campus=55; Ratio=13.4; Prodi=60; RelDemand=19.7; Capacity=67.5</x:v>
      </x:c>
    </x:row>
    <x:row r="4609">
      <x:c r="A4609" t="n">
        <x:v>4606</x:v>
      </x:c>
      <x:c r="B4609" t="str">
        <x:v>PTN Vokasi</x:v>
      </x:c>
      <x:c r="C4609" t="str">
        <x:v>POLITEKNIK NEGERI KUPANG</x:v>
      </x:c>
      <x:c r="D4609" t="str">
        <x:v>TEKNIK INSTALASI LISTRIK</x:v>
      </x:c>
      <x:c r="E4609" t="str">
        <x:v>Sarjana Terapan</x:v>
      </x:c>
      <x:c r="F4609" s="18" t="n">
        <x:v>45</x:v>
      </x:c>
      <x:c r="G4609" s="18" t="n">
        <x:v>204</x:v>
      </x:c>
      <x:c r="H4609" s="19" t="n">
        <x:v>4.533333333333333</x:v>
      </x:c>
      <x:c r="I4609" s="18" t="n">
        <x:f>ROUND(MIN(Model_Config_v3!$B$6,MAX(Q4609,R4609,S4609*Model_Config_v3!$B$4+T4609*Model_Config_v3!$B$5)),0)</x:f>
        <x:v>643</x:v>
      </x:c>
      <x:c r="J4609" s="18" t="n">
        <x:f>MIN(Model_Config_v3!$B$6,I4609+Model_Config_v3!$B$7)</x:f>
        <x:v>663</x:v>
      </x:c>
      <x:c r="K4609" s="20" t="n">
        <x:v>52.4</x:v>
      </x:c>
      <x:c r="L4609" t="str">
        <x:v>MENENGAH</x:v>
      </x:c>
      <x:c r="M4609" t="str">
        <x:v>SEDANG+</x:v>
      </x:c>
      <x:c r="N4609" t="str">
        <x:v>REGULER</x:v>
      </x:c>
      <x:c r="O4609" t="str">
        <x:v>SAINTEK</x:v>
      </x:c>
      <x:c r="P4609" t="str">
        <x:v>TEKNIK/ARSITEKTUR/STATISTIKA/AKTUARIA</x:v>
      </x:c>
      <x:c r="Q4609" s="18" t="n">
        <x:v>0</x:v>
      </x:c>
      <x:c r="R4609" s="18" t="n">
        <x:v>0</x:v>
      </x:c>
      <x:c r="S4609" s="18" t="n">
        <x:v>592.2059419015611</x:v>
      </x:c>
      <x:c r="T4609" s="18" t="n">
        <x:v>665</x:v>
      </x:c>
      <x:c r="U4609" s="18" t="n">
        <x:v>602.2059419015611</x:v>
      </x:c>
      <x:c r="V4609" s="20" t="n">
        <x:v>12</x:v>
      </x:c>
      <x:c r="W4609" s="20" t="n">
        <x:v>5</x:v>
      </x:c>
      <x:c r="X4609" s="20" t="n">
        <x:v>3</x:v>
      </x:c>
      <x:c r="Y4609" t="str">
        <x:v>Basis arsip 2025/2024</x:v>
      </x:c>
      <x:c r="Z4609" t="str">
        <x:v>https://snpmb.id/utbk-snbt/daya-tampung-snbt</x:v>
      </x:c>
      <x:c r="AA4609" t="str">
        <x:v>Tidak Ada</x:v>
      </x:c>
      <x:c r="AB4609" t="str">
        <x:v>Campus=55; Ratio=38.6; Prodi=60; RelDemand=52.9; Capacity=62.5</x:v>
      </x:c>
    </x:row>
    <x:row r="4610">
      <x:c r="A4610" t="n">
        <x:v>4607</x:v>
      </x:c>
      <x:c r="B4610" t="str">
        <x:v>PTN Vokasi</x:v>
      </x:c>
      <x:c r="C4610" t="str">
        <x:v>POLITEKNIK NEGERI KUPANG</x:v>
      </x:c>
      <x:c r="D4610" t="str">
        <x:v>MANAJEMEN PERUSAHAAN</x:v>
      </x:c>
      <x:c r="E4610" t="str">
        <x:v>Sarjana Terapan</x:v>
      </x:c>
      <x:c r="F4610" s="18" t="n">
        <x:v>120</x:v>
      </x:c>
      <x:c r="G4610" s="18" t="n">
        <x:v>505</x:v>
      </x:c>
      <x:c r="H4610" s="19" t="n">
        <x:v>4.208333333333333</x:v>
      </x:c>
      <x:c r="I4610" s="18" t="n">
        <x:f>ROUND(MIN(Model_Config_v3!$B$6,MAX(Q4610,R4610,S4610*Model_Config_v3!$B$4+T4610*Model_Config_v3!$B$5)),0)</x:f>
        <x:v>634</x:v>
      </x:c>
      <x:c r="J4610" s="18" t="n">
        <x:f>MIN(Model_Config_v3!$B$6,I4610+Model_Config_v3!$B$7)</x:f>
        <x:v>654</x:v>
      </x:c>
      <x:c r="K4610" s="20" t="n">
        <x:v>46.3</x:v>
      </x:c>
      <x:c r="L4610" t="str">
        <x:v>MENENGAH</x:v>
      </x:c>
      <x:c r="M4610" t="str">
        <x:v>SEDANG+</x:v>
      </x:c>
      <x:c r="N4610" t="str">
        <x:v>REGULER</x:v>
      </x:c>
      <x:c r="O4610" t="str">
        <x:v>SOSHUM</x:v>
      </x:c>
      <x:c r="P4610" t="str">
        <x:v>BISNIS/EKONOMI/AKUNTANSI</x:v>
      </x:c>
      <x:c r="Q4610" s="18" t="n">
        <x:v>0</x:v>
      </x:c>
      <x:c r="R4610" s="18" t="n">
        <x:v>0</x:v>
      </x:c>
      <x:c r="S4610" s="18" t="n">
        <x:v>588.652114527814</x:v>
      </x:c>
      <x:c r="T4610" s="18" t="n">
        <x:v>653</x:v>
      </x:c>
      <x:c r="U4610" s="18" t="n">
        <x:v>603.652114527814</x:v>
      </x:c>
      <x:c r="V4610" s="20" t="n">
        <x:v>4.4</x:v>
      </x:c>
      <x:c r="W4610" s="20" t="n">
        <x:v>14.3</x:v>
      </x:c>
      <x:c r="X4610" s="20" t="n">
        <x:v>3.3</x:v>
      </x:c>
      <x:c r="Y4610" t="str">
        <x:v>Basis arsip 2025/2024</x:v>
      </x:c>
      <x:c r="Z4610" t="str">
        <x:v>https://snpmb.id/utbk-snbt/daya-tampung-snbt</x:v>
      </x:c>
      <x:c r="AA4610" t="str">
        <x:v>Tidak Ada</x:v>
      </x:c>
      <x:c r="AB4610" t="str">
        <x:v>Campus=55; Ratio=36.7; Prodi=65; RelDemand=49.1; Capacity=0.0</x:v>
      </x:c>
    </x:row>
    <x:row r="4611">
      <x:c r="A4611" t="n">
        <x:v>4608</x:v>
      </x:c>
      <x:c r="B4611" t="str">
        <x:v>PTN Vokasi</x:v>
      </x:c>
      <x:c r="C4611" t="str">
        <x:v>POLITEKNIK NEGERI KUPANG</x:v>
      </x:c>
      <x:c r="D4611" t="str">
        <x:v>AKUNTANSI SEKTOR PUBLIK</x:v>
      </x:c>
      <x:c r="E4611" t="str">
        <x:v>Sarjana Terapan</x:v>
      </x:c>
      <x:c r="F4611" s="18" t="n">
        <x:v>105</x:v>
      </x:c>
      <x:c r="G4611" s="18" t="n">
        <x:v>446</x:v>
      </x:c>
      <x:c r="H4611" s="19" t="n">
        <x:v>4.247619047619048</x:v>
      </x:c>
      <x:c r="I4611" s="18" t="n">
        <x:f>ROUND(MIN(Model_Config_v3!$B$6,MAX(Q4611,R4611,S4611*Model_Config_v3!$B$4+T4611*Model_Config_v3!$B$5)),0)</x:f>
        <x:v>635</x:v>
      </x:c>
      <x:c r="J4611" s="18" t="n">
        <x:f>MIN(Model_Config_v3!$B$6,I4611+Model_Config_v3!$B$7)</x:f>
        <x:v>655</x:v>
      </x:c>
      <x:c r="K4611" s="20" t="n">
        <x:v>47.7</x:v>
      </x:c>
      <x:c r="L4611" t="str">
        <x:v>MENENGAH</x:v>
      </x:c>
      <x:c r="M4611" t="str">
        <x:v>SEDANG+</x:v>
      </x:c>
      <x:c r="N4611" t="str">
        <x:v>REGULER</x:v>
      </x:c>
      <x:c r="O4611" t="str">
        <x:v>SOSHUM</x:v>
      </x:c>
      <x:c r="P4611" t="str">
        <x:v>BISNIS/EKONOMI/AKUNTANSI</x:v>
      </x:c>
      <x:c r="Q4611" s="18" t="n">
        <x:v>0</x:v>
      </x:c>
      <x:c r="R4611" s="18" t="n">
        <x:v>0</x:v>
      </x:c>
      <x:c r="S4611" s="18" t="n">
        <x:v>589.0960115606424</x:v>
      </x:c>
      <x:c r="T4611" s="18" t="n">
        <x:v>655</x:v>
      </x:c>
      <x:c r="U4611" s="18" t="n">
        <x:v>589.0960115606424</x:v>
      </x:c>
      <x:c r="V4611" s="20" t="n">
        <x:v>4.4</x:v>
      </x:c>
      <x:c r="W4611" s="20" t="n">
        <x:v>14.3</x:v>
      </x:c>
      <x:c r="X4611" s="20" t="n">
        <x:v>3.3</x:v>
      </x:c>
      <x:c r="Y4611" t="str">
        <x:v>Basis arsip 2025/2024</x:v>
      </x:c>
      <x:c r="Z4611" t="str">
        <x:v>https://snpmb.id/utbk-snbt/daya-tampung-snbt</x:v>
      </x:c>
      <x:c r="AA4611" t="str">
        <x:v>Tidak Ada</x:v>
      </x:c>
      <x:c r="AB4611" t="str">
        <x:v>Campus=55; Ratio=37.0; Prodi=65; RelDemand=49.6; Capacity=12.5</x:v>
      </x:c>
    </x:row>
    <x:row r="4612">
      <x:c r="A4612" t="n">
        <x:v>4609</x:v>
      </x:c>
      <x:c r="B4612" t="str">
        <x:v>PTN Vokasi</x:v>
      </x:c>
      <x:c r="C4612" t="str">
        <x:v>POLITEKNIK NEGERI KUPANG</x:v>
      </x:c>
      <x:c r="D4612" t="str">
        <x:v>PERHOTELAN</x:v>
      </x:c>
      <x:c r="E4612" t="str">
        <x:v>Sarjana Terapan</x:v>
      </x:c>
      <x:c r="F4612" s="18" t="n">
        <x:v>88</x:v>
      </x:c>
      <x:c r="G4612" s="18" t="n">
        <x:v>229</x:v>
      </x:c>
      <x:c r="H4612" s="19" t="n">
        <x:v>2.602272727272727</x:v>
      </x:c>
      <x:c r="I4612" s="18" t="n">
        <x:f>ROUND(MIN(Model_Config_v3!$B$6,MAX(Q4612,R4612,S4612*Model_Config_v3!$B$4+T4612*Model_Config_v3!$B$5)),0)</x:f>
        <x:v>616</x:v>
      </x:c>
      <x:c r="J4612" s="18" t="n">
        <x:f>MIN(Model_Config_v3!$B$6,I4612+Model_Config_v3!$B$7)</x:f>
        <x:v>636</x:v>
      </x:c>
      <x:c r="K4612" s="20" t="n">
        <x:v>39.1</x:v>
      </x:c>
      <x:c r="L4612" t="str">
        <x:v>RELATIF LONGGAR</x:v>
      </x:c>
      <x:c r="M4612" t="str">
        <x:v>SEDANG</x:v>
      </x:c>
      <x:c r="N4612" t="str">
        <x:v>REGULER</x:v>
      </x:c>
      <x:c r="O4612" t="str">
        <x:v>CAMPURAN</x:v>
      </x:c>
      <x:c r="P4612" t="str">
        <x:v>UMUM</x:v>
      </x:c>
      <x:c r="Q4612" s="18" t="n">
        <x:v>0</x:v>
      </x:c>
      <x:c r="R4612" s="18" t="n">
        <x:v>0</x:v>
      </x:c>
      <x:c r="S4612" s="18" t="n">
        <x:v>565.6888091208691</x:v>
      </x:c>
      <x:c r="T4612" s="18" t="n">
        <x:v>638</x:v>
      </x:c>
      <x:c r="U4612" s="18" t="n">
        <x:v>565.6888091208691</x:v>
      </x:c>
      <x:c r="V4612" s="20" t="n">
        <x:v>8.8</x:v>
      </x:c>
      <x:c r="W4612" s="20" t="n">
        <x:v>9.9</x:v>
      </x:c>
      <x:c r="X4612" s="20" t="n">
        <x:v>3.3</x:v>
      </x:c>
      <x:c r="Y4612" t="str">
        <x:v>Basis arsip 2025/2024</x:v>
      </x:c>
      <x:c r="Z4612" t="str">
        <x:v>https://snpmb.id/utbk-snbt/daya-tampung-snbt</x:v>
      </x:c>
      <x:c r="AA4612" t="str">
        <x:v>Tidak Ada</x:v>
      </x:c>
      <x:c r="AB4612" t="str">
        <x:v>Campus=55; Ratio=24.4; Prodi=40; RelDemand=30.4; Capacity=26.7</x:v>
      </x:c>
    </x:row>
    <x:row r="4613">
      <x:c r="A4613" t="n">
        <x:v>4610</x:v>
      </x:c>
      <x:c r="B4613" t="str">
        <x:v>PTN Vokasi</x:v>
      </x:c>
      <x:c r="C4613" t="str">
        <x:v>POLITEKNIK NEGERI KUPANG</x:v>
      </x:c>
      <x:c r="D4613" t="str">
        <x:v>USAHA PERJALANAN WISATA</x:v>
      </x:c>
      <x:c r="E4613" t="str">
        <x:v>Sarjana Terapan</x:v>
      </x:c>
      <x:c r="F4613" s="18" t="n">
        <x:v>88</x:v>
      </x:c>
      <x:c r="G4613" s="18" t="n">
        <x:v>188</x:v>
      </x:c>
      <x:c r="H4613" s="19" t="n">
        <x:v>2.1363636363636362</x:v>
      </x:c>
      <x:c r="I4613" s="18" t="n">
        <x:f>ROUND(MIN(Model_Config_v3!$B$6,MAX(Q4613,R4613,S4613*Model_Config_v3!$B$4+T4613*Model_Config_v3!$B$5)),0)</x:f>
        <x:v>611</x:v>
      </x:c>
      <x:c r="J4613" s="18" t="n">
        <x:f>MIN(Model_Config_v3!$B$6,I4613+Model_Config_v3!$B$7)</x:f>
        <x:v>631</x:v>
      </x:c>
      <x:c r="K4613" s="20" t="n">
        <x:v>37.3</x:v>
      </x:c>
      <x:c r="L4613" t="str">
        <x:v>RELATIF LONGGAR</x:v>
      </x:c>
      <x:c r="M4613" t="str">
        <x:v>SEDANG</x:v>
      </x:c>
      <x:c r="N4613" t="str">
        <x:v>REGULER</x:v>
      </x:c>
      <x:c r="O4613" t="str">
        <x:v>CAMPURAN</x:v>
      </x:c>
      <x:c r="P4613" t="str">
        <x:v>UMUM</x:v>
      </x:c>
      <x:c r="Q4613" s="18" t="n">
        <x:v>0</x:v>
      </x:c>
      <x:c r="R4613" s="18" t="n">
        <x:v>0</x:v>
      </x:c>
      <x:c r="S4613" s="18" t="n">
        <x:v>556.2642694824863</x:v>
      </x:c>
      <x:c r="T4613" s="18" t="n">
        <x:v>635</x:v>
      </x:c>
      <x:c r="U4613" s="18" t="n">
        <x:v>556.2642694824863</x:v>
      </x:c>
      <x:c r="V4613" s="20" t="n">
        <x:v>8.8</x:v>
      </x:c>
      <x:c r="W4613" s="20" t="n">
        <x:v>9.9</x:v>
      </x:c>
      <x:c r="X4613" s="20" t="n">
        <x:v>3.3</x:v>
      </x:c>
      <x:c r="Y4613" t="str">
        <x:v>Basis arsip 2025/2024</x:v>
      </x:c>
      <x:c r="Z4613" t="str">
        <x:v>https://snpmb.id/utbk-snbt/daya-tampung-snbt</x:v>
      </x:c>
      <x:c r="AA4613" t="str">
        <x:v>Tidak Ada</x:v>
      </x:c>
      <x:c r="AB4613" t="str">
        <x:v>Campus=55; Ratio=19.4; Prodi=40; RelDemand=24.9; Capacity=26.7</x:v>
      </x:c>
    </x:row>
    <x:row r="4614">
      <x:c r="A4614" t="n">
        <x:v>4611</x:v>
      </x:c>
      <x:c r="B4614" t="str">
        <x:v>PTN Vokasi</x:v>
      </x:c>
      <x:c r="C4614" t="str">
        <x:v>POLITEKNIK NEGERI KUPANG</x:v>
      </x:c>
      <x:c r="D4614" t="str">
        <x:v>TEKNIK SIPIL</x:v>
      </x:c>
      <x:c r="E4614" t="str">
        <x:v>Diploma Tiga</x:v>
      </x:c>
      <x:c r="F4614" s="18" t="n">
        <x:v>39</x:v>
      </x:c>
      <x:c r="G4614" s="18" t="n">
        <x:v>348</x:v>
      </x:c>
      <x:c r="H4614" s="19" t="n">
        <x:v>8.923076923076923</x:v>
      </x:c>
      <x:c r="I4614" s="18" t="n">
        <x:f>ROUND(MIN(Model_Config_v3!$B$6,MAX(Q4614,R4614,S4614*Model_Config_v3!$B$4+T4614*Model_Config_v3!$B$5)),0)</x:f>
        <x:v>666</x:v>
      </x:c>
      <x:c r="J4614" s="18" t="n">
        <x:f>MIN(Model_Config_v3!$B$6,I4614+Model_Config_v3!$B$7)</x:f>
        <x:v>686</x:v>
      </x:c>
      <x:c r="K4614" s="20" t="n">
        <x:v>62</x:v>
      </x:c>
      <x:c r="L4614" t="str">
        <x:v>KETAT</x:v>
      </x:c>
      <x:c r="M4614" t="str">
        <x:v>SEDANG+</x:v>
      </x:c>
      <x:c r="N4614" t="str">
        <x:v>REGULER</x:v>
      </x:c>
      <x:c r="O4614" t="str">
        <x:v>SAINTEK</x:v>
      </x:c>
      <x:c r="P4614" t="str">
        <x:v>TEKNIK/ARSITEKTUR/STATISTIKA/AKTUARIA</x:v>
      </x:c>
      <x:c r="Q4614" s="18" t="n">
        <x:v>0</x:v>
      </x:c>
      <x:c r="R4614" s="18" t="n">
        <x:v>0</x:v>
      </x:c>
      <x:c r="S4614" s="18" t="n">
        <x:v>624.556610061209</x:v>
      </x:c>
      <x:c r="T4614" s="18" t="n">
        <x:v>684</x:v>
      </x:c>
      <x:c r="U4614" s="18" t="n">
        <x:v>634.556610061209</x:v>
      </x:c>
      <x:c r="V4614" s="20" t="n">
        <x:v>12</x:v>
      </x:c>
      <x:c r="W4614" s="20" t="n">
        <x:v>5</x:v>
      </x:c>
      <x:c r="X4614" s="20" t="n">
        <x:v>3</x:v>
      </x:c>
      <x:c r="Y4614" t="str">
        <x:v>Basis arsip 2025/2024</x:v>
      </x:c>
      <x:c r="Z4614" t="str">
        <x:v>https://snpmb.id/utbk-snbt/daya-tampung-snbt</x:v>
      </x:c>
      <x:c r="AA4614" t="str">
        <x:v>Tidak Ada</x:v>
      </x:c>
      <x:c r="AB4614" t="str">
        <x:v>Campus=55; Ratio=55.9; Prodi=60; RelDemand=100.0; Capacity=67.5</x:v>
      </x:c>
    </x:row>
    <x:row r="4615">
      <x:c r="A4615" t="n">
        <x:v>4612</x:v>
      </x:c>
      <x:c r="B4615" t="str">
        <x:v>PTN Vokasi</x:v>
      </x:c>
      <x:c r="C4615" t="str">
        <x:v>POLITEKNIK NEGERI KUPANG</x:v>
      </x:c>
      <x:c r="D4615" t="str">
        <x:v>TEKNIK ELEKTRONIKA</x:v>
      </x:c>
      <x:c r="E4615" t="str">
        <x:v>Diploma Tiga</x:v>
      </x:c>
      <x:c r="F4615" s="18" t="n">
        <x:v>30</x:v>
      </x:c>
      <x:c r="G4615" s="18" t="n">
        <x:v>95</x:v>
      </x:c>
      <x:c r="H4615" s="19" t="n">
        <x:v>3.1666666666666665</x:v>
      </x:c>
      <x:c r="I4615" s="18" t="n">
        <x:f>ROUND(MIN(Model_Config_v3!$B$6,MAX(Q4615,R4615,S4615*Model_Config_v3!$B$4+T4615*Model_Config_v3!$B$5)),0)</x:f>
        <x:v>635</x:v>
      </x:c>
      <x:c r="J4615" s="18" t="n">
        <x:f>MIN(Model_Config_v3!$B$6,I4615+Model_Config_v3!$B$7)</x:f>
        <x:v>655</x:v>
      </x:c>
      <x:c r="K4615" s="20" t="n">
        <x:v>49.8</x:v>
      </x:c>
      <x:c r="L4615" t="str">
        <x:v>MENENGAH</x:v>
      </x:c>
      <x:c r="M4615" t="str">
        <x:v>SEDANG+</x:v>
      </x:c>
      <x:c r="N4615" t="str">
        <x:v>REGULER</x:v>
      </x:c>
      <x:c r="O4615" t="str">
        <x:v>SAINTEK</x:v>
      </x:c>
      <x:c r="P4615" t="str">
        <x:v>TEKNIK/ARSITEKTUR/STATISTIKA/AKTUARIA</x:v>
      </x:c>
      <x:c r="Q4615" s="18" t="n">
        <x:v>0</x:v>
      </x:c>
      <x:c r="R4615" s="18" t="n">
        <x:v>0</x:v>
      </x:c>
      <x:c r="S4615" s="18" t="n">
        <x:v>575.0662585626104</x:v>
      </x:c>
      <x:c r="T4615" s="18" t="n">
        <x:v>660</x:v>
      </x:c>
      <x:c r="U4615" s="18" t="n">
        <x:v>585.0662585626104</x:v>
      </x:c>
      <x:c r="V4615" s="20" t="n">
        <x:v>12</x:v>
      </x:c>
      <x:c r="W4615" s="20" t="n">
        <x:v>5</x:v>
      </x:c>
      <x:c r="X4615" s="20" t="n">
        <x:v>3</x:v>
      </x:c>
      <x:c r="Y4615" t="str">
        <x:v>Basis arsip 2025/2024</x:v>
      </x:c>
      <x:c r="Z4615" t="str">
        <x:v>https://snpmb.id/utbk-snbt/daya-tampung-snbt</x:v>
      </x:c>
      <x:c r="AA4615" t="str">
        <x:v>Tidak Ada</x:v>
      </x:c>
      <x:c r="AB4615" t="str">
        <x:v>Campus=55; Ratio=29.5; Prodi=60; RelDemand=36.9; Capacity=75.0</x:v>
      </x:c>
    </x:row>
    <x:row r="4616">
      <x:c r="A4616" t="n">
        <x:v>4613</x:v>
      </x:c>
      <x:c r="B4616" t="str">
        <x:v>PTN Vokasi</x:v>
      </x:c>
      <x:c r="C4616" t="str">
        <x:v>POLITEKNIK NEGERI KUPANG</x:v>
      </x:c>
      <x:c r="D4616" t="str">
        <x:v>TEKNIK LISTRIK</x:v>
      </x:c>
      <x:c r="E4616" t="str">
        <x:v>Diploma Tiga</x:v>
      </x:c>
      <x:c r="F4616" s="18" t="n">
        <x:v>45</x:v>
      </x:c>
      <x:c r="G4616" s="18" t="n">
        <x:v>99</x:v>
      </x:c>
      <x:c r="H4616" s="19" t="n">
        <x:v>2.2</x:v>
      </x:c>
      <x:c r="I4616" s="18" t="n">
        <x:f>ROUND(MIN(Model_Config_v3!$B$6,MAX(Q4616,R4616,S4616*Model_Config_v3!$B$4+T4616*Model_Config_v3!$B$5)),0)</x:f>
        <x:v>622</x:v>
      </x:c>
      <x:c r="J4616" s="18" t="n">
        <x:f>MIN(Model_Config_v3!$B$6,I4616+Model_Config_v3!$B$7)</x:f>
        <x:v>642</x:v>
      </x:c>
      <x:c r="K4616" s="20" t="n">
        <x:v>45.1</x:v>
      </x:c>
      <x:c r="L4616" t="str">
        <x:v>MENENGAH</x:v>
      </x:c>
      <x:c r="M4616" t="str">
        <x:v>SEDANG+</x:v>
      </x:c>
      <x:c r="N4616" t="str">
        <x:v>REGULER</x:v>
      </x:c>
      <x:c r="O4616" t="str">
        <x:v>SAINTEK</x:v>
      </x:c>
      <x:c r="P4616" t="str">
        <x:v>TEKNIK/ARSITEKTUR/STATISTIKA/AKTUARIA</x:v>
      </x:c>
      <x:c r="Q4616" s="18" t="n">
        <x:v>0</x:v>
      </x:c>
      <x:c r="R4616" s="18" t="n">
        <x:v>0</x:v>
      </x:c>
      <x:c r="S4616" s="18" t="n">
        <x:v>557.6664948904427</x:v>
      </x:c>
      <x:c r="T4616" s="18" t="n">
        <x:v>650</x:v>
      </x:c>
      <x:c r="U4616" s="18" t="n">
        <x:v>567.6664948904427</x:v>
      </x:c>
      <x:c r="V4616" s="20" t="n">
        <x:v>12</x:v>
      </x:c>
      <x:c r="W4616" s="20" t="n">
        <x:v>5</x:v>
      </x:c>
      <x:c r="X4616" s="20" t="n">
        <x:v>3</x:v>
      </x:c>
      <x:c r="Y4616" t="str">
        <x:v>Basis arsip 2025/2024</x:v>
      </x:c>
      <x:c r="Z4616" t="str">
        <x:v>https://snpmb.id/utbk-snbt/daya-tampung-snbt</x:v>
      </x:c>
      <x:c r="AA4616" t="str">
        <x:v>Tidak Ada</x:v>
      </x:c>
      <x:c r="AB4616" t="str">
        <x:v>Campus=55; Ratio=20.2; Prodi=60; RelDemand=25.7; Capacity=62.5</x:v>
      </x:c>
    </x:row>
    <x:row r="4617">
      <x:c r="A4617" t="n">
        <x:v>4614</x:v>
      </x:c>
      <x:c r="B4617" t="str">
        <x:v>PTN Vokasi</x:v>
      </x:c>
      <x:c r="C4617" t="str">
        <x:v>POLITEKNIK NEGERI KUPANG</x:v>
      </x:c>
      <x:c r="D4617" t="str">
        <x:v>MESIN OTOMOTIF</x:v>
      </x:c>
      <x:c r="E4617" t="str">
        <x:v>Diploma Tiga</x:v>
      </x:c>
      <x:c r="F4617" s="18" t="n">
        <x:v>39</x:v>
      </x:c>
      <x:c r="G4617" s="18" t="n">
        <x:v>76</x:v>
      </x:c>
      <x:c r="H4617" s="19" t="n">
        <x:v>1.9487179487179487</x:v>
      </x:c>
      <x:c r="I4617" s="18" t="n">
        <x:f>ROUND(MIN(Model_Config_v3!$B$6,MAX(Q4617,R4617,S4617*Model_Config_v3!$B$4+T4617*Model_Config_v3!$B$5)),0)</x:f>
        <x:v>614</x:v>
      </x:c>
      <x:c r="J4617" s="18" t="n">
        <x:f>MIN(Model_Config_v3!$B$6,I4617+Model_Config_v3!$B$7)</x:f>
        <x:v>634</x:v>
      </x:c>
      <x:c r="K4617" s="20" t="n">
        <x:v>40.5</x:v>
      </x:c>
      <x:c r="L4617" t="str">
        <x:v>RELATIF LONGGAR</x:v>
      </x:c>
      <x:c r="M4617" t="str">
        <x:v>SEDANG</x:v>
      </x:c>
      <x:c r="N4617" t="str">
        <x:v>REGULER</x:v>
      </x:c>
      <x:c r="O4617" t="str">
        <x:v>CAMPURAN</x:v>
      </x:c>
      <x:c r="P4617" t="str">
        <x:v>UMUM</x:v>
      </x:c>
      <x:c r="Q4617" s="18" t="n">
        <x:v>0</x:v>
      </x:c>
      <x:c r="R4617" s="18" t="n">
        <x:v>0</x:v>
      </x:c>
      <x:c r="S4617" s="18" t="n">
        <x:v>551.8723883779721</x:v>
      </x:c>
      <x:c r="T4617" s="18" t="n">
        <x:v>641</x:v>
      </x:c>
      <x:c r="U4617" s="18" t="n">
        <x:v>551.8723883779721</x:v>
      </x:c>
      <x:c r="V4617" s="20" t="n">
        <x:v>8.8</x:v>
      </x:c>
      <x:c r="W4617" s="20" t="n">
        <x:v>9.9</x:v>
      </x:c>
      <x:c r="X4617" s="20" t="n">
        <x:v>3.3</x:v>
      </x:c>
      <x:c r="Y4617" t="str">
        <x:v>Basis arsip 2025/2024</x:v>
      </x:c>
      <x:c r="Z4617" t="str">
        <x:v>https://snpmb.id/utbk-snbt/daya-tampung-snbt</x:v>
      </x:c>
      <x:c r="AA4617" t="str">
        <x:v>Tidak Ada</x:v>
      </x:c>
      <x:c r="AB4617" t="str">
        <x:v>Campus=55; Ratio=17.1; Prodi=40; RelDemand=22.7; Capacity=67.5</x:v>
      </x:c>
    </x:row>
    <x:row r="4618">
      <x:c r="A4618" t="n">
        <x:v>4615</x:v>
      </x:c>
      <x:c r="B4618" t="str">
        <x:v>PTN Vokasi</x:v>
      </x:c>
      <x:c r="C4618" t="str">
        <x:v>POLITEKNIK NEGERI KUPANG</x:v>
      </x:c>
      <x:c r="D4618" t="str">
        <x:v>TEKNIK KOMPUTER DAN JARINGAN</x:v>
      </x:c>
      <x:c r="E4618" t="str">
        <x:v>Diploma Tiga</x:v>
      </x:c>
      <x:c r="F4618" s="18" t="n">
        <x:v>75</x:v>
      </x:c>
      <x:c r="G4618" s="18" t="n">
        <x:v>570</x:v>
      </x:c>
      <x:c r="H4618" s="19" t="n">
        <x:v>7.6</x:v>
      </x:c>
      <x:c r="I4618" s="18" t="n">
        <x:f>ROUND(MIN(Model_Config_v3!$B$6,MAX(Q4618,R4618,S4618*Model_Config_v3!$B$4+T4618*Model_Config_v3!$B$5)),0)</x:f>
        <x:v>664</x:v>
      </x:c>
      <x:c r="J4618" s="18" t="n">
        <x:f>MIN(Model_Config_v3!$B$6,I4618+Model_Config_v3!$B$7)</x:f>
        <x:v>684</x:v>
      </x:c>
      <x:c r="K4618" s="20" t="n">
        <x:v>61.8</x:v>
      </x:c>
      <x:c r="L4618" t="str">
        <x:v>KETAT</x:v>
      </x:c>
      <x:c r="M4618" t="str">
        <x:v>SEDANG+</x:v>
      </x:c>
      <x:c r="N4618" t="str">
        <x:v>REGULER</x:v>
      </x:c>
      <x:c r="O4618" t="str">
        <x:v>SAINTEK</x:v>
      </x:c>
      <x:c r="P4618" t="str">
        <x:v>KOMPUTER/INFORMATIKA</x:v>
      </x:c>
      <x:c r="Q4618" s="18" t="n">
        <x:v>0</x:v>
      </x:c>
      <x:c r="R4618" s="18" t="n">
        <x:v>0</x:v>
      </x:c>
      <x:c r="S4618" s="18" t="n">
        <x:v>616.889495150887</x:v>
      </x:c>
      <x:c r="T4618" s="18" t="n">
        <x:v>684</x:v>
      </x:c>
      <x:c r="U4618" s="18" t="n">
        <x:v>641.889495150887</x:v>
      </x:c>
      <x:c r="V4618" s="20" t="n">
        <x:v>12</x:v>
      </x:c>
      <x:c r="W4618" s="20" t="n">
        <x:v>5</x:v>
      </x:c>
      <x:c r="X4618" s="20" t="n">
        <x:v>3</x:v>
      </x:c>
      <x:c r="Y4618" t="str">
        <x:v>Basis arsip 2025/2024</x:v>
      </x:c>
      <x:c r="Z4618" t="str">
        <x:v>https://snpmb.id/utbk-snbt/daya-tampung-snbt</x:v>
      </x:c>
      <x:c r="AA4618" t="str">
        <x:v>Tidak Ada</x:v>
      </x:c>
      <x:c r="AB4618" t="str">
        <x:v>Campus=55; Ratio=51.8; Prodi=85; RelDemand=88.7; Capacity=37.5</x:v>
      </x:c>
    </x:row>
    <x:row r="4619">
      <x:c r="A4619" t="n">
        <x:v>4616</x:v>
      </x:c>
      <x:c r="B4619" t="str">
        <x:v>PTN Vokasi</x:v>
      </x:c>
      <x:c r="C4619" t="str">
        <x:v>POLITEKNIK NEGERI KUPANG</x:v>
      </x:c>
      <x:c r="D4619" t="str">
        <x:v>ADMINISTRASI BISNIS</x:v>
      </x:c>
      <x:c r="E4619" t="str">
        <x:v>Diploma Tiga</x:v>
      </x:c>
      <x:c r="F4619" s="18" t="n">
        <x:v>45</x:v>
      </x:c>
      <x:c r="G4619" s="18" t="n">
        <x:v>420</x:v>
      </x:c>
      <x:c r="H4619" s="19" t="n">
        <x:v>9.333333333333334</x:v>
      </x:c>
      <x:c r="I4619" s="18" t="n">
        <x:f>ROUND(MIN(Model_Config_v3!$B$6,MAX(Q4619,R4619,S4619*Model_Config_v3!$B$4+T4619*Model_Config_v3!$B$5)),0)</x:f>
        <x:v>668</x:v>
      </x:c>
      <x:c r="J4619" s="18" t="n">
        <x:f>MIN(Model_Config_v3!$B$6,I4619+Model_Config_v3!$B$7)</x:f>
        <x:v>688</x:v>
      </x:c>
      <x:c r="K4619" s="20" t="n">
        <x:v>62.8</x:v>
      </x:c>
      <x:c r="L4619" t="str">
        <x:v>KETAT</x:v>
      </x:c>
      <x:c r="M4619" t="str">
        <x:v>SEDANG+</x:v>
      </x:c>
      <x:c r="N4619" t="str">
        <x:v>REGULER</x:v>
      </x:c>
      <x:c r="O4619" t="str">
        <x:v>SOSHUM</x:v>
      </x:c>
      <x:c r="P4619" t="str">
        <x:v>BISNIS/EKONOMI/AKUNTANSI</x:v>
      </x:c>
      <x:c r="Q4619" s="18" t="n">
        <x:v>0</x:v>
      </x:c>
      <x:c r="R4619" s="18" t="n">
        <x:v>0</x:v>
      </x:c>
      <x:c r="S4619" s="18" t="n">
        <x:v>626.7040454284812</x:v>
      </x:c>
      <x:c r="T4619" s="18" t="n">
        <x:v>686</x:v>
      </x:c>
      <x:c r="U4619" s="18" t="n">
        <x:v>641.7040454284812</x:v>
      </x:c>
      <x:c r="V4619" s="20" t="n">
        <x:v>4.4</x:v>
      </x:c>
      <x:c r="W4619" s="20" t="n">
        <x:v>14.3</x:v>
      </x:c>
      <x:c r="X4619" s="20" t="n">
        <x:v>3.3</x:v>
      </x:c>
      <x:c r="Y4619" t="str">
        <x:v>Basis arsip 2025/2024</x:v>
      </x:c>
      <x:c r="Z4619" t="str">
        <x:v>https://snpmb.id/utbk-snbt/daya-tampung-snbt</x:v>
      </x:c>
      <x:c r="AA4619" t="str">
        <x:v>Tidak Ada</x:v>
      </x:c>
      <x:c r="AB4619" t="str">
        <x:v>Campus=55; Ratio=57.1; Prodi=65; RelDemand=100.0; Capacity=62.5</x:v>
      </x:c>
    </x:row>
    <x:row r="4620">
      <x:c r="A4620" t="n">
        <x:v>4617</x:v>
      </x:c>
      <x:c r="B4620" t="str">
        <x:v>PTN Vokasi</x:v>
      </x:c>
      <x:c r="C4620" t="str">
        <x:v>POLITEKNIK NEGERI KUPANG</x:v>
      </x:c>
      <x:c r="D4620" t="str">
        <x:v>TEKNIK MESIN</x:v>
      </x:c>
      <x:c r="E4620" t="str">
        <x:v>Diploma Tiga</x:v>
      </x:c>
      <x:c r="F4620" s="18" t="n">
        <x:v>39</x:v>
      </x:c>
      <x:c r="G4620" s="18" t="n">
        <x:v>95</x:v>
      </x:c>
      <x:c r="H4620" s="19" t="n">
        <x:v>2.4358974358974357</x:v>
      </x:c>
      <x:c r="I4620" s="18" t="n">
        <x:f>ROUND(MIN(Model_Config_v3!$B$6,MAX(Q4620,R4620,S4620*Model_Config_v3!$B$4+T4620*Model_Config_v3!$B$5)),0)</x:f>
        <x:v>626</x:v>
      </x:c>
      <x:c r="J4620" s="18" t="n">
        <x:f>MIN(Model_Config_v3!$B$6,I4620+Model_Config_v3!$B$7)</x:f>
        <x:v>646</x:v>
      </x:c>
      <x:c r="K4620" s="20" t="n">
        <x:v>46.5</x:v>
      </x:c>
      <x:c r="L4620" t="str">
        <x:v>MENENGAH</x:v>
      </x:c>
      <x:c r="M4620" t="str">
        <x:v>SEDANG+</x:v>
      </x:c>
      <x:c r="N4620" t="str">
        <x:v>REGULER</x:v>
      </x:c>
      <x:c r="O4620" t="str">
        <x:v>SAINTEK</x:v>
      </x:c>
      <x:c r="P4620" t="str">
        <x:v>TEKNIK/ARSITEKTUR/STATISTIKA/AKTUARIA</x:v>
      </x:c>
      <x:c r="Q4620" s="18" t="n">
        <x:v>0</x:v>
      </x:c>
      <x:c r="R4620" s="18" t="n">
        <x:v>0</x:v>
      </x:c>
      <x:c r="S4620" s="18" t="n">
        <x:v>562.5324898088584</x:v>
      </x:c>
      <x:c r="T4620" s="18" t="n">
        <x:v>653</x:v>
      </x:c>
      <x:c r="U4620" s="18" t="n">
        <x:v>572.5324898088584</x:v>
      </x:c>
      <x:c r="V4620" s="20" t="n">
        <x:v>12</x:v>
      </x:c>
      <x:c r="W4620" s="20" t="n">
        <x:v>5</x:v>
      </x:c>
      <x:c r="X4620" s="20" t="n">
        <x:v>3</x:v>
      </x:c>
      <x:c r="Y4620" t="str">
        <x:v>Basis arsip 2025/2024</x:v>
      </x:c>
      <x:c r="Z4620" t="str">
        <x:v>https://snpmb.id/utbk-snbt/daya-tampung-snbt</x:v>
      </x:c>
      <x:c r="AA4620" t="str">
        <x:v>Tidak Ada</x:v>
      </x:c>
      <x:c r="AB4620" t="str">
        <x:v>Campus=55; Ratio=22.8; Prodi=60; RelDemand=28.4; Capacity=67.5</x:v>
      </x:c>
    </x:row>
    <x:row r="4621">
      <x:c r="A4621" t="n">
        <x:v>4618</x:v>
      </x:c>
      <x:c r="B4621" t="str">
        <x:v>PTN Vokasi</x:v>
      </x:c>
      <x:c r="C4621" t="str">
        <x:v>POLITEKNIK NEGERI KUPANG</x:v>
      </x:c>
      <x:c r="D4621" t="str">
        <x:v>AKUNTANSI</x:v>
      </x:c>
      <x:c r="E4621" t="str">
        <x:v>Diploma Tiga</x:v>
      </x:c>
      <x:c r="F4621" s="18" t="n">
        <x:v>60</x:v>
      </x:c>
      <x:c r="G4621" s="18" t="n">
        <x:v>410</x:v>
      </x:c>
      <x:c r="H4621" s="19" t="n">
        <x:v>6.833333333333333</x:v>
      </x:c>
      <x:c r="I4621" s="18" t="n">
        <x:f>ROUND(MIN(Model_Config_v3!$B$6,MAX(Q4621,R4621,S4621*Model_Config_v3!$B$4+T4621*Model_Config_v3!$B$5)),0)</x:f>
        <x:v>656</x:v>
      </x:c>
      <x:c r="J4621" s="18" t="n">
        <x:f>MIN(Model_Config_v3!$B$6,I4621+Model_Config_v3!$B$7)</x:f>
        <x:v>676</x:v>
      </x:c>
      <x:c r="K4621" s="20" t="n">
        <x:v>57.5</x:v>
      </x:c>
      <x:c r="L4621" t="str">
        <x:v>KETAT</x:v>
      </x:c>
      <x:c r="M4621" t="str">
        <x:v>SEDANG+</x:v>
      </x:c>
      <x:c r="N4621" t="str">
        <x:v>REGULER</x:v>
      </x:c>
      <x:c r="O4621" t="str">
        <x:v>SOSHUM</x:v>
      </x:c>
      <x:c r="P4621" t="str">
        <x:v>BISNIS/EKONOMI/AKUNTANSI</x:v>
      </x:c>
      <x:c r="Q4621" s="18" t="n">
        <x:v>0</x:v>
      </x:c>
      <x:c r="R4621" s="18" t="n">
        <x:v>0</x:v>
      </x:c>
      <x:c r="S4621" s="18" t="n">
        <x:v>611.8095866969701</x:v>
      </x:c>
      <x:c r="T4621" s="18" t="n">
        <x:v>675</x:v>
      </x:c>
      <x:c r="U4621" s="18" t="n">
        <x:v>611.8095866969701</x:v>
      </x:c>
      <x:c r="V4621" s="20" t="n">
        <x:v>4.4</x:v>
      </x:c>
      <x:c r="W4621" s="20" t="n">
        <x:v>14.3</x:v>
      </x:c>
      <x:c r="X4621" s="20" t="n">
        <x:v>3.3</x:v>
      </x:c>
      <x:c r="Y4621" t="str">
        <x:v>Basis arsip 2025/2024</x:v>
      </x:c>
      <x:c r="Z4621" t="str">
        <x:v>https://snpmb.id/utbk-snbt/daya-tampung-snbt</x:v>
      </x:c>
      <x:c r="AA4621" t="str">
        <x:v>Tidak Ada</x:v>
      </x:c>
      <x:c r="AB4621" t="str">
        <x:v>Campus=55; Ratio=49.1; Prodi=65; RelDemand=79.7; Capacity=50.0</x:v>
      </x:c>
    </x:row>
    <x:row r="4622">
      <x:c r="A4622" t="n">
        <x:v>4619</x:v>
      </x:c>
      <x:c r="B4622" t="str">
        <x:v>PTN Vokasi</x:v>
      </x:c>
      <x:c r="C4622" t="str">
        <x:v>POLITEKNIK PERTANIAN NEGERI KUPANG</x:v>
      </x:c>
      <x:c r="D4622" t="str">
        <x:v>PENYULUHAN PERTANIAN LAHAN KERING</x:v>
      </x:c>
      <x:c r="E4622" t="str">
        <x:v>Sarjana Terapan</x:v>
      </x:c>
      <x:c r="F4622" s="18" t="n">
        <x:v>50</x:v>
      </x:c>
      <x:c r="G4622" s="18" t="n">
        <x:v>77</x:v>
      </x:c>
      <x:c r="H4622" s="19" t="n">
        <x:v>1.54</x:v>
      </x:c>
      <x:c r="I4622" s="18" t="n">
        <x:f>ROUND(MIN(Model_Config_v3!$B$6,MAX(Q4622,R4622,S4622*Model_Config_v3!$B$4+T4622*Model_Config_v3!$B$5)),0)</x:f>
        <x:v>616</x:v>
      </x:c>
      <x:c r="J4622" s="18" t="n">
        <x:f>MIN(Model_Config_v3!$B$6,I4622+Model_Config_v3!$B$7)</x:f>
        <x:v>636</x:v>
      </x:c>
      <x:c r="K4622" s="20" t="n">
        <x:v>43.9</x:v>
      </x:c>
      <x:c r="L4622" t="str">
        <x:v>RELATIF LONGGAR</x:v>
      </x:c>
      <x:c r="M4622" t="str">
        <x:v>SEDANG</x:v>
      </x:c>
      <x:c r="N4622" t="str">
        <x:v>REGULER</x:v>
      </x:c>
      <x:c r="O4622" t="str">
        <x:v>SAINTEK</x:v>
      </x:c>
      <x:c r="P4622" t="str">
        <x:v>UMUM</x:v>
      </x:c>
      <x:c r="Q4622" s="18" t="n">
        <x:v>0</x:v>
      </x:c>
      <x:c r="R4622" s="18" t="n">
        <x:v>0</x:v>
      </x:c>
      <x:c r="S4622" s="18" t="n">
        <x:v>540.6272792920109</x:v>
      </x:c>
      <x:c r="T4622" s="18" t="n">
        <x:v>648</x:v>
      </x:c>
      <x:c r="U4622" s="18" t="n">
        <x:v>540.6272792920109</x:v>
      </x:c>
      <x:c r="V4622" s="20" t="n">
        <x:v>12</x:v>
      </x:c>
      <x:c r="W4622" s="20" t="n">
        <x:v>5</x:v>
      </x:c>
      <x:c r="X4622" s="20" t="n">
        <x:v>3</x:v>
      </x:c>
      <x:c r="Y4622" t="str">
        <x:v>Basis arsip 2025/2024</x:v>
      </x:c>
      <x:c r="Z4622" t="str">
        <x:v>https://snpmb.id/utbk-snbt/daya-tampung-snbt</x:v>
      </x:c>
      <x:c r="AA4622" t="str">
        <x:v>Tidak Ada</x:v>
      </x:c>
      <x:c r="AB4622" t="str">
        <x:v>Campus=55; Ratio=11.0; Prodi=40; RelDemand=80.9; Capacity=58.3</x:v>
      </x:c>
    </x:row>
    <x:row r="4623">
      <x:c r="A4623" t="n">
        <x:v>4620</x:v>
      </x:c>
      <x:c r="B4623" t="str">
        <x:v>PTN Vokasi</x:v>
      </x:c>
      <x:c r="C4623" t="str">
        <x:v>POLITEKNIK PERTANIAN NEGERI KUPANG</x:v>
      </x:c>
      <x:c r="D4623" t="str">
        <x:v>TEKNOLOGI INDUSTRI HORTIKULTURA</x:v>
      </x:c>
      <x:c r="E4623" t="str">
        <x:v>Sarjana Terapan</x:v>
      </x:c>
      <x:c r="F4623" s="18" t="n">
        <x:v>48</x:v>
      </x:c>
      <x:c r="G4623" s="18" t="n">
        <x:v>17</x:v>
      </x:c>
      <x:c r="H4623" s="19" t="n">
        <x:v>0.3541666666666667</x:v>
      </x:c>
      <x:c r="I4623" s="18" t="n">
        <x:f>ROUND(MIN(Model_Config_v3!$B$6,MAX(Q4623,R4623,S4623*Model_Config_v3!$B$4+T4623*Model_Config_v3!$B$5)),0)</x:f>
        <x:v>597</x:v>
      </x:c>
      <x:c r="J4623" s="18" t="n">
        <x:f>MIN(Model_Config_v3!$B$6,I4623+Model_Config_v3!$B$7)</x:f>
        <x:v>617</x:v>
      </x:c>
      <x:c r="K4623" s="20" t="n">
        <x:v>35.1</x:v>
      </x:c>
      <x:c r="L4623" t="str">
        <x:v>RELATIF LONGGAR</x:v>
      </x:c>
      <x:c r="M4623" t="str">
        <x:v>SEDANG</x:v>
      </x:c>
      <x:c r="N4623" t="str">
        <x:v>REGULER</x:v>
      </x:c>
      <x:c r="O4623" t="str">
        <x:v>SAINTEK</x:v>
      </x:c>
      <x:c r="P4623" t="str">
        <x:v>UMUM</x:v>
      </x:c>
      <x:c r="Q4623" s="18" t="n">
        <x:v>0</x:v>
      </x:c>
      <x:c r="R4623" s="18" t="n">
        <x:v>0</x:v>
      </x:c>
      <x:c r="S4623" s="18" t="n">
        <x:v>520</x:v>
      </x:c>
      <x:c r="T4623" s="18" t="n">
        <x:v>630</x:v>
      </x:c>
      <x:c r="U4623" s="18" t="n">
        <x:v>520</x:v>
      </x:c>
      <x:c r="V4623" s="20" t="n">
        <x:v>12</x:v>
      </x:c>
      <x:c r="W4623" s="20" t="n">
        <x:v>5</x:v>
      </x:c>
      <x:c r="X4623" s="20" t="n">
        <x:v>3</x:v>
      </x:c>
      <x:c r="Y4623" t="str">
        <x:v>Basis arsip 2025/2024</x:v>
      </x:c>
      <x:c r="Z4623" t="str">
        <x:v>https://snpmb.id/utbk-snbt/daya-tampung-snbt</x:v>
      </x:c>
      <x:c r="AA4623" t="str">
        <x:v>Tidak Ada</x:v>
      </x:c>
      <x:c r="AB4623" t="str">
        <x:v>Campus=55; Ratio=0.0; Prodi=40; RelDemand=18.6; Capacity=60.0</x:v>
      </x:c>
    </x:row>
    <x:row r="4624">
      <x:c r="A4624" t="n">
        <x:v>4621</x:v>
      </x:c>
      <x:c r="B4624" t="str">
        <x:v>PTN Vokasi</x:v>
      </x:c>
      <x:c r="C4624" t="str">
        <x:v>POLITEKNIK PERTANIAN NEGERI KUPANG</x:v>
      </x:c>
      <x:c r="D4624" t="str">
        <x:v>TEKNOLOGI PAKAN TERNAK</x:v>
      </x:c>
      <x:c r="E4624" t="str">
        <x:v>Sarjana Terapan</x:v>
      </x:c>
      <x:c r="F4624" s="18" t="n">
        <x:v>48</x:v>
      </x:c>
      <x:c r="G4624" s="18" t="n">
        <x:v>53</x:v>
      </x:c>
      <x:c r="H4624" s="19" t="n">
        <x:v>1.1041666666666667</x:v>
      </x:c>
      <x:c r="I4624" s="18" t="n">
        <x:f>ROUND(MIN(Model_Config_v3!$B$6,MAX(Q4624,R4624,S4624*Model_Config_v3!$B$4+T4624*Model_Config_v3!$B$5)),0)</x:f>
        <x:v>605</x:v>
      </x:c>
      <x:c r="J4624" s="18" t="n">
        <x:f>MIN(Model_Config_v3!$B$6,I4624+Model_Config_v3!$B$7)</x:f>
        <x:v>625</x:v>
      </x:c>
      <x:c r="K4624" s="20" t="n">
        <x:v>39.7</x:v>
      </x:c>
      <x:c r="L4624" t="str">
        <x:v>RELATIF LONGGAR</x:v>
      </x:c>
      <x:c r="M4624" t="str">
        <x:v>SEDANG</x:v>
      </x:c>
      <x:c r="N4624" t="str">
        <x:v>REGULER</x:v>
      </x:c>
      <x:c r="O4624" t="str">
        <x:v>SAINTEK</x:v>
      </x:c>
      <x:c r="P4624" t="str">
        <x:v>UMUM</x:v>
      </x:c>
      <x:c r="Q4624" s="18" t="n">
        <x:v>0</x:v>
      </x:c>
      <x:c r="R4624" s="18" t="n">
        <x:v>0</x:v>
      </x:c>
      <x:c r="S4624" s="18" t="n">
        <x:v>524.7338095447722</x:v>
      </x:c>
      <x:c r="T4624" s="18" t="n">
        <x:v>639</x:v>
      </x:c>
      <x:c r="U4624" s="18" t="n">
        <x:v>524.7338095447722</x:v>
      </x:c>
      <x:c r="V4624" s="20" t="n">
        <x:v>12</x:v>
      </x:c>
      <x:c r="W4624" s="20" t="n">
        <x:v>5</x:v>
      </x:c>
      <x:c r="X4624" s="20" t="n">
        <x:v>3</x:v>
      </x:c>
      <x:c r="Y4624" t="str">
        <x:v>Basis arsip 2025/2024</x:v>
      </x:c>
      <x:c r="Z4624" t="str">
        <x:v>https://snpmb.id/utbk-snbt/daya-tampung-snbt</x:v>
      </x:c>
      <x:c r="AA4624" t="str">
        <x:v>Tidak Ada</x:v>
      </x:c>
      <x:c r="AB4624" t="str">
        <x:v>Campus=55; Ratio=2.5; Prodi=40; RelDemand=58.0; Capacity=60.0</x:v>
      </x:c>
    </x:row>
    <x:row r="4625">
      <x:c r="A4625" t="n">
        <x:v>4622</x:v>
      </x:c>
      <x:c r="B4625" t="str">
        <x:v>PTN Vokasi</x:v>
      </x:c>
      <x:c r="C4625" t="str">
        <x:v>POLITEKNIK PERTANIAN NEGERI KUPANG</x:v>
      </x:c>
      <x:c r="D4625" t="str">
        <x:v>PENGELOLAAN HUTAN</x:v>
      </x:c>
      <x:c r="E4625" t="str">
        <x:v>Sarjana Terapan</x:v>
      </x:c>
      <x:c r="F4625" s="18" t="n">
        <x:v>48</x:v>
      </x:c>
      <x:c r="G4625" s="18" t="n">
        <x:v>37</x:v>
      </x:c>
      <x:c r="H4625" s="19" t="n">
        <x:v>0.7708333333333334</x:v>
      </x:c>
      <x:c r="I4625" s="18" t="n">
        <x:f>ROUND(MIN(Model_Config_v3!$B$6,MAX(Q4625,R4625,S4625*Model_Config_v3!$B$4+T4625*Model_Config_v3!$B$5)),0)</x:f>
        <x:v>601</x:v>
      </x:c>
      <x:c r="J4625" s="18" t="n">
        <x:f>MIN(Model_Config_v3!$B$6,I4625+Model_Config_v3!$B$7)</x:f>
        <x:v>621</x:v>
      </x:c>
      <x:c r="K4625" s="20" t="n">
        <x:v>37.3</x:v>
      </x:c>
      <x:c r="L4625" t="str">
        <x:v>RELATIF LONGGAR</x:v>
      </x:c>
      <x:c r="M4625" t="str">
        <x:v>SEDANG</x:v>
      </x:c>
      <x:c r="N4625" t="str">
        <x:v>REGULER</x:v>
      </x:c>
      <x:c r="O4625" t="str">
        <x:v>CAMPURAN</x:v>
      </x:c>
      <x:c r="P4625" t="str">
        <x:v>UMUM</x:v>
      </x:c>
      <x:c r="Q4625" s="18" t="n">
        <x:v>0</x:v>
      </x:c>
      <x:c r="R4625" s="18" t="n">
        <x:v>0</x:v>
      </x:c>
      <x:c r="S4625" s="18" t="n">
        <x:v>520</x:v>
      </x:c>
      <x:c r="T4625" s="18" t="n">
        <x:v>635</x:v>
      </x:c>
      <x:c r="U4625" s="18" t="n">
        <x:v>520</x:v>
      </x:c>
      <x:c r="V4625" s="20" t="n">
        <x:v>8.8</x:v>
      </x:c>
      <x:c r="W4625" s="20" t="n">
        <x:v>9.9</x:v>
      </x:c>
      <x:c r="X4625" s="20" t="n">
        <x:v>3.3</x:v>
      </x:c>
      <x:c r="Y4625" t="str">
        <x:v>Basis arsip 2025/2024</x:v>
      </x:c>
      <x:c r="Z4625" t="str">
        <x:v>https://snpmb.id/utbk-snbt/daya-tampung-snbt</x:v>
      </x:c>
      <x:c r="AA4625" t="str">
        <x:v>Tidak Ada</x:v>
      </x:c>
      <x:c r="AB4625" t="str">
        <x:v>Campus=55; Ratio=0.0; Prodi=40; RelDemand=40.5; Capacity=60.0</x:v>
      </x:c>
    </x:row>
    <x:row r="4626">
      <x:c r="A4626" t="n">
        <x:v>4623</x:v>
      </x:c>
      <x:c r="B4626" t="str">
        <x:v>PTN Vokasi</x:v>
      </x:c>
      <x:c r="C4626" t="str">
        <x:v>POLITEKNIK PERTANIAN NEGERI KUPANG</x:v>
      </x:c>
      <x:c r="D4626" t="str">
        <x:v>AGRIBISNIS PERIKANAN</x:v>
      </x:c>
      <x:c r="E4626" t="str">
        <x:v>Sarjana Terapan</x:v>
      </x:c>
      <x:c r="F4626" s="18" t="n">
        <x:v>28</x:v>
      </x:c>
      <x:c r="G4626" s="18" t="n">
        <x:v>9</x:v>
      </x:c>
      <x:c r="H4626" s="19" t="n">
        <x:v>0.32142857142857145</x:v>
      </x:c>
      <x:c r="I4626" s="18" t="n">
        <x:f>ROUND(MIN(Model_Config_v3!$B$6,MAX(Q4626,R4626,S4626*Model_Config_v3!$B$4+T4626*Model_Config_v3!$B$5)),0)</x:f>
        <x:v>606</x:v>
      </x:c>
      <x:c r="J4626" s="18" t="n">
        <x:f>MIN(Model_Config_v3!$B$6,I4626+Model_Config_v3!$B$7)</x:f>
        <x:v>626</x:v>
      </x:c>
      <x:c r="K4626" s="20" t="n">
        <x:v>41.6</x:v>
      </x:c>
      <x:c r="L4626" t="str">
        <x:v>RELATIF LONGGAR</x:v>
      </x:c>
      <x:c r="M4626" t="str">
        <x:v>SEDANG+</x:v>
      </x:c>
      <x:c r="N4626" t="str">
        <x:v>REGULER</x:v>
      </x:c>
      <x:c r="O4626" t="str">
        <x:v>SAINTEK</x:v>
      </x:c>
      <x:c r="P4626" t="str">
        <x:v>BISNIS/EKONOMI/AKUNTANSI</x:v>
      </x:c>
      <x:c r="Q4626" s="18" t="n">
        <x:v>0</x:v>
      </x:c>
      <x:c r="R4626" s="18" t="n">
        <x:v>0</x:v>
      </x:c>
      <x:c r="S4626" s="18" t="n">
        <x:v>520</x:v>
      </x:c>
      <x:c r="T4626" s="18" t="n">
        <x:v>643</x:v>
      </x:c>
      <x:c r="U4626" s="18" t="n">
        <x:v>535</x:v>
      </x:c>
      <x:c r="V4626" s="20" t="n">
        <x:v>12</x:v>
      </x:c>
      <x:c r="W4626" s="20" t="n">
        <x:v>5</x:v>
      </x:c>
      <x:c r="X4626" s="20" t="n">
        <x:v>3</x:v>
      </x:c>
      <x:c r="Y4626" t="str">
        <x:v>Basis arsip 2025/2024</x:v>
      </x:c>
      <x:c r="Z4626" t="str">
        <x:v>https://snpmb.id/utbk-snbt/daya-tampung-snbt</x:v>
      </x:c>
      <x:c r="AA4626" t="str">
        <x:v>Tidak Ada</x:v>
      </x:c>
      <x:c r="AB4626" t="str">
        <x:v>Campus=55; Ratio=0.0; Prodi=65; RelDemand=16.9; Capacity=76.7</x:v>
      </x:c>
    </x:row>
    <x:row r="4627">
      <x:c r="A4627" t="n">
        <x:v>4624</x:v>
      </x:c>
      <x:c r="B4627" t="str">
        <x:v>PTN Vokasi</x:v>
      </x:c>
      <x:c r="C4627" t="str">
        <x:v>POLITEKNIK PERTANIAN NEGERI KUPANG</x:v>
      </x:c>
      <x:c r="D4627" t="str">
        <x:v>TEKNOLOGI REKAYASA PANGAN</x:v>
      </x:c>
      <x:c r="E4627" t="str">
        <x:v>Sarjana Terapan</x:v>
      </x:c>
      <x:c r="F4627" s="18" t="n">
        <x:v>16</x:v>
      </x:c>
      <x:c r="G4627" s="18" t="n">
        <x:v>13</x:v>
      </x:c>
      <x:c r="H4627" s="19" t="n">
        <x:v>0.8125</x:v>
      </x:c>
      <x:c r="I4627" s="18" t="n">
        <x:f>ROUND(MIN(Model_Config_v3!$B$6,MAX(Q4627,R4627,S4627*Model_Config_v3!$B$4+T4627*Model_Config_v3!$B$5)),0)</x:f>
        <x:v>604</x:v>
      </x:c>
      <x:c r="J4627" s="18" t="n">
        <x:f>MIN(Model_Config_v3!$B$6,I4627+Model_Config_v3!$B$7)</x:f>
        <x:v>624</x:v>
      </x:c>
      <x:c r="K4627" s="20" t="n">
        <x:v>40.2</x:v>
      </x:c>
      <x:c r="L4627" t="str">
        <x:v>RELATIF LONGGAR</x:v>
      </x:c>
      <x:c r="M4627" t="str">
        <x:v>SEDANG</x:v>
      </x:c>
      <x:c r="N4627" t="str">
        <x:v>REGULER</x:v>
      </x:c>
      <x:c r="O4627" t="str">
        <x:v>SAINTEK</x:v>
      </x:c>
      <x:c r="P4627" t="str">
        <x:v>UMUM</x:v>
      </x:c>
      <x:c r="Q4627" s="18" t="n">
        <x:v>0</x:v>
      </x:c>
      <x:c r="R4627" s="18" t="n">
        <x:v>0</x:v>
      </x:c>
      <x:c r="S4627" s="18" t="n">
        <x:v>520</x:v>
      </x:c>
      <x:c r="T4627" s="18" t="n">
        <x:v>640</x:v>
      </x:c>
      <x:c r="U4627" s="18" t="n">
        <x:v>520</x:v>
      </x:c>
      <x:c r="V4627" s="20" t="n">
        <x:v>12</x:v>
      </x:c>
      <x:c r="W4627" s="20" t="n">
        <x:v>5</x:v>
      </x:c>
      <x:c r="X4627" s="20" t="n">
        <x:v>3</x:v>
      </x:c>
      <x:c r="Y4627" t="str">
        <x:v>Basis arsip 2025/2024</x:v>
      </x:c>
      <x:c r="Z4627" t="str">
        <x:v>https://snpmb.id/utbk-snbt/daya-tampung-snbt</x:v>
      </x:c>
      <x:c r="AA4627" t="str">
        <x:v>Tidak Ada</x:v>
      </x:c>
      <x:c r="AB4627" t="str">
        <x:v>Campus=55; Ratio=0.0; Prodi=40; RelDemand=42.7; Capacity=86.7</x:v>
      </x:c>
    </x:row>
    <x:row r="4628">
      <x:c r="A4628" t="n">
        <x:v>4625</x:v>
      </x:c>
      <x:c r="B4628" t="str">
        <x:v>PTN Vokasi</x:v>
      </x:c>
      <x:c r="C4628" t="str">
        <x:v>POLITEKNIK PERTANIAN NEGERI KUPANG</x:v>
      </x:c>
      <x:c r="D4628" t="str">
        <x:v>PENGELOLAAN AGRIBISNIS</x:v>
      </x:c>
      <x:c r="E4628" t="str">
        <x:v>Sarjana Terapan</x:v>
      </x:c>
      <x:c r="F4628" s="18" t="n">
        <x:v>50</x:v>
      </x:c>
      <x:c r="G4628" s="18" t="n">
        <x:v>40</x:v>
      </x:c>
      <x:c r="H4628" s="19" t="n">
        <x:v>0.8</x:v>
      </x:c>
      <x:c r="I4628" s="18" t="n">
        <x:f>ROUND(MIN(Model_Config_v3!$B$6,MAX(Q4628,R4628,S4628*Model_Config_v3!$B$4+T4628*Model_Config_v3!$B$5)),0)</x:f>
        <x:v>608</x:v>
      </x:c>
      <x:c r="J4628" s="18" t="n">
        <x:f>MIN(Model_Config_v3!$B$6,I4628+Model_Config_v3!$B$7)</x:f>
        <x:v>628</x:v>
      </x:c>
      <x:c r="K4628" s="20" t="n">
        <x:v>42.3</x:v>
      </x:c>
      <x:c r="L4628" t="str">
        <x:v>RELATIF LONGGAR</x:v>
      </x:c>
      <x:c r="M4628" t="str">
        <x:v>SEDANG+</x:v>
      </x:c>
      <x:c r="N4628" t="str">
        <x:v>REGULER</x:v>
      </x:c>
      <x:c r="O4628" t="str">
        <x:v>SOSHUM</x:v>
      </x:c>
      <x:c r="P4628" t="str">
        <x:v>BISNIS/EKONOMI/AKUNTANSI</x:v>
      </x:c>
      <x:c r="Q4628" s="18" t="n">
        <x:v>0</x:v>
      </x:c>
      <x:c r="R4628" s="18" t="n">
        <x:v>0</x:v>
      </x:c>
      <x:c r="S4628" s="18" t="n">
        <x:v>520</x:v>
      </x:c>
      <x:c r="T4628" s="18" t="n">
        <x:v>645</x:v>
      </x:c>
      <x:c r="U4628" s="18" t="n">
        <x:v>535</x:v>
      </x:c>
      <x:c r="V4628" s="20" t="n">
        <x:v>4.4</x:v>
      </x:c>
      <x:c r="W4628" s="20" t="n">
        <x:v>14.3</x:v>
      </x:c>
      <x:c r="X4628" s="20" t="n">
        <x:v>3.3</x:v>
      </x:c>
      <x:c r="Y4628" t="str">
        <x:v>Basis arsip 2025/2024</x:v>
      </x:c>
      <x:c r="Z4628" t="str">
        <x:v>https://snpmb.id/utbk-snbt/daya-tampung-snbt</x:v>
      </x:c>
      <x:c r="AA4628" t="str">
        <x:v>Tidak Ada</x:v>
      </x:c>
      <x:c r="AB4628" t="str">
        <x:v>Campus=55; Ratio=0.0; Prodi=65; RelDemand=42.0; Capacity=58.3</x:v>
      </x:c>
    </x:row>
    <x:row r="4629">
      <x:c r="A4629" t="n">
        <x:v>4626</x:v>
      </x:c>
      <x:c r="B4629" t="str">
        <x:v>PTN Vokasi</x:v>
      </x:c>
      <x:c r="C4629" t="str">
        <x:v>POLITEKNIK PERTANIAN NEGERI KUPANG</x:v>
      </x:c>
      <x:c r="D4629" t="str">
        <x:v>TANAMAN PANGAN DAN HORTIKULTURA</x:v>
      </x:c>
      <x:c r="E4629" t="str">
        <x:v>Diploma Tiga</x:v>
      </x:c>
      <x:c r="F4629" s="18" t="n">
        <x:v>24</x:v>
      </x:c>
      <x:c r="G4629" s="18" t="n">
        <x:v>14</x:v>
      </x:c>
      <x:c r="H4629" s="19" t="n">
        <x:v>0.5833333333333334</x:v>
      </x:c>
      <x:c r="I4629" s="18" t="n">
        <x:f>ROUND(MIN(Model_Config_v3!$B$6,MAX(Q4629,R4629,S4629*Model_Config_v3!$B$4+T4629*Model_Config_v3!$B$5)),0)</x:f>
        <x:v>602</x:v>
      </x:c>
      <x:c r="J4629" s="18" t="n">
        <x:f>MIN(Model_Config_v3!$B$6,I4629+Model_Config_v3!$B$7)</x:f>
        <x:v>622</x:v>
      </x:c>
      <x:c r="K4629" s="20" t="n">
        <x:v>38.3</x:v>
      </x:c>
      <x:c r="L4629" t="str">
        <x:v>RELATIF LONGGAR</x:v>
      </x:c>
      <x:c r="M4629" t="str">
        <x:v>SEDANG</x:v>
      </x:c>
      <x:c r="N4629" t="str">
        <x:v>REGULER</x:v>
      </x:c>
      <x:c r="O4629" t="str">
        <x:v>CAMPURAN</x:v>
      </x:c>
      <x:c r="P4629" t="str">
        <x:v>UMUM</x:v>
      </x:c>
      <x:c r="Q4629" s="18" t="n">
        <x:v>0</x:v>
      </x:c>
      <x:c r="R4629" s="18" t="n">
        <x:v>0</x:v>
      </x:c>
      <x:c r="S4629" s="18" t="n">
        <x:v>520</x:v>
      </x:c>
      <x:c r="T4629" s="18" t="n">
        <x:v>637</x:v>
      </x:c>
      <x:c r="U4629" s="18" t="n">
        <x:v>520</x:v>
      </x:c>
      <x:c r="V4629" s="20" t="n">
        <x:v>8.8</x:v>
      </x:c>
      <x:c r="W4629" s="20" t="n">
        <x:v>9.9</x:v>
      </x:c>
      <x:c r="X4629" s="20" t="n">
        <x:v>3.3</x:v>
      </x:c>
      <x:c r="Y4629" t="str">
        <x:v>Basis arsip 2025/2024</x:v>
      </x:c>
      <x:c r="Z4629" t="str">
        <x:v>https://snpmb.id/utbk-snbt/daya-tampung-snbt</x:v>
      </x:c>
      <x:c r="AA4629" t="str">
        <x:v>Tidak Ada</x:v>
      </x:c>
      <x:c r="AB4629" t="str">
        <x:v>Campus=55; Ratio=0.0; Prodi=40; RelDemand=30.6; Capacity=80.0</x:v>
      </x:c>
    </x:row>
    <x:row r="4630">
      <x:c r="A4630" t="n">
        <x:v>4627</x:v>
      </x:c>
      <x:c r="B4630" t="str">
        <x:v>PTN Vokasi</x:v>
      </x:c>
      <x:c r="C4630" t="str">
        <x:v>POLITEKNIK PERTANIAN NEGERI KUPANG</x:v>
      </x:c>
      <x:c r="D4630" t="str">
        <x:v>MANAJEMEN SUMBER DAYA HUTAN</x:v>
      </x:c>
      <x:c r="E4630" t="str">
        <x:v>Diploma Tiga</x:v>
      </x:c>
      <x:c r="F4630" s="18" t="n">
        <x:v>20</x:v>
      </x:c>
      <x:c r="G4630" s="18" t="n">
        <x:v>20</x:v>
      </x:c>
      <x:c r="H4630" s="19" t="n">
        <x:v>1</x:v>
      </x:c>
      <x:c r="I4630" s="18" t="n">
        <x:f>ROUND(MIN(Model_Config_v3!$B$6,MAX(Q4630,R4630,S4630*Model_Config_v3!$B$4+T4630*Model_Config_v3!$B$5)),0)</x:f>
        <x:v>612</x:v>
      </x:c>
      <x:c r="J4630" s="18" t="n">
        <x:f>MIN(Model_Config_v3!$B$6,I4630+Model_Config_v3!$B$7)</x:f>
        <x:v>632</x:v>
      </x:c>
      <x:c r="K4630" s="20" t="n">
        <x:v>45.8</x:v>
      </x:c>
      <x:c r="L4630" t="str">
        <x:v>MENENGAH</x:v>
      </x:c>
      <x:c r="M4630" t="str">
        <x:v>SEDANG+</x:v>
      </x:c>
      <x:c r="N4630" t="str">
        <x:v>REGULER</x:v>
      </x:c>
      <x:c r="O4630" t="str">
        <x:v>SOSHUM</x:v>
      </x:c>
      <x:c r="P4630" t="str">
        <x:v>BISNIS/EKONOMI/AKUNTANSI</x:v>
      </x:c>
      <x:c r="Q4630" s="18" t="n">
        <x:v>0</x:v>
      </x:c>
      <x:c r="R4630" s="18" t="n">
        <x:v>0</x:v>
      </x:c>
      <x:c r="S4630" s="18" t="n">
        <x:v>520</x:v>
      </x:c>
      <x:c r="T4630" s="18" t="n">
        <x:v>652</x:v>
      </x:c>
      <x:c r="U4630" s="18" t="n">
        <x:v>535</x:v>
      </x:c>
      <x:c r="V4630" s="20" t="n">
        <x:v>4.4</x:v>
      </x:c>
      <x:c r="W4630" s="20" t="n">
        <x:v>14.3</x:v>
      </x:c>
      <x:c r="X4630" s="20" t="n">
        <x:v>3.3</x:v>
      </x:c>
      <x:c r="Y4630" t="str">
        <x:v>Basis arsip 2025/2024</x:v>
      </x:c>
      <x:c r="Z4630" t="str">
        <x:v>https://snpmb.id/utbk-snbt/daya-tampung-snbt</x:v>
      </x:c>
      <x:c r="AA4630" t="str">
        <x:v>Tidak Ada</x:v>
      </x:c>
      <x:c r="AB4630" t="str">
        <x:v>Campus=55; Ratio=0.0; Prodi=65; RelDemand=52.5; Capacity=83.3</x:v>
      </x:c>
    </x:row>
    <x:row r="4631">
      <x:c r="A4631" t="n">
        <x:v>4628</x:v>
      </x:c>
      <x:c r="B4631" t="str">
        <x:v>PTN Vokasi</x:v>
      </x:c>
      <x:c r="C4631" t="str">
        <x:v>POLITEKNIK PERTANIAN NEGERI KUPANG</x:v>
      </x:c>
      <x:c r="D4631" t="str">
        <x:v>TEKNOLOGI BUDIDAYA PERIKANAN</x:v>
      </x:c>
      <x:c r="E4631" t="str">
        <x:v>Diploma Tiga</x:v>
      </x:c>
      <x:c r="F4631" s="18" t="n">
        <x:v>12</x:v>
      </x:c>
      <x:c r="G4631" s="18" t="n">
        <x:v>19</x:v>
      </x:c>
      <x:c r="H4631" s="19" t="n">
        <x:v>1.5833333333333333</x:v>
      </x:c>
      <x:c r="I4631" s="18" t="n">
        <x:f>ROUND(MIN(Model_Config_v3!$B$6,MAX(Q4631,R4631,S4631*Model_Config_v3!$B$4+T4631*Model_Config_v3!$B$5)),0)</x:f>
        <x:v>621</x:v>
      </x:c>
      <x:c r="J4631" s="18" t="n">
        <x:f>MIN(Model_Config_v3!$B$6,I4631+Model_Config_v3!$B$7)</x:f>
        <x:v>641</x:v>
      </x:c>
      <x:c r="K4631" s="20" t="n">
        <x:v>47.5</x:v>
      </x:c>
      <x:c r="L4631" t="str">
        <x:v>MENENGAH</x:v>
      </x:c>
      <x:c r="M4631" t="str">
        <x:v>SEDANG</x:v>
      </x:c>
      <x:c r="N4631" t="str">
        <x:v>REGULER</x:v>
      </x:c>
      <x:c r="O4631" t="str">
        <x:v>SAINTEK</x:v>
      </x:c>
      <x:c r="P4631" t="str">
        <x:v>UMUM</x:v>
      </x:c>
      <x:c r="Q4631" s="18" t="n">
        <x:v>0</x:v>
      </x:c>
      <x:c r="R4631" s="18" t="n">
        <x:v>0</x:v>
      </x:c>
      <x:c r="S4631" s="18" t="n">
        <x:v>541.9529590395724</x:v>
      </x:c>
      <x:c r="T4631" s="18" t="n">
        <x:v>655</x:v>
      </x:c>
      <x:c r="U4631" s="18" t="n">
        <x:v>541.9529590395724</x:v>
      </x:c>
      <x:c r="V4631" s="20" t="n">
        <x:v>12</x:v>
      </x:c>
      <x:c r="W4631" s="20" t="n">
        <x:v>5</x:v>
      </x:c>
      <x:c r="X4631" s="20" t="n">
        <x:v>3</x:v>
      </x:c>
      <x:c r="Y4631" t="str">
        <x:v>Basis arsip 2025/2024</x:v>
      </x:c>
      <x:c r="Z4631" t="str">
        <x:v>https://snpmb.id/utbk-snbt/daya-tampung-snbt</x:v>
      </x:c>
      <x:c r="AA4631" t="str">
        <x:v>Tidak Ada</x:v>
      </x:c>
      <x:c r="AB4631" t="str">
        <x:v>Campus=55; Ratio=11.7; Prodi=40; RelDemand=83.2; Capacity=90.0</x:v>
      </x:c>
    </x:row>
    <x:row r="4632">
      <x:c r="A4632" t="n">
        <x:v>4629</x:v>
      </x:c>
      <x:c r="B4632" t="str">
        <x:v>PTN Vokasi</x:v>
      </x:c>
      <x:c r="C4632" t="str">
        <x:v>POLITEKNIK PERTANIAN NEGERI KUPANG</x:v>
      </x:c>
      <x:c r="D4632" t="str">
        <x:v>PRODUKSI TERNAK</x:v>
      </x:c>
      <x:c r="E4632" t="str">
        <x:v>Diploma Tiga</x:v>
      </x:c>
      <x:c r="F4632" s="18" t="n">
        <x:v>28</x:v>
      </x:c>
      <x:c r="G4632" s="18" t="n">
        <x:v>17</x:v>
      </x:c>
      <x:c r="H4632" s="19" t="n">
        <x:v>0.6071428571428571</x:v>
      </x:c>
      <x:c r="I4632" s="18" t="n">
        <x:f>ROUND(MIN(Model_Config_v3!$B$6,MAX(Q4632,R4632,S4632*Model_Config_v3!$B$4+T4632*Model_Config_v3!$B$5)),0)</x:f>
        <x:v>601</x:v>
      </x:c>
      <x:c r="J4632" s="18" t="n">
        <x:f>MIN(Model_Config_v3!$B$6,I4632+Model_Config_v3!$B$7)</x:f>
        <x:v>621</x:v>
      </x:c>
      <x:c r="K4632" s="20" t="n">
        <x:v>38.1</x:v>
      </x:c>
      <x:c r="L4632" t="str">
        <x:v>RELATIF LONGGAR</x:v>
      </x:c>
      <x:c r="M4632" t="str">
        <x:v>SEDANG</x:v>
      </x:c>
      <x:c r="N4632" t="str">
        <x:v>REGULER</x:v>
      </x:c>
      <x:c r="O4632" t="str">
        <x:v>CAMPURAN</x:v>
      </x:c>
      <x:c r="P4632" t="str">
        <x:v>UMUM</x:v>
      </x:c>
      <x:c r="Q4632" s="18" t="n">
        <x:v>0</x:v>
      </x:c>
      <x:c r="R4632" s="18" t="n">
        <x:v>0</x:v>
      </x:c>
      <x:c r="S4632" s="18" t="n">
        <x:v>520</x:v>
      </x:c>
      <x:c r="T4632" s="18" t="n">
        <x:v>636</x:v>
      </x:c>
      <x:c r="U4632" s="18" t="n">
        <x:v>520</x:v>
      </x:c>
      <x:c r="V4632" s="20" t="n">
        <x:v>8.8</x:v>
      </x:c>
      <x:c r="W4632" s="20" t="n">
        <x:v>9.9</x:v>
      </x:c>
      <x:c r="X4632" s="20" t="n">
        <x:v>3.3</x:v>
      </x:c>
      <x:c r="Y4632" t="str">
        <x:v>Basis arsip 2025/2024</x:v>
      </x:c>
      <x:c r="Z4632" t="str">
        <x:v>https://snpmb.id/utbk-snbt/daya-tampung-snbt</x:v>
      </x:c>
      <x:c r="AA4632" t="str">
        <x:v>Tidak Ada</x:v>
      </x:c>
      <x:c r="AB4632" t="str">
        <x:v>Campus=55; Ratio=0.0; Prodi=40; RelDemand=31.9; Capacity=76.7</x:v>
      </x:c>
    </x:row>
    <x:row r="4633">
      <x:c r="A4633" t="n">
        <x:v>4630</x:v>
      </x:c>
      <x:c r="B4633" t="str">
        <x:v>PTN Vokasi</x:v>
      </x:c>
      <x:c r="C4633" t="str">
        <x:v>POLITEKNIK PERTANIAN NEGERI KUPANG</x:v>
      </x:c>
      <x:c r="D4633" t="str">
        <x:v>MANAJEMEN PERTANIAN LAHAN KERING</x:v>
      </x:c>
      <x:c r="E4633" t="str">
        <x:v>Diploma Tiga</x:v>
      </x:c>
      <x:c r="F4633" s="18" t="n">
        <x:v>20</x:v>
      </x:c>
      <x:c r="G4633" s="18" t="n">
        <x:v>20</x:v>
      </x:c>
      <x:c r="H4633" s="19" t="n">
        <x:v>1</x:v>
      </x:c>
      <x:c r="I4633" s="18" t="n">
        <x:f>ROUND(MIN(Model_Config_v3!$B$6,MAX(Q4633,R4633,S4633*Model_Config_v3!$B$4+T4633*Model_Config_v3!$B$5)),0)</x:f>
        <x:v>612</x:v>
      </x:c>
      <x:c r="J4633" s="18" t="n">
        <x:f>MIN(Model_Config_v3!$B$6,I4633+Model_Config_v3!$B$7)</x:f>
        <x:v>632</x:v>
      </x:c>
      <x:c r="K4633" s="20" t="n">
        <x:v>45.8</x:v>
      </x:c>
      <x:c r="L4633" t="str">
        <x:v>MENENGAH</x:v>
      </x:c>
      <x:c r="M4633" t="str">
        <x:v>SEDANG+</x:v>
      </x:c>
      <x:c r="N4633" t="str">
        <x:v>REGULER</x:v>
      </x:c>
      <x:c r="O4633" t="str">
        <x:v>SAINTEK</x:v>
      </x:c>
      <x:c r="P4633" t="str">
        <x:v>BISNIS/EKONOMI/AKUNTANSI</x:v>
      </x:c>
      <x:c r="Q4633" s="18" t="n">
        <x:v>0</x:v>
      </x:c>
      <x:c r="R4633" s="18" t="n">
        <x:v>0</x:v>
      </x:c>
      <x:c r="S4633" s="18" t="n">
        <x:v>520</x:v>
      </x:c>
      <x:c r="T4633" s="18" t="n">
        <x:v>652</x:v>
      </x:c>
      <x:c r="U4633" s="18" t="n">
        <x:v>535</x:v>
      </x:c>
      <x:c r="V4633" s="20" t="n">
        <x:v>12</x:v>
      </x:c>
      <x:c r="W4633" s="20" t="n">
        <x:v>5</x:v>
      </x:c>
      <x:c r="X4633" s="20" t="n">
        <x:v>3</x:v>
      </x:c>
      <x:c r="Y4633" t="str">
        <x:v>Basis arsip 2025/2024</x:v>
      </x:c>
      <x:c r="Z4633" t="str">
        <x:v>https://snpmb.id/utbk-snbt/daya-tampung-snbt</x:v>
      </x:c>
      <x:c r="AA4633" t="str">
        <x:v>Tidak Ada</x:v>
      </x:c>
      <x:c r="AB4633" t="str">
        <x:v>Campus=55; Ratio=0.0; Prodi=65; RelDemand=52.5; Capacity=83.3</x:v>
      </x:c>
    </x:row>
    <x:row r="4634">
      <x:c r="A4634" t="n">
        <x:v>4631</x:v>
      </x:c>
      <x:c r="B4634" t="str">
        <x:v>PTN Vokasi</x:v>
      </x:c>
      <x:c r="C4634" t="str">
        <x:v>POLITEKNIK PERTANIAN NEGERI KUPANG</x:v>
      </x:c>
      <x:c r="D4634" t="str">
        <x:v>KESEHATAN HEWAN</x:v>
      </x:c>
      <x:c r="E4634" t="str">
        <x:v>Diploma Tiga</x:v>
      </x:c>
      <x:c r="F4634" s="18" t="n">
        <x:v>40</x:v>
      </x:c>
      <x:c r="G4634" s="18" t="n">
        <x:v>76</x:v>
      </x:c>
      <x:c r="H4634" s="19" t="n">
        <x:v>1.9</x:v>
      </x:c>
      <x:c r="I4634" s="18" t="n">
        <x:f>ROUND(MIN(Model_Config_v3!$B$6,MAX(Q4634,R4634,S4634*Model_Config_v3!$B$4+T4634*Model_Config_v3!$B$5)),0)</x:f>
        <x:v>629</x:v>
      </x:c>
      <x:c r="J4634" s="18" t="n">
        <x:f>MIN(Model_Config_v3!$B$6,I4634+Model_Config_v3!$B$7)</x:f>
        <x:v>649</x:v>
      </x:c>
      <x:c r="K4634" s="20" t="n">
        <x:v>51</x:v>
      </x:c>
      <x:c r="L4634" t="str">
        <x:v>MENENGAH</x:v>
      </x:c>
      <x:c r="M4634" t="str">
        <x:v>SEDANG+</x:v>
      </x:c>
      <x:c r="N4634" t="str">
        <x:v>REGULER</x:v>
      </x:c>
      <x:c r="O4634" t="str">
        <x:v>SAINTEK</x:v>
      </x:c>
      <x:c r="P4634" t="str">
        <x:v>KESEHAT/GIZI/KEPERAWATAN</x:v>
      </x:c>
      <x:c r="Q4634" s="18" t="n">
        <x:v>0</x:v>
      </x:c>
      <x:c r="R4634" s="18" t="n">
        <x:v>0</x:v>
      </x:c>
      <x:c r="S4634" s="18" t="n">
        <x:v>550.6628961048111</x:v>
      </x:c>
      <x:c r="T4634" s="18" t="n">
        <x:v>662</x:v>
      </x:c>
      <x:c r="U4634" s="18" t="n">
        <x:v>550.6628961048111</x:v>
      </x:c>
      <x:c r="V4634" s="20" t="n">
        <x:v>12</x:v>
      </x:c>
      <x:c r="W4634" s="20" t="n">
        <x:v>5</x:v>
      </x:c>
      <x:c r="X4634" s="20" t="n">
        <x:v>3</x:v>
      </x:c>
      <x:c r="Y4634" t="str">
        <x:v>Basis arsip 2025/2024</x:v>
      </x:c>
      <x:c r="Z4634" t="str">
        <x:v>https://snpmb.id/utbk-snbt/daya-tampung-snbt</x:v>
      </x:c>
      <x:c r="AA4634" t="str">
        <x:v>Tidak Ada</x:v>
      </x:c>
      <x:c r="AB4634" t="str">
        <x:v>Campus=55; Ratio=16.4; Prodi=55; RelDemand=99.8; Capacity=66.7</x:v>
      </x:c>
    </x:row>
    <x:row r="4635">
      <x:c r="A4635" t="n">
        <x:v>4632</x:v>
      </x:c>
      <x:c r="B4635" t="str">
        <x:v>PTN Vokasi</x:v>
      </x:c>
      <x:c r="C4635" t="str">
        <x:v>POLITEKNIK NEGERI UJUNG PANDANG</x:v>
      </x:c>
      <x:c r="D4635" t="str">
        <x:v>PERANCANGAN BANGUNAN GEDUNG</x:v>
      </x:c>
      <x:c r="E4635" t="str">
        <x:v>Sarjana Terapan</x:v>
      </x:c>
      <x:c r="F4635" s="18" t="n">
        <x:v>40</x:v>
      </x:c>
      <x:c r="G4635" s="18" t="n">
        <x:v>214</x:v>
      </x:c>
      <x:c r="H4635" s="19" t="n">
        <x:v>5.35</x:v>
      </x:c>
      <x:c r="I4635" s="18" t="n">
        <x:f>ROUND(MIN(Model_Config_v3!$B$6,MAX(Q4635,R4635,S4635*Model_Config_v3!$B$4+T4635*Model_Config_v3!$B$5)),0)</x:f>
        <x:v>639</x:v>
      </x:c>
      <x:c r="J4635" s="18" t="n">
        <x:f>MIN(Model_Config_v3!$B$6,I4635+Model_Config_v3!$B$7)</x:f>
        <x:v>659</x:v>
      </x:c>
      <x:c r="K4635" s="20" t="n">
        <x:v>47.7</x:v>
      </x:c>
      <x:c r="L4635" t="str">
        <x:v>MENENGAH</x:v>
      </x:c>
      <x:c r="M4635" t="str">
        <x:v>SEDANG</x:v>
      </x:c>
      <x:c r="N4635" t="str">
        <x:v>REGULER</x:v>
      </x:c>
      <x:c r="O4635" t="str">
        <x:v>CAMPURAN</x:v>
      </x:c>
      <x:c r="P4635" t="str">
        <x:v>UMUM</x:v>
      </x:c>
      <x:c r="Q4635" s="18" t="n">
        <x:v>0</x:v>
      </x:c>
      <x:c r="R4635" s="18" t="n">
        <x:v>0</x:v>
      </x:c>
      <x:c r="S4635" s="18" t="n">
        <x:v>600.1189160223352</x:v>
      </x:c>
      <x:c r="T4635" s="18" t="n">
        <x:v>655</x:v>
      </x:c>
      <x:c r="U4635" s="18" t="n">
        <x:v>600.1189160223352</x:v>
      </x:c>
      <x:c r="V4635" s="20" t="n">
        <x:v>8.8</x:v>
      </x:c>
      <x:c r="W4635" s="20" t="n">
        <x:v>9.9</x:v>
      </x:c>
      <x:c r="X4635" s="20" t="n">
        <x:v>3.3</x:v>
      </x:c>
      <x:c r="Y4635" t="str">
        <x:v>Basis arsip 2025/2024</x:v>
      </x:c>
      <x:c r="Z4635" t="str">
        <x:v>https://snpmb.id/utbk-snbt/daya-tampung-snbt</x:v>
      </x:c>
      <x:c r="AA4635" t="str">
        <x:v>Tidak Ada</x:v>
      </x:c>
      <x:c r="AB4635" t="str">
        <x:v>Campus=55; Ratio=42.9; Prodi=40; RelDemand=30.2; Capacity=66.7</x:v>
      </x:c>
    </x:row>
    <x:row r="4636">
      <x:c r="A4636" t="n">
        <x:v>4633</x:v>
      </x:c>
      <x:c r="B4636" t="str">
        <x:v>PTN Vokasi</x:v>
      </x:c>
      <x:c r="C4636" t="str">
        <x:v>POLITEKNIK NEGERI UJUNG PANDANG</x:v>
      </x:c>
      <x:c r="D4636" t="str">
        <x:v>JASA KONSTRUKSI</x:v>
      </x:c>
      <x:c r="E4636" t="str">
        <x:v>Sarjana Terapan</x:v>
      </x:c>
      <x:c r="F4636" s="18" t="n">
        <x:v>40</x:v>
      </x:c>
      <x:c r="G4636" s="18" t="n">
        <x:v>129</x:v>
      </x:c>
      <x:c r="H4636" s="19" t="n">
        <x:v>3.225</x:v>
      </x:c>
      <x:c r="I4636" s="18" t="n">
        <x:f>ROUND(MIN(Model_Config_v3!$B$6,MAX(Q4636,R4636,S4636*Model_Config_v3!$B$4+T4636*Model_Config_v3!$B$5)),0)</x:f>
        <x:v>625</x:v>
      </x:c>
      <x:c r="J4636" s="18" t="n">
        <x:f>MIN(Model_Config_v3!$B$6,I4636+Model_Config_v3!$B$7)</x:f>
        <x:v>645</x:v>
      </x:c>
      <x:c r="K4636" s="20" t="n">
        <x:v>43.2</x:v>
      </x:c>
      <x:c r="L4636" t="str">
        <x:v>RELATIF LONGGAR</x:v>
      </x:c>
      <x:c r="M4636" t="str">
        <x:v>SEDANG</x:v>
      </x:c>
      <x:c r="N4636" t="str">
        <x:v>REGULER</x:v>
      </x:c>
      <x:c r="O4636" t="str">
        <x:v>CAMPURAN</x:v>
      </x:c>
      <x:c r="P4636" t="str">
        <x:v>UMUM</x:v>
      </x:c>
      <x:c r="Q4636" s="18" t="n">
        <x:v>0</x:v>
      </x:c>
      <x:c r="R4636" s="18" t="n">
        <x:v>0</x:v>
      </x:c>
      <x:c r="S4636" s="18" t="n">
        <x:v>575.9382690868415</x:v>
      </x:c>
      <x:c r="T4636" s="18" t="n">
        <x:v>646</x:v>
      </x:c>
      <x:c r="U4636" s="18" t="n">
        <x:v>575.9382690868415</x:v>
      </x:c>
      <x:c r="V4636" s="20" t="n">
        <x:v>8.8</x:v>
      </x:c>
      <x:c r="W4636" s="20" t="n">
        <x:v>9.9</x:v>
      </x:c>
      <x:c r="X4636" s="20" t="n">
        <x:v>3.3</x:v>
      </x:c>
      <x:c r="Y4636" t="str">
        <x:v>Basis arsip 2025/2024</x:v>
      </x:c>
      <x:c r="Z4636" t="str">
        <x:v>https://snpmb.id/utbk-snbt/daya-tampung-snbt</x:v>
      </x:c>
      <x:c r="AA4636" t="str">
        <x:v>Tidak Ada</x:v>
      </x:c>
      <x:c r="AB4636" t="str">
        <x:v>Campus=55; Ratio=29.9; Prodi=40; RelDemand=18.2; Capacity=66.7</x:v>
      </x:c>
    </x:row>
    <x:row r="4637">
      <x:c r="A4637" t="n">
        <x:v>4634</x:v>
      </x:c>
      <x:c r="B4637" t="str">
        <x:v>PTN Vokasi</x:v>
      </x:c>
      <x:c r="C4637" t="str">
        <x:v>POLITEKNIK NEGERI UJUNG PANDANG</x:v>
      </x:c>
      <x:c r="D4637" t="str">
        <x:v>TEKNIK PEMBANGKIT ENERGI</x:v>
      </x:c>
      <x:c r="E4637" t="str">
        <x:v>Sarjana Terapan</x:v>
      </x:c>
      <x:c r="F4637" s="18" t="n">
        <x:v>40</x:v>
      </x:c>
      <x:c r="G4637" s="18" t="n">
        <x:v>56</x:v>
      </x:c>
      <x:c r="H4637" s="19" t="n">
        <x:v>1.4</x:v>
      </x:c>
      <x:c r="I4637" s="18" t="n">
        <x:f>ROUND(MIN(Model_Config_v3!$B$6,MAX(Q4637,R4637,S4637*Model_Config_v3!$B$4+T4637*Model_Config_v3!$B$5)),0)</x:f>
        <x:v>610</x:v>
      </x:c>
      <x:c r="J4637" s="18" t="n">
        <x:f>MIN(Model_Config_v3!$B$6,I4637+Model_Config_v3!$B$7)</x:f>
        <x:v>630</x:v>
      </x:c>
      <x:c r="K4637" s="20" t="n">
        <x:v>40.9</x:v>
      </x:c>
      <x:c r="L4637" t="str">
        <x:v>RELATIF LONGGAR</x:v>
      </x:c>
      <x:c r="M4637" t="str">
        <x:v>SEDANG+</x:v>
      </x:c>
      <x:c r="N4637" t="str">
        <x:v>REGULER</x:v>
      </x:c>
      <x:c r="O4637" t="str">
        <x:v>SAINTEK</x:v>
      </x:c>
      <x:c r="P4637" t="str">
        <x:v>TEKNIK/ARSITEKTUR/STATISTIKA/AKTUARIA</x:v>
      </x:c>
      <x:c r="Q4637" s="18" t="n">
        <x:v>0</x:v>
      </x:c>
      <x:c r="R4637" s="18" t="n">
        <x:v>0</x:v>
      </x:c>
      <x:c r="S4637" s="18" t="n">
        <x:v>536.0740839246062</x:v>
      </x:c>
      <x:c r="T4637" s="18" t="n">
        <x:v>642</x:v>
      </x:c>
      <x:c r="U4637" s="18" t="n">
        <x:v>546.0740839246062</x:v>
      </x:c>
      <x:c r="V4637" s="20" t="n">
        <x:v>12</x:v>
      </x:c>
      <x:c r="W4637" s="20" t="n">
        <x:v>5</x:v>
      </x:c>
      <x:c r="X4637" s="20" t="n">
        <x:v>3</x:v>
      </x:c>
      <x:c r="Y4637" t="str">
        <x:v>Basis arsip 2025/2024</x:v>
      </x:c>
      <x:c r="Z4637" t="str">
        <x:v>https://snpmb.id/utbk-snbt/daya-tampung-snbt</x:v>
      </x:c>
      <x:c r="AA4637" t="str">
        <x:v>Tidak Ada</x:v>
      </x:c>
      <x:c r="AB4637" t="str">
        <x:v>Campus=55; Ratio=8.6; Prodi=60; RelDemand=7.9; Capacity=66.7</x:v>
      </x:c>
    </x:row>
    <x:row r="4638">
      <x:c r="A4638" t="n">
        <x:v>4635</x:v>
      </x:c>
      <x:c r="B4638" t="str">
        <x:v>PTN Vokasi</x:v>
      </x:c>
      <x:c r="C4638" t="str">
        <x:v>POLITEKNIK NEGERI UJUNG PANDANG</x:v>
      </x:c>
      <x:c r="D4638" t="str">
        <x:v>TEKNOLOGI KIMIA INDUSTRI</x:v>
      </x:c>
      <x:c r="E4638" t="str">
        <x:v>Sarjana Terapan</x:v>
      </x:c>
      <x:c r="F4638" s="18" t="n">
        <x:v>50</x:v>
      </x:c>
      <x:c r="G4638" s="18" t="n">
        <x:v>326</x:v>
      </x:c>
      <x:c r="H4638" s="19" t="n">
        <x:v>6.52</x:v>
      </x:c>
      <x:c r="I4638" s="18" t="n">
        <x:f>ROUND(MIN(Model_Config_v3!$B$6,MAX(Q4638,R4638,S4638*Model_Config_v3!$B$4+T4638*Model_Config_v3!$B$5)),0)</x:f>
        <x:v>646</x:v>
      </x:c>
      <x:c r="J4638" s="18" t="n">
        <x:f>MIN(Model_Config_v3!$B$6,I4638+Model_Config_v3!$B$7)</x:f>
        <x:v>666</x:v>
      </x:c>
      <x:c r="K4638" s="20" t="n">
        <x:v>50.7</x:v>
      </x:c>
      <x:c r="L4638" t="str">
        <x:v>MENENGAH</x:v>
      </x:c>
      <x:c r="M4638" t="str">
        <x:v>SEDANG+</x:v>
      </x:c>
      <x:c r="N4638" t="str">
        <x:v>REGULER</x:v>
      </x:c>
      <x:c r="O4638" t="str">
        <x:v>SAINTEK</x:v>
      </x:c>
      <x:c r="P4638" t="str">
        <x:v>SAINS DASAR</x:v>
      </x:c>
      <x:c r="Q4638" s="18" t="n">
        <x:v>0</x:v>
      </x:c>
      <x:c r="R4638" s="18" t="n">
        <x:v>0</x:v>
      </x:c>
      <x:c r="S4638" s="18" t="n">
        <x:v>609.5672355305112</x:v>
      </x:c>
      <x:c r="T4638" s="18" t="n">
        <x:v>661</x:v>
      </x:c>
      <x:c r="U4638" s="18" t="n">
        <x:v>609.5672355305112</x:v>
      </x:c>
      <x:c r="V4638" s="20" t="n">
        <x:v>12</x:v>
      </x:c>
      <x:c r="W4638" s="20" t="n">
        <x:v>5</x:v>
      </x:c>
      <x:c r="X4638" s="20" t="n">
        <x:v>3</x:v>
      </x:c>
      <x:c r="Y4638" t="str">
        <x:v>Basis arsip 2025/2024</x:v>
      </x:c>
      <x:c r="Z4638" t="str">
        <x:v>https://snpmb.id/utbk-snbt/daya-tampung-snbt</x:v>
      </x:c>
      <x:c r="AA4638" t="str">
        <x:v>Tidak Ada</x:v>
      </x:c>
      <x:c r="AB4638" t="str">
        <x:v>Campus=55; Ratio=47.9; Prodi=50; RelDemand=36.8; Capacity=58.3</x:v>
      </x:c>
    </x:row>
    <x:row r="4639">
      <x:c r="A4639" t="n">
        <x:v>4636</x:v>
      </x:c>
      <x:c r="B4639" t="str">
        <x:v>PTN Vokasi</x:v>
      </x:c>
      <x:c r="C4639" t="str">
        <x:v>POLITEKNIK NEGERI UJUNG PANDANG</x:v>
      </x:c>
      <x:c r="D4639" t="str">
        <x:v>TEKNIK MEKATRONIKA</x:v>
      </x:c>
      <x:c r="E4639" t="str">
        <x:v>Sarjana Terapan</x:v>
      </x:c>
      <x:c r="F4639" s="18" t="n">
        <x:v>40</x:v>
      </x:c>
      <x:c r="G4639" s="18" t="n">
        <x:v>100</x:v>
      </x:c>
      <x:c r="H4639" s="19" t="n">
        <x:v>2.5</x:v>
      </x:c>
      <x:c r="I4639" s="18" t="n">
        <x:f>ROUND(MIN(Model_Config_v3!$B$6,MAX(Q4639,R4639,S4639*Model_Config_v3!$B$4+T4639*Model_Config_v3!$B$5)),0)</x:f>
        <x:v>624</x:v>
      </x:c>
      <x:c r="J4639" s="18" t="n">
        <x:f>MIN(Model_Config_v3!$B$6,I4639+Model_Config_v3!$B$7)</x:f>
        <x:v>644</x:v>
      </x:c>
      <x:c r="K4639" s="20" t="n">
        <x:v>45.2</x:v>
      </x:c>
      <x:c r="L4639" t="str">
        <x:v>MENENGAH</x:v>
      </x:c>
      <x:c r="M4639" t="str">
        <x:v>SEDANG+</x:v>
      </x:c>
      <x:c r="N4639" t="str">
        <x:v>REGULER</x:v>
      </x:c>
      <x:c r="O4639" t="str">
        <x:v>SAINTEK</x:v>
      </x:c>
      <x:c r="P4639" t="str">
        <x:v>TEKNIK/ARSITEKTUR/STATISTIKA/AKTUARIA</x:v>
      </x:c>
      <x:c r="Q4639" s="18" t="n">
        <x:v>0</x:v>
      </x:c>
      <x:c r="R4639" s="18" t="n">
        <x:v>0</x:v>
      </x:c>
      <x:c r="S4639" s="18" t="n">
        <x:v>563.7734009539241</x:v>
      </x:c>
      <x:c r="T4639" s="18" t="n">
        <x:v>650</x:v>
      </x:c>
      <x:c r="U4639" s="18" t="n">
        <x:v>573.7734009539241</x:v>
      </x:c>
      <x:c r="V4639" s="20" t="n">
        <x:v>12</x:v>
      </x:c>
      <x:c r="W4639" s="20" t="n">
        <x:v>5</x:v>
      </x:c>
      <x:c r="X4639" s="20" t="n">
        <x:v>3</x:v>
      </x:c>
      <x:c r="Y4639" t="str">
        <x:v>Basis arsip 2025/2024</x:v>
      </x:c>
      <x:c r="Z4639" t="str">
        <x:v>https://snpmb.id/utbk-snbt/daya-tampung-snbt</x:v>
      </x:c>
      <x:c r="AA4639" t="str">
        <x:v>Tidak Ada</x:v>
      </x:c>
      <x:c r="AB4639" t="str">
        <x:v>Campus=55; Ratio=23.4; Prodi=60; RelDemand=14.1; Capacity=66.7</x:v>
      </x:c>
    </x:row>
    <x:row r="4640">
      <x:c r="A4640" t="n">
        <x:v>4637</x:v>
      </x:c>
      <x:c r="B4640" t="str">
        <x:v>PTN Vokasi</x:v>
      </x:c>
      <x:c r="C4640" t="str">
        <x:v>POLITEKNIK NEGERI UJUNG PANDANG</x:v>
      </x:c>
      <x:c r="D4640" t="str">
        <x:v>TEKNIK MANUFAKTUR</x:v>
      </x:c>
      <x:c r="E4640" t="str">
        <x:v>Sarjana Terapan</x:v>
      </x:c>
      <x:c r="F4640" s="18" t="n">
        <x:v>30</x:v>
      </x:c>
      <x:c r="G4640" s="18" t="n">
        <x:v>91</x:v>
      </x:c>
      <x:c r="H4640" s="19" t="n">
        <x:v>3.033333333333333</x:v>
      </x:c>
      <x:c r="I4640" s="18" t="n">
        <x:f>ROUND(MIN(Model_Config_v3!$B$6,MAX(Q4640,R4640,S4640*Model_Config_v3!$B$4+T4640*Model_Config_v3!$B$5)),0)</x:f>
        <x:v>630</x:v>
      </x:c>
      <x:c r="J4640" s="18" t="n">
        <x:f>MIN(Model_Config_v3!$B$6,I4640+Model_Config_v3!$B$7)</x:f>
        <x:v>650</x:v>
      </x:c>
      <x:c r="K4640" s="20" t="n">
        <x:v>47.6</x:v>
      </x:c>
      <x:c r="L4640" t="str">
        <x:v>MENENGAH</x:v>
      </x:c>
      <x:c r="M4640" t="str">
        <x:v>SEDANG+</x:v>
      </x:c>
      <x:c r="N4640" t="str">
        <x:v>REGULER</x:v>
      </x:c>
      <x:c r="O4640" t="str">
        <x:v>SAINTEK</x:v>
      </x:c>
      <x:c r="P4640" t="str">
        <x:v>TEKNIK/ARSITEKTUR/STATISTIKA/AKTUARIA</x:v>
      </x:c>
      <x:c r="Q4640" s="18" t="n">
        <x:v>0</x:v>
      </x:c>
      <x:c r="R4640" s="18" t="n">
        <x:v>0</x:v>
      </x:c>
      <x:c r="S4640" s="18" t="n">
        <x:v>573.0112151361574</x:v>
      </x:c>
      <x:c r="T4640" s="18" t="n">
        <x:v>655</x:v>
      </x:c>
      <x:c r="U4640" s="18" t="n">
        <x:v>583.0112151361574</x:v>
      </x:c>
      <x:c r="V4640" s="20" t="n">
        <x:v>12</x:v>
      </x:c>
      <x:c r="W4640" s="20" t="n">
        <x:v>5</x:v>
      </x:c>
      <x:c r="X4640" s="20" t="n">
        <x:v>3</x:v>
      </x:c>
      <x:c r="Y4640" t="str">
        <x:v>Basis arsip 2025/2024</x:v>
      </x:c>
      <x:c r="Z4640" t="str">
        <x:v>https://snpmb.id/utbk-snbt/daya-tampung-snbt</x:v>
      </x:c>
      <x:c r="AA4640" t="str">
        <x:v>Tidak Ada</x:v>
      </x:c>
      <x:c r="AB4640" t="str">
        <x:v>Campus=55; Ratio=28.4; Prodi=60; RelDemand=17.1; Capacity=75.0</x:v>
      </x:c>
    </x:row>
    <x:row r="4641">
      <x:c r="A4641" t="n">
        <x:v>4638</x:v>
      </x:c>
      <x:c r="B4641" t="str">
        <x:v>PTN Vokasi</x:v>
      </x:c>
      <x:c r="C4641" t="str">
        <x:v>POLITEKNIK NEGERI UJUNG PANDANG</x:v>
      </x:c>
      <x:c r="D4641" t="str">
        <x:v>TEKNIK MULTIMEDIA &amp; JARINGAN</x:v>
      </x:c>
      <x:c r="E4641" t="str">
        <x:v>Sarjana Terapan</x:v>
      </x:c>
      <x:c r="F4641" s="18" t="n">
        <x:v>40</x:v>
      </x:c>
      <x:c r="G4641" s="18" t="n">
        <x:v>320</x:v>
      </x:c>
      <x:c r="H4641" s="19" t="n">
        <x:v>8</x:v>
      </x:c>
      <x:c r="I4641" s="18" t="n">
        <x:f>ROUND(MIN(Model_Config_v3!$B$6,MAX(Q4641,R4641,S4641*Model_Config_v3!$B$4+T4641*Model_Config_v3!$B$5)),0)</x:f>
        <x:v>656</x:v>
      </x:c>
      <x:c r="J4641" s="18" t="n">
        <x:f>MIN(Model_Config_v3!$B$6,I4641+Model_Config_v3!$B$7)</x:f>
        <x:v>676</x:v>
      </x:c>
      <x:c r="K4641" s="20" t="n">
        <x:v>55.7</x:v>
      </x:c>
      <x:c r="L4641" t="str">
        <x:v>KETAT</x:v>
      </x:c>
      <x:c r="M4641" t="str">
        <x:v>SEDANG+</x:v>
      </x:c>
      <x:c r="N4641" t="str">
        <x:v>REGULER</x:v>
      </x:c>
      <x:c r="O4641" t="str">
        <x:v>SAINTEK</x:v>
      </x:c>
      <x:c r="P4641" t="str">
        <x:v>TEKNIK/ARSITEKTUR/STATISTIKA/AKTUARIA</x:v>
      </x:c>
      <x:c r="Q4641" s="18" t="n">
        <x:v>0</x:v>
      </x:c>
      <x:c r="R4641" s="18" t="n">
        <x:v>0</x:v>
      </x:c>
      <x:c r="S4641" s="18" t="n">
        <x:v>619.3398985691138</x:v>
      </x:c>
      <x:c r="T4641" s="18" t="n">
        <x:v>671</x:v>
      </x:c>
      <x:c r="U4641" s="18" t="n">
        <x:v>629.3398985691138</x:v>
      </x:c>
      <x:c r="V4641" s="20" t="n">
        <x:v>12</x:v>
      </x:c>
      <x:c r="W4641" s="20" t="n">
        <x:v>5</x:v>
      </x:c>
      <x:c r="X4641" s="20" t="n">
        <x:v>3</x:v>
      </x:c>
      <x:c r="Y4641" t="str">
        <x:v>Basis arsip 2025/2024</x:v>
      </x:c>
      <x:c r="Z4641" t="str">
        <x:v>https://snpmb.id/utbk-snbt/daya-tampung-snbt</x:v>
      </x:c>
      <x:c r="AA4641" t="str">
        <x:v>Tidak Ada</x:v>
      </x:c>
      <x:c r="AB4641" t="str">
        <x:v>Campus=55; Ratio=53.2; Prodi=60; RelDemand=45.1; Capacity=66.7</x:v>
      </x:c>
    </x:row>
    <x:row r="4642">
      <x:c r="A4642" t="n">
        <x:v>4639</x:v>
      </x:c>
      <x:c r="B4642" t="str">
        <x:v>PTN Vokasi</x:v>
      </x:c>
      <x:c r="C4642" t="str">
        <x:v>POLITEKNIK NEGERI UJUNG PANDANG</x:v>
      </x:c>
      <x:c r="D4642" t="str">
        <x:v>TEKNIK KOMPUTER &amp; JARINGAN</x:v>
      </x:c>
      <x:c r="E4642" t="str">
        <x:v>Sarjana Terapan</x:v>
      </x:c>
      <x:c r="F4642" s="18" t="n">
        <x:v>40</x:v>
      </x:c>
      <x:c r="G4642" s="18" t="n">
        <x:v>919</x:v>
      </x:c>
      <x:c r="H4642" s="19" t="n">
        <x:v>22.975</x:v>
      </x:c>
      <x:c r="I4642" s="18" t="n">
        <x:f>ROUND(MIN(Model_Config_v3!$B$6,MAX(Q4642,R4642,S4642*Model_Config_v3!$B$4+T4642*Model_Config_v3!$B$5)),0)</x:f>
        <x:v>695</x:v>
      </x:c>
      <x:c r="J4642" s="18" t="n">
        <x:f>MIN(Model_Config_v3!$B$6,I4642+Model_Config_v3!$B$7)</x:f>
        <x:v>715</x:v>
      </x:c>
      <x:c r="K4642" s="20" t="n">
        <x:v>72.9</x:v>
      </x:c>
      <x:c r="L4642" t="str">
        <x:v>SANGAT KETAT</x:v>
      </x:c>
      <x:c r="M4642" t="str">
        <x:v>SEDANG+</x:v>
      </x:c>
      <x:c r="N4642" t="str">
        <x:v>REGULER</x:v>
      </x:c>
      <x:c r="O4642" t="str">
        <x:v>SAINTEK</x:v>
      </x:c>
      <x:c r="P4642" t="str">
        <x:v>KOMPUTER/INFORMATIKA</x:v>
      </x:c>
      <x:c r="Q4642" s="18" t="n">
        <x:v>0</x:v>
      </x:c>
      <x:c r="R4642" s="18" t="n">
        <x:v>0</x:v>
      </x:c>
      <x:c r="S4642" s="18" t="n">
        <x:v>669.7381072063963</x:v>
      </x:c>
      <x:c r="T4642" s="18" t="n">
        <x:v>706</x:v>
      </x:c>
      <x:c r="U4642" s="18" t="n">
        <x:v>694.7381072063963</x:v>
      </x:c>
      <x:c r="V4642" s="20" t="n">
        <x:v>12</x:v>
      </x:c>
      <x:c r="W4642" s="20" t="n">
        <x:v>5</x:v>
      </x:c>
      <x:c r="X4642" s="20" t="n">
        <x:v>3</x:v>
      </x:c>
      <x:c r="Y4642" t="str">
        <x:v>Basis arsip 2025/2024</x:v>
      </x:c>
      <x:c r="Z4642" t="str">
        <x:v>https://snpmb.id/utbk-snbt/daya-tampung-snbt</x:v>
      </x:c>
      <x:c r="AA4642" t="str">
        <x:v>Tidak Ada</x:v>
      </x:c>
      <x:c r="AB4642" t="str">
        <x:v>Campus=55; Ratio=80.1; Prodi=85; RelDemand=100.0; Capacity=66.7</x:v>
      </x:c>
    </x:row>
    <x:row r="4643">
      <x:c r="A4643" t="n">
        <x:v>4640</x:v>
      </x:c>
      <x:c r="B4643" t="str">
        <x:v>PTN Vokasi</x:v>
      </x:c>
      <x:c r="C4643" t="str">
        <x:v>POLITEKNIK NEGERI UJUNG PANDANG</x:v>
      </x:c>
      <x:c r="D4643" t="str">
        <x:v>TEKNIK LISTRIK</x:v>
      </x:c>
      <x:c r="E4643" t="str">
        <x:v>Sarjana Terapan</x:v>
      </x:c>
      <x:c r="F4643" s="18" t="n">
        <x:v>30</x:v>
      </x:c>
      <x:c r="G4643" s="18" t="n">
        <x:v>333</x:v>
      </x:c>
      <x:c r="H4643" s="19" t="n">
        <x:v>11.1</x:v>
      </x:c>
      <x:c r="I4643" s="18" t="n">
        <x:f>ROUND(MIN(Model_Config_v3!$B$6,MAX(Q4643,R4643,S4643*Model_Config_v3!$B$4+T4643*Model_Config_v3!$B$5)),0)</x:f>
        <x:v>667</x:v>
      </x:c>
      <x:c r="J4643" s="18" t="n">
        <x:f>MIN(Model_Config_v3!$B$6,I4643+Model_Config_v3!$B$7)</x:f>
        <x:v>687</x:v>
      </x:c>
      <x:c r="K4643" s="20" t="n">
        <x:v>60.4</x:v>
      </x:c>
      <x:c r="L4643" t="str">
        <x:v>KETAT</x:v>
      </x:c>
      <x:c r="M4643" t="str">
        <x:v>SEDANG+</x:v>
      </x:c>
      <x:c r="N4643" t="str">
        <x:v>REGULER</x:v>
      </x:c>
      <x:c r="O4643" t="str">
        <x:v>SAINTEK</x:v>
      </x:c>
      <x:c r="P4643" t="str">
        <x:v>TEKNIK/ARSITEKTUR/STATISTIKA/AKTUARIA</x:v>
      </x:c>
      <x:c r="Q4643" s="18" t="n">
        <x:v>0</x:v>
      </x:c>
      <x:c r="R4643" s="18" t="n">
        <x:v>0</x:v>
      </x:c>
      <x:c r="S4643" s="18" t="n">
        <x:v>634.9855276665323</x:v>
      </x:c>
      <x:c r="T4643" s="18" t="n">
        <x:v>681</x:v>
      </x:c>
      <x:c r="U4643" s="18" t="n">
        <x:v>644.9855276665323</x:v>
      </x:c>
      <x:c r="V4643" s="20" t="n">
        <x:v>12</x:v>
      </x:c>
      <x:c r="W4643" s="20" t="n">
        <x:v>5</x:v>
      </x:c>
      <x:c r="X4643" s="20" t="n">
        <x:v>3</x:v>
      </x:c>
      <x:c r="Y4643" t="str">
        <x:v>Basis arsip 2025/2024</x:v>
      </x:c>
      <x:c r="Z4643" t="str">
        <x:v>https://snpmb.id/utbk-snbt/daya-tampung-snbt</x:v>
      </x:c>
      <x:c r="AA4643" t="str">
        <x:v>Tidak Ada</x:v>
      </x:c>
      <x:c r="AB4643" t="str">
        <x:v>Campus=55; Ratio=61.5; Prodi=60; RelDemand=62.6; Capacity=75.0</x:v>
      </x:c>
    </x:row>
    <x:row r="4644">
      <x:c r="A4644" t="n">
        <x:v>4641</x:v>
      </x:c>
      <x:c r="B4644" t="str">
        <x:v>PTN Vokasi</x:v>
      </x:c>
      <x:c r="C4644" t="str">
        <x:v>POLITEKNIK NEGERI UJUNG PANDANG</x:v>
      </x:c>
      <x:c r="D4644" t="str">
        <x:v>TEKNOLOGI REKAYASA JARINGAN TELEKOMUNIKASI</x:v>
      </x:c>
      <x:c r="E4644" t="str">
        <x:v>Sarjana Terapan</x:v>
      </x:c>
      <x:c r="F4644" s="18" t="n">
        <x:v>30</x:v>
      </x:c>
      <x:c r="G4644" s="18" t="n">
        <x:v>70</x:v>
      </x:c>
      <x:c r="H4644" s="19" t="n">
        <x:v>2.3333333333333335</x:v>
      </x:c>
      <x:c r="I4644" s="18" t="n">
        <x:f>ROUND(MIN(Model_Config_v3!$B$6,MAX(Q4644,R4644,S4644*Model_Config_v3!$B$4+T4644*Model_Config_v3!$B$5)),0)</x:f>
        <x:v>618</x:v>
      </x:c>
      <x:c r="J4644" s="18" t="n">
        <x:f>MIN(Model_Config_v3!$B$6,I4644+Model_Config_v3!$B$7)</x:f>
        <x:v>638</x:v>
      </x:c>
      <x:c r="K4644" s="20" t="n">
        <x:v>41.5</x:v>
      </x:c>
      <x:c r="L4644" t="str">
        <x:v>RELATIF LONGGAR</x:v>
      </x:c>
      <x:c r="M4644" t="str">
        <x:v>SEDANG</x:v>
      </x:c>
      <x:c r="N4644" t="str">
        <x:v>REGULER</x:v>
      </x:c>
      <x:c r="O4644" t="str">
        <x:v>SAINTEK</x:v>
      </x:c>
      <x:c r="P4644" t="str">
        <x:v>UMUM</x:v>
      </x:c>
      <x:c r="Q4644" s="18" t="n">
        <x:v>0</x:v>
      </x:c>
      <x:c r="R4644" s="18" t="n">
        <x:v>0</x:v>
      </x:c>
      <x:c r="S4644" s="18" t="n">
        <x:v>560.4774463824053</x:v>
      </x:c>
      <x:c r="T4644" s="18" t="n">
        <x:v>643</x:v>
      </x:c>
      <x:c r="U4644" s="18" t="n">
        <x:v>560.4774463824053</x:v>
      </x:c>
      <x:c r="V4644" s="20" t="n">
        <x:v>12</x:v>
      </x:c>
      <x:c r="W4644" s="20" t="n">
        <x:v>5</x:v>
      </x:c>
      <x:c r="X4644" s="20" t="n">
        <x:v>3</x:v>
      </x:c>
      <x:c r="Y4644" t="str">
        <x:v>Basis arsip 2025/2024</x:v>
      </x:c>
      <x:c r="Z4644" t="str">
        <x:v>https://snpmb.id/utbk-snbt/daya-tampung-snbt</x:v>
      </x:c>
      <x:c r="AA4644" t="str">
        <x:v>Tidak Ada</x:v>
      </x:c>
      <x:c r="AB4644" t="str">
        <x:v>Campus=55; Ratio=21.7; Prodi=40; RelDemand=13.2; Capacity=75.0</x:v>
      </x:c>
    </x:row>
    <x:row r="4645">
      <x:c r="A4645" t="n">
        <x:v>4642</x:v>
      </x:c>
      <x:c r="B4645" t="str">
        <x:v>PTN Vokasi</x:v>
      </x:c>
      <x:c r="C4645" t="str">
        <x:v>POLITEKNIK NEGERI UJUNG PANDANG</x:v>
      </x:c>
      <x:c r="D4645" t="str">
        <x:v>AKUNTANSI MANAJERIAL</x:v>
      </x:c>
      <x:c r="E4645" t="str">
        <x:v>Sarjana Terapan</x:v>
      </x:c>
      <x:c r="F4645" s="18" t="n">
        <x:v>50</x:v>
      </x:c>
      <x:c r="G4645" s="18" t="n">
        <x:v>454</x:v>
      </x:c>
      <x:c r="H4645" s="19" t="n">
        <x:v>9.08</x:v>
      </x:c>
      <x:c r="I4645" s="18" t="n">
        <x:f>ROUND(MIN(Model_Config_v3!$B$6,MAX(Q4645,R4645,S4645*Model_Config_v3!$B$4+T4645*Model_Config_v3!$B$5)),0)</x:f>
        <x:v>660</x:v>
      </x:c>
      <x:c r="J4645" s="18" t="n">
        <x:f>MIN(Model_Config_v3!$B$6,I4645+Model_Config_v3!$B$7)</x:f>
        <x:v>680</x:v>
      </x:c>
      <x:c r="K4645" s="20" t="n">
        <x:v>57.3</x:v>
      </x:c>
      <x:c r="L4645" t="str">
        <x:v>KETAT</x:v>
      </x:c>
      <x:c r="M4645" t="str">
        <x:v>SEDANG+</x:v>
      </x:c>
      <x:c r="N4645" t="str">
        <x:v>REGULER</x:v>
      </x:c>
      <x:c r="O4645" t="str">
        <x:v>SOSHUM</x:v>
      </x:c>
      <x:c r="P4645" t="str">
        <x:v>BISNIS/EKONOMI/AKUNTANSI</x:v>
      </x:c>
      <x:c r="Q4645" s="18" t="n">
        <x:v>0</x:v>
      </x:c>
      <x:c r="R4645" s="18" t="n">
        <x:v>0</x:v>
      </x:c>
      <x:c r="S4645" s="18" t="n">
        <x:v>625.3894433373193</x:v>
      </x:c>
      <x:c r="T4645" s="18" t="n">
        <x:v>675</x:v>
      </x:c>
      <x:c r="U4645" s="18" t="n">
        <x:v>625.3894433373193</x:v>
      </x:c>
      <x:c r="V4645" s="20" t="n">
        <x:v>4.4</x:v>
      </x:c>
      <x:c r="W4645" s="20" t="n">
        <x:v>14.3</x:v>
      </x:c>
      <x:c r="X4645" s="20" t="n">
        <x:v>3.3</x:v>
      </x:c>
      <x:c r="Y4645" t="str">
        <x:v>Basis arsip 2025/2024</x:v>
      </x:c>
      <x:c r="Z4645" t="str">
        <x:v>https://snpmb.id/utbk-snbt/daya-tampung-snbt</x:v>
      </x:c>
      <x:c r="AA4645" t="str">
        <x:v>Tidak Ada</x:v>
      </x:c>
      <x:c r="AB4645" t="str">
        <x:v>Campus=55; Ratio=56.4; Prodi=65; RelDemand=51.2; Capacity=58.3</x:v>
      </x:c>
    </x:row>
    <x:row r="4646">
      <x:c r="A4646" t="n">
        <x:v>4643</x:v>
      </x:c>
      <x:c r="B4646" t="str">
        <x:v>PTN Vokasi</x:v>
      </x:c>
      <x:c r="C4646" t="str">
        <x:v>POLITEKNIK NEGERI UJUNG PANDANG</x:v>
      </x:c>
      <x:c r="D4646" t="str">
        <x:v>ADMINISTRASI BISNIS</x:v>
      </x:c>
      <x:c r="E4646" t="str">
        <x:v>Sarjana Terapan</x:v>
      </x:c>
      <x:c r="F4646" s="18" t="n">
        <x:v>50</x:v>
      </x:c>
      <x:c r="G4646" s="18" t="n">
        <x:v>983</x:v>
      </x:c>
      <x:c r="H4646" s="19" t="n">
        <x:v>19.66</x:v>
      </x:c>
      <x:c r="I4646" s="18" t="n">
        <x:f>ROUND(MIN(Model_Config_v3!$B$6,MAX(Q4646,R4646,S4646*Model_Config_v3!$B$4+T4646*Model_Config_v3!$B$5)),0)</x:f>
        <x:v>684</x:v>
      </x:c>
      <x:c r="J4646" s="18" t="n">
        <x:f>MIN(Model_Config_v3!$B$6,I4646+Model_Config_v3!$B$7)</x:f>
        <x:v>704</x:v>
      </x:c>
      <x:c r="K4646" s="20" t="n">
        <x:v>67.1</x:v>
      </x:c>
      <x:c r="L4646" t="str">
        <x:v>SANGAT KETAT</x:v>
      </x:c>
      <x:c r="M4646" t="str">
        <x:v>SEDANG+</x:v>
      </x:c>
      <x:c r="N4646" t="str">
        <x:v>REGULER</x:v>
      </x:c>
      <x:c r="O4646" t="str">
        <x:v>SOSHUM</x:v>
      </x:c>
      <x:c r="P4646" t="str">
        <x:v>BISNIS/EKONOMI/AKUNTANSI</x:v>
      </x:c>
      <x:c r="Q4646" s="18" t="n">
        <x:v>0</x:v>
      </x:c>
      <x:c r="R4646" s="18" t="n">
        <x:v>0</x:v>
      </x:c>
      <x:c r="S4646" s="18" t="n">
        <x:v>662.2941864845728</x:v>
      </x:c>
      <x:c r="T4646" s="18" t="n">
        <x:v>694</x:v>
      </x:c>
      <x:c r="U4646" s="18" t="n">
        <x:v>677.2941864845728</x:v>
      </x:c>
      <x:c r="V4646" s="20" t="n">
        <x:v>4.4</x:v>
      </x:c>
      <x:c r="W4646" s="20" t="n">
        <x:v>14.3</x:v>
      </x:c>
      <x:c r="X4646" s="20" t="n">
        <x:v>3.3</x:v>
      </x:c>
      <x:c r="Y4646" t="str">
        <x:v>Basis arsip 2025/2024</x:v>
      </x:c>
      <x:c r="Z4646" t="str">
        <x:v>https://snpmb.id/utbk-snbt/daya-tampung-snbt</x:v>
      </x:c>
      <x:c r="AA4646" t="str">
        <x:v>Tidak Ada</x:v>
      </x:c>
      <x:c r="AB4646" t="str">
        <x:v>Campus=55; Ratio=76.1; Prodi=65; RelDemand=100.0; Capacity=58.3</x:v>
      </x:c>
    </x:row>
    <x:row r="4647">
      <x:c r="A4647" t="n">
        <x:v>4644</x:v>
      </x:c>
      <x:c r="B4647" t="str">
        <x:v>PTN Vokasi</x:v>
      </x:c>
      <x:c r="C4647" t="str">
        <x:v>POLITEKNIK NEGERI UJUNG PANDANG</x:v>
      </x:c>
      <x:c r="D4647" t="str">
        <x:v>TEKNOLOGI REKAYASA KIMIA</x:v>
      </x:c>
      <x:c r="E4647" t="str">
        <x:v>Sarjana Terapan</x:v>
      </x:c>
      <x:c r="F4647" s="18" t="n">
        <x:v>30</x:v>
      </x:c>
      <x:c r="G4647" s="18" t="n">
        <x:v>45</x:v>
      </x:c>
      <x:c r="H4647" s="19" t="n">
        <x:v>1.5</x:v>
      </x:c>
      <x:c r="I4647" s="18" t="n">
        <x:f>ROUND(MIN(Model_Config_v3!$B$6,MAX(Q4647,R4647,S4647*Model_Config_v3!$B$4+T4647*Model_Config_v3!$B$5)),0)</x:f>
        <x:v>610</x:v>
      </x:c>
      <x:c r="J4647" s="18" t="n">
        <x:f>MIN(Model_Config_v3!$B$6,I4647+Model_Config_v3!$B$7)</x:f>
        <x:v>630</x:v>
      </x:c>
      <x:c r="K4647" s="20" t="n">
        <x:v>40.2</x:v>
      </x:c>
      <x:c r="L4647" t="str">
        <x:v>RELATIF LONGGAR</x:v>
      </x:c>
      <x:c r="M4647" t="str">
        <x:v>SEDANG+</x:v>
      </x:c>
      <x:c r="N4647" t="str">
        <x:v>REGULER</x:v>
      </x:c>
      <x:c r="O4647" t="str">
        <x:v>SAINTEK</x:v>
      </x:c>
      <x:c r="P4647" t="str">
        <x:v>SAINS DASAR</x:v>
      </x:c>
      <x:c r="Q4647" s="18" t="n">
        <x:v>0</x:v>
      </x:c>
      <x:c r="R4647" s="18" t="n">
        <x:v>0</x:v>
      </x:c>
      <x:c r="S4647" s="18" t="n">
        <x:v>539.370038496125</x:v>
      </x:c>
      <x:c r="T4647" s="18" t="n">
        <x:v>640</x:v>
      </x:c>
      <x:c r="U4647" s="18" t="n">
        <x:v>539.370038496125</x:v>
      </x:c>
      <x:c r="V4647" s="20" t="n">
        <x:v>12</x:v>
      </x:c>
      <x:c r="W4647" s="20" t="n">
        <x:v>5</x:v>
      </x:c>
      <x:c r="X4647" s="20" t="n">
        <x:v>3</x:v>
      </x:c>
      <x:c r="Y4647" t="str">
        <x:v>Basis arsip 2025/2024</x:v>
      </x:c>
      <x:c r="Z4647" t="str">
        <x:v>https://snpmb.id/utbk-snbt/daya-tampung-snbt</x:v>
      </x:c>
      <x:c r="AA4647" t="str">
        <x:v>Tidak Ada</x:v>
      </x:c>
      <x:c r="AB4647" t="str">
        <x:v>Campus=55; Ratio=10.4; Prodi=50; RelDemand=8.5; Capacity=75.0</x:v>
      </x:c>
    </x:row>
    <x:row r="4648">
      <x:c r="A4648" t="n">
        <x:v>4645</x:v>
      </x:c>
      <x:c r="B4648" t="str">
        <x:v>PTN Vokasi</x:v>
      </x:c>
      <x:c r="C4648" t="str">
        <x:v>POLITEKNIK NEGERI UJUNG PANDANG</x:v>
      </x:c>
      <x:c r="D4648" t="str">
        <x:v>TEKNOLOGI REKAYASA ENERGI TERBARUKAN</x:v>
      </x:c>
      <x:c r="E4648" t="str">
        <x:v>Sarjana Terapan</x:v>
      </x:c>
      <x:c r="F4648" s="18" t="n">
        <x:v>10</x:v>
      </x:c>
      <x:c r="G4648" s="18" t="n">
        <x:v>26</x:v>
      </x:c>
      <x:c r="H4648" s="19" t="n">
        <x:v>2.6</x:v>
      </x:c>
      <x:c r="I4648" s="18" t="n">
        <x:f>ROUND(MIN(Model_Config_v3!$B$6,MAX(Q4648,R4648,S4648*Model_Config_v3!$B$4+T4648*Model_Config_v3!$B$5)),0)</x:f>
        <x:v>623</x:v>
      </x:c>
      <x:c r="J4648" s="18" t="n">
        <x:f>MIN(Model_Config_v3!$B$6,I4648+Model_Config_v3!$B$7)</x:f>
        <x:v>643</x:v>
      </x:c>
      <x:c r="K4648" s="20" t="n">
        <x:v>44</x:v>
      </x:c>
      <x:c r="L4648" t="str">
        <x:v>RELATIF LONGGAR</x:v>
      </x:c>
      <x:c r="M4648" t="str">
        <x:v>SEDANG</x:v>
      </x:c>
      <x:c r="N4648" t="str">
        <x:v>REGULER</x:v>
      </x:c>
      <x:c r="O4648" t="str">
        <x:v>SAINTEK</x:v>
      </x:c>
      <x:c r="P4648" t="str">
        <x:v>UMUM</x:v>
      </x:c>
      <x:c r="Q4648" s="18" t="n">
        <x:v>0</x:v>
      </x:c>
      <x:c r="R4648" s="18" t="n">
        <x:v>0</x:v>
      </x:c>
      <x:c r="S4648" s="18" t="n">
        <x:v>565.6470682767899</x:v>
      </x:c>
      <x:c r="T4648" s="18" t="n">
        <x:v>648</x:v>
      </x:c>
      <x:c r="U4648" s="18" t="n">
        <x:v>565.6470682767899</x:v>
      </x:c>
      <x:c r="V4648" s="20" t="n">
        <x:v>12</x:v>
      </x:c>
      <x:c r="W4648" s="20" t="n">
        <x:v>5</x:v>
      </x:c>
      <x:c r="X4648" s="20" t="n">
        <x:v>3</x:v>
      </x:c>
      <x:c r="Y4648" t="str">
        <x:v>Basis arsip 2025/2024</x:v>
      </x:c>
      <x:c r="Z4648" t="str">
        <x:v>https://snpmb.id/utbk-snbt/daya-tampung-snbt</x:v>
      </x:c>
      <x:c r="AA4648" t="str">
        <x:v>Tidak Ada</x:v>
      </x:c>
      <x:c r="AB4648" t="str">
        <x:v>Campus=55; Ratio=24.4; Prodi=40; RelDemand=14.7; Capacity=91.7</x:v>
      </x:c>
    </x:row>
    <x:row r="4649">
      <x:c r="A4649" t="n">
        <x:v>4646</x:v>
      </x:c>
      <x:c r="B4649" t="str">
        <x:v>PTN Vokasi</x:v>
      </x:c>
      <x:c r="C4649" t="str">
        <x:v>POLITEKNIK NEGERI UJUNG PANDANG</x:v>
      </x:c>
      <x:c r="D4649" t="str">
        <x:v>TEKNOLOGI REKAYASA KONSTRUKSI BANGUNAN AIR</x:v>
      </x:c>
      <x:c r="E4649" t="str">
        <x:v>Sarjana Terapan</x:v>
      </x:c>
      <x:c r="F4649" s="18" t="n">
        <x:v>20</x:v>
      </x:c>
      <x:c r="G4649" s="18" t="n">
        <x:v>16</x:v>
      </x:c>
      <x:c r="H4649" s="19" t="n">
        <x:v>0.8</x:v>
      </x:c>
      <x:c r="I4649" s="18" t="n">
        <x:f>ROUND(MIN(Model_Config_v3!$B$6,MAX(Q4649,R4649,S4649*Model_Config_v3!$B$4+T4649*Model_Config_v3!$B$5)),0)</x:f>
        <x:v>598</x:v>
      </x:c>
      <x:c r="J4649" s="18" t="n">
        <x:f>MIN(Model_Config_v3!$B$6,I4649+Model_Config_v3!$B$7)</x:f>
        <x:v>618</x:v>
      </x:c>
      <x:c r="K4649" s="20" t="n">
        <x:v>36</x:v>
      </x:c>
      <x:c r="L4649" t="str">
        <x:v>RELATIF LONGGAR</x:v>
      </x:c>
      <x:c r="M4649" t="str">
        <x:v>SEDANG</x:v>
      </x:c>
      <x:c r="N4649" t="str">
        <x:v>REGULER</x:v>
      </x:c>
      <x:c r="O4649" t="str">
        <x:v>SAINTEK</x:v>
      </x:c>
      <x:c r="P4649" t="str">
        <x:v>UMUM</x:v>
      </x:c>
      <x:c r="Q4649" s="18" t="n">
        <x:v>0</x:v>
      </x:c>
      <x:c r="R4649" s="18" t="n">
        <x:v>0</x:v>
      </x:c>
      <x:c r="S4649" s="18" t="n">
        <x:v>520</x:v>
      </x:c>
      <x:c r="T4649" s="18" t="n">
        <x:v>632</x:v>
      </x:c>
      <x:c r="U4649" s="18" t="n">
        <x:v>520</x:v>
      </x:c>
      <x:c r="V4649" s="20" t="n">
        <x:v>12</x:v>
      </x:c>
      <x:c r="W4649" s="20" t="n">
        <x:v>5</x:v>
      </x:c>
      <x:c r="X4649" s="20" t="n">
        <x:v>3</x:v>
      </x:c>
      <x:c r="Y4649" t="str">
        <x:v>Basis arsip 2025/2024</x:v>
      </x:c>
      <x:c r="Z4649" t="str">
        <x:v>https://snpmb.id/utbk-snbt/daya-tampung-snbt</x:v>
      </x:c>
      <x:c r="AA4649" t="str">
        <x:v>Tidak Ada</x:v>
      </x:c>
      <x:c r="AB4649" t="str">
        <x:v>Campus=55; Ratio=0.0; Prodi=40; RelDemand=4.5; Capacity=83.3</x:v>
      </x:c>
    </x:row>
    <x:row r="4650">
      <x:c r="A4650" t="n">
        <x:v>4647</x:v>
      </x:c>
      <x:c r="B4650" t="str">
        <x:v>PTN Vokasi</x:v>
      </x:c>
      <x:c r="C4650" t="str">
        <x:v>POLITEKNIK NEGERI UJUNG PANDANG</x:v>
      </x:c>
      <x:c r="D4650" t="str">
        <x:v>AKUNTANSI MANAJERIAL KAMPUS KABUPATEN KOLAKA</x:v>
      </x:c>
      <x:c r="E4650" t="str">
        <x:v>Sarjana Terapan</x:v>
      </x:c>
      <x:c r="F4650" s="18" t="n">
        <x:v>10</x:v>
      </x:c>
      <x:c r="G4650" s="18" t="n">
        <x:v>5</x:v>
      </x:c>
      <x:c r="H4650" s="19" t="n">
        <x:v>0.5</x:v>
      </x:c>
      <x:c r="I4650" s="18" t="n">
        <x:f>ROUND(MIN(Model_Config_v3!$B$6,MAX(Q4650,R4650,S4650*Model_Config_v3!$B$4+T4650*Model_Config_v3!$B$5)),0)</x:f>
        <x:v>606</x:v>
      </x:c>
      <x:c r="J4650" s="18" t="n">
        <x:f>MIN(Model_Config_v3!$B$6,I4650+Model_Config_v3!$B$7)</x:f>
        <x:v>626</x:v>
      </x:c>
      <x:c r="K4650" s="20" t="n">
        <x:v>41.7</x:v>
      </x:c>
      <x:c r="L4650" t="str">
        <x:v>RELATIF LONGGAR</x:v>
      </x:c>
      <x:c r="M4650" t="str">
        <x:v>SEDANG+</x:v>
      </x:c>
      <x:c r="N4650" t="str">
        <x:v>REGULER</x:v>
      </x:c>
      <x:c r="O4650" t="str">
        <x:v>SOSHUM</x:v>
      </x:c>
      <x:c r="P4650" t="str">
        <x:v>BISNIS/EKONOMI/AKUNTANSI</x:v>
      </x:c>
      <x:c r="Q4650" s="18" t="n">
        <x:v>0</x:v>
      </x:c>
      <x:c r="R4650" s="18" t="n">
        <x:v>0</x:v>
      </x:c>
      <x:c r="S4650" s="18" t="n">
        <x:v>520</x:v>
      </x:c>
      <x:c r="T4650" s="18" t="n">
        <x:v>643</x:v>
      </x:c>
      <x:c r="U4650" s="18" t="n">
        <x:v>520</x:v>
      </x:c>
      <x:c r="V4650" s="20" t="n">
        <x:v>4.4</x:v>
      </x:c>
      <x:c r="W4650" s="20" t="n">
        <x:v>14.3</x:v>
      </x:c>
      <x:c r="X4650" s="20" t="n">
        <x:v>3.3</x:v>
      </x:c>
      <x:c r="Y4650" t="str">
        <x:v>Basis arsip 2025/2024</x:v>
      </x:c>
      <x:c r="Z4650" t="str">
        <x:v>https://snpmb.id/utbk-snbt/daya-tampung-snbt</x:v>
      </x:c>
      <x:c r="AA4650" t="str">
        <x:v>Tidak Ada</x:v>
      </x:c>
      <x:c r="AB4650" t="str">
        <x:v>Campus=55; Ratio=0.0; Prodi=65; RelDemand=2.8; Capacity=91.7</x:v>
      </x:c>
    </x:row>
    <x:row r="4651">
      <x:c r="A4651" t="n">
        <x:v>4648</x:v>
      </x:c>
      <x:c r="B4651" t="str">
        <x:v>PTN Vokasi</x:v>
      </x:c>
      <x:c r="C4651" t="str">
        <x:v>POLITEKNIK NEGERI UJUNG PANDANG</x:v>
      </x:c>
      <x:c r="D4651" t="str">
        <x:v>TEKNOLOGI REKAYASA SISTEM ELEKTRONIKA</x:v>
      </x:c>
      <x:c r="E4651" t="str">
        <x:v>Sarjana Terapan</x:v>
      </x:c>
      <x:c r="F4651" s="18" t="n">
        <x:v>10</x:v>
      </x:c>
      <x:c r="G4651" s="18" t="n">
        <x:v>46</x:v>
      </x:c>
      <x:c r="H4651" s="19" t="n">
        <x:v>4.6</x:v>
      </x:c>
      <x:c r="I4651" s="18" t="n">
        <x:f>ROUND(MIN(Model_Config_v3!$B$6,MAX(Q4651,R4651,S4651*Model_Config_v3!$B$4+T4651*Model_Config_v3!$B$5)),0)</x:f>
        <x:v>638</x:v>
      </x:c>
      <x:c r="J4651" s="18" t="n">
        <x:f>MIN(Model_Config_v3!$B$6,I4651+Model_Config_v3!$B$7)</x:f>
        <x:v>658</x:v>
      </x:c>
      <x:c r="K4651" s="20" t="n">
        <x:v>48.8</x:v>
      </x:c>
      <x:c r="L4651" t="str">
        <x:v>MENENGAH</x:v>
      </x:c>
      <x:c r="M4651" t="str">
        <x:v>SEDANG</x:v>
      </x:c>
      <x:c r="N4651" t="str">
        <x:v>REGULER</x:v>
      </x:c>
      <x:c r="O4651" t="str">
        <x:v>SAINTEK</x:v>
      </x:c>
      <x:c r="P4651" t="str">
        <x:v>UMUM</x:v>
      </x:c>
      <x:c r="Q4651" s="18" t="n">
        <x:v>0</x:v>
      </x:c>
      <x:c r="R4651" s="18" t="n">
        <x:v>0</x:v>
      </x:c>
      <x:c r="S4651" s="18" t="n">
        <x:v>592.9033614849732</x:v>
      </x:c>
      <x:c r="T4651" s="18" t="n">
        <x:v>658</x:v>
      </x:c>
      <x:c r="U4651" s="18" t="n">
        <x:v>592.9033614849732</x:v>
      </x:c>
      <x:c r="V4651" s="20" t="n">
        <x:v>12</x:v>
      </x:c>
      <x:c r="W4651" s="20" t="n">
        <x:v>5</x:v>
      </x:c>
      <x:c r="X4651" s="20" t="n">
        <x:v>3</x:v>
      </x:c>
      <x:c r="Y4651" t="str">
        <x:v>Basis arsip 2025/2024</x:v>
      </x:c>
      <x:c r="Z4651" t="str">
        <x:v>https://snpmb.id/utbk-snbt/daya-tampung-snbt</x:v>
      </x:c>
      <x:c r="AA4651" t="str">
        <x:v>Tidak Ada</x:v>
      </x:c>
      <x:c r="AB4651" t="str">
        <x:v>Campus=55; Ratio=39.0; Prodi=40; RelDemand=26.0; Capacity=91.7</x:v>
      </x:c>
    </x:row>
    <x:row r="4652">
      <x:c r="A4652" t="n">
        <x:v>4649</x:v>
      </x:c>
      <x:c r="B4652" t="str">
        <x:v>PTN Vokasi</x:v>
      </x:c>
      <x:c r="C4652" t="str">
        <x:v>POLITEKNIK NEGERI UJUNG PANDANG</x:v>
      </x:c>
      <x:c r="D4652" t="str">
        <x:v>ADMINISTRASI PERKANTORAN DIGITAL</x:v>
      </x:c>
      <x:c r="E4652" t="str">
        <x:v>Sarjana Terapan</x:v>
      </x:c>
      <x:c r="F4652" s="18" t="n">
        <x:v>20</x:v>
      </x:c>
      <x:c r="G4652" s="18" t="n">
        <x:v>405</x:v>
      </x:c>
      <x:c r="H4652" s="19" t="n">
        <x:v>20.25</x:v>
      </x:c>
      <x:c r="I4652" s="18" t="n">
        <x:f>ROUND(MIN(Model_Config_v3!$B$6,MAX(Q4652,R4652,S4652*Model_Config_v3!$B$4+T4652*Model_Config_v3!$B$5)),0)</x:f>
        <x:v>682</x:v>
      </x:c>
      <x:c r="J4652" s="18" t="n">
        <x:f>MIN(Model_Config_v3!$B$6,I4652+Model_Config_v3!$B$7)</x:f>
        <x:v>702</x:v>
      </x:c>
      <x:c r="K4652" s="20" t="n">
        <x:v>64.8</x:v>
      </x:c>
      <x:c r="L4652" t="str">
        <x:v>KETAT</x:v>
      </x:c>
      <x:c r="M4652" t="str">
        <x:v>SEDANG</x:v>
      </x:c>
      <x:c r="N4652" t="str">
        <x:v>REGULER</x:v>
      </x:c>
      <x:c r="O4652" t="str">
        <x:v>SOSHUM</x:v>
      </x:c>
      <x:c r="P4652" t="str">
        <x:v>UMUM</x:v>
      </x:c>
      <x:c r="Q4652" s="18" t="n">
        <x:v>0</x:v>
      </x:c>
      <x:c r="R4652" s="18" t="n">
        <x:v>0</x:v>
      </x:c>
      <x:c r="S4652" s="18" t="n">
        <x:v>663.7067530305756</x:v>
      </x:c>
      <x:c r="T4652" s="18" t="n">
        <x:v>690</x:v>
      </x:c>
      <x:c r="U4652" s="18" t="n">
        <x:v>663.7067530305756</x:v>
      </x:c>
      <x:c r="V4652" s="20" t="n">
        <x:v>4.4</x:v>
      </x:c>
      <x:c r="W4652" s="20" t="n">
        <x:v>14.3</x:v>
      </x:c>
      <x:c r="X4652" s="20" t="n">
        <x:v>3.3</x:v>
      </x:c>
      <x:c r="Y4652" t="str">
        <x:v>Basis arsip 2025/2024</x:v>
      </x:c>
      <x:c r="Z4652" t="str">
        <x:v>https://snpmb.id/utbk-snbt/daya-tampung-snbt</x:v>
      </x:c>
      <x:c r="AA4652" t="str">
        <x:v>Tidak Ada</x:v>
      </x:c>
      <x:c r="AB4652" t="str">
        <x:v>Campus=55; Ratio=76.9; Prodi=40; RelDemand=100.0; Capacity=83.3</x:v>
      </x:c>
    </x:row>
    <x:row r="4653">
      <x:c r="A4653" t="n">
        <x:v>4650</x:v>
      </x:c>
      <x:c r="B4653" t="str">
        <x:v>PTN Vokasi</x:v>
      </x:c>
      <x:c r="C4653" t="str">
        <x:v>POLITEKNIK NEGERI UJUNG PANDANG</x:v>
      </x:c>
      <x:c r="D4653" t="str">
        <x:v>BAHASA INGGRIS UNTUK KOMUNIKASI BISNIS DAN PROFESIONAL</x:v>
      </x:c>
      <x:c r="E4653" t="str">
        <x:v>Sarjana Terapan</x:v>
      </x:c>
      <x:c r="F4653" s="18" t="n">
        <x:v>10</x:v>
      </x:c>
      <x:c r="G4653" s="18" t="n">
        <x:v>105</x:v>
      </x:c>
      <x:c r="H4653" s="19" t="n">
        <x:v>10.5</x:v>
      </x:c>
      <x:c r="I4653" s="18" t="n">
        <x:f>ROUND(MIN(Model_Config_v3!$B$6,MAX(Q4653,R4653,S4653*Model_Config_v3!$B$4+T4653*Model_Config_v3!$B$5)),0)</x:f>
        <x:v>669</x:v>
      </x:c>
      <x:c r="J4653" s="18" t="n">
        <x:f>MIN(Model_Config_v3!$B$6,I4653+Model_Config_v3!$B$7)</x:f>
        <x:v>689</x:v>
      </x:c>
      <x:c r="K4653" s="20" t="n">
        <x:v>62.4</x:v>
      </x:c>
      <x:c r="L4653" t="str">
        <x:v>KETAT</x:v>
      </x:c>
      <x:c r="M4653" t="str">
        <x:v>SEDANG+</x:v>
      </x:c>
      <x:c r="N4653" t="str">
        <x:v>REGULER</x:v>
      </x:c>
      <x:c r="O4653" t="str">
        <x:v>SOSHUM</x:v>
      </x:c>
      <x:c r="P4653" t="str">
        <x:v>BISNIS/EKONOMI/AKUNTANSI</x:v>
      </x:c>
      <x:c r="Q4653" s="18" t="n">
        <x:v>0</x:v>
      </x:c>
      <x:c r="R4653" s="18" t="n">
        <x:v>0</x:v>
      </x:c>
      <x:c r="S4653" s="18" t="n">
        <x:v>632.3308228976932</x:v>
      </x:c>
      <x:c r="T4653" s="18" t="n">
        <x:v>685</x:v>
      </x:c>
      <x:c r="U4653" s="18" t="n">
        <x:v>647.3308228976932</x:v>
      </x:c>
      <x:c r="V4653" s="20" t="n">
        <x:v>4.4</x:v>
      </x:c>
      <x:c r="W4653" s="20" t="n">
        <x:v>14.3</x:v>
      </x:c>
      <x:c r="X4653" s="20" t="n">
        <x:v>3.3</x:v>
      </x:c>
      <x:c r="Y4653" t="str">
        <x:v>Basis arsip 2025/2024</x:v>
      </x:c>
      <x:c r="Z4653" t="str">
        <x:v>https://snpmb.id/utbk-snbt/daya-tampung-snbt</x:v>
      </x:c>
      <x:c r="AA4653" t="str">
        <x:v>Tidak Ada</x:v>
      </x:c>
      <x:c r="AB4653" t="str">
        <x:v>Campus=55; Ratio=60.1; Prodi=65; RelDemand=59.2; Capacity=91.7</x:v>
      </x:c>
    </x:row>
    <x:row r="4654">
      <x:c r="A4654" t="n">
        <x:v>4651</x:v>
      </x:c>
      <x:c r="B4654" t="str">
        <x:v>PTN Vokasi</x:v>
      </x:c>
      <x:c r="C4654" t="str">
        <x:v>POLITEKNIK NEGERI UJUNG PANDANG</x:v>
      </x:c>
      <x:c r="D4654" t="str">
        <x:v>AKUNTANSI LEMBAGA KEUANGAN SYARIAH</x:v>
      </x:c>
      <x:c r="E4654" t="str">
        <x:v>Sarjana Terapan</x:v>
      </x:c>
      <x:c r="F4654" s="18" t="n">
        <x:v>20</x:v>
      </x:c>
      <x:c r="G4654" s="18" t="n">
        <x:v>86</x:v>
      </x:c>
      <x:c r="H4654" s="19" t="n">
        <x:v>4.3</x:v>
      </x:c>
      <x:c r="I4654" s="18" t="n">
        <x:f>ROUND(MIN(Model_Config_v3!$B$6,MAX(Q4654,R4654,S4654*Model_Config_v3!$B$4+T4654*Model_Config_v3!$B$5)),0)</x:f>
        <x:v>642</x:v>
      </x:c>
      <x:c r="J4654" s="18" t="n">
        <x:f>MIN(Model_Config_v3!$B$6,I4654+Model_Config_v3!$B$7)</x:f>
        <x:v>662</x:v>
      </x:c>
      <x:c r="K4654" s="20" t="n">
        <x:v>52.3</x:v>
      </x:c>
      <x:c r="L4654" t="str">
        <x:v>MENENGAH</x:v>
      </x:c>
      <x:c r="M4654" t="str">
        <x:v>SEDANG+</x:v>
      </x:c>
      <x:c r="N4654" t="str">
        <x:v>REGULER</x:v>
      </x:c>
      <x:c r="O4654" t="str">
        <x:v>SOSHUM</x:v>
      </x:c>
      <x:c r="P4654" t="str">
        <x:v>BISNIS/EKONOMI/AKUNTANSI</x:v>
      </x:c>
      <x:c r="Q4654" s="18" t="n">
        <x:v>0</x:v>
      </x:c>
      <x:c r="R4654" s="18" t="n">
        <x:v>0</x:v>
      </x:c>
      <x:c r="S4654" s="18" t="n">
        <x:v>589.6815301137545</x:v>
      </x:c>
      <x:c r="T4654" s="18" t="n">
        <x:v>665</x:v>
      </x:c>
      <x:c r="U4654" s="18" t="n">
        <x:v>589.6815301137545</x:v>
      </x:c>
      <x:c r="V4654" s="20" t="n">
        <x:v>4.4</x:v>
      </x:c>
      <x:c r="W4654" s="20" t="n">
        <x:v>14.3</x:v>
      </x:c>
      <x:c r="X4654" s="20" t="n">
        <x:v>3.3</x:v>
      </x:c>
      <x:c r="Y4654" t="str">
        <x:v>Basis arsip 2025/2024</x:v>
      </x:c>
      <x:c r="Z4654" t="str">
        <x:v>https://snpmb.id/utbk-snbt/daya-tampung-snbt</x:v>
      </x:c>
      <x:c r="AA4654" t="str">
        <x:v>Tidak Ada</x:v>
      </x:c>
      <x:c r="AB4654" t="str">
        <x:v>Campus=55; Ratio=37.3; Prodi=65; RelDemand=24.3; Capacity=83.3</x:v>
      </x:c>
    </x:row>
    <x:row r="4655">
      <x:c r="A4655" t="n">
        <x:v>4652</x:v>
      </x:c>
      <x:c r="B4655" t="str">
        <x:v>PTN Vokasi</x:v>
      </x:c>
      <x:c r="C4655" t="str">
        <x:v>POLITEKNIK NEGERI UJUNG PANDANG</x:v>
      </x:c>
      <x:c r="D4655" t="str">
        <x:v>BISNIS DIGITAL</x:v>
      </x:c>
      <x:c r="E4655" t="str">
        <x:v>Sarjana Terapan</x:v>
      </x:c>
      <x:c r="F4655" s="18" t="n">
        <x:v>10</x:v>
      </x:c>
      <x:c r="G4655" s="18"/>
      <x:c r="H4655" s="19" t="n">
        <x:v>0</x:v>
      </x:c>
      <x:c r="I4655" s="18" t="n">
        <x:f>ROUND(MIN(Model_Config_v3!$B$6,MAX(Q4655,R4655,S4655*Model_Config_v3!$B$4+T4655*Model_Config_v3!$B$5)),0)</x:f>
        <x:v>606</x:v>
      </x:c>
      <x:c r="J4655" s="18" t="n">
        <x:f>MIN(Model_Config_v3!$B$6,I4655+Model_Config_v3!$B$7)</x:f>
        <x:v>626</x:v>
      </x:c>
      <x:c r="K4655" s="20" t="n">
        <x:v>41.4</x:v>
      </x:c>
      <x:c r="L4655" t="str">
        <x:v>RELATIF LONGGAR</x:v>
      </x:c>
      <x:c r="M4655" t="str">
        <x:v>RENDAH</x:v>
      </x:c>
      <x:c r="N4655" t="str">
        <x:v>REGULER</x:v>
      </x:c>
      <x:c r="O4655" t="str">
        <x:v>SOSHUM</x:v>
      </x:c>
      <x:c r="P4655" t="str">
        <x:v>BISNIS/EKONOMI/AKUNTANSI</x:v>
      </x:c>
      <x:c r="Q4655" s="18" t="n">
        <x:v>0</x:v>
      </x:c>
      <x:c r="R4655" s="18" t="n">
        <x:v>0</x:v>
      </x:c>
      <x:c r="S4655" s="18" t="n">
        <x:v>520</x:v>
      </x:c>
      <x:c r="T4655" s="18" t="n">
        <x:v>643</x:v>
      </x:c>
      <x:c r="U4655" s="18" t="n">
        <x:v>535</x:v>
      </x:c>
      <x:c r="V4655" s="20" t="n">
        <x:v>4.4</x:v>
      </x:c>
      <x:c r="W4655" s="20" t="n">
        <x:v>14.3</x:v>
      </x:c>
      <x:c r="X4655" s="20" t="n">
        <x:v>3.3</x:v>
      </x:c>
      <x:c r="Y4655" t="str">
        <x:v>Basis arsip 2025/2024</x:v>
      </x:c>
      <x:c r="Z4655" t="str">
        <x:v>https://snpmb.id/utbk-snbt/daya-tampung-snbt</x:v>
      </x:c>
      <x:c r="AA4655" t="str">
        <x:v>Tidak Ada</x:v>
      </x:c>
      <x:c r="AB4655" t="str">
        <x:v>Campus=55; Ratio=0.0; Prodi=65; RelDemand=0.0; Capacity=91.7</x:v>
      </x:c>
    </x:row>
    <x:row r="4656">
      <x:c r="A4656" t="n">
        <x:v>4653</x:v>
      </x:c>
      <x:c r="B4656" t="str">
        <x:v>PTN Vokasi</x:v>
      </x:c>
      <x:c r="C4656" t="str">
        <x:v>POLITEKNIK NEGERI UJUNG PANDANG</x:v>
      </x:c>
      <x:c r="D4656" t="str">
        <x:v>ADMINISTRASI BISNIS</x:v>
      </x:c>
      <x:c r="E4656" t="str">
        <x:v>Diploma Tiga</x:v>
      </x:c>
      <x:c r="F4656" s="18" t="n">
        <x:v>40</x:v>
      </x:c>
      <x:c r="G4656" s="18" t="n">
        <x:v>1469</x:v>
      </x:c>
      <x:c r="H4656" s="19" t="n">
        <x:v>36.725</x:v>
      </x:c>
      <x:c r="I4656" s="18" t="n">
        <x:f>ROUND(MIN(Model_Config_v3!$B$6,MAX(Q4656,R4656,S4656*Model_Config_v3!$B$4+T4656*Model_Config_v3!$B$5)),0)</x:f>
        <x:v>700</x:v>
      </x:c>
      <x:c r="J4656" s="18" t="n">
        <x:f>MIN(Model_Config_v3!$B$6,I4656+Model_Config_v3!$B$7)</x:f>
        <x:v>720</x:v>
      </x:c>
      <x:c r="K4656" s="20" t="n">
        <x:v>71.9</x:v>
      </x:c>
      <x:c r="L4656" t="str">
        <x:v>SANGAT KETAT</x:v>
      </x:c>
      <x:c r="M4656" t="str">
        <x:v>SEDANG+</x:v>
      </x:c>
      <x:c r="N4656" t="str">
        <x:v>REGULER</x:v>
      </x:c>
      <x:c r="O4656" t="str">
        <x:v>SOSHUM</x:v>
      </x:c>
      <x:c r="P4656" t="str">
        <x:v>BISNIS/EKONOMI/AKUNTANSI</x:v>
      </x:c>
      <x:c r="Q4656" s="18" t="n">
        <x:v>0</x:v>
      </x:c>
      <x:c r="R4656" s="18" t="n">
        <x:v>0</x:v>
      </x:c>
      <x:c r="S4656" s="18" t="n">
        <x:v>692.1457984908524</x:v>
      </x:c>
      <x:c r="T4656" s="18" t="n">
        <x:v>704</x:v>
      </x:c>
      <x:c r="U4656" s="18" t="n">
        <x:v>707.1457984908524</x:v>
      </x:c>
      <x:c r="V4656" s="20" t="n">
        <x:v>4.4</x:v>
      </x:c>
      <x:c r="W4656" s="20" t="n">
        <x:v>14.3</x:v>
      </x:c>
      <x:c r="X4656" s="20" t="n">
        <x:v>3.3</x:v>
      </x:c>
      <x:c r="Y4656" t="str">
        <x:v>Basis arsip 2025/2024</x:v>
      </x:c>
      <x:c r="Z4656" t="str">
        <x:v>https://snpmb.id/utbk-snbt/daya-tampung-snbt</x:v>
      </x:c>
      <x:c r="AA4656" t="str">
        <x:v>Tidak Ada</x:v>
      </x:c>
      <x:c r="AB4656" t="str">
        <x:v>Campus=55; Ratio=92.1; Prodi=65; RelDemand=100.0; Capacity=66.7</x:v>
      </x:c>
    </x:row>
    <x:row r="4657">
      <x:c r="A4657" t="n">
        <x:v>4654</x:v>
      </x:c>
      <x:c r="B4657" t="str">
        <x:v>PTN Vokasi</x:v>
      </x:c>
      <x:c r="C4657" t="str">
        <x:v>POLITEKNIK NEGERI UJUNG PANDANG</x:v>
      </x:c>
      <x:c r="D4657" t="str">
        <x:v>TEKNIK KONSTRUKSI SIPIL</x:v>
      </x:c>
      <x:c r="E4657" t="str">
        <x:v>Diploma Tiga</x:v>
      </x:c>
      <x:c r="F4657" s="18" t="n">
        <x:v>30</x:v>
      </x:c>
      <x:c r="G4657" s="18" t="n">
        <x:v>603</x:v>
      </x:c>
      <x:c r="H4657" s="19" t="n">
        <x:v>20.1</x:v>
      </x:c>
      <x:c r="I4657" s="18" t="n">
        <x:f>ROUND(MIN(Model_Config_v3!$B$6,MAX(Q4657,R4657,S4657*Model_Config_v3!$B$4+T4657*Model_Config_v3!$B$5)),0)</x:f>
        <x:v>686</x:v>
      </x:c>
      <x:c r="J4657" s="18" t="n">
        <x:f>MIN(Model_Config_v3!$B$6,I4657+Model_Config_v3!$B$7)</x:f>
        <x:v>706</x:v>
      </x:c>
      <x:c r="K4657" s="20" t="n">
        <x:v>67.9</x:v>
      </x:c>
      <x:c r="L4657" t="str">
        <x:v>SANGAT KETAT</x:v>
      </x:c>
      <x:c r="M4657" t="str">
        <x:v>SEDANG+</x:v>
      </x:c>
      <x:c r="N4657" t="str">
        <x:v>REGULER</x:v>
      </x:c>
      <x:c r="O4657" t="str">
        <x:v>SAINTEK</x:v>
      </x:c>
      <x:c r="P4657" t="str">
        <x:v>TEKNIK/ARSITEKTUR/STATISTIKA/AKTUARIA</x:v>
      </x:c>
      <x:c r="Q4657" s="18" t="n">
        <x:v>0</x:v>
      </x:c>
      <x:c r="R4657" s="18" t="n">
        <x:v>0</x:v>
      </x:c>
      <x:c r="S4657" s="18" t="n">
        <x:v>663.3515663162538</x:v>
      </x:c>
      <x:c r="T4657" s="18" t="n">
        <x:v>696</x:v>
      </x:c>
      <x:c r="U4657" s="18" t="n">
        <x:v>673.3515663162538</x:v>
      </x:c>
      <x:c r="V4657" s="20" t="n">
        <x:v>12</x:v>
      </x:c>
      <x:c r="W4657" s="20" t="n">
        <x:v>5</x:v>
      </x:c>
      <x:c r="X4657" s="20" t="n">
        <x:v>3</x:v>
      </x:c>
      <x:c r="Y4657" t="str">
        <x:v>Basis arsip 2025/2024</x:v>
      </x:c>
      <x:c r="Z4657" t="str">
        <x:v>https://snpmb.id/utbk-snbt/daya-tampung-snbt</x:v>
      </x:c>
      <x:c r="AA4657" t="str">
        <x:v>Tidak Ada</x:v>
      </x:c>
      <x:c r="AB4657" t="str">
        <x:v>Campus=55; Ratio=76.7; Prodi=60; RelDemand=100.0; Capacity=75.0</x:v>
      </x:c>
    </x:row>
    <x:row r="4658">
      <x:c r="A4658" t="n">
        <x:v>4655</x:v>
      </x:c>
      <x:c r="B4658" t="str">
        <x:v>PTN Vokasi</x:v>
      </x:c>
      <x:c r="C4658" t="str">
        <x:v>POLITEKNIK NEGERI UJUNG PANDANG</x:v>
      </x:c>
      <x:c r="D4658" t="str">
        <x:v>ANALISIS KIMIA</x:v>
      </x:c>
      <x:c r="E4658" t="str">
        <x:v>Diploma Tiga</x:v>
      </x:c>
      <x:c r="F4658" s="18" t="n">
        <x:v>30</x:v>
      </x:c>
      <x:c r="G4658" s="18" t="n">
        <x:v>340</x:v>
      </x:c>
      <x:c r="H4658" s="19" t="n">
        <x:v>11.333333333333334</x:v>
      </x:c>
      <x:c r="I4658" s="18" t="n">
        <x:f>ROUND(MIN(Model_Config_v3!$B$6,MAX(Q4658,R4658,S4658*Model_Config_v3!$B$4+T4658*Model_Config_v3!$B$5)),0)</x:f>
        <x:v>665</x:v>
      </x:c>
      <x:c r="J4658" s="18" t="n">
        <x:f>MIN(Model_Config_v3!$B$6,I4658+Model_Config_v3!$B$7)</x:f>
        <x:v>685</x:v>
      </x:c>
      <x:c r="K4658" s="20" t="n">
        <x:v>58.7</x:v>
      </x:c>
      <x:c r="L4658" t="str">
        <x:v>KETAT</x:v>
      </x:c>
      <x:c r="M4658" t="str">
        <x:v>SEDANG+</x:v>
      </x:c>
      <x:c r="N4658" t="str">
        <x:v>REGULER</x:v>
      </x:c>
      <x:c r="O4658" t="str">
        <x:v>SAINTEK</x:v>
      </x:c>
      <x:c r="P4658" t="str">
        <x:v>SAINS DASAR</x:v>
      </x:c>
      <x:c r="Q4658" s="18" t="n">
        <x:v>0</x:v>
      </x:c>
      <x:c r="R4658" s="18" t="n">
        <x:v>0</x:v>
      </x:c>
      <x:c r="S4658" s="18" t="n">
        <x:v>635.9793428554851</x:v>
      </x:c>
      <x:c r="T4658" s="18" t="n">
        <x:v>677</x:v>
      </x:c>
      <x:c r="U4658" s="18" t="n">
        <x:v>635.9793428554851</x:v>
      </x:c>
      <x:c r="V4658" s="20" t="n">
        <x:v>12</x:v>
      </x:c>
      <x:c r="W4658" s="20" t="n">
        <x:v>5</x:v>
      </x:c>
      <x:c r="X4658" s="20" t="n">
        <x:v>3</x:v>
      </x:c>
      <x:c r="Y4658" t="str">
        <x:v>Basis arsip 2025/2024</x:v>
      </x:c>
      <x:c r="Z4658" t="str">
        <x:v>https://snpmb.id/utbk-snbt/daya-tampung-snbt</x:v>
      </x:c>
      <x:c r="AA4658" t="str">
        <x:v>Tidak Ada</x:v>
      </x:c>
      <x:c r="AB4658" t="str">
        <x:v>Campus=55; Ratio=62.1; Prodi=50; RelDemand=63.9; Capacity=75.0</x:v>
      </x:c>
    </x:row>
    <x:row r="4659">
      <x:c r="A4659" t="n">
        <x:v>4656</x:v>
      </x:c>
      <x:c r="B4659" t="str">
        <x:v>PTN Vokasi</x:v>
      </x:c>
      <x:c r="C4659" t="str">
        <x:v>POLITEKNIK NEGERI UJUNG PANDANG</x:v>
      </x:c>
      <x:c r="D4659" t="str">
        <x:v>TEKNIK KONSTRUKSI GEDUNG</x:v>
      </x:c>
      <x:c r="E4659" t="str">
        <x:v>Diploma Tiga</x:v>
      </x:c>
      <x:c r="F4659" s="18" t="n">
        <x:v>30</x:v>
      </x:c>
      <x:c r="G4659" s="18" t="n">
        <x:v>115</x:v>
      </x:c>
      <x:c r="H4659" s="19" t="n">
        <x:v>3.8333333333333335</x:v>
      </x:c>
      <x:c r="I4659" s="18" t="n">
        <x:f>ROUND(MIN(Model_Config_v3!$B$6,MAX(Q4659,R4659,S4659*Model_Config_v3!$B$4+T4659*Model_Config_v3!$B$5)),0)</x:f>
        <x:v>637</x:v>
      </x:c>
      <x:c r="J4659" s="18" t="n">
        <x:f>MIN(Model_Config_v3!$B$6,I4659+Model_Config_v3!$B$7)</x:f>
        <x:v>657</x:v>
      </x:c>
      <x:c r="K4659" s="20" t="n">
        <x:v>49.5</x:v>
      </x:c>
      <x:c r="L4659" t="str">
        <x:v>MENENGAH</x:v>
      </x:c>
      <x:c r="M4659" t="str">
        <x:v>SEDANG+</x:v>
      </x:c>
      <x:c r="N4659" t="str">
        <x:v>REGULER</x:v>
      </x:c>
      <x:c r="O4659" t="str">
        <x:v>SAINTEK</x:v>
      </x:c>
      <x:c r="P4659" t="str">
        <x:v>TEKNIK/ARSITEKTUR/STATISTIKA/AKTUARIA</x:v>
      </x:c>
      <x:c r="Q4659" s="18" t="n">
        <x:v>0</x:v>
      </x:c>
      <x:c r="R4659" s="18" t="n">
        <x:v>0</x:v>
      </x:c>
      <x:c r="S4659" s="18" t="n">
        <x:v>584.1934244197344</x:v>
      </x:c>
      <x:c r="T4659" s="18" t="n">
        <x:v>659</x:v>
      </x:c>
      <x:c r="U4659" s="18" t="n">
        <x:v>594.1934244197344</x:v>
      </x:c>
      <x:c r="V4659" s="20" t="n">
        <x:v>12</x:v>
      </x:c>
      <x:c r="W4659" s="20" t="n">
        <x:v>5</x:v>
      </x:c>
      <x:c r="X4659" s="20" t="n">
        <x:v>3</x:v>
      </x:c>
      <x:c r="Y4659" t="str">
        <x:v>Basis arsip 2025/2024</x:v>
      </x:c>
      <x:c r="Z4659" t="str">
        <x:v>https://snpmb.id/utbk-snbt/daya-tampung-snbt</x:v>
      </x:c>
      <x:c r="AA4659" t="str">
        <x:v>Tidak Ada</x:v>
      </x:c>
      <x:c r="AB4659" t="str">
        <x:v>Campus=55; Ratio=34.3; Prodi=60; RelDemand=21.6; Capacity=75.0</x:v>
      </x:c>
    </x:row>
    <x:row r="4660">
      <x:c r="A4660" t="n">
        <x:v>4657</x:v>
      </x:c>
      <x:c r="B4660" t="str">
        <x:v>PTN Vokasi</x:v>
      </x:c>
      <x:c r="C4660" t="str">
        <x:v>POLITEKNIK NEGERI UJUNG PANDANG</x:v>
      </x:c>
      <x:c r="D4660" t="str">
        <x:v>TEKNOLOGI KONVERSI ENERGI (KAMPUS KAB. KOLAKA)</x:v>
      </x:c>
      <x:c r="E4660" t="str">
        <x:v>Diploma Tiga</x:v>
      </x:c>
      <x:c r="F4660" s="18" t="n">
        <x:v>10</x:v>
      </x:c>
      <x:c r="G4660" s="18" t="n">
        <x:v>5</x:v>
      </x:c>
      <x:c r="H4660" s="19" t="n">
        <x:v>0.5</x:v>
      </x:c>
      <x:c r="I4660" s="18" t="n">
        <x:f>ROUND(MIN(Model_Config_v3!$B$6,MAX(Q4660,R4660,S4660*Model_Config_v3!$B$4+T4660*Model_Config_v3!$B$5)),0)</x:f>
        <x:v>599</x:v>
      </x:c>
      <x:c r="J4660" s="18" t="n">
        <x:f>MIN(Model_Config_v3!$B$6,I4660+Model_Config_v3!$B$7)</x:f>
        <x:v>619</x:v>
      </x:c>
      <x:c r="K4660" s="20" t="n">
        <x:v>36.7</x:v>
      </x:c>
      <x:c r="L4660" t="str">
        <x:v>RELATIF LONGGAR</x:v>
      </x:c>
      <x:c r="M4660" t="str">
        <x:v>SEDANG</x:v>
      </x:c>
      <x:c r="N4660" t="str">
        <x:v>REGULER</x:v>
      </x:c>
      <x:c r="O4660" t="str">
        <x:v>SAINTEK</x:v>
      </x:c>
      <x:c r="P4660" t="str">
        <x:v>UMUM</x:v>
      </x:c>
      <x:c r="Q4660" s="18" t="n">
        <x:v>0</x:v>
      </x:c>
      <x:c r="R4660" s="18" t="n">
        <x:v>0</x:v>
      </x:c>
      <x:c r="S4660" s="18" t="n">
        <x:v>520</x:v>
      </x:c>
      <x:c r="T4660" s="18" t="n">
        <x:v>633</x:v>
      </x:c>
      <x:c r="U4660" s="18" t="n">
        <x:v>520</x:v>
      </x:c>
      <x:c r="V4660" s="20" t="n">
        <x:v>12</x:v>
      </x:c>
      <x:c r="W4660" s="20" t="n">
        <x:v>5</x:v>
      </x:c>
      <x:c r="X4660" s="20" t="n">
        <x:v>3</x:v>
      </x:c>
      <x:c r="Y4660" t="str">
        <x:v>Basis arsip 2025/2024</x:v>
      </x:c>
      <x:c r="Z4660" t="str">
        <x:v>https://snpmb.id/utbk-snbt/daya-tampung-snbt</x:v>
      </x:c>
      <x:c r="AA4660" t="str">
        <x:v>Tidak Ada</x:v>
      </x:c>
      <x:c r="AB4660" t="str">
        <x:v>Campus=55; Ratio=0.0; Prodi=40; RelDemand=2.8; Capacity=91.7</x:v>
      </x:c>
    </x:row>
    <x:row r="4661">
      <x:c r="A4661" t="n">
        <x:v>4658</x:v>
      </x:c>
      <x:c r="B4661" t="str">
        <x:v>PTN Vokasi</x:v>
      </x:c>
      <x:c r="C4661" t="str">
        <x:v>POLITEKNIK NEGERI UJUNG PANDANG</x:v>
      </x:c>
      <x:c r="D4661" t="str">
        <x:v>AKUNTANSI</x:v>
      </x:c>
      <x:c r="E4661" t="str">
        <x:v>Diploma Tiga</x:v>
      </x:c>
      <x:c r="F4661" s="18" t="n">
        <x:v>40</x:v>
      </x:c>
      <x:c r="G4661" s="18" t="n">
        <x:v>871</x:v>
      </x:c>
      <x:c r="H4661" s="19" t="n">
        <x:v>21.775</x:v>
      </x:c>
      <x:c r="I4661" s="18" t="n">
        <x:f>ROUND(MIN(Model_Config_v3!$B$6,MAX(Q4661,R4661,S4661*Model_Config_v3!$B$4+T4661*Model_Config_v3!$B$5)),0)</x:f>
        <x:v>688</x:v>
      </x:c>
      <x:c r="J4661" s="18" t="n">
        <x:f>MIN(Model_Config_v3!$B$6,I4661+Model_Config_v3!$B$7)</x:f>
        <x:v>708</x:v>
      </x:c>
      <x:c r="K4661" s="20" t="n">
        <x:v>68.6</x:v>
      </x:c>
      <x:c r="L4661" t="str">
        <x:v>SANGAT KETAT</x:v>
      </x:c>
      <x:c r="M4661" t="str">
        <x:v>SEDANG+</x:v>
      </x:c>
      <x:c r="N4661" t="str">
        <x:v>REGULER</x:v>
      </x:c>
      <x:c r="O4661" t="str">
        <x:v>SOSHUM</x:v>
      </x:c>
      <x:c r="P4661" t="str">
        <x:v>BISNIS/EKONOMI/AKUNTANSI</x:v>
      </x:c>
      <x:c r="Q4661" s="18" t="n">
        <x:v>0</x:v>
      </x:c>
      <x:c r="R4661" s="18" t="n">
        <x:v>0</x:v>
      </x:c>
      <x:c r="S4661" s="18" t="n">
        <x:v>667.1753980047671</x:v>
      </x:c>
      <x:c r="T4661" s="18" t="n">
        <x:v>697</x:v>
      </x:c>
      <x:c r="U4661" s="18" t="n">
        <x:v>667.1753980047671</x:v>
      </x:c>
      <x:c r="V4661" s="20" t="n">
        <x:v>4.4</x:v>
      </x:c>
      <x:c r="W4661" s="20" t="n">
        <x:v>14.3</x:v>
      </x:c>
      <x:c r="X4661" s="20" t="n">
        <x:v>3.3</x:v>
      </x:c>
      <x:c r="Y4661" t="str">
        <x:v>Basis arsip 2025/2024</x:v>
      </x:c>
      <x:c r="Z4661" t="str">
        <x:v>https://snpmb.id/utbk-snbt/daya-tampung-snbt</x:v>
      </x:c>
      <x:c r="AA4661" t="str">
        <x:v>Tidak Ada</x:v>
      </x:c>
      <x:c r="AB4661" t="str">
        <x:v>Campus=55; Ratio=78.8; Prodi=65; RelDemand=100.0; Capacity=66.7</x:v>
      </x:c>
    </x:row>
    <x:row r="4662">
      <x:c r="A4662" t="n">
        <x:v>4659</x:v>
      </x:c>
      <x:c r="B4662" t="str">
        <x:v>PTN Vokasi</x:v>
      </x:c>
      <x:c r="C4662" t="str">
        <x:v>POLITEKNIK NEGERI UJUNG PANDANG</x:v>
      </x:c>
      <x:c r="D4662" t="str">
        <x:v>TEKNIK ELEKTRONIKA</x:v>
      </x:c>
      <x:c r="E4662" t="str">
        <x:v>Diploma Tiga</x:v>
      </x:c>
      <x:c r="F4662" s="18" t="n">
        <x:v>30</x:v>
      </x:c>
      <x:c r="G4662" s="18" t="n">
        <x:v>343</x:v>
      </x:c>
      <x:c r="H4662" s="19" t="n">
        <x:v>11.433333333333334</x:v>
      </x:c>
      <x:c r="I4662" s="18" t="n">
        <x:f>ROUND(MIN(Model_Config_v3!$B$6,MAX(Q4662,R4662,S4662*Model_Config_v3!$B$4+T4662*Model_Config_v3!$B$5)),0)</x:f>
        <x:v>668</x:v>
      </x:c>
      <x:c r="J4662" s="18" t="n">
        <x:f>MIN(Model_Config_v3!$B$6,I4662+Model_Config_v3!$B$7)</x:f>
        <x:v>688</x:v>
      </x:c>
      <x:c r="K4662" s="20" t="n">
        <x:v>60.8</x:v>
      </x:c>
      <x:c r="L4662" t="str">
        <x:v>KETAT</x:v>
      </x:c>
      <x:c r="M4662" t="str">
        <x:v>SEDANG+</x:v>
      </x:c>
      <x:c r="N4662" t="str">
        <x:v>REGULER</x:v>
      </x:c>
      <x:c r="O4662" t="str">
        <x:v>SAINTEK</x:v>
      </x:c>
      <x:c r="P4662" t="str">
        <x:v>TEKNIK/ARSITEKTUR/STATISTIKA/AKTUARIA</x:v>
      </x:c>
      <x:c r="Q4662" s="18" t="n">
        <x:v>0</x:v>
      </x:c>
      <x:c r="R4662" s="18" t="n">
        <x:v>0</x:v>
      </x:c>
      <x:c r="S4662" s="18" t="n">
        <x:v>636.3990151855419</x:v>
      </x:c>
      <x:c r="T4662" s="18" t="n">
        <x:v>682</x:v>
      </x:c>
      <x:c r="U4662" s="18" t="n">
        <x:v>646.3990151855419</x:v>
      </x:c>
      <x:c r="V4662" s="20" t="n">
        <x:v>12</x:v>
      </x:c>
      <x:c r="W4662" s="20" t="n">
        <x:v>5</x:v>
      </x:c>
      <x:c r="X4662" s="20" t="n">
        <x:v>3</x:v>
      </x:c>
      <x:c r="Y4662" t="str">
        <x:v>Basis arsip 2025/2024</x:v>
      </x:c>
      <x:c r="Z4662" t="str">
        <x:v>https://snpmb.id/utbk-snbt/daya-tampung-snbt</x:v>
      </x:c>
      <x:c r="AA4662" t="str">
        <x:v>Tidak Ada</x:v>
      </x:c>
      <x:c r="AB4662" t="str">
        <x:v>Campus=55; Ratio=62.3; Prodi=60; RelDemand=64.5; Capacity=75.0</x:v>
      </x:c>
    </x:row>
    <x:row r="4663">
      <x:c r="A4663" t="n">
        <x:v>4660</x:v>
      </x:c>
      <x:c r="B4663" t="str">
        <x:v>PTN Vokasi</x:v>
      </x:c>
      <x:c r="C4663" t="str">
        <x:v>POLITEKNIK NEGERI UJUNG PANDANG</x:v>
      </x:c>
      <x:c r="D4663" t="str">
        <x:v>TEKNIK TELEKOMUNIKASI</x:v>
      </x:c>
      <x:c r="E4663" t="str">
        <x:v>Diploma Tiga</x:v>
      </x:c>
      <x:c r="F4663" s="18" t="n">
        <x:v>30</x:v>
      </x:c>
      <x:c r="G4663" s="18" t="n">
        <x:v>356</x:v>
      </x:c>
      <x:c r="H4663" s="19" t="n">
        <x:v>11.866666666666667</x:v>
      </x:c>
      <x:c r="I4663" s="18" t="n">
        <x:f>ROUND(MIN(Model_Config_v3!$B$6,MAX(Q4663,R4663,S4663*Model_Config_v3!$B$4+T4663*Model_Config_v3!$B$5)),0)</x:f>
        <x:v>670</x:v>
      </x:c>
      <x:c r="J4663" s="18" t="n">
        <x:f>MIN(Model_Config_v3!$B$6,I4663+Model_Config_v3!$B$7)</x:f>
        <x:v>690</x:v>
      </x:c>
      <x:c r="K4663" s="20" t="n">
        <x:v>61.3</x:v>
      </x:c>
      <x:c r="L4663" t="str">
        <x:v>KETAT</x:v>
      </x:c>
      <x:c r="M4663" t="str">
        <x:v>SEDANG+</x:v>
      </x:c>
      <x:c r="N4663" t="str">
        <x:v>REGULER</x:v>
      </x:c>
      <x:c r="O4663" t="str">
        <x:v>SAINTEK</x:v>
      </x:c>
      <x:c r="P4663" t="str">
        <x:v>TEKNIK/ARSITEKTUR/STATISTIKA/AKTUARIA</x:v>
      </x:c>
      <x:c r="Q4663" s="18" t="n">
        <x:v>0</x:v>
      </x:c>
      <x:c r="R4663" s="18" t="n">
        <x:v>0</x:v>
      </x:c>
      <x:c r="S4663" s="18" t="n">
        <x:v>638.1761617578534</x:v>
      </x:c>
      <x:c r="T4663" s="18" t="n">
        <x:v>683</x:v>
      </x:c>
      <x:c r="U4663" s="18" t="n">
        <x:v>648.1761617578534</x:v>
      </x:c>
      <x:c r="V4663" s="20" t="n">
        <x:v>12</x:v>
      </x:c>
      <x:c r="W4663" s="20" t="n">
        <x:v>5</x:v>
      </x:c>
      <x:c r="X4663" s="20" t="n">
        <x:v>3</x:v>
      </x:c>
      <x:c r="Y4663" t="str">
        <x:v>Basis arsip 2025/2024</x:v>
      </x:c>
      <x:c r="Z4663" t="str">
        <x:v>https://snpmb.id/utbk-snbt/daya-tampung-snbt</x:v>
      </x:c>
      <x:c r="AA4663" t="str">
        <x:v>Tidak Ada</x:v>
      </x:c>
      <x:c r="AB4663" t="str">
        <x:v>Campus=55; Ratio=63.2; Prodi=60; RelDemand=67.0; Capacity=75.0</x:v>
      </x:c>
    </x:row>
    <x:row r="4664">
      <x:c r="A4664" t="n">
        <x:v>4661</x:v>
      </x:c>
      <x:c r="B4664" t="str">
        <x:v>PTN Vokasi</x:v>
      </x:c>
      <x:c r="C4664" t="str">
        <x:v>POLITEKNIK NEGERI UJUNG PANDANG</x:v>
      </x:c>
      <x:c r="D4664" t="str">
        <x:v>TEKNIK MESIN</x:v>
      </x:c>
      <x:c r="E4664" t="str">
        <x:v>Diploma Tiga</x:v>
      </x:c>
      <x:c r="F4664" s="18" t="n">
        <x:v>30</x:v>
      </x:c>
      <x:c r="G4664" s="18" t="n">
        <x:v>502</x:v>
      </x:c>
      <x:c r="H4664" s="19" t="n">
        <x:v>16.733333333333334</x:v>
      </x:c>
      <x:c r="I4664" s="18" t="n">
        <x:f>ROUND(MIN(Model_Config_v3!$B$6,MAX(Q4664,R4664,S4664*Model_Config_v3!$B$4+T4664*Model_Config_v3!$B$5)),0)</x:f>
        <x:v>681</x:v>
      </x:c>
      <x:c r="J4664" s="18" t="n">
        <x:f>MIN(Model_Config_v3!$B$6,I4664+Model_Config_v3!$B$7)</x:f>
        <x:v>701</x:v>
      </x:c>
      <x:c r="K4664" s="20" t="n">
        <x:v>66.2</x:v>
      </x:c>
      <x:c r="L4664" t="str">
        <x:v>SANGAT KETAT</x:v>
      </x:c>
      <x:c r="M4664" t="str">
        <x:v>SEDANG+</x:v>
      </x:c>
      <x:c r="N4664" t="str">
        <x:v>REGULER</x:v>
      </x:c>
      <x:c r="O4664" t="str">
        <x:v>SAINTEK</x:v>
      </x:c>
      <x:c r="P4664" t="str">
        <x:v>TEKNIK/ARSITEKTUR/STATISTIKA/AKTUARIA</x:v>
      </x:c>
      <x:c r="Q4664" s="18" t="n">
        <x:v>0</x:v>
      </x:c>
      <x:c r="R4664" s="18" t="n">
        <x:v>0</x:v>
      </x:c>
      <x:c r="S4664" s="18" t="n">
        <x:v>654.5940708667893</x:v>
      </x:c>
      <x:c r="T4664" s="18" t="n">
        <x:v>692</x:v>
      </x:c>
      <x:c r="U4664" s="18" t="n">
        <x:v>664.5940708667893</x:v>
      </x:c>
      <x:c r="V4664" s="20" t="n">
        <x:v>12</x:v>
      </x:c>
      <x:c r="W4664" s="20" t="n">
        <x:v>5</x:v>
      </x:c>
      <x:c r="X4664" s="20" t="n">
        <x:v>3</x:v>
      </x:c>
      <x:c r="Y4664" t="str">
        <x:v>Basis arsip 2025/2024</x:v>
      </x:c>
      <x:c r="Z4664" t="str">
        <x:v>https://snpmb.id/utbk-snbt/daya-tampung-snbt</x:v>
      </x:c>
      <x:c r="AA4664" t="str">
        <x:v>Tidak Ada</x:v>
      </x:c>
      <x:c r="AB4664" t="str">
        <x:v>Campus=55; Ratio=72.0; Prodi=60; RelDemand=94.4; Capacity=75.0</x:v>
      </x:c>
    </x:row>
    <x:row r="4665">
      <x:c r="A4665" t="n">
        <x:v>4662</x:v>
      </x:c>
      <x:c r="B4665" t="str">
        <x:v>PTN Vokasi</x:v>
      </x:c>
      <x:c r="C4665" t="str">
        <x:v>POLITEKNIK NEGERI UJUNG PANDANG</x:v>
      </x:c>
      <x:c r="D4665" t="str">
        <x:v>TEKNIK OTOMOTIF</x:v>
      </x:c>
      <x:c r="E4665" t="str">
        <x:v>Diploma Tiga</x:v>
      </x:c>
      <x:c r="F4665" s="18" t="n">
        <x:v>20</x:v>
      </x:c>
      <x:c r="G4665" s="18" t="n">
        <x:v>169</x:v>
      </x:c>
      <x:c r="H4665" s="19" t="n">
        <x:v>8.45</x:v>
      </x:c>
      <x:c r="I4665" s="18" t="n">
        <x:f>ROUND(MIN(Model_Config_v3!$B$6,MAX(Q4665,R4665,S4665*Model_Config_v3!$B$4+T4665*Model_Config_v3!$B$5)),0)</x:f>
        <x:v>660</x:v>
      </x:c>
      <x:c r="J4665" s="18" t="n">
        <x:f>MIN(Model_Config_v3!$B$6,I4665+Model_Config_v3!$B$7)</x:f>
        <x:v>680</x:v>
      </x:c>
      <x:c r="K4665" s="20" t="n">
        <x:v>58</x:v>
      </x:c>
      <x:c r="L4665" t="str">
        <x:v>KETAT</x:v>
      </x:c>
      <x:c r="M4665" t="str">
        <x:v>SEDANG+</x:v>
      </x:c>
      <x:c r="N4665" t="str">
        <x:v>REGULER</x:v>
      </x:c>
      <x:c r="O4665" t="str">
        <x:v>SAINTEK</x:v>
      </x:c>
      <x:c r="P4665" t="str">
        <x:v>TEKNIK/ARSITEKTUR/STATISTIKA/AKTUARIA</x:v>
      </x:c>
      <x:c r="Q4665" s="18" t="n">
        <x:v>0</x:v>
      </x:c>
      <x:c r="R4665" s="18" t="n">
        <x:v>0</x:v>
      </x:c>
      <x:c r="S4665" s="18" t="n">
        <x:v>621.9542379844661</x:v>
      </x:c>
      <x:c r="T4665" s="18" t="n">
        <x:v>676</x:v>
      </x:c>
      <x:c r="U4665" s="18" t="n">
        <x:v>631.9542379844661</x:v>
      </x:c>
      <x:c r="V4665" s="20" t="n">
        <x:v>12</x:v>
      </x:c>
      <x:c r="W4665" s="20" t="n">
        <x:v>5</x:v>
      </x:c>
      <x:c r="X4665" s="20" t="n">
        <x:v>3</x:v>
      </x:c>
      <x:c r="Y4665" t="str">
        <x:v>Basis arsip 2025/2024</x:v>
      </x:c>
      <x:c r="Z4665" t="str">
        <x:v>https://snpmb.id/utbk-snbt/daya-tampung-snbt</x:v>
      </x:c>
      <x:c r="AA4665" t="str">
        <x:v>Tidak Ada</x:v>
      </x:c>
      <x:c r="AB4665" t="str">
        <x:v>Campus=55; Ratio=54.6; Prodi=60; RelDemand=47.7; Capacity=83.3</x:v>
      </x:c>
    </x:row>
    <x:row r="4666">
      <x:c r="A4666" t="n">
        <x:v>4663</x:v>
      </x:c>
      <x:c r="B4666" t="str">
        <x:v>PTN Vokasi</x:v>
      </x:c>
      <x:c r="C4666" t="str">
        <x:v>POLITEKNIK NEGERI UJUNG PANDANG</x:v>
      </x:c>
      <x:c r="D4666" t="str">
        <x:v>TEKNIK LISTRIK</x:v>
      </x:c>
      <x:c r="E4666" t="str">
        <x:v>Diploma Tiga</x:v>
      </x:c>
      <x:c r="F4666" s="18" t="n">
        <x:v>30</x:v>
      </x:c>
      <x:c r="G4666" s="18" t="n">
        <x:v>235</x:v>
      </x:c>
      <x:c r="H4666" s="19" t="n">
        <x:v>7.833333333333333</x:v>
      </x:c>
      <x:c r="I4666" s="18" t="n">
        <x:f>ROUND(MIN(Model_Config_v3!$B$6,MAX(Q4666,R4666,S4666*Model_Config_v3!$B$4+T4666*Model_Config_v3!$B$5)),0)</x:f>
        <x:v>657</x:v>
      </x:c>
      <x:c r="J4666" s="18" t="n">
        <x:f>MIN(Model_Config_v3!$B$6,I4666+Model_Config_v3!$B$7)</x:f>
        <x:v>677</x:v>
      </x:c>
      <x:c r="K4666" s="20" t="n">
        <x:v>56.3</x:v>
      </x:c>
      <x:c r="L4666" t="str">
        <x:v>KETAT</x:v>
      </x:c>
      <x:c r="M4666" t="str">
        <x:v>SEDANG+</x:v>
      </x:c>
      <x:c r="N4666" t="str">
        <x:v>REGULER</x:v>
      </x:c>
      <x:c r="O4666" t="str">
        <x:v>SAINTEK</x:v>
      </x:c>
      <x:c r="P4666" t="str">
        <x:v>TEKNIK/ARSITEKTUR/STATISTIKA/AKTUARIA</x:v>
      </x:c>
      <x:c r="Q4666" s="18" t="n">
        <x:v>0</x:v>
      </x:c>
      <x:c r="R4666" s="18" t="n">
        <x:v>0</x:v>
      </x:c>
      <x:c r="S4666" s="18" t="n">
        <x:v>618.3341268307281</x:v>
      </x:c>
      <x:c r="T4666" s="18" t="n">
        <x:v>673</x:v>
      </x:c>
      <x:c r="U4666" s="18" t="n">
        <x:v>628.3341268307281</x:v>
      </x:c>
      <x:c r="V4666" s="20" t="n">
        <x:v>12</x:v>
      </x:c>
      <x:c r="W4666" s="20" t="n">
        <x:v>5</x:v>
      </x:c>
      <x:c r="X4666" s="20" t="n">
        <x:v>3</x:v>
      </x:c>
      <x:c r="Y4666" t="str">
        <x:v>Basis arsip 2025/2024</x:v>
      </x:c>
      <x:c r="Z4666" t="str">
        <x:v>https://snpmb.id/utbk-snbt/daya-tampung-snbt</x:v>
      </x:c>
      <x:c r="AA4666" t="str">
        <x:v>Tidak Ada</x:v>
      </x:c>
      <x:c r="AB4666" t="str">
        <x:v>Campus=55; Ratio=52.6; Prodi=60; RelDemand=44.2; Capacity=75.0</x:v>
      </x:c>
    </x:row>
    <x:row r="4667">
      <x:c r="A4667" t="n">
        <x:v>4664</x:v>
      </x:c>
      <x:c r="B4667" t="str">
        <x:v>PTN Vokasi</x:v>
      </x:c>
      <x:c r="C4667" t="str">
        <x:v>POLITEKNIK NEGERI UJUNG PANDANG</x:v>
      </x:c>
      <x:c r="D4667" t="str">
        <x:v>PERAWATAN ALAT BERAT</x:v>
      </x:c>
      <x:c r="E4667" t="str">
        <x:v>Diploma Tiga</x:v>
      </x:c>
      <x:c r="F4667" s="18" t="n">
        <x:v>40</x:v>
      </x:c>
      <x:c r="G4667" s="18" t="n">
        <x:v>303</x:v>
      </x:c>
      <x:c r="H4667" s="19" t="n">
        <x:v>7.575</x:v>
      </x:c>
      <x:c r="I4667" s="18" t="n">
        <x:f>ROUND(MIN(Model_Config_v3!$B$6,MAX(Q4667,R4667,S4667*Model_Config_v3!$B$4+T4667*Model_Config_v3!$B$5)),0)</x:f>
        <x:v>648</x:v>
      </x:c>
      <x:c r="J4667" s="18" t="n">
        <x:f>MIN(Model_Config_v3!$B$6,I4667+Model_Config_v3!$B$7)</x:f>
        <x:v>668</x:v>
      </x:c>
      <x:c r="K4667" s="20" t="n">
        <x:v>51.1</x:v>
      </x:c>
      <x:c r="L4667" t="str">
        <x:v>MENENGAH</x:v>
      </x:c>
      <x:c r="M4667" t="str">
        <x:v>SEDANG</x:v>
      </x:c>
      <x:c r="N4667" t="str">
        <x:v>REGULER</x:v>
      </x:c>
      <x:c r="O4667" t="str">
        <x:v>CAMPURAN</x:v>
      </x:c>
      <x:c r="P4667" t="str">
        <x:v>UMUM</x:v>
      </x:c>
      <x:c r="Q4667" s="18" t="n">
        <x:v>0</x:v>
      </x:c>
      <x:c r="R4667" s="18" t="n">
        <x:v>0</x:v>
      </x:c>
      <x:c r="S4667" s="18" t="n">
        <x:v>616.7320900891777</x:v>
      </x:c>
      <x:c r="T4667" s="18" t="n">
        <x:v>662</x:v>
      </x:c>
      <x:c r="U4667" s="18" t="n">
        <x:v>616.7320900891777</x:v>
      </x:c>
      <x:c r="V4667" s="20" t="n">
        <x:v>8.8</x:v>
      </x:c>
      <x:c r="W4667" s="20" t="n">
        <x:v>9.9</x:v>
      </x:c>
      <x:c r="X4667" s="20" t="n">
        <x:v>3.3</x:v>
      </x:c>
      <x:c r="Y4667" t="str">
        <x:v>Basis arsip 2025/2024</x:v>
      </x:c>
      <x:c r="Z4667" t="str">
        <x:v>https://snpmb.id/utbk-snbt/daya-tampung-snbt</x:v>
      </x:c>
      <x:c r="AA4667" t="str">
        <x:v>Tidak Ada</x:v>
      </x:c>
      <x:c r="AB4667" t="str">
        <x:v>Campus=55; Ratio=51.8; Prodi=40; RelDemand=42.7; Capacity=66.7</x:v>
      </x:c>
    </x:row>
    <x:row r="4668">
      <x:c r="A4668" t="n">
        <x:v>4665</x:v>
      </x:c>
      <x:c r="B4668" t="str">
        <x:v>PTN Vokasi</x:v>
      </x:c>
      <x:c r="C4668" t="str">
        <x:v>POLITEKNIK NEGERI UJUNG PANDANG</x:v>
      </x:c>
      <x:c r="D4668" t="str">
        <x:v>TEKNIK KONVERSI ENERGI</x:v>
      </x:c>
      <x:c r="E4668" t="str">
        <x:v>Diploma Tiga</x:v>
      </x:c>
      <x:c r="F4668" s="18" t="n">
        <x:v>30</x:v>
      </x:c>
      <x:c r="G4668" s="18" t="n">
        <x:v>88</x:v>
      </x:c>
      <x:c r="H4668" s="19" t="n">
        <x:v>2.933333333333333</x:v>
      </x:c>
      <x:c r="I4668" s="18" t="n">
        <x:f>ROUND(MIN(Model_Config_v3!$B$6,MAX(Q4668,R4668,S4668*Model_Config_v3!$B$4+T4668*Model_Config_v3!$B$5)),0)</x:f>
        <x:v>630</x:v>
      </x:c>
      <x:c r="J4668" s="18" t="n">
        <x:f>MIN(Model_Config_v3!$B$6,I4668+Model_Config_v3!$B$7)</x:f>
        <x:v>650</x:v>
      </x:c>
      <x:c r="K4668" s="20" t="n">
        <x:v>47.3</x:v>
      </x:c>
      <x:c r="L4668" t="str">
        <x:v>MENENGAH</x:v>
      </x:c>
      <x:c r="M4668" t="str">
        <x:v>SEDANG+</x:v>
      </x:c>
      <x:c r="N4668" t="str">
        <x:v>REGULER</x:v>
      </x:c>
      <x:c r="O4668" t="str">
        <x:v>SAINTEK</x:v>
      </x:c>
      <x:c r="P4668" t="str">
        <x:v>TEKNIK/ARSITEKTUR/STATISTIKA/AKTUARIA</x:v>
      </x:c>
      <x:c r="Q4668" s="18" t="n">
        <x:v>0</x:v>
      </x:c>
      <x:c r="R4668" s="18" t="n">
        <x:v>0</x:v>
      </x:c>
      <x:c r="S4668" s="18" t="n">
        <x:v>571.4097559173557</x:v>
      </x:c>
      <x:c r="T4668" s="18" t="n">
        <x:v>655</x:v>
      </x:c>
      <x:c r="U4668" s="18" t="n">
        <x:v>581.4097559173557</x:v>
      </x:c>
      <x:c r="V4668" s="20" t="n">
        <x:v>12</x:v>
      </x:c>
      <x:c r="W4668" s="20" t="n">
        <x:v>5</x:v>
      </x:c>
      <x:c r="X4668" s="20" t="n">
        <x:v>3</x:v>
      </x:c>
      <x:c r="Y4668" t="str">
        <x:v>Basis arsip 2025/2024</x:v>
      </x:c>
      <x:c r="Z4668" t="str">
        <x:v>https://snpmb.id/utbk-snbt/daya-tampung-snbt</x:v>
      </x:c>
      <x:c r="AA4668" t="str">
        <x:v>Tidak Ada</x:v>
      </x:c>
      <x:c r="AB4668" t="str">
        <x:v>Campus=55; Ratio=27.5; Prodi=60; RelDemand=16.5; Capacity=75.0</x:v>
      </x:c>
    </x:row>
    <x:row r="4669">
      <x:c r="A4669" t="n">
        <x:v>4666</x:v>
      </x:c>
      <x:c r="B4669" t="str">
        <x:v>PTN Vokasi</x:v>
      </x:c>
      <x:c r="C4669" t="str">
        <x:v>POLITEKNIK PERTANIAN NEGERI PANGKAJENE KEPULAUAN</x:v>
      </x:c>
      <x:c r="D4669" t="str">
        <x:v>AGROINDUSTRI</x:v>
      </x:c>
      <x:c r="E4669" t="str">
        <x:v>Sarjana Terapan</x:v>
      </x:c>
      <x:c r="F4669" s="18" t="n">
        <x:v>28</x:v>
      </x:c>
      <x:c r="G4669" s="18" t="n">
        <x:v>23</x:v>
      </x:c>
      <x:c r="H4669" s="19" t="n">
        <x:v>0.8214285714285714</x:v>
      </x:c>
      <x:c r="I4669" s="18" t="n">
        <x:f>ROUND(MIN(Model_Config_v3!$B$6,MAX(Q4669,R4669,S4669*Model_Config_v3!$B$4+T4669*Model_Config_v3!$B$5)),0)</x:f>
        <x:v>605</x:v>
      </x:c>
      <x:c r="J4669" s="18" t="n">
        <x:f>MIN(Model_Config_v3!$B$6,I4669+Model_Config_v3!$B$7)</x:f>
        <x:v>625</x:v>
      </x:c>
      <x:c r="K4669" s="20" t="n">
        <x:v>40.8</x:v>
      </x:c>
      <x:c r="L4669" t="str">
        <x:v>RELATIF LONGGAR</x:v>
      </x:c>
      <x:c r="M4669" t="str">
        <x:v>SEDANG</x:v>
      </x:c>
      <x:c r="N4669" t="str">
        <x:v>REGULER</x:v>
      </x:c>
      <x:c r="O4669" t="str">
        <x:v>CAMPURAN</x:v>
      </x:c>
      <x:c r="P4669" t="str">
        <x:v>UMUM</x:v>
      </x:c>
      <x:c r="Q4669" s="18" t="n">
        <x:v>0</x:v>
      </x:c>
      <x:c r="R4669" s="18" t="n">
        <x:v>0</x:v>
      </x:c>
      <x:c r="S4669" s="18" t="n">
        <x:v>520</x:v>
      </x:c>
      <x:c r="T4669" s="18" t="n">
        <x:v>642</x:v>
      </x:c>
      <x:c r="U4669" s="18" t="n">
        <x:v>520</x:v>
      </x:c>
      <x:c r="V4669" s="20" t="n">
        <x:v>8.8</x:v>
      </x:c>
      <x:c r="W4669" s="20" t="n">
        <x:v>9.9</x:v>
      </x:c>
      <x:c r="X4669" s="20" t="n">
        <x:v>3.3</x:v>
      </x:c>
      <x:c r="Y4669" t="str">
        <x:v>Basis arsip 2025/2024</x:v>
      </x:c>
      <x:c r="Z4669" t="str">
        <x:v>https://snpmb.id/utbk-snbt/daya-tampung-snbt</x:v>
      </x:c>
      <x:c r="AA4669" t="str">
        <x:v>Tidak Ada</x:v>
      </x:c>
      <x:c r="AB4669" t="str">
        <x:v>Campus=55; Ratio=0.0; Prodi=40; RelDemand=58.9; Capacity=76.7</x:v>
      </x:c>
    </x:row>
    <x:row r="4670">
      <x:c r="A4670" t="n">
        <x:v>4667</x:v>
      </x:c>
      <x:c r="B4670" t="str">
        <x:v>PTN Vokasi</x:v>
      </x:c>
      <x:c r="C4670" t="str">
        <x:v>POLITEKNIK PERTANIAN NEGERI PANGKAJENE KEPULAUAN</x:v>
      </x:c>
      <x:c r="D4670" t="str">
        <x:v>PENGELOLAAN PELABUHAN PERIKANAN</x:v>
      </x:c>
      <x:c r="E4670" t="str">
        <x:v>Sarjana Terapan</x:v>
      </x:c>
      <x:c r="F4670" s="18" t="n">
        <x:v>14</x:v>
      </x:c>
      <x:c r="G4670" s="18" t="n">
        <x:v>9</x:v>
      </x:c>
      <x:c r="H4670" s="19" t="n">
        <x:v>0.6428571428571429</x:v>
      </x:c>
      <x:c r="I4670" s="18" t="n">
        <x:f>ROUND(MIN(Model_Config_v3!$B$6,MAX(Q4670,R4670,S4670*Model_Config_v3!$B$4+T4670*Model_Config_v3!$B$5)),0)</x:f>
        <x:v>605</x:v>
      </x:c>
      <x:c r="J4670" s="18" t="n">
        <x:f>MIN(Model_Config_v3!$B$6,I4670+Model_Config_v3!$B$7)</x:f>
        <x:v>625</x:v>
      </x:c>
      <x:c r="K4670" s="20" t="n">
        <x:v>40.7</x:v>
      </x:c>
      <x:c r="L4670" t="str">
        <x:v>RELATIF LONGGAR</x:v>
      </x:c>
      <x:c r="M4670" t="str">
        <x:v>SEDANG</x:v>
      </x:c>
      <x:c r="N4670" t="str">
        <x:v>REGULER</x:v>
      </x:c>
      <x:c r="O4670" t="str">
        <x:v>SAINTEK</x:v>
      </x:c>
      <x:c r="P4670" t="str">
        <x:v>UMUM</x:v>
      </x:c>
      <x:c r="Q4670" s="18" t="n">
        <x:v>0</x:v>
      </x:c>
      <x:c r="R4670" s="18" t="n">
        <x:v>0</x:v>
      </x:c>
      <x:c r="S4670" s="18" t="n">
        <x:v>520</x:v>
      </x:c>
      <x:c r="T4670" s="18" t="n">
        <x:v>641</x:v>
      </x:c>
      <x:c r="U4670" s="18" t="n">
        <x:v>520</x:v>
      </x:c>
      <x:c r="V4670" s="20" t="n">
        <x:v>12</x:v>
      </x:c>
      <x:c r="W4670" s="20" t="n">
        <x:v>5</x:v>
      </x:c>
      <x:c r="X4670" s="20" t="n">
        <x:v>3</x:v>
      </x:c>
      <x:c r="Y4670" t="str">
        <x:v>Basis arsip 2025/2024</x:v>
      </x:c>
      <x:c r="Z4670" t="str">
        <x:v>https://snpmb.id/utbk-snbt/daya-tampung-snbt</x:v>
      </x:c>
      <x:c r="AA4670" t="str">
        <x:v>Tidak Ada</x:v>
      </x:c>
      <x:c r="AB4670" t="str">
        <x:v>Campus=55; Ratio=0.0; Prodi=40; RelDemand=46.1; Capacity=88.3</x:v>
      </x:c>
    </x:row>
    <x:row r="4671">
      <x:c r="A4671" t="n">
        <x:v>4668</x:v>
      </x:c>
      <x:c r="B4671" t="str">
        <x:v>PTN Vokasi</x:v>
      </x:c>
      <x:c r="C4671" t="str">
        <x:v>POLITEKNIK PERTANIAN NEGERI PANGKAJENE KEPULAUAN</x:v>
      </x:c>
      <x:c r="D4671" t="str">
        <x:v>AGRIBISNIS PETERNAKAN</x:v>
      </x:c>
      <x:c r="E4671" t="str">
        <x:v>Sarjana Terapan</x:v>
      </x:c>
      <x:c r="F4671" s="18" t="n">
        <x:v>28</x:v>
      </x:c>
      <x:c r="G4671" s="18" t="n">
        <x:v>5</x:v>
      </x:c>
      <x:c r="H4671" s="19" t="n">
        <x:v>0.17857142857142858</x:v>
      </x:c>
      <x:c r="I4671" s="18" t="n">
        <x:f>ROUND(MIN(Model_Config_v3!$B$6,MAX(Q4671,R4671,S4671*Model_Config_v3!$B$4+T4671*Model_Config_v3!$B$5)),0)</x:f>
        <x:v>605</x:v>
      </x:c>
      <x:c r="J4671" s="18" t="n">
        <x:f>MIN(Model_Config_v3!$B$6,I4671+Model_Config_v3!$B$7)</x:f>
        <x:v>625</x:v>
      </x:c>
      <x:c r="K4671" s="20" t="n">
        <x:v>41.2</x:v>
      </x:c>
      <x:c r="L4671" t="str">
        <x:v>RELATIF LONGGAR</x:v>
      </x:c>
      <x:c r="M4671" t="str">
        <x:v>SEDANG+</x:v>
      </x:c>
      <x:c r="N4671" t="str">
        <x:v>REGULER</x:v>
      </x:c>
      <x:c r="O4671" t="str">
        <x:v>SAINTEK</x:v>
      </x:c>
      <x:c r="P4671" t="str">
        <x:v>BISNIS/EKONOMI/AKUNTANSI</x:v>
      </x:c>
      <x:c r="Q4671" s="18" t="n">
        <x:v>0</x:v>
      </x:c>
      <x:c r="R4671" s="18" t="n">
        <x:v>0</x:v>
      </x:c>
      <x:c r="S4671" s="18" t="n">
        <x:v>520</x:v>
      </x:c>
      <x:c r="T4671" s="18" t="n">
        <x:v>642</x:v>
      </x:c>
      <x:c r="U4671" s="18" t="n">
        <x:v>535</x:v>
      </x:c>
      <x:c r="V4671" s="20" t="n">
        <x:v>12</x:v>
      </x:c>
      <x:c r="W4671" s="20" t="n">
        <x:v>5</x:v>
      </x:c>
      <x:c r="X4671" s="20" t="n">
        <x:v>3</x:v>
      </x:c>
      <x:c r="Y4671" t="str">
        <x:v>Basis arsip 2025/2024</x:v>
      </x:c>
      <x:c r="Z4671" t="str">
        <x:v>https://snpmb.id/utbk-snbt/daya-tampung-snbt</x:v>
      </x:c>
      <x:c r="AA4671" t="str">
        <x:v>Tidak Ada</x:v>
      </x:c>
      <x:c r="AB4671" t="str">
        <x:v>Campus=55; Ratio=0.0; Prodi=65; RelDemand=12.8; Capacity=76.7</x:v>
      </x:c>
    </x:row>
    <x:row r="4672">
      <x:c r="A4672" t="n">
        <x:v>4669</x:v>
      </x:c>
      <x:c r="B4672" t="str">
        <x:v>PTN Vokasi</x:v>
      </x:c>
      <x:c r="C4672" t="str">
        <x:v>POLITEKNIK PERTANIAN NEGERI PANGKAJENE KEPULAUAN</x:v>
      </x:c>
      <x:c r="D4672" t="str">
        <x:v>TEKNOLOGI PEMBENIHAN IKAN</x:v>
      </x:c>
      <x:c r="E4672" t="str">
        <x:v>Sarjana Terapan</x:v>
      </x:c>
      <x:c r="F4672" s="18" t="n">
        <x:v>20</x:v>
      </x:c>
      <x:c r="G4672" s="18" t="n">
        <x:v>6</x:v>
      </x:c>
      <x:c r="H4672" s="19" t="n">
        <x:v>0.3</x:v>
      </x:c>
      <x:c r="I4672" s="18" t="n">
        <x:f>ROUND(MIN(Model_Config_v3!$B$6,MAX(Q4672,R4672,S4672*Model_Config_v3!$B$4+T4672*Model_Config_v3!$B$5)),0)</x:f>
        <x:v>601</x:v>
      </x:c>
      <x:c r="J4672" s="18" t="n">
        <x:f>MIN(Model_Config_v3!$B$6,I4672+Model_Config_v3!$B$7)</x:f>
        <x:v>621</x:v>
      </x:c>
      <x:c r="K4672" s="20" t="n">
        <x:v>37.7</x:v>
      </x:c>
      <x:c r="L4672" t="str">
        <x:v>RELATIF LONGGAR</x:v>
      </x:c>
      <x:c r="M4672" t="str">
        <x:v>SEDANG</x:v>
      </x:c>
      <x:c r="N4672" t="str">
        <x:v>REGULER</x:v>
      </x:c>
      <x:c r="O4672" t="str">
        <x:v>SAINTEK</x:v>
      </x:c>
      <x:c r="P4672" t="str">
        <x:v>UMUM</x:v>
      </x:c>
      <x:c r="Q4672" s="18" t="n">
        <x:v>0</x:v>
      </x:c>
      <x:c r="R4672" s="18" t="n">
        <x:v>0</x:v>
      </x:c>
      <x:c r="S4672" s="18" t="n">
        <x:v>520</x:v>
      </x:c>
      <x:c r="T4672" s="18" t="n">
        <x:v>635</x:v>
      </x:c>
      <x:c r="U4672" s="18" t="n">
        <x:v>520</x:v>
      </x:c>
      <x:c r="V4672" s="20" t="n">
        <x:v>12</x:v>
      </x:c>
      <x:c r="W4672" s="20" t="n">
        <x:v>5</x:v>
      </x:c>
      <x:c r="X4672" s="20" t="n">
        <x:v>3</x:v>
      </x:c>
      <x:c r="Y4672" t="str">
        <x:v>Basis arsip 2025/2024</x:v>
      </x:c>
      <x:c r="Z4672" t="str">
        <x:v>https://snpmb.id/utbk-snbt/daya-tampung-snbt</x:v>
      </x:c>
      <x:c r="AA4672" t="str">
        <x:v>Tidak Ada</x:v>
      </x:c>
      <x:c r="AB4672" t="str">
        <x:v>Campus=55; Ratio=0.0; Prodi=40; RelDemand=21.5; Capacity=83.3</x:v>
      </x:c>
    </x:row>
    <x:row r="4673">
      <x:c r="A4673" t="n">
        <x:v>4670</x:v>
      </x:c>
      <x:c r="B4673" t="str">
        <x:v>PTN Vokasi</x:v>
      </x:c>
      <x:c r="C4673" t="str">
        <x:v>POLITEKNIK PERTANIAN NEGERI PANGKAJENE KEPULAUAN</x:v>
      </x:c>
      <x:c r="D4673" t="str">
        <x:v>TEKNOLOGI PRODUKSI TANAMAN PANGAN</x:v>
      </x:c>
      <x:c r="E4673" t="str">
        <x:v>Sarjana Terapan</x:v>
      </x:c>
      <x:c r="F4673" s="18" t="n">
        <x:v>14</x:v>
      </x:c>
      <x:c r="G4673" s="18" t="n">
        <x:v>12</x:v>
      </x:c>
      <x:c r="H4673" s="19" t="n">
        <x:v>0.8571428571428571</x:v>
      </x:c>
      <x:c r="I4673" s="18" t="n">
        <x:f>ROUND(MIN(Model_Config_v3!$B$6,MAX(Q4673,R4673,S4673*Model_Config_v3!$B$4+T4673*Model_Config_v3!$B$5)),0)</x:f>
        <x:v>607</x:v>
      </x:c>
      <x:c r="J4673" s="18" t="n">
        <x:f>MIN(Model_Config_v3!$B$6,I4673+Model_Config_v3!$B$7)</x:f>
        <x:v>627</x:v>
      </x:c>
      <x:c r="K4673" s="20" t="n">
        <x:v>42.2</x:v>
      </x:c>
      <x:c r="L4673" t="str">
        <x:v>RELATIF LONGGAR</x:v>
      </x:c>
      <x:c r="M4673" t="str">
        <x:v>SEDANG</x:v>
      </x:c>
      <x:c r="N4673" t="str">
        <x:v>REGULER</x:v>
      </x:c>
      <x:c r="O4673" t="str">
        <x:v>SAINTEK</x:v>
      </x:c>
      <x:c r="P4673" t="str">
        <x:v>UMUM</x:v>
      </x:c>
      <x:c r="Q4673" s="18" t="n">
        <x:v>0</x:v>
      </x:c>
      <x:c r="R4673" s="18" t="n">
        <x:v>0</x:v>
      </x:c>
      <x:c r="S4673" s="18" t="n">
        <x:v>520</x:v>
      </x:c>
      <x:c r="T4673" s="18" t="n">
        <x:v>644</x:v>
      </x:c>
      <x:c r="U4673" s="18" t="n">
        <x:v>520</x:v>
      </x:c>
      <x:c r="V4673" s="20" t="n">
        <x:v>12</x:v>
      </x:c>
      <x:c r="W4673" s="20" t="n">
        <x:v>5</x:v>
      </x:c>
      <x:c r="X4673" s="20" t="n">
        <x:v>3</x:v>
      </x:c>
      <x:c r="Y4673" t="str">
        <x:v>Basis arsip 2025/2024</x:v>
      </x:c>
      <x:c r="Z4673" t="str">
        <x:v>https://snpmb.id/utbk-snbt/daya-tampung-snbt</x:v>
      </x:c>
      <x:c r="AA4673" t="str">
        <x:v>Tidak Ada</x:v>
      </x:c>
      <x:c r="AB4673" t="str">
        <x:v>Campus=55; Ratio=0.0; Prodi=40; RelDemand=61.4; Capacity=88.3</x:v>
      </x:c>
    </x:row>
    <x:row r="4674">
      <x:c r="A4674" t="n">
        <x:v>4671</x:v>
      </x:c>
      <x:c r="B4674" t="str">
        <x:v>PTN Vokasi</x:v>
      </x:c>
      <x:c r="C4674" t="str">
        <x:v>POLITEKNIK PERTANIAN NEGERI PANGKAJENE KEPULAUAN</x:v>
      </x:c>
      <x:c r="D4674" t="str">
        <x:v>TEKNOLOGI PAKAN TERNAK</x:v>
      </x:c>
      <x:c r="E4674" t="str">
        <x:v>Sarjana Terapan</x:v>
      </x:c>
      <x:c r="F4674" s="18" t="n">
        <x:v>14</x:v>
      </x:c>
      <x:c r="G4674" s="18" t="n">
        <x:v>2</x:v>
      </x:c>
      <x:c r="H4674" s="19" t="n">
        <x:v>0.14285714285714285</x:v>
      </x:c>
      <x:c r="I4674" s="18" t="n">
        <x:f>ROUND(MIN(Model_Config_v3!$B$6,MAX(Q4674,R4674,S4674*Model_Config_v3!$B$4+T4674*Model_Config_v3!$B$5)),0)</x:f>
        <x:v>600</x:v>
      </x:c>
      <x:c r="J4674" s="18" t="n">
        <x:f>MIN(Model_Config_v3!$B$6,I4674+Model_Config_v3!$B$7)</x:f>
        <x:v>620</x:v>
      </x:c>
      <x:c r="K4674" s="20" t="n">
        <x:v>37.1</x:v>
      </x:c>
      <x:c r="L4674" t="str">
        <x:v>RELATIF LONGGAR</x:v>
      </x:c>
      <x:c r="M4674" t="str">
        <x:v>SEDANG</x:v>
      </x:c>
      <x:c r="N4674" t="str">
        <x:v>REGULER</x:v>
      </x:c>
      <x:c r="O4674" t="str">
        <x:v>SAINTEK</x:v>
      </x:c>
      <x:c r="P4674" t="str">
        <x:v>UMUM</x:v>
      </x:c>
      <x:c r="Q4674" s="18" t="n">
        <x:v>0</x:v>
      </x:c>
      <x:c r="R4674" s="18" t="n">
        <x:v>0</x:v>
      </x:c>
      <x:c r="S4674" s="18" t="n">
        <x:v>520</x:v>
      </x:c>
      <x:c r="T4674" s="18" t="n">
        <x:v>634</x:v>
      </x:c>
      <x:c r="U4674" s="18" t="n">
        <x:v>520</x:v>
      </x:c>
      <x:c r="V4674" s="20" t="n">
        <x:v>12</x:v>
      </x:c>
      <x:c r="W4674" s="20" t="n">
        <x:v>5</x:v>
      </x:c>
      <x:c r="X4674" s="20" t="n">
        <x:v>3</x:v>
      </x:c>
      <x:c r="Y4674" t="str">
        <x:v>Basis arsip 2025/2024</x:v>
      </x:c>
      <x:c r="Z4674" t="str">
        <x:v>https://snpmb.id/utbk-snbt/daya-tampung-snbt</x:v>
      </x:c>
      <x:c r="AA4674" t="str">
        <x:v>Tidak Ada</x:v>
      </x:c>
      <x:c r="AB4674" t="str">
        <x:v>Campus=55; Ratio=0.0; Prodi=40; RelDemand=10.2; Capacity=88.3</x:v>
      </x:c>
    </x:row>
    <x:row r="4675">
      <x:c r="A4675" t="n">
        <x:v>4672</x:v>
      </x:c>
      <x:c r="B4675" t="str">
        <x:v>PTN Vokasi</x:v>
      </x:c>
      <x:c r="C4675" t="str">
        <x:v>POLITEKNIK PERTANIAN NEGERI PANGKAJENE KEPULAUAN</x:v>
      </x:c>
      <x:c r="D4675" t="str">
        <x:v>TEKNOLOGI PRODUKSI TANAMAN HORTIKULTURA</x:v>
      </x:c>
      <x:c r="E4675" t="str">
        <x:v>Sarjana Terapan</x:v>
      </x:c>
      <x:c r="F4675" s="18" t="n">
        <x:v>17</x:v>
      </x:c>
      <x:c r="G4675" s="18" t="n">
        <x:v>3</x:v>
      </x:c>
      <x:c r="H4675" s="19" t="n">
        <x:v>0.17647058823529413</x:v>
      </x:c>
      <x:c r="I4675" s="18" t="n">
        <x:f>ROUND(MIN(Model_Config_v3!$B$6,MAX(Q4675,R4675,S4675*Model_Config_v3!$B$4+T4675*Model_Config_v3!$B$5)),0)</x:f>
        <x:v>600</x:v>
      </x:c>
      <x:c r="J4675" s="18" t="n">
        <x:f>MIN(Model_Config_v3!$B$6,I4675+Model_Config_v3!$B$7)</x:f>
        <x:v>620</x:v>
      </x:c>
      <x:c r="K4675" s="20" t="n">
        <x:v>37.1</x:v>
      </x:c>
      <x:c r="L4675" t="str">
        <x:v>RELATIF LONGGAR</x:v>
      </x:c>
      <x:c r="M4675" t="str">
        <x:v>SEDANG</x:v>
      </x:c>
      <x:c r="N4675" t="str">
        <x:v>REGULER</x:v>
      </x:c>
      <x:c r="O4675" t="str">
        <x:v>SAINTEK</x:v>
      </x:c>
      <x:c r="P4675" t="str">
        <x:v>UMUM</x:v>
      </x:c>
      <x:c r="Q4675" s="18" t="n">
        <x:v>0</x:v>
      </x:c>
      <x:c r="R4675" s="18" t="n">
        <x:v>0</x:v>
      </x:c>
      <x:c r="S4675" s="18" t="n">
        <x:v>520</x:v>
      </x:c>
      <x:c r="T4675" s="18" t="n">
        <x:v>634</x:v>
      </x:c>
      <x:c r="U4675" s="18" t="n">
        <x:v>520</x:v>
      </x:c>
      <x:c r="V4675" s="20" t="n">
        <x:v>12</x:v>
      </x:c>
      <x:c r="W4675" s="20" t="n">
        <x:v>5</x:v>
      </x:c>
      <x:c r="X4675" s="20" t="n">
        <x:v>3</x:v>
      </x:c>
      <x:c r="Y4675" t="str">
        <x:v>Basis arsip 2025/2024</x:v>
      </x:c>
      <x:c r="Z4675" t="str">
        <x:v>https://snpmb.id/utbk-snbt/daya-tampung-snbt</x:v>
      </x:c>
      <x:c r="AA4675" t="str">
        <x:v>Tidak Ada</x:v>
      </x:c>
      <x:c r="AB4675" t="str">
        <x:v>Campus=55; Ratio=0.0; Prodi=40; RelDemand=12.6; Capacity=85.8</x:v>
      </x:c>
    </x:row>
    <x:row r="4676">
      <x:c r="A4676" t="n">
        <x:v>4673</x:v>
      </x:c>
      <x:c r="B4676" t="str">
        <x:v>PTN Vokasi</x:v>
      </x:c>
      <x:c r="C4676" t="str">
        <x:v>POLITEKNIK PERTANIAN NEGERI PANGKAJENE KEPULAUAN</x:v>
      </x:c>
      <x:c r="D4676" t="str">
        <x:v>PENGELOLAAN PERKEBUNAN KOPI</x:v>
      </x:c>
      <x:c r="E4676" t="str">
        <x:v>Sarjana Terapan</x:v>
      </x:c>
      <x:c r="F4676" s="18" t="n">
        <x:v>14</x:v>
      </x:c>
      <x:c r="G4676" s="18" t="n">
        <x:v>1</x:v>
      </x:c>
      <x:c r="H4676" s="19" t="n">
        <x:v>0.07142857142857142</x:v>
      </x:c>
      <x:c r="I4676" s="18" t="n">
        <x:f>ROUND(MIN(Model_Config_v3!$B$6,MAX(Q4676,R4676,S4676*Model_Config_v3!$B$4+T4676*Model_Config_v3!$B$5)),0)</x:f>
        <x:v>599</x:v>
      </x:c>
      <x:c r="J4676" s="18" t="n">
        <x:f>MIN(Model_Config_v3!$B$6,I4676+Model_Config_v3!$B$7)</x:f>
        <x:v>619</x:v>
      </x:c>
      <x:c r="K4676" s="20" t="n">
        <x:v>36.6</x:v>
      </x:c>
      <x:c r="L4676" t="str">
        <x:v>RELATIF LONGGAR</x:v>
      </x:c>
      <x:c r="M4676" t="str">
        <x:v>SEDANG</x:v>
      </x:c>
      <x:c r="N4676" t="str">
        <x:v>REGULER</x:v>
      </x:c>
      <x:c r="O4676" t="str">
        <x:v>CAMPURAN</x:v>
      </x:c>
      <x:c r="P4676" t="str">
        <x:v>UMUM</x:v>
      </x:c>
      <x:c r="Q4676" s="18" t="n">
        <x:v>0</x:v>
      </x:c>
      <x:c r="R4676" s="18" t="n">
        <x:v>0</x:v>
      </x:c>
      <x:c r="S4676" s="18" t="n">
        <x:v>520</x:v>
      </x:c>
      <x:c r="T4676" s="18" t="n">
        <x:v>633</x:v>
      </x:c>
      <x:c r="U4676" s="18" t="n">
        <x:v>520</x:v>
      </x:c>
      <x:c r="V4676" s="20" t="n">
        <x:v>8.8</x:v>
      </x:c>
      <x:c r="W4676" s="20" t="n">
        <x:v>9.9</x:v>
      </x:c>
      <x:c r="X4676" s="20" t="n">
        <x:v>3.3</x:v>
      </x:c>
      <x:c r="Y4676" t="str">
        <x:v>Basis arsip 2025/2024</x:v>
      </x:c>
      <x:c r="Z4676" t="str">
        <x:v>https://snpmb.id/utbk-snbt/daya-tampung-snbt</x:v>
      </x:c>
      <x:c r="AA4676" t="str">
        <x:v>Tidak Ada</x:v>
      </x:c>
      <x:c r="AB4676" t="str">
        <x:v>Campus=55; Ratio=0.0; Prodi=40; RelDemand=5.1; Capacity=88.3</x:v>
      </x:c>
    </x:row>
    <x:row r="4677">
      <x:c r="A4677" t="n">
        <x:v>4674</x:v>
      </x:c>
      <x:c r="B4677" t="str">
        <x:v>PTN Vokasi</x:v>
      </x:c>
      <x:c r="C4677" t="str">
        <x:v>POLITEKNIK PERTANIAN NEGERI PANGKAJENE KEPULAUAN</x:v>
      </x:c>
      <x:c r="D4677" t="str">
        <x:v>TEKNOLOGI BUDIDAYA PERIKANAN</x:v>
      </x:c>
      <x:c r="E4677" t="str">
        <x:v>Sarjana Terapan</x:v>
      </x:c>
      <x:c r="F4677" s="18" t="n">
        <x:v>28</x:v>
      </x:c>
      <x:c r="G4677" s="18" t="n">
        <x:v>21</x:v>
      </x:c>
      <x:c r="H4677" s="19" t="n">
        <x:v>0.75</x:v>
      </x:c>
      <x:c r="I4677" s="18" t="n">
        <x:f>ROUND(MIN(Model_Config_v3!$B$6,MAX(Q4677,R4677,S4677*Model_Config_v3!$B$4+T4677*Model_Config_v3!$B$5)),0)</x:f>
        <x:v>605</x:v>
      </x:c>
      <x:c r="J4677" s="18" t="n">
        <x:f>MIN(Model_Config_v3!$B$6,I4677+Model_Config_v3!$B$7)</x:f>
        <x:v>625</x:v>
      </x:c>
      <x:c r="K4677" s="20" t="n">
        <x:v>40.3</x:v>
      </x:c>
      <x:c r="L4677" t="str">
        <x:v>RELATIF LONGGAR</x:v>
      </x:c>
      <x:c r="M4677" t="str">
        <x:v>SEDANG</x:v>
      </x:c>
      <x:c r="N4677" t="str">
        <x:v>REGULER</x:v>
      </x:c>
      <x:c r="O4677" t="str">
        <x:v>SAINTEK</x:v>
      </x:c>
      <x:c r="P4677" t="str">
        <x:v>UMUM</x:v>
      </x:c>
      <x:c r="Q4677" s="18" t="n">
        <x:v>0</x:v>
      </x:c>
      <x:c r="R4677" s="18" t="n">
        <x:v>0</x:v>
      </x:c>
      <x:c r="S4677" s="18" t="n">
        <x:v>520</x:v>
      </x:c>
      <x:c r="T4677" s="18" t="n">
        <x:v>641</x:v>
      </x:c>
      <x:c r="U4677" s="18" t="n">
        <x:v>520</x:v>
      </x:c>
      <x:c r="V4677" s="20" t="n">
        <x:v>12</x:v>
      </x:c>
      <x:c r="W4677" s="20" t="n">
        <x:v>5</x:v>
      </x:c>
      <x:c r="X4677" s="20" t="n">
        <x:v>3</x:v>
      </x:c>
      <x:c r="Y4677" t="str">
        <x:v>Basis arsip 2025/2024</x:v>
      </x:c>
      <x:c r="Z4677" t="str">
        <x:v>https://snpmb.id/utbk-snbt/daya-tampung-snbt</x:v>
      </x:c>
      <x:c r="AA4677" t="str">
        <x:v>Tidak Ada</x:v>
      </x:c>
      <x:c r="AB4677" t="str">
        <x:v>Campus=55; Ratio=0.0; Prodi=40; RelDemand=53.8; Capacity=76.7</x:v>
      </x:c>
    </x:row>
    <x:row r="4678">
      <x:c r="A4678" t="n">
        <x:v>4675</x:v>
      </x:c>
      <x:c r="B4678" t="str">
        <x:v>PTN Vokasi</x:v>
      </x:c>
      <x:c r="C4678" t="str">
        <x:v>POLITEKNIK PERTANIAN NEGERI PANGKAJENE KEPULAUAN</x:v>
      </x:c>
      <x:c r="D4678" t="str">
        <x:v>TEKNOLOGI PRODUKSI TANAMAN PERKEBUNAN</x:v>
      </x:c>
      <x:c r="E4678" t="str">
        <x:v>Sarjana Terapan</x:v>
      </x:c>
      <x:c r="F4678" s="18" t="n">
        <x:v>14</x:v>
      </x:c>
      <x:c r="G4678" s="18" t="n">
        <x:v>8</x:v>
      </x:c>
      <x:c r="H4678" s="19" t="n">
        <x:v>0.5714285714285714</x:v>
      </x:c>
      <x:c r="I4678" s="18" t="n">
        <x:f>ROUND(MIN(Model_Config_v3!$B$6,MAX(Q4678,R4678,S4678*Model_Config_v3!$B$4+T4678*Model_Config_v3!$B$5)),0)</x:f>
        <x:v>604</x:v>
      </x:c>
      <x:c r="J4678" s="18" t="n">
        <x:f>MIN(Model_Config_v3!$B$6,I4678+Model_Config_v3!$B$7)</x:f>
        <x:v>624</x:v>
      </x:c>
      <x:c r="K4678" s="20" t="n">
        <x:v>40.2</x:v>
      </x:c>
      <x:c r="L4678" t="str">
        <x:v>RELATIF LONGGAR</x:v>
      </x:c>
      <x:c r="M4678" t="str">
        <x:v>SEDANG</x:v>
      </x:c>
      <x:c r="N4678" t="str">
        <x:v>REGULER</x:v>
      </x:c>
      <x:c r="O4678" t="str">
        <x:v>SAINTEK</x:v>
      </x:c>
      <x:c r="P4678" t="str">
        <x:v>UMUM</x:v>
      </x:c>
      <x:c r="Q4678" s="18" t="n">
        <x:v>0</x:v>
      </x:c>
      <x:c r="R4678" s="18" t="n">
        <x:v>0</x:v>
      </x:c>
      <x:c r="S4678" s="18" t="n">
        <x:v>520</x:v>
      </x:c>
      <x:c r="T4678" s="18" t="n">
        <x:v>640</x:v>
      </x:c>
      <x:c r="U4678" s="18" t="n">
        <x:v>520</x:v>
      </x:c>
      <x:c r="V4678" s="20" t="n">
        <x:v>12</x:v>
      </x:c>
      <x:c r="W4678" s="20" t="n">
        <x:v>5</x:v>
      </x:c>
      <x:c r="X4678" s="20" t="n">
        <x:v>3</x:v>
      </x:c>
      <x:c r="Y4678" t="str">
        <x:v>Basis arsip 2025/2024</x:v>
      </x:c>
      <x:c r="Z4678" t="str">
        <x:v>https://snpmb.id/utbk-snbt/daya-tampung-snbt</x:v>
      </x:c>
      <x:c r="AA4678" t="str">
        <x:v>Tidak Ada</x:v>
      </x:c>
      <x:c r="AB4678" t="str">
        <x:v>Campus=55; Ratio=0.0; Prodi=40; RelDemand=41.0; Capacity=88.3</x:v>
      </x:c>
    </x:row>
    <x:row r="4679">
      <x:c r="A4679" t="n">
        <x:v>4676</x:v>
      </x:c>
      <x:c r="B4679" t="str">
        <x:v>PTN Vokasi</x:v>
      </x:c>
      <x:c r="C4679" t="str">
        <x:v>POLITEKNIK PERTANIAN NEGERI PANGKAJENE KEPULAUAN</x:v>
      </x:c>
      <x:c r="D4679" t="str">
        <x:v>PENGOLAHAN DAN PENYIMPANAN HASIL PERIKANAN</x:v>
      </x:c>
      <x:c r="E4679" t="str">
        <x:v>Sarjana Terapan</x:v>
      </x:c>
      <x:c r="F4679" s="18" t="n">
        <x:v>24</x:v>
      </x:c>
      <x:c r="G4679" s="18" t="n">
        <x:v>7</x:v>
      </x:c>
      <x:c r="H4679" s="19" t="n">
        <x:v>0.2916666666666667</x:v>
      </x:c>
      <x:c r="I4679" s="18" t="n">
        <x:f>ROUND(MIN(Model_Config_v3!$B$6,MAX(Q4679,R4679,S4679*Model_Config_v3!$B$4+T4679*Model_Config_v3!$B$5)),0)</x:f>
        <x:v>601</x:v>
      </x:c>
      <x:c r="J4679" s="18" t="n">
        <x:f>MIN(Model_Config_v3!$B$6,I4679+Model_Config_v3!$B$7)</x:f>
        <x:v>621</x:v>
      </x:c>
      <x:c r="K4679" s="20" t="n">
        <x:v>37.3</x:v>
      </x:c>
      <x:c r="L4679" t="str">
        <x:v>RELATIF LONGGAR</x:v>
      </x:c>
      <x:c r="M4679" t="str">
        <x:v>SEDANG</x:v>
      </x:c>
      <x:c r="N4679" t="str">
        <x:v>REGULER</x:v>
      </x:c>
      <x:c r="O4679" t="str">
        <x:v>SAINTEK</x:v>
      </x:c>
      <x:c r="P4679" t="str">
        <x:v>UMUM</x:v>
      </x:c>
      <x:c r="Q4679" s="18" t="n">
        <x:v>0</x:v>
      </x:c>
      <x:c r="R4679" s="18" t="n">
        <x:v>0</x:v>
      </x:c>
      <x:c r="S4679" s="18" t="n">
        <x:v>520</x:v>
      </x:c>
      <x:c r="T4679" s="18" t="n">
        <x:v>635</x:v>
      </x:c>
      <x:c r="U4679" s="18" t="n">
        <x:v>520</x:v>
      </x:c>
      <x:c r="V4679" s="20" t="n">
        <x:v>12</x:v>
      </x:c>
      <x:c r="W4679" s="20" t="n">
        <x:v>5</x:v>
      </x:c>
      <x:c r="X4679" s="20" t="n">
        <x:v>3</x:v>
      </x:c>
      <x:c r="Y4679" t="str">
        <x:v>Basis arsip 2025/2024</x:v>
      </x:c>
      <x:c r="Z4679" t="str">
        <x:v>https://snpmb.id/utbk-snbt/daya-tampung-snbt</x:v>
      </x:c>
      <x:c r="AA4679" t="str">
        <x:v>Tidak Ada</x:v>
      </x:c>
      <x:c r="AB4679" t="str">
        <x:v>Campus=55; Ratio=0.0; Prodi=40; RelDemand=20.9; Capacity=80.0</x:v>
      </x:c>
    </x:row>
    <x:row r="4680">
      <x:c r="A4680" t="n">
        <x:v>4677</x:v>
      </x:c>
      <x:c r="B4680" t="str">
        <x:v>PTN Vokasi</x:v>
      </x:c>
      <x:c r="C4680" t="str">
        <x:v>POLITEKNIK PERTANIAN NEGERI PANGKAJENE KEPULAUAN</x:v>
      </x:c>
      <x:c r="D4680" t="str">
        <x:v>AGRIBISNIS PERIKANAN</x:v>
      </x:c>
      <x:c r="E4680" t="str">
        <x:v>Sarjana Terapan</x:v>
      </x:c>
      <x:c r="F4680" s="18" t="n">
        <x:v>28</x:v>
      </x:c>
      <x:c r="G4680" s="18" t="n">
        <x:v>20</x:v>
      </x:c>
      <x:c r="H4680" s="19" t="n">
        <x:v>0.7142857142857143</x:v>
      </x:c>
      <x:c r="I4680" s="18" t="n">
        <x:f>ROUND(MIN(Model_Config_v3!$B$6,MAX(Q4680,R4680,S4680*Model_Config_v3!$B$4+T4680*Model_Config_v3!$B$5)),0)</x:f>
        <x:v>611</x:v>
      </x:c>
      <x:c r="J4680" s="18" t="n">
        <x:f>MIN(Model_Config_v3!$B$6,I4680+Model_Config_v3!$B$7)</x:f>
        <x:v>631</x:v>
      </x:c>
      <x:c r="K4680" s="20" t="n">
        <x:v>45</x:v>
      </x:c>
      <x:c r="L4680" t="str">
        <x:v>MENENGAH</x:v>
      </x:c>
      <x:c r="M4680" t="str">
        <x:v>SEDANG+</x:v>
      </x:c>
      <x:c r="N4680" t="str">
        <x:v>REGULER</x:v>
      </x:c>
      <x:c r="O4680" t="str">
        <x:v>SAINTEK</x:v>
      </x:c>
      <x:c r="P4680" t="str">
        <x:v>BISNIS/EKONOMI/AKUNTANSI</x:v>
      </x:c>
      <x:c r="Q4680" s="18" t="n">
        <x:v>0</x:v>
      </x:c>
      <x:c r="R4680" s="18" t="n">
        <x:v>0</x:v>
      </x:c>
      <x:c r="S4680" s="18" t="n">
        <x:v>520</x:v>
      </x:c>
      <x:c r="T4680" s="18" t="n">
        <x:v>650</x:v>
      </x:c>
      <x:c r="U4680" s="18" t="n">
        <x:v>535</x:v>
      </x:c>
      <x:c r="V4680" s="20" t="n">
        <x:v>12</x:v>
      </x:c>
      <x:c r="W4680" s="20" t="n">
        <x:v>5</x:v>
      </x:c>
      <x:c r="X4680" s="20" t="n">
        <x:v>3</x:v>
      </x:c>
      <x:c r="Y4680" t="str">
        <x:v>Basis arsip 2025/2024</x:v>
      </x:c>
      <x:c r="Z4680" t="str">
        <x:v>https://snpmb.id/utbk-snbt/daya-tampung-snbt</x:v>
      </x:c>
      <x:c r="AA4680" t="str">
        <x:v>Tidak Ada</x:v>
      </x:c>
      <x:c r="AB4680" t="str">
        <x:v>Campus=55; Ratio=0.0; Prodi=65; RelDemand=51.2; Capacity=76.7</x:v>
      </x:c>
    </x:row>
    <x:row r="4681">
      <x:c r="A4681" t="n">
        <x:v>4678</x:v>
      </x:c>
      <x:c r="B4681" t="str">
        <x:v>PTN Vokasi</x:v>
      </x:c>
      <x:c r="C4681" t="str">
        <x:v>POLITEKNIK PERTANIAN NEGERI PANGKAJENE KEPULAUAN</x:v>
      </x:c>
      <x:c r="D4681" t="str">
        <x:v>ADMINISTRASI BISNIS INTERNASIONAL</x:v>
      </x:c>
      <x:c r="E4681" t="str">
        <x:v>Sarjana Terapan</x:v>
      </x:c>
      <x:c r="F4681" s="18" t="n">
        <x:v>24</x:v>
      </x:c>
      <x:c r="G4681" s="18" t="n">
        <x:v>42</x:v>
      </x:c>
      <x:c r="H4681" s="19" t="n">
        <x:v>1.75</x:v>
      </x:c>
      <x:c r="I4681" s="18" t="n">
        <x:f>ROUND(MIN(Model_Config_v3!$B$6,MAX(Q4681,R4681,S4681*Model_Config_v3!$B$4+T4681*Model_Config_v3!$B$5)),0)</x:f>
        <x:v>632</x:v>
      </x:c>
      <x:c r="J4681" s="18" t="n">
        <x:f>MIN(Model_Config_v3!$B$6,I4681+Model_Config_v3!$B$7)</x:f>
        <x:v>652</x:v>
      </x:c>
      <x:c r="K4681" s="20" t="n">
        <x:v>53.8</x:v>
      </x:c>
      <x:c r="L4681" t="str">
        <x:v>MENENGAH</x:v>
      </x:c>
      <x:c r="M4681" t="str">
        <x:v>SEDANG+</x:v>
      </x:c>
      <x:c r="N4681" t="str">
        <x:v>REGULER</x:v>
      </x:c>
      <x:c r="O4681" t="str">
        <x:v>SOSHUM</x:v>
      </x:c>
      <x:c r="P4681" t="str">
        <x:v>BISNIS/EKONOMI/AKUNTANSI</x:v>
      </x:c>
      <x:c r="Q4681" s="18" t="n">
        <x:v>0</x:v>
      </x:c>
      <x:c r="R4681" s="18" t="n">
        <x:v>0</x:v>
      </x:c>
      <x:c r="S4681" s="18" t="n">
        <x:v>546.7341853554924</x:v>
      </x:c>
      <x:c r="T4681" s="18" t="n">
        <x:v>668</x:v>
      </x:c>
      <x:c r="U4681" s="18" t="n">
        <x:v>561.7341853554924</x:v>
      </x:c>
      <x:c r="V4681" s="20" t="n">
        <x:v>4.4</x:v>
      </x:c>
      <x:c r="W4681" s="20" t="n">
        <x:v>14.3</x:v>
      </x:c>
      <x:c r="X4681" s="20" t="n">
        <x:v>3.3</x:v>
      </x:c>
      <x:c r="Y4681" t="str">
        <x:v>Basis arsip 2025/2024</x:v>
      </x:c>
      <x:c r="Z4681" t="str">
        <x:v>https://snpmb.id/utbk-snbt/daya-tampung-snbt</x:v>
      </x:c>
      <x:c r="AA4681" t="str">
        <x:v>Tidak Ada</x:v>
      </x:c>
      <x:c r="AB4681" t="str">
        <x:v>Campus=55; Ratio=14.3; Prodi=65; RelDemand=100.0; Capacity=80.0</x:v>
      </x:c>
    </x:row>
    <x:row r="4682">
      <x:c r="A4682" t="n">
        <x:v>4679</x:v>
      </x:c>
      <x:c r="B4682" t="str">
        <x:v>PTN Vokasi</x:v>
      </x:c>
      <x:c r="C4682" t="str">
        <x:v>POLITEKNIK PERTANIAN NEGERI PANGKAJENE KEPULAUAN</x:v>
      </x:c>
      <x:c r="D4682" t="str">
        <x:v>AKUNTANSI BISNIS DIGITAL</x:v>
      </x:c>
      <x:c r="E4682" t="str">
        <x:v>Sarjana Terapan</x:v>
      </x:c>
      <x:c r="F4682" s="18" t="n">
        <x:v>14</x:v>
      </x:c>
      <x:c r="G4682" s="18"/>
      <x:c r="H4682" s="19" t="n">
        <x:v>0</x:v>
      </x:c>
      <x:c r="I4682" s="18" t="n">
        <x:f>ROUND(MIN(Model_Config_v3!$B$6,MAX(Q4682,R4682,S4682*Model_Config_v3!$B$4+T4682*Model_Config_v3!$B$5)),0)</x:f>
        <x:v>605</x:v>
      </x:c>
      <x:c r="J4682" s="18" t="n">
        <x:f>MIN(Model_Config_v3!$B$6,I4682+Model_Config_v3!$B$7)</x:f>
        <x:v>625</x:v>
      </x:c>
      <x:c r="K4682" s="20" t="n">
        <x:v>41.1</x:v>
      </x:c>
      <x:c r="L4682" t="str">
        <x:v>RELATIF LONGGAR</x:v>
      </x:c>
      <x:c r="M4682" t="str">
        <x:v>RENDAH</x:v>
      </x:c>
      <x:c r="N4682" t="str">
        <x:v>REGULER</x:v>
      </x:c>
      <x:c r="O4682" t="str">
        <x:v>SOSHUM</x:v>
      </x:c>
      <x:c r="P4682" t="str">
        <x:v>BISNIS/EKONOMI/AKUNTANSI</x:v>
      </x:c>
      <x:c r="Q4682" s="18" t="n">
        <x:v>0</x:v>
      </x:c>
      <x:c r="R4682" s="18" t="n">
        <x:v>0</x:v>
      </x:c>
      <x:c r="S4682" s="18" t="n">
        <x:v>520</x:v>
      </x:c>
      <x:c r="T4682" s="18" t="n">
        <x:v>642</x:v>
      </x:c>
      <x:c r="U4682" s="18" t="n">
        <x:v>535</x:v>
      </x:c>
      <x:c r="V4682" s="20" t="n">
        <x:v>4.4</x:v>
      </x:c>
      <x:c r="W4682" s="20" t="n">
        <x:v>14.3</x:v>
      </x:c>
      <x:c r="X4682" s="20" t="n">
        <x:v>3.3</x:v>
      </x:c>
      <x:c r="Y4682" t="str">
        <x:v>Basis arsip 2025/2024</x:v>
      </x:c>
      <x:c r="Z4682" t="str">
        <x:v>https://snpmb.id/utbk-snbt/daya-tampung-snbt</x:v>
      </x:c>
      <x:c r="AA4682" t="str">
        <x:v>Tidak Ada</x:v>
      </x:c>
      <x:c r="AB4682" t="str">
        <x:v>Campus=55; Ratio=0.0; Prodi=65; RelDemand=0.0; Capacity=88.3</x:v>
      </x:c>
    </x:row>
    <x:row r="4683">
      <x:c r="A4683" t="n">
        <x:v>4680</x:v>
      </x:c>
      <x:c r="B4683" t="str">
        <x:v>PTN Vokasi</x:v>
      </x:c>
      <x:c r="C4683" t="str">
        <x:v>POLITEKNIK PERTANIAN NEGERI PANGKAJENE KEPULAUAN</x:v>
      </x:c>
      <x:c r="D4683" t="str">
        <x:v>PENANGKAPAN IKAN</x:v>
      </x:c>
      <x:c r="E4683" t="str">
        <x:v>Diploma Tiga</x:v>
      </x:c>
      <x:c r="F4683" s="18" t="n">
        <x:v>12</x:v>
      </x:c>
      <x:c r="G4683" s="18" t="n">
        <x:v>9</x:v>
      </x:c>
      <x:c r="H4683" s="19" t="n">
        <x:v>0.75</x:v>
      </x:c>
      <x:c r="I4683" s="18" t="n">
        <x:f>ROUND(MIN(Model_Config_v3!$B$6,MAX(Q4683,R4683,S4683*Model_Config_v3!$B$4+T4683*Model_Config_v3!$B$5)),0)</x:f>
        <x:v>606</x:v>
      </x:c>
      <x:c r="J4683" s="18" t="n">
        <x:f>MIN(Model_Config_v3!$B$6,I4683+Model_Config_v3!$B$7)</x:f>
        <x:v>626</x:v>
      </x:c>
      <x:c r="K4683" s="20" t="n">
        <x:v>41.6</x:v>
      </x:c>
      <x:c r="L4683" t="str">
        <x:v>RELATIF LONGGAR</x:v>
      </x:c>
      <x:c r="M4683" t="str">
        <x:v>SEDANG</x:v>
      </x:c>
      <x:c r="N4683" t="str">
        <x:v>REGULER</x:v>
      </x:c>
      <x:c r="O4683" t="str">
        <x:v>CAMPURAN</x:v>
      </x:c>
      <x:c r="P4683" t="str">
        <x:v>UMUM</x:v>
      </x:c>
      <x:c r="Q4683" s="18" t="n">
        <x:v>0</x:v>
      </x:c>
      <x:c r="R4683" s="18" t="n">
        <x:v>0</x:v>
      </x:c>
      <x:c r="S4683" s="18" t="n">
        <x:v>520</x:v>
      </x:c>
      <x:c r="T4683" s="18" t="n">
        <x:v>643</x:v>
      </x:c>
      <x:c r="U4683" s="18" t="n">
        <x:v>520</x:v>
      </x:c>
      <x:c r="V4683" s="20" t="n">
        <x:v>8.8</x:v>
      </x:c>
      <x:c r="W4683" s="20" t="n">
        <x:v>9.9</x:v>
      </x:c>
      <x:c r="X4683" s="20" t="n">
        <x:v>3.3</x:v>
      </x:c>
      <x:c r="Y4683" t="str">
        <x:v>Basis arsip 2025/2024</x:v>
      </x:c>
      <x:c r="Z4683" t="str">
        <x:v>https://snpmb.id/utbk-snbt/daya-tampung-snbt</x:v>
      </x:c>
      <x:c r="AA4683" t="str">
        <x:v>Tidak Ada</x:v>
      </x:c>
      <x:c r="AB4683" t="str">
        <x:v>Campus=55; Ratio=0.0; Prodi=40; RelDemand=53.8; Capacity=90.0</x:v>
      </x:c>
    </x:row>
    <x:row r="4684">
      <x:c r="A4684" t="n">
        <x:v>4681</x:v>
      </x:c>
      <x:c r="B4684" t="str">
        <x:v>PTN Vokasi</x:v>
      </x:c>
      <x:c r="C4684" t="str">
        <x:v>POLITEKNIK PERTANIAN NEGERI PANGKAJENE KEPULAUAN</x:v>
      </x:c>
      <x:c r="D4684" t="str">
        <x:v>TEKNIK KELAUTAN</x:v>
      </x:c>
      <x:c r="E4684" t="str">
        <x:v>Diploma Tiga</x:v>
      </x:c>
      <x:c r="F4684" s="18" t="n">
        <x:v>14</x:v>
      </x:c>
      <x:c r="G4684" s="18" t="n">
        <x:v>44</x:v>
      </x:c>
      <x:c r="H4684" s="19" t="n">
        <x:v>3.142857142857143</x:v>
      </x:c>
      <x:c r="I4684" s="18" t="n">
        <x:f>ROUND(MIN(Model_Config_v3!$B$6,MAX(Q4684,R4684,S4684*Model_Config_v3!$B$4+T4684*Model_Config_v3!$B$5)),0)</x:f>
        <x:v>645</x:v>
      </x:c>
      <x:c r="J4684" s="18" t="n">
        <x:f>MIN(Model_Config_v3!$B$6,I4684+Model_Config_v3!$B$7)</x:f>
        <x:v>665</x:v>
      </x:c>
      <x:c r="K4684" s="20" t="n">
        <x:v>57.4</x:v>
      </x:c>
      <x:c r="L4684" t="str">
        <x:v>KETAT</x:v>
      </x:c>
      <x:c r="M4684" t="str">
        <x:v>SEDANG+</x:v>
      </x:c>
      <x:c r="N4684" t="str">
        <x:v>REGULER</x:v>
      </x:c>
      <x:c r="O4684" t="str">
        <x:v>SAINTEK</x:v>
      </x:c>
      <x:c r="P4684" t="str">
        <x:v>TEKNIK/ARSITEKTUR/STATISTIKA/AKTUARIA</x:v>
      </x:c>
      <x:c r="Q4684" s="18" t="n">
        <x:v>0</x:v>
      </x:c>
      <x:c r="R4684" s="18" t="n">
        <x:v>0</x:v>
      </x:c>
      <x:c r="S4684" s="18" t="n">
        <x:v>574.7057104888744</x:v>
      </x:c>
      <x:c r="T4684" s="18" t="n">
        <x:v>675</x:v>
      </x:c>
      <x:c r="U4684" s="18" t="n">
        <x:v>584.7057104888744</x:v>
      </x:c>
      <x:c r="V4684" s="20" t="n">
        <x:v>12</x:v>
      </x:c>
      <x:c r="W4684" s="20" t="n">
        <x:v>5</x:v>
      </x:c>
      <x:c r="X4684" s="20" t="n">
        <x:v>3</x:v>
      </x:c>
      <x:c r="Y4684" t="str">
        <x:v>Basis arsip 2025/2024</x:v>
      </x:c>
      <x:c r="Z4684" t="str">
        <x:v>https://snpmb.id/utbk-snbt/daya-tampung-snbt</x:v>
      </x:c>
      <x:c r="AA4684" t="str">
        <x:v>Tidak Ada</x:v>
      </x:c>
      <x:c r="AB4684" t="str">
        <x:v>Campus=55; Ratio=29.3; Prodi=60; RelDemand=100.0; Capacity=88.3</x:v>
      </x:c>
    </x:row>
    <x:row r="4685">
      <x:c r="A4685" t="n">
        <x:v>4682</x:v>
      </x:c>
      <x:c r="B4685" t="str">
        <x:v>PTN Vokasi</x:v>
      </x:c>
      <x:c r="C4685" t="str">
        <x:v>POLITEKNIK NEGERI MANADO</x:v>
      </x:c>
      <x:c r="D4685" t="str">
        <x:v>KONSTRUKSI BANGUNAN GEDUNG</x:v>
      </x:c>
      <x:c r="E4685" t="str">
        <x:v>Sarjana Terapan</x:v>
      </x:c>
      <x:c r="F4685" s="18" t="n">
        <x:v>50</x:v>
      </x:c>
      <x:c r="G4685" s="18" t="n">
        <x:v>28</x:v>
      </x:c>
      <x:c r="H4685" s="19" t="n">
        <x:v>0.56</x:v>
      </x:c>
      <x:c r="I4685" s="18" t="n">
        <x:f>ROUND(MIN(Model_Config_v3!$B$6,MAX(Q4685,R4685,S4685*Model_Config_v3!$B$4+T4685*Model_Config_v3!$B$5)),0)</x:f>
        <x:v>597</x:v>
      </x:c>
      <x:c r="J4685" s="18" t="n">
        <x:f>MIN(Model_Config_v3!$B$6,I4685+Model_Config_v3!$B$7)</x:f>
        <x:v>617</x:v>
      </x:c>
      <x:c r="K4685" s="20" t="n">
        <x:v>35</x:v>
      </x:c>
      <x:c r="L4685" t="str">
        <x:v>RELATIF LONGGAR</x:v>
      </x:c>
      <x:c r="M4685" t="str">
        <x:v>SEDANG</x:v>
      </x:c>
      <x:c r="N4685" t="str">
        <x:v>REGULER</x:v>
      </x:c>
      <x:c r="O4685" t="str">
        <x:v>CAMPURAN</x:v>
      </x:c>
      <x:c r="P4685" t="str">
        <x:v>UMUM</x:v>
      </x:c>
      <x:c r="Q4685" s="18" t="n">
        <x:v>0</x:v>
      </x:c>
      <x:c r="R4685" s="18" t="n">
        <x:v>0</x:v>
      </x:c>
      <x:c r="S4685" s="18" t="n">
        <x:v>520</x:v>
      </x:c>
      <x:c r="T4685" s="18" t="n">
        <x:v>630</x:v>
      </x:c>
      <x:c r="U4685" s="18" t="n">
        <x:v>520</x:v>
      </x:c>
      <x:c r="V4685" s="20" t="n">
        <x:v>8.8</x:v>
      </x:c>
      <x:c r="W4685" s="20" t="n">
        <x:v>9.9</x:v>
      </x:c>
      <x:c r="X4685" s="20" t="n">
        <x:v>3.3</x:v>
      </x:c>
      <x:c r="Y4685" t="str">
        <x:v>Basis arsip 2025/2024</x:v>
      </x:c>
      <x:c r="Z4685" t="str">
        <x:v>https://snpmb.id/utbk-snbt/daya-tampung-snbt</x:v>
      </x:c>
      <x:c r="AA4685" t="str">
        <x:v>Tidak Ada</x:v>
      </x:c>
      <x:c r="AB4685" t="str">
        <x:v>Campus=55; Ratio=0.0; Prodi=40; RelDemand=18.8; Capacity=58.3</x:v>
      </x:c>
    </x:row>
    <x:row r="4686">
      <x:c r="A4686" t="n">
        <x:v>4683</x:v>
      </x:c>
      <x:c r="B4686" t="str">
        <x:v>PTN Vokasi</x:v>
      </x:c>
      <x:c r="C4686" t="str">
        <x:v>POLITEKNIK NEGERI MANADO</x:v>
      </x:c>
      <x:c r="D4686" t="str">
        <x:v>TEKNIK JALAN JEMBATAN</x:v>
      </x:c>
      <x:c r="E4686" t="str">
        <x:v>Sarjana Terapan</x:v>
      </x:c>
      <x:c r="F4686" s="18" t="n">
        <x:v>50</x:v>
      </x:c>
      <x:c r="G4686" s="18" t="n">
        <x:v>25</x:v>
      </x:c>
      <x:c r="H4686" s="19" t="n">
        <x:v>0.5</x:v>
      </x:c>
      <x:c r="I4686" s="18" t="n">
        <x:f>ROUND(MIN(Model_Config_v3!$B$6,MAX(Q4686,R4686,S4686*Model_Config_v3!$B$4+T4686*Model_Config_v3!$B$5)),0)</x:f>
        <x:v>603</x:v>
      </x:c>
      <x:c r="J4686" s="18" t="n">
        <x:f>MIN(Model_Config_v3!$B$6,I4686+Model_Config_v3!$B$7)</x:f>
        <x:v>623</x:v>
      </x:c>
      <x:c r="K4686" s="20" t="n">
        <x:v>38.8</x:v>
      </x:c>
      <x:c r="L4686" t="str">
        <x:v>RELATIF LONGGAR</x:v>
      </x:c>
      <x:c r="M4686" t="str">
        <x:v>SEDANG+</x:v>
      </x:c>
      <x:c r="N4686" t="str">
        <x:v>REGULER</x:v>
      </x:c>
      <x:c r="O4686" t="str">
        <x:v>SAINTEK</x:v>
      </x:c>
      <x:c r="P4686" t="str">
        <x:v>TEKNIK/ARSITEKTUR/STATISTIKA/AKTUARIA</x:v>
      </x:c>
      <x:c r="Q4686" s="18" t="n">
        <x:v>0</x:v>
      </x:c>
      <x:c r="R4686" s="18" t="n">
        <x:v>0</x:v>
      </x:c>
      <x:c r="S4686" s="18" t="n">
        <x:v>520</x:v>
      </x:c>
      <x:c r="T4686" s="18" t="n">
        <x:v>638</x:v>
      </x:c>
      <x:c r="U4686" s="18" t="n">
        <x:v>530</x:v>
      </x:c>
      <x:c r="V4686" s="20" t="n">
        <x:v>12</x:v>
      </x:c>
      <x:c r="W4686" s="20" t="n">
        <x:v>5</x:v>
      </x:c>
      <x:c r="X4686" s="20" t="n">
        <x:v>3</x:v>
      </x:c>
      <x:c r="Y4686" t="str">
        <x:v>Basis arsip 2025/2024</x:v>
      </x:c>
      <x:c r="Z4686" t="str">
        <x:v>https://snpmb.id/utbk-snbt/daya-tampung-snbt</x:v>
      </x:c>
      <x:c r="AA4686" t="str">
        <x:v>Tidak Ada</x:v>
      </x:c>
      <x:c r="AB4686" t="str">
        <x:v>Campus=55; Ratio=0.0; Prodi=60; RelDemand=16.8; Capacity=58.3</x:v>
      </x:c>
    </x:row>
    <x:row r="4687">
      <x:c r="A4687" t="n">
        <x:v>4684</x:v>
      </x:c>
      <x:c r="B4687" t="str">
        <x:v>PTN Vokasi</x:v>
      </x:c>
      <x:c r="C4687" t="str">
        <x:v>POLITEKNIK NEGERI MANADO</x:v>
      </x:c>
      <x:c r="D4687" t="str">
        <x:v>TEKNIK LISTRIK</x:v>
      </x:c>
      <x:c r="E4687" t="str">
        <x:v>Sarjana Terapan</x:v>
      </x:c>
      <x:c r="F4687" s="18" t="n">
        <x:v>63</x:v>
      </x:c>
      <x:c r="G4687" s="18" t="n">
        <x:v>32</x:v>
      </x:c>
      <x:c r="H4687" s="19" t="n">
        <x:v>0.5079365079365079</x:v>
      </x:c>
      <x:c r="I4687" s="18" t="n">
        <x:f>ROUND(MIN(Model_Config_v3!$B$6,MAX(Q4687,R4687,S4687*Model_Config_v3!$B$4+T4687*Model_Config_v3!$B$5)),0)</x:f>
        <x:v>601</x:v>
      </x:c>
      <x:c r="J4687" s="18" t="n">
        <x:f>MIN(Model_Config_v3!$B$6,I4687+Model_Config_v3!$B$7)</x:f>
        <x:v>621</x:v>
      </x:c>
      <x:c r="K4687" s="20" t="n">
        <x:v>37.7</x:v>
      </x:c>
      <x:c r="L4687" t="str">
        <x:v>RELATIF LONGGAR</x:v>
      </x:c>
      <x:c r="M4687" t="str">
        <x:v>SEDANG+</x:v>
      </x:c>
      <x:c r="N4687" t="str">
        <x:v>REGULER</x:v>
      </x:c>
      <x:c r="O4687" t="str">
        <x:v>SAINTEK</x:v>
      </x:c>
      <x:c r="P4687" t="str">
        <x:v>TEKNIK/ARSITEKTUR/STATISTIKA/AKTUARIA</x:v>
      </x:c>
      <x:c r="Q4687" s="18" t="n">
        <x:v>0</x:v>
      </x:c>
      <x:c r="R4687" s="18" t="n">
        <x:v>0</x:v>
      </x:c>
      <x:c r="S4687" s="18" t="n">
        <x:v>520</x:v>
      </x:c>
      <x:c r="T4687" s="18" t="n">
        <x:v>635</x:v>
      </x:c>
      <x:c r="U4687" s="18" t="n">
        <x:v>530</x:v>
      </x:c>
      <x:c r="V4687" s="20" t="n">
        <x:v>12</x:v>
      </x:c>
      <x:c r="W4687" s="20" t="n">
        <x:v>5</x:v>
      </x:c>
      <x:c r="X4687" s="20" t="n">
        <x:v>3</x:v>
      </x:c>
      <x:c r="Y4687" t="str">
        <x:v>Basis arsip 2025/2024</x:v>
      </x:c>
      <x:c r="Z4687" t="str">
        <x:v>https://snpmb.id/utbk-snbt/daya-tampung-snbt</x:v>
      </x:c>
      <x:c r="AA4687" t="str">
        <x:v>Tidak Ada</x:v>
      </x:c>
      <x:c r="AB4687" t="str">
        <x:v>Campus=55; Ratio=0.0; Prodi=60; RelDemand=17.1; Capacity=47.5</x:v>
      </x:c>
    </x:row>
    <x:row r="4688">
      <x:c r="A4688" t="n">
        <x:v>4685</x:v>
      </x:c>
      <x:c r="B4688" t="str">
        <x:v>PTN Vokasi</x:v>
      </x:c>
      <x:c r="C4688" t="str">
        <x:v>POLITEKNIK NEGERI MANADO</x:v>
      </x:c>
      <x:c r="D4688" t="str">
        <x:v>TEKNIK INFORMATIKA</x:v>
      </x:c>
      <x:c r="E4688" t="str">
        <x:v>Sarjana Terapan</x:v>
      </x:c>
      <x:c r="F4688" s="18" t="n">
        <x:v>100</x:v>
      </x:c>
      <x:c r="G4688" s="18" t="n">
        <x:v>188</x:v>
      </x:c>
      <x:c r="H4688" s="19" t="n">
        <x:v>1.88</x:v>
      </x:c>
      <x:c r="I4688" s="18" t="n">
        <x:f>ROUND(MIN(Model_Config_v3!$B$6,MAX(Q4688,R4688,S4688*Model_Config_v3!$B$4+T4688*Model_Config_v3!$B$5)),0)</x:f>
        <x:v>625</x:v>
      </x:c>
      <x:c r="J4688" s="18" t="n">
        <x:f>MIN(Model_Config_v3!$B$6,I4688+Model_Config_v3!$B$7)</x:f>
        <x:v>645</x:v>
      </x:c>
      <x:c r="K4688" s="20" t="n">
        <x:v>48.3</x:v>
      </x:c>
      <x:c r="L4688" t="str">
        <x:v>MENENGAH</x:v>
      </x:c>
      <x:c r="M4688" t="str">
        <x:v>SEDANG+</x:v>
      </x:c>
      <x:c r="N4688" t="str">
        <x:v>REGULER</x:v>
      </x:c>
      <x:c r="O4688" t="str">
        <x:v>SAINTEK</x:v>
      </x:c>
      <x:c r="P4688" t="str">
        <x:v>KOMPUTER/INFORMATIKA</x:v>
      </x:c>
      <x:c r="Q4688" s="18" t="n">
        <x:v>0</x:v>
      </x:c>
      <x:c r="R4688" s="18" t="n">
        <x:v>0</x:v>
      </x:c>
      <x:c r="S4688" s="18" t="n">
        <x:v>550.1573634190048</x:v>
      </x:c>
      <x:c r="T4688" s="18" t="n">
        <x:v>657</x:v>
      </x:c>
      <x:c r="U4688" s="18" t="n">
        <x:v>575.1573634190048</x:v>
      </x:c>
      <x:c r="V4688" s="20" t="n">
        <x:v>12</x:v>
      </x:c>
      <x:c r="W4688" s="20" t="n">
        <x:v>5</x:v>
      </x:c>
      <x:c r="X4688" s="20" t="n">
        <x:v>3</x:v>
      </x:c>
      <x:c r="Y4688" t="str">
        <x:v>Basis arsip 2025/2024</x:v>
      </x:c>
      <x:c r="Z4688" t="str">
        <x:v>https://snpmb.id/utbk-snbt/daya-tampung-snbt</x:v>
      </x:c>
      <x:c r="AA4688" t="str">
        <x:v>Tidak Ada</x:v>
      </x:c>
      <x:c r="AB4688" t="str">
        <x:v>Campus=55; Ratio=16.1; Prodi=85; RelDemand=63.2; Capacity=16.7</x:v>
      </x:c>
    </x:row>
    <x:row r="4689">
      <x:c r="A4689" t="n">
        <x:v>4686</x:v>
      </x:c>
      <x:c r="B4689" t="str">
        <x:v>PTN Vokasi</x:v>
      </x:c>
      <x:c r="C4689" t="str">
        <x:v>POLITEKNIK NEGERI MANADO</x:v>
      </x:c>
      <x:c r="D4689" t="str">
        <x:v>TEKNIK MESIN PRODUKSI DAN PERAWATAN</x:v>
      </x:c>
      <x:c r="E4689" t="str">
        <x:v>Sarjana Terapan</x:v>
      </x:c>
      <x:c r="F4689" s="18" t="n">
        <x:v>75</x:v>
      </x:c>
      <x:c r="G4689" s="18" t="n">
        <x:v>34</x:v>
      </x:c>
      <x:c r="H4689" s="19" t="n">
        <x:v>0.4533333333333333</x:v>
      </x:c>
      <x:c r="I4689" s="18" t="n">
        <x:f>ROUND(MIN(Model_Config_v3!$B$6,MAX(Q4689,R4689,S4689*Model_Config_v3!$B$4+T4689*Model_Config_v3!$B$5)),0)</x:f>
        <x:v>599</x:v>
      </x:c>
      <x:c r="J4689" s="18" t="n">
        <x:f>MIN(Model_Config_v3!$B$6,I4689+Model_Config_v3!$B$7)</x:f>
        <x:v>619</x:v>
      </x:c>
      <x:c r="K4689" s="20" t="n">
        <x:v>36.5</x:v>
      </x:c>
      <x:c r="L4689" t="str">
        <x:v>RELATIF LONGGAR</x:v>
      </x:c>
      <x:c r="M4689" t="str">
        <x:v>SEDANG+</x:v>
      </x:c>
      <x:c r="N4689" t="str">
        <x:v>REGULER</x:v>
      </x:c>
      <x:c r="O4689" t="str">
        <x:v>SAINTEK</x:v>
      </x:c>
      <x:c r="P4689" t="str">
        <x:v>TEKNIK/ARSITEKTUR/STATISTIKA/AKTUARIA</x:v>
      </x:c>
      <x:c r="Q4689" s="18" t="n">
        <x:v>0</x:v>
      </x:c>
      <x:c r="R4689" s="18" t="n">
        <x:v>0</x:v>
      </x:c>
      <x:c r="S4689" s="18" t="n">
        <x:v>520</x:v>
      </x:c>
      <x:c r="T4689" s="18" t="n">
        <x:v>633</x:v>
      </x:c>
      <x:c r="U4689" s="18" t="n">
        <x:v>530</x:v>
      </x:c>
      <x:c r="V4689" s="20" t="n">
        <x:v>12</x:v>
      </x:c>
      <x:c r="W4689" s="20" t="n">
        <x:v>5</x:v>
      </x:c>
      <x:c r="X4689" s="20" t="n">
        <x:v>3</x:v>
      </x:c>
      <x:c r="Y4689" t="str">
        <x:v>Basis arsip 2025/2024</x:v>
      </x:c>
      <x:c r="Z4689" t="str">
        <x:v>https://snpmb.id/utbk-snbt/daya-tampung-snbt</x:v>
      </x:c>
      <x:c r="AA4689" t="str">
        <x:v>Tidak Ada</x:v>
      </x:c>
      <x:c r="AB4689" t="str">
        <x:v>Campus=55; Ratio=0.0; Prodi=60; RelDemand=15.2; Capacity=37.5</x:v>
      </x:c>
    </x:row>
    <x:row r="4690">
      <x:c r="A4690" t="n">
        <x:v>4687</x:v>
      </x:c>
      <x:c r="B4690" t="str">
        <x:v>PTN Vokasi</x:v>
      </x:c>
      <x:c r="C4690" t="str">
        <x:v>POLITEKNIK NEGERI MANADO</x:v>
      </x:c>
      <x:c r="D4690" t="str">
        <x:v>AKUNTANSI KEUANGAN</x:v>
      </x:c>
      <x:c r="E4690" t="str">
        <x:v>Sarjana Terapan</x:v>
      </x:c>
      <x:c r="F4690" s="18" t="n">
        <x:v>75</x:v>
      </x:c>
      <x:c r="G4690" s="18" t="n">
        <x:v>71</x:v>
      </x:c>
      <x:c r="H4690" s="19" t="n">
        <x:v>0.9466666666666667</x:v>
      </x:c>
      <x:c r="I4690" s="18" t="n">
        <x:f>ROUND(MIN(Model_Config_v3!$B$6,MAX(Q4690,R4690,S4690*Model_Config_v3!$B$4+T4690*Model_Config_v3!$B$5)),0)</x:f>
        <x:v>603</x:v>
      </x:c>
      <x:c r="J4690" s="18" t="n">
        <x:f>MIN(Model_Config_v3!$B$6,I4690+Model_Config_v3!$B$7)</x:f>
        <x:v>623</x:v>
      </x:c>
      <x:c r="K4690" s="20" t="n">
        <x:v>39.2</x:v>
      </x:c>
      <x:c r="L4690" t="str">
        <x:v>RELATIF LONGGAR</x:v>
      </x:c>
      <x:c r="M4690" t="str">
        <x:v>SEDANG+</x:v>
      </x:c>
      <x:c r="N4690" t="str">
        <x:v>REGULER</x:v>
      </x:c>
      <x:c r="O4690" t="str">
        <x:v>SOSHUM</x:v>
      </x:c>
      <x:c r="P4690" t="str">
        <x:v>BISNIS/EKONOMI/AKUNTANSI</x:v>
      </x:c>
      <x:c r="Q4690" s="18" t="n">
        <x:v>0</x:v>
      </x:c>
      <x:c r="R4690" s="18" t="n">
        <x:v>0</x:v>
      </x:c>
      <x:c r="S4690" s="18" t="n">
        <x:v>520</x:v>
      </x:c>
      <x:c r="T4690" s="18" t="n">
        <x:v>638</x:v>
      </x:c>
      <x:c r="U4690" s="18" t="n">
        <x:v>520</x:v>
      </x:c>
      <x:c r="V4690" s="20" t="n">
        <x:v>4.4</x:v>
      </x:c>
      <x:c r="W4690" s="20" t="n">
        <x:v>14.3</x:v>
      </x:c>
      <x:c r="X4690" s="20" t="n">
        <x:v>3.3</x:v>
      </x:c>
      <x:c r="Y4690" t="str">
        <x:v>Basis arsip 2025/2024</x:v>
      </x:c>
      <x:c r="Z4690" t="str">
        <x:v>https://snpmb.id/utbk-snbt/daya-tampung-snbt</x:v>
      </x:c>
      <x:c r="AA4690" t="str">
        <x:v>Tidak Ada</x:v>
      </x:c>
      <x:c r="AB4690" t="str">
        <x:v>Campus=55; Ratio=0.0; Prodi=65; RelDemand=31.8; Capacity=37.5</x:v>
      </x:c>
    </x:row>
    <x:row r="4691">
      <x:c r="A4691" t="n">
        <x:v>4688</x:v>
      </x:c>
      <x:c r="B4691" t="str">
        <x:v>PTN Vokasi</x:v>
      </x:c>
      <x:c r="C4691" t="str">
        <x:v>POLITEKNIK NEGERI MANADO</x:v>
      </x:c>
      <x:c r="D4691" t="str">
        <x:v>MANAJEMEN BISNIS</x:v>
      </x:c>
      <x:c r="E4691" t="str">
        <x:v>Sarjana Terapan</x:v>
      </x:c>
      <x:c r="F4691" s="18" t="n">
        <x:v>100</x:v>
      </x:c>
      <x:c r="G4691" s="18" t="n">
        <x:v>209</x:v>
      </x:c>
      <x:c r="H4691" s="19" t="n">
        <x:v>2.09</x:v>
      </x:c>
      <x:c r="I4691" s="18" t="n">
        <x:f>ROUND(MIN(Model_Config_v3!$B$6,MAX(Q4691,R4691,S4691*Model_Config_v3!$B$4+T4691*Model_Config_v3!$B$5)),0)</x:f>
        <x:v>622</x:v>
      </x:c>
      <x:c r="J4691" s="18" t="n">
        <x:f>MIN(Model_Config_v3!$B$6,I4691+Model_Config_v3!$B$7)</x:f>
        <x:v>642</x:v>
      </x:c>
      <x:c r="K4691" s="20" t="n">
        <x:v>45.7</x:v>
      </x:c>
      <x:c r="L4691" t="str">
        <x:v>MENENGAH</x:v>
      </x:c>
      <x:c r="M4691" t="str">
        <x:v>SEDANG+</x:v>
      </x:c>
      <x:c r="N4691" t="str">
        <x:v>REGULER</x:v>
      </x:c>
      <x:c r="O4691" t="str">
        <x:v>SOSHUM</x:v>
      </x:c>
      <x:c r="P4691" t="str">
        <x:v>BISNIS/EKONOMI/AKUNTANSI</x:v>
      </x:c>
      <x:c r="Q4691" s="18" t="n">
        <x:v>0</x:v>
      </x:c>
      <x:c r="R4691" s="18" t="n">
        <x:v>0</x:v>
      </x:c>
      <x:c r="S4691" s="18" t="n">
        <x:v>555.2160914722159</x:v>
      </x:c>
      <x:c r="T4691" s="18" t="n">
        <x:v>651</x:v>
      </x:c>
      <x:c r="U4691" s="18" t="n">
        <x:v>570.2160914722159</x:v>
      </x:c>
      <x:c r="V4691" s="20" t="n">
        <x:v>4.4</x:v>
      </x:c>
      <x:c r="W4691" s="20" t="n">
        <x:v>14.3</x:v>
      </x:c>
      <x:c r="X4691" s="20" t="n">
        <x:v>3.3</x:v>
      </x:c>
      <x:c r="Y4691" t="str">
        <x:v>Basis arsip 2025/2024</x:v>
      </x:c>
      <x:c r="Z4691" t="str">
        <x:v>https://snpmb.id/utbk-snbt/daya-tampung-snbt</x:v>
      </x:c>
      <x:c r="AA4691" t="str">
        <x:v>Tidak Ada</x:v>
      </x:c>
      <x:c r="AB4691" t="str">
        <x:v>Campus=55; Ratio=18.8; Prodi=65; RelDemand=70.3; Capacity=16.7</x:v>
      </x:c>
    </x:row>
    <x:row r="4692">
      <x:c r="A4692" t="n">
        <x:v>4689</x:v>
      </x:c>
      <x:c r="B4692" t="str">
        <x:v>PTN Vokasi</x:v>
      </x:c>
      <x:c r="C4692" t="str">
        <x:v>POLITEKNIK NEGERI MANADO</x:v>
      </x:c>
      <x:c r="D4692" t="str">
        <x:v>PERHOTELAN</x:v>
      </x:c>
      <x:c r="E4692" t="str">
        <x:v>Sarjana Terapan</x:v>
      </x:c>
      <x:c r="F4692" s="18" t="n">
        <x:v>63</x:v>
      </x:c>
      <x:c r="G4692" s="18" t="n">
        <x:v>45</x:v>
      </x:c>
      <x:c r="H4692" s="19" t="n">
        <x:v>0.7142857142857143</x:v>
      </x:c>
      <x:c r="I4692" s="18" t="n">
        <x:f>ROUND(MIN(Model_Config_v3!$B$6,MAX(Q4692,R4692,S4692*Model_Config_v3!$B$4+T4692*Model_Config_v3!$B$5)),0)</x:f>
        <x:v>596</x:v>
      </x:c>
      <x:c r="J4692" s="18" t="n">
        <x:f>MIN(Model_Config_v3!$B$6,I4692+Model_Config_v3!$B$7)</x:f>
        <x:v>616</x:v>
      </x:c>
      <x:c r="K4692" s="20" t="n">
        <x:v>34.4</x:v>
      </x:c>
      <x:c r="L4692" t="str">
        <x:v>RELATIF LONGGAR</x:v>
      </x:c>
      <x:c r="M4692" t="str">
        <x:v>SEDANG</x:v>
      </x:c>
      <x:c r="N4692" t="str">
        <x:v>REGULER</x:v>
      </x:c>
      <x:c r="O4692" t="str">
        <x:v>CAMPURAN</x:v>
      </x:c>
      <x:c r="P4692" t="str">
        <x:v>UMUM</x:v>
      </x:c>
      <x:c r="Q4692" s="18" t="n">
        <x:v>0</x:v>
      </x:c>
      <x:c r="R4692" s="18" t="n">
        <x:v>0</x:v>
      </x:c>
      <x:c r="S4692" s="18" t="n">
        <x:v>520</x:v>
      </x:c>
      <x:c r="T4692" s="18" t="n">
        <x:v>629</x:v>
      </x:c>
      <x:c r="U4692" s="18" t="n">
        <x:v>520</x:v>
      </x:c>
      <x:c r="V4692" s="20" t="n">
        <x:v>8.8</x:v>
      </x:c>
      <x:c r="W4692" s="20" t="n">
        <x:v>9.9</x:v>
      </x:c>
      <x:c r="X4692" s="20" t="n">
        <x:v>3.3</x:v>
      </x:c>
      <x:c r="Y4692" t="str">
        <x:v>Basis arsip 2025/2024</x:v>
      </x:c>
      <x:c r="Z4692" t="str">
        <x:v>https://snpmb.id/utbk-snbt/daya-tampung-snbt</x:v>
      </x:c>
      <x:c r="AA4692" t="str">
        <x:v>Tidak Ada</x:v>
      </x:c>
      <x:c r="AB4692" t="str">
        <x:v>Campus=55; Ratio=0.0; Prodi=40; RelDemand=24.0; Capacity=47.5</x:v>
      </x:c>
    </x:row>
    <x:row r="4693">
      <x:c r="A4693" t="n">
        <x:v>4690</x:v>
      </x:c>
      <x:c r="B4693" t="str">
        <x:v>PTN Vokasi</x:v>
      </x:c>
      <x:c r="C4693" t="str">
        <x:v>POLITEKNIK NEGERI MANADO</x:v>
      </x:c>
      <x:c r="D4693" t="str">
        <x:v>AKUNTANSI PERPAJAKAN</x:v>
      </x:c>
      <x:c r="E4693" t="str">
        <x:v>Sarjana Terapan</x:v>
      </x:c>
      <x:c r="F4693" s="18" t="n">
        <x:v>50</x:v>
      </x:c>
      <x:c r="G4693" s="18" t="n">
        <x:v>57</x:v>
      </x:c>
      <x:c r="H4693" s="19" t="n">
        <x:v>1.14</x:v>
      </x:c>
      <x:c r="I4693" s="18" t="n">
        <x:f>ROUND(MIN(Model_Config_v3!$B$6,MAX(Q4693,R4693,S4693*Model_Config_v3!$B$4+T4693*Model_Config_v3!$B$5)),0)</x:f>
        <x:v>610</x:v>
      </x:c>
      <x:c r="J4693" s="18" t="n">
        <x:f>MIN(Model_Config_v3!$B$6,I4693+Model_Config_v3!$B$7)</x:f>
        <x:v>630</x:v>
      </x:c>
      <x:c r="K4693" s="20" t="n">
        <x:v>42.8</x:v>
      </x:c>
      <x:c r="L4693" t="str">
        <x:v>RELATIF LONGGAR</x:v>
      </x:c>
      <x:c r="M4693" t="str">
        <x:v>SEDANG+</x:v>
      </x:c>
      <x:c r="N4693" t="str">
        <x:v>REGULER</x:v>
      </x:c>
      <x:c r="O4693" t="str">
        <x:v>SOSHUM</x:v>
      </x:c>
      <x:c r="P4693" t="str">
        <x:v>BISNIS/EKONOMI/AKUNTANSI</x:v>
      </x:c>
      <x:c r="Q4693" s="18" t="n">
        <x:v>0</x:v>
      </x:c>
      <x:c r="R4693" s="18" t="n">
        <x:v>0</x:v>
      </x:c>
      <x:c r="S4693" s="18" t="n">
        <x:v>526.259533647012</x:v>
      </x:c>
      <x:c r="T4693" s="18" t="n">
        <x:v>646</x:v>
      </x:c>
      <x:c r="U4693" s="18" t="n">
        <x:v>526.259533647012</x:v>
      </x:c>
      <x:c r="V4693" s="20" t="n">
        <x:v>4.4</x:v>
      </x:c>
      <x:c r="W4693" s="20" t="n">
        <x:v>14.3</x:v>
      </x:c>
      <x:c r="X4693" s="20" t="n">
        <x:v>3.3</x:v>
      </x:c>
      <x:c r="Y4693" t="str">
        <x:v>Basis arsip 2025/2024</x:v>
      </x:c>
      <x:c r="Z4693" t="str">
        <x:v>https://snpmb.id/utbk-snbt/daya-tampung-snbt</x:v>
      </x:c>
      <x:c r="AA4693" t="str">
        <x:v>Tidak Ada</x:v>
      </x:c>
      <x:c r="AB4693" t="str">
        <x:v>Campus=55; Ratio=3.3; Prodi=65; RelDemand=38.3; Capacity=58.3</x:v>
      </x:c>
    </x:row>
    <x:row r="4694">
      <x:c r="A4694" t="n">
        <x:v>4691</x:v>
      </x:c>
      <x:c r="B4694" t="str">
        <x:v>PTN Vokasi</x:v>
      </x:c>
      <x:c r="C4694" t="str">
        <x:v>POLITEKNIK NEGERI MANADO</x:v>
      </x:c>
      <x:c r="D4694" t="str">
        <x:v>TEKNOLOGI REKAYASA MEKATRONIKA</x:v>
      </x:c>
      <x:c r="E4694" t="str">
        <x:v>Sarjana Terapan</x:v>
      </x:c>
      <x:c r="F4694" s="18" t="n">
        <x:v>50</x:v>
      </x:c>
      <x:c r="G4694" s="18" t="n">
        <x:v>8</x:v>
      </x:c>
      <x:c r="H4694" s="19" t="n">
        <x:v>0.16</x:v>
      </x:c>
      <x:c r="I4694" s="18" t="n">
        <x:f>ROUND(MIN(Model_Config_v3!$B$6,MAX(Q4694,R4694,S4694*Model_Config_v3!$B$4+T4694*Model_Config_v3!$B$5)),0)</x:f>
        <x:v>595</x:v>
      </x:c>
      <x:c r="J4694" s="18" t="n">
        <x:f>MIN(Model_Config_v3!$B$6,I4694+Model_Config_v3!$B$7)</x:f>
        <x:v>615</x:v>
      </x:c>
      <x:c r="K4694" s="20" t="n">
        <x:v>33.6</x:v>
      </x:c>
      <x:c r="L4694" t="str">
        <x:v>RELATIF LONGGAR</x:v>
      </x:c>
      <x:c r="M4694" t="str">
        <x:v>SEDANG</x:v>
      </x:c>
      <x:c r="N4694" t="str">
        <x:v>REGULER</x:v>
      </x:c>
      <x:c r="O4694" t="str">
        <x:v>SAINTEK</x:v>
      </x:c>
      <x:c r="P4694" t="str">
        <x:v>UMUM</x:v>
      </x:c>
      <x:c r="Q4694" s="18" t="n">
        <x:v>0</x:v>
      </x:c>
      <x:c r="R4694" s="18" t="n">
        <x:v>0</x:v>
      </x:c>
      <x:c r="S4694" s="18" t="n">
        <x:v>520</x:v>
      </x:c>
      <x:c r="T4694" s="18" t="n">
        <x:v>627</x:v>
      </x:c>
      <x:c r="U4694" s="18" t="n">
        <x:v>520</x:v>
      </x:c>
      <x:c r="V4694" s="20" t="n">
        <x:v>12</x:v>
      </x:c>
      <x:c r="W4694" s="20" t="n">
        <x:v>5</x:v>
      </x:c>
      <x:c r="X4694" s="20" t="n">
        <x:v>3</x:v>
      </x:c>
      <x:c r="Y4694" t="str">
        <x:v>Basis arsip 2025/2024</x:v>
      </x:c>
      <x:c r="Z4694" t="str">
        <x:v>https://snpmb.id/utbk-snbt/daya-tampung-snbt</x:v>
      </x:c>
      <x:c r="AA4694" t="str">
        <x:v>Tidak Ada</x:v>
      </x:c>
      <x:c r="AB4694" t="str">
        <x:v>Campus=55; Ratio=0.0; Prodi=40; RelDemand=5.4; Capacity=58.3</x:v>
      </x:c>
    </x:row>
    <x:row r="4695">
      <x:c r="A4695" t="n">
        <x:v>4692</x:v>
      </x:c>
      <x:c r="B4695" t="str">
        <x:v>PTN Vokasi</x:v>
      </x:c>
      <x:c r="C4695" t="str">
        <x:v>POLITEKNIK NEGERI MANADO</x:v>
      </x:c>
      <x:c r="D4695" t="str">
        <x:v>MANAJEMEN PARIWISATA GLOBAL</x:v>
      </x:c>
      <x:c r="E4695" t="str">
        <x:v>Sarjana Terapan</x:v>
      </x:c>
      <x:c r="F4695" s="18" t="n">
        <x:v>50</x:v>
      </x:c>
      <x:c r="G4695" s="18" t="n">
        <x:v>21</x:v>
      </x:c>
      <x:c r="H4695" s="19" t="n">
        <x:v>0.42</x:v>
      </x:c>
      <x:c r="I4695" s="18" t="n">
        <x:f>ROUND(MIN(Model_Config_v3!$B$6,MAX(Q4695,R4695,S4695*Model_Config_v3!$B$4+T4695*Model_Config_v3!$B$5)),0)</x:f>
        <x:v>603</x:v>
      </x:c>
      <x:c r="J4695" s="18" t="n">
        <x:f>MIN(Model_Config_v3!$B$6,I4695+Model_Config_v3!$B$7)</x:f>
        <x:v>623</x:v>
      </x:c>
      <x:c r="K4695" s="20" t="n">
        <x:v>39.5</x:v>
      </x:c>
      <x:c r="L4695" t="str">
        <x:v>RELATIF LONGGAR</x:v>
      </x:c>
      <x:c r="M4695" t="str">
        <x:v>SEDANG+</x:v>
      </x:c>
      <x:c r="N4695" t="str">
        <x:v>REGULER</x:v>
      </x:c>
      <x:c r="O4695" t="str">
        <x:v>SOSHUM</x:v>
      </x:c>
      <x:c r="P4695" t="str">
        <x:v>BISNIS/EKONOMI/AKUNTANSI</x:v>
      </x:c>
      <x:c r="Q4695" s="18" t="n">
        <x:v>0</x:v>
      </x:c>
      <x:c r="R4695" s="18" t="n">
        <x:v>0</x:v>
      </x:c>
      <x:c r="S4695" s="18" t="n">
        <x:v>520</x:v>
      </x:c>
      <x:c r="T4695" s="18" t="n">
        <x:v>639</x:v>
      </x:c>
      <x:c r="U4695" s="18" t="n">
        <x:v>535</x:v>
      </x:c>
      <x:c r="V4695" s="20" t="n">
        <x:v>4.4</x:v>
      </x:c>
      <x:c r="W4695" s="20" t="n">
        <x:v>14.3</x:v>
      </x:c>
      <x:c r="X4695" s="20" t="n">
        <x:v>3.3</x:v>
      </x:c>
      <x:c r="Y4695" t="str">
        <x:v>Basis arsip 2025/2024</x:v>
      </x:c>
      <x:c r="Z4695" t="str">
        <x:v>https://snpmb.id/utbk-snbt/daya-tampung-snbt</x:v>
      </x:c>
      <x:c r="AA4695" t="str">
        <x:v>Tidak Ada</x:v>
      </x:c>
      <x:c r="AB4695" t="str">
        <x:v>Campus=55; Ratio=0.0; Prodi=65; RelDemand=14.1; Capacity=58.3</x:v>
      </x:c>
    </x:row>
    <x:row r="4696">
      <x:c r="A4696" t="n">
        <x:v>4693</x:v>
      </x:c>
      <x:c r="B4696" t="str">
        <x:v>PTN Vokasi</x:v>
      </x:c>
      <x:c r="C4696" t="str">
        <x:v>POLITEKNIK NEGERI MANADO</x:v>
      </x:c>
      <x:c r="D4696" t="str">
        <x:v>TEKNIK SIPIL</x:v>
      </x:c>
      <x:c r="E4696" t="str">
        <x:v>Diploma Tiga</x:v>
      </x:c>
      <x:c r="F4696" s="18" t="n">
        <x:v>25</x:v>
      </x:c>
      <x:c r="G4696" s="18" t="n">
        <x:v>105</x:v>
      </x:c>
      <x:c r="H4696" s="19" t="n">
        <x:v>4.2</x:v>
      </x:c>
      <x:c r="I4696" s="18" t="n">
        <x:f>ROUND(MIN(Model_Config_v3!$B$6,MAX(Q4696,R4696,S4696*Model_Config_v3!$B$4+T4696*Model_Config_v3!$B$5)),0)</x:f>
        <x:v>650</x:v>
      </x:c>
      <x:c r="J4696" s="18" t="n">
        <x:f>MIN(Model_Config_v3!$B$6,I4696+Model_Config_v3!$B$7)</x:f>
        <x:v>670</x:v>
      </x:c>
      <x:c r="K4696" s="20" t="n">
        <x:v>58.3</x:v>
      </x:c>
      <x:c r="L4696" t="str">
        <x:v>KETAT</x:v>
      </x:c>
      <x:c r="M4696" t="str">
        <x:v>SEDANG+</x:v>
      </x:c>
      <x:c r="N4696" t="str">
        <x:v>REGULER</x:v>
      </x:c>
      <x:c r="O4696" t="str">
        <x:v>SAINTEK</x:v>
      </x:c>
      <x:c r="P4696" t="str">
        <x:v>TEKNIK/ARSITEKTUR/STATISTIKA/AKTUARIA</x:v>
      </x:c>
      <x:c r="Q4696" s="18" t="n">
        <x:v>0</x:v>
      </x:c>
      <x:c r="R4696" s="18" t="n">
        <x:v>0</x:v>
      </x:c>
      <x:c r="S4696" s="18" t="n">
        <x:v>588.557421943769</x:v>
      </x:c>
      <x:c r="T4696" s="18" t="n">
        <x:v>677</x:v>
      </x:c>
      <x:c r="U4696" s="18" t="n">
        <x:v>598.557421943769</x:v>
      </x:c>
      <x:c r="V4696" s="20" t="n">
        <x:v>12</x:v>
      </x:c>
      <x:c r="W4696" s="20" t="n">
        <x:v>5</x:v>
      </x:c>
      <x:c r="X4696" s="20" t="n">
        <x:v>3</x:v>
      </x:c>
      <x:c r="Y4696" t="str">
        <x:v>Basis arsip 2025/2024</x:v>
      </x:c>
      <x:c r="Z4696" t="str">
        <x:v>https://snpmb.id/utbk-snbt/daya-tampung-snbt</x:v>
      </x:c>
      <x:c r="AA4696" t="str">
        <x:v>Tidak Ada</x:v>
      </x:c>
      <x:c r="AB4696" t="str">
        <x:v>Campus=55; Ratio=36.7; Prodi=60; RelDemand=100.0; Capacity=79.2</x:v>
      </x:c>
    </x:row>
    <x:row r="4697">
      <x:c r="A4697" t="n">
        <x:v>4694</x:v>
      </x:c>
      <x:c r="B4697" t="str">
        <x:v>PTN Vokasi</x:v>
      </x:c>
      <x:c r="C4697" t="str">
        <x:v>POLITEKNIK NEGERI MANADO</x:v>
      </x:c>
      <x:c r="D4697" t="str">
        <x:v>PARIWISATA</x:v>
      </x:c>
      <x:c r="E4697" t="str">
        <x:v>Diploma Tiga</x:v>
      </x:c>
      <x:c r="F4697" s="18" t="n">
        <x:v>25</x:v>
      </x:c>
      <x:c r="G4697" s="18" t="n">
        <x:v>75</x:v>
      </x:c>
      <x:c r="H4697" s="19" t="n">
        <x:v>3</x:v>
      </x:c>
      <x:c r="I4697" s="18" t="n">
        <x:f>ROUND(MIN(Model_Config_v3!$B$6,MAX(Q4697,R4697,S4697*Model_Config_v3!$B$4+T4697*Model_Config_v3!$B$5)),0)</x:f>
        <x:v>637</x:v>
      </x:c>
      <x:c r="J4697" s="18" t="n">
        <x:f>MIN(Model_Config_v3!$B$6,I4697+Model_Config_v3!$B$7)</x:f>
        <x:v>657</x:v>
      </x:c>
      <x:c r="K4697" s="20" t="n">
        <x:v>52.2</x:v>
      </x:c>
      <x:c r="L4697" t="str">
        <x:v>MENENGAH</x:v>
      </x:c>
      <x:c r="M4697" t="str">
        <x:v>SEDANG</x:v>
      </x:c>
      <x:c r="N4697" t="str">
        <x:v>REGULER</x:v>
      </x:c>
      <x:c r="O4697" t="str">
        <x:v>CAMPURAN</x:v>
      </x:c>
      <x:c r="P4697" t="str">
        <x:v>UMUM</x:v>
      </x:c>
      <x:c r="Q4697" s="18" t="n">
        <x:v>0</x:v>
      </x:c>
      <x:c r="R4697" s="18" t="n">
        <x:v>0</x:v>
      </x:c>
      <x:c r="S4697" s="18" t="n">
        <x:v>572.4833380191628</x:v>
      </x:c>
      <x:c r="T4697" s="18" t="n">
        <x:v>664</x:v>
      </x:c>
      <x:c r="U4697" s="18" t="n">
        <x:v>572.4833380191628</x:v>
      </x:c>
      <x:c r="V4697" s="20" t="n">
        <x:v>8.8</x:v>
      </x:c>
      <x:c r="W4697" s="20" t="n">
        <x:v>9.9</x:v>
      </x:c>
      <x:c r="X4697" s="20" t="n">
        <x:v>3.3</x:v>
      </x:c>
      <x:c r="Y4697" t="str">
        <x:v>Basis arsip 2025/2024</x:v>
      </x:c>
      <x:c r="Z4697" t="str">
        <x:v>https://snpmb.id/utbk-snbt/daya-tampung-snbt</x:v>
      </x:c>
      <x:c r="AA4697" t="str">
        <x:v>Tidak Ada</x:v>
      </x:c>
      <x:c r="AB4697" t="str">
        <x:v>Campus=55; Ratio=28.1; Prodi=40; RelDemand=100.0; Capacity=79.2</x:v>
      </x:c>
    </x:row>
    <x:row r="4698">
      <x:c r="A4698" t="n">
        <x:v>4695</x:v>
      </x:c>
      <x:c r="B4698" t="str">
        <x:v>PTN Vokasi</x:v>
      </x:c>
      <x:c r="C4698" t="str">
        <x:v>POLITEKNIK NEGERI MANADO</x:v>
      </x:c>
      <x:c r="D4698" t="str">
        <x:v>ADMINISTRASI BISNIS</x:v>
      </x:c>
      <x:c r="E4698" t="str">
        <x:v>Diploma Tiga</x:v>
      </x:c>
      <x:c r="F4698" s="18" t="n">
        <x:v>25</x:v>
      </x:c>
      <x:c r="G4698" s="18" t="n">
        <x:v>107</x:v>
      </x:c>
      <x:c r="H4698" s="19" t="n">
        <x:v>4.28</x:v>
      </x:c>
      <x:c r="I4698" s="18" t="n">
        <x:f>ROUND(MIN(Model_Config_v3!$B$6,MAX(Q4698,R4698,S4698*Model_Config_v3!$B$4+T4698*Model_Config_v3!$B$5)),0)</x:f>
        <x:v>652</x:v>
      </x:c>
      <x:c r="J4698" s="18" t="n">
        <x:f>MIN(Model_Config_v3!$B$6,I4698+Model_Config_v3!$B$7)</x:f>
        <x:v>672</x:v>
      </x:c>
      <x:c r="K4698" s="20" t="n">
        <x:v>59.5</x:v>
      </x:c>
      <x:c r="L4698" t="str">
        <x:v>KETAT</x:v>
      </x:c>
      <x:c r="M4698" t="str">
        <x:v>SEDANG+</x:v>
      </x:c>
      <x:c r="N4698" t="str">
        <x:v>REGULER</x:v>
      </x:c>
      <x:c r="O4698" t="str">
        <x:v>SOSHUM</x:v>
      </x:c>
      <x:c r="P4698" t="str">
        <x:v>BISNIS/EKONOMI/AKUNTANSI</x:v>
      </x:c>
      <x:c r="Q4698" s="18" t="n">
        <x:v>0</x:v>
      </x:c>
      <x:c r="R4698" s="18" t="n">
        <x:v>0</x:v>
      </x:c>
      <x:c r="S4698" s="18" t="n">
        <x:v>589.4588145914489</x:v>
      </x:c>
      <x:c r="T4698" s="18" t="n">
        <x:v>679</x:v>
      </x:c>
      <x:c r="U4698" s="18" t="n">
        <x:v>604.4588145914489</x:v>
      </x:c>
      <x:c r="V4698" s="20" t="n">
        <x:v>4.4</x:v>
      </x:c>
      <x:c r="W4698" s="20" t="n">
        <x:v>14.3</x:v>
      </x:c>
      <x:c r="X4698" s="20" t="n">
        <x:v>3.3</x:v>
      </x:c>
      <x:c r="Y4698" t="str">
        <x:v>Basis arsip 2025/2024</x:v>
      </x:c>
      <x:c r="Z4698" t="str">
        <x:v>https://snpmb.id/utbk-snbt/daya-tampung-snbt</x:v>
      </x:c>
      <x:c r="AA4698" t="str">
        <x:v>Tidak Ada</x:v>
      </x:c>
      <x:c r="AB4698" t="str">
        <x:v>Campus=55; Ratio=37.2; Prodi=65; RelDemand=100.0; Capacity=79.2</x:v>
      </x:c>
    </x:row>
    <x:row r="4699">
      <x:c r="A4699" t="n">
        <x:v>4696</x:v>
      </x:c>
      <x:c r="B4699" t="str">
        <x:v>PTN Vokasi</x:v>
      </x:c>
      <x:c r="C4699" t="str">
        <x:v>POLITEKNIK NEGERI MANADO</x:v>
      </x:c>
      <x:c r="D4699" t="str">
        <x:v>TEKNIK KOMPUTER</x:v>
      </x:c>
      <x:c r="E4699" t="str">
        <x:v>Diploma Tiga</x:v>
      </x:c>
      <x:c r="F4699" s="18" t="n">
        <x:v>38</x:v>
      </x:c>
      <x:c r="G4699" s="18" t="n">
        <x:v>89</x:v>
      </x:c>
      <x:c r="H4699" s="19" t="n">
        <x:v>2.3421052631578947</x:v>
      </x:c>
      <x:c r="I4699" s="18" t="n">
        <x:f>ROUND(MIN(Model_Config_v3!$B$6,MAX(Q4699,R4699,S4699*Model_Config_v3!$B$4+T4699*Model_Config_v3!$B$5)),0)</x:f>
        <x:v>639</x:v>
      </x:c>
      <x:c r="J4699" s="18" t="n">
        <x:f>MIN(Model_Config_v3!$B$6,I4699+Model_Config_v3!$B$7)</x:f>
        <x:v>659</x:v>
      </x:c>
      <x:c r="K4699" s="20" t="n">
        <x:v>56.4</x:v>
      </x:c>
      <x:c r="L4699" t="str">
        <x:v>KETAT</x:v>
      </x:c>
      <x:c r="M4699" t="str">
        <x:v>SEDANG+</x:v>
      </x:c>
      <x:c r="N4699" t="str">
        <x:v>REGULER</x:v>
      </x:c>
      <x:c r="O4699" t="str">
        <x:v>SAINTEK</x:v>
      </x:c>
      <x:c r="P4699" t="str">
        <x:v>KOMPUTER/INFORMATIKA</x:v>
      </x:c>
      <x:c r="Q4699" s="18" t="n">
        <x:v>0</x:v>
      </x:c>
      <x:c r="R4699" s="18" t="n">
        <x:v>0</x:v>
      </x:c>
      <x:c r="S4699" s="18" t="n">
        <x:v>560.6567051030913</x:v>
      </x:c>
      <x:c r="T4699" s="18" t="n">
        <x:v>673</x:v>
      </x:c>
      <x:c r="U4699" s="18" t="n">
        <x:v>585.6567051030913</x:v>
      </x:c>
      <x:c r="V4699" s="20" t="n">
        <x:v>12</x:v>
      </x:c>
      <x:c r="W4699" s="20" t="n">
        <x:v>5</x:v>
      </x:c>
      <x:c r="X4699" s="20" t="n">
        <x:v>3</x:v>
      </x:c>
      <x:c r="Y4699" t="str">
        <x:v>Basis arsip 2025/2024</x:v>
      </x:c>
      <x:c r="Z4699" t="str">
        <x:v>https://snpmb.id/utbk-snbt/daya-tampung-snbt</x:v>
      </x:c>
      <x:c r="AA4699" t="str">
        <x:v>Tidak Ada</x:v>
      </x:c>
      <x:c r="AB4699" t="str">
        <x:v>Campus=55; Ratio=21.8; Prodi=85; RelDemand=78.8; Capacity=68.3</x:v>
      </x:c>
    </x:row>
    <x:row r="4700">
      <x:c r="A4700" t="n">
        <x:v>4697</x:v>
      </x:c>
      <x:c r="B4700" t="str">
        <x:v>PTN Vokasi</x:v>
      </x:c>
      <x:c r="C4700" t="str">
        <x:v>POLITEKNIK NEGERI MANADO</x:v>
      </x:c>
      <x:c r="D4700" t="str">
        <x:v>MANAJEMEN PEMASARAN</x:v>
      </x:c>
      <x:c r="E4700" t="str">
        <x:v>Diploma Tiga</x:v>
      </x:c>
      <x:c r="F4700" s="18" t="n">
        <x:v>25</x:v>
      </x:c>
      <x:c r="G4700" s="18" t="n">
        <x:v>26</x:v>
      </x:c>
      <x:c r="H4700" s="19" t="n">
        <x:v>1.04</x:v>
      </x:c>
      <x:c r="I4700" s="18" t="n">
        <x:f>ROUND(MIN(Model_Config_v3!$B$6,MAX(Q4700,R4700,S4700*Model_Config_v3!$B$4+T4700*Model_Config_v3!$B$5)),0)</x:f>
        <x:v>610</x:v>
      </x:c>
      <x:c r="J4700" s="18" t="n">
        <x:f>MIN(Model_Config_v3!$B$6,I4700+Model_Config_v3!$B$7)</x:f>
        <x:v>630</x:v>
      </x:c>
      <x:c r="K4700" s="20" t="n">
        <x:v>43.9</x:v>
      </x:c>
      <x:c r="L4700" t="str">
        <x:v>RELATIF LONGGAR</x:v>
      </x:c>
      <x:c r="M4700" t="str">
        <x:v>SEDANG+</x:v>
      </x:c>
      <x:c r="N4700" t="str">
        <x:v>REGULER</x:v>
      </x:c>
      <x:c r="O4700" t="str">
        <x:v>SOSHUM</x:v>
      </x:c>
      <x:c r="P4700" t="str">
        <x:v>BISNIS/EKONOMI/AKUNTANSI</x:v>
      </x:c>
      <x:c r="Q4700" s="18" t="n">
        <x:v>0</x:v>
      </x:c>
      <x:c r="R4700" s="18" t="n">
        <x:v>0</x:v>
      </x:c>
      <x:c r="S4700" s="18" t="n">
        <x:v>521.8736673228658</x:v>
      </x:c>
      <x:c r="T4700" s="18" t="n">
        <x:v>648</x:v>
      </x:c>
      <x:c r="U4700" s="18" t="n">
        <x:v>536.8736673228658</x:v>
      </x:c>
      <x:c r="V4700" s="20" t="n">
        <x:v>4.4</x:v>
      </x:c>
      <x:c r="W4700" s="20" t="n">
        <x:v>14.3</x:v>
      </x:c>
      <x:c r="X4700" s="20" t="n">
        <x:v>3.3</x:v>
      </x:c>
      <x:c r="Y4700" t="str">
        <x:v>Basis arsip 2025/2024</x:v>
      </x:c>
      <x:c r="Z4700" t="str">
        <x:v>https://snpmb.id/utbk-snbt/daya-tampung-snbt</x:v>
      </x:c>
      <x:c r="AA4700" t="str">
        <x:v>Tidak Ada</x:v>
      </x:c>
      <x:c r="AB4700" t="str">
        <x:v>Campus=55; Ratio=1.0; Prodi=65; RelDemand=35.0; Capacity=79.2</x:v>
      </x:c>
    </x:row>
    <x:row r="4701">
      <x:c r="A4701" t="n">
        <x:v>4698</x:v>
      </x:c>
      <x:c r="B4701" t="str">
        <x:v>PTN Vokasi</x:v>
      </x:c>
      <x:c r="C4701" t="str">
        <x:v>POLITEKNIK NEGERI MANADO</x:v>
      </x:c>
      <x:c r="D4701" t="str">
        <x:v>EKOWISATA BAWAH LAUT</x:v>
      </x:c>
      <x:c r="E4701" t="str">
        <x:v>Diploma Tiga</x:v>
      </x:c>
      <x:c r="F4701" s="18" t="n">
        <x:v>13</x:v>
      </x:c>
      <x:c r="G4701" s="18" t="n">
        <x:v>10</x:v>
      </x:c>
      <x:c r="H4701" s="19" t="n">
        <x:v>0.7692307692307693</x:v>
      </x:c>
      <x:c r="I4701" s="18" t="n">
        <x:f>ROUND(MIN(Model_Config_v3!$B$6,MAX(Q4701,R4701,S4701*Model_Config_v3!$B$4+T4701*Model_Config_v3!$B$5)),0)</x:f>
        <x:v>603</x:v>
      </x:c>
      <x:c r="J4701" s="18" t="n">
        <x:f>MIN(Model_Config_v3!$B$6,I4701+Model_Config_v3!$B$7)</x:f>
        <x:v>623</x:v>
      </x:c>
      <x:c r="K4701" s="20" t="n">
        <x:v>38.8</x:v>
      </x:c>
      <x:c r="L4701" t="str">
        <x:v>RELATIF LONGGAR</x:v>
      </x:c>
      <x:c r="M4701" t="str">
        <x:v>SEDANG</x:v>
      </x:c>
      <x:c r="N4701" t="str">
        <x:v>REGULER</x:v>
      </x:c>
      <x:c r="O4701" t="str">
        <x:v>CAMPURAN</x:v>
      </x:c>
      <x:c r="P4701" t="str">
        <x:v>UMUM</x:v>
      </x:c>
      <x:c r="Q4701" s="18" t="n">
        <x:v>0</x:v>
      </x:c>
      <x:c r="R4701" s="18" t="n">
        <x:v>0</x:v>
      </x:c>
      <x:c r="S4701" s="18" t="n">
        <x:v>520</x:v>
      </x:c>
      <x:c r="T4701" s="18" t="n">
        <x:v>638</x:v>
      </x:c>
      <x:c r="U4701" s="18" t="n">
        <x:v>520</x:v>
      </x:c>
      <x:c r="V4701" s="20" t="n">
        <x:v>8.8</x:v>
      </x:c>
      <x:c r="W4701" s="20" t="n">
        <x:v>9.9</x:v>
      </x:c>
      <x:c r="X4701" s="20" t="n">
        <x:v>3.3</x:v>
      </x:c>
      <x:c r="Y4701" t="str">
        <x:v>Basis arsip 2025/2024</x:v>
      </x:c>
      <x:c r="Z4701" t="str">
        <x:v>https://snpmb.id/utbk-snbt/daya-tampung-snbt</x:v>
      </x:c>
      <x:c r="AA4701" t="str">
        <x:v>Tidak Ada</x:v>
      </x:c>
      <x:c r="AB4701" t="str">
        <x:v>Campus=55; Ratio=0.0; Prodi=40; RelDemand=25.9; Capacity=89.2</x:v>
      </x:c>
    </x:row>
    <x:row r="4702">
      <x:c r="A4702" t="n">
        <x:v>4699</x:v>
      </x:c>
      <x:c r="B4702" t="str">
        <x:v>PTN Vokasi</x:v>
      </x:c>
      <x:c r="C4702" t="str">
        <x:v>POLITEKNIK NEGERI MANADO</x:v>
      </x:c>
      <x:c r="D4702" t="str">
        <x:v>USAHA PERJALANAN WISATA</x:v>
      </x:c>
      <x:c r="E4702" t="str">
        <x:v>Diploma Tiga</x:v>
      </x:c>
      <x:c r="F4702" s="18" t="n">
        <x:v>13</x:v>
      </x:c>
      <x:c r="G4702" s="18" t="n">
        <x:v>14</x:v>
      </x:c>
      <x:c r="H4702" s="19" t="n">
        <x:v>1.0769230769230769</x:v>
      </x:c>
      <x:c r="I4702" s="18" t="n">
        <x:f>ROUND(MIN(Model_Config_v3!$B$6,MAX(Q4702,R4702,S4702*Model_Config_v3!$B$4+T4702*Model_Config_v3!$B$5)),0)</x:f>
        <x:v>606</x:v>
      </x:c>
      <x:c r="J4702" s="18" t="n">
        <x:f>MIN(Model_Config_v3!$B$6,I4702+Model_Config_v3!$B$7)</x:f>
        <x:v>626</x:v>
      </x:c>
      <x:c r="K4702" s="20" t="n">
        <x:v>40.3</x:v>
      </x:c>
      <x:c r="L4702" t="str">
        <x:v>RELATIF LONGGAR</x:v>
      </x:c>
      <x:c r="M4702" t="str">
        <x:v>SEDANG</x:v>
      </x:c>
      <x:c r="N4702" t="str">
        <x:v>REGULER</x:v>
      </x:c>
      <x:c r="O4702" t="str">
        <x:v>CAMPURAN</x:v>
      </x:c>
      <x:c r="P4702" t="str">
        <x:v>UMUM</x:v>
      </x:c>
      <x:c r="Q4702" s="18" t="n">
        <x:v>0</x:v>
      </x:c>
      <x:c r="R4702" s="18" t="n">
        <x:v>0</x:v>
      </x:c>
      <x:c r="S4702" s="18" t="n">
        <x:v>523.5403151708541</x:v>
      </x:c>
      <x:c r="T4702" s="18" t="n">
        <x:v>641</x:v>
      </x:c>
      <x:c r="U4702" s="18" t="n">
        <x:v>523.5403151708541</x:v>
      </x:c>
      <x:c r="V4702" s="20" t="n">
        <x:v>8.8</x:v>
      </x:c>
      <x:c r="W4702" s="20" t="n">
        <x:v>9.9</x:v>
      </x:c>
      <x:c r="X4702" s="20" t="n">
        <x:v>3.3</x:v>
      </x:c>
      <x:c r="Y4702" t="str">
        <x:v>Basis arsip 2025/2024</x:v>
      </x:c>
      <x:c r="Z4702" t="str">
        <x:v>https://snpmb.id/utbk-snbt/daya-tampung-snbt</x:v>
      </x:c>
      <x:c r="AA4702" t="str">
        <x:v>Tidak Ada</x:v>
      </x:c>
      <x:c r="AB4702" t="str">
        <x:v>Campus=55; Ratio=1.9; Prodi=40; RelDemand=36.2; Capacity=89.2</x:v>
      </x:c>
    </x:row>
    <x:row r="4703">
      <x:c r="A4703" t="n">
        <x:v>4700</x:v>
      </x:c>
      <x:c r="B4703" t="str">
        <x:v>PTN Vokasi</x:v>
      </x:c>
      <x:c r="C4703" t="str">
        <x:v>POLITEKNIK NEGERI MANADO</x:v>
      </x:c>
      <x:c r="D4703" t="str">
        <x:v>TEKNIK LISTRIK</x:v>
      </x:c>
      <x:c r="E4703" t="str">
        <x:v>Diploma Tiga</x:v>
      </x:c>
      <x:c r="F4703" s="18" t="n">
        <x:v>38</x:v>
      </x:c>
      <x:c r="G4703" s="18" t="n">
        <x:v>17</x:v>
      </x:c>
      <x:c r="H4703" s="19" t="n">
        <x:v>0.4473684210526316</x:v>
      </x:c>
      <x:c r="I4703" s="18" t="n">
        <x:f>ROUND(MIN(Model_Config_v3!$B$6,MAX(Q4703,R4703,S4703*Model_Config_v3!$B$4+T4703*Model_Config_v3!$B$5)),0)</x:f>
        <x:v>603</x:v>
      </x:c>
      <x:c r="J4703" s="18" t="n">
        <x:f>MIN(Model_Config_v3!$B$6,I4703+Model_Config_v3!$B$7)</x:f>
        <x:v>623</x:v>
      </x:c>
      <x:c r="K4703" s="20" t="n">
        <x:v>39.6</x:v>
      </x:c>
      <x:c r="L4703" t="str">
        <x:v>RELATIF LONGGAR</x:v>
      </x:c>
      <x:c r="M4703" t="str">
        <x:v>SEDANG+</x:v>
      </x:c>
      <x:c r="N4703" t="str">
        <x:v>REGULER</x:v>
      </x:c>
      <x:c r="O4703" t="str">
        <x:v>SAINTEK</x:v>
      </x:c>
      <x:c r="P4703" t="str">
        <x:v>TEKNIK/ARSITEKTUR/STATISTIKA/AKTUARIA</x:v>
      </x:c>
      <x:c r="Q4703" s="18" t="n">
        <x:v>0</x:v>
      </x:c>
      <x:c r="R4703" s="18" t="n">
        <x:v>0</x:v>
      </x:c>
      <x:c r="S4703" s="18" t="n">
        <x:v>520</x:v>
      </x:c>
      <x:c r="T4703" s="18" t="n">
        <x:v>639</x:v>
      </x:c>
      <x:c r="U4703" s="18" t="n">
        <x:v>530</x:v>
      </x:c>
      <x:c r="V4703" s="20" t="n">
        <x:v>12</x:v>
      </x:c>
      <x:c r="W4703" s="20" t="n">
        <x:v>5</x:v>
      </x:c>
      <x:c r="X4703" s="20" t="n">
        <x:v>3</x:v>
      </x:c>
      <x:c r="Y4703" t="str">
        <x:v>Basis arsip 2025/2024</x:v>
      </x:c>
      <x:c r="Z4703" t="str">
        <x:v>https://snpmb.id/utbk-snbt/daya-tampung-snbt</x:v>
      </x:c>
      <x:c r="AA4703" t="str">
        <x:v>Tidak Ada</x:v>
      </x:c>
      <x:c r="AB4703" t="str">
        <x:v>Campus=55; Ratio=0.0; Prodi=60; RelDemand=15.0; Capacity=68.3</x:v>
      </x:c>
    </x:row>
    <x:row r="4704">
      <x:c r="A4704" t="n">
        <x:v>4701</x:v>
      </x:c>
      <x:c r="B4704" t="str">
        <x:v>PTN Vokasi</x:v>
      </x:c>
      <x:c r="C4704" t="str">
        <x:v>POLITEKNIK NEGERI MANADO</x:v>
      </x:c>
      <x:c r="D4704" t="str">
        <x:v>AKUNTANSI</x:v>
      </x:c>
      <x:c r="E4704" t="str">
        <x:v>Diploma Tiga</x:v>
      </x:c>
      <x:c r="F4704" s="18" t="n">
        <x:v>25</x:v>
      </x:c>
      <x:c r="G4704" s="18" t="n">
        <x:v>80</x:v>
      </x:c>
      <x:c r="H4704" s="19" t="n">
        <x:v>3.2</x:v>
      </x:c>
      <x:c r="I4704" s="18" t="n">
        <x:f>ROUND(MIN(Model_Config_v3!$B$6,MAX(Q4704,R4704,S4704*Model_Config_v3!$B$4+T4704*Model_Config_v3!$B$5)),0)</x:f>
        <x:v>645</x:v>
      </x:c>
      <x:c r="J4704" s="18" t="n">
        <x:f>MIN(Model_Config_v3!$B$6,I4704+Model_Config_v3!$B$7)</x:f>
        <x:v>665</x:v>
      </x:c>
      <x:c r="K4704" s="20" t="n">
        <x:v>57.6</x:v>
      </x:c>
      <x:c r="L4704" t="str">
        <x:v>KETAT</x:v>
      </x:c>
      <x:c r="M4704" t="str">
        <x:v>SEDANG+</x:v>
      </x:c>
      <x:c r="N4704" t="str">
        <x:v>REGULER</x:v>
      </x:c>
      <x:c r="O4704" t="str">
        <x:v>SOSHUM</x:v>
      </x:c>
      <x:c r="P4704" t="str">
        <x:v>BISNIS/EKONOMI/AKUNTANSI</x:v>
      </x:c>
      <x:c r="Q4704" s="18" t="n">
        <x:v>0</x:v>
      </x:c>
      <x:c r="R4704" s="18" t="n">
        <x:v>0</x:v>
      </x:c>
      <x:c r="S4704" s="18" t="n">
        <x:v>575.5664976151896</x:v>
      </x:c>
      <x:c r="T4704" s="18" t="n">
        <x:v>675</x:v>
      </x:c>
      <x:c r="U4704" s="18" t="n">
        <x:v>575.5664976151896</x:v>
      </x:c>
      <x:c r="V4704" s="20" t="n">
        <x:v>4.4</x:v>
      </x:c>
      <x:c r="W4704" s="20" t="n">
        <x:v>14.3</x:v>
      </x:c>
      <x:c r="X4704" s="20" t="n">
        <x:v>3.3</x:v>
      </x:c>
      <x:c r="Y4704" t="str">
        <x:v>Basis arsip 2025/2024</x:v>
      </x:c>
      <x:c r="Z4704" t="str">
        <x:v>https://snpmb.id/utbk-snbt/daya-tampung-snbt</x:v>
      </x:c>
      <x:c r="AA4704" t="str">
        <x:v>Tidak Ada</x:v>
      </x:c>
      <x:c r="AB4704" t="str">
        <x:v>Campus=55; Ratio=29.7; Prodi=65; RelDemand=100.0; Capacity=79.2</x:v>
      </x:c>
    </x:row>
    <x:row r="4705">
      <x:c r="A4705" t="n">
        <x:v>4702</x:v>
      </x:c>
      <x:c r="B4705" t="str">
        <x:v>PTN Vokasi</x:v>
      </x:c>
      <x:c r="C4705" t="str">
        <x:v>POLITEKNIK NEGERI NUSA UTARA</x:v>
      </x:c>
      <x:c r="D4705" t="str">
        <x:v>PENGOLAHAN DAN PENYIMPANAN HASIL PERIKANAN</x:v>
      </x:c>
      <x:c r="E4705" t="str">
        <x:v>Sarjana Terapan</x:v>
      </x:c>
      <x:c r="F4705" s="18" t="n">
        <x:v>12</x:v>
      </x:c>
      <x:c r="G4705" s="18" t="n">
        <x:v>2</x:v>
      </x:c>
      <x:c r="H4705" s="19" t="n">
        <x:v>0.16666666666666666</x:v>
      </x:c>
      <x:c r="I4705" s="18" t="n">
        <x:f>ROUND(MIN(Model_Config_v3!$B$6,MAX(Q4705,R4705,S4705*Model_Config_v3!$B$4+T4705*Model_Config_v3!$B$5)),0)</x:f>
        <x:v>605</x:v>
      </x:c>
      <x:c r="J4705" s="18" t="n">
        <x:f>MIN(Model_Config_v3!$B$6,I4705+Model_Config_v3!$B$7)</x:f>
        <x:v>625</x:v>
      </x:c>
      <x:c r="K4705" s="20" t="n">
        <x:v>41.1</x:v>
      </x:c>
      <x:c r="L4705" t="str">
        <x:v>RELATIF LONGGAR</x:v>
      </x:c>
      <x:c r="M4705" t="str">
        <x:v>SEDANG</x:v>
      </x:c>
      <x:c r="N4705" t="str">
        <x:v>REGULER</x:v>
      </x:c>
      <x:c r="O4705" t="str">
        <x:v>SAINTEK</x:v>
      </x:c>
      <x:c r="P4705" t="str">
        <x:v>UMUM</x:v>
      </x:c>
      <x:c r="Q4705" s="18" t="n">
        <x:v>0</x:v>
      </x:c>
      <x:c r="R4705" s="18" t="n">
        <x:v>0</x:v>
      </x:c>
      <x:c r="S4705" s="18" t="n">
        <x:v>520</x:v>
      </x:c>
      <x:c r="T4705" s="18" t="n">
        <x:v>642</x:v>
      </x:c>
      <x:c r="U4705" s="18" t="n">
        <x:v>520</x:v>
      </x:c>
      <x:c r="V4705" s="20" t="n">
        <x:v>12</x:v>
      </x:c>
      <x:c r="W4705" s="20" t="n">
        <x:v>5</x:v>
      </x:c>
      <x:c r="X4705" s="20" t="n">
        <x:v>3</x:v>
      </x:c>
      <x:c r="Y4705" t="str">
        <x:v>Basis arsip 2025/2024</x:v>
      </x:c>
      <x:c r="Z4705" t="str">
        <x:v>https://snpmb.id/utbk-snbt/daya-tampung-snbt</x:v>
      </x:c>
      <x:c r="AA4705" t="str">
        <x:v>Tidak Ada</x:v>
      </x:c>
      <x:c r="AB4705" t="str">
        <x:v>Campus=55; Ratio=0.0; Prodi=40; RelDemand=48.4; Capacity=90.0</x:v>
      </x:c>
    </x:row>
    <x:row r="4706">
      <x:c r="A4706" t="n">
        <x:v>4703</x:v>
      </x:c>
      <x:c r="B4706" t="str">
        <x:v>PTN Vokasi</x:v>
      </x:c>
      <x:c r="C4706" t="str">
        <x:v>POLITEKNIK NEGERI NUSA UTARA</x:v>
      </x:c>
      <x:c r="D4706" t="str">
        <x:v>KEPERAWATAN</x:v>
      </x:c>
      <x:c r="E4706" t="str">
        <x:v>Diploma Tiga</x:v>
      </x:c>
      <x:c r="F4706" s="18" t="n">
        <x:v>32</x:v>
      </x:c>
      <x:c r="G4706" s="18" t="n">
        <x:v>11</x:v>
      </x:c>
      <x:c r="H4706" s="19" t="n">
        <x:v>0.34375</x:v>
      </x:c>
      <x:c r="I4706" s="18" t="n">
        <x:f>ROUND(MIN(Model_Config_v3!$B$6,MAX(Q4706,R4706,S4706*Model_Config_v3!$B$4+T4706*Model_Config_v3!$B$5)),0)</x:f>
        <x:v>615</x:v>
      </x:c>
      <x:c r="J4706" s="18" t="n">
        <x:f>MIN(Model_Config_v3!$B$6,I4706+Model_Config_v3!$B$7)</x:f>
        <x:v>635</x:v>
      </x:c>
      <x:c r="K4706" s="20" t="n">
        <x:v>47.6</x:v>
      </x:c>
      <x:c r="L4706" t="str">
        <x:v>MENENGAH</x:v>
      </x:c>
      <x:c r="M4706" t="str">
        <x:v>SEDANG+</x:v>
      </x:c>
      <x:c r="N4706" t="str">
        <x:v>REGULER</x:v>
      </x:c>
      <x:c r="O4706" t="str">
        <x:v>SAINTEK</x:v>
      </x:c>
      <x:c r="P4706" t="str">
        <x:v>KESEHAT/GIZI/KEPERAWATAN</x:v>
      </x:c>
      <x:c r="Q4706" s="18" t="n">
        <x:v>0</x:v>
      </x:c>
      <x:c r="R4706" s="18" t="n">
        <x:v>0</x:v>
      </x:c>
      <x:c r="S4706" s="18" t="n">
        <x:v>520</x:v>
      </x:c>
      <x:c r="T4706" s="18" t="n">
        <x:v>655</x:v>
      </x:c>
      <x:c r="U4706" s="18" t="n">
        <x:v>520</x:v>
      </x:c>
      <x:c r="V4706" s="20" t="n">
        <x:v>12</x:v>
      </x:c>
      <x:c r="W4706" s="20" t="n">
        <x:v>5</x:v>
      </x:c>
      <x:c r="X4706" s="20" t="n">
        <x:v>3</x:v>
      </x:c>
      <x:c r="Y4706" t="str">
        <x:v>Basis arsip 2025/2024</x:v>
      </x:c>
      <x:c r="Z4706" t="str">
        <x:v>https://snpmb.id/utbk-snbt/daya-tampung-snbt</x:v>
      </x:c>
      <x:c r="AA4706" t="str">
        <x:v>Tidak Ada</x:v>
      </x:c>
      <x:c r="AB4706" t="str">
        <x:v>Campus=55; Ratio=0.0; Prodi=55; RelDemand=99.9; Capacity=73.3</x:v>
      </x:c>
    </x:row>
    <x:row r="4707">
      <x:c r="A4707" t="n">
        <x:v>4704</x:v>
      </x:c>
      <x:c r="B4707" t="str">
        <x:v>PTN Vokasi</x:v>
      </x:c>
      <x:c r="C4707" t="str">
        <x:v>POLITEKNIK NEGERI NUSA UTARA</x:v>
      </x:c>
      <x:c r="D4707" t="str">
        <x:v>TEKNOLOGI PENANGKAPAN IKAN</x:v>
      </x:c>
      <x:c r="E4707" t="str">
        <x:v>Diploma Tiga</x:v>
      </x:c>
      <x:c r="F4707" s="18" t="n">
        <x:v>10</x:v>
      </x:c>
      <x:c r="G4707" s="18" t="n">
        <x:v>1</x:v>
      </x:c>
      <x:c r="H4707" s="19" t="n">
        <x:v>0.1</x:v>
      </x:c>
      <x:c r="I4707" s="18" t="n">
        <x:f>ROUND(MIN(Model_Config_v3!$B$6,MAX(Q4707,R4707,S4707*Model_Config_v3!$B$4+T4707*Model_Config_v3!$B$5)),0)</x:f>
        <x:v>603</x:v>
      </x:c>
      <x:c r="J4707" s="18" t="n">
        <x:f>MIN(Model_Config_v3!$B$6,I4707+Model_Config_v3!$B$7)</x:f>
        <x:v>623</x:v>
      </x:c>
      <x:c r="K4707" s="20" t="n">
        <x:v>39.3</x:v>
      </x:c>
      <x:c r="L4707" t="str">
        <x:v>RELATIF LONGGAR</x:v>
      </x:c>
      <x:c r="M4707" t="str">
        <x:v>SEDANG</x:v>
      </x:c>
      <x:c r="N4707" t="str">
        <x:v>REGULER</x:v>
      </x:c>
      <x:c r="O4707" t="str">
        <x:v>SAINTEK</x:v>
      </x:c>
      <x:c r="P4707" t="str">
        <x:v>UMUM</x:v>
      </x:c>
      <x:c r="Q4707" s="18" t="n">
        <x:v>0</x:v>
      </x:c>
      <x:c r="R4707" s="18" t="n">
        <x:v>0</x:v>
      </x:c>
      <x:c r="S4707" s="18" t="n">
        <x:v>520</x:v>
      </x:c>
      <x:c r="T4707" s="18" t="n">
        <x:v>639</x:v>
      </x:c>
      <x:c r="U4707" s="18" t="n">
        <x:v>520</x:v>
      </x:c>
      <x:c r="V4707" s="20" t="n">
        <x:v>12</x:v>
      </x:c>
      <x:c r="W4707" s="20" t="n">
        <x:v>5</x:v>
      </x:c>
      <x:c r="X4707" s="20" t="n">
        <x:v>3</x:v>
      </x:c>
      <x:c r="Y4707" t="str">
        <x:v>Basis arsip 2025/2024</x:v>
      </x:c>
      <x:c r="Z4707" t="str">
        <x:v>https://snpmb.id/utbk-snbt/daya-tampung-snbt</x:v>
      </x:c>
      <x:c r="AA4707" t="str">
        <x:v>Tidak Ada</x:v>
      </x:c>
      <x:c r="AB4707" t="str">
        <x:v>Campus=55; Ratio=0.0; Prodi=40; RelDemand=29.1; Capacity=91.7</x:v>
      </x:c>
    </x:row>
    <x:row r="4708">
      <x:c r="A4708" t="n">
        <x:v>4705</x:v>
      </x:c>
      <x:c r="B4708" t="str">
        <x:v>PTN Vokasi</x:v>
      </x:c>
      <x:c r="C4708" t="str">
        <x:v>POLITEKNIK NEGERI NUSA UTARA</x:v>
      </x:c>
      <x:c r="D4708" t="str">
        <x:v>TEKNOLOGI BUDIDAYA IKAN</x:v>
      </x:c>
      <x:c r="E4708" t="str">
        <x:v>Diploma Tiga</x:v>
      </x:c>
      <x:c r="F4708" s="18" t="n">
        <x:v>10</x:v>
      </x:c>
      <x:c r="G4708" s="18"/>
      <x:c r="H4708" s="19" t="n">
        <x:v>0</x:v>
      </x:c>
      <x:c r="I4708" s="18" t="n">
        <x:f>ROUND(MIN(Model_Config_v3!$B$6,MAX(Q4708,R4708,S4708*Model_Config_v3!$B$4+T4708*Model_Config_v3!$B$5)),0)</x:f>
        <x:v>599</x:v>
      </x:c>
      <x:c r="J4708" s="18" t="n">
        <x:f>MIN(Model_Config_v3!$B$6,I4708+Model_Config_v3!$B$7)</x:f>
        <x:v>619</x:v>
      </x:c>
      <x:c r="K4708" s="20" t="n">
        <x:v>36.4</x:v>
      </x:c>
      <x:c r="L4708" t="str">
        <x:v>RELATIF LONGGAR</x:v>
      </x:c>
      <x:c r="M4708" t="str">
        <x:v>RENDAH</x:v>
      </x:c>
      <x:c r="N4708" t="str">
        <x:v>REGULER</x:v>
      </x:c>
      <x:c r="O4708" t="str">
        <x:v>SAINTEK</x:v>
      </x:c>
      <x:c r="P4708" t="str">
        <x:v>UMUM</x:v>
      </x:c>
      <x:c r="Q4708" s="18" t="n">
        <x:v>0</x:v>
      </x:c>
      <x:c r="R4708" s="18" t="n">
        <x:v>0</x:v>
      </x:c>
      <x:c r="S4708" s="18" t="n">
        <x:v>520</x:v>
      </x:c>
      <x:c r="T4708" s="18" t="n">
        <x:v>633</x:v>
      </x:c>
      <x:c r="U4708" s="18" t="n">
        <x:v>520</x:v>
      </x:c>
      <x:c r="V4708" s="20" t="n">
        <x:v>12</x:v>
      </x:c>
      <x:c r="W4708" s="20" t="n">
        <x:v>5</x:v>
      </x:c>
      <x:c r="X4708" s="20" t="n">
        <x:v>3</x:v>
      </x:c>
      <x:c r="Y4708" t="str">
        <x:v>Basis arsip 2025/2024</x:v>
      </x:c>
      <x:c r="Z4708" t="str">
        <x:v>https://snpmb.id/utbk-snbt/daya-tampung-snbt</x:v>
      </x:c>
      <x:c r="AA4708" t="str">
        <x:v>Tidak Ada</x:v>
      </x:c>
      <x:c r="AB4708" t="str">
        <x:v>Campus=55; Ratio=0.0; Prodi=40; RelDemand=0.0; Capacity=91.7</x:v>
      </x:c>
    </x:row>
    <x:row r="4709">
      <x:c r="A4709" t="n">
        <x:v>4706</x:v>
      </x:c>
      <x:c r="B4709" t="str">
        <x:v>PTN Vokasi</x:v>
      </x:c>
      <x:c r="C4709" t="str">
        <x:v>POLITEKNIK NEGERI NUSA UTARA</x:v>
      </x:c>
      <x:c r="D4709" t="str">
        <x:v>SISTEM INFORMASI</x:v>
      </x:c>
      <x:c r="E4709" t="str">
        <x:v>Diploma Tiga</x:v>
      </x:c>
      <x:c r="F4709" s="18" t="n">
        <x:v>24</x:v>
      </x:c>
      <x:c r="G4709" s="18" t="n">
        <x:v>6</x:v>
      </x:c>
      <x:c r="H4709" s="19" t="n">
        <x:v>0.25</x:v>
      </x:c>
      <x:c r="I4709" s="18" t="n">
        <x:f>ROUND(MIN(Model_Config_v3!$B$6,MAX(Q4709,R4709,S4709*Model_Config_v3!$B$4+T4709*Model_Config_v3!$B$5)),0)</x:f>
        <x:v>620</x:v>
      </x:c>
      <x:c r="J4709" s="18" t="n">
        <x:f>MIN(Model_Config_v3!$B$6,I4709+Model_Config_v3!$B$7)</x:f>
        <x:v>640</x:v>
      </x:c>
      <x:c r="K4709" s="20" t="n">
        <x:v>51.5</x:v>
      </x:c>
      <x:c r="L4709" t="str">
        <x:v>MENENGAH</x:v>
      </x:c>
      <x:c r="M4709" t="str">
        <x:v>SEDANG+</x:v>
      </x:c>
      <x:c r="N4709" t="str">
        <x:v>REGULER</x:v>
      </x:c>
      <x:c r="O4709" t="str">
        <x:v>CAMPURAN</x:v>
      </x:c>
      <x:c r="P4709" t="str">
        <x:v>KOMPUTER/INFORMATIKA</x:v>
      </x:c>
      <x:c r="Q4709" s="18" t="n">
        <x:v>0</x:v>
      </x:c>
      <x:c r="R4709" s="18" t="n">
        <x:v>0</x:v>
      </x:c>
      <x:c r="S4709" s="18" t="n">
        <x:v>520</x:v>
      </x:c>
      <x:c r="T4709" s="18" t="n">
        <x:v>663</x:v>
      </x:c>
      <x:c r="U4709" s="18" t="n">
        <x:v>545</x:v>
      </x:c>
      <x:c r="V4709" s="20" t="n">
        <x:v>8.8</x:v>
      </x:c>
      <x:c r="W4709" s="20" t="n">
        <x:v>9.9</x:v>
      </x:c>
      <x:c r="X4709" s="20" t="n">
        <x:v>3.3</x:v>
      </x:c>
      <x:c r="Y4709" t="str">
        <x:v>Basis arsip 2025/2024</x:v>
      </x:c>
      <x:c r="Z4709" t="str">
        <x:v>https://snpmb.id/utbk-snbt/daya-tampung-snbt</x:v>
      </x:c>
      <x:c r="AA4709" t="str">
        <x:v>Tidak Ada</x:v>
      </x:c>
      <x:c r="AB4709" t="str">
        <x:v>Campus=55; Ratio=0.0; Prodi=85; RelDemand=72.6; Capacity=80.0</x:v>
      </x:c>
    </x:row>
    <x:row r="4710">
      <x:c r="A4710" t="n">
        <x:v>4707</x:v>
      </x:c>
      <x:c r="B4710" t="str">
        <x:v>PTN Vokasi</x:v>
      </x:c>
      <x:c r="C4710" t="str">
        <x:v>POLITEKNIK NEGERI AMBON</x:v>
      </x:c>
      <x:c r="D4710" t="str">
        <x:v>TEKNIK INFORMATIKA</x:v>
      </x:c>
      <x:c r="E4710" t="str">
        <x:v>Sarjana Terapan</x:v>
      </x:c>
      <x:c r="F4710" s="18" t="n">
        <x:v>36</x:v>
      </x:c>
      <x:c r="G4710" s="18" t="n">
        <x:v>111</x:v>
      </x:c>
      <x:c r="H4710" s="19" t="n">
        <x:v>3.0833333333333335</x:v>
      </x:c>
      <x:c r="I4710" s="18" t="n">
        <x:f>ROUND(MIN(Model_Config_v3!$B$6,MAX(Q4710,R4710,S4710*Model_Config_v3!$B$4+T4710*Model_Config_v3!$B$5)),0)</x:f>
        <x:v>649</x:v>
      </x:c>
      <x:c r="J4710" s="18" t="n">
        <x:f>MIN(Model_Config_v3!$B$6,I4710+Model_Config_v3!$B$7)</x:f>
        <x:v>669</x:v>
      </x:c>
      <x:c r="K4710" s="20" t="n">
        <x:v>60.4</x:v>
      </x:c>
      <x:c r="L4710" t="str">
        <x:v>KETAT</x:v>
      </x:c>
      <x:c r="M4710" t="str">
        <x:v>SEDANG+</x:v>
      </x:c>
      <x:c r="N4710" t="str">
        <x:v>REGULER</x:v>
      </x:c>
      <x:c r="O4710" t="str">
        <x:v>SAINTEK</x:v>
      </x:c>
      <x:c r="P4710" t="str">
        <x:v>KOMPUTER/INFORMATIKA</x:v>
      </x:c>
      <x:c r="Q4710" s="18" t="n">
        <x:v>0</x:v>
      </x:c>
      <x:c r="R4710" s="18" t="n">
        <x:v>0</x:v>
      </x:c>
      <x:c r="S4710" s="18" t="n">
        <x:v>573.7922525821307</x:v>
      </x:c>
      <x:c r="T4710" s="18" t="n">
        <x:v>681</x:v>
      </x:c>
      <x:c r="U4710" s="18" t="n">
        <x:v>598.7922525821307</x:v>
      </x:c>
      <x:c r="V4710" s="20" t="n">
        <x:v>12</x:v>
      </x:c>
      <x:c r="W4710" s="20" t="n">
        <x:v>5</x:v>
      </x:c>
      <x:c r="X4710" s="20" t="n">
        <x:v>3</x:v>
      </x:c>
      <x:c r="Y4710" t="str">
        <x:v>Basis arsip 2025/2024</x:v>
      </x:c>
      <x:c r="Z4710" t="str">
        <x:v>https://snpmb.id/utbk-snbt/daya-tampung-snbt</x:v>
      </x:c>
      <x:c r="AA4710" t="str">
        <x:v>Tidak Ada</x:v>
      </x:c>
      <x:c r="AB4710" t="str">
        <x:v>Campus=55; Ratio=28.8; Prodi=85; RelDemand=100.0; Capacity=70.0</x:v>
      </x:c>
    </x:row>
    <x:row r="4711">
      <x:c r="A4711" t="n">
        <x:v>4708</x:v>
      </x:c>
      <x:c r="B4711" t="str">
        <x:v>PTN Vokasi</x:v>
      </x:c>
      <x:c r="C4711" t="str">
        <x:v>POLITEKNIK NEGERI AMBON</x:v>
      </x:c>
      <x:c r="D4711" t="str">
        <x:v>MANAJEMEN PROYEK KONSTRUKSI</x:v>
      </x:c>
      <x:c r="E4711" t="str">
        <x:v>Sarjana Terapan</x:v>
      </x:c>
      <x:c r="F4711" s="18" t="n">
        <x:v>36</x:v>
      </x:c>
      <x:c r="G4711" s="18" t="n">
        <x:v>19</x:v>
      </x:c>
      <x:c r="H4711" s="19" t="n">
        <x:v>0.5277777777777778</x:v>
      </x:c>
      <x:c r="I4711" s="18" t="n">
        <x:f>ROUND(MIN(Model_Config_v3!$B$6,MAX(Q4711,R4711,S4711*Model_Config_v3!$B$4+T4711*Model_Config_v3!$B$5)),0)</x:f>
        <x:v>606</x:v>
      </x:c>
      <x:c r="J4711" s="18" t="n">
        <x:f>MIN(Model_Config_v3!$B$6,I4711+Model_Config_v3!$B$7)</x:f>
        <x:v>626</x:v>
      </x:c>
      <x:c r="K4711" s="20" t="n">
        <x:v>41.5</x:v>
      </x:c>
      <x:c r="L4711" t="str">
        <x:v>RELATIF LONGGAR</x:v>
      </x:c>
      <x:c r="M4711" t="str">
        <x:v>SEDANG+</x:v>
      </x:c>
      <x:c r="N4711" t="str">
        <x:v>REGULER</x:v>
      </x:c>
      <x:c r="O4711" t="str">
        <x:v>SOSHUM</x:v>
      </x:c>
      <x:c r="P4711" t="str">
        <x:v>BISNIS/EKONOMI/AKUNTANSI</x:v>
      </x:c>
      <x:c r="Q4711" s="18" t="n">
        <x:v>0</x:v>
      </x:c>
      <x:c r="R4711" s="18" t="n">
        <x:v>0</x:v>
      </x:c>
      <x:c r="S4711" s="18" t="n">
        <x:v>520</x:v>
      </x:c>
      <x:c r="T4711" s="18" t="n">
        <x:v>643</x:v>
      </x:c>
      <x:c r="U4711" s="18" t="n">
        <x:v>535</x:v>
      </x:c>
      <x:c r="V4711" s="20" t="n">
        <x:v>4.4</x:v>
      </x:c>
      <x:c r="W4711" s="20" t="n">
        <x:v>14.3</x:v>
      </x:c>
      <x:c r="X4711" s="20" t="n">
        <x:v>3.3</x:v>
      </x:c>
      <x:c r="Y4711" t="str">
        <x:v>Basis arsip 2025/2024</x:v>
      </x:c>
      <x:c r="Z4711" t="str">
        <x:v>https://snpmb.id/utbk-snbt/daya-tampung-snbt</x:v>
      </x:c>
      <x:c r="AA4711" t="str">
        <x:v>Tidak Ada</x:v>
      </x:c>
      <x:c r="AB4711" t="str">
        <x:v>Campus=55; Ratio=0.0; Prodi=65; RelDemand=22.1; Capacity=70.0</x:v>
      </x:c>
    </x:row>
    <x:row r="4712">
      <x:c r="A4712" t="n">
        <x:v>4709</x:v>
      </x:c>
      <x:c r="B4712" t="str">
        <x:v>PTN Vokasi</x:v>
      </x:c>
      <x:c r="C4712" t="str">
        <x:v>POLITEKNIK NEGERI AMBON</x:v>
      </x:c>
      <x:c r="D4712" t="str">
        <x:v>TEKNIK KONSTRUKSI JALAN DAN JEMBATAN</x:v>
      </x:c>
      <x:c r="E4712" t="str">
        <x:v>Sarjana Terapan</x:v>
      </x:c>
      <x:c r="F4712" s="18" t="n">
        <x:v>36</x:v>
      </x:c>
      <x:c r="G4712" s="18" t="n">
        <x:v>19</x:v>
      </x:c>
      <x:c r="H4712" s="19" t="n">
        <x:v>0.5277777777777778</x:v>
      </x:c>
      <x:c r="I4712" s="18" t="n">
        <x:f>ROUND(MIN(Model_Config_v3!$B$6,MAX(Q4712,R4712,S4712*Model_Config_v3!$B$4+T4712*Model_Config_v3!$B$5)),0)</x:f>
        <x:v>605</x:v>
      </x:c>
      <x:c r="J4712" s="18" t="n">
        <x:f>MIN(Model_Config_v3!$B$6,I4712+Model_Config_v3!$B$7)</x:f>
        <x:v>625</x:v>
      </x:c>
      <x:c r="K4712" s="20" t="n">
        <x:v>40.5</x:v>
      </x:c>
      <x:c r="L4712" t="str">
        <x:v>RELATIF LONGGAR</x:v>
      </x:c>
      <x:c r="M4712" t="str">
        <x:v>SEDANG+</x:v>
      </x:c>
      <x:c r="N4712" t="str">
        <x:v>REGULER</x:v>
      </x:c>
      <x:c r="O4712" t="str">
        <x:v>SAINTEK</x:v>
      </x:c>
      <x:c r="P4712" t="str">
        <x:v>TEKNIK/ARSITEKTUR/STATISTIKA/AKTUARIA</x:v>
      </x:c>
      <x:c r="Q4712" s="18" t="n">
        <x:v>0</x:v>
      </x:c>
      <x:c r="R4712" s="18" t="n">
        <x:v>0</x:v>
      </x:c>
      <x:c r="S4712" s="18" t="n">
        <x:v>520</x:v>
      </x:c>
      <x:c r="T4712" s="18" t="n">
        <x:v>641</x:v>
      </x:c>
      <x:c r="U4712" s="18" t="n">
        <x:v>530</x:v>
      </x:c>
      <x:c r="V4712" s="20" t="n">
        <x:v>12</x:v>
      </x:c>
      <x:c r="W4712" s="20" t="n">
        <x:v>5</x:v>
      </x:c>
      <x:c r="X4712" s="20" t="n">
        <x:v>3</x:v>
      </x:c>
      <x:c r="Y4712" t="str">
        <x:v>Basis arsip 2025/2024</x:v>
      </x:c>
      <x:c r="Z4712" t="str">
        <x:v>https://snpmb.id/utbk-snbt/daya-tampung-snbt</x:v>
      </x:c>
      <x:c r="AA4712" t="str">
        <x:v>Tidak Ada</x:v>
      </x:c>
      <x:c r="AB4712" t="str">
        <x:v>Campus=55; Ratio=0.0; Prodi=60; RelDemand=22.1; Capacity=70.0</x:v>
      </x:c>
    </x:row>
    <x:row r="4713">
      <x:c r="A4713" t="n">
        <x:v>4710</x:v>
      </x:c>
      <x:c r="B4713" t="str">
        <x:v>PTN Vokasi</x:v>
      </x:c>
      <x:c r="C4713" t="str">
        <x:v>POLITEKNIK NEGERI AMBON</x:v>
      </x:c>
      <x:c r="D4713" t="str">
        <x:v>TEKNIK PRODUKSI MIGAS</x:v>
      </x:c>
      <x:c r="E4713" t="str">
        <x:v>Sarjana Terapan</x:v>
      </x:c>
      <x:c r="F4713" s="18" t="n">
        <x:v>24</x:v>
      </x:c>
      <x:c r="G4713" s="18" t="n">
        <x:v>92</x:v>
      </x:c>
      <x:c r="H4713" s="19" t="n">
        <x:v>3.8333333333333335</x:v>
      </x:c>
      <x:c r="I4713" s="18" t="n">
        <x:f>ROUND(MIN(Model_Config_v3!$B$6,MAX(Q4713,R4713,S4713*Model_Config_v3!$B$4+T4713*Model_Config_v3!$B$5)),0)</x:f>
        <x:v>648</x:v>
      </x:c>
      <x:c r="J4713" s="18" t="n">
        <x:f>MIN(Model_Config_v3!$B$6,I4713+Model_Config_v3!$B$7)</x:f>
        <x:v>668</x:v>
      </x:c>
      <x:c r="K4713" s="20" t="n">
        <x:v>57.8</x:v>
      </x:c>
      <x:c r="L4713" t="str">
        <x:v>KETAT</x:v>
      </x:c>
      <x:c r="M4713" t="str">
        <x:v>SEDANG+</x:v>
      </x:c>
      <x:c r="N4713" t="str">
        <x:v>REGULER</x:v>
      </x:c>
      <x:c r="O4713" t="str">
        <x:v>SAINTEK</x:v>
      </x:c>
      <x:c r="P4713" t="str">
        <x:v>TEKNIK/ARSITEKTUR/STATISTIKA/AKTUARIA</x:v>
      </x:c>
      <x:c r="Q4713" s="18" t="n">
        <x:v>0</x:v>
      </x:c>
      <x:c r="R4713" s="18" t="n">
        <x:v>0</x:v>
      </x:c>
      <x:c r="S4713" s="18" t="n">
        <x:v>584.1934244197344</x:v>
      </x:c>
      <x:c r="T4713" s="18" t="n">
        <x:v>676</x:v>
      </x:c>
      <x:c r="U4713" s="18" t="n">
        <x:v>594.1934244197344</x:v>
      </x:c>
      <x:c r="V4713" s="20" t="n">
        <x:v>12</x:v>
      </x:c>
      <x:c r="W4713" s="20" t="n">
        <x:v>5</x:v>
      </x:c>
      <x:c r="X4713" s="20" t="n">
        <x:v>3</x:v>
      </x:c>
      <x:c r="Y4713" t="str">
        <x:v>Basis arsip 2025/2024</x:v>
      </x:c>
      <x:c r="Z4713" t="str">
        <x:v>https://snpmb.id/utbk-snbt/daya-tampung-snbt</x:v>
      </x:c>
      <x:c r="AA4713" t="str">
        <x:v>Tidak Ada</x:v>
      </x:c>
      <x:c r="AB4713" t="str">
        <x:v>Campus=55; Ratio=34.3; Prodi=60; RelDemand=100.0; Capacity=80.0</x:v>
      </x:c>
    </x:row>
    <x:row r="4714">
      <x:c r="A4714" t="n">
        <x:v>4711</x:v>
      </x:c>
      <x:c r="B4714" t="str">
        <x:v>PTN Vokasi</x:v>
      </x:c>
      <x:c r="C4714" t="str">
        <x:v>POLITEKNIK NEGERI AMBON</x:v>
      </x:c>
      <x:c r="D4714" t="str">
        <x:v>TEKNOLOGI REKAYASA SISTEM KELISTRIKAN MINYAK DAN GAS</x:v>
      </x:c>
      <x:c r="E4714" t="str">
        <x:v>Sarjana Terapan</x:v>
      </x:c>
      <x:c r="F4714" s="18" t="n">
        <x:v>36</x:v>
      </x:c>
      <x:c r="G4714" s="18" t="n">
        <x:v>22</x:v>
      </x:c>
      <x:c r="H4714" s="19" t="n">
        <x:v>0.6111111111111112</x:v>
      </x:c>
      <x:c r="I4714" s="18" t="n">
        <x:f>ROUND(MIN(Model_Config_v3!$B$6,MAX(Q4714,R4714,S4714*Model_Config_v3!$B$4+T4714*Model_Config_v3!$B$5)),0)</x:f>
        <x:v>600</x:v>
      </x:c>
      <x:c r="J4714" s="18" t="n">
        <x:f>MIN(Model_Config_v3!$B$6,I4714+Model_Config_v3!$B$7)</x:f>
        <x:v>620</x:v>
      </x:c>
      <x:c r="K4714" s="20" t="n">
        <x:v>36.8</x:v>
      </x:c>
      <x:c r="L4714" t="str">
        <x:v>RELATIF LONGGAR</x:v>
      </x:c>
      <x:c r="M4714" t="str">
        <x:v>SEDANG</x:v>
      </x:c>
      <x:c r="N4714" t="str">
        <x:v>REGULER</x:v>
      </x:c>
      <x:c r="O4714" t="str">
        <x:v>SAINTEK</x:v>
      </x:c>
      <x:c r="P4714" t="str">
        <x:v>UMUM</x:v>
      </x:c>
      <x:c r="Q4714" s="18" t="n">
        <x:v>0</x:v>
      </x:c>
      <x:c r="R4714" s="18" t="n">
        <x:v>0</x:v>
      </x:c>
      <x:c r="S4714" s="18" t="n">
        <x:v>520</x:v>
      </x:c>
      <x:c r="T4714" s="18" t="n">
        <x:v>634</x:v>
      </x:c>
      <x:c r="U4714" s="18" t="n">
        <x:v>520</x:v>
      </x:c>
      <x:c r="V4714" s="20" t="n">
        <x:v>12</x:v>
      </x:c>
      <x:c r="W4714" s="20" t="n">
        <x:v>5</x:v>
      </x:c>
      <x:c r="X4714" s="20" t="n">
        <x:v>3</x:v>
      </x:c>
      <x:c r="Y4714" t="str">
        <x:v>Basis arsip 2025/2024</x:v>
      </x:c>
      <x:c r="Z4714" t="str">
        <x:v>https://snpmb.id/utbk-snbt/daya-tampung-snbt</x:v>
      </x:c>
      <x:c r="AA4714" t="str">
        <x:v>Tidak Ada</x:v>
      </x:c>
      <x:c r="AB4714" t="str">
        <x:v>Campus=55; Ratio=0.0; Prodi=40; RelDemand=25.6; Capacity=70.0</x:v>
      </x:c>
    </x:row>
    <x:row r="4715">
      <x:c r="A4715" t="n">
        <x:v>4712</x:v>
      </x:c>
      <x:c r="B4715" t="str">
        <x:v>PTN Vokasi</x:v>
      </x:c>
      <x:c r="C4715" t="str">
        <x:v>POLITEKNIK NEGERI AMBON</x:v>
      </x:c>
      <x:c r="D4715" t="str">
        <x:v>TEKNOLOGI REKAYASA SISTEM MEKANIKAL MINYAK DAN GAS</x:v>
      </x:c>
      <x:c r="E4715" t="str">
        <x:v>Sarjana Terapan</x:v>
      </x:c>
      <x:c r="F4715" s="18" t="n">
        <x:v>36</x:v>
      </x:c>
      <x:c r="G4715" s="18" t="n">
        <x:v>21</x:v>
      </x:c>
      <x:c r="H4715" s="19" t="n">
        <x:v>0.5833333333333334</x:v>
      </x:c>
      <x:c r="I4715" s="18" t="n">
        <x:f>ROUND(MIN(Model_Config_v3!$B$6,MAX(Q4715,R4715,S4715*Model_Config_v3!$B$4+T4715*Model_Config_v3!$B$5)),0)</x:f>
        <x:v>599</x:v>
      </x:c>
      <x:c r="J4715" s="18" t="n">
        <x:f>MIN(Model_Config_v3!$B$6,I4715+Model_Config_v3!$B$7)</x:f>
        <x:v>619</x:v>
      </x:c>
      <x:c r="K4715" s="20" t="n">
        <x:v>36.7</x:v>
      </x:c>
      <x:c r="L4715" t="str">
        <x:v>RELATIF LONGGAR</x:v>
      </x:c>
      <x:c r="M4715" t="str">
        <x:v>SEDANG</x:v>
      </x:c>
      <x:c r="N4715" t="str">
        <x:v>REGULER</x:v>
      </x:c>
      <x:c r="O4715" t="str">
        <x:v>SAINTEK</x:v>
      </x:c>
      <x:c r="P4715" t="str">
        <x:v>UMUM</x:v>
      </x:c>
      <x:c r="Q4715" s="18" t="n">
        <x:v>0</x:v>
      </x:c>
      <x:c r="R4715" s="18" t="n">
        <x:v>0</x:v>
      </x:c>
      <x:c r="S4715" s="18" t="n">
        <x:v>520</x:v>
      </x:c>
      <x:c r="T4715" s="18" t="n">
        <x:v>633</x:v>
      </x:c>
      <x:c r="U4715" s="18" t="n">
        <x:v>520</x:v>
      </x:c>
      <x:c r="V4715" s="20" t="n">
        <x:v>12</x:v>
      </x:c>
      <x:c r="W4715" s="20" t="n">
        <x:v>5</x:v>
      </x:c>
      <x:c r="X4715" s="20" t="n">
        <x:v>3</x:v>
      </x:c>
      <x:c r="Y4715" t="str">
        <x:v>Basis arsip 2025/2024</x:v>
      </x:c>
      <x:c r="Z4715" t="str">
        <x:v>https://snpmb.id/utbk-snbt/daya-tampung-snbt</x:v>
      </x:c>
      <x:c r="AA4715" t="str">
        <x:v>Tidak Ada</x:v>
      </x:c>
      <x:c r="AB4715" t="str">
        <x:v>Campus=55; Ratio=0.0; Prodi=40; RelDemand=24.5; Capacity=70.0</x:v>
      </x:c>
    </x:row>
    <x:row r="4716">
      <x:c r="A4716" t="n">
        <x:v>4713</x:v>
      </x:c>
      <x:c r="B4716" t="str">
        <x:v>PTN Vokasi</x:v>
      </x:c>
      <x:c r="C4716" t="str">
        <x:v>POLITEKNIK NEGERI AMBON</x:v>
      </x:c>
      <x:c r="D4716" t="str">
        <x:v>ADMINISTRASI BISNIS TERAPAN</x:v>
      </x:c>
      <x:c r="E4716" t="str">
        <x:v>Sarjana Terapan</x:v>
      </x:c>
      <x:c r="F4716" s="18" t="n">
        <x:v>48</x:v>
      </x:c>
      <x:c r="G4716" s="18" t="n">
        <x:v>22</x:v>
      </x:c>
      <x:c r="H4716" s="19" t="n">
        <x:v>0.4583333333333333</x:v>
      </x:c>
      <x:c r="I4716" s="18" t="n">
        <x:f>ROUND(MIN(Model_Config_v3!$B$6,MAX(Q4716,R4716,S4716*Model_Config_v3!$B$4+T4716*Model_Config_v3!$B$5)),0)</x:f>
        <x:v>604</x:v>
      </x:c>
      <x:c r="J4716" s="18" t="n">
        <x:f>MIN(Model_Config_v3!$B$6,I4716+Model_Config_v3!$B$7)</x:f>
        <x:v>624</x:v>
      </x:c>
      <x:c r="K4716" s="20" t="n">
        <x:v>40.2</x:v>
      </x:c>
      <x:c r="L4716" t="str">
        <x:v>RELATIF LONGGAR</x:v>
      </x:c>
      <x:c r="M4716" t="str">
        <x:v>SEDANG+</x:v>
      </x:c>
      <x:c r="N4716" t="str">
        <x:v>REGULER</x:v>
      </x:c>
      <x:c r="O4716" t="str">
        <x:v>SOSHUM</x:v>
      </x:c>
      <x:c r="P4716" t="str">
        <x:v>BISNIS/EKONOMI/AKUNTANSI</x:v>
      </x:c>
      <x:c r="Q4716" s="18" t="n">
        <x:v>0</x:v>
      </x:c>
      <x:c r="R4716" s="18" t="n">
        <x:v>0</x:v>
      </x:c>
      <x:c r="S4716" s="18" t="n">
        <x:v>520</x:v>
      </x:c>
      <x:c r="T4716" s="18" t="n">
        <x:v>640</x:v>
      </x:c>
      <x:c r="U4716" s="18" t="n">
        <x:v>535</x:v>
      </x:c>
      <x:c r="V4716" s="20" t="n">
        <x:v>4.4</x:v>
      </x:c>
      <x:c r="W4716" s="20" t="n">
        <x:v>14.3</x:v>
      </x:c>
      <x:c r="X4716" s="20" t="n">
        <x:v>3.3</x:v>
      </x:c>
      <x:c r="Y4716" t="str">
        <x:v>Basis arsip 2025/2024</x:v>
      </x:c>
      <x:c r="Z4716" t="str">
        <x:v>https://snpmb.id/utbk-snbt/daya-tampung-snbt</x:v>
      </x:c>
      <x:c r="AA4716" t="str">
        <x:v>Tidak Ada</x:v>
      </x:c>
      <x:c r="AB4716" t="str">
        <x:v>Campus=55; Ratio=0.0; Prodi=65; RelDemand=19.2; Capacity=60.0</x:v>
      </x:c>
    </x:row>
    <x:row r="4717">
      <x:c r="A4717" t="n">
        <x:v>4714</x:v>
      </x:c>
      <x:c r="B4717" t="str">
        <x:v>PTN Vokasi</x:v>
      </x:c>
      <x:c r="C4717" t="str">
        <x:v>POLITEKNIK NEGERI AMBON</x:v>
      </x:c>
      <x:c r="D4717" t="str">
        <x:v>AKUNTANSI SEKTOR PUBLIK</x:v>
      </x:c>
      <x:c r="E4717" t="str">
        <x:v>Sarjana Terapan</x:v>
      </x:c>
      <x:c r="F4717" s="18" t="n">
        <x:v>48</x:v>
      </x:c>
      <x:c r="G4717" s="18" t="n">
        <x:v>16</x:v>
      </x:c>
      <x:c r="H4717" s="19" t="n">
        <x:v>0.3333333333333333</x:v>
      </x:c>
      <x:c r="I4717" s="18" t="n">
        <x:f>ROUND(MIN(Model_Config_v3!$B$6,MAX(Q4717,R4717,S4717*Model_Config_v3!$B$4+T4717*Model_Config_v3!$B$5)),0)</x:f>
        <x:v>603</x:v>
      </x:c>
      <x:c r="J4717" s="18" t="n">
        <x:f>MIN(Model_Config_v3!$B$6,I4717+Model_Config_v3!$B$7)</x:f>
        <x:v>623</x:v>
      </x:c>
      <x:c r="K4717" s="20" t="n">
        <x:v>39.6</x:v>
      </x:c>
      <x:c r="L4717" t="str">
        <x:v>RELATIF LONGGAR</x:v>
      </x:c>
      <x:c r="M4717" t="str">
        <x:v>SEDANG+</x:v>
      </x:c>
      <x:c r="N4717" t="str">
        <x:v>REGULER</x:v>
      </x:c>
      <x:c r="O4717" t="str">
        <x:v>SOSHUM</x:v>
      </x:c>
      <x:c r="P4717" t="str">
        <x:v>BISNIS/EKONOMI/AKUNTANSI</x:v>
      </x:c>
      <x:c r="Q4717" s="18" t="n">
        <x:v>0</x:v>
      </x:c>
      <x:c r="R4717" s="18" t="n">
        <x:v>0</x:v>
      </x:c>
      <x:c r="S4717" s="18" t="n">
        <x:v>520</x:v>
      </x:c>
      <x:c r="T4717" s="18" t="n">
        <x:v>639</x:v>
      </x:c>
      <x:c r="U4717" s="18" t="n">
        <x:v>520</x:v>
      </x:c>
      <x:c r="V4717" s="20" t="n">
        <x:v>4.4</x:v>
      </x:c>
      <x:c r="W4717" s="20" t="n">
        <x:v>14.3</x:v>
      </x:c>
      <x:c r="X4717" s="20" t="n">
        <x:v>3.3</x:v>
      </x:c>
      <x:c r="Y4717" t="str">
        <x:v>Basis arsip 2025/2024</x:v>
      </x:c>
      <x:c r="Z4717" t="str">
        <x:v>https://snpmb.id/utbk-snbt/daya-tampung-snbt</x:v>
      </x:c>
      <x:c r="AA4717" t="str">
        <x:v>Tidak Ada</x:v>
      </x:c>
      <x:c r="AB4717" t="str">
        <x:v>Campus=55; Ratio=0.0; Prodi=65; RelDemand=14.0; Capacity=60.0</x:v>
      </x:c>
    </x:row>
    <x:row r="4718">
      <x:c r="A4718" t="n">
        <x:v>4715</x:v>
      </x:c>
      <x:c r="B4718" t="str">
        <x:v>PTN Vokasi</x:v>
      </x:c>
      <x:c r="C4718" t="str">
        <x:v>POLITEKNIK NEGERI AMBON</x:v>
      </x:c>
      <x:c r="D4718" t="str">
        <x:v>AKUNTANSI PERPAJAKAN</x:v>
      </x:c>
      <x:c r="E4718" t="str">
        <x:v>Sarjana Terapan</x:v>
      </x:c>
      <x:c r="F4718" s="18" t="n">
        <x:v>24</x:v>
      </x:c>
      <x:c r="G4718" s="18"/>
      <x:c r="H4718" s="19" t="n">
        <x:v>0</x:v>
      </x:c>
      <x:c r="I4718" s="18" t="n">
        <x:f>ROUND(MIN(Model_Config_v3!$B$6,MAX(Q4718,R4718,S4718*Model_Config_v3!$B$4+T4718*Model_Config_v3!$B$5)),0)</x:f>
        <x:v>604</x:v>
      </x:c>
      <x:c r="J4718" s="18" t="n">
        <x:f>MIN(Model_Config_v3!$B$6,I4718+Model_Config_v3!$B$7)</x:f>
        <x:v>624</x:v>
      </x:c>
      <x:c r="K4718" s="20" t="n">
        <x:v>40.2</x:v>
      </x:c>
      <x:c r="L4718" t="str">
        <x:v>RELATIF LONGGAR</x:v>
      </x:c>
      <x:c r="M4718" t="str">
        <x:v>RENDAH</x:v>
      </x:c>
      <x:c r="N4718" t="str">
        <x:v>REGULER</x:v>
      </x:c>
      <x:c r="O4718" t="str">
        <x:v>SOSHUM</x:v>
      </x:c>
      <x:c r="P4718" t="str">
        <x:v>BISNIS/EKONOMI/AKUNTANSI</x:v>
      </x:c>
      <x:c r="Q4718" s="18" t="n">
        <x:v>0</x:v>
      </x:c>
      <x:c r="R4718" s="18" t="n">
        <x:v>0</x:v>
      </x:c>
      <x:c r="S4718" s="18" t="n">
        <x:v>520</x:v>
      </x:c>
      <x:c r="T4718" s="18" t="n">
        <x:v>640</x:v>
      </x:c>
      <x:c r="U4718" s="18" t="n">
        <x:v>520</x:v>
      </x:c>
      <x:c r="V4718" s="20" t="n">
        <x:v>4.4</x:v>
      </x:c>
      <x:c r="W4718" s="20" t="n">
        <x:v>14.3</x:v>
      </x:c>
      <x:c r="X4718" s="20" t="n">
        <x:v>3.3</x:v>
      </x:c>
      <x:c r="Y4718" t="str">
        <x:v>Basis arsip 2025/2024</x:v>
      </x:c>
      <x:c r="Z4718" t="str">
        <x:v>https://snpmb.id/utbk-snbt/daya-tampung-snbt</x:v>
      </x:c>
      <x:c r="AA4718" t="str">
        <x:v>Tidak Ada</x:v>
      </x:c>
      <x:c r="AB4718" t="str">
        <x:v>Campus=55; Ratio=0.0; Prodi=65; RelDemand=0.0; Capacity=80.0</x:v>
      </x:c>
    </x:row>
    <x:row r="4719">
      <x:c r="A4719" t="n">
        <x:v>4716</x:v>
      </x:c>
      <x:c r="B4719" t="str">
        <x:v>PTN Vokasi</x:v>
      </x:c>
      <x:c r="C4719" t="str">
        <x:v>POLITEKNIK NEGERI AMBON</x:v>
      </x:c>
      <x:c r="D4719" t="str">
        <x:v>AKUNTANSI</x:v>
      </x:c>
      <x:c r="E4719" t="str">
        <x:v>Diploma Tiga</x:v>
      </x:c>
      <x:c r="F4719" s="18" t="n">
        <x:v>60</x:v>
      </x:c>
      <x:c r="G4719" s="18" t="n">
        <x:v>69</x:v>
      </x:c>
      <x:c r="H4719" s="19" t="n">
        <x:v>1.15</x:v>
      </x:c>
      <x:c r="I4719" s="18" t="n">
        <x:f>ROUND(MIN(Model_Config_v3!$B$6,MAX(Q4719,R4719,S4719*Model_Config_v3!$B$4+T4719*Model_Config_v3!$B$5)),0)</x:f>
        <x:v>610</x:v>
      </x:c>
      <x:c r="J4719" s="18" t="n">
        <x:f>MIN(Model_Config_v3!$B$6,I4719+Model_Config_v3!$B$7)</x:f>
        <x:v>630</x:v>
      </x:c>
      <x:c r="K4719" s="20" t="n">
        <x:v>43</x:v>
      </x:c>
      <x:c r="L4719" t="str">
        <x:v>RELATIF LONGGAR</x:v>
      </x:c>
      <x:c r="M4719" t="str">
        <x:v>SEDANG+</x:v>
      </x:c>
      <x:c r="N4719" t="str">
        <x:v>REGULER</x:v>
      </x:c>
      <x:c r="O4719" t="str">
        <x:v>SOSHUM</x:v>
      </x:c>
      <x:c r="P4719" t="str">
        <x:v>BISNIS/EKONOMI/AKUNTANSI</x:v>
      </x:c>
      <x:c r="Q4719" s="18" t="n">
        <x:v>0</x:v>
      </x:c>
      <x:c r="R4719" s="18" t="n">
        <x:v>0</x:v>
      </x:c>
      <x:c r="S4719" s="18" t="n">
        <x:v>526.6767624388973</x:v>
      </x:c>
      <x:c r="T4719" s="18" t="n">
        <x:v>646</x:v>
      </x:c>
      <x:c r="U4719" s="18" t="n">
        <x:v>526.6767624388973</x:v>
      </x:c>
      <x:c r="V4719" s="20" t="n">
        <x:v>4.4</x:v>
      </x:c>
      <x:c r="W4719" s="20" t="n">
        <x:v>14.3</x:v>
      </x:c>
      <x:c r="X4719" s="20" t="n">
        <x:v>3.3</x:v>
      </x:c>
      <x:c r="Y4719" t="str">
        <x:v>Basis arsip 2025/2024</x:v>
      </x:c>
      <x:c r="Z4719" t="str">
        <x:v>https://snpmb.id/utbk-snbt/daya-tampung-snbt</x:v>
      </x:c>
      <x:c r="AA4719" t="str">
        <x:v>Tidak Ada</x:v>
      </x:c>
      <x:c r="AB4719" t="str">
        <x:v>Campus=55; Ratio=3.6; Prodi=65; RelDemand=48.2; Capacity=50.0</x:v>
      </x:c>
    </x:row>
    <x:row r="4720">
      <x:c r="A4720" t="n">
        <x:v>4717</x:v>
      </x:c>
      <x:c r="B4720" t="str">
        <x:v>PTN Vokasi</x:v>
      </x:c>
      <x:c r="C4720" t="str">
        <x:v>POLITEKNIK NEGERI AMBON</x:v>
      </x:c>
      <x:c r="D4720" t="str">
        <x:v>ADMINISTRASI BISNIS</x:v>
      </x:c>
      <x:c r="E4720" t="str">
        <x:v>Diploma Tiga</x:v>
      </x:c>
      <x:c r="F4720" s="18" t="n">
        <x:v>36</x:v>
      </x:c>
      <x:c r="G4720" s="18" t="n">
        <x:v>69</x:v>
      </x:c>
      <x:c r="H4720" s="19" t="n">
        <x:v>1.9166666666666667</x:v>
      </x:c>
      <x:c r="I4720" s="18" t="n">
        <x:f>ROUND(MIN(Model_Config_v3!$B$6,MAX(Q4720,R4720,S4720*Model_Config_v3!$B$4+T4720*Model_Config_v3!$B$5)),0)</x:f>
        <x:v>629</x:v>
      </x:c>
      <x:c r="J4720" s="18" t="n">
        <x:f>MIN(Model_Config_v3!$B$6,I4720+Model_Config_v3!$B$7)</x:f>
        <x:v>649</x:v>
      </x:c>
      <x:c r="K4720" s="20" t="n">
        <x:v>51.4</x:v>
      </x:c>
      <x:c r="L4720" t="str">
        <x:v>MENENGAH</x:v>
      </x:c>
      <x:c r="M4720" t="str">
        <x:v>SEDANG+</x:v>
      </x:c>
      <x:c r="N4720" t="str">
        <x:v>REGULER</x:v>
      </x:c>
      <x:c r="O4720" t="str">
        <x:v>SOSHUM</x:v>
      </x:c>
      <x:c r="P4720" t="str">
        <x:v>BISNIS/EKONOMI/AKUNTANSI</x:v>
      </x:c>
      <x:c r="Q4720" s="18" t="n">
        <x:v>0</x:v>
      </x:c>
      <x:c r="R4720" s="18" t="n">
        <x:v>0</x:v>
      </x:c>
      <x:c r="S4720" s="18" t="n">
        <x:v>551.0801248966965</x:v>
      </x:c>
      <x:c r="T4720" s="18" t="n">
        <x:v>663</x:v>
      </x:c>
      <x:c r="U4720" s="18" t="n">
        <x:v>566.0801248966965</x:v>
      </x:c>
      <x:c r="V4720" s="20" t="n">
        <x:v>4.4</x:v>
      </x:c>
      <x:c r="W4720" s="20" t="n">
        <x:v>14.3</x:v>
      </x:c>
      <x:c r="X4720" s="20" t="n">
        <x:v>3.3</x:v>
      </x:c>
      <x:c r="Y4720" t="str">
        <x:v>Basis arsip 2025/2024</x:v>
      </x:c>
      <x:c r="Z4720" t="str">
        <x:v>https://snpmb.id/utbk-snbt/daya-tampung-snbt</x:v>
      </x:c>
      <x:c r="AA4720" t="str">
        <x:v>Tidak Ada</x:v>
      </x:c>
      <x:c r="AB4720" t="str">
        <x:v>Campus=55; Ratio=16.6; Prodi=65; RelDemand=80.4; Capacity=70.0</x:v>
      </x:c>
    </x:row>
    <x:row r="4721">
      <x:c r="A4721" t="n">
        <x:v>4718</x:v>
      </x:c>
      <x:c r="B4721" t="str">
        <x:v>PTN Vokasi</x:v>
      </x:c>
      <x:c r="C4721" t="str">
        <x:v>POLITEKNIK NEGERI AMBON</x:v>
      </x:c>
      <x:c r="D4721" t="str">
        <x:v>TEKNIK SIPIL</x:v>
      </x:c>
      <x:c r="E4721" t="str">
        <x:v>Diploma Tiga</x:v>
      </x:c>
      <x:c r="F4721" s="18" t="n">
        <x:v>36</x:v>
      </x:c>
      <x:c r="G4721" s="18" t="n">
        <x:v>65</x:v>
      </x:c>
      <x:c r="H4721" s="19" t="n">
        <x:v>1.8055555555555556</x:v>
      </x:c>
      <x:c r="I4721" s="18" t="n">
        <x:f>ROUND(MIN(Model_Config_v3!$B$6,MAX(Q4721,R4721,S4721*Model_Config_v3!$B$4+T4721*Model_Config_v3!$B$5)),0)</x:f>
        <x:v>626</x:v>
      </x:c>
      <x:c r="J4721" s="18" t="n">
        <x:f>MIN(Model_Config_v3!$B$6,I4721+Model_Config_v3!$B$7)</x:f>
        <x:v>646</x:v>
      </x:c>
      <x:c r="K4721" s="20" t="n">
        <x:v>49.6</x:v>
      </x:c>
      <x:c r="L4721" t="str">
        <x:v>MENENGAH</x:v>
      </x:c>
      <x:c r="M4721" t="str">
        <x:v>SEDANG+</x:v>
      </x:c>
      <x:c r="N4721" t="str">
        <x:v>REGULER</x:v>
      </x:c>
      <x:c r="O4721" t="str">
        <x:v>SAINTEK</x:v>
      </x:c>
      <x:c r="P4721" t="str">
        <x:v>TEKNIK/ARSITEKTUR/STATISTIKA/AKTUARIA</x:v>
      </x:c>
      <x:c r="Q4721" s="18" t="n">
        <x:v>0</x:v>
      </x:c>
      <x:c r="R4721" s="18" t="n">
        <x:v>0</x:v>
      </x:c>
      <x:c r="S4721" s="18" t="n">
        <x:v>548.2271941463125</x:v>
      </x:c>
      <x:c r="T4721" s="18" t="n">
        <x:v>659</x:v>
      </x:c>
      <x:c r="U4721" s="18" t="n">
        <x:v>558.2271941463125</x:v>
      </x:c>
      <x:c r="V4721" s="20" t="n">
        <x:v>12</x:v>
      </x:c>
      <x:c r="W4721" s="20" t="n">
        <x:v>5</x:v>
      </x:c>
      <x:c r="X4721" s="20" t="n">
        <x:v>3</x:v>
      </x:c>
      <x:c r="Y4721" t="str">
        <x:v>Basis arsip 2025/2024</x:v>
      </x:c>
      <x:c r="Z4721" t="str">
        <x:v>https://snpmb.id/utbk-snbt/daya-tampung-snbt</x:v>
      </x:c>
      <x:c r="AA4721" t="str">
        <x:v>Tidak Ada</x:v>
      </x:c>
      <x:c r="AB4721" t="str">
        <x:v>Campus=55; Ratio=15.1; Prodi=60; RelDemand=75.7; Capacity=70.0</x:v>
      </x:c>
    </x:row>
    <x:row r="4722">
      <x:c r="A4722" t="n">
        <x:v>4719</x:v>
      </x:c>
      <x:c r="B4722" t="str">
        <x:v>PTN Vokasi</x:v>
      </x:c>
      <x:c r="C4722" t="str">
        <x:v>POLITEKNIK NEGERI AMBON</x:v>
      </x:c>
      <x:c r="D4722" t="str">
        <x:v>TEKNIK MESIN</x:v>
      </x:c>
      <x:c r="E4722" t="str">
        <x:v>Diploma Tiga</x:v>
      </x:c>
      <x:c r="F4722" s="18" t="n">
        <x:v>36</x:v>
      </x:c>
      <x:c r="G4722" s="18" t="n">
        <x:v>22</x:v>
      </x:c>
      <x:c r="H4722" s="19" t="n">
        <x:v>0.6111111111111112</x:v>
      </x:c>
      <x:c r="I4722" s="18" t="n">
        <x:f>ROUND(MIN(Model_Config_v3!$B$6,MAX(Q4722,R4722,S4722*Model_Config_v3!$B$4+T4722*Model_Config_v3!$B$5)),0)</x:f>
        <x:v>605</x:v>
      </x:c>
      <x:c r="J4722" s="18" t="n">
        <x:f>MIN(Model_Config_v3!$B$6,I4722+Model_Config_v3!$B$7)</x:f>
        <x:v>625</x:v>
      </x:c>
      <x:c r="K4722" s="20" t="n">
        <x:v>40.8</x:v>
      </x:c>
      <x:c r="L4722" t="str">
        <x:v>RELATIF LONGGAR</x:v>
      </x:c>
      <x:c r="M4722" t="str">
        <x:v>SEDANG+</x:v>
      </x:c>
      <x:c r="N4722" t="str">
        <x:v>REGULER</x:v>
      </x:c>
      <x:c r="O4722" t="str">
        <x:v>SAINTEK</x:v>
      </x:c>
      <x:c r="P4722" t="str">
        <x:v>TEKNIK/ARSITEKTUR/STATISTIKA/AKTUARIA</x:v>
      </x:c>
      <x:c r="Q4722" s="18" t="n">
        <x:v>0</x:v>
      </x:c>
      <x:c r="R4722" s="18" t="n">
        <x:v>0</x:v>
      </x:c>
      <x:c r="S4722" s="18" t="n">
        <x:v>520</x:v>
      </x:c>
      <x:c r="T4722" s="18" t="n">
        <x:v>642</x:v>
      </x:c>
      <x:c r="U4722" s="18" t="n">
        <x:v>530</x:v>
      </x:c>
      <x:c r="V4722" s="20" t="n">
        <x:v>12</x:v>
      </x:c>
      <x:c r="W4722" s="20" t="n">
        <x:v>5</x:v>
      </x:c>
      <x:c r="X4722" s="20" t="n">
        <x:v>3</x:v>
      </x:c>
      <x:c r="Y4722" t="str">
        <x:v>Basis arsip 2025/2024</x:v>
      </x:c>
      <x:c r="Z4722" t="str">
        <x:v>https://snpmb.id/utbk-snbt/daya-tampung-snbt</x:v>
      </x:c>
      <x:c r="AA4722" t="str">
        <x:v>Tidak Ada</x:v>
      </x:c>
      <x:c r="AB4722" t="str">
        <x:v>Campus=55; Ratio=0.0; Prodi=60; RelDemand=25.6; Capacity=70.0</x:v>
      </x:c>
    </x:row>
    <x:row r="4723">
      <x:c r="A4723" t="n">
        <x:v>4720</x:v>
      </x:c>
      <x:c r="B4723" t="str">
        <x:v>PTN Vokasi</x:v>
      </x:c>
      <x:c r="C4723" t="str">
        <x:v>POLITEKNIK NEGERI AMBON</x:v>
      </x:c>
      <x:c r="D4723" t="str">
        <x:v>TEKNIK LISTRIK</x:v>
      </x:c>
      <x:c r="E4723" t="str">
        <x:v>Diploma Tiga</x:v>
      </x:c>
      <x:c r="F4723" s="18" t="n">
        <x:v>36</x:v>
      </x:c>
      <x:c r="G4723" s="18" t="n">
        <x:v>45</x:v>
      </x:c>
      <x:c r="H4723" s="19" t="n">
        <x:v>1.25</x:v>
      </x:c>
      <x:c r="I4723" s="18" t="n">
        <x:f>ROUND(MIN(Model_Config_v3!$B$6,MAX(Q4723,R4723,S4723*Model_Config_v3!$B$4+T4723*Model_Config_v3!$B$5)),0)</x:f>
        <x:v>614</x:v>
      </x:c>
      <x:c r="J4723" s="18" t="n">
        <x:f>MIN(Model_Config_v3!$B$6,I4723+Model_Config_v3!$B$7)</x:f>
        <x:v>634</x:v>
      </x:c>
      <x:c r="K4723" s="20" t="n">
        <x:v>44.9</x:v>
      </x:c>
      <x:c r="L4723" t="str">
        <x:v>RELATIF LONGGAR</x:v>
      </x:c>
      <x:c r="M4723" t="str">
        <x:v>SEDANG+</x:v>
      </x:c>
      <x:c r="N4723" t="str">
        <x:v>REGULER</x:v>
      </x:c>
      <x:c r="O4723" t="str">
        <x:v>SAINTEK</x:v>
      </x:c>
      <x:c r="P4723" t="str">
        <x:v>TEKNIK/ARSITEKTUR/STATISTIKA/AKTUARIA</x:v>
      </x:c>
      <x:c r="Q4723" s="18" t="n">
        <x:v>0</x:v>
      </x:c>
      <x:c r="R4723" s="18" t="n">
        <x:v>0</x:v>
      </x:c>
      <x:c r="S4723" s="18" t="n">
        <x:v>530.6601014308862</x:v>
      </x:c>
      <x:c r="T4723" s="18" t="n">
        <x:v>650</x:v>
      </x:c>
      <x:c r="U4723" s="18" t="n">
        <x:v>540.6601014308862</x:v>
      </x:c>
      <x:c r="V4723" s="20" t="n">
        <x:v>12</x:v>
      </x:c>
      <x:c r="W4723" s="20" t="n">
        <x:v>5</x:v>
      </x:c>
      <x:c r="X4723" s="20" t="n">
        <x:v>3</x:v>
      </x:c>
      <x:c r="Y4723" t="str">
        <x:v>Basis arsip 2025/2024</x:v>
      </x:c>
      <x:c r="Z4723" t="str">
        <x:v>https://snpmb.id/utbk-snbt/daya-tampung-snbt</x:v>
      </x:c>
      <x:c r="AA4723" t="str">
        <x:v>Tidak Ada</x:v>
      </x:c>
      <x:c r="AB4723" t="str">
        <x:v>Campus=55; Ratio=5.7; Prodi=60; RelDemand=52.4; Capacity=70.0</x:v>
      </x:c>
    </x:row>
    <x:row r="4724">
      <x:c r="A4724" t="n">
        <x:v>4721</x:v>
      </x:c>
      <x:c r="B4724" t="str">
        <x:v>PTN Vokasi</x:v>
      </x:c>
      <x:c r="C4724" t="str">
        <x:v>POLITEKNIK PERIKANAN NEGERI TUAL</x:v>
      </x:c>
      <x:c r="D4724" t="str">
        <x:v>TEKNOLOGI KELAUTAN</x:v>
      </x:c>
      <x:c r="E4724" t="str">
        <x:v>Sarjana Terapan</x:v>
      </x:c>
      <x:c r="F4724" s="18" t="n">
        <x:v>24</x:v>
      </x:c>
      <x:c r="G4724" s="18" t="n">
        <x:v>2</x:v>
      </x:c>
      <x:c r="H4724" s="19" t="n">
        <x:v>0.08333333333333333</x:v>
      </x:c>
      <x:c r="I4724" s="18" t="n">
        <x:f>ROUND(MIN(Model_Config_v3!$B$6,MAX(Q4724,R4724,S4724*Model_Config_v3!$B$4+T4724*Model_Config_v3!$B$5)),0)</x:f>
        <x:v>604</x:v>
      </x:c>
      <x:c r="J4724" s="18" t="n">
        <x:f>MIN(Model_Config_v3!$B$6,I4724+Model_Config_v3!$B$7)</x:f>
        <x:v>624</x:v>
      </x:c>
      <x:c r="K4724" s="20" t="n">
        <x:v>40</x:v>
      </x:c>
      <x:c r="L4724" t="str">
        <x:v>RELATIF LONGGAR</x:v>
      </x:c>
      <x:c r="M4724" t="str">
        <x:v>SEDANG</x:v>
      </x:c>
      <x:c r="N4724" t="str">
        <x:v>REGULER</x:v>
      </x:c>
      <x:c r="O4724" t="str">
        <x:v>SAINTEK</x:v>
      </x:c>
      <x:c r="P4724" t="str">
        <x:v>UMUM</x:v>
      </x:c>
      <x:c r="Q4724" s="18" t="n">
        <x:v>0</x:v>
      </x:c>
      <x:c r="R4724" s="18" t="n">
        <x:v>0</x:v>
      </x:c>
      <x:c r="S4724" s="18" t="n">
        <x:v>520</x:v>
      </x:c>
      <x:c r="T4724" s="18" t="n">
        <x:v>640</x:v>
      </x:c>
      <x:c r="U4724" s="18" t="n">
        <x:v>520</x:v>
      </x:c>
      <x:c r="V4724" s="20" t="n">
        <x:v>12</x:v>
      </x:c>
      <x:c r="W4724" s="20" t="n">
        <x:v>5</x:v>
      </x:c>
      <x:c r="X4724" s="20" t="n">
        <x:v>3</x:v>
      </x:c>
      <x:c r="Y4724" t="str">
        <x:v>Basis arsip 2025/2024</x:v>
      </x:c>
      <x:c r="Z4724" t="str">
        <x:v>https://snpmb.id/utbk-snbt/daya-tampung-snbt</x:v>
      </x:c>
      <x:c r="AA4724" t="str">
        <x:v>Tidak Ada</x:v>
      </x:c>
      <x:c r="AB4724" t="str">
        <x:v>Campus=55; Ratio=0.0; Prodi=40; RelDemand=47.8; Capacity=80.0</x:v>
      </x:c>
    </x:row>
    <x:row r="4725">
      <x:c r="A4725" t="n">
        <x:v>4722</x:v>
      </x:c>
      <x:c r="B4725" t="str">
        <x:v>PTN Vokasi</x:v>
      </x:c>
      <x:c r="C4725" t="str">
        <x:v>POLITEKNIK PERIKANAN NEGERI TUAL</x:v>
      </x:c>
      <x:c r="D4725" t="str">
        <x:v>BIOTEKNOLOGI PERIKANAN</x:v>
      </x:c>
      <x:c r="E4725" t="str">
        <x:v>Sarjana Terapan</x:v>
      </x:c>
      <x:c r="F4725" s="18" t="n">
        <x:v>16</x:v>
      </x:c>
      <x:c r="G4725" s="18" t="n">
        <x:v>1</x:v>
      </x:c>
      <x:c r="H4725" s="19" t="n">
        <x:v>0.0625</x:v>
      </x:c>
      <x:c r="I4725" s="18" t="n">
        <x:f>ROUND(MIN(Model_Config_v3!$B$6,MAX(Q4725,R4725,S4725*Model_Config_v3!$B$4+T4725*Model_Config_v3!$B$5)),0)</x:f>
        <x:v>603</x:v>
      </x:c>
      <x:c r="J4725" s="18" t="n">
        <x:f>MIN(Model_Config_v3!$B$6,I4725+Model_Config_v3!$B$7)</x:f>
        <x:v>623</x:v>
      </x:c>
      <x:c r="K4725" s="20" t="n">
        <x:v>39.5</x:v>
      </x:c>
      <x:c r="L4725" t="str">
        <x:v>RELATIF LONGGAR</x:v>
      </x:c>
      <x:c r="M4725" t="str">
        <x:v>SEDANG</x:v>
      </x:c>
      <x:c r="N4725" t="str">
        <x:v>REGULER</x:v>
      </x:c>
      <x:c r="O4725" t="str">
        <x:v>SAINTEK</x:v>
      </x:c>
      <x:c r="P4725" t="str">
        <x:v>UMUM</x:v>
      </x:c>
      <x:c r="Q4725" s="18" t="n">
        <x:v>0</x:v>
      </x:c>
      <x:c r="R4725" s="18" t="n">
        <x:v>0</x:v>
      </x:c>
      <x:c r="S4725" s="18" t="n">
        <x:v>520</x:v>
      </x:c>
      <x:c r="T4725" s="18" t="n">
        <x:v>639</x:v>
      </x:c>
      <x:c r="U4725" s="18" t="n">
        <x:v>520</x:v>
      </x:c>
      <x:c r="V4725" s="20" t="n">
        <x:v>12</x:v>
      </x:c>
      <x:c r="W4725" s="20" t="n">
        <x:v>5</x:v>
      </x:c>
      <x:c r="X4725" s="20" t="n">
        <x:v>3</x:v>
      </x:c>
      <x:c r="Y4725" t="str">
        <x:v>Basis arsip 2025/2024</x:v>
      </x:c>
      <x:c r="Z4725" t="str">
        <x:v>https://snpmb.id/utbk-snbt/daya-tampung-snbt</x:v>
      </x:c>
      <x:c r="AA4725" t="str">
        <x:v>Tidak Ada</x:v>
      </x:c>
      <x:c r="AB4725" t="str">
        <x:v>Campus=55; Ratio=0.0; Prodi=40; RelDemand=35.9; Capacity=86.7</x:v>
      </x:c>
    </x:row>
    <x:row r="4726">
      <x:c r="A4726" t="n">
        <x:v>4723</x:v>
      </x:c>
      <x:c r="B4726" t="str">
        <x:v>PTN Vokasi</x:v>
      </x:c>
      <x:c r="C4726" t="str">
        <x:v>POLITEKNIK PERIKANAN NEGERI TUAL</x:v>
      </x:c>
      <x:c r="D4726" t="str">
        <x:v>MANAJEMEN REKAYASA PERIKANAN TANGKAP</x:v>
      </x:c>
      <x:c r="E4726" t="str">
        <x:v>Sarjana Terapan</x:v>
      </x:c>
      <x:c r="F4726" s="18" t="n">
        <x:v>20</x:v>
      </x:c>
      <x:c r="G4726" s="18"/>
      <x:c r="H4726" s="19" t="n">
        <x:v>0</x:v>
      </x:c>
      <x:c r="I4726" s="18" t="n">
        <x:f>ROUND(MIN(Model_Config_v3!$B$6,MAX(Q4726,R4726,S4726*Model_Config_v3!$B$4+T4726*Model_Config_v3!$B$5)),0)</x:f>
        <x:v>605</x:v>
      </x:c>
      <x:c r="J4726" s="18" t="n">
        <x:f>MIN(Model_Config_v3!$B$6,I4726+Model_Config_v3!$B$7)</x:f>
        <x:v>625</x:v>
      </x:c>
      <x:c r="K4726" s="20" t="n">
        <x:v>40.6</x:v>
      </x:c>
      <x:c r="L4726" t="str">
        <x:v>RELATIF LONGGAR</x:v>
      </x:c>
      <x:c r="M4726" t="str">
        <x:v>RENDAH</x:v>
      </x:c>
      <x:c r="N4726" t="str">
        <x:v>REGULER</x:v>
      </x:c>
      <x:c r="O4726" t="str">
        <x:v>SAINTEK</x:v>
      </x:c>
      <x:c r="P4726" t="str">
        <x:v>BISNIS/EKONOMI/AKUNTANSI</x:v>
      </x:c>
      <x:c r="Q4726" s="18" t="n">
        <x:v>0</x:v>
      </x:c>
      <x:c r="R4726" s="18" t="n">
        <x:v>0</x:v>
      </x:c>
      <x:c r="S4726" s="18" t="n">
        <x:v>520</x:v>
      </x:c>
      <x:c r="T4726" s="18" t="n">
        <x:v>641</x:v>
      </x:c>
      <x:c r="U4726" s="18" t="n">
        <x:v>535</x:v>
      </x:c>
      <x:c r="V4726" s="20" t="n">
        <x:v>12</x:v>
      </x:c>
      <x:c r="W4726" s="20" t="n">
        <x:v>5</x:v>
      </x:c>
      <x:c r="X4726" s="20" t="n">
        <x:v>3</x:v>
      </x:c>
      <x:c r="Y4726" t="str">
        <x:v>Basis arsip 2025/2024</x:v>
      </x:c>
      <x:c r="Z4726" t="str">
        <x:v>https://snpmb.id/utbk-snbt/daya-tampung-snbt</x:v>
      </x:c>
      <x:c r="AA4726" t="str">
        <x:v>Tidak Ada</x:v>
      </x:c>
      <x:c r="AB4726" t="str">
        <x:v>Campus=55; Ratio=0.0; Prodi=65; RelDemand=0.0; Capacity=83.3</x:v>
      </x:c>
    </x:row>
    <x:row r="4727">
      <x:c r="A4727" t="n">
        <x:v>4724</x:v>
      </x:c>
      <x:c r="B4727" t="str">
        <x:v>PTN Vokasi</x:v>
      </x:c>
      <x:c r="C4727" t="str">
        <x:v>POLITEKNIK PERIKANAN NEGERI TUAL</x:v>
      </x:c>
      <x:c r="D4727" t="str">
        <x:v>REKAYASA BUDIDAYA LAUT</x:v>
      </x:c>
      <x:c r="E4727" t="str">
        <x:v>Sarjana Terapan</x:v>
      </x:c>
      <x:c r="F4727" s="18" t="n">
        <x:v>24</x:v>
      </x:c>
      <x:c r="G4727" s="18"/>
      <x:c r="H4727" s="19" t="n">
        <x:v>0</x:v>
      </x:c>
      <x:c r="I4727" s="18" t="n">
        <x:f>ROUND(MIN(Model_Config_v3!$B$6,MAX(Q4727,R4727,S4727*Model_Config_v3!$B$4+T4727*Model_Config_v3!$B$5)),0)</x:f>
        <x:v>597</x:v>
      </x:c>
      <x:c r="J4727" s="18" t="n">
        <x:f>MIN(Model_Config_v3!$B$6,I4727+Model_Config_v3!$B$7)</x:f>
        <x:v>617</x:v>
      </x:c>
      <x:c r="K4727" s="20" t="n">
        <x:v>35.2</x:v>
      </x:c>
      <x:c r="L4727" t="str">
        <x:v>RELATIF LONGGAR</x:v>
      </x:c>
      <x:c r="M4727" t="str">
        <x:v>RENDAH</x:v>
      </x:c>
      <x:c r="N4727" t="str">
        <x:v>REGULER</x:v>
      </x:c>
      <x:c r="O4727" t="str">
        <x:v>CAMPURAN</x:v>
      </x:c>
      <x:c r="P4727" t="str">
        <x:v>UMUM</x:v>
      </x:c>
      <x:c r="Q4727" s="18" t="n">
        <x:v>0</x:v>
      </x:c>
      <x:c r="R4727" s="18" t="n">
        <x:v>0</x:v>
      </x:c>
      <x:c r="S4727" s="18" t="n">
        <x:v>520</x:v>
      </x:c>
      <x:c r="T4727" s="18" t="n">
        <x:v>630</x:v>
      </x:c>
      <x:c r="U4727" s="18" t="n">
        <x:v>520</x:v>
      </x:c>
      <x:c r="V4727" s="20" t="n">
        <x:v>8.8</x:v>
      </x:c>
      <x:c r="W4727" s="20" t="n">
        <x:v>9.9</x:v>
      </x:c>
      <x:c r="X4727" s="20" t="n">
        <x:v>3.3</x:v>
      </x:c>
      <x:c r="Y4727" t="str">
        <x:v>Basis arsip 2025/2024</x:v>
      </x:c>
      <x:c r="Z4727" t="str">
        <x:v>https://snpmb.id/utbk-snbt/daya-tampung-snbt</x:v>
      </x:c>
      <x:c r="AA4727" t="str">
        <x:v>Tidak Ada</x:v>
      </x:c>
      <x:c r="AB4727" t="str">
        <x:v>Campus=55; Ratio=0.0; Prodi=40; RelDemand=0.0; Capacity=80.0</x:v>
      </x:c>
    </x:row>
    <x:row r="4728">
      <x:c r="A4728" t="n">
        <x:v>4725</x:v>
      </x:c>
      <x:c r="B4728" t="str">
        <x:v>PTN Vokasi</x:v>
      </x:c>
      <x:c r="C4728" t="str">
        <x:v>POLITEKNIK PERIKANAN NEGERI TUAL</x:v>
      </x:c>
      <x:c r="D4728" t="str">
        <x:v>MANAJEMEN REKAYASA PENGOLAHAN HASIL PERIKANAN</x:v>
      </x:c>
      <x:c r="E4728" t="str">
        <x:v>Sarjana Terapan</x:v>
      </x:c>
      <x:c r="F4728" s="18" t="n">
        <x:v>20</x:v>
      </x:c>
      <x:c r="G4728" s="18"/>
      <x:c r="H4728" s="19" t="n">
        <x:v>0</x:v>
      </x:c>
      <x:c r="I4728" s="18" t="n">
        <x:f>ROUND(MIN(Model_Config_v3!$B$6,MAX(Q4728,R4728,S4728*Model_Config_v3!$B$4+T4728*Model_Config_v3!$B$5)),0)</x:f>
        <x:v>605</x:v>
      </x:c>
      <x:c r="J4728" s="18" t="n">
        <x:f>MIN(Model_Config_v3!$B$6,I4728+Model_Config_v3!$B$7)</x:f>
        <x:v>625</x:v>
      </x:c>
      <x:c r="K4728" s="20" t="n">
        <x:v>40.6</x:v>
      </x:c>
      <x:c r="L4728" t="str">
        <x:v>RELATIF LONGGAR</x:v>
      </x:c>
      <x:c r="M4728" t="str">
        <x:v>RENDAH</x:v>
      </x:c>
      <x:c r="N4728" t="str">
        <x:v>REGULER</x:v>
      </x:c>
      <x:c r="O4728" t="str">
        <x:v>SAINTEK</x:v>
      </x:c>
      <x:c r="P4728" t="str">
        <x:v>BISNIS/EKONOMI/AKUNTANSI</x:v>
      </x:c>
      <x:c r="Q4728" s="18" t="n">
        <x:v>0</x:v>
      </x:c>
      <x:c r="R4728" s="18" t="n">
        <x:v>0</x:v>
      </x:c>
      <x:c r="S4728" s="18" t="n">
        <x:v>520</x:v>
      </x:c>
      <x:c r="T4728" s="18" t="n">
        <x:v>641</x:v>
      </x:c>
      <x:c r="U4728" s="18" t="n">
        <x:v>535</x:v>
      </x:c>
      <x:c r="V4728" s="20" t="n">
        <x:v>12</x:v>
      </x:c>
      <x:c r="W4728" s="20" t="n">
        <x:v>5</x:v>
      </x:c>
      <x:c r="X4728" s="20" t="n">
        <x:v>3</x:v>
      </x:c>
      <x:c r="Y4728" t="str">
        <x:v>Basis arsip 2025/2024</x:v>
      </x:c>
      <x:c r="Z4728" t="str">
        <x:v>https://snpmb.id/utbk-snbt/daya-tampung-snbt</x:v>
      </x:c>
      <x:c r="AA4728" t="str">
        <x:v>Tidak Ada</x:v>
      </x:c>
      <x:c r="AB4728" t="str">
        <x:v>Campus=55; Ratio=0.0; Prodi=65; RelDemand=0.0; Capacity=83.3</x:v>
      </x:c>
    </x:row>
    <x:row r="4729">
      <x:c r="A4729" t="n">
        <x:v>4726</x:v>
      </x:c>
      <x:c r="B4729" t="str">
        <x:v>PTN Vokasi</x:v>
      </x:c>
      <x:c r="C4729" t="str">
        <x:v>POLITEKNIK PERIKANAN NEGERI TUAL</x:v>
      </x:c>
      <x:c r="D4729" t="str">
        <x:v>AGROWISATA BAHARI</x:v>
      </x:c>
      <x:c r="E4729" t="str">
        <x:v>Sarjana Terapan</x:v>
      </x:c>
      <x:c r="F4729" s="18" t="n">
        <x:v>24</x:v>
      </x:c>
      <x:c r="G4729" s="18" t="n">
        <x:v>1</x:v>
      </x:c>
      <x:c r="H4729" s="19" t="n">
        <x:v>0.041666666666666664</x:v>
      </x:c>
      <x:c r="I4729" s="18" t="n">
        <x:f>ROUND(MIN(Model_Config_v3!$B$6,MAX(Q4729,R4729,S4729*Model_Config_v3!$B$4+T4729*Model_Config_v3!$B$5)),0)</x:f>
        <x:v>601</x:v>
      </x:c>
      <x:c r="J4729" s="18" t="n">
        <x:f>MIN(Model_Config_v3!$B$6,I4729+Model_Config_v3!$B$7)</x:f>
        <x:v>621</x:v>
      </x:c>
      <x:c r="K4729" s="20" t="n">
        <x:v>37.6</x:v>
      </x:c>
      <x:c r="L4729" t="str">
        <x:v>RELATIF LONGGAR</x:v>
      </x:c>
      <x:c r="M4729" t="str">
        <x:v>SEDANG</x:v>
      </x:c>
      <x:c r="N4729" t="str">
        <x:v>REGULER</x:v>
      </x:c>
      <x:c r="O4729" t="str">
        <x:v>CAMPURAN</x:v>
      </x:c>
      <x:c r="P4729" t="str">
        <x:v>UMUM</x:v>
      </x:c>
      <x:c r="Q4729" s="18" t="n">
        <x:v>0</x:v>
      </x:c>
      <x:c r="R4729" s="18" t="n">
        <x:v>0</x:v>
      </x:c>
      <x:c r="S4729" s="18" t="n">
        <x:v>520</x:v>
      </x:c>
      <x:c r="T4729" s="18" t="n">
        <x:v>635</x:v>
      </x:c>
      <x:c r="U4729" s="18" t="n">
        <x:v>520</x:v>
      </x:c>
      <x:c r="V4729" s="20" t="n">
        <x:v>8.8</x:v>
      </x:c>
      <x:c r="W4729" s="20" t="n">
        <x:v>9.9</x:v>
      </x:c>
      <x:c r="X4729" s="20" t="n">
        <x:v>3.3</x:v>
      </x:c>
      <x:c r="Y4729" t="str">
        <x:v>Basis arsip 2025/2024</x:v>
      </x:c>
      <x:c r="Z4729" t="str">
        <x:v>https://snpmb.id/utbk-snbt/daya-tampung-snbt</x:v>
      </x:c>
      <x:c r="AA4729" t="str">
        <x:v>Tidak Ada</x:v>
      </x:c>
      <x:c r="AB4729" t="str">
        <x:v>Campus=55; Ratio=0.0; Prodi=40; RelDemand=23.9; Capacity=80.0</x:v>
      </x:c>
    </x:row>
    <x:row r="4730">
      <x:c r="A4730" t="n">
        <x:v>4727</x:v>
      </x:c>
      <x:c r="B4730" t="str">
        <x:v>PTN Vokasi</x:v>
      </x:c>
      <x:c r="C4730" t="str">
        <x:v>POLITEKNIK PERIKANAN NEGERI TUAL</x:v>
      </x:c>
      <x:c r="D4730" t="str">
        <x:v>AGRIBISNIS PERIKANAN</x:v>
      </x:c>
      <x:c r="E4730" t="str">
        <x:v>Diploma Tiga</x:v>
      </x:c>
      <x:c r="F4730" s="18" t="n">
        <x:v>20</x:v>
      </x:c>
      <x:c r="G4730" s="18" t="n">
        <x:v>3</x:v>
      </x:c>
      <x:c r="H4730" s="19" t="n">
        <x:v>0.15</x:v>
      </x:c>
      <x:c r="I4730" s="18" t="n">
        <x:f>ROUND(MIN(Model_Config_v3!$B$6,MAX(Q4730,R4730,S4730*Model_Config_v3!$B$4+T4730*Model_Config_v3!$B$5)),0)</x:f>
        <x:v>617</x:v>
      </x:c>
      <x:c r="J4730" s="18" t="n">
        <x:f>MIN(Model_Config_v3!$B$6,I4730+Model_Config_v3!$B$7)</x:f>
        <x:v>637</x:v>
      </x:c>
      <x:c r="K4730" s="20" t="n">
        <x:v>49.2</x:v>
      </x:c>
      <x:c r="L4730" t="str">
        <x:v>MENENGAH</x:v>
      </x:c>
      <x:c r="M4730" t="str">
        <x:v>SEDANG+</x:v>
      </x:c>
      <x:c r="N4730" t="str">
        <x:v>REGULER</x:v>
      </x:c>
      <x:c r="O4730" t="str">
        <x:v>SAINTEK</x:v>
      </x:c>
      <x:c r="P4730" t="str">
        <x:v>BISNIS/EKONOMI/AKUNTANSI</x:v>
      </x:c>
      <x:c r="Q4730" s="18" t="n">
        <x:v>0</x:v>
      </x:c>
      <x:c r="R4730" s="18" t="n">
        <x:v>0</x:v>
      </x:c>
      <x:c r="S4730" s="18" t="n">
        <x:v>520</x:v>
      </x:c>
      <x:c r="T4730" s="18" t="n">
        <x:v>658</x:v>
      </x:c>
      <x:c r="U4730" s="18" t="n">
        <x:v>535</x:v>
      </x:c>
      <x:c r="V4730" s="20" t="n">
        <x:v>12</x:v>
      </x:c>
      <x:c r="W4730" s="20" t="n">
        <x:v>5</x:v>
      </x:c>
      <x:c r="X4730" s="20" t="n">
        <x:v>3</x:v>
      </x:c>
      <x:c r="Y4730" t="str">
        <x:v>Basis arsip 2025/2024</x:v>
      </x:c>
      <x:c r="Z4730" t="str">
        <x:v>https://snpmb.id/utbk-snbt/daya-tampung-snbt</x:v>
      </x:c>
      <x:c r="AA4730" t="str">
        <x:v>Tidak Ada</x:v>
      </x:c>
      <x:c r="AB4730" t="str">
        <x:v>Campus=55; Ratio=0.0; Prodi=65; RelDemand=86.1; Capacity=83.3</x:v>
      </x:c>
    </x:row>
    <x:row r="4731">
      <x:c r="A4731" t="n">
        <x:v>4728</x:v>
      </x:c>
      <x:c r="B4731" t="str">
        <x:v>PTN Vokasi</x:v>
      </x:c>
      <x:c r="C4731" t="str">
        <x:v>POLITEKNIK PERIKANAN NEGERI TUAL</x:v>
      </x:c>
      <x:c r="D4731" t="str">
        <x:v>TEKNOLOGI PENANGKAPAN IKAN</x:v>
      </x:c>
      <x:c r="E4731" t="str">
        <x:v>Diploma Tiga</x:v>
      </x:c>
      <x:c r="F4731" s="18" t="n">
        <x:v>12</x:v>
      </x:c>
      <x:c r="G4731" s="18" t="n">
        <x:v>1</x:v>
      </x:c>
      <x:c r="H4731" s="19" t="n">
        <x:v>0.08333333333333333</x:v>
      </x:c>
      <x:c r="I4731" s="18" t="n">
        <x:f>ROUND(MIN(Model_Config_v3!$B$6,MAX(Q4731,R4731,S4731*Model_Config_v3!$B$4+T4731*Model_Config_v3!$B$5)),0)</x:f>
        <x:v>605</x:v>
      </x:c>
      <x:c r="J4731" s="18" t="n">
        <x:f>MIN(Model_Config_v3!$B$6,I4731+Model_Config_v3!$B$7)</x:f>
        <x:v>625</x:v>
      </x:c>
      <x:c r="K4731" s="20" t="n">
        <x:v>41</x:v>
      </x:c>
      <x:c r="L4731" t="str">
        <x:v>RELATIF LONGGAR</x:v>
      </x:c>
      <x:c r="M4731" t="str">
        <x:v>SEDANG</x:v>
      </x:c>
      <x:c r="N4731" t="str">
        <x:v>REGULER</x:v>
      </x:c>
      <x:c r="O4731" t="str">
        <x:v>SAINTEK</x:v>
      </x:c>
      <x:c r="P4731" t="str">
        <x:v>UMUM</x:v>
      </x:c>
      <x:c r="Q4731" s="18" t="n">
        <x:v>0</x:v>
      </x:c>
      <x:c r="R4731" s="18" t="n">
        <x:v>0</x:v>
      </x:c>
      <x:c r="S4731" s="18" t="n">
        <x:v>520</x:v>
      </x:c>
      <x:c r="T4731" s="18" t="n">
        <x:v>642</x:v>
      </x:c>
      <x:c r="U4731" s="18" t="n">
        <x:v>520</x:v>
      </x:c>
      <x:c r="V4731" s="20" t="n">
        <x:v>12</x:v>
      </x:c>
      <x:c r="W4731" s="20" t="n">
        <x:v>5</x:v>
      </x:c>
      <x:c r="X4731" s="20" t="n">
        <x:v>3</x:v>
      </x:c>
      <x:c r="Y4731" t="str">
        <x:v>Basis arsip 2025/2024</x:v>
      </x:c>
      <x:c r="Z4731" t="str">
        <x:v>https://snpmb.id/utbk-snbt/daya-tampung-snbt</x:v>
      </x:c>
      <x:c r="AA4731" t="str">
        <x:v>Tidak Ada</x:v>
      </x:c>
      <x:c r="AB4731" t="str">
        <x:v>Campus=55; Ratio=0.0; Prodi=40; RelDemand=47.8; Capacity=90.0</x:v>
      </x:c>
    </x:row>
    <x:row r="4732">
      <x:c r="A4732" t="n">
        <x:v>4729</x:v>
      </x:c>
      <x:c r="B4732" t="str">
        <x:v>PTN Vokasi</x:v>
      </x:c>
      <x:c r="C4732" t="str">
        <x:v>POLITEKNIK PERIKANAN NEGERI TUAL</x:v>
      </x:c>
      <x:c r="D4732" t="str">
        <x:v>TEKNOLOGI BUDIDAYA PERIKANAN</x:v>
      </x:c>
      <x:c r="E4732" t="str">
        <x:v>Diploma Tiga</x:v>
      </x:c>
      <x:c r="F4732" s="18" t="n">
        <x:v>12</x:v>
      </x:c>
      <x:c r="G4732" s="18" t="n">
        <x:v>3</x:v>
      </x:c>
      <x:c r="H4732" s="19" t="n">
        <x:v>0.25</x:v>
      </x:c>
      <x:c r="I4732" s="18" t="n">
        <x:f>ROUND(MIN(Model_Config_v3!$B$6,MAX(Q4732,R4732,S4732*Model_Config_v3!$B$4+T4732*Model_Config_v3!$B$5)),0)</x:f>
        <x:v>612</x:v>
      </x:c>
      <x:c r="J4732" s="18" t="n">
        <x:f>MIN(Model_Config_v3!$B$6,I4732+Model_Config_v3!$B$7)</x:f>
        <x:v>632</x:v>
      </x:c>
      <x:c r="K4732" s="20" t="n">
        <x:v>46.2</x:v>
      </x:c>
      <x:c r="L4732" t="str">
        <x:v>MENENGAH</x:v>
      </x:c>
      <x:c r="M4732" t="str">
        <x:v>SEDANG</x:v>
      </x:c>
      <x:c r="N4732" t="str">
        <x:v>REGULER</x:v>
      </x:c>
      <x:c r="O4732" t="str">
        <x:v>SAINTEK</x:v>
      </x:c>
      <x:c r="P4732" t="str">
        <x:v>UMUM</x:v>
      </x:c>
      <x:c r="Q4732" s="18" t="n">
        <x:v>0</x:v>
      </x:c>
      <x:c r="R4732" s="18" t="n">
        <x:v>0</x:v>
      </x:c>
      <x:c r="S4732" s="18" t="n">
        <x:v>520</x:v>
      </x:c>
      <x:c r="T4732" s="18" t="n">
        <x:v>652</x:v>
      </x:c>
      <x:c r="U4732" s="18" t="n">
        <x:v>520</x:v>
      </x:c>
      <x:c r="V4732" s="20" t="n">
        <x:v>12</x:v>
      </x:c>
      <x:c r="W4732" s="20" t="n">
        <x:v>5</x:v>
      </x:c>
      <x:c r="X4732" s="20" t="n">
        <x:v>3</x:v>
      </x:c>
      <x:c r="Y4732" t="str">
        <x:v>Basis arsip 2025/2024</x:v>
      </x:c>
      <x:c r="Z4732" t="str">
        <x:v>https://snpmb.id/utbk-snbt/daya-tampung-snbt</x:v>
      </x:c>
      <x:c r="AA4732" t="str">
        <x:v>Tidak Ada</x:v>
      </x:c>
      <x:c r="AB4732" t="str">
        <x:v>Campus=55; Ratio=0.0; Prodi=40; RelDemand=100.0; Capacity=90.0</x:v>
      </x:c>
    </x:row>
    <x:row r="4733">
      <x:c r="A4733" t="n">
        <x:v>4730</x:v>
      </x:c>
      <x:c r="B4733" t="str">
        <x:v>PTN Vokasi</x:v>
      </x:c>
      <x:c r="C4733" t="str">
        <x:v>POLITEKNIK PERIKANAN NEGERI TUAL</x:v>
      </x:c>
      <x:c r="D4733" t="str">
        <x:v>TEKNOLOGI HASIL PERIKANAN</x:v>
      </x:c>
      <x:c r="E4733" t="str">
        <x:v>Diploma Tiga</x:v>
      </x:c>
      <x:c r="F4733" s="18" t="n">
        <x:v>20</x:v>
      </x:c>
      <x:c r="G4733" s="18" t="n">
        <x:v>4</x:v>
      </x:c>
      <x:c r="H4733" s="19" t="n">
        <x:v>0.2</x:v>
      </x:c>
      <x:c r="I4733" s="18" t="n">
        <x:f>ROUND(MIN(Model_Config_v3!$B$6,MAX(Q4733,R4733,S4733*Model_Config_v3!$B$4+T4733*Model_Config_v3!$B$5)),0)</x:f>
        <x:v>612</x:v>
      </x:c>
      <x:c r="J4733" s="18" t="n">
        <x:f>MIN(Model_Config_v3!$B$6,I4733+Model_Config_v3!$B$7)</x:f>
        <x:v>632</x:v>
      </x:c>
      <x:c r="K4733" s="20" t="n">
        <x:v>45.6</x:v>
      </x:c>
      <x:c r="L4733" t="str">
        <x:v>MENENGAH</x:v>
      </x:c>
      <x:c r="M4733" t="str">
        <x:v>SEDANG</x:v>
      </x:c>
      <x:c r="N4733" t="str">
        <x:v>REGULER</x:v>
      </x:c>
      <x:c r="O4733" t="str">
        <x:v>SAINTEK</x:v>
      </x:c>
      <x:c r="P4733" t="str">
        <x:v>UMUM</x:v>
      </x:c>
      <x:c r="Q4733" s="18" t="n">
        <x:v>0</x:v>
      </x:c>
      <x:c r="R4733" s="18" t="n">
        <x:v>0</x:v>
      </x:c>
      <x:c r="S4733" s="18" t="n">
        <x:v>520</x:v>
      </x:c>
      <x:c r="T4733" s="18" t="n">
        <x:v>651</x:v>
      </x:c>
      <x:c r="U4733" s="18" t="n">
        <x:v>520</x:v>
      </x:c>
      <x:c r="V4733" s="20" t="n">
        <x:v>12</x:v>
      </x:c>
      <x:c r="W4733" s="20" t="n">
        <x:v>5</x:v>
      </x:c>
      <x:c r="X4733" s="20" t="n">
        <x:v>3</x:v>
      </x:c>
      <x:c r="Y4733" t="str">
        <x:v>Basis arsip 2025/2024</x:v>
      </x:c>
      <x:c r="Z4733" t="str">
        <x:v>https://snpmb.id/utbk-snbt/daya-tampung-snbt</x:v>
      </x:c>
      <x:c r="AA4733" t="str">
        <x:v>Tidak Ada</x:v>
      </x:c>
      <x:c r="AB4733" t="str">
        <x:v>Campus=55; Ratio=0.0; Prodi=40; RelDemand=100.0; Capacity=83.3</x:v>
      </x:c>
    </x:row>
    <x:row r="4734">
      <x:c r="A4734" t="n">
        <x:v>4731</x:v>
      </x:c>
      <x:c r="B4734" t="str">
        <x:v>PTN Vokasi</x:v>
      </x:c>
      <x:c r="C4734" t="str">
        <x:v>POLITEKNIK NEGERI FAKFAK</x:v>
      </x:c>
      <x:c r="D4734" t="str">
        <x:v>TEKNOLOGI REKAYASA KONSTRUKSI JALAN DAN JEMBATAN</x:v>
      </x:c>
      <x:c r="E4734" t="str">
        <x:v>Sarjana Terapan</x:v>
      </x:c>
      <x:c r="F4734" s="18" t="n">
        <x:v>24</x:v>
      </x:c>
      <x:c r="G4734" s="18" t="n">
        <x:v>10</x:v>
      </x:c>
      <x:c r="H4734" s="19" t="n">
        <x:v>0.4166666666666667</x:v>
      </x:c>
      <x:c r="I4734" s="18" t="n">
        <x:f>ROUND(MIN(Model_Config_v3!$B$6,MAX(Q4734,R4734,S4734*Model_Config_v3!$B$4+T4734*Model_Config_v3!$B$5)),0)</x:f>
        <x:v>611</x:v>
      </x:c>
      <x:c r="J4734" s="18" t="n">
        <x:f>MIN(Model_Config_v3!$B$6,I4734+Model_Config_v3!$B$7)</x:f>
        <x:v>631</x:v>
      </x:c>
      <x:c r="K4734" s="20" t="n">
        <x:v>45.2</x:v>
      </x:c>
      <x:c r="L4734" t="str">
        <x:v>MENENGAH</x:v>
      </x:c>
      <x:c r="M4734" t="str">
        <x:v>SEDANG</x:v>
      </x:c>
      <x:c r="N4734" t="str">
        <x:v>REGULER</x:v>
      </x:c>
      <x:c r="O4734" t="str">
        <x:v>SAINTEK</x:v>
      </x:c>
      <x:c r="P4734" t="str">
        <x:v>UMUM</x:v>
      </x:c>
      <x:c r="Q4734" s="18" t="n">
        <x:v>0</x:v>
      </x:c>
      <x:c r="R4734" s="18" t="n">
        <x:v>0</x:v>
      </x:c>
      <x:c r="S4734" s="18" t="n">
        <x:v>520</x:v>
      </x:c>
      <x:c r="T4734" s="18" t="n">
        <x:v>650</x:v>
      </x:c>
      <x:c r="U4734" s="18" t="n">
        <x:v>520</x:v>
      </x:c>
      <x:c r="V4734" s="20" t="n">
        <x:v>12</x:v>
      </x:c>
      <x:c r="W4734" s="20" t="n">
        <x:v>5</x:v>
      </x:c>
      <x:c r="X4734" s="20" t="n">
        <x:v>3</x:v>
      </x:c>
      <x:c r="Y4734" t="str">
        <x:v>Basis arsip 2025/2024</x:v>
      </x:c>
      <x:c r="Z4734" t="str">
        <x:v>https://snpmb.id/utbk-snbt/daya-tampung-snbt</x:v>
      </x:c>
      <x:c r="AA4734" t="str">
        <x:v>Tidak Ada</x:v>
      </x:c>
      <x:c r="AB4734" t="str">
        <x:v>Campus=55; Ratio=0.0; Prodi=40; RelDemand=100.0; Capacity=80.0</x:v>
      </x:c>
    </x:row>
    <x:row r="4735">
      <x:c r="A4735" t="n">
        <x:v>4732</x:v>
      </x:c>
      <x:c r="B4735" t="str">
        <x:v>PTN Vokasi</x:v>
      </x:c>
      <x:c r="C4735" t="str">
        <x:v>POLITEKNIK NEGERI FAKFAK</x:v>
      </x:c>
      <x:c r="D4735" t="str">
        <x:v>AKUNTANSI SEKTOR PUBLIK</x:v>
      </x:c>
      <x:c r="E4735" t="str">
        <x:v>Sarjana Terapan</x:v>
      </x:c>
      <x:c r="F4735" s="18" t="n">
        <x:v>10</x:v>
      </x:c>
      <x:c r="G4735" s="18"/>
      <x:c r="H4735" s="19" t="n">
        <x:v>0</x:v>
      </x:c>
      <x:c r="I4735" s="18" t="n">
        <x:f>ROUND(MIN(Model_Config_v3!$B$6,MAX(Q4735,R4735,S4735*Model_Config_v3!$B$4+T4735*Model_Config_v3!$B$5)),0)</x:f>
        <x:v>606</x:v>
      </x:c>
      <x:c r="J4735" s="18" t="n">
        <x:f>MIN(Model_Config_v3!$B$6,I4735+Model_Config_v3!$B$7)</x:f>
        <x:v>626</x:v>
      </x:c>
      <x:c r="K4735" s="20" t="n">
        <x:v>41.4</x:v>
      </x:c>
      <x:c r="L4735" t="str">
        <x:v>RELATIF LONGGAR</x:v>
      </x:c>
      <x:c r="M4735" t="str">
        <x:v>RENDAH</x:v>
      </x:c>
      <x:c r="N4735" t="str">
        <x:v>REGULER</x:v>
      </x:c>
      <x:c r="O4735" t="str">
        <x:v>SOSHUM</x:v>
      </x:c>
      <x:c r="P4735" t="str">
        <x:v>BISNIS/EKONOMI/AKUNTANSI</x:v>
      </x:c>
      <x:c r="Q4735" s="18" t="n">
        <x:v>0</x:v>
      </x:c>
      <x:c r="R4735" s="18" t="n">
        <x:v>0</x:v>
      </x:c>
      <x:c r="S4735" s="18" t="n">
        <x:v>520</x:v>
      </x:c>
      <x:c r="T4735" s="18" t="n">
        <x:v>643</x:v>
      </x:c>
      <x:c r="U4735" s="18" t="n">
        <x:v>520</x:v>
      </x:c>
      <x:c r="V4735" s="20" t="n">
        <x:v>4.4</x:v>
      </x:c>
      <x:c r="W4735" s="20" t="n">
        <x:v>14.3</x:v>
      </x:c>
      <x:c r="X4735" s="20" t="n">
        <x:v>3.3</x:v>
      </x:c>
      <x:c r="Y4735" t="str">
        <x:v>Basis arsip 2025/2024</x:v>
      </x:c>
      <x:c r="Z4735" t="str">
        <x:v>https://snpmb.id/utbk-snbt/daya-tampung-snbt</x:v>
      </x:c>
      <x:c r="AA4735" t="str">
        <x:v>Tidak Ada</x:v>
      </x:c>
      <x:c r="AB4735" t="str">
        <x:v>Campus=55; Ratio=0.0; Prodi=65; RelDemand=0.0; Capacity=91.7</x:v>
      </x:c>
    </x:row>
    <x:row r="4736">
      <x:c r="A4736" t="n">
        <x:v>4733</x:v>
      </x:c>
      <x:c r="B4736" t="str">
        <x:v>PTN Vokasi</x:v>
      </x:c>
      <x:c r="C4736" t="str">
        <x:v>POLITEKNIK NEGERI FAKFAK</x:v>
      </x:c>
      <x:c r="D4736" t="str">
        <x:v>PENGELOLAAN AGRIBISNIS PERKEBUNAN</x:v>
      </x:c>
      <x:c r="E4736" t="str">
        <x:v>Sarjana Terapan</x:v>
      </x:c>
      <x:c r="F4736" s="18" t="n">
        <x:v>10</x:v>
      </x:c>
      <x:c r="G4736" s="18"/>
      <x:c r="H4736" s="19" t="n">
        <x:v>0</x:v>
      </x:c>
      <x:c r="I4736" s="18" t="n">
        <x:f>ROUND(MIN(Model_Config_v3!$B$6,MAX(Q4736,R4736,S4736*Model_Config_v3!$B$4+T4736*Model_Config_v3!$B$5)),0)</x:f>
        <x:v>606</x:v>
      </x:c>
      <x:c r="J4736" s="18" t="n">
        <x:f>MIN(Model_Config_v3!$B$6,I4736+Model_Config_v3!$B$7)</x:f>
        <x:v>626</x:v>
      </x:c>
      <x:c r="K4736" s="20" t="n">
        <x:v>41.4</x:v>
      </x:c>
      <x:c r="L4736" t="str">
        <x:v>RELATIF LONGGAR</x:v>
      </x:c>
      <x:c r="M4736" t="str">
        <x:v>RENDAH</x:v>
      </x:c>
      <x:c r="N4736" t="str">
        <x:v>REGULER</x:v>
      </x:c>
      <x:c r="O4736" t="str">
        <x:v>SOSHUM</x:v>
      </x:c>
      <x:c r="P4736" t="str">
        <x:v>BISNIS/EKONOMI/AKUNTANSI</x:v>
      </x:c>
      <x:c r="Q4736" s="18" t="n">
        <x:v>0</x:v>
      </x:c>
      <x:c r="R4736" s="18" t="n">
        <x:v>0</x:v>
      </x:c>
      <x:c r="S4736" s="18" t="n">
        <x:v>520</x:v>
      </x:c>
      <x:c r="T4736" s="18" t="n">
        <x:v>643</x:v>
      </x:c>
      <x:c r="U4736" s="18" t="n">
        <x:v>535</x:v>
      </x:c>
      <x:c r="V4736" s="20" t="n">
        <x:v>4.4</x:v>
      </x:c>
      <x:c r="W4736" s="20" t="n">
        <x:v>14.3</x:v>
      </x:c>
      <x:c r="X4736" s="20" t="n">
        <x:v>3.3</x:v>
      </x:c>
      <x:c r="Y4736" t="str">
        <x:v>Basis arsip 2025/2024</x:v>
      </x:c>
      <x:c r="Z4736" t="str">
        <x:v>https://snpmb.id/utbk-snbt/daya-tampung-snbt</x:v>
      </x:c>
      <x:c r="AA4736" t="str">
        <x:v>Tidak Ada</x:v>
      </x:c>
      <x:c r="AB4736" t="str">
        <x:v>Campus=55; Ratio=0.0; Prodi=65; RelDemand=0.0; Capacity=91.7</x:v>
      </x:c>
    </x:row>
    <x:row r="4737">
      <x:c r="A4737" t="n">
        <x:v>4734</x:v>
      </x:c>
      <x:c r="B4737" t="str">
        <x:v>PTN Vokasi</x:v>
      </x:c>
      <x:c r="C4737" t="str">
        <x:v>POLITEKNIK NEGERI FAKFAK</x:v>
      </x:c>
      <x:c r="D4737" t="str">
        <x:v>TEKNIK LISTRIK</x:v>
      </x:c>
      <x:c r="E4737" t="str">
        <x:v>Diploma Tiga</x:v>
      </x:c>
      <x:c r="F4737" s="18" t="n">
        <x:v>24</x:v>
      </x:c>
      <x:c r="G4737" s="18" t="n">
        <x:v>8</x:v>
      </x:c>
      <x:c r="H4737" s="19" t="n">
        <x:v>0.3333333333333333</x:v>
      </x:c>
      <x:c r="I4737" s="18" t="n">
        <x:f>ROUND(MIN(Model_Config_v3!$B$6,MAX(Q4737,R4737,S4737*Model_Config_v3!$B$4+T4737*Model_Config_v3!$B$5)),0)</x:f>
        <x:v>617</x:v>
      </x:c>
      <x:c r="J4737" s="18" t="n">
        <x:f>MIN(Model_Config_v3!$B$6,I4737+Model_Config_v3!$B$7)</x:f>
        <x:v>637</x:v>
      </x:c>
      <x:c r="K4737" s="20" t="n">
        <x:v>49.2</x:v>
      </x:c>
      <x:c r="L4737" t="str">
        <x:v>MENENGAH</x:v>
      </x:c>
      <x:c r="M4737" t="str">
        <x:v>SEDANG+</x:v>
      </x:c>
      <x:c r="N4737" t="str">
        <x:v>REGULER</x:v>
      </x:c>
      <x:c r="O4737" t="str">
        <x:v>SAINTEK</x:v>
      </x:c>
      <x:c r="P4737" t="str">
        <x:v>TEKNIK/ARSITEKTUR/STATISTIKA/AKTUARIA</x:v>
      </x:c>
      <x:c r="Q4737" s="18" t="n">
        <x:v>0</x:v>
      </x:c>
      <x:c r="R4737" s="18" t="n">
        <x:v>0</x:v>
      </x:c>
      <x:c r="S4737" s="18" t="n">
        <x:v>520</x:v>
      </x:c>
      <x:c r="T4737" s="18" t="n">
        <x:v>658</x:v>
      </x:c>
      <x:c r="U4737" s="18" t="n">
        <x:v>530</x:v>
      </x:c>
      <x:c r="V4737" s="20" t="n">
        <x:v>12</x:v>
      </x:c>
      <x:c r="W4737" s="20" t="n">
        <x:v>5</x:v>
      </x:c>
      <x:c r="X4737" s="20" t="n">
        <x:v>3</x:v>
      </x:c>
      <x:c r="Y4737" t="str">
        <x:v>Basis arsip 2025/2024</x:v>
      </x:c>
      <x:c r="Z4737" t="str">
        <x:v>https://snpmb.id/utbk-snbt/daya-tampung-snbt</x:v>
      </x:c>
      <x:c r="AA4737" t="str">
        <x:v>Tidak Ada</x:v>
      </x:c>
      <x:c r="AB4737" t="str">
        <x:v>Campus=55; Ratio=0.0; Prodi=60; RelDemand=100.0; Capacity=80.0</x:v>
      </x:c>
    </x:row>
    <x:row r="4738">
      <x:c r="A4738" t="n">
        <x:v>4735</x:v>
      </x:c>
      <x:c r="B4738" t="str">
        <x:v>PTN Vokasi</x:v>
      </x:c>
      <x:c r="C4738" t="str">
        <x:v>POLITEKNIK NEGERI FAKFAK</x:v>
      </x:c>
      <x:c r="D4738" t="str">
        <x:v>TEKNIK SIPIL</x:v>
      </x:c>
      <x:c r="E4738" t="str">
        <x:v>Diploma Tiga</x:v>
      </x:c>
      <x:c r="F4738" s="18" t="n">
        <x:v>48</x:v>
      </x:c>
      <x:c r="G4738" s="18" t="n">
        <x:v>7</x:v>
      </x:c>
      <x:c r="H4738" s="19" t="n">
        <x:v>0.14583333333333334</x:v>
      </x:c>
      <x:c r="I4738" s="18" t="n">
        <x:f>ROUND(MIN(Model_Config_v3!$B$6,MAX(Q4738,R4738,S4738*Model_Config_v3!$B$4+T4738*Model_Config_v3!$B$5)),0)</x:f>
        <x:v>607</x:v>
      </x:c>
      <x:c r="J4738" s="18" t="n">
        <x:f>MIN(Model_Config_v3!$B$6,I4738+Model_Config_v3!$B$7)</x:f>
        <x:v>627</x:v>
      </x:c>
      <x:c r="K4738" s="20" t="n">
        <x:v>41.8</x:v>
      </x:c>
      <x:c r="L4738" t="str">
        <x:v>RELATIF LONGGAR</x:v>
      </x:c>
      <x:c r="M4738" t="str">
        <x:v>SEDANG+</x:v>
      </x:c>
      <x:c r="N4738" t="str">
        <x:v>REGULER</x:v>
      </x:c>
      <x:c r="O4738" t="str">
        <x:v>SAINTEK</x:v>
      </x:c>
      <x:c r="P4738" t="str">
        <x:v>TEKNIK/ARSITEKTUR/STATISTIKA/AKTUARIA</x:v>
      </x:c>
      <x:c r="Q4738" s="18" t="n">
        <x:v>0</x:v>
      </x:c>
      <x:c r="R4738" s="18" t="n">
        <x:v>0</x:v>
      </x:c>
      <x:c r="S4738" s="18" t="n">
        <x:v>520</x:v>
      </x:c>
      <x:c r="T4738" s="18" t="n">
        <x:v>644</x:v>
      </x:c>
      <x:c r="U4738" s="18" t="n">
        <x:v>530</x:v>
      </x:c>
      <x:c r="V4738" s="20" t="n">
        <x:v>12</x:v>
      </x:c>
      <x:c r="W4738" s="20" t="n">
        <x:v>5</x:v>
      </x:c>
      <x:c r="X4738" s="20" t="n">
        <x:v>3</x:v>
      </x:c>
      <x:c r="Y4738" t="str">
        <x:v>Basis arsip 2025/2024</x:v>
      </x:c>
      <x:c r="Z4738" t="str">
        <x:v>https://snpmb.id/utbk-snbt/daya-tampung-snbt</x:v>
      </x:c>
      <x:c r="AA4738" t="str">
        <x:v>Tidak Ada</x:v>
      </x:c>
      <x:c r="AB4738" t="str">
        <x:v>Campus=55; Ratio=0.0; Prodi=60; RelDemand=45.4; Capacity=60.0</x:v>
      </x:c>
    </x:row>
    <x:row r="4739">
      <x:c r="A4739" t="n">
        <x:v>4736</x:v>
      </x:c>
      <x:c r="B4739" t="str">
        <x:v>PTN Vokasi</x:v>
      </x:c>
      <x:c r="C4739" t="str">
        <x:v>POLITEKNIK NEGERI FAKFAK</x:v>
      </x:c>
      <x:c r="D4739" t="str">
        <x:v>MANAJEMEN INFORMATIKA</x:v>
      </x:c>
      <x:c r="E4739" t="str">
        <x:v>Diploma Tiga</x:v>
      </x:c>
      <x:c r="F4739" s="18" t="n">
        <x:v>48</x:v>
      </x:c>
      <x:c r="G4739" s="18" t="n">
        <x:v>12</x:v>
      </x:c>
      <x:c r="H4739" s="19" t="n">
        <x:v>0.25</x:v>
      </x:c>
      <x:c r="I4739" s="18" t="n">
        <x:f>ROUND(MIN(Model_Config_v3!$B$6,MAX(Q4739,R4739,S4739*Model_Config_v3!$B$4+T4739*Model_Config_v3!$B$5)),0)</x:f>
        <x:v>618</x:v>
      </x:c>
      <x:c r="J4739" s="18" t="n">
        <x:f>MIN(Model_Config_v3!$B$6,I4739+Model_Config_v3!$B$7)</x:f>
        <x:v>638</x:v>
      </x:c>
      <x:c r="K4739" s="20" t="n">
        <x:v>50</x:v>
      </x:c>
      <x:c r="L4739" t="str">
        <x:v>MENENGAH</x:v>
      </x:c>
      <x:c r="M4739" t="str">
        <x:v>SEDANG+</x:v>
      </x:c>
      <x:c r="N4739" t="str">
        <x:v>REGULER</x:v>
      </x:c>
      <x:c r="O4739" t="str">
        <x:v>SAINTEK</x:v>
      </x:c>
      <x:c r="P4739" t="str">
        <x:v>KOMPUTER/INFORMATIKA</x:v>
      </x:c>
      <x:c r="Q4739" s="18" t="n">
        <x:v>0</x:v>
      </x:c>
      <x:c r="R4739" s="18" t="n">
        <x:v>0</x:v>
      </x:c>
      <x:c r="S4739" s="18" t="n">
        <x:v>520</x:v>
      </x:c>
      <x:c r="T4739" s="18" t="n">
        <x:v>660</x:v>
      </x:c>
      <x:c r="U4739" s="18" t="n">
        <x:v>545</x:v>
      </x:c>
      <x:c r="V4739" s="20" t="n">
        <x:v>12</x:v>
      </x:c>
      <x:c r="W4739" s="20" t="n">
        <x:v>5</x:v>
      </x:c>
      <x:c r="X4739" s="20" t="n">
        <x:v>3</x:v>
      </x:c>
      <x:c r="Y4739" t="str">
        <x:v>Basis arsip 2025/2024</x:v>
      </x:c>
      <x:c r="Z4739" t="str">
        <x:v>https://snpmb.id/utbk-snbt/daya-tampung-snbt</x:v>
      </x:c>
      <x:c r="AA4739" t="str">
        <x:v>Tidak Ada</x:v>
      </x:c>
      <x:c r="AB4739" t="str">
        <x:v>Campus=55; Ratio=0.0; Prodi=85; RelDemand=77.8; Capacity=60.0</x:v>
      </x:c>
    </x:row>
    <x:row r="4740">
      <x:c r="A4740" t="n">
        <x:v>4737</x:v>
      </x:c>
      <x:c r="B4740" t="str">
        <x:v>PTN Vokasi</x:v>
      </x:c>
      <x:c r="C4740" t="str">
        <x:v>POLITEKNIK NEGERI FAKFAK</x:v>
      </x:c>
      <x:c r="D4740" t="str">
        <x:v>AGRO INDUSTRI</x:v>
      </x:c>
      <x:c r="E4740" t="str">
        <x:v>Diploma Tiga</x:v>
      </x:c>
      <x:c r="F4740" s="18" t="n">
        <x:v>36</x:v>
      </x:c>
      <x:c r="G4740" s="18" t="n">
        <x:v>2</x:v>
      </x:c>
      <x:c r="H4740" s="19" t="n">
        <x:v>0.05555555555555555</x:v>
      </x:c>
      <x:c r="I4740" s="18" t="n">
        <x:f>ROUND(MIN(Model_Config_v3!$B$6,MAX(Q4740,R4740,S4740*Model_Config_v3!$B$4+T4740*Model_Config_v3!$B$5)),0)</x:f>
        <x:v>598</x:v>
      </x:c>
      <x:c r="J4740" s="18" t="n">
        <x:f>MIN(Model_Config_v3!$B$6,I4740+Model_Config_v3!$B$7)</x:f>
        <x:v>618</x:v>
      </x:c>
      <x:c r="K4740" s="20" t="n">
        <x:v>36</x:v>
      </x:c>
      <x:c r="L4740" t="str">
        <x:v>RELATIF LONGGAR</x:v>
      </x:c>
      <x:c r="M4740" t="str">
        <x:v>SEDANG</x:v>
      </x:c>
      <x:c r="N4740" t="str">
        <x:v>REGULER</x:v>
      </x:c>
      <x:c r="O4740" t="str">
        <x:v>CAMPURAN</x:v>
      </x:c>
      <x:c r="P4740" t="str">
        <x:v>UMUM</x:v>
      </x:c>
      <x:c r="Q4740" s="18" t="n">
        <x:v>0</x:v>
      </x:c>
      <x:c r="R4740" s="18" t="n">
        <x:v>0</x:v>
      </x:c>
      <x:c r="S4740" s="18" t="n">
        <x:v>520</x:v>
      </x:c>
      <x:c r="T4740" s="18" t="n">
        <x:v>632</x:v>
      </x:c>
      <x:c r="U4740" s="18" t="n">
        <x:v>520</x:v>
      </x:c>
      <x:c r="V4740" s="20" t="n">
        <x:v>8.8</x:v>
      </x:c>
      <x:c r="W4740" s="20" t="n">
        <x:v>9.9</x:v>
      </x:c>
      <x:c r="X4740" s="20" t="n">
        <x:v>3.3</x:v>
      </x:c>
      <x:c r="Y4740" t="str">
        <x:v>Basis arsip 2025/2024</x:v>
      </x:c>
      <x:c r="Z4740" t="str">
        <x:v>https://snpmb.id/utbk-snbt/daya-tampung-snbt</x:v>
      </x:c>
      <x:c r="AA4740" t="str">
        <x:v>Tidak Ada</x:v>
      </x:c>
      <x:c r="AB4740" t="str">
        <x:v>Campus=55; Ratio=0.0; Prodi=40; RelDemand=17.3; Capacity=70.0</x:v>
      </x:c>
    </x:row>
    <x:row r="4741">
      <x:c r="A4741" t="n">
        <x:v>4738</x:v>
      </x:c>
      <x:c r="B4741" t="str">
        <x:v>PTN Vokasi</x:v>
      </x:c>
      <x:c r="C4741" t="str">
        <x:v>POLITEKNIK NEGERI FAKFAK</x:v>
      </x:c>
      <x:c r="D4741" t="str">
        <x:v>TEKNIK PERAWATAN DAN PERBAIKAN MESIN</x:v>
      </x:c>
      <x:c r="E4741" t="str">
        <x:v>Diploma Tiga</x:v>
      </x:c>
      <x:c r="F4741" s="18" t="n">
        <x:v>36</x:v>
      </x:c>
      <x:c r="G4741" s="18" t="n">
        <x:v>3</x:v>
      </x:c>
      <x:c r="H4741" s="19" t="n">
        <x:v>0.08333333333333333</x:v>
      </x:c>
      <x:c r="I4741" s="18" t="n">
        <x:f>ROUND(MIN(Model_Config_v3!$B$6,MAX(Q4741,R4741,S4741*Model_Config_v3!$B$4+T4741*Model_Config_v3!$B$5)),0)</x:f>
        <x:v>605</x:v>
      </x:c>
      <x:c r="J4741" s="18" t="n">
        <x:f>MIN(Model_Config_v3!$B$6,I4741+Model_Config_v3!$B$7)</x:f>
        <x:v>625</x:v>
      </x:c>
      <x:c r="K4741" s="20" t="n">
        <x:v>40.8</x:v>
      </x:c>
      <x:c r="L4741" t="str">
        <x:v>RELATIF LONGGAR</x:v>
      </x:c>
      <x:c r="M4741" t="str">
        <x:v>SEDANG+</x:v>
      </x:c>
      <x:c r="N4741" t="str">
        <x:v>REGULER</x:v>
      </x:c>
      <x:c r="O4741" t="str">
        <x:v>SAINTEK</x:v>
      </x:c>
      <x:c r="P4741" t="str">
        <x:v>TEKNIK/ARSITEKTUR/STATISTIKA/AKTUARIA</x:v>
      </x:c>
      <x:c r="Q4741" s="18" t="n">
        <x:v>0</x:v>
      </x:c>
      <x:c r="R4741" s="18" t="n">
        <x:v>0</x:v>
      </x:c>
      <x:c r="S4741" s="18" t="n">
        <x:v>520</x:v>
      </x:c>
      <x:c r="T4741" s="18" t="n">
        <x:v>642</x:v>
      </x:c>
      <x:c r="U4741" s="18" t="n">
        <x:v>530</x:v>
      </x:c>
      <x:c r="V4741" s="20" t="n">
        <x:v>12</x:v>
      </x:c>
      <x:c r="W4741" s="20" t="n">
        <x:v>5</x:v>
      </x:c>
      <x:c r="X4741" s="20" t="n">
        <x:v>3</x:v>
      </x:c>
      <x:c r="Y4741" t="str">
        <x:v>Basis arsip 2025/2024</x:v>
      </x:c>
      <x:c r="Z4741" t="str">
        <x:v>https://snpmb.id/utbk-snbt/daya-tampung-snbt</x:v>
      </x:c>
      <x:c r="AA4741" t="str">
        <x:v>Tidak Ada</x:v>
      </x:c>
      <x:c r="AB4741" t="str">
        <x:v>Campus=55; Ratio=0.0; Prodi=60; RelDemand=25.9; Capacity=70.0</x:v>
      </x:c>
    </x:row>
    <x:row r="4742">
      <x:c r="A4742" t="n">
        <x:v>4739</x:v>
      </x:c>
      <x:c r="B4742" t="str">
        <x:v>PTKIN</x:v>
      </x:c>
      <x:c r="C4742" t="str">
        <x:v>UIN AR-RANIRY</x:v>
      </x:c>
      <x:c r="D4742" t="str">
        <x:v>PENDIDIKAN TEKNIK ELEKTRO</x:v>
      </x:c>
      <x:c r="E4742" t="str">
        <x:v>Sarjana</x:v>
      </x:c>
      <x:c r="F4742" s="18" t="n">
        <x:v>20</x:v>
      </x:c>
      <x:c r="G4742" s="18" t="n">
        <x:v>13</x:v>
      </x:c>
      <x:c r="H4742" s="19" t="n">
        <x:v>0.65</x:v>
      </x:c>
      <x:c r="I4742" s="18" t="n">
        <x:f>ROUND(MIN(Model_Config_v3!$B$6,MAX(Q4742,R4742,S4742*Model_Config_v3!$B$4+T4742*Model_Config_v3!$B$5)),0)</x:f>
        <x:v>604</x:v>
      </x:c>
      <x:c r="J4742" s="18" t="n">
        <x:f>MIN(Model_Config_v3!$B$6,I4742+Model_Config_v3!$B$7)</x:f>
        <x:v>624</x:v>
      </x:c>
      <x:c r="K4742" s="20" t="n">
        <x:v>39.9</x:v>
      </x:c>
      <x:c r="L4742" t="str">
        <x:v>RELATIF LONGGAR</x:v>
      </x:c>
      <x:c r="M4742" t="str">
        <x:v>SEDANG+</x:v>
      </x:c>
      <x:c r="N4742" t="str">
        <x:v>REGULER</x:v>
      </x:c>
      <x:c r="O4742" t="str">
        <x:v>SAINTEK</x:v>
      </x:c>
      <x:c r="P4742" t="str">
        <x:v>PENDIDIKAN</x:v>
      </x:c>
      <x:c r="Q4742" s="18" t="n">
        <x:v>0</x:v>
      </x:c>
      <x:c r="R4742" s="18" t="n">
        <x:v>0</x:v>
      </x:c>
      <x:c r="S4742" s="18" t="n">
        <x:v>520</x:v>
      </x:c>
      <x:c r="T4742" s="18" t="n">
        <x:v>640</x:v>
      </x:c>
      <x:c r="U4742" s="18" t="n">
        <x:v>530</x:v>
      </x:c>
      <x:c r="V4742" s="20" t="n">
        <x:v>12</x:v>
      </x:c>
      <x:c r="W4742" s="20" t="n">
        <x:v>5</x:v>
      </x:c>
      <x:c r="X4742" s="20" t="n">
        <x:v>3</x:v>
      </x:c>
      <x:c r="Y4742" t="str">
        <x:v>Basis arsip 2025/2024</x:v>
      </x:c>
      <x:c r="Z4742" t="str">
        <x:v>https://snpmb.id/utbk-snbt/daya-tampung-snbt</x:v>
      </x:c>
      <x:c r="AA4742" t="str">
        <x:v>Tidak Ada</x:v>
      </x:c>
      <x:c r="AB4742" t="str">
        <x:v>Campus=55; Ratio=0.0; Prodi=45; RelDemand=33.6; Capacity=83.3</x:v>
      </x:c>
    </x:row>
    <x:row r="4743">
      <x:c r="A4743" t="n">
        <x:v>4740</x:v>
      </x:c>
      <x:c r="B4743" t="str">
        <x:v>PTKIN</x:v>
      </x:c>
      <x:c r="C4743" t="str">
        <x:v>UIN AR-RANIRY</x:v>
      </x:c>
      <x:c r="D4743" t="str">
        <x:v>PENDIDIKAN TEKNOLOGI INFORMASI</x:v>
      </x:c>
      <x:c r="E4743" t="str">
        <x:v>Sarjana</x:v>
      </x:c>
      <x:c r="F4743" s="18" t="n">
        <x:v>60</x:v>
      </x:c>
      <x:c r="G4743" s="18" t="n">
        <x:v>58</x:v>
      </x:c>
      <x:c r="H4743" s="19" t="n">
        <x:v>0.9666666666666667</x:v>
      </x:c>
      <x:c r="I4743" s="18" t="n">
        <x:f>ROUND(MIN(Model_Config_v3!$B$6,MAX(Q4743,R4743,S4743*Model_Config_v3!$B$4+T4743*Model_Config_v3!$B$5)),0)</x:f>
        <x:v>601</x:v>
      </x:c>
      <x:c r="J4743" s="18" t="n">
        <x:f>MIN(Model_Config_v3!$B$6,I4743+Model_Config_v3!$B$7)</x:f>
        <x:v>621</x:v>
      </x:c>
      <x:c r="K4743" s="20" t="n">
        <x:v>38.2</x:v>
      </x:c>
      <x:c r="L4743" t="str">
        <x:v>RELATIF LONGGAR</x:v>
      </x:c>
      <x:c r="M4743" t="str">
        <x:v>SEDANG+</x:v>
      </x:c>
      <x:c r="N4743" t="str">
        <x:v>REGULER</x:v>
      </x:c>
      <x:c r="O4743" t="str">
        <x:v>SAINTEK</x:v>
      </x:c>
      <x:c r="P4743" t="str">
        <x:v>PENDIDIKAN</x:v>
      </x:c>
      <x:c r="Q4743" s="18" t="n">
        <x:v>0</x:v>
      </x:c>
      <x:c r="R4743" s="18" t="n">
        <x:v>0</x:v>
      </x:c>
      <x:c r="S4743" s="18" t="n">
        <x:v>520</x:v>
      </x:c>
      <x:c r="T4743" s="18" t="n">
        <x:v>636</x:v>
      </x:c>
      <x:c r="U4743" s="18" t="n">
        <x:v>520</x:v>
      </x:c>
      <x:c r="V4743" s="20" t="n">
        <x:v>12</x:v>
      </x:c>
      <x:c r="W4743" s="20" t="n">
        <x:v>5</x:v>
      </x:c>
      <x:c r="X4743" s="20" t="n">
        <x:v>3</x:v>
      </x:c>
      <x:c r="Y4743" t="str">
        <x:v>Basis arsip 2025/2024</x:v>
      </x:c>
      <x:c r="Z4743" t="str">
        <x:v>https://snpmb.id/utbk-snbt/daya-tampung-snbt</x:v>
      </x:c>
      <x:c r="AA4743" t="str">
        <x:v>Tidak Ada</x:v>
      </x:c>
      <x:c r="AB4743" t="str">
        <x:v>Campus=55; Ratio=0.0; Prodi=45; RelDemand=50.0; Capacity=50.0</x:v>
      </x:c>
    </x:row>
    <x:row r="4744">
      <x:c r="A4744" t="n">
        <x:v>4741</x:v>
      </x:c>
      <x:c r="B4744" t="str">
        <x:v>PTKIN</x:v>
      </x:c>
      <x:c r="C4744" t="str">
        <x:v>UIN AR-RANIRY</x:v>
      </x:c>
      <x:c r="D4744" t="str">
        <x:v>ARSITEKTUR</x:v>
      </x:c>
      <x:c r="E4744" t="str">
        <x:v>Sarjana</x:v>
      </x:c>
      <x:c r="F4744" s="18" t="n">
        <x:v>60</x:v>
      </x:c>
      <x:c r="G4744" s="18" t="n">
        <x:v>35</x:v>
      </x:c>
      <x:c r="H4744" s="19" t="n">
        <x:v>0.5833333333333334</x:v>
      </x:c>
      <x:c r="I4744" s="18" t="n">
        <x:f>ROUND(MIN(Model_Config_v3!$B$6,MAX(Q4744,R4744,S4744*Model_Config_v3!$B$4+T4744*Model_Config_v3!$B$5)),0)</x:f>
        <x:v>603</x:v>
      </x:c>
      <x:c r="J4744" s="18" t="n">
        <x:f>MIN(Model_Config_v3!$B$6,I4744+Model_Config_v3!$B$7)</x:f>
        <x:v>623</x:v>
      </x:c>
      <x:c r="K4744" s="20" t="n">
        <x:v>39.3</x:v>
      </x:c>
      <x:c r="L4744" t="str">
        <x:v>RELATIF LONGGAR</x:v>
      </x:c>
      <x:c r="M4744" t="str">
        <x:v>SEDANG+</x:v>
      </x:c>
      <x:c r="N4744" t="str">
        <x:v>REGULER</x:v>
      </x:c>
      <x:c r="O4744" t="str">
        <x:v>SAINTEK</x:v>
      </x:c>
      <x:c r="P4744" t="str">
        <x:v>TEKNIK/ARSITEKTUR/STATISTIKA/AKTUARIA</x:v>
      </x:c>
      <x:c r="Q4744" s="18" t="n">
        <x:v>0</x:v>
      </x:c>
      <x:c r="R4744" s="18" t="n">
        <x:v>0</x:v>
      </x:c>
      <x:c r="S4744" s="18" t="n">
        <x:v>520</x:v>
      </x:c>
      <x:c r="T4744" s="18" t="n">
        <x:v>639</x:v>
      </x:c>
      <x:c r="U4744" s="18" t="n">
        <x:v>520</x:v>
      </x:c>
      <x:c r="V4744" s="20" t="n">
        <x:v>12</x:v>
      </x:c>
      <x:c r="W4744" s="20" t="n">
        <x:v>5</x:v>
      </x:c>
      <x:c r="X4744" s="20" t="n">
        <x:v>3</x:v>
      </x:c>
      <x:c r="Y4744" t="str">
        <x:v>Basis arsip 2025/2024</x:v>
      </x:c>
      <x:c r="Z4744" t="str">
        <x:v>https://snpmb.id/utbk-snbt/daya-tampung-snbt</x:v>
      </x:c>
      <x:c r="AA4744" t="str">
        <x:v>Tidak Ada</x:v>
      </x:c>
      <x:c r="AB4744" t="str">
        <x:v>Campus=55; Ratio=0.0; Prodi=60; RelDemand=30.1; Capacity=50.0</x:v>
      </x:c>
    </x:row>
    <x:row r="4745">
      <x:c r="A4745" t="n">
        <x:v>4742</x:v>
      </x:c>
      <x:c r="B4745" t="str">
        <x:v>PTKIN</x:v>
      </x:c>
      <x:c r="C4745" t="str">
        <x:v>UIN AR-RANIRY</x:v>
      </x:c>
      <x:c r="D4745" t="str">
        <x:v>TEKNIK LINGKUNGAN</x:v>
      </x:c>
      <x:c r="E4745" t="str">
        <x:v>Sarjana</x:v>
      </x:c>
      <x:c r="F4745" s="18" t="n">
        <x:v>50</x:v>
      </x:c>
      <x:c r="G4745" s="18" t="n">
        <x:v>35</x:v>
      </x:c>
      <x:c r="H4745" s="19" t="n">
        <x:v>0.7</x:v>
      </x:c>
      <x:c r="I4745" s="18" t="n">
        <x:f>ROUND(MIN(Model_Config_v3!$B$6,MAX(Q4745,R4745,S4745*Model_Config_v3!$B$4+T4745*Model_Config_v3!$B$5)),0)</x:f>
        <x:v>605</x:v>
      </x:c>
      <x:c r="J4745" s="18" t="n">
        <x:f>MIN(Model_Config_v3!$B$6,I4745+Model_Config_v3!$B$7)</x:f>
        <x:v>625</x:v>
      </x:c>
      <x:c r="K4745" s="20" t="n">
        <x:v>40.7</x:v>
      </x:c>
      <x:c r="L4745" t="str">
        <x:v>RELATIF LONGGAR</x:v>
      </x:c>
      <x:c r="M4745" t="str">
        <x:v>SEDANG+</x:v>
      </x:c>
      <x:c r="N4745" t="str">
        <x:v>REGULER</x:v>
      </x:c>
      <x:c r="O4745" t="str">
        <x:v>SAINTEK</x:v>
      </x:c>
      <x:c r="P4745" t="str">
        <x:v>TEKNIK/ARSITEKTUR/STATISTIKA/AKTUARIA</x:v>
      </x:c>
      <x:c r="Q4745" s="18" t="n">
        <x:v>0</x:v>
      </x:c>
      <x:c r="R4745" s="18" t="n">
        <x:v>0</x:v>
      </x:c>
      <x:c r="S4745" s="18" t="n">
        <x:v>520</x:v>
      </x:c>
      <x:c r="T4745" s="18" t="n">
        <x:v>641</x:v>
      </x:c>
      <x:c r="U4745" s="18" t="n">
        <x:v>530</x:v>
      </x:c>
      <x:c r="V4745" s="20" t="n">
        <x:v>12</x:v>
      </x:c>
      <x:c r="W4745" s="20" t="n">
        <x:v>5</x:v>
      </x:c>
      <x:c r="X4745" s="20" t="n">
        <x:v>3</x:v>
      </x:c>
      <x:c r="Y4745" t="str">
        <x:v>Basis arsip 2025/2024</x:v>
      </x:c>
      <x:c r="Z4745" t="str">
        <x:v>https://snpmb.id/utbk-snbt/daya-tampung-snbt</x:v>
      </x:c>
      <x:c r="AA4745" t="str">
        <x:v>Tidak Ada</x:v>
      </x:c>
      <x:c r="AB4745" t="str">
        <x:v>Campus=55; Ratio=0.0; Prodi=60; RelDemand=36.2; Capacity=58.3</x:v>
      </x:c>
    </x:row>
    <x:row r="4746">
      <x:c r="A4746" t="n">
        <x:v>4743</x:v>
      </x:c>
      <x:c r="B4746" t="str">
        <x:v>PTKIN</x:v>
      </x:c>
      <x:c r="C4746" t="str">
        <x:v>UIN AR-RANIRY</x:v>
      </x:c>
      <x:c r="D4746" t="str">
        <x:v>BIOLOGI</x:v>
      </x:c>
      <x:c r="E4746" t="str">
        <x:v>Sarjana</x:v>
      </x:c>
      <x:c r="F4746" s="18" t="n">
        <x:v>10</x:v>
      </x:c>
      <x:c r="G4746" s="18" t="n">
        <x:v>15</x:v>
      </x:c>
      <x:c r="H4746" s="19" t="n">
        <x:v>1.5</x:v>
      </x:c>
      <x:c r="I4746" s="18" t="n">
        <x:f>ROUND(MIN(Model_Config_v3!$B$6,MAX(Q4746,R4746,S4746*Model_Config_v3!$B$4+T4746*Model_Config_v3!$B$5)),0)</x:f>
        <x:v>622</x:v>
      </x:c>
      <x:c r="J4746" s="18" t="n">
        <x:f>MIN(Model_Config_v3!$B$6,I4746+Model_Config_v3!$B$7)</x:f>
        <x:v>642</x:v>
      </x:c>
      <x:c r="K4746" s="20" t="n">
        <x:v>48.8</x:v>
      </x:c>
      <x:c r="L4746" t="str">
        <x:v>MENENGAH</x:v>
      </x:c>
      <x:c r="M4746" t="str">
        <x:v>SEDANG+</x:v>
      </x:c>
      <x:c r="N4746" t="str">
        <x:v>REGULER</x:v>
      </x:c>
      <x:c r="O4746" t="str">
        <x:v>SAINTEK</x:v>
      </x:c>
      <x:c r="P4746" t="str">
        <x:v>SAINS DASAR</x:v>
      </x:c>
      <x:c r="Q4746" s="18" t="n">
        <x:v>0</x:v>
      </x:c>
      <x:c r="R4746" s="18" t="n">
        <x:v>0</x:v>
      </x:c>
      <x:c r="S4746" s="18" t="n">
        <x:v>539.370038496125</x:v>
      </x:c>
      <x:c r="T4746" s="18" t="n">
        <x:v>658</x:v>
      </x:c>
      <x:c r="U4746" s="18" t="n">
        <x:v>539.370038496125</x:v>
      </x:c>
      <x:c r="V4746" s="20" t="n">
        <x:v>12</x:v>
      </x:c>
      <x:c r="W4746" s="20" t="n">
        <x:v>5</x:v>
      </x:c>
      <x:c r="X4746" s="20" t="n">
        <x:v>3</x:v>
      </x:c>
      <x:c r="Y4746" t="str">
        <x:v>Basis arsip 2025/2024</x:v>
      </x:c>
      <x:c r="Z4746" t="str">
        <x:v>https://snpmb.id/utbk-snbt/daya-tampung-snbt</x:v>
      </x:c>
      <x:c r="AA4746" t="str">
        <x:v>Tidak Ada</x:v>
      </x:c>
      <x:c r="AB4746" t="str">
        <x:v>Campus=55; Ratio=10.4; Prodi=50; RelDemand=77.5; Capacity=91.7</x:v>
      </x:c>
    </x:row>
    <x:row r="4747">
      <x:c r="A4747" t="n">
        <x:v>4744</x:v>
      </x:c>
      <x:c r="B4747" t="str">
        <x:v>PTKIN</x:v>
      </x:c>
      <x:c r="C4747" t="str">
        <x:v>UIN AR-RANIRY</x:v>
      </x:c>
      <x:c r="D4747" t="str">
        <x:v>KIMIA</x:v>
      </x:c>
      <x:c r="E4747" t="str">
        <x:v>Sarjana</x:v>
      </x:c>
      <x:c r="F4747" s="18" t="n">
        <x:v>10</x:v>
      </x:c>
      <x:c r="G4747" s="18" t="n">
        <x:v>3</x:v>
      </x:c>
      <x:c r="H4747" s="19" t="n">
        <x:v>0.3</x:v>
      </x:c>
      <x:c r="I4747" s="18" t="n">
        <x:f>ROUND(MIN(Model_Config_v3!$B$6,MAX(Q4747,R4747,S4747*Model_Config_v3!$B$4+T4747*Model_Config_v3!$B$5)),0)</x:f>
        <x:v>604</x:v>
      </x:c>
      <x:c r="J4747" s="18" t="n">
        <x:f>MIN(Model_Config_v3!$B$6,I4747+Model_Config_v3!$B$7)</x:f>
        <x:v>624</x:v>
      </x:c>
      <x:c r="K4747" s="20" t="n">
        <x:v>40</x:v>
      </x:c>
      <x:c r="L4747" t="str">
        <x:v>RELATIF LONGGAR</x:v>
      </x:c>
      <x:c r="M4747" t="str">
        <x:v>SEDANG+</x:v>
      </x:c>
      <x:c r="N4747" t="str">
        <x:v>REGULER</x:v>
      </x:c>
      <x:c r="O4747" t="str">
        <x:v>SAINTEK</x:v>
      </x:c>
      <x:c r="P4747" t="str">
        <x:v>SAINS DASAR</x:v>
      </x:c>
      <x:c r="Q4747" s="18" t="n">
        <x:v>0</x:v>
      </x:c>
      <x:c r="R4747" s="18" t="n">
        <x:v>0</x:v>
      </x:c>
      <x:c r="S4747" s="18" t="n">
        <x:v>520</x:v>
      </x:c>
      <x:c r="T4747" s="18" t="n">
        <x:v>640</x:v>
      </x:c>
      <x:c r="U4747" s="18" t="n">
        <x:v>520</x:v>
      </x:c>
      <x:c r="V4747" s="20" t="n">
        <x:v>12</x:v>
      </x:c>
      <x:c r="W4747" s="20" t="n">
        <x:v>5</x:v>
      </x:c>
      <x:c r="X4747" s="20" t="n">
        <x:v>3</x:v>
      </x:c>
      <x:c r="Y4747" t="str">
        <x:v>Basis arsip 2025/2024</x:v>
      </x:c>
      <x:c r="Z4747" t="str">
        <x:v>https://snpmb.id/utbk-snbt/daya-tampung-snbt</x:v>
      </x:c>
      <x:c r="AA4747" t="str">
        <x:v>Tidak Ada</x:v>
      </x:c>
      <x:c r="AB4747" t="str">
        <x:v>Campus=55; Ratio=0.0; Prodi=50; RelDemand=15.5; Capacity=91.7</x:v>
      </x:c>
    </x:row>
    <x:row r="4748">
      <x:c r="A4748" t="n">
        <x:v>4745</x:v>
      </x:c>
      <x:c r="B4748" t="str">
        <x:v>PTKIN</x:v>
      </x:c>
      <x:c r="C4748" t="str">
        <x:v>UIN AR-RANIRY</x:v>
      </x:c>
      <x:c r="D4748" t="str">
        <x:v>TEKNOLOGI INFORMASI</x:v>
      </x:c>
      <x:c r="E4748" t="str">
        <x:v>Sarjana</x:v>
      </x:c>
      <x:c r="F4748" s="18" t="n">
        <x:v>80</x:v>
      </x:c>
      <x:c r="G4748" s="18" t="n">
        <x:v>170</x:v>
      </x:c>
      <x:c r="H4748" s="19" t="n">
        <x:v>2.125</x:v>
      </x:c>
      <x:c r="I4748" s="18" t="n">
        <x:f>ROUND(MIN(Model_Config_v3!$B$6,MAX(Q4748,R4748,S4748*Model_Config_v3!$B$4+T4748*Model_Config_v3!$B$5)),0)</x:f>
        <x:v>623</x:v>
      </x:c>
      <x:c r="J4748" s="18" t="n">
        <x:f>MIN(Model_Config_v3!$B$6,I4748+Model_Config_v3!$B$7)</x:f>
        <x:v>643</x:v>
      </x:c>
      <x:c r="K4748" s="20" t="n">
        <x:v>45.4</x:v>
      </x:c>
      <x:c r="L4748" t="str">
        <x:v>MENENGAH</x:v>
      </x:c>
      <x:c r="M4748" t="str">
        <x:v>SEDANG</x:v>
      </x:c>
      <x:c r="N4748" t="str">
        <x:v>REGULER</x:v>
      </x:c>
      <x:c r="O4748" t="str">
        <x:v>SAINTEK</x:v>
      </x:c>
      <x:c r="P4748" t="str">
        <x:v>UMUM</x:v>
      </x:c>
      <x:c r="Q4748" s="18" t="n">
        <x:v>0</x:v>
      </x:c>
      <x:c r="R4748" s="18" t="n">
        <x:v>0</x:v>
      </x:c>
      <x:c r="S4748" s="18" t="n">
        <x:v>556.0094827824963</x:v>
      </x:c>
      <x:c r="T4748" s="18" t="n">
        <x:v>651</x:v>
      </x:c>
      <x:c r="U4748" s="18" t="n">
        <x:v>556.0094827824963</x:v>
      </x:c>
      <x:c r="V4748" s="20" t="n">
        <x:v>12</x:v>
      </x:c>
      <x:c r="W4748" s="20" t="n">
        <x:v>5</x:v>
      </x:c>
      <x:c r="X4748" s="20" t="n">
        <x:v>3</x:v>
      </x:c>
      <x:c r="Y4748" t="str">
        <x:v>Basis arsip 2025/2024</x:v>
      </x:c>
      <x:c r="Z4748" t="str">
        <x:v>https://snpmb.id/utbk-snbt/daya-tampung-snbt</x:v>
      </x:c>
      <x:c r="AA4748" t="str">
        <x:v>Tidak Ada</x:v>
      </x:c>
      <x:c r="AB4748" t="str">
        <x:v>Campus=55; Ratio=19.3; Prodi=40; RelDemand=100.0; Capacity=33.3</x:v>
      </x:c>
    </x:row>
    <x:row r="4749">
      <x:c r="A4749" t="n">
        <x:v>4746</x:v>
      </x:c>
      <x:c r="B4749" t="str">
        <x:v>PTKIN</x:v>
      </x:c>
      <x:c r="C4749" t="str">
        <x:v>UIN AR-RANIRY</x:v>
      </x:c>
      <x:c r="D4749" t="str">
        <x:v>ILMU HUKUM</x:v>
      </x:c>
      <x:c r="E4749" t="str">
        <x:v>Sarjana</x:v>
      </x:c>
      <x:c r="F4749" s="18" t="n">
        <x:v>94</x:v>
      </x:c>
      <x:c r="G4749" s="18" t="n">
        <x:v>116</x:v>
      </x:c>
      <x:c r="H4749" s="19" t="n">
        <x:v>1.2340425531914894</x:v>
      </x:c>
      <x:c r="I4749" s="18" t="n">
        <x:f>ROUND(MIN(Model_Config_v3!$B$6,MAX(Q4749,R4749,S4749*Model_Config_v3!$B$4+T4749*Model_Config_v3!$B$5)),0)</x:f>
        <x:v>610</x:v>
      </x:c>
      <x:c r="J4749" s="18" t="n">
        <x:f>MIN(Model_Config_v3!$B$6,I4749+Model_Config_v3!$B$7)</x:f>
        <x:v>630</x:v>
      </x:c>
      <x:c r="K4749" s="20" t="n">
        <x:v>42.1</x:v>
      </x:c>
      <x:c r="L4749" t="str">
        <x:v>RELATIF LONGGAR</x:v>
      </x:c>
      <x:c r="M4749" t="str">
        <x:v>SEDANG+</x:v>
      </x:c>
      <x:c r="N4749" t="str">
        <x:v>REGULER</x:v>
      </x:c>
      <x:c r="O4749" t="str">
        <x:v>SOSHUM</x:v>
      </x:c>
      <x:c r="P4749" t="str">
        <x:v>HUKUM</x:v>
      </x:c>
      <x:c r="Q4749" s="18" t="n">
        <x:v>0</x:v>
      </x:c>
      <x:c r="R4749" s="18" t="n">
        <x:v>0</x:v>
      </x:c>
      <x:c r="S4749" s="18" t="n">
        <x:v>530.0463149189942</x:v>
      </x:c>
      <x:c r="T4749" s="18" t="n">
        <x:v>644</x:v>
      </x:c>
      <x:c r="U4749" s="18" t="n">
        <x:v>545.0463149189942</x:v>
      </x:c>
      <x:c r="V4749" s="20" t="n">
        <x:v>4.4</x:v>
      </x:c>
      <x:c r="W4749" s="20" t="n">
        <x:v>14.3</x:v>
      </x:c>
      <x:c r="X4749" s="20" t="n">
        <x:v>3.3</x:v>
      </x:c>
      <x:c r="Y4749" t="str">
        <x:v>Basis arsip 2025/2024</x:v>
      </x:c>
      <x:c r="Z4749" t="str">
        <x:v>https://snpmb.id/utbk-snbt/daya-tampung-snbt</x:v>
      </x:c>
      <x:c r="AA4749" t="str">
        <x:v>Tidak Ada</x:v>
      </x:c>
      <x:c r="AB4749" t="str">
        <x:v>Campus=55; Ratio=5.4; Prodi=65; RelDemand=63.8; Capacity=21.7</x:v>
      </x:c>
    </x:row>
    <x:row r="4750">
      <x:c r="A4750" t="n">
        <x:v>4747</x:v>
      </x:c>
      <x:c r="B4750" t="str">
        <x:v>PTKIN</x:v>
      </x:c>
      <x:c r="C4750" t="str">
        <x:v>UIN AR-RANIRY</x:v>
      </x:c>
      <x:c r="D4750" t="str">
        <x:v>BIMBINGAN KONSELING</x:v>
      </x:c>
      <x:c r="E4750" t="str">
        <x:v>Sarjana</x:v>
      </x:c>
      <x:c r="F4750" s="18" t="n">
        <x:v>80</x:v>
      </x:c>
      <x:c r="G4750" s="18" t="n">
        <x:v>106</x:v>
      </x:c>
      <x:c r="H4750" s="19" t="n">
        <x:v>1.325</x:v>
      </x:c>
      <x:c r="I4750" s="18" t="n">
        <x:f>ROUND(MIN(Model_Config_v3!$B$6,MAX(Q4750,R4750,S4750*Model_Config_v3!$B$4+T4750*Model_Config_v3!$B$5)),0)</x:f>
        <x:v>607</x:v>
      </x:c>
      <x:c r="J4750" s="18" t="n">
        <x:f>MIN(Model_Config_v3!$B$6,I4750+Model_Config_v3!$B$7)</x:f>
        <x:v>627</x:v>
      </x:c>
      <x:c r="K4750" s="20" t="n">
        <x:v>39.2</x:v>
      </x:c>
      <x:c r="L4750" t="str">
        <x:v>RELATIF LONGGAR</x:v>
      </x:c>
      <x:c r="M4750" t="str">
        <x:v>SEDANG</x:v>
      </x:c>
      <x:c r="N4750" t="str">
        <x:v>REGULER</x:v>
      </x:c>
      <x:c r="O4750" t="str">
        <x:v>CAMPURAN</x:v>
      </x:c>
      <x:c r="P4750" t="str">
        <x:v>UMUM</x:v>
      </x:c>
      <x:c r="Q4750" s="18" t="n">
        <x:v>0</x:v>
      </x:c>
      <x:c r="R4750" s="18" t="n">
        <x:v>0</x:v>
      </x:c>
      <x:c r="S4750" s="18" t="n">
        <x:v>533.443746610011</x:v>
      </x:c>
      <x:c r="T4750" s="18" t="n">
        <x:v>638</x:v>
      </x:c>
      <x:c r="U4750" s="18" t="n">
        <x:v>533.443746610011</x:v>
      </x:c>
      <x:c r="V4750" s="20" t="n">
        <x:v>8.8</x:v>
      </x:c>
      <x:c r="W4750" s="20" t="n">
        <x:v>9.9</x:v>
      </x:c>
      <x:c r="X4750" s="20" t="n">
        <x:v>3.3</x:v>
      </x:c>
      <x:c r="Y4750" t="str">
        <x:v>Basis arsip 2025/2024</x:v>
      </x:c>
      <x:c r="Z4750" t="str">
        <x:v>https://snpmb.id/utbk-snbt/daya-tampung-snbt</x:v>
      </x:c>
      <x:c r="AA4750" t="str">
        <x:v>Tidak Ada</x:v>
      </x:c>
      <x:c r="AB4750" t="str">
        <x:v>Campus=55; Ratio=7.2; Prodi=40; RelDemand=68.5; Capacity=33.3</x:v>
      </x:c>
    </x:row>
    <x:row r="4751">
      <x:c r="A4751" t="n">
        <x:v>4748</x:v>
      </x:c>
      <x:c r="B4751" t="str">
        <x:v>PTKIN</x:v>
      </x:c>
      <x:c r="C4751" t="str">
        <x:v>UIN AR-RANIRY</x:v>
      </x:c>
      <x:c r="D4751" t="str">
        <x:v>ILMU PERPUSTAKAAN</x:v>
      </x:c>
      <x:c r="E4751" t="str">
        <x:v>Sarjana</x:v>
      </x:c>
      <x:c r="F4751" s="18" t="n">
        <x:v>70</x:v>
      </x:c>
      <x:c r="G4751" s="18" t="n">
        <x:v>40</x:v>
      </x:c>
      <x:c r="H4751" s="19" t="n">
        <x:v>0.5714285714285714</x:v>
      </x:c>
      <x:c r="I4751" s="18" t="n">
        <x:f>ROUND(MIN(Model_Config_v3!$B$6,MAX(Q4751,R4751,S4751*Model_Config_v3!$B$4+T4751*Model_Config_v3!$B$5)),0)</x:f>
        <x:v>596</x:v>
      </x:c>
      <x:c r="J4751" s="18" t="n">
        <x:f>MIN(Model_Config_v3!$B$6,I4751+Model_Config_v3!$B$7)</x:f>
        <x:v>616</x:v>
      </x:c>
      <x:c r="K4751" s="20" t="n">
        <x:v>34.4</x:v>
      </x:c>
      <x:c r="L4751" t="str">
        <x:v>RELATIF LONGGAR</x:v>
      </x:c>
      <x:c r="M4751" t="str">
        <x:v>SEDANG</x:v>
      </x:c>
      <x:c r="N4751" t="str">
        <x:v>REGULER</x:v>
      </x:c>
      <x:c r="O4751" t="str">
        <x:v>CAMPURAN</x:v>
      </x:c>
      <x:c r="P4751" t="str">
        <x:v>UMUM</x:v>
      </x:c>
      <x:c r="Q4751" s="18" t="n">
        <x:v>0</x:v>
      </x:c>
      <x:c r="R4751" s="18" t="n">
        <x:v>0</x:v>
      </x:c>
      <x:c r="S4751" s="18" t="n">
        <x:v>520</x:v>
      </x:c>
      <x:c r="T4751" s="18" t="n">
        <x:v>629</x:v>
      </x:c>
      <x:c r="U4751" s="18" t="n">
        <x:v>520</x:v>
      </x:c>
      <x:c r="V4751" s="20" t="n">
        <x:v>8.8</x:v>
      </x:c>
      <x:c r="W4751" s="20" t="n">
        <x:v>9.9</x:v>
      </x:c>
      <x:c r="X4751" s="20" t="n">
        <x:v>3.3</x:v>
      </x:c>
      <x:c r="Y4751" t="str">
        <x:v>Basis arsip 2025/2024</x:v>
      </x:c>
      <x:c r="Z4751" t="str">
        <x:v>https://snpmb.id/utbk-snbt/daya-tampung-snbt</x:v>
      </x:c>
      <x:c r="AA4751" t="str">
        <x:v>Tidak Ada</x:v>
      </x:c>
      <x:c r="AB4751" t="str">
        <x:v>Campus=55; Ratio=0.0; Prodi=40; RelDemand=29.5; Capacity=41.7</x:v>
      </x:c>
    </x:row>
    <x:row r="4752">
      <x:c r="A4752" t="n">
        <x:v>4749</x:v>
      </x:c>
      <x:c r="B4752" t="str">
        <x:v>PTKIN</x:v>
      </x:c>
      <x:c r="C4752" t="str">
        <x:v>UIN AR-RANIRY</x:v>
      </x:c>
      <x:c r="D4752" t="str">
        <x:v>ILMU EKONOMI</x:v>
      </x:c>
      <x:c r="E4752" t="str">
        <x:v>Sarjana</x:v>
      </x:c>
      <x:c r="F4752" s="18" t="n">
        <x:v>80</x:v>
      </x:c>
      <x:c r="G4752" s="18" t="n">
        <x:v>98</x:v>
      </x:c>
      <x:c r="H4752" s="19" t="n">
        <x:v>1.225</x:v>
      </x:c>
      <x:c r="I4752" s="18" t="n">
        <x:f>ROUND(MIN(Model_Config_v3!$B$6,MAX(Q4752,R4752,S4752*Model_Config_v3!$B$4+T4752*Model_Config_v3!$B$5)),0)</x:f>
        <x:v>611</x:v>
      </x:c>
      <x:c r="J4752" s="18" t="n">
        <x:f>MIN(Model_Config_v3!$B$6,I4752+Model_Config_v3!$B$7)</x:f>
        <x:v>631</x:v>
      </x:c>
      <x:c r="K4752" s="20" t="n">
        <x:v>43.2</x:v>
      </x:c>
      <x:c r="L4752" t="str">
        <x:v>RELATIF LONGGAR</x:v>
      </x:c>
      <x:c r="M4752" t="str">
        <x:v>SEDANG+</x:v>
      </x:c>
      <x:c r="N4752" t="str">
        <x:v>REGULER</x:v>
      </x:c>
      <x:c r="O4752" t="str">
        <x:v>SOSHUM</x:v>
      </x:c>
      <x:c r="P4752" t="str">
        <x:v>BISNIS/EKONOMI/AKUNTANSI</x:v>
      </x:c>
      <x:c r="Q4752" s="18" t="n">
        <x:v>0</x:v>
      </x:c>
      <x:c r="R4752" s="18" t="n">
        <x:v>0</x:v>
      </x:c>
      <x:c r="S4752" s="18" t="n">
        <x:v>529.6949697570607</x:v>
      </x:c>
      <x:c r="T4752" s="18" t="n">
        <x:v>646</x:v>
      </x:c>
      <x:c r="U4752" s="18" t="n">
        <x:v>529.6949697570607</x:v>
      </x:c>
      <x:c r="V4752" s="20" t="n">
        <x:v>4.4</x:v>
      </x:c>
      <x:c r="W4752" s="20" t="n">
        <x:v>14.3</x:v>
      </x:c>
      <x:c r="X4752" s="20" t="n">
        <x:v>3.3</x:v>
      </x:c>
      <x:c r="Y4752" t="str">
        <x:v>Basis arsip 2025/2024</x:v>
      </x:c>
      <x:c r="Z4752" t="str">
        <x:v>https://snpmb.id/utbk-snbt/daya-tampung-snbt</x:v>
      </x:c>
      <x:c r="AA4752" t="str">
        <x:v>Tidak Ada</x:v>
      </x:c>
      <x:c r="AB4752" t="str">
        <x:v>Campus=55; Ratio=5.2; Prodi=65; RelDemand=63.3; Capacity=33.3</x:v>
      </x:c>
    </x:row>
    <x:row r="4753">
      <x:c r="A4753" t="n">
        <x:v>4750</x:v>
      </x:c>
      <x:c r="B4753" t="str">
        <x:v>PTKIN</x:v>
      </x:c>
      <x:c r="C4753" t="str">
        <x:v>UIN AR-RANIRY</x:v>
      </x:c>
      <x:c r="D4753" t="str">
        <x:v>ILMU POLITIK</x:v>
      </x:c>
      <x:c r="E4753" t="str">
        <x:v>Sarjana</x:v>
      </x:c>
      <x:c r="F4753" s="18" t="n">
        <x:v>14</x:v>
      </x:c>
      <x:c r="G4753" s="18" t="n">
        <x:v>10</x:v>
      </x:c>
      <x:c r="H4753" s="19" t="n">
        <x:v>0.7142857142857143</x:v>
      </x:c>
      <x:c r="I4753" s="18" t="n">
        <x:f>ROUND(MIN(Model_Config_v3!$B$6,MAX(Q4753,R4753,S4753*Model_Config_v3!$B$4+T4753*Model_Config_v3!$B$5)),0)</x:f>
        <x:v>604</x:v>
      </x:c>
      <x:c r="J4753" s="18" t="n">
        <x:f>MIN(Model_Config_v3!$B$6,I4753+Model_Config_v3!$B$7)</x:f>
        <x:v>624</x:v>
      </x:c>
      <x:c r="K4753" s="20" t="n">
        <x:v>39.8</x:v>
      </x:c>
      <x:c r="L4753" t="str">
        <x:v>RELATIF LONGGAR</x:v>
      </x:c>
      <x:c r="M4753" t="str">
        <x:v>SEDANG</x:v>
      </x:c>
      <x:c r="N4753" t="str">
        <x:v>REGULER</x:v>
      </x:c>
      <x:c r="O4753" t="str">
        <x:v>SOSHUM</x:v>
      </x:c>
      <x:c r="P4753" t="str">
        <x:v>UMUM</x:v>
      </x:c>
      <x:c r="Q4753" s="18" t="n">
        <x:v>0</x:v>
      </x:c>
      <x:c r="R4753" s="18" t="n">
        <x:v>0</x:v>
      </x:c>
      <x:c r="S4753" s="18" t="n">
        <x:v>520</x:v>
      </x:c>
      <x:c r="T4753" s="18" t="n">
        <x:v>640</x:v>
      </x:c>
      <x:c r="U4753" s="18" t="n">
        <x:v>520</x:v>
      </x:c>
      <x:c r="V4753" s="20" t="n">
        <x:v>4.4</x:v>
      </x:c>
      <x:c r="W4753" s="20" t="n">
        <x:v>14.3</x:v>
      </x:c>
      <x:c r="X4753" s="20" t="n">
        <x:v>3.3</x:v>
      </x:c>
      <x:c r="Y4753" t="str">
        <x:v>Basis arsip 2025/2024</x:v>
      </x:c>
      <x:c r="Z4753" t="str">
        <x:v>https://snpmb.id/utbk-snbt/daya-tampung-snbt</x:v>
      </x:c>
      <x:c r="AA4753" t="str">
        <x:v>Tidak Ada</x:v>
      </x:c>
      <x:c r="AB4753" t="str">
        <x:v>Campus=55; Ratio=0.0; Prodi=40; RelDemand=36.9; Capacity=88.3</x:v>
      </x:c>
    </x:row>
    <x:row r="4754">
      <x:c r="A4754" t="n">
        <x:v>4751</x:v>
      </x:c>
      <x:c r="B4754" t="str">
        <x:v>PTKIN</x:v>
      </x:c>
      <x:c r="C4754" t="str">
        <x:v>UIN AR-RANIRY</x:v>
      </x:c>
      <x:c r="D4754" t="str">
        <x:v>ILMU ADMINISTRASI NEGARA</x:v>
      </x:c>
      <x:c r="E4754" t="str">
        <x:v>Sarjana</x:v>
      </x:c>
      <x:c r="F4754" s="18" t="n">
        <x:v>84</x:v>
      </x:c>
      <x:c r="G4754" s="18" t="n">
        <x:v>75</x:v>
      </x:c>
      <x:c r="H4754" s="19" t="n">
        <x:v>0.8928571428571429</x:v>
      </x:c>
      <x:c r="I4754" s="18" t="n">
        <x:f>ROUND(MIN(Model_Config_v3!$B$6,MAX(Q4754,R4754,S4754*Model_Config_v3!$B$4+T4754*Model_Config_v3!$B$5)),0)</x:f>
        <x:v>597</x:v>
      </x:c>
      <x:c r="J4754" s="18" t="n">
        <x:f>MIN(Model_Config_v3!$B$6,I4754+Model_Config_v3!$B$7)</x:f>
        <x:v>617</x:v>
      </x:c>
      <x:c r="K4754" s="20" t="n">
        <x:v>34.9</x:v>
      </x:c>
      <x:c r="L4754" t="str">
        <x:v>RELATIF LONGGAR</x:v>
      </x:c>
      <x:c r="M4754" t="str">
        <x:v>SEDANG</x:v>
      </x:c>
      <x:c r="N4754" t="str">
        <x:v>REGULER</x:v>
      </x:c>
      <x:c r="O4754" t="str">
        <x:v>SOSHUM</x:v>
      </x:c>
      <x:c r="P4754" t="str">
        <x:v>UMUM</x:v>
      </x:c>
      <x:c r="Q4754" s="18" t="n">
        <x:v>0</x:v>
      </x:c>
      <x:c r="R4754" s="18" t="n">
        <x:v>0</x:v>
      </x:c>
      <x:c r="S4754" s="18" t="n">
        <x:v>520</x:v>
      </x:c>
      <x:c r="T4754" s="18" t="n">
        <x:v>630</x:v>
      </x:c>
      <x:c r="U4754" s="18" t="n">
        <x:v>520</x:v>
      </x:c>
      <x:c r="V4754" s="20" t="n">
        <x:v>4.4</x:v>
      </x:c>
      <x:c r="W4754" s="20" t="n">
        <x:v>14.3</x:v>
      </x:c>
      <x:c r="X4754" s="20" t="n">
        <x:v>3.3</x:v>
      </x:c>
      <x:c r="Y4754" t="str">
        <x:v>Basis arsip 2025/2024</x:v>
      </x:c>
      <x:c r="Z4754" t="str">
        <x:v>https://snpmb.id/utbk-snbt/daya-tampung-snbt</x:v>
      </x:c>
      <x:c r="AA4754" t="str">
        <x:v>Tidak Ada</x:v>
      </x:c>
      <x:c r="AB4754" t="str">
        <x:v>Campus=55; Ratio=0.0; Prodi=40; RelDemand=46.1; Capacity=30.0</x:v>
      </x:c>
    </x:row>
    <x:row r="4755">
      <x:c r="A4755" t="n">
        <x:v>4752</x:v>
      </x:c>
      <x:c r="B4755" t="str">
        <x:v>PTKIN</x:v>
      </x:c>
      <x:c r="C4755" t="str">
        <x:v>UIN AR-RANIRY</x:v>
      </x:c>
      <x:c r="D4755" t="str">
        <x:v>PSIKOLOGI</x:v>
      </x:c>
      <x:c r="E4755" t="str">
        <x:v>Sarjana</x:v>
      </x:c>
      <x:c r="F4755" s="18" t="n">
        <x:v>108</x:v>
      </x:c>
      <x:c r="G4755" s="18" t="n">
        <x:v>138</x:v>
      </x:c>
      <x:c r="H4755" s="19" t="n">
        <x:v>1.2777777777777777</x:v>
      </x:c>
      <x:c r="I4755" s="18" t="n">
        <x:f>ROUND(MIN(Model_Config_v3!$B$6,MAX(Q4755,R4755,S4755*Model_Config_v3!$B$4+T4755*Model_Config_v3!$B$5)),0)</x:f>
        <x:v>614</x:v>
      </x:c>
      <x:c r="J4755" s="18" t="n">
        <x:f>MIN(Model_Config_v3!$B$6,I4755+Model_Config_v3!$B$7)</x:f>
        <x:v>634</x:v>
      </x:c>
      <x:c r="K4755" s="20" t="n">
        <x:v>44.4</x:v>
      </x:c>
      <x:c r="L4755" t="str">
        <x:v>RELATIF LONGGAR</x:v>
      </x:c>
      <x:c r="M4755" t="str">
        <x:v>SEDANG+</x:v>
      </x:c>
      <x:c r="N4755" t="str">
        <x:v>REGULER</x:v>
      </x:c>
      <x:c r="O4755" t="str">
        <x:v>SOSHUM</x:v>
      </x:c>
      <x:c r="P4755" t="str">
        <x:v>PSIKOLOGI</x:v>
      </x:c>
      <x:c r="Q4755" s="18" t="n">
        <x:v>0</x:v>
      </x:c>
      <x:c r="R4755" s="18" t="n">
        <x:v>0</x:v>
      </x:c>
      <x:c r="S4755" s="18" t="n">
        <x:v>531.7100864005715</x:v>
      </x:c>
      <x:c r="T4755" s="18" t="n">
        <x:v>649</x:v>
      </x:c>
      <x:c r="U4755" s="18" t="n">
        <x:v>556.7100864005715</x:v>
      </x:c>
      <x:c r="V4755" s="20" t="n">
        <x:v>4.4</x:v>
      </x:c>
      <x:c r="W4755" s="20" t="n">
        <x:v>14.3</x:v>
      </x:c>
      <x:c r="X4755" s="20" t="n">
        <x:v>3.3</x:v>
      </x:c>
      <x:c r="Y4755" t="str">
        <x:v>Basis arsip 2025/2024</x:v>
      </x:c>
      <x:c r="Z4755" t="str">
        <x:v>https://snpmb.id/utbk-snbt/daya-tampung-snbt</x:v>
      </x:c>
      <x:c r="AA4755" t="str">
        <x:v>Tidak Ada</x:v>
      </x:c>
      <x:c r="AB4755" t="str">
        <x:v>Campus=55; Ratio=6.3; Prodi=80; RelDemand=66.0; Capacity=10.0</x:v>
      </x:c>
    </x:row>
    <x:row r="4756">
      <x:c r="A4756" t="n">
        <x:v>4753</x:v>
      </x:c>
      <x:c r="B4756" t="str">
        <x:v>PTKIN</x:v>
      </x:c>
      <x:c r="C4756" t="str">
        <x:v>UIN AR-RANIRY</x:v>
      </x:c>
      <x:c r="D4756" t="str">
        <x:v>KESEJAHTERAAN SOSIAL</x:v>
      </x:c>
      <x:c r="E4756" t="str">
        <x:v>Sarjana</x:v>
      </x:c>
      <x:c r="F4756" s="18" t="n">
        <x:v>14</x:v>
      </x:c>
      <x:c r="G4756" s="18" t="n">
        <x:v>17</x:v>
      </x:c>
      <x:c r="H4756" s="19" t="n">
        <x:v>1.2142857142857142</x:v>
      </x:c>
      <x:c r="I4756" s="18" t="n">
        <x:f>ROUND(MIN(Model_Config_v3!$B$6,MAX(Q4756,R4756,S4756*Model_Config_v3!$B$4+T4756*Model_Config_v3!$B$5)),0)</x:f>
        <x:v>612</x:v>
      </x:c>
      <x:c r="J4756" s="18" t="n">
        <x:f>MIN(Model_Config_v3!$B$6,I4756+Model_Config_v3!$B$7)</x:f>
        <x:v>632</x:v>
      </x:c>
      <x:c r="K4756" s="20" t="n">
        <x:v>43.6</x:v>
      </x:c>
      <x:c r="L4756" t="str">
        <x:v>RELATIF LONGGAR</x:v>
      </x:c>
      <x:c r="M4756" t="str">
        <x:v>SEDANG</x:v>
      </x:c>
      <x:c r="N4756" t="str">
        <x:v>REGULER</x:v>
      </x:c>
      <x:c r="O4756" t="str">
        <x:v>CAMPURAN</x:v>
      </x:c>
      <x:c r="P4756" t="str">
        <x:v>UMUM</x:v>
      </x:c>
      <x:c r="Q4756" s="18" t="n">
        <x:v>0</x:v>
      </x:c>
      <x:c r="R4756" s="18" t="n">
        <x:v>0</x:v>
      </x:c>
      <x:c r="S4756" s="18" t="n">
        <x:v>529.2752974270039</x:v>
      </x:c>
      <x:c r="T4756" s="18" t="n">
        <x:v>647</x:v>
      </x:c>
      <x:c r="U4756" s="18" t="n">
        <x:v>529.2752974270039</x:v>
      </x:c>
      <x:c r="V4756" s="20" t="n">
        <x:v>8.8</x:v>
      </x:c>
      <x:c r="W4756" s="20" t="n">
        <x:v>9.9</x:v>
      </x:c>
      <x:c r="X4756" s="20" t="n">
        <x:v>3.3</x:v>
      </x:c>
      <x:c r="Y4756" t="str">
        <x:v>Basis arsip 2025/2024</x:v>
      </x:c>
      <x:c r="Z4756" t="str">
        <x:v>https://snpmb.id/utbk-snbt/daya-tampung-snbt</x:v>
      </x:c>
      <x:c r="AA4756" t="str">
        <x:v>Tidak Ada</x:v>
      </x:c>
      <x:c r="AB4756" t="str">
        <x:v>Campus=55; Ratio=5.0; Prodi=40; RelDemand=62.8; Capacity=88.3</x:v>
      </x:c>
    </x:row>
    <x:row r="4757">
      <x:c r="A4757" t="n">
        <x:v>4754</x:v>
      </x:c>
      <x:c r="B4757" t="str">
        <x:v>PTKIN</x:v>
      </x:c>
      <x:c r="C4757" t="str">
        <x:v>UIN AR-RANIRY</x:v>
      </x:c>
      <x:c r="D4757" t="str">
        <x:v>TEKNIK FISIKA</x:v>
      </x:c>
      <x:c r="E4757" t="str">
        <x:v>Sarjana</x:v>
      </x:c>
      <x:c r="F4757" s="18" t="n">
        <x:v>10</x:v>
      </x:c>
      <x:c r="G4757" s="18" t="n">
        <x:v>2</x:v>
      </x:c>
      <x:c r="H4757" s="19" t="n">
        <x:v>0.2</x:v>
      </x:c>
      <x:c r="I4757" s="18" t="n">
        <x:f>ROUND(MIN(Model_Config_v3!$B$6,MAX(Q4757,R4757,S4757*Model_Config_v3!$B$4+T4757*Model_Config_v3!$B$5)),0)</x:f>
        <x:v>606</x:v>
      </x:c>
      <x:c r="J4757" s="18" t="n">
        <x:f>MIN(Model_Config_v3!$B$6,I4757+Model_Config_v3!$B$7)</x:f>
        <x:v>626</x:v>
      </x:c>
      <x:c r="K4757" s="20" t="n">
        <x:v>41.5</x:v>
      </x:c>
      <x:c r="L4757" t="str">
        <x:v>RELATIF LONGGAR</x:v>
      </x:c>
      <x:c r="M4757" t="str">
        <x:v>SEDANG+</x:v>
      </x:c>
      <x:c r="N4757" t="str">
        <x:v>REGULER</x:v>
      </x:c>
      <x:c r="O4757" t="str">
        <x:v>SAINTEK</x:v>
      </x:c>
      <x:c r="P4757" t="str">
        <x:v>TEKNIK/ARSITEKTUR/STATISTIKA/AKTUARIA</x:v>
      </x:c>
      <x:c r="Q4757" s="18" t="n">
        <x:v>0</x:v>
      </x:c>
      <x:c r="R4757" s="18" t="n">
        <x:v>0</x:v>
      </x:c>
      <x:c r="S4757" s="18" t="n">
        <x:v>520</x:v>
      </x:c>
      <x:c r="T4757" s="18" t="n">
        <x:v>643</x:v>
      </x:c>
      <x:c r="U4757" s="18" t="n">
        <x:v>530</x:v>
      </x:c>
      <x:c r="V4757" s="20" t="n">
        <x:v>12</x:v>
      </x:c>
      <x:c r="W4757" s="20" t="n">
        <x:v>5</x:v>
      </x:c>
      <x:c r="X4757" s="20" t="n">
        <x:v>3</x:v>
      </x:c>
      <x:c r="Y4757" t="str">
        <x:v>Basis arsip 2025/2024</x:v>
      </x:c>
      <x:c r="Z4757" t="str">
        <x:v>https://snpmb.id/utbk-snbt/daya-tampung-snbt</x:v>
      </x:c>
      <x:c r="AA4757" t="str">
        <x:v>Tidak Ada</x:v>
      </x:c>
      <x:c r="AB4757" t="str">
        <x:v>Campus=55; Ratio=0.0; Prodi=60; RelDemand=10.3; Capacity=91.7</x:v>
      </x:c>
    </x:row>
    <x:row r="4758">
      <x:c r="A4758" t="n">
        <x:v>4755</x:v>
      </x:c>
      <x:c r="B4758" t="str">
        <x:v>PTKIN</x:v>
      </x:c>
      <x:c r="C4758" t="str">
        <x:v>UIN SUMATERA UTARA</x:v>
      </x:c>
      <x:c r="D4758" t="str">
        <x:v>ILMU KOMPUTER</x:v>
      </x:c>
      <x:c r="E4758" t="str">
        <x:v>Sarjana</x:v>
      </x:c>
      <x:c r="F4758" s="18" t="n">
        <x:v>108</x:v>
      </x:c>
      <x:c r="G4758" s="18" t="n">
        <x:v>276</x:v>
      </x:c>
      <x:c r="H4758" s="19" t="n">
        <x:v>2.5555555555555554</x:v>
      </x:c>
      <x:c r="I4758" s="18" t="n">
        <x:f>ROUND(MIN(Model_Config_v3!$B$6,MAX(Q4758,R4758,S4758*Model_Config_v3!$B$4+T4758*Model_Config_v3!$B$5)),0)</x:f>
        <x:v>632</x:v>
      </x:c>
      <x:c r="J4758" s="18" t="n">
        <x:f>MIN(Model_Config_v3!$B$6,I4758+Model_Config_v3!$B$7)</x:f>
        <x:v>652</x:v>
      </x:c>
      <x:c r="K4758" s="20" t="n">
        <x:v>50.6</x:v>
      </x:c>
      <x:c r="L4758" t="str">
        <x:v>MENENGAH</x:v>
      </x:c>
      <x:c r="M4758" t="str">
        <x:v>SEDANG+</x:v>
      </x:c>
      <x:c r="N4758" t="str">
        <x:v>REGULER</x:v>
      </x:c>
      <x:c r="O4758" t="str">
        <x:v>SAINTEK</x:v>
      </x:c>
      <x:c r="P4758" t="str">
        <x:v>KOMPUTER/INFORMATIKA</x:v>
      </x:c>
      <x:c r="Q4758" s="18" t="n">
        <x:v>0</x:v>
      </x:c>
      <x:c r="R4758" s="18" t="n">
        <x:v>0</x:v>
      </x:c>
      <x:c r="S4758" s="18" t="n">
        <x:v>564.8233859236095</x:v>
      </x:c>
      <x:c r="T4758" s="18" t="n">
        <x:v>661</x:v>
      </x:c>
      <x:c r="U4758" s="18" t="n">
        <x:v>589.8233859236095</x:v>
      </x:c>
      <x:c r="V4758" s="20" t="n">
        <x:v>12</x:v>
      </x:c>
      <x:c r="W4758" s="20" t="n">
        <x:v>5</x:v>
      </x:c>
      <x:c r="X4758" s="20" t="n">
        <x:v>3</x:v>
      </x:c>
      <x:c r="Y4758" t="str">
        <x:v>Basis arsip 2025/2024</x:v>
      </x:c>
      <x:c r="Z4758" t="str">
        <x:v>https://snpmb.id/utbk-snbt/daya-tampung-snbt</x:v>
      </x:c>
      <x:c r="AA4758" t="str">
        <x:v>Tidak Ada</x:v>
      </x:c>
      <x:c r="AB4758" t="str">
        <x:v>Campus=55; Ratio=24.0; Prodi=85; RelDemand=73.5; Capacity=10.0</x:v>
      </x:c>
    </x:row>
    <x:row r="4759">
      <x:c r="A4759" t="n">
        <x:v>4756</x:v>
      </x:c>
      <x:c r="B4759" t="str">
        <x:v>PTKIN</x:v>
      </x:c>
      <x:c r="C4759" t="str">
        <x:v>UIN SUMATERA UTARA</x:v>
      </x:c>
      <x:c r="D4759" t="str">
        <x:v>SISTEM INFORMASI</x:v>
      </x:c>
      <x:c r="E4759" t="str">
        <x:v>Sarjana</x:v>
      </x:c>
      <x:c r="F4759" s="18" t="n">
        <x:v>114</x:v>
      </x:c>
      <x:c r="G4759" s="18" t="n">
        <x:v>215</x:v>
      </x:c>
      <x:c r="H4759" s="19" t="n">
        <x:v>1.8859649122807018</x:v>
      </x:c>
      <x:c r="I4759" s="18" t="n">
        <x:f>ROUND(MIN(Model_Config_v3!$B$6,MAX(Q4759,R4759,S4759*Model_Config_v3!$B$4+T4759*Model_Config_v3!$B$5)),0)</x:f>
        <x:v>621</x:v>
      </x:c>
      <x:c r="J4759" s="18" t="n">
        <x:f>MIN(Model_Config_v3!$B$6,I4759+Model_Config_v3!$B$7)</x:f>
        <x:v>641</x:v>
      </x:c>
      <x:c r="K4759" s="20" t="n">
        <x:v>46.2</x:v>
      </x:c>
      <x:c r="L4759" t="str">
        <x:v>MENENGAH</x:v>
      </x:c>
      <x:c r="M4759" t="str">
        <x:v>SEDANG+</x:v>
      </x:c>
      <x:c r="N4759" t="str">
        <x:v>REGULER</x:v>
      </x:c>
      <x:c r="O4759" t="str">
        <x:v>CAMPURAN</x:v>
      </x:c>
      <x:c r="P4759" t="str">
        <x:v>KOMPUTER/INFORMATIKA</x:v>
      </x:c>
      <x:c r="Q4759" s="18" t="n">
        <x:v>0</x:v>
      </x:c>
      <x:c r="R4759" s="18" t="n">
        <x:v>0</x:v>
      </x:c>
      <x:c r="S4759" s="18" t="n">
        <x:v>550.3086969437046</x:v>
      </x:c>
      <x:c r="T4759" s="18" t="n">
        <x:v>652</x:v>
      </x:c>
      <x:c r="U4759" s="18" t="n">
        <x:v>575.3086969437046</x:v>
      </x:c>
      <x:c r="V4759" s="20" t="n">
        <x:v>8.8</x:v>
      </x:c>
      <x:c r="W4759" s="20" t="n">
        <x:v>9.9</x:v>
      </x:c>
      <x:c r="X4759" s="20" t="n">
        <x:v>3.3</x:v>
      </x:c>
      <x:c r="Y4759" t="str">
        <x:v>Basis arsip 2025/2024</x:v>
      </x:c>
      <x:c r="Z4759" t="str">
        <x:v>https://snpmb.id/utbk-snbt/daya-tampung-snbt</x:v>
      </x:c>
      <x:c r="AA4759" t="str">
        <x:v>Tidak Ada</x:v>
      </x:c>
      <x:c r="AB4759" t="str">
        <x:v>Campus=55; Ratio=16.2; Prodi=85; RelDemand=54.2; Capacity=5.0</x:v>
      </x:c>
    </x:row>
    <x:row r="4760">
      <x:c r="A4760" t="n">
        <x:v>4757</x:v>
      </x:c>
      <x:c r="B4760" t="str">
        <x:v>PTKIN</x:v>
      </x:c>
      <x:c r="C4760" t="str">
        <x:v>UIN SUMATERA UTARA</x:v>
      </x:c>
      <x:c r="D4760" t="str">
        <x:v>MATEMATIKA</x:v>
      </x:c>
      <x:c r="E4760" t="str">
        <x:v>Sarjana</x:v>
      </x:c>
      <x:c r="F4760" s="18" t="n">
        <x:v>50</x:v>
      </x:c>
      <x:c r="G4760" s="18" t="n">
        <x:v>26</x:v>
      </x:c>
      <x:c r="H4760" s="19" t="n">
        <x:v>0.52</x:v>
      </x:c>
      <x:c r="I4760" s="18" t="n">
        <x:f>ROUND(MIN(Model_Config_v3!$B$6,MAX(Q4760,R4760,S4760*Model_Config_v3!$B$4+T4760*Model_Config_v3!$B$5)),0)</x:f>
        <x:v>599</x:v>
      </x:c>
      <x:c r="J4760" s="18" t="n">
        <x:f>MIN(Model_Config_v3!$B$6,I4760+Model_Config_v3!$B$7)</x:f>
        <x:v>619</x:v>
      </x:c>
      <x:c r="K4760" s="20" t="n">
        <x:v>36.6</x:v>
      </x:c>
      <x:c r="L4760" t="str">
        <x:v>RELATIF LONGGAR</x:v>
      </x:c>
      <x:c r="M4760" t="str">
        <x:v>SEDANG+</x:v>
      </x:c>
      <x:c r="N4760" t="str">
        <x:v>REGULER</x:v>
      </x:c>
      <x:c r="O4760" t="str">
        <x:v>SAINTEK</x:v>
      </x:c>
      <x:c r="P4760" t="str">
        <x:v>SAINS DASAR</x:v>
      </x:c>
      <x:c r="Q4760" s="18" t="n">
        <x:v>0</x:v>
      </x:c>
      <x:c r="R4760" s="18" t="n">
        <x:v>0</x:v>
      </x:c>
      <x:c r="S4760" s="18" t="n">
        <x:v>520</x:v>
      </x:c>
      <x:c r="T4760" s="18" t="n">
        <x:v>633</x:v>
      </x:c>
      <x:c r="U4760" s="18" t="n">
        <x:v>520</x:v>
      </x:c>
      <x:c r="V4760" s="20" t="n">
        <x:v>12</x:v>
      </x:c>
      <x:c r="W4760" s="20" t="n">
        <x:v>5</x:v>
      </x:c>
      <x:c r="X4760" s="20" t="n">
        <x:v>3</x:v>
      </x:c>
      <x:c r="Y4760" t="str">
        <x:v>Basis arsip 2025/2024</x:v>
      </x:c>
      <x:c r="Z4760" t="str">
        <x:v>https://snpmb.id/utbk-snbt/daya-tampung-snbt</x:v>
      </x:c>
      <x:c r="AA4760" t="str">
        <x:v>Tidak Ada</x:v>
      </x:c>
      <x:c r="AB4760" t="str">
        <x:v>Campus=55; Ratio=0.0; Prodi=50; RelDemand=15.0; Capacity=58.3</x:v>
      </x:c>
    </x:row>
    <x:row r="4761">
      <x:c r="A4761" t="n">
        <x:v>4758</x:v>
      </x:c>
      <x:c r="B4761" t="str">
        <x:v>PTKIN</x:v>
      </x:c>
      <x:c r="C4761" t="str">
        <x:v>UIN SUMATERA UTARA</x:v>
      </x:c>
      <x:c r="D4761" t="str">
        <x:v>BIOLOGI</x:v>
      </x:c>
      <x:c r="E4761" t="str">
        <x:v>Sarjana</x:v>
      </x:c>
      <x:c r="F4761" s="18" t="n">
        <x:v>53</x:v>
      </x:c>
      <x:c r="G4761" s="18" t="n">
        <x:v>49</x:v>
      </x:c>
      <x:c r="H4761" s="19" t="n">
        <x:v>0.9245283018867925</x:v>
      </x:c>
      <x:c r="I4761" s="18" t="n">
        <x:f>ROUND(MIN(Model_Config_v3!$B$6,MAX(Q4761,R4761,S4761*Model_Config_v3!$B$4+T4761*Model_Config_v3!$B$5)),0)</x:f>
        <x:v>601</x:v>
      </x:c>
      <x:c r="J4761" s="18" t="n">
        <x:f>MIN(Model_Config_v3!$B$6,I4761+Model_Config_v3!$B$7)</x:f>
        <x:v>621</x:v>
      </x:c>
      <x:c r="K4761" s="20" t="n">
        <x:v>37.5</x:v>
      </x:c>
      <x:c r="L4761" t="str">
        <x:v>RELATIF LONGGAR</x:v>
      </x:c>
      <x:c r="M4761" t="str">
        <x:v>SEDANG+</x:v>
      </x:c>
      <x:c r="N4761" t="str">
        <x:v>REGULER</x:v>
      </x:c>
      <x:c r="O4761" t="str">
        <x:v>SAINTEK</x:v>
      </x:c>
      <x:c r="P4761" t="str">
        <x:v>SAINS DASAR</x:v>
      </x:c>
      <x:c r="Q4761" s="18" t="n">
        <x:v>0</x:v>
      </x:c>
      <x:c r="R4761" s="18" t="n">
        <x:v>0</x:v>
      </x:c>
      <x:c r="S4761" s="18" t="n">
        <x:v>520</x:v>
      </x:c>
      <x:c r="T4761" s="18" t="n">
        <x:v>635</x:v>
      </x:c>
      <x:c r="U4761" s="18" t="n">
        <x:v>520</x:v>
      </x:c>
      <x:c r="V4761" s="20" t="n">
        <x:v>12</x:v>
      </x:c>
      <x:c r="W4761" s="20" t="n">
        <x:v>5</x:v>
      </x:c>
      <x:c r="X4761" s="20" t="n">
        <x:v>3</x:v>
      </x:c>
      <x:c r="Y4761" t="str">
        <x:v>Basis arsip 2025/2024</x:v>
      </x:c>
      <x:c r="Z4761" t="str">
        <x:v>https://snpmb.id/utbk-snbt/daya-tampung-snbt</x:v>
      </x:c>
      <x:c r="AA4761" t="str">
        <x:v>Tidak Ada</x:v>
      </x:c>
      <x:c r="AB4761" t="str">
        <x:v>Campus=55; Ratio=0.0; Prodi=50; RelDemand=26.6; Capacity=55.8</x:v>
      </x:c>
    </x:row>
    <x:row r="4762">
      <x:c r="A4762" t="n">
        <x:v>4759</x:v>
      </x:c>
      <x:c r="B4762" t="str">
        <x:v>PTKIN</x:v>
      </x:c>
      <x:c r="C4762" t="str">
        <x:v>UIN SUMATERA UTARA</x:v>
      </x:c>
      <x:c r="D4762" t="str">
        <x:v>FISIKA</x:v>
      </x:c>
      <x:c r="E4762" t="str">
        <x:v>Sarjana</x:v>
      </x:c>
      <x:c r="F4762" s="18" t="n">
        <x:v>53</x:v>
      </x:c>
      <x:c r="G4762" s="18" t="n">
        <x:v>11</x:v>
      </x:c>
      <x:c r="H4762" s="19" t="n">
        <x:v>0.20754716981132076</x:v>
      </x:c>
      <x:c r="I4762" s="18" t="n">
        <x:f>ROUND(MIN(Model_Config_v3!$B$6,MAX(Q4762,R4762,S4762*Model_Config_v3!$B$4+T4762*Model_Config_v3!$B$5)),0)</x:f>
        <x:v>598</x:v>
      </x:c>
      <x:c r="J4762" s="18" t="n">
        <x:f>MIN(Model_Config_v3!$B$6,I4762+Model_Config_v3!$B$7)</x:f>
        <x:v>618</x:v>
      </x:c>
      <x:c r="K4762" s="20" t="n">
        <x:v>35.4</x:v>
      </x:c>
      <x:c r="L4762" t="str">
        <x:v>RELATIF LONGGAR</x:v>
      </x:c>
      <x:c r="M4762" t="str">
        <x:v>SEDANG+</x:v>
      </x:c>
      <x:c r="N4762" t="str">
        <x:v>REGULER</x:v>
      </x:c>
      <x:c r="O4762" t="str">
        <x:v>SAINTEK</x:v>
      </x:c>
      <x:c r="P4762" t="str">
        <x:v>SAINS DASAR</x:v>
      </x:c>
      <x:c r="Q4762" s="18" t="n">
        <x:v>0</x:v>
      </x:c>
      <x:c r="R4762" s="18" t="n">
        <x:v>0</x:v>
      </x:c>
      <x:c r="S4762" s="18" t="n">
        <x:v>520</x:v>
      </x:c>
      <x:c r="T4762" s="18" t="n">
        <x:v>631</x:v>
      </x:c>
      <x:c r="U4762" s="18" t="n">
        <x:v>520</x:v>
      </x:c>
      <x:c r="V4762" s="20" t="n">
        <x:v>12</x:v>
      </x:c>
      <x:c r="W4762" s="20" t="n">
        <x:v>5</x:v>
      </x:c>
      <x:c r="X4762" s="20" t="n">
        <x:v>3</x:v>
      </x:c>
      <x:c r="Y4762" t="str">
        <x:v>Basis arsip 2025/2024</x:v>
      </x:c>
      <x:c r="Z4762" t="str">
        <x:v>https://snpmb.id/utbk-snbt/daya-tampung-snbt</x:v>
      </x:c>
      <x:c r="AA4762" t="str">
        <x:v>Tidak Ada</x:v>
      </x:c>
      <x:c r="AB4762" t="str">
        <x:v>Campus=55; Ratio=0.0; Prodi=50; RelDemand=6.0; Capacity=55.8</x:v>
      </x:c>
    </x:row>
    <x:row r="4763">
      <x:c r="A4763" t="n">
        <x:v>4760</x:v>
      </x:c>
      <x:c r="B4763" t="str">
        <x:v>PTKIN</x:v>
      </x:c>
      <x:c r="C4763" t="str">
        <x:v>UIN SUMATERA UTARA</x:v>
      </x:c>
      <x:c r="D4763" t="str">
        <x:v>ILMU KESEHATAN MASYARAKAT</x:v>
      </x:c>
      <x:c r="E4763" t="str">
        <x:v>Sarjana</x:v>
      </x:c>
      <x:c r="F4763" s="18" t="n">
        <x:v>200</x:v>
      </x:c>
      <x:c r="G4763" s="18" t="n">
        <x:v>374</x:v>
      </x:c>
      <x:c r="H4763" s="19" t="n">
        <x:v>1.87</x:v>
      </x:c>
      <x:c r="I4763" s="18" t="n">
        <x:f>ROUND(MIN(Model_Config_v3!$B$6,MAX(Q4763,R4763,S4763*Model_Config_v3!$B$4+T4763*Model_Config_v3!$B$5)),0)</x:f>
        <x:v>612</x:v>
      </x:c>
      <x:c r="J4763" s="18" t="n">
        <x:f>MIN(Model_Config_v3!$B$6,I4763+Model_Config_v3!$B$7)</x:f>
        <x:v>632</x:v>
      </x:c>
      <x:c r="K4763" s="20" t="n">
        <x:v>39.6</x:v>
      </x:c>
      <x:c r="L4763" t="str">
        <x:v>RELATIF LONGGAR</x:v>
      </x:c>
      <x:c r="M4763" t="str">
        <x:v>SEDANG+</x:v>
      </x:c>
      <x:c r="N4763" t="str">
        <x:v>REGULER</x:v>
      </x:c>
      <x:c r="O4763" t="str">
        <x:v>SAINTEK</x:v>
      </x:c>
      <x:c r="P4763" t="str">
        <x:v>KESEHAT/GIZI/KEPERAWATAN</x:v>
      </x:c>
      <x:c r="Q4763" s="18" t="n">
        <x:v>0</x:v>
      </x:c>
      <x:c r="R4763" s="18" t="n">
        <x:v>0</x:v>
      </x:c>
      <x:c r="S4763" s="18" t="n">
        <x:v>549.9025767190149</x:v>
      </x:c>
      <x:c r="T4763" s="18" t="n">
        <x:v>639</x:v>
      </x:c>
      <x:c r="U4763" s="18" t="n">
        <x:v>549.9025767190149</x:v>
      </x:c>
      <x:c r="V4763" s="20" t="n">
        <x:v>12</x:v>
      </x:c>
      <x:c r="W4763" s="20" t="n">
        <x:v>5</x:v>
      </x:c>
      <x:c r="X4763" s="20" t="n">
        <x:v>3</x:v>
      </x:c>
      <x:c r="Y4763" t="str">
        <x:v>Basis arsip 2025/2024</x:v>
      </x:c>
      <x:c r="Z4763" t="str">
        <x:v>https://snpmb.id/utbk-snbt/daya-tampung-snbt</x:v>
      </x:c>
      <x:c r="AA4763" t="str">
        <x:v>Tidak Ada</x:v>
      </x:c>
      <x:c r="AB4763" t="str">
        <x:v>Campus=55; Ratio=16.0; Prodi=55; RelDemand=53.8; Capacity=0.0</x:v>
      </x:c>
    </x:row>
    <x:row r="4764">
      <x:c r="A4764" t="n">
        <x:v>4761</x:v>
      </x:c>
      <x:c r="B4764" t="str">
        <x:v>PTKIN</x:v>
      </x:c>
      <x:c r="C4764" t="str">
        <x:v>UIN SUMATERA UTARA</x:v>
      </x:c>
      <x:c r="D4764" t="str">
        <x:v>ILMU PERPUSTAKAAN</x:v>
      </x:c>
      <x:c r="E4764" t="str">
        <x:v>Sarjana</x:v>
      </x:c>
      <x:c r="F4764" s="18" t="n">
        <x:v>95</x:v>
      </x:c>
      <x:c r="G4764" s="18" t="n">
        <x:v>67</x:v>
      </x:c>
      <x:c r="H4764" s="19" t="n">
        <x:v>0.7052631578947368</x:v>
      </x:c>
      <x:c r="I4764" s="18" t="n">
        <x:f>ROUND(MIN(Model_Config_v3!$B$6,MAX(Q4764,R4764,S4764*Model_Config_v3!$B$4+T4764*Model_Config_v3!$B$5)),0)</x:f>
        <x:v>592</x:v>
      </x:c>
      <x:c r="J4764" s="18" t="n">
        <x:f>MIN(Model_Config_v3!$B$6,I4764+Model_Config_v3!$B$7)</x:f>
        <x:v>612</x:v>
      </x:c>
      <x:c r="K4764" s="20" t="n">
        <x:v>31.4</x:v>
      </x:c>
      <x:c r="L4764" t="str">
        <x:v>RELATIF LONGGAR</x:v>
      </x:c>
      <x:c r="M4764" t="str">
        <x:v>SEDANG</x:v>
      </x:c>
      <x:c r="N4764" t="str">
        <x:v>REGULER</x:v>
      </x:c>
      <x:c r="O4764" t="str">
        <x:v>CAMPURAN</x:v>
      </x:c>
      <x:c r="P4764" t="str">
        <x:v>UMUM</x:v>
      </x:c>
      <x:c r="Q4764" s="18" t="n">
        <x:v>0</x:v>
      </x:c>
      <x:c r="R4764" s="18" t="n">
        <x:v>0</x:v>
      </x:c>
      <x:c r="S4764" s="18" t="n">
        <x:v>520</x:v>
      </x:c>
      <x:c r="T4764" s="18" t="n">
        <x:v>623</x:v>
      </x:c>
      <x:c r="U4764" s="18" t="n">
        <x:v>520</x:v>
      </x:c>
      <x:c r="V4764" s="20" t="n">
        <x:v>8.8</x:v>
      </x:c>
      <x:c r="W4764" s="20" t="n">
        <x:v>9.9</x:v>
      </x:c>
      <x:c r="X4764" s="20" t="n">
        <x:v>3.3</x:v>
      </x:c>
      <x:c r="Y4764" t="str">
        <x:v>Basis arsip 2025/2024</x:v>
      </x:c>
      <x:c r="Z4764" t="str">
        <x:v>https://snpmb.id/utbk-snbt/daya-tampung-snbt</x:v>
      </x:c>
      <x:c r="AA4764" t="str">
        <x:v>Tidak Ada</x:v>
      </x:c>
      <x:c r="AB4764" t="str">
        <x:v>Campus=55; Ratio=0.0; Prodi=40; RelDemand=20.3; Capacity=20.8</x:v>
      </x:c>
    </x:row>
    <x:row r="4765">
      <x:c r="A4765" t="n">
        <x:v>4762</x:v>
      </x:c>
      <x:c r="B4765" t="str">
        <x:v>PTKIN</x:v>
      </x:c>
      <x:c r="C4765" t="str">
        <x:v>UIN SUMATERA UTARA</x:v>
      </x:c>
      <x:c r="D4765" t="str">
        <x:v>ILMU KOMUNIKASI</x:v>
      </x:c>
      <x:c r="E4765" t="str">
        <x:v>Sarjana</x:v>
      </x:c>
      <x:c r="F4765" s="18" t="n">
        <x:v>88</x:v>
      </x:c>
      <x:c r="G4765" s="18" t="n">
        <x:v>221</x:v>
      </x:c>
      <x:c r="H4765" s="19" t="n">
        <x:v>2.5113636363636362</x:v>
      </x:c>
      <x:c r="I4765" s="18" t="n">
        <x:f>ROUND(MIN(Model_Config_v3!$B$6,MAX(Q4765,R4765,S4765*Model_Config_v3!$B$4+T4765*Model_Config_v3!$B$5)),0)</x:f>
        <x:v>621</x:v>
      </x:c>
      <x:c r="J4765" s="18" t="n">
        <x:f>MIN(Model_Config_v3!$B$6,I4765+Model_Config_v3!$B$7)</x:f>
        <x:v>641</x:v>
      </x:c>
      <x:c r="K4765" s="20" t="n">
        <x:v>43</x:v>
      </x:c>
      <x:c r="L4765" t="str">
        <x:v>RELATIF LONGGAR</x:v>
      </x:c>
      <x:c r="M4765" t="str">
        <x:v>SEDANG</x:v>
      </x:c>
      <x:c r="N4765" t="str">
        <x:v>REGULER</x:v>
      </x:c>
      <x:c r="O4765" t="str">
        <x:v>SOSHUM</x:v>
      </x:c>
      <x:c r="P4765" t="str">
        <x:v>UMUM</x:v>
      </x:c>
      <x:c r="Q4765" s="18" t="n">
        <x:v>0</x:v>
      </x:c>
      <x:c r="R4765" s="18" t="n">
        <x:v>0</x:v>
      </x:c>
      <x:c r="S4765" s="18" t="n">
        <x:v>563.9900561688436</x:v>
      </x:c>
      <x:c r="T4765" s="18" t="n">
        <x:v>646</x:v>
      </x:c>
      <x:c r="U4765" s="18" t="n">
        <x:v>563.9900561688436</x:v>
      </x:c>
      <x:c r="V4765" s="20" t="n">
        <x:v>4.4</x:v>
      </x:c>
      <x:c r="W4765" s="20" t="n">
        <x:v>14.3</x:v>
      </x:c>
      <x:c r="X4765" s="20" t="n">
        <x:v>3.3</x:v>
      </x:c>
      <x:c r="Y4765" t="str">
        <x:v>Basis arsip 2025/2024</x:v>
      </x:c>
      <x:c r="Z4765" t="str">
        <x:v>https://snpmb.id/utbk-snbt/daya-tampung-snbt</x:v>
      </x:c>
      <x:c r="AA4765" t="str">
        <x:v>Tidak Ada</x:v>
      </x:c>
      <x:c r="AB4765" t="str">
        <x:v>Campus=55; Ratio=23.5; Prodi=40; RelDemand=72.2; Capacity=26.7</x:v>
      </x:c>
    </x:row>
    <x:row r="4766">
      <x:c r="A4766" t="n">
        <x:v>4763</x:v>
      </x:c>
      <x:c r="B4766" t="str">
        <x:v>PTKIN</x:v>
      </x:c>
      <x:c r="C4766" t="str">
        <x:v>UIN SUMATERA UTARA</x:v>
      </x:c>
      <x:c r="D4766" t="str">
        <x:v>MANAJEMEN</x:v>
      </x:c>
      <x:c r="E4766" t="str">
        <x:v>Sarjana</x:v>
      </x:c>
      <x:c r="F4766" s="18" t="n">
        <x:v>140</x:v>
      </x:c>
      <x:c r="G4766" s="18" t="n">
        <x:v>356</x:v>
      </x:c>
      <x:c r="H4766" s="19" t="n">
        <x:v>2.5428571428571427</x:v>
      </x:c>
      <x:c r="I4766" s="18" t="n">
        <x:f>ROUND(MIN(Model_Config_v3!$B$6,MAX(Q4766,R4766,S4766*Model_Config_v3!$B$4+T4766*Model_Config_v3!$B$5)),0)</x:f>
        <x:v>625</x:v>
      </x:c>
      <x:c r="J4766" s="18" t="n">
        <x:f>MIN(Model_Config_v3!$B$6,I4766+Model_Config_v3!$B$7)</x:f>
        <x:v>645</x:v>
      </x:c>
      <x:c r="K4766" s="20" t="n">
        <x:v>45.5</x:v>
      </x:c>
      <x:c r="L4766" t="str">
        <x:v>MENENGAH</x:v>
      </x:c>
      <x:c r="M4766" t="str">
        <x:v>SEDANG+</x:v>
      </x:c>
      <x:c r="N4766" t="str">
        <x:v>REGULER</x:v>
      </x:c>
      <x:c r="O4766" t="str">
        <x:v>SOSHUM</x:v>
      </x:c>
      <x:c r="P4766" t="str">
        <x:v>BISNIS/EKONOMI/AKUNTANSI</x:v>
      </x:c>
      <x:c r="Q4766" s="18" t="n">
        <x:v>0</x:v>
      </x:c>
      <x:c r="R4766" s="18" t="n">
        <x:v>0</x:v>
      </x:c>
      <x:c r="S4766" s="18" t="n">
        <x:v>564.58541585241</x:v>
      </x:c>
      <x:c r="T4766" s="18" t="n">
        <x:v>651</x:v>
      </x:c>
      <x:c r="U4766" s="18" t="n">
        <x:v>579.58541585241</x:v>
      </x:c>
      <x:c r="V4766" s="20" t="n">
        <x:v>4.4</x:v>
      </x:c>
      <x:c r="W4766" s="20" t="n">
        <x:v>14.3</x:v>
      </x:c>
      <x:c r="X4766" s="20" t="n">
        <x:v>3.3</x:v>
      </x:c>
      <x:c r="Y4766" t="str">
        <x:v>Basis arsip 2025/2024</x:v>
      </x:c>
      <x:c r="Z4766" t="str">
        <x:v>https://snpmb.id/utbk-snbt/daya-tampung-snbt</x:v>
      </x:c>
      <x:c r="AA4766" t="str">
        <x:v>Tidak Ada</x:v>
      </x:c>
      <x:c r="AB4766" t="str">
        <x:v>Campus=55; Ratio=23.9; Prodi=65; RelDemand=73.1; Capacity=0.0</x:v>
      </x:c>
    </x:row>
    <x:row r="4767">
      <x:c r="A4767" t="n">
        <x:v>4764</x:v>
      </x:c>
      <x:c r="B4767" t="str">
        <x:v>PTKIN</x:v>
      </x:c>
      <x:c r="C4767" t="str">
        <x:v>UIN SUMATERA UTARA</x:v>
      </x:c>
      <x:c r="D4767" t="str">
        <x:v>HUKUM</x:v>
      </x:c>
      <x:c r="E4767" t="str">
        <x:v>Sarjana</x:v>
      </x:c>
      <x:c r="F4767" s="18" t="n">
        <x:v>80</x:v>
      </x:c>
      <x:c r="G4767" s="18" t="n">
        <x:v>267</x:v>
      </x:c>
      <x:c r="H4767" s="19" t="n">
        <x:v>3.3375</x:v>
      </x:c>
      <x:c r="I4767" s="18" t="n">
        <x:f>ROUND(MIN(Model_Config_v3!$B$6,MAX(Q4767,R4767,S4767*Model_Config_v3!$B$4+T4767*Model_Config_v3!$B$5)),0)</x:f>
        <x:v>639</x:v>
      </x:c>
      <x:c r="J4767" s="18" t="n">
        <x:f>MIN(Model_Config_v3!$B$6,I4767+Model_Config_v3!$B$7)</x:f>
        <x:v>659</x:v>
      </x:c>
      <x:c r="K4767" s="20" t="n">
        <x:v>52.9</x:v>
      </x:c>
      <x:c r="L4767" t="str">
        <x:v>MENENGAH</x:v>
      </x:c>
      <x:c r="M4767" t="str">
        <x:v>SEDANG+</x:v>
      </x:c>
      <x:c r="N4767" t="str">
        <x:v>REGULER</x:v>
      </x:c>
      <x:c r="O4767" t="str">
        <x:v>SOSHUM</x:v>
      </x:c>
      <x:c r="P4767" t="str">
        <x:v>HUKUM</x:v>
      </x:c>
      <x:c r="Q4767" s="18" t="n">
        <x:v>0</x:v>
      </x:c>
      <x:c r="R4767" s="18" t="n">
        <x:v>0</x:v>
      </x:c>
      <x:c r="S4767" s="18" t="n">
        <x:v>577.5763401809895</x:v>
      </x:c>
      <x:c r="T4767" s="18" t="n">
        <x:v>666</x:v>
      </x:c>
      <x:c r="U4767" s="18" t="n">
        <x:v>592.5763401809895</x:v>
      </x:c>
      <x:c r="V4767" s="20" t="n">
        <x:v>4.4</x:v>
      </x:c>
      <x:c r="W4767" s="20" t="n">
        <x:v>14.3</x:v>
      </x:c>
      <x:c r="X4767" s="20" t="n">
        <x:v>3.3</x:v>
      </x:c>
      <x:c r="Y4767" t="str">
        <x:v>Basis arsip 2025/2024</x:v>
      </x:c>
      <x:c r="Z4767" t="str">
        <x:v>https://snpmb.id/utbk-snbt/daya-tampung-snbt</x:v>
      </x:c>
      <x:c r="AA4767" t="str">
        <x:v>Tidak Ada</x:v>
      </x:c>
      <x:c r="AB4767" t="str">
        <x:v>Campus=55; Ratio=30.8; Prodi=65; RelDemand=96.0; Capacity=33.3</x:v>
      </x:c>
    </x:row>
    <x:row r="4768">
      <x:c r="A4768" t="n">
        <x:v>4765</x:v>
      </x:c>
      <x:c r="B4768" t="str">
        <x:v>PTKIN</x:v>
      </x:c>
      <x:c r="C4768" t="str">
        <x:v>UIN SUMATERA UTARA</x:v>
      </x:c>
      <x:c r="D4768" t="str">
        <x:v>GIZI</x:v>
      </x:c>
      <x:c r="E4768" t="str">
        <x:v>Sarjana</x:v>
      </x:c>
      <x:c r="F4768" s="18" t="n">
        <x:v>60</x:v>
      </x:c>
      <x:c r="G4768" s="18" t="n">
        <x:v>124</x:v>
      </x:c>
      <x:c r="H4768" s="19" t="n">
        <x:v>2.066666666666667</x:v>
      </x:c>
      <x:c r="I4768" s="18" t="n">
        <x:f>ROUND(MIN(Model_Config_v3!$B$6,MAX(Q4768,R4768,S4768*Model_Config_v3!$B$4+T4768*Model_Config_v3!$B$5)),0)</x:f>
        <x:v>623</x:v>
      </x:c>
      <x:c r="J4768" s="18" t="n">
        <x:f>MIN(Model_Config_v3!$B$6,I4768+Model_Config_v3!$B$7)</x:f>
        <x:v>643</x:v>
      </x:c>
      <x:c r="K4768" s="20" t="n">
        <x:v>45.8</x:v>
      </x:c>
      <x:c r="L4768" t="str">
        <x:v>MENENGAH</x:v>
      </x:c>
      <x:c r="M4768" t="str">
        <x:v>SEDANG+</x:v>
      </x:c>
      <x:c r="N4768" t="str">
        <x:v>REGULER</x:v>
      </x:c>
      <x:c r="O4768" t="str">
        <x:v>SAINTEK</x:v>
      </x:c>
      <x:c r="P4768" t="str">
        <x:v>KESEHAT/GIZI/KEPERAWATAN</x:v>
      </x:c>
      <x:c r="Q4768" s="18" t="n">
        <x:v>0</x:v>
      </x:c>
      <x:c r="R4768" s="18" t="n">
        <x:v>0</x:v>
      </x:c>
      <x:c r="S4768" s="18" t="n">
        <x:v>554.6797478256451</x:v>
      </x:c>
      <x:c r="T4768" s="18" t="n">
        <x:v>652</x:v>
      </x:c>
      <x:c r="U4768" s="18" t="n">
        <x:v>554.6797478256451</x:v>
      </x:c>
      <x:c r="V4768" s="20" t="n">
        <x:v>12</x:v>
      </x:c>
      <x:c r="W4768" s="20" t="n">
        <x:v>5</x:v>
      </x:c>
      <x:c r="X4768" s="20" t="n">
        <x:v>3</x:v>
      </x:c>
      <x:c r="Y4768" t="str">
        <x:v>Basis arsip 2025/2024</x:v>
      </x:c>
      <x:c r="Z4768" t="str">
        <x:v>https://snpmb.id/utbk-snbt/daya-tampung-snbt</x:v>
      </x:c>
      <x:c r="AA4768" t="str">
        <x:v>Tidak Ada</x:v>
      </x:c>
      <x:c r="AB4768" t="str">
        <x:v>Campus=55; Ratio=18.6; Prodi=55; RelDemand=59.4; Capacity=50.0</x:v>
      </x:c>
    </x:row>
    <x:row r="4769">
      <x:c r="A4769" t="n">
        <x:v>4766</x:v>
      </x:c>
      <x:c r="B4769" t="str">
        <x:v>PTKIN</x:v>
      </x:c>
      <x:c r="C4769" t="str">
        <x:v>UIN SYEKH ALI HASAN AHMAD ADDARY PADANGSIDIMPUAN</x:v>
      </x:c>
      <x:c r="D4769" t="str">
        <x:v>BISNIS DIGITAL</x:v>
      </x:c>
      <x:c r="E4769" t="str">
        <x:v>Sarjana</x:v>
      </x:c>
      <x:c r="F4769" s="18" t="n">
        <x:v>52</x:v>
      </x:c>
      <x:c r="G4769" s="18" t="n">
        <x:v>1</x:v>
      </x:c>
      <x:c r="H4769" s="19" t="n">
        <x:v>0.019230769230769232</x:v>
      </x:c>
      <x:c r="I4769" s="18" t="n">
        <x:f>ROUND(MIN(Model_Config_v3!$B$6,MAX(Q4769,R4769,S4769*Model_Config_v3!$B$4+T4769*Model_Config_v3!$B$5)),0)</x:f>
        <x:v>605</x:v>
      </x:c>
      <x:c r="J4769" s="18" t="n">
        <x:f>MIN(Model_Config_v3!$B$6,I4769+Model_Config_v3!$B$7)</x:f>
        <x:v>625</x:v>
      </x:c>
      <x:c r="K4769" s="20" t="n">
        <x:v>40.4</x:v>
      </x:c>
      <x:c r="L4769" t="str">
        <x:v>RELATIF LONGGAR</x:v>
      </x:c>
      <x:c r="M4769" t="str">
        <x:v>SEDANG+</x:v>
      </x:c>
      <x:c r="N4769" t="str">
        <x:v>REGULER</x:v>
      </x:c>
      <x:c r="O4769" t="str">
        <x:v>SOSHUM</x:v>
      </x:c>
      <x:c r="P4769" t="str">
        <x:v>BISNIS/EKONOMI/AKUNTANSI</x:v>
      </x:c>
      <x:c r="Q4769" s="18" t="n">
        <x:v>0</x:v>
      </x:c>
      <x:c r="R4769" s="18" t="n">
        <x:v>0</x:v>
      </x:c>
      <x:c r="S4769" s="18" t="n">
        <x:v>520</x:v>
      </x:c>
      <x:c r="T4769" s="18" t="n">
        <x:v>641</x:v>
      </x:c>
      <x:c r="U4769" s="18" t="n">
        <x:v>535</x:v>
      </x:c>
      <x:c r="V4769" s="20" t="n">
        <x:v>4.4</x:v>
      </x:c>
      <x:c r="W4769" s="20" t="n">
        <x:v>14.3</x:v>
      </x:c>
      <x:c r="X4769" s="20" t="n">
        <x:v>3.3</x:v>
      </x:c>
      <x:c r="Y4769" t="str">
        <x:v>Basis arsip 2025/2024</x:v>
      </x:c>
      <x:c r="Z4769" t="str">
        <x:v>https://snpmb.id/utbk-snbt/daya-tampung-snbt</x:v>
      </x:c>
      <x:c r="AA4769" t="str">
        <x:v>Tidak Ada</x:v>
      </x:c>
      <x:c r="AB4769" t="str">
        <x:v>Campus=55; Ratio=0.0; Prodi=65; RelDemand=25.0; Capacity=56.7</x:v>
      </x:c>
    </x:row>
    <x:row r="4770">
      <x:c r="A4770" t="n">
        <x:v>4767</x:v>
      </x:c>
      <x:c r="B4770" t="str">
        <x:v>PTKIN</x:v>
      </x:c>
      <x:c r="C4770" t="str">
        <x:v>UIN SYEKH ALI HASAN AHMAD ADDARY PADANGSIDIMPUAN</x:v>
      </x:c>
      <x:c r="D4770" t="str">
        <x:v>DESAIN KOMUNIKASI VISUAL</x:v>
      </x:c>
      <x:c r="E4770" t="str">
        <x:v>Sarjana</x:v>
      </x:c>
      <x:c r="F4770" s="18" t="n">
        <x:v>52</x:v>
      </x:c>
      <x:c r="G4770" s="18" t="n">
        <x:v>2</x:v>
      </x:c>
      <x:c r="H4770" s="19" t="n">
        <x:v>0.038461538461538464</x:v>
      </x:c>
      <x:c r="I4770" s="18" t="n">
        <x:f>ROUND(MIN(Model_Config_v3!$B$6,MAX(Q4770,R4770,S4770*Model_Config_v3!$B$4+T4770*Model_Config_v3!$B$5)),0)</x:f>
        <x:v>601</x:v>
      </x:c>
      <x:c r="J4770" s="18" t="n">
        <x:f>MIN(Model_Config_v3!$B$6,I4770+Model_Config_v3!$B$7)</x:f>
        <x:v>621</x:v>
      </x:c>
      <x:c r="K4770" s="20" t="n">
        <x:v>37.9</x:v>
      </x:c>
      <x:c r="L4770" t="str">
        <x:v>RELATIF LONGGAR</x:v>
      </x:c>
      <x:c r="M4770" t="str">
        <x:v>SEDANG</x:v>
      </x:c>
      <x:c r="N4770" t="str">
        <x:v>REGULER</x:v>
      </x:c>
      <x:c r="O4770" t="str">
        <x:v>SOSHUM</x:v>
      </x:c>
      <x:c r="P4770" t="str">
        <x:v>UMUM</x:v>
      </x:c>
      <x:c r="Q4770" s="18" t="n">
        <x:v>0</x:v>
      </x:c>
      <x:c r="R4770" s="18" t="n">
        <x:v>0</x:v>
      </x:c>
      <x:c r="S4770" s="18" t="n">
        <x:v>520</x:v>
      </x:c>
      <x:c r="T4770" s="18" t="n">
        <x:v>636</x:v>
      </x:c>
      <x:c r="U4770" s="18" t="n">
        <x:v>520</x:v>
      </x:c>
      <x:c r="V4770" s="20" t="n">
        <x:v>4.4</x:v>
      </x:c>
      <x:c r="W4770" s="20" t="n">
        <x:v>14.3</x:v>
      </x:c>
      <x:c r="X4770" s="20" t="n">
        <x:v>3.3</x:v>
      </x:c>
      <x:c r="Y4770" t="str">
        <x:v>Basis arsip 2025/2024</x:v>
      </x:c>
      <x:c r="Z4770" t="str">
        <x:v>https://snpmb.id/utbk-snbt/daya-tampung-snbt</x:v>
      </x:c>
      <x:c r="AA4770" t="str">
        <x:v>Tidak Ada</x:v>
      </x:c>
      <x:c r="AB4770" t="str">
        <x:v>Campus=55; Ratio=0.0; Prodi=40; RelDemand=50.0; Capacity=56.7</x:v>
      </x:c>
    </x:row>
    <x:row r="4771">
      <x:c r="A4771" t="n">
        <x:v>4768</x:v>
      </x:c>
      <x:c r="B4771" t="str">
        <x:v>PTKIN</x:v>
      </x:c>
      <x:c r="C4771" t="str">
        <x:v>UIN SYEKH ALI HASAN AHMAD ADDARY PADANGSIDIMPUAN</x:v>
      </x:c>
      <x:c r="D4771" t="str">
        <x:v>TEKNOLOGI INFORMASI</x:v>
      </x:c>
      <x:c r="E4771" t="str">
        <x:v>Sarjana</x:v>
      </x:c>
      <x:c r="F4771" s="18" t="n">
        <x:v>52</x:v>
      </x:c>
      <x:c r="G4771" s="18" t="n">
        <x:v>3</x:v>
      </x:c>
      <x:c r="H4771" s="19" t="n">
        <x:v>0.057692307692307696</x:v>
      </x:c>
      <x:c r="I4771" s="18" t="n">
        <x:f>ROUND(MIN(Model_Config_v3!$B$6,MAX(Q4771,R4771,S4771*Model_Config_v3!$B$4+T4771*Model_Config_v3!$B$5)),0)</x:f>
        <x:v>605</x:v>
      </x:c>
      <x:c r="J4771" s="18" t="n">
        <x:f>MIN(Model_Config_v3!$B$6,I4771+Model_Config_v3!$B$7)</x:f>
        <x:v>625</x:v>
      </x:c>
      <x:c r="K4771" s="20" t="n">
        <x:v>40.4</x:v>
      </x:c>
      <x:c r="L4771" t="str">
        <x:v>RELATIF LONGGAR</x:v>
      </x:c>
      <x:c r="M4771" t="str">
        <x:v>SEDANG</x:v>
      </x:c>
      <x:c r="N4771" t="str">
        <x:v>REGULER</x:v>
      </x:c>
      <x:c r="O4771" t="str">
        <x:v>SAINTEK</x:v>
      </x:c>
      <x:c r="P4771" t="str">
        <x:v>UMUM</x:v>
      </x:c>
      <x:c r="Q4771" s="18" t="n">
        <x:v>0</x:v>
      </x:c>
      <x:c r="R4771" s="18" t="n">
        <x:v>0</x:v>
      </x:c>
      <x:c r="S4771" s="18" t="n">
        <x:v>520</x:v>
      </x:c>
      <x:c r="T4771" s="18" t="n">
        <x:v>641</x:v>
      </x:c>
      <x:c r="U4771" s="18" t="n">
        <x:v>520</x:v>
      </x:c>
      <x:c r="V4771" s="20" t="n">
        <x:v>12</x:v>
      </x:c>
      <x:c r="W4771" s="20" t="n">
        <x:v>5</x:v>
      </x:c>
      <x:c r="X4771" s="20" t="n">
        <x:v>3</x:v>
      </x:c>
      <x:c r="Y4771" t="str">
        <x:v>Basis arsip 2025/2024</x:v>
      </x:c>
      <x:c r="Z4771" t="str">
        <x:v>https://snpmb.id/utbk-snbt/daya-tampung-snbt</x:v>
      </x:c>
      <x:c r="AA4771" t="str">
        <x:v>Tidak Ada</x:v>
      </x:c>
      <x:c r="AB4771" t="str">
        <x:v>Campus=55; Ratio=0.0; Prodi=40; RelDemand=75.0; Capacity=56.7</x:v>
      </x:c>
    </x:row>
    <x:row r="4772">
      <x:c r="A4772" t="n">
        <x:v>4769</x:v>
      </x:c>
      <x:c r="B4772" t="str">
        <x:v>PTKIN</x:v>
      </x:c>
      <x:c r="C4772" t="str">
        <x:v>UIN SULTAN SYARIF KASIM</x:v>
      </x:c>
      <x:c r="D4772" t="str">
        <x:v>PETERNAKAN</x:v>
      </x:c>
      <x:c r="E4772" t="str">
        <x:v>Sarjana</x:v>
      </x:c>
      <x:c r="F4772" s="18" t="n">
        <x:v>75</x:v>
      </x:c>
      <x:c r="G4772" s="18" t="n">
        <x:v>31</x:v>
      </x:c>
      <x:c r="H4772" s="19" t="n">
        <x:v>0.41333333333333333</x:v>
      </x:c>
      <x:c r="I4772" s="18" t="n">
        <x:f>ROUND(MIN(Model_Config_v3!$B$6,MAX(Q4772,R4772,S4772*Model_Config_v3!$B$4+T4772*Model_Config_v3!$B$5)),0)</x:f>
        <x:v>593</x:v>
      </x:c>
      <x:c r="J4772" s="18" t="n">
        <x:f>MIN(Model_Config_v3!$B$6,I4772+Model_Config_v3!$B$7)</x:f>
        <x:v>613</x:v>
      </x:c>
      <x:c r="K4772" s="20" t="n">
        <x:v>32.2</x:v>
      </x:c>
      <x:c r="L4772" t="str">
        <x:v>RELATIF LONGGAR</x:v>
      </x:c>
      <x:c r="M4772" t="str">
        <x:v>SEDANG</x:v>
      </x:c>
      <x:c r="N4772" t="str">
        <x:v>REGULER</x:v>
      </x:c>
      <x:c r="O4772" t="str">
        <x:v>SAINTEK</x:v>
      </x:c>
      <x:c r="P4772" t="str">
        <x:v>UMUM</x:v>
      </x:c>
      <x:c r="Q4772" s="18" t="n">
        <x:v>0</x:v>
      </x:c>
      <x:c r="R4772" s="18" t="n">
        <x:v>0</x:v>
      </x:c>
      <x:c r="S4772" s="18" t="n">
        <x:v>520</x:v>
      </x:c>
      <x:c r="T4772" s="18" t="n">
        <x:v>624</x:v>
      </x:c>
      <x:c r="U4772" s="18" t="n">
        <x:v>520</x:v>
      </x:c>
      <x:c r="V4772" s="20" t="n">
        <x:v>12</x:v>
      </x:c>
      <x:c r="W4772" s="20" t="n">
        <x:v>5</x:v>
      </x:c>
      <x:c r="X4772" s="20" t="n">
        <x:v>3</x:v>
      </x:c>
      <x:c r="Y4772" t="str">
        <x:v>Basis arsip 2025/2024</x:v>
      </x:c>
      <x:c r="Z4772" t="str">
        <x:v>https://snpmb.id/utbk-snbt/daya-tampung-snbt</x:v>
      </x:c>
      <x:c r="AA4772" t="str">
        <x:v>Tidak Ada</x:v>
      </x:c>
      <x:c r="AB4772" t="str">
        <x:v>Campus=55; Ratio=0.0; Prodi=40; RelDemand=11.9; Capacity=37.5</x:v>
      </x:c>
    </x:row>
    <x:row r="4773">
      <x:c r="A4773" t="n">
        <x:v>4770</x:v>
      </x:c>
      <x:c r="B4773" t="str">
        <x:v>PTKIN</x:v>
      </x:c>
      <x:c r="C4773" t="str">
        <x:v>UIN SULTAN SYARIF KASIM</x:v>
      </x:c>
      <x:c r="D4773" t="str">
        <x:v>MATEMATIKA</x:v>
      </x:c>
      <x:c r="E4773" t="str">
        <x:v>Sarjana</x:v>
      </x:c>
      <x:c r="F4773" s="18" t="n">
        <x:v>48</x:v>
      </x:c>
      <x:c r="G4773" s="18" t="n">
        <x:v>7</x:v>
      </x:c>
      <x:c r="H4773" s="19" t="n">
        <x:v>0.14583333333333334</x:v>
      </x:c>
      <x:c r="I4773" s="18" t="n">
        <x:f>ROUND(MIN(Model_Config_v3!$B$6,MAX(Q4773,R4773,S4773*Model_Config_v3!$B$4+T4773*Model_Config_v3!$B$5)),0)</x:f>
        <x:v>598</x:v>
      </x:c>
      <x:c r="J4773" s="18" t="n">
        <x:f>MIN(Model_Config_v3!$B$6,I4773+Model_Config_v3!$B$7)</x:f>
        <x:v>618</x:v>
      </x:c>
      <x:c r="K4773" s="20" t="n">
        <x:v>35.7</x:v>
      </x:c>
      <x:c r="L4773" t="str">
        <x:v>RELATIF LONGGAR</x:v>
      </x:c>
      <x:c r="M4773" t="str">
        <x:v>SEDANG+</x:v>
      </x:c>
      <x:c r="N4773" t="str">
        <x:v>REGULER</x:v>
      </x:c>
      <x:c r="O4773" t="str">
        <x:v>SAINTEK</x:v>
      </x:c>
      <x:c r="P4773" t="str">
        <x:v>SAINS DASAR</x:v>
      </x:c>
      <x:c r="Q4773" s="18" t="n">
        <x:v>0</x:v>
      </x:c>
      <x:c r="R4773" s="18" t="n">
        <x:v>0</x:v>
      </x:c>
      <x:c r="S4773" s="18" t="n">
        <x:v>520</x:v>
      </x:c>
      <x:c r="T4773" s="18" t="n">
        <x:v>631</x:v>
      </x:c>
      <x:c r="U4773" s="18" t="n">
        <x:v>520</x:v>
      </x:c>
      <x:c r="V4773" s="20" t="n">
        <x:v>12</x:v>
      </x:c>
      <x:c r="W4773" s="20" t="n">
        <x:v>5</x:v>
      </x:c>
      <x:c r="X4773" s="20" t="n">
        <x:v>3</x:v>
      </x:c>
      <x:c r="Y4773" t="str">
        <x:v>Basis arsip 2025/2024</x:v>
      </x:c>
      <x:c r="Z4773" t="str">
        <x:v>https://snpmb.id/utbk-snbt/daya-tampung-snbt</x:v>
      </x:c>
      <x:c r="AA4773" t="str">
        <x:v>Tidak Ada</x:v>
      </x:c>
      <x:c r="AB4773" t="str">
        <x:v>Campus=55; Ratio=0.0; Prodi=50; RelDemand=4.2; Capacity=60.0</x:v>
      </x:c>
    </x:row>
    <x:row r="4774">
      <x:c r="A4774" t="n">
        <x:v>4771</x:v>
      </x:c>
      <x:c r="B4774" t="str">
        <x:v>PTKIN</x:v>
      </x:c>
      <x:c r="C4774" t="str">
        <x:v>UIN SULTAN SYARIF KASIM</x:v>
      </x:c>
      <x:c r="D4774" t="str">
        <x:v>SISTEM INFORMASI</x:v>
      </x:c>
      <x:c r="E4774" t="str">
        <x:v>Sarjana</x:v>
      </x:c>
      <x:c r="F4774" s="18" t="n">
        <x:v>60</x:v>
      </x:c>
      <x:c r="G4774" s="18" t="n">
        <x:v>142</x:v>
      </x:c>
      <x:c r="H4774" s="19" t="n">
        <x:v>2.3666666666666667</x:v>
      </x:c>
      <x:c r="I4774" s="18" t="n">
        <x:f>ROUND(MIN(Model_Config_v3!$B$6,MAX(Q4774,R4774,S4774*Model_Config_v3!$B$4+T4774*Model_Config_v3!$B$5)),0)</x:f>
        <x:v>635</x:v>
      </x:c>
      <x:c r="J4774" s="18" t="n">
        <x:f>MIN(Model_Config_v3!$B$6,I4774+Model_Config_v3!$B$7)</x:f>
        <x:v>655</x:v>
      </x:c>
      <x:c r="K4774" s="20" t="n">
        <x:v>53.6</x:v>
      </x:c>
      <x:c r="L4774" t="str">
        <x:v>MENENGAH</x:v>
      </x:c>
      <x:c r="M4774" t="str">
        <x:v>SEDANG+</x:v>
      </x:c>
      <x:c r="N4774" t="str">
        <x:v>REGULER</x:v>
      </x:c>
      <x:c r="O4774" t="str">
        <x:v>CAMPURAN</x:v>
      </x:c>
      <x:c r="P4774" t="str">
        <x:v>KOMPUTER/INFORMATIKA</x:v>
      </x:c>
      <x:c r="Q4774" s="18" t="n">
        <x:v>0</x:v>
      </x:c>
      <x:c r="R4774" s="18" t="n">
        <x:v>0</x:v>
      </x:c>
      <x:c r="S4774" s="18" t="n">
        <x:v>561.1550803399355</x:v>
      </x:c>
      <x:c r="T4774" s="18" t="n">
        <x:v>667</x:v>
      </x:c>
      <x:c r="U4774" s="18" t="n">
        <x:v>586.1550803399355</x:v>
      </x:c>
      <x:c r="V4774" s="20" t="n">
        <x:v>8.8</x:v>
      </x:c>
      <x:c r="W4774" s="20" t="n">
        <x:v>9.9</x:v>
      </x:c>
      <x:c r="X4774" s="20" t="n">
        <x:v>3.3</x:v>
      </x:c>
      <x:c r="Y4774" t="str">
        <x:v>Basis arsip 2025/2024</x:v>
      </x:c>
      <x:c r="Z4774" t="str">
        <x:v>https://snpmb.id/utbk-snbt/daya-tampung-snbt</x:v>
      </x:c>
      <x:c r="AA4774" t="str">
        <x:v>Tidak Ada</x:v>
      </x:c>
      <x:c r="AB4774" t="str">
        <x:v>Campus=55; Ratio=22.0; Prodi=85; RelDemand=68.0; Capacity=50.0</x:v>
      </x:c>
    </x:row>
    <x:row r="4775">
      <x:c r="A4775" t="n">
        <x:v>4772</x:v>
      </x:c>
      <x:c r="B4775" t="str">
        <x:v>PTKIN</x:v>
      </x:c>
      <x:c r="C4775" t="str">
        <x:v>UIN SULTAN SYARIF KASIM</x:v>
      </x:c>
      <x:c r="D4775" t="str">
        <x:v>TEKNIK ELEKTRO</x:v>
      </x:c>
      <x:c r="E4775" t="str">
        <x:v>Sarjana</x:v>
      </x:c>
      <x:c r="F4775" s="18" t="n">
        <x:v>75</x:v>
      </x:c>
      <x:c r="G4775" s="18" t="n">
        <x:v>71</x:v>
      </x:c>
      <x:c r="H4775" s="19" t="n">
        <x:v>0.9466666666666667</x:v>
      </x:c>
      <x:c r="I4775" s="18" t="n">
        <x:f>ROUND(MIN(Model_Config_v3!$B$6,MAX(Q4775,R4775,S4775*Model_Config_v3!$B$4+T4775*Model_Config_v3!$B$5)),0)</x:f>
        <x:v>601</x:v>
      </x:c>
      <x:c r="J4775" s="18" t="n">
        <x:f>MIN(Model_Config_v3!$B$6,I4775+Model_Config_v3!$B$7)</x:f>
        <x:v>621</x:v>
      </x:c>
      <x:c r="K4775" s="20" t="n">
        <x:v>37.7</x:v>
      </x:c>
      <x:c r="L4775" t="str">
        <x:v>RELATIF LONGGAR</x:v>
      </x:c>
      <x:c r="M4775" t="str">
        <x:v>SEDANG+</x:v>
      </x:c>
      <x:c r="N4775" t="str">
        <x:v>REGULER</x:v>
      </x:c>
      <x:c r="O4775" t="str">
        <x:v>SAINTEK</x:v>
      </x:c>
      <x:c r="P4775" t="str">
        <x:v>TEKNIK/ARSITEKTUR/STATISTIKA/AKTUARIA</x:v>
      </x:c>
      <x:c r="Q4775" s="18" t="n">
        <x:v>0</x:v>
      </x:c>
      <x:c r="R4775" s="18" t="n">
        <x:v>0</x:v>
      </x:c>
      <x:c r="S4775" s="18" t="n">
        <x:v>520</x:v>
      </x:c>
      <x:c r="T4775" s="18" t="n">
        <x:v>635</x:v>
      </x:c>
      <x:c r="U4775" s="18" t="n">
        <x:v>530</x:v>
      </x:c>
      <x:c r="V4775" s="20" t="n">
        <x:v>12</x:v>
      </x:c>
      <x:c r="W4775" s="20" t="n">
        <x:v>5</x:v>
      </x:c>
      <x:c r="X4775" s="20" t="n">
        <x:v>3</x:v>
      </x:c>
      <x:c r="Y4775" t="str">
        <x:v>Basis arsip 2025/2024</x:v>
      </x:c>
      <x:c r="Z4775" t="str">
        <x:v>https://snpmb.id/utbk-snbt/daya-tampung-snbt</x:v>
      </x:c>
      <x:c r="AA4775" t="str">
        <x:v>Tidak Ada</x:v>
      </x:c>
      <x:c r="AB4775" t="str">
        <x:v>Campus=55; Ratio=0.0; Prodi=60; RelDemand=27.2; Capacity=37.5</x:v>
      </x:c>
    </x:row>
    <x:row r="4776">
      <x:c r="A4776" t="n">
        <x:v>4773</x:v>
      </x:c>
      <x:c r="B4776" t="str">
        <x:v>PTKIN</x:v>
      </x:c>
      <x:c r="C4776" t="str">
        <x:v>UIN SULTAN SYARIF KASIM</x:v>
      </x:c>
      <x:c r="D4776" t="str">
        <x:v>TEKNIK INDUSTRI</x:v>
      </x:c>
      <x:c r="E4776" t="str">
        <x:v>Sarjana</x:v>
      </x:c>
      <x:c r="F4776" s="18" t="n">
        <x:v>60</x:v>
      </x:c>
      <x:c r="G4776" s="18" t="n">
        <x:v>145</x:v>
      </x:c>
      <x:c r="H4776" s="19" t="n">
        <x:v>2.4166666666666665</x:v>
      </x:c>
      <x:c r="I4776" s="18" t="n">
        <x:f>ROUND(MIN(Model_Config_v3!$B$6,MAX(Q4776,R4776,S4776*Model_Config_v3!$B$4+T4776*Model_Config_v3!$B$5)),0)</x:f>
        <x:v>629</x:v>
      </x:c>
      <x:c r="J4776" s="18" t="n">
        <x:f>MIN(Model_Config_v3!$B$6,I4776+Model_Config_v3!$B$7)</x:f>
        <x:v>649</x:v>
      </x:c>
      <x:c r="K4776" s="20" t="n">
        <x:v>48.8</x:v>
      </x:c>
      <x:c r="L4776" t="str">
        <x:v>MENENGAH</x:v>
      </x:c>
      <x:c r="M4776" t="str">
        <x:v>SEDANG+</x:v>
      </x:c>
      <x:c r="N4776" t="str">
        <x:v>REGULER</x:v>
      </x:c>
      <x:c r="O4776" t="str">
        <x:v>SAINTEK</x:v>
      </x:c>
      <x:c r="P4776" t="str">
        <x:v>TEKNIK/ARSITEKTUR/STATISTIKA/AKTUARIA</x:v>
      </x:c>
      <x:c r="Q4776" s="18" t="n">
        <x:v>0</x:v>
      </x:c>
      <x:c r="R4776" s="18" t="n">
        <x:v>0</x:v>
      </x:c>
      <x:c r="S4776" s="18" t="n">
        <x:v>562.1538427036464</x:v>
      </x:c>
      <x:c r="T4776" s="18" t="n">
        <x:v>658</x:v>
      </x:c>
      <x:c r="U4776" s="18" t="n">
        <x:v>572.1538427036464</x:v>
      </x:c>
      <x:c r="V4776" s="20" t="n">
        <x:v>12</x:v>
      </x:c>
      <x:c r="W4776" s="20" t="n">
        <x:v>5</x:v>
      </x:c>
      <x:c r="X4776" s="20" t="n">
        <x:v>3</x:v>
      </x:c>
      <x:c r="Y4776" t="str">
        <x:v>Basis arsip 2025/2024</x:v>
      </x:c>
      <x:c r="Z4776" t="str">
        <x:v>https://snpmb.id/utbk-snbt/daya-tampung-snbt</x:v>
      </x:c>
      <x:c r="AA4776" t="str">
        <x:v>Tidak Ada</x:v>
      </x:c>
      <x:c r="AB4776" t="str">
        <x:v>Campus=55; Ratio=22.6; Prodi=60; RelDemand=69.4; Capacity=50.0</x:v>
      </x:c>
    </x:row>
    <x:row r="4777">
      <x:c r="A4777" t="n">
        <x:v>4774</x:v>
      </x:c>
      <x:c r="B4777" t="str">
        <x:v>PTKIN</x:v>
      </x:c>
      <x:c r="C4777" t="str">
        <x:v>UIN SULTAN SYARIF KASIM</x:v>
      </x:c>
      <x:c r="D4777" t="str">
        <x:v>TEKNIK INFORMATIKA</x:v>
      </x:c>
      <x:c r="E4777" t="str">
        <x:v>Sarjana</x:v>
      </x:c>
      <x:c r="F4777" s="18" t="n">
        <x:v>68</x:v>
      </x:c>
      <x:c r="G4777" s="18" t="n">
        <x:v>216</x:v>
      </x:c>
      <x:c r="H4777" s="19" t="n">
        <x:v>3.176470588235294</x:v>
      </x:c>
      <x:c r="I4777" s="18" t="n">
        <x:f>ROUND(MIN(Model_Config_v3!$B$6,MAX(Q4777,R4777,S4777*Model_Config_v3!$B$4+T4777*Model_Config_v3!$B$5)),0)</x:f>
        <x:v>644</x:v>
      </x:c>
      <x:c r="J4777" s="18" t="n">
        <x:f>MIN(Model_Config_v3!$B$6,I4777+Model_Config_v3!$B$7)</x:f>
        <x:v>664</x:v>
      </x:c>
      <x:c r="K4777" s="20" t="n">
        <x:v>57.1</x:v>
      </x:c>
      <x:c r="L4777" t="str">
        <x:v>KETAT</x:v>
      </x:c>
      <x:c r="M4777" t="str">
        <x:v>SEDANG+</x:v>
      </x:c>
      <x:c r="N4777" t="str">
        <x:v>REGULER</x:v>
      </x:c>
      <x:c r="O4777" t="str">
        <x:v>SAINTEK</x:v>
      </x:c>
      <x:c r="P4777" t="str">
        <x:v>KOMPUTER/INFORMATIKA</x:v>
      </x:c>
      <x:c r="Q4777" s="18" t="n">
        <x:v>0</x:v>
      </x:c>
      <x:c r="R4777" s="18" t="n">
        <x:v>0</x:v>
      </x:c>
      <x:c r="S4777" s="18" t="n">
        <x:v>575.2139322289164</x:v>
      </x:c>
      <x:c r="T4777" s="18" t="n">
        <x:v>674</x:v>
      </x:c>
      <x:c r="U4777" s="18" t="n">
        <x:v>600.2139322289164</x:v>
      </x:c>
      <x:c r="V4777" s="20" t="n">
        <x:v>12</x:v>
      </x:c>
      <x:c r="W4777" s="20" t="n">
        <x:v>5</x:v>
      </x:c>
      <x:c r="X4777" s="20" t="n">
        <x:v>3</x:v>
      </x:c>
      <x:c r="Y4777" t="str">
        <x:v>Basis arsip 2025/2024</x:v>
      </x:c>
      <x:c r="Z4777" t="str">
        <x:v>https://snpmb.id/utbk-snbt/daya-tampung-snbt</x:v>
      </x:c>
      <x:c r="AA4777" t="str">
        <x:v>Tidak Ada</x:v>
      </x:c>
      <x:c r="AB4777" t="str">
        <x:v>Campus=55; Ratio=29.5; Prodi=85; RelDemand=91.3; Capacity=43.3</x:v>
      </x:c>
    </x:row>
    <x:row r="4778">
      <x:c r="A4778" t="n">
        <x:v>4775</x:v>
      </x:c>
      <x:c r="B4778" t="str">
        <x:v>PTKIN</x:v>
      </x:c>
      <x:c r="C4778" t="str">
        <x:v>UIN SULTAN SYARIF KASIM</x:v>
      </x:c>
      <x:c r="D4778" t="str">
        <x:v>PENDIDIKAN MATEMATIKA</x:v>
      </x:c>
      <x:c r="E4778" t="str">
        <x:v>Sarjana</x:v>
      </x:c>
      <x:c r="F4778" s="18" t="n">
        <x:v>70</x:v>
      </x:c>
      <x:c r="G4778" s="18" t="n">
        <x:v>49</x:v>
      </x:c>
      <x:c r="H4778" s="19" t="n">
        <x:v>0.7</x:v>
      </x:c>
      <x:c r="I4778" s="18" t="n">
        <x:f>ROUND(MIN(Model_Config_v3!$B$6,MAX(Q4778,R4778,S4778*Model_Config_v3!$B$4+T4778*Model_Config_v3!$B$5)),0)</x:f>
        <x:v>596</x:v>
      </x:c>
      <x:c r="J4778" s="18" t="n">
        <x:f>MIN(Model_Config_v3!$B$6,I4778+Model_Config_v3!$B$7)</x:f>
        <x:v>616</x:v>
      </x:c>
      <x:c r="K4778" s="20" t="n">
        <x:v>34.4</x:v>
      </x:c>
      <x:c r="L4778" t="str">
        <x:v>RELATIF LONGGAR</x:v>
      </x:c>
      <x:c r="M4778" t="str">
        <x:v>SEDANG+</x:v>
      </x:c>
      <x:c r="N4778" t="str">
        <x:v>REGULER</x:v>
      </x:c>
      <x:c r="O4778" t="str">
        <x:v>SAINTEK</x:v>
      </x:c>
      <x:c r="P4778" t="str">
        <x:v>PENDIDIKAN</x:v>
      </x:c>
      <x:c r="Q4778" s="18" t="n">
        <x:v>0</x:v>
      </x:c>
      <x:c r="R4778" s="18" t="n">
        <x:v>0</x:v>
      </x:c>
      <x:c r="S4778" s="18" t="n">
        <x:v>520</x:v>
      </x:c>
      <x:c r="T4778" s="18" t="n">
        <x:v>629</x:v>
      </x:c>
      <x:c r="U4778" s="18" t="n">
        <x:v>520</x:v>
      </x:c>
      <x:c r="V4778" s="20" t="n">
        <x:v>12</x:v>
      </x:c>
      <x:c r="W4778" s="20" t="n">
        <x:v>5</x:v>
      </x:c>
      <x:c r="X4778" s="20" t="n">
        <x:v>3</x:v>
      </x:c>
      <x:c r="Y4778" t="str">
        <x:v>Basis arsip 2025/2024</x:v>
      </x:c>
      <x:c r="Z4778" t="str">
        <x:v>https://snpmb.id/utbk-snbt/daya-tampung-snbt</x:v>
      </x:c>
      <x:c r="AA4778" t="str">
        <x:v>Tidak Ada</x:v>
      </x:c>
      <x:c r="AB4778" t="str">
        <x:v>Campus=55; Ratio=0.0; Prodi=45; RelDemand=20.1; Capacity=41.7</x:v>
      </x:c>
    </x:row>
    <x:row r="4779">
      <x:c r="A4779" t="n">
        <x:v>4776</x:v>
      </x:c>
      <x:c r="B4779" t="str">
        <x:v>PTKIN</x:v>
      </x:c>
      <x:c r="C4779" t="str">
        <x:v>UIN SULTAN SYARIF KASIM</x:v>
      </x:c>
      <x:c r="D4779" t="str">
        <x:v>PENDIDIKAN KIMIA</x:v>
      </x:c>
      <x:c r="E4779" t="str">
        <x:v>Sarjana</x:v>
      </x:c>
      <x:c r="F4779" s="18" t="n">
        <x:v>53</x:v>
      </x:c>
      <x:c r="G4779" s="18" t="n">
        <x:v>26</x:v>
      </x:c>
      <x:c r="H4779" s="19" t="n">
        <x:v>0.49056603773584906</x:v>
      </x:c>
      <x:c r="I4779" s="18" t="n">
        <x:f>ROUND(MIN(Model_Config_v3!$B$6,MAX(Q4779,R4779,S4779*Model_Config_v3!$B$4+T4779*Model_Config_v3!$B$5)),0)</x:f>
        <x:v>597</x:v>
      </x:c>
      <x:c r="J4779" s="18" t="n">
        <x:f>MIN(Model_Config_v3!$B$6,I4779+Model_Config_v3!$B$7)</x:f>
        <x:v>617</x:v>
      </x:c>
      <x:c r="K4779" s="20" t="n">
        <x:v>35.2</x:v>
      </x:c>
      <x:c r="L4779" t="str">
        <x:v>RELATIF LONGGAR</x:v>
      </x:c>
      <x:c r="M4779" t="str">
        <x:v>SEDANG+</x:v>
      </x:c>
      <x:c r="N4779" t="str">
        <x:v>REGULER</x:v>
      </x:c>
      <x:c r="O4779" t="str">
        <x:v>SAINTEK</x:v>
      </x:c>
      <x:c r="P4779" t="str">
        <x:v>PENDIDIKAN</x:v>
      </x:c>
      <x:c r="Q4779" s="18" t="n">
        <x:v>0</x:v>
      </x:c>
      <x:c r="R4779" s="18" t="n">
        <x:v>0</x:v>
      </x:c>
      <x:c r="S4779" s="18" t="n">
        <x:v>520</x:v>
      </x:c>
      <x:c r="T4779" s="18" t="n">
        <x:v>630</x:v>
      </x:c>
      <x:c r="U4779" s="18" t="n">
        <x:v>520</x:v>
      </x:c>
      <x:c r="V4779" s="20" t="n">
        <x:v>12</x:v>
      </x:c>
      <x:c r="W4779" s="20" t="n">
        <x:v>5</x:v>
      </x:c>
      <x:c r="X4779" s="20" t="n">
        <x:v>3</x:v>
      </x:c>
      <x:c r="Y4779" t="str">
        <x:v>Basis arsip 2025/2024</x:v>
      </x:c>
      <x:c r="Z4779" t="str">
        <x:v>https://snpmb.id/utbk-snbt/daya-tampung-snbt</x:v>
      </x:c>
      <x:c r="AA4779" t="str">
        <x:v>Tidak Ada</x:v>
      </x:c>
      <x:c r="AB4779" t="str">
        <x:v>Campus=55; Ratio=0.0; Prodi=45; RelDemand=14.1; Capacity=55.8</x:v>
      </x:c>
    </x:row>
    <x:row r="4780">
      <x:c r="A4780" t="n">
        <x:v>4777</x:v>
      </x:c>
      <x:c r="B4780" t="str">
        <x:v>PTKIN</x:v>
      </x:c>
      <x:c r="C4780" t="str">
        <x:v>UIN SULTAN SYARIF KASIM</x:v>
      </x:c>
      <x:c r="D4780" t="str">
        <x:v>AGROTEKNOLOGI</x:v>
      </x:c>
      <x:c r="E4780" t="str">
        <x:v>Sarjana</x:v>
      </x:c>
      <x:c r="F4780" s="18" t="n">
        <x:v>93</x:v>
      </x:c>
      <x:c r="G4780" s="18" t="n">
        <x:v>101</x:v>
      </x:c>
      <x:c r="H4780" s="19" t="n">
        <x:v>1.086021505376344</x:v>
      </x:c>
      <x:c r="I4780" s="18" t="n">
        <x:f>ROUND(MIN(Model_Config_v3!$B$6,MAX(Q4780,R4780,S4780*Model_Config_v3!$B$4+T4780*Model_Config_v3!$B$5)),0)</x:f>
        <x:v>595</x:v>
      </x:c>
      <x:c r="J4780" s="18" t="n">
        <x:f>MIN(Model_Config_v3!$B$6,I4780+Model_Config_v3!$B$7)</x:f>
        <x:v>615</x:v>
      </x:c>
      <x:c r="K4780" s="20" t="n">
        <x:v>33.1</x:v>
      </x:c>
      <x:c r="L4780" t="str">
        <x:v>RELATIF LONGGAR</x:v>
      </x:c>
      <x:c r="M4780" t="str">
        <x:v>SEDANG</x:v>
      </x:c>
      <x:c r="N4780" t="str">
        <x:v>REGULER</x:v>
      </x:c>
      <x:c r="O4780" t="str">
        <x:v>SAINTEK</x:v>
      </x:c>
      <x:c r="P4780" t="str">
        <x:v>UMUM</x:v>
      </x:c>
      <x:c r="Q4780" s="18" t="n">
        <x:v>0</x:v>
      </x:c>
      <x:c r="R4780" s="18" t="n">
        <x:v>0</x:v>
      </x:c>
      <x:c r="S4780" s="18" t="n">
        <x:v>523.9422267751578</x:v>
      </x:c>
      <x:c r="T4780" s="18" t="n">
        <x:v>626</x:v>
      </x:c>
      <x:c r="U4780" s="18" t="n">
        <x:v>523.9422267751578</x:v>
      </x:c>
      <x:c r="V4780" s="20" t="n">
        <x:v>12</x:v>
      </x:c>
      <x:c r="W4780" s="20" t="n">
        <x:v>5</x:v>
      </x:c>
      <x:c r="X4780" s="20" t="n">
        <x:v>3</x:v>
      </x:c>
      <x:c r="Y4780" t="str">
        <x:v>Basis arsip 2025/2024</x:v>
      </x:c>
      <x:c r="Z4780" t="str">
        <x:v>https://snpmb.id/utbk-snbt/daya-tampung-snbt</x:v>
      </x:c>
      <x:c r="AA4780" t="str">
        <x:v>Tidak Ada</x:v>
      </x:c>
      <x:c r="AB4780" t="str">
        <x:v>Campus=55; Ratio=2.1; Prodi=40; RelDemand=31.2; Capacity=22.5</x:v>
      </x:c>
    </x:row>
    <x:row r="4781">
      <x:c r="A4781" t="n">
        <x:v>4778</x:v>
      </x:c>
      <x:c r="B4781" t="str">
        <x:v>PTKIN</x:v>
      </x:c>
      <x:c r="C4781" t="str">
        <x:v>UIN SULTAN SYARIF KASIM</x:v>
      </x:c>
      <x:c r="D4781" t="str">
        <x:v>GIZI</x:v>
      </x:c>
      <x:c r="E4781" t="str">
        <x:v>Sarjana</x:v>
      </x:c>
      <x:c r="F4781" s="18" t="n">
        <x:v>28</x:v>
      </x:c>
      <x:c r="G4781" s="18" t="n">
        <x:v>198</x:v>
      </x:c>
      <x:c r="H4781" s="19" t="n">
        <x:v>7.071428571428571</x:v>
      </x:c>
      <x:c r="I4781" s="18" t="n">
        <x:f>ROUND(MIN(Model_Config_v3!$B$6,MAX(Q4781,R4781,S4781*Model_Config_v3!$B$4+T4781*Model_Config_v3!$B$5)),0)</x:f>
        <x:v>661</x:v>
      </x:c>
      <x:c r="J4781" s="18" t="n">
        <x:f>MIN(Model_Config_v3!$B$6,I4781+Model_Config_v3!$B$7)</x:f>
        <x:v>681</x:v>
      </x:c>
      <x:c r="K4781" s="20" t="n">
        <x:v>60.4</x:v>
      </x:c>
      <x:c r="L4781" t="str">
        <x:v>KETAT</x:v>
      </x:c>
      <x:c r="M4781" t="str">
        <x:v>SEDANG+</x:v>
      </x:c>
      <x:c r="N4781" t="str">
        <x:v>REGULER</x:v>
      </x:c>
      <x:c r="O4781" t="str">
        <x:v>SAINTEK</x:v>
      </x:c>
      <x:c r="P4781" t="str">
        <x:v>KESEHAT/GIZI/KEPERAWATAN</x:v>
      </x:c>
      <x:c r="Q4781" s="18" t="n">
        <x:v>0</x:v>
      </x:c>
      <x:c r="R4781" s="18" t="n">
        <x:v>0</x:v>
      </x:c>
      <x:c r="S4781" s="18" t="n">
        <x:v>613.4457874811243</x:v>
      </x:c>
      <x:c r="T4781" s="18" t="n">
        <x:v>681</x:v>
      </x:c>
      <x:c r="U4781" s="18" t="n">
        <x:v>613.4457874811243</x:v>
      </x:c>
      <x:c r="V4781" s="20" t="n">
        <x:v>12</x:v>
      </x:c>
      <x:c r="W4781" s="20" t="n">
        <x:v>5</x:v>
      </x:c>
      <x:c r="X4781" s="20" t="n">
        <x:v>3</x:v>
      </x:c>
      <x:c r="Y4781" t="str">
        <x:v>Basis arsip 2025/2024</x:v>
      </x:c>
      <x:c r="Z4781" t="str">
        <x:v>https://snpmb.id/utbk-snbt/daya-tampung-snbt</x:v>
      </x:c>
      <x:c r="AA4781" t="str">
        <x:v>Tidak Ada</x:v>
      </x:c>
      <x:c r="AB4781" t="str">
        <x:v>Campus=55; Ratio=50.0; Prodi=55; RelDemand=100.0; Capacity=76.7</x:v>
      </x:c>
    </x:row>
    <x:row r="4782">
      <x:c r="A4782" t="n">
        <x:v>4779</x:v>
      </x:c>
      <x:c r="B4782" t="str">
        <x:v>PTKIN</x:v>
      </x:c>
      <x:c r="C4782" t="str">
        <x:v>UIN SULTAN SYARIF KASIM</x:v>
      </x:c>
      <x:c r="D4782" t="str">
        <x:v>AKUNTANSI</x:v>
      </x:c>
      <x:c r="E4782" t="str">
        <x:v>Sarjana</x:v>
      </x:c>
      <x:c r="F4782" s="18" t="n">
        <x:v>150</x:v>
      </x:c>
      <x:c r="G4782" s="18" t="n">
        <x:v>134</x:v>
      </x:c>
      <x:c r="H4782" s="19" t="n">
        <x:v>0.8933333333333333</x:v>
      </x:c>
      <x:c r="I4782" s="18" t="n">
        <x:f>ROUND(MIN(Model_Config_v3!$B$6,MAX(Q4782,R4782,S4782*Model_Config_v3!$B$4+T4782*Model_Config_v3!$B$5)),0)</x:f>
        <x:v>597</x:v>
      </x:c>
      <x:c r="J4782" s="18" t="n">
        <x:f>MIN(Model_Config_v3!$B$6,I4782+Model_Config_v3!$B$7)</x:f>
        <x:v>617</x:v>
      </x:c>
      <x:c r="K4782" s="20" t="n">
        <x:v>34.8</x:v>
      </x:c>
      <x:c r="L4782" t="str">
        <x:v>RELATIF LONGGAR</x:v>
      </x:c>
      <x:c r="M4782" t="str">
        <x:v>SEDANG+</x:v>
      </x:c>
      <x:c r="N4782" t="str">
        <x:v>REGULER</x:v>
      </x:c>
      <x:c r="O4782" t="str">
        <x:v>SOSHUM</x:v>
      </x:c>
      <x:c r="P4782" t="str">
        <x:v>BISNIS/EKONOMI/AKUNTANSI</x:v>
      </x:c>
      <x:c r="Q4782" s="18" t="n">
        <x:v>0</x:v>
      </x:c>
      <x:c r="R4782" s="18" t="n">
        <x:v>0</x:v>
      </x:c>
      <x:c r="S4782" s="18" t="n">
        <x:v>520</x:v>
      </x:c>
      <x:c r="T4782" s="18" t="n">
        <x:v>630</x:v>
      </x:c>
      <x:c r="U4782" s="18" t="n">
        <x:v>520</x:v>
      </x:c>
      <x:c r="V4782" s="20" t="n">
        <x:v>4.4</x:v>
      </x:c>
      <x:c r="W4782" s="20" t="n">
        <x:v>14.3</x:v>
      </x:c>
      <x:c r="X4782" s="20" t="n">
        <x:v>3.3</x:v>
      </x:c>
      <x:c r="Y4782" t="str">
        <x:v>Basis arsip 2025/2024</x:v>
      </x:c>
      <x:c r="Z4782" t="str">
        <x:v>https://snpmb.id/utbk-snbt/daya-tampung-snbt</x:v>
      </x:c>
      <x:c r="AA4782" t="str">
        <x:v>Tidak Ada</x:v>
      </x:c>
      <x:c r="AB4782" t="str">
        <x:v>Campus=55; Ratio=0.0; Prodi=65; RelDemand=25.7; Capacity=0.0</x:v>
      </x:c>
    </x:row>
    <x:row r="4783">
      <x:c r="A4783" t="n">
        <x:v>4780</x:v>
      </x:c>
      <x:c r="B4783" t="str">
        <x:v>PTKIN</x:v>
      </x:c>
      <x:c r="C4783" t="str">
        <x:v>UIN SULTAN SYARIF KASIM</x:v>
      </x:c>
      <x:c r="D4783" t="str">
        <x:v>ILMU ADMINISTRASI NEGARA</x:v>
      </x:c>
      <x:c r="E4783" t="str">
        <x:v>Sarjana</x:v>
      </x:c>
      <x:c r="F4783" s="18" t="n">
        <x:v>150</x:v>
      </x:c>
      <x:c r="G4783" s="18" t="n">
        <x:v>121</x:v>
      </x:c>
      <x:c r="H4783" s="19" t="n">
        <x:v>0.8066666666666666</x:v>
      </x:c>
      <x:c r="I4783" s="18" t="n">
        <x:f>ROUND(MIN(Model_Config_v3!$B$6,MAX(Q4783,R4783,S4783*Model_Config_v3!$B$4+T4783*Model_Config_v3!$B$5)),0)</x:f>
        <x:v>589</x:v>
      </x:c>
      <x:c r="J4783" s="18" t="n">
        <x:f>MIN(Model_Config_v3!$B$6,I4783+Model_Config_v3!$B$7)</x:f>
        <x:v>609</x:v>
      </x:c>
      <x:c r="K4783" s="20" t="n">
        <x:v>29.6</x:v>
      </x:c>
      <x:c r="L4783" t="str">
        <x:v>RELATIF LONGGAR</x:v>
      </x:c>
      <x:c r="M4783" t="str">
        <x:v>SEDANG</x:v>
      </x:c>
      <x:c r="N4783" t="str">
        <x:v>REGULER</x:v>
      </x:c>
      <x:c r="O4783" t="str">
        <x:v>SOSHUM</x:v>
      </x:c>
      <x:c r="P4783" t="str">
        <x:v>UMUM</x:v>
      </x:c>
      <x:c r="Q4783" s="18" t="n">
        <x:v>0</x:v>
      </x:c>
      <x:c r="R4783" s="18" t="n">
        <x:v>0</x:v>
      </x:c>
      <x:c r="S4783" s="18" t="n">
        <x:v>520</x:v>
      </x:c>
      <x:c r="T4783" s="18" t="n">
        <x:v>619</x:v>
      </x:c>
      <x:c r="U4783" s="18" t="n">
        <x:v>520</x:v>
      </x:c>
      <x:c r="V4783" s="20" t="n">
        <x:v>4.4</x:v>
      </x:c>
      <x:c r="W4783" s="20" t="n">
        <x:v>14.3</x:v>
      </x:c>
      <x:c r="X4783" s="20" t="n">
        <x:v>3.3</x:v>
      </x:c>
      <x:c r="Y4783" t="str">
        <x:v>Basis arsip 2025/2024</x:v>
      </x:c>
      <x:c r="Z4783" t="str">
        <x:v>https://snpmb.id/utbk-snbt/daya-tampung-snbt</x:v>
      </x:c>
      <x:c r="AA4783" t="str">
        <x:v>Tidak Ada</x:v>
      </x:c>
      <x:c r="AB4783" t="str">
        <x:v>Campus=55; Ratio=0.0; Prodi=40; RelDemand=23.2; Capacity=0.0</x:v>
      </x:c>
    </x:row>
    <x:row r="4784">
      <x:c r="A4784" t="n">
        <x:v>4781</x:v>
      </x:c>
      <x:c r="B4784" t="str">
        <x:v>PTKIN</x:v>
      </x:c>
      <x:c r="C4784" t="str">
        <x:v>UIN SULTAN SYARIF KASIM</x:v>
      </x:c>
      <x:c r="D4784" t="str">
        <x:v>MANAJEMEN</x:v>
      </x:c>
      <x:c r="E4784" t="str">
        <x:v>Sarjana</x:v>
      </x:c>
      <x:c r="F4784" s="18" t="n">
        <x:v>150</x:v>
      </x:c>
      <x:c r="G4784" s="18" t="n">
        <x:v>208</x:v>
      </x:c>
      <x:c r="H4784" s="19" t="n">
        <x:v>1.3866666666666667</x:v>
      </x:c>
      <x:c r="I4784" s="18" t="n">
        <x:f>ROUND(MIN(Model_Config_v3!$B$6,MAX(Q4784,R4784,S4784*Model_Config_v3!$B$4+T4784*Model_Config_v3!$B$5)),0)</x:f>
        <x:v>607</x:v>
      </x:c>
      <x:c r="J4784" s="18" t="n">
        <x:f>MIN(Model_Config_v3!$B$6,I4784+Model_Config_v3!$B$7)</x:f>
        <x:v>627</x:v>
      </x:c>
      <x:c r="K4784" s="20" t="n">
        <x:v>38.3</x:v>
      </x:c>
      <x:c r="L4784" t="str">
        <x:v>RELATIF LONGGAR</x:v>
      </x:c>
      <x:c r="M4784" t="str">
        <x:v>SEDANG+</x:v>
      </x:c>
      <x:c r="N4784" t="str">
        <x:v>REGULER</x:v>
      </x:c>
      <x:c r="O4784" t="str">
        <x:v>SOSHUM</x:v>
      </x:c>
      <x:c r="P4784" t="str">
        <x:v>BISNIS/EKONOMI/AKUNTANSI</x:v>
      </x:c>
      <x:c r="Q4784" s="18" t="n">
        <x:v>0</x:v>
      </x:c>
      <x:c r="R4784" s="18" t="n">
        <x:v>0</x:v>
      </x:c>
      <x:c r="S4784" s="18" t="n">
        <x:v>535.6169283497788</x:v>
      </x:c>
      <x:c r="T4784" s="18" t="n">
        <x:v>637</x:v>
      </x:c>
      <x:c r="U4784" s="18" t="n">
        <x:v>550.6169283497788</x:v>
      </x:c>
      <x:c r="V4784" s="20" t="n">
        <x:v>4.4</x:v>
      </x:c>
      <x:c r="W4784" s="20" t="n">
        <x:v>14.3</x:v>
      </x:c>
      <x:c r="X4784" s="20" t="n">
        <x:v>3.3</x:v>
      </x:c>
      <x:c r="Y4784" t="str">
        <x:v>Basis arsip 2025/2024</x:v>
      </x:c>
      <x:c r="Z4784" t="str">
        <x:v>https://snpmb.id/utbk-snbt/daya-tampung-snbt</x:v>
      </x:c>
      <x:c r="AA4784" t="str">
        <x:v>Tidak Ada</x:v>
      </x:c>
      <x:c r="AB4784" t="str">
        <x:v>Campus=55; Ratio=8.4; Prodi=65; RelDemand=39.8; Capacity=0.0</x:v>
      </x:c>
    </x:row>
    <x:row r="4785">
      <x:c r="A4785" t="n">
        <x:v>4782</x:v>
      </x:c>
      <x:c r="B4785" t="str">
        <x:v>PTKIN</x:v>
      </x:c>
      <x:c r="C4785" t="str">
        <x:v>UIN SULTAN SYARIF KASIM</x:v>
      </x:c>
      <x:c r="D4785" t="str">
        <x:v>PSIKOLOGI</x:v>
      </x:c>
      <x:c r="E4785" t="str">
        <x:v>Sarjana</x:v>
      </x:c>
      <x:c r="F4785" s="18" t="n">
        <x:v>93</x:v>
      </x:c>
      <x:c r="G4785" s="18" t="n">
        <x:v>314</x:v>
      </x:c>
      <x:c r="H4785" s="19" t="n">
        <x:v>3.3763440860215055</x:v>
      </x:c>
      <x:c r="I4785" s="18" t="n">
        <x:f>ROUND(MIN(Model_Config_v3!$B$6,MAX(Q4785,R4785,S4785*Model_Config_v3!$B$4+T4785*Model_Config_v3!$B$5)),0)</x:f>
        <x:v>642</x:v>
      </x:c>
      <x:c r="J4785" s="18" t="n">
        <x:f>MIN(Model_Config_v3!$B$6,I4785+Model_Config_v3!$B$7)</x:f>
        <x:v>662</x:v>
      </x:c>
      <x:c r="K4785" s="20" t="n">
        <x:v>55</x:v>
      </x:c>
      <x:c r="L4785" t="str">
        <x:v>KETAT</x:v>
      </x:c>
      <x:c r="M4785" t="str">
        <x:v>SEDANG+</x:v>
      </x:c>
      <x:c r="N4785" t="str">
        <x:v>REGULER</x:v>
      </x:c>
      <x:c r="O4785" t="str">
        <x:v>SOSHUM</x:v>
      </x:c>
      <x:c r="P4785" t="str">
        <x:v>PSIKOLOGI</x:v>
      </x:c>
      <x:c r="Q4785" s="18" t="n">
        <x:v>0</x:v>
      </x:c>
      <x:c r="R4785" s="18" t="n">
        <x:v>0</x:v>
      </x:c>
      <x:c r="S4785" s="18" t="n">
        <x:v>578.1291369471207</x:v>
      </x:c>
      <x:c r="T4785" s="18" t="n">
        <x:v>670</x:v>
      </x:c>
      <x:c r="U4785" s="18" t="n">
        <x:v>603.1291369471207</x:v>
      </x:c>
      <x:c r="V4785" s="20" t="n">
        <x:v>4.4</x:v>
      </x:c>
      <x:c r="W4785" s="20" t="n">
        <x:v>14.3</x:v>
      </x:c>
      <x:c r="X4785" s="20" t="n">
        <x:v>3.3</x:v>
      </x:c>
      <x:c r="Y4785" t="str">
        <x:v>Basis arsip 2025/2024</x:v>
      </x:c>
      <x:c r="Z4785" t="str">
        <x:v>https://snpmb.id/utbk-snbt/daya-tampung-snbt</x:v>
      </x:c>
      <x:c r="AA4785" t="str">
        <x:v>Tidak Ada</x:v>
      </x:c>
      <x:c r="AB4785" t="str">
        <x:v>Campus=55; Ratio=31.1; Prodi=80; RelDemand=97.0; Capacity=22.5</x:v>
      </x:c>
    </x:row>
    <x:row r="4786">
      <x:c r="A4786" t="n">
        <x:v>4783</x:v>
      </x:c>
      <x:c r="B4786" t="str">
        <x:v>PTKIN</x:v>
      </x:c>
      <x:c r="C4786" t="str">
        <x:v>UIN SULTAN SYARIF KASIM</x:v>
      </x:c>
      <x:c r="D4786" t="str">
        <x:v>ILMU HUKUM</x:v>
      </x:c>
      <x:c r="E4786" t="str">
        <x:v>Sarjana</x:v>
      </x:c>
      <x:c r="F4786" s="18" t="n">
        <x:v>98</x:v>
      </x:c>
      <x:c r="G4786" s="18" t="n">
        <x:v>110</x:v>
      </x:c>
      <x:c r="H4786" s="19" t="n">
        <x:v>1.1224489795918366</x:v>
      </x:c>
      <x:c r="I4786" s="18" t="n">
        <x:f>ROUND(MIN(Model_Config_v3!$B$6,MAX(Q4786,R4786,S4786*Model_Config_v3!$B$4+T4786*Model_Config_v3!$B$5)),0)</x:f>
        <x:v>603</x:v>
      </x:c>
      <x:c r="J4786" s="18" t="n">
        <x:f>MIN(Model_Config_v3!$B$6,I4786+Model_Config_v3!$B$7)</x:f>
        <x:v>623</x:v>
      </x:c>
      <x:c r="K4786" s="20" t="n">
        <x:v>38</x:v>
      </x:c>
      <x:c r="L4786" t="str">
        <x:v>RELATIF LONGGAR</x:v>
      </x:c>
      <x:c r="M4786" t="str">
        <x:v>SEDANG+</x:v>
      </x:c>
      <x:c r="N4786" t="str">
        <x:v>REGULER</x:v>
      </x:c>
      <x:c r="O4786" t="str">
        <x:v>SOSHUM</x:v>
      </x:c>
      <x:c r="P4786" t="str">
        <x:v>HUKUM</x:v>
      </x:c>
      <x:c r="Q4786" s="18" t="n">
        <x:v>0</x:v>
      </x:c>
      <x:c r="R4786" s="18" t="n">
        <x:v>0</x:v>
      </x:c>
      <x:c r="S4786" s="18" t="n">
        <x:v>525.5183270412304</x:v>
      </x:c>
      <x:c r="T4786" s="18" t="n">
        <x:v>636</x:v>
      </x:c>
      <x:c r="U4786" s="18" t="n">
        <x:v>540.5183270412304</x:v>
      </x:c>
      <x:c r="V4786" s="20" t="n">
        <x:v>4.4</x:v>
      </x:c>
      <x:c r="W4786" s="20" t="n">
        <x:v>14.3</x:v>
      </x:c>
      <x:c r="X4786" s="20" t="n">
        <x:v>3.3</x:v>
      </x:c>
      <x:c r="Y4786" t="str">
        <x:v>Basis arsip 2025/2024</x:v>
      </x:c>
      <x:c r="Z4786" t="str">
        <x:v>https://snpmb.id/utbk-snbt/daya-tampung-snbt</x:v>
      </x:c>
      <x:c r="AA4786" t="str">
        <x:v>Tidak Ada</x:v>
      </x:c>
      <x:c r="AB4786" t="str">
        <x:v>Campus=55; Ratio=3.0; Prodi=65; RelDemand=32.2; Capacity=18.3</x:v>
      </x:c>
    </x:row>
    <x:row r="4787">
      <x:c r="A4787" t="n">
        <x:v>4784</x:v>
      </x:c>
      <x:c r="B4787" t="str">
        <x:v>PTKIN</x:v>
      </x:c>
      <x:c r="C4787" t="str">
        <x:v>UIN SULTAN SYARIF KASIM</x:v>
      </x:c>
      <x:c r="D4787" t="str">
        <x:v>PENDIDIKAN EKONOMI</x:v>
      </x:c>
      <x:c r="E4787" t="str">
        <x:v>Sarjana</x:v>
      </x:c>
      <x:c r="F4787" s="18" t="n">
        <x:v>70</x:v>
      </x:c>
      <x:c r="G4787" s="18" t="n">
        <x:v>56</x:v>
      </x:c>
      <x:c r="H4787" s="19" t="n">
        <x:v>0.8</x:v>
      </x:c>
      <x:c r="I4787" s="18" t="n">
        <x:f>ROUND(MIN(Model_Config_v3!$B$6,MAX(Q4787,R4787,S4787*Model_Config_v3!$B$4+T4787*Model_Config_v3!$B$5)),0)</x:f>
        <x:v>596</x:v>
      </x:c>
      <x:c r="J4787" s="18" t="n">
        <x:f>MIN(Model_Config_v3!$B$6,I4787+Model_Config_v3!$B$7)</x:f>
        <x:v>616</x:v>
      </x:c>
      <x:c r="K4787" s="20" t="n">
        <x:v>34.7</x:v>
      </x:c>
      <x:c r="L4787" t="str">
        <x:v>RELATIF LONGGAR</x:v>
      </x:c>
      <x:c r="M4787" t="str">
        <x:v>SEDANG+</x:v>
      </x:c>
      <x:c r="N4787" t="str">
        <x:v>REGULER</x:v>
      </x:c>
      <x:c r="O4787" t="str">
        <x:v>SOSHUM</x:v>
      </x:c>
      <x:c r="P4787" t="str">
        <x:v>PENDIDIKAN</x:v>
      </x:c>
      <x:c r="Q4787" s="18" t="n">
        <x:v>0</x:v>
      </x:c>
      <x:c r="R4787" s="18" t="n">
        <x:v>0</x:v>
      </x:c>
      <x:c r="S4787" s="18" t="n">
        <x:v>520</x:v>
      </x:c>
      <x:c r="T4787" s="18" t="n">
        <x:v>629</x:v>
      </x:c>
      <x:c r="U4787" s="18" t="n">
        <x:v>520</x:v>
      </x:c>
      <x:c r="V4787" s="20" t="n">
        <x:v>4.4</x:v>
      </x:c>
      <x:c r="W4787" s="20" t="n">
        <x:v>14.3</x:v>
      </x:c>
      <x:c r="X4787" s="20" t="n">
        <x:v>3.3</x:v>
      </x:c>
      <x:c r="Y4787" t="str">
        <x:v>Basis arsip 2025/2024</x:v>
      </x:c>
      <x:c r="Z4787" t="str">
        <x:v>https://snpmb.id/utbk-snbt/daya-tampung-snbt</x:v>
      </x:c>
      <x:c r="AA4787" t="str">
        <x:v>Tidak Ada</x:v>
      </x:c>
      <x:c r="AB4787" t="str">
        <x:v>Campus=55; Ratio=0.0; Prodi=45; RelDemand=23.0; Capacity=41.7</x:v>
      </x:c>
    </x:row>
    <x:row r="4788">
      <x:c r="A4788" t="n">
        <x:v>4785</x:v>
      </x:c>
      <x:c r="B4788" t="str">
        <x:v>PTKIN</x:v>
      </x:c>
      <x:c r="C4788" t="str">
        <x:v>UIN SULTAN SYARIF KASIM</x:v>
      </x:c>
      <x:c r="D4788" t="str">
        <x:v>ILMU KOMUNIKASI</x:v>
      </x:c>
      <x:c r="E4788" t="str">
        <x:v>Sarjana</x:v>
      </x:c>
      <x:c r="F4788" s="18" t="n">
        <x:v>83</x:v>
      </x:c>
      <x:c r="G4788" s="18" t="n">
        <x:v>175</x:v>
      </x:c>
      <x:c r="H4788" s="19" t="n">
        <x:v>2.108433734939759</x:v>
      </x:c>
      <x:c r="I4788" s="18" t="n">
        <x:f>ROUND(MIN(Model_Config_v3!$B$6,MAX(Q4788,R4788,S4788*Model_Config_v3!$B$4+T4788*Model_Config_v3!$B$5)),0)</x:f>
        <x:v>616</x:v>
      </x:c>
      <x:c r="J4788" s="18" t="n">
        <x:f>MIN(Model_Config_v3!$B$6,I4788+Model_Config_v3!$B$7)</x:f>
        <x:v>636</x:v>
      </x:c>
      <x:c r="K4788" s="20" t="n">
        <x:v>41.2</x:v>
      </x:c>
      <x:c r="L4788" t="str">
        <x:v>RELATIF LONGGAR</x:v>
      </x:c>
      <x:c r="M4788" t="str">
        <x:v>SEDANG</x:v>
      </x:c>
      <x:c r="N4788" t="str">
        <x:v>REGULER</x:v>
      </x:c>
      <x:c r="O4788" t="str">
        <x:v>SOSHUM</x:v>
      </x:c>
      <x:c r="P4788" t="str">
        <x:v>UMUM</x:v>
      </x:c>
      <x:c r="Q4788" s="18" t="n">
        <x:v>0</x:v>
      </x:c>
      <x:c r="R4788" s="18" t="n">
        <x:v>0</x:v>
      </x:c>
      <x:c r="S4788" s="18" t="n">
        <x:v>555.6355951941242</x:v>
      </x:c>
      <x:c r="T4788" s="18" t="n">
        <x:v>642</x:v>
      </x:c>
      <x:c r="U4788" s="18" t="n">
        <x:v>555.6355951941242</x:v>
      </x:c>
      <x:c r="V4788" s="20" t="n">
        <x:v>4.4</x:v>
      </x:c>
      <x:c r="W4788" s="20" t="n">
        <x:v>14.3</x:v>
      </x:c>
      <x:c r="X4788" s="20" t="n">
        <x:v>3.3</x:v>
      </x:c>
      <x:c r="Y4788" t="str">
        <x:v>Basis arsip 2025/2024</x:v>
      </x:c>
      <x:c r="Z4788" t="str">
        <x:v>https://snpmb.id/utbk-snbt/daya-tampung-snbt</x:v>
      </x:c>
      <x:c r="AA4788" t="str">
        <x:v>Tidak Ada</x:v>
      </x:c>
      <x:c r="AB4788" t="str">
        <x:v>Campus=55; Ratio=19.1; Prodi=40; RelDemand=60.6; Capacity=30.8</x:v>
      </x:c>
    </x:row>
    <x:row r="4789">
      <x:c r="A4789" t="n">
        <x:v>4786</x:v>
      </x:c>
      <x:c r="B4789" t="str">
        <x:v>PTKIN</x:v>
      </x:c>
      <x:c r="C4789" t="str">
        <x:v>UIN SULTAN SYARIF KASIM</x:v>
      </x:c>
      <x:c r="D4789" t="str">
        <x:v>PENDIDIKAN BAHASA INDONESIA</x:v>
      </x:c>
      <x:c r="E4789" t="str">
        <x:v>Sarjana</x:v>
      </x:c>
      <x:c r="F4789" s="18" t="n">
        <x:v>60</x:v>
      </x:c>
      <x:c r="G4789" s="18" t="n">
        <x:v>147</x:v>
      </x:c>
      <x:c r="H4789" s="19" t="n">
        <x:v>2.45</x:v>
      </x:c>
      <x:c r="I4789" s="18" t="n">
        <x:f>ROUND(MIN(Model_Config_v3!$B$6,MAX(Q4789,R4789,S4789*Model_Config_v3!$B$4+T4789*Model_Config_v3!$B$5)),0)</x:f>
        <x:v>625</x:v>
      </x:c>
      <x:c r="J4789" s="18" t="n">
        <x:f>MIN(Model_Config_v3!$B$6,I4789+Model_Config_v3!$B$7)</x:f>
        <x:v>645</x:v>
      </x:c>
      <x:c r="K4789" s="20" t="n">
        <x:v>46</x:v>
      </x:c>
      <x:c r="L4789" t="str">
        <x:v>MENENGAH</x:v>
      </x:c>
      <x:c r="M4789" t="str">
        <x:v>SEDANG+</x:v>
      </x:c>
      <x:c r="N4789" t="str">
        <x:v>REGULER</x:v>
      </x:c>
      <x:c r="O4789" t="str">
        <x:v>SOSHUM</x:v>
      </x:c>
      <x:c r="P4789" t="str">
        <x:v>PENDIDIKAN</x:v>
      </x:c>
      <x:c r="Q4789" s="18" t="n">
        <x:v>0</x:v>
      </x:c>
      <x:c r="R4789" s="18" t="n">
        <x:v>0</x:v>
      </x:c>
      <x:c r="S4789" s="18" t="n">
        <x:v>562.8082692800986</x:v>
      </x:c>
      <x:c r="T4789" s="18" t="n">
        <x:v>652</x:v>
      </x:c>
      <x:c r="U4789" s="18" t="n">
        <x:v>562.8082692800986</x:v>
      </x:c>
      <x:c r="V4789" s="20" t="n">
        <x:v>4.4</x:v>
      </x:c>
      <x:c r="W4789" s="20" t="n">
        <x:v>14.3</x:v>
      </x:c>
      <x:c r="X4789" s="20" t="n">
        <x:v>3.3</x:v>
      </x:c>
      <x:c r="Y4789" t="str">
        <x:v>Basis arsip 2025/2024</x:v>
      </x:c>
      <x:c r="Z4789" t="str">
        <x:v>https://snpmb.id/utbk-snbt/daya-tampung-snbt</x:v>
      </x:c>
      <x:c r="AA4789" t="str">
        <x:v>Tidak Ada</x:v>
      </x:c>
      <x:c r="AB4789" t="str">
        <x:v>Campus=55; Ratio=22.9; Prodi=45; RelDemand=70.4; Capacity=50.0</x:v>
      </x:c>
    </x:row>
    <x:row r="4790">
      <x:c r="A4790" t="n">
        <x:v>4787</x:v>
      </x:c>
      <x:c r="B4790" t="str">
        <x:v>PTKIN</x:v>
      </x:c>
      <x:c r="C4790" t="str">
        <x:v>UIN SULTAN SYARIF KASIM</x:v>
      </x:c>
      <x:c r="D4790" t="str">
        <x:v>PENDIDIKAN GEOGRAFI</x:v>
      </x:c>
      <x:c r="E4790" t="str">
        <x:v>Sarjana</x:v>
      </x:c>
      <x:c r="F4790" s="18" t="n">
        <x:v>55</x:v>
      </x:c>
      <x:c r="G4790" s="18" t="n">
        <x:v>72</x:v>
      </x:c>
      <x:c r="H4790" s="19" t="n">
        <x:v>1.309090909090909</x:v>
      </x:c>
      <x:c r="I4790" s="18" t="n">
        <x:f>ROUND(MIN(Model_Config_v3!$B$6,MAX(Q4790,R4790,S4790*Model_Config_v3!$B$4+T4790*Model_Config_v3!$B$5)),0)</x:f>
        <x:v>606</x:v>
      </x:c>
      <x:c r="J4790" s="18" t="n">
        <x:f>MIN(Model_Config_v3!$B$6,I4790+Model_Config_v3!$B$7)</x:f>
        <x:v>626</x:v>
      </x:c>
      <x:c r="K4790" s="20" t="n">
        <x:v>39.1</x:v>
      </x:c>
      <x:c r="L4790" t="str">
        <x:v>RELATIF LONGGAR</x:v>
      </x:c>
      <x:c r="M4790" t="str">
        <x:v>SEDANG+</x:v>
      </x:c>
      <x:c r="N4790" t="str">
        <x:v>REGULER</x:v>
      </x:c>
      <x:c r="O4790" t="str">
        <x:v>CAMPURAN</x:v>
      </x:c>
      <x:c r="P4790" t="str">
        <x:v>PENDIDIKAN</x:v>
      </x:c>
      <x:c r="Q4790" s="18" t="n">
        <x:v>0</x:v>
      </x:c>
      <x:c r="R4790" s="18" t="n">
        <x:v>0</x:v>
      </x:c>
      <x:c r="S4790" s="18" t="n">
        <x:v>532.8666787630727</x:v>
      </x:c>
      <x:c r="T4790" s="18" t="n">
        <x:v>638</x:v>
      </x:c>
      <x:c r="U4790" s="18" t="n">
        <x:v>532.8666787630727</x:v>
      </x:c>
      <x:c r="V4790" s="20" t="n">
        <x:v>8.8</x:v>
      </x:c>
      <x:c r="W4790" s="20" t="n">
        <x:v>9.9</x:v>
      </x:c>
      <x:c r="X4790" s="20" t="n">
        <x:v>3.3</x:v>
      </x:c>
      <x:c r="Y4790" t="str">
        <x:v>Basis arsip 2025/2024</x:v>
      </x:c>
      <x:c r="Z4790" t="str">
        <x:v>https://snpmb.id/utbk-snbt/daya-tampung-snbt</x:v>
      </x:c>
      <x:c r="AA4790" t="str">
        <x:v>Tidak Ada</x:v>
      </x:c>
      <x:c r="AB4790" t="str">
        <x:v>Campus=55; Ratio=6.9; Prodi=45; RelDemand=37.6; Capacity=54.2</x:v>
      </x:c>
    </x:row>
    <x:row r="4791">
      <x:c r="A4791" t="n">
        <x:v>4788</x:v>
      </x:c>
      <x:c r="B4791" t="str">
        <x:v>PTKIN</x:v>
      </x:c>
      <x:c r="C4791" t="str">
        <x:v>UIN IMAM BONJOL PADANG</x:v>
      </x:c>
      <x:c r="D4791" t="str">
        <x:v>MATEMATIKA</x:v>
      </x:c>
      <x:c r="E4791" t="str">
        <x:v>Sarjana</x:v>
      </x:c>
      <x:c r="F4791" s="18" t="n">
        <x:v>24</x:v>
      </x:c>
      <x:c r="G4791" s="18" t="n">
        <x:v>5</x:v>
      </x:c>
      <x:c r="H4791" s="19" t="n">
        <x:v>0.20833333333333334</x:v>
      </x:c>
      <x:c r="I4791" s="18" t="n">
        <x:f>ROUND(MIN(Model_Config_v3!$B$6,MAX(Q4791,R4791,S4791*Model_Config_v3!$B$4+T4791*Model_Config_v3!$B$5)),0)</x:f>
        <x:v>601</x:v>
      </x:c>
      <x:c r="J4791" s="18" t="n">
        <x:f>MIN(Model_Config_v3!$B$6,I4791+Model_Config_v3!$B$7)</x:f>
        <x:v>621</x:v>
      </x:c>
      <x:c r="K4791" s="20" t="n">
        <x:v>38.2</x:v>
      </x:c>
      <x:c r="L4791" t="str">
        <x:v>RELATIF LONGGAR</x:v>
      </x:c>
      <x:c r="M4791" t="str">
        <x:v>SEDANG+</x:v>
      </x:c>
      <x:c r="N4791" t="str">
        <x:v>REGULER</x:v>
      </x:c>
      <x:c r="O4791" t="str">
        <x:v>SAINTEK</x:v>
      </x:c>
      <x:c r="P4791" t="str">
        <x:v>SAINS DASAR</x:v>
      </x:c>
      <x:c r="Q4791" s="18" t="n">
        <x:v>0</x:v>
      </x:c>
      <x:c r="R4791" s="18" t="n">
        <x:v>0</x:v>
      </x:c>
      <x:c r="S4791" s="18" t="n">
        <x:v>520</x:v>
      </x:c>
      <x:c r="T4791" s="18" t="n">
        <x:v>636</x:v>
      </x:c>
      <x:c r="U4791" s="18" t="n">
        <x:v>520</x:v>
      </x:c>
      <x:c r="V4791" s="20" t="n">
        <x:v>12</x:v>
      </x:c>
      <x:c r="W4791" s="20" t="n">
        <x:v>5</x:v>
      </x:c>
      <x:c r="X4791" s="20" t="n">
        <x:v>3</x:v>
      </x:c>
      <x:c r="Y4791" t="str">
        <x:v>Basis arsip 2025/2024</x:v>
      </x:c>
      <x:c r="Z4791" t="str">
        <x:v>https://snpmb.id/utbk-snbt/daya-tampung-snbt</x:v>
      </x:c>
      <x:c r="AA4791" t="str">
        <x:v>Tidak Ada</x:v>
      </x:c>
      <x:c r="AB4791" t="str">
        <x:v>Campus=55; Ratio=0.0; Prodi=50; RelDemand=10.0; Capacity=80.0</x:v>
      </x:c>
    </x:row>
    <x:row r="4792">
      <x:c r="A4792" t="n">
        <x:v>4789</x:v>
      </x:c>
      <x:c r="B4792" t="str">
        <x:v>PTKIN</x:v>
      </x:c>
      <x:c r="C4792" t="str">
        <x:v>UIN IMAM BONJOL PADANG</x:v>
      </x:c>
      <x:c r="D4792" t="str">
        <x:v>SISTEM INFORMASI</x:v>
      </x:c>
      <x:c r="E4792" t="str">
        <x:v>Sarjana</x:v>
      </x:c>
      <x:c r="F4792" s="18" t="n">
        <x:v>60</x:v>
      </x:c>
      <x:c r="G4792" s="18" t="n">
        <x:v>113</x:v>
      </x:c>
      <x:c r="H4792" s="19" t="n">
        <x:v>1.8833333333333333</x:v>
      </x:c>
      <x:c r="I4792" s="18" t="n">
        <x:f>ROUND(MIN(Model_Config_v3!$B$6,MAX(Q4792,R4792,S4792*Model_Config_v3!$B$4+T4792*Model_Config_v3!$B$5)),0)</x:f>
        <x:v>633</x:v>
      </x:c>
      <x:c r="J4792" s="18" t="n">
        <x:f>MIN(Model_Config_v3!$B$6,I4792+Model_Config_v3!$B$7)</x:f>
        <x:v>653</x:v>
      </x:c>
      <x:c r="K4792" s="20" t="n">
        <x:v>54.3</x:v>
      </x:c>
      <x:c r="L4792" t="str">
        <x:v>MENENGAH</x:v>
      </x:c>
      <x:c r="M4792" t="str">
        <x:v>SEDANG+</x:v>
      </x:c>
      <x:c r="N4792" t="str">
        <x:v>REGULER</x:v>
      </x:c>
      <x:c r="O4792" t="str">
        <x:v>CAMPURAN</x:v>
      </x:c>
      <x:c r="P4792" t="str">
        <x:v>KOMPUTER/INFORMATIKA</x:v>
      </x:c>
      <x:c r="Q4792" s="18" t="n">
        <x:v>0</x:v>
      </x:c>
      <x:c r="R4792" s="18" t="n">
        <x:v>0</x:v>
      </x:c>
      <x:c r="S4792" s="18" t="n">
        <x:v>550.2419912409754</x:v>
      </x:c>
      <x:c r="T4792" s="18" t="n">
        <x:v>669</x:v>
      </x:c>
      <x:c r="U4792" s="18" t="n">
        <x:v>575.2419912409754</x:v>
      </x:c>
      <x:c r="V4792" s="20" t="n">
        <x:v>8.8</x:v>
      </x:c>
      <x:c r="W4792" s="20" t="n">
        <x:v>9.9</x:v>
      </x:c>
      <x:c r="X4792" s="20" t="n">
        <x:v>3.3</x:v>
      </x:c>
      <x:c r="Y4792" t="str">
        <x:v>Basis arsip 2025/2024</x:v>
      </x:c>
      <x:c r="Z4792" t="str">
        <x:v>https://snpmb.id/utbk-snbt/daya-tampung-snbt</x:v>
      </x:c>
      <x:c r="AA4792" t="str">
        <x:v>Tidak Ada</x:v>
      </x:c>
      <x:c r="AB4792" t="str">
        <x:v>Campus=55; Ratio=16.2; Prodi=85; RelDemand=90.0; Capacity=50.0</x:v>
      </x:c>
    </x:row>
    <x:row r="4793">
      <x:c r="A4793" t="n">
        <x:v>4790</x:v>
      </x:c>
      <x:c r="B4793" t="str">
        <x:v>PTKIN</x:v>
      </x:c>
      <x:c r="C4793" t="str">
        <x:v>UIN SULTAN THAHA SAIFUDDIN JAMBI</x:v>
      </x:c>
      <x:c r="D4793" t="str">
        <x:v>SISTEM INFORMASI</x:v>
      </x:c>
      <x:c r="E4793" t="str">
        <x:v>Sarjana</x:v>
      </x:c>
      <x:c r="F4793" s="18" t="n">
        <x:v>125</x:v>
      </x:c>
      <x:c r="G4793" s="18" t="n">
        <x:v>93</x:v>
      </x:c>
      <x:c r="H4793" s="19" t="n">
        <x:v>0.744</x:v>
      </x:c>
      <x:c r="I4793" s="18" t="n">
        <x:f>ROUND(MIN(Model_Config_v3!$B$6,MAX(Q4793,R4793,S4793*Model_Config_v3!$B$4+T4793*Model_Config_v3!$B$5)),0)</x:f>
        <x:v>611</x:v>
      </x:c>
      <x:c r="J4793" s="18" t="n">
        <x:f>MIN(Model_Config_v3!$B$6,I4793+Model_Config_v3!$B$7)</x:f>
        <x:v>631</x:v>
      </x:c>
      <x:c r="K4793" s="20" t="n">
        <x:v>45.1</x:v>
      </x:c>
      <x:c r="L4793" t="str">
        <x:v>MENENGAH</x:v>
      </x:c>
      <x:c r="M4793" t="str">
        <x:v>SEDANG+</x:v>
      </x:c>
      <x:c r="N4793" t="str">
        <x:v>REGULER</x:v>
      </x:c>
      <x:c r="O4793" t="str">
        <x:v>CAMPURAN</x:v>
      </x:c>
      <x:c r="P4793" t="str">
        <x:v>KOMPUTER/INFORMATIKA</x:v>
      </x:c>
      <x:c r="Q4793" s="18" t="n">
        <x:v>0</x:v>
      </x:c>
      <x:c r="R4793" s="18" t="n">
        <x:v>0</x:v>
      </x:c>
      <x:c r="S4793" s="18" t="n">
        <x:v>520</x:v>
      </x:c>
      <x:c r="T4793" s="18" t="n">
        <x:v>650</x:v>
      </x:c>
      <x:c r="U4793" s="18" t="n">
        <x:v>545</x:v>
      </x:c>
      <x:c r="V4793" s="20" t="n">
        <x:v>8.8</x:v>
      </x:c>
      <x:c r="W4793" s="20" t="n">
        <x:v>9.9</x:v>
      </x:c>
      <x:c r="X4793" s="20" t="n">
        <x:v>3.3</x:v>
      </x:c>
      <x:c r="Y4793" t="str">
        <x:v>Basis arsip 2025/2024</x:v>
      </x:c>
      <x:c r="Z4793" t="str">
        <x:v>https://snpmb.id/utbk-snbt/daya-tampung-snbt</x:v>
      </x:c>
      <x:c r="AA4793" t="str">
        <x:v>Tidak Ada</x:v>
      </x:c>
      <x:c r="AB4793" t="str">
        <x:v>Campus=55; Ratio=0.0; Prodi=85; RelDemand=88.3; Capacity=0.0</x:v>
      </x:c>
    </x:row>
    <x:row r="4794">
      <x:c r="A4794" t="n">
        <x:v>4791</x:v>
      </x:c>
      <x:c r="B4794" t="str">
        <x:v>PTKIN</x:v>
      </x:c>
      <x:c r="C4794" t="str">
        <x:v>UIN SULTAN THAHA SAIFUDDIN JAMBI</x:v>
      </x:c>
      <x:c r="D4794" t="str">
        <x:v>KIMIA</x:v>
      </x:c>
      <x:c r="E4794" t="str">
        <x:v>Sarjana</x:v>
      </x:c>
      <x:c r="F4794" s="18" t="n">
        <x:v>12</x:v>
      </x:c>
      <x:c r="G4794" s="18" t="n">
        <x:v>2</x:v>
      </x:c>
      <x:c r="H4794" s="19" t="n">
        <x:v>0.16666666666666666</x:v>
      </x:c>
      <x:c r="I4794" s="18" t="n">
        <x:f>ROUND(MIN(Model_Config_v3!$B$6,MAX(Q4794,R4794,S4794*Model_Config_v3!$B$4+T4794*Model_Config_v3!$B$5)),0)</x:f>
        <x:v>604</x:v>
      </x:c>
      <x:c r="J4794" s="18" t="n">
        <x:f>MIN(Model_Config_v3!$B$6,I4794+Model_Config_v3!$B$7)</x:f>
        <x:v>624</x:v>
      </x:c>
      <x:c r="K4794" s="20" t="n">
        <x:v>40.2</x:v>
      </x:c>
      <x:c r="L4794" t="str">
        <x:v>RELATIF LONGGAR</x:v>
      </x:c>
      <x:c r="M4794" t="str">
        <x:v>SEDANG+</x:v>
      </x:c>
      <x:c r="N4794" t="str">
        <x:v>REGULER</x:v>
      </x:c>
      <x:c r="O4794" t="str">
        <x:v>SAINTEK</x:v>
      </x:c>
      <x:c r="P4794" t="str">
        <x:v>SAINS DASAR</x:v>
      </x:c>
      <x:c r="Q4794" s="18" t="n">
        <x:v>0</x:v>
      </x:c>
      <x:c r="R4794" s="18" t="n">
        <x:v>0</x:v>
      </x:c>
      <x:c r="S4794" s="18" t="n">
        <x:v>520</x:v>
      </x:c>
      <x:c r="T4794" s="18" t="n">
        <x:v>640</x:v>
      </x:c>
      <x:c r="U4794" s="18" t="n">
        <x:v>520</x:v>
      </x:c>
      <x:c r="V4794" s="20" t="n">
        <x:v>12</x:v>
      </x:c>
      <x:c r="W4794" s="20" t="n">
        <x:v>5</x:v>
      </x:c>
      <x:c r="X4794" s="20" t="n">
        <x:v>3</x:v>
      </x:c>
      <x:c r="Y4794" t="str">
        <x:v>Basis arsip 2025/2024</x:v>
      </x:c>
      <x:c r="Z4794" t="str">
        <x:v>https://snpmb.id/utbk-snbt/daya-tampung-snbt</x:v>
      </x:c>
      <x:c r="AA4794" t="str">
        <x:v>Tidak Ada</x:v>
      </x:c>
      <x:c r="AB4794" t="str">
        <x:v>Campus=55; Ratio=0.0; Prodi=50; RelDemand=19.8; Capacity=90.0</x:v>
      </x:c>
    </x:row>
    <x:row r="4795">
      <x:c r="A4795" t="n">
        <x:v>4792</x:v>
      </x:c>
      <x:c r="B4795" t="str">
        <x:v>PTKIN</x:v>
      </x:c>
      <x:c r="C4795" t="str">
        <x:v>UIN SULTAN THAHA SAIFUDDIN JAMBI</x:v>
      </x:c>
      <x:c r="D4795" t="str">
        <x:v>FISIKA</x:v>
      </x:c>
      <x:c r="E4795" t="str">
        <x:v>Sarjana</x:v>
      </x:c>
      <x:c r="F4795" s="18" t="n">
        <x:v>12</x:v>
      </x:c>
      <x:c r="G4795" s="18" t="n">
        <x:v>2</x:v>
      </x:c>
      <x:c r="H4795" s="19" t="n">
        <x:v>0.16666666666666666</x:v>
      </x:c>
      <x:c r="I4795" s="18" t="n">
        <x:f>ROUND(MIN(Model_Config_v3!$B$6,MAX(Q4795,R4795,S4795*Model_Config_v3!$B$4+T4795*Model_Config_v3!$B$5)),0)</x:f>
        <x:v>604</x:v>
      </x:c>
      <x:c r="J4795" s="18" t="n">
        <x:f>MIN(Model_Config_v3!$B$6,I4795+Model_Config_v3!$B$7)</x:f>
        <x:v>624</x:v>
      </x:c>
      <x:c r="K4795" s="20" t="n">
        <x:v>40.2</x:v>
      </x:c>
      <x:c r="L4795" t="str">
        <x:v>RELATIF LONGGAR</x:v>
      </x:c>
      <x:c r="M4795" t="str">
        <x:v>SEDANG+</x:v>
      </x:c>
      <x:c r="N4795" t="str">
        <x:v>REGULER</x:v>
      </x:c>
      <x:c r="O4795" t="str">
        <x:v>SAINTEK</x:v>
      </x:c>
      <x:c r="P4795" t="str">
        <x:v>SAINS DASAR</x:v>
      </x:c>
      <x:c r="Q4795" s="18" t="n">
        <x:v>0</x:v>
      </x:c>
      <x:c r="R4795" s="18" t="n">
        <x:v>0</x:v>
      </x:c>
      <x:c r="S4795" s="18" t="n">
        <x:v>520</x:v>
      </x:c>
      <x:c r="T4795" s="18" t="n">
        <x:v>640</x:v>
      </x:c>
      <x:c r="U4795" s="18" t="n">
        <x:v>520</x:v>
      </x:c>
      <x:c r="V4795" s="20" t="n">
        <x:v>12</x:v>
      </x:c>
      <x:c r="W4795" s="20" t="n">
        <x:v>5</x:v>
      </x:c>
      <x:c r="X4795" s="20" t="n">
        <x:v>3</x:v>
      </x:c>
      <x:c r="Y4795" t="str">
        <x:v>Basis arsip 2025/2024</x:v>
      </x:c>
      <x:c r="Z4795" t="str">
        <x:v>https://snpmb.id/utbk-snbt/daya-tampung-snbt</x:v>
      </x:c>
      <x:c r="AA4795" t="str">
        <x:v>Tidak Ada</x:v>
      </x:c>
      <x:c r="AB4795" t="str">
        <x:v>Campus=55; Ratio=0.0; Prodi=50; RelDemand=19.8; Capacity=90.0</x:v>
      </x:c>
    </x:row>
    <x:row r="4796">
      <x:c r="A4796" t="n">
        <x:v>4793</x:v>
      </x:c>
      <x:c r="B4796" t="str">
        <x:v>PTKIN</x:v>
      </x:c>
      <x:c r="C4796" t="str">
        <x:v>UIN SULTAN THAHA SAIFUDDIN JAMBI</x:v>
      </x:c>
      <x:c r="D4796" t="str">
        <x:v>STATISTIKA</x:v>
      </x:c>
      <x:c r="E4796" t="str">
        <x:v>Sarjana</x:v>
      </x:c>
      <x:c r="F4796" s="18" t="n">
        <x:v>25</x:v>
      </x:c>
      <x:c r="G4796" s="18" t="n">
        <x:v>9</x:v>
      </x:c>
      <x:c r="H4796" s="19" t="n">
        <x:v>0.36</x:v>
      </x:c>
      <x:c r="I4796" s="18" t="n">
        <x:f>ROUND(MIN(Model_Config_v3!$B$6,MAX(Q4796,R4796,S4796*Model_Config_v3!$B$4+T4796*Model_Config_v3!$B$5)),0)</x:f>
        <x:v>609</x:v>
      </x:c>
      <x:c r="J4796" s="18" t="n">
        <x:f>MIN(Model_Config_v3!$B$6,I4796+Model_Config_v3!$B$7)</x:f>
        <x:v>629</x:v>
      </x:c>
      <x:c r="K4796" s="20" t="n">
        <x:v>43.4</x:v>
      </x:c>
      <x:c r="L4796" t="str">
        <x:v>RELATIF LONGGAR</x:v>
      </x:c>
      <x:c r="M4796" t="str">
        <x:v>SEDANG+</x:v>
      </x:c>
      <x:c r="N4796" t="str">
        <x:v>REGULER</x:v>
      </x:c>
      <x:c r="O4796" t="str">
        <x:v>SAINTEK</x:v>
      </x:c>
      <x:c r="P4796" t="str">
        <x:v>TEKNIK/ARSITEKTUR/STATISTIKA/AKTUARIA</x:v>
      </x:c>
      <x:c r="Q4796" s="18" t="n">
        <x:v>0</x:v>
      </x:c>
      <x:c r="R4796" s="18" t="n">
        <x:v>0</x:v>
      </x:c>
      <x:c r="S4796" s="18" t="n">
        <x:v>520</x:v>
      </x:c>
      <x:c r="T4796" s="18" t="n">
        <x:v>647</x:v>
      </x:c>
      <x:c r="U4796" s="18" t="n">
        <x:v>530</x:v>
      </x:c>
      <x:c r="V4796" s="20" t="n">
        <x:v>12</x:v>
      </x:c>
      <x:c r="W4796" s="20" t="n">
        <x:v>5</x:v>
      </x:c>
      <x:c r="X4796" s="20" t="n">
        <x:v>3</x:v>
      </x:c>
      <x:c r="Y4796" t="str">
        <x:v>Basis arsip 2025/2024</x:v>
      </x:c>
      <x:c r="Z4796" t="str">
        <x:v>https://snpmb.id/utbk-snbt/daya-tampung-snbt</x:v>
      </x:c>
      <x:c r="AA4796" t="str">
        <x:v>Tidak Ada</x:v>
      </x:c>
      <x:c r="AB4796" t="str">
        <x:v>Campus=55; Ratio=0.0; Prodi=60; RelDemand=42.7; Capacity=79.2</x:v>
      </x:c>
    </x:row>
    <x:row r="4797">
      <x:c r="A4797" t="n">
        <x:v>4794</x:v>
      </x:c>
      <x:c r="B4797" t="str">
        <x:v>PTKIN</x:v>
      </x:c>
      <x:c r="C4797" t="str">
        <x:v>UIN SULTAN THAHA SAIFUDDIN JAMBI</x:v>
      </x:c>
      <x:c r="D4797" t="str">
        <x:v>BIOLOGI</x:v>
      </x:c>
      <x:c r="E4797" t="str">
        <x:v>Sarjana</x:v>
      </x:c>
      <x:c r="F4797" s="18" t="n">
        <x:v>12</x:v>
      </x:c>
      <x:c r="G4797" s="18" t="n">
        <x:v>10</x:v>
      </x:c>
      <x:c r="H4797" s="19" t="n">
        <x:v>0.8333333333333334</x:v>
      </x:c>
      <x:c r="I4797" s="18" t="n">
        <x:f>ROUND(MIN(Model_Config_v3!$B$6,MAX(Q4797,R4797,S4797*Model_Config_v3!$B$4+T4797*Model_Config_v3!$B$5)),0)</x:f>
        <x:v>615</x:v>
      </x:c>
      <x:c r="J4797" s="18" t="n">
        <x:f>MIN(Model_Config_v3!$B$6,I4797+Model_Config_v3!$B$7)</x:f>
        <x:v>635</x:v>
      </x:c>
      <x:c r="K4797" s="20" t="n">
        <x:v>48.1</x:v>
      </x:c>
      <x:c r="L4797" t="str">
        <x:v>MENENGAH</x:v>
      </x:c>
      <x:c r="M4797" t="str">
        <x:v>SEDANG+</x:v>
      </x:c>
      <x:c r="N4797" t="str">
        <x:v>REGULER</x:v>
      </x:c>
      <x:c r="O4797" t="str">
        <x:v>SAINTEK</x:v>
      </x:c>
      <x:c r="P4797" t="str">
        <x:v>SAINS DASAR</x:v>
      </x:c>
      <x:c r="Q4797" s="18" t="n">
        <x:v>0</x:v>
      </x:c>
      <x:c r="R4797" s="18" t="n">
        <x:v>0</x:v>
      </x:c>
      <x:c r="S4797" s="18" t="n">
        <x:v>520</x:v>
      </x:c>
      <x:c r="T4797" s="18" t="n">
        <x:v>656</x:v>
      </x:c>
      <x:c r="U4797" s="18" t="n">
        <x:v>520</x:v>
      </x:c>
      <x:c r="V4797" s="20" t="n">
        <x:v>12</x:v>
      </x:c>
      <x:c r="W4797" s="20" t="n">
        <x:v>5</x:v>
      </x:c>
      <x:c r="X4797" s="20" t="n">
        <x:v>3</x:v>
      </x:c>
      <x:c r="Y4797" t="str">
        <x:v>Basis arsip 2025/2024</x:v>
      </x:c>
      <x:c r="Z4797" t="str">
        <x:v>https://snpmb.id/utbk-snbt/daya-tampung-snbt</x:v>
      </x:c>
      <x:c r="AA4797" t="str">
        <x:v>Tidak Ada</x:v>
      </x:c>
      <x:c r="AB4797" t="str">
        <x:v>Campus=55; Ratio=0.0; Prodi=50; RelDemand=98.9; Capacity=90.0</x:v>
      </x:c>
    </x:row>
    <x:row r="4798">
      <x:c r="A4798" t="n">
        <x:v>4795</x:v>
      </x:c>
      <x:c r="B4798" t="str">
        <x:v>PTKIN</x:v>
      </x:c>
      <x:c r="C4798" t="str">
        <x:v>UIN SULTAN THAHA SAIFUDDIN JAMBI</x:v>
      </x:c>
      <x:c r="D4798" t="str">
        <x:v>SAINS INFORMASI GEOGRAFI</x:v>
      </x:c>
      <x:c r="E4798" t="str">
        <x:v>Sarjana</x:v>
      </x:c>
      <x:c r="F4798" s="18" t="n">
        <x:v>20</x:v>
      </x:c>
      <x:c r="G4798" s="18" t="n">
        <x:v>11</x:v>
      </x:c>
      <x:c r="H4798" s="19" t="n">
        <x:v>0.55</x:v>
      </x:c>
      <x:c r="I4798" s="18" t="n">
        <x:f>ROUND(MIN(Model_Config_v3!$B$6,MAX(Q4798,R4798,S4798*Model_Config_v3!$B$4+T4798*Model_Config_v3!$B$5)),0)</x:f>
        <x:v>607</x:v>
      </x:c>
      <x:c r="J4798" s="18" t="n">
        <x:f>MIN(Model_Config_v3!$B$6,I4798+Model_Config_v3!$B$7)</x:f>
        <x:v>627</x:v>
      </x:c>
      <x:c r="K4798" s="20" t="n">
        <x:v>42.1</x:v>
      </x:c>
      <x:c r="L4798" t="str">
        <x:v>RELATIF LONGGAR</x:v>
      </x:c>
      <x:c r="M4798" t="str">
        <x:v>SEDANG</x:v>
      </x:c>
      <x:c r="N4798" t="str">
        <x:v>REGULER</x:v>
      </x:c>
      <x:c r="O4798" t="str">
        <x:v>CAMPURAN</x:v>
      </x:c>
      <x:c r="P4798" t="str">
        <x:v>UMUM</x:v>
      </x:c>
      <x:c r="Q4798" s="18" t="n">
        <x:v>0</x:v>
      </x:c>
      <x:c r="R4798" s="18" t="n">
        <x:v>0</x:v>
      </x:c>
      <x:c r="S4798" s="18" t="n">
        <x:v>520</x:v>
      </x:c>
      <x:c r="T4798" s="18" t="n">
        <x:v>644</x:v>
      </x:c>
      <x:c r="U4798" s="18" t="n">
        <x:v>520</x:v>
      </x:c>
      <x:c r="V4798" s="20" t="n">
        <x:v>8.8</x:v>
      </x:c>
      <x:c r="W4798" s="20" t="n">
        <x:v>9.9</x:v>
      </x:c>
      <x:c r="X4798" s="20" t="n">
        <x:v>3.3</x:v>
      </x:c>
      <x:c r="Y4798" t="str">
        <x:v>Basis arsip 2025/2024</x:v>
      </x:c>
      <x:c r="Z4798" t="str">
        <x:v>https://snpmb.id/utbk-snbt/daya-tampung-snbt</x:v>
      </x:c>
      <x:c r="AA4798" t="str">
        <x:v>Tidak Ada</x:v>
      </x:c>
      <x:c r="AB4798" t="str">
        <x:v>Campus=55; Ratio=0.0; Prodi=40; RelDemand=65.3; Capacity=83.3</x:v>
      </x:c>
    </x:row>
    <x:row r="4799">
      <x:c r="A4799" t="n">
        <x:v>4796</x:v>
      </x:c>
      <x:c r="B4799" t="str">
        <x:v>PTKIN</x:v>
      </x:c>
      <x:c r="C4799" t="str">
        <x:v>UIN SULTAN THAHA SAIFUDDIN JAMBI</x:v>
      </x:c>
      <x:c r="D4799" t="str">
        <x:v>ARSITEKTUR</x:v>
      </x:c>
      <x:c r="E4799" t="str">
        <x:v>Sarjana</x:v>
      </x:c>
      <x:c r="F4799" s="18" t="n">
        <x:v>20</x:v>
      </x:c>
      <x:c r="G4799" s="18" t="n">
        <x:v>11</x:v>
      </x:c>
      <x:c r="H4799" s="19" t="n">
        <x:v>0.55</x:v>
      </x:c>
      <x:c r="I4799" s="18" t="n">
        <x:f>ROUND(MIN(Model_Config_v3!$B$6,MAX(Q4799,R4799,S4799*Model_Config_v3!$B$4+T4799*Model_Config_v3!$B$5)),0)</x:f>
        <x:v>612</x:v>
      </x:c>
      <x:c r="J4799" s="18" t="n">
        <x:f>MIN(Model_Config_v3!$B$6,I4799+Model_Config_v3!$B$7)</x:f>
        <x:v>632</x:v>
      </x:c>
      <x:c r="K4799" s="20" t="n">
        <x:v>46.1</x:v>
      </x:c>
      <x:c r="L4799" t="str">
        <x:v>MENENGAH</x:v>
      </x:c>
      <x:c r="M4799" t="str">
        <x:v>SEDANG+</x:v>
      </x:c>
      <x:c r="N4799" t="str">
        <x:v>REGULER</x:v>
      </x:c>
      <x:c r="O4799" t="str">
        <x:v>SAINTEK</x:v>
      </x:c>
      <x:c r="P4799" t="str">
        <x:v>TEKNIK/ARSITEKTUR/STATISTIKA/AKTUARIA</x:v>
      </x:c>
      <x:c r="Q4799" s="18" t="n">
        <x:v>0</x:v>
      </x:c>
      <x:c r="R4799" s="18" t="n">
        <x:v>0</x:v>
      </x:c>
      <x:c r="S4799" s="18" t="n">
        <x:v>520</x:v>
      </x:c>
      <x:c r="T4799" s="18" t="n">
        <x:v>652</x:v>
      </x:c>
      <x:c r="U4799" s="18" t="n">
        <x:v>520</x:v>
      </x:c>
      <x:c r="V4799" s="20" t="n">
        <x:v>12</x:v>
      </x:c>
      <x:c r="W4799" s="20" t="n">
        <x:v>5</x:v>
      </x:c>
      <x:c r="X4799" s="20" t="n">
        <x:v>3</x:v>
      </x:c>
      <x:c r="Y4799" t="str">
        <x:v>Basis arsip 2025/2024</x:v>
      </x:c>
      <x:c r="Z4799" t="str">
        <x:v>https://snpmb.id/utbk-snbt/daya-tampung-snbt</x:v>
      </x:c>
      <x:c r="AA4799" t="str">
        <x:v>Tidak Ada</x:v>
      </x:c>
      <x:c r="AB4799" t="str">
        <x:v>Campus=55; Ratio=0.0; Prodi=60; RelDemand=65.3; Capacity=83.3</x:v>
      </x:c>
    </x:row>
    <x:row r="4800">
      <x:c r="A4800" t="n">
        <x:v>4797</x:v>
      </x:c>
      <x:c r="B4800" t="str">
        <x:v>PTKIN</x:v>
      </x:c>
      <x:c r="C4800" t="str">
        <x:v>UIN SULTAN THAHA SAIFUDDIN JAMBI</x:v>
      </x:c>
      <x:c r="D4800" t="str">
        <x:v>KEDOKTERAN</x:v>
      </x:c>
      <x:c r="E4800" t="str">
        <x:v>Sarjana</x:v>
      </x:c>
      <x:c r="F4800" s="18" t="n">
        <x:v>25</x:v>
      </x:c>
      <x:c r="G4800" s="18"/>
      <x:c r="H4800" s="19" t="n">
        <x:v>0</x:v>
      </x:c>
      <x:c r="I4800" s="18" t="n">
        <x:f>ROUND(MIN(Model_Config_v3!$B$6,MAX(Q4800,R4800,S4800*Model_Config_v3!$B$4+T4800*Model_Config_v3!$B$5)),0)</x:f>
        <x:v>680</x:v>
      </x:c>
      <x:c r="J4800" s="18" t="n">
        <x:f>MIN(Model_Config_v3!$B$6,I4800+Model_Config_v3!$B$7)</x:f>
        <x:v>700</x:v>
      </x:c>
      <x:c r="K4800" s="20" t="n">
        <x:v>47.2</x:v>
      </x:c>
      <x:c r="L4800" t="str">
        <x:v>MENENGAH</x:v>
      </x:c>
      <x:c r="M4800" t="str">
        <x:v>RENDAH</x:v>
      </x:c>
      <x:c r="N4800" t="str">
        <x:v>REGULER</x:v>
      </x:c>
      <x:c r="O4800" t="str">
        <x:v>SAINTEK</x:v>
      </x:c>
      <x:c r="P4800" t="str">
        <x:v>KEDOKTERAN</x:v>
      </x:c>
      <x:c r="Q4800" s="18" t="n">
        <x:v>0</x:v>
      </x:c>
      <x:c r="R4800" s="18" t="n">
        <x:v>680</x:v>
      </x:c>
      <x:c r="S4800" s="18" t="n">
        <x:v>520</x:v>
      </x:c>
      <x:c r="T4800" s="18" t="n">
        <x:v>654</x:v>
      </x:c>
      <x:c r="U4800" s="18" t="n">
        <x:v>680</x:v>
      </x:c>
      <x:c r="V4800" s="20" t="n">
        <x:v>12</x:v>
      </x:c>
      <x:c r="W4800" s="20" t="n">
        <x:v>5</x:v>
      </x:c>
      <x:c r="X4800" s="20" t="n">
        <x:v>3</x:v>
      </x:c>
      <x:c r="Y4800" t="str">
        <x:v>Basis arsip 2025/2024</x:v>
      </x:c>
      <x:c r="Z4800" t="str">
        <x:v>https://snpmb.id/utbk-snbt/daya-tampung-snbt</x:v>
      </x:c>
      <x:c r="AA4800" t="str">
        <x:v>Tidak Ada</x:v>
      </x:c>
      <x:c r="AB4800" t="str">
        <x:v>Campus=55; Ratio=0.0; Prodi=100; RelDemand=0.0; Capacity=79.2</x:v>
      </x:c>
    </x:row>
    <x:row r="4801">
      <x:c r="A4801" t="n">
        <x:v>4798</x:v>
      </x:c>
      <x:c r="B4801" t="str">
        <x:v>PTKIN</x:v>
      </x:c>
      <x:c r="C4801" t="str">
        <x:v>UIN RADEN FATAH</x:v>
      </x:c>
      <x:c r="D4801" t="str">
        <x:v>PENDIDIKAN MATEMATIKA</x:v>
      </x:c>
      <x:c r="E4801" t="str">
        <x:v>Sarjana</x:v>
      </x:c>
      <x:c r="F4801" s="18" t="n">
        <x:v>60</x:v>
      </x:c>
      <x:c r="G4801" s="18" t="n">
        <x:v>61</x:v>
      </x:c>
      <x:c r="H4801" s="19" t="n">
        <x:v>1.0166666666666666</x:v>
      </x:c>
      <x:c r="I4801" s="18" t="n">
        <x:f>ROUND(MIN(Model_Config_v3!$B$6,MAX(Q4801,R4801,S4801*Model_Config_v3!$B$4+T4801*Model_Config_v3!$B$5)),0)</x:f>
        <x:v>605</x:v>
      </x:c>
      <x:c r="J4801" s="18" t="n">
        <x:f>MIN(Model_Config_v3!$B$6,I4801+Model_Config_v3!$B$7)</x:f>
        <x:v>625</x:v>
      </x:c>
      <x:c r="K4801" s="20" t="n">
        <x:v>40.5</x:v>
      </x:c>
      <x:c r="L4801" t="str">
        <x:v>RELATIF LONGGAR</x:v>
      </x:c>
      <x:c r="M4801" t="str">
        <x:v>SEDANG+</x:v>
      </x:c>
      <x:c r="N4801" t="str">
        <x:v>REGULER</x:v>
      </x:c>
      <x:c r="O4801" t="str">
        <x:v>SAINTEK</x:v>
      </x:c>
      <x:c r="P4801" t="str">
        <x:v>PENDIDIKAN</x:v>
      </x:c>
      <x:c r="Q4801" s="18" t="n">
        <x:v>0</x:v>
      </x:c>
      <x:c r="R4801" s="18" t="n">
        <x:v>0</x:v>
      </x:c>
      <x:c r="S4801" s="18" t="n">
        <x:v>520.7896443089836</x:v>
      </x:c>
      <x:c r="T4801" s="18" t="n">
        <x:v>641</x:v>
      </x:c>
      <x:c r="U4801" s="18" t="n">
        <x:v>520.7896443089836</x:v>
      </x:c>
      <x:c r="V4801" s="20" t="n">
        <x:v>12</x:v>
      </x:c>
      <x:c r="W4801" s="20" t="n">
        <x:v>5</x:v>
      </x:c>
      <x:c r="X4801" s="20" t="n">
        <x:v>3</x:v>
      </x:c>
      <x:c r="Y4801" t="str">
        <x:v>Basis arsip 2025/2024</x:v>
      </x:c>
      <x:c r="Z4801" t="str">
        <x:v>https://snpmb.id/utbk-snbt/daya-tampung-snbt</x:v>
      </x:c>
      <x:c r="AA4801" t="str">
        <x:v>Tidak Ada</x:v>
      </x:c>
      <x:c r="AB4801" t="str">
        <x:v>Campus=55; Ratio=0.4; Prodi=45; RelDemand=71.1; Capacity=50.0</x:v>
      </x:c>
    </x:row>
    <x:row r="4802">
      <x:c r="A4802" t="n">
        <x:v>4799</x:v>
      </x:c>
      <x:c r="B4802" t="str">
        <x:v>PTKIN</x:v>
      </x:c>
      <x:c r="C4802" t="str">
        <x:v>UIN RADEN FATAH</x:v>
      </x:c>
      <x:c r="D4802" t="str">
        <x:v>PENDIDIKAN BIOLOGI</x:v>
      </x:c>
      <x:c r="E4802" t="str">
        <x:v>Sarjana</x:v>
      </x:c>
      <x:c r="F4802" s="18" t="n">
        <x:v>90</x:v>
      </x:c>
      <x:c r="G4802" s="18" t="n">
        <x:v>90</x:v>
      </x:c>
      <x:c r="H4802" s="19" t="n">
        <x:v>1</x:v>
      </x:c>
      <x:c r="I4802" s="18" t="n">
        <x:f>ROUND(MIN(Model_Config_v3!$B$6,MAX(Q4802,R4802,S4802*Model_Config_v3!$B$4+T4802*Model_Config_v3!$B$5)),0)</x:f>
        <x:v>601</x:v>
      </x:c>
      <x:c r="J4802" s="18" t="n">
        <x:f>MIN(Model_Config_v3!$B$6,I4802+Model_Config_v3!$B$7)</x:f>
        <x:v>621</x:v>
      </x:c>
      <x:c r="K4802" s="20" t="n">
        <x:v>37.7</x:v>
      </x:c>
      <x:c r="L4802" t="str">
        <x:v>RELATIF LONGGAR</x:v>
      </x:c>
      <x:c r="M4802" t="str">
        <x:v>SEDANG+</x:v>
      </x:c>
      <x:c r="N4802" t="str">
        <x:v>REGULER</x:v>
      </x:c>
      <x:c r="O4802" t="str">
        <x:v>SAINTEK</x:v>
      </x:c>
      <x:c r="P4802" t="str">
        <x:v>PENDIDIKAN</x:v>
      </x:c>
      <x:c r="Q4802" s="18" t="n">
        <x:v>0</x:v>
      </x:c>
      <x:c r="R4802" s="18" t="n">
        <x:v>0</x:v>
      </x:c>
      <x:c r="S4802" s="18" t="n">
        <x:v>520</x:v>
      </x:c>
      <x:c r="T4802" s="18" t="n">
        <x:v>635</x:v>
      </x:c>
      <x:c r="U4802" s="18" t="n">
        <x:v>520</x:v>
      </x:c>
      <x:c r="V4802" s="20" t="n">
        <x:v>12</x:v>
      </x:c>
      <x:c r="W4802" s="20" t="n">
        <x:v>5</x:v>
      </x:c>
      <x:c r="X4802" s="20" t="n">
        <x:v>3</x:v>
      </x:c>
      <x:c r="Y4802" t="str">
        <x:v>Basis arsip 2025/2024</x:v>
      </x:c>
      <x:c r="Z4802" t="str">
        <x:v>https://snpmb.id/utbk-snbt/daya-tampung-snbt</x:v>
      </x:c>
      <x:c r="AA4802" t="str">
        <x:v>Tidak Ada</x:v>
      </x:c>
      <x:c r="AB4802" t="str">
        <x:v>Campus=55; Ratio=0.0; Prodi=45; RelDemand=69.9; Capacity=25.0</x:v>
      </x:c>
    </x:row>
    <x:row r="4803">
      <x:c r="A4803" t="n">
        <x:v>4800</x:v>
      </x:c>
      <x:c r="B4803" t="str">
        <x:v>PTKIN</x:v>
      </x:c>
      <x:c r="C4803" t="str">
        <x:v>UIN RADEN FATAH</x:v>
      </x:c>
      <x:c r="D4803" t="str">
        <x:v>KIMIA</x:v>
      </x:c>
      <x:c r="E4803" t="str">
        <x:v>Sarjana</x:v>
      </x:c>
      <x:c r="F4803" s="18" t="n">
        <x:v>45</x:v>
      </x:c>
      <x:c r="G4803" s="18" t="n">
        <x:v>14</x:v>
      </x:c>
      <x:c r="H4803" s="19" t="n">
        <x:v>0.3111111111111111</x:v>
      </x:c>
      <x:c r="I4803" s="18" t="n">
        <x:f>ROUND(MIN(Model_Config_v3!$B$6,MAX(Q4803,R4803,S4803*Model_Config_v3!$B$4+T4803*Model_Config_v3!$B$5)),0)</x:f>
        <x:v>601</x:v>
      </x:c>
      <x:c r="J4803" s="18" t="n">
        <x:f>MIN(Model_Config_v3!$B$6,I4803+Model_Config_v3!$B$7)</x:f>
        <x:v>621</x:v>
      </x:c>
      <x:c r="K4803" s="20" t="n">
        <x:v>37.7</x:v>
      </x:c>
      <x:c r="L4803" t="str">
        <x:v>RELATIF LONGGAR</x:v>
      </x:c>
      <x:c r="M4803" t="str">
        <x:v>SEDANG+</x:v>
      </x:c>
      <x:c r="N4803" t="str">
        <x:v>REGULER</x:v>
      </x:c>
      <x:c r="O4803" t="str">
        <x:v>SAINTEK</x:v>
      </x:c>
      <x:c r="P4803" t="str">
        <x:v>SAINS DASAR</x:v>
      </x:c>
      <x:c r="Q4803" s="18" t="n">
        <x:v>0</x:v>
      </x:c>
      <x:c r="R4803" s="18" t="n">
        <x:v>0</x:v>
      </x:c>
      <x:c r="S4803" s="18" t="n">
        <x:v>520</x:v>
      </x:c>
      <x:c r="T4803" s="18" t="n">
        <x:v>635</x:v>
      </x:c>
      <x:c r="U4803" s="18" t="n">
        <x:v>520</x:v>
      </x:c>
      <x:c r="V4803" s="20" t="n">
        <x:v>12</x:v>
      </x:c>
      <x:c r="W4803" s="20" t="n">
        <x:v>5</x:v>
      </x:c>
      <x:c r="X4803" s="20" t="n">
        <x:v>3</x:v>
      </x:c>
      <x:c r="Y4803" t="str">
        <x:v>Basis arsip 2025/2024</x:v>
      </x:c>
      <x:c r="Z4803" t="str">
        <x:v>https://snpmb.id/utbk-snbt/daya-tampung-snbt</x:v>
      </x:c>
      <x:c r="AA4803" t="str">
        <x:v>Tidak Ada</x:v>
      </x:c>
      <x:c r="AB4803" t="str">
        <x:v>Campus=55; Ratio=0.0; Prodi=50; RelDemand=21.7; Capacity=62.5</x:v>
      </x:c>
    </x:row>
    <x:row r="4804">
      <x:c r="A4804" t="n">
        <x:v>4801</x:v>
      </x:c>
      <x:c r="B4804" t="str">
        <x:v>PTKIN</x:v>
      </x:c>
      <x:c r="C4804" t="str">
        <x:v>UIN RADEN FATAH</x:v>
      </x:c>
      <x:c r="D4804" t="str">
        <x:v>BIOLOGI</x:v>
      </x:c>
      <x:c r="E4804" t="str">
        <x:v>Sarjana</x:v>
      </x:c>
      <x:c r="F4804" s="18" t="n">
        <x:v>60</x:v>
      </x:c>
      <x:c r="G4804" s="18" t="n">
        <x:v>31</x:v>
      </x:c>
      <x:c r="H4804" s="19" t="n">
        <x:v>0.5166666666666667</x:v>
      </x:c>
      <x:c r="I4804" s="18" t="n">
        <x:f>ROUND(MIN(Model_Config_v3!$B$6,MAX(Q4804,R4804,S4804*Model_Config_v3!$B$4+T4804*Model_Config_v3!$B$5)),0)</x:f>
        <x:v>601</x:v>
      </x:c>
      <x:c r="J4804" s="18" t="n">
        <x:f>MIN(Model_Config_v3!$B$6,I4804+Model_Config_v3!$B$7)</x:f>
        <x:v>621</x:v>
      </x:c>
      <x:c r="K4804" s="20" t="n">
        <x:v>37.9</x:v>
      </x:c>
      <x:c r="L4804" t="str">
        <x:v>RELATIF LONGGAR</x:v>
      </x:c>
      <x:c r="M4804" t="str">
        <x:v>SEDANG+</x:v>
      </x:c>
      <x:c r="N4804" t="str">
        <x:v>REGULER</x:v>
      </x:c>
      <x:c r="O4804" t="str">
        <x:v>SAINTEK</x:v>
      </x:c>
      <x:c r="P4804" t="str">
        <x:v>SAINS DASAR</x:v>
      </x:c>
      <x:c r="Q4804" s="18" t="n">
        <x:v>0</x:v>
      </x:c>
      <x:c r="R4804" s="18" t="n">
        <x:v>0</x:v>
      </x:c>
      <x:c r="S4804" s="18" t="n">
        <x:v>520</x:v>
      </x:c>
      <x:c r="T4804" s="18" t="n">
        <x:v>636</x:v>
      </x:c>
      <x:c r="U4804" s="18" t="n">
        <x:v>520</x:v>
      </x:c>
      <x:c r="V4804" s="20" t="n">
        <x:v>12</x:v>
      </x:c>
      <x:c r="W4804" s="20" t="n">
        <x:v>5</x:v>
      </x:c>
      <x:c r="X4804" s="20" t="n">
        <x:v>3</x:v>
      </x:c>
      <x:c r="Y4804" t="str">
        <x:v>Basis arsip 2025/2024</x:v>
      </x:c>
      <x:c r="Z4804" t="str">
        <x:v>https://snpmb.id/utbk-snbt/daya-tampung-snbt</x:v>
      </x:c>
      <x:c r="AA4804" t="str">
        <x:v>Tidak Ada</x:v>
      </x:c>
      <x:c r="AB4804" t="str">
        <x:v>Campus=55; Ratio=0.0; Prodi=50; RelDemand=36.1; Capacity=50.0</x:v>
      </x:c>
    </x:row>
    <x:row r="4805">
      <x:c r="A4805" t="n">
        <x:v>4802</x:v>
      </x:c>
      <x:c r="B4805" t="str">
        <x:v>PTKIN</x:v>
      </x:c>
      <x:c r="C4805" t="str">
        <x:v>UIN RADEN FATAH</x:v>
      </x:c>
      <x:c r="D4805" t="str">
        <x:v>PENDIDIKAN FISIKA</x:v>
      </x:c>
      <x:c r="E4805" t="str">
        <x:v>Sarjana</x:v>
      </x:c>
      <x:c r="F4805" s="18" t="n">
        <x:v>90</x:v>
      </x:c>
      <x:c r="G4805" s="18" t="n">
        <x:v>10</x:v>
      </x:c>
      <x:c r="H4805" s="19" t="n">
        <x:v>0.1111111111111111</x:v>
      </x:c>
      <x:c r="I4805" s="18" t="n">
        <x:f>ROUND(MIN(Model_Config_v3!$B$6,MAX(Q4805,R4805,S4805*Model_Config_v3!$B$4+T4805*Model_Config_v3!$B$5)),0)</x:f>
        <x:v>592</x:v>
      </x:c>
      <x:c r="J4805" s="18" t="n">
        <x:f>MIN(Model_Config_v3!$B$6,I4805+Model_Config_v3!$B$7)</x:f>
        <x:v>612</x:v>
      </x:c>
      <x:c r="K4805" s="20" t="n">
        <x:v>31.5</x:v>
      </x:c>
      <x:c r="L4805" t="str">
        <x:v>RELATIF LONGGAR</x:v>
      </x:c>
      <x:c r="M4805" t="str">
        <x:v>SEDANG+</x:v>
      </x:c>
      <x:c r="N4805" t="str">
        <x:v>REGULER</x:v>
      </x:c>
      <x:c r="O4805" t="str">
        <x:v>SAINTEK</x:v>
      </x:c>
      <x:c r="P4805" t="str">
        <x:v>PENDIDIKAN</x:v>
      </x:c>
      <x:c r="Q4805" s="18" t="n">
        <x:v>0</x:v>
      </x:c>
      <x:c r="R4805" s="18" t="n">
        <x:v>0</x:v>
      </x:c>
      <x:c r="S4805" s="18" t="n">
        <x:v>520</x:v>
      </x:c>
      <x:c r="T4805" s="18" t="n">
        <x:v>623</x:v>
      </x:c>
      <x:c r="U4805" s="18" t="n">
        <x:v>520</x:v>
      </x:c>
      <x:c r="V4805" s="20" t="n">
        <x:v>12</x:v>
      </x:c>
      <x:c r="W4805" s="20" t="n">
        <x:v>5</x:v>
      </x:c>
      <x:c r="X4805" s="20" t="n">
        <x:v>3</x:v>
      </x:c>
      <x:c r="Y4805" t="str">
        <x:v>Basis arsip 2025/2024</x:v>
      </x:c>
      <x:c r="Z4805" t="str">
        <x:v>https://snpmb.id/utbk-snbt/daya-tampung-snbt</x:v>
      </x:c>
      <x:c r="AA4805" t="str">
        <x:v>Tidak Ada</x:v>
      </x:c>
      <x:c r="AB4805" t="str">
        <x:v>Campus=55; Ratio=0.0; Prodi=45; RelDemand=7.8; Capacity=25.0</x:v>
      </x:c>
    </x:row>
    <x:row r="4806">
      <x:c r="A4806" t="n">
        <x:v>4803</x:v>
      </x:c>
      <x:c r="B4806" t="str">
        <x:v>PTKIN</x:v>
      </x:c>
      <x:c r="C4806" t="str">
        <x:v>UIN RADEN FATAH</x:v>
      </x:c>
      <x:c r="D4806" t="str">
        <x:v>PENDIDIKAN KIMIA</x:v>
      </x:c>
      <x:c r="E4806" t="str">
        <x:v>Sarjana</x:v>
      </x:c>
      <x:c r="F4806" s="18" t="n">
        <x:v>90</x:v>
      </x:c>
      <x:c r="G4806" s="18" t="n">
        <x:v>16</x:v>
      </x:c>
      <x:c r="H4806" s="19" t="n">
        <x:v>0.17777777777777778</x:v>
      </x:c>
      <x:c r="I4806" s="18" t="n">
        <x:f>ROUND(MIN(Model_Config_v3!$B$6,MAX(Q4806,R4806,S4806*Model_Config_v3!$B$4+T4806*Model_Config_v3!$B$5)),0)</x:f>
        <x:v>593</x:v>
      </x:c>
      <x:c r="J4806" s="18" t="n">
        <x:f>MIN(Model_Config_v3!$B$6,I4806+Model_Config_v3!$B$7)</x:f>
        <x:v>613</x:v>
      </x:c>
      <x:c r="K4806" s="20" t="n">
        <x:v>32</x:v>
      </x:c>
      <x:c r="L4806" t="str">
        <x:v>RELATIF LONGGAR</x:v>
      </x:c>
      <x:c r="M4806" t="str">
        <x:v>SEDANG+</x:v>
      </x:c>
      <x:c r="N4806" t="str">
        <x:v>REGULER</x:v>
      </x:c>
      <x:c r="O4806" t="str">
        <x:v>SAINTEK</x:v>
      </x:c>
      <x:c r="P4806" t="str">
        <x:v>PENDIDIKAN</x:v>
      </x:c>
      <x:c r="Q4806" s="18" t="n">
        <x:v>0</x:v>
      </x:c>
      <x:c r="R4806" s="18" t="n">
        <x:v>0</x:v>
      </x:c>
      <x:c r="S4806" s="18" t="n">
        <x:v>520</x:v>
      </x:c>
      <x:c r="T4806" s="18" t="n">
        <x:v>624</x:v>
      </x:c>
      <x:c r="U4806" s="18" t="n">
        <x:v>520</x:v>
      </x:c>
      <x:c r="V4806" s="20" t="n">
        <x:v>12</x:v>
      </x:c>
      <x:c r="W4806" s="20" t="n">
        <x:v>5</x:v>
      </x:c>
      <x:c r="X4806" s="20" t="n">
        <x:v>3</x:v>
      </x:c>
      <x:c r="Y4806" t="str">
        <x:v>Basis arsip 2025/2024</x:v>
      </x:c>
      <x:c r="Z4806" t="str">
        <x:v>https://snpmb.id/utbk-snbt/daya-tampung-snbt</x:v>
      </x:c>
      <x:c r="AA4806" t="str">
        <x:v>Tidak Ada</x:v>
      </x:c>
      <x:c r="AB4806" t="str">
        <x:v>Campus=55; Ratio=0.0; Prodi=45; RelDemand=12.4; Capacity=25.0</x:v>
      </x:c>
    </x:row>
    <x:row r="4807">
      <x:c r="A4807" t="n">
        <x:v>4804</x:v>
      </x:c>
      <x:c r="B4807" t="str">
        <x:v>PTKIN</x:v>
      </x:c>
      <x:c r="C4807" t="str">
        <x:v>UIN RADEN FATAH</x:v>
      </x:c>
      <x:c r="D4807" t="str">
        <x:v>ILMU POLITIK</x:v>
      </x:c>
      <x:c r="E4807" t="str">
        <x:v>Sarjana</x:v>
      </x:c>
      <x:c r="F4807" s="18" t="n">
        <x:v>105</x:v>
      </x:c>
      <x:c r="G4807" s="18" t="n">
        <x:v>65</x:v>
      </x:c>
      <x:c r="H4807" s="19" t="n">
        <x:v>0.6190476190476191</x:v>
      </x:c>
      <x:c r="I4807" s="18" t="n">
        <x:f>ROUND(MIN(Model_Config_v3!$B$6,MAX(Q4807,R4807,S4807*Model_Config_v3!$B$4+T4807*Model_Config_v3!$B$5)),0)</x:f>
        <x:v>594</x:v>
      </x:c>
      <x:c r="J4807" s="18" t="n">
        <x:f>MIN(Model_Config_v3!$B$6,I4807+Model_Config_v3!$B$7)</x:f>
        <x:v>614</x:v>
      </x:c>
      <x:c r="K4807" s="20" t="n">
        <x:v>32.8</x:v>
      </x:c>
      <x:c r="L4807" t="str">
        <x:v>RELATIF LONGGAR</x:v>
      </x:c>
      <x:c r="M4807" t="str">
        <x:v>SEDANG</x:v>
      </x:c>
      <x:c r="N4807" t="str">
        <x:v>REGULER</x:v>
      </x:c>
      <x:c r="O4807" t="str">
        <x:v>SOSHUM</x:v>
      </x:c>
      <x:c r="P4807" t="str">
        <x:v>UMUM</x:v>
      </x:c>
      <x:c r="Q4807" s="18" t="n">
        <x:v>0</x:v>
      </x:c>
      <x:c r="R4807" s="18" t="n">
        <x:v>0</x:v>
      </x:c>
      <x:c r="S4807" s="18" t="n">
        <x:v>520</x:v>
      </x:c>
      <x:c r="T4807" s="18" t="n">
        <x:v>626</x:v>
      </x:c>
      <x:c r="U4807" s="18" t="n">
        <x:v>520</x:v>
      </x:c>
      <x:c r="V4807" s="20" t="n">
        <x:v>4.4</x:v>
      </x:c>
      <x:c r="W4807" s="20" t="n">
        <x:v>14.3</x:v>
      </x:c>
      <x:c r="X4807" s="20" t="n">
        <x:v>3.3</x:v>
      </x:c>
      <x:c r="Y4807" t="str">
        <x:v>Basis arsip 2025/2024</x:v>
      </x:c>
      <x:c r="Z4807" t="str">
        <x:v>https://snpmb.id/utbk-snbt/daya-tampung-snbt</x:v>
      </x:c>
      <x:c r="AA4807" t="str">
        <x:v>Tidak Ada</x:v>
      </x:c>
      <x:c r="AB4807" t="str">
        <x:v>Campus=55; Ratio=0.0; Prodi=40; RelDemand=43.3; Capacity=12.5</x:v>
      </x:c>
    </x:row>
    <x:row r="4808">
      <x:c r="A4808" t="n">
        <x:v>4805</x:v>
      </x:c>
      <x:c r="B4808" t="str">
        <x:v>PTKIN</x:v>
      </x:c>
      <x:c r="C4808" t="str">
        <x:v>UIN RADEN FATAH</x:v>
      </x:c>
      <x:c r="D4808" t="str">
        <x:v>ILMU PERPUSTAKAAN</x:v>
      </x:c>
      <x:c r="E4808" t="str">
        <x:v>Sarjana</x:v>
      </x:c>
      <x:c r="F4808" s="18" t="n">
        <x:v>105</x:v>
      </x:c>
      <x:c r="G4808" s="18" t="n">
        <x:v>72</x:v>
      </x:c>
      <x:c r="H4808" s="19" t="n">
        <x:v>0.6857142857142857</x:v>
      </x:c>
      <x:c r="I4808" s="18" t="n">
        <x:f>ROUND(MIN(Model_Config_v3!$B$6,MAX(Q4808,R4808,S4808*Model_Config_v3!$B$4+T4808*Model_Config_v3!$B$5)),0)</x:f>
        <x:v>595</x:v>
      </x:c>
      <x:c r="J4808" s="18" t="n">
        <x:f>MIN(Model_Config_v3!$B$6,I4808+Model_Config_v3!$B$7)</x:f>
        <x:v>615</x:v>
      </x:c>
      <x:c r="K4808" s="20" t="n">
        <x:v>33.3</x:v>
      </x:c>
      <x:c r="L4808" t="str">
        <x:v>RELATIF LONGGAR</x:v>
      </x:c>
      <x:c r="M4808" t="str">
        <x:v>SEDANG</x:v>
      </x:c>
      <x:c r="N4808" t="str">
        <x:v>REGULER</x:v>
      </x:c>
      <x:c r="O4808" t="str">
        <x:v>CAMPURAN</x:v>
      </x:c>
      <x:c r="P4808" t="str">
        <x:v>UMUM</x:v>
      </x:c>
      <x:c r="Q4808" s="18" t="n">
        <x:v>0</x:v>
      </x:c>
      <x:c r="R4808" s="18" t="n">
        <x:v>0</x:v>
      </x:c>
      <x:c r="S4808" s="18" t="n">
        <x:v>520</x:v>
      </x:c>
      <x:c r="T4808" s="18" t="n">
        <x:v>627</x:v>
      </x:c>
      <x:c r="U4808" s="18" t="n">
        <x:v>520</x:v>
      </x:c>
      <x:c r="V4808" s="20" t="n">
        <x:v>8.8</x:v>
      </x:c>
      <x:c r="W4808" s="20" t="n">
        <x:v>9.9</x:v>
      </x:c>
      <x:c r="X4808" s="20" t="n">
        <x:v>3.3</x:v>
      </x:c>
      <x:c r="Y4808" t="str">
        <x:v>Basis arsip 2025/2024</x:v>
      </x:c>
      <x:c r="Z4808" t="str">
        <x:v>https://snpmb.id/utbk-snbt/daya-tampung-snbt</x:v>
      </x:c>
      <x:c r="AA4808" t="str">
        <x:v>Tidak Ada</x:v>
      </x:c>
      <x:c r="AB4808" t="str">
        <x:v>Campus=55; Ratio=0.0; Prodi=40; RelDemand=47.9; Capacity=12.5</x:v>
      </x:c>
    </x:row>
    <x:row r="4809">
      <x:c r="A4809" t="n">
        <x:v>4806</x:v>
      </x:c>
      <x:c r="B4809" t="str">
        <x:v>PTKIN</x:v>
      </x:c>
      <x:c r="C4809" t="str">
        <x:v>UIN RADEN FATAH</x:v>
      </x:c>
      <x:c r="D4809" t="str">
        <x:v>ILMU KOMUNIKASI</x:v>
      </x:c>
      <x:c r="E4809" t="str">
        <x:v>Sarjana</x:v>
      </x:c>
      <x:c r="F4809" s="18" t="n">
        <x:v>135</x:v>
      </x:c>
      <x:c r="G4809" s="18" t="n">
        <x:v>270</x:v>
      </x:c>
      <x:c r="H4809" s="19" t="n">
        <x:v>2</x:v>
      </x:c>
      <x:c r="I4809" s="18" t="n">
        <x:f>ROUND(MIN(Model_Config_v3!$B$6,MAX(Q4809,R4809,S4809*Model_Config_v3!$B$4+T4809*Model_Config_v3!$B$5)),0)</x:f>
        <x:v>616</x:v>
      </x:c>
      <x:c r="J4809" s="18" t="n">
        <x:f>MIN(Model_Config_v3!$B$6,I4809+Model_Config_v3!$B$7)</x:f>
        <x:v>636</x:v>
      </x:c>
      <x:c r="K4809" s="20" t="n">
        <x:v>41.7</x:v>
      </x:c>
      <x:c r="L4809" t="str">
        <x:v>RELATIF LONGGAR</x:v>
      </x:c>
      <x:c r="M4809" t="str">
        <x:v>SEDANG</x:v>
      </x:c>
      <x:c r="N4809" t="str">
        <x:v>REGULER</x:v>
      </x:c>
      <x:c r="O4809" t="str">
        <x:v>SOSHUM</x:v>
      </x:c>
      <x:c r="P4809" t="str">
        <x:v>UMUM</x:v>
      </x:c>
      <x:c r="Q4809" s="18" t="n">
        <x:v>0</x:v>
      </x:c>
      <x:c r="R4809" s="18" t="n">
        <x:v>0</x:v>
      </x:c>
      <x:c r="S4809" s="18" t="n">
        <x:v>553.1132995230379</x:v>
      </x:c>
      <x:c r="T4809" s="18" t="n">
        <x:v>643</x:v>
      </x:c>
      <x:c r="U4809" s="18" t="n">
        <x:v>553.1132995230379</x:v>
      </x:c>
      <x:c r="V4809" s="20" t="n">
        <x:v>4.4</x:v>
      </x:c>
      <x:c r="W4809" s="20" t="n">
        <x:v>14.3</x:v>
      </x:c>
      <x:c r="X4809" s="20" t="n">
        <x:v>3.3</x:v>
      </x:c>
      <x:c r="Y4809" t="str">
        <x:v>Basis arsip 2025/2024</x:v>
      </x:c>
      <x:c r="Z4809" t="str">
        <x:v>https://snpmb.id/utbk-snbt/daya-tampung-snbt</x:v>
      </x:c>
      <x:c r="AA4809" t="str">
        <x:v>Tidak Ada</x:v>
      </x:c>
      <x:c r="AB4809" t="str">
        <x:v>Campus=55; Ratio=17.7; Prodi=40; RelDemand=100.0; Capacity=0.0</x:v>
      </x:c>
    </x:row>
    <x:row r="4810">
      <x:c r="A4810" t="n">
        <x:v>4807</x:v>
      </x:c>
      <x:c r="B4810" t="str">
        <x:v>PTKIN</x:v>
      </x:c>
      <x:c r="C4810" t="str">
        <x:v>UIN RADEN INTAN LAMPUNG</x:v>
      </x:c>
      <x:c r="D4810" t="str">
        <x:v>BIOLOGI</x:v>
      </x:c>
      <x:c r="E4810" t="str">
        <x:v>Sarjana</x:v>
      </x:c>
      <x:c r="F4810" s="18" t="n">
        <x:v>80</x:v>
      </x:c>
      <x:c r="G4810" s="18" t="n">
        <x:v>29</x:v>
      </x:c>
      <x:c r="H4810" s="19" t="n">
        <x:v>0.3625</x:v>
      </x:c>
      <x:c r="I4810" s="18" t="n">
        <x:f>ROUND(MIN(Model_Config_v3!$B$6,MAX(Q4810,R4810,S4810*Model_Config_v3!$B$4+T4810*Model_Config_v3!$B$5)),0)</x:f>
        <x:v>596</x:v>
      </x:c>
      <x:c r="J4810" s="18" t="n">
        <x:f>MIN(Model_Config_v3!$B$6,I4810+Model_Config_v3!$B$7)</x:f>
        <x:v>616</x:v>
      </x:c>
      <x:c r="K4810" s="20" t="n">
        <x:v>34.1</x:v>
      </x:c>
      <x:c r="L4810" t="str">
        <x:v>RELATIF LONGGAR</x:v>
      </x:c>
      <x:c r="M4810" t="str">
        <x:v>SEDANG+</x:v>
      </x:c>
      <x:c r="N4810" t="str">
        <x:v>REGULER</x:v>
      </x:c>
      <x:c r="O4810" t="str">
        <x:v>SAINTEK</x:v>
      </x:c>
      <x:c r="P4810" t="str">
        <x:v>SAINS DASAR</x:v>
      </x:c>
      <x:c r="Q4810" s="18" t="n">
        <x:v>0</x:v>
      </x:c>
      <x:c r="R4810" s="18" t="n">
        <x:v>0</x:v>
      </x:c>
      <x:c r="S4810" s="18" t="n">
        <x:v>520</x:v>
      </x:c>
      <x:c r="T4810" s="18" t="n">
        <x:v>628</x:v>
      </x:c>
      <x:c r="U4810" s="18" t="n">
        <x:v>520</x:v>
      </x:c>
      <x:c r="V4810" s="20" t="n">
        <x:v>12</x:v>
      </x:c>
      <x:c r="W4810" s="20" t="n">
        <x:v>5</x:v>
      </x:c>
      <x:c r="X4810" s="20" t="n">
        <x:v>3</x:v>
      </x:c>
      <x:c r="Y4810" t="str">
        <x:v>Basis arsip 2025/2024</x:v>
      </x:c>
      <x:c r="Z4810" t="str">
        <x:v>https://snpmb.id/utbk-snbt/daya-tampung-snbt</x:v>
      </x:c>
      <x:c r="AA4810" t="str">
        <x:v>Tidak Ada</x:v>
      </x:c>
      <x:c r="AB4810" t="str">
        <x:v>Campus=55; Ratio=0.0; Prodi=50; RelDemand=15.5; Capacity=33.3</x:v>
      </x:c>
    </x:row>
    <x:row r="4811">
      <x:c r="A4811" t="n">
        <x:v>4808</x:v>
      </x:c>
      <x:c r="B4811" t="str">
        <x:v>PTKIN</x:v>
      </x:c>
      <x:c r="C4811" t="str">
        <x:v>UIN RADEN INTAN LAMPUNG</x:v>
      </x:c>
      <x:c r="D4811" t="str">
        <x:v>SISTEM INFORMASI</x:v>
      </x:c>
      <x:c r="E4811" t="str">
        <x:v>Sarjana</x:v>
      </x:c>
      <x:c r="F4811" s="18" t="n">
        <x:v>36</x:v>
      </x:c>
      <x:c r="G4811" s="18" t="n">
        <x:v>146</x:v>
      </x:c>
      <x:c r="H4811" s="19" t="n">
        <x:v>4.055555555555555</x:v>
      </x:c>
      <x:c r="I4811" s="18" t="n">
        <x:f>ROUND(MIN(Model_Config_v3!$B$6,MAX(Q4811,R4811,S4811*Model_Config_v3!$B$4+T4811*Model_Config_v3!$B$5)),0)</x:f>
        <x:v>655</x:v>
      </x:c>
      <x:c r="J4811" s="18" t="n">
        <x:f>MIN(Model_Config_v3!$B$6,I4811+Model_Config_v3!$B$7)</x:f>
        <x:v>675</x:v>
      </x:c>
      <x:c r="K4811" s="20" t="n">
        <x:v>62.2</x:v>
      </x:c>
      <x:c r="L4811" t="str">
        <x:v>KETAT</x:v>
      </x:c>
      <x:c r="M4811" t="str">
        <x:v>SEDANG+</x:v>
      </x:c>
      <x:c r="N4811" t="str">
        <x:v>REGULER</x:v>
      </x:c>
      <x:c r="O4811" t="str">
        <x:v>CAMPURAN</x:v>
      </x:c>
      <x:c r="P4811" t="str">
        <x:v>KOMPUTER/INFORMATIKA</x:v>
      </x:c>
      <x:c r="Q4811" s="18" t="n">
        <x:v>0</x:v>
      </x:c>
      <x:c r="R4811" s="18" t="n">
        <x:v>0</x:v>
      </x:c>
      <x:c r="S4811" s="18" t="n">
        <x:v>586.8855390518864</x:v>
      </x:c>
      <x:c r="T4811" s="18" t="n">
        <x:v>684</x:v>
      </x:c>
      <x:c r="U4811" s="18" t="n">
        <x:v>611.8855390518864</x:v>
      </x:c>
      <x:c r="V4811" s="20" t="n">
        <x:v>8.8</x:v>
      </x:c>
      <x:c r="W4811" s="20" t="n">
        <x:v>9.9</x:v>
      </x:c>
      <x:c r="X4811" s="20" t="n">
        <x:v>3.3</x:v>
      </x:c>
      <x:c r="Y4811" t="str">
        <x:v>Basis arsip 2025/2024</x:v>
      </x:c>
      <x:c r="Z4811" t="str">
        <x:v>https://snpmb.id/utbk-snbt/daya-tampung-snbt</x:v>
      </x:c>
      <x:c r="AA4811" t="str">
        <x:v>Tidak Ada</x:v>
      </x:c>
      <x:c r="AB4811" t="str">
        <x:v>Campus=55; Ratio=35.8; Prodi=85; RelDemand=100.0; Capacity=70.0</x:v>
      </x:c>
    </x:row>
    <x:row r="4812">
      <x:c r="A4812" t="n">
        <x:v>4809</x:v>
      </x:c>
      <x:c r="B4812" t="str">
        <x:v>PTKIN</x:v>
      </x:c>
      <x:c r="C4812" t="str">
        <x:v>UIN RADEN INTAN LAMPUNG</x:v>
      </x:c>
      <x:c r="D4812" t="str">
        <x:v>SAINS DATA</x:v>
      </x:c>
      <x:c r="E4812" t="str">
        <x:v>Sarjana</x:v>
      </x:c>
      <x:c r="F4812" s="18" t="n">
        <x:v>80</x:v>
      </x:c>
      <x:c r="G4812" s="18" t="n">
        <x:v>21</x:v>
      </x:c>
      <x:c r="H4812" s="19" t="n">
        <x:v>0.2625</x:v>
      </x:c>
      <x:c r="I4812" s="18" t="n">
        <x:f>ROUND(MIN(Model_Config_v3!$B$6,MAX(Q4812,R4812,S4812*Model_Config_v3!$B$4+T4812*Model_Config_v3!$B$5)),0)</x:f>
        <x:v>592</x:v>
      </x:c>
      <x:c r="J4812" s="18" t="n">
        <x:f>MIN(Model_Config_v3!$B$6,I4812+Model_Config_v3!$B$7)</x:f>
        <x:v>612</x:v>
      </x:c>
      <x:c r="K4812" s="20" t="n">
        <x:v>31.7</x:v>
      </x:c>
      <x:c r="L4812" t="str">
        <x:v>RELATIF LONGGAR</x:v>
      </x:c>
      <x:c r="M4812" t="str">
        <x:v>SEDANG</x:v>
      </x:c>
      <x:c r="N4812" t="str">
        <x:v>REGULER</x:v>
      </x:c>
      <x:c r="O4812" t="str">
        <x:v>CAMPURAN</x:v>
      </x:c>
      <x:c r="P4812" t="str">
        <x:v>UMUM</x:v>
      </x:c>
      <x:c r="Q4812" s="18" t="n">
        <x:v>0</x:v>
      </x:c>
      <x:c r="R4812" s="18" t="n">
        <x:v>0</x:v>
      </x:c>
      <x:c r="S4812" s="18" t="n">
        <x:v>520</x:v>
      </x:c>
      <x:c r="T4812" s="18" t="n">
        <x:v>623</x:v>
      </x:c>
      <x:c r="U4812" s="18" t="n">
        <x:v>520</x:v>
      </x:c>
      <x:c r="V4812" s="20" t="n">
        <x:v>8.8</x:v>
      </x:c>
      <x:c r="W4812" s="20" t="n">
        <x:v>9.9</x:v>
      </x:c>
      <x:c r="X4812" s="20" t="n">
        <x:v>3.3</x:v>
      </x:c>
      <x:c r="Y4812" t="str">
        <x:v>Basis arsip 2025/2024</x:v>
      </x:c>
      <x:c r="Z4812" t="str">
        <x:v>https://snpmb.id/utbk-snbt/daya-tampung-snbt</x:v>
      </x:c>
      <x:c r="AA4812" t="str">
        <x:v>Tidak Ada</x:v>
      </x:c>
      <x:c r="AB4812" t="str">
        <x:v>Campus=55; Ratio=0.0; Prodi=40; RelDemand=11.2; Capacity=33.3</x:v>
      </x:c>
    </x:row>
    <x:row r="4813">
      <x:c r="A4813" t="n">
        <x:v>4810</x:v>
      </x:c>
      <x:c r="B4813" t="str">
        <x:v>PTKIN</x:v>
      </x:c>
      <x:c r="C4813" t="str">
        <x:v>UIN RADEN INTAN LAMPUNG</x:v>
      </x:c>
      <x:c r="D4813" t="str">
        <x:v>KIMIA</x:v>
      </x:c>
      <x:c r="E4813" t="str">
        <x:v>Sarjana</x:v>
      </x:c>
      <x:c r="F4813" s="18" t="n">
        <x:v>80</x:v>
      </x:c>
      <x:c r="G4813" s="18"/>
      <x:c r="H4813" s="19" t="n">
        <x:v>0</x:v>
      </x:c>
      <x:c r="I4813" s="18" t="n">
        <x:f>ROUND(MIN(Model_Config_v3!$B$6,MAX(Q4813,R4813,S4813*Model_Config_v3!$B$4+T4813*Model_Config_v3!$B$5)),0)</x:f>
        <x:v>594</x:v>
      </x:c>
      <x:c r="J4813" s="18" t="n">
        <x:f>MIN(Model_Config_v3!$B$6,I4813+Model_Config_v3!$B$7)</x:f>
        <x:v>614</x:v>
      </x:c>
      <x:c r="K4813" s="20" t="n">
        <x:v>32.6</x:v>
      </x:c>
      <x:c r="L4813" t="str">
        <x:v>RELATIF LONGGAR</x:v>
      </x:c>
      <x:c r="M4813" t="str">
        <x:v>RENDAH</x:v>
      </x:c>
      <x:c r="N4813" t="str">
        <x:v>REGULER</x:v>
      </x:c>
      <x:c r="O4813" t="str">
        <x:v>SAINTEK</x:v>
      </x:c>
      <x:c r="P4813" t="str">
        <x:v>SAINS DASAR</x:v>
      </x:c>
      <x:c r="Q4813" s="18" t="n">
        <x:v>0</x:v>
      </x:c>
      <x:c r="R4813" s="18" t="n">
        <x:v>0</x:v>
      </x:c>
      <x:c r="S4813" s="18" t="n">
        <x:v>520</x:v>
      </x:c>
      <x:c r="T4813" s="18" t="n">
        <x:v>625</x:v>
      </x:c>
      <x:c r="U4813" s="18" t="n">
        <x:v>520</x:v>
      </x:c>
      <x:c r="V4813" s="20" t="n">
        <x:v>12</x:v>
      </x:c>
      <x:c r="W4813" s="20" t="n">
        <x:v>5</x:v>
      </x:c>
      <x:c r="X4813" s="20" t="n">
        <x:v>3</x:v>
      </x:c>
      <x:c r="Y4813" t="str">
        <x:v>Basis arsip 2025/2024</x:v>
      </x:c>
      <x:c r="Z4813" t="str">
        <x:v>https://snpmb.id/utbk-snbt/daya-tampung-snbt</x:v>
      </x:c>
      <x:c r="AA4813" t="str">
        <x:v>Tidak Ada</x:v>
      </x:c>
      <x:c r="AB4813" t="str">
        <x:v>Campus=55; Ratio=0.0; Prodi=50; RelDemand=0.0; Capacity=33.3</x:v>
      </x:c>
    </x:row>
    <x:row r="4814">
      <x:c r="A4814" t="n">
        <x:v>4811</x:v>
      </x:c>
      <x:c r="B4814" t="str">
        <x:v>PTKIN</x:v>
      </x:c>
      <x:c r="C4814" t="str">
        <x:v>UIN MAHMUD YUNUS BATUSANGKAR</x:v>
      </x:c>
      <x:c r="D4814" t="str">
        <x:v>MATEMATIKA</x:v>
      </x:c>
      <x:c r="E4814" t="str">
        <x:v>Sarjana</x:v>
      </x:c>
      <x:c r="F4814" s="18" t="n">
        <x:v>44</x:v>
      </x:c>
      <x:c r="G4814" s="18"/>
      <x:c r="H4814" s="19" t="n">
        <x:v>0</x:v>
      </x:c>
      <x:c r="I4814" s="18" t="n">
        <x:f>ROUND(MIN(Model_Config_v3!$B$6,MAX(Q4814,R4814,S4814*Model_Config_v3!$B$4+T4814*Model_Config_v3!$B$5)),0)</x:f>
        <x:v>598</x:v>
      </x:c>
      <x:c r="J4814" s="18" t="n">
        <x:f>MIN(Model_Config_v3!$B$6,I4814+Model_Config_v3!$B$7)</x:f>
        <x:v>618</x:v>
      </x:c>
      <x:c r="K4814" s="20" t="n">
        <x:v>35.6</x:v>
      </x:c>
      <x:c r="L4814" t="str">
        <x:v>RELATIF LONGGAR</x:v>
      </x:c>
      <x:c r="M4814" t="str">
        <x:v>RENDAH</x:v>
      </x:c>
      <x:c r="N4814" t="str">
        <x:v>REGULER</x:v>
      </x:c>
      <x:c r="O4814" t="str">
        <x:v>SAINTEK</x:v>
      </x:c>
      <x:c r="P4814" t="str">
        <x:v>SAINS DASAR</x:v>
      </x:c>
      <x:c r="Q4814" s="18" t="n">
        <x:v>0</x:v>
      </x:c>
      <x:c r="R4814" s="18" t="n">
        <x:v>0</x:v>
      </x:c>
      <x:c r="S4814" s="18" t="n">
        <x:v>520</x:v>
      </x:c>
      <x:c r="T4814" s="18" t="n">
        <x:v>631</x:v>
      </x:c>
      <x:c r="U4814" s="18" t="n">
        <x:v>520</x:v>
      </x:c>
      <x:c r="V4814" s="20" t="n">
        <x:v>12</x:v>
      </x:c>
      <x:c r="W4814" s="20" t="n">
        <x:v>5</x:v>
      </x:c>
      <x:c r="X4814" s="20" t="n">
        <x:v>3</x:v>
      </x:c>
      <x:c r="Y4814" t="str">
        <x:v>Basis arsip 2025/2024</x:v>
      </x:c>
      <x:c r="Z4814" t="str">
        <x:v>https://snpmb.id/utbk-snbt/daya-tampung-snbt</x:v>
      </x:c>
      <x:c r="AA4814" t="str">
        <x:v>Tidak Ada</x:v>
      </x:c>
      <x:c r="AB4814" t="str">
        <x:v>Campus=55; Ratio=0.0; Prodi=50; RelDemand=0.0; Capacity=63.3</x:v>
      </x:c>
    </x:row>
    <x:row r="4815">
      <x:c r="A4815" t="n">
        <x:v>4812</x:v>
      </x:c>
      <x:c r="B4815" t="str">
        <x:v>PTKIN</x:v>
      </x:c>
      <x:c r="C4815" t="str">
        <x:v>UIN MAHMUD YUNUS BATUSANGKAR</x:v>
      </x:c>
      <x:c r="D4815" t="str">
        <x:v>BIOLOGI</x:v>
      </x:c>
      <x:c r="E4815" t="str">
        <x:v>Sarjana</x:v>
      </x:c>
      <x:c r="F4815" s="18" t="n">
        <x:v>44</x:v>
      </x:c>
      <x:c r="G4815" s="18" t="n">
        <x:v>2</x:v>
      </x:c>
      <x:c r="H4815" s="19" t="n">
        <x:v>0.045454545454545456</x:v>
      </x:c>
      <x:c r="I4815" s="18" t="n">
        <x:f>ROUND(MIN(Model_Config_v3!$B$6,MAX(Q4815,R4815,S4815*Model_Config_v3!$B$4+T4815*Model_Config_v3!$B$5)),0)</x:f>
        <x:v>600</x:v>
      </x:c>
      <x:c r="J4815" s="18" t="n">
        <x:f>MIN(Model_Config_v3!$B$6,I4815+Model_Config_v3!$B$7)</x:f>
        <x:v>620</x:v>
      </x:c>
      <x:c r="K4815" s="20" t="n">
        <x:v>37.1</x:v>
      </x:c>
      <x:c r="L4815" t="str">
        <x:v>RELATIF LONGGAR</x:v>
      </x:c>
      <x:c r="M4815" t="str">
        <x:v>SEDANG+</x:v>
      </x:c>
      <x:c r="N4815" t="str">
        <x:v>REGULER</x:v>
      </x:c>
      <x:c r="O4815" t="str">
        <x:v>SAINTEK</x:v>
      </x:c>
      <x:c r="P4815" t="str">
        <x:v>SAINS DASAR</x:v>
      </x:c>
      <x:c r="Q4815" s="18" t="n">
        <x:v>0</x:v>
      </x:c>
      <x:c r="R4815" s="18" t="n">
        <x:v>0</x:v>
      </x:c>
      <x:c r="S4815" s="18" t="n">
        <x:v>520</x:v>
      </x:c>
      <x:c r="T4815" s="18" t="n">
        <x:v>634</x:v>
      </x:c>
      <x:c r="U4815" s="18" t="n">
        <x:v>520</x:v>
      </x:c>
      <x:c r="V4815" s="20" t="n">
        <x:v>12</x:v>
      </x:c>
      <x:c r="W4815" s="20" t="n">
        <x:v>5</x:v>
      </x:c>
      <x:c r="X4815" s="20" t="n">
        <x:v>3</x:v>
      </x:c>
      <x:c r="Y4815" t="str">
        <x:v>Basis arsip 2025/2024</x:v>
      </x:c>
      <x:c r="Z4815" t="str">
        <x:v>https://snpmb.id/utbk-snbt/daya-tampung-snbt</x:v>
      </x:c>
      <x:c r="AA4815" t="str">
        <x:v>Tidak Ada</x:v>
      </x:c>
      <x:c r="AB4815" t="str">
        <x:v>Campus=55; Ratio=0.0; Prodi=50; RelDemand=15.3; Capacity=63.3</x:v>
      </x:c>
    </x:row>
    <x:row r="4816">
      <x:c r="A4816" t="n">
        <x:v>4813</x:v>
      </x:c>
      <x:c r="B4816" t="str">
        <x:v>PTKIN</x:v>
      </x:c>
      <x:c r="C4816" t="str">
        <x:v>UIN MAHMUD YUNUS BATUSANGKAR</x:v>
      </x:c>
      <x:c r="D4816" t="str">
        <x:v>SISTEM INFORMASI</x:v>
      </x:c>
      <x:c r="E4816" t="str">
        <x:v>Sarjana</x:v>
      </x:c>
      <x:c r="F4816" s="18" t="n">
        <x:v>60</x:v>
      </x:c>
      <x:c r="G4816" s="18" t="n">
        <x:v>24</x:v>
      </x:c>
      <x:c r="H4816" s="19" t="n">
        <x:v>0.4</x:v>
      </x:c>
      <x:c r="I4816" s="18" t="n">
        <x:f>ROUND(MIN(Model_Config_v3!$B$6,MAX(Q4816,R4816,S4816*Model_Config_v3!$B$4+T4816*Model_Config_v3!$B$5)),0)</x:f>
        <x:v>619</x:v>
      </x:c>
      <x:c r="J4816" s="18" t="n">
        <x:f>MIN(Model_Config_v3!$B$6,I4816+Model_Config_v3!$B$7)</x:f>
        <x:v>639</x:v>
      </x:c>
      <x:c r="K4816" s="20" t="n">
        <x:v>51.2</x:v>
      </x:c>
      <x:c r="L4816" t="str">
        <x:v>MENENGAH</x:v>
      </x:c>
      <x:c r="M4816" t="str">
        <x:v>SEDANG+</x:v>
      </x:c>
      <x:c r="N4816" t="str">
        <x:v>REGULER</x:v>
      </x:c>
      <x:c r="O4816" t="str">
        <x:v>CAMPURAN</x:v>
      </x:c>
      <x:c r="P4816" t="str">
        <x:v>KOMPUTER/INFORMATIKA</x:v>
      </x:c>
      <x:c r="Q4816" s="18" t="n">
        <x:v>0</x:v>
      </x:c>
      <x:c r="R4816" s="18" t="n">
        <x:v>0</x:v>
      </x:c>
      <x:c r="S4816" s="18" t="n">
        <x:v>520</x:v>
      </x:c>
      <x:c r="T4816" s="18" t="n">
        <x:v>662</x:v>
      </x:c>
      <x:c r="U4816" s="18" t="n">
        <x:v>545</x:v>
      </x:c>
      <x:c r="V4816" s="20" t="n">
        <x:v>8.8</x:v>
      </x:c>
      <x:c r="W4816" s="20" t="n">
        <x:v>9.9</x:v>
      </x:c>
      <x:c r="X4816" s="20" t="n">
        <x:v>3.3</x:v>
      </x:c>
      <x:c r="Y4816" t="str">
        <x:v>Basis arsip 2025/2024</x:v>
      </x:c>
      <x:c r="Z4816" t="str">
        <x:v>https://snpmb.id/utbk-snbt/daya-tampung-snbt</x:v>
      </x:c>
      <x:c r="AA4816" t="str">
        <x:v>Tidak Ada</x:v>
      </x:c>
      <x:c r="AB4816" t="str">
        <x:v>Campus=55; Ratio=0.0; Prodi=85; RelDemand=100.0; Capacity=50.0</x:v>
      </x:c>
    </x:row>
    <x:row r="4817">
      <x:c r="A4817" t="n">
        <x:v>4814</x:v>
      </x:c>
      <x:c r="B4817" t="str">
        <x:v>PTKIN</x:v>
      </x:c>
      <x:c r="C4817" t="str">
        <x:v>UIN SJECH M. DJAMIL DJAMBEK BUKITTINGGI</x:v>
      </x:c>
      <x:c r="D4817" t="str">
        <x:v>STATISTIKA</x:v>
      </x:c>
      <x:c r="E4817" t="str">
        <x:v>Sarjana</x:v>
      </x:c>
      <x:c r="F4817" s="18" t="n">
        <x:v>32</x:v>
      </x:c>
      <x:c r="G4817" s="18" t="n">
        <x:v>8</x:v>
      </x:c>
      <x:c r="H4817" s="19" t="n">
        <x:v>0.25</x:v>
      </x:c>
      <x:c r="I4817" s="18" t="n">
        <x:f>ROUND(MIN(Model_Config_v3!$B$6,MAX(Q4817,R4817,S4817*Model_Config_v3!$B$4+T4817*Model_Config_v3!$B$5)),0)</x:f>
        <x:v>605</x:v>
      </x:c>
      <x:c r="J4817" s="18" t="n">
        <x:f>MIN(Model_Config_v3!$B$6,I4817+Model_Config_v3!$B$7)</x:f>
        <x:v>625</x:v>
      </x:c>
      <x:c r="K4817" s="20" t="n">
        <x:v>40.3</x:v>
      </x:c>
      <x:c r="L4817" t="str">
        <x:v>RELATIF LONGGAR</x:v>
      </x:c>
      <x:c r="M4817" t="str">
        <x:v>SEDANG+</x:v>
      </x:c>
      <x:c r="N4817" t="str">
        <x:v>REGULER</x:v>
      </x:c>
      <x:c r="O4817" t="str">
        <x:v>SAINTEK</x:v>
      </x:c>
      <x:c r="P4817" t="str">
        <x:v>TEKNIK/ARSITEKTUR/STATISTIKA/AKTUARIA</x:v>
      </x:c>
      <x:c r="Q4817" s="18" t="n">
        <x:v>0</x:v>
      </x:c>
      <x:c r="R4817" s="18" t="n">
        <x:v>0</x:v>
      </x:c>
      <x:c r="S4817" s="18" t="n">
        <x:v>520</x:v>
      </x:c>
      <x:c r="T4817" s="18" t="n">
        <x:v>641</x:v>
      </x:c>
      <x:c r="U4817" s="18" t="n">
        <x:v>530</x:v>
      </x:c>
      <x:c r="V4817" s="20" t="n">
        <x:v>12</x:v>
      </x:c>
      <x:c r="W4817" s="20" t="n">
        <x:v>5</x:v>
      </x:c>
      <x:c r="X4817" s="20" t="n">
        <x:v>3</x:v>
      </x:c>
      <x:c r="Y4817" t="str">
        <x:v>Basis arsip 2025/2024</x:v>
      </x:c>
      <x:c r="Z4817" t="str">
        <x:v>https://snpmb.id/utbk-snbt/daya-tampung-snbt</x:v>
      </x:c>
      <x:c r="AA4817" t="str">
        <x:v>Tidak Ada</x:v>
      </x:c>
      <x:c r="AB4817" t="str">
        <x:v>Campus=55; Ratio=0.0; Prodi=60; RelDemand=17.2; Capacity=73.3</x:v>
      </x:c>
    </x:row>
    <x:row r="4818">
      <x:c r="A4818" t="n">
        <x:v>4815</x:v>
      </x:c>
      <x:c r="B4818" t="str">
        <x:v>PTKIN</x:v>
      </x:c>
      <x:c r="C4818" t="str">
        <x:v>UIN SJECH M. DJAMIL DJAMBEK BUKITTINGGI</x:v>
      </x:c>
      <x:c r="D4818" t="str">
        <x:v>BISNIS DIGITAL</x:v>
      </x:c>
      <x:c r="E4818" t="str">
        <x:v>Sarjana</x:v>
      </x:c>
      <x:c r="F4818" s="18" t="n">
        <x:v>32</x:v>
      </x:c>
      <x:c r="G4818" s="18" t="n">
        <x:v>30</x:v>
      </x:c>
      <x:c r="H4818" s="19" t="n">
        <x:v>0.9375</x:v>
      </x:c>
      <x:c r="I4818" s="18" t="n">
        <x:f>ROUND(MIN(Model_Config_v3!$B$6,MAX(Q4818,R4818,S4818*Model_Config_v3!$B$4+T4818*Model_Config_v3!$B$5)),0)</x:f>
        <x:v>612</x:v>
      </x:c>
      <x:c r="J4818" s="18" t="n">
        <x:f>MIN(Model_Config_v3!$B$6,I4818+Model_Config_v3!$B$7)</x:f>
        <x:v>632</x:v>
      </x:c>
      <x:c r="K4818" s="20" t="n">
        <x:v>46</x:v>
      </x:c>
      <x:c r="L4818" t="str">
        <x:v>MENENGAH</x:v>
      </x:c>
      <x:c r="M4818" t="str">
        <x:v>SEDANG+</x:v>
      </x:c>
      <x:c r="N4818" t="str">
        <x:v>REGULER</x:v>
      </x:c>
      <x:c r="O4818" t="str">
        <x:v>SOSHUM</x:v>
      </x:c>
      <x:c r="P4818" t="str">
        <x:v>BISNIS/EKONOMI/AKUNTANSI</x:v>
      </x:c>
      <x:c r="Q4818" s="18" t="n">
        <x:v>0</x:v>
      </x:c>
      <x:c r="R4818" s="18" t="n">
        <x:v>0</x:v>
      </x:c>
      <x:c r="S4818" s="18" t="n">
        <x:v>520</x:v>
      </x:c>
      <x:c r="T4818" s="18" t="n">
        <x:v>652</x:v>
      </x:c>
      <x:c r="U4818" s="18" t="n">
        <x:v>535</x:v>
      </x:c>
      <x:c r="V4818" s="20" t="n">
        <x:v>4.4</x:v>
      </x:c>
      <x:c r="W4818" s="20" t="n">
        <x:v>14.3</x:v>
      </x:c>
      <x:c r="X4818" s="20" t="n">
        <x:v>3.3</x:v>
      </x:c>
      <x:c r="Y4818" t="str">
        <x:v>Basis arsip 2025/2024</x:v>
      </x:c>
      <x:c r="Z4818" t="str">
        <x:v>https://snpmb.id/utbk-snbt/daya-tampung-snbt</x:v>
      </x:c>
      <x:c r="AA4818" t="str">
        <x:v>Tidak Ada</x:v>
      </x:c>
      <x:c r="AB4818" t="str">
        <x:v>Campus=55; Ratio=0.0; Prodi=65; RelDemand=64.5; Capacity=73.3</x:v>
      </x:c>
    </x:row>
    <x:row r="4819">
      <x:c r="A4819" t="n">
        <x:v>4816</x:v>
      </x:c>
      <x:c r="B4819" t="str">
        <x:v>PTKIN</x:v>
      </x:c>
      <x:c r="C4819" t="str">
        <x:v>UIN SJECH M. DJAMIL DJAMBEK BUKITTINGGI</x:v>
      </x:c>
      <x:c r="D4819" t="str">
        <x:v>MATEMATIKA</x:v>
      </x:c>
      <x:c r="E4819" t="str">
        <x:v>Sarjana</x:v>
      </x:c>
      <x:c r="F4819" s="18" t="n">
        <x:v>32</x:v>
      </x:c>
      <x:c r="G4819" s="18" t="n">
        <x:v>2</x:v>
      </x:c>
      <x:c r="H4819" s="19" t="n">
        <x:v>0.0625</x:v>
      </x:c>
      <x:c r="I4819" s="18" t="n">
        <x:f>ROUND(MIN(Model_Config_v3!$B$6,MAX(Q4819,R4819,S4819*Model_Config_v3!$B$4+T4819*Model_Config_v3!$B$5)),0)</x:f>
        <x:v>600</x:v>
      </x:c>
      <x:c r="J4819" s="18" t="n">
        <x:f>MIN(Model_Config_v3!$B$6,I4819+Model_Config_v3!$B$7)</x:f>
        <x:v>620</x:v>
      </x:c>
      <x:c r="K4819" s="20" t="n">
        <x:v>37</x:v>
      </x:c>
      <x:c r="L4819" t="str">
        <x:v>RELATIF LONGGAR</x:v>
      </x:c>
      <x:c r="M4819" t="str">
        <x:v>SEDANG+</x:v>
      </x:c>
      <x:c r="N4819" t="str">
        <x:v>REGULER</x:v>
      </x:c>
      <x:c r="O4819" t="str">
        <x:v>SAINTEK</x:v>
      </x:c>
      <x:c r="P4819" t="str">
        <x:v>SAINS DASAR</x:v>
      </x:c>
      <x:c r="Q4819" s="18" t="n">
        <x:v>0</x:v>
      </x:c>
      <x:c r="R4819" s="18" t="n">
        <x:v>0</x:v>
      </x:c>
      <x:c r="S4819" s="18" t="n">
        <x:v>520</x:v>
      </x:c>
      <x:c r="T4819" s="18" t="n">
        <x:v>634</x:v>
      </x:c>
      <x:c r="U4819" s="18" t="n">
        <x:v>520</x:v>
      </x:c>
      <x:c r="V4819" s="20" t="n">
        <x:v>12</x:v>
      </x:c>
      <x:c r="W4819" s="20" t="n">
        <x:v>5</x:v>
      </x:c>
      <x:c r="X4819" s="20" t="n">
        <x:v>3</x:v>
      </x:c>
      <x:c r="Y4819" t="str">
        <x:v>Basis arsip 2025/2024</x:v>
      </x:c>
      <x:c r="Z4819" t="str">
        <x:v>https://snpmb.id/utbk-snbt/daya-tampung-snbt</x:v>
      </x:c>
      <x:c r="AA4819" t="str">
        <x:v>Tidak Ada</x:v>
      </x:c>
      <x:c r="AB4819" t="str">
        <x:v>Campus=55; Ratio=0.0; Prodi=50; RelDemand=4.3; Capacity=73.3</x:v>
      </x:c>
    </x:row>
    <x:row r="4820">
      <x:c r="A4820" t="n">
        <x:v>4817</x:v>
      </x:c>
      <x:c r="B4820" t="str">
        <x:v>PTKIN</x:v>
      </x:c>
      <x:c r="C4820" t="str">
        <x:v>UIN SJECH M. DJAMIL DJAMBEK BUKITTINGGI</x:v>
      </x:c>
      <x:c r="D4820" t="str">
        <x:v>INFORMATIKA</x:v>
      </x:c>
      <x:c r="E4820" t="str">
        <x:v>Sarjana</x:v>
      </x:c>
      <x:c r="F4820" s="18" t="n">
        <x:v>32</x:v>
      </x:c>
      <x:c r="G4820" s="18" t="n">
        <x:v>53</x:v>
      </x:c>
      <x:c r="H4820" s="19" t="n">
        <x:v>1.65625</x:v>
      </x:c>
      <x:c r="I4820" s="18" t="n">
        <x:f>ROUND(MIN(Model_Config_v3!$B$6,MAX(Q4820,R4820,S4820*Model_Config_v3!$B$4+T4820*Model_Config_v3!$B$5)),0)</x:f>
        <x:v>635</x:v>
      </x:c>
      <x:c r="J4820" s="18" t="n">
        <x:f>MIN(Model_Config_v3!$B$6,I4820+Model_Config_v3!$B$7)</x:f>
        <x:v>655</x:v>
      </x:c>
      <x:c r="K4820" s="20" t="n">
        <x:v>56.8</x:v>
      </x:c>
      <x:c r="L4820" t="str">
        <x:v>KETAT</x:v>
      </x:c>
      <x:c r="M4820" t="str">
        <x:v>SEDANG+</x:v>
      </x:c>
      <x:c r="N4820" t="str">
        <x:v>REGULER</x:v>
      </x:c>
      <x:c r="O4820" t="str">
        <x:v>SAINTEK</x:v>
      </x:c>
      <x:c r="P4820" t="str">
        <x:v>KOMPUTER/INFORMATIKA</x:v>
      </x:c>
      <x:c r="Q4820" s="18" t="n">
        <x:v>0</x:v>
      </x:c>
      <x:c r="R4820" s="18" t="n">
        <x:v>0</x:v>
      </x:c>
      <x:c r="S4820" s="18" t="n">
        <x:v>544.1038480408971</x:v>
      </x:c>
      <x:c r="T4820" s="18" t="n">
        <x:v>674</x:v>
      </x:c>
      <x:c r="U4820" s="18" t="n">
        <x:v>569.1038480408971</x:v>
      </x:c>
      <x:c r="V4820" s="20" t="n">
        <x:v>12</x:v>
      </x:c>
      <x:c r="W4820" s="20" t="n">
        <x:v>5</x:v>
      </x:c>
      <x:c r="X4820" s="20" t="n">
        <x:v>3</x:v>
      </x:c>
      <x:c r="Y4820" t="str">
        <x:v>Basis arsip 2025/2024</x:v>
      </x:c>
      <x:c r="Z4820" t="str">
        <x:v>https://snpmb.id/utbk-snbt/daya-tampung-snbt</x:v>
      </x:c>
      <x:c r="AA4820" t="str">
        <x:v>Tidak Ada</x:v>
      </x:c>
      <x:c r="AB4820" t="str">
        <x:v>Campus=55; Ratio=12.9; Prodi=85; RelDemand=100.0; Capacity=73.3</x:v>
      </x:c>
    </x:row>
    <x:row r="4821">
      <x:c r="A4821" t="n">
        <x:v>4818</x:v>
      </x:c>
      <x:c r="B4821" t="str">
        <x:v>PTKIN</x:v>
      </x:c>
      <x:c r="C4821" t="str">
        <x:v>UIN SULTAN MAULANA HASANUDDIN BANTEN</x:v>
      </x:c>
      <x:c r="D4821" t="str">
        <x:v>FISIKA</x:v>
      </x:c>
      <x:c r="E4821" t="str">
        <x:v>Sarjana</x:v>
      </x:c>
      <x:c r="F4821" s="18" t="n">
        <x:v>14</x:v>
      </x:c>
      <x:c r="G4821" s="18" t="n">
        <x:v>8</x:v>
      </x:c>
      <x:c r="H4821" s="19" t="n">
        <x:v>0.5714285714285714</x:v>
      </x:c>
      <x:c r="I4821" s="18" t="n">
        <x:f>ROUND(MIN(Model_Config_v3!$B$6,MAX(Q4821,R4821,S4821*Model_Config_v3!$B$4+T4821*Model_Config_v3!$B$5)),0)</x:f>
        <x:v>604</x:v>
      </x:c>
      <x:c r="J4821" s="18" t="n">
        <x:f>MIN(Model_Config_v3!$B$6,I4821+Model_Config_v3!$B$7)</x:f>
        <x:v>624</x:v>
      </x:c>
      <x:c r="K4821" s="20" t="n">
        <x:v>39.9</x:v>
      </x:c>
      <x:c r="L4821" t="str">
        <x:v>RELATIF LONGGAR</x:v>
      </x:c>
      <x:c r="M4821" t="str">
        <x:v>SEDANG+</x:v>
      </x:c>
      <x:c r="N4821" t="str">
        <x:v>REGULER</x:v>
      </x:c>
      <x:c r="O4821" t="str">
        <x:v>SAINTEK</x:v>
      </x:c>
      <x:c r="P4821" t="str">
        <x:v>SAINS DASAR</x:v>
      </x:c>
      <x:c r="Q4821" s="18" t="n">
        <x:v>0</x:v>
      </x:c>
      <x:c r="R4821" s="18" t="n">
        <x:v>0</x:v>
      </x:c>
      <x:c r="S4821" s="18" t="n">
        <x:v>520</x:v>
      </x:c>
      <x:c r="T4821" s="18" t="n">
        <x:v>640</x:v>
      </x:c>
      <x:c r="U4821" s="18" t="n">
        <x:v>520</x:v>
      </x:c>
      <x:c r="V4821" s="20" t="n">
        <x:v>12</x:v>
      </x:c>
      <x:c r="W4821" s="20" t="n">
        <x:v>5</x:v>
      </x:c>
      <x:c r="X4821" s="20" t="n">
        <x:v>3</x:v>
      </x:c>
      <x:c r="Y4821" t="str">
        <x:v>Basis arsip 2025/2024</x:v>
      </x:c>
      <x:c r="Z4821" t="str">
        <x:v>https://snpmb.id/utbk-snbt/daya-tampung-snbt</x:v>
      </x:c>
      <x:c r="AA4821" t="str">
        <x:v>Tidak Ada</x:v>
      </x:c>
      <x:c r="AB4821" t="str">
        <x:v>Campus=55; Ratio=0.0; Prodi=50; RelDemand=18.4; Capacity=88.3</x:v>
      </x:c>
    </x:row>
    <x:row r="4822">
      <x:c r="A4822" t="n">
        <x:v>4819</x:v>
      </x:c>
      <x:c r="B4822" t="str">
        <x:v>PTKIN</x:v>
      </x:c>
      <x:c r="C4822" t="str">
        <x:v>UIN SULTAN MAULANA HASANUDDIN BANTEN</x:v>
      </x:c>
      <x:c r="D4822" t="str">
        <x:v>BIOLOGI</x:v>
      </x:c>
      <x:c r="E4822" t="str">
        <x:v>Sarjana</x:v>
      </x:c>
      <x:c r="F4822" s="18" t="n">
        <x:v>28</x:v>
      </x:c>
      <x:c r="G4822" s="18" t="n">
        <x:v>36</x:v>
      </x:c>
      <x:c r="H4822" s="19" t="n">
        <x:v>1.2857142857142858</x:v>
      </x:c>
      <x:c r="I4822" s="18" t="n">
        <x:f>ROUND(MIN(Model_Config_v3!$B$6,MAX(Q4822,R4822,S4822*Model_Config_v3!$B$4+T4822*Model_Config_v3!$B$5)),0)</x:f>
        <x:v>611</x:v>
      </x:c>
      <x:c r="J4822" s="18" t="n">
        <x:f>MIN(Model_Config_v3!$B$6,I4822+Model_Config_v3!$B$7)</x:f>
        <x:v>631</x:v>
      </x:c>
      <x:c r="K4822" s="20" t="n">
        <x:v>42.7</x:v>
      </x:c>
      <x:c r="L4822" t="str">
        <x:v>RELATIF LONGGAR</x:v>
      </x:c>
      <x:c r="M4822" t="str">
        <x:v>SEDANG+</x:v>
      </x:c>
      <x:c r="N4822" t="str">
        <x:v>REGULER</x:v>
      </x:c>
      <x:c r="O4822" t="str">
        <x:v>SAINTEK</x:v>
      </x:c>
      <x:c r="P4822" t="str">
        <x:v>SAINS DASAR</x:v>
      </x:c>
      <x:c r="Q4822" s="18" t="n">
        <x:v>0</x:v>
      </x:c>
      <x:c r="R4822" s="18" t="n">
        <x:v>0</x:v>
      </x:c>
      <x:c r="S4822" s="18" t="n">
        <x:v>532.0058916367575</x:v>
      </x:c>
      <x:c r="T4822" s="18" t="n">
        <x:v>645</x:v>
      </x:c>
      <x:c r="U4822" s="18" t="n">
        <x:v>532.0058916367575</x:v>
      </x:c>
      <x:c r="V4822" s="20" t="n">
        <x:v>12</x:v>
      </x:c>
      <x:c r="W4822" s="20" t="n">
        <x:v>5</x:v>
      </x:c>
      <x:c r="X4822" s="20" t="n">
        <x:v>3</x:v>
      </x:c>
      <x:c r="Y4822" t="str">
        <x:v>Basis arsip 2025/2024</x:v>
      </x:c>
      <x:c r="Z4822" t="str">
        <x:v>https://snpmb.id/utbk-snbt/daya-tampung-snbt</x:v>
      </x:c>
      <x:c r="AA4822" t="str">
        <x:v>Tidak Ada</x:v>
      </x:c>
      <x:c r="AB4822" t="str">
        <x:v>Campus=55; Ratio=6.4; Prodi=50; RelDemand=41.3; Capacity=76.7</x:v>
      </x:c>
    </x:row>
    <x:row r="4823">
      <x:c r="A4823" t="n">
        <x:v>4820</x:v>
      </x:c>
      <x:c r="B4823" t="str">
        <x:v>PTKIN</x:v>
      </x:c>
      <x:c r="C4823" t="str">
        <x:v>UIN SULTAN MAULANA HASANUDDIN BANTEN</x:v>
      </x:c>
      <x:c r="D4823" t="str">
        <x:v>INFORMATIKA</x:v>
      </x:c>
      <x:c r="E4823" t="str">
        <x:v>Sarjana</x:v>
      </x:c>
      <x:c r="F4823" s="18" t="n">
        <x:v>36</x:v>
      </x:c>
      <x:c r="G4823" s="18" t="n">
        <x:v>141</x:v>
      </x:c>
      <x:c r="H4823" s="19" t="n">
        <x:v>3.9166666666666665</x:v>
      </x:c>
      <x:c r="I4823" s="18" t="n">
        <x:f>ROUND(MIN(Model_Config_v3!$B$6,MAX(Q4823,R4823,S4823*Model_Config_v3!$B$4+T4823*Model_Config_v3!$B$5)),0)</x:f>
        <x:v>654</x:v>
      </x:c>
      <x:c r="J4823" s="18" t="n">
        <x:f>MIN(Model_Config_v3!$B$6,I4823+Model_Config_v3!$B$7)</x:f>
        <x:v>674</x:v>
      </x:c>
      <x:c r="K4823" s="20" t="n">
        <x:v>62</x:v>
      </x:c>
      <x:c r="L4823" t="str">
        <x:v>KETAT</x:v>
      </x:c>
      <x:c r="M4823" t="str">
        <x:v>SEDANG+</x:v>
      </x:c>
      <x:c r="N4823" t="str">
        <x:v>REGULER</x:v>
      </x:c>
      <x:c r="O4823" t="str">
        <x:v>SAINTEK</x:v>
      </x:c>
      <x:c r="P4823" t="str">
        <x:v>KOMPUTER/INFORMATIKA</x:v>
      </x:c>
      <x:c r="Q4823" s="18" t="n">
        <x:v>0</x:v>
      </x:c>
      <x:c r="R4823" s="18" t="n">
        <x:v>0</x:v>
      </x:c>
      <x:c r="S4823" s="18" t="n">
        <x:v>585.2208273076902</x:v>
      </x:c>
      <x:c r="T4823" s="18" t="n">
        <x:v>684</x:v>
      </x:c>
      <x:c r="U4823" s="18" t="n">
        <x:v>610.2208273076902</x:v>
      </x:c>
      <x:c r="V4823" s="20" t="n">
        <x:v>12</x:v>
      </x:c>
      <x:c r="W4823" s="20" t="n">
        <x:v>5</x:v>
      </x:c>
      <x:c r="X4823" s="20" t="n">
        <x:v>3</x:v>
      </x:c>
      <x:c r="Y4823" t="str">
        <x:v>Basis arsip 2025/2024</x:v>
      </x:c>
      <x:c r="Z4823" t="str">
        <x:v>https://snpmb.id/utbk-snbt/daya-tampung-snbt</x:v>
      </x:c>
      <x:c r="AA4823" t="str">
        <x:v>Tidak Ada</x:v>
      </x:c>
      <x:c r="AB4823" t="str">
        <x:v>Campus=55; Ratio=34.9; Prodi=85; RelDemand=100.0; Capacity=70.0</x:v>
      </x:c>
    </x:row>
    <x:row r="4824">
      <x:c r="A4824" t="n">
        <x:v>4821</x:v>
      </x:c>
      <x:c r="B4824" t="str">
        <x:v>PTKIN</x:v>
      </x:c>
      <x:c r="C4824" t="str">
        <x:v>UIN SULTAN MAULANA HASANUDDIN BANTEN</x:v>
      </x:c>
      <x:c r="D4824" t="str">
        <x:v>MATEMATIKA</x:v>
      </x:c>
      <x:c r="E4824" t="str">
        <x:v>Sarjana</x:v>
      </x:c>
      <x:c r="F4824" s="18" t="n">
        <x:v>14</x:v>
      </x:c>
      <x:c r="G4824" s="18" t="n">
        <x:v>14</x:v>
      </x:c>
      <x:c r="H4824" s="19" t="n">
        <x:v>1</x:v>
      </x:c>
      <x:c r="I4824" s="18" t="n">
        <x:f>ROUND(MIN(Model_Config_v3!$B$6,MAX(Q4824,R4824,S4824*Model_Config_v3!$B$4+T4824*Model_Config_v3!$B$5)),0)</x:f>
        <x:v>606</x:v>
      </x:c>
      <x:c r="J4824" s="18" t="n">
        <x:f>MIN(Model_Config_v3!$B$6,I4824+Model_Config_v3!$B$7)</x:f>
        <x:v>626</x:v>
      </x:c>
      <x:c r="K4824" s="20" t="n">
        <x:v>41.3</x:v>
      </x:c>
      <x:c r="L4824" t="str">
        <x:v>RELATIF LONGGAR</x:v>
      </x:c>
      <x:c r="M4824" t="str">
        <x:v>SEDANG+</x:v>
      </x:c>
      <x:c r="N4824" t="str">
        <x:v>REGULER</x:v>
      </x:c>
      <x:c r="O4824" t="str">
        <x:v>SAINTEK</x:v>
      </x:c>
      <x:c r="P4824" t="str">
        <x:v>SAINS DASAR</x:v>
      </x:c>
      <x:c r="Q4824" s="18" t="n">
        <x:v>0</x:v>
      </x:c>
      <x:c r="R4824" s="18" t="n">
        <x:v>0</x:v>
      </x:c>
      <x:c r="S4824" s="18" t="n">
        <x:v>520</x:v>
      </x:c>
      <x:c r="T4824" s="18" t="n">
        <x:v>643</x:v>
      </x:c>
      <x:c r="U4824" s="18" t="n">
        <x:v>520</x:v>
      </x:c>
      <x:c r="V4824" s="20" t="n">
        <x:v>12</x:v>
      </x:c>
      <x:c r="W4824" s="20" t="n">
        <x:v>5</x:v>
      </x:c>
      <x:c r="X4824" s="20" t="n">
        <x:v>3</x:v>
      </x:c>
      <x:c r="Y4824" t="str">
        <x:v>Basis arsip 2025/2024</x:v>
      </x:c>
      <x:c r="Z4824" t="str">
        <x:v>https://snpmb.id/utbk-snbt/daya-tampung-snbt</x:v>
      </x:c>
      <x:c r="AA4824" t="str">
        <x:v>Tidak Ada</x:v>
      </x:c>
      <x:c r="AB4824" t="str">
        <x:v>Campus=55; Ratio=0.0; Prodi=50; RelDemand=32.2; Capacity=88.3</x:v>
      </x:c>
    </x:row>
    <x:row r="4825">
      <x:c r="A4825" t="n">
        <x:v>4822</x:v>
      </x:c>
      <x:c r="B4825" t="str">
        <x:v>PTKIN</x:v>
      </x:c>
      <x:c r="C4825" t="str">
        <x:v>UIN SULTAN MAULANA HASANUDDIN BANTEN</x:v>
      </x:c>
      <x:c r="D4825" t="str">
        <x:v>KIMIA</x:v>
      </x:c>
      <x:c r="E4825" t="str">
        <x:v>Sarjana</x:v>
      </x:c>
      <x:c r="F4825" s="18" t="n">
        <x:v>14</x:v>
      </x:c>
      <x:c r="G4825" s="18" t="n">
        <x:v>14</x:v>
      </x:c>
      <x:c r="H4825" s="19" t="n">
        <x:v>1</x:v>
      </x:c>
      <x:c r="I4825" s="18" t="n">
        <x:f>ROUND(MIN(Model_Config_v3!$B$6,MAX(Q4825,R4825,S4825*Model_Config_v3!$B$4+T4825*Model_Config_v3!$B$5)),0)</x:f>
        <x:v>606</x:v>
      </x:c>
      <x:c r="J4825" s="18" t="n">
        <x:f>MIN(Model_Config_v3!$B$6,I4825+Model_Config_v3!$B$7)</x:f>
        <x:v>626</x:v>
      </x:c>
      <x:c r="K4825" s="20" t="n">
        <x:v>41.3</x:v>
      </x:c>
      <x:c r="L4825" t="str">
        <x:v>RELATIF LONGGAR</x:v>
      </x:c>
      <x:c r="M4825" t="str">
        <x:v>SEDANG+</x:v>
      </x:c>
      <x:c r="N4825" t="str">
        <x:v>REGULER</x:v>
      </x:c>
      <x:c r="O4825" t="str">
        <x:v>SAINTEK</x:v>
      </x:c>
      <x:c r="P4825" t="str">
        <x:v>SAINS DASAR</x:v>
      </x:c>
      <x:c r="Q4825" s="18" t="n">
        <x:v>0</x:v>
      </x:c>
      <x:c r="R4825" s="18" t="n">
        <x:v>0</x:v>
      </x:c>
      <x:c r="S4825" s="18" t="n">
        <x:v>520</x:v>
      </x:c>
      <x:c r="T4825" s="18" t="n">
        <x:v>643</x:v>
      </x:c>
      <x:c r="U4825" s="18" t="n">
        <x:v>520</x:v>
      </x:c>
      <x:c r="V4825" s="20" t="n">
        <x:v>12</x:v>
      </x:c>
      <x:c r="W4825" s="20" t="n">
        <x:v>5</x:v>
      </x:c>
      <x:c r="X4825" s="20" t="n">
        <x:v>3</x:v>
      </x:c>
      <x:c r="Y4825" t="str">
        <x:v>Basis arsip 2025/2024</x:v>
      </x:c>
      <x:c r="Z4825" t="str">
        <x:v>https://snpmb.id/utbk-snbt/daya-tampung-snbt</x:v>
      </x:c>
      <x:c r="AA4825" t="str">
        <x:v>Tidak Ada</x:v>
      </x:c>
      <x:c r="AB4825" t="str">
        <x:v>Campus=55; Ratio=0.0; Prodi=50; RelDemand=32.2; Capacity=88.3</x:v>
      </x:c>
    </x:row>
    <x:row r="4826">
      <x:c r="A4826" t="n">
        <x:v>4823</x:v>
      </x:c>
      <x:c r="B4826" t="str">
        <x:v>PTKIN</x:v>
      </x:c>
      <x:c r="C4826" t="str">
        <x:v>UIN JAKARTA</x:v>
      </x:c>
      <x:c r="D4826" t="str">
        <x:v>SOSIAL EKONOMI PERTANIAN / AGRIBISNIS</x:v>
      </x:c>
      <x:c r="E4826" t="str">
        <x:v>Sarjana</x:v>
      </x:c>
      <x:c r="F4826" s="18" t="n">
        <x:v>77</x:v>
      </x:c>
      <x:c r="G4826" s="18" t="n">
        <x:v>319</x:v>
      </x:c>
      <x:c r="H4826" s="19" t="n">
        <x:v>4.142857142857143</x:v>
      </x:c>
      <x:c r="I4826" s="18" t="n">
        <x:f>ROUND(MIN(Model_Config_v3!$B$6,MAX(Q4826,R4826,S4826*Model_Config_v3!$B$4+T4826*Model_Config_v3!$B$5)),0)</x:f>
        <x:v>636</x:v>
      </x:c>
      <x:c r="J4826" s="18" t="n">
        <x:f>MIN(Model_Config_v3!$B$6,I4826+Model_Config_v3!$B$7)</x:f>
        <x:v>656</x:v>
      </x:c>
      <x:c r="K4826" s="20" t="n">
        <x:v>48.4</x:v>
      </x:c>
      <x:c r="L4826" t="str">
        <x:v>MENENGAH</x:v>
      </x:c>
      <x:c r="M4826" t="str">
        <x:v>SEDANG+</x:v>
      </x:c>
      <x:c r="N4826" t="str">
        <x:v>REGULER</x:v>
      </x:c>
      <x:c r="O4826" t="str">
        <x:v>SAINTEK</x:v>
      </x:c>
      <x:c r="P4826" t="str">
        <x:v>BISNIS/EKONOMI/AKUNTANSI</x:v>
      </x:c>
      <x:c r="Q4826" s="18" t="n">
        <x:v>0</x:v>
      </x:c>
      <x:c r="R4826" s="18" t="n">
        <x:v>0</x:v>
      </x:c>
      <x:c r="S4826" s="18" t="n">
        <x:v>587.9029953673169</x:v>
      </x:c>
      <x:c r="T4826" s="18" t="n">
        <x:v>657</x:v>
      </x:c>
      <x:c r="U4826" s="18" t="n">
        <x:v>602.9029953673169</x:v>
      </x:c>
      <x:c r="V4826" s="20" t="n">
        <x:v>12</x:v>
      </x:c>
      <x:c r="W4826" s="20" t="n">
        <x:v>5</x:v>
      </x:c>
      <x:c r="X4826" s="20" t="n">
        <x:v>3</x:v>
      </x:c>
      <x:c r="Y4826" t="str">
        <x:v>Basis arsip 2025/2024</x:v>
      </x:c>
      <x:c r="Z4826" t="str">
        <x:v>https://snpmb.id/utbk-snbt/daya-tampung-snbt</x:v>
      </x:c>
      <x:c r="AA4826" t="str">
        <x:v>Tidak Ada</x:v>
      </x:c>
      <x:c r="AB4826" t="str">
        <x:v>Campus=55; Ratio=36.3; Prodi=65; RelDemand=35.2; Capacity=35.8</x:v>
      </x:c>
    </x:row>
    <x:row r="4827">
      <x:c r="A4827" t="n">
        <x:v>4824</x:v>
      </x:c>
      <x:c r="B4827" t="str">
        <x:v>PTKIN</x:v>
      </x:c>
      <x:c r="C4827" t="str">
        <x:v>UIN JAKARTA</x:v>
      </x:c>
      <x:c r="D4827" t="str">
        <x:v>TEKNIK INFORMATIKA</x:v>
      </x:c>
      <x:c r="E4827" t="str">
        <x:v>Sarjana</x:v>
      </x:c>
      <x:c r="F4827" s="18" t="n">
        <x:v>77</x:v>
      </x:c>
      <x:c r="G4827" s="18" t="n">
        <x:v>836</x:v>
      </x:c>
      <x:c r="H4827" s="19" t="n">
        <x:v>10.857142857142858</x:v>
      </x:c>
      <x:c r="I4827" s="18" t="n">
        <x:f>ROUND(MIN(Model_Config_v3!$B$6,MAX(Q4827,R4827,S4827*Model_Config_v3!$B$4+T4827*Model_Config_v3!$B$5)),0)</x:f>
        <x:v>672</x:v>
      </x:c>
      <x:c r="J4827" s="18" t="n">
        <x:f>MIN(Model_Config_v3!$B$6,I4827+Model_Config_v3!$B$7)</x:f>
        <x:v>692</x:v>
      </x:c>
      <x:c r="K4827" s="20" t="n">
        <x:v>64.3</x:v>
      </x:c>
      <x:c r="L4827" t="str">
        <x:v>KETAT</x:v>
      </x:c>
      <x:c r="M4827" t="str">
        <x:v>SEDANG+</x:v>
      </x:c>
      <x:c r="N4827" t="str">
        <x:v>REGULER</x:v>
      </x:c>
      <x:c r="O4827" t="str">
        <x:v>SAINTEK</x:v>
      </x:c>
      <x:c r="P4827" t="str">
        <x:v>KOMPUTER/INFORMATIKA</x:v>
      </x:c>
      <x:c r="Q4827" s="18" t="n">
        <x:v>0</x:v>
      </x:c>
      <x:c r="R4827" s="18" t="n">
        <x:v>0</x:v>
      </x:c>
      <x:c r="S4827" s="18" t="n">
        <x:v>633.9287107493187</x:v>
      </x:c>
      <x:c r="T4827" s="18" t="n">
        <x:v>689</x:v>
      </x:c>
      <x:c r="U4827" s="18" t="n">
        <x:v>658.9287107493187</x:v>
      </x:c>
      <x:c r="V4827" s="20" t="n">
        <x:v>12</x:v>
      </x:c>
      <x:c r="W4827" s="20" t="n">
        <x:v>5</x:v>
      </x:c>
      <x:c r="X4827" s="20" t="n">
        <x:v>3</x:v>
      </x:c>
      <x:c r="Y4827" t="str">
        <x:v>Basis arsip 2025/2024</x:v>
      </x:c>
      <x:c r="Z4827" t="str">
        <x:v>https://snpmb.id/utbk-snbt/daya-tampung-snbt</x:v>
      </x:c>
      <x:c r="AA4827" t="str">
        <x:v>Tidak Ada</x:v>
      </x:c>
      <x:c r="AB4827" t="str">
        <x:v>Campus=55; Ratio=61.0; Prodi=85; RelDemand=92.2; Capacity=35.8</x:v>
      </x:c>
    </x:row>
    <x:row r="4828">
      <x:c r="A4828" t="n">
        <x:v>4825</x:v>
      </x:c>
      <x:c r="B4828" t="str">
        <x:v>PTKIN</x:v>
      </x:c>
      <x:c r="C4828" t="str">
        <x:v>UIN JAKARTA</x:v>
      </x:c>
      <x:c r="D4828" t="str">
        <x:v>SISTEM INFORMASI</x:v>
      </x:c>
      <x:c r="E4828" t="str">
        <x:v>Sarjana</x:v>
      </x:c>
      <x:c r="F4828" s="18" t="n">
        <x:v>92</x:v>
      </x:c>
      <x:c r="G4828" s="18" t="n">
        <x:v>749</x:v>
      </x:c>
      <x:c r="H4828" s="19" t="n">
        <x:v>8.141304347826088</x:v>
      </x:c>
      <x:c r="I4828" s="18" t="n">
        <x:f>ROUND(MIN(Model_Config_v3!$B$6,MAX(Q4828,R4828,S4828*Model_Config_v3!$B$4+T4828*Model_Config_v3!$B$5)),0)</x:f>
        <x:v>661</x:v>
      </x:c>
      <x:c r="J4828" s="18" t="n">
        <x:f>MIN(Model_Config_v3!$B$6,I4828+Model_Config_v3!$B$7)</x:f>
        <x:v>681</x:v>
      </x:c>
      <x:c r="K4828" s="20" t="n">
        <x:v>58.9</x:v>
      </x:c>
      <x:c r="L4828" t="str">
        <x:v>KETAT</x:v>
      </x:c>
      <x:c r="M4828" t="str">
        <x:v>SEDANG+</x:v>
      </x:c>
      <x:c r="N4828" t="str">
        <x:v>REGULER</x:v>
      </x:c>
      <x:c r="O4828" t="str">
        <x:v>CAMPURAN</x:v>
      </x:c>
      <x:c r="P4828" t="str">
        <x:v>KOMPUTER/INFORMATIKA</x:v>
      </x:c>
      <x:c r="Q4828" s="18" t="n">
        <x:v>0</x:v>
      </x:c>
      <x:c r="R4828" s="18" t="n">
        <x:v>0</x:v>
      </x:c>
      <x:c r="S4828" s="18" t="n">
        <x:v>620.1763389389303</x:v>
      </x:c>
      <x:c r="T4828" s="18" t="n">
        <x:v>678</x:v>
      </x:c>
      <x:c r="U4828" s="18" t="n">
        <x:v>645.1763389389303</x:v>
      </x:c>
      <x:c r="V4828" s="20" t="n">
        <x:v>8.8</x:v>
      </x:c>
      <x:c r="W4828" s="20" t="n">
        <x:v>9.9</x:v>
      </x:c>
      <x:c r="X4828" s="20" t="n">
        <x:v>3.3</x:v>
      </x:c>
      <x:c r="Y4828" t="str">
        <x:v>Basis arsip 2025/2024</x:v>
      </x:c>
      <x:c r="Z4828" t="str">
        <x:v>https://snpmb.id/utbk-snbt/daya-tampung-snbt</x:v>
      </x:c>
      <x:c r="AA4828" t="str">
        <x:v>Tidak Ada</x:v>
      </x:c>
      <x:c r="AB4828" t="str">
        <x:v>Campus=55; Ratio=53.6; Prodi=85; RelDemand=69.1; Capacity=23.3</x:v>
      </x:c>
    </x:row>
    <x:row r="4829">
      <x:c r="A4829" t="n">
        <x:v>4826</x:v>
      </x:c>
      <x:c r="B4829" t="str">
        <x:v>PTKIN</x:v>
      </x:c>
      <x:c r="C4829" t="str">
        <x:v>UIN JAKARTA</x:v>
      </x:c>
      <x:c r="D4829" t="str">
        <x:v>MATEMATIKA</x:v>
      </x:c>
      <x:c r="E4829" t="str">
        <x:v>Sarjana</x:v>
      </x:c>
      <x:c r="F4829" s="18" t="n">
        <x:v>77</x:v>
      </x:c>
      <x:c r="G4829" s="18" t="n">
        <x:v>97</x:v>
      </x:c>
      <x:c r="H4829" s="19" t="n">
        <x:v>1.2597402597402598</x:v>
      </x:c>
      <x:c r="I4829" s="18" t="n">
        <x:f>ROUND(MIN(Model_Config_v3!$B$6,MAX(Q4829,R4829,S4829*Model_Config_v3!$B$4+T4829*Model_Config_v3!$B$5)),0)</x:f>
        <x:v>601</x:v>
      </x:c>
      <x:c r="J4829" s="18" t="n">
        <x:f>MIN(Model_Config_v3!$B$6,I4829+Model_Config_v3!$B$7)</x:f>
        <x:v>621</x:v>
      </x:c>
      <x:c r="K4829" s="20" t="n">
        <x:v>35.4</x:v>
      </x:c>
      <x:c r="L4829" t="str">
        <x:v>RELATIF LONGGAR</x:v>
      </x:c>
      <x:c r="M4829" t="str">
        <x:v>SEDANG+</x:v>
      </x:c>
      <x:c r="N4829" t="str">
        <x:v>REGULER</x:v>
      </x:c>
      <x:c r="O4829" t="str">
        <x:v>SAINTEK</x:v>
      </x:c>
      <x:c r="P4829" t="str">
        <x:v>SAINS DASAR</x:v>
      </x:c>
      <x:c r="Q4829" s="18" t="n">
        <x:v>0</x:v>
      </x:c>
      <x:c r="R4829" s="18" t="n">
        <x:v>0</x:v>
      </x:c>
      <x:c r="S4829" s="18" t="n">
        <x:v>531.030911000314</x:v>
      </x:c>
      <x:c r="T4829" s="18" t="n">
        <x:v>631</x:v>
      </x:c>
      <x:c r="U4829" s="18" t="n">
        <x:v>531.030911000314</x:v>
      </x:c>
      <x:c r="V4829" s="20" t="n">
        <x:v>12</x:v>
      </x:c>
      <x:c r="W4829" s="20" t="n">
        <x:v>5</x:v>
      </x:c>
      <x:c r="X4829" s="20" t="n">
        <x:v>3</x:v>
      </x:c>
      <x:c r="Y4829" t="str">
        <x:v>Basis arsip 2025/2024</x:v>
      </x:c>
      <x:c r="Z4829" t="str">
        <x:v>https://snpmb.id/utbk-snbt/daya-tampung-snbt</x:v>
      </x:c>
      <x:c r="AA4829" t="str">
        <x:v>Tidak Ada</x:v>
      </x:c>
      <x:c r="AB4829" t="str">
        <x:v>Campus=55; Ratio=5.9; Prodi=50; RelDemand=10.7; Capacity=35.8</x:v>
      </x:c>
    </x:row>
    <x:row r="4830">
      <x:c r="A4830" t="n">
        <x:v>4827</x:v>
      </x:c>
      <x:c r="B4830" t="str">
        <x:v>PTKIN</x:v>
      </x:c>
      <x:c r="C4830" t="str">
        <x:v>UIN JAKARTA</x:v>
      </x:c>
      <x:c r="D4830" t="str">
        <x:v>BIOLOGI</x:v>
      </x:c>
      <x:c r="E4830" t="str">
        <x:v>Sarjana</x:v>
      </x:c>
      <x:c r="F4830" s="18" t="n">
        <x:v>77</x:v>
      </x:c>
      <x:c r="G4830" s="18" t="n">
        <x:v>172</x:v>
      </x:c>
      <x:c r="H4830" s="19" t="n">
        <x:v>2.2337662337662336</x:v>
      </x:c>
      <x:c r="I4830" s="18" t="n">
        <x:f>ROUND(MIN(Model_Config_v3!$B$6,MAX(Q4830,R4830,S4830*Model_Config_v3!$B$4+T4830*Model_Config_v3!$B$5)),0)</x:f>
        <x:v>616</x:v>
      </x:c>
      <x:c r="J4830" s="18" t="n">
        <x:f>MIN(Model_Config_v3!$B$6,I4830+Model_Config_v3!$B$7)</x:f>
        <x:v>636</x:v>
      </x:c>
      <x:c r="K4830" s="20" t="n">
        <x:v>39.9</x:v>
      </x:c>
      <x:c r="L4830" t="str">
        <x:v>RELATIF LONGGAR</x:v>
      </x:c>
      <x:c r="M4830" t="str">
        <x:v>SEDANG+</x:v>
      </x:c>
      <x:c r="N4830" t="str">
        <x:v>REGULER</x:v>
      </x:c>
      <x:c r="O4830" t="str">
        <x:v>SAINTEK</x:v>
      </x:c>
      <x:c r="P4830" t="str">
        <x:v>SAINS DASAR</x:v>
      </x:c>
      <x:c r="Q4830" s="18" t="n">
        <x:v>0</x:v>
      </x:c>
      <x:c r="R4830" s="18" t="n">
        <x:v>0</x:v>
      </x:c>
      <x:c r="S4830" s="18" t="n">
        <x:v>558.3941493908574</x:v>
      </x:c>
      <x:c r="T4830" s="18" t="n">
        <x:v>640</x:v>
      </x:c>
      <x:c r="U4830" s="18" t="n">
        <x:v>558.3941493908574</x:v>
      </x:c>
      <x:c r="V4830" s="20" t="n">
        <x:v>12</x:v>
      </x:c>
      <x:c r="W4830" s="20" t="n">
        <x:v>5</x:v>
      </x:c>
      <x:c r="X4830" s="20" t="n">
        <x:v>3</x:v>
      </x:c>
      <x:c r="Y4830" t="str">
        <x:v>Basis arsip 2025/2024</x:v>
      </x:c>
      <x:c r="Z4830" t="str">
        <x:v>https://snpmb.id/utbk-snbt/daya-tampung-snbt</x:v>
      </x:c>
      <x:c r="AA4830" t="str">
        <x:v>Tidak Ada</x:v>
      </x:c>
      <x:c r="AB4830" t="str">
        <x:v>Campus=55; Ratio=20.5; Prodi=50; RelDemand=19.0; Capacity=35.8</x:v>
      </x:c>
    </x:row>
    <x:row r="4831">
      <x:c r="A4831" t="n">
        <x:v>4828</x:v>
      </x:c>
      <x:c r="B4831" t="str">
        <x:v>PTKIN</x:v>
      </x:c>
      <x:c r="C4831" t="str">
        <x:v>UIN JAKARTA</x:v>
      </x:c>
      <x:c r="D4831" t="str">
        <x:v>KIMIA</x:v>
      </x:c>
      <x:c r="E4831" t="str">
        <x:v>Sarjana</x:v>
      </x:c>
      <x:c r="F4831" s="18" t="n">
        <x:v>62</x:v>
      </x:c>
      <x:c r="G4831" s="18" t="n">
        <x:v>119</x:v>
      </x:c>
      <x:c r="H4831" s="19" t="n">
        <x:v>1.9193548387096775</x:v>
      </x:c>
      <x:c r="I4831" s="18" t="n">
        <x:f>ROUND(MIN(Model_Config_v3!$B$6,MAX(Q4831,R4831,S4831*Model_Config_v3!$B$4+T4831*Model_Config_v3!$B$5)),0)</x:f>
        <x:v>613</x:v>
      </x:c>
      <x:c r="J4831" s="18" t="n">
        <x:f>MIN(Model_Config_v3!$B$6,I4831+Model_Config_v3!$B$7)</x:f>
        <x:v>633</x:v>
      </x:c>
      <x:c r="K4831" s="20" t="n">
        <x:v>39.9</x:v>
      </x:c>
      <x:c r="L4831" t="str">
        <x:v>RELATIF LONGGAR</x:v>
      </x:c>
      <x:c r="M4831" t="str">
        <x:v>SEDANG+</x:v>
      </x:c>
      <x:c r="N4831" t="str">
        <x:v>REGULER</x:v>
      </x:c>
      <x:c r="O4831" t="str">
        <x:v>SAINTEK</x:v>
      </x:c>
      <x:c r="P4831" t="str">
        <x:v>SAINS DASAR</x:v>
      </x:c>
      <x:c r="Q4831" s="18" t="n">
        <x:v>0</x:v>
      </x:c>
      <x:c r="R4831" s="18" t="n">
        <x:v>0</x:v>
      </x:c>
      <x:c r="S4831" s="18" t="n">
        <x:v>551.1470799083704</x:v>
      </x:c>
      <x:c r="T4831" s="18" t="n">
        <x:v>640</x:v>
      </x:c>
      <x:c r="U4831" s="18" t="n">
        <x:v>551.1470799083704</x:v>
      </x:c>
      <x:c r="V4831" s="20" t="n">
        <x:v>12</x:v>
      </x:c>
      <x:c r="W4831" s="20" t="n">
        <x:v>5</x:v>
      </x:c>
      <x:c r="X4831" s="20" t="n">
        <x:v>3</x:v>
      </x:c>
      <x:c r="Y4831" t="str">
        <x:v>Basis arsip 2025/2024</x:v>
      </x:c>
      <x:c r="Z4831" t="str">
        <x:v>https://snpmb.id/utbk-snbt/daya-tampung-snbt</x:v>
      </x:c>
      <x:c r="AA4831" t="str">
        <x:v>Tidak Ada</x:v>
      </x:c>
      <x:c r="AB4831" t="str">
        <x:v>Campus=55; Ratio=16.7; Prodi=50; RelDemand=16.3; Capacity=48.3</x:v>
      </x:c>
    </x:row>
    <x:row r="4832">
      <x:c r="A4832" t="n">
        <x:v>4829</x:v>
      </x:c>
      <x:c r="B4832" t="str">
        <x:v>PTKIN</x:v>
      </x:c>
      <x:c r="C4832" t="str">
        <x:v>UIN JAKARTA</x:v>
      </x:c>
      <x:c r="D4832" t="str">
        <x:v>FISIKA</x:v>
      </x:c>
      <x:c r="E4832" t="str">
        <x:v>Sarjana</x:v>
      </x:c>
      <x:c r="F4832" s="18" t="n">
        <x:v>47</x:v>
      </x:c>
      <x:c r="G4832" s="18" t="n">
        <x:v>61</x:v>
      </x:c>
      <x:c r="H4832" s="19" t="n">
        <x:v>1.297872340425532</x:v>
      </x:c>
      <x:c r="I4832" s="18" t="n">
        <x:f>ROUND(MIN(Model_Config_v3!$B$6,MAX(Q4832,R4832,S4832*Model_Config_v3!$B$4+T4832*Model_Config_v3!$B$5)),0)</x:f>
        <x:v>605</x:v>
      </x:c>
      <x:c r="J4832" s="18" t="n">
        <x:f>MIN(Model_Config_v3!$B$6,I4832+Model_Config_v3!$B$7)</x:f>
        <x:v>625</x:v>
      </x:c>
      <x:c r="K4832" s="20" t="n">
        <x:v>38.1</x:v>
      </x:c>
      <x:c r="L4832" t="str">
        <x:v>RELATIF LONGGAR</x:v>
      </x:c>
      <x:c r="M4832" t="str">
        <x:v>SEDANG+</x:v>
      </x:c>
      <x:c r="N4832" t="str">
        <x:v>REGULER</x:v>
      </x:c>
      <x:c r="O4832" t="str">
        <x:v>SAINTEK</x:v>
      </x:c>
      <x:c r="P4832" t="str">
        <x:v>SAINS DASAR</x:v>
      </x:c>
      <x:c r="Q4832" s="18" t="n">
        <x:v>0</x:v>
      </x:c>
      <x:c r="R4832" s="18" t="n">
        <x:v>0</x:v>
      </x:c>
      <x:c r="S4832" s="18" t="n">
        <x:v>532.4555174782555</x:v>
      </x:c>
      <x:c r="T4832" s="18" t="n">
        <x:v>636</x:v>
      </x:c>
      <x:c r="U4832" s="18" t="n">
        <x:v>532.4555174782555</x:v>
      </x:c>
      <x:c r="V4832" s="20" t="n">
        <x:v>12</x:v>
      </x:c>
      <x:c r="W4832" s="20" t="n">
        <x:v>5</x:v>
      </x:c>
      <x:c r="X4832" s="20" t="n">
        <x:v>3</x:v>
      </x:c>
      <x:c r="Y4832" t="str">
        <x:v>Basis arsip 2025/2024</x:v>
      </x:c>
      <x:c r="Z4832" t="str">
        <x:v>https://snpmb.id/utbk-snbt/daya-tampung-snbt</x:v>
      </x:c>
      <x:c r="AA4832" t="str">
        <x:v>Tidak Ada</x:v>
      </x:c>
      <x:c r="AB4832" t="str">
        <x:v>Campus=55; Ratio=6.7; Prodi=50; RelDemand=11.0; Capacity=60.8</x:v>
      </x:c>
    </x:row>
    <x:row r="4833">
      <x:c r="A4833" t="n">
        <x:v>4830</x:v>
      </x:c>
      <x:c r="B4833" t="str">
        <x:v>PTKIN</x:v>
      </x:c>
      <x:c r="C4833" t="str">
        <x:v>UIN JAKARTA</x:v>
      </x:c>
      <x:c r="D4833" t="str">
        <x:v>KESEHATAN MASYARAKAT</x:v>
      </x:c>
      <x:c r="E4833" t="str">
        <x:v>Sarjana</x:v>
      </x:c>
      <x:c r="F4833" s="18" t="n">
        <x:v>92</x:v>
      </x:c>
      <x:c r="G4833" s="18" t="n">
        <x:v>756</x:v>
      </x:c>
      <x:c r="H4833" s="19" t="n">
        <x:v>8.217391304347826</x:v>
      </x:c>
      <x:c r="I4833" s="18" t="n">
        <x:f>ROUND(MIN(Model_Config_v3!$B$6,MAX(Q4833,R4833,S4833*Model_Config_v3!$B$4+T4833*Model_Config_v3!$B$5)),0)</x:f>
        <x:v>652</x:v>
      </x:c>
      <x:c r="J4833" s="18" t="n">
        <x:f>MIN(Model_Config_v3!$B$6,I4833+Model_Config_v3!$B$7)</x:f>
        <x:v>672</x:v>
      </x:c>
      <x:c r="K4833" s="20" t="n">
        <x:v>53</x:v>
      </x:c>
      <x:c r="L4833" t="str">
        <x:v>MENENGAH</x:v>
      </x:c>
      <x:c r="M4833" t="str">
        <x:v>SEDANG+</x:v>
      </x:c>
      <x:c r="N4833" t="str">
        <x:v>REGULER</x:v>
      </x:c>
      <x:c r="O4833" t="str">
        <x:v>SAINTEK</x:v>
      </x:c>
      <x:c r="P4833" t="str">
        <x:v>KESEHAT/GIZI/KEPERAWATAN</x:v>
      </x:c>
      <x:c r="Q4833" s="18" t="n">
        <x:v>0</x:v>
      </x:c>
      <x:c r="R4833" s="18" t="n">
        <x:v>0</x:v>
      </x:c>
      <x:c r="S4833" s="18" t="n">
        <x:v>620.6207364971217</x:v>
      </x:c>
      <x:c r="T4833" s="18" t="n">
        <x:v>666</x:v>
      </x:c>
      <x:c r="U4833" s="18" t="n">
        <x:v>620.6207364971217</x:v>
      </x:c>
      <x:c r="V4833" s="20" t="n">
        <x:v>12</x:v>
      </x:c>
      <x:c r="W4833" s="20" t="n">
        <x:v>5</x:v>
      </x:c>
      <x:c r="X4833" s="20" t="n">
        <x:v>3</x:v>
      </x:c>
      <x:c r="Y4833" t="str">
        <x:v>Basis arsip 2025/2024</x:v>
      </x:c>
      <x:c r="Z4833" t="str">
        <x:v>https://snpmb.id/utbk-snbt/daya-tampung-snbt</x:v>
      </x:c>
      <x:c r="AA4833" t="str">
        <x:v>Tidak Ada</x:v>
      </x:c>
      <x:c r="AB4833" t="str">
        <x:v>Campus=55; Ratio=53.8; Prodi=55; RelDemand=69.8; Capacity=23.3</x:v>
      </x:c>
    </x:row>
    <x:row r="4834">
      <x:c r="A4834" t="n">
        <x:v>4831</x:v>
      </x:c>
      <x:c r="B4834" t="str">
        <x:v>PTKIN</x:v>
      </x:c>
      <x:c r="C4834" t="str">
        <x:v>UIN JAKARTA</x:v>
      </x:c>
      <x:c r="D4834" t="str">
        <x:v>FARMASI</x:v>
      </x:c>
      <x:c r="E4834" t="str">
        <x:v>Sarjana</x:v>
      </x:c>
      <x:c r="F4834" s="18" t="n">
        <x:v>77</x:v>
      </x:c>
      <x:c r="G4834" s="18" t="n">
        <x:v>788</x:v>
      </x:c>
      <x:c r="H4834" s="19" t="n">
        <x:v>10.233766233766234</x:v>
      </x:c>
      <x:c r="I4834" s="18" t="n">
        <x:f>ROUND(MIN(Model_Config_v3!$B$6,MAX(Q4834,R4834,S4834*Model_Config_v3!$B$4+T4834*Model_Config_v3!$B$5)),0)</x:f>
        <x:v>667</x:v>
      </x:c>
      <x:c r="J4834" s="18" t="n">
        <x:f>MIN(Model_Config_v3!$B$6,I4834+Model_Config_v3!$B$7)</x:f>
        <x:v>687</x:v>
      </x:c>
      <x:c r="K4834" s="20" t="n">
        <x:v>61.4</x:v>
      </x:c>
      <x:c r="L4834" t="str">
        <x:v>KETAT</x:v>
      </x:c>
      <x:c r="M4834" t="str">
        <x:v>SEDANG+</x:v>
      </x:c>
      <x:c r="N4834" t="str">
        <x:v>REGULER</x:v>
      </x:c>
      <x:c r="O4834" t="str">
        <x:v>SAINTEK</x:v>
      </x:c>
      <x:c r="P4834" t="str">
        <x:v>FARMASI</x:v>
      </x:c>
      <x:c r="Q4834" s="18" t="n">
        <x:v>0</x:v>
      </x:c>
      <x:c r="R4834" s="18" t="n">
        <x:v>0</x:v>
      </x:c>
      <x:c r="S4834" s="18" t="n">
        <x:v>631.103904154878</x:v>
      </x:c>
      <x:c r="T4834" s="18" t="n">
        <x:v>683</x:v>
      </x:c>
      <x:c r="U4834" s="18" t="n">
        <x:v>651.103904154878</x:v>
      </x:c>
      <x:c r="V4834" s="20" t="n">
        <x:v>12</x:v>
      </x:c>
      <x:c r="W4834" s="20" t="n">
        <x:v>5</x:v>
      </x:c>
      <x:c r="X4834" s="20" t="n">
        <x:v>3</x:v>
      </x:c>
      <x:c r="Y4834" t="str">
        <x:v>Basis arsip 2025/2024</x:v>
      </x:c>
      <x:c r="Z4834" t="str">
        <x:v>https://snpmb.id/utbk-snbt/daya-tampung-snbt</x:v>
      </x:c>
      <x:c r="AA4834" t="str">
        <x:v>Tidak Ada</x:v>
      </x:c>
      <x:c r="AB4834" t="str">
        <x:v>Campus=55; Ratio=59.4; Prodi=75; RelDemand=86.9; Capacity=35.8</x:v>
      </x:c>
    </x:row>
    <x:row r="4835">
      <x:c r="A4835" t="n">
        <x:v>4832</x:v>
      </x:c>
      <x:c r="B4835" t="str">
        <x:v>PTKIN</x:v>
      </x:c>
      <x:c r="C4835" t="str">
        <x:v>UIN JAKARTA</x:v>
      </x:c>
      <x:c r="D4835" t="str">
        <x:v>ILMU KEPERAWATAN</x:v>
      </x:c>
      <x:c r="E4835" t="str">
        <x:v>Sarjana</x:v>
      </x:c>
      <x:c r="F4835" s="18" t="n">
        <x:v>77</x:v>
      </x:c>
      <x:c r="G4835" s="18" t="n">
        <x:v>656</x:v>
      </x:c>
      <x:c r="H4835" s="19" t="n">
        <x:v>8.519480519480519</x:v>
      </x:c>
      <x:c r="I4835" s="18" t="n">
        <x:f>ROUND(MIN(Model_Config_v3!$B$6,MAX(Q4835,R4835,S4835*Model_Config_v3!$B$4+T4835*Model_Config_v3!$B$5)),0)</x:f>
        <x:v>656</x:v>
      </x:c>
      <x:c r="J4835" s="18" t="n">
        <x:f>MIN(Model_Config_v3!$B$6,I4835+Model_Config_v3!$B$7)</x:f>
        <x:v>676</x:v>
      </x:c>
      <x:c r="K4835" s="20" t="n">
        <x:v>54.8</x:v>
      </x:c>
      <x:c r="L4835" t="str">
        <x:v>MENENGAH</x:v>
      </x:c>
      <x:c r="M4835" t="str">
        <x:v>SEDANG+</x:v>
      </x:c>
      <x:c r="N4835" t="str">
        <x:v>REGULER</x:v>
      </x:c>
      <x:c r="O4835" t="str">
        <x:v>SAINTEK</x:v>
      </x:c>
      <x:c r="P4835" t="str">
        <x:v>KESEHAT/GIZI/KEPERAWATAN</x:v>
      </x:c>
      <x:c r="Q4835" s="18" t="n">
        <x:v>0</x:v>
      </x:c>
      <x:c r="R4835" s="18" t="n">
        <x:v>0</x:v>
      </x:c>
      <x:c r="S4835" s="18" t="n">
        <x:v>622.3454425623496</x:v>
      </x:c>
      <x:c r="T4835" s="18" t="n">
        <x:v>670</x:v>
      </x:c>
      <x:c r="U4835" s="18" t="n">
        <x:v>622.3454425623496</x:v>
      </x:c>
      <x:c r="V4835" s="20" t="n">
        <x:v>12</x:v>
      </x:c>
      <x:c r="W4835" s="20" t="n">
        <x:v>5</x:v>
      </x:c>
      <x:c r="X4835" s="20" t="n">
        <x:v>3</x:v>
      </x:c>
      <x:c r="Y4835" t="str">
        <x:v>Basis arsip 2025/2024</x:v>
      </x:c>
      <x:c r="Z4835" t="str">
        <x:v>https://snpmb.id/utbk-snbt/daya-tampung-snbt</x:v>
      </x:c>
      <x:c r="AA4835" t="str">
        <x:v>Tidak Ada</x:v>
      </x:c>
      <x:c r="AB4835" t="str">
        <x:v>Campus=55; Ratio=54.8; Prodi=55; RelDemand=72.3; Capacity=35.8</x:v>
      </x:c>
    </x:row>
    <x:row r="4836">
      <x:c r="A4836" t="n">
        <x:v>4833</x:v>
      </x:c>
      <x:c r="B4836" t="str">
        <x:v>PTKIN</x:v>
      </x:c>
      <x:c r="C4836" t="str">
        <x:v>UIN JAKARTA</x:v>
      </x:c>
      <x:c r="D4836" t="str">
        <x:v>PENDIDIKAN DOKTER</x:v>
      </x:c>
      <x:c r="E4836" t="str">
        <x:v>Sarjana</x:v>
      </x:c>
      <x:c r="F4836" s="18" t="n">
        <x:v>77</x:v>
      </x:c>
      <x:c r="G4836" s="18" t="n">
        <x:v>1323</x:v>
      </x:c>
      <x:c r="H4836" s="19" t="n">
        <x:v>17.181818181818183</x:v>
      </x:c>
      <x:c r="I4836" s="18" t="n">
        <x:f>ROUND(MIN(Model_Config_v3!$B$6,MAX(Q4836,R4836,S4836*Model_Config_v3!$B$4+T4836*Model_Config_v3!$B$5)),0)</x:f>
        <x:v>688</x:v>
      </x:c>
      <x:c r="J4836" s="18" t="n">
        <x:f>MIN(Model_Config_v3!$B$6,I4836+Model_Config_v3!$B$7)</x:f>
        <x:v>708</x:v>
      </x:c>
      <x:c r="K4836" s="20" t="n">
        <x:v>71</x:v>
      </x:c>
      <x:c r="L4836" t="str">
        <x:v>SANGAT KETAT</x:v>
      </x:c>
      <x:c r="M4836" t="str">
        <x:v>SEDANG+</x:v>
      </x:c>
      <x:c r="N4836" t="str">
        <x:v>REGULER</x:v>
      </x:c>
      <x:c r="O4836" t="str">
        <x:v>SAINTEK</x:v>
      </x:c>
      <x:c r="P4836" t="str">
        <x:v>KEDOKTERAN</x:v>
      </x:c>
      <x:c r="Q4836" s="18" t="n">
        <x:v>0</x:v>
      </x:c>
      <x:c r="R4836" s="18" t="n">
        <x:v>680</x:v>
      </x:c>
      <x:c r="S4836" s="18" t="n">
        <x:v>655.8576030916521</x:v>
      </x:c>
      <x:c r="T4836" s="18" t="n">
        <x:v>702</x:v>
      </x:c>
      <x:c r="U4836" s="18" t="n">
        <x:v>695.8576030916521</x:v>
      </x:c>
      <x:c r="V4836" s="20" t="n">
        <x:v>12</x:v>
      </x:c>
      <x:c r="W4836" s="20" t="n">
        <x:v>5</x:v>
      </x:c>
      <x:c r="X4836" s="20" t="n">
        <x:v>3</x:v>
      </x:c>
      <x:c r="Y4836" t="str">
        <x:v>Basis arsip 2025/2024</x:v>
      </x:c>
      <x:c r="Z4836" t="str">
        <x:v>https://snpmb.id/utbk-snbt/daya-tampung-snbt</x:v>
      </x:c>
      <x:c r="AA4836" t="str">
        <x:v>Tidak Ada</x:v>
      </x:c>
      <x:c r="AB4836" t="str">
        <x:v>Campus=55; Ratio=72.7; Prodi=100; RelDemand=100.0; Capacity=35.8</x:v>
      </x:c>
    </x:row>
    <x:row r="4837">
      <x:c r="A4837" t="n">
        <x:v>4834</x:v>
      </x:c>
      <x:c r="B4837" t="str">
        <x:v>PTKIN</x:v>
      </x:c>
      <x:c r="C4837" t="str">
        <x:v>UIN JAKARTA</x:v>
      </x:c>
      <x:c r="D4837" t="str">
        <x:v>PENDIDIKAN MATEMATIKA</x:v>
      </x:c>
      <x:c r="E4837" t="str">
        <x:v>Sarjana</x:v>
      </x:c>
      <x:c r="F4837" s="18" t="n">
        <x:v>77</x:v>
      </x:c>
      <x:c r="G4837" s="18" t="n">
        <x:v>124</x:v>
      </x:c>
      <x:c r="H4837" s="19" t="n">
        <x:v>1.6103896103896105</x:v>
      </x:c>
      <x:c r="I4837" s="18" t="n">
        <x:f>ROUND(MIN(Model_Config_v3!$B$6,MAX(Q4837,R4837,S4837*Model_Config_v3!$B$4+T4837*Model_Config_v3!$B$5)),0)</x:f>
        <x:v>605</x:v>
      </x:c>
      <x:c r="J4837" s="18" t="n">
        <x:f>MIN(Model_Config_v3!$B$6,I4837+Model_Config_v3!$B$7)</x:f>
        <x:v>625</x:v>
      </x:c>
      <x:c r="K4837" s="20" t="n">
        <x:v>36.2</x:v>
      </x:c>
      <x:c r="L4837" t="str">
        <x:v>RELATIF LONGGAR</x:v>
      </x:c>
      <x:c r="M4837" t="str">
        <x:v>SEDANG+</x:v>
      </x:c>
      <x:c r="N4837" t="str">
        <x:v>REGULER</x:v>
      </x:c>
      <x:c r="O4837" t="str">
        <x:v>SAINTEK</x:v>
      </x:c>
      <x:c r="P4837" t="str">
        <x:v>PENDIDIKAN</x:v>
      </x:c>
      <x:c r="Q4837" s="18" t="n">
        <x:v>0</x:v>
      </x:c>
      <x:c r="R4837" s="18" t="n">
        <x:v>0</x:v>
      </x:c>
      <x:c r="S4837" s="18" t="n">
        <x:v>542.7624055988729</x:v>
      </x:c>
      <x:c r="T4837" s="18" t="n">
        <x:v>632</x:v>
      </x:c>
      <x:c r="U4837" s="18" t="n">
        <x:v>542.7624055988729</x:v>
      </x:c>
      <x:c r="V4837" s="20" t="n">
        <x:v>12</x:v>
      </x:c>
      <x:c r="W4837" s="20" t="n">
        <x:v>5</x:v>
      </x:c>
      <x:c r="X4837" s="20" t="n">
        <x:v>3</x:v>
      </x:c>
      <x:c r="Y4837" t="str">
        <x:v>Basis arsip 2025/2024</x:v>
      </x:c>
      <x:c r="Z4837" t="str">
        <x:v>https://snpmb.id/utbk-snbt/daya-tampung-snbt</x:v>
      </x:c>
      <x:c r="AA4837" t="str">
        <x:v>Tidak Ada</x:v>
      </x:c>
      <x:c r="AB4837" t="str">
        <x:v>Campus=55; Ratio=12.2; Prodi=45; RelDemand=13.7; Capacity=35.8</x:v>
      </x:c>
    </x:row>
    <x:row r="4838">
      <x:c r="A4838" t="n">
        <x:v>4835</x:v>
      </x:c>
      <x:c r="B4838" t="str">
        <x:v>PTKIN</x:v>
      </x:c>
      <x:c r="C4838" t="str">
        <x:v>UIN JAKARTA</x:v>
      </x:c>
      <x:c r="D4838" t="str">
        <x:v>PENDIDIKAN KIMIA</x:v>
      </x:c>
      <x:c r="E4838" t="str">
        <x:v>Sarjana</x:v>
      </x:c>
      <x:c r="F4838" s="18" t="n">
        <x:v>47</x:v>
      </x:c>
      <x:c r="G4838" s="18" t="n">
        <x:v>54</x:v>
      </x:c>
      <x:c r="H4838" s="19" t="n">
        <x:v>1.148936170212766</x:v>
      </x:c>
      <x:c r="I4838" s="18" t="n">
        <x:f>ROUND(MIN(Model_Config_v3!$B$6,MAX(Q4838,R4838,S4838*Model_Config_v3!$B$4+T4838*Model_Config_v3!$B$5)),0)</x:f>
        <x:v>600</x:v>
      </x:c>
      <x:c r="J4838" s="18" t="n">
        <x:f>MIN(Model_Config_v3!$B$6,I4838+Model_Config_v3!$B$7)</x:f>
        <x:v>620</x:v>
      </x:c>
      <x:c r="K4838" s="20" t="n">
        <x:v>36.2</x:v>
      </x:c>
      <x:c r="L4838" t="str">
        <x:v>RELATIF LONGGAR</x:v>
      </x:c>
      <x:c r="M4838" t="str">
        <x:v>SEDANG+</x:v>
      </x:c>
      <x:c r="N4838" t="str">
        <x:v>REGULER</x:v>
      </x:c>
      <x:c r="O4838" t="str">
        <x:v>SAINTEK</x:v>
      </x:c>
      <x:c r="P4838" t="str">
        <x:v>PENDIDIKAN</x:v>
      </x:c>
      <x:c r="Q4838" s="18" t="n">
        <x:v>0</x:v>
      </x:c>
      <x:c r="R4838" s="18" t="n">
        <x:v>0</x:v>
      </x:c>
      <x:c r="S4838" s="18" t="n">
        <x:v>526.6325492075977</x:v>
      </x:c>
      <x:c r="T4838" s="18" t="n">
        <x:v>632</x:v>
      </x:c>
      <x:c r="U4838" s="18" t="n">
        <x:v>526.6325492075977</x:v>
      </x:c>
      <x:c r="V4838" s="20" t="n">
        <x:v>12</x:v>
      </x:c>
      <x:c r="W4838" s="20" t="n">
        <x:v>5</x:v>
      </x:c>
      <x:c r="X4838" s="20" t="n">
        <x:v>3</x:v>
      </x:c>
      <x:c r="Y4838" t="str">
        <x:v>Basis arsip 2025/2024</x:v>
      </x:c>
      <x:c r="Z4838" t="str">
        <x:v>https://snpmb.id/utbk-snbt/daya-tampung-snbt</x:v>
      </x:c>
      <x:c r="AA4838" t="str">
        <x:v>Tidak Ada</x:v>
      </x:c>
      <x:c r="AB4838" t="str">
        <x:v>Campus=55; Ratio=3.5; Prodi=45; RelDemand=9.8; Capacity=60.8</x:v>
      </x:c>
    </x:row>
    <x:row r="4839">
      <x:c r="A4839" t="n">
        <x:v>4836</x:v>
      </x:c>
      <x:c r="B4839" t="str">
        <x:v>PTKIN</x:v>
      </x:c>
      <x:c r="C4839" t="str">
        <x:v>UIN JAKARTA</x:v>
      </x:c>
      <x:c r="D4839" t="str">
        <x:v>TEKNIK PERTAMBANGAN</x:v>
      </x:c>
      <x:c r="E4839" t="str">
        <x:v>Sarjana</x:v>
      </x:c>
      <x:c r="F4839" s="18" t="n">
        <x:v>62</x:v>
      </x:c>
      <x:c r="G4839" s="18" t="n">
        <x:v>425</x:v>
      </x:c>
      <x:c r="H4839" s="19" t="n">
        <x:v>6.854838709677419</x:v>
      </x:c>
      <x:c r="I4839" s="18" t="n">
        <x:f>ROUND(MIN(Model_Config_v3!$B$6,MAX(Q4839,R4839,S4839*Model_Config_v3!$B$4+T4839*Model_Config_v3!$B$5)),0)</x:f>
        <x:v>651</x:v>
      </x:c>
      <x:c r="J4839" s="18" t="n">
        <x:f>MIN(Model_Config_v3!$B$6,I4839+Model_Config_v3!$B$7)</x:f>
        <x:v>671</x:v>
      </x:c>
      <x:c r="K4839" s="20" t="n">
        <x:v>54.2</x:v>
      </x:c>
      <x:c r="L4839" t="str">
        <x:v>MENENGAH</x:v>
      </x:c>
      <x:c r="M4839" t="str">
        <x:v>SEDANG+</x:v>
      </x:c>
      <x:c r="N4839" t="str">
        <x:v>REGULER</x:v>
      </x:c>
      <x:c r="O4839" t="str">
        <x:v>SAINTEK</x:v>
      </x:c>
      <x:c r="P4839" t="str">
        <x:v>TEKNIK/ARSITEKTUR/STATISTIKA/AKTUARIA</x:v>
      </x:c>
      <x:c r="Q4839" s="18" t="n">
        <x:v>0</x:v>
      </x:c>
      <x:c r="R4839" s="18" t="n">
        <x:v>0</x:v>
      </x:c>
      <x:c r="S4839" s="18" t="n">
        <x:v>611.9596964607264</x:v>
      </x:c>
      <x:c r="T4839" s="18" t="n">
        <x:v>668</x:v>
      </x:c>
      <x:c r="U4839" s="18" t="n">
        <x:v>621.9596964607264</x:v>
      </x:c>
      <x:c r="V4839" s="20" t="n">
        <x:v>12</x:v>
      </x:c>
      <x:c r="W4839" s="20" t="n">
        <x:v>5</x:v>
      </x:c>
      <x:c r="X4839" s="20" t="n">
        <x:v>3</x:v>
      </x:c>
      <x:c r="Y4839" t="str">
        <x:v>Basis arsip 2025/2024</x:v>
      </x:c>
      <x:c r="Z4839" t="str">
        <x:v>https://snpmb.id/utbk-snbt/daya-tampung-snbt</x:v>
      </x:c>
      <x:c r="AA4839" t="str">
        <x:v>Tidak Ada</x:v>
      </x:c>
      <x:c r="AB4839" t="str">
        <x:v>Campus=55; Ratio=49.2; Prodi=60; RelDemand=58.2; Capacity=48.3</x:v>
      </x:c>
    </x:row>
    <x:row r="4840">
      <x:c r="A4840" t="n">
        <x:v>4837</x:v>
      </x:c>
      <x:c r="B4840" t="str">
        <x:v>PTKIN</x:v>
      </x:c>
      <x:c r="C4840" t="str">
        <x:v>UIN JAKARTA</x:v>
      </x:c>
      <x:c r="D4840" t="str">
        <x:v>AKUNTANSI</x:v>
      </x:c>
      <x:c r="E4840" t="str">
        <x:v>Sarjana</x:v>
      </x:c>
      <x:c r="F4840" s="18" t="n">
        <x:v>97</x:v>
      </x:c>
      <x:c r="G4840" s="18" t="n">
        <x:v>716</x:v>
      </x:c>
      <x:c r="H4840" s="19" t="n">
        <x:v>7.381443298969073</x:v>
      </x:c>
      <x:c r="I4840" s="18" t="n">
        <x:f>ROUND(MIN(Model_Config_v3!$B$6,MAX(Q4840,R4840,S4840*Model_Config_v3!$B$4+T4840*Model_Config_v3!$B$5)),0)</x:f>
        <x:v>651</x:v>
      </x:c>
      <x:c r="J4840" s="18" t="n">
        <x:f>MIN(Model_Config_v3!$B$6,I4840+Model_Config_v3!$B$7)</x:f>
        <x:v>671</x:v>
      </x:c>
      <x:c r="K4840" s="20" t="n">
        <x:v>53.2</x:v>
      </x:c>
      <x:c r="L4840" t="str">
        <x:v>MENENGAH</x:v>
      </x:c>
      <x:c r="M4840" t="str">
        <x:v>SEDANG+</x:v>
      </x:c>
      <x:c r="N4840" t="str">
        <x:v>REGULER</x:v>
      </x:c>
      <x:c r="O4840" t="str">
        <x:v>SOSHUM</x:v>
      </x:c>
      <x:c r="P4840" t="str">
        <x:v>BISNIS/EKONOMI/AKUNTANSI</x:v>
      </x:c>
      <x:c r="Q4840" s="18" t="n">
        <x:v>0</x:v>
      </x:c>
      <x:c r="R4840" s="18" t="n">
        <x:v>0</x:v>
      </x:c>
      <x:c r="S4840" s="18" t="n">
        <x:v>615.4955416845771</x:v>
      </x:c>
      <x:c r="T4840" s="18" t="n">
        <x:v>666</x:v>
      </x:c>
      <x:c r="U4840" s="18" t="n">
        <x:v>615.4955416845771</x:v>
      </x:c>
      <x:c r="V4840" s="20" t="n">
        <x:v>4.4</x:v>
      </x:c>
      <x:c r="W4840" s="20" t="n">
        <x:v>14.3</x:v>
      </x:c>
      <x:c r="X4840" s="20" t="n">
        <x:v>3.3</x:v>
      </x:c>
      <x:c r="Y4840" t="str">
        <x:v>Basis arsip 2025/2024</x:v>
      </x:c>
      <x:c r="Z4840" t="str">
        <x:v>https://snpmb.id/utbk-snbt/daya-tampung-snbt</x:v>
      </x:c>
      <x:c r="AA4840" t="str">
        <x:v>Tidak Ada</x:v>
      </x:c>
      <x:c r="AB4840" t="str">
        <x:v>Campus=55; Ratio=51.1; Prodi=65; RelDemand=62.7; Capacity=19.2</x:v>
      </x:c>
    </x:row>
    <x:row r="4841">
      <x:c r="A4841" t="n">
        <x:v>4838</x:v>
      </x:c>
      <x:c r="B4841" t="str">
        <x:v>PTKIN</x:v>
      </x:c>
      <x:c r="C4841" t="str">
        <x:v>UIN JAKARTA</x:v>
      </x:c>
      <x:c r="D4841" t="str">
        <x:v>ILMU EKONOMI DAN STUDI PEMBANGUNAN</x:v>
      </x:c>
      <x:c r="E4841" t="str">
        <x:v>Sarjana</x:v>
      </x:c>
      <x:c r="F4841" s="18" t="n">
        <x:v>77</x:v>
      </x:c>
      <x:c r="G4841" s="18" t="n">
        <x:v>539</x:v>
      </x:c>
      <x:c r="H4841" s="19" t="n">
        <x:v>7</x:v>
      </x:c>
      <x:c r="I4841" s="18" t="n">
        <x:f>ROUND(MIN(Model_Config_v3!$B$6,MAX(Q4841,R4841,S4841*Model_Config_v3!$B$4+T4841*Model_Config_v3!$B$5)),0)</x:f>
        <x:v>651</x:v>
      </x:c>
      <x:c r="J4841" s="18" t="n">
        <x:f>MIN(Model_Config_v3!$B$6,I4841+Model_Config_v3!$B$7)</x:f>
        <x:v>671</x:v>
      </x:c>
      <x:c r="K4841" s="20" t="n">
        <x:v>54.2</x:v>
      </x:c>
      <x:c r="L4841" t="str">
        <x:v>MENENGAH</x:v>
      </x:c>
      <x:c r="M4841" t="str">
        <x:v>SEDANG+</x:v>
      </x:c>
      <x:c r="N4841" t="str">
        <x:v>REGULER</x:v>
      </x:c>
      <x:c r="O4841" t="str">
        <x:v>SOSHUM</x:v>
      </x:c>
      <x:c r="P4841" t="str">
        <x:v>BISNIS/EKONOMI/AKUNTANSI</x:v>
      </x:c>
      <x:c r="Q4841" s="18" t="n">
        <x:v>0</x:v>
      </x:c>
      <x:c r="R4841" s="18" t="n">
        <x:v>0</x:v>
      </x:c>
      <x:c r="S4841" s="18" t="n">
        <x:v>612.9607844015683</x:v>
      </x:c>
      <x:c r="T4841" s="18" t="n">
        <x:v>668</x:v>
      </x:c>
      <x:c r="U4841" s="18" t="n">
        <x:v>612.9607844015683</x:v>
      </x:c>
      <x:c r="V4841" s="20" t="n">
        <x:v>4.4</x:v>
      </x:c>
      <x:c r="W4841" s="20" t="n">
        <x:v>14.3</x:v>
      </x:c>
      <x:c r="X4841" s="20" t="n">
        <x:v>3.3</x:v>
      </x:c>
      <x:c r="Y4841" t="str">
        <x:v>Basis arsip 2025/2024</x:v>
      </x:c>
      <x:c r="Z4841" t="str">
        <x:v>https://snpmb.id/utbk-snbt/daya-tampung-snbt</x:v>
      </x:c>
      <x:c r="AA4841" t="str">
        <x:v>Tidak Ada</x:v>
      </x:c>
      <x:c r="AB4841" t="str">
        <x:v>Campus=55; Ratio=49.7; Prodi=65; RelDemand=59.4; Capacity=35.8</x:v>
      </x:c>
    </x:row>
    <x:row r="4842">
      <x:c r="A4842" t="n">
        <x:v>4839</x:v>
      </x:c>
      <x:c r="B4842" t="str">
        <x:v>PTKIN</x:v>
      </x:c>
      <x:c r="C4842" t="str">
        <x:v>UIN JAKARTA</x:v>
      </x:c>
      <x:c r="D4842" t="str">
        <x:v>ILMU HUBUNGAN INTERNASIONAL</x:v>
      </x:c>
      <x:c r="E4842" t="str">
        <x:v>Sarjana</x:v>
      </x:c>
      <x:c r="F4842" s="18" t="n">
        <x:v>90</x:v>
      </x:c>
      <x:c r="G4842" s="18" t="n">
        <x:v>596</x:v>
      </x:c>
      <x:c r="H4842" s="19" t="n">
        <x:v>6.622222222222222</x:v>
      </x:c>
      <x:c r="I4842" s="18" t="n">
        <x:f>ROUND(MIN(Model_Config_v3!$B$6,MAX(Q4842,R4842,S4842*Model_Config_v3!$B$4+T4842*Model_Config_v3!$B$5)),0)</x:f>
        <x:v>642</x:v>
      </x:c>
      <x:c r="J4842" s="18" t="n">
        <x:f>MIN(Model_Config_v3!$B$6,I4842+Model_Config_v3!$B$7)</x:f>
        <x:v>662</x:v>
      </x:c>
      <x:c r="K4842" s="20" t="n">
        <x:v>47.5</x:v>
      </x:c>
      <x:c r="L4842" t="str">
        <x:v>MENENGAH</x:v>
      </x:c>
      <x:c r="M4842" t="str">
        <x:v>SEDANG</x:v>
      </x:c>
      <x:c r="N4842" t="str">
        <x:v>REGULER</x:v>
      </x:c>
      <x:c r="O4842" t="str">
        <x:v>SOSHUM</x:v>
      </x:c>
      <x:c r="P4842" t="str">
        <x:v>UMUM</x:v>
      </x:c>
      <x:c r="Q4842" s="18" t="n">
        <x:v>0</x:v>
      </x:c>
      <x:c r="R4842" s="18" t="n">
        <x:v>0</x:v>
      </x:c>
      <x:c r="S4842" s="18" t="n">
        <x:v>610.3104125331002</x:v>
      </x:c>
      <x:c r="T4842" s="18" t="n">
        <x:v>655</x:v>
      </x:c>
      <x:c r="U4842" s="18" t="n">
        <x:v>610.3104125331002</x:v>
      </x:c>
      <x:c r="V4842" s="20" t="n">
        <x:v>4.4</x:v>
      </x:c>
      <x:c r="W4842" s="20" t="n">
        <x:v>14.3</x:v>
      </x:c>
      <x:c r="X4842" s="20" t="n">
        <x:v>3.3</x:v>
      </x:c>
      <x:c r="Y4842" t="str">
        <x:v>Basis arsip 2025/2024</x:v>
      </x:c>
      <x:c r="Z4842" t="str">
        <x:v>https://snpmb.id/utbk-snbt/daya-tampung-snbt</x:v>
      </x:c>
      <x:c r="AA4842" t="str">
        <x:v>Tidak Ada</x:v>
      </x:c>
      <x:c r="AB4842" t="str">
        <x:v>Campus=55; Ratio=48.3; Prodi=40; RelDemand=56.2; Capacity=25.0</x:v>
      </x:c>
    </x:row>
    <x:row r="4843">
      <x:c r="A4843" t="n">
        <x:v>4840</x:v>
      </x:c>
      <x:c r="B4843" t="str">
        <x:v>PTKIN</x:v>
      </x:c>
      <x:c r="C4843" t="str">
        <x:v>UIN JAKARTA</x:v>
      </x:c>
      <x:c r="D4843" t="str">
        <x:v>ILMU HUKUM</x:v>
      </x:c>
      <x:c r="E4843" t="str">
        <x:v>Sarjana</x:v>
      </x:c>
      <x:c r="F4843" s="18" t="n">
        <x:v>96</x:v>
      </x:c>
      <x:c r="G4843" s="18" t="n">
        <x:v>623</x:v>
      </x:c>
      <x:c r="H4843" s="19" t="n">
        <x:v>6.489583333333333</x:v>
      </x:c>
      <x:c r="I4843" s="18" t="n">
        <x:f>ROUND(MIN(Model_Config_v3!$B$6,MAX(Q4843,R4843,S4843*Model_Config_v3!$B$4+T4843*Model_Config_v3!$B$5)),0)</x:f>
        <x:v>647</x:v>
      </x:c>
      <x:c r="J4843" s="18" t="n">
        <x:f>MIN(Model_Config_v3!$B$6,I4843+Model_Config_v3!$B$7)</x:f>
        <x:v>667</x:v>
      </x:c>
      <x:c r="K4843" s="20" t="n">
        <x:v>51.7</x:v>
      </x:c>
      <x:c r="L4843" t="str">
        <x:v>MENENGAH</x:v>
      </x:c>
      <x:c r="M4843" t="str">
        <x:v>SEDANG+</x:v>
      </x:c>
      <x:c r="N4843" t="str">
        <x:v>REGULER</x:v>
      </x:c>
      <x:c r="O4843" t="str">
        <x:v>SOSHUM</x:v>
      </x:c>
      <x:c r="P4843" t="str">
        <x:v>HUKUM</x:v>
      </x:c>
      <x:c r="Q4843" s="18" t="n">
        <x:v>0</x:v>
      </x:c>
      <x:c r="R4843" s="18" t="n">
        <x:v>0</x:v>
      </x:c>
      <x:c r="S4843" s="18" t="n">
        <x:v>609.3438494981561</x:v>
      </x:c>
      <x:c r="T4843" s="18" t="n">
        <x:v>663</x:v>
      </x:c>
      <x:c r="U4843" s="18" t="n">
        <x:v>624.3438494981561</x:v>
      </x:c>
      <x:c r="V4843" s="20" t="n">
        <x:v>4.4</x:v>
      </x:c>
      <x:c r="W4843" s="20" t="n">
        <x:v>14.3</x:v>
      </x:c>
      <x:c r="X4843" s="20" t="n">
        <x:v>3.3</x:v>
      </x:c>
      <x:c r="Y4843" t="str">
        <x:v>Basis arsip 2025/2024</x:v>
      </x:c>
      <x:c r="Z4843" t="str">
        <x:v>https://snpmb.id/utbk-snbt/daya-tampung-snbt</x:v>
      </x:c>
      <x:c r="AA4843" t="str">
        <x:v>Tidak Ada</x:v>
      </x:c>
      <x:c r="AB4843" t="str">
        <x:v>Campus=55; Ratio=47.8; Prodi=65; RelDemand=55.1; Capacity=20.0</x:v>
      </x:c>
    </x:row>
    <x:row r="4844">
      <x:c r="A4844" t="n">
        <x:v>4841</x:v>
      </x:c>
      <x:c r="B4844" t="str">
        <x:v>PTKIN</x:v>
      </x:c>
      <x:c r="C4844" t="str">
        <x:v>UIN JAKARTA</x:v>
      </x:c>
      <x:c r="D4844" t="str">
        <x:v>ILMU PERPUSTAKAAN</x:v>
      </x:c>
      <x:c r="E4844" t="str">
        <x:v>Sarjana</x:v>
      </x:c>
      <x:c r="F4844" s="18" t="n">
        <x:v>92</x:v>
      </x:c>
      <x:c r="G4844" s="18" t="n">
        <x:v>369</x:v>
      </x:c>
      <x:c r="H4844" s="19" t="n">
        <x:v>4.010869565217392</x:v>
      </x:c>
      <x:c r="I4844" s="18" t="n">
        <x:f>ROUND(MIN(Model_Config_v3!$B$6,MAX(Q4844,R4844,S4844*Model_Config_v3!$B$4+T4844*Model_Config_v3!$B$5)),0)</x:f>
        <x:v>627</x:v>
      </x:c>
      <x:c r="J4844" s="18" t="n">
        <x:f>MIN(Model_Config_v3!$B$6,I4844+Model_Config_v3!$B$7)</x:f>
        <x:v>647</x:v>
      </x:c>
      <x:c r="K4844" s="20" t="n">
        <x:v>41.9</x:v>
      </x:c>
      <x:c r="L4844" t="str">
        <x:v>RELATIF LONGGAR</x:v>
      </x:c>
      <x:c r="M4844" t="str">
        <x:v>SEDANG</x:v>
      </x:c>
      <x:c r="N4844" t="str">
        <x:v>REGULER</x:v>
      </x:c>
      <x:c r="O4844" t="str">
        <x:v>CAMPURAN</x:v>
      </x:c>
      <x:c r="P4844" t="str">
        <x:v>UMUM</x:v>
      </x:c>
      <x:c r="Q4844" s="18" t="n">
        <x:v>0</x:v>
      </x:c>
      <x:c r="R4844" s="18" t="n">
        <x:v>0</x:v>
      </x:c>
      <x:c r="S4844" s="18" t="n">
        <x:v>586.3562392694855</x:v>
      </x:c>
      <x:c r="T4844" s="18" t="n">
        <x:v>644</x:v>
      </x:c>
      <x:c r="U4844" s="18" t="n">
        <x:v>586.3562392694855</x:v>
      </x:c>
      <x:c r="V4844" s="20" t="n">
        <x:v>8.8</x:v>
      </x:c>
      <x:c r="W4844" s="20" t="n">
        <x:v>9.9</x:v>
      </x:c>
      <x:c r="X4844" s="20" t="n">
        <x:v>3.3</x:v>
      </x:c>
      <x:c r="Y4844" t="str">
        <x:v>Basis arsip 2025/2024</x:v>
      </x:c>
      <x:c r="Z4844" t="str">
        <x:v>https://snpmb.id/utbk-snbt/daya-tampung-snbt</x:v>
      </x:c>
      <x:c r="AA4844" t="str">
        <x:v>Tidak Ada</x:v>
      </x:c>
      <x:c r="AB4844" t="str">
        <x:v>Campus=55; Ratio=35.5; Prodi=40; RelDemand=34.0; Capacity=23.3</x:v>
      </x:c>
    </x:row>
    <x:row r="4845">
      <x:c r="A4845" t="n">
        <x:v>4842</x:v>
      </x:c>
      <x:c r="B4845" t="str">
        <x:v>PTKIN</x:v>
      </x:c>
      <x:c r="C4845" t="str">
        <x:v>UIN JAKARTA</x:v>
      </x:c>
      <x:c r="D4845" t="str">
        <x:v>JURNALISTIK</x:v>
      </x:c>
      <x:c r="E4845" t="str">
        <x:v>Sarjana</x:v>
      </x:c>
      <x:c r="F4845" s="18" t="n">
        <x:v>97</x:v>
      </x:c>
      <x:c r="G4845" s="18" t="n">
        <x:v>405</x:v>
      </x:c>
      <x:c r="H4845" s="19" t="n">
        <x:v>4.175257731958763</x:v>
      </x:c>
      <x:c r="I4845" s="18" t="n">
        <x:f>ROUND(MIN(Model_Config_v3!$B$6,MAX(Q4845,R4845,S4845*Model_Config_v3!$B$4+T4845*Model_Config_v3!$B$5)),0)</x:f>
        <x:v>627</x:v>
      </x:c>
      <x:c r="J4845" s="18" t="n">
        <x:f>MIN(Model_Config_v3!$B$6,I4845+Model_Config_v3!$B$7)</x:f>
        <x:v>647</x:v>
      </x:c>
      <x:c r="K4845" s="20" t="n">
        <x:v>41.8</x:v>
      </x:c>
      <x:c r="L4845" t="str">
        <x:v>RELATIF LONGGAR</x:v>
      </x:c>
      <x:c r="M4845" t="str">
        <x:v>SEDANG</x:v>
      </x:c>
      <x:c r="N4845" t="str">
        <x:v>REGULER</x:v>
      </x:c>
      <x:c r="O4845" t="str">
        <x:v>CAMPURAN</x:v>
      </x:c>
      <x:c r="P4845" t="str">
        <x:v>UMUM</x:v>
      </x:c>
      <x:c r="Q4845" s="18" t="n">
        <x:v>0</x:v>
      </x:c>
      <x:c r="R4845" s="18" t="n">
        <x:v>0</x:v>
      </x:c>
      <x:c r="S4845" s="18" t="n">
        <x:v>588.2751617843267</x:v>
      </x:c>
      <x:c r="T4845" s="18" t="n">
        <x:v>644</x:v>
      </x:c>
      <x:c r="U4845" s="18" t="n">
        <x:v>588.2751617843267</x:v>
      </x:c>
      <x:c r="V4845" s="20" t="n">
        <x:v>8.8</x:v>
      </x:c>
      <x:c r="W4845" s="20" t="n">
        <x:v>9.9</x:v>
      </x:c>
      <x:c r="X4845" s="20" t="n">
        <x:v>3.3</x:v>
      </x:c>
      <x:c r="Y4845" t="str">
        <x:v>Basis arsip 2025/2024</x:v>
      </x:c>
      <x:c r="Z4845" t="str">
        <x:v>https://snpmb.id/utbk-snbt/daya-tampung-snbt</x:v>
      </x:c>
      <x:c r="AA4845" t="str">
        <x:v>Tidak Ada</x:v>
      </x:c>
      <x:c r="AB4845" t="str">
        <x:v>Campus=55; Ratio=36.5; Prodi=40; RelDemand=35.4; Capacity=19.2</x:v>
      </x:c>
    </x:row>
    <x:row r="4846">
      <x:c r="A4846" t="n">
        <x:v>4843</x:v>
      </x:c>
      <x:c r="B4846" t="str">
        <x:v>PTKIN</x:v>
      </x:c>
      <x:c r="C4846" t="str">
        <x:v>UIN JAKARTA</x:v>
      </x:c>
      <x:c r="D4846" t="str">
        <x:v>MANAJEMEN</x:v>
      </x:c>
      <x:c r="E4846" t="str">
        <x:v>Sarjana</x:v>
      </x:c>
      <x:c r="F4846" s="18" t="n">
        <x:v>115</x:v>
      </x:c>
      <x:c r="G4846" s="18" t="n">
        <x:v>1009</x:v>
      </x:c>
      <x:c r="H4846" s="19" t="n">
        <x:v>8.773913043478261</x:v>
      </x:c>
      <x:c r="I4846" s="18" t="n">
        <x:f>ROUND(MIN(Model_Config_v3!$B$6,MAX(Q4846,R4846,S4846*Model_Config_v3!$B$4+T4846*Model_Config_v3!$B$5)),0)</x:f>
        <x:v>655</x:v>
      </x:c>
      <x:c r="J4846" s="18" t="n">
        <x:f>MIN(Model_Config_v3!$B$6,I4846+Model_Config_v3!$B$7)</x:f>
        <x:v>675</x:v>
      </x:c>
      <x:c r="K4846" s="20" t="n">
        <x:v>54</x:v>
      </x:c>
      <x:c r="L4846" t="str">
        <x:v>MENENGAH</x:v>
      </x:c>
      <x:c r="M4846" t="str">
        <x:v>SEDANG+</x:v>
      </x:c>
      <x:c r="N4846" t="str">
        <x:v>REGULER</x:v>
      </x:c>
      <x:c r="O4846" t="str">
        <x:v>SOSHUM</x:v>
      </x:c>
      <x:c r="P4846" t="str">
        <x:v>BISNIS/EKONOMI/AKUNTANSI</x:v>
      </x:c>
      <x:c r="Q4846" s="18" t="n">
        <x:v>0</x:v>
      </x:c>
      <x:c r="R4846" s="18" t="n">
        <x:v>0</x:v>
      </x:c>
      <x:c r="S4846" s="18" t="n">
        <x:v>623.7512658471628</x:v>
      </x:c>
      <x:c r="T4846" s="18" t="n">
        <x:v>668</x:v>
      </x:c>
      <x:c r="U4846" s="18" t="n">
        <x:v>638.7512658471628</x:v>
      </x:c>
      <x:c r="V4846" s="20" t="n">
        <x:v>4.4</x:v>
      </x:c>
      <x:c r="W4846" s="20" t="n">
        <x:v>14.3</x:v>
      </x:c>
      <x:c r="X4846" s="20" t="n">
        <x:v>3.3</x:v>
      </x:c>
      <x:c r="Y4846" t="str">
        <x:v>Basis arsip 2025/2024</x:v>
      </x:c>
      <x:c r="Z4846" t="str">
        <x:v>https://snpmb.id/utbk-snbt/daya-tampung-snbt</x:v>
      </x:c>
      <x:c r="AA4846" t="str">
        <x:v>Tidak Ada</x:v>
      </x:c>
      <x:c r="AB4846" t="str">
        <x:v>Campus=55; Ratio=55.5; Prodi=65; RelDemand=74.5; Capacity=4.2</x:v>
      </x:c>
    </x:row>
    <x:row r="4847">
      <x:c r="A4847" t="n">
        <x:v>4844</x:v>
      </x:c>
      <x:c r="B4847" t="str">
        <x:v>PTKIN</x:v>
      </x:c>
      <x:c r="C4847" t="str">
        <x:v>UIN JAKARTA</x:v>
      </x:c>
      <x:c r="D4847" t="str">
        <x:v>ILMU POLITIK</x:v>
      </x:c>
      <x:c r="E4847" t="str">
        <x:v>Sarjana</x:v>
      </x:c>
      <x:c r="F4847" s="18" t="n">
        <x:v>100</x:v>
      </x:c>
      <x:c r="G4847" s="18" t="n">
        <x:v>304</x:v>
      </x:c>
      <x:c r="H4847" s="19" t="n">
        <x:v>3.04</x:v>
      </x:c>
      <x:c r="I4847" s="18" t="n">
        <x:f>ROUND(MIN(Model_Config_v3!$B$6,MAX(Q4847,R4847,S4847*Model_Config_v3!$B$4+T4847*Model_Config_v3!$B$5)),0)</x:f>
        <x:v>618</x:v>
      </x:c>
      <x:c r="J4847" s="18" t="n">
        <x:f>MIN(Model_Config_v3!$B$6,I4847+Model_Config_v3!$B$7)</x:f>
        <x:v>638</x:v>
      </x:c>
      <x:c r="K4847" s="20" t="n">
        <x:v>38.6</x:v>
      </x:c>
      <x:c r="L4847" t="str">
        <x:v>RELATIF LONGGAR</x:v>
      </x:c>
      <x:c r="M4847" t="str">
        <x:v>SEDANG</x:v>
      </x:c>
      <x:c r="N4847" t="str">
        <x:v>REGULER</x:v>
      </x:c>
      <x:c r="O4847" t="str">
        <x:v>SOSHUM</x:v>
      </x:c>
      <x:c r="P4847" t="str">
        <x:v>UMUM</x:v>
      </x:c>
      <x:c r="Q4847" s="18" t="n">
        <x:v>0</x:v>
      </x:c>
      <x:c r="R4847" s="18" t="n">
        <x:v>0</x:v>
      </x:c>
      <x:c r="S4847" s="18" t="n">
        <x:v>573.1160941969629</x:v>
      </x:c>
      <x:c r="T4847" s="18" t="n">
        <x:v>637</x:v>
      </x:c>
      <x:c r="U4847" s="18" t="n">
        <x:v>573.1160941969629</x:v>
      </x:c>
      <x:c r="V4847" s="20" t="n">
        <x:v>4.4</x:v>
      </x:c>
      <x:c r="W4847" s="20" t="n">
        <x:v>14.3</x:v>
      </x:c>
      <x:c r="X4847" s="20" t="n">
        <x:v>3.3</x:v>
      </x:c>
      <x:c r="Y4847" t="str">
        <x:v>Basis arsip 2025/2024</x:v>
      </x:c>
      <x:c r="Z4847" t="str">
        <x:v>https://snpmb.id/utbk-snbt/daya-tampung-snbt</x:v>
      </x:c>
      <x:c r="AA4847" t="str">
        <x:v>Tidak Ada</x:v>
      </x:c>
      <x:c r="AB4847" t="str">
        <x:v>Campus=55; Ratio=28.4; Prodi=40; RelDemand=25.8; Capacity=16.7</x:v>
      </x:c>
    </x:row>
    <x:row r="4848">
      <x:c r="A4848" t="n">
        <x:v>4845</x:v>
      </x:c>
      <x:c r="B4848" t="str">
        <x:v>PTKIN</x:v>
      </x:c>
      <x:c r="C4848" t="str">
        <x:v>UIN JAKARTA</x:v>
      </x:c>
      <x:c r="D4848" t="str">
        <x:v>KESEJAHTERAAN SOSIAL</x:v>
      </x:c>
      <x:c r="E4848" t="str">
        <x:v>Sarjana</x:v>
      </x:c>
      <x:c r="F4848" s="18" t="n">
        <x:v>90</x:v>
      </x:c>
      <x:c r="G4848" s="18" t="n">
        <x:v>450</x:v>
      </x:c>
      <x:c r="H4848" s="19" t="n">
        <x:v>5</x:v>
      </x:c>
      <x:c r="I4848" s="18" t="n">
        <x:f>ROUND(MIN(Model_Config_v3!$B$6,MAX(Q4848,R4848,S4848*Model_Config_v3!$B$4+T4848*Model_Config_v3!$B$5)),0)</x:f>
        <x:v>633</x:v>
      </x:c>
      <x:c r="J4848" s="18" t="n">
        <x:f>MIN(Model_Config_v3!$B$6,I4848+Model_Config_v3!$B$7)</x:f>
        <x:v>653</x:v>
      </x:c>
      <x:c r="K4848" s="20" t="n">
        <x:v>44.3</x:v>
      </x:c>
      <x:c r="L4848" t="str">
        <x:v>RELATIF LONGGAR</x:v>
      </x:c>
      <x:c r="M4848" t="str">
        <x:v>SEDANG</x:v>
      </x:c>
      <x:c r="N4848" t="str">
        <x:v>REGULER</x:v>
      </x:c>
      <x:c r="O4848" t="str">
        <x:v>CAMPURAN</x:v>
      </x:c>
      <x:c r="P4848" t="str">
        <x:v>UMUM</x:v>
      </x:c>
      <x:c r="Q4848" s="18" t="n">
        <x:v>0</x:v>
      </x:c>
      <x:c r="R4848" s="18" t="n">
        <x:v>0</x:v>
      </x:c>
      <x:c r="S4848" s="18" t="n">
        <x:v>596.886700476962</x:v>
      </x:c>
      <x:c r="T4848" s="18" t="n">
        <x:v>649</x:v>
      </x:c>
      <x:c r="U4848" s="18" t="n">
        <x:v>596.886700476962</x:v>
      </x:c>
      <x:c r="V4848" s="20" t="n">
        <x:v>8.8</x:v>
      </x:c>
      <x:c r="W4848" s="20" t="n">
        <x:v>9.9</x:v>
      </x:c>
      <x:c r="X4848" s="20" t="n">
        <x:v>3.3</x:v>
      </x:c>
      <x:c r="Y4848" t="str">
        <x:v>Basis arsip 2025/2024</x:v>
      </x:c>
      <x:c r="Z4848" t="str">
        <x:v>https://snpmb.id/utbk-snbt/daya-tampung-snbt</x:v>
      </x:c>
      <x:c r="AA4848" t="str">
        <x:v>Tidak Ada</x:v>
      </x:c>
      <x:c r="AB4848" t="str">
        <x:v>Campus=55; Ratio=41.1; Prodi=40; RelDemand=42.4; Capacity=25.0</x:v>
      </x:c>
    </x:row>
    <x:row r="4849">
      <x:c r="A4849" t="n">
        <x:v>4846</x:v>
      </x:c>
      <x:c r="B4849" t="str">
        <x:v>PTKIN</x:v>
      </x:c>
      <x:c r="C4849" t="str">
        <x:v>UIN JAKARTA</x:v>
      </x:c>
      <x:c r="D4849" t="str">
        <x:v>PSIKOLOGI</x:v>
      </x:c>
      <x:c r="E4849" t="str">
        <x:v>Sarjana</x:v>
      </x:c>
      <x:c r="F4849" s="18" t="n">
        <x:v>182</x:v>
      </x:c>
      <x:c r="G4849" s="18" t="n">
        <x:v>1383</x:v>
      </x:c>
      <x:c r="H4849" s="19" t="n">
        <x:v>7.5989010989010985</x:v>
      </x:c>
      <x:c r="I4849" s="18" t="n">
        <x:f>ROUND(MIN(Model_Config_v3!$B$6,MAX(Q4849,R4849,S4849*Model_Config_v3!$B$4+T4849*Model_Config_v3!$B$5)),0)</x:f>
        <x:v>653</x:v>
      </x:c>
      <x:c r="J4849" s="18" t="n">
        <x:f>MIN(Model_Config_v3!$B$6,I4849+Model_Config_v3!$B$7)</x:f>
        <x:v>673</x:v>
      </x:c>
      <x:c r="K4849" s="20" t="n">
        <x:v>54.7</x:v>
      </x:c>
      <x:c r="L4849" t="str">
        <x:v>MENENGAH</x:v>
      </x:c>
      <x:c r="M4849" t="str">
        <x:v>SEDANG+</x:v>
      </x:c>
      <x:c r="N4849" t="str">
        <x:v>REGULER</x:v>
      </x:c>
      <x:c r="O4849" t="str">
        <x:v>SOSHUM</x:v>
      </x:c>
      <x:c r="P4849" t="str">
        <x:v>PSIKOLOGI</x:v>
      </x:c>
      <x:c r="Q4849" s="18" t="n">
        <x:v>0</x:v>
      </x:c>
      <x:c r="R4849" s="18" t="n">
        <x:v>0</x:v>
      </x:c>
      <x:c r="S4849" s="18" t="n">
        <x:v>616.882587133666</x:v>
      </x:c>
      <x:c r="T4849" s="18" t="n">
        <x:v>669</x:v>
      </x:c>
      <x:c r="U4849" s="18" t="n">
        <x:v>641.882587133666</x:v>
      </x:c>
      <x:c r="V4849" s="20" t="n">
        <x:v>4.4</x:v>
      </x:c>
      <x:c r="W4849" s="20" t="n">
        <x:v>14.3</x:v>
      </x:c>
      <x:c r="X4849" s="20" t="n">
        <x:v>3.3</x:v>
      </x:c>
      <x:c r="Y4849" t="str">
        <x:v>Basis arsip 2025/2024</x:v>
      </x:c>
      <x:c r="Z4849" t="str">
        <x:v>https://snpmb.id/utbk-snbt/daya-tampung-snbt</x:v>
      </x:c>
      <x:c r="AA4849" t="str">
        <x:v>Tidak Ada</x:v>
      </x:c>
      <x:c r="AB4849" t="str">
        <x:v>Campus=55; Ratio=51.8; Prodi=80; RelDemand=64.5; Capacity=0.0</x:v>
      </x:c>
    </x:row>
    <x:row r="4850">
      <x:c r="A4850" t="n">
        <x:v>4847</x:v>
      </x:c>
      <x:c r="B4850" t="str">
        <x:v>PTKIN</x:v>
      </x:c>
      <x:c r="C4850" t="str">
        <x:v>UIN JAKARTA</x:v>
      </x:c>
      <x:c r="D4850" t="str">
        <x:v>SOSIOLOGI</x:v>
      </x:c>
      <x:c r="E4850" t="str">
        <x:v>Sarjana</x:v>
      </x:c>
      <x:c r="F4850" s="18" t="n">
        <x:v>100</x:v>
      </x:c>
      <x:c r="G4850" s="18" t="n">
        <x:v>390</x:v>
      </x:c>
      <x:c r="H4850" s="19" t="n">
        <x:v>3.9</x:v>
      </x:c>
      <x:c r="I4850" s="18" t="n">
        <x:f>ROUND(MIN(Model_Config_v3!$B$6,MAX(Q4850,R4850,S4850*Model_Config_v3!$B$4+T4850*Model_Config_v3!$B$5)),0)</x:f>
        <x:v>625</x:v>
      </x:c>
      <x:c r="J4850" s="18" t="n">
        <x:f>MIN(Model_Config_v3!$B$6,I4850+Model_Config_v3!$B$7)</x:f>
        <x:v>645</x:v>
      </x:c>
      <x:c r="K4850" s="20" t="n">
        <x:v>40.9</x:v>
      </x:c>
      <x:c r="L4850" t="str">
        <x:v>RELATIF LONGGAR</x:v>
      </x:c>
      <x:c r="M4850" t="str">
        <x:v>SEDANG</x:v>
      </x:c>
      <x:c r="N4850" t="str">
        <x:v>REGULER</x:v>
      </x:c>
      <x:c r="O4850" t="str">
        <x:v>SOSHUM</x:v>
      </x:c>
      <x:c r="P4850" t="str">
        <x:v>UMUM</x:v>
      </x:c>
      <x:c r="Q4850" s="18" t="n">
        <x:v>0</x:v>
      </x:c>
      <x:c r="R4850" s="18" t="n">
        <x:v>0</x:v>
      </x:c>
      <x:c r="S4850" s="18" t="n">
        <x:v>585.0171067729149</x:v>
      </x:c>
      <x:c r="T4850" s="18" t="n">
        <x:v>642</x:v>
      </x:c>
      <x:c r="U4850" s="18" t="n">
        <x:v>585.0171067729149</x:v>
      </x:c>
      <x:c r="V4850" s="20" t="n">
        <x:v>4.4</x:v>
      </x:c>
      <x:c r="W4850" s="20" t="n">
        <x:v>14.3</x:v>
      </x:c>
      <x:c r="X4850" s="20" t="n">
        <x:v>3.3</x:v>
      </x:c>
      <x:c r="Y4850" t="str">
        <x:v>Basis arsip 2025/2024</x:v>
      </x:c>
      <x:c r="Z4850" t="str">
        <x:v>https://snpmb.id/utbk-snbt/daya-tampung-snbt</x:v>
      </x:c>
      <x:c r="AA4850" t="str">
        <x:v>Tidak Ada</x:v>
      </x:c>
      <x:c r="AB4850" t="str">
        <x:v>Campus=55; Ratio=34.8; Prodi=40; RelDemand=33.1; Capacity=16.7</x:v>
      </x:c>
    </x:row>
    <x:row r="4851">
      <x:c r="A4851" t="n">
        <x:v>4848</x:v>
      </x:c>
      <x:c r="B4851" t="str">
        <x:v>PTKIN</x:v>
      </x:c>
      <x:c r="C4851" t="str">
        <x:v>UIN JAKARTA</x:v>
      </x:c>
      <x:c r="D4851" t="str">
        <x:v>BAHASA DAN SASTRA INGGRIS</x:v>
      </x:c>
      <x:c r="E4851" t="str">
        <x:v>Sarjana</x:v>
      </x:c>
      <x:c r="F4851" s="18" t="n">
        <x:v>92</x:v>
      </x:c>
      <x:c r="G4851" s="18" t="n">
        <x:v>510</x:v>
      </x:c>
      <x:c r="H4851" s="19" t="n">
        <x:v>5.543478260869565</x:v>
      </x:c>
      <x:c r="I4851" s="18" t="n">
        <x:f>ROUND(MIN(Model_Config_v3!$B$6,MAX(Q4851,R4851,S4851*Model_Config_v3!$B$4+T4851*Model_Config_v3!$B$5)),0)</x:f>
        <x:v>636</x:v>
      </x:c>
      <x:c r="J4851" s="18" t="n">
        <x:f>MIN(Model_Config_v3!$B$6,I4851+Model_Config_v3!$B$7)</x:f>
        <x:v>656</x:v>
      </x:c>
      <x:c r="K4851" s="20" t="n">
        <x:v>45.2</x:v>
      </x:c>
      <x:c r="L4851" t="str">
        <x:v>MENENGAH</x:v>
      </x:c>
      <x:c r="M4851" t="str">
        <x:v>SEDANG</x:v>
      </x:c>
      <x:c r="N4851" t="str">
        <x:v>REGULER</x:v>
      </x:c>
      <x:c r="O4851" t="str">
        <x:v>SOSHUM</x:v>
      </x:c>
      <x:c r="P4851" t="str">
        <x:v>UMUM</x:v>
      </x:c>
      <x:c r="Q4851" s="18" t="n">
        <x:v>0</x:v>
      </x:c>
      <x:c r="R4851" s="18" t="n">
        <x:v>0</x:v>
      </x:c>
      <x:c r="S4851" s="18" t="n">
        <x:v>601.8160583627619</x:v>
      </x:c>
      <x:c r="T4851" s="18" t="n">
        <x:v>650</x:v>
      </x:c>
      <x:c r="U4851" s="18" t="n">
        <x:v>601.8160583627619</x:v>
      </x:c>
      <x:c r="V4851" s="20" t="n">
        <x:v>4.4</x:v>
      </x:c>
      <x:c r="W4851" s="20" t="n">
        <x:v>14.3</x:v>
      </x:c>
      <x:c r="X4851" s="20" t="n">
        <x:v>3.3</x:v>
      </x:c>
      <x:c r="Y4851" t="str">
        <x:v>Basis arsip 2025/2024</x:v>
      </x:c>
      <x:c r="Z4851" t="str">
        <x:v>https://snpmb.id/utbk-snbt/daya-tampung-snbt</x:v>
      </x:c>
      <x:c r="AA4851" t="str">
        <x:v>Tidak Ada</x:v>
      </x:c>
      <x:c r="AB4851" t="str">
        <x:v>Campus=55; Ratio=43.8; Prodi=40; RelDemand=47.1; Capacity=23.3</x:v>
      </x:c>
    </x:row>
    <x:row r="4852">
      <x:c r="A4852" t="n">
        <x:v>4849</x:v>
      </x:c>
      <x:c r="B4852" t="str">
        <x:v>PTKIN</x:v>
      </x:c>
      <x:c r="C4852" t="str">
        <x:v>UIN SUNAN GUNUNG DJATI</x:v>
      </x:c>
      <x:c r="D4852" t="str">
        <x:v>MATEMATIKA</x:v>
      </x:c>
      <x:c r="E4852" t="str">
        <x:v>Sarjana</x:v>
      </x:c>
      <x:c r="F4852" s="18" t="n">
        <x:v>36</x:v>
      </x:c>
      <x:c r="G4852" s="18" t="n">
        <x:v>84</x:v>
      </x:c>
      <x:c r="H4852" s="19" t="n">
        <x:v>2.3333333333333335</x:v>
      </x:c>
      <x:c r="I4852" s="18" t="n">
        <x:f>ROUND(MIN(Model_Config_v3!$B$6,MAX(Q4852,R4852,S4852*Model_Config_v3!$B$4+T4852*Model_Config_v3!$B$5)),0)</x:f>
        <x:v>621</x:v>
      </x:c>
      <x:c r="J4852" s="18" t="n">
        <x:f>MIN(Model_Config_v3!$B$6,I4852+Model_Config_v3!$B$7)</x:f>
        <x:v>641</x:v>
      </x:c>
      <x:c r="K4852" s="20" t="n">
        <x:v>43.7</x:v>
      </x:c>
      <x:c r="L4852" t="str">
        <x:v>RELATIF LONGGAR</x:v>
      </x:c>
      <x:c r="M4852" t="str">
        <x:v>SEDANG+</x:v>
      </x:c>
      <x:c r="N4852" t="str">
        <x:v>REGULER</x:v>
      </x:c>
      <x:c r="O4852" t="str">
        <x:v>SAINTEK</x:v>
      </x:c>
      <x:c r="P4852" t="str">
        <x:v>SAINS DASAR</x:v>
      </x:c>
      <x:c r="Q4852" s="18" t="n">
        <x:v>0</x:v>
      </x:c>
      <x:c r="R4852" s="18" t="n">
        <x:v>0</x:v>
      </x:c>
      <x:c r="S4852" s="18" t="n">
        <x:v>560.4774463824053</x:v>
      </x:c>
      <x:c r="T4852" s="18" t="n">
        <x:v>647</x:v>
      </x:c>
      <x:c r="U4852" s="18" t="n">
        <x:v>560.4774463824053</x:v>
      </x:c>
      <x:c r="V4852" s="20" t="n">
        <x:v>12</x:v>
      </x:c>
      <x:c r="W4852" s="20" t="n">
        <x:v>5</x:v>
      </x:c>
      <x:c r="X4852" s="20" t="n">
        <x:v>3</x:v>
      </x:c>
      <x:c r="Y4852" t="str">
        <x:v>Basis arsip 2025/2024</x:v>
      </x:c>
      <x:c r="Z4852" t="str">
        <x:v>https://snpmb.id/utbk-snbt/daya-tampung-snbt</x:v>
      </x:c>
      <x:c r="AA4852" t="str">
        <x:v>Tidak Ada</x:v>
      </x:c>
      <x:c r="AB4852" t="str">
        <x:v>Campus=55; Ratio=21.7; Prodi=50; RelDemand=20.6; Capacity=70.0</x:v>
      </x:c>
    </x:row>
    <x:row r="4853">
      <x:c r="A4853" t="n">
        <x:v>4850</x:v>
      </x:c>
      <x:c r="B4853" t="str">
        <x:v>PTKIN</x:v>
      </x:c>
      <x:c r="C4853" t="str">
        <x:v>UIN SUNAN GUNUNG DJATI</x:v>
      </x:c>
      <x:c r="D4853" t="str">
        <x:v>BIOLOGI</x:v>
      </x:c>
      <x:c r="E4853" t="str">
        <x:v>Sarjana</x:v>
      </x:c>
      <x:c r="F4853" s="18" t="n">
        <x:v>43</x:v>
      </x:c>
      <x:c r="G4853" s="18" t="n">
        <x:v>147</x:v>
      </x:c>
      <x:c r="H4853" s="19" t="n">
        <x:v>3.4186046511627906</x:v>
      </x:c>
      <x:c r="I4853" s="18" t="n">
        <x:f>ROUND(MIN(Model_Config_v3!$B$6,MAX(Q4853,R4853,S4853*Model_Config_v3!$B$4+T4853*Model_Config_v3!$B$5)),0)</x:f>
        <x:v>631</x:v>
      </x:c>
      <x:c r="J4853" s="18" t="n">
        <x:f>MIN(Model_Config_v3!$B$6,I4853+Model_Config_v3!$B$7)</x:f>
        <x:v>651</x:v>
      </x:c>
      <x:c r="K4853" s="20" t="n">
        <x:v>46.5</x:v>
      </x:c>
      <x:c r="L4853" t="str">
        <x:v>MENENGAH</x:v>
      </x:c>
      <x:c r="M4853" t="str">
        <x:v>SEDANG+</x:v>
      </x:c>
      <x:c r="N4853" t="str">
        <x:v>REGULER</x:v>
      </x:c>
      <x:c r="O4853" t="str">
        <x:v>SAINTEK</x:v>
      </x:c>
      <x:c r="P4853" t="str">
        <x:v>SAINS DASAR</x:v>
      </x:c>
      <x:c r="Q4853" s="18" t="n">
        <x:v>0</x:v>
      </x:c>
      <x:c r="R4853" s="18" t="n">
        <x:v>0</x:v>
      </x:c>
      <x:c r="S4853" s="18" t="n">
        <x:v>578.7233767085448</x:v>
      </x:c>
      <x:c r="T4853" s="18" t="n">
        <x:v>653</x:v>
      </x:c>
      <x:c r="U4853" s="18" t="n">
        <x:v>578.7233767085448</x:v>
      </x:c>
      <x:c r="V4853" s="20" t="n">
        <x:v>12</x:v>
      </x:c>
      <x:c r="W4853" s="20" t="n">
        <x:v>5</x:v>
      </x:c>
      <x:c r="X4853" s="20" t="n">
        <x:v>3</x:v>
      </x:c>
      <x:c r="Y4853" t="str">
        <x:v>Basis arsip 2025/2024</x:v>
      </x:c>
      <x:c r="Z4853" t="str">
        <x:v>https://snpmb.id/utbk-snbt/daya-tampung-snbt</x:v>
      </x:c>
      <x:c r="AA4853" t="str">
        <x:v>Tidak Ada</x:v>
      </x:c>
      <x:c r="AB4853" t="str">
        <x:v>Campus=55; Ratio=31.4; Prodi=50; RelDemand=30.2; Capacity=64.2</x:v>
      </x:c>
    </x:row>
    <x:row r="4854">
      <x:c r="A4854" t="n">
        <x:v>4851</x:v>
      </x:c>
      <x:c r="B4854" t="str">
        <x:v>PTKIN</x:v>
      </x:c>
      <x:c r="C4854" t="str">
        <x:v>UIN SUNAN GUNUNG DJATI</x:v>
      </x:c>
      <x:c r="D4854" t="str">
        <x:v>FISIKA</x:v>
      </x:c>
      <x:c r="E4854" t="str">
        <x:v>Sarjana</x:v>
      </x:c>
      <x:c r="F4854" s="18" t="n">
        <x:v>28</x:v>
      </x:c>
      <x:c r="G4854" s="18" t="n">
        <x:v>33</x:v>
      </x:c>
      <x:c r="H4854" s="19" t="n">
        <x:v>1.1785714285714286</x:v>
      </x:c>
      <x:c r="I4854" s="18" t="n">
        <x:f>ROUND(MIN(Model_Config_v3!$B$6,MAX(Q4854,R4854,S4854*Model_Config_v3!$B$4+T4854*Model_Config_v3!$B$5)),0)</x:f>
        <x:v>605</x:v>
      </x:c>
      <x:c r="J4854" s="18" t="n">
        <x:f>MIN(Model_Config_v3!$B$6,I4854+Model_Config_v3!$B$7)</x:f>
        <x:v>625</x:v>
      </x:c>
      <x:c r="K4854" s="20" t="n">
        <x:v>39</x:v>
      </x:c>
      <x:c r="L4854" t="str">
        <x:v>RELATIF LONGGAR</x:v>
      </x:c>
      <x:c r="M4854" t="str">
        <x:v>SEDANG+</x:v>
      </x:c>
      <x:c r="N4854" t="str">
        <x:v>REGULER</x:v>
      </x:c>
      <x:c r="O4854" t="str">
        <x:v>SAINTEK</x:v>
      </x:c>
      <x:c r="P4854" t="str">
        <x:v>SAINS DASAR</x:v>
      </x:c>
      <x:c r="Q4854" s="18" t="n">
        <x:v>0</x:v>
      </x:c>
      <x:c r="R4854" s="18" t="n">
        <x:v>0</x:v>
      </x:c>
      <x:c r="S4854" s="18" t="n">
        <x:v>527.8491499389235</x:v>
      </x:c>
      <x:c r="T4854" s="18" t="n">
        <x:v>638</x:v>
      </x:c>
      <x:c r="U4854" s="18" t="n">
        <x:v>527.8491499389235</x:v>
      </x:c>
      <x:c r="V4854" s="20" t="n">
        <x:v>12</x:v>
      </x:c>
      <x:c r="W4854" s="20" t="n">
        <x:v>5</x:v>
      </x:c>
      <x:c r="X4854" s="20" t="n">
        <x:v>3</x:v>
      </x:c>
      <x:c r="Y4854" t="str">
        <x:v>Basis arsip 2025/2024</x:v>
      </x:c>
      <x:c r="Z4854" t="str">
        <x:v>https://snpmb.id/utbk-snbt/daya-tampung-snbt</x:v>
      </x:c>
      <x:c r="AA4854" t="str">
        <x:v>Tidak Ada</x:v>
      </x:c>
      <x:c r="AB4854" t="str">
        <x:v>Campus=55; Ratio=4.2; Prodi=50; RelDemand=10.4; Capacity=76.7</x:v>
      </x:c>
    </x:row>
    <x:row r="4855">
      <x:c r="A4855" t="n">
        <x:v>4852</x:v>
      </x:c>
      <x:c r="B4855" t="str">
        <x:v>PTKIN</x:v>
      </x:c>
      <x:c r="C4855" t="str">
        <x:v>UIN SUNAN GUNUNG DJATI</x:v>
      </x:c>
      <x:c r="D4855" t="str">
        <x:v>KIMIA</x:v>
      </x:c>
      <x:c r="E4855" t="str">
        <x:v>Sarjana</x:v>
      </x:c>
      <x:c r="F4855" s="18" t="n">
        <x:v>36</x:v>
      </x:c>
      <x:c r="G4855" s="18" t="n">
        <x:v>92</x:v>
      </x:c>
      <x:c r="H4855" s="19" t="n">
        <x:v>2.5555555555555554</x:v>
      </x:c>
      <x:c r="I4855" s="18" t="n">
        <x:f>ROUND(MIN(Model_Config_v3!$B$6,MAX(Q4855,R4855,S4855*Model_Config_v3!$B$4+T4855*Model_Config_v3!$B$5)),0)</x:f>
        <x:v>624</x:v>
      </x:c>
      <x:c r="J4855" s="18" t="n">
        <x:f>MIN(Model_Config_v3!$B$6,I4855+Model_Config_v3!$B$7)</x:f>
        <x:v>644</x:v>
      </x:c>
      <x:c r="K4855" s="20" t="n">
        <x:v>44.5</x:v>
      </x:c>
      <x:c r="L4855" t="str">
        <x:v>RELATIF LONGGAR</x:v>
      </x:c>
      <x:c r="M4855" t="str">
        <x:v>SEDANG+</x:v>
      </x:c>
      <x:c r="N4855" t="str">
        <x:v>REGULER</x:v>
      </x:c>
      <x:c r="O4855" t="str">
        <x:v>SAINTEK</x:v>
      </x:c>
      <x:c r="P4855" t="str">
        <x:v>SAINS DASAR</x:v>
      </x:c>
      <x:c r="Q4855" s="18" t="n">
        <x:v>0</x:v>
      </x:c>
      <x:c r="R4855" s="18" t="n">
        <x:v>0</x:v>
      </x:c>
      <x:c r="S4855" s="18" t="n">
        <x:v>564.8233859236095</x:v>
      </x:c>
      <x:c r="T4855" s="18" t="n">
        <x:v>649</x:v>
      </x:c>
      <x:c r="U4855" s="18" t="n">
        <x:v>564.8233859236095</x:v>
      </x:c>
      <x:c r="V4855" s="20" t="n">
        <x:v>12</x:v>
      </x:c>
      <x:c r="W4855" s="20" t="n">
        <x:v>5</x:v>
      </x:c>
      <x:c r="X4855" s="20" t="n">
        <x:v>3</x:v>
      </x:c>
      <x:c r="Y4855" t="str">
        <x:v>Basis arsip 2025/2024</x:v>
      </x:c>
      <x:c r="Z4855" t="str">
        <x:v>https://snpmb.id/utbk-snbt/daya-tampung-snbt</x:v>
      </x:c>
      <x:c r="AA4855" t="str">
        <x:v>Tidak Ada</x:v>
      </x:c>
      <x:c r="AB4855" t="str">
        <x:v>Campus=55; Ratio=24.0; Prodi=50; RelDemand=22.5; Capacity=70.0</x:v>
      </x:c>
    </x:row>
    <x:row r="4856">
      <x:c r="A4856" t="n">
        <x:v>4853</x:v>
      </x:c>
      <x:c r="B4856" t="str">
        <x:v>PTKIN</x:v>
      </x:c>
      <x:c r="C4856" t="str">
        <x:v>UIN SUNAN GUNUNG DJATI</x:v>
      </x:c>
      <x:c r="D4856" t="str">
        <x:v>TEKNIK INFORMATIKA</x:v>
      </x:c>
      <x:c r="E4856" t="str">
        <x:v>Sarjana</x:v>
      </x:c>
      <x:c r="F4856" s="18" t="n">
        <x:v>55</x:v>
      </x:c>
      <x:c r="G4856" s="18" t="n">
        <x:v>695</x:v>
      </x:c>
      <x:c r="H4856" s="19" t="n">
        <x:v>12.636363636363637</x:v>
      </x:c>
      <x:c r="I4856" s="18" t="n">
        <x:f>ROUND(MIN(Model_Config_v3!$B$6,MAX(Q4856,R4856,S4856*Model_Config_v3!$B$4+T4856*Model_Config_v3!$B$5)),0)</x:f>
        <x:v>680</x:v>
      </x:c>
      <x:c r="J4856" s="18" t="n">
        <x:f>MIN(Model_Config_v3!$B$6,I4856+Model_Config_v3!$B$7)</x:f>
        <x:v>700</x:v>
      </x:c>
      <x:c r="K4856" s="20" t="n">
        <x:v>67.9</x:v>
      </x:c>
      <x:c r="L4856" t="str">
        <x:v>SANGAT KETAT</x:v>
      </x:c>
      <x:c r="M4856" t="str">
        <x:v>SEDANG+</x:v>
      </x:c>
      <x:c r="N4856" t="str">
        <x:v>REGULER</x:v>
      </x:c>
      <x:c r="O4856" t="str">
        <x:v>SAINTEK</x:v>
      </x:c>
      <x:c r="P4856" t="str">
        <x:v>KOMPUTER/INFORMATIKA</x:v>
      </x:c>
      <x:c r="Q4856" s="18" t="n">
        <x:v>0</x:v>
      </x:c>
      <x:c r="R4856" s="18" t="n">
        <x:v>0</x:v>
      </x:c>
      <x:c r="S4856" s="18" t="n">
        <x:v>641.1784326605457</x:v>
      </x:c>
      <x:c r="T4856" s="18" t="n">
        <x:v>696</x:v>
      </x:c>
      <x:c r="U4856" s="18" t="n">
        <x:v>666.1784326605457</x:v>
      </x:c>
      <x:c r="V4856" s="20" t="n">
        <x:v>12</x:v>
      </x:c>
      <x:c r="W4856" s="20" t="n">
        <x:v>5</x:v>
      </x:c>
      <x:c r="X4856" s="20" t="n">
        <x:v>3</x:v>
      </x:c>
      <x:c r="Y4856" t="str">
        <x:v>Basis arsip 2025/2024</x:v>
      </x:c>
      <x:c r="Z4856" t="str">
        <x:v>https://snpmb.id/utbk-snbt/daya-tampung-snbt</x:v>
      </x:c>
      <x:c r="AA4856" t="str">
        <x:v>Tidak Ada</x:v>
      </x:c>
      <x:c r="AB4856" t="str">
        <x:v>Campus=55; Ratio=64.8; Prodi=85; RelDemand=100.0; Capacity=54.2</x:v>
      </x:c>
    </x:row>
    <x:row r="4857">
      <x:c r="A4857" t="n">
        <x:v>4854</x:v>
      </x:c>
      <x:c r="B4857" t="str">
        <x:v>PTKIN</x:v>
      </x:c>
      <x:c r="C4857" t="str">
        <x:v>UIN SUNAN GUNUNG DJATI</x:v>
      </x:c>
      <x:c r="D4857" t="str">
        <x:v>TEKNIK ELEKTRO</x:v>
      </x:c>
      <x:c r="E4857" t="str">
        <x:v>Sarjana</x:v>
      </x:c>
      <x:c r="F4857" s="18" t="n">
        <x:v>36</x:v>
      </x:c>
      <x:c r="G4857" s="18" t="n">
        <x:v>166</x:v>
      </x:c>
      <x:c r="H4857" s="19" t="n">
        <x:v>4.611111111111111</x:v>
      </x:c>
      <x:c r="I4857" s="18" t="n">
        <x:f>ROUND(MIN(Model_Config_v3!$B$6,MAX(Q4857,R4857,S4857*Model_Config_v3!$B$4+T4857*Model_Config_v3!$B$5)),0)</x:f>
        <x:v>643</x:v>
      </x:c>
      <x:c r="J4857" s="18" t="n">
        <x:f>MIN(Model_Config_v3!$B$6,I4857+Model_Config_v3!$B$7)</x:f>
        <x:v>663</x:v>
      </x:c>
      <x:c r="K4857" s="20" t="n">
        <x:v>52.1</x:v>
      </x:c>
      <x:c r="L4857" t="str">
        <x:v>MENENGAH</x:v>
      </x:c>
      <x:c r="M4857" t="str">
        <x:v>SEDANG+</x:v>
      </x:c>
      <x:c r="N4857" t="str">
        <x:v>REGULER</x:v>
      </x:c>
      <x:c r="O4857" t="str">
        <x:v>SAINTEK</x:v>
      </x:c>
      <x:c r="P4857" t="str">
        <x:v>TEKNIK/ARSITEKTUR/STATISTIKA/AKTUARIA</x:v>
      </x:c>
      <x:c r="Q4857" s="18" t="n">
        <x:v>0</x:v>
      </x:c>
      <x:c r="R4857" s="18" t="n">
        <x:v>0</x:v>
      </x:c>
      <x:c r="S4857" s="18" t="n">
        <x:v>593.0186146000044</x:v>
      </x:c>
      <x:c r="T4857" s="18" t="n">
        <x:v>664</x:v>
      </x:c>
      <x:c r="U4857" s="18" t="n">
        <x:v>603.0186146000044</x:v>
      </x:c>
      <x:c r="V4857" s="20" t="n">
        <x:v>12</x:v>
      </x:c>
      <x:c r="W4857" s="20" t="n">
        <x:v>5</x:v>
      </x:c>
      <x:c r="X4857" s="20" t="n">
        <x:v>3</x:v>
      </x:c>
      <x:c r="Y4857" t="str">
        <x:v>Basis arsip 2025/2024</x:v>
      </x:c>
      <x:c r="Z4857" t="str">
        <x:v>https://snpmb.id/utbk-snbt/daya-tampung-snbt</x:v>
      </x:c>
      <x:c r="AA4857" t="str">
        <x:v>Tidak Ada</x:v>
      </x:c>
      <x:c r="AB4857" t="str">
        <x:v>Campus=55; Ratio=39.1; Prodi=60; RelDemand=40.7; Capacity=70.0</x:v>
      </x:c>
    </x:row>
    <x:row r="4858">
      <x:c r="A4858" t="n">
        <x:v>4855</x:v>
      </x:c>
      <x:c r="B4858" t="str">
        <x:v>PTKIN</x:v>
      </x:c>
      <x:c r="C4858" t="str">
        <x:v>UIN SUNAN GUNUNG DJATI</x:v>
      </x:c>
      <x:c r="D4858" t="str">
        <x:v>AGROTEKNOLOGI</x:v>
      </x:c>
      <x:c r="E4858" t="str">
        <x:v>Sarjana</x:v>
      </x:c>
      <x:c r="F4858" s="18" t="n">
        <x:v>36</x:v>
      </x:c>
      <x:c r="G4858" s="18" t="n">
        <x:v>197</x:v>
      </x:c>
      <x:c r="H4858" s="19" t="n">
        <x:v>5.472222222222222</x:v>
      </x:c>
      <x:c r="I4858" s="18" t="n">
        <x:f>ROUND(MIN(Model_Config_v3!$B$6,MAX(Q4858,R4858,S4858*Model_Config_v3!$B$4+T4858*Model_Config_v3!$B$5)),0)</x:f>
        <x:v>642</x:v>
      </x:c>
      <x:c r="J4858" s="18" t="n">
        <x:f>MIN(Model_Config_v3!$B$6,I4858+Model_Config_v3!$B$7)</x:f>
        <x:v>662</x:v>
      </x:c>
      <x:c r="K4858" s="20" t="n">
        <x:v>49.9</x:v>
      </x:c>
      <x:c r="L4858" t="str">
        <x:v>MENENGAH</x:v>
      </x:c>
      <x:c r="M4858" t="str">
        <x:v>SEDANG</x:v>
      </x:c>
      <x:c r="N4858" t="str">
        <x:v>REGULER</x:v>
      </x:c>
      <x:c r="O4858" t="str">
        <x:v>SAINTEK</x:v>
      </x:c>
      <x:c r="P4858" t="str">
        <x:v>UMUM</x:v>
      </x:c>
      <x:c r="Q4858" s="18" t="n">
        <x:v>0</x:v>
      </x:c>
      <x:c r="R4858" s="18" t="n">
        <x:v>0</x:v>
      </x:c>
      <x:c r="S4858" s="18" t="n">
        <x:v>601.1980097933736</x:v>
      </x:c>
      <x:c r="T4858" s="18" t="n">
        <x:v>660</x:v>
      </x:c>
      <x:c r="U4858" s="18" t="n">
        <x:v>601.1980097933736</x:v>
      </x:c>
      <x:c r="V4858" s="20" t="n">
        <x:v>12</x:v>
      </x:c>
      <x:c r="W4858" s="20" t="n">
        <x:v>5</x:v>
      </x:c>
      <x:c r="X4858" s="20" t="n">
        <x:v>3</x:v>
      </x:c>
      <x:c r="Y4858" t="str">
        <x:v>Basis arsip 2025/2024</x:v>
      </x:c>
      <x:c r="Z4858" t="str">
        <x:v>https://snpmb.id/utbk-snbt/daya-tampung-snbt</x:v>
      </x:c>
      <x:c r="AA4858" t="str">
        <x:v>Tidak Ada</x:v>
      </x:c>
      <x:c r="AB4858" t="str">
        <x:v>Campus=55; Ratio=43.4; Prodi=40; RelDemand=48.3; Capacity=70.0</x:v>
      </x:c>
    </x:row>
    <x:row r="4859">
      <x:c r="A4859" t="n">
        <x:v>4856</x:v>
      </x:c>
      <x:c r="B4859" t="str">
        <x:v>PTKIN</x:v>
      </x:c>
      <x:c r="C4859" t="str">
        <x:v>UIN SUNAN GUNUNG DJATI</x:v>
      </x:c>
      <x:c r="D4859" t="str">
        <x:v>SOSIOLOGI</x:v>
      </x:c>
      <x:c r="E4859" t="str">
        <x:v>Sarjana</x:v>
      </x:c>
      <x:c r="F4859" s="18" t="n">
        <x:v>80</x:v>
      </x:c>
      <x:c r="G4859" s="18" t="n">
        <x:v>275</x:v>
      </x:c>
      <x:c r="H4859" s="19" t="n">
        <x:v>3.4375</x:v>
      </x:c>
      <x:c r="I4859" s="18" t="n">
        <x:f>ROUND(MIN(Model_Config_v3!$B$6,MAX(Q4859,R4859,S4859*Model_Config_v3!$B$4+T4859*Model_Config_v3!$B$5)),0)</x:f>
        <x:v>624</x:v>
      </x:c>
      <x:c r="J4859" s="18" t="n">
        <x:f>MIN(Model_Config_v3!$B$6,I4859+Model_Config_v3!$B$7)</x:f>
        <x:v>644</x:v>
      </x:c>
      <x:c r="K4859" s="20" t="n">
        <x:v>41.5</x:v>
      </x:c>
      <x:c r="L4859" t="str">
        <x:v>RELATIF LONGGAR</x:v>
      </x:c>
      <x:c r="M4859" t="str">
        <x:v>SEDANG</x:v>
      </x:c>
      <x:c r="N4859" t="str">
        <x:v>REGULER</x:v>
      </x:c>
      <x:c r="O4859" t="str">
        <x:v>SOSHUM</x:v>
      </x:c>
      <x:c r="P4859" t="str">
        <x:v>UMUM</x:v>
      </x:c>
      <x:c r="Q4859" s="18" t="n">
        <x:v>0</x:v>
      </x:c>
      <x:c r="R4859" s="18" t="n">
        <x:v>0</x:v>
      </x:c>
      <x:c r="S4859" s="18" t="n">
        <x:v>578.986697752215</x:v>
      </x:c>
      <x:c r="T4859" s="18" t="n">
        <x:v>643</x:v>
      </x:c>
      <x:c r="U4859" s="18" t="n">
        <x:v>578.986697752215</x:v>
      </x:c>
      <x:c r="V4859" s="20" t="n">
        <x:v>4.4</x:v>
      </x:c>
      <x:c r="W4859" s="20" t="n">
        <x:v>14.3</x:v>
      </x:c>
      <x:c r="X4859" s="20" t="n">
        <x:v>3.3</x:v>
      </x:c>
      <x:c r="Y4859" t="str">
        <x:v>Basis arsip 2025/2024</x:v>
      </x:c>
      <x:c r="Z4859" t="str">
        <x:v>https://snpmb.id/utbk-snbt/daya-tampung-snbt</x:v>
      </x:c>
      <x:c r="AA4859" t="str">
        <x:v>Tidak Ada</x:v>
      </x:c>
      <x:c r="AB4859" t="str">
        <x:v>Campus=55; Ratio=31.6; Prodi=40; RelDemand=30.3; Capacity=33.3</x:v>
      </x:c>
    </x:row>
    <x:row r="4860">
      <x:c r="A4860" t="n">
        <x:v>4857</x:v>
      </x:c>
      <x:c r="B4860" t="str">
        <x:v>PTKIN</x:v>
      </x:c>
      <x:c r="C4860" t="str">
        <x:v>UIN SUNAN GUNUNG DJATI</x:v>
      </x:c>
      <x:c r="D4860" t="str">
        <x:v>ILMU HUKUM</x:v>
      </x:c>
      <x:c r="E4860" t="str">
        <x:v>Sarjana</x:v>
      </x:c>
      <x:c r="F4860" s="18" t="n">
        <x:v>72</x:v>
      </x:c>
      <x:c r="G4860" s="18" t="n">
        <x:v>582</x:v>
      </x:c>
      <x:c r="H4860" s="19" t="n">
        <x:v>8.083333333333334</x:v>
      </x:c>
      <x:c r="I4860" s="18" t="n">
        <x:f>ROUND(MIN(Model_Config_v3!$B$6,MAX(Q4860,R4860,S4860*Model_Config_v3!$B$4+T4860*Model_Config_v3!$B$5)),0)</x:f>
        <x:v>657</x:v>
      </x:c>
      <x:c r="J4860" s="18" t="n">
        <x:f>MIN(Model_Config_v3!$B$6,I4860+Model_Config_v3!$B$7)</x:f>
        <x:v>677</x:v>
      </x:c>
      <x:c r="K4860" s="20" t="n">
        <x:v>56.7</x:v>
      </x:c>
      <x:c r="L4860" t="str">
        <x:v>KETAT</x:v>
      </x:c>
      <x:c r="M4860" t="str">
        <x:v>SEDANG+</x:v>
      </x:c>
      <x:c r="N4860" t="str">
        <x:v>REGULER</x:v>
      </x:c>
      <x:c r="O4860" t="str">
        <x:v>SOSHUM</x:v>
      </x:c>
      <x:c r="P4860" t="str">
        <x:v>HUKUM</x:v>
      </x:c>
      <x:c r="Q4860" s="18" t="n">
        <x:v>0</x:v>
      </x:c>
      <x:c r="R4860" s="18" t="n">
        <x:v>0</x:v>
      </x:c>
      <x:c r="S4860" s="18" t="n">
        <x:v>619.8349537040482</x:v>
      </x:c>
      <x:c r="T4860" s="18" t="n">
        <x:v>673</x:v>
      </x:c>
      <x:c r="U4860" s="18" t="n">
        <x:v>634.8349537040482</x:v>
      </x:c>
      <x:c r="V4860" s="20" t="n">
        <x:v>4.4</x:v>
      </x:c>
      <x:c r="W4860" s="20" t="n">
        <x:v>14.3</x:v>
      </x:c>
      <x:c r="X4860" s="20" t="n">
        <x:v>3.3</x:v>
      </x:c>
      <x:c r="Y4860" t="str">
        <x:v>Basis arsip 2025/2024</x:v>
      </x:c>
      <x:c r="Z4860" t="str">
        <x:v>https://snpmb.id/utbk-snbt/daya-tampung-snbt</x:v>
      </x:c>
      <x:c r="AA4860" t="str">
        <x:v>Tidak Ada</x:v>
      </x:c>
      <x:c r="AB4860" t="str">
        <x:v>Campus=55; Ratio=53.4; Prodi=65; RelDemand=71.3; Capacity=40.0</x:v>
      </x:c>
    </x:row>
    <x:row r="4861">
      <x:c r="A4861" t="n">
        <x:v>4858</x:v>
      </x:c>
      <x:c r="B4861" t="str">
        <x:v>PTKIN</x:v>
      </x:c>
      <x:c r="C4861" t="str">
        <x:v>UIN SUNAN GUNUNG DJATI</x:v>
      </x:c>
      <x:c r="D4861" t="str">
        <x:v>MANAJEMEN</x:v>
      </x:c>
      <x:c r="E4861" t="str">
        <x:v>Sarjana</x:v>
      </x:c>
      <x:c r="F4861" s="18" t="n">
        <x:v>91</x:v>
      </x:c>
      <x:c r="G4861" s="18" t="n">
        <x:v>985</x:v>
      </x:c>
      <x:c r="H4861" s="19" t="n">
        <x:v>10.824175824175825</x:v>
      </x:c>
      <x:c r="I4861" s="18" t="n">
        <x:f>ROUND(MIN(Model_Config_v3!$B$6,MAX(Q4861,R4861,S4861*Model_Config_v3!$B$4+T4861*Model_Config_v3!$B$5)),0)</x:f>
        <x:v>665</x:v>
      </x:c>
      <x:c r="J4861" s="18" t="n">
        <x:f>MIN(Model_Config_v3!$B$6,I4861+Model_Config_v3!$B$7)</x:f>
        <x:v>685</x:v>
      </x:c>
      <x:c r="K4861" s="20" t="n">
        <x:v>59.4</x:v>
      </x:c>
      <x:c r="L4861" t="str">
        <x:v>KETAT</x:v>
      </x:c>
      <x:c r="M4861" t="str">
        <x:v>SEDANG+</x:v>
      </x:c>
      <x:c r="N4861" t="str">
        <x:v>REGULER</x:v>
      </x:c>
      <x:c r="O4861" t="str">
        <x:v>SOSHUM</x:v>
      </x:c>
      <x:c r="P4861" t="str">
        <x:v>BISNIS/EKONOMI/AKUNTANSI</x:v>
      </x:c>
      <x:c r="Q4861" s="18" t="n">
        <x:v>0</x:v>
      </x:c>
      <x:c r="R4861" s="18" t="n">
        <x:v>0</x:v>
      </x:c>
      <x:c r="S4861" s="18" t="n">
        <x:v>633.783432199417</x:v>
      </x:c>
      <x:c r="T4861" s="18" t="n">
        <x:v>679</x:v>
      </x:c>
      <x:c r="U4861" s="18" t="n">
        <x:v>648.783432199417</x:v>
      </x:c>
      <x:c r="V4861" s="20" t="n">
        <x:v>4.4</x:v>
      </x:c>
      <x:c r="W4861" s="20" t="n">
        <x:v>14.3</x:v>
      </x:c>
      <x:c r="X4861" s="20" t="n">
        <x:v>3.3</x:v>
      </x:c>
      <x:c r="Y4861" t="str">
        <x:v>Basis arsip 2025/2024</x:v>
      </x:c>
      <x:c r="Z4861" t="str">
        <x:v>https://snpmb.id/utbk-snbt/daya-tampung-snbt</x:v>
      </x:c>
      <x:c r="AA4861" t="str">
        <x:v>Tidak Ada</x:v>
      </x:c>
      <x:c r="AB4861" t="str">
        <x:v>Campus=55; Ratio=60.9; Prodi=65; RelDemand=95.5; Capacity=24.2</x:v>
      </x:c>
    </x:row>
    <x:row r="4862">
      <x:c r="A4862" t="n">
        <x:v>4859</x:v>
      </x:c>
      <x:c r="B4862" t="str">
        <x:v>PTKIN</x:v>
      </x:c>
      <x:c r="C4862" t="str">
        <x:v>UIN SUNAN GUNUNG DJATI</x:v>
      </x:c>
      <x:c r="D4862" t="str">
        <x:v>ADMINISTRASI PUBLIK</x:v>
      </x:c>
      <x:c r="E4862" t="str">
        <x:v>Sarjana</x:v>
      </x:c>
      <x:c r="F4862" s="18" t="n">
        <x:v>80</x:v>
      </x:c>
      <x:c r="G4862" s="18" t="n">
        <x:v>610</x:v>
      </x:c>
      <x:c r="H4862" s="19" t="n">
        <x:v>7.625</x:v>
      </x:c>
      <x:c r="I4862" s="18" t="n">
        <x:f>ROUND(MIN(Model_Config_v3!$B$6,MAX(Q4862,R4862,S4862*Model_Config_v3!$B$4+T4862*Model_Config_v3!$B$5)),0)</x:f>
        <x:v>648</x:v>
      </x:c>
      <x:c r="J4862" s="18" t="n">
        <x:f>MIN(Model_Config_v3!$B$6,I4862+Model_Config_v3!$B$7)</x:f>
        <x:v>668</x:v>
      </x:c>
      <x:c r="K4862" s="20" t="n">
        <x:v>50.3</x:v>
      </x:c>
      <x:c r="L4862" t="str">
        <x:v>MENENGAH</x:v>
      </x:c>
      <x:c r="M4862" t="str">
        <x:v>SEDANG</x:v>
      </x:c>
      <x:c r="N4862" t="str">
        <x:v>REGULER</x:v>
      </x:c>
      <x:c r="O4862" t="str">
        <x:v>SOSHUM</x:v>
      </x:c>
      <x:c r="P4862" t="str">
        <x:v>UMUM</x:v>
      </x:c>
      <x:c r="Q4862" s="18" t="n">
        <x:v>0</x:v>
      </x:c>
      <x:c r="R4862" s="18" t="n">
        <x:v>0</x:v>
      </x:c>
      <x:c r="S4862" s="18" t="n">
        <x:v>617.0463832820706</x:v>
      </x:c>
      <x:c r="T4862" s="18" t="n">
        <x:v>661</x:v>
      </x:c>
      <x:c r="U4862" s="18" t="n">
        <x:v>617.0463832820706</x:v>
      </x:c>
      <x:c r="V4862" s="20" t="n">
        <x:v>4.4</x:v>
      </x:c>
      <x:c r="W4862" s="20" t="n">
        <x:v>14.3</x:v>
      </x:c>
      <x:c r="X4862" s="20" t="n">
        <x:v>3.3</x:v>
      </x:c>
      <x:c r="Y4862" t="str">
        <x:v>Basis arsip 2025/2024</x:v>
      </x:c>
      <x:c r="Z4862" t="str">
        <x:v>https://snpmb.id/utbk-snbt/daya-tampung-snbt</x:v>
      </x:c>
      <x:c r="AA4862" t="str">
        <x:v>Tidak Ada</x:v>
      </x:c>
      <x:c r="AB4862" t="str">
        <x:v>Campus=55; Ratio=51.9; Prodi=40; RelDemand=67.3; Capacity=33.3</x:v>
      </x:c>
    </x:row>
    <x:row r="4863">
      <x:c r="A4863" t="n">
        <x:v>4860</x:v>
      </x:c>
      <x:c r="B4863" t="str">
        <x:v>PTKIN</x:v>
      </x:c>
      <x:c r="C4863" t="str">
        <x:v>UIN SUNAN GUNUNG DJATI</x:v>
      </x:c>
      <x:c r="D4863" t="str">
        <x:v>ILMU KOM. KONST. HUMAS</x:v>
      </x:c>
      <x:c r="E4863" t="str">
        <x:v>Sarjana</x:v>
      </x:c>
      <x:c r="F4863" s="18" t="n">
        <x:v>72</x:v>
      </x:c>
      <x:c r="G4863" s="18" t="n">
        <x:v>494</x:v>
      </x:c>
      <x:c r="H4863" s="19" t="n">
        <x:v>6.861111111111111</x:v>
      </x:c>
      <x:c r="I4863" s="18" t="n">
        <x:f>ROUND(MIN(Model_Config_v3!$B$6,MAX(Q4863,R4863,S4863*Model_Config_v3!$B$4+T4863*Model_Config_v3!$B$5)),0)</x:f>
        <x:v>645</x:v>
      </x:c>
      <x:c r="J4863" s="18" t="n">
        <x:f>MIN(Model_Config_v3!$B$6,I4863+Model_Config_v3!$B$7)</x:f>
        <x:v>665</x:v>
      </x:c>
      <x:c r="K4863" s="20" t="n">
        <x:v>49.6</x:v>
      </x:c>
      <x:c r="L4863" t="str">
        <x:v>MENENGAH</x:v>
      </x:c>
      <x:c r="M4863" t="str">
        <x:v>SEDANG</x:v>
      </x:c>
      <x:c r="N4863" t="str">
        <x:v>REGULER</x:v>
      </x:c>
      <x:c r="O4863" t="str">
        <x:v>CAMPURAN</x:v>
      </x:c>
      <x:c r="P4863" t="str">
        <x:v>UMUM</x:v>
      </x:c>
      <x:c r="Q4863" s="18" t="n">
        <x:v>0</x:v>
      </x:c>
      <x:c r="R4863" s="18" t="n">
        <x:v>0</x:v>
      </x:c>
      <x:c r="S4863" s="18" t="n">
        <x:v>612.0033897741616</x:v>
      </x:c>
      <x:c r="T4863" s="18" t="n">
        <x:v>659</x:v>
      </x:c>
      <x:c r="U4863" s="18" t="n">
        <x:v>612.0033897741616</x:v>
      </x:c>
      <x:c r="V4863" s="20" t="n">
        <x:v>8.8</x:v>
      </x:c>
      <x:c r="W4863" s="20" t="n">
        <x:v>9.9</x:v>
      </x:c>
      <x:c r="X4863" s="20" t="n">
        <x:v>3.3</x:v>
      </x:c>
      <x:c r="Y4863" t="str">
        <x:v>Basis arsip 2025/2024</x:v>
      </x:c>
      <x:c r="Z4863" t="str">
        <x:v>https://snpmb.id/utbk-snbt/daya-tampung-snbt</x:v>
      </x:c>
      <x:c r="AA4863" t="str">
        <x:v>Tidak Ada</x:v>
      </x:c>
      <x:c r="AB4863" t="str">
        <x:v>Campus=55; Ratio=49.2; Prodi=40; RelDemand=60.5; Capacity=40.0</x:v>
      </x:c>
    </x:row>
    <x:row r="4864">
      <x:c r="A4864" t="n">
        <x:v>4861</x:v>
      </x:c>
      <x:c r="B4864" t="str">
        <x:v>PTKIN</x:v>
      </x:c>
      <x:c r="C4864" t="str">
        <x:v>UIN SUNAN GUNUNG DJATI</x:v>
      </x:c>
      <x:c r="D4864" t="str">
        <x:v>ILMU KOM. KONST. JURNALISTIK</x:v>
      </x:c>
      <x:c r="E4864" t="str">
        <x:v>Sarjana</x:v>
      </x:c>
      <x:c r="F4864" s="18" t="n">
        <x:v>72</x:v>
      </x:c>
      <x:c r="G4864" s="18" t="n">
        <x:v>319</x:v>
      </x:c>
      <x:c r="H4864" s="19" t="n">
        <x:v>4.430555555555555</x:v>
      </x:c>
      <x:c r="I4864" s="18" t="n">
        <x:f>ROUND(MIN(Model_Config_v3!$B$6,MAX(Q4864,R4864,S4864*Model_Config_v3!$B$4+T4864*Model_Config_v3!$B$5)),0)</x:f>
        <x:v>632</x:v>
      </x:c>
      <x:c r="J4864" s="18" t="n">
        <x:f>MIN(Model_Config_v3!$B$6,I4864+Model_Config_v3!$B$7)</x:f>
        <x:v>652</x:v>
      </x:c>
      <x:c r="K4864" s="20" t="n">
        <x:v>44.7</x:v>
      </x:c>
      <x:c r="L4864" t="str">
        <x:v>RELATIF LONGGAR</x:v>
      </x:c>
      <x:c r="M4864" t="str">
        <x:v>SEDANG</x:v>
      </x:c>
      <x:c r="N4864" t="str">
        <x:v>REGULER</x:v>
      </x:c>
      <x:c r="O4864" t="str">
        <x:v>CAMPURAN</x:v>
      </x:c>
      <x:c r="P4864" t="str">
        <x:v>UMUM</x:v>
      </x:c>
      <x:c r="Q4864" s="18" t="n">
        <x:v>0</x:v>
      </x:c>
      <x:c r="R4864" s="18" t="n">
        <x:v>0</x:v>
      </x:c>
      <x:c r="S4864" s="18" t="n">
        <x:v>591.1104005288504</x:v>
      </x:c>
      <x:c r="T4864" s="18" t="n">
        <x:v>649</x:v>
      </x:c>
      <x:c r="U4864" s="18" t="n">
        <x:v>591.1104005288504</x:v>
      </x:c>
      <x:c r="V4864" s="20" t="n">
        <x:v>8.8</x:v>
      </x:c>
      <x:c r="W4864" s="20" t="n">
        <x:v>9.9</x:v>
      </x:c>
      <x:c r="X4864" s="20" t="n">
        <x:v>3.3</x:v>
      </x:c>
      <x:c r="Y4864" t="str">
        <x:v>Basis arsip 2025/2024</x:v>
      </x:c>
      <x:c r="Z4864" t="str">
        <x:v>https://snpmb.id/utbk-snbt/daya-tampung-snbt</x:v>
      </x:c>
      <x:c r="AA4864" t="str">
        <x:v>Tidak Ada</x:v>
      </x:c>
      <x:c r="AB4864" t="str">
        <x:v>Campus=55; Ratio=38.1; Prodi=40; RelDemand=39.1; Capacity=40.0</x:v>
      </x:c>
    </x:row>
    <x:row r="4865">
      <x:c r="A4865" t="n">
        <x:v>4862</x:v>
      </x:c>
      <x:c r="B4865" t="str">
        <x:v>PTKIN</x:v>
      </x:c>
      <x:c r="C4865" t="str">
        <x:v>UIN SUNAN GUNUNG DJATI</x:v>
      </x:c>
      <x:c r="D4865" t="str">
        <x:v>BAHASA DAN SASTRA INGGRIS</x:v>
      </x:c>
      <x:c r="E4865" t="str">
        <x:v>Sarjana</x:v>
      </x:c>
      <x:c r="F4865" s="18" t="n">
        <x:v>108</x:v>
      </x:c>
      <x:c r="G4865" s="18" t="n">
        <x:v>334</x:v>
      </x:c>
      <x:c r="H4865" s="19" t="n">
        <x:v>3.0925925925925926</x:v>
      </x:c>
      <x:c r="I4865" s="18" t="n">
        <x:f>ROUND(MIN(Model_Config_v3!$B$6,MAX(Q4865,R4865,S4865*Model_Config_v3!$B$4+T4865*Model_Config_v3!$B$5)),0)</x:f>
        <x:v>617</x:v>
      </x:c>
      <x:c r="J4865" s="18" t="n">
        <x:f>MIN(Model_Config_v3!$B$6,I4865+Model_Config_v3!$B$7)</x:f>
        <x:v>637</x:v>
      </x:c>
      <x:c r="K4865" s="20" t="n">
        <x:v>38.2</x:v>
      </x:c>
      <x:c r="L4865" t="str">
        <x:v>RELATIF LONGGAR</x:v>
      </x:c>
      <x:c r="M4865" t="str">
        <x:v>SEDANG</x:v>
      </x:c>
      <x:c r="N4865" t="str">
        <x:v>REGULER</x:v>
      </x:c>
      <x:c r="O4865" t="str">
        <x:v>SOSHUM</x:v>
      </x:c>
      <x:c r="P4865" t="str">
        <x:v>UMUM</x:v>
      </x:c>
      <x:c r="Q4865" s="18" t="n">
        <x:v>0</x:v>
      </x:c>
      <x:c r="R4865" s="18" t="n">
        <x:v>0</x:v>
      </x:c>
      <x:c r="S4865" s="18" t="n">
        <x:v>573.9354982457077</x:v>
      </x:c>
      <x:c r="T4865" s="18" t="n">
        <x:v>636</x:v>
      </x:c>
      <x:c r="U4865" s="18" t="n">
        <x:v>573.9354982457077</x:v>
      </x:c>
      <x:c r="V4865" s="20" t="n">
        <x:v>4.4</x:v>
      </x:c>
      <x:c r="W4865" s="20" t="n">
        <x:v>14.3</x:v>
      </x:c>
      <x:c r="X4865" s="20" t="n">
        <x:v>3.3</x:v>
      </x:c>
      <x:c r="Y4865" t="str">
        <x:v>Basis arsip 2025/2024</x:v>
      </x:c>
      <x:c r="Z4865" t="str">
        <x:v>https://snpmb.id/utbk-snbt/daya-tampung-snbt</x:v>
      </x:c>
      <x:c r="AA4865" t="str">
        <x:v>Tidak Ada</x:v>
      </x:c>
      <x:c r="AB4865" t="str">
        <x:v>Campus=55; Ratio=28.9; Prodi=40; RelDemand=27.3; Capacity=10.0</x:v>
      </x:c>
    </x:row>
    <x:row r="4866">
      <x:c r="A4866" t="n">
        <x:v>4863</x:v>
      </x:c>
      <x:c r="B4866" t="str">
        <x:v>PTKIN</x:v>
      </x:c>
      <x:c r="C4866" t="str">
        <x:v>UIN SUNAN GUNUNG DJATI</x:v>
      </x:c>
      <x:c r="D4866" t="str">
        <x:v>PSIKOLOGI</x:v>
      </x:c>
      <x:c r="E4866" t="str">
        <x:v>Sarjana</x:v>
      </x:c>
      <x:c r="F4866" s="18" t="n">
        <x:v>93</x:v>
      </x:c>
      <x:c r="G4866" s="18" t="n">
        <x:v>955</x:v>
      </x:c>
      <x:c r="H4866" s="19" t="n">
        <x:v>10.268817204301076</x:v>
      </x:c>
      <x:c r="I4866" s="18" t="n">
        <x:f>ROUND(MIN(Model_Config_v3!$B$6,MAX(Q4866,R4866,S4866*Model_Config_v3!$B$4+T4866*Model_Config_v3!$B$5)),0)</x:f>
        <x:v>667</x:v>
      </x:c>
      <x:c r="J4866" s="18" t="n">
        <x:f>MIN(Model_Config_v3!$B$6,I4866+Model_Config_v3!$B$7)</x:f>
        <x:v>687</x:v>
      </x:c>
      <x:c r="K4866" s="20" t="n">
        <x:v>61.4</x:v>
      </x:c>
      <x:c r="L4866" t="str">
        <x:v>KETAT</x:v>
      </x:c>
      <x:c r="M4866" t="str">
        <x:v>SEDANG+</x:v>
      </x:c>
      <x:c r="N4866" t="str">
        <x:v>REGULER</x:v>
      </x:c>
      <x:c r="O4866" t="str">
        <x:v>SOSHUM</x:v>
      </x:c>
      <x:c r="P4866" t="str">
        <x:v>PSIKOLOGI</x:v>
      </x:c>
      <x:c r="Q4866" s="18" t="n">
        <x:v>0</x:v>
      </x:c>
      <x:c r="R4866" s="18" t="n">
        <x:v>0</x:v>
      </x:c>
      <x:c r="S4866" s="18" t="n">
        <x:v>631.2672465332793</x:v>
      </x:c>
      <x:c r="T4866" s="18" t="n">
        <x:v>683</x:v>
      </x:c>
      <x:c r="U4866" s="18" t="n">
        <x:v>656.2672465332793</x:v>
      </x:c>
      <x:c r="V4866" s="20" t="n">
        <x:v>4.4</x:v>
      </x:c>
      <x:c r="W4866" s="20" t="n">
        <x:v>14.3</x:v>
      </x:c>
      <x:c r="X4866" s="20" t="n">
        <x:v>3.3</x:v>
      </x:c>
      <x:c r="Y4866" t="str">
        <x:v>Basis arsip 2025/2024</x:v>
      </x:c>
      <x:c r="Z4866" t="str">
        <x:v>https://snpmb.id/utbk-snbt/daya-tampung-snbt</x:v>
      </x:c>
      <x:c r="AA4866" t="str">
        <x:v>Tidak Ada</x:v>
      </x:c>
      <x:c r="AB4866" t="str">
        <x:v>Campus=55; Ratio=59.5; Prodi=80; RelDemand=90.6; Capacity=22.5</x:v>
      </x:c>
    </x:row>
    <x:row r="4867">
      <x:c r="A4867" t="n">
        <x:v>4864</x:v>
      </x:c>
      <x:c r="B4867" t="str">
        <x:v>PTKIN</x:v>
      </x:c>
      <x:c r="C4867" t="str">
        <x:v>UIN SUNAN GUNUNG DJATI</x:v>
      </x:c>
      <x:c r="D4867" t="str">
        <x:v>ILMU POLITIK</x:v>
      </x:c>
      <x:c r="E4867" t="str">
        <x:v>Sarjana</x:v>
      </x:c>
      <x:c r="F4867" s="18" t="n">
        <x:v>48</x:v>
      </x:c>
      <x:c r="G4867" s="18" t="n">
        <x:v>185</x:v>
      </x:c>
      <x:c r="H4867" s="19" t="n">
        <x:v>3.8541666666666665</x:v>
      </x:c>
      <x:c r="I4867" s="18" t="n">
        <x:f>ROUND(MIN(Model_Config_v3!$B$6,MAX(Q4867,R4867,S4867*Model_Config_v3!$B$4+T4867*Model_Config_v3!$B$5)),0)</x:f>
        <x:v>631</x:v>
      </x:c>
      <x:c r="J4867" s="18" t="n">
        <x:f>MIN(Model_Config_v3!$B$6,I4867+Model_Config_v3!$B$7)</x:f>
        <x:v>651</x:v>
      </x:c>
      <x:c r="K4867" s="20" t="n">
        <x:v>45.3</x:v>
      </x:c>
      <x:c r="L4867" t="str">
        <x:v>MENENGAH</x:v>
      </x:c>
      <x:c r="M4867" t="str">
        <x:v>SEDANG</x:v>
      </x:c>
      <x:c r="N4867" t="str">
        <x:v>REGULER</x:v>
      </x:c>
      <x:c r="O4867" t="str">
        <x:v>SOSHUM</x:v>
      </x:c>
      <x:c r="P4867" t="str">
        <x:v>UMUM</x:v>
      </x:c>
      <x:c r="Q4867" s="18" t="n">
        <x:v>0</x:v>
      </x:c>
      <x:c r="R4867" s="18" t="n">
        <x:v>0</x:v>
      </x:c>
      <x:c r="S4867" s="18" t="n">
        <x:v>584.4523540130169</x:v>
      </x:c>
      <x:c r="T4867" s="18" t="n">
        <x:v>651</x:v>
      </x:c>
      <x:c r="U4867" s="18" t="n">
        <x:v>584.4523540130169</x:v>
      </x:c>
      <x:c r="V4867" s="20" t="n">
        <x:v>4.4</x:v>
      </x:c>
      <x:c r="W4867" s="20" t="n">
        <x:v>14.3</x:v>
      </x:c>
      <x:c r="X4867" s="20" t="n">
        <x:v>3.3</x:v>
      </x:c>
      <x:c r="Y4867" t="str">
        <x:v>Basis arsip 2025/2024</x:v>
      </x:c>
      <x:c r="Z4867" t="str">
        <x:v>https://snpmb.id/utbk-snbt/daya-tampung-snbt</x:v>
      </x:c>
      <x:c r="AA4867" t="str">
        <x:v>Tidak Ada</x:v>
      </x:c>
      <x:c r="AB4867" t="str">
        <x:v>Campus=55; Ratio=34.5; Prodi=40; RelDemand=34.0; Capacity=60.0</x:v>
      </x:c>
    </x:row>
    <x:row r="4868">
      <x:c r="A4868" t="n">
        <x:v>4865</x:v>
      </x:c>
      <x:c r="B4868" t="str">
        <x:v>PTKIN</x:v>
      </x:c>
      <x:c r="C4868" t="str">
        <x:v>UIN WALISONGO</x:v>
      </x:c>
      <x:c r="D4868" t="str">
        <x:v>GIZI</x:v>
      </x:c>
      <x:c r="E4868" t="str">
        <x:v>Sarjana</x:v>
      </x:c>
      <x:c r="F4868" s="18" t="n">
        <x:v>48</x:v>
      </x:c>
      <x:c r="G4868" s="18" t="n">
        <x:v>174</x:v>
      </x:c>
      <x:c r="H4868" s="19" t="n">
        <x:v>3.625</x:v>
      </x:c>
      <x:c r="I4868" s="18" t="n">
        <x:f>ROUND(MIN(Model_Config_v3!$B$6,MAX(Q4868,R4868,S4868*Model_Config_v3!$B$4+T4868*Model_Config_v3!$B$5)),0)</x:f>
        <x:v>642</x:v>
      </x:c>
      <x:c r="J4868" s="18" t="n">
        <x:f>MIN(Model_Config_v3!$B$6,I4868+Model_Config_v3!$B$7)</x:f>
        <x:v>662</x:v>
      </x:c>
      <x:c r="K4868" s="20" t="n">
        <x:v>54</x:v>
      </x:c>
      <x:c r="L4868" t="str">
        <x:v>MENENGAH</x:v>
      </x:c>
      <x:c r="M4868" t="str">
        <x:v>SEDANG+</x:v>
      </x:c>
      <x:c r="N4868" t="str">
        <x:v>REGULER</x:v>
      </x:c>
      <x:c r="O4868" t="str">
        <x:v>SAINTEK</x:v>
      </x:c>
      <x:c r="P4868" t="str">
        <x:v>KESEHAT/GIZI/KEPERAWATAN</x:v>
      </x:c>
      <x:c r="Q4868" s="18" t="n">
        <x:v>0</x:v>
      </x:c>
      <x:c r="R4868" s="18" t="n">
        <x:v>0</x:v>
      </x:c>
      <x:c r="S4868" s="18" t="n">
        <x:v>581.5238811997714</x:v>
      </x:c>
      <x:c r="T4868" s="18" t="n">
        <x:v>668</x:v>
      </x:c>
      <x:c r="U4868" s="18" t="n">
        <x:v>581.5238811997714</x:v>
      </x:c>
      <x:c r="V4868" s="20" t="n">
        <x:v>12</x:v>
      </x:c>
      <x:c r="W4868" s="20" t="n">
        <x:v>5</x:v>
      </x:c>
      <x:c r="X4868" s="20" t="n">
        <x:v>3</x:v>
      </x:c>
      <x:c r="Y4868" t="str">
        <x:v>Basis arsip 2025/2024</x:v>
      </x:c>
      <x:c r="Z4868" t="str">
        <x:v>https://snpmb.id/utbk-snbt/daya-tampung-snbt</x:v>
      </x:c>
      <x:c r="AA4868" t="str">
        <x:v>Tidak Ada</x:v>
      </x:c>
      <x:c r="AB4868" t="str">
        <x:v>Campus=55; Ratio=32.9; Prodi=55; RelDemand=95.5; Capacity=60.0</x:v>
      </x:c>
    </x:row>
    <x:row r="4869">
      <x:c r="A4869" t="n">
        <x:v>4866</x:v>
      </x:c>
      <x:c r="B4869" t="str">
        <x:v>PTKIN</x:v>
      </x:c>
      <x:c r="C4869" t="str">
        <x:v>UIN WALISONGO</x:v>
      </x:c>
      <x:c r="D4869" t="str">
        <x:v>MATEMATIKA</x:v>
      </x:c>
      <x:c r="E4869" t="str">
        <x:v>Sarjana</x:v>
      </x:c>
      <x:c r="F4869" s="18" t="n">
        <x:v>42</x:v>
      </x:c>
      <x:c r="G4869" s="18" t="n">
        <x:v>32</x:v>
      </x:c>
      <x:c r="H4869" s="19" t="n">
        <x:v>0.7619047619047619</x:v>
      </x:c>
      <x:c r="I4869" s="18" t="n">
        <x:f>ROUND(MIN(Model_Config_v3!$B$6,MAX(Q4869,R4869,S4869*Model_Config_v3!$B$4+T4869*Model_Config_v3!$B$5)),0)</x:f>
        <x:v>601</x:v>
      </x:c>
      <x:c r="J4869" s="18" t="n">
        <x:f>MIN(Model_Config_v3!$B$6,I4869+Model_Config_v3!$B$7)</x:f>
        <x:v>621</x:v>
      </x:c>
      <x:c r="K4869" s="20" t="n">
        <x:v>37.8</x:v>
      </x:c>
      <x:c r="L4869" t="str">
        <x:v>RELATIF LONGGAR</x:v>
      </x:c>
      <x:c r="M4869" t="str">
        <x:v>SEDANG+</x:v>
      </x:c>
      <x:c r="N4869" t="str">
        <x:v>REGULER</x:v>
      </x:c>
      <x:c r="O4869" t="str">
        <x:v>SAINTEK</x:v>
      </x:c>
      <x:c r="P4869" t="str">
        <x:v>SAINS DASAR</x:v>
      </x:c>
      <x:c r="Q4869" s="18" t="n">
        <x:v>0</x:v>
      </x:c>
      <x:c r="R4869" s="18" t="n">
        <x:v>0</x:v>
      </x:c>
      <x:c r="S4869" s="18" t="n">
        <x:v>520</x:v>
      </x:c>
      <x:c r="T4869" s="18" t="n">
        <x:v>636</x:v>
      </x:c>
      <x:c r="U4869" s="18" t="n">
        <x:v>520</x:v>
      </x:c>
      <x:c r="V4869" s="20" t="n">
        <x:v>12</x:v>
      </x:c>
      <x:c r="W4869" s="20" t="n">
        <x:v>5</x:v>
      </x:c>
      <x:c r="X4869" s="20" t="n">
        <x:v>3</x:v>
      </x:c>
      <x:c r="Y4869" t="str">
        <x:v>Basis arsip 2025/2024</x:v>
      </x:c>
      <x:c r="Z4869" t="str">
        <x:v>https://snpmb.id/utbk-snbt/daya-tampung-snbt</x:v>
      </x:c>
      <x:c r="AA4869" t="str">
        <x:v>Tidak Ada</x:v>
      </x:c>
      <x:c r="AB4869" t="str">
        <x:v>Campus=55; Ratio=0.0; Prodi=50; RelDemand=20.1; Capacity=65.0</x:v>
      </x:c>
    </x:row>
    <x:row r="4870">
      <x:c r="A4870" t="n">
        <x:v>4867</x:v>
      </x:c>
      <x:c r="B4870" t="str">
        <x:v>PTKIN</x:v>
      </x:c>
      <x:c r="C4870" t="str">
        <x:v>UIN WALISONGO</x:v>
      </x:c>
      <x:c r="D4870" t="str">
        <x:v>KIMIA</x:v>
      </x:c>
      <x:c r="E4870" t="str">
        <x:v>Sarjana</x:v>
      </x:c>
      <x:c r="F4870" s="18" t="n">
        <x:v>42</x:v>
      </x:c>
      <x:c r="G4870" s="18" t="n">
        <x:v>27</x:v>
      </x:c>
      <x:c r="H4870" s="19" t="n">
        <x:v>0.6428571428571429</x:v>
      </x:c>
      <x:c r="I4870" s="18" t="n">
        <x:f>ROUND(MIN(Model_Config_v3!$B$6,MAX(Q4870,R4870,S4870*Model_Config_v3!$B$4+T4870*Model_Config_v3!$B$5)),0)</x:f>
        <x:v>601</x:v>
      </x:c>
      <x:c r="J4870" s="18" t="n">
        <x:f>MIN(Model_Config_v3!$B$6,I4870+Model_Config_v3!$B$7)</x:f>
        <x:v>621</x:v>
      </x:c>
      <x:c r="K4870" s="20" t="n">
        <x:v>37.4</x:v>
      </x:c>
      <x:c r="L4870" t="str">
        <x:v>RELATIF LONGGAR</x:v>
      </x:c>
      <x:c r="M4870" t="str">
        <x:v>SEDANG+</x:v>
      </x:c>
      <x:c r="N4870" t="str">
        <x:v>REGULER</x:v>
      </x:c>
      <x:c r="O4870" t="str">
        <x:v>SAINTEK</x:v>
      </x:c>
      <x:c r="P4870" t="str">
        <x:v>SAINS DASAR</x:v>
      </x:c>
      <x:c r="Q4870" s="18" t="n">
        <x:v>0</x:v>
      </x:c>
      <x:c r="R4870" s="18" t="n">
        <x:v>0</x:v>
      </x:c>
      <x:c r="S4870" s="18" t="n">
        <x:v>520</x:v>
      </x:c>
      <x:c r="T4870" s="18" t="n">
        <x:v>635</x:v>
      </x:c>
      <x:c r="U4870" s="18" t="n">
        <x:v>520</x:v>
      </x:c>
      <x:c r="V4870" s="20" t="n">
        <x:v>12</x:v>
      </x:c>
      <x:c r="W4870" s="20" t="n">
        <x:v>5</x:v>
      </x:c>
      <x:c r="X4870" s="20" t="n">
        <x:v>3</x:v>
      </x:c>
      <x:c r="Y4870" t="str">
        <x:v>Basis arsip 2025/2024</x:v>
      </x:c>
      <x:c r="Z4870" t="str">
        <x:v>https://snpmb.id/utbk-snbt/daya-tampung-snbt</x:v>
      </x:c>
      <x:c r="AA4870" t="str">
        <x:v>Tidak Ada</x:v>
      </x:c>
      <x:c r="AB4870" t="str">
        <x:v>Campus=55; Ratio=0.0; Prodi=50; RelDemand=16.9; Capacity=65.0</x:v>
      </x:c>
    </x:row>
    <x:row r="4871">
      <x:c r="A4871" t="n">
        <x:v>4868</x:v>
      </x:c>
      <x:c r="B4871" t="str">
        <x:v>PTKIN</x:v>
      </x:c>
      <x:c r="C4871" t="str">
        <x:v>UIN WALISONGO</x:v>
      </x:c>
      <x:c r="D4871" t="str">
        <x:v>FISIKA</x:v>
      </x:c>
      <x:c r="E4871" t="str">
        <x:v>Sarjana</x:v>
      </x:c>
      <x:c r="F4871" s="18" t="n">
        <x:v>28</x:v>
      </x:c>
      <x:c r="G4871" s="18" t="n">
        <x:v>5</x:v>
      </x:c>
      <x:c r="H4871" s="19" t="n">
        <x:v>0.17857142857142858</x:v>
      </x:c>
      <x:c r="I4871" s="18" t="n">
        <x:f>ROUND(MIN(Model_Config_v3!$B$6,MAX(Q4871,R4871,S4871*Model_Config_v3!$B$4+T4871*Model_Config_v3!$B$5)),0)</x:f>
        <x:v>601</x:v>
      </x:c>
      <x:c r="J4871" s="18" t="n">
        <x:f>MIN(Model_Config_v3!$B$6,I4871+Model_Config_v3!$B$7)</x:f>
        <x:v>621</x:v>
      </x:c>
      <x:c r="K4871" s="20" t="n">
        <x:v>37.4</x:v>
      </x:c>
      <x:c r="L4871" t="str">
        <x:v>RELATIF LONGGAR</x:v>
      </x:c>
      <x:c r="M4871" t="str">
        <x:v>SEDANG+</x:v>
      </x:c>
      <x:c r="N4871" t="str">
        <x:v>REGULER</x:v>
      </x:c>
      <x:c r="O4871" t="str">
        <x:v>SAINTEK</x:v>
      </x:c>
      <x:c r="P4871" t="str">
        <x:v>SAINS DASAR</x:v>
      </x:c>
      <x:c r="Q4871" s="18" t="n">
        <x:v>0</x:v>
      </x:c>
      <x:c r="R4871" s="18" t="n">
        <x:v>0</x:v>
      </x:c>
      <x:c r="S4871" s="18" t="n">
        <x:v>520</x:v>
      </x:c>
      <x:c r="T4871" s="18" t="n">
        <x:v>635</x:v>
      </x:c>
      <x:c r="U4871" s="18" t="n">
        <x:v>520</x:v>
      </x:c>
      <x:c r="V4871" s="20" t="n">
        <x:v>12</x:v>
      </x:c>
      <x:c r="W4871" s="20" t="n">
        <x:v>5</x:v>
      </x:c>
      <x:c r="X4871" s="20" t="n">
        <x:v>3</x:v>
      </x:c>
      <x:c r="Y4871" t="str">
        <x:v>Basis arsip 2025/2024</x:v>
      </x:c>
      <x:c r="Z4871" t="str">
        <x:v>https://snpmb.id/utbk-snbt/daya-tampung-snbt</x:v>
      </x:c>
      <x:c r="AA4871" t="str">
        <x:v>Tidak Ada</x:v>
      </x:c>
      <x:c r="AB4871" t="str">
        <x:v>Campus=55; Ratio=0.0; Prodi=50; RelDemand=4.7; Capacity=76.7</x:v>
      </x:c>
    </x:row>
    <x:row r="4872">
      <x:c r="A4872" t="n">
        <x:v>4869</x:v>
      </x:c>
      <x:c r="B4872" t="str">
        <x:v>PTKIN</x:v>
      </x:c>
      <x:c r="C4872" t="str">
        <x:v>UIN WALISONGO</x:v>
      </x:c>
      <x:c r="D4872" t="str">
        <x:v>BIOLOGI</x:v>
      </x:c>
      <x:c r="E4872" t="str">
        <x:v>Sarjana</x:v>
      </x:c>
      <x:c r="F4872" s="18" t="n">
        <x:v>42</x:v>
      </x:c>
      <x:c r="G4872" s="18" t="n">
        <x:v>53</x:v>
      </x:c>
      <x:c r="H4872" s="19" t="n">
        <x:v>1.2619047619047619</x:v>
      </x:c>
      <x:c r="I4872" s="18" t="n">
        <x:f>ROUND(MIN(Model_Config_v3!$B$6,MAX(Q4872,R4872,S4872*Model_Config_v3!$B$4+T4872*Model_Config_v3!$B$5)),0)</x:f>
        <x:v>608</x:v>
      </x:c>
      <x:c r="J4872" s="18" t="n">
        <x:f>MIN(Model_Config_v3!$B$6,I4872+Model_Config_v3!$B$7)</x:f>
        <x:v>628</x:v>
      </x:c>
      <x:c r="K4872" s="20" t="n">
        <x:v>40.6</x:v>
      </x:c>
      <x:c r="L4872" t="str">
        <x:v>RELATIF LONGGAR</x:v>
      </x:c>
      <x:c r="M4872" t="str">
        <x:v>SEDANG+</x:v>
      </x:c>
      <x:c r="N4872" t="str">
        <x:v>REGULER</x:v>
      </x:c>
      <x:c r="O4872" t="str">
        <x:v>SAINTEK</x:v>
      </x:c>
      <x:c r="P4872" t="str">
        <x:v>SAINS DASAR</x:v>
      </x:c>
      <x:c r="Q4872" s="18" t="n">
        <x:v>0</x:v>
      </x:c>
      <x:c r="R4872" s="18" t="n">
        <x:v>0</x:v>
      </x:c>
      <x:c r="S4872" s="18" t="n">
        <x:v>531.1129237123178</x:v>
      </x:c>
      <x:c r="T4872" s="18" t="n">
        <x:v>641</x:v>
      </x:c>
      <x:c r="U4872" s="18" t="n">
        <x:v>531.1129237123178</x:v>
      </x:c>
      <x:c r="V4872" s="20" t="n">
        <x:v>12</x:v>
      </x:c>
      <x:c r="W4872" s="20" t="n">
        <x:v>5</x:v>
      </x:c>
      <x:c r="X4872" s="20" t="n">
        <x:v>3</x:v>
      </x:c>
      <x:c r="Y4872" t="str">
        <x:v>Basis arsip 2025/2024</x:v>
      </x:c>
      <x:c r="Z4872" t="str">
        <x:v>https://snpmb.id/utbk-snbt/daya-tampung-snbt</x:v>
      </x:c>
      <x:c r="AA4872" t="str">
        <x:v>Tidak Ada</x:v>
      </x:c>
      <x:c r="AB4872" t="str">
        <x:v>Campus=55; Ratio=5.9; Prodi=50; RelDemand=33.2; Capacity=65.0</x:v>
      </x:c>
    </x:row>
    <x:row r="4873">
      <x:c r="A4873" t="n">
        <x:v>4870</x:v>
      </x:c>
      <x:c r="B4873" t="str">
        <x:v>PTKIN</x:v>
      </x:c>
      <x:c r="C4873" t="str">
        <x:v>UIN WALISONGO</x:v>
      </x:c>
      <x:c r="D4873" t="str">
        <x:v>TEKNOLOGI INFORMASI</x:v>
      </x:c>
      <x:c r="E4873" t="str">
        <x:v>Sarjana</x:v>
      </x:c>
      <x:c r="F4873" s="18" t="n">
        <x:v>54</x:v>
      </x:c>
      <x:c r="G4873" s="18" t="n">
        <x:v>164</x:v>
      </x:c>
      <x:c r="H4873" s="19" t="n">
        <x:v>3.037037037037037</x:v>
      </x:c>
      <x:c r="I4873" s="18" t="n">
        <x:f>ROUND(MIN(Model_Config_v3!$B$6,MAX(Q4873,R4873,S4873*Model_Config_v3!$B$4+T4873*Model_Config_v3!$B$5)),0)</x:f>
        <x:v>631</x:v>
      </x:c>
      <x:c r="J4873" s="18" t="n">
        <x:f>MIN(Model_Config_v3!$B$6,I4873+Model_Config_v3!$B$7)</x:f>
        <x:v>651</x:v>
      </x:c>
      <x:c r="K4873" s="20" t="n">
        <x:v>47.8</x:v>
      </x:c>
      <x:c r="L4873" t="str">
        <x:v>MENENGAH</x:v>
      </x:c>
      <x:c r="M4873" t="str">
        <x:v>SEDANG</x:v>
      </x:c>
      <x:c r="N4873" t="str">
        <x:v>REGULER</x:v>
      </x:c>
      <x:c r="O4873" t="str">
        <x:v>SAINTEK</x:v>
      </x:c>
      <x:c r="P4873" t="str">
        <x:v>UMUM</x:v>
      </x:c>
      <x:c r="Q4873" s="18" t="n">
        <x:v>0</x:v>
      </x:c>
      <x:c r="R4873" s="18" t="n">
        <x:v>0</x:v>
      </x:c>
      <x:c r="S4873" s="18" t="n">
        <x:v>573.0695097047202</x:v>
      </x:c>
      <x:c r="T4873" s="18" t="n">
        <x:v>656</x:v>
      </x:c>
      <x:c r="U4873" s="18" t="n">
        <x:v>573.0695097047202</x:v>
      </x:c>
      <x:c r="V4873" s="20" t="n">
        <x:v>12</x:v>
      </x:c>
      <x:c r="W4873" s="20" t="n">
        <x:v>5</x:v>
      </x:c>
      <x:c r="X4873" s="20" t="n">
        <x:v>3</x:v>
      </x:c>
      <x:c r="Y4873" t="str">
        <x:v>Basis arsip 2025/2024</x:v>
      </x:c>
      <x:c r="Z4873" t="str">
        <x:v>https://snpmb.id/utbk-snbt/daya-tampung-snbt</x:v>
      </x:c>
      <x:c r="AA4873" t="str">
        <x:v>Tidak Ada</x:v>
      </x:c>
      <x:c r="AB4873" t="str">
        <x:v>Campus=55; Ratio=28.4; Prodi=40; RelDemand=80.0; Capacity=55.0</x:v>
      </x:c>
    </x:row>
    <x:row r="4874">
      <x:c r="A4874" t="n">
        <x:v>4871</x:v>
      </x:c>
      <x:c r="B4874" t="str">
        <x:v>PTKIN</x:v>
      </x:c>
      <x:c r="C4874" t="str">
        <x:v>UIN WALISONGO</x:v>
      </x:c>
      <x:c r="D4874" t="str">
        <x:v>PSIKOLOGI</x:v>
      </x:c>
      <x:c r="E4874" t="str">
        <x:v>Sarjana</x:v>
      </x:c>
      <x:c r="F4874" s="18" t="n">
        <x:v>64</x:v>
      </x:c>
      <x:c r="G4874" s="18" t="n">
        <x:v>262</x:v>
      </x:c>
      <x:c r="H4874" s="19" t="n">
        <x:v>4.09375</x:v>
      </x:c>
      <x:c r="I4874" s="18" t="n">
        <x:f>ROUND(MIN(Model_Config_v3!$B$6,MAX(Q4874,R4874,S4874*Model_Config_v3!$B$4+T4874*Model_Config_v3!$B$5)),0)</x:f>
        <x:v>651</x:v>
      </x:c>
      <x:c r="J4874" s="18" t="n">
        <x:f>MIN(Model_Config_v3!$B$6,I4874+Model_Config_v3!$B$7)</x:f>
        <x:v>671</x:v>
      </x:c>
      <x:c r="K4874" s="20" t="n">
        <x:v>58.9</x:v>
      </x:c>
      <x:c r="L4874" t="str">
        <x:v>KETAT</x:v>
      </x:c>
      <x:c r="M4874" t="str">
        <x:v>SEDANG+</x:v>
      </x:c>
      <x:c r="N4874" t="str">
        <x:v>REGULER</x:v>
      </x:c>
      <x:c r="O4874" t="str">
        <x:v>SOSHUM</x:v>
      </x:c>
      <x:c r="P4874" t="str">
        <x:v>PSIKOLOGI</x:v>
      </x:c>
      <x:c r="Q4874" s="18" t="n">
        <x:v>0</x:v>
      </x:c>
      <x:c r="R4874" s="18" t="n">
        <x:v>0</x:v>
      </x:c>
      <x:c r="S4874" s="18" t="n">
        <x:v>587.3333449069444</x:v>
      </x:c>
      <x:c r="T4874" s="18" t="n">
        <x:v>678</x:v>
      </x:c>
      <x:c r="U4874" s="18" t="n">
        <x:v>612.3333449069444</x:v>
      </x:c>
      <x:c r="V4874" s="20" t="n">
        <x:v>4.4</x:v>
      </x:c>
      <x:c r="W4874" s="20" t="n">
        <x:v>14.3</x:v>
      </x:c>
      <x:c r="X4874" s="20" t="n">
        <x:v>3.3</x:v>
      </x:c>
      <x:c r="Y4874" t="str">
        <x:v>Basis arsip 2025/2024</x:v>
      </x:c>
      <x:c r="Z4874" t="str">
        <x:v>https://snpmb.id/utbk-snbt/daya-tampung-snbt</x:v>
      </x:c>
      <x:c r="AA4874" t="str">
        <x:v>Tidak Ada</x:v>
      </x:c>
      <x:c r="AB4874" t="str">
        <x:v>Campus=55; Ratio=36.0; Prodi=80; RelDemand=100.0; Capacity=46.7</x:v>
      </x:c>
    </x:row>
    <x:row r="4875">
      <x:c r="A4875" t="n">
        <x:v>4872</x:v>
      </x:c>
      <x:c r="B4875" t="str">
        <x:v>PTKIN</x:v>
      </x:c>
      <x:c r="C4875" t="str">
        <x:v>UIN WALISONGO</x:v>
      </x:c>
      <x:c r="D4875" t="str">
        <x:v>SOSIOLOGI</x:v>
      </x:c>
      <x:c r="E4875" t="str">
        <x:v>Sarjana</x:v>
      </x:c>
      <x:c r="F4875" s="18" t="n">
        <x:v>48</x:v>
      </x:c>
      <x:c r="G4875" s="18" t="n">
        <x:v>69</x:v>
      </x:c>
      <x:c r="H4875" s="19" t="n">
        <x:v>1.4375</x:v>
      </x:c>
      <x:c r="I4875" s="18" t="n">
        <x:f>ROUND(MIN(Model_Config_v3!$B$6,MAX(Q4875,R4875,S4875*Model_Config_v3!$B$4+T4875*Model_Config_v3!$B$5)),0)</x:f>
        <x:v>609</x:v>
      </x:c>
      <x:c r="J4875" s="18" t="n">
        <x:f>MIN(Model_Config_v3!$B$6,I4875+Model_Config_v3!$B$7)</x:f>
        <x:v>629</x:v>
      </x:c>
      <x:c r="K4875" s="20" t="n">
        <x:v>39.4</x:v>
      </x:c>
      <x:c r="L4875" t="str">
        <x:v>RELATIF LONGGAR</x:v>
      </x:c>
      <x:c r="M4875" t="str">
        <x:v>SEDANG</x:v>
      </x:c>
      <x:c r="N4875" t="str">
        <x:v>REGULER</x:v>
      </x:c>
      <x:c r="O4875" t="str">
        <x:v>SOSHUM</x:v>
      </x:c>
      <x:c r="P4875" t="str">
        <x:v>UMUM</x:v>
      </x:c>
      <x:c r="Q4875" s="18" t="n">
        <x:v>0</x:v>
      </x:c>
      <x:c r="R4875" s="18" t="n">
        <x:v>0</x:v>
      </x:c>
      <x:c r="S4875" s="18" t="n">
        <x:v>537.3368638697835</x:v>
      </x:c>
      <x:c r="T4875" s="18" t="n">
        <x:v>639</x:v>
      </x:c>
      <x:c r="U4875" s="18" t="n">
        <x:v>537.3368638697835</x:v>
      </x:c>
      <x:c r="V4875" s="20" t="n">
        <x:v>4.4</x:v>
      </x:c>
      <x:c r="W4875" s="20" t="n">
        <x:v>14.3</x:v>
      </x:c>
      <x:c r="X4875" s="20" t="n">
        <x:v>3.3</x:v>
      </x:c>
      <x:c r="Y4875" t="str">
        <x:v>Basis arsip 2025/2024</x:v>
      </x:c>
      <x:c r="Z4875" t="str">
        <x:v>https://snpmb.id/utbk-snbt/daya-tampung-snbt</x:v>
      </x:c>
      <x:c r="AA4875" t="str">
        <x:v>Tidak Ada</x:v>
      </x:c>
      <x:c r="AB4875" t="str">
        <x:v>Campus=55; Ratio=9.3; Prodi=40; RelDemand=37.9; Capacity=60.0</x:v>
      </x:c>
    </x:row>
    <x:row r="4876">
      <x:c r="A4876" t="n">
        <x:v>4873</x:v>
      </x:c>
      <x:c r="B4876" t="str">
        <x:v>PTKIN</x:v>
      </x:c>
      <x:c r="C4876" t="str">
        <x:v>UIN WALISONGO</x:v>
      </x:c>
      <x:c r="D4876" t="str">
        <x:v>ILMU POLITIK</x:v>
      </x:c>
      <x:c r="E4876" t="str">
        <x:v>Sarjana</x:v>
      </x:c>
      <x:c r="F4876" s="18" t="n">
        <x:v>48</x:v>
      </x:c>
      <x:c r="G4876" s="18" t="n">
        <x:v>49</x:v>
      </x:c>
      <x:c r="H4876" s="19" t="n">
        <x:v>1.0208333333333333</x:v>
      </x:c>
      <x:c r="I4876" s="18" t="n">
        <x:f>ROUND(MIN(Model_Config_v3!$B$6,MAX(Q4876,R4876,S4876*Model_Config_v3!$B$4+T4876*Model_Config_v3!$B$5)),0)</x:f>
        <x:v>599</x:v>
      </x:c>
      <x:c r="J4876" s="18" t="n">
        <x:f>MIN(Model_Config_v3!$B$6,I4876+Model_Config_v3!$B$7)</x:f>
        <x:v>619</x:v>
      </x:c>
      <x:c r="K4876" s="20" t="n">
        <x:v>36.1</x:v>
      </x:c>
      <x:c r="L4876" t="str">
        <x:v>RELATIF LONGGAR</x:v>
      </x:c>
      <x:c r="M4876" t="str">
        <x:v>SEDANG</x:v>
      </x:c>
      <x:c r="N4876" t="str">
        <x:v>REGULER</x:v>
      </x:c>
      <x:c r="O4876" t="str">
        <x:v>SOSHUM</x:v>
      </x:c>
      <x:c r="P4876" t="str">
        <x:v>UMUM</x:v>
      </x:c>
      <x:c r="Q4876" s="18" t="n">
        <x:v>0</x:v>
      </x:c>
      <x:c r="R4876" s="18" t="n">
        <x:v>0</x:v>
      </x:c>
      <x:c r="S4876" s="18" t="n">
        <x:v>520.9850326918219</x:v>
      </x:c>
      <x:c r="T4876" s="18" t="n">
        <x:v>632</x:v>
      </x:c>
      <x:c r="U4876" s="18" t="n">
        <x:v>520.9850326918219</x:v>
      </x:c>
      <x:c r="V4876" s="20" t="n">
        <x:v>4.4</x:v>
      </x:c>
      <x:c r="W4876" s="20" t="n">
        <x:v>14.3</x:v>
      </x:c>
      <x:c r="X4876" s="20" t="n">
        <x:v>3.3</x:v>
      </x:c>
      <x:c r="Y4876" t="str">
        <x:v>Basis arsip 2025/2024</x:v>
      </x:c>
      <x:c r="Z4876" t="str">
        <x:v>https://snpmb.id/utbk-snbt/daya-tampung-snbt</x:v>
      </x:c>
      <x:c r="AA4876" t="str">
        <x:v>Tidak Ada</x:v>
      </x:c>
      <x:c r="AB4876" t="str">
        <x:v>Campus=55; Ratio=0.5; Prodi=40; RelDemand=26.9; Capacity=60.0</x:v>
      </x:c>
    </x:row>
    <x:row r="4877">
      <x:c r="A4877" t="n">
        <x:v>4874</x:v>
      </x:c>
      <x:c r="B4877" t="str">
        <x:v>PTKIN</x:v>
      </x:c>
      <x:c r="C4877" t="str">
        <x:v>UIN WALISONGO</x:v>
      </x:c>
      <x:c r="D4877" t="str">
        <x:v>ILMU HUKUM</x:v>
      </x:c>
      <x:c r="E4877" t="str">
        <x:v>Sarjana</x:v>
      </x:c>
      <x:c r="F4877" s="18" t="n">
        <x:v>92</x:v>
      </x:c>
      <x:c r="G4877" s="18" t="n">
        <x:v>169</x:v>
      </x:c>
      <x:c r="H4877" s="19" t="n">
        <x:v>1.8369565217391304</x:v>
      </x:c>
      <x:c r="I4877" s="18" t="n">
        <x:f>ROUND(MIN(Model_Config_v3!$B$6,MAX(Q4877,R4877,S4877*Model_Config_v3!$B$4+T4877*Model_Config_v3!$B$5)),0)</x:f>
        <x:v>618</x:v>
      </x:c>
      <x:c r="J4877" s="18" t="n">
        <x:f>MIN(Model_Config_v3!$B$6,I4877+Model_Config_v3!$B$7)</x:f>
        <x:v>638</x:v>
      </x:c>
      <x:c r="K4877" s="20" t="n">
        <x:v>43.3</x:v>
      </x:c>
      <x:c r="L4877" t="str">
        <x:v>RELATIF LONGGAR</x:v>
      </x:c>
      <x:c r="M4877" t="str">
        <x:v>SEDANG+</x:v>
      </x:c>
      <x:c r="N4877" t="str">
        <x:v>REGULER</x:v>
      </x:c>
      <x:c r="O4877" t="str">
        <x:v>SOSHUM</x:v>
      </x:c>
      <x:c r="P4877" t="str">
        <x:v>HUKUM</x:v>
      </x:c>
      <x:c r="Q4877" s="18" t="n">
        <x:v>0</x:v>
      </x:c>
      <x:c r="R4877" s="18" t="n">
        <x:v>0</x:v>
      </x:c>
      <x:c r="S4877" s="18" t="n">
        <x:v>549.050876499493</x:v>
      </x:c>
      <x:c r="T4877" s="18" t="n">
        <x:v>647</x:v>
      </x:c>
      <x:c r="U4877" s="18" t="n">
        <x:v>564.050876499493</x:v>
      </x:c>
      <x:c r="V4877" s="20" t="n">
        <x:v>4.4</x:v>
      </x:c>
      <x:c r="W4877" s="20" t="n">
        <x:v>14.3</x:v>
      </x:c>
      <x:c r="X4877" s="20" t="n">
        <x:v>3.3</x:v>
      </x:c>
      <x:c r="Y4877" t="str">
        <x:v>Basis arsip 2025/2024</x:v>
      </x:c>
      <x:c r="Z4877" t="str">
        <x:v>https://snpmb.id/utbk-snbt/daya-tampung-snbt</x:v>
      </x:c>
      <x:c r="AA4877" t="str">
        <x:v>Tidak Ada</x:v>
      </x:c>
      <x:c r="AB4877" t="str">
        <x:v>Campus=55; Ratio=15.5; Prodi=65; RelDemand=48.4; Capacity=23.3</x:v>
      </x:c>
    </x:row>
    <x:row r="4878">
      <x:c r="A4878" t="n">
        <x:v>4875</x:v>
      </x:c>
      <x:c r="B4878" t="str">
        <x:v>PTKIN</x:v>
      </x:c>
      <x:c r="C4878" t="str">
        <x:v>UIN WALISONGO</x:v>
      </x:c>
      <x:c r="D4878" t="str">
        <x:v>MANAJEMEN</x:v>
      </x:c>
      <x:c r="E4878" t="str">
        <x:v>Sarjana</x:v>
      </x:c>
      <x:c r="F4878" s="18" t="n">
        <x:v>76</x:v>
      </x:c>
      <x:c r="G4878" s="18" t="n">
        <x:v>271</x:v>
      </x:c>
      <x:c r="H4878" s="19" t="n">
        <x:v>3.5657894736842106</x:v>
      </x:c>
      <x:c r="I4878" s="18" t="n">
        <x:f>ROUND(MIN(Model_Config_v3!$B$6,MAX(Q4878,R4878,S4878*Model_Config_v3!$B$4+T4878*Model_Config_v3!$B$5)),0)</x:f>
        <x:v>641</x:v>
      </x:c>
      <x:c r="J4878" s="18" t="n">
        <x:f>MIN(Model_Config_v3!$B$6,I4878+Model_Config_v3!$B$7)</x:f>
        <x:v>661</x:v>
      </x:c>
      <x:c r="K4878" s="20" t="n">
        <x:v>53.4</x:v>
      </x:c>
      <x:c r="L4878" t="str">
        <x:v>MENENGAH</x:v>
      </x:c>
      <x:c r="M4878" t="str">
        <x:v>SEDANG+</x:v>
      </x:c>
      <x:c r="N4878" t="str">
        <x:v>REGULER</x:v>
      </x:c>
      <x:c r="O4878" t="str">
        <x:v>SOSHUM</x:v>
      </x:c>
      <x:c r="P4878" t="str">
        <x:v>BISNIS/EKONOMI/AKUNTANSI</x:v>
      </x:c>
      <x:c r="Q4878" s="18" t="n">
        <x:v>0</x:v>
      </x:c>
      <x:c r="R4878" s="18" t="n">
        <x:v>0</x:v>
      </x:c>
      <x:c r="S4878" s="18" t="n">
        <x:v>580.7371268452976</x:v>
      </x:c>
      <x:c r="T4878" s="18" t="n">
        <x:v>667</x:v>
      </x:c>
      <x:c r="U4878" s="18" t="n">
        <x:v>595.7371268452976</x:v>
      </x:c>
      <x:c r="V4878" s="20" t="n">
        <x:v>4.4</x:v>
      </x:c>
      <x:c r="W4878" s="20" t="n">
        <x:v>14.3</x:v>
      </x:c>
      <x:c r="X4878" s="20" t="n">
        <x:v>3.3</x:v>
      </x:c>
      <x:c r="Y4878" t="str">
        <x:v>Basis arsip 2025/2024</x:v>
      </x:c>
      <x:c r="Z4878" t="str">
        <x:v>https://snpmb.id/utbk-snbt/daya-tampung-snbt</x:v>
      </x:c>
      <x:c r="AA4878" t="str">
        <x:v>Tidak Ada</x:v>
      </x:c>
      <x:c r="AB4878" t="str">
        <x:v>Campus=55; Ratio=32.5; Prodi=65; RelDemand=93.9; Capacity=36.7</x:v>
      </x:c>
    </x:row>
    <x:row r="4879">
      <x:c r="A4879" t="n">
        <x:v>4876</x:v>
      </x:c>
      <x:c r="B4879" t="str">
        <x:v>PTKIN</x:v>
      </x:c>
      <x:c r="C4879" t="str">
        <x:v>UIN WALISONGO</x:v>
      </x:c>
      <x:c r="D4879" t="str">
        <x:v>TEKNIK LINGKUNGAN</x:v>
      </x:c>
      <x:c r="E4879" t="str">
        <x:v>Sarjana</x:v>
      </x:c>
      <x:c r="F4879" s="18" t="n">
        <x:v>56</x:v>
      </x:c>
      <x:c r="G4879" s="18" t="n">
        <x:v>74</x:v>
      </x:c>
      <x:c r="H4879" s="19" t="n">
        <x:v>1.3214285714285714</x:v>
      </x:c>
      <x:c r="I4879" s="18" t="n">
        <x:f>ROUND(MIN(Model_Config_v3!$B$6,MAX(Q4879,R4879,S4879*Model_Config_v3!$B$4+T4879*Model_Config_v3!$B$5)),0)</x:f>
        <x:v>611</x:v>
      </x:c>
      <x:c r="J4879" s="18" t="n">
        <x:f>MIN(Model_Config_v3!$B$6,I4879+Model_Config_v3!$B$7)</x:f>
        <x:v>631</x:v>
      </x:c>
      <x:c r="K4879" s="20" t="n">
        <x:v>41.8</x:v>
      </x:c>
      <x:c r="L4879" t="str">
        <x:v>RELATIF LONGGAR</x:v>
      </x:c>
      <x:c r="M4879" t="str">
        <x:v>SEDANG+</x:v>
      </x:c>
      <x:c r="N4879" t="str">
        <x:v>REGULER</x:v>
      </x:c>
      <x:c r="O4879" t="str">
        <x:v>SAINTEK</x:v>
      </x:c>
      <x:c r="P4879" t="str">
        <x:v>TEKNIK/ARSITEKTUR/STATISTIKA/AKTUARIA</x:v>
      </x:c>
      <x:c r="Q4879" s="18" t="n">
        <x:v>0</x:v>
      </x:c>
      <x:c r="R4879" s="18" t="n">
        <x:v>0</x:v>
      </x:c>
      <x:c r="S4879" s="18" t="n">
        <x:v>533.3148061997254</x:v>
      </x:c>
      <x:c r="T4879" s="18" t="n">
        <x:v>644</x:v>
      </x:c>
      <x:c r="U4879" s="18" t="n">
        <x:v>543.3148061997254</x:v>
      </x:c>
      <x:c r="V4879" s="20" t="n">
        <x:v>12</x:v>
      </x:c>
      <x:c r="W4879" s="20" t="n">
        <x:v>5</x:v>
      </x:c>
      <x:c r="X4879" s="20" t="n">
        <x:v>3</x:v>
      </x:c>
      <x:c r="Y4879" t="str">
        <x:v>Basis arsip 2025/2024</x:v>
      </x:c>
      <x:c r="Z4879" t="str">
        <x:v>https://snpmb.id/utbk-snbt/daya-tampung-snbt</x:v>
      </x:c>
      <x:c r="AA4879" t="str">
        <x:v>Tidak Ada</x:v>
      </x:c>
      <x:c r="AB4879" t="str">
        <x:v>Campus=55; Ratio=7.1; Prodi=60; RelDemand=34.8; Capacity=53.3</x:v>
      </x:c>
    </x:row>
    <x:row r="4880">
      <x:c r="A4880" t="n">
        <x:v>4877</x:v>
      </x:c>
      <x:c r="B4880" t="str">
        <x:v>PTKIN</x:v>
      </x:c>
      <x:c r="C4880" t="str">
        <x:v>UIN RADEN MAS SAID SURAKARTA</x:v>
      </x:c>
      <x:c r="D4880" t="str">
        <x:v>ILMU LINGKUNGAN</x:v>
      </x:c>
      <x:c r="E4880" t="str">
        <x:v>Sarjana</x:v>
      </x:c>
      <x:c r="F4880" s="18" t="n">
        <x:v>28</x:v>
      </x:c>
      <x:c r="G4880" s="18" t="n">
        <x:v>70</x:v>
      </x:c>
      <x:c r="H4880" s="19" t="n">
        <x:v>2.5</x:v>
      </x:c>
      <x:c r="I4880" s="18" t="n">
        <x:f>ROUND(MIN(Model_Config_v3!$B$6,MAX(Q4880,R4880,S4880*Model_Config_v3!$B$4+T4880*Model_Config_v3!$B$5)),0)</x:f>
        <x:v>626</x:v>
      </x:c>
      <x:c r="J4880" s="18" t="n">
        <x:f>MIN(Model_Config_v3!$B$6,I4880+Model_Config_v3!$B$7)</x:f>
        <x:v>646</x:v>
      </x:c>
      <x:c r="K4880" s="20" t="n">
        <x:v>46.2</x:v>
      </x:c>
      <x:c r="L4880" t="str">
        <x:v>MENENGAH</x:v>
      </x:c>
      <x:c r="M4880" t="str">
        <x:v>SEDANG</x:v>
      </x:c>
      <x:c r="N4880" t="str">
        <x:v>REGULER</x:v>
      </x:c>
      <x:c r="O4880" t="str">
        <x:v>CAMPURAN</x:v>
      </x:c>
      <x:c r="P4880" t="str">
        <x:v>UMUM</x:v>
      </x:c>
      <x:c r="Q4880" s="18" t="n">
        <x:v>0</x:v>
      </x:c>
      <x:c r="R4880" s="18" t="n">
        <x:v>0</x:v>
      </x:c>
      <x:c r="S4880" s="18" t="n">
        <x:v>563.7734009539241</x:v>
      </x:c>
      <x:c r="T4880" s="18" t="n">
        <x:v>652</x:v>
      </x:c>
      <x:c r="U4880" s="18" t="n">
        <x:v>563.7734009539241</x:v>
      </x:c>
      <x:c r="V4880" s="20" t="n">
        <x:v>8.8</x:v>
      </x:c>
      <x:c r="W4880" s="20" t="n">
        <x:v>9.9</x:v>
      </x:c>
      <x:c r="X4880" s="20" t="n">
        <x:v>3.3</x:v>
      </x:c>
      <x:c r="Y4880" t="str">
        <x:v>Basis arsip 2025/2024</x:v>
      </x:c>
      <x:c r="Z4880" t="str">
        <x:v>https://snpmb.id/utbk-snbt/daya-tampung-snbt</x:v>
      </x:c>
      <x:c r="AA4880" t="str">
        <x:v>Tidak Ada</x:v>
      </x:c>
      <x:c r="AB4880" t="str">
        <x:v>Campus=55; Ratio=23.4; Prodi=40; RelDemand=54.1; Capacity=76.7</x:v>
      </x:c>
    </x:row>
    <x:row r="4881">
      <x:c r="A4881" t="n">
        <x:v>4878</x:v>
      </x:c>
      <x:c r="B4881" t="str">
        <x:v>PTKIN</x:v>
      </x:c>
      <x:c r="C4881" t="str">
        <x:v>UIN RADEN MAS SAID SURAKARTA</x:v>
      </x:c>
      <x:c r="D4881" t="str">
        <x:v>TEKNOLOGI PANGAN</x:v>
      </x:c>
      <x:c r="E4881" t="str">
        <x:v>Sarjana</x:v>
      </x:c>
      <x:c r="F4881" s="18" t="n">
        <x:v>28</x:v>
      </x:c>
      <x:c r="G4881" s="18" t="n">
        <x:v>101</x:v>
      </x:c>
      <x:c r="H4881" s="19" t="n">
        <x:v>3.607142857142857</x:v>
      </x:c>
      <x:c r="I4881" s="18" t="n">
        <x:f>ROUND(MIN(Model_Config_v3!$B$6,MAX(Q4881,R4881,S4881*Model_Config_v3!$B$4+T4881*Model_Config_v3!$B$5)),0)</x:f>
        <x:v>638</x:v>
      </x:c>
      <x:c r="J4881" s="18" t="n">
        <x:f>MIN(Model_Config_v3!$B$6,I4881+Model_Config_v3!$B$7)</x:f>
        <x:v>658</x:v>
      </x:c>
      <x:c r="K4881" s="20" t="n">
        <x:v>50.9</x:v>
      </x:c>
      <x:c r="L4881" t="str">
        <x:v>MENENGAH</x:v>
      </x:c>
      <x:c r="M4881" t="str">
        <x:v>SEDANG</x:v>
      </x:c>
      <x:c r="N4881" t="str">
        <x:v>REGULER</x:v>
      </x:c>
      <x:c r="O4881" t="str">
        <x:v>SAINTEK</x:v>
      </x:c>
      <x:c r="P4881" t="str">
        <x:v>UMUM</x:v>
      </x:c>
      <x:c r="Q4881" s="18" t="n">
        <x:v>0</x:v>
      </x:c>
      <x:c r="R4881" s="18" t="n">
        <x:v>0</x:v>
      </x:c>
      <x:c r="S4881" s="18" t="n">
        <x:v>581.2879676684465</x:v>
      </x:c>
      <x:c r="T4881" s="18" t="n">
        <x:v>662</x:v>
      </x:c>
      <x:c r="U4881" s="18" t="n">
        <x:v>581.2879676684465</x:v>
      </x:c>
      <x:c r="V4881" s="20" t="n">
        <x:v>12</x:v>
      </x:c>
      <x:c r="W4881" s="20" t="n">
        <x:v>5</x:v>
      </x:c>
      <x:c r="X4881" s="20" t="n">
        <x:v>3</x:v>
      </x:c>
      <x:c r="Y4881" t="str">
        <x:v>Basis arsip 2025/2024</x:v>
      </x:c>
      <x:c r="Z4881" t="str">
        <x:v>https://snpmb.id/utbk-snbt/daya-tampung-snbt</x:v>
      </x:c>
      <x:c r="AA4881" t="str">
        <x:v>Tidak Ada</x:v>
      </x:c>
      <x:c r="AB4881" t="str">
        <x:v>Campus=55; Ratio=32.8; Prodi=40; RelDemand=78.0; Capacity=76.7</x:v>
      </x:c>
    </x:row>
    <x:row r="4882">
      <x:c r="A4882" t="n">
        <x:v>4879</x:v>
      </x:c>
      <x:c r="B4882" t="str">
        <x:v>PTKIN</x:v>
      </x:c>
      <x:c r="C4882" t="str">
        <x:v>UIN RADEN MAS SAID SURAKARTA</x:v>
      </x:c>
      <x:c r="D4882" t="str">
        <x:v>SAINS DATA</x:v>
      </x:c>
      <x:c r="E4882" t="str">
        <x:v>Sarjana</x:v>
      </x:c>
      <x:c r="F4882" s="18" t="n">
        <x:v>28</x:v>
      </x:c>
      <x:c r="G4882" s="18" t="n">
        <x:v>57</x:v>
      </x:c>
      <x:c r="H4882" s="19" t="n">
        <x:v>2.0357142857142856</x:v>
      </x:c>
      <x:c r="I4882" s="18" t="n">
        <x:f>ROUND(MIN(Model_Config_v3!$B$6,MAX(Q4882,R4882,S4882*Model_Config_v3!$B$4+T4882*Model_Config_v3!$B$5)),0)</x:f>
        <x:v>620</x:v>
      </x:c>
      <x:c r="J4882" s="18" t="n">
        <x:f>MIN(Model_Config_v3!$B$6,I4882+Model_Config_v3!$B$7)</x:f>
        <x:v>640</x:v>
      </x:c>
      <x:c r="K4882" s="20" t="n">
        <x:v>43.9</x:v>
      </x:c>
      <x:c r="L4882" t="str">
        <x:v>RELATIF LONGGAR</x:v>
      </x:c>
      <x:c r="M4882" t="str">
        <x:v>SEDANG</x:v>
      </x:c>
      <x:c r="N4882" t="str">
        <x:v>REGULER</x:v>
      </x:c>
      <x:c r="O4882" t="str">
        <x:v>CAMPURAN</x:v>
      </x:c>
      <x:c r="P4882" t="str">
        <x:v>UMUM</x:v>
      </x:c>
      <x:c r="Q4882" s="18" t="n">
        <x:v>0</x:v>
      </x:c>
      <x:c r="R4882" s="18" t="n">
        <x:v>0</x:v>
      </x:c>
      <x:c r="S4882" s="18" t="n">
        <x:v>553.9588506763299</x:v>
      </x:c>
      <x:c r="T4882" s="18" t="n">
        <x:v>648</x:v>
      </x:c>
      <x:c r="U4882" s="18" t="n">
        <x:v>553.9588506763299</x:v>
      </x:c>
      <x:c r="V4882" s="20" t="n">
        <x:v>8.8</x:v>
      </x:c>
      <x:c r="W4882" s="20" t="n">
        <x:v>9.9</x:v>
      </x:c>
      <x:c r="X4882" s="20" t="n">
        <x:v>3.3</x:v>
      </x:c>
      <x:c r="Y4882" t="str">
        <x:v>Basis arsip 2025/2024</x:v>
      </x:c>
      <x:c r="Z4882" t="str">
        <x:v>https://snpmb.id/utbk-snbt/daya-tampung-snbt</x:v>
      </x:c>
      <x:c r="AA4882" t="str">
        <x:v>Tidak Ada</x:v>
      </x:c>
      <x:c r="AB4882" t="str">
        <x:v>Campus=55; Ratio=18.2; Prodi=40; RelDemand=44.0; Capacity=76.7</x:v>
      </x:c>
    </x:row>
    <x:row r="4883">
      <x:c r="A4883" t="n">
        <x:v>4880</x:v>
      </x:c>
      <x:c r="B4883" t="str">
        <x:v>PTKIN</x:v>
      </x:c>
      <x:c r="C4883" t="str">
        <x:v>UIN RADEN MAS SAID SURAKARTA</x:v>
      </x:c>
      <x:c r="D4883" t="str">
        <x:v>BIOTEKNOLOGI</x:v>
      </x:c>
      <x:c r="E4883" t="str">
        <x:v>Sarjana</x:v>
      </x:c>
      <x:c r="F4883" s="18" t="n">
        <x:v>28</x:v>
      </x:c>
      <x:c r="G4883" s="18" t="n">
        <x:v>31</x:v>
      </x:c>
      <x:c r="H4883" s="19" t="n">
        <x:v>1.1071428571428572</x:v>
      </x:c>
      <x:c r="I4883" s="18" t="n">
        <x:f>ROUND(MIN(Model_Config_v3!$B$6,MAX(Q4883,R4883,S4883*Model_Config_v3!$B$4+T4883*Model_Config_v3!$B$5)),0)</x:f>
        <x:v>603</x:v>
      </x:c>
      <x:c r="J4883" s="18" t="n">
        <x:f>MIN(Model_Config_v3!$B$6,I4883+Model_Config_v3!$B$7)</x:f>
        <x:v>623</x:v>
      </x:c>
      <x:c r="K4883" s="20" t="n">
        <x:v>38</x:v>
      </x:c>
      <x:c r="L4883" t="str">
        <x:v>RELATIF LONGGAR</x:v>
      </x:c>
      <x:c r="M4883" t="str">
        <x:v>SEDANG</x:v>
      </x:c>
      <x:c r="N4883" t="str">
        <x:v>REGULER</x:v>
      </x:c>
      <x:c r="O4883" t="str">
        <x:v>SAINTEK</x:v>
      </x:c>
      <x:c r="P4883" t="str">
        <x:v>UMUM</x:v>
      </x:c>
      <x:c r="Q4883" s="18" t="n">
        <x:v>0</x:v>
      </x:c>
      <x:c r="R4883" s="18" t="n">
        <x:v>0</x:v>
      </x:c>
      <x:c r="S4883" s="18" t="n">
        <x:v>524.8624028741259</x:v>
      </x:c>
      <x:c r="T4883" s="18" t="n">
        <x:v>636</x:v>
      </x:c>
      <x:c r="U4883" s="18" t="n">
        <x:v>524.8624028741259</x:v>
      </x:c>
      <x:c r="V4883" s="20" t="n">
        <x:v>12</x:v>
      </x:c>
      <x:c r="W4883" s="20" t="n">
        <x:v>5</x:v>
      </x:c>
      <x:c r="X4883" s="20" t="n">
        <x:v>3</x:v>
      </x:c>
      <x:c r="Y4883" t="str">
        <x:v>Basis arsip 2025/2024</x:v>
      </x:c>
      <x:c r="Z4883" t="str">
        <x:v>https://snpmb.id/utbk-snbt/daya-tampung-snbt</x:v>
      </x:c>
      <x:c r="AA4883" t="str">
        <x:v>Tidak Ada</x:v>
      </x:c>
      <x:c r="AB4883" t="str">
        <x:v>Campus=55; Ratio=2.6; Prodi=40; RelDemand=23.9; Capacity=76.7</x:v>
      </x:c>
    </x:row>
    <x:row r="4884">
      <x:c r="A4884" t="n">
        <x:v>4881</x:v>
      </x:c>
      <x:c r="B4884" t="str">
        <x:v>PTKIN</x:v>
      </x:c>
      <x:c r="C4884" t="str">
        <x:v>UIN SUNAN KALIJAGA</x:v>
      </x:c>
      <x:c r="D4884" t="str">
        <x:v>MATEMATIKA</x:v>
      </x:c>
      <x:c r="E4884" t="str">
        <x:v>Sarjana</x:v>
      </x:c>
      <x:c r="F4884" s="18" t="n">
        <x:v>65</x:v>
      </x:c>
      <x:c r="G4884" s="18" t="n">
        <x:v>30</x:v>
      </x:c>
      <x:c r="H4884" s="19" t="n">
        <x:v>0.46153846153846156</x:v>
      </x:c>
      <x:c r="I4884" s="18" t="n">
        <x:f>ROUND(MIN(Model_Config_v3!$B$6,MAX(Q4884,R4884,S4884*Model_Config_v3!$B$4+T4884*Model_Config_v3!$B$5)),0)</x:f>
        <x:v>596</x:v>
      </x:c>
      <x:c r="J4884" s="18" t="n">
        <x:f>MIN(Model_Config_v3!$B$6,I4884+Model_Config_v3!$B$7)</x:f>
        <x:v>616</x:v>
      </x:c>
      <x:c r="K4884" s="20" t="n">
        <x:v>34.6</x:v>
      </x:c>
      <x:c r="L4884" t="str">
        <x:v>RELATIF LONGGAR</x:v>
      </x:c>
      <x:c r="M4884" t="str">
        <x:v>SEDANG+</x:v>
      </x:c>
      <x:c r="N4884" t="str">
        <x:v>REGULER</x:v>
      </x:c>
      <x:c r="O4884" t="str">
        <x:v>SAINTEK</x:v>
      </x:c>
      <x:c r="P4884" t="str">
        <x:v>SAINS DASAR</x:v>
      </x:c>
      <x:c r="Q4884" s="18" t="n">
        <x:v>0</x:v>
      </x:c>
      <x:c r="R4884" s="18" t="n">
        <x:v>0</x:v>
      </x:c>
      <x:c r="S4884" s="18" t="n">
        <x:v>520</x:v>
      </x:c>
      <x:c r="T4884" s="18" t="n">
        <x:v>629</x:v>
      </x:c>
      <x:c r="U4884" s="18" t="n">
        <x:v>520</x:v>
      </x:c>
      <x:c r="V4884" s="20" t="n">
        <x:v>12</x:v>
      </x:c>
      <x:c r="W4884" s="20" t="n">
        <x:v>5</x:v>
      </x:c>
      <x:c r="X4884" s="20" t="n">
        <x:v>3</x:v>
      </x:c>
      <x:c r="Y4884" t="str">
        <x:v>Basis arsip 2025/2024</x:v>
      </x:c>
      <x:c r="Z4884" t="str">
        <x:v>https://snpmb.id/utbk-snbt/daya-tampung-snbt</x:v>
      </x:c>
      <x:c r="AA4884" t="str">
        <x:v>Tidak Ada</x:v>
      </x:c>
      <x:c r="AB4884" t="str">
        <x:v>Campus=55; Ratio=0.0; Prodi=50; RelDemand=7.8; Capacity=45.8</x:v>
      </x:c>
    </x:row>
    <x:row r="4885">
      <x:c r="A4885" t="n">
        <x:v>4882</x:v>
      </x:c>
      <x:c r="B4885" t="str">
        <x:v>PTKIN</x:v>
      </x:c>
      <x:c r="C4885" t="str">
        <x:v>UIN SUNAN KALIJAGA</x:v>
      </x:c>
      <x:c r="D4885" t="str">
        <x:v>FISIKA</x:v>
      </x:c>
      <x:c r="E4885" t="str">
        <x:v>Sarjana</x:v>
      </x:c>
      <x:c r="F4885" s="18" t="n">
        <x:v>35</x:v>
      </x:c>
      <x:c r="G4885" s="18" t="n">
        <x:v>24</x:v>
      </x:c>
      <x:c r="H4885" s="19" t="n">
        <x:v>0.6857142857142857</x:v>
      </x:c>
      <x:c r="I4885" s="18" t="n">
        <x:f>ROUND(MIN(Model_Config_v3!$B$6,MAX(Q4885,R4885,S4885*Model_Config_v3!$B$4+T4885*Model_Config_v3!$B$5)),0)</x:f>
        <x:v>601</x:v>
      </x:c>
      <x:c r="J4885" s="18" t="n">
        <x:f>MIN(Model_Config_v3!$B$6,I4885+Model_Config_v3!$B$7)</x:f>
        <x:v>621</x:v>
      </x:c>
      <x:c r="K4885" s="20" t="n">
        <x:v>37.5</x:v>
      </x:c>
      <x:c r="L4885" t="str">
        <x:v>RELATIF LONGGAR</x:v>
      </x:c>
      <x:c r="M4885" t="str">
        <x:v>SEDANG+</x:v>
      </x:c>
      <x:c r="N4885" t="str">
        <x:v>REGULER</x:v>
      </x:c>
      <x:c r="O4885" t="str">
        <x:v>SAINTEK</x:v>
      </x:c>
      <x:c r="P4885" t="str">
        <x:v>SAINS DASAR</x:v>
      </x:c>
      <x:c r="Q4885" s="18" t="n">
        <x:v>0</x:v>
      </x:c>
      <x:c r="R4885" s="18" t="n">
        <x:v>0</x:v>
      </x:c>
      <x:c r="S4885" s="18" t="n">
        <x:v>520</x:v>
      </x:c>
      <x:c r="T4885" s="18" t="n">
        <x:v>635</x:v>
      </x:c>
      <x:c r="U4885" s="18" t="n">
        <x:v>520</x:v>
      </x:c>
      <x:c r="V4885" s="20" t="n">
        <x:v>12</x:v>
      </x:c>
      <x:c r="W4885" s="20" t="n">
        <x:v>5</x:v>
      </x:c>
      <x:c r="X4885" s="20" t="n">
        <x:v>3</x:v>
      </x:c>
      <x:c r="Y4885" t="str">
        <x:v>Basis arsip 2025/2024</x:v>
      </x:c>
      <x:c r="Z4885" t="str">
        <x:v>https://snpmb.id/utbk-snbt/daya-tampung-snbt</x:v>
      </x:c>
      <x:c r="AA4885" t="str">
        <x:v>Tidak Ada</x:v>
      </x:c>
      <x:c r="AB4885" t="str">
        <x:v>Campus=55; Ratio=0.0; Prodi=50; RelDemand=11.6; Capacity=70.8</x:v>
      </x:c>
    </x:row>
    <x:row r="4886">
      <x:c r="A4886" t="n">
        <x:v>4883</x:v>
      </x:c>
      <x:c r="B4886" t="str">
        <x:v>PTKIN</x:v>
      </x:c>
      <x:c r="C4886" t="str">
        <x:v>UIN SUNAN KALIJAGA</x:v>
      </x:c>
      <x:c r="D4886" t="str">
        <x:v>KIMIA</x:v>
      </x:c>
      <x:c r="E4886" t="str">
        <x:v>Sarjana</x:v>
      </x:c>
      <x:c r="F4886" s="18" t="n">
        <x:v>50</x:v>
      </x:c>
      <x:c r="G4886" s="18" t="n">
        <x:v>45</x:v>
      </x:c>
      <x:c r="H4886" s="19" t="n">
        <x:v>0.9</x:v>
      </x:c>
      <x:c r="I4886" s="18" t="n">
        <x:f>ROUND(MIN(Model_Config_v3!$B$6,MAX(Q4886,R4886,S4886*Model_Config_v3!$B$4+T4886*Model_Config_v3!$B$5)),0)</x:f>
        <x:v>599</x:v>
      </x:c>
      <x:c r="J4886" s="18" t="n">
        <x:f>MIN(Model_Config_v3!$B$6,I4886+Model_Config_v3!$B$7)</x:f>
        <x:v>619</x:v>
      </x:c>
      <x:c r="K4886" s="20" t="n">
        <x:v>36.6</x:v>
      </x:c>
      <x:c r="L4886" t="str">
        <x:v>RELATIF LONGGAR</x:v>
      </x:c>
      <x:c r="M4886" t="str">
        <x:v>SEDANG+</x:v>
      </x:c>
      <x:c r="N4886" t="str">
        <x:v>REGULER</x:v>
      </x:c>
      <x:c r="O4886" t="str">
        <x:v>SAINTEK</x:v>
      </x:c>
      <x:c r="P4886" t="str">
        <x:v>SAINS DASAR</x:v>
      </x:c>
      <x:c r="Q4886" s="18" t="n">
        <x:v>0</x:v>
      </x:c>
      <x:c r="R4886" s="18" t="n">
        <x:v>0</x:v>
      </x:c>
      <x:c r="S4886" s="18" t="n">
        <x:v>520</x:v>
      </x:c>
      <x:c r="T4886" s="18" t="n">
        <x:v>633</x:v>
      </x:c>
      <x:c r="U4886" s="18" t="n">
        <x:v>520</x:v>
      </x:c>
      <x:c r="V4886" s="20" t="n">
        <x:v>12</x:v>
      </x:c>
      <x:c r="W4886" s="20" t="n">
        <x:v>5</x:v>
      </x:c>
      <x:c r="X4886" s="20" t="n">
        <x:v>3</x:v>
      </x:c>
      <x:c r="Y4886" t="str">
        <x:v>Basis arsip 2025/2024</x:v>
      </x:c>
      <x:c r="Z4886" t="str">
        <x:v>https://snpmb.id/utbk-snbt/daya-tampung-snbt</x:v>
      </x:c>
      <x:c r="AA4886" t="str">
        <x:v>Tidak Ada</x:v>
      </x:c>
      <x:c r="AB4886" t="str">
        <x:v>Campus=55; Ratio=0.0; Prodi=50; RelDemand=15.3; Capacity=58.3</x:v>
      </x:c>
    </x:row>
    <x:row r="4887">
      <x:c r="A4887" t="n">
        <x:v>4884</x:v>
      </x:c>
      <x:c r="B4887" t="str">
        <x:v>PTKIN</x:v>
      </x:c>
      <x:c r="C4887" t="str">
        <x:v>UIN SUNAN KALIJAGA</x:v>
      </x:c>
      <x:c r="D4887" t="str">
        <x:v>BIOLOGI</x:v>
      </x:c>
      <x:c r="E4887" t="str">
        <x:v>Sarjana</x:v>
      </x:c>
      <x:c r="F4887" s="18" t="n">
        <x:v>50</x:v>
      </x:c>
      <x:c r="G4887" s="18" t="n">
        <x:v>57</x:v>
      </x:c>
      <x:c r="H4887" s="19" t="n">
        <x:v>1.14</x:v>
      </x:c>
      <x:c r="I4887" s="18" t="n">
        <x:f>ROUND(MIN(Model_Config_v3!$B$6,MAX(Q4887,R4887,S4887*Model_Config_v3!$B$4+T4887*Model_Config_v3!$B$5)),0)</x:f>
        <x:v>603</x:v>
      </x:c>
      <x:c r="J4887" s="18" t="n">
        <x:f>MIN(Model_Config_v3!$B$6,I4887+Model_Config_v3!$B$7)</x:f>
        <x:v>623</x:v>
      </x:c>
      <x:c r="K4887" s="20" t="n">
        <x:v>37.9</x:v>
      </x:c>
      <x:c r="L4887" t="str">
        <x:v>RELATIF LONGGAR</x:v>
      </x:c>
      <x:c r="M4887" t="str">
        <x:v>SEDANG+</x:v>
      </x:c>
      <x:c r="N4887" t="str">
        <x:v>REGULER</x:v>
      </x:c>
      <x:c r="O4887" t="str">
        <x:v>SAINTEK</x:v>
      </x:c>
      <x:c r="P4887" t="str">
        <x:v>SAINS DASAR</x:v>
      </x:c>
      <x:c r="Q4887" s="18" t="n">
        <x:v>0</x:v>
      </x:c>
      <x:c r="R4887" s="18" t="n">
        <x:v>0</x:v>
      </x:c>
      <x:c r="S4887" s="18" t="n">
        <x:v>526.259533647012</x:v>
      </x:c>
      <x:c r="T4887" s="18" t="n">
        <x:v>636</x:v>
      </x:c>
      <x:c r="U4887" s="18" t="n">
        <x:v>526.259533647012</x:v>
      </x:c>
      <x:c r="V4887" s="20" t="n">
        <x:v>12</x:v>
      </x:c>
      <x:c r="W4887" s="20" t="n">
        <x:v>5</x:v>
      </x:c>
      <x:c r="X4887" s="20" t="n">
        <x:v>3</x:v>
      </x:c>
      <x:c r="Y4887" t="str">
        <x:v>Basis arsip 2025/2024</x:v>
      </x:c>
      <x:c r="Z4887" t="str">
        <x:v>https://snpmb.id/utbk-snbt/daya-tampung-snbt</x:v>
      </x:c>
      <x:c r="AA4887" t="str">
        <x:v>Tidak Ada</x:v>
      </x:c>
      <x:c r="AB4887" t="str">
        <x:v>Campus=55; Ratio=3.3; Prodi=50; RelDemand=19.4; Capacity=58.3</x:v>
      </x:c>
    </x:row>
    <x:row r="4888">
      <x:c r="A4888" t="n">
        <x:v>4885</x:v>
      </x:c>
      <x:c r="B4888" t="str">
        <x:v>PTKIN</x:v>
      </x:c>
      <x:c r="C4888" t="str">
        <x:v>UIN SUNAN KALIJAGA</x:v>
      </x:c>
      <x:c r="D4888" t="str">
        <x:v>TEKNIK INFORMATIKA</x:v>
      </x:c>
      <x:c r="E4888" t="str">
        <x:v>Sarjana</x:v>
      </x:c>
      <x:c r="F4888" s="18" t="n">
        <x:v>65</x:v>
      </x:c>
      <x:c r="G4888" s="18" t="n">
        <x:v>442</x:v>
      </x:c>
      <x:c r="H4888" s="19" t="n">
        <x:v>6.8</x:v>
      </x:c>
      <x:c r="I4888" s="18" t="n">
        <x:f>ROUND(MIN(Model_Config_v3!$B$6,MAX(Q4888,R4888,S4888*Model_Config_v3!$B$4+T4888*Model_Config_v3!$B$5)),0)</x:f>
        <x:v>664</x:v>
      </x:c>
      <x:c r="J4888" s="18" t="n">
        <x:f>MIN(Model_Config_v3!$B$6,I4888+Model_Config_v3!$B$7)</x:f>
        <x:v>684</x:v>
      </x:c>
      <x:c r="K4888" s="20" t="n">
        <x:v>63.1</x:v>
      </x:c>
      <x:c r="L4888" t="str">
        <x:v>KETAT</x:v>
      </x:c>
      <x:c r="M4888" t="str">
        <x:v>SEDANG+</x:v>
      </x:c>
      <x:c r="N4888" t="str">
        <x:v>REGULER</x:v>
      </x:c>
      <x:c r="O4888" t="str">
        <x:v>SAINTEK</x:v>
      </x:c>
      <x:c r="P4888" t="str">
        <x:v>KOMPUTER/INFORMATIKA</x:v>
      </x:c>
      <x:c r="Q4888" s="18" t="n">
        <x:v>0</x:v>
      </x:c>
      <x:c r="R4888" s="18" t="n">
        <x:v>0</x:v>
      </x:c>
      <x:c r="S4888" s="18" t="n">
        <x:v>611.575980397686</x:v>
      </x:c>
      <x:c r="T4888" s="18" t="n">
        <x:v>686</x:v>
      </x:c>
      <x:c r="U4888" s="18" t="n">
        <x:v>636.575980397686</x:v>
      </x:c>
      <x:c r="V4888" s="20" t="n">
        <x:v>12</x:v>
      </x:c>
      <x:c r="W4888" s="20" t="n">
        <x:v>5</x:v>
      </x:c>
      <x:c r="X4888" s="20" t="n">
        <x:v>3</x:v>
      </x:c>
      <x:c r="Y4888" t="str">
        <x:v>Basis arsip 2025/2024</x:v>
      </x:c>
      <x:c r="Z4888" t="str">
        <x:v>https://snpmb.id/utbk-snbt/daya-tampung-snbt</x:v>
      </x:c>
      <x:c r="AA4888" t="str">
        <x:v>Tidak Ada</x:v>
      </x:c>
      <x:c r="AB4888" t="str">
        <x:v>Campus=55; Ratio=49.0; Prodi=85; RelDemand=100.0; Capacity=45.8</x:v>
      </x:c>
    </x:row>
    <x:row r="4889">
      <x:c r="A4889" t="n">
        <x:v>4886</x:v>
      </x:c>
      <x:c r="B4889" t="str">
        <x:v>PTKIN</x:v>
      </x:c>
      <x:c r="C4889" t="str">
        <x:v>UIN SUNAN KALIJAGA</x:v>
      </x:c>
      <x:c r="D4889" t="str">
        <x:v>TEKNIK INDUSTRI</x:v>
      </x:c>
      <x:c r="E4889" t="str">
        <x:v>Sarjana</x:v>
      </x:c>
      <x:c r="F4889" s="18" t="n">
        <x:v>50</x:v>
      </x:c>
      <x:c r="G4889" s="18" t="n">
        <x:v>236</x:v>
      </x:c>
      <x:c r="H4889" s="19" t="n">
        <x:v>4.72</x:v>
      </x:c>
      <x:c r="I4889" s="18" t="n">
        <x:f>ROUND(MIN(Model_Config_v3!$B$6,MAX(Q4889,R4889,S4889*Model_Config_v3!$B$4+T4889*Model_Config_v3!$B$5)),0)</x:f>
        <x:v>647</x:v>
      </x:c>
      <x:c r="J4889" s="18" t="n">
        <x:f>MIN(Model_Config_v3!$B$6,I4889+Model_Config_v3!$B$7)</x:f>
        <x:v>667</x:v>
      </x:c>
      <x:c r="K4889" s="20" t="n">
        <x:v>55</x:v>
      </x:c>
      <x:c r="L4889" t="str">
        <x:v>KETAT</x:v>
      </x:c>
      <x:c r="M4889" t="str">
        <x:v>SEDANG+</x:v>
      </x:c>
      <x:c r="N4889" t="str">
        <x:v>REGULER</x:v>
      </x:c>
      <x:c r="O4889" t="str">
        <x:v>SAINTEK</x:v>
      </x:c>
      <x:c r="P4889" t="str">
        <x:v>TEKNIK/ARSITEKTUR/STATISTIKA/AKTUARIA</x:v>
      </x:c>
      <x:c r="Q4889" s="18" t="n">
        <x:v>0</x:v>
      </x:c>
      <x:c r="R4889" s="18" t="n">
        <x:v>0</x:v>
      </x:c>
      <x:c r="S4889" s="18" t="n">
        <x:v>594.1336198497496</x:v>
      </x:c>
      <x:c r="T4889" s="18" t="n">
        <x:v>670</x:v>
      </x:c>
      <x:c r="U4889" s="18" t="n">
        <x:v>604.1336198497496</x:v>
      </x:c>
      <x:c r="V4889" s="20" t="n">
        <x:v>12</x:v>
      </x:c>
      <x:c r="W4889" s="20" t="n">
        <x:v>5</x:v>
      </x:c>
      <x:c r="X4889" s="20" t="n">
        <x:v>3</x:v>
      </x:c>
      <x:c r="Y4889" t="str">
        <x:v>Basis arsip 2025/2024</x:v>
      </x:c>
      <x:c r="Z4889" t="str">
        <x:v>https://snpmb.id/utbk-snbt/daya-tampung-snbt</x:v>
      </x:c>
      <x:c r="AA4889" t="str">
        <x:v>Tidak Ada</x:v>
      </x:c>
      <x:c r="AB4889" t="str">
        <x:v>Campus=55; Ratio=39.7; Prodi=60; RelDemand=80.2; Capacity=58.3</x:v>
      </x:c>
    </x:row>
    <x:row r="4890">
      <x:c r="A4890" t="n">
        <x:v>4887</x:v>
      </x:c>
      <x:c r="B4890" t="str">
        <x:v>PTKIN</x:v>
      </x:c>
      <x:c r="C4890" t="str">
        <x:v>UIN SUNAN KALIJAGA</x:v>
      </x:c>
      <x:c r="D4890" t="str">
        <x:v>PENDIDIKAN MATEMATIKA</x:v>
      </x:c>
      <x:c r="E4890" t="str">
        <x:v>Sarjana</x:v>
      </x:c>
      <x:c r="F4890" s="18" t="n">
        <x:v>60</x:v>
      </x:c>
      <x:c r="G4890" s="18" t="n">
        <x:v>100</x:v>
      </x:c>
      <x:c r="H4890" s="19" t="n">
        <x:v>1.6666666666666667</x:v>
      </x:c>
      <x:c r="I4890" s="18" t="n">
        <x:f>ROUND(MIN(Model_Config_v3!$B$6,MAX(Q4890,R4890,S4890*Model_Config_v3!$B$4+T4890*Model_Config_v3!$B$5)),0)</x:f>
        <x:v>611</x:v>
      </x:c>
      <x:c r="J4890" s="18" t="n">
        <x:f>MIN(Model_Config_v3!$B$6,I4890+Model_Config_v3!$B$7)</x:f>
        <x:v>631</x:v>
      </x:c>
      <x:c r="K4890" s="20" t="n">
        <x:v>39.3</x:v>
      </x:c>
      <x:c r="L4890" t="str">
        <x:v>RELATIF LONGGAR</x:v>
      </x:c>
      <x:c r="M4890" t="str">
        <x:v>SEDANG+</x:v>
      </x:c>
      <x:c r="N4890" t="str">
        <x:v>REGULER</x:v>
      </x:c>
      <x:c r="O4890" t="str">
        <x:v>SAINTEK</x:v>
      </x:c>
      <x:c r="P4890" t="str">
        <x:v>PENDIDIKAN</x:v>
      </x:c>
      <x:c r="Q4890" s="18" t="n">
        <x:v>0</x:v>
      </x:c>
      <x:c r="R4890" s="18" t="n">
        <x:v>0</x:v>
      </x:c>
      <x:c r="S4890" s="18" t="n">
        <x:v>544.4033624577992</x:v>
      </x:c>
      <x:c r="T4890" s="18" t="n">
        <x:v>639</x:v>
      </x:c>
      <x:c r="U4890" s="18" t="n">
        <x:v>544.4033624577992</x:v>
      </x:c>
      <x:c r="V4890" s="20" t="n">
        <x:v>12</x:v>
      </x:c>
      <x:c r="W4890" s="20" t="n">
        <x:v>5</x:v>
      </x:c>
      <x:c r="X4890" s="20" t="n">
        <x:v>3</x:v>
      </x:c>
      <x:c r="Y4890" t="str">
        <x:v>Basis arsip 2025/2024</x:v>
      </x:c>
      <x:c r="Z4890" t="str">
        <x:v>https://snpmb.id/utbk-snbt/daya-tampung-snbt</x:v>
      </x:c>
      <x:c r="AA4890" t="str">
        <x:v>Tidak Ada</x:v>
      </x:c>
      <x:c r="AB4890" t="str">
        <x:v>Campus=55; Ratio=13.1; Prodi=45; RelDemand=28.3; Capacity=50.0</x:v>
      </x:c>
    </x:row>
    <x:row r="4891">
      <x:c r="A4891" t="n">
        <x:v>4888</x:v>
      </x:c>
      <x:c r="B4891" t="str">
        <x:v>PTKIN</x:v>
      </x:c>
      <x:c r="C4891" t="str">
        <x:v>UIN SUNAN KALIJAGA</x:v>
      </x:c>
      <x:c r="D4891" t="str">
        <x:v>PENDIDIKAN FISIKA</x:v>
      </x:c>
      <x:c r="E4891" t="str">
        <x:v>Sarjana</x:v>
      </x:c>
      <x:c r="F4891" s="18" t="n">
        <x:v>45</x:v>
      </x:c>
      <x:c r="G4891" s="18" t="n">
        <x:v>20</x:v>
      </x:c>
      <x:c r="H4891" s="19" t="n">
        <x:v>0.4444444444444444</x:v>
      </x:c>
      <x:c r="I4891" s="18" t="n">
        <x:f>ROUND(MIN(Model_Config_v3!$B$6,MAX(Q4891,R4891,S4891*Model_Config_v3!$B$4+T4891*Model_Config_v3!$B$5)),0)</x:f>
        <x:v>598</x:v>
      </x:c>
      <x:c r="J4891" s="18" t="n">
        <x:f>MIN(Model_Config_v3!$B$6,I4891+Model_Config_v3!$B$7)</x:f>
        <x:v>618</x:v>
      </x:c>
      <x:c r="K4891" s="20" t="n">
        <x:v>35.3</x:v>
      </x:c>
      <x:c r="L4891" t="str">
        <x:v>RELATIF LONGGAR</x:v>
      </x:c>
      <x:c r="M4891" t="str">
        <x:v>SEDANG+</x:v>
      </x:c>
      <x:c r="N4891" t="str">
        <x:v>REGULER</x:v>
      </x:c>
      <x:c r="O4891" t="str">
        <x:v>SAINTEK</x:v>
      </x:c>
      <x:c r="P4891" t="str">
        <x:v>PENDIDIKAN</x:v>
      </x:c>
      <x:c r="Q4891" s="18" t="n">
        <x:v>0</x:v>
      </x:c>
      <x:c r="R4891" s="18" t="n">
        <x:v>0</x:v>
      </x:c>
      <x:c r="S4891" s="18" t="n">
        <x:v>520</x:v>
      </x:c>
      <x:c r="T4891" s="18" t="n">
        <x:v>631</x:v>
      </x:c>
      <x:c r="U4891" s="18" t="n">
        <x:v>520</x:v>
      </x:c>
      <x:c r="V4891" s="20" t="n">
        <x:v>12</x:v>
      </x:c>
      <x:c r="W4891" s="20" t="n">
        <x:v>5</x:v>
      </x:c>
      <x:c r="X4891" s="20" t="n">
        <x:v>3</x:v>
      </x:c>
      <x:c r="Y4891" t="str">
        <x:v>Basis arsip 2025/2024</x:v>
      </x:c>
      <x:c r="Z4891" t="str">
        <x:v>https://snpmb.id/utbk-snbt/daya-tampung-snbt</x:v>
      </x:c>
      <x:c r="AA4891" t="str">
        <x:v>Tidak Ada</x:v>
      </x:c>
      <x:c r="AB4891" t="str">
        <x:v>Campus=55; Ratio=0.0; Prodi=45; RelDemand=7.5; Capacity=62.5</x:v>
      </x:c>
    </x:row>
    <x:row r="4892">
      <x:c r="A4892" t="n">
        <x:v>4889</x:v>
      </x:c>
      <x:c r="B4892" t="str">
        <x:v>PTKIN</x:v>
      </x:c>
      <x:c r="C4892" t="str">
        <x:v>UIN SUNAN KALIJAGA</x:v>
      </x:c>
      <x:c r="D4892" t="str">
        <x:v>PENDIDIKAN KIMIA</x:v>
      </x:c>
      <x:c r="E4892" t="str">
        <x:v>Sarjana</x:v>
      </x:c>
      <x:c r="F4892" s="18" t="n">
        <x:v>45</x:v>
      </x:c>
      <x:c r="G4892" s="18" t="n">
        <x:v>32</x:v>
      </x:c>
      <x:c r="H4892" s="19" t="n">
        <x:v>0.7111111111111111</x:v>
      </x:c>
      <x:c r="I4892" s="18" t="n">
        <x:f>ROUND(MIN(Model_Config_v3!$B$6,MAX(Q4892,R4892,S4892*Model_Config_v3!$B$4+T4892*Model_Config_v3!$B$5)),0)</x:f>
        <x:v>598</x:v>
      </x:c>
      <x:c r="J4892" s="18" t="n">
        <x:f>MIN(Model_Config_v3!$B$6,I4892+Model_Config_v3!$B$7)</x:f>
        <x:v>618</x:v>
      </x:c>
      <x:c r="K4892" s="20" t="n">
        <x:v>35.7</x:v>
      </x:c>
      <x:c r="L4892" t="str">
        <x:v>RELATIF LONGGAR</x:v>
      </x:c>
      <x:c r="M4892" t="str">
        <x:v>SEDANG+</x:v>
      </x:c>
      <x:c r="N4892" t="str">
        <x:v>REGULER</x:v>
      </x:c>
      <x:c r="O4892" t="str">
        <x:v>SAINTEK</x:v>
      </x:c>
      <x:c r="P4892" t="str">
        <x:v>PENDIDIKAN</x:v>
      </x:c>
      <x:c r="Q4892" s="18" t="n">
        <x:v>0</x:v>
      </x:c>
      <x:c r="R4892" s="18" t="n">
        <x:v>0</x:v>
      </x:c>
      <x:c r="S4892" s="18" t="n">
        <x:v>520</x:v>
      </x:c>
      <x:c r="T4892" s="18" t="n">
        <x:v>631</x:v>
      </x:c>
      <x:c r="U4892" s="18" t="n">
        <x:v>520</x:v>
      </x:c>
      <x:c r="V4892" s="20" t="n">
        <x:v>12</x:v>
      </x:c>
      <x:c r="W4892" s="20" t="n">
        <x:v>5</x:v>
      </x:c>
      <x:c r="X4892" s="20" t="n">
        <x:v>3</x:v>
      </x:c>
      <x:c r="Y4892" t="str">
        <x:v>Basis arsip 2025/2024</x:v>
      </x:c>
      <x:c r="Z4892" t="str">
        <x:v>https://snpmb.id/utbk-snbt/daya-tampung-snbt</x:v>
      </x:c>
      <x:c r="AA4892" t="str">
        <x:v>Tidak Ada</x:v>
      </x:c>
      <x:c r="AB4892" t="str">
        <x:v>Campus=55; Ratio=0.0; Prodi=45; RelDemand=12.1; Capacity=62.5</x:v>
      </x:c>
    </x:row>
    <x:row r="4893">
      <x:c r="A4893" t="n">
        <x:v>4890</x:v>
      </x:c>
      <x:c r="B4893" t="str">
        <x:v>PTKIN</x:v>
      </x:c>
      <x:c r="C4893" t="str">
        <x:v>UIN SUNAN KALIJAGA</x:v>
      </x:c>
      <x:c r="D4893" t="str">
        <x:v>PENDIDIKAN BIOLOGI</x:v>
      </x:c>
      <x:c r="E4893" t="str">
        <x:v>Sarjana</x:v>
      </x:c>
      <x:c r="F4893" s="18" t="n">
        <x:v>60</x:v>
      </x:c>
      <x:c r="G4893" s="18" t="n">
        <x:v>89</x:v>
      </x:c>
      <x:c r="H4893" s="19" t="n">
        <x:v>1.4833333333333334</x:v>
      </x:c>
      <x:c r="I4893" s="18" t="n">
        <x:f>ROUND(MIN(Model_Config_v3!$B$6,MAX(Q4893,R4893,S4893*Model_Config_v3!$B$4+T4893*Model_Config_v3!$B$5)),0)</x:f>
        <x:v>608</x:v>
      </x:c>
      <x:c r="J4893" s="18" t="n">
        <x:f>MIN(Model_Config_v3!$B$6,I4893+Model_Config_v3!$B$7)</x:f>
        <x:v>628</x:v>
      </x:c>
      <x:c r="K4893" s="20" t="n">
        <x:v>38.3</x:v>
      </x:c>
      <x:c r="L4893" t="str">
        <x:v>RELATIF LONGGAR</x:v>
      </x:c>
      <x:c r="M4893" t="str">
        <x:v>SEDANG+</x:v>
      </x:c>
      <x:c r="N4893" t="str">
        <x:v>REGULER</x:v>
      </x:c>
      <x:c r="O4893" t="str">
        <x:v>SAINTEK</x:v>
      </x:c>
      <x:c r="P4893" t="str">
        <x:v>PENDIDIKAN</x:v>
      </x:c>
      <x:c r="Q4893" s="18" t="n">
        <x:v>0</x:v>
      </x:c>
      <x:c r="R4893" s="18" t="n">
        <x:v>0</x:v>
      </x:c>
      <x:c r="S4893" s="18" t="n">
        <x:v>538.8362631887396</x:v>
      </x:c>
      <x:c r="T4893" s="18" t="n">
        <x:v>637</x:v>
      </x:c>
      <x:c r="U4893" s="18" t="n">
        <x:v>538.8362631887396</x:v>
      </x:c>
      <x:c r="V4893" s="20" t="n">
        <x:v>12</x:v>
      </x:c>
      <x:c r="W4893" s="20" t="n">
        <x:v>5</x:v>
      </x:c>
      <x:c r="X4893" s="20" t="n">
        <x:v>3</x:v>
      </x:c>
      <x:c r="Y4893" t="str">
        <x:v>Basis arsip 2025/2024</x:v>
      </x:c>
      <x:c r="Z4893" t="str">
        <x:v>https://snpmb.id/utbk-snbt/daya-tampung-snbt</x:v>
      </x:c>
      <x:c r="AA4893" t="str">
        <x:v>Tidak Ada</x:v>
      </x:c>
      <x:c r="AB4893" t="str">
        <x:v>Campus=55; Ratio=10.1; Prodi=45; RelDemand=25.2; Capacity=50.0</x:v>
      </x:c>
    </x:row>
    <x:row r="4894">
      <x:c r="A4894" t="n">
        <x:v>4891</x:v>
      </x:c>
      <x:c r="B4894" t="str">
        <x:v>PTKIN</x:v>
      </x:c>
      <x:c r="C4894" t="str">
        <x:v>UIN SUNAN KALIJAGA</x:v>
      </x:c>
      <x:c r="D4894" t="str">
        <x:v>ILMU PERPUSTAKAAN (IP)</x:v>
      </x:c>
      <x:c r="E4894" t="str">
        <x:v>Sarjana</x:v>
      </x:c>
      <x:c r="F4894" s="18" t="n">
        <x:v>80</x:v>
      </x:c>
      <x:c r="G4894" s="18" t="n">
        <x:v>217</x:v>
      </x:c>
      <x:c r="H4894" s="19" t="n">
        <x:v>2.7125</x:v>
      </x:c>
      <x:c r="I4894" s="18" t="n">
        <x:f>ROUND(MIN(Model_Config_v3!$B$6,MAX(Q4894,R4894,S4894*Model_Config_v3!$B$4+T4894*Model_Config_v3!$B$5)),0)</x:f>
        <x:v>620</x:v>
      </x:c>
      <x:c r="J4894" s="18" t="n">
        <x:f>MIN(Model_Config_v3!$B$6,I4894+Model_Config_v3!$B$7)</x:f>
        <x:v>640</x:v>
      </x:c>
      <x:c r="K4894" s="20" t="n">
        <x:v>41.6</x:v>
      </x:c>
      <x:c r="L4894" t="str">
        <x:v>RELATIF LONGGAR</x:v>
      </x:c>
      <x:c r="M4894" t="str">
        <x:v>SEDANG</x:v>
      </x:c>
      <x:c r="N4894" t="str">
        <x:v>REGULER</x:v>
      </x:c>
      <x:c r="O4894" t="str">
        <x:v>CAMPURAN</x:v>
      </x:c>
      <x:c r="P4894" t="str">
        <x:v>UMUM</x:v>
      </x:c>
      <x:c r="Q4894" s="18" t="n">
        <x:v>0</x:v>
      </x:c>
      <x:c r="R4894" s="18" t="n">
        <x:v>0</x:v>
      </x:c>
      <x:c r="S4894" s="18" t="n">
        <x:v>567.6706721542245</x:v>
      </x:c>
      <x:c r="T4894" s="18" t="n">
        <x:v>643</x:v>
      </x:c>
      <x:c r="U4894" s="18" t="n">
        <x:v>567.6706721542245</x:v>
      </x:c>
      <x:c r="V4894" s="20" t="n">
        <x:v>8.8</x:v>
      </x:c>
      <x:c r="W4894" s="20" t="n">
        <x:v>9.9</x:v>
      </x:c>
      <x:c r="X4894" s="20" t="n">
        <x:v>3.3</x:v>
      </x:c>
      <x:c r="Y4894" t="str">
        <x:v>Basis arsip 2025/2024</x:v>
      </x:c>
      <x:c r="Z4894" t="str">
        <x:v>https://snpmb.id/utbk-snbt/daya-tampung-snbt</x:v>
      </x:c>
      <x:c r="AA4894" t="str">
        <x:v>Tidak Ada</x:v>
      </x:c>
      <x:c r="AB4894" t="str">
        <x:v>Campus=55; Ratio=25.5; Prodi=40; RelDemand=46.1; Capacity=33.3</x:v>
      </x:c>
    </x:row>
    <x:row r="4895">
      <x:c r="A4895" t="n">
        <x:v>4892</x:v>
      </x:c>
      <x:c r="B4895" t="str">
        <x:v>PTKIN</x:v>
      </x:c>
      <x:c r="C4895" t="str">
        <x:v>UIN SUNAN KALIJAGA</x:v>
      </x:c>
      <x:c r="D4895" t="str">
        <x:v>PSIKOLOGI</x:v>
      </x:c>
      <x:c r="E4895" t="str">
        <x:v>Sarjana</x:v>
      </x:c>
      <x:c r="F4895" s="18" t="n">
        <x:v>95</x:v>
      </x:c>
      <x:c r="G4895" s="18" t="n">
        <x:v>632</x:v>
      </x:c>
      <x:c r="H4895" s="19" t="n">
        <x:v>6.652631578947369</x:v>
      </x:c>
      <x:c r="I4895" s="18" t="n">
        <x:f>ROUND(MIN(Model_Config_v3!$B$6,MAX(Q4895,R4895,S4895*Model_Config_v3!$B$4+T4895*Model_Config_v3!$B$5)),0)</x:f>
        <x:v>658</x:v>
      </x:c>
      <x:c r="J4895" s="18" t="n">
        <x:f>MIN(Model_Config_v3!$B$6,I4895+Model_Config_v3!$B$7)</x:f>
        <x:v>678</x:v>
      </x:c>
      <x:c r="K4895" s="20" t="n">
        <x:v>59.4</x:v>
      </x:c>
      <x:c r="L4895" t="str">
        <x:v>KETAT</x:v>
      </x:c>
      <x:c r="M4895" t="str">
        <x:v>SEDANG+</x:v>
      </x:c>
      <x:c r="N4895" t="str">
        <x:v>REGULER</x:v>
      </x:c>
      <x:c r="O4895" t="str">
        <x:v>SOSHUM</x:v>
      </x:c>
      <x:c r="P4895" t="str">
        <x:v>PSIKOLOGI</x:v>
      </x:c>
      <x:c r="Q4895" s="18" t="n">
        <x:v>0</x:v>
      </x:c>
      <x:c r="R4895" s="18" t="n">
        <x:v>0</x:v>
      </x:c>
      <x:c r="S4895" s="18" t="n">
        <x:v>610.5292820292891</x:v>
      </x:c>
      <x:c r="T4895" s="18" t="n">
        <x:v>679</x:v>
      </x:c>
      <x:c r="U4895" s="18" t="n">
        <x:v>635.5292820292891</x:v>
      </x:c>
      <x:c r="V4895" s="20" t="n">
        <x:v>4.4</x:v>
      </x:c>
      <x:c r="W4895" s="20" t="n">
        <x:v>14.3</x:v>
      </x:c>
      <x:c r="X4895" s="20" t="n">
        <x:v>3.3</x:v>
      </x:c>
      <x:c r="Y4895" t="str">
        <x:v>Basis arsip 2025/2024</x:v>
      </x:c>
      <x:c r="Z4895" t="str">
        <x:v>https://snpmb.id/utbk-snbt/daya-tampung-snbt</x:v>
      </x:c>
      <x:c r="AA4895" t="str">
        <x:v>Tidak Ada</x:v>
      </x:c>
      <x:c r="AB4895" t="str">
        <x:v>Campus=55; Ratio=48.4; Prodi=80; RelDemand=100.0; Capacity=20.8</x:v>
      </x:c>
    </x:row>
    <x:row r="4896">
      <x:c r="A4896" t="n">
        <x:v>4893</x:v>
      </x:c>
      <x:c r="B4896" t="str">
        <x:v>PTKIN</x:v>
      </x:c>
      <x:c r="C4896" t="str">
        <x:v>UIN SUNAN KALIJAGA</x:v>
      </x:c>
      <x:c r="D4896" t="str">
        <x:v>SOSIOLOGI</x:v>
      </x:c>
      <x:c r="E4896" t="str">
        <x:v>Sarjana</x:v>
      </x:c>
      <x:c r="F4896" s="18" t="n">
        <x:v>60</x:v>
      </x:c>
      <x:c r="G4896" s="18" t="n">
        <x:v>141</x:v>
      </x:c>
      <x:c r="H4896" s="19" t="n">
        <x:v>2.35</x:v>
      </x:c>
      <x:c r="I4896" s="18" t="n">
        <x:f>ROUND(MIN(Model_Config_v3!$B$6,MAX(Q4896,R4896,S4896*Model_Config_v3!$B$4+T4896*Model_Config_v3!$B$5)),0)</x:f>
        <x:v>618</x:v>
      </x:c>
      <x:c r="J4896" s="18" t="n">
        <x:f>MIN(Model_Config_v3!$B$6,I4896+Model_Config_v3!$B$7)</x:f>
        <x:v>638</x:v>
      </x:c>
      <x:c r="K4896" s="20" t="n">
        <x:v>41.7</x:v>
      </x:c>
      <x:c r="L4896" t="str">
        <x:v>RELATIF LONGGAR</x:v>
      </x:c>
      <x:c r="M4896" t="str">
        <x:v>SEDANG</x:v>
      </x:c>
      <x:c r="N4896" t="str">
        <x:v>REGULER</x:v>
      </x:c>
      <x:c r="O4896" t="str">
        <x:v>SOSHUM</x:v>
      </x:c>
      <x:c r="P4896" t="str">
        <x:v>UMUM</x:v>
      </x:c>
      <x:c r="Q4896" s="18" t="n">
        <x:v>0</x:v>
      </x:c>
      <x:c r="R4896" s="18" t="n">
        <x:v>0</x:v>
      </x:c>
      <x:c r="S4896" s="18" t="n">
        <x:v>560.8174648498909</x:v>
      </x:c>
      <x:c r="T4896" s="18" t="n">
        <x:v>643</x:v>
      </x:c>
      <x:c r="U4896" s="18" t="n">
        <x:v>560.8174648498909</x:v>
      </x:c>
      <x:c r="V4896" s="20" t="n">
        <x:v>4.4</x:v>
      </x:c>
      <x:c r="W4896" s="20" t="n">
        <x:v>14.3</x:v>
      </x:c>
      <x:c r="X4896" s="20" t="n">
        <x:v>3.3</x:v>
      </x:c>
      <x:c r="Y4896" t="str">
        <x:v>Basis arsip 2025/2024</x:v>
      </x:c>
      <x:c r="Z4896" t="str">
        <x:v>https://snpmb.id/utbk-snbt/daya-tampung-snbt</x:v>
      </x:c>
      <x:c r="AA4896" t="str">
        <x:v>Tidak Ada</x:v>
      </x:c>
      <x:c r="AB4896" t="str">
        <x:v>Campus=55; Ratio=21.8; Prodi=40; RelDemand=39.9; Capacity=50.0</x:v>
      </x:c>
    </x:row>
    <x:row r="4897">
      <x:c r="A4897" t="n">
        <x:v>4894</x:v>
      </x:c>
      <x:c r="B4897" t="str">
        <x:v>PTKIN</x:v>
      </x:c>
      <x:c r="C4897" t="str">
        <x:v>UIN SUNAN KALIJAGA</x:v>
      </x:c>
      <x:c r="D4897" t="str">
        <x:v>ILMU KOMUNIKASI</x:v>
      </x:c>
      <x:c r="E4897" t="str">
        <x:v>Sarjana</x:v>
      </x:c>
      <x:c r="F4897" s="18" t="n">
        <x:v>80</x:v>
      </x:c>
      <x:c r="G4897" s="18" t="n">
        <x:v>558</x:v>
      </x:c>
      <x:c r="H4897" s="19" t="n">
        <x:v>6.975</x:v>
      </x:c>
      <x:c r="I4897" s="18" t="n">
        <x:f>ROUND(MIN(Model_Config_v3!$B$6,MAX(Q4897,R4897,S4897*Model_Config_v3!$B$4+T4897*Model_Config_v3!$B$5)),0)</x:f>
        <x:v>650</x:v>
      </x:c>
      <x:c r="J4897" s="18" t="n">
        <x:f>MIN(Model_Config_v3!$B$6,I4897+Model_Config_v3!$B$7)</x:f>
        <x:v>670</x:v>
      </x:c>
      <x:c r="K4897" s="20" t="n">
        <x:v>53</x:v>
      </x:c>
      <x:c r="L4897" t="str">
        <x:v>MENENGAH</x:v>
      </x:c>
      <x:c r="M4897" t="str">
        <x:v>SEDANG</x:v>
      </x:c>
      <x:c r="N4897" t="str">
        <x:v>REGULER</x:v>
      </x:c>
      <x:c r="O4897" t="str">
        <x:v>SOSHUM</x:v>
      </x:c>
      <x:c r="P4897" t="str">
        <x:v>UMUM</x:v>
      </x:c>
      <x:c r="Q4897" s="18" t="n">
        <x:v>0</x:v>
      </x:c>
      <x:c r="R4897" s="18" t="n">
        <x:v>0</x:v>
      </x:c>
      <x:c r="S4897" s="18" t="n">
        <x:v>612.7898633140198</x:v>
      </x:c>
      <x:c r="T4897" s="18" t="n">
        <x:v>666</x:v>
      </x:c>
      <x:c r="U4897" s="18" t="n">
        <x:v>612.7898633140198</x:v>
      </x:c>
      <x:c r="V4897" s="20" t="n">
        <x:v>4.4</x:v>
      </x:c>
      <x:c r="W4897" s="20" t="n">
        <x:v>14.3</x:v>
      </x:c>
      <x:c r="X4897" s="20" t="n">
        <x:v>3.3</x:v>
      </x:c>
      <x:c r="Y4897" t="str">
        <x:v>Basis arsip 2025/2024</x:v>
      </x:c>
      <x:c r="Z4897" t="str">
        <x:v>https://snpmb.id/utbk-snbt/daya-tampung-snbt</x:v>
      </x:c>
      <x:c r="AA4897" t="str">
        <x:v>Tidak Ada</x:v>
      </x:c>
      <x:c r="AB4897" t="str">
        <x:v>Campus=55; Ratio=49.7; Prodi=40; RelDemand=100.0; Capacity=33.3</x:v>
      </x:c>
    </x:row>
    <x:row r="4898">
      <x:c r="A4898" t="n">
        <x:v>4895</x:v>
      </x:c>
      <x:c r="B4898" t="str">
        <x:v>PTKIN</x:v>
      </x:c>
      <x:c r="C4898" t="str">
        <x:v>UIN SUNAN KALIJAGA</x:v>
      </x:c>
      <x:c r="D4898" t="str">
        <x:v>SASTRA INGGRIS (SI)</x:v>
      </x:c>
      <x:c r="E4898" t="str">
        <x:v>Sarjana</x:v>
      </x:c>
      <x:c r="F4898" s="18" t="n">
        <x:v>68</x:v>
      </x:c>
      <x:c r="G4898" s="18" t="n">
        <x:v>156</x:v>
      </x:c>
      <x:c r="H4898" s="19" t="n">
        <x:v>2.2941176470588234</x:v>
      </x:c>
      <x:c r="I4898" s="18" t="n">
        <x:f>ROUND(MIN(Model_Config_v3!$B$6,MAX(Q4898,R4898,S4898*Model_Config_v3!$B$4+T4898*Model_Config_v3!$B$5)),0)</x:f>
        <x:v>617</x:v>
      </x:c>
      <x:c r="J4898" s="18" t="n">
        <x:f>MIN(Model_Config_v3!$B$6,I4898+Model_Config_v3!$B$7)</x:f>
        <x:v>637</x:v>
      </x:c>
      <x:c r="K4898" s="20" t="n">
        <x:v>40.8</x:v>
      </x:c>
      <x:c r="L4898" t="str">
        <x:v>RELATIF LONGGAR</x:v>
      </x:c>
      <x:c r="M4898" t="str">
        <x:v>SEDANG</x:v>
      </x:c>
      <x:c r="N4898" t="str">
        <x:v>REGULER</x:v>
      </x:c>
      <x:c r="O4898" t="str">
        <x:v>SOSHUM</x:v>
      </x:c>
      <x:c r="P4898" t="str">
        <x:v>UMUM</x:v>
      </x:c>
      <x:c r="Q4898" s="18" t="n">
        <x:v>0</x:v>
      </x:c>
      <x:c r="R4898" s="18" t="n">
        <x:v>0</x:v>
      </x:c>
      <x:c r="S4898" s="18" t="n">
        <x:v>559.6677254213048</x:v>
      </x:c>
      <x:c r="T4898" s="18" t="n">
        <x:v>642</x:v>
      </x:c>
      <x:c r="U4898" s="18" t="n">
        <x:v>559.6677254213048</x:v>
      </x:c>
      <x:c r="V4898" s="20" t="n">
        <x:v>4.4</x:v>
      </x:c>
      <x:c r="W4898" s="20" t="n">
        <x:v>14.3</x:v>
      </x:c>
      <x:c r="X4898" s="20" t="n">
        <x:v>3.3</x:v>
      </x:c>
      <x:c r="Y4898" t="str">
        <x:v>Basis arsip 2025/2024</x:v>
      </x:c>
      <x:c r="Z4898" t="str">
        <x:v>https://snpmb.id/utbk-snbt/daya-tampung-snbt</x:v>
      </x:c>
      <x:c r="AA4898" t="str">
        <x:v>Tidak Ada</x:v>
      </x:c>
      <x:c r="AB4898" t="str">
        <x:v>Campus=55; Ratio=21.2; Prodi=40; RelDemand=39.0; Capacity=43.3</x:v>
      </x:c>
    </x:row>
    <x:row r="4899">
      <x:c r="A4899" t="n">
        <x:v>4896</x:v>
      </x:c>
      <x:c r="B4899" t="str">
        <x:v>PTKIN</x:v>
      </x:c>
      <x:c r="C4899" t="str">
        <x:v>UIN SUNAN KALIJAGA</x:v>
      </x:c>
      <x:c r="D4899" t="str">
        <x:v>ILMU HUKUM (IH)</x:v>
      </x:c>
      <x:c r="E4899" t="str">
        <x:v>Sarjana</x:v>
      </x:c>
      <x:c r="F4899" s="18" t="n">
        <x:v>100</x:v>
      </x:c>
      <x:c r="G4899" s="18" t="n">
        <x:v>532</x:v>
      </x:c>
      <x:c r="H4899" s="19" t="n">
        <x:v>5.32</x:v>
      </x:c>
      <x:c r="I4899" s="18" t="n">
        <x:f>ROUND(MIN(Model_Config_v3!$B$6,MAX(Q4899,R4899,S4899*Model_Config_v3!$B$4+T4899*Model_Config_v3!$B$5)),0)</x:f>
        <x:v>647</x:v>
      </x:c>
      <x:c r="J4899" s="18" t="n">
        <x:f>MIN(Model_Config_v3!$B$6,I4899+Model_Config_v3!$B$7)</x:f>
        <x:v>667</x:v>
      </x:c>
      <x:c r="K4899" s="20" t="n">
        <x:v>53.6</x:v>
      </x:c>
      <x:c r="L4899" t="str">
        <x:v>MENENGAH</x:v>
      </x:c>
      <x:c r="M4899" t="str">
        <x:v>SEDANG+</x:v>
      </x:c>
      <x:c r="N4899" t="str">
        <x:v>REGULER</x:v>
      </x:c>
      <x:c r="O4899" t="str">
        <x:v>SOSHUM</x:v>
      </x:c>
      <x:c r="P4899" t="str">
        <x:v>HUKUM</x:v>
      </x:c>
      <x:c r="Q4899" s="18" t="n">
        <x:v>0</x:v>
      </x:c>
      <x:c r="R4899" s="18" t="n">
        <x:v>0</x:v>
      </x:c>
      <x:c r="S4899" s="18" t="n">
        <x:v>599.8502795524553</x:v>
      </x:c>
      <x:c r="T4899" s="18" t="n">
        <x:v>667</x:v>
      </x:c>
      <x:c r="U4899" s="18" t="n">
        <x:v>614.8502795524553</x:v>
      </x:c>
      <x:c r="V4899" s="20" t="n">
        <x:v>4.4</x:v>
      </x:c>
      <x:c r="W4899" s="20" t="n">
        <x:v>14.3</x:v>
      </x:c>
      <x:c r="X4899" s="20" t="n">
        <x:v>3.3</x:v>
      </x:c>
      <x:c r="Y4899" t="str">
        <x:v>Basis arsip 2025/2024</x:v>
      </x:c>
      <x:c r="Z4899" t="str">
        <x:v>https://snpmb.id/utbk-snbt/daya-tampung-snbt</x:v>
      </x:c>
      <x:c r="AA4899" t="str">
        <x:v>Tidak Ada</x:v>
      </x:c>
      <x:c r="AB4899" t="str">
        <x:v>Campus=55; Ratio=42.7; Prodi=65; RelDemand=90.3; Capacity=16.7</x:v>
      </x:c>
    </x:row>
    <x:row r="4900">
      <x:c r="A4900" t="n">
        <x:v>4897</x:v>
      </x:c>
      <x:c r="B4900" t="str">
        <x:v>PTKIN</x:v>
      </x:c>
      <x:c r="C4900" t="str">
        <x:v>UIN SUNAN KALIJAGA</x:v>
      </x:c>
      <x:c r="D4900" t="str">
        <x:v>ILMU KESEJAHTERAAN SOSIAL (IKS)</x:v>
      </x:c>
      <x:c r="E4900" t="str">
        <x:v>Sarjana</x:v>
      </x:c>
      <x:c r="F4900" s="18" t="n">
        <x:v>48</x:v>
      </x:c>
      <x:c r="G4900" s="18" t="n">
        <x:v>218</x:v>
      </x:c>
      <x:c r="H4900" s="19" t="n">
        <x:v>4.541666666666667</x:v>
      </x:c>
      <x:c r="I4900" s="18" t="n">
        <x:f>ROUND(MIN(Model_Config_v3!$B$6,MAX(Q4900,R4900,S4900*Model_Config_v3!$B$4+T4900*Model_Config_v3!$B$5)),0)</x:f>
        <x:v>640</x:v>
      </x:c>
      <x:c r="J4900" s="18" t="n">
        <x:f>MIN(Model_Config_v3!$B$6,I4900+Model_Config_v3!$B$7)</x:f>
        <x:v>660</x:v>
      </x:c>
      <x:c r="K4900" s="20" t="n">
        <x:v>50.6</x:v>
      </x:c>
      <x:c r="L4900" t="str">
        <x:v>MENENGAH</x:v>
      </x:c>
      <x:c r="M4900" t="str">
        <x:v>SEDANG</x:v>
      </x:c>
      <x:c r="N4900" t="str">
        <x:v>REGULER</x:v>
      </x:c>
      <x:c r="O4900" t="str">
        <x:v>CAMPURAN</x:v>
      </x:c>
      <x:c r="P4900" t="str">
        <x:v>UMUM</x:v>
      </x:c>
      <x:c r="Q4900" s="18" t="n">
        <x:v>0</x:v>
      </x:c>
      <x:c r="R4900" s="18" t="n">
        <x:v>0</x:v>
      </x:c>
      <x:c r="S4900" s="18" t="n">
        <x:v>592.293678185192</x:v>
      </x:c>
      <x:c r="T4900" s="18" t="n">
        <x:v>661</x:v>
      </x:c>
      <x:c r="U4900" s="18" t="n">
        <x:v>592.293678185192</x:v>
      </x:c>
      <x:c r="V4900" s="20" t="n">
        <x:v>8.8</x:v>
      </x:c>
      <x:c r="W4900" s="20" t="n">
        <x:v>9.9</x:v>
      </x:c>
      <x:c r="X4900" s="20" t="n">
        <x:v>3.3</x:v>
      </x:c>
      <x:c r="Y4900" t="str">
        <x:v>Basis arsip 2025/2024</x:v>
      </x:c>
      <x:c r="Z4900" t="str">
        <x:v>https://snpmb.id/utbk-snbt/daya-tampung-snbt</x:v>
      </x:c>
      <x:c r="AA4900" t="str">
        <x:v>Tidak Ada</x:v>
      </x:c>
      <x:c r="AB4900" t="str">
        <x:v>Campus=55; Ratio=38.7; Prodi=40; RelDemand=77.1; Capacity=60.0</x:v>
      </x:c>
    </x:row>
    <x:row r="4901">
      <x:c r="A4901" t="n">
        <x:v>4898</x:v>
      </x:c>
      <x:c r="B4901" t="str">
        <x:v>PTKIN</x:v>
      </x:c>
      <x:c r="C4901" t="str">
        <x:v>UIN SUNAN KALIJAGA</x:v>
      </x:c>
      <x:c r="D4901" t="str">
        <x:v>ARSITEKTUR</x:v>
      </x:c>
      <x:c r="E4901" t="str">
        <x:v>Sarjana</x:v>
      </x:c>
      <x:c r="F4901" s="18" t="n">
        <x:v>25</x:v>
      </x:c>
      <x:c r="G4901" s="18" t="n">
        <x:v>81</x:v>
      </x:c>
      <x:c r="H4901" s="19" t="n">
        <x:v>3.24</x:v>
      </x:c>
      <x:c r="I4901" s="18" t="n">
        <x:f>ROUND(MIN(Model_Config_v3!$B$6,MAX(Q4901,R4901,S4901*Model_Config_v3!$B$4+T4901*Model_Config_v3!$B$5)),0)</x:f>
        <x:v>638</x:v>
      </x:c>
      <x:c r="J4901" s="18" t="n">
        <x:f>MIN(Model_Config_v3!$B$6,I4901+Model_Config_v3!$B$7)</x:f>
        <x:v>658</x:v>
      </x:c>
      <x:c r="K4901" s="20" t="n">
        <x:v>52.2</x:v>
      </x:c>
      <x:c r="L4901" t="str">
        <x:v>MENENGAH</x:v>
      </x:c>
      <x:c r="M4901" t="str">
        <x:v>SEDANG+</x:v>
      </x:c>
      <x:c r="N4901" t="str">
        <x:v>REGULER</x:v>
      </x:c>
      <x:c r="O4901" t="str">
        <x:v>SAINTEK</x:v>
      </x:c>
      <x:c r="P4901" t="str">
        <x:v>TEKNIK/ARSITEKTUR/STATISTIKA/AKTUARIA</x:v>
      </x:c>
      <x:c r="Q4901" s="18" t="n">
        <x:v>0</x:v>
      </x:c>
      <x:c r="R4901" s="18" t="n">
        <x:v>0</x:v>
      </x:c>
      <x:c r="S4901" s="18" t="n">
        <x:v>576.1599511227273</x:v>
      </x:c>
      <x:c r="T4901" s="18" t="n">
        <x:v>664</x:v>
      </x:c>
      <x:c r="U4901" s="18" t="n">
        <x:v>576.1599511227273</x:v>
      </x:c>
      <x:c r="V4901" s="20" t="n">
        <x:v>12</x:v>
      </x:c>
      <x:c r="W4901" s="20" t="n">
        <x:v>5</x:v>
      </x:c>
      <x:c r="X4901" s="20" t="n">
        <x:v>3</x:v>
      </x:c>
      <x:c r="Y4901" t="str">
        <x:v>Basis arsip 2025/2024</x:v>
      </x:c>
      <x:c r="Z4901" t="str">
        <x:v>https://snpmb.id/utbk-snbt/daya-tampung-snbt</x:v>
      </x:c>
      <x:c r="AA4901" t="str">
        <x:v>Tidak Ada</x:v>
      </x:c>
      <x:c r="AB4901" t="str">
        <x:v>Campus=55; Ratio=30.1; Prodi=60; RelDemand=55.0; Capacity=79.2</x:v>
      </x:c>
    </x:row>
    <x:row r="4902">
      <x:c r="A4902" t="n">
        <x:v>4899</x:v>
      </x:c>
      <x:c r="B4902" t="str">
        <x:v>PTKIN</x:v>
      </x:c>
      <x:c r="C4902" t="str">
        <x:v>UIN SUNAN KALIJAGA</x:v>
      </x:c>
      <x:c r="D4902" t="str">
        <x:v>SAINS BIOMEDIS</x:v>
      </x:c>
      <x:c r="E4902" t="str">
        <x:v>Sarjana</x:v>
      </x:c>
      <x:c r="F4902" s="18" t="n">
        <x:v>25</x:v>
      </x:c>
      <x:c r="G4902" s="18" t="n">
        <x:v>71</x:v>
      </x:c>
      <x:c r="H4902" s="19" t="n">
        <x:v>2.84</x:v>
      </x:c>
      <x:c r="I4902" s="18" t="n">
        <x:f>ROUND(MIN(Model_Config_v3!$B$6,MAX(Q4902,R4902,S4902*Model_Config_v3!$B$4+T4902*Model_Config_v3!$B$5)),0)</x:f>
        <x:v>628</x:v>
      </x:c>
      <x:c r="J4902" s="18" t="n">
        <x:f>MIN(Model_Config_v3!$B$6,I4902+Model_Config_v3!$B$7)</x:f>
        <x:v>648</x:v>
      </x:c>
      <x:c r="K4902" s="20" t="n">
        <x:v>46.7</x:v>
      </x:c>
      <x:c r="L4902" t="str">
        <x:v>MENENGAH</x:v>
      </x:c>
      <x:c r="M4902" t="str">
        <x:v>SEDANG</x:v>
      </x:c>
      <x:c r="N4902" t="str">
        <x:v>REGULER</x:v>
      </x:c>
      <x:c r="O4902" t="str">
        <x:v>CAMPURAN</x:v>
      </x:c>
      <x:c r="P4902" t="str">
        <x:v>UMUM</x:v>
      </x:c>
      <x:c r="Q4902" s="18" t="n">
        <x:v>0</x:v>
      </x:c>
      <x:c r="R4902" s="18" t="n">
        <x:v>0</x:v>
      </x:c>
      <x:c r="S4902" s="18" t="n">
        <x:v>569.8650174051742</x:v>
      </x:c>
      <x:c r="T4902" s="18" t="n">
        <x:v>653</x:v>
      </x:c>
      <x:c r="U4902" s="18" t="n">
        <x:v>569.8650174051742</x:v>
      </x:c>
      <x:c r="V4902" s="20" t="n">
        <x:v>8.8</x:v>
      </x:c>
      <x:c r="W4902" s="20" t="n">
        <x:v>9.9</x:v>
      </x:c>
      <x:c r="X4902" s="20" t="n">
        <x:v>3.3</x:v>
      </x:c>
      <x:c r="Y4902" t="str">
        <x:v>Basis arsip 2025/2024</x:v>
      </x:c>
      <x:c r="Z4902" t="str">
        <x:v>https://snpmb.id/utbk-snbt/daya-tampung-snbt</x:v>
      </x:c>
      <x:c r="AA4902" t="str">
        <x:v>Tidak Ada</x:v>
      </x:c>
      <x:c r="AB4902" t="str">
        <x:v>Campus=55; Ratio=26.7; Prodi=40; RelDemand=48.2; Capacity=79.2</x:v>
      </x:c>
    </x:row>
    <x:row r="4903">
      <x:c r="A4903" t="n">
        <x:v>4900</x:v>
      </x:c>
      <x:c r="B4903" t="str">
        <x:v>PTKIN</x:v>
      </x:c>
      <x:c r="C4903" t="str">
        <x:v>UIN PROFESOR KIAI HAJI SAIFUDDIN ZUHRI PURWOKERTO</x:v>
      </x:c>
      <x:c r="D4903" t="str">
        <x:v>ARSITEKTUR</x:v>
      </x:c>
      <x:c r="E4903" t="str">
        <x:v>Sarjana</x:v>
      </x:c>
      <x:c r="F4903" s="18" t="n">
        <x:v>48</x:v>
      </x:c>
      <x:c r="G4903" s="18" t="n">
        <x:v>29</x:v>
      </x:c>
      <x:c r="H4903" s="19" t="n">
        <x:v>0.6041666666666666</x:v>
      </x:c>
      <x:c r="I4903" s="18" t="n">
        <x:f>ROUND(MIN(Model_Config_v3!$B$6,MAX(Q4903,R4903,S4903*Model_Config_v3!$B$4+T4903*Model_Config_v3!$B$5)),0)</x:f>
        <x:v>605</x:v>
      </x:c>
      <x:c r="J4903" s="18" t="n">
        <x:f>MIN(Model_Config_v3!$B$6,I4903+Model_Config_v3!$B$7)</x:f>
        <x:v>625</x:v>
      </x:c>
      <x:c r="K4903" s="20" t="n">
        <x:v>40.5</x:v>
      </x:c>
      <x:c r="L4903" t="str">
        <x:v>RELATIF LONGGAR</x:v>
      </x:c>
      <x:c r="M4903" t="str">
        <x:v>SEDANG+</x:v>
      </x:c>
      <x:c r="N4903" t="str">
        <x:v>REGULER</x:v>
      </x:c>
      <x:c r="O4903" t="str">
        <x:v>SAINTEK</x:v>
      </x:c>
      <x:c r="P4903" t="str">
        <x:v>TEKNIK/ARSITEKTUR/STATISTIKA/AKTUARIA</x:v>
      </x:c>
      <x:c r="Q4903" s="18" t="n">
        <x:v>0</x:v>
      </x:c>
      <x:c r="R4903" s="18" t="n">
        <x:v>0</x:v>
      </x:c>
      <x:c r="S4903" s="18" t="n">
        <x:v>520</x:v>
      </x:c>
      <x:c r="T4903" s="18" t="n">
        <x:v>641</x:v>
      </x:c>
      <x:c r="U4903" s="18" t="n">
        <x:v>520</x:v>
      </x:c>
      <x:c r="V4903" s="20" t="n">
        <x:v>12</x:v>
      </x:c>
      <x:c r="W4903" s="20" t="n">
        <x:v>5</x:v>
      </x:c>
      <x:c r="X4903" s="20" t="n">
        <x:v>3</x:v>
      </x:c>
      <x:c r="Y4903" t="str">
        <x:v>Basis arsip 2025/2024</x:v>
      </x:c>
      <x:c r="Z4903" t="str">
        <x:v>https://snpmb.id/utbk-snbt/daya-tampung-snbt</x:v>
      </x:c>
      <x:c r="AA4903" t="str">
        <x:v>Tidak Ada</x:v>
      </x:c>
      <x:c r="AB4903" t="str">
        <x:v>Campus=55; Ratio=0.0; Prodi=60; RelDemand=32.8; Capacity=60.0</x:v>
      </x:c>
    </x:row>
    <x:row r="4904">
      <x:c r="A4904" t="n">
        <x:v>4901</x:v>
      </x:c>
      <x:c r="B4904" t="str">
        <x:v>PTKIN</x:v>
      </x:c>
      <x:c r="C4904" t="str">
        <x:v>UIN PROFESOR KIAI HAJI SAIFUDDIN ZUHRI PURWOKERTO</x:v>
      </x:c>
      <x:c r="D4904" t="str">
        <x:v>INFORMATIKA</x:v>
      </x:c>
      <x:c r="E4904" t="str">
        <x:v>Sarjana</x:v>
      </x:c>
      <x:c r="F4904" s="18" t="n">
        <x:v>66</x:v>
      </x:c>
      <x:c r="G4904" s="18" t="n">
        <x:v>77</x:v>
      </x:c>
      <x:c r="H4904" s="19" t="n">
        <x:v>1.1666666666666667</x:v>
      </x:c>
      <x:c r="I4904" s="18" t="n">
        <x:f>ROUND(MIN(Model_Config_v3!$B$6,MAX(Q4904,R4904,S4904*Model_Config_v3!$B$4+T4904*Model_Config_v3!$B$5)),0)</x:f>
        <x:v>617</x:v>
      </x:c>
      <x:c r="J4904" s="18" t="n">
        <x:f>MIN(Model_Config_v3!$B$6,I4904+Model_Config_v3!$B$7)</x:f>
        <x:v>637</x:v>
      </x:c>
      <x:c r="K4904" s="20" t="n">
        <x:v>48.1</x:v>
      </x:c>
      <x:c r="L4904" t="str">
        <x:v>MENENGAH</x:v>
      </x:c>
      <x:c r="M4904" t="str">
        <x:v>SEDANG+</x:v>
      </x:c>
      <x:c r="N4904" t="str">
        <x:v>REGULER</x:v>
      </x:c>
      <x:c r="O4904" t="str">
        <x:v>SAINTEK</x:v>
      </x:c>
      <x:c r="P4904" t="str">
        <x:v>KOMPUTER/INFORMATIKA</x:v>
      </x:c>
      <x:c r="Q4904" s="18" t="n">
        <x:v>0</x:v>
      </x:c>
      <x:c r="R4904" s="18" t="n">
        <x:v>0</x:v>
      </x:c>
      <x:c r="S4904" s="18" t="n">
        <x:v>527.3641468593675</x:v>
      </x:c>
      <x:c r="T4904" s="18" t="n">
        <x:v>656</x:v>
      </x:c>
      <x:c r="U4904" s="18" t="n">
        <x:v>552.3641468593675</x:v>
      </x:c>
      <x:c r="V4904" s="20" t="n">
        <x:v>12</x:v>
      </x:c>
      <x:c r="W4904" s="20" t="n">
        <x:v>5</x:v>
      </x:c>
      <x:c r="X4904" s="20" t="n">
        <x:v>3</x:v>
      </x:c>
      <x:c r="Y4904" t="str">
        <x:v>Basis arsip 2025/2024</x:v>
      </x:c>
      <x:c r="Z4904" t="str">
        <x:v>https://snpmb.id/utbk-snbt/daya-tampung-snbt</x:v>
      </x:c>
      <x:c r="AA4904" t="str">
        <x:v>Tidak Ada</x:v>
      </x:c>
      <x:c r="AB4904" t="str">
        <x:v>Campus=55; Ratio=3.9; Prodi=85; RelDemand=63.4; Capacity=45.0</x:v>
      </x:c>
    </x:row>
    <x:row r="4905">
      <x:c r="A4905" t="n">
        <x:v>4902</x:v>
      </x:c>
      <x:c r="B4905" t="str">
        <x:v>PTKIN</x:v>
      </x:c>
      <x:c r="C4905" t="str">
        <x:v>UIN PROFESOR KIAI HAJI SAIFUDDIN ZUHRI PURWOKERTO</x:v>
      </x:c>
      <x:c r="D4905" t="str">
        <x:v>PERPUSTAKAAN DAN SAINS INFORMASI</x:v>
      </x:c>
      <x:c r="E4905" t="str">
        <x:v>Sarjana</x:v>
      </x:c>
      <x:c r="F4905" s="18" t="n">
        <x:v>30</x:v>
      </x:c>
      <x:c r="G4905" s="18" t="n">
        <x:v>31</x:v>
      </x:c>
      <x:c r="H4905" s="19" t="n">
        <x:v>1.0333333333333334</x:v>
      </x:c>
      <x:c r="I4905" s="18" t="n">
        <x:f>ROUND(MIN(Model_Config_v3!$B$6,MAX(Q4905,R4905,S4905*Model_Config_v3!$B$4+T4905*Model_Config_v3!$B$5)),0)</x:f>
        <x:v>605</x:v>
      </x:c>
      <x:c r="J4905" s="18" t="n">
        <x:f>MIN(Model_Config_v3!$B$6,I4905+Model_Config_v3!$B$7)</x:f>
        <x:v>625</x:v>
      </x:c>
      <x:c r="K4905" s="20" t="n">
        <x:v>40.6</x:v>
      </x:c>
      <x:c r="L4905" t="str">
        <x:v>RELATIF LONGGAR</x:v>
      </x:c>
      <x:c r="M4905" t="str">
        <x:v>SEDANG</x:v>
      </x:c>
      <x:c r="N4905" t="str">
        <x:v>REGULER</x:v>
      </x:c>
      <x:c r="O4905" t="str">
        <x:v>CAMPURAN</x:v>
      </x:c>
      <x:c r="P4905" t="str">
        <x:v>UMUM</x:v>
      </x:c>
      <x:c r="Q4905" s="18" t="n">
        <x:v>0</x:v>
      </x:c>
      <x:c r="R4905" s="18" t="n">
        <x:v>0</x:v>
      </x:c>
      <x:c r="S4905" s="18" t="n">
        <x:v>521.5664483026071</x:v>
      </x:c>
      <x:c r="T4905" s="18" t="n">
        <x:v>641</x:v>
      </x:c>
      <x:c r="U4905" s="18" t="n">
        <x:v>521.5664483026071</x:v>
      </x:c>
      <x:c r="V4905" s="20" t="n">
        <x:v>8.8</x:v>
      </x:c>
      <x:c r="W4905" s="20" t="n">
        <x:v>9.9</x:v>
      </x:c>
      <x:c r="X4905" s="20" t="n">
        <x:v>3.3</x:v>
      </x:c>
      <x:c r="Y4905" t="str">
        <x:v>Basis arsip 2025/2024</x:v>
      </x:c>
      <x:c r="Z4905" t="str">
        <x:v>https://snpmb.id/utbk-snbt/daya-tampung-snbt</x:v>
      </x:c>
      <x:c r="AA4905" t="str">
        <x:v>Tidak Ada</x:v>
      </x:c>
      <x:c r="AB4905" t="str">
        <x:v>Campus=55; Ratio=0.8; Prodi=40; RelDemand=56.2; Capacity=75.0</x:v>
      </x:c>
    </x:row>
    <x:row r="4906">
      <x:c r="A4906" t="n">
        <x:v>4903</x:v>
      </x:c>
      <x:c r="B4906" t="str">
        <x:v>PTKIN</x:v>
      </x:c>
      <x:c r="C4906" t="str">
        <x:v>UIN PROFESOR KIAI HAJI SAIFUDDIN ZUHRI PURWOKERTO</x:v>
      </x:c>
      <x:c r="D4906" t="str">
        <x:v>ILMU LINGKUNGAN</x:v>
      </x:c>
      <x:c r="E4906" t="str">
        <x:v>Sarjana</x:v>
      </x:c>
      <x:c r="F4906" s="18" t="n">
        <x:v>40</x:v>
      </x:c>
      <x:c r="G4906" s="18" t="n">
        <x:v>35</x:v>
      </x:c>
      <x:c r="H4906" s="19" t="n">
        <x:v>0.875</x:v>
      </x:c>
      <x:c r="I4906" s="18" t="n">
        <x:f>ROUND(MIN(Model_Config_v3!$B$6,MAX(Q4906,R4906,S4906*Model_Config_v3!$B$4+T4906*Model_Config_v3!$B$5)),0)</x:f>
        <x:v>602</x:v>
      </x:c>
      <x:c r="J4906" s="18" t="n">
        <x:f>MIN(Model_Config_v3!$B$6,I4906+Model_Config_v3!$B$7)</x:f>
        <x:v>622</x:v>
      </x:c>
      <x:c r="K4906" s="20" t="n">
        <x:v>38.7</x:v>
      </x:c>
      <x:c r="L4906" t="str">
        <x:v>RELATIF LONGGAR</x:v>
      </x:c>
      <x:c r="M4906" t="str">
        <x:v>SEDANG</x:v>
      </x:c>
      <x:c r="N4906" t="str">
        <x:v>REGULER</x:v>
      </x:c>
      <x:c r="O4906" t="str">
        <x:v>CAMPURAN</x:v>
      </x:c>
      <x:c r="P4906" t="str">
        <x:v>UMUM</x:v>
      </x:c>
      <x:c r="Q4906" s="18" t="n">
        <x:v>0</x:v>
      </x:c>
      <x:c r="R4906" s="18" t="n">
        <x:v>0</x:v>
      </x:c>
      <x:c r="S4906" s="18" t="n">
        <x:v>520</x:v>
      </x:c>
      <x:c r="T4906" s="18" t="n">
        <x:v>637</x:v>
      </x:c>
      <x:c r="U4906" s="18" t="n">
        <x:v>520</x:v>
      </x:c>
      <x:c r="V4906" s="20" t="n">
        <x:v>8.8</x:v>
      </x:c>
      <x:c r="W4906" s="20" t="n">
        <x:v>9.9</x:v>
      </x:c>
      <x:c r="X4906" s="20" t="n">
        <x:v>3.3</x:v>
      </x:c>
      <x:c r="Y4906" t="str">
        <x:v>Basis arsip 2025/2024</x:v>
      </x:c>
      <x:c r="Z4906" t="str">
        <x:v>https://snpmb.id/utbk-snbt/daya-tampung-snbt</x:v>
      </x:c>
      <x:c r="AA4906" t="str">
        <x:v>Tidak Ada</x:v>
      </x:c>
      <x:c r="AB4906" t="str">
        <x:v>Campus=55; Ratio=0.0; Prodi=40; RelDemand=47.6; Capacity=66.7</x:v>
      </x:c>
    </x:row>
    <x:row r="4907">
      <x:c r="A4907" t="n">
        <x:v>4904</x:v>
      </x:c>
      <x:c r="B4907" t="str">
        <x:v>PTKIN</x:v>
      </x:c>
      <x:c r="C4907" t="str">
        <x:v>UIN SALATIGA</x:v>
      </x:c>
      <x:c r="D4907" t="str">
        <x:v>BISNIS DIGITAL</x:v>
      </x:c>
      <x:c r="E4907" t="str">
        <x:v>Sarjana</x:v>
      </x:c>
      <x:c r="F4907" s="18" t="n">
        <x:v>40</x:v>
      </x:c>
      <x:c r="G4907" s="18" t="n">
        <x:v>113</x:v>
      </x:c>
      <x:c r="H4907" s="19" t="n">
        <x:v>2.825</x:v>
      </x:c>
      <x:c r="I4907" s="18" t="n">
        <x:f>ROUND(MIN(Model_Config_v3!$B$6,MAX(Q4907,R4907,S4907*Model_Config_v3!$B$4+T4907*Model_Config_v3!$B$5)),0)</x:f>
        <x:v>641</x:v>
      </x:c>
      <x:c r="J4907" s="18" t="n">
        <x:f>MIN(Model_Config_v3!$B$6,I4907+Model_Config_v3!$B$7)</x:f>
        <x:v>661</x:v>
      </x:c>
      <x:c r="K4907" s="20" t="n">
        <x:v>55.5</x:v>
      </x:c>
      <x:c r="L4907" t="str">
        <x:v>KETAT</x:v>
      </x:c>
      <x:c r="M4907" t="str">
        <x:v>SEDANG+</x:v>
      </x:c>
      <x:c r="N4907" t="str">
        <x:v>REGULER</x:v>
      </x:c>
      <x:c r="O4907" t="str">
        <x:v>SOSHUM</x:v>
      </x:c>
      <x:c r="P4907" t="str">
        <x:v>BISNIS/EKONOMI/AKUNTANSI</x:v>
      </x:c>
      <x:c r="Q4907" s="18" t="n">
        <x:v>0</x:v>
      </x:c>
      <x:c r="R4907" s="18" t="n">
        <x:v>0</x:v>
      </x:c>
      <x:c r="S4907" s="18" t="n">
        <x:v>569.6120297371003</x:v>
      </x:c>
      <x:c r="T4907" s="18" t="n">
        <x:v>671</x:v>
      </x:c>
      <x:c r="U4907" s="18" t="n">
        <x:v>584.6120297371003</x:v>
      </x:c>
      <x:c r="V4907" s="20" t="n">
        <x:v>4.4</x:v>
      </x:c>
      <x:c r="W4907" s="20" t="n">
        <x:v>14.3</x:v>
      </x:c>
      <x:c r="X4907" s="20" t="n">
        <x:v>3.3</x:v>
      </x:c>
      <x:c r="Y4907" t="str">
        <x:v>Basis arsip 2025/2024</x:v>
      </x:c>
      <x:c r="Z4907" t="str">
        <x:v>https://snpmb.id/utbk-snbt/daya-tampung-snbt</x:v>
      </x:c>
      <x:c r="AA4907" t="str">
        <x:v>Tidak Ada</x:v>
      </x:c>
      <x:c r="AB4907" t="str">
        <x:v>Campus=55; Ratio=26.5; Prodi=65; RelDemand=99.1; Capacity=66.7</x:v>
      </x:c>
    </x:row>
    <x:row r="4908">
      <x:c r="A4908" t="n">
        <x:v>4905</x:v>
      </x:c>
      <x:c r="B4908" t="str">
        <x:v>PTKIN</x:v>
      </x:c>
      <x:c r="C4908" t="str">
        <x:v>UIN SALATIGA</x:v>
      </x:c>
      <x:c r="D4908" t="str">
        <x:v>TEKNOLOGI INFORMASI</x:v>
      </x:c>
      <x:c r="E4908" t="str">
        <x:v>Sarjana</x:v>
      </x:c>
      <x:c r="F4908" s="18" t="n">
        <x:v>36</x:v>
      </x:c>
      <x:c r="G4908" s="18" t="n">
        <x:v>68</x:v>
      </x:c>
      <x:c r="H4908" s="19" t="n">
        <x:v>1.8888888888888888</x:v>
      </x:c>
      <x:c r="I4908" s="18" t="n">
        <x:f>ROUND(MIN(Model_Config_v3!$B$6,MAX(Q4908,R4908,S4908*Model_Config_v3!$B$4+T4908*Model_Config_v3!$B$5)),0)</x:f>
        <x:v>620</x:v>
      </x:c>
      <x:c r="J4908" s="18" t="n">
        <x:f>MIN(Model_Config_v3!$B$6,I4908+Model_Config_v3!$B$7)</x:f>
        <x:v>640</x:v>
      </x:c>
      <x:c r="K4908" s="20" t="n">
        <x:v>44.9</x:v>
      </x:c>
      <x:c r="L4908" t="str">
        <x:v>RELATIF LONGGAR</x:v>
      </x:c>
      <x:c r="M4908" t="str">
        <x:v>SEDANG</x:v>
      </x:c>
      <x:c r="N4908" t="str">
        <x:v>REGULER</x:v>
      </x:c>
      <x:c r="O4908" t="str">
        <x:v>SAINTEK</x:v>
      </x:c>
      <x:c r="P4908" t="str">
        <x:v>UMUM</x:v>
      </x:c>
      <x:c r="Q4908" s="18" t="n">
        <x:v>0</x:v>
      </x:c>
      <x:c r="R4908" s="18" t="n">
        <x:v>0</x:v>
      </x:c>
      <x:c r="S4908" s="18" t="n">
        <x:v>550.3827053132844</x:v>
      </x:c>
      <x:c r="T4908" s="18" t="n">
        <x:v>650</x:v>
      </x:c>
      <x:c r="U4908" s="18" t="n">
        <x:v>550.3827053132844</x:v>
      </x:c>
      <x:c r="V4908" s="20" t="n">
        <x:v>12</x:v>
      </x:c>
      <x:c r="W4908" s="20" t="n">
        <x:v>5</x:v>
      </x:c>
      <x:c r="X4908" s="20" t="n">
        <x:v>3</x:v>
      </x:c>
      <x:c r="Y4908" t="str">
        <x:v>Basis arsip 2025/2024</x:v>
      </x:c>
      <x:c r="Z4908" t="str">
        <x:v>https://snpmb.id/utbk-snbt/daya-tampung-snbt</x:v>
      </x:c>
      <x:c r="AA4908" t="str">
        <x:v>Tidak Ada</x:v>
      </x:c>
      <x:c r="AB4908" t="str">
        <x:v>Campus=55; Ratio=16.3; Prodi=40; RelDemand=66.3; Capacity=70.0</x:v>
      </x:c>
    </x:row>
    <x:row r="4909">
      <x:c r="A4909" t="n">
        <x:v>4906</x:v>
      </x:c>
      <x:c r="B4909" t="str">
        <x:v>PTKIN</x:v>
      </x:c>
      <x:c r="C4909" t="str">
        <x:v>UIN SALATIGA</x:v>
      </x:c>
      <x:c r="D4909" t="str">
        <x:v>SAINS DATA</x:v>
      </x:c>
      <x:c r="E4909" t="str">
        <x:v>Sarjana</x:v>
      </x:c>
      <x:c r="F4909" s="18" t="n">
        <x:v>32</x:v>
      </x:c>
      <x:c r="G4909" s="18" t="n">
        <x:v>10</x:v>
      </x:c>
      <x:c r="H4909" s="19" t="n">
        <x:v>0.3125</x:v>
      </x:c>
      <x:c r="I4909" s="18" t="n">
        <x:f>ROUND(MIN(Model_Config_v3!$B$6,MAX(Q4909,R4909,S4909*Model_Config_v3!$B$4+T4909*Model_Config_v3!$B$5)),0)</x:f>
        <x:v>598</x:v>
      </x:c>
      <x:c r="J4909" s="18" t="n">
        <x:f>MIN(Model_Config_v3!$B$6,I4909+Model_Config_v3!$B$7)</x:f>
        <x:v>618</x:v>
      </x:c>
      <x:c r="K4909" s="20" t="n">
        <x:v>35.7</x:v>
      </x:c>
      <x:c r="L4909" t="str">
        <x:v>RELATIF LONGGAR</x:v>
      </x:c>
      <x:c r="M4909" t="str">
        <x:v>SEDANG</x:v>
      </x:c>
      <x:c r="N4909" t="str">
        <x:v>REGULER</x:v>
      </x:c>
      <x:c r="O4909" t="str">
        <x:v>CAMPURAN</x:v>
      </x:c>
      <x:c r="P4909" t="str">
        <x:v>UMUM</x:v>
      </x:c>
      <x:c r="Q4909" s="18" t="n">
        <x:v>0</x:v>
      </x:c>
      <x:c r="R4909" s="18" t="n">
        <x:v>0</x:v>
      </x:c>
      <x:c r="S4909" s="18" t="n">
        <x:v>520</x:v>
      </x:c>
      <x:c r="T4909" s="18" t="n">
        <x:v>631</x:v>
      </x:c>
      <x:c r="U4909" s="18" t="n">
        <x:v>520</x:v>
      </x:c>
      <x:c r="V4909" s="20" t="n">
        <x:v>8.8</x:v>
      </x:c>
      <x:c r="W4909" s="20" t="n">
        <x:v>9.9</x:v>
      </x:c>
      <x:c r="X4909" s="20" t="n">
        <x:v>3.3</x:v>
      </x:c>
      <x:c r="Y4909" t="str">
        <x:v>Basis arsip 2025/2024</x:v>
      </x:c>
      <x:c r="Z4909" t="str">
        <x:v>https://snpmb.id/utbk-snbt/daya-tampung-snbt</x:v>
      </x:c>
      <x:c r="AA4909" t="str">
        <x:v>Tidak Ada</x:v>
      </x:c>
      <x:c r="AB4909" t="str">
        <x:v>Campus=55; Ratio=0.0; Prodi=40; RelDemand=11.0; Capacity=73.3</x:v>
      </x:c>
    </x:row>
    <x:row r="4910">
      <x:c r="A4910" t="n">
        <x:v>4907</x:v>
      </x:c>
      <x:c r="B4910" t="str">
        <x:v>PTKIN</x:v>
      </x:c>
      <x:c r="C4910" t="str">
        <x:v>UIN SALATIGA</x:v>
      </x:c>
      <x:c r="D4910" t="str">
        <x:v>PERPUSTAKAAN DAN SAINS INFORMASI</x:v>
      </x:c>
      <x:c r="E4910" t="str">
        <x:v>Sarjana</x:v>
      </x:c>
      <x:c r="F4910" s="18" t="n">
        <x:v>40</x:v>
      </x:c>
      <x:c r="G4910" s="18" t="n">
        <x:v>27</x:v>
      </x:c>
      <x:c r="H4910" s="19" t="n">
        <x:v>0.675</x:v>
      </x:c>
      <x:c r="I4910" s="18" t="n">
        <x:f>ROUND(MIN(Model_Config_v3!$B$6,MAX(Q4910,R4910,S4910*Model_Config_v3!$B$4+T4910*Model_Config_v3!$B$5)),0)</x:f>
        <x:v>599</x:v>
      </x:c>
      <x:c r="J4910" s="18" t="n">
        <x:f>MIN(Model_Config_v3!$B$6,I4910+Model_Config_v3!$B$7)</x:f>
        <x:v>619</x:v>
      </x:c>
      <x:c r="K4910" s="20" t="n">
        <x:v>36.3</x:v>
      </x:c>
      <x:c r="L4910" t="str">
        <x:v>RELATIF LONGGAR</x:v>
      </x:c>
      <x:c r="M4910" t="str">
        <x:v>SEDANG</x:v>
      </x:c>
      <x:c r="N4910" t="str">
        <x:v>REGULER</x:v>
      </x:c>
      <x:c r="O4910" t="str">
        <x:v>CAMPURAN</x:v>
      </x:c>
      <x:c r="P4910" t="str">
        <x:v>UMUM</x:v>
      </x:c>
      <x:c r="Q4910" s="18" t="n">
        <x:v>0</x:v>
      </x:c>
      <x:c r="R4910" s="18" t="n">
        <x:v>0</x:v>
      </x:c>
      <x:c r="S4910" s="18" t="n">
        <x:v>520</x:v>
      </x:c>
      <x:c r="T4910" s="18" t="n">
        <x:v>633</x:v>
      </x:c>
      <x:c r="U4910" s="18" t="n">
        <x:v>520</x:v>
      </x:c>
      <x:c r="V4910" s="20" t="n">
        <x:v>8.8</x:v>
      </x:c>
      <x:c r="W4910" s="20" t="n">
        <x:v>9.9</x:v>
      </x:c>
      <x:c r="X4910" s="20" t="n">
        <x:v>3.3</x:v>
      </x:c>
      <x:c r="Y4910" t="str">
        <x:v>Basis arsip 2025/2024</x:v>
      </x:c>
      <x:c r="Z4910" t="str">
        <x:v>https://snpmb.id/utbk-snbt/daya-tampung-snbt</x:v>
      </x:c>
      <x:c r="AA4910" t="str">
        <x:v>Tidak Ada</x:v>
      </x:c>
      <x:c r="AB4910" t="str">
        <x:v>Campus=55; Ratio=0.0; Prodi=40; RelDemand=23.7; Capacity=66.7</x:v>
      </x:c>
    </x:row>
    <x:row r="4911">
      <x:c r="A4911" t="n">
        <x:v>4908</x:v>
      </x:c>
      <x:c r="B4911" t="str">
        <x:v>PTKIN</x:v>
      </x:c>
      <x:c r="C4911" t="str">
        <x:v>UIN K.H. ABDURRAHMAN WAHID PEKALONGAN</x:v>
      </x:c>
      <x:c r="D4911" t="str">
        <x:v>BISNIS DIGITAL</x:v>
      </x:c>
      <x:c r="E4911" t="str">
        <x:v>Sarjana</x:v>
      </x:c>
      <x:c r="F4911" s="18" t="n">
        <x:v>59</x:v>
      </x:c>
      <x:c r="G4911" s="18" t="n">
        <x:v>137</x:v>
      </x:c>
      <x:c r="H4911" s="19" t="n">
        <x:v>2.3220338983050848</x:v>
      </x:c>
      <x:c r="I4911" s="18" t="n">
        <x:f>ROUND(MIN(Model_Config_v3!$B$6,MAX(Q4911,R4911,S4911*Model_Config_v3!$B$4+T4911*Model_Config_v3!$B$5)),0)</x:f>
        <x:v>634</x:v>
      </x:c>
      <x:c r="J4911" s="18" t="n">
        <x:f>MIN(Model_Config_v3!$B$6,I4911+Model_Config_v3!$B$7)</x:f>
        <x:v>654</x:v>
      </x:c>
      <x:c r="K4911" s="20" t="n">
        <x:v>52.7</x:v>
      </x:c>
      <x:c r="L4911" t="str">
        <x:v>MENENGAH</x:v>
      </x:c>
      <x:c r="M4911" t="str">
        <x:v>SEDANG+</x:v>
      </x:c>
      <x:c r="N4911" t="str">
        <x:v>REGULER</x:v>
      </x:c>
      <x:c r="O4911" t="str">
        <x:v>SOSHUM</x:v>
      </x:c>
      <x:c r="P4911" t="str">
        <x:v>BISNIS/EKONOMI/AKUNTANSI</x:v>
      </x:c>
      <x:c r="Q4911" s="18" t="n">
        <x:v>0</x:v>
      </x:c>
      <x:c r="R4911" s="18" t="n">
        <x:v>0</x:v>
      </x:c>
      <x:c r="S4911" s="18" t="n">
        <x:v>560.2455411065689</x:v>
      </x:c>
      <x:c r="T4911" s="18" t="n">
        <x:v>665</x:v>
      </x:c>
      <x:c r="U4911" s="18" t="n">
        <x:v>575.2455411065689</x:v>
      </x:c>
      <x:c r="V4911" s="20" t="n">
        <x:v>4.4</x:v>
      </x:c>
      <x:c r="W4911" s="20" t="n">
        <x:v>14.3</x:v>
      </x:c>
      <x:c r="X4911" s="20" t="n">
        <x:v>3.3</x:v>
      </x:c>
      <x:c r="Y4911" t="str">
        <x:v>Basis arsip 2025/2024</x:v>
      </x:c>
      <x:c r="Z4911" t="str">
        <x:v>https://snpmb.id/utbk-snbt/daya-tampung-snbt</x:v>
      </x:c>
      <x:c r="AA4911" t="str">
        <x:v>Tidak Ada</x:v>
      </x:c>
      <x:c r="AB4911" t="str">
        <x:v>Campus=55; Ratio=21.5; Prodi=65; RelDemand=100.0; Capacity=50.8</x:v>
      </x:c>
    </x:row>
    <x:row r="4912">
      <x:c r="A4912" t="n">
        <x:v>4909</x:v>
      </x:c>
      <x:c r="B4912" t="str">
        <x:v>PTKIN</x:v>
      </x:c>
      <x:c r="C4912" t="str">
        <x:v>UIN K.H. ABDURRAHMAN WAHID PEKALONGAN</x:v>
      </x:c>
      <x:c r="D4912" t="str">
        <x:v>SAINS DATA</x:v>
      </x:c>
      <x:c r="E4912" t="str">
        <x:v>Sarjana</x:v>
      </x:c>
      <x:c r="F4912" s="18" t="n">
        <x:v>40</x:v>
      </x:c>
      <x:c r="G4912" s="18" t="n">
        <x:v>17</x:v>
      </x:c>
      <x:c r="H4912" s="19" t="n">
        <x:v>0.425</x:v>
      </x:c>
      <x:c r="I4912" s="18" t="n">
        <x:f>ROUND(MIN(Model_Config_v3!$B$6,MAX(Q4912,R4912,S4912*Model_Config_v3!$B$4+T4912*Model_Config_v3!$B$5)),0)</x:f>
        <x:v>598</x:v>
      </x:c>
      <x:c r="J4912" s="18" t="n">
        <x:f>MIN(Model_Config_v3!$B$6,I4912+Model_Config_v3!$B$7)</x:f>
        <x:v>618</x:v>
      </x:c>
      <x:c r="K4912" s="20" t="n">
        <x:v>35.8</x:v>
      </x:c>
      <x:c r="L4912" t="str">
        <x:v>RELATIF LONGGAR</x:v>
      </x:c>
      <x:c r="M4912" t="str">
        <x:v>SEDANG</x:v>
      </x:c>
      <x:c r="N4912" t="str">
        <x:v>REGULER</x:v>
      </x:c>
      <x:c r="O4912" t="str">
        <x:v>CAMPURAN</x:v>
      </x:c>
      <x:c r="P4912" t="str">
        <x:v>UMUM</x:v>
      </x:c>
      <x:c r="Q4912" s="18" t="n">
        <x:v>0</x:v>
      </x:c>
      <x:c r="R4912" s="18" t="n">
        <x:v>0</x:v>
      </x:c>
      <x:c r="S4912" s="18" t="n">
        <x:v>520</x:v>
      </x:c>
      <x:c r="T4912" s="18" t="n">
        <x:v>632</x:v>
      </x:c>
      <x:c r="U4912" s="18" t="n">
        <x:v>520</x:v>
      </x:c>
      <x:c r="V4912" s="20" t="n">
        <x:v>8.8</x:v>
      </x:c>
      <x:c r="W4912" s="20" t="n">
        <x:v>9.9</x:v>
      </x:c>
      <x:c r="X4912" s="20" t="n">
        <x:v>3.3</x:v>
      </x:c>
      <x:c r="Y4912" t="str">
        <x:v>Basis arsip 2025/2024</x:v>
      </x:c>
      <x:c r="Z4912" t="str">
        <x:v>https://snpmb.id/utbk-snbt/daya-tampung-snbt</x:v>
      </x:c>
      <x:c r="AA4912" t="str">
        <x:v>Tidak Ada</x:v>
      </x:c>
      <x:c r="AB4912" t="str">
        <x:v>Campus=55; Ratio=0.0; Prodi=40; RelDemand=18.9; Capacity=66.7</x:v>
      </x:c>
    </x:row>
    <x:row r="4913">
      <x:c r="A4913" t="n">
        <x:v>4910</x:v>
      </x:c>
      <x:c r="B4913" t="str">
        <x:v>PTKIN</x:v>
      </x:c>
      <x:c r="C4913" t="str">
        <x:v>UIN K.H. ABDURRAHMAN WAHID PEKALONGAN</x:v>
      </x:c>
      <x:c r="D4913" t="str">
        <x:v>INFORMATIKA</x:v>
      </x:c>
      <x:c r="E4913" t="str">
        <x:v>Sarjana</x:v>
      </x:c>
      <x:c r="F4913" s="18" t="n">
        <x:v>59</x:v>
      </x:c>
      <x:c r="G4913" s="18" t="n">
        <x:v>103</x:v>
      </x:c>
      <x:c r="H4913" s="19" t="n">
        <x:v>1.7457627118644068</x:v>
      </x:c>
      <x:c r="I4913" s="18" t="n">
        <x:f>ROUND(MIN(Model_Config_v3!$B$6,MAX(Q4913,R4913,S4913*Model_Config_v3!$B$4+T4913*Model_Config_v3!$B$5)),0)</x:f>
        <x:v>629</x:v>
      </x:c>
      <x:c r="J4913" s="18" t="n">
        <x:f>MIN(Model_Config_v3!$B$6,I4913+Model_Config_v3!$B$7)</x:f>
        <x:v>649</x:v>
      </x:c>
      <x:c r="K4913" s="20" t="n">
        <x:v>52.7</x:v>
      </x:c>
      <x:c r="L4913" t="str">
        <x:v>MENENGAH</x:v>
      </x:c>
      <x:c r="M4913" t="str">
        <x:v>SEDANG+</x:v>
      </x:c>
      <x:c r="N4913" t="str">
        <x:v>REGULER</x:v>
      </x:c>
      <x:c r="O4913" t="str">
        <x:v>SAINTEK</x:v>
      </x:c>
      <x:c r="P4913" t="str">
        <x:v>KOMPUTER/INFORMATIKA</x:v>
      </x:c>
      <x:c r="Q4913" s="18" t="n">
        <x:v>0</x:v>
      </x:c>
      <x:c r="R4913" s="18" t="n">
        <x:v>0</x:v>
      </x:c>
      <x:c r="S4913" s="18" t="n">
        <x:v>546.6183734369331</x:v>
      </x:c>
      <x:c r="T4913" s="18" t="n">
        <x:v>665</x:v>
      </x:c>
      <x:c r="U4913" s="18" t="n">
        <x:v>571.6183734369331</x:v>
      </x:c>
      <x:c r="V4913" s="20" t="n">
        <x:v>12</x:v>
      </x:c>
      <x:c r="W4913" s="20" t="n">
        <x:v>5</x:v>
      </x:c>
      <x:c r="X4913" s="20" t="n">
        <x:v>3</x:v>
      </x:c>
      <x:c r="Y4913" t="str">
        <x:v>Basis arsip 2025/2024</x:v>
      </x:c>
      <x:c r="Z4913" t="str">
        <x:v>https://snpmb.id/utbk-snbt/daya-tampung-snbt</x:v>
      </x:c>
      <x:c r="AA4913" t="str">
        <x:v>Tidak Ada</x:v>
      </x:c>
      <x:c r="AB4913" t="str">
        <x:v>Campus=55; Ratio=14.2; Prodi=85; RelDemand=77.7; Capacity=50.8</x:v>
      </x:c>
    </x:row>
    <x:row r="4914">
      <x:c r="A4914" t="n">
        <x:v>4911</x:v>
      </x:c>
      <x:c r="B4914" t="str">
        <x:v>PTKIN</x:v>
      </x:c>
      <x:c r="C4914" t="str">
        <x:v>UIN K.H. ABDURRAHMAN WAHID PEKALONGAN</x:v>
      </x:c>
      <x:c r="D4914" t="str">
        <x:v>HUKUM BISNIS</x:v>
      </x:c>
      <x:c r="E4914" t="str">
        <x:v>Sarjana</x:v>
      </x:c>
      <x:c r="F4914" s="18" t="n">
        <x:v>40</x:v>
      </x:c>
      <x:c r="G4914" s="18"/>
      <x:c r="H4914" s="19" t="n">
        <x:v>0</x:v>
      </x:c>
      <x:c r="I4914" s="18" t="n">
        <x:f>ROUND(MIN(Model_Config_v3!$B$6,MAX(Q4914,R4914,S4914*Model_Config_v3!$B$4+T4914*Model_Config_v3!$B$5)),0)</x:f>
        <x:v>603</x:v>
      </x:c>
      <x:c r="J4914" s="18" t="n">
        <x:f>MIN(Model_Config_v3!$B$6,I4914+Model_Config_v3!$B$7)</x:f>
        <x:v>623</x:v>
      </x:c>
      <x:c r="K4914" s="20" t="n">
        <x:v>38.9</x:v>
      </x:c>
      <x:c r="L4914" t="str">
        <x:v>RELATIF LONGGAR</x:v>
      </x:c>
      <x:c r="M4914" t="str">
        <x:v>RENDAH</x:v>
      </x:c>
      <x:c r="N4914" t="str">
        <x:v>REGULER</x:v>
      </x:c>
      <x:c r="O4914" t="str">
        <x:v>SOSHUM</x:v>
      </x:c>
      <x:c r="P4914" t="str">
        <x:v>HUKUM</x:v>
      </x:c>
      <x:c r="Q4914" s="18" t="n">
        <x:v>0</x:v>
      </x:c>
      <x:c r="R4914" s="18" t="n">
        <x:v>0</x:v>
      </x:c>
      <x:c r="S4914" s="18" t="n">
        <x:v>520</x:v>
      </x:c>
      <x:c r="T4914" s="18" t="n">
        <x:v>638</x:v>
      </x:c>
      <x:c r="U4914" s="18" t="n">
        <x:v>535</x:v>
      </x:c>
      <x:c r="V4914" s="20" t="n">
        <x:v>4.4</x:v>
      </x:c>
      <x:c r="W4914" s="20" t="n">
        <x:v>14.3</x:v>
      </x:c>
      <x:c r="X4914" s="20" t="n">
        <x:v>3.3</x:v>
      </x:c>
      <x:c r="Y4914" t="str">
        <x:v>Basis arsip 2025/2024</x:v>
      </x:c>
      <x:c r="Z4914" t="str">
        <x:v>https://snpmb.id/utbk-snbt/daya-tampung-snbt</x:v>
      </x:c>
      <x:c r="AA4914" t="str">
        <x:v>Tidak Ada</x:v>
      </x:c>
      <x:c r="AB4914" t="str">
        <x:v>Campus=55; Ratio=0.0; Prodi=65; RelDemand=0.0; Capacity=66.7</x:v>
      </x:c>
    </x:row>
    <x:row r="4915">
      <x:c r="A4915" t="n">
        <x:v>4912</x:v>
      </x:c>
      <x:c r="B4915" t="str">
        <x:v>PTKIN</x:v>
      </x:c>
      <x:c r="C4915" t="str">
        <x:v>UIN MALANG</x:v>
      </x:c>
      <x:c r="D4915" t="str">
        <x:v>MATEMATIKA</x:v>
      </x:c>
      <x:c r="E4915" t="str">
        <x:v>Sarjana</x:v>
      </x:c>
      <x:c r="F4915" s="18" t="n">
        <x:v>80</x:v>
      </x:c>
      <x:c r="G4915" s="18" t="n">
        <x:v>44</x:v>
      </x:c>
      <x:c r="H4915" s="19" t="n">
        <x:v>0.55</x:v>
      </x:c>
      <x:c r="I4915" s="18" t="n">
        <x:f>ROUND(MIN(Model_Config_v3!$B$6,MAX(Q4915,R4915,S4915*Model_Config_v3!$B$4+T4915*Model_Config_v3!$B$5)),0)</x:f>
        <x:v>595</x:v>
      </x:c>
      <x:c r="J4915" s="18" t="n">
        <x:f>MIN(Model_Config_v3!$B$6,I4915+Model_Config_v3!$B$7)</x:f>
        <x:v>615</x:v>
      </x:c>
      <x:c r="K4915" s="20" t="n">
        <x:v>33.6</x:v>
      </x:c>
      <x:c r="L4915" t="str">
        <x:v>RELATIF LONGGAR</x:v>
      </x:c>
      <x:c r="M4915" t="str">
        <x:v>SEDANG+</x:v>
      </x:c>
      <x:c r="N4915" t="str">
        <x:v>REGULER</x:v>
      </x:c>
      <x:c r="O4915" t="str">
        <x:v>SAINTEK</x:v>
      </x:c>
      <x:c r="P4915" t="str">
        <x:v>SAINS DASAR</x:v>
      </x:c>
      <x:c r="Q4915" s="18" t="n">
        <x:v>0</x:v>
      </x:c>
      <x:c r="R4915" s="18" t="n">
        <x:v>0</x:v>
      </x:c>
      <x:c r="S4915" s="18" t="n">
        <x:v>520</x:v>
      </x:c>
      <x:c r="T4915" s="18" t="n">
        <x:v>627</x:v>
      </x:c>
      <x:c r="U4915" s="18" t="n">
        <x:v>520</x:v>
      </x:c>
      <x:c r="V4915" s="20" t="n">
        <x:v>12</x:v>
      </x:c>
      <x:c r="W4915" s="20" t="n">
        <x:v>5</x:v>
      </x:c>
      <x:c r="X4915" s="20" t="n">
        <x:v>3</x:v>
      </x:c>
      <x:c r="Y4915" t="str">
        <x:v>Basis arsip 2025/2024</x:v>
      </x:c>
      <x:c r="Z4915" t="str">
        <x:v>https://snpmb.id/utbk-snbt/daya-tampung-snbt</x:v>
      </x:c>
      <x:c r="AA4915" t="str">
        <x:v>Tidak Ada</x:v>
      </x:c>
      <x:c r="AB4915" t="str">
        <x:v>Campus=55; Ratio=0.0; Prodi=50; RelDemand=10.0; Capacity=33.3</x:v>
      </x:c>
    </x:row>
    <x:row r="4916">
      <x:c r="A4916" t="n">
        <x:v>4913</x:v>
      </x:c>
      <x:c r="B4916" t="str">
        <x:v>PTKIN</x:v>
      </x:c>
      <x:c r="C4916" t="str">
        <x:v>UIN MALANG</x:v>
      </x:c>
      <x:c r="D4916" t="str">
        <x:v>BIOLOGI</x:v>
      </x:c>
      <x:c r="E4916" t="str">
        <x:v>Sarjana</x:v>
      </x:c>
      <x:c r="F4916" s="18" t="n">
        <x:v>110</x:v>
      </x:c>
      <x:c r="G4916" s="18" t="n">
        <x:v>99</x:v>
      </x:c>
      <x:c r="H4916" s="19" t="n">
        <x:v>0.9</x:v>
      </x:c>
      <x:c r="I4916" s="18" t="n">
        <x:f>ROUND(MIN(Model_Config_v3!$B$6,MAX(Q4916,R4916,S4916*Model_Config_v3!$B$4+T4916*Model_Config_v3!$B$5)),0)</x:f>
        <x:v>592</x:v>
      </x:c>
      <x:c r="J4916" s="18" t="n">
        <x:f>MIN(Model_Config_v3!$B$6,I4916+Model_Config_v3!$B$7)</x:f>
        <x:v>612</x:v>
      </x:c>
      <x:c r="K4916" s="20" t="n">
        <x:v>31.7</x:v>
      </x:c>
      <x:c r="L4916" t="str">
        <x:v>RELATIF LONGGAR</x:v>
      </x:c>
      <x:c r="M4916" t="str">
        <x:v>SEDANG+</x:v>
      </x:c>
      <x:c r="N4916" t="str">
        <x:v>REGULER</x:v>
      </x:c>
      <x:c r="O4916" t="str">
        <x:v>SAINTEK</x:v>
      </x:c>
      <x:c r="P4916" t="str">
        <x:v>SAINS DASAR</x:v>
      </x:c>
      <x:c r="Q4916" s="18" t="n">
        <x:v>0</x:v>
      </x:c>
      <x:c r="R4916" s="18" t="n">
        <x:v>0</x:v>
      </x:c>
      <x:c r="S4916" s="18" t="n">
        <x:v>520</x:v>
      </x:c>
      <x:c r="T4916" s="18" t="n">
        <x:v>623</x:v>
      </x:c>
      <x:c r="U4916" s="18" t="n">
        <x:v>520</x:v>
      </x:c>
      <x:c r="V4916" s="20" t="n">
        <x:v>12</x:v>
      </x:c>
      <x:c r="W4916" s="20" t="n">
        <x:v>5</x:v>
      </x:c>
      <x:c r="X4916" s="20" t="n">
        <x:v>3</x:v>
      </x:c>
      <x:c r="Y4916" t="str">
        <x:v>Basis arsip 2025/2024</x:v>
      </x:c>
      <x:c r="Z4916" t="str">
        <x:v>https://snpmb.id/utbk-snbt/daya-tampung-snbt</x:v>
      </x:c>
      <x:c r="AA4916" t="str">
        <x:v>Tidak Ada</x:v>
      </x:c>
      <x:c r="AB4916" t="str">
        <x:v>Campus=55; Ratio=0.0; Prodi=50; RelDemand=16.4; Capacity=8.3</x:v>
      </x:c>
    </x:row>
    <x:row r="4917">
      <x:c r="A4917" t="n">
        <x:v>4914</x:v>
      </x:c>
      <x:c r="B4917" t="str">
        <x:v>PTKIN</x:v>
      </x:c>
      <x:c r="C4917" t="str">
        <x:v>UIN MALANG</x:v>
      </x:c>
      <x:c r="D4917" t="str">
        <x:v>KIMIA</x:v>
      </x:c>
      <x:c r="E4917" t="str">
        <x:v>Sarjana</x:v>
      </x:c>
      <x:c r="F4917" s="18" t="n">
        <x:v>80</x:v>
      </x:c>
      <x:c r="G4917" s="18" t="n">
        <x:v>47</x:v>
      </x:c>
      <x:c r="H4917" s="19" t="n">
        <x:v>0.5875</x:v>
      </x:c>
      <x:c r="I4917" s="18" t="n">
        <x:f>ROUND(MIN(Model_Config_v3!$B$6,MAX(Q4917,R4917,S4917*Model_Config_v3!$B$4+T4917*Model_Config_v3!$B$5)),0)</x:f>
        <x:v>595</x:v>
      </x:c>
      <x:c r="J4917" s="18" t="n">
        <x:f>MIN(Model_Config_v3!$B$6,I4917+Model_Config_v3!$B$7)</x:f>
        <x:v>615</x:v>
      </x:c>
      <x:c r="K4917" s="20" t="n">
        <x:v>33.7</x:v>
      </x:c>
      <x:c r="L4917" t="str">
        <x:v>RELATIF LONGGAR</x:v>
      </x:c>
      <x:c r="M4917" t="str">
        <x:v>SEDANG+</x:v>
      </x:c>
      <x:c r="N4917" t="str">
        <x:v>REGULER</x:v>
      </x:c>
      <x:c r="O4917" t="str">
        <x:v>SAINTEK</x:v>
      </x:c>
      <x:c r="P4917" t="str">
        <x:v>SAINS DASAR</x:v>
      </x:c>
      <x:c r="Q4917" s="18" t="n">
        <x:v>0</x:v>
      </x:c>
      <x:c r="R4917" s="18" t="n">
        <x:v>0</x:v>
      </x:c>
      <x:c r="S4917" s="18" t="n">
        <x:v>520</x:v>
      </x:c>
      <x:c r="T4917" s="18" t="n">
        <x:v>627</x:v>
      </x:c>
      <x:c r="U4917" s="18" t="n">
        <x:v>520</x:v>
      </x:c>
      <x:c r="V4917" s="20" t="n">
        <x:v>12</x:v>
      </x:c>
      <x:c r="W4917" s="20" t="n">
        <x:v>5</x:v>
      </x:c>
      <x:c r="X4917" s="20" t="n">
        <x:v>3</x:v>
      </x:c>
      <x:c r="Y4917" t="str">
        <x:v>Basis arsip 2025/2024</x:v>
      </x:c>
      <x:c r="Z4917" t="str">
        <x:v>https://snpmb.id/utbk-snbt/daya-tampung-snbt</x:v>
      </x:c>
      <x:c r="AA4917" t="str">
        <x:v>Tidak Ada</x:v>
      </x:c>
      <x:c r="AB4917" t="str">
        <x:v>Campus=55; Ratio=0.0; Prodi=50; RelDemand=10.7; Capacity=33.3</x:v>
      </x:c>
    </x:row>
    <x:row r="4918">
      <x:c r="A4918" t="n">
        <x:v>4915</x:v>
      </x:c>
      <x:c r="B4918" t="str">
        <x:v>PTKIN</x:v>
      </x:c>
      <x:c r="C4918" t="str">
        <x:v>UIN MALANG</x:v>
      </x:c>
      <x:c r="D4918" t="str">
        <x:v>FISIKA</x:v>
      </x:c>
      <x:c r="E4918" t="str">
        <x:v>Sarjana</x:v>
      </x:c>
      <x:c r="F4918" s="18" t="n">
        <x:v>80</x:v>
      </x:c>
      <x:c r="G4918" s="18" t="n">
        <x:v>18</x:v>
      </x:c>
      <x:c r="H4918" s="19" t="n">
        <x:v>0.225</x:v>
      </x:c>
      <x:c r="I4918" s="18" t="n">
        <x:f>ROUND(MIN(Model_Config_v3!$B$6,MAX(Q4918,R4918,S4918*Model_Config_v3!$B$4+T4918*Model_Config_v3!$B$5)),0)</x:f>
        <x:v>594</x:v>
      </x:c>
      <x:c r="J4918" s="18" t="n">
        <x:f>MIN(Model_Config_v3!$B$6,I4918+Model_Config_v3!$B$7)</x:f>
        <x:v>614</x:v>
      </x:c>
      <x:c r="K4918" s="20" t="n">
        <x:v>33</x:v>
      </x:c>
      <x:c r="L4918" t="str">
        <x:v>RELATIF LONGGAR</x:v>
      </x:c>
      <x:c r="M4918" t="str">
        <x:v>SEDANG+</x:v>
      </x:c>
      <x:c r="N4918" t="str">
        <x:v>REGULER</x:v>
      </x:c>
      <x:c r="O4918" t="str">
        <x:v>SAINTEK</x:v>
      </x:c>
      <x:c r="P4918" t="str">
        <x:v>SAINS DASAR</x:v>
      </x:c>
      <x:c r="Q4918" s="18" t="n">
        <x:v>0</x:v>
      </x:c>
      <x:c r="R4918" s="18" t="n">
        <x:v>0</x:v>
      </x:c>
      <x:c r="S4918" s="18" t="n">
        <x:v>520</x:v>
      </x:c>
      <x:c r="T4918" s="18" t="n">
        <x:v>626</x:v>
      </x:c>
      <x:c r="U4918" s="18" t="n">
        <x:v>520</x:v>
      </x:c>
      <x:c r="V4918" s="20" t="n">
        <x:v>12</x:v>
      </x:c>
      <x:c r="W4918" s="20" t="n">
        <x:v>5</x:v>
      </x:c>
      <x:c r="X4918" s="20" t="n">
        <x:v>3</x:v>
      </x:c>
      <x:c r="Y4918" t="str">
        <x:v>Basis arsip 2025/2024</x:v>
      </x:c>
      <x:c r="Z4918" t="str">
        <x:v>https://snpmb.id/utbk-snbt/daya-tampung-snbt</x:v>
      </x:c>
      <x:c r="AA4918" t="str">
        <x:v>Tidak Ada</x:v>
      </x:c>
      <x:c r="AB4918" t="str">
        <x:v>Campus=55; Ratio=0.0; Prodi=50; RelDemand=4.1; Capacity=33.3</x:v>
      </x:c>
    </x:row>
    <x:row r="4919">
      <x:c r="A4919" t="n">
        <x:v>4916</x:v>
      </x:c>
      <x:c r="B4919" t="str">
        <x:v>PTKIN</x:v>
      </x:c>
      <x:c r="C4919" t="str">
        <x:v>UIN MALANG</x:v>
      </x:c>
      <x:c r="D4919" t="str">
        <x:v>TEKNIK INFORMATIKA</x:v>
      </x:c>
      <x:c r="E4919" t="str">
        <x:v>Sarjana</x:v>
      </x:c>
      <x:c r="F4919" s="18" t="n">
        <x:v>166</x:v>
      </x:c>
      <x:c r="G4919" s="18" t="n">
        <x:v>350</x:v>
      </x:c>
      <x:c r="H4919" s="19" t="n">
        <x:v>2.108433734939759</x:v>
      </x:c>
      <x:c r="I4919" s="18" t="n">
        <x:f>ROUND(MIN(Model_Config_v3!$B$6,MAX(Q4919,R4919,S4919*Model_Config_v3!$B$4+T4919*Model_Config_v3!$B$5)),0)</x:f>
        <x:v>622</x:v>
      </x:c>
      <x:c r="J4919" s="18" t="n">
        <x:f>MIN(Model_Config_v3!$B$6,I4919+Model_Config_v3!$B$7)</x:f>
        <x:v>642</x:v>
      </x:c>
      <x:c r="K4919" s="20" t="n">
        <x:v>44.9</x:v>
      </x:c>
      <x:c r="L4919" t="str">
        <x:v>RELATIF LONGGAR</x:v>
      </x:c>
      <x:c r="M4919" t="str">
        <x:v>SEDANG+</x:v>
      </x:c>
      <x:c r="N4919" t="str">
        <x:v>REGULER</x:v>
      </x:c>
      <x:c r="O4919" t="str">
        <x:v>SAINTEK</x:v>
      </x:c>
      <x:c r="P4919" t="str">
        <x:v>KOMPUTER/INFORMATIKA</x:v>
      </x:c>
      <x:c r="Q4919" s="18" t="n">
        <x:v>0</x:v>
      </x:c>
      <x:c r="R4919" s="18" t="n">
        <x:v>0</x:v>
      </x:c>
      <x:c r="S4919" s="18" t="n">
        <x:v>555.6355951941242</x:v>
      </x:c>
      <x:c r="T4919" s="18" t="n">
        <x:v>650</x:v>
      </x:c>
      <x:c r="U4919" s="18" t="n">
        <x:v>580.6355951941242</x:v>
      </x:c>
      <x:c r="V4919" s="20" t="n">
        <x:v>12</x:v>
      </x:c>
      <x:c r="W4919" s="20" t="n">
        <x:v>5</x:v>
      </x:c>
      <x:c r="X4919" s="20" t="n">
        <x:v>3</x:v>
      </x:c>
      <x:c r="Y4919" t="str">
        <x:v>Basis arsip 2025/2024</x:v>
      </x:c>
      <x:c r="Z4919" t="str">
        <x:v>https://snpmb.id/utbk-snbt/daya-tampung-snbt</x:v>
      </x:c>
      <x:c r="AA4919" t="str">
        <x:v>Tidak Ada</x:v>
      </x:c>
      <x:c r="AB4919" t="str">
        <x:v>Campus=55; Ratio=19.1; Prodi=85; RelDemand=38.4; Capacity=0.0</x:v>
      </x:c>
    </x:row>
    <x:row r="4920">
      <x:c r="A4920" t="n">
        <x:v>4917</x:v>
      </x:c>
      <x:c r="B4920" t="str">
        <x:v>PTKIN</x:v>
      </x:c>
      <x:c r="C4920" t="str">
        <x:v>UIN MALANG</x:v>
      </x:c>
      <x:c r="D4920" t="str">
        <x:v>TEKNIK ARSITEKTUR</x:v>
      </x:c>
      <x:c r="E4920" t="str">
        <x:v>Sarjana</x:v>
      </x:c>
      <x:c r="F4920" s="18" t="n">
        <x:v>114</x:v>
      </x:c>
      <x:c r="G4920" s="18" t="n">
        <x:v>137</x:v>
      </x:c>
      <x:c r="H4920" s="19" t="n">
        <x:v>1.2017543859649122</x:v>
      </x:c>
      <x:c r="I4920" s="18" t="n">
        <x:f>ROUND(MIN(Model_Config_v3!$B$6,MAX(Q4920,R4920,S4920*Model_Config_v3!$B$4+T4920*Model_Config_v3!$B$5)),0)</x:f>
        <x:v>600</x:v>
      </x:c>
      <x:c r="J4920" s="18" t="n">
        <x:f>MIN(Model_Config_v3!$B$6,I4920+Model_Config_v3!$B$7)</x:f>
        <x:v>620</x:v>
      </x:c>
      <x:c r="K4920" s="20" t="n">
        <x:v>35.1</x:v>
      </x:c>
      <x:c r="L4920" t="str">
        <x:v>RELATIF LONGGAR</x:v>
      </x:c>
      <x:c r="M4920" t="str">
        <x:v>SEDANG+</x:v>
      </x:c>
      <x:c r="N4920" t="str">
        <x:v>REGULER</x:v>
      </x:c>
      <x:c r="O4920" t="str">
        <x:v>SAINTEK</x:v>
      </x:c>
      <x:c r="P4920" t="str">
        <x:v>TEKNIK/ARSITEKTUR/STATISTIKA/AKTUARIA</x:v>
      </x:c>
      <x:c r="Q4920" s="18" t="n">
        <x:v>0</x:v>
      </x:c>
      <x:c r="R4920" s="18" t="n">
        <x:v>0</x:v>
      </x:c>
      <x:c r="S4920" s="18" t="n">
        <x:v>528.7797287401928</x:v>
      </x:c>
      <x:c r="T4920" s="18" t="n">
        <x:v>630</x:v>
      </x:c>
      <x:c r="U4920" s="18" t="n">
        <x:v>538.7797287401928</x:v>
      </x:c>
      <x:c r="V4920" s="20" t="n">
        <x:v>12</x:v>
      </x:c>
      <x:c r="W4920" s="20" t="n">
        <x:v>5</x:v>
      </x:c>
      <x:c r="X4920" s="20" t="n">
        <x:v>3</x:v>
      </x:c>
      <x:c r="Y4920" t="str">
        <x:v>Basis arsip 2025/2024</x:v>
      </x:c>
      <x:c r="Z4920" t="str">
        <x:v>https://snpmb.id/utbk-snbt/daya-tampung-snbt</x:v>
      </x:c>
      <x:c r="AA4920" t="str">
        <x:v>Tidak Ada</x:v>
      </x:c>
      <x:c r="AB4920" t="str">
        <x:v>Campus=55; Ratio=4.7; Prodi=60; RelDemand=21.9; Capacity=5.0</x:v>
      </x:c>
    </x:row>
    <x:row r="4921">
      <x:c r="A4921" t="n">
        <x:v>4918</x:v>
      </x:c>
      <x:c r="B4921" t="str">
        <x:v>PTKIN</x:v>
      </x:c>
      <x:c r="C4921" t="str">
        <x:v>UIN MALANG</x:v>
      </x:c>
      <x:c r="D4921" t="str">
        <x:v>FARMASI</x:v>
      </x:c>
      <x:c r="E4921" t="str">
        <x:v>Sarjana</x:v>
      </x:c>
      <x:c r="F4921" s="18" t="n">
        <x:v>160</x:v>
      </x:c>
      <x:c r="G4921" s="18" t="n">
        <x:v>838</x:v>
      </x:c>
      <x:c r="H4921" s="19" t="n">
        <x:v>5.2375</x:v>
      </x:c>
      <x:c r="I4921" s="18" t="n">
        <x:f>ROUND(MIN(Model_Config_v3!$B$6,MAX(Q4921,R4921,S4921*Model_Config_v3!$B$4+T4921*Model_Config_v3!$B$5)),0)</x:f>
        <x:v>648</x:v>
      </x:c>
      <x:c r="J4921" s="18" t="n">
        <x:f>MIN(Model_Config_v3!$B$6,I4921+Model_Config_v3!$B$7)</x:f>
        <x:v>668</x:v>
      </x:c>
      <x:c r="K4921" s="20" t="n">
        <x:v>54.4</x:v>
      </x:c>
      <x:c r="L4921" t="str">
        <x:v>MENENGAH</x:v>
      </x:c>
      <x:c r="M4921" t="str">
        <x:v>SEDANG+</x:v>
      </x:c>
      <x:c r="N4921" t="str">
        <x:v>REGULER</x:v>
      </x:c>
      <x:c r="O4921" t="str">
        <x:v>SAINTEK</x:v>
      </x:c>
      <x:c r="P4921" t="str">
        <x:v>FARMASI</x:v>
      </x:c>
      <x:c r="Q4921" s="18" t="n">
        <x:v>0</x:v>
      </x:c>
      <x:c r="R4921" s="18" t="n">
        <x:v>0</x:v>
      </x:c>
      <x:c r="S4921" s="18" t="n">
        <x:v>599.1036439571786</x:v>
      </x:c>
      <x:c r="T4921" s="18" t="n">
        <x:v>669</x:v>
      </x:c>
      <x:c r="U4921" s="18" t="n">
        <x:v>619.1036439571786</x:v>
      </x:c>
      <x:c r="V4921" s="20" t="n">
        <x:v>12</x:v>
      </x:c>
      <x:c r="W4921" s="20" t="n">
        <x:v>5</x:v>
      </x:c>
      <x:c r="X4921" s="20" t="n">
        <x:v>3</x:v>
      </x:c>
      <x:c r="Y4921" t="str">
        <x:v>Basis arsip 2025/2024</x:v>
      </x:c>
      <x:c r="Z4921" t="str">
        <x:v>https://snpmb.id/utbk-snbt/daya-tampung-snbt</x:v>
      </x:c>
      <x:c r="AA4921" t="str">
        <x:v>Tidak Ada</x:v>
      </x:c>
      <x:c r="AB4921" t="str">
        <x:v>Campus=55; Ratio=42.3; Prodi=75; RelDemand=95.5; Capacity=0.0</x:v>
      </x:c>
    </x:row>
    <x:row r="4922">
      <x:c r="A4922" t="n">
        <x:v>4919</x:v>
      </x:c>
      <x:c r="B4922" t="str">
        <x:v>PTKIN</x:v>
      </x:c>
      <x:c r="C4922" t="str">
        <x:v>UIN MALANG</x:v>
      </x:c>
      <x:c r="D4922" t="str">
        <x:v>PENDIDIKAN DOKTER</x:v>
      </x:c>
      <x:c r="E4922" t="str">
        <x:v>Sarjana</x:v>
      </x:c>
      <x:c r="F4922" s="18" t="n">
        <x:v>50</x:v>
      </x:c>
      <x:c r="G4922" s="18" t="n">
        <x:v>1084</x:v>
      </x:c>
      <x:c r="H4922" s="19" t="n">
        <x:v>21.68</x:v>
      </x:c>
      <x:c r="I4922" s="18" t="n">
        <x:f>ROUND(MIN(Model_Config_v3!$B$6,MAX(Q4922,R4922,S4922*Model_Config_v3!$B$4+T4922*Model_Config_v3!$B$5)),0)</x:f>
        <x:v>696</x:v>
      </x:c>
      <x:c r="J4922" s="18" t="n">
        <x:f>MIN(Model_Config_v3!$B$6,I4922+Model_Config_v3!$B$7)</x:f>
        <x:v>716</x:v>
      </x:c>
      <x:c r="K4922" s="20" t="n">
        <x:v>74.7</x:v>
      </x:c>
      <x:c r="L4922" t="str">
        <x:v>SANGAT KETAT</x:v>
      </x:c>
      <x:c r="M4922" t="str">
        <x:v>SEDANG+</x:v>
      </x:c>
      <x:c r="N4922" t="str">
        <x:v>REGULER</x:v>
      </x:c>
      <x:c r="O4922" t="str">
        <x:v>SAINTEK</x:v>
      </x:c>
      <x:c r="P4922" t="str">
        <x:v>KEDOKTERAN</x:v>
      </x:c>
      <x:c r="Q4922" s="18" t="n">
        <x:v>0</x:v>
      </x:c>
      <x:c r="R4922" s="18" t="n">
        <x:v>680</x:v>
      </x:c>
      <x:c r="S4922" s="18" t="n">
        <x:v>666.9665205652984</x:v>
      </x:c>
      <x:c r="T4922" s="18" t="n">
        <x:v>709</x:v>
      </x:c>
      <x:c r="U4922" s="18" t="n">
        <x:v>706.9665205652984</x:v>
      </x:c>
      <x:c r="V4922" s="20" t="n">
        <x:v>12</x:v>
      </x:c>
      <x:c r="W4922" s="20" t="n">
        <x:v>5</x:v>
      </x:c>
      <x:c r="X4922" s="20" t="n">
        <x:v>3</x:v>
      </x:c>
      <x:c r="Y4922" t="str">
        <x:v>Basis arsip 2025/2024</x:v>
      </x:c>
      <x:c r="Z4922" t="str">
        <x:v>https://snpmb.id/utbk-snbt/daya-tampung-snbt</x:v>
      </x:c>
      <x:c r="AA4922" t="str">
        <x:v>Tidak Ada</x:v>
      </x:c>
      <x:c r="AB4922" t="str">
        <x:v>Campus=55; Ratio=78.6; Prodi=100; RelDemand=100.0; Capacity=58.3</x:v>
      </x:c>
    </x:row>
    <x:row r="4923">
      <x:c r="A4923" t="n">
        <x:v>4920</x:v>
      </x:c>
      <x:c r="B4923" t="str">
        <x:v>PTKIN</x:v>
      </x:c>
      <x:c r="C4923" t="str">
        <x:v>UIN MALANG</x:v>
      </x:c>
      <x:c r="D4923" t="str">
        <x:v>PENDIDIKAN IPS</x:v>
      </x:c>
      <x:c r="E4923" t="str">
        <x:v>Sarjana</x:v>
      </x:c>
      <x:c r="F4923" s="18" t="n">
        <x:v>142</x:v>
      </x:c>
      <x:c r="G4923" s="18" t="n">
        <x:v>138</x:v>
      </x:c>
      <x:c r="H4923" s="19" t="n">
        <x:v>0.971830985915493</x:v>
      </x:c>
      <x:c r="I4923" s="18" t="n">
        <x:f>ROUND(MIN(Model_Config_v3!$B$6,MAX(Q4923,R4923,S4923*Model_Config_v3!$B$4+T4923*Model_Config_v3!$B$5)),0)</x:f>
        <x:v>590</x:v>
      </x:c>
      <x:c r="J4923" s="18" t="n">
        <x:f>MIN(Model_Config_v3!$B$6,I4923+Model_Config_v3!$B$7)</x:f>
        <x:v>610</x:v>
      </x:c>
      <x:c r="K4923" s="20" t="n">
        <x:v>30</x:v>
      </x:c>
      <x:c r="L4923" t="str">
        <x:v>RELATIF LONGGAR</x:v>
      </x:c>
      <x:c r="M4923" t="str">
        <x:v>SEDANG+</x:v>
      </x:c>
      <x:c r="N4923" t="str">
        <x:v>REGULER</x:v>
      </x:c>
      <x:c r="O4923" t="str">
        <x:v>CAMPURAN</x:v>
      </x:c>
      <x:c r="P4923" t="str">
        <x:v>PENDIDIKAN</x:v>
      </x:c>
      <x:c r="Q4923" s="18" t="n">
        <x:v>0</x:v>
      </x:c>
      <x:c r="R4923" s="18" t="n">
        <x:v>0</x:v>
      </x:c>
      <x:c r="S4923" s="18" t="n">
        <x:v>520</x:v>
      </x:c>
      <x:c r="T4923" s="18" t="n">
        <x:v>620</x:v>
      </x:c>
      <x:c r="U4923" s="18" t="n">
        <x:v>520</x:v>
      </x:c>
      <x:c r="V4923" s="20" t="n">
        <x:v>8.8</x:v>
      </x:c>
      <x:c r="W4923" s="20" t="n">
        <x:v>9.9</x:v>
      </x:c>
      <x:c r="X4923" s="20" t="n">
        <x:v>3.3</x:v>
      </x:c>
      <x:c r="Y4923" t="str">
        <x:v>Basis arsip 2025/2024</x:v>
      </x:c>
      <x:c r="Z4923" t="str">
        <x:v>https://snpmb.id/utbk-snbt/daya-tampung-snbt</x:v>
      </x:c>
      <x:c r="AA4923" t="str">
        <x:v>Tidak Ada</x:v>
      </x:c>
      <x:c r="AB4923" t="str">
        <x:v>Campus=55; Ratio=0.0; Prodi=45; RelDemand=17.7; Capacity=0.0</x:v>
      </x:c>
    </x:row>
    <x:row r="4924">
      <x:c r="A4924" t="n">
        <x:v>4921</x:v>
      </x:c>
      <x:c r="B4924" t="str">
        <x:v>PTKIN</x:v>
      </x:c>
      <x:c r="C4924" t="str">
        <x:v>UIN MALANG</x:v>
      </x:c>
      <x:c r="D4924" t="str">
        <x:v>BAHASA DAN SASTRA INGGRIS</x:v>
      </x:c>
      <x:c r="E4924" t="str">
        <x:v>Sarjana</x:v>
      </x:c>
      <x:c r="F4924" s="18" t="n">
        <x:v>190</x:v>
      </x:c>
      <x:c r="G4924" s="18" t="n">
        <x:v>134</x:v>
      </x:c>
      <x:c r="H4924" s="19" t="n">
        <x:v>0.7052631578947368</x:v>
      </x:c>
      <x:c r="I4924" s="18" t="n">
        <x:f>ROUND(MIN(Model_Config_v3!$B$6,MAX(Q4924,R4924,S4924*Model_Config_v3!$B$4+T4924*Model_Config_v3!$B$5)),0)</x:f>
        <x:v>588</x:v>
      </x:c>
      <x:c r="J4924" s="18" t="n">
        <x:f>MIN(Model_Config_v3!$B$6,I4924+Model_Config_v3!$B$7)</x:f>
        <x:v>608</x:v>
      </x:c>
      <x:c r="K4924" s="20" t="n">
        <x:v>28.5</x:v>
      </x:c>
      <x:c r="L4924" t="str">
        <x:v>RELATIF LONGGAR</x:v>
      </x:c>
      <x:c r="M4924" t="str">
        <x:v>SEDANG</x:v>
      </x:c>
      <x:c r="N4924" t="str">
        <x:v>REGULER</x:v>
      </x:c>
      <x:c r="O4924" t="str">
        <x:v>SOSHUM</x:v>
      </x:c>
      <x:c r="P4924" t="str">
        <x:v>UMUM</x:v>
      </x:c>
      <x:c r="Q4924" s="18" t="n">
        <x:v>0</x:v>
      </x:c>
      <x:c r="R4924" s="18" t="n">
        <x:v>0</x:v>
      </x:c>
      <x:c r="S4924" s="18" t="n">
        <x:v>520</x:v>
      </x:c>
      <x:c r="T4924" s="18" t="n">
        <x:v>617</x:v>
      </x:c>
      <x:c r="U4924" s="18" t="n">
        <x:v>520</x:v>
      </x:c>
      <x:c r="V4924" s="20" t="n">
        <x:v>4.4</x:v>
      </x:c>
      <x:c r="W4924" s="20" t="n">
        <x:v>14.3</x:v>
      </x:c>
      <x:c r="X4924" s="20" t="n">
        <x:v>3.3</x:v>
      </x:c>
      <x:c r="Y4924" t="str">
        <x:v>Basis arsip 2025/2024</x:v>
      </x:c>
      <x:c r="Z4924" t="str">
        <x:v>https://snpmb.id/utbk-snbt/daya-tampung-snbt</x:v>
      </x:c>
      <x:c r="AA4924" t="str">
        <x:v>Tidak Ada</x:v>
      </x:c>
      <x:c r="AB4924" t="str">
        <x:v>Campus=55; Ratio=0.0; Prodi=40; RelDemand=12.9; Capacity=0.0</x:v>
      </x:c>
    </x:row>
    <x:row r="4925">
      <x:c r="A4925" t="n">
        <x:v>4922</x:v>
      </x:c>
      <x:c r="B4925" t="str">
        <x:v>PTKIN</x:v>
      </x:c>
      <x:c r="C4925" t="str">
        <x:v>UIN MALANG</x:v>
      </x:c>
      <x:c r="D4925" t="str">
        <x:v>PSIKOLOGI</x:v>
      </x:c>
      <x:c r="E4925" t="str">
        <x:v>Sarjana</x:v>
      </x:c>
      <x:c r="F4925" s="18" t="n">
        <x:v>196</x:v>
      </x:c>
      <x:c r="G4925" s="18" t="n">
        <x:v>548</x:v>
      </x:c>
      <x:c r="H4925" s="19" t="n">
        <x:v>2.795918367346939</x:v>
      </x:c>
      <x:c r="I4925" s="18" t="n">
        <x:f>ROUND(MIN(Model_Config_v3!$B$6,MAX(Q4925,R4925,S4925*Model_Config_v3!$B$4+T4925*Model_Config_v3!$B$5)),0)</x:f>
        <x:v>629</x:v>
      </x:c>
      <x:c r="J4925" s="18" t="n">
        <x:f>MIN(Model_Config_v3!$B$6,I4925+Model_Config_v3!$B$7)</x:f>
        <x:v>649</x:v>
      </x:c>
      <x:c r="K4925" s="20" t="n">
        <x:v>46.9</x:v>
      </x:c>
      <x:c r="L4925" t="str">
        <x:v>MENENGAH</x:v>
      </x:c>
      <x:c r="M4925" t="str">
        <x:v>SEDANG+</x:v>
      </x:c>
      <x:c r="N4925" t="str">
        <x:v>REGULER</x:v>
      </x:c>
      <x:c r="O4925" t="str">
        <x:v>SOSHUM</x:v>
      </x:c>
      <x:c r="P4925" t="str">
        <x:v>PSIKOLOGI</x:v>
      </x:c>
      <x:c r="Q4925" s="18" t="n">
        <x:v>0</x:v>
      </x:c>
      <x:c r="R4925" s="18" t="n">
        <x:v>0</x:v>
      </x:c>
      <x:c r="S4925" s="18" t="n">
        <x:v>569.1176935840682</x:v>
      </x:c>
      <x:c r="T4925" s="18" t="n">
        <x:v>654</x:v>
      </x:c>
      <x:c r="U4925" s="18" t="n">
        <x:v>594.1176935840682</x:v>
      </x:c>
      <x:c r="V4925" s="20" t="n">
        <x:v>4.4</x:v>
      </x:c>
      <x:c r="W4925" s="20" t="n">
        <x:v>14.3</x:v>
      </x:c>
      <x:c r="X4925" s="20" t="n">
        <x:v>3.3</x:v>
      </x:c>
      <x:c r="Y4925" t="str">
        <x:v>Basis arsip 2025/2024</x:v>
      </x:c>
      <x:c r="Z4925" t="str">
        <x:v>https://snpmb.id/utbk-snbt/daya-tampung-snbt</x:v>
      </x:c>
      <x:c r="AA4925" t="str">
        <x:v>Tidak Ada</x:v>
      </x:c>
      <x:c r="AB4925" t="str">
        <x:v>Campus=55; Ratio=26.3; Prodi=80; RelDemand=51.0; Capacity=0.0</x:v>
      </x:c>
    </x:row>
    <x:row r="4926">
      <x:c r="A4926" t="n">
        <x:v>4923</x:v>
      </x:c>
      <x:c r="B4926" t="str">
        <x:v>PTKIN</x:v>
      </x:c>
      <x:c r="C4926" t="str">
        <x:v>UIN MALANG</x:v>
      </x:c>
      <x:c r="D4926" t="str">
        <x:v>MANAJEMEN</x:v>
      </x:c>
      <x:c r="E4926" t="str">
        <x:v>Sarjana</x:v>
      </x:c>
      <x:c r="F4926" s="18" t="n">
        <x:v>176</x:v>
      </x:c>
      <x:c r="G4926" s="18" t="n">
        <x:v>432</x:v>
      </x:c>
      <x:c r="H4926" s="19" t="n">
        <x:v>2.4545454545454546</x:v>
      </x:c>
      <x:c r="I4926" s="18" t="n">
        <x:f>ROUND(MIN(Model_Config_v3!$B$6,MAX(Q4926,R4926,S4926*Model_Config_v3!$B$4+T4926*Model_Config_v3!$B$5)),0)</x:f>
        <x:v>620</x:v>
      </x:c>
      <x:c r="J4926" s="18" t="n">
        <x:f>MIN(Model_Config_v3!$B$6,I4926+Model_Config_v3!$B$7)</x:f>
        <x:v>640</x:v>
      </x:c>
      <x:c r="K4926" s="20" t="n">
        <x:v>42.5</x:v>
      </x:c>
      <x:c r="L4926" t="str">
        <x:v>RELATIF LONGGAR</x:v>
      </x:c>
      <x:c r="M4926" t="str">
        <x:v>SEDANG+</x:v>
      </x:c>
      <x:c r="N4926" t="str">
        <x:v>REGULER</x:v>
      </x:c>
      <x:c r="O4926" t="str">
        <x:v>SOSHUM</x:v>
      </x:c>
      <x:c r="P4926" t="str">
        <x:v>BISNIS/EKONOMI/AKUNTANSI</x:v>
      </x:c>
      <x:c r="Q4926" s="18" t="n">
        <x:v>0</x:v>
      </x:c>
      <x:c r="R4926" s="18" t="n">
        <x:v>0</x:v>
      </x:c>
      <x:c r="S4926" s="18" t="n">
        <x:v>562.8968186900838</x:v>
      </x:c>
      <x:c r="T4926" s="18" t="n">
        <x:v>645</x:v>
      </x:c>
      <x:c r="U4926" s="18" t="n">
        <x:v>577.8968186900838</x:v>
      </x:c>
      <x:c r="V4926" s="20" t="n">
        <x:v>4.4</x:v>
      </x:c>
      <x:c r="W4926" s="20" t="n">
        <x:v>14.3</x:v>
      </x:c>
      <x:c r="X4926" s="20" t="n">
        <x:v>3.3</x:v>
      </x:c>
      <x:c r="Y4926" t="str">
        <x:v>Basis arsip 2025/2024</x:v>
      </x:c>
      <x:c r="Z4926" t="str">
        <x:v>https://snpmb.id/utbk-snbt/daya-tampung-snbt</x:v>
      </x:c>
      <x:c r="AA4926" t="str">
        <x:v>Tidak Ada</x:v>
      </x:c>
      <x:c r="AB4926" t="str">
        <x:v>Campus=55; Ratio=23.0; Prodi=65; RelDemand=44.8; Capacity=0.0</x:v>
      </x:c>
    </x:row>
    <x:row r="4927">
      <x:c r="A4927" t="n">
        <x:v>4924</x:v>
      </x:c>
      <x:c r="B4927" t="str">
        <x:v>PTKIN</x:v>
      </x:c>
      <x:c r="C4927" t="str">
        <x:v>UIN MALANG</x:v>
      </x:c>
      <x:c r="D4927" t="str">
        <x:v>AKUNTANSI</x:v>
      </x:c>
      <x:c r="E4927" t="str">
        <x:v>Sarjana</x:v>
      </x:c>
      <x:c r="F4927" s="18" t="n">
        <x:v>176</x:v>
      </x:c>
      <x:c r="G4927" s="18" t="n">
        <x:v>231</x:v>
      </x:c>
      <x:c r="H4927" s="19" t="n">
        <x:v>1.3125</x:v>
      </x:c>
      <x:c r="I4927" s="18" t="n">
        <x:f>ROUND(MIN(Model_Config_v3!$B$6,MAX(Q4927,R4927,S4927*Model_Config_v3!$B$4+T4927*Model_Config_v3!$B$5)),0)</x:f>
        <x:v>603</x:v>
      </x:c>
      <x:c r="J4927" s="18" t="n">
        <x:f>MIN(Model_Config_v3!$B$6,I4927+Model_Config_v3!$B$7)</x:f>
        <x:v>623</x:v>
      </x:c>
      <x:c r="K4927" s="20" t="n">
        <x:v>36.4</x:v>
      </x:c>
      <x:c r="L4927" t="str">
        <x:v>RELATIF LONGGAR</x:v>
      </x:c>
      <x:c r="M4927" t="str">
        <x:v>SEDANG+</x:v>
      </x:c>
      <x:c r="N4927" t="str">
        <x:v>REGULER</x:v>
      </x:c>
      <x:c r="O4927" t="str">
        <x:v>SOSHUM</x:v>
      </x:c>
      <x:c r="P4927" t="str">
        <x:v>BISNIS/EKONOMI/AKUNTANSI</x:v>
      </x:c>
      <x:c r="Q4927" s="18" t="n">
        <x:v>0</x:v>
      </x:c>
      <x:c r="R4927" s="18" t="n">
        <x:v>0</x:v>
      </x:c>
      <x:c r="S4927" s="18" t="n">
        <x:v>532.9909243285794</x:v>
      </x:c>
      <x:c r="T4927" s="18" t="n">
        <x:v>633</x:v>
      </x:c>
      <x:c r="U4927" s="18" t="n">
        <x:v>532.9909243285794</x:v>
      </x:c>
      <x:c r="V4927" s="20" t="n">
        <x:v>4.4</x:v>
      </x:c>
      <x:c r="W4927" s="20" t="n">
        <x:v>14.3</x:v>
      </x:c>
      <x:c r="X4927" s="20" t="n">
        <x:v>3.3</x:v>
      </x:c>
      <x:c r="Y4927" t="str">
        <x:v>Basis arsip 2025/2024</x:v>
      </x:c>
      <x:c r="Z4927" t="str">
        <x:v>https://snpmb.id/utbk-snbt/daya-tampung-snbt</x:v>
      </x:c>
      <x:c r="AA4927" t="str">
        <x:v>Tidak Ada</x:v>
      </x:c>
      <x:c r="AB4927" t="str">
        <x:v>Campus=55; Ratio=7.0; Prodi=65; RelDemand=23.9; Capacity=0.0</x:v>
      </x:c>
    </x:row>
    <x:row r="4928">
      <x:c r="A4928" t="n">
        <x:v>4925</x:v>
      </x:c>
      <x:c r="B4928" t="str">
        <x:v>PTKIN</x:v>
      </x:c>
      <x:c r="C4928" t="str">
        <x:v>UIN MALANG</x:v>
      </x:c>
      <x:c r="D4928" t="str">
        <x:v>PERPUSTAKAAN DAN ILMU INFORMASI</x:v>
      </x:c>
      <x:c r="E4928" t="str">
        <x:v>Sarjana</x:v>
      </x:c>
      <x:c r="F4928" s="18" t="n">
        <x:v>84</x:v>
      </x:c>
      <x:c r="G4928" s="18" t="n">
        <x:v>98</x:v>
      </x:c>
      <x:c r="H4928" s="19" t="n">
        <x:v>1.1666666666666667</x:v>
      </x:c>
      <x:c r="I4928" s="18" t="n">
        <x:f>ROUND(MIN(Model_Config_v3!$B$6,MAX(Q4928,R4928,S4928*Model_Config_v3!$B$4+T4928*Model_Config_v3!$B$5)),0)</x:f>
        <x:v>597</x:v>
      </x:c>
      <x:c r="J4928" s="18" t="n">
        <x:f>MIN(Model_Config_v3!$B$6,I4928+Model_Config_v3!$B$7)</x:f>
        <x:v>617</x:v>
      </x:c>
      <x:c r="K4928" s="20" t="n">
        <x:v>33.4</x:v>
      </x:c>
      <x:c r="L4928" t="str">
        <x:v>RELATIF LONGGAR</x:v>
      </x:c>
      <x:c r="M4928" t="str">
        <x:v>SEDANG</x:v>
      </x:c>
      <x:c r="N4928" t="str">
        <x:v>REGULER</x:v>
      </x:c>
      <x:c r="O4928" t="str">
        <x:v>CAMPURAN</x:v>
      </x:c>
      <x:c r="P4928" t="str">
        <x:v>UMUM</x:v>
      </x:c>
      <x:c r="Q4928" s="18" t="n">
        <x:v>0</x:v>
      </x:c>
      <x:c r="R4928" s="18" t="n">
        <x:v>0</x:v>
      </x:c>
      <x:c r="S4928" s="18" t="n">
        <x:v>527.3641468593675</x:v>
      </x:c>
      <x:c r="T4928" s="18" t="n">
        <x:v>627</x:v>
      </x:c>
      <x:c r="U4928" s="18" t="n">
        <x:v>527.3641468593675</x:v>
      </x:c>
      <x:c r="V4928" s="20" t="n">
        <x:v>8.8</x:v>
      </x:c>
      <x:c r="W4928" s="20" t="n">
        <x:v>9.9</x:v>
      </x:c>
      <x:c r="X4928" s="20" t="n">
        <x:v>3.3</x:v>
      </x:c>
      <x:c r="Y4928" t="str">
        <x:v>Basis arsip 2025/2024</x:v>
      </x:c>
      <x:c r="Z4928" t="str">
        <x:v>https://snpmb.id/utbk-snbt/daya-tampung-snbt</x:v>
      </x:c>
      <x:c r="AA4928" t="str">
        <x:v>Tidak Ada</x:v>
      </x:c>
      <x:c r="AB4928" t="str">
        <x:v>Campus=55; Ratio=3.9; Prodi=40; RelDemand=21.3; Capacity=30.0</x:v>
      </x:c>
    </x:row>
    <x:row r="4929">
      <x:c r="A4929" t="n">
        <x:v>4926</x:v>
      </x:c>
      <x:c r="B4929" t="str">
        <x:v>PTKIN</x:v>
      </x:c>
      <x:c r="C4929" t="str">
        <x:v>UIN MALANG</x:v>
      </x:c>
      <x:c r="D4929" t="str">
        <x:v>TEKNIK SIPIL</x:v>
      </x:c>
      <x:c r="E4929" t="str">
        <x:v>Sarjana</x:v>
      </x:c>
      <x:c r="F4929" s="18" t="n">
        <x:v>30</x:v>
      </x:c>
      <x:c r="G4929" s="18" t="n">
        <x:v>76</x:v>
      </x:c>
      <x:c r="H4929" s="19" t="n">
        <x:v>2.533333333333333</x:v>
      </x:c>
      <x:c r="I4929" s="18" t="n">
        <x:f>ROUND(MIN(Model_Config_v3!$B$6,MAX(Q4929,R4929,S4929*Model_Config_v3!$B$4+T4929*Model_Config_v3!$B$5)),0)</x:f>
        <x:v>631</x:v>
      </x:c>
      <x:c r="J4929" s="18" t="n">
        <x:f>MIN(Model_Config_v3!$B$6,I4929+Model_Config_v3!$B$7)</x:f>
        <x:v>651</x:v>
      </x:c>
      <x:c r="K4929" s="20" t="n">
        <x:v>49.3</x:v>
      </x:c>
      <x:c r="L4929" t="str">
        <x:v>MENENGAH</x:v>
      </x:c>
      <x:c r="M4929" t="str">
        <x:v>SEDANG+</x:v>
      </x:c>
      <x:c r="N4929" t="str">
        <x:v>REGULER</x:v>
      </x:c>
      <x:c r="O4929" t="str">
        <x:v>SAINTEK</x:v>
      </x:c>
      <x:c r="P4929" t="str">
        <x:v>TEKNIK/ARSITEKTUR/STATISTIKA/AKTUARIA</x:v>
      </x:c>
      <x:c r="Q4929" s="18" t="n">
        <x:v>0</x:v>
      </x:c>
      <x:c r="R4929" s="18" t="n">
        <x:v>0</x:v>
      </x:c>
      <x:c r="S4929" s="18" t="n">
        <x:v>564.4061571317242</x:v>
      </x:c>
      <x:c r="T4929" s="18" t="n">
        <x:v>659</x:v>
      </x:c>
      <x:c r="U4929" s="18" t="n">
        <x:v>574.4061571317242</x:v>
      </x:c>
      <x:c r="V4929" s="20" t="n">
        <x:v>12</x:v>
      </x:c>
      <x:c r="W4929" s="20" t="n">
        <x:v>5</x:v>
      </x:c>
      <x:c r="X4929" s="20" t="n">
        <x:v>3</x:v>
      </x:c>
      <x:c r="Y4929" t="str">
        <x:v>Basis arsip 2025/2024</x:v>
      </x:c>
      <x:c r="Z4929" t="str">
        <x:v>https://snpmb.id/utbk-snbt/daya-tampung-snbt</x:v>
      </x:c>
      <x:c r="AA4929" t="str">
        <x:v>Tidak Ada</x:v>
      </x:c>
      <x:c r="AB4929" t="str">
        <x:v>Campus=55; Ratio=23.8; Prodi=60; RelDemand=46.2; Capacity=75.0</x:v>
      </x:c>
    </x:row>
    <x:row r="4930">
      <x:c r="A4930" t="n">
        <x:v>4927</x:v>
      </x:c>
      <x:c r="B4930" t="str">
        <x:v>PTKIN</x:v>
      </x:c>
      <x:c r="C4930" t="str">
        <x:v>UIN MALANG</x:v>
      </x:c>
      <x:c r="D4930" t="str">
        <x:v>TEKNIK LINGKUNGAN</x:v>
      </x:c>
      <x:c r="E4930" t="str">
        <x:v>Sarjana</x:v>
      </x:c>
      <x:c r="F4930" s="18" t="n">
        <x:v>30</x:v>
      </x:c>
      <x:c r="G4930" s="18" t="n">
        <x:v>64</x:v>
      </x:c>
      <x:c r="H4930" s="19" t="n">
        <x:v>2.1333333333333333</x:v>
      </x:c>
      <x:c r="I4930" s="18" t="n">
        <x:f>ROUND(MIN(Model_Config_v3!$B$6,MAX(Q4930,R4930,S4930*Model_Config_v3!$B$4+T4930*Model_Config_v3!$B$5)),0)</x:f>
        <x:v>625</x:v>
      </x:c>
      <x:c r="J4930" s="18" t="n">
        <x:f>MIN(Model_Config_v3!$B$6,I4930+Model_Config_v3!$B$7)</x:f>
        <x:v>645</x:v>
      </x:c>
      <x:c r="K4930" s="20" t="n">
        <x:v>47.5</x:v>
      </x:c>
      <x:c r="L4930" t="str">
        <x:v>MENENGAH</x:v>
      </x:c>
      <x:c r="M4930" t="str">
        <x:v>SEDANG+</x:v>
      </x:c>
      <x:c r="N4930" t="str">
        <x:v>REGULER</x:v>
      </x:c>
      <x:c r="O4930" t="str">
        <x:v>SAINTEK</x:v>
      </x:c>
      <x:c r="P4930" t="str">
        <x:v>TEKNIK/ARSITEKTUR/STATISTIKA/AKTUARIA</x:v>
      </x:c>
      <x:c r="Q4930" s="18" t="n">
        <x:v>0</x:v>
      </x:c>
      <x:c r="R4930" s="18" t="n">
        <x:v>0</x:v>
      </x:c>
      <x:c r="S4930" s="18" t="n">
        <x:v>556.1964591190647</x:v>
      </x:c>
      <x:c r="T4930" s="18" t="n">
        <x:v>655</x:v>
      </x:c>
      <x:c r="U4930" s="18" t="n">
        <x:v>566.1964591190647</x:v>
      </x:c>
      <x:c r="V4930" s="20" t="n">
        <x:v>12</x:v>
      </x:c>
      <x:c r="W4930" s="20" t="n">
        <x:v>5</x:v>
      </x:c>
      <x:c r="X4930" s="20" t="n">
        <x:v>3</x:v>
      </x:c>
      <x:c r="Y4930" t="str">
        <x:v>Basis arsip 2025/2024</x:v>
      </x:c>
      <x:c r="Z4930" t="str">
        <x:v>https://snpmb.id/utbk-snbt/daya-tampung-snbt</x:v>
      </x:c>
      <x:c r="AA4930" t="str">
        <x:v>Tidak Ada</x:v>
      </x:c>
      <x:c r="AB4930" t="str">
        <x:v>Campus=55; Ratio=19.4; Prodi=60; RelDemand=38.9; Capacity=75.0</x:v>
      </x:c>
    </x:row>
    <x:row r="4931">
      <x:c r="A4931" t="n">
        <x:v>4928</x:v>
      </x:c>
      <x:c r="B4931" t="str">
        <x:v>PTKIN</x:v>
      </x:c>
      <x:c r="C4931" t="str">
        <x:v>UIN MALANG</x:v>
      </x:c>
      <x:c r="D4931" t="str">
        <x:v>TEKNIK MESIN</x:v>
      </x:c>
      <x:c r="E4931" t="str">
        <x:v>Sarjana</x:v>
      </x:c>
      <x:c r="F4931" s="18" t="n">
        <x:v>30</x:v>
      </x:c>
      <x:c r="G4931" s="18" t="n">
        <x:v>40</x:v>
      </x:c>
      <x:c r="H4931" s="19" t="n">
        <x:v>1.3333333333333333</x:v>
      </x:c>
      <x:c r="I4931" s="18" t="n">
        <x:f>ROUND(MIN(Model_Config_v3!$B$6,MAX(Q4931,R4931,S4931*Model_Config_v3!$B$4+T4931*Model_Config_v3!$B$5)),0)</x:f>
        <x:v>612</x:v>
      </x:c>
      <x:c r="J4931" s="18" t="n">
        <x:f>MIN(Model_Config_v3!$B$6,I4931+Model_Config_v3!$B$7)</x:f>
        <x:v>632</x:v>
      </x:c>
      <x:c r="K4931" s="20" t="n">
        <x:v>43</x:v>
      </x:c>
      <x:c r="L4931" t="str">
        <x:v>RELATIF LONGGAR</x:v>
      </x:c>
      <x:c r="M4931" t="str">
        <x:v>SEDANG+</x:v>
      </x:c>
      <x:c r="N4931" t="str">
        <x:v>REGULER</x:v>
      </x:c>
      <x:c r="O4931" t="str">
        <x:v>SAINTEK</x:v>
      </x:c>
      <x:c r="P4931" t="str">
        <x:v>TEKNIK/ARSITEKTUR/STATISTIKA/AKTUARIA</x:v>
      </x:c>
      <x:c r="Q4931" s="18" t="n">
        <x:v>0</x:v>
      </x:c>
      <x:c r="R4931" s="18" t="n">
        <x:v>0</x:v>
      </x:c>
      <x:c r="S4931" s="18" t="n">
        <x:v>533.7432610269129</x:v>
      </x:c>
      <x:c r="T4931" s="18" t="n">
        <x:v>646</x:v>
      </x:c>
      <x:c r="U4931" s="18" t="n">
        <x:v>543.7432610269129</x:v>
      </x:c>
      <x:c r="V4931" s="20" t="n">
        <x:v>12</x:v>
      </x:c>
      <x:c r="W4931" s="20" t="n">
        <x:v>5</x:v>
      </x:c>
      <x:c r="X4931" s="20" t="n">
        <x:v>3</x:v>
      </x:c>
      <x:c r="Y4931" t="str">
        <x:v>Basis arsip 2025/2024</x:v>
      </x:c>
      <x:c r="Z4931" t="str">
        <x:v>https://snpmb.id/utbk-snbt/daya-tampung-snbt</x:v>
      </x:c>
      <x:c r="AA4931" t="str">
        <x:v>Tidak Ada</x:v>
      </x:c>
      <x:c r="AB4931" t="str">
        <x:v>Campus=55; Ratio=7.4; Prodi=60; RelDemand=24.3; Capacity=75.0</x:v>
      </x:c>
    </x:row>
    <x:row r="4932">
      <x:c r="A4932" t="n">
        <x:v>4929</x:v>
      </x:c>
      <x:c r="B4932" t="str">
        <x:v>PTKIN</x:v>
      </x:c>
      <x:c r="C4932" t="str">
        <x:v>UIN MALANG</x:v>
      </x:c>
      <x:c r="D4932" t="str">
        <x:v>TEKNIK ELEKTRO</x:v>
      </x:c>
      <x:c r="E4932" t="str">
        <x:v>Sarjana</x:v>
      </x:c>
      <x:c r="F4932" s="18" t="n">
        <x:v>30</x:v>
      </x:c>
      <x:c r="G4932" s="18" t="n">
        <x:v>44</x:v>
      </x:c>
      <x:c r="H4932" s="19" t="n">
        <x:v>1.4666666666666666</x:v>
      </x:c>
      <x:c r="I4932" s="18" t="n">
        <x:f>ROUND(MIN(Model_Config_v3!$B$6,MAX(Q4932,R4932,S4932*Model_Config_v3!$B$4+T4932*Model_Config_v3!$B$5)),0)</x:f>
        <x:v>615</x:v>
      </x:c>
      <x:c r="J4932" s="18" t="n">
        <x:f>MIN(Model_Config_v3!$B$6,I4932+Model_Config_v3!$B$7)</x:f>
        <x:v>635</x:v>
      </x:c>
      <x:c r="K4932" s="20" t="n">
        <x:v>43.9</x:v>
      </x:c>
      <x:c r="L4932" t="str">
        <x:v>RELATIF LONGGAR</x:v>
      </x:c>
      <x:c r="M4932" t="str">
        <x:v>SEDANG+</x:v>
      </x:c>
      <x:c r="N4932" t="str">
        <x:v>REGULER</x:v>
      </x:c>
      <x:c r="O4932" t="str">
        <x:v>SAINTEK</x:v>
      </x:c>
      <x:c r="P4932" t="str">
        <x:v>TEKNIK/ARSITEKTUR/STATISTIKA/AKTUARIA</x:v>
      </x:c>
      <x:c r="Q4932" s="18" t="n">
        <x:v>0</x:v>
      </x:c>
      <x:c r="R4932" s="18" t="n">
        <x:v>0</x:v>
      </x:c>
      <x:c r="S4932" s="18" t="n">
        <x:v>538.2964563943177</x:v>
      </x:c>
      <x:c r="T4932" s="18" t="n">
        <x:v>648</x:v>
      </x:c>
      <x:c r="U4932" s="18" t="n">
        <x:v>548.2964563943177</x:v>
      </x:c>
      <x:c r="V4932" s="20" t="n">
        <x:v>12</x:v>
      </x:c>
      <x:c r="W4932" s="20" t="n">
        <x:v>5</x:v>
      </x:c>
      <x:c r="X4932" s="20" t="n">
        <x:v>3</x:v>
      </x:c>
      <x:c r="Y4932" t="str">
        <x:v>Basis arsip 2025/2024</x:v>
      </x:c>
      <x:c r="Z4932" t="str">
        <x:v>https://snpmb.id/utbk-snbt/daya-tampung-snbt</x:v>
      </x:c>
      <x:c r="AA4932" t="str">
        <x:v>Tidak Ada</x:v>
      </x:c>
      <x:c r="AB4932" t="str">
        <x:v>Campus=55; Ratio=9.8; Prodi=60; RelDemand=26.7; Capacity=75.0</x:v>
      </x:c>
    </x:row>
    <x:row r="4933">
      <x:c r="A4933" t="n">
        <x:v>4930</x:v>
      </x:c>
      <x:c r="B4933" t="str">
        <x:v>PTKIN</x:v>
      </x:c>
      <x:c r="C4933" t="str">
        <x:v>UIN SUNAN AMPEL SURABAYA</x:v>
      </x:c>
      <x:c r="D4933" t="str">
        <x:v>PENDIDIKAN MATEMATIKA</x:v>
      </x:c>
      <x:c r="E4933" t="str">
        <x:v>Sarjana</x:v>
      </x:c>
      <x:c r="F4933" s="18" t="n">
        <x:v>52</x:v>
      </x:c>
      <x:c r="G4933" s="18" t="n">
        <x:v>79</x:v>
      </x:c>
      <x:c r="H4933" s="19" t="n">
        <x:v>1.5192307692307692</x:v>
      </x:c>
      <x:c r="I4933" s="18" t="n">
        <x:f>ROUND(MIN(Model_Config_v3!$B$6,MAX(Q4933,R4933,S4933*Model_Config_v3!$B$4+T4933*Model_Config_v3!$B$5)),0)</x:f>
        <x:v>610</x:v>
      </x:c>
      <x:c r="J4933" s="18" t="n">
        <x:f>MIN(Model_Config_v3!$B$6,I4933+Model_Config_v3!$B$7)</x:f>
        <x:v>630</x:v>
      </x:c>
      <x:c r="K4933" s="20" t="n">
        <x:v>40.2</x:v>
      </x:c>
      <x:c r="L4933" t="str">
        <x:v>RELATIF LONGGAR</x:v>
      </x:c>
      <x:c r="M4933" t="str">
        <x:v>SEDANG+</x:v>
      </x:c>
      <x:c r="N4933" t="str">
        <x:v>REGULER</x:v>
      </x:c>
      <x:c r="O4933" t="str">
        <x:v>SAINTEK</x:v>
      </x:c>
      <x:c r="P4933" t="str">
        <x:v>PENDIDIKAN</x:v>
      </x:c>
      <x:c r="Q4933" s="18" t="n">
        <x:v>0</x:v>
      </x:c>
      <x:c r="R4933" s="18" t="n">
        <x:v>0</x:v>
      </x:c>
      <x:c r="S4933" s="18" t="n">
        <x:v>539.9786122421207</x:v>
      </x:c>
      <x:c r="T4933" s="18" t="n">
        <x:v>640</x:v>
      </x:c>
      <x:c r="U4933" s="18" t="n">
        <x:v>539.9786122421207</x:v>
      </x:c>
      <x:c r="V4933" s="20" t="n">
        <x:v>12</x:v>
      </x:c>
      <x:c r="W4933" s="20" t="n">
        <x:v>5</x:v>
      </x:c>
      <x:c r="X4933" s="20" t="n">
        <x:v>3</x:v>
      </x:c>
      <x:c r="Y4933" t="str">
        <x:v>Basis arsip 2025/2024</x:v>
      </x:c>
      <x:c r="Z4933" t="str">
        <x:v>https://snpmb.id/utbk-snbt/daya-tampung-snbt</x:v>
      </x:c>
      <x:c r="AA4933" t="str">
        <x:v>Tidak Ada</x:v>
      </x:c>
      <x:c r="AB4933" t="str">
        <x:v>Campus=55; Ratio=10.7; Prodi=45; RelDemand=36.2; Capacity=56.7</x:v>
      </x:c>
    </x:row>
    <x:row r="4934">
      <x:c r="A4934" t="n">
        <x:v>4931</x:v>
      </x:c>
      <x:c r="B4934" t="str">
        <x:v>PTKIN</x:v>
      </x:c>
      <x:c r="C4934" t="str">
        <x:v>UIN SUNAN AMPEL SURABAYA</x:v>
      </x:c>
      <x:c r="D4934" t="str">
        <x:v>TEKNIK LINGKUNGAN</x:v>
      </x:c>
      <x:c r="E4934" t="str">
        <x:v>Sarjana</x:v>
      </x:c>
      <x:c r="F4934" s="18" t="n">
        <x:v>63</x:v>
      </x:c>
      <x:c r="G4934" s="18" t="n">
        <x:v>157</x:v>
      </x:c>
      <x:c r="H4934" s="19" t="n">
        <x:v>2.492063492063492</x:v>
      </x:c>
      <x:c r="I4934" s="18" t="n">
        <x:f>ROUND(MIN(Model_Config_v3!$B$6,MAX(Q4934,R4934,S4934*Model_Config_v3!$B$4+T4934*Model_Config_v3!$B$5)),0)</x:f>
        <x:v>628</x:v>
      </x:c>
      <x:c r="J4934" s="18" t="n">
        <x:f>MIN(Model_Config_v3!$B$6,I4934+Model_Config_v3!$B$7)</x:f>
        <x:v>648</x:v>
      </x:c>
      <x:c r="K4934" s="20" t="n">
        <x:v>47.8</x:v>
      </x:c>
      <x:c r="L4934" t="str">
        <x:v>MENENGAH</x:v>
      </x:c>
      <x:c r="M4934" t="str">
        <x:v>SEDANG+</x:v>
      </x:c>
      <x:c r="N4934" t="str">
        <x:v>REGULER</x:v>
      </x:c>
      <x:c r="O4934" t="str">
        <x:v>SAINTEK</x:v>
      </x:c>
      <x:c r="P4934" t="str">
        <x:v>TEKNIK/ARSITEKTUR/STATISTIKA/AKTUARIA</x:v>
      </x:c>
      <x:c r="Q4934" s="18" t="n">
        <x:v>0</x:v>
      </x:c>
      <x:c r="R4934" s="18" t="n">
        <x:v>0</x:v>
      </x:c>
      <x:c r="S4934" s="18" t="n">
        <x:v>563.6215013251217</x:v>
      </x:c>
      <x:c r="T4934" s="18" t="n">
        <x:v>656</x:v>
      </x:c>
      <x:c r="U4934" s="18" t="n">
        <x:v>573.6215013251217</x:v>
      </x:c>
      <x:c r="V4934" s="20" t="n">
        <x:v>12</x:v>
      </x:c>
      <x:c r="W4934" s="20" t="n">
        <x:v>5</x:v>
      </x:c>
      <x:c r="X4934" s="20" t="n">
        <x:v>3</x:v>
      </x:c>
      <x:c r="Y4934" t="str">
        <x:v>Basis arsip 2025/2024</x:v>
      </x:c>
      <x:c r="Z4934" t="str">
        <x:v>https://snpmb.id/utbk-snbt/daya-tampung-snbt</x:v>
      </x:c>
      <x:c r="AA4934" t="str">
        <x:v>Tidak Ada</x:v>
      </x:c>
      <x:c r="AB4934" t="str">
        <x:v>Campus=55; Ratio=23.3; Prodi=60; RelDemand=59.4; Capacity=47.5</x:v>
      </x:c>
    </x:row>
    <x:row r="4935">
      <x:c r="A4935" t="n">
        <x:v>4932</x:v>
      </x:c>
      <x:c r="B4935" t="str">
        <x:v>PTKIN</x:v>
      </x:c>
      <x:c r="C4935" t="str">
        <x:v>UIN SUNAN AMPEL SURABAYA</x:v>
      </x:c>
      <x:c r="D4935" t="str">
        <x:v>ARSITEKTUR</x:v>
      </x:c>
      <x:c r="E4935" t="str">
        <x:v>Sarjana</x:v>
      </x:c>
      <x:c r="F4935" s="18" t="n">
        <x:v>63</x:v>
      </x:c>
      <x:c r="G4935" s="18" t="n">
        <x:v>86</x:v>
      </x:c>
      <x:c r="H4935" s="19" t="n">
        <x:v>1.3650793650793651</x:v>
      </x:c>
      <x:c r="I4935" s="18" t="n">
        <x:f>ROUND(MIN(Model_Config_v3!$B$6,MAX(Q4935,R4935,S4935*Model_Config_v3!$B$4+T4935*Model_Config_v3!$B$5)),0)</x:f>
        <x:v>610</x:v>
      </x:c>
      <x:c r="J4935" s="18" t="n">
        <x:f>MIN(Model_Config_v3!$B$6,I4935+Model_Config_v3!$B$7)</x:f>
        <x:v>630</x:v>
      </x:c>
      <x:c r="K4935" s="20" t="n">
        <x:v>41.2</x:v>
      </x:c>
      <x:c r="L4935" t="str">
        <x:v>RELATIF LONGGAR</x:v>
      </x:c>
      <x:c r="M4935" t="str">
        <x:v>SEDANG+</x:v>
      </x:c>
      <x:c r="N4935" t="str">
        <x:v>REGULER</x:v>
      </x:c>
      <x:c r="O4935" t="str">
        <x:v>SAINTEK</x:v>
      </x:c>
      <x:c r="P4935" t="str">
        <x:v>TEKNIK/ARSITEKTUR/STATISTIKA/AKTUARIA</x:v>
      </x:c>
      <x:c r="Q4935" s="18" t="n">
        <x:v>0</x:v>
      </x:c>
      <x:c r="R4935" s="18" t="n">
        <x:v>0</x:v>
      </x:c>
      <x:c r="S4935" s="18" t="n">
        <x:v>534.8673691968985</x:v>
      </x:c>
      <x:c r="T4935" s="18" t="n">
        <x:v>642</x:v>
      </x:c>
      <x:c r="U4935" s="18" t="n">
        <x:v>534.8673691968985</x:v>
      </x:c>
      <x:c r="V4935" s="20" t="n">
        <x:v>12</x:v>
      </x:c>
      <x:c r="W4935" s="20" t="n">
        <x:v>5</x:v>
      </x:c>
      <x:c r="X4935" s="20" t="n">
        <x:v>3</x:v>
      </x:c>
      <x:c r="Y4935" t="str">
        <x:v>Basis arsip 2025/2024</x:v>
      </x:c>
      <x:c r="Z4935" t="str">
        <x:v>https://snpmb.id/utbk-snbt/daya-tampung-snbt</x:v>
      </x:c>
      <x:c r="AA4935" t="str">
        <x:v>Tidak Ada</x:v>
      </x:c>
      <x:c r="AB4935" t="str">
        <x:v>Campus=55; Ratio=8.0; Prodi=60; RelDemand=32.6; Capacity=47.5</x:v>
      </x:c>
    </x:row>
    <x:row r="4936">
      <x:c r="A4936" t="n">
        <x:v>4933</x:v>
      </x:c>
      <x:c r="B4936" t="str">
        <x:v>PTKIN</x:v>
      </x:c>
      <x:c r="C4936" t="str">
        <x:v>UIN SUNAN AMPEL SURABAYA</x:v>
      </x:c>
      <x:c r="D4936" t="str">
        <x:v>SISTEM INFORMASI</x:v>
      </x:c>
      <x:c r="E4936" t="str">
        <x:v>Sarjana</x:v>
      </x:c>
      <x:c r="F4936" s="18" t="n">
        <x:v>63</x:v>
      </x:c>
      <x:c r="G4936" s="18" t="n">
        <x:v>194</x:v>
      </x:c>
      <x:c r="H4936" s="19" t="n">
        <x:v>3.0793650793650795</x:v>
      </x:c>
      <x:c r="I4936" s="18" t="n">
        <x:f>ROUND(MIN(Model_Config_v3!$B$6,MAX(Q4936,R4936,S4936*Model_Config_v3!$B$4+T4936*Model_Config_v3!$B$5)),0)</x:f>
        <x:v>642</x:v>
      </x:c>
      <x:c r="J4936" s="18" t="n">
        <x:f>MIN(Model_Config_v3!$B$6,I4936+Model_Config_v3!$B$7)</x:f>
        <x:v>662</x:v>
      </x:c>
      <x:c r="K4936" s="20" t="n">
        <x:v>55.5</x:v>
      </x:c>
      <x:c r="L4936" t="str">
        <x:v>KETAT</x:v>
      </x:c>
      <x:c r="M4936" t="str">
        <x:v>SEDANG+</x:v>
      </x:c>
      <x:c r="N4936" t="str">
        <x:v>REGULER</x:v>
      </x:c>
      <x:c r="O4936" t="str">
        <x:v>CAMPURAN</x:v>
      </x:c>
      <x:c r="P4936" t="str">
        <x:v>KOMPUTER/INFORMATIKA</x:v>
      </x:c>
      <x:c r="Q4936" s="18" t="n">
        <x:v>0</x:v>
      </x:c>
      <x:c r="R4936" s="18" t="n">
        <x:v>0</x:v>
      </x:c>
      <x:c r="S4936" s="18" t="n">
        <x:v>573.7307298524308</x:v>
      </x:c>
      <x:c r="T4936" s="18" t="n">
        <x:v>671</x:v>
      </x:c>
      <x:c r="U4936" s="18" t="n">
        <x:v>598.7307298524308</x:v>
      </x:c>
      <x:c r="V4936" s="20" t="n">
        <x:v>8.8</x:v>
      </x:c>
      <x:c r="W4936" s="20" t="n">
        <x:v>9.9</x:v>
      </x:c>
      <x:c r="X4936" s="20" t="n">
        <x:v>3.3</x:v>
      </x:c>
      <x:c r="Y4936" t="str">
        <x:v>Basis arsip 2025/2024</x:v>
      </x:c>
      <x:c r="Z4936" t="str">
        <x:v>https://snpmb.id/utbk-snbt/daya-tampung-snbt</x:v>
      </x:c>
      <x:c r="AA4936" t="str">
        <x:v>Tidak Ada</x:v>
      </x:c>
      <x:c r="AB4936" t="str">
        <x:v>Campus=55; Ratio=28.8; Prodi=85; RelDemand=73.4; Capacity=47.5</x:v>
      </x:c>
    </x:row>
    <x:row r="4937">
      <x:c r="A4937" t="n">
        <x:v>4934</x:v>
      </x:c>
      <x:c r="B4937" t="str">
        <x:v>PTKIN</x:v>
      </x:c>
      <x:c r="C4937" t="str">
        <x:v>UIN SUNAN AMPEL SURABAYA</x:v>
      </x:c>
      <x:c r="D4937" t="str">
        <x:v>ILMU KELAUTAN</x:v>
      </x:c>
      <x:c r="E4937" t="str">
        <x:v>Sarjana</x:v>
      </x:c>
      <x:c r="F4937" s="18" t="n">
        <x:v>52</x:v>
      </x:c>
      <x:c r="G4937" s="18" t="n">
        <x:v>75</x:v>
      </x:c>
      <x:c r="H4937" s="19" t="n">
        <x:v>1.4423076923076923</x:v>
      </x:c>
      <x:c r="I4937" s="18" t="n">
        <x:f>ROUND(MIN(Model_Config_v3!$B$6,MAX(Q4937,R4937,S4937*Model_Config_v3!$B$4+T4937*Model_Config_v3!$B$5)),0)</x:f>
        <x:v>607</x:v>
      </x:c>
      <x:c r="J4937" s="18" t="n">
        <x:f>MIN(Model_Config_v3!$B$6,I4937+Model_Config_v3!$B$7)</x:f>
        <x:v>627</x:v>
      </x:c>
      <x:c r="K4937" s="20" t="n">
        <x:v>38.7</x:v>
      </x:c>
      <x:c r="L4937" t="str">
        <x:v>RELATIF LONGGAR</x:v>
      </x:c>
      <x:c r="M4937" t="str">
        <x:v>SEDANG</x:v>
      </x:c>
      <x:c r="N4937" t="str">
        <x:v>REGULER</x:v>
      </x:c>
      <x:c r="O4937" t="str">
        <x:v>SAINTEK</x:v>
      </x:c>
      <x:c r="P4937" t="str">
        <x:v>UMUM</x:v>
      </x:c>
      <x:c r="Q4937" s="18" t="n">
        <x:v>0</x:v>
      </x:c>
      <x:c r="R4937" s="18" t="n">
        <x:v>0</x:v>
      </x:c>
      <x:c r="S4937" s="18" t="n">
        <x:v>537.4963711732591</x:v>
      </x:c>
      <x:c r="T4937" s="18" t="n">
        <x:v>637</x:v>
      </x:c>
      <x:c r="U4937" s="18" t="n">
        <x:v>537.4963711732591</x:v>
      </x:c>
      <x:c r="V4937" s="20" t="n">
        <x:v>12</x:v>
      </x:c>
      <x:c r="W4937" s="20" t="n">
        <x:v>5</x:v>
      </x:c>
      <x:c r="X4937" s="20" t="n">
        <x:v>3</x:v>
      </x:c>
      <x:c r="Y4937" t="str">
        <x:v>Basis arsip 2025/2024</x:v>
      </x:c>
      <x:c r="Z4937" t="str">
        <x:v>https://snpmb.id/utbk-snbt/daya-tampung-snbt</x:v>
      </x:c>
      <x:c r="AA4937" t="str">
        <x:v>Tidak Ada</x:v>
      </x:c>
      <x:c r="AB4937" t="str">
        <x:v>Campus=55; Ratio=9.4; Prodi=40; RelDemand=34.4; Capacity=56.7</x:v>
      </x:c>
    </x:row>
    <x:row r="4938">
      <x:c r="A4938" t="n">
        <x:v>4935</x:v>
      </x:c>
      <x:c r="B4938" t="str">
        <x:v>PTKIN</x:v>
      </x:c>
      <x:c r="C4938" t="str">
        <x:v>UIN SUNAN AMPEL SURABAYA</x:v>
      </x:c>
      <x:c r="D4938" t="str">
        <x:v>BIOLOGI</x:v>
      </x:c>
      <x:c r="E4938" t="str">
        <x:v>Sarjana</x:v>
      </x:c>
      <x:c r="F4938" s="18" t="n">
        <x:v>52</x:v>
      </x:c>
      <x:c r="G4938" s="18" t="n">
        <x:v>89</x:v>
      </x:c>
      <x:c r="H4938" s="19" t="n">
        <x:v>1.7115384615384615</x:v>
      </x:c>
      <x:c r="I4938" s="18" t="n">
        <x:f>ROUND(MIN(Model_Config_v3!$B$6,MAX(Q4938,R4938,S4938*Model_Config_v3!$B$4+T4938*Model_Config_v3!$B$5)),0)</x:f>
        <x:v>615</x:v>
      </x:c>
      <x:c r="J4938" s="18" t="n">
        <x:f>MIN(Model_Config_v3!$B$6,I4938+Model_Config_v3!$B$7)</x:f>
        <x:v>635</x:v>
      </x:c>
      <x:c r="K4938" s="20" t="n">
        <x:v>42.4</x:v>
      </x:c>
      <x:c r="L4938" t="str">
        <x:v>RELATIF LONGGAR</x:v>
      </x:c>
      <x:c r="M4938" t="str">
        <x:v>SEDANG+</x:v>
      </x:c>
      <x:c r="N4938" t="str">
        <x:v>REGULER</x:v>
      </x:c>
      <x:c r="O4938" t="str">
        <x:v>SAINTEK</x:v>
      </x:c>
      <x:c r="P4938" t="str">
        <x:v>SAINS DASAR</x:v>
      </x:c>
      <x:c r="Q4938" s="18" t="n">
        <x:v>0</x:v>
      </x:c>
      <x:c r="R4938" s="18" t="n">
        <x:v>0</x:v>
      </x:c>
      <x:c r="S4938" s="18" t="n">
        <x:v>545.6725329311125</x:v>
      </x:c>
      <x:c r="T4938" s="18" t="n">
        <x:v>645</x:v>
      </x:c>
      <x:c r="U4938" s="18" t="n">
        <x:v>545.6725329311125</x:v>
      </x:c>
      <x:c r="V4938" s="20" t="n">
        <x:v>12</x:v>
      </x:c>
      <x:c r="W4938" s="20" t="n">
        <x:v>5</x:v>
      </x:c>
      <x:c r="X4938" s="20" t="n">
        <x:v>3</x:v>
      </x:c>
      <x:c r="Y4938" t="str">
        <x:v>Basis arsip 2025/2024</x:v>
      </x:c>
      <x:c r="Z4938" t="str">
        <x:v>https://snpmb.id/utbk-snbt/daya-tampung-snbt</x:v>
      </x:c>
      <x:c r="AA4938" t="str">
        <x:v>Tidak Ada</x:v>
      </x:c>
      <x:c r="AB4938" t="str">
        <x:v>Campus=55; Ratio=13.7; Prodi=50; RelDemand=40.8; Capacity=56.7</x:v>
      </x:c>
    </x:row>
    <x:row r="4939">
      <x:c r="A4939" t="n">
        <x:v>4936</x:v>
      </x:c>
      <x:c r="B4939" t="str">
        <x:v>PTKIN</x:v>
      </x:c>
      <x:c r="C4939" t="str">
        <x:v>UIN SUNAN AMPEL SURABAYA</x:v>
      </x:c>
      <x:c r="D4939" t="str">
        <x:v>MATEMATIKA</x:v>
      </x:c>
      <x:c r="E4939" t="str">
        <x:v>Sarjana</x:v>
      </x:c>
      <x:c r="F4939" s="18" t="n">
        <x:v>52</x:v>
      </x:c>
      <x:c r="G4939" s="18" t="n">
        <x:v>34</x:v>
      </x:c>
      <x:c r="H4939" s="19" t="n">
        <x:v>0.6538461538461539</x:v>
      </x:c>
      <x:c r="I4939" s="18" t="n">
        <x:f>ROUND(MIN(Model_Config_v3!$B$6,MAX(Q4939,R4939,S4939*Model_Config_v3!$B$4+T4939*Model_Config_v3!$B$5)),0)</x:f>
        <x:v>599</x:v>
      </x:c>
      <x:c r="J4939" s="18" t="n">
        <x:f>MIN(Model_Config_v3!$B$6,I4939+Model_Config_v3!$B$7)</x:f>
        <x:v>619</x:v>
      </x:c>
      <x:c r="K4939" s="20" t="n">
        <x:v>36.5</x:v>
      </x:c>
      <x:c r="L4939" t="str">
        <x:v>RELATIF LONGGAR</x:v>
      </x:c>
      <x:c r="M4939" t="str">
        <x:v>SEDANG+</x:v>
      </x:c>
      <x:c r="N4939" t="str">
        <x:v>REGULER</x:v>
      </x:c>
      <x:c r="O4939" t="str">
        <x:v>SAINTEK</x:v>
      </x:c>
      <x:c r="P4939" t="str">
        <x:v>SAINS DASAR</x:v>
      </x:c>
      <x:c r="Q4939" s="18" t="n">
        <x:v>0</x:v>
      </x:c>
      <x:c r="R4939" s="18" t="n">
        <x:v>0</x:v>
      </x:c>
      <x:c r="S4939" s="18" t="n">
        <x:v>520</x:v>
      </x:c>
      <x:c r="T4939" s="18" t="n">
        <x:v>633</x:v>
      </x:c>
      <x:c r="U4939" s="18" t="n">
        <x:v>520</x:v>
      </x:c>
      <x:c r="V4939" s="20" t="n">
        <x:v>12</x:v>
      </x:c>
      <x:c r="W4939" s="20" t="n">
        <x:v>5</x:v>
      </x:c>
      <x:c r="X4939" s="20" t="n">
        <x:v>3</x:v>
      </x:c>
      <x:c r="Y4939" t="str">
        <x:v>Basis arsip 2025/2024</x:v>
      </x:c>
      <x:c r="Z4939" t="str">
        <x:v>https://snpmb.id/utbk-snbt/daya-tampung-snbt</x:v>
      </x:c>
      <x:c r="AA4939" t="str">
        <x:v>Tidak Ada</x:v>
      </x:c>
      <x:c r="AB4939" t="str">
        <x:v>Campus=55; Ratio=0.0; Prodi=50; RelDemand=15.6; Capacity=56.7</x:v>
      </x:c>
    </x:row>
    <x:row r="4940">
      <x:c r="A4940" t="n">
        <x:v>4937</x:v>
      </x:c>
      <x:c r="B4940" t="str">
        <x:v>PTKIN</x:v>
      </x:c>
      <x:c r="C4940" t="str">
        <x:v>UIN SUNAN AMPEL SURABAYA</x:v>
      </x:c>
      <x:c r="D4940" t="str">
        <x:v>PENDIDIKAN ILMU PENGETAHUAN ALAM</x:v>
      </x:c>
      <x:c r="E4940" t="str">
        <x:v>Sarjana</x:v>
      </x:c>
      <x:c r="F4940" s="18" t="n">
        <x:v>42</x:v>
      </x:c>
      <x:c r="G4940" s="18" t="n">
        <x:v>97</x:v>
      </x:c>
      <x:c r="H4940" s="19" t="n">
        <x:v>2.3095238095238093</x:v>
      </x:c>
      <x:c r="I4940" s="18" t="n">
        <x:f>ROUND(MIN(Model_Config_v3!$B$6,MAX(Q4940,R4940,S4940*Model_Config_v3!$B$4+T4940*Model_Config_v3!$B$5)),0)</x:f>
        <x:v>624</x:v>
      </x:c>
      <x:c r="J4940" s="18" t="n">
        <x:f>MIN(Model_Config_v3!$B$6,I4940+Model_Config_v3!$B$7)</x:f>
        <x:v>644</x:v>
      </x:c>
      <x:c r="K4940" s="20" t="n">
        <x:v>45.6</x:v>
      </x:c>
      <x:c r="L4940" t="str">
        <x:v>MENENGAH</x:v>
      </x:c>
      <x:c r="M4940" t="str">
        <x:v>SEDANG+</x:v>
      </x:c>
      <x:c r="N4940" t="str">
        <x:v>REGULER</x:v>
      </x:c>
      <x:c r="O4940" t="str">
        <x:v>CAMPURAN</x:v>
      </x:c>
      <x:c r="P4940" t="str">
        <x:v>PENDIDIKAN</x:v>
      </x:c>
      <x:c r="Q4940" s="18" t="n">
        <x:v>0</x:v>
      </x:c>
      <x:c r="R4940" s="18" t="n">
        <x:v>0</x:v>
      </x:c>
      <x:c r="S4940" s="18" t="n">
        <x:v>559.9874688255179</x:v>
      </x:c>
      <x:c r="T4940" s="18" t="n">
        <x:v>651</x:v>
      </x:c>
      <x:c r="U4940" s="18" t="n">
        <x:v>559.9874688255179</x:v>
      </x:c>
      <x:c r="V4940" s="20" t="n">
        <x:v>8.8</x:v>
      </x:c>
      <x:c r="W4940" s="20" t="n">
        <x:v>9.9</x:v>
      </x:c>
      <x:c r="X4940" s="20" t="n">
        <x:v>3.3</x:v>
      </x:c>
      <x:c r="Y4940" t="str">
        <x:v>Basis arsip 2025/2024</x:v>
      </x:c>
      <x:c r="Z4940" t="str">
        <x:v>https://snpmb.id/utbk-snbt/daya-tampung-snbt</x:v>
      </x:c>
      <x:c r="AA4940" t="str">
        <x:v>Tidak Ada</x:v>
      </x:c>
      <x:c r="AB4940" t="str">
        <x:v>Campus=55; Ratio=21.4; Prodi=45; RelDemand=55.1; Capacity=65.0</x:v>
      </x:c>
    </x:row>
    <x:row r="4941">
      <x:c r="A4941" t="n">
        <x:v>4938</x:v>
      </x:c>
      <x:c r="B4941" t="str">
        <x:v>PTKIN</x:v>
      </x:c>
      <x:c r="C4941" t="str">
        <x:v>UIN SUNAN AMPEL SURABAYA</x:v>
      </x:c>
      <x:c r="D4941" t="str">
        <x:v>TEKNIK SIPIL</x:v>
      </x:c>
      <x:c r="E4941" t="str">
        <x:v>Sarjana</x:v>
      </x:c>
      <x:c r="F4941" s="18" t="n">
        <x:v>63</x:v>
      </x:c>
      <x:c r="G4941" s="18" t="n">
        <x:v>116</x:v>
      </x:c>
      <x:c r="H4941" s="19" t="n">
        <x:v>1.8412698412698412</x:v>
      </x:c>
      <x:c r="I4941" s="18" t="n">
        <x:f>ROUND(MIN(Model_Config_v3!$B$6,MAX(Q4941,R4941,S4941*Model_Config_v3!$B$4+T4941*Model_Config_v3!$B$5)),0)</x:f>
        <x:v>619</x:v>
      </x:c>
      <x:c r="J4941" s="18" t="n">
        <x:f>MIN(Model_Config_v3!$B$6,I4941+Model_Config_v3!$B$7)</x:f>
        <x:v>639</x:v>
      </x:c>
      <x:c r="K4941" s="20" t="n">
        <x:v>44.3</x:v>
      </x:c>
      <x:c r="L4941" t="str">
        <x:v>RELATIF LONGGAR</x:v>
      </x:c>
      <x:c r="M4941" t="str">
        <x:v>SEDANG+</x:v>
      </x:c>
      <x:c r="N4941" t="str">
        <x:v>REGULER</x:v>
      </x:c>
      <x:c r="O4941" t="str">
        <x:v>SAINTEK</x:v>
      </x:c>
      <x:c r="P4941" t="str">
        <x:v>TEKNIK/ARSITEKTUR/STATISTIKA/AKTUARIA</x:v>
      </x:c>
      <x:c r="Q4941" s="18" t="n">
        <x:v>0</x:v>
      </x:c>
      <x:c r="R4941" s="18" t="n">
        <x:v>0</x:v>
      </x:c>
      <x:c r="S4941" s="18" t="n">
        <x:v>549.1629183750671</x:v>
      </x:c>
      <x:c r="T4941" s="18" t="n">
        <x:v>649</x:v>
      </x:c>
      <x:c r="U4941" s="18" t="n">
        <x:v>559.1629183750671</x:v>
      </x:c>
      <x:c r="V4941" s="20" t="n">
        <x:v>12</x:v>
      </x:c>
      <x:c r="W4941" s="20" t="n">
        <x:v>5</x:v>
      </x:c>
      <x:c r="X4941" s="20" t="n">
        <x:v>3</x:v>
      </x:c>
      <x:c r="Y4941" t="str">
        <x:v>Basis arsip 2025/2024</x:v>
      </x:c>
      <x:c r="Z4941" t="str">
        <x:v>https://snpmb.id/utbk-snbt/daya-tampung-snbt</x:v>
      </x:c>
      <x:c r="AA4941" t="str">
        <x:v>Tidak Ada</x:v>
      </x:c>
      <x:c r="AB4941" t="str">
        <x:v>Campus=55; Ratio=15.6; Prodi=60; RelDemand=43.9; Capacity=47.5</x:v>
      </x:c>
    </x:row>
    <x:row r="4942">
      <x:c r="A4942" t="n">
        <x:v>4939</x:v>
      </x:c>
      <x:c r="B4942" t="str">
        <x:v>PTKIN</x:v>
      </x:c>
      <x:c r="C4942" t="str">
        <x:v>UIN SUNAN AMPEL SURABAYA</x:v>
      </x:c>
      <x:c r="D4942" t="str">
        <x:v>PENDIDIKAN BAHASA INGGRIS</x:v>
      </x:c>
      <x:c r="E4942" t="str">
        <x:v>Sarjana</x:v>
      </x:c>
      <x:c r="F4942" s="18" t="n">
        <x:v>63</x:v>
      </x:c>
      <x:c r="G4942" s="18" t="n">
        <x:v>150</x:v>
      </x:c>
      <x:c r="H4942" s="19" t="n">
        <x:v>2.380952380952381</x:v>
      </x:c>
      <x:c r="I4942" s="18" t="n">
        <x:f>ROUND(MIN(Model_Config_v3!$B$6,MAX(Q4942,R4942,S4942*Model_Config_v3!$B$4+T4942*Model_Config_v3!$B$5)),0)</x:f>
        <x:v>622</x:v>
      </x:c>
      <x:c r="J4942" s="18" t="n">
        <x:f>MIN(Model_Config_v3!$B$6,I4942+Model_Config_v3!$B$7)</x:f>
        <x:v>642</x:v>
      </x:c>
      <x:c r="K4942" s="20" t="n">
        <x:v>44.2</x:v>
      </x:c>
      <x:c r="L4942" t="str">
        <x:v>RELATIF LONGGAR</x:v>
      </x:c>
      <x:c r="M4942" t="str">
        <x:v>SEDANG+</x:v>
      </x:c>
      <x:c r="N4942" t="str">
        <x:v>REGULER</x:v>
      </x:c>
      <x:c r="O4942" t="str">
        <x:v>SOSHUM</x:v>
      </x:c>
      <x:c r="P4942" t="str">
        <x:v>PENDIDIKAN</x:v>
      </x:c>
      <x:c r="Q4942" s="18" t="n">
        <x:v>0</x:v>
      </x:c>
      <x:c r="R4942" s="18" t="n">
        <x:v>0</x:v>
      </x:c>
      <x:c r="S4942" s="18" t="n">
        <x:v>561.4425780562309</x:v>
      </x:c>
      <x:c r="T4942" s="18" t="n">
        <x:v>648</x:v>
      </x:c>
      <x:c r="U4942" s="18" t="n">
        <x:v>561.4425780562309</x:v>
      </x:c>
      <x:c r="V4942" s="20" t="n">
        <x:v>4.4</x:v>
      </x:c>
      <x:c r="W4942" s="20" t="n">
        <x:v>14.3</x:v>
      </x:c>
      <x:c r="X4942" s="20" t="n">
        <x:v>3.3</x:v>
      </x:c>
      <x:c r="Y4942" t="str">
        <x:v>Basis arsip 2025/2024</x:v>
      </x:c>
      <x:c r="Z4942" t="str">
        <x:v>https://snpmb.id/utbk-snbt/daya-tampung-snbt</x:v>
      </x:c>
      <x:c r="AA4942" t="str">
        <x:v>Tidak Ada</x:v>
      </x:c>
      <x:c r="AB4942" t="str">
        <x:v>Campus=55; Ratio=22.2; Prodi=45; RelDemand=56.8; Capacity=47.5</x:v>
      </x:c>
    </x:row>
    <x:row r="4943">
      <x:c r="A4943" t="n">
        <x:v>4940</x:v>
      </x:c>
      <x:c r="B4943" t="str">
        <x:v>PTKIN</x:v>
      </x:c>
      <x:c r="C4943" t="str">
        <x:v>UIN SUNAN AMPEL SURABAYA</x:v>
      </x:c>
      <x:c r="D4943" t="str">
        <x:v>SOSIOLOGI</x:v>
      </x:c>
      <x:c r="E4943" t="str">
        <x:v>Sarjana</x:v>
      </x:c>
      <x:c r="F4943" s="18" t="n">
        <x:v>114</x:v>
      </x:c>
      <x:c r="G4943" s="18" t="n">
        <x:v>140</x:v>
      </x:c>
      <x:c r="H4943" s="19" t="n">
        <x:v>1.2280701754385965</x:v>
      </x:c>
      <x:c r="I4943" s="18" t="n">
        <x:f>ROUND(MIN(Model_Config_v3!$B$6,MAX(Q4943,R4943,S4943*Model_Config_v3!$B$4+T4943*Model_Config_v3!$B$5)),0)</x:f>
        <x:v>596</x:v>
      </x:c>
      <x:c r="J4943" s="18" t="n">
        <x:f>MIN(Model_Config_v3!$B$6,I4943+Model_Config_v3!$B$7)</x:f>
        <x:v>616</x:v>
      </x:c>
      <x:c r="K4943" s="20" t="n">
        <x:v>32</x:v>
      </x:c>
      <x:c r="L4943" t="str">
        <x:v>RELATIF LONGGAR</x:v>
      </x:c>
      <x:c r="M4943" t="str">
        <x:v>SEDANG</x:v>
      </x:c>
      <x:c r="N4943" t="str">
        <x:v>REGULER</x:v>
      </x:c>
      <x:c r="O4943" t="str">
        <x:v>SOSHUM</x:v>
      </x:c>
      <x:c r="P4943" t="str">
        <x:v>UMUM</x:v>
      </x:c>
      <x:c r="Q4943" s="18" t="n">
        <x:v>0</x:v>
      </x:c>
      <x:c r="R4943" s="18" t="n">
        <x:v>0</x:v>
      </x:c>
      <x:c r="S4943" s="18" t="n">
        <x:v>529.8145502775942</x:v>
      </x:c>
      <x:c r="T4943" s="18" t="n">
        <x:v>624</x:v>
      </x:c>
      <x:c r="U4943" s="18" t="n">
        <x:v>529.8145502775942</x:v>
      </x:c>
      <x:c r="V4943" s="20" t="n">
        <x:v>4.4</x:v>
      </x:c>
      <x:c r="W4943" s="20" t="n">
        <x:v>14.3</x:v>
      </x:c>
      <x:c r="X4943" s="20" t="n">
        <x:v>3.3</x:v>
      </x:c>
      <x:c r="Y4943" t="str">
        <x:v>Basis arsip 2025/2024</x:v>
      </x:c>
      <x:c r="Z4943" t="str">
        <x:v>https://snpmb.id/utbk-snbt/daya-tampung-snbt</x:v>
      </x:c>
      <x:c r="AA4943" t="str">
        <x:v>Tidak Ada</x:v>
      </x:c>
      <x:c r="AB4943" t="str">
        <x:v>Campus=55; Ratio=5.3; Prodi=40; RelDemand=29.3; Capacity=5.0</x:v>
      </x:c>
    </x:row>
    <x:row r="4944">
      <x:c r="A4944" t="n">
        <x:v>4941</x:v>
      </x:c>
      <x:c r="B4944" t="str">
        <x:v>PTKIN</x:v>
      </x:c>
      <x:c r="C4944" t="str">
        <x:v>UIN SUNAN AMPEL SURABAYA</x:v>
      </x:c>
      <x:c r="D4944" t="str">
        <x:v>ILMU KOMUNIKASI</x:v>
      </x:c>
      <x:c r="E4944" t="str">
        <x:v>Sarjana</x:v>
      </x:c>
      <x:c r="F4944" s="18" t="n">
        <x:v>120</x:v>
      </x:c>
      <x:c r="G4944" s="18" t="n">
        <x:v>353</x:v>
      </x:c>
      <x:c r="H4944" s="19" t="n">
        <x:v>2.941666666666667</x:v>
      </x:c>
      <x:c r="I4944" s="18" t="n">
        <x:f>ROUND(MIN(Model_Config_v3!$B$6,MAX(Q4944,R4944,S4944*Model_Config_v3!$B$4+T4944*Model_Config_v3!$B$5)),0)</x:f>
        <x:v>621</x:v>
      </x:c>
      <x:c r="J4944" s="18" t="n">
        <x:f>MIN(Model_Config_v3!$B$6,I4944+Model_Config_v3!$B$7)</x:f>
        <x:v>641</x:v>
      </x:c>
      <x:c r="K4944" s="20" t="n">
        <x:v>41.2</x:v>
      </x:c>
      <x:c r="L4944" t="str">
        <x:v>RELATIF LONGGAR</x:v>
      </x:c>
      <x:c r="M4944" t="str">
        <x:v>SEDANG</x:v>
      </x:c>
      <x:c r="N4944" t="str">
        <x:v>REGULER</x:v>
      </x:c>
      <x:c r="O4944" t="str">
        <x:v>SOSHUM</x:v>
      </x:c>
      <x:c r="P4944" t="str">
        <x:v>UMUM</x:v>
      </x:c>
      <x:c r="Q4944" s="18" t="n">
        <x:v>0</x:v>
      </x:c>
      <x:c r="R4944" s="18" t="n">
        <x:v>0</x:v>
      </x:c>
      <x:c r="S4944" s="18" t="n">
        <x:v>571.5452805274217</x:v>
      </x:c>
      <x:c r="T4944" s="18" t="n">
        <x:v>642</x:v>
      </x:c>
      <x:c r="U4944" s="18" t="n">
        <x:v>571.5452805274217</x:v>
      </x:c>
      <x:c r="V4944" s="20" t="n">
        <x:v>4.4</x:v>
      </x:c>
      <x:c r="W4944" s="20" t="n">
        <x:v>14.3</x:v>
      </x:c>
      <x:c r="X4944" s="20" t="n">
        <x:v>3.3</x:v>
      </x:c>
      <x:c r="Y4944" t="str">
        <x:v>Basis arsip 2025/2024</x:v>
      </x:c>
      <x:c r="Z4944" t="str">
        <x:v>https://snpmb.id/utbk-snbt/daya-tampung-snbt</x:v>
      </x:c>
      <x:c r="AA4944" t="str">
        <x:v>Tidak Ada</x:v>
      </x:c>
      <x:c r="AB4944" t="str">
        <x:v>Campus=55; Ratio=27.6; Prodi=40; RelDemand=70.2; Capacity=0.0</x:v>
      </x:c>
    </x:row>
    <x:row r="4945">
      <x:c r="A4945" t="n">
        <x:v>4942</x:v>
      </x:c>
      <x:c r="B4945" t="str">
        <x:v>PTKIN</x:v>
      </x:c>
      <x:c r="C4945" t="str">
        <x:v>UIN SUNAN AMPEL SURABAYA</x:v>
      </x:c>
      <x:c r="D4945" t="str">
        <x:v>PSIKOLOGI</x:v>
      </x:c>
      <x:c r="E4945" t="str">
        <x:v>Sarjana</x:v>
      </x:c>
      <x:c r="F4945" s="18" t="n">
        <x:v>144</x:v>
      </x:c>
      <x:c r="G4945" s="18" t="n">
        <x:v>471</x:v>
      </x:c>
      <x:c r="H4945" s="19" t="n">
        <x:v>3.2708333333333335</x:v>
      </x:c>
      <x:c r="I4945" s="18" t="n">
        <x:f>ROUND(MIN(Model_Config_v3!$B$6,MAX(Q4945,R4945,S4945*Model_Config_v3!$B$4+T4945*Model_Config_v3!$B$5)),0)</x:f>
        <x:v>636</x:v>
      </x:c>
      <x:c r="J4945" s="18" t="n">
        <x:f>MIN(Model_Config_v3!$B$6,I4945+Model_Config_v3!$B$7)</x:f>
        <x:v>656</x:v>
      </x:c>
      <x:c r="K4945" s="20" t="n">
        <x:v>50.6</x:v>
      </x:c>
      <x:c r="L4945" t="str">
        <x:v>MENENGAH</x:v>
      </x:c>
      <x:c r="M4945" t="str">
        <x:v>SEDANG+</x:v>
      </x:c>
      <x:c r="N4945" t="str">
        <x:v>REGULER</x:v>
      </x:c>
      <x:c r="O4945" t="str">
        <x:v>SOSHUM</x:v>
      </x:c>
      <x:c r="P4945" t="str">
        <x:v>PSIKOLOGI</x:v>
      </x:c>
      <x:c r="Q4945" s="18" t="n">
        <x:v>0</x:v>
      </x:c>
      <x:c r="R4945" s="18" t="n">
        <x:v>0</x:v>
      </x:c>
      <x:c r="S4945" s="18" t="n">
        <x:v>576.6124256537012</x:v>
      </x:c>
      <x:c r="T4945" s="18" t="n">
        <x:v>661</x:v>
      </x:c>
      <x:c r="U4945" s="18" t="n">
        <x:v>601.6124256537012</x:v>
      </x:c>
      <x:c r="V4945" s="20" t="n">
        <x:v>4.4</x:v>
      </x:c>
      <x:c r="W4945" s="20" t="n">
        <x:v>14.3</x:v>
      </x:c>
      <x:c r="X4945" s="20" t="n">
        <x:v>3.3</x:v>
      </x:c>
      <x:c r="Y4945" t="str">
        <x:v>Basis arsip 2025/2024</x:v>
      </x:c>
      <x:c r="Z4945" t="str">
        <x:v>https://snpmb.id/utbk-snbt/daya-tampung-snbt</x:v>
      </x:c>
      <x:c r="AA4945" t="str">
        <x:v>Tidak Ada</x:v>
      </x:c>
      <x:c r="AB4945" t="str">
        <x:v>Campus=55; Ratio=30.3; Prodi=80; RelDemand=78.0; Capacity=0.0</x:v>
      </x:c>
    </x:row>
    <x:row r="4946">
      <x:c r="A4946" t="n">
        <x:v>4943</x:v>
      </x:c>
      <x:c r="B4946" t="str">
        <x:v>PTKIN</x:v>
      </x:c>
      <x:c r="C4946" t="str">
        <x:v>UIN SUNAN AMPEL SURABAYA</x:v>
      </x:c>
      <x:c r="D4946" t="str">
        <x:v>SASTRA INGGRIS</x:v>
      </x:c>
      <x:c r="E4946" t="str">
        <x:v>Sarjana</x:v>
      </x:c>
      <x:c r="F4946" s="18" t="n">
        <x:v>84</x:v>
      </x:c>
      <x:c r="G4946" s="18" t="n">
        <x:v>91</x:v>
      </x:c>
      <x:c r="H4946" s="19" t="n">
        <x:v>1.0833333333333333</x:v>
      </x:c>
      <x:c r="I4946" s="18" t="n">
        <x:f>ROUND(MIN(Model_Config_v3!$B$6,MAX(Q4946,R4946,S4946*Model_Config_v3!$B$4+T4946*Model_Config_v3!$B$5)),0)</x:f>
        <x:v>596</x:v>
      </x:c>
      <x:c r="J4946" s="18" t="n">
        <x:f>MIN(Model_Config_v3!$B$6,I4946+Model_Config_v3!$B$7)</x:f>
        <x:v>616</x:v>
      </x:c>
      <x:c r="K4946" s="20" t="n">
        <x:v>33.3</x:v>
      </x:c>
      <x:c r="L4946" t="str">
        <x:v>RELATIF LONGGAR</x:v>
      </x:c>
      <x:c r="M4946" t="str">
        <x:v>SEDANG</x:v>
      </x:c>
      <x:c r="N4946" t="str">
        <x:v>REGULER</x:v>
      </x:c>
      <x:c r="O4946" t="str">
        <x:v>SOSHUM</x:v>
      </x:c>
      <x:c r="P4946" t="str">
        <x:v>UMUM</x:v>
      </x:c>
      <x:c r="Q4946" s="18" t="n">
        <x:v>0</x:v>
      </x:c>
      <x:c r="R4946" s="18" t="n">
        <x:v>0</x:v>
      </x:c>
      <x:c r="S4946" s="18" t="n">
        <x:v>523.8238316885133</x:v>
      </x:c>
      <x:c r="T4946" s="18" t="n">
        <x:v>627</x:v>
      </x:c>
      <x:c r="U4946" s="18" t="n">
        <x:v>523.8238316885133</x:v>
      </x:c>
      <x:c r="V4946" s="20" t="n">
        <x:v>4.4</x:v>
      </x:c>
      <x:c r="W4946" s="20" t="n">
        <x:v>14.3</x:v>
      </x:c>
      <x:c r="X4946" s="20" t="n">
        <x:v>3.3</x:v>
      </x:c>
      <x:c r="Y4946" t="str">
        <x:v>Basis arsip 2025/2024</x:v>
      </x:c>
      <x:c r="Z4946" t="str">
        <x:v>https://snpmb.id/utbk-snbt/daya-tampung-snbt</x:v>
      </x:c>
      <x:c r="AA4946" t="str">
        <x:v>Tidak Ada</x:v>
      </x:c>
      <x:c r="AB4946" t="str">
        <x:v>Campus=55; Ratio=2.0; Prodi=40; RelDemand=25.8; Capacity=30.0</x:v>
      </x:c>
    </x:row>
    <x:row r="4947">
      <x:c r="A4947" t="n">
        <x:v>4944</x:v>
      </x:c>
      <x:c r="B4947" t="str">
        <x:v>PTKIN</x:v>
      </x:c>
      <x:c r="C4947" t="str">
        <x:v>UIN SUNAN AMPEL SURABAYA</x:v>
      </x:c>
      <x:c r="D4947" t="str">
        <x:v>ILMU EKONOMI</x:v>
      </x:c>
      <x:c r="E4947" t="str">
        <x:v>Sarjana</x:v>
      </x:c>
      <x:c r="F4947" s="18" t="n">
        <x:v>81</x:v>
      </x:c>
      <x:c r="G4947" s="18" t="n">
        <x:v>159</x:v>
      </x:c>
      <x:c r="H4947" s="19" t="n">
        <x:v>1.962962962962963</x:v>
      </x:c>
      <x:c r="I4947" s="18" t="n">
        <x:f>ROUND(MIN(Model_Config_v3!$B$6,MAX(Q4947,R4947,S4947*Model_Config_v3!$B$4+T4947*Model_Config_v3!$B$5)),0)</x:f>
        <x:v>620</x:v>
      </x:c>
      <x:c r="J4947" s="18" t="n">
        <x:f>MIN(Model_Config_v3!$B$6,I4947+Model_Config_v3!$B$7)</x:f>
        <x:v>640</x:v>
      </x:c>
      <x:c r="K4947" s="20" t="n">
        <x:v>44.5</x:v>
      </x:c>
      <x:c r="L4947" t="str">
        <x:v>RELATIF LONGGAR</x:v>
      </x:c>
      <x:c r="M4947" t="str">
        <x:v>SEDANG+</x:v>
      </x:c>
      <x:c r="N4947" t="str">
        <x:v>REGULER</x:v>
      </x:c>
      <x:c r="O4947" t="str">
        <x:v>SOSHUM</x:v>
      </x:c>
      <x:c r="P4947" t="str">
        <x:v>BISNIS/EKONOMI/AKUNTANSI</x:v>
      </x:c>
      <x:c r="Q4947" s="18" t="n">
        <x:v>0</x:v>
      </x:c>
      <x:c r="R4947" s="18" t="n">
        <x:v>0</x:v>
      </x:c>
      <x:c r="S4947" s="18" t="n">
        <x:v>552.2203315985982</x:v>
      </x:c>
      <x:c r="T4947" s="18" t="n">
        <x:v>649</x:v>
      </x:c>
      <x:c r="U4947" s="18" t="n">
        <x:v>552.2203315985982</x:v>
      </x:c>
      <x:c r="V4947" s="20" t="n">
        <x:v>4.4</x:v>
      </x:c>
      <x:c r="W4947" s="20" t="n">
        <x:v>14.3</x:v>
      </x:c>
      <x:c r="X4947" s="20" t="n">
        <x:v>3.3</x:v>
      </x:c>
      <x:c r="Y4947" t="str">
        <x:v>Basis arsip 2025/2024</x:v>
      </x:c>
      <x:c r="Z4947" t="str">
        <x:v>https://snpmb.id/utbk-snbt/daya-tampung-snbt</x:v>
      </x:c>
      <x:c r="AA4947" t="str">
        <x:v>Tidak Ada</x:v>
      </x:c>
      <x:c r="AB4947" t="str">
        <x:v>Campus=55; Ratio=17.2; Prodi=65; RelDemand=46.8; Capacity=32.5</x:v>
      </x:c>
    </x:row>
    <x:row r="4948">
      <x:c r="A4948" t="n">
        <x:v>4945</x:v>
      </x:c>
      <x:c r="B4948" t="str">
        <x:v>PTKIN</x:v>
      </x:c>
      <x:c r="C4948" t="str">
        <x:v>UIN SUNAN AMPEL SURABAYA</x:v>
      </x:c>
      <x:c r="D4948" t="str">
        <x:v>AKUNTANSI</x:v>
      </x:c>
      <x:c r="E4948" t="str">
        <x:v>Sarjana</x:v>
      </x:c>
      <x:c r="F4948" s="18" t="n">
        <x:v>102</x:v>
      </x:c>
      <x:c r="G4948" s="18" t="n">
        <x:v>243</x:v>
      </x:c>
      <x:c r="H4948" s="19" t="n">
        <x:v>2.3823529411764706</x:v>
      </x:c>
      <x:c r="I4948" s="18" t="n">
        <x:f>ROUND(MIN(Model_Config_v3!$B$6,MAX(Q4948,R4948,S4948*Model_Config_v3!$B$4+T4948*Model_Config_v3!$B$5)),0)</x:f>
        <x:v>623</x:v>
      </x:c>
      <x:c r="J4948" s="18" t="n">
        <x:f>MIN(Model_Config_v3!$B$6,I4948+Model_Config_v3!$B$7)</x:f>
        <x:v>643</x:v>
      </x:c>
      <x:c r="K4948" s="20" t="n">
        <x:v>45</x:v>
      </x:c>
      <x:c r="L4948" t="str">
        <x:v>MENENGAH</x:v>
      </x:c>
      <x:c r="M4948" t="str">
        <x:v>SEDANG+</x:v>
      </x:c>
      <x:c r="N4948" t="str">
        <x:v>REGULER</x:v>
      </x:c>
      <x:c r="O4948" t="str">
        <x:v>SOSHUM</x:v>
      </x:c>
      <x:c r="P4948" t="str">
        <x:v>BISNIS/EKONOMI/AKUNTANSI</x:v>
      </x:c>
      <x:c r="Q4948" s="18" t="n">
        <x:v>0</x:v>
      </x:c>
      <x:c r="R4948" s="18" t="n">
        <x:v>0</x:v>
      </x:c>
      <x:c r="S4948" s="18" t="n">
        <x:v>561.4706712020034</x:v>
      </x:c>
      <x:c r="T4948" s="18" t="n">
        <x:v>650</x:v>
      </x:c>
      <x:c r="U4948" s="18" t="n">
        <x:v>561.4706712020034</x:v>
      </x:c>
      <x:c r="V4948" s="20" t="n">
        <x:v>4.4</x:v>
      </x:c>
      <x:c r="W4948" s="20" t="n">
        <x:v>14.3</x:v>
      </x:c>
      <x:c r="X4948" s="20" t="n">
        <x:v>3.3</x:v>
      </x:c>
      <x:c r="Y4948" t="str">
        <x:v>Basis arsip 2025/2024</x:v>
      </x:c>
      <x:c r="Z4948" t="str">
        <x:v>https://snpmb.id/utbk-snbt/daya-tampung-snbt</x:v>
      </x:c>
      <x:c r="AA4948" t="str">
        <x:v>Tidak Ada</x:v>
      </x:c>
      <x:c r="AB4948" t="str">
        <x:v>Campus=55; Ratio=22.2; Prodi=65; RelDemand=56.8; Capacity=15.0</x:v>
      </x:c>
    </x:row>
    <x:row r="4949">
      <x:c r="A4949" t="n">
        <x:v>4946</x:v>
      </x:c>
      <x:c r="B4949" t="str">
        <x:v>PTKIN</x:v>
      </x:c>
      <x:c r="C4949" t="str">
        <x:v>UIN SUNAN AMPEL SURABAYA</x:v>
      </x:c>
      <x:c r="D4949" t="str">
        <x:v>MANAJEMEN</x:v>
      </x:c>
      <x:c r="E4949" t="str">
        <x:v>Sarjana</x:v>
      </x:c>
      <x:c r="F4949" s="18" t="n">
        <x:v>111</x:v>
      </x:c>
      <x:c r="G4949" s="18" t="n">
        <x:v>428</x:v>
      </x:c>
      <x:c r="H4949" s="19" t="n">
        <x:v>3.855855855855856</x:v>
      </x:c>
      <x:c r="I4949" s="18" t="n">
        <x:f>ROUND(MIN(Model_Config_v3!$B$6,MAX(Q4949,R4949,S4949*Model_Config_v3!$B$4+T4949*Model_Config_v3!$B$5)),0)</x:f>
        <x:v>639</x:v>
      </x:c>
      <x:c r="J4949" s="18" t="n">
        <x:f>MIN(Model_Config_v3!$B$6,I4949+Model_Config_v3!$B$7)</x:f>
        <x:v>659</x:v>
      </x:c>
      <x:c r="K4949" s="20" t="n">
        <x:v>50.8</x:v>
      </x:c>
      <x:c r="L4949" t="str">
        <x:v>MENENGAH</x:v>
      </x:c>
      <x:c r="M4949" t="str">
        <x:v>SEDANG+</x:v>
      </x:c>
      <x:c r="N4949" t="str">
        <x:v>REGULER</x:v>
      </x:c>
      <x:c r="O4949" t="str">
        <x:v>SOSHUM</x:v>
      </x:c>
      <x:c r="P4949" t="str">
        <x:v>BISNIS/EKONOMI/AKUNTANSI</x:v>
      </x:c>
      <x:c r="Q4949" s="18" t="n">
        <x:v>0</x:v>
      </x:c>
      <x:c r="R4949" s="18" t="n">
        <x:v>0</x:v>
      </x:c>
      <x:c r="S4949" s="18" t="n">
        <x:v>584.4732869249166</x:v>
      </x:c>
      <x:c r="T4949" s="18" t="n">
        <x:v>662</x:v>
      </x:c>
      <x:c r="U4949" s="18" t="n">
        <x:v>599.4732869249166</x:v>
      </x:c>
      <x:c r="V4949" s="20" t="n">
        <x:v>4.4</x:v>
      </x:c>
      <x:c r="W4949" s="20" t="n">
        <x:v>14.3</x:v>
      </x:c>
      <x:c r="X4949" s="20" t="n">
        <x:v>3.3</x:v>
      </x:c>
      <x:c r="Y4949" t="str">
        <x:v>Basis arsip 2025/2024</x:v>
      </x:c>
      <x:c r="Z4949" t="str">
        <x:v>https://snpmb.id/utbk-snbt/daya-tampung-snbt</x:v>
      </x:c>
      <x:c r="AA4949" t="str">
        <x:v>Tidak Ada</x:v>
      </x:c>
      <x:c r="AB4949" t="str">
        <x:v>Campus=55; Ratio=34.5; Prodi=65; RelDemand=92.0; Capacity=7.5</x:v>
      </x:c>
    </x:row>
    <x:row r="4950">
      <x:c r="A4950" t="n">
        <x:v>4947</x:v>
      </x:c>
      <x:c r="B4950" t="str">
        <x:v>PTKIN</x:v>
      </x:c>
      <x:c r="C4950" t="str">
        <x:v>UIN SUNAN AMPEL SURABAYA</x:v>
      </x:c>
      <x:c r="D4950" t="str">
        <x:v>ILMU POLITIK</x:v>
      </x:c>
      <x:c r="E4950" t="str">
        <x:v>Sarjana</x:v>
      </x:c>
      <x:c r="F4950" s="18" t="n">
        <x:v>70</x:v>
      </x:c>
      <x:c r="G4950" s="18" t="n">
        <x:v>118</x:v>
      </x:c>
      <x:c r="H4950" s="19" t="n">
        <x:v>1.6857142857142857</x:v>
      </x:c>
      <x:c r="I4950" s="18" t="n">
        <x:f>ROUND(MIN(Model_Config_v3!$B$6,MAX(Q4950,R4950,S4950*Model_Config_v3!$B$4+T4950*Model_Config_v3!$B$5)),0)</x:f>
        <x:v>610</x:v>
      </x:c>
      <x:c r="J4950" s="18" t="n">
        <x:f>MIN(Model_Config_v3!$B$6,I4950+Model_Config_v3!$B$7)</x:f>
        <x:v>630</x:v>
      </x:c>
      <x:c r="K4950" s="20" t="n">
        <x:v>38.8</x:v>
      </x:c>
      <x:c r="L4950" t="str">
        <x:v>RELATIF LONGGAR</x:v>
      </x:c>
      <x:c r="M4950" t="str">
        <x:v>SEDANG</x:v>
      </x:c>
      <x:c r="N4950" t="str">
        <x:v>REGULER</x:v>
      </x:c>
      <x:c r="O4950" t="str">
        <x:v>SOSHUM</x:v>
      </x:c>
      <x:c r="P4950" t="str">
        <x:v>UMUM</x:v>
      </x:c>
      <x:c r="Q4950" s="18" t="n">
        <x:v>0</x:v>
      </x:c>
      <x:c r="R4950" s="18" t="n">
        <x:v>0</x:v>
      </x:c>
      <x:c r="S4950" s="18" t="n">
        <x:v>544.9462364021056</x:v>
      </x:c>
      <x:c r="T4950" s="18" t="n">
        <x:v>638</x:v>
      </x:c>
      <x:c r="U4950" s="18" t="n">
        <x:v>544.9462364021056</x:v>
      </x:c>
      <x:c r="V4950" s="20" t="n">
        <x:v>4.4</x:v>
      </x:c>
      <x:c r="W4950" s="20" t="n">
        <x:v>14.3</x:v>
      </x:c>
      <x:c r="X4950" s="20" t="n">
        <x:v>3.3</x:v>
      </x:c>
      <x:c r="Y4950" t="str">
        <x:v>Basis arsip 2025/2024</x:v>
      </x:c>
      <x:c r="Z4950" t="str">
        <x:v>https://snpmb.id/utbk-snbt/daya-tampung-snbt</x:v>
      </x:c>
      <x:c r="AA4950" t="str">
        <x:v>Tidak Ada</x:v>
      </x:c>
      <x:c r="AB4950" t="str">
        <x:v>Campus=55; Ratio=13.3; Prodi=40; RelDemand=40.2; Capacity=41.7</x:v>
      </x:c>
    </x:row>
    <x:row r="4951">
      <x:c r="A4951" t="n">
        <x:v>4948</x:v>
      </x:c>
      <x:c r="B4951" t="str">
        <x:v>PTKIN</x:v>
      </x:c>
      <x:c r="C4951" t="str">
        <x:v>UIN SUNAN AMPEL SURABAYA</x:v>
      </x:c>
      <x:c r="D4951" t="str">
        <x:v>HUBUNGAN INTERNASIONAL</x:v>
      </x:c>
      <x:c r="E4951" t="str">
        <x:v>Sarjana</x:v>
      </x:c>
      <x:c r="F4951" s="18" t="n">
        <x:v>90</x:v>
      </x:c>
      <x:c r="G4951" s="18" t="n">
        <x:v>146</x:v>
      </x:c>
      <x:c r="H4951" s="19" t="n">
        <x:v>1.6222222222222222</x:v>
      </x:c>
      <x:c r="I4951" s="18" t="n">
        <x:f>ROUND(MIN(Model_Config_v3!$B$6,MAX(Q4951,R4951,S4951*Model_Config_v3!$B$4+T4951*Model_Config_v3!$B$5)),0)</x:f>
        <x:v>606</x:v>
      </x:c>
      <x:c r="J4951" s="18" t="n">
        <x:f>MIN(Model_Config_v3!$B$6,I4951+Model_Config_v3!$B$7)</x:f>
        <x:v>626</x:v>
      </x:c>
      <x:c r="K4951" s="20" t="n">
        <x:v>36.7</x:v>
      </x:c>
      <x:c r="L4951" t="str">
        <x:v>RELATIF LONGGAR</x:v>
      </x:c>
      <x:c r="M4951" t="str">
        <x:v>SEDANG</x:v>
      </x:c>
      <x:c r="N4951" t="str">
        <x:v>REGULER</x:v>
      </x:c>
      <x:c r="O4951" t="str">
        <x:v>SOSHUM</x:v>
      </x:c>
      <x:c r="P4951" t="str">
        <x:v>UMUM</x:v>
      </x:c>
      <x:c r="Q4951" s="18" t="n">
        <x:v>0</x:v>
      </x:c>
      <x:c r="R4951" s="18" t="n">
        <x:v>0</x:v>
      </x:c>
      <x:c r="S4951" s="18" t="n">
        <x:v>543.1121380979623</x:v>
      </x:c>
      <x:c r="T4951" s="18" t="n">
        <x:v>633</x:v>
      </x:c>
      <x:c r="U4951" s="18" t="n">
        <x:v>543.1121380979623</x:v>
      </x:c>
      <x:c r="V4951" s="20" t="n">
        <x:v>4.4</x:v>
      </x:c>
      <x:c r="W4951" s="20" t="n">
        <x:v>14.3</x:v>
      </x:c>
      <x:c r="X4951" s="20" t="n">
        <x:v>3.3</x:v>
      </x:c>
      <x:c r="Y4951" t="str">
        <x:v>Basis arsip 2025/2024</x:v>
      </x:c>
      <x:c r="Z4951" t="str">
        <x:v>https://snpmb.id/utbk-snbt/daya-tampung-snbt</x:v>
      </x:c>
      <x:c r="AA4951" t="str">
        <x:v>Tidak Ada</x:v>
      </x:c>
      <x:c r="AB4951" t="str">
        <x:v>Campus=55; Ratio=12.4; Prodi=40; RelDemand=38.7; Capacity=25.0</x:v>
      </x:c>
    </x:row>
    <x:row r="4952">
      <x:c r="A4952" t="n">
        <x:v>4949</x:v>
      </x:c>
      <x:c r="B4952" t="str">
        <x:v>PTKIN</x:v>
      </x:c>
      <x:c r="C4952" t="str">
        <x:v>UIN SUNAN AMPEL SURABAYA</x:v>
      </x:c>
      <x:c r="D4952" t="str">
        <x:v>SASTRA INDONESIA</x:v>
      </x:c>
      <x:c r="E4952" t="str">
        <x:v>Sarjana</x:v>
      </x:c>
      <x:c r="F4952" s="18" t="n">
        <x:v>75</x:v>
      </x:c>
      <x:c r="G4952" s="18" t="n">
        <x:v>101</x:v>
      </x:c>
      <x:c r="H4952" s="19" t="n">
        <x:v>1.3466666666666667</x:v>
      </x:c>
      <x:c r="I4952" s="18" t="n">
        <x:f>ROUND(MIN(Model_Config_v3!$B$6,MAX(Q4952,R4952,S4952*Model_Config_v3!$B$4+T4952*Model_Config_v3!$B$5)),0)</x:f>
        <x:v>603</x:v>
      </x:c>
      <x:c r="J4952" s="18" t="n">
        <x:f>MIN(Model_Config_v3!$B$6,I4952+Model_Config_v3!$B$7)</x:f>
        <x:v>623</x:v>
      </x:c>
      <x:c r="K4952" s="20" t="n">
        <x:v>36.1</x:v>
      </x:c>
      <x:c r="L4952" t="str">
        <x:v>RELATIF LONGGAR</x:v>
      </x:c>
      <x:c r="M4952" t="str">
        <x:v>SEDANG</x:v>
      </x:c>
      <x:c r="N4952" t="str">
        <x:v>REGULER</x:v>
      </x:c>
      <x:c r="O4952" t="str">
        <x:v>SOSHUM</x:v>
      </x:c>
      <x:c r="P4952" t="str">
        <x:v>UMUM</x:v>
      </x:c>
      <x:c r="Q4952" s="18" t="n">
        <x:v>0</x:v>
      </x:c>
      <x:c r="R4952" s="18" t="n">
        <x:v>0</x:v>
      </x:c>
      <x:c r="S4952" s="18" t="n">
        <x:v>534.2186121430037</x:v>
      </x:c>
      <x:c r="T4952" s="18" t="n">
        <x:v>632</x:v>
      </x:c>
      <x:c r="U4952" s="18" t="n">
        <x:v>534.2186121430037</x:v>
      </x:c>
      <x:c r="V4952" s="20" t="n">
        <x:v>4.4</x:v>
      </x:c>
      <x:c r="W4952" s="20" t="n">
        <x:v>14.3</x:v>
      </x:c>
      <x:c r="X4952" s="20" t="n">
        <x:v>3.3</x:v>
      </x:c>
      <x:c r="Y4952" t="str">
        <x:v>Basis arsip 2025/2024</x:v>
      </x:c>
      <x:c r="Z4952" t="str">
        <x:v>https://snpmb.id/utbk-snbt/daya-tampung-snbt</x:v>
      </x:c>
      <x:c r="AA4952" t="str">
        <x:v>Tidak Ada</x:v>
      </x:c>
      <x:c r="AB4952" t="str">
        <x:v>Campus=55; Ratio=7.6; Prodi=40; RelDemand=32.1; Capacity=37.5</x:v>
      </x:c>
    </x:row>
    <x:row r="4953">
      <x:c r="A4953" t="n">
        <x:v>4950</x:v>
      </x:c>
      <x:c r="B4953" t="str">
        <x:v>PTKIN</x:v>
      </x:c>
      <x:c r="C4953" t="str">
        <x:v>UIN SUNAN AMPEL SURABAYA</x:v>
      </x:c>
      <x:c r="D4953" t="str">
        <x:v>HUKUM</x:v>
      </x:c>
      <x:c r="E4953" t="str">
        <x:v>Sarjana</x:v>
      </x:c>
      <x:c r="F4953" s="18" t="n">
        <x:v>114</x:v>
      </x:c>
      <x:c r="G4953" s="18" t="n">
        <x:v>264</x:v>
      </x:c>
      <x:c r="H4953" s="19" t="n">
        <x:v>2.3157894736842106</x:v>
      </x:c>
      <x:c r="I4953" s="18" t="n">
        <x:f>ROUND(MIN(Model_Config_v3!$B$6,MAX(Q4953,R4953,S4953*Model_Config_v3!$B$4+T4953*Model_Config_v3!$B$5)),0)</x:f>
        <x:v>621</x:v>
      </x:c>
      <x:c r="J4953" s="18" t="n">
        <x:f>MIN(Model_Config_v3!$B$6,I4953+Model_Config_v3!$B$7)</x:f>
        <x:v>641</x:v>
      </x:c>
      <x:c r="K4953" s="20" t="n">
        <x:v>43.6</x:v>
      </x:c>
      <x:c r="L4953" t="str">
        <x:v>RELATIF LONGGAR</x:v>
      </x:c>
      <x:c r="M4953" t="str">
        <x:v>SEDANG+</x:v>
      </x:c>
      <x:c r="N4953" t="str">
        <x:v>REGULER</x:v>
      </x:c>
      <x:c r="O4953" t="str">
        <x:v>SOSHUM</x:v>
      </x:c>
      <x:c r="P4953" t="str">
        <x:v>HUKUM</x:v>
      </x:c>
      <x:c r="Q4953" s="18" t="n">
        <x:v>0</x:v>
      </x:c>
      <x:c r="R4953" s="18" t="n">
        <x:v>0</x:v>
      </x:c>
      <x:c r="S4953" s="18" t="n">
        <x:v>560.1168983086694</x:v>
      </x:c>
      <x:c r="T4953" s="18" t="n">
        <x:v>647</x:v>
      </x:c>
      <x:c r="U4953" s="18" t="n">
        <x:v>575.1168983086694</x:v>
      </x:c>
      <x:c r="V4953" s="20" t="n">
        <x:v>4.4</x:v>
      </x:c>
      <x:c r="W4953" s="20" t="n">
        <x:v>14.3</x:v>
      </x:c>
      <x:c r="X4953" s="20" t="n">
        <x:v>3.3</x:v>
      </x:c>
      <x:c r="Y4953" t="str">
        <x:v>Basis arsip 2025/2024</x:v>
      </x:c>
      <x:c r="Z4953" t="str">
        <x:v>https://snpmb.id/utbk-snbt/daya-tampung-snbt</x:v>
      </x:c>
      <x:c r="AA4953" t="str">
        <x:v>Tidak Ada</x:v>
      </x:c>
      <x:c r="AB4953" t="str">
        <x:v>Campus=55; Ratio=21.5; Prodi=65; RelDemand=55.2; Capacity=5.0</x:v>
      </x:c>
    </x:row>
    <x:row r="4954">
      <x:c r="A4954" t="n">
        <x:v>4951</x:v>
      </x:c>
      <x:c r="B4954" t="str">
        <x:v>PTKIN</x:v>
      </x:c>
      <x:c r="C4954" t="str">
        <x:v>UIN SUNAN AMPEL SURABAYA</x:v>
      </x:c>
      <x:c r="D4954" t="str">
        <x:v>GIZI</x:v>
      </x:c>
      <x:c r="E4954" t="str">
        <x:v>Sarjana</x:v>
      </x:c>
      <x:c r="F4954" s="18" t="n">
        <x:v>81</x:v>
      </x:c>
      <x:c r="G4954" s="18" t="n">
        <x:v>294</x:v>
      </x:c>
      <x:c r="H4954" s="19" t="n">
        <x:v>3.6296296296296298</x:v>
      </x:c>
      <x:c r="I4954" s="18" t="n">
        <x:f>ROUND(MIN(Model_Config_v3!$B$6,MAX(Q4954,R4954,S4954*Model_Config_v3!$B$4+T4954*Model_Config_v3!$B$5)),0)</x:f>
        <x:v>637</x:v>
      </x:c>
      <x:c r="J4954" s="18" t="n">
        <x:f>MIN(Model_Config_v3!$B$6,I4954+Model_Config_v3!$B$7)</x:f>
        <x:v>657</x:v>
      </x:c>
      <x:c r="K4954" s="20" t="n">
        <x:v>50.4</x:v>
      </x:c>
      <x:c r="L4954" t="str">
        <x:v>MENENGAH</x:v>
      </x:c>
      <x:c r="M4954" t="str">
        <x:v>SEDANG+</x:v>
      </x:c>
      <x:c r="N4954" t="str">
        <x:v>REGULER</x:v>
      </x:c>
      <x:c r="O4954" t="str">
        <x:v>SAINTEK</x:v>
      </x:c>
      <x:c r="P4954" t="str">
        <x:v>KESEHAT/GIZI/KEPERAWATAN</x:v>
      </x:c>
      <x:c r="Q4954" s="18" t="n">
        <x:v>0</x:v>
      </x:c>
      <x:c r="R4954" s="18" t="n">
        <x:v>0</x:v>
      </x:c>
      <x:c r="S4954" s="18" t="n">
        <x:v>581.5848542686858</x:v>
      </x:c>
      <x:c r="T4954" s="18" t="n">
        <x:v>661</x:v>
      </x:c>
      <x:c r="U4954" s="18" t="n">
        <x:v>581.5848542686858</x:v>
      </x:c>
      <x:c r="V4954" s="20" t="n">
        <x:v>12</x:v>
      </x:c>
      <x:c r="W4954" s="20" t="n">
        <x:v>5</x:v>
      </x:c>
      <x:c r="X4954" s="20" t="n">
        <x:v>3</x:v>
      </x:c>
      <x:c r="Y4954" t="str">
        <x:v>Basis arsip 2025/2024</x:v>
      </x:c>
      <x:c r="Z4954" t="str">
        <x:v>https://snpmb.id/utbk-snbt/daya-tampung-snbt</x:v>
      </x:c>
      <x:c r="AA4954" t="str">
        <x:v>Tidak Ada</x:v>
      </x:c>
      <x:c r="AB4954" t="str">
        <x:v>Campus=55; Ratio=33.0; Prodi=55; RelDemand=86.6; Capacity=32.5</x:v>
      </x:c>
    </x:row>
    <x:row r="4955">
      <x:c r="A4955" t="n">
        <x:v>4952</x:v>
      </x:c>
      <x:c r="B4955" t="str">
        <x:v>PTKIN</x:v>
      </x:c>
      <x:c r="C4955" t="str">
        <x:v>UIN ANTASARI BANJARMASIN</x:v>
      </x:c>
      <x:c r="D4955" t="str">
        <x:v>TEKNOLOGI INFORMASI</x:v>
      </x:c>
      <x:c r="E4955" t="str">
        <x:v>Sarjana</x:v>
      </x:c>
      <x:c r="F4955" s="18" t="n">
        <x:v>45</x:v>
      </x:c>
      <x:c r="G4955" s="18" t="n">
        <x:v>73</x:v>
      </x:c>
      <x:c r="H4955" s="19" t="n">
        <x:v>1.6222222222222222</x:v>
      </x:c>
      <x:c r="I4955" s="18" t="n">
        <x:f>ROUND(MIN(Model_Config_v3!$B$6,MAX(Q4955,R4955,S4955*Model_Config_v3!$B$4+T4955*Model_Config_v3!$B$5)),0)</x:f>
        <x:v>620</x:v>
      </x:c>
      <x:c r="J4955" s="18" t="n">
        <x:f>MIN(Model_Config_v3!$B$6,I4955+Model_Config_v3!$B$7)</x:f>
        <x:v>640</x:v>
      </x:c>
      <x:c r="K4955" s="20" t="n">
        <x:v>46.6</x:v>
      </x:c>
      <x:c r="L4955" t="str">
        <x:v>MENENGAH</x:v>
      </x:c>
      <x:c r="M4955" t="str">
        <x:v>SEDANG</x:v>
      </x:c>
      <x:c r="N4955" t="str">
        <x:v>REGULER</x:v>
      </x:c>
      <x:c r="O4955" t="str">
        <x:v>SAINTEK</x:v>
      </x:c>
      <x:c r="P4955" t="str">
        <x:v>UMUM</x:v>
      </x:c>
      <x:c r="Q4955" s="18" t="n">
        <x:v>0</x:v>
      </x:c>
      <x:c r="R4955" s="18" t="n">
        <x:v>0</x:v>
      </x:c>
      <x:c r="S4955" s="18" t="n">
        <x:v>543.1121380979623</x:v>
      </x:c>
      <x:c r="T4955" s="18" t="n">
        <x:v>653</x:v>
      </x:c>
      <x:c r="U4955" s="18" t="n">
        <x:v>543.1121380979623</x:v>
      </x:c>
      <x:c r="V4955" s="20" t="n">
        <x:v>12</x:v>
      </x:c>
      <x:c r="W4955" s="20" t="n">
        <x:v>5</x:v>
      </x:c>
      <x:c r="X4955" s="20" t="n">
        <x:v>3</x:v>
      </x:c>
      <x:c r="Y4955" t="str">
        <x:v>Basis arsip 2025/2024</x:v>
      </x:c>
      <x:c r="Z4955" t="str">
        <x:v>https://snpmb.id/utbk-snbt/daya-tampung-snbt</x:v>
      </x:c>
      <x:c r="AA4955" t="str">
        <x:v>Tidak Ada</x:v>
      </x:c>
      <x:c r="AB4955" t="str">
        <x:v>Campus=55; Ratio=12.4; Prodi=40; RelDemand=100.0; Capacity=62.5</x:v>
      </x:c>
    </x:row>
    <x:row r="4956">
      <x:c r="A4956" t="n">
        <x:v>4953</x:v>
      </x:c>
      <x:c r="B4956" t="str">
        <x:v>PTKIN</x:v>
      </x:c>
      <x:c r="C4956" t="str">
        <x:v>UIN ANTASARI BANJARMASIN</x:v>
      </x:c>
      <x:c r="D4956" t="str">
        <x:v>BISNIS DIGITAL</x:v>
      </x:c>
      <x:c r="E4956" t="str">
        <x:v>Sarjana</x:v>
      </x:c>
      <x:c r="F4956" s="18" t="n">
        <x:v>30</x:v>
      </x:c>
      <x:c r="G4956" s="18"/>
      <x:c r="H4956" s="19" t="n">
        <x:v>0</x:v>
      </x:c>
      <x:c r="I4956" s="18" t="n">
        <x:f>ROUND(MIN(Model_Config_v3!$B$6,MAX(Q4956,R4956,S4956*Model_Config_v3!$B$4+T4956*Model_Config_v3!$B$5)),0)</x:f>
        <x:v>604</x:v>
      </x:c>
      <x:c r="J4956" s="18" t="n">
        <x:f>MIN(Model_Config_v3!$B$6,I4956+Model_Config_v3!$B$7)</x:f>
        <x:v>624</x:v>
      </x:c>
      <x:c r="K4956" s="20" t="n">
        <x:v>39.8</x:v>
      </x:c>
      <x:c r="L4956" t="str">
        <x:v>RELATIF LONGGAR</x:v>
      </x:c>
      <x:c r="M4956" t="str">
        <x:v>RENDAH</x:v>
      </x:c>
      <x:c r="N4956" t="str">
        <x:v>REGULER</x:v>
      </x:c>
      <x:c r="O4956" t="str">
        <x:v>SOSHUM</x:v>
      </x:c>
      <x:c r="P4956" t="str">
        <x:v>BISNIS/EKONOMI/AKUNTANSI</x:v>
      </x:c>
      <x:c r="Q4956" s="18" t="n">
        <x:v>0</x:v>
      </x:c>
      <x:c r="R4956" s="18" t="n">
        <x:v>0</x:v>
      </x:c>
      <x:c r="S4956" s="18" t="n">
        <x:v>520</x:v>
      </x:c>
      <x:c r="T4956" s="18" t="n">
        <x:v>640</x:v>
      </x:c>
      <x:c r="U4956" s="18" t="n">
        <x:v>535</x:v>
      </x:c>
      <x:c r="V4956" s="20" t="n">
        <x:v>4.4</x:v>
      </x:c>
      <x:c r="W4956" s="20" t="n">
        <x:v>14.3</x:v>
      </x:c>
      <x:c r="X4956" s="20" t="n">
        <x:v>3.3</x:v>
      </x:c>
      <x:c r="Y4956" t="str">
        <x:v>Basis arsip 2025/2024</x:v>
      </x:c>
      <x:c r="Z4956" t="str">
        <x:v>https://snpmb.id/utbk-snbt/daya-tampung-snbt</x:v>
      </x:c>
      <x:c r="AA4956" t="str">
        <x:v>Tidak Ada</x:v>
      </x:c>
      <x:c r="AB4956" t="str">
        <x:v>Campus=55; Ratio=0.0; Prodi=65; RelDemand=0.0; Capacity=75.0</x:v>
      </x:c>
    </x:row>
    <x:row r="4957">
      <x:c r="A4957" t="n">
        <x:v>4954</x:v>
      </x:c>
      <x:c r="B4957" t="str">
        <x:v>PTKIN</x:v>
      </x:c>
      <x:c r="C4957" t="str">
        <x:v>UIN ANTASARI BANJARMASIN</x:v>
      </x:c>
      <x:c r="D4957" t="str">
        <x:v>ILMU LINGKUNGAN</x:v>
      </x:c>
      <x:c r="E4957" t="str">
        <x:v>Sarjana</x:v>
      </x:c>
      <x:c r="F4957" s="18" t="n">
        <x:v>42</x:v>
      </x:c>
      <x:c r="G4957" s="18"/>
      <x:c r="H4957" s="19" t="n">
        <x:v>0</x:v>
      </x:c>
      <x:c r="I4957" s="18" t="n">
        <x:f>ROUND(MIN(Model_Config_v3!$B$6,MAX(Q4957,R4957,S4957*Model_Config_v3!$B$4+T4957*Model_Config_v3!$B$5)),0)</x:f>
        <x:v>596</x:v>
      </x:c>
      <x:c r="J4957" s="18" t="n">
        <x:f>MIN(Model_Config_v3!$B$6,I4957+Model_Config_v3!$B$7)</x:f>
        <x:v>616</x:v>
      </x:c>
      <x:c r="K4957" s="20" t="n">
        <x:v>33.8</x:v>
      </x:c>
      <x:c r="L4957" t="str">
        <x:v>RELATIF LONGGAR</x:v>
      </x:c>
      <x:c r="M4957" t="str">
        <x:v>RENDAH</x:v>
      </x:c>
      <x:c r="N4957" t="str">
        <x:v>REGULER</x:v>
      </x:c>
      <x:c r="O4957" t="str">
        <x:v>CAMPURAN</x:v>
      </x:c>
      <x:c r="P4957" t="str">
        <x:v>UMUM</x:v>
      </x:c>
      <x:c r="Q4957" s="18" t="n">
        <x:v>0</x:v>
      </x:c>
      <x:c r="R4957" s="18" t="n">
        <x:v>0</x:v>
      </x:c>
      <x:c r="S4957" s="18" t="n">
        <x:v>520</x:v>
      </x:c>
      <x:c r="T4957" s="18" t="n">
        <x:v>628</x:v>
      </x:c>
      <x:c r="U4957" s="18" t="n">
        <x:v>520</x:v>
      </x:c>
      <x:c r="V4957" s="20" t="n">
        <x:v>8.8</x:v>
      </x:c>
      <x:c r="W4957" s="20" t="n">
        <x:v>9.9</x:v>
      </x:c>
      <x:c r="X4957" s="20" t="n">
        <x:v>3.3</x:v>
      </x:c>
      <x:c r="Y4957" t="str">
        <x:v>Basis arsip 2025/2024</x:v>
      </x:c>
      <x:c r="Z4957" t="str">
        <x:v>https://snpmb.id/utbk-snbt/daya-tampung-snbt</x:v>
      </x:c>
      <x:c r="AA4957" t="str">
        <x:v>Tidak Ada</x:v>
      </x:c>
      <x:c r="AB4957" t="str">
        <x:v>Campus=55; Ratio=0.0; Prodi=40; RelDemand=0.0; Capacity=65.0</x:v>
      </x:c>
    </x:row>
    <x:row r="4958">
      <x:c r="A4958" t="n">
        <x:v>4955</x:v>
      </x:c>
      <x:c r="B4958" t="str">
        <x:v>PTKIN</x:v>
      </x:c>
      <x:c r="C4958" t="str">
        <x:v>UIN SULTAN AJI MUHAMMAD IDRIS SAMARINDA</x:v>
      </x:c>
      <x:c r="D4958" t="str">
        <x:v>SISTEM INFORMASI</x:v>
      </x:c>
      <x:c r="E4958" t="str">
        <x:v>Sarjana</x:v>
      </x:c>
      <x:c r="F4958" s="18" t="n">
        <x:v>32</x:v>
      </x:c>
      <x:c r="G4958" s="18" t="n">
        <x:v>25</x:v>
      </x:c>
      <x:c r="H4958" s="19" t="n">
        <x:v>0.78125</x:v>
      </x:c>
      <x:c r="I4958" s="18" t="n">
        <x:f>ROUND(MIN(Model_Config_v3!$B$6,MAX(Q4958,R4958,S4958*Model_Config_v3!$B$4+T4958*Model_Config_v3!$B$5)),0)</x:f>
        <x:v>616</x:v>
      </x:c>
      <x:c r="J4958" s="18" t="n">
        <x:f>MIN(Model_Config_v3!$B$6,I4958+Model_Config_v3!$B$7)</x:f>
        <x:v>636</x:v>
      </x:c>
      <x:c r="K4958" s="20" t="n">
        <x:v>48.6</x:v>
      </x:c>
      <x:c r="L4958" t="str">
        <x:v>MENENGAH</x:v>
      </x:c>
      <x:c r="M4958" t="str">
        <x:v>SEDANG+</x:v>
      </x:c>
      <x:c r="N4958" t="str">
        <x:v>REGULER</x:v>
      </x:c>
      <x:c r="O4958" t="str">
        <x:v>CAMPURAN</x:v>
      </x:c>
      <x:c r="P4958" t="str">
        <x:v>KOMPUTER/INFORMATIKA</x:v>
      </x:c>
      <x:c r="Q4958" s="18" t="n">
        <x:v>0</x:v>
      </x:c>
      <x:c r="R4958" s="18" t="n">
        <x:v>0</x:v>
      </x:c>
      <x:c r="S4958" s="18" t="n">
        <x:v>520</x:v>
      </x:c>
      <x:c r="T4958" s="18" t="n">
        <x:v>657</x:v>
      </x:c>
      <x:c r="U4958" s="18" t="n">
        <x:v>545</x:v>
      </x:c>
      <x:c r="V4958" s="20" t="n">
        <x:v>8.8</x:v>
      </x:c>
      <x:c r="W4958" s="20" t="n">
        <x:v>9.9</x:v>
      </x:c>
      <x:c r="X4958" s="20" t="n">
        <x:v>3.3</x:v>
      </x:c>
      <x:c r="Y4958" t="str">
        <x:v>Basis arsip 2025/2024</x:v>
      </x:c>
      <x:c r="Z4958" t="str">
        <x:v>https://snpmb.id/utbk-snbt/daya-tampung-snbt</x:v>
      </x:c>
      <x:c r="AA4958" t="str">
        <x:v>Tidak Ada</x:v>
      </x:c>
      <x:c r="AB4958" t="str">
        <x:v>Campus=55; Ratio=0.0; Prodi=85; RelDemand=50.0; Capacity=73.3</x:v>
      </x:c>
    </x:row>
    <x:row r="4959">
      <x:c r="A4959" t="n">
        <x:v>4956</x:v>
      </x:c>
      <x:c r="B4959" t="str">
        <x:v>PTKIN</x:v>
      </x:c>
      <x:c r="C4959" t="str">
        <x:v>UIN MATARAM</x:v>
      </x:c>
      <x:c r="D4959" t="str">
        <x:v>HUKUM BISNIS</x:v>
      </x:c>
      <x:c r="E4959" t="str">
        <x:v>Sarjana</x:v>
      </x:c>
      <x:c r="F4959" s="18" t="n">
        <x:v>28</x:v>
      </x:c>
      <x:c r="G4959" s="18" t="n">
        <x:v>58</x:v>
      </x:c>
      <x:c r="H4959" s="19" t="n">
        <x:v>2.0714285714285716</x:v>
      </x:c>
      <x:c r="I4959" s="18" t="n">
        <x:f>ROUND(MIN(Model_Config_v3!$B$6,MAX(Q4959,R4959,S4959*Model_Config_v3!$B$4+T4959*Model_Config_v3!$B$5)),0)</x:f>
        <x:v>631</x:v>
      </x:c>
      <x:c r="J4959" s="18" t="n">
        <x:f>MIN(Model_Config_v3!$B$6,I4959+Model_Config_v3!$B$7)</x:f>
        <x:v>651</x:v>
      </x:c>
      <x:c r="K4959" s="20" t="n">
        <x:v>52.2</x:v>
      </x:c>
      <x:c r="L4959" t="str">
        <x:v>MENENGAH</x:v>
      </x:c>
      <x:c r="M4959" t="str">
        <x:v>SEDANG+</x:v>
      </x:c>
      <x:c r="N4959" t="str">
        <x:v>REGULER</x:v>
      </x:c>
      <x:c r="O4959" t="str">
        <x:v>SOSHUM</x:v>
      </x:c>
      <x:c r="P4959" t="str">
        <x:v>HUKUM</x:v>
      </x:c>
      <x:c r="Q4959" s="18" t="n">
        <x:v>0</x:v>
      </x:c>
      <x:c r="R4959" s="18" t="n">
        <x:v>0</x:v>
      </x:c>
      <x:c r="S4959" s="18" t="n">
        <x:v>554.789695844279</x:v>
      </x:c>
      <x:c r="T4959" s="18" t="n">
        <x:v>664</x:v>
      </x:c>
      <x:c r="U4959" s="18" t="n">
        <x:v>569.789695844279</x:v>
      </x:c>
      <x:c r="V4959" s="20" t="n">
        <x:v>4.4</x:v>
      </x:c>
      <x:c r="W4959" s="20" t="n">
        <x:v>14.3</x:v>
      </x:c>
      <x:c r="X4959" s="20" t="n">
        <x:v>3.3</x:v>
      </x:c>
      <x:c r="Y4959" t="str">
        <x:v>Basis arsip 2025/2024</x:v>
      </x:c>
      <x:c r="Z4959" t="str">
        <x:v>https://snpmb.id/utbk-snbt/daya-tampung-snbt</x:v>
      </x:c>
      <x:c r="AA4959" t="str">
        <x:v>Tidak Ada</x:v>
      </x:c>
      <x:c r="AB4959" t="str">
        <x:v>Campus=55; Ratio=18.6; Prodi=65; RelDemand=76.3; Capacity=76.7</x:v>
      </x:c>
    </x:row>
    <x:row r="4960">
      <x:c r="A4960" t="n">
        <x:v>4957</x:v>
      </x:c>
      <x:c r="B4960" t="str">
        <x:v>PTKIN</x:v>
      </x:c>
      <x:c r="C4960" t="str">
        <x:v>UIN MATARAM</x:v>
      </x:c>
      <x:c r="D4960" t="str">
        <x:v>KEWIRAUSAHAAN</x:v>
      </x:c>
      <x:c r="E4960" t="str">
        <x:v>Sarjana</x:v>
      </x:c>
      <x:c r="F4960" s="18" t="n">
        <x:v>24</x:v>
      </x:c>
      <x:c r="G4960" s="18" t="n">
        <x:v>48</x:v>
      </x:c>
      <x:c r="H4960" s="19" t="n">
        <x:v>2</x:v>
      </x:c>
      <x:c r="I4960" s="18" t="n">
        <x:f>ROUND(MIN(Model_Config_v3!$B$6,MAX(Q4960,R4960,S4960*Model_Config_v3!$B$4+T4960*Model_Config_v3!$B$5)),0)</x:f>
        <x:v>624</x:v>
      </x:c>
      <x:c r="J4960" s="18" t="n">
        <x:f>MIN(Model_Config_v3!$B$6,I4960+Model_Config_v3!$B$7)</x:f>
        <x:v>644</x:v>
      </x:c>
      <x:c r="K4960" s="20" t="n">
        <x:v>47</x:v>
      </x:c>
      <x:c r="L4960" t="str">
        <x:v>MENENGAH</x:v>
      </x:c>
      <x:c r="M4960" t="str">
        <x:v>SEDANG</x:v>
      </x:c>
      <x:c r="N4960" t="str">
        <x:v>REGULER</x:v>
      </x:c>
      <x:c r="O4960" t="str">
        <x:v>CAMPURAN</x:v>
      </x:c>
      <x:c r="P4960" t="str">
        <x:v>UMUM</x:v>
      </x:c>
      <x:c r="Q4960" s="18" t="n">
        <x:v>0</x:v>
      </x:c>
      <x:c r="R4960" s="18" t="n">
        <x:v>0</x:v>
      </x:c>
      <x:c r="S4960" s="18" t="n">
        <x:v>553.1132995230379</x:v>
      </x:c>
      <x:c r="T4960" s="18" t="n">
        <x:v>654</x:v>
      </x:c>
      <x:c r="U4960" s="18" t="n">
        <x:v>553.1132995230379</x:v>
      </x:c>
      <x:c r="V4960" s="20" t="n">
        <x:v>8.8</x:v>
      </x:c>
      <x:c r="W4960" s="20" t="n">
        <x:v>9.9</x:v>
      </x:c>
      <x:c r="X4960" s="20" t="n">
        <x:v>3.3</x:v>
      </x:c>
      <x:c r="Y4960" t="str">
        <x:v>Basis arsip 2025/2024</x:v>
      </x:c>
      <x:c r="Z4960" t="str">
        <x:v>https://snpmb.id/utbk-snbt/daya-tampung-snbt</x:v>
      </x:c>
      <x:c r="AA4960" t="str">
        <x:v>Tidak Ada</x:v>
      </x:c>
      <x:c r="AB4960" t="str">
        <x:v>Campus=55; Ratio=17.7; Prodi=40; RelDemand=73.7; Capacity=80.0</x:v>
      </x:c>
    </x:row>
    <x:row r="4961">
      <x:c r="A4961" t="n">
        <x:v>4958</x:v>
      </x:c>
      <x:c r="B4961" t="str">
        <x:v>PTKIN</x:v>
      </x:c>
      <x:c r="C4961" t="str">
        <x:v>UIN MATARAM</x:v>
      </x:c>
      <x:c r="D4961" t="str">
        <x:v>TEKNOLOGI INFORMASI</x:v>
      </x:c>
      <x:c r="E4961" t="str">
        <x:v>Sarjana</x:v>
      </x:c>
      <x:c r="F4961" s="18" t="n">
        <x:v>24</x:v>
      </x:c>
      <x:c r="G4961" s="18"/>
      <x:c r="H4961" s="19" t="n">
        <x:v>0</x:v>
      </x:c>
      <x:c r="I4961" s="18" t="n">
        <x:f>ROUND(MIN(Model_Config_v3!$B$6,MAX(Q4961,R4961,S4961*Model_Config_v3!$B$4+T4961*Model_Config_v3!$B$5)),0)</x:f>
        <x:v>597</x:v>
      </x:c>
      <x:c r="J4961" s="18" t="n">
        <x:f>MIN(Model_Config_v3!$B$6,I4961+Model_Config_v3!$B$7)</x:f>
        <x:v>617</x:v>
      </x:c>
      <x:c r="K4961" s="20" t="n">
        <x:v>35.2</x:v>
      </x:c>
      <x:c r="L4961" t="str">
        <x:v>RELATIF LONGGAR</x:v>
      </x:c>
      <x:c r="M4961" t="str">
        <x:v>RENDAH</x:v>
      </x:c>
      <x:c r="N4961" t="str">
        <x:v>REGULER</x:v>
      </x:c>
      <x:c r="O4961" t="str">
        <x:v>SAINTEK</x:v>
      </x:c>
      <x:c r="P4961" t="str">
        <x:v>UMUM</x:v>
      </x:c>
      <x:c r="Q4961" s="18" t="n">
        <x:v>0</x:v>
      </x:c>
      <x:c r="R4961" s="18" t="n">
        <x:v>0</x:v>
      </x:c>
      <x:c r="S4961" s="18" t="n">
        <x:v>520</x:v>
      </x:c>
      <x:c r="T4961" s="18" t="n">
        <x:v>630</x:v>
      </x:c>
      <x:c r="U4961" s="18" t="n">
        <x:v>520</x:v>
      </x:c>
      <x:c r="V4961" s="20" t="n">
        <x:v>12</x:v>
      </x:c>
      <x:c r="W4961" s="20" t="n">
        <x:v>5</x:v>
      </x:c>
      <x:c r="X4961" s="20" t="n">
        <x:v>3</x:v>
      </x:c>
      <x:c r="Y4961" t="str">
        <x:v>Basis arsip 2025/2024</x:v>
      </x:c>
      <x:c r="Z4961" t="str">
        <x:v>https://snpmb.id/utbk-snbt/daya-tampung-snbt</x:v>
      </x:c>
      <x:c r="AA4961" t="str">
        <x:v>Tidak Ada</x:v>
      </x:c>
      <x:c r="AB4961" t="str">
        <x:v>Campus=55; Ratio=0.0; Prodi=40; RelDemand=0.0; Capacity=80.0</x:v>
      </x:c>
    </x:row>
    <x:row r="4962">
      <x:c r="A4962" t="n">
        <x:v>4959</x:v>
      </x:c>
      <x:c r="B4962" t="str">
        <x:v>PTKIN</x:v>
      </x:c>
      <x:c r="C4962" t="str">
        <x:v>UIN ALAUDDIN</x:v>
      </x:c>
      <x:c r="D4962" t="str">
        <x:v>MATEMATIKA</x:v>
      </x:c>
      <x:c r="E4962" t="str">
        <x:v>Sarjana</x:v>
      </x:c>
      <x:c r="F4962" s="18" t="n">
        <x:v>42</x:v>
      </x:c>
      <x:c r="G4962" s="18" t="n">
        <x:v>17</x:v>
      </x:c>
      <x:c r="H4962" s="19" t="n">
        <x:v>0.40476190476190477</x:v>
      </x:c>
      <x:c r="I4962" s="18" t="n">
        <x:f>ROUND(MIN(Model_Config_v3!$B$6,MAX(Q4962,R4962,S4962*Model_Config_v3!$B$4+T4962*Model_Config_v3!$B$5)),0)</x:f>
        <x:v>599</x:v>
      </x:c>
      <x:c r="J4962" s="18" t="n">
        <x:f>MIN(Model_Config_v3!$B$6,I4962+Model_Config_v3!$B$7)</x:f>
        <x:v>619</x:v>
      </x:c>
      <x:c r="K4962" s="20" t="n">
        <x:v>36.4</x:v>
      </x:c>
      <x:c r="L4962" t="str">
        <x:v>RELATIF LONGGAR</x:v>
      </x:c>
      <x:c r="M4962" t="str">
        <x:v>SEDANG+</x:v>
      </x:c>
      <x:c r="N4962" t="str">
        <x:v>REGULER</x:v>
      </x:c>
      <x:c r="O4962" t="str">
        <x:v>SAINTEK</x:v>
      </x:c>
      <x:c r="P4962" t="str">
        <x:v>SAINS DASAR</x:v>
      </x:c>
      <x:c r="Q4962" s="18" t="n">
        <x:v>0</x:v>
      </x:c>
      <x:c r="R4962" s="18" t="n">
        <x:v>0</x:v>
      </x:c>
      <x:c r="S4962" s="18" t="n">
        <x:v>520</x:v>
      </x:c>
      <x:c r="T4962" s="18" t="n">
        <x:v>633</x:v>
      </x:c>
      <x:c r="U4962" s="18" t="n">
        <x:v>520</x:v>
      </x:c>
      <x:c r="V4962" s="20" t="n">
        <x:v>12</x:v>
      </x:c>
      <x:c r="W4962" s="20" t="n">
        <x:v>5</x:v>
      </x:c>
      <x:c r="X4962" s="20" t="n">
        <x:v>3</x:v>
      </x:c>
      <x:c r="Y4962" t="str">
        <x:v>Basis arsip 2025/2024</x:v>
      </x:c>
      <x:c r="Z4962" t="str">
        <x:v>https://snpmb.id/utbk-snbt/daya-tampung-snbt</x:v>
      </x:c>
      <x:c r="AA4962" t="str">
        <x:v>Tidak Ada</x:v>
      </x:c>
      <x:c r="AB4962" t="str">
        <x:v>Campus=55; Ratio=0.0; Prodi=50; RelDemand=6.6; Capacity=65.0</x:v>
      </x:c>
    </x:row>
    <x:row r="4963">
      <x:c r="A4963" t="n">
        <x:v>4960</x:v>
      </x:c>
      <x:c r="B4963" t="str">
        <x:v>PTKIN</x:v>
      </x:c>
      <x:c r="C4963" t="str">
        <x:v>UIN ALAUDDIN</x:v>
      </x:c>
      <x:c r="D4963" t="str">
        <x:v>KIMIA</x:v>
      </x:c>
      <x:c r="E4963" t="str">
        <x:v>Sarjana</x:v>
      </x:c>
      <x:c r="F4963" s="18" t="n">
        <x:v>42</x:v>
      </x:c>
      <x:c r="G4963" s="18" t="n">
        <x:v>25</x:v>
      </x:c>
      <x:c r="H4963" s="19" t="n">
        <x:v>0.5952380952380952</x:v>
      </x:c>
      <x:c r="I4963" s="18" t="n">
        <x:f>ROUND(MIN(Model_Config_v3!$B$6,MAX(Q4963,R4963,S4963*Model_Config_v3!$B$4+T4963*Model_Config_v3!$B$5)),0)</x:f>
        <x:v>599</x:v>
      </x:c>
      <x:c r="J4963" s="18" t="n">
        <x:f>MIN(Model_Config_v3!$B$6,I4963+Model_Config_v3!$B$7)</x:f>
        <x:v>619</x:v>
      </x:c>
      <x:c r="K4963" s="20" t="n">
        <x:v>36.7</x:v>
      </x:c>
      <x:c r="L4963" t="str">
        <x:v>RELATIF LONGGAR</x:v>
      </x:c>
      <x:c r="M4963" t="str">
        <x:v>SEDANG+</x:v>
      </x:c>
      <x:c r="N4963" t="str">
        <x:v>REGULER</x:v>
      </x:c>
      <x:c r="O4963" t="str">
        <x:v>SAINTEK</x:v>
      </x:c>
      <x:c r="P4963" t="str">
        <x:v>SAINS DASAR</x:v>
      </x:c>
      <x:c r="Q4963" s="18" t="n">
        <x:v>0</x:v>
      </x:c>
      <x:c r="R4963" s="18" t="n">
        <x:v>0</x:v>
      </x:c>
      <x:c r="S4963" s="18" t="n">
        <x:v>520</x:v>
      </x:c>
      <x:c r="T4963" s="18" t="n">
        <x:v>633</x:v>
      </x:c>
      <x:c r="U4963" s="18" t="n">
        <x:v>520</x:v>
      </x:c>
      <x:c r="V4963" s="20" t="n">
        <x:v>12</x:v>
      </x:c>
      <x:c r="W4963" s="20" t="n">
        <x:v>5</x:v>
      </x:c>
      <x:c r="X4963" s="20" t="n">
        <x:v>3</x:v>
      </x:c>
      <x:c r="Y4963" t="str">
        <x:v>Basis arsip 2025/2024</x:v>
      </x:c>
      <x:c r="Z4963" t="str">
        <x:v>https://snpmb.id/utbk-snbt/daya-tampung-snbt</x:v>
      </x:c>
      <x:c r="AA4963" t="str">
        <x:v>Tidak Ada</x:v>
      </x:c>
      <x:c r="AB4963" t="str">
        <x:v>Campus=55; Ratio=0.0; Prodi=50; RelDemand=9.7; Capacity=65.0</x:v>
      </x:c>
    </x:row>
    <x:row r="4964">
      <x:c r="A4964" t="n">
        <x:v>4961</x:v>
      </x:c>
      <x:c r="B4964" t="str">
        <x:v>PTKIN</x:v>
      </x:c>
      <x:c r="C4964" t="str">
        <x:v>UIN ALAUDDIN</x:v>
      </x:c>
      <x:c r="D4964" t="str">
        <x:v>TEKNIK PERENCANAAN WILAYAH DAN KOTA</x:v>
      </x:c>
      <x:c r="E4964" t="str">
        <x:v>Sarjana</x:v>
      </x:c>
      <x:c r="F4964" s="18" t="n">
        <x:v>52</x:v>
      </x:c>
      <x:c r="G4964" s="18" t="n">
        <x:v>93</x:v>
      </x:c>
      <x:c r="H4964" s="19" t="n">
        <x:v>1.7884615384615385</x:v>
      </x:c>
      <x:c r="I4964" s="18" t="n">
        <x:f>ROUND(MIN(Model_Config_v3!$B$6,MAX(Q4964,R4964,S4964*Model_Config_v3!$B$4+T4964*Model_Config_v3!$B$5)),0)</x:f>
        <x:v>617</x:v>
      </x:c>
      <x:c r="J4964" s="18" t="n">
        <x:f>MIN(Model_Config_v3!$B$6,I4964+Model_Config_v3!$B$7)</x:f>
        <x:v>637</x:v>
      </x:c>
      <x:c r="K4964" s="20" t="n">
        <x:v>43.5</x:v>
      </x:c>
      <x:c r="L4964" t="str">
        <x:v>RELATIF LONGGAR</x:v>
      </x:c>
      <x:c r="M4964" t="str">
        <x:v>SEDANG+</x:v>
      </x:c>
      <x:c r="N4964" t="str">
        <x:v>REGULER</x:v>
      </x:c>
      <x:c r="O4964" t="str">
        <x:v>SAINTEK</x:v>
      </x:c>
      <x:c r="P4964" t="str">
        <x:v>TEKNIK/ARSITEKTUR/STATISTIKA/AKTUARIA</x:v>
      </x:c>
      <x:c r="Q4964" s="18" t="n">
        <x:v>0</x:v>
      </x:c>
      <x:c r="R4964" s="18" t="n">
        <x:v>0</x:v>
      </x:c>
      <x:c r="S4964" s="18" t="n">
        <x:v>547.772756541105</x:v>
      </x:c>
      <x:c r="T4964" s="18" t="n">
        <x:v>647</x:v>
      </x:c>
      <x:c r="U4964" s="18" t="n">
        <x:v>557.772756541105</x:v>
      </x:c>
      <x:c r="V4964" s="20" t="n">
        <x:v>12</x:v>
      </x:c>
      <x:c r="W4964" s="20" t="n">
        <x:v>5</x:v>
      </x:c>
      <x:c r="X4964" s="20" t="n">
        <x:v>3</x:v>
      </x:c>
      <x:c r="Y4964" t="str">
        <x:v>Basis arsip 2025/2024</x:v>
      </x:c>
      <x:c r="Z4964" t="str">
        <x:v>https://snpmb.id/utbk-snbt/daya-tampung-snbt</x:v>
      </x:c>
      <x:c r="AA4964" t="str">
        <x:v>Tidak Ada</x:v>
      </x:c>
      <x:c r="AB4964" t="str">
        <x:v>Campus=55; Ratio=14.9; Prodi=60; RelDemand=29.1; Capacity=56.7</x:v>
      </x:c>
    </x:row>
    <x:row r="4965">
      <x:c r="A4965" t="n">
        <x:v>4962</x:v>
      </x:c>
      <x:c r="B4965" t="str">
        <x:v>PTKIN</x:v>
      </x:c>
      <x:c r="C4965" t="str">
        <x:v>UIN ALAUDDIN</x:v>
      </x:c>
      <x:c r="D4965" t="str">
        <x:v>TEKNIK ARSITEKTUR</x:v>
      </x:c>
      <x:c r="E4965" t="str">
        <x:v>Sarjana</x:v>
      </x:c>
      <x:c r="F4965" s="18" t="n">
        <x:v>60</x:v>
      </x:c>
      <x:c r="G4965" s="18" t="n">
        <x:v>67</x:v>
      </x:c>
      <x:c r="H4965" s="19" t="n">
        <x:v>1.1166666666666667</x:v>
      </x:c>
      <x:c r="I4965" s="18" t="n">
        <x:f>ROUND(MIN(Model_Config_v3!$B$6,MAX(Q4965,R4965,S4965*Model_Config_v3!$B$4+T4965*Model_Config_v3!$B$5)),0)</x:f>
        <x:v>604</x:v>
      </x:c>
      <x:c r="J4965" s="18" t="n">
        <x:f>MIN(Model_Config_v3!$B$6,I4965+Model_Config_v3!$B$7)</x:f>
        <x:v>624</x:v>
      </x:c>
      <x:c r="K4965" s="20" t="n">
        <x:v>38.8</x:v>
      </x:c>
      <x:c r="L4965" t="str">
        <x:v>RELATIF LONGGAR</x:v>
      </x:c>
      <x:c r="M4965" t="str">
        <x:v>SEDANG+</x:v>
      </x:c>
      <x:c r="N4965" t="str">
        <x:v>REGULER</x:v>
      </x:c>
      <x:c r="O4965" t="str">
        <x:v>SAINTEK</x:v>
      </x:c>
      <x:c r="P4965" t="str">
        <x:v>TEKNIK/ARSITEKTUR/STATISTIKA/AKTUARIA</x:v>
      </x:c>
      <x:c r="Q4965" s="18" t="n">
        <x:v>0</x:v>
      </x:c>
      <x:c r="R4965" s="18" t="n">
        <x:v>0</x:v>
      </x:c>
      <x:c r="S4965" s="18" t="n">
        <x:v>525.2715907548901</x:v>
      </x:c>
      <x:c r="T4965" s="18" t="n">
        <x:v>638</x:v>
      </x:c>
      <x:c r="U4965" s="18" t="n">
        <x:v>535.2715907548901</x:v>
      </x:c>
      <x:c r="V4965" s="20" t="n">
        <x:v>12</x:v>
      </x:c>
      <x:c r="W4965" s="20" t="n">
        <x:v>5</x:v>
      </x:c>
      <x:c r="X4965" s="20" t="n">
        <x:v>3</x:v>
      </x:c>
      <x:c r="Y4965" t="str">
        <x:v>Basis arsip 2025/2024</x:v>
      </x:c>
      <x:c r="Z4965" t="str">
        <x:v>https://snpmb.id/utbk-snbt/daya-tampung-snbt</x:v>
      </x:c>
      <x:c r="AA4965" t="str">
        <x:v>Tidak Ada</x:v>
      </x:c>
      <x:c r="AB4965" t="str">
        <x:v>Campus=55; Ratio=2.8; Prodi=60; RelDemand=18.1; Capacity=50.0</x:v>
      </x:c>
    </x:row>
    <x:row r="4966">
      <x:c r="A4966" t="n">
        <x:v>4963</x:v>
      </x:c>
      <x:c r="B4966" t="str">
        <x:v>PTKIN</x:v>
      </x:c>
      <x:c r="C4966" t="str">
        <x:v>UIN ALAUDDIN</x:v>
      </x:c>
      <x:c r="D4966" t="str">
        <x:v>ILMU PETERNAKAN</x:v>
      </x:c>
      <x:c r="E4966" t="str">
        <x:v>Sarjana</x:v>
      </x:c>
      <x:c r="F4966" s="18" t="n">
        <x:v>42</x:v>
      </x:c>
      <x:c r="G4966" s="18" t="n">
        <x:v>21</x:v>
      </x:c>
      <x:c r="H4966" s="19" t="n">
        <x:v>0.5</x:v>
      </x:c>
      <x:c r="I4966" s="18" t="n">
        <x:f>ROUND(MIN(Model_Config_v3!$B$6,MAX(Q4966,R4966,S4966*Model_Config_v3!$B$4+T4966*Model_Config_v3!$B$5)),0)</x:f>
        <x:v>596</x:v>
      </x:c>
      <x:c r="J4966" s="18" t="n">
        <x:f>MIN(Model_Config_v3!$B$6,I4966+Model_Config_v3!$B$7)</x:f>
        <x:v>616</x:v>
      </x:c>
      <x:c r="K4966" s="20" t="n">
        <x:v>34.6</x:v>
      </x:c>
      <x:c r="L4966" t="str">
        <x:v>RELATIF LONGGAR</x:v>
      </x:c>
      <x:c r="M4966" t="str">
        <x:v>SEDANG</x:v>
      </x:c>
      <x:c r="N4966" t="str">
        <x:v>REGULER</x:v>
      </x:c>
      <x:c r="O4966" t="str">
        <x:v>SAINTEK</x:v>
      </x:c>
      <x:c r="P4966" t="str">
        <x:v>UMUM</x:v>
      </x:c>
      <x:c r="Q4966" s="18" t="n">
        <x:v>0</x:v>
      </x:c>
      <x:c r="R4966" s="18" t="n">
        <x:v>0</x:v>
      </x:c>
      <x:c r="S4966" s="18" t="n">
        <x:v>520</x:v>
      </x:c>
      <x:c r="T4966" s="18" t="n">
        <x:v>629</x:v>
      </x:c>
      <x:c r="U4966" s="18" t="n">
        <x:v>520</x:v>
      </x:c>
      <x:c r="V4966" s="20" t="n">
        <x:v>12</x:v>
      </x:c>
      <x:c r="W4966" s="20" t="n">
        <x:v>5</x:v>
      </x:c>
      <x:c r="X4966" s="20" t="n">
        <x:v>3</x:v>
      </x:c>
      <x:c r="Y4966" t="str">
        <x:v>Basis arsip 2025/2024</x:v>
      </x:c>
      <x:c r="Z4966" t="str">
        <x:v>https://snpmb.id/utbk-snbt/daya-tampung-snbt</x:v>
      </x:c>
      <x:c r="AA4966" t="str">
        <x:v>Tidak Ada</x:v>
      </x:c>
      <x:c r="AB4966" t="str">
        <x:v>Campus=55; Ratio=0.0; Prodi=40; RelDemand=8.1; Capacity=65.0</x:v>
      </x:c>
    </x:row>
    <x:row r="4967">
      <x:c r="A4967" t="n">
        <x:v>4964</x:v>
      </x:c>
      <x:c r="B4967" t="str">
        <x:v>PTKIN</x:v>
      </x:c>
      <x:c r="C4967" t="str">
        <x:v>UIN ALAUDDIN</x:v>
      </x:c>
      <x:c r="D4967" t="str">
        <x:v>SISTEM INFORMASI</x:v>
      </x:c>
      <x:c r="E4967" t="str">
        <x:v>Sarjana</x:v>
      </x:c>
      <x:c r="F4967" s="18" t="n">
        <x:v>52</x:v>
      </x:c>
      <x:c r="G4967" s="18" t="n">
        <x:v>184</x:v>
      </x:c>
      <x:c r="H4967" s="19" t="n">
        <x:v>3.5384615384615383</x:v>
      </x:c>
      <x:c r="I4967" s="18" t="n">
        <x:f>ROUND(MIN(Model_Config_v3!$B$6,MAX(Q4967,R4967,S4967*Model_Config_v3!$B$4+T4967*Model_Config_v3!$B$5)),0)</x:f>
        <x:v>644</x:v>
      </x:c>
      <x:c r="J4967" s="18" t="n">
        <x:f>MIN(Model_Config_v3!$B$6,I4967+Model_Config_v3!$B$7)</x:f>
        <x:v>664</x:v>
      </x:c>
      <x:c r="K4967" s="20" t="n">
        <x:v>55.7</x:v>
      </x:c>
      <x:c r="L4967" t="str">
        <x:v>KETAT</x:v>
      </x:c>
      <x:c r="M4967" t="str">
        <x:v>SEDANG+</x:v>
      </x:c>
      <x:c r="N4967" t="str">
        <x:v>REGULER</x:v>
      </x:c>
      <x:c r="O4967" t="str">
        <x:v>CAMPURAN</x:v>
      </x:c>
      <x:c r="P4967" t="str">
        <x:v>KOMPUTER/INFORMATIKA</x:v>
      </x:c>
      <x:c r="Q4967" s="18" t="n">
        <x:v>0</x:v>
      </x:c>
      <x:c r="R4967" s="18" t="n">
        <x:v>0</x:v>
      </x:c>
      <x:c r="S4967" s="18" t="n">
        <x:v>580.3695927312211</x:v>
      </x:c>
      <x:c r="T4967" s="18" t="n">
        <x:v>671</x:v>
      </x:c>
      <x:c r="U4967" s="18" t="n">
        <x:v>605.3695927312211</x:v>
      </x:c>
      <x:c r="V4967" s="20" t="n">
        <x:v>8.8</x:v>
      </x:c>
      <x:c r="W4967" s="20" t="n">
        <x:v>9.9</x:v>
      </x:c>
      <x:c r="X4967" s="20" t="n">
        <x:v>3.3</x:v>
      </x:c>
      <x:c r="Y4967" t="str">
        <x:v>Basis arsip 2025/2024</x:v>
      </x:c>
      <x:c r="Z4967" t="str">
        <x:v>https://snpmb.id/utbk-snbt/daya-tampung-snbt</x:v>
      </x:c>
      <x:c r="AA4967" t="str">
        <x:v>Tidak Ada</x:v>
      </x:c>
      <x:c r="AB4967" t="str">
        <x:v>Campus=55; Ratio=32.3; Prodi=85; RelDemand=57.5; Capacity=56.7</x:v>
      </x:c>
    </x:row>
    <x:row r="4968">
      <x:c r="A4968" t="n">
        <x:v>4965</x:v>
      </x:c>
      <x:c r="B4968" t="str">
        <x:v>PTKIN</x:v>
      </x:c>
      <x:c r="C4968" t="str">
        <x:v>UIN ALAUDDIN</x:v>
      </x:c>
      <x:c r="D4968" t="str">
        <x:v>PENDIDIKAN DOKTER</x:v>
      </x:c>
      <x:c r="E4968" t="str">
        <x:v>Sarjana</x:v>
      </x:c>
      <x:c r="F4968" s="18" t="n">
        <x:v>34</x:v>
      </x:c>
      <x:c r="G4968" s="18" t="n">
        <x:v>896</x:v>
      </x:c>
      <x:c r="H4968" s="19" t="n">
        <x:v>26.352941176470587</x:v>
      </x:c>
      <x:c r="I4968" s="18" t="n">
        <x:f>ROUND(MIN(Model_Config_v3!$B$6,MAX(Q4968,R4968,S4968*Model_Config_v3!$B$4+T4968*Model_Config_v3!$B$5)),0)</x:f>
        <x:v>703</x:v>
      </x:c>
      <x:c r="J4968" s="18" t="n">
        <x:f>MIN(Model_Config_v3!$B$6,I4968+Model_Config_v3!$B$7)</x:f>
        <x:v>723</x:v>
      </x:c>
      <x:c r="K4968" s="20" t="n">
        <x:v>77.3</x:v>
      </x:c>
      <x:c r="L4968" t="str">
        <x:v>ELITE</x:v>
      </x:c>
      <x:c r="M4968" t="str">
        <x:v>SEDANG+</x:v>
      </x:c>
      <x:c r="N4968" t="str">
        <x:v>REGULER</x:v>
      </x:c>
      <x:c r="O4968" t="str">
        <x:v>SAINTEK</x:v>
      </x:c>
      <x:c r="P4968" t="str">
        <x:v>KEDOKTERAN</x:v>
      </x:c>
      <x:c r="Q4968" s="18" t="n">
        <x:v>0</x:v>
      </x:c>
      <x:c r="R4968" s="18" t="n">
        <x:v>680</x:v>
      </x:c>
      <x:c r="S4968" s="18" t="n">
        <x:v>676.2912001881857</x:v>
      </x:c>
      <x:c r="T4968" s="18" t="n">
        <x:v>715</x:v>
      </x:c>
      <x:c r="U4968" s="18" t="n">
        <x:v>716.2912001881857</x:v>
      </x:c>
      <x:c r="V4968" s="20" t="n">
        <x:v>12</x:v>
      </x:c>
      <x:c r="W4968" s="20" t="n">
        <x:v>5</x:v>
      </x:c>
      <x:c r="X4968" s="20" t="n">
        <x:v>3</x:v>
      </x:c>
      <x:c r="Y4968" t="str">
        <x:v>Basis arsip 2025/2024</x:v>
      </x:c>
      <x:c r="Z4968" t="str">
        <x:v>https://snpmb.id/utbk-snbt/daya-tampung-snbt</x:v>
      </x:c>
      <x:c r="AA4968" t="str">
        <x:v>Tidak Ada</x:v>
      </x:c>
      <x:c r="AB4968" t="str">
        <x:v>Campus=55; Ratio=83.6; Prodi=100; RelDemand=100.0; Capacity=71.7</x:v>
      </x:c>
    </x:row>
    <x:row r="4969">
      <x:c r="A4969" t="n">
        <x:v>4966</x:v>
      </x:c>
      <x:c r="B4969" t="str">
        <x:v>PTKIN</x:v>
      </x:c>
      <x:c r="C4969" t="str">
        <x:v>UIN ALAUDDIN</x:v>
      </x:c>
      <x:c r="D4969" t="str">
        <x:v>ILMU HUKUM</x:v>
      </x:c>
      <x:c r="E4969" t="str">
        <x:v>Sarjana</x:v>
      </x:c>
      <x:c r="F4969" s="18" t="n">
        <x:v>88</x:v>
      </x:c>
      <x:c r="G4969" s="18" t="n">
        <x:v>292</x:v>
      </x:c>
      <x:c r="H4969" s="19" t="n">
        <x:v>3.3181818181818183</x:v>
      </x:c>
      <x:c r="I4969" s="18" t="n">
        <x:f>ROUND(MIN(Model_Config_v3!$B$6,MAX(Q4969,R4969,S4969*Model_Config_v3!$B$4+T4969*Model_Config_v3!$B$5)),0)</x:f>
        <x:v>632</x:v>
      </x:c>
      <x:c r="J4969" s="18" t="n">
        <x:f>MIN(Model_Config_v3!$B$6,I4969+Model_Config_v3!$B$7)</x:f>
        <x:v>652</x:v>
      </x:c>
      <x:c r="K4969" s="20" t="n">
        <x:v>48</x:v>
      </x:c>
      <x:c r="L4969" t="str">
        <x:v>MENENGAH</x:v>
      </x:c>
      <x:c r="M4969" t="str">
        <x:v>SEDANG+</x:v>
      </x:c>
      <x:c r="N4969" t="str">
        <x:v>REGULER</x:v>
      </x:c>
      <x:c r="O4969" t="str">
        <x:v>SOSHUM</x:v>
      </x:c>
      <x:c r="P4969" t="str">
        <x:v>HUKUM</x:v>
      </x:c>
      <x:c r="Q4969" s="18" t="n">
        <x:v>0</x:v>
      </x:c>
      <x:c r="R4969" s="18" t="n">
        <x:v>0</x:v>
      </x:c>
      <x:c r="S4969" s="18" t="n">
        <x:v>577.2990197228074</x:v>
      </x:c>
      <x:c r="T4969" s="18" t="n">
        <x:v>656</x:v>
      </x:c>
      <x:c r="U4969" s="18" t="n">
        <x:v>592.2990197228074</x:v>
      </x:c>
      <x:c r="V4969" s="20" t="n">
        <x:v>4.4</x:v>
      </x:c>
      <x:c r="W4969" s="20" t="n">
        <x:v>14.3</x:v>
      </x:c>
      <x:c r="X4969" s="20" t="n">
        <x:v>3.3</x:v>
      </x:c>
      <x:c r="Y4969" t="str">
        <x:v>Basis arsip 2025/2024</x:v>
      </x:c>
      <x:c r="Z4969" t="str">
        <x:v>https://snpmb.id/utbk-snbt/daya-tampung-snbt</x:v>
      </x:c>
      <x:c r="AA4969" t="str">
        <x:v>Tidak Ada</x:v>
      </x:c>
      <x:c r="AB4969" t="str">
        <x:v>Campus=55; Ratio=30.7; Prodi=65; RelDemand=53.9; Capacity=26.7</x:v>
      </x:c>
    </x:row>
    <x:row r="4970">
      <x:c r="A4970" t="n">
        <x:v>4967</x:v>
      </x:c>
      <x:c r="B4970" t="str">
        <x:v>PTKIN</x:v>
      </x:c>
      <x:c r="C4970" t="str">
        <x:v>UIN ALAUDDIN</x:v>
      </x:c>
      <x:c r="D4970" t="str">
        <x:v>JURNALISTIK</x:v>
      </x:c>
      <x:c r="E4970" t="str">
        <x:v>Sarjana</x:v>
      </x:c>
      <x:c r="F4970" s="18" t="n">
        <x:v>48</x:v>
      </x:c>
      <x:c r="G4970" s="18" t="n">
        <x:v>29</x:v>
      </x:c>
      <x:c r="H4970" s="19" t="n">
        <x:v>0.6041666666666666</x:v>
      </x:c>
      <x:c r="I4970" s="18" t="n">
        <x:f>ROUND(MIN(Model_Config_v3!$B$6,MAX(Q4970,R4970,S4970*Model_Config_v3!$B$4+T4970*Model_Config_v3!$B$5)),0)</x:f>
        <x:v>596</x:v>
      </x:c>
      <x:c r="J4970" s="18" t="n">
        <x:f>MIN(Model_Config_v3!$B$6,I4970+Model_Config_v3!$B$7)</x:f>
        <x:v>616</x:v>
      </x:c>
      <x:c r="K4970" s="20" t="n">
        <x:v>34.2</x:v>
      </x:c>
      <x:c r="L4970" t="str">
        <x:v>RELATIF LONGGAR</x:v>
      </x:c>
      <x:c r="M4970" t="str">
        <x:v>SEDANG</x:v>
      </x:c>
      <x:c r="N4970" t="str">
        <x:v>REGULER</x:v>
      </x:c>
      <x:c r="O4970" t="str">
        <x:v>CAMPURAN</x:v>
      </x:c>
      <x:c r="P4970" t="str">
        <x:v>UMUM</x:v>
      </x:c>
      <x:c r="Q4970" s="18" t="n">
        <x:v>0</x:v>
      </x:c>
      <x:c r="R4970" s="18" t="n">
        <x:v>0</x:v>
      </x:c>
      <x:c r="S4970" s="18" t="n">
        <x:v>520</x:v>
      </x:c>
      <x:c r="T4970" s="18" t="n">
        <x:v>628</x:v>
      </x:c>
      <x:c r="U4970" s="18" t="n">
        <x:v>520</x:v>
      </x:c>
      <x:c r="V4970" s="20" t="n">
        <x:v>8.8</x:v>
      </x:c>
      <x:c r="W4970" s="20" t="n">
        <x:v>9.9</x:v>
      </x:c>
      <x:c r="X4970" s="20" t="n">
        <x:v>3.3</x:v>
      </x:c>
      <x:c r="Y4970" t="str">
        <x:v>Basis arsip 2025/2024</x:v>
      </x:c>
      <x:c r="Z4970" t="str">
        <x:v>https://snpmb.id/utbk-snbt/daya-tampung-snbt</x:v>
      </x:c>
      <x:c r="AA4970" t="str">
        <x:v>Tidak Ada</x:v>
      </x:c>
      <x:c r="AB4970" t="str">
        <x:v>Campus=55; Ratio=0.0; Prodi=40; RelDemand=9.8; Capacity=60.0</x:v>
      </x:c>
    </x:row>
    <x:row r="4971">
      <x:c r="A4971" t="n">
        <x:v>4968</x:v>
      </x:c>
      <x:c r="B4971" t="str">
        <x:v>PTKIN</x:v>
      </x:c>
      <x:c r="C4971" t="str">
        <x:v>UIN ALAUDDIN</x:v>
      </x:c>
      <x:c r="D4971" t="str">
        <x:v>MANAJEMEN</x:v>
      </x:c>
      <x:c r="E4971" t="str">
        <x:v>Sarjana</x:v>
      </x:c>
      <x:c r="F4971" s="18" t="n">
        <x:v>64</x:v>
      </x:c>
      <x:c r="G4971" s="18" t="n">
        <x:v>298</x:v>
      </x:c>
      <x:c r="H4971" s="19" t="n">
        <x:v>4.65625</x:v>
      </x:c>
      <x:c r="I4971" s="18" t="n">
        <x:f>ROUND(MIN(Model_Config_v3!$B$6,MAX(Q4971,R4971,S4971*Model_Config_v3!$B$4+T4971*Model_Config_v3!$B$5)),0)</x:f>
        <x:v>646</x:v>
      </x:c>
      <x:c r="J4971" s="18" t="n">
        <x:f>MIN(Model_Config_v3!$B$6,I4971+Model_Config_v3!$B$7)</x:f>
        <x:v>666</x:v>
      </x:c>
      <x:c r="K4971" s="20" t="n">
        <x:v>54.3</x:v>
      </x:c>
      <x:c r="L4971" t="str">
        <x:v>MENENGAH</x:v>
      </x:c>
      <x:c r="M4971" t="str">
        <x:v>SEDANG+</x:v>
      </x:c>
      <x:c r="N4971" t="str">
        <x:v>REGULER</x:v>
      </x:c>
      <x:c r="O4971" t="str">
        <x:v>SOSHUM</x:v>
      </x:c>
      <x:c r="P4971" t="str">
        <x:v>BISNIS/EKONOMI/AKUNTANSI</x:v>
      </x:c>
      <x:c r="Q4971" s="18" t="n">
        <x:v>0</x:v>
      </x:c>
      <x:c r="R4971" s="18" t="n">
        <x:v>0</x:v>
      </x:c>
      <x:c r="S4971" s="18" t="n">
        <x:v>593.4839919101605</x:v>
      </x:c>
      <x:c r="T4971" s="18" t="n">
        <x:v>669</x:v>
      </x:c>
      <x:c r="U4971" s="18" t="n">
        <x:v>608.4839919101605</x:v>
      </x:c>
      <x:c r="V4971" s="20" t="n">
        <x:v>4.4</x:v>
      </x:c>
      <x:c r="W4971" s="20" t="n">
        <x:v>14.3</x:v>
      </x:c>
      <x:c r="X4971" s="20" t="n">
        <x:v>3.3</x:v>
      </x:c>
      <x:c r="Y4971" t="str">
        <x:v>Basis arsip 2025/2024</x:v>
      </x:c>
      <x:c r="Z4971" t="str">
        <x:v>https://snpmb.id/utbk-snbt/daya-tampung-snbt</x:v>
      </x:c>
      <x:c r="AA4971" t="str">
        <x:v>Tidak Ada</x:v>
      </x:c>
      <x:c r="AB4971" t="str">
        <x:v>Campus=55; Ratio=39.3; Prodi=65; RelDemand=75.7; Capacity=46.7</x:v>
      </x:c>
    </x:row>
    <x:row r="4972">
      <x:c r="A4972" t="n">
        <x:v>4969</x:v>
      </x:c>
      <x:c r="B4972" t="str">
        <x:v>PTKIN</x:v>
      </x:c>
      <x:c r="C4972" t="str">
        <x:v>UIN ALAUDDIN</x:v>
      </x:c>
      <x:c r="D4972" t="str">
        <x:v>AKUNTANSI</x:v>
      </x:c>
      <x:c r="E4972" t="str">
        <x:v>Sarjana</x:v>
      </x:c>
      <x:c r="F4972" s="18" t="n">
        <x:v>76</x:v>
      </x:c>
      <x:c r="G4972" s="18" t="n">
        <x:v>161</x:v>
      </x:c>
      <x:c r="H4972" s="19" t="n">
        <x:v>2.1184210526315788</x:v>
      </x:c>
      <x:c r="I4972" s="18" t="n">
        <x:f>ROUND(MIN(Model_Config_v3!$B$6,MAX(Q4972,R4972,S4972*Model_Config_v3!$B$4+T4972*Model_Config_v3!$B$5)),0)</x:f>
        <x:v>620</x:v>
      </x:c>
      <x:c r="J4972" s="18" t="n">
        <x:f>MIN(Model_Config_v3!$B$6,I4972+Model_Config_v3!$B$7)</x:f>
        <x:v>640</x:v>
      </x:c>
      <x:c r="K4972" s="20" t="n">
        <x:v>44.2</x:v>
      </x:c>
      <x:c r="L4972" t="str">
        <x:v>RELATIF LONGGAR</x:v>
      </x:c>
      <x:c r="M4972" t="str">
        <x:v>SEDANG+</x:v>
      </x:c>
      <x:c r="N4972" t="str">
        <x:v>REGULER</x:v>
      </x:c>
      <x:c r="O4972" t="str">
        <x:v>SOSHUM</x:v>
      </x:c>
      <x:c r="P4972" t="str">
        <x:v>BISNIS/EKONOMI/AKUNTANSI</x:v>
      </x:c>
      <x:c r="Q4972" s="18" t="n">
        <x:v>0</x:v>
      </x:c>
      <x:c r="R4972" s="18" t="n">
        <x:v>0</x:v>
      </x:c>
      <x:c r="S4972" s="18" t="n">
        <x:v>555.8613512126165</x:v>
      </x:c>
      <x:c r="T4972" s="18" t="n">
        <x:v>648</x:v>
      </x:c>
      <x:c r="U4972" s="18" t="n">
        <x:v>555.8613512126165</x:v>
      </x:c>
      <x:c r="V4972" s="20" t="n">
        <x:v>4.4</x:v>
      </x:c>
      <x:c r="W4972" s="20" t="n">
        <x:v>14.3</x:v>
      </x:c>
      <x:c r="X4972" s="20" t="n">
        <x:v>3.3</x:v>
      </x:c>
      <x:c r="Y4972" t="str">
        <x:v>Basis arsip 2025/2024</x:v>
      </x:c>
      <x:c r="Z4972" t="str">
        <x:v>https://snpmb.id/utbk-snbt/daya-tampung-snbt</x:v>
      </x:c>
      <x:c r="AA4972" t="str">
        <x:v>Tidak Ada</x:v>
      </x:c>
      <x:c r="AB4972" t="str">
        <x:v>Campus=55; Ratio=19.2; Prodi=65; RelDemand=34.4; Capacity=36.7</x:v>
      </x:c>
    </x:row>
    <x:row r="4973">
      <x:c r="A4973" t="n">
        <x:v>4970</x:v>
      </x:c>
      <x:c r="B4973" t="str">
        <x:v>PTKIN</x:v>
      </x:c>
      <x:c r="C4973" t="str">
        <x:v>UIN ALAUDDIN</x:v>
      </x:c>
      <x:c r="D4973" t="str">
        <x:v>ILMU EKONOMI</x:v>
      </x:c>
      <x:c r="E4973" t="str">
        <x:v>Sarjana</x:v>
      </x:c>
      <x:c r="F4973" s="18" t="n">
        <x:v>76</x:v>
      </x:c>
      <x:c r="G4973" s="18" t="n">
        <x:v>71</x:v>
      </x:c>
      <x:c r="H4973" s="19" t="n">
        <x:v>0.9342105263157895</x:v>
      </x:c>
      <x:c r="I4973" s="18" t="n">
        <x:f>ROUND(MIN(Model_Config_v3!$B$6,MAX(Q4973,R4973,S4973*Model_Config_v3!$B$4+T4973*Model_Config_v3!$B$5)),0)</x:f>
        <x:v>601</x:v>
      </x:c>
      <x:c r="J4973" s="18" t="n">
        <x:f>MIN(Model_Config_v3!$B$6,I4973+Model_Config_v3!$B$7)</x:f>
        <x:v>621</x:v>
      </x:c>
      <x:c r="K4973" s="20" t="n">
        <x:v>37.4</x:v>
      </x:c>
      <x:c r="L4973" t="str">
        <x:v>RELATIF LONGGAR</x:v>
      </x:c>
      <x:c r="M4973" t="str">
        <x:v>SEDANG+</x:v>
      </x:c>
      <x:c r="N4973" t="str">
        <x:v>REGULER</x:v>
      </x:c>
      <x:c r="O4973" t="str">
        <x:v>SOSHUM</x:v>
      </x:c>
      <x:c r="P4973" t="str">
        <x:v>BISNIS/EKONOMI/AKUNTANSI</x:v>
      </x:c>
      <x:c r="Q4973" s="18" t="n">
        <x:v>0</x:v>
      </x:c>
      <x:c r="R4973" s="18" t="n">
        <x:v>0</x:v>
      </x:c>
      <x:c r="S4973" s="18" t="n">
        <x:v>520</x:v>
      </x:c>
      <x:c r="T4973" s="18" t="n">
        <x:v>635</x:v>
      </x:c>
      <x:c r="U4973" s="18" t="n">
        <x:v>520</x:v>
      </x:c>
      <x:c r="V4973" s="20" t="n">
        <x:v>4.4</x:v>
      </x:c>
      <x:c r="W4973" s="20" t="n">
        <x:v>14.3</x:v>
      </x:c>
      <x:c r="X4973" s="20" t="n">
        <x:v>3.3</x:v>
      </x:c>
      <x:c r="Y4973" t="str">
        <x:v>Basis arsip 2025/2024</x:v>
      </x:c>
      <x:c r="Z4973" t="str">
        <x:v>https://snpmb.id/utbk-snbt/daya-tampung-snbt</x:v>
      </x:c>
      <x:c r="AA4973" t="str">
        <x:v>Tidak Ada</x:v>
      </x:c>
      <x:c r="AB4973" t="str">
        <x:v>Campus=55; Ratio=0.0; Prodi=65; RelDemand=15.2; Capacity=36.7</x:v>
      </x:c>
    </x:row>
    <x:row r="4974">
      <x:c r="A4974" t="n">
        <x:v>4971</x:v>
      </x:c>
      <x:c r="B4974" t="str">
        <x:v>PTKIN</x:v>
      </x:c>
      <x:c r="C4974" t="str">
        <x:v>UIN ALAUDDIN</x:v>
      </x:c>
      <x:c r="D4974" t="str">
        <x:v>ILMU POLITIK</x:v>
      </x:c>
      <x:c r="E4974" t="str">
        <x:v>Sarjana</x:v>
      </x:c>
      <x:c r="F4974" s="18" t="n">
        <x:v>48</x:v>
      </x:c>
      <x:c r="G4974" s="18" t="n">
        <x:v>31</x:v>
      </x:c>
      <x:c r="H4974" s="19" t="n">
        <x:v>0.6458333333333334</x:v>
      </x:c>
      <x:c r="I4974" s="18" t="n">
        <x:f>ROUND(MIN(Model_Config_v3!$B$6,MAX(Q4974,R4974,S4974*Model_Config_v3!$B$4+T4974*Model_Config_v3!$B$5)),0)</x:f>
        <x:v>596</x:v>
      </x:c>
      <x:c r="J4974" s="18" t="n">
        <x:f>MIN(Model_Config_v3!$B$6,I4974+Model_Config_v3!$B$7)</x:f>
        <x:v>616</x:v>
      </x:c>
      <x:c r="K4974" s="20" t="n">
        <x:v>34.3</x:v>
      </x:c>
      <x:c r="L4974" t="str">
        <x:v>RELATIF LONGGAR</x:v>
      </x:c>
      <x:c r="M4974" t="str">
        <x:v>SEDANG</x:v>
      </x:c>
      <x:c r="N4974" t="str">
        <x:v>REGULER</x:v>
      </x:c>
      <x:c r="O4974" t="str">
        <x:v>SOSHUM</x:v>
      </x:c>
      <x:c r="P4974" t="str">
        <x:v>UMUM</x:v>
      </x:c>
      <x:c r="Q4974" s="18" t="n">
        <x:v>0</x:v>
      </x:c>
      <x:c r="R4974" s="18" t="n">
        <x:v>0</x:v>
      </x:c>
      <x:c r="S4974" s="18" t="n">
        <x:v>520</x:v>
      </x:c>
      <x:c r="T4974" s="18" t="n">
        <x:v>629</x:v>
      </x:c>
      <x:c r="U4974" s="18" t="n">
        <x:v>520</x:v>
      </x:c>
      <x:c r="V4974" s="20" t="n">
        <x:v>4.4</x:v>
      </x:c>
      <x:c r="W4974" s="20" t="n">
        <x:v>14.3</x:v>
      </x:c>
      <x:c r="X4974" s="20" t="n">
        <x:v>3.3</x:v>
      </x:c>
      <x:c r="Y4974" t="str">
        <x:v>Basis arsip 2025/2024</x:v>
      </x:c>
      <x:c r="Z4974" t="str">
        <x:v>https://snpmb.id/utbk-snbt/daya-tampung-snbt</x:v>
      </x:c>
      <x:c r="AA4974" t="str">
        <x:v>Tidak Ada</x:v>
      </x:c>
      <x:c r="AB4974" t="str">
        <x:v>Campus=55; Ratio=0.0; Prodi=40; RelDemand=10.5; Capacity=60.0</x:v>
      </x:c>
    </x:row>
    <x:row r="4975">
      <x:c r="A4975" t="n">
        <x:v>4972</x:v>
      </x:c>
      <x:c r="B4975" t="str">
        <x:v>PTKIN</x:v>
      </x:c>
      <x:c r="C4975" t="str">
        <x:v>UIN ALAUDDIN</x:v>
      </x:c>
      <x:c r="D4975" t="str">
        <x:v>ILMU KOMUNIKASI</x:v>
      </x:c>
      <x:c r="E4975" t="str">
        <x:v>Sarjana</x:v>
      </x:c>
      <x:c r="F4975" s="18" t="n">
        <x:v>48</x:v>
      </x:c>
      <x:c r="G4975" s="18" t="n">
        <x:v>171</x:v>
      </x:c>
      <x:c r="H4975" s="19" t="n">
        <x:v>3.5625</x:v>
      </x:c>
      <x:c r="I4975" s="18" t="n">
        <x:f>ROUND(MIN(Model_Config_v3!$B$6,MAX(Q4975,R4975,S4975*Model_Config_v3!$B$4+T4975*Model_Config_v3!$B$5)),0)</x:f>
        <x:v>632</x:v>
      </x:c>
      <x:c r="J4975" s="18" t="n">
        <x:f>MIN(Model_Config_v3!$B$6,I4975+Model_Config_v3!$B$7)</x:f>
        <x:v>652</x:v>
      </x:c>
      <x:c r="K4975" s="20" t="n">
        <x:v>47.2</x:v>
      </x:c>
      <x:c r="L4975" t="str">
        <x:v>MENENGAH</x:v>
      </x:c>
      <x:c r="M4975" t="str">
        <x:v>SEDANG</x:v>
      </x:c>
      <x:c r="N4975" t="str">
        <x:v>REGULER</x:v>
      </x:c>
      <x:c r="O4975" t="str">
        <x:v>SOSHUM</x:v>
      </x:c>
      <x:c r="P4975" t="str">
        <x:v>UMUM</x:v>
      </x:c>
      <x:c r="Q4975" s="18" t="n">
        <x:v>0</x:v>
      </x:c>
      <x:c r="R4975" s="18" t="n">
        <x:v>0</x:v>
      </x:c>
      <x:c r="S4975" s="18" t="n">
        <x:v>580.6930360318223</x:v>
      </x:c>
      <x:c r="T4975" s="18" t="n">
        <x:v>654</x:v>
      </x:c>
      <x:c r="U4975" s="18" t="n">
        <x:v>580.6930360318223</x:v>
      </x:c>
      <x:c r="V4975" s="20" t="n">
        <x:v>4.4</x:v>
      </x:c>
      <x:c r="W4975" s="20" t="n">
        <x:v>14.3</x:v>
      </x:c>
      <x:c r="X4975" s="20" t="n">
        <x:v>3.3</x:v>
      </x:c>
      <x:c r="Y4975" t="str">
        <x:v>Basis arsip 2025/2024</x:v>
      </x:c>
      <x:c r="Z4975" t="str">
        <x:v>https://snpmb.id/utbk-snbt/daya-tampung-snbt</x:v>
      </x:c>
      <x:c r="AA4975" t="str">
        <x:v>Tidak Ada</x:v>
      </x:c>
      <x:c r="AB4975" t="str">
        <x:v>Campus=55; Ratio=32.5; Prodi=40; RelDemand=57.9; Capacity=60.0</x:v>
      </x:c>
    </x:row>
    <x:row r="4976">
      <x:c r="A4976" t="n">
        <x:v>4973</x:v>
      </x:c>
      <x:c r="B4976" t="str">
        <x:v>PTKIN</x:v>
      </x:c>
      <x:c r="C4976" t="str">
        <x:v>UIN ALAUDDIN</x:v>
      </x:c>
      <x:c r="D4976" t="str">
        <x:v>HUBUNGAN INTERNASIONAL</x:v>
      </x:c>
      <x:c r="E4976" t="str">
        <x:v>Sarjana</x:v>
      </x:c>
      <x:c r="F4976" s="18" t="n">
        <x:v>48</x:v>
      </x:c>
      <x:c r="G4976" s="18" t="n">
        <x:v>82</x:v>
      </x:c>
      <x:c r="H4976" s="19" t="n">
        <x:v>1.7083333333333333</x:v>
      </x:c>
      <x:c r="I4976" s="18" t="n">
        <x:f>ROUND(MIN(Model_Config_v3!$B$6,MAX(Q4976,R4976,S4976*Model_Config_v3!$B$4+T4976*Model_Config_v3!$B$5)),0)</x:f>
        <x:v>611</x:v>
      </x:c>
      <x:c r="J4976" s="18" t="n">
        <x:f>MIN(Model_Config_v3!$B$6,I4976+Model_Config_v3!$B$7)</x:f>
        <x:v>631</x:v>
      </x:c>
      <x:c r="K4976" s="20" t="n">
        <x:v>39.4</x:v>
      </x:c>
      <x:c r="L4976" t="str">
        <x:v>RELATIF LONGGAR</x:v>
      </x:c>
      <x:c r="M4976" t="str">
        <x:v>SEDANG</x:v>
      </x:c>
      <x:c r="N4976" t="str">
        <x:v>REGULER</x:v>
      </x:c>
      <x:c r="O4976" t="str">
        <x:v>SOSHUM</x:v>
      </x:c>
      <x:c r="P4976" t="str">
        <x:v>UMUM</x:v>
      </x:c>
      <x:c r="Q4976" s="18" t="n">
        <x:v>0</x:v>
      </x:c>
      <x:c r="R4976" s="18" t="n">
        <x:v>0</x:v>
      </x:c>
      <x:c r="S4976" s="18" t="n">
        <x:v>545.5829876508942</x:v>
      </x:c>
      <x:c r="T4976" s="18" t="n">
        <x:v>639</x:v>
      </x:c>
      <x:c r="U4976" s="18" t="n">
        <x:v>545.5829876508942</x:v>
      </x:c>
      <x:c r="V4976" s="20" t="n">
        <x:v>4.4</x:v>
      </x:c>
      <x:c r="W4976" s="20" t="n">
        <x:v>14.3</x:v>
      </x:c>
      <x:c r="X4976" s="20" t="n">
        <x:v>3.3</x:v>
      </x:c>
      <x:c r="Y4976" t="str">
        <x:v>Basis arsip 2025/2024</x:v>
      </x:c>
      <x:c r="Z4976" t="str">
        <x:v>https://snpmb.id/utbk-snbt/daya-tampung-snbt</x:v>
      </x:c>
      <x:c r="AA4976" t="str">
        <x:v>Tidak Ada</x:v>
      </x:c>
      <x:c r="AB4976" t="str">
        <x:v>Campus=55; Ratio=13.7; Prodi=40; RelDemand=27.8; Capacity=60.0</x:v>
      </x:c>
    </x:row>
    <x:row r="4977">
      <x:c r="A4977" t="n">
        <x:v>4974</x:v>
      </x:c>
      <x:c r="B4977" t="str">
        <x:v>PTKIN</x:v>
      </x:c>
      <x:c r="C4977" t="str">
        <x:v>UIN ALAUDDIN</x:v>
      </x:c>
      <x:c r="D4977" t="str">
        <x:v>KESEJAHTERAAN SOSIAL</x:v>
      </x:c>
      <x:c r="E4977" t="str">
        <x:v>Sarjana</x:v>
      </x:c>
      <x:c r="F4977" s="18" t="n">
        <x:v>48</x:v>
      </x:c>
      <x:c r="G4977" s="18" t="n">
        <x:v>22</x:v>
      </x:c>
      <x:c r="H4977" s="19" t="n">
        <x:v>0.4583333333333333</x:v>
      </x:c>
      <x:c r="I4977" s="18" t="n">
        <x:f>ROUND(MIN(Model_Config_v3!$B$6,MAX(Q4977,R4977,S4977*Model_Config_v3!$B$4+T4977*Model_Config_v3!$B$5)),0)</x:f>
        <x:v>596</x:v>
      </x:c>
      <x:c r="J4977" s="18" t="n">
        <x:f>MIN(Model_Config_v3!$B$6,I4977+Model_Config_v3!$B$7)</x:f>
        <x:v>616</x:v>
      </x:c>
      <x:c r="K4977" s="20" t="n">
        <x:v>34</x:v>
      </x:c>
      <x:c r="L4977" t="str">
        <x:v>RELATIF LONGGAR</x:v>
      </x:c>
      <x:c r="M4977" t="str">
        <x:v>SEDANG</x:v>
      </x:c>
      <x:c r="N4977" t="str">
        <x:v>REGULER</x:v>
      </x:c>
      <x:c r="O4977" t="str">
        <x:v>CAMPURAN</x:v>
      </x:c>
      <x:c r="P4977" t="str">
        <x:v>UMUM</x:v>
      </x:c>
      <x:c r="Q4977" s="18" t="n">
        <x:v>0</x:v>
      </x:c>
      <x:c r="R4977" s="18" t="n">
        <x:v>0</x:v>
      </x:c>
      <x:c r="S4977" s="18" t="n">
        <x:v>520</x:v>
      </x:c>
      <x:c r="T4977" s="18" t="n">
        <x:v>628</x:v>
      </x:c>
      <x:c r="U4977" s="18" t="n">
        <x:v>520</x:v>
      </x:c>
      <x:c r="V4977" s="20" t="n">
        <x:v>8.8</x:v>
      </x:c>
      <x:c r="W4977" s="20" t="n">
        <x:v>9.9</x:v>
      </x:c>
      <x:c r="X4977" s="20" t="n">
        <x:v>3.3</x:v>
      </x:c>
      <x:c r="Y4977" t="str">
        <x:v>Basis arsip 2025/2024</x:v>
      </x:c>
      <x:c r="Z4977" t="str">
        <x:v>https://snpmb.id/utbk-snbt/daya-tampung-snbt</x:v>
      </x:c>
      <x:c r="AA4977" t="str">
        <x:v>Tidak Ada</x:v>
      </x:c>
      <x:c r="AB4977" t="str">
        <x:v>Campus=55; Ratio=0.0; Prodi=40; RelDemand=7.4; Capacity=60.0</x:v>
      </x:c>
    </x:row>
    <x:row r="4978">
      <x:c r="A4978" t="n">
        <x:v>4975</x:v>
      </x:c>
      <x:c r="B4978" t="str">
        <x:v>PTKIN</x:v>
      </x:c>
      <x:c r="C4978" t="str">
        <x:v>UIN ALAUDDIN</x:v>
      </x:c>
      <x:c r="D4978" t="str">
        <x:v>KEBIDANAN</x:v>
      </x:c>
      <x:c r="E4978" t="str">
        <x:v>Sarjana</x:v>
      </x:c>
      <x:c r="F4978" s="18" t="n">
        <x:v>32</x:v>
      </x:c>
      <x:c r="G4978" s="18"/>
      <x:c r="H4978" s="19" t="n">
        <x:v>0</x:v>
      </x:c>
      <x:c r="I4978" s="18" t="n">
        <x:f>ROUND(MIN(Model_Config_v3!$B$6,MAX(Q4978,R4978,S4978*Model_Config_v3!$B$4+T4978*Model_Config_v3!$B$5)),0)</x:f>
        <x:v>601</x:v>
      </x:c>
      <x:c r="J4978" s="18" t="n">
        <x:f>MIN(Model_Config_v3!$B$6,I4978+Model_Config_v3!$B$7)</x:f>
        <x:v>621</x:v>
      </x:c>
      <x:c r="K4978" s="20" t="n">
        <x:v>37.6</x:v>
      </x:c>
      <x:c r="L4978" t="str">
        <x:v>RELATIF LONGGAR</x:v>
      </x:c>
      <x:c r="M4978" t="str">
        <x:v>RENDAH</x:v>
      </x:c>
      <x:c r="N4978" t="str">
        <x:v>REGULER</x:v>
      </x:c>
      <x:c r="O4978" t="str">
        <x:v>SAINTEK</x:v>
      </x:c>
      <x:c r="P4978" t="str">
        <x:v>KESEHAT/GIZI/KEPERAWATAN</x:v>
      </x:c>
      <x:c r="Q4978" s="18" t="n">
        <x:v>0</x:v>
      </x:c>
      <x:c r="R4978" s="18" t="n">
        <x:v>0</x:v>
      </x:c>
      <x:c r="S4978" s="18" t="n">
        <x:v>520</x:v>
      </x:c>
      <x:c r="T4978" s="18" t="n">
        <x:v>635</x:v>
      </x:c>
      <x:c r="U4978" s="18" t="n">
        <x:v>520</x:v>
      </x:c>
      <x:c r="V4978" s="20" t="n">
        <x:v>12</x:v>
      </x:c>
      <x:c r="W4978" s="20" t="n">
        <x:v>5</x:v>
      </x:c>
      <x:c r="X4978" s="20" t="n">
        <x:v>3</x:v>
      </x:c>
      <x:c r="Y4978" t="str">
        <x:v>Basis arsip 2025/2024</x:v>
      </x:c>
      <x:c r="Z4978" t="str">
        <x:v>https://snpmb.id/utbk-snbt/daya-tampung-snbt</x:v>
      </x:c>
      <x:c r="AA4978" t="str">
        <x:v>Tidak Ada</x:v>
      </x:c>
      <x:c r="AB4978" t="str">
        <x:v>Campus=55; Ratio=0.0; Prodi=55; RelDemand=0.0; Capacity=73.3</x:v>
      </x:c>
    </x:row>
    <x:row r="4979">
      <x:c r="A4979" t="n">
        <x:v>4976</x:v>
      </x:c>
      <x:c r="B4979" t="str">
        <x:v>PTKIN</x:v>
      </x:c>
      <x:c r="C4979" t="str">
        <x:v>UIN DATOKARAMA PALU</x:v>
      </x:c>
      <x:c r="D4979" t="str">
        <x:v>INFORMATIKA</x:v>
      </x:c>
      <x:c r="E4979" t="str">
        <x:v>Sarjana</x:v>
      </x:c>
      <x:c r="F4979" s="18" t="n">
        <x:v>42</x:v>
      </x:c>
      <x:c r="G4979" s="18" t="n">
        <x:v>40</x:v>
      </x:c>
      <x:c r="H4979" s="19" t="n">
        <x:v>0.9523809523809523</x:v>
      </x:c>
      <x:c r="I4979" s="18" t="n">
        <x:f>ROUND(MIN(Model_Config_v3!$B$6,MAX(Q4979,R4979,S4979*Model_Config_v3!$B$4+T4979*Model_Config_v3!$B$5)),0)</x:f>
        <x:v>617</x:v>
      </x:c>
      <x:c r="J4979" s="18" t="n">
        <x:f>MIN(Model_Config_v3!$B$6,I4979+Model_Config_v3!$B$7)</x:f>
        <x:v>637</x:v>
      </x:c>
      <x:c r="K4979" s="20" t="n">
        <x:v>49.3</x:v>
      </x:c>
      <x:c r="L4979" t="str">
        <x:v>MENENGAH</x:v>
      </x:c>
      <x:c r="M4979" t="str">
        <x:v>SEDANG+</x:v>
      </x:c>
      <x:c r="N4979" t="str">
        <x:v>REGULER</x:v>
      </x:c>
      <x:c r="O4979" t="str">
        <x:v>SAINTEK</x:v>
      </x:c>
      <x:c r="P4979" t="str">
        <x:v>KOMPUTER/INFORMATIKA</x:v>
      </x:c>
      <x:c r="Q4979" s="18" t="n">
        <x:v>0</x:v>
      </x:c>
      <x:c r="R4979" s="18" t="n">
        <x:v>0</x:v>
      </x:c>
      <x:c r="S4979" s="18" t="n">
        <x:v>520</x:v>
      </x:c>
      <x:c r="T4979" s="18" t="n">
        <x:v>659</x:v>
      </x:c>
      <x:c r="U4979" s="18" t="n">
        <x:v>545</x:v>
      </x:c>
      <x:c r="V4979" s="20" t="n">
        <x:v>12</x:v>
      </x:c>
      <x:c r="W4979" s="20" t="n">
        <x:v>5</x:v>
      </x:c>
      <x:c r="X4979" s="20" t="n">
        <x:v>3</x:v>
      </x:c>
      <x:c r="Y4979" t="str">
        <x:v>Basis arsip 2025/2024</x:v>
      </x:c>
      <x:c r="Z4979" t="str">
        <x:v>https://snpmb.id/utbk-snbt/daya-tampung-snbt</x:v>
      </x:c>
      <x:c r="AA4979" t="str">
        <x:v>Tidak Ada</x:v>
      </x:c>
      <x:c r="AB4979" t="str">
        <x:v>Campus=55; Ratio=0.0; Prodi=85; RelDemand=65.9; Capacity=65.0</x:v>
      </x:c>
    </x:row>
    <x:row r="4980">
      <x:c r="A4980" t="n">
        <x:v>4977</x:v>
      </x:c>
      <x:c r="B4980" t="str">
        <x:v>PTKIN</x:v>
      </x:c>
      <x:c r="C4980" t="str">
        <x:v>UIN DATOKARAMA PALU</x:v>
      </x:c>
      <x:c r="D4980" t="str">
        <x:v>ARSITEKTUR</x:v>
      </x:c>
      <x:c r="E4980" t="str">
        <x:v>Sarjana</x:v>
      </x:c>
      <x:c r="F4980" s="18" t="n">
        <x:v>28</x:v>
      </x:c>
      <x:c r="G4980" s="18" t="n">
        <x:v>9</x:v>
      </x:c>
      <x:c r="H4980" s="19" t="n">
        <x:v>0.32142857142857145</x:v>
      </x:c>
      <x:c r="I4980" s="18" t="n">
        <x:f>ROUND(MIN(Model_Config_v3!$B$6,MAX(Q4980,R4980,S4980*Model_Config_v3!$B$4+T4980*Model_Config_v3!$B$5)),0)</x:f>
        <x:v>605</x:v>
      </x:c>
      <x:c r="J4980" s="18" t="n">
        <x:f>MIN(Model_Config_v3!$B$6,I4980+Model_Config_v3!$B$7)</x:f>
        <x:v>625</x:v>
      </x:c>
      <x:c r="K4980" s="20" t="n">
        <x:v>41.1</x:v>
      </x:c>
      <x:c r="L4980" t="str">
        <x:v>RELATIF LONGGAR</x:v>
      </x:c>
      <x:c r="M4980" t="str">
        <x:v>SEDANG+</x:v>
      </x:c>
      <x:c r="N4980" t="str">
        <x:v>REGULER</x:v>
      </x:c>
      <x:c r="O4980" t="str">
        <x:v>SAINTEK</x:v>
      </x:c>
      <x:c r="P4980" t="str">
        <x:v>TEKNIK/ARSITEKTUR/STATISTIKA/AKTUARIA</x:v>
      </x:c>
      <x:c r="Q4980" s="18" t="n">
        <x:v>0</x:v>
      </x:c>
      <x:c r="R4980" s="18" t="n">
        <x:v>0</x:v>
      </x:c>
      <x:c r="S4980" s="18" t="n">
        <x:v>520</x:v>
      </x:c>
      <x:c r="T4980" s="18" t="n">
        <x:v>642</x:v>
      </x:c>
      <x:c r="U4980" s="18" t="n">
        <x:v>520</x:v>
      </x:c>
      <x:c r="V4980" s="20" t="n">
        <x:v>12</x:v>
      </x:c>
      <x:c r="W4980" s="20" t="n">
        <x:v>5</x:v>
      </x:c>
      <x:c r="X4980" s="20" t="n">
        <x:v>3</x:v>
      </x:c>
      <x:c r="Y4980" t="str">
        <x:v>Basis arsip 2025/2024</x:v>
      </x:c>
      <x:c r="Z4980" t="str">
        <x:v>https://snpmb.id/utbk-snbt/daya-tampung-snbt</x:v>
      </x:c>
      <x:c r="AA4980" t="str">
        <x:v>Tidak Ada</x:v>
      </x:c>
      <x:c r="AB4980" t="str">
        <x:v>Campus=55; Ratio=0.0; Prodi=60; RelDemand=22.3; Capacity=76.7</x:v>
      </x:c>
    </x:row>
    <x:row r="4981">
      <x:c r="A4981" t="n">
        <x:v>4978</x:v>
      </x:c>
      <x:c r="B4981" t="str">
        <x:v>PTKIN</x:v>
      </x:c>
      <x:c r="C4981" t="str">
        <x:v>UIN DATOKARAMA PALU</x:v>
      </x:c>
      <x:c r="D4981" t="str">
        <x:v>SISTEM INFORMASI</x:v>
      </x:c>
      <x:c r="E4981" t="str">
        <x:v>Sarjana</x:v>
      </x:c>
      <x:c r="F4981" s="18" t="n">
        <x:v>28</x:v>
      </x:c>
      <x:c r="G4981" s="18" t="n">
        <x:v>25</x:v>
      </x:c>
      <x:c r="H4981" s="19" t="n">
        <x:v>0.8928571428571429</x:v>
      </x:c>
      <x:c r="I4981" s="18" t="n">
        <x:f>ROUND(MIN(Model_Config_v3!$B$6,MAX(Q4981,R4981,S4981*Model_Config_v3!$B$4+T4981*Model_Config_v3!$B$5)),0)</x:f>
        <x:v>618</x:v>
      </x:c>
      <x:c r="J4981" s="18" t="n">
        <x:f>MIN(Model_Config_v3!$B$6,I4981+Model_Config_v3!$B$7)</x:f>
        <x:v>638</x:v>
      </x:c>
      <x:c r="K4981" s="20" t="n">
        <x:v>50.1</x:v>
      </x:c>
      <x:c r="L4981" t="str">
        <x:v>MENENGAH</x:v>
      </x:c>
      <x:c r="M4981" t="str">
        <x:v>SEDANG+</x:v>
      </x:c>
      <x:c r="N4981" t="str">
        <x:v>REGULER</x:v>
      </x:c>
      <x:c r="O4981" t="str">
        <x:v>CAMPURAN</x:v>
      </x:c>
      <x:c r="P4981" t="str">
        <x:v>KOMPUTER/INFORMATIKA</x:v>
      </x:c>
      <x:c r="Q4981" s="18" t="n">
        <x:v>0</x:v>
      </x:c>
      <x:c r="R4981" s="18" t="n">
        <x:v>0</x:v>
      </x:c>
      <x:c r="S4981" s="18" t="n">
        <x:v>520</x:v>
      </x:c>
      <x:c r="T4981" s="18" t="n">
        <x:v>660</x:v>
      </x:c>
      <x:c r="U4981" s="18" t="n">
        <x:v>545</x:v>
      </x:c>
      <x:c r="V4981" s="20" t="n">
        <x:v>8.8</x:v>
      </x:c>
      <x:c r="W4981" s="20" t="n">
        <x:v>9.9</x:v>
      </x:c>
      <x:c r="X4981" s="20" t="n">
        <x:v>3.3</x:v>
      </x:c>
      <x:c r="Y4981" t="str">
        <x:v>Basis arsip 2025/2024</x:v>
      </x:c>
      <x:c r="Z4981" t="str">
        <x:v>https://snpmb.id/utbk-snbt/daya-tampung-snbt</x:v>
      </x:c>
      <x:c r="AA4981" t="str">
        <x:v>Tidak Ada</x:v>
      </x:c>
      <x:c r="AB4981" t="str">
        <x:v>Campus=55; Ratio=0.0; Prodi=85; RelDemand=61.8; Capacity=76.7</x:v>
      </x:c>
    </x:row>
  </x:sheetData>
  <x:conditionalFormatting sqref="I4:J4981">
    <x:cfRule type="colorScale" priority="1">
      <x:colorScale>
        <x:cfvo type="min"/>
        <x:cfvo type="percentile" val="50"/>
        <x:cfvo type="max"/>
        <x:color rgb="FFE8F5E9"/>
        <x:color rgb="FFFFF3CD"/>
        <x:color rgb="FFF8D7DA"/>
      </x:colorScale>
    </x:cfRule>
  </x:conditionalFormatting>
  <x:conditionalFormatting sqref="K4:K4981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{4F4E55F8-19D0-66BB-3EB9-552C0E01CF71}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f492b6785424f0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F4E55F8-19D0-66BB-3EB9-552C0E01CF71}">
            <x14:dataBar gradient="1">
              <x14:cfvo type="min"/>
              <x14:cfvo type="max"/>
              <x14:fillColor rgb="FFA02B93"/>
            </x14:dataBar>
          </x14:cfRule>
          <xm:sqref>K4:K4981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1" hidden="0" customWidth="1"/>
    <x:col min="3" max="3" width="4" hidden="0" customWidth="1"/>
    <x:col min="4" max="4" width="20" hidden="0" customWidth="1"/>
    <x:col min="5" max="5" width="16" hidden="0" customWidth="1"/>
    <x:col min="6" max="6" width="12" hidden="0" customWidth="1"/>
    <x:col min="7" max="7" width="12" hidden="0" customWidth="1"/>
    <x:col min="8" max="8" width="18" hidden="0" customWidth="1"/>
  </x:cols>
  <x:sheetData>
    <x:row r="1">
      <x:c r="A1" s="22" t="str">
        <x:v>SNBT — Ringkasan Model Selektivitas v3.0</x:v>
      </x:c>
      <x:c r="B1" s="22" t="str"/>
      <x:c r="C1" s="22" t="str"/>
      <x:c r="D1" s="22" t="str"/>
      <x:c r="E1" s="22" t="str"/>
      <x:c r="F1" s="22" t="str"/>
      <x:c r="G1" s="22" t="str"/>
      <x:c r="H1" s="22" t="str"/>
    </x:row>
    <x:row r="3">
      <x:c r="A3" s="24" t="str">
        <x:v>Indikator</x:v>
      </x:c>
      <x:c r="B3" s="24" t="str">
        <x:v>Nilai</x:v>
      </x:c>
      <x:c r="D3" s="26" t="str">
        <x:v>Target v3</x:v>
      </x:c>
      <x:c r="E3" s="26" t="str">
        <x:v>Jumlah</x:v>
      </x:c>
    </x:row>
    <x:row r="4">
      <x:c r="A4" t="str">
        <x:v>Jumlah Prodi</x:v>
      </x:c>
      <x:c r="B4" t="n">
        <x:v>4978</x:v>
      </x:c>
      <x:c r="D4" t="str">
        <x:v>&gt;=740</x:v>
      </x:c>
      <x:c r="E4" t="n">
        <x:f>COUNTIF(Prediksi_Utama_v3!$I$4:$I$4981,"&gt;=740")</x:f>
        <x:v>12</x:v>
      </x:c>
    </x:row>
    <x:row r="5">
      <x:c r="A5" t="str">
        <x:v>Jumlah PTN</x:v>
      </x:c>
      <x:c r="B5" t="n">
        <x:v>145</x:v>
      </x:c>
      <x:c r="D5" t="str">
        <x:v>720–739</x:v>
      </x:c>
      <x:c r="E5" t="n">
        <x:f>COUNTIFS(Prediksi_Utama_v3!$I$4:$I$4981,"&gt;=720",Prediksi_Utama_v3!$I$4:$I$4981,"&lt;740")</x:f>
        <x:v>123</x:v>
      </x:c>
    </x:row>
    <x:row r="6">
      <x:c r="A6" t="str">
        <x:v>Basis Data</x:v>
      </x:c>
      <x:c r="B6" t="str">
        <x:v>Daya 2025 / Peminat 2024</x:v>
      </x:c>
      <x:c r="D6" t="str">
        <x:v>700–719</x:v>
      </x:c>
      <x:c r="E6" t="n">
        <x:f>COUNTIFS(Prediksi_Utama_v3!$I$4:$I$4981,"&gt;=700",Prediksi_Utama_v3!$I$4:$I$4981,"&lt;720")</x:f>
        <x:v>293</x:v>
      </x:c>
    </x:row>
    <x:row r="7">
      <x:c r="A7" t="str">
        <x:v>Prediksi Utama</x:v>
      </x:c>
      <x:c r="B7" t="str">
        <x:v>Kolom I–J pada Prediksi_Utama_v3</x:v>
      </x:c>
      <x:c r="D7" t="str">
        <x:v>680–699</x:v>
      </x:c>
      <x:c r="E7" t="n">
        <x:f>COUNTIFS(Prediksi_Utama_v3!$I$4:$I$4981,"&gt;=680",Prediksi_Utama_v3!$I$4:$I$4981,"&lt;700")</x:f>
        <x:v>547</x:v>
      </x:c>
    </x:row>
    <x:row r="8">
      <x:c r="A8" t="str">
        <x:v>Status</x:v>
      </x:c>
      <x:c r="B8" t="str">
        <x:v>Prediksi; bukan passing grade resmi</x:v>
      </x:c>
      <x:c r="D8" t="str">
        <x:v>650–679</x:v>
      </x:c>
      <x:c r="E8" t="n">
        <x:f>COUNTIFS(Prediksi_Utama_v3!$I$4:$I$4981,"&gt;=650",Prediksi_Utama_v3!$I$4:$I$4981,"&lt;680")</x:f>
        <x:v>1133</x:v>
      </x:c>
    </x:row>
    <x:row r="9">
      <x:c r="D9" t="str">
        <x:v>&lt;650</x:v>
      </x:c>
      <x:c r="E9" t="n">
        <x:f>COUNTIF(Prediksi_Utama_v3!$I$4:$I$4981,"&lt;650")</x:f>
        <x:v>2870</x:v>
      </x:c>
    </x:row>
    <x:row r="11">
      <x:c r="A11" s="24" t="str">
        <x:v>Kelas Selektivitas</x:v>
      </x:c>
      <x:c r="B11" s="24" t="str">
        <x:v>Jumlah</x:v>
      </x:c>
    </x:row>
    <x:row r="12">
      <x:c r="A12" t="str">
        <x:v>ULTRA ELITE</x:v>
      </x:c>
      <x:c r="B12" t="n">
        <x:f>COUNTIF(Prediksi_Utama_v3!$L$4:$L$4981,A12)</x:f>
        <x:v>84</x:v>
      </x:c>
      <x:c r="D12" s="26" t="str">
        <x:v>Rumpun</x:v>
      </x:c>
      <x:c r="E12" s="26" t="str">
        <x:v>PU</x:v>
      </x:c>
      <x:c r="F12" s="26" t="str">
        <x:v>PK</x:v>
      </x:c>
      <x:c r="G12" s="26" t="str">
        <x:v>LBI</x:v>
      </x:c>
      <x:c r="H12" s="26" t="str">
        <x:v>PM</x:v>
      </x:c>
    </x:row>
    <x:row r="13">
      <x:c r="A13" t="str">
        <x:v>ELITE</x:v>
      </x:c>
      <x:c r="B13" t="n">
        <x:f>COUNTIF(Prediksi_Utama_v3!$L$4:$L$4981,A13)</x:f>
        <x:v>322</x:v>
      </x:c>
      <x:c r="D13" t="str">
        <x:v>SAINTEK</x:v>
      </x:c>
      <x:c r="E13" t="n">
        <x:v>12</x:v>
      </x:c>
      <x:c r="F13" t="n">
        <x:v>18</x:v>
      </x:c>
      <x:c r="G13" t="n">
        <x:v>20</x:v>
      </x:c>
      <x:c r="H13" t="n">
        <x:v>24</x:v>
      </x:c>
    </x:row>
    <x:row r="14">
      <x:c r="A14" t="str">
        <x:v>SANGAT KETAT</x:v>
      </x:c>
      <x:c r="B14" t="n">
        <x:f>COUNTIF(Prediksi_Utama_v3!$L$4:$L$4981,A14)</x:f>
        <x:v>668</x:v>
      </x:c>
      <x:c r="D14" t="str">
        <x:v>SOSHUM</x:v>
      </x:c>
      <x:c r="E14" t="n">
        <x:v>16</x:v>
      </x:c>
      <x:c r="F14" t="n">
        <x:v>8</x:v>
      </x:c>
      <x:c r="G14" t="n">
        <x:v>22</x:v>
      </x:c>
      <x:c r="H14" t="n">
        <x:v>13</x:v>
      </x:c>
    </x:row>
    <x:row r="15">
      <x:c r="A15" t="str">
        <x:v>KETAT</x:v>
      </x:c>
      <x:c r="B15" t="n">
        <x:f>COUNTIF(Prediksi_Utama_v3!$L$4:$L$4981,A15)</x:f>
        <x:v>960</x:v>
      </x:c>
      <x:c r="D15" t="str">
        <x:v>CAMPURAN</x:v>
      </x:c>
      <x:c r="E15" t="n">
        <x:v>14</x:v>
      </x:c>
      <x:c r="F15" t="n">
        <x:v>12</x:v>
      </x:c>
      <x:c r="G15" t="n">
        <x:v>22</x:v>
      </x:c>
      <x:c r="H15" t="n">
        <x:v>18</x:v>
      </x:c>
    </x:row>
    <x:row r="16">
      <x:c r="A16" t="str">
        <x:v>MENENGAH</x:v>
      </x:c>
      <x:c r="B16" t="n">
        <x:f>COUNTIF(Prediksi_Utama_v3!$L$4:$L$4981,A16)</x:f>
        <x:v>1175</x:v>
      </x:c>
      <x:c r="D16" t="str">
        <x:v>SENI/OLAHRAGA</x:v>
      </x:c>
      <x:c r="E16" t="n">
        <x:v>14</x:v>
      </x:c>
      <x:c r="F16" t="n">
        <x:v>10</x:v>
      </x:c>
      <x:c r="G16" t="n">
        <x:v>22</x:v>
      </x:c>
      <x:c r="H16" t="n">
        <x:v>18</x:v>
      </x:c>
    </x:row>
    <x:row r="17">
      <x:c r="A17" t="str">
        <x:v>RELATIF LONGGAR</x:v>
      </x:c>
      <x:c r="B17" t="n">
        <x:f>COUNTIF(Prediksi_Utama_v3!$L$4:$L$4981,A17)</x:f>
        <x:v>1769</x:v>
      </x:c>
      <x:c r="D17" t="str">
        <x:v>Catatan</x:v>
      </x:c>
      <x:c r="E17" t="str">
        <x:v>Heuristik internal</x:v>
      </x:c>
      <x:c r="F17" t="str"/>
      <x:c r="G17" t="str"/>
      <x:c r="H17" t="str"/>
    </x:row>
    <x:row r="20">
      <x:c r="A20" s="28" t="str">
        <x:v>LANDASAN RESMI</x:v>
      </x:c>
      <x:c r="B20" s="28" t="str"/>
      <x:c r="C20" s="28" t="str"/>
      <x:c r="D20" s="28" t="str"/>
      <x:c r="E20" s="28" t="str"/>
      <x:c r="F20" s="28" t="str"/>
      <x:c r="G20" s="28" t="str"/>
      <x:c r="H20" s="28" t="str"/>
    </x:row>
    <x:row r="21">
      <x:c r="A21" s="29" t="str">
        <x:v>UTBK 2026 menguji TPS: PU, PPU, PBM, PK; serta Literasi: LBI, LBE, PM.</x:v>
      </x:c>
      <x:c r="B21" s="29" t="str"/>
      <x:c r="C21" s="29" t="str"/>
      <x:c r="D21" s="29" t="str"/>
      <x:c r="E21" s="29" t="str"/>
      <x:c r="F21" s="29" t="str"/>
      <x:c r="G21" s="29" t="str"/>
      <x:c r="H21" s="29" t="str"/>
    </x:row>
    <x:row r="22">
      <x:c r="A22" s="29" t="str">
        <x:v>Framework resmi menyebut konteks teks saintek, sosial-humaniora, dan personal; tidak mempublikasikan bobot berbeda per prodi.</x:v>
      </x:c>
      <x:c r="B22" s="29" t="str"/>
      <x:c r="C22" s="29" t="str"/>
      <x:c r="D22" s="29" t="str"/>
      <x:c r="E22" s="29" t="str"/>
      <x:c r="F22" s="29" t="str"/>
      <x:c r="G22" s="29" t="str"/>
      <x:c r="H22" s="29" t="str"/>
    </x:row>
    <x:row r="23">
      <x:c r="A23" s="29" t="str">
        <x:v>https://snpmb.id/utbk-snbt/informasi-umum | https://snpmb.id/fr/ | https://snpmb.id/utbk-snbt/daya-tampung-snbt</x:v>
      </x:c>
      <x:c r="B23" s="29" t="str"/>
      <x:c r="C23" s="29" t="str"/>
      <x:c r="D23" s="29" t="str"/>
      <x:c r="E23" s="29" t="str"/>
      <x:c r="F23" s="29" t="str"/>
      <x:c r="G23" s="29" t="str"/>
      <x:c r="H23" s="29" t="str"/>
    </x:row>
  </x:sheetData>
  <x:pageMargins left="0.7" right="0.7" top="0.75" bottom="0.75" header="0.3" footer="0.3"/>
  <x:drawing xmlns:r="http://schemas.openxmlformats.org/officeDocument/2006/relationships" r:id="R113b52db3f104812"/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8" hidden="0" customWidth="1"/>
    <x:col min="12" max="12" width="48" hidden="0" customWidth="1"/>
  </x:cols>
  <x:sheetData>
    <x:row r="1">
      <x:c r="A1" s="30" t="str">
        <x:v>Audit Kalibrasi Prodi Elite v3</x:v>
      </x:c>
      <x:c r="B1" s="30" t="str"/>
      <x:c r="C1" s="30" t="str"/>
      <x:c r="D1" s="30" t="str"/>
      <x:c r="E1" s="30" t="str"/>
      <x:c r="F1" s="30" t="str"/>
      <x:c r="G1" s="30" t="str"/>
      <x:c r="H1" s="30" t="str"/>
      <x:c r="I1" s="30" t="str"/>
      <x:c r="J1" s="30" t="str"/>
      <x:c r="K1" s="30" t="str"/>
      <x:c r="L1" s="30" t="str"/>
    </x:row>
    <x:row r="3">
      <x:c r="A3" s="24" t="str">
        <x:v>PTN</x:v>
      </x:c>
      <x:c r="B3" s="24" t="str">
        <x:v>Prodi</x:v>
      </x:c>
      <x:c r="C3" s="24" t="str">
        <x:v>Rasio</x:v>
      </x:c>
      <x:c r="D3" s="24" t="str">
        <x:v>Skor Rasio</x:v>
      </x:c>
      <x:c r="E3" s="24" t="str">
        <x:v>Target v2.1</x:v>
      </x:c>
      <x:c r="F3" s="24" t="str">
        <x:v>Kelas Prodi v3</x:v>
      </x:c>
      <x:c r="G3" s="24" t="str">
        <x:v>Indeks</x:v>
      </x:c>
      <x:c r="H3" s="24" t="str">
        <x:v>Floor Kampus</x:v>
      </x:c>
      <x:c r="I3" s="24" t="str">
        <x:v>Floor Prodi</x:v>
      </x:c>
      <x:c r="J3" s="24" t="str">
        <x:v>Target v3</x:v>
      </x:c>
      <x:c r="K3" s="24" t="str">
        <x:v>Aman v3</x:v>
      </x:c>
      <x:c r="L3" s="24" t="str">
        <x:v>Catatan</x:v>
      </x:c>
    </x:row>
    <x:row r="4">
      <x:c r="A4" t="str">
        <x:f>Prediksi_Utama_v3!C938</x:f>
        <x:v>UNIVERSITAS INDONESIA</x:v>
      </x:c>
      <x:c r="B4" t="str">
        <x:f>Prediksi_Utama_v3!D938</x:f>
        <x:v>PENDIDIKAN DOKTER</x:v>
      </x:c>
      <x:c r="C4" t="n">
        <x:f>Prediksi_Utama_v3!H938</x:f>
        <x:v>36.388888888888886</x:v>
      </x:c>
      <x:c r="D4" t="n">
        <x:f>Prediksi_Utama_v3!S938</x:f>
        <x:v>691.7065674377325</x:v>
      </x:c>
      <x:c r="E4" t="n">
        <x:f>Prediksi_Utama_v3!U938</x:f>
        <x:v>745</x:v>
      </x:c>
      <x:c r="F4" t="str">
        <x:f>Prediksi_Utama_v3!P938</x:f>
        <x:v>KEDOKTERAN</x:v>
      </x:c>
      <x:c r="G4" t="n">
        <x:f>Prediksi_Utama_v3!K938</x:f>
        <x:v>85.9</x:v>
      </x:c>
      <x:c r="H4" t="n">
        <x:f>Prediksi_Utama_v3!Q938</x:f>
        <x:v>675</x:v>
      </x:c>
      <x:c r="I4" t="n">
        <x:f>Prediksi_Utama_v3!R938</x:f>
        <x:v>745</x:v>
      </x:c>
      <x:c r="J4" t="n">
        <x:f>Prediksi_Utama_v3!I938</x:f>
        <x:v>745</x:v>
      </x:c>
      <x:c r="K4" t="n">
        <x:f>Prediksi_Utama_v3!J938</x:f>
        <x:v>765</x:v>
      </x:c>
      <x:c r="L4" t="str">
        <x:f>"Kalibrasi Kedokteran UI"</x:f>
        <x:v>Kalibrasi Kedokteran UI</x:v>
      </x:c>
    </x:row>
    <x:row r="5">
      <x:c r="A5" t="str">
        <x:f>Prediksi_Utama_v3!C939</x:f>
        <x:v>UNIVERSITAS INDONESIA</x:v>
      </x:c>
      <x:c r="B5" t="str">
        <x:f>Prediksi_Utama_v3!D939</x:f>
        <x:v>PENDIDIKAN DOKTER GIGI</x:v>
      </x:c>
      <x:c r="C5" t="n">
        <x:f>Prediksi_Utama_v3!H939</x:f>
        <x:v>20.444444444444443</x:v>
      </x:c>
      <x:c r="D5" t="n">
        <x:f>Prediksi_Utama_v3!S939</x:f>
        <x:v>664.1632844927233</x:v>
      </x:c>
      <x:c r="E5" t="n">
        <x:f>Prediksi_Utama_v3!U939</x:f>
        <x:v>720</x:v>
      </x:c>
      <x:c r="F5" t="str">
        <x:f>Prediksi_Utama_v3!P939</x:f>
        <x:v>KEDOKTERAN GIGI</x:v>
      </x:c>
      <x:c r="G5" t="n">
        <x:f>Prediksi_Utama_v3!K939</x:f>
        <x:v>80.8</x:v>
      </x:c>
      <x:c r="H5" t="n">
        <x:f>Prediksi_Utama_v3!Q939</x:f>
        <x:v>675</x:v>
      </x:c>
      <x:c r="I5" t="n">
        <x:f>Prediksi_Utama_v3!R939</x:f>
        <x:v>720</x:v>
      </x:c>
      <x:c r="J5" t="n">
        <x:f>Prediksi_Utama_v3!I939</x:f>
        <x:v>720</x:v>
      </x:c>
      <x:c r="K5" t="n">
        <x:f>Prediksi_Utama_v3!J939</x:f>
        <x:v>740</x:v>
      </x:c>
      <x:c r="L5" t="str">
        <x:f>"Kedokteran Gigi UI"</x:f>
        <x:v>Kedokteran Gigi UI</x:v>
      </x:c>
    </x:row>
    <x:row r="6">
      <x:c r="A6" t="str">
        <x:f>Prediksi_Utama_v3!C1164</x:f>
        <x:v>INSTITUT TEKNOLOGI BANDUNG</x:v>
      </x:c>
      <x:c r="B6" t="str">
        <x:f>Prediksi_Utama_v3!D1164</x:f>
        <x:v>SEKOLAH TEKNIK ELEKTRO DAN INFORMATIKA - KOMPUTASI (STEI-K)</x:v>
      </x:c>
      <x:c r="C6" t="n">
        <x:f>Prediksi_Utama_v3!H1164</x:f>
        <x:v>38.37777777777778</x:v>
      </x:c>
      <x:c r="D6" t="n">
        <x:f>Prediksi_Utama_v3!S1164</x:f>
        <x:v>694.2487806171326</x:v>
      </x:c>
      <x:c r="E6" t="n">
        <x:f>Prediksi_Utama_v3!U1164</x:f>
        <x:v>719.2487806171326</x:v>
      </x:c>
      <x:c r="F6" t="str">
        <x:f>Prediksi_Utama_v3!P1164</x:f>
        <x:v>KOMPUTER/INFORMATIKA</x:v>
      </x:c>
      <x:c r="G6" t="n">
        <x:f>Prediksi_Utama_v3!K1164</x:f>
        <x:v>87.8</x:v>
      </x:c>
      <x:c r="H6" t="n">
        <x:f>Prediksi_Utama_v3!Q1164</x:f>
        <x:v>675</x:v>
      </x:c>
      <x:c r="I6" t="n">
        <x:f>Prediksi_Utama_v3!R1164</x:f>
        <x:v>715</x:v>
      </x:c>
      <x:c r="J6" t="n">
        <x:f>Prediksi_Utama_v3!I1164</x:f>
        <x:v>723</x:v>
      </x:c>
      <x:c r="K6" t="n">
        <x:f>Prediksi_Utama_v3!J1164</x:f>
        <x:v>743</x:v>
      </x:c>
      <x:c r="L6" t="str">
        <x:f>"STEI-K ITB"</x:f>
        <x:v>STEI-K ITB</x:v>
      </x:c>
    </x:row>
    <x:row r="7">
      <x:c r="A7" t="str">
        <x:f>Prediksi_Utama_v3!C1165</x:f>
        <x:v>INSTITUT TEKNOLOGI BANDUNG</x:v>
      </x:c>
      <x:c r="B7" t="str">
        <x:f>Prediksi_Utama_v3!D1165</x:f>
        <x:v>SEKOLAH TEKNIK ELEKTRO DAN INFORMATIKA - REKAYASA (STEI-R)</x:v>
      </x:c>
      <x:c r="C7" t="n">
        <x:f>Prediksi_Utama_v3!H1165</x:f>
        <x:v>13.47872340425532</x:v>
      </x:c>
      <x:c r="D7" t="n">
        <x:f>Prediksi_Utama_v3!S1165</x:f>
        <x:v>644.2613637412117</x:v>
      </x:c>
      <x:c r="E7" t="n">
        <x:f>Prediksi_Utama_v3!U1165</x:f>
        <x:v>715</x:v>
      </x:c>
      <x:c r="F7" t="str">
        <x:f>Prediksi_Utama_v3!P1165</x:f>
        <x:v>KOMPUTER/INFORMATIKA</x:v>
      </x:c>
      <x:c r="G7" t="n">
        <x:f>Prediksi_Utama_v3!K1165</x:f>
        <x:v>75</x:v>
      </x:c>
      <x:c r="H7" t="n">
        <x:f>Prediksi_Utama_v3!Q1165</x:f>
        <x:v>675</x:v>
      </x:c>
      <x:c r="I7" t="n">
        <x:f>Prediksi_Utama_v3!R1165</x:f>
        <x:v>715</x:v>
      </x:c>
      <x:c r="J7" t="n">
        <x:f>Prediksi_Utama_v3!I1165</x:f>
        <x:v>715</x:v>
      </x:c>
      <x:c r="K7" t="n">
        <x:f>Prediksi_Utama_v3!J1165</x:f>
        <x:v>735</x:v>
      </x:c>
      <x:c r="L7" t="str">
        <x:f>"STEI-R ITB"</x:f>
        <x:v>STEI-R ITB</x:v>
      </x:c>
    </x:row>
    <x:row r="8">
      <x:c r="A8" t="str">
        <x:f>Prediksi_Utama_v3!C1163</x:f>
        <x:v>INSTITUT TEKNOLOGI BANDUNG</x:v>
      </x:c>
      <x:c r="B8" t="str">
        <x:f>Prediksi_Utama_v3!D1163</x:f>
        <x:v>FAKULTAS MATEMATIKA DAN ILMU PENGETAHUAN ALAM - IPA (FMIPA-IPA)</x:v>
      </x:c>
      <x:c r="C8" t="n">
        <x:f>Prediksi_Utama_v3!H1163</x:f>
        <x:v>3.985294117647059</x:v>
      </x:c>
      <x:c r="D8" t="n">
        <x:f>Prediksi_Utama_v3!S1163</x:f>
        <x:v>586.0506415984986</x:v>
      </x:c>
      <x:c r="E8" t="n">
        <x:f>Prediksi_Utama_v3!U1163</x:f>
        <x:v>675</x:v>
      </x:c>
      <x:c r="F8" t="str">
        <x:f>Prediksi_Utama_v3!P1163</x:f>
        <x:v>SAINS DASAR</x:v>
      </x:c>
      <x:c r="G8" t="n">
        <x:f>Prediksi_Utama_v3!K1163</x:f>
        <x:v>55.1</x:v>
      </x:c>
      <x:c r="H8" t="n">
        <x:f>Prediksi_Utama_v3!Q1163</x:f>
        <x:v>675</x:v>
      </x:c>
      <x:c r="I8" t="n">
        <x:f>Prediksi_Utama_v3!R1163</x:f>
        <x:v>675</x:v>
      </x:c>
      <x:c r="J8" t="n">
        <x:f>Prediksi_Utama_v3!I1163</x:f>
        <x:v>675</x:v>
      </x:c>
      <x:c r="K8" t="n">
        <x:f>Prediksi_Utama_v3!J1163</x:f>
        <x:v>695</x:v>
      </x:c>
      <x:c r="L8" t="str">
        <x:f>"FMIPA-IPA ITB"</x:f>
        <x:v>FMIPA-IPA ITB</x:v>
      </x:c>
    </x:row>
    <x:row r="9">
      <x:c r="A9" t="str">
        <x:f>Prediksi_Utama_v3!C1167</x:f>
        <x:v>INSTITUT TEKNOLOGI BANDUNG</x:v>
      </x:c>
      <x:c r="B9" t="str">
        <x:f>Prediksi_Utama_v3!D1167</x:f>
        <x:v>SEKOLAH BISNIS DAN MANAJEMEN (SBM)</x:v>
      </x:c>
      <x:c r="C9" t="n">
        <x:f>Prediksi_Utama_v3!H1167</x:f>
        <x:v>45.7962962962963</x:v>
      </x:c>
      <x:c r="D9" t="n">
        <x:f>Prediksi_Utama_v3!S1167</x:f>
        <x:v>702.6913392192162</x:v>
      </x:c>
      <x:c r="E9" t="n">
        <x:f>Prediksi_Utama_v3!U1167</x:f>
        <x:v>717.6913392192162</x:v>
      </x:c>
      <x:c r="F9" t="str">
        <x:f>Prediksi_Utama_v3!P1167</x:f>
        <x:v>BISNIS/EKONOMI/AKUNTANSI</x:v>
      </x:c>
      <x:c r="G9" t="n">
        <x:f>Prediksi_Utama_v3!K1167</x:f>
        <x:v>87.9</x:v>
      </x:c>
      <x:c r="H9" t="n">
        <x:f>Prediksi_Utama_v3!Q1167</x:f>
        <x:v>675</x:v>
      </x:c>
      <x:c r="I9" t="n">
        <x:f>Prediksi_Utama_v3!R1167</x:f>
        <x:v>700</x:v>
      </x:c>
      <x:c r="J9" t="n">
        <x:f>Prediksi_Utama_v3!I1167</x:f>
        <x:v>726</x:v>
      </x:c>
      <x:c r="K9" t="n">
        <x:f>Prediksi_Utama_v3!J1167</x:f>
        <x:v>746</x:v>
      </x:c>
      <x:c r="L9" t="str">
        <x:f>"SBM ITB"</x:f>
        <x:v>SBM ITB</x:v>
      </x:c>
    </x:row>
    <x:row r="10">
      <x:c r="A10" t="str">
        <x:f>Prediksi_Utama_v3!C4</x:f>
        <x:v>UNIVERSITAS SYIAH KUALA</x:v>
      </x:c>
      <x:c r="B10" t="str">
        <x:f>Prediksi_Utama_v3!D4</x:f>
        <x:v>PENDIDIKAN DOKTER HEWAN</x:v>
      </x:c>
      <x:c r="C10" t="n">
        <x:f>Prediksi_Utama_v3!H4</x:f>
        <x:v>4.892857142857143</x:v>
      </x:c>
      <x:c r="D10" t="n">
        <x:f>Prediksi_Utama_v3!S4</x:f>
        <x:v>595.8518789395606</x:v>
      </x:c>
      <x:c r="E10" t="n">
        <x:f>Prediksi_Utama_v3!U4</x:f>
        <x:v>700</x:v>
      </x:c>
      <x:c r="F10" t="str">
        <x:f>Prediksi_Utama_v3!P4</x:f>
        <x:v>VETERINER</x:v>
      </x:c>
      <x:c r="G10" t="n">
        <x:f>Prediksi_Utama_v3!K4</x:f>
        <x:v>55.4</x:v>
      </x:c>
      <x:c r="H10" t="n">
        <x:f>Prediksi_Utama_v3!Q4</x:f>
        <x:v>615</x:v>
      </x:c>
      <x:c r="I10" t="n">
        <x:f>Prediksi_Utama_v3!R4</x:f>
        <x:v>650</x:v>
      </x:c>
      <x:c r="J10" t="n">
        <x:f>Prediksi_Utama_v3!I4</x:f>
        <x:v>650</x:v>
      </x:c>
      <x:c r="K10" t="n">
        <x:f>Prediksi_Utama_v3!J4</x:f>
        <x:v>670</x:v>
      </x:c>
      <x:c r="L10" t="str">
        <x:f>"BUG v2.1 diperbaiki: Dokter Hewan ≠ Kedokteran manusia"</x:f>
        <x:v>BUG v2.1 diperbaiki: Dokter Hewan ≠ Kedokteran manusia</x:v>
      </x:c>
    </x:row>
    <x:row r="11">
      <x:c r="A11" t="str">
        <x:f>Prediksi_Utama_v3!C1808</x:f>
        <x:v>UNIVERSITAS GADJAH MADA</x:v>
      </x:c>
      <x:c r="B11" t="str">
        <x:f>Prediksi_Utama_v3!D1808</x:f>
        <x:v>KEDOKTERAN</x:v>
      </x:c>
      <x:c r="C11" t="n">
        <x:f>Prediksi_Utama_v3!H1808</x:f>
        <x:v>73.37735849056604</x:v>
      </x:c>
      <x:c r="D11" t="n">
        <x:f>Prediksi_Utama_v3!S1808</x:f>
        <x:v>725.2118280901337</x:v>
      </x:c>
      <x:c r="E11" t="n">
        <x:f>Prediksi_Utama_v3!U1808</x:f>
        <x:v>765.2118280901337</x:v>
      </x:c>
      <x:c r="F11" t="str">
        <x:f>Prediksi_Utama_v3!P1808</x:f>
        <x:v>KEDOKTERAN</x:v>
      </x:c>
      <x:c r="G11" t="n">
        <x:f>Prediksi_Utama_v3!K1808</x:f>
        <x:v>95.6</x:v>
      </x:c>
      <x:c r="H11" t="n">
        <x:f>Prediksi_Utama_v3!Q1808</x:f>
        <x:v>675</x:v>
      </x:c>
      <x:c r="I11" t="n">
        <x:f>Prediksi_Utama_v3!R1808</x:f>
        <x:v>745</x:v>
      </x:c>
      <x:c r="J11" t="n">
        <x:f>Prediksi_Utama_v3!I1808</x:f>
        <x:v>745</x:v>
      </x:c>
      <x:c r="K11" t="n">
        <x:f>Prediksi_Utama_v3!J1808</x:f>
        <x:v>765</x:v>
      </x:c>
      <x:c r="L11" t="str">
        <x:f>"Kedokteran UGM"</x:f>
        <x:v>Kedokteran UGM</x:v>
      </x:c>
    </x:row>
    <x:row r="12">
      <x:c r="A12" t="str">
        <x:f>Prediksi_Utama_v3!C1812</x:f>
        <x:v>UNIVERSITAS GADJAH MADA</x:v>
      </x:c>
      <x:c r="B12" t="str">
        <x:f>Prediksi_Utama_v3!D1812</x:f>
        <x:v>KEDOKTERAN HEWAN</x:v>
      </x:c>
      <x:c r="C12" t="n">
        <x:f>Prediksi_Utama_v3!H1812</x:f>
        <x:v>13.15</x:v>
      </x:c>
      <x:c r="D12" t="n">
        <x:f>Prediksi_Utama_v3!S1812</x:f>
        <x:v>643.0818328108354</x:v>
      </x:c>
      <x:c r="E12" t="n">
        <x:f>Prediksi_Utama_v3!U1812</x:f>
        <x:v>675</x:v>
      </x:c>
      <x:c r="F12" t="str">
        <x:f>Prediksi_Utama_v3!P1812</x:f>
        <x:v>VETERINER</x:v>
      </x:c>
      <x:c r="G12" t="n">
        <x:f>Prediksi_Utama_v3!K1812</x:f>
        <x:v>70.4</x:v>
      </x:c>
      <x:c r="H12" t="n">
        <x:f>Prediksi_Utama_v3!Q1812</x:f>
        <x:v>675</x:v>
      </x:c>
      <x:c r="I12" t="n">
        <x:f>Prediksi_Utama_v3!R1812</x:f>
        <x:v>690</x:v>
      </x:c>
      <x:c r="J12" t="n">
        <x:f>Prediksi_Utama_v3!I1812</x:f>
        <x:v>690</x:v>
      </x:c>
      <x:c r="K12" t="n">
        <x:f>Prediksi_Utama_v3!J1812</x:f>
        <x:v>710</x:v>
      </x:c>
      <x:c r="L12" t="str">
        <x:f>"Veteriner UGM"</x:f>
        <x:v>Veteriner UGM</x:v>
      </x:c>
    </x:row>
    <x:row r="13">
      <x:c r="A13" t="str">
        <x:f>Prediksi_Utama_v3!C2260</x:f>
        <x:v>UNIVERSITAS AIRLANGGA</x:v>
      </x:c>
      <x:c r="B13" t="str">
        <x:f>Prediksi_Utama_v3!D2260</x:f>
        <x:v>KEDOKTERAN</x:v>
      </x:c>
      <x:c r="C13" t="n">
        <x:f>Prediksi_Utama_v3!H2260</x:f>
        <x:v>34.46666666666667</x:v>
      </x:c>
      <x:c r="D13" t="n">
        <x:f>Prediksi_Utama_v3!S2260</x:f>
        <x:v>689.1139212442088</x:v>
      </x:c>
      <x:c r="E13" t="n">
        <x:f>Prediksi_Utama_v3!U2260</x:f>
        <x:v>729.1139212442088</x:v>
      </x:c>
      <x:c r="F13" t="str">
        <x:f>Prediksi_Utama_v3!P2260</x:f>
        <x:v>KEDOKTERAN</x:v>
      </x:c>
      <x:c r="G13" t="n">
        <x:f>Prediksi_Utama_v3!K2260</x:f>
        <x:v>85</x:v>
      </x:c>
      <x:c r="H13" t="n">
        <x:f>Prediksi_Utama_v3!Q2260</x:f>
        <x:v>655</x:v>
      </x:c>
      <x:c r="I13" t="n">
        <x:f>Prediksi_Utama_v3!R2260</x:f>
        <x:v>725</x:v>
      </x:c>
      <x:c r="J13" t="n">
        <x:f>Prediksi_Utama_v3!I2260</x:f>
        <x:v>725</x:v>
      </x:c>
      <x:c r="K13" t="n">
        <x:f>Prediksi_Utama_v3!J2260</x:f>
        <x:v>745</x:v>
      </x:c>
      <x:c r="L13" t="str">
        <x:f>"Kedokteran UNAIR"</x:f>
        <x:v>Kedokteran UNAIR</x:v>
      </x:c>
    </x:row>
    <x:row r="14">
      <x:c r="A14" t="str">
        <x:f>Prediksi_Utama_v3!C1175</x:f>
        <x:v>UNIVERSITAS PADJADJARAN</x:v>
      </x:c>
      <x:c r="B14" t="str">
        <x:f>Prediksi_Utama_v3!D1175</x:f>
        <x:v>PENDIDIKAN DOKTER</x:v>
      </x:c>
      <x:c r="C14" t="n">
        <x:f>Prediksi_Utama_v3!H1175</x:f>
        <x:v>30.858585858585858</x:v>
      </x:c>
      <x:c r="D14" t="n">
        <x:f>Prediksi_Utama_v3!S1175</x:f>
        <x:v>683.8313621979125</x:v>
      </x:c>
      <x:c r="E14" t="n">
        <x:f>Prediksi_Utama_v3!U1175</x:f>
        <x:v>725</x:v>
      </x:c>
      <x:c r="F14" t="str">
        <x:f>Prediksi_Utama_v3!P1175</x:f>
        <x:v>KEDOKTERAN</x:v>
      </x:c>
      <x:c r="G14" t="n">
        <x:f>Prediksi_Utama_v3!K1175</x:f>
        <x:v>80.5</x:v>
      </x:c>
      <x:c r="H14" t="n">
        <x:f>Prediksi_Utama_v3!Q1175</x:f>
        <x:v>655</x:v>
      </x:c>
      <x:c r="I14" t="n">
        <x:f>Prediksi_Utama_v3!R1175</x:f>
        <x:v>725</x:v>
      </x:c>
      <x:c r="J14" t="n">
        <x:f>Prediksi_Utama_v3!I1175</x:f>
        <x:v>725</x:v>
      </x:c>
      <x:c r="K14" t="n">
        <x:f>Prediksi_Utama_v3!J1175</x:f>
        <x:v>745</x:v>
      </x:c>
      <x:c r="L14" t="str">
        <x:f>"Kedokteran UNPAD"</x:f>
        <x:v>Kedokteran UNPAD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31" t="str">
        <x:v>Metodologi Model v3</x:v>
      </x:c>
      <x:c r="B1" s="31" t="str"/>
    </x:row>
    <x:row r="2">
      <x:c r="A2" s="32" t="str">
        <x:v>Komponen</x:v>
      </x:c>
      <x:c r="B2" s="32" t="str">
        <x:v>Penjelasan</x:v>
      </x:c>
    </x:row>
    <x:row r="3">
      <x:c r="A3" s="29" t="str">
        <x:v>Campus</x:v>
      </x:c>
      <x:c r="B3" s="29" t="str">
        <x:v>35% indeks; menangkap selektivitas cohort/reputasi kampus.</x:v>
      </x:c>
    </x:row>
    <x:row r="4">
      <x:c r="A4" s="29" t="str">
        <x:v>Rasio</x:v>
      </x:c>
      <x:c r="B4" s="29" t="str">
        <x:v>25%; log rasio peminat/daya.</x:v>
      </x:c>
    </x:row>
    <x:row r="5">
      <x:c r="A5" s="29" t="str">
        <x:v>Prodi</x:v>
      </x:c>
      <x:c r="B5" s="29" t="str">
        <x:v>20%; kelas prodi khusus, termasuk Kedokteran, Informatika, Psikologi, dll.</x:v>
      </x:c>
    </x:row>
    <x:row r="6">
      <x:c r="A6" s="29" t="str">
        <x:v>Demand Relatif</x:v>
      </x:c>
      <x:c r="B6" s="29" t="str">
        <x:v>10%; posisi rasio prodi dibanding pola kampusnya.</x:v>
      </x:c>
    </x:row>
    <x:row r="7">
      <x:c r="A7" s="29" t="str">
        <x:v>Capacity</x:v>
      </x:c>
      <x:c r="B7" s="29" t="str">
        <x:v>10%; kursi sedikit memberi tekanan tambahan.</x:v>
      </x:c>
    </x:row>
    <x:row r="8">
      <x:c r="A8" s="29" t="str">
        <x:v>Target v3</x:v>
      </x:c>
      <x:c r="B8" s="29" t="str">
        <x:v>maks(floor kampus, floor prodi, 30% Skor Rasio + 70% Skor Indeks).</x:v>
      </x:c>
    </x:row>
    <x:row r="9">
      <x:c r="A9" s="29" t="str">
        <x:v>Veteriner</x:v>
      </x:c>
      <x:c r="B9" s="29" t="str">
        <x:v>Dipisahkan dari Kedokteran manusia; memperbaiki overestimate v2.1.</x:v>
      </x:c>
    </x:row>
    <x:row r="10">
      <x:c r="A10" s="29" t="str">
        <x:v>LBI</x:v>
      </x:c>
      <x:c r="B10" s="29" t="str">
        <x:v>LBI-Saintek/Soshum/Personal hanya analitik internal, bukan subtes terpisah.</x:v>
      </x:c>
    </x:row>
    <x:row r="11">
      <x:c r="A11" s="29" t="str">
        <x:v>Trend 5 Tahun</x:v>
      </x:c>
      <x:c r="B11" s="29" t="str">
        <x:v>Disiapkan di config dengan bobot 0; belum dipakai agar tidak mengarang data historis massal.</x:v>
      </x:c>
    </x:row>
  </x:sheetData>
  <x:pageMargins left="0.7" right="0.7" top="0.75" bottom="0.75" header="0.3" footer="0.3"/>
</x:worksheet>
</file>